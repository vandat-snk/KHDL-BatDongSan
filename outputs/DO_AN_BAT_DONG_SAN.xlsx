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d9b0fbe16f42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5076def6e0c408a"/>
    <x:sheet xmlns:r="http://schemas.openxmlformats.org/officeDocument/2006/relationships" name="Du lieu" sheetId="2" r:id="R2954aec8a3794b1d"/>
    <x:sheet xmlns:r="http://schemas.openxmlformats.org/officeDocument/2006/relationships" name="Chat luong" sheetId="3" r:id="R7f0955a9a37c46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.0"/>
    <x:numFmt numFmtId="202" formatCode="#,##0"/>
    <x:numFmt numFmtId="203" formatCode="#,##0.00"/>
    <x:numFmt numFmtId="204" formatCode="0.00"/>
  </x:numFmts>
  <x:fonts count="7">
    <x:font>
      <x:sz val="11"/>
      <x:name val="Carlito"/>
    </x:font>
    <x:font>
      <x:sz val="10"/>
      <x:color rgb="FF183247"/>
      <x:name val="Arial"/>
    </x:font>
    <x:font>
      <x:b/>
      <x:sz val="16"/>
      <x:color rgb="FF183247"/>
      <x:name val="Arial"/>
    </x:font>
    <x:font>
      <x:i/>
      <x:sz val="10"/>
      <x:color rgb="FF637582"/>
      <x:name val="Arial"/>
    </x:font>
    <x:font>
      <x:b/>
      <x:sz val="10"/>
      <x:color rgb="FFFFFFFF"/>
      <x:name val="Arial"/>
    </x:font>
    <x:font>
      <x:b/>
      <x:sz val="12"/>
      <x:color rgb="FF214E70"/>
      <x:name val="Arial"/>
    </x:font>
    <x:font>
      <x:b/>
      <x:sz val="12"/>
      <x:color rgb="FF18324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14E70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6D4DE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4" fontId="1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25718"/>
      </x:font>
      <x:fill>
        <x:patternFill patternType="solid">
          <x:bgColor rgb="FFFFF0DD"/>
        </x:patternFill>
      </x:fill>
    </x:dxf>
    <x:dxf>
      <x:font>
        <x:b/>
        <x:color rgb="FFA72828"/>
      </x:font>
      <x:fill>
        <x:patternFill patternType="solid">
          <x:bgColor rgb="FFFD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69b2876d464c5e" /><Relationship Type="http://schemas.openxmlformats.org/officeDocument/2006/relationships/theme" Target="/xl/theme/theme1.xml" Id="R43a6eb40fe9c4b01" /><Relationship Type="http://schemas.openxmlformats.org/officeDocument/2006/relationships/sharedStrings" Target="/xl/sharedStrings.xml" Id="Ra7775905ad294cdc" /><Relationship Type="http://schemas.openxmlformats.org/officeDocument/2006/relationships/worksheet" Target="/xl/worksheets/sheet1.xml" Id="R35076def6e0c408a" /><Relationship Type="http://schemas.openxmlformats.org/officeDocument/2006/relationships/worksheet" Target="/xl/worksheets/sheet2.xml" Id="R2954aec8a3794b1d" /><Relationship Type="http://schemas.openxmlformats.org/officeDocument/2006/relationships/worksheet" Target="/xl/worksheets/sheet3.xml" Id="R7f0955a9a37c46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6c88820be9847aa" /><Relationship Type="http://schemas.openxmlformats.org/officeDocument/2006/relationships/chart" Target="/xl/drawings/charts/chart2.xml" Id="Ra86b1400e4b94308" /><Relationship Type="http://schemas.openxmlformats.org/officeDocument/2006/relationships/chart" Target="/xl/drawings/charts/chart3.xml" Id="Rb9c40b850b0f4c39" /><Relationship Type="http://schemas.openxmlformats.org/officeDocument/2006/relationships/chart" Target="/xl/drawings/charts/chart4.xml" Id="R8bee396062ec469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Phân bố giá rao theo nhóm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Số tin</c:v>
          </c:tx>
          <c:spPr>
            <a:solidFill xmlns:a="http://schemas.openxmlformats.org/drawingml/2006/main">
              <a:srgbClr val="297A86"/>
            </a:solidFill>
          </c:spPr>
          <c:invertIfNegative val="0"/>
          <c:cat>
            <c:strRef>
              <c:f>'Dashboard'!$K$52:$K$62</c:f>
              <c:strCache>
                <c:ptCount val="0"/>
              </c:strCache>
            </c:strRef>
          </c:cat>
          <c:val>
            <c:numRef>
              <c:f>'Dashboard'!$L$52:$L$62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Nhóm giá (tỷ VND)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Số tin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Giá rao trung bình tại 8 nơi nhiều tin nhất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Giá TB (tỷ VND)</c:v>
          </c:tx>
          <c:spPr>
            <a:solidFill xmlns:a="http://schemas.openxmlformats.org/drawingml/2006/main">
              <a:srgbClr val="297A86"/>
            </a:solidFill>
          </c:spPr>
          <c:invertIfNegative val="0"/>
          <c:cat>
            <c:strRef>
              <c:f>'Dashboard'!$A$52:$A$59</c:f>
              <c:strCache>
                <c:ptCount val="0"/>
              </c:strCache>
            </c:strRef>
          </c:cat>
          <c:val>
            <c:numRef>
              <c:f>'Dashboard'!$D$52:$D$59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Địa phương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Giá rao (tỷ VND)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Diện tích và giá rao theo thang log10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log10(giá tỷ VND)</c:v>
          </c:tx>
          <c:spPr>
            <a:solidFill xmlns:a="http://schemas.openxmlformats.org/drawingml/2006/main">
              <a:srgbClr val="297A86"/>
            </a:solidFill>
          </c:spPr>
          <c:xVal>
            <c:numRef>
              <c:f>'Dashboard'!$A$106:$A$705</c:f>
              <c:numCache>
                <c:formatCode>0.00</c:formatCode>
                <c:ptCount val="0"/>
              </c:numCache>
            </c:numRef>
          </c:xVal>
          <c:yVal>
            <c:numRef>
              <c:f>'Dashboard'!$B$106:$B$705</c:f>
              <c:numCache>
                <c:formatCode>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log10(giá tỷ VND)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log10(diện tích m²)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Độ phủ dữ liệu tại 8 nơi nhiều tin nhất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Số tin</c:v>
          </c:tx>
          <c:spPr>
            <a:solidFill xmlns:a="http://schemas.openxmlformats.org/drawingml/2006/main">
              <a:srgbClr val="297A86"/>
            </a:solidFill>
          </c:spPr>
          <c:invertIfNegative val="0"/>
          <c:cat>
            <c:strRef>
              <c:f>'Dashboard'!$A$52:$A$59</c:f>
              <c:strCache>
                <c:ptCount val="0"/>
              </c:strCache>
            </c:strRef>
          </c:cat>
          <c:val>
            <c:numRef>
              <c:f>'Dashboard'!$B$52:$B$59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Địa phương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Số tin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7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c88820be9847aa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6b1400e4b94308"/>
        </a:graphicData>
      </a:graphic>
    </xdr:graphicFrame>
    <xdr:clientData/>
  </xdr:twoCellAnchor>
  <xdr:twoCellAnchor>
    <xdr:from>
      <xdr:col>0</xdr:col>
      <xdr:colOff>0</xdr:colOff>
      <xdr:row>31</xdr:row>
      <xdr:rowOff>0</xdr:rowOff>
    </xdr:from>
    <xdr:to>
      <xdr:col>7</xdr:col>
      <xdr:colOff>0</xdr:colOff>
      <xdr:row>47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c40b850b0f4c39"/>
        </a:graphicData>
      </a:graphic>
    </xdr:graphicFrame>
    <xdr:clientData/>
  </xdr:twoCellAnchor>
  <xdr:twoCellAnchor>
    <xdr:from>
      <xdr:col>8</xdr:col>
      <xdr:colOff>0</xdr:colOff>
      <xdr:row>31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ee396062ec469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istingsClean" displayName="ListingsClean" ref="A9:R7010" headerRowCount="1" totalsRowCount="0" totalsRowShown="0">
  <x:autoFilter ref="A9:R7010"/>
  <x:tableColumns count="18">
    <x:tableColumn id="1" name="Dòng nguồn"/>
    <x:tableColumn id="2" name="Mã nội dung"/>
    <x:tableColumn id="3" name="Tỉnh/Thành"/>
    <x:tableColumn id="4" name="Quận/Huyện"/>
    <x:tableColumn id="5" name="Loại suy luận"/>
    <x:tableColumn id="6" name="Trạng thái"/>
    <x:tableColumn id="7" name="Diện tích (m²)"/>
    <x:tableColumn id="8" name="Giá rao (VND)"/>
    <x:tableColumn id="9" name="Giá rao/m² (VND)"/>
    <x:tableColumn id="10" name="Cơ sở giá"/>
    <x:tableColumn id="11" name="Nguồn diện tích"/>
    <x:tableColumn id="12" name="Cờ chất lượng"/>
    <x:tableColumn id="13" name="Ngoại lệ toàn bộ"/>
    <x:tableColumn id="14" name="Ngoại lệ nhóm"/>
    <x:tableColumn id="15" name="Nhóm IQR"/>
    <x:tableColumn id="16" name="Cụm K-means"/>
    <x:tableColumn id="17" name="Giá rao (tỷ VND)"/>
    <x:tableColumn id="18" name="Giá rao/m² (triệu VND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cc7a35c4fbc4e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05519b404747d8" /></Relationships>
</file>

<file path=xl/worksheets/sheet1.xml><?xml version="1.0" encoding="utf-8"?>
<x:worksheet xmlns:x="http://schemas.openxmlformats.org/spreadsheetml/2006/main">
  <x:sheetPr>
    <x:tabColor rgb="FF214E70"/>
  </x:sheetPr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2" customHeight="1">
      <x:c r="A2" s="3" t="str">
        <x:v>Khám phá giá rao bất động sản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2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22" customHeight="1">
      <x:c r="A4" s="5" t="str">
        <x:v>Mẫu tin rao lịch sử Việt Nam. Các thống kê giá dùng những tin có giá bán và diện tích đủ điều kiện.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32" customHeight="1">
      <x:c r="A6" s="9" t="str">
        <x:v>Chỉ tiêu</x:v>
      </x:c>
      <x:c r="B6" s="9" t="str">
        <x:v>Giá trị</x:v>
      </x:c>
      <x:c r="C6" s="9" t="str">
        <x:v>Đơn vị</x:v>
      </x:c>
      <x:c r="D6" s="2"/>
      <x:c r="E6" s="16" t="str">
        <x:v>Cách đọc kết quả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2" customHeight="1">
      <x:c r="A7" s="2" t="str">
        <x:v>Tin sau xử lý</x:v>
      </x:c>
      <x:c r="B7" s="14" t="n">
        <x:f>COUNTA('Du lieu'!$B$10:$B$7010)</x:f>
        <x:v>7001</x:v>
      </x:c>
      <x:c r="C7" s="2" t="str">
        <x:v>tin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2" customHeight="1">
      <x:c r="A8" s="2" t="str">
        <x:v>Tin đủ giá</x:v>
      </x:c>
      <x:c r="B8" s="14" t="n">
        <x:f>COUNT('Du lieu'!$H$10:$H$7010)</x:f>
        <x:v>7001</x:v>
      </x:c>
      <x:c r="C8" s="2" t="str">
        <x:v>tin</x:v>
      </x:c>
      <x:c r="D8" s="2"/>
      <x:c r="E8" s="5" t="str">
        <x:v>Trung vị giảm ảnh hưởng của giá rao rất cao. Giá trung bình có thể bị ngoại lệ chi phối.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2" customHeight="1">
      <x:c r="A9" s="2" t="str">
        <x:v>Giá trung vị</x:v>
      </x:c>
      <x:c r="B9" s="15" t="n">
        <x:f>MEDIAN('Du lieu'!$Q$10:$Q$7010)</x:f>
        <x:v>2.2</x:v>
      </x:c>
      <x:c r="C9" s="2" t="str">
        <x:v>tỷ VND</x:v>
      </x:c>
      <x:c r="D9" s="2"/>
      <x:c r="E9" s="5" t="str">
        <x:v>So sánh địa phương kèm số tin. Mẫu phân bố không đều, không đại diện toàn thị trường.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2" customHeight="1">
      <x:c r="A10" s="2" t="str">
        <x:v>Giá trung bình</x:v>
      </x:c>
      <x:c r="B10" s="15" t="n">
        <x:f>AVERAGE('Du lieu'!$Q$10:$Q$7010)</x:f>
        <x:v>3.9020334036523403</x:v>
      </x:c>
      <x:c r="C10" s="2" t="str">
        <x:v>tỷ VND</x:v>
      </x:c>
      <x:c r="D10" s="2"/>
      <x:c r="E10" s="5" t="str">
        <x:v>Giá/m² = giá rao toàn bộ / diện tích lấy từ trường lõi của tin.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2" customHeight="1">
      <x:c r="A11" s="2" t="str">
        <x:v>Diện tích trung vị</x:v>
      </x:c>
      <x:c r="B11" s="15" t="n">
        <x:f>MEDIAN('Du lieu'!$G$10:$G$7010)</x:f>
        <x:v>70</x:v>
      </x:c>
      <x:c r="C11" s="2" t="str">
        <x:v>m²</x:v>
      </x:c>
      <x:c r="D11" s="2"/>
      <x:c r="E11" s="5" t="str">
        <x:v>Công thức và biểu đồ cập nhật khi sửa dữ liệu trong phạm vi hiện có. Thêm dòng mới: chạy lại quy trình.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2" customHeight="1">
      <x:c r="A12" s="2" t="str">
        <x:v>Giá/m² trung vị</x:v>
      </x:c>
      <x:c r="B12" s="15" t="n">
        <x:f>MEDIAN('Du lieu'!$R$10:$R$7010)</x:f>
        <x:v>32</x:v>
      </x:c>
      <x:c r="C12" s="2" t="str">
        <x:v>triệu VND/m²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2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2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2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2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2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2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2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2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2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2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2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22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22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22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22" customHeight="1">
      <x:c r="A49" s="5" t="str">
        <x:v>Scatter dùng 600/7001 tin chọn ngẫu nhiên, seed 42. Hai trục log10; mỗi 1 đơn vị tương ứng gấp 10 lần giá trị gốc.</x:v>
      </x:c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 ht="22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 ht="32" customHeight="1">
      <x:c r="A51" s="9" t="str">
        <x:v>Tỉnh/Thành</x:v>
      </x:c>
      <x:c r="B51" s="9" t="str">
        <x:v>Số tin</x:v>
      </x:c>
      <x:c r="C51" s="9" t="str">
        <x:v>Số tin đủ giá</x:v>
      </x:c>
      <x:c r="D51" s="9" t="str">
        <x:v>Giá TB (tỷ VND)</x:v>
      </x:c>
      <x:c r="E51" s="2"/>
      <x:c r="F51" s="2"/>
      <x:c r="G51" s="2"/>
      <x:c r="H51" s="2"/>
      <x:c r="I51" s="9" t="str">
        <x:v>Cận dưới (tỷ)</x:v>
      </x:c>
      <x:c r="J51" s="9" t="str">
        <x:v>Cận trên (tỷ)</x:v>
      </x:c>
      <x:c r="K51" s="9" t="str">
        <x:v>Nhóm giá</x:v>
      </x:c>
      <x:c r="L51" s="9" t="str">
        <x:v>Số tin</x:v>
      </x:c>
      <x:c r="M51" s="2"/>
      <x:c r="N51" s="2"/>
      <x:c r="O51" s="2"/>
    </x:row>
    <x:row r="52" ht="22" customHeight="1">
      <x:c r="A52" s="2" t="str">
        <x:v>Tp Hồ Chí Minh</x:v>
      </x:c>
      <x:c r="B52" s="12" t="n">
        <x:f>COUNTIFS('Du lieu'!$C$10:$C$7010,A52)</x:f>
        <x:v>3295</x:v>
      </x:c>
      <x:c r="C52" s="12" t="n">
        <x:f>COUNTIFS('Du lieu'!$C$10:$C$7010,A52,'Du lieu'!$H$10:$H$7010,"&gt;0")</x:f>
        <x:v>3295</x:v>
      </x:c>
      <x:c r="D52" s="18" t="n">
        <x:f>IF(C52=0,"",AVERAGEIFS('Du lieu'!$Q$10:$Q$7010,'Du lieu'!$C$10:$C$7010,A52,'Du lieu'!$H$10:$H$7010,"&gt;0"))</x:f>
        <x:v>4.6391668743547925</x:v>
      </x:c>
      <x:c r="E52" s="2"/>
      <x:c r="F52" s="2"/>
      <x:c r="G52" s="2"/>
      <x:c r="H52" s="2"/>
      <x:c r="I52" s="10" t="n">
        <x:v>0</x:v>
      </x:c>
      <x:c r="J52" s="10" t="n">
        <x:v>2</x:v>
      </x:c>
      <x:c r="K52" s="2" t="str">
        <x:v>0 đến dưới 2</x:v>
      </x:c>
      <x:c r="L52" s="12" t="n">
        <x:f>COUNTIFS('Du lieu'!$Q$10:$Q$7010,"&gt;="&amp;I52,'Du lieu'!$Q$10:$Q$7010,"&lt;"&amp;J52,'Du lieu'!$H$10:$H$7010,"&gt;0")</x:f>
        <x:v>3252</x:v>
      </x:c>
      <x:c r="M52" s="2"/>
      <x:c r="N52" s="2"/>
      <x:c r="O52" s="2"/>
    </x:row>
    <x:row r="53" ht="22" customHeight="1">
      <x:c r="A53" s="2" t="str">
        <x:v>Hà Nội</x:v>
      </x:c>
      <x:c r="B53" s="12" t="n">
        <x:f>COUNTIFS('Du lieu'!$C$10:$C$7010,A53)</x:f>
        <x:v>1028</x:v>
      </x:c>
      <x:c r="C53" s="12" t="n">
        <x:f>COUNTIFS('Du lieu'!$C$10:$C$7010,A53,'Du lieu'!$H$10:$H$7010,"&gt;0")</x:f>
        <x:v>1028</x:v>
      </x:c>
      <x:c r="D53" s="18" t="n">
        <x:f>IF(C53=0,"",AVERAGEIFS('Du lieu'!$Q$10:$Q$7010,'Du lieu'!$C$10:$C$7010,A53,'Du lieu'!$H$10:$H$7010,"&gt;0"))</x:f>
        <x:v>4.612620861867708</x:v>
      </x:c>
      <x:c r="E53" s="2"/>
      <x:c r="F53" s="2"/>
      <x:c r="G53" s="2"/>
      <x:c r="H53" s="2"/>
      <x:c r="I53" s="10" t="n">
        <x:v>2</x:v>
      </x:c>
      <x:c r="J53" s="10" t="n">
        <x:v>4</x:v>
      </x:c>
      <x:c r="K53" s="2" t="str">
        <x:v>2 đến dưới 4</x:v>
      </x:c>
      <x:c r="L53" s="12" t="n">
        <x:f>COUNTIFS('Du lieu'!$Q$10:$Q$7010,"&gt;="&amp;I53,'Du lieu'!$Q$10:$Q$7010,"&lt;"&amp;J53,'Du lieu'!$H$10:$H$7010,"&gt;0")</x:f>
        <x:v>1845</x:v>
      </x:c>
      <x:c r="M53" s="2"/>
      <x:c r="N53" s="2"/>
      <x:c r="O53" s="2"/>
    </x:row>
    <x:row r="54" ht="22" customHeight="1">
      <x:c r="A54" s="2" t="str">
        <x:v>Bình Dương</x:v>
      </x:c>
      <x:c r="B54" s="12" t="n">
        <x:f>COUNTIFS('Du lieu'!$C$10:$C$7010,A54)</x:f>
        <x:v>470</x:v>
      </x:c>
      <x:c r="C54" s="12" t="n">
        <x:f>COUNTIFS('Du lieu'!$C$10:$C$7010,A54,'Du lieu'!$H$10:$H$7010,"&gt;0")</x:f>
        <x:v>470</x:v>
      </x:c>
      <x:c r="D54" s="18" t="n">
        <x:f>IF(C54=0,"",AVERAGEIFS('Du lieu'!$Q$10:$Q$7010,'Du lieu'!$C$10:$C$7010,A54,'Du lieu'!$H$10:$H$7010,"&gt;0"))</x:f>
        <x:v>2.3164872340425546</x:v>
      </x:c>
      <x:c r="E54" s="2"/>
      <x:c r="F54" s="2"/>
      <x:c r="G54" s="2"/>
      <x:c r="H54" s="2"/>
      <x:c r="I54" s="10" t="n">
        <x:v>4</x:v>
      </x:c>
      <x:c r="J54" s="10" t="n">
        <x:v>6</x:v>
      </x:c>
      <x:c r="K54" s="2" t="str">
        <x:v>4 đến dưới 6</x:v>
      </x:c>
      <x:c r="L54" s="12" t="n">
        <x:f>COUNTIFS('Du lieu'!$Q$10:$Q$7010,"&gt;="&amp;I54,'Du lieu'!$Q$10:$Q$7010,"&lt;"&amp;J54,'Du lieu'!$H$10:$H$7010,"&gt;0")</x:f>
        <x:v>897</x:v>
      </x:c>
      <x:c r="M54" s="2"/>
      <x:c r="N54" s="2"/>
      <x:c r="O54" s="2"/>
    </x:row>
    <x:row r="55" ht="22" customHeight="1">
      <x:c r="A55" s="2" t="str">
        <x:v>Đà Nẵng</x:v>
      </x:c>
      <x:c r="B55" s="12" t="n">
        <x:f>COUNTIFS('Du lieu'!$C$10:$C$7010,A55)</x:f>
        <x:v>459</x:v>
      </x:c>
      <x:c r="C55" s="12" t="n">
        <x:f>COUNTIFS('Du lieu'!$C$10:$C$7010,A55,'Du lieu'!$H$10:$H$7010,"&gt;0")</x:f>
        <x:v>459</x:v>
      </x:c>
      <x:c r="D55" s="18" t="n">
        <x:f>IF(C55=0,"",AVERAGEIFS('Du lieu'!$Q$10:$Q$7010,'Du lieu'!$C$10:$C$7010,A55,'Du lieu'!$H$10:$H$7010,"&gt;0"))</x:f>
        <x:v>4.762661693010892</x:v>
      </x:c>
      <x:c r="E55" s="2"/>
      <x:c r="F55" s="2"/>
      <x:c r="G55" s="2"/>
      <x:c r="H55" s="2"/>
      <x:c r="I55" s="10" t="n">
        <x:v>6</x:v>
      </x:c>
      <x:c r="J55" s="10" t="n">
        <x:v>8</x:v>
      </x:c>
      <x:c r="K55" s="2" t="str">
        <x:v>6 đến dưới 8</x:v>
      </x:c>
      <x:c r="L55" s="12" t="n">
        <x:f>COUNTIFS('Du lieu'!$Q$10:$Q$7010,"&gt;="&amp;I55,'Du lieu'!$Q$10:$Q$7010,"&lt;"&amp;J55,'Du lieu'!$H$10:$H$7010,"&gt;0")</x:f>
        <x:v>429</x:v>
      </x:c>
      <x:c r="M55" s="2"/>
      <x:c r="N55" s="2"/>
      <x:c r="O55" s="2"/>
    </x:row>
    <x:row r="56" ht="22" customHeight="1">
      <x:c r="A56" s="2" t="str">
        <x:v>Đồng Nai</x:v>
      </x:c>
      <x:c r="B56" s="12" t="n">
        <x:f>COUNTIFS('Du lieu'!$C$10:$C$7010,A56)</x:f>
        <x:v>255</x:v>
      </x:c>
      <x:c r="C56" s="12" t="n">
        <x:f>COUNTIFS('Du lieu'!$C$10:$C$7010,A56,'Du lieu'!$H$10:$H$7010,"&gt;0")</x:f>
        <x:v>255</x:v>
      </x:c>
      <x:c r="D56" s="18" t="n">
        <x:f>IF(C56=0,"",AVERAGEIFS('Du lieu'!$Q$10:$Q$7010,'Du lieu'!$C$10:$C$7010,A56,'Du lieu'!$H$10:$H$7010,"&gt;0"))</x:f>
        <x:v>2.1992333333333343</x:v>
      </x:c>
      <x:c r="E56" s="2"/>
      <x:c r="F56" s="2"/>
      <x:c r="G56" s="2"/>
      <x:c r="H56" s="2"/>
      <x:c r="I56" s="10" t="n">
        <x:v>8</x:v>
      </x:c>
      <x:c r="J56" s="10" t="n">
        <x:v>10</x:v>
      </x:c>
      <x:c r="K56" s="2" t="str">
        <x:v>8 đến dưới 10</x:v>
      </x:c>
      <x:c r="L56" s="12" t="n">
        <x:f>COUNTIFS('Du lieu'!$Q$10:$Q$7010,"&gt;="&amp;I56,'Du lieu'!$Q$10:$Q$7010,"&lt;"&amp;J56,'Du lieu'!$H$10:$H$7010,"&gt;0")</x:f>
        <x:v>166</x:v>
      </x:c>
      <x:c r="M56" s="2"/>
      <x:c r="N56" s="2"/>
      <x:c r="O56" s="2"/>
    </x:row>
    <x:row r="57" ht="22" customHeight="1">
      <x:c r="A57" s="2" t="str">
        <x:v>Long An</x:v>
      </x:c>
      <x:c r="B57" s="12" t="n">
        <x:f>COUNTIFS('Du lieu'!$C$10:$C$7010,A57)</x:f>
        <x:v>242</x:v>
      </x:c>
      <x:c r="C57" s="12" t="n">
        <x:f>COUNTIFS('Du lieu'!$C$10:$C$7010,A57,'Du lieu'!$H$10:$H$7010,"&gt;0")</x:f>
        <x:v>242</x:v>
      </x:c>
      <x:c r="D57" s="18" t="n">
        <x:f>IF(C57=0,"",AVERAGEIFS('Du lieu'!$Q$10:$Q$7010,'Du lieu'!$C$10:$C$7010,A57,'Du lieu'!$H$10:$H$7010,"&gt;0"))</x:f>
        <x:v>1.475181818181818</x:v>
      </x:c>
      <x:c r="E57" s="2"/>
      <x:c r="F57" s="2"/>
      <x:c r="G57" s="2"/>
      <x:c r="H57" s="2"/>
      <x:c r="I57" s="10" t="n">
        <x:v>10</x:v>
      </x:c>
      <x:c r="J57" s="10" t="n">
        <x:v>12</x:v>
      </x:c>
      <x:c r="K57" s="2" t="str">
        <x:v>10 đến dưới 12</x:v>
      </x:c>
      <x:c r="L57" s="12" t="n">
        <x:f>COUNTIFS('Du lieu'!$Q$10:$Q$7010,"&gt;="&amp;I57,'Du lieu'!$Q$10:$Q$7010,"&lt;"&amp;J57,'Du lieu'!$H$10:$H$7010,"&gt;0")</x:f>
        <x:v>87</x:v>
      </x:c>
      <x:c r="M57" s="2"/>
      <x:c r="N57" s="2"/>
      <x:c r="O57" s="2"/>
    </x:row>
    <x:row r="58" ht="22" customHeight="1">
      <x:c r="A58" s="2" t="str">
        <x:v>Cần Thơ</x:v>
      </x:c>
      <x:c r="B58" s="12" t="n">
        <x:f>COUNTIFS('Du lieu'!$C$10:$C$7010,A58)</x:f>
        <x:v>225</x:v>
      </x:c>
      <x:c r="C58" s="12" t="n">
        <x:f>COUNTIFS('Du lieu'!$C$10:$C$7010,A58,'Du lieu'!$H$10:$H$7010,"&gt;0")</x:f>
        <x:v>225</x:v>
      </x:c>
      <x:c r="D58" s="18" t="n">
        <x:f>IF(C58=0,"",AVERAGEIFS('Du lieu'!$Q$10:$Q$7010,'Du lieu'!$C$10:$C$7010,A58,'Du lieu'!$H$10:$H$7010,"&gt;0"))</x:f>
        <x:v>2.97706888888889</x:v>
      </x:c>
      <x:c r="E58" s="2"/>
      <x:c r="F58" s="2"/>
      <x:c r="G58" s="2"/>
      <x:c r="H58" s="2"/>
      <x:c r="I58" s="10" t="n">
        <x:v>12</x:v>
      </x:c>
      <x:c r="J58" s="10" t="n">
        <x:v>14</x:v>
      </x:c>
      <x:c r="K58" s="2" t="str">
        <x:v>12 đến dưới 14</x:v>
      </x:c>
      <x:c r="L58" s="12" t="n">
        <x:f>COUNTIFS('Du lieu'!$Q$10:$Q$7010,"&gt;="&amp;I58,'Du lieu'!$Q$10:$Q$7010,"&lt;"&amp;J58,'Du lieu'!$H$10:$H$7010,"&gt;0")</x:f>
        <x:v>68</x:v>
      </x:c>
      <x:c r="M58" s="2"/>
      <x:c r="N58" s="2"/>
      <x:c r="O58" s="2"/>
    </x:row>
    <x:row r="59" ht="22" customHeight="1">
      <x:c r="A59" s="2" t="str">
        <x:v>Đắk Lắk</x:v>
      </x:c>
      <x:c r="B59" s="12" t="n">
        <x:f>COUNTIFS('Du lieu'!$C$10:$C$7010,A59)</x:f>
        <x:v>130</x:v>
      </x:c>
      <x:c r="C59" s="12" t="n">
        <x:f>COUNTIFS('Du lieu'!$C$10:$C$7010,A59,'Du lieu'!$H$10:$H$7010,"&gt;0")</x:f>
        <x:v>130</x:v>
      </x:c>
      <x:c r="D59" s="18" t="n">
        <x:f>IF(C59=0,"",AVERAGEIFS('Du lieu'!$Q$10:$Q$7010,'Du lieu'!$C$10:$C$7010,A59,'Du lieu'!$H$10:$H$7010,"&gt;0"))</x:f>
        <x:v>1.761411538461538</x:v>
      </x:c>
      <x:c r="E59" s="2"/>
      <x:c r="F59" s="2"/>
      <x:c r="G59" s="2"/>
      <x:c r="H59" s="2"/>
      <x:c r="I59" s="10" t="n">
        <x:v>14</x:v>
      </x:c>
      <x:c r="J59" s="10" t="n">
        <x:v>16</x:v>
      </x:c>
      <x:c r="K59" s="2" t="str">
        <x:v>14 đến dưới 16</x:v>
      </x:c>
      <x:c r="L59" s="12" t="n">
        <x:f>COUNTIFS('Du lieu'!$Q$10:$Q$7010,"&gt;="&amp;I59,'Du lieu'!$Q$10:$Q$7010,"&lt;"&amp;J59,'Du lieu'!$H$10:$H$7010,"&gt;0")</x:f>
        <x:v>64</x:v>
      </x:c>
      <x:c r="M59" s="2"/>
      <x:c r="N59" s="2"/>
      <x:c r="O59" s="2"/>
    </x:row>
    <x:row r="60" ht="22" customHeight="1">
      <x:c r="A60" s="2" t="str">
        <x:v>Lâm Đồng</x:v>
      </x:c>
      <x:c r="B60" s="12" t="n">
        <x:f>COUNTIFS('Du lieu'!$C$10:$C$7010,A60)</x:f>
        <x:v>109</x:v>
      </x:c>
      <x:c r="C60" s="12" t="n">
        <x:f>COUNTIFS('Du lieu'!$C$10:$C$7010,A60,'Du lieu'!$H$10:$H$7010,"&gt;0")</x:f>
        <x:v>109</x:v>
      </x:c>
      <x:c r="D60" s="18" t="n">
        <x:f>IF(C60=0,"",AVERAGEIFS('Du lieu'!$Q$10:$Q$7010,'Du lieu'!$C$10:$C$7010,A60,'Du lieu'!$H$10:$H$7010,"&gt;0"))</x:f>
        <x:v>2.9662018348623858</x:v>
      </x:c>
      <x:c r="E60" s="2"/>
      <x:c r="F60" s="2"/>
      <x:c r="G60" s="2"/>
      <x:c r="H60" s="2"/>
      <x:c r="I60" s="10" t="n">
        <x:v>16</x:v>
      </x:c>
      <x:c r="J60" s="10" t="n">
        <x:v>18</x:v>
      </x:c>
      <x:c r="K60" s="2" t="str">
        <x:v>16 đến dưới 18</x:v>
      </x:c>
      <x:c r="L60" s="12" t="n">
        <x:f>COUNTIFS('Du lieu'!$Q$10:$Q$7010,"&gt;="&amp;I60,'Du lieu'!$Q$10:$Q$7010,"&lt;"&amp;J60,'Du lieu'!$H$10:$H$7010,"&gt;0")</x:f>
        <x:v>32</x:v>
      </x:c>
      <x:c r="M60" s="2"/>
      <x:c r="N60" s="2"/>
      <x:c r="O60" s="2"/>
    </x:row>
    <x:row r="61" ht="22" customHeight="1">
      <x:c r="A61" s="2" t="str">
        <x:v>Bà Rịa - Vũng Tàu</x:v>
      </x:c>
      <x:c r="B61" s="12" t="n">
        <x:f>COUNTIFS('Du lieu'!$C$10:$C$7010,A61)</x:f>
        <x:v>77</x:v>
      </x:c>
      <x:c r="C61" s="12" t="n">
        <x:f>COUNTIFS('Du lieu'!$C$10:$C$7010,A61,'Du lieu'!$H$10:$H$7010,"&gt;0")</x:f>
        <x:v>77</x:v>
      </x:c>
      <x:c r="D61" s="18" t="n">
        <x:f>IF(C61=0,"",AVERAGEIFS('Du lieu'!$Q$10:$Q$7010,'Du lieu'!$C$10:$C$7010,A61,'Du lieu'!$H$10:$H$7010,"&gt;0"))</x:f>
        <x:v>2.347592207792208</x:v>
      </x:c>
      <x:c r="E61" s="2"/>
      <x:c r="F61" s="2"/>
      <x:c r="G61" s="2"/>
      <x:c r="H61" s="2"/>
      <x:c r="I61" s="10" t="n">
        <x:v>18</x:v>
      </x:c>
      <x:c r="J61" s="10" t="n">
        <x:v>20</x:v>
      </x:c>
      <x:c r="K61" s="2" t="str">
        <x:v>18 đến dưới 20</x:v>
      </x:c>
      <x:c r="L61" s="12" t="n">
        <x:f>COUNTIFS('Du lieu'!$Q$10:$Q$7010,"&gt;="&amp;I61,'Du lieu'!$Q$10:$Q$7010,"&lt;"&amp;J61,'Du lieu'!$H$10:$H$7010,"&gt;0")</x:f>
        <x:v>24</x:v>
      </x:c>
      <x:c r="M61" s="2"/>
      <x:c r="N61" s="2"/>
      <x:c r="O61" s="2"/>
    </x:row>
    <x:row r="62" ht="22" customHeight="1">
      <x:c r="A62" s="2" t="str">
        <x:v>Khánh Hòa</x:v>
      </x:c>
      <x:c r="B62" s="12" t="n">
        <x:f>COUNTIFS('Du lieu'!$C$10:$C$7010,A62)</x:f>
        <x:v>71</x:v>
      </x:c>
      <x:c r="C62" s="12" t="n">
        <x:f>COUNTIFS('Du lieu'!$C$10:$C$7010,A62,'Du lieu'!$H$10:$H$7010,"&gt;0")</x:f>
        <x:v>71</x:v>
      </x:c>
      <x:c r="D62" s="18" t="n">
        <x:f>IF(C62=0,"",AVERAGEIFS('Du lieu'!$Q$10:$Q$7010,'Du lieu'!$C$10:$C$7010,A62,'Du lieu'!$H$10:$H$7010,"&gt;0"))</x:f>
        <x:v>2.254063380281692</x:v>
      </x:c>
      <x:c r="E62" s="2"/>
      <x:c r="F62" s="2"/>
      <x:c r="G62" s="2"/>
      <x:c r="H62" s="2"/>
      <x:c r="I62" s="10" t="n">
        <x:v>20</x:v>
      </x:c>
      <x:c r="J62" s="10"/>
      <x:c r="K62" s="2" t="str">
        <x:v>Từ 20 trở lên</x:v>
      </x:c>
      <x:c r="L62" s="12" t="n">
        <x:f>COUNTIFS('Du lieu'!$Q$10:$Q$7010,"&gt;="&amp;I62,'Du lieu'!$H$10:$H$7010,"&gt;0")</x:f>
        <x:v>137</x:v>
      </x:c>
      <x:c r="M62" s="2"/>
      <x:c r="N62" s="2"/>
      <x:c r="O62" s="2"/>
    </x:row>
    <x:row r="63" ht="22" customHeight="1">
      <x:c r="A63" s="2" t="str">
        <x:v>Bình Phước</x:v>
      </x:c>
      <x:c r="B63" s="12" t="n">
        <x:f>COUNTIFS('Du lieu'!$C$10:$C$7010,A63)</x:f>
        <x:v>56</x:v>
      </x:c>
      <x:c r="C63" s="12" t="n">
        <x:f>COUNTIFS('Du lieu'!$C$10:$C$7010,A63,'Du lieu'!$H$10:$H$7010,"&gt;0")</x:f>
        <x:v>56</x:v>
      </x:c>
      <x:c r="D63" s="18" t="n">
        <x:f>IF(C63=0,"",AVERAGEIFS('Du lieu'!$Q$10:$Q$7010,'Du lieu'!$C$10:$C$7010,A63,'Du lieu'!$H$10:$H$7010,"&gt;0"))</x:f>
        <x:v>0.5449107142857142</x:v>
      </x:c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 ht="22" customHeight="1">
      <x:c r="A64" s="2" t="str">
        <x:v>Sóc Trăng</x:v>
      </x:c>
      <x:c r="B64" s="12" t="n">
        <x:f>COUNTIFS('Du lieu'!$C$10:$C$7010,A64)</x:f>
        <x:v>48</x:v>
      </x:c>
      <x:c r="C64" s="12" t="n">
        <x:f>COUNTIFS('Du lieu'!$C$10:$C$7010,A64,'Du lieu'!$H$10:$H$7010,"&gt;0")</x:f>
        <x:v>48</x:v>
      </x:c>
      <x:c r="D64" s="18" t="n">
        <x:f>IF(C64=0,"",AVERAGEIFS('Du lieu'!$Q$10:$Q$7010,'Du lieu'!$C$10:$C$7010,A64,'Du lieu'!$H$10:$H$7010,"&gt;0"))</x:f>
        <x:v>2.4042825416666664</x:v>
      </x:c>
      <x:c r="E64" s="2"/>
      <x:c r="F64" s="2"/>
      <x:c r="G64" s="2"/>
      <x:c r="H64" s="2"/>
      <x:c r="I64" s="5" t="str">
        <x:v>Mười nhóm đầu rộng 2 tỷ VND. Nhóm cuối gộp toàn bộ giá từ 20 tỷ trở lên.</x:v>
      </x:c>
      <x:c r="J64" s="2"/>
      <x:c r="K64" s="2"/>
      <x:c r="L64" s="2"/>
      <x:c r="M64" s="2"/>
      <x:c r="N64" s="2"/>
      <x:c r="O64" s="2"/>
    </x:row>
    <x:row r="65" ht="22" customHeight="1">
      <x:c r="A65" s="2" t="str">
        <x:v>Hải Phòng</x:v>
      </x:c>
      <x:c r="B65" s="12" t="n">
        <x:f>COUNTIFS('Du lieu'!$C$10:$C$7010,A65)</x:f>
        <x:v>44</x:v>
      </x:c>
      <x:c r="C65" s="12" t="n">
        <x:f>COUNTIFS('Du lieu'!$C$10:$C$7010,A65,'Du lieu'!$H$10:$H$7010,"&gt;0")</x:f>
        <x:v>44</x:v>
      </x:c>
      <x:c r="D65" s="18" t="n">
        <x:f>IF(C65=0,"",AVERAGEIFS('Du lieu'!$Q$10:$Q$7010,'Du lieu'!$C$10:$C$7010,A65,'Du lieu'!$H$10:$H$7010,"&gt;0"))</x:f>
        <x:v>1.9916363636363634</x:v>
      </x:c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 ht="22" customHeight="1">
      <x:c r="A66" s="2" t="str">
        <x:v>Bến Tre</x:v>
      </x:c>
      <x:c r="B66" s="12" t="n">
        <x:f>COUNTIFS('Du lieu'!$C$10:$C$7010,A66)</x:f>
        <x:v>43</x:v>
      </x:c>
      <x:c r="C66" s="12" t="n">
        <x:f>COUNTIFS('Du lieu'!$C$10:$C$7010,A66,'Du lieu'!$H$10:$H$7010,"&gt;0")</x:f>
        <x:v>43</x:v>
      </x:c>
      <x:c r="D66" s="18" t="n">
        <x:f>IF(C66=0,"",AVERAGEIFS('Du lieu'!$Q$10:$Q$7010,'Du lieu'!$C$10:$C$7010,A66,'Du lieu'!$H$10:$H$7010,"&gt;0"))</x:f>
        <x:v>1.858418604651163</x:v>
      </x:c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 ht="22" customHeight="1">
      <x:c r="A67" s="2" t="str">
        <x:v>Thừa Thiên Huế</x:v>
      </x:c>
      <x:c r="B67" s="12" t="n">
        <x:f>COUNTIFS('Du lieu'!$C$10:$C$7010,A67)</x:f>
        <x:v>40</x:v>
      </x:c>
      <x:c r="C67" s="12" t="n">
        <x:f>COUNTIFS('Du lieu'!$C$10:$C$7010,A67,'Du lieu'!$H$10:$H$7010,"&gt;0")</x:f>
        <x:v>40</x:v>
      </x:c>
      <x:c r="D67" s="18" t="n">
        <x:f>IF(C67=0,"",AVERAGEIFS('Du lieu'!$Q$10:$Q$7010,'Du lieu'!$C$10:$C$7010,A67,'Du lieu'!$H$10:$H$7010,"&gt;0"))</x:f>
        <x:v>2.302202197</x:v>
      </x:c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 ht="22" customHeight="1">
      <x:c r="A68" s="2" t="str">
        <x:v>Bình Thuận</x:v>
      </x:c>
      <x:c r="B68" s="12" t="n">
        <x:f>COUNTIFS('Du lieu'!$C$10:$C$7010,A68)</x:f>
        <x:v>39</x:v>
      </x:c>
      <x:c r="C68" s="12" t="n">
        <x:f>COUNTIFS('Du lieu'!$C$10:$C$7010,A68,'Du lieu'!$H$10:$H$7010,"&gt;0")</x:f>
        <x:v>39</x:v>
      </x:c>
      <x:c r="D68" s="18" t="n">
        <x:f>IF(C68=0,"",AVERAGEIFS('Du lieu'!$Q$10:$Q$7010,'Du lieu'!$C$10:$C$7010,A68,'Du lieu'!$H$10:$H$7010,"&gt;0"))</x:f>
        <x:v>3.58275641025641</x:v>
      </x:c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 ht="22" customHeight="1">
      <x:c r="A69" s="2" t="str">
        <x:v>Vĩnh Long</x:v>
      </x:c>
      <x:c r="B69" s="12" t="n">
        <x:f>COUNTIFS('Du lieu'!$C$10:$C$7010,A69)</x:f>
        <x:v>38</x:v>
      </x:c>
      <x:c r="C69" s="12" t="n">
        <x:f>COUNTIFS('Du lieu'!$C$10:$C$7010,A69,'Du lieu'!$H$10:$H$7010,"&gt;0")</x:f>
        <x:v>38</x:v>
      </x:c>
      <x:c r="D69" s="18" t="n">
        <x:f>IF(C69=0,"",AVERAGEIFS('Du lieu'!$Q$10:$Q$7010,'Du lieu'!$C$10:$C$7010,A69,'Du lieu'!$H$10:$H$7010,"&gt;0"))</x:f>
        <x:v>1.4856578947368424</x:v>
      </x:c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 ht="22" customHeight="1">
      <x:c r="A70" s="2" t="str">
        <x:v>Tiền Giang</x:v>
      </x:c>
      <x:c r="B70" s="12" t="n">
        <x:f>COUNTIFS('Du lieu'!$C$10:$C$7010,A70)</x:f>
        <x:v>33</x:v>
      </x:c>
      <x:c r="C70" s="12" t="n">
        <x:f>COUNTIFS('Du lieu'!$C$10:$C$7010,A70,'Du lieu'!$H$10:$H$7010,"&gt;0")</x:f>
        <x:v>33</x:v>
      </x:c>
      <x:c r="D70" s="18" t="n">
        <x:f>IF(C70=0,"",AVERAGEIFS('Du lieu'!$Q$10:$Q$7010,'Du lieu'!$C$10:$C$7010,A70,'Du lieu'!$H$10:$H$7010,"&gt;0"))</x:f>
        <x:v>1.7039833333333332</x:v>
      </x:c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22" customHeight="1">
      <x:c r="A71" s="2" t="str">
        <x:v>Quảng Nam</x:v>
      </x:c>
      <x:c r="B71" s="12" t="n">
        <x:f>COUNTIFS('Du lieu'!$C$10:$C$7010,A71)</x:f>
        <x:v>30</x:v>
      </x:c>
      <x:c r="C71" s="12" t="n">
        <x:f>COUNTIFS('Du lieu'!$C$10:$C$7010,A71,'Du lieu'!$H$10:$H$7010,"&gt;0")</x:f>
        <x:v>30</x:v>
      </x:c>
      <x:c r="D71" s="18" t="n">
        <x:f>IF(C71=0,"",AVERAGEIFS('Du lieu'!$Q$10:$Q$7010,'Du lieu'!$C$10:$C$7010,A71,'Du lieu'!$H$10:$H$7010,"&gt;0"))</x:f>
        <x:v>3.425975433333333</x:v>
      </x:c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22" customHeight="1">
      <x:c r="A72" s="2" t="str">
        <x:v>Chưa xác định</x:v>
      </x:c>
      <x:c r="B72" s="12" t="n">
        <x:f>COUNTIFS('Du lieu'!$C$10:$C$7010,A72)</x:f>
        <x:v>29</x:v>
      </x:c>
      <x:c r="C72" s="12" t="n">
        <x:f>COUNTIFS('Du lieu'!$C$10:$C$7010,A72,'Du lieu'!$H$10:$H$7010,"&gt;0")</x:f>
        <x:v>29</x:v>
      </x:c>
      <x:c r="D72" s="18" t="n">
        <x:f>IF(C72=0,"",AVERAGEIFS('Du lieu'!$Q$10:$Q$7010,'Du lieu'!$C$10:$C$7010,A72,'Du lieu'!$H$10:$H$7010,"&gt;0"))</x:f>
        <x:v>5.244379310344825</x:v>
      </x:c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22" customHeight="1">
      <x:c r="A73" s="2" t="str">
        <x:v>Kiên Giang</x:v>
      </x:c>
      <x:c r="B73" s="12" t="n">
        <x:f>COUNTIFS('Du lieu'!$C$10:$C$7010,A73)</x:f>
        <x:v>29</x:v>
      </x:c>
      <x:c r="C73" s="12" t="n">
        <x:f>COUNTIFS('Du lieu'!$C$10:$C$7010,A73,'Du lieu'!$H$10:$H$7010,"&gt;0")</x:f>
        <x:v>29</x:v>
      </x:c>
      <x:c r="D73" s="18" t="n">
        <x:f>IF(C73=0,"",AVERAGEIFS('Du lieu'!$Q$10:$Q$7010,'Du lieu'!$C$10:$C$7010,A73,'Du lieu'!$H$10:$H$7010,"&gt;0"))</x:f>
        <x:v>2.4182758620344824</x:v>
      </x:c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 ht="22" customHeight="1">
      <x:c r="A74" s="2" t="str">
        <x:v>Hậu Giang</x:v>
      </x:c>
      <x:c r="B74" s="12" t="n">
        <x:f>COUNTIFS('Du lieu'!$C$10:$C$7010,A74)</x:f>
        <x:v>28</x:v>
      </x:c>
      <x:c r="C74" s="12" t="n">
        <x:f>COUNTIFS('Du lieu'!$C$10:$C$7010,A74,'Du lieu'!$H$10:$H$7010,"&gt;0")</x:f>
        <x:v>28</x:v>
      </x:c>
      <x:c r="D74" s="18" t="n">
        <x:f>IF(C74=0,"",AVERAGEIFS('Du lieu'!$Q$10:$Q$7010,'Du lieu'!$C$10:$C$7010,A74,'Du lieu'!$H$10:$H$7010,"&gt;0"))</x:f>
        <x:v>0.8653571428571427</x:v>
      </x:c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 ht="22" customHeight="1">
      <x:c r="A75" s="2" t="str">
        <x:v>Tây Ninh</x:v>
      </x:c>
      <x:c r="B75" s="12" t="n">
        <x:f>COUNTIFS('Du lieu'!$C$10:$C$7010,A75)</x:f>
        <x:v>26</x:v>
      </x:c>
      <x:c r="C75" s="12" t="n">
        <x:f>COUNTIFS('Du lieu'!$C$10:$C$7010,A75,'Du lieu'!$H$10:$H$7010,"&gt;0")</x:f>
        <x:v>26</x:v>
      </x:c>
      <x:c r="D75" s="18" t="n">
        <x:f>IF(C75=0,"",AVERAGEIFS('Du lieu'!$Q$10:$Q$7010,'Du lieu'!$C$10:$C$7010,A75,'Du lieu'!$H$10:$H$7010,"&gt;0"))</x:f>
        <x:v>0.8313846153846154</x:v>
      </x:c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 ht="22" customHeight="1">
      <x:c r="A76" s="2" t="str">
        <x:v>Cà Mau</x:v>
      </x:c>
      <x:c r="B76" s="12" t="n">
        <x:f>COUNTIFS('Du lieu'!$C$10:$C$7010,A76)</x:f>
        <x:v>23</x:v>
      </x:c>
      <x:c r="C76" s="12" t="n">
        <x:f>COUNTIFS('Du lieu'!$C$10:$C$7010,A76,'Du lieu'!$H$10:$H$7010,"&gt;0")</x:f>
        <x:v>23</x:v>
      </x:c>
      <x:c r="D76" s="18" t="n">
        <x:f>IF(C76=0,"",AVERAGEIFS('Du lieu'!$Q$10:$Q$7010,'Du lieu'!$C$10:$C$7010,A76,'Du lieu'!$H$10:$H$7010,"&gt;0"))</x:f>
        <x:v>1.5493478260869566</x:v>
      </x:c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 ht="22" customHeight="1">
      <x:c r="A77" s="2" t="str">
        <x:v>An Giang</x:v>
      </x:c>
      <x:c r="B77" s="12" t="n">
        <x:f>COUNTIFS('Du lieu'!$C$10:$C$7010,A77)</x:f>
        <x:v>23</x:v>
      </x:c>
      <x:c r="C77" s="12" t="n">
        <x:f>COUNTIFS('Du lieu'!$C$10:$C$7010,A77,'Du lieu'!$H$10:$H$7010,"&gt;0")</x:f>
        <x:v>23</x:v>
      </x:c>
      <x:c r="D77" s="18" t="n">
        <x:f>IF(C77=0,"",AVERAGEIFS('Du lieu'!$Q$10:$Q$7010,'Du lieu'!$C$10:$C$7010,A77,'Du lieu'!$H$10:$H$7010,"&gt;0"))</x:f>
        <x:v>1.2841739130434782</x:v>
      </x:c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 ht="22" customHeight="1">
      <x:c r="A78" s="2" t="str">
        <x:v>Nghệ An</x:v>
      </x:c>
      <x:c r="B78" s="12" t="n">
        <x:f>COUNTIFS('Du lieu'!$C$10:$C$7010,A78)</x:f>
        <x:v>11</x:v>
      </x:c>
      <x:c r="C78" s="12" t="n">
        <x:f>COUNTIFS('Du lieu'!$C$10:$C$7010,A78,'Du lieu'!$H$10:$H$7010,"&gt;0")</x:f>
        <x:v>11</x:v>
      </x:c>
      <x:c r="D78" s="18" t="n">
        <x:f>IF(C78=0,"",AVERAGEIFS('Du lieu'!$Q$10:$Q$7010,'Du lieu'!$C$10:$C$7010,A78,'Du lieu'!$H$10:$H$7010,"&gt;0"))</x:f>
        <x:v>6.9985454545454555</x:v>
      </x:c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 ht="22" customHeight="1">
      <x:c r="A79" s="2" t="str">
        <x:v>Trà Vinh</x:v>
      </x:c>
      <x:c r="B79" s="12" t="n">
        <x:f>COUNTIFS('Du lieu'!$C$10:$C$7010,A79)</x:f>
        <x:v>10</x:v>
      </x:c>
      <x:c r="C79" s="12" t="n">
        <x:f>COUNTIFS('Du lieu'!$C$10:$C$7010,A79,'Du lieu'!$H$10:$H$7010,"&gt;0")</x:f>
        <x:v>10</x:v>
      </x:c>
      <x:c r="D79" s="18" t="n">
        <x:f>IF(C79=0,"",AVERAGEIFS('Du lieu'!$Q$10:$Q$7010,'Du lieu'!$C$10:$C$7010,A79,'Du lieu'!$H$10:$H$7010,"&gt;0"))</x:f>
        <x:v>1.8923</x:v>
      </x:c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 ht="22" customHeight="1">
      <x:c r="A80" s="2" t="str">
        <x:v>Đắk Nông</x:v>
      </x:c>
      <x:c r="B80" s="12" t="n">
        <x:f>COUNTIFS('Du lieu'!$C$10:$C$7010,A80)</x:f>
        <x:v>9</x:v>
      </x:c>
      <x:c r="C80" s="12" t="n">
        <x:f>COUNTIFS('Du lieu'!$C$10:$C$7010,A80,'Du lieu'!$H$10:$H$7010,"&gt;0")</x:f>
        <x:v>9</x:v>
      </x:c>
      <x:c r="D80" s="18" t="n">
        <x:f>IF(C80=0,"",AVERAGEIFS('Du lieu'!$Q$10:$Q$7010,'Du lieu'!$C$10:$C$7010,A80,'Du lieu'!$H$10:$H$7010,"&gt;0"))</x:f>
        <x:v>2.8844444444444446</x:v>
      </x:c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  <x:row r="81" ht="22" customHeight="1">
      <x:c r="A81" s="2" t="str">
        <x:v>Gia Lai</x:v>
      </x:c>
      <x:c r="B81" s="12" t="n">
        <x:f>COUNTIFS('Du lieu'!$C$10:$C$7010,A81)</x:f>
        <x:v>9</x:v>
      </x:c>
      <x:c r="C81" s="12" t="n">
        <x:f>COUNTIFS('Du lieu'!$C$10:$C$7010,A81,'Du lieu'!$H$10:$H$7010,"&gt;0")</x:f>
        <x:v>9</x:v>
      </x:c>
      <x:c r="D81" s="18" t="n">
        <x:f>IF(C81=0,"",AVERAGEIFS('Du lieu'!$Q$10:$Q$7010,'Du lieu'!$C$10:$C$7010,A81,'Du lieu'!$H$10:$H$7010,"&gt;0"))</x:f>
        <x:v>5.371888888888889</x:v>
      </x:c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</x:row>
    <x:row r="82" ht="22" customHeight="1">
      <x:c r="A82" s="2" t="str">
        <x:v>Bình Định</x:v>
      </x:c>
      <x:c r="B82" s="12" t="n">
        <x:f>COUNTIFS('Du lieu'!$C$10:$C$7010,A82)</x:f>
        <x:v>8</x:v>
      </x:c>
      <x:c r="C82" s="12" t="n">
        <x:f>COUNTIFS('Du lieu'!$C$10:$C$7010,A82,'Du lieu'!$H$10:$H$7010,"&gt;0")</x:f>
        <x:v>8</x:v>
      </x:c>
      <x:c r="D82" s="18" t="n">
        <x:f>IF(C82=0,"",AVERAGEIFS('Du lieu'!$Q$10:$Q$7010,'Du lieu'!$C$10:$C$7010,A82,'Du lieu'!$H$10:$H$7010,"&gt;0"))</x:f>
        <x:v>5.13</x:v>
      </x:c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</x:row>
    <x:row r="83" ht="22" customHeight="1">
      <x:c r="A83" s="2" t="str">
        <x:v>Thanh Hóa</x:v>
      </x:c>
      <x:c r="B83" s="12" t="n">
        <x:f>COUNTIFS('Du lieu'!$C$10:$C$7010,A83)</x:f>
        <x:v>8</x:v>
      </x:c>
      <x:c r="C83" s="12" t="n">
        <x:f>COUNTIFS('Du lieu'!$C$10:$C$7010,A83,'Du lieu'!$H$10:$H$7010,"&gt;0")</x:f>
        <x:v>8</x:v>
      </x:c>
      <x:c r="D83" s="18" t="n">
        <x:f>IF(C83=0,"",AVERAGEIFS('Du lieu'!$Q$10:$Q$7010,'Du lieu'!$C$10:$C$7010,A83,'Du lieu'!$H$10:$H$7010,"&gt;0"))</x:f>
        <x:v>2.11719775</x:v>
      </x:c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</x:row>
    <x:row r="84" ht="22" customHeight="1">
      <x:c r="A84" s="2" t="str">
        <x:v>Đồng Tháp</x:v>
      </x:c>
      <x:c r="B84" s="12" t="n">
        <x:f>COUNTIFS('Du lieu'!$C$10:$C$7010,A84)</x:f>
        <x:v>6</x:v>
      </x:c>
      <x:c r="C84" s="12" t="n">
        <x:f>COUNTIFS('Du lieu'!$C$10:$C$7010,A84,'Du lieu'!$H$10:$H$7010,"&gt;0")</x:f>
        <x:v>6</x:v>
      </x:c>
      <x:c r="D84" s="18" t="n">
        <x:f>IF(C84=0,"",AVERAGEIFS('Du lieu'!$Q$10:$Q$7010,'Du lieu'!$C$10:$C$7010,A84,'Du lieu'!$H$10:$H$7010,"&gt;0"))</x:f>
        <x:v>2.5566666666666666</x:v>
      </x:c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</x:row>
    <x:row r="85" ht="22" customHeight="1">
      <x:c r="A85" s="2" t="str">
        <x:v>Nam Định</x:v>
      </x:c>
      <x:c r="B85" s="12" t="n">
        <x:f>COUNTIFS('Du lieu'!$C$10:$C$7010,A85)</x:f>
        <x:v>6</x:v>
      </x:c>
      <x:c r="C85" s="12" t="n">
        <x:f>COUNTIFS('Du lieu'!$C$10:$C$7010,A85,'Du lieu'!$H$10:$H$7010,"&gt;0")</x:f>
        <x:v>6</x:v>
      </x:c>
      <x:c r="D85" s="18" t="n">
        <x:f>IF(C85=0,"",AVERAGEIFS('Du lieu'!$Q$10:$Q$7010,'Du lieu'!$C$10:$C$7010,A85,'Du lieu'!$H$10:$H$7010,"&gt;0"))</x:f>
        <x:v>1.958333333333333</x:v>
      </x:c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</x:row>
    <x:row r="86" ht="22" customHeight="1">
      <x:c r="A86" s="2" t="str">
        <x:v>Bắc Ninh</x:v>
      </x:c>
      <x:c r="B86" s="12" t="n">
        <x:f>COUNTIFS('Du lieu'!$C$10:$C$7010,A86)</x:f>
        <x:v>6</x:v>
      </x:c>
      <x:c r="C86" s="12" t="n">
        <x:f>COUNTIFS('Du lieu'!$C$10:$C$7010,A86,'Du lieu'!$H$10:$H$7010,"&gt;0")</x:f>
        <x:v>6</x:v>
      </x:c>
      <x:c r="D86" s="18" t="n">
        <x:f>IF(C86=0,"",AVERAGEIFS('Du lieu'!$Q$10:$Q$7010,'Du lieu'!$C$10:$C$7010,A86,'Du lieu'!$H$10:$H$7010,"&gt;0"))</x:f>
        <x:v>17.0625</x:v>
      </x:c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</x:row>
    <x:row r="87" ht="22" customHeight="1">
      <x:c r="A87" s="2" t="str">
        <x:v>Quảng Ngãi</x:v>
      </x:c>
      <x:c r="B87" s="12" t="n">
        <x:f>COUNTIFS('Du lieu'!$C$10:$C$7010,A87)</x:f>
        <x:v>5</x:v>
      </x:c>
      <x:c r="C87" s="12" t="n">
        <x:f>COUNTIFS('Du lieu'!$C$10:$C$7010,A87,'Du lieu'!$H$10:$H$7010,"&gt;0")</x:f>
        <x:v>5</x:v>
      </x:c>
      <x:c r="D87" s="18" t="n">
        <x:f>IF(C87=0,"",AVERAGEIFS('Du lieu'!$Q$10:$Q$7010,'Du lieu'!$C$10:$C$7010,A87,'Du lieu'!$H$10:$H$7010,"&gt;0"))</x:f>
        <x:v>0.581</x:v>
      </x:c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</x:row>
    <x:row r="88" ht="22" customHeight="1">
      <x:c r="A88" s="2" t="str">
        <x:v>Hưng Yên</x:v>
      </x:c>
      <x:c r="B88" s="12" t="n">
        <x:f>COUNTIFS('Du lieu'!$C$10:$C$7010,A88)</x:f>
        <x:v>5</x:v>
      </x:c>
      <x:c r="C88" s="12" t="n">
        <x:f>COUNTIFS('Du lieu'!$C$10:$C$7010,A88,'Du lieu'!$H$10:$H$7010,"&gt;0")</x:f>
        <x:v>5</x:v>
      </x:c>
      <x:c r="D88" s="18" t="n">
        <x:f>IF(C88=0,"",AVERAGEIFS('Du lieu'!$Q$10:$Q$7010,'Du lieu'!$C$10:$C$7010,A88,'Du lieu'!$H$10:$H$7010,"&gt;0"))</x:f>
        <x:v>2.4096</x:v>
      </x:c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</x:row>
    <x:row r="89" ht="22" customHeight="1">
      <x:c r="A89" s="2" t="str">
        <x:v>Bắc Giang</x:v>
      </x:c>
      <x:c r="B89" s="12" t="n">
        <x:f>COUNTIFS('Du lieu'!$C$10:$C$7010,A89)</x:f>
        <x:v>4</x:v>
      </x:c>
      <x:c r="C89" s="12" t="n">
        <x:f>COUNTIFS('Du lieu'!$C$10:$C$7010,A89,'Du lieu'!$H$10:$H$7010,"&gt;0")</x:f>
        <x:v>4</x:v>
      </x:c>
      <x:c r="D89" s="18" t="n">
        <x:f>IF(C89=0,"",AVERAGEIFS('Du lieu'!$Q$10:$Q$7010,'Du lieu'!$C$10:$C$7010,A89,'Du lieu'!$H$10:$H$7010,"&gt;0"))</x:f>
        <x:v>2.0825</x:v>
      </x:c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</x:row>
    <x:row r="90" ht="22" customHeight="1">
      <x:c r="A90" s="2" t="str">
        <x:v>Ninh Thuận</x:v>
      </x:c>
      <x:c r="B90" s="12" t="n">
        <x:f>COUNTIFS('Du lieu'!$C$10:$C$7010,A90)</x:f>
        <x:v>4</x:v>
      </x:c>
      <x:c r="C90" s="12" t="n">
        <x:f>COUNTIFS('Du lieu'!$C$10:$C$7010,A90,'Du lieu'!$H$10:$H$7010,"&gt;0")</x:f>
        <x:v>4</x:v>
      </x:c>
      <x:c r="D90" s="18" t="n">
        <x:f>IF(C90=0,"",AVERAGEIFS('Du lieu'!$Q$10:$Q$7010,'Du lieu'!$C$10:$C$7010,A90,'Du lieu'!$H$10:$H$7010,"&gt;0"))</x:f>
        <x:v>1.7950000000000002</x:v>
      </x:c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</x:row>
    <x:row r="91" ht="22" customHeight="1">
      <x:c r="A91" s="2" t="str">
        <x:v>Thái Bình</x:v>
      </x:c>
      <x:c r="B91" s="12" t="n">
        <x:f>COUNTIFS('Du lieu'!$C$10:$C$7010,A91)</x:f>
        <x:v>3</x:v>
      </x:c>
      <x:c r="C91" s="12" t="n">
        <x:f>COUNTIFS('Du lieu'!$C$10:$C$7010,A91,'Du lieu'!$H$10:$H$7010,"&gt;0")</x:f>
        <x:v>3</x:v>
      </x:c>
      <x:c r="D91" s="18" t="n">
        <x:f>IF(C91=0,"",AVERAGEIFS('Du lieu'!$Q$10:$Q$7010,'Du lieu'!$C$10:$C$7010,A91,'Du lieu'!$H$10:$H$7010,"&gt;0"))</x:f>
        <x:v>1.4383333333333332</x:v>
      </x:c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</x:row>
    <x:row r="92" ht="22" customHeight="1">
      <x:c r="A92" s="2" t="str">
        <x:v>Vĩnh Phúc</x:v>
      </x:c>
      <x:c r="B92" s="12" t="n">
        <x:f>COUNTIFS('Du lieu'!$C$10:$C$7010,A92)</x:f>
        <x:v>3</x:v>
      </x:c>
      <x:c r="C92" s="12" t="n">
        <x:f>COUNTIFS('Du lieu'!$C$10:$C$7010,A92,'Du lieu'!$H$10:$H$7010,"&gt;0")</x:f>
        <x:v>3</x:v>
      </x:c>
      <x:c r="D92" s="18" t="n">
        <x:f>IF(C92=0,"",AVERAGEIFS('Du lieu'!$Q$10:$Q$7010,'Du lieu'!$C$10:$C$7010,A92,'Du lieu'!$H$10:$H$7010,"&gt;0"))</x:f>
        <x:v>3.3250000000000006</x:v>
      </x:c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</x:row>
    <x:row r="93" ht="22" customHeight="1">
      <x:c r="A93" s="2" t="str">
        <x:v>Hòa Bình</x:v>
      </x:c>
      <x:c r="B93" s="12" t="n">
        <x:f>COUNTIFS('Du lieu'!$C$10:$C$7010,A93)</x:f>
        <x:v>3</x:v>
      </x:c>
      <x:c r="C93" s="12" t="n">
        <x:f>COUNTIFS('Du lieu'!$C$10:$C$7010,A93,'Du lieu'!$H$10:$H$7010,"&gt;0")</x:f>
        <x:v>3</x:v>
      </x:c>
      <x:c r="D93" s="18" t="n">
        <x:f>IF(C93=0,"",AVERAGEIFS('Du lieu'!$Q$10:$Q$7010,'Du lieu'!$C$10:$C$7010,A93,'Du lieu'!$H$10:$H$7010,"&gt;0"))</x:f>
        <x:v>2.6766666666666663</x:v>
      </x:c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</x:row>
    <x:row r="94" ht="22" customHeight="1">
      <x:c r="A94" s="2" t="str">
        <x:v>Hải Dương</x:v>
      </x:c>
      <x:c r="B94" s="12" t="n">
        <x:f>COUNTIFS('Du lieu'!$C$10:$C$7010,A94)</x:f>
        <x:v>3</x:v>
      </x:c>
      <x:c r="C94" s="12" t="n">
        <x:f>COUNTIFS('Du lieu'!$C$10:$C$7010,A94,'Du lieu'!$H$10:$H$7010,"&gt;0")</x:f>
        <x:v>3</x:v>
      </x:c>
      <x:c r="D94" s="18" t="n">
        <x:f>IF(C94=0,"",AVERAGEIFS('Du lieu'!$Q$10:$Q$7010,'Du lieu'!$C$10:$C$7010,A94,'Du lieu'!$H$10:$H$7010,"&gt;0"))</x:f>
        <x:v>1.295</x:v>
      </x:c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</x:row>
    <x:row r="95" ht="22" customHeight="1">
      <x:c r="A95" s="2" t="str">
        <x:v>Bạc Liêu</x:v>
      </x:c>
      <x:c r="B95" s="12" t="n">
        <x:f>COUNTIFS('Du lieu'!$C$10:$C$7010,A95)</x:f>
        <x:v>2</x:v>
      </x:c>
      <x:c r="C95" s="12" t="n">
        <x:f>COUNTIFS('Du lieu'!$C$10:$C$7010,A95,'Du lieu'!$H$10:$H$7010,"&gt;0")</x:f>
        <x:v>2</x:v>
      </x:c>
      <x:c r="D95" s="18" t="n">
        <x:f>IF(C95=0,"",AVERAGEIFS('Du lieu'!$Q$10:$Q$7010,'Du lieu'!$C$10:$C$7010,A95,'Du lieu'!$H$10:$H$7010,"&gt;0"))</x:f>
        <x:v>0.44999999999999996</x:v>
      </x:c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</x:row>
    <x:row r="96">
      <x:c r="A96" t="str">
        <x:v>Kon Tum</x:v>
      </x:c>
      <x:c r="B96" s="17" t="n">
        <x:f>COUNTIFS('Du lieu'!$C$10:$C$7010,A96)</x:f>
        <x:v>2</x:v>
      </x:c>
      <x:c r="C96" s="17" t="n">
        <x:f>COUNTIFS('Du lieu'!$C$10:$C$7010,A96,'Du lieu'!$H$10:$H$7010,"&gt;0")</x:f>
        <x:v>2</x:v>
      </x:c>
      <x:c r="D96" s="19" t="n">
        <x:f>IF(C96=0,"",AVERAGEIFS('Du lieu'!$Q$10:$Q$7010,'Du lieu'!$C$10:$C$7010,A96,'Du lieu'!$H$10:$H$7010,"&gt;0"))</x:f>
        <x:v>1.275</x:v>
      </x:c>
    </x:row>
    <x:row r="97">
      <x:c r="A97" t="str">
        <x:v>Phú Thọ</x:v>
      </x:c>
      <x:c r="B97" s="17" t="n">
        <x:f>COUNTIFS('Du lieu'!$C$10:$C$7010,A97)</x:f>
        <x:v>1</x:v>
      </x:c>
      <x:c r="C97" s="17" t="n">
        <x:f>COUNTIFS('Du lieu'!$C$10:$C$7010,A97,'Du lieu'!$H$10:$H$7010,"&gt;0")</x:f>
        <x:v>1</x:v>
      </x:c>
      <x:c r="D97" s="19" t="n">
        <x:f>IF(C97=0,"",AVERAGEIFS('Du lieu'!$Q$10:$Q$7010,'Du lieu'!$C$10:$C$7010,A97,'Du lieu'!$H$10:$H$7010,"&gt;0"))</x:f>
        <x:v>1.65</x:v>
      </x:c>
    </x:row>
    <x:row r="98">
      <x:c r="A98" t="str">
        <x:v>Yên Bái</x:v>
      </x:c>
      <x:c r="B98" s="17" t="n">
        <x:f>COUNTIFS('Du lieu'!$C$10:$C$7010,A98)</x:f>
        <x:v>1</x:v>
      </x:c>
      <x:c r="C98" s="17" t="n">
        <x:f>COUNTIFS('Du lieu'!$C$10:$C$7010,A98,'Du lieu'!$H$10:$H$7010,"&gt;0")</x:f>
        <x:v>1</x:v>
      </x:c>
      <x:c r="D98" s="19" t="n">
        <x:f>IF(C98=0,"",AVERAGEIFS('Du lieu'!$Q$10:$Q$7010,'Du lieu'!$C$10:$C$7010,A98,'Du lieu'!$H$10:$H$7010,"&gt;0"))</x:f>
        <x:v>3</x:v>
      </x:c>
    </x:row>
    <x:row r="99">
      <x:c r="A99" t="str">
        <x:v>Hà Nam</x:v>
      </x:c>
      <x:c r="B99" s="17" t="n">
        <x:f>COUNTIFS('Du lieu'!$C$10:$C$7010,A99)</x:f>
        <x:v>1</x:v>
      </x:c>
      <x:c r="C99" s="17" t="n">
        <x:f>COUNTIFS('Du lieu'!$C$10:$C$7010,A99,'Du lieu'!$H$10:$H$7010,"&gt;0")</x:f>
        <x:v>1</x:v>
      </x:c>
      <x:c r="D99" s="19" t="n">
        <x:f>IF(C99=0,"",AVERAGEIFS('Du lieu'!$Q$10:$Q$7010,'Du lieu'!$C$10:$C$7010,A99,'Du lieu'!$H$10:$H$7010,"&gt;0"))</x:f>
        <x:v>1.35</x:v>
      </x:c>
    </x:row>
    <x:row r="100">
      <x:c r="A100" t="str">
        <x:v>Phú Yên</x:v>
      </x:c>
      <x:c r="B100" s="17" t="n">
        <x:f>COUNTIFS('Du lieu'!$C$10:$C$7010,A100)</x:f>
        <x:v>1</x:v>
      </x:c>
      <x:c r="C100" s="17" t="n">
        <x:f>COUNTIFS('Du lieu'!$C$10:$C$7010,A100,'Du lieu'!$H$10:$H$7010,"&gt;0")</x:f>
        <x:v>1</x:v>
      </x:c>
      <x:c r="D100" s="19" t="n">
        <x:f>IF(C100=0,"",AVERAGEIFS('Du lieu'!$Q$10:$Q$7010,'Du lieu'!$C$10:$C$7010,A100,'Du lieu'!$H$10:$H$7010,"&gt;0"))</x:f>
        <x:v>17</x:v>
      </x:c>
    </x:row>
    <x:row r="102">
      <x:c r="A102" s="20" t="str">
        <x:v>Bảng theo địa phương được xếp theo số tin của lần chạy này. Cột giá là trung bình, không phải trung vị.</x:v>
      </x:c>
    </x:row>
    <x:row r="104">
      <x:c r="A104" t="str">
        <x:v>Mẫu scatter ngẫu nhiên có thể lặp lại: 600/7001 tin, seed 42. Biến đổi log10 để thấy cả giá trị lớn.</x:v>
      </x:c>
    </x:row>
    <x:row r="105" ht="32" customHeight="1">
      <x:c r="A105" s="9" t="str">
        <x:v>log10(diện tích m²)</x:v>
      </x:c>
      <x:c r="B105" s="9" t="str">
        <x:v>log10(giá tỷ VND)</x:v>
      </x:c>
      <x:c r="C105" s="9" t="str">
        <x:v>Dòng dữ liệu</x:v>
      </x:c>
    </x:row>
    <x:row r="106">
      <x:c r="A106" s="19" t="n">
        <x:f>LOG10('Du lieu'!G2118)</x:f>
        <x:v>1.95424250943932</x:v>
      </x:c>
      <x:c r="B106" s="19" t="n">
        <x:f>LOG10('Du lieu'!Q2118)</x:f>
        <x:v>0.6232492903979</x:v>
      </x:c>
      <x:c r="C106" t="n">
        <x:f>'Du lieu'!A2118</x:f>
        <x:v>3054</x:v>
      </x:c>
    </x:row>
    <x:row r="107">
      <x:c r="A107" s="19" t="n">
        <x:f>LOG10('Du lieu'!G11)</x:f>
        <x:v>1.89762709129044</x:v>
      </x:c>
      <x:c r="B107" s="19" t="n">
        <x:f>LOG10('Du lieu'!Q11)</x:f>
        <x:v>1.25527250510331</x:v>
      </x:c>
      <x:c r="C107" t="n">
        <x:f>'Du lieu'!A11</x:f>
        <x:v>2</x:v>
      </x:c>
    </x:row>
    <x:row r="108">
      <x:c r="A108" s="19" t="n">
        <x:f>LOG10('Du lieu'!G3212)</x:f>
        <x:v>2.11394335230684</x:v>
      </x:c>
      <x:c r="B108" s="19" t="n">
        <x:f>LOG10('Du lieu'!Q3212)</x:f>
        <x:v>0.0413926851582251</x:v>
      </x:c>
      <x:c r="C108" t="n">
        <x:f>'Du lieu'!A3212</x:f>
        <x:v>4348</x:v>
      </x:c>
    </x:row>
    <x:row r="109">
      <x:c r="A109" s="19" t="n">
        <x:f>LOG10('Du lieu'!G3878)</x:f>
        <x:v>1.60205999132796</x:v>
      </x:c>
      <x:c r="B109" s="19" t="n">
        <x:f>LOG10('Du lieu'!Q3878)</x:f>
        <x:v>0.477121254719662</x:v>
      </x:c>
      <x:c r="C109" t="n">
        <x:f>'Du lieu'!A3878</x:f>
        <x:v>5267</x:v>
      </x:c>
    </x:row>
    <x:row r="110">
      <x:c r="A110" s="19" t="n">
        <x:f>LOG10('Du lieu'!G6305)</x:f>
        <x:v>2.06069784035361</x:v>
      </x:c>
      <x:c r="B110" s="19" t="n">
        <x:f>LOG10('Du lieu'!Q6305)</x:f>
        <x:v>0.336459733848529</x:v>
      </x:c>
      <x:c r="C110" t="n">
        <x:f>'Du lieu'!A6305</x:f>
        <x:v>8144</x:v>
      </x:c>
    </x:row>
    <x:row r="111">
      <x:c r="A111" s="19" t="n">
        <x:f>LOG10('Du lieu'!G2898)</x:f>
        <x:v>3</x:v>
      </x:c>
      <x:c r="B111" s="19" t="n">
        <x:f>LOG10('Du lieu'!Q2898)</x:f>
        <x:v>-0.0655015487564323</x:v>
      </x:c>
      <x:c r="C111" t="n">
        <x:f>'Du lieu'!A2898</x:f>
        <x:v>3987</x:v>
      </x:c>
    </x:row>
    <x:row r="112">
      <x:c r="A112" s="19" t="n">
        <x:f>LOG10('Du lieu'!G6364)</x:f>
        <x:v>1.7481880270062</x:v>
      </x:c>
      <x:c r="B112" s="19" t="n">
        <x:f>LOG10('Du lieu'!Q6364)</x:f>
        <x:v>-0.0705810742857073</x:v>
      </x:c>
      <x:c r="C112" t="n">
        <x:f>'Du lieu'!A6364</x:f>
        <x:v>8230</x:v>
      </x:c>
    </x:row>
    <x:row r="113">
      <x:c r="A113" s="19" t="n">
        <x:f>LOG10('Du lieu'!G17)</x:f>
        <x:v>2.39794000867204</x:v>
      </x:c>
      <x:c r="B113" s="19" t="n">
        <x:f>LOG10('Du lieu'!Q17)</x:f>
        <x:v>-0.0506099933550872</x:v>
      </x:c>
      <x:c r="C113" t="n">
        <x:f>'Du lieu'!A17</x:f>
        <x:v>8</x:v>
      </x:c>
    </x:row>
    <x:row r="114">
      <x:c r="A114" s="19" t="n">
        <x:f>LOG10('Du lieu'!G1781)</x:f>
        <x:v>2.22530928172586</x:v>
      </x:c>
      <x:c r="B114" s="19" t="n">
        <x:f>LOG10('Du lieu'!Q1781)</x:f>
        <x:v>0.838849090737255</x:v>
      </x:c>
      <x:c r="C114" t="n">
        <x:f>'Du lieu'!A1781</x:f>
        <x:v>2667</x:v>
      </x:c>
    </x:row>
    <x:row r="115">
      <x:c r="A115" s="19" t="n">
        <x:f>LOG10('Du lieu'!G19)</x:f>
        <x:v>1.90308998699194</x:v>
      </x:c>
      <x:c r="B115" s="19" t="n">
        <x:f>LOG10('Du lieu'!Q19)</x:f>
        <x:v>1.39794000867204</x:v>
      </x:c>
      <x:c r="C115" t="n">
        <x:f>'Du lieu'!A19</x:f>
        <x:v>10</x:v>
      </x:c>
    </x:row>
    <x:row r="116">
      <x:c r="A116" s="19" t="n">
        <x:f>LOG10('Du lieu'!G6338)</x:f>
        <x:v>1.80617997398389</x:v>
      </x:c>
      <x:c r="B116" s="19" t="n">
        <x:f>LOG10('Du lieu'!Q6338)</x:f>
        <x:v>0.127104798364808</x:v>
      </x:c>
      <x:c r="C116" t="n">
        <x:f>'Du lieu'!A6338</x:f>
        <x:v>8203</x:v>
      </x:c>
    </x:row>
    <x:row r="117">
      <x:c r="A117" s="19" t="n">
        <x:f>LOG10('Du lieu'!G5432)</x:f>
        <x:v>1.83884909073726</x:v>
      </x:c>
      <x:c r="B117" s="19" t="n">
        <x:f>LOG10('Du lieu'!Q5432)</x:f>
        <x:v>0.130333768495006</x:v>
      </x:c>
      <x:c r="C117" t="n">
        <x:f>'Du lieu'!A5432</x:f>
        <x:v>7099</x:v>
      </x:c>
    </x:row>
    <x:row r="118">
      <x:c r="A118" s="19" t="n">
        <x:f>LOG10('Du lieu'!G4617)</x:f>
        <x:v>1.89762709129044</x:v>
      </x:c>
      <x:c r="B118" s="19" t="n">
        <x:f>LOG10('Du lieu'!Q4617)</x:f>
        <x:v>0.243038048686294</x:v>
      </x:c>
      <x:c r="C118" t="n">
        <x:f>'Du lieu'!A4617</x:f>
        <x:v>6150</x:v>
      </x:c>
    </x:row>
    <x:row r="119">
      <x:c r="A119" s="19" t="n">
        <x:f>LOG10('Du lieu'!G1386)</x:f>
        <x:v>1.69019608002851</x:v>
      </x:c>
      <x:c r="B119" s="19" t="n">
        <x:f>LOG10('Du lieu'!Q1386)</x:f>
        <x:v>1.16136800223497</x:v>
      </x:c>
      <x:c r="C119" t="n">
        <x:f>'Du lieu'!A1386</x:f>
        <x:v>2163</x:v>
      </x:c>
    </x:row>
    <x:row r="120">
      <x:c r="A120" s="19" t="n">
        <x:f>LOG10('Du lieu'!G2167)</x:f>
        <x:v>2</x:v>
      </x:c>
      <x:c r="B120" s="19" t="n">
        <x:f>LOG10('Du lieu'!Q2167)</x:f>
        <x:v>-0.0705810742857073</x:v>
      </x:c>
      <x:c r="C120" t="n">
        <x:f>'Du lieu'!A2167</x:f>
        <x:v>3112</x:v>
      </x:c>
    </x:row>
    <x:row r="121">
      <x:c r="A121" s="19" t="n">
        <x:f>LOG10('Du lieu'!G1993)</x:f>
        <x:v>3</x:v>
      </x:c>
      <x:c r="B121" s="19" t="n">
        <x:f>LOG10('Du lieu'!Q1993)</x:f>
        <x:v>0.526339277389844</x:v>
      </x:c>
      <x:c r="C121" t="n">
        <x:f>'Du lieu'!A1993</x:f>
        <x:v>2912</x:v>
      </x:c>
    </x:row>
    <x:row r="122">
      <x:c r="A122" s="19" t="n">
        <x:f>LOG10('Du lieu'!G4048)</x:f>
        <x:v>1.69897000433602</x:v>
      </x:c>
      <x:c r="B122" s="19" t="n">
        <x:f>LOG10('Du lieu'!Q4048)</x:f>
        <x:v>-0.10790539730952</x:v>
      </x:c>
      <x:c r="C122" t="n">
        <x:f>'Du lieu'!A4048</x:f>
        <x:v>5461</x:v>
      </x:c>
    </x:row>
    <x:row r="123">
      <x:c r="A123" s="19" t="n">
        <x:f>LOG10('Du lieu'!G27)</x:f>
        <x:v>1.65321251377534</x:v>
      </x:c>
      <x:c r="B123" s="19" t="n">
        <x:f>LOG10('Du lieu'!Q27)</x:f>
        <x:v>-0.142667503568732</x:v>
      </x:c>
      <x:c r="C123" t="n">
        <x:f>'Du lieu'!A27</x:f>
        <x:v>18</x:v>
      </x:c>
    </x:row>
    <x:row r="124">
      <x:c r="A124" s="19" t="n">
        <x:f>LOG10('Du lieu'!G2102)</x:f>
        <x:v>1.98227123303957</x:v>
      </x:c>
      <x:c r="B124" s="19" t="n">
        <x:f>LOG10('Du lieu'!Q2102)</x:f>
        <x:v>-0.853871964321762</x:v>
      </x:c>
      <x:c r="C124" t="n">
        <x:f>'Du lieu'!A2102</x:f>
        <x:v>3037</x:v>
      </x:c>
    </x:row>
    <x:row r="125">
      <x:c r="A125" s="19" t="n">
        <x:f>LOG10('Du lieu'!G29)</x:f>
        <x:v>1.84509804001426</x:v>
      </x:c>
      <x:c r="B125" s="19" t="n">
        <x:f>LOG10('Du lieu'!Q29)</x:f>
        <x:v>0.662757831681574</x:v>
      </x:c>
      <x:c r="C125" t="n">
        <x:f>'Du lieu'!A29</x:f>
        <x:v>20</x:v>
      </x:c>
    </x:row>
    <x:row r="126">
      <x:c r="A126" s="19" t="n">
        <x:f>LOG10('Du lieu'!G30)</x:f>
        <x:v>2.3324384599156</x:v>
      </x:c>
      <x:c r="B126" s="19" t="n">
        <x:f>LOG10('Du lieu'!Q30)</x:f>
        <x:v>0.755874855672491</x:v>
      </x:c>
      <x:c r="C126" t="n">
        <x:f>'Du lieu'!A30</x:f>
        <x:v>21</x:v>
      </x:c>
    </x:row>
    <x:row r="127">
      <x:c r="A127" s="19" t="n">
        <x:f>LOG10('Du lieu'!G3190)</x:f>
        <x:v>1.69897000433602</x:v>
      </x:c>
      <x:c r="B127" s="19" t="n">
        <x:f>LOG10('Du lieu'!Q3190)</x:f>
        <x:v>0.653212513775344</x:v>
      </x:c>
      <x:c r="C127" t="n">
        <x:f>'Du lieu'!A3190</x:f>
        <x:v>4323</x:v>
      </x:c>
    </x:row>
    <x:row r="128">
      <x:c r="A128" s="19" t="n">
        <x:f>LOG10('Du lieu'!G5255)</x:f>
        <x:v>2.39794000867204</x:v>
      </x:c>
      <x:c r="B128" s="19" t="n">
        <x:f>LOG10('Du lieu'!Q5255)</x:f>
        <x:v>0.653212513775344</x:v>
      </x:c>
      <x:c r="C128" t="n">
        <x:f>'Du lieu'!A5255</x:f>
        <x:v>6895</x:v>
      </x:c>
    </x:row>
    <x:row r="129">
      <x:c r="A129" s="19" t="n">
        <x:f>LOG10('Du lieu'!G5592)</x:f>
        <x:v>1.67209785793572</x:v>
      </x:c>
      <x:c r="B129" s="19" t="n">
        <x:f>LOG10('Du lieu'!Q5592)</x:f>
        <x:v>0.511883360978874</x:v>
      </x:c>
      <x:c r="C129" t="n">
        <x:f>'Du lieu'!A5592</x:f>
        <x:v>7307</x:v>
      </x:c>
    </x:row>
    <x:row r="130">
      <x:c r="A130" s="19" t="n">
        <x:f>LOG10('Du lieu'!G5809)</x:f>
        <x:v>1.90308998699194</x:v>
      </x:c>
      <x:c r="B130" s="19" t="n">
        <x:f>LOG10('Du lieu'!Q5809)</x:f>
        <x:v>0.0791812460476248</x:v>
      </x:c>
      <x:c r="C130" t="n">
        <x:f>'Du lieu'!A5809</x:f>
        <x:v>7553</x:v>
      </x:c>
    </x:row>
    <x:row r="131">
      <x:c r="A131" s="19" t="n">
        <x:f>LOG10('Du lieu'!G6210)</x:f>
        <x:v>1.65321251377534</x:v>
      </x:c>
      <x:c r="B131" s="19" t="n">
        <x:f>LOG10('Du lieu'!Q6210)</x:f>
        <x:v>0.819543935541869</x:v>
      </x:c>
      <x:c r="C131" t="n">
        <x:f>'Du lieu'!A6210</x:f>
        <x:v>8037</x:v>
      </x:c>
    </x:row>
    <x:row r="132">
      <x:c r="A132" s="19" t="n">
        <x:f>LOG10('Du lieu'!G1790)</x:f>
        <x:v>1.81291335664286</x:v>
      </x:c>
      <x:c r="B132" s="19" t="n">
        <x:f>LOG10('Du lieu'!Q1790)</x:f>
        <x:v>0.161368002234975</x:v>
      </x:c>
      <x:c r="C132" t="n">
        <x:f>'Du lieu'!A1790</x:f>
        <x:v>2676</x:v>
      </x:c>
    </x:row>
    <x:row r="133">
      <x:c r="A133" s="19" t="n">
        <x:f>LOG10('Du lieu'!G2435)</x:f>
        <x:v>1.79239168949825</x:v>
      </x:c>
      <x:c r="B133" s="19" t="n">
        <x:f>LOG10('Du lieu'!Q2435)</x:f>
        <x:v>0.130333768495006</x:v>
      </x:c>
      <x:c r="C133" t="n">
        <x:f>'Du lieu'!A2435</x:f>
        <x:v>3441</x:v>
      </x:c>
    </x:row>
    <x:row r="134">
      <x:c r="A134" s="19" t="n">
        <x:f>LOG10('Du lieu'!G5664)</x:f>
        <x:v>2.27646180417324</x:v>
      </x:c>
      <x:c r="B134" s="19" t="n">
        <x:f>LOG10('Du lieu'!Q5664)</x:f>
        <x:v>-0.301029995663981</x:v>
      </x:c>
      <x:c r="C134" t="n">
        <x:f>'Du lieu'!A5664</x:f>
        <x:v>7389</x:v>
      </x:c>
    </x:row>
    <x:row r="135">
      <x:c r="A135" s="19" t="n">
        <x:f>LOG10('Du lieu'!G3063)</x:f>
        <x:v>2.44715803134222</x:v>
      </x:c>
      <x:c r="B135" s="19" t="n">
        <x:f>LOG10('Du lieu'!Q3063)</x:f>
        <x:v>0.255272505103306</x:v>
      </x:c>
      <x:c r="C135" t="n">
        <x:f>'Du lieu'!A3063</x:f>
        <x:v>4173</x:v>
      </x:c>
    </x:row>
    <x:row r="136">
      <x:c r="A136" s="19" t="n">
        <x:f>LOG10('Du lieu'!G3285)</x:f>
        <x:v>1.69897000433602</x:v>
      </x:c>
      <x:c r="B136" s="19" t="n">
        <x:f>LOG10('Du lieu'!Q3285)</x:f>
        <x:v>-0.102372908709559</x:v>
      </x:c>
      <x:c r="C136" t="n">
        <x:f>'Du lieu'!A3285</x:f>
        <x:v>4448</x:v>
      </x:c>
    </x:row>
    <x:row r="137">
      <x:c r="A137" s="19" t="n">
        <x:f>LOG10('Du lieu'!G1538)</x:f>
        <x:v>2.07918124604762</x:v>
      </x:c>
      <x:c r="B137" s="19" t="n">
        <x:f>LOG10('Du lieu'!Q1538)</x:f>
        <x:v>0.176091259055681</x:v>
      </x:c>
      <x:c r="C137" t="n">
        <x:f>'Du lieu'!A1538</x:f>
        <x:v>2369</x:v>
      </x:c>
    </x:row>
    <x:row r="138">
      <x:c r="A138" s="19" t="n">
        <x:f>LOG10('Du lieu'!G3983)</x:f>
        <x:v>1.84509804001426</x:v>
      </x:c>
      <x:c r="B138" s="19" t="n">
        <x:f>LOG10('Du lieu'!Q3983)</x:f>
        <x:v>-0.481486060122112</x:v>
      </x:c>
      <x:c r="C138" t="n">
        <x:f>'Du lieu'!A3983</x:f>
        <x:v>5385</x:v>
      </x:c>
    </x:row>
    <x:row r="139">
      <x:c r="A139" s="19" t="n">
        <x:f>LOG10('Du lieu'!G43)</x:f>
        <x:v>1.91592721169712</x:v>
      </x:c>
      <x:c r="B139" s="19" t="n">
        <x:f>LOG10('Du lieu'!Q43)</x:f>
        <x:v>0.59659709562646</x:v>
      </x:c>
      <x:c r="C139" t="n">
        <x:f>'Du lieu'!A43</x:f>
        <x:v>34</x:v>
      </x:c>
    </x:row>
    <x:row r="140">
      <x:c r="A140" s="19" t="n">
        <x:f>LOG10('Du lieu'!G6955)</x:f>
        <x:v>1.85733249643127</x:v>
      </x:c>
      <x:c r="B140" s="19" t="n">
        <x:f>LOG10('Du lieu'!Q6955)</x:f>
        <x:v>0.0969100130080564</x:v>
      </x:c>
      <x:c r="C140" t="n">
        <x:f>'Du lieu'!A6955</x:f>
        <x:v>8945</x:v>
      </x:c>
    </x:row>
    <x:row r="141">
      <x:c r="A141" s="19" t="n">
        <x:f>LOG10('Du lieu'!G6191)</x:f>
        <x:v>1.69897000433602</x:v>
      </x:c>
      <x:c r="B141" s="19" t="n">
        <x:f>LOG10('Du lieu'!Q6191)</x:f>
        <x:v>-0.048176964684088</x:v>
      </x:c>
      <x:c r="C141" t="n">
        <x:f>'Du lieu'!A6191</x:f>
        <x:v>8014</x:v>
      </x:c>
    </x:row>
    <x:row r="142">
      <x:c r="A142" s="19" t="n">
        <x:f>LOG10('Du lieu'!G1451)</x:f>
        <x:v>1.74036268949424</x:v>
      </x:c>
      <x:c r="B142" s="19" t="n">
        <x:f>LOG10('Du lieu'!Q1451)</x:f>
        <x:v>0.311753861055754</x:v>
      </x:c>
      <x:c r="C142" t="n">
        <x:f>'Du lieu'!A1451</x:f>
        <x:v>2273</x:v>
      </x:c>
    </x:row>
    <x:row r="143">
      <x:c r="A143" s="19" t="n">
        <x:f>LOG10('Du lieu'!G4760)</x:f>
        <x:v>2.13987908640124</x:v>
      </x:c>
      <x:c r="B143" s="19" t="n">
        <x:f>LOG10('Du lieu'!Q4760)</x:f>
        <x:v>0.778151250383644</x:v>
      </x:c>
      <x:c r="C143" t="n">
        <x:f>'Du lieu'!A4760</x:f>
        <x:v>6313</x:v>
      </x:c>
    </x:row>
    <x:row r="144">
      <x:c r="A144" s="19" t="n">
        <x:f>LOG10('Du lieu'!G1530)</x:f>
        <x:v>2.19033169817029</x:v>
      </x:c>
      <x:c r="B144" s="19" t="n">
        <x:f>LOG10('Du lieu'!Q1530)</x:f>
        <x:v>-1.00436480540245</x:v>
      </x:c>
      <x:c r="C144" t="n">
        <x:f>'Du lieu'!A1530</x:f>
        <x:v>2361</x:v>
      </x:c>
    </x:row>
    <x:row r="145">
      <x:c r="A145" s="19" t="n">
        <x:f>LOG10('Du lieu'!G5858)</x:f>
        <x:v>1.68124123737559</x:v>
      </x:c>
      <x:c r="B145" s="19" t="n">
        <x:f>LOG10('Du lieu'!Q5858)</x:f>
        <x:v>-0.455931955649724</x:v>
      </x:c>
      <x:c r="C145" t="n">
        <x:f>'Du lieu'!A5858</x:f>
        <x:v>7608</x:v>
      </x:c>
    </x:row>
    <x:row r="146">
      <x:c r="A146" s="19" t="n">
        <x:f>LOG10('Du lieu'!G3568)</x:f>
        <x:v>1.77815125038364</x:v>
      </x:c>
      <x:c r="B146" s="19" t="n">
        <x:f>LOG10('Du lieu'!Q3568)</x:f>
        <x:v>0.792391689498254</x:v>
      </x:c>
      <x:c r="C146" t="n">
        <x:f>'Du lieu'!A3568</x:f>
        <x:v>4884</x:v>
      </x:c>
    </x:row>
    <x:row r="147">
      <x:c r="A147" s="19" t="n">
        <x:f>LOG10('Du lieu'!G4957)</x:f>
        <x:v>1.64345267648619</x:v>
      </x:c>
      <x:c r="B147" s="19" t="n">
        <x:f>LOG10('Du lieu'!Q4957)</x:f>
        <x:v>0.537819095073274</x:v>
      </x:c>
      <x:c r="C147" t="n">
        <x:f>'Du lieu'!A4957</x:f>
        <x:v>6538</x:v>
      </x:c>
    </x:row>
    <x:row r="148">
      <x:c r="A148" s="19" t="n">
        <x:f>LOG10('Du lieu'!G3731)</x:f>
        <x:v>2</x:v>
      </x:c>
      <x:c r="B148" s="19" t="n">
        <x:f>LOG10('Du lieu'!Q3731)</x:f>
        <x:v>0.763427993562937</x:v>
      </x:c>
      <x:c r="C148" t="n">
        <x:f>'Du lieu'!A3731</x:f>
        <x:v>5072</x:v>
      </x:c>
    </x:row>
    <x:row r="149">
      <x:c r="A149" s="19" t="n">
        <x:f>LOG10('Du lieu'!G5697)</x:f>
        <x:v>1.60205999132796</x:v>
      </x:c>
      <x:c r="B149" s="19" t="n">
        <x:f>LOG10('Du lieu'!Q5697)</x:f>
        <x:v>-0.283996656365201</x:v>
      </x:c>
      <x:c r="C149" t="n">
        <x:f>'Du lieu'!A5697</x:f>
        <x:v>7424</x:v>
      </x:c>
    </x:row>
    <x:row r="150">
      <x:c r="A150" s="19" t="n">
        <x:f>LOG10('Du lieu'!G1899)</x:f>
        <x:v>1.60205999132796</x:v>
      </x:c>
      <x:c r="B150" s="19" t="n">
        <x:f>LOG10('Du lieu'!Q1899)</x:f>
        <x:v>0.45484486000851</x:v>
      </x:c>
      <x:c r="C150" t="n">
        <x:f>'Du lieu'!A1899</x:f>
        <x:v>2797</x:v>
      </x:c>
    </x:row>
    <x:row r="151">
      <x:c r="A151" s="19" t="n">
        <x:f>LOG10('Du lieu'!G3469)</x:f>
        <x:v>1.50514997831991</x:v>
      </x:c>
      <x:c r="B151" s="19" t="n">
        <x:f>LOG10('Du lieu'!Q3469)</x:f>
        <x:v>0.431363764158987</x:v>
      </x:c>
      <x:c r="C151" t="n">
        <x:f>'Du lieu'!A3469</x:f>
        <x:v>4773</x:v>
      </x:c>
    </x:row>
    <x:row r="152">
      <x:c r="A152" s="19" t="n">
        <x:f>LOG10('Du lieu'!G5169)</x:f>
        <x:v>2.01283722470517</x:v>
      </x:c>
      <x:c r="B152" s="19" t="n">
        <x:f>LOG10('Du lieu'!Q5169)</x:f>
        <x:v>-0.236572006437063</x:v>
      </x:c>
      <x:c r="C152" t="n">
        <x:f>'Du lieu'!A5169</x:f>
        <x:v>6797</x:v>
      </x:c>
    </x:row>
    <x:row r="153">
      <x:c r="A153" s="19" t="n">
        <x:f>LOG10('Du lieu'!G6452)</x:f>
        <x:v>1.70757017609794</x:v>
      </x:c>
      <x:c r="B153" s="19" t="n">
        <x:f>LOG10('Du lieu'!Q6452)</x:f>
        <x:v>0.653212513775344</x:v>
      </x:c>
      <x:c r="C153" t="n">
        <x:f>'Du lieu'!A6452</x:f>
        <x:v>8334</x:v>
      </x:c>
    </x:row>
    <x:row r="154">
      <x:c r="A154" s="19" t="n">
        <x:f>LOG10('Du lieu'!G6634)</x:f>
        <x:v>1.30102999566398</x:v>
      </x:c>
      <x:c r="B154" s="19" t="n">
        <x:f>LOG10('Du lieu'!Q6634)</x:f>
        <x:v>0.389166084364532</x:v>
      </x:c>
      <x:c r="C154" t="n">
        <x:f>'Du lieu'!A6634</x:f>
        <x:v>8542</x:v>
      </x:c>
    </x:row>
    <x:row r="155">
      <x:c r="A155" s="19" t="n">
        <x:f>LOG10('Du lieu'!G6259)</x:f>
        <x:v>4.16136800223497</x:v>
      </x:c>
      <x:c r="B155" s="19" t="n">
        <x:f>LOG10('Du lieu'!Q6259)</x:f>
        <x:v>-0.552841968657781</x:v>
      </x:c>
      <x:c r="C155" t="n">
        <x:f>'Du lieu'!A6259</x:f>
        <x:v>8090</x:v>
      </x:c>
    </x:row>
    <x:row r="156">
      <x:c r="A156" s="19" t="n">
        <x:f>LOG10('Du lieu'!G4332)</x:f>
        <x:v>2.09691001300806</x:v>
      </x:c>
      <x:c r="B156" s="19" t="n">
        <x:f>LOG10('Du lieu'!Q4332)</x:f>
        <x:v>-0.221848749616356</x:v>
      </x:c>
      <x:c r="C156" t="n">
        <x:f>'Du lieu'!A4332</x:f>
        <x:v>5800</x:v>
      </x:c>
    </x:row>
    <x:row r="157">
      <x:c r="A157" s="19" t="n">
        <x:f>LOG10('Du lieu'!G6165)</x:f>
        <x:v>2</x:v>
      </x:c>
      <x:c r="B157" s="19" t="n">
        <x:f>LOG10('Du lieu'!Q6165)</x:f>
        <x:v>0.255272505103306</x:v>
      </x:c>
      <x:c r="C157" t="n">
        <x:f>'Du lieu'!A6165</x:f>
        <x:v>7983</x:v>
      </x:c>
    </x:row>
    <x:row r="158">
      <x:c r="A158" s="19" t="n">
        <x:f>LOG10('Du lieu'!G1813)</x:f>
        <x:v>1.30102999566398</x:v>
      </x:c>
      <x:c r="B158" s="19" t="n">
        <x:f>LOG10('Du lieu'!Q1813)</x:f>
        <x:v>0.301029995663981</x:v>
      </x:c>
      <x:c r="C158" t="n">
        <x:f>'Du lieu'!A1813</x:f>
        <x:v>2703</x:v>
      </x:c>
    </x:row>
    <x:row r="159">
      <x:c r="A159" s="19" t="n">
        <x:f>LOG10('Du lieu'!G704)</x:f>
        <x:v>1.95904139232109</x:v>
      </x:c>
      <x:c r="B159" s="19" t="n">
        <x:f>LOG10('Du lieu'!Q704)</x:f>
        <x:v>1.13033376849501</x:v>
      </x:c>
      <x:c r="C159" t="n">
        <x:f>'Du lieu'!A704</x:f>
        <x:v>771</x:v>
      </x:c>
    </x:row>
    <x:row r="160">
      <x:c r="A160" s="19" t="n">
        <x:f>LOG10('Du lieu'!G1296)</x:f>
        <x:v>1.75511226639507</x:v>
      </x:c>
      <x:c r="B160" s="19" t="n">
        <x:f>LOG10('Du lieu'!Q1296)</x:f>
        <x:v>0.352182518111362</x:v>
      </x:c>
      <x:c r="C160" t="n">
        <x:f>'Du lieu'!A1296</x:f>
        <x:v>2062</x:v>
      </x:c>
    </x:row>
    <x:row r="161">
      <x:c r="A161" s="19" t="n">
        <x:f>LOG10('Du lieu'!G2428)</x:f>
        <x:v>1.50514997831991</x:v>
      </x:c>
      <x:c r="B161" s="19" t="n">
        <x:f>LOG10('Du lieu'!Q2428)</x:f>
        <x:v>0.328379603438738</x:v>
      </x:c>
      <x:c r="C161" t="n">
        <x:f>'Du lieu'!A2428</x:f>
        <x:v>3432</x:v>
      </x:c>
    </x:row>
    <x:row r="162">
      <x:c r="A162" s="19" t="n">
        <x:f>LOG10('Du lieu'!G4370)</x:f>
        <x:v>1.85733249643127</x:v>
      </x:c>
      <x:c r="B162" s="19" t="n">
        <x:f>LOG10('Du lieu'!Q4370)</x:f>
        <x:v>-0.0287241512618947</x:v>
      </x:c>
      <x:c r="C162" t="n">
        <x:f>'Du lieu'!A4370</x:f>
        <x:v>5842</x:v>
      </x:c>
    </x:row>
    <x:row r="163">
      <x:c r="A163" s="19" t="n">
        <x:f>LOG10('Du lieu'!G5577)</x:f>
        <x:v>1.77815125038364</x:v>
      </x:c>
      <x:c r="B163" s="19" t="n">
        <x:f>LOG10('Du lieu'!Q5577)</x:f>
        <x:v>0.752048447819438</x:v>
      </x:c>
      <x:c r="C163" t="n">
        <x:f>'Du lieu'!A5577</x:f>
        <x:v>7290</x:v>
      </x:c>
    </x:row>
    <x:row r="164">
      <x:c r="A164" s="19" t="n">
        <x:f>LOG10('Du lieu'!G1482)</x:f>
        <x:v>1.6232492903979</x:v>
      </x:c>
      <x:c r="B164" s="19" t="n">
        <x:f>LOG10('Du lieu'!Q1482)</x:f>
        <x:v>0.0791812460476248</x:v>
      </x:c>
      <x:c r="C164" t="n">
        <x:f>'Du lieu'!A1482</x:f>
        <x:v>2306</x:v>
      </x:c>
    </x:row>
    <x:row r="165">
      <x:c r="A165" s="19" t="n">
        <x:f>LOG10('Du lieu'!G2069)</x:f>
        <x:v>1.92941892571429</x:v>
      </x:c>
      <x:c r="B165" s="19" t="n">
        <x:f>LOG10('Du lieu'!Q2069)</x:f>
        <x:v>0.795880017344075</x:v>
      </x:c>
      <x:c r="C165" t="n">
        <x:f>'Du lieu'!A2069</x:f>
        <x:v>2999</x:v>
      </x:c>
    </x:row>
    <x:row r="166">
      <x:c r="A166" s="19" t="n">
        <x:f>LOG10('Du lieu'!G5520)</x:f>
        <x:v>2</x:v>
      </x:c>
      <x:c r="B166" s="19" t="n">
        <x:f>LOG10('Du lieu'!Q5520)</x:f>
        <x:v>-0.530177984021837</x:v>
      </x:c>
      <x:c r="C166" t="n">
        <x:f>'Du lieu'!A5520</x:f>
        <x:v>7224</x:v>
      </x:c>
    </x:row>
    <x:row r="167">
      <x:c r="A167" s="19" t="n">
        <x:f>LOG10('Du lieu'!G6839)</x:f>
        <x:v>1.63346845557959</x:v>
      </x:c>
      <x:c r="B167" s="19" t="n">
        <x:f>LOG10('Du lieu'!Q6839)</x:f>
        <x:v>0.724275869600789</x:v>
      </x:c>
      <x:c r="C167" t="n">
        <x:f>'Du lieu'!A6839</x:f>
        <x:v>8808</x:v>
      </x:c>
    </x:row>
    <x:row r="168">
      <x:c r="A168" s="19" t="n">
        <x:f>LOG10('Du lieu'!G3669)</x:f>
        <x:v>1.57978359661681</x:v>
      </x:c>
      <x:c r="B168" s="19" t="n">
        <x:f>LOG10('Du lieu'!Q3669)</x:f>
        <x:v>0.439332693830263</x:v>
      </x:c>
      <x:c r="C168" t="n">
        <x:f>'Du lieu'!A3669</x:f>
        <x:v>5000</x:v>
      </x:c>
    </x:row>
    <x:row r="169">
      <x:c r="A169" s="19" t="n">
        <x:f>LOG10('Du lieu'!G5854)</x:f>
        <x:v>2.17897694729317</x:v>
      </x:c>
      <x:c r="B169" s="19" t="n">
        <x:f>LOG10('Du lieu'!Q5854)</x:f>
        <x:v>0.352182518111362</x:v>
      </x:c>
      <x:c r="C169" t="n">
        <x:f>'Du lieu'!A5854</x:f>
        <x:v>7601</x:v>
      </x:c>
    </x:row>
    <x:row r="170">
      <x:c r="A170" s="19" t="n">
        <x:f>LOG10('Du lieu'!G5314)</x:f>
        <x:v>1.54406804435028</x:v>
      </x:c>
      <x:c r="B170" s="19" t="n">
        <x:f>LOG10('Du lieu'!Q5314)</x:f>
        <x:v>0.477121254719662</x:v>
      </x:c>
      <x:c r="C170" t="n">
        <x:f>'Du lieu'!A5314</x:f>
        <x:v>6962</x:v>
      </x:c>
    </x:row>
    <x:row r="171">
      <x:c r="A171" s="19" t="n">
        <x:f>LOG10('Du lieu'!G1069)</x:f>
        <x:v>2.09691001300806</x:v>
      </x:c>
      <x:c r="B171" s="19" t="n">
        <x:f>LOG10('Du lieu'!Q1069)</x:f>
        <x:v>-0.537602002101044</x:v>
      </x:c>
      <x:c r="C171" t="n">
        <x:f>'Du lieu'!A1069</x:f>
        <x:v>1391</x:v>
      </x:c>
    </x:row>
    <x:row r="172">
      <x:c r="A172" s="19" t="n">
        <x:f>LOG10('Du lieu'!G5388)</x:f>
        <x:v>2.13033376849501</x:v>
      </x:c>
      <x:c r="B172" s="19" t="n">
        <x:f>LOG10('Du lieu'!Q5388)</x:f>
        <x:v>0.740362689494244</x:v>
      </x:c>
      <x:c r="C172" t="n">
        <x:f>'Du lieu'!A5388</x:f>
        <x:v>7048</x:v>
      </x:c>
    </x:row>
    <x:row r="173">
      <x:c r="A173" s="19" t="n">
        <x:f>LOG10('Du lieu'!G77)</x:f>
        <x:v>2.17609125905568</x:v>
      </x:c>
      <x:c r="B173" s="19" t="n">
        <x:f>LOG10('Du lieu'!Q77)</x:f>
        <x:v>0.755874855672491</x:v>
      </x:c>
      <x:c r="C173" t="n">
        <x:f>'Du lieu'!A77</x:f>
        <x:v>68</x:v>
      </x:c>
    </x:row>
    <x:row r="174">
      <x:c r="A174" s="19" t="n">
        <x:f>LOG10('Du lieu'!G6243)</x:f>
        <x:v>2</x:v>
      </x:c>
      <x:c r="B174" s="19" t="n">
        <x:f>LOG10('Du lieu'!Q6243)</x:f>
        <x:v>-0.397940008672038</x:v>
      </x:c>
      <x:c r="C174" t="n">
        <x:f>'Du lieu'!A6243</x:f>
        <x:v>8072</x:v>
      </x:c>
    </x:row>
    <x:row r="175">
      <x:c r="A175" s="19" t="n">
        <x:f>LOG10('Du lieu'!G5462)</x:f>
        <x:v>1.78532983501077</x:v>
      </x:c>
      <x:c r="B175" s="19" t="n">
        <x:f>LOG10('Du lieu'!Q5462)</x:f>
        <x:v>-1.65757731917779</x:v>
      </x:c>
      <x:c r="C175" t="n">
        <x:f>'Du lieu'!A5462</x:f>
        <x:v>7133</x:v>
      </x:c>
    </x:row>
    <x:row r="176">
      <x:c r="A176" s="19" t="n">
        <x:f>LOG10('Du lieu'!G1071)</x:f>
        <x:v>1.8750612633917</x:v>
      </x:c>
      <x:c r="B176" s="19" t="n">
        <x:f>LOG10('Du lieu'!Q1071)</x:f>
        <x:v>-0.187086643357144</x:v>
      </x:c>
      <x:c r="C176" t="n">
        <x:f>'Du lieu'!A1071</x:f>
        <x:v>1395</x:v>
      </x:c>
    </x:row>
    <x:row r="177">
      <x:c r="A177" s="19" t="n">
        <x:f>LOG10('Du lieu'!G3563)</x:f>
        <x:v>1.72427586960079</x:v>
      </x:c>
      <x:c r="B177" s="19" t="n">
        <x:f>LOG10('Du lieu'!Q3563)</x:f>
        <x:v>0.963787827345555</x:v>
      </x:c>
      <x:c r="C177" t="n">
        <x:f>'Du lieu'!A3563</x:f>
        <x:v>4879</x:v>
      </x:c>
    </x:row>
    <x:row r="178">
      <x:c r="A178" s="19" t="n">
        <x:f>LOG10('Du lieu'!G3770)</x:f>
        <x:v>1.60205999132796</x:v>
      </x:c>
      <x:c r="B178" s="19" t="n">
        <x:f>LOG10('Du lieu'!Q3770)</x:f>
        <x:v>0.161368002234975</x:v>
      </x:c>
      <x:c r="C178" t="n">
        <x:f>'Du lieu'!A3770</x:f>
        <x:v>5118</x:v>
      </x:c>
    </x:row>
    <x:row r="179">
      <x:c r="A179" s="19" t="n">
        <x:f>LOG10('Du lieu'!G4272)</x:f>
        <x:v>1.50514997831991</x:v>
      </x:c>
      <x:c r="B179" s="19" t="n">
        <x:f>LOG10('Du lieu'!Q4272)</x:f>
        <x:v>-0.356547323513813</x:v>
      </x:c>
      <x:c r="C179" t="n">
        <x:f>'Du lieu'!A4272</x:f>
        <x:v>5731</x:v>
      </x:c>
    </x:row>
    <x:row r="180">
      <x:c r="A180" s="19" t="n">
        <x:f>LOG10('Du lieu'!G1374)</x:f>
        <x:v>1.86332286012046</x:v>
      </x:c>
      <x:c r="B180" s="19" t="n">
        <x:f>LOG10('Du lieu'!Q1374)</x:f>
        <x:v>0.740362689494244</x:v>
      </x:c>
      <x:c r="C180" t="n">
        <x:f>'Du lieu'!A1374</x:f>
        <x:v>2148</x:v>
      </x:c>
    </x:row>
    <x:row r="181">
      <x:c r="A181" s="19" t="n">
        <x:f>LOG10('Du lieu'!G85)</x:f>
        <x:v>2</x:v>
      </x:c>
      <x:c r="B181" s="19" t="n">
        <x:f>LOG10('Du lieu'!Q85)</x:f>
        <x:v>-0.1249387366083</x:v>
      </x:c>
      <x:c r="C181" t="n">
        <x:f>'Du lieu'!A85</x:f>
        <x:v>76</x:v>
      </x:c>
    </x:row>
    <x:row r="182">
      <x:c r="A182" s="19" t="n">
        <x:f>LOG10('Du lieu'!G2382)</x:f>
        <x:v>1.95424250943932</x:v>
      </x:c>
      <x:c r="B182" s="19" t="n">
        <x:f>LOG10('Du lieu'!Q2382)</x:f>
        <x:v>0.296665190261531</x:v>
      </x:c>
      <x:c r="C182" t="n">
        <x:f>'Du lieu'!A2382</x:f>
        <x:v>3379</x:v>
      </x:c>
    </x:row>
    <x:row r="183">
      <x:c r="A183" s="19" t="n">
        <x:f>LOG10('Du lieu'!G5127)</x:f>
        <x:v>1.7160033436348</x:v>
      </x:c>
      <x:c r="B183" s="19" t="n">
        <x:f>LOG10('Du lieu'!Q5127)</x:f>
        <x:v>-1.64206515299955</x:v>
      </x:c>
      <x:c r="C183" t="n">
        <x:f>'Du lieu'!A5127</x:f>
        <x:v>6749</x:v>
      </x:c>
    </x:row>
    <x:row r="184">
      <x:c r="A184" s="19" t="n">
        <x:f>LOG10('Du lieu'!G5081)</x:f>
        <x:v>2.69897000433602</x:v>
      </x:c>
      <x:c r="B184" s="19" t="n">
        <x:f>LOG10('Du lieu'!Q5081)</x:f>
        <x:v>-0.187086643357144</x:v>
      </x:c>
      <x:c r="C184" t="n">
        <x:f>'Du lieu'!A5081</x:f>
        <x:v>6697</x:v>
      </x:c>
    </x:row>
    <x:row r="185">
      <x:c r="A185" s="19" t="n">
        <x:f>LOG10('Du lieu'!G876)</x:f>
        <x:v>1.69019608002851</x:v>
      </x:c>
      <x:c r="B185" s="19" t="n">
        <x:f>LOG10('Du lieu'!Q876)</x:f>
        <x:v>-0.0809219076239261</x:v>
      </x:c>
      <x:c r="C185" t="n">
        <x:f>'Du lieu'!A876</x:f>
        <x:v>970</x:v>
      </x:c>
    </x:row>
    <x:row r="186">
      <x:c r="A186" s="19" t="n">
        <x:f>LOG10('Du lieu'!G90)</x:f>
        <x:v>1.44715803134222</x:v>
      </x:c>
      <x:c r="B186" s="19" t="n">
        <x:f>LOG10('Du lieu'!Q90)</x:f>
        <x:v>0.361727836017593</x:v>
      </x:c>
      <x:c r="C186" t="n">
        <x:f>'Du lieu'!A90</x:f>
        <x:v>82</x:v>
      </x:c>
    </x:row>
    <x:row r="187">
      <x:c r="A187" s="19" t="n">
        <x:f>LOG10('Du lieu'!G1733)</x:f>
        <x:v>1.90308998699194</x:v>
      </x:c>
      <x:c r="B187" s="19" t="n">
        <x:f>LOG10('Du lieu'!Q1733)</x:f>
        <x:v>-0.167491087293764</x:v>
      </x:c>
      <x:c r="C187" t="n">
        <x:f>'Du lieu'!A1733</x:f>
        <x:v>2614</x:v>
      </x:c>
    </x:row>
    <x:row r="188">
      <x:c r="A188" s="19" t="n">
        <x:f>LOG10('Du lieu'!G5584)</x:f>
        <x:v>1.63346845557959</x:v>
      </x:c>
      <x:c r="B188" s="19" t="n">
        <x:f>LOG10('Du lieu'!Q5584)</x:f>
        <x:v>0.869231719730976</x:v>
      </x:c>
      <x:c r="C188" t="n">
        <x:f>'Du lieu'!A5584</x:f>
        <x:v>7299</x:v>
      </x:c>
    </x:row>
    <x:row r="189">
      <x:c r="A189" s="19" t="n">
        <x:f>LOG10('Du lieu'!G93)</x:f>
        <x:v>1.92941892571429</x:v>
      </x:c>
      <x:c r="B189" s="19" t="n">
        <x:f>LOG10('Du lieu'!Q93)</x:f>
        <x:v>0.0413926851582251</x:v>
      </x:c>
      <x:c r="C189" t="n">
        <x:f>'Du lieu'!A93</x:f>
        <x:v>85</x:v>
      </x:c>
    </x:row>
    <x:row r="190">
      <x:c r="A190" s="19" t="n">
        <x:f>LOG10('Du lieu'!G4924)</x:f>
        <x:v>2.11394335230684</x:v>
      </x:c>
      <x:c r="B190" s="19" t="n">
        <x:f>LOG10('Du lieu'!Q4924)</x:f>
        <x:v>0.653212513775344</x:v>
      </x:c>
      <x:c r="C190" t="n">
        <x:f>'Du lieu'!A4924</x:f>
        <x:v>6499</x:v>
      </x:c>
    </x:row>
    <x:row r="191">
      <x:c r="A191" s="19" t="n">
        <x:f>LOG10('Du lieu'!G5476)</x:f>
        <x:v>1.81291335664286</x:v>
      </x:c>
      <x:c r="B191" s="19" t="n">
        <x:f>LOG10('Du lieu'!Q5476)</x:f>
        <x:v>0.278753600952829</x:v>
      </x:c>
      <x:c r="C191" t="n">
        <x:f>'Du lieu'!A5476</x:f>
        <x:v>7175</x:v>
      </x:c>
    </x:row>
    <x:row r="192">
      <x:c r="A192" s="19" t="n">
        <x:f>LOG10('Du lieu'!G696)</x:f>
        <x:v>2.10037054511756</x:v>
      </x:c>
      <x:c r="B192" s="19" t="n">
        <x:f>LOG10('Du lieu'!Q696)</x:f>
        <x:v>-0.0861861476162833</x:v>
      </x:c>
      <x:c r="C192" t="n">
        <x:f>'Du lieu'!A696</x:f>
        <x:v>762</x:v>
      </x:c>
    </x:row>
    <x:row r="193">
      <x:c r="A193" s="19" t="n">
        <x:f>LOG10('Du lieu'!G3555)</x:f>
        <x:v>1.77815125038364</x:v>
      </x:c>
      <x:c r="B193" s="19" t="n">
        <x:f>LOG10('Du lieu'!Q3555)</x:f>
        <x:v>0.690196080028514</x:v>
      </x:c>
      <x:c r="C193" t="n">
        <x:f>'Du lieu'!A3555</x:f>
        <x:v>4869</x:v>
      </x:c>
    </x:row>
    <x:row r="194">
      <x:c r="A194" s="19" t="n">
        <x:f>LOG10('Du lieu'!G98)</x:f>
        <x:v>1.49136169383427</x:v>
      </x:c>
      <x:c r="B194" s="19" t="n">
        <x:f>LOG10('Du lieu'!Q98)</x:f>
        <x:v>0.556302500767287</x:v>
      </x:c>
      <x:c r="C194" t="n">
        <x:f>'Du lieu'!A98</x:f>
        <x:v>90</x:v>
      </x:c>
    </x:row>
    <x:row r="195">
      <x:c r="A195" s="19" t="n">
        <x:f>LOG10('Du lieu'!G3258)</x:f>
        <x:v>1.83884909073726</x:v>
      </x:c>
      <x:c r="B195" s="19" t="n">
        <x:f>LOG10('Du lieu'!Q3258)</x:f>
        <x:v>0.832508912706236</x:v>
      </x:c>
      <x:c r="C195" t="n">
        <x:f>'Du lieu'!A3258</x:f>
        <x:v>4419</x:v>
      </x:c>
    </x:row>
    <x:row r="196">
      <x:c r="A196" s="19" t="n">
        <x:f>LOG10('Du lieu'!G5365)</x:f>
        <x:v>1.81291335664286</x:v>
      </x:c>
      <x:c r="B196" s="19" t="n">
        <x:f>LOG10('Du lieu'!Q5365)</x:f>
        <x:v>0.130333768495006</x:v>
      </x:c>
      <x:c r="C196" t="n">
        <x:f>'Du lieu'!A5365</x:f>
        <x:v>7020</x:v>
      </x:c>
    </x:row>
    <x:row r="197">
      <x:c r="A197" s="19" t="n">
        <x:f>LOG10('Du lieu'!G2312)</x:f>
        <x:v>2.34242268082221</x:v>
      </x:c>
      <x:c r="B197" s="19" t="n">
        <x:f>LOG10('Du lieu'!Q2312)</x:f>
        <x:v>0.176091259055681</x:v>
      </x:c>
      <x:c r="C197" t="n">
        <x:f>'Du lieu'!A2312</x:f>
        <x:v>3275</x:v>
      </x:c>
    </x:row>
    <x:row r="198">
      <x:c r="A198" s="19" t="n">
        <x:f>LOG10('Du lieu'!G3747)</x:f>
        <x:v>1.68124123737559</x:v>
      </x:c>
      <x:c r="B198" s="19" t="n">
        <x:f>LOG10('Du lieu'!Q3747)</x:f>
        <x:v>0.720159303405957</x:v>
      </x:c>
      <x:c r="C198" t="n">
        <x:f>'Du lieu'!A3747</x:f>
        <x:v>5092</x:v>
      </x:c>
    </x:row>
    <x:row r="199">
      <x:c r="A199" s="19" t="n">
        <x:f>LOG10('Du lieu'!G5536)</x:f>
        <x:v>1.11394335230684</x:v>
      </x:c>
      <x:c r="B199" s="19" t="n">
        <x:f>LOG10('Du lieu'!Q5536)</x:f>
        <x:v>-0.0222763947111522</x:v>
      </x:c>
      <x:c r="C199" t="n">
        <x:f>'Du lieu'!A5536</x:f>
        <x:v>7243</x:v>
      </x:c>
    </x:row>
    <x:row r="200">
      <x:c r="A200" s="19" t="n">
        <x:f>LOG10('Du lieu'!G104)</x:f>
        <x:v>2.30102999566398</x:v>
      </x:c>
      <x:c r="B200" s="19" t="n">
        <x:f>LOG10('Du lieu'!Q104)</x:f>
        <x:v>0.698970004336019</x:v>
      </x:c>
      <x:c r="C200" t="n">
        <x:f>'Du lieu'!A104</x:f>
        <x:v>96</x:v>
      </x:c>
    </x:row>
    <x:row r="201">
      <x:c r="A201" s="19" t="n">
        <x:f>LOG10('Du lieu'!G4602)</x:f>
        <x:v>1.50514997831991</x:v>
      </x:c>
      <x:c r="B201" s="19" t="n">
        <x:f>LOG10('Du lieu'!Q4602)</x:f>
        <x:v>-0.397940008672038</x:v>
      </x:c>
      <x:c r="C201" t="n">
        <x:f>'Du lieu'!A4602</x:f>
        <x:v>6113</x:v>
      </x:c>
    </x:row>
    <x:row r="202">
      <x:c r="A202" s="19" t="n">
        <x:f>LOG10('Du lieu'!G1525)</x:f>
        <x:v>4.12856080655932</x:v>
      </x:c>
      <x:c r="B202" s="19" t="n">
        <x:f>LOG10('Du lieu'!Q1525)</x:f>
        <x:v>1.07918124604762</x:v>
      </x:c>
      <x:c r="C202" t="n">
        <x:f>'Du lieu'!A1525</x:f>
        <x:v>2355</x:v>
      </x:c>
    </x:row>
    <x:row r="203">
      <x:c r="A203" s="19" t="n">
        <x:f>LOG10('Du lieu'!G3020)</x:f>
        <x:v>1.53147891704226</x:v>
      </x:c>
      <x:c r="B203" s="19" t="n">
        <x:f>LOG10('Du lieu'!Q3020)</x:f>
        <x:v>0.332438459915605</x:v>
      </x:c>
      <x:c r="C203" t="n">
        <x:f>'Du lieu'!A3020</x:f>
        <x:v>4125</x:v>
      </x:c>
    </x:row>
    <x:row r="204">
      <x:c r="A204" s="19" t="n">
        <x:f>LOG10('Du lieu'!G5042)</x:f>
        <x:v>1.90308998699194</x:v>
      </x:c>
      <x:c r="B204" s="19" t="n">
        <x:f>LOG10('Du lieu'!Q5042)</x:f>
        <x:v>-0.00877392430750515</x:v>
      </x:c>
      <x:c r="C204" t="n">
        <x:f>'Du lieu'!A5042</x:f>
        <x:v>6654</x:v>
      </x:c>
    </x:row>
    <x:row r="205">
      <x:c r="A205" s="19" t="n">
        <x:f>LOG10('Du lieu'!G6196)</x:f>
        <x:v>1.68124123737559</x:v>
      </x:c>
      <x:c r="B205" s="19" t="n">
        <x:f>LOG10('Du lieu'!Q6196)</x:f>
        <x:v>0.662757831681574</x:v>
      </x:c>
      <x:c r="C205" t="n">
        <x:f>'Du lieu'!A6196</x:f>
        <x:v>8019</x:v>
      </x:c>
    </x:row>
    <x:row r="206">
      <x:c r="A206" s="19" t="n">
        <x:f>LOG10('Du lieu'!G2748)</x:f>
        <x:v>1.74036268949424</x:v>
      </x:c>
      <x:c r="B206" s="19" t="n">
        <x:f>LOG10('Du lieu'!Q2748)</x:f>
        <x:v>0.724275869600789</x:v>
      </x:c>
      <x:c r="C206" t="n">
        <x:f>'Du lieu'!A2748</x:f>
        <x:v>3802</x:v>
      </x:c>
    </x:row>
    <x:row r="207">
      <x:c r="A207" s="19" t="n">
        <x:f>LOG10('Du lieu'!G2162)</x:f>
        <x:v>1.7160033436348</x:v>
      </x:c>
      <x:c r="B207" s="19" t="n">
        <x:f>LOG10('Du lieu'!Q2162)</x:f>
        <x:v>0.89209460269048</x:v>
      </x:c>
      <x:c r="C207" t="n">
        <x:f>'Du lieu'!A2162</x:f>
        <x:v>3106</x:v>
      </x:c>
    </x:row>
    <x:row r="208">
      <x:c r="A208" s="19" t="n">
        <x:f>LOG10('Du lieu'!G5490)</x:f>
        <x:v>1.94448267215017</x:v>
      </x:c>
      <x:c r="B208" s="19" t="n">
        <x:f>LOG10('Du lieu'!Q5490)</x:f>
        <x:v>0.146128035678238</x:v>
      </x:c>
      <x:c r="C208" t="n">
        <x:f>'Du lieu'!A5490</x:f>
        <x:v>7192</x:v>
      </x:c>
    </x:row>
    <x:row r="209">
      <x:c r="A209" s="19" t="n">
        <x:f>LOG10('Du lieu'!G1470)</x:f>
        <x:v>2</x:v>
      </x:c>
      <x:c r="B209" s="19" t="n">
        <x:f>LOG10('Du lieu'!Q1470)</x:f>
        <x:v>-0.677780705266081</x:v>
      </x:c>
      <x:c r="C209" t="n">
        <x:f>'Du lieu'!A1470</x:f>
        <x:v>2294</x:v>
      </x:c>
    </x:row>
    <x:row r="210">
      <x:c r="A210" s="19" t="n">
        <x:f>LOG10('Du lieu'!G4528)</x:f>
        <x:v>1.77815125038364</x:v>
      </x:c>
      <x:c r="B210" s="19" t="n">
        <x:f>LOG10('Du lieu'!Q4528)</x:f>
        <x:v>-0.47755576649368</x:v>
      </x:c>
      <x:c r="C210" t="n">
        <x:f>'Du lieu'!A4528</x:f>
        <x:v>6027</x:v>
      </x:c>
    </x:row>
    <x:row r="211">
      <x:c r="A211" s="19" t="n">
        <x:f>LOG10('Du lieu'!G6584)</x:f>
        <x:v>1.55630250076729</x:v>
      </x:c>
      <x:c r="B211" s="19" t="n">
        <x:f>LOG10('Du lieu'!Q6584)</x:f>
        <x:v>0.198657086954423</x:v>
      </x:c>
      <x:c r="C211" t="n">
        <x:f>'Du lieu'!A6584</x:f>
        <x:v>8482</x:v>
      </x:c>
    </x:row>
    <x:row r="212">
      <x:c r="A212" s="19" t="n">
        <x:f>LOG10('Du lieu'!G3502)</x:f>
        <x:v>1.60205999132796</x:v>
      </x:c>
      <x:c r="B212" s="19" t="n">
        <x:f>LOG10('Du lieu'!Q3502)</x:f>
        <x:v>0.505149978319906</x:v>
      </x:c>
      <x:c r="C212" t="n">
        <x:f>'Du lieu'!A3502</x:f>
        <x:v>4811</x:v>
      </x:c>
    </x:row>
    <x:row r="213">
      <x:c r="A213" s="19" t="n">
        <x:f>LOG10('Du lieu'!G881)</x:f>
        <x:v>1.74036268949424</x:v>
      </x:c>
      <x:c r="B213" s="19" t="n">
        <x:f>LOG10('Du lieu'!Q881)</x:f>
        <x:v>0.550228353055094</x:v>
      </x:c>
      <x:c r="C213" t="n">
        <x:f>'Du lieu'!A881</x:f>
        <x:v>978</x:v>
      </x:c>
    </x:row>
    <x:row r="214">
      <x:c r="A214" s="19" t="n">
        <x:f>LOG10('Du lieu'!G5471)</x:f>
        <x:v>1.60205999132796</x:v>
      </x:c>
      <x:c r="B214" s="19" t="n">
        <x:f>LOG10('Du lieu'!Q5471)</x:f>
        <x:v>0.267171728403014</x:v>
      </x:c>
      <x:c r="C214" t="n">
        <x:f>'Du lieu'!A5471</x:f>
        <x:v>7170</x:v>
      </x:c>
    </x:row>
    <x:row r="215">
      <x:c r="A215" s="19" t="n">
        <x:f>LOG10('Du lieu'!G6419)</x:f>
        <x:v>1.95424250943932</x:v>
      </x:c>
      <x:c r="B215" s="19" t="n">
        <x:f>LOG10('Du lieu'!Q6419)</x:f>
        <x:v>-0.320572103387881</x:v>
      </x:c>
      <x:c r="C215" t="n">
        <x:f>'Du lieu'!A6419</x:f>
        <x:v>8295</x:v>
      </x:c>
    </x:row>
    <x:row r="216">
      <x:c r="A216" s="19" t="n">
        <x:f>LOG10('Du lieu'!G4785)</x:f>
        <x:v>1.25527250510331</x:v>
      </x:c>
      <x:c r="B216" s="19" t="n">
        <x:f>LOG10('Du lieu'!Q4785)</x:f>
        <x:v>-0.0809219076239261</x:v>
      </x:c>
      <x:c r="C216" t="n">
        <x:f>'Du lieu'!A4785</x:f>
        <x:v>6339</x:v>
      </x:c>
    </x:row>
    <x:row r="217">
      <x:c r="A217" s="19" t="n">
        <x:f>LOG10('Du lieu'!G5625)</x:f>
        <x:v>1.54406804435028</x:v>
      </x:c>
      <x:c r="B217" s="19" t="n">
        <x:f>LOG10('Du lieu'!Q5625)</x:f>
        <x:v>0.164352855784437</x:v>
      </x:c>
      <x:c r="C217" t="n">
        <x:f>'Du lieu'!A5625</x:f>
        <x:v>7346</x:v>
      </x:c>
    </x:row>
    <x:row r="218">
      <x:c r="A218" s="19" t="n">
        <x:f>LOG10('Du lieu'!G6797)</x:f>
        <x:v>3.70757017609794</x:v>
      </x:c>
      <x:c r="B218" s="19" t="n">
        <x:f>LOG10('Du lieu'!Q6797)</x:f>
        <x:v>0.653212513775344</x:v>
      </x:c>
      <x:c r="C218" t="n">
        <x:f>'Du lieu'!A6797</x:f>
        <x:v>8762</x:v>
      </x:c>
    </x:row>
    <x:row r="219">
      <x:c r="A219" s="19" t="n">
        <x:f>LOG10('Du lieu'!G5918)</x:f>
        <x:v>1.85733249643127</x:v>
      </x:c>
      <x:c r="B219" s="19" t="n">
        <x:f>LOG10('Du lieu'!Q5918)</x:f>
        <x:v>0.795880017344075</x:v>
      </x:c>
      <x:c r="C219" t="n">
        <x:f>'Du lieu'!A5918</x:f>
        <x:v>7698</x:v>
      </x:c>
    </x:row>
    <x:row r="220">
      <x:c r="A220" s="19" t="n">
        <x:f>LOG10('Du lieu'!G2687)</x:f>
        <x:v>2.02118929906994</x:v>
      </x:c>
      <x:c r="B220" s="19" t="n">
        <x:f>LOG10('Du lieu'!Q2687)</x:f>
        <x:v>0.190331698170291</x:v>
      </x:c>
      <x:c r="C220" t="n">
        <x:f>'Du lieu'!A2687</x:f>
        <x:v>3725</x:v>
      </x:c>
    </x:row>
    <x:row r="221">
      <x:c r="A221" s="19" t="n">
        <x:f>LOG10('Du lieu'!G125)</x:f>
        <x:v>2.17609125905568</x:v>
      </x:c>
      <x:c r="B221" s="19" t="n">
        <x:f>LOG10('Du lieu'!Q125)</x:f>
        <x:v>0.826074802700826</x:v>
      </x:c>
      <x:c r="C221" t="n">
        <x:f>'Du lieu'!A125</x:f>
        <x:v>133</x:v>
      </x:c>
    </x:row>
    <x:row r="222">
      <x:c r="A222" s="19" t="n">
        <x:f>LOG10('Du lieu'!G5332)</x:f>
        <x:v>1.66275783168157</x:v>
      </x:c>
      <x:c r="B222" s="19" t="n">
        <x:f>LOG10('Du lieu'!Q5332)</x:f>
        <x:v>0.428134794028789</x:v>
      </x:c>
      <x:c r="C222" t="n">
        <x:f>'Du lieu'!A5332</x:f>
        <x:v>6983</x:v>
      </x:c>
    </x:row>
    <x:row r="223">
      <x:c r="A223" s="19" t="n">
        <x:f>LOG10('Du lieu'!G2425)</x:f>
        <x:v>1.81954393554187</x:v>
      </x:c>
      <x:c r="B223" s="19" t="n">
        <x:f>LOG10('Du lieu'!Q2425)</x:f>
        <x:v>0.0969100130080564</x:v>
      </x:c>
      <x:c r="C223" t="n">
        <x:f>'Du lieu'!A2425</x:f>
        <x:v>3429</x:v>
      </x:c>
    </x:row>
    <x:row r="224">
      <x:c r="A224" s="19" t="n">
        <x:f>LOG10('Du lieu'!G128)</x:f>
        <x:v>1.90308998699194</x:v>
      </x:c>
      <x:c r="B224" s="19" t="n">
        <x:f>LOG10('Du lieu'!Q128)</x:f>
        <x:v>0.812913356642855</x:v>
      </x:c>
      <x:c r="C224" t="n">
        <x:f>'Du lieu'!A128</x:f>
        <x:v>136</x:v>
      </x:c>
    </x:row>
    <x:row r="225">
      <x:c r="A225" s="19" t="n">
        <x:f>LOG10('Du lieu'!G2532)</x:f>
        <x:v>3.47712125471966</x:v>
      </x:c>
      <x:c r="B225" s="19" t="n">
        <x:f>LOG10('Du lieu'!Q2532)</x:f>
        <x:v>0.477121254719662</x:v>
      </x:c>
      <x:c r="C225" t="n">
        <x:f>'Du lieu'!A2532</x:f>
        <x:v>3550</x:v>
      </x:c>
    </x:row>
    <x:row r="226">
      <x:c r="A226" s="19" t="n">
        <x:f>LOG10('Du lieu'!G4058)</x:f>
        <x:v>2.12385164096709</x:v>
      </x:c>
      <x:c r="B226" s="19" t="n">
        <x:f>LOG10('Du lieu'!Q4058)</x:f>
        <x:v>-0.481486060122112</x:v>
      </x:c>
      <x:c r="C226" t="n">
        <x:f>'Du lieu'!A4058</x:f>
        <x:v>5474</x:v>
      </x:c>
    </x:row>
    <x:row r="227">
      <x:c r="A227" s="19" t="n">
        <x:f>LOG10('Du lieu'!G2323)</x:f>
        <x:v>2.06445798922692</x:v>
      </x:c>
      <x:c r="B227" s="19" t="n">
        <x:f>LOG10('Du lieu'!Q2323)</x:f>
        <x:v>0.113943352306837</x:v>
      </x:c>
      <x:c r="C227" t="n">
        <x:f>'Du lieu'!A2323</x:f>
        <x:v>3289</x:v>
      </x:c>
    </x:row>
    <x:row r="228">
      <x:c r="A228" s="19" t="n">
        <x:f>LOG10('Du lieu'!G4034)</x:f>
        <x:v>1.92941892571429</x:v>
      </x:c>
      <x:c r="B228" s="19" t="n">
        <x:f>LOG10('Du lieu'!Q4034)</x:f>
        <x:v>-0.3767507096021</x:v>
      </x:c>
      <x:c r="C228" t="n">
        <x:f>'Du lieu'!A4034</x:f>
        <x:v>5447</x:v>
      </x:c>
    </x:row>
    <x:row r="229">
      <x:c r="A229" s="19" t="n">
        <x:f>LOG10('Du lieu'!G6935)</x:f>
        <x:v>1.85733249643127</x:v>
      </x:c>
      <x:c r="B229" s="19" t="n">
        <x:f>LOG10('Du lieu'!Q6935)</x:f>
        <x:v>-0.187086643357144</x:v>
      </x:c>
      <x:c r="C229" t="n">
        <x:f>'Du lieu'!A6935</x:f>
        <x:v>8921</x:v>
      </x:c>
    </x:row>
    <x:row r="230">
      <x:c r="A230" s="19" t="n">
        <x:f>LOG10('Du lieu'!G4418)</x:f>
        <x:v>1.77815125038364</x:v>
      </x:c>
      <x:c r="B230" s="19" t="n">
        <x:f>LOG10('Du lieu'!Q4418)</x:f>
        <x:v>-0.0757207139381184</x:v>
      </x:c>
      <x:c r="C230" t="n">
        <x:f>'Du lieu'!A4418</x:f>
        <x:v>5898</x:v>
      </x:c>
    </x:row>
    <x:row r="231">
      <x:c r="A231" s="19" t="n">
        <x:f>LOG10('Du lieu'!G6228)</x:f>
        <x:v>2.04139268515822</x:v>
      </x:c>
      <x:c r="B231" s="19" t="n">
        <x:f>LOG10('Du lieu'!Q6228)</x:f>
        <x:v>-0.0974532206860086</x:v>
      </x:c>
      <x:c r="C231" t="n">
        <x:f>'Du lieu'!A6228</x:f>
        <x:v>8057</x:v>
      </x:c>
    </x:row>
    <x:row r="232">
      <x:c r="A232" s="19" t="n">
        <x:f>LOG10('Du lieu'!G2749)</x:f>
        <x:v>2.07918124604762</x:v>
      </x:c>
      <x:c r="B232" s="19" t="n">
        <x:f>LOG10('Du lieu'!Q2749)</x:f>
        <x:v>-0.207608310501746</x:v>
      </x:c>
      <x:c r="C232" t="n">
        <x:f>'Du lieu'!A2749</x:f>
        <x:v>3803</x:v>
      </x:c>
    </x:row>
    <x:row r="233">
      <x:c r="A233" s="19" t="n">
        <x:f>LOG10('Du lieu'!G1166)</x:f>
        <x:v>2.06445798922692</x:v>
      </x:c>
      <x:c r="B233" s="19" t="n">
        <x:f>LOG10('Du lieu'!Q1166)</x:f>
        <x:v>-0.259637310505756</x:v>
      </x:c>
      <x:c r="C233" t="n">
        <x:f>'Du lieu'!A1166</x:f>
        <x:v>1697</x:v>
      </x:c>
    </x:row>
    <x:row r="234">
      <x:c r="A234" s="19" t="n">
        <x:f>LOG10('Du lieu'!G5979)</x:f>
        <x:v>1.57978359661681</x:v>
      </x:c>
      <x:c r="B234" s="19" t="n">
        <x:f>LOG10('Du lieu'!Q5979)</x:f>
        <x:v>0.447158031342219</x:v>
      </x:c>
      <x:c r="C234" t="n">
        <x:f>'Du lieu'!A5979</x:f>
        <x:v>7769</x:v>
      </x:c>
    </x:row>
    <x:row r="235">
      <x:c r="A235" s="19" t="n">
        <x:f>LOG10('Du lieu'!G5845)</x:f>
        <x:v>2</x:v>
      </x:c>
      <x:c r="B235" s="19" t="n">
        <x:f>LOG10('Du lieu'!Q5845)</x:f>
        <x:v>0.130333768495006</x:v>
      </x:c>
      <x:c r="C235" t="n">
        <x:f>'Du lieu'!A5845</x:f>
        <x:v>7592</x:v>
      </x:c>
    </x:row>
    <x:row r="236">
      <x:c r="A236" s="19" t="n">
        <x:f>LOG10('Du lieu'!G6715)</x:f>
        <x:v>1.80617997398389</x:v>
      </x:c>
      <x:c r="B236" s="19" t="n">
        <x:f>LOG10('Du lieu'!Q6715)</x:f>
        <x:v>0.460897842756548</x:v>
      </x:c>
      <x:c r="C236" t="n">
        <x:f>'Du lieu'!A6715</x:f>
        <x:v>8637</x:v>
      </x:c>
    </x:row>
    <x:row r="237">
      <x:c r="A237" s="19" t="n">
        <x:f>LOG10('Du lieu'!G5186)</x:f>
        <x:v>1.69897000433602</x:v>
      </x:c>
      <x:c r="B237" s="19" t="n">
        <x:f>LOG10('Du lieu'!Q5186)</x:f>
        <x:v>0.511883360978874</x:v>
      </x:c>
      <x:c r="C237" t="n">
        <x:f>'Du lieu'!A5186</x:f>
        <x:v>6816</x:v>
      </x:c>
    </x:row>
    <x:row r="238">
      <x:c r="A238" s="19" t="n">
        <x:f>LOG10('Du lieu'!G2771)</x:f>
        <x:v>1.39794000867204</x:v>
      </x:c>
      <x:c r="B238" s="19" t="n">
        <x:f>LOG10('Du lieu'!Q2771)</x:f>
        <x:v>0.505149978319906</x:v>
      </x:c>
      <x:c r="C238" t="n">
        <x:f>'Du lieu'!A2771</x:f>
        <x:v>3828</x:v>
      </x:c>
    </x:row>
    <x:row r="239">
      <x:c r="A239" s="19" t="n">
        <x:f>LOG10('Du lieu'!G1719)</x:f>
        <x:v>2</x:v>
      </x:c>
      <x:c r="B239" s="19" t="n">
        <x:f>LOG10('Du lieu'!Q1719)</x:f>
        <x:v>-0.443697499232713</x:v>
      </x:c>
      <x:c r="C239" t="n">
        <x:f>'Du lieu'!A1719</x:f>
        <x:v>2593</x:v>
      </x:c>
    </x:row>
    <x:row r="240">
      <x:c r="A240" s="19" t="n">
        <x:f>LOG10('Du lieu'!G3365)</x:f>
        <x:v>2</x:v>
      </x:c>
      <x:c r="B240" s="19" t="n">
        <x:f>LOG10('Du lieu'!Q3365)</x:f>
        <x:v>-1.67778070526608</x:v>
      </x:c>
      <x:c r="C240" t="n">
        <x:f>'Du lieu'!A3365</x:f>
        <x:v>4653</x:v>
      </x:c>
    </x:row>
    <x:row r="241">
      <x:c r="A241" s="19" t="n">
        <x:f>LOG10('Du lieu'!G5064)</x:f>
        <x:v>2.36172783601759</x:v>
      </x:c>
      <x:c r="B241" s="19" t="n">
        <x:f>LOG10('Du lieu'!Q5064)</x:f>
        <x:v>-0.0506099933550872</x:v>
      </x:c>
      <x:c r="C241" t="n">
        <x:f>'Du lieu'!A5064</x:f>
        <x:v>6678</x:v>
      </x:c>
    </x:row>
    <x:row r="242">
      <x:c r="A242" s="19" t="n">
        <x:f>LOG10('Du lieu'!G5905)</x:f>
        <x:v>1.41497334797082</x:v>
      </x:c>
      <x:c r="B242" s="19" t="n">
        <x:f>LOG10('Du lieu'!Q5905)</x:f>
        <x:v>0.342422680822206</x:v>
      </x:c>
      <x:c r="C242" t="n">
        <x:f>'Du lieu'!A5905</x:f>
        <x:v>7683</x:v>
      </x:c>
    </x:row>
    <x:row r="243">
      <x:c r="A243" s="19" t="n">
        <x:f>LOG10('Du lieu'!G3472)</x:f>
        <x:v>1.91907809237607</x:v>
      </x:c>
      <x:c r="B243" s="19" t="n">
        <x:f>LOG10('Du lieu'!Q3472)</x:f>
        <x:v>0.977723605288848</x:v>
      </x:c>
      <x:c r="C243" t="n">
        <x:f>'Du lieu'!A3472</x:f>
        <x:v>4776</x:v>
      </x:c>
    </x:row>
    <x:row r="244">
      <x:c r="A244" s="19" t="n">
        <x:f>LOG10('Du lieu'!G3776)</x:f>
        <x:v>3.04139268515822</x:v>
      </x:c>
      <x:c r="B244" s="19" t="n">
        <x:f>LOG10('Du lieu'!Q3776)</x:f>
        <x:v>-0.408935392973501</x:v>
      </x:c>
      <x:c r="C244" t="n">
        <x:f>'Du lieu'!A3776</x:f>
        <x:v>5126</x:v>
      </x:c>
    </x:row>
    <x:row r="245">
      <x:c r="A245" s="19" t="n">
        <x:f>LOG10('Du lieu'!G1564)</x:f>
        <x:v>2.06445798922692</x:v>
      </x:c>
      <x:c r="B245" s="19" t="n">
        <x:f>LOG10('Du lieu'!Q1564)</x:f>
        <x:v>0.423245873936808</x:v>
      </x:c>
      <x:c r="C245" t="n">
        <x:f>'Du lieu'!A1564</x:f>
        <x:v>2412</x:v>
      </x:c>
    </x:row>
    <x:row r="246">
      <x:c r="A246" s="19" t="n">
        <x:f>LOG10('Du lieu'!G5511)</x:f>
        <x:v>1.7481880270062</x:v>
      </x:c>
      <x:c r="B246" s="19" t="n">
        <x:f>LOG10('Du lieu'!Q5511)</x:f>
        <x:v>0.685741738602264</x:v>
      </x:c>
      <x:c r="C246" t="n">
        <x:f>'Du lieu'!A5511</x:f>
        <x:v>7215</x:v>
      </x:c>
    </x:row>
    <x:row r="247">
      <x:c r="A247" s="19" t="n">
        <x:f>LOG10('Du lieu'!G3177)</x:f>
        <x:v>2.09342168516224</x:v>
      </x:c>
      <x:c r="B247" s="19" t="n">
        <x:f>LOG10('Du lieu'!Q3177)</x:f>
        <x:v>-0.104025267640935</x:v>
      </x:c>
      <x:c r="C247" t="n">
        <x:f>'Du lieu'!A3177</x:f>
        <x:v>4306</x:v>
      </x:c>
    </x:row>
    <x:row r="248">
      <x:c r="A248" s="19" t="n">
        <x:f>LOG10('Du lieu'!G3266)</x:f>
        <x:v>2</x:v>
      </x:c>
      <x:c r="B248" s="19" t="n">
        <x:f>LOG10('Du lieu'!Q3266)</x:f>
        <x:v>0.146128035678238</x:v>
      </x:c>
      <x:c r="C248" t="n">
        <x:f>'Du lieu'!A3266</x:f>
        <x:v>4429</x:v>
      </x:c>
    </x:row>
    <x:row r="249">
      <x:c r="A249" s="19" t="n">
        <x:f>LOG10('Du lieu'!G3193)</x:f>
        <x:v>2.07918124604762</x:v>
      </x:c>
      <x:c r="B249" s="19" t="n">
        <x:f>LOG10('Du lieu'!Q3193)</x:f>
        <x:v>-0.1249387366083</x:v>
      </x:c>
      <x:c r="C249" t="n">
        <x:f>'Du lieu'!A3193</x:f>
        <x:v>4326</x:v>
      </x:c>
    </x:row>
    <x:row r="250">
      <x:c r="A250" s="19" t="n">
        <x:f>LOG10('Du lieu'!G3172)</x:f>
        <x:v>1.69897000433602</x:v>
      </x:c>
      <x:c r="B250" s="19" t="n">
        <x:f>LOG10('Du lieu'!Q3172)</x:f>
        <x:v>0.838849090737255</x:v>
      </x:c>
      <x:c r="C250" t="n">
        <x:f>'Du lieu'!A3172</x:f>
        <x:v>4301</x:v>
      </x:c>
    </x:row>
    <x:row r="251">
      <x:c r="A251" s="19" t="n">
        <x:f>LOG10('Du lieu'!G4026)</x:f>
        <x:v>1.64728514502537</x:v>
      </x:c>
      <x:c r="B251" s="19" t="n">
        <x:f>LOG10('Du lieu'!Q4026)</x:f>
        <x:v>0.462397997898956</x:v>
      </x:c>
      <x:c r="C251" t="n">
        <x:f>'Du lieu'!A4026</x:f>
        <x:v>5436</x:v>
      </x:c>
    </x:row>
    <x:row r="252">
      <x:c r="A252" s="19" t="n">
        <x:f>LOG10('Du lieu'!G6662)</x:f>
        <x:v>3.07918124604762</x:v>
      </x:c>
      <x:c r="B252" s="19" t="n">
        <x:f>LOG10('Du lieu'!Q6662)</x:f>
        <x:v>0.255272505103306</x:v>
      </x:c>
      <x:c r="C252" t="n">
        <x:f>'Du lieu'!A6662</x:f>
        <x:v>8572</x:v>
      </x:c>
    </x:row>
    <x:row r="253">
      <x:c r="A253" s="19" t="n">
        <x:f>LOG10('Du lieu'!G6333)</x:f>
        <x:v>1.38021124171161</x:v>
      </x:c>
      <x:c r="B253" s="19" t="n">
        <x:f>LOG10('Du lieu'!Q6333)</x:f>
        <x:v>0.290034611362518</x:v>
      </x:c>
      <x:c r="C253" t="n">
        <x:f>'Du lieu'!A6333</x:f>
        <x:v>8198</x:v>
      </x:c>
    </x:row>
    <x:row r="254">
      <x:c r="A254" s="19" t="n">
        <x:f>LOG10('Du lieu'!G3961)</x:f>
        <x:v>1.77815125038364</x:v>
      </x:c>
      <x:c r="B254" s="19" t="n">
        <x:f>LOG10('Du lieu'!Q3961)</x:f>
        <x:v>-0.187086643357144</x:v>
      </x:c>
      <x:c r="C254" t="n">
        <x:f>'Du lieu'!A3961</x:f>
        <x:v>5360</x:v>
      </x:c>
    </x:row>
    <x:row r="255">
      <x:c r="A255" s="19" t="n">
        <x:f>LOG10('Du lieu'!G1492)</x:f>
        <x:v>2.17609125905568</x:v>
      </x:c>
      <x:c r="B255" s="19" t="n">
        <x:f>LOG10('Du lieu'!Q1492)</x:f>
        <x:v>0.371067862271736</x:v>
      </x:c>
      <x:c r="C255" t="n">
        <x:f>'Du lieu'!A1492</x:f>
        <x:v>2319</x:v>
      </x:c>
    </x:row>
    <x:row r="256">
      <x:c r="A256" s="19" t="n">
        <x:f>LOG10('Du lieu'!G6403)</x:f>
        <x:v>1.47712125471966</x:v>
      </x:c>
      <x:c r="B256" s="19" t="n">
        <x:f>LOG10('Du lieu'!Q6403)</x:f>
        <x:v>0.190331698170291</x:v>
      </x:c>
      <x:c r="C256" t="n">
        <x:f>'Du lieu'!A6403</x:f>
        <x:v>8276</x:v>
      </x:c>
    </x:row>
    <x:row r="257">
      <x:c r="A257" s="19" t="n">
        <x:f>LOG10('Du lieu'!G2740)</x:f>
        <x:v>1.74036268949424</x:v>
      </x:c>
      <x:c r="B257" s="19" t="n">
        <x:f>LOG10('Du lieu'!Q2740)</x:f>
        <x:v>0.643452676486187</x:v>
      </x:c>
      <x:c r="C257" t="n">
        <x:f>'Du lieu'!A2740</x:f>
        <x:v>3790</x:v>
      </x:c>
    </x:row>
    <x:row r="258">
      <x:c r="A258" s="19" t="n">
        <x:f>LOG10('Du lieu'!G1379)</x:f>
        <x:v>1.84509804001426</x:v>
      </x:c>
      <x:c r="B258" s="19" t="n">
        <x:f>LOG10('Du lieu'!Q1379)</x:f>
        <x:v>0.913813852383717</x:v>
      </x:c>
      <x:c r="C258" t="n">
        <x:f>'Du lieu'!A1379</x:f>
        <x:v>2153</x:v>
      </x:c>
    </x:row>
    <x:row r="259">
      <x:c r="A259" s="19" t="n">
        <x:f>LOG10('Du lieu'!G1005)</x:f>
        <x:v>2</x:v>
      </x:c>
      <x:c r="B259" s="19" t="n">
        <x:f>LOG10('Du lieu'!Q1005)</x:f>
        <x:v>1.43136376415899</x:v>
      </x:c>
      <x:c r="C259" t="n">
        <x:f>'Du lieu'!A1005</x:f>
        <x:v>1110</x:v>
      </x:c>
    </x:row>
    <x:row r="260">
      <x:c r="A260" s="19" t="n">
        <x:f>LOG10('Du lieu'!G3765)</x:f>
        <x:v>1.7160033436348</x:v>
      </x:c>
      <x:c r="B260" s="19" t="n">
        <x:f>LOG10('Du lieu'!Q3765)</x:f>
        <x:v>0.491361693834273</x:v>
      </x:c>
      <x:c r="C260" t="n">
        <x:f>'Du lieu'!A3765</x:f>
        <x:v>5113</x:v>
      </x:c>
    </x:row>
    <x:row r="261">
      <x:c r="A261" s="19" t="n">
        <x:f>LOG10('Du lieu'!G165)</x:f>
        <x:v>1.96378782734556</x:v>
      </x:c>
      <x:c r="B261" s="19" t="n">
        <x:f>LOG10('Du lieu'!Q165)</x:f>
        <x:v>0.838849090737255</x:v>
      </x:c>
      <x:c r="C261" t="n">
        <x:f>'Du lieu'!A165</x:f>
        <x:v>173</x:v>
      </x:c>
    </x:row>
    <x:row r="262">
      <x:c r="A262" s="19" t="n">
        <x:f>LOG10('Du lieu'!G5436)</x:f>
        <x:v>2.13033376849501</x:v>
      </x:c>
      <x:c r="B262" s="19" t="n">
        <x:f>LOG10('Du lieu'!Q5436)</x:f>
        <x:v>0.130333768495006</x:v>
      </x:c>
      <x:c r="C262" t="n">
        <x:f>'Du lieu'!A5436</x:f>
        <x:v>7103</x:v>
      </x:c>
    </x:row>
    <x:row r="263">
      <x:c r="A263" s="19" t="n">
        <x:f>LOG10('Du lieu'!G5668)</x:f>
        <x:v>2.07554696139253</x:v>
      </x:c>
      <x:c r="B263" s="19" t="n">
        <x:f>LOG10('Du lieu'!Q5668)</x:f>
        <x:v>0.778151250383644</x:v>
      </x:c>
      <x:c r="C263" t="n">
        <x:f>'Du lieu'!A5668</x:f>
        <x:v>7393</x:v>
      </x:c>
    </x:row>
    <x:row r="264">
      <x:c r="A264" s="19" t="n">
        <x:f>LOG10('Du lieu'!G3159)</x:f>
        <x:v>1.54406804435028</x:v>
      </x:c>
      <x:c r="B264" s="19" t="n">
        <x:f>LOG10('Du lieu'!Q3159)</x:f>
        <x:v>-0.0579919469776868</x:v>
      </x:c>
      <x:c r="C264" t="n">
        <x:f>'Du lieu'!A3159</x:f>
        <x:v>4284</x:v>
      </x:c>
    </x:row>
    <x:row r="265">
      <x:c r="A265" s="19" t="n">
        <x:f>LOG10('Du lieu'!G2976)</x:f>
        <x:v>1.84509804001426</x:v>
      </x:c>
      <x:c r="B265" s="19" t="n">
        <x:f>LOG10('Du lieu'!Q2976)</x:f>
        <x:v>-0.42021640338319</x:v>
      </x:c>
      <x:c r="C265" t="n">
        <x:f>'Du lieu'!A2976</x:f>
        <x:v>4076</x:v>
      </x:c>
    </x:row>
    <x:row r="266">
      <x:c r="A266" s="19" t="n">
        <x:f>LOG10('Du lieu'!G4267)</x:f>
        <x:v>2.07918124604762</x:v>
      </x:c>
      <x:c r="B266" s="19" t="n">
        <x:f>LOG10('Du lieu'!Q4267)</x:f>
        <x:v>-0.455931955649724</x:v>
      </x:c>
      <x:c r="C266" t="n">
        <x:f>'Du lieu'!A4267</x:f>
        <x:v>5726</x:v>
      </x:c>
    </x:row>
    <x:row r="267">
      <x:c r="A267" s="19" t="n">
        <x:f>LOG10('Du lieu'!G1119)</x:f>
        <x:v>2.49276038902684</x:v>
      </x:c>
      <x:c r="B267" s="19" t="n">
        <x:f>LOG10('Du lieu'!Q1119)</x:f>
        <x:v>0.518513939877887</x:v>
      </x:c>
      <x:c r="C267" t="n">
        <x:f>'Du lieu'!A1119</x:f>
        <x:v>1445</x:v>
      </x:c>
    </x:row>
    <x:row r="268">
      <x:c r="A268" s="19" t="n">
        <x:f>LOG10('Du lieu'!G3577)</x:f>
        <x:v>1.90308998699194</x:v>
      </x:c>
      <x:c r="B268" s="19" t="n">
        <x:f>LOG10('Du lieu'!Q3577)</x:f>
        <x:v>-0.142667503568732</x:v>
      </x:c>
      <x:c r="C268" t="n">
        <x:f>'Du lieu'!A3577</x:f>
        <x:v>4893</x:v>
      </x:c>
    </x:row>
    <x:row r="269">
      <x:c r="A269" s="19" t="n">
        <x:f>LOG10('Du lieu'!G6462)</x:f>
        <x:v>2.07918124604762</x:v>
      </x:c>
      <x:c r="B269" s="19" t="n">
        <x:f>LOG10('Du lieu'!Q6462)</x:f>
        <x:v>0.371067862271736</x:v>
      </x:c>
      <x:c r="C269" t="n">
        <x:f>'Du lieu'!A6462</x:f>
        <x:v>8344</x:v>
      </x:c>
    </x:row>
    <x:row r="270">
      <x:c r="A270" s="19" t="n">
        <x:f>LOG10('Du lieu'!G2974)</x:f>
        <x:v>1.51851393987789</x:v>
      </x:c>
      <x:c r="B270" s="19" t="n">
        <x:f>LOG10('Du lieu'!Q2974)</x:f>
        <x:v>0.439332693830263</x:v>
      </x:c>
      <x:c r="C270" t="n">
        <x:f>'Du lieu'!A2974</x:f>
        <x:v>4074</x:v>
      </x:c>
    </x:row>
    <x:row r="271">
      <x:c r="A271" s="19" t="n">
        <x:f>LOG10('Du lieu'!G6678)</x:f>
        <x:v>1.8750612633917</x:v>
      </x:c>
      <x:c r="B271" s="19" t="n">
        <x:f>LOG10('Du lieu'!Q6678)</x:f>
        <x:v>0.352182518111362</x:v>
      </x:c>
      <x:c r="C271" t="n">
        <x:f>'Du lieu'!A6678</x:f>
        <x:v>8590</x:v>
      </x:c>
    </x:row>
    <x:row r="272">
      <x:c r="A272" s="19" t="n">
        <x:f>LOG10('Du lieu'!G1395)</x:f>
        <x:v>1.8750612633917</x:v>
      </x:c>
      <x:c r="B272" s="19" t="n">
        <x:f>LOG10('Du lieu'!Q1395)</x:f>
        <x:v>0.146128035678238</x:v>
      </x:c>
      <x:c r="C272" t="n">
        <x:f>'Du lieu'!A1395</x:f>
        <x:v>2173</x:v>
      </x:c>
    </x:row>
    <x:row r="273">
      <x:c r="A273" s="19" t="n">
        <x:f>LOG10('Du lieu'!G177)</x:f>
        <x:v>2.01703333929878</x:v>
      </x:c>
      <x:c r="B273" s="19" t="n">
        <x:f>LOG10('Du lieu'!Q177)</x:f>
        <x:v>0.397940008672038</x:v>
      </x:c>
      <x:c r="C273" t="n">
        <x:f>'Du lieu'!A177</x:f>
        <x:v>185</x:v>
      </x:c>
    </x:row>
    <x:row r="274">
      <x:c r="A274" s="19" t="n">
        <x:f>LOG10('Du lieu'!G178)</x:f>
        <x:v>2</x:v>
      </x:c>
      <x:c r="B274" s="19" t="n">
        <x:f>LOG10('Du lieu'!Q178)</x:f>
        <x:v>0.672097857935717</x:v>
      </x:c>
      <x:c r="C274" t="n">
        <x:f>'Du lieu'!A178</x:f>
        <x:v>186</x:v>
      </x:c>
    </x:row>
    <x:row r="275">
      <x:c r="A275" s="19" t="n">
        <x:f>LOG10('Du lieu'!G2468)</x:f>
        <x:v>1.90308998699194</x:v>
      </x:c>
      <x:c r="B275" s="19" t="n">
        <x:f>LOG10('Du lieu'!Q2468)</x:f>
        <x:v>0.812913356642855</x:v>
      </x:c>
      <x:c r="C275" t="n">
        <x:f>'Du lieu'!A2468</x:f>
        <x:v>3476</x:v>
      </x:c>
    </x:row>
    <x:row r="276">
      <x:c r="A276" s="19" t="n">
        <x:f>LOG10('Du lieu'!G3162)</x:f>
        <x:v>2.49554433754645</x:v>
      </x:c>
      <x:c r="B276" s="19" t="n">
        <x:f>LOG10('Du lieu'!Q3162)</x:f>
        <x:v>-0.958607314841775</x:v>
      </x:c>
      <x:c r="C276" t="n">
        <x:f>'Du lieu'!A3162</x:f>
        <x:v>4287</x:v>
      </x:c>
    </x:row>
    <x:row r="277">
      <x:c r="A277" s="19" t="n">
        <x:f>LOG10('Du lieu'!G5185)</x:f>
        <x:v>1.78532983501077</x:v>
      </x:c>
      <x:c r="B277" s="19" t="n">
        <x:f>LOG10('Du lieu'!Q5185)</x:f>
        <x:v>0.27415784926368</x:v>
      </x:c>
      <x:c r="C277" t="n">
        <x:f>'Du lieu'!A5185</x:f>
        <x:v>6815</x:v>
      </x:c>
    </x:row>
    <x:row r="278">
      <x:c r="A278" s="19" t="n">
        <x:f>LOG10('Du lieu'!G6484)</x:f>
        <x:v>1.80617997398389</x:v>
      </x:c>
      <x:c r="B278" s="19" t="n">
        <x:f>LOG10('Du lieu'!Q6484)</x:f>
        <x:v>1.01283722470517</x:v>
      </x:c>
      <x:c r="C278" t="n">
        <x:f>'Du lieu'!A6484</x:f>
        <x:v>8369</x:v>
      </x:c>
    </x:row>
    <x:row r="279">
      <x:c r="A279" s="19" t="n">
        <x:f>LOG10('Du lieu'!G1922)</x:f>
        <x:v>2.00432137378264</x:v>
      </x:c>
      <x:c r="B279" s="19" t="n">
        <x:f>LOG10('Du lieu'!Q1922)</x:f>
        <x:v>-0.0705810742857073</x:v>
      </x:c>
      <x:c r="C279" t="n">
        <x:f>'Du lieu'!A1922</x:f>
        <x:v>2822</x:v>
      </x:c>
    </x:row>
    <x:row r="280">
      <x:c r="A280" s="19" t="n">
        <x:f>LOG10('Du lieu'!G5597)</x:f>
        <x:v>1.68124123737559</x:v>
      </x:c>
      <x:c r="B280" s="19" t="n">
        <x:f>LOG10('Du lieu'!Q5597)</x:f>
        <x:v>0.130333768495006</x:v>
      </x:c>
      <x:c r="C280" t="n">
        <x:f>'Du lieu'!A5597</x:f>
        <x:v>7312</x:v>
      </x:c>
    </x:row>
    <x:row r="281">
      <x:c r="A281" s="19" t="n">
        <x:f>LOG10('Du lieu'!G4390)</x:f>
        <x:v>1.63346845557959</x:v>
      </x:c>
      <x:c r="B281" s="19" t="n">
        <x:f>LOG10('Du lieu'!Q4390)</x:f>
        <x:v>-0.00877392430750515</x:v>
      </x:c>
      <x:c r="C281" t="n">
        <x:f>'Du lieu'!A4390</x:f>
        <x:v>5865</x:v>
      </x:c>
    </x:row>
    <x:row r="282">
      <x:c r="A282" s="19" t="n">
        <x:f>LOG10('Du lieu'!G2325)</x:f>
        <x:v>2</x:v>
      </x:c>
      <x:c r="B282" s="19" t="n">
        <x:f>LOG10('Du lieu'!Q2325)</x:f>
        <x:v>-0.187755303199631</x:v>
      </x:c>
      <x:c r="C282" t="n">
        <x:f>'Du lieu'!A2325</x:f>
        <x:v>3291</x:v>
      </x:c>
    </x:row>
    <x:row r="283">
      <x:c r="A283" s="19" t="n">
        <x:f>LOG10('Du lieu'!G1064)</x:f>
        <x:v>1.79934054945358</x:v>
      </x:c>
      <x:c r="B283" s="19" t="n">
        <x:f>LOG10('Du lieu'!Q1064)</x:f>
        <x:v>0.130333768495006</x:v>
      </x:c>
      <x:c r="C283" t="n">
        <x:f>'Du lieu'!A1064</x:f>
        <x:v>1235</x:v>
      </x:c>
    </x:row>
    <x:row r="284">
      <x:c r="A284" s="19" t="n">
        <x:f>LOG10('Du lieu'!G3719)</x:f>
        <x:v>1.55630250076729</x:v>
      </x:c>
      <x:c r="B284" s="19" t="n">
        <x:f>LOG10('Du lieu'!Q3719)</x:f>
        <x:v>-0.318758762624413</x:v>
      </x:c>
      <x:c r="C284" t="n">
        <x:f>'Du lieu'!A3719</x:f>
        <x:v>5060</x:v>
      </x:c>
    </x:row>
    <x:row r="285">
      <x:c r="A285" s="19" t="n">
        <x:f>LOG10('Du lieu'!G4930)</x:f>
        <x:v>2.04532297878666</x:v>
      </x:c>
      <x:c r="B285" s="19" t="n">
        <x:f>LOG10('Du lieu'!Q4930)</x:f>
        <x:v>0.949390006644913</x:v>
      </x:c>
      <x:c r="C285" t="n">
        <x:f>'Du lieu'!A4930</x:f>
        <x:v>6505</x:v>
      </x:c>
    </x:row>
    <x:row r="286">
      <x:c r="A286" s="19" t="n">
        <x:f>LOG10('Du lieu'!G5657)</x:f>
        <x:v>1.74036268949424</x:v>
      </x:c>
      <x:c r="B286" s="19" t="n">
        <x:f>LOG10('Du lieu'!Q5657)</x:f>
        <x:v>0.685741738602264</x:v>
      </x:c>
      <x:c r="C286" t="n">
        <x:f>'Du lieu'!A5657</x:f>
        <x:v>7380</x:v>
      </x:c>
    </x:row>
    <x:row r="287">
      <x:c r="A287" s="19" t="n">
        <x:f>LOG10('Du lieu'!G1619)</x:f>
        <x:v>2</x:v>
      </x:c>
      <x:c r="B287" s="19" t="n">
        <x:f>LOG10('Du lieu'!Q1619)</x:f>
        <x:v>-0.00436480540245009</x:v>
      </x:c>
      <x:c r="C287" t="n">
        <x:f>'Du lieu'!A1619</x:f>
        <x:v>2474</x:v>
      </x:c>
    </x:row>
    <x:row r="288">
      <x:c r="A288" s="19" t="n">
        <x:f>LOG10('Du lieu'!G192)</x:f>
        <x:v>2.17609125905568</x:v>
      </x:c>
      <x:c r="B288" s="19" t="n">
        <x:f>LOG10('Du lieu'!Q192)</x:f>
        <x:v>-0.494850021680094</x:v>
      </x:c>
      <x:c r="C288" t="n">
        <x:f>'Du lieu'!A192</x:f>
        <x:v>201</x:v>
      </x:c>
    </x:row>
    <x:row r="289">
      <x:c r="A289" s="19" t="n">
        <x:f>LOG10('Du lieu'!G3764)</x:f>
        <x:v>2</x:v>
      </x:c>
      <x:c r="B289" s="19" t="n">
        <x:f>LOG10('Du lieu'!Q3764)</x:f>
        <x:v>0.724275869600789</x:v>
      </x:c>
      <x:c r="C289" t="n">
        <x:f>'Du lieu'!A3764</x:f>
        <x:v>5112</x:v>
      </x:c>
    </x:row>
    <x:row r="290">
      <x:c r="A290" s="19" t="n">
        <x:f>LOG10('Du lieu'!G3760)</x:f>
        <x:v>2.88366143515362</x:v>
      </x:c>
      <x:c r="B290" s="19" t="n">
        <x:f>LOG10('Du lieu'!Q3760)</x:f>
        <x:v>-0.221848749616356</x:v>
      </x:c>
      <x:c r="C290" t="n">
        <x:f>'Du lieu'!A3760</x:f>
        <x:v>5108</x:v>
      </x:c>
    </x:row>
    <x:row r="291">
      <x:c r="A291" s="19" t="n">
        <x:f>LOG10('Du lieu'!G3232)</x:f>
        <x:v>1.80617997398389</x:v>
      </x:c>
      <x:c r="B291" s="19" t="n">
        <x:f>LOG10('Du lieu'!Q3232)</x:f>
        <x:v>0.155336037465062</x:v>
      </x:c>
      <x:c r="C291" t="n">
        <x:f>'Du lieu'!A3232</x:f>
        <x:v>4372</x:v>
      </x:c>
    </x:row>
    <x:row r="292">
      <x:c r="A292" s="19" t="n">
        <x:f>LOG10('Du lieu'!G2723)</x:f>
        <x:v>2.07918124604762</x:v>
      </x:c>
      <x:c r="B292" s="19" t="n">
        <x:f>LOG10('Du lieu'!Q2723)</x:f>
        <x:v>-0.187086643357144</x:v>
      </x:c>
      <x:c r="C292" t="n">
        <x:f>'Du lieu'!A2723</x:f>
        <x:v>3771</x:v>
      </x:c>
    </x:row>
    <x:row r="293">
      <x:c r="A293" s="19" t="n">
        <x:f>LOG10('Du lieu'!G4682)</x:f>
        <x:v>1.60205999132796</x:v>
      </x:c>
      <x:c r="B293" s="19" t="n">
        <x:f>LOG10('Du lieu'!Q4682)</x:f>
        <x:v>0.740362689494244</x:v>
      </x:c>
      <x:c r="C293" t="n">
        <x:f>'Du lieu'!A4682</x:f>
        <x:v>6224</x:v>
      </x:c>
    </x:row>
    <x:row r="294">
      <x:c r="A294" s="19" t="n">
        <x:f>LOG10('Du lieu'!G850)</x:f>
        <x:v>1.95424250943932</x:v>
      </x:c>
      <x:c r="B294" s="19" t="n">
        <x:f>LOG10('Du lieu'!Q850)</x:f>
        <x:v>0.243038048686294</x:v>
      </x:c>
      <x:c r="C294" t="n">
        <x:f>'Du lieu'!A850</x:f>
        <x:v>943</x:v>
      </x:c>
    </x:row>
    <x:row r="295">
      <x:c r="A295" s="19" t="n">
        <x:f>LOG10('Du lieu'!G4455)</x:f>
        <x:v>1.50514997831991</x:v>
      </x:c>
      <x:c r="B295" s="19" t="n">
        <x:f>LOG10('Du lieu'!Q4455)</x:f>
        <x:v>-0.193820026016113</x:v>
      </x:c>
      <x:c r="C295" t="n">
        <x:f>'Du lieu'!A4455</x:f>
        <x:v>5942</x:v>
      </x:c>
    </x:row>
    <x:row r="296">
      <x:c r="A296" s="19" t="n">
        <x:f>LOG10('Du lieu'!G5391)</x:f>
        <x:v>2.11058971029925</x:v>
      </x:c>
      <x:c r="B296" s="19" t="n">
        <x:f>LOG10('Du lieu'!Q5391)</x:f>
        <x:v>-0.481486060122112</x:v>
      </x:c>
      <x:c r="C296" t="n">
        <x:f>'Du lieu'!A5391</x:f>
        <x:v>7051</x:v>
      </x:c>
    </x:row>
    <x:row r="297">
      <x:c r="A297" s="19" t="n">
        <x:f>LOG10('Du lieu'!G1516)</x:f>
        <x:v>1.7481880270062</x:v>
      </x:c>
      <x:c r="B297" s="19" t="n">
        <x:f>LOG10('Du lieu'!Q1516)</x:f>
        <x:v>0.653212513775344</x:v>
      </x:c>
      <x:c r="C297" t="n">
        <x:f>'Du lieu'!A1516</x:f>
        <x:v>2346</x:v>
      </x:c>
    </x:row>
    <x:row r="298">
      <x:c r="A298" s="19" t="n">
        <x:f>LOG10('Du lieu'!G1368)</x:f>
        <x:v>1.69897000433602</x:v>
      </x:c>
      <x:c r="B298" s="19" t="n">
        <x:f>LOG10('Du lieu'!Q1368)</x:f>
        <x:v>0.556181846652911</x:v>
      </x:c>
      <x:c r="C298" t="n">
        <x:f>'Du lieu'!A1368</x:f>
        <x:v>2142</x:v>
      </x:c>
    </x:row>
    <x:row r="299">
      <x:c r="A299" s="19" t="n">
        <x:f>LOG10('Du lieu'!G1752)</x:f>
        <x:v>1.66275783168157</x:v>
      </x:c>
      <x:c r="B299" s="19" t="n">
        <x:f>LOG10('Du lieu'!Q1752)</x:f>
        <x:v>0.12057393120585</x:v>
      </x:c>
      <x:c r="C299" t="n">
        <x:f>'Du lieu'!A1752</x:f>
        <x:v>2635</x:v>
      </x:c>
    </x:row>
    <x:row r="300">
      <x:c r="A300" s="19" t="n">
        <x:f>LOG10('Du lieu'!G2295)</x:f>
        <x:v>2</x:v>
      </x:c>
      <x:c r="B300" s="19" t="n">
        <x:f>LOG10('Du lieu'!Q2295)</x:f>
        <x:v>0.447158031342219</x:v>
      </x:c>
      <x:c r="C300" t="n">
        <x:f>'Du lieu'!A2295</x:f>
        <x:v>3258</x:v>
      </x:c>
    </x:row>
    <x:row r="301">
      <x:c r="A301" s="19" t="n">
        <x:f>LOG10('Du lieu'!G3340)</x:f>
        <x:v>3</x:v>
      </x:c>
      <x:c r="B301" s="19" t="n">
        <x:f>LOG10('Du lieu'!Q3340)</x:f>
        <x:v>-0.346787486224656</x:v>
      </x:c>
      <x:c r="C301" t="n">
        <x:f>'Du lieu'!A3340</x:f>
        <x:v>4598</x:v>
      </x:c>
    </x:row>
    <x:row r="302">
      <x:c r="A302" s="19" t="n">
        <x:f>LOG10('Du lieu'!G4046)</x:f>
        <x:v>2</x:v>
      </x:c>
      <x:c r="B302" s="19" t="n">
        <x:f>LOG10('Du lieu'!Q4046)</x:f>
        <x:v>0.511883360978874</x:v>
      </x:c>
      <x:c r="C302" t="n">
        <x:f>'Du lieu'!A4046</x:f>
        <x:v>5459</x:v>
      </x:c>
    </x:row>
    <x:row r="303">
      <x:c r="A303" s="19" t="n">
        <x:f>LOG10('Du lieu'!G3898)</x:f>
        <x:v>1.75587485567249</x:v>
      </x:c>
      <x:c r="B303" s="19" t="n">
        <x:f>LOG10('Du lieu'!Q3898)</x:f>
        <x:v>0.903089986991943</x:v>
      </x:c>
      <x:c r="C303" t="n">
        <x:f>'Du lieu'!A3898</x:f>
        <x:v>5290</x:v>
      </x:c>
    </x:row>
    <x:row r="304">
      <x:c r="A304" s="19" t="n">
        <x:f>LOG10('Du lieu'!G5076)</x:f>
        <x:v>3</x:v>
      </x:c>
      <x:c r="B304" s="19" t="n">
        <x:f>LOG10('Du lieu'!Q5076)</x:f>
        <x:v>-0.397940008672038</x:v>
      </x:c>
      <x:c r="C304" t="n">
        <x:f>'Du lieu'!A5076</x:f>
        <x:v>6692</x:v>
      </x:c>
    </x:row>
    <x:row r="305">
      <x:c r="A305" s="19" t="n">
        <x:f>LOG10('Du lieu'!G4334)</x:f>
        <x:v>1.54406804435028</x:v>
      </x:c>
      <x:c r="B305" s="19" t="n">
        <x:f>LOG10('Du lieu'!Q4334)</x:f>
        <x:v>0.491361693834273</x:v>
      </x:c>
      <x:c r="C305" t="n">
        <x:f>'Du lieu'!A4334</x:f>
        <x:v>5802</x:v>
      </x:c>
    </x:row>
    <x:row r="306">
      <x:c r="A306" s="19" t="n">
        <x:f>LOG10('Du lieu'!G210)</x:f>
        <x:v>1.70757017609794</x:v>
      </x:c>
      <x:c r="B306" s="19" t="n">
        <x:f>LOG10('Du lieu'!Q210)</x:f>
        <x:v>0.110589710299249</x:v>
      </x:c>
      <x:c r="C306" t="n">
        <x:f>'Du lieu'!A210</x:f>
        <x:v>221</x:v>
      </x:c>
    </x:row>
    <x:row r="307">
      <x:c r="A307" s="19" t="n">
        <x:f>LOG10('Du lieu'!G6066)</x:f>
        <x:v>1.53147891704226</x:v>
      </x:c>
      <x:c r="B307" s="19" t="n">
        <x:f>LOG10('Du lieu'!Q6066)</x:f>
        <x:v>0.311753861055754</x:v>
      </x:c>
      <x:c r="C307" t="n">
        <x:f>'Du lieu'!A6066</x:f>
        <x:v>7871</x:v>
      </x:c>
    </x:row>
    <x:row r="308">
      <x:c r="A308" s="19" t="n">
        <x:f>LOG10('Du lieu'!G4335)</x:f>
        <x:v>1.51851393987789</x:v>
      </x:c>
      <x:c r="B308" s="19" t="n">
        <x:f>LOG10('Du lieu'!Q4335)</x:f>
        <x:v>0.562292864456475</x:v>
      </x:c>
      <x:c r="C308" t="n">
        <x:f>'Du lieu'!A4335</x:f>
        <x:v>5806</x:v>
      </x:c>
    </x:row>
    <x:row r="309">
      <x:c r="A309" s="19" t="n">
        <x:f>LOG10('Du lieu'!G5051)</x:f>
        <x:v>2.00860017176192</x:v>
      </x:c>
      <x:c r="B309" s="19" t="n">
        <x:f>LOG10('Du lieu'!Q5051)</x:f>
        <x:v>1.20411998265592</x:v>
      </x:c>
      <x:c r="C309" t="n">
        <x:f>'Du lieu'!A5051</x:f>
        <x:v>6663</x:v>
      </x:c>
    </x:row>
    <x:row r="310">
      <x:c r="A310" s="19" t="n">
        <x:f>LOG10('Du lieu'!G5348)</x:f>
        <x:v>1.50514997831991</x:v>
      </x:c>
      <x:c r="B310" s="19" t="n">
        <x:f>LOG10('Du lieu'!Q5348)</x:f>
        <x:v>0.57978359661681</x:v>
      </x:c>
      <x:c r="C310" t="n">
        <x:f>'Du lieu'!A5348</x:f>
        <x:v>7003</x:v>
      </x:c>
    </x:row>
    <x:row r="311">
      <x:c r="A311" s="19" t="n">
        <x:f>LOG10('Du lieu'!G4178)</x:f>
        <x:v>1.83250891270624</x:v>
      </x:c>
      <x:c r="B311" s="19" t="n">
        <x:f>LOG10('Du lieu'!Q4178)</x:f>
        <x:v>-0.136677139879544</x:v>
      </x:c>
      <x:c r="C311" t="n">
        <x:f>'Du lieu'!A4178</x:f>
        <x:v>5611</x:v>
      </x:c>
    </x:row>
    <x:row r="312">
      <x:c r="A312" s="19" t="n">
        <x:f>LOG10('Du lieu'!G5117)</x:f>
        <x:v>1.77815125038364</x:v>
      </x:c>
      <x:c r="B312" s="19" t="n">
        <x:f>LOG10('Du lieu'!Q5117)</x:f>
        <x:v>0.322219294733919</x:v>
      </x:c>
      <x:c r="C312" t="n">
        <x:f>'Du lieu'!A5117</x:f>
        <x:v>6738</x:v>
      </x:c>
    </x:row>
    <x:row r="313">
      <x:c r="A313" s="19" t="n">
        <x:f>LOG10('Du lieu'!G217)</x:f>
        <x:v>1.95424250943932</x:v>
      </x:c>
      <x:c r="B313" s="19" t="n">
        <x:f>LOG10('Du lieu'!Q217)</x:f>
        <x:v>-0.0555173278498314</x:v>
      </x:c>
      <x:c r="C313" t="n">
        <x:f>'Du lieu'!A217</x:f>
        <x:v>228</x:v>
      </x:c>
    </x:row>
    <x:row r="314">
      <x:c r="A314" s="19" t="n">
        <x:f>LOG10('Du lieu'!G2055)</x:f>
        <x:v>2.30102999566398</x:v>
      </x:c>
      <x:c r="B314" s="19" t="n">
        <x:f>LOG10('Du lieu'!Q2055)</x:f>
        <x:v>-0.221848749616356</x:v>
      </x:c>
      <x:c r="C314" t="n">
        <x:f>'Du lieu'!A2055</x:f>
        <x:v>2983</x:v>
      </x:c>
    </x:row>
    <x:row r="315">
      <x:c r="A315" s="19" t="n">
        <x:f>LOG10('Du lieu'!G6754)</x:f>
        <x:v>2.02938377768521</x:v>
      </x:c>
      <x:c r="B315" s="19" t="n">
        <x:f>LOG10('Du lieu'!Q6754)</x:f>
        <x:v>1.0899051114394</x:v>
      </x:c>
      <x:c r="C315" t="n">
        <x:f>'Du lieu'!A6754</x:f>
        <x:v>8710</x:v>
      </x:c>
    </x:row>
    <x:row r="316">
      <x:c r="A316" s="19" t="n">
        <x:f>LOG10('Du lieu'!G1481)</x:f>
        <x:v>1.60205999132796</x:v>
      </x:c>
      <x:c r="B316" s="19" t="n">
        <x:f>LOG10('Du lieu'!Q1481)</x:f>
        <x:v>0.822821645303105</x:v>
      </x:c>
      <x:c r="C316" t="n">
        <x:f>'Du lieu'!A1481</x:f>
        <x:v>2305</x:v>
      </x:c>
    </x:row>
    <x:row r="317">
      <x:c r="A317" s="19" t="n">
        <x:f>LOG10('Du lieu'!G6013)</x:f>
        <x:v>1.49136169383427</x:v>
      </x:c>
      <x:c r="B317" s="19" t="n">
        <x:f>LOG10('Du lieu'!Q6013)</x:f>
        <x:v>0.518513939877887</x:v>
      </x:c>
      <x:c r="C317" t="n">
        <x:f>'Du lieu'!A6013</x:f>
        <x:v>7810</x:v>
      </x:c>
    </x:row>
    <x:row r="318">
      <x:c r="A318" s="19" t="n">
        <x:f>LOG10('Du lieu'!G5257)</x:f>
        <x:v>2.30102999566398</x:v>
      </x:c>
      <x:c r="B318" s="19" t="n">
        <x:f>LOG10('Du lieu'!Q5257)</x:f>
        <x:v>0.414973347970818</x:v>
      </x:c>
      <x:c r="C318" t="n">
        <x:f>'Du lieu'!A5257</x:f>
        <x:v>6897</x:v>
      </x:c>
    </x:row>
    <x:row r="319">
      <x:c r="A319" s="19" t="n">
        <x:f>LOG10('Du lieu'!G3846)</x:f>
        <x:v>1.50514997831991</x:v>
      </x:c>
      <x:c r="B319" s="19" t="n">
        <x:f>LOG10('Du lieu'!Q3846)</x:f>
        <x:v>0.484299839346786</x:v>
      </x:c>
      <x:c r="C319" t="n">
        <x:f>'Du lieu'!A3846</x:f>
        <x:v>5228</x:v>
      </x:c>
    </x:row>
    <x:row r="320">
      <x:c r="A320" s="19" t="n">
        <x:f>LOG10('Du lieu'!G6458)</x:f>
        <x:v>1.84509804001426</x:v>
      </x:c>
      <x:c r="B320" s="19" t="n">
        <x:f>LOG10('Du lieu'!Q6458)</x:f>
        <x:v>0.658011396657112</x:v>
      </x:c>
      <x:c r="C320" t="n">
        <x:f>'Du lieu'!A6458</x:f>
        <x:v>8340</x:v>
      </x:c>
    </x:row>
    <x:row r="321">
      <x:c r="A321" s="19" t="n">
        <x:f>LOG10('Du lieu'!G1299)</x:f>
        <x:v>2.32014628611105</x:v>
      </x:c>
      <x:c r="B321" s="19" t="n">
        <x:f>LOG10('Du lieu'!Q1299)</x:f>
        <x:v>0.431363764158987</x:v>
      </x:c>
      <x:c r="C321" t="n">
        <x:f>'Du lieu'!A1299</x:f>
        <x:v>2066</x:v>
      </x:c>
    </x:row>
    <x:row r="322">
      <x:c r="A322" s="19" t="n">
        <x:f>LOG10('Du lieu'!G7001)</x:f>
        <x:v>2.20411998265592</x:v>
      </x:c>
      <x:c r="B322" s="19" t="n">
        <x:f>LOG10('Du lieu'!Q7001)</x:f>
        <x:v>1.39794000867204</x:v>
      </x:c>
      <x:c r="C322" t="n">
        <x:f>'Du lieu'!A7001</x:f>
        <x:v>8995</x:v>
      </x:c>
    </x:row>
    <x:row r="323">
      <x:c r="A323" s="19" t="n">
        <x:f>LOG10('Du lieu'!G5734)</x:f>
        <x:v>1.92941892571429</x:v>
      </x:c>
      <x:c r="B323" s="19" t="n">
        <x:f>LOG10('Du lieu'!Q5734)</x:f>
        <x:v>0.45484486000851</x:v>
      </x:c>
      <x:c r="C323" t="n">
        <x:f>'Du lieu'!A5734</x:f>
        <x:v>7467</x:v>
      </x:c>
    </x:row>
    <x:row r="324">
      <x:c r="A324" s="19" t="n">
        <x:f>LOG10('Du lieu'!G1651)</x:f>
        <x:v>1.95424250943932</x:v>
      </x:c>
      <x:c r="B324" s="19" t="n">
        <x:f>LOG10('Du lieu'!Q1651)</x:f>
        <x:v>0.724275869600789</x:v>
      </x:c>
      <x:c r="C324" t="n">
        <x:f>'Du lieu'!A1651</x:f>
        <x:v>2511</x:v>
      </x:c>
    </x:row>
    <x:row r="325">
      <x:c r="A325" s="19" t="n">
        <x:f>LOG10('Du lieu'!G985)</x:f>
        <x:v>1.77815125038364</x:v>
      </x:c>
      <x:c r="B325" s="19" t="n">
        <x:f>LOG10('Du lieu'!Q985)</x:f>
        <x:v>0.633468455579586</x:v>
      </x:c>
      <x:c r="C325" t="n">
        <x:f>'Du lieu'!A985</x:f>
        <x:v>1089</x:v>
      </x:c>
    </x:row>
    <x:row r="326">
      <x:c r="A326" s="19" t="n">
        <x:f>LOG10('Du lieu'!G1864)</x:f>
        <x:v>1.77815125038364</x:v>
      </x:c>
      <x:c r="B326" s="19" t="n">
        <x:f>LOG10('Du lieu'!Q1864)</x:f>
        <x:v>0.133538908370218</x:v>
      </x:c>
      <x:c r="C326" t="n">
        <x:f>'Du lieu'!A1864</x:f>
        <x:v>2757</x:v>
      </x:c>
    </x:row>
    <x:row r="327">
      <x:c r="A327" s="19" t="n">
        <x:f>LOG10('Du lieu'!G231)</x:f>
        <x:v>2</x:v>
      </x:c>
      <x:c r="B327" s="19" t="n">
        <x:f>LOG10('Du lieu'!Q231)</x:f>
        <x:v>-0.769551078621726</x:v>
      </x:c>
      <x:c r="C327" t="n">
        <x:f>'Du lieu'!A231</x:f>
        <x:v>242</x:v>
      </x:c>
    </x:row>
    <x:row r="328">
      <x:c r="A328" s="19" t="n">
        <x:f>LOG10('Du lieu'!G5716)</x:f>
        <x:v>1.17609125905568</x:v>
      </x:c>
      <x:c r="B328" s="19" t="n">
        <x:f>LOG10('Du lieu'!Q5716)</x:f>
        <x:v>-0.1249387366083</x:v>
      </x:c>
      <x:c r="C328" t="n">
        <x:f>'Du lieu'!A5716</x:f>
        <x:v>7446</x:v>
      </x:c>
    </x:row>
    <x:row r="329">
      <x:c r="A329" s="19" t="n">
        <x:f>LOG10('Du lieu'!G5609)</x:f>
        <x:v>3.11394335230684</x:v>
      </x:c>
      <x:c r="B329" s="19" t="n">
        <x:f>LOG10('Du lieu'!Q5609)</x:f>
        <x:v>0.230448921378274</x:v>
      </x:c>
      <x:c r="C329" t="n">
        <x:f>'Du lieu'!A5609</x:f>
        <x:v>7326</x:v>
      </x:c>
    </x:row>
    <x:row r="330">
      <x:c r="A330" s="19" t="n">
        <x:f>LOG10('Du lieu'!G4525)</x:f>
        <x:v>1.54406804435028</x:v>
      </x:c>
      <x:c r="B330" s="19" t="n">
        <x:f>LOG10('Du lieu'!Q4525)</x:f>
        <x:v>-0.397940008672038</x:v>
      </x:c>
      <x:c r="C330" t="n">
        <x:f>'Du lieu'!A4525</x:f>
        <x:v>6023</x:v>
      </x:c>
    </x:row>
    <x:row r="331">
      <x:c r="A331" s="19" t="n">
        <x:f>LOG10('Du lieu'!G3496)</x:f>
        <x:v>1.75587485567249</x:v>
      </x:c>
      <x:c r="B331" s="19" t="n">
        <x:f>LOG10('Du lieu'!Q3496)</x:f>
        <x:v>1.18184358794477</x:v>
      </x:c>
      <x:c r="C331" t="n">
        <x:f>'Du lieu'!A3496</x:f>
        <x:v>4803</x:v>
      </x:c>
    </x:row>
    <x:row r="332">
      <x:c r="A332" s="19" t="n">
        <x:f>LOG10('Du lieu'!G4863)</x:f>
        <x:v>1.8750612633917</x:v>
      </x:c>
      <x:c r="B332" s="19" t="n">
        <x:f>LOG10('Du lieu'!Q4863)</x:f>
        <x:v>0.301029995663981</x:v>
      </x:c>
      <x:c r="C332" t="n">
        <x:f>'Du lieu'!A4863</x:f>
        <x:v>6430</x:v>
      </x:c>
    </x:row>
    <x:row r="333">
      <x:c r="A333" s="19" t="n">
        <x:f>LOG10('Du lieu'!G1805)</x:f>
        <x:v>1.68124123737559</x:v>
      </x:c>
      <x:c r="B333" s="19" t="n">
        <x:f>LOG10('Du lieu'!Q1805)</x:f>
        <x:v>-0.00877392430750515</x:v>
      </x:c>
      <x:c r="C333" t="n">
        <x:f>'Du lieu'!A1805</x:f>
        <x:v>2693</x:v>
      </x:c>
    </x:row>
    <x:row r="334">
      <x:c r="A334" s="19" t="n">
        <x:f>LOG10('Du lieu'!G2261)</x:f>
        <x:v>1.6232492903979</x:v>
      </x:c>
      <x:c r="B334" s="19" t="n">
        <x:f>LOG10('Du lieu'!Q2261)</x:f>
        <x:v>0.230448921378274</x:v>
      </x:c>
      <x:c r="C334" t="n">
        <x:f>'Du lieu'!A2261</x:f>
        <x:v>3219</x:v>
      </x:c>
    </x:row>
    <x:row r="335">
      <x:c r="A335" s="19" t="n">
        <x:f>LOG10('Du lieu'!G2233)</x:f>
        <x:v>1.88649072517248</x:v>
      </x:c>
      <x:c r="B335" s="19" t="n">
        <x:f>LOG10('Du lieu'!Q2233)</x:f>
        <x:v>-0.000869458712628891</x:v>
      </x:c>
      <x:c r="C335" t="n">
        <x:f>'Du lieu'!A2233</x:f>
        <x:v>3186</x:v>
      </x:c>
    </x:row>
    <x:row r="336">
      <x:c r="A336" s="19" t="n">
        <x:f>LOG10('Du lieu'!G6039)</x:f>
        <x:v>1.44715803134222</x:v>
      </x:c>
      <x:c r="B336" s="19" t="n">
        <x:f>LOG10('Du lieu'!Q6039)</x:f>
        <x:v>0.530199698203082</x:v>
      </x:c>
      <x:c r="C336" t="n">
        <x:f>'Du lieu'!A6039</x:f>
        <x:v>7840</x:v>
      </x:c>
    </x:row>
    <x:row r="337">
      <x:c r="A337" s="19" t="n">
        <x:f>LOG10('Du lieu'!G2500)</x:f>
        <x:v>1.83884909073726</x:v>
      </x:c>
      <x:c r="B337" s="19" t="n">
        <x:f>LOG10('Du lieu'!Q2500)</x:f>
        <x:v>0.406540180433955</x:v>
      </x:c>
      <x:c r="C337" t="n">
        <x:f>'Du lieu'!A2500</x:f>
        <x:v>3513</x:v>
      </x:c>
    </x:row>
    <x:row r="338">
      <x:c r="A338" s="19" t="n">
        <x:f>LOG10('Du lieu'!G1233)</x:f>
        <x:v>2.44715803134222</x:v>
      </x:c>
      <x:c r="B338" s="19" t="n">
        <x:f>LOG10('Du lieu'!Q1233)</x:f>
        <x:v>0.195899652409234</x:v>
      </x:c>
      <x:c r="C338" t="n">
        <x:f>'Du lieu'!A1233</x:f>
        <x:v>1794</x:v>
      </x:c>
    </x:row>
    <x:row r="339">
      <x:c r="A339" s="19" t="n">
        <x:f>LOG10('Du lieu'!G6436)</x:f>
        <x:v>1.95424250943932</x:v>
      </x:c>
      <x:c r="B339" s="19" t="n">
        <x:f>LOG10('Du lieu'!Q6436)</x:f>
        <x:v>0.977723605288848</x:v>
      </x:c>
      <x:c r="C339" t="n">
        <x:f>'Du lieu'!A6436</x:f>
        <x:v>8315</x:v>
      </x:c>
    </x:row>
    <x:row r="340">
      <x:c r="A340" s="19" t="n">
        <x:f>LOG10('Du lieu'!G5241)</x:f>
        <x:v>2.30102999566398</x:v>
      </x:c>
      <x:c r="B340" s="19" t="n">
        <x:f>LOG10('Du lieu'!Q5241)</x:f>
        <x:v>-0.173925197299174</x:v>
      </x:c>
      <x:c r="C340" t="n">
        <x:f>'Du lieu'!A5241</x:f>
        <x:v>6879</x:v>
      </x:c>
    </x:row>
    <x:row r="341">
      <x:c r="A341" s="19" t="n">
        <x:f>LOG10('Du lieu'!G5261)</x:f>
        <x:v>1.55630250076729</x:v>
      </x:c>
      <x:c r="B341" s="19" t="n">
        <x:f>LOG10('Du lieu'!Q5261)</x:f>
        <x:v>-0.0809219076239261</x:v>
      </x:c>
      <x:c r="C341" t="n">
        <x:f>'Du lieu'!A5261</x:f>
        <x:v>6901</x:v>
      </x:c>
    </x:row>
    <x:row r="342">
      <x:c r="A342" s="19" t="n">
        <x:f>LOG10('Du lieu'!G246)</x:f>
        <x:v>1.85733249643127</x:v>
      </x:c>
      <x:c r="B342" s="19" t="n">
        <x:f>LOG10('Du lieu'!Q246)</x:f>
        <x:v>0.7481880270062</x:v>
      </x:c>
      <x:c r="C342" t="n">
        <x:f>'Du lieu'!A246</x:f>
        <x:v>258</x:v>
      </x:c>
    </x:row>
    <x:row r="343">
      <x:c r="A343" s="19" t="n">
        <x:f>LOG10('Du lieu'!G247)</x:f>
        <x:v>1.77815125038364</x:v>
      </x:c>
      <x:c r="B343" s="19" t="n">
        <x:f>LOG10('Du lieu'!Q247)</x:f>
        <x:v>-0.886056647693163</x:v>
      </x:c>
      <x:c r="C343" t="n">
        <x:f>'Du lieu'!A247</x:f>
        <x:v>259</x:v>
      </x:c>
    </x:row>
    <x:row r="344">
      <x:c r="A344" s="19" t="n">
        <x:f>LOG10('Du lieu'!G3328)</x:f>
        <x:v>1.70757017609794</x:v>
      </x:c>
      <x:c r="B344" s="19" t="n">
        <x:f>LOG10('Du lieu'!Q3328)</x:f>
        <x:v>0.340444114840118</x:v>
      </x:c>
      <x:c r="C344" t="n">
        <x:f>'Du lieu'!A3328</x:f>
        <x:v>4586</x:v>
      </x:c>
    </x:row>
    <x:row r="345">
      <x:c r="A345" s="19" t="n">
        <x:f>LOG10('Du lieu'!G4530)</x:f>
        <x:v>2</x:v>
      </x:c>
      <x:c r="B345" s="19" t="n">
        <x:f>LOG10('Du lieu'!Q4530)</x:f>
        <x:v>-0.142667503568732</x:v>
      </x:c>
      <x:c r="C345" t="n">
        <x:f>'Du lieu'!A4530</x:f>
        <x:v>6029</x:v>
      </x:c>
    </x:row>
    <x:row r="346">
      <x:c r="A346" s="19" t="n">
        <x:f>LOG10('Du lieu'!G5154)</x:f>
        <x:v>1.51851393987789</x:v>
      </x:c>
      <x:c r="B346" s="19" t="n">
        <x:f>LOG10('Du lieu'!Q5154)</x:f>
        <x:v>-0.221848749616356</x:v>
      </x:c>
      <x:c r="C346" t="n">
        <x:f>'Du lieu'!A5154</x:f>
        <x:v>6782</x:v>
      </x:c>
    </x:row>
    <x:row r="347">
      <x:c r="A347" s="19" t="n">
        <x:f>LOG10('Du lieu'!G5828)</x:f>
        <x:v>1.25527250510331</x:v>
      </x:c>
      <x:c r="B347" s="19" t="n">
        <x:f>LOG10('Du lieu'!Q5828)</x:f>
        <x:v>-0.0861861476162833</x:v>
      </x:c>
      <x:c r="C347" t="n">
        <x:f>'Du lieu'!A5828</x:f>
        <x:v>7574</x:v>
      </x:c>
    </x:row>
    <x:row r="348">
      <x:c r="A348" s="19" t="n">
        <x:f>LOG10('Du lieu'!G645)</x:f>
        <x:v>1.77815125038364</x:v>
      </x:c>
      <x:c r="B348" s="19" t="n">
        <x:f>LOG10('Du lieu'!Q645)</x:f>
        <x:v>0.963787827345555</x:v>
      </x:c>
      <x:c r="C348" t="n">
        <x:f>'Du lieu'!A645</x:f>
        <x:v>709</x:v>
      </x:c>
    </x:row>
    <x:row r="349">
      <x:c r="A349" s="19" t="n">
        <x:f>LOG10('Du lieu'!G253)</x:f>
        <x:v>2.30102999566398</x:v>
      </x:c>
      <x:c r="B349" s="19" t="n">
        <x:f>LOG10('Du lieu'!Q253)</x:f>
        <x:v>0.113943352306837</x:v>
      </x:c>
      <x:c r="C349" t="n">
        <x:f>'Du lieu'!A253</x:f>
        <x:v>265</x:v>
      </x:c>
    </x:row>
    <x:row r="350">
      <x:c r="A350" s="19" t="n">
        <x:f>LOG10('Du lieu'!G5310)</x:f>
        <x:v>1.7160033436348</x:v>
      </x:c>
      <x:c r="B350" s="19" t="n">
        <x:f>LOG10('Du lieu'!Q5310)</x:f>
        <x:v>0.236789099409293</x:v>
      </x:c>
      <x:c r="C350" t="n">
        <x:f>'Du lieu'!A5310</x:f>
        <x:v>6958</x:v>
      </x:c>
    </x:row>
    <x:row r="351">
      <x:c r="A351" s="19" t="n">
        <x:f>LOG10('Du lieu'!G4462)</x:f>
        <x:v>2.47712125471966</x:v>
      </x:c>
      <x:c r="B351" s="19" t="n">
        <x:f>LOG10('Du lieu'!Q4462)</x:f>
        <x:v>0.217483944213906</x:v>
      </x:c>
      <x:c r="C351" t="n">
        <x:f>'Du lieu'!A4462</x:f>
        <x:v>5949</x:v>
      </x:c>
    </x:row>
    <x:row r="352">
      <x:c r="A352" s="19" t="n">
        <x:f>LOG10('Du lieu'!G2287)</x:f>
        <x:v>1.65321251377534</x:v>
      </x:c>
      <x:c r="B352" s="19" t="n">
        <x:f>LOG10('Du lieu'!Q2287)</x:f>
        <x:v>-0.0655015487564323</x:v>
      </x:c>
      <x:c r="C352" t="n">
        <x:f>'Du lieu'!A2287</x:f>
        <x:v>3248</x:v>
      </x:c>
    </x:row>
    <x:row r="353">
      <x:c r="A353" s="19" t="n">
        <x:f>LOG10('Du lieu'!G1287)</x:f>
        <x:v>2.23044892137827</x:v>
      </x:c>
      <x:c r="B353" s="19" t="n">
        <x:f>LOG10('Du lieu'!Q1287)</x:f>
        <x:v>0.838849090737255</x:v>
      </x:c>
      <x:c r="C353" t="n">
        <x:f>'Du lieu'!A1287</x:f>
        <x:v>2053</x:v>
      </x:c>
    </x:row>
    <x:row r="354">
      <x:c r="A354" s="19" t="n">
        <x:f>LOG10('Du lieu'!G2924)</x:f>
        <x:v>1.74036268949424</x:v>
      </x:c>
      <x:c r="B354" s="19" t="n">
        <x:f>LOG10('Du lieu'!Q2924)</x:f>
        <x:v>0.720159303405957</x:v>
      </x:c>
      <x:c r="C354" t="n">
        <x:f>'Du lieu'!A2924</x:f>
        <x:v>4015</x:v>
      </x:c>
    </x:row>
    <x:row r="355">
      <x:c r="A355" s="19" t="n">
        <x:f>LOG10('Du lieu'!G3630)</x:f>
        <x:v>1.69897000433602</x:v>
      </x:c>
      <x:c r="B355" s="19" t="n">
        <x:f>LOG10('Du lieu'!Q3630)</x:f>
        <x:v>1.07918124604762</x:v>
      </x:c>
      <x:c r="C355" t="n">
        <x:f>'Du lieu'!A3630</x:f>
        <x:v>4955</x:v>
      </x:c>
    </x:row>
    <x:row r="356">
      <x:c r="A356" s="19" t="n">
        <x:f>LOG10('Du lieu'!G5494)</x:f>
        <x:v>1.84509804001426</x:v>
      </x:c>
      <x:c r="B356" s="19" t="n">
        <x:f>LOG10('Du lieu'!Q5494)</x:f>
        <x:v>0.431363764158987</x:v>
      </x:c>
      <x:c r="C356" t="n">
        <x:f>'Du lieu'!A5494</x:f>
        <x:v>7196</x:v>
      </x:c>
    </x:row>
    <x:row r="357">
      <x:c r="A357" s="19" t="n">
        <x:f>LOG10('Du lieu'!G934)</x:f>
        <x:v>1.77815125038364</x:v>
      </x:c>
      <x:c r="B357" s="19" t="n">
        <x:f>LOG10('Du lieu'!Q934)</x:f>
        <x:v>-0.318758762624413</x:v>
      </x:c>
      <x:c r="C357" t="n">
        <x:f>'Du lieu'!A934</x:f>
        <x:v>1032</x:v>
      </x:c>
    </x:row>
    <x:row r="358">
      <x:c r="A358" s="19" t="n">
        <x:f>LOG10('Du lieu'!G3081)</x:f>
        <x:v>2.99122607569249</x:v>
      </x:c>
      <x:c r="B358" s="19" t="n">
        <x:f>LOG10('Du lieu'!Q3081)</x:f>
        <x:v>0.414973347970818</x:v>
      </x:c>
      <x:c r="C358" t="n">
        <x:f>'Du lieu'!A3081</x:f>
        <x:v>4193</x:v>
      </x:c>
    </x:row>
    <x:row r="359">
      <x:c r="A359" s="19" t="n">
        <x:f>LOG10('Du lieu'!G659)</x:f>
        <x:v>1.92941892571429</x:v>
      </x:c>
      <x:c r="B359" s="19" t="n">
        <x:f>LOG10('Du lieu'!Q659)</x:f>
        <x:v>0.130333768495006</x:v>
      </x:c>
      <x:c r="C359" t="n">
        <x:f>'Du lieu'!A659</x:f>
        <x:v>723</x:v>
      </x:c>
    </x:row>
    <x:row r="360">
      <x:c r="A360" s="19" t="n">
        <x:f>LOG10('Du lieu'!G2411)</x:f>
        <x:v>1.91381385238372</x:v>
      </x:c>
      <x:c r="B360" s="19" t="n">
        <x:f>LOG10('Du lieu'!Q2411)</x:f>
        <x:v>0.190331698170291</x:v>
      </x:c>
      <x:c r="C360" t="n">
        <x:f>'Du lieu'!A2411</x:f>
        <x:v>3415</x:v>
      </x:c>
    </x:row>
    <x:row r="361">
      <x:c r="A361" s="19" t="n">
        <x:f>LOG10('Du lieu'!G4818)</x:f>
        <x:v>1.68124123737559</x:v>
      </x:c>
      <x:c r="B361" s="19" t="n">
        <x:f>LOG10('Du lieu'!Q4818)</x:f>
        <x:v>0.252853030979893</x:v>
      </x:c>
      <x:c r="C361" t="n">
        <x:f>'Du lieu'!A4818</x:f>
        <x:v>6377</x:v>
      </x:c>
    </x:row>
    <x:row r="362">
      <x:c r="A362" s="19" t="n">
        <x:f>LOG10('Du lieu'!G5524)</x:f>
        <x:v>1.74036268949424</x:v>
      </x:c>
      <x:c r="B362" s="19" t="n">
        <x:f>LOG10('Du lieu'!Q5524)</x:f>
        <x:v>0.977723605288848</x:v>
      </x:c>
      <x:c r="C362" t="n">
        <x:f>'Du lieu'!A5524</x:f>
        <x:v>7231</x:v>
      </x:c>
    </x:row>
    <x:row r="363">
      <x:c r="A363" s="19" t="n">
        <x:f>LOG10('Du lieu'!G2982)</x:f>
        <x:v>1.47712125471966</x:v>
      </x:c>
      <x:c r="B363" s="19" t="n">
        <x:f>LOG10('Du lieu'!Q2982)</x:f>
        <x:v>0.113943352306837</x:v>
      </x:c>
      <x:c r="C363" t="n">
        <x:f>'Du lieu'!A2982</x:f>
        <x:v>4083</x:v>
      </x:c>
    </x:row>
    <x:row r="364">
      <x:c r="A364" s="19" t="n">
        <x:f>LOG10('Du lieu'!G2620)</x:f>
        <x:v>2.32221929473392</x:v>
      </x:c>
      <x:c r="B364" s="19" t="n">
        <x:f>LOG10('Du lieu'!Q2620)</x:f>
        <x:v>0.0453229787866575</x:v>
      </x:c>
      <x:c r="C364" t="n">
        <x:f>'Du lieu'!A2620</x:f>
        <x:v>3650</x:v>
      </x:c>
    </x:row>
    <x:row r="365">
      <x:c r="A365" s="19" t="n">
        <x:f>LOG10('Du lieu'!G4915)</x:f>
        <x:v>1.51851393987789</x:v>
      </x:c>
      <x:c r="B365" s="19" t="n">
        <x:f>LOG10('Du lieu'!Q4915)</x:f>
        <x:v>0.311753861055754</x:v>
      </x:c>
      <x:c r="C365" t="n">
        <x:f>'Du lieu'!A4915</x:f>
        <x:v>6490</x:v>
      </x:c>
    </x:row>
    <x:row r="366">
      <x:c r="A366" s="19" t="n">
        <x:f>LOG10('Du lieu'!G4216)</x:f>
        <x:v>1.91381385238372</x:v>
      </x:c>
      <x:c r="B366" s="19" t="n">
        <x:f>LOG10('Du lieu'!Q4216)</x:f>
        <x:v>1.22271647114758</x:v>
      </x:c>
      <x:c r="C366" t="n">
        <x:f>'Du lieu'!A4216</x:f>
        <x:v>5667</x:v>
      </x:c>
    </x:row>
    <x:row r="367">
      <x:c r="A367" s="19" t="n">
        <x:f>LOG10('Du lieu'!G1447)</x:f>
        <x:v>4.51777632927396</x:v>
      </x:c>
      <x:c r="B367" s="19" t="n">
        <x:f>LOG10('Du lieu'!Q1447)</x:f>
        <x:v>0.511883360978874</x:v>
      </x:c>
      <x:c r="C367" t="n">
        <x:f>'Du lieu'!A1447</x:f>
        <x:v>2269</x:v>
      </x:c>
    </x:row>
    <x:row r="368">
      <x:c r="A368" s="19" t="n">
        <x:f>LOG10('Du lieu'!G272)</x:f>
        <x:v>1.95424250943932</x:v>
      </x:c>
      <x:c r="B368" s="19" t="n">
        <x:f>LOG10('Du lieu'!Q272)</x:f>
        <x:v>0.294466226161593</x:v>
      </x:c>
      <x:c r="C368" t="n">
        <x:f>'Du lieu'!A272</x:f>
        <x:v>285</x:v>
      </x:c>
    </x:row>
    <x:row r="369">
      <x:c r="A369" s="19" t="n">
        <x:f>LOG10('Du lieu'!G6658)</x:f>
        <x:v>1.60205999132796</x:v>
      </x:c>
      <x:c r="B369" s="19" t="n">
        <x:f>LOG10('Du lieu'!Q6658)</x:f>
        <x:v>0.469822015978163</x:v>
      </x:c>
      <x:c r="C369" t="n">
        <x:f>'Du lieu'!A6658</x:f>
        <x:v>8568</x:v>
      </x:c>
    </x:row>
    <x:row r="370">
      <x:c r="A370" s="19" t="n">
        <x:f>LOG10('Du lieu'!G274)</x:f>
        <x:v>1.95424250943932</x:v>
      </x:c>
      <x:c r="B370" s="19" t="n">
        <x:f>LOG10('Du lieu'!Q274)</x:f>
        <x:v>0.568201724066995</x:v>
      </x:c>
      <x:c r="C370" t="n">
        <x:f>'Du lieu'!A274</x:f>
        <x:v>287</x:v>
      </x:c>
    </x:row>
    <x:row r="371">
      <x:c r="A371" s="19" t="n">
        <x:f>LOG10('Du lieu'!G1181)</x:f>
        <x:v>2.75587485567249</x:v>
      </x:c>
      <x:c r="B371" s="19" t="n">
        <x:f>LOG10('Du lieu'!Q1181)</x:f>
        <x:v>0.835690571492425</x:v>
      </x:c>
      <x:c r="C371" t="n">
        <x:f>'Du lieu'!A1181</x:f>
        <x:v>1738</x:v>
      </x:c>
    </x:row>
    <x:row r="372">
      <x:c r="A372" s="19" t="n">
        <x:f>LOG10('Du lieu'!G5567)</x:f>
        <x:v>1.77815125038364</x:v>
      </x:c>
      <x:c r="B372" s="19" t="n">
        <x:f>LOG10('Du lieu'!Q5567)</x:f>
        <x:v>-0.0861861476162833</x:v>
      </x:c>
      <x:c r="C372" t="n">
        <x:f>'Du lieu'!A5567</x:f>
        <x:v>7280</x:v>
      </x:c>
    </x:row>
    <x:row r="373">
      <x:c r="A373" s="19" t="n">
        <x:f>LOG10('Du lieu'!G3205)</x:f>
        <x:v>1.75587485567249</x:v>
      </x:c>
      <x:c r="B373" s="19" t="n">
        <x:f>LOG10('Du lieu'!Q3205)</x:f>
        <x:v>0.585460729508501</x:v>
      </x:c>
      <x:c r="C373" t="n">
        <x:f>'Du lieu'!A3205</x:f>
        <x:v>4341</x:v>
      </x:c>
    </x:row>
    <x:row r="374">
      <x:c r="A374" s="19" t="n">
        <x:f>LOG10('Du lieu'!G5111)</x:f>
        <x:v>1.84509804001426</x:v>
      </x:c>
      <x:c r="B374" s="19" t="n">
        <x:f>LOG10('Du lieu'!Q5111)</x:f>
        <x:v>0.0374264979406237</x:v>
      </x:c>
      <x:c r="C374" t="n">
        <x:f>'Du lieu'!A5111</x:f>
        <x:v>6729</x:v>
      </x:c>
    </x:row>
    <x:row r="375">
      <x:c r="A375" s="19" t="n">
        <x:f>LOG10('Du lieu'!G5972)</x:f>
        <x:v>1.32221929473392</x:v>
      </x:c>
      <x:c r="B375" s="19" t="n">
        <x:f>LOG10('Du lieu'!Q5972)</x:f>
        <x:v>-0.259637310505756</x:v>
      </x:c>
      <x:c r="C375" t="n">
        <x:f>'Du lieu'!A5972</x:f>
        <x:v>7758</x:v>
      </x:c>
    </x:row>
    <x:row r="376">
      <x:c r="A376" s="19" t="n">
        <x:f>LOG10('Du lieu'!G709)</x:f>
        <x:v>1.90308998699194</x:v>
      </x:c>
      <x:c r="B376" s="19" t="n">
        <x:f>LOG10('Du lieu'!Q709)</x:f>
        <x:v>0.826074802700826</x:v>
      </x:c>
      <x:c r="C376" t="n">
        <x:f>'Du lieu'!A709</x:f>
        <x:v>776</x:v>
      </x:c>
    </x:row>
    <x:row r="377">
      <x:c r="A377" s="19" t="n">
        <x:f>LOG10('Du lieu'!G4249)</x:f>
        <x:v>2</x:v>
      </x:c>
      <x:c r="B377" s="19" t="n">
        <x:f>LOG10('Du lieu'!Q4249)</x:f>
        <x:v>0.763427993562937</x:v>
      </x:c>
      <x:c r="C377" t="n">
        <x:f>'Du lieu'!A4249</x:f>
        <x:v>5706</x:v>
      </x:c>
    </x:row>
    <x:row r="378">
      <x:c r="A378" s="19" t="n">
        <x:f>LOG10('Du lieu'!G5721)</x:f>
        <x:v>1.55630250076729</x:v>
      </x:c>
      <x:c r="B378" s="19" t="n">
        <x:f>LOG10('Du lieu'!Q5721)</x:f>
        <x:v>0.235528446907549</x:v>
      </x:c>
      <x:c r="C378" t="n">
        <x:f>'Du lieu'!A5721</x:f>
        <x:v>7454</x:v>
      </x:c>
    </x:row>
    <x:row r="379">
      <x:c r="A379" s="19" t="n">
        <x:f>LOG10('Du lieu'!G3487)</x:f>
        <x:v>1.57978359661681</x:v>
      </x:c>
      <x:c r="B379" s="19" t="n">
        <x:f>LOG10('Du lieu'!Q3487)</x:f>
        <x:v>0.880813592280791</x:v>
      </x:c>
      <x:c r="C379" t="n">
        <x:f>'Du lieu'!A3487</x:f>
        <x:v>4793</x:v>
      </x:c>
    </x:row>
    <x:row r="380">
      <x:c r="A380" s="19" t="n">
        <x:f>LOG10('Du lieu'!G284)</x:f>
        <x:v>1.60205999132796</x:v>
      </x:c>
      <x:c r="B380" s="19" t="n">
        <x:f>LOG10('Du lieu'!Q284)</x:f>
        <x:v>0.477121254719662</x:v>
      </x:c>
      <x:c r="C380" t="n">
        <x:f>'Du lieu'!A284</x:f>
        <x:v>298</x:v>
      </x:c>
    </x:row>
    <x:row r="381">
      <x:c r="A381" s="19" t="n">
        <x:f>LOG10('Du lieu'!G3685)</x:f>
        <x:v>2.04921802267018</x:v>
      </x:c>
      <x:c r="B381" s="19" t="n">
        <x:f>LOG10('Du lieu'!Q3685)</x:f>
        <x:v>0.929418925714293</x:v>
      </x:c>
      <x:c r="C381" t="n">
        <x:f>'Du lieu'!A3685</x:f>
        <x:v>5020</x:v>
      </x:c>
    </x:row>
    <x:row r="382">
      <x:c r="A382" s="19" t="n">
        <x:f>LOG10('Du lieu'!G4698)</x:f>
        <x:v>1.41497334797082</x:v>
      </x:c>
      <x:c r="B382" s="19" t="n">
        <x:f>LOG10('Du lieu'!Q4698)</x:f>
        <x:v>0.652246341003323</x:v>
      </x:c>
      <x:c r="C382" t="n">
        <x:f>'Du lieu'!A4698</x:f>
        <x:v>6242</x:v>
      </x:c>
    </x:row>
    <x:row r="383">
      <x:c r="A383" s="19" t="n">
        <x:f>LOG10('Du lieu'!G4548)</x:f>
        <x:v>1.64345267648619</x:v>
      </x:c>
      <x:c r="B383" s="19" t="n">
        <x:f>LOG10('Du lieu'!Q4548)</x:f>
        <x:v>0.0606978403536116</x:v>
      </x:c>
      <x:c r="C383" t="n">
        <x:f>'Du lieu'!A4548</x:f>
        <x:v>6051</x:v>
      </x:c>
    </x:row>
    <x:row r="384">
      <x:c r="A384" s="19" t="n">
        <x:f>LOG10('Du lieu'!G4337)</x:f>
        <x:v>1.76342799356294</x:v>
      </x:c>
      <x:c r="B384" s="19" t="n">
        <x:f>LOG10('Du lieu'!Q4337)</x:f>
        <x:v>0.225309281725863</x:v>
      </x:c>
      <x:c r="C384" t="n">
        <x:f>'Du lieu'!A4337</x:f>
        <x:v>5808</x:v>
      </x:c>
    </x:row>
    <x:row r="385">
      <x:c r="A385" s="19" t="n">
        <x:f>LOG10('Du lieu'!G6509)</x:f>
        <x:v>1.80617997398389</x:v>
      </x:c>
      <x:c r="B385" s="19" t="n">
        <x:f>LOG10('Du lieu'!Q6509)</x:f>
        <x:v>0.0492180226701816</x:v>
      </x:c>
      <x:c r="C385" t="n">
        <x:f>'Du lieu'!A6509</x:f>
        <x:v>8399</x:v>
      </x:c>
    </x:row>
    <x:row r="386">
      <x:c r="A386" s="19" t="n">
        <x:f>LOG10('Du lieu'!G2711)</x:f>
        <x:v>1.56820172406699</x:v>
      </x:c>
      <x:c r="B386" s="19" t="n">
        <x:f>LOG10('Du lieu'!Q2711)</x:f>
        <x:v>0.585460729508501</x:v>
      </x:c>
      <x:c r="C386" t="n">
        <x:f>'Du lieu'!A2711</x:f>
        <x:v>3759</x:v>
      </x:c>
    </x:row>
    <x:row r="387">
      <x:c r="A387" s="19" t="n">
        <x:f>LOG10('Du lieu'!G2756)</x:f>
        <x:v>1.83250891270624</x:v>
      </x:c>
      <x:c r="B387" s="19" t="n">
        <x:f>LOG10('Du lieu'!Q2756)</x:f>
        <x:v>0.740362689494244</x:v>
      </x:c>
      <x:c r="C387" t="n">
        <x:f>'Du lieu'!A2756</x:f>
        <x:v>3810</x:v>
      </x:c>
    </x:row>
    <x:row r="388">
      <x:c r="A388" s="19" t="n">
        <x:f>LOG10('Du lieu'!G1676)</x:f>
        <x:v>1.97772360528885</x:v>
      </x:c>
      <x:c r="B388" s="19" t="n">
        <x:f>LOG10('Du lieu'!Q1676)</x:f>
        <x:v>0.161368002234975</x:v>
      </x:c>
      <x:c r="C388" t="n">
        <x:f>'Du lieu'!A1676</x:f>
        <x:v>2543</x:v>
      </x:c>
    </x:row>
    <x:row r="389">
      <x:c r="A389" s="19" t="n">
        <x:f>LOG10('Du lieu'!G1904)</x:f>
        <x:v>2.68124123737559</x:v>
      </x:c>
      <x:c r="B389" s="19" t="n">
        <x:f>LOG10('Du lieu'!Q1904)</x:f>
        <x:v>1.44715803134222</x:v>
      </x:c>
      <x:c r="C389" t="n">
        <x:f>'Du lieu'!A1904</x:f>
        <x:v>2802</x:v>
      </x:c>
    </x:row>
    <x:row r="390">
      <x:c r="A390" s="19" t="n">
        <x:f>LOG10('Du lieu'!G2458)</x:f>
        <x:v>2.39794000867204</x:v>
      </x:c>
      <x:c r="B390" s="19" t="n">
        <x:f>LOG10('Du lieu'!Q2458)</x:f>
        <x:v>0.729326809646861</x:v>
      </x:c>
      <x:c r="C390" t="n">
        <x:f>'Du lieu'!A2458</x:f>
        <x:v>3466</x:v>
      </x:c>
    </x:row>
    <x:row r="391">
      <x:c r="A391" s="19" t="n">
        <x:f>LOG10('Du lieu'!G295)</x:f>
        <x:v>2.62117628177504</x:v>
      </x:c>
      <x:c r="B391" s="19" t="n">
        <x:f>LOG10('Du lieu'!Q295)</x:f>
        <x:v>0.491361693834273</x:v>
      </x:c>
      <x:c r="C391" t="n">
        <x:f>'Du lieu'!A295</x:f>
        <x:v>310</x:v>
      </x:c>
    </x:row>
    <x:row r="392">
      <x:c r="A392" s="19" t="n">
        <x:f>LOG10('Du lieu'!G3464)</x:f>
        <x:v>2.1846914308176</x:v>
      </x:c>
      <x:c r="B392" s="19" t="n">
        <x:f>LOG10('Du lieu'!Q3464)</x:f>
        <x:v>1.17318626841227</x:v>
      </x:c>
      <x:c r="C392" t="n">
        <x:f>'Du lieu'!A3464</x:f>
        <x:v>4768</x:v>
      </x:c>
    </x:row>
    <x:row r="393">
      <x:c r="A393" s="19" t="n">
        <x:f>LOG10('Du lieu'!G1931)</x:f>
        <x:v>1.76863810124761</x:v>
      </x:c>
      <x:c r="B393" s="19" t="n">
        <x:f>LOG10('Du lieu'!Q1931)</x:f>
        <x:v>-0.00130484168834428</x:v>
      </x:c>
      <x:c r="C393" t="n">
        <x:f>'Du lieu'!A1931</x:f>
        <x:v>2831</x:v>
      </x:c>
    </x:row>
    <x:row r="394">
      <x:c r="A394" s="19" t="n">
        <x:f>LOG10('Du lieu'!G6092)</x:f>
        <x:v>1.68124123737559</x:v>
      </x:c>
      <x:c r="B394" s="19" t="n">
        <x:f>LOG10('Du lieu'!Q6092)</x:f>
        <x:v>0.537819095073274</x:v>
      </x:c>
      <x:c r="C394" t="n">
        <x:f>'Du lieu'!A6092</x:f>
        <x:v>7902</x:v>
      </x:c>
    </x:row>
    <x:row r="395">
      <x:c r="A395" s="19" t="n">
        <x:f>LOG10('Du lieu'!G1597)</x:f>
        <x:v>1.8767949762007</x:v>
      </x:c>
      <x:c r="B395" s="19" t="n">
        <x:f>LOG10('Du lieu'!Q1597)</x:f>
        <x:v>0.929418925714293</x:v>
      </x:c>
      <x:c r="C395" t="n">
        <x:f>'Du lieu'!A1597</x:f>
        <x:v>2447</x:v>
      </x:c>
    </x:row>
    <x:row r="396">
      <x:c r="A396" s="19" t="n">
        <x:f>LOG10('Du lieu'!G5916)</x:f>
        <x:v>2.75739602879302</x:v>
      </x:c>
      <x:c r="B396" s="19" t="n">
        <x:f>LOG10('Du lieu'!Q5916)</x:f>
        <x:v>1.27875360095283</x:v>
      </x:c>
      <x:c r="C396" t="n">
        <x:f>'Du lieu'!A5916</x:f>
        <x:v>7696</x:v>
      </x:c>
    </x:row>
    <x:row r="397">
      <x:c r="A397" s="19" t="n">
        <x:f>LOG10('Du lieu'!G4606)</x:f>
        <x:v>2.02118929906994</x:v>
      </x:c>
      <x:c r="B397" s="19" t="n">
        <x:f>LOG10('Du lieu'!Q4606)</x:f>
        <x:v>0.47567118832443</x:v>
      </x:c>
      <x:c r="C397" t="n">
        <x:f>'Du lieu'!A4606</x:f>
        <x:v>6117</x:v>
      </x:c>
    </x:row>
    <x:row r="398">
      <x:c r="A398" s="19" t="n">
        <x:f>LOG10('Du lieu'!G3084)</x:f>
        <x:v>1.79239168949825</x:v>
      </x:c>
      <x:c r="B398" s="19" t="n">
        <x:f>LOG10('Du lieu'!Q3084)</x:f>
        <x:v>0.716003343634799</x:v>
      </x:c>
      <x:c r="C398" t="n">
        <x:f>'Du lieu'!A3084</x:f>
        <x:v>4196</x:v>
      </x:c>
    </x:row>
    <x:row r="399">
      <x:c r="A399" s="19" t="n">
        <x:f>LOG10('Du lieu'!G3520)</x:f>
        <x:v>1.55630250076729</x:v>
      </x:c>
      <x:c r="B399" s="19" t="n">
        <x:f>LOG10('Du lieu'!Q3520)</x:f>
        <x:v>0.59659709562646</x:v>
      </x:c>
      <x:c r="C399" t="n">
        <x:f>'Du lieu'!A3520</x:f>
        <x:v>4832</x:v>
      </x:c>
    </x:row>
    <x:row r="400">
      <x:c r="A400" s="19" t="n">
        <x:f>LOG10('Du lieu'!G1420)</x:f>
        <x:v>2.4456042032736</x:v>
      </x:c>
      <x:c r="B400" s="19" t="n">
        <x:f>LOG10('Du lieu'!Q1420)</x:f>
        <x:v>-0.162411561764489</x:v>
      </x:c>
      <x:c r="C400" t="n">
        <x:f>'Du lieu'!A1420</x:f>
        <x:v>2203</x:v>
      </x:c>
    </x:row>
    <x:row r="401">
      <x:c r="A401" s="19" t="n">
        <x:f>LOG10('Du lieu'!G4306)</x:f>
        <x:v>1.6232492903979</x:v>
      </x:c>
      <x:c r="B401" s="19" t="n">
        <x:f>LOG10('Du lieu'!Q4306)</x:f>
        <x:v>0.397940008672038</x:v>
      </x:c>
      <x:c r="C401" t="n">
        <x:f>'Du lieu'!A4306</x:f>
        <x:v>5770</x:v>
      </x:c>
    </x:row>
    <x:row r="402">
      <x:c r="A402" s="19" t="n">
        <x:f>LOG10('Du lieu'!G5538)</x:f>
        <x:v>1.89209460269048</x:v>
      </x:c>
      <x:c r="B402" s="19" t="n">
        <x:f>LOG10('Du lieu'!Q5538)</x:f>
        <x:v>0.2027606873932</x:v>
      </x:c>
      <x:c r="C402" t="n">
        <x:f>'Du lieu'!A5538</x:f>
        <x:v>7245</x:v>
      </x:c>
    </x:row>
    <x:row r="403">
      <x:c r="A403" s="19" t="n">
        <x:f>LOG10('Du lieu'!G3467)</x:f>
        <x:v>1.99122607569249</x:v>
      </x:c>
      <x:c r="B403" s="19" t="n">
        <x:f>LOG10('Du lieu'!Q3467)</x:f>
        <x:v>0.371067862271736</x:v>
      </x:c>
      <x:c r="C403" t="n">
        <x:f>'Du lieu'!A3467</x:f>
        <x:v>4771</x:v>
      </x:c>
    </x:row>
    <x:row r="404">
      <x:c r="A404" s="19" t="n">
        <x:f>LOG10('Du lieu'!G2440)</x:f>
        <x:v>1.95424250943932</x:v>
      </x:c>
      <x:c r="B404" s="19" t="n">
        <x:f>LOG10('Du lieu'!Q2440)</x:f>
        <x:v>0.217483944213906</x:v>
      </x:c>
      <x:c r="C404" t="n">
        <x:f>'Du lieu'!A2440</x:f>
        <x:v>3446</x:v>
      </x:c>
    </x:row>
    <x:row r="405">
      <x:c r="A405" s="19" t="n">
        <x:f>LOG10('Du lieu'!G2479)</x:f>
        <x:v>2</x:v>
      </x:c>
      <x:c r="B405" s="19" t="n">
        <x:f>LOG10('Du lieu'!Q2479)</x:f>
        <x:v>-0.221848749616356</x:v>
      </x:c>
      <x:c r="C405" t="n">
        <x:f>'Du lieu'!A2479</x:f>
        <x:v>3489</x:v>
      </x:c>
    </x:row>
    <x:row r="406">
      <x:c r="A406" s="19" t="n">
        <x:f>LOG10('Du lieu'!G5145)</x:f>
        <x:v>1.81291335664286</x:v>
      </x:c>
      <x:c r="B406" s="19" t="n">
        <x:f>LOG10('Du lieu'!Q5145)</x:f>
        <x:v>0.130333768495006</x:v>
      </x:c>
      <x:c r="C406" t="n">
        <x:f>'Du lieu'!A5145</x:f>
        <x:v>6770</x:v>
      </x:c>
    </x:row>
    <x:row r="407">
      <x:c r="A407" s="19" t="n">
        <x:f>LOG10('Du lieu'!G5701)</x:f>
        <x:v>1.6232492903979</x:v>
      </x:c>
      <x:c r="B407" s="19" t="n">
        <x:f>LOG10('Du lieu'!Q5701)</x:f>
        <x:v>0.389166084364532</x:v>
      </x:c>
      <x:c r="C407" t="n">
        <x:f>'Du lieu'!A5701</x:f>
        <x:v>7431</x:v>
      </x:c>
    </x:row>
    <x:row r="408">
      <x:c r="A408" s="19" t="n">
        <x:f>LOG10('Du lieu'!G3197)</x:f>
        <x:v>1.60205999132796</x:v>
      </x:c>
      <x:c r="B408" s="19" t="n">
        <x:f>LOG10('Du lieu'!Q3197)</x:f>
        <x:v>0.389166084364532</x:v>
      </x:c>
      <x:c r="C408" t="n">
        <x:f>'Du lieu'!A3197</x:f>
        <x:v>4330</x:v>
      </x:c>
    </x:row>
    <x:row r="409">
      <x:c r="A409" s="19" t="n">
        <x:f>LOG10('Du lieu'!G6152)</x:f>
        <x:v>1.82607480270083</x:v>
      </x:c>
      <x:c r="B409" s="19" t="n">
        <x:f>LOG10('Du lieu'!Q6152)</x:f>
        <x:v>0.0791812460476248</x:v>
      </x:c>
      <x:c r="C409" t="n">
        <x:f>'Du lieu'!A6152</x:f>
        <x:v>7970</x:v>
      </x:c>
    </x:row>
    <x:row r="410">
      <x:c r="A410" s="19" t="n">
        <x:f>LOG10('Du lieu'!G4169)</x:f>
        <x:v>3.8750612633917</x:v>
      </x:c>
      <x:c r="B410" s="19" t="n">
        <x:f>LOG10('Du lieu'!Q4169)</x:f>
        <x:v>0.276461804173244</x:v>
      </x:c>
      <x:c r="C410" t="n">
        <x:f>'Du lieu'!A4169</x:f>
        <x:v>5599</x:v>
      </x:c>
    </x:row>
    <x:row r="411">
      <x:c r="A411" s="19" t="n">
        <x:f>LOG10('Du lieu'!G1804)</x:f>
        <x:v>1.80617997398389</x:v>
      </x:c>
      <x:c r="B411" s="19" t="n">
        <x:f>LOG10('Du lieu'!Q1804)</x:f>
        <x:v>0.255272505103306</x:v>
      </x:c>
      <x:c r="C411" t="n">
        <x:f>'Du lieu'!A1804</x:f>
        <x:v>2692</x:v>
      </x:c>
    </x:row>
    <x:row r="412">
      <x:c r="A412" s="19" t="n">
        <x:f>LOG10('Du lieu'!G6650)</x:f>
        <x:v>1.81954393554187</x:v>
      </x:c>
      <x:c r="B412" s="19" t="n">
        <x:f>LOG10('Du lieu'!Q6650)</x:f>
        <x:v>0.685741738602264</x:v>
      </x:c>
      <x:c r="C412" t="n">
        <x:f>'Du lieu'!A6650</x:f>
        <x:v>8560</x:v>
      </x:c>
    </x:row>
    <x:row r="413">
      <x:c r="A413" s="19" t="n">
        <x:f>LOG10('Du lieu'!G5576)</x:f>
        <x:v>2</x:v>
      </x:c>
      <x:c r="B413" s="19" t="n">
        <x:f>LOG10('Du lieu'!Q5576)</x:f>
        <x:v>0.113943352306837</x:v>
      </x:c>
      <x:c r="C413" t="n">
        <x:f>'Du lieu'!A5576</x:f>
        <x:v>7289</x:v>
      </x:c>
    </x:row>
    <x:row r="414">
      <x:c r="A414" s="19" t="n">
        <x:f>LOG10('Du lieu'!G3346)</x:f>
        <x:v>3.59250984790068</x:v>
      </x:c>
      <x:c r="B414" s="19" t="n">
        <x:f>LOG10('Du lieu'!Q3346)</x:f>
        <x:v>0.342422680822206</x:v>
      </x:c>
      <x:c r="C414" t="n">
        <x:f>'Du lieu'!A3346</x:f>
        <x:v>4604</x:v>
      </x:c>
    </x:row>
    <x:row r="415">
      <x:c r="A415" s="19" t="n">
        <x:f>LOG10('Du lieu'!G5402)</x:f>
        <x:v>1.64345267648619</x:v>
      </x:c>
      <x:c r="B415" s="19" t="n">
        <x:f>LOG10('Du lieu'!Q5402)</x:f>
        <x:v>-0.638272163982407</x:v>
      </x:c>
      <x:c r="C415" t="n">
        <x:f>'Du lieu'!A5402</x:f>
        <x:v>7062</x:v>
      </x:c>
    </x:row>
    <x:row r="416">
      <x:c r="A416" s="19" t="n">
        <x:f>LOG10('Du lieu'!G2933)</x:f>
        <x:v>2</x:v>
      </x:c>
      <x:c r="B416" s="19" t="n">
        <x:f>LOG10('Du lieu'!Q2933)</x:f>
        <x:v>-1.73282827159699</x:v>
      </x:c>
      <x:c r="C416" t="n">
        <x:f>'Du lieu'!A2933</x:f>
        <x:v>4027</x:v>
      </x:c>
    </x:row>
    <x:row r="417">
      <x:c r="A417" s="19" t="n">
        <x:f>LOG10('Du lieu'!G1047)</x:f>
        <x:v>1.17609125905568</x:v>
      </x:c>
      <x:c r="B417" s="19" t="n">
        <x:f>LOG10('Du lieu'!Q1047)</x:f>
        <x:v>-0.0861861476162833</x:v>
      </x:c>
      <x:c r="C417" t="n">
        <x:f>'Du lieu'!A1047</x:f>
        <x:v>1155</x:v>
      </x:c>
    </x:row>
    <x:row r="418">
      <x:c r="A418" s="19" t="n">
        <x:f>LOG10('Du lieu'!G6702)</x:f>
        <x:v>1.69897000433602</x:v>
      </x:c>
      <x:c r="B418" s="19" t="n">
        <x:f>LOG10('Du lieu'!Q6702)</x:f>
        <x:v>0.176091259055681</x:v>
      </x:c>
      <x:c r="C418" t="n">
        <x:f>'Du lieu'!A6702</x:f>
        <x:v>8618</x:v>
      </x:c>
    </x:row>
    <x:row r="419">
      <x:c r="A419" s="19" t="n">
        <x:f>LOG10('Du lieu'!G3388)</x:f>
        <x:v>1.92941892571429</x:v>
      </x:c>
      <x:c r="B419" s="19" t="n">
        <x:f>LOG10('Du lieu'!Q3388)</x:f>
        <x:v>0.670245853074124</x:v>
      </x:c>
      <x:c r="C419" t="n">
        <x:f>'Du lieu'!A3388</x:f>
        <x:v>4681</x:v>
      </x:c>
    </x:row>
    <x:row r="420">
      <x:c r="A420" s="19" t="n">
        <x:f>LOG10('Du lieu'!G4680)</x:f>
        <x:v>1.81954393554187</x:v>
      </x:c>
      <x:c r="B420" s="19" t="n">
        <x:f>LOG10('Du lieu'!Q4680)</x:f>
        <x:v>0.380211241711606</x:v>
      </x:c>
      <x:c r="C420" t="n">
        <x:f>'Du lieu'!A4680</x:f>
        <x:v>6222</x:v>
      </x:c>
    </x:row>
    <x:row r="421">
      <x:c r="A421" s="19" t="n">
        <x:f>LOG10('Du lieu'!G6349)</x:f>
        <x:v>2.13033376849501</x:v>
      </x:c>
      <x:c r="B421" s="19" t="n">
        <x:f>LOG10('Du lieu'!Q6349)</x:f>
        <x:v>-0.283996656365201</x:v>
      </x:c>
      <x:c r="C421" t="n">
        <x:f>'Du lieu'!A6349</x:f>
        <x:v>8214</x:v>
      </x:c>
    </x:row>
    <x:row r="422">
      <x:c r="A422" s="19" t="n">
        <x:f>LOG10('Du lieu'!G1258)</x:f>
        <x:v>2.25285303097989</x:v>
      </x:c>
      <x:c r="B422" s="19" t="n">
        <x:f>LOG10('Du lieu'!Q1258)</x:f>
        <x:v>0.515873843711679</x:v>
      </x:c>
      <x:c r="C422" t="n">
        <x:f>'Du lieu'!A1258</x:f>
        <x:v>2022</x:v>
      </x:c>
    </x:row>
    <x:row r="423">
      <x:c r="A423" s="19" t="n">
        <x:f>LOG10('Du lieu'!G2225)</x:f>
        <x:v>1.55630250076729</x:v>
      </x:c>
      <x:c r="B423" s="19" t="n">
        <x:f>LOG10('Du lieu'!Q2225)</x:f>
        <x:v>-0.0655015487564323</x:v>
      </x:c>
      <x:c r="C423" t="n">
        <x:f>'Du lieu'!A2225</x:f>
        <x:v>3178</x:v>
      </x:c>
    </x:row>
    <x:row r="424">
      <x:c r="A424" s="19" t="n">
        <x:f>LOG10('Du lieu'!G2893)</x:f>
        <x:v>1.39794000867204</x:v>
      </x:c>
      <x:c r="B424" s="19" t="n">
        <x:f>LOG10('Du lieu'!Q2893)</x:f>
        <x:v>0.301029995663981</x:v>
      </x:c>
      <x:c r="C424" t="n">
        <x:f>'Du lieu'!A2893</x:f>
        <x:v>3982</x:v>
      </x:c>
    </x:row>
    <x:row r="425">
      <x:c r="A425" s="19" t="n">
        <x:f>LOG10('Du lieu'!G6168)</x:f>
        <x:v>2.20411998265592</x:v>
      </x:c>
      <x:c r="B425" s="19" t="n">
        <x:f>LOG10('Du lieu'!Q6168)</x:f>
        <x:v>0.322219294733919</x:v>
      </x:c>
      <x:c r="C425" t="n">
        <x:f>'Du lieu'!A6168</x:f>
        <x:v>7989</x:v>
      </x:c>
    </x:row>
    <x:row r="426">
      <x:c r="A426" s="19" t="n">
        <x:f>LOG10('Du lieu'!G887)</x:f>
        <x:v>1.90200289135073</x:v>
      </x:c>
      <x:c r="B426" s="19" t="n">
        <x:f>LOG10('Du lieu'!Q887)</x:f>
        <x:v>0.484299839346786</x:v>
      </x:c>
      <x:c r="C426" t="n">
        <x:f>'Du lieu'!A887</x:f>
        <x:v>984</x:v>
      </x:c>
    </x:row>
    <x:row r="427">
      <x:c r="A427" s="19" t="n">
        <x:f>LOG10('Du lieu'!G4772)</x:f>
        <x:v>1.69897000433602</x:v>
      </x:c>
      <x:c r="B427" s="19" t="n">
        <x:f>LOG10('Du lieu'!Q4772)</x:f>
        <x:v>0.204119982655925</x:v>
      </x:c>
      <x:c r="C427" t="n">
        <x:f>'Du lieu'!A4772</x:f>
        <x:v>6325</x:v>
      </x:c>
    </x:row>
    <x:row r="428">
      <x:c r="A428" s="19" t="n">
        <x:f>LOG10('Du lieu'!G2964)</x:f>
        <x:v>1.7160033436348</x:v>
      </x:c>
      <x:c r="B428" s="19" t="n">
        <x:f>LOG10('Du lieu'!Q2964)</x:f>
        <x:v>0.176091259055681</x:v>
      </x:c>
      <x:c r="C428" t="n">
        <x:f>'Du lieu'!A2964</x:f>
        <x:v>4062</x:v>
      </x:c>
    </x:row>
    <x:row r="429">
      <x:c r="A429" s="19" t="n">
        <x:f>LOG10('Du lieu'!G3593)</x:f>
        <x:v>1.92941892571429</x:v>
      </x:c>
      <x:c r="B429" s="19" t="n">
        <x:f>LOG10('Du lieu'!Q3593)</x:f>
        <x:v>0.204119982655925</x:v>
      </x:c>
      <x:c r="C429" t="n">
        <x:f>'Du lieu'!A3593</x:f>
        <x:v>4911</x:v>
      </x:c>
    </x:row>
    <x:row r="430">
      <x:c r="A430" s="19" t="n">
        <x:f>LOG10('Du lieu'!G2989)</x:f>
        <x:v>2.8750612633917</x:v>
      </x:c>
      <x:c r="B430" s="19" t="n">
        <x:f>LOG10('Du lieu'!Q2989)</x:f>
        <x:v>0.477121254719662</x:v>
      </x:c>
      <x:c r="C430" t="n">
        <x:f>'Du lieu'!A2989</x:f>
        <x:v>4092</x:v>
      </x:c>
    </x:row>
    <x:row r="431">
      <x:c r="A431" s="19" t="n">
        <x:f>LOG10('Du lieu'!G5786)</x:f>
        <x:v>2</x:v>
      </x:c>
      <x:c r="B431" s="19" t="n">
        <x:f>LOG10('Du lieu'!Q5786)</x:f>
        <x:v>-0.0700704399154121</x:v>
      </x:c>
      <x:c r="C431" t="n">
        <x:f>'Du lieu'!A5786</x:f>
        <x:v>7527</x:v>
      </x:c>
    </x:row>
    <x:row r="432">
      <x:c r="A432" s="19" t="n">
        <x:f>LOG10('Du lieu'!G3582)</x:f>
        <x:v>1.55630250076729</x:v>
      </x:c>
      <x:c r="B432" s="19" t="n">
        <x:f>LOG10('Du lieu'!Q3582)</x:f>
        <x:v>0.361727836017593</x:v>
      </x:c>
      <x:c r="C432" t="n">
        <x:f>'Du lieu'!A3582</x:f>
        <x:v>4900</x:v>
      </x:c>
    </x:row>
    <x:row r="433">
      <x:c r="A433" s="19" t="n">
        <x:f>LOG10('Du lieu'!G4453)</x:f>
        <x:v>2.10720996964787</x:v>
      </x:c>
      <x:c r="B433" s="19" t="n">
        <x:f>LOG10('Du lieu'!Q4453)</x:f>
        <x:v>0.447158031342219</x:v>
      </x:c>
      <x:c r="C433" t="n">
        <x:f>'Du lieu'!A4453</x:f>
        <x:v>5937</x:v>
      </x:c>
    </x:row>
    <x:row r="434">
      <x:c r="A434" s="19" t="n">
        <x:f>LOG10('Du lieu'!G5155)</x:f>
        <x:v>1.74036268949424</x:v>
      </x:c>
      <x:c r="B434" s="19" t="n">
        <x:f>LOG10('Du lieu'!Q5155)</x:f>
        <x:v>-0.522878745280338</x:v>
      </x:c>
      <x:c r="C434" t="n">
        <x:f>'Du lieu'!A5155</x:f>
        <x:v>6783</x:v>
      </x:c>
    </x:row>
    <x:row r="435">
      <x:c r="A435" s="19" t="n">
        <x:f>LOG10('Du lieu'!G339)</x:f>
        <x:v>2.47712125471966</x:v>
      </x:c>
      <x:c r="B435" s="19" t="n">
        <x:f>LOG10('Du lieu'!Q339)</x:f>
        <x:v>0.230448921378274</x:v>
      </x:c>
      <x:c r="C435" t="n">
        <x:f>'Du lieu'!A339</x:f>
        <x:v>357</x:v>
      </x:c>
    </x:row>
    <x:row r="436">
      <x:c r="A436" s="19" t="n">
        <x:f>LOG10('Du lieu'!G1518)</x:f>
        <x:v>2.25527250510331</x:v>
      </x:c>
      <x:c r="B436" s="19" t="n">
        <x:f>LOG10('Du lieu'!Q1518)</x:f>
        <x:v>0.235528446907549</x:v>
      </x:c>
      <x:c r="C436" t="n">
        <x:f>'Du lieu'!A1518</x:f>
        <x:v>2348</x:v>
      </x:c>
    </x:row>
    <x:row r="437">
      <x:c r="A437" s="19" t="n">
        <x:f>LOG10('Du lieu'!G6904)</x:f>
        <x:v>2.13987908640124</x:v>
      </x:c>
      <x:c r="B437" s="19" t="n">
        <x:f>LOG10('Du lieu'!Q6904)</x:f>
        <x:v>-0.1249387366083</x:v>
      </x:c>
      <x:c r="C437" t="n">
        <x:f>'Du lieu'!A6904</x:f>
        <x:v>8885</x:v>
      </x:c>
    </x:row>
    <x:row r="438">
      <x:c r="A438" s="19" t="n">
        <x:f>LOG10('Du lieu'!G6087)</x:f>
        <x:v>1.8750612633917</x:v>
      </x:c>
      <x:c r="B438" s="19" t="n">
        <x:f>LOG10('Du lieu'!Q6087)</x:f>
        <x:v>1.09691001300806</x:v>
      </x:c>
      <x:c r="C438" t="n">
        <x:f>'Du lieu'!A6087</x:f>
        <x:v>7895</x:v>
      </x:c>
    </x:row>
    <x:row r="439">
      <x:c r="A439" s="19" t="n">
        <x:f>LOG10('Du lieu'!G6006)</x:f>
        <x:v>2.47712125471966</x:v>
      </x:c>
      <x:c r="B439" s="19" t="n">
        <x:f>LOG10('Du lieu'!Q6006)</x:f>
        <x:v>-0.698970004336019</x:v>
      </x:c>
      <x:c r="C439" t="n">
        <x:f>'Du lieu'!A6006</x:f>
        <x:v>7800</x:v>
      </x:c>
    </x:row>
    <x:row r="440">
      <x:c r="A440" s="19" t="n">
        <x:f>LOG10('Du lieu'!G2281)</x:f>
        <x:v>1.80345711564841</x:v>
      </x:c>
      <x:c r="B440" s="19" t="n">
        <x:f>LOG10('Du lieu'!Q2281)</x:f>
        <x:v>0.505149978319906</x:v>
      </x:c>
      <x:c r="C440" t="n">
        <x:f>'Du lieu'!A2281</x:f>
        <x:v>3242</x:v>
      </x:c>
    </x:row>
    <x:row r="441">
      <x:c r="A441" s="19" t="n">
        <x:f>LOG10('Du lieu'!G345)</x:f>
        <x:v>1.75587485567249</x:v>
      </x:c>
      <x:c r="B441" s="19" t="n">
        <x:f>LOG10('Du lieu'!Q345)</x:f>
        <x:v>1.19865708695442</x:v>
      </x:c>
      <x:c r="C441" t="n">
        <x:f>'Du lieu'!A345</x:f>
        <x:v>363</x:v>
      </x:c>
    </x:row>
    <x:row r="442">
      <x:c r="A442" s="19" t="n">
        <x:f>LOG10('Du lieu'!G4380)</x:f>
        <x:v>2.7481880270062</x:v>
      </x:c>
      <x:c r="B442" s="19" t="n">
        <x:f>LOG10('Du lieu'!Q4380)</x:f>
        <x:v>-0.187086643357144</x:v>
      </x:c>
      <x:c r="C442" t="n">
        <x:f>'Du lieu'!A4380</x:f>
        <x:v>5855</x:v>
      </x:c>
    </x:row>
    <x:row r="443">
      <x:c r="A443" s="19" t="n">
        <x:f>LOG10('Du lieu'!G5727)</x:f>
        <x:v>2.19033169817029</x:v>
      </x:c>
      <x:c r="B443" s="19" t="n">
        <x:f>LOG10('Du lieu'!Q5727)</x:f>
        <x:v>-0.414539270491499</x:v>
      </x:c>
      <x:c r="C443" t="n">
        <x:f>'Du lieu'!A5727</x:f>
        <x:v>7460</x:v>
      </x:c>
    </x:row>
    <x:row r="444">
      <x:c r="A444" s="19" t="n">
        <x:f>LOG10('Du lieu'!G2480)</x:f>
        <x:v>1.77815125038364</x:v>
      </x:c>
      <x:c r="B444" s="19" t="n">
        <x:f>LOG10('Du lieu'!Q2480)</x:f>
        <x:v>0.301029995663981</x:v>
      </x:c>
      <x:c r="C444" t="n">
        <x:f>'Du lieu'!A2480</x:f>
        <x:v>3490</x:v>
      </x:c>
    </x:row>
    <x:row r="445">
      <x:c r="A445" s="19" t="n">
        <x:f>LOG10('Du lieu'!G2764)</x:f>
        <x:v>1.70070371714502</x:v>
      </x:c>
      <x:c r="B445" s="19" t="n">
        <x:f>LOG10('Du lieu'!Q2764)</x:f>
        <x:v>0.685741738602264</x:v>
      </x:c>
      <x:c r="C445" t="n">
        <x:f>'Du lieu'!A2764</x:f>
        <x:v>3818</x:v>
      </x:c>
    </x:row>
    <x:row r="446">
      <x:c r="A446" s="19" t="n">
        <x:f>LOG10('Du lieu'!G750)</x:f>
        <x:v>2.07918124604762</x:v>
      </x:c>
      <x:c r="B446" s="19" t="n">
        <x:f>LOG10('Du lieu'!Q750)</x:f>
        <x:v>0.352182518111362</x:v>
      </x:c>
      <x:c r="C446" t="n">
        <x:f>'Du lieu'!A750</x:f>
        <x:v>819</x:v>
      </x:c>
    </x:row>
    <x:row r="447">
      <x:c r="A447" s="19" t="n">
        <x:f>LOG10('Du lieu'!G2548)</x:f>
        <x:v>1.84509804001426</x:v>
      </x:c>
      <x:c r="B447" s="19" t="n">
        <x:f>LOG10('Du lieu'!Q2548)</x:f>
        <x:v>-0.0705810742857073</x:v>
      </x:c>
      <x:c r="C447" t="n">
        <x:f>'Du lieu'!A2548</x:f>
        <x:v>3566</x:v>
      </x:c>
    </x:row>
    <x:row r="448">
      <x:c r="A448" s="19" t="n">
        <x:f>LOG10('Du lieu'!G3629)</x:f>
        <x:v>2</x:v>
      </x:c>
      <x:c r="B448" s="19" t="n">
        <x:f>LOG10('Du lieu'!Q3629)</x:f>
        <x:v>0.672098781965547</x:v>
      </x:c>
      <x:c r="C448" t="n">
        <x:f>'Du lieu'!A3629</x:f>
        <x:v>4954</x:v>
      </x:c>
    </x:row>
    <x:row r="449">
      <x:c r="A449" s="19" t="n">
        <x:f>LOG10('Du lieu'!G711)</x:f>
        <x:v>2.23879856271392</x:v>
      </x:c>
      <x:c r="B449" s="19" t="n">
        <x:f>LOG10('Du lieu'!Q711)</x:f>
        <x:v>0.591064607026499</x:v>
      </x:c>
      <x:c r="C449" t="n">
        <x:f>'Du lieu'!A711</x:f>
        <x:v>778</x:v>
      </x:c>
    </x:row>
    <x:row r="450">
      <x:c r="A450" s="19" t="n">
        <x:f>LOG10('Du lieu'!G6252)</x:f>
        <x:v>2.16136800223497</x:v>
      </x:c>
      <x:c r="B450" s="19" t="n">
        <x:f>LOG10('Du lieu'!Q6252)</x:f>
        <x:v>1.00860017176192</x:v>
      </x:c>
      <x:c r="C450" t="n">
        <x:f>'Du lieu'!A6252</x:f>
        <x:v>8083</x:v>
      </x:c>
    </x:row>
    <x:row r="451">
      <x:c r="A451" s="19" t="n">
        <x:f>LOG10('Du lieu'!G3661)</x:f>
        <x:v>1.74036268949424</x:v>
      </x:c>
      <x:c r="B451" s="19" t="n">
        <x:f>LOG10('Du lieu'!Q3661)</x:f>
        <x:v>0.57978359661681</x:v>
      </x:c>
      <x:c r="C451" t="n">
        <x:f>'Du lieu'!A3661</x:f>
        <x:v>4992</x:v>
      </x:c>
    </x:row>
    <x:row r="452">
      <x:c r="A452" s="19" t="n">
        <x:f>LOG10('Du lieu'!G3829)</x:f>
        <x:v>3.00987563371216</x:v>
      </x:c>
      <x:c r="B452" s="19" t="n">
        <x:f>LOG10('Du lieu'!Q3829)</x:f>
        <x:v>-0.508638306165727</x:v>
      </x:c>
      <x:c r="C452" t="n">
        <x:f>'Du lieu'!A3829</x:f>
        <x:v>5208</x:v>
      </x:c>
    </x:row>
    <x:row r="453">
      <x:c r="A453" s="19" t="n">
        <x:f>LOG10('Du lieu'!G4457)</x:f>
        <x:v>3.14983469671578</x:v>
      </x:c>
      <x:c r="B453" s="19" t="n">
        <x:f>LOG10('Du lieu'!Q4457)</x:f>
        <x:v>0.518513939877887</x:v>
      </x:c>
      <x:c r="C453" t="n">
        <x:f>'Du lieu'!A4457</x:f>
        <x:v>5944</x:v>
      </x:c>
    </x:row>
    <x:row r="454">
      <x:c r="A454" s="19" t="n">
        <x:f>LOG10('Du lieu'!G5634)</x:f>
        <x:v>2.09691001300806</x:v>
      </x:c>
      <x:c r="B454" s="19" t="n">
        <x:f>LOG10('Du lieu'!Q5634)</x:f>
        <x:v>-0.1249387366083</x:v>
      </x:c>
      <x:c r="C454" t="n">
        <x:f>'Du lieu'!A5634</x:f>
        <x:v>7355</x:v>
      </x:c>
    </x:row>
    <x:row r="455">
      <x:c r="A455" s="19" t="n">
        <x:f>LOG10('Du lieu'!G5046)</x:f>
        <x:v>1.55630250076729</x:v>
      </x:c>
      <x:c r="B455" s="19" t="n">
        <x:f>LOG10('Du lieu'!Q5046)</x:f>
        <x:v>0.477121254719662</x:v>
      </x:c>
      <x:c r="C455" t="n">
        <x:f>'Du lieu'!A5046</x:f>
        <x:v>6658</x:v>
      </x:c>
    </x:row>
    <x:row r="456">
      <x:c r="A456" s="19" t="n">
        <x:f>LOG10('Du lieu'!G4391)</x:f>
        <x:v>1.72427586960079</x:v>
      </x:c>
      <x:c r="B456" s="19" t="n">
        <x:f>LOG10('Du lieu'!Q4391)</x:f>
        <x:v>0.0644579892269184</x:v>
      </x:c>
      <x:c r="C456" t="n">
        <x:f>'Du lieu'!A4391</x:f>
        <x:v>5866</x:v>
      </x:c>
    </x:row>
    <x:row r="457">
      <x:c r="A457" s="19" t="n">
        <x:f>LOG10('Du lieu'!G4091)</x:f>
        <x:v>2.3384564936046</x:v>
      </x:c>
      <x:c r="B457" s="19" t="n">
        <x:f>LOG10('Du lieu'!Q4091)</x:f>
        <x:v>1.24303804868629</x:v>
      </x:c>
      <x:c r="C457" t="n">
        <x:f>'Du lieu'!A4091</x:f>
        <x:v>5512</x:v>
      </x:c>
    </x:row>
    <x:row r="458">
      <x:c r="A458" s="19" t="n">
        <x:f>LOG10('Du lieu'!G1049)</x:f>
        <x:v>1.47712125471966</x:v>
      </x:c>
      <x:c r="B458" s="19" t="n">
        <x:f>LOG10('Du lieu'!Q1049)</x:f>
        <x:v>0.243038048686294</x:v>
      </x:c>
      <x:c r="C458" t="n">
        <x:f>'Du lieu'!A1049</x:f>
        <x:v>1157</x:v>
      </x:c>
    </x:row>
    <x:row r="459">
      <x:c r="A459" s="19" t="n">
        <x:f>LOG10('Du lieu'!G2499)</x:f>
        <x:v>1.84509804001426</x:v>
      </x:c>
      <x:c r="B459" s="19" t="n">
        <x:f>LOG10('Du lieu'!Q2499)</x:f>
        <x:v>-0.161150909262745</x:v>
      </x:c>
      <x:c r="C459" t="n">
        <x:f>'Du lieu'!A2499</x:f>
        <x:v>3512</x:v>
      </x:c>
    </x:row>
    <x:row r="460">
      <x:c r="A460" s="19" t="n">
        <x:f>LOG10('Du lieu'!G1268)</x:f>
        <x:v>1.60205999132796</x:v>
      </x:c>
      <x:c r="B460" s="19" t="n">
        <x:f>LOG10('Du lieu'!Q1268)</x:f>
        <x:v>0.597695185925512</x:v>
      </x:c>
      <x:c r="C460" t="n">
        <x:f>'Du lieu'!A1268</x:f>
        <x:v>2032</x:v>
      </x:c>
    </x:row>
    <x:row r="461">
      <x:c r="A461" s="19" t="n">
        <x:f>LOG10('Du lieu'!G4775)</x:f>
        <x:v>1.89762709129044</x:v>
      </x:c>
      <x:c r="B461" s="19" t="n">
        <x:f>LOG10('Du lieu'!Q4775)</x:f>
        <x:v>0.161368002234975</x:v>
      </x:c>
      <x:c r="C461" t="n">
        <x:f>'Du lieu'!A4775</x:f>
        <x:v>6329</x:v>
      </x:c>
    </x:row>
    <x:row r="462">
      <x:c r="A462" s="19" t="n">
        <x:f>LOG10('Du lieu'!G1417)</x:f>
        <x:v>1.61278385671974</x:v>
      </x:c>
      <x:c r="B462" s="19" t="n">
        <x:f>LOG10('Du lieu'!Q1417)</x:f>
        <x:v>0.537819095073274</x:v>
      </x:c>
      <x:c r="C462" t="n">
        <x:f>'Du lieu'!A1417</x:f>
        <x:v>2198</x:v>
      </x:c>
    </x:row>
    <x:row r="463">
      <x:c r="A463" s="19" t="n">
        <x:f>LOG10('Du lieu'!G5565)</x:f>
        <x:v>1.77815125038364</x:v>
      </x:c>
      <x:c r="B463" s="19" t="n">
        <x:f>LOG10('Du lieu'!Q5565)</x:f>
        <x:v>0.380211241711606</x:v>
      </x:c>
      <x:c r="C463" t="n">
        <x:f>'Du lieu'!A5565</x:f>
        <x:v>7278</x:v>
      </x:c>
    </x:row>
    <x:row r="464">
      <x:c r="A464" s="19" t="n">
        <x:f>LOG10('Du lieu'!G368)</x:f>
        <x:v>2</x:v>
      </x:c>
      <x:c r="B464" s="19" t="n">
        <x:f>LOG10('Du lieu'!Q368)</x:f>
        <x:v>0.612783856719735</x:v>
      </x:c>
      <x:c r="C464" t="n">
        <x:f>'Du lieu'!A368</x:f>
        <x:v>396</x:v>
      </x:c>
    </x:row>
    <x:row r="465">
      <x:c r="A465" s="19" t="n">
        <x:f>LOG10('Du lieu'!G3309)</x:f>
        <x:v>2.14612803567824</x:v>
      </x:c>
      <x:c r="B465" s="19" t="n">
        <x:f>LOG10('Du lieu'!Q3309)</x:f>
        <x:v>1.29003461136252</x:v>
      </x:c>
      <x:c r="C465" t="n">
        <x:f>'Du lieu'!A3309</x:f>
        <x:v>4478</x:v>
      </x:c>
    </x:row>
    <x:row r="466">
      <x:c r="A466" s="19" t="n">
        <x:f>LOG10('Du lieu'!G3513)</x:f>
        <x:v>1.65321251377534</x:v>
      </x:c>
      <x:c r="B466" s="19" t="n">
        <x:f>LOG10('Du lieu'!Q3513)</x:f>
        <x:v>0.707570176097936</x:v>
      </x:c>
      <x:c r="C466" t="n">
        <x:f>'Du lieu'!A3513</x:f>
        <x:v>4822</x:v>
      </x:c>
    </x:row>
    <x:row r="467">
      <x:c r="A467" s="19" t="n">
        <x:f>LOG10('Du lieu'!G5067)</x:f>
        <x:v>1.99563519459755</x:v>
      </x:c>
      <x:c r="B467" s="19" t="n">
        <x:f>LOG10('Du lieu'!Q5067)</x:f>
        <x:v>-0.795880017344075</x:v>
      </x:c>
      <x:c r="C467" t="n">
        <x:f>'Du lieu'!A5067</x:f>
        <x:v>6681</x:v>
      </x:c>
    </x:row>
    <x:row r="468">
      <x:c r="A468" s="19" t="n">
        <x:f>LOG10('Du lieu'!G372)</x:f>
        <x:v>1.84509804001426</x:v>
      </x:c>
      <x:c r="B468" s="19" t="n">
        <x:f>LOG10('Du lieu'!Q372)</x:f>
        <x:v>0.845098040014257</x:v>
      </x:c>
      <x:c r="C468" t="n">
        <x:f>'Du lieu'!A372</x:f>
        <x:v>400</x:v>
      </x:c>
    </x:row>
    <x:row r="469">
      <x:c r="A469" s="19" t="n">
        <x:f>LOG10('Du lieu'!G2789)</x:f>
        <x:v>1.92941892571429</x:v>
      </x:c>
      <x:c r="B469" s="19" t="n">
        <x:f>LOG10('Du lieu'!Q2789)</x:f>
        <x:v>0.799340549453582</x:v>
      </x:c>
      <x:c r="C469" t="n">
        <x:f>'Du lieu'!A2789</x:f>
        <x:v>3859</x:v>
      </x:c>
    </x:row>
    <x:row r="470">
      <x:c r="A470" s="19" t="n">
        <x:f>LOG10('Du lieu'!G1158)</x:f>
        <x:v>2.17609125905568</x:v>
      </x:c>
      <x:c r="B470" s="19" t="n">
        <x:f>LOG10('Du lieu'!Q1158)</x:f>
        <x:v>1.43136376415899</x:v>
      </x:c>
      <x:c r="C470" t="n">
        <x:f>'Du lieu'!A1158</x:f>
        <x:v>1689</x:v>
      </x:c>
    </x:row>
    <x:row r="471">
      <x:c r="A471" s="19" t="n">
        <x:f>LOG10('Du lieu'!G375)</x:f>
        <x:v>1.96848294855394</x:v>
      </x:c>
      <x:c r="B471" s="19" t="n">
        <x:f>LOG10('Du lieu'!Q375)</x:f>
        <x:v>0.255272505103306</x:v>
      </x:c>
      <x:c r="C471" t="n">
        <x:f>'Du lieu'!A375</x:f>
        <x:v>403</x:v>
      </x:c>
    </x:row>
    <x:row r="472">
      <x:c r="A472" s="19" t="n">
        <x:f>LOG10('Du lieu'!G3375)</x:f>
        <x:v>1.91381385238372</x:v>
      </x:c>
      <x:c r="B472" s="19" t="n">
        <x:f>LOG10('Du lieu'!Q3375)</x:f>
        <x:v>0.0211892990699381</x:v>
      </x:c>
      <x:c r="C472" t="n">
        <x:f>'Du lieu'!A3375</x:f>
        <x:v>4663</x:v>
      </x:c>
    </x:row>
    <x:row r="473">
      <x:c r="A473" s="19" t="n">
        <x:f>LOG10('Du lieu'!G2582)</x:f>
        <x:v>3.16136800223497</x:v>
      </x:c>
      <x:c r="B473" s="19" t="n">
        <x:f>LOG10('Du lieu'!Q2582)</x:f>
        <x:v>1.55022835305509</x:v>
      </x:c>
      <x:c r="C473" t="n">
        <x:f>'Du lieu'!A2582</x:f>
        <x:v>3605</x:v>
      </x:c>
    </x:row>
    <x:row r="474">
      <x:c r="A474" s="19" t="n">
        <x:f>LOG10('Du lieu'!G3331)</x:f>
        <x:v>1.66275783168157</x:v>
      </x:c>
      <x:c r="B474" s="19" t="n">
        <x:f>LOG10('Du lieu'!Q3331)</x:f>
        <x:v>0.568201724066995</x:v>
      </x:c>
      <x:c r="C474" t="n">
        <x:f>'Du lieu'!A3331</x:f>
        <x:v>4589</x:v>
      </x:c>
    </x:row>
    <x:row r="475">
      <x:c r="A475" s="19" t="n">
        <x:f>LOG10('Du lieu'!G5761)</x:f>
        <x:v>2.32633586092875</x:v>
      </x:c>
      <x:c r="B475" s="19" t="n">
        <x:f>LOG10('Du lieu'!Q5761)</x:f>
        <x:v>0.544068044350276</x:v>
      </x:c>
      <x:c r="C475" t="n">
        <x:f>'Du lieu'!A5761</x:f>
        <x:v>7499</x:v>
      </x:c>
    </x:row>
    <x:row r="476">
      <x:c r="A476" s="19" t="n">
        <x:f>LOG10('Du lieu'!G3947)</x:f>
        <x:v>1.80617997398389</x:v>
      </x:c>
      <x:c r="B476" s="19" t="n">
        <x:f>LOG10('Du lieu'!Q3947)</x:f>
        <x:v>0.322219294733919</x:v>
      </x:c>
      <x:c r="C476" t="n">
        <x:f>'Du lieu'!A3947</x:f>
        <x:v>5344</x:v>
      </x:c>
    </x:row>
    <x:row r="477">
      <x:c r="A477" s="19" t="n">
        <x:f>LOG10('Du lieu'!G4671)</x:f>
        <x:v>1.79239168949825</x:v>
      </x:c>
      <x:c r="B477" s="19" t="n">
        <x:f>LOG10('Du lieu'!Q4671)</x:f>
        <x:v>0.431363764158987</x:v>
      </x:c>
      <x:c r="C477" t="n">
        <x:f>'Du lieu'!A4671</x:f>
        <x:v>6210</x:v>
      </x:c>
    </x:row>
    <x:row r="478">
      <x:c r="A478" s="19" t="n">
        <x:f>LOG10('Du lieu'!G4997)</x:f>
        <x:v>1.70757017609794</x:v>
      </x:c>
      <x:c r="B478" s="19" t="n">
        <x:f>LOG10('Du lieu'!Q4997)</x:f>
        <x:v>0.139879086401236</x:v>
      </x:c>
      <x:c r="C478" t="n">
        <x:f>'Du lieu'!A4997</x:f>
        <x:v>6582</x:v>
      </x:c>
    </x:row>
    <x:row r="479">
      <x:c r="A479" s="19" t="n">
        <x:f>LOG10('Du lieu'!G4988)</x:f>
        <x:v>1.70757017609794</x:v>
      </x:c>
      <x:c r="B479" s="19" t="n">
        <x:f>LOG10('Du lieu'!Q4988)</x:f>
        <x:v>0.139879086401236</x:v>
      </x:c>
      <x:c r="C479" t="n">
        <x:f>'Du lieu'!A4988</x:f>
        <x:v>6571</x:v>
      </x:c>
    </x:row>
    <x:row r="480">
      <x:c r="A480" s="19" t="n">
        <x:f>LOG10('Du lieu'!G3704)</x:f>
        <x:v>2</x:v>
      </x:c>
      <x:c r="B480" s="19" t="n">
        <x:f>LOG10('Du lieu'!Q3704)</x:f>
        <x:v>0.380211241711606</x:v>
      </x:c>
      <x:c r="C480" t="n">
        <x:f>'Du lieu'!A3704</x:f>
        <x:v>5042</x:v>
      </x:c>
    </x:row>
    <x:row r="481">
      <x:c r="A481" s="19" t="n">
        <x:f>LOG10('Du lieu'!G4753)</x:f>
        <x:v>1.69897000433602</x:v>
      </x:c>
      <x:c r="B481" s="19" t="n">
        <x:f>LOG10('Du lieu'!Q4753)</x:f>
        <x:v>-0.0287241512618947</x:v>
      </x:c>
      <x:c r="C481" t="n">
        <x:f>'Du lieu'!A4753</x:f>
        <x:v>6302</x:v>
      </x:c>
    </x:row>
    <x:row r="482">
      <x:c r="A482" s="19" t="n">
        <x:f>LOG10('Du lieu'!G3516)</x:f>
        <x:v>1.7481880270062</x:v>
      </x:c>
      <x:c r="B482" s="19" t="n">
        <x:f>LOG10('Du lieu'!Q3516)</x:f>
        <x:v>0.389166084364532</x:v>
      </x:c>
      <x:c r="C482" t="n">
        <x:f>'Du lieu'!A3516</x:f>
        <x:v>4825</x:v>
      </x:c>
    </x:row>
    <x:row r="483">
      <x:c r="A483" s="19" t="n">
        <x:f>LOG10('Du lieu'!G4443)</x:f>
        <x:v>1.55630250076729</x:v>
      </x:c>
      <x:c r="B483" s="19" t="n">
        <x:f>LOG10('Du lieu'!Q4443)</x:f>
        <x:v>0.812913356642855</x:v>
      </x:c>
      <x:c r="C483" t="n">
        <x:f>'Du lieu'!A4443</x:f>
        <x:v>5926</x:v>
      </x:c>
    </x:row>
    <x:row r="484">
      <x:c r="A484" s="19" t="n">
        <x:f>LOG10('Du lieu'!G1154)</x:f>
        <x:v>3.19033169817029</x:v>
      </x:c>
      <x:c r="B484" s="19" t="n">
        <x:f>LOG10('Du lieu'!Q1154)</x:f>
        <x:v>0.113943352306837</x:v>
      </x:c>
      <x:c r="C484" t="n">
        <x:f>'Du lieu'!A1154</x:f>
        <x:v>1684</x:v>
      </x:c>
    </x:row>
    <x:row r="485">
      <x:c r="A485" s="19" t="n">
        <x:f>LOG10('Du lieu'!G1033)</x:f>
        <x:v>1.80617997398389</x:v>
      </x:c>
      <x:c r="B485" s="19" t="n">
        <x:f>LOG10('Du lieu'!Q1033)</x:f>
        <x:v>-0.698970004336019</x:v>
      </x:c>
      <x:c r="C485" t="n">
        <x:f>'Du lieu'!A1033</x:f>
        <x:v>1138</x:v>
      </x:c>
    </x:row>
    <x:row r="486">
      <x:c r="A486" s="19" t="n">
        <x:f>LOG10('Du lieu'!G3065)</x:f>
        <x:v>1.92427928606188</x:v>
      </x:c>
      <x:c r="B486" s="19" t="n">
        <x:f>LOG10('Du lieu'!Q3065)</x:f>
        <x:v>0.812913356642855</x:v>
      </x:c>
      <x:c r="C486" t="n">
        <x:f>'Du lieu'!A3065</x:f>
        <x:v>4175</x:v>
      </x:c>
    </x:row>
    <x:row r="487">
      <x:c r="A487" s="19" t="n">
        <x:f>LOG10('Du lieu'!G391)</x:f>
        <x:v>1.92941892571429</x:v>
      </x:c>
      <x:c r="B487" s="19" t="n">
        <x:f>LOG10('Du lieu'!Q391)</x:f>
        <x:v>0.716003343634799</x:v>
      </x:c>
      <x:c r="C487" t="n">
        <x:f>'Du lieu'!A391</x:f>
        <x:v>420</x:v>
      </x:c>
    </x:row>
    <x:row r="488">
      <x:c r="A488" s="19" t="n">
        <x:f>LOG10('Du lieu'!G392)</x:f>
        <x:v>1.85733249643127</x:v>
      </x:c>
      <x:c r="B488" s="19" t="n">
        <x:f>LOG10('Du lieu'!Q392)</x:f>
        <x:v>0.763427993562937</x:v>
      </x:c>
      <x:c r="C488" t="n">
        <x:f>'Du lieu'!A392</x:f>
        <x:v>421</x:v>
      </x:c>
    </x:row>
    <x:row r="489">
      <x:c r="A489" s="19" t="n">
        <x:f>LOG10('Du lieu'!G5367)</x:f>
        <x:v>1.47712125471966</x:v>
      </x:c>
      <x:c r="B489" s="19" t="n">
        <x:f>LOG10('Du lieu'!Q5367)</x:f>
        <x:v>0.322219294733919</x:v>
      </x:c>
      <x:c r="C489" t="n">
        <x:f>'Du lieu'!A5367</x:f>
        <x:v>7022</x:v>
      </x:c>
    </x:row>
    <x:row r="490">
      <x:c r="A490" s="19" t="n">
        <x:f>LOG10('Du lieu'!G4894)</x:f>
        <x:v>2.53529412004277</x:v>
      </x:c>
      <x:c r="B490" s="19" t="n">
        <x:f>LOG10('Du lieu'!Q4894)</x:f>
        <x:v>0.835690571492425</x:v>
      </x:c>
      <x:c r="C490" t="n">
        <x:f>'Du lieu'!A4894</x:f>
        <x:v>6466</x:v>
      </x:c>
    </x:row>
    <x:row r="491">
      <x:c r="A491" s="19" t="n">
        <x:f>LOG10('Du lieu'!G1229)</x:f>
        <x:v>1.73239375982297</x:v>
      </x:c>
      <x:c r="B491" s="19" t="n">
        <x:f>LOG10('Du lieu'!Q1229)</x:f>
        <x:v>0.0170333392987804</x:v>
      </x:c>
      <x:c r="C491" t="n">
        <x:f>'Du lieu'!A1229</x:f>
        <x:v>1790</x:v>
      </x:c>
    </x:row>
    <x:row r="492">
      <x:c r="A492" s="19" t="n">
        <x:f>LOG10('Du lieu'!G1543)</x:f>
        <x:v>1.68124123737559</x:v>
      </x:c>
      <x:c r="B492" s="19" t="n">
        <x:f>LOG10('Du lieu'!Q1543)</x:f>
        <x:v>-0.0705810742857073</x:v>
      </x:c>
      <x:c r="C492" t="n">
        <x:f>'Du lieu'!A1543</x:f>
        <x:v>2374</x:v>
      </x:c>
    </x:row>
    <x:row r="493">
      <x:c r="A493" s="19" t="n">
        <x:f>LOG10('Du lieu'!G1020)</x:f>
        <x:v>1.92941892571429</x:v>
      </x:c>
      <x:c r="B493" s="19" t="n">
        <x:f>LOG10('Du lieu'!Q1020)</x:f>
        <x:v>0.397940008672038</x:v>
      </x:c>
      <x:c r="C493" t="n">
        <x:f>'Du lieu'!A1020</x:f>
        <x:v>1125</x:v>
      </x:c>
    </x:row>
    <x:row r="494">
      <x:c r="A494" s="19" t="n">
        <x:f>LOG10('Du lieu'!G4898)</x:f>
        <x:v>1.69897000433602</x:v>
      </x:c>
      <x:c r="B494" s="19" t="n">
        <x:f>LOG10('Du lieu'!Q4898)</x:f>
        <x:v>0.167317334748176</x:v>
      </x:c>
      <x:c r="C494" t="n">
        <x:f>'Du lieu'!A4898</x:f>
        <x:v>6470</x:v>
      </x:c>
    </x:row>
    <x:row r="495">
      <x:c r="A495" s="19" t="n">
        <x:f>LOG10('Du lieu'!G6028)</x:f>
        <x:v>1.7481880270062</x:v>
      </x:c>
      <x:c r="B495" s="19" t="n">
        <x:f>LOG10('Du lieu'!Q6028)</x:f>
        <x:v>-0.187086643357144</x:v>
      </x:c>
      <x:c r="C495" t="n">
        <x:f>'Du lieu'!A6028</x:f>
        <x:v>7826</x:v>
      </x:c>
    </x:row>
    <x:row r="496">
      <x:c r="A496" s="19" t="n">
        <x:f>LOG10('Du lieu'!G5070)</x:f>
        <x:v>1.64345267648619</x:v>
      </x:c>
      <x:c r="B496" s="19" t="n">
        <x:f>LOG10('Du lieu'!Q5070)</x:f>
        <x:v>0.0934216851622351</x:v>
      </x:c>
      <x:c r="C496" t="n">
        <x:f>'Du lieu'!A5070</x:f>
        <x:v>6684</x:v>
      </x:c>
    </x:row>
    <x:row r="497">
      <x:c r="A497" s="19" t="n">
        <x:f>LOG10('Du lieu'!G6958)</x:f>
        <x:v>1.78532983501077</x:v>
      </x:c>
      <x:c r="B497" s="19" t="n">
        <x:f>LOG10('Du lieu'!Q6958)</x:f>
        <x:v>0.423245873936808</x:v>
      </x:c>
      <x:c r="C497" t="n">
        <x:f>'Du lieu'!A6958</x:f>
        <x:v>8948</x:v>
      </x:c>
    </x:row>
    <x:row r="498">
      <x:c r="A498" s="19" t="n">
        <x:f>LOG10('Du lieu'!G6325)</x:f>
        <x:v>1.60205999132796</x:v>
      </x:c>
      <x:c r="B498" s="19" t="n">
        <x:f>LOG10('Du lieu'!Q6325)</x:f>
        <x:v>0.643452676486187</x:v>
      </x:c>
      <x:c r="C498" t="n">
        <x:f>'Du lieu'!A6325</x:f>
        <x:v>8190</x:v>
      </x:c>
    </x:row>
    <x:row r="499">
      <x:c r="A499" s="19" t="n">
        <x:f>LOG10('Du lieu'!G4127)</x:f>
        <x:v>1.90308998699194</x:v>
      </x:c>
      <x:c r="B499" s="19" t="n">
        <x:f>LOG10('Du lieu'!Q4127)</x:f>
        <x:v>-0.2518119729938</x:v>
      </x:c>
      <x:c r="C499" t="n">
        <x:f>'Du lieu'!A4127</x:f>
        <x:v>5552</x:v>
      </x:c>
    </x:row>
    <x:row r="500">
      <x:c r="A500" s="19" t="n">
        <x:f>LOG10('Du lieu'!G5850)</x:f>
        <x:v>1.90848501887865</x:v>
      </x:c>
      <x:c r="B500" s="19" t="n">
        <x:f>LOG10('Du lieu'!Q5850)</x:f>
        <x:v>0.161368002234975</x:v>
      </x:c>
      <x:c r="C500" t="n">
        <x:f>'Du lieu'!A5850</x:f>
        <x:v>7597</x:v>
      </x:c>
    </x:row>
    <x:row r="501">
      <x:c r="A501" s="19" t="n">
        <x:f>LOG10('Du lieu'!G6330)</x:f>
        <x:v>1.7481880270062</x:v>
      </x:c>
      <x:c r="B501" s="19" t="n">
        <x:f>LOG10('Du lieu'!Q6330)</x:f>
        <x:v>-0.187086643357144</x:v>
      </x:c>
      <x:c r="C501" t="n">
        <x:f>'Du lieu'!A6330</x:f>
        <x:v>8195</x:v>
      </x:c>
    </x:row>
    <x:row r="502">
      <x:c r="A502" s="19" t="n">
        <x:f>LOG10('Du lieu'!G5198)</x:f>
        <x:v>2.24303804868629</x:v>
      </x:c>
      <x:c r="B502" s="19" t="n">
        <x:f>LOG10('Du lieu'!Q5198)</x:f>
        <x:v>-0.585026652029182</x:v>
      </x:c>
      <x:c r="C502" t="n">
        <x:f>'Du lieu'!A5198</x:f>
        <x:v>6830</x:v>
      </x:c>
    </x:row>
    <x:row r="503">
      <x:c r="A503" s="19" t="n">
        <x:f>LOG10('Du lieu'!G3173)</x:f>
        <x:v>1.77815125038364</x:v>
      </x:c>
      <x:c r="B503" s="19" t="n">
        <x:f>LOG10('Du lieu'!Q3173)</x:f>
        <x:v>0.428134794028789</x:v>
      </x:c>
      <x:c r="C503" t="n">
        <x:f>'Du lieu'!A3173</x:f>
        <x:v>4302</x:v>
      </x:c>
    </x:row>
    <x:row r="504">
      <x:c r="A504" s="19" t="n">
        <x:f>LOG10('Du lieu'!G6195)</x:f>
        <x:v>1.90308998699194</x:v>
      </x:c>
      <x:c r="B504" s="19" t="n">
        <x:f>LOG10('Du lieu'!Q6195)</x:f>
        <x:v>0.322219294733919</x:v>
      </x:c>
      <x:c r="C504" t="n">
        <x:f>'Du lieu'!A6195</x:f>
        <x:v>8018</x:v>
      </x:c>
    </x:row>
    <x:row r="505">
      <x:c r="A505" s="19" t="n">
        <x:f>LOG10('Du lieu'!G4829)</x:f>
        <x:v>1.5910646070265</x:v>
      </x:c>
      <x:c r="B505" s="19" t="n">
        <x:f>LOG10('Du lieu'!Q4829)</x:f>
        <x:v>0.276461804173244</x:v>
      </x:c>
      <x:c r="C505" t="n">
        <x:f>'Du lieu'!A4829</x:f>
        <x:v>6388</x:v>
      </x:c>
    </x:row>
    <x:row r="506">
      <x:c r="A506" s="19" t="n">
        <x:f>LOG10('Du lieu'!G5034)</x:f>
        <x:v>2</x:v>
      </x:c>
      <x:c r="B506" s="19" t="n">
        <x:f>LOG10('Du lieu'!Q5034)</x:f>
        <x:v>-0.756961951313705</x:v>
      </x:c>
      <x:c r="C506" t="n">
        <x:f>'Du lieu'!A5034</x:f>
        <x:v>6646</x:v>
      </x:c>
    </x:row>
    <x:row r="507">
      <x:c r="A507" s="19" t="n">
        <x:f>LOG10('Du lieu'!G6329)</x:f>
        <x:v>2.33445375115093</x:v>
      </x:c>
      <x:c r="B507" s="19" t="n">
        <x:f>LOG10('Du lieu'!Q6329)</x:f>
        <x:v>0.204119982655925</x:v>
      </x:c>
      <x:c r="C507" t="n">
        <x:f>'Du lieu'!A6329</x:f>
        <x:v>8194</x:v>
      </x:c>
    </x:row>
    <x:row r="508">
      <x:c r="A508" s="19" t="n">
        <x:f>LOG10('Du lieu'!G1113)</x:f>
        <x:v>1.54406804435028</x:v>
      </x:c>
      <x:c r="B508" s="19" t="n">
        <x:f>LOG10('Du lieu'!Q1113)</x:f>
        <x:v>0.643452676486187</x:v>
      </x:c>
      <x:c r="C508" t="n">
        <x:f>'Du lieu'!A1113</x:f>
        <x:v>1439</x:v>
      </x:c>
    </x:row>
    <x:row r="509">
      <x:c r="A509" s="19" t="n">
        <x:f>LOG10('Du lieu'!G6984)</x:f>
        <x:v>1.78532983501077</x:v>
      </x:c>
      <x:c r="B509" s="19" t="n">
        <x:f>LOG10('Du lieu'!Q6984)</x:f>
        <x:v>0.725911632295048</x:v>
      </x:c>
      <x:c r="C509" t="n">
        <x:f>'Du lieu'!A6984</x:f>
        <x:v>8976</x:v>
      </x:c>
    </x:row>
    <x:row r="510">
      <x:c r="A510" s="19" t="n">
        <x:f>LOG10('Du lieu'!G5233)</x:f>
        <x:v>1.44715803134222</x:v>
      </x:c>
      <x:c r="B510" s="19" t="n">
        <x:f>LOG10('Du lieu'!Q5233)</x:f>
        <x:v>0.431363764158987</x:v>
      </x:c>
      <x:c r="C510" t="n">
        <x:f>'Du lieu'!A5233</x:f>
        <x:v>6871</x:v>
      </x:c>
    </x:row>
    <x:row r="511">
      <x:c r="A511" s="19" t="n">
        <x:f>LOG10('Du lieu'!G3206)</x:f>
        <x:v>1.65321251377534</x:v>
      </x:c>
      <x:c r="B511" s="19" t="n">
        <x:f>LOG10('Du lieu'!Q3206)</x:f>
        <x:v>0.740362689494244</x:v>
      </x:c>
      <x:c r="C511" t="n">
        <x:f>'Du lieu'!A3206</x:f>
        <x:v>4342</x:v>
      </x:c>
    </x:row>
    <x:row r="512">
      <x:c r="A512" s="19" t="n">
        <x:f>LOG10('Du lieu'!G1396)</x:f>
        <x:v>1.60205999132796</x:v>
      </x:c>
      <x:c r="B512" s="19" t="n">
        <x:f>LOG10('Du lieu'!Q1396)</x:f>
        <x:v>-0.52432881167557</x:v>
      </x:c>
      <x:c r="C512" t="n">
        <x:f>'Du lieu'!A1396</x:f>
        <x:v>2174</x:v>
      </x:c>
    </x:row>
    <x:row r="513">
      <x:c r="A513" s="19" t="n">
        <x:f>LOG10('Du lieu'!G2272)</x:f>
        <x:v>2.21748394421391</x:v>
      </x:c>
      <x:c r="B513" s="19" t="n">
        <x:f>LOG10('Du lieu'!Q2272)</x:f>
        <x:v>0.250420002308894</x:v>
      </x:c>
      <x:c r="C513" t="n">
        <x:f>'Du lieu'!A2272</x:f>
        <x:v>3230</x:v>
      </x:c>
    </x:row>
    <x:row r="514">
      <x:c r="A514" s="19" t="n">
        <x:f>LOG10('Du lieu'!G6617)</x:f>
        <x:v>2.07918124604762</x:v>
      </x:c>
      <x:c r="B514" s="19" t="n">
        <x:f>LOG10('Du lieu'!Q6617)</x:f>
        <x:v>0.662757831681574</x:v>
      </x:c>
      <x:c r="C514" t="n">
        <x:f>'Du lieu'!A6617</x:f>
        <x:v>8520</x:v>
      </x:c>
    </x:row>
    <x:row r="515">
      <x:c r="A515" s="19" t="n">
        <x:f>LOG10('Du lieu'!G3302)</x:f>
        <x:v>1.78532983501077</x:v>
      </x:c>
      <x:c r="B515" s="19" t="n">
        <x:f>LOG10('Du lieu'!Q3302)</x:f>
        <x:v>0.247973266361807</x:v>
      </x:c>
      <x:c r="C515" t="n">
        <x:f>'Du lieu'!A3302</x:f>
        <x:v>4469</x:v>
      </x:c>
    </x:row>
    <x:row r="516">
      <x:c r="A516" s="19" t="n">
        <x:f>LOG10('Du lieu'!G5914)</x:f>
        <x:v>2.70243053644553</x:v>
      </x:c>
      <x:c r="B516" s="19" t="n">
        <x:f>LOG10('Du lieu'!Q5914)</x:f>
        <x:v>0.0211892990699381</x:v>
      </x:c>
      <x:c r="C516" t="n">
        <x:f>'Du lieu'!A5914</x:f>
        <x:v>7692</x:v>
      </x:c>
    </x:row>
    <x:row r="517">
      <x:c r="A517" s="19" t="n">
        <x:f>LOG10('Du lieu'!G2138)</x:f>
        <x:v>3.86923171973098</x:v>
      </x:c>
      <x:c r="B517" s="19" t="n">
        <x:f>LOG10('Du lieu'!Q2138)</x:f>
        <x:v>0.929418925714293</x:v>
      </x:c>
      <x:c r="C517" t="n">
        <x:f>'Du lieu'!A2138</x:f>
        <x:v>3078</x:v>
      </x:c>
    </x:row>
    <x:row r="518">
      <x:c r="A518" s="19" t="n">
        <x:f>LOG10('Du lieu'!G6426)</x:f>
        <x:v>1.65321251377534</x:v>
      </x:c>
      <x:c r="B518" s="19" t="n">
        <x:f>LOG10('Du lieu'!Q6426)</x:f>
        <x:v>-0.58838029403677</x:v>
      </x:c>
      <x:c r="C518" t="n">
        <x:f>'Du lieu'!A6426</x:f>
        <x:v>8305</x:v>
      </x:c>
    </x:row>
    <x:row r="519">
      <x:c r="A519" s="19" t="n">
        <x:f>LOG10('Du lieu'!G2424)</x:f>
        <x:v>2</x:v>
      </x:c>
      <x:c r="B519" s="19" t="n">
        <x:f>LOG10('Du lieu'!Q2424)</x:f>
        <x:v>-0.698970004336019</x:v>
      </x:c>
      <x:c r="C519" t="n">
        <x:f>'Du lieu'!A2424</x:f>
        <x:v>3428</x:v>
      </x:c>
    </x:row>
    <x:row r="520">
      <x:c r="A520" s="19" t="n">
        <x:f>LOG10('Du lieu'!G5921)</x:f>
        <x:v>1.61278385671974</x:v>
      </x:c>
      <x:c r="B520" s="19" t="n">
        <x:f>LOG10('Du lieu'!Q5921)</x:f>
        <x:v>0.414973347970818</x:v>
      </x:c>
      <x:c r="C520" t="n">
        <x:f>'Du lieu'!A5921</x:f>
        <x:v>7701</x:v>
      </x:c>
    </x:row>
    <x:row r="521">
      <x:c r="A521" s="19" t="n">
        <x:f>LOG10('Du lieu'!G841)</x:f>
        <x:v>2.07554696139253</x:v>
      </x:c>
      <x:c r="B521" s="19" t="n">
        <x:f>LOG10('Du lieu'!Q841)</x:f>
        <x:v>1.21748394421391</x:v>
      </x:c>
      <x:c r="C521" t="n">
        <x:f>'Du lieu'!A841</x:f>
        <x:v>934</x:v>
      </x:c>
    </x:row>
    <x:row r="522">
      <x:c r="A522" s="19" t="n">
        <x:f>LOG10('Du lieu'!G1533)</x:f>
        <x:v>2.47712125471966</x:v>
      </x:c>
      <x:c r="B522" s="19" t="n">
        <x:f>LOG10('Du lieu'!Q1533)</x:f>
        <x:v>-0.142667503568732</x:v>
      </x:c>
      <x:c r="C522" t="n">
        <x:f>'Du lieu'!A1533</x:f>
        <x:v>2364</x:v>
      </x:c>
    </x:row>
    <x:row r="523">
      <x:c r="A523" s="19" t="n">
        <x:f>LOG10('Du lieu'!G5661)</x:f>
        <x:v>2</x:v>
      </x:c>
      <x:c r="B523" s="19" t="n">
        <x:f>LOG10('Du lieu'!Q5661)</x:f>
        <x:v>-0.130768280269024</x:v>
      </x:c>
      <x:c r="C523" t="n">
        <x:f>'Du lieu'!A5661</x:f>
        <x:v>7386</x:v>
      </x:c>
    </x:row>
    <x:row r="524">
      <x:c r="A524" s="19" t="n">
        <x:f>LOG10('Du lieu'!G3912)</x:f>
        <x:v>2.48287358360875</x:v>
      </x:c>
      <x:c r="B524" s="19" t="n">
        <x:f>LOG10('Du lieu'!Q3912)</x:f>
        <x:v>-0.187086643357144</x:v>
      </x:c>
      <x:c r="C524" t="n">
        <x:f>'Du lieu'!A3912</x:f>
        <x:v>5304</x:v>
      </x:c>
    </x:row>
    <x:row r="525">
      <x:c r="A525" s="19" t="n">
        <x:f>LOG10('Du lieu'!G4333)</x:f>
        <x:v>1.64345267648619</x:v>
      </x:c>
      <x:c r="B525" s="19" t="n">
        <x:f>LOG10('Du lieu'!Q4333)</x:f>
        <x:v>0.352182518111362</x:v>
      </x:c>
      <x:c r="C525" t="n">
        <x:f>'Du lieu'!A4333</x:f>
        <x:v>5801</x:v>
      </x:c>
    </x:row>
    <x:row r="526">
      <x:c r="A526" s="19" t="n">
        <x:f>LOG10('Du lieu'!G430)</x:f>
        <x:v>1.77815125038364</x:v>
      </x:c>
      <x:c r="B526" s="19" t="n">
        <x:f>LOG10('Du lieu'!Q430)</x:f>
        <x:v>0.146128035678238</x:v>
      </x:c>
      <x:c r="C526" t="n">
        <x:f>'Du lieu'!A430</x:f>
        <x:v>461</x:v>
      </x:c>
    </x:row>
    <x:row r="527">
      <x:c r="A527" s="19" t="n">
        <x:f>LOG10('Du lieu'!G6411)</x:f>
        <x:v>2.37839790094814</x:v>
      </x:c>
      <x:c r="B527" s="19" t="n">
        <x:f>LOG10('Du lieu'!Q6411)</x:f>
        <x:v>0.924279286061882</x:v>
      </x:c>
      <x:c r="C527" t="n">
        <x:f>'Du lieu'!A6411</x:f>
        <x:v>8287</x:v>
      </x:c>
    </x:row>
    <x:row r="528">
      <x:c r="A528" s="19" t="n">
        <x:f>LOG10('Du lieu'!G1443)</x:f>
        <x:v>2.00860017176192</x:v>
      </x:c>
      <x:c r="B528" s="19" t="n">
        <x:f>LOG10('Du lieu'!Q1443)</x:f>
        <x:v>0.204119982655925</x:v>
      </x:c>
      <x:c r="C528" t="n">
        <x:f>'Du lieu'!A1443</x:f>
        <x:v>2245</x:v>
      </x:c>
    </x:row>
    <x:row r="529">
      <x:c r="A529" s="19" t="n">
        <x:f>LOG10('Du lieu'!G950)</x:f>
        <x:v>1.76342799356294</x:v>
      </x:c>
      <x:c r="B529" s="19" t="n">
        <x:f>LOG10('Du lieu'!Q950)</x:f>
        <x:v>0.190331698170291</x:v>
      </x:c>
      <x:c r="C529" t="n">
        <x:f>'Du lieu'!A950</x:f>
        <x:v>1049</x:v>
      </x:c>
    </x:row>
    <x:row r="530">
      <x:c r="A530" s="19" t="n">
        <x:f>LOG10('Du lieu'!G6465)</x:f>
        <x:v>1.38021124171161</x:v>
      </x:c>
      <x:c r="B530" s="19" t="n">
        <x:f>LOG10('Du lieu'!Q6465)</x:f>
        <x:v>-0.187086643357144</x:v>
      </x:c>
      <x:c r="C530" t="n">
        <x:f>'Du lieu'!A6465</x:f>
        <x:v>8347</x:v>
      </x:c>
    </x:row>
    <x:row r="531">
      <x:c r="A531" s="19" t="n">
        <x:f>LOG10('Du lieu'!G435)</x:f>
        <x:v>2.06069784035361</x:v>
      </x:c>
      <x:c r="B531" s="19" t="n">
        <x:f>LOG10('Du lieu'!Q435)</x:f>
        <x:v>0.667452952889954</x:v>
      </x:c>
      <x:c r="C531" t="n">
        <x:f>'Du lieu'!A435</x:f>
        <x:v>466</x:v>
      </x:c>
    </x:row>
    <x:row r="532">
      <x:c r="A532" s="19" t="n">
        <x:f>LOG10('Du lieu'!G4854)</x:f>
        <x:v>1.95904139232109</x:v>
      </x:c>
      <x:c r="B532" s="19" t="n">
        <x:f>LOG10('Du lieu'!Q4854)</x:f>
        <x:v>1.13033376849501</x:v>
      </x:c>
      <x:c r="C532" t="n">
        <x:f>'Du lieu'!A4854</x:f>
        <x:v>6421</x:v>
      </x:c>
    </x:row>
    <x:row r="533">
      <x:c r="A533" s="19" t="n">
        <x:f>LOG10('Du lieu'!G2414)</x:f>
        <x:v>1.7160033436348</x:v>
      </x:c>
      <x:c r="B533" s="19" t="n">
        <x:f>LOG10('Du lieu'!Q2414)</x:f>
        <x:v>1.07918124604762</x:v>
      </x:c>
      <x:c r="C533" t="n">
        <x:f>'Du lieu'!A2414</x:f>
        <x:v>3418</x:v>
      </x:c>
    </x:row>
    <x:row r="534">
      <x:c r="A534" s="19" t="n">
        <x:f>LOG10('Du lieu'!G1190)</x:f>
        <x:v>2.07188200730613</x:v>
      </x:c>
      <x:c r="B534" s="19" t="n">
        <x:f>LOG10('Du lieu'!Q1190)</x:f>
        <x:v>-0.187086643357144</x:v>
      </x:c>
      <x:c r="C534" t="n">
        <x:f>'Du lieu'!A1190</x:f>
        <x:v>1747</x:v>
      </x:c>
    </x:row>
    <x:row r="535">
      <x:c r="A535" s="19" t="n">
        <x:f>LOG10('Du lieu'!G439)</x:f>
        <x:v>2.28103336724773</x:v>
      </x:c>
      <x:c r="B535" s="19" t="n">
        <x:f>LOG10('Du lieu'!Q439)</x:f>
        <x:v>0.672097857935717</x:v>
      </x:c>
      <x:c r="C535" t="n">
        <x:f>'Du lieu'!A439</x:f>
        <x:v>470</x:v>
      </x:c>
    </x:row>
    <x:row r="536">
      <x:c r="A536" s="19" t="n">
        <x:f>LOG10('Du lieu'!G4913)</x:f>
        <x:v>1.95424250943932</x:v>
      </x:c>
      <x:c r="B536" s="19" t="n">
        <x:f>LOG10('Du lieu'!Q4913)</x:f>
        <x:v>-0.207608310501746</x:v>
      </x:c>
      <x:c r="C536" t="n">
        <x:f>'Du lieu'!A4913</x:f>
        <x:v>6488</x:v>
      </x:c>
    </x:row>
    <x:row r="537">
      <x:c r="A537" s="19" t="n">
        <x:f>LOG10('Du lieu'!G441)</x:f>
        <x:v>1.46239799789896</x:v>
      </x:c>
      <x:c r="B537" s="19" t="n">
        <x:f>LOG10('Du lieu'!Q441)</x:f>
        <x:v>0.397940008672038</x:v>
      </x:c>
      <x:c r="C537" t="n">
        <x:f>'Du lieu'!A441</x:f>
        <x:v>472</x:v>
      </x:c>
    </x:row>
    <x:row r="538">
      <x:c r="A538" s="19" t="n">
        <x:f>LOG10('Du lieu'!G6533)</x:f>
        <x:v>2.04139268515822</x:v>
      </x:c>
      <x:c r="B538" s="19" t="n">
        <x:f>LOG10('Du lieu'!Q6533)</x:f>
        <x:v>0.568201724066995</x:v>
      </x:c>
      <x:c r="C538" t="n">
        <x:f>'Du lieu'!A6533</x:f>
        <x:v>8426</x:v>
      </x:c>
    </x:row>
    <x:row r="539">
      <x:c r="A539" s="19" t="n">
        <x:f>LOG10('Du lieu'!G3291)</x:f>
        <x:v>2.09691001300806</x:v>
      </x:c>
      <x:c r="B539" s="19" t="n">
        <x:f>LOG10('Du lieu'!Q3291)</x:f>
        <x:v>0.0791812460476248</x:v>
      </x:c>
      <x:c r="C539" t="n">
        <x:f>'Du lieu'!A3291</x:f>
        <x:v>4457</x:v>
      </x:c>
    </x:row>
    <x:row r="540">
      <x:c r="A540" s="19" t="n">
        <x:f>LOG10('Du lieu'!G5035)</x:f>
        <x:v>1.83250891270624</x:v>
      </x:c>
      <x:c r="B540" s="19" t="n">
        <x:f>LOG10('Du lieu'!Q5035)</x:f>
        <x:v>0.0718820073061253</x:v>
      </x:c>
      <x:c r="C540" t="n">
        <x:f>'Du lieu'!A5035</x:f>
        <x:v>6647</x:v>
      </x:c>
    </x:row>
    <x:row r="541">
      <x:c r="A541" s="19" t="n">
        <x:f>LOG10('Du lieu'!G5928)</x:f>
        <x:v>1.60205999132796</x:v>
      </x:c>
      <x:c r="B541" s="19" t="n">
        <x:f>LOG10('Du lieu'!Q5928)</x:f>
        <x:v>0.267171728403014</x:v>
      </x:c>
      <x:c r="C541" t="n">
        <x:f>'Du lieu'!A5928</x:f>
        <x:v>7708</x:v>
      </x:c>
    </x:row>
    <x:row r="542">
      <x:c r="A542" s="19" t="n">
        <x:f>LOG10('Du lieu'!G3508)</x:f>
        <x:v>1.81291335664286</x:v>
      </x:c>
      <x:c r="B542" s="19" t="n">
        <x:f>LOG10('Du lieu'!Q3508)</x:f>
        <x:v>1.11394335230684</x:v>
      </x:c>
      <x:c r="C542" t="n">
        <x:f>'Du lieu'!A3508</x:f>
        <x:v>4817</x:v>
      </x:c>
    </x:row>
    <x:row r="543">
      <x:c r="A543" s="19" t="n">
        <x:f>LOG10('Du lieu'!G6946)</x:f>
        <x:v>1.65321251377534</x:v>
      </x:c>
      <x:c r="B543" s="19" t="n">
        <x:f>LOG10('Du lieu'!Q6946)</x:f>
        <x:v>-0.525783735923745</x:v>
      </x:c>
      <x:c r="C543" t="n">
        <x:f>'Du lieu'!A6946</x:f>
        <x:v>8932</x:v>
      </x:c>
    </x:row>
    <x:row r="544">
      <x:c r="A544" s="19" t="n">
        <x:f>LOG10('Du lieu'!G6032)</x:f>
        <x:v>2.43136376415899</x:v>
      </x:c>
      <x:c r="B544" s="19" t="n">
        <x:f>LOG10('Du lieu'!Q6032)</x:f>
        <x:v>0.171726453653231</x:v>
      </x:c>
      <x:c r="C544" t="n">
        <x:f>'Du lieu'!A6032</x:f>
        <x:v>7833</x:v>
      </x:c>
    </x:row>
    <x:row r="545">
      <x:c r="A545" s="19" t="n">
        <x:f>LOG10('Du lieu'!G1109)</x:f>
        <x:v>1.84509804001426</x:v>
      </x:c>
      <x:c r="B545" s="19" t="n">
        <x:f>LOG10('Du lieu'!Q1109)</x:f>
        <x:v>0.110589710299249</x:v>
      </x:c>
      <x:c r="C545" t="n">
        <x:f>'Du lieu'!A1109</x:f>
        <x:v>1433</x:v>
      </x:c>
    </x:row>
    <x:row r="546">
      <x:c r="A546" s="19" t="n">
        <x:f>LOG10('Du lieu'!G3390)</x:f>
        <x:v>1.8208579894397</x:v>
      </x:c>
      <x:c r="B546" s="19" t="n">
        <x:f>LOG10('Du lieu'!Q3390)</x:f>
        <x:v>0.301029995663981</x:v>
      </x:c>
      <x:c r="C546" t="n">
        <x:f>'Du lieu'!A3390</x:f>
        <x:v>4683</x:v>
      </x:c>
    </x:row>
    <x:row r="547">
      <x:c r="A547" s="19" t="n">
        <x:f>LOG10('Du lieu'!G1523)</x:f>
        <x:v>2.01283722470517</x:v>
      </x:c>
      <x:c r="B547" s="19" t="n">
        <x:f>LOG10('Du lieu'!Q1523)</x:f>
        <x:v>0.903089986991943</x:v>
      </x:c>
      <x:c r="C547" t="n">
        <x:f>'Du lieu'!A1523</x:f>
        <x:v>2353</x:v>
      </x:c>
    </x:row>
    <x:row r="548">
      <x:c r="A548" s="19" t="n">
        <x:f>LOG10('Du lieu'!G452)</x:f>
        <x:v>1.91592721169712</x:v>
      </x:c>
      <x:c r="B548" s="19" t="n">
        <x:f>LOG10('Du lieu'!Q452)</x:f>
        <x:v>0.361727836017593</x:v>
      </x:c>
      <x:c r="C548" t="n">
        <x:f>'Du lieu'!A452</x:f>
        <x:v>484</x:v>
      </x:c>
    </x:row>
    <x:row r="549">
      <x:c r="A549" s="19" t="n">
        <x:f>LOG10('Du lieu'!G4823)</x:f>
        <x:v>2.2380461031288</x:v>
      </x:c>
      <x:c r="B549" s="19" t="n">
        <x:f>LOG10('Du lieu'!Q4823)</x:f>
        <x:v>0.255272505103306</x:v>
      </x:c>
      <x:c r="C549" t="n">
        <x:f>'Du lieu'!A4823</x:f>
        <x:v>6382</x:v>
      </x:c>
    </x:row>
    <x:row r="550">
      <x:c r="A550" s="19" t="n">
        <x:f>LOG10('Du lieu'!G6472)</x:f>
        <x:v>1.8750612633917</x:v>
      </x:c>
      <x:c r="B550" s="19" t="n">
        <x:f>LOG10('Du lieu'!Q6472)</x:f>
        <x:v>0.778151250383644</x:v>
      </x:c>
      <x:c r="C550" t="n">
        <x:f>'Du lieu'!A6472</x:f>
        <x:v>8356</x:v>
      </x:c>
    </x:row>
    <x:row r="551">
      <x:c r="A551" s="19" t="n">
        <x:f>LOG10('Du lieu'!G4138)</x:f>
        <x:v>1.78532983501077</x:v>
      </x:c>
      <x:c r="B551" s="19" t="n">
        <x:f>LOG10('Du lieu'!Q4138)</x:f>
        <x:v>0.628388930050311</x:v>
      </x:c>
      <x:c r="C551" t="n">
        <x:f>'Du lieu'!A4138</x:f>
        <x:v>5565</x:v>
      </x:c>
    </x:row>
    <x:row r="552">
      <x:c r="A552" s="19" t="n">
        <x:f>LOG10('Du lieu'!G6061)</x:f>
        <x:v>1.17609125905568</x:v>
      </x:c>
      <x:c r="B552" s="19" t="n">
        <x:f>LOG10('Du lieu'!Q6061)</x:f>
        <x:v>-0.22548303427145</x:v>
      </x:c>
      <x:c r="C552" t="n">
        <x:f>'Du lieu'!A6061</x:f>
        <x:v>7866</x:v>
      </x:c>
    </x:row>
    <x:row r="553">
      <x:c r="A553" s="19" t="n">
        <x:f>LOG10('Du lieu'!G3348)</x:f>
        <x:v>1.72427586960079</x:v>
      </x:c>
      <x:c r="B553" s="19" t="n">
        <x:f>LOG10('Du lieu'!Q3348)</x:f>
        <x:v>0.301029995663981</x:v>
      </x:c>
      <x:c r="C553" t="n">
        <x:f>'Du lieu'!A3348</x:f>
        <x:v>4634</x:v>
      </x:c>
    </x:row>
    <x:row r="554">
      <x:c r="A554" s="19" t="n">
        <x:f>LOG10('Du lieu'!G4714)</x:f>
        <x:v>1.90308998699194</x:v>
      </x:c>
      <x:c r="B554" s="19" t="n">
        <x:f>LOG10('Du lieu'!Q4714)</x:f>
        <x:v>0.190331698170291</x:v>
      </x:c>
      <x:c r="C554" t="n">
        <x:f>'Du lieu'!A4714</x:f>
        <x:v>6259</x:v>
      </x:c>
    </x:row>
    <x:row r="555">
      <x:c r="A555" s="19" t="n">
        <x:f>LOG10('Du lieu'!G3225)</x:f>
        <x:v>3.28757780907871</x:v>
      </x:c>
      <x:c r="B555" s="19" t="n">
        <x:f>LOG10('Du lieu'!Q3225)</x:f>
        <x:v>0.230448921378274</x:v>
      </x:c>
      <x:c r="C555" t="n">
        <x:f>'Du lieu'!A3225</x:f>
        <x:v>4365</x:v>
      </x:c>
    </x:row>
    <x:row r="556">
      <x:c r="A556" s="19" t="n">
        <x:f>LOG10('Du lieu'!G6070)</x:f>
        <x:v>1.60205999132796</x:v>
      </x:c>
      <x:c r="B556" s="19" t="n">
        <x:f>LOG10('Du lieu'!Q6070)</x:f>
        <x:v>0.130333768495006</x:v>
      </x:c>
      <x:c r="C556" t="n">
        <x:f>'Du lieu'!A6070</x:f>
        <x:v>7878</x:v>
      </x:c>
    </x:row>
    <x:row r="557">
      <x:c r="A557" s="19" t="n">
        <x:f>LOG10('Du lieu'!G3235)</x:f>
        <x:v>1.7160033436348</x:v>
      </x:c>
      <x:c r="B557" s="19" t="n">
        <x:f>LOG10('Du lieu'!Q3235)</x:f>
        <x:v>0.778151250383644</x:v>
      </x:c>
      <x:c r="C557" t="n">
        <x:f>'Du lieu'!A3235</x:f>
        <x:v>4375</x:v>
      </x:c>
    </x:row>
    <x:row r="558">
      <x:c r="A558" s="19" t="n">
        <x:f>LOG10('Du lieu'!G6262)</x:f>
        <x:v>1.86923171973098</x:v>
      </x:c>
      <x:c r="B558" s="19" t="n">
        <x:f>LOG10('Du lieu'!Q6262)</x:f>
        <x:v>0.792391689498254</x:v>
      </x:c>
      <x:c r="C558" t="n">
        <x:f>'Du lieu'!A6262</x:f>
        <x:v>8093</x:v>
      </x:c>
    </x:row>
    <x:row r="559">
      <x:c r="A559" s="19" t="n">
        <x:f>LOG10('Du lieu'!G1127)</x:f>
        <x:v>1.50514997831991</x:v>
      </x:c>
      <x:c r="B559" s="19" t="n">
        <x:f>LOG10('Du lieu'!Q1127)</x:f>
        <x:v>0.4983105537896</x:v>
      </x:c>
      <x:c r="C559" t="n">
        <x:f>'Du lieu'!A1127</x:f>
        <x:v>1453</x:v>
      </x:c>
    </x:row>
    <x:row r="560">
      <x:c r="A560" s="19" t="n">
        <x:f>LOG10('Du lieu'!G6733)</x:f>
        <x:v>1.66275783168157</x:v>
      </x:c>
      <x:c r="B560" s="19" t="n">
        <x:f>LOG10('Du lieu'!Q6733)</x:f>
        <x:v>-0.0809219076239261</x:v>
      </x:c>
      <x:c r="C560" t="n">
        <x:f>'Du lieu'!A6733</x:f>
        <x:v>8658</x:v>
      </x:c>
    </x:row>
    <x:row r="561">
      <x:c r="A561" s="19" t="n">
        <x:f>LOG10('Du lieu'!G5343)</x:f>
        <x:v>2.70243053644553</x:v>
      </x:c>
      <x:c r="B561" s="19" t="n">
        <x:f>LOG10('Du lieu'!Q5343)</x:f>
        <x:v>0.0492180226701816</x:v>
      </x:c>
      <x:c r="C561" t="n">
        <x:f>'Du lieu'!A5343</x:f>
        <x:v>6994</x:v>
      </x:c>
    </x:row>
    <x:row r="562">
      <x:c r="A562" s="19" t="n">
        <x:f>LOG10('Du lieu'!G3455)</x:f>
        <x:v>2</x:v>
      </x:c>
      <x:c r="B562" s="19" t="n">
        <x:f>LOG10('Du lieu'!Q3455)</x:f>
        <x:v>0.602059991327962</x:v>
      </x:c>
      <x:c r="C562" t="n">
        <x:f>'Du lieu'!A3455</x:f>
        <x:v>4756</x:v>
      </x:c>
    </x:row>
    <x:row r="563">
      <x:c r="A563" s="19" t="n">
        <x:f>LOG10('Du lieu'!G3458)</x:f>
        <x:v>1.53147891704226</x:v>
      </x:c>
      <x:c r="B563" s="19" t="n">
        <x:f>LOG10('Du lieu'!Q3458)</x:f>
        <x:v>0.181843587944773</x:v>
      </x:c>
      <x:c r="C563" t="n">
        <x:f>'Du lieu'!A3458</x:f>
        <x:v>4759</x:v>
      </x:c>
    </x:row>
    <x:row r="564">
      <x:c r="A564" s="19" t="n">
        <x:f>LOG10('Du lieu'!G4537)</x:f>
        <x:v>1.77815125038364</x:v>
      </x:c>
      <x:c r="B564" s="19" t="n">
        <x:f>LOG10('Du lieu'!Q4537)</x:f>
        <x:v>0.845098040014257</x:v>
      </x:c>
      <x:c r="C564" t="n">
        <x:f>'Du lieu'!A4537</x:f>
        <x:v>6039</x:v>
      </x:c>
    </x:row>
    <x:row r="565">
      <x:c r="A565" s="19" t="n">
        <x:f>LOG10('Du lieu'!G1624)</x:f>
        <x:v>1.95424250943932</x:v>
      </x:c>
      <x:c r="B565" s="19" t="n">
        <x:f>LOG10('Du lieu'!Q1624)</x:f>
        <x:v>-0.244125144327509</x:v>
      </x:c>
      <x:c r="C565" t="n">
        <x:f>'Du lieu'!A1624</x:f>
        <x:v>2479</x:v>
      </x:c>
    </x:row>
    <x:row r="566">
      <x:c r="A566" s="19" t="n">
        <x:f>LOG10('Du lieu'!G720)</x:f>
        <x:v>1.90308998699194</x:v>
      </x:c>
      <x:c r="B566" s="19" t="n">
        <x:f>LOG10('Du lieu'!Q720)</x:f>
        <x:v>0.653212513775344</x:v>
      </x:c>
      <x:c r="C566" t="n">
        <x:f>'Du lieu'!A720</x:f>
        <x:v>787</x:v>
      </x:c>
    </x:row>
    <x:row r="567">
      <x:c r="A567" s="19" t="n">
        <x:f>LOG10('Du lieu'!G2223)</x:f>
        <x:v>2</x:v>
      </x:c>
      <x:c r="B567" s="19" t="n">
        <x:f>LOG10('Du lieu'!Q2223)</x:f>
        <x:v>-0.154901959985743</x:v>
      </x:c>
      <x:c r="C567" t="n">
        <x:f>'Du lieu'!A2223</x:f>
        <x:v>3176</x:v>
      </x:c>
    </x:row>
    <x:row r="568">
      <x:c r="A568" s="19" t="n">
        <x:f>LOG10('Du lieu'!G6959)</x:f>
        <x:v>1.60205999132796</x:v>
      </x:c>
      <x:c r="B568" s="19" t="n">
        <x:f>LOG10('Du lieu'!Q6959)</x:f>
        <x:v>-0.158015195409886</x:v>
      </x:c>
      <x:c r="C568" t="n">
        <x:f>'Du lieu'!A6959</x:f>
        <x:v>8949</x:v>
      </x:c>
    </x:row>
    <x:row r="569">
      <x:c r="A569" s="19" t="n">
        <x:f>LOG10('Du lieu'!G1458)</x:f>
        <x:v>1.69897000433602</x:v>
      </x:c>
      <x:c r="B569" s="19" t="n">
        <x:f>LOG10('Du lieu'!Q1458)</x:f>
        <x:v>0.929418925714293</x:v>
      </x:c>
      <x:c r="C569" t="n">
        <x:f>'Du lieu'!A1458</x:f>
        <x:v>2280</x:v>
      </x:c>
    </x:row>
    <x:row r="570">
      <x:c r="A570" s="19" t="n">
        <x:f>LOG10('Du lieu'!G2539)</x:f>
        <x:v>1.78103693862113</x:v>
      </x:c>
      <x:c r="B570" s="19" t="n">
        <x:f>LOG10('Du lieu'!Q2539)</x:f>
        <x:v>0.0899051114393979</x:v>
      </x:c>
      <x:c r="C570" t="n">
        <x:f>'Du lieu'!A2539</x:f>
        <x:v>3557</x:v>
      </x:c>
    </x:row>
    <x:row r="571">
      <x:c r="A571" s="19" t="n">
        <x:f>LOG10('Du lieu'!G4579)</x:f>
        <x:v>1.55630250076729</x:v>
      </x:c>
      <x:c r="B571" s="19" t="n">
        <x:f>LOG10('Du lieu'!Q4579)</x:f>
        <x:v>0.0211892990699381</x:v>
      </x:c>
      <x:c r="C571" t="n">
        <x:f>'Du lieu'!A4579</x:f>
        <x:v>6088</x:v>
      </x:c>
    </x:row>
    <x:row r="572">
      <x:c r="A572" s="19" t="n">
        <x:f>LOG10('Du lieu'!G3915)</x:f>
        <x:v>1.77815125038364</x:v>
      </x:c>
      <x:c r="B572" s="19" t="n">
        <x:f>LOG10('Du lieu'!Q3915)</x:f>
        <x:v>0.423245873936808</x:v>
      </x:c>
      <x:c r="C572" t="n">
        <x:f>'Du lieu'!A3915</x:f>
        <x:v>5310</x:v>
      </x:c>
    </x:row>
    <x:row r="573">
      <x:c r="A573" s="19" t="n">
        <x:f>LOG10('Du lieu'!G2165)</x:f>
        <x:v>1.90308998699194</x:v>
      </x:c>
      <x:c r="B573" s="19" t="n">
        <x:f>LOG10('Du lieu'!Q2165)</x:f>
        <x:v>0.763427993562937</x:v>
      </x:c>
      <x:c r="C573" t="n">
        <x:f>'Du lieu'!A2165</x:f>
        <x:v>3109</x:v>
      </x:c>
    </x:row>
    <x:row r="574">
      <x:c r="A574" s="19" t="n">
        <x:f>LOG10('Du lieu'!G5406)</x:f>
        <x:v>1.65321251377534</x:v>
      </x:c>
      <x:c r="B574" s="19" t="n">
        <x:f>LOG10('Du lieu'!Q5406)</x:f>
        <x:v>0.146128035678238</x:v>
      </x:c>
      <x:c r="C574" t="n">
        <x:f>'Du lieu'!A5406</x:f>
        <x:v>7066</x:v>
      </x:c>
    </x:row>
    <x:row r="575">
      <x:c r="A575" s="19" t="n">
        <x:f>LOG10('Du lieu'!G4824)</x:f>
        <x:v>3.03342375548695</x:v>
      </x:c>
      <x:c r="B575" s="19" t="n">
        <x:f>LOG10('Du lieu'!Q4824)</x:f>
        <x:v>-0.744727494896694</x:v>
      </x:c>
      <x:c r="C575" t="n">
        <x:f>'Du lieu'!A4824</x:f>
        <x:v>6383</x:v>
      </x:c>
    </x:row>
    <x:row r="576">
      <x:c r="A576" s="19" t="n">
        <x:f>LOG10('Du lieu'!G3475)</x:f>
        <x:v>2.6063813651106</x:v>
      </x:c>
      <x:c r="B576" s="19" t="n">
        <x:f>LOG10('Du lieu'!Q3475)</x:f>
        <x:v>-0.455931955649724</x:v>
      </x:c>
      <x:c r="C576" t="n">
        <x:f>'Du lieu'!A3475</x:f>
        <x:v>4779</x:v>
      </x:c>
    </x:row>
    <x:row r="577">
      <x:c r="A577" s="19" t="n">
        <x:f>LOG10('Du lieu'!G4208)</x:f>
        <x:v>1.7481880270062</x:v>
      </x:c>
      <x:c r="B577" s="19" t="n">
        <x:f>LOG10('Du lieu'!Q4208)</x:f>
        <x:v>0.54282542695918</x:v>
      </x:c>
      <x:c r="C577" t="n">
        <x:f>'Du lieu'!A4208</x:f>
        <x:v>5644</x:v>
      </x:c>
    </x:row>
    <x:row r="578">
      <x:c r="A578" s="19" t="n">
        <x:f>LOG10('Du lieu'!G1211)</x:f>
        <x:v>2.04921802267018</x:v>
      </x:c>
      <x:c r="B578" s="19" t="n">
        <x:f>LOG10('Du lieu'!Q1211)</x:f>
        <x:v>0.633468455579586</x:v>
      </x:c>
      <x:c r="C578" t="n">
        <x:f>'Du lieu'!A1211</x:f>
        <x:v>1770</x:v>
      </x:c>
    </x:row>
    <x:row r="579">
      <x:c r="A579" s="19" t="n">
        <x:f>LOG10('Du lieu'!G6119)</x:f>
        <x:v>1.69897000433602</x:v>
      </x:c>
      <x:c r="B579" s="19" t="n">
        <x:f>LOG10('Du lieu'!Q6119)</x:f>
        <x:v>0.886490725172482</x:v>
      </x:c>
      <x:c r="C579" t="n">
        <x:f>'Du lieu'!A6119</x:f>
        <x:v>7931</x:v>
      </x:c>
    </x:row>
    <x:row r="580">
      <x:c r="A580" s="19" t="n">
        <x:f>LOG10('Du lieu'!G3319)</x:f>
        <x:v>3.38129562300383</x:v>
      </x:c>
      <x:c r="B580" s="19" t="n">
        <x:f>LOG10('Du lieu'!Q3319)</x:f>
        <x:v>0.139879086401236</x:v>
      </x:c>
      <x:c r="C580" t="n">
        <x:f>'Du lieu'!A3319</x:f>
        <x:v>4488</x:v>
      </x:c>
    </x:row>
    <x:row r="581">
      <x:c r="A581" s="19" t="n">
        <x:f>LOG10('Du lieu'!G678)</x:f>
        <x:v>1.67209785793572</x:v>
      </x:c>
      <x:c r="B581" s="19" t="n">
        <x:f>LOG10('Du lieu'!Q678)</x:f>
        <x:v>0.0211892990699381</x:v>
      </x:c>
      <x:c r="C581" t="n">
        <x:f>'Du lieu'!A678</x:f>
        <x:v>743</x:v>
      </x:c>
    </x:row>
    <x:row r="582">
      <x:c r="A582" s="19" t="n">
        <x:f>LOG10('Du lieu'!G842)</x:f>
        <x:v>1.77085201164214</x:v>
      </x:c>
      <x:c r="B582" s="19" t="n">
        <x:f>LOG10('Du lieu'!Q842)</x:f>
        <x:v>0.243038048686294</x:v>
      </x:c>
      <x:c r="C582" t="n">
        <x:f>'Du lieu'!A842</x:f>
        <x:v>935</x:v>
      </x:c>
    </x:row>
    <x:row r="583">
      <x:c r="A583" s="19" t="n">
        <x:f>LOG10('Du lieu'!G2669)</x:f>
        <x:v>1.68124123737559</x:v>
      </x:c>
      <x:c r="B583" s="19" t="n">
        <x:f>LOG10('Du lieu'!Q2669)</x:f>
        <x:v>0.28330122870355</x:v>
      </x:c>
      <x:c r="C583" t="n">
        <x:f>'Du lieu'!A2669</x:f>
        <x:v>3705</x:v>
      </x:c>
    </x:row>
    <x:row r="584">
      <x:c r="A584" s="19" t="n">
        <x:f>LOG10('Du lieu'!G1250)</x:f>
        <x:v>3.02325245963371</x:v>
      </x:c>
      <x:c r="B584" s="19" t="n">
        <x:f>LOG10('Du lieu'!Q1250)</x:f>
        <x:v>0.724275869600789</x:v>
      </x:c>
      <x:c r="C584" t="n">
        <x:f>'Du lieu'!A1250</x:f>
        <x:v>1812</x:v>
      </x:c>
    </x:row>
    <x:row r="585">
      <x:c r="A585" s="19" t="n">
        <x:f>LOG10('Du lieu'!G3441)</x:f>
        <x:v>1.7160033436348</x:v>
      </x:c>
      <x:c r="B585" s="19" t="n">
        <x:f>LOG10('Du lieu'!Q3441)</x:f>
        <x:v>0.556302500767287</x:v>
      </x:c>
      <x:c r="C585" t="n">
        <x:f>'Du lieu'!A3441</x:f>
        <x:v>4740</x:v>
      </x:c>
    </x:row>
    <x:row r="586">
      <x:c r="A586" s="19" t="n">
        <x:f>LOG10('Du lieu'!G2681)</x:f>
        <x:v>1.85733249643127</x:v>
      </x:c>
      <x:c r="B586" s="19" t="n">
        <x:f>LOG10('Du lieu'!Q2681)</x:f>
        <x:v>-0.455931955649724</x:v>
      </x:c>
      <x:c r="C586" t="n">
        <x:f>'Du lieu'!A2681</x:f>
        <x:v>3719</x:v>
      </x:c>
    </x:row>
    <x:row r="587">
      <x:c r="A587" s="19" t="n">
        <x:f>LOG10('Du lieu'!G4458)</x:f>
        <x:v>1.49136169383427</x:v>
      </x:c>
      <x:c r="B587" s="19" t="n">
        <x:f>LOG10('Du lieu'!Q4458)</x:f>
        <x:v>-0.0199966284162537</x:v>
      </x:c>
      <x:c r="C587" t="n">
        <x:f>'Du lieu'!A4458</x:f>
        <x:v>5945</x:v>
      </x:c>
    </x:row>
    <x:row r="588">
      <x:c r="A588" s="19" t="n">
        <x:f>LOG10('Du lieu'!G492)</x:f>
        <x:v>3.27207378750001</x:v>
      </x:c>
      <x:c r="B588" s="19" t="n">
        <x:f>LOG10('Du lieu'!Q492)</x:f>
        <x:v>-1.1249387366083</x:v>
      </x:c>
      <x:c r="C588" t="n">
        <x:f>'Du lieu'!A492</x:f>
        <x:v>527</x:v>
      </x:c>
    </x:row>
    <x:row r="589">
      <x:c r="A589" s="19" t="n">
        <x:f>LOG10('Du lieu'!G6651)</x:f>
        <x:v>1.81291335664286</x:v>
      </x:c>
      <x:c r="B589" s="19" t="n">
        <x:f>LOG10('Du lieu'!Q6651)</x:f>
        <x:v>0.643452676486187</x:v>
      </x:c>
      <x:c r="C589" t="n">
        <x:f>'Du lieu'!A6651</x:f>
        <x:v>8561</x:v>
      </x:c>
    </x:row>
    <x:row r="590">
      <x:c r="A590" s="19" t="n">
        <x:f>LOG10('Du lieu'!G4490)</x:f>
        <x:v>1.84509804001426</x:v>
      </x:c>
      <x:c r="B590" s="19" t="n">
        <x:f>LOG10('Du lieu'!Q4490)</x:f>
        <x:v>0.633468455579586</x:v>
      </x:c>
      <x:c r="C590" t="n">
        <x:f>'Du lieu'!A4490</x:f>
        <x:v>5982</x:v>
      </x:c>
    </x:row>
    <x:row r="591">
      <x:c r="A591" s="19" t="n">
        <x:f>LOG10('Du lieu'!G2380)</x:f>
        <x:v>2.96473092105363</x:v>
      </x:c>
      <x:c r="B591" s="19" t="n">
        <x:f>LOG10('Du lieu'!Q2380)</x:f>
        <x:v>1.66889819376413</x:v>
      </x:c>
      <x:c r="C591" t="n">
        <x:f>'Du lieu'!A2380</x:f>
        <x:v>3377</x:v>
      </x:c>
    </x:row>
    <x:row r="592">
      <x:c r="A592" s="19" t="n">
        <x:f>LOG10('Du lieu'!G6441)</x:f>
        <x:v>1.93449845124357</x:v>
      </x:c>
      <x:c r="B592" s="19" t="n">
        <x:f>LOG10('Du lieu'!Q6441)</x:f>
        <x:v>0.301029995663981</x:v>
      </x:c>
      <x:c r="C592" t="n">
        <x:f>'Du lieu'!A6441</x:f>
        <x:v>8320</x:v>
      </x:c>
    </x:row>
    <x:row r="593">
      <x:c r="A593" s="19" t="n">
        <x:f>LOG10('Du lieu'!G1688)</x:f>
        <x:v>1.80617997398389</x:v>
      </x:c>
      <x:c r="B593" s="19" t="n">
        <x:f>LOG10('Du lieu'!Q1688)</x:f>
        <x:v>0.0718820073061253</x:v>
      </x:c>
      <x:c r="C593" t="n">
        <x:f>'Du lieu'!A1688</x:f>
        <x:v>2556</x:v>
      </x:c>
    </x:row>
    <x:row r="594">
      <x:c r="A594" s="19" t="n">
        <x:f>LOG10('Du lieu'!G3647)</x:f>
        <x:v>1.68124123737559</x:v>
      </x:c>
      <x:c r="B594" s="19" t="n">
        <x:f>LOG10('Du lieu'!Q3647)</x:f>
        <x:v>0.181843587944773</x:v>
      </x:c>
      <x:c r="C594" t="n">
        <x:f>'Du lieu'!A3647</x:f>
        <x:v>4975</x:v>
      </x:c>
    </x:row>
    <x:row r="595">
      <x:c r="A595" s="19" t="n">
        <x:f>LOG10('Du lieu'!G3408)</x:f>
        <x:v>2.84447717574568</x:v>
      </x:c>
      <x:c r="B595" s="19" t="n">
        <x:f>LOG10('Du lieu'!Q3408)</x:f>
        <x:v>0</x:v>
      </x:c>
      <x:c r="C595" t="n">
        <x:f>'Du lieu'!A3408</x:f>
        <x:v>4704</x:v>
      </x:c>
    </x:row>
    <x:row r="596">
      <x:c r="A596" s="19" t="n">
        <x:f>LOG10('Du lieu'!G500)</x:f>
        <x:v>1.30102999566398</x:v>
      </x:c>
      <x:c r="B596" s="19" t="n">
        <x:f>LOG10('Du lieu'!Q500)</x:f>
        <x:v>-0.0222763947111522</x:v>
      </x:c>
      <x:c r="C596" t="n">
        <x:f>'Du lieu'!A500</x:f>
        <x:v>535</x:v>
      </x:c>
    </x:row>
    <x:row r="597">
      <x:c r="A597" s="19" t="n">
        <x:f>LOG10('Du lieu'!G6199)</x:f>
        <x:v>1.54406804435028</x:v>
      </x:c>
      <x:c r="B597" s="19" t="n">
        <x:f>LOG10('Du lieu'!Q6199)</x:f>
        <x:v>0.380211241711606</x:v>
      </x:c>
      <x:c r="C597" t="n">
        <x:f>'Du lieu'!A6199</x:f>
        <x:v>8022</x:v>
      </x:c>
    </x:row>
    <x:row r="598">
      <x:c r="A598" s="19" t="n">
        <x:f>LOG10('Du lieu'!G2120)</x:f>
        <x:v>1.83250891270624</x:v>
      </x:c>
      <x:c r="B598" s="19" t="n">
        <x:f>LOG10('Du lieu'!Q2120)</x:f>
        <x:v>0.662757831681574</x:v>
      </x:c>
      <x:c r="C598" t="n">
        <x:f>'Du lieu'!A2120</x:f>
        <x:v>3059</x:v>
      </x:c>
    </x:row>
    <x:row r="599">
      <x:c r="A599" s="19" t="n">
        <x:f>LOG10('Du lieu'!G5455)</x:f>
        <x:v>1.77815125038364</x:v>
      </x:c>
      <x:c r="B599" s="19" t="n">
        <x:f>LOG10('Du lieu'!Q5455)</x:f>
        <x:v>0.690196080028514</x:v>
      </x:c>
      <x:c r="C599" t="n">
        <x:f>'Du lieu'!A5455</x:f>
        <x:v>7126</x:v>
      </x:c>
    </x:row>
    <x:row r="600">
      <x:c r="A600" s="19" t="n">
        <x:f>LOG10('Du lieu'!G1101)</x:f>
        <x:v>2</x:v>
      </x:c>
      <x:c r="B600" s="19" t="n">
        <x:f>LOG10('Du lieu'!Q1101)</x:f>
        <x:v>-0.908473727368909</x:v>
      </x:c>
      <x:c r="C600" t="n">
        <x:f>'Du lieu'!A1101</x:f>
        <x:v>1425</x:v>
      </x:c>
    </x:row>
    <x:row r="601">
      <x:c r="A601" s="19" t="n">
        <x:f>LOG10('Du lieu'!G2105)</x:f>
        <x:v>1.30102999566398</x:v>
      </x:c>
      <x:c r="B601" s="19" t="n">
        <x:f>LOG10('Du lieu'!Q2105)</x:f>
        <x:v>0.371067862271736</x:v>
      </x:c>
      <x:c r="C601" t="n">
        <x:f>'Du lieu'!A2105</x:f>
        <x:v>3040</x:v>
      </x:c>
    </x:row>
    <x:row r="602">
      <x:c r="A602" s="19" t="n">
        <x:f>LOG10('Du lieu'!G4024)</x:f>
        <x:v>1.47712125471966</x:v>
      </x:c>
      <x:c r="B602" s="19" t="n">
        <x:f>LOG10('Du lieu'!Q4024)</x:f>
        <x:v>0.204119982655925</x:v>
      </x:c>
      <x:c r="C602" t="n">
        <x:f>'Du lieu'!A4024</x:f>
        <x:v>5434</x:v>
      </x:c>
    </x:row>
    <x:row r="603">
      <x:c r="A603" s="19" t="n">
        <x:f>LOG10('Du lieu'!G2093)</x:f>
        <x:v>1.77815125038364</x:v>
      </x:c>
      <x:c r="B603" s="19" t="n">
        <x:f>LOG10('Du lieu'!Q2093)</x:f>
        <x:v>0.113943352306837</x:v>
      </x:c>
      <x:c r="C603" t="n">
        <x:f>'Du lieu'!A2093</x:f>
        <x:v>3025</x:v>
      </x:c>
    </x:row>
    <x:row r="604">
      <x:c r="A604" s="19" t="n">
        <x:f>LOG10('Du lieu'!G3854)</x:f>
        <x:v>2.24303804868629</x:v>
      </x:c>
      <x:c r="B604" s="19" t="n">
        <x:f>LOG10('Du lieu'!Q3854)</x:f>
        <x:v>-0.301029995663981</x:v>
      </x:c>
      <x:c r="C604" t="n">
        <x:f>'Du lieu'!A3854</x:f>
        <x:v>5236</x:v>
      </x:c>
    </x:row>
    <x:row r="605">
      <x:c r="A605" s="19" t="n">
        <x:f>LOG10('Du lieu'!G2166)</x:f>
        <x:v>2.01703333929878</x:v>
      </x:c>
      <x:c r="B605" s="19" t="n">
        <x:f>LOG10('Du lieu'!Q2166)</x:f>
        <x:v>0.531478917042255</x:v>
      </x:c>
      <x:c r="C605" t="n">
        <x:f>'Du lieu'!A2166</x:f>
        <x:v>3110</x:v>
      </x:c>
    </x:row>
    <x:row r="606">
      <x:c r="A606" s="19" t="n">
        <x:f>LOG10('Du lieu'!G4884)</x:f>
        <x:v>2</x:v>
      </x:c>
      <x:c r="B606" s="19" t="n">
        <x:f>LOG10('Du lieu'!Q4884)</x:f>
        <x:v>0.406540180433955</x:v>
      </x:c>
      <x:c r="C606" t="n">
        <x:f>'Du lieu'!A4884</x:f>
        <x:v>6454</x:v>
      </x:c>
    </x:row>
    <x:row r="607">
      <x:c r="A607" s="19" t="n">
        <x:f>LOG10('Du lieu'!G1231)</x:f>
        <x:v>1.77815125038364</x:v>
      </x:c>
      <x:c r="B607" s="19" t="n">
        <x:f>LOG10('Du lieu'!Q1231)</x:f>
        <x:v>0.633468455579586</x:v>
      </x:c>
      <x:c r="C607" t="n">
        <x:f>'Du lieu'!A1231</x:f>
        <x:v>1792</x:v>
      </x:c>
    </x:row>
    <x:row r="608">
      <x:c r="A608" s="19" t="n">
        <x:f>LOG10('Du lieu'!G5047)</x:f>
        <x:v>3</x:v>
      </x:c>
      <x:c r="B608" s="19" t="n">
        <x:f>LOG10('Du lieu'!Q5047)</x:f>
        <x:v>1.34242268082221</x:v>
      </x:c>
      <x:c r="C608" t="n">
        <x:f>'Du lieu'!A5047</x:f>
        <x:v>6659</x:v>
      </x:c>
    </x:row>
    <x:row r="609">
      <x:c r="A609" s="19" t="n">
        <x:f>LOG10('Du lieu'!G2257)</x:f>
        <x:v>1.84509804001426</x:v>
      </x:c>
      <x:c r="B609" s="19" t="n">
        <x:f>LOG10('Du lieu'!Q2257)</x:f>
        <x:v>0</x:v>
      </x:c>
      <x:c r="C609" t="n">
        <x:f>'Du lieu'!A2257</x:f>
        <x:v>3215</x:v>
      </x:c>
    </x:row>
    <x:row r="610">
      <x:c r="A610" s="19" t="n">
        <x:f>LOG10('Du lieu'!G6876)</x:f>
        <x:v>1.77815125038364</x:v>
      </x:c>
      <x:c r="B610" s="19" t="n">
        <x:f>LOG10('Du lieu'!Q6876)</x:f>
        <x:v>0.819543935541869</x:v>
      </x:c>
      <x:c r="C610" t="n">
        <x:f>'Du lieu'!A6876</x:f>
        <x:v>8853</x:v>
      </x:c>
    </x:row>
    <x:row r="611">
      <x:c r="A611" s="19" t="n">
        <x:f>LOG10('Du lieu'!G2590)</x:f>
        <x:v>1.70757017609794</x:v>
      </x:c>
      <x:c r="B611" s="19" t="n">
        <x:f>LOG10('Du lieu'!Q2590)</x:f>
        <x:v>0.301029995663981</x:v>
      </x:c>
      <x:c r="C611" t="n">
        <x:f>'Du lieu'!A2590</x:f>
        <x:v>3613</x:v>
      </x:c>
    </x:row>
    <x:row r="612">
      <x:c r="A612" s="19" t="n">
        <x:f>LOG10('Du lieu'!G516)</x:f>
        <x:v>2</x:v>
      </x:c>
      <x:c r="B612" s="19" t="n">
        <x:f>LOG10('Du lieu'!Q516)</x:f>
        <x:v>0.0413926851582251</x:v>
      </x:c>
      <x:c r="C612" t="n">
        <x:f>'Du lieu'!A516</x:f>
        <x:v>553</x:v>
      </x:c>
    </x:row>
    <x:row r="613">
      <x:c r="A613" s="19" t="n">
        <x:f>LOG10('Du lieu'!G5679)</x:f>
        <x:v>2</x:v>
      </x:c>
      <x:c r="B613" s="19" t="n">
        <x:f>LOG10('Du lieu'!Q5679)</x:f>
        <x:v>0.103803720955957</x:v>
      </x:c>
      <x:c r="C613" t="n">
        <x:f>'Du lieu'!A5679</x:f>
        <x:v>7406</x:v>
      </x:c>
    </x:row>
    <x:row r="614">
      <x:c r="A614" s="19" t="n">
        <x:f>LOG10('Du lieu'!G4232)</x:f>
        <x:v>2</x:v>
      </x:c>
      <x:c r="B614" s="19" t="n">
        <x:f>LOG10('Du lieu'!Q4232)</x:f>
        <x:v>0.851258348719075</x:v>
      </x:c>
      <x:c r="C614" t="n">
        <x:f>'Du lieu'!A4232</x:f>
        <x:v>5687</x:v>
      </x:c>
    </x:row>
    <x:row r="615">
      <x:c r="A615" s="19" t="n">
        <x:f>LOG10('Du lieu'!G5199)</x:f>
        <x:v>1.95424250943932</x:v>
      </x:c>
      <x:c r="B615" s="19" t="n">
        <x:f>LOG10('Du lieu'!Q5199)</x:f>
        <x:v>0.6232492903979</x:v>
      </x:c>
      <x:c r="C615" t="n">
        <x:f>'Du lieu'!A5199</x:f>
        <x:v>6831</x:v>
      </x:c>
    </x:row>
    <x:row r="616">
      <x:c r="A616" s="19" t="n">
        <x:f>LOG10('Du lieu'!G520)</x:f>
        <x:v>1.84509804001426</x:v>
      </x:c>
      <x:c r="B616" s="19" t="n">
        <x:f>LOG10('Du lieu'!Q520)</x:f>
        <x:v>0.513217600067939</x:v>
      </x:c>
      <x:c r="C616" t="n">
        <x:f>'Du lieu'!A520</x:f>
        <x:v>557</x:v>
      </x:c>
    </x:row>
    <x:row r="617">
      <x:c r="A617" s="19" t="n">
        <x:f>LOG10('Du lieu'!G5805)</x:f>
        <x:v>1.84509804001426</x:v>
      </x:c>
      <x:c r="B617" s="19" t="n">
        <x:f>LOG10('Du lieu'!Q5805)</x:f>
        <x:v>0.89209460269048</x:v>
      </x:c>
      <x:c r="C617" t="n">
        <x:f>'Du lieu'!A5805</x:f>
        <x:v>7549</x:v>
      </x:c>
    </x:row>
    <x:row r="618">
      <x:c r="A618" s="19" t="n">
        <x:f>LOG10('Du lieu'!G2615)</x:f>
        <x:v>2</x:v>
      </x:c>
      <x:c r="B618" s="19" t="n">
        <x:f>LOG10('Du lieu'!Q2615)</x:f>
        <x:v>0.332438459915605</x:v>
      </x:c>
      <x:c r="C618" t="n">
        <x:f>'Du lieu'!A2615</x:f>
        <x:v>3645</x:v>
      </x:c>
    </x:row>
    <x:row r="619">
      <x:c r="A619" s="19" t="n">
        <x:f>LOG10('Du lieu'!G6717)</x:f>
        <x:v>2</x:v>
      </x:c>
      <x:c r="B619" s="19" t="n">
        <x:f>LOG10('Du lieu'!Q6717)</x:f>
        <x:v>-0.260427655549908</x:v>
      </x:c>
      <x:c r="C619" t="n">
        <x:f>'Du lieu'!A6717</x:f>
        <x:v>8639</x:v>
      </x:c>
    </x:row>
    <x:row r="620">
      <x:c r="A620" s="19" t="n">
        <x:f>LOG10('Du lieu'!G6546)</x:f>
        <x:v>2.07918124604762</x:v>
      </x:c>
      <x:c r="B620" s="19" t="n">
        <x:f>LOG10('Du lieu'!Q6546)</x:f>
        <x:v>-0.187755303199631</x:v>
      </x:c>
      <x:c r="C620" t="n">
        <x:f>'Du lieu'!A6546</x:f>
        <x:v>8441</x:v>
      </x:c>
    </x:row>
    <x:row r="621">
      <x:c r="A621" s="19" t="n">
        <x:f>LOG10('Du lieu'!G2054)</x:f>
        <x:v>1.95424250943932</x:v>
      </x:c>
      <x:c r="B621" s="19" t="n">
        <x:f>LOG10('Du lieu'!Q2054)</x:f>
        <x:v>0.224791956492681</x:v>
      </x:c>
      <x:c r="C621" t="n">
        <x:f>'Du lieu'!A2054</x:f>
        <x:v>2982</x:v>
      </x:c>
    </x:row>
    <x:row r="622">
      <x:c r="A622" s="19" t="n">
        <x:f>LOG10('Du lieu'!G2313)</x:f>
        <x:v>1.79098847508882</x:v>
      </x:c>
      <x:c r="B622" s="19" t="n">
        <x:f>LOG10('Du lieu'!Q2313)</x:f>
        <x:v>0.00646604224923168</x:v>
      </x:c>
      <x:c r="C622" t="n">
        <x:f>'Du lieu'!A2313</x:f>
        <x:v>3277</x:v>
      </x:c>
    </x:row>
    <x:row r="623">
      <x:c r="A623" s="19" t="n">
        <x:f>LOG10('Du lieu'!G5485)</x:f>
        <x:v>1.57978359661681</x:v>
      </x:c>
      <x:c r="B623" s="19" t="n">
        <x:f>LOG10('Du lieu'!Q5485)</x:f>
        <x:v>0.176091259055681</x:v>
      </x:c>
      <x:c r="C623" t="n">
        <x:f>'Du lieu'!A5485</x:f>
        <x:v>7187</x:v>
      </x:c>
    </x:row>
    <x:row r="624">
      <x:c r="A624" s="19" t="n">
        <x:f>LOG10('Du lieu'!G1090)</x:f>
        <x:v>1.55630250076729</x:v>
      </x:c>
      <x:c r="B624" s="19" t="n">
        <x:f>LOG10('Du lieu'!Q1090)</x:f>
        <x:v>-0.42021640338319</x:v>
      </x:c>
      <x:c r="C624" t="n">
        <x:f>'Du lieu'!A1090</x:f>
        <x:v>1414</x:v>
      </x:c>
    </x:row>
    <x:row r="625">
      <x:c r="A625" s="19" t="n">
        <x:f>LOG10('Du lieu'!G3808)</x:f>
        <x:v>2</x:v>
      </x:c>
      <x:c r="B625" s="19" t="n">
        <x:f>LOG10('Du lieu'!Q3808)</x:f>
        <x:v>0.222716471147583</x:v>
      </x:c>
      <x:c r="C625" t="n">
        <x:f>'Du lieu'!A3808</x:f>
        <x:v>5186</x:v>
      </x:c>
    </x:row>
    <x:row r="626">
      <x:c r="A626" s="19" t="n">
        <x:f>LOG10('Du lieu'!G3133)</x:f>
        <x:v>2.02938377768521</x:v>
      </x:c>
      <x:c r="B626" s="19" t="n">
        <x:f>LOG10('Du lieu'!Q3133)</x:f>
        <x:v>0.6232492903979</x:v>
      </x:c>
      <x:c r="C626" t="n">
        <x:f>'Du lieu'!A3133</x:f>
        <x:v>4254</x:v>
      </x:c>
    </x:row>
    <x:row r="627">
      <x:c r="A627" s="19" t="n">
        <x:f>LOG10('Du lieu'!G5458)</x:f>
        <x:v>1.95424250943932</x:v>
      </x:c>
      <x:c r="B627" s="19" t="n">
        <x:f>LOG10('Du lieu'!Q5458)</x:f>
        <x:v>0.602059991327962</x:v>
      </x:c>
      <x:c r="C627" t="n">
        <x:f>'Du lieu'!A5458</x:f>
        <x:v>7129</x:v>
      </x:c>
    </x:row>
    <x:row r="628">
      <x:c r="A628" s="19" t="n">
        <x:f>LOG10('Du lieu'!G1167)</x:f>
        <x:v>1.60205999132796</x:v>
      </x:c>
      <x:c r="B628" s="19" t="n">
        <x:f>LOG10('Du lieu'!Q1167)</x:f>
        <x:v>-0.560667306169737</x:v>
      </x:c>
      <x:c r="C628" t="n">
        <x:f>'Du lieu'!A1167</x:f>
        <x:v>1698</x:v>
      </x:c>
    </x:row>
    <x:row r="629">
      <x:c r="A629" s="19" t="n">
        <x:f>LOG10('Du lieu'!G1955)</x:f>
        <x:v>1.56820172406699</x:v>
      </x:c>
      <x:c r="B629" s="19" t="n">
        <x:f>LOG10('Du lieu'!Q1955)</x:f>
        <x:v>0.556302500767287</x:v>
      </x:c>
      <x:c r="C629" t="n">
        <x:f>'Du lieu'!A1955</x:f>
        <x:v>2871</x:v>
      </x:c>
    </x:row>
    <x:row r="630">
      <x:c r="A630" s="19" t="n">
        <x:f>LOG10('Du lieu'!G6423)</x:f>
        <x:v>2.74429298312268</x:v>
      </x:c>
      <x:c r="B630" s="19" t="n">
        <x:f>LOG10('Du lieu'!Q6423)</x:f>
        <x:v>0.929418925714293</x:v>
      </x:c>
      <x:c r="C630" t="n">
        <x:f>'Du lieu'!A6423</x:f>
        <x:v>8299</x:v>
      </x:c>
    </x:row>
    <x:row r="631">
      <x:c r="A631" s="19" t="n">
        <x:f>LOG10('Du lieu'!G6380)</x:f>
        <x:v>1.66791968531736</x:v>
      </x:c>
      <x:c r="B631" s="19" t="n">
        <x:f>LOG10('Du lieu'!Q6380)</x:f>
        <x:v>0.213517756996305</x:v>
      </x:c>
      <x:c r="C631" t="n">
        <x:f>'Du lieu'!A6380</x:f>
        <x:v>8249</x:v>
      </x:c>
    </x:row>
    <x:row r="632">
      <x:c r="A632" s="19" t="n">
        <x:f>LOG10('Du lieu'!G6137)</x:f>
        <x:v>1.92941892571429</x:v>
      </x:c>
      <x:c r="B632" s="19" t="n">
        <x:f>LOG10('Du lieu'!Q6137)</x:f>
        <x:v>-0.00436480540245009</x:v>
      </x:c>
      <x:c r="C632" t="n">
        <x:f>'Du lieu'!A6137</x:f>
        <x:v>7952</x:v>
      </x:c>
    </x:row>
    <x:row r="633">
      <x:c r="A633" s="19" t="n">
        <x:f>LOG10('Du lieu'!G858)</x:f>
        <x:v>2</x:v>
      </x:c>
      <x:c r="B633" s="19" t="n">
        <x:f>LOG10('Du lieu'!Q858)</x:f>
        <x:v>0.602059991327962</x:v>
      </x:c>
      <x:c r="C633" t="n">
        <x:f>'Du lieu'!A858</x:f>
        <x:v>952</x:v>
      </x:c>
    </x:row>
    <x:row r="634">
      <x:c r="A634" s="19" t="n">
        <x:f>LOG10('Du lieu'!G5865)</x:f>
        <x:v>2.17609125905568</x:v>
      </x:c>
      <x:c r="B634" s="19" t="n">
        <x:f>LOG10('Du lieu'!Q5865)</x:f>
        <x:v>0.716003343634799</x:v>
      </x:c>
      <x:c r="C634" t="n">
        <x:f>'Du lieu'!A5865</x:f>
        <x:v>7615</x:v>
      </x:c>
    </x:row>
    <x:row r="635">
      <x:c r="A635" s="19" t="n">
        <x:f>LOG10('Du lieu'!G6578)</x:f>
        <x:v>1.95424250943932</x:v>
      </x:c>
      <x:c r="B635" s="19" t="n">
        <x:f>LOG10('Du lieu'!Q6578)</x:f>
        <x:v>0.591064607026499</x:v>
      </x:c>
      <x:c r="C635" t="n">
        <x:f>'Du lieu'!A6578</x:f>
        <x:v>8476</x:v>
      </x:c>
    </x:row>
    <x:row r="636">
      <x:c r="A636" s="19" t="n">
        <x:f>LOG10('Du lieu'!G540)</x:f>
        <x:v>1.90308998699194</x:v>
      </x:c>
      <x:c r="B636" s="19" t="n">
        <x:f>LOG10('Du lieu'!Q540)</x:f>
        <x:v>-0.1249387366083</x:v>
      </x:c>
      <x:c r="C636" t="n">
        <x:f>'Du lieu'!A540</x:f>
        <x:v>595</x:v>
      </x:c>
    </x:row>
    <x:row r="637">
      <x:c r="A637" s="19" t="n">
        <x:f>LOG10('Du lieu'!G3987)</x:f>
        <x:v>1.6232492903979</x:v>
      </x:c>
      <x:c r="B637" s="19" t="n">
        <x:f>LOG10('Du lieu'!Q3987)</x:f>
        <x:v>0.537819095073274</x:v>
      </x:c>
      <x:c r="C637" t="n">
        <x:f>'Du lieu'!A3987</x:f>
        <x:v>5389</x:v>
      </x:c>
    </x:row>
    <x:row r="638">
      <x:c r="A638" s="19" t="n">
        <x:f>LOG10('Du lieu'!G618)</x:f>
        <x:v>1.7160033436348</x:v>
      </x:c>
      <x:c r="B638" s="19" t="n">
        <x:f>LOG10('Du lieu'!Q618)</x:f>
        <x:v>-0.209714835966758</x:v>
      </x:c>
      <x:c r="C638" t="n">
        <x:f>'Du lieu'!A618</x:f>
        <x:v>678</x:v>
      </x:c>
    </x:row>
    <x:row r="639">
      <x:c r="A639" s="19" t="n">
        <x:f>LOG10('Du lieu'!G5944)</x:f>
        <x:v>1.54406804435028</x:v>
      </x:c>
      <x:c r="B639" s="19" t="n">
        <x:f>LOG10('Du lieu'!Q5944)</x:f>
        <x:v>0.255272505103306</x:v>
      </x:c>
      <x:c r="C639" t="n">
        <x:f>'Du lieu'!A5944</x:f>
        <x:v>7727</x:v>
      </x:c>
    </x:row>
    <x:row r="640">
      <x:c r="A640" s="19" t="n">
        <x:f>LOG10('Du lieu'!G986)</x:f>
        <x:v>1.83884909073726</x:v>
      </x:c>
      <x:c r="B640" s="19" t="n">
        <x:f>LOG10('Du lieu'!Q986)</x:f>
        <x:v>-0.0705810742857073</x:v>
      </x:c>
      <x:c r="C640" t="n">
        <x:f>'Du lieu'!A986</x:f>
        <x:v>1090</x:v>
      </x:c>
    </x:row>
    <x:row r="641">
      <x:c r="A641" s="19" t="n">
        <x:f>LOG10('Du lieu'!G1745)</x:f>
        <x:v>1.93951925261862</x:v>
      </x:c>
      <x:c r="B641" s="19" t="n">
        <x:f>LOG10('Du lieu'!Q1745)</x:f>
        <x:v>0.662757831681574</x:v>
      </x:c>
      <x:c r="C641" t="n">
        <x:f>'Du lieu'!A1745</x:f>
        <x:v>2626</x:v>
      </x:c>
    </x:row>
    <x:row r="642">
      <x:c r="A642" s="19" t="n">
        <x:f>LOG10('Du lieu'!G6649)</x:f>
        <x:v>1.77815125038364</x:v>
      </x:c>
      <x:c r="B642" s="19" t="n">
        <x:f>LOG10('Du lieu'!Q6649)</x:f>
        <x:v>0.629409599102719</x:v>
      </x:c>
      <x:c r="C642" t="n">
        <x:f>'Du lieu'!A6649</x:f>
        <x:v>8559</x:v>
      </x:c>
    </x:row>
    <x:row r="643">
      <x:c r="A643" s="19" t="n">
        <x:f>LOG10('Du lieu'!G5691)</x:f>
        <x:v>1.60205999132796</x:v>
      </x:c>
      <x:c r="B643" s="19" t="n">
        <x:f>LOG10('Du lieu'!Q5691)</x:f>
        <x:v>0.491361693834273</x:v>
      </x:c>
      <x:c r="C643" t="n">
        <x:f>'Du lieu'!A5691</x:f>
        <x:v>7418</x:v>
      </x:c>
    </x:row>
    <x:row r="644">
      <x:c r="A644" s="19" t="n">
        <x:f>LOG10('Du lieu'!G3609)</x:f>
        <x:v>1.81291335664286</x:v>
      </x:c>
      <x:c r="B644" s="19" t="n">
        <x:f>LOG10('Du lieu'!Q3609)</x:f>
        <x:v>1.21218760440396</x:v>
      </x:c>
      <x:c r="C644" t="n">
        <x:f>'Du lieu'!A3609</x:f>
        <x:v>4930</x:v>
      </x:c>
    </x:row>
    <x:row r="645">
      <x:c r="A645" s="19" t="n">
        <x:f>LOG10('Du lieu'!G2838)</x:f>
        <x:v>1.44715803134222</x:v>
      </x:c>
      <x:c r="B645" s="19" t="n">
        <x:f>LOG10('Du lieu'!Q2838)</x:f>
        <x:v>0.406540180433955</x:v>
      </x:c>
      <x:c r="C645" t="n">
        <x:f>'Du lieu'!A2838</x:f>
        <x:v>3918</x:v>
      </x:c>
    </x:row>
    <x:row r="646">
      <x:c r="A646" s="19" t="n">
        <x:f>LOG10('Du lieu'!G6820)</x:f>
        <x:v>2.17609125905568</x:v>
      </x:c>
      <x:c r="B646" s="19" t="n">
        <x:f>LOG10('Du lieu'!Q6820)</x:f>
        <x:v>0.505149978319906</x:v>
      </x:c>
      <x:c r="C646" t="n">
        <x:f>'Du lieu'!A6820</x:f>
        <x:v>8787</x:v>
      </x:c>
    </x:row>
    <x:row r="647">
      <x:c r="A647" s="19" t="n">
        <x:f>LOG10('Du lieu'!G3082)</x:f>
        <x:v>2.25042000230889</x:v>
      </x:c>
      <x:c r="B647" s="19" t="n">
        <x:f>LOG10('Du lieu'!Q3082)</x:f>
        <x:v>1.13033376849501</x:v>
      </x:c>
      <x:c r="C647" t="n">
        <x:f>'Du lieu'!A3082</x:f>
        <x:v>4194</x:v>
      </x:c>
    </x:row>
    <x:row r="648">
      <x:c r="A648" s="19" t="n">
        <x:f>LOG10('Du lieu'!G4737)</x:f>
        <x:v>1.69019608002851</x:v>
      </x:c>
      <x:c r="B648" s="19" t="n">
        <x:f>LOG10('Du lieu'!Q4737)</x:f>
        <x:v>0.139879086401236</x:v>
      </x:c>
      <x:c r="C648" t="n">
        <x:f>'Du lieu'!A4737</x:f>
        <x:v>6286</x:v>
      </x:c>
    </x:row>
    <x:row r="649">
      <x:c r="A649" s="19" t="n">
        <x:f>LOG10('Du lieu'!G6747)</x:f>
        <x:v>2.74036268949424</x:v>
      </x:c>
      <x:c r="B649" s="19" t="n">
        <x:f>LOG10('Du lieu'!Q6747)</x:f>
        <x:v>-0.301029995663981</x:v>
      </x:c>
      <x:c r="C649" t="n">
        <x:f>'Du lieu'!A6747</x:f>
        <x:v>8702</x:v>
      </x:c>
    </x:row>
    <x:row r="650">
      <x:c r="A650" s="19" t="n">
        <x:f>LOG10('Du lieu'!G3679)</x:f>
        <x:v>2.11727129565576</x:v>
      </x:c>
      <x:c r="B650" s="19" t="n">
        <x:f>LOG10('Du lieu'!Q3679)</x:f>
        <x:v>0.0211892990699381</x:v>
      </x:c>
      <x:c r="C650" t="n">
        <x:f>'Du lieu'!A3679</x:f>
        <x:v>5014</x:v>
      </x:c>
    </x:row>
    <x:row r="651">
      <x:c r="A651" s="19" t="n">
        <x:f>LOG10('Du lieu'!G3974)</x:f>
        <x:v>2</x:v>
      </x:c>
      <x:c r="B651" s="19" t="n">
        <x:f>LOG10('Du lieu'!Q3974)</x:f>
        <x:v>-0.317403708539447</x:v>
      </x:c>
      <x:c r="C651" t="n">
        <x:f>'Du lieu'!A3974</x:f>
        <x:v>5373</x:v>
      </x:c>
    </x:row>
    <x:row r="652">
      <x:c r="A652" s="19" t="n">
        <x:f>LOG10('Du lieu'!G1107)</x:f>
        <x:v>2.08457627793433</x:v>
      </x:c>
      <x:c r="B652" s="19" t="n">
        <x:f>LOG10('Du lieu'!Q1107)</x:f>
        <x:v>-0.113509274827518</x:v>
      </x:c>
      <x:c r="C652" t="n">
        <x:f>'Du lieu'!A1107</x:f>
        <x:v>1431</x:v>
      </x:c>
    </x:row>
    <x:row r="653">
      <x:c r="A653" s="19" t="n">
        <x:f>LOG10('Du lieu'!G4348)</x:f>
        <x:v>2.43136376415899</x:v>
      </x:c>
      <x:c r="B653" s="19" t="n">
        <x:f>LOG10('Du lieu'!Q4348)</x:f>
        <x:v>-0.1249387366083</x:v>
      </x:c>
      <x:c r="C653" t="n">
        <x:f>'Du lieu'!A4348</x:f>
        <x:v>5819</x:v>
      </x:c>
    </x:row>
    <x:row r="654">
      <x:c r="A654" s="19" t="n">
        <x:f>LOG10('Du lieu'!G6201)</x:f>
        <x:v>1.61909333062674</x:v>
      </x:c>
      <x:c r="B654" s="19" t="n">
        <x:f>LOG10('Du lieu'!Q6201)</x:f>
        <x:v>0.812913356642855</x:v>
      </x:c>
      <x:c r="C654" t="n">
        <x:f>'Du lieu'!A6201</x:f>
        <x:v>8024</x:v>
      </x:c>
    </x:row>
    <x:row r="655">
      <x:c r="A655" s="19" t="n">
        <x:f>LOG10('Du lieu'!G1553)</x:f>
        <x:v>1.56820172406699</x:v>
      </x:c>
      <x:c r="B655" s="19" t="n">
        <x:f>LOG10('Du lieu'!Q1553)</x:f>
        <x:v>-0.0222763947111522</x:v>
      </x:c>
      <x:c r="C655" t="n">
        <x:f>'Du lieu'!A1553</x:f>
        <x:v>2399</x:v>
      </x:c>
    </x:row>
    <x:row r="656">
      <x:c r="A656" s="19" t="n">
        <x:f>LOG10('Du lieu'!G5414)</x:f>
        <x:v>3.00860017176192</x:v>
      </x:c>
      <x:c r="B656" s="19" t="n">
        <x:f>LOG10('Du lieu'!Q5414)</x:f>
        <x:v>-0.283996656365201</x:v>
      </x:c>
      <x:c r="C656" t="n">
        <x:f>'Du lieu'!A5414</x:f>
        <x:v>7076</x:v>
      </x:c>
    </x:row>
    <x:row r="657">
      <x:c r="A657" s="19" t="n">
        <x:f>LOG10('Du lieu'!G5313)</x:f>
        <x:v>1.83884909073726</x:v>
      </x:c>
      <x:c r="B657" s="19" t="n">
        <x:f>LOG10('Du lieu'!Q5313)</x:f>
        <x:v>0.311753861055754</x:v>
      </x:c>
      <x:c r="C657" t="n">
        <x:f>'Du lieu'!A5313</x:f>
        <x:v>6961</x:v>
      </x:c>
    </x:row>
    <x:row r="658">
      <x:c r="A658" s="19" t="n">
        <x:f>LOG10('Du lieu'!G5275)</x:f>
        <x:v>1.7481880270062</x:v>
      </x:c>
      <x:c r="B658" s="19" t="n">
        <x:f>LOG10('Du lieu'!Q5275)</x:f>
        <x:v>0.113943352306837</x:v>
      </x:c>
      <x:c r="C658" t="n">
        <x:f>'Du lieu'!A5275</x:f>
        <x:v>6918</x:v>
      </x:c>
    </x:row>
    <x:row r="659">
      <x:c r="A659" s="19" t="n">
        <x:f>LOG10('Du lieu'!G5648)</x:f>
        <x:v>1.5910646070265</x:v>
      </x:c>
      <x:c r="B659" s="19" t="n">
        <x:f>LOG10('Du lieu'!Q5648)</x:f>
        <x:v>0.171141151028382</x:v>
      </x:c>
      <x:c r="C659" t="n">
        <x:f>'Du lieu'!A5648</x:f>
        <x:v>7371</x:v>
      </x:c>
    </x:row>
    <x:row r="660">
      <x:c r="A660" s="19" t="n">
        <x:f>LOG10('Du lieu'!G2554)</x:f>
        <x:v>1.69897000433602</x:v>
      </x:c>
      <x:c r="B660" s="19" t="n">
        <x:f>LOG10('Du lieu'!Q2554)</x:f>
        <x:v>0.724275869600789</x:v>
      </x:c>
      <x:c r="C660" t="n">
        <x:f>'Du lieu'!A2554</x:f>
        <x:v>3574</x:v>
      </x:c>
    </x:row>
    <x:row r="661">
      <x:c r="A661" s="19" t="n">
        <x:f>LOG10('Du lieu'!G2151)</x:f>
        <x:v>2.39794000867204</x:v>
      </x:c>
      <x:c r="B661" s="19" t="n">
        <x:f>LOG10('Du lieu'!Q2151)</x:f>
        <x:v>-0.488116639021126</x:v>
      </x:c>
      <x:c r="C661" t="n">
        <x:f>'Du lieu'!A2151</x:f>
        <x:v>3093</x:v>
      </x:c>
    </x:row>
    <x:row r="662">
      <x:c r="A662" s="19" t="n">
        <x:f>LOG10('Du lieu'!G566)</x:f>
        <x:v>1.84509804001426</x:v>
      </x:c>
      <x:c r="B662" s="19" t="n">
        <x:f>LOG10('Du lieu'!Q566)</x:f>
        <x:v>0.959041392321094</x:v>
      </x:c>
      <x:c r="C662" t="n">
        <x:f>'Du lieu'!A566</x:f>
        <x:v>623</x:v>
      </x:c>
    </x:row>
    <x:row r="663">
      <x:c r="A663" s="19" t="n">
        <x:f>LOG10('Du lieu'!G691)</x:f>
        <x:v>1.60205999132796</x:v>
      </x:c>
      <x:c r="B663" s="19" t="n">
        <x:f>LOG10('Du lieu'!Q691)</x:f>
        <x:v>0.622214022966295</x:v>
      </x:c>
      <x:c r="C663" t="n">
        <x:f>'Du lieu'!A691</x:f>
        <x:v>757</x:v>
      </x:c>
    </x:row>
    <x:row r="664">
      <x:c r="A664" s="19" t="n">
        <x:f>LOG10('Du lieu'!G815)</x:f>
        <x:v>2.11058971029925</x:v>
      </x:c>
      <x:c r="B664" s="19" t="n">
        <x:f>LOG10('Du lieu'!Q815)</x:f>
        <x:v>0.431363764158987</x:v>
      </x:c>
      <x:c r="C664" t="n">
        <x:f>'Du lieu'!A815</x:f>
        <x:v>889</x:v>
      </x:c>
    </x:row>
    <x:row r="665">
      <x:c r="A665" s="19" t="n">
        <x:f>LOG10('Du lieu'!G766)</x:f>
        <x:v>2.30102999566398</x:v>
      </x:c>
      <x:c r="B665" s="19" t="n">
        <x:f>LOG10('Du lieu'!Q766)</x:f>
        <x:v>-0.585026652029182</x:v>
      </x:c>
      <x:c r="C665" t="n">
        <x:f>'Du lieu'!A766</x:f>
        <x:v>835</x:v>
      </x:c>
    </x:row>
    <x:row r="666">
      <x:c r="A666" s="19" t="n">
        <x:f>LOG10('Du lieu'!G2253)</x:f>
        <x:v>1.95424250943932</x:v>
      </x:c>
      <x:c r="B666" s="19" t="n">
        <x:f>LOG10('Du lieu'!Q2253)</x:f>
        <x:v>-0.180456064458131</x:v>
      </x:c>
      <x:c r="C666" t="n">
        <x:f>'Du lieu'!A2253</x:f>
        <x:v>3209</x:v>
      </x:c>
    </x:row>
    <x:row r="667">
      <x:c r="A667" s="19" t="n">
        <x:f>LOG10('Du lieu'!G571)</x:f>
        <x:v>2</x:v>
      </x:c>
      <x:c r="B667" s="19" t="n">
        <x:f>LOG10('Du lieu'!Q571)</x:f>
        <x:v>-0.346787486224656</x:v>
      </x:c>
      <x:c r="C667" t="n">
        <x:f>'Du lieu'!A571</x:f>
        <x:v>628</x:v>
      </x:c>
    </x:row>
    <x:row r="668">
      <x:c r="A668" s="19" t="n">
        <x:f>LOG10('Du lieu'!G2942)</x:f>
        <x:v>1.5910646070265</x:v>
      </x:c>
      <x:c r="B668" s="19" t="n">
        <x:f>LOG10('Du lieu'!Q2942)</x:f>
        <x:v>0.643452676486187</x:v>
      </x:c>
      <x:c r="C668" t="n">
        <x:f>'Du lieu'!A2942</x:f>
        <x:v>4036</x:v>
      </x:c>
    </x:row>
    <x:row r="669">
      <x:c r="A669" s="19" t="n">
        <x:f>LOG10('Du lieu'!G573)</x:f>
        <x:v>2</x:v>
      </x:c>
      <x:c r="B669" s="19" t="n">
        <x:f>LOG10('Du lieu'!Q573)</x:f>
        <x:v>-0.1249387366083</x:v>
      </x:c>
      <x:c r="C669" t="n">
        <x:f>'Du lieu'!A573</x:f>
        <x:v>630</x:v>
      </x:c>
    </x:row>
    <x:row r="670">
      <x:c r="A670" s="19" t="n">
        <x:f>LOG10('Du lieu'!G2984)</x:f>
        <x:v>1.65321251377534</x:v>
      </x:c>
      <x:c r="B670" s="19" t="n">
        <x:f>LOG10('Du lieu'!Q2984)</x:f>
        <x:v>0.484299839346786</x:v>
      </x:c>
      <x:c r="C670" t="n">
        <x:f>'Du lieu'!A2984</x:f>
        <x:v>4085</x:v>
      </x:c>
    </x:row>
    <x:row r="671">
      <x:c r="A671" s="19" t="n">
        <x:f>LOG10('Du lieu'!G4168)</x:f>
        <x:v>1.60205999132796</x:v>
      </x:c>
      <x:c r="B671" s="19" t="n">
        <x:f>LOG10('Du lieu'!Q4168)</x:f>
        <x:v>0.423245873936808</x:v>
      </x:c>
      <x:c r="C671" t="n">
        <x:f>'Du lieu'!A4168</x:f>
        <x:v>5598</x:v>
      </x:c>
    </x:row>
    <x:row r="672">
      <x:c r="A672" s="19" t="n">
        <x:f>LOG10('Du lieu'!G2200)</x:f>
        <x:v>1.6232492903979</x:v>
      </x:c>
      <x:c r="B672" s="19" t="n">
        <x:f>LOG10('Du lieu'!Q2200)</x:f>
        <x:v>0.57978359661681</x:v>
      </x:c>
      <x:c r="C672" t="n">
        <x:f>'Du lieu'!A2200</x:f>
        <x:v>3151</x:v>
      </x:c>
    </x:row>
    <x:row r="673">
      <x:c r="A673" s="19" t="n">
        <x:f>LOG10('Du lieu'!G3973)</x:f>
        <x:v>2.25527250510331</x:v>
      </x:c>
      <x:c r="B673" s="19" t="n">
        <x:f>LOG10('Du lieu'!Q3973)</x:f>
        <x:v>1.41497334797082</x:v>
      </x:c>
      <x:c r="C673" t="n">
        <x:f>'Du lieu'!A3973</x:f>
        <x:v>5372</x:v>
      </x:c>
    </x:row>
    <x:row r="674">
      <x:c r="A674" s="19" t="n">
        <x:f>LOG10('Du lieu'!G1256)</x:f>
        <x:v>2.41664050733828</x:v>
      </x:c>
      <x:c r="B674" s="19" t="n">
        <x:f>LOG10('Du lieu'!Q1256)</x:f>
        <x:v>0.380211241711606</x:v>
      </x:c>
      <x:c r="C674" t="n">
        <x:f>'Du lieu'!A1256</x:f>
        <x:v>1952</x:v>
      </x:c>
    </x:row>
    <x:row r="675">
      <x:c r="A675" s="19" t="n">
        <x:f>LOG10('Du lieu'!G6499)</x:f>
        <x:v>2.02118929906994</x:v>
      </x:c>
      <x:c r="B675" s="19" t="n">
        <x:f>LOG10('Du lieu'!Q6499)</x:f>
        <x:v>0.161368002234975</x:v>
      </x:c>
      <x:c r="C675" t="n">
        <x:f>'Du lieu'!A6499</x:f>
        <x:v>8387</x:v>
      </x:c>
    </x:row>
    <x:row r="676">
      <x:c r="A676" s="19" t="n">
        <x:f>LOG10('Du lieu'!G4342)</x:f>
        <x:v>1.84509804001426</x:v>
      </x:c>
      <x:c r="B676" s="19" t="n">
        <x:f>LOG10('Du lieu'!Q4342)</x:f>
        <x:v>0.574031267727719</x:v>
      </x:c>
      <x:c r="C676" t="n">
        <x:f>'Du lieu'!A4342</x:f>
        <x:v>5813</x:v>
      </x:c>
    </x:row>
    <x:row r="677">
      <x:c r="A677" s="19" t="n">
        <x:f>LOG10('Du lieu'!G3932)</x:f>
        <x:v>2.92064500140679</x:v>
      </x:c>
      <x:c r="B677" s="19" t="n">
        <x:f>LOG10('Du lieu'!Q3932)</x:f>
        <x:v>0.544068044350276</x:v>
      </x:c>
      <x:c r="C677" t="n">
        <x:f>'Du lieu'!A3932</x:f>
        <x:v>5327</x:v>
      </x:c>
    </x:row>
    <x:row r="678">
      <x:c r="A678" s="19" t="n">
        <x:f>LOG10('Du lieu'!G6425)</x:f>
        <x:v>2.18752072083646</x:v>
      </x:c>
      <x:c r="B678" s="19" t="n">
        <x:f>LOG10('Du lieu'!Q6425)</x:f>
        <x:v>0.353146546213979</x:v>
      </x:c>
      <x:c r="C678" t="n">
        <x:f>'Du lieu'!A6425</x:f>
        <x:v>8301</x:v>
      </x:c>
    </x:row>
    <x:row r="679">
      <x:c r="A679" s="19" t="n">
        <x:f>LOG10('Du lieu'!G969)</x:f>
        <x:v>1.69019608002851</x:v>
      </x:c>
      <x:c r="B679" s="19" t="n">
        <x:f>LOG10('Du lieu'!Q969)</x:f>
        <x:v>0.130333768495006</x:v>
      </x:c>
      <x:c r="C679" t="n">
        <x:f>'Du lieu'!A969</x:f>
        <x:v>1070</x:v>
      </x:c>
    </x:row>
    <x:row r="680">
      <x:c r="A680" s="19" t="n">
        <x:f>LOG10('Du lieu'!G4952)</x:f>
        <x:v>1.84509804001426</x:v>
      </x:c>
      <x:c r="B680" s="19" t="n">
        <x:f>LOG10('Du lieu'!Q4952)</x:f>
        <x:v>-0.00877392430750515</x:v>
      </x:c>
      <x:c r="C680" t="n">
        <x:f>'Du lieu'!A4952</x:f>
        <x:v>6533</x:v>
      </x:c>
    </x:row>
    <x:row r="681">
      <x:c r="A681" s="19" t="n">
        <x:f>LOG10('Du lieu'!G4070)</x:f>
        <x:v>2.17609125905568</x:v>
      </x:c>
      <x:c r="B681" s="19" t="n">
        <x:f>LOG10('Du lieu'!Q4070)</x:f>
        <x:v>0.176091259055681</x:v>
      </x:c>
      <x:c r="C681" t="n">
        <x:f>'Du lieu'!A4070</x:f>
        <x:v>5486</x:v>
      </x:c>
    </x:row>
    <x:row r="682">
      <x:c r="A682" s="19" t="n">
        <x:f>LOG10('Du lieu'!G5797)</x:f>
        <x:v>1.65321251377534</x:v>
      </x:c>
      <x:c r="B682" s="19" t="n">
        <x:f>LOG10('Du lieu'!Q5797)</x:f>
        <x:v>-0.259637310505756</x:v>
      </x:c>
      <x:c r="C682" t="n">
        <x:f>'Du lieu'!A5797</x:f>
        <x:v>7541</x:v>
      </x:c>
    </x:row>
    <x:row r="683">
      <x:c r="A683" s="19" t="n">
        <x:f>LOG10('Du lieu'!G6257)</x:f>
        <x:v>1.74036268949424</x:v>
      </x:c>
      <x:c r="B683" s="19" t="n">
        <x:f>LOG10('Du lieu'!Q6257)</x:f>
        <x:v>0.778151250383644</x:v>
      </x:c>
      <x:c r="C683" t="n">
        <x:f>'Du lieu'!A6257</x:f>
        <x:v>8088</x:v>
      </x:c>
    </x:row>
    <x:row r="684">
      <x:c r="A684" s="19" t="n">
        <x:f>LOG10('Du lieu'!G1189)</x:f>
        <x:v>2.04139268515822</x:v>
      </x:c>
      <x:c r="B684" s="19" t="n">
        <x:f>LOG10('Du lieu'!Q1189)</x:f>
        <x:v>0.823474229170301</x:v>
      </x:c>
      <x:c r="C684" t="n">
        <x:f>'Du lieu'!A1189</x:f>
        <x:v>1746</x:v>
      </x:c>
    </x:row>
    <x:row r="685">
      <x:c r="A685" s="19" t="n">
        <x:f>LOG10('Du lieu'!G6155)</x:f>
        <x:v>1.60205999132796</x:v>
      </x:c>
      <x:c r="B685" s="19" t="n">
        <x:f>LOG10('Du lieu'!Q6155)</x:f>
        <x:v>-0.259637310505756</x:v>
      </x:c>
      <x:c r="C685" t="n">
        <x:f>'Du lieu'!A6155</x:f>
        <x:v>7973</x:v>
      </x:c>
    </x:row>
    <x:row r="686">
      <x:c r="A686" s="19" t="n">
        <x:f>LOG10('Du lieu'!G1474)</x:f>
        <x:v>1.65321251377534</x:v>
      </x:c>
      <x:c r="B686" s="19" t="n">
        <x:f>LOG10('Du lieu'!Q1474)</x:f>
        <x:v>0.0413926851582251</x:v>
      </x:c>
      <x:c r="C686" t="n">
        <x:f>'Du lieu'!A1474</x:f>
        <x:v>2298</x:v>
      </x:c>
    </x:row>
    <x:row r="687">
      <x:c r="A687" s="19" t="n">
        <x:f>LOG10('Du lieu'!G591)</x:f>
        <x:v>2</x:v>
      </x:c>
      <x:c r="B687" s="19" t="n">
        <x:f>LOG10('Du lieu'!Q591)</x:f>
        <x:v>1.19865708695442</x:v>
      </x:c>
      <x:c r="C687" t="n">
        <x:f>'Du lieu'!A591</x:f>
        <x:v>649</x:v>
      </x:c>
    </x:row>
    <x:row r="688">
      <x:c r="A688" s="19" t="n">
        <x:f>LOG10('Du lieu'!G1973)</x:f>
        <x:v>1.7160033436348</x:v>
      </x:c>
      <x:c r="B688" s="19" t="n">
        <x:f>LOG10('Du lieu'!Q1973)</x:f>
        <x:v>0.716003343634799</x:v>
      </x:c>
      <x:c r="C688" t="n">
        <x:f>'Du lieu'!A1973</x:f>
        <x:v>2890</x:v>
      </x:c>
    </x:row>
    <x:row r="689">
      <x:c r="A689" s="19" t="n">
        <x:f>LOG10('Du lieu'!G5814)</x:f>
        <x:v>1.50514997831991</x:v>
      </x:c>
      <x:c r="B689" s="19" t="n">
        <x:f>LOG10('Du lieu'!Q5814)</x:f>
        <x:v>0.290034611362518</x:v>
      </x:c>
      <x:c r="C689" t="n">
        <x:f>'Du lieu'!A5814</x:f>
        <x:v>7558</x:v>
      </x:c>
    </x:row>
    <x:row r="690">
      <x:c r="A690" s="19" t="n">
        <x:f>LOG10('Du lieu'!G2038)</x:f>
        <x:v>2.06818586174616</x:v>
      </x:c>
      <x:c r="B690" s="19" t="n">
        <x:f>LOG10('Du lieu'!Q2038)</x:f>
        <x:v>0.99563519459755</x:v>
      </x:c>
      <x:c r="C690" t="n">
        <x:f>'Du lieu'!A2038</x:f>
        <x:v>2962</x:v>
      </x:c>
    </x:row>
    <x:row r="691">
      <x:c r="A691" s="19" t="n">
        <x:f>LOG10('Du lieu'!G2840)</x:f>
        <x:v>1.90579588036787</x:v>
      </x:c>
      <x:c r="B691" s="19" t="n">
        <x:f>LOG10('Du lieu'!Q2840)</x:f>
        <x:v>0.0863598306747482</x:v>
      </x:c>
      <x:c r="C691" t="n">
        <x:f>'Du lieu'!A2840</x:f>
        <x:v>3920</x:v>
      </x:c>
    </x:row>
    <x:row r="692">
      <x:c r="A692" s="19" t="n">
        <x:f>LOG10('Du lieu'!G2390)</x:f>
        <x:v>1.87273882747267</x:v>
      </x:c>
      <x:c r="B692" s="19" t="n">
        <x:f>LOG10('Du lieu'!Q2390)</x:f>
        <x:v>-0.00174066157630127</x:v>
      </x:c>
      <x:c r="C692" t="n">
        <x:f>'Du lieu'!A2390</x:f>
        <x:v>3392</x:v>
      </x:c>
    </x:row>
    <x:row r="693">
      <x:c r="A693" s="19" t="n">
        <x:f>LOG10('Du lieu'!G2030)</x:f>
        <x:v>1.69897000433602</x:v>
      </x:c>
      <x:c r="B693" s="19" t="n">
        <x:f>LOG10('Du lieu'!Q2030)</x:f>
        <x:v>0.755874855672491</x:v>
      </x:c>
      <x:c r="C693" t="n">
        <x:f>'Du lieu'!A2030</x:f>
        <x:v>2954</x:v>
      </x:c>
    </x:row>
    <x:row r="694">
      <x:c r="A694" s="19" t="n">
        <x:f>LOG10('Du lieu'!G4716)</x:f>
        <x:v>1.68124123737559</x:v>
      </x:c>
      <x:c r="B694" s="19" t="n">
        <x:f>LOG10('Du lieu'!Q4716)</x:f>
        <x:v>0.7481880270062</x:v>
      </x:c>
      <x:c r="C694" t="n">
        <x:f>'Du lieu'!A4716</x:f>
        <x:v>6263</x:v>
      </x:c>
    </x:row>
    <x:row r="695">
      <x:c r="A695" s="19" t="n">
        <x:f>LOG10('Du lieu'!G5612)</x:f>
        <x:v>1.83250891270624</x:v>
      </x:c>
      <x:c r="B695" s="19" t="n">
        <x:f>LOG10('Du lieu'!Q5612)</x:f>
        <x:v>0.447158031342219</x:v>
      </x:c>
      <x:c r="C695" t="n">
        <x:f>'Du lieu'!A5612</x:f>
        <x:v>7329</x:v>
      </x:c>
    </x:row>
    <x:row r="696">
      <x:c r="A696" s="19" t="n">
        <x:f>LOG10('Du lieu'!G1983)</x:f>
        <x:v>1.72427586960079</x:v>
      </x:c>
      <x:c r="B696" s="19" t="n">
        <x:f>LOG10('Du lieu'!Q1983)</x:f>
        <x:v>0.544068044350276</x:v>
      </x:c>
      <x:c r="C696" t="n">
        <x:f>'Du lieu'!A1983</x:f>
        <x:v>2902</x:v>
      </x:c>
    </x:row>
    <x:row r="697">
      <x:c r="A697" s="19" t="n">
        <x:f>LOG10('Du lieu'!G1740)</x:f>
        <x:v>2</x:v>
      </x:c>
      <x:c r="B697" s="19" t="n">
        <x:f>LOG10('Du lieu'!Q1740)</x:f>
        <x:v>0.806179974051746</x:v>
      </x:c>
      <x:c r="C697" t="n">
        <x:f>'Du lieu'!A1740</x:f>
        <x:v>2621</x:v>
      </x:c>
    </x:row>
    <x:row r="698">
      <x:c r="A698" s="19" t="n">
        <x:f>LOG10('Du lieu'!G2061)</x:f>
        <x:v>1.90308998699194</x:v>
      </x:c>
      <x:c r="B698" s="19" t="n">
        <x:f>LOG10('Du lieu'!Q2061)</x:f>
        <x:v>-0.200659450546418</x:v>
      </x:c>
      <x:c r="C698" t="n">
        <x:f>'Du lieu'!A2061</x:f>
        <x:v>2991</x:v>
      </x:c>
    </x:row>
    <x:row r="699">
      <x:c r="A699" s="19" t="n">
        <x:f>LOG10('Du lieu'!G6899)</x:f>
        <x:v>1.77158748088126</x:v>
      </x:c>
      <x:c r="B699" s="19" t="n">
        <x:f>LOG10('Du lieu'!Q6899)</x:f>
        <x:v>0.544068044350276</x:v>
      </x:c>
      <x:c r="C699" t="n">
        <x:f>'Du lieu'!A6899</x:f>
        <x:v>8880</x:v>
      </x:c>
    </x:row>
    <x:row r="700">
      <x:c r="A700" s="19" t="n">
        <x:f>LOG10('Du lieu'!G6557)</x:f>
        <x:v>3.13289976994448</x:v>
      </x:c>
      <x:c r="B700" s="19" t="n">
        <x:f>LOG10('Du lieu'!Q6557)</x:f>
        <x:v>0.204119982655925</x:v>
      </x:c>
      <x:c r="C700" t="n">
        <x:f>'Du lieu'!A6557</x:f>
        <x:v>8453</x:v>
      </x:c>
    </x:row>
    <x:row r="701">
      <x:c r="A701" s="19" t="n">
        <x:f>LOG10('Du lieu'!G4815)</x:f>
        <x:v>1.87040390527903</x:v>
      </x:c>
      <x:c r="B701" s="19" t="n">
        <x:f>LOG10('Du lieu'!Q4815)</x:f>
        <x:v>0.0136796972911926</x:v>
      </x:c>
      <x:c r="C701" t="n">
        <x:f>'Du lieu'!A4815</x:f>
        <x:v>6374</x:v>
      </x:c>
    </x:row>
    <x:row r="702">
      <x:c r="A702" s="19" t="n">
        <x:f>LOG10('Du lieu'!G3067)</x:f>
        <x:v>2</x:v>
      </x:c>
      <x:c r="B702" s="19" t="n">
        <x:f>LOG10('Du lieu'!Q3067)</x:f>
        <x:v>0.294466226161593</x:v>
      </x:c>
      <x:c r="C702" t="n">
        <x:f>'Du lieu'!A3067</x:f>
        <x:v>4177</x:v>
      </x:c>
    </x:row>
    <x:row r="703">
      <x:c r="A703" s="19" t="n">
        <x:f>LOG10('Du lieu'!G2193)</x:f>
        <x:v>1.04139268515822</x:v>
      </x:c>
      <x:c r="B703" s="19" t="n">
        <x:f>LOG10('Du lieu'!Q2193)</x:f>
        <x:v>0.672097857935717</x:v>
      </x:c>
      <x:c r="C703" t="n">
        <x:f>'Du lieu'!A2193</x:f>
        <x:v>3141</x:v>
      </x:c>
    </x:row>
    <x:row r="704">
      <x:c r="A704" s="19" t="n">
        <x:f>LOG10('Du lieu'!G1750)</x:f>
        <x:v>1.54406804435028</x:v>
      </x:c>
      <x:c r="B704" s="19" t="n">
        <x:f>LOG10('Du lieu'!Q1750)</x:f>
        <x:v>0.361727836017593</x:v>
      </x:c>
      <x:c r="C704" t="n">
        <x:f>'Du lieu'!A1750</x:f>
        <x:v>2631</x:v>
      </x:c>
    </x:row>
    <x:row r="705">
      <x:c r="A705" s="19" t="n">
        <x:f>LOG10('Du lieu'!G6505)</x:f>
        <x:v>1.60205999132796</x:v>
      </x:c>
      <x:c r="B705" s="19" t="n">
        <x:f>LOG10('Du lieu'!Q6505)</x:f>
        <x:v>0.57978359661681</x:v>
      </x:c>
      <x:c r="C705" t="n">
        <x:f>'Du lieu'!A6505</x:f>
        <x:v>8395</x:v>
      </x:c>
    </x:row>
  </x:sheetData>
  <x:pageMargins left="0.7" right="0.7" top="0.75" bottom="0.75" header="0.3" footer="0.3"/>
  <x:drawing xmlns:r="http://schemas.openxmlformats.org/officeDocument/2006/relationships" r:id="R3cc7a35c4fbc4efe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11" hidden="0" customWidth="1"/>
    <x:col min="2" max="2" width="25" hidden="0" customWidth="1"/>
    <x:col min="3" max="3" width="19" hidden="0" customWidth="1"/>
    <x:col min="4" max="4" width="22" hidden="0" customWidth="1"/>
    <x:col min="5" max="5" width="20" hidden="0" customWidth="1"/>
    <x:col min="6" max="6" width="19" hidden="0" customWidth="1"/>
    <x:col min="7" max="7" width="18" hidden="0" customWidth="1"/>
    <x:col min="8" max="8" width="20" hidden="0" customWidth="1"/>
    <x:col min="9" max="9" width="22" hidden="0" customWidth="1"/>
    <x:col min="10" max="10" width="20" hidden="0" customWidth="1"/>
    <x:col min="11" max="11" width="19" hidden="0" customWidth="1"/>
    <x:col min="12" max="12" width="48" hidden="0" customWidth="1"/>
    <x:col min="13" max="13" width="17" hidden="0" customWidth="1"/>
    <x:col min="14" max="14" width="17" hidden="0" customWidth="1"/>
    <x:col min="15" max="15" width="32" hidden="0" customWidth="1"/>
    <x:col min="16" max="16" width="17" hidden="0" customWidth="1"/>
    <x:col min="17" max="17" width="21" hidden="0" customWidth="1"/>
    <x:col min="18" max="18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3" t="str">
        <x:v>Dữ liệu tin rao bất động sản đã xử lý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</x:row>
    <x:row r="4">
      <x:c r="A4" s="2" t="str">
        <x:v>Nguồn: Tran, Nguyen &amp; Ha (2021). Vietnam Real Estate Data, v2. Mendeley Data. CC BY 4.0.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 t="str">
        <x:v>https://doi.org/10.17632/5477zhnmn2.2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5" t="str">
        <x:v>Dữ liệu lịch sử được công bố 12/01/2021. Một dòng là một tin rao sau xử lý; không phải giá giao dịch hay thị trường hiện tại.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>
      <x:c r="A7" s="5" t="str">
        <x:v>Loại hình suy luận từ tiêu đề. Nhãn địa phương trích từ địa chỉ lịch sử. Không có ngày đăng hoặc tọa độ để phân tích thời gian/bản đồ.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</x:row>
    <x:row r="8">
      <x:c r="A8" s="5" t="str">
        <x:v>Q và R là công thức đổi đơn vị từ H và I. H/I trống nghĩa là không đủ điều kiện phân tích giá; không coi là giá bằng 0.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</x:row>
    <x:row r="9" ht="38" customHeight="1">
      <x:c r="A9" s="9" t="str">
        <x:v>Dòng nguồn</x:v>
      </x:c>
      <x:c r="B9" s="9" t="str">
        <x:v>Mã nội dung</x:v>
      </x:c>
      <x:c r="C9" s="9" t="str">
        <x:v>Tỉnh/Thành</x:v>
      </x:c>
      <x:c r="D9" s="9" t="str">
        <x:v>Quận/Huyện</x:v>
      </x:c>
      <x:c r="E9" s="9" t="str">
        <x:v>Loại suy luận</x:v>
      </x:c>
      <x:c r="F9" s="9" t="str">
        <x:v>Trạng thái</x:v>
      </x:c>
      <x:c r="G9" s="9" t="str">
        <x:v>Diện tích (m²)</x:v>
      </x:c>
      <x:c r="H9" s="9" t="str">
        <x:v>Giá rao (VND)</x:v>
      </x:c>
      <x:c r="I9" s="9" t="str">
        <x:v>Giá rao/m² (VND)</x:v>
      </x:c>
      <x:c r="J9" s="9" t="str">
        <x:v>Cơ sở giá</x:v>
      </x:c>
      <x:c r="K9" s="9" t="str">
        <x:v>Nguồn diện tích</x:v>
      </x:c>
      <x:c r="L9" s="9" t="str">
        <x:v>Cờ chất lượng</x:v>
      </x:c>
      <x:c r="M9" s="9" t="str">
        <x:v>Ngoại lệ toàn bộ</x:v>
      </x:c>
      <x:c r="N9" s="9" t="str">
        <x:v>Ngoại lệ nhóm</x:v>
      </x:c>
      <x:c r="O9" s="9" t="str">
        <x:v>Nhóm IQR</x:v>
      </x:c>
      <x:c r="P9" s="9" t="str">
        <x:v>Cụm K-means</x:v>
      </x:c>
      <x:c r="Q9" s="9" t="str">
        <x:v>Giá rao (tỷ VND)</x:v>
      </x:c>
      <x:c r="R9" s="9" t="str">
        <x:v>Giá rao/m² (triệu VND)</x:v>
      </x:c>
    </x:row>
    <x:row r="10" ht="21" customHeight="1">
      <x:c r="A10" s="10" t="n">
        <x:v>1</x:v>
      </x:c>
      <x:c r="B10" s="2" t="str">
        <x:v>eb5595e5ac8587ba0317</x:v>
      </x:c>
      <x:c r="C10" s="2" t="str">
        <x:v>Đà Nẵng</x:v>
      </x:c>
      <x:c r="D10" s="2" t="str">
        <x:v>Quận Cẩm Lệ</x:v>
      </x:c>
      <x:c r="E10" s="2" t="str">
        <x:v>land</x:v>
      </x:c>
      <x:c r="F10" s="2" t="str">
        <x:v>sale</x:v>
      </x:c>
      <x:c r="G10" s="11" t="n">
        <x:v>100</x:v>
      </x:c>
      <x:c r="H10" s="12" t="n">
        <x:v>2380000000</x:v>
      </x:c>
      <x:c r="I10" s="12" t="n">
        <x:v>23800000</x:v>
      </x:c>
      <x:c r="J10" s="2" t="str">
        <x:v>total</x:v>
      </x:c>
      <x:c r="K10" s="2" t="str">
        <x:v>top_level_area</x:v>
      </x:c>
      <x:c r="L10" s="2" t="str">
        <x:v>property_type_inferred_from_title</x:v>
      </x:c>
      <x:c r="M10" s="10" t="n">
        <x:v>0</x:v>
      </x:c>
      <x:c r="N10" s="10" t="n">
        <x:v>0</x:v>
      </x:c>
      <x:c r="O10" s="2" t="str">
        <x:v>Đà Nẵng|land</x:v>
      </x:c>
      <x:c r="P10" s="10" t="n">
        <x:v>2</x:v>
      </x:c>
      <x:c r="Q10" s="13" t="n">
        <x:f>IF(H10="","",H10/1000000000)</x:f>
        <x:v>2.38</x:v>
      </x:c>
      <x:c r="R10" s="13" t="n">
        <x:f>IF(I10="","",I10/1000000)</x:f>
        <x:v>23.8</x:v>
      </x:c>
    </x:row>
    <x:row r="11" ht="21" customHeight="1">
      <x:c r="A11" s="10" t="n">
        <x:v>2</x:v>
      </x:c>
      <x:c r="B11" s="2" t="str">
        <x:v>98cec4332ec437866894</x:v>
      </x:c>
      <x:c r="C11" s="2" t="str">
        <x:v>Tp Hồ Chí Minh</x:v>
      </x:c>
      <x:c r="D11" s="2" t="str">
        <x:v>Quận 5</x:v>
      </x:c>
      <x:c r="E11" s="2" t="str">
        <x:v>house</x:v>
      </x:c>
      <x:c r="F11" s="2" t="str">
        <x:v>sale_assumed</x:v>
      </x:c>
      <x:c r="G11" s="11" t="n">
        <x:v>79</x:v>
      </x:c>
      <x:c r="H11" s="12" t="n">
        <x:v>18000000000</x:v>
      </x:c>
      <x:c r="I11" s="12" t="n">
        <x:v>227848101.2658228</x:v>
      </x:c>
      <x:c r="J11" s="2" t="str">
        <x:v>total</x:v>
      </x:c>
      <x:c r="K11" s="2" t="str">
        <x:v>top_level_area</x:v>
      </x:c>
      <x:c r="L11" s="2" t="str">
        <x:v>property_type_inferred_from_title;transaction_assumed_sale_from_dataset_context</x:v>
      </x:c>
      <x:c r="M11" s="10" t="n">
        <x:v>1</x:v>
      </x:c>
      <x:c r="N11" s="10" t="n">
        <x:v>1</x:v>
      </x:c>
      <x:c r="O11" s="2" t="str">
        <x:v>Tp Hồ Chí Minh|house</x:v>
      </x:c>
      <x:c r="P11" s="10" t="n">
        <x:v>-1</x:v>
      </x:c>
      <x:c r="Q11" s="13" t="n">
        <x:f>IF(H11="","",H11/1000000000)</x:f>
        <x:v>18</x:v>
      </x:c>
      <x:c r="R11" s="13" t="n">
        <x:f>IF(I11="","",I11/1000000)</x:f>
        <x:v>227.8481012658228</x:v>
      </x:c>
    </x:row>
    <x:row r="12" ht="21" customHeight="1">
      <x:c r="A12" s="10" t="n">
        <x:v>3</x:v>
      </x:c>
      <x:c r="B12" s="2" t="str">
        <x:v>f26bf000925731986e36</x:v>
      </x:c>
      <x:c r="C12" s="2" t="str">
        <x:v>Bình Dương</x:v>
      </x:c>
      <x:c r="D12" s="2" t="str">
        <x:v>Huyện Bàu Bàng</x:v>
      </x:c>
      <x:c r="E12" s="2" t="str">
        <x:v>land</x:v>
      </x:c>
      <x:c r="F12" s="2" t="str">
        <x:v>sale_assumed</x:v>
      </x:c>
      <x:c r="G12" s="11" t="n">
        <x:v>500</x:v>
      </x:c>
      <x:c r="H12" s="12" t="n">
        <x:v>1000000000</x:v>
      </x:c>
      <x:c r="I12" s="12" t="n">
        <x:v>2000000</x:v>
      </x:c>
      <x:c r="J12" s="2" t="str">
        <x:v>total</x:v>
      </x:c>
      <x:c r="K12" s="2" t="str">
        <x:v>top_level_area</x:v>
      </x:c>
      <x:c r="L12" s="2" t="str">
        <x:v>property_type_inferred_from_title;transaction_assumed_sale_from_dataset_context</x:v>
      </x:c>
      <x:c r="M12" s="10" t="n">
        <x:v>0</x:v>
      </x:c>
      <x:c r="N12" s="10" t="n">
        <x:v>0</x:v>
      </x:c>
      <x:c r="O12" s="2" t="str">
        <x:v>Bình Dương|land</x:v>
      </x:c>
      <x:c r="P12" s="10" t="n">
        <x:v>1</x:v>
      </x:c>
      <x:c r="Q12" s="13" t="n">
        <x:f>IF(H12="","",H12/1000000000)</x:f>
        <x:v>1</x:v>
      </x:c>
      <x:c r="R12" s="13" t="n">
        <x:f>IF(I12="","",I12/1000000)</x:f>
        <x:v>2</x:v>
      </x:c>
    </x:row>
    <x:row r="13" ht="21" customHeight="1">
      <x:c r="A13" s="10" t="n">
        <x:v>4</x:v>
      </x:c>
      <x:c r="B13" s="2" t="str">
        <x:v>75211fc888b98ee31d78</x:v>
      </x:c>
      <x:c r="C13" s="2" t="str">
        <x:v>Tp Hồ Chí Minh</x:v>
      </x:c>
      <x:c r="D13" s="2" t="str">
        <x:v>Huyện Bình Chánh</x:v>
      </x:c>
      <x:c r="E13" s="2" t="str">
        <x:v>house</x:v>
      </x:c>
      <x:c r="F13" s="2" t="str">
        <x:v>sale_assumed</x:v>
      </x:c>
      <x:c r="G13" s="11" t="n">
        <x:v>60</x:v>
      </x:c>
      <x:c r="H13" s="12" t="n">
        <x:v>525000000</x:v>
      </x:c>
      <x:c r="I13" s="12" t="n">
        <x:v>8750000</x:v>
      </x:c>
      <x:c r="J13" s="2" t="str">
        <x:v>total</x:v>
      </x:c>
      <x:c r="K13" s="2" t="str">
        <x:v>top_level_area</x:v>
      </x:c>
      <x:c r="L13" s="2" t="str">
        <x:v>property_type_inferred_from_title;transaction_assumed_sale_from_dataset_context</x:v>
      </x:c>
      <x:c r="M13" s="10" t="n">
        <x:v>0</x:v>
      </x:c>
      <x:c r="N13" s="10" t="n">
        <x:v>0</x:v>
      </x:c>
      <x:c r="O13" s="2" t="str">
        <x:v>Tp Hồ Chí Minh|house</x:v>
      </x:c>
      <x:c r="P13" s="10" t="n">
        <x:v>2</x:v>
      </x:c>
      <x:c r="Q13" s="13" t="n">
        <x:f>IF(H13="","",H13/1000000000)</x:f>
        <x:v>0.525</x:v>
      </x:c>
      <x:c r="R13" s="13" t="n">
        <x:f>IF(I13="","",I13/1000000)</x:f>
        <x:v>8.75</x:v>
      </x:c>
    </x:row>
    <x:row r="14" ht="21" customHeight="1">
      <x:c r="A14" s="10" t="n">
        <x:v>5</x:v>
      </x:c>
      <x:c r="B14" s="2" t="str">
        <x:v>7a83ceda32386a90d77c</x:v>
      </x:c>
      <x:c r="C14" s="2" t="str">
        <x:v>Bà Rịa - Vũng Tàu</x:v>
      </x:c>
      <x:c r="D14" s="2" t="str">
        <x:v>Huyện Châu Đức</x:v>
      </x:c>
      <x:c r="E14" s="2" t="str">
        <x:v>land</x:v>
      </x:c>
      <x:c r="F14" s="2" t="str">
        <x:v>sale_assumed</x:v>
      </x:c>
      <x:c r="G14" s="11" t="n">
        <x:v>150</x:v>
      </x:c>
      <x:c r="H14" s="12" t="n">
        <x:v>440000000</x:v>
      </x:c>
      <x:c r="I14" s="12" t="n">
        <x:v>2933333.3333333335</x:v>
      </x:c>
      <x:c r="J14" s="2" t="str">
        <x:v>total</x:v>
      </x:c>
      <x:c r="K14" s="2" t="str">
        <x:v>top_level_area</x:v>
      </x:c>
      <x:c r="L14" s="2" t="str">
        <x:v>property_type_inferred_from_title;transaction_assumed_sale_from_dataset_context</x:v>
      </x:c>
      <x:c r="M14" s="10" t="n">
        <x:v>0</x:v>
      </x:c>
      <x:c r="N14" s="10" t="n">
        <x:v>0</x:v>
      </x:c>
      <x:c r="O14" s="2" t="str">
        <x:v>Bà Rịa - Vũng Tàu|land</x:v>
      </x:c>
      <x:c r="P14" s="10" t="n">
        <x:v>1</x:v>
      </x:c>
      <x:c r="Q14" s="13" t="n">
        <x:f>IF(H14="","",H14/1000000000)</x:f>
        <x:v>0.44</x:v>
      </x:c>
      <x:c r="R14" s="13" t="n">
        <x:f>IF(I14="","",I14/1000000)</x:f>
        <x:v>2.9333333333333336</x:v>
      </x:c>
    </x:row>
    <x:row r="15" ht="21" customHeight="1">
      <x:c r="A15" s="10" t="n">
        <x:v>6</x:v>
      </x:c>
      <x:c r="B15" s="2" t="str">
        <x:v>9ca09f39efef67682dd5</x:v>
      </x:c>
      <x:c r="C15" s="2" t="str">
        <x:v>Lâm Đồng</x:v>
      </x:c>
      <x:c r="D15" s="2" t="str">
        <x:v>Thành phố Bảo Lộc</x:v>
      </x:c>
      <x:c r="E15" s="2" t="str">
        <x:v>land</x:v>
      </x:c>
      <x:c r="F15" s="2" t="str">
        <x:v>sale_assumed</x:v>
      </x:c>
      <x:c r="G15" s="11" t="n">
        <x:v>600</x:v>
      </x:c>
      <x:c r="H15" s="12" t="n">
        <x:v>1560000000</x:v>
      </x:c>
      <x:c r="I15" s="12" t="n">
        <x:v>2600000</x:v>
      </x:c>
      <x:c r="J15" s="2" t="str">
        <x:v>total</x:v>
      </x:c>
      <x:c r="K15" s="2" t="str">
        <x:v>top_level_area</x:v>
      </x:c>
      <x:c r="L15" s="2" t="str">
        <x:v>property_type_inferred_from_title;transaction_assumed_sale_from_dataset_context</x:v>
      </x:c>
      <x:c r="M15" s="10" t="n">
        <x:v>0</x:v>
      </x:c>
      <x:c r="N15" s="10" t="n">
        <x:v>0</x:v>
      </x:c>
      <x:c r="O15" s="2" t="str">
        <x:v>Lâm Đồng|land</x:v>
      </x:c>
      <x:c r="P15" s="10" t="n">
        <x:v>1</x:v>
      </x:c>
      <x:c r="Q15" s="13" t="n">
        <x:f>IF(H15="","",H15/1000000000)</x:f>
        <x:v>1.56</x:v>
      </x:c>
      <x:c r="R15" s="13" t="n">
        <x:f>IF(I15="","",I15/1000000)</x:f>
        <x:v>2.6</x:v>
      </x:c>
    </x:row>
    <x:row r="16" ht="21" customHeight="1">
      <x:c r="A16" s="10" t="n">
        <x:v>7</x:v>
      </x:c>
      <x:c r="B16" s="2" t="str">
        <x:v>6b0fb8038c01b084c074</x:v>
      </x:c>
      <x:c r="C16" s="2" t="str">
        <x:v>Tp Hồ Chí Minh</x:v>
      </x:c>
      <x:c r="D16" s="2" t="str">
        <x:v>Quận Thủ Đức</x:v>
      </x:c>
      <x:c r="E16" s="2" t="str">
        <x:v>other_unknown</x:v>
      </x:c>
      <x:c r="F16" s="2" t="str">
        <x:v>sale</x:v>
      </x:c>
      <x:c r="G16" s="11" t="n">
        <x:v>67</x:v>
      </x:c>
      <x:c r="H16" s="12" t="n">
        <x:v>2500000000</x:v>
      </x:c>
      <x:c r="I16" s="12" t="n">
        <x:v>37313432.8358209</x:v>
      </x:c>
      <x:c r="J16" s="2" t="str">
        <x:v>total</x:v>
      </x:c>
      <x:c r="K16" s="2" t="str">
        <x:v>top_level_area</x:v>
      </x:c>
      <x:c r="L16" s="2" t="str">
        <x:v>property_type_inferred_from_title;unknown_property_type</x:v>
      </x:c>
      <x:c r="M16" s="10" t="n">
        <x:v>0</x:v>
      </x:c>
      <x:c r="N16" s="10" t="n">
        <x:v>0</x:v>
      </x:c>
      <x:c r="O16" s="2" t="str">
        <x:v>Tp Hồ Chí Minh|other_unknown</x:v>
      </x:c>
      <x:c r="P16" s="10" t="n">
        <x:v>2</x:v>
      </x:c>
      <x:c r="Q16" s="13" t="n">
        <x:f>IF(H16="","",H16/1000000000)</x:f>
        <x:v>2.5</x:v>
      </x:c>
      <x:c r="R16" s="13" t="n">
        <x:f>IF(I16="","",I16/1000000)</x:f>
        <x:v>37.3134328358209</x:v>
      </x:c>
    </x:row>
    <x:row r="17" ht="21" customHeight="1">
      <x:c r="A17" s="10" t="n">
        <x:v>8</x:v>
      </x:c>
      <x:c r="B17" s="2" t="str">
        <x:v>1773d3616e08451f40aa</x:v>
      </x:c>
      <x:c r="C17" s="2" t="str">
        <x:v>Lâm Đồng</x:v>
      </x:c>
      <x:c r="D17" s="2" t="str">
        <x:v>Huyện Bảo Lâm</x:v>
      </x:c>
      <x:c r="E17" s="2" t="str">
        <x:v>land</x:v>
      </x:c>
      <x:c r="F17" s="2" t="str">
        <x:v>sale</x:v>
      </x:c>
      <x:c r="G17" s="11" t="n">
        <x:v>250</x:v>
      </x:c>
      <x:c r="H17" s="12" t="n">
        <x:v>890000000</x:v>
      </x:c>
      <x:c r="I17" s="12" t="n">
        <x:v>3560000</x:v>
      </x:c>
      <x:c r="J17" s="2" t="str">
        <x:v>total</x:v>
      </x:c>
      <x:c r="K17" s="2" t="str">
        <x:v>top_level_area</x:v>
      </x:c>
      <x:c r="L17" s="2" t="str">
        <x:v>property_type_inferred_from_title</x:v>
      </x:c>
      <x:c r="M17" s="10" t="n">
        <x:v>0</x:v>
      </x:c>
      <x:c r="N17" s="10" t="n">
        <x:v>0</x:v>
      </x:c>
      <x:c r="O17" s="2" t="str">
        <x:v>Lâm Đồng|land</x:v>
      </x:c>
      <x:c r="P17" s="10" t="n">
        <x:v>1</x:v>
      </x:c>
      <x:c r="Q17" s="13" t="n">
        <x:f>IF(H17="","",H17/1000000000)</x:f>
        <x:v>0.89</x:v>
      </x:c>
      <x:c r="R17" s="13" t="n">
        <x:f>IF(I17="","",I17/1000000)</x:f>
        <x:v>3.56</x:v>
      </x:c>
    </x:row>
    <x:row r="18" ht="21" customHeight="1">
      <x:c r="A18" s="10" t="n">
        <x:v>9</x:v>
      </x:c>
      <x:c r="B18" s="2" t="str">
        <x:v>a9ac8bfb899b4dc13728</x:v>
      </x:c>
      <x:c r="C18" s="2" t="str">
        <x:v>Hải Phòng</x:v>
      </x:c>
      <x:c r="D18" s="2" t="str">
        <x:v>Huyện Thuỷ Nguyên</x:v>
      </x:c>
      <x:c r="E18" s="2" t="str">
        <x:v>land</x:v>
      </x:c>
      <x:c r="F18" s="2" t="str">
        <x:v>sale</x:v>
      </x:c>
      <x:c r="G18" s="11" t="n">
        <x:v>261</x:v>
      </x:c>
      <x:c r="H18" s="12" t="n">
        <x:v>560000000</x:v>
      </x:c>
      <x:c r="I18" s="12" t="n">
        <x:v>2145593.8697318006</x:v>
      </x:c>
      <x:c r="J18" s="2" t="str">
        <x:v>total</x:v>
      </x:c>
      <x:c r="K18" s="2" t="str">
        <x:v>top_level_area</x:v>
      </x:c>
      <x:c r="L18" s="2" t="str">
        <x:v>property_type_inferred_from_title</x:v>
      </x:c>
      <x:c r="M18" s="10" t="n">
        <x:v>0</x:v>
      </x:c>
      <x:c r="N18" s="10" t="n">
        <x:v>0</x:v>
      </x:c>
      <x:c r="O18" s="2" t="str">
        <x:v>land</x:v>
      </x:c>
      <x:c r="P18" s="10" t="n">
        <x:v>1</x:v>
      </x:c>
      <x:c r="Q18" s="13" t="n">
        <x:f>IF(H18="","",H18/1000000000)</x:f>
        <x:v>0.56</x:v>
      </x:c>
      <x:c r="R18" s="13" t="n">
        <x:f>IF(I18="","",I18/1000000)</x:f>
        <x:v>2.1455938697318007</x:v>
      </x:c>
    </x:row>
    <x:row r="19" ht="21" customHeight="1">
      <x:c r="A19" s="10" t="n">
        <x:v>10</x:v>
      </x:c>
      <x:c r="B19" s="2" t="str">
        <x:v>5939255b48a56c5d68e4</x:v>
      </x:c>
      <x:c r="C19" s="2" t="str">
        <x:v>Tp Hồ Chí Minh</x:v>
      </x:c>
      <x:c r="D19" s="2" t="str">
        <x:v>Quận 5</x:v>
      </x:c>
      <x:c r="E19" s="2" t="str">
        <x:v>house</x:v>
      </x:c>
      <x:c r="F19" s="2" t="str">
        <x:v>sale_assumed</x:v>
      </x:c>
      <x:c r="G19" s="11" t="n">
        <x:v>80</x:v>
      </x:c>
      <x:c r="H19" s="12" t="n">
        <x:v>25000000000</x:v>
      </x:c>
      <x:c r="I19" s="12" t="n">
        <x:v>312500000</x:v>
      </x:c>
      <x:c r="J19" s="2" t="str">
        <x:v>total</x:v>
      </x:c>
      <x:c r="K19" s="2" t="str">
        <x:v>top_level_area</x:v>
      </x:c>
      <x:c r="L19" s="2" t="str">
        <x:v>property_type_inferred_from_title;transaction_assumed_sale_from_dataset_context</x:v>
      </x:c>
      <x:c r="M19" s="10" t="n">
        <x:v>1</x:v>
      </x:c>
      <x:c r="N19" s="10" t="n">
        <x:v>1</x:v>
      </x:c>
      <x:c r="O19" s="2" t="str">
        <x:v>Tp Hồ Chí Minh|house</x:v>
      </x:c>
      <x:c r="P19" s="10" t="n">
        <x:v>-1</x:v>
      </x:c>
      <x:c r="Q19" s="13" t="n">
        <x:f>IF(H19="","",H19/1000000000)</x:f>
        <x:v>25</x:v>
      </x:c>
      <x:c r="R19" s="13" t="n">
        <x:f>IF(I19="","",I19/1000000)</x:f>
        <x:v>312.5</x:v>
      </x:c>
    </x:row>
    <x:row r="20" ht="21" customHeight="1">
      <x:c r="A20" s="10" t="n">
        <x:v>11</x:v>
      </x:c>
      <x:c r="B20" s="2" t="str">
        <x:v>45a516f981266a3c5cfb</x:v>
      </x:c>
      <x:c r="C20" s="2" t="str">
        <x:v>Tp Hồ Chí Minh</x:v>
      </x:c>
      <x:c r="D20" s="2" t="str">
        <x:v>Quận Thủ Đức</x:v>
      </x:c>
      <x:c r="E20" s="2" t="str">
        <x:v>house</x:v>
      </x:c>
      <x:c r="F20" s="2" t="str">
        <x:v>sale</x:v>
      </x:c>
      <x:c r="G20" s="11" t="n">
        <x:v>54</x:v>
      </x:c>
      <x:c r="H20" s="12" t="n">
        <x:v>4980000000</x:v>
      </x:c>
      <x:c r="I20" s="12" t="n">
        <x:v>92222222.22222222</x:v>
      </x:c>
      <x:c r="J20" s="2" t="str">
        <x:v>total</x:v>
      </x:c>
      <x:c r="K20" s="2" t="str">
        <x:v>top_level_area</x:v>
      </x:c>
      <x:c r="L20" s="2" t="str">
        <x:v>property_type_inferred_from_title</x:v>
      </x:c>
      <x:c r="M20" s="10" t="n">
        <x:v>0</x:v>
      </x:c>
      <x:c r="N20" s="10" t="n">
        <x:v>0</x:v>
      </x:c>
      <x:c r="O20" s="2" t="str">
        <x:v>Tp Hồ Chí Minh|house</x:v>
      </x:c>
      <x:c r="P20" s="10" t="n">
        <x:v>2</x:v>
      </x:c>
      <x:c r="Q20" s="13" t="n">
        <x:f>IF(H20="","",H20/1000000000)</x:f>
        <x:v>4.98</x:v>
      </x:c>
      <x:c r="R20" s="13" t="n">
        <x:f>IF(I20="","",I20/1000000)</x:f>
        <x:v>92.22222222222223</x:v>
      </x:c>
    </x:row>
    <x:row r="21" ht="21" customHeight="1">
      <x:c r="A21" s="10" t="n">
        <x:v>12</x:v>
      </x:c>
      <x:c r="B21" s="2" t="str">
        <x:v>035490454bb237bfaa40</x:v>
      </x:c>
      <x:c r="C21" s="2" t="str">
        <x:v>Lâm Đồng</x:v>
      </x:c>
      <x:c r="D21" s="2" t="str">
        <x:v>Thành phố Bảo Lộc</x:v>
      </x:c>
      <x:c r="E21" s="2" t="str">
        <x:v>land</x:v>
      </x:c>
      <x:c r="F21" s="2" t="str">
        <x:v>sale</x:v>
      </x:c>
      <x:c r="G21" s="11" t="n">
        <x:v>3300</x:v>
      </x:c>
      <x:c r="H21" s="12" t="n">
        <x:v>1400000000</x:v>
      </x:c>
      <x:c r="I21" s="12" t="n">
        <x:v>424242.42424242425</x:v>
      </x:c>
      <x:c r="J21" s="2" t="str">
        <x:v>total</x:v>
      </x:c>
      <x:c r="K21" s="2" t="str">
        <x:v>top_level_area</x:v>
      </x:c>
      <x:c r="L21" s="2" t="str">
        <x:v>dot_thousands_convention;property_type_inferred_from_title</x:v>
      </x:c>
      <x:c r="M21" s="10" t="n">
        <x:v>0</x:v>
      </x:c>
      <x:c r="N21" s="10" t="n">
        <x:v>0</x:v>
      </x:c>
      <x:c r="O21" s="2" t="str">
        <x:v>Lâm Đồng|land</x:v>
      </x:c>
      <x:c r="P21" s="10" t="n">
        <x:v>1</x:v>
      </x:c>
      <x:c r="Q21" s="13" t="n">
        <x:f>IF(H21="","",H21/1000000000)</x:f>
        <x:v>1.4</x:v>
      </x:c>
      <x:c r="R21" s="13" t="n">
        <x:f>IF(I21="","",I21/1000000)</x:f>
        <x:v>0.42424242424242425</x:v>
      </x:c>
    </x:row>
    <x:row r="22" ht="21" customHeight="1">
      <x:c r="A22" s="10" t="n">
        <x:v>13</x:v>
      </x:c>
      <x:c r="B22" s="2" t="str">
        <x:v>28d68e84bc23cc807b2c</x:v>
      </x:c>
      <x:c r="C22" s="2" t="str">
        <x:v>Tp Hồ Chí Minh</x:v>
      </x:c>
      <x:c r="D22" s="2" t="str">
        <x:v>Quận Bình Thạnh</x:v>
      </x:c>
      <x:c r="E22" s="2" t="str">
        <x:v>house</x:v>
      </x:c>
      <x:c r="F22" s="2" t="str">
        <x:v>sale</x:v>
      </x:c>
      <x:c r="G22" s="11" t="n">
        <x:v>36.3</x:v>
      </x:c>
      <x:c r="H22" s="12" t="n">
        <x:v>5500000000</x:v>
      </x:c>
      <x:c r="I22" s="12" t="n">
        <x:v>151515151.51515153</x:v>
      </x:c>
      <x:c r="J22" s="2" t="str">
        <x:v>total</x:v>
      </x:c>
      <x:c r="K22" s="2" t="str">
        <x:v>top_level_area</x:v>
      </x:c>
      <x:c r="L22" s="2" t="str">
        <x:v>property_type_inferred_from_title</x:v>
      </x:c>
      <x:c r="M22" s="10" t="n">
        <x:v>0</x:v>
      </x:c>
      <x:c r="N22" s="10" t="n">
        <x:v>0</x:v>
      </x:c>
      <x:c r="O22" s="2" t="str">
        <x:v>Tp Hồ Chí Minh|house</x:v>
      </x:c>
      <x:c r="P22" s="10" t="n">
        <x:v>2</x:v>
      </x:c>
      <x:c r="Q22" s="13" t="n">
        <x:f>IF(H22="","",H22/1000000000)</x:f>
        <x:v>5.5</x:v>
      </x:c>
      <x:c r="R22" s="13" t="n">
        <x:f>IF(I22="","",I22/1000000)</x:f>
        <x:v>151.51515151515153</x:v>
      </x:c>
    </x:row>
    <x:row r="23" ht="21" customHeight="1">
      <x:c r="A23" s="10" t="n">
        <x:v>14</x:v>
      </x:c>
      <x:c r="B23" s="2" t="str">
        <x:v>6f892905b0eaa378600b</x:v>
      </x:c>
      <x:c r="C23" s="2" t="str">
        <x:v>Cà Mau</x:v>
      </x:c>
      <x:c r="D23" s="2" t="str">
        <x:v>Thành phố Cà Mau</x:v>
      </x:c>
      <x:c r="E23" s="2" t="str">
        <x:v>land</x:v>
      </x:c>
      <x:c r="F23" s="2" t="str">
        <x:v>sale</x:v>
      </x:c>
      <x:c r="G23" s="11" t="n">
        <x:v>115</x:v>
      </x:c>
      <x:c r="H23" s="12" t="n">
        <x:v>1570000000</x:v>
      </x:c>
      <x:c r="I23" s="12" t="n">
        <x:v>13652173.913043479</x:v>
      </x:c>
      <x:c r="J23" s="2" t="str">
        <x:v>total</x:v>
      </x:c>
      <x:c r="K23" s="2" t="str">
        <x:v>top_level_area</x:v>
      </x:c>
      <x:c r="L23" s="2" t="str">
        <x:v>property_type_inferred_from_title</x:v>
      </x:c>
      <x:c r="M23" s="10" t="n">
        <x:v>0</x:v>
      </x:c>
      <x:c r="N23" s="10" t="n">
        <x:v>0</x:v>
      </x:c>
      <x:c r="O23" s="2" t="str">
        <x:v>land</x:v>
      </x:c>
      <x:c r="P23" s="10" t="n">
        <x:v>2</x:v>
      </x:c>
      <x:c r="Q23" s="13" t="n">
        <x:f>IF(H23="","",H23/1000000000)</x:f>
        <x:v>1.57</x:v>
      </x:c>
      <x:c r="R23" s="13" t="n">
        <x:f>IF(I23="","",I23/1000000)</x:f>
        <x:v>13.652173913043478</x:v>
      </x:c>
    </x:row>
    <x:row r="24" ht="21" customHeight="1">
      <x:c r="A24" s="10" t="n">
        <x:v>15</x:v>
      </x:c>
      <x:c r="B24" s="2" t="str">
        <x:v>04a0625ccc21c164bd54</x:v>
      </x:c>
      <x:c r="C24" s="2" t="str">
        <x:v>Bình Dương</x:v>
      </x:c>
      <x:c r="D24" s="2" t="str">
        <x:v>Huyện Bàu Bàng</x:v>
      </x:c>
      <x:c r="E24" s="2" t="str">
        <x:v>land</x:v>
      </x:c>
      <x:c r="F24" s="2" t="str">
        <x:v>sale_assumed</x:v>
      </x:c>
      <x:c r="G24" s="11" t="n">
        <x:v>250</x:v>
      </x:c>
      <x:c r="H24" s="12" t="n">
        <x:v>580000000</x:v>
      </x:c>
      <x:c r="I24" s="12" t="n">
        <x:v>2320000</x:v>
      </x:c>
      <x:c r="J24" s="2" t="str">
        <x:v>total</x:v>
      </x:c>
      <x:c r="K24" s="2" t="str">
        <x:v>top_level_area</x:v>
      </x:c>
      <x:c r="L24" s="2" t="str">
        <x:v>property_type_inferred_from_title;transaction_assumed_sale_from_dataset_context</x:v>
      </x:c>
      <x:c r="M24" s="10" t="n">
        <x:v>0</x:v>
      </x:c>
      <x:c r="N24" s="10" t="n">
        <x:v>0</x:v>
      </x:c>
      <x:c r="O24" s="2" t="str">
        <x:v>Bình Dương|land</x:v>
      </x:c>
      <x:c r="P24" s="10" t="n">
        <x:v>1</x:v>
      </x:c>
      <x:c r="Q24" s="13" t="n">
        <x:f>IF(H24="","",H24/1000000000)</x:f>
        <x:v>0.58</x:v>
      </x:c>
      <x:c r="R24" s="13" t="n">
        <x:f>IF(I24="","",I24/1000000)</x:f>
        <x:v>2.32</x:v>
      </x:c>
    </x:row>
    <x:row r="25" ht="21" customHeight="1">
      <x:c r="A25" s="10" t="n">
        <x:v>16</x:v>
      </x:c>
      <x:c r="B25" s="2" t="str">
        <x:v>f73f8dd7e7dc27522a78</x:v>
      </x:c>
      <x:c r="C25" s="2" t="str">
        <x:v>Đồng Nai</x:v>
      </x:c>
      <x:c r="D25" s="2" t="str">
        <x:v>Huyện Cẩm Mỹ</x:v>
      </x:c>
      <x:c r="E25" s="2" t="str">
        <x:v>other_unknown</x:v>
      </x:c>
      <x:c r="F25" s="2" t="str">
        <x:v>sale</x:v>
      </x:c>
      <x:c r="G25" s="11" t="n">
        <x:v>3031</x:v>
      </x:c>
      <x:c r="H25" s="12" t="n">
        <x:v>1000000000</x:v>
      </x:c>
      <x:c r="I25" s="12" t="n">
        <x:v>329924.11745298584</x:v>
      </x:c>
      <x:c r="J25" s="2" t="str">
        <x:v>total</x:v>
      </x:c>
      <x:c r="K25" s="2" t="str">
        <x:v>top_level_area</x:v>
      </x:c>
      <x:c r="L25" s="2" t="str">
        <x:v>dot_thousands_convention;property_type_inferred_from_title;unknown_property_type</x:v>
      </x:c>
      <x:c r="M25" s="10" t="n">
        <x:v>0</x:v>
      </x:c>
      <x:c r="N25" s="10" t="n">
        <x:v>0</x:v>
      </x:c>
      <x:c r="O25" s="2" t="str">
        <x:v>Đồng Nai|other_unknown</x:v>
      </x:c>
      <x:c r="P25" s="10" t="n">
        <x:v>1</x:v>
      </x:c>
      <x:c r="Q25" s="13" t="n">
        <x:f>IF(H25="","",H25/1000000000)</x:f>
        <x:v>1</x:v>
      </x:c>
      <x:c r="R25" s="13" t="n">
        <x:f>IF(I25="","",I25/1000000)</x:f>
        <x:v>0.32992411745298583</x:v>
      </x:c>
    </x:row>
    <x:row r="26" ht="21" customHeight="1">
      <x:c r="A26" s="10" t="n">
        <x:v>17</x:v>
      </x:c>
      <x:c r="B26" s="2" t="str">
        <x:v>2c04557fee6325214392</x:v>
      </x:c>
      <x:c r="C26" s="2" t="str">
        <x:v>Sóc Trăng</x:v>
      </x:c>
      <x:c r="D26" s="2" t="str">
        <x:v>Huyện Trần Đề</x:v>
      </x:c>
      <x:c r="E26" s="2" t="str">
        <x:v>land</x:v>
      </x:c>
      <x:c r="F26" s="2" t="str">
        <x:v>sale</x:v>
      </x:c>
      <x:c r="G26" s="11" t="n">
        <x:v>440</x:v>
      </x:c>
      <x:c r="H26" s="12" t="n">
        <x:v>580000000</x:v>
      </x:c>
      <x:c r="I26" s="12" t="n">
        <x:v>1318181.8181818181</x:v>
      </x:c>
      <x:c r="J26" s="2" t="str">
        <x:v>total</x:v>
      </x:c>
      <x:c r="K26" s="2" t="str">
        <x:v>top_level_area</x:v>
      </x:c>
      <x:c r="L26" s="2" t="str">
        <x:v>property_type_inferred_from_title</x:v>
      </x:c>
      <x:c r="M26" s="10" t="n">
        <x:v>0</x:v>
      </x:c>
      <x:c r="N26" s="10" t="n">
        <x:v>0</x:v>
      </x:c>
      <x:c r="O26" s="2" t="str">
        <x:v>land</x:v>
      </x:c>
      <x:c r="P26" s="10" t="n">
        <x:v>1</x:v>
      </x:c>
      <x:c r="Q26" s="13" t="n">
        <x:f>IF(H26="","",H26/1000000000)</x:f>
        <x:v>0.58</x:v>
      </x:c>
      <x:c r="R26" s="13" t="n">
        <x:f>IF(I26="","",I26/1000000)</x:f>
        <x:v>1.3181818181818181</x:v>
      </x:c>
    </x:row>
    <x:row r="27" ht="21" customHeight="1">
      <x:c r="A27" s="10" t="n">
        <x:v>18</x:v>
      </x:c>
      <x:c r="B27" s="2" t="str">
        <x:v>b32377247aadc7d3053a</x:v>
      </x:c>
      <x:c r="C27" s="2" t="str">
        <x:v>Tp Hồ Chí Minh</x:v>
      </x:c>
      <x:c r="D27" s="2" t="str">
        <x:v>Quận 12</x:v>
      </x:c>
      <x:c r="E27" s="2" t="str">
        <x:v>house</x:v>
      </x:c>
      <x:c r="F27" s="2" t="str">
        <x:v>sale_assumed</x:v>
      </x:c>
      <x:c r="G27" s="11" t="n">
        <x:v>45</x:v>
      </x:c>
      <x:c r="H27" s="12" t="n">
        <x:v>720000000</x:v>
      </x:c>
      <x:c r="I27" s="12" t="n">
        <x:v>16000000</x:v>
      </x:c>
      <x:c r="J27" s="2" t="str">
        <x:v>total</x:v>
      </x:c>
      <x:c r="K27" s="2" t="str">
        <x:v>top_level_area</x:v>
      </x:c>
      <x:c r="L27" s="2" t="str">
        <x:v>property_type_inferred_from_title;transaction_assumed_sale_from_dataset_context</x:v>
      </x:c>
      <x:c r="M27" s="10" t="n">
        <x:v>0</x:v>
      </x:c>
      <x:c r="N27" s="10" t="n">
        <x:v>0</x:v>
      </x:c>
      <x:c r="O27" s="2" t="str">
        <x:v>Tp Hồ Chí Minh|house</x:v>
      </x:c>
      <x:c r="P27" s="10" t="n">
        <x:v>2</x:v>
      </x:c>
      <x:c r="Q27" s="13" t="n">
        <x:f>IF(H27="","",H27/1000000000)</x:f>
        <x:v>0.72</x:v>
      </x:c>
      <x:c r="R27" s="13" t="n">
        <x:f>IF(I27="","",I27/1000000)</x:f>
        <x:v>16</x:v>
      </x:c>
    </x:row>
    <x:row r="28" ht="21" customHeight="1">
      <x:c r="A28" s="10" t="n">
        <x:v>19</x:v>
      </x:c>
      <x:c r="B28" s="2" t="str">
        <x:v>d25aa4c642aa5b0e34a1</x:v>
      </x:c>
      <x:c r="C28" s="2" t="str">
        <x:v>Bến Tre</x:v>
      </x:c>
      <x:c r="D28" s="2" t="str">
        <x:v>Thành phố Bến Tre</x:v>
      </x:c>
      <x:c r="E28" s="2" t="str">
        <x:v>land</x:v>
      </x:c>
      <x:c r="F28" s="2" t="str">
        <x:v>sale</x:v>
      </x:c>
      <x:c r="G28" s="11" t="n">
        <x:v>198</x:v>
      </x:c>
      <x:c r="H28" s="12" t="n">
        <x:v>1300000000</x:v>
      </x:c>
      <x:c r="I28" s="12" t="n">
        <x:v>6565656.565656566</x:v>
      </x:c>
      <x:c r="J28" s="2" t="str">
        <x:v>total</x:v>
      </x:c>
      <x:c r="K28" s="2" t="str">
        <x:v>top_level_area</x:v>
      </x:c>
      <x:c r="L28" s="2" t="str">
        <x:v>property_type_inferred_from_title</x:v>
      </x:c>
      <x:c r="M28" s="10" t="n">
        <x:v>0</x:v>
      </x:c>
      <x:c r="N28" s="10" t="n">
        <x:v>0</x:v>
      </x:c>
      <x:c r="O28" s="2" t="str">
        <x:v>Bến Tre|land</x:v>
      </x:c>
      <x:c r="P28" s="10" t="n">
        <x:v>1</x:v>
      </x:c>
      <x:c r="Q28" s="13" t="n">
        <x:f>IF(H28="","",H28/1000000000)</x:f>
        <x:v>1.3</x:v>
      </x:c>
      <x:c r="R28" s="13" t="n">
        <x:f>IF(I28="","",I28/1000000)</x:f>
        <x:v>6.565656565656566</x:v>
      </x:c>
    </x:row>
    <x:row r="29" ht="21" customHeight="1">
      <x:c r="A29" s="10" t="n">
        <x:v>20</x:v>
      </x:c>
      <x:c r="B29" s="2" t="str">
        <x:v>d535d317846d26befbfa</x:v>
      </x:c>
      <x:c r="C29" s="2" t="str">
        <x:v>Cần Thơ</x:v>
      </x:c>
      <x:c r="D29" s="2" t="str">
        <x:v>Quận Ninh Kiều</x:v>
      </x:c>
      <x:c r="E29" s="2" t="str">
        <x:v>house</x:v>
      </x:c>
      <x:c r="F29" s="2" t="str">
        <x:v>sale</x:v>
      </x:c>
      <x:c r="G29" s="11" t="n">
        <x:v>70</x:v>
      </x:c>
      <x:c r="H29" s="12" t="n">
        <x:v>4600000000</x:v>
      </x:c>
      <x:c r="I29" s="12" t="n">
        <x:v>65714285.71428572</x:v>
      </x:c>
      <x:c r="J29" s="2" t="str">
        <x:v>total</x:v>
      </x:c>
      <x:c r="K29" s="2" t="str">
        <x:v>top_level_area</x:v>
      </x:c>
      <x:c r="L29" s="2" t="str">
        <x:v>property_type_inferred_from_title</x:v>
      </x:c>
      <x:c r="M29" s="10" t="n">
        <x:v>0</x:v>
      </x:c>
      <x:c r="N29" s="10" t="n">
        <x:v>0</x:v>
      </x:c>
      <x:c r="O29" s="2" t="str">
        <x:v>Cần Thơ|house</x:v>
      </x:c>
      <x:c r="P29" s="10" t="n">
        <x:v>2</x:v>
      </x:c>
      <x:c r="Q29" s="13" t="n">
        <x:f>IF(H29="","",H29/1000000000)</x:f>
        <x:v>4.6</x:v>
      </x:c>
      <x:c r="R29" s="13" t="n">
        <x:f>IF(I29="","",I29/1000000)</x:f>
        <x:v>65.71428571428572</x:v>
      </x:c>
    </x:row>
    <x:row r="30" ht="21" customHeight="1">
      <x:c r="A30" s="10" t="n">
        <x:v>21</x:v>
      </x:c>
      <x:c r="B30" s="2" t="str">
        <x:v>3763e9481fd06c8dda59</x:v>
      </x:c>
      <x:c r="C30" s="2" t="str">
        <x:v>Đắk Lắk</x:v>
      </x:c>
      <x:c r="D30" s="2" t="str">
        <x:v>Thành phố Buôn Ma Thuột</x:v>
      </x:c>
      <x:c r="E30" s="2" t="str">
        <x:v>house</x:v>
      </x:c>
      <x:c r="F30" s="2" t="str">
        <x:v>sale_assumed</x:v>
      </x:c>
      <x:c r="G30" s="11" t="n">
        <x:v>215</x:v>
      </x:c>
      <x:c r="H30" s="12" t="n">
        <x:v>5700000000</x:v>
      </x:c>
      <x:c r="I30" s="12" t="n">
        <x:v>26511627.906976745</x:v>
      </x:c>
      <x:c r="J30" s="2" t="str">
        <x:v>total</x:v>
      </x:c>
      <x:c r="K30" s="2" t="str">
        <x:v>top_level_area</x:v>
      </x:c>
      <x:c r="L30" s="2" t="str">
        <x:v>property_type_inferred_from_title;transaction_assumed_sale_from_dataset_context</x:v>
      </x:c>
      <x:c r="M30" s="10" t="n">
        <x:v>0</x:v>
      </x:c>
      <x:c r="N30" s="10" t="n">
        <x:v>0</x:v>
      </x:c>
      <x:c r="O30" s="2" t="str">
        <x:v>Đắk Lắk|house</x:v>
      </x:c>
      <x:c r="P30" s="10" t="n">
        <x:v>2</x:v>
      </x:c>
      <x:c r="Q30" s="13" t="n">
        <x:f>IF(H30="","",H30/1000000000)</x:f>
        <x:v>5.7</x:v>
      </x:c>
      <x:c r="R30" s="13" t="n">
        <x:f>IF(I30="","",I30/1000000)</x:f>
        <x:v>26.511627906976745</x:v>
      </x:c>
    </x:row>
    <x:row r="31" ht="21" customHeight="1">
      <x:c r="A31" s="10" t="n">
        <x:v>22</x:v>
      </x:c>
      <x:c r="B31" s="2" t="str">
        <x:v>bf0cc568140c048981f3</x:v>
      </x:c>
      <x:c r="C31" s="2" t="str">
        <x:v>Hà Nội</x:v>
      </x:c>
      <x:c r="D31" s="2" t="str">
        <x:v>Huyện Thanh Trì</x:v>
      </x:c>
      <x:c r="E31" s="2" t="str">
        <x:v>house</x:v>
      </x:c>
      <x:c r="F31" s="2" t="str">
        <x:v>sale_assumed</x:v>
      </x:c>
      <x:c r="G31" s="11" t="n">
        <x:v>40</x:v>
      </x:c>
      <x:c r="H31" s="12" t="n">
        <x:v>2300000000</x:v>
      </x:c>
      <x:c r="I31" s="12" t="n">
        <x:v>57500000</x:v>
      </x:c>
      <x:c r="J31" s="2" t="str">
        <x:v>total</x:v>
      </x:c>
      <x:c r="K31" s="2" t="str">
        <x:v>top_level_area</x:v>
      </x:c>
      <x:c r="L31" s="2" t="str">
        <x:v>property_type_inferred_from_title;transaction_assumed_sale_from_dataset_context</x:v>
      </x:c>
      <x:c r="M31" s="10" t="n">
        <x:v>0</x:v>
      </x:c>
      <x:c r="N31" s="10" t="n">
        <x:v>0</x:v>
      </x:c>
      <x:c r="O31" s="2" t="str">
        <x:v>Hà Nội|house</x:v>
      </x:c>
      <x:c r="P31" s="10" t="n">
        <x:v>2</x:v>
      </x:c>
      <x:c r="Q31" s="13" t="n">
        <x:f>IF(H31="","",H31/1000000000)</x:f>
        <x:v>2.3</x:v>
      </x:c>
      <x:c r="R31" s="13" t="n">
        <x:f>IF(I31="","",I31/1000000)</x:f>
        <x:v>57.5</x:v>
      </x:c>
    </x:row>
    <x:row r="32" ht="21" customHeight="1">
      <x:c r="A32" s="10" t="n">
        <x:v>23</x:v>
      </x:c>
      <x:c r="B32" s="2" t="str">
        <x:v>3e7fffc6d70c5b6b1328</x:v>
      </x:c>
      <x:c r="C32" s="2" t="str">
        <x:v>Tp Hồ Chí Minh</x:v>
      </x:c>
      <x:c r="D32" s="2" t="str">
        <x:v>Quận Tân Bình</x:v>
      </x:c>
      <x:c r="E32" s="2" t="str">
        <x:v>house</x:v>
      </x:c>
      <x:c r="F32" s="2" t="str">
        <x:v>sale</x:v>
      </x:c>
      <x:c r="G32" s="11" t="n">
        <x:v>74.4</x:v>
      </x:c>
      <x:c r="H32" s="12" t="n">
        <x:v>24000000000</x:v>
      </x:c>
      <x:c r="I32" s="12" t="n">
        <x:v>322580645.1612903</x:v>
      </x:c>
      <x:c r="J32" s="2" t="str">
        <x:v>total</x:v>
      </x:c>
      <x:c r="K32" s="2" t="str">
        <x:v>top_level_area</x:v>
      </x:c>
      <x:c r="L32" s="2" t="str">
        <x:v>property_type_inferred_from_title</x:v>
      </x:c>
      <x:c r="M32" s="10" t="n">
        <x:v>1</x:v>
      </x:c>
      <x:c r="N32" s="10" t="n">
        <x:v>1</x:v>
      </x:c>
      <x:c r="O32" s="2" t="str">
        <x:v>Tp Hồ Chí Minh|house</x:v>
      </x:c>
      <x:c r="P32" s="10" t="n">
        <x:v>-1</x:v>
      </x:c>
      <x:c r="Q32" s="13" t="n">
        <x:f>IF(H32="","",H32/1000000000)</x:f>
        <x:v>24</x:v>
      </x:c>
      <x:c r="R32" s="13" t="n">
        <x:f>IF(I32="","",I32/1000000)</x:f>
        <x:v>322.5806451612903</x:v>
      </x:c>
    </x:row>
    <x:row r="33" ht="21" customHeight="1">
      <x:c r="A33" s="10" t="n">
        <x:v>24</x:v>
      </x:c>
      <x:c r="B33" s="2" t="str">
        <x:v>7da9190d8eec152cfb2a</x:v>
      </x:c>
      <x:c r="C33" s="2" t="str">
        <x:v>Tp Hồ Chí Minh</x:v>
      </x:c>
      <x:c r="D33" s="2" t="str">
        <x:v>Quận Gò Vấp</x:v>
      </x:c>
      <x:c r="E33" s="2" t="str">
        <x:v>other_unknown</x:v>
      </x:c>
      <x:c r="F33" s="2" t="str">
        <x:v>sale_assumed</x:v>
      </x:c>
      <x:c r="G33" s="11" t="n">
        <x:v>33</x:v>
      </x:c>
      <x:c r="H33" s="12" t="n">
        <x:v>3650000000</x:v>
      </x:c>
      <x:c r="I33" s="12" t="n">
        <x:v>110606060.60606061</x:v>
      </x:c>
      <x:c r="J33" s="2" t="str">
        <x:v>total</x:v>
      </x:c>
      <x:c r="K33" s="2" t="str">
        <x:v>top_level_area</x:v>
      </x:c>
      <x:c r="L33" s="2" t="str">
        <x:v>property_type_inferred_from_title;transaction_assumed_sale_from_dataset_context;unknown_property_type</x:v>
      </x:c>
      <x:c r="M33" s="10" t="n">
        <x:v>0</x:v>
      </x:c>
      <x:c r="N33" s="10" t="n">
        <x:v>0</x:v>
      </x:c>
      <x:c r="O33" s="2" t="str">
        <x:v>Tp Hồ Chí Minh|other_unknown</x:v>
      </x:c>
      <x:c r="P33" s="10" t="n">
        <x:v>2</x:v>
      </x:c>
      <x:c r="Q33" s="13" t="n">
        <x:f>IF(H33="","",H33/1000000000)</x:f>
        <x:v>3.65</x:v>
      </x:c>
      <x:c r="R33" s="13" t="n">
        <x:f>IF(I33="","",I33/1000000)</x:f>
        <x:v>110.60606060606061</x:v>
      </x:c>
    </x:row>
    <x:row r="34" ht="21" customHeight="1">
      <x:c r="A34" s="10" t="n">
        <x:v>25</x:v>
      </x:c>
      <x:c r="B34" s="2" t="str">
        <x:v>cef7ca17468d1bacf372</x:v>
      </x:c>
      <x:c r="C34" s="2" t="str">
        <x:v>Tp Hồ Chí Minh</x:v>
      </x:c>
      <x:c r="D34" s="2" t="str">
        <x:v>Huyện Bình Chánh</x:v>
      </x:c>
      <x:c r="E34" s="2" t="str">
        <x:v>house</x:v>
      </x:c>
      <x:c r="F34" s="2" t="str">
        <x:v>sale</x:v>
      </x:c>
      <x:c r="G34" s="11" t="n">
        <x:v>90</x:v>
      </x:c>
      <x:c r="H34" s="12" t="n">
        <x:v>950000000</x:v>
      </x:c>
      <x:c r="I34" s="12" t="n">
        <x:v>10555555.555555556</x:v>
      </x:c>
      <x:c r="J34" s="2" t="str">
        <x:v>total</x:v>
      </x:c>
      <x:c r="K34" s="2" t="str">
        <x:v>top_level_area</x:v>
      </x:c>
      <x:c r="L34" s="2" t="str">
        <x:v>property_type_inferred_from_title</x:v>
      </x:c>
      <x:c r="M34" s="10" t="n">
        <x:v>0</x:v>
      </x:c>
      <x:c r="N34" s="10" t="n">
        <x:v>0</x:v>
      </x:c>
      <x:c r="O34" s="2" t="str">
        <x:v>Tp Hồ Chí Minh|house</x:v>
      </x:c>
      <x:c r="P34" s="10" t="n">
        <x:v>2</x:v>
      </x:c>
      <x:c r="Q34" s="13" t="n">
        <x:f>IF(H34="","",H34/1000000000)</x:f>
        <x:v>0.95</x:v>
      </x:c>
      <x:c r="R34" s="13" t="n">
        <x:f>IF(I34="","",I34/1000000)</x:f>
        <x:v>10.555555555555555</x:v>
      </x:c>
    </x:row>
    <x:row r="35" ht="21" customHeight="1">
      <x:c r="A35" s="10" t="n">
        <x:v>26</x:v>
      </x:c>
      <x:c r="B35" s="2" t="str">
        <x:v>a55a8c378855fb6667bd</x:v>
      </x:c>
      <x:c r="C35" s="2" t="str">
        <x:v>Tp Hồ Chí Minh</x:v>
      </x:c>
      <x:c r="D35" s="2" t="str">
        <x:v>Quận Bình Tân</x:v>
      </x:c>
      <x:c r="E35" s="2" t="str">
        <x:v>house</x:v>
      </x:c>
      <x:c r="F35" s="2" t="str">
        <x:v>sale_assumed</x:v>
      </x:c>
      <x:c r="G35" s="11" t="n">
        <x:v>52</x:v>
      </x:c>
      <x:c r="H35" s="12" t="n">
        <x:v>4500000000</x:v>
      </x:c>
      <x:c r="I35" s="12" t="n">
        <x:v>86538461.53846154</x:v>
      </x:c>
      <x:c r="J35" s="2" t="str">
        <x:v>total</x:v>
      </x:c>
      <x:c r="K35" s="2" t="str">
        <x:v>top_level_area</x:v>
      </x:c>
      <x:c r="L35" s="2" t="str">
        <x:v>property_type_inferred_from_title;transaction_assumed_sale_from_dataset_context</x:v>
      </x:c>
      <x:c r="M35" s="10" t="n">
        <x:v>0</x:v>
      </x:c>
      <x:c r="N35" s="10" t="n">
        <x:v>0</x:v>
      </x:c>
      <x:c r="O35" s="2" t="str">
        <x:v>Tp Hồ Chí Minh|house</x:v>
      </x:c>
      <x:c r="P35" s="10" t="n">
        <x:v>2</x:v>
      </x:c>
      <x:c r="Q35" s="13" t="n">
        <x:f>IF(H35="","",H35/1000000000)</x:f>
        <x:v>4.5</x:v>
      </x:c>
      <x:c r="R35" s="13" t="n">
        <x:f>IF(I35="","",I35/1000000)</x:f>
        <x:v>86.53846153846153</x:v>
      </x:c>
    </x:row>
    <x:row r="36" ht="21" customHeight="1">
      <x:c r="A36" s="10" t="n">
        <x:v>27</x:v>
      </x:c>
      <x:c r="B36" s="2" t="str">
        <x:v>e750aeee39df82c9de52</x:v>
      </x:c>
      <x:c r="C36" s="2" t="str">
        <x:v>Tp Hồ Chí Minh</x:v>
      </x:c>
      <x:c r="D36" s="2" t="str">
        <x:v>Quận 9</x:v>
      </x:c>
      <x:c r="E36" s="2" t="str">
        <x:v>house</x:v>
      </x:c>
      <x:c r="F36" s="2" t="str">
        <x:v>sale</x:v>
      </x:c>
      <x:c r="G36" s="11" t="n">
        <x:v>27</x:v>
      </x:c>
      <x:c r="H36" s="12" t="n">
        <x:v>2100000000</x:v>
      </x:c>
      <x:c r="I36" s="12" t="n">
        <x:v>77777777.77777778</x:v>
      </x:c>
      <x:c r="J36" s="2" t="str">
        <x:v>total</x:v>
      </x:c>
      <x:c r="K36" s="2" t="str">
        <x:v>top_level_area</x:v>
      </x:c>
      <x:c r="L36" s="2" t="str">
        <x:v>property_type_inferred_from_title</x:v>
      </x:c>
      <x:c r="M36" s="10" t="n">
        <x:v>0</x:v>
      </x:c>
      <x:c r="N36" s="10" t="n">
        <x:v>0</x:v>
      </x:c>
      <x:c r="O36" s="2" t="str">
        <x:v>Tp Hồ Chí Minh|house</x:v>
      </x:c>
      <x:c r="P36" s="10" t="n">
        <x:v>2</x:v>
      </x:c>
      <x:c r="Q36" s="13" t="n">
        <x:f>IF(H36="","",H36/1000000000)</x:f>
        <x:v>2.1</x:v>
      </x:c>
      <x:c r="R36" s="13" t="n">
        <x:f>IF(I36="","",I36/1000000)</x:f>
        <x:v>77.77777777777777</x:v>
      </x:c>
    </x:row>
    <x:row r="37" ht="21" customHeight="1">
      <x:c r="A37" s="10" t="n">
        <x:v>28</x:v>
      </x:c>
      <x:c r="B37" s="2" t="str">
        <x:v>46618d015e318626270f</x:v>
      </x:c>
      <x:c r="C37" s="2" t="str">
        <x:v>Long An</x:v>
      </x:c>
      <x:c r="D37" s="2" t="str">
        <x:v>Huyện Thủ Thừa</x:v>
      </x:c>
      <x:c r="E37" s="2" t="str">
        <x:v>land</x:v>
      </x:c>
      <x:c r="F37" s="2" t="str">
        <x:v>sale_assumed</x:v>
      </x:c>
      <x:c r="G37" s="11" t="n">
        <x:v>1000</x:v>
      </x:c>
      <x:c r="H37" s="12" t="n">
        <x:v>550000000</x:v>
      </x:c>
      <x:c r="I37" s="12" t="n">
        <x:v>550000</x:v>
      </x:c>
      <x:c r="J37" s="2" t="str">
        <x:v>total</x:v>
      </x:c>
      <x:c r="K37" s="2" t="str">
        <x:v>top_level_area</x:v>
      </x:c>
      <x:c r="L37" s="2" t="str">
        <x:v>dot_thousands_convention;property_type_inferred_from_title;transaction_assumed_sale_from_dataset_context</x:v>
      </x:c>
      <x:c r="M37" s="10" t="n">
        <x:v>0</x:v>
      </x:c>
      <x:c r="N37" s="10" t="n">
        <x:v>0</x:v>
      </x:c>
      <x:c r="O37" s="2" t="str">
        <x:v>Long An|land</x:v>
      </x:c>
      <x:c r="P37" s="10" t="n">
        <x:v>1</x:v>
      </x:c>
      <x:c r="Q37" s="13" t="n">
        <x:f>IF(H37="","",H37/1000000000)</x:f>
        <x:v>0.55</x:v>
      </x:c>
      <x:c r="R37" s="13" t="n">
        <x:f>IF(I37="","",I37/1000000)</x:f>
        <x:v>0.55</x:v>
      </x:c>
    </x:row>
    <x:row r="38" ht="21" customHeight="1">
      <x:c r="A38" s="10" t="n">
        <x:v>29</x:v>
      </x:c>
      <x:c r="B38" s="2" t="str">
        <x:v>267e28566fb8087a0d46</x:v>
      </x:c>
      <x:c r="C38" s="2" t="str">
        <x:v>Tp Hồ Chí Minh</x:v>
      </x:c>
      <x:c r="D38" s="2" t="str">
        <x:v>Quận 10</x:v>
      </x:c>
      <x:c r="E38" s="2" t="str">
        <x:v>house</x:v>
      </x:c>
      <x:c r="F38" s="2" t="str">
        <x:v>sale</x:v>
      </x:c>
      <x:c r="G38" s="11" t="n">
        <x:v>62</x:v>
      </x:c>
      <x:c r="H38" s="12" t="n">
        <x:v>1120000000</x:v>
      </x:c>
      <x:c r="I38" s="12" t="n">
        <x:v>18064516.129032258</x:v>
      </x:c>
      <x:c r="J38" s="2" t="str">
        <x:v>total</x:v>
      </x:c>
      <x:c r="K38" s="2" t="str">
        <x:v>top_level_area</x:v>
      </x:c>
      <x:c r="L38" s="2" t="str">
        <x:v>property_type_inferred_from_title</x:v>
      </x:c>
      <x:c r="M38" s="10" t="n">
        <x:v>0</x:v>
      </x:c>
      <x:c r="N38" s="10" t="n">
        <x:v>0</x:v>
      </x:c>
      <x:c r="O38" s="2" t="str">
        <x:v>Tp Hồ Chí Minh|house</x:v>
      </x:c>
      <x:c r="P38" s="10" t="n">
        <x:v>2</x:v>
      </x:c>
      <x:c r="Q38" s="13" t="n">
        <x:f>IF(H38="","",H38/1000000000)</x:f>
        <x:v>1.12</x:v>
      </x:c>
      <x:c r="R38" s="13" t="n">
        <x:f>IF(I38="","",I38/1000000)</x:f>
        <x:v>18.064516129032256</x:v>
      </x:c>
    </x:row>
    <x:row r="39" ht="21" customHeight="1">
      <x:c r="A39" s="10" t="n">
        <x:v>30</x:v>
      </x:c>
      <x:c r="B39" s="2" t="str">
        <x:v>80f42263730579c6baec</x:v>
      </x:c>
      <x:c r="C39" s="2" t="str">
        <x:v>Lâm Đồng</x:v>
      </x:c>
      <x:c r="D39" s="2" t="str">
        <x:v>Huyện Di Linh</x:v>
      </x:c>
      <x:c r="E39" s="2" t="str">
        <x:v>land</x:v>
      </x:c>
      <x:c r="F39" s="2" t="str">
        <x:v>sale_assumed</x:v>
      </x:c>
      <x:c r="G39" s="11" t="n">
        <x:v>5400</x:v>
      </x:c>
      <x:c r="H39" s="12" t="n">
        <x:v>4500000000</x:v>
      </x:c>
      <x:c r="I39" s="12" t="n">
        <x:v>833333.3333333334</x:v>
      </x:c>
      <x:c r="J39" s="2" t="str">
        <x:v>total</x:v>
      </x:c>
      <x:c r="K39" s="2" t="str">
        <x:v>top_level_area</x:v>
      </x:c>
      <x:c r="L39" s="2" t="str">
        <x:v>dot_thousands_convention;property_type_inferred_from_title;transaction_assumed_sale_from_dataset_context</x:v>
      </x:c>
      <x:c r="M39" s="10" t="n">
        <x:v>0</x:v>
      </x:c>
      <x:c r="N39" s="10" t="n">
        <x:v>0</x:v>
      </x:c>
      <x:c r="O39" s="2" t="str">
        <x:v>Lâm Đồng|land</x:v>
      </x:c>
      <x:c r="P39" s="10" t="n">
        <x:v>1</x:v>
      </x:c>
      <x:c r="Q39" s="13" t="n">
        <x:f>IF(H39="","",H39/1000000000)</x:f>
        <x:v>4.5</x:v>
      </x:c>
      <x:c r="R39" s="13" t="n">
        <x:f>IF(I39="","",I39/1000000)</x:f>
        <x:v>0.8333333333333334</x:v>
      </x:c>
    </x:row>
    <x:row r="40" ht="21" customHeight="1">
      <x:c r="A40" s="10" t="n">
        <x:v>31</x:v>
      </x:c>
      <x:c r="B40" s="2" t="str">
        <x:v>e00abae3f25da8199601</x:v>
      </x:c>
      <x:c r="C40" s="2" t="str">
        <x:v>Tp Hồ Chí Minh</x:v>
      </x:c>
      <x:c r="D40" s="2" t="str">
        <x:v>Quận 9</x:v>
      </x:c>
      <x:c r="E40" s="2" t="str">
        <x:v>house</x:v>
      </x:c>
      <x:c r="F40" s="2" t="str">
        <x:v>sale</x:v>
      </x:c>
      <x:c r="G40" s="11" t="n">
        <x:v>93</x:v>
      </x:c>
      <x:c r="H40" s="12" t="n">
        <x:v>7500000000</x:v>
      </x:c>
      <x:c r="I40" s="12" t="n">
        <x:v>80645161.29032259</x:v>
      </x:c>
      <x:c r="J40" s="2" t="str">
        <x:v>total</x:v>
      </x:c>
      <x:c r="K40" s="2" t="str">
        <x:v>top_level_area</x:v>
      </x:c>
      <x:c r="L40" s="2" t="str">
        <x:v>property_type_inferred_from_title</x:v>
      </x:c>
      <x:c r="M40" s="10" t="n">
        <x:v>0</x:v>
      </x:c>
      <x:c r="N40" s="10" t="n">
        <x:v>0</x:v>
      </x:c>
      <x:c r="O40" s="2" t="str">
        <x:v>Tp Hồ Chí Minh|house</x:v>
      </x:c>
      <x:c r="P40" s="10" t="n">
        <x:v>2</x:v>
      </x:c>
      <x:c r="Q40" s="13" t="n">
        <x:f>IF(H40="","",H40/1000000000)</x:f>
        <x:v>7.5</x:v>
      </x:c>
      <x:c r="R40" s="13" t="n">
        <x:f>IF(I40="","",I40/1000000)</x:f>
        <x:v>80.64516129032259</x:v>
      </x:c>
    </x:row>
    <x:row r="41" ht="21" customHeight="1">
      <x:c r="A41" s="10" t="n">
        <x:v>32</x:v>
      </x:c>
      <x:c r="B41" s="2" t="str">
        <x:v>3437a5c6a104d7bcde3c</x:v>
      </x:c>
      <x:c r="C41" s="2" t="str">
        <x:v>Chưa xác định</x:v>
      </x:c>
      <x:c r="D41" s="2" t="str">
        <x:v>Chưa xác định</x:v>
      </x:c>
      <x:c r="E41" s="2" t="str">
        <x:v>house</x:v>
      </x:c>
      <x:c r="F41" s="2" t="str">
        <x:v>sale</x:v>
      </x:c>
      <x:c r="G41" s="11" t="n">
        <x:v>75</x:v>
      </x:c>
      <x:c r="H41" s="12" t="n">
        <x:v>320000000</x:v>
      </x:c>
      <x:c r="I41" s="12" t="n">
        <x:v>4266666.666666667</x:v>
      </x:c>
      <x:c r="J41" s="2" t="str">
        <x:v>total</x:v>
      </x:c>
      <x:c r="K41" s="2" t="str">
        <x:v>top_level_area</x:v>
      </x:c>
      <x:c r="L41" s="2" t="str">
        <x:v>property_type_inferred_from_title;unknown_district;unknown_province</x:v>
      </x:c>
      <x:c r="M41" s="10" t="n">
        <x:v>0</x:v>
      </x:c>
      <x:c r="N41" s="10" t="n">
        <x:v>0</x:v>
      </x:c>
      <x:c r="O41" s="2" t="str">
        <x:v>house</x:v>
      </x:c>
      <x:c r="P41" s="10" t="n">
        <x:v>2</x:v>
      </x:c>
      <x:c r="Q41" s="13" t="n">
        <x:f>IF(H41="","",H41/1000000000)</x:f>
        <x:v>0.32</x:v>
      </x:c>
      <x:c r="R41" s="13" t="n">
        <x:f>IF(I41="","",I41/1000000)</x:f>
        <x:v>4.266666666666667</x:v>
      </x:c>
    </x:row>
    <x:row r="42" ht="21" customHeight="1">
      <x:c r="A42" s="10" t="n">
        <x:v>33</x:v>
      </x:c>
      <x:c r="B42" s="2" t="str">
        <x:v>49ca05ea1e7996d706b6</x:v>
      </x:c>
      <x:c r="C42" s="2" t="str">
        <x:v>Tp Hồ Chí Minh</x:v>
      </x:c>
      <x:c r="D42" s="2" t="str">
        <x:v>Quận 12</x:v>
      </x:c>
      <x:c r="E42" s="2" t="str">
        <x:v>land</x:v>
      </x:c>
      <x:c r="F42" s="2" t="str">
        <x:v>sale_assumed</x:v>
      </x:c>
      <x:c r="G42" s="11" t="n">
        <x:v>103</x:v>
      </x:c>
      <x:c r="H42" s="12" t="n">
        <x:v>4390000000</x:v>
      </x:c>
      <x:c r="I42" s="12" t="n">
        <x:v>42621359.22330097</x:v>
      </x:c>
      <x:c r="J42" s="2" t="str">
        <x:v>total</x:v>
      </x:c>
      <x:c r="K42" s="2" t="str">
        <x:v>top_level_area</x:v>
      </x:c>
      <x:c r="L42" s="2" t="str">
        <x:v>property_type_inferred_from_title;transaction_assumed_sale_from_dataset_context</x:v>
      </x:c>
      <x:c r="M42" s="10" t="n">
        <x:v>0</x:v>
      </x:c>
      <x:c r="N42" s="10" t="n">
        <x:v>0</x:v>
      </x:c>
      <x:c r="O42" s="2" t="str">
        <x:v>Tp Hồ Chí Minh|land</x:v>
      </x:c>
      <x:c r="P42" s="10" t="n">
        <x:v>2</x:v>
      </x:c>
      <x:c r="Q42" s="13" t="n">
        <x:f>IF(H42="","",H42/1000000000)</x:f>
        <x:v>4.39</x:v>
      </x:c>
      <x:c r="R42" s="13" t="n">
        <x:f>IF(I42="","",I42/1000000)</x:f>
        <x:v>42.62135922330097</x:v>
      </x:c>
    </x:row>
    <x:row r="43" ht="21" customHeight="1">
      <x:c r="A43" s="10" t="n">
        <x:v>34</x:v>
      </x:c>
      <x:c r="B43" s="2" t="str">
        <x:v>d218be78eab0a5347b86</x:v>
      </x:c>
      <x:c r="C43" s="2" t="str">
        <x:v>Bình Dương</x:v>
      </x:c>
      <x:c r="D43" s="2" t="str">
        <x:v>Thị xã Thuận An</x:v>
      </x:c>
      <x:c r="E43" s="2" t="str">
        <x:v>house</x:v>
      </x:c>
      <x:c r="F43" s="2" t="str">
        <x:v>sale</x:v>
      </x:c>
      <x:c r="G43" s="11" t="n">
        <x:v>82.4</x:v>
      </x:c>
      <x:c r="H43" s="12" t="n">
        <x:v>3950000000</x:v>
      </x:c>
      <x:c r="I43" s="12" t="n">
        <x:v>47936893.20388349</x:v>
      </x:c>
      <x:c r="J43" s="2" t="str">
        <x:v>total</x:v>
      </x:c>
      <x:c r="K43" s="2" t="str">
        <x:v>top_level_area</x:v>
      </x:c>
      <x:c r="L43" s="2" t="str">
        <x:v>property_type_inferred_from_title</x:v>
      </x:c>
      <x:c r="M43" s="10" t="n">
        <x:v>0</x:v>
      </x:c>
      <x:c r="N43" s="10" t="n">
        <x:v>0</x:v>
      </x:c>
      <x:c r="O43" s="2" t="str">
        <x:v>Bình Dương|house</x:v>
      </x:c>
      <x:c r="P43" s="10" t="n">
        <x:v>2</x:v>
      </x:c>
      <x:c r="Q43" s="13" t="n">
        <x:f>IF(H43="","",H43/1000000000)</x:f>
        <x:v>3.95</x:v>
      </x:c>
      <x:c r="R43" s="13" t="n">
        <x:f>IF(I43="","",I43/1000000)</x:f>
        <x:v>47.93689320388349</x:v>
      </x:c>
    </x:row>
    <x:row r="44" ht="21" customHeight="1">
      <x:c r="A44" s="10" t="n">
        <x:v>35</x:v>
      </x:c>
      <x:c r="B44" s="2" t="str">
        <x:v>a683568a6b557e5d263a</x:v>
      </x:c>
      <x:c r="C44" s="2" t="str">
        <x:v>Tp Hồ Chí Minh</x:v>
      </x:c>
      <x:c r="D44" s="2" t="str">
        <x:v>Quận 12</x:v>
      </x:c>
      <x:c r="E44" s="2" t="str">
        <x:v>land</x:v>
      </x:c>
      <x:c r="F44" s="2" t="str">
        <x:v>sale</x:v>
      </x:c>
      <x:c r="G44" s="11" t="n">
        <x:v>61</x:v>
      </x:c>
      <x:c r="H44" s="12" t="n">
        <x:v>2580000000</x:v>
      </x:c>
      <x:c r="I44" s="12" t="n">
        <x:v>42295081.96721312</x:v>
      </x:c>
      <x:c r="J44" s="2" t="str">
        <x:v>total</x:v>
      </x:c>
      <x:c r="K44" s="2" t="str">
        <x:v>top_level_area</x:v>
      </x:c>
      <x:c r="L44" s="2" t="str">
        <x:v>property_type_inferred_from_title</x:v>
      </x:c>
      <x:c r="M44" s="10" t="n">
        <x:v>0</x:v>
      </x:c>
      <x:c r="N44" s="10" t="n">
        <x:v>0</x:v>
      </x:c>
      <x:c r="O44" s="2" t="str">
        <x:v>Tp Hồ Chí Minh|land</x:v>
      </x:c>
      <x:c r="P44" s="10" t="n">
        <x:v>2</x:v>
      </x:c>
      <x:c r="Q44" s="13" t="n">
        <x:f>IF(H44="","",H44/1000000000)</x:f>
        <x:v>2.58</x:v>
      </x:c>
      <x:c r="R44" s="13" t="n">
        <x:f>IF(I44="","",I44/1000000)</x:f>
        <x:v>42.295081967213115</x:v>
      </x:c>
    </x:row>
    <x:row r="45" ht="21" customHeight="1">
      <x:c r="A45" s="10" t="n">
        <x:v>36</x:v>
      </x:c>
      <x:c r="B45" s="2" t="str">
        <x:v>71b7339b793c9596aea5</x:v>
      </x:c>
      <x:c r="C45" s="2" t="str">
        <x:v>Tp Hồ Chí Minh</x:v>
      </x:c>
      <x:c r="D45" s="2" t="str">
        <x:v>Quận 9</x:v>
      </x:c>
      <x:c r="E45" s="2" t="str">
        <x:v>house</x:v>
      </x:c>
      <x:c r="F45" s="2" t="str">
        <x:v>sale</x:v>
      </x:c>
      <x:c r="G45" s="11" t="n">
        <x:v>53</x:v>
      </x:c>
      <x:c r="H45" s="12" t="n">
        <x:v>4200000000</x:v>
      </x:c>
      <x:c r="I45" s="12" t="n">
        <x:v>79245283.01886792</x:v>
      </x:c>
      <x:c r="J45" s="2" t="str">
        <x:v>total</x:v>
      </x:c>
      <x:c r="K45" s="2" t="str">
        <x:v>top_level_area</x:v>
      </x:c>
      <x:c r="L45" s="2" t="str">
        <x:v>property_type_inferred_from_title</x:v>
      </x:c>
      <x:c r="M45" s="10" t="n">
        <x:v>0</x:v>
      </x:c>
      <x:c r="N45" s="10" t="n">
        <x:v>0</x:v>
      </x:c>
      <x:c r="O45" s="2" t="str">
        <x:v>Tp Hồ Chí Minh|house</x:v>
      </x:c>
      <x:c r="P45" s="10" t="n">
        <x:v>2</x:v>
      </x:c>
      <x:c r="Q45" s="13" t="n">
        <x:f>IF(H45="","",H45/1000000000)</x:f>
        <x:v>4.2</x:v>
      </x:c>
      <x:c r="R45" s="13" t="n">
        <x:f>IF(I45="","",I45/1000000)</x:f>
        <x:v>79.24528301886792</x:v>
      </x:c>
    </x:row>
    <x:row r="46" ht="21" customHeight="1">
      <x:c r="A46" s="10" t="n">
        <x:v>37</x:v>
      </x:c>
      <x:c r="B46" s="2" t="str">
        <x:v>10d3d5645ac2d8f6df5b</x:v>
      </x:c>
      <x:c r="C46" s="2" t="str">
        <x:v>Hà Nội</x:v>
      </x:c>
      <x:c r="D46" s="2" t="str">
        <x:v>Huyện Thanh Trì</x:v>
      </x:c>
      <x:c r="E46" s="2" t="str">
        <x:v>house</x:v>
      </x:c>
      <x:c r="F46" s="2" t="str">
        <x:v>sale_assumed</x:v>
      </x:c>
      <x:c r="G46" s="11" t="n">
        <x:v>34</x:v>
      </x:c>
      <x:c r="H46" s="12" t="n">
        <x:v>2900000000</x:v>
      </x:c>
      <x:c r="I46" s="12" t="n">
        <x:v>85294117.64705883</x:v>
      </x:c>
      <x:c r="J46" s="2" t="str">
        <x:v>total</x:v>
      </x:c>
      <x:c r="K46" s="2" t="str">
        <x:v>top_level_area</x:v>
      </x:c>
      <x:c r="L46" s="2" t="str">
        <x:v>property_type_inferred_from_title;transaction_assumed_sale_from_dataset_context</x:v>
      </x:c>
      <x:c r="M46" s="10" t="n">
        <x:v>0</x:v>
      </x:c>
      <x:c r="N46" s="10" t="n">
        <x:v>0</x:v>
      </x:c>
      <x:c r="O46" s="2" t="str">
        <x:v>Hà Nội|house</x:v>
      </x:c>
      <x:c r="P46" s="10" t="n">
        <x:v>2</x:v>
      </x:c>
      <x:c r="Q46" s="13" t="n">
        <x:f>IF(H46="","",H46/1000000000)</x:f>
        <x:v>2.9</x:v>
      </x:c>
      <x:c r="R46" s="13" t="n">
        <x:f>IF(I46="","",I46/1000000)</x:f>
        <x:v>85.29411764705883</x:v>
      </x:c>
    </x:row>
    <x:row r="47" ht="21" customHeight="1">
      <x:c r="A47" s="10" t="n">
        <x:v>38</x:v>
      </x:c>
      <x:c r="B47" s="2" t="str">
        <x:v>7000b1e22ea448ce1d33</x:v>
      </x:c>
      <x:c r="C47" s="2" t="str">
        <x:v>Hà Nội</x:v>
      </x:c>
      <x:c r="D47" s="2" t="str">
        <x:v>Quận Long Biên</x:v>
      </x:c>
      <x:c r="E47" s="2" t="str">
        <x:v>land</x:v>
      </x:c>
      <x:c r="F47" s="2" t="str">
        <x:v>sale</x:v>
      </x:c>
      <x:c r="G47" s="11" t="n">
        <x:v>72</x:v>
      </x:c>
      <x:c r="H47" s="12" t="n">
        <x:v>3300000000</x:v>
      </x:c>
      <x:c r="I47" s="12" t="n">
        <x:v>45833333.333333336</x:v>
      </x:c>
      <x:c r="J47" s="2" t="str">
        <x:v>total</x:v>
      </x:c>
      <x:c r="K47" s="2" t="str">
        <x:v>top_level_area</x:v>
      </x:c>
      <x:c r="L47" s="2" t="str">
        <x:v>property_type_inferred_from_title</x:v>
      </x:c>
      <x:c r="M47" s="10" t="n">
        <x:v>0</x:v>
      </x:c>
      <x:c r="N47" s="10" t="n">
        <x:v>0</x:v>
      </x:c>
      <x:c r="O47" s="2" t="str">
        <x:v>Hà Nội|land</x:v>
      </x:c>
      <x:c r="P47" s="10" t="n">
        <x:v>2</x:v>
      </x:c>
      <x:c r="Q47" s="13" t="n">
        <x:f>IF(H47="","",H47/1000000000)</x:f>
        <x:v>3.3</x:v>
      </x:c>
      <x:c r="R47" s="13" t="n">
        <x:f>IF(I47="","",I47/1000000)</x:f>
        <x:v>45.833333333333336</x:v>
      </x:c>
    </x:row>
    <x:row r="48" ht="21" customHeight="1">
      <x:c r="A48" s="10" t="n">
        <x:v>39</x:v>
      </x:c>
      <x:c r="B48" s="2" t="str">
        <x:v>eefbca20a3e6431cf146</x:v>
      </x:c>
      <x:c r="C48" s="2" t="str">
        <x:v>Tp Hồ Chí Minh</x:v>
      </x:c>
      <x:c r="D48" s="2" t="str">
        <x:v>Quận Tân Phú</x:v>
      </x:c>
      <x:c r="E48" s="2" t="str">
        <x:v>other_unknown</x:v>
      </x:c>
      <x:c r="F48" s="2" t="str">
        <x:v>sale_assumed</x:v>
      </x:c>
      <x:c r="G48" s="11" t="n">
        <x:v>175</x:v>
      </x:c>
      <x:c r="H48" s="12" t="n">
        <x:v>10500000000</x:v>
      </x:c>
      <x:c r="I48" s="12" t="n">
        <x:v>60000000</x:v>
      </x:c>
      <x:c r="J48" s="2" t="str">
        <x:v>total</x:v>
      </x:c>
      <x:c r="K48" s="2" t="str">
        <x:v>top_level_area</x:v>
      </x:c>
      <x:c r="L48" s="2" t="str">
        <x:v>property_type_inferred_from_title;transaction_assumed_sale_from_dataset_context;unknown_property_type</x:v>
      </x:c>
      <x:c r="M48" s="10" t="n">
        <x:v>0</x:v>
      </x:c>
      <x:c r="N48" s="10" t="n">
        <x:v>0</x:v>
      </x:c>
      <x:c r="O48" s="2" t="str">
        <x:v>Tp Hồ Chí Minh|other_unknown</x:v>
      </x:c>
      <x:c r="P48" s="10" t="n">
        <x:v>2</x:v>
      </x:c>
      <x:c r="Q48" s="13" t="n">
        <x:f>IF(H48="","",H48/1000000000)</x:f>
        <x:v>10.5</x:v>
      </x:c>
      <x:c r="R48" s="13" t="n">
        <x:f>IF(I48="","",I48/1000000)</x:f>
        <x:v>60</x:v>
      </x:c>
    </x:row>
    <x:row r="49" ht="21" customHeight="1">
      <x:c r="A49" s="10" t="n">
        <x:v>40</x:v>
      </x:c>
      <x:c r="B49" s="2" t="str">
        <x:v>afb8f4a175259b72729a</x:v>
      </x:c>
      <x:c r="C49" s="2" t="str">
        <x:v>Tp Hồ Chí Minh</x:v>
      </x:c>
      <x:c r="D49" s="2" t="str">
        <x:v>Quận 2</x:v>
      </x:c>
      <x:c r="E49" s="2" t="str">
        <x:v>house</x:v>
      </x:c>
      <x:c r="F49" s="2" t="str">
        <x:v>sale</x:v>
      </x:c>
      <x:c r="G49" s="11" t="n">
        <x:v>144</x:v>
      </x:c>
      <x:c r="H49" s="12" t="n">
        <x:v>3500000000</x:v>
      </x:c>
      <x:c r="I49" s="12" t="n">
        <x:v>24305555.555555556</x:v>
      </x:c>
      <x:c r="J49" s="2" t="str">
        <x:v>total</x:v>
      </x:c>
      <x:c r="K49" s="2" t="str">
        <x:v>top_level_area</x:v>
      </x:c>
      <x:c r="L49" s="2" t="str">
        <x:v>property_type_inferred_from_title</x:v>
      </x:c>
      <x:c r="M49" s="10" t="n">
        <x:v>0</x:v>
      </x:c>
      <x:c r="N49" s="10" t="n">
        <x:v>0</x:v>
      </x:c>
      <x:c r="O49" s="2" t="str">
        <x:v>Tp Hồ Chí Minh|house</x:v>
      </x:c>
      <x:c r="P49" s="10" t="n">
        <x:v>2</x:v>
      </x:c>
      <x:c r="Q49" s="13" t="n">
        <x:f>IF(H49="","",H49/1000000000)</x:f>
        <x:v>3.5</x:v>
      </x:c>
      <x:c r="R49" s="13" t="n">
        <x:f>IF(I49="","",I49/1000000)</x:f>
        <x:v>24.305555555555557</x:v>
      </x:c>
    </x:row>
    <x:row r="50" ht="21" customHeight="1">
      <x:c r="A50" s="10" t="n">
        <x:v>41</x:v>
      </x:c>
      <x:c r="B50" s="2" t="str">
        <x:v>4c81749cfda5df820f91</x:v>
      </x:c>
      <x:c r="C50" s="2" t="str">
        <x:v>Tp Hồ Chí Minh</x:v>
      </x:c>
      <x:c r="D50" s="2" t="str">
        <x:v>Quận Tân Phú</x:v>
      </x:c>
      <x:c r="E50" s="2" t="str">
        <x:v>house</x:v>
      </x:c>
      <x:c r="F50" s="2" t="str">
        <x:v>sale_assumed</x:v>
      </x:c>
      <x:c r="G50" s="11" t="n">
        <x:v>146</x:v>
      </x:c>
      <x:c r="H50" s="12" t="n">
        <x:v>13900000000</x:v>
      </x:c>
      <x:c r="I50" s="12" t="n">
        <x:v>95205479.4520548</x:v>
      </x:c>
      <x:c r="J50" s="2" t="str">
        <x:v>total</x:v>
      </x:c>
      <x:c r="K50" s="2" t="str">
        <x:v>top_level_area</x:v>
      </x:c>
      <x:c r="L50" s="2" t="str">
        <x:v>property_type_inferred_from_title;transaction_assumed_sale_from_dataset_context</x:v>
      </x:c>
      <x:c r="M50" s="10" t="n">
        <x:v>0</x:v>
      </x:c>
      <x:c r="N50" s="10" t="n">
        <x:v>0</x:v>
      </x:c>
      <x:c r="O50" s="2" t="str">
        <x:v>Tp Hồ Chí Minh|house</x:v>
      </x:c>
      <x:c r="P50" s="10" t="n">
        <x:v>2</x:v>
      </x:c>
      <x:c r="Q50" s="13" t="n">
        <x:f>IF(H50="","",H50/1000000000)</x:f>
        <x:v>13.9</x:v>
      </x:c>
      <x:c r="R50" s="13" t="n">
        <x:f>IF(I50="","",I50/1000000)</x:f>
        <x:v>95.2054794520548</x:v>
      </x:c>
    </x:row>
    <x:row r="51" ht="21" customHeight="1">
      <x:c r="A51" s="10" t="n">
        <x:v>42</x:v>
      </x:c>
      <x:c r="B51" s="2" t="str">
        <x:v>516b65b99f0cd6bc0c36</x:v>
      </x:c>
      <x:c r="C51" s="2" t="str">
        <x:v>Long An</x:v>
      </x:c>
      <x:c r="D51" s="2" t="str">
        <x:v>Huyện Tân Trụ</x:v>
      </x:c>
      <x:c r="E51" s="2" t="str">
        <x:v>land</x:v>
      </x:c>
      <x:c r="F51" s="2" t="str">
        <x:v>sale</x:v>
      </x:c>
      <x:c r="G51" s="11" t="n">
        <x:v>1122</x:v>
      </x:c>
      <x:c r="H51" s="12" t="n">
        <x:v>1100000000</x:v>
      </x:c>
      <x:c r="I51" s="12" t="n">
        <x:v>980392.1568627451</x:v>
      </x:c>
      <x:c r="J51" s="2" t="str">
        <x:v>total</x:v>
      </x:c>
      <x:c r="K51" s="2" t="str">
        <x:v>top_level_area</x:v>
      </x:c>
      <x:c r="L51" s="2" t="str">
        <x:v>dot_thousands_convention;property_type_inferred_from_title</x:v>
      </x:c>
      <x:c r="M51" s="10" t="n">
        <x:v>0</x:v>
      </x:c>
      <x:c r="N51" s="10" t="n">
        <x:v>0</x:v>
      </x:c>
      <x:c r="O51" s="2" t="str">
        <x:v>Long An|land</x:v>
      </x:c>
      <x:c r="P51" s="10" t="n">
        <x:v>1</x:v>
      </x:c>
      <x:c r="Q51" s="13" t="n">
        <x:f>IF(H51="","",H51/1000000000)</x:f>
        <x:v>1.1</x:v>
      </x:c>
      <x:c r="R51" s="13" t="n">
        <x:f>IF(I51="","",I51/1000000)</x:f>
        <x:v>0.9803921568627451</x:v>
      </x:c>
    </x:row>
    <x:row r="52" ht="21" customHeight="1">
      <x:c r="A52" s="10" t="n">
        <x:v>43</x:v>
      </x:c>
      <x:c r="B52" s="2" t="str">
        <x:v>620ad1c4728cfa1110ac</x:v>
      </x:c>
      <x:c r="C52" s="2" t="str">
        <x:v>Hà Nội</x:v>
      </x:c>
      <x:c r="D52" s="2" t="str">
        <x:v>Quận Long Biên</x:v>
      </x:c>
      <x:c r="E52" s="2" t="str">
        <x:v>other_unknown</x:v>
      </x:c>
      <x:c r="F52" s="2" t="str">
        <x:v>sale_assumed</x:v>
      </x:c>
      <x:c r="G52" s="11" t="n">
        <x:v>112</x:v>
      </x:c>
      <x:c r="H52" s="12" t="n">
        <x:v>4700000000</x:v>
      </x:c>
      <x:c r="I52" s="12" t="n">
        <x:v>41964285.71428572</x:v>
      </x:c>
      <x:c r="J52" s="2" t="str">
        <x:v>total</x:v>
      </x:c>
      <x:c r="K52" s="2" t="str">
        <x:v>top_level_area</x:v>
      </x:c>
      <x:c r="L52" s="2" t="str">
        <x:v>property_type_inferred_from_title;transaction_assumed_sale_from_dataset_context;unknown_property_type</x:v>
      </x:c>
      <x:c r="M52" s="10" t="n">
        <x:v>0</x:v>
      </x:c>
      <x:c r="N52" s="10" t="n">
        <x:v>0</x:v>
      </x:c>
      <x:c r="O52" s="2" t="str">
        <x:v>Hà Nội|other_unknown</x:v>
      </x:c>
      <x:c r="P52" s="10" t="n">
        <x:v>2</x:v>
      </x:c>
      <x:c r="Q52" s="13" t="n">
        <x:f>IF(H52="","",H52/1000000000)</x:f>
        <x:v>4.7</x:v>
      </x:c>
      <x:c r="R52" s="13" t="n">
        <x:f>IF(I52="","",I52/1000000)</x:f>
        <x:v>41.964285714285715</x:v>
      </x:c>
    </x:row>
    <x:row r="53" ht="21" customHeight="1">
      <x:c r="A53" s="10" t="n">
        <x:v>44</x:v>
      </x:c>
      <x:c r="B53" s="2" t="str">
        <x:v>bd45ced3ab17acd15c42</x:v>
      </x:c>
      <x:c r="C53" s="2" t="str">
        <x:v>Hà Nội</x:v>
      </x:c>
      <x:c r="D53" s="2" t="str">
        <x:v>Quận Hà Đông</x:v>
      </x:c>
      <x:c r="E53" s="2" t="str">
        <x:v>house</x:v>
      </x:c>
      <x:c r="F53" s="2" t="str">
        <x:v>sale</x:v>
      </x:c>
      <x:c r="G53" s="11" t="n">
        <x:v>33</x:v>
      </x:c>
      <x:c r="H53" s="12" t="n">
        <x:v>2500000000</x:v>
      </x:c>
      <x:c r="I53" s="12" t="n">
        <x:v>75757575.75757575</x:v>
      </x:c>
      <x:c r="J53" s="2" t="str">
        <x:v>total</x:v>
      </x:c>
      <x:c r="K53" s="2" t="str">
        <x:v>top_level_area</x:v>
      </x:c>
      <x:c r="L53" s="2" t="str">
        <x:v>property_type_inferred_from_title</x:v>
      </x:c>
      <x:c r="M53" s="10" t="n">
        <x:v>0</x:v>
      </x:c>
      <x:c r="N53" s="10" t="n">
        <x:v>0</x:v>
      </x:c>
      <x:c r="O53" s="2" t="str">
        <x:v>Hà Nội|house</x:v>
      </x:c>
      <x:c r="P53" s="10" t="n">
        <x:v>2</x:v>
      </x:c>
      <x:c r="Q53" s="13" t="n">
        <x:f>IF(H53="","",H53/1000000000)</x:f>
        <x:v>2.5</x:v>
      </x:c>
      <x:c r="R53" s="13" t="n">
        <x:f>IF(I53="","",I53/1000000)</x:f>
        <x:v>75.75757575757575</x:v>
      </x:c>
    </x:row>
    <x:row r="54" ht="21" customHeight="1">
      <x:c r="A54" s="10" t="n">
        <x:v>45</x:v>
      </x:c>
      <x:c r="B54" s="2" t="str">
        <x:v>c6598fe1a22a2e14a512</x:v>
      </x:c>
      <x:c r="C54" s="2" t="str">
        <x:v>Bình Dương</x:v>
      </x:c>
      <x:c r="D54" s="2" t="str">
        <x:v>Thị xã Dĩ An</x:v>
      </x:c>
      <x:c r="E54" s="2" t="str">
        <x:v>land</x:v>
      </x:c>
      <x:c r="F54" s="2" t="str">
        <x:v>sale_assumed</x:v>
      </x:c>
      <x:c r="G54" s="11" t="n">
        <x:v>87</x:v>
      </x:c>
      <x:c r="H54" s="12" t="n">
        <x:v>2780000000</x:v>
      </x:c>
      <x:c r="I54" s="12" t="n">
        <x:v>31954022.988505747</x:v>
      </x:c>
      <x:c r="J54" s="2" t="str">
        <x:v>total</x:v>
      </x:c>
      <x:c r="K54" s="2" t="str">
        <x:v>top_level_area</x:v>
      </x:c>
      <x:c r="L54" s="2" t="str">
        <x:v>property_type_inferred_from_title;transaction_assumed_sale_from_dataset_context</x:v>
      </x:c>
      <x:c r="M54" s="10" t="n">
        <x:v>0</x:v>
      </x:c>
      <x:c r="N54" s="10" t="n">
        <x:v>1</x:v>
      </x:c>
      <x:c r="O54" s="2" t="str">
        <x:v>Bình Dương|land</x:v>
      </x:c>
      <x:c r="P54" s="10" t="n">
        <x:v>-1</x:v>
      </x:c>
      <x:c r="Q54" s="13" t="n">
        <x:f>IF(H54="","",H54/1000000000)</x:f>
        <x:v>2.78</x:v>
      </x:c>
      <x:c r="R54" s="13" t="n">
        <x:f>IF(I54="","",I54/1000000)</x:f>
        <x:v>31.95402298850575</x:v>
      </x:c>
    </x:row>
    <x:row r="55" ht="21" customHeight="1">
      <x:c r="A55" s="10" t="n">
        <x:v>46</x:v>
      </x:c>
      <x:c r="B55" s="2" t="str">
        <x:v>bdcbcfc453b91acbcc50</x:v>
      </x:c>
      <x:c r="C55" s="2" t="str">
        <x:v>Tp Hồ Chí Minh</x:v>
      </x:c>
      <x:c r="D55" s="2" t="str">
        <x:v>Quận Bình Thạnh</x:v>
      </x:c>
      <x:c r="E55" s="2" t="str">
        <x:v>house</x:v>
      </x:c>
      <x:c r="F55" s="2" t="str">
        <x:v>sale</x:v>
      </x:c>
      <x:c r="G55" s="11" t="n">
        <x:v>55</x:v>
      </x:c>
      <x:c r="H55" s="12" t="n">
        <x:v>1200000000</x:v>
      </x:c>
      <x:c r="I55" s="12" t="n">
        <x:v>21818181.818181816</x:v>
      </x:c>
      <x:c r="J55" s="2" t="str">
        <x:v>total</x:v>
      </x:c>
      <x:c r="K55" s="2" t="str">
        <x:v>top_level_area</x:v>
      </x:c>
      <x:c r="L55" s="2" t="str">
        <x:v>property_type_inferred_from_title</x:v>
      </x:c>
      <x:c r="M55" s="10" t="n">
        <x:v>0</x:v>
      </x:c>
      <x:c r="N55" s="10" t="n">
        <x:v>0</x:v>
      </x:c>
      <x:c r="O55" s="2" t="str">
        <x:v>Tp Hồ Chí Minh|house</x:v>
      </x:c>
      <x:c r="P55" s="10" t="n">
        <x:v>2</x:v>
      </x:c>
      <x:c r="Q55" s="13" t="n">
        <x:f>IF(H55="","",H55/1000000000)</x:f>
        <x:v>1.2</x:v>
      </x:c>
      <x:c r="R55" s="13" t="n">
        <x:f>IF(I55="","",I55/1000000)</x:f>
        <x:v>21.818181818181817</x:v>
      </x:c>
    </x:row>
    <x:row r="56" ht="21" customHeight="1">
      <x:c r="A56" s="10" t="n">
        <x:v>47</x:v>
      </x:c>
      <x:c r="B56" s="2" t="str">
        <x:v>af32dc081d463c90578c</x:v>
      </x:c>
      <x:c r="C56" s="2" t="str">
        <x:v>Đồng Nai</x:v>
      </x:c>
      <x:c r="D56" s="2" t="str">
        <x:v>Huyện Trảng Bom</x:v>
      </x:c>
      <x:c r="E56" s="2" t="str">
        <x:v>land</x:v>
      </x:c>
      <x:c r="F56" s="2" t="str">
        <x:v>sale_assumed</x:v>
      </x:c>
      <x:c r="G56" s="11" t="n">
        <x:v>110</x:v>
      </x:c>
      <x:c r="H56" s="12" t="n">
        <x:v>525000000</x:v>
      </x:c>
      <x:c r="I56" s="12" t="n">
        <x:v>4772727.2727272725</x:v>
      </x:c>
      <x:c r="J56" s="2" t="str">
        <x:v>total</x:v>
      </x:c>
      <x:c r="K56" s="2" t="str">
        <x:v>top_level_area</x:v>
      </x:c>
      <x:c r="L56" s="2" t="str">
        <x:v>property_type_inferred_from_title;transaction_assumed_sale_from_dataset_context</x:v>
      </x:c>
      <x:c r="M56" s="10" t="n">
        <x:v>0</x:v>
      </x:c>
      <x:c r="N56" s="10" t="n">
        <x:v>0</x:v>
      </x:c>
      <x:c r="O56" s="2" t="str">
        <x:v>Đồng Nai|land</x:v>
      </x:c>
      <x:c r="P56" s="10" t="n">
        <x:v>2</x:v>
      </x:c>
      <x:c r="Q56" s="13" t="n">
        <x:f>IF(H56="","",H56/1000000000)</x:f>
        <x:v>0.525</x:v>
      </x:c>
      <x:c r="R56" s="13" t="n">
        <x:f>IF(I56="","",I56/1000000)</x:f>
        <x:v>4.7727272727272725</x:v>
      </x:c>
    </x:row>
    <x:row r="57" ht="21" customHeight="1">
      <x:c r="A57" s="10" t="n">
        <x:v>48</x:v>
      </x:c>
      <x:c r="B57" s="2" t="str">
        <x:v>0b2cf03a6ff62d5340b6</x:v>
      </x:c>
      <x:c r="C57" s="2" t="str">
        <x:v>Tp Hồ Chí Minh</x:v>
      </x:c>
      <x:c r="D57" s="2" t="str">
        <x:v>Quận Tân Phú</x:v>
      </x:c>
      <x:c r="E57" s="2" t="str">
        <x:v>apartment</x:v>
      </x:c>
      <x:c r="F57" s="2" t="str">
        <x:v>sale</x:v>
      </x:c>
      <x:c r="G57" s="11" t="n">
        <x:v>40</x:v>
      </x:c>
      <x:c r="H57" s="12" t="n">
        <x:v>1500000000</x:v>
      </x:c>
      <x:c r="I57" s="12" t="n">
        <x:v>37500000</x:v>
      </x:c>
      <x:c r="J57" s="2" t="str">
        <x:v>total</x:v>
      </x:c>
      <x:c r="K57" s="2" t="str">
        <x:v>top_level_area</x:v>
      </x:c>
      <x:c r="L57" s="2" t="str">
        <x:v>property_type_inferred_from_title</x:v>
      </x:c>
      <x:c r="M57" s="10" t="n">
        <x:v>0</x:v>
      </x:c>
      <x:c r="N57" s="10" t="n">
        <x:v>0</x:v>
      </x:c>
      <x:c r="O57" s="2" t="str">
        <x:v>Tp Hồ Chí Minh|apartment</x:v>
      </x:c>
      <x:c r="P57" s="10" t="n">
        <x:v>2</x:v>
      </x:c>
      <x:c r="Q57" s="13" t="n">
        <x:f>IF(H57="","",H57/1000000000)</x:f>
        <x:v>1.5</x:v>
      </x:c>
      <x:c r="R57" s="13" t="n">
        <x:f>IF(I57="","",I57/1000000)</x:f>
        <x:v>37.5</x:v>
      </x:c>
    </x:row>
    <x:row r="58" ht="21" customHeight="1">
      <x:c r="A58" s="10" t="n">
        <x:v>49</x:v>
      </x:c>
      <x:c r="B58" s="2" t="str">
        <x:v>2b1ef63198196784e45b</x:v>
      </x:c>
      <x:c r="C58" s="2" t="str">
        <x:v>Tiền Giang</x:v>
      </x:c>
      <x:c r="D58" s="2" t="str">
        <x:v>Thành phố Mỹ Tho</x:v>
      </x:c>
      <x:c r="E58" s="2" t="str">
        <x:v>house</x:v>
      </x:c>
      <x:c r="F58" s="2" t="str">
        <x:v>sale_assumed</x:v>
      </x:c>
      <x:c r="G58" s="11" t="n">
        <x:v>64</x:v>
      </x:c>
      <x:c r="H58" s="12" t="n">
        <x:v>850000000</x:v>
      </x:c>
      <x:c r="I58" s="12" t="n">
        <x:v>13281250</x:v>
      </x:c>
      <x:c r="J58" s="2" t="str">
        <x:v>total</x:v>
      </x:c>
      <x:c r="K58" s="2" t="str">
        <x:v>top_level_area</x:v>
      </x:c>
      <x:c r="L58" s="2" t="str">
        <x:v>property_type_inferred_from_title;transaction_assumed_sale_from_dataset_context</x:v>
      </x:c>
      <x:c r="M58" s="10" t="n">
        <x:v>0</x:v>
      </x:c>
      <x:c r="N58" s="10" t="n">
        <x:v>0</x:v>
      </x:c>
      <x:c r="O58" s="2" t="str">
        <x:v>house</x:v>
      </x:c>
      <x:c r="P58" s="10" t="n">
        <x:v>2</x:v>
      </x:c>
      <x:c r="Q58" s="13" t="n">
        <x:f>IF(H58="","",H58/1000000000)</x:f>
        <x:v>0.85</x:v>
      </x:c>
      <x:c r="R58" s="13" t="n">
        <x:f>IF(I58="","",I58/1000000)</x:f>
        <x:v>13.28125</x:v>
      </x:c>
    </x:row>
    <x:row r="59" ht="21" customHeight="1">
      <x:c r="A59" s="10" t="n">
        <x:v>50</x:v>
      </x:c>
      <x:c r="B59" s="2" t="str">
        <x:v>d11b32cb1861d79891cf</x:v>
      </x:c>
      <x:c r="C59" s="2" t="str">
        <x:v>Bà Rịa - Vũng Tàu</x:v>
      </x:c>
      <x:c r="D59" s="2" t="str">
        <x:v>Huyện Xuyên Mộc</x:v>
      </x:c>
      <x:c r="E59" s="2" t="str">
        <x:v>land</x:v>
      </x:c>
      <x:c r="F59" s="2" t="str">
        <x:v>sale_assumed</x:v>
      </x:c>
      <x:c r="G59" s="11" t="n">
        <x:v>2600</x:v>
      </x:c>
      <x:c r="H59" s="12" t="n">
        <x:v>4680000000</x:v>
      </x:c>
      <x:c r="I59" s="12" t="n">
        <x:v>1800000</x:v>
      </x:c>
      <x:c r="J59" s="2" t="str">
        <x:v>total</x:v>
      </x:c>
      <x:c r="K59" s="2" t="str">
        <x:v>top_level_price_embedded_area</x:v>
      </x:c>
      <x:c r="L59" s="2" t="str">
        <x:v>area_recovered_from_price_text;dot_thousands_convention;property_type_inferred_from_title;transaction_assumed_sale_from_dataset_context</x:v>
      </x:c>
      <x:c r="M59" s="10" t="n">
        <x:v>0</x:v>
      </x:c>
      <x:c r="N59" s="10" t="n">
        <x:v>0</x:v>
      </x:c>
      <x:c r="O59" s="2" t="str">
        <x:v>Bà Rịa - Vũng Tàu|land</x:v>
      </x:c>
      <x:c r="P59" s="10" t="n">
        <x:v>1</x:v>
      </x:c>
      <x:c r="Q59" s="13" t="n">
        <x:f>IF(H59="","",H59/1000000000)</x:f>
        <x:v>4.68</x:v>
      </x:c>
      <x:c r="R59" s="13" t="n">
        <x:f>IF(I59="","",I59/1000000)</x:f>
        <x:v>1.8</x:v>
      </x:c>
    </x:row>
    <x:row r="60" ht="21" customHeight="1">
      <x:c r="A60" s="10" t="n">
        <x:v>51</x:v>
      </x:c>
      <x:c r="B60" s="2" t="str">
        <x:v>0817ffc034cb0b92c0a8</x:v>
      </x:c>
      <x:c r="C60" s="2" t="str">
        <x:v>Chưa xác định</x:v>
      </x:c>
      <x:c r="D60" s="2" t="str">
        <x:v>Chưa xác định</x:v>
      </x:c>
      <x:c r="E60" s="2" t="str">
        <x:v>house</x:v>
      </x:c>
      <x:c r="F60" s="2" t="str">
        <x:v>sale_assumed</x:v>
      </x:c>
      <x:c r="G60" s="11" t="n">
        <x:v>60</x:v>
      </x:c>
      <x:c r="H60" s="12" t="n">
        <x:v>8300000000.000001</x:v>
      </x:c>
      <x:c r="I60" s="12" t="n">
        <x:v>138333333.33333334</x:v>
      </x:c>
      <x:c r="J60" s="2" t="str">
        <x:v>total</x:v>
      </x:c>
      <x:c r="K60" s="2" t="str">
        <x:v>top_level_area</x:v>
      </x:c>
      <x:c r="L60" s="2" t="str">
        <x:v>property_type_inferred_from_title;transaction_assumed_sale_from_dataset_context;unknown_district;unknown_province</x:v>
      </x:c>
      <x:c r="M60" s="10" t="n">
        <x:v>0</x:v>
      </x:c>
      <x:c r="N60" s="10" t="n">
        <x:v>0</x:v>
      </x:c>
      <x:c r="O60" s="2" t="str">
        <x:v>house</x:v>
      </x:c>
      <x:c r="P60" s="10" t="n">
        <x:v>2</x:v>
      </x:c>
      <x:c r="Q60" s="13" t="n">
        <x:f>IF(H60="","",H60/1000000000)</x:f>
        <x:v>8.3</x:v>
      </x:c>
      <x:c r="R60" s="13" t="n">
        <x:f>IF(I60="","",I60/1000000)</x:f>
        <x:v>138.33333333333334</x:v>
      </x:c>
    </x:row>
    <x:row r="61" ht="21" customHeight="1">
      <x:c r="A61" s="10" t="n">
        <x:v>52</x:v>
      </x:c>
      <x:c r="B61" s="2" t="str">
        <x:v>1cb225a277671aa8d0c2</x:v>
      </x:c>
      <x:c r="C61" s="2" t="str">
        <x:v>Bình Dương</x:v>
      </x:c>
      <x:c r="D61" s="2" t="str">
        <x:v>Thị xã Thuận An</x:v>
      </x:c>
      <x:c r="E61" s="2" t="str">
        <x:v>land</x:v>
      </x:c>
      <x:c r="F61" s="2" t="str">
        <x:v>sale</x:v>
      </x:c>
      <x:c r="G61" s="11" t="n">
        <x:v>64</x:v>
      </x:c>
      <x:c r="H61" s="12" t="n">
        <x:v>1350000000</x:v>
      </x:c>
      <x:c r="I61" s="12" t="n">
        <x:v>21093750</x:v>
      </x:c>
      <x:c r="J61" s="2" t="str">
        <x:v>total</x:v>
      </x:c>
      <x:c r="K61" s="2" t="str">
        <x:v>top_level_area</x:v>
      </x:c>
      <x:c r="L61" s="2" t="str">
        <x:v>property_type_inferred_from_title</x:v>
      </x:c>
      <x:c r="M61" s="10" t="n">
        <x:v>0</x:v>
      </x:c>
      <x:c r="N61" s="10" t="n">
        <x:v>0</x:v>
      </x:c>
      <x:c r="O61" s="2" t="str">
        <x:v>Bình Dương|land</x:v>
      </x:c>
      <x:c r="P61" s="10" t="n">
        <x:v>2</x:v>
      </x:c>
      <x:c r="Q61" s="13" t="n">
        <x:f>IF(H61="","",H61/1000000000)</x:f>
        <x:v>1.35</x:v>
      </x:c>
      <x:c r="R61" s="13" t="n">
        <x:f>IF(I61="","",I61/1000000)</x:f>
        <x:v>21.09375</x:v>
      </x:c>
    </x:row>
    <x:row r="62" ht="21" customHeight="1">
      <x:c r="A62" s="10" t="n">
        <x:v>53</x:v>
      </x:c>
      <x:c r="B62" s="2" t="str">
        <x:v>ed2ede36640b3a1d7c14</x:v>
      </x:c>
      <x:c r="C62" s="2" t="str">
        <x:v>Tp Hồ Chí Minh</x:v>
      </x:c>
      <x:c r="D62" s="2" t="str">
        <x:v>Huyện Bình Chánh</x:v>
      </x:c>
      <x:c r="E62" s="2" t="str">
        <x:v>land</x:v>
      </x:c>
      <x:c r="F62" s="2" t="str">
        <x:v>sale</x:v>
      </x:c>
      <x:c r="G62" s="11" t="n">
        <x:v>44</x:v>
      </x:c>
      <x:c r="H62" s="12" t="n">
        <x:v>239000000</x:v>
      </x:c>
      <x:c r="I62" s="12" t="n">
        <x:v>5431818.181818182</x:v>
      </x:c>
      <x:c r="J62" s="2" t="str">
        <x:v>total</x:v>
      </x:c>
      <x:c r="K62" s="2" t="str">
        <x:v>top_level_area</x:v>
      </x:c>
      <x:c r="L62" s="2" t="str">
        <x:v>property_type_inferred_from_title</x:v>
      </x:c>
      <x:c r="M62" s="10" t="n">
        <x:v>0</x:v>
      </x:c>
      <x:c r="N62" s="10" t="n">
        <x:v>0</x:v>
      </x:c>
      <x:c r="O62" s="2" t="str">
        <x:v>Tp Hồ Chí Minh|land</x:v>
      </x:c>
      <x:c r="P62" s="10" t="n">
        <x:v>2</x:v>
      </x:c>
      <x:c r="Q62" s="13" t="n">
        <x:f>IF(H62="","",H62/1000000000)</x:f>
        <x:v>0.239</x:v>
      </x:c>
      <x:c r="R62" s="13" t="n">
        <x:f>IF(I62="","",I62/1000000)</x:f>
        <x:v>5.431818181818182</x:v>
      </x:c>
    </x:row>
    <x:row r="63" ht="21" customHeight="1">
      <x:c r="A63" s="10" t="n">
        <x:v>54</x:v>
      </x:c>
      <x:c r="B63" s="2" t="str">
        <x:v>67e85268b0917124b6e0</x:v>
      </x:c>
      <x:c r="C63" s="2" t="str">
        <x:v>Đắk Lắk</x:v>
      </x:c>
      <x:c r="D63" s="2" t="str">
        <x:v>Thành phố Buôn Ma Thuột</x:v>
      </x:c>
      <x:c r="E63" s="2" t="str">
        <x:v>house</x:v>
      </x:c>
      <x:c r="F63" s="2" t="str">
        <x:v>sale_assumed</x:v>
      </x:c>
      <x:c r="G63" s="11" t="n">
        <x:v>110</x:v>
      </x:c>
      <x:c r="H63" s="12" t="n">
        <x:v>4300000000</x:v>
      </x:c>
      <x:c r="I63" s="12" t="n">
        <x:v>39090909.09090909</x:v>
      </x:c>
      <x:c r="J63" s="2" t="str">
        <x:v>total</x:v>
      </x:c>
      <x:c r="K63" s="2" t="str">
        <x:v>top_level_area</x:v>
      </x:c>
      <x:c r="L63" s="2" t="str">
        <x:v>property_type_inferred_from_title;transaction_assumed_sale_from_dataset_context</x:v>
      </x:c>
      <x:c r="M63" s="10" t="n">
        <x:v>0</x:v>
      </x:c>
      <x:c r="N63" s="10" t="n">
        <x:v>0</x:v>
      </x:c>
      <x:c r="O63" s="2" t="str">
        <x:v>Đắk Lắk|house</x:v>
      </x:c>
      <x:c r="P63" s="10" t="n">
        <x:v>2</x:v>
      </x:c>
      <x:c r="Q63" s="13" t="n">
        <x:f>IF(H63="","",H63/1000000000)</x:f>
        <x:v>4.3</x:v>
      </x:c>
      <x:c r="R63" s="13" t="n">
        <x:f>IF(I63="","",I63/1000000)</x:f>
        <x:v>39.09090909090909</x:v>
      </x:c>
    </x:row>
    <x:row r="64" ht="21" customHeight="1">
      <x:c r="A64" s="10" t="n">
        <x:v>55</x:v>
      </x:c>
      <x:c r="B64" s="2" t="str">
        <x:v>3679b476db8f85bfeb02</x:v>
      </x:c>
      <x:c r="C64" s="2" t="str">
        <x:v>Tp Hồ Chí Minh</x:v>
      </x:c>
      <x:c r="D64" s="2" t="str">
        <x:v>Quận Thủ Đức</x:v>
      </x:c>
      <x:c r="E64" s="2" t="str">
        <x:v>land</x:v>
      </x:c>
      <x:c r="F64" s="2" t="str">
        <x:v>sale</x:v>
      </x:c>
      <x:c r="G64" s="11" t="n">
        <x:v>51.26</x:v>
      </x:c>
      <x:c r="H64" s="12" t="n">
        <x:v>1350000000</x:v>
      </x:c>
      <x:c r="I64" s="12" t="n">
        <x:v>26336324.619586423</x:v>
      </x:c>
      <x:c r="J64" s="2" t="str">
        <x:v>total</x:v>
      </x:c>
      <x:c r="K64" s="2" t="str">
        <x:v>top_level_area</x:v>
      </x:c>
      <x:c r="L64" s="2" t="str">
        <x:v>property_type_inferred_from_title</x:v>
      </x:c>
      <x:c r="M64" s="10" t="n">
        <x:v>0</x:v>
      </x:c>
      <x:c r="N64" s="10" t="n">
        <x:v>0</x:v>
      </x:c>
      <x:c r="O64" s="2" t="str">
        <x:v>Tp Hồ Chí Minh|land</x:v>
      </x:c>
      <x:c r="P64" s="10" t="n">
        <x:v>2</x:v>
      </x:c>
      <x:c r="Q64" s="13" t="n">
        <x:f>IF(H64="","",H64/1000000000)</x:f>
        <x:v>1.35</x:v>
      </x:c>
      <x:c r="R64" s="13" t="n">
        <x:f>IF(I64="","",I64/1000000)</x:f>
        <x:v>26.336324619586424</x:v>
      </x:c>
    </x:row>
    <x:row r="65" ht="21" customHeight="1">
      <x:c r="A65" s="10" t="n">
        <x:v>56</x:v>
      </x:c>
      <x:c r="B65" s="2" t="str">
        <x:v>ef877e33e07ab3599286</x:v>
      </x:c>
      <x:c r="C65" s="2" t="str">
        <x:v>Tp Hồ Chí Minh</x:v>
      </x:c>
      <x:c r="D65" s="2" t="str">
        <x:v>Quận 2</x:v>
      </x:c>
      <x:c r="E65" s="2" t="str">
        <x:v>other_unknown</x:v>
      </x:c>
      <x:c r="F65" s="2" t="str">
        <x:v>sale_assumed</x:v>
      </x:c>
      <x:c r="G65" s="11" t="n">
        <x:v>60</x:v>
      </x:c>
      <x:c r="H65" s="12" t="n">
        <x:v>730000000</x:v>
      </x:c>
      <x:c r="I65" s="12" t="n">
        <x:v>12166666.666666666</x:v>
      </x:c>
      <x:c r="J65" s="2" t="str">
        <x:v>total</x:v>
      </x:c>
      <x:c r="K65" s="2" t="str">
        <x:v>top_level_area</x:v>
      </x:c>
      <x:c r="L65" s="2" t="str">
        <x:v>property_type_inferred_from_title;transaction_assumed_sale_from_dataset_context;unknown_property_type</x:v>
      </x:c>
      <x:c r="M65" s="10" t="n">
        <x:v>0</x:v>
      </x:c>
      <x:c r="N65" s="10" t="n">
        <x:v>0</x:v>
      </x:c>
      <x:c r="O65" s="2" t="str">
        <x:v>Tp Hồ Chí Minh|other_unknown</x:v>
      </x:c>
      <x:c r="P65" s="10" t="n">
        <x:v>2</x:v>
      </x:c>
      <x:c r="Q65" s="13" t="n">
        <x:f>IF(H65="","",H65/1000000000)</x:f>
        <x:v>0.73</x:v>
      </x:c>
      <x:c r="R65" s="13" t="n">
        <x:f>IF(I65="","",I65/1000000)</x:f>
        <x:v>12.166666666666666</x:v>
      </x:c>
    </x:row>
    <x:row r="66" ht="21" customHeight="1">
      <x:c r="A66" s="10" t="n">
        <x:v>57</x:v>
      </x:c>
      <x:c r="B66" s="2" t="str">
        <x:v>d728adece8e9a3273b83</x:v>
      </x:c>
      <x:c r="C66" s="2" t="str">
        <x:v>Tp Hồ Chí Minh</x:v>
      </x:c>
      <x:c r="D66" s="2" t="str">
        <x:v>Quận 8</x:v>
      </x:c>
      <x:c r="E66" s="2" t="str">
        <x:v>house</x:v>
      </x:c>
      <x:c r="F66" s="2" t="str">
        <x:v>sale</x:v>
      </x:c>
      <x:c r="G66" s="11" t="n">
        <x:v>40</x:v>
      </x:c>
      <x:c r="H66" s="12" t="n">
        <x:v>850000000</x:v>
      </x:c>
      <x:c r="I66" s="12" t="n">
        <x:v>21250000</x:v>
      </x:c>
      <x:c r="J66" s="2" t="str">
        <x:v>total</x:v>
      </x:c>
      <x:c r="K66" s="2" t="str">
        <x:v>top_level_area</x:v>
      </x:c>
      <x:c r="L66" s="2" t="str">
        <x:v>property_type_inferred_from_title</x:v>
      </x:c>
      <x:c r="M66" s="10" t="n">
        <x:v>0</x:v>
      </x:c>
      <x:c r="N66" s="10" t="n">
        <x:v>0</x:v>
      </x:c>
      <x:c r="O66" s="2" t="str">
        <x:v>Tp Hồ Chí Minh|house</x:v>
      </x:c>
      <x:c r="P66" s="10" t="n">
        <x:v>2</x:v>
      </x:c>
      <x:c r="Q66" s="13" t="n">
        <x:f>IF(H66="","",H66/1000000000)</x:f>
        <x:v>0.85</x:v>
      </x:c>
      <x:c r="R66" s="13" t="n">
        <x:f>IF(I66="","",I66/1000000)</x:f>
        <x:v>21.25</x:v>
      </x:c>
    </x:row>
    <x:row r="67" ht="21" customHeight="1">
      <x:c r="A67" s="10" t="n">
        <x:v>58</x:v>
      </x:c>
      <x:c r="B67" s="2" t="str">
        <x:v>df3a4516895b5a931448</x:v>
      </x:c>
      <x:c r="C67" s="2" t="str">
        <x:v>Tp Hồ Chí Minh</x:v>
      </x:c>
      <x:c r="D67" s="2" t="str">
        <x:v>Quận 2</x:v>
      </x:c>
      <x:c r="E67" s="2" t="str">
        <x:v>house</x:v>
      </x:c>
      <x:c r="F67" s="2" t="str">
        <x:v>sale_assumed</x:v>
      </x:c>
      <x:c r="G67" s="11" t="n">
        <x:v>60</x:v>
      </x:c>
      <x:c r="H67" s="12" t="n">
        <x:v>780000000</x:v>
      </x:c>
      <x:c r="I67" s="12" t="n">
        <x:v>13000000</x:v>
      </x:c>
      <x:c r="J67" s="2" t="str">
        <x:v>total</x:v>
      </x:c>
      <x:c r="K67" s="2" t="str">
        <x:v>top_level_area</x:v>
      </x:c>
      <x:c r="L67" s="2" t="str">
        <x:v>property_type_inferred_from_title;transaction_assumed_sale_from_dataset_context</x:v>
      </x:c>
      <x:c r="M67" s="10" t="n">
        <x:v>0</x:v>
      </x:c>
      <x:c r="N67" s="10" t="n">
        <x:v>0</x:v>
      </x:c>
      <x:c r="O67" s="2" t="str">
        <x:v>Tp Hồ Chí Minh|house</x:v>
      </x:c>
      <x:c r="P67" s="10" t="n">
        <x:v>2</x:v>
      </x:c>
      <x:c r="Q67" s="13" t="n">
        <x:f>IF(H67="","",H67/1000000000)</x:f>
        <x:v>0.78</x:v>
      </x:c>
      <x:c r="R67" s="13" t="n">
        <x:f>IF(I67="","",I67/1000000)</x:f>
        <x:v>13</x:v>
      </x:c>
    </x:row>
    <x:row r="68" ht="21" customHeight="1">
      <x:c r="A68" s="10" t="n">
        <x:v>59</x:v>
      </x:c>
      <x:c r="B68" s="2" t="str">
        <x:v>224096de7df9c7758767</x:v>
      </x:c>
      <x:c r="C68" s="2" t="str">
        <x:v>Bình Dương</x:v>
      </x:c>
      <x:c r="D68" s="2" t="str">
        <x:v>Thị xã Dĩ An</x:v>
      </x:c>
      <x:c r="E68" s="2" t="str">
        <x:v>land</x:v>
      </x:c>
      <x:c r="F68" s="2" t="str">
        <x:v>sale_assumed</x:v>
      </x:c>
      <x:c r="G68" s="11" t="n">
        <x:v>240</x:v>
      </x:c>
      <x:c r="H68" s="12" t="n">
        <x:v>4400000000</x:v>
      </x:c>
      <x:c r="I68" s="12" t="n">
        <x:v>18333333.333333332</x:v>
      </x:c>
      <x:c r="J68" s="2" t="str">
        <x:v>total</x:v>
      </x:c>
      <x:c r="K68" s="2" t="str">
        <x:v>top_level_area</x:v>
      </x:c>
      <x:c r="L68" s="2" t="str">
        <x:v>property_type_inferred_from_title;transaction_assumed_sale_from_dataset_context</x:v>
      </x:c>
      <x:c r="M68" s="10" t="n">
        <x:v>0</x:v>
      </x:c>
      <x:c r="N68" s="10" t="n">
        <x:v>0</x:v>
      </x:c>
      <x:c r="O68" s="2" t="str">
        <x:v>Bình Dương|land</x:v>
      </x:c>
      <x:c r="P68" s="10" t="n">
        <x:v>2</x:v>
      </x:c>
      <x:c r="Q68" s="13" t="n">
        <x:f>IF(H68="","",H68/1000000000)</x:f>
        <x:v>4.4</x:v>
      </x:c>
      <x:c r="R68" s="13" t="n">
        <x:f>IF(I68="","",I68/1000000)</x:f>
        <x:v>18.333333333333332</x:v>
      </x:c>
    </x:row>
    <x:row r="69" ht="21" customHeight="1">
      <x:c r="A69" s="10" t="n">
        <x:v>60</x:v>
      </x:c>
      <x:c r="B69" s="2" t="str">
        <x:v>b71899aff15320643460</x:v>
      </x:c>
      <x:c r="C69" s="2" t="str">
        <x:v>Đà Nẵng</x:v>
      </x:c>
      <x:c r="D69" s="2" t="str">
        <x:v>Quận Thanh Khê</x:v>
      </x:c>
      <x:c r="E69" s="2" t="str">
        <x:v>house</x:v>
      </x:c>
      <x:c r="F69" s="2" t="str">
        <x:v>sale</x:v>
      </x:c>
      <x:c r="G69" s="11" t="n">
        <x:v>100</x:v>
      </x:c>
      <x:c r="H69" s="12" t="n">
        <x:v>6500000000</x:v>
      </x:c>
      <x:c r="I69" s="12" t="n">
        <x:v>65000000</x:v>
      </x:c>
      <x:c r="J69" s="2" t="str">
        <x:v>total</x:v>
      </x:c>
      <x:c r="K69" s="2" t="str">
        <x:v>top_level_area</x:v>
      </x:c>
      <x:c r="L69" s="2" t="str">
        <x:v>property_type_inferred_from_title</x:v>
      </x:c>
      <x:c r="M69" s="10" t="n">
        <x:v>0</x:v>
      </x:c>
      <x:c r="N69" s="10" t="n">
        <x:v>0</x:v>
      </x:c>
      <x:c r="O69" s="2" t="str">
        <x:v>Đà Nẵng|house</x:v>
      </x:c>
      <x:c r="P69" s="10" t="n">
        <x:v>2</x:v>
      </x:c>
      <x:c r="Q69" s="13" t="n">
        <x:f>IF(H69="","",H69/1000000000)</x:f>
        <x:v>6.5</x:v>
      </x:c>
      <x:c r="R69" s="13" t="n">
        <x:f>IF(I69="","",I69/1000000)</x:f>
        <x:v>65</x:v>
      </x:c>
    </x:row>
    <x:row r="70" ht="21" customHeight="1">
      <x:c r="A70" s="10" t="n">
        <x:v>61</x:v>
      </x:c>
      <x:c r="B70" s="2" t="str">
        <x:v>07f11ce955ecf6aebd92</x:v>
      </x:c>
      <x:c r="C70" s="2" t="str">
        <x:v>Tp Hồ Chí Minh</x:v>
      </x:c>
      <x:c r="D70" s="2" t="str">
        <x:v>Quận Gò Vấp</x:v>
      </x:c>
      <x:c r="E70" s="2" t="str">
        <x:v>house</x:v>
      </x:c>
      <x:c r="F70" s="2" t="str">
        <x:v>sale_assumed</x:v>
      </x:c>
      <x:c r="G70" s="11" t="n">
        <x:v>58.8</x:v>
      </x:c>
      <x:c r="H70" s="12" t="n">
        <x:v>7600000000</x:v>
      </x:c>
      <x:c r="I70" s="12" t="n">
        <x:v>129251700.68027212</x:v>
      </x:c>
      <x:c r="J70" s="2" t="str">
        <x:v>total</x:v>
      </x:c>
      <x:c r="K70" s="2" t="str">
        <x:v>top_level_area</x:v>
      </x:c>
      <x:c r="L70" s="2" t="str">
        <x:v>property_type_inferred_from_title;transaction_assumed_sale_from_dataset_context</x:v>
      </x:c>
      <x:c r="M70" s="10" t="n">
        <x:v>0</x:v>
      </x:c>
      <x:c r="N70" s="10" t="n">
        <x:v>0</x:v>
      </x:c>
      <x:c r="O70" s="2" t="str">
        <x:v>Tp Hồ Chí Minh|house</x:v>
      </x:c>
      <x:c r="P70" s="10" t="n">
        <x:v>2</x:v>
      </x:c>
      <x:c r="Q70" s="13" t="n">
        <x:f>IF(H70="","",H70/1000000000)</x:f>
        <x:v>7.6</x:v>
      </x:c>
      <x:c r="R70" s="13" t="n">
        <x:f>IF(I70="","",I70/1000000)</x:f>
        <x:v>129.2517006802721</x:v>
      </x:c>
    </x:row>
    <x:row r="71" ht="21" customHeight="1">
      <x:c r="A71" s="10" t="n">
        <x:v>62</x:v>
      </x:c>
      <x:c r="B71" s="2" t="str">
        <x:v>c5ed46fbac3e33ec5f04</x:v>
      </x:c>
      <x:c r="C71" s="2" t="str">
        <x:v>Tây Ninh</x:v>
      </x:c>
      <x:c r="D71" s="2" t="str">
        <x:v>Huyện Gò Dầu</x:v>
      </x:c>
      <x:c r="E71" s="2" t="str">
        <x:v>land</x:v>
      </x:c>
      <x:c r="F71" s="2" t="str">
        <x:v>sale_assumed</x:v>
      </x:c>
      <x:c r="G71" s="11" t="n">
        <x:v>200</x:v>
      </x:c>
      <x:c r="H71" s="12" t="n">
        <x:v>438000000</x:v>
      </x:c>
      <x:c r="I71" s="12" t="n">
        <x:v>2190000</x:v>
      </x:c>
      <x:c r="J71" s="2" t="str">
        <x:v>total</x:v>
      </x:c>
      <x:c r="K71" s="2" t="str">
        <x:v>top_level_area</x:v>
      </x:c>
      <x:c r="L71" s="2" t="str">
        <x:v>property_type_inferred_from_title;transaction_assumed_sale_from_dataset_context</x:v>
      </x:c>
      <x:c r="M71" s="10" t="n">
        <x:v>0</x:v>
      </x:c>
      <x:c r="N71" s="10" t="n">
        <x:v>0</x:v>
      </x:c>
      <x:c r="O71" s="2" t="str">
        <x:v>land</x:v>
      </x:c>
      <x:c r="P71" s="10" t="n">
        <x:v>1</x:v>
      </x:c>
      <x:c r="Q71" s="13" t="n">
        <x:f>IF(H71="","",H71/1000000000)</x:f>
        <x:v>0.438</x:v>
      </x:c>
      <x:c r="R71" s="13" t="n">
        <x:f>IF(I71="","",I71/1000000)</x:f>
        <x:v>2.19</x:v>
      </x:c>
    </x:row>
    <x:row r="72" ht="21" customHeight="1">
      <x:c r="A72" s="10" t="n">
        <x:v>63</x:v>
      </x:c>
      <x:c r="B72" s="2" t="str">
        <x:v>1fa31fd37f0936e31607</x:v>
      </x:c>
      <x:c r="C72" s="2" t="str">
        <x:v>Bình Phước</x:v>
      </x:c>
      <x:c r="D72" s="2" t="str">
        <x:v>Thị xã Bình Long</x:v>
      </x:c>
      <x:c r="E72" s="2" t="str">
        <x:v>land</x:v>
      </x:c>
      <x:c r="F72" s="2" t="str">
        <x:v>sale_assumed</x:v>
      </x:c>
      <x:c r="G72" s="11" t="n">
        <x:v>125</x:v>
      </x:c>
      <x:c r="H72" s="12" t="n">
        <x:v>550000000</x:v>
      </x:c>
      <x:c r="I72" s="12" t="n">
        <x:v>4400000</x:v>
      </x:c>
      <x:c r="J72" s="2" t="str">
        <x:v>total</x:v>
      </x:c>
      <x:c r="K72" s="2" t="str">
        <x:v>top_level_area</x:v>
      </x:c>
      <x:c r="L72" s="2" t="str">
        <x:v>property_type_inferred_from_title;transaction_assumed_sale_from_dataset_context</x:v>
      </x:c>
      <x:c r="M72" s="10" t="n">
        <x:v>0</x:v>
      </x:c>
      <x:c r="N72" s="10" t="n">
        <x:v>0</x:v>
      </x:c>
      <x:c r="O72" s="2" t="str">
        <x:v>Bình Phước|land</x:v>
      </x:c>
      <x:c r="P72" s="10" t="n">
        <x:v>2</x:v>
      </x:c>
      <x:c r="Q72" s="13" t="n">
        <x:f>IF(H72="","",H72/1000000000)</x:f>
        <x:v>0.55</x:v>
      </x:c>
      <x:c r="R72" s="13" t="n">
        <x:f>IF(I72="","",I72/1000000)</x:f>
        <x:v>4.4</x:v>
      </x:c>
    </x:row>
    <x:row r="73" ht="21" customHeight="1">
      <x:c r="A73" s="10" t="n">
        <x:v>64</x:v>
      </x:c>
      <x:c r="B73" s="2" t="str">
        <x:v>71f0e0a32ddb218141bb</x:v>
      </x:c>
      <x:c r="C73" s="2" t="str">
        <x:v>Đồng Nai</x:v>
      </x:c>
      <x:c r="D73" s="2" t="str">
        <x:v>Thành phố Biên Hòa</x:v>
      </x:c>
      <x:c r="E73" s="2" t="str">
        <x:v>land</x:v>
      </x:c>
      <x:c r="F73" s="2" t="str">
        <x:v>sale</x:v>
      </x:c>
      <x:c r="G73" s="11" t="n">
        <x:v>100</x:v>
      </x:c>
      <x:c r="H73" s="12" t="n">
        <x:v>890000000</x:v>
      </x:c>
      <x:c r="I73" s="12" t="n">
        <x:v>8900000</x:v>
      </x:c>
      <x:c r="J73" s="2" t="str">
        <x:v>total</x:v>
      </x:c>
      <x:c r="K73" s="2" t="str">
        <x:v>top_level_area</x:v>
      </x:c>
      <x:c r="L73" s="2" t="str">
        <x:v>property_type_inferred_from_title</x:v>
      </x:c>
      <x:c r="M73" s="10" t="n">
        <x:v>0</x:v>
      </x:c>
      <x:c r="N73" s="10" t="n">
        <x:v>0</x:v>
      </x:c>
      <x:c r="O73" s="2" t="str">
        <x:v>Đồng Nai|land</x:v>
      </x:c>
      <x:c r="P73" s="10" t="n">
        <x:v>2</x:v>
      </x:c>
      <x:c r="Q73" s="13" t="n">
        <x:f>IF(H73="","",H73/1000000000)</x:f>
        <x:v>0.89</x:v>
      </x:c>
      <x:c r="R73" s="13" t="n">
        <x:f>IF(I73="","",I73/1000000)</x:f>
        <x:v>8.9</x:v>
      </x:c>
    </x:row>
    <x:row r="74" ht="21" customHeight="1">
      <x:c r="A74" s="10" t="n">
        <x:v>65</x:v>
      </x:c>
      <x:c r="B74" s="2" t="str">
        <x:v>410a7eff981357a9c56b</x:v>
      </x:c>
      <x:c r="C74" s="2" t="str">
        <x:v>Tp Hồ Chí Minh</x:v>
      </x:c>
      <x:c r="D74" s="2" t="str">
        <x:v>Quận Bình Thạnh</x:v>
      </x:c>
      <x:c r="E74" s="2" t="str">
        <x:v>house</x:v>
      </x:c>
      <x:c r="F74" s="2" t="str">
        <x:v>sale_assumed</x:v>
      </x:c>
      <x:c r="G74" s="11" t="n">
        <x:v>35</x:v>
      </x:c>
      <x:c r="H74" s="12" t="n">
        <x:v>3650000000</x:v>
      </x:c>
      <x:c r="I74" s="12" t="n">
        <x:v>104285714.28571428</x:v>
      </x:c>
      <x:c r="J74" s="2" t="str">
        <x:v>total</x:v>
      </x:c>
      <x:c r="K74" s="2" t="str">
        <x:v>top_level_area</x:v>
      </x:c>
      <x:c r="L74" s="2" t="str">
        <x:v>property_type_inferred_from_title;transaction_assumed_sale_from_dataset_context</x:v>
      </x:c>
      <x:c r="M74" s="10" t="n">
        <x:v>0</x:v>
      </x:c>
      <x:c r="N74" s="10" t="n">
        <x:v>0</x:v>
      </x:c>
      <x:c r="O74" s="2" t="str">
        <x:v>Tp Hồ Chí Minh|house</x:v>
      </x:c>
      <x:c r="P74" s="10" t="n">
        <x:v>2</x:v>
      </x:c>
      <x:c r="Q74" s="13" t="n">
        <x:f>IF(H74="","",H74/1000000000)</x:f>
        <x:v>3.65</x:v>
      </x:c>
      <x:c r="R74" s="13" t="n">
        <x:f>IF(I74="","",I74/1000000)</x:f>
        <x:v>104.28571428571428</x:v>
      </x:c>
    </x:row>
    <x:row r="75" ht="21" customHeight="1">
      <x:c r="A75" s="10" t="n">
        <x:v>66</x:v>
      </x:c>
      <x:c r="B75" s="2" t="str">
        <x:v>c3273644a9c82e05d624</x:v>
      </x:c>
      <x:c r="C75" s="2" t="str">
        <x:v>Tp Hồ Chí Minh</x:v>
      </x:c>
      <x:c r="D75" s="2" t="str">
        <x:v>Quận 7</x:v>
      </x:c>
      <x:c r="E75" s="2" t="str">
        <x:v>house</x:v>
      </x:c>
      <x:c r="F75" s="2" t="str">
        <x:v>sale</x:v>
      </x:c>
      <x:c r="G75" s="11" t="n">
        <x:v>70</x:v>
      </x:c>
      <x:c r="H75" s="12" t="n">
        <x:v>5600000000</x:v>
      </x:c>
      <x:c r="I75" s="12" t="n">
        <x:v>80000000</x:v>
      </x:c>
      <x:c r="J75" s="2" t="str">
        <x:v>total</x:v>
      </x:c>
      <x:c r="K75" s="2" t="str">
        <x:v>top_level_area</x:v>
      </x:c>
      <x:c r="L75" s="2" t="str">
        <x:v>property_type_inferred_from_title</x:v>
      </x:c>
      <x:c r="M75" s="10" t="n">
        <x:v>0</x:v>
      </x:c>
      <x:c r="N75" s="10" t="n">
        <x:v>0</x:v>
      </x:c>
      <x:c r="O75" s="2" t="str">
        <x:v>Tp Hồ Chí Minh|house</x:v>
      </x:c>
      <x:c r="P75" s="10" t="n">
        <x:v>2</x:v>
      </x:c>
      <x:c r="Q75" s="13" t="n">
        <x:f>IF(H75="","",H75/1000000000)</x:f>
        <x:v>5.6</x:v>
      </x:c>
      <x:c r="R75" s="13" t="n">
        <x:f>IF(I75="","",I75/1000000)</x:f>
        <x:v>80</x:v>
      </x:c>
    </x:row>
    <x:row r="76" ht="21" customHeight="1">
      <x:c r="A76" s="10" t="n">
        <x:v>67</x:v>
      </x:c>
      <x:c r="B76" s="2" t="str">
        <x:v>0ce2a11c08ddae2b5281</x:v>
      </x:c>
      <x:c r="C76" s="2" t="str">
        <x:v>Đồng Nai</x:v>
      </x:c>
      <x:c r="D76" s="2" t="str">
        <x:v>Huyện Trảng Bom</x:v>
      </x:c>
      <x:c r="E76" s="2" t="str">
        <x:v>land</x:v>
      </x:c>
      <x:c r="F76" s="2" t="str">
        <x:v>sale_assumed</x:v>
      </x:c>
      <x:c r="G76" s="11" t="n">
        <x:v>110</x:v>
      </x:c>
      <x:c r="H76" s="12" t="n">
        <x:v>285000000</x:v>
      </x:c>
      <x:c r="I76" s="12" t="n">
        <x:v>2590909.090909091</x:v>
      </x:c>
      <x:c r="J76" s="2" t="str">
        <x:v>total</x:v>
      </x:c>
      <x:c r="K76" s="2" t="str">
        <x:v>top_level_area</x:v>
      </x:c>
      <x:c r="L76" s="2" t="str">
        <x:v>property_type_inferred_from_title;transaction_assumed_sale_from_dataset_context</x:v>
      </x:c>
      <x:c r="M76" s="10" t="n">
        <x:v>0</x:v>
      </x:c>
      <x:c r="N76" s="10" t="n">
        <x:v>0</x:v>
      </x:c>
      <x:c r="O76" s="2" t="str">
        <x:v>Đồng Nai|land</x:v>
      </x:c>
      <x:c r="P76" s="10" t="n">
        <x:v>1</x:v>
      </x:c>
      <x:c r="Q76" s="13" t="n">
        <x:f>IF(H76="","",H76/1000000000)</x:f>
        <x:v>0.285</x:v>
      </x:c>
      <x:c r="R76" s="13" t="n">
        <x:f>IF(I76="","",I76/1000000)</x:f>
        <x:v>2.590909090909091</x:v>
      </x:c>
    </x:row>
    <x:row r="77" ht="21" customHeight="1">
      <x:c r="A77" s="10" t="n">
        <x:v>68</x:v>
      </x:c>
      <x:c r="B77" s="2" t="str">
        <x:v>39dadb1701327a2979aa</x:v>
      </x:c>
      <x:c r="C77" s="2" t="str">
        <x:v>Đà Nẵng</x:v>
      </x:c>
      <x:c r="D77" s="2" t="str">
        <x:v>Quận Sơn Trà</x:v>
      </x:c>
      <x:c r="E77" s="2" t="str">
        <x:v>house</x:v>
      </x:c>
      <x:c r="F77" s="2" t="str">
        <x:v>sale</x:v>
      </x:c>
      <x:c r="G77" s="11" t="n">
        <x:v>150</x:v>
      </x:c>
      <x:c r="H77" s="12" t="n">
        <x:v>5700000000</x:v>
      </x:c>
      <x:c r="I77" s="12" t="n">
        <x:v>38000000</x:v>
      </x:c>
      <x:c r="J77" s="2" t="str">
        <x:v>total</x:v>
      </x:c>
      <x:c r="K77" s="2" t="str">
        <x:v>top_level_area</x:v>
      </x:c>
      <x:c r="L77" s="2" t="str">
        <x:v>property_type_inferred_from_title</x:v>
      </x:c>
      <x:c r="M77" s="10" t="n">
        <x:v>0</x:v>
      </x:c>
      <x:c r="N77" s="10" t="n">
        <x:v>0</x:v>
      </x:c>
      <x:c r="O77" s="2" t="str">
        <x:v>Đà Nẵng|house</x:v>
      </x:c>
      <x:c r="P77" s="10" t="n">
        <x:v>2</x:v>
      </x:c>
      <x:c r="Q77" s="13" t="n">
        <x:f>IF(H77="","",H77/1000000000)</x:f>
        <x:v>5.7</x:v>
      </x:c>
      <x:c r="R77" s="13" t="n">
        <x:f>IF(I77="","",I77/1000000)</x:f>
        <x:v>38</x:v>
      </x:c>
    </x:row>
    <x:row r="78" ht="21" customHeight="1">
      <x:c r="A78" s="10" t="n">
        <x:v>69</x:v>
      </x:c>
      <x:c r="B78" s="2" t="str">
        <x:v>481cda6e5bb742543224</x:v>
      </x:c>
      <x:c r="C78" s="2" t="str">
        <x:v>Đà Nẵng</x:v>
      </x:c>
      <x:c r="D78" s="2" t="str">
        <x:v>Quận Hải Châu</x:v>
      </x:c>
      <x:c r="E78" s="2" t="str">
        <x:v>other_unknown</x:v>
      </x:c>
      <x:c r="F78" s="2" t="str">
        <x:v>sale</x:v>
      </x:c>
      <x:c r="G78" s="11" t="n">
        <x:v>121</x:v>
      </x:c>
      <x:c r="H78" s="12" t="n">
        <x:v>30000000000</x:v>
      </x:c>
      <x:c r="I78" s="12" t="n">
        <x:v>247933884.29752067</x:v>
      </x:c>
      <x:c r="J78" s="2" t="str">
        <x:v>total</x:v>
      </x:c>
      <x:c r="K78" s="2" t="str">
        <x:v>top_level_area</x:v>
      </x:c>
      <x:c r="L78" s="2" t="str">
        <x:v>property_type_inferred_from_title;unknown_property_type</x:v>
      </x:c>
      <x:c r="M78" s="10" t="n">
        <x:v>1</x:v>
      </x:c>
      <x:c r="N78" s="10" t="n">
        <x:v>1</x:v>
      </x:c>
      <x:c r="O78" s="2" t="str">
        <x:v>Đà Nẵng|other_unknown</x:v>
      </x:c>
      <x:c r="P78" s="10" t="n">
        <x:v>-1</x:v>
      </x:c>
      <x:c r="Q78" s="13" t="n">
        <x:f>IF(H78="","",H78/1000000000)</x:f>
        <x:v>30</x:v>
      </x:c>
      <x:c r="R78" s="13" t="n">
        <x:f>IF(I78="","",I78/1000000)</x:f>
        <x:v>247.93388429752068</x:v>
      </x:c>
    </x:row>
    <x:row r="79" ht="21" customHeight="1">
      <x:c r="A79" s="10" t="n">
        <x:v>70</x:v>
      </x:c>
      <x:c r="B79" s="2" t="str">
        <x:v>a99b9b767e2774325a51</x:v>
      </x:c>
      <x:c r="C79" s="2" t="str">
        <x:v>Tp Hồ Chí Minh</x:v>
      </x:c>
      <x:c r="D79" s="2" t="str">
        <x:v>Quận Tân Phú</x:v>
      </x:c>
      <x:c r="E79" s="2" t="str">
        <x:v>apartment</x:v>
      </x:c>
      <x:c r="F79" s="2" t="str">
        <x:v>sale_assumed</x:v>
      </x:c>
      <x:c r="G79" s="11" t="n">
        <x:v>76</x:v>
      </x:c>
      <x:c r="H79" s="12" t="n">
        <x:v>1980000000</x:v>
      </x:c>
      <x:c r="I79" s="12" t="n">
        <x:v>26052631.57894737</x:v>
      </x:c>
      <x:c r="J79" s="2" t="str">
        <x:v>total</x:v>
      </x:c>
      <x:c r="K79" s="2" t="str">
        <x:v>top_level_price_embedded_area</x:v>
      </x:c>
      <x:c r="L79" s="2" t="str">
        <x:v>area_recovered_from_price_text;property_type_inferred_from_title;transaction_assumed_sale_from_dataset_context</x:v>
      </x:c>
      <x:c r="M79" s="10" t="n">
        <x:v>0</x:v>
      </x:c>
      <x:c r="N79" s="10" t="n">
        <x:v>0</x:v>
      </x:c>
      <x:c r="O79" s="2" t="str">
        <x:v>Tp Hồ Chí Minh|apartment</x:v>
      </x:c>
      <x:c r="P79" s="10" t="n">
        <x:v>2</x:v>
      </x:c>
      <x:c r="Q79" s="13" t="n">
        <x:f>IF(H79="","",H79/1000000000)</x:f>
        <x:v>1.98</x:v>
      </x:c>
      <x:c r="R79" s="13" t="n">
        <x:f>IF(I79="","",I79/1000000)</x:f>
        <x:v>26.05263157894737</x:v>
      </x:c>
    </x:row>
    <x:row r="80" ht="21" customHeight="1">
      <x:c r="A80" s="10" t="n">
        <x:v>71</x:v>
      </x:c>
      <x:c r="B80" s="2" t="str">
        <x:v>6bed679e6c9fbfee9a3c</x:v>
      </x:c>
      <x:c r="C80" s="2" t="str">
        <x:v>Tp Hồ Chí Minh</x:v>
      </x:c>
      <x:c r="D80" s="2" t="str">
        <x:v>Quận 12</x:v>
      </x:c>
      <x:c r="E80" s="2" t="str">
        <x:v>house</x:v>
      </x:c>
      <x:c r="F80" s="2" t="str">
        <x:v>sale_assumed</x:v>
      </x:c>
      <x:c r="G80" s="11" t="n">
        <x:v>40</x:v>
      </x:c>
      <x:c r="H80" s="12" t="n">
        <x:v>2700000000</x:v>
      </x:c>
      <x:c r="I80" s="12" t="n">
        <x:v>67500000</x:v>
      </x:c>
      <x:c r="J80" s="2" t="str">
        <x:v>total</x:v>
      </x:c>
      <x:c r="K80" s="2" t="str">
        <x:v>top_level_area</x:v>
      </x:c>
      <x:c r="L80" s="2" t="str">
        <x:v>property_type_inferred_from_title;transaction_assumed_sale_from_dataset_context</x:v>
      </x:c>
      <x:c r="M80" s="10" t="n">
        <x:v>0</x:v>
      </x:c>
      <x:c r="N80" s="10" t="n">
        <x:v>0</x:v>
      </x:c>
      <x:c r="O80" s="2" t="str">
        <x:v>Tp Hồ Chí Minh|house</x:v>
      </x:c>
      <x:c r="P80" s="10" t="n">
        <x:v>2</x:v>
      </x:c>
      <x:c r="Q80" s="13" t="n">
        <x:f>IF(H80="","",H80/1000000000)</x:f>
        <x:v>2.7</x:v>
      </x:c>
      <x:c r="R80" s="13" t="n">
        <x:f>IF(I80="","",I80/1000000)</x:f>
        <x:v>67.5</x:v>
      </x:c>
    </x:row>
    <x:row r="81" ht="21" customHeight="1">
      <x:c r="A81" s="10" t="n">
        <x:v>72</x:v>
      </x:c>
      <x:c r="B81" s="2" t="str">
        <x:v>281d7284586c5c179739</x:v>
      </x:c>
      <x:c r="C81" s="2" t="str">
        <x:v>Tp Hồ Chí Minh</x:v>
      </x:c>
      <x:c r="D81" s="2" t="str">
        <x:v>Quận Tân Bình</x:v>
      </x:c>
      <x:c r="E81" s="2" t="str">
        <x:v>house</x:v>
      </x:c>
      <x:c r="F81" s="2" t="str">
        <x:v>sale_assumed</x:v>
      </x:c>
      <x:c r="G81" s="11" t="n">
        <x:v>70</x:v>
      </x:c>
      <x:c r="H81" s="12" t="n">
        <x:v>7900000000</x:v>
      </x:c>
      <x:c r="I81" s="12" t="n">
        <x:v>112857142.85714285</x:v>
      </x:c>
      <x:c r="J81" s="2" t="str">
        <x:v>total</x:v>
      </x:c>
      <x:c r="K81" s="2" t="str">
        <x:v>top_level_area</x:v>
      </x:c>
      <x:c r="L81" s="2" t="str">
        <x:v>property_type_inferred_from_title;transaction_assumed_sale_from_dataset_context</x:v>
      </x:c>
      <x:c r="M81" s="10" t="n">
        <x:v>0</x:v>
      </x:c>
      <x:c r="N81" s="10" t="n">
        <x:v>0</x:v>
      </x:c>
      <x:c r="O81" s="2" t="str">
        <x:v>Tp Hồ Chí Minh|house</x:v>
      </x:c>
      <x:c r="P81" s="10" t="n">
        <x:v>2</x:v>
      </x:c>
      <x:c r="Q81" s="13" t="n">
        <x:f>IF(H81="","",H81/1000000000)</x:f>
        <x:v>7.9</x:v>
      </x:c>
      <x:c r="R81" s="13" t="n">
        <x:f>IF(I81="","",I81/1000000)</x:f>
        <x:v>112.85714285714285</x:v>
      </x:c>
    </x:row>
    <x:row r="82" ht="21" customHeight="1">
      <x:c r="A82" s="10" t="n">
        <x:v>73</x:v>
      </x:c>
      <x:c r="B82" s="2" t="str">
        <x:v>7be4da9ed7577851f1ae</x:v>
      </x:c>
      <x:c r="C82" s="2" t="str">
        <x:v>Hà Nội</x:v>
      </x:c>
      <x:c r="D82" s="2" t="str">
        <x:v>Huyện Thanh Trì</x:v>
      </x:c>
      <x:c r="E82" s="2" t="str">
        <x:v>land</x:v>
      </x:c>
      <x:c r="F82" s="2" t="str">
        <x:v>sale_assumed</x:v>
      </x:c>
      <x:c r="G82" s="11" t="n">
        <x:v>54</x:v>
      </x:c>
      <x:c r="H82" s="12" t="n">
        <x:v>1250000000</x:v>
      </x:c>
      <x:c r="I82" s="12" t="n">
        <x:v>23148148.14814815</x:v>
      </x:c>
      <x:c r="J82" s="2" t="str">
        <x:v>total</x:v>
      </x:c>
      <x:c r="K82" s="2" t="str">
        <x:v>top_level_area</x:v>
      </x:c>
      <x:c r="L82" s="2" t="str">
        <x:v>property_type_inferred_from_title;transaction_assumed_sale_from_dataset_context</x:v>
      </x:c>
      <x:c r="M82" s="10" t="n">
        <x:v>0</x:v>
      </x:c>
      <x:c r="N82" s="10" t="n">
        <x:v>0</x:v>
      </x:c>
      <x:c r="O82" s="2" t="str">
        <x:v>Hà Nội|land</x:v>
      </x:c>
      <x:c r="P82" s="10" t="n">
        <x:v>2</x:v>
      </x:c>
      <x:c r="Q82" s="13" t="n">
        <x:f>IF(H82="","",H82/1000000000)</x:f>
        <x:v>1.25</x:v>
      </x:c>
      <x:c r="R82" s="13" t="n">
        <x:f>IF(I82="","",I82/1000000)</x:f>
        <x:v>23.14814814814815</x:v>
      </x:c>
    </x:row>
    <x:row r="83" ht="21" customHeight="1">
      <x:c r="A83" s="10" t="n">
        <x:v>74</x:v>
      </x:c>
      <x:c r="B83" s="2" t="str">
        <x:v>11461162588359813658</x:v>
      </x:c>
      <x:c r="C83" s="2" t="str">
        <x:v>Bình Dương</x:v>
      </x:c>
      <x:c r="D83" s="2" t="str">
        <x:v>Thành phố Thủ Dầu Một</x:v>
      </x:c>
      <x:c r="E83" s="2" t="str">
        <x:v>house</x:v>
      </x:c>
      <x:c r="F83" s="2" t="str">
        <x:v>sale_assumed</x:v>
      </x:c>
      <x:c r="G83" s="11" t="n">
        <x:v>75</x:v>
      </x:c>
      <x:c r="H83" s="12" t="n">
        <x:v>2000000000</x:v>
      </x:c>
      <x:c r="I83" s="12" t="n">
        <x:v>26666666.666666668</x:v>
      </x:c>
      <x:c r="J83" s="2" t="str">
        <x:v>total</x:v>
      </x:c>
      <x:c r="K83" s="2" t="str">
        <x:v>top_level_area</x:v>
      </x:c>
      <x:c r="L83" s="2" t="str">
        <x:v>property_type_inferred_from_title;transaction_assumed_sale_from_dataset_context</x:v>
      </x:c>
      <x:c r="M83" s="10" t="n">
        <x:v>0</x:v>
      </x:c>
      <x:c r="N83" s="10" t="n">
        <x:v>0</x:v>
      </x:c>
      <x:c r="O83" s="2" t="str">
        <x:v>Bình Dương|house</x:v>
      </x:c>
      <x:c r="P83" s="10" t="n">
        <x:v>2</x:v>
      </x:c>
      <x:c r="Q83" s="13" t="n">
        <x:f>IF(H83="","",H83/1000000000)</x:f>
        <x:v>2</x:v>
      </x:c>
      <x:c r="R83" s="13" t="n">
        <x:f>IF(I83="","",I83/1000000)</x:f>
        <x:v>26.666666666666668</x:v>
      </x:c>
    </x:row>
    <x:row r="84" ht="21" customHeight="1">
      <x:c r="A84" s="10" t="n">
        <x:v>75</x:v>
      </x:c>
      <x:c r="B84" s="2" t="str">
        <x:v>029468769fa4002ee8de</x:v>
      </x:c>
      <x:c r="C84" s="2" t="str">
        <x:v>Tp Hồ Chí Minh</x:v>
      </x:c>
      <x:c r="D84" s="2" t="str">
        <x:v>Huyện Củ Chi</x:v>
      </x:c>
      <x:c r="E84" s="2" t="str">
        <x:v>land</x:v>
      </x:c>
      <x:c r="F84" s="2" t="str">
        <x:v>sale_assumed</x:v>
      </x:c>
      <x:c r="G84" s="11" t="n">
        <x:v>130</x:v>
      </x:c>
      <x:c r="H84" s="12" t="n">
        <x:v>1300000000</x:v>
      </x:c>
      <x:c r="I84" s="12" t="n">
        <x:v>10000000</x:v>
      </x:c>
      <x:c r="J84" s="2" t="str">
        <x:v>total</x:v>
      </x:c>
      <x:c r="K84" s="2" t="str">
        <x:v>top_level_area</x:v>
      </x:c>
      <x:c r="L84" s="2" t="str">
        <x:v>property_type_inferred_from_title;transaction_assumed_sale_from_dataset_context</x:v>
      </x:c>
      <x:c r="M84" s="10" t="n">
        <x:v>0</x:v>
      </x:c>
      <x:c r="N84" s="10" t="n">
        <x:v>0</x:v>
      </x:c>
      <x:c r="O84" s="2" t="str">
        <x:v>Tp Hồ Chí Minh|land</x:v>
      </x:c>
      <x:c r="P84" s="10" t="n">
        <x:v>2</x:v>
      </x:c>
      <x:c r="Q84" s="13" t="n">
        <x:f>IF(H84="","",H84/1000000000)</x:f>
        <x:v>1.3</x:v>
      </x:c>
      <x:c r="R84" s="13" t="n">
        <x:f>IF(I84="","",I84/1000000)</x:f>
        <x:v>10</x:v>
      </x:c>
    </x:row>
    <x:row r="85" ht="21" customHeight="1">
      <x:c r="A85" s="10" t="n">
        <x:v>76</x:v>
      </x:c>
      <x:c r="B85" s="2" t="str">
        <x:v>d5bcc2eea82b6528b542</x:v>
      </x:c>
      <x:c r="C85" s="2" t="str">
        <x:v>Tp Hồ Chí Minh</x:v>
      </x:c>
      <x:c r="D85" s="2" t="str">
        <x:v>Huyện Bình Chánh</x:v>
      </x:c>
      <x:c r="E85" s="2" t="str">
        <x:v>land</x:v>
      </x:c>
      <x:c r="F85" s="2" t="str">
        <x:v>sale</x:v>
      </x:c>
      <x:c r="G85" s="11" t="n">
        <x:v>100</x:v>
      </x:c>
      <x:c r="H85" s="12" t="n">
        <x:v>750000000</x:v>
      </x:c>
      <x:c r="I85" s="12" t="n">
        <x:v>7500000</x:v>
      </x:c>
      <x:c r="J85" s="2" t="str">
        <x:v>total</x:v>
      </x:c>
      <x:c r="K85" s="2" t="str">
        <x:v>top_level_area</x:v>
      </x:c>
      <x:c r="L85" s="2" t="str">
        <x:v>property_type_inferred_from_title</x:v>
      </x:c>
      <x:c r="M85" s="10" t="n">
        <x:v>0</x:v>
      </x:c>
      <x:c r="N85" s="10" t="n">
        <x:v>0</x:v>
      </x:c>
      <x:c r="O85" s="2" t="str">
        <x:v>Tp Hồ Chí Minh|land</x:v>
      </x:c>
      <x:c r="P85" s="10" t="n">
        <x:v>2</x:v>
      </x:c>
      <x:c r="Q85" s="13" t="n">
        <x:f>IF(H85="","",H85/1000000000)</x:f>
        <x:v>0.75</x:v>
      </x:c>
      <x:c r="R85" s="13" t="n">
        <x:f>IF(I85="","",I85/1000000)</x:f>
        <x:v>7.5</x:v>
      </x:c>
    </x:row>
    <x:row r="86" ht="21" customHeight="1">
      <x:c r="A86" s="10" t="n">
        <x:v>77</x:v>
      </x:c>
      <x:c r="B86" s="2" t="str">
        <x:v>b2772fc2ec3bc91f0071</x:v>
      </x:c>
      <x:c r="C86" s="2" t="str">
        <x:v>Tp Hồ Chí Minh</x:v>
      </x:c>
      <x:c r="D86" s="2" t="str">
        <x:v>Quận Gò Vấp</x:v>
      </x:c>
      <x:c r="E86" s="2" t="str">
        <x:v>house</x:v>
      </x:c>
      <x:c r="F86" s="2" t="str">
        <x:v>sale</x:v>
      </x:c>
      <x:c r="G86" s="11" t="n">
        <x:v>162</x:v>
      </x:c>
      <x:c r="H86" s="12" t="n">
        <x:v>4300000000</x:v>
      </x:c>
      <x:c r="I86" s="12" t="n">
        <x:v>26543209.87654321</x:v>
      </x:c>
      <x:c r="J86" s="2" t="str">
        <x:v>total</x:v>
      </x:c>
      <x:c r="K86" s="2" t="str">
        <x:v>top_level_area</x:v>
      </x:c>
      <x:c r="L86" s="2" t="str">
        <x:v>property_type_inferred_from_title</x:v>
      </x:c>
      <x:c r="M86" s="10" t="n">
        <x:v>0</x:v>
      </x:c>
      <x:c r="N86" s="10" t="n">
        <x:v>0</x:v>
      </x:c>
      <x:c r="O86" s="2" t="str">
        <x:v>Tp Hồ Chí Minh|house</x:v>
      </x:c>
      <x:c r="P86" s="10" t="n">
        <x:v>2</x:v>
      </x:c>
      <x:c r="Q86" s="13" t="n">
        <x:f>IF(H86="","",H86/1000000000)</x:f>
        <x:v>4.3</x:v>
      </x:c>
      <x:c r="R86" s="13" t="n">
        <x:f>IF(I86="","",I86/1000000)</x:f>
        <x:v>26.54320987654321</x:v>
      </x:c>
    </x:row>
    <x:row r="87" ht="21" customHeight="1">
      <x:c r="A87" s="10" t="n">
        <x:v>79</x:v>
      </x:c>
      <x:c r="B87" s="2" t="str">
        <x:v>c2eb24fdd3f54dd077fb</x:v>
      </x:c>
      <x:c r="C87" s="2" t="str">
        <x:v>Tp Hồ Chí Minh</x:v>
      </x:c>
      <x:c r="D87" s="2" t="str">
        <x:v>Huyện Bình Chánh</x:v>
      </x:c>
      <x:c r="E87" s="2" t="str">
        <x:v>house</x:v>
      </x:c>
      <x:c r="F87" s="2" t="str">
        <x:v>sale_assumed</x:v>
      </x:c>
      <x:c r="G87" s="11" t="n">
        <x:v>100</x:v>
      </x:c>
      <x:c r="H87" s="12" t="n">
        <x:v>1300000000</x:v>
      </x:c>
      <x:c r="I87" s="12" t="n">
        <x:v>13000000</x:v>
      </x:c>
      <x:c r="J87" s="2" t="str">
        <x:v>total</x:v>
      </x:c>
      <x:c r="K87" s="2" t="str">
        <x:v>top_level_area</x:v>
      </x:c>
      <x:c r="L87" s="2" t="str">
        <x:v>property_type_inferred_from_title;transaction_assumed_sale_from_dataset_context</x:v>
      </x:c>
      <x:c r="M87" s="10" t="n">
        <x:v>0</x:v>
      </x:c>
      <x:c r="N87" s="10" t="n">
        <x:v>0</x:v>
      </x:c>
      <x:c r="O87" s="2" t="str">
        <x:v>Tp Hồ Chí Minh|house</x:v>
      </x:c>
      <x:c r="P87" s="10" t="n">
        <x:v>2</x:v>
      </x:c>
      <x:c r="Q87" s="13" t="n">
        <x:f>IF(H87="","",H87/1000000000)</x:f>
        <x:v>1.3</x:v>
      </x:c>
      <x:c r="R87" s="13" t="n">
        <x:f>IF(I87="","",I87/1000000)</x:f>
        <x:v>13</x:v>
      </x:c>
    </x:row>
    <x:row r="88" ht="21" customHeight="1">
      <x:c r="A88" s="10" t="n">
        <x:v>80</x:v>
      </x:c>
      <x:c r="B88" s="2" t="str">
        <x:v>6bc6784eec23b8c6cb8e</x:v>
      </x:c>
      <x:c r="C88" s="2" t="str">
        <x:v>Bình Dương</x:v>
      </x:c>
      <x:c r="D88" s="2" t="str">
        <x:v>Thị xã Bến Cát</x:v>
      </x:c>
      <x:c r="E88" s="2" t="str">
        <x:v>land</x:v>
      </x:c>
      <x:c r="F88" s="2" t="str">
        <x:v>sale_assumed</x:v>
      </x:c>
      <x:c r="G88" s="11" t="n">
        <x:v>210</x:v>
      </x:c>
      <x:c r="H88" s="12" t="n">
        <x:v>615000000</x:v>
      </x:c>
      <x:c r="I88" s="12" t="n">
        <x:v>2928571.4285714286</x:v>
      </x:c>
      <x:c r="J88" s="2" t="str">
        <x:v>total</x:v>
      </x:c>
      <x:c r="K88" s="2" t="str">
        <x:v>top_level_area</x:v>
      </x:c>
      <x:c r="L88" s="2" t="str">
        <x:v>property_type_inferred_from_title;transaction_assumed_sale_from_dataset_context</x:v>
      </x:c>
      <x:c r="M88" s="10" t="n">
        <x:v>0</x:v>
      </x:c>
      <x:c r="N88" s="10" t="n">
        <x:v>0</x:v>
      </x:c>
      <x:c r="O88" s="2" t="str">
        <x:v>Bình Dương|land</x:v>
      </x:c>
      <x:c r="P88" s="10" t="n">
        <x:v>1</x:v>
      </x:c>
      <x:c r="Q88" s="13" t="n">
        <x:f>IF(H88="","",H88/1000000000)</x:f>
        <x:v>0.615</x:v>
      </x:c>
      <x:c r="R88" s="13" t="n">
        <x:f>IF(I88="","",I88/1000000)</x:f>
        <x:v>2.928571428571429</x:v>
      </x:c>
    </x:row>
    <x:row r="89" ht="21" customHeight="1">
      <x:c r="A89" s="10" t="n">
        <x:v>81</x:v>
      </x:c>
      <x:c r="B89" s="2" t="str">
        <x:v>f4d4da0dcf2bd60053b5</x:v>
      </x:c>
      <x:c r="C89" s="2" t="str">
        <x:v>Tp Hồ Chí Minh</x:v>
      </x:c>
      <x:c r="D89" s="2" t="str">
        <x:v>Quận Tân Bình</x:v>
      </x:c>
      <x:c r="E89" s="2" t="str">
        <x:v>house</x:v>
      </x:c>
      <x:c r="F89" s="2" t="str">
        <x:v>sale_assumed</x:v>
      </x:c>
      <x:c r="G89" s="11" t="n">
        <x:v>118</x:v>
      </x:c>
      <x:c r="H89" s="12" t="n">
        <x:v>12700000000</x:v>
      </x:c>
      <x:c r="I89" s="12" t="n">
        <x:v>107627118.6440678</x:v>
      </x:c>
      <x:c r="J89" s="2" t="str">
        <x:v>total</x:v>
      </x:c>
      <x:c r="K89" s="2" t="str">
        <x:v>top_level_area</x:v>
      </x:c>
      <x:c r="L89" s="2" t="str">
        <x:v>property_type_inferred_from_title;transaction_assumed_sale_from_dataset_context</x:v>
      </x:c>
      <x:c r="M89" s="10" t="n">
        <x:v>0</x:v>
      </x:c>
      <x:c r="N89" s="10" t="n">
        <x:v>0</x:v>
      </x:c>
      <x:c r="O89" s="2" t="str">
        <x:v>Tp Hồ Chí Minh|house</x:v>
      </x:c>
      <x:c r="P89" s="10" t="n">
        <x:v>2</x:v>
      </x:c>
      <x:c r="Q89" s="13" t="n">
        <x:f>IF(H89="","",H89/1000000000)</x:f>
        <x:v>12.7</x:v>
      </x:c>
      <x:c r="R89" s="13" t="n">
        <x:f>IF(I89="","",I89/1000000)</x:f>
        <x:v>107.62711864406779</x:v>
      </x:c>
    </x:row>
    <x:row r="90" ht="21" customHeight="1">
      <x:c r="A90" s="10" t="n">
        <x:v>82</x:v>
      </x:c>
      <x:c r="B90" s="2" t="str">
        <x:v>0db08d6a4c05b1cac4df</x:v>
      </x:c>
      <x:c r="C90" s="2" t="str">
        <x:v>Tp Hồ Chí Minh</x:v>
      </x:c>
      <x:c r="D90" s="2" t="str">
        <x:v>Quận 9</x:v>
      </x:c>
      <x:c r="E90" s="2" t="str">
        <x:v>house</x:v>
      </x:c>
      <x:c r="F90" s="2" t="str">
        <x:v>sale_assumed</x:v>
      </x:c>
      <x:c r="G90" s="11" t="n">
        <x:v>28</x:v>
      </x:c>
      <x:c r="H90" s="12" t="n">
        <x:v>2300000000</x:v>
      </x:c>
      <x:c r="I90" s="12" t="n">
        <x:v>82142857.14285715</x:v>
      </x:c>
      <x:c r="J90" s="2" t="str">
        <x:v>total</x:v>
      </x:c>
      <x:c r="K90" s="2" t="str">
        <x:v>top_level_area</x:v>
      </x:c>
      <x:c r="L90" s="2" t="str">
        <x:v>property_type_inferred_from_title;transaction_assumed_sale_from_dataset_context</x:v>
      </x:c>
      <x:c r="M90" s="10" t="n">
        <x:v>0</x:v>
      </x:c>
      <x:c r="N90" s="10" t="n">
        <x:v>0</x:v>
      </x:c>
      <x:c r="O90" s="2" t="str">
        <x:v>Tp Hồ Chí Minh|house</x:v>
      </x:c>
      <x:c r="P90" s="10" t="n">
        <x:v>2</x:v>
      </x:c>
      <x:c r="Q90" s="13" t="n">
        <x:f>IF(H90="","",H90/1000000000)</x:f>
        <x:v>2.3</x:v>
      </x:c>
      <x:c r="R90" s="13" t="n">
        <x:f>IF(I90="","",I90/1000000)</x:f>
        <x:v>82.14285714285715</x:v>
      </x:c>
    </x:row>
    <x:row r="91" ht="21" customHeight="1">
      <x:c r="A91" s="10" t="n">
        <x:v>83</x:v>
      </x:c>
      <x:c r="B91" s="2" t="str">
        <x:v>02f2d4cc4039a768f60c</x:v>
      </x:c>
      <x:c r="C91" s="2" t="str">
        <x:v>Hà Nội</x:v>
      </x:c>
      <x:c r="D91" s="2" t="str">
        <x:v>Quận Bắc Từ Liêm</x:v>
      </x:c>
      <x:c r="E91" s="2" t="str">
        <x:v>house</x:v>
      </x:c>
      <x:c r="F91" s="2" t="str">
        <x:v>sale</x:v>
      </x:c>
      <x:c r="G91" s="11" t="n">
        <x:v>36</x:v>
      </x:c>
      <x:c r="H91" s="12" t="n">
        <x:v>3150000000</x:v>
      </x:c>
      <x:c r="I91" s="12" t="n">
        <x:v>87500000</x:v>
      </x:c>
      <x:c r="J91" s="2" t="str">
        <x:v>total</x:v>
      </x:c>
      <x:c r="K91" s="2" t="str">
        <x:v>top_level_area</x:v>
      </x:c>
      <x:c r="L91" s="2" t="str">
        <x:v>property_type_inferred_from_title</x:v>
      </x:c>
      <x:c r="M91" s="10" t="n">
        <x:v>0</x:v>
      </x:c>
      <x:c r="N91" s="10" t="n">
        <x:v>0</x:v>
      </x:c>
      <x:c r="O91" s="2" t="str">
        <x:v>Hà Nội|house</x:v>
      </x:c>
      <x:c r="P91" s="10" t="n">
        <x:v>2</x:v>
      </x:c>
      <x:c r="Q91" s="13" t="n">
        <x:f>IF(H91="","",H91/1000000000)</x:f>
        <x:v>3.15</x:v>
      </x:c>
      <x:c r="R91" s="13" t="n">
        <x:f>IF(I91="","",I91/1000000)</x:f>
        <x:v>87.5</x:v>
      </x:c>
    </x:row>
    <x:row r="92" ht="21" customHeight="1">
      <x:c r="A92" s="10" t="n">
        <x:v>84</x:v>
      </x:c>
      <x:c r="B92" s="2" t="str">
        <x:v>23ae94c0c3ba29152ed0</x:v>
      </x:c>
      <x:c r="C92" s="2" t="str">
        <x:v>Tp Hồ Chí Minh</x:v>
      </x:c>
      <x:c r="D92" s="2" t="str">
        <x:v>Quận Gò Vấp</x:v>
      </x:c>
      <x:c r="E92" s="2" t="str">
        <x:v>house</x:v>
      </x:c>
      <x:c r="F92" s="2" t="str">
        <x:v>sale_assumed</x:v>
      </x:c>
      <x:c r="G92" s="11" t="n">
        <x:v>80</x:v>
      </x:c>
      <x:c r="H92" s="12" t="n">
        <x:v>6550000000</x:v>
      </x:c>
      <x:c r="I92" s="12" t="n">
        <x:v>81875000</x:v>
      </x:c>
      <x:c r="J92" s="2" t="str">
        <x:v>total</x:v>
      </x:c>
      <x:c r="K92" s="2" t="str">
        <x:v>top_level_area</x:v>
      </x:c>
      <x:c r="L92" s="2" t="str">
        <x:v>property_type_inferred_from_title;transaction_assumed_sale_from_dataset_context</x:v>
      </x:c>
      <x:c r="M92" s="10" t="n">
        <x:v>0</x:v>
      </x:c>
      <x:c r="N92" s="10" t="n">
        <x:v>0</x:v>
      </x:c>
      <x:c r="O92" s="2" t="str">
        <x:v>Tp Hồ Chí Minh|house</x:v>
      </x:c>
      <x:c r="P92" s="10" t="n">
        <x:v>2</x:v>
      </x:c>
      <x:c r="Q92" s="13" t="n">
        <x:f>IF(H92="","",H92/1000000000)</x:f>
        <x:v>6.55</x:v>
      </x:c>
      <x:c r="R92" s="13" t="n">
        <x:f>IF(I92="","",I92/1000000)</x:f>
        <x:v>81.875</x:v>
      </x:c>
    </x:row>
    <x:row r="93" ht="21" customHeight="1">
      <x:c r="A93" s="10" t="n">
        <x:v>85</x:v>
      </x:c>
      <x:c r="B93" s="2" t="str">
        <x:v>b08747ba6aac97b226eb</x:v>
      </x:c>
      <x:c r="C93" s="2" t="str">
        <x:v>Sóc Trăng</x:v>
      </x:c>
      <x:c r="D93" s="2" t="str">
        <x:v>Thành phố Sóc Trăng</x:v>
      </x:c>
      <x:c r="E93" s="2" t="str">
        <x:v>house</x:v>
      </x:c>
      <x:c r="F93" s="2" t="str">
        <x:v>sale</x:v>
      </x:c>
      <x:c r="G93" s="11" t="n">
        <x:v>85</x:v>
      </x:c>
      <x:c r="H93" s="12" t="n">
        <x:v>1100000000</x:v>
      </x:c>
      <x:c r="I93" s="12" t="n">
        <x:v>12941176.470588235</x:v>
      </x:c>
      <x:c r="J93" s="2" t="str">
        <x:v>total</x:v>
      </x:c>
      <x:c r="K93" s="2" t="str">
        <x:v>top_level_area</x:v>
      </x:c>
      <x:c r="L93" s="2" t="str">
        <x:v>property_type_inferred_from_title</x:v>
      </x:c>
      <x:c r="M93" s="10" t="n">
        <x:v>0</x:v>
      </x:c>
      <x:c r="N93" s="10" t="n">
        <x:v>0</x:v>
      </x:c>
      <x:c r="O93" s="2" t="str">
        <x:v>house</x:v>
      </x:c>
      <x:c r="P93" s="10" t="n">
        <x:v>2</x:v>
      </x:c>
      <x:c r="Q93" s="13" t="n">
        <x:f>IF(H93="","",H93/1000000000)</x:f>
        <x:v>1.1</x:v>
      </x:c>
      <x:c r="R93" s="13" t="n">
        <x:f>IF(I93="","",I93/1000000)</x:f>
        <x:v>12.941176470588236</x:v>
      </x:c>
    </x:row>
    <x:row r="94" ht="21" customHeight="1">
      <x:c r="A94" s="10" t="n">
        <x:v>86</x:v>
      </x:c>
      <x:c r="B94" s="2" t="str">
        <x:v>fe1fd1ccea5dbe21cbb9</x:v>
      </x:c>
      <x:c r="C94" s="2" t="str">
        <x:v>Tp Hồ Chí Minh</x:v>
      </x:c>
      <x:c r="D94" s="2" t="str">
        <x:v>Quận Bình Tân</x:v>
      </x:c>
      <x:c r="E94" s="2" t="str">
        <x:v>house</x:v>
      </x:c>
      <x:c r="F94" s="2" t="str">
        <x:v>sale</x:v>
      </x:c>
      <x:c r="G94" s="11" t="n">
        <x:v>25</x:v>
      </x:c>
      <x:c r="H94" s="12" t="n">
        <x:v>1190000000</x:v>
      </x:c>
      <x:c r="I94" s="12" t="n">
        <x:v>47600000</x:v>
      </x:c>
      <x:c r="J94" s="2" t="str">
        <x:v>total</x:v>
      </x:c>
      <x:c r="K94" s="2" t="str">
        <x:v>top_level_price_embedded_area</x:v>
      </x:c>
      <x:c r="L94" s="2" t="str">
        <x:v>area_recovered_from_price_text;property_type_inferred_from_title</x:v>
      </x:c>
      <x:c r="M94" s="10" t="n">
        <x:v>0</x:v>
      </x:c>
      <x:c r="N94" s="10" t="n">
        <x:v>0</x:v>
      </x:c>
      <x:c r="O94" s="2" t="str">
        <x:v>Tp Hồ Chí Minh|house</x:v>
      </x:c>
      <x:c r="P94" s="10" t="n">
        <x:v>2</x:v>
      </x:c>
      <x:c r="Q94" s="13" t="n">
        <x:f>IF(H94="","",H94/1000000000)</x:f>
        <x:v>1.19</x:v>
      </x:c>
      <x:c r="R94" s="13" t="n">
        <x:f>IF(I94="","",I94/1000000)</x:f>
        <x:v>47.6</x:v>
      </x:c>
    </x:row>
    <x:row r="95" ht="21" customHeight="1">
      <x:c r="A95" s="10" t="n">
        <x:v>87</x:v>
      </x:c>
      <x:c r="B95" s="2" t="str">
        <x:v>febe0a9bbb91fd45feac</x:v>
      </x:c>
      <x:c r="C95" s="2" t="str">
        <x:v>Bình Dương</x:v>
      </x:c>
      <x:c r="D95" s="2" t="str">
        <x:v>Thị xã Bến Cát</x:v>
      </x:c>
      <x:c r="E95" s="2" t="str">
        <x:v>land</x:v>
      </x:c>
      <x:c r="F95" s="2" t="str">
        <x:v>sale_assumed</x:v>
      </x:c>
      <x:c r="G95" s="11" t="n">
        <x:v>150</x:v>
      </x:c>
      <x:c r="H95" s="12" t="n">
        <x:v>635000000</x:v>
      </x:c>
      <x:c r="I95" s="12" t="n">
        <x:v>4233333.333333333</x:v>
      </x:c>
      <x:c r="J95" s="2" t="str">
        <x:v>total</x:v>
      </x:c>
      <x:c r="K95" s="2" t="str">
        <x:v>top_level_area</x:v>
      </x:c>
      <x:c r="L95" s="2" t="str">
        <x:v>property_type_inferred_from_title;transaction_assumed_sale_from_dataset_context</x:v>
      </x:c>
      <x:c r="M95" s="10" t="n">
        <x:v>0</x:v>
      </x:c>
      <x:c r="N95" s="10" t="n">
        <x:v>0</x:v>
      </x:c>
      <x:c r="O95" s="2" t="str">
        <x:v>Bình Dương|land</x:v>
      </x:c>
      <x:c r="P95" s="10" t="n">
        <x:v>1</x:v>
      </x:c>
      <x:c r="Q95" s="13" t="n">
        <x:f>IF(H95="","",H95/1000000000)</x:f>
        <x:v>0.635</x:v>
      </x:c>
      <x:c r="R95" s="13" t="n">
        <x:f>IF(I95="","",I95/1000000)</x:f>
        <x:v>4.233333333333333</x:v>
      </x:c>
    </x:row>
    <x:row r="96" ht="21" customHeight="1">
      <x:c r="A96" s="10" t="n">
        <x:v>88</x:v>
      </x:c>
      <x:c r="B96" s="2" t="str">
        <x:v>6614b57fa89e836d192d</x:v>
      </x:c>
      <x:c r="C96" s="2" t="str">
        <x:v>Tp Hồ Chí Minh</x:v>
      </x:c>
      <x:c r="D96" s="2" t="str">
        <x:v>Huyện Hóc Môn</x:v>
      </x:c>
      <x:c r="E96" s="2" t="str">
        <x:v>house</x:v>
      </x:c>
      <x:c r="F96" s="2" t="str">
        <x:v>sale</x:v>
      </x:c>
      <x:c r="G96" s="11" t="n">
        <x:v>44</x:v>
      </x:c>
      <x:c r="H96" s="12" t="n">
        <x:v>2900000000</x:v>
      </x:c>
      <x:c r="I96" s="12" t="n">
        <x:v>65909090.90909091</x:v>
      </x:c>
      <x:c r="J96" s="2" t="str">
        <x:v>total</x:v>
      </x:c>
      <x:c r="K96" s="2" t="str">
        <x:v>top_level_area</x:v>
      </x:c>
      <x:c r="L96" s="2" t="str">
        <x:v>property_type_inferred_from_title</x:v>
      </x:c>
      <x:c r="M96" s="10" t="n">
        <x:v>0</x:v>
      </x:c>
      <x:c r="N96" s="10" t="n">
        <x:v>0</x:v>
      </x:c>
      <x:c r="O96" s="2" t="str">
        <x:v>Tp Hồ Chí Minh|house</x:v>
      </x:c>
      <x:c r="P96" s="10" t="n">
        <x:v>2</x:v>
      </x:c>
      <x:c r="Q96" s="13" t="n">
        <x:f>IF(H96="","",H96/1000000000)</x:f>
        <x:v>2.9</x:v>
      </x:c>
      <x:c r="R96" s="13" t="n">
        <x:f>IF(I96="","",I96/1000000)</x:f>
        <x:v>65.9090909090909</x:v>
      </x:c>
    </x:row>
    <x:row r="97" ht="21" customHeight="1">
      <x:c r="A97" s="10" t="n">
        <x:v>89</x:v>
      </x:c>
      <x:c r="B97" s="2" t="str">
        <x:v>2717ba64fb5e8702dc42</x:v>
      </x:c>
      <x:c r="C97" s="2" t="str">
        <x:v>Tp Hồ Chí Minh</x:v>
      </x:c>
      <x:c r="D97" s="2" t="str">
        <x:v>Quận Bình Thạnh</x:v>
      </x:c>
      <x:c r="E97" s="2" t="str">
        <x:v>house</x:v>
      </x:c>
      <x:c r="F97" s="2" t="str">
        <x:v>sale</x:v>
      </x:c>
      <x:c r="G97" s="11" t="n">
        <x:v>64</x:v>
      </x:c>
      <x:c r="H97" s="12" t="n">
        <x:v>1220000000</x:v>
      </x:c>
      <x:c r="I97" s="12" t="n">
        <x:v>19062500</x:v>
      </x:c>
      <x:c r="J97" s="2" t="str">
        <x:v>total</x:v>
      </x:c>
      <x:c r="K97" s="2" t="str">
        <x:v>top_level_area</x:v>
      </x:c>
      <x:c r="L97" s="2" t="str">
        <x:v>property_type_inferred_from_title</x:v>
      </x:c>
      <x:c r="M97" s="10" t="n">
        <x:v>0</x:v>
      </x:c>
      <x:c r="N97" s="10" t="n">
        <x:v>0</x:v>
      </x:c>
      <x:c r="O97" s="2" t="str">
        <x:v>Tp Hồ Chí Minh|house</x:v>
      </x:c>
      <x:c r="P97" s="10" t="n">
        <x:v>2</x:v>
      </x:c>
      <x:c r="Q97" s="13" t="n">
        <x:f>IF(H97="","",H97/1000000000)</x:f>
        <x:v>1.22</x:v>
      </x:c>
      <x:c r="R97" s="13" t="n">
        <x:f>IF(I97="","",I97/1000000)</x:f>
        <x:v>19.0625</x:v>
      </x:c>
    </x:row>
    <x:row r="98" ht="21" customHeight="1">
      <x:c r="A98" s="10" t="n">
        <x:v>90</x:v>
      </x:c>
      <x:c r="B98" s="2" t="str">
        <x:v>0baff4d88f6a4295fb68</x:v>
      </x:c>
      <x:c r="C98" s="2" t="str">
        <x:v>Hà Nội</x:v>
      </x:c>
      <x:c r="D98" s="2" t="str">
        <x:v>Quận Hà Đông</x:v>
      </x:c>
      <x:c r="E98" s="2" t="str">
        <x:v>house</x:v>
      </x:c>
      <x:c r="F98" s="2" t="str">
        <x:v>sale_assumed</x:v>
      </x:c>
      <x:c r="G98" s="11" t="n">
        <x:v>31</x:v>
      </x:c>
      <x:c r="H98" s="12" t="n">
        <x:v>3600000000</x:v>
      </x:c>
      <x:c r="I98" s="12" t="n">
        <x:v>116129032.25806452</x:v>
      </x:c>
      <x:c r="J98" s="2" t="str">
        <x:v>total</x:v>
      </x:c>
      <x:c r="K98" s="2" t="str">
        <x:v>top_level_area</x:v>
      </x:c>
      <x:c r="L98" s="2" t="str">
        <x:v>property_type_inferred_from_title;transaction_assumed_sale_from_dataset_context</x:v>
      </x:c>
      <x:c r="M98" s="10" t="n">
        <x:v>0</x:v>
      </x:c>
      <x:c r="N98" s="10" t="n">
        <x:v>0</x:v>
      </x:c>
      <x:c r="O98" s="2" t="str">
        <x:v>Hà Nội|house</x:v>
      </x:c>
      <x:c r="P98" s="10" t="n">
        <x:v>2</x:v>
      </x:c>
      <x:c r="Q98" s="13" t="n">
        <x:f>IF(H98="","",H98/1000000000)</x:f>
        <x:v>3.6</x:v>
      </x:c>
      <x:c r="R98" s="13" t="n">
        <x:f>IF(I98="","",I98/1000000)</x:f>
        <x:v>116.12903225806453</x:v>
      </x:c>
    </x:row>
    <x:row r="99" ht="21" customHeight="1">
      <x:c r="A99" s="10" t="n">
        <x:v>91</x:v>
      </x:c>
      <x:c r="B99" s="2" t="str">
        <x:v>a076d0ffce16da99c5ff</x:v>
      </x:c>
      <x:c r="C99" s="2" t="str">
        <x:v>Tp Hồ Chí Minh</x:v>
      </x:c>
      <x:c r="D99" s="2" t="str">
        <x:v>Huyện Nhà Bè</x:v>
      </x:c>
      <x:c r="E99" s="2" t="str">
        <x:v>house</x:v>
      </x:c>
      <x:c r="F99" s="2" t="str">
        <x:v>sale</x:v>
      </x:c>
      <x:c r="G99" s="11" t="n">
        <x:v>590</x:v>
      </x:c>
      <x:c r="H99" s="12" t="n">
        <x:v>1790000000</x:v>
      </x:c>
      <x:c r="I99" s="12" t="n">
        <x:v>3033898.305084746</x:v>
      </x:c>
      <x:c r="J99" s="2" t="str">
        <x:v>total</x:v>
      </x:c>
      <x:c r="K99" s="2" t="str">
        <x:v>top_level_area</x:v>
      </x:c>
      <x:c r="L99" s="2" t="str">
        <x:v>property_type_inferred_from_title</x:v>
      </x:c>
      <x:c r="M99" s="10" t="n">
        <x:v>0</x:v>
      </x:c>
      <x:c r="N99" s="10" t="n">
        <x:v>0</x:v>
      </x:c>
      <x:c r="O99" s="2" t="str">
        <x:v>Tp Hồ Chí Minh|house</x:v>
      </x:c>
      <x:c r="P99" s="10" t="n">
        <x:v>1</x:v>
      </x:c>
      <x:c r="Q99" s="13" t="n">
        <x:f>IF(H99="","",H99/1000000000)</x:f>
        <x:v>1.79</x:v>
      </x:c>
      <x:c r="R99" s="13" t="n">
        <x:f>IF(I99="","",I99/1000000)</x:f>
        <x:v>3.0338983050847457</x:v>
      </x:c>
    </x:row>
    <x:row r="100" ht="21" customHeight="1">
      <x:c r="A100" s="10" t="n">
        <x:v>92</x:v>
      </x:c>
      <x:c r="B100" s="2" t="str">
        <x:v>8cfc10af6dc121a55f75</x:v>
      </x:c>
      <x:c r="C100" s="2" t="str">
        <x:v>Đắk Lắk</x:v>
      </x:c>
      <x:c r="D100" s="2" t="str">
        <x:v>Thành phố Buôn Ma Thuột</x:v>
      </x:c>
      <x:c r="E100" s="2" t="str">
        <x:v>other_unknown</x:v>
      </x:c>
      <x:c r="F100" s="2" t="str">
        <x:v>sale_assumed</x:v>
      </x:c>
      <x:c r="G100" s="11" t="n">
        <x:v>1590</x:v>
      </x:c>
      <x:c r="H100" s="12" t="n">
        <x:v>3150000000</x:v>
      </x:c>
      <x:c r="I100" s="12" t="n">
        <x:v>1981132.075471698</x:v>
      </x:c>
      <x:c r="J100" s="2" t="str">
        <x:v>total</x:v>
      </x:c>
      <x:c r="K100" s="2" t="str">
        <x:v>top_level_area</x:v>
      </x:c>
      <x:c r="L100" s="2" t="str">
        <x:v>dot_thousands_convention;property_type_inferred_from_title;transaction_assumed_sale_from_dataset_context;unknown_property_type</x:v>
      </x:c>
      <x:c r="M100" s="10" t="n">
        <x:v>0</x:v>
      </x:c>
      <x:c r="N100" s="10" t="n">
        <x:v>0</x:v>
      </x:c>
      <x:c r="O100" s="2" t="str">
        <x:v>other_unknown</x:v>
      </x:c>
      <x:c r="P100" s="10" t="n">
        <x:v>1</x:v>
      </x:c>
      <x:c r="Q100" s="13" t="n">
        <x:f>IF(H100="","",H100/1000000000)</x:f>
        <x:v>3.15</x:v>
      </x:c>
      <x:c r="R100" s="13" t="n">
        <x:f>IF(I100="","",I100/1000000)</x:f>
        <x:v>1.9811320754716981</x:v>
      </x:c>
    </x:row>
    <x:row r="101" ht="21" customHeight="1">
      <x:c r="A101" s="10" t="n">
        <x:v>93</x:v>
      </x:c>
      <x:c r="B101" s="2" t="str">
        <x:v>2d6e3127dd1dd20bb820</x:v>
      </x:c>
      <x:c r="C101" s="2" t="str">
        <x:v>Tp Hồ Chí Minh</x:v>
      </x:c>
      <x:c r="D101" s="2" t="str">
        <x:v>Huyện Củ Chi</x:v>
      </x:c>
      <x:c r="E101" s="2" t="str">
        <x:v>land</x:v>
      </x:c>
      <x:c r="F101" s="2" t="str">
        <x:v>sale</x:v>
      </x:c>
      <x:c r="G101" s="11" t="n">
        <x:v>226</x:v>
      </x:c>
      <x:c r="H101" s="12" t="n">
        <x:v>1590000000</x:v>
      </x:c>
      <x:c r="I101" s="12" t="n">
        <x:v>7035398.230088496</x:v>
      </x:c>
      <x:c r="J101" s="2" t="str">
        <x:v>total</x:v>
      </x:c>
      <x:c r="K101" s="2" t="str">
        <x:v>top_level_area</x:v>
      </x:c>
      <x:c r="L101" s="2" t="str">
        <x:v>property_type_inferred_from_title</x:v>
      </x:c>
      <x:c r="M101" s="10" t="n">
        <x:v>0</x:v>
      </x:c>
      <x:c r="N101" s="10" t="n">
        <x:v>0</x:v>
      </x:c>
      <x:c r="O101" s="2" t="str">
        <x:v>Tp Hồ Chí Minh|land</x:v>
      </x:c>
      <x:c r="P101" s="10" t="n">
        <x:v>1</x:v>
      </x:c>
      <x:c r="Q101" s="13" t="n">
        <x:f>IF(H101="","",H101/1000000000)</x:f>
        <x:v>1.59</x:v>
      </x:c>
      <x:c r="R101" s="13" t="n">
        <x:f>IF(I101="","",I101/1000000)</x:f>
        <x:v>7.035398230088496</x:v>
      </x:c>
    </x:row>
    <x:row r="102" ht="21" customHeight="1">
      <x:c r="A102" s="10" t="n">
        <x:v>94</x:v>
      </x:c>
      <x:c r="B102" s="2" t="str">
        <x:v>43212c8b984032449e3e</x:v>
      </x:c>
      <x:c r="C102" s="2" t="str">
        <x:v>Tp Hồ Chí Minh</x:v>
      </x:c>
      <x:c r="D102" s="2" t="str">
        <x:v>Quận 8</x:v>
      </x:c>
      <x:c r="E102" s="2" t="str">
        <x:v>house</x:v>
      </x:c>
      <x:c r="F102" s="2" t="str">
        <x:v>sale</x:v>
      </x:c>
      <x:c r="G102" s="11" t="n">
        <x:v>45</x:v>
      </x:c>
      <x:c r="H102" s="12" t="n">
        <x:v>1965000000</x:v>
      </x:c>
      <x:c r="I102" s="12" t="n">
        <x:v>43666666.666666664</x:v>
      </x:c>
      <x:c r="J102" s="2" t="str">
        <x:v>total</x:v>
      </x:c>
      <x:c r="K102" s="2" t="str">
        <x:v>top_level_area</x:v>
      </x:c>
      <x:c r="L102" s="2" t="str">
        <x:v>property_type_inferred_from_title</x:v>
      </x:c>
      <x:c r="M102" s="10" t="n">
        <x:v>0</x:v>
      </x:c>
      <x:c r="N102" s="10" t="n">
        <x:v>0</x:v>
      </x:c>
      <x:c r="O102" s="2" t="str">
        <x:v>Tp Hồ Chí Minh|house</x:v>
      </x:c>
      <x:c r="P102" s="10" t="n">
        <x:v>2</x:v>
      </x:c>
      <x:c r="Q102" s="13" t="n">
        <x:f>IF(H102="","",H102/1000000000)</x:f>
        <x:v>1.965</x:v>
      </x:c>
      <x:c r="R102" s="13" t="n">
        <x:f>IF(I102="","",I102/1000000)</x:f>
        <x:v>43.666666666666664</x:v>
      </x:c>
    </x:row>
    <x:row r="103" ht="21" customHeight="1">
      <x:c r="A103" s="10" t="n">
        <x:v>95</x:v>
      </x:c>
      <x:c r="B103" s="2" t="str">
        <x:v>e34dcbda1b5b3a702c68</x:v>
      </x:c>
      <x:c r="C103" s="2" t="str">
        <x:v>Đà Nẵng</x:v>
      </x:c>
      <x:c r="D103" s="2" t="str">
        <x:v>Quận Cẩm Lệ</x:v>
      </x:c>
      <x:c r="E103" s="2" t="str">
        <x:v>land</x:v>
      </x:c>
      <x:c r="F103" s="2" t="str">
        <x:v>sale_assumed</x:v>
      </x:c>
      <x:c r="G103" s="11" t="n">
        <x:v>100</x:v>
      </x:c>
      <x:c r="H103" s="12" t="n">
        <x:v>3800000000</x:v>
      </x:c>
      <x:c r="I103" s="12" t="n">
        <x:v>38000000</x:v>
      </x:c>
      <x:c r="J103" s="2" t="str">
        <x:v>total</x:v>
      </x:c>
      <x:c r="K103" s="2" t="str">
        <x:v>top_level_area</x:v>
      </x:c>
      <x:c r="L103" s="2" t="str">
        <x:v>property_type_inferred_from_title;transaction_assumed_sale_from_dataset_context</x:v>
      </x:c>
      <x:c r="M103" s="10" t="n">
        <x:v>0</x:v>
      </x:c>
      <x:c r="N103" s="10" t="n">
        <x:v>0</x:v>
      </x:c>
      <x:c r="O103" s="2" t="str">
        <x:v>Đà Nẵng|land</x:v>
      </x:c>
      <x:c r="P103" s="10" t="n">
        <x:v>2</x:v>
      </x:c>
      <x:c r="Q103" s="13" t="n">
        <x:f>IF(H103="","",H103/1000000000)</x:f>
        <x:v>3.8</x:v>
      </x:c>
      <x:c r="R103" s="13" t="n">
        <x:f>IF(I103="","",I103/1000000)</x:f>
        <x:v>38</x:v>
      </x:c>
    </x:row>
    <x:row r="104" ht="21" customHeight="1">
      <x:c r="A104" s="10" t="n">
        <x:v>96</x:v>
      </x:c>
      <x:c r="B104" s="2" t="str">
        <x:v>71257add82a2362db165</x:v>
      </x:c>
      <x:c r="C104" s="2" t="str">
        <x:v>Bình Dương</x:v>
      </x:c>
      <x:c r="D104" s="2" t="str">
        <x:v>Thị xã Dĩ An</x:v>
      </x:c>
      <x:c r="E104" s="2" t="str">
        <x:v>house</x:v>
      </x:c>
      <x:c r="F104" s="2" t="str">
        <x:v>sale_assumed</x:v>
      </x:c>
      <x:c r="G104" s="11" t="n">
        <x:v>200</x:v>
      </x:c>
      <x:c r="H104" s="12" t="n">
        <x:v>5000000000</x:v>
      </x:c>
      <x:c r="I104" s="12" t="n">
        <x:v>25000000</x:v>
      </x:c>
      <x:c r="J104" s="2" t="str">
        <x:v>total</x:v>
      </x:c>
      <x:c r="K104" s="2" t="str">
        <x:v>top_level_area</x:v>
      </x:c>
      <x:c r="L104" s="2" t="str">
        <x:v>property_type_inferred_from_title;transaction_assumed_sale_from_dataset_context</x:v>
      </x:c>
      <x:c r="M104" s="10" t="n">
        <x:v>0</x:v>
      </x:c>
      <x:c r="N104" s="10" t="n">
        <x:v>0</x:v>
      </x:c>
      <x:c r="O104" s="2" t="str">
        <x:v>Bình Dương|house</x:v>
      </x:c>
      <x:c r="P104" s="10" t="n">
        <x:v>2</x:v>
      </x:c>
      <x:c r="Q104" s="13" t="n">
        <x:f>IF(H104="","",H104/1000000000)</x:f>
        <x:v>5</x:v>
      </x:c>
      <x:c r="R104" s="13" t="n">
        <x:f>IF(I104="","",I104/1000000)</x:f>
        <x:v>25</x:v>
      </x:c>
    </x:row>
    <x:row r="105" ht="21" customHeight="1">
      <x:c r="A105" s="10" t="n">
        <x:v>97</x:v>
      </x:c>
      <x:c r="B105" s="2" t="str">
        <x:v>2ba8422564440d93a488</x:v>
      </x:c>
      <x:c r="C105" s="2" t="str">
        <x:v>Thừa Thiên Huế</x:v>
      </x:c>
      <x:c r="D105" s="2" t="str">
        <x:v>Thành phố Huế</x:v>
      </x:c>
      <x:c r="E105" s="2" t="str">
        <x:v>other_unknown</x:v>
      </x:c>
      <x:c r="F105" s="2" t="str">
        <x:v>sale</x:v>
      </x:c>
      <x:c r="G105" s="11" t="n">
        <x:v>170</x:v>
      </x:c>
      <x:c r="H105" s="12" t="n">
        <x:v>35000000</x:v>
      </x:c>
      <x:c r="I105" s="12" t="n">
        <x:v>205882.35294117648</x:v>
      </x:c>
      <x:c r="J105" s="2" t="str">
        <x:v>total</x:v>
      </x:c>
      <x:c r="K105" s="2" t="str">
        <x:v>top_level_area</x:v>
      </x:c>
      <x:c r="L105" s="2" t="str">
        <x:v>property_type_inferred_from_title;unknown_property_type</x:v>
      </x:c>
      <x:c r="M105" s="10" t="n">
        <x:v>0</x:v>
      </x:c>
      <x:c r="N105" s="10" t="n">
        <x:v>0</x:v>
      </x:c>
      <x:c r="O105" s="2" t="str">
        <x:v>other_unknown</x:v>
      </x:c>
      <x:c r="P105" s="10" t="n">
        <x:v>1</x:v>
      </x:c>
      <x:c r="Q105" s="13" t="n">
        <x:f>IF(H105="","",H105/1000000000)</x:f>
        <x:v>0.035</x:v>
      </x:c>
      <x:c r="R105" s="13" t="n">
        <x:f>IF(I105="","",I105/1000000)</x:f>
        <x:v>0.2058823529411765</x:v>
      </x:c>
    </x:row>
    <x:row r="106" ht="21" customHeight="1">
      <x:c r="A106" s="10" t="n">
        <x:v>98</x:v>
      </x:c>
      <x:c r="B106" s="2" t="str">
        <x:v>2017c054562a9fce23ce</x:v>
      </x:c>
      <x:c r="C106" s="2" t="str">
        <x:v>Bình Dương</x:v>
      </x:c>
      <x:c r="D106" s="2" t="str">
        <x:v>Thị xã Bến Cát</x:v>
      </x:c>
      <x:c r="E106" s="2" t="str">
        <x:v>land</x:v>
      </x:c>
      <x:c r="F106" s="2" t="str">
        <x:v>sale_assumed</x:v>
      </x:c>
      <x:c r="G106" s="11" t="n">
        <x:v>100</x:v>
      </x:c>
      <x:c r="H106" s="12" t="n">
        <x:v>850000000</x:v>
      </x:c>
      <x:c r="I106" s="12" t="n">
        <x:v>8500000</x:v>
      </x:c>
      <x:c r="J106" s="2" t="str">
        <x:v>total</x:v>
      </x:c>
      <x:c r="K106" s="2" t="str">
        <x:v>top_level_area</x:v>
      </x:c>
      <x:c r="L106" s="2" t="str">
        <x:v>property_type_inferred_from_title;transaction_assumed_sale_from_dataset_context</x:v>
      </x:c>
      <x:c r="M106" s="10" t="n">
        <x:v>0</x:v>
      </x:c>
      <x:c r="N106" s="10" t="n">
        <x:v>0</x:v>
      </x:c>
      <x:c r="O106" s="2" t="str">
        <x:v>Bình Dương|land</x:v>
      </x:c>
      <x:c r="P106" s="10" t="n">
        <x:v>2</x:v>
      </x:c>
      <x:c r="Q106" s="13" t="n">
        <x:f>IF(H106="","",H106/1000000000)</x:f>
        <x:v>0.85</x:v>
      </x:c>
      <x:c r="R106" s="13" t="n">
        <x:f>IF(I106="","",I106/1000000)</x:f>
        <x:v>8.5</x:v>
      </x:c>
    </x:row>
    <x:row r="107" ht="21" customHeight="1">
      <x:c r="A107" s="10" t="n">
        <x:v>115</x:v>
      </x:c>
      <x:c r="B107" s="2" t="str">
        <x:v>5e6f548279575ba728b1</x:v>
      </x:c>
      <x:c r="C107" s="2" t="str">
        <x:v>Kiên Giang</x:v>
      </x:c>
      <x:c r="D107" s="2" t="str">
        <x:v>Huyện Phú Quốc</x:v>
      </x:c>
      <x:c r="E107" s="2" t="str">
        <x:v>land</x:v>
      </x:c>
      <x:c r="F107" s="2" t="str">
        <x:v>sale</x:v>
      </x:c>
      <x:c r="G107" s="11" t="n">
        <x:v>102.5</x:v>
      </x:c>
      <x:c r="H107" s="12" t="n">
        <x:v>1100000000</x:v>
      </x:c>
      <x:c r="I107" s="12" t="n">
        <x:v>10731707.31707317</x:v>
      </x:c>
      <x:c r="J107" s="2" t="str">
        <x:v>total</x:v>
      </x:c>
      <x:c r="K107" s="2" t="str">
        <x:v>top_level_area</x:v>
      </x:c>
      <x:c r="L107" s="2" t="str">
        <x:v>property_type_inferred_from_title</x:v>
      </x:c>
      <x:c r="M107" s="10" t="n">
        <x:v>0</x:v>
      </x:c>
      <x:c r="N107" s="10" t="n">
        <x:v>0</x:v>
      </x:c>
      <x:c r="O107" s="2" t="str">
        <x:v>land</x:v>
      </x:c>
      <x:c r="P107" s="10" t="n">
        <x:v>2</x:v>
      </x:c>
      <x:c r="Q107" s="13" t="n">
        <x:f>IF(H107="","",H107/1000000000)</x:f>
        <x:v>1.1</x:v>
      </x:c>
      <x:c r="R107" s="13" t="n">
        <x:f>IF(I107="","",I107/1000000)</x:f>
        <x:v>10.73170731707317</x:v>
      </x:c>
    </x:row>
    <x:row r="108" ht="21" customHeight="1">
      <x:c r="A108" s="10" t="n">
        <x:v>116</x:v>
      </x:c>
      <x:c r="B108" s="2" t="str">
        <x:v>263ab835f4900721e315</x:v>
      </x:c>
      <x:c r="C108" s="2" t="str">
        <x:v>Đà Nẵng</x:v>
      </x:c>
      <x:c r="D108" s="2" t="str">
        <x:v>Quận Sơn Trà</x:v>
      </x:c>
      <x:c r="E108" s="2" t="str">
        <x:v>house</x:v>
      </x:c>
      <x:c r="F108" s="2" t="str">
        <x:v>sale_assumed</x:v>
      </x:c>
      <x:c r="G108" s="11" t="n">
        <x:v>100</x:v>
      </x:c>
      <x:c r="H108" s="12" t="n">
        <x:v>4700000000</x:v>
      </x:c>
      <x:c r="I108" s="12" t="n">
        <x:v>47000000</x:v>
      </x:c>
      <x:c r="J108" s="2" t="str">
        <x:v>total</x:v>
      </x:c>
      <x:c r="K108" s="2" t="str">
        <x:v>top_level_area</x:v>
      </x:c>
      <x:c r="L108" s="2" t="str">
        <x:v>property_type_inferred_from_title;transaction_assumed_sale_from_dataset_context</x:v>
      </x:c>
      <x:c r="M108" s="10" t="n">
        <x:v>0</x:v>
      </x:c>
      <x:c r="N108" s="10" t="n">
        <x:v>0</x:v>
      </x:c>
      <x:c r="O108" s="2" t="str">
        <x:v>Đà Nẵng|house</x:v>
      </x:c>
      <x:c r="P108" s="10" t="n">
        <x:v>2</x:v>
      </x:c>
      <x:c r="Q108" s="13" t="n">
        <x:f>IF(H108="","",H108/1000000000)</x:f>
        <x:v>4.7</x:v>
      </x:c>
      <x:c r="R108" s="13" t="n">
        <x:f>IF(I108="","",I108/1000000)</x:f>
        <x:v>47</x:v>
      </x:c>
    </x:row>
    <x:row r="109" ht="21" customHeight="1">
      <x:c r="A109" s="10" t="n">
        <x:v>117</x:v>
      </x:c>
      <x:c r="B109" s="2" t="str">
        <x:v>74a7490c3c92532ddff8</x:v>
      </x:c>
      <x:c r="C109" s="2" t="str">
        <x:v>Chưa xác định</x:v>
      </x:c>
      <x:c r="D109" s="2" t="str">
        <x:v>Chưa xác định</x:v>
      </x:c>
      <x:c r="E109" s="2" t="str">
        <x:v>house</x:v>
      </x:c>
      <x:c r="F109" s="2" t="str">
        <x:v>sale_assumed</x:v>
      </x:c>
      <x:c r="G109" s="11" t="n">
        <x:v>80</x:v>
      </x:c>
      <x:c r="H109" s="12" t="n">
        <x:v>1350000000</x:v>
      </x:c>
      <x:c r="I109" s="12" t="n">
        <x:v>16875000</x:v>
      </x:c>
      <x:c r="J109" s="2" t="str">
        <x:v>total</x:v>
      </x:c>
      <x:c r="K109" s="2" t="str">
        <x:v>top_level_area</x:v>
      </x:c>
      <x:c r="L109" s="2" t="str">
        <x:v>property_type_inferred_from_title;transaction_assumed_sale_from_dataset_context;unknown_district;unknown_province</x:v>
      </x:c>
      <x:c r="M109" s="10" t="n">
        <x:v>0</x:v>
      </x:c>
      <x:c r="N109" s="10" t="n">
        <x:v>0</x:v>
      </x:c>
      <x:c r="O109" s="2" t="str">
        <x:v>house</x:v>
      </x:c>
      <x:c r="P109" s="10" t="n">
        <x:v>2</x:v>
      </x:c>
      <x:c r="Q109" s="13" t="n">
        <x:f>IF(H109="","",H109/1000000000)</x:f>
        <x:v>1.35</x:v>
      </x:c>
      <x:c r="R109" s="13" t="n">
        <x:f>IF(I109="","",I109/1000000)</x:f>
        <x:v>16.875</x:v>
      </x:c>
    </x:row>
    <x:row r="110" ht="21" customHeight="1">
      <x:c r="A110" s="10" t="n">
        <x:v>118</x:v>
      </x:c>
      <x:c r="B110" s="2" t="str">
        <x:v>de135f422e74a4ab5fa5</x:v>
      </x:c>
      <x:c r="C110" s="2" t="str">
        <x:v>Tp Hồ Chí Minh</x:v>
      </x:c>
      <x:c r="D110" s="2" t="str">
        <x:v>Quận Tân Phú</x:v>
      </x:c>
      <x:c r="E110" s="2" t="str">
        <x:v>apartment</x:v>
      </x:c>
      <x:c r="F110" s="2" t="str">
        <x:v>sale_assumed</x:v>
      </x:c>
      <x:c r="G110" s="11" t="n">
        <x:v>80</x:v>
      </x:c>
      <x:c r="H110" s="12" t="n">
        <x:v>2800000000</x:v>
      </x:c>
      <x:c r="I110" s="12" t="n">
        <x:v>35000000</x:v>
      </x:c>
      <x:c r="J110" s="2" t="str">
        <x:v>total</x:v>
      </x:c>
      <x:c r="K110" s="2" t="str">
        <x:v>top_level_area</x:v>
      </x:c>
      <x:c r="L110" s="2" t="str">
        <x:v>property_type_inferred_from_title;transaction_assumed_sale_from_dataset_context</x:v>
      </x:c>
      <x:c r="M110" s="10" t="n">
        <x:v>0</x:v>
      </x:c>
      <x:c r="N110" s="10" t="n">
        <x:v>0</x:v>
      </x:c>
      <x:c r="O110" s="2" t="str">
        <x:v>Tp Hồ Chí Minh|apartment</x:v>
      </x:c>
      <x:c r="P110" s="10" t="n">
        <x:v>2</x:v>
      </x:c>
      <x:c r="Q110" s="13" t="n">
        <x:f>IF(H110="","",H110/1000000000)</x:f>
        <x:v>2.8</x:v>
      </x:c>
      <x:c r="R110" s="13" t="n">
        <x:f>IF(I110="","",I110/1000000)</x:f>
        <x:v>35</x:v>
      </x:c>
    </x:row>
    <x:row r="111" ht="21" customHeight="1">
      <x:c r="A111" s="10" t="n">
        <x:v>119</x:v>
      </x:c>
      <x:c r="B111" s="2" t="str">
        <x:v>0b0385c8280946c51d9c</x:v>
      </x:c>
      <x:c r="C111" s="2" t="str">
        <x:v>Cần Thơ</x:v>
      </x:c>
      <x:c r="D111" s="2" t="str">
        <x:v>Quận Ninh Kiều</x:v>
      </x:c>
      <x:c r="E111" s="2" t="str">
        <x:v>land</x:v>
      </x:c>
      <x:c r="F111" s="2" t="str">
        <x:v>sale_assumed</x:v>
      </x:c>
      <x:c r="G111" s="11" t="n">
        <x:v>125</x:v>
      </x:c>
      <x:c r="H111" s="12" t="n">
        <x:v>2100000000</x:v>
      </x:c>
      <x:c r="I111" s="12" t="n">
        <x:v>16800000</x:v>
      </x:c>
      <x:c r="J111" s="2" t="str">
        <x:v>total</x:v>
      </x:c>
      <x:c r="K111" s="2" t="str">
        <x:v>top_level_area</x:v>
      </x:c>
      <x:c r="L111" s="2" t="str">
        <x:v>property_type_inferred_from_title;transaction_assumed_sale_from_dataset_context</x:v>
      </x:c>
      <x:c r="M111" s="10" t="n">
        <x:v>0</x:v>
      </x:c>
      <x:c r="N111" s="10" t="n">
        <x:v>0</x:v>
      </x:c>
      <x:c r="O111" s="2" t="str">
        <x:v>Cần Thơ|land</x:v>
      </x:c>
      <x:c r="P111" s="10" t="n">
        <x:v>2</x:v>
      </x:c>
      <x:c r="Q111" s="13" t="n">
        <x:f>IF(H111="","",H111/1000000000)</x:f>
        <x:v>2.1</x:v>
      </x:c>
      <x:c r="R111" s="13" t="n">
        <x:f>IF(I111="","",I111/1000000)</x:f>
        <x:v>16.8</x:v>
      </x:c>
    </x:row>
    <x:row r="112" ht="21" customHeight="1">
      <x:c r="A112" s="10" t="n">
        <x:v>120</x:v>
      </x:c>
      <x:c r="B112" s="2" t="str">
        <x:v>78fe685bb5c4a917cdfb</x:v>
      </x:c>
      <x:c r="C112" s="2" t="str">
        <x:v>Đà Nẵng</x:v>
      </x:c>
      <x:c r="D112" s="2" t="str">
        <x:v>Quận Sơn Trà</x:v>
      </x:c>
      <x:c r="E112" s="2" t="str">
        <x:v>apartment</x:v>
      </x:c>
      <x:c r="F112" s="2" t="str">
        <x:v>sale</x:v>
      </x:c>
      <x:c r="G112" s="11" t="n">
        <x:v>55</x:v>
      </x:c>
      <x:c r="H112" s="12" t="n">
        <x:v>1650000000</x:v>
      </x:c>
      <x:c r="I112" s="12" t="n">
        <x:v>30000000</x:v>
      </x:c>
      <x:c r="J112" s="2" t="str">
        <x:v>total</x:v>
      </x:c>
      <x:c r="K112" s="2" t="str">
        <x:v>top_level_price_embedded_area</x:v>
      </x:c>
      <x:c r="L112" s="2" t="str">
        <x:v>area_recovered_from_price_text;property_type_inferred_from_title</x:v>
      </x:c>
      <x:c r="M112" s="10" t="n">
        <x:v>0</x:v>
      </x:c>
      <x:c r="N112" s="10" t="n">
        <x:v>0</x:v>
      </x:c>
      <x:c r="O112" s="2" t="str">
        <x:v>apartment</x:v>
      </x:c>
      <x:c r="P112" s="10" t="n">
        <x:v>2</x:v>
      </x:c>
      <x:c r="Q112" s="13" t="n">
        <x:f>IF(H112="","",H112/1000000000)</x:f>
        <x:v>1.65</x:v>
      </x:c>
      <x:c r="R112" s="13" t="n">
        <x:f>IF(I112="","",I112/1000000)</x:f>
        <x:v>30</x:v>
      </x:c>
    </x:row>
    <x:row r="113" ht="21" customHeight="1">
      <x:c r="A113" s="10" t="n">
        <x:v>121</x:v>
      </x:c>
      <x:c r="B113" s="2" t="str">
        <x:v>891b9200015cad181870</x:v>
      </x:c>
      <x:c r="C113" s="2" t="str">
        <x:v>Tp Hồ Chí Minh</x:v>
      </x:c>
      <x:c r="D113" s="2" t="str">
        <x:v>Quận Tân Bình</x:v>
      </x:c>
      <x:c r="E113" s="2" t="str">
        <x:v>house</x:v>
      </x:c>
      <x:c r="F113" s="2" t="str">
        <x:v>sale_assumed</x:v>
      </x:c>
      <x:c r="G113" s="11" t="n">
        <x:v>41</x:v>
      </x:c>
      <x:c r="H113" s="12" t="n">
        <x:v>3700000000</x:v>
      </x:c>
      <x:c r="I113" s="12" t="n">
        <x:v>90243902.43902439</x:v>
      </x:c>
      <x:c r="J113" s="2" t="str">
        <x:v>total</x:v>
      </x:c>
      <x:c r="K113" s="2" t="str">
        <x:v>top_level_area</x:v>
      </x:c>
      <x:c r="L113" s="2" t="str">
        <x:v>property_type_inferred_from_title;transaction_assumed_sale_from_dataset_context</x:v>
      </x:c>
      <x:c r="M113" s="10" t="n">
        <x:v>0</x:v>
      </x:c>
      <x:c r="N113" s="10" t="n">
        <x:v>0</x:v>
      </x:c>
      <x:c r="O113" s="2" t="str">
        <x:v>Tp Hồ Chí Minh|house</x:v>
      </x:c>
      <x:c r="P113" s="10" t="n">
        <x:v>2</x:v>
      </x:c>
      <x:c r="Q113" s="13" t="n">
        <x:f>IF(H113="","",H113/1000000000)</x:f>
        <x:v>3.7</x:v>
      </x:c>
      <x:c r="R113" s="13" t="n">
        <x:f>IF(I113="","",I113/1000000)</x:f>
        <x:v>90.2439024390244</x:v>
      </x:c>
    </x:row>
    <x:row r="114" ht="21" customHeight="1">
      <x:c r="A114" s="10" t="n">
        <x:v>122</x:v>
      </x:c>
      <x:c r="B114" s="2" t="str">
        <x:v>6485c0b5b4a6ab2e15de</x:v>
      </x:c>
      <x:c r="C114" s="2" t="str">
        <x:v>Tp Hồ Chí Minh</x:v>
      </x:c>
      <x:c r="D114" s="2" t="str">
        <x:v>Quận Thủ Đức</x:v>
      </x:c>
      <x:c r="E114" s="2" t="str">
        <x:v>house</x:v>
      </x:c>
      <x:c r="F114" s="2" t="str">
        <x:v>sale_assumed</x:v>
      </x:c>
      <x:c r="G114" s="11" t="n">
        <x:v>33.2</x:v>
      </x:c>
      <x:c r="H114" s="12" t="n">
        <x:v>2350000000</x:v>
      </x:c>
      <x:c r="I114" s="12" t="n">
        <x:v>70783132.53012048</x:v>
      </x:c>
      <x:c r="J114" s="2" t="str">
        <x:v>total</x:v>
      </x:c>
      <x:c r="K114" s="2" t="str">
        <x:v>top_level_area</x:v>
      </x:c>
      <x:c r="L114" s="2" t="str">
        <x:v>property_type_inferred_from_title;transaction_assumed_sale_from_dataset_context</x:v>
      </x:c>
      <x:c r="M114" s="10" t="n">
        <x:v>0</x:v>
      </x:c>
      <x:c r="N114" s="10" t="n">
        <x:v>0</x:v>
      </x:c>
      <x:c r="O114" s="2" t="str">
        <x:v>Tp Hồ Chí Minh|house</x:v>
      </x:c>
      <x:c r="P114" s="10" t="n">
        <x:v>2</x:v>
      </x:c>
      <x:c r="Q114" s="13" t="n">
        <x:f>IF(H114="","",H114/1000000000)</x:f>
        <x:v>2.35</x:v>
      </x:c>
      <x:c r="R114" s="13" t="n">
        <x:f>IF(I114="","",I114/1000000)</x:f>
        <x:v>70.78313253012048</x:v>
      </x:c>
    </x:row>
    <x:row r="115" ht="21" customHeight="1">
      <x:c r="A115" s="10" t="n">
        <x:v>123</x:v>
      </x:c>
      <x:c r="B115" s="2" t="str">
        <x:v>aa63475336a6a82cbfdb</x:v>
      </x:c>
      <x:c r="C115" s="2" t="str">
        <x:v>Cần Thơ</x:v>
      </x:c>
      <x:c r="D115" s="2" t="str">
        <x:v>Quận Ninh Kiều</x:v>
      </x:c>
      <x:c r="E115" s="2" t="str">
        <x:v>house</x:v>
      </x:c>
      <x:c r="F115" s="2" t="str">
        <x:v>sale</x:v>
      </x:c>
      <x:c r="G115" s="11" t="n">
        <x:v>52</x:v>
      </x:c>
      <x:c r="H115" s="12" t="n">
        <x:v>2190000000</x:v>
      </x:c>
      <x:c r="I115" s="12" t="n">
        <x:v>42115384.615384616</x:v>
      </x:c>
      <x:c r="J115" s="2" t="str">
        <x:v>total</x:v>
      </x:c>
      <x:c r="K115" s="2" t="str">
        <x:v>top_level_area</x:v>
      </x:c>
      <x:c r="L115" s="2" t="str">
        <x:v>property_type_inferred_from_title</x:v>
      </x:c>
      <x:c r="M115" s="10" t="n">
        <x:v>0</x:v>
      </x:c>
      <x:c r="N115" s="10" t="n">
        <x:v>0</x:v>
      </x:c>
      <x:c r="O115" s="2" t="str">
        <x:v>Cần Thơ|house</x:v>
      </x:c>
      <x:c r="P115" s="10" t="n">
        <x:v>2</x:v>
      </x:c>
      <x:c r="Q115" s="13" t="n">
        <x:f>IF(H115="","",H115/1000000000)</x:f>
        <x:v>2.19</x:v>
      </x:c>
      <x:c r="R115" s="13" t="n">
        <x:f>IF(I115="","",I115/1000000)</x:f>
        <x:v>42.11538461538461</x:v>
      </x:c>
    </x:row>
    <x:row r="116" ht="21" customHeight="1">
      <x:c r="A116" s="10" t="n">
        <x:v>124</x:v>
      </x:c>
      <x:c r="B116" s="2" t="str">
        <x:v>9891b08bdd697f541a4c</x:v>
      </x:c>
      <x:c r="C116" s="2" t="str">
        <x:v>Hà Nội</x:v>
      </x:c>
      <x:c r="D116" s="2" t="str">
        <x:v>Quận Ba Đình</x:v>
      </x:c>
      <x:c r="E116" s="2" t="str">
        <x:v>house</x:v>
      </x:c>
      <x:c r="F116" s="2" t="str">
        <x:v>sale_assumed</x:v>
      </x:c>
      <x:c r="G116" s="11" t="n">
        <x:v>32</x:v>
      </x:c>
      <x:c r="H116" s="12" t="n">
        <x:v>4300000000</x:v>
      </x:c>
      <x:c r="I116" s="12" t="n">
        <x:v>134375000</x:v>
      </x:c>
      <x:c r="J116" s="2" t="str">
        <x:v>total</x:v>
      </x:c>
      <x:c r="K116" s="2" t="str">
        <x:v>top_level_area</x:v>
      </x:c>
      <x:c r="L116" s="2" t="str">
        <x:v>property_type_inferred_from_title;transaction_assumed_sale_from_dataset_context</x:v>
      </x:c>
      <x:c r="M116" s="10" t="n">
        <x:v>0</x:v>
      </x:c>
      <x:c r="N116" s="10" t="n">
        <x:v>0</x:v>
      </x:c>
      <x:c r="O116" s="2" t="str">
        <x:v>Hà Nội|house</x:v>
      </x:c>
      <x:c r="P116" s="10" t="n">
        <x:v>2</x:v>
      </x:c>
      <x:c r="Q116" s="13" t="n">
        <x:f>IF(H116="","",H116/1000000000)</x:f>
        <x:v>4.3</x:v>
      </x:c>
      <x:c r="R116" s="13" t="n">
        <x:f>IF(I116="","",I116/1000000)</x:f>
        <x:v>134.375</x:v>
      </x:c>
    </x:row>
    <x:row r="117" ht="21" customHeight="1">
      <x:c r="A117" s="10" t="n">
        <x:v>125</x:v>
      </x:c>
      <x:c r="B117" s="2" t="str">
        <x:v>4b56cd5de3bc65d3bfb7</x:v>
      </x:c>
      <x:c r="C117" s="2" t="str">
        <x:v>Tp Hồ Chí Minh</x:v>
      </x:c>
      <x:c r="D117" s="2" t="str">
        <x:v>Huyện Hóc Môn</x:v>
      </x:c>
      <x:c r="E117" s="2" t="str">
        <x:v>house</x:v>
      </x:c>
      <x:c r="F117" s="2" t="str">
        <x:v>sale</x:v>
      </x:c>
      <x:c r="G117" s="11" t="n">
        <x:v>100</x:v>
      </x:c>
      <x:c r="H117" s="12" t="n">
        <x:v>3100000000</x:v>
      </x:c>
      <x:c r="I117" s="12" t="n">
        <x:v>31000000</x:v>
      </x:c>
      <x:c r="J117" s="2" t="str">
        <x:v>total</x:v>
      </x:c>
      <x:c r="K117" s="2" t="str">
        <x:v>top_level_area</x:v>
      </x:c>
      <x:c r="L117" s="2" t="str">
        <x:v>property_type_inferred_from_title</x:v>
      </x:c>
      <x:c r="M117" s="10" t="n">
        <x:v>0</x:v>
      </x:c>
      <x:c r="N117" s="10" t="n">
        <x:v>0</x:v>
      </x:c>
      <x:c r="O117" s="2" t="str">
        <x:v>Tp Hồ Chí Minh|house</x:v>
      </x:c>
      <x:c r="P117" s="10" t="n">
        <x:v>2</x:v>
      </x:c>
      <x:c r="Q117" s="13" t="n">
        <x:f>IF(H117="","",H117/1000000000)</x:f>
        <x:v>3.1</x:v>
      </x:c>
      <x:c r="R117" s="13" t="n">
        <x:f>IF(I117="","",I117/1000000)</x:f>
        <x:v>31</x:v>
      </x:c>
    </x:row>
    <x:row r="118" ht="21" customHeight="1">
      <x:c r="A118" s="10" t="n">
        <x:v>126</x:v>
      </x:c>
      <x:c r="B118" s="2" t="str">
        <x:v>640c1bf2fb949c0db5a4</x:v>
      </x:c>
      <x:c r="C118" s="2" t="str">
        <x:v>Đà Nẵng</x:v>
      </x:c>
      <x:c r="D118" s="2" t="str">
        <x:v>Quận Cẩm Lệ</x:v>
      </x:c>
      <x:c r="E118" s="2" t="str">
        <x:v>land</x:v>
      </x:c>
      <x:c r="F118" s="2" t="str">
        <x:v>sale_assumed</x:v>
      </x:c>
      <x:c r="G118" s="11" t="n">
        <x:v>100</x:v>
      </x:c>
      <x:c r="H118" s="12" t="n">
        <x:v>2049999999.9999998</x:v>
      </x:c>
      <x:c r="I118" s="12" t="n">
        <x:v>20499999.999999996</x:v>
      </x:c>
      <x:c r="J118" s="2" t="str">
        <x:v>total</x:v>
      </x:c>
      <x:c r="K118" s="2" t="str">
        <x:v>top_level_area</x:v>
      </x:c>
      <x:c r="L118" s="2" t="str">
        <x:v>property_type_inferred_from_title;transaction_assumed_sale_from_dataset_context</x:v>
      </x:c>
      <x:c r="M118" s="10" t="n">
        <x:v>0</x:v>
      </x:c>
      <x:c r="N118" s="10" t="n">
        <x:v>0</x:v>
      </x:c>
      <x:c r="O118" s="2" t="str">
        <x:v>Đà Nẵng|land</x:v>
      </x:c>
      <x:c r="P118" s="10" t="n">
        <x:v>2</x:v>
      </x:c>
      <x:c r="Q118" s="13" t="n">
        <x:f>IF(H118="","",H118/1000000000)</x:f>
        <x:v>2.05</x:v>
      </x:c>
      <x:c r="R118" s="13" t="n">
        <x:f>IF(I118="","",I118/1000000)</x:f>
        <x:v>20.499999999999996</x:v>
      </x:c>
    </x:row>
    <x:row r="119" ht="21" customHeight="1">
      <x:c r="A119" s="10" t="n">
        <x:v>127</x:v>
      </x:c>
      <x:c r="B119" s="2" t="str">
        <x:v>77e1ca885d409f20c0c2</x:v>
      </x:c>
      <x:c r="C119" s="2" t="str">
        <x:v>Tp Hồ Chí Minh</x:v>
      </x:c>
      <x:c r="D119" s="2" t="str">
        <x:v>Quận Thủ Đức</x:v>
      </x:c>
      <x:c r="E119" s="2" t="str">
        <x:v>other_unknown</x:v>
      </x:c>
      <x:c r="F119" s="2" t="str">
        <x:v>sale_assumed</x:v>
      </x:c>
      <x:c r="G119" s="11" t="n">
        <x:v>80</x:v>
      </x:c>
      <x:c r="H119" s="12" t="n">
        <x:v>750000000</x:v>
      </x:c>
      <x:c r="I119" s="12" t="n">
        <x:v>9375000</x:v>
      </x:c>
      <x:c r="J119" s="2" t="str">
        <x:v>total</x:v>
      </x:c>
      <x:c r="K119" s="2" t="str">
        <x:v>top_level_area</x:v>
      </x:c>
      <x:c r="L119" s="2" t="str">
        <x:v>property_type_inferred_from_title;transaction_assumed_sale_from_dataset_context;unknown_property_type</x:v>
      </x:c>
      <x:c r="M119" s="10" t="n">
        <x:v>0</x:v>
      </x:c>
      <x:c r="N119" s="10" t="n">
        <x:v>0</x:v>
      </x:c>
      <x:c r="O119" s="2" t="str">
        <x:v>Tp Hồ Chí Minh|other_unknown</x:v>
      </x:c>
      <x:c r="P119" s="10" t="n">
        <x:v>2</x:v>
      </x:c>
      <x:c r="Q119" s="13" t="n">
        <x:f>IF(H119="","",H119/1000000000)</x:f>
        <x:v>0.75</x:v>
      </x:c>
      <x:c r="R119" s="13" t="n">
        <x:f>IF(I119="","",I119/1000000)</x:f>
        <x:v>9.375</x:v>
      </x:c>
    </x:row>
    <x:row r="120" ht="21" customHeight="1">
      <x:c r="A120" s="10" t="n">
        <x:v>128</x:v>
      </x:c>
      <x:c r="B120" s="2" t="str">
        <x:v>50eaf63a46e459e1ddfa</x:v>
      </x:c>
      <x:c r="C120" s="2" t="str">
        <x:v>Tp Hồ Chí Minh</x:v>
      </x:c>
      <x:c r="D120" s="2" t="str">
        <x:v>Huyện Củ Chi</x:v>
      </x:c>
      <x:c r="E120" s="2" t="str">
        <x:v>house</x:v>
      </x:c>
      <x:c r="F120" s="2" t="str">
        <x:v>sale</x:v>
      </x:c>
      <x:c r="G120" s="11" t="n">
        <x:v>68</x:v>
      </x:c>
      <x:c r="H120" s="12" t="n">
        <x:v>1130000000</x:v>
      </x:c>
      <x:c r="I120" s="12" t="n">
        <x:v>16617647.05882353</x:v>
      </x:c>
      <x:c r="J120" s="2" t="str">
        <x:v>total</x:v>
      </x:c>
      <x:c r="K120" s="2" t="str">
        <x:v>top_level_area</x:v>
      </x:c>
      <x:c r="L120" s="2" t="str">
        <x:v>property_type_inferred_from_title</x:v>
      </x:c>
      <x:c r="M120" s="10" t="n">
        <x:v>0</x:v>
      </x:c>
      <x:c r="N120" s="10" t="n">
        <x:v>0</x:v>
      </x:c>
      <x:c r="O120" s="2" t="str">
        <x:v>Tp Hồ Chí Minh|house</x:v>
      </x:c>
      <x:c r="P120" s="10" t="n">
        <x:v>2</x:v>
      </x:c>
      <x:c r="Q120" s="13" t="n">
        <x:f>IF(H120="","",H120/1000000000)</x:f>
        <x:v>1.13</x:v>
      </x:c>
      <x:c r="R120" s="13" t="n">
        <x:f>IF(I120="","",I120/1000000)</x:f>
        <x:v>16.61764705882353</x:v>
      </x:c>
    </x:row>
    <x:row r="121" ht="21" customHeight="1">
      <x:c r="A121" s="10" t="n">
        <x:v>129</x:v>
      </x:c>
      <x:c r="B121" s="2" t="str">
        <x:v>e38534e18e6dd625f498</x:v>
      </x:c>
      <x:c r="C121" s="2" t="str">
        <x:v>Tp Hồ Chí Minh</x:v>
      </x:c>
      <x:c r="D121" s="2" t="str">
        <x:v>Quận Tân Bình</x:v>
      </x:c>
      <x:c r="E121" s="2" t="str">
        <x:v>other_unknown</x:v>
      </x:c>
      <x:c r="F121" s="2" t="str">
        <x:v>sale_assumed</x:v>
      </x:c>
      <x:c r="G121" s="11" t="n">
        <x:v>38</x:v>
      </x:c>
      <x:c r="H121" s="12" t="n">
        <x:v>7250000000</x:v>
      </x:c>
      <x:c r="I121" s="12" t="n">
        <x:v>190789473.68421054</x:v>
      </x:c>
      <x:c r="J121" s="2" t="str">
        <x:v>total</x:v>
      </x:c>
      <x:c r="K121" s="2" t="str">
        <x:v>top_level_price_embedded_area</x:v>
      </x:c>
      <x:c r="L121" s="2" t="str">
        <x:v>area_recovered_from_price_text;property_type_inferred_from_title;transaction_assumed_sale_from_dataset_context;unknown_property_type</x:v>
      </x:c>
      <x:c r="M121" s="10" t="n">
        <x:v>1</x:v>
      </x:c>
      <x:c r="N121" s="10" t="n">
        <x:v>0</x:v>
      </x:c>
      <x:c r="O121" s="2" t="str">
        <x:v>Tp Hồ Chí Minh|other_unknown</x:v>
      </x:c>
      <x:c r="P121" s="10" t="n">
        <x:v>2</x:v>
      </x:c>
      <x:c r="Q121" s="13" t="n">
        <x:f>IF(H121="","",H121/1000000000)</x:f>
        <x:v>7.25</x:v>
      </x:c>
      <x:c r="R121" s="13" t="n">
        <x:f>IF(I121="","",I121/1000000)</x:f>
        <x:v>190.78947368421055</x:v>
      </x:c>
    </x:row>
    <x:row r="122" ht="21" customHeight="1">
      <x:c r="A122" s="10" t="n">
        <x:v>130</x:v>
      </x:c>
      <x:c r="B122" s="2" t="str">
        <x:v>956875e1449616b170a3</x:v>
      </x:c>
      <x:c r="C122" s="2" t="str">
        <x:v>Hà Nội</x:v>
      </x:c>
      <x:c r="D122" s="2" t="str">
        <x:v>Quận Hà Đông</x:v>
      </x:c>
      <x:c r="E122" s="2" t="str">
        <x:v>house</x:v>
      </x:c>
      <x:c r="F122" s="2" t="str">
        <x:v>sale</x:v>
      </x:c>
      <x:c r="G122" s="11" t="n">
        <x:v>33</x:v>
      </x:c>
      <x:c r="H122" s="12" t="n">
        <x:v>4300000000</x:v>
      </x:c>
      <x:c r="I122" s="12" t="n">
        <x:v>130303030.3030303</x:v>
      </x:c>
      <x:c r="J122" s="2" t="str">
        <x:v>total</x:v>
      </x:c>
      <x:c r="K122" s="2" t="str">
        <x:v>top_level_area</x:v>
      </x:c>
      <x:c r="L122" s="2" t="str">
        <x:v>property_type_inferred_from_title</x:v>
      </x:c>
      <x:c r="M122" s="10" t="n">
        <x:v>0</x:v>
      </x:c>
      <x:c r="N122" s="10" t="n">
        <x:v>0</x:v>
      </x:c>
      <x:c r="O122" s="2" t="str">
        <x:v>Hà Nội|house</x:v>
      </x:c>
      <x:c r="P122" s="10" t="n">
        <x:v>2</x:v>
      </x:c>
      <x:c r="Q122" s="13" t="n">
        <x:f>IF(H122="","",H122/1000000000)</x:f>
        <x:v>4.3</x:v>
      </x:c>
      <x:c r="R122" s="13" t="n">
        <x:f>IF(I122="","",I122/1000000)</x:f>
        <x:v>130.30303030303028</x:v>
      </x:c>
    </x:row>
    <x:row r="123" ht="21" customHeight="1">
      <x:c r="A123" s="10" t="n">
        <x:v>131</x:v>
      </x:c>
      <x:c r="B123" s="2" t="str">
        <x:v>22c28fba49119d7b6992</x:v>
      </x:c>
      <x:c r="C123" s="2" t="str">
        <x:v>Bình Thuận</x:v>
      </x:c>
      <x:c r="D123" s="2" t="str">
        <x:v>Huyện Hàm Tân</x:v>
      </x:c>
      <x:c r="E123" s="2" t="str">
        <x:v>other_unknown</x:v>
      </x:c>
      <x:c r="F123" s="2" t="str">
        <x:v>sale_assumed</x:v>
      </x:c>
      <x:c r="G123" s="11" t="n">
        <x:v>400000</x:v>
      </x:c>
      <x:c r="H123" s="12" t="n">
        <x:v>12000000000</x:v>
      </x:c>
      <x:c r="I123" s="12" t="n">
        <x:v>30000</x:v>
      </x:c>
      <x:c r="J123" s="2" t="str">
        <x:v>total</x:v>
      </x:c>
      <x:c r="K123" s="2" t="str">
        <x:v>top_level_area</x:v>
      </x:c>
      <x:c r="L123" s="2" t="str">
        <x:v>dot_thousands_convention;property_type_inferred_from_title;transaction_assumed_sale_from_dataset_context;unknown_property_type</x:v>
      </x:c>
      <x:c r="M123" s="10" t="n">
        <x:v>0</x:v>
      </x:c>
      <x:c r="N123" s="10" t="n">
        <x:v>0</x:v>
      </x:c>
      <x:c r="O123" s="2" t="str">
        <x:v>other_unknown</x:v>
      </x:c>
      <x:c r="P123" s="10" t="n">
        <x:v>1</x:v>
      </x:c>
      <x:c r="Q123" s="13" t="n">
        <x:f>IF(H123="","",H123/1000000000)</x:f>
        <x:v>12</x:v>
      </x:c>
      <x:c r="R123" s="13" t="n">
        <x:f>IF(I123="","",I123/1000000)</x:f>
        <x:v>0.03</x:v>
      </x:c>
    </x:row>
    <x:row r="124" ht="21" customHeight="1">
      <x:c r="A124" s="10" t="n">
        <x:v>132</x:v>
      </x:c>
      <x:c r="B124" s="2" t="str">
        <x:v>114277a923293c738f09</x:v>
      </x:c>
      <x:c r="C124" s="2" t="str">
        <x:v>Tp Hồ Chí Minh</x:v>
      </x:c>
      <x:c r="D124" s="2" t="str">
        <x:v>Quận Bình Thạnh</x:v>
      </x:c>
      <x:c r="E124" s="2" t="str">
        <x:v>house</x:v>
      </x:c>
      <x:c r="F124" s="2" t="str">
        <x:v>sale</x:v>
      </x:c>
      <x:c r="G124" s="11" t="n">
        <x:v>50</x:v>
      </x:c>
      <x:c r="H124" s="12" t="n">
        <x:v>7900000000</x:v>
      </x:c>
      <x:c r="I124" s="12" t="n">
        <x:v>158000000</x:v>
      </x:c>
      <x:c r="J124" s="2" t="str">
        <x:v>total</x:v>
      </x:c>
      <x:c r="K124" s="2" t="str">
        <x:v>top_level_area</x:v>
      </x:c>
      <x:c r="L124" s="2" t="str">
        <x:v>property_type_inferred_from_title</x:v>
      </x:c>
      <x:c r="M124" s="10" t="n">
        <x:v>0</x:v>
      </x:c>
      <x:c r="N124" s="10" t="n">
        <x:v>0</x:v>
      </x:c>
      <x:c r="O124" s="2" t="str">
        <x:v>Tp Hồ Chí Minh|house</x:v>
      </x:c>
      <x:c r="P124" s="10" t="n">
        <x:v>2</x:v>
      </x:c>
      <x:c r="Q124" s="13" t="n">
        <x:f>IF(H124="","",H124/1000000000)</x:f>
        <x:v>7.9</x:v>
      </x:c>
      <x:c r="R124" s="13" t="n">
        <x:f>IF(I124="","",I124/1000000)</x:f>
        <x:v>158</x:v>
      </x:c>
    </x:row>
    <x:row r="125" ht="21" customHeight="1">
      <x:c r="A125" s="10" t="n">
        <x:v>133</x:v>
      </x:c>
      <x:c r="B125" s="2" t="str">
        <x:v>5288138d064be30c8b62</x:v>
      </x:c>
      <x:c r="C125" s="2" t="str">
        <x:v>Tp Hồ Chí Minh</x:v>
      </x:c>
      <x:c r="D125" s="2" t="str">
        <x:v>Quận Bình Tân</x:v>
      </x:c>
      <x:c r="E125" s="2" t="str">
        <x:v>house</x:v>
      </x:c>
      <x:c r="F125" s="2" t="str">
        <x:v>sale_assumed</x:v>
      </x:c>
      <x:c r="G125" s="11" t="n">
        <x:v>150</x:v>
      </x:c>
      <x:c r="H125" s="12" t="n">
        <x:v>6700000000</x:v>
      </x:c>
      <x:c r="I125" s="12" t="n">
        <x:v>44666666.666666664</x:v>
      </x:c>
      <x:c r="J125" s="2" t="str">
        <x:v>total</x:v>
      </x:c>
      <x:c r="K125" s="2" t="str">
        <x:v>top_level_area</x:v>
      </x:c>
      <x:c r="L125" s="2" t="str">
        <x:v>property_type_inferred_from_title;transaction_assumed_sale_from_dataset_context</x:v>
      </x:c>
      <x:c r="M125" s="10" t="n">
        <x:v>0</x:v>
      </x:c>
      <x:c r="N125" s="10" t="n">
        <x:v>0</x:v>
      </x:c>
      <x:c r="O125" s="2" t="str">
        <x:v>Tp Hồ Chí Minh|house</x:v>
      </x:c>
      <x:c r="P125" s="10" t="n">
        <x:v>2</x:v>
      </x:c>
      <x:c r="Q125" s="13" t="n">
        <x:f>IF(H125="","",H125/1000000000)</x:f>
        <x:v>6.7</x:v>
      </x:c>
      <x:c r="R125" s="13" t="n">
        <x:f>IF(I125="","",I125/1000000)</x:f>
        <x:v>44.666666666666664</x:v>
      </x:c>
    </x:row>
    <x:row r="126" ht="21" customHeight="1">
      <x:c r="A126" s="10" t="n">
        <x:v>134</x:v>
      </x:c>
      <x:c r="B126" s="2" t="str">
        <x:v>01e4e003aff3a8aff3b2</x:v>
      </x:c>
      <x:c r="C126" s="2" t="str">
        <x:v>Hà Nội</x:v>
      </x:c>
      <x:c r="D126" s="2" t="str">
        <x:v>Quận Ba Đình</x:v>
      </x:c>
      <x:c r="E126" s="2" t="str">
        <x:v>other_unknown</x:v>
      </x:c>
      <x:c r="F126" s="2" t="str">
        <x:v>sale_assumed</x:v>
      </x:c>
      <x:c r="G126" s="11" t="n">
        <x:v>53</x:v>
      </x:c>
      <x:c r="H126" s="12" t="n">
        <x:v>5500000000</x:v>
      </x:c>
      <x:c r="I126" s="12" t="n">
        <x:v>103773584.90566038</x:v>
      </x:c>
      <x:c r="J126" s="2" t="str">
        <x:v>total</x:v>
      </x:c>
      <x:c r="K126" s="2" t="str">
        <x:v>top_level_area</x:v>
      </x:c>
      <x:c r="L126" s="2" t="str">
        <x:v>property_type_inferred_from_title;transaction_assumed_sale_from_dataset_context;unknown_property_type</x:v>
      </x:c>
      <x:c r="M126" s="10" t="n">
        <x:v>0</x:v>
      </x:c>
      <x:c r="N126" s="10" t="n">
        <x:v>0</x:v>
      </x:c>
      <x:c r="O126" s="2" t="str">
        <x:v>Hà Nội|other_unknown</x:v>
      </x:c>
      <x:c r="P126" s="10" t="n">
        <x:v>2</x:v>
      </x:c>
      <x:c r="Q126" s="13" t="n">
        <x:f>IF(H126="","",H126/1000000000)</x:f>
        <x:v>5.5</x:v>
      </x:c>
      <x:c r="R126" s="13" t="n">
        <x:f>IF(I126="","",I126/1000000)</x:f>
        <x:v>103.77358490566037</x:v>
      </x:c>
    </x:row>
    <x:row r="127" ht="21" customHeight="1">
      <x:c r="A127" s="10" t="n">
        <x:v>135</x:v>
      </x:c>
      <x:c r="B127" s="2" t="str">
        <x:v>796ffcc3e337b55ed3bd</x:v>
      </x:c>
      <x:c r="C127" s="2" t="str">
        <x:v>Hà Nội</x:v>
      </x:c>
      <x:c r="D127" s="2" t="str">
        <x:v>Huyện Thanh Trì</x:v>
      </x:c>
      <x:c r="E127" s="2" t="str">
        <x:v>land</x:v>
      </x:c>
      <x:c r="F127" s="2" t="str">
        <x:v>sale</x:v>
      </x:c>
      <x:c r="G127" s="11" t="n">
        <x:v>40</x:v>
      </x:c>
      <x:c r="H127" s="12" t="n">
        <x:v>1160000000</x:v>
      </x:c>
      <x:c r="I127" s="12" t="n">
        <x:v>29000000</x:v>
      </x:c>
      <x:c r="J127" s="2" t="str">
        <x:v>total</x:v>
      </x:c>
      <x:c r="K127" s="2" t="str">
        <x:v>top_level_area</x:v>
      </x:c>
      <x:c r="L127" s="2" t="str">
        <x:v>property_type_inferred_from_title</x:v>
      </x:c>
      <x:c r="M127" s="10" t="n">
        <x:v>0</x:v>
      </x:c>
      <x:c r="N127" s="10" t="n">
        <x:v>0</x:v>
      </x:c>
      <x:c r="O127" s="2" t="str">
        <x:v>Hà Nội|land</x:v>
      </x:c>
      <x:c r="P127" s="10" t="n">
        <x:v>2</x:v>
      </x:c>
      <x:c r="Q127" s="13" t="n">
        <x:f>IF(H127="","",H127/1000000000)</x:f>
        <x:v>1.16</x:v>
      </x:c>
      <x:c r="R127" s="13" t="n">
        <x:f>IF(I127="","",I127/1000000)</x:f>
        <x:v>29</x:v>
      </x:c>
    </x:row>
    <x:row r="128" ht="21" customHeight="1">
      <x:c r="A128" s="10" t="n">
        <x:v>136</x:v>
      </x:c>
      <x:c r="B128" s="2" t="str">
        <x:v>278c05a1c9e83851ad00</x:v>
      </x:c>
      <x:c r="C128" s="2" t="str">
        <x:v>Tp Hồ Chí Minh</x:v>
      </x:c>
      <x:c r="D128" s="2" t="str">
        <x:v>Quận Bình Thạnh</x:v>
      </x:c>
      <x:c r="E128" s="2" t="str">
        <x:v>house</x:v>
      </x:c>
      <x:c r="F128" s="2" t="str">
        <x:v>sale_assumed</x:v>
      </x:c>
      <x:c r="G128" s="11" t="n">
        <x:v>80</x:v>
      </x:c>
      <x:c r="H128" s="12" t="n">
        <x:v>6500000000</x:v>
      </x:c>
      <x:c r="I128" s="12" t="n">
        <x:v>81250000</x:v>
      </x:c>
      <x:c r="J128" s="2" t="str">
        <x:v>total</x:v>
      </x:c>
      <x:c r="K128" s="2" t="str">
        <x:v>top_level_area</x:v>
      </x:c>
      <x:c r="L128" s="2" t="str">
        <x:v>property_type_inferred_from_title;transaction_assumed_sale_from_dataset_context</x:v>
      </x:c>
      <x:c r="M128" s="10" t="n">
        <x:v>0</x:v>
      </x:c>
      <x:c r="N128" s="10" t="n">
        <x:v>0</x:v>
      </x:c>
      <x:c r="O128" s="2" t="str">
        <x:v>Tp Hồ Chí Minh|house</x:v>
      </x:c>
      <x:c r="P128" s="10" t="n">
        <x:v>2</x:v>
      </x:c>
      <x:c r="Q128" s="13" t="n">
        <x:f>IF(H128="","",H128/1000000000)</x:f>
        <x:v>6.5</x:v>
      </x:c>
      <x:c r="R128" s="13" t="n">
        <x:f>IF(I128="","",I128/1000000)</x:f>
        <x:v>81.25</x:v>
      </x:c>
    </x:row>
    <x:row r="129" ht="21" customHeight="1">
      <x:c r="A129" s="10" t="n">
        <x:v>137</x:v>
      </x:c>
      <x:c r="B129" s="2" t="str">
        <x:v>6d4998956ff417340c60</x:v>
      </x:c>
      <x:c r="C129" s="2" t="str">
        <x:v>Tp Hồ Chí Minh</x:v>
      </x:c>
      <x:c r="D129" s="2" t="str">
        <x:v>Quận 12</x:v>
      </x:c>
      <x:c r="E129" s="2" t="str">
        <x:v>house</x:v>
      </x:c>
      <x:c r="F129" s="2" t="str">
        <x:v>sale</x:v>
      </x:c>
      <x:c r="G129" s="11" t="n">
        <x:v>36</x:v>
      </x:c>
      <x:c r="H129" s="12" t="n">
        <x:v>2250000000</x:v>
      </x:c>
      <x:c r="I129" s="12" t="n">
        <x:v>62500000</x:v>
      </x:c>
      <x:c r="J129" s="2" t="str">
        <x:v>total</x:v>
      </x:c>
      <x:c r="K129" s="2" t="str">
        <x:v>top_level_area</x:v>
      </x:c>
      <x:c r="L129" s="2" t="str">
        <x:v>property_type_inferred_from_title</x:v>
      </x:c>
      <x:c r="M129" s="10" t="n">
        <x:v>0</x:v>
      </x:c>
      <x:c r="N129" s="10" t="n">
        <x:v>0</x:v>
      </x:c>
      <x:c r="O129" s="2" t="str">
        <x:v>Tp Hồ Chí Minh|house</x:v>
      </x:c>
      <x:c r="P129" s="10" t="n">
        <x:v>2</x:v>
      </x:c>
      <x:c r="Q129" s="13" t="n">
        <x:f>IF(H129="","",H129/1000000000)</x:f>
        <x:v>2.25</x:v>
      </x:c>
      <x:c r="R129" s="13" t="n">
        <x:f>IF(I129="","",I129/1000000)</x:f>
        <x:v>62.5</x:v>
      </x:c>
    </x:row>
    <x:row r="130" ht="21" customHeight="1">
      <x:c r="A130" s="10" t="n">
        <x:v>138</x:v>
      </x:c>
      <x:c r="B130" s="2" t="str">
        <x:v>a802b7c097e6e0d7d638</x:v>
      </x:c>
      <x:c r="C130" s="2" t="str">
        <x:v>Tp Hồ Chí Minh</x:v>
      </x:c>
      <x:c r="D130" s="2" t="str">
        <x:v>Quận Thủ Đức</x:v>
      </x:c>
      <x:c r="E130" s="2" t="str">
        <x:v>house</x:v>
      </x:c>
      <x:c r="F130" s="2" t="str">
        <x:v>sale_assumed</x:v>
      </x:c>
      <x:c r="G130" s="11" t="n">
        <x:v>65</x:v>
      </x:c>
      <x:c r="H130" s="12" t="n">
        <x:v>1550000000</x:v>
      </x:c>
      <x:c r="I130" s="12" t="n">
        <x:v>23846153.846153848</x:v>
      </x:c>
      <x:c r="J130" s="2" t="str">
        <x:v>total</x:v>
      </x:c>
      <x:c r="K130" s="2" t="str">
        <x:v>top_level_area</x:v>
      </x:c>
      <x:c r="L130" s="2" t="str">
        <x:v>property_type_inferred_from_title;transaction_assumed_sale_from_dataset_context</x:v>
      </x:c>
      <x:c r="M130" s="10" t="n">
        <x:v>0</x:v>
      </x:c>
      <x:c r="N130" s="10" t="n">
        <x:v>0</x:v>
      </x:c>
      <x:c r="O130" s="2" t="str">
        <x:v>Tp Hồ Chí Minh|house</x:v>
      </x:c>
      <x:c r="P130" s="10" t="n">
        <x:v>2</x:v>
      </x:c>
      <x:c r="Q130" s="13" t="n">
        <x:f>IF(H130="","",H130/1000000000)</x:f>
        <x:v>1.55</x:v>
      </x:c>
      <x:c r="R130" s="13" t="n">
        <x:f>IF(I130="","",I130/1000000)</x:f>
        <x:v>23.846153846153847</x:v>
      </x:c>
    </x:row>
    <x:row r="131" ht="21" customHeight="1">
      <x:c r="A131" s="10" t="n">
        <x:v>139</x:v>
      </x:c>
      <x:c r="B131" s="2" t="str">
        <x:v>ce4f28b81966425fb120</x:v>
      </x:c>
      <x:c r="C131" s="2" t="str">
        <x:v>Đồng Nai</x:v>
      </x:c>
      <x:c r="D131" s="2" t="str">
        <x:v>Huyện Trảng Bom</x:v>
      </x:c>
      <x:c r="E131" s="2" t="str">
        <x:v>land</x:v>
      </x:c>
      <x:c r="F131" s="2" t="str">
        <x:v>sale_assumed</x:v>
      </x:c>
      <x:c r="G131" s="11" t="n">
        <x:v>1000</x:v>
      </x:c>
      <x:c r="H131" s="12" t="n">
        <x:v>750000000</x:v>
      </x:c>
      <x:c r="I131" s="12" t="n">
        <x:v>750000</x:v>
      </x:c>
      <x:c r="J131" s="2" t="str">
        <x:v>total</x:v>
      </x:c>
      <x:c r="K131" s="2" t="str">
        <x:v>top_level_area</x:v>
      </x:c>
      <x:c r="L131" s="2" t="str">
        <x:v>dot_thousands_convention;property_type_inferred_from_title;transaction_assumed_sale_from_dataset_context</x:v>
      </x:c>
      <x:c r="M131" s="10" t="n">
        <x:v>0</x:v>
      </x:c>
      <x:c r="N131" s="10" t="n">
        <x:v>0</x:v>
      </x:c>
      <x:c r="O131" s="2" t="str">
        <x:v>Đồng Nai|land</x:v>
      </x:c>
      <x:c r="P131" s="10" t="n">
        <x:v>1</x:v>
      </x:c>
      <x:c r="Q131" s="13" t="n">
        <x:f>IF(H131="","",H131/1000000000)</x:f>
        <x:v>0.75</x:v>
      </x:c>
      <x:c r="R131" s="13" t="n">
        <x:f>IF(I131="","",I131/1000000)</x:f>
        <x:v>0.75</x:v>
      </x:c>
    </x:row>
    <x:row r="132" ht="21" customHeight="1">
      <x:c r="A132" s="10" t="n">
        <x:v>140</x:v>
      </x:c>
      <x:c r="B132" s="2" t="str">
        <x:v>8fcb240127e49b060b4e</x:v>
      </x:c>
      <x:c r="C132" s="2" t="str">
        <x:v>Tp Hồ Chí Minh</x:v>
      </x:c>
      <x:c r="D132" s="2" t="str">
        <x:v>Quận 6</x:v>
      </x:c>
      <x:c r="E132" s="2" t="str">
        <x:v>house</x:v>
      </x:c>
      <x:c r="F132" s="2" t="str">
        <x:v>sale</x:v>
      </x:c>
      <x:c r="G132" s="11" t="n">
        <x:v>42.8</x:v>
      </x:c>
      <x:c r="H132" s="12" t="n">
        <x:v>3200000000</x:v>
      </x:c>
      <x:c r="I132" s="12" t="n">
        <x:v>74766355.14018692</x:v>
      </x:c>
      <x:c r="J132" s="2" t="str">
        <x:v>total</x:v>
      </x:c>
      <x:c r="K132" s="2" t="str">
        <x:v>top_level_area</x:v>
      </x:c>
      <x:c r="L132" s="2" t="str">
        <x:v>property_type_inferred_from_title</x:v>
      </x:c>
      <x:c r="M132" s="10" t="n">
        <x:v>0</x:v>
      </x:c>
      <x:c r="N132" s="10" t="n">
        <x:v>0</x:v>
      </x:c>
      <x:c r="O132" s="2" t="str">
        <x:v>Tp Hồ Chí Minh|house</x:v>
      </x:c>
      <x:c r="P132" s="10" t="n">
        <x:v>2</x:v>
      </x:c>
      <x:c r="Q132" s="13" t="n">
        <x:f>IF(H132="","",H132/1000000000)</x:f>
        <x:v>3.2</x:v>
      </x:c>
      <x:c r="R132" s="13" t="n">
        <x:f>IF(I132="","",I132/1000000)</x:f>
        <x:v>74.76635514018692</x:v>
      </x:c>
    </x:row>
    <x:row r="133" ht="21" customHeight="1">
      <x:c r="A133" s="10" t="n">
        <x:v>141</x:v>
      </x:c>
      <x:c r="B133" s="2" t="str">
        <x:v>ed834d89b53012f6168a</x:v>
      </x:c>
      <x:c r="C133" s="2" t="str">
        <x:v>Tp Hồ Chí Minh</x:v>
      </x:c>
      <x:c r="D133" s="2" t="str">
        <x:v>Huyện Nhà Bè</x:v>
      </x:c>
      <x:c r="E133" s="2" t="str">
        <x:v>house</x:v>
      </x:c>
      <x:c r="F133" s="2" t="str">
        <x:v>sale_assumed</x:v>
      </x:c>
      <x:c r="G133" s="11" t="n">
        <x:v>51</x:v>
      </x:c>
      <x:c r="H133" s="12" t="n">
        <x:v>3250000000</x:v>
      </x:c>
      <x:c r="I133" s="12" t="n">
        <x:v>63725490.196078435</x:v>
      </x:c>
      <x:c r="J133" s="2" t="str">
        <x:v>total</x:v>
      </x:c>
      <x:c r="K133" s="2" t="str">
        <x:v>top_level_area</x:v>
      </x:c>
      <x:c r="L133" s="2" t="str">
        <x:v>property_type_inferred_from_title;transaction_assumed_sale_from_dataset_context</x:v>
      </x:c>
      <x:c r="M133" s="10" t="n">
        <x:v>0</x:v>
      </x:c>
      <x:c r="N133" s="10" t="n">
        <x:v>0</x:v>
      </x:c>
      <x:c r="O133" s="2" t="str">
        <x:v>Tp Hồ Chí Minh|house</x:v>
      </x:c>
      <x:c r="P133" s="10" t="n">
        <x:v>2</x:v>
      </x:c>
      <x:c r="Q133" s="13" t="n">
        <x:f>IF(H133="","",H133/1000000000)</x:f>
        <x:v>3.25</x:v>
      </x:c>
      <x:c r="R133" s="13" t="n">
        <x:f>IF(I133="","",I133/1000000)</x:f>
        <x:v>63.72549019607843</x:v>
      </x:c>
    </x:row>
    <x:row r="134" ht="21" customHeight="1">
      <x:c r="A134" s="10" t="n">
        <x:v>142</x:v>
      </x:c>
      <x:c r="B134" s="2" t="str">
        <x:v>80d77f66c60b2adeef62</x:v>
      </x:c>
      <x:c r="C134" s="2" t="str">
        <x:v>An Giang</x:v>
      </x:c>
      <x:c r="D134" s="2" t="str">
        <x:v>Thành phố Long Xuyên</x:v>
      </x:c>
      <x:c r="E134" s="2" t="str">
        <x:v>house</x:v>
      </x:c>
      <x:c r="F134" s="2" t="str">
        <x:v>sale_assumed</x:v>
      </x:c>
      <x:c r="G134" s="11" t="n">
        <x:v>250</x:v>
      </x:c>
      <x:c r="H134" s="12" t="n">
        <x:v>2890000000</x:v>
      </x:c>
      <x:c r="I134" s="12" t="n">
        <x:v>11560000</x:v>
      </x:c>
      <x:c r="J134" s="2" t="str">
        <x:v>total</x:v>
      </x:c>
      <x:c r="K134" s="2" t="str">
        <x:v>top_level_area</x:v>
      </x:c>
      <x:c r="L134" s="2" t="str">
        <x:v>property_type_inferred_from_title;transaction_assumed_sale_from_dataset_context</x:v>
      </x:c>
      <x:c r="M134" s="10" t="n">
        <x:v>0</x:v>
      </x:c>
      <x:c r="N134" s="10" t="n">
        <x:v>0</x:v>
      </x:c>
      <x:c r="O134" s="2" t="str">
        <x:v>house</x:v>
      </x:c>
      <x:c r="P134" s="10" t="n">
        <x:v>2</x:v>
      </x:c>
      <x:c r="Q134" s="13" t="n">
        <x:f>IF(H134="","",H134/1000000000)</x:f>
        <x:v>2.89</x:v>
      </x:c>
      <x:c r="R134" s="13" t="n">
        <x:f>IF(I134="","",I134/1000000)</x:f>
        <x:v>11.56</x:v>
      </x:c>
    </x:row>
    <x:row r="135" ht="21" customHeight="1">
      <x:c r="A135" s="10" t="n">
        <x:v>143</x:v>
      </x:c>
      <x:c r="B135" s="2" t="str">
        <x:v>9cb3cd8702dc983b7e44</x:v>
      </x:c>
      <x:c r="C135" s="2" t="str">
        <x:v>Hà Nội</x:v>
      </x:c>
      <x:c r="D135" s="2" t="str">
        <x:v>Quận Long Biên</x:v>
      </x:c>
      <x:c r="E135" s="2" t="str">
        <x:v>house</x:v>
      </x:c>
      <x:c r="F135" s="2" t="str">
        <x:v>sale</x:v>
      </x:c>
      <x:c r="G135" s="11" t="n">
        <x:v>92</x:v>
      </x:c>
      <x:c r="H135" s="12" t="n">
        <x:v>3500000000</x:v>
      </x:c>
      <x:c r="I135" s="12" t="n">
        <x:v>38043478.26086956</x:v>
      </x:c>
      <x:c r="J135" s="2" t="str">
        <x:v>total</x:v>
      </x:c>
      <x:c r="K135" s="2" t="str">
        <x:v>top_level_area</x:v>
      </x:c>
      <x:c r="L135" s="2" t="str">
        <x:v>property_type_inferred_from_title</x:v>
      </x:c>
      <x:c r="M135" s="10" t="n">
        <x:v>0</x:v>
      </x:c>
      <x:c r="N135" s="10" t="n">
        <x:v>0</x:v>
      </x:c>
      <x:c r="O135" s="2" t="str">
        <x:v>Hà Nội|house</x:v>
      </x:c>
      <x:c r="P135" s="10" t="n">
        <x:v>2</x:v>
      </x:c>
      <x:c r="Q135" s="13" t="n">
        <x:f>IF(H135="","",H135/1000000000)</x:f>
        <x:v>3.5</x:v>
      </x:c>
      <x:c r="R135" s="13" t="n">
        <x:f>IF(I135="","",I135/1000000)</x:f>
        <x:v>38.04347826086956</x:v>
      </x:c>
    </x:row>
    <x:row r="136" ht="21" customHeight="1">
      <x:c r="A136" s="10" t="n">
        <x:v>144</x:v>
      </x:c>
      <x:c r="B136" s="2" t="str">
        <x:v>4a51d505a9555cee6927</x:v>
      </x:c>
      <x:c r="C136" s="2" t="str">
        <x:v>Hà Nội</x:v>
      </x:c>
      <x:c r="D136" s="2" t="str">
        <x:v>Quận Hà Đông</x:v>
      </x:c>
      <x:c r="E136" s="2" t="str">
        <x:v>house</x:v>
      </x:c>
      <x:c r="F136" s="2" t="str">
        <x:v>sale</x:v>
      </x:c>
      <x:c r="G136" s="11" t="n">
        <x:v>40</x:v>
      </x:c>
      <x:c r="H136" s="12" t="n">
        <x:v>5150000000</x:v>
      </x:c>
      <x:c r="I136" s="12" t="n">
        <x:v>128750000</x:v>
      </x:c>
      <x:c r="J136" s="2" t="str">
        <x:v>total</x:v>
      </x:c>
      <x:c r="K136" s="2" t="str">
        <x:v>top_level_area</x:v>
      </x:c>
      <x:c r="L136" s="2" t="str">
        <x:v>property_type_inferred_from_title</x:v>
      </x:c>
      <x:c r="M136" s="10" t="n">
        <x:v>0</x:v>
      </x:c>
      <x:c r="N136" s="10" t="n">
        <x:v>0</x:v>
      </x:c>
      <x:c r="O136" s="2" t="str">
        <x:v>Hà Nội|house</x:v>
      </x:c>
      <x:c r="P136" s="10" t="n">
        <x:v>2</x:v>
      </x:c>
      <x:c r="Q136" s="13" t="n">
        <x:f>IF(H136="","",H136/1000000000)</x:f>
        <x:v>5.15</x:v>
      </x:c>
      <x:c r="R136" s="13" t="n">
        <x:f>IF(I136="","",I136/1000000)</x:f>
        <x:v>128.75</x:v>
      </x:c>
    </x:row>
    <x:row r="137" ht="21" customHeight="1">
      <x:c r="A137" s="10" t="n">
        <x:v>145</x:v>
      </x:c>
      <x:c r="B137" s="2" t="str">
        <x:v>4382aaea22aa9d8676bf</x:v>
      </x:c>
      <x:c r="C137" s="2" t="str">
        <x:v>Bình Dương</x:v>
      </x:c>
      <x:c r="D137" s="2" t="str">
        <x:v>Huyện Bàu Bàng</x:v>
      </x:c>
      <x:c r="E137" s="2" t="str">
        <x:v>land</x:v>
      </x:c>
      <x:c r="F137" s="2" t="str">
        <x:v>sale_assumed</x:v>
      </x:c>
      <x:c r="G137" s="11" t="n">
        <x:v>100</x:v>
      </x:c>
      <x:c r="H137" s="12" t="n">
        <x:v>450000000</x:v>
      </x:c>
      <x:c r="I137" s="12" t="n">
        <x:v>4500000</x:v>
      </x:c>
      <x:c r="J137" s="2" t="str">
        <x:v>total</x:v>
      </x:c>
      <x:c r="K137" s="2" t="str">
        <x:v>top_level_area</x:v>
      </x:c>
      <x:c r="L137" s="2" t="str">
        <x:v>property_type_inferred_from_title;transaction_assumed_sale_from_dataset_context</x:v>
      </x:c>
      <x:c r="M137" s="10" t="n">
        <x:v>0</x:v>
      </x:c>
      <x:c r="N137" s="10" t="n">
        <x:v>0</x:v>
      </x:c>
      <x:c r="O137" s="2" t="str">
        <x:v>Bình Dương|land</x:v>
      </x:c>
      <x:c r="P137" s="10" t="n">
        <x:v>2</x:v>
      </x:c>
      <x:c r="Q137" s="13" t="n">
        <x:f>IF(H137="","",H137/1000000000)</x:f>
        <x:v>0.45</x:v>
      </x:c>
      <x:c r="R137" s="13" t="n">
        <x:f>IF(I137="","",I137/1000000)</x:f>
        <x:v>4.5</x:v>
      </x:c>
    </x:row>
    <x:row r="138" ht="21" customHeight="1">
      <x:c r="A138" s="10" t="n">
        <x:v>146</x:v>
      </x:c>
      <x:c r="B138" s="2" t="str">
        <x:v>31a1c26391d0a064a077</x:v>
      </x:c>
      <x:c r="C138" s="2" t="str">
        <x:v>Tp Hồ Chí Minh</x:v>
      </x:c>
      <x:c r="D138" s="2" t="str">
        <x:v>Quận Bình Tân</x:v>
      </x:c>
      <x:c r="E138" s="2" t="str">
        <x:v>land</x:v>
      </x:c>
      <x:c r="F138" s="2" t="str">
        <x:v>sale_assumed</x:v>
      </x:c>
      <x:c r="G138" s="11" t="n">
        <x:v>87</x:v>
      </x:c>
      <x:c r="H138" s="12" t="n">
        <x:v>6000000000</x:v>
      </x:c>
      <x:c r="I138" s="12" t="n">
        <x:v>68965517.2413793</x:v>
      </x:c>
      <x:c r="J138" s="2" t="str">
        <x:v>total</x:v>
      </x:c>
      <x:c r="K138" s="2" t="str">
        <x:v>top_level_area</x:v>
      </x:c>
      <x:c r="L138" s="2" t="str">
        <x:v>property_type_inferred_from_title;transaction_assumed_sale_from_dataset_context</x:v>
      </x:c>
      <x:c r="M138" s="10" t="n">
        <x:v>0</x:v>
      </x:c>
      <x:c r="N138" s="10" t="n">
        <x:v>0</x:v>
      </x:c>
      <x:c r="O138" s="2" t="str">
        <x:v>Tp Hồ Chí Minh|land</x:v>
      </x:c>
      <x:c r="P138" s="10" t="n">
        <x:v>2</x:v>
      </x:c>
      <x:c r="Q138" s="13" t="n">
        <x:f>IF(H138="","",H138/1000000000)</x:f>
        <x:v>6</x:v>
      </x:c>
      <x:c r="R138" s="13" t="n">
        <x:f>IF(I138="","",I138/1000000)</x:f>
        <x:v>68.9655172413793</x:v>
      </x:c>
    </x:row>
    <x:row r="139" ht="21" customHeight="1">
      <x:c r="A139" s="10" t="n">
        <x:v>147</x:v>
      </x:c>
      <x:c r="B139" s="2" t="str">
        <x:v>fdf2f34f98dfad2df1cf</x:v>
      </x:c>
      <x:c r="C139" s="2" t="str">
        <x:v>Tp Hồ Chí Minh</x:v>
      </x:c>
      <x:c r="D139" s="2" t="str">
        <x:v>Huyện Bình Chánh</x:v>
      </x:c>
      <x:c r="E139" s="2" t="str">
        <x:v>house</x:v>
      </x:c>
      <x:c r="F139" s="2" t="str">
        <x:v>sale_assumed</x:v>
      </x:c>
      <x:c r="G139" s="11" t="n">
        <x:v>120</x:v>
      </x:c>
      <x:c r="H139" s="12" t="n">
        <x:v>2400000000</x:v>
      </x:c>
      <x:c r="I139" s="12" t="n">
        <x:v>20000000</x:v>
      </x:c>
      <x:c r="J139" s="2" t="str">
        <x:v>total</x:v>
      </x:c>
      <x:c r="K139" s="2" t="str">
        <x:v>top_level_area</x:v>
      </x:c>
      <x:c r="L139" s="2" t="str">
        <x:v>property_type_inferred_from_title;transaction_assumed_sale_from_dataset_context</x:v>
      </x:c>
      <x:c r="M139" s="10" t="n">
        <x:v>0</x:v>
      </x:c>
      <x:c r="N139" s="10" t="n">
        <x:v>0</x:v>
      </x:c>
      <x:c r="O139" s="2" t="str">
        <x:v>Tp Hồ Chí Minh|house</x:v>
      </x:c>
      <x:c r="P139" s="10" t="n">
        <x:v>2</x:v>
      </x:c>
      <x:c r="Q139" s="13" t="n">
        <x:f>IF(H139="","",H139/1000000000)</x:f>
        <x:v>2.4</x:v>
      </x:c>
      <x:c r="R139" s="13" t="n">
        <x:f>IF(I139="","",I139/1000000)</x:f>
        <x:v>20</x:v>
      </x:c>
    </x:row>
    <x:row r="140" ht="21" customHeight="1">
      <x:c r="A140" s="10" t="n">
        <x:v>148</x:v>
      </x:c>
      <x:c r="B140" s="2" t="str">
        <x:v>c312bb3b92b9b7daeea3</x:v>
      </x:c>
      <x:c r="C140" s="2" t="str">
        <x:v>Tp Hồ Chí Minh</x:v>
      </x:c>
      <x:c r="D140" s="2" t="str">
        <x:v>Quận Gò Vấp</x:v>
      </x:c>
      <x:c r="E140" s="2" t="str">
        <x:v>house</x:v>
      </x:c>
      <x:c r="F140" s="2" t="str">
        <x:v>sale_assumed</x:v>
      </x:c>
      <x:c r="G140" s="11" t="n">
        <x:v>80</x:v>
      </x:c>
      <x:c r="H140" s="12" t="n">
        <x:v>12000000000</x:v>
      </x:c>
      <x:c r="I140" s="12" t="n">
        <x:v>150000000</x:v>
      </x:c>
      <x:c r="J140" s="2" t="str">
        <x:v>total</x:v>
      </x:c>
      <x:c r="K140" s="2" t="str">
        <x:v>top_level_area</x:v>
      </x:c>
      <x:c r="L140" s="2" t="str">
        <x:v>property_type_inferred_from_title;transaction_assumed_sale_from_dataset_context</x:v>
      </x:c>
      <x:c r="M140" s="10" t="n">
        <x:v>0</x:v>
      </x:c>
      <x:c r="N140" s="10" t="n">
        <x:v>0</x:v>
      </x:c>
      <x:c r="O140" s="2" t="str">
        <x:v>Tp Hồ Chí Minh|house</x:v>
      </x:c>
      <x:c r="P140" s="10" t="n">
        <x:v>2</x:v>
      </x:c>
      <x:c r="Q140" s="13" t="n">
        <x:f>IF(H140="","",H140/1000000000)</x:f>
        <x:v>12</x:v>
      </x:c>
      <x:c r="R140" s="13" t="n">
        <x:f>IF(I140="","",I140/1000000)</x:f>
        <x:v>150</x:v>
      </x:c>
    </x:row>
    <x:row r="141" ht="21" customHeight="1">
      <x:c r="A141" s="10" t="n">
        <x:v>149</x:v>
      </x:c>
      <x:c r="B141" s="2" t="str">
        <x:v>1a429aea01faf9276293</x:v>
      </x:c>
      <x:c r="C141" s="2" t="str">
        <x:v>Tp Hồ Chí Minh</x:v>
      </x:c>
      <x:c r="D141" s="2" t="str">
        <x:v>Quận 12</x:v>
      </x:c>
      <x:c r="E141" s="2" t="str">
        <x:v>house</x:v>
      </x:c>
      <x:c r="F141" s="2" t="str">
        <x:v>sale_assumed</x:v>
      </x:c>
      <x:c r="G141" s="11" t="n">
        <x:v>55</x:v>
      </x:c>
      <x:c r="H141" s="12" t="n">
        <x:v>3550000000</x:v>
      </x:c>
      <x:c r="I141" s="12" t="n">
        <x:v>64545454.54545455</x:v>
      </x:c>
      <x:c r="J141" s="2" t="str">
        <x:v>total</x:v>
      </x:c>
      <x:c r="K141" s="2" t="str">
        <x:v>top_level_area</x:v>
      </x:c>
      <x:c r="L141" s="2" t="str">
        <x:v>property_type_inferred_from_title;transaction_assumed_sale_from_dataset_context</x:v>
      </x:c>
      <x:c r="M141" s="10" t="n">
        <x:v>0</x:v>
      </x:c>
      <x:c r="N141" s="10" t="n">
        <x:v>0</x:v>
      </x:c>
      <x:c r="O141" s="2" t="str">
        <x:v>Tp Hồ Chí Minh|house</x:v>
      </x:c>
      <x:c r="P141" s="10" t="n">
        <x:v>2</x:v>
      </x:c>
      <x:c r="Q141" s="13" t="n">
        <x:f>IF(H141="","",H141/1000000000)</x:f>
        <x:v>3.55</x:v>
      </x:c>
      <x:c r="R141" s="13" t="n">
        <x:f>IF(I141="","",I141/1000000)</x:f>
        <x:v>64.54545454545455</x:v>
      </x:c>
    </x:row>
    <x:row r="142" ht="21" customHeight="1">
      <x:c r="A142" s="10" t="n">
        <x:v>150</x:v>
      </x:c>
      <x:c r="B142" s="2" t="str">
        <x:v>83a054963f370a87ebc4</x:v>
      </x:c>
      <x:c r="C142" s="2" t="str">
        <x:v>Hà Nội</x:v>
      </x:c>
      <x:c r="D142" s="2" t="str">
        <x:v>Quận Đống Đa</x:v>
      </x:c>
      <x:c r="E142" s="2" t="str">
        <x:v>other_unknown</x:v>
      </x:c>
      <x:c r="F142" s="2" t="str">
        <x:v>sale_assumed</x:v>
      </x:c>
      <x:c r="G142" s="11" t="n">
        <x:v>50</x:v>
      </x:c>
      <x:c r="H142" s="12" t="n">
        <x:v>12000000000</x:v>
      </x:c>
      <x:c r="I142" s="12" t="n">
        <x:v>240000000</x:v>
      </x:c>
      <x:c r="J142" s="2" t="str">
        <x:v>total</x:v>
      </x:c>
      <x:c r="K142" s="2" t="str">
        <x:v>top_level_area</x:v>
      </x:c>
      <x:c r="L142" s="2" t="str">
        <x:v>property_type_inferred_from_title;transaction_assumed_sale_from_dataset_context;unknown_property_type</x:v>
      </x:c>
      <x:c r="M142" s="10" t="n">
        <x:v>1</x:v>
      </x:c>
      <x:c r="N142" s="10" t="n">
        <x:v>1</x:v>
      </x:c>
      <x:c r="O142" s="2" t="str">
        <x:v>Hà Nội|other_unknown</x:v>
      </x:c>
      <x:c r="P142" s="10" t="n">
        <x:v>-1</x:v>
      </x:c>
      <x:c r="Q142" s="13" t="n">
        <x:f>IF(H142="","",H142/1000000000)</x:f>
        <x:v>12</x:v>
      </x:c>
      <x:c r="R142" s="13" t="n">
        <x:f>IF(I142="","",I142/1000000)</x:f>
        <x:v>240</x:v>
      </x:c>
    </x:row>
    <x:row r="143" ht="21" customHeight="1">
      <x:c r="A143" s="10" t="n">
        <x:v>151</x:v>
      </x:c>
      <x:c r="B143" s="2" t="str">
        <x:v>c7005f1ed62846279eae</x:v>
      </x:c>
      <x:c r="C143" s="2" t="str">
        <x:v>Tp Hồ Chí Minh</x:v>
      </x:c>
      <x:c r="D143" s="2" t="str">
        <x:v>Quận Thủ Đức</x:v>
      </x:c>
      <x:c r="E143" s="2" t="str">
        <x:v>house</x:v>
      </x:c>
      <x:c r="F143" s="2" t="str">
        <x:v>sale_assumed</x:v>
      </x:c>
      <x:c r="G143" s="11" t="n">
        <x:v>12</x:v>
      </x:c>
      <x:c r="H143" s="12" t="n">
        <x:v>690000000</x:v>
      </x:c>
      <x:c r="I143" s="12" t="n">
        <x:v>57500000</x:v>
      </x:c>
      <x:c r="J143" s="2" t="str">
        <x:v>total</x:v>
      </x:c>
      <x:c r="K143" s="2" t="str">
        <x:v>top_level_area</x:v>
      </x:c>
      <x:c r="L143" s="2" t="str">
        <x:v>property_type_inferred_from_title;transaction_assumed_sale_from_dataset_context</x:v>
      </x:c>
      <x:c r="M143" s="10" t="n">
        <x:v>0</x:v>
      </x:c>
      <x:c r="N143" s="10" t="n">
        <x:v>0</x:v>
      </x:c>
      <x:c r="O143" s="2" t="str">
        <x:v>Tp Hồ Chí Minh|house</x:v>
      </x:c>
      <x:c r="P143" s="10" t="n">
        <x:v>2</x:v>
      </x:c>
      <x:c r="Q143" s="13" t="n">
        <x:f>IF(H143="","",H143/1000000000)</x:f>
        <x:v>0.69</x:v>
      </x:c>
      <x:c r="R143" s="13" t="n">
        <x:f>IF(I143="","",I143/1000000)</x:f>
        <x:v>57.5</x:v>
      </x:c>
    </x:row>
    <x:row r="144" ht="21" customHeight="1">
      <x:c r="A144" s="10" t="n">
        <x:v>152</x:v>
      </x:c>
      <x:c r="B144" s="2" t="str">
        <x:v>8ad0efe048484ac0f8d9</x:v>
      </x:c>
      <x:c r="C144" s="2" t="str">
        <x:v>Tp Hồ Chí Minh</x:v>
      </x:c>
      <x:c r="D144" s="2" t="str">
        <x:v>Quận Gò Vấp</x:v>
      </x:c>
      <x:c r="E144" s="2" t="str">
        <x:v>land</x:v>
      </x:c>
      <x:c r="F144" s="2" t="str">
        <x:v>sale</x:v>
      </x:c>
      <x:c r="G144" s="11" t="n">
        <x:v>90</x:v>
      </x:c>
      <x:c r="H144" s="12" t="n">
        <x:v>6550000000</x:v>
      </x:c>
      <x:c r="I144" s="12" t="n">
        <x:v>72777777.77777778</x:v>
      </x:c>
      <x:c r="J144" s="2" t="str">
        <x:v>total</x:v>
      </x:c>
      <x:c r="K144" s="2" t="str">
        <x:v>top_level_area</x:v>
      </x:c>
      <x:c r="L144" s="2" t="str">
        <x:v>property_type_inferred_from_title</x:v>
      </x:c>
      <x:c r="M144" s="10" t="n">
        <x:v>0</x:v>
      </x:c>
      <x:c r="N144" s="10" t="n">
        <x:v>0</x:v>
      </x:c>
      <x:c r="O144" s="2" t="str">
        <x:v>Tp Hồ Chí Minh|land</x:v>
      </x:c>
      <x:c r="P144" s="10" t="n">
        <x:v>2</x:v>
      </x:c>
      <x:c r="Q144" s="13" t="n">
        <x:f>IF(H144="","",H144/1000000000)</x:f>
        <x:v>6.55</x:v>
      </x:c>
      <x:c r="R144" s="13" t="n">
        <x:f>IF(I144="","",I144/1000000)</x:f>
        <x:v>72.77777777777777</x:v>
      </x:c>
    </x:row>
    <x:row r="145" ht="21" customHeight="1">
      <x:c r="A145" s="10" t="n">
        <x:v>153</x:v>
      </x:c>
      <x:c r="B145" s="2" t="str">
        <x:v>cd1e3db5e657c420cab0</x:v>
      </x:c>
      <x:c r="C145" s="2" t="str">
        <x:v>Nghệ An</x:v>
      </x:c>
      <x:c r="D145" s="2" t="str">
        <x:v>Huyện Nghĩa Đàn</x:v>
      </x:c>
      <x:c r="E145" s="2" t="str">
        <x:v>other_unknown</x:v>
      </x:c>
      <x:c r="F145" s="2" t="str">
        <x:v>sale</x:v>
      </x:c>
      <x:c r="G145" s="11" t="n">
        <x:v>40000</x:v>
      </x:c>
      <x:c r="H145" s="12" t="n">
        <x:v>3000000000</x:v>
      </x:c>
      <x:c r="I145" s="12" t="n">
        <x:v>75000</x:v>
      </x:c>
      <x:c r="J145" s="2" t="str">
        <x:v>total</x:v>
      </x:c>
      <x:c r="K145" s="2" t="str">
        <x:v>top_level_area</x:v>
      </x:c>
      <x:c r="L145" s="2" t="str">
        <x:v>dot_thousands_convention;property_type_inferred_from_title;unknown_property_type</x:v>
      </x:c>
      <x:c r="M145" s="10" t="n">
        <x:v>0</x:v>
      </x:c>
      <x:c r="N145" s="10" t="n">
        <x:v>0</x:v>
      </x:c>
      <x:c r="O145" s="2" t="str">
        <x:v>other_unknown</x:v>
      </x:c>
      <x:c r="P145" s="10" t="n">
        <x:v>1</x:v>
      </x:c>
      <x:c r="Q145" s="13" t="n">
        <x:f>IF(H145="","",H145/1000000000)</x:f>
        <x:v>3</x:v>
      </x:c>
      <x:c r="R145" s="13" t="n">
        <x:f>IF(I145="","",I145/1000000)</x:f>
        <x:v>0.075</x:v>
      </x:c>
    </x:row>
    <x:row r="146" ht="21" customHeight="1">
      <x:c r="A146" s="10" t="n">
        <x:v>154</x:v>
      </x:c>
      <x:c r="B146" s="2" t="str">
        <x:v>a2aea3e7d9771c7d4d41</x:v>
      </x:c>
      <x:c r="C146" s="2" t="str">
        <x:v>Tp Hồ Chí Minh</x:v>
      </x:c>
      <x:c r="D146" s="2" t="str">
        <x:v>Quận 12</x:v>
      </x:c>
      <x:c r="E146" s="2" t="str">
        <x:v>apartment</x:v>
      </x:c>
      <x:c r="F146" s="2" t="str">
        <x:v>sale</x:v>
      </x:c>
      <x:c r="G146" s="11" t="n">
        <x:v>68</x:v>
      </x:c>
      <x:c r="H146" s="12" t="n">
        <x:v>1650000000</x:v>
      </x:c>
      <x:c r="I146" s="12" t="n">
        <x:v>24264705.88235294</x:v>
      </x:c>
      <x:c r="J146" s="2" t="str">
        <x:v>total</x:v>
      </x:c>
      <x:c r="K146" s="2" t="str">
        <x:v>top_level_area</x:v>
      </x:c>
      <x:c r="L146" s="2" t="str">
        <x:v>property_type_inferred_from_title</x:v>
      </x:c>
      <x:c r="M146" s="10" t="n">
        <x:v>0</x:v>
      </x:c>
      <x:c r="N146" s="10" t="n">
        <x:v>0</x:v>
      </x:c>
      <x:c r="O146" s="2" t="str">
        <x:v>Tp Hồ Chí Minh|apartment</x:v>
      </x:c>
      <x:c r="P146" s="10" t="n">
        <x:v>2</x:v>
      </x:c>
      <x:c r="Q146" s="13" t="n">
        <x:f>IF(H146="","",H146/1000000000)</x:f>
        <x:v>1.65</x:v>
      </x:c>
      <x:c r="R146" s="13" t="n">
        <x:f>IF(I146="","",I146/1000000)</x:f>
        <x:v>24.264705882352942</x:v>
      </x:c>
    </x:row>
    <x:row r="147" ht="21" customHeight="1">
      <x:c r="A147" s="10" t="n">
        <x:v>155</x:v>
      </x:c>
      <x:c r="B147" s="2" t="str">
        <x:v>cdfb360523a533851433</x:v>
      </x:c>
      <x:c r="C147" s="2" t="str">
        <x:v>Tp Hồ Chí Minh</x:v>
      </x:c>
      <x:c r="D147" s="2" t="str">
        <x:v>Quận Bình Tân</x:v>
      </x:c>
      <x:c r="E147" s="2" t="str">
        <x:v>house</x:v>
      </x:c>
      <x:c r="F147" s="2" t="str">
        <x:v>sale</x:v>
      </x:c>
      <x:c r="G147" s="11" t="n">
        <x:v>60</x:v>
      </x:c>
      <x:c r="H147" s="12" t="n">
        <x:v>3000000000</x:v>
      </x:c>
      <x:c r="I147" s="12" t="n">
        <x:v>50000000</x:v>
      </x:c>
      <x:c r="J147" s="2" t="str">
        <x:v>total</x:v>
      </x:c>
      <x:c r="K147" s="2" t="str">
        <x:v>top_level_area</x:v>
      </x:c>
      <x:c r="L147" s="2" t="str">
        <x:v>property_type_inferred_from_title</x:v>
      </x:c>
      <x:c r="M147" s="10" t="n">
        <x:v>0</x:v>
      </x:c>
      <x:c r="N147" s="10" t="n">
        <x:v>0</x:v>
      </x:c>
      <x:c r="O147" s="2" t="str">
        <x:v>Tp Hồ Chí Minh|house</x:v>
      </x:c>
      <x:c r="P147" s="10" t="n">
        <x:v>2</x:v>
      </x:c>
      <x:c r="Q147" s="13" t="n">
        <x:f>IF(H147="","",H147/1000000000)</x:f>
        <x:v>3</x:v>
      </x:c>
      <x:c r="R147" s="13" t="n">
        <x:f>IF(I147="","",I147/1000000)</x:f>
        <x:v>50</x:v>
      </x:c>
    </x:row>
    <x:row r="148" ht="21" customHeight="1">
      <x:c r="A148" s="10" t="n">
        <x:v>156</x:v>
      </x:c>
      <x:c r="B148" s="2" t="str">
        <x:v>b649c3e0f608b947e7d9</x:v>
      </x:c>
      <x:c r="C148" s="2" t="str">
        <x:v>Tp Hồ Chí Minh</x:v>
      </x:c>
      <x:c r="D148" s="2" t="str">
        <x:v>Quận 12</x:v>
      </x:c>
      <x:c r="E148" s="2" t="str">
        <x:v>house</x:v>
      </x:c>
      <x:c r="F148" s="2" t="str">
        <x:v>sale</x:v>
      </x:c>
      <x:c r="G148" s="11" t="n">
        <x:v>40</x:v>
      </x:c>
      <x:c r="H148" s="12" t="n">
        <x:v>840000000</x:v>
      </x:c>
      <x:c r="I148" s="12" t="n">
        <x:v>21000000</x:v>
      </x:c>
      <x:c r="J148" s="2" t="str">
        <x:v>total</x:v>
      </x:c>
      <x:c r="K148" s="2" t="str">
        <x:v>top_level_area</x:v>
      </x:c>
      <x:c r="L148" s="2" t="str">
        <x:v>property_type_inferred_from_title</x:v>
      </x:c>
      <x:c r="M148" s="10" t="n">
        <x:v>0</x:v>
      </x:c>
      <x:c r="N148" s="10" t="n">
        <x:v>0</x:v>
      </x:c>
      <x:c r="O148" s="2" t="str">
        <x:v>Tp Hồ Chí Minh|house</x:v>
      </x:c>
      <x:c r="P148" s="10" t="n">
        <x:v>2</x:v>
      </x:c>
      <x:c r="Q148" s="13" t="n">
        <x:f>IF(H148="","",H148/1000000000)</x:f>
        <x:v>0.84</x:v>
      </x:c>
      <x:c r="R148" s="13" t="n">
        <x:f>IF(I148="","",I148/1000000)</x:f>
        <x:v>21</x:v>
      </x:c>
    </x:row>
    <x:row r="149" ht="21" customHeight="1">
      <x:c r="A149" s="10" t="n">
        <x:v>157</x:v>
      </x:c>
      <x:c r="B149" s="2" t="str">
        <x:v>980763d925340e719bc0</x:v>
      </x:c>
      <x:c r="C149" s="2" t="str">
        <x:v>Hà Nội</x:v>
      </x:c>
      <x:c r="D149" s="2" t="str">
        <x:v>Quận Nam Từ Liêm</x:v>
      </x:c>
      <x:c r="E149" s="2" t="str">
        <x:v>house</x:v>
      </x:c>
      <x:c r="F149" s="2" t="str">
        <x:v>sale_assumed</x:v>
      </x:c>
      <x:c r="G149" s="11" t="n">
        <x:v>100</x:v>
      </x:c>
      <x:c r="H149" s="12" t="n">
        <x:v>6000000000</x:v>
      </x:c>
      <x:c r="I149" s="12" t="n">
        <x:v>60000000</x:v>
      </x:c>
      <x:c r="J149" s="2" t="str">
        <x:v>total</x:v>
      </x:c>
      <x:c r="K149" s="2" t="str">
        <x:v>top_level_area</x:v>
      </x:c>
      <x:c r="L149" s="2" t="str">
        <x:v>property_type_inferred_from_title;transaction_assumed_sale_from_dataset_context</x:v>
      </x:c>
      <x:c r="M149" s="10" t="n">
        <x:v>0</x:v>
      </x:c>
      <x:c r="N149" s="10" t="n">
        <x:v>0</x:v>
      </x:c>
      <x:c r="O149" s="2" t="str">
        <x:v>Hà Nội|house</x:v>
      </x:c>
      <x:c r="P149" s="10" t="n">
        <x:v>2</x:v>
      </x:c>
      <x:c r="Q149" s="13" t="n">
        <x:f>IF(H149="","",H149/1000000000)</x:f>
        <x:v>6</x:v>
      </x:c>
      <x:c r="R149" s="13" t="n">
        <x:f>IF(I149="","",I149/1000000)</x:f>
        <x:v>60</x:v>
      </x:c>
    </x:row>
    <x:row r="150" ht="21" customHeight="1">
      <x:c r="A150" s="10" t="n">
        <x:v>158</x:v>
      </x:c>
      <x:c r="B150" s="2" t="str">
        <x:v>591799ca9c917b002121</x:v>
      </x:c>
      <x:c r="C150" s="2" t="str">
        <x:v>Thừa Thiên Huế</x:v>
      </x:c>
      <x:c r="D150" s="2" t="str">
        <x:v>Thị xã Hương Thủy</x:v>
      </x:c>
      <x:c r="E150" s="2" t="str">
        <x:v>other_unknown</x:v>
      </x:c>
      <x:c r="F150" s="2" t="str">
        <x:v>sale</x:v>
      </x:c>
      <x:c r="G150" s="11" t="n">
        <x:v>95</x:v>
      </x:c>
      <x:c r="H150" s="12" t="n">
        <x:v>595000000</x:v>
      </x:c>
      <x:c r="I150" s="12" t="n">
        <x:v>6263157.894736842</x:v>
      </x:c>
      <x:c r="J150" s="2" t="str">
        <x:v>total</x:v>
      </x:c>
      <x:c r="K150" s="2" t="str">
        <x:v>top_level_area</x:v>
      </x:c>
      <x:c r="L150" s="2" t="str">
        <x:v>property_type_inferred_from_title;unknown_property_type</x:v>
      </x:c>
      <x:c r="M150" s="10" t="n">
        <x:v>0</x:v>
      </x:c>
      <x:c r="N150" s="10" t="n">
        <x:v>0</x:v>
      </x:c>
      <x:c r="O150" s="2" t="str">
        <x:v>other_unknown</x:v>
      </x:c>
      <x:c r="P150" s="10" t="n">
        <x:v>2</x:v>
      </x:c>
      <x:c r="Q150" s="13" t="n">
        <x:f>IF(H150="","",H150/1000000000)</x:f>
        <x:v>0.595</x:v>
      </x:c>
      <x:c r="R150" s="13" t="n">
        <x:f>IF(I150="","",I150/1000000)</x:f>
        <x:v>6.2631578947368425</x:v>
      </x:c>
    </x:row>
    <x:row r="151" ht="21" customHeight="1">
      <x:c r="A151" s="10" t="n">
        <x:v>159</x:v>
      </x:c>
      <x:c r="B151" s="2" t="str">
        <x:v>f0763f78b395bbe8eef6</x:v>
      </x:c>
      <x:c r="C151" s="2" t="str">
        <x:v>Hà Nội</x:v>
      </x:c>
      <x:c r="D151" s="2" t="str">
        <x:v>Quận Nam Từ Liêm</x:v>
      </x:c>
      <x:c r="E151" s="2" t="str">
        <x:v>house</x:v>
      </x:c>
      <x:c r="F151" s="2" t="str">
        <x:v>sale</x:v>
      </x:c>
      <x:c r="G151" s="11" t="n">
        <x:v>31</x:v>
      </x:c>
      <x:c r="H151" s="12" t="n">
        <x:v>1700000000</x:v>
      </x:c>
      <x:c r="I151" s="12" t="n">
        <x:v>54838709.67741936</x:v>
      </x:c>
      <x:c r="J151" s="2" t="str">
        <x:v>total</x:v>
      </x:c>
      <x:c r="K151" s="2" t="str">
        <x:v>top_level_area</x:v>
      </x:c>
      <x:c r="L151" s="2" t="str">
        <x:v>property_type_inferred_from_title</x:v>
      </x:c>
      <x:c r="M151" s="10" t="n">
        <x:v>0</x:v>
      </x:c>
      <x:c r="N151" s="10" t="n">
        <x:v>0</x:v>
      </x:c>
      <x:c r="O151" s="2" t="str">
        <x:v>Hà Nội|house</x:v>
      </x:c>
      <x:c r="P151" s="10" t="n">
        <x:v>2</x:v>
      </x:c>
      <x:c r="Q151" s="13" t="n">
        <x:f>IF(H151="","",H151/1000000000)</x:f>
        <x:v>1.7</x:v>
      </x:c>
      <x:c r="R151" s="13" t="n">
        <x:f>IF(I151="","",I151/1000000)</x:f>
        <x:v>54.83870967741936</x:v>
      </x:c>
    </x:row>
    <x:row r="152" ht="21" customHeight="1">
      <x:c r="A152" s="10" t="n">
        <x:v>160</x:v>
      </x:c>
      <x:c r="B152" s="2" t="str">
        <x:v>2d8afb5c7fd4ff884993</x:v>
      </x:c>
      <x:c r="C152" s="2" t="str">
        <x:v>Tp Hồ Chí Minh</x:v>
      </x:c>
      <x:c r="D152" s="2" t="str">
        <x:v>Quận Bình Thạnh</x:v>
      </x:c>
      <x:c r="E152" s="2" t="str">
        <x:v>house</x:v>
      </x:c>
      <x:c r="F152" s="2" t="str">
        <x:v>sale</x:v>
      </x:c>
      <x:c r="G152" s="11" t="n">
        <x:v>55</x:v>
      </x:c>
      <x:c r="H152" s="12" t="n">
        <x:v>965000000</x:v>
      </x:c>
      <x:c r="I152" s="12" t="n">
        <x:v>17545454.545454547</x:v>
      </x:c>
      <x:c r="J152" s="2" t="str">
        <x:v>total</x:v>
      </x:c>
      <x:c r="K152" s="2" t="str">
        <x:v>top_level_area</x:v>
      </x:c>
      <x:c r="L152" s="2" t="str">
        <x:v>property_type_inferred_from_title</x:v>
      </x:c>
      <x:c r="M152" s="10" t="n">
        <x:v>0</x:v>
      </x:c>
      <x:c r="N152" s="10" t="n">
        <x:v>0</x:v>
      </x:c>
      <x:c r="O152" s="2" t="str">
        <x:v>Tp Hồ Chí Minh|house</x:v>
      </x:c>
      <x:c r="P152" s="10" t="n">
        <x:v>2</x:v>
      </x:c>
      <x:c r="Q152" s="13" t="n">
        <x:f>IF(H152="","",H152/1000000000)</x:f>
        <x:v>0.965</x:v>
      </x:c>
      <x:c r="R152" s="13" t="n">
        <x:f>IF(I152="","",I152/1000000)</x:f>
        <x:v>17.545454545454547</x:v>
      </x:c>
    </x:row>
    <x:row r="153" ht="21" customHeight="1">
      <x:c r="A153" s="10" t="n">
        <x:v>161</x:v>
      </x:c>
      <x:c r="B153" s="2" t="str">
        <x:v>93accc78fa86b3b164e5</x:v>
      </x:c>
      <x:c r="C153" s="2" t="str">
        <x:v>Tp Hồ Chí Minh</x:v>
      </x:c>
      <x:c r="D153" s="2" t="str">
        <x:v>Huyện Bình Chánh</x:v>
      </x:c>
      <x:c r="E153" s="2" t="str">
        <x:v>house</x:v>
      </x:c>
      <x:c r="F153" s="2" t="str">
        <x:v>sale_assumed</x:v>
      </x:c>
      <x:c r="G153" s="11" t="n">
        <x:v>48</x:v>
      </x:c>
      <x:c r="H153" s="12" t="n">
        <x:v>620000000</x:v>
      </x:c>
      <x:c r="I153" s="12" t="n">
        <x:v>12916666.666666666</x:v>
      </x:c>
      <x:c r="J153" s="2" t="str">
        <x:v>total</x:v>
      </x:c>
      <x:c r="K153" s="2" t="str">
        <x:v>top_level_area</x:v>
      </x:c>
      <x:c r="L153" s="2" t="str">
        <x:v>property_type_inferred_from_title;transaction_assumed_sale_from_dataset_context</x:v>
      </x:c>
      <x:c r="M153" s="10" t="n">
        <x:v>0</x:v>
      </x:c>
      <x:c r="N153" s="10" t="n">
        <x:v>0</x:v>
      </x:c>
      <x:c r="O153" s="2" t="str">
        <x:v>Tp Hồ Chí Minh|house</x:v>
      </x:c>
      <x:c r="P153" s="10" t="n">
        <x:v>2</x:v>
      </x:c>
      <x:c r="Q153" s="13" t="n">
        <x:f>IF(H153="","",H153/1000000000)</x:f>
        <x:v>0.62</x:v>
      </x:c>
      <x:c r="R153" s="13" t="n">
        <x:f>IF(I153="","",I153/1000000)</x:f>
        <x:v>12.916666666666666</x:v>
      </x:c>
    </x:row>
    <x:row r="154" ht="21" customHeight="1">
      <x:c r="A154" s="10" t="n">
        <x:v>162</x:v>
      </x:c>
      <x:c r="B154" s="2" t="str">
        <x:v>3d04613bd34684556138</x:v>
      </x:c>
      <x:c r="C154" s="2" t="str">
        <x:v>Tp Hồ Chí Minh</x:v>
      </x:c>
      <x:c r="D154" s="2" t="str">
        <x:v>Quận Bình Thạnh</x:v>
      </x:c>
      <x:c r="E154" s="2" t="str">
        <x:v>house</x:v>
      </x:c>
      <x:c r="F154" s="2" t="str">
        <x:v>sale</x:v>
      </x:c>
      <x:c r="G154" s="11" t="n">
        <x:v>42</x:v>
      </x:c>
      <x:c r="H154" s="12" t="n">
        <x:v>1765000000</x:v>
      </x:c>
      <x:c r="I154" s="12" t="n">
        <x:v>42023809.52380952</x:v>
      </x:c>
      <x:c r="J154" s="2" t="str">
        <x:v>total</x:v>
      </x:c>
      <x:c r="K154" s="2" t="str">
        <x:v>top_level_area</x:v>
      </x:c>
      <x:c r="L154" s="2" t="str">
        <x:v>property_type_inferred_from_title</x:v>
      </x:c>
      <x:c r="M154" s="10" t="n">
        <x:v>0</x:v>
      </x:c>
      <x:c r="N154" s="10" t="n">
        <x:v>0</x:v>
      </x:c>
      <x:c r="O154" s="2" t="str">
        <x:v>Tp Hồ Chí Minh|house</x:v>
      </x:c>
      <x:c r="P154" s="10" t="n">
        <x:v>2</x:v>
      </x:c>
      <x:c r="Q154" s="13" t="n">
        <x:f>IF(H154="","",H154/1000000000)</x:f>
        <x:v>1.765</x:v>
      </x:c>
      <x:c r="R154" s="13" t="n">
        <x:f>IF(I154="","",I154/1000000)</x:f>
        <x:v>42.023809523809526</x:v>
      </x:c>
    </x:row>
    <x:row r="155" ht="21" customHeight="1">
      <x:c r="A155" s="10" t="n">
        <x:v>163</x:v>
      </x:c>
      <x:c r="B155" s="2" t="str">
        <x:v>e2cbfa57b56f1d83aaa3</x:v>
      </x:c>
      <x:c r="C155" s="2" t="str">
        <x:v>Hà Nội</x:v>
      </x:c>
      <x:c r="D155" s="2" t="str">
        <x:v>Huyện Hoài Đức</x:v>
      </x:c>
      <x:c r="E155" s="2" t="str">
        <x:v>other_unknown</x:v>
      </x:c>
      <x:c r="F155" s="2" t="str">
        <x:v>sale</x:v>
      </x:c>
      <x:c r="G155" s="11" t="n">
        <x:v>83</x:v>
      </x:c>
      <x:c r="H155" s="12" t="n">
        <x:v>5229000000</x:v>
      </x:c>
      <x:c r="I155" s="12" t="n">
        <x:v>63000000</x:v>
      </x:c>
      <x:c r="J155" s="2" t="str">
        <x:v>total</x:v>
      </x:c>
      <x:c r="K155" s="2" t="str">
        <x:v>top_level_area</x:v>
      </x:c>
      <x:c r="L155" s="2" t="str">
        <x:v>property_type_inferred_from_title;unknown_property_type</x:v>
      </x:c>
      <x:c r="M155" s="10" t="n">
        <x:v>0</x:v>
      </x:c>
      <x:c r="N155" s="10" t="n">
        <x:v>0</x:v>
      </x:c>
      <x:c r="O155" s="2" t="str">
        <x:v>Hà Nội|other_unknown</x:v>
      </x:c>
      <x:c r="P155" s="10" t="n">
        <x:v>2</x:v>
      </x:c>
      <x:c r="Q155" s="13" t="n">
        <x:f>IF(H155="","",H155/1000000000)</x:f>
        <x:v>5.229</x:v>
      </x:c>
      <x:c r="R155" s="13" t="n">
        <x:f>IF(I155="","",I155/1000000)</x:f>
        <x:v>63</x:v>
      </x:c>
    </x:row>
    <x:row r="156" ht="21" customHeight="1">
      <x:c r="A156" s="10" t="n">
        <x:v>164</x:v>
      </x:c>
      <x:c r="B156" s="2" t="str">
        <x:v>2ef488cd91719adede06</x:v>
      </x:c>
      <x:c r="C156" s="2" t="str">
        <x:v>Long An</x:v>
      </x:c>
      <x:c r="D156" s="2" t="str">
        <x:v>Huyện Đức Hòa</x:v>
      </x:c>
      <x:c r="E156" s="2" t="str">
        <x:v>house</x:v>
      </x:c>
      <x:c r="F156" s="2" t="str">
        <x:v>sale</x:v>
      </x:c>
      <x:c r="G156" s="11" t="n">
        <x:v>55</x:v>
      </x:c>
      <x:c r="H156" s="12" t="n">
        <x:v>1290000000</x:v>
      </x:c>
      <x:c r="I156" s="12" t="n">
        <x:v>23454545.454545453</x:v>
      </x:c>
      <x:c r="J156" s="2" t="str">
        <x:v>total</x:v>
      </x:c>
      <x:c r="K156" s="2" t="str">
        <x:v>top_level_area</x:v>
      </x:c>
      <x:c r="L156" s="2" t="str">
        <x:v>property_type_inferred_from_title</x:v>
      </x:c>
      <x:c r="M156" s="10" t="n">
        <x:v>0</x:v>
      </x:c>
      <x:c r="N156" s="10" t="n">
        <x:v>0</x:v>
      </x:c>
      <x:c r="O156" s="2" t="str">
        <x:v>Long An|house</x:v>
      </x:c>
      <x:c r="P156" s="10" t="n">
        <x:v>2</x:v>
      </x:c>
      <x:c r="Q156" s="13" t="n">
        <x:f>IF(H156="","",H156/1000000000)</x:f>
        <x:v>1.29</x:v>
      </x:c>
      <x:c r="R156" s="13" t="n">
        <x:f>IF(I156="","",I156/1000000)</x:f>
        <x:v>23.454545454545453</x:v>
      </x:c>
    </x:row>
    <x:row r="157" ht="21" customHeight="1">
      <x:c r="A157" s="10" t="n">
        <x:v>165</x:v>
      </x:c>
      <x:c r="B157" s="2" t="str">
        <x:v>be54f4160cf01839f6fd</x:v>
      </x:c>
      <x:c r="C157" s="2" t="str">
        <x:v>Tp Hồ Chí Minh</x:v>
      </x:c>
      <x:c r="D157" s="2" t="str">
        <x:v>Quận Gò Vấp</x:v>
      </x:c>
      <x:c r="E157" s="2" t="str">
        <x:v>house</x:v>
      </x:c>
      <x:c r="F157" s="2" t="str">
        <x:v>sale</x:v>
      </x:c>
      <x:c r="G157" s="11" t="n">
        <x:v>65</x:v>
      </x:c>
      <x:c r="H157" s="12" t="n">
        <x:v>13500000000</x:v>
      </x:c>
      <x:c r="I157" s="12" t="n">
        <x:v>207692307.69230768</x:v>
      </x:c>
      <x:c r="J157" s="2" t="str">
        <x:v>total</x:v>
      </x:c>
      <x:c r="K157" s="2" t="str">
        <x:v>top_level_area</x:v>
      </x:c>
      <x:c r="L157" s="2" t="str">
        <x:v>property_type_inferred_from_title</x:v>
      </x:c>
      <x:c r="M157" s="10" t="n">
        <x:v>1</x:v>
      </x:c>
      <x:c r="N157" s="10" t="n">
        <x:v>1</x:v>
      </x:c>
      <x:c r="O157" s="2" t="str">
        <x:v>Tp Hồ Chí Minh|house</x:v>
      </x:c>
      <x:c r="P157" s="10" t="n">
        <x:v>-1</x:v>
      </x:c>
      <x:c r="Q157" s="13" t="n">
        <x:f>IF(H157="","",H157/1000000000)</x:f>
        <x:v>13.5</x:v>
      </x:c>
      <x:c r="R157" s="13" t="n">
        <x:f>IF(I157="","",I157/1000000)</x:f>
        <x:v>207.69230769230768</x:v>
      </x:c>
    </x:row>
    <x:row r="158" ht="21" customHeight="1">
      <x:c r="A158" s="10" t="n">
        <x:v>166</x:v>
      </x:c>
      <x:c r="B158" s="2" t="str">
        <x:v>be359dd508afb08f709d</x:v>
      </x:c>
      <x:c r="C158" s="2" t="str">
        <x:v>Chưa xác định</x:v>
      </x:c>
      <x:c r="D158" s="2" t="str">
        <x:v>Chưa xác định</x:v>
      </x:c>
      <x:c r="E158" s="2" t="str">
        <x:v>land</x:v>
      </x:c>
      <x:c r="F158" s="2" t="str">
        <x:v>sale</x:v>
      </x:c>
      <x:c r="G158" s="11" t="n">
        <x:v>132</x:v>
      </x:c>
      <x:c r="H158" s="12" t="n">
        <x:v>2150000000</x:v>
      </x:c>
      <x:c r="I158" s="12" t="n">
        <x:v>16287878.787878787</x:v>
      </x:c>
      <x:c r="J158" s="2" t="str">
        <x:v>total</x:v>
      </x:c>
      <x:c r="K158" s="2" t="str">
        <x:v>top_level_area</x:v>
      </x:c>
      <x:c r="L158" s="2" t="str">
        <x:v>property_type_inferred_from_title;unknown_district;unknown_province</x:v>
      </x:c>
      <x:c r="M158" s="10" t="n">
        <x:v>0</x:v>
      </x:c>
      <x:c r="N158" s="10" t="n">
        <x:v>0</x:v>
      </x:c>
      <x:c r="O158" s="2" t="str">
        <x:v>land</x:v>
      </x:c>
      <x:c r="P158" s="10" t="n">
        <x:v>2</x:v>
      </x:c>
      <x:c r="Q158" s="13" t="n">
        <x:f>IF(H158="","",H158/1000000000)</x:f>
        <x:v>2.15</x:v>
      </x:c>
      <x:c r="R158" s="13" t="n">
        <x:f>IF(I158="","",I158/1000000)</x:f>
        <x:v>16.287878787878785</x:v>
      </x:c>
    </x:row>
    <x:row r="159" ht="21" customHeight="1">
      <x:c r="A159" s="10" t="n">
        <x:v>167</x:v>
      </x:c>
      <x:c r="B159" s="2" t="str">
        <x:v>e2bd51e021867bb32f05</x:v>
      </x:c>
      <x:c r="C159" s="2" t="str">
        <x:v>Tp Hồ Chí Minh</x:v>
      </x:c>
      <x:c r="D159" s="2" t="str">
        <x:v>Quận Bình Thạnh</x:v>
      </x:c>
      <x:c r="E159" s="2" t="str">
        <x:v>house</x:v>
      </x:c>
      <x:c r="F159" s="2" t="str">
        <x:v>sale_assumed</x:v>
      </x:c>
      <x:c r="G159" s="11" t="n">
        <x:v>37</x:v>
      </x:c>
      <x:c r="H159" s="12" t="n">
        <x:v>1650000000</x:v>
      </x:c>
      <x:c r="I159" s="12" t="n">
        <x:v>44594594.5945946</x:v>
      </x:c>
      <x:c r="J159" s="2" t="str">
        <x:v>total</x:v>
      </x:c>
      <x:c r="K159" s="2" t="str">
        <x:v>top_level_area</x:v>
      </x:c>
      <x:c r="L159" s="2" t="str">
        <x:v>property_type_inferred_from_title;transaction_assumed_sale_from_dataset_context</x:v>
      </x:c>
      <x:c r="M159" s="10" t="n">
        <x:v>0</x:v>
      </x:c>
      <x:c r="N159" s="10" t="n">
        <x:v>0</x:v>
      </x:c>
      <x:c r="O159" s="2" t="str">
        <x:v>Tp Hồ Chí Minh|house</x:v>
      </x:c>
      <x:c r="P159" s="10" t="n">
        <x:v>2</x:v>
      </x:c>
      <x:c r="Q159" s="13" t="n">
        <x:f>IF(H159="","",H159/1000000000)</x:f>
        <x:v>1.65</x:v>
      </x:c>
      <x:c r="R159" s="13" t="n">
        <x:f>IF(I159="","",I159/1000000)</x:f>
        <x:v>44.5945945945946</x:v>
      </x:c>
    </x:row>
    <x:row r="160" ht="21" customHeight="1">
      <x:c r="A160" s="10" t="n">
        <x:v>168</x:v>
      </x:c>
      <x:c r="B160" s="2" t="str">
        <x:v>d69b5bbb024a5f6b618d</x:v>
      </x:c>
      <x:c r="C160" s="2" t="str">
        <x:v>Cần Thơ</x:v>
      </x:c>
      <x:c r="D160" s="2" t="str">
        <x:v>Quận Bình Thuỷ</x:v>
      </x:c>
      <x:c r="E160" s="2" t="str">
        <x:v>land</x:v>
      </x:c>
      <x:c r="F160" s="2" t="str">
        <x:v>sale_assumed</x:v>
      </x:c>
      <x:c r="G160" s="11" t="n">
        <x:v>67</x:v>
      </x:c>
      <x:c r="H160" s="12" t="n">
        <x:v>1290000000</x:v>
      </x:c>
      <x:c r="I160" s="12" t="n">
        <x:v>19253731.343283582</x:v>
      </x:c>
      <x:c r="J160" s="2" t="str">
        <x:v>total</x:v>
      </x:c>
      <x:c r="K160" s="2" t="str">
        <x:v>top_level_price_embedded_area</x:v>
      </x:c>
      <x:c r="L160" s="2" t="str">
        <x:v>area_recovered_from_price_text;property_type_inferred_from_title;transaction_assumed_sale_from_dataset_context</x:v>
      </x:c>
      <x:c r="M160" s="10" t="n">
        <x:v>0</x:v>
      </x:c>
      <x:c r="N160" s="10" t="n">
        <x:v>0</x:v>
      </x:c>
      <x:c r="O160" s="2" t="str">
        <x:v>Cần Thơ|land</x:v>
      </x:c>
      <x:c r="P160" s="10" t="n">
        <x:v>2</x:v>
      </x:c>
      <x:c r="Q160" s="13" t="n">
        <x:f>IF(H160="","",H160/1000000000)</x:f>
        <x:v>1.29</x:v>
      </x:c>
      <x:c r="R160" s="13" t="n">
        <x:f>IF(I160="","",I160/1000000)</x:f>
        <x:v>19.253731343283583</x:v>
      </x:c>
    </x:row>
    <x:row r="161" ht="21" customHeight="1">
      <x:c r="A161" s="10" t="n">
        <x:v>169</x:v>
      </x:c>
      <x:c r="B161" s="2" t="str">
        <x:v>27ce5583d18095aefed1</x:v>
      </x:c>
      <x:c r="C161" s="2" t="str">
        <x:v>Bình Dương</x:v>
      </x:c>
      <x:c r="D161" s="2" t="str">
        <x:v>Huyện Phú Giáo</x:v>
      </x:c>
      <x:c r="E161" s="2" t="str">
        <x:v>other_unknown</x:v>
      </x:c>
      <x:c r="F161" s="2" t="str">
        <x:v>sale_assumed</x:v>
      </x:c>
      <x:c r="G161" s="11" t="n">
        <x:v>70</x:v>
      </x:c>
      <x:c r="H161" s="12" t="n">
        <x:v>700000000</x:v>
      </x:c>
      <x:c r="I161" s="12" t="n">
        <x:v>10000000</x:v>
      </x:c>
      <x:c r="J161" s="2" t="str">
        <x:v>total</x:v>
      </x:c>
      <x:c r="K161" s="2" t="str">
        <x:v>top_level_area</x:v>
      </x:c>
      <x:c r="L161" s="2" t="str">
        <x:v>property_type_inferred_from_title;transaction_assumed_sale_from_dataset_context;unknown_property_type</x:v>
      </x:c>
      <x:c r="M161" s="10" t="n">
        <x:v>0</x:v>
      </x:c>
      <x:c r="N161" s="10" t="n">
        <x:v>0</x:v>
      </x:c>
      <x:c r="O161" s="2" t="str">
        <x:v>Bình Dương|other_unknown</x:v>
      </x:c>
      <x:c r="P161" s="10" t="n">
        <x:v>2</x:v>
      </x:c>
      <x:c r="Q161" s="13" t="n">
        <x:f>IF(H161="","",H161/1000000000)</x:f>
        <x:v>0.7</x:v>
      </x:c>
      <x:c r="R161" s="13" t="n">
        <x:f>IF(I161="","",I161/1000000)</x:f>
        <x:v>10</x:v>
      </x:c>
    </x:row>
    <x:row r="162" ht="21" customHeight="1">
      <x:c r="A162" s="10" t="n">
        <x:v>170</x:v>
      </x:c>
      <x:c r="B162" s="2" t="str">
        <x:v>cf073c6d19dcfffb2ab4</x:v>
      </x:c>
      <x:c r="C162" s="2" t="str">
        <x:v>Hà Nội</x:v>
      </x:c>
      <x:c r="D162" s="2" t="str">
        <x:v>Quận Long Biên</x:v>
      </x:c>
      <x:c r="E162" s="2" t="str">
        <x:v>house</x:v>
      </x:c>
      <x:c r="F162" s="2" t="str">
        <x:v>sale_assumed</x:v>
      </x:c>
      <x:c r="G162" s="11" t="n">
        <x:v>55</x:v>
      </x:c>
      <x:c r="H162" s="12" t="n">
        <x:v>6500000000</x:v>
      </x:c>
      <x:c r="I162" s="12" t="n">
        <x:v>118181818.18181819</x:v>
      </x:c>
      <x:c r="J162" s="2" t="str">
        <x:v>total</x:v>
      </x:c>
      <x:c r="K162" s="2" t="str">
        <x:v>top_level_area</x:v>
      </x:c>
      <x:c r="L162" s="2" t="str">
        <x:v>property_type_inferred_from_title;transaction_assumed_sale_from_dataset_context</x:v>
      </x:c>
      <x:c r="M162" s="10" t="n">
        <x:v>0</x:v>
      </x:c>
      <x:c r="N162" s="10" t="n">
        <x:v>0</x:v>
      </x:c>
      <x:c r="O162" s="2" t="str">
        <x:v>Hà Nội|house</x:v>
      </x:c>
      <x:c r="P162" s="10" t="n">
        <x:v>2</x:v>
      </x:c>
      <x:c r="Q162" s="13" t="n">
        <x:f>IF(H162="","",H162/1000000000)</x:f>
        <x:v>6.5</x:v>
      </x:c>
      <x:c r="R162" s="13" t="n">
        <x:f>IF(I162="","",I162/1000000)</x:f>
        <x:v>118.18181818181819</x:v>
      </x:c>
    </x:row>
    <x:row r="163" ht="21" customHeight="1">
      <x:c r="A163" s="10" t="n">
        <x:v>171</x:v>
      </x:c>
      <x:c r="B163" s="2" t="str">
        <x:v>1a4d7cf16b207c6edc17</x:v>
      </x:c>
      <x:c r="C163" s="2" t="str">
        <x:v>Tp Hồ Chí Minh</x:v>
      </x:c>
      <x:c r="D163" s="2" t="str">
        <x:v>Quận Bình Tân</x:v>
      </x:c>
      <x:c r="E163" s="2" t="str">
        <x:v>house</x:v>
      </x:c>
      <x:c r="F163" s="2" t="str">
        <x:v>sale_assumed</x:v>
      </x:c>
      <x:c r="G163" s="11" t="n">
        <x:v>220</x:v>
      </x:c>
      <x:c r="H163" s="12" t="n">
        <x:v>3200000000</x:v>
      </x:c>
      <x:c r="I163" s="12" t="n">
        <x:v>14545454.545454545</x:v>
      </x:c>
      <x:c r="J163" s="2" t="str">
        <x:v>total</x:v>
      </x:c>
      <x:c r="K163" s="2" t="str">
        <x:v>top_level_area</x:v>
      </x:c>
      <x:c r="L163" s="2" t="str">
        <x:v>property_type_inferred_from_title;transaction_assumed_sale_from_dataset_context</x:v>
      </x:c>
      <x:c r="M163" s="10" t="n">
        <x:v>0</x:v>
      </x:c>
      <x:c r="N163" s="10" t="n">
        <x:v>0</x:v>
      </x:c>
      <x:c r="O163" s="2" t="str">
        <x:v>Tp Hồ Chí Minh|house</x:v>
      </x:c>
      <x:c r="P163" s="10" t="n">
        <x:v>2</x:v>
      </x:c>
      <x:c r="Q163" s="13" t="n">
        <x:f>IF(H163="","",H163/1000000000)</x:f>
        <x:v>3.2</x:v>
      </x:c>
      <x:c r="R163" s="13" t="n">
        <x:f>IF(I163="","",I163/1000000)</x:f>
        <x:v>14.545454545454545</x:v>
      </x:c>
    </x:row>
    <x:row r="164" ht="21" customHeight="1">
      <x:c r="A164" s="10" t="n">
        <x:v>172</x:v>
      </x:c>
      <x:c r="B164" s="2" t="str">
        <x:v>f6388f6d54d1c3b19420</x:v>
      </x:c>
      <x:c r="C164" s="2" t="str">
        <x:v>Tp Hồ Chí Minh</x:v>
      </x:c>
      <x:c r="D164" s="2" t="str">
        <x:v>Quận 3</x:v>
      </x:c>
      <x:c r="E164" s="2" t="str">
        <x:v>other_unknown</x:v>
      </x:c>
      <x:c r="F164" s="2" t="str">
        <x:v>sale_assumed</x:v>
      </x:c>
      <x:c r="G164" s="11" t="n">
        <x:v>43</x:v>
      </x:c>
      <x:c r="H164" s="12" t="n">
        <x:v>8500000000</x:v>
      </x:c>
      <x:c r="I164" s="12" t="n">
        <x:v>197674418.60465115</x:v>
      </x:c>
      <x:c r="J164" s="2" t="str">
        <x:v>total</x:v>
      </x:c>
      <x:c r="K164" s="2" t="str">
        <x:v>top_level_area</x:v>
      </x:c>
      <x:c r="L164" s="2" t="str">
        <x:v>property_type_inferred_from_title;transaction_assumed_sale_from_dataset_context;unknown_property_type</x:v>
      </x:c>
      <x:c r="M164" s="10" t="n">
        <x:v>1</x:v>
      </x:c>
      <x:c r="N164" s="10" t="n">
        <x:v>0</x:v>
      </x:c>
      <x:c r="O164" s="2" t="str">
        <x:v>Tp Hồ Chí Minh|other_unknown</x:v>
      </x:c>
      <x:c r="P164" s="10" t="n">
        <x:v>2</x:v>
      </x:c>
      <x:c r="Q164" s="13" t="n">
        <x:f>IF(H164="","",H164/1000000000)</x:f>
        <x:v>8.5</x:v>
      </x:c>
      <x:c r="R164" s="13" t="n">
        <x:f>IF(I164="","",I164/1000000)</x:f>
        <x:v>197.67441860465115</x:v>
      </x:c>
    </x:row>
    <x:row r="165" ht="21" customHeight="1">
      <x:c r="A165" s="10" t="n">
        <x:v>173</x:v>
      </x:c>
      <x:c r="B165" s="2" t="str">
        <x:v>b3d346e65573cca53b79</x:v>
      </x:c>
      <x:c r="C165" s="2" t="str">
        <x:v>Tp Hồ Chí Minh</x:v>
      </x:c>
      <x:c r="D165" s="2" t="str">
        <x:v>Quận Gò Vấp</x:v>
      </x:c>
      <x:c r="E165" s="2" t="str">
        <x:v>house</x:v>
      </x:c>
      <x:c r="F165" s="2" t="str">
        <x:v>sale</x:v>
      </x:c>
      <x:c r="G165" s="11" t="n">
        <x:v>92</x:v>
      </x:c>
      <x:c r="H165" s="12" t="n">
        <x:v>6900000000</x:v>
      </x:c>
      <x:c r="I165" s="12" t="n">
        <x:v>75000000</x:v>
      </x:c>
      <x:c r="J165" s="2" t="str">
        <x:v>total</x:v>
      </x:c>
      <x:c r="K165" s="2" t="str">
        <x:v>top_level_area</x:v>
      </x:c>
      <x:c r="L165" s="2" t="str">
        <x:v>property_type_inferred_from_title</x:v>
      </x:c>
      <x:c r="M165" s="10" t="n">
        <x:v>0</x:v>
      </x:c>
      <x:c r="N165" s="10" t="n">
        <x:v>0</x:v>
      </x:c>
      <x:c r="O165" s="2" t="str">
        <x:v>Tp Hồ Chí Minh|house</x:v>
      </x:c>
      <x:c r="P165" s="10" t="n">
        <x:v>2</x:v>
      </x:c>
      <x:c r="Q165" s="13" t="n">
        <x:f>IF(H165="","",H165/1000000000)</x:f>
        <x:v>6.9</x:v>
      </x:c>
      <x:c r="R165" s="13" t="n">
        <x:f>IF(I165="","",I165/1000000)</x:f>
        <x:v>75</x:v>
      </x:c>
    </x:row>
    <x:row r="166" ht="21" customHeight="1">
      <x:c r="A166" s="10" t="n">
        <x:v>174</x:v>
      </x:c>
      <x:c r="B166" s="2" t="str">
        <x:v>a84c6bfb6aca7b07fac2</x:v>
      </x:c>
      <x:c r="C166" s="2" t="str">
        <x:v>Đà Nẵng</x:v>
      </x:c>
      <x:c r="D166" s="2" t="str">
        <x:v>Quận Thanh Khê</x:v>
      </x:c>
      <x:c r="E166" s="2" t="str">
        <x:v>land</x:v>
      </x:c>
      <x:c r="F166" s="2" t="str">
        <x:v>sale_assumed</x:v>
      </x:c>
      <x:c r="G166" s="11" t="n">
        <x:v>50</x:v>
      </x:c>
      <x:c r="H166" s="12" t="n">
        <x:v>2800000000</x:v>
      </x:c>
      <x:c r="I166" s="12" t="n">
        <x:v>56000000</x:v>
      </x:c>
      <x:c r="J166" s="2" t="str">
        <x:v>total</x:v>
      </x:c>
      <x:c r="K166" s="2" t="str">
        <x:v>top_level_area</x:v>
      </x:c>
      <x:c r="L166" s="2" t="str">
        <x:v>property_type_inferred_from_title;transaction_assumed_sale_from_dataset_context</x:v>
      </x:c>
      <x:c r="M166" s="10" t="n">
        <x:v>0</x:v>
      </x:c>
      <x:c r="N166" s="10" t="n">
        <x:v>0</x:v>
      </x:c>
      <x:c r="O166" s="2" t="str">
        <x:v>Đà Nẵng|land</x:v>
      </x:c>
      <x:c r="P166" s="10" t="n">
        <x:v>2</x:v>
      </x:c>
      <x:c r="Q166" s="13" t="n">
        <x:f>IF(H166="","",H166/1000000000)</x:f>
        <x:v>2.8</x:v>
      </x:c>
      <x:c r="R166" s="13" t="n">
        <x:f>IF(I166="","",I166/1000000)</x:f>
        <x:v>56</x:v>
      </x:c>
    </x:row>
    <x:row r="167" ht="21" customHeight="1">
      <x:c r="A167" s="10" t="n">
        <x:v>175</x:v>
      </x:c>
      <x:c r="B167" s="2" t="str">
        <x:v>8122ee7b3ca3a9a13acc</x:v>
      </x:c>
      <x:c r="C167" s="2" t="str">
        <x:v>Tp Hồ Chí Minh</x:v>
      </x:c>
      <x:c r="D167" s="2" t="str">
        <x:v>Quận 1</x:v>
      </x:c>
      <x:c r="E167" s="2" t="str">
        <x:v>house</x:v>
      </x:c>
      <x:c r="F167" s="2" t="str">
        <x:v>sale_assumed</x:v>
      </x:c>
      <x:c r="G167" s="11" t="n">
        <x:v>61</x:v>
      </x:c>
      <x:c r="H167" s="12" t="n">
        <x:v>1900000000</x:v>
      </x:c>
      <x:c r="I167" s="12" t="n">
        <x:v>31147540.98360656</x:v>
      </x:c>
      <x:c r="J167" s="2" t="str">
        <x:v>total</x:v>
      </x:c>
      <x:c r="K167" s="2" t="str">
        <x:v>top_level_area</x:v>
      </x:c>
      <x:c r="L167" s="2" t="str">
        <x:v>property_type_inferred_from_title;transaction_assumed_sale_from_dataset_context</x:v>
      </x:c>
      <x:c r="M167" s="10" t="n">
        <x:v>0</x:v>
      </x:c>
      <x:c r="N167" s="10" t="n">
        <x:v>0</x:v>
      </x:c>
      <x:c r="O167" s="2" t="str">
        <x:v>Tp Hồ Chí Minh|house</x:v>
      </x:c>
      <x:c r="P167" s="10" t="n">
        <x:v>2</x:v>
      </x:c>
      <x:c r="Q167" s="13" t="n">
        <x:f>IF(H167="","",H167/1000000000)</x:f>
        <x:v>1.9</x:v>
      </x:c>
      <x:c r="R167" s="13" t="n">
        <x:f>IF(I167="","",I167/1000000)</x:f>
        <x:v>31.147540983606557</x:v>
      </x:c>
    </x:row>
    <x:row r="168" ht="21" customHeight="1">
      <x:c r="A168" s="10" t="n">
        <x:v>176</x:v>
      </x:c>
      <x:c r="B168" s="2" t="str">
        <x:v>6090ce9237a813dde83c</x:v>
      </x:c>
      <x:c r="C168" s="2" t="str">
        <x:v>Hà Nội</x:v>
      </x:c>
      <x:c r="D168" s="2" t="str">
        <x:v>Quận Long Biên</x:v>
      </x:c>
      <x:c r="E168" s="2" t="str">
        <x:v>land</x:v>
      </x:c>
      <x:c r="F168" s="2" t="str">
        <x:v>sale</x:v>
      </x:c>
      <x:c r="G168" s="11" t="n">
        <x:v>80</x:v>
      </x:c>
      <x:c r="H168" s="12" t="n">
        <x:v>4000000000</x:v>
      </x:c>
      <x:c r="I168" s="12" t="n">
        <x:v>50000000</x:v>
      </x:c>
      <x:c r="J168" s="2" t="str">
        <x:v>total</x:v>
      </x:c>
      <x:c r="K168" s="2" t="str">
        <x:v>top_level_area</x:v>
      </x:c>
      <x:c r="L168" s="2" t="str">
        <x:v>property_type_inferred_from_title</x:v>
      </x:c>
      <x:c r="M168" s="10" t="n">
        <x:v>0</x:v>
      </x:c>
      <x:c r="N168" s="10" t="n">
        <x:v>0</x:v>
      </x:c>
      <x:c r="O168" s="2" t="str">
        <x:v>Hà Nội|land</x:v>
      </x:c>
      <x:c r="P168" s="10" t="n">
        <x:v>2</x:v>
      </x:c>
      <x:c r="Q168" s="13" t="n">
        <x:f>IF(H168="","",H168/1000000000)</x:f>
        <x:v>4</x:v>
      </x:c>
      <x:c r="R168" s="13" t="n">
        <x:f>IF(I168="","",I168/1000000)</x:f>
        <x:v>50</x:v>
      </x:c>
    </x:row>
    <x:row r="169" ht="21" customHeight="1">
      <x:c r="A169" s="10" t="n">
        <x:v>177</x:v>
      </x:c>
      <x:c r="B169" s="2" t="str">
        <x:v>8387514d975b6293877d</x:v>
      </x:c>
      <x:c r="C169" s="2" t="str">
        <x:v>Tp Hồ Chí Minh</x:v>
      </x:c>
      <x:c r="D169" s="2" t="str">
        <x:v>Quận Gò Vấp</x:v>
      </x:c>
      <x:c r="E169" s="2" t="str">
        <x:v>house</x:v>
      </x:c>
      <x:c r="F169" s="2" t="str">
        <x:v>sale_assumed</x:v>
      </x:c>
      <x:c r="G169" s="11" t="n">
        <x:v>50</x:v>
      </x:c>
      <x:c r="H169" s="12" t="n">
        <x:v>6680000000</x:v>
      </x:c>
      <x:c r="I169" s="12" t="n">
        <x:v>133600000</x:v>
      </x:c>
      <x:c r="J169" s="2" t="str">
        <x:v>total</x:v>
      </x:c>
      <x:c r="K169" s="2" t="str">
        <x:v>top_level_area</x:v>
      </x:c>
      <x:c r="L169" s="2" t="str">
        <x:v>property_type_inferred_from_title;transaction_assumed_sale_from_dataset_context</x:v>
      </x:c>
      <x:c r="M169" s="10" t="n">
        <x:v>0</x:v>
      </x:c>
      <x:c r="N169" s="10" t="n">
        <x:v>0</x:v>
      </x:c>
      <x:c r="O169" s="2" t="str">
        <x:v>Tp Hồ Chí Minh|house</x:v>
      </x:c>
      <x:c r="P169" s="10" t="n">
        <x:v>2</x:v>
      </x:c>
      <x:c r="Q169" s="13" t="n">
        <x:f>IF(H169="","",H169/1000000000)</x:f>
        <x:v>6.68</x:v>
      </x:c>
      <x:c r="R169" s="13" t="n">
        <x:f>IF(I169="","",I169/1000000)</x:f>
        <x:v>133.6</x:v>
      </x:c>
    </x:row>
    <x:row r="170" ht="21" customHeight="1">
      <x:c r="A170" s="10" t="n">
        <x:v>178</x:v>
      </x:c>
      <x:c r="B170" s="2" t="str">
        <x:v>6c735c14f08f41efe279</x:v>
      </x:c>
      <x:c r="C170" s="2" t="str">
        <x:v>Tp Hồ Chí Minh</x:v>
      </x:c>
      <x:c r="D170" s="2" t="str">
        <x:v>Quận Thủ Đức</x:v>
      </x:c>
      <x:c r="E170" s="2" t="str">
        <x:v>house</x:v>
      </x:c>
      <x:c r="F170" s="2" t="str">
        <x:v>sale</x:v>
      </x:c>
      <x:c r="G170" s="11" t="n">
        <x:v>65</x:v>
      </x:c>
      <x:c r="H170" s="12" t="n">
        <x:v>1150000000</x:v>
      </x:c>
      <x:c r="I170" s="12" t="n">
        <x:v>17692307.692307692</x:v>
      </x:c>
      <x:c r="J170" s="2" t="str">
        <x:v>total</x:v>
      </x:c>
      <x:c r="K170" s="2" t="str">
        <x:v>top_level_area</x:v>
      </x:c>
      <x:c r="L170" s="2" t="str">
        <x:v>property_type_inferred_from_title</x:v>
      </x:c>
      <x:c r="M170" s="10" t="n">
        <x:v>0</x:v>
      </x:c>
      <x:c r="N170" s="10" t="n">
        <x:v>0</x:v>
      </x:c>
      <x:c r="O170" s="2" t="str">
        <x:v>Tp Hồ Chí Minh|house</x:v>
      </x:c>
      <x:c r="P170" s="10" t="n">
        <x:v>2</x:v>
      </x:c>
      <x:c r="Q170" s="13" t="n">
        <x:f>IF(H170="","",H170/1000000000)</x:f>
        <x:v>1.15</x:v>
      </x:c>
      <x:c r="R170" s="13" t="n">
        <x:f>IF(I170="","",I170/1000000)</x:f>
        <x:v>17.692307692307693</x:v>
      </x:c>
    </x:row>
    <x:row r="171" ht="21" customHeight="1">
      <x:c r="A171" s="10" t="n">
        <x:v>179</x:v>
      </x:c>
      <x:c r="B171" s="2" t="str">
        <x:v>1ed72841de752a6fd490</x:v>
      </x:c>
      <x:c r="C171" s="2" t="str">
        <x:v>Tp Hồ Chí Minh</x:v>
      </x:c>
      <x:c r="D171" s="2" t="str">
        <x:v>Quận Tân Phú</x:v>
      </x:c>
      <x:c r="E171" s="2" t="str">
        <x:v>house</x:v>
      </x:c>
      <x:c r="F171" s="2" t="str">
        <x:v>sale</x:v>
      </x:c>
      <x:c r="G171" s="11" t="n">
        <x:v>50</x:v>
      </x:c>
      <x:c r="H171" s="12" t="n">
        <x:v>1450000000</x:v>
      </x:c>
      <x:c r="I171" s="12" t="n">
        <x:v>29000000</x:v>
      </x:c>
      <x:c r="J171" s="2" t="str">
        <x:v>total</x:v>
      </x:c>
      <x:c r="K171" s="2" t="str">
        <x:v>top_level_area</x:v>
      </x:c>
      <x:c r="L171" s="2" t="str">
        <x:v>property_type_inferred_from_title</x:v>
      </x:c>
      <x:c r="M171" s="10" t="n">
        <x:v>0</x:v>
      </x:c>
      <x:c r="N171" s="10" t="n">
        <x:v>0</x:v>
      </x:c>
      <x:c r="O171" s="2" t="str">
        <x:v>Tp Hồ Chí Minh|house</x:v>
      </x:c>
      <x:c r="P171" s="10" t="n">
        <x:v>2</x:v>
      </x:c>
      <x:c r="Q171" s="13" t="n">
        <x:f>IF(H171="","",H171/1000000000)</x:f>
        <x:v>1.45</x:v>
      </x:c>
      <x:c r="R171" s="13" t="n">
        <x:f>IF(I171="","",I171/1000000)</x:f>
        <x:v>29</x:v>
      </x:c>
    </x:row>
    <x:row r="172" ht="21" customHeight="1">
      <x:c r="A172" s="10" t="n">
        <x:v>180</x:v>
      </x:c>
      <x:c r="B172" s="2" t="str">
        <x:v>bbe566ef76e46b83326b</x:v>
      </x:c>
      <x:c r="C172" s="2" t="str">
        <x:v>Long An</x:v>
      </x:c>
      <x:c r="D172" s="2" t="str">
        <x:v>Huyện Cần Giuộc</x:v>
      </x:c>
      <x:c r="E172" s="2" t="str">
        <x:v>house</x:v>
      </x:c>
      <x:c r="F172" s="2" t="str">
        <x:v>sale_assumed</x:v>
      </x:c>
      <x:c r="G172" s="11" t="n">
        <x:v>90</x:v>
      </x:c>
      <x:c r="H172" s="12" t="n">
        <x:v>900000000</x:v>
      </x:c>
      <x:c r="I172" s="12" t="n">
        <x:v>10000000</x:v>
      </x:c>
      <x:c r="J172" s="2" t="str">
        <x:v>total</x:v>
      </x:c>
      <x:c r="K172" s="2" t="str">
        <x:v>top_level_area</x:v>
      </x:c>
      <x:c r="L172" s="2" t="str">
        <x:v>property_type_inferred_from_title;transaction_assumed_sale_from_dataset_context</x:v>
      </x:c>
      <x:c r="M172" s="10" t="n">
        <x:v>0</x:v>
      </x:c>
      <x:c r="N172" s="10" t="n">
        <x:v>0</x:v>
      </x:c>
      <x:c r="O172" s="2" t="str">
        <x:v>Long An|house</x:v>
      </x:c>
      <x:c r="P172" s="10" t="n">
        <x:v>2</x:v>
      </x:c>
      <x:c r="Q172" s="13" t="n">
        <x:f>IF(H172="","",H172/1000000000)</x:f>
        <x:v>0.9</x:v>
      </x:c>
      <x:c r="R172" s="13" t="n">
        <x:f>IF(I172="","",I172/1000000)</x:f>
        <x:v>10</x:v>
      </x:c>
    </x:row>
    <x:row r="173" ht="21" customHeight="1">
      <x:c r="A173" s="10" t="n">
        <x:v>181</x:v>
      </x:c>
      <x:c r="B173" s="2" t="str">
        <x:v>b1226d1e2ca906420fbf</x:v>
      </x:c>
      <x:c r="C173" s="2" t="str">
        <x:v>Tp Hồ Chí Minh</x:v>
      </x:c>
      <x:c r="D173" s="2" t="str">
        <x:v>Quận Bình Thạnh</x:v>
      </x:c>
      <x:c r="E173" s="2" t="str">
        <x:v>house</x:v>
      </x:c>
      <x:c r="F173" s="2" t="str">
        <x:v>sale_assumed</x:v>
      </x:c>
      <x:c r="G173" s="11" t="n">
        <x:v>60</x:v>
      </x:c>
      <x:c r="H173" s="12" t="n">
        <x:v>10000000000</x:v>
      </x:c>
      <x:c r="I173" s="12" t="n">
        <x:v>166666666.66666666</x:v>
      </x:c>
      <x:c r="J173" s="2" t="str">
        <x:v>total</x:v>
      </x:c>
      <x:c r="K173" s="2" t="str">
        <x:v>top_level_area</x:v>
      </x:c>
      <x:c r="L173" s="2" t="str">
        <x:v>property_type_inferred_from_title;transaction_assumed_sale_from_dataset_context</x:v>
      </x:c>
      <x:c r="M173" s="10" t="n">
        <x:v>1</x:v>
      </x:c>
      <x:c r="N173" s="10" t="n">
        <x:v>0</x:v>
      </x:c>
      <x:c r="O173" s="2" t="str">
        <x:v>Tp Hồ Chí Minh|house</x:v>
      </x:c>
      <x:c r="P173" s="10" t="n">
        <x:v>2</x:v>
      </x:c>
      <x:c r="Q173" s="13" t="n">
        <x:f>IF(H173="","",H173/1000000000)</x:f>
        <x:v>10</x:v>
      </x:c>
      <x:c r="R173" s="13" t="n">
        <x:f>IF(I173="","",I173/1000000)</x:f>
        <x:v>166.66666666666666</x:v>
      </x:c>
    </x:row>
    <x:row r="174" ht="21" customHeight="1">
      <x:c r="A174" s="10" t="n">
        <x:v>182</x:v>
      </x:c>
      <x:c r="B174" s="2" t="str">
        <x:v>cf4931ce80fed462aa43</x:v>
      </x:c>
      <x:c r="C174" s="2" t="str">
        <x:v>Đồng Nai</x:v>
      </x:c>
      <x:c r="D174" s="2" t="str">
        <x:v>Huyện Long Thành</x:v>
      </x:c>
      <x:c r="E174" s="2" t="str">
        <x:v>land</x:v>
      </x:c>
      <x:c r="F174" s="2" t="str">
        <x:v>sale_assumed</x:v>
      </x:c>
      <x:c r="G174" s="11" t="n">
        <x:v>100</x:v>
      </x:c>
      <x:c r="H174" s="12" t="n">
        <x:v>1530000000</x:v>
      </x:c>
      <x:c r="I174" s="12" t="n">
        <x:v>15300000</x:v>
      </x:c>
      <x:c r="J174" s="2" t="str">
        <x:v>total</x:v>
      </x:c>
      <x:c r="K174" s="2" t="str">
        <x:v>top_level_area</x:v>
      </x:c>
      <x:c r="L174" s="2" t="str">
        <x:v>property_type_inferred_from_title;transaction_assumed_sale_from_dataset_context</x:v>
      </x:c>
      <x:c r="M174" s="10" t="n">
        <x:v>0</x:v>
      </x:c>
      <x:c r="N174" s="10" t="n">
        <x:v>0</x:v>
      </x:c>
      <x:c r="O174" s="2" t="str">
        <x:v>Đồng Nai|land</x:v>
      </x:c>
      <x:c r="P174" s="10" t="n">
        <x:v>2</x:v>
      </x:c>
      <x:c r="Q174" s="13" t="n">
        <x:f>IF(H174="","",H174/1000000000)</x:f>
        <x:v>1.53</x:v>
      </x:c>
      <x:c r="R174" s="13" t="n">
        <x:f>IF(I174="","",I174/1000000)</x:f>
        <x:v>15.3</x:v>
      </x:c>
    </x:row>
    <x:row r="175" ht="21" customHeight="1">
      <x:c r="A175" s="10" t="n">
        <x:v>183</x:v>
      </x:c>
      <x:c r="B175" s="2" t="str">
        <x:v>8fa2484ce736c413963a</x:v>
      </x:c>
      <x:c r="C175" s="2" t="str">
        <x:v>Tp Hồ Chí Minh</x:v>
      </x:c>
      <x:c r="D175" s="2" t="str">
        <x:v>Quận 12</x:v>
      </x:c>
      <x:c r="E175" s="2" t="str">
        <x:v>house</x:v>
      </x:c>
      <x:c r="F175" s="2" t="str">
        <x:v>sale</x:v>
      </x:c>
      <x:c r="G175" s="11" t="n">
        <x:v>55</x:v>
      </x:c>
      <x:c r="H175" s="12" t="n">
        <x:v>1350000000</x:v>
      </x:c>
      <x:c r="I175" s="12" t="n">
        <x:v>24545454.545454547</x:v>
      </x:c>
      <x:c r="J175" s="2" t="str">
        <x:v>total</x:v>
      </x:c>
      <x:c r="K175" s="2" t="str">
        <x:v>top_level_area</x:v>
      </x:c>
      <x:c r="L175" s="2" t="str">
        <x:v>property_type_inferred_from_title</x:v>
      </x:c>
      <x:c r="M175" s="10" t="n">
        <x:v>0</x:v>
      </x:c>
      <x:c r="N175" s="10" t="n">
        <x:v>0</x:v>
      </x:c>
      <x:c r="O175" s="2" t="str">
        <x:v>Tp Hồ Chí Minh|house</x:v>
      </x:c>
      <x:c r="P175" s="10" t="n">
        <x:v>2</x:v>
      </x:c>
      <x:c r="Q175" s="13" t="n">
        <x:f>IF(H175="","",H175/1000000000)</x:f>
        <x:v>1.35</x:v>
      </x:c>
      <x:c r="R175" s="13" t="n">
        <x:f>IF(I175="","",I175/1000000)</x:f>
        <x:v>24.545454545454547</x:v>
      </x:c>
    </x:row>
    <x:row r="176" ht="21" customHeight="1">
      <x:c r="A176" s="10" t="n">
        <x:v>184</x:v>
      </x:c>
      <x:c r="B176" s="2" t="str">
        <x:v>e1a0a38f13e17a296111</x:v>
      </x:c>
      <x:c r="C176" s="2" t="str">
        <x:v>Bình Dương</x:v>
      </x:c>
      <x:c r="D176" s="2" t="str">
        <x:v>Thị xã Dĩ An</x:v>
      </x:c>
      <x:c r="E176" s="2" t="str">
        <x:v>house</x:v>
      </x:c>
      <x:c r="F176" s="2" t="str">
        <x:v>sale_assumed</x:v>
      </x:c>
      <x:c r="G176" s="11" t="n">
        <x:v>60</x:v>
      </x:c>
      <x:c r="H176" s="12" t="n">
        <x:v>2779000000</x:v>
      </x:c>
      <x:c r="I176" s="12" t="n">
        <x:v>46316666.666666664</x:v>
      </x:c>
      <x:c r="J176" s="2" t="str">
        <x:v>total</x:v>
      </x:c>
      <x:c r="K176" s="2" t="str">
        <x:v>top_level_area</x:v>
      </x:c>
      <x:c r="L176" s="2" t="str">
        <x:v>property_type_inferred_from_title;transaction_assumed_sale_from_dataset_context</x:v>
      </x:c>
      <x:c r="M176" s="10" t="n">
        <x:v>0</x:v>
      </x:c>
      <x:c r="N176" s="10" t="n">
        <x:v>0</x:v>
      </x:c>
      <x:c r="O176" s="2" t="str">
        <x:v>Bình Dương|house</x:v>
      </x:c>
      <x:c r="P176" s="10" t="n">
        <x:v>2</x:v>
      </x:c>
      <x:c r="Q176" s="13" t="n">
        <x:f>IF(H176="","",H176/1000000000)</x:f>
        <x:v>2.779</x:v>
      </x:c>
      <x:c r="R176" s="13" t="n">
        <x:f>IF(I176="","",I176/1000000)</x:f>
        <x:v>46.31666666666666</x:v>
      </x:c>
    </x:row>
    <x:row r="177" ht="21" customHeight="1">
      <x:c r="A177" s="10" t="n">
        <x:v>185</x:v>
      </x:c>
      <x:c r="B177" s="2" t="str">
        <x:v>5b856ecc39301647668f</x:v>
      </x:c>
      <x:c r="C177" s="2" t="str">
        <x:v>Đà Nẵng</x:v>
      </x:c>
      <x:c r="D177" s="2" t="str">
        <x:v>Quận Ngũ Hành Sơn</x:v>
      </x:c>
      <x:c r="E177" s="2" t="str">
        <x:v>other_unknown</x:v>
      </x:c>
      <x:c r="F177" s="2" t="str">
        <x:v>sale</x:v>
      </x:c>
      <x:c r="G177" s="11" t="n">
        <x:v>104</x:v>
      </x:c>
      <x:c r="H177" s="12" t="n">
        <x:v>2500000000</x:v>
      </x:c>
      <x:c r="I177" s="12" t="n">
        <x:v>24038461.53846154</x:v>
      </x:c>
      <x:c r="J177" s="2" t="str">
        <x:v>total</x:v>
      </x:c>
      <x:c r="K177" s="2" t="str">
        <x:v>top_level_area</x:v>
      </x:c>
      <x:c r="L177" s="2" t="str">
        <x:v>property_type_inferred_from_title;unknown_property_type</x:v>
      </x:c>
      <x:c r="M177" s="10" t="n">
        <x:v>0</x:v>
      </x:c>
      <x:c r="N177" s="10" t="n">
        <x:v>0</x:v>
      </x:c>
      <x:c r="O177" s="2" t="str">
        <x:v>Đà Nẵng|other_unknown</x:v>
      </x:c>
      <x:c r="P177" s="10" t="n">
        <x:v>2</x:v>
      </x:c>
      <x:c r="Q177" s="13" t="n">
        <x:f>IF(H177="","",H177/1000000000)</x:f>
        <x:v>2.5</x:v>
      </x:c>
      <x:c r="R177" s="13" t="n">
        <x:f>IF(I177="","",I177/1000000)</x:f>
        <x:v>24.03846153846154</x:v>
      </x:c>
    </x:row>
    <x:row r="178" ht="21" customHeight="1">
      <x:c r="A178" s="10" t="n">
        <x:v>186</x:v>
      </x:c>
      <x:c r="B178" s="2" t="str">
        <x:v>17f0d092d60a9851b15c</x:v>
      </x:c>
      <x:c r="C178" s="2" t="str">
        <x:v>Đà Nẵng</x:v>
      </x:c>
      <x:c r="D178" s="2" t="str">
        <x:v>Quận Hải Châu</x:v>
      </x:c>
      <x:c r="E178" s="2" t="str">
        <x:v>house</x:v>
      </x:c>
      <x:c r="F178" s="2" t="str">
        <x:v>sale_assumed</x:v>
      </x:c>
      <x:c r="G178" s="11" t="n">
        <x:v>100</x:v>
      </x:c>
      <x:c r="H178" s="12" t="n">
        <x:v>4700000000</x:v>
      </x:c>
      <x:c r="I178" s="12" t="n">
        <x:v>47000000</x:v>
      </x:c>
      <x:c r="J178" s="2" t="str">
        <x:v>total</x:v>
      </x:c>
      <x:c r="K178" s="2" t="str">
        <x:v>top_level_area</x:v>
      </x:c>
      <x:c r="L178" s="2" t="str">
        <x:v>property_type_inferred_from_title;transaction_assumed_sale_from_dataset_context</x:v>
      </x:c>
      <x:c r="M178" s="10" t="n">
        <x:v>0</x:v>
      </x:c>
      <x:c r="N178" s="10" t="n">
        <x:v>0</x:v>
      </x:c>
      <x:c r="O178" s="2" t="str">
        <x:v>Đà Nẵng|house</x:v>
      </x:c>
      <x:c r="P178" s="10" t="n">
        <x:v>2</x:v>
      </x:c>
      <x:c r="Q178" s="13" t="n">
        <x:f>IF(H178="","",H178/1000000000)</x:f>
        <x:v>4.7</x:v>
      </x:c>
      <x:c r="R178" s="13" t="n">
        <x:f>IF(I178="","",I178/1000000)</x:f>
        <x:v>47</x:v>
      </x:c>
    </x:row>
    <x:row r="179" ht="21" customHeight="1">
      <x:c r="A179" s="10" t="n">
        <x:v>187</x:v>
      </x:c>
      <x:c r="B179" s="2" t="str">
        <x:v>60feb8f37668f24a8c7e</x:v>
      </x:c>
      <x:c r="C179" s="2" t="str">
        <x:v>Thái Bình</x:v>
      </x:c>
      <x:c r="D179" s="2" t="str">
        <x:v>Thành phố Thái Bình</x:v>
      </x:c>
      <x:c r="E179" s="2" t="str">
        <x:v>other_unknown</x:v>
      </x:c>
      <x:c r="F179" s="2" t="str">
        <x:v>sale</x:v>
      </x:c>
      <x:c r="G179" s="11" t="n">
        <x:v>100</x:v>
      </x:c>
      <x:c r="H179" s="12" t="n">
        <x:v>920000000</x:v>
      </x:c>
      <x:c r="I179" s="12" t="n">
        <x:v>9200000</x:v>
      </x:c>
      <x:c r="J179" s="2" t="str">
        <x:v>total</x:v>
      </x:c>
      <x:c r="K179" s="2" t="str">
        <x:v>top_level_area</x:v>
      </x:c>
      <x:c r="L179" s="2" t="str">
        <x:v>property_type_inferred_from_title;unknown_property_type</x:v>
      </x:c>
      <x:c r="M179" s="10" t="n">
        <x:v>0</x:v>
      </x:c>
      <x:c r="N179" s="10" t="n">
        <x:v>0</x:v>
      </x:c>
      <x:c r="O179" s="2" t="str">
        <x:v>other_unknown</x:v>
      </x:c>
      <x:c r="P179" s="10" t="n">
        <x:v>2</x:v>
      </x:c>
      <x:c r="Q179" s="13" t="n">
        <x:f>IF(H179="","",H179/1000000000)</x:f>
        <x:v>0.92</x:v>
      </x:c>
      <x:c r="R179" s="13" t="n">
        <x:f>IF(I179="","",I179/1000000)</x:f>
        <x:v>9.2</x:v>
      </x:c>
    </x:row>
    <x:row r="180" ht="21" customHeight="1">
      <x:c r="A180" s="10" t="n">
        <x:v>189</x:v>
      </x:c>
      <x:c r="B180" s="2" t="str">
        <x:v>6a8ce94eec0c113b4b42</x:v>
      </x:c>
      <x:c r="C180" s="2" t="str">
        <x:v>Tp Hồ Chí Minh</x:v>
      </x:c>
      <x:c r="D180" s="2" t="str">
        <x:v>Quận 9</x:v>
      </x:c>
      <x:c r="E180" s="2" t="str">
        <x:v>house</x:v>
      </x:c>
      <x:c r="F180" s="2" t="str">
        <x:v>sale_assumed</x:v>
      </x:c>
      <x:c r="G180" s="11" t="n">
        <x:v>52</x:v>
      </x:c>
      <x:c r="H180" s="12" t="n">
        <x:v>2600000000</x:v>
      </x:c>
      <x:c r="I180" s="12" t="n">
        <x:v>50000000</x:v>
      </x:c>
      <x:c r="J180" s="2" t="str">
        <x:v>total</x:v>
      </x:c>
      <x:c r="K180" s="2" t="str">
        <x:v>top_level_area</x:v>
      </x:c>
      <x:c r="L180" s="2" t="str">
        <x:v>property_type_inferred_from_title;transaction_assumed_sale_from_dataset_context</x:v>
      </x:c>
      <x:c r="M180" s="10" t="n">
        <x:v>0</x:v>
      </x:c>
      <x:c r="N180" s="10" t="n">
        <x:v>0</x:v>
      </x:c>
      <x:c r="O180" s="2" t="str">
        <x:v>Tp Hồ Chí Minh|house</x:v>
      </x:c>
      <x:c r="P180" s="10" t="n">
        <x:v>2</x:v>
      </x:c>
      <x:c r="Q180" s="13" t="n">
        <x:f>IF(H180="","",H180/1000000000)</x:f>
        <x:v>2.6</x:v>
      </x:c>
      <x:c r="R180" s="13" t="n">
        <x:f>IF(I180="","",I180/1000000)</x:f>
        <x:v>50</x:v>
      </x:c>
    </x:row>
    <x:row r="181" ht="21" customHeight="1">
      <x:c r="A181" s="10" t="n">
        <x:v>190</x:v>
      </x:c>
      <x:c r="B181" s="2" t="str">
        <x:v>2a2e7c690aefb02d0d73</x:v>
      </x:c>
      <x:c r="C181" s="2" t="str">
        <x:v>Tp Hồ Chí Minh</x:v>
      </x:c>
      <x:c r="D181" s="2" t="str">
        <x:v>Quận Bình Thạnh</x:v>
      </x:c>
      <x:c r="E181" s="2" t="str">
        <x:v>land</x:v>
      </x:c>
      <x:c r="F181" s="2" t="str">
        <x:v>sale_assumed</x:v>
      </x:c>
      <x:c r="G181" s="11" t="n">
        <x:v>200</x:v>
      </x:c>
      <x:c r="H181" s="12" t="n">
        <x:v>279000000</x:v>
      </x:c>
      <x:c r="I181" s="12" t="n">
        <x:v>1395000</x:v>
      </x:c>
      <x:c r="J181" s="2" t="str">
        <x:v>total</x:v>
      </x:c>
      <x:c r="K181" s="2" t="str">
        <x:v>top_level_price_embedded_area</x:v>
      </x:c>
      <x:c r="L181" s="2" t="str">
        <x:v>area_recovered_from_price_text;property_type_inferred_from_title;transaction_assumed_sale_from_dataset_context</x:v>
      </x:c>
      <x:c r="M181" s="10" t="n">
        <x:v>0</x:v>
      </x:c>
      <x:c r="N181" s="10" t="n">
        <x:v>0</x:v>
      </x:c>
      <x:c r="O181" s="2" t="str">
        <x:v>Tp Hồ Chí Minh|land</x:v>
      </x:c>
      <x:c r="P181" s="10" t="n">
        <x:v>1</x:v>
      </x:c>
      <x:c r="Q181" s="13" t="n">
        <x:f>IF(H181="","",H181/1000000000)</x:f>
        <x:v>0.279</x:v>
      </x:c>
      <x:c r="R181" s="13" t="n">
        <x:f>IF(I181="","",I181/1000000)</x:f>
        <x:v>1.395</x:v>
      </x:c>
    </x:row>
    <x:row r="182" ht="21" customHeight="1">
      <x:c r="A182" s="10" t="n">
        <x:v>191</x:v>
      </x:c>
      <x:c r="B182" s="2" t="str">
        <x:v>dd05f83bc0feca8bfbb2</x:v>
      </x:c>
      <x:c r="C182" s="2" t="str">
        <x:v>Tp Hồ Chí Minh</x:v>
      </x:c>
      <x:c r="D182" s="2" t="str">
        <x:v>Quận 9</x:v>
      </x:c>
      <x:c r="E182" s="2" t="str">
        <x:v>other_unknown</x:v>
      </x:c>
      <x:c r="F182" s="2" t="str">
        <x:v>sale_assumed</x:v>
      </x:c>
      <x:c r="G182" s="11" t="n">
        <x:v>85</x:v>
      </x:c>
      <x:c r="H182" s="12" t="n">
        <x:v>8199999999.999999</x:v>
      </x:c>
      <x:c r="I182" s="12" t="n">
        <x:v>96470588.2352941</x:v>
      </x:c>
      <x:c r="J182" s="2" t="str">
        <x:v>total</x:v>
      </x:c>
      <x:c r="K182" s="2" t="str">
        <x:v>top_level_area</x:v>
      </x:c>
      <x:c r="L182" s="2" t="str">
        <x:v>property_type_inferred_from_title;transaction_assumed_sale_from_dataset_context;unknown_property_type</x:v>
      </x:c>
      <x:c r="M182" s="10" t="n">
        <x:v>0</x:v>
      </x:c>
      <x:c r="N182" s="10" t="n">
        <x:v>0</x:v>
      </x:c>
      <x:c r="O182" s="2" t="str">
        <x:v>Tp Hồ Chí Minh|other_unknown</x:v>
      </x:c>
      <x:c r="P182" s="10" t="n">
        <x:v>2</x:v>
      </x:c>
      <x:c r="Q182" s="13" t="n">
        <x:f>IF(H182="","",H182/1000000000)</x:f>
        <x:v>8.2</x:v>
      </x:c>
      <x:c r="R182" s="13" t="n">
        <x:f>IF(I182="","",I182/1000000)</x:f>
        <x:v>96.4705882352941</x:v>
      </x:c>
    </x:row>
    <x:row r="183" ht="21" customHeight="1">
      <x:c r="A183" s="10" t="n">
        <x:v>192</x:v>
      </x:c>
      <x:c r="B183" s="2" t="str">
        <x:v>c3e000a39f704d96b2b9</x:v>
      </x:c>
      <x:c r="C183" s="2" t="str">
        <x:v>Tp Hồ Chí Minh</x:v>
      </x:c>
      <x:c r="D183" s="2" t="str">
        <x:v>Quận Thủ Đức</x:v>
      </x:c>
      <x:c r="E183" s="2" t="str">
        <x:v>other_unknown</x:v>
      </x:c>
      <x:c r="F183" s="2" t="str">
        <x:v>sale_assumed</x:v>
      </x:c>
      <x:c r="G183" s="11" t="n">
        <x:v>110</x:v>
      </x:c>
      <x:c r="H183" s="12" t="n">
        <x:v>5500000000</x:v>
      </x:c>
      <x:c r="I183" s="12" t="n">
        <x:v>50000000</x:v>
      </x:c>
      <x:c r="J183" s="2" t="str">
        <x:v>total</x:v>
      </x:c>
      <x:c r="K183" s="2" t="str">
        <x:v>top_level_area</x:v>
      </x:c>
      <x:c r="L183" s="2" t="str">
        <x:v>property_type_inferred_from_title;transaction_assumed_sale_from_dataset_context;unknown_property_type</x:v>
      </x:c>
      <x:c r="M183" s="10" t="n">
        <x:v>0</x:v>
      </x:c>
      <x:c r="N183" s="10" t="n">
        <x:v>0</x:v>
      </x:c>
      <x:c r="O183" s="2" t="str">
        <x:v>Tp Hồ Chí Minh|other_unknown</x:v>
      </x:c>
      <x:c r="P183" s="10" t="n">
        <x:v>2</x:v>
      </x:c>
      <x:c r="Q183" s="13" t="n">
        <x:f>IF(H183="","",H183/1000000000)</x:f>
        <x:v>5.5</x:v>
      </x:c>
      <x:c r="R183" s="13" t="n">
        <x:f>IF(I183="","",I183/1000000)</x:f>
        <x:v>50</x:v>
      </x:c>
    </x:row>
    <x:row r="184" ht="21" customHeight="1">
      <x:c r="A184" s="10" t="n">
        <x:v>193</x:v>
      </x:c>
      <x:c r="B184" s="2" t="str">
        <x:v>4431ff5e732c5cf2ed88</x:v>
      </x:c>
      <x:c r="C184" s="2" t="str">
        <x:v>Tây Ninh</x:v>
      </x:c>
      <x:c r="D184" s="2" t="str">
        <x:v>Huyện Gò Dầu</x:v>
      </x:c>
      <x:c r="E184" s="2" t="str">
        <x:v>land</x:v>
      </x:c>
      <x:c r="F184" s="2" t="str">
        <x:v>sale</x:v>
      </x:c>
      <x:c r="G184" s="11" t="n">
        <x:v>135</x:v>
      </x:c>
      <x:c r="H184" s="12" t="n">
        <x:v>135000000</x:v>
      </x:c>
      <x:c r="I184" s="12" t="n">
        <x:v>1000000</x:v>
      </x:c>
      <x:c r="J184" s="2" t="str">
        <x:v>total</x:v>
      </x:c>
      <x:c r="K184" s="2" t="str">
        <x:v>top_level_area</x:v>
      </x:c>
      <x:c r="L184" s="2" t="str">
        <x:v>property_type_inferred_from_title</x:v>
      </x:c>
      <x:c r="M184" s="10" t="n">
        <x:v>0</x:v>
      </x:c>
      <x:c r="N184" s="10" t="n">
        <x:v>0</x:v>
      </x:c>
      <x:c r="O184" s="2" t="str">
        <x:v>land</x:v>
      </x:c>
      <x:c r="P184" s="10" t="n">
        <x:v>1</x:v>
      </x:c>
      <x:c r="Q184" s="13" t="n">
        <x:f>IF(H184="","",H184/1000000000)</x:f>
        <x:v>0.135</x:v>
      </x:c>
      <x:c r="R184" s="13" t="n">
        <x:f>IF(I184="","",I184/1000000)</x:f>
        <x:v>1</x:v>
      </x:c>
    </x:row>
    <x:row r="185" ht="21" customHeight="1">
      <x:c r="A185" s="10" t="n">
        <x:v>194</x:v>
      </x:c>
      <x:c r="B185" s="2" t="str">
        <x:v>3096d234a85253d9f54a</x:v>
      </x:c>
      <x:c r="C185" s="2" t="str">
        <x:v>Tp Hồ Chí Minh</x:v>
      </x:c>
      <x:c r="D185" s="2" t="str">
        <x:v>Quận 7</x:v>
      </x:c>
      <x:c r="E185" s="2" t="str">
        <x:v>apartment</x:v>
      </x:c>
      <x:c r="F185" s="2" t="str">
        <x:v>sale</x:v>
      </x:c>
      <x:c r="G185" s="11" t="n">
        <x:v>81</x:v>
      </x:c>
      <x:c r="H185" s="12" t="n">
        <x:v>2750000000</x:v>
      </x:c>
      <x:c r="I185" s="12" t="n">
        <x:v>33950617.28395062</x:v>
      </x:c>
      <x:c r="J185" s="2" t="str">
        <x:v>total</x:v>
      </x:c>
      <x:c r="K185" s="2" t="str">
        <x:v>top_level_area</x:v>
      </x:c>
      <x:c r="L185" s="2" t="str">
        <x:v>property_type_inferred_from_title</x:v>
      </x:c>
      <x:c r="M185" s="10" t="n">
        <x:v>0</x:v>
      </x:c>
      <x:c r="N185" s="10" t="n">
        <x:v>0</x:v>
      </x:c>
      <x:c r="O185" s="2" t="str">
        <x:v>Tp Hồ Chí Minh|apartment</x:v>
      </x:c>
      <x:c r="P185" s="10" t="n">
        <x:v>2</x:v>
      </x:c>
      <x:c r="Q185" s="13" t="n">
        <x:f>IF(H185="","",H185/1000000000)</x:f>
        <x:v>2.75</x:v>
      </x:c>
      <x:c r="R185" s="13" t="n">
        <x:f>IF(I185="","",I185/1000000)</x:f>
        <x:v>33.95061728395062</x:v>
      </x:c>
    </x:row>
    <x:row r="186" ht="21" customHeight="1">
      <x:c r="A186" s="10" t="n">
        <x:v>195</x:v>
      </x:c>
      <x:c r="B186" s="2" t="str">
        <x:v>8402ab568b9f344982f4</x:v>
      </x:c>
      <x:c r="C186" s="2" t="str">
        <x:v>Tp Hồ Chí Minh</x:v>
      </x:c>
      <x:c r="D186" s="2" t="str">
        <x:v>Huyện Bình Chánh</x:v>
      </x:c>
      <x:c r="E186" s="2" t="str">
        <x:v>land</x:v>
      </x:c>
      <x:c r="F186" s="2" t="str">
        <x:v>sale_assumed</x:v>
      </x:c>
      <x:c r="G186" s="11" t="n">
        <x:v>40</x:v>
      </x:c>
      <x:c r="H186" s="12" t="n">
        <x:v>300000000</x:v>
      </x:c>
      <x:c r="I186" s="12" t="n">
        <x:v>7500000</x:v>
      </x:c>
      <x:c r="J186" s="2" t="str">
        <x:v>total</x:v>
      </x:c>
      <x:c r="K186" s="2" t="str">
        <x:v>top_level_area</x:v>
      </x:c>
      <x:c r="L186" s="2" t="str">
        <x:v>property_type_inferred_from_title;transaction_assumed_sale_from_dataset_context</x:v>
      </x:c>
      <x:c r="M186" s="10" t="n">
        <x:v>0</x:v>
      </x:c>
      <x:c r="N186" s="10" t="n">
        <x:v>0</x:v>
      </x:c>
      <x:c r="O186" s="2" t="str">
        <x:v>Tp Hồ Chí Minh|land</x:v>
      </x:c>
      <x:c r="P186" s="10" t="n">
        <x:v>2</x:v>
      </x:c>
      <x:c r="Q186" s="13" t="n">
        <x:f>IF(H186="","",H186/1000000000)</x:f>
        <x:v>0.3</x:v>
      </x:c>
      <x:c r="R186" s="13" t="n">
        <x:f>IF(I186="","",I186/1000000)</x:f>
        <x:v>7.5</x:v>
      </x:c>
    </x:row>
    <x:row r="187" ht="21" customHeight="1">
      <x:c r="A187" s="10" t="n">
        <x:v>196</x:v>
      </x:c>
      <x:c r="B187" s="2" t="str">
        <x:v>1b6ca4dc1c3639be1158</x:v>
      </x:c>
      <x:c r="C187" s="2" t="str">
        <x:v>Tp Hồ Chí Minh</x:v>
      </x:c>
      <x:c r="D187" s="2" t="str">
        <x:v>Huyện Hóc Môn</x:v>
      </x:c>
      <x:c r="E187" s="2" t="str">
        <x:v>other_unknown</x:v>
      </x:c>
      <x:c r="F187" s="2" t="str">
        <x:v>sale</x:v>
      </x:c>
      <x:c r="G187" s="11" t="n">
        <x:v>200</x:v>
      </x:c>
      <x:c r="H187" s="12" t="n">
        <x:v>300000000</x:v>
      </x:c>
      <x:c r="I187" s="12" t="n">
        <x:v>1500000</x:v>
      </x:c>
      <x:c r="J187" s="2" t="str">
        <x:v>total</x:v>
      </x:c>
      <x:c r="K187" s="2" t="str">
        <x:v>top_level_area</x:v>
      </x:c>
      <x:c r="L187" s="2" t="str">
        <x:v>property_type_inferred_from_title;unknown_property_type</x:v>
      </x:c>
      <x:c r="M187" s="10" t="n">
        <x:v>0</x:v>
      </x:c>
      <x:c r="N187" s="10" t="n">
        <x:v>0</x:v>
      </x:c>
      <x:c r="O187" s="2" t="str">
        <x:v>Tp Hồ Chí Minh|other_unknown</x:v>
      </x:c>
      <x:c r="P187" s="10" t="n">
        <x:v>1</x:v>
      </x:c>
      <x:c r="Q187" s="13" t="n">
        <x:f>IF(H187="","",H187/1000000000)</x:f>
        <x:v>0.3</x:v>
      </x:c>
      <x:c r="R187" s="13" t="n">
        <x:f>IF(I187="","",I187/1000000)</x:f>
        <x:v>1.5</x:v>
      </x:c>
    </x:row>
    <x:row r="188" ht="21" customHeight="1">
      <x:c r="A188" s="10" t="n">
        <x:v>197</x:v>
      </x:c>
      <x:c r="B188" s="2" t="str">
        <x:v>92c110539264690748a4</x:v>
      </x:c>
      <x:c r="C188" s="2" t="str">
        <x:v>Tp Hồ Chí Minh</x:v>
      </x:c>
      <x:c r="D188" s="2" t="str">
        <x:v>Huyện Củ Chi</x:v>
      </x:c>
      <x:c r="E188" s="2" t="str">
        <x:v>house</x:v>
      </x:c>
      <x:c r="F188" s="2" t="str">
        <x:v>sale_assumed</x:v>
      </x:c>
      <x:c r="G188" s="11" t="n">
        <x:v>60</x:v>
      </x:c>
      <x:c r="H188" s="12" t="n">
        <x:v>1900000000</x:v>
      </x:c>
      <x:c r="I188" s="12" t="n">
        <x:v>31666666.666666668</x:v>
      </x:c>
      <x:c r="J188" s="2" t="str">
        <x:v>total</x:v>
      </x:c>
      <x:c r="K188" s="2" t="str">
        <x:v>top_level_area</x:v>
      </x:c>
      <x:c r="L188" s="2" t="str">
        <x:v>property_type_inferred_from_title;transaction_assumed_sale_from_dataset_context</x:v>
      </x:c>
      <x:c r="M188" s="10" t="n">
        <x:v>0</x:v>
      </x:c>
      <x:c r="N188" s="10" t="n">
        <x:v>0</x:v>
      </x:c>
      <x:c r="O188" s="2" t="str">
        <x:v>Tp Hồ Chí Minh|house</x:v>
      </x:c>
      <x:c r="P188" s="10" t="n">
        <x:v>2</x:v>
      </x:c>
      <x:c r="Q188" s="13" t="n">
        <x:f>IF(H188="","",H188/1000000000)</x:f>
        <x:v>1.9</x:v>
      </x:c>
      <x:c r="R188" s="13" t="n">
        <x:f>IF(I188="","",I188/1000000)</x:f>
        <x:v>31.666666666666668</x:v>
      </x:c>
    </x:row>
    <x:row r="189" ht="21" customHeight="1">
      <x:c r="A189" s="10" t="n">
        <x:v>198</x:v>
      </x:c>
      <x:c r="B189" s="2" t="str">
        <x:v>f0bf33505750c77b6610</x:v>
      </x:c>
      <x:c r="C189" s="2" t="str">
        <x:v>Tp Hồ Chí Minh</x:v>
      </x:c>
      <x:c r="D189" s="2" t="str">
        <x:v>Quận 9</x:v>
      </x:c>
      <x:c r="E189" s="2" t="str">
        <x:v>other_unknown</x:v>
      </x:c>
      <x:c r="F189" s="2" t="str">
        <x:v>sale</x:v>
      </x:c>
      <x:c r="G189" s="11" t="n">
        <x:v>82</x:v>
      </x:c>
      <x:c r="H189" s="12" t="n">
        <x:v>2750000000</x:v>
      </x:c>
      <x:c r="I189" s="12" t="n">
        <x:v>33536585.36585366</x:v>
      </x:c>
      <x:c r="J189" s="2" t="str">
        <x:v>total</x:v>
      </x:c>
      <x:c r="K189" s="2" t="str">
        <x:v>top_level_area</x:v>
      </x:c>
      <x:c r="L189" s="2" t="str">
        <x:v>property_type_inferred_from_title;unknown_property_type</x:v>
      </x:c>
      <x:c r="M189" s="10" t="n">
        <x:v>0</x:v>
      </x:c>
      <x:c r="N189" s="10" t="n">
        <x:v>0</x:v>
      </x:c>
      <x:c r="O189" s="2" t="str">
        <x:v>Tp Hồ Chí Minh|other_unknown</x:v>
      </x:c>
      <x:c r="P189" s="10" t="n">
        <x:v>2</x:v>
      </x:c>
      <x:c r="Q189" s="13" t="n">
        <x:f>IF(H189="","",H189/1000000000)</x:f>
        <x:v>2.75</x:v>
      </x:c>
      <x:c r="R189" s="13" t="n">
        <x:f>IF(I189="","",I189/1000000)</x:f>
        <x:v>33.53658536585366</x:v>
      </x:c>
    </x:row>
    <x:row r="190" ht="21" customHeight="1">
      <x:c r="A190" s="10" t="n">
        <x:v>199</x:v>
      </x:c>
      <x:c r="B190" s="2" t="str">
        <x:v>93aea18f0068125e0c4d</x:v>
      </x:c>
      <x:c r="C190" s="2" t="str">
        <x:v>Tp Hồ Chí Minh</x:v>
      </x:c>
      <x:c r="D190" s="2" t="str">
        <x:v>Quận 12</x:v>
      </x:c>
      <x:c r="E190" s="2" t="str">
        <x:v>house</x:v>
      </x:c>
      <x:c r="F190" s="2" t="str">
        <x:v>sale_with_rental_income</x:v>
      </x:c>
      <x:c r="G190" s="11" t="n">
        <x:v>40</x:v>
      </x:c>
      <x:c r="H190" s="12" t="n">
        <x:v>789000000</x:v>
      </x:c>
      <x:c r="I190" s="12" t="n">
        <x:v>19725000</x:v>
      </x:c>
      <x:c r="J190" s="2" t="str">
        <x:v>total</x:v>
      </x:c>
      <x:c r="K190" s="2" t="str">
        <x:v>top_level_price_embedded_area</x:v>
      </x:c>
      <x:c r="L190" s="2" t="str">
        <x:v>area_recovered_from_price_text;property_type_inferred_from_title;rental_income_mentioned</x:v>
      </x:c>
      <x:c r="M190" s="10" t="n">
        <x:v>0</x:v>
      </x:c>
      <x:c r="N190" s="10" t="n">
        <x:v>0</x:v>
      </x:c>
      <x:c r="O190" s="2" t="str">
        <x:v>Tp Hồ Chí Minh|house</x:v>
      </x:c>
      <x:c r="P190" s="10" t="n">
        <x:v>2</x:v>
      </x:c>
      <x:c r="Q190" s="13" t="n">
        <x:f>IF(H190="","",H190/1000000000)</x:f>
        <x:v>0.789</x:v>
      </x:c>
      <x:c r="R190" s="13" t="n">
        <x:f>IF(I190="","",I190/1000000)</x:f>
        <x:v>19.725</x:v>
      </x:c>
    </x:row>
    <x:row r="191" ht="21" customHeight="1">
      <x:c r="A191" s="10" t="n">
        <x:v>200</x:v>
      </x:c>
      <x:c r="B191" s="2" t="str">
        <x:v>38e1a72f21e2ab6fcc2b</x:v>
      </x:c>
      <x:c r="C191" s="2" t="str">
        <x:v>Đà Nẵng</x:v>
      </x:c>
      <x:c r="D191" s="2" t="str">
        <x:v>Quận Thanh Khê</x:v>
      </x:c>
      <x:c r="E191" s="2" t="str">
        <x:v>house</x:v>
      </x:c>
      <x:c r="F191" s="2" t="str">
        <x:v>sale_assumed</x:v>
      </x:c>
      <x:c r="G191" s="11" t="n">
        <x:v>32</x:v>
      </x:c>
      <x:c r="H191" s="12" t="n">
        <x:v>1650000000</x:v>
      </x:c>
      <x:c r="I191" s="12" t="n">
        <x:v>51562500</x:v>
      </x:c>
      <x:c r="J191" s="2" t="str">
        <x:v>total</x:v>
      </x:c>
      <x:c r="K191" s="2" t="str">
        <x:v>top_level_area</x:v>
      </x:c>
      <x:c r="L191" s="2" t="str">
        <x:v>property_type_inferred_from_title;transaction_assumed_sale_from_dataset_context</x:v>
      </x:c>
      <x:c r="M191" s="10" t="n">
        <x:v>0</x:v>
      </x:c>
      <x:c r="N191" s="10" t="n">
        <x:v>0</x:v>
      </x:c>
      <x:c r="O191" s="2" t="str">
        <x:v>Đà Nẵng|house</x:v>
      </x:c>
      <x:c r="P191" s="10" t="n">
        <x:v>2</x:v>
      </x:c>
      <x:c r="Q191" s="13" t="n">
        <x:f>IF(H191="","",H191/1000000000)</x:f>
        <x:v>1.65</x:v>
      </x:c>
      <x:c r="R191" s="13" t="n">
        <x:f>IF(I191="","",I191/1000000)</x:f>
        <x:v>51.5625</x:v>
      </x:c>
    </x:row>
    <x:row r="192" ht="21" customHeight="1">
      <x:c r="A192" s="10" t="n">
        <x:v>201</x:v>
      </x:c>
      <x:c r="B192" s="2" t="str">
        <x:v>1860a28318d81b7d0ae9</x:v>
      </x:c>
      <x:c r="C192" s="2" t="str">
        <x:v>Cần Thơ</x:v>
      </x:c>
      <x:c r="D192" s="2" t="str">
        <x:v>Quận Bình Thuỷ</x:v>
      </x:c>
      <x:c r="E192" s="2" t="str">
        <x:v>land</x:v>
      </x:c>
      <x:c r="F192" s="2" t="str">
        <x:v>sale</x:v>
      </x:c>
      <x:c r="G192" s="11" t="n">
        <x:v>150</x:v>
      </x:c>
      <x:c r="H192" s="12" t="n">
        <x:v>320000000</x:v>
      </x:c>
      <x:c r="I192" s="12" t="n">
        <x:v>2133333.3333333335</x:v>
      </x:c>
      <x:c r="J192" s="2" t="str">
        <x:v>total</x:v>
      </x:c>
      <x:c r="K192" s="2" t="str">
        <x:v>top_level_area</x:v>
      </x:c>
      <x:c r="L192" s="2" t="str">
        <x:v>property_type_inferred_from_title</x:v>
      </x:c>
      <x:c r="M192" s="10" t="n">
        <x:v>0</x:v>
      </x:c>
      <x:c r="N192" s="10" t="n">
        <x:v>0</x:v>
      </x:c>
      <x:c r="O192" s="2" t="str">
        <x:v>Cần Thơ|land</x:v>
      </x:c>
      <x:c r="P192" s="10" t="n">
        <x:v>1</x:v>
      </x:c>
      <x:c r="Q192" s="13" t="n">
        <x:f>IF(H192="","",H192/1000000000)</x:f>
        <x:v>0.32</x:v>
      </x:c>
      <x:c r="R192" s="13" t="n">
        <x:f>IF(I192="","",I192/1000000)</x:f>
        <x:v>2.1333333333333333</x:v>
      </x:c>
    </x:row>
    <x:row r="193" ht="21" customHeight="1">
      <x:c r="A193" s="10" t="n">
        <x:v>202</x:v>
      </x:c>
      <x:c r="B193" s="2" t="str">
        <x:v>b7654e81dfa4ee613500</x:v>
      </x:c>
      <x:c r="C193" s="2" t="str">
        <x:v>Cần Thơ</x:v>
      </x:c>
      <x:c r="D193" s="2" t="str">
        <x:v>Quận Ninh Kiều</x:v>
      </x:c>
      <x:c r="E193" s="2" t="str">
        <x:v>land</x:v>
      </x:c>
      <x:c r="F193" s="2" t="str">
        <x:v>sale</x:v>
      </x:c>
      <x:c r="G193" s="11" t="n">
        <x:v>4084</x:v>
      </x:c>
      <x:c r="H193" s="12" t="n">
        <x:v>5300000000</x:v>
      </x:c>
      <x:c r="I193" s="12" t="n">
        <x:v>1297747.306562194</x:v>
      </x:c>
      <x:c r="J193" s="2" t="str">
        <x:v>total</x:v>
      </x:c>
      <x:c r="K193" s="2" t="str">
        <x:v>top_level_area</x:v>
      </x:c>
      <x:c r="L193" s="2" t="str">
        <x:v>dot_thousands_convention;property_type_inferred_from_title</x:v>
      </x:c>
      <x:c r="M193" s="10" t="n">
        <x:v>0</x:v>
      </x:c>
      <x:c r="N193" s="10" t="n">
        <x:v>0</x:v>
      </x:c>
      <x:c r="O193" s="2" t="str">
        <x:v>Cần Thơ|land</x:v>
      </x:c>
      <x:c r="P193" s="10" t="n">
        <x:v>1</x:v>
      </x:c>
      <x:c r="Q193" s="13" t="n">
        <x:f>IF(H193="","",H193/1000000000)</x:f>
        <x:v>5.3</x:v>
      </x:c>
      <x:c r="R193" s="13" t="n">
        <x:f>IF(I193="","",I193/1000000)</x:f>
        <x:v>1.2977473065621938</x:v>
      </x:c>
    </x:row>
    <x:row r="194" ht="21" customHeight="1">
      <x:c r="A194" s="10" t="n">
        <x:v>203</x:v>
      </x:c>
      <x:c r="B194" s="2" t="str">
        <x:v>99157aa87f1e0c9145bb</x:v>
      </x:c>
      <x:c r="C194" s="2" t="str">
        <x:v>Tp Hồ Chí Minh</x:v>
      </x:c>
      <x:c r="D194" s="2" t="str">
        <x:v>Quận Bình Tân</x:v>
      </x:c>
      <x:c r="E194" s="2" t="str">
        <x:v>house</x:v>
      </x:c>
      <x:c r="F194" s="2" t="str">
        <x:v>sale_assumed</x:v>
      </x:c>
      <x:c r="G194" s="11" t="n">
        <x:v>90</x:v>
      </x:c>
      <x:c r="H194" s="12" t="n">
        <x:v>4450000000</x:v>
      </x:c>
      <x:c r="I194" s="12" t="n">
        <x:v>49444444.44444445</x:v>
      </x:c>
      <x:c r="J194" s="2" t="str">
        <x:v>total</x:v>
      </x:c>
      <x:c r="K194" s="2" t="str">
        <x:v>top_level_area</x:v>
      </x:c>
      <x:c r="L194" s="2" t="str">
        <x:v>property_type_inferred_from_title;transaction_assumed_sale_from_dataset_context</x:v>
      </x:c>
      <x:c r="M194" s="10" t="n">
        <x:v>0</x:v>
      </x:c>
      <x:c r="N194" s="10" t="n">
        <x:v>0</x:v>
      </x:c>
      <x:c r="O194" s="2" t="str">
        <x:v>Tp Hồ Chí Minh|house</x:v>
      </x:c>
      <x:c r="P194" s="10" t="n">
        <x:v>2</x:v>
      </x:c>
      <x:c r="Q194" s="13" t="n">
        <x:f>IF(H194="","",H194/1000000000)</x:f>
        <x:v>4.45</x:v>
      </x:c>
      <x:c r="R194" s="13" t="n">
        <x:f>IF(I194="","",I194/1000000)</x:f>
        <x:v>49.44444444444445</x:v>
      </x:c>
    </x:row>
    <x:row r="195" ht="21" customHeight="1">
      <x:c r="A195" s="10" t="n">
        <x:v>204</x:v>
      </x:c>
      <x:c r="B195" s="2" t="str">
        <x:v>3060f279ceb583f32e33</x:v>
      </x:c>
      <x:c r="C195" s="2" t="str">
        <x:v>Tp Hồ Chí Minh</x:v>
      </x:c>
      <x:c r="D195" s="2" t="str">
        <x:v>Quận Gò Vấp</x:v>
      </x:c>
      <x:c r="E195" s="2" t="str">
        <x:v>house</x:v>
      </x:c>
      <x:c r="F195" s="2" t="str">
        <x:v>sale_assumed</x:v>
      </x:c>
      <x:c r="G195" s="11" t="n">
        <x:v>43</x:v>
      </x:c>
      <x:c r="H195" s="12" t="n">
        <x:v>4000000000</x:v>
      </x:c>
      <x:c r="I195" s="12" t="n">
        <x:v>93023255.81395349</x:v>
      </x:c>
      <x:c r="J195" s="2" t="str">
        <x:v>total</x:v>
      </x:c>
      <x:c r="K195" s="2" t="str">
        <x:v>top_level_price_embedded_area</x:v>
      </x:c>
      <x:c r="L195" s="2" t="str">
        <x:v>area_recovered_from_price_text;property_type_inferred_from_title;transaction_assumed_sale_from_dataset_context</x:v>
      </x:c>
      <x:c r="M195" s="10" t="n">
        <x:v>0</x:v>
      </x:c>
      <x:c r="N195" s="10" t="n">
        <x:v>0</x:v>
      </x:c>
      <x:c r="O195" s="2" t="str">
        <x:v>Tp Hồ Chí Minh|house</x:v>
      </x:c>
      <x:c r="P195" s="10" t="n">
        <x:v>2</x:v>
      </x:c>
      <x:c r="Q195" s="13" t="n">
        <x:f>IF(H195="","",H195/1000000000)</x:f>
        <x:v>4</x:v>
      </x:c>
      <x:c r="R195" s="13" t="n">
        <x:f>IF(I195="","",I195/1000000)</x:f>
        <x:v>93.02325581395348</x:v>
      </x:c>
    </x:row>
    <x:row r="196" ht="21" customHeight="1">
      <x:c r="A196" s="10" t="n">
        <x:v>205</x:v>
      </x:c>
      <x:c r="B196" s="2" t="str">
        <x:v>f9408f38c84c50e3eb86</x:v>
      </x:c>
      <x:c r="C196" s="2" t="str">
        <x:v>Tp Hồ Chí Minh</x:v>
      </x:c>
      <x:c r="D196" s="2" t="str">
        <x:v>Huyện Hóc Môn</x:v>
      </x:c>
      <x:c r="E196" s="2" t="str">
        <x:v>house</x:v>
      </x:c>
      <x:c r="F196" s="2" t="str">
        <x:v>sale</x:v>
      </x:c>
      <x:c r="G196" s="11" t="n">
        <x:v>27</x:v>
      </x:c>
      <x:c r="H196" s="12" t="n">
        <x:v>1850000000</x:v>
      </x:c>
      <x:c r="I196" s="12" t="n">
        <x:v>68518518.51851852</x:v>
      </x:c>
      <x:c r="J196" s="2" t="str">
        <x:v>total</x:v>
      </x:c>
      <x:c r="K196" s="2" t="str">
        <x:v>top_level_area</x:v>
      </x:c>
      <x:c r="L196" s="2" t="str">
        <x:v>property_type_inferred_from_title</x:v>
      </x:c>
      <x:c r="M196" s="10" t="n">
        <x:v>0</x:v>
      </x:c>
      <x:c r="N196" s="10" t="n">
        <x:v>0</x:v>
      </x:c>
      <x:c r="O196" s="2" t="str">
        <x:v>Tp Hồ Chí Minh|house</x:v>
      </x:c>
      <x:c r="P196" s="10" t="n">
        <x:v>2</x:v>
      </x:c>
      <x:c r="Q196" s="13" t="n">
        <x:f>IF(H196="","",H196/1000000000)</x:f>
        <x:v>1.85</x:v>
      </x:c>
      <x:c r="R196" s="13" t="n">
        <x:f>IF(I196="","",I196/1000000)</x:f>
        <x:v>68.51851851851852</x:v>
      </x:c>
    </x:row>
    <x:row r="197" ht="21" customHeight="1">
      <x:c r="A197" s="10" t="n">
        <x:v>206</x:v>
      </x:c>
      <x:c r="B197" s="2" t="str">
        <x:v>e0857eb21fa2bcbb5a83</x:v>
      </x:c>
      <x:c r="C197" s="2" t="str">
        <x:v>Tp Hồ Chí Minh</x:v>
      </x:c>
      <x:c r="D197" s="2" t="str">
        <x:v>Quận Gò Vấp</x:v>
      </x:c>
      <x:c r="E197" s="2" t="str">
        <x:v>house</x:v>
      </x:c>
      <x:c r="F197" s="2" t="str">
        <x:v>sale</x:v>
      </x:c>
      <x:c r="G197" s="11" t="n">
        <x:v>41</x:v>
      </x:c>
      <x:c r="H197" s="12" t="n">
        <x:v>1750000000</x:v>
      </x:c>
      <x:c r="I197" s="12" t="n">
        <x:v>42682926.82926829</x:v>
      </x:c>
      <x:c r="J197" s="2" t="str">
        <x:v>total</x:v>
      </x:c>
      <x:c r="K197" s="2" t="str">
        <x:v>top_level_area</x:v>
      </x:c>
      <x:c r="L197" s="2" t="str">
        <x:v>property_type_inferred_from_title</x:v>
      </x:c>
      <x:c r="M197" s="10" t="n">
        <x:v>0</x:v>
      </x:c>
      <x:c r="N197" s="10" t="n">
        <x:v>0</x:v>
      </x:c>
      <x:c r="O197" s="2" t="str">
        <x:v>Tp Hồ Chí Minh|house</x:v>
      </x:c>
      <x:c r="P197" s="10" t="n">
        <x:v>2</x:v>
      </x:c>
      <x:c r="Q197" s="13" t="n">
        <x:f>IF(H197="","",H197/1000000000)</x:f>
        <x:v>1.75</x:v>
      </x:c>
      <x:c r="R197" s="13" t="n">
        <x:f>IF(I197="","",I197/1000000)</x:f>
        <x:v>42.68292682926829</x:v>
      </x:c>
    </x:row>
    <x:row r="198" ht="21" customHeight="1">
      <x:c r="A198" s="10" t="n">
        <x:v>207</x:v>
      </x:c>
      <x:c r="B198" s="2" t="str">
        <x:v>f697784dfe1ddbdf5683</x:v>
      </x:c>
      <x:c r="C198" s="2" t="str">
        <x:v>Long An</x:v>
      </x:c>
      <x:c r="D198" s="2" t="str">
        <x:v>Huyện Đức Hòa</x:v>
      </x:c>
      <x:c r="E198" s="2" t="str">
        <x:v>land</x:v>
      </x:c>
      <x:c r="F198" s="2" t="str">
        <x:v>sale</x:v>
      </x:c>
      <x:c r="G198" s="11" t="n">
        <x:v>542</x:v>
      </x:c>
      <x:c r="H198" s="12" t="n">
        <x:v>700000000</x:v>
      </x:c>
      <x:c r="I198" s="12" t="n">
        <x:v>1291512.9151291512</x:v>
      </x:c>
      <x:c r="J198" s="2" t="str">
        <x:v>total</x:v>
      </x:c>
      <x:c r="K198" s="2" t="str">
        <x:v>top_level_area</x:v>
      </x:c>
      <x:c r="L198" s="2" t="str">
        <x:v>property_type_inferred_from_title</x:v>
      </x:c>
      <x:c r="M198" s="10" t="n">
        <x:v>0</x:v>
      </x:c>
      <x:c r="N198" s="10" t="n">
        <x:v>0</x:v>
      </x:c>
      <x:c r="O198" s="2" t="str">
        <x:v>Long An|land</x:v>
      </x:c>
      <x:c r="P198" s="10" t="n">
        <x:v>1</x:v>
      </x:c>
      <x:c r="Q198" s="13" t="n">
        <x:f>IF(H198="","",H198/1000000000)</x:f>
        <x:v>0.7</x:v>
      </x:c>
      <x:c r="R198" s="13" t="n">
        <x:f>IF(I198="","",I198/1000000)</x:f>
        <x:v>1.2915129151291511</x:v>
      </x:c>
    </x:row>
    <x:row r="199" ht="21" customHeight="1">
      <x:c r="A199" s="10" t="n">
        <x:v>208</x:v>
      </x:c>
      <x:c r="B199" s="2" t="str">
        <x:v>b012708beb3d9c7b698b</x:v>
      </x:c>
      <x:c r="C199" s="2" t="str">
        <x:v>Đồng Nai</x:v>
      </x:c>
      <x:c r="D199" s="2" t="str">
        <x:v>Huyện Long Thành</x:v>
      </x:c>
      <x:c r="E199" s="2" t="str">
        <x:v>land</x:v>
      </x:c>
      <x:c r="F199" s="2" t="str">
        <x:v>sale_assumed</x:v>
      </x:c>
      <x:c r="G199" s="11" t="n">
        <x:v>100</x:v>
      </x:c>
      <x:c r="H199" s="12" t="n">
        <x:v>1700000000</x:v>
      </x:c>
      <x:c r="I199" s="12" t="n">
        <x:v>17000000</x:v>
      </x:c>
      <x:c r="J199" s="2" t="str">
        <x:v>total</x:v>
      </x:c>
      <x:c r="K199" s="2" t="str">
        <x:v>top_level_area</x:v>
      </x:c>
      <x:c r="L199" s="2" t="str">
        <x:v>property_type_inferred_from_title;transaction_assumed_sale_from_dataset_context</x:v>
      </x:c>
      <x:c r="M199" s="10" t="n">
        <x:v>0</x:v>
      </x:c>
      <x:c r="N199" s="10" t="n">
        <x:v>0</x:v>
      </x:c>
      <x:c r="O199" s="2" t="str">
        <x:v>Đồng Nai|land</x:v>
      </x:c>
      <x:c r="P199" s="10" t="n">
        <x:v>2</x:v>
      </x:c>
      <x:c r="Q199" s="13" t="n">
        <x:f>IF(H199="","",H199/1000000000)</x:f>
        <x:v>1.7</x:v>
      </x:c>
      <x:c r="R199" s="13" t="n">
        <x:f>IF(I199="","",I199/1000000)</x:f>
        <x:v>17</x:v>
      </x:c>
    </x:row>
    <x:row r="200" ht="21" customHeight="1">
      <x:c r="A200" s="10" t="n">
        <x:v>210</x:v>
      </x:c>
      <x:c r="B200" s="2" t="str">
        <x:v>9bf0962bd1200128c56d</x:v>
      </x:c>
      <x:c r="C200" s="2" t="str">
        <x:v>Tp Hồ Chí Minh</x:v>
      </x:c>
      <x:c r="D200" s="2" t="str">
        <x:v>Huyện Bình Chánh</x:v>
      </x:c>
      <x:c r="E200" s="2" t="str">
        <x:v>land</x:v>
      </x:c>
      <x:c r="F200" s="2" t="str">
        <x:v>sale</x:v>
      </x:c>
      <x:c r="G200" s="11" t="n">
        <x:v>2246</x:v>
      </x:c>
      <x:c r="H200" s="12" t="n">
        <x:v>15000000000</x:v>
      </x:c>
      <x:c r="I200" s="12" t="n">
        <x:v>6678539.626001781</x:v>
      </x:c>
      <x:c r="J200" s="2" t="str">
        <x:v>total</x:v>
      </x:c>
      <x:c r="K200" s="2" t="str">
        <x:v>top_level_area</x:v>
      </x:c>
      <x:c r="L200" s="2" t="str">
        <x:v>dot_thousands_convention;property_type_inferred_from_title</x:v>
      </x:c>
      <x:c r="M200" s="10" t="n">
        <x:v>0</x:v>
      </x:c>
      <x:c r="N200" s="10" t="n">
        <x:v>0</x:v>
      </x:c>
      <x:c r="O200" s="2" t="str">
        <x:v>Tp Hồ Chí Minh|land</x:v>
      </x:c>
      <x:c r="P200" s="10" t="n">
        <x:v>1</x:v>
      </x:c>
      <x:c r="Q200" s="13" t="n">
        <x:f>IF(H200="","",H200/1000000000)</x:f>
        <x:v>15</x:v>
      </x:c>
      <x:c r="R200" s="13" t="n">
        <x:f>IF(I200="","",I200/1000000)</x:f>
        <x:v>6.678539626001781</x:v>
      </x:c>
    </x:row>
    <x:row r="201" ht="21" customHeight="1">
      <x:c r="A201" s="10" t="n">
        <x:v>211</x:v>
      </x:c>
      <x:c r="B201" s="2" t="str">
        <x:v>17984ff7d5aa2934e104</x:v>
      </x:c>
      <x:c r="C201" s="2" t="str">
        <x:v>Chưa xác định</x:v>
      </x:c>
      <x:c r="D201" s="2" t="str">
        <x:v>Chưa xác định</x:v>
      </x:c>
      <x:c r="E201" s="2" t="str">
        <x:v>other_unknown</x:v>
      </x:c>
      <x:c r="F201" s="2" t="str">
        <x:v>sale_assumed</x:v>
      </x:c>
      <x:c r="G201" s="11" t="n">
        <x:v>112</x:v>
      </x:c>
      <x:c r="H201" s="12" t="n">
        <x:v>1600000000</x:v>
      </x:c>
      <x:c r="I201" s="12" t="n">
        <x:v>14285714.285714285</x:v>
      </x:c>
      <x:c r="J201" s="2" t="str">
        <x:v>total</x:v>
      </x:c>
      <x:c r="K201" s="2" t="str">
        <x:v>top_level_area</x:v>
      </x:c>
      <x:c r="L201" s="2" t="str">
        <x:v>property_type_inferred_from_title;transaction_assumed_sale_from_dataset_context;unknown_district;unknown_property_type;unknown_province</x:v>
      </x:c>
      <x:c r="M201" s="10" t="n">
        <x:v>0</x:v>
      </x:c>
      <x:c r="N201" s="10" t="n">
        <x:v>0</x:v>
      </x:c>
      <x:c r="O201" s="2" t="str">
        <x:v>other_unknown</x:v>
      </x:c>
      <x:c r="P201" s="10" t="n">
        <x:v>2</x:v>
      </x:c>
      <x:c r="Q201" s="13" t="n">
        <x:f>IF(H201="","",H201/1000000000)</x:f>
        <x:v>1.6</x:v>
      </x:c>
      <x:c r="R201" s="13" t="n">
        <x:f>IF(I201="","",I201/1000000)</x:f>
        <x:v>14.285714285714285</x:v>
      </x:c>
    </x:row>
    <x:row r="202" ht="21" customHeight="1">
      <x:c r="A202" s="10" t="n">
        <x:v>213</x:v>
      </x:c>
      <x:c r="B202" s="2" t="str">
        <x:v>a960e94f19c4eed4d96e</x:v>
      </x:c>
      <x:c r="C202" s="2" t="str">
        <x:v>Tp Hồ Chí Minh</x:v>
      </x:c>
      <x:c r="D202" s="2" t="str">
        <x:v>Quận 9</x:v>
      </x:c>
      <x:c r="E202" s="2" t="str">
        <x:v>land</x:v>
      </x:c>
      <x:c r="F202" s="2" t="str">
        <x:v>sale_assumed</x:v>
      </x:c>
      <x:c r="G202" s="11" t="n">
        <x:v>60.5</x:v>
      </x:c>
      <x:c r="H202" s="12" t="n">
        <x:v>896000000</x:v>
      </x:c>
      <x:c r="I202" s="12" t="n">
        <x:v>14809917.3553719</x:v>
      </x:c>
      <x:c r="J202" s="2" t="str">
        <x:v>total</x:v>
      </x:c>
      <x:c r="K202" s="2" t="str">
        <x:v>top_level_area</x:v>
      </x:c>
      <x:c r="L202" s="2" t="str">
        <x:v>property_type_inferred_from_title;transaction_assumed_sale_from_dataset_context</x:v>
      </x:c>
      <x:c r="M202" s="10" t="n">
        <x:v>0</x:v>
      </x:c>
      <x:c r="N202" s="10" t="n">
        <x:v>0</x:v>
      </x:c>
      <x:c r="O202" s="2" t="str">
        <x:v>Tp Hồ Chí Minh|land</x:v>
      </x:c>
      <x:c r="P202" s="10" t="n">
        <x:v>2</x:v>
      </x:c>
      <x:c r="Q202" s="13" t="n">
        <x:f>IF(H202="","",H202/1000000000)</x:f>
        <x:v>0.896</x:v>
      </x:c>
      <x:c r="R202" s="13" t="n">
        <x:f>IF(I202="","",I202/1000000)</x:f>
        <x:v>14.8099173553719</x:v>
      </x:c>
    </x:row>
    <x:row r="203" ht="21" customHeight="1">
      <x:c r="A203" s="10" t="n">
        <x:v>214</x:v>
      </x:c>
      <x:c r="B203" s="2" t="str">
        <x:v>e8ae329041cf370739cb</x:v>
      </x:c>
      <x:c r="C203" s="2" t="str">
        <x:v>Bình Dương</x:v>
      </x:c>
      <x:c r="D203" s="2" t="str">
        <x:v>Huyện Bàu Bàng</x:v>
      </x:c>
      <x:c r="E203" s="2" t="str">
        <x:v>other_unknown</x:v>
      </x:c>
      <x:c r="F203" s="2" t="str">
        <x:v>sale_assumed</x:v>
      </x:c>
      <x:c r="G203" s="11" t="n">
        <x:v>150</x:v>
      </x:c>
      <x:c r="H203" s="12" t="n">
        <x:v>650000000</x:v>
      </x:c>
      <x:c r="I203" s="12" t="n">
        <x:v>4333333.333333333</x:v>
      </x:c>
      <x:c r="J203" s="2" t="str">
        <x:v>total</x:v>
      </x:c>
      <x:c r="K203" s="2" t="str">
        <x:v>top_level_area</x:v>
      </x:c>
      <x:c r="L203" s="2" t="str">
        <x:v>property_type_inferred_from_title;transaction_assumed_sale_from_dataset_context;unknown_property_type</x:v>
      </x:c>
      <x:c r="M203" s="10" t="n">
        <x:v>0</x:v>
      </x:c>
      <x:c r="N203" s="10" t="n">
        <x:v>0</x:v>
      </x:c>
      <x:c r="O203" s="2" t="str">
        <x:v>Bình Dương|other_unknown</x:v>
      </x:c>
      <x:c r="P203" s="10" t="n">
        <x:v>1</x:v>
      </x:c>
      <x:c r="Q203" s="13" t="n">
        <x:f>IF(H203="","",H203/1000000000)</x:f>
        <x:v>0.65</x:v>
      </x:c>
      <x:c r="R203" s="13" t="n">
        <x:f>IF(I203="","",I203/1000000)</x:f>
        <x:v>4.333333333333333</x:v>
      </x:c>
    </x:row>
    <x:row r="204" ht="21" customHeight="1">
      <x:c r="A204" s="10" t="n">
        <x:v>215</x:v>
      </x:c>
      <x:c r="B204" s="2" t="str">
        <x:v>4af818284096af93d768</x:v>
      </x:c>
      <x:c r="C204" s="2" t="str">
        <x:v>Tp Hồ Chí Minh</x:v>
      </x:c>
      <x:c r="D204" s="2" t="str">
        <x:v>Quận Bình Tân</x:v>
      </x:c>
      <x:c r="E204" s="2" t="str">
        <x:v>house</x:v>
      </x:c>
      <x:c r="F204" s="2" t="str">
        <x:v>sale</x:v>
      </x:c>
      <x:c r="G204" s="11" t="n">
        <x:v>32</x:v>
      </x:c>
      <x:c r="H204" s="12" t="n">
        <x:v>2580000000</x:v>
      </x:c>
      <x:c r="I204" s="12" t="n">
        <x:v>80625000</x:v>
      </x:c>
      <x:c r="J204" s="2" t="str">
        <x:v>total</x:v>
      </x:c>
      <x:c r="K204" s="2" t="str">
        <x:v>top_level_price_embedded_area</x:v>
      </x:c>
      <x:c r="L204" s="2" t="str">
        <x:v>area_recovered_from_price_text;property_type_inferred_from_title</x:v>
      </x:c>
      <x:c r="M204" s="10" t="n">
        <x:v>0</x:v>
      </x:c>
      <x:c r="N204" s="10" t="n">
        <x:v>0</x:v>
      </x:c>
      <x:c r="O204" s="2" t="str">
        <x:v>Tp Hồ Chí Minh|house</x:v>
      </x:c>
      <x:c r="P204" s="10" t="n">
        <x:v>2</x:v>
      </x:c>
      <x:c r="Q204" s="13" t="n">
        <x:f>IF(H204="","",H204/1000000000)</x:f>
        <x:v>2.58</x:v>
      </x:c>
      <x:c r="R204" s="13" t="n">
        <x:f>IF(I204="","",I204/1000000)</x:f>
        <x:v>80.625</x:v>
      </x:c>
    </x:row>
    <x:row r="205" ht="21" customHeight="1">
      <x:c r="A205" s="10" t="n">
        <x:v>216</x:v>
      </x:c>
      <x:c r="B205" s="2" t="str">
        <x:v>a7f9a5e09a88841f8f4f</x:v>
      </x:c>
      <x:c r="C205" s="2" t="str">
        <x:v>Đồng Nai</x:v>
      </x:c>
      <x:c r="D205" s="2" t="str">
        <x:v>Thành phố Biên Hòa</x:v>
      </x:c>
      <x:c r="E205" s="2" t="str">
        <x:v>house</x:v>
      </x:c>
      <x:c r="F205" s="2" t="str">
        <x:v>sale_assumed</x:v>
      </x:c>
      <x:c r="G205" s="11" t="n">
        <x:v>234</x:v>
      </x:c>
      <x:c r="H205" s="12" t="n">
        <x:v>3600000000</x:v>
      </x:c>
      <x:c r="I205" s="12" t="n">
        <x:v>15384615.384615384</x:v>
      </x:c>
      <x:c r="J205" s="2" t="str">
        <x:v>total</x:v>
      </x:c>
      <x:c r="K205" s="2" t="str">
        <x:v>top_level_area</x:v>
      </x:c>
      <x:c r="L205" s="2" t="str">
        <x:v>property_type_inferred_from_title;transaction_assumed_sale_from_dataset_context</x:v>
      </x:c>
      <x:c r="M205" s="10" t="n">
        <x:v>0</x:v>
      </x:c>
      <x:c r="N205" s="10" t="n">
        <x:v>0</x:v>
      </x:c>
      <x:c r="O205" s="2" t="str">
        <x:v>Đồng Nai|house</x:v>
      </x:c>
      <x:c r="P205" s="10" t="n">
        <x:v>2</x:v>
      </x:c>
      <x:c r="Q205" s="13" t="n">
        <x:f>IF(H205="","",H205/1000000000)</x:f>
        <x:v>3.6</x:v>
      </x:c>
      <x:c r="R205" s="13" t="n">
        <x:f>IF(I205="","",I205/1000000)</x:f>
        <x:v>15.384615384615383</x:v>
      </x:c>
    </x:row>
    <x:row r="206" ht="21" customHeight="1">
      <x:c r="A206" s="10" t="n">
        <x:v>217</x:v>
      </x:c>
      <x:c r="B206" s="2" t="str">
        <x:v>ed0c8d4083504f312bf9</x:v>
      </x:c>
      <x:c r="C206" s="2" t="str">
        <x:v>Tp Hồ Chí Minh</x:v>
      </x:c>
      <x:c r="D206" s="2" t="str">
        <x:v>Quận Tân Phú</x:v>
      </x:c>
      <x:c r="E206" s="2" t="str">
        <x:v>house</x:v>
      </x:c>
      <x:c r="F206" s="2" t="str">
        <x:v>sale</x:v>
      </x:c>
      <x:c r="G206" s="11" t="n">
        <x:v>40</x:v>
      </x:c>
      <x:c r="H206" s="12" t="n">
        <x:v>3850000000</x:v>
      </x:c>
      <x:c r="I206" s="12" t="n">
        <x:v>96250000</x:v>
      </x:c>
      <x:c r="J206" s="2" t="str">
        <x:v>total</x:v>
      </x:c>
      <x:c r="K206" s="2" t="str">
        <x:v>top_level_area</x:v>
      </x:c>
      <x:c r="L206" s="2" t="str">
        <x:v>property_type_inferred_from_title</x:v>
      </x:c>
      <x:c r="M206" s="10" t="n">
        <x:v>0</x:v>
      </x:c>
      <x:c r="N206" s="10" t="n">
        <x:v>0</x:v>
      </x:c>
      <x:c r="O206" s="2" t="str">
        <x:v>Tp Hồ Chí Minh|house</x:v>
      </x:c>
      <x:c r="P206" s="10" t="n">
        <x:v>2</x:v>
      </x:c>
      <x:c r="Q206" s="13" t="n">
        <x:f>IF(H206="","",H206/1000000000)</x:f>
        <x:v>3.85</x:v>
      </x:c>
      <x:c r="R206" s="13" t="n">
        <x:f>IF(I206="","",I206/1000000)</x:f>
        <x:v>96.25</x:v>
      </x:c>
    </x:row>
    <x:row r="207" ht="21" customHeight="1">
      <x:c r="A207" s="10" t="n">
        <x:v>218</x:v>
      </x:c>
      <x:c r="B207" s="2" t="str">
        <x:v>948cc844b53e5079f40f</x:v>
      </x:c>
      <x:c r="C207" s="2" t="str">
        <x:v>Tp Hồ Chí Minh</x:v>
      </x:c>
      <x:c r="D207" s="2" t="str">
        <x:v>Huyện Củ Chi</x:v>
      </x:c>
      <x:c r="E207" s="2" t="str">
        <x:v>other_unknown</x:v>
      </x:c>
      <x:c r="F207" s="2" t="str">
        <x:v>sale</x:v>
      </x:c>
      <x:c r="G207" s="11" t="n">
        <x:v>350</x:v>
      </x:c>
      <x:c r="H207" s="12" t="n">
        <x:v>2550000000</x:v>
      </x:c>
      <x:c r="I207" s="12" t="n">
        <x:v>7285714.285714285</x:v>
      </x:c>
      <x:c r="J207" s="2" t="str">
        <x:v>total</x:v>
      </x:c>
      <x:c r="K207" s="2" t="str">
        <x:v>top_level_area</x:v>
      </x:c>
      <x:c r="L207" s="2" t="str">
        <x:v>property_type_inferred_from_title;unknown_property_type</x:v>
      </x:c>
      <x:c r="M207" s="10" t="n">
        <x:v>0</x:v>
      </x:c>
      <x:c r="N207" s="10" t="n">
        <x:v>0</x:v>
      </x:c>
      <x:c r="O207" s="2" t="str">
        <x:v>Tp Hồ Chí Minh|other_unknown</x:v>
      </x:c>
      <x:c r="P207" s="10" t="n">
        <x:v>1</x:v>
      </x:c>
      <x:c r="Q207" s="13" t="n">
        <x:f>IF(H207="","",H207/1000000000)</x:f>
        <x:v>2.55</x:v>
      </x:c>
      <x:c r="R207" s="13" t="n">
        <x:f>IF(I207="","",I207/1000000)</x:f>
        <x:v>7.285714285714286</x:v>
      </x:c>
    </x:row>
    <x:row r="208" ht="21" customHeight="1">
      <x:c r="A208" s="10" t="n">
        <x:v>219</x:v>
      </x:c>
      <x:c r="B208" s="2" t="str">
        <x:v>81be97660567998fef6c</x:v>
      </x:c>
      <x:c r="C208" s="2" t="str">
        <x:v>Cần Thơ</x:v>
      </x:c>
      <x:c r="D208" s="2" t="str">
        <x:v>Quận Bình Thuỷ</x:v>
      </x:c>
      <x:c r="E208" s="2" t="str">
        <x:v>land</x:v>
      </x:c>
      <x:c r="F208" s="2" t="str">
        <x:v>sale</x:v>
      </x:c>
      <x:c r="G208" s="11" t="n">
        <x:v>110</x:v>
      </x:c>
      <x:c r="H208" s="12" t="n">
        <x:v>3032000000</x:v>
      </x:c>
      <x:c r="I208" s="12" t="n">
        <x:v>27563636.363636363</x:v>
      </x:c>
      <x:c r="J208" s="2" t="str">
        <x:v>total</x:v>
      </x:c>
      <x:c r="K208" s="2" t="str">
        <x:v>top_level_area</x:v>
      </x:c>
      <x:c r="L208" s="2" t="str">
        <x:v>property_type_inferred_from_title</x:v>
      </x:c>
      <x:c r="M208" s="10" t="n">
        <x:v>0</x:v>
      </x:c>
      <x:c r="N208" s="10" t="n">
        <x:v>0</x:v>
      </x:c>
      <x:c r="O208" s="2" t="str">
        <x:v>Cần Thơ|land</x:v>
      </x:c>
      <x:c r="P208" s="10" t="n">
        <x:v>2</x:v>
      </x:c>
      <x:c r="Q208" s="13" t="n">
        <x:f>IF(H208="","",H208/1000000000)</x:f>
        <x:v>3.032</x:v>
      </x:c>
      <x:c r="R208" s="13" t="n">
        <x:f>IF(I208="","",I208/1000000)</x:f>
        <x:v>27.563636363636363</x:v>
      </x:c>
    </x:row>
    <x:row r="209" ht="21" customHeight="1">
      <x:c r="A209" s="10" t="n">
        <x:v>220</x:v>
      </x:c>
      <x:c r="B209" s="2" t="str">
        <x:v>c2a5bc3477cf122ade89</x:v>
      </x:c>
      <x:c r="C209" s="2" t="str">
        <x:v>Tp Hồ Chí Minh</x:v>
      </x:c>
      <x:c r="D209" s="2" t="str">
        <x:v>Quận Gò Vấp</x:v>
      </x:c>
      <x:c r="E209" s="2" t="str">
        <x:v>house</x:v>
      </x:c>
      <x:c r="F209" s="2" t="str">
        <x:v>sale_with_rental_income</x:v>
      </x:c>
      <x:c r="G209" s="11" t="n">
        <x:v>52</x:v>
      </x:c>
      <x:c r="H209" s="12" t="n">
        <x:v>7200000000</x:v>
      </x:c>
      <x:c r="I209" s="12" t="n">
        <x:v>138461538.46153846</x:v>
      </x:c>
      <x:c r="J209" s="2" t="str">
        <x:v>total</x:v>
      </x:c>
      <x:c r="K209" s="2" t="str">
        <x:v>top_level_area</x:v>
      </x:c>
      <x:c r="L209" s="2" t="str">
        <x:v>property_type_inferred_from_title;rental_income_mentioned</x:v>
      </x:c>
      <x:c r="M209" s="10" t="n">
        <x:v>0</x:v>
      </x:c>
      <x:c r="N209" s="10" t="n">
        <x:v>0</x:v>
      </x:c>
      <x:c r="O209" s="2" t="str">
        <x:v>Tp Hồ Chí Minh|house</x:v>
      </x:c>
      <x:c r="P209" s="10" t="n">
        <x:v>2</x:v>
      </x:c>
      <x:c r="Q209" s="13" t="n">
        <x:f>IF(H209="","",H209/1000000000)</x:f>
        <x:v>7.2</x:v>
      </x:c>
      <x:c r="R209" s="13" t="n">
        <x:f>IF(I209="","",I209/1000000)</x:f>
        <x:v>138.46153846153845</x:v>
      </x:c>
    </x:row>
    <x:row r="210" ht="21" customHeight="1">
      <x:c r="A210" s="10" t="n">
        <x:v>221</x:v>
      </x:c>
      <x:c r="B210" s="2" t="str">
        <x:v>f10144a01a0e02c27fb4</x:v>
      </x:c>
      <x:c r="C210" s="2" t="str">
        <x:v>Tp Hồ Chí Minh</x:v>
      </x:c>
      <x:c r="D210" s="2" t="str">
        <x:v>Quận 9</x:v>
      </x:c>
      <x:c r="E210" s="2" t="str">
        <x:v>house</x:v>
      </x:c>
      <x:c r="F210" s="2" t="str">
        <x:v>sale_assumed</x:v>
      </x:c>
      <x:c r="G210" s="11" t="n">
        <x:v>51</x:v>
      </x:c>
      <x:c r="H210" s="12" t="n">
        <x:v>1290000000</x:v>
      </x:c>
      <x:c r="I210" s="12" t="n">
        <x:v>25294117.647058822</x:v>
      </x:c>
      <x:c r="J210" s="2" t="str">
        <x:v>total</x:v>
      </x:c>
      <x:c r="K210" s="2" t="str">
        <x:v>top_level_area</x:v>
      </x:c>
      <x:c r="L210" s="2" t="str">
        <x:v>property_type_inferred_from_title;transaction_assumed_sale_from_dataset_context</x:v>
      </x:c>
      <x:c r="M210" s="10" t="n">
        <x:v>0</x:v>
      </x:c>
      <x:c r="N210" s="10" t="n">
        <x:v>0</x:v>
      </x:c>
      <x:c r="O210" s="2" t="str">
        <x:v>Tp Hồ Chí Minh|house</x:v>
      </x:c>
      <x:c r="P210" s="10" t="n">
        <x:v>2</x:v>
      </x:c>
      <x:c r="Q210" s="13" t="n">
        <x:f>IF(H210="","",H210/1000000000)</x:f>
        <x:v>1.29</x:v>
      </x:c>
      <x:c r="R210" s="13" t="n">
        <x:f>IF(I210="","",I210/1000000)</x:f>
        <x:v>25.294117647058822</x:v>
      </x:c>
    </x:row>
    <x:row r="211" ht="21" customHeight="1">
      <x:c r="A211" s="10" t="n">
        <x:v>222</x:v>
      </x:c>
      <x:c r="B211" s="2" t="str">
        <x:v>80b49791714091498aa5</x:v>
      </x:c>
      <x:c r="C211" s="2" t="str">
        <x:v>Đồng Nai</x:v>
      </x:c>
      <x:c r="D211" s="2" t="str">
        <x:v>Thành phố Biên Hòa</x:v>
      </x:c>
      <x:c r="E211" s="2" t="str">
        <x:v>house</x:v>
      </x:c>
      <x:c r="F211" s="2" t="str">
        <x:v>sale</x:v>
      </x:c>
      <x:c r="G211" s="11" t="n">
        <x:v>72</x:v>
      </x:c>
      <x:c r="H211" s="12" t="n">
        <x:v>1590000000</x:v>
      </x:c>
      <x:c r="I211" s="12" t="n">
        <x:v>22083333.333333332</x:v>
      </x:c>
      <x:c r="J211" s="2" t="str">
        <x:v>total</x:v>
      </x:c>
      <x:c r="K211" s="2" t="str">
        <x:v>top_level_area</x:v>
      </x:c>
      <x:c r="L211" s="2" t="str">
        <x:v>property_type_inferred_from_title</x:v>
      </x:c>
      <x:c r="M211" s="10" t="n">
        <x:v>0</x:v>
      </x:c>
      <x:c r="N211" s="10" t="n">
        <x:v>0</x:v>
      </x:c>
      <x:c r="O211" s="2" t="str">
        <x:v>Đồng Nai|house</x:v>
      </x:c>
      <x:c r="P211" s="10" t="n">
        <x:v>2</x:v>
      </x:c>
      <x:c r="Q211" s="13" t="n">
        <x:f>IF(H211="","",H211/1000000000)</x:f>
        <x:v>1.59</x:v>
      </x:c>
      <x:c r="R211" s="13" t="n">
        <x:f>IF(I211="","",I211/1000000)</x:f>
        <x:v>22.083333333333332</x:v>
      </x:c>
    </x:row>
    <x:row r="212" ht="21" customHeight="1">
      <x:c r="A212" s="10" t="n">
        <x:v>223</x:v>
      </x:c>
      <x:c r="B212" s="2" t="str">
        <x:v>c1d43f98d18d7d437bd7</x:v>
      </x:c>
      <x:c r="C212" s="2" t="str">
        <x:v>Hà Nội</x:v>
      </x:c>
      <x:c r="D212" s="2" t="str">
        <x:v>Quận Long Biên</x:v>
      </x:c>
      <x:c r="E212" s="2" t="str">
        <x:v>house</x:v>
      </x:c>
      <x:c r="F212" s="2" t="str">
        <x:v>sale</x:v>
      </x:c>
      <x:c r="G212" s="11" t="n">
        <x:v>35</x:v>
      </x:c>
      <x:c r="H212" s="12" t="n">
        <x:v>3700000000</x:v>
      </x:c>
      <x:c r="I212" s="12" t="n">
        <x:v>105714285.71428572</x:v>
      </x:c>
      <x:c r="J212" s="2" t="str">
        <x:v>total</x:v>
      </x:c>
      <x:c r="K212" s="2" t="str">
        <x:v>top_level_area</x:v>
      </x:c>
      <x:c r="L212" s="2" t="str">
        <x:v>property_type_inferred_from_title</x:v>
      </x:c>
      <x:c r="M212" s="10" t="n">
        <x:v>0</x:v>
      </x:c>
      <x:c r="N212" s="10" t="n">
        <x:v>0</x:v>
      </x:c>
      <x:c r="O212" s="2" t="str">
        <x:v>Hà Nội|house</x:v>
      </x:c>
      <x:c r="P212" s="10" t="n">
        <x:v>2</x:v>
      </x:c>
      <x:c r="Q212" s="13" t="n">
        <x:f>IF(H212="","",H212/1000000000)</x:f>
        <x:v>3.7</x:v>
      </x:c>
      <x:c r="R212" s="13" t="n">
        <x:f>IF(I212="","",I212/1000000)</x:f>
        <x:v>105.71428571428572</x:v>
      </x:c>
    </x:row>
    <x:row r="213" ht="21" customHeight="1">
      <x:c r="A213" s="10" t="n">
        <x:v>224</x:v>
      </x:c>
      <x:c r="B213" s="2" t="str">
        <x:v>040f0f38f86973480cdd</x:v>
      </x:c>
      <x:c r="C213" s="2" t="str">
        <x:v>Tp Hồ Chí Minh</x:v>
      </x:c>
      <x:c r="D213" s="2" t="str">
        <x:v>Quận 12</x:v>
      </x:c>
      <x:c r="E213" s="2" t="str">
        <x:v>land</x:v>
      </x:c>
      <x:c r="F213" s="2" t="str">
        <x:v>sale_assumed</x:v>
      </x:c>
      <x:c r="G213" s="11" t="n">
        <x:v>60</x:v>
      </x:c>
      <x:c r="H213" s="12" t="n">
        <x:v>685000000</x:v>
      </x:c>
      <x:c r="I213" s="12" t="n">
        <x:v>11416666.666666666</x:v>
      </x:c>
      <x:c r="J213" s="2" t="str">
        <x:v>total</x:v>
      </x:c>
      <x:c r="K213" s="2" t="str">
        <x:v>top_level_area</x:v>
      </x:c>
      <x:c r="L213" s="2" t="str">
        <x:v>property_type_inferred_from_title;transaction_assumed_sale_from_dataset_context</x:v>
      </x:c>
      <x:c r="M213" s="10" t="n">
        <x:v>0</x:v>
      </x:c>
      <x:c r="N213" s="10" t="n">
        <x:v>0</x:v>
      </x:c>
      <x:c r="O213" s="2" t="str">
        <x:v>Tp Hồ Chí Minh|land</x:v>
      </x:c>
      <x:c r="P213" s="10" t="n">
        <x:v>2</x:v>
      </x:c>
      <x:c r="Q213" s="13" t="n">
        <x:f>IF(H213="","",H213/1000000000)</x:f>
        <x:v>0.685</x:v>
      </x:c>
      <x:c r="R213" s="13" t="n">
        <x:f>IF(I213="","",I213/1000000)</x:f>
        <x:v>11.416666666666666</x:v>
      </x:c>
    </x:row>
    <x:row r="214" ht="21" customHeight="1">
      <x:c r="A214" s="10" t="n">
        <x:v>225</x:v>
      </x:c>
      <x:c r="B214" s="2" t="str">
        <x:v>88613b48a6fdfc84f10a</x:v>
      </x:c>
      <x:c r="C214" s="2" t="str">
        <x:v>Tp Hồ Chí Minh</x:v>
      </x:c>
      <x:c r="D214" s="2" t="str">
        <x:v>Quận Bình Tân</x:v>
      </x:c>
      <x:c r="E214" s="2" t="str">
        <x:v>land</x:v>
      </x:c>
      <x:c r="F214" s="2" t="str">
        <x:v>sale_assumed</x:v>
      </x:c>
      <x:c r="G214" s="11" t="n">
        <x:v>60</x:v>
      </x:c>
      <x:c r="H214" s="12" t="n">
        <x:v>3300000000</x:v>
      </x:c>
      <x:c r="I214" s="12" t="n">
        <x:v>55000000</x:v>
      </x:c>
      <x:c r="J214" s="2" t="str">
        <x:v>total</x:v>
      </x:c>
      <x:c r="K214" s="2" t="str">
        <x:v>top_level_area</x:v>
      </x:c>
      <x:c r="L214" s="2" t="str">
        <x:v>property_type_inferred_from_title;transaction_assumed_sale_from_dataset_context</x:v>
      </x:c>
      <x:c r="M214" s="10" t="n">
        <x:v>0</x:v>
      </x:c>
      <x:c r="N214" s="10" t="n">
        <x:v>0</x:v>
      </x:c>
      <x:c r="O214" s="2" t="str">
        <x:v>Tp Hồ Chí Minh|land</x:v>
      </x:c>
      <x:c r="P214" s="10" t="n">
        <x:v>2</x:v>
      </x:c>
      <x:c r="Q214" s="13" t="n">
        <x:f>IF(H214="","",H214/1000000000)</x:f>
        <x:v>3.3</x:v>
      </x:c>
      <x:c r="R214" s="13" t="n">
        <x:f>IF(I214="","",I214/1000000)</x:f>
        <x:v>55</x:v>
      </x:c>
    </x:row>
    <x:row r="215" ht="21" customHeight="1">
      <x:c r="A215" s="10" t="n">
        <x:v>226</x:v>
      </x:c>
      <x:c r="B215" s="2" t="str">
        <x:v>0382ab212ff778a7fb37</x:v>
      </x:c>
      <x:c r="C215" s="2" t="str">
        <x:v>Tp Hồ Chí Minh</x:v>
      </x:c>
      <x:c r="D215" s="2" t="str">
        <x:v>Quận Bình Tân</x:v>
      </x:c>
      <x:c r="E215" s="2" t="str">
        <x:v>house</x:v>
      </x:c>
      <x:c r="F215" s="2" t="str">
        <x:v>sale</x:v>
      </x:c>
      <x:c r="G215" s="11" t="n">
        <x:v>60</x:v>
      </x:c>
      <x:c r="H215" s="12" t="n">
        <x:v>5750000000</x:v>
      </x:c>
      <x:c r="I215" s="12" t="n">
        <x:v>95833333.33333333</x:v>
      </x:c>
      <x:c r="J215" s="2" t="str">
        <x:v>total</x:v>
      </x:c>
      <x:c r="K215" s="2" t="str">
        <x:v>top_level_area</x:v>
      </x:c>
      <x:c r="L215" s="2" t="str">
        <x:v>property_type_inferred_from_title</x:v>
      </x:c>
      <x:c r="M215" s="10" t="n">
        <x:v>0</x:v>
      </x:c>
      <x:c r="N215" s="10" t="n">
        <x:v>0</x:v>
      </x:c>
      <x:c r="O215" s="2" t="str">
        <x:v>Tp Hồ Chí Minh|house</x:v>
      </x:c>
      <x:c r="P215" s="10" t="n">
        <x:v>2</x:v>
      </x:c>
      <x:c r="Q215" s="13" t="n">
        <x:f>IF(H215="","",H215/1000000000)</x:f>
        <x:v>5.75</x:v>
      </x:c>
      <x:c r="R215" s="13" t="n">
        <x:f>IF(I215="","",I215/1000000)</x:f>
        <x:v>95.83333333333333</x:v>
      </x:c>
    </x:row>
    <x:row r="216" ht="21" customHeight="1">
      <x:c r="A216" s="10" t="n">
        <x:v>227</x:v>
      </x:c>
      <x:c r="B216" s="2" t="str">
        <x:v>b38ec4ca65e372fcbf6a</x:v>
      </x:c>
      <x:c r="C216" s="2" t="str">
        <x:v>Tp Hồ Chí Minh</x:v>
      </x:c>
      <x:c r="D216" s="2" t="str">
        <x:v>Quận Thủ Đức</x:v>
      </x:c>
      <x:c r="E216" s="2" t="str">
        <x:v>house</x:v>
      </x:c>
      <x:c r="F216" s="2" t="str">
        <x:v>sale</x:v>
      </x:c>
      <x:c r="G216" s="11" t="n">
        <x:v>50</x:v>
      </x:c>
      <x:c r="H216" s="12" t="n">
        <x:v>900000000</x:v>
      </x:c>
      <x:c r="I216" s="12" t="n">
        <x:v>18000000</x:v>
      </x:c>
      <x:c r="J216" s="2" t="str">
        <x:v>total</x:v>
      </x:c>
      <x:c r="K216" s="2" t="str">
        <x:v>top_level_area</x:v>
      </x:c>
      <x:c r="L216" s="2" t="str">
        <x:v>property_type_inferred_from_title</x:v>
      </x:c>
      <x:c r="M216" s="10" t="n">
        <x:v>0</x:v>
      </x:c>
      <x:c r="N216" s="10" t="n">
        <x:v>0</x:v>
      </x:c>
      <x:c r="O216" s="2" t="str">
        <x:v>Tp Hồ Chí Minh|house</x:v>
      </x:c>
      <x:c r="P216" s="10" t="n">
        <x:v>2</x:v>
      </x:c>
      <x:c r="Q216" s="13" t="n">
        <x:f>IF(H216="","",H216/1000000000)</x:f>
        <x:v>0.9</x:v>
      </x:c>
      <x:c r="R216" s="13" t="n">
        <x:f>IF(I216="","",I216/1000000)</x:f>
        <x:v>18</x:v>
      </x:c>
    </x:row>
    <x:row r="217" ht="21" customHeight="1">
      <x:c r="A217" s="10" t="n">
        <x:v>228</x:v>
      </x:c>
      <x:c r="B217" s="2" t="str">
        <x:v>343f7fe90d2c6866b477</x:v>
      </x:c>
      <x:c r="C217" s="2" t="str">
        <x:v>Đồng Nai</x:v>
      </x:c>
      <x:c r="D217" s="2" t="str">
        <x:v>Thành phố Biên Hòa</x:v>
      </x:c>
      <x:c r="E217" s="2" t="str">
        <x:v>house</x:v>
      </x:c>
      <x:c r="F217" s="2" t="str">
        <x:v>sale</x:v>
      </x:c>
      <x:c r="G217" s="11" t="n">
        <x:v>90</x:v>
      </x:c>
      <x:c r="H217" s="12" t="n">
        <x:v>880000000</x:v>
      </x:c>
      <x:c r="I217" s="12" t="n">
        <x:v>9777777.777777778</x:v>
      </x:c>
      <x:c r="J217" s="2" t="str">
        <x:v>total</x:v>
      </x:c>
      <x:c r="K217" s="2" t="str">
        <x:v>top_level_area</x:v>
      </x:c>
      <x:c r="L217" s="2" t="str">
        <x:v>property_type_inferred_from_title</x:v>
      </x:c>
      <x:c r="M217" s="10" t="n">
        <x:v>0</x:v>
      </x:c>
      <x:c r="N217" s="10" t="n">
        <x:v>0</x:v>
      </x:c>
      <x:c r="O217" s="2" t="str">
        <x:v>Đồng Nai|house</x:v>
      </x:c>
      <x:c r="P217" s="10" t="n">
        <x:v>2</x:v>
      </x:c>
      <x:c r="Q217" s="13" t="n">
        <x:f>IF(H217="","",H217/1000000000)</x:f>
        <x:v>0.88</x:v>
      </x:c>
      <x:c r="R217" s="13" t="n">
        <x:f>IF(I217="","",I217/1000000)</x:f>
        <x:v>9.777777777777779</x:v>
      </x:c>
    </x:row>
    <x:row r="218" ht="21" customHeight="1">
      <x:c r="A218" s="10" t="n">
        <x:v>229</x:v>
      </x:c>
      <x:c r="B218" s="2" t="str">
        <x:v>93a76a529c13dc307ab8</x:v>
      </x:c>
      <x:c r="C218" s="2" t="str">
        <x:v>Tp Hồ Chí Minh</x:v>
      </x:c>
      <x:c r="D218" s="2" t="str">
        <x:v>Quận Tân Phú</x:v>
      </x:c>
      <x:c r="E218" s="2" t="str">
        <x:v>house</x:v>
      </x:c>
      <x:c r="F218" s="2" t="str">
        <x:v>sale</x:v>
      </x:c>
      <x:c r="G218" s="11" t="n">
        <x:v>55</x:v>
      </x:c>
      <x:c r="H218" s="12" t="n">
        <x:v>1250000000</x:v>
      </x:c>
      <x:c r="I218" s="12" t="n">
        <x:v>22727272.727272727</x:v>
      </x:c>
      <x:c r="J218" s="2" t="str">
        <x:v>total</x:v>
      </x:c>
      <x:c r="K218" s="2" t="str">
        <x:v>top_level_area</x:v>
      </x:c>
      <x:c r="L218" s="2" t="str">
        <x:v>property_type_inferred_from_title</x:v>
      </x:c>
      <x:c r="M218" s="10" t="n">
        <x:v>0</x:v>
      </x:c>
      <x:c r="N218" s="10" t="n">
        <x:v>0</x:v>
      </x:c>
      <x:c r="O218" s="2" t="str">
        <x:v>Tp Hồ Chí Minh|house</x:v>
      </x:c>
      <x:c r="P218" s="10" t="n">
        <x:v>2</x:v>
      </x:c>
      <x:c r="Q218" s="13" t="n">
        <x:f>IF(H218="","",H218/1000000000)</x:f>
        <x:v>1.25</x:v>
      </x:c>
      <x:c r="R218" s="13" t="n">
        <x:f>IF(I218="","",I218/1000000)</x:f>
        <x:v>22.727272727272727</x:v>
      </x:c>
    </x:row>
    <x:row r="219" ht="21" customHeight="1">
      <x:c r="A219" s="10" t="n">
        <x:v>230</x:v>
      </x:c>
      <x:c r="B219" s="2" t="str">
        <x:v>6453cfb3a0d73bbc2ecb</x:v>
      </x:c>
      <x:c r="C219" s="2" t="str">
        <x:v>Tp Hồ Chí Minh</x:v>
      </x:c>
      <x:c r="D219" s="2" t="str">
        <x:v>Quận Bình Tân</x:v>
      </x:c>
      <x:c r="E219" s="2" t="str">
        <x:v>house</x:v>
      </x:c>
      <x:c r="F219" s="2" t="str">
        <x:v>sale_assumed</x:v>
      </x:c>
      <x:c r="G219" s="11" t="n">
        <x:v>52</x:v>
      </x:c>
      <x:c r="H219" s="12" t="n">
        <x:v>2550000000</x:v>
      </x:c>
      <x:c r="I219" s="12" t="n">
        <x:v>49038461.538461536</x:v>
      </x:c>
      <x:c r="J219" s="2" t="str">
        <x:v>total</x:v>
      </x:c>
      <x:c r="K219" s="2" t="str">
        <x:v>top_level_area</x:v>
      </x:c>
      <x:c r="L219" s="2" t="str">
        <x:v>property_type_inferred_from_title;transaction_assumed_sale_from_dataset_context</x:v>
      </x:c>
      <x:c r="M219" s="10" t="n">
        <x:v>0</x:v>
      </x:c>
      <x:c r="N219" s="10" t="n">
        <x:v>0</x:v>
      </x:c>
      <x:c r="O219" s="2" t="str">
        <x:v>Tp Hồ Chí Minh|house</x:v>
      </x:c>
      <x:c r="P219" s="10" t="n">
        <x:v>2</x:v>
      </x:c>
      <x:c r="Q219" s="13" t="n">
        <x:f>IF(H219="","",H219/1000000000)</x:f>
        <x:v>2.55</x:v>
      </x:c>
      <x:c r="R219" s="13" t="n">
        <x:f>IF(I219="","",I219/1000000)</x:f>
        <x:v>49.03846153846153</x:v>
      </x:c>
    </x:row>
    <x:row r="220" ht="21" customHeight="1">
      <x:c r="A220" s="10" t="n">
        <x:v>231</x:v>
      </x:c>
      <x:c r="B220" s="2" t="str">
        <x:v>84e582c97e3fdeabbddb</x:v>
      </x:c>
      <x:c r="C220" s="2" t="str">
        <x:v>Hà Nội</x:v>
      </x:c>
      <x:c r="D220" s="2" t="str">
        <x:v>Quận Thanh Xuân</x:v>
      </x:c>
      <x:c r="E220" s="2" t="str">
        <x:v>house</x:v>
      </x:c>
      <x:c r="F220" s="2" t="str">
        <x:v>sale_assumed</x:v>
      </x:c>
      <x:c r="G220" s="11" t="n">
        <x:v>38</x:v>
      </x:c>
      <x:c r="H220" s="12" t="n">
        <x:v>2800000000</x:v>
      </x:c>
      <x:c r="I220" s="12" t="n">
        <x:v>73684210.5263158</x:v>
      </x:c>
      <x:c r="J220" s="2" t="str">
        <x:v>total</x:v>
      </x:c>
      <x:c r="K220" s="2" t="str">
        <x:v>top_level_area</x:v>
      </x:c>
      <x:c r="L220" s="2" t="str">
        <x:v>property_type_inferred_from_title;transaction_assumed_sale_from_dataset_context</x:v>
      </x:c>
      <x:c r="M220" s="10" t="n">
        <x:v>0</x:v>
      </x:c>
      <x:c r="N220" s="10" t="n">
        <x:v>0</x:v>
      </x:c>
      <x:c r="O220" s="2" t="str">
        <x:v>Hà Nội|house</x:v>
      </x:c>
      <x:c r="P220" s="10" t="n">
        <x:v>2</x:v>
      </x:c>
      <x:c r="Q220" s="13" t="n">
        <x:f>IF(H220="","",H220/1000000000)</x:f>
        <x:v>2.8</x:v>
      </x:c>
      <x:c r="R220" s="13" t="n">
        <x:f>IF(I220="","",I220/1000000)</x:f>
        <x:v>73.6842105263158</x:v>
      </x:c>
    </x:row>
    <x:row r="221" ht="21" customHeight="1">
      <x:c r="A221" s="10" t="n">
        <x:v>232</x:v>
      </x:c>
      <x:c r="B221" s="2" t="str">
        <x:v>3138862832892ba50757</x:v>
      </x:c>
      <x:c r="C221" s="2" t="str">
        <x:v>Bình Thuận</x:v>
      </x:c>
      <x:c r="D221" s="2" t="str">
        <x:v>Huyện Hàm Tân</x:v>
      </x:c>
      <x:c r="E221" s="2" t="str">
        <x:v>other_unknown</x:v>
      </x:c>
      <x:c r="F221" s="2" t="str">
        <x:v>sale_assumed</x:v>
      </x:c>
      <x:c r="G221" s="11" t="n">
        <x:v>18315</x:v>
      </x:c>
      <x:c r="H221" s="12" t="n">
        <x:v>750000000</x:v>
      </x:c>
      <x:c r="I221" s="12" t="n">
        <x:v>40950.04095004095</x:v>
      </x:c>
      <x:c r="J221" s="2" t="str">
        <x:v>total</x:v>
      </x:c>
      <x:c r="K221" s="2" t="str">
        <x:v>top_level_area</x:v>
      </x:c>
      <x:c r="L221" s="2" t="str">
        <x:v>dot_thousands_convention;property_type_inferred_from_title;transaction_assumed_sale_from_dataset_context;unknown_property_type</x:v>
      </x:c>
      <x:c r="M221" s="10" t="n">
        <x:v>0</x:v>
      </x:c>
      <x:c r="N221" s="10" t="n">
        <x:v>0</x:v>
      </x:c>
      <x:c r="O221" s="2" t="str">
        <x:v>other_unknown</x:v>
      </x:c>
      <x:c r="P221" s="10" t="n">
        <x:v>1</x:v>
      </x:c>
      <x:c r="Q221" s="13" t="n">
        <x:f>IF(H221="","",H221/1000000000)</x:f>
        <x:v>0.75</x:v>
      </x:c>
      <x:c r="R221" s="13" t="n">
        <x:f>IF(I221="","",I221/1000000)</x:f>
        <x:v>0.04095004095004095</x:v>
      </x:c>
    </x:row>
    <x:row r="222" ht="21" customHeight="1">
      <x:c r="A222" s="10" t="n">
        <x:v>233</x:v>
      </x:c>
      <x:c r="B222" s="2" t="str">
        <x:v>1c89d9ebf9330332ee97</x:v>
      </x:c>
      <x:c r="C222" s="2" t="str">
        <x:v>Đồng Nai</x:v>
      </x:c>
      <x:c r="D222" s="2" t="str">
        <x:v>Thành phố Biên Hòa</x:v>
      </x:c>
      <x:c r="E222" s="2" t="str">
        <x:v>house</x:v>
      </x:c>
      <x:c r="F222" s="2" t="str">
        <x:v>sale</x:v>
      </x:c>
      <x:c r="G222" s="11" t="n">
        <x:v>76</x:v>
      </x:c>
      <x:c r="H222" s="12" t="n">
        <x:v>2400000000</x:v>
      </x:c>
      <x:c r="I222" s="12" t="n">
        <x:v>31578947.36842105</x:v>
      </x:c>
      <x:c r="J222" s="2" t="str">
        <x:v>total</x:v>
      </x:c>
      <x:c r="K222" s="2" t="str">
        <x:v>top_level_area</x:v>
      </x:c>
      <x:c r="L222" s="2" t="str">
        <x:v>property_type_inferred_from_title</x:v>
      </x:c>
      <x:c r="M222" s="10" t="n">
        <x:v>0</x:v>
      </x:c>
      <x:c r="N222" s="10" t="n">
        <x:v>0</x:v>
      </x:c>
      <x:c r="O222" s="2" t="str">
        <x:v>Đồng Nai|house</x:v>
      </x:c>
      <x:c r="P222" s="10" t="n">
        <x:v>2</x:v>
      </x:c>
      <x:c r="Q222" s="13" t="n">
        <x:f>IF(H222="","",H222/1000000000)</x:f>
        <x:v>2.4</x:v>
      </x:c>
      <x:c r="R222" s="13" t="n">
        <x:f>IF(I222="","",I222/1000000)</x:f>
        <x:v>31.57894736842105</x:v>
      </x:c>
    </x:row>
    <x:row r="223" ht="21" customHeight="1">
      <x:c r="A223" s="10" t="n">
        <x:v>234</x:v>
      </x:c>
      <x:c r="B223" s="2" t="str">
        <x:v>dd9b4de4d5301cb06c07</x:v>
      </x:c>
      <x:c r="C223" s="2" t="str">
        <x:v>Bình Dương</x:v>
      </x:c>
      <x:c r="D223" s="2" t="str">
        <x:v>Thị xã Thuận An</x:v>
      </x:c>
      <x:c r="E223" s="2" t="str">
        <x:v>apartment</x:v>
      </x:c>
      <x:c r="F223" s="2" t="str">
        <x:v>sale_assumed</x:v>
      </x:c>
      <x:c r="G223" s="11" t="n">
        <x:v>57</x:v>
      </x:c>
      <x:c r="H223" s="12" t="n">
        <x:v>1800000000</x:v>
      </x:c>
      <x:c r="I223" s="12" t="n">
        <x:v>31578947.36842105</x:v>
      </x:c>
      <x:c r="J223" s="2" t="str">
        <x:v>total</x:v>
      </x:c>
      <x:c r="K223" s="2" t="str">
        <x:v>top_level_area</x:v>
      </x:c>
      <x:c r="L223" s="2" t="str">
        <x:v>property_type_inferred_from_title;transaction_assumed_sale_from_dataset_context</x:v>
      </x:c>
      <x:c r="M223" s="10" t="n">
        <x:v>0</x:v>
      </x:c>
      <x:c r="N223" s="10" t="n">
        <x:v>0</x:v>
      </x:c>
      <x:c r="O223" s="2" t="str">
        <x:v>Bình Dương|apartment</x:v>
      </x:c>
      <x:c r="P223" s="10" t="n">
        <x:v>2</x:v>
      </x:c>
      <x:c r="Q223" s="13" t="n">
        <x:f>IF(H223="","",H223/1000000000)</x:f>
        <x:v>1.8</x:v>
      </x:c>
      <x:c r="R223" s="13" t="n">
        <x:f>IF(I223="","",I223/1000000)</x:f>
        <x:v>31.57894736842105</x:v>
      </x:c>
    </x:row>
    <x:row r="224" ht="21" customHeight="1">
      <x:c r="A224" s="10" t="n">
        <x:v>235</x:v>
      </x:c>
      <x:c r="B224" s="2" t="str">
        <x:v>9e6d2c1f1fbeab725741</x:v>
      </x:c>
      <x:c r="C224" s="2" t="str">
        <x:v>Tp Hồ Chí Minh</x:v>
      </x:c>
      <x:c r="D224" s="2" t="str">
        <x:v>Quận Tân Phú</x:v>
      </x:c>
      <x:c r="E224" s="2" t="str">
        <x:v>other_unknown</x:v>
      </x:c>
      <x:c r="F224" s="2" t="str">
        <x:v>sale_assumed</x:v>
      </x:c>
      <x:c r="G224" s="11" t="n">
        <x:v>48</x:v>
      </x:c>
      <x:c r="H224" s="12" t="n">
        <x:v>5699000000</x:v>
      </x:c>
      <x:c r="I224" s="12" t="n">
        <x:v>118729166.66666667</x:v>
      </x:c>
      <x:c r="J224" s="2" t="str">
        <x:v>total</x:v>
      </x:c>
      <x:c r="K224" s="2" t="str">
        <x:v>top_level_area</x:v>
      </x:c>
      <x:c r="L224" s="2" t="str">
        <x:v>property_type_inferred_from_title;transaction_assumed_sale_from_dataset_context;unknown_property_type</x:v>
      </x:c>
      <x:c r="M224" s="10" t="n">
        <x:v>0</x:v>
      </x:c>
      <x:c r="N224" s="10" t="n">
        <x:v>0</x:v>
      </x:c>
      <x:c r="O224" s="2" t="str">
        <x:v>Tp Hồ Chí Minh|other_unknown</x:v>
      </x:c>
      <x:c r="P224" s="10" t="n">
        <x:v>2</x:v>
      </x:c>
      <x:c r="Q224" s="13" t="n">
        <x:f>IF(H224="","",H224/1000000000)</x:f>
        <x:v>5.699</x:v>
      </x:c>
      <x:c r="R224" s="13" t="n">
        <x:f>IF(I224="","",I224/1000000)</x:f>
        <x:v>118.72916666666667</x:v>
      </x:c>
    </x:row>
    <x:row r="225" ht="21" customHeight="1">
      <x:c r="A225" s="10" t="n">
        <x:v>236</x:v>
      </x:c>
      <x:c r="B225" s="2" t="str">
        <x:v>7790222de680bacfd945</x:v>
      </x:c>
      <x:c r="C225" s="2" t="str">
        <x:v>Bình Dương</x:v>
      </x:c>
      <x:c r="D225" s="2" t="str">
        <x:v>Thị xã Bến Cát</x:v>
      </x:c>
      <x:c r="E225" s="2" t="str">
        <x:v>house</x:v>
      </x:c>
      <x:c r="F225" s="2" t="str">
        <x:v>sale_assumed</x:v>
      </x:c>
      <x:c r="G225" s="11" t="n">
        <x:v>90</x:v>
      </x:c>
      <x:c r="H225" s="12" t="n">
        <x:v>750000000</x:v>
      </x:c>
      <x:c r="I225" s="12" t="n">
        <x:v>8333333.333333333</x:v>
      </x:c>
      <x:c r="J225" s="2" t="str">
        <x:v>total</x:v>
      </x:c>
      <x:c r="K225" s="2" t="str">
        <x:v>top_level_price_embedded_area</x:v>
      </x:c>
      <x:c r="L225" s="2" t="str">
        <x:v>area_recovered_from_price_text;property_type_inferred_from_title;transaction_assumed_sale_from_dataset_context</x:v>
      </x:c>
      <x:c r="M225" s="10" t="n">
        <x:v>0</x:v>
      </x:c>
      <x:c r="N225" s="10" t="n">
        <x:v>0</x:v>
      </x:c>
      <x:c r="O225" s="2" t="str">
        <x:v>Bình Dương|house</x:v>
      </x:c>
      <x:c r="P225" s="10" t="n">
        <x:v>2</x:v>
      </x:c>
      <x:c r="Q225" s="13" t="n">
        <x:f>IF(H225="","",H225/1000000000)</x:f>
        <x:v>0.75</x:v>
      </x:c>
      <x:c r="R225" s="13" t="n">
        <x:f>IF(I225="","",I225/1000000)</x:f>
        <x:v>8.333333333333332</x:v>
      </x:c>
    </x:row>
    <x:row r="226" ht="21" customHeight="1">
      <x:c r="A226" s="10" t="n">
        <x:v>237</x:v>
      </x:c>
      <x:c r="B226" s="2" t="str">
        <x:v>cbe24a377c1fa3342f6e</x:v>
      </x:c>
      <x:c r="C226" s="2" t="str">
        <x:v>Bình Dương</x:v>
      </x:c>
      <x:c r="D226" s="2" t="str">
        <x:v>Thị xã Bến Cát</x:v>
      </x:c>
      <x:c r="E226" s="2" t="str">
        <x:v>land</x:v>
      </x:c>
      <x:c r="F226" s="2" t="str">
        <x:v>sale</x:v>
      </x:c>
      <x:c r="G226" s="11" t="n">
        <x:v>1100</x:v>
      </x:c>
      <x:c r="H226" s="12" t="n">
        <x:v>380000000</x:v>
      </x:c>
      <x:c r="I226" s="12" t="n">
        <x:v>345454.54545454547</x:v>
      </x:c>
      <x:c r="J226" s="2" t="str">
        <x:v>total</x:v>
      </x:c>
      <x:c r="K226" s="2" t="str">
        <x:v>top_level_area</x:v>
      </x:c>
      <x:c r="L226" s="2" t="str">
        <x:v>dot_thousands_convention;property_type_inferred_from_title</x:v>
      </x:c>
      <x:c r="M226" s="10" t="n">
        <x:v>0</x:v>
      </x:c>
      <x:c r="N226" s="10" t="n">
        <x:v>0</x:v>
      </x:c>
      <x:c r="O226" s="2" t="str">
        <x:v>Bình Dương|land</x:v>
      </x:c>
      <x:c r="P226" s="10" t="n">
        <x:v>1</x:v>
      </x:c>
      <x:c r="Q226" s="13" t="n">
        <x:f>IF(H226="","",H226/1000000000)</x:f>
        <x:v>0.38</x:v>
      </x:c>
      <x:c r="R226" s="13" t="n">
        <x:f>IF(I226="","",I226/1000000)</x:f>
        <x:v>0.34545454545454546</x:v>
      </x:c>
    </x:row>
    <x:row r="227" ht="21" customHeight="1">
      <x:c r="A227" s="10" t="n">
        <x:v>238</x:v>
      </x:c>
      <x:c r="B227" s="2" t="str">
        <x:v>65eb1bcf29000c4725db</x:v>
      </x:c>
      <x:c r="C227" s="2" t="str">
        <x:v>Tp Hồ Chí Minh</x:v>
      </x:c>
      <x:c r="D227" s="2" t="str">
        <x:v>Quận Thủ Đức</x:v>
      </x:c>
      <x:c r="E227" s="2" t="str">
        <x:v>house</x:v>
      </x:c>
      <x:c r="F227" s="2" t="str">
        <x:v>sale</x:v>
      </x:c>
      <x:c r="G227" s="11" t="n">
        <x:v>54</x:v>
      </x:c>
      <x:c r="H227" s="12" t="n">
        <x:v>4980000000</x:v>
      </x:c>
      <x:c r="I227" s="12" t="n">
        <x:v>92222222.22222222</x:v>
      </x:c>
      <x:c r="J227" s="2" t="str">
        <x:v>total</x:v>
      </x:c>
      <x:c r="K227" s="2" t="str">
        <x:v>top_level_area</x:v>
      </x:c>
      <x:c r="L227" s="2" t="str">
        <x:v>property_type_inferred_from_title</x:v>
      </x:c>
      <x:c r="M227" s="10" t="n">
        <x:v>0</x:v>
      </x:c>
      <x:c r="N227" s="10" t="n">
        <x:v>0</x:v>
      </x:c>
      <x:c r="O227" s="2" t="str">
        <x:v>Tp Hồ Chí Minh|house</x:v>
      </x:c>
      <x:c r="P227" s="10" t="n">
        <x:v>2</x:v>
      </x:c>
      <x:c r="Q227" s="13" t="n">
        <x:f>IF(H227="","",H227/1000000000)</x:f>
        <x:v>4.98</x:v>
      </x:c>
      <x:c r="R227" s="13" t="n">
        <x:f>IF(I227="","",I227/1000000)</x:f>
        <x:v>92.22222222222223</x:v>
      </x:c>
    </x:row>
    <x:row r="228" ht="21" customHeight="1">
      <x:c r="A228" s="10" t="n">
        <x:v>239</x:v>
      </x:c>
      <x:c r="B228" s="2" t="str">
        <x:v>654a6df61c870bde0466</x:v>
      </x:c>
      <x:c r="C228" s="2" t="str">
        <x:v>Hà Nội</x:v>
      </x:c>
      <x:c r="D228" s="2" t="str">
        <x:v>Quận Hoàng Mai</x:v>
      </x:c>
      <x:c r="E228" s="2" t="str">
        <x:v>other_unknown</x:v>
      </x:c>
      <x:c r="F228" s="2" t="str">
        <x:v>sale_assumed</x:v>
      </x:c>
      <x:c r="G228" s="11" t="n">
        <x:v>48</x:v>
      </x:c>
      <x:c r="H228" s="12" t="n">
        <x:v>2850000000</x:v>
      </x:c>
      <x:c r="I228" s="12" t="n">
        <x:v>59375000</x:v>
      </x:c>
      <x:c r="J228" s="2" t="str">
        <x:v>total</x:v>
      </x:c>
      <x:c r="K228" s="2" t="str">
        <x:v>top_level_area</x:v>
      </x:c>
      <x:c r="L228" s="2" t="str">
        <x:v>property_type_inferred_from_title;transaction_assumed_sale_from_dataset_context;unknown_property_type</x:v>
      </x:c>
      <x:c r="M228" s="10" t="n">
        <x:v>0</x:v>
      </x:c>
      <x:c r="N228" s="10" t="n">
        <x:v>0</x:v>
      </x:c>
      <x:c r="O228" s="2" t="str">
        <x:v>Hà Nội|other_unknown</x:v>
      </x:c>
      <x:c r="P228" s="10" t="n">
        <x:v>2</x:v>
      </x:c>
      <x:c r="Q228" s="13" t="n">
        <x:f>IF(H228="","",H228/1000000000)</x:f>
        <x:v>2.85</x:v>
      </x:c>
      <x:c r="R228" s="13" t="n">
        <x:f>IF(I228="","",I228/1000000)</x:f>
        <x:v>59.375</x:v>
      </x:c>
    </x:row>
    <x:row r="229" ht="21" customHeight="1">
      <x:c r="A229" s="10" t="n">
        <x:v>240</x:v>
      </x:c>
      <x:c r="B229" s="2" t="str">
        <x:v>8716160e62205cfd14fe</x:v>
      </x:c>
      <x:c r="C229" s="2" t="str">
        <x:v>Tp Hồ Chí Minh</x:v>
      </x:c>
      <x:c r="D229" s="2" t="str">
        <x:v>Quận Gò Vấp</x:v>
      </x:c>
      <x:c r="E229" s="2" t="str">
        <x:v>land</x:v>
      </x:c>
      <x:c r="F229" s="2" t="str">
        <x:v>sale_assumed</x:v>
      </x:c>
      <x:c r="G229" s="11" t="n">
        <x:v>72</x:v>
      </x:c>
      <x:c r="H229" s="12" t="n">
        <x:v>6170000000</x:v>
      </x:c>
      <x:c r="I229" s="12" t="n">
        <x:v>85694444.44444445</x:v>
      </x:c>
      <x:c r="J229" s="2" t="str">
        <x:v>total</x:v>
      </x:c>
      <x:c r="K229" s="2" t="str">
        <x:v>top_level_area</x:v>
      </x:c>
      <x:c r="L229" s="2" t="str">
        <x:v>property_type_inferred_from_title;transaction_assumed_sale_from_dataset_context</x:v>
      </x:c>
      <x:c r="M229" s="10" t="n">
        <x:v>0</x:v>
      </x:c>
      <x:c r="N229" s="10" t="n">
        <x:v>0</x:v>
      </x:c>
      <x:c r="O229" s="2" t="str">
        <x:v>Tp Hồ Chí Minh|land</x:v>
      </x:c>
      <x:c r="P229" s="10" t="n">
        <x:v>2</x:v>
      </x:c>
      <x:c r="Q229" s="13" t="n">
        <x:f>IF(H229="","",H229/1000000000)</x:f>
        <x:v>6.17</x:v>
      </x:c>
      <x:c r="R229" s="13" t="n">
        <x:f>IF(I229="","",I229/1000000)</x:f>
        <x:v>85.69444444444444</x:v>
      </x:c>
    </x:row>
    <x:row r="230" ht="21" customHeight="1">
      <x:c r="A230" s="10" t="n">
        <x:v>241</x:v>
      </x:c>
      <x:c r="B230" s="2" t="str">
        <x:v>180766eaccf277344dde</x:v>
      </x:c>
      <x:c r="C230" s="2" t="str">
        <x:v>Cần Thơ</x:v>
      </x:c>
      <x:c r="D230" s="2" t="str">
        <x:v>Quận Cái Răng</x:v>
      </x:c>
      <x:c r="E230" s="2" t="str">
        <x:v>house</x:v>
      </x:c>
      <x:c r="F230" s="2" t="str">
        <x:v>sale_assumed</x:v>
      </x:c>
      <x:c r="G230" s="11" t="n">
        <x:v>90</x:v>
      </x:c>
      <x:c r="H230" s="12" t="n">
        <x:v>2700000000</x:v>
      </x:c>
      <x:c r="I230" s="12" t="n">
        <x:v>30000000</x:v>
      </x:c>
      <x:c r="J230" s="2" t="str">
        <x:v>total</x:v>
      </x:c>
      <x:c r="K230" s="2" t="str">
        <x:v>top_level_area</x:v>
      </x:c>
      <x:c r="L230" s="2" t="str">
        <x:v>property_type_inferred_from_title;transaction_assumed_sale_from_dataset_context</x:v>
      </x:c>
      <x:c r="M230" s="10" t="n">
        <x:v>0</x:v>
      </x:c>
      <x:c r="N230" s="10" t="n">
        <x:v>0</x:v>
      </x:c>
      <x:c r="O230" s="2" t="str">
        <x:v>Cần Thơ|house</x:v>
      </x:c>
      <x:c r="P230" s="10" t="n">
        <x:v>2</x:v>
      </x:c>
      <x:c r="Q230" s="13" t="n">
        <x:f>IF(H230="","",H230/1000000000)</x:f>
        <x:v>2.7</x:v>
      </x:c>
      <x:c r="R230" s="13" t="n">
        <x:f>IF(I230="","",I230/1000000)</x:f>
        <x:v>30</x:v>
      </x:c>
    </x:row>
    <x:row r="231" ht="21" customHeight="1">
      <x:c r="A231" s="10" t="n">
        <x:v>242</x:v>
      </x:c>
      <x:c r="B231" s="2" t="str">
        <x:v>239b200189f3938b2b8b</x:v>
      </x:c>
      <x:c r="C231" s="2" t="str">
        <x:v>Đồng Nai</x:v>
      </x:c>
      <x:c r="D231" s="2" t="str">
        <x:v>Huyện Trảng Bom</x:v>
      </x:c>
      <x:c r="E231" s="2" t="str">
        <x:v>land</x:v>
      </x:c>
      <x:c r="F231" s="2" t="str">
        <x:v>sale_assumed</x:v>
      </x:c>
      <x:c r="G231" s="11" t="n">
        <x:v>100</x:v>
      </x:c>
      <x:c r="H231" s="12" t="n">
        <x:v>170000000</x:v>
      </x:c>
      <x:c r="I231" s="12" t="n">
        <x:v>1700000</x:v>
      </x:c>
      <x:c r="J231" s="2" t="str">
        <x:v>total</x:v>
      </x:c>
      <x:c r="K231" s="2" t="str">
        <x:v>top_level_area</x:v>
      </x:c>
      <x:c r="L231" s="2" t="str">
        <x:v>property_type_inferred_from_title;transaction_assumed_sale_from_dataset_context</x:v>
      </x:c>
      <x:c r="M231" s="10" t="n">
        <x:v>0</x:v>
      </x:c>
      <x:c r="N231" s="10" t="n">
        <x:v>0</x:v>
      </x:c>
      <x:c r="O231" s="2" t="str">
        <x:v>Đồng Nai|land</x:v>
      </x:c>
      <x:c r="P231" s="10" t="n">
        <x:v>1</x:v>
      </x:c>
      <x:c r="Q231" s="13" t="n">
        <x:f>IF(H231="","",H231/1000000000)</x:f>
        <x:v>0.17</x:v>
      </x:c>
      <x:c r="R231" s="13" t="n">
        <x:f>IF(I231="","",I231/1000000)</x:f>
        <x:v>1.7</x:v>
      </x:c>
    </x:row>
    <x:row r="232" ht="21" customHeight="1">
      <x:c r="A232" s="10" t="n">
        <x:v>243</x:v>
      </x:c>
      <x:c r="B232" s="2" t="str">
        <x:v>06c14e1bf574aab2a247</x:v>
      </x:c>
      <x:c r="C232" s="2" t="str">
        <x:v>Tp Hồ Chí Minh</x:v>
      </x:c>
      <x:c r="D232" s="2" t="str">
        <x:v>Huyện Củ Chi</x:v>
      </x:c>
      <x:c r="E232" s="2" t="str">
        <x:v>land</x:v>
      </x:c>
      <x:c r="F232" s="2" t="str">
        <x:v>sale_assumed</x:v>
      </x:c>
      <x:c r="G232" s="11" t="n">
        <x:v>366</x:v>
      </x:c>
      <x:c r="H232" s="12" t="n">
        <x:v>2650000000</x:v>
      </x:c>
      <x:c r="I232" s="12" t="n">
        <x:v>7240437.158469945</x:v>
      </x:c>
      <x:c r="J232" s="2" t="str">
        <x:v>total</x:v>
      </x:c>
      <x:c r="K232" s="2" t="str">
        <x:v>top_level_area</x:v>
      </x:c>
      <x:c r="L232" s="2" t="str">
        <x:v>property_type_inferred_from_title;transaction_assumed_sale_from_dataset_context</x:v>
      </x:c>
      <x:c r="M232" s="10" t="n">
        <x:v>0</x:v>
      </x:c>
      <x:c r="N232" s="10" t="n">
        <x:v>0</x:v>
      </x:c>
      <x:c r="O232" s="2" t="str">
        <x:v>Tp Hồ Chí Minh|land</x:v>
      </x:c>
      <x:c r="P232" s="10" t="n">
        <x:v>1</x:v>
      </x:c>
      <x:c r="Q232" s="13" t="n">
        <x:f>IF(H232="","",H232/1000000000)</x:f>
        <x:v>2.65</x:v>
      </x:c>
      <x:c r="R232" s="13" t="n">
        <x:f>IF(I232="","",I232/1000000)</x:f>
        <x:v>7.240437158469946</x:v>
      </x:c>
    </x:row>
    <x:row r="233" ht="21" customHeight="1">
      <x:c r="A233" s="10" t="n">
        <x:v>244</x:v>
      </x:c>
      <x:c r="B233" s="2" t="str">
        <x:v>1d0cd8e9b98359b78b4c</x:v>
      </x:c>
      <x:c r="C233" s="2" t="str">
        <x:v>Tp Hồ Chí Minh</x:v>
      </x:c>
      <x:c r="D233" s="2" t="str">
        <x:v>Quận 12</x:v>
      </x:c>
      <x:c r="E233" s="2" t="str">
        <x:v>house</x:v>
      </x:c>
      <x:c r="F233" s="2" t="str">
        <x:v>sale_assumed</x:v>
      </x:c>
      <x:c r="G233" s="11" t="n">
        <x:v>40</x:v>
      </x:c>
      <x:c r="H233" s="12" t="n">
        <x:v>2550000000</x:v>
      </x:c>
      <x:c r="I233" s="12" t="n">
        <x:v>63750000</x:v>
      </x:c>
      <x:c r="J233" s="2" t="str">
        <x:v>total</x:v>
      </x:c>
      <x:c r="K233" s="2" t="str">
        <x:v>top_level_area</x:v>
      </x:c>
      <x:c r="L233" s="2" t="str">
        <x:v>property_type_inferred_from_title;transaction_assumed_sale_from_dataset_context</x:v>
      </x:c>
      <x:c r="M233" s="10" t="n">
        <x:v>0</x:v>
      </x:c>
      <x:c r="N233" s="10" t="n">
        <x:v>0</x:v>
      </x:c>
      <x:c r="O233" s="2" t="str">
        <x:v>Tp Hồ Chí Minh|house</x:v>
      </x:c>
      <x:c r="P233" s="10" t="n">
        <x:v>2</x:v>
      </x:c>
      <x:c r="Q233" s="13" t="n">
        <x:f>IF(H233="","",H233/1000000000)</x:f>
        <x:v>2.55</x:v>
      </x:c>
      <x:c r="R233" s="13" t="n">
        <x:f>IF(I233="","",I233/1000000)</x:f>
        <x:v>63.75</x:v>
      </x:c>
    </x:row>
    <x:row r="234" ht="21" customHeight="1">
      <x:c r="A234" s="10" t="n">
        <x:v>245</x:v>
      </x:c>
      <x:c r="B234" s="2" t="str">
        <x:v>31e05b71f81dbfd52f1a</x:v>
      </x:c>
      <x:c r="C234" s="2" t="str">
        <x:v>Tp Hồ Chí Minh</x:v>
      </x:c>
      <x:c r="D234" s="2" t="str">
        <x:v>Quận Bình Tân</x:v>
      </x:c>
      <x:c r="E234" s="2" t="str">
        <x:v>house</x:v>
      </x:c>
      <x:c r="F234" s="2" t="str">
        <x:v>sale</x:v>
      </x:c>
      <x:c r="G234" s="11" t="n">
        <x:v>28</x:v>
      </x:c>
      <x:c r="H234" s="12" t="n">
        <x:v>1650000000</x:v>
      </x:c>
      <x:c r="I234" s="12" t="n">
        <x:v>58928571.428571425</x:v>
      </x:c>
      <x:c r="J234" s="2" t="str">
        <x:v>total</x:v>
      </x:c>
      <x:c r="K234" s="2" t="str">
        <x:v>top_level_area</x:v>
      </x:c>
      <x:c r="L234" s="2" t="str">
        <x:v>property_type_inferred_from_title</x:v>
      </x:c>
      <x:c r="M234" s="10" t="n">
        <x:v>0</x:v>
      </x:c>
      <x:c r="N234" s="10" t="n">
        <x:v>0</x:v>
      </x:c>
      <x:c r="O234" s="2" t="str">
        <x:v>Tp Hồ Chí Minh|house</x:v>
      </x:c>
      <x:c r="P234" s="10" t="n">
        <x:v>2</x:v>
      </x:c>
      <x:c r="Q234" s="13" t="n">
        <x:f>IF(H234="","",H234/1000000000)</x:f>
        <x:v>1.65</x:v>
      </x:c>
      <x:c r="R234" s="13" t="n">
        <x:f>IF(I234="","",I234/1000000)</x:f>
        <x:v>58.92857142857142</x:v>
      </x:c>
    </x:row>
    <x:row r="235" ht="21" customHeight="1">
      <x:c r="A235" s="10" t="n">
        <x:v>246</x:v>
      </x:c>
      <x:c r="B235" s="2" t="str">
        <x:v>a45902843fb8544cd4a0</x:v>
      </x:c>
      <x:c r="C235" s="2" t="str">
        <x:v>Bình Dương</x:v>
      </x:c>
      <x:c r="D235" s="2" t="str">
        <x:v>Thị xã Bến Cát</x:v>
      </x:c>
      <x:c r="E235" s="2" t="str">
        <x:v>land</x:v>
      </x:c>
      <x:c r="F235" s="2" t="str">
        <x:v>sale_assumed</x:v>
      </x:c>
      <x:c r="G235" s="11" t="n">
        <x:v>500</x:v>
      </x:c>
      <x:c r="H235" s="12" t="n">
        <x:v>450000000</x:v>
      </x:c>
      <x:c r="I235" s="12" t="n">
        <x:v>900000</x:v>
      </x:c>
      <x:c r="J235" s="2" t="str">
        <x:v>total</x:v>
      </x:c>
      <x:c r="K235" s="2" t="str">
        <x:v>top_level_area</x:v>
      </x:c>
      <x:c r="L235" s="2" t="str">
        <x:v>property_type_inferred_from_title;transaction_assumed_sale_from_dataset_context</x:v>
      </x:c>
      <x:c r="M235" s="10" t="n">
        <x:v>0</x:v>
      </x:c>
      <x:c r="N235" s="10" t="n">
        <x:v>0</x:v>
      </x:c>
      <x:c r="O235" s="2" t="str">
        <x:v>Bình Dương|land</x:v>
      </x:c>
      <x:c r="P235" s="10" t="n">
        <x:v>1</x:v>
      </x:c>
      <x:c r="Q235" s="13" t="n">
        <x:f>IF(H235="","",H235/1000000000)</x:f>
        <x:v>0.45</x:v>
      </x:c>
      <x:c r="R235" s="13" t="n">
        <x:f>IF(I235="","",I235/1000000)</x:f>
        <x:v>0.9</x:v>
      </x:c>
    </x:row>
    <x:row r="236" ht="21" customHeight="1">
      <x:c r="A236" s="10" t="n">
        <x:v>247</x:v>
      </x:c>
      <x:c r="B236" s="2" t="str">
        <x:v>abd78850874d6d8ae2f8</x:v>
      </x:c>
      <x:c r="C236" s="2" t="str">
        <x:v>Đà Nẵng</x:v>
      </x:c>
      <x:c r="D236" s="2" t="str">
        <x:v>Quận Ngũ Hành Sơn</x:v>
      </x:c>
      <x:c r="E236" s="2" t="str">
        <x:v>house</x:v>
      </x:c>
      <x:c r="F236" s="2" t="str">
        <x:v>sale</x:v>
      </x:c>
      <x:c r="G236" s="11" t="n">
        <x:v>110</x:v>
      </x:c>
      <x:c r="H236" s="12" t="n">
        <x:v>8199999999.999999</x:v>
      </x:c>
      <x:c r="I236" s="12" t="n">
        <x:v>74545454.54545453</x:v>
      </x:c>
      <x:c r="J236" s="2" t="str">
        <x:v>total</x:v>
      </x:c>
      <x:c r="K236" s="2" t="str">
        <x:v>top_level_area</x:v>
      </x:c>
      <x:c r="L236" s="2" t="str">
        <x:v>property_type_inferred_from_title</x:v>
      </x:c>
      <x:c r="M236" s="10" t="n">
        <x:v>0</x:v>
      </x:c>
      <x:c r="N236" s="10" t="n">
        <x:v>0</x:v>
      </x:c>
      <x:c r="O236" s="2" t="str">
        <x:v>Đà Nẵng|house</x:v>
      </x:c>
      <x:c r="P236" s="10" t="n">
        <x:v>2</x:v>
      </x:c>
      <x:c r="Q236" s="13" t="n">
        <x:f>IF(H236="","",H236/1000000000)</x:f>
        <x:v>8.2</x:v>
      </x:c>
      <x:c r="R236" s="13" t="n">
        <x:f>IF(I236="","",I236/1000000)</x:f>
        <x:v>74.54545454545453</x:v>
      </x:c>
    </x:row>
    <x:row r="237" ht="21" customHeight="1">
      <x:c r="A237" s="10" t="n">
        <x:v>248</x:v>
      </x:c>
      <x:c r="B237" s="2" t="str">
        <x:v>6b2c5244d0d7e451a391</x:v>
      </x:c>
      <x:c r="C237" s="2" t="str">
        <x:v>Tp Hồ Chí Minh</x:v>
      </x:c>
      <x:c r="D237" s="2" t="str">
        <x:v>Quận Bình Thạnh</x:v>
      </x:c>
      <x:c r="E237" s="2" t="str">
        <x:v>house</x:v>
      </x:c>
      <x:c r="F237" s="2" t="str">
        <x:v>sale</x:v>
      </x:c>
      <x:c r="G237" s="11" t="n">
        <x:v>66</x:v>
      </x:c>
      <x:c r="H237" s="12" t="n">
        <x:v>1680000000</x:v>
      </x:c>
      <x:c r="I237" s="12" t="n">
        <x:v>25454545.454545453</x:v>
      </x:c>
      <x:c r="J237" s="2" t="str">
        <x:v>total</x:v>
      </x:c>
      <x:c r="K237" s="2" t="str">
        <x:v>top_level_area</x:v>
      </x:c>
      <x:c r="L237" s="2" t="str">
        <x:v>property_type_inferred_from_title</x:v>
      </x:c>
      <x:c r="M237" s="10" t="n">
        <x:v>0</x:v>
      </x:c>
      <x:c r="N237" s="10" t="n">
        <x:v>0</x:v>
      </x:c>
      <x:c r="O237" s="2" t="str">
        <x:v>Tp Hồ Chí Minh|house</x:v>
      </x:c>
      <x:c r="P237" s="10" t="n">
        <x:v>2</x:v>
      </x:c>
      <x:c r="Q237" s="13" t="n">
        <x:f>IF(H237="","",H237/1000000000)</x:f>
        <x:v>1.68</x:v>
      </x:c>
      <x:c r="R237" s="13" t="n">
        <x:f>IF(I237="","",I237/1000000)</x:f>
        <x:v>25.454545454545453</x:v>
      </x:c>
    </x:row>
    <x:row r="238" ht="21" customHeight="1">
      <x:c r="A238" s="10" t="n">
        <x:v>249</x:v>
      </x:c>
      <x:c r="B238" s="2" t="str">
        <x:v>a460984fb9a7fcc220e6</x:v>
      </x:c>
      <x:c r="C238" s="2" t="str">
        <x:v>Lâm Đồng</x:v>
      </x:c>
      <x:c r="D238" s="2" t="str">
        <x:v>Thành phố Bảo Lộc</x:v>
      </x:c>
      <x:c r="E238" s="2" t="str">
        <x:v>land</x:v>
      </x:c>
      <x:c r="F238" s="2" t="str">
        <x:v>sale</x:v>
      </x:c>
      <x:c r="G238" s="11" t="n">
        <x:v>186</x:v>
      </x:c>
      <x:c r="H238" s="12" t="n">
        <x:v>1300000000</x:v>
      </x:c>
      <x:c r="I238" s="12" t="n">
        <x:v>6989247.311827957</x:v>
      </x:c>
      <x:c r="J238" s="2" t="str">
        <x:v>total</x:v>
      </x:c>
      <x:c r="K238" s="2" t="str">
        <x:v>top_level_area</x:v>
      </x:c>
      <x:c r="L238" s="2" t="str">
        <x:v>property_type_inferred_from_title</x:v>
      </x:c>
      <x:c r="M238" s="10" t="n">
        <x:v>0</x:v>
      </x:c>
      <x:c r="N238" s="10" t="n">
        <x:v>0</x:v>
      </x:c>
      <x:c r="O238" s="2" t="str">
        <x:v>Lâm Đồng|land</x:v>
      </x:c>
      <x:c r="P238" s="10" t="n">
        <x:v>2</x:v>
      </x:c>
      <x:c r="Q238" s="13" t="n">
        <x:f>IF(H238="","",H238/1000000000)</x:f>
        <x:v>1.3</x:v>
      </x:c>
      <x:c r="R238" s="13" t="n">
        <x:f>IF(I238="","",I238/1000000)</x:f>
        <x:v>6.989247311827957</x:v>
      </x:c>
    </x:row>
    <x:row r="239" ht="21" customHeight="1">
      <x:c r="A239" s="10" t="n">
        <x:v>250</x:v>
      </x:c>
      <x:c r="B239" s="2" t="str">
        <x:v>ddf3ce3b298dbb131991</x:v>
      </x:c>
      <x:c r="C239" s="2" t="str">
        <x:v>Hà Nội</x:v>
      </x:c>
      <x:c r="D239" s="2" t="str">
        <x:v>Quận Hà Đông</x:v>
      </x:c>
      <x:c r="E239" s="2" t="str">
        <x:v>house</x:v>
      </x:c>
      <x:c r="F239" s="2" t="str">
        <x:v>sale_assumed</x:v>
      </x:c>
      <x:c r="G239" s="11" t="n">
        <x:v>33</x:v>
      </x:c>
      <x:c r="H239" s="12" t="n">
        <x:v>2800000000</x:v>
      </x:c>
      <x:c r="I239" s="12" t="n">
        <x:v>84848484.84848484</x:v>
      </x:c>
      <x:c r="J239" s="2" t="str">
        <x:v>total</x:v>
      </x:c>
      <x:c r="K239" s="2" t="str">
        <x:v>top_level_area</x:v>
      </x:c>
      <x:c r="L239" s="2" t="str">
        <x:v>property_type_inferred_from_title;transaction_assumed_sale_from_dataset_context</x:v>
      </x:c>
      <x:c r="M239" s="10" t="n">
        <x:v>0</x:v>
      </x:c>
      <x:c r="N239" s="10" t="n">
        <x:v>0</x:v>
      </x:c>
      <x:c r="O239" s="2" t="str">
        <x:v>Hà Nội|house</x:v>
      </x:c>
      <x:c r="P239" s="10" t="n">
        <x:v>2</x:v>
      </x:c>
      <x:c r="Q239" s="13" t="n">
        <x:f>IF(H239="","",H239/1000000000)</x:f>
        <x:v>2.8</x:v>
      </x:c>
      <x:c r="R239" s="13" t="n">
        <x:f>IF(I239="","",I239/1000000)</x:f>
        <x:v>84.84848484848484</x:v>
      </x:c>
    </x:row>
    <x:row r="240" ht="21" customHeight="1">
      <x:c r="A240" s="10" t="n">
        <x:v>251</x:v>
      </x:c>
      <x:c r="B240" s="2" t="str">
        <x:v>aad4284ee3dd447e8458</x:v>
      </x:c>
      <x:c r="C240" s="2" t="str">
        <x:v>Tp Hồ Chí Minh</x:v>
      </x:c>
      <x:c r="D240" s="2" t="str">
        <x:v>Quận Bình Thạnh</x:v>
      </x:c>
      <x:c r="E240" s="2" t="str">
        <x:v>house</x:v>
      </x:c>
      <x:c r="F240" s="2" t="str">
        <x:v>sale_assumed</x:v>
      </x:c>
      <x:c r="G240" s="11" t="n">
        <x:v>45</x:v>
      </x:c>
      <x:c r="H240" s="12" t="n">
        <x:v>1720000000</x:v>
      </x:c>
      <x:c r="I240" s="12" t="n">
        <x:v>38222222.222222224</x:v>
      </x:c>
      <x:c r="J240" s="2" t="str">
        <x:v>total</x:v>
      </x:c>
      <x:c r="K240" s="2" t="str">
        <x:v>top_level_area</x:v>
      </x:c>
      <x:c r="L240" s="2" t="str">
        <x:v>property_type_inferred_from_title;transaction_assumed_sale_from_dataset_context</x:v>
      </x:c>
      <x:c r="M240" s="10" t="n">
        <x:v>0</x:v>
      </x:c>
      <x:c r="N240" s="10" t="n">
        <x:v>0</x:v>
      </x:c>
      <x:c r="O240" s="2" t="str">
        <x:v>Tp Hồ Chí Minh|house</x:v>
      </x:c>
      <x:c r="P240" s="10" t="n">
        <x:v>2</x:v>
      </x:c>
      <x:c r="Q240" s="13" t="n">
        <x:f>IF(H240="","",H240/1000000000)</x:f>
        <x:v>1.72</x:v>
      </x:c>
      <x:c r="R240" s="13" t="n">
        <x:f>IF(I240="","",I240/1000000)</x:f>
        <x:v>38.22222222222222</x:v>
      </x:c>
    </x:row>
    <x:row r="241" ht="21" customHeight="1">
      <x:c r="A241" s="10" t="n">
        <x:v>252</x:v>
      </x:c>
      <x:c r="B241" s="2" t="str">
        <x:v>fa876430b1538065e21b</x:v>
      </x:c>
      <x:c r="C241" s="2" t="str">
        <x:v>Tp Hồ Chí Minh</x:v>
      </x:c>
      <x:c r="D241" s="2" t="str">
        <x:v>Quận Tân Phú</x:v>
      </x:c>
      <x:c r="E241" s="2" t="str">
        <x:v>other_unknown</x:v>
      </x:c>
      <x:c r="F241" s="2" t="str">
        <x:v>sale</x:v>
      </x:c>
      <x:c r="G241" s="11" t="n">
        <x:v>75</x:v>
      </x:c>
      <x:c r="H241" s="12" t="n">
        <x:v>8150000000</x:v>
      </x:c>
      <x:c r="I241" s="12" t="n">
        <x:v>108666666.66666667</x:v>
      </x:c>
      <x:c r="J241" s="2" t="str">
        <x:v>total</x:v>
      </x:c>
      <x:c r="K241" s="2" t="str">
        <x:v>top_level_area</x:v>
      </x:c>
      <x:c r="L241" s="2" t="str">
        <x:v>property_type_inferred_from_title;unknown_property_type</x:v>
      </x:c>
      <x:c r="M241" s="10" t="n">
        <x:v>0</x:v>
      </x:c>
      <x:c r="N241" s="10" t="n">
        <x:v>0</x:v>
      </x:c>
      <x:c r="O241" s="2" t="str">
        <x:v>Tp Hồ Chí Minh|other_unknown</x:v>
      </x:c>
      <x:c r="P241" s="10" t="n">
        <x:v>2</x:v>
      </x:c>
      <x:c r="Q241" s="13" t="n">
        <x:f>IF(H241="","",H241/1000000000)</x:f>
        <x:v>8.15</x:v>
      </x:c>
      <x:c r="R241" s="13" t="n">
        <x:f>IF(I241="","",I241/1000000)</x:f>
        <x:v>108.66666666666667</x:v>
      </x:c>
    </x:row>
    <x:row r="242" ht="21" customHeight="1">
      <x:c r="A242" s="10" t="n">
        <x:v>253</x:v>
      </x:c>
      <x:c r="B242" s="2" t="str">
        <x:v>9512e6abaa6836fda236</x:v>
      </x:c>
      <x:c r="C242" s="2" t="str">
        <x:v>Cần Thơ</x:v>
      </x:c>
      <x:c r="D242" s="2" t="str">
        <x:v>Quận Cái Răng</x:v>
      </x:c>
      <x:c r="E242" s="2" t="str">
        <x:v>house</x:v>
      </x:c>
      <x:c r="F242" s="2" t="str">
        <x:v>sale</x:v>
      </x:c>
      <x:c r="G242" s="11" t="n">
        <x:v>100</x:v>
      </x:c>
      <x:c r="H242" s="12" t="n">
        <x:v>2450000000</x:v>
      </x:c>
      <x:c r="I242" s="12" t="n">
        <x:v>24500000</x:v>
      </x:c>
      <x:c r="J242" s="2" t="str">
        <x:v>total</x:v>
      </x:c>
      <x:c r="K242" s="2" t="str">
        <x:v>top_level_area</x:v>
      </x:c>
      <x:c r="L242" s="2" t="str">
        <x:v>property_type_inferred_from_title</x:v>
      </x:c>
      <x:c r="M242" s="10" t="n">
        <x:v>0</x:v>
      </x:c>
      <x:c r="N242" s="10" t="n">
        <x:v>0</x:v>
      </x:c>
      <x:c r="O242" s="2" t="str">
        <x:v>Cần Thơ|house</x:v>
      </x:c>
      <x:c r="P242" s="10" t="n">
        <x:v>2</x:v>
      </x:c>
      <x:c r="Q242" s="13" t="n">
        <x:f>IF(H242="","",H242/1000000000)</x:f>
        <x:v>2.45</x:v>
      </x:c>
      <x:c r="R242" s="13" t="n">
        <x:f>IF(I242="","",I242/1000000)</x:f>
        <x:v>24.5</x:v>
      </x:c>
    </x:row>
    <x:row r="243" ht="21" customHeight="1">
      <x:c r="A243" s="10" t="n">
        <x:v>254</x:v>
      </x:c>
      <x:c r="B243" s="2" t="str">
        <x:v>e90fc0ca34ec2bb2f4d9</x:v>
      </x:c>
      <x:c r="C243" s="2" t="str">
        <x:v>Hà Nội</x:v>
      </x:c>
      <x:c r="D243" s="2" t="str">
        <x:v>Quận Hà Đông</x:v>
      </x:c>
      <x:c r="E243" s="2" t="str">
        <x:v>house</x:v>
      </x:c>
      <x:c r="F243" s="2" t="str">
        <x:v>sale</x:v>
      </x:c>
      <x:c r="G243" s="11" t="n">
        <x:v>30</x:v>
      </x:c>
      <x:c r="H243" s="12" t="n">
        <x:v>2150000000</x:v>
      </x:c>
      <x:c r="I243" s="12" t="n">
        <x:v>71666666.66666667</x:v>
      </x:c>
      <x:c r="J243" s="2" t="str">
        <x:v>total</x:v>
      </x:c>
      <x:c r="K243" s="2" t="str">
        <x:v>top_level_area</x:v>
      </x:c>
      <x:c r="L243" s="2" t="str">
        <x:v>property_type_inferred_from_title</x:v>
      </x:c>
      <x:c r="M243" s="10" t="n">
        <x:v>0</x:v>
      </x:c>
      <x:c r="N243" s="10" t="n">
        <x:v>0</x:v>
      </x:c>
      <x:c r="O243" s="2" t="str">
        <x:v>Hà Nội|house</x:v>
      </x:c>
      <x:c r="P243" s="10" t="n">
        <x:v>2</x:v>
      </x:c>
      <x:c r="Q243" s="13" t="n">
        <x:f>IF(H243="","",H243/1000000000)</x:f>
        <x:v>2.15</x:v>
      </x:c>
      <x:c r="R243" s="13" t="n">
        <x:f>IF(I243="","",I243/1000000)</x:f>
        <x:v>71.66666666666667</x:v>
      </x:c>
    </x:row>
    <x:row r="244" ht="21" customHeight="1">
      <x:c r="A244" s="10" t="n">
        <x:v>255</x:v>
      </x:c>
      <x:c r="B244" s="2" t="str">
        <x:v>1414a2578227d33095fb</x:v>
      </x:c>
      <x:c r="C244" s="2" t="str">
        <x:v>Cần Thơ</x:v>
      </x:c>
      <x:c r="D244" s="2" t="str">
        <x:v>Quận Ninh Kiều</x:v>
      </x:c>
      <x:c r="E244" s="2" t="str">
        <x:v>house</x:v>
      </x:c>
      <x:c r="F244" s="2" t="str">
        <x:v>sale_assumed</x:v>
      </x:c>
      <x:c r="G244" s="11" t="n">
        <x:v>56</x:v>
      </x:c>
      <x:c r="H244" s="12" t="n">
        <x:v>4200000000</x:v>
      </x:c>
      <x:c r="I244" s="12" t="n">
        <x:v>75000000</x:v>
      </x:c>
      <x:c r="J244" s="2" t="str">
        <x:v>total</x:v>
      </x:c>
      <x:c r="K244" s="2" t="str">
        <x:v>top_level_area</x:v>
      </x:c>
      <x:c r="L244" s="2" t="str">
        <x:v>property_type_inferred_from_title;transaction_assumed_sale_from_dataset_context</x:v>
      </x:c>
      <x:c r="M244" s="10" t="n">
        <x:v>0</x:v>
      </x:c>
      <x:c r="N244" s="10" t="n">
        <x:v>0</x:v>
      </x:c>
      <x:c r="O244" s="2" t="str">
        <x:v>Cần Thơ|house</x:v>
      </x:c>
      <x:c r="P244" s="10" t="n">
        <x:v>2</x:v>
      </x:c>
      <x:c r="Q244" s="13" t="n">
        <x:f>IF(H244="","",H244/1000000000)</x:f>
        <x:v>4.2</x:v>
      </x:c>
      <x:c r="R244" s="13" t="n">
        <x:f>IF(I244="","",I244/1000000)</x:f>
        <x:v>75</x:v>
      </x:c>
    </x:row>
    <x:row r="245" ht="21" customHeight="1">
      <x:c r="A245" s="10" t="n">
        <x:v>257</x:v>
      </x:c>
      <x:c r="B245" s="2" t="str">
        <x:v>831cb3b8694aa93782f1</x:v>
      </x:c>
      <x:c r="C245" s="2" t="str">
        <x:v>Phú Thọ</x:v>
      </x:c>
      <x:c r="D245" s="2" t="str">
        <x:v>Thành phố Việt Trì</x:v>
      </x:c>
      <x:c r="E245" s="2" t="str">
        <x:v>land</x:v>
      </x:c>
      <x:c r="F245" s="2" t="str">
        <x:v>sale</x:v>
      </x:c>
      <x:c r="G245" s="11" t="n">
        <x:v>85</x:v>
      </x:c>
      <x:c r="H245" s="12" t="n">
        <x:v>1650000000</x:v>
      </x:c>
      <x:c r="I245" s="12" t="n">
        <x:v>19411764.70588235</x:v>
      </x:c>
      <x:c r="J245" s="2" t="str">
        <x:v>total</x:v>
      </x:c>
      <x:c r="K245" s="2" t="str">
        <x:v>top_level_area</x:v>
      </x:c>
      <x:c r="L245" s="2" t="str">
        <x:v>property_type_inferred_from_title</x:v>
      </x:c>
      <x:c r="M245" s="10" t="n">
        <x:v>0</x:v>
      </x:c>
      <x:c r="N245" s="10" t="n">
        <x:v>0</x:v>
      </x:c>
      <x:c r="O245" s="2" t="str">
        <x:v>land</x:v>
      </x:c>
      <x:c r="P245" s="10" t="n">
        <x:v>2</x:v>
      </x:c>
      <x:c r="Q245" s="13" t="n">
        <x:f>IF(H245="","",H245/1000000000)</x:f>
        <x:v>1.65</x:v>
      </x:c>
      <x:c r="R245" s="13" t="n">
        <x:f>IF(I245="","",I245/1000000)</x:f>
        <x:v>19.41176470588235</x:v>
      </x:c>
    </x:row>
    <x:row r="246" ht="21" customHeight="1">
      <x:c r="A246" s="10" t="n">
        <x:v>258</x:v>
      </x:c>
      <x:c r="B246" s="2" t="str">
        <x:v>72a979ef1b527933ae26</x:v>
      </x:c>
      <x:c r="C246" s="2" t="str">
        <x:v>Tp Hồ Chí Minh</x:v>
      </x:c>
      <x:c r="D246" s="2" t="str">
        <x:v>Quận 8</x:v>
      </x:c>
      <x:c r="E246" s="2" t="str">
        <x:v>house</x:v>
      </x:c>
      <x:c r="F246" s="2" t="str">
        <x:v>sale</x:v>
      </x:c>
      <x:c r="G246" s="11" t="n">
        <x:v>72</x:v>
      </x:c>
      <x:c r="H246" s="12" t="n">
        <x:v>5600000000</x:v>
      </x:c>
      <x:c r="I246" s="12" t="n">
        <x:v>77777777.77777778</x:v>
      </x:c>
      <x:c r="J246" s="2" t="str">
        <x:v>total</x:v>
      </x:c>
      <x:c r="K246" s="2" t="str">
        <x:v>top_level_area</x:v>
      </x:c>
      <x:c r="L246" s="2" t="str">
        <x:v>property_type_inferred_from_title</x:v>
      </x:c>
      <x:c r="M246" s="10" t="n">
        <x:v>0</x:v>
      </x:c>
      <x:c r="N246" s="10" t="n">
        <x:v>0</x:v>
      </x:c>
      <x:c r="O246" s="2" t="str">
        <x:v>Tp Hồ Chí Minh|house</x:v>
      </x:c>
      <x:c r="P246" s="10" t="n">
        <x:v>2</x:v>
      </x:c>
      <x:c r="Q246" s="13" t="n">
        <x:f>IF(H246="","",H246/1000000000)</x:f>
        <x:v>5.6</x:v>
      </x:c>
      <x:c r="R246" s="13" t="n">
        <x:f>IF(I246="","",I246/1000000)</x:f>
        <x:v>77.77777777777777</x:v>
      </x:c>
    </x:row>
    <x:row r="247" ht="21" customHeight="1">
      <x:c r="A247" s="10" t="n">
        <x:v>259</x:v>
      </x:c>
      <x:c r="B247" s="2" t="str">
        <x:v>042042c8bfe6fc2e6a3e</x:v>
      </x:c>
      <x:c r="C247" s="2" t="str">
        <x:v>Tp Hồ Chí Minh</x:v>
      </x:c>
      <x:c r="D247" s="2" t="str">
        <x:v>Huyện Hóc Môn</x:v>
      </x:c>
      <x:c r="E247" s="2" t="str">
        <x:v>house</x:v>
      </x:c>
      <x:c r="F247" s="2" t="str">
        <x:v>sale_assumed</x:v>
      </x:c>
      <x:c r="G247" s="11" t="n">
        <x:v>60</x:v>
      </x:c>
      <x:c r="H247" s="12" t="n">
        <x:v>130000000</x:v>
      </x:c>
      <x:c r="I247" s="12" t="n">
        <x:v>2166666.6666666665</x:v>
      </x:c>
      <x:c r="J247" s="2" t="str">
        <x:v>total</x:v>
      </x:c>
      <x:c r="K247" s="2" t="str">
        <x:v>top_level_area</x:v>
      </x:c>
      <x:c r="L247" s="2" t="str">
        <x:v>property_type_inferred_from_title;transaction_assumed_sale_from_dataset_context</x:v>
      </x:c>
      <x:c r="M247" s="10" t="n">
        <x:v>0</x:v>
      </x:c>
      <x:c r="N247" s="10" t="n">
        <x:v>0</x:v>
      </x:c>
      <x:c r="O247" s="2" t="str">
        <x:v>Tp Hồ Chí Minh|house</x:v>
      </x:c>
      <x:c r="P247" s="10" t="n">
        <x:v>2</x:v>
      </x:c>
      <x:c r="Q247" s="13" t="n">
        <x:f>IF(H247="","",H247/1000000000)</x:f>
        <x:v>0.13</x:v>
      </x:c>
      <x:c r="R247" s="13" t="n">
        <x:f>IF(I247="","",I247/1000000)</x:f>
        <x:v>2.1666666666666665</x:v>
      </x:c>
    </x:row>
    <x:row r="248" ht="21" customHeight="1">
      <x:c r="A248" s="10" t="n">
        <x:v>260</x:v>
      </x:c>
      <x:c r="B248" s="2" t="str">
        <x:v>aae1b6cc999291c2bd07</x:v>
      </x:c>
      <x:c r="C248" s="2" t="str">
        <x:v>Tp Hồ Chí Minh</x:v>
      </x:c>
      <x:c r="D248" s="2" t="str">
        <x:v>Quận 7</x:v>
      </x:c>
      <x:c r="E248" s="2" t="str">
        <x:v>house</x:v>
      </x:c>
      <x:c r="F248" s="2" t="str">
        <x:v>sale</x:v>
      </x:c>
      <x:c r="G248" s="11" t="n">
        <x:v>35</x:v>
      </x:c>
      <x:c r="H248" s="12" t="n">
        <x:v>1300000000</x:v>
      </x:c>
      <x:c r="I248" s="12" t="n">
        <x:v>37142857.14285714</x:v>
      </x:c>
      <x:c r="J248" s="2" t="str">
        <x:v>total</x:v>
      </x:c>
      <x:c r="K248" s="2" t="str">
        <x:v>top_level_area</x:v>
      </x:c>
      <x:c r="L248" s="2" t="str">
        <x:v>property_type_inferred_from_title</x:v>
      </x:c>
      <x:c r="M248" s="10" t="n">
        <x:v>0</x:v>
      </x:c>
      <x:c r="N248" s="10" t="n">
        <x:v>0</x:v>
      </x:c>
      <x:c r="O248" s="2" t="str">
        <x:v>Tp Hồ Chí Minh|house</x:v>
      </x:c>
      <x:c r="P248" s="10" t="n">
        <x:v>2</x:v>
      </x:c>
      <x:c r="Q248" s="13" t="n">
        <x:f>IF(H248="","",H248/1000000000)</x:f>
        <x:v>1.3</x:v>
      </x:c>
      <x:c r="R248" s="13" t="n">
        <x:f>IF(I248="","",I248/1000000)</x:f>
        <x:v>37.14285714285714</x:v>
      </x:c>
    </x:row>
    <x:row r="249" ht="21" customHeight="1">
      <x:c r="A249" s="10" t="n">
        <x:v>261</x:v>
      </x:c>
      <x:c r="B249" s="2" t="str">
        <x:v>f6c6b74bf055a8a926ac</x:v>
      </x:c>
      <x:c r="C249" s="2" t="str">
        <x:v>Hà Nội</x:v>
      </x:c>
      <x:c r="D249" s="2" t="str">
        <x:v>Quận Hà Đông</x:v>
      </x:c>
      <x:c r="E249" s="2" t="str">
        <x:v>other_unknown</x:v>
      </x:c>
      <x:c r="F249" s="2" t="str">
        <x:v>sale_assumed</x:v>
      </x:c>
      <x:c r="G249" s="11" t="n">
        <x:v>33</x:v>
      </x:c>
      <x:c r="H249" s="12" t="n">
        <x:v>2800000000</x:v>
      </x:c>
      <x:c r="I249" s="12" t="n">
        <x:v>84848484.84848484</x:v>
      </x:c>
      <x:c r="J249" s="2" t="str">
        <x:v>total</x:v>
      </x:c>
      <x:c r="K249" s="2" t="str">
        <x:v>top_level_area</x:v>
      </x:c>
      <x:c r="L249" s="2" t="str">
        <x:v>property_type_inferred_from_title;transaction_assumed_sale_from_dataset_context;unknown_property_type</x:v>
      </x:c>
      <x:c r="M249" s="10" t="n">
        <x:v>0</x:v>
      </x:c>
      <x:c r="N249" s="10" t="n">
        <x:v>0</x:v>
      </x:c>
      <x:c r="O249" s="2" t="str">
        <x:v>Hà Nội|other_unknown</x:v>
      </x:c>
      <x:c r="P249" s="10" t="n">
        <x:v>2</x:v>
      </x:c>
      <x:c r="Q249" s="13" t="n">
        <x:f>IF(H249="","",H249/1000000000)</x:f>
        <x:v>2.8</x:v>
      </x:c>
      <x:c r="R249" s="13" t="n">
        <x:f>IF(I249="","",I249/1000000)</x:f>
        <x:v>84.84848484848484</x:v>
      </x:c>
    </x:row>
    <x:row r="250" ht="21" customHeight="1">
      <x:c r="A250" s="10" t="n">
        <x:v>262</x:v>
      </x:c>
      <x:c r="B250" s="2" t="str">
        <x:v>94bee4be15ddce7f7847</x:v>
      </x:c>
      <x:c r="C250" s="2" t="str">
        <x:v>Chưa xác định</x:v>
      </x:c>
      <x:c r="D250" s="2" t="str">
        <x:v>Chưa xác định</x:v>
      </x:c>
      <x:c r="E250" s="2" t="str">
        <x:v>house</x:v>
      </x:c>
      <x:c r="F250" s="2" t="str">
        <x:v>sale</x:v>
      </x:c>
      <x:c r="G250" s="11" t="n">
        <x:v>50</x:v>
      </x:c>
      <x:c r="H250" s="12" t="n">
        <x:v>7690000000</x:v>
      </x:c>
      <x:c r="I250" s="12" t="n">
        <x:v>153800000</x:v>
      </x:c>
      <x:c r="J250" s="2" t="str">
        <x:v>total</x:v>
      </x:c>
      <x:c r="K250" s="2" t="str">
        <x:v>top_level_area</x:v>
      </x:c>
      <x:c r="L250" s="2" t="str">
        <x:v>property_type_inferred_from_title;unknown_district;unknown_province</x:v>
      </x:c>
      <x:c r="M250" s="10" t="n">
        <x:v>0</x:v>
      </x:c>
      <x:c r="N250" s="10" t="n">
        <x:v>0</x:v>
      </x:c>
      <x:c r="O250" s="2" t="str">
        <x:v>house</x:v>
      </x:c>
      <x:c r="P250" s="10" t="n">
        <x:v>2</x:v>
      </x:c>
      <x:c r="Q250" s="13" t="n">
        <x:f>IF(H250="","",H250/1000000000)</x:f>
        <x:v>7.69</x:v>
      </x:c>
      <x:c r="R250" s="13" t="n">
        <x:f>IF(I250="","",I250/1000000)</x:f>
        <x:v>153.8</x:v>
      </x:c>
    </x:row>
    <x:row r="251" ht="21" customHeight="1">
      <x:c r="A251" s="10" t="n">
        <x:v>263</x:v>
      </x:c>
      <x:c r="B251" s="2" t="str">
        <x:v>c8c458ce471ed381b086</x:v>
      </x:c>
      <x:c r="C251" s="2" t="str">
        <x:v>Đồng Nai</x:v>
      </x:c>
      <x:c r="D251" s="2" t="str">
        <x:v>Thành phố Biên Hòa</x:v>
      </x:c>
      <x:c r="E251" s="2" t="str">
        <x:v>land</x:v>
      </x:c>
      <x:c r="F251" s="2" t="str">
        <x:v>sale_assumed</x:v>
      </x:c>
      <x:c r="G251" s="11" t="n">
        <x:v>100</x:v>
      </x:c>
      <x:c r="H251" s="12" t="n">
        <x:v>1350000000</x:v>
      </x:c>
      <x:c r="I251" s="12" t="n">
        <x:v>13500000</x:v>
      </x:c>
      <x:c r="J251" s="2" t="str">
        <x:v>total</x:v>
      </x:c>
      <x:c r="K251" s="2" t="str">
        <x:v>top_level_area</x:v>
      </x:c>
      <x:c r="L251" s="2" t="str">
        <x:v>property_type_inferred_from_title;transaction_assumed_sale_from_dataset_context</x:v>
      </x:c>
      <x:c r="M251" s="10" t="n">
        <x:v>0</x:v>
      </x:c>
      <x:c r="N251" s="10" t="n">
        <x:v>0</x:v>
      </x:c>
      <x:c r="O251" s="2" t="str">
        <x:v>Đồng Nai|land</x:v>
      </x:c>
      <x:c r="P251" s="10" t="n">
        <x:v>2</x:v>
      </x:c>
      <x:c r="Q251" s="13" t="n">
        <x:f>IF(H251="","",H251/1000000000)</x:f>
        <x:v>1.35</x:v>
      </x:c>
      <x:c r="R251" s="13" t="n">
        <x:f>IF(I251="","",I251/1000000)</x:f>
        <x:v>13.5</x:v>
      </x:c>
    </x:row>
    <x:row r="252" ht="21" customHeight="1">
      <x:c r="A252" s="10" t="n">
        <x:v>264</x:v>
      </x:c>
      <x:c r="B252" s="2" t="str">
        <x:v>2eda4c3cf4022522b81a</x:v>
      </x:c>
      <x:c r="C252" s="2" t="str">
        <x:v>Tp Hồ Chí Minh</x:v>
      </x:c>
      <x:c r="D252" s="2" t="str">
        <x:v>Huyện Củ Chi</x:v>
      </x:c>
      <x:c r="E252" s="2" t="str">
        <x:v>land</x:v>
      </x:c>
      <x:c r="F252" s="2" t="str">
        <x:v>sale</x:v>
      </x:c>
      <x:c r="G252" s="11" t="n">
        <x:v>300</x:v>
      </x:c>
      <x:c r="H252" s="12" t="n">
        <x:v>1900000000</x:v>
      </x:c>
      <x:c r="I252" s="12" t="n">
        <x:v>6333333.333333333</x:v>
      </x:c>
      <x:c r="J252" s="2" t="str">
        <x:v>total</x:v>
      </x:c>
      <x:c r="K252" s="2" t="str">
        <x:v>top_level_area</x:v>
      </x:c>
      <x:c r="L252" s="2" t="str">
        <x:v>property_type_inferred_from_title</x:v>
      </x:c>
      <x:c r="M252" s="10" t="n">
        <x:v>0</x:v>
      </x:c>
      <x:c r="N252" s="10" t="n">
        <x:v>0</x:v>
      </x:c>
      <x:c r="O252" s="2" t="str">
        <x:v>Tp Hồ Chí Minh|land</x:v>
      </x:c>
      <x:c r="P252" s="10" t="n">
        <x:v>1</x:v>
      </x:c>
      <x:c r="Q252" s="13" t="n">
        <x:f>IF(H252="","",H252/1000000000)</x:f>
        <x:v>1.9</x:v>
      </x:c>
      <x:c r="R252" s="13" t="n">
        <x:f>IF(I252="","",I252/1000000)</x:f>
        <x:v>6.333333333333333</x:v>
      </x:c>
    </x:row>
    <x:row r="253" ht="21" customHeight="1">
      <x:c r="A253" s="10" t="n">
        <x:v>265</x:v>
      </x:c>
      <x:c r="B253" s="2" t="str">
        <x:v>82da84f7a636c38ad2f0</x:v>
      </x:c>
      <x:c r="C253" s="2" t="str">
        <x:v>Lâm Đồng</x:v>
      </x:c>
      <x:c r="D253" s="2" t="str">
        <x:v>Thành phố Bảo Lộc</x:v>
      </x:c>
      <x:c r="E253" s="2" t="str">
        <x:v>land</x:v>
      </x:c>
      <x:c r="F253" s="2" t="str">
        <x:v>sale</x:v>
      </x:c>
      <x:c r="G253" s="11" t="n">
        <x:v>200</x:v>
      </x:c>
      <x:c r="H253" s="12" t="n">
        <x:v>1300000000</x:v>
      </x:c>
      <x:c r="I253" s="12" t="n">
        <x:v>6500000</x:v>
      </x:c>
      <x:c r="J253" s="2" t="str">
        <x:v>total</x:v>
      </x:c>
      <x:c r="K253" s="2" t="str">
        <x:v>top_level_area</x:v>
      </x:c>
      <x:c r="L253" s="2" t="str">
        <x:v>property_type_inferred_from_title</x:v>
      </x:c>
      <x:c r="M253" s="10" t="n">
        <x:v>0</x:v>
      </x:c>
      <x:c r="N253" s="10" t="n">
        <x:v>0</x:v>
      </x:c>
      <x:c r="O253" s="2" t="str">
        <x:v>Lâm Đồng|land</x:v>
      </x:c>
      <x:c r="P253" s="10" t="n">
        <x:v>1</x:v>
      </x:c>
      <x:c r="Q253" s="13" t="n">
        <x:f>IF(H253="","",H253/1000000000)</x:f>
        <x:v>1.3</x:v>
      </x:c>
      <x:c r="R253" s="13" t="n">
        <x:f>IF(I253="","",I253/1000000)</x:f>
        <x:v>6.5</x:v>
      </x:c>
    </x:row>
    <x:row r="254" ht="21" customHeight="1">
      <x:c r="A254" s="10" t="n">
        <x:v>266</x:v>
      </x:c>
      <x:c r="B254" s="2" t="str">
        <x:v>9edb97d661016c0b60f5</x:v>
      </x:c>
      <x:c r="C254" s="2" t="str">
        <x:v>Tp Hồ Chí Minh</x:v>
      </x:c>
      <x:c r="D254" s="2" t="str">
        <x:v>Quận 8</x:v>
      </x:c>
      <x:c r="E254" s="2" t="str">
        <x:v>house</x:v>
      </x:c>
      <x:c r="F254" s="2" t="str">
        <x:v>sale_assumed</x:v>
      </x:c>
      <x:c r="G254" s="11" t="n">
        <x:v>27</x:v>
      </x:c>
      <x:c r="H254" s="12" t="n">
        <x:v>890000000</x:v>
      </x:c>
      <x:c r="I254" s="12" t="n">
        <x:v>32962962.962962963</x:v>
      </x:c>
      <x:c r="J254" s="2" t="str">
        <x:v>total</x:v>
      </x:c>
      <x:c r="K254" s="2" t="str">
        <x:v>top_level_area</x:v>
      </x:c>
      <x:c r="L254" s="2" t="str">
        <x:v>property_type_inferred_from_title;transaction_assumed_sale_from_dataset_context</x:v>
      </x:c>
      <x:c r="M254" s="10" t="n">
        <x:v>0</x:v>
      </x:c>
      <x:c r="N254" s="10" t="n">
        <x:v>0</x:v>
      </x:c>
      <x:c r="O254" s="2" t="str">
        <x:v>Tp Hồ Chí Minh|house</x:v>
      </x:c>
      <x:c r="P254" s="10" t="n">
        <x:v>2</x:v>
      </x:c>
      <x:c r="Q254" s="13" t="n">
        <x:f>IF(H254="","",H254/1000000000)</x:f>
        <x:v>0.89</x:v>
      </x:c>
      <x:c r="R254" s="13" t="n">
        <x:f>IF(I254="","",I254/1000000)</x:f>
        <x:v>32.96296296296296</x:v>
      </x:c>
    </x:row>
    <x:row r="255" ht="21" customHeight="1">
      <x:c r="A255" s="10" t="n">
        <x:v>267</x:v>
      </x:c>
      <x:c r="B255" s="2" t="str">
        <x:v>2b9554aebfb290a8bf1e</x:v>
      </x:c>
      <x:c r="C255" s="2" t="str">
        <x:v>Tp Hồ Chí Minh</x:v>
      </x:c>
      <x:c r="D255" s="2" t="str">
        <x:v>Quận Thủ Đức</x:v>
      </x:c>
      <x:c r="E255" s="2" t="str">
        <x:v>house</x:v>
      </x:c>
      <x:c r="F255" s="2" t="str">
        <x:v>sale</x:v>
      </x:c>
      <x:c r="G255" s="11" t="n">
        <x:v>50</x:v>
      </x:c>
      <x:c r="H255" s="12" t="n">
        <x:v>960000000</x:v>
      </x:c>
      <x:c r="I255" s="12" t="n">
        <x:v>19200000</x:v>
      </x:c>
      <x:c r="J255" s="2" t="str">
        <x:v>total</x:v>
      </x:c>
      <x:c r="K255" s="2" t="str">
        <x:v>top_level_area</x:v>
      </x:c>
      <x:c r="L255" s="2" t="str">
        <x:v>property_type_inferred_from_title</x:v>
      </x:c>
      <x:c r="M255" s="10" t="n">
        <x:v>0</x:v>
      </x:c>
      <x:c r="N255" s="10" t="n">
        <x:v>0</x:v>
      </x:c>
      <x:c r="O255" s="2" t="str">
        <x:v>Tp Hồ Chí Minh|house</x:v>
      </x:c>
      <x:c r="P255" s="10" t="n">
        <x:v>2</x:v>
      </x:c>
      <x:c r="Q255" s="13" t="n">
        <x:f>IF(H255="","",H255/1000000000)</x:f>
        <x:v>0.96</x:v>
      </x:c>
      <x:c r="R255" s="13" t="n">
        <x:f>IF(I255="","",I255/1000000)</x:f>
        <x:v>19.2</x:v>
      </x:c>
    </x:row>
    <x:row r="256" ht="21" customHeight="1">
      <x:c r="A256" s="10" t="n">
        <x:v>268</x:v>
      </x:c>
      <x:c r="B256" s="2" t="str">
        <x:v>ee0160cd52bcbe3e4c1c</x:v>
      </x:c>
      <x:c r="C256" s="2" t="str">
        <x:v>Đà Nẵng</x:v>
      </x:c>
      <x:c r="D256" s="2" t="str">
        <x:v>Quận Liên Chiểu</x:v>
      </x:c>
      <x:c r="E256" s="2" t="str">
        <x:v>land</x:v>
      </x:c>
      <x:c r="F256" s="2" t="str">
        <x:v>sale_assumed</x:v>
      </x:c>
      <x:c r="G256" s="11" t="n">
        <x:v>80</x:v>
      </x:c>
      <x:c r="H256" s="12" t="n">
        <x:v>2888000000</x:v>
      </x:c>
      <x:c r="I256" s="12" t="n">
        <x:v>36100000</x:v>
      </x:c>
      <x:c r="J256" s="2" t="str">
        <x:v>total</x:v>
      </x:c>
      <x:c r="K256" s="2" t="str">
        <x:v>top_level_area</x:v>
      </x:c>
      <x:c r="L256" s="2" t="str">
        <x:v>property_type_inferred_from_title;transaction_assumed_sale_from_dataset_context</x:v>
      </x:c>
      <x:c r="M256" s="10" t="n">
        <x:v>0</x:v>
      </x:c>
      <x:c r="N256" s="10" t="n">
        <x:v>0</x:v>
      </x:c>
      <x:c r="O256" s="2" t="str">
        <x:v>Đà Nẵng|land</x:v>
      </x:c>
      <x:c r="P256" s="10" t="n">
        <x:v>2</x:v>
      </x:c>
      <x:c r="Q256" s="13" t="n">
        <x:f>IF(H256="","",H256/1000000000)</x:f>
        <x:v>2.888</x:v>
      </x:c>
      <x:c r="R256" s="13" t="n">
        <x:f>IF(I256="","",I256/1000000)</x:f>
        <x:v>36.1</x:v>
      </x:c>
    </x:row>
    <x:row r="257" ht="21" customHeight="1">
      <x:c r="A257" s="10" t="n">
        <x:v>269</x:v>
      </x:c>
      <x:c r="B257" s="2" t="str">
        <x:v>620c349fb63b558ba9ef</x:v>
      </x:c>
      <x:c r="C257" s="2" t="str">
        <x:v>Bình Dương</x:v>
      </x:c>
      <x:c r="D257" s="2" t="str">
        <x:v>Huyện Phú Giáo</x:v>
      </x:c>
      <x:c r="E257" s="2" t="str">
        <x:v>land</x:v>
      </x:c>
      <x:c r="F257" s="2" t="str">
        <x:v>sale_assumed</x:v>
      </x:c>
      <x:c r="G257" s="11" t="n">
        <x:v>300</x:v>
      </x:c>
      <x:c r="H257" s="12" t="n">
        <x:v>175000000</x:v>
      </x:c>
      <x:c r="I257" s="12" t="n">
        <x:v>583333.3333333334</x:v>
      </x:c>
      <x:c r="J257" s="2" t="str">
        <x:v>total</x:v>
      </x:c>
      <x:c r="K257" s="2" t="str">
        <x:v>top_level_area</x:v>
      </x:c>
      <x:c r="L257" s="2" t="str">
        <x:v>property_type_inferred_from_title;transaction_assumed_sale_from_dataset_context</x:v>
      </x:c>
      <x:c r="M257" s="10" t="n">
        <x:v>0</x:v>
      </x:c>
      <x:c r="N257" s="10" t="n">
        <x:v>0</x:v>
      </x:c>
      <x:c r="O257" s="2" t="str">
        <x:v>Bình Dương|land</x:v>
      </x:c>
      <x:c r="P257" s="10" t="n">
        <x:v>1</x:v>
      </x:c>
      <x:c r="Q257" s="13" t="n">
        <x:f>IF(H257="","",H257/1000000000)</x:f>
        <x:v>0.175</x:v>
      </x:c>
      <x:c r="R257" s="13" t="n">
        <x:f>IF(I257="","",I257/1000000)</x:f>
        <x:v>0.5833333333333334</x:v>
      </x:c>
    </x:row>
    <x:row r="258" ht="21" customHeight="1">
      <x:c r="A258" s="10" t="n">
        <x:v>270</x:v>
      </x:c>
      <x:c r="B258" s="2" t="str">
        <x:v>d2e30b01298b3bd36522</x:v>
      </x:c>
      <x:c r="C258" s="2" t="str">
        <x:v>Tp Hồ Chí Minh</x:v>
      </x:c>
      <x:c r="D258" s="2" t="str">
        <x:v>Quận Bình Thạnh</x:v>
      </x:c>
      <x:c r="E258" s="2" t="str">
        <x:v>apartment</x:v>
      </x:c>
      <x:c r="F258" s="2" t="str">
        <x:v>sale</x:v>
      </x:c>
      <x:c r="G258" s="11" t="n">
        <x:v>90</x:v>
      </x:c>
      <x:c r="H258" s="12" t="n">
        <x:v>3480000000</x:v>
      </x:c>
      <x:c r="I258" s="12" t="n">
        <x:v>38666666.666666664</x:v>
      </x:c>
      <x:c r="J258" s="2" t="str">
        <x:v>total</x:v>
      </x:c>
      <x:c r="K258" s="2" t="str">
        <x:v>top_level_area</x:v>
      </x:c>
      <x:c r="L258" s="2" t="str">
        <x:v>property_type_inferred_from_title</x:v>
      </x:c>
      <x:c r="M258" s="10" t="n">
        <x:v>0</x:v>
      </x:c>
      <x:c r="N258" s="10" t="n">
        <x:v>0</x:v>
      </x:c>
      <x:c r="O258" s="2" t="str">
        <x:v>Tp Hồ Chí Minh|apartment</x:v>
      </x:c>
      <x:c r="P258" s="10" t="n">
        <x:v>2</x:v>
      </x:c>
      <x:c r="Q258" s="13" t="n">
        <x:f>IF(H258="","",H258/1000000000)</x:f>
        <x:v>3.48</x:v>
      </x:c>
      <x:c r="R258" s="13" t="n">
        <x:f>IF(I258="","",I258/1000000)</x:f>
        <x:v>38.666666666666664</x:v>
      </x:c>
    </x:row>
    <x:row r="259" ht="21" customHeight="1">
      <x:c r="A259" s="10" t="n">
        <x:v>271</x:v>
      </x:c>
      <x:c r="B259" s="2" t="str">
        <x:v>bb4c854b8cd7c389a4b7</x:v>
      </x:c>
      <x:c r="C259" s="2" t="str">
        <x:v>Tp Hồ Chí Minh</x:v>
      </x:c>
      <x:c r="D259" s="2" t="str">
        <x:v>Quận Bình Thạnh</x:v>
      </x:c>
      <x:c r="E259" s="2" t="str">
        <x:v>house</x:v>
      </x:c>
      <x:c r="F259" s="2" t="str">
        <x:v>sale_assumed</x:v>
      </x:c>
      <x:c r="G259" s="11" t="n">
        <x:v>130</x:v>
      </x:c>
      <x:c r="H259" s="12" t="n">
        <x:v>450000000</x:v>
      </x:c>
      <x:c r="I259" s="12" t="n">
        <x:v>3461538.4615384615</x:v>
      </x:c>
      <x:c r="J259" s="2" t="str">
        <x:v>total</x:v>
      </x:c>
      <x:c r="K259" s="2" t="str">
        <x:v>top_level_price_embedded_area</x:v>
      </x:c>
      <x:c r="L259" s="2" t="str">
        <x:v>area_recovered_from_price_text;property_type_inferred_from_title;transaction_assumed_sale_from_dataset_context</x:v>
      </x:c>
      <x:c r="M259" s="10" t="n">
        <x:v>0</x:v>
      </x:c>
      <x:c r="N259" s="10" t="n">
        <x:v>0</x:v>
      </x:c>
      <x:c r="O259" s="2" t="str">
        <x:v>Tp Hồ Chí Minh|house</x:v>
      </x:c>
      <x:c r="P259" s="10" t="n">
        <x:v>1</x:v>
      </x:c>
      <x:c r="Q259" s="13" t="n">
        <x:f>IF(H259="","",H259/1000000000)</x:f>
        <x:v>0.45</x:v>
      </x:c>
      <x:c r="R259" s="13" t="n">
        <x:f>IF(I259="","",I259/1000000)</x:f>
        <x:v>3.4615384615384617</x:v>
      </x:c>
    </x:row>
    <x:row r="260" ht="21" customHeight="1">
      <x:c r="A260" s="10" t="n">
        <x:v>272</x:v>
      </x:c>
      <x:c r="B260" s="2" t="str">
        <x:v>4a324af7056dfad3979a</x:v>
      </x:c>
      <x:c r="C260" s="2" t="str">
        <x:v>Tp Hồ Chí Minh</x:v>
      </x:c>
      <x:c r="D260" s="2" t="str">
        <x:v>Quận Tân Bình</x:v>
      </x:c>
      <x:c r="E260" s="2" t="str">
        <x:v>other_unknown</x:v>
      </x:c>
      <x:c r="F260" s="2" t="str">
        <x:v>sale_assumed</x:v>
      </x:c>
      <x:c r="G260" s="11" t="n">
        <x:v>100</x:v>
      </x:c>
      <x:c r="H260" s="12" t="n">
        <x:v>10200000000</x:v>
      </x:c>
      <x:c r="I260" s="12" t="n">
        <x:v>102000000</x:v>
      </x:c>
      <x:c r="J260" s="2" t="str">
        <x:v>total</x:v>
      </x:c>
      <x:c r="K260" s="2" t="str">
        <x:v>top_level_area</x:v>
      </x:c>
      <x:c r="L260" s="2" t="str">
        <x:v>property_type_inferred_from_title;transaction_assumed_sale_from_dataset_context;unknown_property_type</x:v>
      </x:c>
      <x:c r="M260" s="10" t="n">
        <x:v>0</x:v>
      </x:c>
      <x:c r="N260" s="10" t="n">
        <x:v>0</x:v>
      </x:c>
      <x:c r="O260" s="2" t="str">
        <x:v>Tp Hồ Chí Minh|other_unknown</x:v>
      </x:c>
      <x:c r="P260" s="10" t="n">
        <x:v>2</x:v>
      </x:c>
      <x:c r="Q260" s="13" t="n">
        <x:f>IF(H260="","",H260/1000000000)</x:f>
        <x:v>10.2</x:v>
      </x:c>
      <x:c r="R260" s="13" t="n">
        <x:f>IF(I260="","",I260/1000000)</x:f>
        <x:v>102</x:v>
      </x:c>
    </x:row>
    <x:row r="261" ht="21" customHeight="1">
      <x:c r="A261" s="10" t="n">
        <x:v>273</x:v>
      </x:c>
      <x:c r="B261" s="2" t="str">
        <x:v>6ca0ccf8410de61130fa</x:v>
      </x:c>
      <x:c r="C261" s="2" t="str">
        <x:v>Đồng Tháp</x:v>
      </x:c>
      <x:c r="D261" s="2" t="str">
        <x:v>Thành phố Cao Lãnh</x:v>
      </x:c>
      <x:c r="E261" s="2" t="str">
        <x:v>house</x:v>
      </x:c>
      <x:c r="F261" s="2" t="str">
        <x:v>sale_assumed</x:v>
      </x:c>
      <x:c r="G261" s="11" t="n">
        <x:v>125</x:v>
      </x:c>
      <x:c r="H261" s="12" t="n">
        <x:v>5700000000</x:v>
      </x:c>
      <x:c r="I261" s="12" t="n">
        <x:v>45600000</x:v>
      </x:c>
      <x:c r="J261" s="2" t="str">
        <x:v>total</x:v>
      </x:c>
      <x:c r="K261" s="2" t="str">
        <x:v>top_level_area</x:v>
      </x:c>
      <x:c r="L261" s="2" t="str">
        <x:v>property_type_inferred_from_title;transaction_assumed_sale_from_dataset_context</x:v>
      </x:c>
      <x:c r="M261" s="10" t="n">
        <x:v>0</x:v>
      </x:c>
      <x:c r="N261" s="10" t="n">
        <x:v>0</x:v>
      </x:c>
      <x:c r="O261" s="2" t="str">
        <x:v>house</x:v>
      </x:c>
      <x:c r="P261" s="10" t="n">
        <x:v>2</x:v>
      </x:c>
      <x:c r="Q261" s="13" t="n">
        <x:f>IF(H261="","",H261/1000000000)</x:f>
        <x:v>5.7</x:v>
      </x:c>
      <x:c r="R261" s="13" t="n">
        <x:f>IF(I261="","",I261/1000000)</x:f>
        <x:v>45.6</x:v>
      </x:c>
    </x:row>
    <x:row r="262" ht="21" customHeight="1">
      <x:c r="A262" s="10" t="n">
        <x:v>274</x:v>
      </x:c>
      <x:c r="B262" s="2" t="str">
        <x:v>2e261434356e24a8907e</x:v>
      </x:c>
      <x:c r="C262" s="2" t="str">
        <x:v>Tp Hồ Chí Minh</x:v>
      </x:c>
      <x:c r="D262" s="2" t="str">
        <x:v>Quận 12</x:v>
      </x:c>
      <x:c r="E262" s="2" t="str">
        <x:v>house</x:v>
      </x:c>
      <x:c r="F262" s="2" t="str">
        <x:v>sale_assumed</x:v>
      </x:c>
      <x:c r="G262" s="11" t="n">
        <x:v>40</x:v>
      </x:c>
      <x:c r="H262" s="12" t="n">
        <x:v>2680000000</x:v>
      </x:c>
      <x:c r="I262" s="12" t="n">
        <x:v>67000000</x:v>
      </x:c>
      <x:c r="J262" s="2" t="str">
        <x:v>total</x:v>
      </x:c>
      <x:c r="K262" s="2" t="str">
        <x:v>top_level_area</x:v>
      </x:c>
      <x:c r="L262" s="2" t="str">
        <x:v>property_type_inferred_from_title;transaction_assumed_sale_from_dataset_context</x:v>
      </x:c>
      <x:c r="M262" s="10" t="n">
        <x:v>0</x:v>
      </x:c>
      <x:c r="N262" s="10" t="n">
        <x:v>0</x:v>
      </x:c>
      <x:c r="O262" s="2" t="str">
        <x:v>Tp Hồ Chí Minh|house</x:v>
      </x:c>
      <x:c r="P262" s="10" t="n">
        <x:v>2</x:v>
      </x:c>
      <x:c r="Q262" s="13" t="n">
        <x:f>IF(H262="","",H262/1000000000)</x:f>
        <x:v>2.68</x:v>
      </x:c>
      <x:c r="R262" s="13" t="n">
        <x:f>IF(I262="","",I262/1000000)</x:f>
        <x:v>67</x:v>
      </x:c>
    </x:row>
    <x:row r="263" ht="21" customHeight="1">
      <x:c r="A263" s="10" t="n">
        <x:v>275</x:v>
      </x:c>
      <x:c r="B263" s="2" t="str">
        <x:v>1adb143b8803bb819f88</x:v>
      </x:c>
      <x:c r="C263" s="2" t="str">
        <x:v>Tiền Giang</x:v>
      </x:c>
      <x:c r="D263" s="2" t="str">
        <x:v>Huyện Chợ Gạo</x:v>
      </x:c>
      <x:c r="E263" s="2" t="str">
        <x:v>land</x:v>
      </x:c>
      <x:c r="F263" s="2" t="str">
        <x:v>sale_assumed</x:v>
      </x:c>
      <x:c r="G263" s="11" t="n">
        <x:v>210</x:v>
      </x:c>
      <x:c r="H263" s="12" t="n">
        <x:v>450000000</x:v>
      </x:c>
      <x:c r="I263" s="12" t="n">
        <x:v>2142857.1428571427</x:v>
      </x:c>
      <x:c r="J263" s="2" t="str">
        <x:v>total</x:v>
      </x:c>
      <x:c r="K263" s="2" t="str">
        <x:v>top_level_area</x:v>
      </x:c>
      <x:c r="L263" s="2" t="str">
        <x:v>property_type_inferred_from_title;transaction_assumed_sale_from_dataset_context</x:v>
      </x:c>
      <x:c r="M263" s="10" t="n">
        <x:v>0</x:v>
      </x:c>
      <x:c r="N263" s="10" t="n">
        <x:v>0</x:v>
      </x:c>
      <x:c r="O263" s="2" t="str">
        <x:v>land</x:v>
      </x:c>
      <x:c r="P263" s="10" t="n">
        <x:v>1</x:v>
      </x:c>
      <x:c r="Q263" s="13" t="n">
        <x:f>IF(H263="","",H263/1000000000)</x:f>
        <x:v>0.45</x:v>
      </x:c>
      <x:c r="R263" s="13" t="n">
        <x:f>IF(I263="","",I263/1000000)</x:f>
        <x:v>2.142857142857143</x:v>
      </x:c>
    </x:row>
    <x:row r="264" ht="21" customHeight="1">
      <x:c r="A264" s="10" t="n">
        <x:v>276</x:v>
      </x:c>
      <x:c r="B264" s="2" t="str">
        <x:v>f34a720e730bdfe77ce1</x:v>
      </x:c>
      <x:c r="C264" s="2" t="str">
        <x:v>Tp Hồ Chí Minh</x:v>
      </x:c>
      <x:c r="D264" s="2" t="str">
        <x:v>Huyện Hóc Môn</x:v>
      </x:c>
      <x:c r="E264" s="2" t="str">
        <x:v>house</x:v>
      </x:c>
      <x:c r="F264" s="2" t="str">
        <x:v>sale_assumed</x:v>
      </x:c>
      <x:c r="G264" s="11" t="n">
        <x:v>80</x:v>
      </x:c>
      <x:c r="H264" s="12" t="n">
        <x:v>3950000000</x:v>
      </x:c>
      <x:c r="I264" s="12" t="n">
        <x:v>49375000</x:v>
      </x:c>
      <x:c r="J264" s="2" t="str">
        <x:v>total</x:v>
      </x:c>
      <x:c r="K264" s="2" t="str">
        <x:v>top_level_area</x:v>
      </x:c>
      <x:c r="L264" s="2" t="str">
        <x:v>property_type_inferred_from_title;transaction_assumed_sale_from_dataset_context</x:v>
      </x:c>
      <x:c r="M264" s="10" t="n">
        <x:v>0</x:v>
      </x:c>
      <x:c r="N264" s="10" t="n">
        <x:v>0</x:v>
      </x:c>
      <x:c r="O264" s="2" t="str">
        <x:v>Tp Hồ Chí Minh|house</x:v>
      </x:c>
      <x:c r="P264" s="10" t="n">
        <x:v>2</x:v>
      </x:c>
      <x:c r="Q264" s="13" t="n">
        <x:f>IF(H264="","",H264/1000000000)</x:f>
        <x:v>3.95</x:v>
      </x:c>
      <x:c r="R264" s="13" t="n">
        <x:f>IF(I264="","",I264/1000000)</x:f>
        <x:v>49.375</x:v>
      </x:c>
    </x:row>
    <x:row r="265" ht="21" customHeight="1">
      <x:c r="A265" s="10" t="n">
        <x:v>277</x:v>
      </x:c>
      <x:c r="B265" s="2" t="str">
        <x:v>a5243c862375c2fe16a6</x:v>
      </x:c>
      <x:c r="C265" s="2" t="str">
        <x:v>Tp Hồ Chí Minh</x:v>
      </x:c>
      <x:c r="D265" s="2" t="str">
        <x:v>Huyện Hóc Môn</x:v>
      </x:c>
      <x:c r="E265" s="2" t="str">
        <x:v>land</x:v>
      </x:c>
      <x:c r="F265" s="2" t="str">
        <x:v>sale_assumed</x:v>
      </x:c>
      <x:c r="G265" s="11" t="n">
        <x:v>90.3</x:v>
      </x:c>
      <x:c r="H265" s="12" t="n">
        <x:v>2270000000</x:v>
      </x:c>
      <x:c r="I265" s="12" t="n">
        <x:v>25138427.46400886</x:v>
      </x:c>
      <x:c r="J265" s="2" t="str">
        <x:v>total</x:v>
      </x:c>
      <x:c r="K265" s="2" t="str">
        <x:v>top_level_price_embedded_area</x:v>
      </x:c>
      <x:c r="L265" s="2" t="str">
        <x:v>area_recovered_from_price_text;property_type_inferred_from_title;transaction_assumed_sale_from_dataset_context</x:v>
      </x:c>
      <x:c r="M265" s="10" t="n">
        <x:v>0</x:v>
      </x:c>
      <x:c r="N265" s="10" t="n">
        <x:v>0</x:v>
      </x:c>
      <x:c r="O265" s="2" t="str">
        <x:v>Tp Hồ Chí Minh|land</x:v>
      </x:c>
      <x:c r="P265" s="10" t="n">
        <x:v>2</x:v>
      </x:c>
      <x:c r="Q265" s="13" t="n">
        <x:f>IF(H265="","",H265/1000000000)</x:f>
        <x:v>2.27</x:v>
      </x:c>
      <x:c r="R265" s="13" t="n">
        <x:f>IF(I265="","",I265/1000000)</x:f>
        <x:v>25.13842746400886</x:v>
      </x:c>
    </x:row>
    <x:row r="266" ht="21" customHeight="1">
      <x:c r="A266" s="10" t="n">
        <x:v>278</x:v>
      </x:c>
      <x:c r="B266" s="2" t="str">
        <x:v>a2eb91cccca18096b3ad</x:v>
      </x:c>
      <x:c r="C266" s="2" t="str">
        <x:v>Đồng Nai</x:v>
      </x:c>
      <x:c r="D266" s="2" t="str">
        <x:v>Huyện Long Thành</x:v>
      </x:c>
      <x:c r="E266" s="2" t="str">
        <x:v>land</x:v>
      </x:c>
      <x:c r="F266" s="2" t="str">
        <x:v>sale</x:v>
      </x:c>
      <x:c r="G266" s="11" t="n">
        <x:v>120</x:v>
      </x:c>
      <x:c r="H266" s="12" t="n">
        <x:v>2200000000</x:v>
      </x:c>
      <x:c r="I266" s="12" t="n">
        <x:v>18333333.333333332</x:v>
      </x:c>
      <x:c r="J266" s="2" t="str">
        <x:v>total</x:v>
      </x:c>
      <x:c r="K266" s="2" t="str">
        <x:v>top_level_area</x:v>
      </x:c>
      <x:c r="L266" s="2" t="str">
        <x:v>property_type_inferred_from_title</x:v>
      </x:c>
      <x:c r="M266" s="10" t="n">
        <x:v>0</x:v>
      </x:c>
      <x:c r="N266" s="10" t="n">
        <x:v>0</x:v>
      </x:c>
      <x:c r="O266" s="2" t="str">
        <x:v>Đồng Nai|land</x:v>
      </x:c>
      <x:c r="P266" s="10" t="n">
        <x:v>2</x:v>
      </x:c>
      <x:c r="Q266" s="13" t="n">
        <x:f>IF(H266="","",H266/1000000000)</x:f>
        <x:v>2.2</x:v>
      </x:c>
      <x:c r="R266" s="13" t="n">
        <x:f>IF(I266="","",I266/1000000)</x:f>
        <x:v>18.333333333333332</x:v>
      </x:c>
    </x:row>
    <x:row r="267" ht="21" customHeight="1">
      <x:c r="A267" s="10" t="n">
        <x:v>280</x:v>
      </x:c>
      <x:c r="B267" s="2" t="str">
        <x:v>62b510596a03501fca98</x:v>
      </x:c>
      <x:c r="C267" s="2" t="str">
        <x:v>Bà Rịa - Vũng Tàu</x:v>
      </x:c>
      <x:c r="D267" s="2" t="str">
        <x:v>Huyện Châu Đức</x:v>
      </x:c>
      <x:c r="E267" s="2" t="str">
        <x:v>land</x:v>
      </x:c>
      <x:c r="F267" s="2" t="str">
        <x:v>sale_assumed</x:v>
      </x:c>
      <x:c r="G267" s="11" t="n">
        <x:v>126</x:v>
      </x:c>
      <x:c r="H267" s="12" t="n">
        <x:v>680000000</x:v>
      </x:c>
      <x:c r="I267" s="12" t="n">
        <x:v>5396825.396825396</x:v>
      </x:c>
      <x:c r="J267" s="2" t="str">
        <x:v>total</x:v>
      </x:c>
      <x:c r="K267" s="2" t="str">
        <x:v>top_level_area</x:v>
      </x:c>
      <x:c r="L267" s="2" t="str">
        <x:v>property_type_inferred_from_title;transaction_assumed_sale_from_dataset_context</x:v>
      </x:c>
      <x:c r="M267" s="10" t="n">
        <x:v>0</x:v>
      </x:c>
      <x:c r="N267" s="10" t="n">
        <x:v>0</x:v>
      </x:c>
      <x:c r="O267" s="2" t="str">
        <x:v>Bà Rịa - Vũng Tàu|land</x:v>
      </x:c>
      <x:c r="P267" s="10" t="n">
        <x:v>2</x:v>
      </x:c>
      <x:c r="Q267" s="13" t="n">
        <x:f>IF(H267="","",H267/1000000000)</x:f>
        <x:v>0.68</x:v>
      </x:c>
      <x:c r="R267" s="13" t="n">
        <x:f>IF(I267="","",I267/1000000)</x:f>
        <x:v>5.396825396825396</x:v>
      </x:c>
    </x:row>
    <x:row r="268" ht="21" customHeight="1">
      <x:c r="A268" s="10" t="n">
        <x:v>281</x:v>
      </x:c>
      <x:c r="B268" s="2" t="str">
        <x:v>198b6f1f535603bc7fe5</x:v>
      </x:c>
      <x:c r="C268" s="2" t="str">
        <x:v>Long An</x:v>
      </x:c>
      <x:c r="D268" s="2" t="str">
        <x:v>Huyện Đức Hòa</x:v>
      </x:c>
      <x:c r="E268" s="2" t="str">
        <x:v>land</x:v>
      </x:c>
      <x:c r="F268" s="2" t="str">
        <x:v>sale_assumed</x:v>
      </x:c>
      <x:c r="G268" s="11" t="n">
        <x:v>108</x:v>
      </x:c>
      <x:c r="H268" s="12" t="n">
        <x:v>780000000</x:v>
      </x:c>
      <x:c r="I268" s="12" t="n">
        <x:v>7222222.222222222</x:v>
      </x:c>
      <x:c r="J268" s="2" t="str">
        <x:v>total</x:v>
      </x:c>
      <x:c r="K268" s="2" t="str">
        <x:v>top_level_area</x:v>
      </x:c>
      <x:c r="L268" s="2" t="str">
        <x:v>property_type_inferred_from_title;transaction_assumed_sale_from_dataset_context</x:v>
      </x:c>
      <x:c r="M268" s="10" t="n">
        <x:v>0</x:v>
      </x:c>
      <x:c r="N268" s="10" t="n">
        <x:v>0</x:v>
      </x:c>
      <x:c r="O268" s="2" t="str">
        <x:v>Long An|land</x:v>
      </x:c>
      <x:c r="P268" s="10" t="n">
        <x:v>2</x:v>
      </x:c>
      <x:c r="Q268" s="13" t="n">
        <x:f>IF(H268="","",H268/1000000000)</x:f>
        <x:v>0.78</x:v>
      </x:c>
      <x:c r="R268" s="13" t="n">
        <x:f>IF(I268="","",I268/1000000)</x:f>
        <x:v>7.222222222222222</x:v>
      </x:c>
    </x:row>
    <x:row r="269" ht="21" customHeight="1">
      <x:c r="A269" s="10" t="n">
        <x:v>282</x:v>
      </x:c>
      <x:c r="B269" s="2" t="str">
        <x:v>0f2f9946ccb6d75d185d</x:v>
      </x:c>
      <x:c r="C269" s="2" t="str">
        <x:v>Long An</x:v>
      </x:c>
      <x:c r="D269" s="2" t="str">
        <x:v>Huyện Tân Thạnh</x:v>
      </x:c>
      <x:c r="E269" s="2" t="str">
        <x:v>house</x:v>
      </x:c>
      <x:c r="F269" s="2" t="str">
        <x:v>sale_assumed</x:v>
      </x:c>
      <x:c r="G269" s="11" t="n">
        <x:v>100</x:v>
      </x:c>
      <x:c r="H269" s="12" t="n">
        <x:v>260000000</x:v>
      </x:c>
      <x:c r="I269" s="12" t="n">
        <x:v>2600000</x:v>
      </x:c>
      <x:c r="J269" s="2" t="str">
        <x:v>total</x:v>
      </x:c>
      <x:c r="K269" s="2" t="str">
        <x:v>top_level_area</x:v>
      </x:c>
      <x:c r="L269" s="2" t="str">
        <x:v>property_type_inferred_from_title;transaction_assumed_sale_from_dataset_context</x:v>
      </x:c>
      <x:c r="M269" s="10" t="n">
        <x:v>0</x:v>
      </x:c>
      <x:c r="N269" s="10" t="n">
        <x:v>0</x:v>
      </x:c>
      <x:c r="O269" s="2" t="str">
        <x:v>Long An|house</x:v>
      </x:c>
      <x:c r="P269" s="10" t="n">
        <x:v>1</x:v>
      </x:c>
      <x:c r="Q269" s="13" t="n">
        <x:f>IF(H269="","",H269/1000000000)</x:f>
        <x:v>0.26</x:v>
      </x:c>
      <x:c r="R269" s="13" t="n">
        <x:f>IF(I269="","",I269/1000000)</x:f>
        <x:v>2.6</x:v>
      </x:c>
    </x:row>
    <x:row r="270" ht="21" customHeight="1">
      <x:c r="A270" s="10" t="n">
        <x:v>283</x:v>
      </x:c>
      <x:c r="B270" s="2" t="str">
        <x:v>1dbea26815bc7e079491</x:v>
      </x:c>
      <x:c r="C270" s="2" t="str">
        <x:v>Đồng Nai</x:v>
      </x:c>
      <x:c r="D270" s="2" t="str">
        <x:v>Huyện Long Thành</x:v>
      </x:c>
      <x:c r="E270" s="2" t="str">
        <x:v>land</x:v>
      </x:c>
      <x:c r="F270" s="2" t="str">
        <x:v>sale_assumed</x:v>
      </x:c>
      <x:c r="G270" s="11" t="n">
        <x:v>1135</x:v>
      </x:c>
      <x:c r="H270" s="12" t="n">
        <x:v>1600000000</x:v>
      </x:c>
      <x:c r="I270" s="12" t="n">
        <x:v>1409691.6299559472</x:v>
      </x:c>
      <x:c r="J270" s="2" t="str">
        <x:v>total</x:v>
      </x:c>
      <x:c r="K270" s="2" t="str">
        <x:v>top_level_area</x:v>
      </x:c>
      <x:c r="L270" s="2" t="str">
        <x:v>dot_thousands_convention;property_type_inferred_from_title;transaction_assumed_sale_from_dataset_context</x:v>
      </x:c>
      <x:c r="M270" s="10" t="n">
        <x:v>0</x:v>
      </x:c>
      <x:c r="N270" s="10" t="n">
        <x:v>0</x:v>
      </x:c>
      <x:c r="O270" s="2" t="str">
        <x:v>Đồng Nai|land</x:v>
      </x:c>
      <x:c r="P270" s="10" t="n">
        <x:v>1</x:v>
      </x:c>
      <x:c r="Q270" s="13" t="n">
        <x:f>IF(H270="","",H270/1000000000)</x:f>
        <x:v>1.6</x:v>
      </x:c>
      <x:c r="R270" s="13" t="n">
        <x:f>IF(I270="","",I270/1000000)</x:f>
        <x:v>1.4096916299559472</x:v>
      </x:c>
    </x:row>
    <x:row r="271" ht="21" customHeight="1">
      <x:c r="A271" s="10" t="n">
        <x:v>284</x:v>
      </x:c>
      <x:c r="B271" s="2" t="str">
        <x:v>3621320b03f7ab78cc8a</x:v>
      </x:c>
      <x:c r="C271" s="2" t="str">
        <x:v>Tp Hồ Chí Minh</x:v>
      </x:c>
      <x:c r="D271" s="2" t="str">
        <x:v>Quận Bình Tân</x:v>
      </x:c>
      <x:c r="E271" s="2" t="str">
        <x:v>land</x:v>
      </x:c>
      <x:c r="F271" s="2" t="str">
        <x:v>sale</x:v>
      </x:c>
      <x:c r="G271" s="11" t="n">
        <x:v>52</x:v>
      </x:c>
      <x:c r="H271" s="12" t="n">
        <x:v>2800000000</x:v>
      </x:c>
      <x:c r="I271" s="12" t="n">
        <x:v>53846153.84615385</x:v>
      </x:c>
      <x:c r="J271" s="2" t="str">
        <x:v>total</x:v>
      </x:c>
      <x:c r="K271" s="2" t="str">
        <x:v>top_level_area</x:v>
      </x:c>
      <x:c r="L271" s="2" t="str">
        <x:v>property_type_inferred_from_title</x:v>
      </x:c>
      <x:c r="M271" s="10" t="n">
        <x:v>0</x:v>
      </x:c>
      <x:c r="N271" s="10" t="n">
        <x:v>0</x:v>
      </x:c>
      <x:c r="O271" s="2" t="str">
        <x:v>Tp Hồ Chí Minh|land</x:v>
      </x:c>
      <x:c r="P271" s="10" t="n">
        <x:v>2</x:v>
      </x:c>
      <x:c r="Q271" s="13" t="n">
        <x:f>IF(H271="","",H271/1000000000)</x:f>
        <x:v>2.8</x:v>
      </x:c>
      <x:c r="R271" s="13" t="n">
        <x:f>IF(I271="","",I271/1000000)</x:f>
        <x:v>53.84615384615385</x:v>
      </x:c>
    </x:row>
    <x:row r="272" ht="21" customHeight="1">
      <x:c r="A272" s="10" t="n">
        <x:v>285</x:v>
      </x:c>
      <x:c r="B272" s="2" t="str">
        <x:v>52af773b53025d23aa00</x:v>
      </x:c>
      <x:c r="C272" s="2" t="str">
        <x:v>Cần Thơ</x:v>
      </x:c>
      <x:c r="D272" s="2" t="str">
        <x:v>Quận Cái Răng</x:v>
      </x:c>
      <x:c r="E272" s="2" t="str">
        <x:v>land</x:v>
      </x:c>
      <x:c r="F272" s="2" t="str">
        <x:v>sale</x:v>
      </x:c>
      <x:c r="G272" s="11" t="n">
        <x:v>90</x:v>
      </x:c>
      <x:c r="H272" s="12" t="n">
        <x:v>1970000000</x:v>
      </x:c>
      <x:c r="I272" s="12" t="n">
        <x:v>21888888.888888888</x:v>
      </x:c>
      <x:c r="J272" s="2" t="str">
        <x:v>total</x:v>
      </x:c>
      <x:c r="K272" s="2" t="str">
        <x:v>top_level_area</x:v>
      </x:c>
      <x:c r="L272" s="2" t="str">
        <x:v>property_type_inferred_from_title</x:v>
      </x:c>
      <x:c r="M272" s="10" t="n">
        <x:v>0</x:v>
      </x:c>
      <x:c r="N272" s="10" t="n">
        <x:v>0</x:v>
      </x:c>
      <x:c r="O272" s="2" t="str">
        <x:v>Cần Thơ|land</x:v>
      </x:c>
      <x:c r="P272" s="10" t="n">
        <x:v>2</x:v>
      </x:c>
      <x:c r="Q272" s="13" t="n">
        <x:f>IF(H272="","",H272/1000000000)</x:f>
        <x:v>1.97</x:v>
      </x:c>
      <x:c r="R272" s="13" t="n">
        <x:f>IF(I272="","",I272/1000000)</x:f>
        <x:v>21.88888888888889</x:v>
      </x:c>
    </x:row>
    <x:row r="273" ht="21" customHeight="1">
      <x:c r="A273" s="10" t="n">
        <x:v>286</x:v>
      </x:c>
      <x:c r="B273" s="2" t="str">
        <x:v>b79bdc83de79818fd825</x:v>
      </x:c>
      <x:c r="C273" s="2" t="str">
        <x:v>Tp Hồ Chí Minh</x:v>
      </x:c>
      <x:c r="D273" s="2" t="str">
        <x:v>Quận 9</x:v>
      </x:c>
      <x:c r="E273" s="2" t="str">
        <x:v>other_unknown</x:v>
      </x:c>
      <x:c r="F273" s="2" t="str">
        <x:v>sale</x:v>
      </x:c>
      <x:c r="G273" s="11" t="n">
        <x:v>69</x:v>
      </x:c>
      <x:c r="H273" s="12" t="n">
        <x:v>2590000000</x:v>
      </x:c>
      <x:c r="I273" s="12" t="n">
        <x:v>37536231.88405797</x:v>
      </x:c>
      <x:c r="J273" s="2" t="str">
        <x:v>total</x:v>
      </x:c>
      <x:c r="K273" s="2" t="str">
        <x:v>top_level_area</x:v>
      </x:c>
      <x:c r="L273" s="2" t="str">
        <x:v>property_type_inferred_from_title;unknown_property_type</x:v>
      </x:c>
      <x:c r="M273" s="10" t="n">
        <x:v>0</x:v>
      </x:c>
      <x:c r="N273" s="10" t="n">
        <x:v>0</x:v>
      </x:c>
      <x:c r="O273" s="2" t="str">
        <x:v>Tp Hồ Chí Minh|other_unknown</x:v>
      </x:c>
      <x:c r="P273" s="10" t="n">
        <x:v>2</x:v>
      </x:c>
      <x:c r="Q273" s="13" t="n">
        <x:f>IF(H273="","",H273/1000000000)</x:f>
        <x:v>2.59</x:v>
      </x:c>
      <x:c r="R273" s="13" t="n">
        <x:f>IF(I273="","",I273/1000000)</x:f>
        <x:v>37.53623188405797</x:v>
      </x:c>
    </x:row>
    <x:row r="274" ht="21" customHeight="1">
      <x:c r="A274" s="10" t="n">
        <x:v>287</x:v>
      </x:c>
      <x:c r="B274" s="2" t="str">
        <x:v>66a60349f06fa41d8dd6</x:v>
      </x:c>
      <x:c r="C274" s="2" t="str">
        <x:v>Đà Nẵng</x:v>
      </x:c>
      <x:c r="D274" s="2" t="str">
        <x:v>Quận Ngũ Hành Sơn</x:v>
      </x:c>
      <x:c r="E274" s="2" t="str">
        <x:v>house</x:v>
      </x:c>
      <x:c r="F274" s="2" t="str">
        <x:v>sale</x:v>
      </x:c>
      <x:c r="G274" s="11" t="n">
        <x:v>90</x:v>
      </x:c>
      <x:c r="H274" s="12" t="n">
        <x:v>3700000000</x:v>
      </x:c>
      <x:c r="I274" s="12" t="n">
        <x:v>41111111.11111111</x:v>
      </x:c>
      <x:c r="J274" s="2" t="str">
        <x:v>total</x:v>
      </x:c>
      <x:c r="K274" s="2" t="str">
        <x:v>top_level_area</x:v>
      </x:c>
      <x:c r="L274" s="2" t="str">
        <x:v>property_type_inferred_from_title</x:v>
      </x:c>
      <x:c r="M274" s="10" t="n">
        <x:v>0</x:v>
      </x:c>
      <x:c r="N274" s="10" t="n">
        <x:v>0</x:v>
      </x:c>
      <x:c r="O274" s="2" t="str">
        <x:v>Đà Nẵng|house</x:v>
      </x:c>
      <x:c r="P274" s="10" t="n">
        <x:v>2</x:v>
      </x:c>
      <x:c r="Q274" s="13" t="n">
        <x:f>IF(H274="","",H274/1000000000)</x:f>
        <x:v>3.7</x:v>
      </x:c>
      <x:c r="R274" s="13" t="n">
        <x:f>IF(I274="","",I274/1000000)</x:f>
        <x:v>41.111111111111114</x:v>
      </x:c>
    </x:row>
    <x:row r="275" ht="21" customHeight="1">
      <x:c r="A275" s="10" t="n">
        <x:v>288</x:v>
      </x:c>
      <x:c r="B275" s="2" t="str">
        <x:v>0ea2b361ee4b13421454</x:v>
      </x:c>
      <x:c r="C275" s="2" t="str">
        <x:v>Tp Hồ Chí Minh</x:v>
      </x:c>
      <x:c r="D275" s="2" t="str">
        <x:v>Huyện Bình Chánh</x:v>
      </x:c>
      <x:c r="E275" s="2" t="str">
        <x:v>house</x:v>
      </x:c>
      <x:c r="F275" s="2" t="str">
        <x:v>sale</x:v>
      </x:c>
      <x:c r="G275" s="11" t="n">
        <x:v>32</x:v>
      </x:c>
      <x:c r="H275" s="12" t="n">
        <x:v>690000000</x:v>
      </x:c>
      <x:c r="I275" s="12" t="n">
        <x:v>21562500</x:v>
      </x:c>
      <x:c r="J275" s="2" t="str">
        <x:v>total</x:v>
      </x:c>
      <x:c r="K275" s="2" t="str">
        <x:v>top_level_area</x:v>
      </x:c>
      <x:c r="L275" s="2" t="str">
        <x:v>property_type_inferred_from_title</x:v>
      </x:c>
      <x:c r="M275" s="10" t="n">
        <x:v>0</x:v>
      </x:c>
      <x:c r="N275" s="10" t="n">
        <x:v>0</x:v>
      </x:c>
      <x:c r="O275" s="2" t="str">
        <x:v>Tp Hồ Chí Minh|house</x:v>
      </x:c>
      <x:c r="P275" s="10" t="n">
        <x:v>2</x:v>
      </x:c>
      <x:c r="Q275" s="13" t="n">
        <x:f>IF(H275="","",H275/1000000000)</x:f>
        <x:v>0.69</x:v>
      </x:c>
      <x:c r="R275" s="13" t="n">
        <x:f>IF(I275="","",I275/1000000)</x:f>
        <x:v>21.5625</x:v>
      </x:c>
    </x:row>
    <x:row r="276" ht="21" customHeight="1">
      <x:c r="A276" s="10" t="n">
        <x:v>289</x:v>
      </x:c>
      <x:c r="B276" s="2" t="str">
        <x:v>07e5638869deaa209b41</x:v>
      </x:c>
      <x:c r="C276" s="2" t="str">
        <x:v>Bình Dương</x:v>
      </x:c>
      <x:c r="D276" s="2" t="str">
        <x:v>Thị xã Thuận An</x:v>
      </x:c>
      <x:c r="E276" s="2" t="str">
        <x:v>house</x:v>
      </x:c>
      <x:c r="F276" s="2" t="str">
        <x:v>sale</x:v>
      </x:c>
      <x:c r="G276" s="11" t="n">
        <x:v>60</x:v>
      </x:c>
      <x:c r="H276" s="12" t="n">
        <x:v>720000000</x:v>
      </x:c>
      <x:c r="I276" s="12" t="n">
        <x:v>12000000</x:v>
      </x:c>
      <x:c r="J276" s="2" t="str">
        <x:v>total</x:v>
      </x:c>
      <x:c r="K276" s="2" t="str">
        <x:v>top_level_area</x:v>
      </x:c>
      <x:c r="L276" s="2" t="str">
        <x:v>property_type_inferred_from_title</x:v>
      </x:c>
      <x:c r="M276" s="10" t="n">
        <x:v>0</x:v>
      </x:c>
      <x:c r="N276" s="10" t="n">
        <x:v>0</x:v>
      </x:c>
      <x:c r="O276" s="2" t="str">
        <x:v>Bình Dương|house</x:v>
      </x:c>
      <x:c r="P276" s="10" t="n">
        <x:v>2</x:v>
      </x:c>
      <x:c r="Q276" s="13" t="n">
        <x:f>IF(H276="","",H276/1000000000)</x:f>
        <x:v>0.72</x:v>
      </x:c>
      <x:c r="R276" s="13" t="n">
        <x:f>IF(I276="","",I276/1000000)</x:f>
        <x:v>12</x:v>
      </x:c>
    </x:row>
    <x:row r="277" ht="21" customHeight="1">
      <x:c r="A277" s="10" t="n">
        <x:v>290</x:v>
      </x:c>
      <x:c r="B277" s="2" t="str">
        <x:v>9c05ad79ecbb39d67269</x:v>
      </x:c>
      <x:c r="C277" s="2" t="str">
        <x:v>Tp Hồ Chí Minh</x:v>
      </x:c>
      <x:c r="D277" s="2" t="str">
        <x:v>Quận Bình Tân</x:v>
      </x:c>
      <x:c r="E277" s="2" t="str">
        <x:v>house</x:v>
      </x:c>
      <x:c r="F277" s="2" t="str">
        <x:v>sale</x:v>
      </x:c>
      <x:c r="G277" s="11" t="n">
        <x:v>40</x:v>
      </x:c>
      <x:c r="H277" s="12" t="n">
        <x:v>2350000000</x:v>
      </x:c>
      <x:c r="I277" s="12" t="n">
        <x:v>58750000</x:v>
      </x:c>
      <x:c r="J277" s="2" t="str">
        <x:v>total</x:v>
      </x:c>
      <x:c r="K277" s="2" t="str">
        <x:v>top_level_area</x:v>
      </x:c>
      <x:c r="L277" s="2" t="str">
        <x:v>property_type_inferred_from_title</x:v>
      </x:c>
      <x:c r="M277" s="10" t="n">
        <x:v>0</x:v>
      </x:c>
      <x:c r="N277" s="10" t="n">
        <x:v>0</x:v>
      </x:c>
      <x:c r="O277" s="2" t="str">
        <x:v>Tp Hồ Chí Minh|house</x:v>
      </x:c>
      <x:c r="P277" s="10" t="n">
        <x:v>2</x:v>
      </x:c>
      <x:c r="Q277" s="13" t="n">
        <x:f>IF(H277="","",H277/1000000000)</x:f>
        <x:v>2.35</x:v>
      </x:c>
      <x:c r="R277" s="13" t="n">
        <x:f>IF(I277="","",I277/1000000)</x:f>
        <x:v>58.75</x:v>
      </x:c>
    </x:row>
    <x:row r="278" ht="21" customHeight="1">
      <x:c r="A278" s="10" t="n">
        <x:v>291</x:v>
      </x:c>
      <x:c r="B278" s="2" t="str">
        <x:v>cde5738f88df06e300c1</x:v>
      </x:c>
      <x:c r="C278" s="2" t="str">
        <x:v>Tp Hồ Chí Minh</x:v>
      </x:c>
      <x:c r="D278" s="2" t="str">
        <x:v>Quận Bình Thạnh</x:v>
      </x:c>
      <x:c r="E278" s="2" t="str">
        <x:v>land</x:v>
      </x:c>
      <x:c r="F278" s="2" t="str">
        <x:v>sale</x:v>
      </x:c>
      <x:c r="G278" s="11" t="n">
        <x:v>170</x:v>
      </x:c>
      <x:c r="H278" s="12" t="n">
        <x:v>29000000000</x:v>
      </x:c>
      <x:c r="I278" s="12" t="n">
        <x:v>170588235.29411766</x:v>
      </x:c>
      <x:c r="J278" s="2" t="str">
        <x:v>total</x:v>
      </x:c>
      <x:c r="K278" s="2" t="str">
        <x:v>top_level_area</x:v>
      </x:c>
      <x:c r="L278" s="2" t="str">
        <x:v>property_type_inferred_from_title</x:v>
      </x:c>
      <x:c r="M278" s="10" t="n">
        <x:v>1</x:v>
      </x:c>
      <x:c r="N278" s="10" t="n">
        <x:v>1</x:v>
      </x:c>
      <x:c r="O278" s="2" t="str">
        <x:v>Tp Hồ Chí Minh|land</x:v>
      </x:c>
      <x:c r="P278" s="10" t="n">
        <x:v>-1</x:v>
      </x:c>
      <x:c r="Q278" s="13" t="n">
        <x:f>IF(H278="","",H278/1000000000)</x:f>
        <x:v>29</x:v>
      </x:c>
      <x:c r="R278" s="13" t="n">
        <x:f>IF(I278="","",I278/1000000)</x:f>
        <x:v>170.58823529411765</x:v>
      </x:c>
    </x:row>
    <x:row r="279" ht="21" customHeight="1">
      <x:c r="A279" s="10" t="n">
        <x:v>292</x:v>
      </x:c>
      <x:c r="B279" s="2" t="str">
        <x:v>738e878bec803090fc2c</x:v>
      </x:c>
      <x:c r="C279" s="2" t="str">
        <x:v>Long An</x:v>
      </x:c>
      <x:c r="D279" s="2" t="str">
        <x:v>Thành phố Tân An</x:v>
      </x:c>
      <x:c r="E279" s="2" t="str">
        <x:v>land</x:v>
      </x:c>
      <x:c r="F279" s="2" t="str">
        <x:v>sale</x:v>
      </x:c>
      <x:c r="G279" s="11" t="n">
        <x:v>103</x:v>
      </x:c>
      <x:c r="H279" s="12" t="n">
        <x:v>419000000</x:v>
      </x:c>
      <x:c r="I279" s="12" t="n">
        <x:v>4067961.165048544</x:v>
      </x:c>
      <x:c r="J279" s="2" t="str">
        <x:v>total</x:v>
      </x:c>
      <x:c r="K279" s="2" t="str">
        <x:v>top_level_area</x:v>
      </x:c>
      <x:c r="L279" s="2" t="str">
        <x:v>property_type_inferred_from_title</x:v>
      </x:c>
      <x:c r="M279" s="10" t="n">
        <x:v>0</x:v>
      </x:c>
      <x:c r="N279" s="10" t="n">
        <x:v>0</x:v>
      </x:c>
      <x:c r="O279" s="2" t="str">
        <x:v>Long An|land</x:v>
      </x:c>
      <x:c r="P279" s="10" t="n">
        <x:v>2</x:v>
      </x:c>
      <x:c r="Q279" s="13" t="n">
        <x:f>IF(H279="","",H279/1000000000)</x:f>
        <x:v>0.419</x:v>
      </x:c>
      <x:c r="R279" s="13" t="n">
        <x:f>IF(I279="","",I279/1000000)</x:f>
        <x:v>4.067961165048544</x:v>
      </x:c>
    </x:row>
    <x:row r="280" ht="21" customHeight="1">
      <x:c r="A280" s="10" t="n">
        <x:v>293</x:v>
      </x:c>
      <x:c r="B280" s="2" t="str">
        <x:v>23d03f631db9e846b7fb</x:v>
      </x:c>
      <x:c r="C280" s="2" t="str">
        <x:v>Tp Hồ Chí Minh</x:v>
      </x:c>
      <x:c r="D280" s="2" t="str">
        <x:v>Quận 9</x:v>
      </x:c>
      <x:c r="E280" s="2" t="str">
        <x:v>other_unknown</x:v>
      </x:c>
      <x:c r="F280" s="2" t="str">
        <x:v>sale</x:v>
      </x:c>
      <x:c r="G280" s="11" t="n">
        <x:v>64.2</x:v>
      </x:c>
      <x:c r="H280" s="12" t="n">
        <x:v>936000000</x:v>
      </x:c>
      <x:c r="I280" s="12" t="n">
        <x:v>14579439.252336448</x:v>
      </x:c>
      <x:c r="J280" s="2" t="str">
        <x:v>total</x:v>
      </x:c>
      <x:c r="K280" s="2" t="str">
        <x:v>top_level_area</x:v>
      </x:c>
      <x:c r="L280" s="2" t="str">
        <x:v>property_type_inferred_from_title;unknown_property_type</x:v>
      </x:c>
      <x:c r="M280" s="10" t="n">
        <x:v>0</x:v>
      </x:c>
      <x:c r="N280" s="10" t="n">
        <x:v>0</x:v>
      </x:c>
      <x:c r="O280" s="2" t="str">
        <x:v>Tp Hồ Chí Minh|other_unknown</x:v>
      </x:c>
      <x:c r="P280" s="10" t="n">
        <x:v>2</x:v>
      </x:c>
      <x:c r="Q280" s="13" t="n">
        <x:f>IF(H280="","",H280/1000000000)</x:f>
        <x:v>0.936</x:v>
      </x:c>
      <x:c r="R280" s="13" t="n">
        <x:f>IF(I280="","",I280/1000000)</x:f>
        <x:v>14.579439252336448</x:v>
      </x:c>
    </x:row>
    <x:row r="281" ht="21" customHeight="1">
      <x:c r="A281" s="10" t="n">
        <x:v>294</x:v>
      </x:c>
      <x:c r="B281" s="2" t="str">
        <x:v>927344c8becc903250e2</x:v>
      </x:c>
      <x:c r="C281" s="2" t="str">
        <x:v>Tp Hồ Chí Minh</x:v>
      </x:c>
      <x:c r="D281" s="2" t="str">
        <x:v>Quận 7</x:v>
      </x:c>
      <x:c r="E281" s="2" t="str">
        <x:v>house</x:v>
      </x:c>
      <x:c r="F281" s="2" t="str">
        <x:v>sale_assumed</x:v>
      </x:c>
      <x:c r="G281" s="11" t="n">
        <x:v>108</x:v>
      </x:c>
      <x:c r="H281" s="12" t="n">
        <x:v>9500000000</x:v>
      </x:c>
      <x:c r="I281" s="12" t="n">
        <x:v>87962962.96296297</x:v>
      </x:c>
      <x:c r="J281" s="2" t="str">
        <x:v>total</x:v>
      </x:c>
      <x:c r="K281" s="2" t="str">
        <x:v>top_level_area</x:v>
      </x:c>
      <x:c r="L281" s="2" t="str">
        <x:v>property_type_inferred_from_title;transaction_assumed_sale_from_dataset_context</x:v>
      </x:c>
      <x:c r="M281" s="10" t="n">
        <x:v>0</x:v>
      </x:c>
      <x:c r="N281" s="10" t="n">
        <x:v>0</x:v>
      </x:c>
      <x:c r="O281" s="2" t="str">
        <x:v>Tp Hồ Chí Minh|house</x:v>
      </x:c>
      <x:c r="P281" s="10" t="n">
        <x:v>2</x:v>
      </x:c>
      <x:c r="Q281" s="13" t="n">
        <x:f>IF(H281="","",H281/1000000000)</x:f>
        <x:v>9.5</x:v>
      </x:c>
      <x:c r="R281" s="13" t="n">
        <x:f>IF(I281="","",I281/1000000)</x:f>
        <x:v>87.96296296296298</x:v>
      </x:c>
    </x:row>
    <x:row r="282" ht="21" customHeight="1">
      <x:c r="A282" s="10" t="n">
        <x:v>295</x:v>
      </x:c>
      <x:c r="B282" s="2" t="str">
        <x:v>c2e9b49d62adfbb52522</x:v>
      </x:c>
      <x:c r="C282" s="2" t="str">
        <x:v>Tp Hồ Chí Minh</x:v>
      </x:c>
      <x:c r="D282" s="2" t="str">
        <x:v>Quận 11</x:v>
      </x:c>
      <x:c r="E282" s="2" t="str">
        <x:v>house</x:v>
      </x:c>
      <x:c r="F282" s="2" t="str">
        <x:v>sale_assumed</x:v>
      </x:c>
      <x:c r="G282" s="11" t="n">
        <x:v>42</x:v>
      </x:c>
      <x:c r="H282" s="12" t="n">
        <x:v>6500000000</x:v>
      </x:c>
      <x:c r="I282" s="12" t="n">
        <x:v>154761904.76190478</x:v>
      </x:c>
      <x:c r="J282" s="2" t="str">
        <x:v>total</x:v>
      </x:c>
      <x:c r="K282" s="2" t="str">
        <x:v>top_level_area</x:v>
      </x:c>
      <x:c r="L282" s="2" t="str">
        <x:v>property_type_inferred_from_title;transaction_assumed_sale_from_dataset_context</x:v>
      </x:c>
      <x:c r="M282" s="10" t="n">
        <x:v>0</x:v>
      </x:c>
      <x:c r="N282" s="10" t="n">
        <x:v>0</x:v>
      </x:c>
      <x:c r="O282" s="2" t="str">
        <x:v>Tp Hồ Chí Minh|house</x:v>
      </x:c>
      <x:c r="P282" s="10" t="n">
        <x:v>2</x:v>
      </x:c>
      <x:c r="Q282" s="13" t="n">
        <x:f>IF(H282="","",H282/1000000000)</x:f>
        <x:v>6.5</x:v>
      </x:c>
      <x:c r="R282" s="13" t="n">
        <x:f>IF(I282="","",I282/1000000)</x:f>
        <x:v>154.7619047619048</x:v>
      </x:c>
    </x:row>
    <x:row r="283" ht="21" customHeight="1">
      <x:c r="A283" s="10" t="n">
        <x:v>296</x:v>
      </x:c>
      <x:c r="B283" s="2" t="str">
        <x:v>662bcef0d1838123e6a8</x:v>
      </x:c>
      <x:c r="C283" s="2" t="str">
        <x:v>Tp Hồ Chí Minh</x:v>
      </x:c>
      <x:c r="D283" s="2" t="str">
        <x:v>Quận Bình Tân</x:v>
      </x:c>
      <x:c r="E283" s="2" t="str">
        <x:v>house</x:v>
      </x:c>
      <x:c r="F283" s="2" t="str">
        <x:v>sale</x:v>
      </x:c>
      <x:c r="G283" s="11" t="n">
        <x:v>93</x:v>
      </x:c>
      <x:c r="H283" s="12" t="n">
        <x:v>5000000000</x:v>
      </x:c>
      <x:c r="I283" s="12" t="n">
        <x:v>53763440.86021505</x:v>
      </x:c>
      <x:c r="J283" s="2" t="str">
        <x:v>total</x:v>
      </x:c>
      <x:c r="K283" s="2" t="str">
        <x:v>top_level_area</x:v>
      </x:c>
      <x:c r="L283" s="2" t="str">
        <x:v>property_type_inferred_from_title</x:v>
      </x:c>
      <x:c r="M283" s="10" t="n">
        <x:v>0</x:v>
      </x:c>
      <x:c r="N283" s="10" t="n">
        <x:v>0</x:v>
      </x:c>
      <x:c r="O283" s="2" t="str">
        <x:v>Tp Hồ Chí Minh|house</x:v>
      </x:c>
      <x:c r="P283" s="10" t="n">
        <x:v>2</x:v>
      </x:c>
      <x:c r="Q283" s="13" t="n">
        <x:f>IF(H283="","",H283/1000000000)</x:f>
        <x:v>5</x:v>
      </x:c>
      <x:c r="R283" s="13" t="n">
        <x:f>IF(I283="","",I283/1000000)</x:f>
        <x:v>53.763440860215056</x:v>
      </x:c>
    </x:row>
    <x:row r="284" ht="21" customHeight="1">
      <x:c r="A284" s="10" t="n">
        <x:v>298</x:v>
      </x:c>
      <x:c r="B284" s="2" t="str">
        <x:v>96e040ef40dc2a090766</x:v>
      </x:c>
      <x:c r="C284" s="2" t="str">
        <x:v>Đà Nẵng</x:v>
      </x:c>
      <x:c r="D284" s="2" t="str">
        <x:v>Quận Thanh Khê</x:v>
      </x:c>
      <x:c r="E284" s="2" t="str">
        <x:v>house</x:v>
      </x:c>
      <x:c r="F284" s="2" t="str">
        <x:v>sale_assumed</x:v>
      </x:c>
      <x:c r="G284" s="11" t="n">
        <x:v>40</x:v>
      </x:c>
      <x:c r="H284" s="12" t="n">
        <x:v>3000000000</x:v>
      </x:c>
      <x:c r="I284" s="12" t="n">
        <x:v>75000000</x:v>
      </x:c>
      <x:c r="J284" s="2" t="str">
        <x:v>total</x:v>
      </x:c>
      <x:c r="K284" s="2" t="str">
        <x:v>top_level_area</x:v>
      </x:c>
      <x:c r="L284" s="2" t="str">
        <x:v>property_type_inferred_from_title;transaction_assumed_sale_from_dataset_context</x:v>
      </x:c>
      <x:c r="M284" s="10" t="n">
        <x:v>0</x:v>
      </x:c>
      <x:c r="N284" s="10" t="n">
        <x:v>0</x:v>
      </x:c>
      <x:c r="O284" s="2" t="str">
        <x:v>Đà Nẵng|house</x:v>
      </x:c>
      <x:c r="P284" s="10" t="n">
        <x:v>2</x:v>
      </x:c>
      <x:c r="Q284" s="13" t="n">
        <x:f>IF(H284="","",H284/1000000000)</x:f>
        <x:v>3</x:v>
      </x:c>
      <x:c r="R284" s="13" t="n">
        <x:f>IF(I284="","",I284/1000000)</x:f>
        <x:v>75</x:v>
      </x:c>
    </x:row>
    <x:row r="285" ht="21" customHeight="1">
      <x:c r="A285" s="10" t="n">
        <x:v>299</x:v>
      </x:c>
      <x:c r="B285" s="2" t="str">
        <x:v>9ed123d1c4293721feab</x:v>
      </x:c>
      <x:c r="C285" s="2" t="str">
        <x:v>Tp Hồ Chí Minh</x:v>
      </x:c>
      <x:c r="D285" s="2" t="str">
        <x:v>Quận Thủ Đức</x:v>
      </x:c>
      <x:c r="E285" s="2" t="str">
        <x:v>house</x:v>
      </x:c>
      <x:c r="F285" s="2" t="str">
        <x:v>sale</x:v>
      </x:c>
      <x:c r="G285" s="11" t="n">
        <x:v>60</x:v>
      </x:c>
      <x:c r="H285" s="12" t="n">
        <x:v>950000000</x:v>
      </x:c>
      <x:c r="I285" s="12" t="n">
        <x:v>15833333.333333334</x:v>
      </x:c>
      <x:c r="J285" s="2" t="str">
        <x:v>total</x:v>
      </x:c>
      <x:c r="K285" s="2" t="str">
        <x:v>top_level_area</x:v>
      </x:c>
      <x:c r="L285" s="2" t="str">
        <x:v>property_type_inferred_from_title</x:v>
      </x:c>
      <x:c r="M285" s="10" t="n">
        <x:v>0</x:v>
      </x:c>
      <x:c r="N285" s="10" t="n">
        <x:v>0</x:v>
      </x:c>
      <x:c r="O285" s="2" t="str">
        <x:v>Tp Hồ Chí Minh|house</x:v>
      </x:c>
      <x:c r="P285" s="10" t="n">
        <x:v>2</x:v>
      </x:c>
      <x:c r="Q285" s="13" t="n">
        <x:f>IF(H285="","",H285/1000000000)</x:f>
        <x:v>0.95</x:v>
      </x:c>
      <x:c r="R285" s="13" t="n">
        <x:f>IF(I285="","",I285/1000000)</x:f>
        <x:v>15.833333333333334</x:v>
      </x:c>
    </x:row>
    <x:row r="286" ht="21" customHeight="1">
      <x:c r="A286" s="10" t="n">
        <x:v>300</x:v>
      </x:c>
      <x:c r="B286" s="2" t="str">
        <x:v>49f8b09386de6cabcc0d</x:v>
      </x:c>
      <x:c r="C286" s="2" t="str">
        <x:v>Khánh Hòa</x:v>
      </x:c>
      <x:c r="D286" s="2" t="str">
        <x:v>Thành phố Nha Trang</x:v>
      </x:c>
      <x:c r="E286" s="2" t="str">
        <x:v>house</x:v>
      </x:c>
      <x:c r="F286" s="2" t="str">
        <x:v>sale_assumed</x:v>
      </x:c>
      <x:c r="G286" s="11" t="n">
        <x:v>102</x:v>
      </x:c>
      <x:c r="H286" s="12" t="n">
        <x:v>566000000</x:v>
      </x:c>
      <x:c r="I286" s="12" t="n">
        <x:v>5549019.607843137</x:v>
      </x:c>
      <x:c r="J286" s="2" t="str">
        <x:v>total</x:v>
      </x:c>
      <x:c r="K286" s="2" t="str">
        <x:v>top_level_area</x:v>
      </x:c>
      <x:c r="L286" s="2" t="str">
        <x:v>property_type_inferred_from_title;transaction_assumed_sale_from_dataset_context</x:v>
      </x:c>
      <x:c r="M286" s="10" t="n">
        <x:v>0</x:v>
      </x:c>
      <x:c r="N286" s="10" t="n">
        <x:v>0</x:v>
      </x:c>
      <x:c r="O286" s="2" t="str">
        <x:v>Khánh Hòa|house</x:v>
      </x:c>
      <x:c r="P286" s="10" t="n">
        <x:v>2</x:v>
      </x:c>
      <x:c r="Q286" s="13" t="n">
        <x:f>IF(H286="","",H286/1000000000)</x:f>
        <x:v>0.566</x:v>
      </x:c>
      <x:c r="R286" s="13" t="n">
        <x:f>IF(I286="","",I286/1000000)</x:f>
        <x:v>5.549019607843137</x:v>
      </x:c>
    </x:row>
    <x:row r="287" ht="21" customHeight="1">
      <x:c r="A287" s="10" t="n">
        <x:v>301</x:v>
      </x:c>
      <x:c r="B287" s="2" t="str">
        <x:v>c4ce139cf31ed373e1fa</x:v>
      </x:c>
      <x:c r="C287" s="2" t="str">
        <x:v>Bà Rịa - Vũng Tàu</x:v>
      </x:c>
      <x:c r="D287" s="2" t="str">
        <x:v>Huyện Châu Đức</x:v>
      </x:c>
      <x:c r="E287" s="2" t="str">
        <x:v>land</x:v>
      </x:c>
      <x:c r="F287" s="2" t="str">
        <x:v>sale</x:v>
      </x:c>
      <x:c r="G287" s="11" t="n">
        <x:v>400</x:v>
      </x:c>
      <x:c r="H287" s="12" t="n">
        <x:v>1300000000</x:v>
      </x:c>
      <x:c r="I287" s="12" t="n">
        <x:v>3250000</x:v>
      </x:c>
      <x:c r="J287" s="2" t="str">
        <x:v>total</x:v>
      </x:c>
      <x:c r="K287" s="2" t="str">
        <x:v>top_level_area</x:v>
      </x:c>
      <x:c r="L287" s="2" t="str">
        <x:v>property_type_inferred_from_title</x:v>
      </x:c>
      <x:c r="M287" s="10" t="n">
        <x:v>0</x:v>
      </x:c>
      <x:c r="N287" s="10" t="n">
        <x:v>0</x:v>
      </x:c>
      <x:c r="O287" s="2" t="str">
        <x:v>Bà Rịa - Vũng Tàu|land</x:v>
      </x:c>
      <x:c r="P287" s="10" t="n">
        <x:v>1</x:v>
      </x:c>
      <x:c r="Q287" s="13" t="n">
        <x:f>IF(H287="","",H287/1000000000)</x:f>
        <x:v>1.3</x:v>
      </x:c>
      <x:c r="R287" s="13" t="n">
        <x:f>IF(I287="","",I287/1000000)</x:f>
        <x:v>3.25</x:v>
      </x:c>
    </x:row>
    <x:row r="288" ht="21" customHeight="1">
      <x:c r="A288" s="10" t="n">
        <x:v>303</x:v>
      </x:c>
      <x:c r="B288" s="2" t="str">
        <x:v>dd6cfd94db5a38abb989</x:v>
      </x:c>
      <x:c r="C288" s="2" t="str">
        <x:v>Bình Phước</x:v>
      </x:c>
      <x:c r="D288" s="2" t="str">
        <x:v>Huyện Lộc Ninh</x:v>
      </x:c>
      <x:c r="E288" s="2" t="str">
        <x:v>land</x:v>
      </x:c>
      <x:c r="F288" s="2" t="str">
        <x:v>sale</x:v>
      </x:c>
      <x:c r="G288" s="11" t="n">
        <x:v>1000</x:v>
      </x:c>
      <x:c r="H288" s="12" t="n">
        <x:v>285000000</x:v>
      </x:c>
      <x:c r="I288" s="12" t="n">
        <x:v>285000</x:v>
      </x:c>
      <x:c r="J288" s="2" t="str">
        <x:v>total</x:v>
      </x:c>
      <x:c r="K288" s="2" t="str">
        <x:v>top_level_area</x:v>
      </x:c>
      <x:c r="L288" s="2" t="str">
        <x:v>dot_thousands_convention;property_type_inferred_from_title</x:v>
      </x:c>
      <x:c r="M288" s="10" t="n">
        <x:v>0</x:v>
      </x:c>
      <x:c r="N288" s="10" t="n">
        <x:v>0</x:v>
      </x:c>
      <x:c r="O288" s="2" t="str">
        <x:v>Bình Phước|land</x:v>
      </x:c>
      <x:c r="P288" s="10" t="n">
        <x:v>1</x:v>
      </x:c>
      <x:c r="Q288" s="13" t="n">
        <x:f>IF(H288="","",H288/1000000000)</x:f>
        <x:v>0.285</x:v>
      </x:c>
      <x:c r="R288" s="13" t="n">
        <x:f>IF(I288="","",I288/1000000)</x:f>
        <x:v>0.285</x:v>
      </x:c>
    </x:row>
    <x:row r="289" ht="21" customHeight="1">
      <x:c r="A289" s="10" t="n">
        <x:v>304</x:v>
      </x:c>
      <x:c r="B289" s="2" t="str">
        <x:v>df609ae21e2c4e32316d</x:v>
      </x:c>
      <x:c r="C289" s="2" t="str">
        <x:v>Tp Hồ Chí Minh</x:v>
      </x:c>
      <x:c r="D289" s="2" t="str">
        <x:v>Quận Thủ Đức</x:v>
      </x:c>
      <x:c r="E289" s="2" t="str">
        <x:v>house</x:v>
      </x:c>
      <x:c r="F289" s="2" t="str">
        <x:v>sale_assumed</x:v>
      </x:c>
      <x:c r="G289" s="11" t="n">
        <x:v>61</x:v>
      </x:c>
      <x:c r="H289" s="12" t="n">
        <x:v>6600000000</x:v>
      </x:c>
      <x:c r="I289" s="12" t="n">
        <x:v>108196721.31147541</x:v>
      </x:c>
      <x:c r="J289" s="2" t="str">
        <x:v>total</x:v>
      </x:c>
      <x:c r="K289" s="2" t="str">
        <x:v>top_level_area</x:v>
      </x:c>
      <x:c r="L289" s="2" t="str">
        <x:v>property_type_inferred_from_title;transaction_assumed_sale_from_dataset_context</x:v>
      </x:c>
      <x:c r="M289" s="10" t="n">
        <x:v>0</x:v>
      </x:c>
      <x:c r="N289" s="10" t="n">
        <x:v>0</x:v>
      </x:c>
      <x:c r="O289" s="2" t="str">
        <x:v>Tp Hồ Chí Minh|house</x:v>
      </x:c>
      <x:c r="P289" s="10" t="n">
        <x:v>2</x:v>
      </x:c>
      <x:c r="Q289" s="13" t="n">
        <x:f>IF(H289="","",H289/1000000000)</x:f>
        <x:v>6.6</x:v>
      </x:c>
      <x:c r="R289" s="13" t="n">
        <x:f>IF(I289="","",I289/1000000)</x:f>
        <x:v>108.19672131147541</x:v>
      </x:c>
    </x:row>
    <x:row r="290" ht="21" customHeight="1">
      <x:c r="A290" s="10" t="n">
        <x:v>305</x:v>
      </x:c>
      <x:c r="B290" s="2" t="str">
        <x:v>5402ecbfedbfa30fd7ce</x:v>
      </x:c>
      <x:c r="C290" s="2" t="str">
        <x:v>Tp Hồ Chí Minh</x:v>
      </x:c>
      <x:c r="D290" s="2" t="str">
        <x:v>Huyện Củ Chi</x:v>
      </x:c>
      <x:c r="E290" s="2" t="str">
        <x:v>land</x:v>
      </x:c>
      <x:c r="F290" s="2" t="str">
        <x:v>sale</x:v>
      </x:c>
      <x:c r="G290" s="11" t="n">
        <x:v>3347</x:v>
      </x:c>
      <x:c r="H290" s="12" t="n">
        <x:v>5180000000</x:v>
      </x:c>
      <x:c r="I290" s="12" t="n">
        <x:v>1547654.6160740962</x:v>
      </x:c>
      <x:c r="J290" s="2" t="str">
        <x:v>total</x:v>
      </x:c>
      <x:c r="K290" s="2" t="str">
        <x:v>top_level_area</x:v>
      </x:c>
      <x:c r="L290" s="2" t="str">
        <x:v>dot_thousands_convention;property_type_inferred_from_title</x:v>
      </x:c>
      <x:c r="M290" s="10" t="n">
        <x:v>0</x:v>
      </x:c>
      <x:c r="N290" s="10" t="n">
        <x:v>0</x:v>
      </x:c>
      <x:c r="O290" s="2" t="str">
        <x:v>Tp Hồ Chí Minh|land</x:v>
      </x:c>
      <x:c r="P290" s="10" t="n">
        <x:v>1</x:v>
      </x:c>
      <x:c r="Q290" s="13" t="n">
        <x:f>IF(H290="","",H290/1000000000)</x:f>
        <x:v>5.18</x:v>
      </x:c>
      <x:c r="R290" s="13" t="n">
        <x:f>IF(I290="","",I290/1000000)</x:f>
        <x:v>1.5476546160740963</x:v>
      </x:c>
    </x:row>
    <x:row r="291" ht="21" customHeight="1">
      <x:c r="A291" s="10" t="n">
        <x:v>306</x:v>
      </x:c>
      <x:c r="B291" s="2" t="str">
        <x:v>70eb204994ab3c9b66e1</x:v>
      </x:c>
      <x:c r="C291" s="2" t="str">
        <x:v>Tp Hồ Chí Minh</x:v>
      </x:c>
      <x:c r="D291" s="2" t="str">
        <x:v>Quận Thủ Đức</x:v>
      </x:c>
      <x:c r="E291" s="2" t="str">
        <x:v>house</x:v>
      </x:c>
      <x:c r="F291" s="2" t="str">
        <x:v>sale_assumed</x:v>
      </x:c>
      <x:c r="G291" s="11" t="n">
        <x:v>26</x:v>
      </x:c>
      <x:c r="H291" s="12" t="n">
        <x:v>1980000000</x:v>
      </x:c>
      <x:c r="I291" s="12" t="n">
        <x:v>76153846.15384616</x:v>
      </x:c>
      <x:c r="J291" s="2" t="str">
        <x:v>total</x:v>
      </x:c>
      <x:c r="K291" s="2" t="str">
        <x:v>top_level_area</x:v>
      </x:c>
      <x:c r="L291" s="2" t="str">
        <x:v>property_type_inferred_from_title;transaction_assumed_sale_from_dataset_context</x:v>
      </x:c>
      <x:c r="M291" s="10" t="n">
        <x:v>0</x:v>
      </x:c>
      <x:c r="N291" s="10" t="n">
        <x:v>0</x:v>
      </x:c>
      <x:c r="O291" s="2" t="str">
        <x:v>Tp Hồ Chí Minh|house</x:v>
      </x:c>
      <x:c r="P291" s="10" t="n">
        <x:v>2</x:v>
      </x:c>
      <x:c r="Q291" s="13" t="n">
        <x:f>IF(H291="","",H291/1000000000)</x:f>
        <x:v>1.98</x:v>
      </x:c>
      <x:c r="R291" s="13" t="n">
        <x:f>IF(I291="","",I291/1000000)</x:f>
        <x:v>76.15384615384616</x:v>
      </x:c>
    </x:row>
    <x:row r="292" ht="21" customHeight="1">
      <x:c r="A292" s="10" t="n">
        <x:v>307</x:v>
      </x:c>
      <x:c r="B292" s="2" t="str">
        <x:v>eb399f9b9348b89f1f33</x:v>
      </x:c>
      <x:c r="C292" s="2" t="str">
        <x:v>Tp Hồ Chí Minh</x:v>
      </x:c>
      <x:c r="D292" s="2" t="str">
        <x:v>Quận 12</x:v>
      </x:c>
      <x:c r="E292" s="2" t="str">
        <x:v>house</x:v>
      </x:c>
      <x:c r="F292" s="2" t="str">
        <x:v>sale</x:v>
      </x:c>
      <x:c r="G292" s="11" t="n">
        <x:v>33</x:v>
      </x:c>
      <x:c r="H292" s="12" t="n">
        <x:v>1650000000</x:v>
      </x:c>
      <x:c r="I292" s="12" t="n">
        <x:v>50000000</x:v>
      </x:c>
      <x:c r="J292" s="2" t="str">
        <x:v>total</x:v>
      </x:c>
      <x:c r="K292" s="2" t="str">
        <x:v>top_level_area</x:v>
      </x:c>
      <x:c r="L292" s="2" t="str">
        <x:v>property_type_inferred_from_title</x:v>
      </x:c>
      <x:c r="M292" s="10" t="n">
        <x:v>0</x:v>
      </x:c>
      <x:c r="N292" s="10" t="n">
        <x:v>0</x:v>
      </x:c>
      <x:c r="O292" s="2" t="str">
        <x:v>Tp Hồ Chí Minh|house</x:v>
      </x:c>
      <x:c r="P292" s="10" t="n">
        <x:v>2</x:v>
      </x:c>
      <x:c r="Q292" s="13" t="n">
        <x:f>IF(H292="","",H292/1000000000)</x:f>
        <x:v>1.65</x:v>
      </x:c>
      <x:c r="R292" s="13" t="n">
        <x:f>IF(I292="","",I292/1000000)</x:f>
        <x:v>50</x:v>
      </x:c>
    </x:row>
    <x:row r="293" ht="21" customHeight="1">
      <x:c r="A293" s="10" t="n">
        <x:v>308</x:v>
      </x:c>
      <x:c r="B293" s="2" t="str">
        <x:v>1b4ecbbd598d42d3e58d</x:v>
      </x:c>
      <x:c r="C293" s="2" t="str">
        <x:v>Tp Hồ Chí Minh</x:v>
      </x:c>
      <x:c r="D293" s="2" t="str">
        <x:v>Huyện Bình Chánh</x:v>
      </x:c>
      <x:c r="E293" s="2" t="str">
        <x:v>house</x:v>
      </x:c>
      <x:c r="F293" s="2" t="str">
        <x:v>sale</x:v>
      </x:c>
      <x:c r="G293" s="11" t="n">
        <x:v>95</x:v>
      </x:c>
      <x:c r="H293" s="12" t="n">
        <x:v>1150000000</x:v>
      </x:c>
      <x:c r="I293" s="12" t="n">
        <x:v>12105263.157894736</x:v>
      </x:c>
      <x:c r="J293" s="2" t="str">
        <x:v>total</x:v>
      </x:c>
      <x:c r="K293" s="2" t="str">
        <x:v>top_level_area</x:v>
      </x:c>
      <x:c r="L293" s="2" t="str">
        <x:v>property_type_inferred_from_title</x:v>
      </x:c>
      <x:c r="M293" s="10" t="n">
        <x:v>0</x:v>
      </x:c>
      <x:c r="N293" s="10" t="n">
        <x:v>0</x:v>
      </x:c>
      <x:c r="O293" s="2" t="str">
        <x:v>Tp Hồ Chí Minh|house</x:v>
      </x:c>
      <x:c r="P293" s="10" t="n">
        <x:v>2</x:v>
      </x:c>
      <x:c r="Q293" s="13" t="n">
        <x:f>IF(H293="","",H293/1000000000)</x:f>
        <x:v>1.15</x:v>
      </x:c>
      <x:c r="R293" s="13" t="n">
        <x:f>IF(I293="","",I293/1000000)</x:f>
        <x:v>12.105263157894736</x:v>
      </x:c>
    </x:row>
    <x:row r="294" ht="21" customHeight="1">
      <x:c r="A294" s="10" t="n">
        <x:v>309</x:v>
      </x:c>
      <x:c r="B294" s="2" t="str">
        <x:v>4f297144b50c55954fc2</x:v>
      </x:c>
      <x:c r="C294" s="2" t="str">
        <x:v>Bình Thuận</x:v>
      </x:c>
      <x:c r="D294" s="2" t="str">
        <x:v>Huyện Hàm Tân</x:v>
      </x:c>
      <x:c r="E294" s="2" t="str">
        <x:v>land</x:v>
      </x:c>
      <x:c r="F294" s="2" t="str">
        <x:v>sale_assumed</x:v>
      </x:c>
      <x:c r="G294" s="11" t="n">
        <x:v>5000</x:v>
      </x:c>
      <x:c r="H294" s="12" t="n">
        <x:v>6300000000</x:v>
      </x:c>
      <x:c r="I294" s="12" t="n">
        <x:v>1260000</x:v>
      </x:c>
      <x:c r="J294" s="2" t="str">
        <x:v>total</x:v>
      </x:c>
      <x:c r="K294" s="2" t="str">
        <x:v>top_level_area</x:v>
      </x:c>
      <x:c r="L294" s="2" t="str">
        <x:v>dot_thousands_convention;property_type_inferred_from_title;transaction_assumed_sale_from_dataset_context</x:v>
      </x:c>
      <x:c r="M294" s="10" t="n">
        <x:v>0</x:v>
      </x:c>
      <x:c r="N294" s="10" t="n">
        <x:v>0</x:v>
      </x:c>
      <x:c r="O294" s="2" t="str">
        <x:v>land</x:v>
      </x:c>
      <x:c r="P294" s="10" t="n">
        <x:v>1</x:v>
      </x:c>
      <x:c r="Q294" s="13" t="n">
        <x:f>IF(H294="","",H294/1000000000)</x:f>
        <x:v>6.3</x:v>
      </x:c>
      <x:c r="R294" s="13" t="n">
        <x:f>IF(I294="","",I294/1000000)</x:f>
        <x:v>1.26</x:v>
      </x:c>
    </x:row>
    <x:row r="295" ht="21" customHeight="1">
      <x:c r="A295" s="10" t="n">
        <x:v>310</x:v>
      </x:c>
      <x:c r="B295" s="2" t="str">
        <x:v>15cbc1bd71edb4aaf0fb</x:v>
      </x:c>
      <x:c r="C295" s="2" t="str">
        <x:v>Đồng Nai</x:v>
      </x:c>
      <x:c r="D295" s="2" t="str">
        <x:v>Huyện Trảng Bom</x:v>
      </x:c>
      <x:c r="E295" s="2" t="str">
        <x:v>land</x:v>
      </x:c>
      <x:c r="F295" s="2" t="str">
        <x:v>sale</x:v>
      </x:c>
      <x:c r="G295" s="11" t="n">
        <x:v>418</x:v>
      </x:c>
      <x:c r="H295" s="12" t="n">
        <x:v>3100000000</x:v>
      </x:c>
      <x:c r="I295" s="12" t="n">
        <x:v>7416267.942583732</x:v>
      </x:c>
      <x:c r="J295" s="2" t="str">
        <x:v>total</x:v>
      </x:c>
      <x:c r="K295" s="2" t="str">
        <x:v>top_level_area</x:v>
      </x:c>
      <x:c r="L295" s="2" t="str">
        <x:v>property_type_inferred_from_title</x:v>
      </x:c>
      <x:c r="M295" s="10" t="n">
        <x:v>0</x:v>
      </x:c>
      <x:c r="N295" s="10" t="n">
        <x:v>0</x:v>
      </x:c>
      <x:c r="O295" s="2" t="str">
        <x:v>Đồng Nai|land</x:v>
      </x:c>
      <x:c r="P295" s="10" t="n">
        <x:v>1</x:v>
      </x:c>
      <x:c r="Q295" s="13" t="n">
        <x:f>IF(H295="","",H295/1000000000)</x:f>
        <x:v>3.1</x:v>
      </x:c>
      <x:c r="R295" s="13" t="n">
        <x:f>IF(I295="","",I295/1000000)</x:f>
        <x:v>7.416267942583732</x:v>
      </x:c>
    </x:row>
    <x:row r="296" ht="21" customHeight="1">
      <x:c r="A296" s="10" t="n">
        <x:v>311</x:v>
      </x:c>
      <x:c r="B296" s="2" t="str">
        <x:v>8271a9bdb2ca3990f907</x:v>
      </x:c>
      <x:c r="C296" s="2" t="str">
        <x:v>Tp Hồ Chí Minh</x:v>
      </x:c>
      <x:c r="D296" s="2" t="str">
        <x:v>Huyện Hóc Môn</x:v>
      </x:c>
      <x:c r="E296" s="2" t="str">
        <x:v>house</x:v>
      </x:c>
      <x:c r="F296" s="2" t="str">
        <x:v>sale_assumed</x:v>
      </x:c>
      <x:c r="G296" s="11" t="n">
        <x:v>108</x:v>
      </x:c>
      <x:c r="H296" s="12" t="n">
        <x:v>5500000000</x:v>
      </x:c>
      <x:c r="I296" s="12" t="n">
        <x:v>50925925.925925925</x:v>
      </x:c>
      <x:c r="J296" s="2" t="str">
        <x:v>total</x:v>
      </x:c>
      <x:c r="K296" s="2" t="str">
        <x:v>top_level_area</x:v>
      </x:c>
      <x:c r="L296" s="2" t="str">
        <x:v>property_type_inferred_from_title;transaction_assumed_sale_from_dataset_context</x:v>
      </x:c>
      <x:c r="M296" s="10" t="n">
        <x:v>0</x:v>
      </x:c>
      <x:c r="N296" s="10" t="n">
        <x:v>0</x:v>
      </x:c>
      <x:c r="O296" s="2" t="str">
        <x:v>Tp Hồ Chí Minh|house</x:v>
      </x:c>
      <x:c r="P296" s="10" t="n">
        <x:v>2</x:v>
      </x:c>
      <x:c r="Q296" s="13" t="n">
        <x:f>IF(H296="","",H296/1000000000)</x:f>
        <x:v>5.5</x:v>
      </x:c>
      <x:c r="R296" s="13" t="n">
        <x:f>IF(I296="","",I296/1000000)</x:f>
        <x:v>50.925925925925924</x:v>
      </x:c>
    </x:row>
    <x:row r="297" ht="21" customHeight="1">
      <x:c r="A297" s="10" t="n">
        <x:v>312</x:v>
      </x:c>
      <x:c r="B297" s="2" t="str">
        <x:v>42e4eaa84801577d4016</x:v>
      </x:c>
      <x:c r="C297" s="2" t="str">
        <x:v>Đồng Nai</x:v>
      </x:c>
      <x:c r="D297" s="2" t="str">
        <x:v>Huyện Vĩnh Cửu</x:v>
      </x:c>
      <x:c r="E297" s="2" t="str">
        <x:v>land</x:v>
      </x:c>
      <x:c r="F297" s="2" t="str">
        <x:v>sale</x:v>
      </x:c>
      <x:c r="G297" s="11" t="n">
        <x:v>4000</x:v>
      </x:c>
      <x:c r="H297" s="12" t="n">
        <x:v>2700000000</x:v>
      </x:c>
      <x:c r="I297" s="12" t="n">
        <x:v>675000</x:v>
      </x:c>
      <x:c r="J297" s="2" t="str">
        <x:v>total</x:v>
      </x:c>
      <x:c r="K297" s="2" t="str">
        <x:v>top_level_area</x:v>
      </x:c>
      <x:c r="L297" s="2" t="str">
        <x:v>dot_thousands_convention;property_type_inferred_from_title</x:v>
      </x:c>
      <x:c r="M297" s="10" t="n">
        <x:v>0</x:v>
      </x:c>
      <x:c r="N297" s="10" t="n">
        <x:v>0</x:v>
      </x:c>
      <x:c r="O297" s="2" t="str">
        <x:v>Đồng Nai|land</x:v>
      </x:c>
      <x:c r="P297" s="10" t="n">
        <x:v>1</x:v>
      </x:c>
      <x:c r="Q297" s="13" t="n">
        <x:f>IF(H297="","",H297/1000000000)</x:f>
        <x:v>2.7</x:v>
      </x:c>
      <x:c r="R297" s="13" t="n">
        <x:f>IF(I297="","",I297/1000000)</x:f>
        <x:v>0.675</x:v>
      </x:c>
    </x:row>
    <x:row r="298" ht="21" customHeight="1">
      <x:c r="A298" s="10" t="n">
        <x:v>313</x:v>
      </x:c>
      <x:c r="B298" s="2" t="str">
        <x:v>78e2050f1551fc72985a</x:v>
      </x:c>
      <x:c r="C298" s="2" t="str">
        <x:v>Bình Dương</x:v>
      </x:c>
      <x:c r="D298" s="2" t="str">
        <x:v>Thành phố Thủ Dầu Một</x:v>
      </x:c>
      <x:c r="E298" s="2" t="str">
        <x:v>house</x:v>
      </x:c>
      <x:c r="F298" s="2" t="str">
        <x:v>sale</x:v>
      </x:c>
      <x:c r="G298" s="11" t="n">
        <x:v>150</x:v>
      </x:c>
      <x:c r="H298" s="12" t="n">
        <x:v>1650000000</x:v>
      </x:c>
      <x:c r="I298" s="12" t="n">
        <x:v>11000000</x:v>
      </x:c>
      <x:c r="J298" s="2" t="str">
        <x:v>total</x:v>
      </x:c>
      <x:c r="K298" s="2" t="str">
        <x:v>top_level_price_embedded_area</x:v>
      </x:c>
      <x:c r="L298" s="2" t="str">
        <x:v>area_recovered_from_price_text;property_type_inferred_from_title</x:v>
      </x:c>
      <x:c r="M298" s="10" t="n">
        <x:v>0</x:v>
      </x:c>
      <x:c r="N298" s="10" t="n">
        <x:v>0</x:v>
      </x:c>
      <x:c r="O298" s="2" t="str">
        <x:v>Bình Dương|house</x:v>
      </x:c>
      <x:c r="P298" s="10" t="n">
        <x:v>2</x:v>
      </x:c>
      <x:c r="Q298" s="13" t="n">
        <x:f>IF(H298="","",H298/1000000000)</x:f>
        <x:v>1.65</x:v>
      </x:c>
      <x:c r="R298" s="13" t="n">
        <x:f>IF(I298="","",I298/1000000)</x:f>
        <x:v>11</x:v>
      </x:c>
    </x:row>
    <x:row r="299" ht="21" customHeight="1">
      <x:c r="A299" s="10" t="n">
        <x:v>315</x:v>
      </x:c>
      <x:c r="B299" s="2" t="str">
        <x:v>6cf2011c0bc0cde862e5</x:v>
      </x:c>
      <x:c r="C299" s="2" t="str">
        <x:v>Đà Nẵng</x:v>
      </x:c>
      <x:c r="D299" s="2" t="str">
        <x:v>Quận Ngũ Hành Sơn</x:v>
      </x:c>
      <x:c r="E299" s="2" t="str">
        <x:v>other_unknown</x:v>
      </x:c>
      <x:c r="F299" s="2" t="str">
        <x:v>sale_assumed</x:v>
      </x:c>
      <x:c r="G299" s="11" t="n">
        <x:v>100</x:v>
      </x:c>
      <x:c r="H299" s="12" t="n">
        <x:v>2250000000</x:v>
      </x:c>
      <x:c r="I299" s="12" t="n">
        <x:v>22500000</x:v>
      </x:c>
      <x:c r="J299" s="2" t="str">
        <x:v>total</x:v>
      </x:c>
      <x:c r="K299" s="2" t="str">
        <x:v>top_level_area</x:v>
      </x:c>
      <x:c r="L299" s="2" t="str">
        <x:v>property_type_inferred_from_title;transaction_assumed_sale_from_dataset_context;unknown_property_type</x:v>
      </x:c>
      <x:c r="M299" s="10" t="n">
        <x:v>0</x:v>
      </x:c>
      <x:c r="N299" s="10" t="n">
        <x:v>0</x:v>
      </x:c>
      <x:c r="O299" s="2" t="str">
        <x:v>Đà Nẵng|other_unknown</x:v>
      </x:c>
      <x:c r="P299" s="10" t="n">
        <x:v>2</x:v>
      </x:c>
      <x:c r="Q299" s="13" t="n">
        <x:f>IF(H299="","",H299/1000000000)</x:f>
        <x:v>2.25</x:v>
      </x:c>
      <x:c r="R299" s="13" t="n">
        <x:f>IF(I299="","",I299/1000000)</x:f>
        <x:v>22.5</x:v>
      </x:c>
    </x:row>
    <x:row r="300" ht="21" customHeight="1">
      <x:c r="A300" s="10" t="n">
        <x:v>316</x:v>
      </x:c>
      <x:c r="B300" s="2" t="str">
        <x:v>39347d712a0d69099beb</x:v>
      </x:c>
      <x:c r="C300" s="2" t="str">
        <x:v>Tp Hồ Chí Minh</x:v>
      </x:c>
      <x:c r="D300" s="2" t="str">
        <x:v>Quận Gò Vấp</x:v>
      </x:c>
      <x:c r="E300" s="2" t="str">
        <x:v>house</x:v>
      </x:c>
      <x:c r="F300" s="2" t="str">
        <x:v>sale_assumed</x:v>
      </x:c>
      <x:c r="G300" s="11" t="n">
        <x:v>78</x:v>
      </x:c>
      <x:c r="H300" s="12" t="n">
        <x:v>6950000000</x:v>
      </x:c>
      <x:c r="I300" s="12" t="n">
        <x:v>89102564.1025641</x:v>
      </x:c>
      <x:c r="J300" s="2" t="str">
        <x:v>total</x:v>
      </x:c>
      <x:c r="K300" s="2" t="str">
        <x:v>top_level_area</x:v>
      </x:c>
      <x:c r="L300" s="2" t="str">
        <x:v>property_type_inferred_from_title;transaction_assumed_sale_from_dataset_context</x:v>
      </x:c>
      <x:c r="M300" s="10" t="n">
        <x:v>0</x:v>
      </x:c>
      <x:c r="N300" s="10" t="n">
        <x:v>0</x:v>
      </x:c>
      <x:c r="O300" s="2" t="str">
        <x:v>Tp Hồ Chí Minh|house</x:v>
      </x:c>
      <x:c r="P300" s="10" t="n">
        <x:v>2</x:v>
      </x:c>
      <x:c r="Q300" s="13" t="n">
        <x:f>IF(H300="","",H300/1000000000)</x:f>
        <x:v>6.95</x:v>
      </x:c>
      <x:c r="R300" s="13" t="n">
        <x:f>IF(I300="","",I300/1000000)</x:f>
        <x:v>89.1025641025641</x:v>
      </x:c>
    </x:row>
    <x:row r="301" ht="21" customHeight="1">
      <x:c r="A301" s="10" t="n">
        <x:v>317</x:v>
      </x:c>
      <x:c r="B301" s="2" t="str">
        <x:v>47f12dfff551eaec1bc1</x:v>
      </x:c>
      <x:c r="C301" s="2" t="str">
        <x:v>Tp Hồ Chí Minh</x:v>
      </x:c>
      <x:c r="D301" s="2" t="str">
        <x:v>Quận Bình Tân</x:v>
      </x:c>
      <x:c r="E301" s="2" t="str">
        <x:v>house</x:v>
      </x:c>
      <x:c r="F301" s="2" t="str">
        <x:v>sale_assumed</x:v>
      </x:c>
      <x:c r="G301" s="11" t="n">
        <x:v>44</x:v>
      </x:c>
      <x:c r="H301" s="12" t="n">
        <x:v>3200000000</x:v>
      </x:c>
      <x:c r="I301" s="12" t="n">
        <x:v>72727272.72727273</x:v>
      </x:c>
      <x:c r="J301" s="2" t="str">
        <x:v>total</x:v>
      </x:c>
      <x:c r="K301" s="2" t="str">
        <x:v>top_level_area</x:v>
      </x:c>
      <x:c r="L301" s="2" t="str">
        <x:v>property_type_inferred_from_title;transaction_assumed_sale_from_dataset_context</x:v>
      </x:c>
      <x:c r="M301" s="10" t="n">
        <x:v>0</x:v>
      </x:c>
      <x:c r="N301" s="10" t="n">
        <x:v>0</x:v>
      </x:c>
      <x:c r="O301" s="2" t="str">
        <x:v>Tp Hồ Chí Minh|house</x:v>
      </x:c>
      <x:c r="P301" s="10" t="n">
        <x:v>2</x:v>
      </x:c>
      <x:c r="Q301" s="13" t="n">
        <x:f>IF(H301="","",H301/1000000000)</x:f>
        <x:v>3.2</x:v>
      </x:c>
      <x:c r="R301" s="13" t="n">
        <x:f>IF(I301="","",I301/1000000)</x:f>
        <x:v>72.72727272727273</x:v>
      </x:c>
    </x:row>
    <x:row r="302" ht="21" customHeight="1">
      <x:c r="A302" s="10" t="n">
        <x:v>319</x:v>
      </x:c>
      <x:c r="B302" s="2" t="str">
        <x:v>ac54eae14e61336fb887</x:v>
      </x:c>
      <x:c r="C302" s="2" t="str">
        <x:v>Đà Nẵng</x:v>
      </x:c>
      <x:c r="D302" s="2" t="str">
        <x:v>Quận Cẩm Lệ</x:v>
      </x:c>
      <x:c r="E302" s="2" t="str">
        <x:v>house</x:v>
      </x:c>
      <x:c r="F302" s="2" t="str">
        <x:v>sale_assumed</x:v>
      </x:c>
      <x:c r="G302" s="11" t="n">
        <x:v>100</x:v>
      </x:c>
      <x:c r="H302" s="12" t="n">
        <x:v>4700000000</x:v>
      </x:c>
      <x:c r="I302" s="12" t="n">
        <x:v>47000000</x:v>
      </x:c>
      <x:c r="J302" s="2" t="str">
        <x:v>total</x:v>
      </x:c>
      <x:c r="K302" s="2" t="str">
        <x:v>top_level_area</x:v>
      </x:c>
      <x:c r="L302" s="2" t="str">
        <x:v>property_type_inferred_from_title;transaction_assumed_sale_from_dataset_context</x:v>
      </x:c>
      <x:c r="M302" s="10" t="n">
        <x:v>0</x:v>
      </x:c>
      <x:c r="N302" s="10" t="n">
        <x:v>0</x:v>
      </x:c>
      <x:c r="O302" s="2" t="str">
        <x:v>Đà Nẵng|house</x:v>
      </x:c>
      <x:c r="P302" s="10" t="n">
        <x:v>2</x:v>
      </x:c>
      <x:c r="Q302" s="13" t="n">
        <x:f>IF(H302="","",H302/1000000000)</x:f>
        <x:v>4.7</x:v>
      </x:c>
      <x:c r="R302" s="13" t="n">
        <x:f>IF(I302="","",I302/1000000)</x:f>
        <x:v>47</x:v>
      </x:c>
    </x:row>
    <x:row r="303" ht="21" customHeight="1">
      <x:c r="A303" s="10" t="n">
        <x:v>320</x:v>
      </x:c>
      <x:c r="B303" s="2" t="str">
        <x:v>af17dfe2680bd3019a40</x:v>
      </x:c>
      <x:c r="C303" s="2" t="str">
        <x:v>Bình Dương</x:v>
      </x:c>
      <x:c r="D303" s="2" t="str">
        <x:v>Thị xã Dĩ An</x:v>
      </x:c>
      <x:c r="E303" s="2" t="str">
        <x:v>other_unknown</x:v>
      </x:c>
      <x:c r="F303" s="2" t="str">
        <x:v>sale_assumed</x:v>
      </x:c>
      <x:c r="G303" s="11" t="n">
        <x:v>90</x:v>
      </x:c>
      <x:c r="H303" s="12" t="n">
        <x:v>7000000000</x:v>
      </x:c>
      <x:c r="I303" s="12" t="n">
        <x:v>77777777.77777778</x:v>
      </x:c>
      <x:c r="J303" s="2" t="str">
        <x:v>total</x:v>
      </x:c>
      <x:c r="K303" s="2" t="str">
        <x:v>top_level_area</x:v>
      </x:c>
      <x:c r="L303" s="2" t="str">
        <x:v>property_type_inferred_from_title;transaction_assumed_sale_from_dataset_context;unknown_property_type</x:v>
      </x:c>
      <x:c r="M303" s="10" t="n">
        <x:v>0</x:v>
      </x:c>
      <x:c r="N303" s="10" t="n">
        <x:v>1</x:v>
      </x:c>
      <x:c r="O303" s="2" t="str">
        <x:v>Bình Dương|other_unknown</x:v>
      </x:c>
      <x:c r="P303" s="10" t="n">
        <x:v>-1</x:v>
      </x:c>
      <x:c r="Q303" s="13" t="n">
        <x:f>IF(H303="","",H303/1000000000)</x:f>
        <x:v>7</x:v>
      </x:c>
      <x:c r="R303" s="13" t="n">
        <x:f>IF(I303="","",I303/1000000)</x:f>
        <x:v>77.77777777777777</x:v>
      </x:c>
    </x:row>
    <x:row r="304" ht="21" customHeight="1">
      <x:c r="A304" s="10" t="n">
        <x:v>321</x:v>
      </x:c>
      <x:c r="B304" s="2" t="str">
        <x:v>fc9b0408f1dccd1d23c1</x:v>
      </x:c>
      <x:c r="C304" s="2" t="str">
        <x:v>Tp Hồ Chí Minh</x:v>
      </x:c>
      <x:c r="D304" s="2" t="str">
        <x:v>Huyện Củ Chi</x:v>
      </x:c>
      <x:c r="E304" s="2" t="str">
        <x:v>land</x:v>
      </x:c>
      <x:c r="F304" s="2" t="str">
        <x:v>sale_assumed</x:v>
      </x:c>
      <x:c r="G304" s="11" t="n">
        <x:v>160</x:v>
      </x:c>
      <x:c r="H304" s="12" t="n">
        <x:v>1500000000</x:v>
      </x:c>
      <x:c r="I304" s="12" t="n">
        <x:v>9375000</x:v>
      </x:c>
      <x:c r="J304" s="2" t="str">
        <x:v>total</x:v>
      </x:c>
      <x:c r="K304" s="2" t="str">
        <x:v>top_level_area</x:v>
      </x:c>
      <x:c r="L304" s="2" t="str">
        <x:v>property_type_inferred_from_title;transaction_assumed_sale_from_dataset_context</x:v>
      </x:c>
      <x:c r="M304" s="10" t="n">
        <x:v>0</x:v>
      </x:c>
      <x:c r="N304" s="10" t="n">
        <x:v>0</x:v>
      </x:c>
      <x:c r="O304" s="2" t="str">
        <x:v>Tp Hồ Chí Minh|land</x:v>
      </x:c>
      <x:c r="P304" s="10" t="n">
        <x:v>2</x:v>
      </x:c>
      <x:c r="Q304" s="13" t="n">
        <x:f>IF(H304="","",H304/1000000000)</x:f>
        <x:v>1.5</x:v>
      </x:c>
      <x:c r="R304" s="13" t="n">
        <x:f>IF(I304="","",I304/1000000)</x:f>
        <x:v>9.375</x:v>
      </x:c>
    </x:row>
    <x:row r="305" ht="21" customHeight="1">
      <x:c r="A305" s="10" t="n">
        <x:v>322</x:v>
      </x:c>
      <x:c r="B305" s="2" t="str">
        <x:v>795b4364eba3f67e5b4a</x:v>
      </x:c>
      <x:c r="C305" s="2" t="str">
        <x:v>Tp Hồ Chí Minh</x:v>
      </x:c>
      <x:c r="D305" s="2" t="str">
        <x:v>Quận 9</x:v>
      </x:c>
      <x:c r="E305" s="2" t="str">
        <x:v>other_unknown</x:v>
      </x:c>
      <x:c r="F305" s="2" t="str">
        <x:v>sale</x:v>
      </x:c>
      <x:c r="G305" s="11" t="n">
        <x:v>52</x:v>
      </x:c>
      <x:c r="H305" s="12" t="n">
        <x:v>2300000000</x:v>
      </x:c>
      <x:c r="I305" s="12" t="n">
        <x:v>44230769.23076923</x:v>
      </x:c>
      <x:c r="J305" s="2" t="str">
        <x:v>total</x:v>
      </x:c>
      <x:c r="K305" s="2" t="str">
        <x:v>top_level_area</x:v>
      </x:c>
      <x:c r="L305" s="2" t="str">
        <x:v>property_type_inferred_from_title;unknown_property_type</x:v>
      </x:c>
      <x:c r="M305" s="10" t="n">
        <x:v>0</x:v>
      </x:c>
      <x:c r="N305" s="10" t="n">
        <x:v>0</x:v>
      </x:c>
      <x:c r="O305" s="2" t="str">
        <x:v>Tp Hồ Chí Minh|other_unknown</x:v>
      </x:c>
      <x:c r="P305" s="10" t="n">
        <x:v>2</x:v>
      </x:c>
      <x:c r="Q305" s="13" t="n">
        <x:f>IF(H305="","",H305/1000000000)</x:f>
        <x:v>2.3</x:v>
      </x:c>
      <x:c r="R305" s="13" t="n">
        <x:f>IF(I305="","",I305/1000000)</x:f>
        <x:v>44.23076923076923</x:v>
      </x:c>
    </x:row>
    <x:row r="306" ht="21" customHeight="1">
      <x:c r="A306" s="10" t="n">
        <x:v>323</x:v>
      </x:c>
      <x:c r="B306" s="2" t="str">
        <x:v>105a70039b921d5f87a1</x:v>
      </x:c>
      <x:c r="C306" s="2" t="str">
        <x:v>Tp Hồ Chí Minh</x:v>
      </x:c>
      <x:c r="D306" s="2" t="str">
        <x:v>Quận Tân Bình</x:v>
      </x:c>
      <x:c r="E306" s="2" t="str">
        <x:v>house</x:v>
      </x:c>
      <x:c r="F306" s="2" t="str">
        <x:v>sale</x:v>
      </x:c>
      <x:c r="G306" s="11" t="n">
        <x:v>90</x:v>
      </x:c>
      <x:c r="H306" s="12" t="n">
        <x:v>6500000000</x:v>
      </x:c>
      <x:c r="I306" s="12" t="n">
        <x:v>72222222.22222222</x:v>
      </x:c>
      <x:c r="J306" s="2" t="str">
        <x:v>total</x:v>
      </x:c>
      <x:c r="K306" s="2" t="str">
        <x:v>top_level_area</x:v>
      </x:c>
      <x:c r="L306" s="2" t="str">
        <x:v>property_type_inferred_from_title</x:v>
      </x:c>
      <x:c r="M306" s="10" t="n">
        <x:v>0</x:v>
      </x:c>
      <x:c r="N306" s="10" t="n">
        <x:v>0</x:v>
      </x:c>
      <x:c r="O306" s="2" t="str">
        <x:v>Tp Hồ Chí Minh|house</x:v>
      </x:c>
      <x:c r="P306" s="10" t="n">
        <x:v>2</x:v>
      </x:c>
      <x:c r="Q306" s="13" t="n">
        <x:f>IF(H306="","",H306/1000000000)</x:f>
        <x:v>6.5</x:v>
      </x:c>
      <x:c r="R306" s="13" t="n">
        <x:f>IF(I306="","",I306/1000000)</x:f>
        <x:v>72.22222222222223</x:v>
      </x:c>
    </x:row>
    <x:row r="307" ht="21" customHeight="1">
      <x:c r="A307" s="10" t="n">
        <x:v>324</x:v>
      </x:c>
      <x:c r="B307" s="2" t="str">
        <x:v>9d31c464e7e158c71b89</x:v>
      </x:c>
      <x:c r="C307" s="2" t="str">
        <x:v>Tp Hồ Chí Minh</x:v>
      </x:c>
      <x:c r="D307" s="2" t="str">
        <x:v>Quận 6</x:v>
      </x:c>
      <x:c r="E307" s="2" t="str">
        <x:v>apartment</x:v>
      </x:c>
      <x:c r="F307" s="2" t="str">
        <x:v>sale</x:v>
      </x:c>
      <x:c r="G307" s="11" t="n">
        <x:v>71</x:v>
      </x:c>
      <x:c r="H307" s="12" t="n">
        <x:v>2100000000</x:v>
      </x:c>
      <x:c r="I307" s="12" t="n">
        <x:v>29577464.788732395</x:v>
      </x:c>
      <x:c r="J307" s="2" t="str">
        <x:v>total</x:v>
      </x:c>
      <x:c r="K307" s="2" t="str">
        <x:v>top_level_area</x:v>
      </x:c>
      <x:c r="L307" s="2" t="str">
        <x:v>property_type_inferred_from_title</x:v>
      </x:c>
      <x:c r="M307" s="10" t="n">
        <x:v>0</x:v>
      </x:c>
      <x:c r="N307" s="10" t="n">
        <x:v>0</x:v>
      </x:c>
      <x:c r="O307" s="2" t="str">
        <x:v>Tp Hồ Chí Minh|apartment</x:v>
      </x:c>
      <x:c r="P307" s="10" t="n">
        <x:v>2</x:v>
      </x:c>
      <x:c r="Q307" s="13" t="n">
        <x:f>IF(H307="","",H307/1000000000)</x:f>
        <x:v>2.1</x:v>
      </x:c>
      <x:c r="R307" s="13" t="n">
        <x:f>IF(I307="","",I307/1000000)</x:f>
        <x:v>29.577464788732396</x:v>
      </x:c>
    </x:row>
    <x:row r="308" ht="21" customHeight="1">
      <x:c r="A308" s="10" t="n">
        <x:v>325</x:v>
      </x:c>
      <x:c r="B308" s="2" t="str">
        <x:v>a404f9221ca146ca6248</x:v>
      </x:c>
      <x:c r="C308" s="2" t="str">
        <x:v>Hà Nội</x:v>
      </x:c>
      <x:c r="D308" s="2" t="str">
        <x:v>Huyện Hoài Đức</x:v>
      </x:c>
      <x:c r="E308" s="2" t="str">
        <x:v>land</x:v>
      </x:c>
      <x:c r="F308" s="2" t="str">
        <x:v>sale</x:v>
      </x:c>
      <x:c r="G308" s="11" t="n">
        <x:v>55</x:v>
      </x:c>
      <x:c r="H308" s="12" t="n">
        <x:v>3460000000</x:v>
      </x:c>
      <x:c r="I308" s="12" t="n">
        <x:v>62909090.90909091</x:v>
      </x:c>
      <x:c r="J308" s="2" t="str">
        <x:v>total</x:v>
      </x:c>
      <x:c r="K308" s="2" t="str">
        <x:v>top_level_area</x:v>
      </x:c>
      <x:c r="L308" s="2" t="str">
        <x:v>property_type_inferred_from_title</x:v>
      </x:c>
      <x:c r="M308" s="10" t="n">
        <x:v>0</x:v>
      </x:c>
      <x:c r="N308" s="10" t="n">
        <x:v>0</x:v>
      </x:c>
      <x:c r="O308" s="2" t="str">
        <x:v>Hà Nội|land</x:v>
      </x:c>
      <x:c r="P308" s="10" t="n">
        <x:v>2</x:v>
      </x:c>
      <x:c r="Q308" s="13" t="n">
        <x:f>IF(H308="","",H308/1000000000)</x:f>
        <x:v>3.46</x:v>
      </x:c>
      <x:c r="R308" s="13" t="n">
        <x:f>IF(I308="","",I308/1000000)</x:f>
        <x:v>62.90909090909091</x:v>
      </x:c>
    </x:row>
    <x:row r="309" ht="21" customHeight="1">
      <x:c r="A309" s="10" t="n">
        <x:v>326</x:v>
      </x:c>
      <x:c r="B309" s="2" t="str">
        <x:v>1eaf2a29bd89282c7ecd</x:v>
      </x:c>
      <x:c r="C309" s="2" t="str">
        <x:v>Tp Hồ Chí Minh</x:v>
      </x:c>
      <x:c r="D309" s="2" t="str">
        <x:v>Quận Thủ Đức</x:v>
      </x:c>
      <x:c r="E309" s="2" t="str">
        <x:v>house</x:v>
      </x:c>
      <x:c r="F309" s="2" t="str">
        <x:v>sale_assumed</x:v>
      </x:c>
      <x:c r="G309" s="11" t="n">
        <x:v>50</x:v>
      </x:c>
      <x:c r="H309" s="12" t="n">
        <x:v>3050000000</x:v>
      </x:c>
      <x:c r="I309" s="12" t="n">
        <x:v>61000000</x:v>
      </x:c>
      <x:c r="J309" s="2" t="str">
        <x:v>total</x:v>
      </x:c>
      <x:c r="K309" s="2" t="str">
        <x:v>top_level_area</x:v>
      </x:c>
      <x:c r="L309" s="2" t="str">
        <x:v>property_type_inferred_from_title;transaction_assumed_sale_from_dataset_context</x:v>
      </x:c>
      <x:c r="M309" s="10" t="n">
        <x:v>0</x:v>
      </x:c>
      <x:c r="N309" s="10" t="n">
        <x:v>0</x:v>
      </x:c>
      <x:c r="O309" s="2" t="str">
        <x:v>Tp Hồ Chí Minh|house</x:v>
      </x:c>
      <x:c r="P309" s="10" t="n">
        <x:v>2</x:v>
      </x:c>
      <x:c r="Q309" s="13" t="n">
        <x:f>IF(H309="","",H309/1000000000)</x:f>
        <x:v>3.05</x:v>
      </x:c>
      <x:c r="R309" s="13" t="n">
        <x:f>IF(I309="","",I309/1000000)</x:f>
        <x:v>61</x:v>
      </x:c>
    </x:row>
    <x:row r="310" ht="21" customHeight="1">
      <x:c r="A310" s="10" t="n">
        <x:v>327</x:v>
      </x:c>
      <x:c r="B310" s="2" t="str">
        <x:v>7d8dbe81b574f4fcfafd</x:v>
      </x:c>
      <x:c r="C310" s="2" t="str">
        <x:v>Tp Hồ Chí Minh</x:v>
      </x:c>
      <x:c r="D310" s="2" t="str">
        <x:v>Quận 5</x:v>
      </x:c>
      <x:c r="E310" s="2" t="str">
        <x:v>house</x:v>
      </x:c>
      <x:c r="F310" s="2" t="str">
        <x:v>sale</x:v>
      </x:c>
      <x:c r="G310" s="11" t="n">
        <x:v>150</x:v>
      </x:c>
      <x:c r="H310" s="12" t="n">
        <x:v>69000000000</x:v>
      </x:c>
      <x:c r="I310" s="12" t="n">
        <x:v>460000000</x:v>
      </x:c>
      <x:c r="J310" s="2" t="str">
        <x:v>total</x:v>
      </x:c>
      <x:c r="K310" s="2" t="str">
        <x:v>top_level_area</x:v>
      </x:c>
      <x:c r="L310" s="2" t="str">
        <x:v>property_type_inferred_from_title</x:v>
      </x:c>
      <x:c r="M310" s="10" t="n">
        <x:v>1</x:v>
      </x:c>
      <x:c r="N310" s="10" t="n">
        <x:v>1</x:v>
      </x:c>
      <x:c r="O310" s="2" t="str">
        <x:v>Tp Hồ Chí Minh|house</x:v>
      </x:c>
      <x:c r="P310" s="10" t="n">
        <x:v>-1</x:v>
      </x:c>
      <x:c r="Q310" s="13" t="n">
        <x:f>IF(H310="","",H310/1000000000)</x:f>
        <x:v>69</x:v>
      </x:c>
      <x:c r="R310" s="13" t="n">
        <x:f>IF(I310="","",I310/1000000)</x:f>
        <x:v>460</x:v>
      </x:c>
    </x:row>
    <x:row r="311" ht="21" customHeight="1">
      <x:c r="A311" s="10" t="n">
        <x:v>328</x:v>
      </x:c>
      <x:c r="B311" s="2" t="str">
        <x:v>0f55e98b8200ef0013a4</x:v>
      </x:c>
      <x:c r="C311" s="2" t="str">
        <x:v>Tp Hồ Chí Minh</x:v>
      </x:c>
      <x:c r="D311" s="2" t="str">
        <x:v>Quận Thủ Đức</x:v>
      </x:c>
      <x:c r="E311" s="2" t="str">
        <x:v>house</x:v>
      </x:c>
      <x:c r="F311" s="2" t="str">
        <x:v>sale_assumed</x:v>
      </x:c>
      <x:c r="G311" s="11" t="n">
        <x:v>55</x:v>
      </x:c>
      <x:c r="H311" s="12" t="n">
        <x:v>1350000000</x:v>
      </x:c>
      <x:c r="I311" s="12" t="n">
        <x:v>24545454.545454547</x:v>
      </x:c>
      <x:c r="J311" s="2" t="str">
        <x:v>total</x:v>
      </x:c>
      <x:c r="K311" s="2" t="str">
        <x:v>top_level_area</x:v>
      </x:c>
      <x:c r="L311" s="2" t="str">
        <x:v>property_type_inferred_from_title;transaction_assumed_sale_from_dataset_context</x:v>
      </x:c>
      <x:c r="M311" s="10" t="n">
        <x:v>0</x:v>
      </x:c>
      <x:c r="N311" s="10" t="n">
        <x:v>0</x:v>
      </x:c>
      <x:c r="O311" s="2" t="str">
        <x:v>Tp Hồ Chí Minh|house</x:v>
      </x:c>
      <x:c r="P311" s="10" t="n">
        <x:v>2</x:v>
      </x:c>
      <x:c r="Q311" s="13" t="n">
        <x:f>IF(H311="","",H311/1000000000)</x:f>
        <x:v>1.35</x:v>
      </x:c>
      <x:c r="R311" s="13" t="n">
        <x:f>IF(I311="","",I311/1000000)</x:f>
        <x:v>24.545454545454547</x:v>
      </x:c>
    </x:row>
    <x:row r="312" ht="21" customHeight="1">
      <x:c r="A312" s="10" t="n">
        <x:v>329</x:v>
      </x:c>
      <x:c r="B312" s="2" t="str">
        <x:v>3d767b46278b125f50d1</x:v>
      </x:c>
      <x:c r="C312" s="2" t="str">
        <x:v>Tp Hồ Chí Minh</x:v>
      </x:c>
      <x:c r="D312" s="2" t="str">
        <x:v>Quận Bình Tân</x:v>
      </x:c>
      <x:c r="E312" s="2" t="str">
        <x:v>house</x:v>
      </x:c>
      <x:c r="F312" s="2" t="str">
        <x:v>sale</x:v>
      </x:c>
      <x:c r="G312" s="11" t="n">
        <x:v>44</x:v>
      </x:c>
      <x:c r="H312" s="12" t="n">
        <x:v>3150000000</x:v>
      </x:c>
      <x:c r="I312" s="12" t="n">
        <x:v>71590909.0909091</x:v>
      </x:c>
      <x:c r="J312" s="2" t="str">
        <x:v>total</x:v>
      </x:c>
      <x:c r="K312" s="2" t="str">
        <x:v>top_level_area</x:v>
      </x:c>
      <x:c r="L312" s="2" t="str">
        <x:v>property_type_inferred_from_title</x:v>
      </x:c>
      <x:c r="M312" s="10" t="n">
        <x:v>0</x:v>
      </x:c>
      <x:c r="N312" s="10" t="n">
        <x:v>0</x:v>
      </x:c>
      <x:c r="O312" s="2" t="str">
        <x:v>Tp Hồ Chí Minh|house</x:v>
      </x:c>
      <x:c r="P312" s="10" t="n">
        <x:v>2</x:v>
      </x:c>
      <x:c r="Q312" s="13" t="n">
        <x:f>IF(H312="","",H312/1000000000)</x:f>
        <x:v>3.15</x:v>
      </x:c>
      <x:c r="R312" s="13" t="n">
        <x:f>IF(I312="","",I312/1000000)</x:f>
        <x:v>71.5909090909091</x:v>
      </x:c>
    </x:row>
    <x:row r="313" ht="21" customHeight="1">
      <x:c r="A313" s="10" t="n">
        <x:v>330</x:v>
      </x:c>
      <x:c r="B313" s="2" t="str">
        <x:v>27eadf17d77f13c1c53f</x:v>
      </x:c>
      <x:c r="C313" s="2" t="str">
        <x:v>Tp Hồ Chí Minh</x:v>
      </x:c>
      <x:c r="D313" s="2" t="str">
        <x:v>Quận Bình Tân</x:v>
      </x:c>
      <x:c r="E313" s="2" t="str">
        <x:v>house</x:v>
      </x:c>
      <x:c r="F313" s="2" t="str">
        <x:v>sale_assumed</x:v>
      </x:c>
      <x:c r="G313" s="11" t="n">
        <x:v>30</x:v>
      </x:c>
      <x:c r="H313" s="12" t="n">
        <x:v>1200000000</x:v>
      </x:c>
      <x:c r="I313" s="12" t="n">
        <x:v>40000000</x:v>
      </x:c>
      <x:c r="J313" s="2" t="str">
        <x:v>total</x:v>
      </x:c>
      <x:c r="K313" s="2" t="str">
        <x:v>top_level_area</x:v>
      </x:c>
      <x:c r="L313" s="2" t="str">
        <x:v>property_type_inferred_from_title;transaction_assumed_sale_from_dataset_context</x:v>
      </x:c>
      <x:c r="M313" s="10" t="n">
        <x:v>0</x:v>
      </x:c>
      <x:c r="N313" s="10" t="n">
        <x:v>0</x:v>
      </x:c>
      <x:c r="O313" s="2" t="str">
        <x:v>Tp Hồ Chí Minh|house</x:v>
      </x:c>
      <x:c r="P313" s="10" t="n">
        <x:v>2</x:v>
      </x:c>
      <x:c r="Q313" s="13" t="n">
        <x:f>IF(H313="","",H313/1000000000)</x:f>
        <x:v>1.2</x:v>
      </x:c>
      <x:c r="R313" s="13" t="n">
        <x:f>IF(I313="","",I313/1000000)</x:f>
        <x:v>40</x:v>
      </x:c>
    </x:row>
    <x:row r="314" ht="21" customHeight="1">
      <x:c r="A314" s="10" t="n">
        <x:v>331</x:v>
      </x:c>
      <x:c r="B314" s="2" t="str">
        <x:v>b35e6b910f6b90ff2f59</x:v>
      </x:c>
      <x:c r="C314" s="2" t="str">
        <x:v>Hậu Giang</x:v>
      </x:c>
      <x:c r="D314" s="2" t="str">
        <x:v>Chưa xác định</x:v>
      </x:c>
      <x:c r="E314" s="2" t="str">
        <x:v>other_unknown</x:v>
      </x:c>
      <x:c r="F314" s="2" t="str">
        <x:v>sale_assumed</x:v>
      </x:c>
      <x:c r="G314" s="11" t="n">
        <x:v>80</x:v>
      </x:c>
      <x:c r="H314" s="12" t="n">
        <x:v>650000000</x:v>
      </x:c>
      <x:c r="I314" s="12" t="n">
        <x:v>8125000</x:v>
      </x:c>
      <x:c r="J314" s="2" t="str">
        <x:v>total</x:v>
      </x:c>
      <x:c r="K314" s="2" t="str">
        <x:v>top_level_area</x:v>
      </x:c>
      <x:c r="L314" s="2" t="str">
        <x:v>property_type_inferred_from_title;transaction_assumed_sale_from_dataset_context;unknown_district;unknown_property_type</x:v>
      </x:c>
      <x:c r="M314" s="10" t="n">
        <x:v>0</x:v>
      </x:c>
      <x:c r="N314" s="10" t="n">
        <x:v>0</x:v>
      </x:c>
      <x:c r="O314" s="2" t="str">
        <x:v>other_unknown</x:v>
      </x:c>
      <x:c r="P314" s="10" t="n">
        <x:v>2</x:v>
      </x:c>
      <x:c r="Q314" s="13" t="n">
        <x:f>IF(H314="","",H314/1000000000)</x:f>
        <x:v>0.65</x:v>
      </x:c>
      <x:c r="R314" s="13" t="n">
        <x:f>IF(I314="","",I314/1000000)</x:f>
        <x:v>8.125</x:v>
      </x:c>
    </x:row>
    <x:row r="315" ht="21" customHeight="1">
      <x:c r="A315" s="10" t="n">
        <x:v>332</x:v>
      </x:c>
      <x:c r="B315" s="2" t="str">
        <x:v>a5d41f256bb0307c1006</x:v>
      </x:c>
      <x:c r="C315" s="2" t="str">
        <x:v>Tp Hồ Chí Minh</x:v>
      </x:c>
      <x:c r="D315" s="2" t="str">
        <x:v>Quận 12</x:v>
      </x:c>
      <x:c r="E315" s="2" t="str">
        <x:v>house</x:v>
      </x:c>
      <x:c r="F315" s="2" t="str">
        <x:v>sale_assumed</x:v>
      </x:c>
      <x:c r="G315" s="11" t="n">
        <x:v>38</x:v>
      </x:c>
      <x:c r="H315" s="12" t="n">
        <x:v>2290000000</x:v>
      </x:c>
      <x:c r="I315" s="12" t="n">
        <x:v>60263157.89473684</x:v>
      </x:c>
      <x:c r="J315" s="2" t="str">
        <x:v>total</x:v>
      </x:c>
      <x:c r="K315" s="2" t="str">
        <x:v>top_level_area</x:v>
      </x:c>
      <x:c r="L315" s="2" t="str">
        <x:v>property_type_inferred_from_title;transaction_assumed_sale_from_dataset_context</x:v>
      </x:c>
      <x:c r="M315" s="10" t="n">
        <x:v>0</x:v>
      </x:c>
      <x:c r="N315" s="10" t="n">
        <x:v>0</x:v>
      </x:c>
      <x:c r="O315" s="2" t="str">
        <x:v>Tp Hồ Chí Minh|house</x:v>
      </x:c>
      <x:c r="P315" s="10" t="n">
        <x:v>2</x:v>
      </x:c>
      <x:c r="Q315" s="13" t="n">
        <x:f>IF(H315="","",H315/1000000000)</x:f>
        <x:v>2.29</x:v>
      </x:c>
      <x:c r="R315" s="13" t="n">
        <x:f>IF(I315="","",I315/1000000)</x:f>
        <x:v>60.26315789473684</x:v>
      </x:c>
    </x:row>
    <x:row r="316" ht="21" customHeight="1">
      <x:c r="A316" s="10" t="n">
        <x:v>333</x:v>
      </x:c>
      <x:c r="B316" s="2" t="str">
        <x:v>f6889cf4590a1c3ae5a3</x:v>
      </x:c>
      <x:c r="C316" s="2" t="str">
        <x:v>Hà Nội</x:v>
      </x:c>
      <x:c r="D316" s="2" t="str">
        <x:v>Quận Cầu Giấy</x:v>
      </x:c>
      <x:c r="E316" s="2" t="str">
        <x:v>other_unknown</x:v>
      </x:c>
      <x:c r="F316" s="2" t="str">
        <x:v>sale_assumed</x:v>
      </x:c>
      <x:c r="G316" s="11" t="n">
        <x:v>47</x:v>
      </x:c>
      <x:c r="H316" s="12" t="n">
        <x:v>4450000000</x:v>
      </x:c>
      <x:c r="I316" s="12" t="n">
        <x:v>94680851.0638298</x:v>
      </x:c>
      <x:c r="J316" s="2" t="str">
        <x:v>total</x:v>
      </x:c>
      <x:c r="K316" s="2" t="str">
        <x:v>top_level_area</x:v>
      </x:c>
      <x:c r="L316" s="2" t="str">
        <x:v>property_type_inferred_from_title;transaction_assumed_sale_from_dataset_context;unknown_property_type</x:v>
      </x:c>
      <x:c r="M316" s="10" t="n">
        <x:v>0</x:v>
      </x:c>
      <x:c r="N316" s="10" t="n">
        <x:v>0</x:v>
      </x:c>
      <x:c r="O316" s="2" t="str">
        <x:v>Hà Nội|other_unknown</x:v>
      </x:c>
      <x:c r="P316" s="10" t="n">
        <x:v>2</x:v>
      </x:c>
      <x:c r="Q316" s="13" t="n">
        <x:f>IF(H316="","",H316/1000000000)</x:f>
        <x:v>4.45</x:v>
      </x:c>
      <x:c r="R316" s="13" t="n">
        <x:f>IF(I316="","",I316/1000000)</x:f>
        <x:v>94.68085106382979</x:v>
      </x:c>
    </x:row>
    <x:row r="317" ht="21" customHeight="1">
      <x:c r="A317" s="10" t="n">
        <x:v>334</x:v>
      </x:c>
      <x:c r="B317" s="2" t="str">
        <x:v>f214c7041a11a3185caf</x:v>
      </x:c>
      <x:c r="C317" s="2" t="str">
        <x:v>Tp Hồ Chí Minh</x:v>
      </x:c>
      <x:c r="D317" s="2" t="str">
        <x:v>Quận Bình Tân</x:v>
      </x:c>
      <x:c r="E317" s="2" t="str">
        <x:v>house</x:v>
      </x:c>
      <x:c r="F317" s="2" t="str">
        <x:v>sale_assumed</x:v>
      </x:c>
      <x:c r="G317" s="11" t="n">
        <x:v>101</x:v>
      </x:c>
      <x:c r="H317" s="12" t="n">
        <x:v>650000000</x:v>
      </x:c>
      <x:c r="I317" s="12" t="n">
        <x:v>6435643.564356436</x:v>
      </x:c>
      <x:c r="J317" s="2" t="str">
        <x:v>total</x:v>
      </x:c>
      <x:c r="K317" s="2" t="str">
        <x:v>top_level_area</x:v>
      </x:c>
      <x:c r="L317" s="2" t="str">
        <x:v>property_type_inferred_from_title;transaction_assumed_sale_from_dataset_context</x:v>
      </x:c>
      <x:c r="M317" s="10" t="n">
        <x:v>0</x:v>
      </x:c>
      <x:c r="N317" s="10" t="n">
        <x:v>0</x:v>
      </x:c>
      <x:c r="O317" s="2" t="str">
        <x:v>Tp Hồ Chí Minh|house</x:v>
      </x:c>
      <x:c r="P317" s="10" t="n">
        <x:v>2</x:v>
      </x:c>
      <x:c r="Q317" s="13" t="n">
        <x:f>IF(H317="","",H317/1000000000)</x:f>
        <x:v>0.65</x:v>
      </x:c>
      <x:c r="R317" s="13" t="n">
        <x:f>IF(I317="","",I317/1000000)</x:f>
        <x:v>6.435643564356436</x:v>
      </x:c>
    </x:row>
    <x:row r="318" ht="21" customHeight="1">
      <x:c r="A318" s="10" t="n">
        <x:v>335</x:v>
      </x:c>
      <x:c r="B318" s="2" t="str">
        <x:v>b7e16019341d05465f51</x:v>
      </x:c>
      <x:c r="C318" s="2" t="str">
        <x:v>Đắk Nông</x:v>
      </x:c>
      <x:c r="D318" s="2" t="str">
        <x:v>Huyện Đắk Song</x:v>
      </x:c>
      <x:c r="E318" s="2" t="str">
        <x:v>land</x:v>
      </x:c>
      <x:c r="F318" s="2" t="str">
        <x:v>sale_assumed</x:v>
      </x:c>
      <x:c r="G318" s="11" t="n">
        <x:v>2</x:v>
      </x:c>
      <x:c r="H318" s="12" t="n">
        <x:v>2150000000</x:v>
      </x:c>
      <x:c r="I318" s="12" t="n">
        <x:v>1075000000</x:v>
      </x:c>
      <x:c r="J318" s="2" t="str">
        <x:v>total</x:v>
      </x:c>
      <x:c r="K318" s="2" t="str">
        <x:v>top_level_area</x:v>
      </x:c>
      <x:c r="L318" s="2" t="str">
        <x:v>property_type_inferred_from_title;transaction_assumed_sale_from_dataset_context</x:v>
      </x:c>
      <x:c r="M318" s="10" t="n">
        <x:v>1</x:v>
      </x:c>
      <x:c r="N318" s="10" t="n">
        <x:v>1</x:v>
      </x:c>
      <x:c r="O318" s="2" t="str">
        <x:v>land</x:v>
      </x:c>
      <x:c r="P318" s="10" t="n">
        <x:v>-1</x:v>
      </x:c>
      <x:c r="Q318" s="13" t="n">
        <x:f>IF(H318="","",H318/1000000000)</x:f>
        <x:v>2.15</x:v>
      </x:c>
      <x:c r="R318" s="13" t="n">
        <x:f>IF(I318="","",I318/1000000)</x:f>
        <x:v>1075</x:v>
      </x:c>
    </x:row>
    <x:row r="319" ht="21" customHeight="1">
      <x:c r="A319" s="10" t="n">
        <x:v>336</x:v>
      </x:c>
      <x:c r="B319" s="2" t="str">
        <x:v>5a1b98fdfdef3f6aae28</x:v>
      </x:c>
      <x:c r="C319" s="2" t="str">
        <x:v>Lâm Đồng</x:v>
      </x:c>
      <x:c r="D319" s="2" t="str">
        <x:v>Thành phố Đà Lạt</x:v>
      </x:c>
      <x:c r="E319" s="2" t="str">
        <x:v>house</x:v>
      </x:c>
      <x:c r="F319" s="2" t="str">
        <x:v>sale_assumed</x:v>
      </x:c>
      <x:c r="G319" s="11" t="n">
        <x:v>50</x:v>
      </x:c>
      <x:c r="H319" s="12" t="n">
        <x:v>2650000000</x:v>
      </x:c>
      <x:c r="I319" s="12" t="n">
        <x:v>53000000</x:v>
      </x:c>
      <x:c r="J319" s="2" t="str">
        <x:v>total</x:v>
      </x:c>
      <x:c r="K319" s="2" t="str">
        <x:v>top_level_area</x:v>
      </x:c>
      <x:c r="L319" s="2" t="str">
        <x:v>property_type_inferred_from_title;transaction_assumed_sale_from_dataset_context</x:v>
      </x:c>
      <x:c r="M319" s="10" t="n">
        <x:v>0</x:v>
      </x:c>
      <x:c r="N319" s="10" t="n">
        <x:v>0</x:v>
      </x:c>
      <x:c r="O319" s="2" t="str">
        <x:v>house</x:v>
      </x:c>
      <x:c r="P319" s="10" t="n">
        <x:v>2</x:v>
      </x:c>
      <x:c r="Q319" s="13" t="n">
        <x:f>IF(H319="","",H319/1000000000)</x:f>
        <x:v>2.65</x:v>
      </x:c>
      <x:c r="R319" s="13" t="n">
        <x:f>IF(I319="","",I319/1000000)</x:f>
        <x:v>53</x:v>
      </x:c>
    </x:row>
    <x:row r="320" ht="21" customHeight="1">
      <x:c r="A320" s="10" t="n">
        <x:v>337</x:v>
      </x:c>
      <x:c r="B320" s="2" t="str">
        <x:v>16487f48195436265aae</x:v>
      </x:c>
      <x:c r="C320" s="2" t="str">
        <x:v>Tp Hồ Chí Minh</x:v>
      </x:c>
      <x:c r="D320" s="2" t="str">
        <x:v>Quận 7</x:v>
      </x:c>
      <x:c r="E320" s="2" t="str">
        <x:v>house</x:v>
      </x:c>
      <x:c r="F320" s="2" t="str">
        <x:v>sale</x:v>
      </x:c>
      <x:c r="G320" s="11" t="n">
        <x:v>24</x:v>
      </x:c>
      <x:c r="H320" s="12" t="n">
        <x:v>1450000000</x:v>
      </x:c>
      <x:c r="I320" s="12" t="n">
        <x:v>60416666.666666664</x:v>
      </x:c>
      <x:c r="J320" s="2" t="str">
        <x:v>total</x:v>
      </x:c>
      <x:c r="K320" s="2" t="str">
        <x:v>top_level_area</x:v>
      </x:c>
      <x:c r="L320" s="2" t="str">
        <x:v>property_type_inferred_from_title</x:v>
      </x:c>
      <x:c r="M320" s="10" t="n">
        <x:v>0</x:v>
      </x:c>
      <x:c r="N320" s="10" t="n">
        <x:v>0</x:v>
      </x:c>
      <x:c r="O320" s="2" t="str">
        <x:v>Tp Hồ Chí Minh|house</x:v>
      </x:c>
      <x:c r="P320" s="10" t="n">
        <x:v>2</x:v>
      </x:c>
      <x:c r="Q320" s="13" t="n">
        <x:f>IF(H320="","",H320/1000000000)</x:f>
        <x:v>1.45</x:v>
      </x:c>
      <x:c r="R320" s="13" t="n">
        <x:f>IF(I320="","",I320/1000000)</x:f>
        <x:v>60.416666666666664</x:v>
      </x:c>
    </x:row>
    <x:row r="321" ht="21" customHeight="1">
      <x:c r="A321" s="10" t="n">
        <x:v>338</x:v>
      </x:c>
      <x:c r="B321" s="2" t="str">
        <x:v>ffac472d0317e31af7d0</x:v>
      </x:c>
      <x:c r="C321" s="2" t="str">
        <x:v>Tp Hồ Chí Minh</x:v>
      </x:c>
      <x:c r="D321" s="2" t="str">
        <x:v>Quận 12</x:v>
      </x:c>
      <x:c r="E321" s="2" t="str">
        <x:v>house</x:v>
      </x:c>
      <x:c r="F321" s="2" t="str">
        <x:v>sale</x:v>
      </x:c>
      <x:c r="G321" s="11" t="n">
        <x:v>23</x:v>
      </x:c>
      <x:c r="H321" s="12" t="n">
        <x:v>1790000000</x:v>
      </x:c>
      <x:c r="I321" s="12" t="n">
        <x:v>77826086.95652173</x:v>
      </x:c>
      <x:c r="J321" s="2" t="str">
        <x:v>total</x:v>
      </x:c>
      <x:c r="K321" s="2" t="str">
        <x:v>top_level_area</x:v>
      </x:c>
      <x:c r="L321" s="2" t="str">
        <x:v>property_type_inferred_from_title</x:v>
      </x:c>
      <x:c r="M321" s="10" t="n">
        <x:v>0</x:v>
      </x:c>
      <x:c r="N321" s="10" t="n">
        <x:v>0</x:v>
      </x:c>
      <x:c r="O321" s="2" t="str">
        <x:v>Tp Hồ Chí Minh|house</x:v>
      </x:c>
      <x:c r="P321" s="10" t="n">
        <x:v>2</x:v>
      </x:c>
      <x:c r="Q321" s="13" t="n">
        <x:f>IF(H321="","",H321/1000000000)</x:f>
        <x:v>1.79</x:v>
      </x:c>
      <x:c r="R321" s="13" t="n">
        <x:f>IF(I321="","",I321/1000000)</x:f>
        <x:v>77.82608695652173</x:v>
      </x:c>
    </x:row>
    <x:row r="322" ht="21" customHeight="1">
      <x:c r="A322" s="10" t="n">
        <x:v>339</x:v>
      </x:c>
      <x:c r="B322" s="2" t="str">
        <x:v>e06af001bfadb9613e23</x:v>
      </x:c>
      <x:c r="C322" s="2" t="str">
        <x:v>Long An</x:v>
      </x:c>
      <x:c r="D322" s="2" t="str">
        <x:v>Huyện Đức Hòa</x:v>
      </x:c>
      <x:c r="E322" s="2" t="str">
        <x:v>other_unknown</x:v>
      </x:c>
      <x:c r="F322" s="2" t="str">
        <x:v>sale_assumed</x:v>
      </x:c>
      <x:c r="G322" s="11" t="n">
        <x:v>100</x:v>
      </x:c>
      <x:c r="H322" s="12" t="n">
        <x:v>460000000</x:v>
      </x:c>
      <x:c r="I322" s="12" t="n">
        <x:v>4600000</x:v>
      </x:c>
      <x:c r="J322" s="2" t="str">
        <x:v>total</x:v>
      </x:c>
      <x:c r="K322" s="2" t="str">
        <x:v>top_level_area</x:v>
      </x:c>
      <x:c r="L322" s="2" t="str">
        <x:v>property_type_inferred_from_title;transaction_assumed_sale_from_dataset_context;unknown_property_type</x:v>
      </x:c>
      <x:c r="M322" s="10" t="n">
        <x:v>0</x:v>
      </x:c>
      <x:c r="N322" s="10" t="n">
        <x:v>0</x:v>
      </x:c>
      <x:c r="O322" s="2" t="str">
        <x:v>Long An|other_unknown</x:v>
      </x:c>
      <x:c r="P322" s="10" t="n">
        <x:v>2</x:v>
      </x:c>
      <x:c r="Q322" s="13" t="n">
        <x:f>IF(H322="","",H322/1000000000)</x:f>
        <x:v>0.46</x:v>
      </x:c>
      <x:c r="R322" s="13" t="n">
        <x:f>IF(I322="","",I322/1000000)</x:f>
        <x:v>4.6</x:v>
      </x:c>
    </x:row>
    <x:row r="323" ht="21" customHeight="1">
      <x:c r="A323" s="10" t="n">
        <x:v>340</x:v>
      </x:c>
      <x:c r="B323" s="2" t="str">
        <x:v>05459751a78aee573115</x:v>
      </x:c>
      <x:c r="C323" s="2" t="str">
        <x:v>Hà Nội</x:v>
      </x:c>
      <x:c r="D323" s="2" t="str">
        <x:v>Quận Hà Đông</x:v>
      </x:c>
      <x:c r="E323" s="2" t="str">
        <x:v>house</x:v>
      </x:c>
      <x:c r="F323" s="2" t="str">
        <x:v>sale</x:v>
      </x:c>
      <x:c r="G323" s="11" t="n">
        <x:v>30.2</x:v>
      </x:c>
      <x:c r="H323" s="12" t="n">
        <x:v>2049999999.9999998</x:v>
      </x:c>
      <x:c r="I323" s="12" t="n">
        <x:v>67880794.70198674</x:v>
      </x:c>
      <x:c r="J323" s="2" t="str">
        <x:v>total</x:v>
      </x:c>
      <x:c r="K323" s="2" t="str">
        <x:v>top_level_area</x:v>
      </x:c>
      <x:c r="L323" s="2" t="str">
        <x:v>property_type_inferred_from_title</x:v>
      </x:c>
      <x:c r="M323" s="10" t="n">
        <x:v>0</x:v>
      </x:c>
      <x:c r="N323" s="10" t="n">
        <x:v>0</x:v>
      </x:c>
      <x:c r="O323" s="2" t="str">
        <x:v>Hà Nội|house</x:v>
      </x:c>
      <x:c r="P323" s="10" t="n">
        <x:v>2</x:v>
      </x:c>
      <x:c r="Q323" s="13" t="n">
        <x:f>IF(H323="","",H323/1000000000)</x:f>
        <x:v>2.05</x:v>
      </x:c>
      <x:c r="R323" s="13" t="n">
        <x:f>IF(I323="","",I323/1000000)</x:f>
        <x:v>67.88079470198674</x:v>
      </x:c>
    </x:row>
    <x:row r="324" ht="21" customHeight="1">
      <x:c r="A324" s="10" t="n">
        <x:v>341</x:v>
      </x:c>
      <x:c r="B324" s="2" t="str">
        <x:v>861dd89d658484279cf7</x:v>
      </x:c>
      <x:c r="C324" s="2" t="str">
        <x:v>Tp Hồ Chí Minh</x:v>
      </x:c>
      <x:c r="D324" s="2" t="str">
        <x:v>Quận 2</x:v>
      </x:c>
      <x:c r="E324" s="2" t="str">
        <x:v>other_unknown</x:v>
      </x:c>
      <x:c r="F324" s="2" t="str">
        <x:v>sale</x:v>
      </x:c>
      <x:c r="G324" s="11" t="n">
        <x:v>58</x:v>
      </x:c>
      <x:c r="H324" s="12" t="n">
        <x:v>1600000000</x:v>
      </x:c>
      <x:c r="I324" s="12" t="n">
        <x:v>27586206.896551725</x:v>
      </x:c>
      <x:c r="J324" s="2" t="str">
        <x:v>total</x:v>
      </x:c>
      <x:c r="K324" s="2" t="str">
        <x:v>top_level_area</x:v>
      </x:c>
      <x:c r="L324" s="2" t="str">
        <x:v>property_type_inferred_from_title;unknown_property_type</x:v>
      </x:c>
      <x:c r="M324" s="10" t="n">
        <x:v>0</x:v>
      </x:c>
      <x:c r="N324" s="10" t="n">
        <x:v>0</x:v>
      </x:c>
      <x:c r="O324" s="2" t="str">
        <x:v>Tp Hồ Chí Minh|other_unknown</x:v>
      </x:c>
      <x:c r="P324" s="10" t="n">
        <x:v>2</x:v>
      </x:c>
      <x:c r="Q324" s="13" t="n">
        <x:f>IF(H324="","",H324/1000000000)</x:f>
        <x:v>1.6</x:v>
      </x:c>
      <x:c r="R324" s="13" t="n">
        <x:f>IF(I324="","",I324/1000000)</x:f>
        <x:v>27.586206896551726</x:v>
      </x:c>
    </x:row>
    <x:row r="325" ht="21" customHeight="1">
      <x:c r="A325" s="10" t="n">
        <x:v>342</x:v>
      </x:c>
      <x:c r="B325" s="2" t="str">
        <x:v>cceecaebcd51d960af90</x:v>
      </x:c>
      <x:c r="C325" s="2" t="str">
        <x:v>Đà Nẵng</x:v>
      </x:c>
      <x:c r="D325" s="2" t="str">
        <x:v>Quận Sơn Trà</x:v>
      </x:c>
      <x:c r="E325" s="2" t="str">
        <x:v>house</x:v>
      </x:c>
      <x:c r="F325" s="2" t="str">
        <x:v>sale</x:v>
      </x:c>
      <x:c r="G325" s="11" t="n">
        <x:v>50</x:v>
      </x:c>
      <x:c r="H325" s="12" t="n">
        <x:v>2700000000</x:v>
      </x:c>
      <x:c r="I325" s="12" t="n">
        <x:v>54000000</x:v>
      </x:c>
      <x:c r="J325" s="2" t="str">
        <x:v>total</x:v>
      </x:c>
      <x:c r="K325" s="2" t="str">
        <x:v>top_level_area</x:v>
      </x:c>
      <x:c r="L325" s="2" t="str">
        <x:v>property_type_inferred_from_title</x:v>
      </x:c>
      <x:c r="M325" s="10" t="n">
        <x:v>0</x:v>
      </x:c>
      <x:c r="N325" s="10" t="n">
        <x:v>0</x:v>
      </x:c>
      <x:c r="O325" s="2" t="str">
        <x:v>Đà Nẵng|house</x:v>
      </x:c>
      <x:c r="P325" s="10" t="n">
        <x:v>2</x:v>
      </x:c>
      <x:c r="Q325" s="13" t="n">
        <x:f>IF(H325="","",H325/1000000000)</x:f>
        <x:v>2.7</x:v>
      </x:c>
      <x:c r="R325" s="13" t="n">
        <x:f>IF(I325="","",I325/1000000)</x:f>
        <x:v>54</x:v>
      </x:c>
    </x:row>
    <x:row r="326" ht="21" customHeight="1">
      <x:c r="A326" s="10" t="n">
        <x:v>343</x:v>
      </x:c>
      <x:c r="B326" s="2" t="str">
        <x:v>1c6ab7911e1b6dfbb571</x:v>
      </x:c>
      <x:c r="C326" s="2" t="str">
        <x:v>Tp Hồ Chí Minh</x:v>
      </x:c>
      <x:c r="D326" s="2" t="str">
        <x:v>Quận 7</x:v>
      </x:c>
      <x:c r="E326" s="2" t="str">
        <x:v>house</x:v>
      </x:c>
      <x:c r="F326" s="2" t="str">
        <x:v>sale</x:v>
      </x:c>
      <x:c r="G326" s="11" t="n">
        <x:v>18</x:v>
      </x:c>
      <x:c r="H326" s="12" t="n">
        <x:v>650000000</x:v>
      </x:c>
      <x:c r="I326" s="12" t="n">
        <x:v>36111111.11111111</x:v>
      </x:c>
      <x:c r="J326" s="2" t="str">
        <x:v>total</x:v>
      </x:c>
      <x:c r="K326" s="2" t="str">
        <x:v>top_level_area</x:v>
      </x:c>
      <x:c r="L326" s="2" t="str">
        <x:v>property_type_inferred_from_title</x:v>
      </x:c>
      <x:c r="M326" s="10" t="n">
        <x:v>0</x:v>
      </x:c>
      <x:c r="N326" s="10" t="n">
        <x:v>0</x:v>
      </x:c>
      <x:c r="O326" s="2" t="str">
        <x:v>Tp Hồ Chí Minh|house</x:v>
      </x:c>
      <x:c r="P326" s="10" t="n">
        <x:v>2</x:v>
      </x:c>
      <x:c r="Q326" s="13" t="n">
        <x:f>IF(H326="","",H326/1000000000)</x:f>
        <x:v>0.65</x:v>
      </x:c>
      <x:c r="R326" s="13" t="n">
        <x:f>IF(I326="","",I326/1000000)</x:f>
        <x:v>36.111111111111114</x:v>
      </x:c>
    </x:row>
    <x:row r="327" ht="21" customHeight="1">
      <x:c r="A327" s="10" t="n">
        <x:v>344</x:v>
      </x:c>
      <x:c r="B327" s="2" t="str">
        <x:v>1b0552b9b2c86db92122</x:v>
      </x:c>
      <x:c r="C327" s="2" t="str">
        <x:v>Tp Hồ Chí Minh</x:v>
      </x:c>
      <x:c r="D327" s="2" t="str">
        <x:v>Quận 8</x:v>
      </x:c>
      <x:c r="E327" s="2" t="str">
        <x:v>other_unknown</x:v>
      </x:c>
      <x:c r="F327" s="2" t="str">
        <x:v>sale_assumed</x:v>
      </x:c>
      <x:c r="G327" s="11" t="n">
        <x:v>21</x:v>
      </x:c>
      <x:c r="H327" s="12" t="n">
        <x:v>1290000000</x:v>
      </x:c>
      <x:c r="I327" s="12" t="n">
        <x:v>61428571.428571425</x:v>
      </x:c>
      <x:c r="J327" s="2" t="str">
        <x:v>total</x:v>
      </x:c>
      <x:c r="K327" s="2" t="str">
        <x:v>top_level_area</x:v>
      </x:c>
      <x:c r="L327" s="2" t="str">
        <x:v>property_type_inferred_from_title;transaction_assumed_sale_from_dataset_context;unknown_property_type</x:v>
      </x:c>
      <x:c r="M327" s="10" t="n">
        <x:v>0</x:v>
      </x:c>
      <x:c r="N327" s="10" t="n">
        <x:v>0</x:v>
      </x:c>
      <x:c r="O327" s="2" t="str">
        <x:v>Tp Hồ Chí Minh|other_unknown</x:v>
      </x:c>
      <x:c r="P327" s="10" t="n">
        <x:v>2</x:v>
      </x:c>
      <x:c r="Q327" s="13" t="n">
        <x:f>IF(H327="","",H327/1000000000)</x:f>
        <x:v>1.29</x:v>
      </x:c>
      <x:c r="R327" s="13" t="n">
        <x:f>IF(I327="","",I327/1000000)</x:f>
        <x:v>61.42857142857142</x:v>
      </x:c>
    </x:row>
    <x:row r="328" ht="21" customHeight="1">
      <x:c r="A328" s="10" t="n">
        <x:v>345</x:v>
      </x:c>
      <x:c r="B328" s="2" t="str">
        <x:v>eb1ac7b1198f20d22fb5</x:v>
      </x:c>
      <x:c r="C328" s="2" t="str">
        <x:v>Tp Hồ Chí Minh</x:v>
      </x:c>
      <x:c r="D328" s="2" t="str">
        <x:v>Quận 12</x:v>
      </x:c>
      <x:c r="E328" s="2" t="str">
        <x:v>house</x:v>
      </x:c>
      <x:c r="F328" s="2" t="str">
        <x:v>sale_assumed</x:v>
      </x:c>
      <x:c r="G328" s="11" t="n">
        <x:v>40</x:v>
      </x:c>
      <x:c r="H328" s="12" t="n">
        <x:v>950000000</x:v>
      </x:c>
      <x:c r="I328" s="12" t="n">
        <x:v>23750000</x:v>
      </x:c>
      <x:c r="J328" s="2" t="str">
        <x:v>total</x:v>
      </x:c>
      <x:c r="K328" s="2" t="str">
        <x:v>top_level_area</x:v>
      </x:c>
      <x:c r="L328" s="2" t="str">
        <x:v>property_type_inferred_from_title;transaction_assumed_sale_from_dataset_context</x:v>
      </x:c>
      <x:c r="M328" s="10" t="n">
        <x:v>0</x:v>
      </x:c>
      <x:c r="N328" s="10" t="n">
        <x:v>0</x:v>
      </x:c>
      <x:c r="O328" s="2" t="str">
        <x:v>Tp Hồ Chí Minh|house</x:v>
      </x:c>
      <x:c r="P328" s="10" t="n">
        <x:v>2</x:v>
      </x:c>
      <x:c r="Q328" s="13" t="n">
        <x:f>IF(H328="","",H328/1000000000)</x:f>
        <x:v>0.95</x:v>
      </x:c>
      <x:c r="R328" s="13" t="n">
        <x:f>IF(I328="","",I328/1000000)</x:f>
        <x:v>23.75</x:v>
      </x:c>
    </x:row>
    <x:row r="329" ht="21" customHeight="1">
      <x:c r="A329" s="10" t="n">
        <x:v>346</x:v>
      </x:c>
      <x:c r="B329" s="2" t="str">
        <x:v>b828a936f4ba7df13d64</x:v>
      </x:c>
      <x:c r="C329" s="2" t="str">
        <x:v>Cần Thơ</x:v>
      </x:c>
      <x:c r="D329" s="2" t="str">
        <x:v>Quận Bình Thuỷ</x:v>
      </x:c>
      <x:c r="E329" s="2" t="str">
        <x:v>house</x:v>
      </x:c>
      <x:c r="F329" s="2" t="str">
        <x:v>sale_assumed</x:v>
      </x:c>
      <x:c r="G329" s="11" t="n">
        <x:v>105</x:v>
      </x:c>
      <x:c r="H329" s="12" t="n">
        <x:v>6200000000</x:v>
      </x:c>
      <x:c r="I329" s="12" t="n">
        <x:v>59047619.047619045</x:v>
      </x:c>
      <x:c r="J329" s="2" t="str">
        <x:v>total</x:v>
      </x:c>
      <x:c r="K329" s="2" t="str">
        <x:v>top_level_area</x:v>
      </x:c>
      <x:c r="L329" s="2" t="str">
        <x:v>property_type_inferred_from_title;transaction_assumed_sale_from_dataset_context</x:v>
      </x:c>
      <x:c r="M329" s="10" t="n">
        <x:v>0</x:v>
      </x:c>
      <x:c r="N329" s="10" t="n">
        <x:v>0</x:v>
      </x:c>
      <x:c r="O329" s="2" t="str">
        <x:v>Cần Thơ|house</x:v>
      </x:c>
      <x:c r="P329" s="10" t="n">
        <x:v>2</x:v>
      </x:c>
      <x:c r="Q329" s="13" t="n">
        <x:f>IF(H329="","",H329/1000000000)</x:f>
        <x:v>6.2</x:v>
      </x:c>
      <x:c r="R329" s="13" t="n">
        <x:f>IF(I329="","",I329/1000000)</x:f>
        <x:v>59.047619047619044</x:v>
      </x:c>
    </x:row>
    <x:row r="330" ht="21" customHeight="1">
      <x:c r="A330" s="10" t="n">
        <x:v>348</x:v>
      </x:c>
      <x:c r="B330" s="2" t="str">
        <x:v>69672decb41a0b71f4bc</x:v>
      </x:c>
      <x:c r="C330" s="2" t="str">
        <x:v>Tp Hồ Chí Minh</x:v>
      </x:c>
      <x:c r="D330" s="2" t="str">
        <x:v>Quận 8</x:v>
      </x:c>
      <x:c r="E330" s="2" t="str">
        <x:v>house</x:v>
      </x:c>
      <x:c r="F330" s="2" t="str">
        <x:v>sale</x:v>
      </x:c>
      <x:c r="G330" s="11" t="n">
        <x:v>33</x:v>
      </x:c>
      <x:c r="H330" s="12" t="n">
        <x:v>2100000000</x:v>
      </x:c>
      <x:c r="I330" s="12" t="n">
        <x:v>63636363.63636363</x:v>
      </x:c>
      <x:c r="J330" s="2" t="str">
        <x:v>total</x:v>
      </x:c>
      <x:c r="K330" s="2" t="str">
        <x:v>top_level_area</x:v>
      </x:c>
      <x:c r="L330" s="2" t="str">
        <x:v>property_type_inferred_from_title</x:v>
      </x:c>
      <x:c r="M330" s="10" t="n">
        <x:v>0</x:v>
      </x:c>
      <x:c r="N330" s="10" t="n">
        <x:v>0</x:v>
      </x:c>
      <x:c r="O330" s="2" t="str">
        <x:v>Tp Hồ Chí Minh|house</x:v>
      </x:c>
      <x:c r="P330" s="10" t="n">
        <x:v>2</x:v>
      </x:c>
      <x:c r="Q330" s="13" t="n">
        <x:f>IF(H330="","",H330/1000000000)</x:f>
        <x:v>2.1</x:v>
      </x:c>
      <x:c r="R330" s="13" t="n">
        <x:f>IF(I330="","",I330/1000000)</x:f>
        <x:v>63.63636363636363</x:v>
      </x:c>
    </x:row>
    <x:row r="331" ht="21" customHeight="1">
      <x:c r="A331" s="10" t="n">
        <x:v>349</x:v>
      </x:c>
      <x:c r="B331" s="2" t="str">
        <x:v>3dd86383bc2d5139d75d</x:v>
      </x:c>
      <x:c r="C331" s="2" t="str">
        <x:v>Lâm Đồng</x:v>
      </x:c>
      <x:c r="D331" s="2" t="str">
        <x:v>Huyện Bảo Lâm</x:v>
      </x:c>
      <x:c r="E331" s="2" t="str">
        <x:v>land</x:v>
      </x:c>
      <x:c r="F331" s="2" t="str">
        <x:v>sale_assumed</x:v>
      </x:c>
      <x:c r="G331" s="11" t="n">
        <x:v>767000</x:v>
      </x:c>
      <x:c r="H331" s="12" t="n">
        <x:v>600000000</x:v>
      </x:c>
      <x:c r="I331" s="12" t="n">
        <x:v>782.2685788787484</x:v>
      </x:c>
      <x:c r="J331" s="2" t="str">
        <x:v>total</x:v>
      </x:c>
      <x:c r="K331" s="2" t="str">
        <x:v>top_level_area</x:v>
      </x:c>
      <x:c r="L331" s="2" t="str">
        <x:v>dot_thousands_convention;property_type_inferred_from_title;transaction_assumed_sale_from_dataset_context</x:v>
      </x:c>
      <x:c r="M331" s="10" t="n">
        <x:v>0</x:v>
      </x:c>
      <x:c r="N331" s="10" t="n">
        <x:v>0</x:v>
      </x:c>
      <x:c r="O331" s="2" t="str">
        <x:v>Lâm Đồng|land</x:v>
      </x:c>
      <x:c r="P331" s="10" t="n">
        <x:v>1</x:v>
      </x:c>
      <x:c r="Q331" s="13" t="n">
        <x:f>IF(H331="","",H331/1000000000)</x:f>
        <x:v>0.6</x:v>
      </x:c>
      <x:c r="R331" s="13" t="n">
        <x:f>IF(I331="","",I331/1000000)</x:f>
        <x:v>0.0007822685788787483</x:v>
      </x:c>
    </x:row>
    <x:row r="332" ht="21" customHeight="1">
      <x:c r="A332" s="10" t="n">
        <x:v>350</x:v>
      </x:c>
      <x:c r="B332" s="2" t="str">
        <x:v>ef5133e7146113bae737</x:v>
      </x:c>
      <x:c r="C332" s="2" t="str">
        <x:v>Sóc Trăng</x:v>
      </x:c>
      <x:c r="D332" s="2" t="str">
        <x:v>Thành phố Sóc Trăng</x:v>
      </x:c>
      <x:c r="E332" s="2" t="str">
        <x:v>house</x:v>
      </x:c>
      <x:c r="F332" s="2" t="str">
        <x:v>sale</x:v>
      </x:c>
      <x:c r="G332" s="11" t="n">
        <x:v>110.3</x:v>
      </x:c>
      <x:c r="H332" s="12" t="n">
        <x:v>1750000000</x:v>
      </x:c>
      <x:c r="I332" s="12" t="n">
        <x:v>15865820.48957389</x:v>
      </x:c>
      <x:c r="J332" s="2" t="str">
        <x:v>total</x:v>
      </x:c>
      <x:c r="K332" s="2" t="str">
        <x:v>top_level_area</x:v>
      </x:c>
      <x:c r="L332" s="2" t="str">
        <x:v>property_type_inferred_from_title</x:v>
      </x:c>
      <x:c r="M332" s="10" t="n">
        <x:v>0</x:v>
      </x:c>
      <x:c r="N332" s="10" t="n">
        <x:v>0</x:v>
      </x:c>
      <x:c r="O332" s="2" t="str">
        <x:v>house</x:v>
      </x:c>
      <x:c r="P332" s="10" t="n">
        <x:v>2</x:v>
      </x:c>
      <x:c r="Q332" s="13" t="n">
        <x:f>IF(H332="","",H332/1000000000)</x:f>
        <x:v>1.75</x:v>
      </x:c>
      <x:c r="R332" s="13" t="n">
        <x:f>IF(I332="","",I332/1000000)</x:f>
        <x:v>15.86582048957389</x:v>
      </x:c>
    </x:row>
    <x:row r="333" ht="21" customHeight="1">
      <x:c r="A333" s="10" t="n">
        <x:v>351</x:v>
      </x:c>
      <x:c r="B333" s="2" t="str">
        <x:v>6878bd5bfd0749870816</x:v>
      </x:c>
      <x:c r="C333" s="2" t="str">
        <x:v>Tây Ninh</x:v>
      </x:c>
      <x:c r="D333" s="2" t="str">
        <x:v>Huyện Gò Dầu</x:v>
      </x:c>
      <x:c r="E333" s="2" t="str">
        <x:v>land</x:v>
      </x:c>
      <x:c r="F333" s="2" t="str">
        <x:v>sale_assumed</x:v>
      </x:c>
      <x:c r="G333" s="11" t="n">
        <x:v>135</x:v>
      </x:c>
      <x:c r="H333" s="12" t="n">
        <x:v>370000000</x:v>
      </x:c>
      <x:c r="I333" s="12" t="n">
        <x:v>2740740.7407407407</x:v>
      </x:c>
      <x:c r="J333" s="2" t="str">
        <x:v>total</x:v>
      </x:c>
      <x:c r="K333" s="2" t="str">
        <x:v>top_level_area</x:v>
      </x:c>
      <x:c r="L333" s="2" t="str">
        <x:v>property_type_inferred_from_title;transaction_assumed_sale_from_dataset_context</x:v>
      </x:c>
      <x:c r="M333" s="10" t="n">
        <x:v>0</x:v>
      </x:c>
      <x:c r="N333" s="10" t="n">
        <x:v>0</x:v>
      </x:c>
      <x:c r="O333" s="2" t="str">
        <x:v>land</x:v>
      </x:c>
      <x:c r="P333" s="10" t="n">
        <x:v>1</x:v>
      </x:c>
      <x:c r="Q333" s="13" t="n">
        <x:f>IF(H333="","",H333/1000000000)</x:f>
        <x:v>0.37</x:v>
      </x:c>
      <x:c r="R333" s="13" t="n">
        <x:f>IF(I333="","",I333/1000000)</x:f>
        <x:v>2.7407407407407405</x:v>
      </x:c>
    </x:row>
    <x:row r="334" ht="21" customHeight="1">
      <x:c r="A334" s="10" t="n">
        <x:v>352</x:v>
      </x:c>
      <x:c r="B334" s="2" t="str">
        <x:v>359caacd66bf81e8478f</x:v>
      </x:c>
      <x:c r="C334" s="2" t="str">
        <x:v>Tp Hồ Chí Minh</x:v>
      </x:c>
      <x:c r="D334" s="2" t="str">
        <x:v>Quận 9</x:v>
      </x:c>
      <x:c r="E334" s="2" t="str">
        <x:v>house</x:v>
      </x:c>
      <x:c r="F334" s="2" t="str">
        <x:v>sale_assumed</x:v>
      </x:c>
      <x:c r="G334" s="11" t="n">
        <x:v>91</x:v>
      </x:c>
      <x:c r="H334" s="12" t="n">
        <x:v>3800000000</x:v>
      </x:c>
      <x:c r="I334" s="12" t="n">
        <x:v>41758241.75824176</x:v>
      </x:c>
      <x:c r="J334" s="2" t="str">
        <x:v>total</x:v>
      </x:c>
      <x:c r="K334" s="2" t="str">
        <x:v>top_level_area</x:v>
      </x:c>
      <x:c r="L334" s="2" t="str">
        <x:v>property_type_inferred_from_title;transaction_assumed_sale_from_dataset_context</x:v>
      </x:c>
      <x:c r="M334" s="10" t="n">
        <x:v>0</x:v>
      </x:c>
      <x:c r="N334" s="10" t="n">
        <x:v>0</x:v>
      </x:c>
      <x:c r="O334" s="2" t="str">
        <x:v>Tp Hồ Chí Minh|house</x:v>
      </x:c>
      <x:c r="P334" s="10" t="n">
        <x:v>2</x:v>
      </x:c>
      <x:c r="Q334" s="13" t="n">
        <x:f>IF(H334="","",H334/1000000000)</x:f>
        <x:v>3.8</x:v>
      </x:c>
      <x:c r="R334" s="13" t="n">
        <x:f>IF(I334="","",I334/1000000)</x:f>
        <x:v>41.75824175824176</x:v>
      </x:c>
    </x:row>
    <x:row r="335" ht="21" customHeight="1">
      <x:c r="A335" s="10" t="n">
        <x:v>353</x:v>
      </x:c>
      <x:c r="B335" s="2" t="str">
        <x:v>62fab54a60317bef817a</x:v>
      </x:c>
      <x:c r="C335" s="2" t="str">
        <x:v>Tp Hồ Chí Minh</x:v>
      </x:c>
      <x:c r="D335" s="2" t="str">
        <x:v>Quận Tân Bình</x:v>
      </x:c>
      <x:c r="E335" s="2" t="str">
        <x:v>other_unknown</x:v>
      </x:c>
      <x:c r="F335" s="2" t="str">
        <x:v>sale</x:v>
      </x:c>
      <x:c r="G335" s="11" t="n">
        <x:v>25.8</x:v>
      </x:c>
      <x:c r="H335" s="12" t="n">
        <x:v>2500000000</x:v>
      </x:c>
      <x:c r="I335" s="12" t="n">
        <x:v>96899224.80620155</x:v>
      </x:c>
      <x:c r="J335" s="2" t="str">
        <x:v>total</x:v>
      </x:c>
      <x:c r="K335" s="2" t="str">
        <x:v>top_level_area</x:v>
      </x:c>
      <x:c r="L335" s="2" t="str">
        <x:v>property_type_inferred_from_title;unknown_property_type</x:v>
      </x:c>
      <x:c r="M335" s="10" t="n">
        <x:v>0</x:v>
      </x:c>
      <x:c r="N335" s="10" t="n">
        <x:v>0</x:v>
      </x:c>
      <x:c r="O335" s="2" t="str">
        <x:v>Tp Hồ Chí Minh|other_unknown</x:v>
      </x:c>
      <x:c r="P335" s="10" t="n">
        <x:v>2</x:v>
      </x:c>
      <x:c r="Q335" s="13" t="n">
        <x:f>IF(H335="","",H335/1000000000)</x:f>
        <x:v>2.5</x:v>
      </x:c>
      <x:c r="R335" s="13" t="n">
        <x:f>IF(I335="","",I335/1000000)</x:f>
        <x:v>96.89922480620154</x:v>
      </x:c>
    </x:row>
    <x:row r="336" ht="21" customHeight="1">
      <x:c r="A336" s="10" t="n">
        <x:v>354</x:v>
      </x:c>
      <x:c r="B336" s="2" t="str">
        <x:v>08b9bdc017d3f92e7a19</x:v>
      </x:c>
      <x:c r="C336" s="2" t="str">
        <x:v>Tp Hồ Chí Minh</x:v>
      </x:c>
      <x:c r="D336" s="2" t="str">
        <x:v>Quận 7</x:v>
      </x:c>
      <x:c r="E336" s="2" t="str">
        <x:v>house</x:v>
      </x:c>
      <x:c r="F336" s="2" t="str">
        <x:v>sale_assumed</x:v>
      </x:c>
      <x:c r="G336" s="11" t="n">
        <x:v>24</x:v>
      </x:c>
      <x:c r="H336" s="12" t="n">
        <x:v>780000000</x:v>
      </x:c>
      <x:c r="I336" s="12" t="n">
        <x:v>32500000</x:v>
      </x:c>
      <x:c r="J336" s="2" t="str">
        <x:v>total</x:v>
      </x:c>
      <x:c r="K336" s="2" t="str">
        <x:v>top_level_area</x:v>
      </x:c>
      <x:c r="L336" s="2" t="str">
        <x:v>property_type_inferred_from_title;transaction_assumed_sale_from_dataset_context</x:v>
      </x:c>
      <x:c r="M336" s="10" t="n">
        <x:v>0</x:v>
      </x:c>
      <x:c r="N336" s="10" t="n">
        <x:v>0</x:v>
      </x:c>
      <x:c r="O336" s="2" t="str">
        <x:v>Tp Hồ Chí Minh|house</x:v>
      </x:c>
      <x:c r="P336" s="10" t="n">
        <x:v>2</x:v>
      </x:c>
      <x:c r="Q336" s="13" t="n">
        <x:f>IF(H336="","",H336/1000000000)</x:f>
        <x:v>0.78</x:v>
      </x:c>
      <x:c r="R336" s="13" t="n">
        <x:f>IF(I336="","",I336/1000000)</x:f>
        <x:v>32.5</x:v>
      </x:c>
    </x:row>
    <x:row r="337" ht="21" customHeight="1">
      <x:c r="A337" s="10" t="n">
        <x:v>355</x:v>
      </x:c>
      <x:c r="B337" s="2" t="str">
        <x:v>fe611af953c7a6e6f266</x:v>
      </x:c>
      <x:c r="C337" s="2" t="str">
        <x:v>Tp Hồ Chí Minh</x:v>
      </x:c>
      <x:c r="D337" s="2" t="str">
        <x:v>Quận Tân Bình</x:v>
      </x:c>
      <x:c r="E337" s="2" t="str">
        <x:v>house</x:v>
      </x:c>
      <x:c r="F337" s="2" t="str">
        <x:v>sale_assumed</x:v>
      </x:c>
      <x:c r="G337" s="11" t="n">
        <x:v>62</x:v>
      </x:c>
      <x:c r="H337" s="12" t="n">
        <x:v>5750000000</x:v>
      </x:c>
      <x:c r="I337" s="12" t="n">
        <x:v>92741935.48387097</x:v>
      </x:c>
      <x:c r="J337" s="2" t="str">
        <x:v>total</x:v>
      </x:c>
      <x:c r="K337" s="2" t="str">
        <x:v>top_level_area</x:v>
      </x:c>
      <x:c r="L337" s="2" t="str">
        <x:v>property_type_inferred_from_title;transaction_assumed_sale_from_dataset_context</x:v>
      </x:c>
      <x:c r="M337" s="10" t="n">
        <x:v>0</x:v>
      </x:c>
      <x:c r="N337" s="10" t="n">
        <x:v>0</x:v>
      </x:c>
      <x:c r="O337" s="2" t="str">
        <x:v>Tp Hồ Chí Minh|house</x:v>
      </x:c>
      <x:c r="P337" s="10" t="n">
        <x:v>2</x:v>
      </x:c>
      <x:c r="Q337" s="13" t="n">
        <x:f>IF(H337="","",H337/1000000000)</x:f>
        <x:v>5.75</x:v>
      </x:c>
      <x:c r="R337" s="13" t="n">
        <x:f>IF(I337="","",I337/1000000)</x:f>
        <x:v>92.74193548387098</x:v>
      </x:c>
    </x:row>
    <x:row r="338" ht="21" customHeight="1">
      <x:c r="A338" s="10" t="n">
        <x:v>356</x:v>
      </x:c>
      <x:c r="B338" s="2" t="str">
        <x:v>bd74e6769e0dbdc0664e</x:v>
      </x:c>
      <x:c r="C338" s="2" t="str">
        <x:v>Tp Hồ Chí Minh</x:v>
      </x:c>
      <x:c r="D338" s="2" t="str">
        <x:v>Quận Gò Vấp</x:v>
      </x:c>
      <x:c r="E338" s="2" t="str">
        <x:v>other_unknown</x:v>
      </x:c>
      <x:c r="F338" s="2" t="str">
        <x:v>sale_assumed</x:v>
      </x:c>
      <x:c r="G338" s="11" t="n">
        <x:v>270</x:v>
      </x:c>
      <x:c r="H338" s="12" t="n">
        <x:v>22000000000</x:v>
      </x:c>
      <x:c r="I338" s="12" t="n">
        <x:v>81481481.48148148</x:v>
      </x:c>
      <x:c r="J338" s="2" t="str">
        <x:v>total</x:v>
      </x:c>
      <x:c r="K338" s="2" t="str">
        <x:v>top_level_area</x:v>
      </x:c>
      <x:c r="L338" s="2" t="str">
        <x:v>property_type_inferred_from_title;transaction_assumed_sale_from_dataset_context;unknown_property_type</x:v>
      </x:c>
      <x:c r="M338" s="10" t="n">
        <x:v>0</x:v>
      </x:c>
      <x:c r="N338" s="10" t="n">
        <x:v>0</x:v>
      </x:c>
      <x:c r="O338" s="2" t="str">
        <x:v>Tp Hồ Chí Minh|other_unknown</x:v>
      </x:c>
      <x:c r="P338" s="10" t="n">
        <x:v>2</x:v>
      </x:c>
      <x:c r="Q338" s="13" t="n">
        <x:f>IF(H338="","",H338/1000000000)</x:f>
        <x:v>22</x:v>
      </x:c>
      <x:c r="R338" s="13" t="n">
        <x:f>IF(I338="","",I338/1000000)</x:f>
        <x:v>81.48148148148148</x:v>
      </x:c>
    </x:row>
    <x:row r="339" ht="21" customHeight="1">
      <x:c r="A339" s="10" t="n">
        <x:v>357</x:v>
      </x:c>
      <x:c r="B339" s="2" t="str">
        <x:v>fe0d778c895d78eda555</x:v>
      </x:c>
      <x:c r="C339" s="2" t="str">
        <x:v>Bình Dương</x:v>
      </x:c>
      <x:c r="D339" s="2" t="str">
        <x:v>Thị xã Bến Cát</x:v>
      </x:c>
      <x:c r="E339" s="2" t="str">
        <x:v>other_unknown</x:v>
      </x:c>
      <x:c r="F339" s="2" t="str">
        <x:v>sale</x:v>
      </x:c>
      <x:c r="G339" s="11" t="n">
        <x:v>300</x:v>
      </x:c>
      <x:c r="H339" s="12" t="n">
        <x:v>1700000000</x:v>
      </x:c>
      <x:c r="I339" s="12" t="n">
        <x:v>5666666.666666667</x:v>
      </x:c>
      <x:c r="J339" s="2" t="str">
        <x:v>total</x:v>
      </x:c>
      <x:c r="K339" s="2" t="str">
        <x:v>top_level_price_embedded_area</x:v>
      </x:c>
      <x:c r="L339" s="2" t="str">
        <x:v>area_recovered_from_price_text;property_type_inferred_from_title;unknown_property_type</x:v>
      </x:c>
      <x:c r="M339" s="10" t="n">
        <x:v>0</x:v>
      </x:c>
      <x:c r="N339" s="10" t="n">
        <x:v>0</x:v>
      </x:c>
      <x:c r="O339" s="2" t="str">
        <x:v>Bình Dương|other_unknown</x:v>
      </x:c>
      <x:c r="P339" s="10" t="n">
        <x:v>1</x:v>
      </x:c>
      <x:c r="Q339" s="13" t="n">
        <x:f>IF(H339="","",H339/1000000000)</x:f>
        <x:v>1.7</x:v>
      </x:c>
      <x:c r="R339" s="13" t="n">
        <x:f>IF(I339="","",I339/1000000)</x:f>
        <x:v>5.666666666666667</x:v>
      </x:c>
    </x:row>
    <x:row r="340" ht="21" customHeight="1">
      <x:c r="A340" s="10" t="n">
        <x:v>358</x:v>
      </x:c>
      <x:c r="B340" s="2" t="str">
        <x:v>a4eea0f6d221cb3ddf96</x:v>
      </x:c>
      <x:c r="C340" s="2" t="str">
        <x:v>Tp Hồ Chí Minh</x:v>
      </x:c>
      <x:c r="D340" s="2" t="str">
        <x:v>Quận Bình Thạnh</x:v>
      </x:c>
      <x:c r="E340" s="2" t="str">
        <x:v>apartment</x:v>
      </x:c>
      <x:c r="F340" s="2" t="str">
        <x:v>sale_assumed</x:v>
      </x:c>
      <x:c r="G340" s="11" t="n">
        <x:v>71</x:v>
      </x:c>
      <x:c r="H340" s="12" t="n">
        <x:v>3100000000</x:v>
      </x:c>
      <x:c r="I340" s="12" t="n">
        <x:v>43661971.83098592</x:v>
      </x:c>
      <x:c r="J340" s="2" t="str">
        <x:v>total</x:v>
      </x:c>
      <x:c r="K340" s="2" t="str">
        <x:v>top_level_area</x:v>
      </x:c>
      <x:c r="L340" s="2" t="str">
        <x:v>property_type_inferred_from_title;transaction_assumed_sale_from_dataset_context</x:v>
      </x:c>
      <x:c r="M340" s="10" t="n">
        <x:v>0</x:v>
      </x:c>
      <x:c r="N340" s="10" t="n">
        <x:v>0</x:v>
      </x:c>
      <x:c r="O340" s="2" t="str">
        <x:v>Tp Hồ Chí Minh|apartment</x:v>
      </x:c>
      <x:c r="P340" s="10" t="n">
        <x:v>2</x:v>
      </x:c>
      <x:c r="Q340" s="13" t="n">
        <x:f>IF(H340="","",H340/1000000000)</x:f>
        <x:v>3.1</x:v>
      </x:c>
      <x:c r="R340" s="13" t="n">
        <x:f>IF(I340="","",I340/1000000)</x:f>
        <x:v>43.66197183098592</x:v>
      </x:c>
    </x:row>
    <x:row r="341" ht="21" customHeight="1">
      <x:c r="A341" s="10" t="n">
        <x:v>359</x:v>
      </x:c>
      <x:c r="B341" s="2" t="str">
        <x:v>5670da08e2479ba13a8a</x:v>
      </x:c>
      <x:c r="C341" s="2" t="str">
        <x:v>Tp Hồ Chí Minh</x:v>
      </x:c>
      <x:c r="D341" s="2" t="str">
        <x:v>Quận 11</x:v>
      </x:c>
      <x:c r="E341" s="2" t="str">
        <x:v>house</x:v>
      </x:c>
      <x:c r="F341" s="2" t="str">
        <x:v>sale_assumed</x:v>
      </x:c>
      <x:c r="G341" s="11" t="n">
        <x:v>65.5</x:v>
      </x:c>
      <x:c r="H341" s="12" t="n">
        <x:v>1650000000</x:v>
      </x:c>
      <x:c r="I341" s="12" t="n">
        <x:v>25190839.694656488</x:v>
      </x:c>
      <x:c r="J341" s="2" t="str">
        <x:v>total</x:v>
      </x:c>
      <x:c r="K341" s="2" t="str">
        <x:v>top_level_area</x:v>
      </x:c>
      <x:c r="L341" s="2" t="str">
        <x:v>property_type_inferred_from_title;transaction_assumed_sale_from_dataset_context</x:v>
      </x:c>
      <x:c r="M341" s="10" t="n">
        <x:v>0</x:v>
      </x:c>
      <x:c r="N341" s="10" t="n">
        <x:v>0</x:v>
      </x:c>
      <x:c r="O341" s="2" t="str">
        <x:v>Tp Hồ Chí Minh|house</x:v>
      </x:c>
      <x:c r="P341" s="10" t="n">
        <x:v>2</x:v>
      </x:c>
      <x:c r="Q341" s="13" t="n">
        <x:f>IF(H341="","",H341/1000000000)</x:f>
        <x:v>1.65</x:v>
      </x:c>
      <x:c r="R341" s="13" t="n">
        <x:f>IF(I341="","",I341/1000000)</x:f>
        <x:v>25.19083969465649</x:v>
      </x:c>
    </x:row>
    <x:row r="342" ht="21" customHeight="1">
      <x:c r="A342" s="10" t="n">
        <x:v>360</x:v>
      </x:c>
      <x:c r="B342" s="2" t="str">
        <x:v>448839d8bbb45911ffaa</x:v>
      </x:c>
      <x:c r="C342" s="2" t="str">
        <x:v>Bình Dương</x:v>
      </x:c>
      <x:c r="D342" s="2" t="str">
        <x:v>Thị xã Bến Cát</x:v>
      </x:c>
      <x:c r="E342" s="2" t="str">
        <x:v>land</x:v>
      </x:c>
      <x:c r="F342" s="2" t="str">
        <x:v>sale</x:v>
      </x:c>
      <x:c r="G342" s="11" t="n">
        <x:v>300</x:v>
      </x:c>
      <x:c r="H342" s="12" t="n">
        <x:v>1200000000</x:v>
      </x:c>
      <x:c r="I342" s="12" t="n">
        <x:v>4000000</x:v>
      </x:c>
      <x:c r="J342" s="2" t="str">
        <x:v>total</x:v>
      </x:c>
      <x:c r="K342" s="2" t="str">
        <x:v>top_level_price_embedded_area</x:v>
      </x:c>
      <x:c r="L342" s="2" t="str">
        <x:v>area_recovered_from_price_text;property_type_inferred_from_title</x:v>
      </x:c>
      <x:c r="M342" s="10" t="n">
        <x:v>0</x:v>
      </x:c>
      <x:c r="N342" s="10" t="n">
        <x:v>0</x:v>
      </x:c>
      <x:c r="O342" s="2" t="str">
        <x:v>Bình Dương|land</x:v>
      </x:c>
      <x:c r="P342" s="10" t="n">
        <x:v>1</x:v>
      </x:c>
      <x:c r="Q342" s="13" t="n">
        <x:f>IF(H342="","",H342/1000000000)</x:f>
        <x:v>1.2</x:v>
      </x:c>
      <x:c r="R342" s="13" t="n">
        <x:f>IF(I342="","",I342/1000000)</x:f>
        <x:v>4</x:v>
      </x:c>
    </x:row>
    <x:row r="343" ht="21" customHeight="1">
      <x:c r="A343" s="10" t="n">
        <x:v>361</x:v>
      </x:c>
      <x:c r="B343" s="2" t="str">
        <x:v>ded7dcede8026d499ad6</x:v>
      </x:c>
      <x:c r="C343" s="2" t="str">
        <x:v>Tp Hồ Chí Minh</x:v>
      </x:c>
      <x:c r="D343" s="2" t="str">
        <x:v>Quận 7</x:v>
      </x:c>
      <x:c r="E343" s="2" t="str">
        <x:v>house</x:v>
      </x:c>
      <x:c r="F343" s="2" t="str">
        <x:v>sale</x:v>
      </x:c>
      <x:c r="G343" s="11" t="n">
        <x:v>66</x:v>
      </x:c>
      <x:c r="H343" s="12" t="n">
        <x:v>2200000000</x:v>
      </x:c>
      <x:c r="I343" s="12" t="n">
        <x:v>33333333.333333332</x:v>
      </x:c>
      <x:c r="J343" s="2" t="str">
        <x:v>total</x:v>
      </x:c>
      <x:c r="K343" s="2" t="str">
        <x:v>top_level_area</x:v>
      </x:c>
      <x:c r="L343" s="2" t="str">
        <x:v>property_type_inferred_from_title</x:v>
      </x:c>
      <x:c r="M343" s="10" t="n">
        <x:v>0</x:v>
      </x:c>
      <x:c r="N343" s="10" t="n">
        <x:v>0</x:v>
      </x:c>
      <x:c r="O343" s="2" t="str">
        <x:v>Tp Hồ Chí Minh|house</x:v>
      </x:c>
      <x:c r="P343" s="10" t="n">
        <x:v>2</x:v>
      </x:c>
      <x:c r="Q343" s="13" t="n">
        <x:f>IF(H343="","",H343/1000000000)</x:f>
        <x:v>2.2</x:v>
      </x:c>
      <x:c r="R343" s="13" t="n">
        <x:f>IF(I343="","",I343/1000000)</x:f>
        <x:v>33.33333333333333</x:v>
      </x:c>
    </x:row>
    <x:row r="344" ht="21" customHeight="1">
      <x:c r="A344" s="10" t="n">
        <x:v>362</x:v>
      </x:c>
      <x:c r="B344" s="2" t="str">
        <x:v>4966abe6d4bcbe27a2b1</x:v>
      </x:c>
      <x:c r="C344" s="2" t="str">
        <x:v>Tp Hồ Chí Minh</x:v>
      </x:c>
      <x:c r="D344" s="2" t="str">
        <x:v>Quận 1</x:v>
      </x:c>
      <x:c r="E344" s="2" t="str">
        <x:v>other_unknown</x:v>
      </x:c>
      <x:c r="F344" s="2" t="str">
        <x:v>sale</x:v>
      </x:c>
      <x:c r="G344" s="11" t="n">
        <x:v>40</x:v>
      </x:c>
      <x:c r="H344" s="12" t="n">
        <x:v>8000000000</x:v>
      </x:c>
      <x:c r="I344" s="12" t="n">
        <x:v>200000000</x:v>
      </x:c>
      <x:c r="J344" s="2" t="str">
        <x:v>total</x:v>
      </x:c>
      <x:c r="K344" s="2" t="str">
        <x:v>top_level_area</x:v>
      </x:c>
      <x:c r="L344" s="2" t="str">
        <x:v>property_type_inferred_from_title;unknown_property_type</x:v>
      </x:c>
      <x:c r="M344" s="10" t="n">
        <x:v>1</x:v>
      </x:c>
      <x:c r="N344" s="10" t="n">
        <x:v>0</x:v>
      </x:c>
      <x:c r="O344" s="2" t="str">
        <x:v>Tp Hồ Chí Minh|other_unknown</x:v>
      </x:c>
      <x:c r="P344" s="10" t="n">
        <x:v>2</x:v>
      </x:c>
      <x:c r="Q344" s="13" t="n">
        <x:f>IF(H344="","",H344/1000000000)</x:f>
        <x:v>8</x:v>
      </x:c>
      <x:c r="R344" s="13" t="n">
        <x:f>IF(I344="","",I344/1000000)</x:f>
        <x:v>200</x:v>
      </x:c>
    </x:row>
    <x:row r="345" ht="21" customHeight="1">
      <x:c r="A345" s="10" t="n">
        <x:v>363</x:v>
      </x:c>
      <x:c r="B345" s="2" t="str">
        <x:v>98e3f486b9509036a084</x:v>
      </x:c>
      <x:c r="C345" s="2" t="str">
        <x:v>Tp Hồ Chí Minh</x:v>
      </x:c>
      <x:c r="D345" s="2" t="str">
        <x:v>Quận Phú Nhuận</x:v>
      </x:c>
      <x:c r="E345" s="2" t="str">
        <x:v>house</x:v>
      </x:c>
      <x:c r="F345" s="2" t="str">
        <x:v>sale</x:v>
      </x:c>
      <x:c r="G345" s="11" t="n">
        <x:v>57</x:v>
      </x:c>
      <x:c r="H345" s="12" t="n">
        <x:v>15800000000</x:v>
      </x:c>
      <x:c r="I345" s="12" t="n">
        <x:v>277192982.45614034</x:v>
      </x:c>
      <x:c r="J345" s="2" t="str">
        <x:v>total</x:v>
      </x:c>
      <x:c r="K345" s="2" t="str">
        <x:v>top_level_area</x:v>
      </x:c>
      <x:c r="L345" s="2" t="str">
        <x:v>property_type_inferred_from_title</x:v>
      </x:c>
      <x:c r="M345" s="10" t="n">
        <x:v>1</x:v>
      </x:c>
      <x:c r="N345" s="10" t="n">
        <x:v>1</x:v>
      </x:c>
      <x:c r="O345" s="2" t="str">
        <x:v>Tp Hồ Chí Minh|house</x:v>
      </x:c>
      <x:c r="P345" s="10" t="n">
        <x:v>-1</x:v>
      </x:c>
      <x:c r="Q345" s="13" t="n">
        <x:f>IF(H345="","",H345/1000000000)</x:f>
        <x:v>15.8</x:v>
      </x:c>
      <x:c r="R345" s="13" t="n">
        <x:f>IF(I345="","",I345/1000000)</x:f>
        <x:v>277.1929824561403</x:v>
      </x:c>
    </x:row>
    <x:row r="346" ht="21" customHeight="1">
      <x:c r="A346" s="10" t="n">
        <x:v>364</x:v>
      </x:c>
      <x:c r="B346" s="2" t="str">
        <x:v>f9417f6dbd8807737de8</x:v>
      </x:c>
      <x:c r="C346" s="2" t="str">
        <x:v>Tp Hồ Chí Minh</x:v>
      </x:c>
      <x:c r="D346" s="2" t="str">
        <x:v>Quận 12</x:v>
      </x:c>
      <x:c r="E346" s="2" t="str">
        <x:v>house</x:v>
      </x:c>
      <x:c r="F346" s="2" t="str">
        <x:v>sale</x:v>
      </x:c>
      <x:c r="G346" s="11" t="n">
        <x:v>1100</x:v>
      </x:c>
      <x:c r="H346" s="12" t="n">
        <x:v>28000000000</x:v>
      </x:c>
      <x:c r="I346" s="12" t="n">
        <x:v>25454545.454545453</x:v>
      </x:c>
      <x:c r="J346" s="2" t="str">
        <x:v>total</x:v>
      </x:c>
      <x:c r="K346" s="2" t="str">
        <x:v>top_level_area</x:v>
      </x:c>
      <x:c r="L346" s="2" t="str">
        <x:v>dot_thousands_convention;property_type_inferred_from_title</x:v>
      </x:c>
      <x:c r="M346" s="10" t="n">
        <x:v>0</x:v>
      </x:c>
      <x:c r="N346" s="10" t="n">
        <x:v>0</x:v>
      </x:c>
      <x:c r="O346" s="2" t="str">
        <x:v>Tp Hồ Chí Minh|house</x:v>
      </x:c>
      <x:c r="P346" s="10" t="n">
        <x:v>1</x:v>
      </x:c>
      <x:c r="Q346" s="13" t="n">
        <x:f>IF(H346="","",H346/1000000000)</x:f>
        <x:v>28</x:v>
      </x:c>
      <x:c r="R346" s="13" t="n">
        <x:f>IF(I346="","",I346/1000000)</x:f>
        <x:v>25.454545454545453</x:v>
      </x:c>
    </x:row>
    <x:row r="347" ht="21" customHeight="1">
      <x:c r="A347" s="10" t="n">
        <x:v>365</x:v>
      </x:c>
      <x:c r="B347" s="2" t="str">
        <x:v>bd61ba1fd1cdbc7b2247</x:v>
      </x:c>
      <x:c r="C347" s="2" t="str">
        <x:v>Tp Hồ Chí Minh</x:v>
      </x:c>
      <x:c r="D347" s="2" t="str">
        <x:v>Huyện Hóc Môn</x:v>
      </x:c>
      <x:c r="E347" s="2" t="str">
        <x:v>apartment</x:v>
      </x:c>
      <x:c r="F347" s="2" t="str">
        <x:v>sale_assumed</x:v>
      </x:c>
      <x:c r="G347" s="11" t="n">
        <x:v>40</x:v>
      </x:c>
      <x:c r="H347" s="12" t="n">
        <x:v>280000000</x:v>
      </x:c>
      <x:c r="I347" s="12" t="n">
        <x:v>7000000</x:v>
      </x:c>
      <x:c r="J347" s="2" t="str">
        <x:v>total</x:v>
      </x:c>
      <x:c r="K347" s="2" t="str">
        <x:v>top_level_area</x:v>
      </x:c>
      <x:c r="L347" s="2" t="str">
        <x:v>property_type_inferred_from_title;transaction_assumed_sale_from_dataset_context</x:v>
      </x:c>
      <x:c r="M347" s="10" t="n">
        <x:v>0</x:v>
      </x:c>
      <x:c r="N347" s="10" t="n">
        <x:v>0</x:v>
      </x:c>
      <x:c r="O347" s="2" t="str">
        <x:v>Tp Hồ Chí Minh|apartment</x:v>
      </x:c>
      <x:c r="P347" s="10" t="n">
        <x:v>2</x:v>
      </x:c>
      <x:c r="Q347" s="13" t="n">
        <x:f>IF(H347="","",H347/1000000000)</x:f>
        <x:v>0.28</x:v>
      </x:c>
      <x:c r="R347" s="13" t="n">
        <x:f>IF(I347="","",I347/1000000)</x:f>
        <x:v>7</x:v>
      </x:c>
    </x:row>
    <x:row r="348" ht="21" customHeight="1">
      <x:c r="A348" s="10" t="n">
        <x:v>366</x:v>
      </x:c>
      <x:c r="B348" s="2" t="str">
        <x:v>71be02479fe7d977c7f5</x:v>
      </x:c>
      <x:c r="C348" s="2" t="str">
        <x:v>Đà Nẵng</x:v>
      </x:c>
      <x:c r="D348" s="2" t="str">
        <x:v>Quận Hải Châu</x:v>
      </x:c>
      <x:c r="E348" s="2" t="str">
        <x:v>house</x:v>
      </x:c>
      <x:c r="F348" s="2" t="str">
        <x:v>sale_assumed</x:v>
      </x:c>
      <x:c r="G348" s="11" t="n">
        <x:v>64</x:v>
      </x:c>
      <x:c r="H348" s="12" t="n">
        <x:v>5499000000</x:v>
      </x:c>
      <x:c r="I348" s="12" t="n">
        <x:v>85921875</x:v>
      </x:c>
      <x:c r="J348" s="2" t="str">
        <x:v>total</x:v>
      </x:c>
      <x:c r="K348" s="2" t="str">
        <x:v>top_level_area</x:v>
      </x:c>
      <x:c r="L348" s="2" t="str">
        <x:v>property_type_inferred_from_title;transaction_assumed_sale_from_dataset_context</x:v>
      </x:c>
      <x:c r="M348" s="10" t="n">
        <x:v>0</x:v>
      </x:c>
      <x:c r="N348" s="10" t="n">
        <x:v>0</x:v>
      </x:c>
      <x:c r="O348" s="2" t="str">
        <x:v>Đà Nẵng|house</x:v>
      </x:c>
      <x:c r="P348" s="10" t="n">
        <x:v>2</x:v>
      </x:c>
      <x:c r="Q348" s="13" t="n">
        <x:f>IF(H348="","",H348/1000000000)</x:f>
        <x:v>5.499</x:v>
      </x:c>
      <x:c r="R348" s="13" t="n">
        <x:f>IF(I348="","",I348/1000000)</x:f>
        <x:v>85.921875</x:v>
      </x:c>
    </x:row>
    <x:row r="349" ht="21" customHeight="1">
      <x:c r="A349" s="10" t="n">
        <x:v>367</x:v>
      </x:c>
      <x:c r="B349" s="2" t="str">
        <x:v>8167451e1239407fb729</x:v>
      </x:c>
      <x:c r="C349" s="2" t="str">
        <x:v>Tp Hồ Chí Minh</x:v>
      </x:c>
      <x:c r="D349" s="2" t="str">
        <x:v>Quận 1</x:v>
      </x:c>
      <x:c r="E349" s="2" t="str">
        <x:v>house</x:v>
      </x:c>
      <x:c r="F349" s="2" t="str">
        <x:v>sale_assumed</x:v>
      </x:c>
      <x:c r="G349" s="11" t="n">
        <x:v>400</x:v>
      </x:c>
      <x:c r="H349" s="12" t="n">
        <x:v>90000000000</x:v>
      </x:c>
      <x:c r="I349" s="12" t="n">
        <x:v>225000000</x:v>
      </x:c>
      <x:c r="J349" s="2" t="str">
        <x:v>total</x:v>
      </x:c>
      <x:c r="K349" s="2" t="str">
        <x:v>top_level_area</x:v>
      </x:c>
      <x:c r="L349" s="2" t="str">
        <x:v>property_type_inferred_from_title;transaction_assumed_sale_from_dataset_context</x:v>
      </x:c>
      <x:c r="M349" s="10" t="n">
        <x:v>1</x:v>
      </x:c>
      <x:c r="N349" s="10" t="n">
        <x:v>1</x:v>
      </x:c>
      <x:c r="O349" s="2" t="str">
        <x:v>Tp Hồ Chí Minh|house</x:v>
      </x:c>
      <x:c r="P349" s="10" t="n">
        <x:v>-1</x:v>
      </x:c>
      <x:c r="Q349" s="13" t="n">
        <x:f>IF(H349="","",H349/1000000000)</x:f>
        <x:v>90</x:v>
      </x:c>
      <x:c r="R349" s="13" t="n">
        <x:f>IF(I349="","",I349/1000000)</x:f>
        <x:v>225</x:v>
      </x:c>
    </x:row>
    <x:row r="350" ht="21" customHeight="1">
      <x:c r="A350" s="10" t="n">
        <x:v>368</x:v>
      </x:c>
      <x:c r="B350" s="2" t="str">
        <x:v>6ad46f3c11060feea931</x:v>
      </x:c>
      <x:c r="C350" s="2" t="str">
        <x:v>Đà Nẵng</x:v>
      </x:c>
      <x:c r="D350" s="2" t="str">
        <x:v>Huyện Hòa Vang</x:v>
      </x:c>
      <x:c r="E350" s="2" t="str">
        <x:v>land</x:v>
      </x:c>
      <x:c r="F350" s="2" t="str">
        <x:v>sale_assumed</x:v>
      </x:c>
      <x:c r="G350" s="11" t="n">
        <x:v>180</x:v>
      </x:c>
      <x:c r="H350" s="12" t="n">
        <x:v>1600000000</x:v>
      </x:c>
      <x:c r="I350" s="12" t="n">
        <x:v>8888888.888888888</x:v>
      </x:c>
      <x:c r="J350" s="2" t="str">
        <x:v>total</x:v>
      </x:c>
      <x:c r="K350" s="2" t="str">
        <x:v>top_level_area</x:v>
      </x:c>
      <x:c r="L350" s="2" t="str">
        <x:v>property_type_inferred_from_title;transaction_assumed_sale_from_dataset_context</x:v>
      </x:c>
      <x:c r="M350" s="10" t="n">
        <x:v>0</x:v>
      </x:c>
      <x:c r="N350" s="10" t="n">
        <x:v>0</x:v>
      </x:c>
      <x:c r="O350" s="2" t="str">
        <x:v>Đà Nẵng|land</x:v>
      </x:c>
      <x:c r="P350" s="10" t="n">
        <x:v>2</x:v>
      </x:c>
      <x:c r="Q350" s="13" t="n">
        <x:f>IF(H350="","",H350/1000000000)</x:f>
        <x:v>1.6</x:v>
      </x:c>
      <x:c r="R350" s="13" t="n">
        <x:f>IF(I350="","",I350/1000000)</x:f>
        <x:v>8.888888888888888</x:v>
      </x:c>
    </x:row>
    <x:row r="351" ht="21" customHeight="1">
      <x:c r="A351" s="10" t="n">
        <x:v>369</x:v>
      </x:c>
      <x:c r="B351" s="2" t="str">
        <x:v>83df22a5c53b6f49b7f9</x:v>
      </x:c>
      <x:c r="C351" s="2" t="str">
        <x:v>Chưa xác định</x:v>
      </x:c>
      <x:c r="D351" s="2" t="str">
        <x:v>Chưa xác định</x:v>
      </x:c>
      <x:c r="E351" s="2" t="str">
        <x:v>land</x:v>
      </x:c>
      <x:c r="F351" s="2" t="str">
        <x:v>sale_assumed</x:v>
      </x:c>
      <x:c r="G351" s="11" t="n">
        <x:v>126</x:v>
      </x:c>
      <x:c r="H351" s="12" t="n">
        <x:v>1180000000</x:v>
      </x:c>
      <x:c r="I351" s="12" t="n">
        <x:v>9365079.365079366</x:v>
      </x:c>
      <x:c r="J351" s="2" t="str">
        <x:v>total</x:v>
      </x:c>
      <x:c r="K351" s="2" t="str">
        <x:v>top_level_area</x:v>
      </x:c>
      <x:c r="L351" s="2" t="str">
        <x:v>property_type_inferred_from_title;transaction_assumed_sale_from_dataset_context;unknown_district;unknown_province</x:v>
      </x:c>
      <x:c r="M351" s="10" t="n">
        <x:v>0</x:v>
      </x:c>
      <x:c r="N351" s="10" t="n">
        <x:v>0</x:v>
      </x:c>
      <x:c r="O351" s="2" t="str">
        <x:v>land</x:v>
      </x:c>
      <x:c r="P351" s="10" t="n">
        <x:v>2</x:v>
      </x:c>
      <x:c r="Q351" s="13" t="n">
        <x:f>IF(H351="","",H351/1000000000)</x:f>
        <x:v>1.18</x:v>
      </x:c>
      <x:c r="R351" s="13" t="n">
        <x:f>IF(I351="","",I351/1000000)</x:f>
        <x:v>9.365079365079366</x:v>
      </x:c>
    </x:row>
    <x:row r="352" ht="21" customHeight="1">
      <x:c r="A352" s="10" t="n">
        <x:v>380</x:v>
      </x:c>
      <x:c r="B352" s="2" t="str">
        <x:v>f5e6666fa2da4954bada</x:v>
      </x:c>
      <x:c r="C352" s="2" t="str">
        <x:v>Vĩnh Long</x:v>
      </x:c>
      <x:c r="D352" s="2" t="str">
        <x:v>Huyện Long Hồ</x:v>
      </x:c>
      <x:c r="E352" s="2" t="str">
        <x:v>house</x:v>
      </x:c>
      <x:c r="F352" s="2" t="str">
        <x:v>sale_assumed</x:v>
      </x:c>
      <x:c r="G352" s="11" t="n">
        <x:v>100</x:v>
      </x:c>
      <x:c r="H352" s="12" t="n">
        <x:v>680000000</x:v>
      </x:c>
      <x:c r="I352" s="12" t="n">
        <x:v>6800000</x:v>
      </x:c>
      <x:c r="J352" s="2" t="str">
        <x:v>total</x:v>
      </x:c>
      <x:c r="K352" s="2" t="str">
        <x:v>top_level_area</x:v>
      </x:c>
      <x:c r="L352" s="2" t="str">
        <x:v>property_type_inferred_from_title;transaction_assumed_sale_from_dataset_context</x:v>
      </x:c>
      <x:c r="M352" s="10" t="n">
        <x:v>0</x:v>
      </x:c>
      <x:c r="N352" s="10" t="n">
        <x:v>0</x:v>
      </x:c>
      <x:c r="O352" s="2" t="str">
        <x:v>house</x:v>
      </x:c>
      <x:c r="P352" s="10" t="n">
        <x:v>2</x:v>
      </x:c>
      <x:c r="Q352" s="13" t="n">
        <x:f>IF(H352="","",H352/1000000000)</x:f>
        <x:v>0.68</x:v>
      </x:c>
      <x:c r="R352" s="13" t="n">
        <x:f>IF(I352="","",I352/1000000)</x:f>
        <x:v>6.8</x:v>
      </x:c>
    </x:row>
    <x:row r="353" ht="21" customHeight="1">
      <x:c r="A353" s="10" t="n">
        <x:v>381</x:v>
      </x:c>
      <x:c r="B353" s="2" t="str">
        <x:v>ae68cf80b536763a789a</x:v>
      </x:c>
      <x:c r="C353" s="2" t="str">
        <x:v>Tp Hồ Chí Minh</x:v>
      </x:c>
      <x:c r="D353" s="2" t="str">
        <x:v>Quận Gò Vấp</x:v>
      </x:c>
      <x:c r="E353" s="2" t="str">
        <x:v>house</x:v>
      </x:c>
      <x:c r="F353" s="2" t="str">
        <x:v>sale_assumed</x:v>
      </x:c>
      <x:c r="G353" s="11" t="n">
        <x:v>59</x:v>
      </x:c>
      <x:c r="H353" s="12" t="n">
        <x:v>6100000000</x:v>
      </x:c>
      <x:c r="I353" s="12" t="n">
        <x:v>103389830.50847457</x:v>
      </x:c>
      <x:c r="J353" s="2" t="str">
        <x:v>total</x:v>
      </x:c>
      <x:c r="K353" s="2" t="str">
        <x:v>top_level_area</x:v>
      </x:c>
      <x:c r="L353" s="2" t="str">
        <x:v>property_type_inferred_from_title;transaction_assumed_sale_from_dataset_context</x:v>
      </x:c>
      <x:c r="M353" s="10" t="n">
        <x:v>0</x:v>
      </x:c>
      <x:c r="N353" s="10" t="n">
        <x:v>0</x:v>
      </x:c>
      <x:c r="O353" s="2" t="str">
        <x:v>Tp Hồ Chí Minh|house</x:v>
      </x:c>
      <x:c r="P353" s="10" t="n">
        <x:v>2</x:v>
      </x:c>
      <x:c r="Q353" s="13" t="n">
        <x:f>IF(H353="","",H353/1000000000)</x:f>
        <x:v>6.1</x:v>
      </x:c>
      <x:c r="R353" s="13" t="n">
        <x:f>IF(I353="","",I353/1000000)</x:f>
        <x:v>103.38983050847457</x:v>
      </x:c>
    </x:row>
    <x:row r="354" ht="21" customHeight="1">
      <x:c r="A354" s="10" t="n">
        <x:v>382</x:v>
      </x:c>
      <x:c r="B354" s="2" t="str">
        <x:v>4095ffea5ce89c082910</x:v>
      </x:c>
      <x:c r="C354" s="2" t="str">
        <x:v>Đà Nẵng</x:v>
      </x:c>
      <x:c r="D354" s="2" t="str">
        <x:v>Quận Thanh Khê</x:v>
      </x:c>
      <x:c r="E354" s="2" t="str">
        <x:v>house</x:v>
      </x:c>
      <x:c r="F354" s="2" t="str">
        <x:v>sale_assumed</x:v>
      </x:c>
      <x:c r="G354" s="11" t="n">
        <x:v>81</x:v>
      </x:c>
      <x:c r="H354" s="12" t="n">
        <x:v>2950000000</x:v>
      </x:c>
      <x:c r="I354" s="12" t="n">
        <x:v>36419753.086419754</x:v>
      </x:c>
      <x:c r="J354" s="2" t="str">
        <x:v>total</x:v>
      </x:c>
      <x:c r="K354" s="2" t="str">
        <x:v>top_level_area</x:v>
      </x:c>
      <x:c r="L354" s="2" t="str">
        <x:v>property_type_inferred_from_title;transaction_assumed_sale_from_dataset_context</x:v>
      </x:c>
      <x:c r="M354" s="10" t="n">
        <x:v>0</x:v>
      </x:c>
      <x:c r="N354" s="10" t="n">
        <x:v>0</x:v>
      </x:c>
      <x:c r="O354" s="2" t="str">
        <x:v>Đà Nẵng|house</x:v>
      </x:c>
      <x:c r="P354" s="10" t="n">
        <x:v>2</x:v>
      </x:c>
      <x:c r="Q354" s="13" t="n">
        <x:f>IF(H354="","",H354/1000000000)</x:f>
        <x:v>2.95</x:v>
      </x:c>
      <x:c r="R354" s="13" t="n">
        <x:f>IF(I354="","",I354/1000000)</x:f>
        <x:v>36.41975308641975</x:v>
      </x:c>
    </x:row>
    <x:row r="355" ht="21" customHeight="1">
      <x:c r="A355" s="10" t="n">
        <x:v>383</x:v>
      </x:c>
      <x:c r="B355" s="2" t="str">
        <x:v>539cb08fec878a31cebc</x:v>
      </x:c>
      <x:c r="C355" s="2" t="str">
        <x:v>Tp Hồ Chí Minh</x:v>
      </x:c>
      <x:c r="D355" s="2" t="str">
        <x:v>Quận 9</x:v>
      </x:c>
      <x:c r="E355" s="2" t="str">
        <x:v>land</x:v>
      </x:c>
      <x:c r="F355" s="2" t="str">
        <x:v>sale_assumed</x:v>
      </x:c>
      <x:c r="G355" s="11" t="n">
        <x:v>52</x:v>
      </x:c>
      <x:c r="H355" s="12" t="n">
        <x:v>1870000000</x:v>
      </x:c>
      <x:c r="I355" s="12" t="n">
        <x:v>35961538.461538464</x:v>
      </x:c>
      <x:c r="J355" s="2" t="str">
        <x:v>total</x:v>
      </x:c>
      <x:c r="K355" s="2" t="str">
        <x:v>top_level_area</x:v>
      </x:c>
      <x:c r="L355" s="2" t="str">
        <x:v>property_type_inferred_from_title;transaction_assumed_sale_from_dataset_context</x:v>
      </x:c>
      <x:c r="M355" s="10" t="n">
        <x:v>0</x:v>
      </x:c>
      <x:c r="N355" s="10" t="n">
        <x:v>0</x:v>
      </x:c>
      <x:c r="O355" s="2" t="str">
        <x:v>Tp Hồ Chí Minh|land</x:v>
      </x:c>
      <x:c r="P355" s="10" t="n">
        <x:v>2</x:v>
      </x:c>
      <x:c r="Q355" s="13" t="n">
        <x:f>IF(H355="","",H355/1000000000)</x:f>
        <x:v>1.87</x:v>
      </x:c>
      <x:c r="R355" s="13" t="n">
        <x:f>IF(I355="","",I355/1000000)</x:f>
        <x:v>35.96153846153847</x:v>
      </x:c>
    </x:row>
    <x:row r="356" ht="21" customHeight="1">
      <x:c r="A356" s="10" t="n">
        <x:v>384</x:v>
      </x:c>
      <x:c r="B356" s="2" t="str">
        <x:v>391765a9c14082959642</x:v>
      </x:c>
      <x:c r="C356" s="2" t="str">
        <x:v>Cần Thơ</x:v>
      </x:c>
      <x:c r="D356" s="2" t="str">
        <x:v>Quận Cái Răng</x:v>
      </x:c>
      <x:c r="E356" s="2" t="str">
        <x:v>house</x:v>
      </x:c>
      <x:c r="F356" s="2" t="str">
        <x:v>sale_assumed</x:v>
      </x:c>
      <x:c r="G356" s="11" t="n">
        <x:v>100</x:v>
      </x:c>
      <x:c r="H356" s="12" t="n">
        <x:v>5850000000</x:v>
      </x:c>
      <x:c r="I356" s="12" t="n">
        <x:v>58500000</x:v>
      </x:c>
      <x:c r="J356" s="2" t="str">
        <x:v>total</x:v>
      </x:c>
      <x:c r="K356" s="2" t="str">
        <x:v>top_level_area</x:v>
      </x:c>
      <x:c r="L356" s="2" t="str">
        <x:v>property_type_inferred_from_title;transaction_assumed_sale_from_dataset_context</x:v>
      </x:c>
      <x:c r="M356" s="10" t="n">
        <x:v>0</x:v>
      </x:c>
      <x:c r="N356" s="10" t="n">
        <x:v>0</x:v>
      </x:c>
      <x:c r="O356" s="2" t="str">
        <x:v>Cần Thơ|house</x:v>
      </x:c>
      <x:c r="P356" s="10" t="n">
        <x:v>2</x:v>
      </x:c>
      <x:c r="Q356" s="13" t="n">
        <x:f>IF(H356="","",H356/1000000000)</x:f>
        <x:v>5.85</x:v>
      </x:c>
      <x:c r="R356" s="13" t="n">
        <x:f>IF(I356="","",I356/1000000)</x:f>
        <x:v>58.5</x:v>
      </x:c>
    </x:row>
    <x:row r="357" ht="21" customHeight="1">
      <x:c r="A357" s="10" t="n">
        <x:v>385</x:v>
      </x:c>
      <x:c r="B357" s="2" t="str">
        <x:v>fea1d1eabd3793da67bb</x:v>
      </x:c>
      <x:c r="C357" s="2" t="str">
        <x:v>Tp Hồ Chí Minh</x:v>
      </x:c>
      <x:c r="D357" s="2" t="str">
        <x:v>Huyện Nhà Bè</x:v>
      </x:c>
      <x:c r="E357" s="2" t="str">
        <x:v>land</x:v>
      </x:c>
      <x:c r="F357" s="2" t="str">
        <x:v>sale</x:v>
      </x:c>
      <x:c r="G357" s="11" t="n">
        <x:v>88</x:v>
      </x:c>
      <x:c r="H357" s="12" t="n">
        <x:v>2500000000</x:v>
      </x:c>
      <x:c r="I357" s="12" t="n">
        <x:v>28409090.90909091</x:v>
      </x:c>
      <x:c r="J357" s="2" t="str">
        <x:v>total</x:v>
      </x:c>
      <x:c r="K357" s="2" t="str">
        <x:v>top_level_area</x:v>
      </x:c>
      <x:c r="L357" s="2" t="str">
        <x:v>property_type_inferred_from_title</x:v>
      </x:c>
      <x:c r="M357" s="10" t="n">
        <x:v>0</x:v>
      </x:c>
      <x:c r="N357" s="10" t="n">
        <x:v>0</x:v>
      </x:c>
      <x:c r="O357" s="2" t="str">
        <x:v>Tp Hồ Chí Minh|land</x:v>
      </x:c>
      <x:c r="P357" s="10" t="n">
        <x:v>2</x:v>
      </x:c>
      <x:c r="Q357" s="13" t="n">
        <x:f>IF(H357="","",H357/1000000000)</x:f>
        <x:v>2.5</x:v>
      </x:c>
      <x:c r="R357" s="13" t="n">
        <x:f>IF(I357="","",I357/1000000)</x:f>
        <x:v>28.40909090909091</x:v>
      </x:c>
    </x:row>
    <x:row r="358" ht="21" customHeight="1">
      <x:c r="A358" s="10" t="n">
        <x:v>386</x:v>
      </x:c>
      <x:c r="B358" s="2" t="str">
        <x:v>6448a7fd30bbda40808b</x:v>
      </x:c>
      <x:c r="C358" s="2" t="str">
        <x:v>Tp Hồ Chí Minh</x:v>
      </x:c>
      <x:c r="D358" s="2" t="str">
        <x:v>Huyện Hóc Môn</x:v>
      </x:c>
      <x:c r="E358" s="2" t="str">
        <x:v>land</x:v>
      </x:c>
      <x:c r="F358" s="2" t="str">
        <x:v>sale</x:v>
      </x:c>
      <x:c r="G358" s="11" t="n">
        <x:v>4000</x:v>
      </x:c>
      <x:c r="H358" s="12" t="n">
        <x:v>42000000000</x:v>
      </x:c>
      <x:c r="I358" s="12" t="n">
        <x:v>10500000</x:v>
      </x:c>
      <x:c r="J358" s="2" t="str">
        <x:v>total</x:v>
      </x:c>
      <x:c r="K358" s="2" t="str">
        <x:v>top_level_area</x:v>
      </x:c>
      <x:c r="L358" s="2" t="str">
        <x:v>dot_thousands_convention;property_type_inferred_from_title</x:v>
      </x:c>
      <x:c r="M358" s="10" t="n">
        <x:v>0</x:v>
      </x:c>
      <x:c r="N358" s="10" t="n">
        <x:v>0</x:v>
      </x:c>
      <x:c r="O358" s="2" t="str">
        <x:v>Tp Hồ Chí Minh|land</x:v>
      </x:c>
      <x:c r="P358" s="10" t="n">
        <x:v>1</x:v>
      </x:c>
      <x:c r="Q358" s="13" t="n">
        <x:f>IF(H358="","",H358/1000000000)</x:f>
        <x:v>42</x:v>
      </x:c>
      <x:c r="R358" s="13" t="n">
        <x:f>IF(I358="","",I358/1000000)</x:f>
        <x:v>10.5</x:v>
      </x:c>
    </x:row>
    <x:row r="359" ht="21" customHeight="1">
      <x:c r="A359" s="10" t="n">
        <x:v>387</x:v>
      </x:c>
      <x:c r="B359" s="2" t="str">
        <x:v>bb80ef5bd998c2ae1166</x:v>
      </x:c>
      <x:c r="C359" s="2" t="str">
        <x:v>Tp Hồ Chí Minh</x:v>
      </x:c>
      <x:c r="D359" s="2" t="str">
        <x:v>Huyện Nhà Bè</x:v>
      </x:c>
      <x:c r="E359" s="2" t="str">
        <x:v>other_unknown</x:v>
      </x:c>
      <x:c r="F359" s="2" t="str">
        <x:v>sale</x:v>
      </x:c>
      <x:c r="G359" s="11" t="n">
        <x:v>83</x:v>
      </x:c>
      <x:c r="H359" s="12" t="n">
        <x:v>3650000000</x:v>
      </x:c>
      <x:c r="I359" s="12" t="n">
        <x:v>43975903.61445783</x:v>
      </x:c>
      <x:c r="J359" s="2" t="str">
        <x:v>total</x:v>
      </x:c>
      <x:c r="K359" s="2" t="str">
        <x:v>top_level_area</x:v>
      </x:c>
      <x:c r="L359" s="2" t="str">
        <x:v>property_type_inferred_from_title;unknown_property_type</x:v>
      </x:c>
      <x:c r="M359" s="10" t="n">
        <x:v>0</x:v>
      </x:c>
      <x:c r="N359" s="10" t="n">
        <x:v>0</x:v>
      </x:c>
      <x:c r="O359" s="2" t="str">
        <x:v>Tp Hồ Chí Minh|other_unknown</x:v>
      </x:c>
      <x:c r="P359" s="10" t="n">
        <x:v>2</x:v>
      </x:c>
      <x:c r="Q359" s="13" t="n">
        <x:f>IF(H359="","",H359/1000000000)</x:f>
        <x:v>3.65</x:v>
      </x:c>
      <x:c r="R359" s="13" t="n">
        <x:f>IF(I359="","",I359/1000000)</x:f>
        <x:v>43.97590361445783</x:v>
      </x:c>
    </x:row>
    <x:row r="360" ht="21" customHeight="1">
      <x:c r="A360" s="10" t="n">
        <x:v>388</x:v>
      </x:c>
      <x:c r="B360" s="2" t="str">
        <x:v>03aae90b54ce199937b0</x:v>
      </x:c>
      <x:c r="C360" s="2" t="str">
        <x:v>Tp Hồ Chí Minh</x:v>
      </x:c>
      <x:c r="D360" s="2" t="str">
        <x:v>Quận Thủ Đức</x:v>
      </x:c>
      <x:c r="E360" s="2" t="str">
        <x:v>house</x:v>
      </x:c>
      <x:c r="F360" s="2" t="str">
        <x:v>sale_assumed</x:v>
      </x:c>
      <x:c r="G360" s="11" t="n">
        <x:v>92</x:v>
      </x:c>
      <x:c r="H360" s="12" t="n">
        <x:v>2450000000</x:v>
      </x:c>
      <x:c r="I360" s="12" t="n">
        <x:v>26630434.782608695</x:v>
      </x:c>
      <x:c r="J360" s="2" t="str">
        <x:v>total</x:v>
      </x:c>
      <x:c r="K360" s="2" t="str">
        <x:v>top_level_area</x:v>
      </x:c>
      <x:c r="L360" s="2" t="str">
        <x:v>property_type_inferred_from_title;transaction_assumed_sale_from_dataset_context</x:v>
      </x:c>
      <x:c r="M360" s="10" t="n">
        <x:v>0</x:v>
      </x:c>
      <x:c r="N360" s="10" t="n">
        <x:v>0</x:v>
      </x:c>
      <x:c r="O360" s="2" t="str">
        <x:v>Tp Hồ Chí Minh|house</x:v>
      </x:c>
      <x:c r="P360" s="10" t="n">
        <x:v>2</x:v>
      </x:c>
      <x:c r="Q360" s="13" t="n">
        <x:f>IF(H360="","",H360/1000000000)</x:f>
        <x:v>2.45</x:v>
      </x:c>
      <x:c r="R360" s="13" t="n">
        <x:f>IF(I360="","",I360/1000000)</x:f>
        <x:v>26.630434782608695</x:v>
      </x:c>
    </x:row>
    <x:row r="361" ht="21" customHeight="1">
      <x:c r="A361" s="10" t="n">
        <x:v>389</x:v>
      </x:c>
      <x:c r="B361" s="2" t="str">
        <x:v>ce862d9cc968af604061</x:v>
      </x:c>
      <x:c r="C361" s="2" t="str">
        <x:v>Bà Rịa - Vũng Tàu</x:v>
      </x:c>
      <x:c r="D361" s="2" t="str">
        <x:v>Huyện Long Điền</x:v>
      </x:c>
      <x:c r="E361" s="2" t="str">
        <x:v>land</x:v>
      </x:c>
      <x:c r="F361" s="2" t="str">
        <x:v>sale</x:v>
      </x:c>
      <x:c r="G361" s="11" t="n">
        <x:v>170</x:v>
      </x:c>
      <x:c r="H361" s="12" t="n">
        <x:v>1800000000</x:v>
      </x:c>
      <x:c r="I361" s="12" t="n">
        <x:v>10588235.294117646</x:v>
      </x:c>
      <x:c r="J361" s="2" t="str">
        <x:v>total</x:v>
      </x:c>
      <x:c r="K361" s="2" t="str">
        <x:v>top_level_area</x:v>
      </x:c>
      <x:c r="L361" s="2" t="str">
        <x:v>property_type_inferred_from_title</x:v>
      </x:c>
      <x:c r="M361" s="10" t="n">
        <x:v>0</x:v>
      </x:c>
      <x:c r="N361" s="10" t="n">
        <x:v>0</x:v>
      </x:c>
      <x:c r="O361" s="2" t="str">
        <x:v>Bà Rịa - Vũng Tàu|land</x:v>
      </x:c>
      <x:c r="P361" s="10" t="n">
        <x:v>2</x:v>
      </x:c>
      <x:c r="Q361" s="13" t="n">
        <x:f>IF(H361="","",H361/1000000000)</x:f>
        <x:v>1.8</x:v>
      </x:c>
      <x:c r="R361" s="13" t="n">
        <x:f>IF(I361="","",I361/1000000)</x:f>
        <x:v>10.588235294117647</x:v>
      </x:c>
    </x:row>
    <x:row r="362" ht="21" customHeight="1">
      <x:c r="A362" s="10" t="n">
        <x:v>390</x:v>
      </x:c>
      <x:c r="B362" s="2" t="str">
        <x:v>b5919f9725b6858b4d2a</x:v>
      </x:c>
      <x:c r="C362" s="2" t="str">
        <x:v>Hà Nội</x:v>
      </x:c>
      <x:c r="D362" s="2" t="str">
        <x:v>Quận Thanh Xuân</x:v>
      </x:c>
      <x:c r="E362" s="2" t="str">
        <x:v>land</x:v>
      </x:c>
      <x:c r="F362" s="2" t="str">
        <x:v>sale_assumed</x:v>
      </x:c>
      <x:c r="G362" s="11" t="n">
        <x:v>57</x:v>
      </x:c>
      <x:c r="H362" s="12" t="n">
        <x:v>7700000000</x:v>
      </x:c>
      <x:c r="I362" s="12" t="n">
        <x:v>135087719.2982456</x:v>
      </x:c>
      <x:c r="J362" s="2" t="str">
        <x:v>total</x:v>
      </x:c>
      <x:c r="K362" s="2" t="str">
        <x:v>top_level_area</x:v>
      </x:c>
      <x:c r="L362" s="2" t="str">
        <x:v>property_type_inferred_from_title;transaction_assumed_sale_from_dataset_context</x:v>
      </x:c>
      <x:c r="M362" s="10" t="n">
        <x:v>0</x:v>
      </x:c>
      <x:c r="N362" s="10" t="n">
        <x:v>1</x:v>
      </x:c>
      <x:c r="O362" s="2" t="str">
        <x:v>Hà Nội|land</x:v>
      </x:c>
      <x:c r="P362" s="10" t="n">
        <x:v>-1</x:v>
      </x:c>
      <x:c r="Q362" s="13" t="n">
        <x:f>IF(H362="","",H362/1000000000)</x:f>
        <x:v>7.7</x:v>
      </x:c>
      <x:c r="R362" s="13" t="n">
        <x:f>IF(I362="","",I362/1000000)</x:f>
        <x:v>135.08771929824562</x:v>
      </x:c>
    </x:row>
    <x:row r="363" ht="21" customHeight="1">
      <x:c r="A363" s="10" t="n">
        <x:v>391</x:v>
      </x:c>
      <x:c r="B363" s="2" t="str">
        <x:v>aacf462920cadb003b79</x:v>
      </x:c>
      <x:c r="C363" s="2" t="str">
        <x:v>Long An</x:v>
      </x:c>
      <x:c r="D363" s="2" t="str">
        <x:v>Huyện Cần Giuộc</x:v>
      </x:c>
      <x:c r="E363" s="2" t="str">
        <x:v>land</x:v>
      </x:c>
      <x:c r="F363" s="2" t="str">
        <x:v>sale_assumed</x:v>
      </x:c>
      <x:c r="G363" s="11" t="n">
        <x:v>80</x:v>
      </x:c>
      <x:c r="H363" s="12" t="n">
        <x:v>1450000000</x:v>
      </x:c>
      <x:c r="I363" s="12" t="n">
        <x:v>18125000</x:v>
      </x:c>
      <x:c r="J363" s="2" t="str">
        <x:v>total</x:v>
      </x:c>
      <x:c r="K363" s="2" t="str">
        <x:v>top_level_area</x:v>
      </x:c>
      <x:c r="L363" s="2" t="str">
        <x:v>property_type_inferred_from_title;transaction_assumed_sale_from_dataset_context</x:v>
      </x:c>
      <x:c r="M363" s="10" t="n">
        <x:v>0</x:v>
      </x:c>
      <x:c r="N363" s="10" t="n">
        <x:v>1</x:v>
      </x:c>
      <x:c r="O363" s="2" t="str">
        <x:v>Long An|land</x:v>
      </x:c>
      <x:c r="P363" s="10" t="n">
        <x:v>-1</x:v>
      </x:c>
      <x:c r="Q363" s="13" t="n">
        <x:f>IF(H363="","",H363/1000000000)</x:f>
        <x:v>1.45</x:v>
      </x:c>
      <x:c r="R363" s="13" t="n">
        <x:f>IF(I363="","",I363/1000000)</x:f>
        <x:v>18.125</x:v>
      </x:c>
    </x:row>
    <x:row r="364" ht="21" customHeight="1">
      <x:c r="A364" s="10" t="n">
        <x:v>392</x:v>
      </x:c>
      <x:c r="B364" s="2" t="str">
        <x:v>e14f76b84074a592e97e</x:v>
      </x:c>
      <x:c r="C364" s="2" t="str">
        <x:v>Bình Dương</x:v>
      </x:c>
      <x:c r="D364" s="2" t="str">
        <x:v>Thành phố Thủ Dầu Một</x:v>
      </x:c>
      <x:c r="E364" s="2" t="str">
        <x:v>apartment</x:v>
      </x:c>
      <x:c r="F364" s="2" t="str">
        <x:v>sale_assumed</x:v>
      </x:c>
      <x:c r="G364" s="11" t="n">
        <x:v>60</x:v>
      </x:c>
      <x:c r="H364" s="12" t="n">
        <x:v>300000000</x:v>
      </x:c>
      <x:c r="I364" s="12" t="n">
        <x:v>5000000</x:v>
      </x:c>
      <x:c r="J364" s="2" t="str">
        <x:v>total</x:v>
      </x:c>
      <x:c r="K364" s="2" t="str">
        <x:v>top_level_area</x:v>
      </x:c>
      <x:c r="L364" s="2" t="str">
        <x:v>property_type_inferred_from_title;transaction_assumed_sale_from_dataset_context</x:v>
      </x:c>
      <x:c r="M364" s="10" t="n">
        <x:v>0</x:v>
      </x:c>
      <x:c r="N364" s="10" t="n">
        <x:v>0</x:v>
      </x:c>
      <x:c r="O364" s="2" t="str">
        <x:v>Bình Dương|apartment</x:v>
      </x:c>
      <x:c r="P364" s="10" t="n">
        <x:v>2</x:v>
      </x:c>
      <x:c r="Q364" s="13" t="n">
        <x:f>IF(H364="","",H364/1000000000)</x:f>
        <x:v>0.3</x:v>
      </x:c>
      <x:c r="R364" s="13" t="n">
        <x:f>IF(I364="","",I364/1000000)</x:f>
        <x:v>5</x:v>
      </x:c>
    </x:row>
    <x:row r="365" ht="21" customHeight="1">
      <x:c r="A365" s="10" t="n">
        <x:v>393</x:v>
      </x:c>
      <x:c r="B365" s="2" t="str">
        <x:v>b6c502414165f4080398</x:v>
      </x:c>
      <x:c r="C365" s="2" t="str">
        <x:v>Bình Phước</x:v>
      </x:c>
      <x:c r="D365" s="2" t="str">
        <x:v>Huyện Chơn Thành</x:v>
      </x:c>
      <x:c r="E365" s="2" t="str">
        <x:v>land</x:v>
      </x:c>
      <x:c r="F365" s="2" t="str">
        <x:v>sale</x:v>
      </x:c>
      <x:c r="G365" s="11" t="n">
        <x:v>1000</x:v>
      </x:c>
      <x:c r="H365" s="12" t="n">
        <x:v>370000000</x:v>
      </x:c>
      <x:c r="I365" s="12" t="n">
        <x:v>370000</x:v>
      </x:c>
      <x:c r="J365" s="2" t="str">
        <x:v>total</x:v>
      </x:c>
      <x:c r="K365" s="2" t="str">
        <x:v>top_level_area</x:v>
      </x:c>
      <x:c r="L365" s="2" t="str">
        <x:v>dot_thousands_convention;property_type_inferred_from_title</x:v>
      </x:c>
      <x:c r="M365" s="10" t="n">
        <x:v>0</x:v>
      </x:c>
      <x:c r="N365" s="10" t="n">
        <x:v>0</x:v>
      </x:c>
      <x:c r="O365" s="2" t="str">
        <x:v>Bình Phước|land</x:v>
      </x:c>
      <x:c r="P365" s="10" t="n">
        <x:v>1</x:v>
      </x:c>
      <x:c r="Q365" s="13" t="n">
        <x:f>IF(H365="","",H365/1000000000)</x:f>
        <x:v>0.37</x:v>
      </x:c>
      <x:c r="R365" s="13" t="n">
        <x:f>IF(I365="","",I365/1000000)</x:f>
        <x:v>0.37</x:v>
      </x:c>
    </x:row>
    <x:row r="366" ht="21" customHeight="1">
      <x:c r="A366" s="10" t="n">
        <x:v>394</x:v>
      </x:c>
      <x:c r="B366" s="2" t="str">
        <x:v>2bebff3f2cdc72c269c6</x:v>
      </x:c>
      <x:c r="C366" s="2" t="str">
        <x:v>Bình Dương</x:v>
      </x:c>
      <x:c r="D366" s="2" t="str">
        <x:v>Thị xã Thuận An</x:v>
      </x:c>
      <x:c r="E366" s="2" t="str">
        <x:v>land</x:v>
      </x:c>
      <x:c r="F366" s="2" t="str">
        <x:v>sale_assumed</x:v>
      </x:c>
      <x:c r="G366" s="11" t="n">
        <x:v>668</x:v>
      </x:c>
      <x:c r="H366" s="12" t="n">
        <x:v>6600000000</x:v>
      </x:c>
      <x:c r="I366" s="12" t="n">
        <x:v>9880239.520958085</x:v>
      </x:c>
      <x:c r="J366" s="2" t="str">
        <x:v>total</x:v>
      </x:c>
      <x:c r="K366" s="2" t="str">
        <x:v>top_level_area</x:v>
      </x:c>
      <x:c r="L366" s="2" t="str">
        <x:v>property_type_inferred_from_title;transaction_assumed_sale_from_dataset_context</x:v>
      </x:c>
      <x:c r="M366" s="10" t="n">
        <x:v>0</x:v>
      </x:c>
      <x:c r="N366" s="10" t="n">
        <x:v>0</x:v>
      </x:c>
      <x:c r="O366" s="2" t="str">
        <x:v>Bình Dương|land</x:v>
      </x:c>
      <x:c r="P366" s="10" t="n">
        <x:v>1</x:v>
      </x:c>
      <x:c r="Q366" s="13" t="n">
        <x:f>IF(H366="","",H366/1000000000)</x:f>
        <x:v>6.6</x:v>
      </x:c>
      <x:c r="R366" s="13" t="n">
        <x:f>IF(I366="","",I366/1000000)</x:f>
        <x:v>9.880239520958085</x:v>
      </x:c>
    </x:row>
    <x:row r="367" ht="21" customHeight="1">
      <x:c r="A367" s="10" t="n">
        <x:v>395</x:v>
      </x:c>
      <x:c r="B367" s="2" t="str">
        <x:v>5f344dce707686aeda7e</x:v>
      </x:c>
      <x:c r="C367" s="2" t="str">
        <x:v>Tp Hồ Chí Minh</x:v>
      </x:c>
      <x:c r="D367" s="2" t="str">
        <x:v>Quận 12</x:v>
      </x:c>
      <x:c r="E367" s="2" t="str">
        <x:v>house</x:v>
      </x:c>
      <x:c r="F367" s="2" t="str">
        <x:v>sale</x:v>
      </x:c>
      <x:c r="G367" s="11" t="n">
        <x:v>72</x:v>
      </x:c>
      <x:c r="H367" s="12" t="n">
        <x:v>1390000000</x:v>
      </x:c>
      <x:c r="I367" s="12" t="n">
        <x:v>19305555.555555556</x:v>
      </x:c>
      <x:c r="J367" s="2" t="str">
        <x:v>total</x:v>
      </x:c>
      <x:c r="K367" s="2" t="str">
        <x:v>top_level_area</x:v>
      </x:c>
      <x:c r="L367" s="2" t="str">
        <x:v>property_type_inferred_from_title</x:v>
      </x:c>
      <x:c r="M367" s="10" t="n">
        <x:v>0</x:v>
      </x:c>
      <x:c r="N367" s="10" t="n">
        <x:v>0</x:v>
      </x:c>
      <x:c r="O367" s="2" t="str">
        <x:v>Tp Hồ Chí Minh|house</x:v>
      </x:c>
      <x:c r="P367" s="10" t="n">
        <x:v>2</x:v>
      </x:c>
      <x:c r="Q367" s="13" t="n">
        <x:f>IF(H367="","",H367/1000000000)</x:f>
        <x:v>1.39</x:v>
      </x:c>
      <x:c r="R367" s="13" t="n">
        <x:f>IF(I367="","",I367/1000000)</x:f>
        <x:v>19.305555555555557</x:v>
      </x:c>
    </x:row>
    <x:row r="368" ht="21" customHeight="1">
      <x:c r="A368" s="10" t="n">
        <x:v>396</x:v>
      </x:c>
      <x:c r="B368" s="2" t="str">
        <x:v>84b29ca56787528cfa29</x:v>
      </x:c>
      <x:c r="C368" s="2" t="str">
        <x:v>Bình Dương</x:v>
      </x:c>
      <x:c r="D368" s="2" t="str">
        <x:v>Thị xã Dĩ An</x:v>
      </x:c>
      <x:c r="E368" s="2" t="str">
        <x:v>house</x:v>
      </x:c>
      <x:c r="F368" s="2" t="str">
        <x:v>sale_assumed</x:v>
      </x:c>
      <x:c r="G368" s="11" t="n">
        <x:v>100</x:v>
      </x:c>
      <x:c r="H368" s="12" t="n">
        <x:v>4099999999.9999995</x:v>
      </x:c>
      <x:c r="I368" s="12" t="n">
        <x:v>40999999.99999999</x:v>
      </x:c>
      <x:c r="J368" s="2" t="str">
        <x:v>total</x:v>
      </x:c>
      <x:c r="K368" s="2" t="str">
        <x:v>top_level_area</x:v>
      </x:c>
      <x:c r="L368" s="2" t="str">
        <x:v>property_type_inferred_from_title;transaction_assumed_sale_from_dataset_context</x:v>
      </x:c>
      <x:c r="M368" s="10" t="n">
        <x:v>0</x:v>
      </x:c>
      <x:c r="N368" s="10" t="n">
        <x:v>0</x:v>
      </x:c>
      <x:c r="O368" s="2" t="str">
        <x:v>Bình Dương|house</x:v>
      </x:c>
      <x:c r="P368" s="10" t="n">
        <x:v>2</x:v>
      </x:c>
      <x:c r="Q368" s="13" t="n">
        <x:f>IF(H368="","",H368/1000000000)</x:f>
        <x:v>4.1</x:v>
      </x:c>
      <x:c r="R368" s="13" t="n">
        <x:f>IF(I368="","",I368/1000000)</x:f>
        <x:v>40.99999999999999</x:v>
      </x:c>
    </x:row>
    <x:row r="369" ht="21" customHeight="1">
      <x:c r="A369" s="10" t="n">
        <x:v>397</x:v>
      </x:c>
      <x:c r="B369" s="2" t="str">
        <x:v>86eaa0e41e69af62924f</x:v>
      </x:c>
      <x:c r="C369" s="2" t="str">
        <x:v>Tp Hồ Chí Minh</x:v>
      </x:c>
      <x:c r="D369" s="2" t="str">
        <x:v>Quận Tân Phú</x:v>
      </x:c>
      <x:c r="E369" s="2" t="str">
        <x:v>house</x:v>
      </x:c>
      <x:c r="F369" s="2" t="str">
        <x:v>sale</x:v>
      </x:c>
      <x:c r="G369" s="11" t="n">
        <x:v>112</x:v>
      </x:c>
      <x:c r="H369" s="12" t="n">
        <x:v>4150000000.0000005</x:v>
      </x:c>
      <x:c r="I369" s="12" t="n">
        <x:v>37053571.42857143</x:v>
      </x:c>
      <x:c r="J369" s="2" t="str">
        <x:v>total</x:v>
      </x:c>
      <x:c r="K369" s="2" t="str">
        <x:v>top_level_area</x:v>
      </x:c>
      <x:c r="L369" s="2" t="str">
        <x:v>property_type_inferred_from_title</x:v>
      </x:c>
      <x:c r="M369" s="10" t="n">
        <x:v>0</x:v>
      </x:c>
      <x:c r="N369" s="10" t="n">
        <x:v>0</x:v>
      </x:c>
      <x:c r="O369" s="2" t="str">
        <x:v>Tp Hồ Chí Minh|house</x:v>
      </x:c>
      <x:c r="P369" s="10" t="n">
        <x:v>2</x:v>
      </x:c>
      <x:c r="Q369" s="13" t="n">
        <x:f>IF(H369="","",H369/1000000000)</x:f>
        <x:v>4.15</x:v>
      </x:c>
      <x:c r="R369" s="13" t="n">
        <x:f>IF(I369="","",I369/1000000)</x:f>
        <x:v>37.05357142857143</x:v>
      </x:c>
    </x:row>
    <x:row r="370" ht="21" customHeight="1">
      <x:c r="A370" s="10" t="n">
        <x:v>398</x:v>
      </x:c>
      <x:c r="B370" s="2" t="str">
        <x:v>590ba2faa16b01fead27</x:v>
      </x:c>
      <x:c r="C370" s="2" t="str">
        <x:v>Tp Hồ Chí Minh</x:v>
      </x:c>
      <x:c r="D370" s="2" t="str">
        <x:v>Quận 2</x:v>
      </x:c>
      <x:c r="E370" s="2" t="str">
        <x:v>apartment</x:v>
      </x:c>
      <x:c r="F370" s="2" t="str">
        <x:v>sale_assumed</x:v>
      </x:c>
      <x:c r="G370" s="11" t="n">
        <x:v>51</x:v>
      </x:c>
      <x:c r="H370" s="12" t="n">
        <x:v>2680000000</x:v>
      </x:c>
      <x:c r="I370" s="12" t="n">
        <x:v>52549019.60784314</x:v>
      </x:c>
      <x:c r="J370" s="2" t="str">
        <x:v>total</x:v>
      </x:c>
      <x:c r="K370" s="2" t="str">
        <x:v>top_level_area</x:v>
      </x:c>
      <x:c r="L370" s="2" t="str">
        <x:v>property_type_inferred_from_title;transaction_assumed_sale_from_dataset_context</x:v>
      </x:c>
      <x:c r="M370" s="10" t="n">
        <x:v>0</x:v>
      </x:c>
      <x:c r="N370" s="10" t="n">
        <x:v>0</x:v>
      </x:c>
      <x:c r="O370" s="2" t="str">
        <x:v>Tp Hồ Chí Minh|apartment</x:v>
      </x:c>
      <x:c r="P370" s="10" t="n">
        <x:v>2</x:v>
      </x:c>
      <x:c r="Q370" s="13" t="n">
        <x:f>IF(H370="","",H370/1000000000)</x:f>
        <x:v>2.68</x:v>
      </x:c>
      <x:c r="R370" s="13" t="n">
        <x:f>IF(I370="","",I370/1000000)</x:f>
        <x:v>52.549019607843135</x:v>
      </x:c>
    </x:row>
    <x:row r="371" ht="21" customHeight="1">
      <x:c r="A371" s="10" t="n">
        <x:v>399</x:v>
      </x:c>
      <x:c r="B371" s="2" t="str">
        <x:v>00612fbdf18912f27d7b</x:v>
      </x:c>
      <x:c r="C371" s="2" t="str">
        <x:v>Đồng Nai</x:v>
      </x:c>
      <x:c r="D371" s="2" t="str">
        <x:v>Huyện Định Quán</x:v>
      </x:c>
      <x:c r="E371" s="2" t="str">
        <x:v>land</x:v>
      </x:c>
      <x:c r="F371" s="2" t="str">
        <x:v>sale</x:v>
      </x:c>
      <x:c r="G371" s="11" t="n">
        <x:v>1000</x:v>
      </x:c>
      <x:c r="H371" s="12" t="n">
        <x:v>550000000</x:v>
      </x:c>
      <x:c r="I371" s="12" t="n">
        <x:v>550000</x:v>
      </x:c>
      <x:c r="J371" s="2" t="str">
        <x:v>total</x:v>
      </x:c>
      <x:c r="K371" s="2" t="str">
        <x:v>top_level_area</x:v>
      </x:c>
      <x:c r="L371" s="2" t="str">
        <x:v>dot_thousands_convention;property_type_inferred_from_title</x:v>
      </x:c>
      <x:c r="M371" s="10" t="n">
        <x:v>0</x:v>
      </x:c>
      <x:c r="N371" s="10" t="n">
        <x:v>0</x:v>
      </x:c>
      <x:c r="O371" s="2" t="str">
        <x:v>Đồng Nai|land</x:v>
      </x:c>
      <x:c r="P371" s="10" t="n">
        <x:v>1</x:v>
      </x:c>
      <x:c r="Q371" s="13" t="n">
        <x:f>IF(H371="","",H371/1000000000)</x:f>
        <x:v>0.55</x:v>
      </x:c>
      <x:c r="R371" s="13" t="n">
        <x:f>IF(I371="","",I371/1000000)</x:f>
        <x:v>0.55</x:v>
      </x:c>
    </x:row>
    <x:row r="372" ht="21" customHeight="1">
      <x:c r="A372" s="10" t="n">
        <x:v>400</x:v>
      </x:c>
      <x:c r="B372" s="2" t="str">
        <x:v>e84ad3a15304374fddf0</x:v>
      </x:c>
      <x:c r="C372" s="2" t="str">
        <x:v>Tp Hồ Chí Minh</x:v>
      </x:c>
      <x:c r="D372" s="2" t="str">
        <x:v>Quận Thủ Đức</x:v>
      </x:c>
      <x:c r="E372" s="2" t="str">
        <x:v>house</x:v>
      </x:c>
      <x:c r="F372" s="2" t="str">
        <x:v>sale_assumed</x:v>
      </x:c>
      <x:c r="G372" s="11" t="n">
        <x:v>70</x:v>
      </x:c>
      <x:c r="H372" s="12" t="n">
        <x:v>7000000000</x:v>
      </x:c>
      <x:c r="I372" s="12" t="n">
        <x:v>100000000</x:v>
      </x:c>
      <x:c r="J372" s="2" t="str">
        <x:v>total</x:v>
      </x:c>
      <x:c r="K372" s="2" t="str">
        <x:v>top_level_area</x:v>
      </x:c>
      <x:c r="L372" s="2" t="str">
        <x:v>property_type_inferred_from_title;transaction_assumed_sale_from_dataset_context</x:v>
      </x:c>
      <x:c r="M372" s="10" t="n">
        <x:v>0</x:v>
      </x:c>
      <x:c r="N372" s="10" t="n">
        <x:v>0</x:v>
      </x:c>
      <x:c r="O372" s="2" t="str">
        <x:v>Tp Hồ Chí Minh|house</x:v>
      </x:c>
      <x:c r="P372" s="10" t="n">
        <x:v>2</x:v>
      </x:c>
      <x:c r="Q372" s="13" t="n">
        <x:f>IF(H372="","",H372/1000000000)</x:f>
        <x:v>7</x:v>
      </x:c>
      <x:c r="R372" s="13" t="n">
        <x:f>IF(I372="","",I372/1000000)</x:f>
        <x:v>100</x:v>
      </x:c>
    </x:row>
    <x:row r="373" ht="21" customHeight="1">
      <x:c r="A373" s="10" t="n">
        <x:v>401</x:v>
      </x:c>
      <x:c r="B373" s="2" t="str">
        <x:v>7089b694b95445473f5d</x:v>
      </x:c>
      <x:c r="C373" s="2" t="str">
        <x:v>Tp Hồ Chí Minh</x:v>
      </x:c>
      <x:c r="D373" s="2" t="str">
        <x:v>Huyện Bình Chánh</x:v>
      </x:c>
      <x:c r="E373" s="2" t="str">
        <x:v>land</x:v>
      </x:c>
      <x:c r="F373" s="2" t="str">
        <x:v>sale</x:v>
      </x:c>
      <x:c r="G373" s="11" t="n">
        <x:v>60</x:v>
      </x:c>
      <x:c r="H373" s="12" t="n">
        <x:v>299000000</x:v>
      </x:c>
      <x:c r="I373" s="12" t="n">
        <x:v>4983333.333333333</x:v>
      </x:c>
      <x:c r="J373" s="2" t="str">
        <x:v>total</x:v>
      </x:c>
      <x:c r="K373" s="2" t="str">
        <x:v>top_level_price_embedded_area</x:v>
      </x:c>
      <x:c r="L373" s="2" t="str">
        <x:v>area_recovered_from_price_text;property_type_inferred_from_title</x:v>
      </x:c>
      <x:c r="M373" s="10" t="n">
        <x:v>0</x:v>
      </x:c>
      <x:c r="N373" s="10" t="n">
        <x:v>0</x:v>
      </x:c>
      <x:c r="O373" s="2" t="str">
        <x:v>Tp Hồ Chí Minh|land</x:v>
      </x:c>
      <x:c r="P373" s="10" t="n">
        <x:v>2</x:v>
      </x:c>
      <x:c r="Q373" s="13" t="n">
        <x:f>IF(H373="","",H373/1000000000)</x:f>
        <x:v>0.299</x:v>
      </x:c>
      <x:c r="R373" s="13" t="n">
        <x:f>IF(I373="","",I373/1000000)</x:f>
        <x:v>4.983333333333333</x:v>
      </x:c>
    </x:row>
    <x:row r="374" ht="21" customHeight="1">
      <x:c r="A374" s="10" t="n">
        <x:v>402</x:v>
      </x:c>
      <x:c r="B374" s="2" t="str">
        <x:v>834f8772a73b9c949a1c</x:v>
      </x:c>
      <x:c r="C374" s="2" t="str">
        <x:v>Tp Hồ Chí Minh</x:v>
      </x:c>
      <x:c r="D374" s="2" t="str">
        <x:v>Quận 9</x:v>
      </x:c>
      <x:c r="E374" s="2" t="str">
        <x:v>house</x:v>
      </x:c>
      <x:c r="F374" s="2" t="str">
        <x:v>sale_assumed</x:v>
      </x:c>
      <x:c r="G374" s="11" t="n">
        <x:v>71</x:v>
      </x:c>
      <x:c r="H374" s="12" t="n">
        <x:v>5600000000</x:v>
      </x:c>
      <x:c r="I374" s="12" t="n">
        <x:v>78873239.43661971</x:v>
      </x:c>
      <x:c r="J374" s="2" t="str">
        <x:v>total</x:v>
      </x:c>
      <x:c r="K374" s="2" t="str">
        <x:v>top_level_area</x:v>
      </x:c>
      <x:c r="L374" s="2" t="str">
        <x:v>property_type_inferred_from_title;transaction_assumed_sale_from_dataset_context</x:v>
      </x:c>
      <x:c r="M374" s="10" t="n">
        <x:v>0</x:v>
      </x:c>
      <x:c r="N374" s="10" t="n">
        <x:v>0</x:v>
      </x:c>
      <x:c r="O374" s="2" t="str">
        <x:v>Tp Hồ Chí Minh|house</x:v>
      </x:c>
      <x:c r="P374" s="10" t="n">
        <x:v>2</x:v>
      </x:c>
      <x:c r="Q374" s="13" t="n">
        <x:f>IF(H374="","",H374/1000000000)</x:f>
        <x:v>5.6</x:v>
      </x:c>
      <x:c r="R374" s="13" t="n">
        <x:f>IF(I374="","",I374/1000000)</x:f>
        <x:v>78.87323943661971</x:v>
      </x:c>
    </x:row>
    <x:row r="375" ht="21" customHeight="1">
      <x:c r="A375" s="10" t="n">
        <x:v>403</x:v>
      </x:c>
      <x:c r="B375" s="2" t="str">
        <x:v>2424e236f2f8a5da7767</x:v>
      </x:c>
      <x:c r="C375" s="2" t="str">
        <x:v>Tp Hồ Chí Minh</x:v>
      </x:c>
      <x:c r="D375" s="2" t="str">
        <x:v>Quận 12</x:v>
      </x:c>
      <x:c r="E375" s="2" t="str">
        <x:v>house</x:v>
      </x:c>
      <x:c r="F375" s="2" t="str">
        <x:v>sale</x:v>
      </x:c>
      <x:c r="G375" s="11" t="n">
        <x:v>93</x:v>
      </x:c>
      <x:c r="H375" s="12" t="n">
        <x:v>1800000000</x:v>
      </x:c>
      <x:c r="I375" s="12" t="n">
        <x:v>19354838.70967742</x:v>
      </x:c>
      <x:c r="J375" s="2" t="str">
        <x:v>total</x:v>
      </x:c>
      <x:c r="K375" s="2" t="str">
        <x:v>top_level_area</x:v>
      </x:c>
      <x:c r="L375" s="2" t="str">
        <x:v>property_type_inferred_from_title</x:v>
      </x:c>
      <x:c r="M375" s="10" t="n">
        <x:v>0</x:v>
      </x:c>
      <x:c r="N375" s="10" t="n">
        <x:v>0</x:v>
      </x:c>
      <x:c r="O375" s="2" t="str">
        <x:v>Tp Hồ Chí Minh|house</x:v>
      </x:c>
      <x:c r="P375" s="10" t="n">
        <x:v>2</x:v>
      </x:c>
      <x:c r="Q375" s="13" t="n">
        <x:f>IF(H375="","",H375/1000000000)</x:f>
        <x:v>1.8</x:v>
      </x:c>
      <x:c r="R375" s="13" t="n">
        <x:f>IF(I375="","",I375/1000000)</x:f>
        <x:v>19.35483870967742</x:v>
      </x:c>
    </x:row>
    <x:row r="376" ht="21" customHeight="1">
      <x:c r="A376" s="10" t="n">
        <x:v>404</x:v>
      </x:c>
      <x:c r="B376" s="2" t="str">
        <x:v>407077b5719d5e595e03</x:v>
      </x:c>
      <x:c r="C376" s="2" t="str">
        <x:v>Tp Hồ Chí Minh</x:v>
      </x:c>
      <x:c r="D376" s="2" t="str">
        <x:v>Quận 12</x:v>
      </x:c>
      <x:c r="E376" s="2" t="str">
        <x:v>land</x:v>
      </x:c>
      <x:c r="F376" s="2" t="str">
        <x:v>sale_assumed</x:v>
      </x:c>
      <x:c r="G376" s="11" t="n">
        <x:v>56</x:v>
      </x:c>
      <x:c r="H376" s="12" t="n">
        <x:v>2550000000</x:v>
      </x:c>
      <x:c r="I376" s="12" t="n">
        <x:v>45535714.28571428</x:v>
      </x:c>
      <x:c r="J376" s="2" t="str">
        <x:v>total</x:v>
      </x:c>
      <x:c r="K376" s="2" t="str">
        <x:v>top_level_area</x:v>
      </x:c>
      <x:c r="L376" s="2" t="str">
        <x:v>property_type_inferred_from_title;transaction_assumed_sale_from_dataset_context</x:v>
      </x:c>
      <x:c r="M376" s="10" t="n">
        <x:v>0</x:v>
      </x:c>
      <x:c r="N376" s="10" t="n">
        <x:v>0</x:v>
      </x:c>
      <x:c r="O376" s="2" t="str">
        <x:v>Tp Hồ Chí Minh|land</x:v>
      </x:c>
      <x:c r="P376" s="10" t="n">
        <x:v>2</x:v>
      </x:c>
      <x:c r="Q376" s="13" t="n">
        <x:f>IF(H376="","",H376/1000000000)</x:f>
        <x:v>2.55</x:v>
      </x:c>
      <x:c r="R376" s="13" t="n">
        <x:f>IF(I376="","",I376/1000000)</x:f>
        <x:v>45.535714285714285</x:v>
      </x:c>
    </x:row>
    <x:row r="377" ht="21" customHeight="1">
      <x:c r="A377" s="10" t="n">
        <x:v>405</x:v>
      </x:c>
      <x:c r="B377" s="2" t="str">
        <x:v>fe4831f45e53a9f4f2d3</x:v>
      </x:c>
      <x:c r="C377" s="2" t="str">
        <x:v>Bình Dương</x:v>
      </x:c>
      <x:c r="D377" s="2" t="str">
        <x:v>Huyện Phú Giáo</x:v>
      </x:c>
      <x:c r="E377" s="2" t="str">
        <x:v>land</x:v>
      </x:c>
      <x:c r="F377" s="2" t="str">
        <x:v>sale_assumed</x:v>
      </x:c>
      <x:c r="G377" s="11" t="n">
        <x:v>1040</x:v>
      </x:c>
      <x:c r="H377" s="12" t="n">
        <x:v>290000000</x:v>
      </x:c>
      <x:c r="I377" s="12" t="n">
        <x:v>278846.1538461539</x:v>
      </x:c>
      <x:c r="J377" s="2" t="str">
        <x:v>total</x:v>
      </x:c>
      <x:c r="K377" s="2" t="str">
        <x:v>top_level_area</x:v>
      </x:c>
      <x:c r="L377" s="2" t="str">
        <x:v>dot_thousands_convention;property_type_inferred_from_title;transaction_assumed_sale_from_dataset_context</x:v>
      </x:c>
      <x:c r="M377" s="10" t="n">
        <x:v>0</x:v>
      </x:c>
      <x:c r="N377" s="10" t="n">
        <x:v>0</x:v>
      </x:c>
      <x:c r="O377" s="2" t="str">
        <x:v>Bình Dương|land</x:v>
      </x:c>
      <x:c r="P377" s="10" t="n">
        <x:v>1</x:v>
      </x:c>
      <x:c r="Q377" s="13" t="n">
        <x:f>IF(H377="","",H377/1000000000)</x:f>
        <x:v>0.29</x:v>
      </x:c>
      <x:c r="R377" s="13" t="n">
        <x:f>IF(I377="","",I377/1000000)</x:f>
        <x:v>0.27884615384615385</x:v>
      </x:c>
    </x:row>
    <x:row r="378" ht="21" customHeight="1">
      <x:c r="A378" s="10" t="n">
        <x:v>406</x:v>
      </x:c>
      <x:c r="B378" s="2" t="str">
        <x:v>4b8d1922055d1f605767</x:v>
      </x:c>
      <x:c r="C378" s="2" t="str">
        <x:v>Bình Dương</x:v>
      </x:c>
      <x:c r="D378" s="2" t="str">
        <x:v>Thị xã Tân Uyên</x:v>
      </x:c>
      <x:c r="E378" s="2" t="str">
        <x:v>land</x:v>
      </x:c>
      <x:c r="F378" s="2" t="str">
        <x:v>sale_assumed</x:v>
      </x:c>
      <x:c r="G378" s="11" t="n">
        <x:v>5000</x:v>
      </x:c>
      <x:c r="H378" s="12" t="n">
        <x:v>490000000</x:v>
      </x:c>
      <x:c r="I378" s="12" t="n">
        <x:v>98000</x:v>
      </x:c>
      <x:c r="J378" s="2" t="str">
        <x:v>total</x:v>
      </x:c>
      <x:c r="K378" s="2" t="str">
        <x:v>top_level_area</x:v>
      </x:c>
      <x:c r="L378" s="2" t="str">
        <x:v>dot_thousands_convention;property_type_inferred_from_title;transaction_assumed_sale_from_dataset_context</x:v>
      </x:c>
      <x:c r="M378" s="10" t="n">
        <x:v>0</x:v>
      </x:c>
      <x:c r="N378" s="10" t="n">
        <x:v>0</x:v>
      </x:c>
      <x:c r="O378" s="2" t="str">
        <x:v>Bình Dương|land</x:v>
      </x:c>
      <x:c r="P378" s="10" t="n">
        <x:v>1</x:v>
      </x:c>
      <x:c r="Q378" s="13" t="n">
        <x:f>IF(H378="","",H378/1000000000)</x:f>
        <x:v>0.49</x:v>
      </x:c>
      <x:c r="R378" s="13" t="n">
        <x:f>IF(I378="","",I378/1000000)</x:f>
        <x:v>0.098</x:v>
      </x:c>
    </x:row>
    <x:row r="379" ht="21" customHeight="1">
      <x:c r="A379" s="10" t="n">
        <x:v>407</x:v>
      </x:c>
      <x:c r="B379" s="2" t="str">
        <x:v>e6c339584bf39e5dfa87</x:v>
      </x:c>
      <x:c r="C379" s="2" t="str">
        <x:v>Đắk Lắk</x:v>
      </x:c>
      <x:c r="D379" s="2" t="str">
        <x:v>Thành phố Buôn Ma Thuột</x:v>
      </x:c>
      <x:c r="E379" s="2" t="str">
        <x:v>other_unknown</x:v>
      </x:c>
      <x:c r="F379" s="2" t="str">
        <x:v>sale_assumed</x:v>
      </x:c>
      <x:c r="G379" s="11" t="n">
        <x:v>150</x:v>
      </x:c>
      <x:c r="H379" s="12" t="n">
        <x:v>1720000000</x:v>
      </x:c>
      <x:c r="I379" s="12" t="n">
        <x:v>11466666.666666666</x:v>
      </x:c>
      <x:c r="J379" s="2" t="str">
        <x:v>total</x:v>
      </x:c>
      <x:c r="K379" s="2" t="str">
        <x:v>top_level_area</x:v>
      </x:c>
      <x:c r="L379" s="2" t="str">
        <x:v>property_type_inferred_from_title;transaction_assumed_sale_from_dataset_context;unknown_property_type</x:v>
      </x:c>
      <x:c r="M379" s="10" t="n">
        <x:v>0</x:v>
      </x:c>
      <x:c r="N379" s="10" t="n">
        <x:v>0</x:v>
      </x:c>
      <x:c r="O379" s="2" t="str">
        <x:v>other_unknown</x:v>
      </x:c>
      <x:c r="P379" s="10" t="n">
        <x:v>2</x:v>
      </x:c>
      <x:c r="Q379" s="13" t="n">
        <x:f>IF(H379="","",H379/1000000000)</x:f>
        <x:v>1.72</x:v>
      </x:c>
      <x:c r="R379" s="13" t="n">
        <x:f>IF(I379="","",I379/1000000)</x:f>
        <x:v>11.466666666666667</x:v>
      </x:c>
    </x:row>
    <x:row r="380" ht="21" customHeight="1">
      <x:c r="A380" s="10" t="n">
        <x:v>408</x:v>
      </x:c>
      <x:c r="B380" s="2" t="str">
        <x:v>10241e9eca7c3a35e110</x:v>
      </x:c>
      <x:c r="C380" s="2" t="str">
        <x:v>Tp Hồ Chí Minh</x:v>
      </x:c>
      <x:c r="D380" s="2" t="str">
        <x:v>Quận 9</x:v>
      </x:c>
      <x:c r="E380" s="2" t="str">
        <x:v>house</x:v>
      </x:c>
      <x:c r="F380" s="2" t="str">
        <x:v>sale_assumed</x:v>
      </x:c>
      <x:c r="G380" s="11" t="n">
        <x:v>84</x:v>
      </x:c>
      <x:c r="H380" s="12" t="n">
        <x:v>8300000000.000001</x:v>
      </x:c>
      <x:c r="I380" s="12" t="n">
        <x:v>98809523.80952382</x:v>
      </x:c>
      <x:c r="J380" s="2" t="str">
        <x:v>total</x:v>
      </x:c>
      <x:c r="K380" s="2" t="str">
        <x:v>top_level_area</x:v>
      </x:c>
      <x:c r="L380" s="2" t="str">
        <x:v>property_type_inferred_from_title;transaction_assumed_sale_from_dataset_context</x:v>
      </x:c>
      <x:c r="M380" s="10" t="n">
        <x:v>0</x:v>
      </x:c>
      <x:c r="N380" s="10" t="n">
        <x:v>0</x:v>
      </x:c>
      <x:c r="O380" s="2" t="str">
        <x:v>Tp Hồ Chí Minh|house</x:v>
      </x:c>
      <x:c r="P380" s="10" t="n">
        <x:v>2</x:v>
      </x:c>
      <x:c r="Q380" s="13" t="n">
        <x:f>IF(H380="","",H380/1000000000)</x:f>
        <x:v>8.3</x:v>
      </x:c>
      <x:c r="R380" s="13" t="n">
        <x:f>IF(I380="","",I380/1000000)</x:f>
        <x:v>98.80952380952382</x:v>
      </x:c>
    </x:row>
    <x:row r="381" ht="21" customHeight="1">
      <x:c r="A381" s="10" t="n">
        <x:v>409</x:v>
      </x:c>
      <x:c r="B381" s="2" t="str">
        <x:v>008a82ab012811289973</x:v>
      </x:c>
      <x:c r="C381" s="2" t="str">
        <x:v>Tp Hồ Chí Minh</x:v>
      </x:c>
      <x:c r="D381" s="2" t="str">
        <x:v>Huyện Củ Chi</x:v>
      </x:c>
      <x:c r="E381" s="2" t="str">
        <x:v>house</x:v>
      </x:c>
      <x:c r="F381" s="2" t="str">
        <x:v>sale_assumed</x:v>
      </x:c>
      <x:c r="G381" s="11" t="n">
        <x:v>500</x:v>
      </x:c>
      <x:c r="H381" s="12" t="n">
        <x:v>800000000</x:v>
      </x:c>
      <x:c r="I381" s="12" t="n">
        <x:v>1600000</x:v>
      </x:c>
      <x:c r="J381" s="2" t="str">
        <x:v>total</x:v>
      </x:c>
      <x:c r="K381" s="2" t="str">
        <x:v>top_level_area</x:v>
      </x:c>
      <x:c r="L381" s="2" t="str">
        <x:v>property_type_inferred_from_title;transaction_assumed_sale_from_dataset_context</x:v>
      </x:c>
      <x:c r="M381" s="10" t="n">
        <x:v>0</x:v>
      </x:c>
      <x:c r="N381" s="10" t="n">
        <x:v>0</x:v>
      </x:c>
      <x:c r="O381" s="2" t="str">
        <x:v>Tp Hồ Chí Minh|house</x:v>
      </x:c>
      <x:c r="P381" s="10" t="n">
        <x:v>1</x:v>
      </x:c>
      <x:c r="Q381" s="13" t="n">
        <x:f>IF(H381="","",H381/1000000000)</x:f>
        <x:v>0.8</x:v>
      </x:c>
      <x:c r="R381" s="13" t="n">
        <x:f>IF(I381="","",I381/1000000)</x:f>
        <x:v>1.6</x:v>
      </x:c>
    </x:row>
    <x:row r="382" ht="21" customHeight="1">
      <x:c r="A382" s="10" t="n">
        <x:v>410</x:v>
      </x:c>
      <x:c r="B382" s="2" t="str">
        <x:v>c57d1b37b74c469a5158</x:v>
      </x:c>
      <x:c r="C382" s="2" t="str">
        <x:v>Hà Nội</x:v>
      </x:c>
      <x:c r="D382" s="2" t="str">
        <x:v>Huyện Hoài Đức</x:v>
      </x:c>
      <x:c r="E382" s="2" t="str">
        <x:v>house</x:v>
      </x:c>
      <x:c r="F382" s="2" t="str">
        <x:v>sale</x:v>
      </x:c>
      <x:c r="G382" s="11" t="n">
        <x:v>59</x:v>
      </x:c>
      <x:c r="H382" s="12" t="n">
        <x:v>6500000000</x:v>
      </x:c>
      <x:c r="I382" s="12" t="n">
        <x:v>110169491.52542374</x:v>
      </x:c>
      <x:c r="J382" s="2" t="str">
        <x:v>total</x:v>
      </x:c>
      <x:c r="K382" s="2" t="str">
        <x:v>top_level_area</x:v>
      </x:c>
      <x:c r="L382" s="2" t="str">
        <x:v>property_type_inferred_from_title</x:v>
      </x:c>
      <x:c r="M382" s="10" t="n">
        <x:v>0</x:v>
      </x:c>
      <x:c r="N382" s="10" t="n">
        <x:v>0</x:v>
      </x:c>
      <x:c r="O382" s="2" t="str">
        <x:v>Hà Nội|house</x:v>
      </x:c>
      <x:c r="P382" s="10" t="n">
        <x:v>2</x:v>
      </x:c>
      <x:c r="Q382" s="13" t="n">
        <x:f>IF(H382="","",H382/1000000000)</x:f>
        <x:v>6.5</x:v>
      </x:c>
      <x:c r="R382" s="13" t="n">
        <x:f>IF(I382="","",I382/1000000)</x:f>
        <x:v>110.16949152542374</x:v>
      </x:c>
    </x:row>
    <x:row r="383" ht="21" customHeight="1">
      <x:c r="A383" s="10" t="n">
        <x:v>411</x:v>
      </x:c>
      <x:c r="B383" s="2" t="str">
        <x:v>0d695f7b6dd74b234479</x:v>
      </x:c>
      <x:c r="C383" s="2" t="str">
        <x:v>Tây Ninh</x:v>
      </x:c>
      <x:c r="D383" s="2" t="str">
        <x:v>Thành phố Tây Ninh</x:v>
      </x:c>
      <x:c r="E383" s="2" t="str">
        <x:v>land</x:v>
      </x:c>
      <x:c r="F383" s="2" t="str">
        <x:v>sale_assumed</x:v>
      </x:c>
      <x:c r="G383" s="11" t="n">
        <x:v>93</x:v>
      </x:c>
      <x:c r="H383" s="12" t="n">
        <x:v>180000000</x:v>
      </x:c>
      <x:c r="I383" s="12" t="n">
        <x:v>1935483.8709677418</x:v>
      </x:c>
      <x:c r="J383" s="2" t="str">
        <x:v>total</x:v>
      </x:c>
      <x:c r="K383" s="2" t="str">
        <x:v>top_level_area</x:v>
      </x:c>
      <x:c r="L383" s="2" t="str">
        <x:v>property_type_inferred_from_title;transaction_assumed_sale_from_dataset_context</x:v>
      </x:c>
      <x:c r="M383" s="10" t="n">
        <x:v>0</x:v>
      </x:c>
      <x:c r="N383" s="10" t="n">
        <x:v>0</x:v>
      </x:c>
      <x:c r="O383" s="2" t="str">
        <x:v>land</x:v>
      </x:c>
      <x:c r="P383" s="10" t="n">
        <x:v>1</x:v>
      </x:c>
      <x:c r="Q383" s="13" t="n">
        <x:f>IF(H383="","",H383/1000000000)</x:f>
        <x:v>0.18</x:v>
      </x:c>
      <x:c r="R383" s="13" t="n">
        <x:f>IF(I383="","",I383/1000000)</x:f>
        <x:v>1.9354838709677418</x:v>
      </x:c>
    </x:row>
    <x:row r="384" ht="21" customHeight="1">
      <x:c r="A384" s="10" t="n">
        <x:v>412</x:v>
      </x:c>
      <x:c r="B384" s="2" t="str">
        <x:v>82d2e9b5c7853d4f57fc</x:v>
      </x:c>
      <x:c r="C384" s="2" t="str">
        <x:v>Tp Hồ Chí Minh</x:v>
      </x:c>
      <x:c r="D384" s="2" t="str">
        <x:v>Huyện Nhà Bè</x:v>
      </x:c>
      <x:c r="E384" s="2" t="str">
        <x:v>apartment</x:v>
      </x:c>
      <x:c r="F384" s="2" t="str">
        <x:v>sale</x:v>
      </x:c>
      <x:c r="G384" s="11" t="n">
        <x:v>71</x:v>
      </x:c>
      <x:c r="H384" s="12" t="n">
        <x:v>3500000000</x:v>
      </x:c>
      <x:c r="I384" s="12" t="n">
        <x:v>49295774.64788733</x:v>
      </x:c>
      <x:c r="J384" s="2" t="str">
        <x:v>total</x:v>
      </x:c>
      <x:c r="K384" s="2" t="str">
        <x:v>top_level_area</x:v>
      </x:c>
      <x:c r="L384" s="2" t="str">
        <x:v>property_type_inferred_from_title</x:v>
      </x:c>
      <x:c r="M384" s="10" t="n">
        <x:v>0</x:v>
      </x:c>
      <x:c r="N384" s="10" t="n">
        <x:v>0</x:v>
      </x:c>
      <x:c r="O384" s="2" t="str">
        <x:v>Tp Hồ Chí Minh|apartment</x:v>
      </x:c>
      <x:c r="P384" s="10" t="n">
        <x:v>2</x:v>
      </x:c>
      <x:c r="Q384" s="13" t="n">
        <x:f>IF(H384="","",H384/1000000000)</x:f>
        <x:v>3.5</x:v>
      </x:c>
      <x:c r="R384" s="13" t="n">
        <x:f>IF(I384="","",I384/1000000)</x:f>
        <x:v>49.29577464788733</x:v>
      </x:c>
    </x:row>
    <x:row r="385" ht="21" customHeight="1">
      <x:c r="A385" s="10" t="n">
        <x:v>413</x:v>
      </x:c>
      <x:c r="B385" s="2" t="str">
        <x:v>444d9aa3b904ccd49cf4</x:v>
      </x:c>
      <x:c r="C385" s="2" t="str">
        <x:v>Tp Hồ Chí Minh</x:v>
      </x:c>
      <x:c r="D385" s="2" t="str">
        <x:v>Quận 7</x:v>
      </x:c>
      <x:c r="E385" s="2" t="str">
        <x:v>house</x:v>
      </x:c>
      <x:c r="F385" s="2" t="str">
        <x:v>sale</x:v>
      </x:c>
      <x:c r="G385" s="11" t="n">
        <x:v>20</x:v>
      </x:c>
      <x:c r="H385" s="12" t="n">
        <x:v>3250000000</x:v>
      </x:c>
      <x:c r="I385" s="12" t="n">
        <x:v>162500000</x:v>
      </x:c>
      <x:c r="J385" s="2" t="str">
        <x:v>total</x:v>
      </x:c>
      <x:c r="K385" s="2" t="str">
        <x:v>top_level_area</x:v>
      </x:c>
      <x:c r="L385" s="2" t="str">
        <x:v>property_type_inferred_from_title</x:v>
      </x:c>
      <x:c r="M385" s="10" t="n">
        <x:v>0</x:v>
      </x:c>
      <x:c r="N385" s="10" t="n">
        <x:v>0</x:v>
      </x:c>
      <x:c r="O385" s="2" t="str">
        <x:v>Tp Hồ Chí Minh|house</x:v>
      </x:c>
      <x:c r="P385" s="10" t="n">
        <x:v>2</x:v>
      </x:c>
      <x:c r="Q385" s="13" t="n">
        <x:f>IF(H385="","",H385/1000000000)</x:f>
        <x:v>3.25</x:v>
      </x:c>
      <x:c r="R385" s="13" t="n">
        <x:f>IF(I385="","",I385/1000000)</x:f>
        <x:v>162.5</x:v>
      </x:c>
    </x:row>
    <x:row r="386" ht="21" customHeight="1">
      <x:c r="A386" s="10" t="n">
        <x:v>415</x:v>
      </x:c>
      <x:c r="B386" s="2" t="str">
        <x:v>e45c3c94ff25657c1b5d</x:v>
      </x:c>
      <x:c r="C386" s="2" t="str">
        <x:v>Chưa xác định</x:v>
      </x:c>
      <x:c r="D386" s="2" t="str">
        <x:v>Chưa xác định</x:v>
      </x:c>
      <x:c r="E386" s="2" t="str">
        <x:v>house</x:v>
      </x:c>
      <x:c r="F386" s="2" t="str">
        <x:v>sale_assumed</x:v>
      </x:c>
      <x:c r="G386" s="11" t="n">
        <x:v>84</x:v>
      </x:c>
      <x:c r="H386" s="12" t="n">
        <x:v>1220000000</x:v>
      </x:c>
      <x:c r="I386" s="12" t="n">
        <x:v>14523809.523809524</x:v>
      </x:c>
      <x:c r="J386" s="2" t="str">
        <x:v>total</x:v>
      </x:c>
      <x:c r="K386" s="2" t="str">
        <x:v>top_level_area</x:v>
      </x:c>
      <x:c r="L386" s="2" t="str">
        <x:v>property_type_inferred_from_title;transaction_assumed_sale_from_dataset_context;unknown_district;unknown_province</x:v>
      </x:c>
      <x:c r="M386" s="10" t="n">
        <x:v>0</x:v>
      </x:c>
      <x:c r="N386" s="10" t="n">
        <x:v>0</x:v>
      </x:c>
      <x:c r="O386" s="2" t="str">
        <x:v>house</x:v>
      </x:c>
      <x:c r="P386" s="10" t="n">
        <x:v>2</x:v>
      </x:c>
      <x:c r="Q386" s="13" t="n">
        <x:f>IF(H386="","",H386/1000000000)</x:f>
        <x:v>1.22</x:v>
      </x:c>
      <x:c r="R386" s="13" t="n">
        <x:f>IF(I386="","",I386/1000000)</x:f>
        <x:v>14.523809523809524</x:v>
      </x:c>
    </x:row>
    <x:row r="387" ht="21" customHeight="1">
      <x:c r="A387" s="10" t="n">
        <x:v>416</x:v>
      </x:c>
      <x:c r="B387" s="2" t="str">
        <x:v>f22b96bdc98644499f51</x:v>
      </x:c>
      <x:c r="C387" s="2" t="str">
        <x:v>Đồng Nai</x:v>
      </x:c>
      <x:c r="D387" s="2" t="str">
        <x:v>Huyện Trảng Bom</x:v>
      </x:c>
      <x:c r="E387" s="2" t="str">
        <x:v>land</x:v>
      </x:c>
      <x:c r="F387" s="2" t="str">
        <x:v>sale</x:v>
      </x:c>
      <x:c r="G387" s="11" t="n">
        <x:v>97</x:v>
      </x:c>
      <x:c r="H387" s="12" t="n">
        <x:v>234000000</x:v>
      </x:c>
      <x:c r="I387" s="12" t="n">
        <x:v>2412371.1340206186</x:v>
      </x:c>
      <x:c r="J387" s="2" t="str">
        <x:v>total</x:v>
      </x:c>
      <x:c r="K387" s="2" t="str">
        <x:v>top_level_area</x:v>
      </x:c>
      <x:c r="L387" s="2" t="str">
        <x:v>property_type_inferred_from_title</x:v>
      </x:c>
      <x:c r="M387" s="10" t="n">
        <x:v>0</x:v>
      </x:c>
      <x:c r="N387" s="10" t="n">
        <x:v>0</x:v>
      </x:c>
      <x:c r="O387" s="2" t="str">
        <x:v>Đồng Nai|land</x:v>
      </x:c>
      <x:c r="P387" s="10" t="n">
        <x:v>1</x:v>
      </x:c>
      <x:c r="Q387" s="13" t="n">
        <x:f>IF(H387="","",H387/1000000000)</x:f>
        <x:v>0.234</x:v>
      </x:c>
      <x:c r="R387" s="13" t="n">
        <x:f>IF(I387="","",I387/1000000)</x:f>
        <x:v>2.4123711340206184</x:v>
      </x:c>
    </x:row>
    <x:row r="388" ht="21" customHeight="1">
      <x:c r="A388" s="10" t="n">
        <x:v>417</x:v>
      </x:c>
      <x:c r="B388" s="2" t="str">
        <x:v>45adc0c63bbe1ab45617</x:v>
      </x:c>
      <x:c r="C388" s="2" t="str">
        <x:v>Tp Hồ Chí Minh</x:v>
      </x:c>
      <x:c r="D388" s="2" t="str">
        <x:v>Quận 12</x:v>
      </x:c>
      <x:c r="E388" s="2" t="str">
        <x:v>house</x:v>
      </x:c>
      <x:c r="F388" s="2" t="str">
        <x:v>sale_assumed</x:v>
      </x:c>
      <x:c r="G388" s="11" t="n">
        <x:v>51</x:v>
      </x:c>
      <x:c r="H388" s="12" t="n">
        <x:v>3500000000</x:v>
      </x:c>
      <x:c r="I388" s="12" t="n">
        <x:v>68627450.98039216</x:v>
      </x:c>
      <x:c r="J388" s="2" t="str">
        <x:v>total</x:v>
      </x:c>
      <x:c r="K388" s="2" t="str">
        <x:v>top_level_area</x:v>
      </x:c>
      <x:c r="L388" s="2" t="str">
        <x:v>property_type_inferred_from_title;transaction_assumed_sale_from_dataset_context</x:v>
      </x:c>
      <x:c r="M388" s="10" t="n">
        <x:v>0</x:v>
      </x:c>
      <x:c r="N388" s="10" t="n">
        <x:v>0</x:v>
      </x:c>
      <x:c r="O388" s="2" t="str">
        <x:v>Tp Hồ Chí Minh|house</x:v>
      </x:c>
      <x:c r="P388" s="10" t="n">
        <x:v>2</x:v>
      </x:c>
      <x:c r="Q388" s="13" t="n">
        <x:f>IF(H388="","",H388/1000000000)</x:f>
        <x:v>3.5</x:v>
      </x:c>
      <x:c r="R388" s="13" t="n">
        <x:f>IF(I388="","",I388/1000000)</x:f>
        <x:v>68.62745098039215</x:v>
      </x:c>
    </x:row>
    <x:row r="389" ht="21" customHeight="1">
      <x:c r="A389" s="10" t="n">
        <x:v>418</x:v>
      </x:c>
      <x:c r="B389" s="2" t="str">
        <x:v>f45c0e32aa517833f238</x:v>
      </x:c>
      <x:c r="C389" s="2" t="str">
        <x:v>Đà Nẵng</x:v>
      </x:c>
      <x:c r="D389" s="2" t="str">
        <x:v>Quận Thanh Khê</x:v>
      </x:c>
      <x:c r="E389" s="2" t="str">
        <x:v>house</x:v>
      </x:c>
      <x:c r="F389" s="2" t="str">
        <x:v>sale_assumed</x:v>
      </x:c>
      <x:c r="G389" s="11" t="n">
        <x:v>100</x:v>
      </x:c>
      <x:c r="H389" s="12" t="n">
        <x:v>4700000000</x:v>
      </x:c>
      <x:c r="I389" s="12" t="n">
        <x:v>47000000</x:v>
      </x:c>
      <x:c r="J389" s="2" t="str">
        <x:v>total</x:v>
      </x:c>
      <x:c r="K389" s="2" t="str">
        <x:v>top_level_area</x:v>
      </x:c>
      <x:c r="L389" s="2" t="str">
        <x:v>property_type_inferred_from_title;transaction_assumed_sale_from_dataset_context</x:v>
      </x:c>
      <x:c r="M389" s="10" t="n">
        <x:v>0</x:v>
      </x:c>
      <x:c r="N389" s="10" t="n">
        <x:v>0</x:v>
      </x:c>
      <x:c r="O389" s="2" t="str">
        <x:v>Đà Nẵng|house</x:v>
      </x:c>
      <x:c r="P389" s="10" t="n">
        <x:v>2</x:v>
      </x:c>
      <x:c r="Q389" s="13" t="n">
        <x:f>IF(H389="","",H389/1000000000)</x:f>
        <x:v>4.7</x:v>
      </x:c>
      <x:c r="R389" s="13" t="n">
        <x:f>IF(I389="","",I389/1000000)</x:f>
        <x:v>47</x:v>
      </x:c>
    </x:row>
    <x:row r="390" ht="21" customHeight="1">
      <x:c r="A390" s="10" t="n">
        <x:v>419</x:v>
      </x:c>
      <x:c r="B390" s="2" t="str">
        <x:v>1d5fdfd67e0e31198a81</x:v>
      </x:c>
      <x:c r="C390" s="2" t="str">
        <x:v>Đắk Lắk</x:v>
      </x:c>
      <x:c r="D390" s="2" t="str">
        <x:v>Thành phố Buôn Ma Thuột</x:v>
      </x:c>
      <x:c r="E390" s="2" t="str">
        <x:v>other_unknown</x:v>
      </x:c>
      <x:c r="F390" s="2" t="str">
        <x:v>sale_assumed</x:v>
      </x:c>
      <x:c r="G390" s="11" t="n">
        <x:v>101</x:v>
      </x:c>
      <x:c r="H390" s="12" t="n">
        <x:v>625000000</x:v>
      </x:c>
      <x:c r="I390" s="12" t="n">
        <x:v>6188118.811881188</x:v>
      </x:c>
      <x:c r="J390" s="2" t="str">
        <x:v>total</x:v>
      </x:c>
      <x:c r="K390" s="2" t="str">
        <x:v>top_level_area</x:v>
      </x:c>
      <x:c r="L390" s="2" t="str">
        <x:v>property_type_inferred_from_title;transaction_assumed_sale_from_dataset_context;unknown_property_type</x:v>
      </x:c>
      <x:c r="M390" s="10" t="n">
        <x:v>0</x:v>
      </x:c>
      <x:c r="N390" s="10" t="n">
        <x:v>0</x:v>
      </x:c>
      <x:c r="O390" s="2" t="str">
        <x:v>other_unknown</x:v>
      </x:c>
      <x:c r="P390" s="10" t="n">
        <x:v>2</x:v>
      </x:c>
      <x:c r="Q390" s="13" t="n">
        <x:f>IF(H390="","",H390/1000000000)</x:f>
        <x:v>0.625</x:v>
      </x:c>
      <x:c r="R390" s="13" t="n">
        <x:f>IF(I390="","",I390/1000000)</x:f>
        <x:v>6.188118811881188</x:v>
      </x:c>
    </x:row>
    <x:row r="391" ht="21" customHeight="1">
      <x:c r="A391" s="10" t="n">
        <x:v>420</x:v>
      </x:c>
      <x:c r="B391" s="2" t="str">
        <x:v>936a485f8651bb926647</x:v>
      </x:c>
      <x:c r="C391" s="2" t="str">
        <x:v>Tp Hồ Chí Minh</x:v>
      </x:c>
      <x:c r="D391" s="2" t="str">
        <x:v>Quận 7</x:v>
      </x:c>
      <x:c r="E391" s="2" t="str">
        <x:v>other_unknown</x:v>
      </x:c>
      <x:c r="F391" s="2" t="str">
        <x:v>sale_assumed</x:v>
      </x:c>
      <x:c r="G391" s="11" t="n">
        <x:v>85</x:v>
      </x:c>
      <x:c r="H391" s="12" t="n">
        <x:v>5200000000</x:v>
      </x:c>
      <x:c r="I391" s="12" t="n">
        <x:v>61176470.5882353</x:v>
      </x:c>
      <x:c r="J391" s="2" t="str">
        <x:v>total</x:v>
      </x:c>
      <x:c r="K391" s="2" t="str">
        <x:v>top_level_area</x:v>
      </x:c>
      <x:c r="L391" s="2" t="str">
        <x:v>property_type_inferred_from_title;transaction_assumed_sale_from_dataset_context;unknown_property_type</x:v>
      </x:c>
      <x:c r="M391" s="10" t="n">
        <x:v>0</x:v>
      </x:c>
      <x:c r="N391" s="10" t="n">
        <x:v>0</x:v>
      </x:c>
      <x:c r="O391" s="2" t="str">
        <x:v>Tp Hồ Chí Minh|other_unknown</x:v>
      </x:c>
      <x:c r="P391" s="10" t="n">
        <x:v>2</x:v>
      </x:c>
      <x:c r="Q391" s="13" t="n">
        <x:f>IF(H391="","",H391/1000000000)</x:f>
        <x:v>5.2</x:v>
      </x:c>
      <x:c r="R391" s="13" t="n">
        <x:f>IF(I391="","",I391/1000000)</x:f>
        <x:v>61.1764705882353</x:v>
      </x:c>
    </x:row>
    <x:row r="392" ht="21" customHeight="1">
      <x:c r="A392" s="10" t="n">
        <x:v>421</x:v>
      </x:c>
      <x:c r="B392" s="2" t="str">
        <x:v>deae6fef433744462a91</x:v>
      </x:c>
      <x:c r="C392" s="2" t="str">
        <x:v>Bình Dương</x:v>
      </x:c>
      <x:c r="D392" s="2" t="str">
        <x:v>Thị xã Dĩ An</x:v>
      </x:c>
      <x:c r="E392" s="2" t="str">
        <x:v>house</x:v>
      </x:c>
      <x:c r="F392" s="2" t="str">
        <x:v>sale_assumed</x:v>
      </x:c>
      <x:c r="G392" s="11" t="n">
        <x:v>72</x:v>
      </x:c>
      <x:c r="H392" s="12" t="n">
        <x:v>5800000000</x:v>
      </x:c>
      <x:c r="I392" s="12" t="n">
        <x:v>80555555.55555555</x:v>
      </x:c>
      <x:c r="J392" s="2" t="str">
        <x:v>total</x:v>
      </x:c>
      <x:c r="K392" s="2" t="str">
        <x:v>top_level_area</x:v>
      </x:c>
      <x:c r="L392" s="2" t="str">
        <x:v>property_type_inferred_from_title;transaction_assumed_sale_from_dataset_context</x:v>
      </x:c>
      <x:c r="M392" s="10" t="n">
        <x:v>0</x:v>
      </x:c>
      <x:c r="N392" s="10" t="n">
        <x:v>1</x:v>
      </x:c>
      <x:c r="O392" s="2" t="str">
        <x:v>Bình Dương|house</x:v>
      </x:c>
      <x:c r="P392" s="10" t="n">
        <x:v>-1</x:v>
      </x:c>
      <x:c r="Q392" s="13" t="n">
        <x:f>IF(H392="","",H392/1000000000)</x:f>
        <x:v>5.8</x:v>
      </x:c>
      <x:c r="R392" s="13" t="n">
        <x:f>IF(I392="","",I392/1000000)</x:f>
        <x:v>80.55555555555556</x:v>
      </x:c>
    </x:row>
    <x:row r="393" ht="21" customHeight="1">
      <x:c r="A393" s="10" t="n">
        <x:v>422</x:v>
      </x:c>
      <x:c r="B393" s="2" t="str">
        <x:v>4ee8459ed088480146ad</x:v>
      </x:c>
      <x:c r="C393" s="2" t="str">
        <x:v>Đà Nẵng</x:v>
      </x:c>
      <x:c r="D393" s="2" t="str">
        <x:v>Quận Cẩm Lệ</x:v>
      </x:c>
      <x:c r="E393" s="2" t="str">
        <x:v>land</x:v>
      </x:c>
      <x:c r="F393" s="2" t="str">
        <x:v>sale_assumed</x:v>
      </x:c>
      <x:c r="G393" s="11" t="n">
        <x:v>110</x:v>
      </x:c>
      <x:c r="H393" s="12" t="n">
        <x:v>1870000000</x:v>
      </x:c>
      <x:c r="I393" s="12" t="n">
        <x:v>17000000</x:v>
      </x:c>
      <x:c r="J393" s="2" t="str">
        <x:v>total</x:v>
      </x:c>
      <x:c r="K393" s="2" t="str">
        <x:v>top_level_area</x:v>
      </x:c>
      <x:c r="L393" s="2" t="str">
        <x:v>property_type_inferred_from_title;transaction_assumed_sale_from_dataset_context</x:v>
      </x:c>
      <x:c r="M393" s="10" t="n">
        <x:v>0</x:v>
      </x:c>
      <x:c r="N393" s="10" t="n">
        <x:v>0</x:v>
      </x:c>
      <x:c r="O393" s="2" t="str">
        <x:v>Đà Nẵng|land</x:v>
      </x:c>
      <x:c r="P393" s="10" t="n">
        <x:v>2</x:v>
      </x:c>
      <x:c r="Q393" s="13" t="n">
        <x:f>IF(H393="","",H393/1000000000)</x:f>
        <x:v>1.87</x:v>
      </x:c>
      <x:c r="R393" s="13" t="n">
        <x:f>IF(I393="","",I393/1000000)</x:f>
        <x:v>17</x:v>
      </x:c>
    </x:row>
    <x:row r="394" ht="21" customHeight="1">
      <x:c r="A394" s="10" t="n">
        <x:v>423</x:v>
      </x:c>
      <x:c r="B394" s="2" t="str">
        <x:v>caf2d7b6d45fc1adad43</x:v>
      </x:c>
      <x:c r="C394" s="2" t="str">
        <x:v>Tp Hồ Chí Minh</x:v>
      </x:c>
      <x:c r="D394" s="2" t="str">
        <x:v>Quận 12</x:v>
      </x:c>
      <x:c r="E394" s="2" t="str">
        <x:v>house</x:v>
      </x:c>
      <x:c r="F394" s="2" t="str">
        <x:v>sale_assumed</x:v>
      </x:c>
      <x:c r="G394" s="11" t="n">
        <x:v>40</x:v>
      </x:c>
      <x:c r="H394" s="12" t="n">
        <x:v>3200000000</x:v>
      </x:c>
      <x:c r="I394" s="12" t="n">
        <x:v>80000000</x:v>
      </x:c>
      <x:c r="J394" s="2" t="str">
        <x:v>total</x:v>
      </x:c>
      <x:c r="K394" s="2" t="str">
        <x:v>top_level_area</x:v>
      </x:c>
      <x:c r="L394" s="2" t="str">
        <x:v>property_type_inferred_from_title;transaction_assumed_sale_from_dataset_context</x:v>
      </x:c>
      <x:c r="M394" s="10" t="n">
        <x:v>0</x:v>
      </x:c>
      <x:c r="N394" s="10" t="n">
        <x:v>0</x:v>
      </x:c>
      <x:c r="O394" s="2" t="str">
        <x:v>Tp Hồ Chí Minh|house</x:v>
      </x:c>
      <x:c r="P394" s="10" t="n">
        <x:v>2</x:v>
      </x:c>
      <x:c r="Q394" s="13" t="n">
        <x:f>IF(H394="","",H394/1000000000)</x:f>
        <x:v>3.2</x:v>
      </x:c>
      <x:c r="R394" s="13" t="n">
        <x:f>IF(I394="","",I394/1000000)</x:f>
        <x:v>80</x:v>
      </x:c>
    </x:row>
    <x:row r="395" ht="21" customHeight="1">
      <x:c r="A395" s="10" t="n">
        <x:v>424</x:v>
      </x:c>
      <x:c r="B395" s="2" t="str">
        <x:v>438e9a651cadccb68ac3</x:v>
      </x:c>
      <x:c r="C395" s="2" t="str">
        <x:v>Tp Hồ Chí Minh</x:v>
      </x:c>
      <x:c r="D395" s="2" t="str">
        <x:v>Quận 9</x:v>
      </x:c>
      <x:c r="E395" s="2" t="str">
        <x:v>house</x:v>
      </x:c>
      <x:c r="F395" s="2" t="str">
        <x:v>sale_assumed</x:v>
      </x:c>
      <x:c r="G395" s="11" t="n">
        <x:v>114</x:v>
      </x:c>
      <x:c r="H395" s="12" t="n">
        <x:v>1583000000</x:v>
      </x:c>
      <x:c r="I395" s="12" t="n">
        <x:v>13885964.912280701</x:v>
      </x:c>
      <x:c r="J395" s="2" t="str">
        <x:v>total</x:v>
      </x:c>
      <x:c r="K395" s="2" t="str">
        <x:v>top_level_area</x:v>
      </x:c>
      <x:c r="L395" s="2" t="str">
        <x:v>property_type_inferred_from_title;transaction_assumed_sale_from_dataset_context</x:v>
      </x:c>
      <x:c r="M395" s="10" t="n">
        <x:v>0</x:v>
      </x:c>
      <x:c r="N395" s="10" t="n">
        <x:v>0</x:v>
      </x:c>
      <x:c r="O395" s="2" t="str">
        <x:v>Tp Hồ Chí Minh|house</x:v>
      </x:c>
      <x:c r="P395" s="10" t="n">
        <x:v>2</x:v>
      </x:c>
      <x:c r="Q395" s="13" t="n">
        <x:f>IF(H395="","",H395/1000000000)</x:f>
        <x:v>1.583</x:v>
      </x:c>
      <x:c r="R395" s="13" t="n">
        <x:f>IF(I395="","",I395/1000000)</x:f>
        <x:v>13.8859649122807</x:v>
      </x:c>
    </x:row>
    <x:row r="396" ht="21" customHeight="1">
      <x:c r="A396" s="10" t="n">
        <x:v>425</x:v>
      </x:c>
      <x:c r="B396" s="2" t="str">
        <x:v>7794abd3a7ad3ded9426</x:v>
      </x:c>
      <x:c r="C396" s="2" t="str">
        <x:v>Tp Hồ Chí Minh</x:v>
      </x:c>
      <x:c r="D396" s="2" t="str">
        <x:v>Quận 9</x:v>
      </x:c>
      <x:c r="E396" s="2" t="str">
        <x:v>land</x:v>
      </x:c>
      <x:c r="F396" s="2" t="str">
        <x:v>sale</x:v>
      </x:c>
      <x:c r="G396" s="11" t="n">
        <x:v>51</x:v>
      </x:c>
      <x:c r="H396" s="12" t="n">
        <x:v>863000000</x:v>
      </x:c>
      <x:c r="I396" s="12" t="n">
        <x:v>16921568.62745098</x:v>
      </x:c>
      <x:c r="J396" s="2" t="str">
        <x:v>total</x:v>
      </x:c>
      <x:c r="K396" s="2" t="str">
        <x:v>top_level_area</x:v>
      </x:c>
      <x:c r="L396" s="2" t="str">
        <x:v>property_type_inferred_from_title</x:v>
      </x:c>
      <x:c r="M396" s="10" t="n">
        <x:v>0</x:v>
      </x:c>
      <x:c r="N396" s="10" t="n">
        <x:v>0</x:v>
      </x:c>
      <x:c r="O396" s="2" t="str">
        <x:v>Tp Hồ Chí Minh|land</x:v>
      </x:c>
      <x:c r="P396" s="10" t="n">
        <x:v>2</x:v>
      </x:c>
      <x:c r="Q396" s="13" t="n">
        <x:f>IF(H396="","",H396/1000000000)</x:f>
        <x:v>0.863</x:v>
      </x:c>
      <x:c r="R396" s="13" t="n">
        <x:f>IF(I396="","",I396/1000000)</x:f>
        <x:v>16.92156862745098</x:v>
      </x:c>
    </x:row>
    <x:row r="397" ht="21" customHeight="1">
      <x:c r="A397" s="10" t="n">
        <x:v>426</x:v>
      </x:c>
      <x:c r="B397" s="2" t="str">
        <x:v>5595cf43c3122ba93a0d</x:v>
      </x:c>
      <x:c r="C397" s="2" t="str">
        <x:v>Tp Hồ Chí Minh</x:v>
      </x:c>
      <x:c r="D397" s="2" t="str">
        <x:v>Quận 12</x:v>
      </x:c>
      <x:c r="E397" s="2" t="str">
        <x:v>house</x:v>
      </x:c>
      <x:c r="F397" s="2" t="str">
        <x:v>sale_with_rental_income</x:v>
      </x:c>
      <x:c r="G397" s="11" t="n">
        <x:v>48</x:v>
      </x:c>
      <x:c r="H397" s="12" t="n">
        <x:v>799000000</x:v>
      </x:c>
      <x:c r="I397" s="12" t="n">
        <x:v>16645833.333333334</x:v>
      </x:c>
      <x:c r="J397" s="2" t="str">
        <x:v>total</x:v>
      </x:c>
      <x:c r="K397" s="2" t="str">
        <x:v>top_level_area</x:v>
      </x:c>
      <x:c r="L397" s="2" t="str">
        <x:v>property_type_inferred_from_title;rental_income_mentioned</x:v>
      </x:c>
      <x:c r="M397" s="10" t="n">
        <x:v>0</x:v>
      </x:c>
      <x:c r="N397" s="10" t="n">
        <x:v>0</x:v>
      </x:c>
      <x:c r="O397" s="2" t="str">
        <x:v>Tp Hồ Chí Minh|house</x:v>
      </x:c>
      <x:c r="P397" s="10" t="n">
        <x:v>2</x:v>
      </x:c>
      <x:c r="Q397" s="13" t="n">
        <x:f>IF(H397="","",H397/1000000000)</x:f>
        <x:v>0.799</x:v>
      </x:c>
      <x:c r="R397" s="13" t="n">
        <x:f>IF(I397="","",I397/1000000)</x:f>
        <x:v>16.645833333333336</x:v>
      </x:c>
    </x:row>
    <x:row r="398" ht="21" customHeight="1">
      <x:c r="A398" s="10" t="n">
        <x:v>427</x:v>
      </x:c>
      <x:c r="B398" s="2" t="str">
        <x:v>751113e28bba13dc8341</x:v>
      </x:c>
      <x:c r="C398" s="2" t="str">
        <x:v>Tp Hồ Chí Minh</x:v>
      </x:c>
      <x:c r="D398" s="2" t="str">
        <x:v>Quận 9</x:v>
      </x:c>
      <x:c r="E398" s="2" t="str">
        <x:v>other_unknown</x:v>
      </x:c>
      <x:c r="F398" s="2" t="str">
        <x:v>sale_assumed</x:v>
      </x:c>
      <x:c r="G398" s="11" t="n">
        <x:v>2800</x:v>
      </x:c>
      <x:c r="H398" s="12" t="n">
        <x:v>65000000000</x:v>
      </x:c>
      <x:c r="I398" s="12" t="n">
        <x:v>23214285.714285713</x:v>
      </x:c>
      <x:c r="J398" s="2" t="str">
        <x:v>total</x:v>
      </x:c>
      <x:c r="K398" s="2" t="str">
        <x:v>top_level_area</x:v>
      </x:c>
      <x:c r="L398" s="2" t="str">
        <x:v>dot_thousands_convention;property_type_inferred_from_title;transaction_assumed_sale_from_dataset_context;unknown_property_type</x:v>
      </x:c>
      <x:c r="M398" s="10" t="n">
        <x:v>0</x:v>
      </x:c>
      <x:c r="N398" s="10" t="n">
        <x:v>0</x:v>
      </x:c>
      <x:c r="O398" s="2" t="str">
        <x:v>Tp Hồ Chí Minh|other_unknown</x:v>
      </x:c>
      <x:c r="P398" s="10" t="n">
        <x:v>1</x:v>
      </x:c>
      <x:c r="Q398" s="13" t="n">
        <x:f>IF(H398="","",H398/1000000000)</x:f>
        <x:v>65</x:v>
      </x:c>
      <x:c r="R398" s="13" t="n">
        <x:f>IF(I398="","",I398/1000000)</x:f>
        <x:v>23.21428571428571</x:v>
      </x:c>
    </x:row>
    <x:row r="399" ht="21" customHeight="1">
      <x:c r="A399" s="10" t="n">
        <x:v>428</x:v>
      </x:c>
      <x:c r="B399" s="2" t="str">
        <x:v>289810ac136a1edfcfd9</x:v>
      </x:c>
      <x:c r="C399" s="2" t="str">
        <x:v>Bình Dương</x:v>
      </x:c>
      <x:c r="D399" s="2" t="str">
        <x:v>Thị xã Bến Cát</x:v>
      </x:c>
      <x:c r="E399" s="2" t="str">
        <x:v>land</x:v>
      </x:c>
      <x:c r="F399" s="2" t="str">
        <x:v>sale</x:v>
      </x:c>
      <x:c r="G399" s="11" t="n">
        <x:v>100</x:v>
      </x:c>
      <x:c r="H399" s="12" t="n">
        <x:v>1400000000</x:v>
      </x:c>
      <x:c r="I399" s="12" t="n">
        <x:v>14000000</x:v>
      </x:c>
      <x:c r="J399" s="2" t="str">
        <x:v>total</x:v>
      </x:c>
      <x:c r="K399" s="2" t="str">
        <x:v>top_level_area</x:v>
      </x:c>
      <x:c r="L399" s="2" t="str">
        <x:v>property_type_inferred_from_title</x:v>
      </x:c>
      <x:c r="M399" s="10" t="n">
        <x:v>0</x:v>
      </x:c>
      <x:c r="N399" s="10" t="n">
        <x:v>0</x:v>
      </x:c>
      <x:c r="O399" s="2" t="str">
        <x:v>Bình Dương|land</x:v>
      </x:c>
      <x:c r="P399" s="10" t="n">
        <x:v>2</x:v>
      </x:c>
      <x:c r="Q399" s="13" t="n">
        <x:f>IF(H399="","",H399/1000000000)</x:f>
        <x:v>1.4</x:v>
      </x:c>
      <x:c r="R399" s="13" t="n">
        <x:f>IF(I399="","",I399/1000000)</x:f>
        <x:v>14</x:v>
      </x:c>
    </x:row>
    <x:row r="400" ht="21" customHeight="1">
      <x:c r="A400" s="10" t="n">
        <x:v>429</x:v>
      </x:c>
      <x:c r="B400" s="2" t="str">
        <x:v>52018cdf3aa161d41eb2</x:v>
      </x:c>
      <x:c r="C400" s="2" t="str">
        <x:v>Tp Hồ Chí Minh</x:v>
      </x:c>
      <x:c r="D400" s="2" t="str">
        <x:v>Quận Gò Vấp</x:v>
      </x:c>
      <x:c r="E400" s="2" t="str">
        <x:v>house</x:v>
      </x:c>
      <x:c r="F400" s="2" t="str">
        <x:v>sale</x:v>
      </x:c>
      <x:c r="G400" s="11" t="n">
        <x:v>36</x:v>
      </x:c>
      <x:c r="H400" s="12" t="n">
        <x:v>3480000000</x:v>
      </x:c>
      <x:c r="I400" s="12" t="n">
        <x:v>96666666.66666667</x:v>
      </x:c>
      <x:c r="J400" s="2" t="str">
        <x:v>total</x:v>
      </x:c>
      <x:c r="K400" s="2" t="str">
        <x:v>top_level_area</x:v>
      </x:c>
      <x:c r="L400" s="2" t="str">
        <x:v>property_type_inferred_from_title</x:v>
      </x:c>
      <x:c r="M400" s="10" t="n">
        <x:v>0</x:v>
      </x:c>
      <x:c r="N400" s="10" t="n">
        <x:v>0</x:v>
      </x:c>
      <x:c r="O400" s="2" t="str">
        <x:v>Tp Hồ Chí Minh|house</x:v>
      </x:c>
      <x:c r="P400" s="10" t="n">
        <x:v>2</x:v>
      </x:c>
      <x:c r="Q400" s="13" t="n">
        <x:f>IF(H400="","",H400/1000000000)</x:f>
        <x:v>3.48</x:v>
      </x:c>
      <x:c r="R400" s="13" t="n">
        <x:f>IF(I400="","",I400/1000000)</x:f>
        <x:v>96.66666666666667</x:v>
      </x:c>
    </x:row>
    <x:row r="401" ht="21" customHeight="1">
      <x:c r="A401" s="10" t="n">
        <x:v>430</x:v>
      </x:c>
      <x:c r="B401" s="2" t="str">
        <x:v>b69722bdf3b0e8f4db3f</x:v>
      </x:c>
      <x:c r="C401" s="2" t="str">
        <x:v>Cần Thơ</x:v>
      </x:c>
      <x:c r="D401" s="2" t="str">
        <x:v>Quận Ninh Kiều</x:v>
      </x:c>
      <x:c r="E401" s="2" t="str">
        <x:v>house</x:v>
      </x:c>
      <x:c r="F401" s="2" t="str">
        <x:v>sale</x:v>
      </x:c>
      <x:c r="G401" s="11" t="n">
        <x:v>97</x:v>
      </x:c>
      <x:c r="H401" s="12" t="n">
        <x:v>9990000000</x:v>
      </x:c>
      <x:c r="I401" s="12" t="n">
        <x:v>102989690.72164948</x:v>
      </x:c>
      <x:c r="J401" s="2" t="str">
        <x:v>total</x:v>
      </x:c>
      <x:c r="K401" s="2" t="str">
        <x:v>top_level_area</x:v>
      </x:c>
      <x:c r="L401" s="2" t="str">
        <x:v>property_type_inferred_from_title</x:v>
      </x:c>
      <x:c r="M401" s="10" t="n">
        <x:v>0</x:v>
      </x:c>
      <x:c r="N401" s="10" t="n">
        <x:v>0</x:v>
      </x:c>
      <x:c r="O401" s="2" t="str">
        <x:v>Cần Thơ|house</x:v>
      </x:c>
      <x:c r="P401" s="10" t="n">
        <x:v>2</x:v>
      </x:c>
      <x:c r="Q401" s="13" t="n">
        <x:f>IF(H401="","",H401/1000000000)</x:f>
        <x:v>9.99</x:v>
      </x:c>
      <x:c r="R401" s="13" t="n">
        <x:f>IF(I401="","",I401/1000000)</x:f>
        <x:v>102.98969072164948</x:v>
      </x:c>
    </x:row>
    <x:row r="402" ht="21" customHeight="1">
      <x:c r="A402" s="10" t="n">
        <x:v>431</x:v>
      </x:c>
      <x:c r="B402" s="2" t="str">
        <x:v>9f689620762ef2583155</x:v>
      </x:c>
      <x:c r="C402" s="2" t="str">
        <x:v>Tp Hồ Chí Minh</x:v>
      </x:c>
      <x:c r="D402" s="2" t="str">
        <x:v>Huyện Nhà Bè</x:v>
      </x:c>
      <x:c r="E402" s="2" t="str">
        <x:v>house</x:v>
      </x:c>
      <x:c r="F402" s="2" t="str">
        <x:v>sale</x:v>
      </x:c>
      <x:c r="G402" s="11" t="n">
        <x:v>56</x:v>
      </x:c>
      <x:c r="H402" s="12" t="n">
        <x:v>4500000000</x:v>
      </x:c>
      <x:c r="I402" s="12" t="n">
        <x:v>80357142.85714285</x:v>
      </x:c>
      <x:c r="J402" s="2" t="str">
        <x:v>total</x:v>
      </x:c>
      <x:c r="K402" s="2" t="str">
        <x:v>top_level_area</x:v>
      </x:c>
      <x:c r="L402" s="2" t="str">
        <x:v>property_type_inferred_from_title</x:v>
      </x:c>
      <x:c r="M402" s="10" t="n">
        <x:v>0</x:v>
      </x:c>
      <x:c r="N402" s="10" t="n">
        <x:v>0</x:v>
      </x:c>
      <x:c r="O402" s="2" t="str">
        <x:v>Tp Hồ Chí Minh|house</x:v>
      </x:c>
      <x:c r="P402" s="10" t="n">
        <x:v>2</x:v>
      </x:c>
      <x:c r="Q402" s="13" t="n">
        <x:f>IF(H402="","",H402/1000000000)</x:f>
        <x:v>4.5</x:v>
      </x:c>
      <x:c r="R402" s="13" t="n">
        <x:f>IF(I402="","",I402/1000000)</x:f>
        <x:v>80.35714285714285</x:v>
      </x:c>
    </x:row>
    <x:row r="403" ht="21" customHeight="1">
      <x:c r="A403" s="10" t="n">
        <x:v>432</x:v>
      </x:c>
      <x:c r="B403" s="2" t="str">
        <x:v>492c3359e5251d29864e</x:v>
      </x:c>
      <x:c r="C403" s="2" t="str">
        <x:v>Tp Hồ Chí Minh</x:v>
      </x:c>
      <x:c r="D403" s="2" t="str">
        <x:v>Quận Tân Bình</x:v>
      </x:c>
      <x:c r="E403" s="2" t="str">
        <x:v>house</x:v>
      </x:c>
      <x:c r="F403" s="2" t="str">
        <x:v>sale</x:v>
      </x:c>
      <x:c r="G403" s="11" t="n">
        <x:v>100</x:v>
      </x:c>
      <x:c r="H403" s="12" t="n">
        <x:v>1200000000</x:v>
      </x:c>
      <x:c r="I403" s="12" t="n">
        <x:v>12000000</x:v>
      </x:c>
      <x:c r="J403" s="2" t="str">
        <x:v>total</x:v>
      </x:c>
      <x:c r="K403" s="2" t="str">
        <x:v>top_level_area</x:v>
      </x:c>
      <x:c r="L403" s="2" t="str">
        <x:v>property_type_inferred_from_title</x:v>
      </x:c>
      <x:c r="M403" s="10" t="n">
        <x:v>0</x:v>
      </x:c>
      <x:c r="N403" s="10" t="n">
        <x:v>0</x:v>
      </x:c>
      <x:c r="O403" s="2" t="str">
        <x:v>Tp Hồ Chí Minh|house</x:v>
      </x:c>
      <x:c r="P403" s="10" t="n">
        <x:v>2</x:v>
      </x:c>
      <x:c r="Q403" s="13" t="n">
        <x:f>IF(H403="","",H403/1000000000)</x:f>
        <x:v>1.2</x:v>
      </x:c>
      <x:c r="R403" s="13" t="n">
        <x:f>IF(I403="","",I403/1000000)</x:f>
        <x:v>12</x:v>
      </x:c>
    </x:row>
    <x:row r="404" ht="21" customHeight="1">
      <x:c r="A404" s="10" t="n">
        <x:v>433</x:v>
      </x:c>
      <x:c r="B404" s="2" t="str">
        <x:v>d1b90a7bd5173d403254</x:v>
      </x:c>
      <x:c r="C404" s="2" t="str">
        <x:v>Tp Hồ Chí Minh</x:v>
      </x:c>
      <x:c r="D404" s="2" t="str">
        <x:v>Quận Bình Tân</x:v>
      </x:c>
      <x:c r="E404" s="2" t="str">
        <x:v>apartment</x:v>
      </x:c>
      <x:c r="F404" s="2" t="str">
        <x:v>sale_assumed</x:v>
      </x:c>
      <x:c r="G404" s="11" t="n">
        <x:v>62</x:v>
      </x:c>
      <x:c r="H404" s="12" t="n">
        <x:v>1100000000</x:v>
      </x:c>
      <x:c r="I404" s="12" t="n">
        <x:v>17741935.48387097</x:v>
      </x:c>
      <x:c r="J404" s="2" t="str">
        <x:v>total</x:v>
      </x:c>
      <x:c r="K404" s="2" t="str">
        <x:v>top_level_area</x:v>
      </x:c>
      <x:c r="L404" s="2" t="str">
        <x:v>property_type_inferred_from_title;transaction_assumed_sale_from_dataset_context</x:v>
      </x:c>
      <x:c r="M404" s="10" t="n">
        <x:v>0</x:v>
      </x:c>
      <x:c r="N404" s="10" t="n">
        <x:v>0</x:v>
      </x:c>
      <x:c r="O404" s="2" t="str">
        <x:v>Tp Hồ Chí Minh|apartment</x:v>
      </x:c>
      <x:c r="P404" s="10" t="n">
        <x:v>2</x:v>
      </x:c>
      <x:c r="Q404" s="13" t="n">
        <x:f>IF(H404="","",H404/1000000000)</x:f>
        <x:v>1.1</x:v>
      </x:c>
      <x:c r="R404" s="13" t="n">
        <x:f>IF(I404="","",I404/1000000)</x:f>
        <x:v>17.741935483870968</x:v>
      </x:c>
    </x:row>
    <x:row r="405" ht="21" customHeight="1">
      <x:c r="A405" s="10" t="n">
        <x:v>434</x:v>
      </x:c>
      <x:c r="B405" s="2" t="str">
        <x:v>961bc0791b1db96f2283</x:v>
      </x:c>
      <x:c r="C405" s="2" t="str">
        <x:v>Hà Nội</x:v>
      </x:c>
      <x:c r="D405" s="2" t="str">
        <x:v>Quận Nam Từ Liêm</x:v>
      </x:c>
      <x:c r="E405" s="2" t="str">
        <x:v>house</x:v>
      </x:c>
      <x:c r="F405" s="2" t="str">
        <x:v>sale_assumed</x:v>
      </x:c>
      <x:c r="G405" s="11" t="n">
        <x:v>34</x:v>
      </x:c>
      <x:c r="H405" s="12" t="n">
        <x:v>2300000000</x:v>
      </x:c>
      <x:c r="I405" s="12" t="n">
        <x:v>67647058.8235294</x:v>
      </x:c>
      <x:c r="J405" s="2" t="str">
        <x:v>total</x:v>
      </x:c>
      <x:c r="K405" s="2" t="str">
        <x:v>top_level_area</x:v>
      </x:c>
      <x:c r="L405" s="2" t="str">
        <x:v>property_type_inferred_from_title;transaction_assumed_sale_from_dataset_context</x:v>
      </x:c>
      <x:c r="M405" s="10" t="n">
        <x:v>0</x:v>
      </x:c>
      <x:c r="N405" s="10" t="n">
        <x:v>0</x:v>
      </x:c>
      <x:c r="O405" s="2" t="str">
        <x:v>Hà Nội|house</x:v>
      </x:c>
      <x:c r="P405" s="10" t="n">
        <x:v>2</x:v>
      </x:c>
      <x:c r="Q405" s="13" t="n">
        <x:f>IF(H405="","",H405/1000000000)</x:f>
        <x:v>2.3</x:v>
      </x:c>
      <x:c r="R405" s="13" t="n">
        <x:f>IF(I405="","",I405/1000000)</x:f>
        <x:v>67.6470588235294</x:v>
      </x:c>
    </x:row>
    <x:row r="406" ht="21" customHeight="1">
      <x:c r="A406" s="10" t="n">
        <x:v>435</x:v>
      </x:c>
      <x:c r="B406" s="2" t="str">
        <x:v>c5206b36f536da4e54ae</x:v>
      </x:c>
      <x:c r="C406" s="2" t="str">
        <x:v>Tp Hồ Chí Minh</x:v>
      </x:c>
      <x:c r="D406" s="2" t="str">
        <x:v>Quận 10</x:v>
      </x:c>
      <x:c r="E406" s="2" t="str">
        <x:v>other_unknown</x:v>
      </x:c>
      <x:c r="F406" s="2" t="str">
        <x:v>sale_assumed</x:v>
      </x:c>
      <x:c r="G406" s="11" t="n">
        <x:v>86</x:v>
      </x:c>
      <x:c r="H406" s="12" t="n">
        <x:v>5700000000</x:v>
      </x:c>
      <x:c r="I406" s="12" t="n">
        <x:v>66279069.76744186</x:v>
      </x:c>
      <x:c r="J406" s="2" t="str">
        <x:v>total</x:v>
      </x:c>
      <x:c r="K406" s="2" t="str">
        <x:v>top_level_area</x:v>
      </x:c>
      <x:c r="L406" s="2" t="str">
        <x:v>property_type_inferred_from_title;transaction_assumed_sale_from_dataset_context;unknown_property_type</x:v>
      </x:c>
      <x:c r="M406" s="10" t="n">
        <x:v>0</x:v>
      </x:c>
      <x:c r="N406" s="10" t="n">
        <x:v>0</x:v>
      </x:c>
      <x:c r="O406" s="2" t="str">
        <x:v>Tp Hồ Chí Minh|other_unknown</x:v>
      </x:c>
      <x:c r="P406" s="10" t="n">
        <x:v>2</x:v>
      </x:c>
      <x:c r="Q406" s="13" t="n">
        <x:f>IF(H406="","",H406/1000000000)</x:f>
        <x:v>5.7</x:v>
      </x:c>
      <x:c r="R406" s="13" t="n">
        <x:f>IF(I406="","",I406/1000000)</x:f>
        <x:v>66.27906976744187</x:v>
      </x:c>
    </x:row>
    <x:row r="407" ht="21" customHeight="1">
      <x:c r="A407" s="10" t="n">
        <x:v>436</x:v>
      </x:c>
      <x:c r="B407" s="2" t="str">
        <x:v>ba1de3e8fd05bd7e658d</x:v>
      </x:c>
      <x:c r="C407" s="2" t="str">
        <x:v>Cần Thơ</x:v>
      </x:c>
      <x:c r="D407" s="2" t="str">
        <x:v>Quận Bình Thuỷ</x:v>
      </x:c>
      <x:c r="E407" s="2" t="str">
        <x:v>other_unknown</x:v>
      </x:c>
      <x:c r="F407" s="2" t="str">
        <x:v>sale</x:v>
      </x:c>
      <x:c r="G407" s="11" t="n">
        <x:v>90</x:v>
      </x:c>
      <x:c r="H407" s="12" t="n">
        <x:v>1600000000</x:v>
      </x:c>
      <x:c r="I407" s="12" t="n">
        <x:v>17777777.777777776</x:v>
      </x:c>
      <x:c r="J407" s="2" t="str">
        <x:v>total</x:v>
      </x:c>
      <x:c r="K407" s="2" t="str">
        <x:v>top_level_area</x:v>
      </x:c>
      <x:c r="L407" s="2" t="str">
        <x:v>property_type_inferred_from_title;unknown_property_type</x:v>
      </x:c>
      <x:c r="M407" s="10" t="n">
        <x:v>0</x:v>
      </x:c>
      <x:c r="N407" s="10" t="n">
        <x:v>0</x:v>
      </x:c>
      <x:c r="O407" s="2" t="str">
        <x:v>other_unknown</x:v>
      </x:c>
      <x:c r="P407" s="10" t="n">
        <x:v>2</x:v>
      </x:c>
      <x:c r="Q407" s="13" t="n">
        <x:f>IF(H407="","",H407/1000000000)</x:f>
        <x:v>1.6</x:v>
      </x:c>
      <x:c r="R407" s="13" t="n">
        <x:f>IF(I407="","",I407/1000000)</x:f>
        <x:v>17.777777777777775</x:v>
      </x:c>
    </x:row>
    <x:row r="408" ht="21" customHeight="1">
      <x:c r="A408" s="10" t="n">
        <x:v>437</x:v>
      </x:c>
      <x:c r="B408" s="2" t="str">
        <x:v>10f3d664730c06e189c4</x:v>
      </x:c>
      <x:c r="C408" s="2" t="str">
        <x:v>Bình Dương</x:v>
      </x:c>
      <x:c r="D408" s="2" t="str">
        <x:v>Thị xã Bến Cát</x:v>
      </x:c>
      <x:c r="E408" s="2" t="str">
        <x:v>house</x:v>
      </x:c>
      <x:c r="F408" s="2" t="str">
        <x:v>sale_assumed</x:v>
      </x:c>
      <x:c r="G408" s="11" t="n">
        <x:v>150</x:v>
      </x:c>
      <x:c r="H408" s="12" t="n">
        <x:v>1950000000</x:v>
      </x:c>
      <x:c r="I408" s="12" t="n">
        <x:v>13000000</x:v>
      </x:c>
      <x:c r="J408" s="2" t="str">
        <x:v>total</x:v>
      </x:c>
      <x:c r="K408" s="2" t="str">
        <x:v>top_level_price_embedded_area</x:v>
      </x:c>
      <x:c r="L408" s="2" t="str">
        <x:v>area_recovered_from_price_text;property_type_inferred_from_title;transaction_assumed_sale_from_dataset_context</x:v>
      </x:c>
      <x:c r="M408" s="10" t="n">
        <x:v>0</x:v>
      </x:c>
      <x:c r="N408" s="10" t="n">
        <x:v>0</x:v>
      </x:c>
      <x:c r="O408" s="2" t="str">
        <x:v>Bình Dương|house</x:v>
      </x:c>
      <x:c r="P408" s="10" t="n">
        <x:v>2</x:v>
      </x:c>
      <x:c r="Q408" s="13" t="n">
        <x:f>IF(H408="","",H408/1000000000)</x:f>
        <x:v>1.95</x:v>
      </x:c>
      <x:c r="R408" s="13" t="n">
        <x:f>IF(I408="","",I408/1000000)</x:f>
        <x:v>13</x:v>
      </x:c>
    </x:row>
    <x:row r="409" ht="21" customHeight="1">
      <x:c r="A409" s="10" t="n">
        <x:v>438</x:v>
      </x:c>
      <x:c r="B409" s="2" t="str">
        <x:v>ca797b9f078fd8b9d0ab</x:v>
      </x:c>
      <x:c r="C409" s="2" t="str">
        <x:v>Cần Thơ</x:v>
      </x:c>
      <x:c r="D409" s="2" t="str">
        <x:v>Quận Ninh Kiều</x:v>
      </x:c>
      <x:c r="E409" s="2" t="str">
        <x:v>house</x:v>
      </x:c>
      <x:c r="F409" s="2" t="str">
        <x:v>sale</x:v>
      </x:c>
      <x:c r="G409" s="11" t="n">
        <x:v>36</x:v>
      </x:c>
      <x:c r="H409" s="12" t="n">
        <x:v>2200000000</x:v>
      </x:c>
      <x:c r="I409" s="12" t="n">
        <x:v>61111111.11111111</x:v>
      </x:c>
      <x:c r="J409" s="2" t="str">
        <x:v>total</x:v>
      </x:c>
      <x:c r="K409" s="2" t="str">
        <x:v>top_level_area</x:v>
      </x:c>
      <x:c r="L409" s="2" t="str">
        <x:v>property_type_inferred_from_title</x:v>
      </x:c>
      <x:c r="M409" s="10" t="n">
        <x:v>0</x:v>
      </x:c>
      <x:c r="N409" s="10" t="n">
        <x:v>0</x:v>
      </x:c>
      <x:c r="O409" s="2" t="str">
        <x:v>Cần Thơ|house</x:v>
      </x:c>
      <x:c r="P409" s="10" t="n">
        <x:v>2</x:v>
      </x:c>
      <x:c r="Q409" s="13" t="n">
        <x:f>IF(H409="","",H409/1000000000)</x:f>
        <x:v>2.2</x:v>
      </x:c>
      <x:c r="R409" s="13" t="n">
        <x:f>IF(I409="","",I409/1000000)</x:f>
        <x:v>61.111111111111114</x:v>
      </x:c>
    </x:row>
    <x:row r="410" ht="21" customHeight="1">
      <x:c r="A410" s="10" t="n">
        <x:v>439</x:v>
      </x:c>
      <x:c r="B410" s="2" t="str">
        <x:v>76d6678f3e4fb4429886</x:v>
      </x:c>
      <x:c r="C410" s="2" t="str">
        <x:v>Đà Nẵng</x:v>
      </x:c>
      <x:c r="D410" s="2" t="str">
        <x:v>Quận Cẩm Lệ</x:v>
      </x:c>
      <x:c r="E410" s="2" t="str">
        <x:v>land</x:v>
      </x:c>
      <x:c r="F410" s="2" t="str">
        <x:v>sale</x:v>
      </x:c>
      <x:c r="G410" s="11" t="n">
        <x:v>100</x:v>
      </x:c>
      <x:c r="H410" s="12" t="n">
        <x:v>2370000000</x:v>
      </x:c>
      <x:c r="I410" s="12" t="n">
        <x:v>23700000</x:v>
      </x:c>
      <x:c r="J410" s="2" t="str">
        <x:v>total</x:v>
      </x:c>
      <x:c r="K410" s="2" t="str">
        <x:v>top_level_area</x:v>
      </x:c>
      <x:c r="L410" s="2" t="str">
        <x:v>property_type_inferred_from_title</x:v>
      </x:c>
      <x:c r="M410" s="10" t="n">
        <x:v>0</x:v>
      </x:c>
      <x:c r="N410" s="10" t="n">
        <x:v>0</x:v>
      </x:c>
      <x:c r="O410" s="2" t="str">
        <x:v>Đà Nẵng|land</x:v>
      </x:c>
      <x:c r="P410" s="10" t="n">
        <x:v>2</x:v>
      </x:c>
      <x:c r="Q410" s="13" t="n">
        <x:f>IF(H410="","",H410/1000000000)</x:f>
        <x:v>2.37</x:v>
      </x:c>
      <x:c r="R410" s="13" t="n">
        <x:f>IF(I410="","",I410/1000000)</x:f>
        <x:v>23.7</x:v>
      </x:c>
    </x:row>
    <x:row r="411" ht="21" customHeight="1">
      <x:c r="A411" s="10" t="n">
        <x:v>440</x:v>
      </x:c>
      <x:c r="B411" s="2" t="str">
        <x:v>84c61783701eaaee5a11</x:v>
      </x:c>
      <x:c r="C411" s="2" t="str">
        <x:v>Tp Hồ Chí Minh</x:v>
      </x:c>
      <x:c r="D411" s="2" t="str">
        <x:v>Quận Bình Thạnh</x:v>
      </x:c>
      <x:c r="E411" s="2" t="str">
        <x:v>house</x:v>
      </x:c>
      <x:c r="F411" s="2" t="str">
        <x:v>sale_assumed</x:v>
      </x:c>
      <x:c r="G411" s="11" t="n">
        <x:v>200</x:v>
      </x:c>
      <x:c r="H411" s="12" t="n">
        <x:v>18000000000</x:v>
      </x:c>
      <x:c r="I411" s="12" t="n">
        <x:v>90000000</x:v>
      </x:c>
      <x:c r="J411" s="2" t="str">
        <x:v>total</x:v>
      </x:c>
      <x:c r="K411" s="2" t="str">
        <x:v>top_level_area</x:v>
      </x:c>
      <x:c r="L411" s="2" t="str">
        <x:v>property_type_inferred_from_title;transaction_assumed_sale_from_dataset_context</x:v>
      </x:c>
      <x:c r="M411" s="10" t="n">
        <x:v>0</x:v>
      </x:c>
      <x:c r="N411" s="10" t="n">
        <x:v>0</x:v>
      </x:c>
      <x:c r="O411" s="2" t="str">
        <x:v>Tp Hồ Chí Minh|house</x:v>
      </x:c>
      <x:c r="P411" s="10" t="n">
        <x:v>2</x:v>
      </x:c>
      <x:c r="Q411" s="13" t="n">
        <x:f>IF(H411="","",H411/1000000000)</x:f>
        <x:v>18</x:v>
      </x:c>
      <x:c r="R411" s="13" t="n">
        <x:f>IF(I411="","",I411/1000000)</x:f>
        <x:v>90</x:v>
      </x:c>
    </x:row>
    <x:row r="412" ht="21" customHeight="1">
      <x:c r="A412" s="10" t="n">
        <x:v>441</x:v>
      </x:c>
      <x:c r="B412" s="2" t="str">
        <x:v>2145f5d4cec2118fb7f1</x:v>
      </x:c>
      <x:c r="C412" s="2" t="str">
        <x:v>Tp Hồ Chí Minh</x:v>
      </x:c>
      <x:c r="D412" s="2" t="str">
        <x:v>Quận Gò Vấp</x:v>
      </x:c>
      <x:c r="E412" s="2" t="str">
        <x:v>house</x:v>
      </x:c>
      <x:c r="F412" s="2" t="str">
        <x:v>sale</x:v>
      </x:c>
      <x:c r="G412" s="11" t="n">
        <x:v>54.8</x:v>
      </x:c>
      <x:c r="H412" s="12" t="n">
        <x:v>8600000000</x:v>
      </x:c>
      <x:c r="I412" s="12" t="n">
        <x:v>156934306.56934306</x:v>
      </x:c>
      <x:c r="J412" s="2" t="str">
        <x:v>total</x:v>
      </x:c>
      <x:c r="K412" s="2" t="str">
        <x:v>top_level_area</x:v>
      </x:c>
      <x:c r="L412" s="2" t="str">
        <x:v>property_type_inferred_from_title</x:v>
      </x:c>
      <x:c r="M412" s="10" t="n">
        <x:v>0</x:v>
      </x:c>
      <x:c r="N412" s="10" t="n">
        <x:v>0</x:v>
      </x:c>
      <x:c r="O412" s="2" t="str">
        <x:v>Tp Hồ Chí Minh|house</x:v>
      </x:c>
      <x:c r="P412" s="10" t="n">
        <x:v>2</x:v>
      </x:c>
      <x:c r="Q412" s="13" t="n">
        <x:f>IF(H412="","",H412/1000000000)</x:f>
        <x:v>8.6</x:v>
      </x:c>
      <x:c r="R412" s="13" t="n">
        <x:f>IF(I412="","",I412/1000000)</x:f>
        <x:v>156.93430656934305</x:v>
      </x:c>
    </x:row>
    <x:row r="413" ht="21" customHeight="1">
      <x:c r="A413" s="10" t="n">
        <x:v>442</x:v>
      </x:c>
      <x:c r="B413" s="2" t="str">
        <x:v>764cb47795a2afb5bb0e</x:v>
      </x:c>
      <x:c r="C413" s="2" t="str">
        <x:v>Tp Hồ Chí Minh</x:v>
      </x:c>
      <x:c r="D413" s="2" t="str">
        <x:v>Quận Tân Phú</x:v>
      </x:c>
      <x:c r="E413" s="2" t="str">
        <x:v>other_unknown</x:v>
      </x:c>
      <x:c r="F413" s="2" t="str">
        <x:v>sale_assumed</x:v>
      </x:c>
      <x:c r="G413" s="11" t="n">
        <x:v>36</x:v>
      </x:c>
      <x:c r="H413" s="12" t="n">
        <x:v>5000000000</x:v>
      </x:c>
      <x:c r="I413" s="12" t="n">
        <x:v>138888888.8888889</x:v>
      </x:c>
      <x:c r="J413" s="2" t="str">
        <x:v>total</x:v>
      </x:c>
      <x:c r="K413" s="2" t="str">
        <x:v>top_level_area</x:v>
      </x:c>
      <x:c r="L413" s="2" t="str">
        <x:v>property_type_inferred_from_title;transaction_assumed_sale_from_dataset_context;unknown_property_type</x:v>
      </x:c>
      <x:c r="M413" s="10" t="n">
        <x:v>0</x:v>
      </x:c>
      <x:c r="N413" s="10" t="n">
        <x:v>0</x:v>
      </x:c>
      <x:c r="O413" s="2" t="str">
        <x:v>Tp Hồ Chí Minh|other_unknown</x:v>
      </x:c>
      <x:c r="P413" s="10" t="n">
        <x:v>2</x:v>
      </x:c>
      <x:c r="Q413" s="13" t="n">
        <x:f>IF(H413="","",H413/1000000000)</x:f>
        <x:v>5</x:v>
      </x:c>
      <x:c r="R413" s="13" t="n">
        <x:f>IF(I413="","",I413/1000000)</x:f>
        <x:v>138.88888888888889</x:v>
      </x:c>
    </x:row>
    <x:row r="414" ht="21" customHeight="1">
      <x:c r="A414" s="10" t="n">
        <x:v>443</x:v>
      </x:c>
      <x:c r="B414" s="2" t="str">
        <x:v>cf5b03039bdae231b41f</x:v>
      </x:c>
      <x:c r="C414" s="2" t="str">
        <x:v>Tp Hồ Chí Minh</x:v>
      </x:c>
      <x:c r="D414" s="2" t="str">
        <x:v>Quận Gò Vấp</x:v>
      </x:c>
      <x:c r="E414" s="2" t="str">
        <x:v>house</x:v>
      </x:c>
      <x:c r="F414" s="2" t="str">
        <x:v>sale_assumed</x:v>
      </x:c>
      <x:c r="G414" s="11" t="n">
        <x:v>36</x:v>
      </x:c>
      <x:c r="H414" s="12" t="n">
        <x:v>1980000000</x:v>
      </x:c>
      <x:c r="I414" s="12" t="n">
        <x:v>55000000</x:v>
      </x:c>
      <x:c r="J414" s="2" t="str">
        <x:v>total</x:v>
      </x:c>
      <x:c r="K414" s="2" t="str">
        <x:v>top_level_area</x:v>
      </x:c>
      <x:c r="L414" s="2" t="str">
        <x:v>property_type_inferred_from_title;transaction_assumed_sale_from_dataset_context</x:v>
      </x:c>
      <x:c r="M414" s="10" t="n">
        <x:v>0</x:v>
      </x:c>
      <x:c r="N414" s="10" t="n">
        <x:v>0</x:v>
      </x:c>
      <x:c r="O414" s="2" t="str">
        <x:v>Tp Hồ Chí Minh|house</x:v>
      </x:c>
      <x:c r="P414" s="10" t="n">
        <x:v>2</x:v>
      </x:c>
      <x:c r="Q414" s="13" t="n">
        <x:f>IF(H414="","",H414/1000000000)</x:f>
        <x:v>1.98</x:v>
      </x:c>
      <x:c r="R414" s="13" t="n">
        <x:f>IF(I414="","",I414/1000000)</x:f>
        <x:v>55</x:v>
      </x:c>
    </x:row>
    <x:row r="415" ht="21" customHeight="1">
      <x:c r="A415" s="10" t="n">
        <x:v>444</x:v>
      </x:c>
      <x:c r="B415" s="2" t="str">
        <x:v>d951ee0718040c4e51f2</x:v>
      </x:c>
      <x:c r="C415" s="2" t="str">
        <x:v>Tp Hồ Chí Minh</x:v>
      </x:c>
      <x:c r="D415" s="2" t="str">
        <x:v>Quận 1</x:v>
      </x:c>
      <x:c r="E415" s="2" t="str">
        <x:v>house</x:v>
      </x:c>
      <x:c r="F415" s="2" t="str">
        <x:v>sale_assumed</x:v>
      </x:c>
      <x:c r="G415" s="11" t="n">
        <x:v>42</x:v>
      </x:c>
      <x:c r="H415" s="12" t="n">
        <x:v>7900000000</x:v>
      </x:c>
      <x:c r="I415" s="12" t="n">
        <x:v>188095238.0952381</x:v>
      </x:c>
      <x:c r="J415" s="2" t="str">
        <x:v>total</x:v>
      </x:c>
      <x:c r="K415" s="2" t="str">
        <x:v>top_level_area</x:v>
      </x:c>
      <x:c r="L415" s="2" t="str">
        <x:v>property_type_inferred_from_title;transaction_assumed_sale_from_dataset_context</x:v>
      </x:c>
      <x:c r="M415" s="10" t="n">
        <x:v>1</x:v>
      </x:c>
      <x:c r="N415" s="10" t="n">
        <x:v>0</x:v>
      </x:c>
      <x:c r="O415" s="2" t="str">
        <x:v>Tp Hồ Chí Minh|house</x:v>
      </x:c>
      <x:c r="P415" s="10" t="n">
        <x:v>2</x:v>
      </x:c>
      <x:c r="Q415" s="13" t="n">
        <x:f>IF(H415="","",H415/1000000000)</x:f>
        <x:v>7.9</x:v>
      </x:c>
      <x:c r="R415" s="13" t="n">
        <x:f>IF(I415="","",I415/1000000)</x:f>
        <x:v>188.0952380952381</x:v>
      </x:c>
    </x:row>
    <x:row r="416" ht="21" customHeight="1">
      <x:c r="A416" s="10" t="n">
        <x:v>445</x:v>
      </x:c>
      <x:c r="B416" s="2" t="str">
        <x:v>fdf11c4cdd359eb073a4</x:v>
      </x:c>
      <x:c r="C416" s="2" t="str">
        <x:v>Hà Nội</x:v>
      </x:c>
      <x:c r="D416" s="2" t="str">
        <x:v>Quận Thanh Xuân</x:v>
      </x:c>
      <x:c r="E416" s="2" t="str">
        <x:v>house</x:v>
      </x:c>
      <x:c r="F416" s="2" t="str">
        <x:v>sale</x:v>
      </x:c>
      <x:c r="G416" s="11" t="n">
        <x:v>45</x:v>
      </x:c>
      <x:c r="H416" s="12" t="n">
        <x:v>4150000000.0000005</x:v>
      </x:c>
      <x:c r="I416" s="12" t="n">
        <x:v>92222222.22222224</x:v>
      </x:c>
      <x:c r="J416" s="2" t="str">
        <x:v>total</x:v>
      </x:c>
      <x:c r="K416" s="2" t="str">
        <x:v>top_level_area</x:v>
      </x:c>
      <x:c r="L416" s="2" t="str">
        <x:v>property_type_inferred_from_title</x:v>
      </x:c>
      <x:c r="M416" s="10" t="n">
        <x:v>0</x:v>
      </x:c>
      <x:c r="N416" s="10" t="n">
        <x:v>0</x:v>
      </x:c>
      <x:c r="O416" s="2" t="str">
        <x:v>Hà Nội|house</x:v>
      </x:c>
      <x:c r="P416" s="10" t="n">
        <x:v>2</x:v>
      </x:c>
      <x:c r="Q416" s="13" t="n">
        <x:f>IF(H416="","",H416/1000000000)</x:f>
        <x:v>4.15</x:v>
      </x:c>
      <x:c r="R416" s="13" t="n">
        <x:f>IF(I416="","",I416/1000000)</x:f>
        <x:v>92.22222222222224</x:v>
      </x:c>
    </x:row>
    <x:row r="417" ht="21" customHeight="1">
      <x:c r="A417" s="10" t="n">
        <x:v>446</x:v>
      </x:c>
      <x:c r="B417" s="2" t="str">
        <x:v>ae8f2dcfbfe78a83a288</x:v>
      </x:c>
      <x:c r="C417" s="2" t="str">
        <x:v>Tp Hồ Chí Minh</x:v>
      </x:c>
      <x:c r="D417" s="2" t="str">
        <x:v>Quận Bình Thạnh</x:v>
      </x:c>
      <x:c r="E417" s="2" t="str">
        <x:v>house</x:v>
      </x:c>
      <x:c r="F417" s="2" t="str">
        <x:v>sale_assumed</x:v>
      </x:c>
      <x:c r="G417" s="11" t="n">
        <x:v>42.2</x:v>
      </x:c>
      <x:c r="H417" s="12" t="n">
        <x:v>7000000000</x:v>
      </x:c>
      <x:c r="I417" s="12" t="n">
        <x:v>165876777.25118482</x:v>
      </x:c>
      <x:c r="J417" s="2" t="str">
        <x:v>total</x:v>
      </x:c>
      <x:c r="K417" s="2" t="str">
        <x:v>top_level_area</x:v>
      </x:c>
      <x:c r="L417" s="2" t="str">
        <x:v>property_type_inferred_from_title;transaction_assumed_sale_from_dataset_context</x:v>
      </x:c>
      <x:c r="M417" s="10" t="n">
        <x:v>1</x:v>
      </x:c>
      <x:c r="N417" s="10" t="n">
        <x:v>0</x:v>
      </x:c>
      <x:c r="O417" s="2" t="str">
        <x:v>Tp Hồ Chí Minh|house</x:v>
      </x:c>
      <x:c r="P417" s="10" t="n">
        <x:v>2</x:v>
      </x:c>
      <x:c r="Q417" s="13" t="n">
        <x:f>IF(H417="","",H417/1000000000)</x:f>
        <x:v>7</x:v>
      </x:c>
      <x:c r="R417" s="13" t="n">
        <x:f>IF(I417="","",I417/1000000)</x:f>
        <x:v>165.87677725118482</x:v>
      </x:c>
    </x:row>
    <x:row r="418" ht="21" customHeight="1">
      <x:c r="A418" s="10" t="n">
        <x:v>448</x:v>
      </x:c>
      <x:c r="B418" s="2" t="str">
        <x:v>4c2c7faa59b3101d1fde</x:v>
      </x:c>
      <x:c r="C418" s="2" t="str">
        <x:v>Tp Hồ Chí Minh</x:v>
      </x:c>
      <x:c r="D418" s="2" t="str">
        <x:v>Huyện Bình Chánh</x:v>
      </x:c>
      <x:c r="E418" s="2" t="str">
        <x:v>house</x:v>
      </x:c>
      <x:c r="F418" s="2" t="str">
        <x:v>sale</x:v>
      </x:c>
      <x:c r="G418" s="11" t="n">
        <x:v>168</x:v>
      </x:c>
      <x:c r="H418" s="12" t="n">
        <x:v>1950000000</x:v>
      </x:c>
      <x:c r="I418" s="12" t="n">
        <x:v>11607142.857142856</x:v>
      </x:c>
      <x:c r="J418" s="2" t="str">
        <x:v>total</x:v>
      </x:c>
      <x:c r="K418" s="2" t="str">
        <x:v>top_level_price_embedded_area</x:v>
      </x:c>
      <x:c r="L418" s="2" t="str">
        <x:v>area_recovered_from_price_text;property_type_inferred_from_title</x:v>
      </x:c>
      <x:c r="M418" s="10" t="n">
        <x:v>0</x:v>
      </x:c>
      <x:c r="N418" s="10" t="n">
        <x:v>0</x:v>
      </x:c>
      <x:c r="O418" s="2" t="str">
        <x:v>Tp Hồ Chí Minh|house</x:v>
      </x:c>
      <x:c r="P418" s="10" t="n">
        <x:v>2</x:v>
      </x:c>
      <x:c r="Q418" s="13" t="n">
        <x:f>IF(H418="","",H418/1000000000)</x:f>
        <x:v>1.95</x:v>
      </x:c>
      <x:c r="R418" s="13" t="n">
        <x:f>IF(I418="","",I418/1000000)</x:f>
        <x:v>11.607142857142856</x:v>
      </x:c>
    </x:row>
    <x:row r="419" ht="21" customHeight="1">
      <x:c r="A419" s="10" t="n">
        <x:v>449</x:v>
      </x:c>
      <x:c r="B419" s="2" t="str">
        <x:v>a6a85f769ba5fd1c4d8f</x:v>
      </x:c>
      <x:c r="C419" s="2" t="str">
        <x:v>Tp Hồ Chí Minh</x:v>
      </x:c>
      <x:c r="D419" s="2" t="str">
        <x:v>Quận Bình Tân</x:v>
      </x:c>
      <x:c r="E419" s="2" t="str">
        <x:v>house</x:v>
      </x:c>
      <x:c r="F419" s="2" t="str">
        <x:v>sale_assumed</x:v>
      </x:c>
      <x:c r="G419" s="11" t="n">
        <x:v>80</x:v>
      </x:c>
      <x:c r="H419" s="12" t="n">
        <x:v>5200000000</x:v>
      </x:c>
      <x:c r="I419" s="12" t="n">
        <x:v>65000000</x:v>
      </x:c>
      <x:c r="J419" s="2" t="str">
        <x:v>total</x:v>
      </x:c>
      <x:c r="K419" s="2" t="str">
        <x:v>top_level_area</x:v>
      </x:c>
      <x:c r="L419" s="2" t="str">
        <x:v>property_type_inferred_from_title;transaction_assumed_sale_from_dataset_context</x:v>
      </x:c>
      <x:c r="M419" s="10" t="n">
        <x:v>0</x:v>
      </x:c>
      <x:c r="N419" s="10" t="n">
        <x:v>0</x:v>
      </x:c>
      <x:c r="O419" s="2" t="str">
        <x:v>Tp Hồ Chí Minh|house</x:v>
      </x:c>
      <x:c r="P419" s="10" t="n">
        <x:v>2</x:v>
      </x:c>
      <x:c r="Q419" s="13" t="n">
        <x:f>IF(H419="","",H419/1000000000)</x:f>
        <x:v>5.2</x:v>
      </x:c>
      <x:c r="R419" s="13" t="n">
        <x:f>IF(I419="","",I419/1000000)</x:f>
        <x:v>65</x:v>
      </x:c>
    </x:row>
    <x:row r="420" ht="21" customHeight="1">
      <x:c r="A420" s="10" t="n">
        <x:v>450</x:v>
      </x:c>
      <x:c r="B420" s="2" t="str">
        <x:v>dd532606e3b0d6c79974</x:v>
      </x:c>
      <x:c r="C420" s="2" t="str">
        <x:v>Tp Hồ Chí Minh</x:v>
      </x:c>
      <x:c r="D420" s="2" t="str">
        <x:v>Quận Bình Thạnh</x:v>
      </x:c>
      <x:c r="E420" s="2" t="str">
        <x:v>house</x:v>
      </x:c>
      <x:c r="F420" s="2" t="str">
        <x:v>sale</x:v>
      </x:c>
      <x:c r="G420" s="11" t="n">
        <x:v>60</x:v>
      </x:c>
      <x:c r="H420" s="12" t="n">
        <x:v>4800000000</x:v>
      </x:c>
      <x:c r="I420" s="12" t="n">
        <x:v>80000000</x:v>
      </x:c>
      <x:c r="J420" s="2" t="str">
        <x:v>total</x:v>
      </x:c>
      <x:c r="K420" s="2" t="str">
        <x:v>top_level_area</x:v>
      </x:c>
      <x:c r="L420" s="2" t="str">
        <x:v>property_type_inferred_from_title</x:v>
      </x:c>
      <x:c r="M420" s="10" t="n">
        <x:v>0</x:v>
      </x:c>
      <x:c r="N420" s="10" t="n">
        <x:v>0</x:v>
      </x:c>
      <x:c r="O420" s="2" t="str">
        <x:v>Tp Hồ Chí Minh|house</x:v>
      </x:c>
      <x:c r="P420" s="10" t="n">
        <x:v>2</x:v>
      </x:c>
      <x:c r="Q420" s="13" t="n">
        <x:f>IF(H420="","",H420/1000000000)</x:f>
        <x:v>4.8</x:v>
      </x:c>
      <x:c r="R420" s="13" t="n">
        <x:f>IF(I420="","",I420/1000000)</x:f>
        <x:v>80</x:v>
      </x:c>
    </x:row>
    <x:row r="421" ht="21" customHeight="1">
      <x:c r="A421" s="10" t="n">
        <x:v>451</x:v>
      </x:c>
      <x:c r="B421" s="2" t="str">
        <x:v>5f2ee8a6d861918dce42</x:v>
      </x:c>
      <x:c r="C421" s="2" t="str">
        <x:v>Tp Hồ Chí Minh</x:v>
      </x:c>
      <x:c r="D421" s="2" t="str">
        <x:v>Huyện Củ Chi</x:v>
      </x:c>
      <x:c r="E421" s="2" t="str">
        <x:v>land</x:v>
      </x:c>
      <x:c r="F421" s="2" t="str">
        <x:v>sale_assumed</x:v>
      </x:c>
      <x:c r="G421" s="11" t="n">
        <x:v>765</x:v>
      </x:c>
      <x:c r="H421" s="12" t="n">
        <x:v>4700000000</x:v>
      </x:c>
      <x:c r="I421" s="12" t="n">
        <x:v>6143790.849673202</x:v>
      </x:c>
      <x:c r="J421" s="2" t="str">
        <x:v>total</x:v>
      </x:c>
      <x:c r="K421" s="2" t="str">
        <x:v>top_level_area</x:v>
      </x:c>
      <x:c r="L421" s="2" t="str">
        <x:v>property_type_inferred_from_title;transaction_assumed_sale_from_dataset_context</x:v>
      </x:c>
      <x:c r="M421" s="10" t="n">
        <x:v>0</x:v>
      </x:c>
      <x:c r="N421" s="10" t="n">
        <x:v>0</x:v>
      </x:c>
      <x:c r="O421" s="2" t="str">
        <x:v>Tp Hồ Chí Minh|land</x:v>
      </x:c>
      <x:c r="P421" s="10" t="n">
        <x:v>1</x:v>
      </x:c>
      <x:c r="Q421" s="13" t="n">
        <x:f>IF(H421="","",H421/1000000000)</x:f>
        <x:v>4.7</x:v>
      </x:c>
      <x:c r="R421" s="13" t="n">
        <x:f>IF(I421="","",I421/1000000)</x:f>
        <x:v>6.143790849673202</x:v>
      </x:c>
    </x:row>
    <x:row r="422" ht="21" customHeight="1">
      <x:c r="A422" s="10" t="n">
        <x:v>452</x:v>
      </x:c>
      <x:c r="B422" s="2" t="str">
        <x:v>3804c8e74eeb6cdf11e5</x:v>
      </x:c>
      <x:c r="C422" s="2" t="str">
        <x:v>Tp Hồ Chí Minh</x:v>
      </x:c>
      <x:c r="D422" s="2" t="str">
        <x:v>Quận 7</x:v>
      </x:c>
      <x:c r="E422" s="2" t="str">
        <x:v>house</x:v>
      </x:c>
      <x:c r="F422" s="2" t="str">
        <x:v>sale_assumed</x:v>
      </x:c>
      <x:c r="G422" s="11" t="n">
        <x:v>78.2</x:v>
      </x:c>
      <x:c r="H422" s="12" t="n">
        <x:v>13500000000</x:v>
      </x:c>
      <x:c r="I422" s="12" t="n">
        <x:v>172634271.09974423</x:v>
      </x:c>
      <x:c r="J422" s="2" t="str">
        <x:v>total</x:v>
      </x:c>
      <x:c r="K422" s="2" t="str">
        <x:v>top_level_area</x:v>
      </x:c>
      <x:c r="L422" s="2" t="str">
        <x:v>property_type_inferred_from_title;transaction_assumed_sale_from_dataset_context</x:v>
      </x:c>
      <x:c r="M422" s="10" t="n">
        <x:v>1</x:v>
      </x:c>
      <x:c r="N422" s="10" t="n">
        <x:v>0</x:v>
      </x:c>
      <x:c r="O422" s="2" t="str">
        <x:v>Tp Hồ Chí Minh|house</x:v>
      </x:c>
      <x:c r="P422" s="10" t="n">
        <x:v>2</x:v>
      </x:c>
      <x:c r="Q422" s="13" t="n">
        <x:f>IF(H422="","",H422/1000000000)</x:f>
        <x:v>13.5</x:v>
      </x:c>
      <x:c r="R422" s="13" t="n">
        <x:f>IF(I422="","",I422/1000000)</x:f>
        <x:v>172.63427109974424</x:v>
      </x:c>
    </x:row>
    <x:row r="423" ht="21" customHeight="1">
      <x:c r="A423" s="10" t="n">
        <x:v>453</x:v>
      </x:c>
      <x:c r="B423" s="2" t="str">
        <x:v>ce06be8a9f671920d83a</x:v>
      </x:c>
      <x:c r="C423" s="2" t="str">
        <x:v>Đà Nẵng</x:v>
      </x:c>
      <x:c r="D423" s="2" t="str">
        <x:v>Quận Liên Chiểu</x:v>
      </x:c>
      <x:c r="E423" s="2" t="str">
        <x:v>apartment</x:v>
      </x:c>
      <x:c r="F423" s="2" t="str">
        <x:v>sale_assumed</x:v>
      </x:c>
      <x:c r="G423" s="11" t="n">
        <x:v>80</x:v>
      </x:c>
      <x:c r="H423" s="12" t="n">
        <x:v>1350000000</x:v>
      </x:c>
      <x:c r="I423" s="12" t="n">
        <x:v>16875000</x:v>
      </x:c>
      <x:c r="J423" s="2" t="str">
        <x:v>total</x:v>
      </x:c>
      <x:c r="K423" s="2" t="str">
        <x:v>top_level_area</x:v>
      </x:c>
      <x:c r="L423" s="2" t="str">
        <x:v>property_type_inferred_from_title;transaction_assumed_sale_from_dataset_context</x:v>
      </x:c>
      <x:c r="M423" s="10" t="n">
        <x:v>0</x:v>
      </x:c>
      <x:c r="N423" s="10" t="n">
        <x:v>0</x:v>
      </x:c>
      <x:c r="O423" s="2" t="str">
        <x:v>apartment</x:v>
      </x:c>
      <x:c r="P423" s="10" t="n">
        <x:v>2</x:v>
      </x:c>
      <x:c r="Q423" s="13" t="n">
        <x:f>IF(H423="","",H423/1000000000)</x:f>
        <x:v>1.35</x:v>
      </x:c>
      <x:c r="R423" s="13" t="n">
        <x:f>IF(I423="","",I423/1000000)</x:f>
        <x:v>16.875</x:v>
      </x:c>
    </x:row>
    <x:row r="424" ht="21" customHeight="1">
      <x:c r="A424" s="10" t="n">
        <x:v>454</x:v>
      </x:c>
      <x:c r="B424" s="2" t="str">
        <x:v>fc9946cb775ee96e08e6</x:v>
      </x:c>
      <x:c r="C424" s="2" t="str">
        <x:v>Bình Dương</x:v>
      </x:c>
      <x:c r="D424" s="2" t="str">
        <x:v>Huyện Bàu Bàng</x:v>
      </x:c>
      <x:c r="E424" s="2" t="str">
        <x:v>land</x:v>
      </x:c>
      <x:c r="F424" s="2" t="str">
        <x:v>sale</x:v>
      </x:c>
      <x:c r="G424" s="11" t="n">
        <x:v>80</x:v>
      </x:c>
      <x:c r="H424" s="12" t="n">
        <x:v>750000000</x:v>
      </x:c>
      <x:c r="I424" s="12" t="n">
        <x:v>9375000</x:v>
      </x:c>
      <x:c r="J424" s="2" t="str">
        <x:v>total</x:v>
      </x:c>
      <x:c r="K424" s="2" t="str">
        <x:v>top_level_area</x:v>
      </x:c>
      <x:c r="L424" s="2" t="str">
        <x:v>property_type_inferred_from_title</x:v>
      </x:c>
      <x:c r="M424" s="10" t="n">
        <x:v>0</x:v>
      </x:c>
      <x:c r="N424" s="10" t="n">
        <x:v>0</x:v>
      </x:c>
      <x:c r="O424" s="2" t="str">
        <x:v>Bình Dương|land</x:v>
      </x:c>
      <x:c r="P424" s="10" t="n">
        <x:v>2</x:v>
      </x:c>
      <x:c r="Q424" s="13" t="n">
        <x:f>IF(H424="","",H424/1000000000)</x:f>
        <x:v>0.75</x:v>
      </x:c>
      <x:c r="R424" s="13" t="n">
        <x:f>IF(I424="","",I424/1000000)</x:f>
        <x:v>9.375</x:v>
      </x:c>
    </x:row>
    <x:row r="425" ht="21" customHeight="1">
      <x:c r="A425" s="10" t="n">
        <x:v>455</x:v>
      </x:c>
      <x:c r="B425" s="2" t="str">
        <x:v>e931053fe1f1ca91f16d</x:v>
      </x:c>
      <x:c r="C425" s="2" t="str">
        <x:v>Tp Hồ Chí Minh</x:v>
      </x:c>
      <x:c r="D425" s="2" t="str">
        <x:v>Huyện Hóc Môn</x:v>
      </x:c>
      <x:c r="E425" s="2" t="str">
        <x:v>house</x:v>
      </x:c>
      <x:c r="F425" s="2" t="str">
        <x:v>sale</x:v>
      </x:c>
      <x:c r="G425" s="11" t="n">
        <x:v>1800</x:v>
      </x:c>
      <x:c r="H425" s="12" t="n">
        <x:v>590000000</x:v>
      </x:c>
      <x:c r="I425" s="12" t="n">
        <x:v>327777.77777777775</x:v>
      </x:c>
      <x:c r="J425" s="2" t="str">
        <x:v>total</x:v>
      </x:c>
      <x:c r="K425" s="2" t="str">
        <x:v>top_level_area</x:v>
      </x:c>
      <x:c r="L425" s="2" t="str">
        <x:v>dot_thousands_convention;property_type_inferred_from_title</x:v>
      </x:c>
      <x:c r="M425" s="10" t="n">
        <x:v>0</x:v>
      </x:c>
      <x:c r="N425" s="10" t="n">
        <x:v>0</x:v>
      </x:c>
      <x:c r="O425" s="2" t="str">
        <x:v>Tp Hồ Chí Minh|house</x:v>
      </x:c>
      <x:c r="P425" s="10" t="n">
        <x:v>1</x:v>
      </x:c>
      <x:c r="Q425" s="13" t="n">
        <x:f>IF(H425="","",H425/1000000000)</x:f>
        <x:v>0.59</x:v>
      </x:c>
      <x:c r="R425" s="13" t="n">
        <x:f>IF(I425="","",I425/1000000)</x:f>
        <x:v>0.3277777777777778</x:v>
      </x:c>
    </x:row>
    <x:row r="426" ht="21" customHeight="1">
      <x:c r="A426" s="10" t="n">
        <x:v>456</x:v>
      </x:c>
      <x:c r="B426" s="2" t="str">
        <x:v>cfe7533802fc144957ab</x:v>
      </x:c>
      <x:c r="C426" s="2" t="str">
        <x:v>Tp Hồ Chí Minh</x:v>
      </x:c>
      <x:c r="D426" s="2" t="str">
        <x:v>Quận Gò Vấp</x:v>
      </x:c>
      <x:c r="E426" s="2" t="str">
        <x:v>other_unknown</x:v>
      </x:c>
      <x:c r="F426" s="2" t="str">
        <x:v>sale_assumed</x:v>
      </x:c>
      <x:c r="G426" s="11" t="n">
        <x:v>200</x:v>
      </x:c>
      <x:c r="H426" s="12" t="n">
        <x:v>558000000</x:v>
      </x:c>
      <x:c r="I426" s="12" t="n">
        <x:v>2790000</x:v>
      </x:c>
      <x:c r="J426" s="2" t="str">
        <x:v>total</x:v>
      </x:c>
      <x:c r="K426" s="2" t="str">
        <x:v>top_level_area</x:v>
      </x:c>
      <x:c r="L426" s="2" t="str">
        <x:v>property_type_inferred_from_title;transaction_assumed_sale_from_dataset_context;unknown_property_type</x:v>
      </x:c>
      <x:c r="M426" s="10" t="n">
        <x:v>0</x:v>
      </x:c>
      <x:c r="N426" s="10" t="n">
        <x:v>0</x:v>
      </x:c>
      <x:c r="O426" s="2" t="str">
        <x:v>Tp Hồ Chí Minh|other_unknown</x:v>
      </x:c>
      <x:c r="P426" s="10" t="n">
        <x:v>1</x:v>
      </x:c>
      <x:c r="Q426" s="13" t="n">
        <x:f>IF(H426="","",H426/1000000000)</x:f>
        <x:v>0.558</x:v>
      </x:c>
      <x:c r="R426" s="13" t="n">
        <x:f>IF(I426="","",I426/1000000)</x:f>
        <x:v>2.79</x:v>
      </x:c>
    </x:row>
    <x:row r="427" ht="21" customHeight="1">
      <x:c r="A427" s="10" t="n">
        <x:v>457</x:v>
      </x:c>
      <x:c r="B427" s="2" t="str">
        <x:v>0d2c26a96884183175bd</x:v>
      </x:c>
      <x:c r="C427" s="2" t="str">
        <x:v>Tp Hồ Chí Minh</x:v>
      </x:c>
      <x:c r="D427" s="2" t="str">
        <x:v>Quận Gò Vấp</x:v>
      </x:c>
      <x:c r="E427" s="2" t="str">
        <x:v>house</x:v>
      </x:c>
      <x:c r="F427" s="2" t="str">
        <x:v>sale_assumed</x:v>
      </x:c>
      <x:c r="G427" s="11" t="n">
        <x:v>65</x:v>
      </x:c>
      <x:c r="H427" s="12" t="n">
        <x:v>7800000000</x:v>
      </x:c>
      <x:c r="I427" s="12" t="n">
        <x:v>120000000</x:v>
      </x:c>
      <x:c r="J427" s="2" t="str">
        <x:v>total</x:v>
      </x:c>
      <x:c r="K427" s="2" t="str">
        <x:v>top_level_area</x:v>
      </x:c>
      <x:c r="L427" s="2" t="str">
        <x:v>property_type_inferred_from_title;transaction_assumed_sale_from_dataset_context</x:v>
      </x:c>
      <x:c r="M427" s="10" t="n">
        <x:v>0</x:v>
      </x:c>
      <x:c r="N427" s="10" t="n">
        <x:v>0</x:v>
      </x:c>
      <x:c r="O427" s="2" t="str">
        <x:v>Tp Hồ Chí Minh|house</x:v>
      </x:c>
      <x:c r="P427" s="10" t="n">
        <x:v>2</x:v>
      </x:c>
      <x:c r="Q427" s="13" t="n">
        <x:f>IF(H427="","",H427/1000000000)</x:f>
        <x:v>7.8</x:v>
      </x:c>
      <x:c r="R427" s="13" t="n">
        <x:f>IF(I427="","",I427/1000000)</x:f>
        <x:v>120</x:v>
      </x:c>
    </x:row>
    <x:row r="428" ht="21" customHeight="1">
      <x:c r="A428" s="10" t="n">
        <x:v>458</x:v>
      </x:c>
      <x:c r="B428" s="2" t="str">
        <x:v>7dfbac207bf16596abc7</x:v>
      </x:c>
      <x:c r="C428" s="2" t="str">
        <x:v>Bình Dương</x:v>
      </x:c>
      <x:c r="D428" s="2" t="str">
        <x:v>Thị xã Bến Cát</x:v>
      </x:c>
      <x:c r="E428" s="2" t="str">
        <x:v>other_unknown</x:v>
      </x:c>
      <x:c r="F428" s="2" t="str">
        <x:v>sale</x:v>
      </x:c>
      <x:c r="G428" s="11" t="n">
        <x:v>85</x:v>
      </x:c>
      <x:c r="H428" s="12" t="n">
        <x:v>1150000000</x:v>
      </x:c>
      <x:c r="I428" s="12" t="n">
        <x:v>13529411.764705881</x:v>
      </x:c>
      <x:c r="J428" s="2" t="str">
        <x:v>total</x:v>
      </x:c>
      <x:c r="K428" s="2" t="str">
        <x:v>top_level_area</x:v>
      </x:c>
      <x:c r="L428" s="2" t="str">
        <x:v>property_type_inferred_from_title;unknown_property_type</x:v>
      </x:c>
      <x:c r="M428" s="10" t="n">
        <x:v>0</x:v>
      </x:c>
      <x:c r="N428" s="10" t="n">
        <x:v>0</x:v>
      </x:c>
      <x:c r="O428" s="2" t="str">
        <x:v>Bình Dương|other_unknown</x:v>
      </x:c>
      <x:c r="P428" s="10" t="n">
        <x:v>2</x:v>
      </x:c>
      <x:c r="Q428" s="13" t="n">
        <x:f>IF(H428="","",H428/1000000000)</x:f>
        <x:v>1.15</x:v>
      </x:c>
      <x:c r="R428" s="13" t="n">
        <x:f>IF(I428="","",I428/1000000)</x:f>
        <x:v>13.529411764705882</x:v>
      </x:c>
    </x:row>
    <x:row r="429" ht="21" customHeight="1">
      <x:c r="A429" s="10" t="n">
        <x:v>459</x:v>
      </x:c>
      <x:c r="B429" s="2" t="str">
        <x:v>4c81a57177f1aa479bcd</x:v>
      </x:c>
      <x:c r="C429" s="2" t="str">
        <x:v>Đắk Lắk</x:v>
      </x:c>
      <x:c r="D429" s="2" t="str">
        <x:v>Thành phố Buôn Ma Thuột</x:v>
      </x:c>
      <x:c r="E429" s="2" t="str">
        <x:v>land</x:v>
      </x:c>
      <x:c r="F429" s="2" t="str">
        <x:v>sale</x:v>
      </x:c>
      <x:c r="G429" s="11" t="n">
        <x:v>238</x:v>
      </x:c>
      <x:c r="H429" s="12" t="n">
        <x:v>805000000</x:v>
      </x:c>
      <x:c r="I429" s="12" t="n">
        <x:v>3382352.9411764704</x:v>
      </x:c>
      <x:c r="J429" s="2" t="str">
        <x:v>total</x:v>
      </x:c>
      <x:c r="K429" s="2" t="str">
        <x:v>top_level_area</x:v>
      </x:c>
      <x:c r="L429" s="2" t="str">
        <x:v>property_type_inferred_from_title</x:v>
      </x:c>
      <x:c r="M429" s="10" t="n">
        <x:v>0</x:v>
      </x:c>
      <x:c r="N429" s="10" t="n">
        <x:v>0</x:v>
      </x:c>
      <x:c r="O429" s="2" t="str">
        <x:v>Đắk Lắk|land</x:v>
      </x:c>
      <x:c r="P429" s="10" t="n">
        <x:v>1</x:v>
      </x:c>
      <x:c r="Q429" s="13" t="n">
        <x:f>IF(H429="","",H429/1000000000)</x:f>
        <x:v>0.805</x:v>
      </x:c>
      <x:c r="R429" s="13" t="n">
        <x:f>IF(I429="","",I429/1000000)</x:f>
        <x:v>3.3823529411764706</x:v>
      </x:c>
    </x:row>
    <x:row r="430" ht="21" customHeight="1">
      <x:c r="A430" s="10" t="n">
        <x:v>461</x:v>
      </x:c>
      <x:c r="B430" s="2" t="str">
        <x:v>6d0aa41cddfcd1fa6f4e</x:v>
      </x:c>
      <x:c r="C430" s="2" t="str">
        <x:v>Bình Dương</x:v>
      </x:c>
      <x:c r="D430" s="2" t="str">
        <x:v>Thị xã Thuận An</x:v>
      </x:c>
      <x:c r="E430" s="2" t="str">
        <x:v>land</x:v>
      </x:c>
      <x:c r="F430" s="2" t="str">
        <x:v>sale_assumed</x:v>
      </x:c>
      <x:c r="G430" s="11" t="n">
        <x:v>60</x:v>
      </x:c>
      <x:c r="H430" s="12" t="n">
        <x:v>1400000000</x:v>
      </x:c>
      <x:c r="I430" s="12" t="n">
        <x:v>23333333.333333332</x:v>
      </x:c>
      <x:c r="J430" s="2" t="str">
        <x:v>total</x:v>
      </x:c>
      <x:c r="K430" s="2" t="str">
        <x:v>top_level_area</x:v>
      </x:c>
      <x:c r="L430" s="2" t="str">
        <x:v>property_type_inferred_from_title;transaction_assumed_sale_from_dataset_context</x:v>
      </x:c>
      <x:c r="M430" s="10" t="n">
        <x:v>0</x:v>
      </x:c>
      <x:c r="N430" s="10" t="n">
        <x:v>0</x:v>
      </x:c>
      <x:c r="O430" s="2" t="str">
        <x:v>Bình Dương|land</x:v>
      </x:c>
      <x:c r="P430" s="10" t="n">
        <x:v>2</x:v>
      </x:c>
      <x:c r="Q430" s="13" t="n">
        <x:f>IF(H430="","",H430/1000000000)</x:f>
        <x:v>1.4</x:v>
      </x:c>
      <x:c r="R430" s="13" t="n">
        <x:f>IF(I430="","",I430/1000000)</x:f>
        <x:v>23.333333333333332</x:v>
      </x:c>
    </x:row>
    <x:row r="431" ht="21" customHeight="1">
      <x:c r="A431" s="10" t="n">
        <x:v>462</x:v>
      </x:c>
      <x:c r="B431" s="2" t="str">
        <x:v>44ba24ba1e4574f21386</x:v>
      </x:c>
      <x:c r="C431" s="2" t="str">
        <x:v>Tp Hồ Chí Minh</x:v>
      </x:c>
      <x:c r="D431" s="2" t="str">
        <x:v>Quận Bình Tân</x:v>
      </x:c>
      <x:c r="E431" s="2" t="str">
        <x:v>house</x:v>
      </x:c>
      <x:c r="F431" s="2" t="str">
        <x:v>sale</x:v>
      </x:c>
      <x:c r="G431" s="11" t="n">
        <x:v>32</x:v>
      </x:c>
      <x:c r="H431" s="12" t="n">
        <x:v>2760000000</x:v>
      </x:c>
      <x:c r="I431" s="12" t="n">
        <x:v>86250000</x:v>
      </x:c>
      <x:c r="J431" s="2" t="str">
        <x:v>total</x:v>
      </x:c>
      <x:c r="K431" s="2" t="str">
        <x:v>top_level_area</x:v>
      </x:c>
      <x:c r="L431" s="2" t="str">
        <x:v>property_type_inferred_from_title</x:v>
      </x:c>
      <x:c r="M431" s="10" t="n">
        <x:v>0</x:v>
      </x:c>
      <x:c r="N431" s="10" t="n">
        <x:v>0</x:v>
      </x:c>
      <x:c r="O431" s="2" t="str">
        <x:v>Tp Hồ Chí Minh|house</x:v>
      </x:c>
      <x:c r="P431" s="10" t="n">
        <x:v>2</x:v>
      </x:c>
      <x:c r="Q431" s="13" t="n">
        <x:f>IF(H431="","",H431/1000000000)</x:f>
        <x:v>2.76</x:v>
      </x:c>
      <x:c r="R431" s="13" t="n">
        <x:f>IF(I431="","",I431/1000000)</x:f>
        <x:v>86.25</x:v>
      </x:c>
    </x:row>
    <x:row r="432" ht="21" customHeight="1">
      <x:c r="A432" s="10" t="n">
        <x:v>463</x:v>
      </x:c>
      <x:c r="B432" s="2" t="str">
        <x:v>6274b27b656d7f73ca25</x:v>
      </x:c>
      <x:c r="C432" s="2" t="str">
        <x:v>Khánh Hòa</x:v>
      </x:c>
      <x:c r="D432" s="2" t="str">
        <x:v>Huyện Diên Khánh</x:v>
      </x:c>
      <x:c r="E432" s="2" t="str">
        <x:v>land</x:v>
      </x:c>
      <x:c r="F432" s="2" t="str">
        <x:v>sale</x:v>
      </x:c>
      <x:c r="G432" s="11" t="n">
        <x:v>80</x:v>
      </x:c>
      <x:c r="H432" s="12" t="n">
        <x:v>700000000</x:v>
      </x:c>
      <x:c r="I432" s="12" t="n">
        <x:v>8750000</x:v>
      </x:c>
      <x:c r="J432" s="2" t="str">
        <x:v>total</x:v>
      </x:c>
      <x:c r="K432" s="2" t="str">
        <x:v>top_level_area</x:v>
      </x:c>
      <x:c r="L432" s="2" t="str">
        <x:v>property_type_inferred_from_title</x:v>
      </x:c>
      <x:c r="M432" s="10" t="n">
        <x:v>0</x:v>
      </x:c>
      <x:c r="N432" s="10" t="n">
        <x:v>0</x:v>
      </x:c>
      <x:c r="O432" s="2" t="str">
        <x:v>land</x:v>
      </x:c>
      <x:c r="P432" s="10" t="n">
        <x:v>2</x:v>
      </x:c>
      <x:c r="Q432" s="13" t="n">
        <x:f>IF(H432="","",H432/1000000000)</x:f>
        <x:v>0.7</x:v>
      </x:c>
      <x:c r="R432" s="13" t="n">
        <x:f>IF(I432="","",I432/1000000)</x:f>
        <x:v>8.75</x:v>
      </x:c>
    </x:row>
    <x:row r="433" ht="21" customHeight="1">
      <x:c r="A433" s="10" t="n">
        <x:v>464</x:v>
      </x:c>
      <x:c r="B433" s="2" t="str">
        <x:v>dca149afccbfbdfb23d9</x:v>
      </x:c>
      <x:c r="C433" s="2" t="str">
        <x:v>Hà Nội</x:v>
      </x:c>
      <x:c r="D433" s="2" t="str">
        <x:v>Quận Long Biên</x:v>
      </x:c>
      <x:c r="E433" s="2" t="str">
        <x:v>house</x:v>
      </x:c>
      <x:c r="F433" s="2" t="str">
        <x:v>sale_assumed</x:v>
      </x:c>
      <x:c r="G433" s="11" t="n">
        <x:v>330</x:v>
      </x:c>
      <x:c r="H433" s="12" t="n">
        <x:v>19000000000</x:v>
      </x:c>
      <x:c r="I433" s="12" t="n">
        <x:v>57575757.57575758</x:v>
      </x:c>
      <x:c r="J433" s="2" t="str">
        <x:v>total</x:v>
      </x:c>
      <x:c r="K433" s="2" t="str">
        <x:v>top_level_area</x:v>
      </x:c>
      <x:c r="L433" s="2" t="str">
        <x:v>property_type_inferred_from_title;transaction_assumed_sale_from_dataset_context</x:v>
      </x:c>
      <x:c r="M433" s="10" t="n">
        <x:v>0</x:v>
      </x:c>
      <x:c r="N433" s="10" t="n">
        <x:v>0</x:v>
      </x:c>
      <x:c r="O433" s="2" t="str">
        <x:v>Hà Nội|house</x:v>
      </x:c>
      <x:c r="P433" s="10" t="n">
        <x:v>2</x:v>
      </x:c>
      <x:c r="Q433" s="13" t="n">
        <x:f>IF(H433="","",H433/1000000000)</x:f>
        <x:v>19</x:v>
      </x:c>
      <x:c r="R433" s="13" t="n">
        <x:f>IF(I433="","",I433/1000000)</x:f>
        <x:v>57.57575757575758</x:v>
      </x:c>
    </x:row>
    <x:row r="434" ht="21" customHeight="1">
      <x:c r="A434" s="10" t="n">
        <x:v>465</x:v>
      </x:c>
      <x:c r="B434" s="2" t="str">
        <x:v>fcda15627649a3809b20</x:v>
      </x:c>
      <x:c r="C434" s="2" t="str">
        <x:v>Bình Dương</x:v>
      </x:c>
      <x:c r="D434" s="2" t="str">
        <x:v>Thành phố Thủ Dầu Một</x:v>
      </x:c>
      <x:c r="E434" s="2" t="str">
        <x:v>other_unknown</x:v>
      </x:c>
      <x:c r="F434" s="2" t="str">
        <x:v>sale_assumed</x:v>
      </x:c>
      <x:c r="G434" s="11" t="n">
        <x:v>140</x:v>
      </x:c>
      <x:c r="H434" s="12" t="n">
        <x:v>5200000000</x:v>
      </x:c>
      <x:c r="I434" s="12" t="n">
        <x:v>37142857.14285714</x:v>
      </x:c>
      <x:c r="J434" s="2" t="str">
        <x:v>total</x:v>
      </x:c>
      <x:c r="K434" s="2" t="str">
        <x:v>top_level_area</x:v>
      </x:c>
      <x:c r="L434" s="2" t="str">
        <x:v>property_type_inferred_from_title;transaction_assumed_sale_from_dataset_context;unknown_property_type</x:v>
      </x:c>
      <x:c r="M434" s="10" t="n">
        <x:v>0</x:v>
      </x:c>
      <x:c r="N434" s="10" t="n">
        <x:v>0</x:v>
      </x:c>
      <x:c r="O434" s="2" t="str">
        <x:v>Bình Dương|other_unknown</x:v>
      </x:c>
      <x:c r="P434" s="10" t="n">
        <x:v>2</x:v>
      </x:c>
      <x:c r="Q434" s="13" t="n">
        <x:f>IF(H434="","",H434/1000000000)</x:f>
        <x:v>5.2</x:v>
      </x:c>
      <x:c r="R434" s="13" t="n">
        <x:f>IF(I434="","",I434/1000000)</x:f>
        <x:v>37.14285714285714</x:v>
      </x:c>
    </x:row>
    <x:row r="435" ht="21" customHeight="1">
      <x:c r="A435" s="10" t="n">
        <x:v>466</x:v>
      </x:c>
      <x:c r="B435" s="2" t="str">
        <x:v>4f7de34e6b7fa32b2f57</x:v>
      </x:c>
      <x:c r="C435" s="2" t="str">
        <x:v>Bình Dương</x:v>
      </x:c>
      <x:c r="D435" s="2" t="str">
        <x:v>Thành phố Thủ Dầu Một</x:v>
      </x:c>
      <x:c r="E435" s="2" t="str">
        <x:v>other_unknown</x:v>
      </x:c>
      <x:c r="F435" s="2" t="str">
        <x:v>sale_assumed</x:v>
      </x:c>
      <x:c r="G435" s="11" t="n">
        <x:v>115</x:v>
      </x:c>
      <x:c r="H435" s="12" t="n">
        <x:v>4650000000</x:v>
      </x:c>
      <x:c r="I435" s="12" t="n">
        <x:v>40434782.60869565</x:v>
      </x:c>
      <x:c r="J435" s="2" t="str">
        <x:v>total</x:v>
      </x:c>
      <x:c r="K435" s="2" t="str">
        <x:v>top_level_area</x:v>
      </x:c>
      <x:c r="L435" s="2" t="str">
        <x:v>property_type_inferred_from_title;transaction_assumed_sale_from_dataset_context;unknown_property_type</x:v>
      </x:c>
      <x:c r="M435" s="10" t="n">
        <x:v>0</x:v>
      </x:c>
      <x:c r="N435" s="10" t="n">
        <x:v>0</x:v>
      </x:c>
      <x:c r="O435" s="2" t="str">
        <x:v>Bình Dương|other_unknown</x:v>
      </x:c>
      <x:c r="P435" s="10" t="n">
        <x:v>2</x:v>
      </x:c>
      <x:c r="Q435" s="13" t="n">
        <x:f>IF(H435="","",H435/1000000000)</x:f>
        <x:v>4.65</x:v>
      </x:c>
      <x:c r="R435" s="13" t="n">
        <x:f>IF(I435="","",I435/1000000)</x:f>
        <x:v>40.43478260869565</x:v>
      </x:c>
    </x:row>
    <x:row r="436" ht="21" customHeight="1">
      <x:c r="A436" s="10" t="n">
        <x:v>467</x:v>
      </x:c>
      <x:c r="B436" s="2" t="str">
        <x:v>7ac9e1e41e24af239b2f</x:v>
      </x:c>
      <x:c r="C436" s="2" t="str">
        <x:v>Bình Dương</x:v>
      </x:c>
      <x:c r="D436" s="2" t="str">
        <x:v>Thành phố Thủ Dầu Một</x:v>
      </x:c>
      <x:c r="E436" s="2" t="str">
        <x:v>house</x:v>
      </x:c>
      <x:c r="F436" s="2" t="str">
        <x:v>sale_assumed</x:v>
      </x:c>
      <x:c r="G436" s="11" t="n">
        <x:v>104</x:v>
      </x:c>
      <x:c r="H436" s="12" t="n">
        <x:v>2150000000</x:v>
      </x:c>
      <x:c r="I436" s="12" t="n">
        <x:v>20673076.923076924</x:v>
      </x:c>
      <x:c r="J436" s="2" t="str">
        <x:v>total</x:v>
      </x:c>
      <x:c r="K436" s="2" t="str">
        <x:v>top_level_area</x:v>
      </x:c>
      <x:c r="L436" s="2" t="str">
        <x:v>property_type_inferred_from_title;transaction_assumed_sale_from_dataset_context</x:v>
      </x:c>
      <x:c r="M436" s="10" t="n">
        <x:v>0</x:v>
      </x:c>
      <x:c r="N436" s="10" t="n">
        <x:v>0</x:v>
      </x:c>
      <x:c r="O436" s="2" t="str">
        <x:v>Bình Dương|house</x:v>
      </x:c>
      <x:c r="P436" s="10" t="n">
        <x:v>2</x:v>
      </x:c>
      <x:c r="Q436" s="13" t="n">
        <x:f>IF(H436="","",H436/1000000000)</x:f>
        <x:v>2.15</x:v>
      </x:c>
      <x:c r="R436" s="13" t="n">
        <x:f>IF(I436="","",I436/1000000)</x:f>
        <x:v>20.673076923076923</x:v>
      </x:c>
    </x:row>
    <x:row r="437" ht="21" customHeight="1">
      <x:c r="A437" s="10" t="n">
        <x:v>468</x:v>
      </x:c>
      <x:c r="B437" s="2" t="str">
        <x:v>fbd34184759891c3c0bf</x:v>
      </x:c>
      <x:c r="C437" s="2" t="str">
        <x:v>Tp Hồ Chí Minh</x:v>
      </x:c>
      <x:c r="D437" s="2" t="str">
        <x:v>Quận Tân Bình</x:v>
      </x:c>
      <x:c r="E437" s="2" t="str">
        <x:v>apartment</x:v>
      </x:c>
      <x:c r="F437" s="2" t="str">
        <x:v>sale_assumed</x:v>
      </x:c>
      <x:c r="G437" s="11" t="n">
        <x:v>36</x:v>
      </x:c>
      <x:c r="H437" s="12" t="n">
        <x:v>835000000</x:v>
      </x:c>
      <x:c r="I437" s="12" t="n">
        <x:v>23194444.444444444</x:v>
      </x:c>
      <x:c r="J437" s="2" t="str">
        <x:v>total</x:v>
      </x:c>
      <x:c r="K437" s="2" t="str">
        <x:v>top_level_area</x:v>
      </x:c>
      <x:c r="L437" s="2" t="str">
        <x:v>property_type_inferred_from_title;transaction_assumed_sale_from_dataset_context</x:v>
      </x:c>
      <x:c r="M437" s="10" t="n">
        <x:v>0</x:v>
      </x:c>
      <x:c r="N437" s="10" t="n">
        <x:v>0</x:v>
      </x:c>
      <x:c r="O437" s="2" t="str">
        <x:v>Tp Hồ Chí Minh|apartment</x:v>
      </x:c>
      <x:c r="P437" s="10" t="n">
        <x:v>2</x:v>
      </x:c>
      <x:c r="Q437" s="13" t="n">
        <x:f>IF(H437="","",H437/1000000000)</x:f>
        <x:v>0.835</x:v>
      </x:c>
      <x:c r="R437" s="13" t="n">
        <x:f>IF(I437="","",I437/1000000)</x:f>
        <x:v>23.194444444444443</x:v>
      </x:c>
    </x:row>
    <x:row r="438" ht="21" customHeight="1">
      <x:c r="A438" s="10" t="n">
        <x:v>469</x:v>
      </x:c>
      <x:c r="B438" s="2" t="str">
        <x:v>04b66e58b65e1bd54a6c</x:v>
      </x:c>
      <x:c r="C438" s="2" t="str">
        <x:v>Tp Hồ Chí Minh</x:v>
      </x:c>
      <x:c r="D438" s="2" t="str">
        <x:v>Quận Gò Vấp</x:v>
      </x:c>
      <x:c r="E438" s="2" t="str">
        <x:v>house</x:v>
      </x:c>
      <x:c r="F438" s="2" t="str">
        <x:v>sale_assumed</x:v>
      </x:c>
      <x:c r="G438" s="11" t="n">
        <x:v>49</x:v>
      </x:c>
      <x:c r="H438" s="12" t="n">
        <x:v>4450000000</x:v>
      </x:c>
      <x:c r="I438" s="12" t="n">
        <x:v>90816326.53061225</x:v>
      </x:c>
      <x:c r="J438" s="2" t="str">
        <x:v>total</x:v>
      </x:c>
      <x:c r="K438" s="2" t="str">
        <x:v>top_level_area</x:v>
      </x:c>
      <x:c r="L438" s="2" t="str">
        <x:v>property_type_inferred_from_title;transaction_assumed_sale_from_dataset_context</x:v>
      </x:c>
      <x:c r="M438" s="10" t="n">
        <x:v>0</x:v>
      </x:c>
      <x:c r="N438" s="10" t="n">
        <x:v>0</x:v>
      </x:c>
      <x:c r="O438" s="2" t="str">
        <x:v>Tp Hồ Chí Minh|house</x:v>
      </x:c>
      <x:c r="P438" s="10" t="n">
        <x:v>2</x:v>
      </x:c>
      <x:c r="Q438" s="13" t="n">
        <x:f>IF(H438="","",H438/1000000000)</x:f>
        <x:v>4.45</x:v>
      </x:c>
      <x:c r="R438" s="13" t="n">
        <x:f>IF(I438="","",I438/1000000)</x:f>
        <x:v>90.81632653061224</x:v>
      </x:c>
    </x:row>
    <x:row r="439" ht="21" customHeight="1">
      <x:c r="A439" s="10" t="n">
        <x:v>470</x:v>
      </x:c>
      <x:c r="B439" s="2" t="str">
        <x:v>1d8c4b4193af92796ea2</x:v>
      </x:c>
      <x:c r="C439" s="2" t="str">
        <x:v>Tp Hồ Chí Minh</x:v>
      </x:c>
      <x:c r="D439" s="2" t="str">
        <x:v>Huyện Hóc Môn</x:v>
      </x:c>
      <x:c r="E439" s="2" t="str">
        <x:v>house</x:v>
      </x:c>
      <x:c r="F439" s="2" t="str">
        <x:v>sale_assumed</x:v>
      </x:c>
      <x:c r="G439" s="11" t="n">
        <x:v>191</x:v>
      </x:c>
      <x:c r="H439" s="12" t="n">
        <x:v>4700000000</x:v>
      </x:c>
      <x:c r="I439" s="12" t="n">
        <x:v>24607329.842931937</x:v>
      </x:c>
      <x:c r="J439" s="2" t="str">
        <x:v>total</x:v>
      </x:c>
      <x:c r="K439" s="2" t="str">
        <x:v>top_level_area</x:v>
      </x:c>
      <x:c r="L439" s="2" t="str">
        <x:v>property_type_inferred_from_title;transaction_assumed_sale_from_dataset_context</x:v>
      </x:c>
      <x:c r="M439" s="10" t="n">
        <x:v>0</x:v>
      </x:c>
      <x:c r="N439" s="10" t="n">
        <x:v>0</x:v>
      </x:c>
      <x:c r="O439" s="2" t="str">
        <x:v>Tp Hồ Chí Minh|house</x:v>
      </x:c>
      <x:c r="P439" s="10" t="n">
        <x:v>2</x:v>
      </x:c>
      <x:c r="Q439" s="13" t="n">
        <x:f>IF(H439="","",H439/1000000000)</x:f>
        <x:v>4.7</x:v>
      </x:c>
      <x:c r="R439" s="13" t="n">
        <x:f>IF(I439="","",I439/1000000)</x:f>
        <x:v>24.607329842931936</x:v>
      </x:c>
    </x:row>
    <x:row r="440" ht="21" customHeight="1">
      <x:c r="A440" s="10" t="n">
        <x:v>471</x:v>
      </x:c>
      <x:c r="B440" s="2" t="str">
        <x:v>8d4ac1fe1c81e0f6a2ef</x:v>
      </x:c>
      <x:c r="C440" s="2" t="str">
        <x:v>Cần Thơ</x:v>
      </x:c>
      <x:c r="D440" s="2" t="str">
        <x:v>Quận Cái Răng</x:v>
      </x:c>
      <x:c r="E440" s="2" t="str">
        <x:v>house</x:v>
      </x:c>
      <x:c r="F440" s="2" t="str">
        <x:v>sale_assumed</x:v>
      </x:c>
      <x:c r="G440" s="11" t="n">
        <x:v>65</x:v>
      </x:c>
      <x:c r="H440" s="12" t="n">
        <x:v>3700000000</x:v>
      </x:c>
      <x:c r="I440" s="12" t="n">
        <x:v>56923076.92307692</x:v>
      </x:c>
      <x:c r="J440" s="2" t="str">
        <x:v>total</x:v>
      </x:c>
      <x:c r="K440" s="2" t="str">
        <x:v>top_level_area</x:v>
      </x:c>
      <x:c r="L440" s="2" t="str">
        <x:v>property_type_inferred_from_title;transaction_assumed_sale_from_dataset_context</x:v>
      </x:c>
      <x:c r="M440" s="10" t="n">
        <x:v>0</x:v>
      </x:c>
      <x:c r="N440" s="10" t="n">
        <x:v>0</x:v>
      </x:c>
      <x:c r="O440" s="2" t="str">
        <x:v>Cần Thơ|house</x:v>
      </x:c>
      <x:c r="P440" s="10" t="n">
        <x:v>2</x:v>
      </x:c>
      <x:c r="Q440" s="13" t="n">
        <x:f>IF(H440="","",H440/1000000000)</x:f>
        <x:v>3.7</x:v>
      </x:c>
      <x:c r="R440" s="13" t="n">
        <x:f>IF(I440="","",I440/1000000)</x:f>
        <x:v>56.92307692307692</x:v>
      </x:c>
    </x:row>
    <x:row r="441" ht="21" customHeight="1">
      <x:c r="A441" s="10" t="n">
        <x:v>472</x:v>
      </x:c>
      <x:c r="B441" s="2" t="str">
        <x:v>239a50f5977257418808</x:v>
      </x:c>
      <x:c r="C441" s="2" t="str">
        <x:v>Tp Hồ Chí Minh</x:v>
      </x:c>
      <x:c r="D441" s="2" t="str">
        <x:v>Quận Tân Phú</x:v>
      </x:c>
      <x:c r="E441" s="2" t="str">
        <x:v>house</x:v>
      </x:c>
      <x:c r="F441" s="2" t="str">
        <x:v>sale</x:v>
      </x:c>
      <x:c r="G441" s="11" t="n">
        <x:v>29</x:v>
      </x:c>
      <x:c r="H441" s="12" t="n">
        <x:v>2500000000</x:v>
      </x:c>
      <x:c r="I441" s="12" t="n">
        <x:v>86206896.55172414</x:v>
      </x:c>
      <x:c r="J441" s="2" t="str">
        <x:v>total</x:v>
      </x:c>
      <x:c r="K441" s="2" t="str">
        <x:v>top_level_area</x:v>
      </x:c>
      <x:c r="L441" s="2" t="str">
        <x:v>property_type_inferred_from_title</x:v>
      </x:c>
      <x:c r="M441" s="10" t="n">
        <x:v>0</x:v>
      </x:c>
      <x:c r="N441" s="10" t="n">
        <x:v>0</x:v>
      </x:c>
      <x:c r="O441" s="2" t="str">
        <x:v>Tp Hồ Chí Minh|house</x:v>
      </x:c>
      <x:c r="P441" s="10" t="n">
        <x:v>2</x:v>
      </x:c>
      <x:c r="Q441" s="13" t="n">
        <x:f>IF(H441="","",H441/1000000000)</x:f>
        <x:v>2.5</x:v>
      </x:c>
      <x:c r="R441" s="13" t="n">
        <x:f>IF(I441="","",I441/1000000)</x:f>
        <x:v>86.20689655172414</x:v>
      </x:c>
    </x:row>
    <x:row r="442" ht="21" customHeight="1">
      <x:c r="A442" s="10" t="n">
        <x:v>473</x:v>
      </x:c>
      <x:c r="B442" s="2" t="str">
        <x:v>64c1a0c10084a09e5544</x:v>
      </x:c>
      <x:c r="C442" s="2" t="str">
        <x:v>Tp Hồ Chí Minh</x:v>
      </x:c>
      <x:c r="D442" s="2" t="str">
        <x:v>Quận Gò Vấp</x:v>
      </x:c>
      <x:c r="E442" s="2" t="str">
        <x:v>house</x:v>
      </x:c>
      <x:c r="F442" s="2" t="str">
        <x:v>sale</x:v>
      </x:c>
      <x:c r="G442" s="11" t="n">
        <x:v>54.7</x:v>
      </x:c>
      <x:c r="H442" s="12" t="n">
        <x:v>6550000000</x:v>
      </x:c>
      <x:c r="I442" s="12" t="n">
        <x:v>119744058.50091407</x:v>
      </x:c>
      <x:c r="J442" s="2" t="str">
        <x:v>total</x:v>
      </x:c>
      <x:c r="K442" s="2" t="str">
        <x:v>top_level_price_embedded_area</x:v>
      </x:c>
      <x:c r="L442" s="2" t="str">
        <x:v>area_recovered_from_price_text;property_type_inferred_from_title</x:v>
      </x:c>
      <x:c r="M442" s="10" t="n">
        <x:v>0</x:v>
      </x:c>
      <x:c r="N442" s="10" t="n">
        <x:v>0</x:v>
      </x:c>
      <x:c r="O442" s="2" t="str">
        <x:v>Tp Hồ Chí Minh|house</x:v>
      </x:c>
      <x:c r="P442" s="10" t="n">
        <x:v>2</x:v>
      </x:c>
      <x:c r="Q442" s="13" t="n">
        <x:f>IF(H442="","",H442/1000000000)</x:f>
        <x:v>6.55</x:v>
      </x:c>
      <x:c r="R442" s="13" t="n">
        <x:f>IF(I442="","",I442/1000000)</x:f>
        <x:v>119.74405850091406</x:v>
      </x:c>
    </x:row>
    <x:row r="443" ht="21" customHeight="1">
      <x:c r="A443" s="10" t="n">
        <x:v>474</x:v>
      </x:c>
      <x:c r="B443" s="2" t="str">
        <x:v>11789ae57b942e1ff440</x:v>
      </x:c>
      <x:c r="C443" s="2" t="str">
        <x:v>Đà Nẵng</x:v>
      </x:c>
      <x:c r="D443" s="2" t="str">
        <x:v>Quận Liên Chiểu</x:v>
      </x:c>
      <x:c r="E443" s="2" t="str">
        <x:v>house</x:v>
      </x:c>
      <x:c r="F443" s="2" t="str">
        <x:v>sale</x:v>
      </x:c>
      <x:c r="G443" s="11" t="n">
        <x:v>67</x:v>
      </x:c>
      <x:c r="H443" s="12" t="n">
        <x:v>3150000000</x:v>
      </x:c>
      <x:c r="I443" s="12" t="n">
        <x:v>47014925.37313433</x:v>
      </x:c>
      <x:c r="J443" s="2" t="str">
        <x:v>total</x:v>
      </x:c>
      <x:c r="K443" s="2" t="str">
        <x:v>top_level_area</x:v>
      </x:c>
      <x:c r="L443" s="2" t="str">
        <x:v>property_type_inferred_from_title</x:v>
      </x:c>
      <x:c r="M443" s="10" t="n">
        <x:v>0</x:v>
      </x:c>
      <x:c r="N443" s="10" t="n">
        <x:v>0</x:v>
      </x:c>
      <x:c r="O443" s="2" t="str">
        <x:v>Đà Nẵng|house</x:v>
      </x:c>
      <x:c r="P443" s="10" t="n">
        <x:v>2</x:v>
      </x:c>
      <x:c r="Q443" s="13" t="n">
        <x:f>IF(H443="","",H443/1000000000)</x:f>
        <x:v>3.15</x:v>
      </x:c>
      <x:c r="R443" s="13" t="n">
        <x:f>IF(I443="","",I443/1000000)</x:f>
        <x:v>47.01492537313433</x:v>
      </x:c>
    </x:row>
    <x:row r="444" ht="21" customHeight="1">
      <x:c r="A444" s="10" t="n">
        <x:v>475</x:v>
      </x:c>
      <x:c r="B444" s="2" t="str">
        <x:v>b77dbc05a880c15545b6</x:v>
      </x:c>
      <x:c r="C444" s="2" t="str">
        <x:v>Tp Hồ Chí Minh</x:v>
      </x:c>
      <x:c r="D444" s="2" t="str">
        <x:v>Quận Tân Bình</x:v>
      </x:c>
      <x:c r="E444" s="2" t="str">
        <x:v>other_unknown</x:v>
      </x:c>
      <x:c r="F444" s="2" t="str">
        <x:v>sale_assumed</x:v>
      </x:c>
      <x:c r="G444" s="11" t="n">
        <x:v>80</x:v>
      </x:c>
      <x:c r="H444" s="12" t="n">
        <x:v>9900000000</x:v>
      </x:c>
      <x:c r="I444" s="12" t="n">
        <x:v>123750000</x:v>
      </x:c>
      <x:c r="J444" s="2" t="str">
        <x:v>total</x:v>
      </x:c>
      <x:c r="K444" s="2" t="str">
        <x:v>top_level_area</x:v>
      </x:c>
      <x:c r="L444" s="2" t="str">
        <x:v>property_type_inferred_from_title;transaction_assumed_sale_from_dataset_context;unknown_property_type</x:v>
      </x:c>
      <x:c r="M444" s="10" t="n">
        <x:v>0</x:v>
      </x:c>
      <x:c r="N444" s="10" t="n">
        <x:v>0</x:v>
      </x:c>
      <x:c r="O444" s="2" t="str">
        <x:v>Tp Hồ Chí Minh|other_unknown</x:v>
      </x:c>
      <x:c r="P444" s="10" t="n">
        <x:v>2</x:v>
      </x:c>
      <x:c r="Q444" s="13" t="n">
        <x:f>IF(H444="","",H444/1000000000)</x:f>
        <x:v>9.9</x:v>
      </x:c>
      <x:c r="R444" s="13" t="n">
        <x:f>IF(I444="","",I444/1000000)</x:f>
        <x:v>123.75</x:v>
      </x:c>
    </x:row>
    <x:row r="445" ht="21" customHeight="1">
      <x:c r="A445" s="10" t="n">
        <x:v>476</x:v>
      </x:c>
      <x:c r="B445" s="2" t="str">
        <x:v>fa09937c448351c59464</x:v>
      </x:c>
      <x:c r="C445" s="2" t="str">
        <x:v>Tp Hồ Chí Minh</x:v>
      </x:c>
      <x:c r="D445" s="2" t="str">
        <x:v>Quận Thủ Đức</x:v>
      </x:c>
      <x:c r="E445" s="2" t="str">
        <x:v>house</x:v>
      </x:c>
      <x:c r="F445" s="2" t="str">
        <x:v>sale_assumed</x:v>
      </x:c>
      <x:c r="G445" s="11" t="n">
        <x:v>15</x:v>
      </x:c>
      <x:c r="H445" s="12" t="n">
        <x:v>700000000</x:v>
      </x:c>
      <x:c r="I445" s="12" t="n">
        <x:v>46666666.666666664</x:v>
      </x:c>
      <x:c r="J445" s="2" t="str">
        <x:v>total</x:v>
      </x:c>
      <x:c r="K445" s="2" t="str">
        <x:v>top_level_area</x:v>
      </x:c>
      <x:c r="L445" s="2" t="str">
        <x:v>property_type_inferred_from_title;transaction_assumed_sale_from_dataset_context</x:v>
      </x:c>
      <x:c r="M445" s="10" t="n">
        <x:v>0</x:v>
      </x:c>
      <x:c r="N445" s="10" t="n">
        <x:v>0</x:v>
      </x:c>
      <x:c r="O445" s="2" t="str">
        <x:v>Tp Hồ Chí Minh|house</x:v>
      </x:c>
      <x:c r="P445" s="10" t="n">
        <x:v>2</x:v>
      </x:c>
      <x:c r="Q445" s="13" t="n">
        <x:f>IF(H445="","",H445/1000000000)</x:f>
        <x:v>0.7</x:v>
      </x:c>
      <x:c r="R445" s="13" t="n">
        <x:f>IF(I445="","",I445/1000000)</x:f>
        <x:v>46.666666666666664</x:v>
      </x:c>
    </x:row>
    <x:row r="446" ht="21" customHeight="1">
      <x:c r="A446" s="10" t="n">
        <x:v>477</x:v>
      </x:c>
      <x:c r="B446" s="2" t="str">
        <x:v>b2427cb84e3305f28266</x:v>
      </x:c>
      <x:c r="C446" s="2" t="str">
        <x:v>Tp Hồ Chí Minh</x:v>
      </x:c>
      <x:c r="D446" s="2" t="str">
        <x:v>Huyện Bình Chánh</x:v>
      </x:c>
      <x:c r="E446" s="2" t="str">
        <x:v>house</x:v>
      </x:c>
      <x:c r="F446" s="2" t="str">
        <x:v>sale_assumed</x:v>
      </x:c>
      <x:c r="G446" s="11" t="n">
        <x:v>80</x:v>
      </x:c>
      <x:c r="H446" s="12" t="n">
        <x:v>799000000</x:v>
      </x:c>
      <x:c r="I446" s="12" t="n">
        <x:v>9987500</x:v>
      </x:c>
      <x:c r="J446" s="2" t="str">
        <x:v>total</x:v>
      </x:c>
      <x:c r="K446" s="2" t="str">
        <x:v>top_level_area</x:v>
      </x:c>
      <x:c r="L446" s="2" t="str">
        <x:v>property_type_inferred_from_title;transaction_assumed_sale_from_dataset_context</x:v>
      </x:c>
      <x:c r="M446" s="10" t="n">
        <x:v>0</x:v>
      </x:c>
      <x:c r="N446" s="10" t="n">
        <x:v>0</x:v>
      </x:c>
      <x:c r="O446" s="2" t="str">
        <x:v>Tp Hồ Chí Minh|house</x:v>
      </x:c>
      <x:c r="P446" s="10" t="n">
        <x:v>2</x:v>
      </x:c>
      <x:c r="Q446" s="13" t="n">
        <x:f>IF(H446="","",H446/1000000000)</x:f>
        <x:v>0.799</x:v>
      </x:c>
      <x:c r="R446" s="13" t="n">
        <x:f>IF(I446="","",I446/1000000)</x:f>
        <x:v>9.9875</x:v>
      </x:c>
    </x:row>
    <x:row r="447" ht="21" customHeight="1">
      <x:c r="A447" s="10" t="n">
        <x:v>478</x:v>
      </x:c>
      <x:c r="B447" s="2" t="str">
        <x:v>4c3da9430d480208baa1</x:v>
      </x:c>
      <x:c r="C447" s="2" t="str">
        <x:v>Tp Hồ Chí Minh</x:v>
      </x:c>
      <x:c r="D447" s="2" t="str">
        <x:v>Quận Phú Nhuận</x:v>
      </x:c>
      <x:c r="E447" s="2" t="str">
        <x:v>house</x:v>
      </x:c>
      <x:c r="F447" s="2" t="str">
        <x:v>sale_assumed</x:v>
      </x:c>
      <x:c r="G447" s="11" t="n">
        <x:v>39</x:v>
      </x:c>
      <x:c r="H447" s="12" t="n">
        <x:v>5500000000</x:v>
      </x:c>
      <x:c r="I447" s="12" t="n">
        <x:v>141025641.02564102</x:v>
      </x:c>
      <x:c r="J447" s="2" t="str">
        <x:v>total</x:v>
      </x:c>
      <x:c r="K447" s="2" t="str">
        <x:v>top_level_area</x:v>
      </x:c>
      <x:c r="L447" s="2" t="str">
        <x:v>property_type_inferred_from_title;transaction_assumed_sale_from_dataset_context</x:v>
      </x:c>
      <x:c r="M447" s="10" t="n">
        <x:v>0</x:v>
      </x:c>
      <x:c r="N447" s="10" t="n">
        <x:v>0</x:v>
      </x:c>
      <x:c r="O447" s="2" t="str">
        <x:v>Tp Hồ Chí Minh|house</x:v>
      </x:c>
      <x:c r="P447" s="10" t="n">
        <x:v>2</x:v>
      </x:c>
      <x:c r="Q447" s="13" t="n">
        <x:f>IF(H447="","",H447/1000000000)</x:f>
        <x:v>5.5</x:v>
      </x:c>
      <x:c r="R447" s="13" t="n">
        <x:f>IF(I447="","",I447/1000000)</x:f>
        <x:v>141.02564102564102</x:v>
      </x:c>
    </x:row>
    <x:row r="448" ht="21" customHeight="1">
      <x:c r="A448" s="10" t="n">
        <x:v>479</x:v>
      </x:c>
      <x:c r="B448" s="2" t="str">
        <x:v>2adfa13a47d2583784d5</x:v>
      </x:c>
      <x:c r="C448" s="2" t="str">
        <x:v>Tp Hồ Chí Minh</x:v>
      </x:c>
      <x:c r="D448" s="2" t="str">
        <x:v>Quận Bình Tân</x:v>
      </x:c>
      <x:c r="E448" s="2" t="str">
        <x:v>house</x:v>
      </x:c>
      <x:c r="F448" s="2" t="str">
        <x:v>sale_assumed</x:v>
      </x:c>
      <x:c r="G448" s="11" t="n">
        <x:v>33</x:v>
      </x:c>
      <x:c r="H448" s="12" t="n">
        <x:v>2450000000</x:v>
      </x:c>
      <x:c r="I448" s="12" t="n">
        <x:v>74242424.24242425</x:v>
      </x:c>
      <x:c r="J448" s="2" t="str">
        <x:v>total</x:v>
      </x:c>
      <x:c r="K448" s="2" t="str">
        <x:v>top_level_area</x:v>
      </x:c>
      <x:c r="L448" s="2" t="str">
        <x:v>property_type_inferred_from_title;transaction_assumed_sale_from_dataset_context</x:v>
      </x:c>
      <x:c r="M448" s="10" t="n">
        <x:v>0</x:v>
      </x:c>
      <x:c r="N448" s="10" t="n">
        <x:v>0</x:v>
      </x:c>
      <x:c r="O448" s="2" t="str">
        <x:v>Tp Hồ Chí Minh|house</x:v>
      </x:c>
      <x:c r="P448" s="10" t="n">
        <x:v>2</x:v>
      </x:c>
      <x:c r="Q448" s="13" t="n">
        <x:f>IF(H448="","",H448/1000000000)</x:f>
        <x:v>2.45</x:v>
      </x:c>
      <x:c r="R448" s="13" t="n">
        <x:f>IF(I448="","",I448/1000000)</x:f>
        <x:v>74.24242424242425</x:v>
      </x:c>
    </x:row>
    <x:row r="449" ht="21" customHeight="1">
      <x:c r="A449" s="10" t="n">
        <x:v>480</x:v>
      </x:c>
      <x:c r="B449" s="2" t="str">
        <x:v>ca150cfa1c9a68ca219a</x:v>
      </x:c>
      <x:c r="C449" s="2" t="str">
        <x:v>Tp Hồ Chí Minh</x:v>
      </x:c>
      <x:c r="D449" s="2" t="str">
        <x:v>Quận 6</x:v>
      </x:c>
      <x:c r="E449" s="2" t="str">
        <x:v>house</x:v>
      </x:c>
      <x:c r="F449" s="2" t="str">
        <x:v>sale</x:v>
      </x:c>
      <x:c r="G449" s="11" t="n">
        <x:v>40</x:v>
      </x:c>
      <x:c r="H449" s="12" t="n">
        <x:v>6100000000</x:v>
      </x:c>
      <x:c r="I449" s="12" t="n">
        <x:v>152500000</x:v>
      </x:c>
      <x:c r="J449" s="2" t="str">
        <x:v>total</x:v>
      </x:c>
      <x:c r="K449" s="2" t="str">
        <x:v>top_level_area</x:v>
      </x:c>
      <x:c r="L449" s="2" t="str">
        <x:v>property_type_inferred_from_title</x:v>
      </x:c>
      <x:c r="M449" s="10" t="n">
        <x:v>0</x:v>
      </x:c>
      <x:c r="N449" s="10" t="n">
        <x:v>0</x:v>
      </x:c>
      <x:c r="O449" s="2" t="str">
        <x:v>Tp Hồ Chí Minh|house</x:v>
      </x:c>
      <x:c r="P449" s="10" t="n">
        <x:v>2</x:v>
      </x:c>
      <x:c r="Q449" s="13" t="n">
        <x:f>IF(H449="","",H449/1000000000)</x:f>
        <x:v>6.1</x:v>
      </x:c>
      <x:c r="R449" s="13" t="n">
        <x:f>IF(I449="","",I449/1000000)</x:f>
        <x:v>152.5</x:v>
      </x:c>
    </x:row>
    <x:row r="450" ht="21" customHeight="1">
      <x:c r="A450" s="10" t="n">
        <x:v>481</x:v>
      </x:c>
      <x:c r="B450" s="2" t="str">
        <x:v>e62542de79ef9e8420de</x:v>
      </x:c>
      <x:c r="C450" s="2" t="str">
        <x:v>Đà Nẵng</x:v>
      </x:c>
      <x:c r="D450" s="2" t="str">
        <x:v>Quận Sơn Trà</x:v>
      </x:c>
      <x:c r="E450" s="2" t="str">
        <x:v>house</x:v>
      </x:c>
      <x:c r="F450" s="2" t="str">
        <x:v>sale_assumed</x:v>
      </x:c>
      <x:c r="G450" s="11" t="n">
        <x:v>65</x:v>
      </x:c>
      <x:c r="H450" s="12" t="n">
        <x:v>7999999999</x:v>
      </x:c>
      <x:c r="I450" s="12" t="n">
        <x:v>123076923.06153846</x:v>
      </x:c>
      <x:c r="J450" s="2" t="str">
        <x:v>total</x:v>
      </x:c>
      <x:c r="K450" s="2" t="str">
        <x:v>top_level_area</x:v>
      </x:c>
      <x:c r="L450" s="2" t="str">
        <x:v>property_type_inferred_from_title;transaction_assumed_sale_from_dataset_context</x:v>
      </x:c>
      <x:c r="M450" s="10" t="n">
        <x:v>0</x:v>
      </x:c>
      <x:c r="N450" s="10" t="n">
        <x:v>0</x:v>
      </x:c>
      <x:c r="O450" s="2" t="str">
        <x:v>Đà Nẵng|house</x:v>
      </x:c>
      <x:c r="P450" s="10" t="n">
        <x:v>2</x:v>
      </x:c>
      <x:c r="Q450" s="13" t="n">
        <x:f>IF(H450="","",H450/1000000000)</x:f>
        <x:v>7.999999999</x:v>
      </x:c>
      <x:c r="R450" s="13" t="n">
        <x:f>IF(I450="","",I450/1000000)</x:f>
        <x:v>123.07692306153845</x:v>
      </x:c>
    </x:row>
    <x:row r="451" ht="21" customHeight="1">
      <x:c r="A451" s="10" t="n">
        <x:v>483</x:v>
      </x:c>
      <x:c r="B451" s="2" t="str">
        <x:v>4ee890a917504f967923</x:v>
      </x:c>
      <x:c r="C451" s="2" t="str">
        <x:v>Tp Hồ Chí Minh</x:v>
      </x:c>
      <x:c r="D451" s="2" t="str">
        <x:v>Quận Gò Vấp</x:v>
      </x:c>
      <x:c r="E451" s="2" t="str">
        <x:v>house</x:v>
      </x:c>
      <x:c r="F451" s="2" t="str">
        <x:v>sale</x:v>
      </x:c>
      <x:c r="G451" s="11" t="n">
        <x:v>30</x:v>
      </x:c>
      <x:c r="H451" s="12" t="n">
        <x:v>3200000000</x:v>
      </x:c>
      <x:c r="I451" s="12" t="n">
        <x:v>106666666.66666667</x:v>
      </x:c>
      <x:c r="J451" s="2" t="str">
        <x:v>total</x:v>
      </x:c>
      <x:c r="K451" s="2" t="str">
        <x:v>top_level_area</x:v>
      </x:c>
      <x:c r="L451" s="2" t="str">
        <x:v>property_type_inferred_from_title</x:v>
      </x:c>
      <x:c r="M451" s="10" t="n">
        <x:v>0</x:v>
      </x:c>
      <x:c r="N451" s="10" t="n">
        <x:v>0</x:v>
      </x:c>
      <x:c r="O451" s="2" t="str">
        <x:v>Tp Hồ Chí Minh|house</x:v>
      </x:c>
      <x:c r="P451" s="10" t="n">
        <x:v>2</x:v>
      </x:c>
      <x:c r="Q451" s="13" t="n">
        <x:f>IF(H451="","",H451/1000000000)</x:f>
        <x:v>3.2</x:v>
      </x:c>
      <x:c r="R451" s="13" t="n">
        <x:f>IF(I451="","",I451/1000000)</x:f>
        <x:v>106.66666666666667</x:v>
      </x:c>
    </x:row>
    <x:row r="452" ht="21" customHeight="1">
      <x:c r="A452" s="10" t="n">
        <x:v>484</x:v>
      </x:c>
      <x:c r="B452" s="2" t="str">
        <x:v>3a1044c30ff6baaee4ab</x:v>
      </x:c>
      <x:c r="C452" s="2" t="str">
        <x:v>Hà Nội</x:v>
      </x:c>
      <x:c r="D452" s="2" t="str">
        <x:v>Huyện Gia Lâm</x:v>
      </x:c>
      <x:c r="E452" s="2" t="str">
        <x:v>other_unknown</x:v>
      </x:c>
      <x:c r="F452" s="2" t="str">
        <x:v>sale</x:v>
      </x:c>
      <x:c r="G452" s="11" t="n">
        <x:v>82.4</x:v>
      </x:c>
      <x:c r="H452" s="12" t="n">
        <x:v>2300000000</x:v>
      </x:c>
      <x:c r="I452" s="12" t="n">
        <x:v>27912621.3592233</x:v>
      </x:c>
      <x:c r="J452" s="2" t="str">
        <x:v>total</x:v>
      </x:c>
      <x:c r="K452" s="2" t="str">
        <x:v>top_level_area</x:v>
      </x:c>
      <x:c r="L452" s="2" t="str">
        <x:v>property_type_inferred_from_title;unknown_property_type</x:v>
      </x:c>
      <x:c r="M452" s="10" t="n">
        <x:v>0</x:v>
      </x:c>
      <x:c r="N452" s="10" t="n">
        <x:v>0</x:v>
      </x:c>
      <x:c r="O452" s="2" t="str">
        <x:v>Hà Nội|other_unknown</x:v>
      </x:c>
      <x:c r="P452" s="10" t="n">
        <x:v>2</x:v>
      </x:c>
      <x:c r="Q452" s="13" t="n">
        <x:f>IF(H452="","",H452/1000000000)</x:f>
        <x:v>2.3</x:v>
      </x:c>
      <x:c r="R452" s="13" t="n">
        <x:f>IF(I452="","",I452/1000000)</x:f>
        <x:v>27.912621359223298</x:v>
      </x:c>
    </x:row>
    <x:row r="453" ht="21" customHeight="1">
      <x:c r="A453" s="10" t="n">
        <x:v>485</x:v>
      </x:c>
      <x:c r="B453" s="2" t="str">
        <x:v>06a612aad97c6e000f16</x:v>
      </x:c>
      <x:c r="C453" s="2" t="str">
        <x:v>Tp Hồ Chí Minh</x:v>
      </x:c>
      <x:c r="D453" s="2" t="str">
        <x:v>Huyện Bình Chánh</x:v>
      </x:c>
      <x:c r="E453" s="2" t="str">
        <x:v>house</x:v>
      </x:c>
      <x:c r="F453" s="2" t="str">
        <x:v>sale_assumed</x:v>
      </x:c>
      <x:c r="G453" s="11" t="n">
        <x:v>85</x:v>
      </x:c>
      <x:c r="H453" s="12" t="n">
        <x:v>1100000000</x:v>
      </x:c>
      <x:c r="I453" s="12" t="n">
        <x:v>12941176.470588235</x:v>
      </x:c>
      <x:c r="J453" s="2" t="str">
        <x:v>total</x:v>
      </x:c>
      <x:c r="K453" s="2" t="str">
        <x:v>top_level_area</x:v>
      </x:c>
      <x:c r="L453" s="2" t="str">
        <x:v>property_type_inferred_from_title;transaction_assumed_sale_from_dataset_context</x:v>
      </x:c>
      <x:c r="M453" s="10" t="n">
        <x:v>0</x:v>
      </x:c>
      <x:c r="N453" s="10" t="n">
        <x:v>0</x:v>
      </x:c>
      <x:c r="O453" s="2" t="str">
        <x:v>Tp Hồ Chí Minh|house</x:v>
      </x:c>
      <x:c r="P453" s="10" t="n">
        <x:v>2</x:v>
      </x:c>
      <x:c r="Q453" s="13" t="n">
        <x:f>IF(H453="","",H453/1000000000)</x:f>
        <x:v>1.1</x:v>
      </x:c>
      <x:c r="R453" s="13" t="n">
        <x:f>IF(I453="","",I453/1000000)</x:f>
        <x:v>12.941176470588236</x:v>
      </x:c>
    </x:row>
    <x:row r="454" ht="21" customHeight="1">
      <x:c r="A454" s="10" t="n">
        <x:v>486</x:v>
      </x:c>
      <x:c r="B454" s="2" t="str">
        <x:v>cee422fe0a101678da8b</x:v>
      </x:c>
      <x:c r="C454" s="2" t="str">
        <x:v>Tp Hồ Chí Minh</x:v>
      </x:c>
      <x:c r="D454" s="2" t="str">
        <x:v>Quận Bình Thạnh</x:v>
      </x:c>
      <x:c r="E454" s="2" t="str">
        <x:v>house</x:v>
      </x:c>
      <x:c r="F454" s="2" t="str">
        <x:v>sale_assumed</x:v>
      </x:c>
      <x:c r="G454" s="11" t="n">
        <x:v>45</x:v>
      </x:c>
      <x:c r="H454" s="12" t="n">
        <x:v>2240000000</x:v>
      </x:c>
      <x:c r="I454" s="12" t="n">
        <x:v>49777777.777777776</x:v>
      </x:c>
      <x:c r="J454" s="2" t="str">
        <x:v>total</x:v>
      </x:c>
      <x:c r="K454" s="2" t="str">
        <x:v>top_level_area</x:v>
      </x:c>
      <x:c r="L454" s="2" t="str">
        <x:v>property_type_inferred_from_title;transaction_assumed_sale_from_dataset_context</x:v>
      </x:c>
      <x:c r="M454" s="10" t="n">
        <x:v>0</x:v>
      </x:c>
      <x:c r="N454" s="10" t="n">
        <x:v>0</x:v>
      </x:c>
      <x:c r="O454" s="2" t="str">
        <x:v>Tp Hồ Chí Minh|house</x:v>
      </x:c>
      <x:c r="P454" s="10" t="n">
        <x:v>2</x:v>
      </x:c>
      <x:c r="Q454" s="13" t="n">
        <x:f>IF(H454="","",H454/1000000000)</x:f>
        <x:v>2.24</x:v>
      </x:c>
      <x:c r="R454" s="13" t="n">
        <x:f>IF(I454="","",I454/1000000)</x:f>
        <x:v>49.77777777777778</x:v>
      </x:c>
    </x:row>
    <x:row r="455" ht="21" customHeight="1">
      <x:c r="A455" s="10" t="n">
        <x:v>487</x:v>
      </x:c>
      <x:c r="B455" s="2" t="str">
        <x:v>3db77f58e675f1c18701</x:v>
      </x:c>
      <x:c r="C455" s="2" t="str">
        <x:v>Tp Hồ Chí Minh</x:v>
      </x:c>
      <x:c r="D455" s="2" t="str">
        <x:v>Huyện Hóc Môn</x:v>
      </x:c>
      <x:c r="E455" s="2" t="str">
        <x:v>house</x:v>
      </x:c>
      <x:c r="F455" s="2" t="str">
        <x:v>sale_assumed</x:v>
      </x:c>
      <x:c r="G455" s="11" t="n">
        <x:v>42</x:v>
      </x:c>
      <x:c r="H455" s="12" t="n">
        <x:v>1400000000</x:v>
      </x:c>
      <x:c r="I455" s="12" t="n">
        <x:v>33333333.333333332</x:v>
      </x:c>
      <x:c r="J455" s="2" t="str">
        <x:v>total</x:v>
      </x:c>
      <x:c r="K455" s="2" t="str">
        <x:v>top_level_area</x:v>
      </x:c>
      <x:c r="L455" s="2" t="str">
        <x:v>property_type_inferred_from_title;transaction_assumed_sale_from_dataset_context</x:v>
      </x:c>
      <x:c r="M455" s="10" t="n">
        <x:v>0</x:v>
      </x:c>
      <x:c r="N455" s="10" t="n">
        <x:v>0</x:v>
      </x:c>
      <x:c r="O455" s="2" t="str">
        <x:v>Tp Hồ Chí Minh|house</x:v>
      </x:c>
      <x:c r="P455" s="10" t="n">
        <x:v>2</x:v>
      </x:c>
      <x:c r="Q455" s="13" t="n">
        <x:f>IF(H455="","",H455/1000000000)</x:f>
        <x:v>1.4</x:v>
      </x:c>
      <x:c r="R455" s="13" t="n">
        <x:f>IF(I455="","",I455/1000000)</x:f>
        <x:v>33.33333333333333</x:v>
      </x:c>
    </x:row>
    <x:row r="456" ht="21" customHeight="1">
      <x:c r="A456" s="10" t="n">
        <x:v>488</x:v>
      </x:c>
      <x:c r="B456" s="2" t="str">
        <x:v>0bc06214c63866679153</x:v>
      </x:c>
      <x:c r="C456" s="2" t="str">
        <x:v>Đà Nẵng</x:v>
      </x:c>
      <x:c r="D456" s="2" t="str">
        <x:v>Huyện Hòa Vang</x:v>
      </x:c>
      <x:c r="E456" s="2" t="str">
        <x:v>land</x:v>
      </x:c>
      <x:c r="F456" s="2" t="str">
        <x:v>sale_assumed</x:v>
      </x:c>
      <x:c r="G456" s="11" t="n">
        <x:v>101</x:v>
      </x:c>
      <x:c r="H456" s="12" t="n">
        <x:v>622000000</x:v>
      </x:c>
      <x:c r="I456" s="12" t="n">
        <x:v>6158415.841584158</x:v>
      </x:c>
      <x:c r="J456" s="2" t="str">
        <x:v>total</x:v>
      </x:c>
      <x:c r="K456" s="2" t="str">
        <x:v>top_level_area</x:v>
      </x:c>
      <x:c r="L456" s="2" t="str">
        <x:v>property_type_inferred_from_title;transaction_assumed_sale_from_dataset_context</x:v>
      </x:c>
      <x:c r="M456" s="10" t="n">
        <x:v>0</x:v>
      </x:c>
      <x:c r="N456" s="10" t="n">
        <x:v>0</x:v>
      </x:c>
      <x:c r="O456" s="2" t="str">
        <x:v>Đà Nẵng|land</x:v>
      </x:c>
      <x:c r="P456" s="10" t="n">
        <x:v>2</x:v>
      </x:c>
      <x:c r="Q456" s="13" t="n">
        <x:f>IF(H456="","",H456/1000000000)</x:f>
        <x:v>0.622</x:v>
      </x:c>
      <x:c r="R456" s="13" t="n">
        <x:f>IF(I456="","",I456/1000000)</x:f>
        <x:v>6.158415841584159</x:v>
      </x:c>
    </x:row>
    <x:row r="457" ht="21" customHeight="1">
      <x:c r="A457" s="10" t="n">
        <x:v>489</x:v>
      </x:c>
      <x:c r="B457" s="2" t="str">
        <x:v>09bd47fb18f1ea0d20d8</x:v>
      </x:c>
      <x:c r="C457" s="2" t="str">
        <x:v>Tp Hồ Chí Minh</x:v>
      </x:c>
      <x:c r="D457" s="2" t="str">
        <x:v>Quận 10</x:v>
      </x:c>
      <x:c r="E457" s="2" t="str">
        <x:v>apartment</x:v>
      </x:c>
      <x:c r="F457" s="2" t="str">
        <x:v>sale_assumed</x:v>
      </x:c>
      <x:c r="G457" s="11" t="n">
        <x:v>53</x:v>
      </x:c>
      <x:c r="H457" s="12" t="n">
        <x:v>4099999999.9999995</x:v>
      </x:c>
      <x:c r="I457" s="12" t="n">
        <x:v>77358490.56603773</x:v>
      </x:c>
      <x:c r="J457" s="2" t="str">
        <x:v>total</x:v>
      </x:c>
      <x:c r="K457" s="2" t="str">
        <x:v>top_level_area</x:v>
      </x:c>
      <x:c r="L457" s="2" t="str">
        <x:v>property_type_inferred_from_title;transaction_assumed_sale_from_dataset_context</x:v>
      </x:c>
      <x:c r="M457" s="10" t="n">
        <x:v>0</x:v>
      </x:c>
      <x:c r="N457" s="10" t="n">
        <x:v>1</x:v>
      </x:c>
      <x:c r="O457" s="2" t="str">
        <x:v>Tp Hồ Chí Minh|apartment</x:v>
      </x:c>
      <x:c r="P457" s="10" t="n">
        <x:v>-1</x:v>
      </x:c>
      <x:c r="Q457" s="13" t="n">
        <x:f>IF(H457="","",H457/1000000000)</x:f>
        <x:v>4.1</x:v>
      </x:c>
      <x:c r="R457" s="13" t="n">
        <x:f>IF(I457="","",I457/1000000)</x:f>
        <x:v>77.35849056603773</x:v>
      </x:c>
    </x:row>
    <x:row r="458" ht="21" customHeight="1">
      <x:c r="A458" s="10" t="n">
        <x:v>490</x:v>
      </x:c>
      <x:c r="B458" s="2" t="str">
        <x:v>4201e0d968ac213f6f96</x:v>
      </x:c>
      <x:c r="C458" s="2" t="str">
        <x:v>Hà Nội</x:v>
      </x:c>
      <x:c r="D458" s="2" t="str">
        <x:v>Huyện Thanh Trì</x:v>
      </x:c>
      <x:c r="E458" s="2" t="str">
        <x:v>house</x:v>
      </x:c>
      <x:c r="F458" s="2" t="str">
        <x:v>sale_assumed</x:v>
      </x:c>
      <x:c r="G458" s="11" t="n">
        <x:v>40</x:v>
      </x:c>
      <x:c r="H458" s="12" t="n">
        <x:v>1880000000</x:v>
      </x:c>
      <x:c r="I458" s="12" t="n">
        <x:v>47000000</x:v>
      </x:c>
      <x:c r="J458" s="2" t="str">
        <x:v>total</x:v>
      </x:c>
      <x:c r="K458" s="2" t="str">
        <x:v>top_level_area</x:v>
      </x:c>
      <x:c r="L458" s="2" t="str">
        <x:v>property_type_inferred_from_title;transaction_assumed_sale_from_dataset_context</x:v>
      </x:c>
      <x:c r="M458" s="10" t="n">
        <x:v>0</x:v>
      </x:c>
      <x:c r="N458" s="10" t="n">
        <x:v>0</x:v>
      </x:c>
      <x:c r="O458" s="2" t="str">
        <x:v>Hà Nội|house</x:v>
      </x:c>
      <x:c r="P458" s="10" t="n">
        <x:v>2</x:v>
      </x:c>
      <x:c r="Q458" s="13" t="n">
        <x:f>IF(H458="","",H458/1000000000)</x:f>
        <x:v>1.88</x:v>
      </x:c>
      <x:c r="R458" s="13" t="n">
        <x:f>IF(I458="","",I458/1000000)</x:f>
        <x:v>47</x:v>
      </x:c>
    </x:row>
    <x:row r="459" ht="21" customHeight="1">
      <x:c r="A459" s="10" t="n">
        <x:v>491</x:v>
      </x:c>
      <x:c r="B459" s="2" t="str">
        <x:v>885e4dfe7e53cbb64dbb</x:v>
      </x:c>
      <x:c r="C459" s="2" t="str">
        <x:v>Đà Nẵng</x:v>
      </x:c>
      <x:c r="D459" s="2" t="str">
        <x:v>Quận Ngũ Hành Sơn</x:v>
      </x:c>
      <x:c r="E459" s="2" t="str">
        <x:v>other_unknown</x:v>
      </x:c>
      <x:c r="F459" s="2" t="str">
        <x:v>sale_assumed</x:v>
      </x:c>
      <x:c r="G459" s="11" t="n">
        <x:v>123</x:v>
      </x:c>
      <x:c r="H459" s="12" t="n">
        <x:v>28000000000</x:v>
      </x:c>
      <x:c r="I459" s="12" t="n">
        <x:v>227642276.42276424</x:v>
      </x:c>
      <x:c r="J459" s="2" t="str">
        <x:v>total</x:v>
      </x:c>
      <x:c r="K459" s="2" t="str">
        <x:v>top_level_area</x:v>
      </x:c>
      <x:c r="L459" s="2" t="str">
        <x:v>property_type_inferred_from_title;transaction_assumed_sale_from_dataset_context;unknown_property_type</x:v>
      </x:c>
      <x:c r="M459" s="10" t="n">
        <x:v>1</x:v>
      </x:c>
      <x:c r="N459" s="10" t="n">
        <x:v>1</x:v>
      </x:c>
      <x:c r="O459" s="2" t="str">
        <x:v>Đà Nẵng|other_unknown</x:v>
      </x:c>
      <x:c r="P459" s="10" t="n">
        <x:v>-1</x:v>
      </x:c>
      <x:c r="Q459" s="13" t="n">
        <x:f>IF(H459="","",H459/1000000000)</x:f>
        <x:v>28</x:v>
      </x:c>
      <x:c r="R459" s="13" t="n">
        <x:f>IF(I459="","",I459/1000000)</x:f>
        <x:v>227.64227642276424</x:v>
      </x:c>
    </x:row>
    <x:row r="460" ht="21" customHeight="1">
      <x:c r="A460" s="10" t="n">
        <x:v>492</x:v>
      </x:c>
      <x:c r="B460" s="2" t="str">
        <x:v>cf4ff1abd96bd4a242a5</x:v>
      </x:c>
      <x:c r="C460" s="2" t="str">
        <x:v>Tp Hồ Chí Minh</x:v>
      </x:c>
      <x:c r="D460" s="2" t="str">
        <x:v>Quận Thủ Đức</x:v>
      </x:c>
      <x:c r="E460" s="2" t="str">
        <x:v>house</x:v>
      </x:c>
      <x:c r="F460" s="2" t="str">
        <x:v>sale</x:v>
      </x:c>
      <x:c r="G460" s="11" t="n">
        <x:v>69</x:v>
      </x:c>
      <x:c r="H460" s="12" t="n">
        <x:v>6300000000</x:v>
      </x:c>
      <x:c r="I460" s="12" t="n">
        <x:v>91304347.82608695</x:v>
      </x:c>
      <x:c r="J460" s="2" t="str">
        <x:v>total</x:v>
      </x:c>
      <x:c r="K460" s="2" t="str">
        <x:v>top_level_area</x:v>
      </x:c>
      <x:c r="L460" s="2" t="str">
        <x:v>property_type_inferred_from_title</x:v>
      </x:c>
      <x:c r="M460" s="10" t="n">
        <x:v>0</x:v>
      </x:c>
      <x:c r="N460" s="10" t="n">
        <x:v>0</x:v>
      </x:c>
      <x:c r="O460" s="2" t="str">
        <x:v>Tp Hồ Chí Minh|house</x:v>
      </x:c>
      <x:c r="P460" s="10" t="n">
        <x:v>2</x:v>
      </x:c>
      <x:c r="Q460" s="13" t="n">
        <x:f>IF(H460="","",H460/1000000000)</x:f>
        <x:v>6.3</x:v>
      </x:c>
      <x:c r="R460" s="13" t="n">
        <x:f>IF(I460="","",I460/1000000)</x:f>
        <x:v>91.30434782608695</x:v>
      </x:c>
    </x:row>
    <x:row r="461" ht="21" customHeight="1">
      <x:c r="A461" s="10" t="n">
        <x:v>493</x:v>
      </x:c>
      <x:c r="B461" s="2" t="str">
        <x:v>d374567110e417d8babb</x:v>
      </x:c>
      <x:c r="C461" s="2" t="str">
        <x:v>Tp Hồ Chí Minh</x:v>
      </x:c>
      <x:c r="D461" s="2" t="str">
        <x:v>Huyện Hóc Môn</x:v>
      </x:c>
      <x:c r="E461" s="2" t="str">
        <x:v>house</x:v>
      </x:c>
      <x:c r="F461" s="2" t="str">
        <x:v>sale_assumed</x:v>
      </x:c>
      <x:c r="G461" s="11" t="n">
        <x:v>60</x:v>
      </x:c>
      <x:c r="H461" s="12" t="n">
        <x:v>4750000000</x:v>
      </x:c>
      <x:c r="I461" s="12" t="n">
        <x:v>79166666.66666667</x:v>
      </x:c>
      <x:c r="J461" s="2" t="str">
        <x:v>total</x:v>
      </x:c>
      <x:c r="K461" s="2" t="str">
        <x:v>top_level_area</x:v>
      </x:c>
      <x:c r="L461" s="2" t="str">
        <x:v>property_type_inferred_from_title;transaction_assumed_sale_from_dataset_context</x:v>
      </x:c>
      <x:c r="M461" s="10" t="n">
        <x:v>0</x:v>
      </x:c>
      <x:c r="N461" s="10" t="n">
        <x:v>0</x:v>
      </x:c>
      <x:c r="O461" s="2" t="str">
        <x:v>Tp Hồ Chí Minh|house</x:v>
      </x:c>
      <x:c r="P461" s="10" t="n">
        <x:v>2</x:v>
      </x:c>
      <x:c r="Q461" s="13" t="n">
        <x:f>IF(H461="","",H461/1000000000)</x:f>
        <x:v>4.75</x:v>
      </x:c>
      <x:c r="R461" s="13" t="n">
        <x:f>IF(I461="","",I461/1000000)</x:f>
        <x:v>79.16666666666667</x:v>
      </x:c>
    </x:row>
    <x:row r="462" ht="21" customHeight="1">
      <x:c r="A462" s="10" t="n">
        <x:v>494</x:v>
      </x:c>
      <x:c r="B462" s="2" t="str">
        <x:v>403e41eec588f22a84c0</x:v>
      </x:c>
      <x:c r="C462" s="2" t="str">
        <x:v>Tp Hồ Chí Minh</x:v>
      </x:c>
      <x:c r="D462" s="2" t="str">
        <x:v>Quận Bình Tân</x:v>
      </x:c>
      <x:c r="E462" s="2" t="str">
        <x:v>apartment</x:v>
      </x:c>
      <x:c r="F462" s="2" t="str">
        <x:v>sale</x:v>
      </x:c>
      <x:c r="G462" s="11" t="n">
        <x:v>75</x:v>
      </x:c>
      <x:c r="H462" s="12" t="n">
        <x:v>2490000000</x:v>
      </x:c>
      <x:c r="I462" s="12" t="n">
        <x:v>33200000</x:v>
      </x:c>
      <x:c r="J462" s="2" t="str">
        <x:v>total</x:v>
      </x:c>
      <x:c r="K462" s="2" t="str">
        <x:v>top_level_area</x:v>
      </x:c>
      <x:c r="L462" s="2" t="str">
        <x:v>property_type_inferred_from_title</x:v>
      </x:c>
      <x:c r="M462" s="10" t="n">
        <x:v>0</x:v>
      </x:c>
      <x:c r="N462" s="10" t="n">
        <x:v>0</x:v>
      </x:c>
      <x:c r="O462" s="2" t="str">
        <x:v>Tp Hồ Chí Minh|apartment</x:v>
      </x:c>
      <x:c r="P462" s="10" t="n">
        <x:v>2</x:v>
      </x:c>
      <x:c r="Q462" s="13" t="n">
        <x:f>IF(H462="","",H462/1000000000)</x:f>
        <x:v>2.49</x:v>
      </x:c>
      <x:c r="R462" s="13" t="n">
        <x:f>IF(I462="","",I462/1000000)</x:f>
        <x:v>33.2</x:v>
      </x:c>
    </x:row>
    <x:row r="463" ht="21" customHeight="1">
      <x:c r="A463" s="10" t="n">
        <x:v>495</x:v>
      </x:c>
      <x:c r="B463" s="2" t="str">
        <x:v>e1ade1195eff7d2ce542</x:v>
      </x:c>
      <x:c r="C463" s="2" t="str">
        <x:v>Tp Hồ Chí Minh</x:v>
      </x:c>
      <x:c r="D463" s="2" t="str">
        <x:v>Quận Bình Thạnh</x:v>
      </x:c>
      <x:c r="E463" s="2" t="str">
        <x:v>other_unknown</x:v>
      </x:c>
      <x:c r="F463" s="2" t="str">
        <x:v>sale_assumed</x:v>
      </x:c>
      <x:c r="G463" s="11" t="n">
        <x:v>58</x:v>
      </x:c>
      <x:c r="H463" s="12" t="n">
        <x:v>8990000000</x:v>
      </x:c>
      <x:c r="I463" s="12" t="n">
        <x:v>155000000</x:v>
      </x:c>
      <x:c r="J463" s="2" t="str">
        <x:v>total</x:v>
      </x:c>
      <x:c r="K463" s="2" t="str">
        <x:v>top_level_area</x:v>
      </x:c>
      <x:c r="L463" s="2" t="str">
        <x:v>property_type_inferred_from_title;transaction_assumed_sale_from_dataset_context;unknown_property_type</x:v>
      </x:c>
      <x:c r="M463" s="10" t="n">
        <x:v>0</x:v>
      </x:c>
      <x:c r="N463" s="10" t="n">
        <x:v>0</x:v>
      </x:c>
      <x:c r="O463" s="2" t="str">
        <x:v>Tp Hồ Chí Minh|other_unknown</x:v>
      </x:c>
      <x:c r="P463" s="10" t="n">
        <x:v>2</x:v>
      </x:c>
      <x:c r="Q463" s="13" t="n">
        <x:f>IF(H463="","",H463/1000000000)</x:f>
        <x:v>8.99</x:v>
      </x:c>
      <x:c r="R463" s="13" t="n">
        <x:f>IF(I463="","",I463/1000000)</x:f>
        <x:v>155</x:v>
      </x:c>
    </x:row>
    <x:row r="464" ht="21" customHeight="1">
      <x:c r="A464" s="10" t="n">
        <x:v>496</x:v>
      </x:c>
      <x:c r="B464" s="2" t="str">
        <x:v>7e80276fd9415a63c0ea</x:v>
      </x:c>
      <x:c r="C464" s="2" t="str">
        <x:v>Tp Hồ Chí Minh</x:v>
      </x:c>
      <x:c r="D464" s="2" t="str">
        <x:v>Quận Tân Phú</x:v>
      </x:c>
      <x:c r="E464" s="2" t="str">
        <x:v>house</x:v>
      </x:c>
      <x:c r="F464" s="2" t="str">
        <x:v>sale_assumed</x:v>
      </x:c>
      <x:c r="G464" s="11" t="n">
        <x:v>57.2</x:v>
      </x:c>
      <x:c r="H464" s="12" t="n">
        <x:v>7800000000</x:v>
      </x:c>
      <x:c r="I464" s="12" t="n">
        <x:v>136363636.36363634</x:v>
      </x:c>
      <x:c r="J464" s="2" t="str">
        <x:v>total</x:v>
      </x:c>
      <x:c r="K464" s="2" t="str">
        <x:v>top_level_area</x:v>
      </x:c>
      <x:c r="L464" s="2" t="str">
        <x:v>property_type_inferred_from_title;transaction_assumed_sale_from_dataset_context</x:v>
      </x:c>
      <x:c r="M464" s="10" t="n">
        <x:v>0</x:v>
      </x:c>
      <x:c r="N464" s="10" t="n">
        <x:v>0</x:v>
      </x:c>
      <x:c r="O464" s="2" t="str">
        <x:v>Tp Hồ Chí Minh|house</x:v>
      </x:c>
      <x:c r="P464" s="10" t="n">
        <x:v>2</x:v>
      </x:c>
      <x:c r="Q464" s="13" t="n">
        <x:f>IF(H464="","",H464/1000000000)</x:f>
        <x:v>7.8</x:v>
      </x:c>
      <x:c r="R464" s="13" t="n">
        <x:f>IF(I464="","",I464/1000000)</x:f>
        <x:v>136.36363636363635</x:v>
      </x:c>
    </x:row>
    <x:row r="465" ht="21" customHeight="1">
      <x:c r="A465" s="10" t="n">
        <x:v>497</x:v>
      </x:c>
      <x:c r="B465" s="2" t="str">
        <x:v>775dc1e223072a1d83d9</x:v>
      </x:c>
      <x:c r="C465" s="2" t="str">
        <x:v>Tp Hồ Chí Minh</x:v>
      </x:c>
      <x:c r="D465" s="2" t="str">
        <x:v>Huyện Nhà Bè</x:v>
      </x:c>
      <x:c r="E465" s="2" t="str">
        <x:v>house</x:v>
      </x:c>
      <x:c r="F465" s="2" t="str">
        <x:v>sale_assumed</x:v>
      </x:c>
      <x:c r="G465" s="11" t="n">
        <x:v>100</x:v>
      </x:c>
      <x:c r="H465" s="12" t="n">
        <x:v>3450000000</x:v>
      </x:c>
      <x:c r="I465" s="12" t="n">
        <x:v>34500000</x:v>
      </x:c>
      <x:c r="J465" s="2" t="str">
        <x:v>total</x:v>
      </x:c>
      <x:c r="K465" s="2" t="str">
        <x:v>top_level_area</x:v>
      </x:c>
      <x:c r="L465" s="2" t="str">
        <x:v>property_type_inferred_from_title;transaction_assumed_sale_from_dataset_context</x:v>
      </x:c>
      <x:c r="M465" s="10" t="n">
        <x:v>0</x:v>
      </x:c>
      <x:c r="N465" s="10" t="n">
        <x:v>0</x:v>
      </x:c>
      <x:c r="O465" s="2" t="str">
        <x:v>Tp Hồ Chí Minh|house</x:v>
      </x:c>
      <x:c r="P465" s="10" t="n">
        <x:v>2</x:v>
      </x:c>
      <x:c r="Q465" s="13" t="n">
        <x:f>IF(H465="","",H465/1000000000)</x:f>
        <x:v>3.45</x:v>
      </x:c>
      <x:c r="R465" s="13" t="n">
        <x:f>IF(I465="","",I465/1000000)</x:f>
        <x:v>34.5</x:v>
      </x:c>
    </x:row>
    <x:row r="466" ht="21" customHeight="1">
      <x:c r="A466" s="10" t="n">
        <x:v>498</x:v>
      </x:c>
      <x:c r="B466" s="2" t="str">
        <x:v>e2c77570a4eb3d04024c</x:v>
      </x:c>
      <x:c r="C466" s="2" t="str">
        <x:v>Tp Hồ Chí Minh</x:v>
      </x:c>
      <x:c r="D466" s="2" t="str">
        <x:v>Huyện Củ Chi</x:v>
      </x:c>
      <x:c r="E466" s="2" t="str">
        <x:v>land</x:v>
      </x:c>
      <x:c r="F466" s="2" t="str">
        <x:v>sale_assumed</x:v>
      </x:c>
      <x:c r="G466" s="11" t="n">
        <x:v>326</x:v>
      </x:c>
      <x:c r="H466" s="12" t="n">
        <x:v>3900000000</x:v>
      </x:c>
      <x:c r="I466" s="12" t="n">
        <x:v>11963190.18404908</x:v>
      </x:c>
      <x:c r="J466" s="2" t="str">
        <x:v>total</x:v>
      </x:c>
      <x:c r="K466" s="2" t="str">
        <x:v>top_level_area</x:v>
      </x:c>
      <x:c r="L466" s="2" t="str">
        <x:v>property_type_inferred_from_title;transaction_assumed_sale_from_dataset_context</x:v>
      </x:c>
      <x:c r="M466" s="10" t="n">
        <x:v>0</x:v>
      </x:c>
      <x:c r="N466" s="10" t="n">
        <x:v>0</x:v>
      </x:c>
      <x:c r="O466" s="2" t="str">
        <x:v>Tp Hồ Chí Minh|land</x:v>
      </x:c>
      <x:c r="P466" s="10" t="n">
        <x:v>1</x:v>
      </x:c>
      <x:c r="Q466" s="13" t="n">
        <x:f>IF(H466="","",H466/1000000000)</x:f>
        <x:v>3.9</x:v>
      </x:c>
      <x:c r="R466" s="13" t="n">
        <x:f>IF(I466="","",I466/1000000)</x:f>
        <x:v>11.963190184049079</x:v>
      </x:c>
    </x:row>
    <x:row r="467" ht="21" customHeight="1">
      <x:c r="A467" s="10" t="n">
        <x:v>499</x:v>
      </x:c>
      <x:c r="B467" s="2" t="str">
        <x:v>0b62dffa186b758d6e03</x:v>
      </x:c>
      <x:c r="C467" s="2" t="str">
        <x:v>Tp Hồ Chí Minh</x:v>
      </x:c>
      <x:c r="D467" s="2" t="str">
        <x:v>Quận Gò Vấp</x:v>
      </x:c>
      <x:c r="E467" s="2" t="str">
        <x:v>house</x:v>
      </x:c>
      <x:c r="F467" s="2" t="str">
        <x:v>sale_assumed</x:v>
      </x:c>
      <x:c r="G467" s="11" t="n">
        <x:v>61</x:v>
      </x:c>
      <x:c r="H467" s="12" t="n">
        <x:v>5400000000</x:v>
      </x:c>
      <x:c r="I467" s="12" t="n">
        <x:v>88524590.16393442</x:v>
      </x:c>
      <x:c r="J467" s="2" t="str">
        <x:v>total</x:v>
      </x:c>
      <x:c r="K467" s="2" t="str">
        <x:v>top_level_area</x:v>
      </x:c>
      <x:c r="L467" s="2" t="str">
        <x:v>property_type_inferred_from_title;transaction_assumed_sale_from_dataset_context</x:v>
      </x:c>
      <x:c r="M467" s="10" t="n">
        <x:v>0</x:v>
      </x:c>
      <x:c r="N467" s="10" t="n">
        <x:v>0</x:v>
      </x:c>
      <x:c r="O467" s="2" t="str">
        <x:v>Tp Hồ Chí Minh|house</x:v>
      </x:c>
      <x:c r="P467" s="10" t="n">
        <x:v>2</x:v>
      </x:c>
      <x:c r="Q467" s="13" t="n">
        <x:f>IF(H467="","",H467/1000000000)</x:f>
        <x:v>5.4</x:v>
      </x:c>
      <x:c r="R467" s="13" t="n">
        <x:f>IF(I467="","",I467/1000000)</x:f>
        <x:v>88.52459016393442</x:v>
      </x:c>
    </x:row>
    <x:row r="468" ht="21" customHeight="1">
      <x:c r="A468" s="10" t="n">
        <x:v>500</x:v>
      </x:c>
      <x:c r="B468" s="2" t="str">
        <x:v>5dbb28292ccc3e842c4c</x:v>
      </x:c>
      <x:c r="C468" s="2" t="str">
        <x:v>Tp Hồ Chí Minh</x:v>
      </x:c>
      <x:c r="D468" s="2" t="str">
        <x:v>Quận 10</x:v>
      </x:c>
      <x:c r="E468" s="2" t="str">
        <x:v>house</x:v>
      </x:c>
      <x:c r="F468" s="2" t="str">
        <x:v>sale_assumed</x:v>
      </x:c>
      <x:c r="G468" s="11" t="n">
        <x:v>70</x:v>
      </x:c>
      <x:c r="H468" s="12" t="n">
        <x:v>27000000000</x:v>
      </x:c>
      <x:c r="I468" s="12" t="n">
        <x:v>385714285.71428573</x:v>
      </x:c>
      <x:c r="J468" s="2" t="str">
        <x:v>total</x:v>
      </x:c>
      <x:c r="K468" s="2" t="str">
        <x:v>top_level_area</x:v>
      </x:c>
      <x:c r="L468" s="2" t="str">
        <x:v>property_type_inferred_from_title;transaction_assumed_sale_from_dataset_context</x:v>
      </x:c>
      <x:c r="M468" s="10" t="n">
        <x:v>1</x:v>
      </x:c>
      <x:c r="N468" s="10" t="n">
        <x:v>1</x:v>
      </x:c>
      <x:c r="O468" s="2" t="str">
        <x:v>Tp Hồ Chí Minh|house</x:v>
      </x:c>
      <x:c r="P468" s="10" t="n">
        <x:v>-1</x:v>
      </x:c>
      <x:c r="Q468" s="13" t="n">
        <x:f>IF(H468="","",H468/1000000000)</x:f>
        <x:v>27</x:v>
      </x:c>
      <x:c r="R468" s="13" t="n">
        <x:f>IF(I468="","",I468/1000000)</x:f>
        <x:v>385.7142857142857</x:v>
      </x:c>
    </x:row>
    <x:row r="469" ht="21" customHeight="1">
      <x:c r="A469" s="10" t="n">
        <x:v>501</x:v>
      </x:c>
      <x:c r="B469" s="2" t="str">
        <x:v>e5a4acff92c43584a327</x:v>
      </x:c>
      <x:c r="C469" s="2" t="str">
        <x:v>Bình Dương</x:v>
      </x:c>
      <x:c r="D469" s="2" t="str">
        <x:v>Thành phố Thủ Dầu Một</x:v>
      </x:c>
      <x:c r="E469" s="2" t="str">
        <x:v>house</x:v>
      </x:c>
      <x:c r="F469" s="2" t="str">
        <x:v>sale_assumed</x:v>
      </x:c>
      <x:c r="G469" s="11" t="n">
        <x:v>105</x:v>
      </x:c>
      <x:c r="H469" s="12" t="n">
        <x:v>4500000000</x:v>
      </x:c>
      <x:c r="I469" s="12" t="n">
        <x:v>42857142.85714286</x:v>
      </x:c>
      <x:c r="J469" s="2" t="str">
        <x:v>total</x:v>
      </x:c>
      <x:c r="K469" s="2" t="str">
        <x:v>top_level_area</x:v>
      </x:c>
      <x:c r="L469" s="2" t="str">
        <x:v>property_type_inferred_from_title;transaction_assumed_sale_from_dataset_context</x:v>
      </x:c>
      <x:c r="M469" s="10" t="n">
        <x:v>0</x:v>
      </x:c>
      <x:c r="N469" s="10" t="n">
        <x:v>0</x:v>
      </x:c>
      <x:c r="O469" s="2" t="str">
        <x:v>Bình Dương|house</x:v>
      </x:c>
      <x:c r="P469" s="10" t="n">
        <x:v>2</x:v>
      </x:c>
      <x:c r="Q469" s="13" t="n">
        <x:f>IF(H469="","",H469/1000000000)</x:f>
        <x:v>4.5</x:v>
      </x:c>
      <x:c r="R469" s="13" t="n">
        <x:f>IF(I469="","",I469/1000000)</x:f>
        <x:v>42.85714285714286</x:v>
      </x:c>
    </x:row>
    <x:row r="470" ht="21" customHeight="1">
      <x:c r="A470" s="10" t="n">
        <x:v>503</x:v>
      </x:c>
      <x:c r="B470" s="2" t="str">
        <x:v>bb24104a7f4e93e0711e</x:v>
      </x:c>
      <x:c r="C470" s="2" t="str">
        <x:v>Tp Hồ Chí Minh</x:v>
      </x:c>
      <x:c r="D470" s="2" t="str">
        <x:v>Quận Bình Thạnh</x:v>
      </x:c>
      <x:c r="E470" s="2" t="str">
        <x:v>house</x:v>
      </x:c>
      <x:c r="F470" s="2" t="str">
        <x:v>sale_assumed</x:v>
      </x:c>
      <x:c r="G470" s="11" t="n">
        <x:v>45</x:v>
      </x:c>
      <x:c r="H470" s="12" t="n">
        <x:v>1600000000</x:v>
      </x:c>
      <x:c r="I470" s="12" t="n">
        <x:v>35555555.55555555</x:v>
      </x:c>
      <x:c r="J470" s="2" t="str">
        <x:v>total</x:v>
      </x:c>
      <x:c r="K470" s="2" t="str">
        <x:v>top_level_area</x:v>
      </x:c>
      <x:c r="L470" s="2" t="str">
        <x:v>property_type_inferred_from_title;transaction_assumed_sale_from_dataset_context</x:v>
      </x:c>
      <x:c r="M470" s="10" t="n">
        <x:v>0</x:v>
      </x:c>
      <x:c r="N470" s="10" t="n">
        <x:v>0</x:v>
      </x:c>
      <x:c r="O470" s="2" t="str">
        <x:v>Tp Hồ Chí Minh|house</x:v>
      </x:c>
      <x:c r="P470" s="10" t="n">
        <x:v>2</x:v>
      </x:c>
      <x:c r="Q470" s="13" t="n">
        <x:f>IF(H470="","",H470/1000000000)</x:f>
        <x:v>1.6</x:v>
      </x:c>
      <x:c r="R470" s="13" t="n">
        <x:f>IF(I470="","",I470/1000000)</x:f>
        <x:v>35.55555555555555</x:v>
      </x:c>
    </x:row>
    <x:row r="471" ht="21" customHeight="1">
      <x:c r="A471" s="10" t="n">
        <x:v>504</x:v>
      </x:c>
      <x:c r="B471" s="2" t="str">
        <x:v>578d4974840361d85f11</x:v>
      </x:c>
      <x:c r="C471" s="2" t="str">
        <x:v>Tp Hồ Chí Minh</x:v>
      </x:c>
      <x:c r="D471" s="2" t="str">
        <x:v>Quận Tân Phú</x:v>
      </x:c>
      <x:c r="E471" s="2" t="str">
        <x:v>house</x:v>
      </x:c>
      <x:c r="F471" s="2" t="str">
        <x:v>sale</x:v>
      </x:c>
      <x:c r="G471" s="11" t="n">
        <x:v>76</x:v>
      </x:c>
      <x:c r="H471" s="12" t="n">
        <x:v>7200000000</x:v>
      </x:c>
      <x:c r="I471" s="12" t="n">
        <x:v>94736842.10526316</x:v>
      </x:c>
      <x:c r="J471" s="2" t="str">
        <x:v>total</x:v>
      </x:c>
      <x:c r="K471" s="2" t="str">
        <x:v>top_level_area</x:v>
      </x:c>
      <x:c r="L471" s="2" t="str">
        <x:v>property_type_inferred_from_title</x:v>
      </x:c>
      <x:c r="M471" s="10" t="n">
        <x:v>0</x:v>
      </x:c>
      <x:c r="N471" s="10" t="n">
        <x:v>0</x:v>
      </x:c>
      <x:c r="O471" s="2" t="str">
        <x:v>Tp Hồ Chí Minh|house</x:v>
      </x:c>
      <x:c r="P471" s="10" t="n">
        <x:v>2</x:v>
      </x:c>
      <x:c r="Q471" s="13" t="n">
        <x:f>IF(H471="","",H471/1000000000)</x:f>
        <x:v>7.2</x:v>
      </x:c>
      <x:c r="R471" s="13" t="n">
        <x:f>IF(I471="","",I471/1000000)</x:f>
        <x:v>94.73684210526316</x:v>
      </x:c>
    </x:row>
    <x:row r="472" ht="21" customHeight="1">
      <x:c r="A472" s="10" t="n">
        <x:v>505</x:v>
      </x:c>
      <x:c r="B472" s="2" t="str">
        <x:v>d3bfb6794c2d3cf03fe6</x:v>
      </x:c>
      <x:c r="C472" s="2" t="str">
        <x:v>Tp Hồ Chí Minh</x:v>
      </x:c>
      <x:c r="D472" s="2" t="str">
        <x:v>Quận Bình Thạnh</x:v>
      </x:c>
      <x:c r="E472" s="2" t="str">
        <x:v>other_unknown</x:v>
      </x:c>
      <x:c r="F472" s="2" t="str">
        <x:v>sale_assumed</x:v>
      </x:c>
      <x:c r="G472" s="11" t="n">
        <x:v>200</x:v>
      </x:c>
      <x:c r="H472" s="12" t="n">
        <x:v>558000000</x:v>
      </x:c>
      <x:c r="I472" s="12" t="n">
        <x:v>2790000</x:v>
      </x:c>
      <x:c r="J472" s="2" t="str">
        <x:v>total</x:v>
      </x:c>
      <x:c r="K472" s="2" t="str">
        <x:v>top_level_area</x:v>
      </x:c>
      <x:c r="L472" s="2" t="str">
        <x:v>property_type_inferred_from_title;transaction_assumed_sale_from_dataset_context;unknown_property_type</x:v>
      </x:c>
      <x:c r="M472" s="10" t="n">
        <x:v>0</x:v>
      </x:c>
      <x:c r="N472" s="10" t="n">
        <x:v>0</x:v>
      </x:c>
      <x:c r="O472" s="2" t="str">
        <x:v>Tp Hồ Chí Minh|other_unknown</x:v>
      </x:c>
      <x:c r="P472" s="10" t="n">
        <x:v>1</x:v>
      </x:c>
      <x:c r="Q472" s="13" t="n">
        <x:f>IF(H472="","",H472/1000000000)</x:f>
        <x:v>0.558</x:v>
      </x:c>
      <x:c r="R472" s="13" t="n">
        <x:f>IF(I472="","",I472/1000000)</x:f>
        <x:v>2.79</x:v>
      </x:c>
    </x:row>
    <x:row r="473" ht="21" customHeight="1">
      <x:c r="A473" s="10" t="n">
        <x:v>506</x:v>
      </x:c>
      <x:c r="B473" s="2" t="str">
        <x:v>16b9be343cf819560a34</x:v>
      </x:c>
      <x:c r="C473" s="2" t="str">
        <x:v>Tp Hồ Chí Minh</x:v>
      </x:c>
      <x:c r="D473" s="2" t="str">
        <x:v>Quận 7</x:v>
      </x:c>
      <x:c r="E473" s="2" t="str">
        <x:v>house</x:v>
      </x:c>
      <x:c r="F473" s="2" t="str">
        <x:v>sale_assumed</x:v>
      </x:c>
      <x:c r="G473" s="11" t="n">
        <x:v>121</x:v>
      </x:c>
      <x:c r="H473" s="12" t="n">
        <x:v>19000000000</x:v>
      </x:c>
      <x:c r="I473" s="12" t="n">
        <x:v>157024793.38842976</x:v>
      </x:c>
      <x:c r="J473" s="2" t="str">
        <x:v>total</x:v>
      </x:c>
      <x:c r="K473" s="2" t="str">
        <x:v>top_level_area</x:v>
      </x:c>
      <x:c r="L473" s="2" t="str">
        <x:v>property_type_inferred_from_title;transaction_assumed_sale_from_dataset_context</x:v>
      </x:c>
      <x:c r="M473" s="10" t="n">
        <x:v>0</x:v>
      </x:c>
      <x:c r="N473" s="10" t="n">
        <x:v>0</x:v>
      </x:c>
      <x:c r="O473" s="2" t="str">
        <x:v>Tp Hồ Chí Minh|house</x:v>
      </x:c>
      <x:c r="P473" s="10" t="n">
        <x:v>2</x:v>
      </x:c>
      <x:c r="Q473" s="13" t="n">
        <x:f>IF(H473="","",H473/1000000000)</x:f>
        <x:v>19</x:v>
      </x:c>
      <x:c r="R473" s="13" t="n">
        <x:f>IF(I473="","",I473/1000000)</x:f>
        <x:v>157.02479338842977</x:v>
      </x:c>
    </x:row>
    <x:row r="474" ht="21" customHeight="1">
      <x:c r="A474" s="10" t="n">
        <x:v>507</x:v>
      </x:c>
      <x:c r="B474" s="2" t="str">
        <x:v>b6441ef74513cbaaeba4</x:v>
      </x:c>
      <x:c r="C474" s="2" t="str">
        <x:v>Đắk Lắk</x:v>
      </x:c>
      <x:c r="D474" s="2" t="str">
        <x:v>Thành phố Buôn Ma Thuột</x:v>
      </x:c>
      <x:c r="E474" s="2" t="str">
        <x:v>house</x:v>
      </x:c>
      <x:c r="F474" s="2" t="str">
        <x:v>sale_assumed</x:v>
      </x:c>
      <x:c r="G474" s="11" t="n">
        <x:v>100</x:v>
      </x:c>
      <x:c r="H474" s="12" t="n">
        <x:v>1300000000</x:v>
      </x:c>
      <x:c r="I474" s="12" t="n">
        <x:v>13000000</x:v>
      </x:c>
      <x:c r="J474" s="2" t="str">
        <x:v>total</x:v>
      </x:c>
      <x:c r="K474" s="2" t="str">
        <x:v>top_level_area</x:v>
      </x:c>
      <x:c r="L474" s="2" t="str">
        <x:v>property_type_inferred_from_title;transaction_assumed_sale_from_dataset_context</x:v>
      </x:c>
      <x:c r="M474" s="10" t="n">
        <x:v>0</x:v>
      </x:c>
      <x:c r="N474" s="10" t="n">
        <x:v>0</x:v>
      </x:c>
      <x:c r="O474" s="2" t="str">
        <x:v>Đắk Lắk|house</x:v>
      </x:c>
      <x:c r="P474" s="10" t="n">
        <x:v>2</x:v>
      </x:c>
      <x:c r="Q474" s="13" t="n">
        <x:f>IF(H474="","",H474/1000000000)</x:f>
        <x:v>1.3</x:v>
      </x:c>
      <x:c r="R474" s="13" t="n">
        <x:f>IF(I474="","",I474/1000000)</x:f>
        <x:v>13</x:v>
      </x:c>
    </x:row>
    <x:row r="475" ht="21" customHeight="1">
      <x:c r="A475" s="10" t="n">
        <x:v>508</x:v>
      </x:c>
      <x:c r="B475" s="2" t="str">
        <x:v>ee111aadacb6db5fc292</x:v>
      </x:c>
      <x:c r="C475" s="2" t="str">
        <x:v>Hà Nội</x:v>
      </x:c>
      <x:c r="D475" s="2" t="str">
        <x:v>Huyện Thường Tín</x:v>
      </x:c>
      <x:c r="E475" s="2" t="str">
        <x:v>land</x:v>
      </x:c>
      <x:c r="F475" s="2" t="str">
        <x:v>sale</x:v>
      </x:c>
      <x:c r="G475" s="11" t="n">
        <x:v>112</x:v>
      </x:c>
      <x:c r="H475" s="12" t="n">
        <x:v>16500000</x:v>
      </x:c>
      <x:c r="I475" s="12" t="n">
        <x:v>147321.42857142858</x:v>
      </x:c>
      <x:c r="J475" s="2" t="str">
        <x:v>total</x:v>
      </x:c>
      <x:c r="K475" s="2" t="str">
        <x:v>top_level_area</x:v>
      </x:c>
      <x:c r="L475" s="2" t="str">
        <x:v>property_type_inferred_from_title</x:v>
      </x:c>
      <x:c r="M475" s="10" t="n">
        <x:v>0</x:v>
      </x:c>
      <x:c r="N475" s="10" t="n">
        <x:v>0</x:v>
      </x:c>
      <x:c r="O475" s="2" t="str">
        <x:v>Hà Nội|land</x:v>
      </x:c>
      <x:c r="P475" s="10" t="n">
        <x:v>1</x:v>
      </x:c>
      <x:c r="Q475" s="13" t="n">
        <x:f>IF(H475="","",H475/1000000000)</x:f>
        <x:v>0.0165</x:v>
      </x:c>
      <x:c r="R475" s="13" t="n">
        <x:f>IF(I475="","",I475/1000000)</x:f>
        <x:v>0.14732142857142858</x:v>
      </x:c>
    </x:row>
    <x:row r="476" ht="21" customHeight="1">
      <x:c r="A476" s="10" t="n">
        <x:v>509</x:v>
      </x:c>
      <x:c r="B476" s="2" t="str">
        <x:v>16a23ca898082ed225f7</x:v>
      </x:c>
      <x:c r="C476" s="2" t="str">
        <x:v>Tp Hồ Chí Minh</x:v>
      </x:c>
      <x:c r="D476" s="2" t="str">
        <x:v>Quận Thủ Đức</x:v>
      </x:c>
      <x:c r="E476" s="2" t="str">
        <x:v>house</x:v>
      </x:c>
      <x:c r="F476" s="2" t="str">
        <x:v>sale_assumed</x:v>
      </x:c>
      <x:c r="G476" s="11" t="n">
        <x:v>26.1</x:v>
      </x:c>
      <x:c r="H476" s="12" t="n">
        <x:v>2650000000</x:v>
      </x:c>
      <x:c r="I476" s="12" t="n">
        <x:v>101532567.04980843</x:v>
      </x:c>
      <x:c r="J476" s="2" t="str">
        <x:v>total</x:v>
      </x:c>
      <x:c r="K476" s="2" t="str">
        <x:v>top_level_area</x:v>
      </x:c>
      <x:c r="L476" s="2" t="str">
        <x:v>property_type_inferred_from_title;transaction_assumed_sale_from_dataset_context</x:v>
      </x:c>
      <x:c r="M476" s="10" t="n">
        <x:v>0</x:v>
      </x:c>
      <x:c r="N476" s="10" t="n">
        <x:v>0</x:v>
      </x:c>
      <x:c r="O476" s="2" t="str">
        <x:v>Tp Hồ Chí Minh|house</x:v>
      </x:c>
      <x:c r="P476" s="10" t="n">
        <x:v>2</x:v>
      </x:c>
      <x:c r="Q476" s="13" t="n">
        <x:f>IF(H476="","",H476/1000000000)</x:f>
        <x:v>2.65</x:v>
      </x:c>
      <x:c r="R476" s="13" t="n">
        <x:f>IF(I476="","",I476/1000000)</x:f>
        <x:v>101.53256704980842</x:v>
      </x:c>
    </x:row>
    <x:row r="477" ht="21" customHeight="1">
      <x:c r="A477" s="10" t="n">
        <x:v>510</x:v>
      </x:c>
      <x:c r="B477" s="2" t="str">
        <x:v>c131f7830a7a6be038f0</x:v>
      </x:c>
      <x:c r="C477" s="2" t="str">
        <x:v>Tp Hồ Chí Minh</x:v>
      </x:c>
      <x:c r="D477" s="2" t="str">
        <x:v>Huyện Hóc Môn</x:v>
      </x:c>
      <x:c r="E477" s="2" t="str">
        <x:v>apartment</x:v>
      </x:c>
      <x:c r="F477" s="2" t="str">
        <x:v>sale_assumed</x:v>
      </x:c>
      <x:c r="G477" s="11" t="n">
        <x:v>40</x:v>
      </x:c>
      <x:c r="H477" s="12" t="n">
        <x:v>255000000</x:v>
      </x:c>
      <x:c r="I477" s="12" t="n">
        <x:v>6375000</x:v>
      </x:c>
      <x:c r="J477" s="2" t="str">
        <x:v>total</x:v>
      </x:c>
      <x:c r="K477" s="2" t="str">
        <x:v>top_level_area</x:v>
      </x:c>
      <x:c r="L477" s="2" t="str">
        <x:v>property_type_inferred_from_title;transaction_assumed_sale_from_dataset_context</x:v>
      </x:c>
      <x:c r="M477" s="10" t="n">
        <x:v>0</x:v>
      </x:c>
      <x:c r="N477" s="10" t="n">
        <x:v>0</x:v>
      </x:c>
      <x:c r="O477" s="2" t="str">
        <x:v>Tp Hồ Chí Minh|apartment</x:v>
      </x:c>
      <x:c r="P477" s="10" t="n">
        <x:v>2</x:v>
      </x:c>
      <x:c r="Q477" s="13" t="n">
        <x:f>IF(H477="","",H477/1000000000)</x:f>
        <x:v>0.255</x:v>
      </x:c>
      <x:c r="R477" s="13" t="n">
        <x:f>IF(I477="","",I477/1000000)</x:f>
        <x:v>6.375</x:v>
      </x:c>
    </x:row>
    <x:row r="478" ht="21" customHeight="1">
      <x:c r="A478" s="10" t="n">
        <x:v>511</x:v>
      </x:c>
      <x:c r="B478" s="2" t="str">
        <x:v>e8988965c4fd1c5921cb</x:v>
      </x:c>
      <x:c r="C478" s="2" t="str">
        <x:v>Long An</x:v>
      </x:c>
      <x:c r="D478" s="2" t="str">
        <x:v>Huyện Đức Hòa</x:v>
      </x:c>
      <x:c r="E478" s="2" t="str">
        <x:v>land</x:v>
      </x:c>
      <x:c r="F478" s="2" t="str">
        <x:v>sale</x:v>
      </x:c>
      <x:c r="G478" s="11" t="n">
        <x:v>97.2</x:v>
      </x:c>
      <x:c r="H478" s="12" t="n">
        <x:v>750000000</x:v>
      </x:c>
      <x:c r="I478" s="12" t="n">
        <x:v>7716049.382716049</x:v>
      </x:c>
      <x:c r="J478" s="2" t="str">
        <x:v>total</x:v>
      </x:c>
      <x:c r="K478" s="2" t="str">
        <x:v>top_level_area</x:v>
      </x:c>
      <x:c r="L478" s="2" t="str">
        <x:v>property_type_inferred_from_title</x:v>
      </x:c>
      <x:c r="M478" s="10" t="n">
        <x:v>0</x:v>
      </x:c>
      <x:c r="N478" s="10" t="n">
        <x:v>0</x:v>
      </x:c>
      <x:c r="O478" s="2" t="str">
        <x:v>Long An|land</x:v>
      </x:c>
      <x:c r="P478" s="10" t="n">
        <x:v>2</x:v>
      </x:c>
      <x:c r="Q478" s="13" t="n">
        <x:f>IF(H478="","",H478/1000000000)</x:f>
        <x:v>0.75</x:v>
      </x:c>
      <x:c r="R478" s="13" t="n">
        <x:f>IF(I478="","",I478/1000000)</x:f>
        <x:v>7.716049382716049</x:v>
      </x:c>
    </x:row>
    <x:row r="479" ht="21" customHeight="1">
      <x:c r="A479" s="10" t="n">
        <x:v>512</x:v>
      </x:c>
      <x:c r="B479" s="2" t="str">
        <x:v>27f0c441b85694d559e2</x:v>
      </x:c>
      <x:c r="C479" s="2" t="str">
        <x:v>Tp Hồ Chí Minh</x:v>
      </x:c>
      <x:c r="D479" s="2" t="str">
        <x:v>Quận 12</x:v>
      </x:c>
      <x:c r="E479" s="2" t="str">
        <x:v>other_unknown</x:v>
      </x:c>
      <x:c r="F479" s="2" t="str">
        <x:v>sale</x:v>
      </x:c>
      <x:c r="G479" s="11" t="n">
        <x:v>75</x:v>
      </x:c>
      <x:c r="H479" s="12" t="n">
        <x:v>3900000000</x:v>
      </x:c>
      <x:c r="I479" s="12" t="n">
        <x:v>52000000</x:v>
      </x:c>
      <x:c r="J479" s="2" t="str">
        <x:v>total</x:v>
      </x:c>
      <x:c r="K479" s="2" t="str">
        <x:v>top_level_area</x:v>
      </x:c>
      <x:c r="L479" s="2" t="str">
        <x:v>property_type_inferred_from_title;unknown_property_type</x:v>
      </x:c>
      <x:c r="M479" s="10" t="n">
        <x:v>0</x:v>
      </x:c>
      <x:c r="N479" s="10" t="n">
        <x:v>0</x:v>
      </x:c>
      <x:c r="O479" s="2" t="str">
        <x:v>Tp Hồ Chí Minh|other_unknown</x:v>
      </x:c>
      <x:c r="P479" s="10" t="n">
        <x:v>2</x:v>
      </x:c>
      <x:c r="Q479" s="13" t="n">
        <x:f>IF(H479="","",H479/1000000000)</x:f>
        <x:v>3.9</x:v>
      </x:c>
      <x:c r="R479" s="13" t="n">
        <x:f>IF(I479="","",I479/1000000)</x:f>
        <x:v>52</x:v>
      </x:c>
    </x:row>
    <x:row r="480" ht="21" customHeight="1">
      <x:c r="A480" s="10" t="n">
        <x:v>513</x:v>
      </x:c>
      <x:c r="B480" s="2" t="str">
        <x:v>85e4dcf67257250776f0</x:v>
      </x:c>
      <x:c r="C480" s="2" t="str">
        <x:v>Tp Hồ Chí Minh</x:v>
      </x:c>
      <x:c r="D480" s="2" t="str">
        <x:v>Quận 9</x:v>
      </x:c>
      <x:c r="E480" s="2" t="str">
        <x:v>house</x:v>
      </x:c>
      <x:c r="F480" s="2" t="str">
        <x:v>sale_assumed</x:v>
      </x:c>
      <x:c r="G480" s="11" t="n">
        <x:v>50</x:v>
      </x:c>
      <x:c r="H480" s="12" t="n">
        <x:v>4350000000</x:v>
      </x:c>
      <x:c r="I480" s="12" t="n">
        <x:v>87000000</x:v>
      </x:c>
      <x:c r="J480" s="2" t="str">
        <x:v>total</x:v>
      </x:c>
      <x:c r="K480" s="2" t="str">
        <x:v>top_level_area</x:v>
      </x:c>
      <x:c r="L480" s="2" t="str">
        <x:v>property_type_inferred_from_title;transaction_assumed_sale_from_dataset_context</x:v>
      </x:c>
      <x:c r="M480" s="10" t="n">
        <x:v>0</x:v>
      </x:c>
      <x:c r="N480" s="10" t="n">
        <x:v>0</x:v>
      </x:c>
      <x:c r="O480" s="2" t="str">
        <x:v>Tp Hồ Chí Minh|house</x:v>
      </x:c>
      <x:c r="P480" s="10" t="n">
        <x:v>2</x:v>
      </x:c>
      <x:c r="Q480" s="13" t="n">
        <x:f>IF(H480="","",H480/1000000000)</x:f>
        <x:v>4.35</x:v>
      </x:c>
      <x:c r="R480" s="13" t="n">
        <x:f>IF(I480="","",I480/1000000)</x:f>
        <x:v>87</x:v>
      </x:c>
    </x:row>
    <x:row r="481" ht="21" customHeight="1">
      <x:c r="A481" s="10" t="n">
        <x:v>514</x:v>
      </x:c>
      <x:c r="B481" s="2" t="str">
        <x:v>05c2b3765ebc7fe50bf5</x:v>
      </x:c>
      <x:c r="C481" s="2" t="str">
        <x:v>Đồng Nai</x:v>
      </x:c>
      <x:c r="D481" s="2" t="str">
        <x:v>Huyện Định Quán</x:v>
      </x:c>
      <x:c r="E481" s="2" t="str">
        <x:v>land</x:v>
      </x:c>
      <x:c r="F481" s="2" t="str">
        <x:v>sale</x:v>
      </x:c>
      <x:c r="G481" s="11" t="n">
        <x:v>1000</x:v>
      </x:c>
      <x:c r="H481" s="12" t="n">
        <x:v>650000000</x:v>
      </x:c>
      <x:c r="I481" s="12" t="n">
        <x:v>650000</x:v>
      </x:c>
      <x:c r="J481" s="2" t="str">
        <x:v>total</x:v>
      </x:c>
      <x:c r="K481" s="2" t="str">
        <x:v>top_level_area</x:v>
      </x:c>
      <x:c r="L481" s="2" t="str">
        <x:v>dot_thousands_convention;property_type_inferred_from_title</x:v>
      </x:c>
      <x:c r="M481" s="10" t="n">
        <x:v>0</x:v>
      </x:c>
      <x:c r="N481" s="10" t="n">
        <x:v>0</x:v>
      </x:c>
      <x:c r="O481" s="2" t="str">
        <x:v>Đồng Nai|land</x:v>
      </x:c>
      <x:c r="P481" s="10" t="n">
        <x:v>1</x:v>
      </x:c>
      <x:c r="Q481" s="13" t="n">
        <x:f>IF(H481="","",H481/1000000000)</x:f>
        <x:v>0.65</x:v>
      </x:c>
      <x:c r="R481" s="13" t="n">
        <x:f>IF(I481="","",I481/1000000)</x:f>
        <x:v>0.65</x:v>
      </x:c>
    </x:row>
    <x:row r="482" ht="21" customHeight="1">
      <x:c r="A482" s="10" t="n">
        <x:v>515</x:v>
      </x:c>
      <x:c r="B482" s="2" t="str">
        <x:v>8bbf2627874d115896c5</x:v>
      </x:c>
      <x:c r="C482" s="2" t="str">
        <x:v>Tp Hồ Chí Minh</x:v>
      </x:c>
      <x:c r="D482" s="2" t="str">
        <x:v>Huyện Củ Chi</x:v>
      </x:c>
      <x:c r="E482" s="2" t="str">
        <x:v>house</x:v>
      </x:c>
      <x:c r="F482" s="2" t="str">
        <x:v>sale_assumed</x:v>
      </x:c>
      <x:c r="G482" s="11" t="n">
        <x:v>147.9</x:v>
      </x:c>
      <x:c r="H482" s="12" t="n">
        <x:v>1750000000</x:v>
      </x:c>
      <x:c r="I482" s="12" t="n">
        <x:v>11832319.134550372</x:v>
      </x:c>
      <x:c r="J482" s="2" t="str">
        <x:v>total</x:v>
      </x:c>
      <x:c r="K482" s="2" t="str">
        <x:v>top_level_area</x:v>
      </x:c>
      <x:c r="L482" s="2" t="str">
        <x:v>property_type_inferred_from_title;transaction_assumed_sale_from_dataset_context</x:v>
      </x:c>
      <x:c r="M482" s="10" t="n">
        <x:v>0</x:v>
      </x:c>
      <x:c r="N482" s="10" t="n">
        <x:v>0</x:v>
      </x:c>
      <x:c r="O482" s="2" t="str">
        <x:v>Tp Hồ Chí Minh|house</x:v>
      </x:c>
      <x:c r="P482" s="10" t="n">
        <x:v>2</x:v>
      </x:c>
      <x:c r="Q482" s="13" t="n">
        <x:f>IF(H482="","",H482/1000000000)</x:f>
        <x:v>1.75</x:v>
      </x:c>
      <x:c r="R482" s="13" t="n">
        <x:f>IF(I482="","",I482/1000000)</x:f>
        <x:v>11.832319134550373</x:v>
      </x:c>
    </x:row>
    <x:row r="483" ht="21" customHeight="1">
      <x:c r="A483" s="10" t="n">
        <x:v>516</x:v>
      </x:c>
      <x:c r="B483" s="2" t="str">
        <x:v>679f749fc04bba9efa70</x:v>
      </x:c>
      <x:c r="C483" s="2" t="str">
        <x:v>Long An</x:v>
      </x:c>
      <x:c r="D483" s="2" t="str">
        <x:v>Huyện Tân Trụ</x:v>
      </x:c>
      <x:c r="E483" s="2" t="str">
        <x:v>other_unknown</x:v>
      </x:c>
      <x:c r="F483" s="2" t="str">
        <x:v>sale_assumed</x:v>
      </x:c>
      <x:c r="G483" s="11" t="n">
        <x:v>150</x:v>
      </x:c>
      <x:c r="H483" s="12" t="n">
        <x:v>700000000</x:v>
      </x:c>
      <x:c r="I483" s="12" t="n">
        <x:v>4666666.666666667</x:v>
      </x:c>
      <x:c r="J483" s="2" t="str">
        <x:v>total</x:v>
      </x:c>
      <x:c r="K483" s="2" t="str">
        <x:v>top_level_area</x:v>
      </x:c>
      <x:c r="L483" s="2" t="str">
        <x:v>property_type_inferred_from_title;transaction_assumed_sale_from_dataset_context;unknown_property_type</x:v>
      </x:c>
      <x:c r="M483" s="10" t="n">
        <x:v>0</x:v>
      </x:c>
      <x:c r="N483" s="10" t="n">
        <x:v>0</x:v>
      </x:c>
      <x:c r="O483" s="2" t="str">
        <x:v>Long An|other_unknown</x:v>
      </x:c>
      <x:c r="P483" s="10" t="n">
        <x:v>1</x:v>
      </x:c>
      <x:c r="Q483" s="13" t="n">
        <x:f>IF(H483="","",H483/1000000000)</x:f>
        <x:v>0.7</x:v>
      </x:c>
      <x:c r="R483" s="13" t="n">
        <x:f>IF(I483="","",I483/1000000)</x:f>
        <x:v>4.666666666666667</x:v>
      </x:c>
    </x:row>
    <x:row r="484" ht="21" customHeight="1">
      <x:c r="A484" s="10" t="n">
        <x:v>517</x:v>
      </x:c>
      <x:c r="B484" s="2" t="str">
        <x:v>542a4c655d15c639abad</x:v>
      </x:c>
      <x:c r="C484" s="2" t="str">
        <x:v>Cần Thơ</x:v>
      </x:c>
      <x:c r="D484" s="2" t="str">
        <x:v>Quận Ninh Kiều</x:v>
      </x:c>
      <x:c r="E484" s="2" t="str">
        <x:v>land</x:v>
      </x:c>
      <x:c r="F484" s="2" t="str">
        <x:v>sale</x:v>
      </x:c>
      <x:c r="G484" s="11" t="n">
        <x:v>352</x:v>
      </x:c>
      <x:c r="H484" s="12" t="n">
        <x:v>670000000</x:v>
      </x:c>
      <x:c r="I484" s="12" t="n">
        <x:v>1903409.0909090908</x:v>
      </x:c>
      <x:c r="J484" s="2" t="str">
        <x:v>total</x:v>
      </x:c>
      <x:c r="K484" s="2" t="str">
        <x:v>top_level_area</x:v>
      </x:c>
      <x:c r="L484" s="2" t="str">
        <x:v>property_type_inferred_from_title</x:v>
      </x:c>
      <x:c r="M484" s="10" t="n">
        <x:v>0</x:v>
      </x:c>
      <x:c r="N484" s="10" t="n">
        <x:v>0</x:v>
      </x:c>
      <x:c r="O484" s="2" t="str">
        <x:v>Cần Thơ|land</x:v>
      </x:c>
      <x:c r="P484" s="10" t="n">
        <x:v>1</x:v>
      </x:c>
      <x:c r="Q484" s="13" t="n">
        <x:f>IF(H484="","",H484/1000000000)</x:f>
        <x:v>0.67</x:v>
      </x:c>
      <x:c r="R484" s="13" t="n">
        <x:f>IF(I484="","",I484/1000000)</x:f>
        <x:v>1.9034090909090908</x:v>
      </x:c>
    </x:row>
    <x:row r="485" ht="21" customHeight="1">
      <x:c r="A485" s="10" t="n">
        <x:v>519</x:v>
      </x:c>
      <x:c r="B485" s="2" t="str">
        <x:v>2fbdbad704ed14d90b05</x:v>
      </x:c>
      <x:c r="C485" s="2" t="str">
        <x:v>Tp Hồ Chí Minh</x:v>
      </x:c>
      <x:c r="D485" s="2" t="str">
        <x:v>Quận Tân Bình</x:v>
      </x:c>
      <x:c r="E485" s="2" t="str">
        <x:v>house</x:v>
      </x:c>
      <x:c r="F485" s="2" t="str">
        <x:v>sale_assumed</x:v>
      </x:c>
      <x:c r="G485" s="11" t="n">
        <x:v>73</x:v>
      </x:c>
      <x:c r="H485" s="12" t="n">
        <x:v>8800000000</x:v>
      </x:c>
      <x:c r="I485" s="12" t="n">
        <x:v>120547945.20547946</x:v>
      </x:c>
      <x:c r="J485" s="2" t="str">
        <x:v>total</x:v>
      </x:c>
      <x:c r="K485" s="2" t="str">
        <x:v>top_level_price_embedded_area</x:v>
      </x:c>
      <x:c r="L485" s="2" t="str">
        <x:v>area_recovered_from_price_text;property_type_inferred_from_title;transaction_assumed_sale_from_dataset_context</x:v>
      </x:c>
      <x:c r="M485" s="10" t="n">
        <x:v>0</x:v>
      </x:c>
      <x:c r="N485" s="10" t="n">
        <x:v>0</x:v>
      </x:c>
      <x:c r="O485" s="2" t="str">
        <x:v>Tp Hồ Chí Minh|house</x:v>
      </x:c>
      <x:c r="P485" s="10" t="n">
        <x:v>2</x:v>
      </x:c>
      <x:c r="Q485" s="13" t="n">
        <x:f>IF(H485="","",H485/1000000000)</x:f>
        <x:v>8.8</x:v>
      </x:c>
      <x:c r="R485" s="13" t="n">
        <x:f>IF(I485="","",I485/1000000)</x:f>
        <x:v>120.54794520547946</x:v>
      </x:c>
    </x:row>
    <x:row r="486" ht="21" customHeight="1">
      <x:c r="A486" s="10" t="n">
        <x:v>520</x:v>
      </x:c>
      <x:c r="B486" s="2" t="str">
        <x:v>205780f668040bd489ad</x:v>
      </x:c>
      <x:c r="C486" s="2" t="str">
        <x:v>Đắk Nông</x:v>
      </x:c>
      <x:c r="D486" s="2" t="str">
        <x:v>Huyện Đắk R'Lấp</x:v>
      </x:c>
      <x:c r="E486" s="2" t="str">
        <x:v>land</x:v>
      </x:c>
      <x:c r="F486" s="2" t="str">
        <x:v>sale</x:v>
      </x:c>
      <x:c r="G486" s="11" t="n">
        <x:v>35000</x:v>
      </x:c>
      <x:c r="H486" s="12" t="n">
        <x:v>4500000000</x:v>
      </x:c>
      <x:c r="I486" s="12" t="n">
        <x:v>128571.42857142857</x:v>
      </x:c>
      <x:c r="J486" s="2" t="str">
        <x:v>total</x:v>
      </x:c>
      <x:c r="K486" s="2" t="str">
        <x:v>top_level_area</x:v>
      </x:c>
      <x:c r="L486" s="2" t="str">
        <x:v>dot_thousands_convention;property_type_inferred_from_title</x:v>
      </x:c>
      <x:c r="M486" s="10" t="n">
        <x:v>0</x:v>
      </x:c>
      <x:c r="N486" s="10" t="n">
        <x:v>0</x:v>
      </x:c>
      <x:c r="O486" s="2" t="str">
        <x:v>land</x:v>
      </x:c>
      <x:c r="P486" s="10" t="n">
        <x:v>1</x:v>
      </x:c>
      <x:c r="Q486" s="13" t="n">
        <x:f>IF(H486="","",H486/1000000000)</x:f>
        <x:v>4.5</x:v>
      </x:c>
      <x:c r="R486" s="13" t="n">
        <x:f>IF(I486="","",I486/1000000)</x:f>
        <x:v>0.12857142857142856</x:v>
      </x:c>
    </x:row>
    <x:row r="487" ht="21" customHeight="1">
      <x:c r="A487" s="10" t="n">
        <x:v>521</x:v>
      </x:c>
      <x:c r="B487" s="2" t="str">
        <x:v>bb43d49fd5489968a9f9</x:v>
      </x:c>
      <x:c r="C487" s="2" t="str">
        <x:v>Đà Nẵng</x:v>
      </x:c>
      <x:c r="D487" s="2" t="str">
        <x:v>Quận Liên Chiểu</x:v>
      </x:c>
      <x:c r="E487" s="2" t="str">
        <x:v>house</x:v>
      </x:c>
      <x:c r="F487" s="2" t="str">
        <x:v>sale</x:v>
      </x:c>
      <x:c r="G487" s="11" t="n">
        <x:v>50</x:v>
      </x:c>
      <x:c r="H487" s="12" t="n">
        <x:v>1650000000</x:v>
      </x:c>
      <x:c r="I487" s="12" t="n">
        <x:v>33000000</x:v>
      </x:c>
      <x:c r="J487" s="2" t="str">
        <x:v>total</x:v>
      </x:c>
      <x:c r="K487" s="2" t="str">
        <x:v>top_level_area</x:v>
      </x:c>
      <x:c r="L487" s="2" t="str">
        <x:v>property_type_inferred_from_title</x:v>
      </x:c>
      <x:c r="M487" s="10" t="n">
        <x:v>0</x:v>
      </x:c>
      <x:c r="N487" s="10" t="n">
        <x:v>0</x:v>
      </x:c>
      <x:c r="O487" s="2" t="str">
        <x:v>Đà Nẵng|house</x:v>
      </x:c>
      <x:c r="P487" s="10" t="n">
        <x:v>2</x:v>
      </x:c>
      <x:c r="Q487" s="13" t="n">
        <x:f>IF(H487="","",H487/1000000000)</x:f>
        <x:v>1.65</x:v>
      </x:c>
      <x:c r="R487" s="13" t="n">
        <x:f>IF(I487="","",I487/1000000)</x:f>
        <x:v>33</x:v>
      </x:c>
    </x:row>
    <x:row r="488" ht="21" customHeight="1">
      <x:c r="A488" s="10" t="n">
        <x:v>522</x:v>
      </x:c>
      <x:c r="B488" s="2" t="str">
        <x:v>81efe793a6190c817633</x:v>
      </x:c>
      <x:c r="C488" s="2" t="str">
        <x:v>Tp Hồ Chí Minh</x:v>
      </x:c>
      <x:c r="D488" s="2" t="str">
        <x:v>Quận 12</x:v>
      </x:c>
      <x:c r="E488" s="2" t="str">
        <x:v>house</x:v>
      </x:c>
      <x:c r="F488" s="2" t="str">
        <x:v>sale_assumed</x:v>
      </x:c>
      <x:c r="G488" s="11" t="n">
        <x:v>43</x:v>
      </x:c>
      <x:c r="H488" s="12" t="n">
        <x:v>2750000000</x:v>
      </x:c>
      <x:c r="I488" s="12" t="n">
        <x:v>63953488.37209302</x:v>
      </x:c>
      <x:c r="J488" s="2" t="str">
        <x:v>total</x:v>
      </x:c>
      <x:c r="K488" s="2" t="str">
        <x:v>top_level_area</x:v>
      </x:c>
      <x:c r="L488" s="2" t="str">
        <x:v>property_type_inferred_from_title;transaction_assumed_sale_from_dataset_context</x:v>
      </x:c>
      <x:c r="M488" s="10" t="n">
        <x:v>0</x:v>
      </x:c>
      <x:c r="N488" s="10" t="n">
        <x:v>0</x:v>
      </x:c>
      <x:c r="O488" s="2" t="str">
        <x:v>Tp Hồ Chí Minh|house</x:v>
      </x:c>
      <x:c r="P488" s="10" t="n">
        <x:v>2</x:v>
      </x:c>
      <x:c r="Q488" s="13" t="n">
        <x:f>IF(H488="","",H488/1000000000)</x:f>
        <x:v>2.75</x:v>
      </x:c>
      <x:c r="R488" s="13" t="n">
        <x:f>IF(I488="","",I488/1000000)</x:f>
        <x:v>63.95348837209302</x:v>
      </x:c>
    </x:row>
    <x:row r="489" ht="21" customHeight="1">
      <x:c r="A489" s="10" t="n">
        <x:v>524</x:v>
      </x:c>
      <x:c r="B489" s="2" t="str">
        <x:v>9254e055205d1f0f37bb</x:v>
      </x:c>
      <x:c r="C489" s="2" t="str">
        <x:v>Tp Hồ Chí Minh</x:v>
      </x:c>
      <x:c r="D489" s="2" t="str">
        <x:v>Huyện Bình Chánh</x:v>
      </x:c>
      <x:c r="E489" s="2" t="str">
        <x:v>apartment</x:v>
      </x:c>
      <x:c r="F489" s="2" t="str">
        <x:v>sale_assumed</x:v>
      </x:c>
      <x:c r="G489" s="11" t="n">
        <x:v>70</x:v>
      </x:c>
      <x:c r="H489" s="12" t="n">
        <x:v>2250000000</x:v>
      </x:c>
      <x:c r="I489" s="12" t="n">
        <x:v>32142857.14285714</x:v>
      </x:c>
      <x:c r="J489" s="2" t="str">
        <x:v>total</x:v>
      </x:c>
      <x:c r="K489" s="2" t="str">
        <x:v>top_level_area</x:v>
      </x:c>
      <x:c r="L489" s="2" t="str">
        <x:v>property_type_inferred_from_title;transaction_assumed_sale_from_dataset_context</x:v>
      </x:c>
      <x:c r="M489" s="10" t="n">
        <x:v>0</x:v>
      </x:c>
      <x:c r="N489" s="10" t="n">
        <x:v>0</x:v>
      </x:c>
      <x:c r="O489" s="2" t="str">
        <x:v>Tp Hồ Chí Minh|apartment</x:v>
      </x:c>
      <x:c r="P489" s="10" t="n">
        <x:v>2</x:v>
      </x:c>
      <x:c r="Q489" s="13" t="n">
        <x:f>IF(H489="","",H489/1000000000)</x:f>
        <x:v>2.25</x:v>
      </x:c>
      <x:c r="R489" s="13" t="n">
        <x:f>IF(I489="","",I489/1000000)</x:f>
        <x:v>32.14285714285714</x:v>
      </x:c>
    </x:row>
    <x:row r="490" ht="21" customHeight="1">
      <x:c r="A490" s="10" t="n">
        <x:v>525</x:v>
      </x:c>
      <x:c r="B490" s="2" t="str">
        <x:v>a6aeb71e19729e84f319</x:v>
      </x:c>
      <x:c r="C490" s="2" t="str">
        <x:v>Tp Hồ Chí Minh</x:v>
      </x:c>
      <x:c r="D490" s="2" t="str">
        <x:v>Quận 9</x:v>
      </x:c>
      <x:c r="E490" s="2" t="str">
        <x:v>land</x:v>
      </x:c>
      <x:c r="F490" s="2" t="str">
        <x:v>sale_assumed</x:v>
      </x:c>
      <x:c r="G490" s="11" t="n">
        <x:v>80</x:v>
      </x:c>
      <x:c r="H490" s="12" t="n">
        <x:v>1400000000</x:v>
      </x:c>
      <x:c r="I490" s="12" t="n">
        <x:v>17500000</x:v>
      </x:c>
      <x:c r="J490" s="2" t="str">
        <x:v>total</x:v>
      </x:c>
      <x:c r="K490" s="2" t="str">
        <x:v>top_level_area</x:v>
      </x:c>
      <x:c r="L490" s="2" t="str">
        <x:v>property_type_inferred_from_title;transaction_assumed_sale_from_dataset_context</x:v>
      </x:c>
      <x:c r="M490" s="10" t="n">
        <x:v>0</x:v>
      </x:c>
      <x:c r="N490" s="10" t="n">
        <x:v>0</x:v>
      </x:c>
      <x:c r="O490" s="2" t="str">
        <x:v>Tp Hồ Chí Minh|land</x:v>
      </x:c>
      <x:c r="P490" s="10" t="n">
        <x:v>2</x:v>
      </x:c>
      <x:c r="Q490" s="13" t="n">
        <x:f>IF(H490="","",H490/1000000000)</x:f>
        <x:v>1.4</x:v>
      </x:c>
      <x:c r="R490" s="13" t="n">
        <x:f>IF(I490="","",I490/1000000)</x:f>
        <x:v>17.5</x:v>
      </x:c>
    </x:row>
    <x:row r="491" ht="21" customHeight="1">
      <x:c r="A491" s="10" t="n">
        <x:v>526</x:v>
      </x:c>
      <x:c r="B491" s="2" t="str">
        <x:v>c9f8a4644f54f1642cf9</x:v>
      </x:c>
      <x:c r="C491" s="2" t="str">
        <x:v>Tp Hồ Chí Minh</x:v>
      </x:c>
      <x:c r="D491" s="2" t="str">
        <x:v>Quận Gò Vấp</x:v>
      </x:c>
      <x:c r="E491" s="2" t="str">
        <x:v>house</x:v>
      </x:c>
      <x:c r="F491" s="2" t="str">
        <x:v>sale</x:v>
      </x:c>
      <x:c r="G491" s="11" t="n">
        <x:v>50</x:v>
      </x:c>
      <x:c r="H491" s="12" t="n">
        <x:v>5200000000</x:v>
      </x:c>
      <x:c r="I491" s="12" t="n">
        <x:v>104000000</x:v>
      </x:c>
      <x:c r="J491" s="2" t="str">
        <x:v>total</x:v>
      </x:c>
      <x:c r="K491" s="2" t="str">
        <x:v>top_level_price_embedded_area</x:v>
      </x:c>
      <x:c r="L491" s="2" t="str">
        <x:v>area_recovered_from_price_text;property_type_inferred_from_title</x:v>
      </x:c>
      <x:c r="M491" s="10" t="n">
        <x:v>0</x:v>
      </x:c>
      <x:c r="N491" s="10" t="n">
        <x:v>0</x:v>
      </x:c>
      <x:c r="O491" s="2" t="str">
        <x:v>Tp Hồ Chí Minh|house</x:v>
      </x:c>
      <x:c r="P491" s="10" t="n">
        <x:v>2</x:v>
      </x:c>
      <x:c r="Q491" s="13" t="n">
        <x:f>IF(H491="","",H491/1000000000)</x:f>
        <x:v>5.2</x:v>
      </x:c>
      <x:c r="R491" s="13" t="n">
        <x:f>IF(I491="","",I491/1000000)</x:f>
        <x:v>104</x:v>
      </x:c>
    </x:row>
    <x:row r="492" ht="21" customHeight="1">
      <x:c r="A492" s="10" t="n">
        <x:v>527</x:v>
      </x:c>
      <x:c r="B492" s="2" t="str">
        <x:v>e958b6c46a3d994caca0</x:v>
      </x:c>
      <x:c r="C492" s="2" t="str">
        <x:v>Lâm Đồng</x:v>
      </x:c>
      <x:c r="D492" s="2" t="str">
        <x:v>Huyện Bảo Lâm</x:v>
      </x:c>
      <x:c r="E492" s="2" t="str">
        <x:v>other_unknown</x:v>
      </x:c>
      <x:c r="F492" s="2" t="str">
        <x:v>sale</x:v>
      </x:c>
      <x:c r="G492" s="11" t="n">
        <x:v>1871</x:v>
      </x:c>
      <x:c r="H492" s="12" t="n">
        <x:v>75000000</x:v>
      </x:c>
      <x:c r="I492" s="12" t="n">
        <x:v>40085.51576696953</x:v>
      </x:c>
      <x:c r="J492" s="2" t="str">
        <x:v>total</x:v>
      </x:c>
      <x:c r="K492" s="2" t="str">
        <x:v>top_level_area</x:v>
      </x:c>
      <x:c r="L492" s="2" t="str">
        <x:v>dot_thousands_convention;property_type_inferred_from_title;unknown_property_type</x:v>
      </x:c>
      <x:c r="M492" s="10" t="n">
        <x:v>0</x:v>
      </x:c>
      <x:c r="N492" s="10" t="n">
        <x:v>0</x:v>
      </x:c>
      <x:c r="O492" s="2" t="str">
        <x:v>other_unknown</x:v>
      </x:c>
      <x:c r="P492" s="10" t="n">
        <x:v>1</x:v>
      </x:c>
      <x:c r="Q492" s="13" t="n">
        <x:f>IF(H492="","",H492/1000000000)</x:f>
        <x:v>0.075</x:v>
      </x:c>
      <x:c r="R492" s="13" t="n">
        <x:f>IF(I492="","",I492/1000000)</x:f>
        <x:v>0.04008551576696953</x:v>
      </x:c>
    </x:row>
    <x:row r="493" ht="21" customHeight="1">
      <x:c r="A493" s="10" t="n">
        <x:v>528</x:v>
      </x:c>
      <x:c r="B493" s="2" t="str">
        <x:v>019542492bd303fe2e0c</x:v>
      </x:c>
      <x:c r="C493" s="2" t="str">
        <x:v>Bình Dương</x:v>
      </x:c>
      <x:c r="D493" s="2" t="str">
        <x:v>Thị xã Thuận An</x:v>
      </x:c>
      <x:c r="E493" s="2" t="str">
        <x:v>land</x:v>
      </x:c>
      <x:c r="F493" s="2" t="str">
        <x:v>sale_assumed</x:v>
      </x:c>
      <x:c r="G493" s="11" t="n">
        <x:v>950</x:v>
      </x:c>
      <x:c r="H493" s="12" t="n">
        <x:v>12000000000</x:v>
      </x:c>
      <x:c r="I493" s="12" t="n">
        <x:v>12631578.94736842</x:v>
      </x:c>
      <x:c r="J493" s="2" t="str">
        <x:v>total</x:v>
      </x:c>
      <x:c r="K493" s="2" t="str">
        <x:v>top_level_area</x:v>
      </x:c>
      <x:c r="L493" s="2" t="str">
        <x:v>property_type_inferred_from_title;transaction_assumed_sale_from_dataset_context</x:v>
      </x:c>
      <x:c r="M493" s="10" t="n">
        <x:v>0</x:v>
      </x:c>
      <x:c r="N493" s="10" t="n">
        <x:v>0</x:v>
      </x:c>
      <x:c r="O493" s="2" t="str">
        <x:v>Bình Dương|land</x:v>
      </x:c>
      <x:c r="P493" s="10" t="n">
        <x:v>1</x:v>
      </x:c>
      <x:c r="Q493" s="13" t="n">
        <x:f>IF(H493="","",H493/1000000000)</x:f>
        <x:v>12</x:v>
      </x:c>
      <x:c r="R493" s="13" t="n">
        <x:f>IF(I493="","",I493/1000000)</x:f>
        <x:v>12.631578947368421</x:v>
      </x:c>
    </x:row>
    <x:row r="494" ht="21" customHeight="1">
      <x:c r="A494" s="10" t="n">
        <x:v>529</x:v>
      </x:c>
      <x:c r="B494" s="2" t="str">
        <x:v>d8cbc799efec4ae5290e</x:v>
      </x:c>
      <x:c r="C494" s="2" t="str">
        <x:v>Tp Hồ Chí Minh</x:v>
      </x:c>
      <x:c r="D494" s="2" t="str">
        <x:v>Quận Thủ Đức</x:v>
      </x:c>
      <x:c r="E494" s="2" t="str">
        <x:v>house</x:v>
      </x:c>
      <x:c r="F494" s="2" t="str">
        <x:v>sale</x:v>
      </x:c>
      <x:c r="G494" s="11" t="n">
        <x:v>143</x:v>
      </x:c>
      <x:c r="H494" s="12" t="n">
        <x:v>15000000000</x:v>
      </x:c>
      <x:c r="I494" s="12" t="n">
        <x:v>104895104.8951049</x:v>
      </x:c>
      <x:c r="J494" s="2" t="str">
        <x:v>total</x:v>
      </x:c>
      <x:c r="K494" s="2" t="str">
        <x:v>top_level_area</x:v>
      </x:c>
      <x:c r="L494" s="2" t="str">
        <x:v>property_type_inferred_from_title</x:v>
      </x:c>
      <x:c r="M494" s="10" t="n">
        <x:v>0</x:v>
      </x:c>
      <x:c r="N494" s="10" t="n">
        <x:v>0</x:v>
      </x:c>
      <x:c r="O494" s="2" t="str">
        <x:v>Tp Hồ Chí Minh|house</x:v>
      </x:c>
      <x:c r="P494" s="10" t="n">
        <x:v>2</x:v>
      </x:c>
      <x:c r="Q494" s="13" t="n">
        <x:f>IF(H494="","",H494/1000000000)</x:f>
        <x:v>15</x:v>
      </x:c>
      <x:c r="R494" s="13" t="n">
        <x:f>IF(I494="","",I494/1000000)</x:f>
        <x:v>104.8951048951049</x:v>
      </x:c>
    </x:row>
    <x:row r="495" ht="21" customHeight="1">
      <x:c r="A495" s="10" t="n">
        <x:v>530</x:v>
      </x:c>
      <x:c r="B495" s="2" t="str">
        <x:v>20a81f77ffda93849cca</x:v>
      </x:c>
      <x:c r="C495" s="2" t="str">
        <x:v>Đồng Nai</x:v>
      </x:c>
      <x:c r="D495" s="2" t="str">
        <x:v>Huyện Trảng Bom</x:v>
      </x:c>
      <x:c r="E495" s="2" t="str">
        <x:v>land</x:v>
      </x:c>
      <x:c r="F495" s="2" t="str">
        <x:v>sale_assumed</x:v>
      </x:c>
      <x:c r="G495" s="11" t="n">
        <x:v>98</x:v>
      </x:c>
      <x:c r="H495" s="12" t="n">
        <x:v>190000000</x:v>
      </x:c>
      <x:c r="I495" s="12" t="n">
        <x:v>1938775.5102040817</x:v>
      </x:c>
      <x:c r="J495" s="2" t="str">
        <x:v>total</x:v>
      </x:c>
      <x:c r="K495" s="2" t="str">
        <x:v>top_level_area</x:v>
      </x:c>
      <x:c r="L495" s="2" t="str">
        <x:v>property_type_inferred_from_title;transaction_assumed_sale_from_dataset_context</x:v>
      </x:c>
      <x:c r="M495" s="10" t="n">
        <x:v>0</x:v>
      </x:c>
      <x:c r="N495" s="10" t="n">
        <x:v>0</x:v>
      </x:c>
      <x:c r="O495" s="2" t="str">
        <x:v>Đồng Nai|land</x:v>
      </x:c>
      <x:c r="P495" s="10" t="n">
        <x:v>1</x:v>
      </x:c>
      <x:c r="Q495" s="13" t="n">
        <x:f>IF(H495="","",H495/1000000000)</x:f>
        <x:v>0.19</x:v>
      </x:c>
      <x:c r="R495" s="13" t="n">
        <x:f>IF(I495="","",I495/1000000)</x:f>
        <x:v>1.9387755102040816</x:v>
      </x:c>
    </x:row>
    <x:row r="496" ht="21" customHeight="1">
      <x:c r="A496" s="10" t="n">
        <x:v>531</x:v>
      </x:c>
      <x:c r="B496" s="2" t="str">
        <x:v>44699d7a48f149578e92</x:v>
      </x:c>
      <x:c r="C496" s="2" t="str">
        <x:v>Tp Hồ Chí Minh</x:v>
      </x:c>
      <x:c r="D496" s="2" t="str">
        <x:v>Huyện Nhà Bè</x:v>
      </x:c>
      <x:c r="E496" s="2" t="str">
        <x:v>house</x:v>
      </x:c>
      <x:c r="F496" s="2" t="str">
        <x:v>sale_assumed</x:v>
      </x:c>
      <x:c r="G496" s="11" t="n">
        <x:v>100</x:v>
      </x:c>
      <x:c r="H496" s="12" t="n">
        <x:v>6850000000</x:v>
      </x:c>
      <x:c r="I496" s="12" t="n">
        <x:v>68500000</x:v>
      </x:c>
      <x:c r="J496" s="2" t="str">
        <x:v>total</x:v>
      </x:c>
      <x:c r="K496" s="2" t="str">
        <x:v>top_level_area</x:v>
      </x:c>
      <x:c r="L496" s="2" t="str">
        <x:v>property_type_inferred_from_title;transaction_assumed_sale_from_dataset_context</x:v>
      </x:c>
      <x:c r="M496" s="10" t="n">
        <x:v>0</x:v>
      </x:c>
      <x:c r="N496" s="10" t="n">
        <x:v>0</x:v>
      </x:c>
      <x:c r="O496" s="2" t="str">
        <x:v>Tp Hồ Chí Minh|house</x:v>
      </x:c>
      <x:c r="P496" s="10" t="n">
        <x:v>2</x:v>
      </x:c>
      <x:c r="Q496" s="13" t="n">
        <x:f>IF(H496="","",H496/1000000000)</x:f>
        <x:v>6.85</x:v>
      </x:c>
      <x:c r="R496" s="13" t="n">
        <x:f>IF(I496="","",I496/1000000)</x:f>
        <x:v>68.5</x:v>
      </x:c>
    </x:row>
    <x:row r="497" ht="21" customHeight="1">
      <x:c r="A497" s="10" t="n">
        <x:v>532</x:v>
      </x:c>
      <x:c r="B497" s="2" t="str">
        <x:v>b5c552b36fa1830a31f7</x:v>
      </x:c>
      <x:c r="C497" s="2" t="str">
        <x:v>Tp Hồ Chí Minh</x:v>
      </x:c>
      <x:c r="D497" s="2" t="str">
        <x:v>Quận 7</x:v>
      </x:c>
      <x:c r="E497" s="2" t="str">
        <x:v>house</x:v>
      </x:c>
      <x:c r="F497" s="2" t="str">
        <x:v>sale_assumed</x:v>
      </x:c>
      <x:c r="G497" s="11" t="n">
        <x:v>69</x:v>
      </x:c>
      <x:c r="H497" s="12" t="n">
        <x:v>1100000000</x:v>
      </x:c>
      <x:c r="I497" s="12" t="n">
        <x:v>15942028.985507246</x:v>
      </x:c>
      <x:c r="J497" s="2" t="str">
        <x:v>total</x:v>
      </x:c>
      <x:c r="K497" s="2" t="str">
        <x:v>top_level_area</x:v>
      </x:c>
      <x:c r="L497" s="2" t="str">
        <x:v>property_type_inferred_from_title;transaction_assumed_sale_from_dataset_context</x:v>
      </x:c>
      <x:c r="M497" s="10" t="n">
        <x:v>0</x:v>
      </x:c>
      <x:c r="N497" s="10" t="n">
        <x:v>0</x:v>
      </x:c>
      <x:c r="O497" s="2" t="str">
        <x:v>Tp Hồ Chí Minh|house</x:v>
      </x:c>
      <x:c r="P497" s="10" t="n">
        <x:v>2</x:v>
      </x:c>
      <x:c r="Q497" s="13" t="n">
        <x:f>IF(H497="","",H497/1000000000)</x:f>
        <x:v>1.1</x:v>
      </x:c>
      <x:c r="R497" s="13" t="n">
        <x:f>IF(I497="","",I497/1000000)</x:f>
        <x:v>15.942028985507246</x:v>
      </x:c>
    </x:row>
    <x:row r="498" ht="21" customHeight="1">
      <x:c r="A498" s="10" t="n">
        <x:v>533</x:v>
      </x:c>
      <x:c r="B498" s="2" t="str">
        <x:v>13a688ac074b618e300b</x:v>
      </x:c>
      <x:c r="C498" s="2" t="str">
        <x:v>Đà Nẵng</x:v>
      </x:c>
      <x:c r="D498" s="2" t="str">
        <x:v>Quận Ngũ Hành Sơn</x:v>
      </x:c>
      <x:c r="E498" s="2" t="str">
        <x:v>land</x:v>
      </x:c>
      <x:c r="F498" s="2" t="str">
        <x:v>sale</x:v>
      </x:c>
      <x:c r="G498" s="11" t="n">
        <x:v>90</x:v>
      </x:c>
      <x:c r="H498" s="12" t="n">
        <x:v>4400000000</x:v>
      </x:c>
      <x:c r="I498" s="12" t="n">
        <x:v>48888888.88888889</x:v>
      </x:c>
      <x:c r="J498" s="2" t="str">
        <x:v>total</x:v>
      </x:c>
      <x:c r="K498" s="2" t="str">
        <x:v>top_level_area</x:v>
      </x:c>
      <x:c r="L498" s="2" t="str">
        <x:v>property_type_inferred_from_title</x:v>
      </x:c>
      <x:c r="M498" s="10" t="n">
        <x:v>0</x:v>
      </x:c>
      <x:c r="N498" s="10" t="n">
        <x:v>0</x:v>
      </x:c>
      <x:c r="O498" s="2" t="str">
        <x:v>Đà Nẵng|land</x:v>
      </x:c>
      <x:c r="P498" s="10" t="n">
        <x:v>2</x:v>
      </x:c>
      <x:c r="Q498" s="13" t="n">
        <x:f>IF(H498="","",H498/1000000000)</x:f>
        <x:v>4.4</x:v>
      </x:c>
      <x:c r="R498" s="13" t="n">
        <x:f>IF(I498="","",I498/1000000)</x:f>
        <x:v>48.888888888888886</x:v>
      </x:c>
    </x:row>
    <x:row r="499" ht="21" customHeight="1">
      <x:c r="A499" s="10" t="n">
        <x:v>534</x:v>
      </x:c>
      <x:c r="B499" s="2" t="str">
        <x:v>0ad23c133fde064ff169</x:v>
      </x:c>
      <x:c r="C499" s="2" t="str">
        <x:v>Bình Dương</x:v>
      </x:c>
      <x:c r="D499" s="2" t="str">
        <x:v>Thị xã Tân Uyên</x:v>
      </x:c>
      <x:c r="E499" s="2" t="str">
        <x:v>land</x:v>
      </x:c>
      <x:c r="F499" s="2" t="str">
        <x:v>sale</x:v>
      </x:c>
      <x:c r="G499" s="11" t="n">
        <x:v>88</x:v>
      </x:c>
      <x:c r="H499" s="12" t="n">
        <x:v>1200000000</x:v>
      </x:c>
      <x:c r="I499" s="12" t="n">
        <x:v>13636363.636363637</x:v>
      </x:c>
      <x:c r="J499" s="2" t="str">
        <x:v>total</x:v>
      </x:c>
      <x:c r="K499" s="2" t="str">
        <x:v>top_level_area</x:v>
      </x:c>
      <x:c r="L499" s="2" t="str">
        <x:v>property_type_inferred_from_title</x:v>
      </x:c>
      <x:c r="M499" s="10" t="n">
        <x:v>0</x:v>
      </x:c>
      <x:c r="N499" s="10" t="n">
        <x:v>0</x:v>
      </x:c>
      <x:c r="O499" s="2" t="str">
        <x:v>Bình Dương|land</x:v>
      </x:c>
      <x:c r="P499" s="10" t="n">
        <x:v>2</x:v>
      </x:c>
      <x:c r="Q499" s="13" t="n">
        <x:f>IF(H499="","",H499/1000000000)</x:f>
        <x:v>1.2</x:v>
      </x:c>
      <x:c r="R499" s="13" t="n">
        <x:f>IF(I499="","",I499/1000000)</x:f>
        <x:v>13.636363636363637</x:v>
      </x:c>
    </x:row>
    <x:row r="500" ht="21" customHeight="1">
      <x:c r="A500" s="10" t="n">
        <x:v>535</x:v>
      </x:c>
      <x:c r="B500" s="2" t="str">
        <x:v>cd59e911ea0d39f63c3d</x:v>
      </x:c>
      <x:c r="C500" s="2" t="str">
        <x:v>Tp Hồ Chí Minh</x:v>
      </x:c>
      <x:c r="D500" s="2" t="str">
        <x:v>Quận 7</x:v>
      </x:c>
      <x:c r="E500" s="2" t="str">
        <x:v>house</x:v>
      </x:c>
      <x:c r="F500" s="2" t="str">
        <x:v>sale_assumed</x:v>
      </x:c>
      <x:c r="G500" s="11" t="n">
        <x:v>20</x:v>
      </x:c>
      <x:c r="H500" s="12" t="n">
        <x:v>950000000</x:v>
      </x:c>
      <x:c r="I500" s="12" t="n">
        <x:v>47500000</x:v>
      </x:c>
      <x:c r="J500" s="2" t="str">
        <x:v>total</x:v>
      </x:c>
      <x:c r="K500" s="2" t="str">
        <x:v>top_level_price_embedded_area</x:v>
      </x:c>
      <x:c r="L500" s="2" t="str">
        <x:v>area_recovered_from_price_text;property_type_inferred_from_title;transaction_assumed_sale_from_dataset_context</x:v>
      </x:c>
      <x:c r="M500" s="10" t="n">
        <x:v>0</x:v>
      </x:c>
      <x:c r="N500" s="10" t="n">
        <x:v>0</x:v>
      </x:c>
      <x:c r="O500" s="2" t="str">
        <x:v>Tp Hồ Chí Minh|house</x:v>
      </x:c>
      <x:c r="P500" s="10" t="n">
        <x:v>2</x:v>
      </x:c>
      <x:c r="Q500" s="13" t="n">
        <x:f>IF(H500="","",H500/1000000000)</x:f>
        <x:v>0.95</x:v>
      </x:c>
      <x:c r="R500" s="13" t="n">
        <x:f>IF(I500="","",I500/1000000)</x:f>
        <x:v>47.5</x:v>
      </x:c>
    </x:row>
    <x:row r="501" ht="21" customHeight="1">
      <x:c r="A501" s="10" t="n">
        <x:v>536</x:v>
      </x:c>
      <x:c r="B501" s="2" t="str">
        <x:v>2bec68b236a78e704a66</x:v>
      </x:c>
      <x:c r="C501" s="2" t="str">
        <x:v>Đồng Nai</x:v>
      </x:c>
      <x:c r="D501" s="2" t="str">
        <x:v>Huyện Vĩnh Cửu</x:v>
      </x:c>
      <x:c r="E501" s="2" t="str">
        <x:v>other_unknown</x:v>
      </x:c>
      <x:c r="F501" s="2" t="str">
        <x:v>sale</x:v>
      </x:c>
      <x:c r="G501" s="11" t="n">
        <x:v>72</x:v>
      </x:c>
      <x:c r="H501" s="12" t="n">
        <x:v>960000000</x:v>
      </x:c>
      <x:c r="I501" s="12" t="n">
        <x:v>13333333.333333334</x:v>
      </x:c>
      <x:c r="J501" s="2" t="str">
        <x:v>total</x:v>
      </x:c>
      <x:c r="K501" s="2" t="str">
        <x:v>top_level_area</x:v>
      </x:c>
      <x:c r="L501" s="2" t="str">
        <x:v>property_type_inferred_from_title;unknown_property_type</x:v>
      </x:c>
      <x:c r="M501" s="10" t="n">
        <x:v>0</x:v>
      </x:c>
      <x:c r="N501" s="10" t="n">
        <x:v>0</x:v>
      </x:c>
      <x:c r="O501" s="2" t="str">
        <x:v>Đồng Nai|other_unknown</x:v>
      </x:c>
      <x:c r="P501" s="10" t="n">
        <x:v>2</x:v>
      </x:c>
      <x:c r="Q501" s="13" t="n">
        <x:f>IF(H501="","",H501/1000000000)</x:f>
        <x:v>0.96</x:v>
      </x:c>
      <x:c r="R501" s="13" t="n">
        <x:f>IF(I501="","",I501/1000000)</x:f>
        <x:v>13.333333333333334</x:v>
      </x:c>
    </x:row>
    <x:row r="502" ht="21" customHeight="1">
      <x:c r="A502" s="10" t="n">
        <x:v>537</x:v>
      </x:c>
      <x:c r="B502" s="2" t="str">
        <x:v>6551a3c7af5b9e1e583f</x:v>
      </x:c>
      <x:c r="C502" s="2" t="str">
        <x:v>Bình Dương</x:v>
      </x:c>
      <x:c r="D502" s="2" t="str">
        <x:v>Thành phố Thủ Dầu Một</x:v>
      </x:c>
      <x:c r="E502" s="2" t="str">
        <x:v>land</x:v>
      </x:c>
      <x:c r="F502" s="2" t="str">
        <x:v>sale_assumed</x:v>
      </x:c>
      <x:c r="G502" s="11" t="n">
        <x:v>360</x:v>
      </x:c>
      <x:c r="H502" s="12" t="n">
        <x:v>1200000000</x:v>
      </x:c>
      <x:c r="I502" s="12" t="n">
        <x:v>3333333.3333333335</x:v>
      </x:c>
      <x:c r="J502" s="2" t="str">
        <x:v>total</x:v>
      </x:c>
      <x:c r="K502" s="2" t="str">
        <x:v>top_level_area</x:v>
      </x:c>
      <x:c r="L502" s="2" t="str">
        <x:v>property_type_inferred_from_title;transaction_assumed_sale_from_dataset_context</x:v>
      </x:c>
      <x:c r="M502" s="10" t="n">
        <x:v>0</x:v>
      </x:c>
      <x:c r="N502" s="10" t="n">
        <x:v>0</x:v>
      </x:c>
      <x:c r="O502" s="2" t="str">
        <x:v>Bình Dương|land</x:v>
      </x:c>
      <x:c r="P502" s="10" t="n">
        <x:v>1</x:v>
      </x:c>
      <x:c r="Q502" s="13" t="n">
        <x:f>IF(H502="","",H502/1000000000)</x:f>
        <x:v>1.2</x:v>
      </x:c>
      <x:c r="R502" s="13" t="n">
        <x:f>IF(I502="","",I502/1000000)</x:f>
        <x:v>3.3333333333333335</x:v>
      </x:c>
    </x:row>
    <x:row r="503" ht="21" customHeight="1">
      <x:c r="A503" s="10" t="n">
        <x:v>538</x:v>
      </x:c>
      <x:c r="B503" s="2" t="str">
        <x:v>cd5f00617181645ea0a2</x:v>
      </x:c>
      <x:c r="C503" s="2" t="str">
        <x:v>Tp Hồ Chí Minh</x:v>
      </x:c>
      <x:c r="D503" s="2" t="str">
        <x:v>Quận Gò Vấp</x:v>
      </x:c>
      <x:c r="E503" s="2" t="str">
        <x:v>house</x:v>
      </x:c>
      <x:c r="F503" s="2" t="str">
        <x:v>sale_assumed</x:v>
      </x:c>
      <x:c r="G503" s="11" t="n">
        <x:v>17</x:v>
      </x:c>
      <x:c r="H503" s="12" t="n">
        <x:v>2049999999.9999998</x:v>
      </x:c>
      <x:c r="I503" s="12" t="n">
        <x:v>120588235.29411763</x:v>
      </x:c>
      <x:c r="J503" s="2" t="str">
        <x:v>total</x:v>
      </x:c>
      <x:c r="K503" s="2" t="str">
        <x:v>top_level_area</x:v>
      </x:c>
      <x:c r="L503" s="2" t="str">
        <x:v>property_type_inferred_from_title;transaction_assumed_sale_from_dataset_context</x:v>
      </x:c>
      <x:c r="M503" s="10" t="n">
        <x:v>0</x:v>
      </x:c>
      <x:c r="N503" s="10" t="n">
        <x:v>0</x:v>
      </x:c>
      <x:c r="O503" s="2" t="str">
        <x:v>Tp Hồ Chí Minh|house</x:v>
      </x:c>
      <x:c r="P503" s="10" t="n">
        <x:v>2</x:v>
      </x:c>
      <x:c r="Q503" s="13" t="n">
        <x:f>IF(H503="","",H503/1000000000)</x:f>
        <x:v>2.05</x:v>
      </x:c>
      <x:c r="R503" s="13" t="n">
        <x:f>IF(I503="","",I503/1000000)</x:f>
        <x:v>120.58823529411762</x:v>
      </x:c>
    </x:row>
    <x:row r="504" ht="21" customHeight="1">
      <x:c r="A504" s="10" t="n">
        <x:v>539</x:v>
      </x:c>
      <x:c r="B504" s="2" t="str">
        <x:v>ddc40aa94f29de75f59d</x:v>
      </x:c>
      <x:c r="C504" s="2" t="str">
        <x:v>Bình Dương</x:v>
      </x:c>
      <x:c r="D504" s="2" t="str">
        <x:v>Thành phố Thủ Dầu Một</x:v>
      </x:c>
      <x:c r="E504" s="2" t="str">
        <x:v>land</x:v>
      </x:c>
      <x:c r="F504" s="2" t="str">
        <x:v>sale_assumed</x:v>
      </x:c>
      <x:c r="G504" s="11" t="n">
        <x:v>135</x:v>
      </x:c>
      <x:c r="H504" s="12" t="n">
        <x:v>2700000000</x:v>
      </x:c>
      <x:c r="I504" s="12" t="n">
        <x:v>20000000</x:v>
      </x:c>
      <x:c r="J504" s="2" t="str">
        <x:v>total</x:v>
      </x:c>
      <x:c r="K504" s="2" t="str">
        <x:v>top_level_area</x:v>
      </x:c>
      <x:c r="L504" s="2" t="str">
        <x:v>property_type_inferred_from_title;transaction_assumed_sale_from_dataset_context</x:v>
      </x:c>
      <x:c r="M504" s="10" t="n">
        <x:v>0</x:v>
      </x:c>
      <x:c r="N504" s="10" t="n">
        <x:v>0</x:v>
      </x:c>
      <x:c r="O504" s="2" t="str">
        <x:v>Bình Dương|land</x:v>
      </x:c>
      <x:c r="P504" s="10" t="n">
        <x:v>2</x:v>
      </x:c>
      <x:c r="Q504" s="13" t="n">
        <x:f>IF(H504="","",H504/1000000000)</x:f>
        <x:v>2.7</x:v>
      </x:c>
      <x:c r="R504" s="13" t="n">
        <x:f>IF(I504="","",I504/1000000)</x:f>
        <x:v>20</x:v>
      </x:c>
    </x:row>
    <x:row r="505" ht="21" customHeight="1">
      <x:c r="A505" s="10" t="n">
        <x:v>540</x:v>
      </x:c>
      <x:c r="B505" s="2" t="str">
        <x:v>0e5e7f5a95e8ab58c516</x:v>
      </x:c>
      <x:c r="C505" s="2" t="str">
        <x:v>Tp Hồ Chí Minh</x:v>
      </x:c>
      <x:c r="D505" s="2" t="str">
        <x:v>Huyện Bình Chánh</x:v>
      </x:c>
      <x:c r="E505" s="2" t="str">
        <x:v>land</x:v>
      </x:c>
      <x:c r="F505" s="2" t="str">
        <x:v>sale</x:v>
      </x:c>
      <x:c r="G505" s="11" t="n">
        <x:v>52</x:v>
      </x:c>
      <x:c r="H505" s="12" t="n">
        <x:v>400000000</x:v>
      </x:c>
      <x:c r="I505" s="12" t="n">
        <x:v>7692307.692307692</x:v>
      </x:c>
      <x:c r="J505" s="2" t="str">
        <x:v>total</x:v>
      </x:c>
      <x:c r="K505" s="2" t="str">
        <x:v>top_level_area</x:v>
      </x:c>
      <x:c r="L505" s="2" t="str">
        <x:v>property_type_inferred_from_title</x:v>
      </x:c>
      <x:c r="M505" s="10" t="n">
        <x:v>0</x:v>
      </x:c>
      <x:c r="N505" s="10" t="n">
        <x:v>0</x:v>
      </x:c>
      <x:c r="O505" s="2" t="str">
        <x:v>Tp Hồ Chí Minh|land</x:v>
      </x:c>
      <x:c r="P505" s="10" t="n">
        <x:v>2</x:v>
      </x:c>
      <x:c r="Q505" s="13" t="n">
        <x:f>IF(H505="","",H505/1000000000)</x:f>
        <x:v>0.4</x:v>
      </x:c>
      <x:c r="R505" s="13" t="n">
        <x:f>IF(I505="","",I505/1000000)</x:f>
        <x:v>7.692307692307692</x:v>
      </x:c>
    </x:row>
    <x:row r="506" ht="21" customHeight="1">
      <x:c r="A506" s="10" t="n">
        <x:v>541</x:v>
      </x:c>
      <x:c r="B506" s="2" t="str">
        <x:v>df78e8c49430ec8b7d38</x:v>
      </x:c>
      <x:c r="C506" s="2" t="str">
        <x:v>Hà Nội</x:v>
      </x:c>
      <x:c r="D506" s="2" t="str">
        <x:v>Quận Hà Đông</x:v>
      </x:c>
      <x:c r="E506" s="2" t="str">
        <x:v>house</x:v>
      </x:c>
      <x:c r="F506" s="2" t="str">
        <x:v>sale</x:v>
      </x:c>
      <x:c r="G506" s="11" t="n">
        <x:v>35.7</x:v>
      </x:c>
      <x:c r="H506" s="12" t="n">
        <x:v>2850000000</x:v>
      </x:c>
      <x:c r="I506" s="12" t="n">
        <x:v>79831932.77310924</x:v>
      </x:c>
      <x:c r="J506" s="2" t="str">
        <x:v>total</x:v>
      </x:c>
      <x:c r="K506" s="2" t="str">
        <x:v>top_level_area</x:v>
      </x:c>
      <x:c r="L506" s="2" t="str">
        <x:v>property_type_inferred_from_title</x:v>
      </x:c>
      <x:c r="M506" s="10" t="n">
        <x:v>0</x:v>
      </x:c>
      <x:c r="N506" s="10" t="n">
        <x:v>0</x:v>
      </x:c>
      <x:c r="O506" s="2" t="str">
        <x:v>Hà Nội|house</x:v>
      </x:c>
      <x:c r="P506" s="10" t="n">
        <x:v>2</x:v>
      </x:c>
      <x:c r="Q506" s="13" t="n">
        <x:f>IF(H506="","",H506/1000000000)</x:f>
        <x:v>2.85</x:v>
      </x:c>
      <x:c r="R506" s="13" t="n">
        <x:f>IF(I506="","",I506/1000000)</x:f>
        <x:v>79.83193277310924</x:v>
      </x:c>
    </x:row>
    <x:row r="507" ht="21" customHeight="1">
      <x:c r="A507" s="10" t="n">
        <x:v>542</x:v>
      </x:c>
      <x:c r="B507" s="2" t="str">
        <x:v>5ab6c3f847f2a2014b7a</x:v>
      </x:c>
      <x:c r="C507" s="2" t="str">
        <x:v>Tp Hồ Chí Minh</x:v>
      </x:c>
      <x:c r="D507" s="2" t="str">
        <x:v>Quận 9</x:v>
      </x:c>
      <x:c r="E507" s="2" t="str">
        <x:v>land</x:v>
      </x:c>
      <x:c r="F507" s="2" t="str">
        <x:v>sale</x:v>
      </x:c>
      <x:c r="G507" s="11" t="n">
        <x:v>941</x:v>
      </x:c>
      <x:c r="H507" s="12" t="n">
        <x:v>65000000000</x:v>
      </x:c>
      <x:c r="I507" s="12" t="n">
        <x:v>69075451.64718385</x:v>
      </x:c>
      <x:c r="J507" s="2" t="str">
        <x:v>total</x:v>
      </x:c>
      <x:c r="K507" s="2" t="str">
        <x:v>top_level_area</x:v>
      </x:c>
      <x:c r="L507" s="2" t="str">
        <x:v>property_type_inferred_from_title</x:v>
      </x:c>
      <x:c r="M507" s="10" t="n">
        <x:v>0</x:v>
      </x:c>
      <x:c r="N507" s="10" t="n">
        <x:v>0</x:v>
      </x:c>
      <x:c r="O507" s="2" t="str">
        <x:v>Tp Hồ Chí Minh|land</x:v>
      </x:c>
      <x:c r="P507" s="10" t="n">
        <x:v>2</x:v>
      </x:c>
      <x:c r="Q507" s="13" t="n">
        <x:f>IF(H507="","",H507/1000000000)</x:f>
        <x:v>65</x:v>
      </x:c>
      <x:c r="R507" s="13" t="n">
        <x:f>IF(I507="","",I507/1000000)</x:f>
        <x:v>69.07545164718385</x:v>
      </x:c>
    </x:row>
    <x:row r="508" ht="21" customHeight="1">
      <x:c r="A508" s="10" t="n">
        <x:v>543</x:v>
      </x:c>
      <x:c r="B508" s="2" t="str">
        <x:v>e6a4b630de35b8a24323</x:v>
      </x:c>
      <x:c r="C508" s="2" t="str">
        <x:v>Tp Hồ Chí Minh</x:v>
      </x:c>
      <x:c r="D508" s="2" t="str">
        <x:v>Quận 9</x:v>
      </x:c>
      <x:c r="E508" s="2" t="str">
        <x:v>apartment</x:v>
      </x:c>
      <x:c r="F508" s="2" t="str">
        <x:v>sale</x:v>
      </x:c>
      <x:c r="G508" s="11" t="n">
        <x:v>70</x:v>
      </x:c>
      <x:c r="H508" s="12" t="n">
        <x:v>3500000000</x:v>
      </x:c>
      <x:c r="I508" s="12" t="n">
        <x:v>50000000</x:v>
      </x:c>
      <x:c r="J508" s="2" t="str">
        <x:v>total</x:v>
      </x:c>
      <x:c r="K508" s="2" t="str">
        <x:v>top_level_area</x:v>
      </x:c>
      <x:c r="L508" s="2" t="str">
        <x:v>property_type_inferred_from_title;province_alias_normalized</x:v>
      </x:c>
      <x:c r="M508" s="10" t="n">
        <x:v>0</x:v>
      </x:c>
      <x:c r="N508" s="10" t="n">
        <x:v>0</x:v>
      </x:c>
      <x:c r="O508" s="2" t="str">
        <x:v>Tp Hồ Chí Minh|apartment</x:v>
      </x:c>
      <x:c r="P508" s="10" t="n">
        <x:v>2</x:v>
      </x:c>
      <x:c r="Q508" s="13" t="n">
        <x:f>IF(H508="","",H508/1000000000)</x:f>
        <x:v>3.5</x:v>
      </x:c>
      <x:c r="R508" s="13" t="n">
        <x:f>IF(I508="","",I508/1000000)</x:f>
        <x:v>50</x:v>
      </x:c>
    </x:row>
    <x:row r="509" ht="21" customHeight="1">
      <x:c r="A509" s="10" t="n">
        <x:v>544</x:v>
      </x:c>
      <x:c r="B509" s="2" t="str">
        <x:v>b55557f3d4ad05a8516a</x:v>
      </x:c>
      <x:c r="C509" s="2" t="str">
        <x:v>Tp Hồ Chí Minh</x:v>
      </x:c>
      <x:c r="D509" s="2" t="str">
        <x:v>Quận 12</x:v>
      </x:c>
      <x:c r="E509" s="2" t="str">
        <x:v>other_unknown</x:v>
      </x:c>
      <x:c r="F509" s="2" t="str">
        <x:v>sale_assumed</x:v>
      </x:c>
      <x:c r="G509" s="11" t="n">
        <x:v>64</x:v>
      </x:c>
      <x:c r="H509" s="12" t="n">
        <x:v>2350000000</x:v>
      </x:c>
      <x:c r="I509" s="12" t="n">
        <x:v>36718750</x:v>
      </x:c>
      <x:c r="J509" s="2" t="str">
        <x:v>total</x:v>
      </x:c>
      <x:c r="K509" s="2" t="str">
        <x:v>top_level_area</x:v>
      </x:c>
      <x:c r="L509" s="2" t="str">
        <x:v>property_type_inferred_from_title;transaction_assumed_sale_from_dataset_context;unknown_property_type</x:v>
      </x:c>
      <x:c r="M509" s="10" t="n">
        <x:v>0</x:v>
      </x:c>
      <x:c r="N509" s="10" t="n">
        <x:v>0</x:v>
      </x:c>
      <x:c r="O509" s="2" t="str">
        <x:v>Tp Hồ Chí Minh|other_unknown</x:v>
      </x:c>
      <x:c r="P509" s="10" t="n">
        <x:v>2</x:v>
      </x:c>
      <x:c r="Q509" s="13" t="n">
        <x:f>IF(H509="","",H509/1000000000)</x:f>
        <x:v>2.35</x:v>
      </x:c>
      <x:c r="R509" s="13" t="n">
        <x:f>IF(I509="","",I509/1000000)</x:f>
        <x:v>36.71875</x:v>
      </x:c>
    </x:row>
    <x:row r="510" ht="21" customHeight="1">
      <x:c r="A510" s="10" t="n">
        <x:v>546</x:v>
      </x:c>
      <x:c r="B510" s="2" t="str">
        <x:v>8733f6e52fdf5ad61115</x:v>
      </x:c>
      <x:c r="C510" s="2" t="str">
        <x:v>Đồng Nai</x:v>
      </x:c>
      <x:c r="D510" s="2" t="str">
        <x:v>Huyện Long Thành</x:v>
      </x:c>
      <x:c r="E510" s="2" t="str">
        <x:v>land</x:v>
      </x:c>
      <x:c r="F510" s="2" t="str">
        <x:v>sale_assumed</x:v>
      </x:c>
      <x:c r="G510" s="11" t="n">
        <x:v>100</x:v>
      </x:c>
      <x:c r="H510" s="12" t="n">
        <x:v>480000000</x:v>
      </x:c>
      <x:c r="I510" s="12" t="n">
        <x:v>4800000</x:v>
      </x:c>
      <x:c r="J510" s="2" t="str">
        <x:v>total</x:v>
      </x:c>
      <x:c r="K510" s="2" t="str">
        <x:v>top_level_area</x:v>
      </x:c>
      <x:c r="L510" s="2" t="str">
        <x:v>property_type_inferred_from_title;transaction_assumed_sale_from_dataset_context</x:v>
      </x:c>
      <x:c r="M510" s="10" t="n">
        <x:v>0</x:v>
      </x:c>
      <x:c r="N510" s="10" t="n">
        <x:v>0</x:v>
      </x:c>
      <x:c r="O510" s="2" t="str">
        <x:v>Đồng Nai|land</x:v>
      </x:c>
      <x:c r="P510" s="10" t="n">
        <x:v>2</x:v>
      </x:c>
      <x:c r="Q510" s="13" t="n">
        <x:f>IF(H510="","",H510/1000000000)</x:f>
        <x:v>0.48</x:v>
      </x:c>
      <x:c r="R510" s="13" t="n">
        <x:f>IF(I510="","",I510/1000000)</x:f>
        <x:v>4.8</x:v>
      </x:c>
    </x:row>
    <x:row r="511" ht="21" customHeight="1">
      <x:c r="A511" s="10" t="n">
        <x:v>547</x:v>
      </x:c>
      <x:c r="B511" s="2" t="str">
        <x:v>a55a0bfede97cfafc47a</x:v>
      </x:c>
      <x:c r="C511" s="2" t="str">
        <x:v>Tp Hồ Chí Minh</x:v>
      </x:c>
      <x:c r="D511" s="2" t="str">
        <x:v>Quận 9</x:v>
      </x:c>
      <x:c r="E511" s="2" t="str">
        <x:v>house</x:v>
      </x:c>
      <x:c r="F511" s="2" t="str">
        <x:v>sale_assumed</x:v>
      </x:c>
      <x:c r="G511" s="11" t="n">
        <x:v>222</x:v>
      </x:c>
      <x:c r="H511" s="12" t="n">
        <x:v>19800000000</x:v>
      </x:c>
      <x:c r="I511" s="12" t="n">
        <x:v>89189189.1891892</x:v>
      </x:c>
      <x:c r="J511" s="2" t="str">
        <x:v>total</x:v>
      </x:c>
      <x:c r="K511" s="2" t="str">
        <x:v>top_level_area</x:v>
      </x:c>
      <x:c r="L511" s="2" t="str">
        <x:v>property_type_inferred_from_title;transaction_assumed_sale_from_dataset_context</x:v>
      </x:c>
      <x:c r="M511" s="10" t="n">
        <x:v>0</x:v>
      </x:c>
      <x:c r="N511" s="10" t="n">
        <x:v>0</x:v>
      </x:c>
      <x:c r="O511" s="2" t="str">
        <x:v>Tp Hồ Chí Minh|house</x:v>
      </x:c>
      <x:c r="P511" s="10" t="n">
        <x:v>2</x:v>
      </x:c>
      <x:c r="Q511" s="13" t="n">
        <x:f>IF(H511="","",H511/1000000000)</x:f>
        <x:v>19.8</x:v>
      </x:c>
      <x:c r="R511" s="13" t="n">
        <x:f>IF(I511="","",I511/1000000)</x:f>
        <x:v>89.1891891891892</x:v>
      </x:c>
    </x:row>
    <x:row r="512" ht="21" customHeight="1">
      <x:c r="A512" s="10" t="n">
        <x:v>549</x:v>
      </x:c>
      <x:c r="B512" s="2" t="str">
        <x:v>3044168e5b132f509819</x:v>
      </x:c>
      <x:c r="C512" s="2" t="str">
        <x:v>Hà Nội</x:v>
      </x:c>
      <x:c r="D512" s="2" t="str">
        <x:v>Quận Hoàng Mai</x:v>
      </x:c>
      <x:c r="E512" s="2" t="str">
        <x:v>house</x:v>
      </x:c>
      <x:c r="F512" s="2" t="str">
        <x:v>sale</x:v>
      </x:c>
      <x:c r="G512" s="11" t="n">
        <x:v>40</x:v>
      </x:c>
      <x:c r="H512" s="12" t="n">
        <x:v>2100000000</x:v>
      </x:c>
      <x:c r="I512" s="12" t="n">
        <x:v>52500000</x:v>
      </x:c>
      <x:c r="J512" s="2" t="str">
        <x:v>total</x:v>
      </x:c>
      <x:c r="K512" s="2" t="str">
        <x:v>top_level_area</x:v>
      </x:c>
      <x:c r="L512" s="2" t="str">
        <x:v>property_type_inferred_from_title</x:v>
      </x:c>
      <x:c r="M512" s="10" t="n">
        <x:v>0</x:v>
      </x:c>
      <x:c r="N512" s="10" t="n">
        <x:v>0</x:v>
      </x:c>
      <x:c r="O512" s="2" t="str">
        <x:v>Hà Nội|house</x:v>
      </x:c>
      <x:c r="P512" s="10" t="n">
        <x:v>2</x:v>
      </x:c>
      <x:c r="Q512" s="13" t="n">
        <x:f>IF(H512="","",H512/1000000000)</x:f>
        <x:v>2.1</x:v>
      </x:c>
      <x:c r="R512" s="13" t="n">
        <x:f>IF(I512="","",I512/1000000)</x:f>
        <x:v>52.5</x:v>
      </x:c>
    </x:row>
    <x:row r="513" ht="21" customHeight="1">
      <x:c r="A513" s="10" t="n">
        <x:v>550</x:v>
      </x:c>
      <x:c r="B513" s="2" t="str">
        <x:v>10bd796a1ef010c1b788</x:v>
      </x:c>
      <x:c r="C513" s="2" t="str">
        <x:v>Cần Thơ</x:v>
      </x:c>
      <x:c r="D513" s="2" t="str">
        <x:v>Quận Cái Răng</x:v>
      </x:c>
      <x:c r="E513" s="2" t="str">
        <x:v>other_unknown</x:v>
      </x:c>
      <x:c r="F513" s="2" t="str">
        <x:v>sale</x:v>
      </x:c>
      <x:c r="G513" s="11" t="n">
        <x:v>213</x:v>
      </x:c>
      <x:c r="H513" s="12" t="n">
        <x:v>6800000000</x:v>
      </x:c>
      <x:c r="I513" s="12" t="n">
        <x:v>31924882.629107982</x:v>
      </x:c>
      <x:c r="J513" s="2" t="str">
        <x:v>total</x:v>
      </x:c>
      <x:c r="K513" s="2" t="str">
        <x:v>top_level_area</x:v>
      </x:c>
      <x:c r="L513" s="2" t="str">
        <x:v>property_type_inferred_from_title;unknown_property_type</x:v>
      </x:c>
      <x:c r="M513" s="10" t="n">
        <x:v>0</x:v>
      </x:c>
      <x:c r="N513" s="10" t="n">
        <x:v>0</x:v>
      </x:c>
      <x:c r="O513" s="2" t="str">
        <x:v>other_unknown</x:v>
      </x:c>
      <x:c r="P513" s="10" t="n">
        <x:v>2</x:v>
      </x:c>
      <x:c r="Q513" s="13" t="n">
        <x:f>IF(H513="","",H513/1000000000)</x:f>
        <x:v>6.8</x:v>
      </x:c>
      <x:c r="R513" s="13" t="n">
        <x:f>IF(I513="","",I513/1000000)</x:f>
        <x:v>31.924882629107984</x:v>
      </x:c>
    </x:row>
    <x:row r="514" ht="21" customHeight="1">
      <x:c r="A514" s="10" t="n">
        <x:v>551</x:v>
      </x:c>
      <x:c r="B514" s="2" t="str">
        <x:v>9657ee66f3dd4e4c9fe5</x:v>
      </x:c>
      <x:c r="C514" s="2" t="str">
        <x:v>Bình Dương</x:v>
      </x:c>
      <x:c r="D514" s="2" t="str">
        <x:v>Thị xã Dĩ An</x:v>
      </x:c>
      <x:c r="E514" s="2" t="str">
        <x:v>house</x:v>
      </x:c>
      <x:c r="F514" s="2" t="str">
        <x:v>sale_assumed</x:v>
      </x:c>
      <x:c r="G514" s="11" t="n">
        <x:v>94</x:v>
      </x:c>
      <x:c r="H514" s="12" t="n">
        <x:v>4200000000</x:v>
      </x:c>
      <x:c r="I514" s="12" t="n">
        <x:v>44680851.06382979</x:v>
      </x:c>
      <x:c r="J514" s="2" t="str">
        <x:v>total</x:v>
      </x:c>
      <x:c r="K514" s="2" t="str">
        <x:v>top_level_area</x:v>
      </x:c>
      <x:c r="L514" s="2" t="str">
        <x:v>property_type_inferred_from_title;transaction_assumed_sale_from_dataset_context</x:v>
      </x:c>
      <x:c r="M514" s="10" t="n">
        <x:v>0</x:v>
      </x:c>
      <x:c r="N514" s="10" t="n">
        <x:v>0</x:v>
      </x:c>
      <x:c r="O514" s="2" t="str">
        <x:v>Bình Dương|house</x:v>
      </x:c>
      <x:c r="P514" s="10" t="n">
        <x:v>2</x:v>
      </x:c>
      <x:c r="Q514" s="13" t="n">
        <x:f>IF(H514="","",H514/1000000000)</x:f>
        <x:v>4.2</x:v>
      </x:c>
      <x:c r="R514" s="13" t="n">
        <x:f>IF(I514="","",I514/1000000)</x:f>
        <x:v>44.680851063829785</x:v>
      </x:c>
    </x:row>
    <x:row r="515" ht="21" customHeight="1">
      <x:c r="A515" s="10" t="n">
        <x:v>552</x:v>
      </x:c>
      <x:c r="B515" s="2" t="str">
        <x:v>9fb1435e3dc9f5949dfb</x:v>
      </x:c>
      <x:c r="C515" s="2" t="str">
        <x:v>Tp Hồ Chí Minh</x:v>
      </x:c>
      <x:c r="D515" s="2" t="str">
        <x:v>Quận 12</x:v>
      </x:c>
      <x:c r="E515" s="2" t="str">
        <x:v>house</x:v>
      </x:c>
      <x:c r="F515" s="2" t="str">
        <x:v>sale</x:v>
      </x:c>
      <x:c r="G515" s="11" t="n">
        <x:v>96</x:v>
      </x:c>
      <x:c r="H515" s="12" t="n">
        <x:v>1470000000</x:v>
      </x:c>
      <x:c r="I515" s="12" t="n">
        <x:v>15312500</x:v>
      </x:c>
      <x:c r="J515" s="2" t="str">
        <x:v>total</x:v>
      </x:c>
      <x:c r="K515" s="2" t="str">
        <x:v>top_level_area</x:v>
      </x:c>
      <x:c r="L515" s="2" t="str">
        <x:v>property_type_inferred_from_title</x:v>
      </x:c>
      <x:c r="M515" s="10" t="n">
        <x:v>0</x:v>
      </x:c>
      <x:c r="N515" s="10" t="n">
        <x:v>0</x:v>
      </x:c>
      <x:c r="O515" s="2" t="str">
        <x:v>Tp Hồ Chí Minh|house</x:v>
      </x:c>
      <x:c r="P515" s="10" t="n">
        <x:v>2</x:v>
      </x:c>
      <x:c r="Q515" s="13" t="n">
        <x:f>IF(H515="","",H515/1000000000)</x:f>
        <x:v>1.47</x:v>
      </x:c>
      <x:c r="R515" s="13" t="n">
        <x:f>IF(I515="","",I515/1000000)</x:f>
        <x:v>15.3125</x:v>
      </x:c>
    </x:row>
    <x:row r="516" ht="21" customHeight="1">
      <x:c r="A516" s="10" t="n">
        <x:v>553</x:v>
      </x:c>
      <x:c r="B516" s="2" t="str">
        <x:v>3566462821681153b79a</x:v>
      </x:c>
      <x:c r="C516" s="2" t="str">
        <x:v>Long An</x:v>
      </x:c>
      <x:c r="D516" s="2" t="str">
        <x:v>Huyện Cần Giuộc</x:v>
      </x:c>
      <x:c r="E516" s="2" t="str">
        <x:v>land</x:v>
      </x:c>
      <x:c r="F516" s="2" t="str">
        <x:v>sale_assumed</x:v>
      </x:c>
      <x:c r="G516" s="11" t="n">
        <x:v>100</x:v>
      </x:c>
      <x:c r="H516" s="12" t="n">
        <x:v>1100000000</x:v>
      </x:c>
      <x:c r="I516" s="12" t="n">
        <x:v>11000000</x:v>
      </x:c>
      <x:c r="J516" s="2" t="str">
        <x:v>total</x:v>
      </x:c>
      <x:c r="K516" s="2" t="str">
        <x:v>top_level_area</x:v>
      </x:c>
      <x:c r="L516" s="2" t="str">
        <x:v>property_type_inferred_from_title;transaction_assumed_sale_from_dataset_context</x:v>
      </x:c>
      <x:c r="M516" s="10" t="n">
        <x:v>0</x:v>
      </x:c>
      <x:c r="N516" s="10" t="n">
        <x:v>0</x:v>
      </x:c>
      <x:c r="O516" s="2" t="str">
        <x:v>Long An|land</x:v>
      </x:c>
      <x:c r="P516" s="10" t="n">
        <x:v>2</x:v>
      </x:c>
      <x:c r="Q516" s="13" t="n">
        <x:f>IF(H516="","",H516/1000000000)</x:f>
        <x:v>1.1</x:v>
      </x:c>
      <x:c r="R516" s="13" t="n">
        <x:f>IF(I516="","",I516/1000000)</x:f>
        <x:v>11</x:v>
      </x:c>
    </x:row>
    <x:row r="517" ht="21" customHeight="1">
      <x:c r="A517" s="10" t="n">
        <x:v>554</x:v>
      </x:c>
      <x:c r="B517" s="2" t="str">
        <x:v>3ca4c4ad7d2085bbe61b</x:v>
      </x:c>
      <x:c r="C517" s="2" t="str">
        <x:v>Tp Hồ Chí Minh</x:v>
      </x:c>
      <x:c r="D517" s="2" t="str">
        <x:v>Quận Thủ Đức</x:v>
      </x:c>
      <x:c r="E517" s="2" t="str">
        <x:v>house</x:v>
      </x:c>
      <x:c r="F517" s="2" t="str">
        <x:v>sale</x:v>
      </x:c>
      <x:c r="G517" s="11" t="n">
        <x:v>132</x:v>
      </x:c>
      <x:c r="H517" s="12" t="n">
        <x:v>7300000000</x:v>
      </x:c>
      <x:c r="I517" s="12" t="n">
        <x:v>55303030.303030305</x:v>
      </x:c>
      <x:c r="J517" s="2" t="str">
        <x:v>total</x:v>
      </x:c>
      <x:c r="K517" s="2" t="str">
        <x:v>top_level_area</x:v>
      </x:c>
      <x:c r="L517" s="2" t="str">
        <x:v>property_type_inferred_from_title</x:v>
      </x:c>
      <x:c r="M517" s="10" t="n">
        <x:v>0</x:v>
      </x:c>
      <x:c r="N517" s="10" t="n">
        <x:v>0</x:v>
      </x:c>
      <x:c r="O517" s="2" t="str">
        <x:v>Tp Hồ Chí Minh|house</x:v>
      </x:c>
      <x:c r="P517" s="10" t="n">
        <x:v>2</x:v>
      </x:c>
      <x:c r="Q517" s="13" t="n">
        <x:f>IF(H517="","",H517/1000000000)</x:f>
        <x:v>7.3</x:v>
      </x:c>
      <x:c r="R517" s="13" t="n">
        <x:f>IF(I517="","",I517/1000000)</x:f>
        <x:v>55.303030303030305</x:v>
      </x:c>
    </x:row>
    <x:row r="518" ht="21" customHeight="1">
      <x:c r="A518" s="10" t="n">
        <x:v>555</x:v>
      </x:c>
      <x:c r="B518" s="2" t="str">
        <x:v>ea03ebc3fd81bb1224b9</x:v>
      </x:c>
      <x:c r="C518" s="2" t="str">
        <x:v>Tp Hồ Chí Minh</x:v>
      </x:c>
      <x:c r="D518" s="2" t="str">
        <x:v>Quận Tân Phú</x:v>
      </x:c>
      <x:c r="E518" s="2" t="str">
        <x:v>other_unknown</x:v>
      </x:c>
      <x:c r="F518" s="2" t="str">
        <x:v>sale</x:v>
      </x:c>
      <x:c r="G518" s="11" t="n">
        <x:v>53</x:v>
      </x:c>
      <x:c r="H518" s="12" t="n">
        <x:v>6800000000</x:v>
      </x:c>
      <x:c r="I518" s="12" t="n">
        <x:v>128301886.79245283</x:v>
      </x:c>
      <x:c r="J518" s="2" t="str">
        <x:v>total</x:v>
      </x:c>
      <x:c r="K518" s="2" t="str">
        <x:v>top_level_area</x:v>
      </x:c>
      <x:c r="L518" s="2" t="str">
        <x:v>property_type_inferred_from_title;unknown_property_type</x:v>
      </x:c>
      <x:c r="M518" s="10" t="n">
        <x:v>0</x:v>
      </x:c>
      <x:c r="N518" s="10" t="n">
        <x:v>0</x:v>
      </x:c>
      <x:c r="O518" s="2" t="str">
        <x:v>Tp Hồ Chí Minh|other_unknown</x:v>
      </x:c>
      <x:c r="P518" s="10" t="n">
        <x:v>2</x:v>
      </x:c>
      <x:c r="Q518" s="13" t="n">
        <x:f>IF(H518="","",H518/1000000000)</x:f>
        <x:v>6.8</x:v>
      </x:c>
      <x:c r="R518" s="13" t="n">
        <x:f>IF(I518="","",I518/1000000)</x:f>
        <x:v>128.30188679245282</x:v>
      </x:c>
    </x:row>
    <x:row r="519" ht="21" customHeight="1">
      <x:c r="A519" s="10" t="n">
        <x:v>556</x:v>
      </x:c>
      <x:c r="B519" s="2" t="str">
        <x:v>8ec27763b136eaf4a63d</x:v>
      </x:c>
      <x:c r="C519" s="2" t="str">
        <x:v>Đồng Nai</x:v>
      </x:c>
      <x:c r="D519" s="2" t="str">
        <x:v>Thành phố Biên Hòa</x:v>
      </x:c>
      <x:c r="E519" s="2" t="str">
        <x:v>land</x:v>
      </x:c>
      <x:c r="F519" s="2" t="str">
        <x:v>sale_assumed</x:v>
      </x:c>
      <x:c r="G519" s="11" t="n">
        <x:v>100</x:v>
      </x:c>
      <x:c r="H519" s="12" t="n">
        <x:v>500000000</x:v>
      </x:c>
      <x:c r="I519" s="12" t="n">
        <x:v>5000000</x:v>
      </x:c>
      <x:c r="J519" s="2" t="str">
        <x:v>total</x:v>
      </x:c>
      <x:c r="K519" s="2" t="str">
        <x:v>top_level_area</x:v>
      </x:c>
      <x:c r="L519" s="2" t="str">
        <x:v>property_type_inferred_from_title;transaction_assumed_sale_from_dataset_context</x:v>
      </x:c>
      <x:c r="M519" s="10" t="n">
        <x:v>0</x:v>
      </x:c>
      <x:c r="N519" s="10" t="n">
        <x:v>0</x:v>
      </x:c>
      <x:c r="O519" s="2" t="str">
        <x:v>Đồng Nai|land</x:v>
      </x:c>
      <x:c r="P519" s="10" t="n">
        <x:v>2</x:v>
      </x:c>
      <x:c r="Q519" s="13" t="n">
        <x:f>IF(H519="","",H519/1000000000)</x:f>
        <x:v>0.5</x:v>
      </x:c>
      <x:c r="R519" s="13" t="n">
        <x:f>IF(I519="","",I519/1000000)</x:f>
        <x:v>5</x:v>
      </x:c>
    </x:row>
    <x:row r="520" ht="21" customHeight="1">
      <x:c r="A520" s="10" t="n">
        <x:v>557</x:v>
      </x:c>
      <x:c r="B520" s="2" t="str">
        <x:v>01aa765eff211cf229a0</x:v>
      </x:c>
      <x:c r="C520" s="2" t="str">
        <x:v>Tp Hồ Chí Minh</x:v>
      </x:c>
      <x:c r="D520" s="2" t="str">
        <x:v>Quận 12</x:v>
      </x:c>
      <x:c r="E520" s="2" t="str">
        <x:v>house</x:v>
      </x:c>
      <x:c r="F520" s="2" t="str">
        <x:v>sale_assumed</x:v>
      </x:c>
      <x:c r="G520" s="11" t="n">
        <x:v>70</x:v>
      </x:c>
      <x:c r="H520" s="12" t="n">
        <x:v>3260000000</x:v>
      </x:c>
      <x:c r="I520" s="12" t="n">
        <x:v>46571428.571428575</x:v>
      </x:c>
      <x:c r="J520" s="2" t="str">
        <x:v>total</x:v>
      </x:c>
      <x:c r="K520" s="2" t="str">
        <x:v>top_level_area</x:v>
      </x:c>
      <x:c r="L520" s="2" t="str">
        <x:v>property_type_inferred_from_title;transaction_assumed_sale_from_dataset_context</x:v>
      </x:c>
      <x:c r="M520" s="10" t="n">
        <x:v>0</x:v>
      </x:c>
      <x:c r="N520" s="10" t="n">
        <x:v>0</x:v>
      </x:c>
      <x:c r="O520" s="2" t="str">
        <x:v>Tp Hồ Chí Minh|house</x:v>
      </x:c>
      <x:c r="P520" s="10" t="n">
        <x:v>2</x:v>
      </x:c>
      <x:c r="Q520" s="13" t="n">
        <x:f>IF(H520="","",H520/1000000000)</x:f>
        <x:v>3.26</x:v>
      </x:c>
      <x:c r="R520" s="13" t="n">
        <x:f>IF(I520="","",I520/1000000)</x:f>
        <x:v>46.57142857142858</x:v>
      </x:c>
    </x:row>
    <x:row r="521" ht="21" customHeight="1">
      <x:c r="A521" s="10" t="n">
        <x:v>558</x:v>
      </x:c>
      <x:c r="B521" s="2" t="str">
        <x:v>649c7789620018ab66f5</x:v>
      </x:c>
      <x:c r="C521" s="2" t="str">
        <x:v>Tp Hồ Chí Minh</x:v>
      </x:c>
      <x:c r="D521" s="2" t="str">
        <x:v>Quận 12</x:v>
      </x:c>
      <x:c r="E521" s="2" t="str">
        <x:v>house</x:v>
      </x:c>
      <x:c r="F521" s="2" t="str">
        <x:v>sale</x:v>
      </x:c>
      <x:c r="G521" s="11" t="n">
        <x:v>24</x:v>
      </x:c>
      <x:c r="H521" s="12" t="n">
        <x:v>1430000000</x:v>
      </x:c>
      <x:c r="I521" s="12" t="n">
        <x:v>59583333.333333336</x:v>
      </x:c>
      <x:c r="J521" s="2" t="str">
        <x:v>total</x:v>
      </x:c>
      <x:c r="K521" s="2" t="str">
        <x:v>top_level_area</x:v>
      </x:c>
      <x:c r="L521" s="2" t="str">
        <x:v>property_type_inferred_from_title</x:v>
      </x:c>
      <x:c r="M521" s="10" t="n">
        <x:v>0</x:v>
      </x:c>
      <x:c r="N521" s="10" t="n">
        <x:v>0</x:v>
      </x:c>
      <x:c r="O521" s="2" t="str">
        <x:v>Tp Hồ Chí Minh|house</x:v>
      </x:c>
      <x:c r="P521" s="10" t="n">
        <x:v>2</x:v>
      </x:c>
      <x:c r="Q521" s="13" t="n">
        <x:f>IF(H521="","",H521/1000000000)</x:f>
        <x:v>1.43</x:v>
      </x:c>
      <x:c r="R521" s="13" t="n">
        <x:f>IF(I521="","",I521/1000000)</x:f>
        <x:v>59.583333333333336</x:v>
      </x:c>
    </x:row>
    <x:row r="522" ht="21" customHeight="1">
      <x:c r="A522" s="10" t="n">
        <x:v>559</x:v>
      </x:c>
      <x:c r="B522" s="2" t="str">
        <x:v>0d78bd204aee306b699d</x:v>
      </x:c>
      <x:c r="C522" s="2" t="str">
        <x:v>Nghệ An</x:v>
      </x:c>
      <x:c r="D522" s="2" t="str">
        <x:v>Thành phố Vinh</x:v>
      </x:c>
      <x:c r="E522" s="2" t="str">
        <x:v>land</x:v>
      </x:c>
      <x:c r="F522" s="2" t="str">
        <x:v>sale_assumed</x:v>
      </x:c>
      <x:c r="G522" s="11" t="n">
        <x:v>239</x:v>
      </x:c>
      <x:c r="H522" s="12" t="n">
        <x:v>12000000</x:v>
      </x:c>
      <x:c r="I522" s="12" t="n">
        <x:v>50209.205020920504</x:v>
      </x:c>
      <x:c r="J522" s="2" t="str">
        <x:v>total</x:v>
      </x:c>
      <x:c r="K522" s="2" t="str">
        <x:v>top_level_price_embedded_area</x:v>
      </x:c>
      <x:c r="L522" s="2" t="str">
        <x:v>area_recovered_from_price_text;property_type_inferred_from_title;transaction_assumed_sale_from_dataset_context</x:v>
      </x:c>
      <x:c r="M522" s="10" t="n">
        <x:v>0</x:v>
      </x:c>
      <x:c r="N522" s="10" t="n">
        <x:v>0</x:v>
      </x:c>
      <x:c r="O522" s="2" t="str">
        <x:v>land</x:v>
      </x:c>
      <x:c r="P522" s="10" t="n">
        <x:v>1</x:v>
      </x:c>
      <x:c r="Q522" s="13" t="n">
        <x:f>IF(H522="","",H522/1000000000)</x:f>
        <x:v>0.012</x:v>
      </x:c>
      <x:c r="R522" s="13" t="n">
        <x:f>IF(I522="","",I522/1000000)</x:f>
        <x:v>0.0502092050209205</x:v>
      </x:c>
    </x:row>
    <x:row r="523" ht="21" customHeight="1">
      <x:c r="A523" s="10" t="n">
        <x:v>560</x:v>
      </x:c>
      <x:c r="B523" s="2" t="str">
        <x:v>5d13326645b990aa8a3c</x:v>
      </x:c>
      <x:c r="C523" s="2" t="str">
        <x:v>Tp Hồ Chí Minh</x:v>
      </x:c>
      <x:c r="D523" s="2" t="str">
        <x:v>Quận Tân Bình</x:v>
      </x:c>
      <x:c r="E523" s="2" t="str">
        <x:v>house</x:v>
      </x:c>
      <x:c r="F523" s="2" t="str">
        <x:v>sale</x:v>
      </x:c>
      <x:c r="G523" s="11" t="n">
        <x:v>170</x:v>
      </x:c>
      <x:c r="H523" s="12" t="n">
        <x:v>15500000000</x:v>
      </x:c>
      <x:c r="I523" s="12" t="n">
        <x:v>91176470.58823529</x:v>
      </x:c>
      <x:c r="J523" s="2" t="str">
        <x:v>total</x:v>
      </x:c>
      <x:c r="K523" s="2" t="str">
        <x:v>top_level_area</x:v>
      </x:c>
      <x:c r="L523" s="2" t="str">
        <x:v>property_type_inferred_from_title</x:v>
      </x:c>
      <x:c r="M523" s="10" t="n">
        <x:v>0</x:v>
      </x:c>
      <x:c r="N523" s="10" t="n">
        <x:v>0</x:v>
      </x:c>
      <x:c r="O523" s="2" t="str">
        <x:v>Tp Hồ Chí Minh|house</x:v>
      </x:c>
      <x:c r="P523" s="10" t="n">
        <x:v>2</x:v>
      </x:c>
      <x:c r="Q523" s="13" t="n">
        <x:f>IF(H523="","",H523/1000000000)</x:f>
        <x:v>15.5</x:v>
      </x:c>
      <x:c r="R523" s="13" t="n">
        <x:f>IF(I523="","",I523/1000000)</x:f>
        <x:v>91.17647058823529</x:v>
      </x:c>
    </x:row>
    <x:row r="524" ht="21" customHeight="1">
      <x:c r="A524" s="10" t="n">
        <x:v>561</x:v>
      </x:c>
      <x:c r="B524" s="2" t="str">
        <x:v>84340e700958a42eaf83</x:v>
      </x:c>
      <x:c r="C524" s="2" t="str">
        <x:v>Long An</x:v>
      </x:c>
      <x:c r="D524" s="2" t="str">
        <x:v>Huyện Bến Lức</x:v>
      </x:c>
      <x:c r="E524" s="2" t="str">
        <x:v>land</x:v>
      </x:c>
      <x:c r="F524" s="2" t="str">
        <x:v>sale_assumed</x:v>
      </x:c>
      <x:c r="G524" s="11" t="n">
        <x:v>110</x:v>
      </x:c>
      <x:c r="H524" s="12" t="n">
        <x:v>380000000</x:v>
      </x:c>
      <x:c r="I524" s="12" t="n">
        <x:v>3454545.4545454546</x:v>
      </x:c>
      <x:c r="J524" s="2" t="str">
        <x:v>total</x:v>
      </x:c>
      <x:c r="K524" s="2" t="str">
        <x:v>top_level_area</x:v>
      </x:c>
      <x:c r="L524" s="2" t="str">
        <x:v>property_type_inferred_from_title;transaction_assumed_sale_from_dataset_context</x:v>
      </x:c>
      <x:c r="M524" s="10" t="n">
        <x:v>0</x:v>
      </x:c>
      <x:c r="N524" s="10" t="n">
        <x:v>0</x:v>
      </x:c>
      <x:c r="O524" s="2" t="str">
        <x:v>Long An|land</x:v>
      </x:c>
      <x:c r="P524" s="10" t="n">
        <x:v>2</x:v>
      </x:c>
      <x:c r="Q524" s="13" t="n">
        <x:f>IF(H524="","",H524/1000000000)</x:f>
        <x:v>0.38</x:v>
      </x:c>
      <x:c r="R524" s="13" t="n">
        <x:f>IF(I524="","",I524/1000000)</x:f>
        <x:v>3.4545454545454546</x:v>
      </x:c>
    </x:row>
    <x:row r="525" ht="21" customHeight="1">
      <x:c r="A525" s="10" t="n">
        <x:v>562</x:v>
      </x:c>
      <x:c r="B525" s="2" t="str">
        <x:v>82080b11255c02a9492d</x:v>
      </x:c>
      <x:c r="C525" s="2" t="str">
        <x:v>Tp Hồ Chí Minh</x:v>
      </x:c>
      <x:c r="D525" s="2" t="str">
        <x:v>Quận 9</x:v>
      </x:c>
      <x:c r="E525" s="2" t="str">
        <x:v>other_unknown</x:v>
      </x:c>
      <x:c r="F525" s="2" t="str">
        <x:v>sale_assumed</x:v>
      </x:c>
      <x:c r="G525" s="11" t="n">
        <x:v>348</x:v>
      </x:c>
      <x:c r="H525" s="12" t="n">
        <x:v>20500000000</x:v>
      </x:c>
      <x:c r="I525" s="12" t="n">
        <x:v>58908045.977011494</x:v>
      </x:c>
      <x:c r="J525" s="2" t="str">
        <x:v>total</x:v>
      </x:c>
      <x:c r="K525" s="2" t="str">
        <x:v>top_level_area</x:v>
      </x:c>
      <x:c r="L525" s="2" t="str">
        <x:v>property_type_inferred_from_title;transaction_assumed_sale_from_dataset_context;unknown_property_type</x:v>
      </x:c>
      <x:c r="M525" s="10" t="n">
        <x:v>0</x:v>
      </x:c>
      <x:c r="N525" s="10" t="n">
        <x:v>0</x:v>
      </x:c>
      <x:c r="O525" s="2" t="str">
        <x:v>Tp Hồ Chí Minh|other_unknown</x:v>
      </x:c>
      <x:c r="P525" s="10" t="n">
        <x:v>2</x:v>
      </x:c>
      <x:c r="Q525" s="13" t="n">
        <x:f>IF(H525="","",H525/1000000000)</x:f>
        <x:v>20.5</x:v>
      </x:c>
      <x:c r="R525" s="13" t="n">
        <x:f>IF(I525="","",I525/1000000)</x:f>
        <x:v>58.9080459770115</x:v>
      </x:c>
    </x:row>
    <x:row r="526" ht="21" customHeight="1">
      <x:c r="A526" s="10" t="n">
        <x:v>563</x:v>
      </x:c>
      <x:c r="B526" s="2" t="str">
        <x:v>8381875f13fc458056c3</x:v>
      </x:c>
      <x:c r="C526" s="2" t="str">
        <x:v>Tp Hồ Chí Minh</x:v>
      </x:c>
      <x:c r="D526" s="2" t="str">
        <x:v>Quận Gò Vấp</x:v>
      </x:c>
      <x:c r="E526" s="2" t="str">
        <x:v>house</x:v>
      </x:c>
      <x:c r="F526" s="2" t="str">
        <x:v>sale_assumed</x:v>
      </x:c>
      <x:c r="G526" s="11" t="n">
        <x:v>80</x:v>
      </x:c>
      <x:c r="H526" s="12" t="n">
        <x:v>3900000000</x:v>
      </x:c>
      <x:c r="I526" s="12" t="n">
        <x:v>48750000</x:v>
      </x:c>
      <x:c r="J526" s="2" t="str">
        <x:v>total</x:v>
      </x:c>
      <x:c r="K526" s="2" t="str">
        <x:v>top_level_area</x:v>
      </x:c>
      <x:c r="L526" s="2" t="str">
        <x:v>property_type_inferred_from_title;transaction_assumed_sale_from_dataset_context</x:v>
      </x:c>
      <x:c r="M526" s="10" t="n">
        <x:v>0</x:v>
      </x:c>
      <x:c r="N526" s="10" t="n">
        <x:v>0</x:v>
      </x:c>
      <x:c r="O526" s="2" t="str">
        <x:v>Tp Hồ Chí Minh|house</x:v>
      </x:c>
      <x:c r="P526" s="10" t="n">
        <x:v>2</x:v>
      </x:c>
      <x:c r="Q526" s="13" t="n">
        <x:f>IF(H526="","",H526/1000000000)</x:f>
        <x:v>3.9</x:v>
      </x:c>
      <x:c r="R526" s="13" t="n">
        <x:f>IF(I526="","",I526/1000000)</x:f>
        <x:v>48.75</x:v>
      </x:c>
    </x:row>
    <x:row r="527" ht="21" customHeight="1">
      <x:c r="A527" s="10" t="n">
        <x:v>564</x:v>
      </x:c>
      <x:c r="B527" s="2" t="str">
        <x:v>1b18369e1c04810c7482</x:v>
      </x:c>
      <x:c r="C527" s="2" t="str">
        <x:v>Cần Thơ</x:v>
      </x:c>
      <x:c r="D527" s="2" t="str">
        <x:v>Quận Bình Thuỷ</x:v>
      </x:c>
      <x:c r="E527" s="2" t="str">
        <x:v>land</x:v>
      </x:c>
      <x:c r="F527" s="2" t="str">
        <x:v>sale_assumed</x:v>
      </x:c>
      <x:c r="G527" s="11" t="n">
        <x:v>55</x:v>
      </x:c>
      <x:c r="H527" s="12" t="n">
        <x:v>1150000000</x:v>
      </x:c>
      <x:c r="I527" s="12" t="n">
        <x:v>20909090.90909091</x:v>
      </x:c>
      <x:c r="J527" s="2" t="str">
        <x:v>total</x:v>
      </x:c>
      <x:c r="K527" s="2" t="str">
        <x:v>top_level_area</x:v>
      </x:c>
      <x:c r="L527" s="2" t="str">
        <x:v>property_type_inferred_from_title;transaction_assumed_sale_from_dataset_context</x:v>
      </x:c>
      <x:c r="M527" s="10" t="n">
        <x:v>0</x:v>
      </x:c>
      <x:c r="N527" s="10" t="n">
        <x:v>0</x:v>
      </x:c>
      <x:c r="O527" s="2" t="str">
        <x:v>Cần Thơ|land</x:v>
      </x:c>
      <x:c r="P527" s="10" t="n">
        <x:v>2</x:v>
      </x:c>
      <x:c r="Q527" s="13" t="n">
        <x:f>IF(H527="","",H527/1000000000)</x:f>
        <x:v>1.15</x:v>
      </x:c>
      <x:c r="R527" s="13" t="n">
        <x:f>IF(I527="","",I527/1000000)</x:f>
        <x:v>20.90909090909091</x:v>
      </x:c>
    </x:row>
    <x:row r="528" ht="21" customHeight="1">
      <x:c r="A528" s="10" t="n">
        <x:v>565</x:v>
      </x:c>
      <x:c r="B528" s="2" t="str">
        <x:v>dcd9950fd5904ae551c6</x:v>
      </x:c>
      <x:c r="C528" s="2" t="str">
        <x:v>Tp Hồ Chí Minh</x:v>
      </x:c>
      <x:c r="D528" s="2" t="str">
        <x:v>Quận Phú Nhuận</x:v>
      </x:c>
      <x:c r="E528" s="2" t="str">
        <x:v>house</x:v>
      </x:c>
      <x:c r="F528" s="2" t="str">
        <x:v>sale_assumed</x:v>
      </x:c>
      <x:c r="G528" s="11" t="n">
        <x:v>40</x:v>
      </x:c>
      <x:c r="H528" s="12" t="n">
        <x:v>3800000000</x:v>
      </x:c>
      <x:c r="I528" s="12" t="n">
        <x:v>95000000</x:v>
      </x:c>
      <x:c r="J528" s="2" t="str">
        <x:v>total</x:v>
      </x:c>
      <x:c r="K528" s="2" t="str">
        <x:v>top_level_area</x:v>
      </x:c>
      <x:c r="L528" s="2" t="str">
        <x:v>property_type_inferred_from_title;transaction_assumed_sale_from_dataset_context</x:v>
      </x:c>
      <x:c r="M528" s="10" t="n">
        <x:v>0</x:v>
      </x:c>
      <x:c r="N528" s="10" t="n">
        <x:v>0</x:v>
      </x:c>
      <x:c r="O528" s="2" t="str">
        <x:v>Tp Hồ Chí Minh|house</x:v>
      </x:c>
      <x:c r="P528" s="10" t="n">
        <x:v>2</x:v>
      </x:c>
      <x:c r="Q528" s="13" t="n">
        <x:f>IF(H528="","",H528/1000000000)</x:f>
        <x:v>3.8</x:v>
      </x:c>
      <x:c r="R528" s="13" t="n">
        <x:f>IF(I528="","",I528/1000000)</x:f>
        <x:v>95</x:v>
      </x:c>
    </x:row>
    <x:row r="529" ht="21" customHeight="1">
      <x:c r="A529" s="10" t="n">
        <x:v>566</x:v>
      </x:c>
      <x:c r="B529" s="2" t="str">
        <x:v>12488e4bd33a569a83eb</x:v>
      </x:c>
      <x:c r="C529" s="2" t="str">
        <x:v>Bến Tre</x:v>
      </x:c>
      <x:c r="D529" s="2" t="str">
        <x:v>Thành phố Bến Tre</x:v>
      </x:c>
      <x:c r="E529" s="2" t="str">
        <x:v>house</x:v>
      </x:c>
      <x:c r="F529" s="2" t="str">
        <x:v>sale_assumed</x:v>
      </x:c>
      <x:c r="G529" s="11" t="n">
        <x:v>116</x:v>
      </x:c>
      <x:c r="H529" s="12" t="n">
        <x:v>590000000</x:v>
      </x:c>
      <x:c r="I529" s="12" t="n">
        <x:v>5086206.8965517245</x:v>
      </x:c>
      <x:c r="J529" s="2" t="str">
        <x:v>total</x:v>
      </x:c>
      <x:c r="K529" s="2" t="str">
        <x:v>top_level_area</x:v>
      </x:c>
      <x:c r="L529" s="2" t="str">
        <x:v>property_type_inferred_from_title;transaction_assumed_sale_from_dataset_context</x:v>
      </x:c>
      <x:c r="M529" s="10" t="n">
        <x:v>0</x:v>
      </x:c>
      <x:c r="N529" s="10" t="n">
        <x:v>0</x:v>
      </x:c>
      <x:c r="O529" s="2" t="str">
        <x:v>house</x:v>
      </x:c>
      <x:c r="P529" s="10" t="n">
        <x:v>2</x:v>
      </x:c>
      <x:c r="Q529" s="13" t="n">
        <x:f>IF(H529="","",H529/1000000000)</x:f>
        <x:v>0.59</x:v>
      </x:c>
      <x:c r="R529" s="13" t="n">
        <x:f>IF(I529="","",I529/1000000)</x:f>
        <x:v>5.086206896551724</x:v>
      </x:c>
    </x:row>
    <x:row r="530" ht="21" customHeight="1">
      <x:c r="A530" s="10" t="n">
        <x:v>568</x:v>
      </x:c>
      <x:c r="B530" s="2" t="str">
        <x:v>ea52561fae70f296e3d3</x:v>
      </x:c>
      <x:c r="C530" s="2" t="str">
        <x:v>Đồng Nai</x:v>
      </x:c>
      <x:c r="D530" s="2" t="str">
        <x:v>Thành phố Biên Hòa</x:v>
      </x:c>
      <x:c r="E530" s="2" t="str">
        <x:v>house</x:v>
      </x:c>
      <x:c r="F530" s="2" t="str">
        <x:v>sale</x:v>
      </x:c>
      <x:c r="G530" s="11" t="n">
        <x:v>130</x:v>
      </x:c>
      <x:c r="H530" s="12" t="n">
        <x:v>4200000000</x:v>
      </x:c>
      <x:c r="I530" s="12" t="n">
        <x:v>32307692.307692308</x:v>
      </x:c>
      <x:c r="J530" s="2" t="str">
        <x:v>total</x:v>
      </x:c>
      <x:c r="K530" s="2" t="str">
        <x:v>top_level_area</x:v>
      </x:c>
      <x:c r="L530" s="2" t="str">
        <x:v>property_type_inferred_from_title</x:v>
      </x:c>
      <x:c r="M530" s="10" t="n">
        <x:v>0</x:v>
      </x:c>
      <x:c r="N530" s="10" t="n">
        <x:v>0</x:v>
      </x:c>
      <x:c r="O530" s="2" t="str">
        <x:v>Đồng Nai|house</x:v>
      </x:c>
      <x:c r="P530" s="10" t="n">
        <x:v>2</x:v>
      </x:c>
      <x:c r="Q530" s="13" t="n">
        <x:f>IF(H530="","",H530/1000000000)</x:f>
        <x:v>4.2</x:v>
      </x:c>
      <x:c r="R530" s="13" t="n">
        <x:f>IF(I530="","",I530/1000000)</x:f>
        <x:v>32.30769230769231</x:v>
      </x:c>
    </x:row>
    <x:row r="531" ht="21" customHeight="1">
      <x:c r="A531" s="10" t="n">
        <x:v>570</x:v>
      </x:c>
      <x:c r="B531" s="2" t="str">
        <x:v>74f155139e729a2cd93d</x:v>
      </x:c>
      <x:c r="C531" s="2" t="str">
        <x:v>Đắk Lắk</x:v>
      </x:c>
      <x:c r="D531" s="2" t="str">
        <x:v>Thành phố Buôn Ma Thuột</x:v>
      </x:c>
      <x:c r="E531" s="2" t="str">
        <x:v>house</x:v>
      </x:c>
      <x:c r="F531" s="2" t="str">
        <x:v>sale_assumed</x:v>
      </x:c>
      <x:c r="G531" s="11" t="n">
        <x:v>165</x:v>
      </x:c>
      <x:c r="H531" s="12" t="n">
        <x:v>2100000000</x:v>
      </x:c>
      <x:c r="I531" s="12" t="n">
        <x:v>12727272.727272727</x:v>
      </x:c>
      <x:c r="J531" s="2" t="str">
        <x:v>total</x:v>
      </x:c>
      <x:c r="K531" s="2" t="str">
        <x:v>top_level_area</x:v>
      </x:c>
      <x:c r="L531" s="2" t="str">
        <x:v>property_type_inferred_from_title;transaction_assumed_sale_from_dataset_context</x:v>
      </x:c>
      <x:c r="M531" s="10" t="n">
        <x:v>0</x:v>
      </x:c>
      <x:c r="N531" s="10" t="n">
        <x:v>0</x:v>
      </x:c>
      <x:c r="O531" s="2" t="str">
        <x:v>Đắk Lắk|house</x:v>
      </x:c>
      <x:c r="P531" s="10" t="n">
        <x:v>2</x:v>
      </x:c>
      <x:c r="Q531" s="13" t="n">
        <x:f>IF(H531="","",H531/1000000000)</x:f>
        <x:v>2.1</x:v>
      </x:c>
      <x:c r="R531" s="13" t="n">
        <x:f>IF(I531="","",I531/1000000)</x:f>
        <x:v>12.727272727272727</x:v>
      </x:c>
    </x:row>
    <x:row r="532" ht="21" customHeight="1">
      <x:c r="A532" s="10" t="n">
        <x:v>587</x:v>
      </x:c>
      <x:c r="B532" s="2" t="str">
        <x:v>8c20d3acfed4c696b005</x:v>
      </x:c>
      <x:c r="C532" s="2" t="str">
        <x:v>Bình Định</x:v>
      </x:c>
      <x:c r="D532" s="2" t="str">
        <x:v>Thành phố Qui Nhơn</x:v>
      </x:c>
      <x:c r="E532" s="2" t="str">
        <x:v>house</x:v>
      </x:c>
      <x:c r="F532" s="2" t="str">
        <x:v>sale_assumed</x:v>
      </x:c>
      <x:c r="G532" s="11" t="n">
        <x:v>101</x:v>
      </x:c>
      <x:c r="H532" s="12" t="n">
        <x:v>4200000000</x:v>
      </x:c>
      <x:c r="I532" s="12" t="n">
        <x:v>41584158.41584159</x:v>
      </x:c>
      <x:c r="J532" s="2" t="str">
        <x:v>total</x:v>
      </x:c>
      <x:c r="K532" s="2" t="str">
        <x:v>top_level_area</x:v>
      </x:c>
      <x:c r="L532" s="2" t="str">
        <x:v>property_type_inferred_from_title;transaction_assumed_sale_from_dataset_context</x:v>
      </x:c>
      <x:c r="M532" s="10" t="n">
        <x:v>0</x:v>
      </x:c>
      <x:c r="N532" s="10" t="n">
        <x:v>0</x:v>
      </x:c>
      <x:c r="O532" s="2" t="str">
        <x:v>house</x:v>
      </x:c>
      <x:c r="P532" s="10" t="n">
        <x:v>2</x:v>
      </x:c>
      <x:c r="Q532" s="13" t="n">
        <x:f>IF(H532="","",H532/1000000000)</x:f>
        <x:v>4.2</x:v>
      </x:c>
      <x:c r="R532" s="13" t="n">
        <x:f>IF(I532="","",I532/1000000)</x:f>
        <x:v>41.584158415841586</x:v>
      </x:c>
    </x:row>
    <x:row r="533" ht="21" customHeight="1">
      <x:c r="A533" s="10" t="n">
        <x:v>588</x:v>
      </x:c>
      <x:c r="B533" s="2" t="str">
        <x:v>93822fa231f4d975e95d</x:v>
      </x:c>
      <x:c r="C533" s="2" t="str">
        <x:v>Đắk Lắk</x:v>
      </x:c>
      <x:c r="D533" s="2" t="str">
        <x:v>Thành phố Buôn Ma Thuột</x:v>
      </x:c>
      <x:c r="E533" s="2" t="str">
        <x:v>other_unknown</x:v>
      </x:c>
      <x:c r="F533" s="2" t="str">
        <x:v>sale_assumed</x:v>
      </x:c>
      <x:c r="G533" s="11" t="n">
        <x:v>12345</x:v>
      </x:c>
      <x:c r="H533" s="12" t="n">
        <x:v>16000000</x:v>
      </x:c>
      <x:c r="I533" s="12" t="n">
        <x:v>1296.0712839206155</x:v>
      </x:c>
      <x:c r="J533" s="2" t="str">
        <x:v>total</x:v>
      </x:c>
      <x:c r="K533" s="2" t="str">
        <x:v>top_level_area</x:v>
      </x:c>
      <x:c r="L533" s="2" t="str">
        <x:v>dot_thousands_convention;property_type_inferred_from_title;transaction_assumed_sale_from_dataset_context;unknown_property_type</x:v>
      </x:c>
      <x:c r="M533" s="10" t="n">
        <x:v>0</x:v>
      </x:c>
      <x:c r="N533" s="10" t="n">
        <x:v>0</x:v>
      </x:c>
      <x:c r="O533" s="2" t="str">
        <x:v>other_unknown</x:v>
      </x:c>
      <x:c r="P533" s="10" t="n">
        <x:v>1</x:v>
      </x:c>
      <x:c r="Q533" s="13" t="n">
        <x:f>IF(H533="","",H533/1000000000)</x:f>
        <x:v>0.016</x:v>
      </x:c>
      <x:c r="R533" s="13" t="n">
        <x:f>IF(I533="","",I533/1000000)</x:f>
        <x:v>0.0012960712839206155</x:v>
      </x:c>
    </x:row>
    <x:row r="534" ht="21" customHeight="1">
      <x:c r="A534" s="10" t="n">
        <x:v>589</x:v>
      </x:c>
      <x:c r="B534" s="2" t="str">
        <x:v>042700e93ecd7759e0a5</x:v>
      </x:c>
      <x:c r="C534" s="2" t="str">
        <x:v>Tp Hồ Chí Minh</x:v>
      </x:c>
      <x:c r="D534" s="2" t="str">
        <x:v>Quận Phú Nhuận</x:v>
      </x:c>
      <x:c r="E534" s="2" t="str">
        <x:v>house</x:v>
      </x:c>
      <x:c r="F534" s="2" t="str">
        <x:v>sale</x:v>
      </x:c>
      <x:c r="G534" s="11" t="n">
        <x:v>64</x:v>
      </x:c>
      <x:c r="H534" s="12" t="n">
        <x:v>2100000000</x:v>
      </x:c>
      <x:c r="I534" s="12" t="n">
        <x:v>32812500</x:v>
      </x:c>
      <x:c r="J534" s="2" t="str">
        <x:v>total</x:v>
      </x:c>
      <x:c r="K534" s="2" t="str">
        <x:v>top_level_area</x:v>
      </x:c>
      <x:c r="L534" s="2" t="str">
        <x:v>property_type_inferred_from_title</x:v>
      </x:c>
      <x:c r="M534" s="10" t="n">
        <x:v>0</x:v>
      </x:c>
      <x:c r="N534" s="10" t="n">
        <x:v>0</x:v>
      </x:c>
      <x:c r="O534" s="2" t="str">
        <x:v>Tp Hồ Chí Minh|house</x:v>
      </x:c>
      <x:c r="P534" s="10" t="n">
        <x:v>2</x:v>
      </x:c>
      <x:c r="Q534" s="13" t="n">
        <x:f>IF(H534="","",H534/1000000000)</x:f>
        <x:v>2.1</x:v>
      </x:c>
      <x:c r="R534" s="13" t="n">
        <x:f>IF(I534="","",I534/1000000)</x:f>
        <x:v>32.8125</x:v>
      </x:c>
    </x:row>
    <x:row r="535" ht="21" customHeight="1">
      <x:c r="A535" s="10" t="n">
        <x:v>590</x:v>
      </x:c>
      <x:c r="B535" s="2" t="str">
        <x:v>516978120ff7b1c5449c</x:v>
      </x:c>
      <x:c r="C535" s="2" t="str">
        <x:v>Cần Thơ</x:v>
      </x:c>
      <x:c r="D535" s="2" t="str">
        <x:v>Quận Cái Răng</x:v>
      </x:c>
      <x:c r="E535" s="2" t="str">
        <x:v>house</x:v>
      </x:c>
      <x:c r="F535" s="2" t="str">
        <x:v>sale</x:v>
      </x:c>
      <x:c r="G535" s="11" t="n">
        <x:v>80</x:v>
      </x:c>
      <x:c r="H535" s="12" t="n">
        <x:v>2150000000</x:v>
      </x:c>
      <x:c r="I535" s="12" t="n">
        <x:v>26875000</x:v>
      </x:c>
      <x:c r="J535" s="2" t="str">
        <x:v>total</x:v>
      </x:c>
      <x:c r="K535" s="2" t="str">
        <x:v>top_level_area</x:v>
      </x:c>
      <x:c r="L535" s="2" t="str">
        <x:v>property_type_inferred_from_title</x:v>
      </x:c>
      <x:c r="M535" s="10" t="n">
        <x:v>0</x:v>
      </x:c>
      <x:c r="N535" s="10" t="n">
        <x:v>0</x:v>
      </x:c>
      <x:c r="O535" s="2" t="str">
        <x:v>Cần Thơ|house</x:v>
      </x:c>
      <x:c r="P535" s="10" t="n">
        <x:v>2</x:v>
      </x:c>
      <x:c r="Q535" s="13" t="n">
        <x:f>IF(H535="","",H535/1000000000)</x:f>
        <x:v>2.15</x:v>
      </x:c>
      <x:c r="R535" s="13" t="n">
        <x:f>IF(I535="","",I535/1000000)</x:f>
        <x:v>26.875</x:v>
      </x:c>
    </x:row>
    <x:row r="536" ht="21" customHeight="1">
      <x:c r="A536" s="10" t="n">
        <x:v>591</x:v>
      </x:c>
      <x:c r="B536" s="2" t="str">
        <x:v>0f28ef247541462f6c2d</x:v>
      </x:c>
      <x:c r="C536" s="2" t="str">
        <x:v>Tp Hồ Chí Minh</x:v>
      </x:c>
      <x:c r="D536" s="2" t="str">
        <x:v>Quận Gò Vấp</x:v>
      </x:c>
      <x:c r="E536" s="2" t="str">
        <x:v>house</x:v>
      </x:c>
      <x:c r="F536" s="2" t="str">
        <x:v>sale_assumed</x:v>
      </x:c>
      <x:c r="G536" s="11" t="n">
        <x:v>88</x:v>
      </x:c>
      <x:c r="H536" s="12" t="n">
        <x:v>4850000000</x:v>
      </x:c>
      <x:c r="I536" s="12" t="n">
        <x:v>55113636.36363637</x:v>
      </x:c>
      <x:c r="J536" s="2" t="str">
        <x:v>total</x:v>
      </x:c>
      <x:c r="K536" s="2" t="str">
        <x:v>top_level_area</x:v>
      </x:c>
      <x:c r="L536" s="2" t="str">
        <x:v>property_type_inferred_from_title;transaction_assumed_sale_from_dataset_context</x:v>
      </x:c>
      <x:c r="M536" s="10" t="n">
        <x:v>0</x:v>
      </x:c>
      <x:c r="N536" s="10" t="n">
        <x:v>0</x:v>
      </x:c>
      <x:c r="O536" s="2" t="str">
        <x:v>Tp Hồ Chí Minh|house</x:v>
      </x:c>
      <x:c r="P536" s="10" t="n">
        <x:v>2</x:v>
      </x:c>
      <x:c r="Q536" s="13" t="n">
        <x:f>IF(H536="","",H536/1000000000)</x:f>
        <x:v>4.85</x:v>
      </x:c>
      <x:c r="R536" s="13" t="n">
        <x:f>IF(I536="","",I536/1000000)</x:f>
        <x:v>55.11363636363637</x:v>
      </x:c>
    </x:row>
    <x:row r="537" ht="21" customHeight="1">
      <x:c r="A537" s="10" t="n">
        <x:v>592</x:v>
      </x:c>
      <x:c r="B537" s="2" t="str">
        <x:v>12e8ab3a6074caa88975</x:v>
      </x:c>
      <x:c r="C537" s="2" t="str">
        <x:v>Tp Hồ Chí Minh</x:v>
      </x:c>
      <x:c r="D537" s="2" t="str">
        <x:v>Quận 12</x:v>
      </x:c>
      <x:c r="E537" s="2" t="str">
        <x:v>house</x:v>
      </x:c>
      <x:c r="F537" s="2" t="str">
        <x:v>sale_assumed</x:v>
      </x:c>
      <x:c r="G537" s="11" t="n">
        <x:v>220</x:v>
      </x:c>
      <x:c r="H537" s="12" t="n">
        <x:v>5199000000</x:v>
      </x:c>
      <x:c r="I537" s="12" t="n">
        <x:v>23631818.181818184</x:v>
      </x:c>
      <x:c r="J537" s="2" t="str">
        <x:v>total</x:v>
      </x:c>
      <x:c r="K537" s="2" t="str">
        <x:v>top_level_area</x:v>
      </x:c>
      <x:c r="L537" s="2" t="str">
        <x:v>property_type_inferred_from_title;transaction_assumed_sale_from_dataset_context</x:v>
      </x:c>
      <x:c r="M537" s="10" t="n">
        <x:v>0</x:v>
      </x:c>
      <x:c r="N537" s="10" t="n">
        <x:v>0</x:v>
      </x:c>
      <x:c r="O537" s="2" t="str">
        <x:v>Tp Hồ Chí Minh|house</x:v>
      </x:c>
      <x:c r="P537" s="10" t="n">
        <x:v>2</x:v>
      </x:c>
      <x:c r="Q537" s="13" t="n">
        <x:f>IF(H537="","",H537/1000000000)</x:f>
        <x:v>5.199</x:v>
      </x:c>
      <x:c r="R537" s="13" t="n">
        <x:f>IF(I537="","",I537/1000000)</x:f>
        <x:v>23.631818181818183</x:v>
      </x:c>
    </x:row>
    <x:row r="538" ht="21" customHeight="1">
      <x:c r="A538" s="10" t="n">
        <x:v>593</x:v>
      </x:c>
      <x:c r="B538" s="2" t="str">
        <x:v>dcba185c5fba6d09f485</x:v>
      </x:c>
      <x:c r="C538" s="2" t="str">
        <x:v>Đồng Nai</x:v>
      </x:c>
      <x:c r="D538" s="2" t="str">
        <x:v>Huyện Nhơn Trạch</x:v>
      </x:c>
      <x:c r="E538" s="2" t="str">
        <x:v>other_unknown</x:v>
      </x:c>
      <x:c r="F538" s="2" t="str">
        <x:v>sale_assumed</x:v>
      </x:c>
      <x:c r="G538" s="11" t="n">
        <x:v>2500</x:v>
      </x:c>
      <x:c r="H538" s="12" t="n">
        <x:v>1350000000</x:v>
      </x:c>
      <x:c r="I538" s="12" t="n">
        <x:v>540000</x:v>
      </x:c>
      <x:c r="J538" s="2" t="str">
        <x:v>total</x:v>
      </x:c>
      <x:c r="K538" s="2" t="str">
        <x:v>top_level_area</x:v>
      </x:c>
      <x:c r="L538" s="2" t="str">
        <x:v>dot_thousands_convention;property_type_inferred_from_title;transaction_assumed_sale_from_dataset_context;unknown_property_type</x:v>
      </x:c>
      <x:c r="M538" s="10" t="n">
        <x:v>0</x:v>
      </x:c>
      <x:c r="N538" s="10" t="n">
        <x:v>0</x:v>
      </x:c>
      <x:c r="O538" s="2" t="str">
        <x:v>Đồng Nai|other_unknown</x:v>
      </x:c>
      <x:c r="P538" s="10" t="n">
        <x:v>1</x:v>
      </x:c>
      <x:c r="Q538" s="13" t="n">
        <x:f>IF(H538="","",H538/1000000000)</x:f>
        <x:v>1.35</x:v>
      </x:c>
      <x:c r="R538" s="13" t="n">
        <x:f>IF(I538="","",I538/1000000)</x:f>
        <x:v>0.54</x:v>
      </x:c>
    </x:row>
    <x:row r="539" ht="21" customHeight="1">
      <x:c r="A539" s="10" t="n">
        <x:v>594</x:v>
      </x:c>
      <x:c r="B539" s="2" t="str">
        <x:v>fc8457cfe7cf9d793c44</x:v>
      </x:c>
      <x:c r="C539" s="2" t="str">
        <x:v>Hà Nội</x:v>
      </x:c>
      <x:c r="D539" s="2" t="str">
        <x:v>Quận Long Biên</x:v>
      </x:c>
      <x:c r="E539" s="2" t="str">
        <x:v>land</x:v>
      </x:c>
      <x:c r="F539" s="2" t="str">
        <x:v>sale_assumed</x:v>
      </x:c>
      <x:c r="G539" s="11" t="n">
        <x:v>56</x:v>
      </x:c>
      <x:c r="H539" s="12" t="n">
        <x:v>3000000000</x:v>
      </x:c>
      <x:c r="I539" s="12" t="n">
        <x:v>53571428.571428575</x:v>
      </x:c>
      <x:c r="J539" s="2" t="str">
        <x:v>total</x:v>
      </x:c>
      <x:c r="K539" s="2" t="str">
        <x:v>top_level_area</x:v>
      </x:c>
      <x:c r="L539" s="2" t="str">
        <x:v>property_type_inferred_from_title;transaction_assumed_sale_from_dataset_context</x:v>
      </x:c>
      <x:c r="M539" s="10" t="n">
        <x:v>0</x:v>
      </x:c>
      <x:c r="N539" s="10" t="n">
        <x:v>0</x:v>
      </x:c>
      <x:c r="O539" s="2" t="str">
        <x:v>Hà Nội|land</x:v>
      </x:c>
      <x:c r="P539" s="10" t="n">
        <x:v>2</x:v>
      </x:c>
      <x:c r="Q539" s="13" t="n">
        <x:f>IF(H539="","",H539/1000000000)</x:f>
        <x:v>3</x:v>
      </x:c>
      <x:c r="R539" s="13" t="n">
        <x:f>IF(I539="","",I539/1000000)</x:f>
        <x:v>53.57142857142858</x:v>
      </x:c>
    </x:row>
    <x:row r="540" ht="21" customHeight="1">
      <x:c r="A540" s="10" t="n">
        <x:v>595</x:v>
      </x:c>
      <x:c r="B540" s="2" t="str">
        <x:v>047b4c3bc030de27d9cb</x:v>
      </x:c>
      <x:c r="C540" s="2" t="str">
        <x:v>Tp Hồ Chí Minh</x:v>
      </x:c>
      <x:c r="D540" s="2" t="str">
        <x:v>Huyện Bình Chánh</x:v>
      </x:c>
      <x:c r="E540" s="2" t="str">
        <x:v>house</x:v>
      </x:c>
      <x:c r="F540" s="2" t="str">
        <x:v>sale</x:v>
      </x:c>
      <x:c r="G540" s="11" t="n">
        <x:v>80</x:v>
      </x:c>
      <x:c r="H540" s="12" t="n">
        <x:v>750000000</x:v>
      </x:c>
      <x:c r="I540" s="12" t="n">
        <x:v>9375000</x:v>
      </x:c>
      <x:c r="J540" s="2" t="str">
        <x:v>total</x:v>
      </x:c>
      <x:c r="K540" s="2" t="str">
        <x:v>top_level_area</x:v>
      </x:c>
      <x:c r="L540" s="2" t="str">
        <x:v>property_type_inferred_from_title</x:v>
      </x:c>
      <x:c r="M540" s="10" t="n">
        <x:v>0</x:v>
      </x:c>
      <x:c r="N540" s="10" t="n">
        <x:v>0</x:v>
      </x:c>
      <x:c r="O540" s="2" t="str">
        <x:v>Tp Hồ Chí Minh|house</x:v>
      </x:c>
      <x:c r="P540" s="10" t="n">
        <x:v>2</x:v>
      </x:c>
      <x:c r="Q540" s="13" t="n">
        <x:f>IF(H540="","",H540/1000000000)</x:f>
        <x:v>0.75</x:v>
      </x:c>
      <x:c r="R540" s="13" t="n">
        <x:f>IF(I540="","",I540/1000000)</x:f>
        <x:v>9.375</x:v>
      </x:c>
    </x:row>
    <x:row r="541" ht="21" customHeight="1">
      <x:c r="A541" s="10" t="n">
        <x:v>596</x:v>
      </x:c>
      <x:c r="B541" s="2" t="str">
        <x:v>94dcfb083d6f92116a29</x:v>
      </x:c>
      <x:c r="C541" s="2" t="str">
        <x:v>Hải Phòng</x:v>
      </x:c>
      <x:c r="D541" s="2" t="str">
        <x:v>Quận Lê Chân</x:v>
      </x:c>
      <x:c r="E541" s="2" t="str">
        <x:v>house</x:v>
      </x:c>
      <x:c r="F541" s="2" t="str">
        <x:v>sale</x:v>
      </x:c>
      <x:c r="G541" s="11" t="n">
        <x:v>54</x:v>
      </x:c>
      <x:c r="H541" s="12" t="n">
        <x:v>1980000000</x:v>
      </x:c>
      <x:c r="I541" s="12" t="n">
        <x:v>36666666.666666664</x:v>
      </x:c>
      <x:c r="J541" s="2" t="str">
        <x:v>total</x:v>
      </x:c>
      <x:c r="K541" s="2" t="str">
        <x:v>top_level_area</x:v>
      </x:c>
      <x:c r="L541" s="2" t="str">
        <x:v>property_type_inferred_from_title</x:v>
      </x:c>
      <x:c r="M541" s="10" t="n">
        <x:v>0</x:v>
      </x:c>
      <x:c r="N541" s="10" t="n">
        <x:v>0</x:v>
      </x:c>
      <x:c r="O541" s="2" t="str">
        <x:v>house</x:v>
      </x:c>
      <x:c r="P541" s="10" t="n">
        <x:v>2</x:v>
      </x:c>
      <x:c r="Q541" s="13" t="n">
        <x:f>IF(H541="","",H541/1000000000)</x:f>
        <x:v>1.98</x:v>
      </x:c>
      <x:c r="R541" s="13" t="n">
        <x:f>IF(I541="","",I541/1000000)</x:f>
        <x:v>36.666666666666664</x:v>
      </x:c>
    </x:row>
    <x:row r="542" ht="21" customHeight="1">
      <x:c r="A542" s="10" t="n">
        <x:v>597</x:v>
      </x:c>
      <x:c r="B542" s="2" t="str">
        <x:v>2fea650c6ba69c6033bc</x:v>
      </x:c>
      <x:c r="C542" s="2" t="str">
        <x:v>Hà Nội</x:v>
      </x:c>
      <x:c r="D542" s="2" t="str">
        <x:v>Huyện Thanh Trì</x:v>
      </x:c>
      <x:c r="E542" s="2" t="str">
        <x:v>house</x:v>
      </x:c>
      <x:c r="F542" s="2" t="str">
        <x:v>sale</x:v>
      </x:c>
      <x:c r="G542" s="11" t="n">
        <x:v>32</x:v>
      </x:c>
      <x:c r="H542" s="12" t="n">
        <x:v>1400000000</x:v>
      </x:c>
      <x:c r="I542" s="12" t="n">
        <x:v>43750000</x:v>
      </x:c>
      <x:c r="J542" s="2" t="str">
        <x:v>total</x:v>
      </x:c>
      <x:c r="K542" s="2" t="str">
        <x:v>top_level_area</x:v>
      </x:c>
      <x:c r="L542" s="2" t="str">
        <x:v>property_type_inferred_from_title</x:v>
      </x:c>
      <x:c r="M542" s="10" t="n">
        <x:v>0</x:v>
      </x:c>
      <x:c r="N542" s="10" t="n">
        <x:v>0</x:v>
      </x:c>
      <x:c r="O542" s="2" t="str">
        <x:v>Hà Nội|house</x:v>
      </x:c>
      <x:c r="P542" s="10" t="n">
        <x:v>2</x:v>
      </x:c>
      <x:c r="Q542" s="13" t="n">
        <x:f>IF(H542="","",H542/1000000000)</x:f>
        <x:v>1.4</x:v>
      </x:c>
      <x:c r="R542" s="13" t="n">
        <x:f>IF(I542="","",I542/1000000)</x:f>
        <x:v>43.75</x:v>
      </x:c>
    </x:row>
    <x:row r="543" ht="21" customHeight="1">
      <x:c r="A543" s="10" t="n">
        <x:v>598</x:v>
      </x:c>
      <x:c r="B543" s="2" t="str">
        <x:v>323c046155346acabc87</x:v>
      </x:c>
      <x:c r="C543" s="2" t="str">
        <x:v>Tp Hồ Chí Minh</x:v>
      </x:c>
      <x:c r="D543" s="2" t="str">
        <x:v>Quận 12</x:v>
      </x:c>
      <x:c r="E543" s="2" t="str">
        <x:v>house</x:v>
      </x:c>
      <x:c r="F543" s="2" t="str">
        <x:v>sale</x:v>
      </x:c>
      <x:c r="G543" s="11" t="n">
        <x:v>24</x:v>
      </x:c>
      <x:c r="H543" s="12" t="n">
        <x:v>820000000</x:v>
      </x:c>
      <x:c r="I543" s="12" t="n">
        <x:v>34166666.666666664</x:v>
      </x:c>
      <x:c r="J543" s="2" t="str">
        <x:v>total</x:v>
      </x:c>
      <x:c r="K543" s="2" t="str">
        <x:v>top_level_area</x:v>
      </x:c>
      <x:c r="L543" s="2" t="str">
        <x:v>property_type_inferred_from_title</x:v>
      </x:c>
      <x:c r="M543" s="10" t="n">
        <x:v>0</x:v>
      </x:c>
      <x:c r="N543" s="10" t="n">
        <x:v>0</x:v>
      </x:c>
      <x:c r="O543" s="2" t="str">
        <x:v>Tp Hồ Chí Minh|house</x:v>
      </x:c>
      <x:c r="P543" s="10" t="n">
        <x:v>2</x:v>
      </x:c>
      <x:c r="Q543" s="13" t="n">
        <x:f>IF(H543="","",H543/1000000000)</x:f>
        <x:v>0.82</x:v>
      </x:c>
      <x:c r="R543" s="13" t="n">
        <x:f>IF(I543="","",I543/1000000)</x:f>
        <x:v>34.166666666666664</x:v>
      </x:c>
    </x:row>
    <x:row r="544" ht="21" customHeight="1">
      <x:c r="A544" s="10" t="n">
        <x:v>599</x:v>
      </x:c>
      <x:c r="B544" s="2" t="str">
        <x:v>b9f89bd773b276a94b16</x:v>
      </x:c>
      <x:c r="C544" s="2" t="str">
        <x:v>Tp Hồ Chí Minh</x:v>
      </x:c>
      <x:c r="D544" s="2" t="str">
        <x:v>Quận Thủ Đức</x:v>
      </x:c>
      <x:c r="E544" s="2" t="str">
        <x:v>house</x:v>
      </x:c>
      <x:c r="F544" s="2" t="str">
        <x:v>sale_assumed</x:v>
      </x:c>
      <x:c r="G544" s="11" t="n">
        <x:v>60</x:v>
      </x:c>
      <x:c r="H544" s="12" t="n">
        <x:v>6500000000</x:v>
      </x:c>
      <x:c r="I544" s="12" t="n">
        <x:v>108333333.33333333</x:v>
      </x:c>
      <x:c r="J544" s="2" t="str">
        <x:v>total</x:v>
      </x:c>
      <x:c r="K544" s="2" t="str">
        <x:v>top_level_area</x:v>
      </x:c>
      <x:c r="L544" s="2" t="str">
        <x:v>property_type_inferred_from_title;transaction_assumed_sale_from_dataset_context</x:v>
      </x:c>
      <x:c r="M544" s="10" t="n">
        <x:v>0</x:v>
      </x:c>
      <x:c r="N544" s="10" t="n">
        <x:v>0</x:v>
      </x:c>
      <x:c r="O544" s="2" t="str">
        <x:v>Tp Hồ Chí Minh|house</x:v>
      </x:c>
      <x:c r="P544" s="10" t="n">
        <x:v>2</x:v>
      </x:c>
      <x:c r="Q544" s="13" t="n">
        <x:f>IF(H544="","",H544/1000000000)</x:f>
        <x:v>6.5</x:v>
      </x:c>
      <x:c r="R544" s="13" t="n">
        <x:f>IF(I544="","",I544/1000000)</x:f>
        <x:v>108.33333333333333</x:v>
      </x:c>
    </x:row>
    <x:row r="545" ht="21" customHeight="1">
      <x:c r="A545" s="10" t="n">
        <x:v>600</x:v>
      </x:c>
      <x:c r="B545" s="2" t="str">
        <x:v>be9c7e2faaa47815c33a</x:v>
      </x:c>
      <x:c r="C545" s="2" t="str">
        <x:v>Bình Dương</x:v>
      </x:c>
      <x:c r="D545" s="2" t="str">
        <x:v>Thị xã Thuận An</x:v>
      </x:c>
      <x:c r="E545" s="2" t="str">
        <x:v>apartment</x:v>
      </x:c>
      <x:c r="F545" s="2" t="str">
        <x:v>sale_assumed</x:v>
      </x:c>
      <x:c r="G545" s="11" t="n">
        <x:v>57</x:v>
      </x:c>
      <x:c r="H545" s="12" t="n">
        <x:v>450000000</x:v>
      </x:c>
      <x:c r="I545" s="12" t="n">
        <x:v>7894736.842105263</x:v>
      </x:c>
      <x:c r="J545" s="2" t="str">
        <x:v>total</x:v>
      </x:c>
      <x:c r="K545" s="2" t="str">
        <x:v>top_level_area</x:v>
      </x:c>
      <x:c r="L545" s="2" t="str">
        <x:v>property_type_inferred_from_title;transaction_assumed_sale_from_dataset_context</x:v>
      </x:c>
      <x:c r="M545" s="10" t="n">
        <x:v>0</x:v>
      </x:c>
      <x:c r="N545" s="10" t="n">
        <x:v>0</x:v>
      </x:c>
      <x:c r="O545" s="2" t="str">
        <x:v>Bình Dương|apartment</x:v>
      </x:c>
      <x:c r="P545" s="10" t="n">
        <x:v>2</x:v>
      </x:c>
      <x:c r="Q545" s="13" t="n">
        <x:f>IF(H545="","",H545/1000000000)</x:f>
        <x:v>0.45</x:v>
      </x:c>
      <x:c r="R545" s="13" t="n">
        <x:f>IF(I545="","",I545/1000000)</x:f>
        <x:v>7.894736842105263</x:v>
      </x:c>
    </x:row>
    <x:row r="546" ht="21" customHeight="1">
      <x:c r="A546" s="10" t="n">
        <x:v>601</x:v>
      </x:c>
      <x:c r="B546" s="2" t="str">
        <x:v>b02e257c556ee857796a</x:v>
      </x:c>
      <x:c r="C546" s="2" t="str">
        <x:v>Sóc Trăng</x:v>
      </x:c>
      <x:c r="D546" s="2" t="str">
        <x:v>Huyện Châu Thành</x:v>
      </x:c>
      <x:c r="E546" s="2" t="str">
        <x:v>land</x:v>
      </x:c>
      <x:c r="F546" s="2" t="str">
        <x:v>sale_assumed</x:v>
      </x:c>
      <x:c r="G546" s="11" t="n">
        <x:v>1750</x:v>
      </x:c>
      <x:c r="H546" s="12" t="n">
        <x:v>1900000000</x:v>
      </x:c>
      <x:c r="I546" s="12" t="n">
        <x:v>1085714.2857142857</x:v>
      </x:c>
      <x:c r="J546" s="2" t="str">
        <x:v>total</x:v>
      </x:c>
      <x:c r="K546" s="2" t="str">
        <x:v>top_level_area</x:v>
      </x:c>
      <x:c r="L546" s="2" t="str">
        <x:v>dot_thousands_convention;property_type_inferred_from_title;transaction_assumed_sale_from_dataset_context</x:v>
      </x:c>
      <x:c r="M546" s="10" t="n">
        <x:v>0</x:v>
      </x:c>
      <x:c r="N546" s="10" t="n">
        <x:v>0</x:v>
      </x:c>
      <x:c r="O546" s="2" t="str">
        <x:v>land</x:v>
      </x:c>
      <x:c r="P546" s="10" t="n">
        <x:v>1</x:v>
      </x:c>
      <x:c r="Q546" s="13" t="n">
        <x:f>IF(H546="","",H546/1000000000)</x:f>
        <x:v>1.9</x:v>
      </x:c>
      <x:c r="R546" s="13" t="n">
        <x:f>IF(I546="","",I546/1000000)</x:f>
        <x:v>1.0857142857142856</x:v>
      </x:c>
    </x:row>
    <x:row r="547" ht="21" customHeight="1">
      <x:c r="A547" s="10" t="n">
        <x:v>602</x:v>
      </x:c>
      <x:c r="B547" s="2" t="str">
        <x:v>f745abdc125137e42d0f</x:v>
      </x:c>
      <x:c r="C547" s="2" t="str">
        <x:v>Tp Hồ Chí Minh</x:v>
      </x:c>
      <x:c r="D547" s="2" t="str">
        <x:v>Quận 12</x:v>
      </x:c>
      <x:c r="E547" s="2" t="str">
        <x:v>house</x:v>
      </x:c>
      <x:c r="F547" s="2" t="str">
        <x:v>sale_assumed</x:v>
      </x:c>
      <x:c r="G547" s="11" t="n">
        <x:v>91</x:v>
      </x:c>
      <x:c r="H547" s="12" t="n">
        <x:v>6950000000</x:v>
      </x:c>
      <x:c r="I547" s="12" t="n">
        <x:v>76373626.37362637</x:v>
      </x:c>
      <x:c r="J547" s="2" t="str">
        <x:v>total</x:v>
      </x:c>
      <x:c r="K547" s="2" t="str">
        <x:v>top_level_area</x:v>
      </x:c>
      <x:c r="L547" s="2" t="str">
        <x:v>property_type_inferred_from_title;transaction_assumed_sale_from_dataset_context</x:v>
      </x:c>
      <x:c r="M547" s="10" t="n">
        <x:v>0</x:v>
      </x:c>
      <x:c r="N547" s="10" t="n">
        <x:v>0</x:v>
      </x:c>
      <x:c r="O547" s="2" t="str">
        <x:v>Tp Hồ Chí Minh|house</x:v>
      </x:c>
      <x:c r="P547" s="10" t="n">
        <x:v>2</x:v>
      </x:c>
      <x:c r="Q547" s="13" t="n">
        <x:f>IF(H547="","",H547/1000000000)</x:f>
        <x:v>6.95</x:v>
      </x:c>
      <x:c r="R547" s="13" t="n">
        <x:f>IF(I547="","",I547/1000000)</x:f>
        <x:v>76.37362637362637</x:v>
      </x:c>
    </x:row>
    <x:row r="548" ht="21" customHeight="1">
      <x:c r="A548" s="10" t="n">
        <x:v>603</x:v>
      </x:c>
      <x:c r="B548" s="2" t="str">
        <x:v>47098805f2af6adacd2a</x:v>
      </x:c>
      <x:c r="C548" s="2" t="str">
        <x:v>Tp Hồ Chí Minh</x:v>
      </x:c>
      <x:c r="D548" s="2" t="str">
        <x:v>Quận 12</x:v>
      </x:c>
      <x:c r="E548" s="2" t="str">
        <x:v>house</x:v>
      </x:c>
      <x:c r="F548" s="2" t="str">
        <x:v>sale_assumed</x:v>
      </x:c>
      <x:c r="G548" s="11" t="n">
        <x:v>31</x:v>
      </x:c>
      <x:c r="H548" s="12" t="n">
        <x:v>1120000000</x:v>
      </x:c>
      <x:c r="I548" s="12" t="n">
        <x:v>36129032.258064516</x:v>
      </x:c>
      <x:c r="J548" s="2" t="str">
        <x:v>total</x:v>
      </x:c>
      <x:c r="K548" s="2" t="str">
        <x:v>top_level_area</x:v>
      </x:c>
      <x:c r="L548" s="2" t="str">
        <x:v>property_type_inferred_from_title;transaction_assumed_sale_from_dataset_context</x:v>
      </x:c>
      <x:c r="M548" s="10" t="n">
        <x:v>0</x:v>
      </x:c>
      <x:c r="N548" s="10" t="n">
        <x:v>0</x:v>
      </x:c>
      <x:c r="O548" s="2" t="str">
        <x:v>Tp Hồ Chí Minh|house</x:v>
      </x:c>
      <x:c r="P548" s="10" t="n">
        <x:v>2</x:v>
      </x:c>
      <x:c r="Q548" s="13" t="n">
        <x:f>IF(H548="","",H548/1000000000)</x:f>
        <x:v>1.12</x:v>
      </x:c>
      <x:c r="R548" s="13" t="n">
        <x:f>IF(I548="","",I548/1000000)</x:f>
        <x:v>36.12903225806451</x:v>
      </x:c>
    </x:row>
    <x:row r="549" ht="21" customHeight="1">
      <x:c r="A549" s="10" t="n">
        <x:v>604</x:v>
      </x:c>
      <x:c r="B549" s="2" t="str">
        <x:v>1e18e90041335e109c90</x:v>
      </x:c>
      <x:c r="C549" s="2" t="str">
        <x:v>Tp Hồ Chí Minh</x:v>
      </x:c>
      <x:c r="D549" s="2" t="str">
        <x:v>Quận Thủ Đức</x:v>
      </x:c>
      <x:c r="E549" s="2" t="str">
        <x:v>land</x:v>
      </x:c>
      <x:c r="F549" s="2" t="str">
        <x:v>sale_assumed</x:v>
      </x:c>
      <x:c r="G549" s="11" t="n">
        <x:v>75</x:v>
      </x:c>
      <x:c r="H549" s="12" t="n">
        <x:v>620000000</x:v>
      </x:c>
      <x:c r="I549" s="12" t="n">
        <x:v>8266666.666666667</x:v>
      </x:c>
      <x:c r="J549" s="2" t="str">
        <x:v>total</x:v>
      </x:c>
      <x:c r="K549" s="2" t="str">
        <x:v>top_level_area</x:v>
      </x:c>
      <x:c r="L549" s="2" t="str">
        <x:v>property_type_inferred_from_title;transaction_assumed_sale_from_dataset_context</x:v>
      </x:c>
      <x:c r="M549" s="10" t="n">
        <x:v>0</x:v>
      </x:c>
      <x:c r="N549" s="10" t="n">
        <x:v>0</x:v>
      </x:c>
      <x:c r="O549" s="2" t="str">
        <x:v>Tp Hồ Chí Minh|land</x:v>
      </x:c>
      <x:c r="P549" s="10" t="n">
        <x:v>2</x:v>
      </x:c>
      <x:c r="Q549" s="13" t="n">
        <x:f>IF(H549="","",H549/1000000000)</x:f>
        <x:v>0.62</x:v>
      </x:c>
      <x:c r="R549" s="13" t="n">
        <x:f>IF(I549="","",I549/1000000)</x:f>
        <x:v>8.266666666666667</x:v>
      </x:c>
    </x:row>
    <x:row r="550" ht="21" customHeight="1">
      <x:c r="A550" s="10" t="n">
        <x:v>605</x:v>
      </x:c>
      <x:c r="B550" s="2" t="str">
        <x:v>88de218e9242faf2ed1c</x:v>
      </x:c>
      <x:c r="C550" s="2" t="str">
        <x:v>Tp Hồ Chí Minh</x:v>
      </x:c>
      <x:c r="D550" s="2" t="str">
        <x:v>Huyện Bình Chánh</x:v>
      </x:c>
      <x:c r="E550" s="2" t="str">
        <x:v>land</x:v>
      </x:c>
      <x:c r="F550" s="2" t="str">
        <x:v>sale_assumed</x:v>
      </x:c>
      <x:c r="G550" s="11" t="n">
        <x:v>91</x:v>
      </x:c>
      <x:c r="H550" s="12" t="n">
        <x:v>1300000000</x:v>
      </x:c>
      <x:c r="I550" s="12" t="n">
        <x:v>14285714.285714285</x:v>
      </x:c>
      <x:c r="J550" s="2" t="str">
        <x:v>total</x:v>
      </x:c>
      <x:c r="K550" s="2" t="str">
        <x:v>top_level_area</x:v>
      </x:c>
      <x:c r="L550" s="2" t="str">
        <x:v>property_type_inferred_from_title;transaction_assumed_sale_from_dataset_context</x:v>
      </x:c>
      <x:c r="M550" s="10" t="n">
        <x:v>0</x:v>
      </x:c>
      <x:c r="N550" s="10" t="n">
        <x:v>0</x:v>
      </x:c>
      <x:c r="O550" s="2" t="str">
        <x:v>Tp Hồ Chí Minh|land</x:v>
      </x:c>
      <x:c r="P550" s="10" t="n">
        <x:v>2</x:v>
      </x:c>
      <x:c r="Q550" s="13" t="n">
        <x:f>IF(H550="","",H550/1000000000)</x:f>
        <x:v>1.3</x:v>
      </x:c>
      <x:c r="R550" s="13" t="n">
        <x:f>IF(I550="","",I550/1000000)</x:f>
        <x:v>14.285714285714285</x:v>
      </x:c>
    </x:row>
    <x:row r="551" ht="21" customHeight="1">
      <x:c r="A551" s="10" t="n">
        <x:v>606</x:v>
      </x:c>
      <x:c r="B551" s="2" t="str">
        <x:v>ca911dcb9f96740013d2</x:v>
      </x:c>
      <x:c r="C551" s="2" t="str">
        <x:v>Tp Hồ Chí Minh</x:v>
      </x:c>
      <x:c r="D551" s="2" t="str">
        <x:v>Quận 12</x:v>
      </x:c>
      <x:c r="E551" s="2" t="str">
        <x:v>house</x:v>
      </x:c>
      <x:c r="F551" s="2" t="str">
        <x:v>sale_assumed</x:v>
      </x:c>
      <x:c r="G551" s="11" t="n">
        <x:v>55</x:v>
      </x:c>
      <x:c r="H551" s="12" t="n">
        <x:v>2680000000</x:v>
      </x:c>
      <x:c r="I551" s="12" t="n">
        <x:v>48727272.72727273</x:v>
      </x:c>
      <x:c r="J551" s="2" t="str">
        <x:v>total</x:v>
      </x:c>
      <x:c r="K551" s="2" t="str">
        <x:v>top_level_area</x:v>
      </x:c>
      <x:c r="L551" s="2" t="str">
        <x:v>property_type_inferred_from_title;transaction_assumed_sale_from_dataset_context</x:v>
      </x:c>
      <x:c r="M551" s="10" t="n">
        <x:v>0</x:v>
      </x:c>
      <x:c r="N551" s="10" t="n">
        <x:v>0</x:v>
      </x:c>
      <x:c r="O551" s="2" t="str">
        <x:v>Tp Hồ Chí Minh|house</x:v>
      </x:c>
      <x:c r="P551" s="10" t="n">
        <x:v>2</x:v>
      </x:c>
      <x:c r="Q551" s="13" t="n">
        <x:f>IF(H551="","",H551/1000000000)</x:f>
        <x:v>2.68</x:v>
      </x:c>
      <x:c r="R551" s="13" t="n">
        <x:f>IF(I551="","",I551/1000000)</x:f>
        <x:v>48.72727272727273</x:v>
      </x:c>
    </x:row>
    <x:row r="552" ht="21" customHeight="1">
      <x:c r="A552" s="10" t="n">
        <x:v>607</x:v>
      </x:c>
      <x:c r="B552" s="2" t="str">
        <x:v>89573d35c3e707a3f55a</x:v>
      </x:c>
      <x:c r="C552" s="2" t="str">
        <x:v>Tp Hồ Chí Minh</x:v>
      </x:c>
      <x:c r="D552" s="2" t="str">
        <x:v>Quận 9</x:v>
      </x:c>
      <x:c r="E552" s="2" t="str">
        <x:v>apartment</x:v>
      </x:c>
      <x:c r="F552" s="2" t="str">
        <x:v>sale_assumed</x:v>
      </x:c>
      <x:c r="G552" s="11" t="n">
        <x:v>65</x:v>
      </x:c>
      <x:c r="H552" s="12" t="n">
        <x:v>2150000000</x:v>
      </x:c>
      <x:c r="I552" s="12" t="n">
        <x:v>33076923.076923076</x:v>
      </x:c>
      <x:c r="J552" s="2" t="str">
        <x:v>total</x:v>
      </x:c>
      <x:c r="K552" s="2" t="str">
        <x:v>top_level_price_embedded_area</x:v>
      </x:c>
      <x:c r="L552" s="2" t="str">
        <x:v>area_recovered_from_price_text;property_type_inferred_from_title;transaction_assumed_sale_from_dataset_context</x:v>
      </x:c>
      <x:c r="M552" s="10" t="n">
        <x:v>0</x:v>
      </x:c>
      <x:c r="N552" s="10" t="n">
        <x:v>0</x:v>
      </x:c>
      <x:c r="O552" s="2" t="str">
        <x:v>Tp Hồ Chí Minh|apartment</x:v>
      </x:c>
      <x:c r="P552" s="10" t="n">
        <x:v>2</x:v>
      </x:c>
      <x:c r="Q552" s="13" t="n">
        <x:f>IF(H552="","",H552/1000000000)</x:f>
        <x:v>2.15</x:v>
      </x:c>
      <x:c r="R552" s="13" t="n">
        <x:f>IF(I552="","",I552/1000000)</x:f>
        <x:v>33.07692307692307</x:v>
      </x:c>
    </x:row>
    <x:row r="553" ht="21" customHeight="1">
      <x:c r="A553" s="10" t="n">
        <x:v>608</x:v>
      </x:c>
      <x:c r="B553" s="2" t="str">
        <x:v>40913d68211f6199bdc3</x:v>
      </x:c>
      <x:c r="C553" s="2" t="str">
        <x:v>Tp Hồ Chí Minh</x:v>
      </x:c>
      <x:c r="D553" s="2" t="str">
        <x:v>Quận Bình Tân</x:v>
      </x:c>
      <x:c r="E553" s="2" t="str">
        <x:v>house</x:v>
      </x:c>
      <x:c r="F553" s="2" t="str">
        <x:v>sale_assumed</x:v>
      </x:c>
      <x:c r="G553" s="11" t="n">
        <x:v>28</x:v>
      </x:c>
      <x:c r="H553" s="12" t="n">
        <x:v>1190000000</x:v>
      </x:c>
      <x:c r="I553" s="12" t="n">
        <x:v>42500000</x:v>
      </x:c>
      <x:c r="J553" s="2" t="str">
        <x:v>total</x:v>
      </x:c>
      <x:c r="K553" s="2" t="str">
        <x:v>top_level_area</x:v>
      </x:c>
      <x:c r="L553" s="2" t="str">
        <x:v>property_type_inferred_from_title;transaction_assumed_sale_from_dataset_context</x:v>
      </x:c>
      <x:c r="M553" s="10" t="n">
        <x:v>0</x:v>
      </x:c>
      <x:c r="N553" s="10" t="n">
        <x:v>0</x:v>
      </x:c>
      <x:c r="O553" s="2" t="str">
        <x:v>Tp Hồ Chí Minh|house</x:v>
      </x:c>
      <x:c r="P553" s="10" t="n">
        <x:v>2</x:v>
      </x:c>
      <x:c r="Q553" s="13" t="n">
        <x:f>IF(H553="","",H553/1000000000)</x:f>
        <x:v>1.19</x:v>
      </x:c>
      <x:c r="R553" s="13" t="n">
        <x:f>IF(I553="","",I553/1000000)</x:f>
        <x:v>42.5</x:v>
      </x:c>
    </x:row>
    <x:row r="554" ht="21" customHeight="1">
      <x:c r="A554" s="10" t="n">
        <x:v>609</x:v>
      </x:c>
      <x:c r="B554" s="2" t="str">
        <x:v>6c06622fb8bb55323232</x:v>
      </x:c>
      <x:c r="C554" s="2" t="str">
        <x:v>Đắk Lắk</x:v>
      </x:c>
      <x:c r="D554" s="2" t="str">
        <x:v>Thành phố Buôn Ma Thuột</x:v>
      </x:c>
      <x:c r="E554" s="2" t="str">
        <x:v>house</x:v>
      </x:c>
      <x:c r="F554" s="2" t="str">
        <x:v>sale_assumed</x:v>
      </x:c>
      <x:c r="G554" s="11" t="n">
        <x:v>100</x:v>
      </x:c>
      <x:c r="H554" s="12" t="n">
        <x:v>1020000000</x:v>
      </x:c>
      <x:c r="I554" s="12" t="n">
        <x:v>10200000</x:v>
      </x:c>
      <x:c r="J554" s="2" t="str">
        <x:v>total</x:v>
      </x:c>
      <x:c r="K554" s="2" t="str">
        <x:v>top_level_area</x:v>
      </x:c>
      <x:c r="L554" s="2" t="str">
        <x:v>property_type_inferred_from_title;transaction_assumed_sale_from_dataset_context</x:v>
      </x:c>
      <x:c r="M554" s="10" t="n">
        <x:v>0</x:v>
      </x:c>
      <x:c r="N554" s="10" t="n">
        <x:v>0</x:v>
      </x:c>
      <x:c r="O554" s="2" t="str">
        <x:v>Đắk Lắk|house</x:v>
      </x:c>
      <x:c r="P554" s="10" t="n">
        <x:v>2</x:v>
      </x:c>
      <x:c r="Q554" s="13" t="n">
        <x:f>IF(H554="","",H554/1000000000)</x:f>
        <x:v>1.02</x:v>
      </x:c>
      <x:c r="R554" s="13" t="n">
        <x:f>IF(I554="","",I554/1000000)</x:f>
        <x:v>10.2</x:v>
      </x:c>
    </x:row>
    <x:row r="555" ht="21" customHeight="1">
      <x:c r="A555" s="10" t="n">
        <x:v>610</x:v>
      </x:c>
      <x:c r="B555" s="2" t="str">
        <x:v>83d460779e2412cad270</x:v>
      </x:c>
      <x:c r="C555" s="2" t="str">
        <x:v>Tp Hồ Chí Minh</x:v>
      </x:c>
      <x:c r="D555" s="2" t="str">
        <x:v>Huyện Nhà Bè</x:v>
      </x:c>
      <x:c r="E555" s="2" t="str">
        <x:v>house</x:v>
      </x:c>
      <x:c r="F555" s="2" t="str">
        <x:v>sale</x:v>
      </x:c>
      <x:c r="G555" s="11" t="n">
        <x:v>118</x:v>
      </x:c>
      <x:c r="H555" s="12" t="n">
        <x:v>2600000000</x:v>
      </x:c>
      <x:c r="I555" s="12" t="n">
        <x:v>22033898.305084746</x:v>
      </x:c>
      <x:c r="J555" s="2" t="str">
        <x:v>total</x:v>
      </x:c>
      <x:c r="K555" s="2" t="str">
        <x:v>top_level_area</x:v>
      </x:c>
      <x:c r="L555" s="2" t="str">
        <x:v>property_type_inferred_from_title</x:v>
      </x:c>
      <x:c r="M555" s="10" t="n">
        <x:v>0</x:v>
      </x:c>
      <x:c r="N555" s="10" t="n">
        <x:v>0</x:v>
      </x:c>
      <x:c r="O555" s="2" t="str">
        <x:v>Tp Hồ Chí Minh|house</x:v>
      </x:c>
      <x:c r="P555" s="10" t="n">
        <x:v>2</x:v>
      </x:c>
      <x:c r="Q555" s="13" t="n">
        <x:f>IF(H555="","",H555/1000000000)</x:f>
        <x:v>2.6</x:v>
      </x:c>
      <x:c r="R555" s="13" t="n">
        <x:f>IF(I555="","",I555/1000000)</x:f>
        <x:v>22.033898305084747</x:v>
      </x:c>
    </x:row>
    <x:row r="556" ht="21" customHeight="1">
      <x:c r="A556" s="10" t="n">
        <x:v>611</x:v>
      </x:c>
      <x:c r="B556" s="2" t="str">
        <x:v>1f8a759f0bddf4ab86b5</x:v>
      </x:c>
      <x:c r="C556" s="2" t="str">
        <x:v>Tp Hồ Chí Minh</x:v>
      </x:c>
      <x:c r="D556" s="2" t="str">
        <x:v>Huyện Nhà Bè</x:v>
      </x:c>
      <x:c r="E556" s="2" t="str">
        <x:v>house</x:v>
      </x:c>
      <x:c r="F556" s="2" t="str">
        <x:v>sale</x:v>
      </x:c>
      <x:c r="G556" s="11" t="n">
        <x:v>57</x:v>
      </x:c>
      <x:c r="H556" s="12" t="n">
        <x:v>5500000000</x:v>
      </x:c>
      <x:c r="I556" s="12" t="n">
        <x:v>96491228.07017544</x:v>
      </x:c>
      <x:c r="J556" s="2" t="str">
        <x:v>total</x:v>
      </x:c>
      <x:c r="K556" s="2" t="str">
        <x:v>top_level_area</x:v>
      </x:c>
      <x:c r="L556" s="2" t="str">
        <x:v>property_type_inferred_from_title</x:v>
      </x:c>
      <x:c r="M556" s="10" t="n">
        <x:v>0</x:v>
      </x:c>
      <x:c r="N556" s="10" t="n">
        <x:v>0</x:v>
      </x:c>
      <x:c r="O556" s="2" t="str">
        <x:v>Tp Hồ Chí Minh|house</x:v>
      </x:c>
      <x:c r="P556" s="10" t="n">
        <x:v>2</x:v>
      </x:c>
      <x:c r="Q556" s="13" t="n">
        <x:f>IF(H556="","",H556/1000000000)</x:f>
        <x:v>5.5</x:v>
      </x:c>
      <x:c r="R556" s="13" t="n">
        <x:f>IF(I556="","",I556/1000000)</x:f>
        <x:v>96.49122807017544</x:v>
      </x:c>
    </x:row>
    <x:row r="557" ht="21" customHeight="1">
      <x:c r="A557" s="10" t="n">
        <x:v>612</x:v>
      </x:c>
      <x:c r="B557" s="2" t="str">
        <x:v>d9b600bbd27d6332a213</x:v>
      </x:c>
      <x:c r="C557" s="2" t="str">
        <x:v>Tp Hồ Chí Minh</x:v>
      </x:c>
      <x:c r="D557" s="2" t="str">
        <x:v>Quận 12</x:v>
      </x:c>
      <x:c r="E557" s="2" t="str">
        <x:v>land</x:v>
      </x:c>
      <x:c r="F557" s="2" t="str">
        <x:v>sale_assumed</x:v>
      </x:c>
      <x:c r="G557" s="11" t="n">
        <x:v>56</x:v>
      </x:c>
      <x:c r="H557" s="12" t="n">
        <x:v>2479000000</x:v>
      </x:c>
      <x:c r="I557" s="12" t="n">
        <x:v>44267857.14285714</x:v>
      </x:c>
      <x:c r="J557" s="2" t="str">
        <x:v>total</x:v>
      </x:c>
      <x:c r="K557" s="2" t="str">
        <x:v>top_level_area</x:v>
      </x:c>
      <x:c r="L557" s="2" t="str">
        <x:v>property_type_inferred_from_title;transaction_assumed_sale_from_dataset_context</x:v>
      </x:c>
      <x:c r="M557" s="10" t="n">
        <x:v>0</x:v>
      </x:c>
      <x:c r="N557" s="10" t="n">
        <x:v>0</x:v>
      </x:c>
      <x:c r="O557" s="2" t="str">
        <x:v>Tp Hồ Chí Minh|land</x:v>
      </x:c>
      <x:c r="P557" s="10" t="n">
        <x:v>2</x:v>
      </x:c>
      <x:c r="Q557" s="13" t="n">
        <x:f>IF(H557="","",H557/1000000000)</x:f>
        <x:v>2.479</x:v>
      </x:c>
      <x:c r="R557" s="13" t="n">
        <x:f>IF(I557="","",I557/1000000)</x:f>
        <x:v>44.26785714285714</x:v>
      </x:c>
    </x:row>
    <x:row r="558" ht="21" customHeight="1">
      <x:c r="A558" s="10" t="n">
        <x:v>615</x:v>
      </x:c>
      <x:c r="B558" s="2" t="str">
        <x:v>b88bab31418736265b8f</x:v>
      </x:c>
      <x:c r="C558" s="2" t="str">
        <x:v>Tp Hồ Chí Minh</x:v>
      </x:c>
      <x:c r="D558" s="2" t="str">
        <x:v>Quận Bình Thạnh</x:v>
      </x:c>
      <x:c r="E558" s="2" t="str">
        <x:v>apartment</x:v>
      </x:c>
      <x:c r="F558" s="2" t="str">
        <x:v>sale</x:v>
      </x:c>
      <x:c r="G558" s="11" t="n">
        <x:v>70</x:v>
      </x:c>
      <x:c r="H558" s="12" t="n">
        <x:v>1350000000</x:v>
      </x:c>
      <x:c r="I558" s="12" t="n">
        <x:v>19285714.285714287</x:v>
      </x:c>
      <x:c r="J558" s="2" t="str">
        <x:v>total</x:v>
      </x:c>
      <x:c r="K558" s="2" t="str">
        <x:v>top_level_area</x:v>
      </x:c>
      <x:c r="L558" s="2" t="str">
        <x:v>property_type_inferred_from_title</x:v>
      </x:c>
      <x:c r="M558" s="10" t="n">
        <x:v>0</x:v>
      </x:c>
      <x:c r="N558" s="10" t="n">
        <x:v>0</x:v>
      </x:c>
      <x:c r="O558" s="2" t="str">
        <x:v>Tp Hồ Chí Minh|apartment</x:v>
      </x:c>
      <x:c r="P558" s="10" t="n">
        <x:v>2</x:v>
      </x:c>
      <x:c r="Q558" s="13" t="n">
        <x:f>IF(H558="","",H558/1000000000)</x:f>
        <x:v>1.35</x:v>
      </x:c>
      <x:c r="R558" s="13" t="n">
        <x:f>IF(I558="","",I558/1000000)</x:f>
        <x:v>19.28571428571429</x:v>
      </x:c>
    </x:row>
    <x:row r="559" ht="21" customHeight="1">
      <x:c r="A559" s="10" t="n">
        <x:v>616</x:v>
      </x:c>
      <x:c r="B559" s="2" t="str">
        <x:v>4134ff5458c16bd141e6</x:v>
      </x:c>
      <x:c r="C559" s="2" t="str">
        <x:v>Bình Phước</x:v>
      </x:c>
      <x:c r="D559" s="2" t="str">
        <x:v>Huyện Chơn Thành</x:v>
      </x:c>
      <x:c r="E559" s="2" t="str">
        <x:v>land</x:v>
      </x:c>
      <x:c r="F559" s="2" t="str">
        <x:v>sale_assumed</x:v>
      </x:c>
      <x:c r="G559" s="11" t="n">
        <x:v>1000</x:v>
      </x:c>
      <x:c r="H559" s="12" t="n">
        <x:v>450000000</x:v>
      </x:c>
      <x:c r="I559" s="12" t="n">
        <x:v>450000</x:v>
      </x:c>
      <x:c r="J559" s="2" t="str">
        <x:v>total</x:v>
      </x:c>
      <x:c r="K559" s="2" t="str">
        <x:v>top_level_area</x:v>
      </x:c>
      <x:c r="L559" s="2" t="str">
        <x:v>dot_thousands_convention;property_type_inferred_from_title;transaction_assumed_sale_from_dataset_context</x:v>
      </x:c>
      <x:c r="M559" s="10" t="n">
        <x:v>0</x:v>
      </x:c>
      <x:c r="N559" s="10" t="n">
        <x:v>0</x:v>
      </x:c>
      <x:c r="O559" s="2" t="str">
        <x:v>Bình Phước|land</x:v>
      </x:c>
      <x:c r="P559" s="10" t="n">
        <x:v>1</x:v>
      </x:c>
      <x:c r="Q559" s="13" t="n">
        <x:f>IF(H559="","",H559/1000000000)</x:f>
        <x:v>0.45</x:v>
      </x:c>
      <x:c r="R559" s="13" t="n">
        <x:f>IF(I559="","",I559/1000000)</x:f>
        <x:v>0.45</x:v>
      </x:c>
    </x:row>
    <x:row r="560" ht="21" customHeight="1">
      <x:c r="A560" s="10" t="n">
        <x:v>617</x:v>
      </x:c>
      <x:c r="B560" s="2" t="str">
        <x:v>3cc09c83040cf6e281e4</x:v>
      </x:c>
      <x:c r="C560" s="2" t="str">
        <x:v>Đà Nẵng</x:v>
      </x:c>
      <x:c r="D560" s="2" t="str">
        <x:v>Quận Thanh Khê</x:v>
      </x:c>
      <x:c r="E560" s="2" t="str">
        <x:v>house</x:v>
      </x:c>
      <x:c r="F560" s="2" t="str">
        <x:v>sale</x:v>
      </x:c>
      <x:c r="G560" s="11" t="n">
        <x:v>81</x:v>
      </x:c>
      <x:c r="H560" s="12" t="n">
        <x:v>2950000000</x:v>
      </x:c>
      <x:c r="I560" s="12" t="n">
        <x:v>36419753.086419754</x:v>
      </x:c>
      <x:c r="J560" s="2" t="str">
        <x:v>total</x:v>
      </x:c>
      <x:c r="K560" s="2" t="str">
        <x:v>top_level_area</x:v>
      </x:c>
      <x:c r="L560" s="2" t="str">
        <x:v>property_type_inferred_from_title</x:v>
      </x:c>
      <x:c r="M560" s="10" t="n">
        <x:v>0</x:v>
      </x:c>
      <x:c r="N560" s="10" t="n">
        <x:v>0</x:v>
      </x:c>
      <x:c r="O560" s="2" t="str">
        <x:v>Đà Nẵng|house</x:v>
      </x:c>
      <x:c r="P560" s="10" t="n">
        <x:v>2</x:v>
      </x:c>
      <x:c r="Q560" s="13" t="n">
        <x:f>IF(H560="","",H560/1000000000)</x:f>
        <x:v>2.95</x:v>
      </x:c>
      <x:c r="R560" s="13" t="n">
        <x:f>IF(I560="","",I560/1000000)</x:f>
        <x:v>36.41975308641975</x:v>
      </x:c>
    </x:row>
    <x:row r="561" ht="21" customHeight="1">
      <x:c r="A561" s="10" t="n">
        <x:v>618</x:v>
      </x:c>
      <x:c r="B561" s="2" t="str">
        <x:v>e8fbc98f46151a7a817e</x:v>
      </x:c>
      <x:c r="C561" s="2" t="str">
        <x:v>Tp Hồ Chí Minh</x:v>
      </x:c>
      <x:c r="D561" s="2" t="str">
        <x:v>Quận Thủ Đức</x:v>
      </x:c>
      <x:c r="E561" s="2" t="str">
        <x:v>other_unknown</x:v>
      </x:c>
      <x:c r="F561" s="2" t="str">
        <x:v>sale_assumed</x:v>
      </x:c>
      <x:c r="G561" s="11" t="n">
        <x:v>70</x:v>
      </x:c>
      <x:c r="H561" s="12" t="n">
        <x:v>1850000000</x:v>
      </x:c>
      <x:c r="I561" s="12" t="n">
        <x:v>26428571.42857143</x:v>
      </x:c>
      <x:c r="J561" s="2" t="str">
        <x:v>total</x:v>
      </x:c>
      <x:c r="K561" s="2" t="str">
        <x:v>top_level_area</x:v>
      </x:c>
      <x:c r="L561" s="2" t="str">
        <x:v>property_type_inferred_from_title;transaction_assumed_sale_from_dataset_context;unknown_property_type</x:v>
      </x:c>
      <x:c r="M561" s="10" t="n">
        <x:v>0</x:v>
      </x:c>
      <x:c r="N561" s="10" t="n">
        <x:v>0</x:v>
      </x:c>
      <x:c r="O561" s="2" t="str">
        <x:v>Tp Hồ Chí Minh|other_unknown</x:v>
      </x:c>
      <x:c r="P561" s="10" t="n">
        <x:v>2</x:v>
      </x:c>
      <x:c r="Q561" s="13" t="n">
        <x:f>IF(H561="","",H561/1000000000)</x:f>
        <x:v>1.85</x:v>
      </x:c>
      <x:c r="R561" s="13" t="n">
        <x:f>IF(I561="","",I561/1000000)</x:f>
        <x:v>26.42857142857143</x:v>
      </x:c>
    </x:row>
    <x:row r="562" ht="21" customHeight="1">
      <x:c r="A562" s="10" t="n">
        <x:v>619</x:v>
      </x:c>
      <x:c r="B562" s="2" t="str">
        <x:v>d67e224dcc819a59276c</x:v>
      </x:c>
      <x:c r="C562" s="2" t="str">
        <x:v>Tp Hồ Chí Minh</x:v>
      </x:c>
      <x:c r="D562" s="2" t="str">
        <x:v>Quận Bình Tân</x:v>
      </x:c>
      <x:c r="E562" s="2" t="str">
        <x:v>house</x:v>
      </x:c>
      <x:c r="F562" s="2" t="str">
        <x:v>sale_assumed</x:v>
      </x:c>
      <x:c r="G562" s="11" t="n">
        <x:v>80</x:v>
      </x:c>
      <x:c r="H562" s="12" t="n">
        <x:v>5200000000</x:v>
      </x:c>
      <x:c r="I562" s="12" t="n">
        <x:v>65000000</x:v>
      </x:c>
      <x:c r="J562" s="2" t="str">
        <x:v>total</x:v>
      </x:c>
      <x:c r="K562" s="2" t="str">
        <x:v>top_level_area</x:v>
      </x:c>
      <x:c r="L562" s="2" t="str">
        <x:v>property_type_inferred_from_title;transaction_assumed_sale_from_dataset_context</x:v>
      </x:c>
      <x:c r="M562" s="10" t="n">
        <x:v>0</x:v>
      </x:c>
      <x:c r="N562" s="10" t="n">
        <x:v>0</x:v>
      </x:c>
      <x:c r="O562" s="2" t="str">
        <x:v>Tp Hồ Chí Minh|house</x:v>
      </x:c>
      <x:c r="P562" s="10" t="n">
        <x:v>2</x:v>
      </x:c>
      <x:c r="Q562" s="13" t="n">
        <x:f>IF(H562="","",H562/1000000000)</x:f>
        <x:v>5.2</x:v>
      </x:c>
      <x:c r="R562" s="13" t="n">
        <x:f>IF(I562="","",I562/1000000)</x:f>
        <x:v>65</x:v>
      </x:c>
    </x:row>
    <x:row r="563" ht="21" customHeight="1">
      <x:c r="A563" s="10" t="n">
        <x:v>620</x:v>
      </x:c>
      <x:c r="B563" s="2" t="str">
        <x:v>8300639f39478b19ed62</x:v>
      </x:c>
      <x:c r="C563" s="2" t="str">
        <x:v>Tp Hồ Chí Minh</x:v>
      </x:c>
      <x:c r="D563" s="2" t="str">
        <x:v>Quận 8</x:v>
      </x:c>
      <x:c r="E563" s="2" t="str">
        <x:v>house</x:v>
      </x:c>
      <x:c r="F563" s="2" t="str">
        <x:v>sale_assumed</x:v>
      </x:c>
      <x:c r="G563" s="11" t="n">
        <x:v>52</x:v>
      </x:c>
      <x:c r="H563" s="12" t="n">
        <x:v>7500000000</x:v>
      </x:c>
      <x:c r="I563" s="12" t="n">
        <x:v>144230769.23076922</x:v>
      </x:c>
      <x:c r="J563" s="2" t="str">
        <x:v>total</x:v>
      </x:c>
      <x:c r="K563" s="2" t="str">
        <x:v>top_level_area</x:v>
      </x:c>
      <x:c r="L563" s="2" t="str">
        <x:v>property_type_inferred_from_title;transaction_assumed_sale_from_dataset_context</x:v>
      </x:c>
      <x:c r="M563" s="10" t="n">
        <x:v>0</x:v>
      </x:c>
      <x:c r="N563" s="10" t="n">
        <x:v>0</x:v>
      </x:c>
      <x:c r="O563" s="2" t="str">
        <x:v>Tp Hồ Chí Minh|house</x:v>
      </x:c>
      <x:c r="P563" s="10" t="n">
        <x:v>2</x:v>
      </x:c>
      <x:c r="Q563" s="13" t="n">
        <x:f>IF(H563="","",H563/1000000000)</x:f>
        <x:v>7.5</x:v>
      </x:c>
      <x:c r="R563" s="13" t="n">
        <x:f>IF(I563="","",I563/1000000)</x:f>
        <x:v>144.23076923076923</x:v>
      </x:c>
    </x:row>
    <x:row r="564" ht="21" customHeight="1">
      <x:c r="A564" s="10" t="n">
        <x:v>621</x:v>
      </x:c>
      <x:c r="B564" s="2" t="str">
        <x:v>d5f9e54ba1c6042c941c</x:v>
      </x:c>
      <x:c r="C564" s="2" t="str">
        <x:v>Tp Hồ Chí Minh</x:v>
      </x:c>
      <x:c r="D564" s="2" t="str">
        <x:v>Quận 7</x:v>
      </x:c>
      <x:c r="E564" s="2" t="str">
        <x:v>house</x:v>
      </x:c>
      <x:c r="F564" s="2" t="str">
        <x:v>sale_assumed</x:v>
      </x:c>
      <x:c r="G564" s="11" t="n">
        <x:v>36</x:v>
      </x:c>
      <x:c r="H564" s="12" t="n">
        <x:v>4400000000</x:v>
      </x:c>
      <x:c r="I564" s="12" t="n">
        <x:v>122222222.22222222</x:v>
      </x:c>
      <x:c r="J564" s="2" t="str">
        <x:v>total</x:v>
      </x:c>
      <x:c r="K564" s="2" t="str">
        <x:v>top_level_price_embedded_area</x:v>
      </x:c>
      <x:c r="L564" s="2" t="str">
        <x:v>area_recovered_from_price_text;property_type_inferred_from_title;transaction_assumed_sale_from_dataset_context</x:v>
      </x:c>
      <x:c r="M564" s="10" t="n">
        <x:v>0</x:v>
      </x:c>
      <x:c r="N564" s="10" t="n">
        <x:v>0</x:v>
      </x:c>
      <x:c r="O564" s="2" t="str">
        <x:v>Tp Hồ Chí Minh|house</x:v>
      </x:c>
      <x:c r="P564" s="10" t="n">
        <x:v>2</x:v>
      </x:c>
      <x:c r="Q564" s="13" t="n">
        <x:f>IF(H564="","",H564/1000000000)</x:f>
        <x:v>4.4</x:v>
      </x:c>
      <x:c r="R564" s="13" t="n">
        <x:f>IF(I564="","",I564/1000000)</x:f>
        <x:v>122.22222222222223</x:v>
      </x:c>
    </x:row>
    <x:row r="565" ht="21" customHeight="1">
      <x:c r="A565" s="10" t="n">
        <x:v>622</x:v>
      </x:c>
      <x:c r="B565" s="2" t="str">
        <x:v>b0f31ecc3506f75c03fc</x:v>
      </x:c>
      <x:c r="C565" s="2" t="str">
        <x:v>Bình Dương</x:v>
      </x:c>
      <x:c r="D565" s="2" t="str">
        <x:v>Thị xã Bến Cát</x:v>
      </x:c>
      <x:c r="E565" s="2" t="str">
        <x:v>land</x:v>
      </x:c>
      <x:c r="F565" s="2" t="str">
        <x:v>sale_assumed</x:v>
      </x:c>
      <x:c r="G565" s="11" t="n">
        <x:v>1200</x:v>
      </x:c>
      <x:c r="H565" s="12" t="n">
        <x:v>1900000000</x:v>
      </x:c>
      <x:c r="I565" s="12" t="n">
        <x:v>1583333.3333333333</x:v>
      </x:c>
      <x:c r="J565" s="2" t="str">
        <x:v>total</x:v>
      </x:c>
      <x:c r="K565" s="2" t="str">
        <x:v>top_level_area</x:v>
      </x:c>
      <x:c r="L565" s="2" t="str">
        <x:v>dot_thousands_convention;property_type_inferred_from_title;transaction_assumed_sale_from_dataset_context</x:v>
      </x:c>
      <x:c r="M565" s="10" t="n">
        <x:v>0</x:v>
      </x:c>
      <x:c r="N565" s="10" t="n">
        <x:v>0</x:v>
      </x:c>
      <x:c r="O565" s="2" t="str">
        <x:v>Bình Dương|land</x:v>
      </x:c>
      <x:c r="P565" s="10" t="n">
        <x:v>1</x:v>
      </x:c>
      <x:c r="Q565" s="13" t="n">
        <x:f>IF(H565="","",H565/1000000000)</x:f>
        <x:v>1.9</x:v>
      </x:c>
      <x:c r="R565" s="13" t="n">
        <x:f>IF(I565="","",I565/1000000)</x:f>
        <x:v>1.5833333333333333</x:v>
      </x:c>
    </x:row>
    <x:row r="566" ht="21" customHeight="1">
      <x:c r="A566" s="10" t="n">
        <x:v>623</x:v>
      </x:c>
      <x:c r="B566" s="2" t="str">
        <x:v>9d2cf03841eeb98b35c9</x:v>
      </x:c>
      <x:c r="C566" s="2" t="str">
        <x:v>Tp Hồ Chí Minh</x:v>
      </x:c>
      <x:c r="D566" s="2" t="str">
        <x:v>Quận Tân Phú</x:v>
      </x:c>
      <x:c r="E566" s="2" t="str">
        <x:v>house</x:v>
      </x:c>
      <x:c r="F566" s="2" t="str">
        <x:v>sale</x:v>
      </x:c>
      <x:c r="G566" s="11" t="n">
        <x:v>70</x:v>
      </x:c>
      <x:c r="H566" s="12" t="n">
        <x:v>9100000000</x:v>
      </x:c>
      <x:c r="I566" s="12" t="n">
        <x:v>130000000</x:v>
      </x:c>
      <x:c r="J566" s="2" t="str">
        <x:v>total</x:v>
      </x:c>
      <x:c r="K566" s="2" t="str">
        <x:v>top_level_area</x:v>
      </x:c>
      <x:c r="L566" s="2" t="str">
        <x:v>property_type_inferred_from_title</x:v>
      </x:c>
      <x:c r="M566" s="10" t="n">
        <x:v>0</x:v>
      </x:c>
      <x:c r="N566" s="10" t="n">
        <x:v>0</x:v>
      </x:c>
      <x:c r="O566" s="2" t="str">
        <x:v>Tp Hồ Chí Minh|house</x:v>
      </x:c>
      <x:c r="P566" s="10" t="n">
        <x:v>2</x:v>
      </x:c>
      <x:c r="Q566" s="13" t="n">
        <x:f>IF(H566="","",H566/1000000000)</x:f>
        <x:v>9.1</x:v>
      </x:c>
      <x:c r="R566" s="13" t="n">
        <x:f>IF(I566="","",I566/1000000)</x:f>
        <x:v>130</x:v>
      </x:c>
    </x:row>
    <x:row r="567" ht="21" customHeight="1">
      <x:c r="A567" s="10" t="n">
        <x:v>624</x:v>
      </x:c>
      <x:c r="B567" s="2" t="str">
        <x:v>66eeaddfd748b50c50c3</x:v>
      </x:c>
      <x:c r="C567" s="2" t="str">
        <x:v>Lâm Đồng</x:v>
      </x:c>
      <x:c r="D567" s="2" t="str">
        <x:v>Thành phố Bảo Lộc</x:v>
      </x:c>
      <x:c r="E567" s="2" t="str">
        <x:v>land</x:v>
      </x:c>
      <x:c r="F567" s="2" t="str">
        <x:v>sale_assumed</x:v>
      </x:c>
      <x:c r="G567" s="11" t="n">
        <x:v>200</x:v>
      </x:c>
      <x:c r="H567" s="12" t="n">
        <x:v>799000000</x:v>
      </x:c>
      <x:c r="I567" s="12" t="n">
        <x:v>3995000</x:v>
      </x:c>
      <x:c r="J567" s="2" t="str">
        <x:v>total</x:v>
      </x:c>
      <x:c r="K567" s="2" t="str">
        <x:v>top_level_area</x:v>
      </x:c>
      <x:c r="L567" s="2" t="str">
        <x:v>property_type_inferred_from_title;transaction_assumed_sale_from_dataset_context</x:v>
      </x:c>
      <x:c r="M567" s="10" t="n">
        <x:v>0</x:v>
      </x:c>
      <x:c r="N567" s="10" t="n">
        <x:v>0</x:v>
      </x:c>
      <x:c r="O567" s="2" t="str">
        <x:v>Lâm Đồng|land</x:v>
      </x:c>
      <x:c r="P567" s="10" t="n">
        <x:v>1</x:v>
      </x:c>
      <x:c r="Q567" s="13" t="n">
        <x:f>IF(H567="","",H567/1000000000)</x:f>
        <x:v>0.799</x:v>
      </x:c>
      <x:c r="R567" s="13" t="n">
        <x:f>IF(I567="","",I567/1000000)</x:f>
        <x:v>3.995</x:v>
      </x:c>
    </x:row>
    <x:row r="568" ht="21" customHeight="1">
      <x:c r="A568" s="10" t="n">
        <x:v>625</x:v>
      </x:c>
      <x:c r="B568" s="2" t="str">
        <x:v>3034807b9aa0082f0a71</x:v>
      </x:c>
      <x:c r="C568" s="2" t="str">
        <x:v>Sóc Trăng</x:v>
      </x:c>
      <x:c r="D568" s="2" t="str">
        <x:v>Thành phố Sóc Trăng</x:v>
      </x:c>
      <x:c r="E568" s="2" t="str">
        <x:v>house</x:v>
      </x:c>
      <x:c r="F568" s="2" t="str">
        <x:v>sale</x:v>
      </x:c>
      <x:c r="G568" s="11" t="n">
        <x:v>110.9</x:v>
      </x:c>
      <x:c r="H568" s="12" t="n">
        <x:v>1100050000</x:v>
      </x:c>
      <x:c r="I568" s="12" t="n">
        <x:v>9919296.663660955</x:v>
      </x:c>
      <x:c r="J568" s="2" t="str">
        <x:v>total</x:v>
      </x:c>
      <x:c r="K568" s="2" t="str">
        <x:v>top_level_area</x:v>
      </x:c>
      <x:c r="L568" s="2" t="str">
        <x:v>property_type_inferred_from_title</x:v>
      </x:c>
      <x:c r="M568" s="10" t="n">
        <x:v>0</x:v>
      </x:c>
      <x:c r="N568" s="10" t="n">
        <x:v>0</x:v>
      </x:c>
      <x:c r="O568" s="2" t="str">
        <x:v>house</x:v>
      </x:c>
      <x:c r="P568" s="10" t="n">
        <x:v>2</x:v>
      </x:c>
      <x:c r="Q568" s="13" t="n">
        <x:f>IF(H568="","",H568/1000000000)</x:f>
        <x:v>1.10005</x:v>
      </x:c>
      <x:c r="R568" s="13" t="n">
        <x:f>IF(I568="","",I568/1000000)</x:f>
        <x:v>9.919296663660955</x:v>
      </x:c>
    </x:row>
    <x:row r="569" ht="21" customHeight="1">
      <x:c r="A569" s="10" t="n">
        <x:v>626</x:v>
      </x:c>
      <x:c r="B569" s="2" t="str">
        <x:v>5ded4b51fcc065e3382f</x:v>
      </x:c>
      <x:c r="C569" s="2" t="str">
        <x:v>Tp Hồ Chí Minh</x:v>
      </x:c>
      <x:c r="D569" s="2" t="str">
        <x:v>Quận Bình Tân</x:v>
      </x:c>
      <x:c r="E569" s="2" t="str">
        <x:v>house</x:v>
      </x:c>
      <x:c r="F569" s="2" t="str">
        <x:v>sale_assumed</x:v>
      </x:c>
      <x:c r="G569" s="11" t="n">
        <x:v>42</x:v>
      </x:c>
      <x:c r="H569" s="12" t="n">
        <x:v>3350000000</x:v>
      </x:c>
      <x:c r="I569" s="12" t="n">
        <x:v>79761904.76190476</x:v>
      </x:c>
      <x:c r="J569" s="2" t="str">
        <x:v>total</x:v>
      </x:c>
      <x:c r="K569" s="2" t="str">
        <x:v>top_level_area</x:v>
      </x:c>
      <x:c r="L569" s="2" t="str">
        <x:v>property_type_inferred_from_title;transaction_assumed_sale_from_dataset_context</x:v>
      </x:c>
      <x:c r="M569" s="10" t="n">
        <x:v>0</x:v>
      </x:c>
      <x:c r="N569" s="10" t="n">
        <x:v>0</x:v>
      </x:c>
      <x:c r="O569" s="2" t="str">
        <x:v>Tp Hồ Chí Minh|house</x:v>
      </x:c>
      <x:c r="P569" s="10" t="n">
        <x:v>2</x:v>
      </x:c>
      <x:c r="Q569" s="13" t="n">
        <x:f>IF(H569="","",H569/1000000000)</x:f>
        <x:v>3.35</x:v>
      </x:c>
      <x:c r="R569" s="13" t="n">
        <x:f>IF(I569="","",I569/1000000)</x:f>
        <x:v>79.76190476190476</x:v>
      </x:c>
    </x:row>
    <x:row r="570" ht="21" customHeight="1">
      <x:c r="A570" s="10" t="n">
        <x:v>627</x:v>
      </x:c>
      <x:c r="B570" s="2" t="str">
        <x:v>60f12220016dc7cbcffe</x:v>
      </x:c>
      <x:c r="C570" s="2" t="str">
        <x:v>Bình Dương</x:v>
      </x:c>
      <x:c r="D570" s="2" t="str">
        <x:v>Thị xã Thuận An</x:v>
      </x:c>
      <x:c r="E570" s="2" t="str">
        <x:v>house</x:v>
      </x:c>
      <x:c r="F570" s="2" t="str">
        <x:v>sale</x:v>
      </x:c>
      <x:c r="G570" s="11" t="n">
        <x:v>56</x:v>
      </x:c>
      <x:c r="H570" s="12" t="n">
        <x:v>1780000000</x:v>
      </x:c>
      <x:c r="I570" s="12" t="n">
        <x:v>31785714.285714287</x:v>
      </x:c>
      <x:c r="J570" s="2" t="str">
        <x:v>total</x:v>
      </x:c>
      <x:c r="K570" s="2" t="str">
        <x:v>top_level_area</x:v>
      </x:c>
      <x:c r="L570" s="2" t="str">
        <x:v>property_type_inferred_from_title</x:v>
      </x:c>
      <x:c r="M570" s="10" t="n">
        <x:v>0</x:v>
      </x:c>
      <x:c r="N570" s="10" t="n">
        <x:v>0</x:v>
      </x:c>
      <x:c r="O570" s="2" t="str">
        <x:v>Bình Dương|house</x:v>
      </x:c>
      <x:c r="P570" s="10" t="n">
        <x:v>2</x:v>
      </x:c>
      <x:c r="Q570" s="13" t="n">
        <x:f>IF(H570="","",H570/1000000000)</x:f>
        <x:v>1.78</x:v>
      </x:c>
      <x:c r="R570" s="13" t="n">
        <x:f>IF(I570="","",I570/1000000)</x:f>
        <x:v>31.78571428571429</x:v>
      </x:c>
    </x:row>
    <x:row r="571" ht="21" customHeight="1">
      <x:c r="A571" s="10" t="n">
        <x:v>628</x:v>
      </x:c>
      <x:c r="B571" s="2" t="str">
        <x:v>32da48d05d2f21fc92d7</x:v>
      </x:c>
      <x:c r="C571" s="2" t="str">
        <x:v>Tp Hồ Chí Minh</x:v>
      </x:c>
      <x:c r="D571" s="2" t="str">
        <x:v>Huyện Nhà Bè</x:v>
      </x:c>
      <x:c r="E571" s="2" t="str">
        <x:v>other_unknown</x:v>
      </x:c>
      <x:c r="F571" s="2" t="str">
        <x:v>sale_assumed</x:v>
      </x:c>
      <x:c r="G571" s="11" t="n">
        <x:v>100</x:v>
      </x:c>
      <x:c r="H571" s="12" t="n">
        <x:v>450000000</x:v>
      </x:c>
      <x:c r="I571" s="12" t="n">
        <x:v>4500000</x:v>
      </x:c>
      <x:c r="J571" s="2" t="str">
        <x:v>total</x:v>
      </x:c>
      <x:c r="K571" s="2" t="str">
        <x:v>top_level_area</x:v>
      </x:c>
      <x:c r="L571" s="2" t="str">
        <x:v>property_type_inferred_from_title;transaction_assumed_sale_from_dataset_context;unknown_property_type</x:v>
      </x:c>
      <x:c r="M571" s="10" t="n">
        <x:v>0</x:v>
      </x:c>
      <x:c r="N571" s="10" t="n">
        <x:v>0</x:v>
      </x:c>
      <x:c r="O571" s="2" t="str">
        <x:v>Tp Hồ Chí Minh|other_unknown</x:v>
      </x:c>
      <x:c r="P571" s="10" t="n">
        <x:v>2</x:v>
      </x:c>
      <x:c r="Q571" s="13" t="n">
        <x:f>IF(H571="","",H571/1000000000)</x:f>
        <x:v>0.45</x:v>
      </x:c>
      <x:c r="R571" s="13" t="n">
        <x:f>IF(I571="","",I571/1000000)</x:f>
        <x:v>4.5</x:v>
      </x:c>
    </x:row>
    <x:row r="572" ht="21" customHeight="1">
      <x:c r="A572" s="10" t="n">
        <x:v>629</x:v>
      </x:c>
      <x:c r="B572" s="2" t="str">
        <x:v>b32c7183c5bf6e661912</x:v>
      </x:c>
      <x:c r="C572" s="2" t="str">
        <x:v>Cần Thơ</x:v>
      </x:c>
      <x:c r="D572" s="2" t="str">
        <x:v>Quận Cái Răng</x:v>
      </x:c>
      <x:c r="E572" s="2" t="str">
        <x:v>land</x:v>
      </x:c>
      <x:c r="F572" s="2" t="str">
        <x:v>sale</x:v>
      </x:c>
      <x:c r="G572" s="11" t="n">
        <x:v>85</x:v>
      </x:c>
      <x:c r="H572" s="12" t="n">
        <x:v>2650000000</x:v>
      </x:c>
      <x:c r="I572" s="12" t="n">
        <x:v>31176470.588235293</x:v>
      </x:c>
      <x:c r="J572" s="2" t="str">
        <x:v>total</x:v>
      </x:c>
      <x:c r="K572" s="2" t="str">
        <x:v>top_level_area</x:v>
      </x:c>
      <x:c r="L572" s="2" t="str">
        <x:v>property_type_inferred_from_title</x:v>
      </x:c>
      <x:c r="M572" s="10" t="n">
        <x:v>0</x:v>
      </x:c>
      <x:c r="N572" s="10" t="n">
        <x:v>0</x:v>
      </x:c>
      <x:c r="O572" s="2" t="str">
        <x:v>Cần Thơ|land</x:v>
      </x:c>
      <x:c r="P572" s="10" t="n">
        <x:v>2</x:v>
      </x:c>
      <x:c r="Q572" s="13" t="n">
        <x:f>IF(H572="","",H572/1000000000)</x:f>
        <x:v>2.65</x:v>
      </x:c>
      <x:c r="R572" s="13" t="n">
        <x:f>IF(I572="","",I572/1000000)</x:f>
        <x:v>31.176470588235293</x:v>
      </x:c>
    </x:row>
    <x:row r="573" ht="21" customHeight="1">
      <x:c r="A573" s="10" t="n">
        <x:v>630</x:v>
      </x:c>
      <x:c r="B573" s="2" t="str">
        <x:v>fc71b8045aa2aaa5abd5</x:v>
      </x:c>
      <x:c r="C573" s="2" t="str">
        <x:v>Bình Dương</x:v>
      </x:c>
      <x:c r="D573" s="2" t="str">
        <x:v>Thị xã Bến Cát</x:v>
      </x:c>
      <x:c r="E573" s="2" t="str">
        <x:v>land</x:v>
      </x:c>
      <x:c r="F573" s="2" t="str">
        <x:v>sale</x:v>
      </x:c>
      <x:c r="G573" s="11" t="n">
        <x:v>100</x:v>
      </x:c>
      <x:c r="H573" s="12" t="n">
        <x:v>750000000</x:v>
      </x:c>
      <x:c r="I573" s="12" t="n">
        <x:v>7500000</x:v>
      </x:c>
      <x:c r="J573" s="2" t="str">
        <x:v>total</x:v>
      </x:c>
      <x:c r="K573" s="2" t="str">
        <x:v>top_level_area</x:v>
      </x:c>
      <x:c r="L573" s="2" t="str">
        <x:v>property_type_inferred_from_title</x:v>
      </x:c>
      <x:c r="M573" s="10" t="n">
        <x:v>0</x:v>
      </x:c>
      <x:c r="N573" s="10" t="n">
        <x:v>0</x:v>
      </x:c>
      <x:c r="O573" s="2" t="str">
        <x:v>Bình Dương|land</x:v>
      </x:c>
      <x:c r="P573" s="10" t="n">
        <x:v>2</x:v>
      </x:c>
      <x:c r="Q573" s="13" t="n">
        <x:f>IF(H573="","",H573/1000000000)</x:f>
        <x:v>0.75</x:v>
      </x:c>
      <x:c r="R573" s="13" t="n">
        <x:f>IF(I573="","",I573/1000000)</x:f>
        <x:v>7.5</x:v>
      </x:c>
    </x:row>
    <x:row r="574" ht="21" customHeight="1">
      <x:c r="A574" s="10" t="n">
        <x:v>631</x:v>
      </x:c>
      <x:c r="B574" s="2" t="str">
        <x:v>541968f08245a3845556</x:v>
      </x:c>
      <x:c r="C574" s="2" t="str">
        <x:v>Long An</x:v>
      </x:c>
      <x:c r="D574" s="2" t="str">
        <x:v>Huyện Đức Hòa</x:v>
      </x:c>
      <x:c r="E574" s="2" t="str">
        <x:v>land</x:v>
      </x:c>
      <x:c r="F574" s="2" t="str">
        <x:v>sale_assumed</x:v>
      </x:c>
      <x:c r="G574" s="11" t="n">
        <x:v>64</x:v>
      </x:c>
      <x:c r="H574" s="12" t="n">
        <x:v>600000000</x:v>
      </x:c>
      <x:c r="I574" s="12" t="n">
        <x:v>9375000</x:v>
      </x:c>
      <x:c r="J574" s="2" t="str">
        <x:v>total</x:v>
      </x:c>
      <x:c r="K574" s="2" t="str">
        <x:v>top_level_area</x:v>
      </x:c>
      <x:c r="L574" s="2" t="str">
        <x:v>property_type_inferred_from_title;transaction_assumed_sale_from_dataset_context</x:v>
      </x:c>
      <x:c r="M574" s="10" t="n">
        <x:v>0</x:v>
      </x:c>
      <x:c r="N574" s="10" t="n">
        <x:v>0</x:v>
      </x:c>
      <x:c r="O574" s="2" t="str">
        <x:v>Long An|land</x:v>
      </x:c>
      <x:c r="P574" s="10" t="n">
        <x:v>2</x:v>
      </x:c>
      <x:c r="Q574" s="13" t="n">
        <x:f>IF(H574="","",H574/1000000000)</x:f>
        <x:v>0.6</x:v>
      </x:c>
      <x:c r="R574" s="13" t="n">
        <x:f>IF(I574="","",I574/1000000)</x:f>
        <x:v>9.375</x:v>
      </x:c>
    </x:row>
    <x:row r="575" ht="21" customHeight="1">
      <x:c r="A575" s="10" t="n">
        <x:v>632</x:v>
      </x:c>
      <x:c r="B575" s="2" t="str">
        <x:v>68de410a0a2003db9e12</x:v>
      </x:c>
      <x:c r="C575" s="2" t="str">
        <x:v>Tp Hồ Chí Minh</x:v>
      </x:c>
      <x:c r="D575" s="2" t="str">
        <x:v>Quận Thủ Đức</x:v>
      </x:c>
      <x:c r="E575" s="2" t="str">
        <x:v>house</x:v>
      </x:c>
      <x:c r="F575" s="2" t="str">
        <x:v>sale</x:v>
      </x:c>
      <x:c r="G575" s="11" t="n">
        <x:v>16</x:v>
      </x:c>
      <x:c r="H575" s="12" t="n">
        <x:v>1390000000</x:v>
      </x:c>
      <x:c r="I575" s="12" t="n">
        <x:v>86875000</x:v>
      </x:c>
      <x:c r="J575" s="2" t="str">
        <x:v>total</x:v>
      </x:c>
      <x:c r="K575" s="2" t="str">
        <x:v>top_level_area</x:v>
      </x:c>
      <x:c r="L575" s="2" t="str">
        <x:v>property_type_inferred_from_title</x:v>
      </x:c>
      <x:c r="M575" s="10" t="n">
        <x:v>0</x:v>
      </x:c>
      <x:c r="N575" s="10" t="n">
        <x:v>0</x:v>
      </x:c>
      <x:c r="O575" s="2" t="str">
        <x:v>Tp Hồ Chí Minh|house</x:v>
      </x:c>
      <x:c r="P575" s="10" t="n">
        <x:v>2</x:v>
      </x:c>
      <x:c r="Q575" s="13" t="n">
        <x:f>IF(H575="","",H575/1000000000)</x:f>
        <x:v>1.39</x:v>
      </x:c>
      <x:c r="R575" s="13" t="n">
        <x:f>IF(I575="","",I575/1000000)</x:f>
        <x:v>86.875</x:v>
      </x:c>
    </x:row>
    <x:row r="576" ht="21" customHeight="1">
      <x:c r="A576" s="10" t="n">
        <x:v>633</x:v>
      </x:c>
      <x:c r="B576" s="2" t="str">
        <x:v>495378daa46693e910ff</x:v>
      </x:c>
      <x:c r="C576" s="2" t="str">
        <x:v>Tp Hồ Chí Minh</x:v>
      </x:c>
      <x:c r="D576" s="2" t="str">
        <x:v>Huyện Bình Chánh</x:v>
      </x:c>
      <x:c r="E576" s="2" t="str">
        <x:v>land</x:v>
      </x:c>
      <x:c r="F576" s="2" t="str">
        <x:v>sale_assumed</x:v>
      </x:c>
      <x:c r="G576" s="11" t="n">
        <x:v>546</x:v>
      </x:c>
      <x:c r="H576" s="12" t="n">
        <x:v>1100000000</x:v>
      </x:c>
      <x:c r="I576" s="12" t="n">
        <x:v>2014652.0146520147</x:v>
      </x:c>
      <x:c r="J576" s="2" t="str">
        <x:v>total</x:v>
      </x:c>
      <x:c r="K576" s="2" t="str">
        <x:v>top_level_area</x:v>
      </x:c>
      <x:c r="L576" s="2" t="str">
        <x:v>property_type_inferred_from_title;transaction_assumed_sale_from_dataset_context</x:v>
      </x:c>
      <x:c r="M576" s="10" t="n">
        <x:v>0</x:v>
      </x:c>
      <x:c r="N576" s="10" t="n">
        <x:v>0</x:v>
      </x:c>
      <x:c r="O576" s="2" t="str">
        <x:v>Tp Hồ Chí Minh|land</x:v>
      </x:c>
      <x:c r="P576" s="10" t="n">
        <x:v>1</x:v>
      </x:c>
      <x:c r="Q576" s="13" t="n">
        <x:f>IF(H576="","",H576/1000000000)</x:f>
        <x:v>1.1</x:v>
      </x:c>
      <x:c r="R576" s="13" t="n">
        <x:f>IF(I576="","",I576/1000000)</x:f>
        <x:v>2.0146520146520146</x:v>
      </x:c>
    </x:row>
    <x:row r="577" ht="21" customHeight="1">
      <x:c r="A577" s="10" t="n">
        <x:v>634</x:v>
      </x:c>
      <x:c r="B577" s="2" t="str">
        <x:v>b1a8acecc17f93e98630</x:v>
      </x:c>
      <x:c r="C577" s="2" t="str">
        <x:v>Bình Dương</x:v>
      </x:c>
      <x:c r="D577" s="2" t="str">
        <x:v>Huyện Bàu Bàng</x:v>
      </x:c>
      <x:c r="E577" s="2" t="str">
        <x:v>other_unknown</x:v>
      </x:c>
      <x:c r="F577" s="2" t="str">
        <x:v>sale</x:v>
      </x:c>
      <x:c r="G577" s="11" t="n">
        <x:v>140</x:v>
      </x:c>
      <x:c r="H577" s="12" t="n">
        <x:v>480000000</x:v>
      </x:c>
      <x:c r="I577" s="12" t="n">
        <x:v>3428571.4285714286</x:v>
      </x:c>
      <x:c r="J577" s="2" t="str">
        <x:v>total</x:v>
      </x:c>
      <x:c r="K577" s="2" t="str">
        <x:v>top_level_area</x:v>
      </x:c>
      <x:c r="L577" s="2" t="str">
        <x:v>property_type_inferred_from_title;unknown_property_type</x:v>
      </x:c>
      <x:c r="M577" s="10" t="n">
        <x:v>0</x:v>
      </x:c>
      <x:c r="N577" s="10" t="n">
        <x:v>0</x:v>
      </x:c>
      <x:c r="O577" s="2" t="str">
        <x:v>Bình Dương|other_unknown</x:v>
      </x:c>
      <x:c r="P577" s="10" t="n">
        <x:v>1</x:v>
      </x:c>
      <x:c r="Q577" s="13" t="n">
        <x:f>IF(H577="","",H577/1000000000)</x:f>
        <x:v>0.48</x:v>
      </x:c>
      <x:c r="R577" s="13" t="n">
        <x:f>IF(I577="","",I577/1000000)</x:f>
        <x:v>3.428571428571429</x:v>
      </x:c>
    </x:row>
    <x:row r="578" ht="21" customHeight="1">
      <x:c r="A578" s="10" t="n">
        <x:v>635</x:v>
      </x:c>
      <x:c r="B578" s="2" t="str">
        <x:v>1ab4a13648a9e552dfcf</x:v>
      </x:c>
      <x:c r="C578" s="2" t="str">
        <x:v>Bình Dương</x:v>
      </x:c>
      <x:c r="D578" s="2" t="str">
        <x:v>Huyện Bàu Bàng</x:v>
      </x:c>
      <x:c r="E578" s="2" t="str">
        <x:v>land</x:v>
      </x:c>
      <x:c r="F578" s="2" t="str">
        <x:v>sale</x:v>
      </x:c>
      <x:c r="G578" s="11" t="n">
        <x:v>1100</x:v>
      </x:c>
      <x:c r="H578" s="12" t="n">
        <x:v>980000000</x:v>
      </x:c>
      <x:c r="I578" s="12" t="n">
        <x:v>890909.0909090909</x:v>
      </x:c>
      <x:c r="J578" s="2" t="str">
        <x:v>total</x:v>
      </x:c>
      <x:c r="K578" s="2" t="str">
        <x:v>top_level_area</x:v>
      </x:c>
      <x:c r="L578" s="2" t="str">
        <x:v>dot_thousands_convention;property_type_inferred_from_title</x:v>
      </x:c>
      <x:c r="M578" s="10" t="n">
        <x:v>0</x:v>
      </x:c>
      <x:c r="N578" s="10" t="n">
        <x:v>0</x:v>
      </x:c>
      <x:c r="O578" s="2" t="str">
        <x:v>Bình Dương|land</x:v>
      </x:c>
      <x:c r="P578" s="10" t="n">
        <x:v>1</x:v>
      </x:c>
      <x:c r="Q578" s="13" t="n">
        <x:f>IF(H578="","",H578/1000000000)</x:f>
        <x:v>0.98</x:v>
      </x:c>
      <x:c r="R578" s="13" t="n">
        <x:f>IF(I578="","",I578/1000000)</x:f>
        <x:v>0.890909090909091</x:v>
      </x:c>
    </x:row>
    <x:row r="579" ht="21" customHeight="1">
      <x:c r="A579" s="10" t="n">
        <x:v>637</x:v>
      </x:c>
      <x:c r="B579" s="2" t="str">
        <x:v>f1d624f4f7c2baecfc69</x:v>
      </x:c>
      <x:c r="C579" s="2" t="str">
        <x:v>Tp Hồ Chí Minh</x:v>
      </x:c>
      <x:c r="D579" s="2" t="str">
        <x:v>Quận Tân Bình</x:v>
      </x:c>
      <x:c r="E579" s="2" t="str">
        <x:v>house</x:v>
      </x:c>
      <x:c r="F579" s="2" t="str">
        <x:v>sale_assumed</x:v>
      </x:c>
      <x:c r="G579" s="11" t="n">
        <x:v>45</x:v>
      </x:c>
      <x:c r="H579" s="12" t="n">
        <x:v>1850000000</x:v>
      </x:c>
      <x:c r="I579" s="12" t="n">
        <x:v>41111111.11111111</x:v>
      </x:c>
      <x:c r="J579" s="2" t="str">
        <x:v>total</x:v>
      </x:c>
      <x:c r="K579" s="2" t="str">
        <x:v>top_level_area</x:v>
      </x:c>
      <x:c r="L579" s="2" t="str">
        <x:v>property_type_inferred_from_title;transaction_assumed_sale_from_dataset_context</x:v>
      </x:c>
      <x:c r="M579" s="10" t="n">
        <x:v>0</x:v>
      </x:c>
      <x:c r="N579" s="10" t="n">
        <x:v>0</x:v>
      </x:c>
      <x:c r="O579" s="2" t="str">
        <x:v>Tp Hồ Chí Minh|house</x:v>
      </x:c>
      <x:c r="P579" s="10" t="n">
        <x:v>2</x:v>
      </x:c>
      <x:c r="Q579" s="13" t="n">
        <x:f>IF(H579="","",H579/1000000000)</x:f>
        <x:v>1.85</x:v>
      </x:c>
      <x:c r="R579" s="13" t="n">
        <x:f>IF(I579="","",I579/1000000)</x:f>
        <x:v>41.111111111111114</x:v>
      </x:c>
    </x:row>
    <x:row r="580" ht="21" customHeight="1">
      <x:c r="A580" s="10" t="n">
        <x:v>638</x:v>
      </x:c>
      <x:c r="B580" s="2" t="str">
        <x:v>c72741718a97051a5cc5</x:v>
      </x:c>
      <x:c r="C580" s="2" t="str">
        <x:v>Long An</x:v>
      </x:c>
      <x:c r="D580" s="2" t="str">
        <x:v>Huyện Đức Hòa</x:v>
      </x:c>
      <x:c r="E580" s="2" t="str">
        <x:v>land</x:v>
      </x:c>
      <x:c r="F580" s="2" t="str">
        <x:v>sale</x:v>
      </x:c>
      <x:c r="G580" s="11" t="n">
        <x:v>143</x:v>
      </x:c>
      <x:c r="H580" s="12" t="n">
        <x:v>20000000</x:v>
      </x:c>
      <x:c r="I580" s="12" t="n">
        <x:v>139860.13986013987</x:v>
      </x:c>
      <x:c r="J580" s="2" t="str">
        <x:v>total</x:v>
      </x:c>
      <x:c r="K580" s="2" t="str">
        <x:v>top_level_area</x:v>
      </x:c>
      <x:c r="L580" s="2" t="str">
        <x:v>property_type_inferred_from_title</x:v>
      </x:c>
      <x:c r="M580" s="10" t="n">
        <x:v>0</x:v>
      </x:c>
      <x:c r="N580" s="10" t="n">
        <x:v>0</x:v>
      </x:c>
      <x:c r="O580" s="2" t="str">
        <x:v>Long An|land</x:v>
      </x:c>
      <x:c r="P580" s="10" t="n">
        <x:v>1</x:v>
      </x:c>
      <x:c r="Q580" s="13" t="n">
        <x:f>IF(H580="","",H580/1000000000)</x:f>
        <x:v>0.02</x:v>
      </x:c>
      <x:c r="R580" s="13" t="n">
        <x:f>IF(I580="","",I580/1000000)</x:f>
        <x:v>0.13986013986013987</x:v>
      </x:c>
    </x:row>
    <x:row r="581" ht="21" customHeight="1">
      <x:c r="A581" s="10" t="n">
        <x:v>639</x:v>
      </x:c>
      <x:c r="B581" s="2" t="str">
        <x:v>e5be8e89875d1cabbf40</x:v>
      </x:c>
      <x:c r="C581" s="2" t="str">
        <x:v>Tp Hồ Chí Minh</x:v>
      </x:c>
      <x:c r="D581" s="2" t="str">
        <x:v>Quận Gò Vấp</x:v>
      </x:c>
      <x:c r="E581" s="2" t="str">
        <x:v>house</x:v>
      </x:c>
      <x:c r="F581" s="2" t="str">
        <x:v>sale_assumed</x:v>
      </x:c>
      <x:c r="G581" s="11" t="n">
        <x:v>55</x:v>
      </x:c>
      <x:c r="H581" s="12" t="n">
        <x:v>3350000000</x:v>
      </x:c>
      <x:c r="I581" s="12" t="n">
        <x:v>60909090.90909091</x:v>
      </x:c>
      <x:c r="J581" s="2" t="str">
        <x:v>total</x:v>
      </x:c>
      <x:c r="K581" s="2" t="str">
        <x:v>top_level_area</x:v>
      </x:c>
      <x:c r="L581" s="2" t="str">
        <x:v>property_type_inferred_from_title;transaction_assumed_sale_from_dataset_context</x:v>
      </x:c>
      <x:c r="M581" s="10" t="n">
        <x:v>0</x:v>
      </x:c>
      <x:c r="N581" s="10" t="n">
        <x:v>0</x:v>
      </x:c>
      <x:c r="O581" s="2" t="str">
        <x:v>Tp Hồ Chí Minh|house</x:v>
      </x:c>
      <x:c r="P581" s="10" t="n">
        <x:v>2</x:v>
      </x:c>
      <x:c r="Q581" s="13" t="n">
        <x:f>IF(H581="","",H581/1000000000)</x:f>
        <x:v>3.35</x:v>
      </x:c>
      <x:c r="R581" s="13" t="n">
        <x:f>IF(I581="","",I581/1000000)</x:f>
        <x:v>60.90909090909091</x:v>
      </x:c>
    </x:row>
    <x:row r="582" ht="21" customHeight="1">
      <x:c r="A582" s="10" t="n">
        <x:v>640</x:v>
      </x:c>
      <x:c r="B582" s="2" t="str">
        <x:v>ba3165e6de7630d99608</x:v>
      </x:c>
      <x:c r="C582" s="2" t="str">
        <x:v>Tp Hồ Chí Minh</x:v>
      </x:c>
      <x:c r="D582" s="2" t="str">
        <x:v>Quận Thủ Đức</x:v>
      </x:c>
      <x:c r="E582" s="2" t="str">
        <x:v>house</x:v>
      </x:c>
      <x:c r="F582" s="2" t="str">
        <x:v>sale_assumed</x:v>
      </x:c>
      <x:c r="G582" s="11" t="n">
        <x:v>70</x:v>
      </x:c>
      <x:c r="H582" s="12" t="n">
        <x:v>6730000000</x:v>
      </x:c>
      <x:c r="I582" s="12" t="n">
        <x:v>96142857.14285715</x:v>
      </x:c>
      <x:c r="J582" s="2" t="str">
        <x:v>total</x:v>
      </x:c>
      <x:c r="K582" s="2" t="str">
        <x:v>top_level_area</x:v>
      </x:c>
      <x:c r="L582" s="2" t="str">
        <x:v>property_type_inferred_from_title;transaction_assumed_sale_from_dataset_context</x:v>
      </x:c>
      <x:c r="M582" s="10" t="n">
        <x:v>0</x:v>
      </x:c>
      <x:c r="N582" s="10" t="n">
        <x:v>0</x:v>
      </x:c>
      <x:c r="O582" s="2" t="str">
        <x:v>Tp Hồ Chí Minh|house</x:v>
      </x:c>
      <x:c r="P582" s="10" t="n">
        <x:v>2</x:v>
      </x:c>
      <x:c r="Q582" s="13" t="n">
        <x:f>IF(H582="","",H582/1000000000)</x:f>
        <x:v>6.73</x:v>
      </x:c>
      <x:c r="R582" s="13" t="n">
        <x:f>IF(I582="","",I582/1000000)</x:f>
        <x:v>96.14285714285715</x:v>
      </x:c>
    </x:row>
    <x:row r="583" ht="21" customHeight="1">
      <x:c r="A583" s="10" t="n">
        <x:v>641</x:v>
      </x:c>
      <x:c r="B583" s="2" t="str">
        <x:v>2dd5d79f1685987fecaf</x:v>
      </x:c>
      <x:c r="C583" s="2" t="str">
        <x:v>Bình Dương</x:v>
      </x:c>
      <x:c r="D583" s="2" t="str">
        <x:v>Thị xã Thuận An</x:v>
      </x:c>
      <x:c r="E583" s="2" t="str">
        <x:v>land</x:v>
      </x:c>
      <x:c r="F583" s="2" t="str">
        <x:v>sale</x:v>
      </x:c>
      <x:c r="G583" s="11" t="n">
        <x:v>80</x:v>
      </x:c>
      <x:c r="H583" s="12" t="n">
        <x:v>2450000000</x:v>
      </x:c>
      <x:c r="I583" s="12" t="n">
        <x:v>30625000</x:v>
      </x:c>
      <x:c r="J583" s="2" t="str">
        <x:v>total</x:v>
      </x:c>
      <x:c r="K583" s="2" t="str">
        <x:v>top_level_area</x:v>
      </x:c>
      <x:c r="L583" s="2" t="str">
        <x:v>property_type_inferred_from_title</x:v>
      </x:c>
      <x:c r="M583" s="10" t="n">
        <x:v>0</x:v>
      </x:c>
      <x:c r="N583" s="10" t="n">
        <x:v>1</x:v>
      </x:c>
      <x:c r="O583" s="2" t="str">
        <x:v>Bình Dương|land</x:v>
      </x:c>
      <x:c r="P583" s="10" t="n">
        <x:v>-1</x:v>
      </x:c>
      <x:c r="Q583" s="13" t="n">
        <x:f>IF(H583="","",H583/1000000000)</x:f>
        <x:v>2.45</x:v>
      </x:c>
      <x:c r="R583" s="13" t="n">
        <x:f>IF(I583="","",I583/1000000)</x:f>
        <x:v>30.625</x:v>
      </x:c>
    </x:row>
    <x:row r="584" ht="21" customHeight="1">
      <x:c r="A584" s="10" t="n">
        <x:v>642</x:v>
      </x:c>
      <x:c r="B584" s="2" t="str">
        <x:v>6a255f16b4ff52663d5c</x:v>
      </x:c>
      <x:c r="C584" s="2" t="str">
        <x:v>Tp Hồ Chí Minh</x:v>
      </x:c>
      <x:c r="D584" s="2" t="str">
        <x:v>Quận Gò Vấp</x:v>
      </x:c>
      <x:c r="E584" s="2" t="str">
        <x:v>other_unknown</x:v>
      </x:c>
      <x:c r="F584" s="2" t="str">
        <x:v>sale_assumed</x:v>
      </x:c>
      <x:c r="G584" s="11" t="n">
        <x:v>60</x:v>
      </x:c>
      <x:c r="H584" s="12" t="n">
        <x:v>5500000000</x:v>
      </x:c>
      <x:c r="I584" s="12" t="n">
        <x:v>91666666.66666667</x:v>
      </x:c>
      <x:c r="J584" s="2" t="str">
        <x:v>total</x:v>
      </x:c>
      <x:c r="K584" s="2" t="str">
        <x:v>top_level_area</x:v>
      </x:c>
      <x:c r="L584" s="2" t="str">
        <x:v>property_type_inferred_from_title;transaction_assumed_sale_from_dataset_context;unknown_property_type</x:v>
      </x:c>
      <x:c r="M584" s="10" t="n">
        <x:v>0</x:v>
      </x:c>
      <x:c r="N584" s="10" t="n">
        <x:v>0</x:v>
      </x:c>
      <x:c r="O584" s="2" t="str">
        <x:v>Tp Hồ Chí Minh|other_unknown</x:v>
      </x:c>
      <x:c r="P584" s="10" t="n">
        <x:v>2</x:v>
      </x:c>
      <x:c r="Q584" s="13" t="n">
        <x:f>IF(H584="","",H584/1000000000)</x:f>
        <x:v>5.5</x:v>
      </x:c>
      <x:c r="R584" s="13" t="n">
        <x:f>IF(I584="","",I584/1000000)</x:f>
        <x:v>91.66666666666667</x:v>
      </x:c>
    </x:row>
    <x:row r="585" ht="21" customHeight="1">
      <x:c r="A585" s="10" t="n">
        <x:v>643</x:v>
      </x:c>
      <x:c r="B585" s="2" t="str">
        <x:v>f2c91f0ce5fc877fa21c</x:v>
      </x:c>
      <x:c r="C585" s="2" t="str">
        <x:v>Đồng Nai</x:v>
      </x:c>
      <x:c r="D585" s="2" t="str">
        <x:v>Huyện Trảng Bom</x:v>
      </x:c>
      <x:c r="E585" s="2" t="str">
        <x:v>land</x:v>
      </x:c>
      <x:c r="F585" s="2" t="str">
        <x:v>sale</x:v>
      </x:c>
      <x:c r="G585" s="11" t="n">
        <x:v>6166</x:v>
      </x:c>
      <x:c r="H585" s="12" t="n">
        <x:v>21000000000</x:v>
      </x:c>
      <x:c r="I585" s="12" t="n">
        <x:v>3405773.5971456375</x:v>
      </x:c>
      <x:c r="J585" s="2" t="str">
        <x:v>total</x:v>
      </x:c>
      <x:c r="K585" s="2" t="str">
        <x:v>top_level_area</x:v>
      </x:c>
      <x:c r="L585" s="2" t="str">
        <x:v>dot_thousands_convention;property_type_inferred_from_title</x:v>
      </x:c>
      <x:c r="M585" s="10" t="n">
        <x:v>0</x:v>
      </x:c>
      <x:c r="N585" s="10" t="n">
        <x:v>0</x:v>
      </x:c>
      <x:c r="O585" s="2" t="str">
        <x:v>Đồng Nai|land</x:v>
      </x:c>
      <x:c r="P585" s="10" t="n">
        <x:v>1</x:v>
      </x:c>
      <x:c r="Q585" s="13" t="n">
        <x:f>IF(H585="","",H585/1000000000)</x:f>
        <x:v>21</x:v>
      </x:c>
      <x:c r="R585" s="13" t="n">
        <x:f>IF(I585="","",I585/1000000)</x:f>
        <x:v>3.4057735971456373</x:v>
      </x:c>
    </x:row>
    <x:row r="586" ht="21" customHeight="1">
      <x:c r="A586" s="10" t="n">
        <x:v>644</x:v>
      </x:c>
      <x:c r="B586" s="2" t="str">
        <x:v>32766a37caacd02876bc</x:v>
      </x:c>
      <x:c r="C586" s="2" t="str">
        <x:v>Tp Hồ Chí Minh</x:v>
      </x:c>
      <x:c r="D586" s="2" t="str">
        <x:v>Quận Tân Bình</x:v>
      </x:c>
      <x:c r="E586" s="2" t="str">
        <x:v>house</x:v>
      </x:c>
      <x:c r="F586" s="2" t="str">
        <x:v>sale</x:v>
      </x:c>
      <x:c r="G586" s="11" t="n">
        <x:v>89</x:v>
      </x:c>
      <x:c r="H586" s="12" t="n">
        <x:v>13000000000</x:v>
      </x:c>
      <x:c r="I586" s="12" t="n">
        <x:v>146067415.73033708</x:v>
      </x:c>
      <x:c r="J586" s="2" t="str">
        <x:v>total</x:v>
      </x:c>
      <x:c r="K586" s="2" t="str">
        <x:v>top_level_area</x:v>
      </x:c>
      <x:c r="L586" s="2" t="str">
        <x:v>property_type_inferred_from_title</x:v>
      </x:c>
      <x:c r="M586" s="10" t="n">
        <x:v>0</x:v>
      </x:c>
      <x:c r="N586" s="10" t="n">
        <x:v>0</x:v>
      </x:c>
      <x:c r="O586" s="2" t="str">
        <x:v>Tp Hồ Chí Minh|house</x:v>
      </x:c>
      <x:c r="P586" s="10" t="n">
        <x:v>2</x:v>
      </x:c>
      <x:c r="Q586" s="13" t="n">
        <x:f>IF(H586="","",H586/1000000000)</x:f>
        <x:v>13</x:v>
      </x:c>
      <x:c r="R586" s="13" t="n">
        <x:f>IF(I586="","",I586/1000000)</x:f>
        <x:v>146.06741573033707</x:v>
      </x:c>
    </x:row>
    <x:row r="587" ht="21" customHeight="1">
      <x:c r="A587" s="10" t="n">
        <x:v>645</x:v>
      </x:c>
      <x:c r="B587" s="2" t="str">
        <x:v>2382bcfee6d23183f788</x:v>
      </x:c>
      <x:c r="C587" s="2" t="str">
        <x:v>Đà Nẵng</x:v>
      </x:c>
      <x:c r="D587" s="2" t="str">
        <x:v>Quận Cẩm Lệ</x:v>
      </x:c>
      <x:c r="E587" s="2" t="str">
        <x:v>house</x:v>
      </x:c>
      <x:c r="F587" s="2" t="str">
        <x:v>sale_assumed</x:v>
      </x:c>
      <x:c r="G587" s="11" t="n">
        <x:v>100</x:v>
      </x:c>
      <x:c r="H587" s="12" t="n">
        <x:v>2550000000</x:v>
      </x:c>
      <x:c r="I587" s="12" t="n">
        <x:v>25500000</x:v>
      </x:c>
      <x:c r="J587" s="2" t="str">
        <x:v>total</x:v>
      </x:c>
      <x:c r="K587" s="2" t="str">
        <x:v>top_level_area</x:v>
      </x:c>
      <x:c r="L587" s="2" t="str">
        <x:v>property_type_inferred_from_title;transaction_assumed_sale_from_dataset_context</x:v>
      </x:c>
      <x:c r="M587" s="10" t="n">
        <x:v>0</x:v>
      </x:c>
      <x:c r="N587" s="10" t="n">
        <x:v>0</x:v>
      </x:c>
      <x:c r="O587" s="2" t="str">
        <x:v>Đà Nẵng|house</x:v>
      </x:c>
      <x:c r="P587" s="10" t="n">
        <x:v>2</x:v>
      </x:c>
      <x:c r="Q587" s="13" t="n">
        <x:f>IF(H587="","",H587/1000000000)</x:f>
        <x:v>2.55</x:v>
      </x:c>
      <x:c r="R587" s="13" t="n">
        <x:f>IF(I587="","",I587/1000000)</x:f>
        <x:v>25.5</x:v>
      </x:c>
    </x:row>
    <x:row r="588" ht="21" customHeight="1">
      <x:c r="A588" s="10" t="n">
        <x:v>646</x:v>
      </x:c>
      <x:c r="B588" s="2" t="str">
        <x:v>c948711bbfc3d6d6ce48</x:v>
      </x:c>
      <x:c r="C588" s="2" t="str">
        <x:v>Cần Thơ</x:v>
      </x:c>
      <x:c r="D588" s="2" t="str">
        <x:v>Huyện Phong Điền</x:v>
      </x:c>
      <x:c r="E588" s="2" t="str">
        <x:v>land</x:v>
      </x:c>
      <x:c r="F588" s="2" t="str">
        <x:v>sale_assumed</x:v>
      </x:c>
      <x:c r="G588" s="11" t="n">
        <x:v>2080</x:v>
      </x:c>
      <x:c r="H588" s="12" t="n">
        <x:v>1800000000</x:v>
      </x:c>
      <x:c r="I588" s="12" t="n">
        <x:v>865384.6153846154</x:v>
      </x:c>
      <x:c r="J588" s="2" t="str">
        <x:v>total</x:v>
      </x:c>
      <x:c r="K588" s="2" t="str">
        <x:v>top_level_area</x:v>
      </x:c>
      <x:c r="L588" s="2" t="str">
        <x:v>dot_thousands_convention;property_type_inferred_from_title;transaction_assumed_sale_from_dataset_context</x:v>
      </x:c>
      <x:c r="M588" s="10" t="n">
        <x:v>0</x:v>
      </x:c>
      <x:c r="N588" s="10" t="n">
        <x:v>0</x:v>
      </x:c>
      <x:c r="O588" s="2" t="str">
        <x:v>Cần Thơ|land</x:v>
      </x:c>
      <x:c r="P588" s="10" t="n">
        <x:v>1</x:v>
      </x:c>
      <x:c r="Q588" s="13" t="n">
        <x:f>IF(H588="","",H588/1000000000)</x:f>
        <x:v>1.8</x:v>
      </x:c>
      <x:c r="R588" s="13" t="n">
        <x:f>IF(I588="","",I588/1000000)</x:f>
        <x:v>0.8653846153846154</x:v>
      </x:c>
    </x:row>
    <x:row r="589" ht="21" customHeight="1">
      <x:c r="A589" s="10" t="n">
        <x:v>647</x:v>
      </x:c>
      <x:c r="B589" s="2" t="str">
        <x:v>207e41d46d259c48a4b0</x:v>
      </x:c>
      <x:c r="C589" s="2" t="str">
        <x:v>Lâm Đồng</x:v>
      </x:c>
      <x:c r="D589" s="2" t="str">
        <x:v>Thành phố Bảo Lộc</x:v>
      </x:c>
      <x:c r="E589" s="2" t="str">
        <x:v>land</x:v>
      </x:c>
      <x:c r="F589" s="2" t="str">
        <x:v>sale_assumed</x:v>
      </x:c>
      <x:c r="G589" s="11" t="n">
        <x:v>2000</x:v>
      </x:c>
      <x:c r="H589" s="12" t="n">
        <x:v>1379000000</x:v>
      </x:c>
      <x:c r="I589" s="12" t="n">
        <x:v>689500</x:v>
      </x:c>
      <x:c r="J589" s="2" t="str">
        <x:v>total</x:v>
      </x:c>
      <x:c r="K589" s="2" t="str">
        <x:v>top_level_area</x:v>
      </x:c>
      <x:c r="L589" s="2" t="str">
        <x:v>dot_thousands_convention;property_type_inferred_from_title;transaction_assumed_sale_from_dataset_context</x:v>
      </x:c>
      <x:c r="M589" s="10" t="n">
        <x:v>0</x:v>
      </x:c>
      <x:c r="N589" s="10" t="n">
        <x:v>0</x:v>
      </x:c>
      <x:c r="O589" s="2" t="str">
        <x:v>Lâm Đồng|land</x:v>
      </x:c>
      <x:c r="P589" s="10" t="n">
        <x:v>1</x:v>
      </x:c>
      <x:c r="Q589" s="13" t="n">
        <x:f>IF(H589="","",H589/1000000000)</x:f>
        <x:v>1.379</x:v>
      </x:c>
      <x:c r="R589" s="13" t="n">
        <x:f>IF(I589="","",I589/1000000)</x:f>
        <x:v>0.6895</x:v>
      </x:c>
    </x:row>
    <x:row r="590" ht="21" customHeight="1">
      <x:c r="A590" s="10" t="n">
        <x:v>648</x:v>
      </x:c>
      <x:c r="B590" s="2" t="str">
        <x:v>aa543c459fa9b52f5328</x:v>
      </x:c>
      <x:c r="C590" s="2" t="str">
        <x:v>Bình Dương</x:v>
      </x:c>
      <x:c r="D590" s="2" t="str">
        <x:v>Thị xã Bến Cát</x:v>
      </x:c>
      <x:c r="E590" s="2" t="str">
        <x:v>house</x:v>
      </x:c>
      <x:c r="F590" s="2" t="str">
        <x:v>sale</x:v>
      </x:c>
      <x:c r="G590" s="11" t="n">
        <x:v>100</x:v>
      </x:c>
      <x:c r="H590" s="12" t="n">
        <x:v>1250000000</x:v>
      </x:c>
      <x:c r="I590" s="12" t="n">
        <x:v>12500000</x:v>
      </x:c>
      <x:c r="J590" s="2" t="str">
        <x:v>total</x:v>
      </x:c>
      <x:c r="K590" s="2" t="str">
        <x:v>top_level_area</x:v>
      </x:c>
      <x:c r="L590" s="2" t="str">
        <x:v>property_type_inferred_from_title</x:v>
      </x:c>
      <x:c r="M590" s="10" t="n">
        <x:v>0</x:v>
      </x:c>
      <x:c r="N590" s="10" t="n">
        <x:v>0</x:v>
      </x:c>
      <x:c r="O590" s="2" t="str">
        <x:v>Bình Dương|house</x:v>
      </x:c>
      <x:c r="P590" s="10" t="n">
        <x:v>2</x:v>
      </x:c>
      <x:c r="Q590" s="13" t="n">
        <x:f>IF(H590="","",H590/1000000000)</x:f>
        <x:v>1.25</x:v>
      </x:c>
      <x:c r="R590" s="13" t="n">
        <x:f>IF(I590="","",I590/1000000)</x:f>
        <x:v>12.5</x:v>
      </x:c>
    </x:row>
    <x:row r="591" ht="21" customHeight="1">
      <x:c r="A591" s="10" t="n">
        <x:v>649</x:v>
      </x:c>
      <x:c r="B591" s="2" t="str">
        <x:v>64228726e5839f154ba0</x:v>
      </x:c>
      <x:c r="C591" s="2" t="str">
        <x:v>Tp Hồ Chí Minh</x:v>
      </x:c>
      <x:c r="D591" s="2" t="str">
        <x:v>Quận Gò Vấp</x:v>
      </x:c>
      <x:c r="E591" s="2" t="str">
        <x:v>house</x:v>
      </x:c>
      <x:c r="F591" s="2" t="str">
        <x:v>sale</x:v>
      </x:c>
      <x:c r="G591" s="11" t="n">
        <x:v>100</x:v>
      </x:c>
      <x:c r="H591" s="12" t="n">
        <x:v>15800000000</x:v>
      </x:c>
      <x:c r="I591" s="12" t="n">
        <x:v>158000000</x:v>
      </x:c>
      <x:c r="J591" s="2" t="str">
        <x:v>total</x:v>
      </x:c>
      <x:c r="K591" s="2" t="str">
        <x:v>top_level_area</x:v>
      </x:c>
      <x:c r="L591" s="2" t="str">
        <x:v>property_type_inferred_from_title</x:v>
      </x:c>
      <x:c r="M591" s="10" t="n">
        <x:v>0</x:v>
      </x:c>
      <x:c r="N591" s="10" t="n">
        <x:v>0</x:v>
      </x:c>
      <x:c r="O591" s="2" t="str">
        <x:v>Tp Hồ Chí Minh|house</x:v>
      </x:c>
      <x:c r="P591" s="10" t="n">
        <x:v>2</x:v>
      </x:c>
      <x:c r="Q591" s="13" t="n">
        <x:f>IF(H591="","",H591/1000000000)</x:f>
        <x:v>15.8</x:v>
      </x:c>
      <x:c r="R591" s="13" t="n">
        <x:f>IF(I591="","",I591/1000000)</x:f>
        <x:v>158</x:v>
      </x:c>
    </x:row>
    <x:row r="592" ht="21" customHeight="1">
      <x:c r="A592" s="10" t="n">
        <x:v>650</x:v>
      </x:c>
      <x:c r="B592" s="2" t="str">
        <x:v>4b26dd83805885616ca9</x:v>
      </x:c>
      <x:c r="C592" s="2" t="str">
        <x:v>Tp Hồ Chí Minh</x:v>
      </x:c>
      <x:c r="D592" s="2" t="str">
        <x:v>Huyện Hóc Môn</x:v>
      </x:c>
      <x:c r="E592" s="2" t="str">
        <x:v>house</x:v>
      </x:c>
      <x:c r="F592" s="2" t="str">
        <x:v>sale_assumed</x:v>
      </x:c>
      <x:c r="G592" s="11" t="n">
        <x:v>110</x:v>
      </x:c>
      <x:c r="H592" s="12" t="n">
        <x:v>5150000000</x:v>
      </x:c>
      <x:c r="I592" s="12" t="n">
        <x:v>46818181.81818182</x:v>
      </x:c>
      <x:c r="J592" s="2" t="str">
        <x:v>total</x:v>
      </x:c>
      <x:c r="K592" s="2" t="str">
        <x:v>top_level_area</x:v>
      </x:c>
      <x:c r="L592" s="2" t="str">
        <x:v>property_type_inferred_from_title;transaction_assumed_sale_from_dataset_context</x:v>
      </x:c>
      <x:c r="M592" s="10" t="n">
        <x:v>0</x:v>
      </x:c>
      <x:c r="N592" s="10" t="n">
        <x:v>0</x:v>
      </x:c>
      <x:c r="O592" s="2" t="str">
        <x:v>Tp Hồ Chí Minh|house</x:v>
      </x:c>
      <x:c r="P592" s="10" t="n">
        <x:v>2</x:v>
      </x:c>
      <x:c r="Q592" s="13" t="n">
        <x:f>IF(H592="","",H592/1000000000)</x:f>
        <x:v>5.15</x:v>
      </x:c>
      <x:c r="R592" s="13" t="n">
        <x:f>IF(I592="","",I592/1000000)</x:f>
        <x:v>46.81818181818182</x:v>
      </x:c>
    </x:row>
    <x:row r="593" ht="21" customHeight="1">
      <x:c r="A593" s="10" t="n">
        <x:v>651</x:v>
      </x:c>
      <x:c r="B593" s="2" t="str">
        <x:v>fbbc53854b4dc1ffd865</x:v>
      </x:c>
      <x:c r="C593" s="2" t="str">
        <x:v>Tp Hồ Chí Minh</x:v>
      </x:c>
      <x:c r="D593" s="2" t="str">
        <x:v>Quận Bình Tân</x:v>
      </x:c>
      <x:c r="E593" s="2" t="str">
        <x:v>house</x:v>
      </x:c>
      <x:c r="F593" s="2" t="str">
        <x:v>sale</x:v>
      </x:c>
      <x:c r="G593" s="11" t="n">
        <x:v>56</x:v>
      </x:c>
      <x:c r="H593" s="12" t="n">
        <x:v>3400000000</x:v>
      </x:c>
      <x:c r="I593" s="12" t="n">
        <x:v>60714285.71428572</x:v>
      </x:c>
      <x:c r="J593" s="2" t="str">
        <x:v>total</x:v>
      </x:c>
      <x:c r="K593" s="2" t="str">
        <x:v>top_level_area</x:v>
      </x:c>
      <x:c r="L593" s="2" t="str">
        <x:v>property_type_inferred_from_title</x:v>
      </x:c>
      <x:c r="M593" s="10" t="n">
        <x:v>0</x:v>
      </x:c>
      <x:c r="N593" s="10" t="n">
        <x:v>0</x:v>
      </x:c>
      <x:c r="O593" s="2" t="str">
        <x:v>Tp Hồ Chí Minh|house</x:v>
      </x:c>
      <x:c r="P593" s="10" t="n">
        <x:v>2</x:v>
      </x:c>
      <x:c r="Q593" s="13" t="n">
        <x:f>IF(H593="","",H593/1000000000)</x:f>
        <x:v>3.4</x:v>
      </x:c>
      <x:c r="R593" s="13" t="n">
        <x:f>IF(I593="","",I593/1000000)</x:f>
        <x:v>60.714285714285715</x:v>
      </x:c>
    </x:row>
    <x:row r="594" ht="21" customHeight="1">
      <x:c r="A594" s="10" t="n">
        <x:v>652</x:v>
      </x:c>
      <x:c r="B594" s="2" t="str">
        <x:v>d8005c7dfe19f44093eb</x:v>
      </x:c>
      <x:c r="C594" s="2" t="str">
        <x:v>Tp Hồ Chí Minh</x:v>
      </x:c>
      <x:c r="D594" s="2" t="str">
        <x:v>Huyện Hóc Môn</x:v>
      </x:c>
      <x:c r="E594" s="2" t="str">
        <x:v>house</x:v>
      </x:c>
      <x:c r="F594" s="2" t="str">
        <x:v>sale_assumed</x:v>
      </x:c>
      <x:c r="G594" s="11" t="n">
        <x:v>180</x:v>
      </x:c>
      <x:c r="H594" s="12" t="n">
        <x:v>3980000000</x:v>
      </x:c>
      <x:c r="I594" s="12" t="n">
        <x:v>22111111.111111112</x:v>
      </x:c>
      <x:c r="J594" s="2" t="str">
        <x:v>total</x:v>
      </x:c>
      <x:c r="K594" s="2" t="str">
        <x:v>top_level_area</x:v>
      </x:c>
      <x:c r="L594" s="2" t="str">
        <x:v>property_type_inferred_from_title;transaction_assumed_sale_from_dataset_context</x:v>
      </x:c>
      <x:c r="M594" s="10" t="n">
        <x:v>0</x:v>
      </x:c>
      <x:c r="N594" s="10" t="n">
        <x:v>0</x:v>
      </x:c>
      <x:c r="O594" s="2" t="str">
        <x:v>Tp Hồ Chí Minh|house</x:v>
      </x:c>
      <x:c r="P594" s="10" t="n">
        <x:v>2</x:v>
      </x:c>
      <x:c r="Q594" s="13" t="n">
        <x:f>IF(H594="","",H594/1000000000)</x:f>
        <x:v>3.98</x:v>
      </x:c>
      <x:c r="R594" s="13" t="n">
        <x:f>IF(I594="","",I594/1000000)</x:f>
        <x:v>22.11111111111111</x:v>
      </x:c>
    </x:row>
    <x:row r="595" ht="21" customHeight="1">
      <x:c r="A595" s="10" t="n">
        <x:v>654</x:v>
      </x:c>
      <x:c r="B595" s="2" t="str">
        <x:v>46b08387e824fc28f010</x:v>
      </x:c>
      <x:c r="C595" s="2" t="str">
        <x:v>Long An</x:v>
      </x:c>
      <x:c r="D595" s="2" t="str">
        <x:v>Huyện Đức Hòa</x:v>
      </x:c>
      <x:c r="E595" s="2" t="str">
        <x:v>house</x:v>
      </x:c>
      <x:c r="F595" s="2" t="str">
        <x:v>sale</x:v>
      </x:c>
      <x:c r="G595" s="11" t="n">
        <x:v>113</x:v>
      </x:c>
      <x:c r="H595" s="12" t="n">
        <x:v>1299000000</x:v>
      </x:c>
      <x:c r="I595" s="12" t="n">
        <x:v>11495575.221238937</x:v>
      </x:c>
      <x:c r="J595" s="2" t="str">
        <x:v>total</x:v>
      </x:c>
      <x:c r="K595" s="2" t="str">
        <x:v>top_level_area</x:v>
      </x:c>
      <x:c r="L595" s="2" t="str">
        <x:v>property_type_inferred_from_title</x:v>
      </x:c>
      <x:c r="M595" s="10" t="n">
        <x:v>0</x:v>
      </x:c>
      <x:c r="N595" s="10" t="n">
        <x:v>0</x:v>
      </x:c>
      <x:c r="O595" s="2" t="str">
        <x:v>Long An|house</x:v>
      </x:c>
      <x:c r="P595" s="10" t="n">
        <x:v>2</x:v>
      </x:c>
      <x:c r="Q595" s="13" t="n">
        <x:f>IF(H595="","",H595/1000000000)</x:f>
        <x:v>1.299</x:v>
      </x:c>
      <x:c r="R595" s="13" t="n">
        <x:f>IF(I595="","",I595/1000000)</x:f>
        <x:v>11.495575221238937</x:v>
      </x:c>
    </x:row>
    <x:row r="596" ht="21" customHeight="1">
      <x:c r="A596" s="10" t="n">
        <x:v>655</x:v>
      </x:c>
      <x:c r="B596" s="2" t="str">
        <x:v>425a66a16005ae6d26de</x:v>
      </x:c>
      <x:c r="C596" s="2" t="str">
        <x:v>Lâm Đồng</x:v>
      </x:c>
      <x:c r="D596" s="2" t="str">
        <x:v>Thành phố Bảo Lộc</x:v>
      </x:c>
      <x:c r="E596" s="2" t="str">
        <x:v>land</x:v>
      </x:c>
      <x:c r="F596" s="2" t="str">
        <x:v>sale_assumed</x:v>
      </x:c>
      <x:c r="G596" s="11" t="n">
        <x:v>183</x:v>
      </x:c>
      <x:c r="H596" s="12" t="n">
        <x:v>850000000</x:v>
      </x:c>
      <x:c r="I596" s="12" t="n">
        <x:v>4644808.743169399</x:v>
      </x:c>
      <x:c r="J596" s="2" t="str">
        <x:v>total</x:v>
      </x:c>
      <x:c r="K596" s="2" t="str">
        <x:v>top_level_area</x:v>
      </x:c>
      <x:c r="L596" s="2" t="str">
        <x:v>property_type_inferred_from_title;transaction_assumed_sale_from_dataset_context</x:v>
      </x:c>
      <x:c r="M596" s="10" t="n">
        <x:v>0</x:v>
      </x:c>
      <x:c r="N596" s="10" t="n">
        <x:v>0</x:v>
      </x:c>
      <x:c r="O596" s="2" t="str">
        <x:v>Lâm Đồng|land</x:v>
      </x:c>
      <x:c r="P596" s="10" t="n">
        <x:v>1</x:v>
      </x:c>
      <x:c r="Q596" s="13" t="n">
        <x:f>IF(H596="","",H596/1000000000)</x:f>
        <x:v>0.85</x:v>
      </x:c>
      <x:c r="R596" s="13" t="n">
        <x:f>IF(I596="","",I596/1000000)</x:f>
        <x:v>4.644808743169399</x:v>
      </x:c>
    </x:row>
    <x:row r="597" ht="21" customHeight="1">
      <x:c r="A597" s="10" t="n">
        <x:v>656</x:v>
      </x:c>
      <x:c r="B597" s="2" t="str">
        <x:v>c17318598bad806db11b</x:v>
      </x:c>
      <x:c r="C597" s="2" t="str">
        <x:v>Tp Hồ Chí Minh</x:v>
      </x:c>
      <x:c r="D597" s="2" t="str">
        <x:v>Quận 9</x:v>
      </x:c>
      <x:c r="E597" s="2" t="str">
        <x:v>land</x:v>
      </x:c>
      <x:c r="F597" s="2" t="str">
        <x:v>sale</x:v>
      </x:c>
      <x:c r="G597" s="11" t="n">
        <x:v>88</x:v>
      </x:c>
      <x:c r="H597" s="12" t="n">
        <x:v>5200000000</x:v>
      </x:c>
      <x:c r="I597" s="12" t="n">
        <x:v>59090909.09090909</x:v>
      </x:c>
      <x:c r="J597" s="2" t="str">
        <x:v>total</x:v>
      </x:c>
      <x:c r="K597" s="2" t="str">
        <x:v>top_level_area</x:v>
      </x:c>
      <x:c r="L597" s="2" t="str">
        <x:v>property_type_inferred_from_title</x:v>
      </x:c>
      <x:c r="M597" s="10" t="n">
        <x:v>0</x:v>
      </x:c>
      <x:c r="N597" s="10" t="n">
        <x:v>0</x:v>
      </x:c>
      <x:c r="O597" s="2" t="str">
        <x:v>Tp Hồ Chí Minh|land</x:v>
      </x:c>
      <x:c r="P597" s="10" t="n">
        <x:v>2</x:v>
      </x:c>
      <x:c r="Q597" s="13" t="n">
        <x:f>IF(H597="","",H597/1000000000)</x:f>
        <x:v>5.2</x:v>
      </x:c>
      <x:c r="R597" s="13" t="n">
        <x:f>IF(I597="","",I597/1000000)</x:f>
        <x:v>59.09090909090909</x:v>
      </x:c>
    </x:row>
    <x:row r="598" ht="21" customHeight="1">
      <x:c r="A598" s="10" t="n">
        <x:v>657</x:v>
      </x:c>
      <x:c r="B598" s="2" t="str">
        <x:v>953da77983d723e05065</x:v>
      </x:c>
      <x:c r="C598" s="2" t="str">
        <x:v>Đồng Nai</x:v>
      </x:c>
      <x:c r="D598" s="2" t="str">
        <x:v>Thành phố Biên Hòa</x:v>
      </x:c>
      <x:c r="E598" s="2" t="str">
        <x:v>other_unknown</x:v>
      </x:c>
      <x:c r="F598" s="2" t="str">
        <x:v>sale_assumed</x:v>
      </x:c>
      <x:c r="G598" s="11" t="n">
        <x:v>63</x:v>
      </x:c>
      <x:c r="H598" s="12" t="n">
        <x:v>1370000000</x:v>
      </x:c>
      <x:c r="I598" s="12" t="n">
        <x:v>21746031.746031746</x:v>
      </x:c>
      <x:c r="J598" s="2" t="str">
        <x:v>total</x:v>
      </x:c>
      <x:c r="K598" s="2" t="str">
        <x:v>top_level_price_embedded_area</x:v>
      </x:c>
      <x:c r="L598" s="2" t="str">
        <x:v>area_recovered_from_price_text;property_type_inferred_from_title;transaction_assumed_sale_from_dataset_context;unknown_property_type</x:v>
      </x:c>
      <x:c r="M598" s="10" t="n">
        <x:v>0</x:v>
      </x:c>
      <x:c r="N598" s="10" t="n">
        <x:v>0</x:v>
      </x:c>
      <x:c r="O598" s="2" t="str">
        <x:v>Đồng Nai|other_unknown</x:v>
      </x:c>
      <x:c r="P598" s="10" t="n">
        <x:v>2</x:v>
      </x:c>
      <x:c r="Q598" s="13" t="n">
        <x:f>IF(H598="","",H598/1000000000)</x:f>
        <x:v>1.37</x:v>
      </x:c>
      <x:c r="R598" s="13" t="n">
        <x:f>IF(I598="","",I598/1000000)</x:f>
        <x:v>21.746031746031747</x:v>
      </x:c>
    </x:row>
    <x:row r="599" ht="21" customHeight="1">
      <x:c r="A599" s="10" t="n">
        <x:v>659</x:v>
      </x:c>
      <x:c r="B599" s="2" t="str">
        <x:v>8297d247fcc25ac5dc56</x:v>
      </x:c>
      <x:c r="C599" s="2" t="str">
        <x:v>Quảng Nam</x:v>
      </x:c>
      <x:c r="D599" s="2" t="str">
        <x:v>Huyện Đại Lộc</x:v>
      </x:c>
      <x:c r="E599" s="2" t="str">
        <x:v>land</x:v>
      </x:c>
      <x:c r="F599" s="2" t="str">
        <x:v>sale_assumed</x:v>
      </x:c>
      <x:c r="G599" s="11" t="n">
        <x:v>200</x:v>
      </x:c>
      <x:c r="H599" s="12" t="n">
        <x:v>570000000</x:v>
      </x:c>
      <x:c r="I599" s="12" t="n">
        <x:v>2850000</x:v>
      </x:c>
      <x:c r="J599" s="2" t="str">
        <x:v>total</x:v>
      </x:c>
      <x:c r="K599" s="2" t="str">
        <x:v>top_level_area</x:v>
      </x:c>
      <x:c r="L599" s="2" t="str">
        <x:v>property_type_inferred_from_title;transaction_assumed_sale_from_dataset_context</x:v>
      </x:c>
      <x:c r="M599" s="10" t="n">
        <x:v>0</x:v>
      </x:c>
      <x:c r="N599" s="10" t="n">
        <x:v>0</x:v>
      </x:c>
      <x:c r="O599" s="2" t="str">
        <x:v>land</x:v>
      </x:c>
      <x:c r="P599" s="10" t="n">
        <x:v>1</x:v>
      </x:c>
      <x:c r="Q599" s="13" t="n">
        <x:f>IF(H599="","",H599/1000000000)</x:f>
        <x:v>0.57</x:v>
      </x:c>
      <x:c r="R599" s="13" t="n">
        <x:f>IF(I599="","",I599/1000000)</x:f>
        <x:v>2.85</x:v>
      </x:c>
    </x:row>
    <x:row r="600" ht="21" customHeight="1">
      <x:c r="A600" s="10" t="n">
        <x:v>660</x:v>
      </x:c>
      <x:c r="B600" s="2" t="str">
        <x:v>d0dc283a7a4f3395bbfa</x:v>
      </x:c>
      <x:c r="C600" s="2" t="str">
        <x:v>Tp Hồ Chí Minh</x:v>
      </x:c>
      <x:c r="D600" s="2" t="str">
        <x:v>Quận Thủ Đức</x:v>
      </x:c>
      <x:c r="E600" s="2" t="str">
        <x:v>house</x:v>
      </x:c>
      <x:c r="F600" s="2" t="str">
        <x:v>sale</x:v>
      </x:c>
      <x:c r="G600" s="11" t="n">
        <x:v>40</x:v>
      </x:c>
      <x:c r="H600" s="12" t="n">
        <x:v>817000000</x:v>
      </x:c>
      <x:c r="I600" s="12" t="n">
        <x:v>20425000</x:v>
      </x:c>
      <x:c r="J600" s="2" t="str">
        <x:v>total</x:v>
      </x:c>
      <x:c r="K600" s="2" t="str">
        <x:v>top_level_area</x:v>
      </x:c>
      <x:c r="L600" s="2" t="str">
        <x:v>property_type_inferred_from_title</x:v>
      </x:c>
      <x:c r="M600" s="10" t="n">
        <x:v>0</x:v>
      </x:c>
      <x:c r="N600" s="10" t="n">
        <x:v>0</x:v>
      </x:c>
      <x:c r="O600" s="2" t="str">
        <x:v>Tp Hồ Chí Minh|house</x:v>
      </x:c>
      <x:c r="P600" s="10" t="n">
        <x:v>2</x:v>
      </x:c>
      <x:c r="Q600" s="13" t="n">
        <x:f>IF(H600="","",H600/1000000000)</x:f>
        <x:v>0.817</x:v>
      </x:c>
      <x:c r="R600" s="13" t="n">
        <x:f>IF(I600="","",I600/1000000)</x:f>
        <x:v>20.425</x:v>
      </x:c>
    </x:row>
    <x:row r="601" ht="21" customHeight="1">
      <x:c r="A601" s="10" t="n">
        <x:v>661</x:v>
      </x:c>
      <x:c r="B601" s="2" t="str">
        <x:v>5121fe1b02664328cd4e</x:v>
      </x:c>
      <x:c r="C601" s="2" t="str">
        <x:v>Bình Phước</x:v>
      </x:c>
      <x:c r="D601" s="2" t="str">
        <x:v>Huyện Chơn Thành</x:v>
      </x:c>
      <x:c r="E601" s="2" t="str">
        <x:v>land</x:v>
      </x:c>
      <x:c r="F601" s="2" t="str">
        <x:v>sale_assumed</x:v>
      </x:c>
      <x:c r="G601" s="11" t="n">
        <x:v>500</x:v>
      </x:c>
      <x:c r="H601" s="12" t="n">
        <x:v>830000000</x:v>
      </x:c>
      <x:c r="I601" s="12" t="n">
        <x:v>1660000</x:v>
      </x:c>
      <x:c r="J601" s="2" t="str">
        <x:v>total</x:v>
      </x:c>
      <x:c r="K601" s="2" t="str">
        <x:v>top_level_price_embedded_area</x:v>
      </x:c>
      <x:c r="L601" s="2" t="str">
        <x:v>area_recovered_from_price_text;property_type_inferred_from_title;transaction_assumed_sale_from_dataset_context</x:v>
      </x:c>
      <x:c r="M601" s="10" t="n">
        <x:v>0</x:v>
      </x:c>
      <x:c r="N601" s="10" t="n">
        <x:v>0</x:v>
      </x:c>
      <x:c r="O601" s="2" t="str">
        <x:v>Bình Phước|land</x:v>
      </x:c>
      <x:c r="P601" s="10" t="n">
        <x:v>1</x:v>
      </x:c>
      <x:c r="Q601" s="13" t="n">
        <x:f>IF(H601="","",H601/1000000000)</x:f>
        <x:v>0.83</x:v>
      </x:c>
      <x:c r="R601" s="13" t="n">
        <x:f>IF(I601="","",I601/1000000)</x:f>
        <x:v>1.66</x:v>
      </x:c>
    </x:row>
    <x:row r="602" ht="21" customHeight="1">
      <x:c r="A602" s="10" t="n">
        <x:v>662</x:v>
      </x:c>
      <x:c r="B602" s="2" t="str">
        <x:v>391ec0e921ef069ae2cf</x:v>
      </x:c>
      <x:c r="C602" s="2" t="str">
        <x:v>Hà Nội</x:v>
      </x:c>
      <x:c r="D602" s="2" t="str">
        <x:v>Quận Cầu Giấy</x:v>
      </x:c>
      <x:c r="E602" s="2" t="str">
        <x:v>house</x:v>
      </x:c>
      <x:c r="F602" s="2" t="str">
        <x:v>sale_assumed</x:v>
      </x:c>
      <x:c r="G602" s="11" t="n">
        <x:v>82</x:v>
      </x:c>
      <x:c r="H602" s="12" t="n">
        <x:v>29000000000</x:v>
      </x:c>
      <x:c r="I602" s="12" t="n">
        <x:v>353658536.58536583</x:v>
      </x:c>
      <x:c r="J602" s="2" t="str">
        <x:v>total</x:v>
      </x:c>
      <x:c r="K602" s="2" t="str">
        <x:v>top_level_price_embedded_area</x:v>
      </x:c>
      <x:c r="L602" s="2" t="str">
        <x:v>area_recovered_from_price_text;property_type_inferred_from_title;transaction_assumed_sale_from_dataset_context</x:v>
      </x:c>
      <x:c r="M602" s="10" t="n">
        <x:v>1</x:v>
      </x:c>
      <x:c r="N602" s="10" t="n">
        <x:v>1</x:v>
      </x:c>
      <x:c r="O602" s="2" t="str">
        <x:v>Hà Nội|house</x:v>
      </x:c>
      <x:c r="P602" s="10" t="n">
        <x:v>-1</x:v>
      </x:c>
      <x:c r="Q602" s="13" t="n">
        <x:f>IF(H602="","",H602/1000000000)</x:f>
        <x:v>29</x:v>
      </x:c>
      <x:c r="R602" s="13" t="n">
        <x:f>IF(I602="","",I602/1000000)</x:f>
        <x:v>353.6585365853658</x:v>
      </x:c>
    </x:row>
    <x:row r="603" ht="21" customHeight="1">
      <x:c r="A603" s="10" t="n">
        <x:v>663</x:v>
      </x:c>
      <x:c r="B603" s="2" t="str">
        <x:v>0c2a00dff8845a6583ad</x:v>
      </x:c>
      <x:c r="C603" s="2" t="str">
        <x:v>Tp Hồ Chí Minh</x:v>
      </x:c>
      <x:c r="D603" s="2" t="str">
        <x:v>Quận 12</x:v>
      </x:c>
      <x:c r="E603" s="2" t="str">
        <x:v>house</x:v>
      </x:c>
      <x:c r="F603" s="2" t="str">
        <x:v>sale</x:v>
      </x:c>
      <x:c r="G603" s="11" t="n">
        <x:v>61</x:v>
      </x:c>
      <x:c r="H603" s="12" t="n">
        <x:v>3600000000</x:v>
      </x:c>
      <x:c r="I603" s="12" t="n">
        <x:v>59016393.44262295</x:v>
      </x:c>
      <x:c r="J603" s="2" t="str">
        <x:v>total</x:v>
      </x:c>
      <x:c r="K603" s="2" t="str">
        <x:v>top_level_area</x:v>
      </x:c>
      <x:c r="L603" s="2" t="str">
        <x:v>property_type_inferred_from_title</x:v>
      </x:c>
      <x:c r="M603" s="10" t="n">
        <x:v>0</x:v>
      </x:c>
      <x:c r="N603" s="10" t="n">
        <x:v>0</x:v>
      </x:c>
      <x:c r="O603" s="2" t="str">
        <x:v>Tp Hồ Chí Minh|house</x:v>
      </x:c>
      <x:c r="P603" s="10" t="n">
        <x:v>2</x:v>
      </x:c>
      <x:c r="Q603" s="13" t="n">
        <x:f>IF(H603="","",H603/1000000000)</x:f>
        <x:v>3.6</x:v>
      </x:c>
      <x:c r="R603" s="13" t="n">
        <x:f>IF(I603="","",I603/1000000)</x:f>
        <x:v>59.01639344262295</x:v>
      </x:c>
    </x:row>
    <x:row r="604" ht="21" customHeight="1">
      <x:c r="A604" s="10" t="n">
        <x:v>664</x:v>
      </x:c>
      <x:c r="B604" s="2" t="str">
        <x:v>2a83e935a4a7712cbf63</x:v>
      </x:c>
      <x:c r="C604" s="2" t="str">
        <x:v>Tp Hồ Chí Minh</x:v>
      </x:c>
      <x:c r="D604" s="2" t="str">
        <x:v>Quận 12</x:v>
      </x:c>
      <x:c r="E604" s="2" t="str">
        <x:v>land</x:v>
      </x:c>
      <x:c r="F604" s="2" t="str">
        <x:v>sale</x:v>
      </x:c>
      <x:c r="G604" s="11" t="n">
        <x:v>51</x:v>
      </x:c>
      <x:c r="H604" s="12" t="n">
        <x:v>2250000000</x:v>
      </x:c>
      <x:c r="I604" s="12" t="n">
        <x:v>44117647.058823526</x:v>
      </x:c>
      <x:c r="J604" s="2" t="str">
        <x:v>total</x:v>
      </x:c>
      <x:c r="K604" s="2" t="str">
        <x:v>top_level_area</x:v>
      </x:c>
      <x:c r="L604" s="2" t="str">
        <x:v>property_type_inferred_from_title</x:v>
      </x:c>
      <x:c r="M604" s="10" t="n">
        <x:v>0</x:v>
      </x:c>
      <x:c r="N604" s="10" t="n">
        <x:v>0</x:v>
      </x:c>
      <x:c r="O604" s="2" t="str">
        <x:v>Tp Hồ Chí Minh|land</x:v>
      </x:c>
      <x:c r="P604" s="10" t="n">
        <x:v>2</x:v>
      </x:c>
      <x:c r="Q604" s="13" t="n">
        <x:f>IF(H604="","",H604/1000000000)</x:f>
        <x:v>2.25</x:v>
      </x:c>
      <x:c r="R604" s="13" t="n">
        <x:f>IF(I604="","",I604/1000000)</x:f>
        <x:v>44.11764705882353</x:v>
      </x:c>
    </x:row>
    <x:row r="605" ht="21" customHeight="1">
      <x:c r="A605" s="10" t="n">
        <x:v>665</x:v>
      </x:c>
      <x:c r="B605" s="2" t="str">
        <x:v>600eade31e6e2ded119e</x:v>
      </x:c>
      <x:c r="C605" s="2" t="str">
        <x:v>Tp Hồ Chí Minh</x:v>
      </x:c>
      <x:c r="D605" s="2" t="str">
        <x:v>Huyện Bình Chánh</x:v>
      </x:c>
      <x:c r="E605" s="2" t="str">
        <x:v>house</x:v>
      </x:c>
      <x:c r="F605" s="2" t="str">
        <x:v>sale_assumed</x:v>
      </x:c>
      <x:c r="G605" s="11" t="n">
        <x:v>100</x:v>
      </x:c>
      <x:c r="H605" s="12" t="n">
        <x:v>1000000000</x:v>
      </x:c>
      <x:c r="I605" s="12" t="n">
        <x:v>10000000</x:v>
      </x:c>
      <x:c r="J605" s="2" t="str">
        <x:v>total</x:v>
      </x:c>
      <x:c r="K605" s="2" t="str">
        <x:v>top_level_area</x:v>
      </x:c>
      <x:c r="L605" s="2" t="str">
        <x:v>property_type_inferred_from_title;transaction_assumed_sale_from_dataset_context</x:v>
      </x:c>
      <x:c r="M605" s="10" t="n">
        <x:v>0</x:v>
      </x:c>
      <x:c r="N605" s="10" t="n">
        <x:v>0</x:v>
      </x:c>
      <x:c r="O605" s="2" t="str">
        <x:v>Tp Hồ Chí Minh|house</x:v>
      </x:c>
      <x:c r="P605" s="10" t="n">
        <x:v>2</x:v>
      </x:c>
      <x:c r="Q605" s="13" t="n">
        <x:f>IF(H605="","",H605/1000000000)</x:f>
        <x:v>1</x:v>
      </x:c>
      <x:c r="R605" s="13" t="n">
        <x:f>IF(I605="","",I605/1000000)</x:f>
        <x:v>10</x:v>
      </x:c>
    </x:row>
    <x:row r="606" ht="21" customHeight="1">
      <x:c r="A606" s="10" t="n">
        <x:v>666</x:v>
      </x:c>
      <x:c r="B606" s="2" t="str">
        <x:v>5423a4b32c706d834777</x:v>
      </x:c>
      <x:c r="C606" s="2" t="str">
        <x:v>Tp Hồ Chí Minh</x:v>
      </x:c>
      <x:c r="D606" s="2" t="str">
        <x:v>Huyện Bình Chánh</x:v>
      </x:c>
      <x:c r="E606" s="2" t="str">
        <x:v>house</x:v>
      </x:c>
      <x:c r="F606" s="2" t="str">
        <x:v>sale</x:v>
      </x:c>
      <x:c r="G606" s="11" t="n">
        <x:v>40</x:v>
      </x:c>
      <x:c r="H606" s="12" t="n">
        <x:v>400000000</x:v>
      </x:c>
      <x:c r="I606" s="12" t="n">
        <x:v>10000000</x:v>
      </x:c>
      <x:c r="J606" s="2" t="str">
        <x:v>total</x:v>
      </x:c>
      <x:c r="K606" s="2" t="str">
        <x:v>top_level_area</x:v>
      </x:c>
      <x:c r="L606" s="2" t="str">
        <x:v>property_type_inferred_from_title</x:v>
      </x:c>
      <x:c r="M606" s="10" t="n">
        <x:v>0</x:v>
      </x:c>
      <x:c r="N606" s="10" t="n">
        <x:v>0</x:v>
      </x:c>
      <x:c r="O606" s="2" t="str">
        <x:v>Tp Hồ Chí Minh|house</x:v>
      </x:c>
      <x:c r="P606" s="10" t="n">
        <x:v>2</x:v>
      </x:c>
      <x:c r="Q606" s="13" t="n">
        <x:f>IF(H606="","",H606/1000000000)</x:f>
        <x:v>0.4</x:v>
      </x:c>
      <x:c r="R606" s="13" t="n">
        <x:f>IF(I606="","",I606/1000000)</x:f>
        <x:v>10</x:v>
      </x:c>
    </x:row>
    <x:row r="607" ht="21" customHeight="1">
      <x:c r="A607" s="10" t="n">
        <x:v>667</x:v>
      </x:c>
      <x:c r="B607" s="2" t="str">
        <x:v>2f255646325b9df7b694</x:v>
      </x:c>
      <x:c r="C607" s="2" t="str">
        <x:v>Tp Hồ Chí Minh</x:v>
      </x:c>
      <x:c r="D607" s="2" t="str">
        <x:v>Quận 12</x:v>
      </x:c>
      <x:c r="E607" s="2" t="str">
        <x:v>house</x:v>
      </x:c>
      <x:c r="F607" s="2" t="str">
        <x:v>sale_assumed</x:v>
      </x:c>
      <x:c r="G607" s="11" t="n">
        <x:v>105</x:v>
      </x:c>
      <x:c r="H607" s="12" t="n">
        <x:v>3850000000</x:v>
      </x:c>
      <x:c r="I607" s="12" t="n">
        <x:v>36666666.666666664</x:v>
      </x:c>
      <x:c r="J607" s="2" t="str">
        <x:v>total</x:v>
      </x:c>
      <x:c r="K607" s="2" t="str">
        <x:v>top_level_area</x:v>
      </x:c>
      <x:c r="L607" s="2" t="str">
        <x:v>property_type_inferred_from_title;transaction_assumed_sale_from_dataset_context</x:v>
      </x:c>
      <x:c r="M607" s="10" t="n">
        <x:v>0</x:v>
      </x:c>
      <x:c r="N607" s="10" t="n">
        <x:v>0</x:v>
      </x:c>
      <x:c r="O607" s="2" t="str">
        <x:v>Tp Hồ Chí Minh|house</x:v>
      </x:c>
      <x:c r="P607" s="10" t="n">
        <x:v>2</x:v>
      </x:c>
      <x:c r="Q607" s="13" t="n">
        <x:f>IF(H607="","",H607/1000000000)</x:f>
        <x:v>3.85</x:v>
      </x:c>
      <x:c r="R607" s="13" t="n">
        <x:f>IF(I607="","",I607/1000000)</x:f>
        <x:v>36.666666666666664</x:v>
      </x:c>
    </x:row>
    <x:row r="608" ht="21" customHeight="1">
      <x:c r="A608" s="10" t="n">
        <x:v>668</x:v>
      </x:c>
      <x:c r="B608" s="2" t="str">
        <x:v>112df5aaf35243a648bb</x:v>
      </x:c>
      <x:c r="C608" s="2" t="str">
        <x:v>Tp Hồ Chí Minh</x:v>
      </x:c>
      <x:c r="D608" s="2" t="str">
        <x:v>Quận 9</x:v>
      </x:c>
      <x:c r="E608" s="2" t="str">
        <x:v>other_unknown</x:v>
      </x:c>
      <x:c r="F608" s="2" t="str">
        <x:v>sale</x:v>
      </x:c>
      <x:c r="G608" s="11" t="n">
        <x:v>65</x:v>
      </x:c>
      <x:c r="H608" s="12" t="n">
        <x:v>911000000</x:v>
      </x:c>
      <x:c r="I608" s="12" t="n">
        <x:v>14015384.615384616</x:v>
      </x:c>
      <x:c r="J608" s="2" t="str">
        <x:v>total</x:v>
      </x:c>
      <x:c r="K608" s="2" t="str">
        <x:v>top_level_area</x:v>
      </x:c>
      <x:c r="L608" s="2" t="str">
        <x:v>property_type_inferred_from_title;unknown_property_type</x:v>
      </x:c>
      <x:c r="M608" s="10" t="n">
        <x:v>0</x:v>
      </x:c>
      <x:c r="N608" s="10" t="n">
        <x:v>0</x:v>
      </x:c>
      <x:c r="O608" s="2" t="str">
        <x:v>Tp Hồ Chí Minh|other_unknown</x:v>
      </x:c>
      <x:c r="P608" s="10" t="n">
        <x:v>2</x:v>
      </x:c>
      <x:c r="Q608" s="13" t="n">
        <x:f>IF(H608="","",H608/1000000000)</x:f>
        <x:v>0.911</x:v>
      </x:c>
      <x:c r="R608" s="13" t="n">
        <x:f>IF(I608="","",I608/1000000)</x:f>
        <x:v>14.015384615384615</x:v>
      </x:c>
    </x:row>
    <x:row r="609" ht="21" customHeight="1">
      <x:c r="A609" s="10" t="n">
        <x:v>669</x:v>
      </x:c>
      <x:c r="B609" s="2" t="str">
        <x:v>2fde3bb434fa29570ce9</x:v>
      </x:c>
      <x:c r="C609" s="2" t="str">
        <x:v>Long An</x:v>
      </x:c>
      <x:c r="D609" s="2" t="str">
        <x:v>Huyện Châu Thành</x:v>
      </x:c>
      <x:c r="E609" s="2" t="str">
        <x:v>land</x:v>
      </x:c>
      <x:c r="F609" s="2" t="str">
        <x:v>sale</x:v>
      </x:c>
      <x:c r="G609" s="11" t="n">
        <x:v>112</x:v>
      </x:c>
      <x:c r="H609" s="12" t="n">
        <x:v>420000000</x:v>
      </x:c>
      <x:c r="I609" s="12" t="n">
        <x:v>3750000</x:v>
      </x:c>
      <x:c r="J609" s="2" t="str">
        <x:v>total</x:v>
      </x:c>
      <x:c r="K609" s="2" t="str">
        <x:v>top_level_area</x:v>
      </x:c>
      <x:c r="L609" s="2" t="str">
        <x:v>property_type_inferred_from_title</x:v>
      </x:c>
      <x:c r="M609" s="10" t="n">
        <x:v>0</x:v>
      </x:c>
      <x:c r="N609" s="10" t="n">
        <x:v>0</x:v>
      </x:c>
      <x:c r="O609" s="2" t="str">
        <x:v>Long An|land</x:v>
      </x:c>
      <x:c r="P609" s="10" t="n">
        <x:v>2</x:v>
      </x:c>
      <x:c r="Q609" s="13" t="n">
        <x:f>IF(H609="","",H609/1000000000)</x:f>
        <x:v>0.42</x:v>
      </x:c>
      <x:c r="R609" s="13" t="n">
        <x:f>IF(I609="","",I609/1000000)</x:f>
        <x:v>3.75</x:v>
      </x:c>
    </x:row>
    <x:row r="610" ht="21" customHeight="1">
      <x:c r="A610" s="10" t="n">
        <x:v>670</x:v>
      </x:c>
      <x:c r="B610" s="2" t="str">
        <x:v>63f7088841c1410eb735</x:v>
      </x:c>
      <x:c r="C610" s="2" t="str">
        <x:v>Đà Nẵng</x:v>
      </x:c>
      <x:c r="D610" s="2" t="str">
        <x:v>Quận Sơn Trà</x:v>
      </x:c>
      <x:c r="E610" s="2" t="str">
        <x:v>other_unknown</x:v>
      </x:c>
      <x:c r="F610" s="2" t="str">
        <x:v>sale_assumed</x:v>
      </x:c>
      <x:c r="G610" s="11" t="n">
        <x:v>117</x:v>
      </x:c>
      <x:c r="H610" s="12" t="n">
        <x:v>8600000000</x:v>
      </x:c>
      <x:c r="I610" s="12" t="n">
        <x:v>73504273.5042735</x:v>
      </x:c>
      <x:c r="J610" s="2" t="str">
        <x:v>total</x:v>
      </x:c>
      <x:c r="K610" s="2" t="str">
        <x:v>top_level_area</x:v>
      </x:c>
      <x:c r="L610" s="2" t="str">
        <x:v>property_type_inferred_from_title;transaction_assumed_sale_from_dataset_context;unknown_property_type</x:v>
      </x:c>
      <x:c r="M610" s="10" t="n">
        <x:v>0</x:v>
      </x:c>
      <x:c r="N610" s="10" t="n">
        <x:v>0</x:v>
      </x:c>
      <x:c r="O610" s="2" t="str">
        <x:v>Đà Nẵng|other_unknown</x:v>
      </x:c>
      <x:c r="P610" s="10" t="n">
        <x:v>2</x:v>
      </x:c>
      <x:c r="Q610" s="13" t="n">
        <x:f>IF(H610="","",H610/1000000000)</x:f>
        <x:v>8.6</x:v>
      </x:c>
      <x:c r="R610" s="13" t="n">
        <x:f>IF(I610="","",I610/1000000)</x:f>
        <x:v>73.5042735042735</x:v>
      </x:c>
    </x:row>
    <x:row r="611" ht="21" customHeight="1">
      <x:c r="A611" s="10" t="n">
        <x:v>671</x:v>
      </x:c>
      <x:c r="B611" s="2" t="str">
        <x:v>91f7f31cef04f267a102</x:v>
      </x:c>
      <x:c r="C611" s="2" t="str">
        <x:v>Tp Hồ Chí Minh</x:v>
      </x:c>
      <x:c r="D611" s="2" t="str">
        <x:v>Quận 3</x:v>
      </x:c>
      <x:c r="E611" s="2" t="str">
        <x:v>house</x:v>
      </x:c>
      <x:c r="F611" s="2" t="str">
        <x:v>sale_assumed</x:v>
      </x:c>
      <x:c r="G611" s="11" t="n">
        <x:v>40</x:v>
      </x:c>
      <x:c r="H611" s="12" t="n">
        <x:v>1850000000</x:v>
      </x:c>
      <x:c r="I611" s="12" t="n">
        <x:v>46250000</x:v>
      </x:c>
      <x:c r="J611" s="2" t="str">
        <x:v>total</x:v>
      </x:c>
      <x:c r="K611" s="2" t="str">
        <x:v>top_level_area</x:v>
      </x:c>
      <x:c r="L611" s="2" t="str">
        <x:v>property_type_inferred_from_title;transaction_assumed_sale_from_dataset_context</x:v>
      </x:c>
      <x:c r="M611" s="10" t="n">
        <x:v>0</x:v>
      </x:c>
      <x:c r="N611" s="10" t="n">
        <x:v>0</x:v>
      </x:c>
      <x:c r="O611" s="2" t="str">
        <x:v>Tp Hồ Chí Minh|house</x:v>
      </x:c>
      <x:c r="P611" s="10" t="n">
        <x:v>2</x:v>
      </x:c>
      <x:c r="Q611" s="13" t="n">
        <x:f>IF(H611="","",H611/1000000000)</x:f>
        <x:v>1.85</x:v>
      </x:c>
      <x:c r="R611" s="13" t="n">
        <x:f>IF(I611="","",I611/1000000)</x:f>
        <x:v>46.25</x:v>
      </x:c>
    </x:row>
    <x:row r="612" ht="21" customHeight="1">
      <x:c r="A612" s="10" t="n">
        <x:v>672</x:v>
      </x:c>
      <x:c r="B612" s="2" t="str">
        <x:v>b6ad2d17d07314bfe21f</x:v>
      </x:c>
      <x:c r="C612" s="2" t="str">
        <x:v>Tp Hồ Chí Minh</x:v>
      </x:c>
      <x:c r="D612" s="2" t="str">
        <x:v>Quận Tân Bình</x:v>
      </x:c>
      <x:c r="E612" s="2" t="str">
        <x:v>other_unknown</x:v>
      </x:c>
      <x:c r="F612" s="2" t="str">
        <x:v>sale_assumed</x:v>
      </x:c>
      <x:c r="G612" s="11" t="n">
        <x:v>75</x:v>
      </x:c>
      <x:c r="H612" s="12" t="n">
        <x:v>6750000000</x:v>
      </x:c>
      <x:c r="I612" s="12" t="n">
        <x:v>90000000</x:v>
      </x:c>
      <x:c r="J612" s="2" t="str">
        <x:v>total</x:v>
      </x:c>
      <x:c r="K612" s="2" t="str">
        <x:v>top_level_area</x:v>
      </x:c>
      <x:c r="L612" s="2" t="str">
        <x:v>property_type_inferred_from_title;transaction_assumed_sale_from_dataset_context;unknown_property_type</x:v>
      </x:c>
      <x:c r="M612" s="10" t="n">
        <x:v>0</x:v>
      </x:c>
      <x:c r="N612" s="10" t="n">
        <x:v>0</x:v>
      </x:c>
      <x:c r="O612" s="2" t="str">
        <x:v>Tp Hồ Chí Minh|other_unknown</x:v>
      </x:c>
      <x:c r="P612" s="10" t="n">
        <x:v>2</x:v>
      </x:c>
      <x:c r="Q612" s="13" t="n">
        <x:f>IF(H612="","",H612/1000000000)</x:f>
        <x:v>6.75</x:v>
      </x:c>
      <x:c r="R612" s="13" t="n">
        <x:f>IF(I612="","",I612/1000000)</x:f>
        <x:v>90</x:v>
      </x:c>
    </x:row>
    <x:row r="613" ht="21" customHeight="1">
      <x:c r="A613" s="10" t="n">
        <x:v>673</x:v>
      </x:c>
      <x:c r="B613" s="2" t="str">
        <x:v>d0c85f604fbf79a9808f</x:v>
      </x:c>
      <x:c r="C613" s="2" t="str">
        <x:v>Tp Hồ Chí Minh</x:v>
      </x:c>
      <x:c r="D613" s="2" t="str">
        <x:v>Quận 9</x:v>
      </x:c>
      <x:c r="E613" s="2" t="str">
        <x:v>land</x:v>
      </x:c>
      <x:c r="F613" s="2" t="str">
        <x:v>sale</x:v>
      </x:c>
      <x:c r="G613" s="11" t="n">
        <x:v>60</x:v>
      </x:c>
      <x:c r="H613" s="12" t="n">
        <x:v>986000000</x:v>
      </x:c>
      <x:c r="I613" s="12" t="n">
        <x:v>16433333.333333334</x:v>
      </x:c>
      <x:c r="J613" s="2" t="str">
        <x:v>total</x:v>
      </x:c>
      <x:c r="K613" s="2" t="str">
        <x:v>top_level_area</x:v>
      </x:c>
      <x:c r="L613" s="2" t="str">
        <x:v>property_type_inferred_from_title</x:v>
      </x:c>
      <x:c r="M613" s="10" t="n">
        <x:v>0</x:v>
      </x:c>
      <x:c r="N613" s="10" t="n">
        <x:v>0</x:v>
      </x:c>
      <x:c r="O613" s="2" t="str">
        <x:v>Tp Hồ Chí Minh|land</x:v>
      </x:c>
      <x:c r="P613" s="10" t="n">
        <x:v>2</x:v>
      </x:c>
      <x:c r="Q613" s="13" t="n">
        <x:f>IF(H613="","",H613/1000000000)</x:f>
        <x:v>0.986</x:v>
      </x:c>
      <x:c r="R613" s="13" t="n">
        <x:f>IF(I613="","",I613/1000000)</x:f>
        <x:v>16.433333333333334</x:v>
      </x:c>
    </x:row>
    <x:row r="614" ht="21" customHeight="1">
      <x:c r="A614" s="10" t="n">
        <x:v>674</x:v>
      </x:c>
      <x:c r="B614" s="2" t="str">
        <x:v>a4b9a87433f2cc6bf0f6</x:v>
      </x:c>
      <x:c r="C614" s="2" t="str">
        <x:v>Tp Hồ Chí Minh</x:v>
      </x:c>
      <x:c r="D614" s="2" t="str">
        <x:v>Quận Bình Tân</x:v>
      </x:c>
      <x:c r="E614" s="2" t="str">
        <x:v>house</x:v>
      </x:c>
      <x:c r="F614" s="2" t="str">
        <x:v>sale_assumed</x:v>
      </x:c>
      <x:c r="G614" s="11" t="n">
        <x:v>135</x:v>
      </x:c>
      <x:c r="H614" s="12" t="n">
        <x:v>4500000000</x:v>
      </x:c>
      <x:c r="I614" s="12" t="n">
        <x:v>33333333.333333332</x:v>
      </x:c>
      <x:c r="J614" s="2" t="str">
        <x:v>total</x:v>
      </x:c>
      <x:c r="K614" s="2" t="str">
        <x:v>top_level_area</x:v>
      </x:c>
      <x:c r="L614" s="2" t="str">
        <x:v>property_type_inferred_from_title;transaction_assumed_sale_from_dataset_context</x:v>
      </x:c>
      <x:c r="M614" s="10" t="n">
        <x:v>0</x:v>
      </x:c>
      <x:c r="N614" s="10" t="n">
        <x:v>0</x:v>
      </x:c>
      <x:c r="O614" s="2" t="str">
        <x:v>Tp Hồ Chí Minh|house</x:v>
      </x:c>
      <x:c r="P614" s="10" t="n">
        <x:v>2</x:v>
      </x:c>
      <x:c r="Q614" s="13" t="n">
        <x:f>IF(H614="","",H614/1000000000)</x:f>
        <x:v>4.5</x:v>
      </x:c>
      <x:c r="R614" s="13" t="n">
        <x:f>IF(I614="","",I614/1000000)</x:f>
        <x:v>33.33333333333333</x:v>
      </x:c>
    </x:row>
    <x:row r="615" ht="21" customHeight="1">
      <x:c r="A615" s="10" t="n">
        <x:v>675</x:v>
      </x:c>
      <x:c r="B615" s="2" t="str">
        <x:v>113fe2808313849a9e3b</x:v>
      </x:c>
      <x:c r="C615" s="2" t="str">
        <x:v>Tp Hồ Chí Minh</x:v>
      </x:c>
      <x:c r="D615" s="2" t="str">
        <x:v>Quận Tân Phú</x:v>
      </x:c>
      <x:c r="E615" s="2" t="str">
        <x:v>land</x:v>
      </x:c>
      <x:c r="F615" s="2" t="str">
        <x:v>sale</x:v>
      </x:c>
      <x:c r="G615" s="11" t="n">
        <x:v>64</x:v>
      </x:c>
      <x:c r="H615" s="12" t="n">
        <x:v>5300000000</x:v>
      </x:c>
      <x:c r="I615" s="12" t="n">
        <x:v>82812500</x:v>
      </x:c>
      <x:c r="J615" s="2" t="str">
        <x:v>total</x:v>
      </x:c>
      <x:c r="K615" s="2" t="str">
        <x:v>top_level_area</x:v>
      </x:c>
      <x:c r="L615" s="2" t="str">
        <x:v>property_type_inferred_from_title</x:v>
      </x:c>
      <x:c r="M615" s="10" t="n">
        <x:v>0</x:v>
      </x:c>
      <x:c r="N615" s="10" t="n">
        <x:v>0</x:v>
      </x:c>
      <x:c r="O615" s="2" t="str">
        <x:v>Tp Hồ Chí Minh|land</x:v>
      </x:c>
      <x:c r="P615" s="10" t="n">
        <x:v>2</x:v>
      </x:c>
      <x:c r="Q615" s="13" t="n">
        <x:f>IF(H615="","",H615/1000000000)</x:f>
        <x:v>5.3</x:v>
      </x:c>
      <x:c r="R615" s="13" t="n">
        <x:f>IF(I615="","",I615/1000000)</x:f>
        <x:v>82.8125</x:v>
      </x:c>
    </x:row>
    <x:row r="616" ht="21" customHeight="1">
      <x:c r="A616" s="10" t="n">
        <x:v>676</x:v>
      </x:c>
      <x:c r="B616" s="2" t="str">
        <x:v>c97e1d271ecb5b314d57</x:v>
      </x:c>
      <x:c r="C616" s="2" t="str">
        <x:v>Hà Nội</x:v>
      </x:c>
      <x:c r="D616" s="2" t="str">
        <x:v>Quận Hà Đông</x:v>
      </x:c>
      <x:c r="E616" s="2" t="str">
        <x:v>land</x:v>
      </x:c>
      <x:c r="F616" s="2" t="str">
        <x:v>sale_assumed</x:v>
      </x:c>
      <x:c r="G616" s="11" t="n">
        <x:v>50</x:v>
      </x:c>
      <x:c r="H616" s="12" t="n">
        <x:v>4200000000</x:v>
      </x:c>
      <x:c r="I616" s="12" t="n">
        <x:v>84000000</x:v>
      </x:c>
      <x:c r="J616" s="2" t="str">
        <x:v>total</x:v>
      </x:c>
      <x:c r="K616" s="2" t="str">
        <x:v>top_level_area</x:v>
      </x:c>
      <x:c r="L616" s="2" t="str">
        <x:v>property_type_inferred_from_title;transaction_assumed_sale_from_dataset_context</x:v>
      </x:c>
      <x:c r="M616" s="10" t="n">
        <x:v>0</x:v>
      </x:c>
      <x:c r="N616" s="10" t="n">
        <x:v>0</x:v>
      </x:c>
      <x:c r="O616" s="2" t="str">
        <x:v>Hà Nội|land</x:v>
      </x:c>
      <x:c r="P616" s="10" t="n">
        <x:v>2</x:v>
      </x:c>
      <x:c r="Q616" s="13" t="n">
        <x:f>IF(H616="","",H616/1000000000)</x:f>
        <x:v>4.2</x:v>
      </x:c>
      <x:c r="R616" s="13" t="n">
        <x:f>IF(I616="","",I616/1000000)</x:f>
        <x:v>84</x:v>
      </x:c>
    </x:row>
    <x:row r="617" ht="21" customHeight="1">
      <x:c r="A617" s="10" t="n">
        <x:v>677</x:v>
      </x:c>
      <x:c r="B617" s="2" t="str">
        <x:v>c686a5e0905f9cc23258</x:v>
      </x:c>
      <x:c r="C617" s="2" t="str">
        <x:v>Hà Nội</x:v>
      </x:c>
      <x:c r="D617" s="2" t="str">
        <x:v>Quận Long Biên</x:v>
      </x:c>
      <x:c r="E617" s="2" t="str">
        <x:v>house</x:v>
      </x:c>
      <x:c r="F617" s="2" t="str">
        <x:v>sale_assumed</x:v>
      </x:c>
      <x:c r="G617" s="11" t="n">
        <x:v>100</x:v>
      </x:c>
      <x:c r="H617" s="12" t="n">
        <x:v>8300000000.000001</x:v>
      </x:c>
      <x:c r="I617" s="12" t="n">
        <x:v>83000000.00000001</x:v>
      </x:c>
      <x:c r="J617" s="2" t="str">
        <x:v>total</x:v>
      </x:c>
      <x:c r="K617" s="2" t="str">
        <x:v>top_level_area</x:v>
      </x:c>
      <x:c r="L617" s="2" t="str">
        <x:v>property_type_inferred_from_title;transaction_assumed_sale_from_dataset_context</x:v>
      </x:c>
      <x:c r="M617" s="10" t="n">
        <x:v>0</x:v>
      </x:c>
      <x:c r="N617" s="10" t="n">
        <x:v>0</x:v>
      </x:c>
      <x:c r="O617" s="2" t="str">
        <x:v>Hà Nội|house</x:v>
      </x:c>
      <x:c r="P617" s="10" t="n">
        <x:v>2</x:v>
      </x:c>
      <x:c r="Q617" s="13" t="n">
        <x:f>IF(H617="","",H617/1000000000)</x:f>
        <x:v>8.3</x:v>
      </x:c>
      <x:c r="R617" s="13" t="n">
        <x:f>IF(I617="","",I617/1000000)</x:f>
        <x:v>83.00000000000001</x:v>
      </x:c>
    </x:row>
    <x:row r="618" ht="21" customHeight="1">
      <x:c r="A618" s="10" t="n">
        <x:v>678</x:v>
      </x:c>
      <x:c r="B618" s="2" t="str">
        <x:v>a47dae98c9d86bf3ab5a</x:v>
      </x:c>
      <x:c r="C618" s="2" t="str">
        <x:v>Tp Hồ Chí Minh</x:v>
      </x:c>
      <x:c r="D618" s="2" t="str">
        <x:v>Quận Thủ Đức</x:v>
      </x:c>
      <x:c r="E618" s="2" t="str">
        <x:v>land</x:v>
      </x:c>
      <x:c r="F618" s="2" t="str">
        <x:v>sale_assumed</x:v>
      </x:c>
      <x:c r="G618" s="11" t="n">
        <x:v>52</x:v>
      </x:c>
      <x:c r="H618" s="12" t="n">
        <x:v>617000000</x:v>
      </x:c>
      <x:c r="I618" s="12" t="n">
        <x:v>11865384.615384616</x:v>
      </x:c>
      <x:c r="J618" s="2" t="str">
        <x:v>total</x:v>
      </x:c>
      <x:c r="K618" s="2" t="str">
        <x:v>top_level_area</x:v>
      </x:c>
      <x:c r="L618" s="2" t="str">
        <x:v>property_type_inferred_from_title;transaction_assumed_sale_from_dataset_context</x:v>
      </x:c>
      <x:c r="M618" s="10" t="n">
        <x:v>0</x:v>
      </x:c>
      <x:c r="N618" s="10" t="n">
        <x:v>0</x:v>
      </x:c>
      <x:c r="O618" s="2" t="str">
        <x:v>Tp Hồ Chí Minh|land</x:v>
      </x:c>
      <x:c r="P618" s="10" t="n">
        <x:v>2</x:v>
      </x:c>
      <x:c r="Q618" s="13" t="n">
        <x:f>IF(H618="","",H618/1000000000)</x:f>
        <x:v>0.617</x:v>
      </x:c>
      <x:c r="R618" s="13" t="n">
        <x:f>IF(I618="","",I618/1000000)</x:f>
        <x:v>11.865384615384617</x:v>
      </x:c>
    </x:row>
    <x:row r="619" ht="21" customHeight="1">
      <x:c r="A619" s="10" t="n">
        <x:v>679</x:v>
      </x:c>
      <x:c r="B619" s="2" t="str">
        <x:v>b81fcbe4a1b112eb5edd</x:v>
      </x:c>
      <x:c r="C619" s="2" t="str">
        <x:v>Tp Hồ Chí Minh</x:v>
      </x:c>
      <x:c r="D619" s="2" t="str">
        <x:v>Quận Bình Tân</x:v>
      </x:c>
      <x:c r="E619" s="2" t="str">
        <x:v>house</x:v>
      </x:c>
      <x:c r="F619" s="2" t="str">
        <x:v>sale</x:v>
      </x:c>
      <x:c r="G619" s="11" t="n">
        <x:v>56</x:v>
      </x:c>
      <x:c r="H619" s="12" t="n">
        <x:v>4200000000</x:v>
      </x:c>
      <x:c r="I619" s="12" t="n">
        <x:v>75000000</x:v>
      </x:c>
      <x:c r="J619" s="2" t="str">
        <x:v>total</x:v>
      </x:c>
      <x:c r="K619" s="2" t="str">
        <x:v>top_level_area</x:v>
      </x:c>
      <x:c r="L619" s="2" t="str">
        <x:v>property_type_inferred_from_title</x:v>
      </x:c>
      <x:c r="M619" s="10" t="n">
        <x:v>0</x:v>
      </x:c>
      <x:c r="N619" s="10" t="n">
        <x:v>0</x:v>
      </x:c>
      <x:c r="O619" s="2" t="str">
        <x:v>Tp Hồ Chí Minh|house</x:v>
      </x:c>
      <x:c r="P619" s="10" t="n">
        <x:v>2</x:v>
      </x:c>
      <x:c r="Q619" s="13" t="n">
        <x:f>IF(H619="","",H619/1000000000)</x:f>
        <x:v>4.2</x:v>
      </x:c>
      <x:c r="R619" s="13" t="n">
        <x:f>IF(I619="","",I619/1000000)</x:f>
        <x:v>75</x:v>
      </x:c>
    </x:row>
    <x:row r="620" ht="21" customHeight="1">
      <x:c r="A620" s="10" t="n">
        <x:v>683</x:v>
      </x:c>
      <x:c r="B620" s="2" t="str">
        <x:v>ab4943b26e54857d1261</x:v>
      </x:c>
      <x:c r="C620" s="2" t="str">
        <x:v>Bình Dương</x:v>
      </x:c>
      <x:c r="D620" s="2" t="str">
        <x:v>Thị xã Bến Cát</x:v>
      </x:c>
      <x:c r="E620" s="2" t="str">
        <x:v>other_unknown</x:v>
      </x:c>
      <x:c r="F620" s="2" t="str">
        <x:v>sale</x:v>
      </x:c>
      <x:c r="G620" s="11" t="n">
        <x:v>200</x:v>
      </x:c>
      <x:c r="H620" s="12" t="n">
        <x:v>670000000</x:v>
      </x:c>
      <x:c r="I620" s="12" t="n">
        <x:v>3350000</x:v>
      </x:c>
      <x:c r="J620" s="2" t="str">
        <x:v>total</x:v>
      </x:c>
      <x:c r="K620" s="2" t="str">
        <x:v>top_level_area</x:v>
      </x:c>
      <x:c r="L620" s="2" t="str">
        <x:v>property_type_inferred_from_title;unknown_property_type</x:v>
      </x:c>
      <x:c r="M620" s="10" t="n">
        <x:v>0</x:v>
      </x:c>
      <x:c r="N620" s="10" t="n">
        <x:v>0</x:v>
      </x:c>
      <x:c r="O620" s="2" t="str">
        <x:v>Bình Dương|other_unknown</x:v>
      </x:c>
      <x:c r="P620" s="10" t="n">
        <x:v>1</x:v>
      </x:c>
      <x:c r="Q620" s="13" t="n">
        <x:f>IF(H620="","",H620/1000000000)</x:f>
        <x:v>0.67</x:v>
      </x:c>
      <x:c r="R620" s="13" t="n">
        <x:f>IF(I620="","",I620/1000000)</x:f>
        <x:v>3.35</x:v>
      </x:c>
    </x:row>
    <x:row r="621" ht="21" customHeight="1">
      <x:c r="A621" s="10" t="n">
        <x:v>684</x:v>
      </x:c>
      <x:c r="B621" s="2" t="str">
        <x:v>9f27d1ab64ce41276315</x:v>
      </x:c>
      <x:c r="C621" s="2" t="str">
        <x:v>Tp Hồ Chí Minh</x:v>
      </x:c>
      <x:c r="D621" s="2" t="str">
        <x:v>Quận 12</x:v>
      </x:c>
      <x:c r="E621" s="2" t="str">
        <x:v>house</x:v>
      </x:c>
      <x:c r="F621" s="2" t="str">
        <x:v>sale_assumed</x:v>
      </x:c>
      <x:c r="G621" s="11" t="n">
        <x:v>100</x:v>
      </x:c>
      <x:c r="H621" s="12" t="n">
        <x:v>5700000000</x:v>
      </x:c>
      <x:c r="I621" s="12" t="n">
        <x:v>57000000</x:v>
      </x:c>
      <x:c r="J621" s="2" t="str">
        <x:v>total</x:v>
      </x:c>
      <x:c r="K621" s="2" t="str">
        <x:v>top_level_area</x:v>
      </x:c>
      <x:c r="L621" s="2" t="str">
        <x:v>property_type_inferred_from_title;transaction_assumed_sale_from_dataset_context</x:v>
      </x:c>
      <x:c r="M621" s="10" t="n">
        <x:v>0</x:v>
      </x:c>
      <x:c r="N621" s="10" t="n">
        <x:v>0</x:v>
      </x:c>
      <x:c r="O621" s="2" t="str">
        <x:v>Tp Hồ Chí Minh|house</x:v>
      </x:c>
      <x:c r="P621" s="10" t="n">
        <x:v>2</x:v>
      </x:c>
      <x:c r="Q621" s="13" t="n">
        <x:f>IF(H621="","",H621/1000000000)</x:f>
        <x:v>5.7</x:v>
      </x:c>
      <x:c r="R621" s="13" t="n">
        <x:f>IF(I621="","",I621/1000000)</x:f>
        <x:v>57</x:v>
      </x:c>
    </x:row>
    <x:row r="622" ht="21" customHeight="1">
      <x:c r="A622" s="10" t="n">
        <x:v>685</x:v>
      </x:c>
      <x:c r="B622" s="2" t="str">
        <x:v>3b6426de679a32d14f12</x:v>
      </x:c>
      <x:c r="C622" s="2" t="str">
        <x:v>Tp Hồ Chí Minh</x:v>
      </x:c>
      <x:c r="D622" s="2" t="str">
        <x:v>Quận Gò Vấp</x:v>
      </x:c>
      <x:c r="E622" s="2" t="str">
        <x:v>house</x:v>
      </x:c>
      <x:c r="F622" s="2" t="str">
        <x:v>sale_assumed</x:v>
      </x:c>
      <x:c r="G622" s="11" t="n">
        <x:v>37</x:v>
      </x:c>
      <x:c r="H622" s="12" t="n">
        <x:v>3490000000</x:v>
      </x:c>
      <x:c r="I622" s="12" t="n">
        <x:v>94324324.32432432</x:v>
      </x:c>
      <x:c r="J622" s="2" t="str">
        <x:v>total</x:v>
      </x:c>
      <x:c r="K622" s="2" t="str">
        <x:v>top_level_area</x:v>
      </x:c>
      <x:c r="L622" s="2" t="str">
        <x:v>property_type_inferred_from_title;transaction_assumed_sale_from_dataset_context</x:v>
      </x:c>
      <x:c r="M622" s="10" t="n">
        <x:v>0</x:v>
      </x:c>
      <x:c r="N622" s="10" t="n">
        <x:v>0</x:v>
      </x:c>
      <x:c r="O622" s="2" t="str">
        <x:v>Tp Hồ Chí Minh|house</x:v>
      </x:c>
      <x:c r="P622" s="10" t="n">
        <x:v>2</x:v>
      </x:c>
      <x:c r="Q622" s="13" t="n">
        <x:f>IF(H622="","",H622/1000000000)</x:f>
        <x:v>3.49</x:v>
      </x:c>
      <x:c r="R622" s="13" t="n">
        <x:f>IF(I622="","",I622/1000000)</x:f>
        <x:v>94.32432432432432</x:v>
      </x:c>
    </x:row>
    <x:row r="623" ht="21" customHeight="1">
      <x:c r="A623" s="10" t="n">
        <x:v>686</x:v>
      </x:c>
      <x:c r="B623" s="2" t="str">
        <x:v>b5e0e2c17d8aa8ebbe55</x:v>
      </x:c>
      <x:c r="C623" s="2" t="str">
        <x:v>Hà Nội</x:v>
      </x:c>
      <x:c r="D623" s="2" t="str">
        <x:v>Quận Nam Từ Liêm</x:v>
      </x:c>
      <x:c r="E623" s="2" t="str">
        <x:v>house</x:v>
      </x:c>
      <x:c r="F623" s="2" t="str">
        <x:v>sale</x:v>
      </x:c>
      <x:c r="G623" s="11" t="n">
        <x:v>40</x:v>
      </x:c>
      <x:c r="H623" s="12" t="n">
        <x:v>3800000000</x:v>
      </x:c>
      <x:c r="I623" s="12" t="n">
        <x:v>95000000</x:v>
      </x:c>
      <x:c r="J623" s="2" t="str">
        <x:v>total</x:v>
      </x:c>
      <x:c r="K623" s="2" t="str">
        <x:v>top_level_area</x:v>
      </x:c>
      <x:c r="L623" s="2" t="str">
        <x:v>property_type_inferred_from_title</x:v>
      </x:c>
      <x:c r="M623" s="10" t="n">
        <x:v>0</x:v>
      </x:c>
      <x:c r="N623" s="10" t="n">
        <x:v>0</x:v>
      </x:c>
      <x:c r="O623" s="2" t="str">
        <x:v>Hà Nội|house</x:v>
      </x:c>
      <x:c r="P623" s="10" t="n">
        <x:v>2</x:v>
      </x:c>
      <x:c r="Q623" s="13" t="n">
        <x:f>IF(H623="","",H623/1000000000)</x:f>
        <x:v>3.8</x:v>
      </x:c>
      <x:c r="R623" s="13" t="n">
        <x:f>IF(I623="","",I623/1000000)</x:f>
        <x:v>95</x:v>
      </x:c>
    </x:row>
    <x:row r="624" ht="21" customHeight="1">
      <x:c r="A624" s="10" t="n">
        <x:v>687</x:v>
      </x:c>
      <x:c r="B624" s="2" t="str">
        <x:v>ff3a4d156f8ccbc029a4</x:v>
      </x:c>
      <x:c r="C624" s="2" t="str">
        <x:v>Long An</x:v>
      </x:c>
      <x:c r="D624" s="2" t="str">
        <x:v>Huyện Đức Hòa</x:v>
      </x:c>
      <x:c r="E624" s="2" t="str">
        <x:v>other_unknown</x:v>
      </x:c>
      <x:c r="F624" s="2" t="str">
        <x:v>sale</x:v>
      </x:c>
      <x:c r="G624" s="11" t="n">
        <x:v>140</x:v>
      </x:c>
      <x:c r="H624" s="12" t="n">
        <x:v>890000000</x:v>
      </x:c>
      <x:c r="I624" s="12" t="n">
        <x:v>6357142.857142857</x:v>
      </x:c>
      <x:c r="J624" s="2" t="str">
        <x:v>total</x:v>
      </x:c>
      <x:c r="K624" s="2" t="str">
        <x:v>top_level_area</x:v>
      </x:c>
      <x:c r="L624" s="2" t="str">
        <x:v>property_type_inferred_from_title;unknown_property_type</x:v>
      </x:c>
      <x:c r="M624" s="10" t="n">
        <x:v>0</x:v>
      </x:c>
      <x:c r="N624" s="10" t="n">
        <x:v>0</x:v>
      </x:c>
      <x:c r="O624" s="2" t="str">
        <x:v>Long An|other_unknown</x:v>
      </x:c>
      <x:c r="P624" s="10" t="n">
        <x:v>2</x:v>
      </x:c>
      <x:c r="Q624" s="13" t="n">
        <x:f>IF(H624="","",H624/1000000000)</x:f>
        <x:v>0.89</x:v>
      </x:c>
      <x:c r="R624" s="13" t="n">
        <x:f>IF(I624="","",I624/1000000)</x:f>
        <x:v>6.357142857142858</x:v>
      </x:c>
    </x:row>
    <x:row r="625" ht="21" customHeight="1">
      <x:c r="A625" s="10" t="n">
        <x:v>688</x:v>
      </x:c>
      <x:c r="B625" s="2" t="str">
        <x:v>e0369afd13fd0acb1162</x:v>
      </x:c>
      <x:c r="C625" s="2" t="str">
        <x:v>Đồng Nai</x:v>
      </x:c>
      <x:c r="D625" s="2" t="str">
        <x:v>Huyện Trảng Bom</x:v>
      </x:c>
      <x:c r="E625" s="2" t="str">
        <x:v>other_unknown</x:v>
      </x:c>
      <x:c r="F625" s="2" t="str">
        <x:v>sale_assumed</x:v>
      </x:c>
      <x:c r="G625" s="11" t="n">
        <x:v>85</x:v>
      </x:c>
      <x:c r="H625" s="12" t="n">
        <x:v>650000000</x:v>
      </x:c>
      <x:c r="I625" s="12" t="n">
        <x:v>7647058.823529412</x:v>
      </x:c>
      <x:c r="J625" s="2" t="str">
        <x:v>total</x:v>
      </x:c>
      <x:c r="K625" s="2" t="str">
        <x:v>top_level_area</x:v>
      </x:c>
      <x:c r="L625" s="2" t="str">
        <x:v>property_type_inferred_from_title;transaction_assumed_sale_from_dataset_context;unknown_property_type</x:v>
      </x:c>
      <x:c r="M625" s="10" t="n">
        <x:v>0</x:v>
      </x:c>
      <x:c r="N625" s="10" t="n">
        <x:v>0</x:v>
      </x:c>
      <x:c r="O625" s="2" t="str">
        <x:v>Đồng Nai|other_unknown</x:v>
      </x:c>
      <x:c r="P625" s="10" t="n">
        <x:v>2</x:v>
      </x:c>
      <x:c r="Q625" s="13" t="n">
        <x:f>IF(H625="","",H625/1000000000)</x:f>
        <x:v>0.65</x:v>
      </x:c>
      <x:c r="R625" s="13" t="n">
        <x:f>IF(I625="","",I625/1000000)</x:f>
        <x:v>7.647058823529412</x:v>
      </x:c>
    </x:row>
    <x:row r="626" ht="21" customHeight="1">
      <x:c r="A626" s="10" t="n">
        <x:v>689</x:v>
      </x:c>
      <x:c r="B626" s="2" t="str">
        <x:v>003efeddb6376d0956ff</x:v>
      </x:c>
      <x:c r="C626" s="2" t="str">
        <x:v>Sóc Trăng</x:v>
      </x:c>
      <x:c r="D626" s="2" t="str">
        <x:v>Thành phố Sóc Trăng</x:v>
      </x:c>
      <x:c r="E626" s="2" t="str">
        <x:v>house</x:v>
      </x:c>
      <x:c r="F626" s="2" t="str">
        <x:v>sale_assumed</x:v>
      </x:c>
      <x:c r="G626" s="11" t="n">
        <x:v>110</x:v>
      </x:c>
      <x:c r="H626" s="12" t="n">
        <x:v>1250000000</x:v>
      </x:c>
      <x:c r="I626" s="12" t="n">
        <x:v>11363636.363636363</x:v>
      </x:c>
      <x:c r="J626" s="2" t="str">
        <x:v>total</x:v>
      </x:c>
      <x:c r="K626" s="2" t="str">
        <x:v>top_level_area</x:v>
      </x:c>
      <x:c r="L626" s="2" t="str">
        <x:v>property_type_inferred_from_title;transaction_assumed_sale_from_dataset_context</x:v>
      </x:c>
      <x:c r="M626" s="10" t="n">
        <x:v>0</x:v>
      </x:c>
      <x:c r="N626" s="10" t="n">
        <x:v>0</x:v>
      </x:c>
      <x:c r="O626" s="2" t="str">
        <x:v>house</x:v>
      </x:c>
      <x:c r="P626" s="10" t="n">
        <x:v>2</x:v>
      </x:c>
      <x:c r="Q626" s="13" t="n">
        <x:f>IF(H626="","",H626/1000000000)</x:f>
        <x:v>1.25</x:v>
      </x:c>
      <x:c r="R626" s="13" t="n">
        <x:f>IF(I626="","",I626/1000000)</x:f>
        <x:v>11.363636363636363</x:v>
      </x:c>
    </x:row>
    <x:row r="627" ht="21" customHeight="1">
      <x:c r="A627" s="10" t="n">
        <x:v>690</x:v>
      </x:c>
      <x:c r="B627" s="2" t="str">
        <x:v>8c60ea1097e71679255e</x:v>
      </x:c>
      <x:c r="C627" s="2" t="str">
        <x:v>Cần Thơ</x:v>
      </x:c>
      <x:c r="D627" s="2" t="str">
        <x:v>Quận Cái Răng</x:v>
      </x:c>
      <x:c r="E627" s="2" t="str">
        <x:v>land</x:v>
      </x:c>
      <x:c r="F627" s="2" t="str">
        <x:v>sale</x:v>
      </x:c>
      <x:c r="G627" s="11" t="n">
        <x:v>115</x:v>
      </x:c>
      <x:c r="H627" s="12" t="n">
        <x:v>1250000000</x:v>
      </x:c>
      <x:c r="I627" s="12" t="n">
        <x:v>10869565.217391305</x:v>
      </x:c>
      <x:c r="J627" s="2" t="str">
        <x:v>total</x:v>
      </x:c>
      <x:c r="K627" s="2" t="str">
        <x:v>top_level_area</x:v>
      </x:c>
      <x:c r="L627" s="2" t="str">
        <x:v>property_type_inferred_from_title</x:v>
      </x:c>
      <x:c r="M627" s="10" t="n">
        <x:v>0</x:v>
      </x:c>
      <x:c r="N627" s="10" t="n">
        <x:v>0</x:v>
      </x:c>
      <x:c r="O627" s="2" t="str">
        <x:v>Cần Thơ|land</x:v>
      </x:c>
      <x:c r="P627" s="10" t="n">
        <x:v>2</x:v>
      </x:c>
      <x:c r="Q627" s="13" t="n">
        <x:f>IF(H627="","",H627/1000000000)</x:f>
        <x:v>1.25</x:v>
      </x:c>
      <x:c r="R627" s="13" t="n">
        <x:f>IF(I627="","",I627/1000000)</x:f>
        <x:v>10.869565217391305</x:v>
      </x:c>
    </x:row>
    <x:row r="628" ht="21" customHeight="1">
      <x:c r="A628" s="10" t="n">
        <x:v>691</x:v>
      </x:c>
      <x:c r="B628" s="2" t="str">
        <x:v>2e03d0a5df40177ddd8b</x:v>
      </x:c>
      <x:c r="C628" s="2" t="str">
        <x:v>Tp Hồ Chí Minh</x:v>
      </x:c>
      <x:c r="D628" s="2" t="str">
        <x:v>Quận 9</x:v>
      </x:c>
      <x:c r="E628" s="2" t="str">
        <x:v>apartment</x:v>
      </x:c>
      <x:c r="F628" s="2" t="str">
        <x:v>sale_assumed</x:v>
      </x:c>
      <x:c r="G628" s="11" t="n">
        <x:v>54</x:v>
      </x:c>
      <x:c r="H628" s="12" t="n">
        <x:v>1800000000</x:v>
      </x:c>
      <x:c r="I628" s="12" t="n">
        <x:v>33333333.333333332</x:v>
      </x:c>
      <x:c r="J628" s="2" t="str">
        <x:v>total</x:v>
      </x:c>
      <x:c r="K628" s="2" t="str">
        <x:v>top_level_area</x:v>
      </x:c>
      <x:c r="L628" s="2" t="str">
        <x:v>property_type_inferred_from_title;transaction_assumed_sale_from_dataset_context</x:v>
      </x:c>
      <x:c r="M628" s="10" t="n">
        <x:v>0</x:v>
      </x:c>
      <x:c r="N628" s="10" t="n">
        <x:v>0</x:v>
      </x:c>
      <x:c r="O628" s="2" t="str">
        <x:v>Tp Hồ Chí Minh|apartment</x:v>
      </x:c>
      <x:c r="P628" s="10" t="n">
        <x:v>2</x:v>
      </x:c>
      <x:c r="Q628" s="13" t="n">
        <x:f>IF(H628="","",H628/1000000000)</x:f>
        <x:v>1.8</x:v>
      </x:c>
      <x:c r="R628" s="13" t="n">
        <x:f>IF(I628="","",I628/1000000)</x:f>
        <x:v>33.33333333333333</x:v>
      </x:c>
    </x:row>
    <x:row r="629" ht="21" customHeight="1">
      <x:c r="A629" s="10" t="n">
        <x:v>692</x:v>
      </x:c>
      <x:c r="B629" s="2" t="str">
        <x:v>faacbca67961a0cf49a9</x:v>
      </x:c>
      <x:c r="C629" s="2" t="str">
        <x:v>Tp Hồ Chí Minh</x:v>
      </x:c>
      <x:c r="D629" s="2" t="str">
        <x:v>Quận Bình Tân</x:v>
      </x:c>
      <x:c r="E629" s="2" t="str">
        <x:v>other_unknown</x:v>
      </x:c>
      <x:c r="F629" s="2" t="str">
        <x:v>sale</x:v>
      </x:c>
      <x:c r="G629" s="11" t="n">
        <x:v>64</x:v>
      </x:c>
      <x:c r="H629" s="12" t="n">
        <x:v>1900000000</x:v>
      </x:c>
      <x:c r="I629" s="12" t="n">
        <x:v>29687500</x:v>
      </x:c>
      <x:c r="J629" s="2" t="str">
        <x:v>total</x:v>
      </x:c>
      <x:c r="K629" s="2" t="str">
        <x:v>top_level_area</x:v>
      </x:c>
      <x:c r="L629" s="2" t="str">
        <x:v>property_type_inferred_from_title;unknown_property_type</x:v>
      </x:c>
      <x:c r="M629" s="10" t="n">
        <x:v>0</x:v>
      </x:c>
      <x:c r="N629" s="10" t="n">
        <x:v>0</x:v>
      </x:c>
      <x:c r="O629" s="2" t="str">
        <x:v>Tp Hồ Chí Minh|other_unknown</x:v>
      </x:c>
      <x:c r="P629" s="10" t="n">
        <x:v>2</x:v>
      </x:c>
      <x:c r="Q629" s="13" t="n">
        <x:f>IF(H629="","",H629/1000000000)</x:f>
        <x:v>1.9</x:v>
      </x:c>
      <x:c r="R629" s="13" t="n">
        <x:f>IF(I629="","",I629/1000000)</x:f>
        <x:v>29.6875</x:v>
      </x:c>
    </x:row>
    <x:row r="630" ht="21" customHeight="1">
      <x:c r="A630" s="10" t="n">
        <x:v>693</x:v>
      </x:c>
      <x:c r="B630" s="2" t="str">
        <x:v>35a65a331bb721d8d0ce</x:v>
      </x:c>
      <x:c r="C630" s="2" t="str">
        <x:v>Tp Hồ Chí Minh</x:v>
      </x:c>
      <x:c r="D630" s="2" t="str">
        <x:v>Huyện Nhà Bè</x:v>
      </x:c>
      <x:c r="E630" s="2" t="str">
        <x:v>other_unknown</x:v>
      </x:c>
      <x:c r="F630" s="2" t="str">
        <x:v>sale_assumed</x:v>
      </x:c>
      <x:c r="G630" s="11" t="n">
        <x:v>52</x:v>
      </x:c>
      <x:c r="H630" s="12" t="n">
        <x:v>4250000000</x:v>
      </x:c>
      <x:c r="I630" s="12" t="n">
        <x:v>81730769.23076923</x:v>
      </x:c>
      <x:c r="J630" s="2" t="str">
        <x:v>total</x:v>
      </x:c>
      <x:c r="K630" s="2" t="str">
        <x:v>top_level_area</x:v>
      </x:c>
      <x:c r="L630" s="2" t="str">
        <x:v>property_type_inferred_from_title;transaction_assumed_sale_from_dataset_context;unknown_property_type</x:v>
      </x:c>
      <x:c r="M630" s="10" t="n">
        <x:v>0</x:v>
      </x:c>
      <x:c r="N630" s="10" t="n">
        <x:v>0</x:v>
      </x:c>
      <x:c r="O630" s="2" t="str">
        <x:v>Tp Hồ Chí Minh|other_unknown</x:v>
      </x:c>
      <x:c r="P630" s="10" t="n">
        <x:v>2</x:v>
      </x:c>
      <x:c r="Q630" s="13" t="n">
        <x:f>IF(H630="","",H630/1000000000)</x:f>
        <x:v>4.25</x:v>
      </x:c>
      <x:c r="R630" s="13" t="n">
        <x:f>IF(I630="","",I630/1000000)</x:f>
        <x:v>81.73076923076923</x:v>
      </x:c>
    </x:row>
    <x:row r="631" ht="21" customHeight="1">
      <x:c r="A631" s="10" t="n">
        <x:v>694</x:v>
      </x:c>
      <x:c r="B631" s="2" t="str">
        <x:v>d4c2c35931bb6dd15731</x:v>
      </x:c>
      <x:c r="C631" s="2" t="str">
        <x:v>Tp Hồ Chí Minh</x:v>
      </x:c>
      <x:c r="D631" s="2" t="str">
        <x:v>Quận Bình Tân</x:v>
      </x:c>
      <x:c r="E631" s="2" t="str">
        <x:v>other_unknown</x:v>
      </x:c>
      <x:c r="F631" s="2" t="str">
        <x:v>sale</x:v>
      </x:c>
      <x:c r="G631" s="11" t="n">
        <x:v>60</x:v>
      </x:c>
      <x:c r="H631" s="12" t="n">
        <x:v>3350000000</x:v>
      </x:c>
      <x:c r="I631" s="12" t="n">
        <x:v>55833333.333333336</x:v>
      </x:c>
      <x:c r="J631" s="2" t="str">
        <x:v>total</x:v>
      </x:c>
      <x:c r="K631" s="2" t="str">
        <x:v>top_level_area</x:v>
      </x:c>
      <x:c r="L631" s="2" t="str">
        <x:v>property_type_inferred_from_title;unknown_property_type</x:v>
      </x:c>
      <x:c r="M631" s="10" t="n">
        <x:v>0</x:v>
      </x:c>
      <x:c r="N631" s="10" t="n">
        <x:v>0</x:v>
      </x:c>
      <x:c r="O631" s="2" t="str">
        <x:v>Tp Hồ Chí Minh|other_unknown</x:v>
      </x:c>
      <x:c r="P631" s="10" t="n">
        <x:v>2</x:v>
      </x:c>
      <x:c r="Q631" s="13" t="n">
        <x:f>IF(H631="","",H631/1000000000)</x:f>
        <x:v>3.35</x:v>
      </x:c>
      <x:c r="R631" s="13" t="n">
        <x:f>IF(I631="","",I631/1000000)</x:f>
        <x:v>55.833333333333336</x:v>
      </x:c>
    </x:row>
    <x:row r="632" ht="21" customHeight="1">
      <x:c r="A632" s="10" t="n">
        <x:v>695</x:v>
      </x:c>
      <x:c r="B632" s="2" t="str">
        <x:v>b10cda5ffba8ec9d190a</x:v>
      </x:c>
      <x:c r="C632" s="2" t="str">
        <x:v>Hà Nội</x:v>
      </x:c>
      <x:c r="D632" s="2" t="str">
        <x:v>Quận Đống Đa</x:v>
      </x:c>
      <x:c r="E632" s="2" t="str">
        <x:v>other_unknown</x:v>
      </x:c>
      <x:c r="F632" s="2" t="str">
        <x:v>sale_assumed</x:v>
      </x:c>
      <x:c r="G632" s="11" t="n">
        <x:v>30</x:v>
      </x:c>
      <x:c r="H632" s="12" t="n">
        <x:v>4000000000</x:v>
      </x:c>
      <x:c r="I632" s="12" t="n">
        <x:v>133333333.33333333</x:v>
      </x:c>
      <x:c r="J632" s="2" t="str">
        <x:v>total</x:v>
      </x:c>
      <x:c r="K632" s="2" t="str">
        <x:v>top_level_area</x:v>
      </x:c>
      <x:c r="L632" s="2" t="str">
        <x:v>property_type_inferred_from_title;transaction_assumed_sale_from_dataset_context;unknown_property_type</x:v>
      </x:c>
      <x:c r="M632" s="10" t="n">
        <x:v>0</x:v>
      </x:c>
      <x:c r="N632" s="10" t="n">
        <x:v>0</x:v>
      </x:c>
      <x:c r="O632" s="2" t="str">
        <x:v>Hà Nội|other_unknown</x:v>
      </x:c>
      <x:c r="P632" s="10" t="n">
        <x:v>2</x:v>
      </x:c>
      <x:c r="Q632" s="13" t="n">
        <x:f>IF(H632="","",H632/1000000000)</x:f>
        <x:v>4</x:v>
      </x:c>
      <x:c r="R632" s="13" t="n">
        <x:f>IF(I632="","",I632/1000000)</x:f>
        <x:v>133.33333333333331</x:v>
      </x:c>
    </x:row>
    <x:row r="633" ht="21" customHeight="1">
      <x:c r="A633" s="10" t="n">
        <x:v>696</x:v>
      </x:c>
      <x:c r="B633" s="2" t="str">
        <x:v>9fb75641101ff3dad4c2</x:v>
      </x:c>
      <x:c r="C633" s="2" t="str">
        <x:v>Tp Hồ Chí Minh</x:v>
      </x:c>
      <x:c r="D633" s="2" t="str">
        <x:v>Quận Thủ Đức</x:v>
      </x:c>
      <x:c r="E633" s="2" t="str">
        <x:v>house</x:v>
      </x:c>
      <x:c r="F633" s="2" t="str">
        <x:v>sale_assumed</x:v>
      </x:c>
      <x:c r="G633" s="11" t="n">
        <x:v>62</x:v>
      </x:c>
      <x:c r="H633" s="12" t="n">
        <x:v>5300000000</x:v>
      </x:c>
      <x:c r="I633" s="12" t="n">
        <x:v>85483870.96774194</x:v>
      </x:c>
      <x:c r="J633" s="2" t="str">
        <x:v>total</x:v>
      </x:c>
      <x:c r="K633" s="2" t="str">
        <x:v>top_level_area</x:v>
      </x:c>
      <x:c r="L633" s="2" t="str">
        <x:v>property_type_inferred_from_title;transaction_assumed_sale_from_dataset_context</x:v>
      </x:c>
      <x:c r="M633" s="10" t="n">
        <x:v>0</x:v>
      </x:c>
      <x:c r="N633" s="10" t="n">
        <x:v>0</x:v>
      </x:c>
      <x:c r="O633" s="2" t="str">
        <x:v>Tp Hồ Chí Minh|house</x:v>
      </x:c>
      <x:c r="P633" s="10" t="n">
        <x:v>2</x:v>
      </x:c>
      <x:c r="Q633" s="13" t="n">
        <x:f>IF(H633="","",H633/1000000000)</x:f>
        <x:v>5.3</x:v>
      </x:c>
      <x:c r="R633" s="13" t="n">
        <x:f>IF(I633="","",I633/1000000)</x:f>
        <x:v>85.48387096774194</x:v>
      </x:c>
    </x:row>
    <x:row r="634" ht="21" customHeight="1">
      <x:c r="A634" s="10" t="n">
        <x:v>697</x:v>
      </x:c>
      <x:c r="B634" s="2" t="str">
        <x:v>0de4e2e5f8cbebfb7bad</x:v>
      </x:c>
      <x:c r="C634" s="2" t="str">
        <x:v>Tp Hồ Chí Minh</x:v>
      </x:c>
      <x:c r="D634" s="2" t="str">
        <x:v>Huyện Củ Chi</x:v>
      </x:c>
      <x:c r="E634" s="2" t="str">
        <x:v>land</x:v>
      </x:c>
      <x:c r="F634" s="2" t="str">
        <x:v>sale_assumed</x:v>
      </x:c>
      <x:c r="G634" s="11" t="n">
        <x:v>280</x:v>
      </x:c>
      <x:c r="H634" s="12" t="n">
        <x:v>3800000000</x:v>
      </x:c>
      <x:c r="I634" s="12" t="n">
        <x:v>13571428.57142857</x:v>
      </x:c>
      <x:c r="J634" s="2" t="str">
        <x:v>total</x:v>
      </x:c>
      <x:c r="K634" s="2" t="str">
        <x:v>top_level_area</x:v>
      </x:c>
      <x:c r="L634" s="2" t="str">
        <x:v>property_type_inferred_from_title;transaction_assumed_sale_from_dataset_context</x:v>
      </x:c>
      <x:c r="M634" s="10" t="n">
        <x:v>0</x:v>
      </x:c>
      <x:c r="N634" s="10" t="n">
        <x:v>0</x:v>
      </x:c>
      <x:c r="O634" s="2" t="str">
        <x:v>Tp Hồ Chí Minh|land</x:v>
      </x:c>
      <x:c r="P634" s="10" t="n">
        <x:v>2</x:v>
      </x:c>
      <x:c r="Q634" s="13" t="n">
        <x:f>IF(H634="","",H634/1000000000)</x:f>
        <x:v>3.8</x:v>
      </x:c>
      <x:c r="R634" s="13" t="n">
        <x:f>IF(I634="","",I634/1000000)</x:f>
        <x:v>13.571428571428571</x:v>
      </x:c>
    </x:row>
    <x:row r="635" ht="21" customHeight="1">
      <x:c r="A635" s="10" t="n">
        <x:v>698</x:v>
      </x:c>
      <x:c r="B635" s="2" t="str">
        <x:v>acb21da26ba0345937e2</x:v>
      </x:c>
      <x:c r="C635" s="2" t="str">
        <x:v>Tp Hồ Chí Minh</x:v>
      </x:c>
      <x:c r="D635" s="2" t="str">
        <x:v>Quận 7</x:v>
      </x:c>
      <x:c r="E635" s="2" t="str">
        <x:v>house</x:v>
      </x:c>
      <x:c r="F635" s="2" t="str">
        <x:v>sale_assumed</x:v>
      </x:c>
      <x:c r="G635" s="11" t="n">
        <x:v>84</x:v>
      </x:c>
      <x:c r="H635" s="12" t="n">
        <x:v>5600000000</x:v>
      </x:c>
      <x:c r="I635" s="12" t="n">
        <x:v>66666666.666666664</x:v>
      </x:c>
      <x:c r="J635" s="2" t="str">
        <x:v>total</x:v>
      </x:c>
      <x:c r="K635" s="2" t="str">
        <x:v>top_level_area</x:v>
      </x:c>
      <x:c r="L635" s="2" t="str">
        <x:v>property_type_inferred_from_title;transaction_assumed_sale_from_dataset_context</x:v>
      </x:c>
      <x:c r="M635" s="10" t="n">
        <x:v>0</x:v>
      </x:c>
      <x:c r="N635" s="10" t="n">
        <x:v>0</x:v>
      </x:c>
      <x:c r="O635" s="2" t="str">
        <x:v>Tp Hồ Chí Minh|house</x:v>
      </x:c>
      <x:c r="P635" s="10" t="n">
        <x:v>2</x:v>
      </x:c>
      <x:c r="Q635" s="13" t="n">
        <x:f>IF(H635="","",H635/1000000000)</x:f>
        <x:v>5.6</x:v>
      </x:c>
      <x:c r="R635" s="13" t="n">
        <x:f>IF(I635="","",I635/1000000)</x:f>
        <x:v>66.66666666666666</x:v>
      </x:c>
    </x:row>
    <x:row r="636" ht="21" customHeight="1">
      <x:c r="A636" s="10" t="n">
        <x:v>699</x:v>
      </x:c>
      <x:c r="B636" s="2" t="str">
        <x:v>3864f81c5c3c4892d33c</x:v>
      </x:c>
      <x:c r="C636" s="2" t="str">
        <x:v>Tp Hồ Chí Minh</x:v>
      </x:c>
      <x:c r="D636" s="2" t="str">
        <x:v>Quận Tân Phú</x:v>
      </x:c>
      <x:c r="E636" s="2" t="str">
        <x:v>other_unknown</x:v>
      </x:c>
      <x:c r="F636" s="2" t="str">
        <x:v>sale_assumed</x:v>
      </x:c>
      <x:c r="G636" s="11" t="n">
        <x:v>43</x:v>
      </x:c>
      <x:c r="H636" s="12" t="n">
        <x:v>990000000</x:v>
      </x:c>
      <x:c r="I636" s="12" t="n">
        <x:v>23023255.81395349</x:v>
      </x:c>
      <x:c r="J636" s="2" t="str">
        <x:v>total</x:v>
      </x:c>
      <x:c r="K636" s="2" t="str">
        <x:v>top_level_area</x:v>
      </x:c>
      <x:c r="L636" s="2" t="str">
        <x:v>property_type_inferred_from_title;transaction_assumed_sale_from_dataset_context;unknown_property_type</x:v>
      </x:c>
      <x:c r="M636" s="10" t="n">
        <x:v>0</x:v>
      </x:c>
      <x:c r="N636" s="10" t="n">
        <x:v>0</x:v>
      </x:c>
      <x:c r="O636" s="2" t="str">
        <x:v>Tp Hồ Chí Minh|other_unknown</x:v>
      </x:c>
      <x:c r="P636" s="10" t="n">
        <x:v>2</x:v>
      </x:c>
      <x:c r="Q636" s="13" t="n">
        <x:f>IF(H636="","",H636/1000000000)</x:f>
        <x:v>0.99</x:v>
      </x:c>
      <x:c r="R636" s="13" t="n">
        <x:f>IF(I636="","",I636/1000000)</x:f>
        <x:v>23.02325581395349</x:v>
      </x:c>
    </x:row>
    <x:row r="637" ht="21" customHeight="1">
      <x:c r="A637" s="10" t="n">
        <x:v>700</x:v>
      </x:c>
      <x:c r="B637" s="2" t="str">
        <x:v>6935899c977777033d28</x:v>
      </x:c>
      <x:c r="C637" s="2" t="str">
        <x:v>Tp Hồ Chí Minh</x:v>
      </x:c>
      <x:c r="D637" s="2" t="str">
        <x:v>Quận Tân Phú</x:v>
      </x:c>
      <x:c r="E637" s="2" t="str">
        <x:v>house</x:v>
      </x:c>
      <x:c r="F637" s="2" t="str">
        <x:v>sale</x:v>
      </x:c>
      <x:c r="G637" s="11" t="n">
        <x:v>72</x:v>
      </x:c>
      <x:c r="H637" s="12" t="n">
        <x:v>6300000000</x:v>
      </x:c>
      <x:c r="I637" s="12" t="n">
        <x:v>87500000</x:v>
      </x:c>
      <x:c r="J637" s="2" t="str">
        <x:v>total</x:v>
      </x:c>
      <x:c r="K637" s="2" t="str">
        <x:v>top_level_area</x:v>
      </x:c>
      <x:c r="L637" s="2" t="str">
        <x:v>property_type_inferred_from_title</x:v>
      </x:c>
      <x:c r="M637" s="10" t="n">
        <x:v>0</x:v>
      </x:c>
      <x:c r="N637" s="10" t="n">
        <x:v>0</x:v>
      </x:c>
      <x:c r="O637" s="2" t="str">
        <x:v>Tp Hồ Chí Minh|house</x:v>
      </x:c>
      <x:c r="P637" s="10" t="n">
        <x:v>2</x:v>
      </x:c>
      <x:c r="Q637" s="13" t="n">
        <x:f>IF(H637="","",H637/1000000000)</x:f>
        <x:v>6.3</x:v>
      </x:c>
      <x:c r="R637" s="13" t="n">
        <x:f>IF(I637="","",I637/1000000)</x:f>
        <x:v>87.5</x:v>
      </x:c>
    </x:row>
    <x:row r="638" ht="21" customHeight="1">
      <x:c r="A638" s="10" t="n">
        <x:v>701</x:v>
      </x:c>
      <x:c r="B638" s="2" t="str">
        <x:v>9b3a47ab20a49d291d1a</x:v>
      </x:c>
      <x:c r="C638" s="2" t="str">
        <x:v>Đà Nẵng</x:v>
      </x:c>
      <x:c r="D638" s="2" t="str">
        <x:v>Quận Ngũ Hành Sơn</x:v>
      </x:c>
      <x:c r="E638" s="2" t="str">
        <x:v>house</x:v>
      </x:c>
      <x:c r="F638" s="2" t="str">
        <x:v>sale</x:v>
      </x:c>
      <x:c r="G638" s="11" t="n">
        <x:v>95</x:v>
      </x:c>
      <x:c r="H638" s="12" t="n">
        <x:v>3500000000</x:v>
      </x:c>
      <x:c r="I638" s="12" t="n">
        <x:v>36842105.2631579</x:v>
      </x:c>
      <x:c r="J638" s="2" t="str">
        <x:v>total</x:v>
      </x:c>
      <x:c r="K638" s="2" t="str">
        <x:v>top_level_area</x:v>
      </x:c>
      <x:c r="L638" s="2" t="str">
        <x:v>property_type_inferred_from_title</x:v>
      </x:c>
      <x:c r="M638" s="10" t="n">
        <x:v>0</x:v>
      </x:c>
      <x:c r="N638" s="10" t="n">
        <x:v>0</x:v>
      </x:c>
      <x:c r="O638" s="2" t="str">
        <x:v>Đà Nẵng|house</x:v>
      </x:c>
      <x:c r="P638" s="10" t="n">
        <x:v>2</x:v>
      </x:c>
      <x:c r="Q638" s="13" t="n">
        <x:f>IF(H638="","",H638/1000000000)</x:f>
        <x:v>3.5</x:v>
      </x:c>
      <x:c r="R638" s="13" t="n">
        <x:f>IF(I638="","",I638/1000000)</x:f>
        <x:v>36.8421052631579</x:v>
      </x:c>
    </x:row>
    <x:row r="639" ht="21" customHeight="1">
      <x:c r="A639" s="10" t="n">
        <x:v>703</x:v>
      </x:c>
      <x:c r="B639" s="2" t="str">
        <x:v>ec75dfe97db0ae7af3f7</x:v>
      </x:c>
      <x:c r="C639" s="2" t="str">
        <x:v>Bình Thuận</x:v>
      </x:c>
      <x:c r="D639" s="2" t="str">
        <x:v>Huyện Hàm Tân</x:v>
      </x:c>
      <x:c r="E639" s="2" t="str">
        <x:v>land</x:v>
      </x:c>
      <x:c r="F639" s="2" t="str">
        <x:v>sale_assumed</x:v>
      </x:c>
      <x:c r="G639" s="11" t="n">
        <x:v>700</x:v>
      </x:c>
      <x:c r="H639" s="12" t="n">
        <x:v>5800000000</x:v>
      </x:c>
      <x:c r="I639" s="12" t="n">
        <x:v>8285714.285714285</x:v>
      </x:c>
      <x:c r="J639" s="2" t="str">
        <x:v>total</x:v>
      </x:c>
      <x:c r="K639" s="2" t="str">
        <x:v>top_level_area</x:v>
      </x:c>
      <x:c r="L639" s="2" t="str">
        <x:v>property_type_inferred_from_title;transaction_assumed_sale_from_dataset_context</x:v>
      </x:c>
      <x:c r="M639" s="10" t="n">
        <x:v>0</x:v>
      </x:c>
      <x:c r="N639" s="10" t="n">
        <x:v>0</x:v>
      </x:c>
      <x:c r="O639" s="2" t="str">
        <x:v>land</x:v>
      </x:c>
      <x:c r="P639" s="10" t="n">
        <x:v>1</x:v>
      </x:c>
      <x:c r="Q639" s="13" t="n">
        <x:f>IF(H639="","",H639/1000000000)</x:f>
        <x:v>5.8</x:v>
      </x:c>
      <x:c r="R639" s="13" t="n">
        <x:f>IF(I639="","",I639/1000000)</x:f>
        <x:v>8.285714285714285</x:v>
      </x:c>
    </x:row>
    <x:row r="640" ht="21" customHeight="1">
      <x:c r="A640" s="10" t="n">
        <x:v>704</x:v>
      </x:c>
      <x:c r="B640" s="2" t="str">
        <x:v>115c2006414adeee2862</x:v>
      </x:c>
      <x:c r="C640" s="2" t="str">
        <x:v>Hà Nội</x:v>
      </x:c>
      <x:c r="D640" s="2" t="str">
        <x:v>Huyện Gia Lâm</x:v>
      </x:c>
      <x:c r="E640" s="2" t="str">
        <x:v>other_unknown</x:v>
      </x:c>
      <x:c r="F640" s="2" t="str">
        <x:v>sale_assumed</x:v>
      </x:c>
      <x:c r="G640" s="11" t="n">
        <x:v>178</x:v>
      </x:c>
      <x:c r="H640" s="12" t="n">
        <x:v>16500000000</x:v>
      </x:c>
      <x:c r="I640" s="12" t="n">
        <x:v>92696629.21348314</x:v>
      </x:c>
      <x:c r="J640" s="2" t="str">
        <x:v>total</x:v>
      </x:c>
      <x:c r="K640" s="2" t="str">
        <x:v>top_level_area</x:v>
      </x:c>
      <x:c r="L640" s="2" t="str">
        <x:v>property_type_inferred_from_title;transaction_assumed_sale_from_dataset_context;unknown_property_type</x:v>
      </x:c>
      <x:c r="M640" s="10" t="n">
        <x:v>0</x:v>
      </x:c>
      <x:c r="N640" s="10" t="n">
        <x:v>0</x:v>
      </x:c>
      <x:c r="O640" s="2" t="str">
        <x:v>Hà Nội|other_unknown</x:v>
      </x:c>
      <x:c r="P640" s="10" t="n">
        <x:v>2</x:v>
      </x:c>
      <x:c r="Q640" s="13" t="n">
        <x:f>IF(H640="","",H640/1000000000)</x:f>
        <x:v>16.5</x:v>
      </x:c>
      <x:c r="R640" s="13" t="n">
        <x:f>IF(I640="","",I640/1000000)</x:f>
        <x:v>92.69662921348313</x:v>
      </x:c>
    </x:row>
    <x:row r="641" ht="21" customHeight="1">
      <x:c r="A641" s="10" t="n">
        <x:v>705</x:v>
      </x:c>
      <x:c r="B641" s="2" t="str">
        <x:v>f9308e82acea31bc69ab</x:v>
      </x:c>
      <x:c r="C641" s="2" t="str">
        <x:v>Tp Hồ Chí Minh</x:v>
      </x:c>
      <x:c r="D641" s="2" t="str">
        <x:v>Quận Phú Nhuận</x:v>
      </x:c>
      <x:c r="E641" s="2" t="str">
        <x:v>house</x:v>
      </x:c>
      <x:c r="F641" s="2" t="str">
        <x:v>sale_assumed</x:v>
      </x:c>
      <x:c r="G641" s="11" t="n">
        <x:v>68</x:v>
      </x:c>
      <x:c r="H641" s="12" t="n">
        <x:v>10000000000</x:v>
      </x:c>
      <x:c r="I641" s="12" t="n">
        <x:v>147058823.52941176</x:v>
      </x:c>
      <x:c r="J641" s="2" t="str">
        <x:v>total</x:v>
      </x:c>
      <x:c r="K641" s="2" t="str">
        <x:v>top_level_area</x:v>
      </x:c>
      <x:c r="L641" s="2" t="str">
        <x:v>property_type_inferred_from_title;transaction_assumed_sale_from_dataset_context</x:v>
      </x:c>
      <x:c r="M641" s="10" t="n">
        <x:v>0</x:v>
      </x:c>
      <x:c r="N641" s="10" t="n">
        <x:v>0</x:v>
      </x:c>
      <x:c r="O641" s="2" t="str">
        <x:v>Tp Hồ Chí Minh|house</x:v>
      </x:c>
      <x:c r="P641" s="10" t="n">
        <x:v>2</x:v>
      </x:c>
      <x:c r="Q641" s="13" t="n">
        <x:f>IF(H641="","",H641/1000000000)</x:f>
        <x:v>10</x:v>
      </x:c>
      <x:c r="R641" s="13" t="n">
        <x:f>IF(I641="","",I641/1000000)</x:f>
        <x:v>147.05882352941177</x:v>
      </x:c>
    </x:row>
    <x:row r="642" ht="21" customHeight="1">
      <x:c r="A642" s="10" t="n">
        <x:v>706</x:v>
      </x:c>
      <x:c r="B642" s="2" t="str">
        <x:v>7a4960710773f63a6791</x:v>
      </x:c>
      <x:c r="C642" s="2" t="str">
        <x:v>Long An</x:v>
      </x:c>
      <x:c r="D642" s="2" t="str">
        <x:v>Huyện Cần Giuộc</x:v>
      </x:c>
      <x:c r="E642" s="2" t="str">
        <x:v>other_unknown</x:v>
      </x:c>
      <x:c r="F642" s="2" t="str">
        <x:v>sale_assumed</x:v>
      </x:c>
      <x:c r="G642" s="11" t="n">
        <x:v>100</x:v>
      </x:c>
      <x:c r="H642" s="12" t="n">
        <x:v>1780000000</x:v>
      </x:c>
      <x:c r="I642" s="12" t="n">
        <x:v>17800000</x:v>
      </x:c>
      <x:c r="J642" s="2" t="str">
        <x:v>total</x:v>
      </x:c>
      <x:c r="K642" s="2" t="str">
        <x:v>top_level_area</x:v>
      </x:c>
      <x:c r="L642" s="2" t="str">
        <x:v>property_type_inferred_from_title;transaction_assumed_sale_from_dataset_context;unknown_property_type</x:v>
      </x:c>
      <x:c r="M642" s="10" t="n">
        <x:v>0</x:v>
      </x:c>
      <x:c r="N642" s="10" t="n">
        <x:v>0</x:v>
      </x:c>
      <x:c r="O642" s="2" t="str">
        <x:v>Long An|other_unknown</x:v>
      </x:c>
      <x:c r="P642" s="10" t="n">
        <x:v>2</x:v>
      </x:c>
      <x:c r="Q642" s="13" t="n">
        <x:f>IF(H642="","",H642/1000000000)</x:f>
        <x:v>1.78</x:v>
      </x:c>
      <x:c r="R642" s="13" t="n">
        <x:f>IF(I642="","",I642/1000000)</x:f>
        <x:v>17.8</x:v>
      </x:c>
    </x:row>
    <x:row r="643" ht="21" customHeight="1">
      <x:c r="A643" s="10" t="n">
        <x:v>707</x:v>
      </x:c>
      <x:c r="B643" s="2" t="str">
        <x:v>81e62fdc19f67fc347e1</x:v>
      </x:c>
      <x:c r="C643" s="2" t="str">
        <x:v>Bình Dương</x:v>
      </x:c>
      <x:c r="D643" s="2" t="str">
        <x:v>Thị xã Dĩ An</x:v>
      </x:c>
      <x:c r="E643" s="2" t="str">
        <x:v>house</x:v>
      </x:c>
      <x:c r="F643" s="2" t="str">
        <x:v>sale</x:v>
      </x:c>
      <x:c r="G643" s="11" t="n">
        <x:v>68</x:v>
      </x:c>
      <x:c r="H643" s="12" t="n">
        <x:v>2750000000</x:v>
      </x:c>
      <x:c r="I643" s="12" t="n">
        <x:v>40441176.47058824</x:v>
      </x:c>
      <x:c r="J643" s="2" t="str">
        <x:v>total</x:v>
      </x:c>
      <x:c r="K643" s="2" t="str">
        <x:v>top_level_area</x:v>
      </x:c>
      <x:c r="L643" s="2" t="str">
        <x:v>property_type_inferred_from_title</x:v>
      </x:c>
      <x:c r="M643" s="10" t="n">
        <x:v>0</x:v>
      </x:c>
      <x:c r="N643" s="10" t="n">
        <x:v>0</x:v>
      </x:c>
      <x:c r="O643" s="2" t="str">
        <x:v>Bình Dương|house</x:v>
      </x:c>
      <x:c r="P643" s="10" t="n">
        <x:v>2</x:v>
      </x:c>
      <x:c r="Q643" s="13" t="n">
        <x:f>IF(H643="","",H643/1000000000)</x:f>
        <x:v>2.75</x:v>
      </x:c>
      <x:c r="R643" s="13" t="n">
        <x:f>IF(I643="","",I643/1000000)</x:f>
        <x:v>40.44117647058824</x:v>
      </x:c>
    </x:row>
    <x:row r="644" ht="21" customHeight="1">
      <x:c r="A644" s="10" t="n">
        <x:v>708</x:v>
      </x:c>
      <x:c r="B644" s="2" t="str">
        <x:v>d3f654c94a755155335f</x:v>
      </x:c>
      <x:c r="C644" s="2" t="str">
        <x:v>Tp Hồ Chí Minh</x:v>
      </x:c>
      <x:c r="D644" s="2" t="str">
        <x:v>Quận Thủ Đức</x:v>
      </x:c>
      <x:c r="E644" s="2" t="str">
        <x:v>other_unknown</x:v>
      </x:c>
      <x:c r="F644" s="2" t="str">
        <x:v>sale_assumed</x:v>
      </x:c>
      <x:c r="G644" s="11" t="n">
        <x:v>206</x:v>
      </x:c>
      <x:c r="H644" s="12" t="n">
        <x:v>528000000</x:v>
      </x:c>
      <x:c r="I644" s="12" t="n">
        <x:v>2563106.796116505</x:v>
      </x:c>
      <x:c r="J644" s="2" t="str">
        <x:v>total</x:v>
      </x:c>
      <x:c r="K644" s="2" t="str">
        <x:v>top_level_area</x:v>
      </x:c>
      <x:c r="L644" s="2" t="str">
        <x:v>property_type_inferred_from_title;transaction_assumed_sale_from_dataset_context;unknown_property_type</x:v>
      </x:c>
      <x:c r="M644" s="10" t="n">
        <x:v>0</x:v>
      </x:c>
      <x:c r="N644" s="10" t="n">
        <x:v>0</x:v>
      </x:c>
      <x:c r="O644" s="2" t="str">
        <x:v>Tp Hồ Chí Minh|other_unknown</x:v>
      </x:c>
      <x:c r="P644" s="10" t="n">
        <x:v>1</x:v>
      </x:c>
      <x:c r="Q644" s="13" t="n">
        <x:f>IF(H644="","",H644/1000000000)</x:f>
        <x:v>0.528</x:v>
      </x:c>
      <x:c r="R644" s="13" t="n">
        <x:f>IF(I644="","",I644/1000000)</x:f>
        <x:v>2.5631067961165046</x:v>
      </x:c>
    </x:row>
    <x:row r="645" ht="21" customHeight="1">
      <x:c r="A645" s="10" t="n">
        <x:v>709</x:v>
      </x:c>
      <x:c r="B645" s="2" t="str">
        <x:v>3080b10e0f463e64d6da</x:v>
      </x:c>
      <x:c r="C645" s="2" t="str">
        <x:v>Khánh Hòa</x:v>
      </x:c>
      <x:c r="D645" s="2" t="str">
        <x:v>Thành phố Nha Trang</x:v>
      </x:c>
      <x:c r="E645" s="2" t="str">
        <x:v>house</x:v>
      </x:c>
      <x:c r="F645" s="2" t="str">
        <x:v>sale</x:v>
      </x:c>
      <x:c r="G645" s="11" t="n">
        <x:v>60</x:v>
      </x:c>
      <x:c r="H645" s="12" t="n">
        <x:v>9200000000</x:v>
      </x:c>
      <x:c r="I645" s="12" t="n">
        <x:v>153333333.33333334</x:v>
      </x:c>
      <x:c r="J645" s="2" t="str">
        <x:v>total</x:v>
      </x:c>
      <x:c r="K645" s="2" t="str">
        <x:v>top_level_area</x:v>
      </x:c>
      <x:c r="L645" s="2" t="str">
        <x:v>property_type_inferred_from_title</x:v>
      </x:c>
      <x:c r="M645" s="10" t="n">
        <x:v>0</x:v>
      </x:c>
      <x:c r="N645" s="10" t="n">
        <x:v>1</x:v>
      </x:c>
      <x:c r="O645" s="2" t="str">
        <x:v>Khánh Hòa|house</x:v>
      </x:c>
      <x:c r="P645" s="10" t="n">
        <x:v>-1</x:v>
      </x:c>
      <x:c r="Q645" s="13" t="n">
        <x:f>IF(H645="","",H645/1000000000)</x:f>
        <x:v>9.2</x:v>
      </x:c>
      <x:c r="R645" s="13" t="n">
        <x:f>IF(I645="","",I645/1000000)</x:f>
        <x:v>153.33333333333334</x:v>
      </x:c>
    </x:row>
    <x:row r="646" ht="21" customHeight="1">
      <x:c r="A646" s="10" t="n">
        <x:v>710</x:v>
      </x:c>
      <x:c r="B646" s="2" t="str">
        <x:v>41ce21c247898ffaddf8</x:v>
      </x:c>
      <x:c r="C646" s="2" t="str">
        <x:v>Bình Dương</x:v>
      </x:c>
      <x:c r="D646" s="2" t="str">
        <x:v>Huyện Bàu Bàng</x:v>
      </x:c>
      <x:c r="E646" s="2" t="str">
        <x:v>land</x:v>
      </x:c>
      <x:c r="F646" s="2" t="str">
        <x:v>sale_assumed</x:v>
      </x:c>
      <x:c r="G646" s="11" t="n">
        <x:v>100</x:v>
      </x:c>
      <x:c r="H646" s="12" t="n">
        <x:v>650000000</x:v>
      </x:c>
      <x:c r="I646" s="12" t="n">
        <x:v>6500000</x:v>
      </x:c>
      <x:c r="J646" s="2" t="str">
        <x:v>total</x:v>
      </x:c>
      <x:c r="K646" s="2" t="str">
        <x:v>top_level_price_embedded_area</x:v>
      </x:c>
      <x:c r="L646" s="2" t="str">
        <x:v>area_recovered_from_price_text;property_type_inferred_from_title;transaction_assumed_sale_from_dataset_context</x:v>
      </x:c>
      <x:c r="M646" s="10" t="n">
        <x:v>0</x:v>
      </x:c>
      <x:c r="N646" s="10" t="n">
        <x:v>0</x:v>
      </x:c>
      <x:c r="O646" s="2" t="str">
        <x:v>Bình Dương|land</x:v>
      </x:c>
      <x:c r="P646" s="10" t="n">
        <x:v>2</x:v>
      </x:c>
      <x:c r="Q646" s="13" t="n">
        <x:f>IF(H646="","",H646/1000000000)</x:f>
        <x:v>0.65</x:v>
      </x:c>
      <x:c r="R646" s="13" t="n">
        <x:f>IF(I646="","",I646/1000000)</x:f>
        <x:v>6.5</x:v>
      </x:c>
    </x:row>
    <x:row r="647" ht="21" customHeight="1">
      <x:c r="A647" s="10" t="n">
        <x:v>711</x:v>
      </x:c>
      <x:c r="B647" s="2" t="str">
        <x:v>4ab9ddf912e27a400cf5</x:v>
      </x:c>
      <x:c r="C647" s="2" t="str">
        <x:v>Bình Phước</x:v>
      </x:c>
      <x:c r="D647" s="2" t="str">
        <x:v>Thành phố Đồng Xoài</x:v>
      </x:c>
      <x:c r="E647" s="2" t="str">
        <x:v>land</x:v>
      </x:c>
      <x:c r="F647" s="2" t="str">
        <x:v>sale_assumed</x:v>
      </x:c>
      <x:c r="G647" s="11" t="n">
        <x:v>250</x:v>
      </x:c>
      <x:c r="H647" s="12" t="n">
        <x:v>580000000</x:v>
      </x:c>
      <x:c r="I647" s="12" t="n">
        <x:v>2320000</x:v>
      </x:c>
      <x:c r="J647" s="2" t="str">
        <x:v>total</x:v>
      </x:c>
      <x:c r="K647" s="2" t="str">
        <x:v>top_level_area</x:v>
      </x:c>
      <x:c r="L647" s="2" t="str">
        <x:v>property_type_inferred_from_title;transaction_assumed_sale_from_dataset_context</x:v>
      </x:c>
      <x:c r="M647" s="10" t="n">
        <x:v>0</x:v>
      </x:c>
      <x:c r="N647" s="10" t="n">
        <x:v>0</x:v>
      </x:c>
      <x:c r="O647" s="2" t="str">
        <x:v>Bình Phước|land</x:v>
      </x:c>
      <x:c r="P647" s="10" t="n">
        <x:v>1</x:v>
      </x:c>
      <x:c r="Q647" s="13" t="n">
        <x:f>IF(H647="","",H647/1000000000)</x:f>
        <x:v>0.58</x:v>
      </x:c>
      <x:c r="R647" s="13" t="n">
        <x:f>IF(I647="","",I647/1000000)</x:f>
        <x:v>2.32</x:v>
      </x:c>
    </x:row>
    <x:row r="648" ht="21" customHeight="1">
      <x:c r="A648" s="10" t="n">
        <x:v>712</x:v>
      </x:c>
      <x:c r="B648" s="2" t="str">
        <x:v>7ffc233b922a01b1e057</x:v>
      </x:c>
      <x:c r="C648" s="2" t="str">
        <x:v>Đà Nẵng</x:v>
      </x:c>
      <x:c r="D648" s="2" t="str">
        <x:v>Quận Sơn Trà</x:v>
      </x:c>
      <x:c r="E648" s="2" t="str">
        <x:v>other_unknown</x:v>
      </x:c>
      <x:c r="F648" s="2" t="str">
        <x:v>sale_assumed</x:v>
      </x:c>
      <x:c r="G648" s="11" t="n">
        <x:v>100</x:v>
      </x:c>
      <x:c r="H648" s="12" t="n">
        <x:v>14500000000</x:v>
      </x:c>
      <x:c r="I648" s="12" t="n">
        <x:v>145000000</x:v>
      </x:c>
      <x:c r="J648" s="2" t="str">
        <x:v>total</x:v>
      </x:c>
      <x:c r="K648" s="2" t="str">
        <x:v>top_level_area</x:v>
      </x:c>
      <x:c r="L648" s="2" t="str">
        <x:v>property_type_inferred_from_title;transaction_assumed_sale_from_dataset_context;unknown_property_type</x:v>
      </x:c>
      <x:c r="M648" s="10" t="n">
        <x:v>0</x:v>
      </x:c>
      <x:c r="N648" s="10" t="n">
        <x:v>1</x:v>
      </x:c>
      <x:c r="O648" s="2" t="str">
        <x:v>Đà Nẵng|other_unknown</x:v>
      </x:c>
      <x:c r="P648" s="10" t="n">
        <x:v>-1</x:v>
      </x:c>
      <x:c r="Q648" s="13" t="n">
        <x:f>IF(H648="","",H648/1000000000)</x:f>
        <x:v>14.5</x:v>
      </x:c>
      <x:c r="R648" s="13" t="n">
        <x:f>IF(I648="","",I648/1000000)</x:f>
        <x:v>145</x:v>
      </x:c>
    </x:row>
    <x:row r="649" ht="21" customHeight="1">
      <x:c r="A649" s="10" t="n">
        <x:v>713</x:v>
      </x:c>
      <x:c r="B649" s="2" t="str">
        <x:v>af9f542ed882ef98593e</x:v>
      </x:c>
      <x:c r="C649" s="2" t="str">
        <x:v>Tp Hồ Chí Minh</x:v>
      </x:c>
      <x:c r="D649" s="2" t="str">
        <x:v>Quận Tân Phú</x:v>
      </x:c>
      <x:c r="E649" s="2" t="str">
        <x:v>house</x:v>
      </x:c>
      <x:c r="F649" s="2" t="str">
        <x:v>sale</x:v>
      </x:c>
      <x:c r="G649" s="11" t="n">
        <x:v>46</x:v>
      </x:c>
      <x:c r="H649" s="12" t="n">
        <x:v>4000000000</x:v>
      </x:c>
      <x:c r="I649" s="12" t="n">
        <x:v>86956521.73913044</x:v>
      </x:c>
      <x:c r="J649" s="2" t="str">
        <x:v>total</x:v>
      </x:c>
      <x:c r="K649" s="2" t="str">
        <x:v>top_level_price_embedded_area</x:v>
      </x:c>
      <x:c r="L649" s="2" t="str">
        <x:v>area_recovered_from_price_text;property_type_inferred_from_title</x:v>
      </x:c>
      <x:c r="M649" s="10" t="n">
        <x:v>0</x:v>
      </x:c>
      <x:c r="N649" s="10" t="n">
        <x:v>0</x:v>
      </x:c>
      <x:c r="O649" s="2" t="str">
        <x:v>Tp Hồ Chí Minh|house</x:v>
      </x:c>
      <x:c r="P649" s="10" t="n">
        <x:v>2</x:v>
      </x:c>
      <x:c r="Q649" s="13" t="n">
        <x:f>IF(H649="","",H649/1000000000)</x:f>
        <x:v>4</x:v>
      </x:c>
      <x:c r="R649" s="13" t="n">
        <x:f>IF(I649="","",I649/1000000)</x:f>
        <x:v>86.95652173913044</x:v>
      </x:c>
    </x:row>
    <x:row r="650" ht="21" customHeight="1">
      <x:c r="A650" s="10" t="n">
        <x:v>714</x:v>
      </x:c>
      <x:c r="B650" s="2" t="str">
        <x:v>a1e9f890aabe31939946</x:v>
      </x:c>
      <x:c r="C650" s="2" t="str">
        <x:v>Tp Hồ Chí Minh</x:v>
      </x:c>
      <x:c r="D650" s="2" t="str">
        <x:v>Quận 12</x:v>
      </x:c>
      <x:c r="E650" s="2" t="str">
        <x:v>house</x:v>
      </x:c>
      <x:c r="F650" s="2" t="str">
        <x:v>sale</x:v>
      </x:c>
      <x:c r="G650" s="11" t="n">
        <x:v>56</x:v>
      </x:c>
      <x:c r="H650" s="12" t="n">
        <x:v>4450000000</x:v>
      </x:c>
      <x:c r="I650" s="12" t="n">
        <x:v>79464285.71428572</x:v>
      </x:c>
      <x:c r="J650" s="2" t="str">
        <x:v>total</x:v>
      </x:c>
      <x:c r="K650" s="2" t="str">
        <x:v>top_level_area</x:v>
      </x:c>
      <x:c r="L650" s="2" t="str">
        <x:v>property_type_inferred_from_title</x:v>
      </x:c>
      <x:c r="M650" s="10" t="n">
        <x:v>0</x:v>
      </x:c>
      <x:c r="N650" s="10" t="n">
        <x:v>0</x:v>
      </x:c>
      <x:c r="O650" s="2" t="str">
        <x:v>Tp Hồ Chí Minh|house</x:v>
      </x:c>
      <x:c r="P650" s="10" t="n">
        <x:v>2</x:v>
      </x:c>
      <x:c r="Q650" s="13" t="n">
        <x:f>IF(H650="","",H650/1000000000)</x:f>
        <x:v>4.45</x:v>
      </x:c>
      <x:c r="R650" s="13" t="n">
        <x:f>IF(I650="","",I650/1000000)</x:f>
        <x:v>79.46428571428572</x:v>
      </x:c>
    </x:row>
    <x:row r="651" ht="21" customHeight="1">
      <x:c r="A651" s="10" t="n">
        <x:v>715</x:v>
      </x:c>
      <x:c r="B651" s="2" t="str">
        <x:v>fd5a1bdbfd5f60bf4db4</x:v>
      </x:c>
      <x:c r="C651" s="2" t="str">
        <x:v>Bình Dương</x:v>
      </x:c>
      <x:c r="D651" s="2" t="str">
        <x:v>Thị xã Dĩ An</x:v>
      </x:c>
      <x:c r="E651" s="2" t="str">
        <x:v>house</x:v>
      </x:c>
      <x:c r="F651" s="2" t="str">
        <x:v>sale</x:v>
      </x:c>
      <x:c r="G651" s="11" t="n">
        <x:v>486</x:v>
      </x:c>
      <x:c r="H651" s="12" t="n">
        <x:v>10000000000</x:v>
      </x:c>
      <x:c r="I651" s="12" t="n">
        <x:v>20576131.6872428</x:v>
      </x:c>
      <x:c r="J651" s="2" t="str">
        <x:v>total</x:v>
      </x:c>
      <x:c r="K651" s="2" t="str">
        <x:v>top_level_area</x:v>
      </x:c>
      <x:c r="L651" s="2" t="str">
        <x:v>property_type_inferred_from_title</x:v>
      </x:c>
      <x:c r="M651" s="10" t="n">
        <x:v>0</x:v>
      </x:c>
      <x:c r="N651" s="10" t="n">
        <x:v>0</x:v>
      </x:c>
      <x:c r="O651" s="2" t="str">
        <x:v>Bình Dương|house</x:v>
      </x:c>
      <x:c r="P651" s="10" t="n">
        <x:v>1</x:v>
      </x:c>
      <x:c r="Q651" s="13" t="n">
        <x:f>IF(H651="","",H651/1000000000)</x:f>
        <x:v>10</x:v>
      </x:c>
      <x:c r="R651" s="13" t="n">
        <x:f>IF(I651="","",I651/1000000)</x:f>
        <x:v>20.5761316872428</x:v>
      </x:c>
    </x:row>
    <x:row r="652" ht="21" customHeight="1">
      <x:c r="A652" s="10" t="n">
        <x:v>716</x:v>
      </x:c>
      <x:c r="B652" s="2" t="str">
        <x:v>5e2f93f655e5a4f2db23</x:v>
      </x:c>
      <x:c r="C652" s="2" t="str">
        <x:v>Tp Hồ Chí Minh</x:v>
      </x:c>
      <x:c r="D652" s="2" t="str">
        <x:v>Quận 12</x:v>
      </x:c>
      <x:c r="E652" s="2" t="str">
        <x:v>house</x:v>
      </x:c>
      <x:c r="F652" s="2" t="str">
        <x:v>sale_assumed</x:v>
      </x:c>
      <x:c r="G652" s="11" t="n">
        <x:v>72</x:v>
      </x:c>
      <x:c r="H652" s="12" t="n">
        <x:v>5550000000</x:v>
      </x:c>
      <x:c r="I652" s="12" t="n">
        <x:v>77083333.33333333</x:v>
      </x:c>
      <x:c r="J652" s="2" t="str">
        <x:v>total</x:v>
      </x:c>
      <x:c r="K652" s="2" t="str">
        <x:v>top_level_price_embedded_area</x:v>
      </x:c>
      <x:c r="L652" s="2" t="str">
        <x:v>area_recovered_from_price_text;property_type_inferred_from_title;transaction_assumed_sale_from_dataset_context</x:v>
      </x:c>
      <x:c r="M652" s="10" t="n">
        <x:v>0</x:v>
      </x:c>
      <x:c r="N652" s="10" t="n">
        <x:v>0</x:v>
      </x:c>
      <x:c r="O652" s="2" t="str">
        <x:v>Tp Hồ Chí Minh|house</x:v>
      </x:c>
      <x:c r="P652" s="10" t="n">
        <x:v>2</x:v>
      </x:c>
      <x:c r="Q652" s="13" t="n">
        <x:f>IF(H652="","",H652/1000000000)</x:f>
        <x:v>5.55</x:v>
      </x:c>
      <x:c r="R652" s="13" t="n">
        <x:f>IF(I652="","",I652/1000000)</x:f>
        <x:v>77.08333333333333</x:v>
      </x:c>
    </x:row>
    <x:row r="653" ht="21" customHeight="1">
      <x:c r="A653" s="10" t="n">
        <x:v>717</x:v>
      </x:c>
      <x:c r="B653" s="2" t="str">
        <x:v>6536bc796c1bb4096564</x:v>
      </x:c>
      <x:c r="C653" s="2" t="str">
        <x:v>Tp Hồ Chí Minh</x:v>
      </x:c>
      <x:c r="D653" s="2" t="str">
        <x:v>Quận 12</x:v>
      </x:c>
      <x:c r="E653" s="2" t="str">
        <x:v>house</x:v>
      </x:c>
      <x:c r="F653" s="2" t="str">
        <x:v>sale_assumed</x:v>
      </x:c>
      <x:c r="G653" s="11" t="n">
        <x:v>30</x:v>
      </x:c>
      <x:c r="H653" s="12" t="n">
        <x:v>1280000000</x:v>
      </x:c>
      <x:c r="I653" s="12" t="n">
        <x:v>42666666.666666664</x:v>
      </x:c>
      <x:c r="J653" s="2" t="str">
        <x:v>total</x:v>
      </x:c>
      <x:c r="K653" s="2" t="str">
        <x:v>top_level_area</x:v>
      </x:c>
      <x:c r="L653" s="2" t="str">
        <x:v>property_type_inferred_from_title;transaction_assumed_sale_from_dataset_context</x:v>
      </x:c>
      <x:c r="M653" s="10" t="n">
        <x:v>0</x:v>
      </x:c>
      <x:c r="N653" s="10" t="n">
        <x:v>0</x:v>
      </x:c>
      <x:c r="O653" s="2" t="str">
        <x:v>Tp Hồ Chí Minh|house</x:v>
      </x:c>
      <x:c r="P653" s="10" t="n">
        <x:v>2</x:v>
      </x:c>
      <x:c r="Q653" s="13" t="n">
        <x:f>IF(H653="","",H653/1000000000)</x:f>
        <x:v>1.28</x:v>
      </x:c>
      <x:c r="R653" s="13" t="n">
        <x:f>IF(I653="","",I653/1000000)</x:f>
        <x:v>42.666666666666664</x:v>
      </x:c>
    </x:row>
    <x:row r="654" ht="21" customHeight="1">
      <x:c r="A654" s="10" t="n">
        <x:v>718</x:v>
      </x:c>
      <x:c r="B654" s="2" t="str">
        <x:v>0ba7aedb0d63ccc00df8</x:v>
      </x:c>
      <x:c r="C654" s="2" t="str">
        <x:v>Tp Hồ Chí Minh</x:v>
      </x:c>
      <x:c r="D654" s="2" t="str">
        <x:v>Quận Thủ Đức</x:v>
      </x:c>
      <x:c r="E654" s="2" t="str">
        <x:v>house</x:v>
      </x:c>
      <x:c r="F654" s="2" t="str">
        <x:v>sale</x:v>
      </x:c>
      <x:c r="G654" s="11" t="n">
        <x:v>240</x:v>
      </x:c>
      <x:c r="H654" s="12" t="n">
        <x:v>12500000000</x:v>
      </x:c>
      <x:c r="I654" s="12" t="n">
        <x:v>52083333.333333336</x:v>
      </x:c>
      <x:c r="J654" s="2" t="str">
        <x:v>total</x:v>
      </x:c>
      <x:c r="K654" s="2" t="str">
        <x:v>top_level_area</x:v>
      </x:c>
      <x:c r="L654" s="2" t="str">
        <x:v>property_type_inferred_from_title</x:v>
      </x:c>
      <x:c r="M654" s="10" t="n">
        <x:v>0</x:v>
      </x:c>
      <x:c r="N654" s="10" t="n">
        <x:v>0</x:v>
      </x:c>
      <x:c r="O654" s="2" t="str">
        <x:v>Tp Hồ Chí Minh|house</x:v>
      </x:c>
      <x:c r="P654" s="10" t="n">
        <x:v>2</x:v>
      </x:c>
      <x:c r="Q654" s="13" t="n">
        <x:f>IF(H654="","",H654/1000000000)</x:f>
        <x:v>12.5</x:v>
      </x:c>
      <x:c r="R654" s="13" t="n">
        <x:f>IF(I654="","",I654/1000000)</x:f>
        <x:v>52.083333333333336</x:v>
      </x:c>
    </x:row>
    <x:row r="655" ht="21" customHeight="1">
      <x:c r="A655" s="10" t="n">
        <x:v>719</x:v>
      </x:c>
      <x:c r="B655" s="2" t="str">
        <x:v>749d7e68112cbb6aed19</x:v>
      </x:c>
      <x:c r="C655" s="2" t="str">
        <x:v>Tp Hồ Chí Minh</x:v>
      </x:c>
      <x:c r="D655" s="2" t="str">
        <x:v>Quận Thủ Đức</x:v>
      </x:c>
      <x:c r="E655" s="2" t="str">
        <x:v>apartment</x:v>
      </x:c>
      <x:c r="F655" s="2" t="str">
        <x:v>sale_assumed</x:v>
      </x:c>
      <x:c r="G655" s="11" t="n">
        <x:v>56</x:v>
      </x:c>
      <x:c r="H655" s="12" t="n">
        <x:v>25000000</x:v>
      </x:c>
      <x:c r="I655" s="12" t="n">
        <x:v>446428.5714285714</x:v>
      </x:c>
      <x:c r="J655" s="2" t="str">
        <x:v>total</x:v>
      </x:c>
      <x:c r="K655" s="2" t="str">
        <x:v>top_level_area</x:v>
      </x:c>
      <x:c r="L655" s="2" t="str">
        <x:v>property_type_inferred_from_title;transaction_assumed_sale_from_dataset_context</x:v>
      </x:c>
      <x:c r="M655" s="10" t="n">
        <x:v>0</x:v>
      </x:c>
      <x:c r="N655" s="10" t="n">
        <x:v>0</x:v>
      </x:c>
      <x:c r="O655" s="2" t="str">
        <x:v>Tp Hồ Chí Minh|apartment</x:v>
      </x:c>
      <x:c r="P655" s="10" t="n">
        <x:v>1</x:v>
      </x:c>
      <x:c r="Q655" s="13" t="n">
        <x:f>IF(H655="","",H655/1000000000)</x:f>
        <x:v>0.025</x:v>
      </x:c>
      <x:c r="R655" s="13" t="n">
        <x:f>IF(I655="","",I655/1000000)</x:f>
        <x:v>0.4464285714285714</x:v>
      </x:c>
    </x:row>
    <x:row r="656" ht="21" customHeight="1">
      <x:c r="A656" s="10" t="n">
        <x:v>720</x:v>
      </x:c>
      <x:c r="B656" s="2" t="str">
        <x:v>8b3c59128169240ede41</x:v>
      </x:c>
      <x:c r="C656" s="2" t="str">
        <x:v>Tp Hồ Chí Minh</x:v>
      </x:c>
      <x:c r="D656" s="2" t="str">
        <x:v>Quận Thủ Đức</x:v>
      </x:c>
      <x:c r="E656" s="2" t="str">
        <x:v>house</x:v>
      </x:c>
      <x:c r="F656" s="2" t="str">
        <x:v>sale_assumed</x:v>
      </x:c>
      <x:c r="G656" s="11" t="n">
        <x:v>33.2</x:v>
      </x:c>
      <x:c r="H656" s="12" t="n">
        <x:v>2350000000</x:v>
      </x:c>
      <x:c r="I656" s="12" t="n">
        <x:v>70783132.53012048</x:v>
      </x:c>
      <x:c r="J656" s="2" t="str">
        <x:v>total</x:v>
      </x:c>
      <x:c r="K656" s="2" t="str">
        <x:v>top_level_area</x:v>
      </x:c>
      <x:c r="L656" s="2" t="str">
        <x:v>property_type_inferred_from_title;transaction_assumed_sale_from_dataset_context</x:v>
      </x:c>
      <x:c r="M656" s="10" t="n">
        <x:v>0</x:v>
      </x:c>
      <x:c r="N656" s="10" t="n">
        <x:v>0</x:v>
      </x:c>
      <x:c r="O656" s="2" t="str">
        <x:v>Tp Hồ Chí Minh|house</x:v>
      </x:c>
      <x:c r="P656" s="10" t="n">
        <x:v>2</x:v>
      </x:c>
      <x:c r="Q656" s="13" t="n">
        <x:f>IF(H656="","",H656/1000000000)</x:f>
        <x:v>2.35</x:v>
      </x:c>
      <x:c r="R656" s="13" t="n">
        <x:f>IF(I656="","",I656/1000000)</x:f>
        <x:v>70.78313253012048</x:v>
      </x:c>
    </x:row>
    <x:row r="657" ht="21" customHeight="1">
      <x:c r="A657" s="10" t="n">
        <x:v>721</x:v>
      </x:c>
      <x:c r="B657" s="2" t="str">
        <x:v>e6362c45753ad10244e2</x:v>
      </x:c>
      <x:c r="C657" s="2" t="str">
        <x:v>Tp Hồ Chí Minh</x:v>
      </x:c>
      <x:c r="D657" s="2" t="str">
        <x:v>Huyện Hóc Môn</x:v>
      </x:c>
      <x:c r="E657" s="2" t="str">
        <x:v>land</x:v>
      </x:c>
      <x:c r="F657" s="2" t="str">
        <x:v>sale_assumed</x:v>
      </x:c>
      <x:c r="G657" s="11" t="n">
        <x:v>220</x:v>
      </x:c>
      <x:c r="H657" s="12" t="n">
        <x:v>900000000</x:v>
      </x:c>
      <x:c r="I657" s="12" t="n">
        <x:v>4090909.090909091</x:v>
      </x:c>
      <x:c r="J657" s="2" t="str">
        <x:v>total</x:v>
      </x:c>
      <x:c r="K657" s="2" t="str">
        <x:v>top_level_area</x:v>
      </x:c>
      <x:c r="L657" s="2" t="str">
        <x:v>property_type_inferred_from_title;transaction_assumed_sale_from_dataset_context</x:v>
      </x:c>
      <x:c r="M657" s="10" t="n">
        <x:v>0</x:v>
      </x:c>
      <x:c r="N657" s="10" t="n">
        <x:v>0</x:v>
      </x:c>
      <x:c r="O657" s="2" t="str">
        <x:v>Tp Hồ Chí Minh|land</x:v>
      </x:c>
      <x:c r="P657" s="10" t="n">
        <x:v>1</x:v>
      </x:c>
      <x:c r="Q657" s="13" t="n">
        <x:f>IF(H657="","",H657/1000000000)</x:f>
        <x:v>0.9</x:v>
      </x:c>
      <x:c r="R657" s="13" t="n">
        <x:f>IF(I657="","",I657/1000000)</x:f>
        <x:v>4.090909090909091</x:v>
      </x:c>
    </x:row>
    <x:row r="658" ht="21" customHeight="1">
      <x:c r="A658" s="10" t="n">
        <x:v>722</x:v>
      </x:c>
      <x:c r="B658" s="2" t="str">
        <x:v>8450bece635ce7d2cfd3</x:v>
      </x:c>
      <x:c r="C658" s="2" t="str">
        <x:v>Tp Hồ Chí Minh</x:v>
      </x:c>
      <x:c r="D658" s="2" t="str">
        <x:v>Quận 12</x:v>
      </x:c>
      <x:c r="E658" s="2" t="str">
        <x:v>house</x:v>
      </x:c>
      <x:c r="F658" s="2" t="str">
        <x:v>sale</x:v>
      </x:c>
      <x:c r="G658" s="11" t="n">
        <x:v>470</x:v>
      </x:c>
      <x:c r="H658" s="12" t="n">
        <x:v>13500000000</x:v>
      </x:c>
      <x:c r="I658" s="12" t="n">
        <x:v>28723404.25531915</x:v>
      </x:c>
      <x:c r="J658" s="2" t="str">
        <x:v>total</x:v>
      </x:c>
      <x:c r="K658" s="2" t="str">
        <x:v>top_level_area</x:v>
      </x:c>
      <x:c r="L658" s="2" t="str">
        <x:v>property_type_inferred_from_title</x:v>
      </x:c>
      <x:c r="M658" s="10" t="n">
        <x:v>0</x:v>
      </x:c>
      <x:c r="N658" s="10" t="n">
        <x:v>0</x:v>
      </x:c>
      <x:c r="O658" s="2" t="str">
        <x:v>Tp Hồ Chí Minh|house</x:v>
      </x:c>
      <x:c r="P658" s="10" t="n">
        <x:v>2</x:v>
      </x:c>
      <x:c r="Q658" s="13" t="n">
        <x:f>IF(H658="","",H658/1000000000)</x:f>
        <x:v>13.5</x:v>
      </x:c>
      <x:c r="R658" s="13" t="n">
        <x:f>IF(I658="","",I658/1000000)</x:f>
        <x:v>28.72340425531915</x:v>
      </x:c>
    </x:row>
    <x:row r="659" ht="21" customHeight="1">
      <x:c r="A659" s="10" t="n">
        <x:v>723</x:v>
      </x:c>
      <x:c r="B659" s="2" t="str">
        <x:v>c595d0a3b45a27721489</x:v>
      </x:c>
      <x:c r="C659" s="2" t="str">
        <x:v>Tp Hồ Chí Minh</x:v>
      </x:c>
      <x:c r="D659" s="2" t="str">
        <x:v>Huyện Bình Chánh</x:v>
      </x:c>
      <x:c r="E659" s="2" t="str">
        <x:v>land</x:v>
      </x:c>
      <x:c r="F659" s="2" t="str">
        <x:v>sale_assumed</x:v>
      </x:c>
      <x:c r="G659" s="11" t="n">
        <x:v>85</x:v>
      </x:c>
      <x:c r="H659" s="12" t="n">
        <x:v>1350000000</x:v>
      </x:c>
      <x:c r="I659" s="12" t="n">
        <x:v>15882352.94117647</x:v>
      </x:c>
      <x:c r="J659" s="2" t="str">
        <x:v>total</x:v>
      </x:c>
      <x:c r="K659" s="2" t="str">
        <x:v>top_level_area</x:v>
      </x:c>
      <x:c r="L659" s="2" t="str">
        <x:v>property_type_inferred_from_title;transaction_assumed_sale_from_dataset_context</x:v>
      </x:c>
      <x:c r="M659" s="10" t="n">
        <x:v>0</x:v>
      </x:c>
      <x:c r="N659" s="10" t="n">
        <x:v>0</x:v>
      </x:c>
      <x:c r="O659" s="2" t="str">
        <x:v>Tp Hồ Chí Minh|land</x:v>
      </x:c>
      <x:c r="P659" s="10" t="n">
        <x:v>2</x:v>
      </x:c>
      <x:c r="Q659" s="13" t="n">
        <x:f>IF(H659="","",H659/1000000000)</x:f>
        <x:v>1.35</x:v>
      </x:c>
      <x:c r="R659" s="13" t="n">
        <x:f>IF(I659="","",I659/1000000)</x:f>
        <x:v>15.882352941176471</x:v>
      </x:c>
    </x:row>
    <x:row r="660" ht="21" customHeight="1">
      <x:c r="A660" s="10" t="n">
        <x:v>724</x:v>
      </x:c>
      <x:c r="B660" s="2" t="str">
        <x:v>d572fc0fe020c7c70e5d</x:v>
      </x:c>
      <x:c r="C660" s="2" t="str">
        <x:v>Đà Nẵng</x:v>
      </x:c>
      <x:c r="D660" s="2" t="str">
        <x:v>Quận Liên Chiểu</x:v>
      </x:c>
      <x:c r="E660" s="2" t="str">
        <x:v>house</x:v>
      </x:c>
      <x:c r="F660" s="2" t="str">
        <x:v>sale</x:v>
      </x:c>
      <x:c r="G660" s="11" t="n">
        <x:v>90</x:v>
      </x:c>
      <x:c r="H660" s="12" t="n">
        <x:v>3950000000</x:v>
      </x:c>
      <x:c r="I660" s="12" t="n">
        <x:v>43888888.88888889</x:v>
      </x:c>
      <x:c r="J660" s="2" t="str">
        <x:v>total</x:v>
      </x:c>
      <x:c r="K660" s="2" t="str">
        <x:v>top_level_area</x:v>
      </x:c>
      <x:c r="L660" s="2" t="str">
        <x:v>property_type_inferred_from_title</x:v>
      </x:c>
      <x:c r="M660" s="10" t="n">
        <x:v>0</x:v>
      </x:c>
      <x:c r="N660" s="10" t="n">
        <x:v>0</x:v>
      </x:c>
      <x:c r="O660" s="2" t="str">
        <x:v>Đà Nẵng|house</x:v>
      </x:c>
      <x:c r="P660" s="10" t="n">
        <x:v>2</x:v>
      </x:c>
      <x:c r="Q660" s="13" t="n">
        <x:f>IF(H660="","",H660/1000000000)</x:f>
        <x:v>3.95</x:v>
      </x:c>
      <x:c r="R660" s="13" t="n">
        <x:f>IF(I660="","",I660/1000000)</x:f>
        <x:v>43.888888888888886</x:v>
      </x:c>
    </x:row>
    <x:row r="661" ht="21" customHeight="1">
      <x:c r="A661" s="10" t="n">
        <x:v>726</x:v>
      </x:c>
      <x:c r="B661" s="2" t="str">
        <x:v>afd7ed5a74090202a1e1</x:v>
      </x:c>
      <x:c r="C661" s="2" t="str">
        <x:v>Đà Nẵng</x:v>
      </x:c>
      <x:c r="D661" s="2" t="str">
        <x:v>Quận Hải Châu</x:v>
      </x:c>
      <x:c r="E661" s="2" t="str">
        <x:v>house</x:v>
      </x:c>
      <x:c r="F661" s="2" t="str">
        <x:v>sale</x:v>
      </x:c>
      <x:c r="G661" s="11" t="n">
        <x:v>40</x:v>
      </x:c>
      <x:c r="H661" s="12" t="n">
        <x:v>2450000000</x:v>
      </x:c>
      <x:c r="I661" s="12" t="n">
        <x:v>61250000</x:v>
      </x:c>
      <x:c r="J661" s="2" t="str">
        <x:v>total</x:v>
      </x:c>
      <x:c r="K661" s="2" t="str">
        <x:v>top_level_area</x:v>
      </x:c>
      <x:c r="L661" s="2" t="str">
        <x:v>property_type_inferred_from_title</x:v>
      </x:c>
      <x:c r="M661" s="10" t="n">
        <x:v>0</x:v>
      </x:c>
      <x:c r="N661" s="10" t="n">
        <x:v>0</x:v>
      </x:c>
      <x:c r="O661" s="2" t="str">
        <x:v>Đà Nẵng|house</x:v>
      </x:c>
      <x:c r="P661" s="10" t="n">
        <x:v>2</x:v>
      </x:c>
      <x:c r="Q661" s="13" t="n">
        <x:f>IF(H661="","",H661/1000000000)</x:f>
        <x:v>2.45</x:v>
      </x:c>
      <x:c r="R661" s="13" t="n">
        <x:f>IF(I661="","",I661/1000000)</x:f>
        <x:v>61.25</x:v>
      </x:c>
    </x:row>
    <x:row r="662" ht="21" customHeight="1">
      <x:c r="A662" s="10" t="n">
        <x:v>727</x:v>
      </x:c>
      <x:c r="B662" s="2" t="str">
        <x:v>b46772af52a367ce6ea9</x:v>
      </x:c>
      <x:c r="C662" s="2" t="str">
        <x:v>Bình Phước</x:v>
      </x:c>
      <x:c r="D662" s="2" t="str">
        <x:v>Huyện Chơn Thành</x:v>
      </x:c>
      <x:c r="E662" s="2" t="str">
        <x:v>land</x:v>
      </x:c>
      <x:c r="F662" s="2" t="str">
        <x:v>sale_assumed</x:v>
      </x:c>
      <x:c r="G662" s="11" t="n">
        <x:v>1600</x:v>
      </x:c>
      <x:c r="H662" s="12" t="n">
        <x:v>120000000</x:v>
      </x:c>
      <x:c r="I662" s="12" t="n">
        <x:v>75000</x:v>
      </x:c>
      <x:c r="J662" s="2" t="str">
        <x:v>total</x:v>
      </x:c>
      <x:c r="K662" s="2" t="str">
        <x:v>top_level_area</x:v>
      </x:c>
      <x:c r="L662" s="2" t="str">
        <x:v>dot_thousands_convention;property_type_inferred_from_title;transaction_assumed_sale_from_dataset_context</x:v>
      </x:c>
      <x:c r="M662" s="10" t="n">
        <x:v>0</x:v>
      </x:c>
      <x:c r="N662" s="10" t="n">
        <x:v>0</x:v>
      </x:c>
      <x:c r="O662" s="2" t="str">
        <x:v>Bình Phước|land</x:v>
      </x:c>
      <x:c r="P662" s="10" t="n">
        <x:v>1</x:v>
      </x:c>
      <x:c r="Q662" s="13" t="n">
        <x:f>IF(H662="","",H662/1000000000)</x:f>
        <x:v>0.12</x:v>
      </x:c>
      <x:c r="R662" s="13" t="n">
        <x:f>IF(I662="","",I662/1000000)</x:f>
        <x:v>0.075</x:v>
      </x:c>
    </x:row>
    <x:row r="663" ht="21" customHeight="1">
      <x:c r="A663" s="10" t="n">
        <x:v>728</x:v>
      </x:c>
      <x:c r="B663" s="2" t="str">
        <x:v>91790191b6f7ec5c5117</x:v>
      </x:c>
      <x:c r="C663" s="2" t="str">
        <x:v>Tp Hồ Chí Minh</x:v>
      </x:c>
      <x:c r="D663" s="2" t="str">
        <x:v>Quận 10</x:v>
      </x:c>
      <x:c r="E663" s="2" t="str">
        <x:v>other_unknown</x:v>
      </x:c>
      <x:c r="F663" s="2" t="str">
        <x:v>sale_assumed</x:v>
      </x:c>
      <x:c r="G663" s="11" t="n">
        <x:v>33</x:v>
      </x:c>
      <x:c r="H663" s="12" t="n">
        <x:v>5150000000</x:v>
      </x:c>
      <x:c r="I663" s="12" t="n">
        <x:v>156060606.06060606</x:v>
      </x:c>
      <x:c r="J663" s="2" t="str">
        <x:v>total</x:v>
      </x:c>
      <x:c r="K663" s="2" t="str">
        <x:v>top_level_area</x:v>
      </x:c>
      <x:c r="L663" s="2" t="str">
        <x:v>property_type_inferred_from_title;transaction_assumed_sale_from_dataset_context;unknown_property_type</x:v>
      </x:c>
      <x:c r="M663" s="10" t="n">
        <x:v>0</x:v>
      </x:c>
      <x:c r="N663" s="10" t="n">
        <x:v>0</x:v>
      </x:c>
      <x:c r="O663" s="2" t="str">
        <x:v>Tp Hồ Chí Minh|other_unknown</x:v>
      </x:c>
      <x:c r="P663" s="10" t="n">
        <x:v>2</x:v>
      </x:c>
      <x:c r="Q663" s="13" t="n">
        <x:f>IF(H663="","",H663/1000000000)</x:f>
        <x:v>5.15</x:v>
      </x:c>
      <x:c r="R663" s="13" t="n">
        <x:f>IF(I663="","",I663/1000000)</x:f>
        <x:v>156.06060606060606</x:v>
      </x:c>
    </x:row>
    <x:row r="664" ht="21" customHeight="1">
      <x:c r="A664" s="10" t="n">
        <x:v>729</x:v>
      </x:c>
      <x:c r="B664" s="2" t="str">
        <x:v>7843ab5b960ae824d559</x:v>
      </x:c>
      <x:c r="C664" s="2" t="str">
        <x:v>Đà Nẵng</x:v>
      </x:c>
      <x:c r="D664" s="2" t="str">
        <x:v>Quận Liên Chiểu</x:v>
      </x:c>
      <x:c r="E664" s="2" t="str">
        <x:v>house</x:v>
      </x:c>
      <x:c r="F664" s="2" t="str">
        <x:v>sale</x:v>
      </x:c>
      <x:c r="G664" s="11" t="n">
        <x:v>90</x:v>
      </x:c>
      <x:c r="H664" s="12" t="n">
        <x:v>3300000000</x:v>
      </x:c>
      <x:c r="I664" s="12" t="n">
        <x:v>36666666.666666664</x:v>
      </x:c>
      <x:c r="J664" s="2" t="str">
        <x:v>total</x:v>
      </x:c>
      <x:c r="K664" s="2" t="str">
        <x:v>top_level_area</x:v>
      </x:c>
      <x:c r="L664" s="2" t="str">
        <x:v>property_type_inferred_from_title</x:v>
      </x:c>
      <x:c r="M664" s="10" t="n">
        <x:v>0</x:v>
      </x:c>
      <x:c r="N664" s="10" t="n">
        <x:v>0</x:v>
      </x:c>
      <x:c r="O664" s="2" t="str">
        <x:v>Đà Nẵng|house</x:v>
      </x:c>
      <x:c r="P664" s="10" t="n">
        <x:v>2</x:v>
      </x:c>
      <x:c r="Q664" s="13" t="n">
        <x:f>IF(H664="","",H664/1000000000)</x:f>
        <x:v>3.3</x:v>
      </x:c>
      <x:c r="R664" s="13" t="n">
        <x:f>IF(I664="","",I664/1000000)</x:f>
        <x:v>36.666666666666664</x:v>
      </x:c>
    </x:row>
    <x:row r="665" ht="21" customHeight="1">
      <x:c r="A665" s="10" t="n">
        <x:v>730</x:v>
      </x:c>
      <x:c r="B665" s="2" t="str">
        <x:v>f98454c2f54997e7fe30</x:v>
      </x:c>
      <x:c r="C665" s="2" t="str">
        <x:v>Tp Hồ Chí Minh</x:v>
      </x:c>
      <x:c r="D665" s="2" t="str">
        <x:v>Quận 12</x:v>
      </x:c>
      <x:c r="E665" s="2" t="str">
        <x:v>other_unknown</x:v>
      </x:c>
      <x:c r="F665" s="2" t="str">
        <x:v>sale_assumed</x:v>
      </x:c>
      <x:c r="G665" s="11" t="n">
        <x:v>210</x:v>
      </x:c>
      <x:c r="H665" s="12" t="n">
        <x:v>900000000</x:v>
      </x:c>
      <x:c r="I665" s="12" t="n">
        <x:v>4285714.285714285</x:v>
      </x:c>
      <x:c r="J665" s="2" t="str">
        <x:v>total</x:v>
      </x:c>
      <x:c r="K665" s="2" t="str">
        <x:v>top_level_area</x:v>
      </x:c>
      <x:c r="L665" s="2" t="str">
        <x:v>property_type_inferred_from_title;transaction_assumed_sale_from_dataset_context;unknown_property_type</x:v>
      </x:c>
      <x:c r="M665" s="10" t="n">
        <x:v>0</x:v>
      </x:c>
      <x:c r="N665" s="10" t="n">
        <x:v>0</x:v>
      </x:c>
      <x:c r="O665" s="2" t="str">
        <x:v>Tp Hồ Chí Minh|other_unknown</x:v>
      </x:c>
      <x:c r="P665" s="10" t="n">
        <x:v>1</x:v>
      </x:c>
      <x:c r="Q665" s="13" t="n">
        <x:f>IF(H665="","",H665/1000000000)</x:f>
        <x:v>0.9</x:v>
      </x:c>
      <x:c r="R665" s="13" t="n">
        <x:f>IF(I665="","",I665/1000000)</x:f>
        <x:v>4.285714285714286</x:v>
      </x:c>
    </x:row>
    <x:row r="666" ht="21" customHeight="1">
      <x:c r="A666" s="10" t="n">
        <x:v>731</x:v>
      </x:c>
      <x:c r="B666" s="2" t="str">
        <x:v>3fce68d4623d88bb2314</x:v>
      </x:c>
      <x:c r="C666" s="2" t="str">
        <x:v>Tp Hồ Chí Minh</x:v>
      </x:c>
      <x:c r="D666" s="2" t="str">
        <x:v>Quận Thủ Đức</x:v>
      </x:c>
      <x:c r="E666" s="2" t="str">
        <x:v>house</x:v>
      </x:c>
      <x:c r="F666" s="2" t="str">
        <x:v>sale_assumed</x:v>
      </x:c>
      <x:c r="G666" s="11" t="n">
        <x:v>96</x:v>
      </x:c>
      <x:c r="H666" s="12" t="n">
        <x:v>6000000000</x:v>
      </x:c>
      <x:c r="I666" s="12" t="n">
        <x:v>62500000</x:v>
      </x:c>
      <x:c r="J666" s="2" t="str">
        <x:v>total</x:v>
      </x:c>
      <x:c r="K666" s="2" t="str">
        <x:v>top_level_area</x:v>
      </x:c>
      <x:c r="L666" s="2" t="str">
        <x:v>property_type_inferred_from_title;transaction_assumed_sale_from_dataset_context</x:v>
      </x:c>
      <x:c r="M666" s="10" t="n">
        <x:v>0</x:v>
      </x:c>
      <x:c r="N666" s="10" t="n">
        <x:v>0</x:v>
      </x:c>
      <x:c r="O666" s="2" t="str">
        <x:v>Tp Hồ Chí Minh|house</x:v>
      </x:c>
      <x:c r="P666" s="10" t="n">
        <x:v>2</x:v>
      </x:c>
      <x:c r="Q666" s="13" t="n">
        <x:f>IF(H666="","",H666/1000000000)</x:f>
        <x:v>6</x:v>
      </x:c>
      <x:c r="R666" s="13" t="n">
        <x:f>IF(I666="","",I666/1000000)</x:f>
        <x:v>62.5</x:v>
      </x:c>
    </x:row>
    <x:row r="667" ht="21" customHeight="1">
      <x:c r="A667" s="10" t="n">
        <x:v>732</x:v>
      </x:c>
      <x:c r="B667" s="2" t="str">
        <x:v>ef477f9953c7d0f90a2c</x:v>
      </x:c>
      <x:c r="C667" s="2" t="str">
        <x:v>Tp Hồ Chí Minh</x:v>
      </x:c>
      <x:c r="D667" s="2" t="str">
        <x:v>Quận 12</x:v>
      </x:c>
      <x:c r="E667" s="2" t="str">
        <x:v>house</x:v>
      </x:c>
      <x:c r="F667" s="2" t="str">
        <x:v>sale_assumed</x:v>
      </x:c>
      <x:c r="G667" s="11" t="n">
        <x:v>51</x:v>
      </x:c>
      <x:c r="H667" s="12" t="n">
        <x:v>2300000000</x:v>
      </x:c>
      <x:c r="I667" s="12" t="n">
        <x:v>45098039.21568628</x:v>
      </x:c>
      <x:c r="J667" s="2" t="str">
        <x:v>total</x:v>
      </x:c>
      <x:c r="K667" s="2" t="str">
        <x:v>top_level_area</x:v>
      </x:c>
      <x:c r="L667" s="2" t="str">
        <x:v>property_type_inferred_from_title;transaction_assumed_sale_from_dataset_context</x:v>
      </x:c>
      <x:c r="M667" s="10" t="n">
        <x:v>0</x:v>
      </x:c>
      <x:c r="N667" s="10" t="n">
        <x:v>0</x:v>
      </x:c>
      <x:c r="O667" s="2" t="str">
        <x:v>Tp Hồ Chí Minh|house</x:v>
      </x:c>
      <x:c r="P667" s="10" t="n">
        <x:v>2</x:v>
      </x:c>
      <x:c r="Q667" s="13" t="n">
        <x:f>IF(H667="","",H667/1000000000)</x:f>
        <x:v>2.3</x:v>
      </x:c>
      <x:c r="R667" s="13" t="n">
        <x:f>IF(I667="","",I667/1000000)</x:f>
        <x:v>45.09803921568628</x:v>
      </x:c>
    </x:row>
    <x:row r="668" ht="21" customHeight="1">
      <x:c r="A668" s="10" t="n">
        <x:v>733</x:v>
      </x:c>
      <x:c r="B668" s="2" t="str">
        <x:v>55fa8e214f36cd355f10</x:v>
      </x:c>
      <x:c r="C668" s="2" t="str">
        <x:v>Đồng Nai</x:v>
      </x:c>
      <x:c r="D668" s="2" t="str">
        <x:v>Huyện Định Quán</x:v>
      </x:c>
      <x:c r="E668" s="2" t="str">
        <x:v>other_unknown</x:v>
      </x:c>
      <x:c r="F668" s="2" t="str">
        <x:v>sale</x:v>
      </x:c>
      <x:c r="G668" s="11" t="n">
        <x:v>1000</x:v>
      </x:c>
      <x:c r="H668" s="12" t="n">
        <x:v>750000000</x:v>
      </x:c>
      <x:c r="I668" s="12" t="n">
        <x:v>750000</x:v>
      </x:c>
      <x:c r="J668" s="2" t="str">
        <x:v>total</x:v>
      </x:c>
      <x:c r="K668" s="2" t="str">
        <x:v>top_level_area</x:v>
      </x:c>
      <x:c r="L668" s="2" t="str">
        <x:v>dot_thousands_convention;property_type_inferred_from_title;unknown_property_type</x:v>
      </x:c>
      <x:c r="M668" s="10" t="n">
        <x:v>0</x:v>
      </x:c>
      <x:c r="N668" s="10" t="n">
        <x:v>0</x:v>
      </x:c>
      <x:c r="O668" s="2" t="str">
        <x:v>Đồng Nai|other_unknown</x:v>
      </x:c>
      <x:c r="P668" s="10" t="n">
        <x:v>1</x:v>
      </x:c>
      <x:c r="Q668" s="13" t="n">
        <x:f>IF(H668="","",H668/1000000000)</x:f>
        <x:v>0.75</x:v>
      </x:c>
      <x:c r="R668" s="13" t="n">
        <x:f>IF(I668="","",I668/1000000)</x:f>
        <x:v>0.75</x:v>
      </x:c>
    </x:row>
    <x:row r="669" ht="21" customHeight="1">
      <x:c r="A669" s="10" t="n">
        <x:v>734</x:v>
      </x:c>
      <x:c r="B669" s="2" t="str">
        <x:v>0b1f2109546df093be46</x:v>
      </x:c>
      <x:c r="C669" s="2" t="str">
        <x:v>Tp Hồ Chí Minh</x:v>
      </x:c>
      <x:c r="D669" s="2" t="str">
        <x:v>Quận Tân Bình</x:v>
      </x:c>
      <x:c r="E669" s="2" t="str">
        <x:v>other_unknown</x:v>
      </x:c>
      <x:c r="F669" s="2" t="str">
        <x:v>sale_assumed</x:v>
      </x:c>
      <x:c r="G669" s="11" t="n">
        <x:v>158</x:v>
      </x:c>
      <x:c r="H669" s="12" t="n">
        <x:v>20500000000</x:v>
      </x:c>
      <x:c r="I669" s="12" t="n">
        <x:v>129746835.44303797</x:v>
      </x:c>
      <x:c r="J669" s="2" t="str">
        <x:v>total</x:v>
      </x:c>
      <x:c r="K669" s="2" t="str">
        <x:v>top_level_area</x:v>
      </x:c>
      <x:c r="L669" s="2" t="str">
        <x:v>property_type_inferred_from_title;transaction_assumed_sale_from_dataset_context;unknown_property_type</x:v>
      </x:c>
      <x:c r="M669" s="10" t="n">
        <x:v>0</x:v>
      </x:c>
      <x:c r="N669" s="10" t="n">
        <x:v>0</x:v>
      </x:c>
      <x:c r="O669" s="2" t="str">
        <x:v>Tp Hồ Chí Minh|other_unknown</x:v>
      </x:c>
      <x:c r="P669" s="10" t="n">
        <x:v>2</x:v>
      </x:c>
      <x:c r="Q669" s="13" t="n">
        <x:f>IF(H669="","",H669/1000000000)</x:f>
        <x:v>20.5</x:v>
      </x:c>
      <x:c r="R669" s="13" t="n">
        <x:f>IF(I669="","",I669/1000000)</x:f>
        <x:v>129.74683544303798</x:v>
      </x:c>
    </x:row>
    <x:row r="670" ht="21" customHeight="1">
      <x:c r="A670" s="10" t="n">
        <x:v>735</x:v>
      </x:c>
      <x:c r="B670" s="2" t="str">
        <x:v>56a7c0106e95694c7af9</x:v>
      </x:c>
      <x:c r="C670" s="2" t="str">
        <x:v>Tp Hồ Chí Minh</x:v>
      </x:c>
      <x:c r="D670" s="2" t="str">
        <x:v>Quận Bình Thạnh</x:v>
      </x:c>
      <x:c r="E670" s="2" t="str">
        <x:v>other_unknown</x:v>
      </x:c>
      <x:c r="F670" s="2" t="str">
        <x:v>sale</x:v>
      </x:c>
      <x:c r="G670" s="11" t="n">
        <x:v>70</x:v>
      </x:c>
      <x:c r="H670" s="12" t="n">
        <x:v>10200000000</x:v>
      </x:c>
      <x:c r="I670" s="12" t="n">
        <x:v>145714285.7142857</x:v>
      </x:c>
      <x:c r="J670" s="2" t="str">
        <x:v>total</x:v>
      </x:c>
      <x:c r="K670" s="2" t="str">
        <x:v>top_level_price_embedded_area</x:v>
      </x:c>
      <x:c r="L670" s="2" t="str">
        <x:v>area_recovered_from_price_text;property_type_inferred_from_title;unknown_property_type</x:v>
      </x:c>
      <x:c r="M670" s="10" t="n">
        <x:v>0</x:v>
      </x:c>
      <x:c r="N670" s="10" t="n">
        <x:v>0</x:v>
      </x:c>
      <x:c r="O670" s="2" t="str">
        <x:v>Tp Hồ Chí Minh|other_unknown</x:v>
      </x:c>
      <x:c r="P670" s="10" t="n">
        <x:v>2</x:v>
      </x:c>
      <x:c r="Q670" s="13" t="n">
        <x:f>IF(H670="","",H670/1000000000)</x:f>
        <x:v>10.2</x:v>
      </x:c>
      <x:c r="R670" s="13" t="n">
        <x:f>IF(I670="","",I670/1000000)</x:f>
        <x:v>145.7142857142857</x:v>
      </x:c>
    </x:row>
    <x:row r="671" ht="21" customHeight="1">
      <x:c r="A671" s="10" t="n">
        <x:v>736</x:v>
      </x:c>
      <x:c r="B671" s="2" t="str">
        <x:v>d8e11bec02c45c894956</x:v>
      </x:c>
      <x:c r="C671" s="2" t="str">
        <x:v>Tp Hồ Chí Minh</x:v>
      </x:c>
      <x:c r="D671" s="2" t="str">
        <x:v>Quận Gò Vấp</x:v>
      </x:c>
      <x:c r="E671" s="2" t="str">
        <x:v>house</x:v>
      </x:c>
      <x:c r="F671" s="2" t="str">
        <x:v>sale_assumed</x:v>
      </x:c>
      <x:c r="G671" s="11" t="n">
        <x:v>36</x:v>
      </x:c>
      <x:c r="H671" s="12" t="n">
        <x:v>4099999999.9999995</x:v>
      </x:c>
      <x:c r="I671" s="12" t="n">
        <x:v>113888888.88888888</x:v>
      </x:c>
      <x:c r="J671" s="2" t="str">
        <x:v>total</x:v>
      </x:c>
      <x:c r="K671" s="2" t="str">
        <x:v>top_level_price_embedded_area</x:v>
      </x:c>
      <x:c r="L671" s="2" t="str">
        <x:v>area_recovered_from_price_text;property_type_inferred_from_title;transaction_assumed_sale_from_dataset_context</x:v>
      </x:c>
      <x:c r="M671" s="10" t="n">
        <x:v>0</x:v>
      </x:c>
      <x:c r="N671" s="10" t="n">
        <x:v>0</x:v>
      </x:c>
      <x:c r="O671" s="2" t="str">
        <x:v>Tp Hồ Chí Minh|house</x:v>
      </x:c>
      <x:c r="P671" s="10" t="n">
        <x:v>2</x:v>
      </x:c>
      <x:c r="Q671" s="13" t="n">
        <x:f>IF(H671="","",H671/1000000000)</x:f>
        <x:v>4.1</x:v>
      </x:c>
      <x:c r="R671" s="13" t="n">
        <x:f>IF(I671="","",I671/1000000)</x:f>
        <x:v>113.88888888888889</x:v>
      </x:c>
    </x:row>
    <x:row r="672" ht="21" customHeight="1">
      <x:c r="A672" s="10" t="n">
        <x:v>737</x:v>
      </x:c>
      <x:c r="B672" s="2" t="str">
        <x:v>f58174f4715480673411</x:v>
      </x:c>
      <x:c r="C672" s="2" t="str">
        <x:v>Tp Hồ Chí Minh</x:v>
      </x:c>
      <x:c r="D672" s="2" t="str">
        <x:v>Quận Bình Thạnh</x:v>
      </x:c>
      <x:c r="E672" s="2" t="str">
        <x:v>house</x:v>
      </x:c>
      <x:c r="F672" s="2" t="str">
        <x:v>sale</x:v>
      </x:c>
      <x:c r="G672" s="11" t="n">
        <x:v>70</x:v>
      </x:c>
      <x:c r="H672" s="12" t="n">
        <x:v>12000000000</x:v>
      </x:c>
      <x:c r="I672" s="12" t="n">
        <x:v>171428571.42857143</x:v>
      </x:c>
      <x:c r="J672" s="2" t="str">
        <x:v>total</x:v>
      </x:c>
      <x:c r="K672" s="2" t="str">
        <x:v>top_level_area</x:v>
      </x:c>
      <x:c r="L672" s="2" t="str">
        <x:v>property_type_inferred_from_title</x:v>
      </x:c>
      <x:c r="M672" s="10" t="n">
        <x:v>1</x:v>
      </x:c>
      <x:c r="N672" s="10" t="n">
        <x:v>0</x:v>
      </x:c>
      <x:c r="O672" s="2" t="str">
        <x:v>Tp Hồ Chí Minh|house</x:v>
      </x:c>
      <x:c r="P672" s="10" t="n">
        <x:v>2</x:v>
      </x:c>
      <x:c r="Q672" s="13" t="n">
        <x:f>IF(H672="","",H672/1000000000)</x:f>
        <x:v>12</x:v>
      </x:c>
      <x:c r="R672" s="13" t="n">
        <x:f>IF(I672="","",I672/1000000)</x:f>
        <x:v>171.42857142857144</x:v>
      </x:c>
    </x:row>
    <x:row r="673" ht="21" customHeight="1">
      <x:c r="A673" s="10" t="n">
        <x:v>738</x:v>
      </x:c>
      <x:c r="B673" s="2" t="str">
        <x:v>c4438b8cc4026e59eef9</x:v>
      </x:c>
      <x:c r="C673" s="2" t="str">
        <x:v>Bình Dương</x:v>
      </x:c>
      <x:c r="D673" s="2" t="str">
        <x:v>Thị xã Thuận An</x:v>
      </x:c>
      <x:c r="E673" s="2" t="str">
        <x:v>apartment</x:v>
      </x:c>
      <x:c r="F673" s="2" t="str">
        <x:v>sale_assumed</x:v>
      </x:c>
      <x:c r="G673" s="11" t="n">
        <x:v>61</x:v>
      </x:c>
      <x:c r="H673" s="12" t="n">
        <x:v>1000000000</x:v>
      </x:c>
      <x:c r="I673" s="12" t="n">
        <x:v>16393442.62295082</x:v>
      </x:c>
      <x:c r="J673" s="2" t="str">
        <x:v>total</x:v>
      </x:c>
      <x:c r="K673" s="2" t="str">
        <x:v>top_level_area</x:v>
      </x:c>
      <x:c r="L673" s="2" t="str">
        <x:v>property_type_inferred_from_title;transaction_assumed_sale_from_dataset_context</x:v>
      </x:c>
      <x:c r="M673" s="10" t="n">
        <x:v>0</x:v>
      </x:c>
      <x:c r="N673" s="10" t="n">
        <x:v>0</x:v>
      </x:c>
      <x:c r="O673" s="2" t="str">
        <x:v>Bình Dương|apartment</x:v>
      </x:c>
      <x:c r="P673" s="10" t="n">
        <x:v>2</x:v>
      </x:c>
      <x:c r="Q673" s="13" t="n">
        <x:f>IF(H673="","",H673/1000000000)</x:f>
        <x:v>1</x:v>
      </x:c>
      <x:c r="R673" s="13" t="n">
        <x:f>IF(I673="","",I673/1000000)</x:f>
        <x:v>16.393442622950822</x:v>
      </x:c>
    </x:row>
    <x:row r="674" ht="21" customHeight="1">
      <x:c r="A674" s="10" t="n">
        <x:v>739</x:v>
      </x:c>
      <x:c r="B674" s="2" t="str">
        <x:v>9ef66e8bf58cd614889d</x:v>
      </x:c>
      <x:c r="C674" s="2" t="str">
        <x:v>Tp Hồ Chí Minh</x:v>
      </x:c>
      <x:c r="D674" s="2" t="str">
        <x:v>Quận Tân Phú</x:v>
      </x:c>
      <x:c r="E674" s="2" t="str">
        <x:v>other_unknown</x:v>
      </x:c>
      <x:c r="F674" s="2" t="str">
        <x:v>sale_assumed</x:v>
      </x:c>
      <x:c r="G674" s="11" t="n">
        <x:v>36</x:v>
      </x:c>
      <x:c r="H674" s="12" t="n">
        <x:v>1250000000</x:v>
      </x:c>
      <x:c r="I674" s="12" t="n">
        <x:v>34722222.222222224</x:v>
      </x:c>
      <x:c r="J674" s="2" t="str">
        <x:v>total</x:v>
      </x:c>
      <x:c r="K674" s="2" t="str">
        <x:v>top_level_area</x:v>
      </x:c>
      <x:c r="L674" s="2" t="str">
        <x:v>property_type_inferred_from_title;transaction_assumed_sale_from_dataset_context;unknown_property_type</x:v>
      </x:c>
      <x:c r="M674" s="10" t="n">
        <x:v>0</x:v>
      </x:c>
      <x:c r="N674" s="10" t="n">
        <x:v>0</x:v>
      </x:c>
      <x:c r="O674" s="2" t="str">
        <x:v>Tp Hồ Chí Minh|other_unknown</x:v>
      </x:c>
      <x:c r="P674" s="10" t="n">
        <x:v>2</x:v>
      </x:c>
      <x:c r="Q674" s="13" t="n">
        <x:f>IF(H674="","",H674/1000000000)</x:f>
        <x:v>1.25</x:v>
      </x:c>
      <x:c r="R674" s="13" t="n">
        <x:f>IF(I674="","",I674/1000000)</x:f>
        <x:v>34.72222222222222</x:v>
      </x:c>
    </x:row>
    <x:row r="675" ht="21" customHeight="1">
      <x:c r="A675" s="10" t="n">
        <x:v>740</x:v>
      </x:c>
      <x:c r="B675" s="2" t="str">
        <x:v>5bc629534e58d74d9897</x:v>
      </x:c>
      <x:c r="C675" s="2" t="str">
        <x:v>Hà Nội</x:v>
      </x:c>
      <x:c r="D675" s="2" t="str">
        <x:v>Quận Đống Đa</x:v>
      </x:c>
      <x:c r="E675" s="2" t="str">
        <x:v>other_unknown</x:v>
      </x:c>
      <x:c r="F675" s="2" t="str">
        <x:v>sale_assumed</x:v>
      </x:c>
      <x:c r="G675" s="11" t="n">
        <x:v>30</x:v>
      </x:c>
      <x:c r="H675" s="12" t="n">
        <x:v>4000000000</x:v>
      </x:c>
      <x:c r="I675" s="12" t="n">
        <x:v>133333333.33333333</x:v>
      </x:c>
      <x:c r="J675" s="2" t="str">
        <x:v>total</x:v>
      </x:c>
      <x:c r="K675" s="2" t="str">
        <x:v>top_level_area</x:v>
      </x:c>
      <x:c r="L675" s="2" t="str">
        <x:v>property_type_inferred_from_title;transaction_assumed_sale_from_dataset_context;unknown_property_type</x:v>
      </x:c>
      <x:c r="M675" s="10" t="n">
        <x:v>0</x:v>
      </x:c>
      <x:c r="N675" s="10" t="n">
        <x:v>0</x:v>
      </x:c>
      <x:c r="O675" s="2" t="str">
        <x:v>Hà Nội|other_unknown</x:v>
      </x:c>
      <x:c r="P675" s="10" t="n">
        <x:v>2</x:v>
      </x:c>
      <x:c r="Q675" s="13" t="n">
        <x:f>IF(H675="","",H675/1000000000)</x:f>
        <x:v>4</x:v>
      </x:c>
      <x:c r="R675" s="13" t="n">
        <x:f>IF(I675="","",I675/1000000)</x:f>
        <x:v>133.33333333333331</x:v>
      </x:c>
    </x:row>
    <x:row r="676" ht="21" customHeight="1">
      <x:c r="A676" s="10" t="n">
        <x:v>741</x:v>
      </x:c>
      <x:c r="B676" s="2" t="str">
        <x:v>b6f52d03448d7a41f870</x:v>
      </x:c>
      <x:c r="C676" s="2" t="str">
        <x:v>Tp Hồ Chí Minh</x:v>
      </x:c>
      <x:c r="D676" s="2" t="str">
        <x:v>Quận Gò Vấp</x:v>
      </x:c>
      <x:c r="E676" s="2" t="str">
        <x:v>house</x:v>
      </x:c>
      <x:c r="F676" s="2" t="str">
        <x:v>sale</x:v>
      </x:c>
      <x:c r="G676" s="11" t="n">
        <x:v>100</x:v>
      </x:c>
      <x:c r="H676" s="12" t="n">
        <x:v>8650000000</x:v>
      </x:c>
      <x:c r="I676" s="12" t="n">
        <x:v>86500000</x:v>
      </x:c>
      <x:c r="J676" s="2" t="str">
        <x:v>total</x:v>
      </x:c>
      <x:c r="K676" s="2" t="str">
        <x:v>top_level_area</x:v>
      </x:c>
      <x:c r="L676" s="2" t="str">
        <x:v>property_type_inferred_from_title</x:v>
      </x:c>
      <x:c r="M676" s="10" t="n">
        <x:v>0</x:v>
      </x:c>
      <x:c r="N676" s="10" t="n">
        <x:v>0</x:v>
      </x:c>
      <x:c r="O676" s="2" t="str">
        <x:v>Tp Hồ Chí Minh|house</x:v>
      </x:c>
      <x:c r="P676" s="10" t="n">
        <x:v>2</x:v>
      </x:c>
      <x:c r="Q676" s="13" t="n">
        <x:f>IF(H676="","",H676/1000000000)</x:f>
        <x:v>8.65</x:v>
      </x:c>
      <x:c r="R676" s="13" t="n">
        <x:f>IF(I676="","",I676/1000000)</x:f>
        <x:v>86.5</x:v>
      </x:c>
    </x:row>
    <x:row r="677" ht="21" customHeight="1">
      <x:c r="A677" s="10" t="n">
        <x:v>742</x:v>
      </x:c>
      <x:c r="B677" s="2" t="str">
        <x:v>e5e4c9bcc908a6e84fef</x:v>
      </x:c>
      <x:c r="C677" s="2" t="str">
        <x:v>Quảng Nam</x:v>
      </x:c>
      <x:c r="D677" s="2" t="str">
        <x:v>Thị xã Điện Bàn</x:v>
      </x:c>
      <x:c r="E677" s="2" t="str">
        <x:v>house</x:v>
      </x:c>
      <x:c r="F677" s="2" t="str">
        <x:v>sale</x:v>
      </x:c>
      <x:c r="G677" s="11" t="n">
        <x:v>300</x:v>
      </x:c>
      <x:c r="H677" s="12" t="n">
        <x:v>9500000000</x:v>
      </x:c>
      <x:c r="I677" s="12" t="n">
        <x:v>31666666.666666668</x:v>
      </x:c>
      <x:c r="J677" s="2" t="str">
        <x:v>total</x:v>
      </x:c>
      <x:c r="K677" s="2" t="str">
        <x:v>top_level_area</x:v>
      </x:c>
      <x:c r="L677" s="2" t="str">
        <x:v>property_type_inferred_from_title</x:v>
      </x:c>
      <x:c r="M677" s="10" t="n">
        <x:v>0</x:v>
      </x:c>
      <x:c r="N677" s="10" t="n">
        <x:v>0</x:v>
      </x:c>
      <x:c r="O677" s="2" t="str">
        <x:v>house</x:v>
      </x:c>
      <x:c r="P677" s="10" t="n">
        <x:v>2</x:v>
      </x:c>
      <x:c r="Q677" s="13" t="n">
        <x:f>IF(H677="","",H677/1000000000)</x:f>
        <x:v>9.5</x:v>
      </x:c>
      <x:c r="R677" s="13" t="n">
        <x:f>IF(I677="","",I677/1000000)</x:f>
        <x:v>31.666666666666668</x:v>
      </x:c>
    </x:row>
    <x:row r="678" ht="21" customHeight="1">
      <x:c r="A678" s="10" t="n">
        <x:v>743</x:v>
      </x:c>
      <x:c r="B678" s="2" t="str">
        <x:v>c2df4333f8189162f9d9</x:v>
      </x:c>
      <x:c r="C678" s="2" t="str">
        <x:v>Tp Hồ Chí Minh</x:v>
      </x:c>
      <x:c r="D678" s="2" t="str">
        <x:v>Quận Bình Thạnh</x:v>
      </x:c>
      <x:c r="E678" s="2" t="str">
        <x:v>house</x:v>
      </x:c>
      <x:c r="F678" s="2" t="str">
        <x:v>sale_assumed</x:v>
      </x:c>
      <x:c r="G678" s="11" t="n">
        <x:v>47</x:v>
      </x:c>
      <x:c r="H678" s="12" t="n">
        <x:v>1050000000</x:v>
      </x:c>
      <x:c r="I678" s="12" t="n">
        <x:v>22340425.531914894</x:v>
      </x:c>
      <x:c r="J678" s="2" t="str">
        <x:v>total</x:v>
      </x:c>
      <x:c r="K678" s="2" t="str">
        <x:v>top_level_area</x:v>
      </x:c>
      <x:c r="L678" s="2" t="str">
        <x:v>property_type_inferred_from_title;transaction_assumed_sale_from_dataset_context</x:v>
      </x:c>
      <x:c r="M678" s="10" t="n">
        <x:v>0</x:v>
      </x:c>
      <x:c r="N678" s="10" t="n">
        <x:v>0</x:v>
      </x:c>
      <x:c r="O678" s="2" t="str">
        <x:v>Tp Hồ Chí Minh|house</x:v>
      </x:c>
      <x:c r="P678" s="10" t="n">
        <x:v>2</x:v>
      </x:c>
      <x:c r="Q678" s="13" t="n">
        <x:f>IF(H678="","",H678/1000000000)</x:f>
        <x:v>1.05</x:v>
      </x:c>
      <x:c r="R678" s="13" t="n">
        <x:f>IF(I678="","",I678/1000000)</x:f>
        <x:v>22.340425531914892</x:v>
      </x:c>
    </x:row>
    <x:row r="679" ht="21" customHeight="1">
      <x:c r="A679" s="10" t="n">
        <x:v>744</x:v>
      </x:c>
      <x:c r="B679" s="2" t="str">
        <x:v>15e56a28e0e8753a290b</x:v>
      </x:c>
      <x:c r="C679" s="2" t="str">
        <x:v>Tp Hồ Chí Minh</x:v>
      </x:c>
      <x:c r="D679" s="2" t="str">
        <x:v>Quận 8</x:v>
      </x:c>
      <x:c r="E679" s="2" t="str">
        <x:v>other_unknown</x:v>
      </x:c>
      <x:c r="F679" s="2" t="str">
        <x:v>sale_assumed</x:v>
      </x:c>
      <x:c r="G679" s="11" t="n">
        <x:v>60</x:v>
      </x:c>
      <x:c r="H679" s="12" t="n">
        <x:v>190000000</x:v>
      </x:c>
      <x:c r="I679" s="12" t="n">
        <x:v>3166666.6666666665</x:v>
      </x:c>
      <x:c r="J679" s="2" t="str">
        <x:v>total</x:v>
      </x:c>
      <x:c r="K679" s="2" t="str">
        <x:v>top_level_price_embedded_area</x:v>
      </x:c>
      <x:c r="L679" s="2" t="str">
        <x:v>area_recovered_from_price_text;property_type_inferred_from_title;transaction_assumed_sale_from_dataset_context;unknown_property_type</x:v>
      </x:c>
      <x:c r="M679" s="10" t="n">
        <x:v>0</x:v>
      </x:c>
      <x:c r="N679" s="10" t="n">
        <x:v>0</x:v>
      </x:c>
      <x:c r="O679" s="2" t="str">
        <x:v>Tp Hồ Chí Minh|other_unknown</x:v>
      </x:c>
      <x:c r="P679" s="10" t="n">
        <x:v>2</x:v>
      </x:c>
      <x:c r="Q679" s="13" t="n">
        <x:f>IF(H679="","",H679/1000000000)</x:f>
        <x:v>0.19</x:v>
      </x:c>
      <x:c r="R679" s="13" t="n">
        <x:f>IF(I679="","",I679/1000000)</x:f>
        <x:v>3.1666666666666665</x:v>
      </x:c>
    </x:row>
    <x:row r="680" ht="21" customHeight="1">
      <x:c r="A680" s="10" t="n">
        <x:v>745</x:v>
      </x:c>
      <x:c r="B680" s="2" t="str">
        <x:v>057a5b92444e24b6dde2</x:v>
      </x:c>
      <x:c r="C680" s="2" t="str">
        <x:v>Tp Hồ Chí Minh</x:v>
      </x:c>
      <x:c r="D680" s="2" t="str">
        <x:v>Quận 12</x:v>
      </x:c>
      <x:c r="E680" s="2" t="str">
        <x:v>house</x:v>
      </x:c>
      <x:c r="F680" s="2" t="str">
        <x:v>sale_assumed</x:v>
      </x:c>
      <x:c r="G680" s="11" t="n">
        <x:v>35</x:v>
      </x:c>
      <x:c r="H680" s="12" t="n">
        <x:v>1080000000</x:v>
      </x:c>
      <x:c r="I680" s="12" t="n">
        <x:v>30857142.85714286</x:v>
      </x:c>
      <x:c r="J680" s="2" t="str">
        <x:v>total</x:v>
      </x:c>
      <x:c r="K680" s="2" t="str">
        <x:v>top_level_area</x:v>
      </x:c>
      <x:c r="L680" s="2" t="str">
        <x:v>property_type_inferred_from_title;transaction_assumed_sale_from_dataset_context</x:v>
      </x:c>
      <x:c r="M680" s="10" t="n">
        <x:v>0</x:v>
      </x:c>
      <x:c r="N680" s="10" t="n">
        <x:v>0</x:v>
      </x:c>
      <x:c r="O680" s="2" t="str">
        <x:v>Tp Hồ Chí Minh|house</x:v>
      </x:c>
      <x:c r="P680" s="10" t="n">
        <x:v>2</x:v>
      </x:c>
      <x:c r="Q680" s="13" t="n">
        <x:f>IF(H680="","",H680/1000000000)</x:f>
        <x:v>1.08</x:v>
      </x:c>
      <x:c r="R680" s="13" t="n">
        <x:f>IF(I680="","",I680/1000000)</x:f>
        <x:v>30.857142857142858</x:v>
      </x:c>
    </x:row>
    <x:row r="681" ht="21" customHeight="1">
      <x:c r="A681" s="10" t="n">
        <x:v>746</x:v>
      </x:c>
      <x:c r="B681" s="2" t="str">
        <x:v>15ccb49b0f0e4bdb5908</x:v>
      </x:c>
      <x:c r="C681" s="2" t="str">
        <x:v>Tp Hồ Chí Minh</x:v>
      </x:c>
      <x:c r="D681" s="2" t="str">
        <x:v>Huyện Hóc Môn</x:v>
      </x:c>
      <x:c r="E681" s="2" t="str">
        <x:v>house</x:v>
      </x:c>
      <x:c r="F681" s="2" t="str">
        <x:v>sale</x:v>
      </x:c>
      <x:c r="G681" s="11" t="n">
        <x:v>36</x:v>
      </x:c>
      <x:c r="H681" s="12" t="n">
        <x:v>1250000000</x:v>
      </x:c>
      <x:c r="I681" s="12" t="n">
        <x:v>34722222.222222224</x:v>
      </x:c>
      <x:c r="J681" s="2" t="str">
        <x:v>total</x:v>
      </x:c>
      <x:c r="K681" s="2" t="str">
        <x:v>top_level_area</x:v>
      </x:c>
      <x:c r="L681" s="2" t="str">
        <x:v>property_type_inferred_from_title</x:v>
      </x:c>
      <x:c r="M681" s="10" t="n">
        <x:v>0</x:v>
      </x:c>
      <x:c r="N681" s="10" t="n">
        <x:v>0</x:v>
      </x:c>
      <x:c r="O681" s="2" t="str">
        <x:v>Tp Hồ Chí Minh|house</x:v>
      </x:c>
      <x:c r="P681" s="10" t="n">
        <x:v>2</x:v>
      </x:c>
      <x:c r="Q681" s="13" t="n">
        <x:f>IF(H681="","",H681/1000000000)</x:f>
        <x:v>1.25</x:v>
      </x:c>
      <x:c r="R681" s="13" t="n">
        <x:f>IF(I681="","",I681/1000000)</x:f>
        <x:v>34.72222222222222</x:v>
      </x:c>
    </x:row>
    <x:row r="682" ht="21" customHeight="1">
      <x:c r="A682" s="10" t="n">
        <x:v>748</x:v>
      </x:c>
      <x:c r="B682" s="2" t="str">
        <x:v>daacf22226438b677b39</x:v>
      </x:c>
      <x:c r="C682" s="2" t="str">
        <x:v>Bình Dương</x:v>
      </x:c>
      <x:c r="D682" s="2" t="str">
        <x:v>Thị xã Thuận An</x:v>
      </x:c>
      <x:c r="E682" s="2" t="str">
        <x:v>land</x:v>
      </x:c>
      <x:c r="F682" s="2" t="str">
        <x:v>sale_assumed</x:v>
      </x:c>
      <x:c r="G682" s="11" t="n">
        <x:v>70</x:v>
      </x:c>
      <x:c r="H682" s="12" t="n">
        <x:v>1550000000</x:v>
      </x:c>
      <x:c r="I682" s="12" t="n">
        <x:v>22142857.14285714</x:v>
      </x:c>
      <x:c r="J682" s="2" t="str">
        <x:v>total</x:v>
      </x:c>
      <x:c r="K682" s="2" t="str">
        <x:v>top_level_area</x:v>
      </x:c>
      <x:c r="L682" s="2" t="str">
        <x:v>property_type_inferred_from_title;transaction_assumed_sale_from_dataset_context</x:v>
      </x:c>
      <x:c r="M682" s="10" t="n">
        <x:v>0</x:v>
      </x:c>
      <x:c r="N682" s="10" t="n">
        <x:v>0</x:v>
      </x:c>
      <x:c r="O682" s="2" t="str">
        <x:v>Bình Dương|land</x:v>
      </x:c>
      <x:c r="P682" s="10" t="n">
        <x:v>2</x:v>
      </x:c>
      <x:c r="Q682" s="13" t="n">
        <x:f>IF(H682="","",H682/1000000000)</x:f>
        <x:v>1.55</x:v>
      </x:c>
      <x:c r="R682" s="13" t="n">
        <x:f>IF(I682="","",I682/1000000)</x:f>
        <x:v>22.142857142857142</x:v>
      </x:c>
    </x:row>
    <x:row r="683" ht="21" customHeight="1">
      <x:c r="A683" s="10" t="n">
        <x:v>749</x:v>
      </x:c>
      <x:c r="B683" s="2" t="str">
        <x:v>8cd035dbe81da79cb974</x:v>
      </x:c>
      <x:c r="C683" s="2" t="str">
        <x:v>Cần Thơ</x:v>
      </x:c>
      <x:c r="D683" s="2" t="str">
        <x:v>Quận Cái Răng</x:v>
      </x:c>
      <x:c r="E683" s="2" t="str">
        <x:v>land</x:v>
      </x:c>
      <x:c r="F683" s="2" t="str">
        <x:v>sale</x:v>
      </x:c>
      <x:c r="G683" s="11" t="n">
        <x:v>98</x:v>
      </x:c>
      <x:c r="H683" s="12" t="n">
        <x:v>3150000000</x:v>
      </x:c>
      <x:c r="I683" s="12" t="n">
        <x:v>32142857.14285714</x:v>
      </x:c>
      <x:c r="J683" s="2" t="str">
        <x:v>total</x:v>
      </x:c>
      <x:c r="K683" s="2" t="str">
        <x:v>top_level_area</x:v>
      </x:c>
      <x:c r="L683" s="2" t="str">
        <x:v>property_type_inferred_from_title</x:v>
      </x:c>
      <x:c r="M683" s="10" t="n">
        <x:v>0</x:v>
      </x:c>
      <x:c r="N683" s="10" t="n">
        <x:v>0</x:v>
      </x:c>
      <x:c r="O683" s="2" t="str">
        <x:v>Cần Thơ|land</x:v>
      </x:c>
      <x:c r="P683" s="10" t="n">
        <x:v>2</x:v>
      </x:c>
      <x:c r="Q683" s="13" t="n">
        <x:f>IF(H683="","",H683/1000000000)</x:f>
        <x:v>3.15</x:v>
      </x:c>
      <x:c r="R683" s="13" t="n">
        <x:f>IF(I683="","",I683/1000000)</x:f>
        <x:v>32.14285714285714</x:v>
      </x:c>
    </x:row>
    <x:row r="684" ht="21" customHeight="1">
      <x:c r="A684" s="10" t="n">
        <x:v>750</x:v>
      </x:c>
      <x:c r="B684" s="2" t="str">
        <x:v>32e94eed32268cc85324</x:v>
      </x:c>
      <x:c r="C684" s="2" t="str">
        <x:v>Tp Hồ Chí Minh</x:v>
      </x:c>
      <x:c r="D684" s="2" t="str">
        <x:v>Quận 12</x:v>
      </x:c>
      <x:c r="E684" s="2" t="str">
        <x:v>house</x:v>
      </x:c>
      <x:c r="F684" s="2" t="str">
        <x:v>sale</x:v>
      </x:c>
      <x:c r="G684" s="11" t="n">
        <x:v>74</x:v>
      </x:c>
      <x:c r="H684" s="12" t="n">
        <x:v>4199000000</x:v>
      </x:c>
      <x:c r="I684" s="12" t="n">
        <x:v>56743243.24324324</x:v>
      </x:c>
      <x:c r="J684" s="2" t="str">
        <x:v>total</x:v>
      </x:c>
      <x:c r="K684" s="2" t="str">
        <x:v>top_level_area</x:v>
      </x:c>
      <x:c r="L684" s="2" t="str">
        <x:v>property_type_inferred_from_title</x:v>
      </x:c>
      <x:c r="M684" s="10" t="n">
        <x:v>0</x:v>
      </x:c>
      <x:c r="N684" s="10" t="n">
        <x:v>0</x:v>
      </x:c>
      <x:c r="O684" s="2" t="str">
        <x:v>Tp Hồ Chí Minh|house</x:v>
      </x:c>
      <x:c r="P684" s="10" t="n">
        <x:v>2</x:v>
      </x:c>
      <x:c r="Q684" s="13" t="n">
        <x:f>IF(H684="","",H684/1000000000)</x:f>
        <x:v>4.199</x:v>
      </x:c>
      <x:c r="R684" s="13" t="n">
        <x:f>IF(I684="","",I684/1000000)</x:f>
        <x:v>56.74324324324324</x:v>
      </x:c>
    </x:row>
    <x:row r="685" ht="21" customHeight="1">
      <x:c r="A685" s="10" t="n">
        <x:v>751</x:v>
      </x:c>
      <x:c r="B685" s="2" t="str">
        <x:v>4344e4b05072e4041b02</x:v>
      </x:c>
      <x:c r="C685" s="2" t="str">
        <x:v>Tp Hồ Chí Minh</x:v>
      </x:c>
      <x:c r="D685" s="2" t="str">
        <x:v>Quận 2</x:v>
      </x:c>
      <x:c r="E685" s="2" t="str">
        <x:v>land</x:v>
      </x:c>
      <x:c r="F685" s="2" t="str">
        <x:v>sale</x:v>
      </x:c>
      <x:c r="G685" s="11" t="n">
        <x:v>60</x:v>
      </x:c>
      <x:c r="H685" s="12" t="n">
        <x:v>2300000000</x:v>
      </x:c>
      <x:c r="I685" s="12" t="n">
        <x:v>38333333.333333336</x:v>
      </x:c>
      <x:c r="J685" s="2" t="str">
        <x:v>total</x:v>
      </x:c>
      <x:c r="K685" s="2" t="str">
        <x:v>top_level_area</x:v>
      </x:c>
      <x:c r="L685" s="2" t="str">
        <x:v>property_type_inferred_from_title</x:v>
      </x:c>
      <x:c r="M685" s="10" t="n">
        <x:v>0</x:v>
      </x:c>
      <x:c r="N685" s="10" t="n">
        <x:v>0</x:v>
      </x:c>
      <x:c r="O685" s="2" t="str">
        <x:v>Tp Hồ Chí Minh|land</x:v>
      </x:c>
      <x:c r="P685" s="10" t="n">
        <x:v>2</x:v>
      </x:c>
      <x:c r="Q685" s="13" t="n">
        <x:f>IF(H685="","",H685/1000000000)</x:f>
        <x:v>2.3</x:v>
      </x:c>
      <x:c r="R685" s="13" t="n">
        <x:f>IF(I685="","",I685/1000000)</x:f>
        <x:v>38.333333333333336</x:v>
      </x:c>
    </x:row>
    <x:row r="686" ht="21" customHeight="1">
      <x:c r="A686" s="10" t="n">
        <x:v>752</x:v>
      </x:c>
      <x:c r="B686" s="2" t="str">
        <x:v>1bf969acb8018fb98001</x:v>
      </x:c>
      <x:c r="C686" s="2" t="str">
        <x:v>Tp Hồ Chí Minh</x:v>
      </x:c>
      <x:c r="D686" s="2" t="str">
        <x:v>Huyện Nhà Bè</x:v>
      </x:c>
      <x:c r="E686" s="2" t="str">
        <x:v>house</x:v>
      </x:c>
      <x:c r="F686" s="2" t="str">
        <x:v>sale</x:v>
      </x:c>
      <x:c r="G686" s="11" t="n">
        <x:v>30</x:v>
      </x:c>
      <x:c r="H686" s="12" t="n">
        <x:v>1600000000</x:v>
      </x:c>
      <x:c r="I686" s="12" t="n">
        <x:v>53333333.333333336</x:v>
      </x:c>
      <x:c r="J686" s="2" t="str">
        <x:v>total</x:v>
      </x:c>
      <x:c r="K686" s="2" t="str">
        <x:v>top_level_area</x:v>
      </x:c>
      <x:c r="L686" s="2" t="str">
        <x:v>property_type_inferred_from_title</x:v>
      </x:c>
      <x:c r="M686" s="10" t="n">
        <x:v>0</x:v>
      </x:c>
      <x:c r="N686" s="10" t="n">
        <x:v>0</x:v>
      </x:c>
      <x:c r="O686" s="2" t="str">
        <x:v>Tp Hồ Chí Minh|house</x:v>
      </x:c>
      <x:c r="P686" s="10" t="n">
        <x:v>2</x:v>
      </x:c>
      <x:c r="Q686" s="13" t="n">
        <x:f>IF(H686="","",H686/1000000000)</x:f>
        <x:v>1.6</x:v>
      </x:c>
      <x:c r="R686" s="13" t="n">
        <x:f>IF(I686="","",I686/1000000)</x:f>
        <x:v>53.333333333333336</x:v>
      </x:c>
    </x:row>
    <x:row r="687" ht="21" customHeight="1">
      <x:c r="A687" s="10" t="n">
        <x:v>753</x:v>
      </x:c>
      <x:c r="B687" s="2" t="str">
        <x:v>327d7cb28ed84b894b3e</x:v>
      </x:c>
      <x:c r="C687" s="2" t="str">
        <x:v>Bình Dương</x:v>
      </x:c>
      <x:c r="D687" s="2" t="str">
        <x:v>Huyện Bàu Bàng</x:v>
      </x:c>
      <x:c r="E687" s="2" t="str">
        <x:v>land</x:v>
      </x:c>
      <x:c r="F687" s="2" t="str">
        <x:v>sale_assumed</x:v>
      </x:c>
      <x:c r="G687" s="11" t="n">
        <x:v>100</x:v>
      </x:c>
      <x:c r="H687" s="12" t="n">
        <x:v>760000000</x:v>
      </x:c>
      <x:c r="I687" s="12" t="n">
        <x:v>7600000</x:v>
      </x:c>
      <x:c r="J687" s="2" t="str">
        <x:v>total</x:v>
      </x:c>
      <x:c r="K687" s="2" t="str">
        <x:v>top_level_price_embedded_area</x:v>
      </x:c>
      <x:c r="L687" s="2" t="str">
        <x:v>area_recovered_from_price_text;property_type_inferred_from_title;transaction_assumed_sale_from_dataset_context</x:v>
      </x:c>
      <x:c r="M687" s="10" t="n">
        <x:v>0</x:v>
      </x:c>
      <x:c r="N687" s="10" t="n">
        <x:v>0</x:v>
      </x:c>
      <x:c r="O687" s="2" t="str">
        <x:v>Bình Dương|land</x:v>
      </x:c>
      <x:c r="P687" s="10" t="n">
        <x:v>2</x:v>
      </x:c>
      <x:c r="Q687" s="13" t="n">
        <x:f>IF(H687="","",H687/1000000000)</x:f>
        <x:v>0.76</x:v>
      </x:c>
      <x:c r="R687" s="13" t="n">
        <x:f>IF(I687="","",I687/1000000)</x:f>
        <x:v>7.6</x:v>
      </x:c>
    </x:row>
    <x:row r="688" ht="21" customHeight="1">
      <x:c r="A688" s="10" t="n">
        <x:v>754</x:v>
      </x:c>
      <x:c r="B688" s="2" t="str">
        <x:v>336e40b286370995aa13</x:v>
      </x:c>
      <x:c r="C688" s="2" t="str">
        <x:v>Bà Rịa - Vũng Tàu</x:v>
      </x:c>
      <x:c r="D688" s="2" t="str">
        <x:v>Huyện Xuyên Mộc</x:v>
      </x:c>
      <x:c r="E688" s="2" t="str">
        <x:v>land</x:v>
      </x:c>
      <x:c r="F688" s="2" t="str">
        <x:v>sale_assumed</x:v>
      </x:c>
      <x:c r="G688" s="11" t="n">
        <x:v>1000</x:v>
      </x:c>
      <x:c r="H688" s="12" t="n">
        <x:v>1200000000</x:v>
      </x:c>
      <x:c r="I688" s="12" t="n">
        <x:v>1200000</x:v>
      </x:c>
      <x:c r="J688" s="2" t="str">
        <x:v>total</x:v>
      </x:c>
      <x:c r="K688" s="2" t="str">
        <x:v>top_level_area</x:v>
      </x:c>
      <x:c r="L688" s="2" t="str">
        <x:v>dot_thousands_convention;property_type_inferred_from_title;transaction_assumed_sale_from_dataset_context</x:v>
      </x:c>
      <x:c r="M688" s="10" t="n">
        <x:v>0</x:v>
      </x:c>
      <x:c r="N688" s="10" t="n">
        <x:v>0</x:v>
      </x:c>
      <x:c r="O688" s="2" t="str">
        <x:v>Bà Rịa - Vũng Tàu|land</x:v>
      </x:c>
      <x:c r="P688" s="10" t="n">
        <x:v>1</x:v>
      </x:c>
      <x:c r="Q688" s="13" t="n">
        <x:f>IF(H688="","",H688/1000000000)</x:f>
        <x:v>1.2</x:v>
      </x:c>
      <x:c r="R688" s="13" t="n">
        <x:f>IF(I688="","",I688/1000000)</x:f>
        <x:v>1.2</x:v>
      </x:c>
    </x:row>
    <x:row r="689" ht="21" customHeight="1">
      <x:c r="A689" s="10" t="n">
        <x:v>755</x:v>
      </x:c>
      <x:c r="B689" s="2" t="str">
        <x:v>1bfb8e2fca33fc751a93</x:v>
      </x:c>
      <x:c r="C689" s="2" t="str">
        <x:v>Tp Hồ Chí Minh</x:v>
      </x:c>
      <x:c r="D689" s="2" t="str">
        <x:v>Quận 12</x:v>
      </x:c>
      <x:c r="E689" s="2" t="str">
        <x:v>house</x:v>
      </x:c>
      <x:c r="F689" s="2" t="str">
        <x:v>sale</x:v>
      </x:c>
      <x:c r="G689" s="11" t="n">
        <x:v>54</x:v>
      </x:c>
      <x:c r="H689" s="12" t="n">
        <x:v>5100000000</x:v>
      </x:c>
      <x:c r="I689" s="12" t="n">
        <x:v>94444444.44444445</x:v>
      </x:c>
      <x:c r="J689" s="2" t="str">
        <x:v>total</x:v>
      </x:c>
      <x:c r="K689" s="2" t="str">
        <x:v>top_level_area</x:v>
      </x:c>
      <x:c r="L689" s="2" t="str">
        <x:v>property_type_inferred_from_title</x:v>
      </x:c>
      <x:c r="M689" s="10" t="n">
        <x:v>0</x:v>
      </x:c>
      <x:c r="N689" s="10" t="n">
        <x:v>0</x:v>
      </x:c>
      <x:c r="O689" s="2" t="str">
        <x:v>Tp Hồ Chí Minh|house</x:v>
      </x:c>
      <x:c r="P689" s="10" t="n">
        <x:v>2</x:v>
      </x:c>
      <x:c r="Q689" s="13" t="n">
        <x:f>IF(H689="","",H689/1000000000)</x:f>
        <x:v>5.1</x:v>
      </x:c>
      <x:c r="R689" s="13" t="n">
        <x:f>IF(I689="","",I689/1000000)</x:f>
        <x:v>94.44444444444444</x:v>
      </x:c>
    </x:row>
    <x:row r="690" ht="21" customHeight="1">
      <x:c r="A690" s="10" t="n">
        <x:v>756</x:v>
      </x:c>
      <x:c r="B690" s="2" t="str">
        <x:v>5211f4ca3dc30d957b81</x:v>
      </x:c>
      <x:c r="C690" s="2" t="str">
        <x:v>Tp Hồ Chí Minh</x:v>
      </x:c>
      <x:c r="D690" s="2" t="str">
        <x:v>Quận Thủ Đức</x:v>
      </x:c>
      <x:c r="E690" s="2" t="str">
        <x:v>house</x:v>
      </x:c>
      <x:c r="F690" s="2" t="str">
        <x:v>sale_assumed</x:v>
      </x:c>
      <x:c r="G690" s="11" t="n">
        <x:v>72</x:v>
      </x:c>
      <x:c r="H690" s="12" t="n">
        <x:v>5630000000</x:v>
      </x:c>
      <x:c r="I690" s="12" t="n">
        <x:v>78194444.44444445</x:v>
      </x:c>
      <x:c r="J690" s="2" t="str">
        <x:v>total</x:v>
      </x:c>
      <x:c r="K690" s="2" t="str">
        <x:v>top_level_area</x:v>
      </x:c>
      <x:c r="L690" s="2" t="str">
        <x:v>property_type_inferred_from_title;transaction_assumed_sale_from_dataset_context</x:v>
      </x:c>
      <x:c r="M690" s="10" t="n">
        <x:v>0</x:v>
      </x:c>
      <x:c r="N690" s="10" t="n">
        <x:v>0</x:v>
      </x:c>
      <x:c r="O690" s="2" t="str">
        <x:v>Tp Hồ Chí Minh|house</x:v>
      </x:c>
      <x:c r="P690" s="10" t="n">
        <x:v>2</x:v>
      </x:c>
      <x:c r="Q690" s="13" t="n">
        <x:f>IF(H690="","",H690/1000000000)</x:f>
        <x:v>5.63</x:v>
      </x:c>
      <x:c r="R690" s="13" t="n">
        <x:f>IF(I690="","",I690/1000000)</x:f>
        <x:v>78.19444444444444</x:v>
      </x:c>
    </x:row>
    <x:row r="691" ht="21" customHeight="1">
      <x:c r="A691" s="10" t="n">
        <x:v>757</x:v>
      </x:c>
      <x:c r="B691" s="2" t="str">
        <x:v>60fbc7729693d3354aa7</x:v>
      </x:c>
      <x:c r="C691" s="2" t="str">
        <x:v>Tp Hồ Chí Minh</x:v>
      </x:c>
      <x:c r="D691" s="2" t="str">
        <x:v>Quận Gò Vấp</x:v>
      </x:c>
      <x:c r="E691" s="2" t="str">
        <x:v>house</x:v>
      </x:c>
      <x:c r="F691" s="2" t="str">
        <x:v>sale_assumed</x:v>
      </x:c>
      <x:c r="G691" s="11" t="n">
        <x:v>40</x:v>
      </x:c>
      <x:c r="H691" s="12" t="n">
        <x:v>4190000000.0000005</x:v>
      </x:c>
      <x:c r="I691" s="12" t="n">
        <x:v>104750000.00000001</x:v>
      </x:c>
      <x:c r="J691" s="2" t="str">
        <x:v>total</x:v>
      </x:c>
      <x:c r="K691" s="2" t="str">
        <x:v>top_level_area</x:v>
      </x:c>
      <x:c r="L691" s="2" t="str">
        <x:v>property_type_inferred_from_title;transaction_assumed_sale_from_dataset_context</x:v>
      </x:c>
      <x:c r="M691" s="10" t="n">
        <x:v>0</x:v>
      </x:c>
      <x:c r="N691" s="10" t="n">
        <x:v>0</x:v>
      </x:c>
      <x:c r="O691" s="2" t="str">
        <x:v>Tp Hồ Chí Minh|house</x:v>
      </x:c>
      <x:c r="P691" s="10" t="n">
        <x:v>2</x:v>
      </x:c>
      <x:c r="Q691" s="13" t="n">
        <x:f>IF(H691="","",H691/1000000000)</x:f>
        <x:v>4.19</x:v>
      </x:c>
      <x:c r="R691" s="13" t="n">
        <x:f>IF(I691="","",I691/1000000)</x:f>
        <x:v>104.75000000000001</x:v>
      </x:c>
    </x:row>
    <x:row r="692" ht="21" customHeight="1">
      <x:c r="A692" s="10" t="n">
        <x:v>758</x:v>
      </x:c>
      <x:c r="B692" s="2" t="str">
        <x:v>ff98fac73518f0717317</x:v>
      </x:c>
      <x:c r="C692" s="2" t="str">
        <x:v>Cần Thơ</x:v>
      </x:c>
      <x:c r="D692" s="2" t="str">
        <x:v>Quận Cái Răng</x:v>
      </x:c>
      <x:c r="E692" s="2" t="str">
        <x:v>land</x:v>
      </x:c>
      <x:c r="F692" s="2" t="str">
        <x:v>sale_assumed</x:v>
      </x:c>
      <x:c r="G692" s="11" t="n">
        <x:v>180</x:v>
      </x:c>
      <x:c r="H692" s="12" t="n">
        <x:v>5300000000</x:v>
      </x:c>
      <x:c r="I692" s="12" t="n">
        <x:v>29444444.444444444</x:v>
      </x:c>
      <x:c r="J692" s="2" t="str">
        <x:v>total</x:v>
      </x:c>
      <x:c r="K692" s="2" t="str">
        <x:v>top_level_area</x:v>
      </x:c>
      <x:c r="L692" s="2" t="str">
        <x:v>property_type_inferred_from_title;transaction_assumed_sale_from_dataset_context</x:v>
      </x:c>
      <x:c r="M692" s="10" t="n">
        <x:v>0</x:v>
      </x:c>
      <x:c r="N692" s="10" t="n">
        <x:v>0</x:v>
      </x:c>
      <x:c r="O692" s="2" t="str">
        <x:v>Cần Thơ|land</x:v>
      </x:c>
      <x:c r="P692" s="10" t="n">
        <x:v>2</x:v>
      </x:c>
      <x:c r="Q692" s="13" t="n">
        <x:f>IF(H692="","",H692/1000000000)</x:f>
        <x:v>5.3</x:v>
      </x:c>
      <x:c r="R692" s="13" t="n">
        <x:f>IF(I692="","",I692/1000000)</x:f>
        <x:v>29.444444444444443</x:v>
      </x:c>
    </x:row>
    <x:row r="693" ht="21" customHeight="1">
      <x:c r="A693" s="10" t="n">
        <x:v>759</x:v>
      </x:c>
      <x:c r="B693" s="2" t="str">
        <x:v>74ef92e71db8f23794fa</x:v>
      </x:c>
      <x:c r="C693" s="2" t="str">
        <x:v>Tp Hồ Chí Minh</x:v>
      </x:c>
      <x:c r="D693" s="2" t="str">
        <x:v>Quận Bình Thạnh</x:v>
      </x:c>
      <x:c r="E693" s="2" t="str">
        <x:v>house</x:v>
      </x:c>
      <x:c r="F693" s="2" t="str">
        <x:v>sale</x:v>
      </x:c>
      <x:c r="G693" s="11" t="n">
        <x:v>47.3</x:v>
      </x:c>
      <x:c r="H693" s="12" t="n">
        <x:v>4950000000</x:v>
      </x:c>
      <x:c r="I693" s="12" t="n">
        <x:v>104651162.79069768</x:v>
      </x:c>
      <x:c r="J693" s="2" t="str">
        <x:v>total</x:v>
      </x:c>
      <x:c r="K693" s="2" t="str">
        <x:v>top_level_area</x:v>
      </x:c>
      <x:c r="L693" s="2" t="str">
        <x:v>property_type_inferred_from_title</x:v>
      </x:c>
      <x:c r="M693" s="10" t="n">
        <x:v>0</x:v>
      </x:c>
      <x:c r="N693" s="10" t="n">
        <x:v>0</x:v>
      </x:c>
      <x:c r="O693" s="2" t="str">
        <x:v>Tp Hồ Chí Minh|house</x:v>
      </x:c>
      <x:c r="P693" s="10" t="n">
        <x:v>2</x:v>
      </x:c>
      <x:c r="Q693" s="13" t="n">
        <x:f>IF(H693="","",H693/1000000000)</x:f>
        <x:v>4.95</x:v>
      </x:c>
      <x:c r="R693" s="13" t="n">
        <x:f>IF(I693="","",I693/1000000)</x:f>
        <x:v>104.65116279069768</x:v>
      </x:c>
    </x:row>
    <x:row r="694" ht="21" customHeight="1">
      <x:c r="A694" s="10" t="n">
        <x:v>760</x:v>
      </x:c>
      <x:c r="B694" s="2" t="str">
        <x:v>3a1e3ff8bfb92e099a69</x:v>
      </x:c>
      <x:c r="C694" s="2" t="str">
        <x:v>Tp Hồ Chí Minh</x:v>
      </x:c>
      <x:c r="D694" s="2" t="str">
        <x:v>Quận Bình Tân</x:v>
      </x:c>
      <x:c r="E694" s="2" t="str">
        <x:v>house</x:v>
      </x:c>
      <x:c r="F694" s="2" t="str">
        <x:v>sale</x:v>
      </x:c>
      <x:c r="G694" s="11" t="n">
        <x:v>187</x:v>
      </x:c>
      <x:c r="H694" s="12" t="n">
        <x:v>6900000000</x:v>
      </x:c>
      <x:c r="I694" s="12" t="n">
        <x:v>36898395.72192513</x:v>
      </x:c>
      <x:c r="J694" s="2" t="str">
        <x:v>total</x:v>
      </x:c>
      <x:c r="K694" s="2" t="str">
        <x:v>top_level_area</x:v>
      </x:c>
      <x:c r="L694" s="2" t="str">
        <x:v>property_type_inferred_from_title</x:v>
      </x:c>
      <x:c r="M694" s="10" t="n">
        <x:v>0</x:v>
      </x:c>
      <x:c r="N694" s="10" t="n">
        <x:v>0</x:v>
      </x:c>
      <x:c r="O694" s="2" t="str">
        <x:v>Tp Hồ Chí Minh|house</x:v>
      </x:c>
      <x:c r="P694" s="10" t="n">
        <x:v>2</x:v>
      </x:c>
      <x:c r="Q694" s="13" t="n">
        <x:f>IF(H694="","",H694/1000000000)</x:f>
        <x:v>6.9</x:v>
      </x:c>
      <x:c r="R694" s="13" t="n">
        <x:f>IF(I694="","",I694/1000000)</x:f>
        <x:v>36.898395721925134</x:v>
      </x:c>
    </x:row>
    <x:row r="695" ht="21" customHeight="1">
      <x:c r="A695" s="10" t="n">
        <x:v>761</x:v>
      </x:c>
      <x:c r="B695" s="2" t="str">
        <x:v>beffa7fa46e48646389b</x:v>
      </x:c>
      <x:c r="C695" s="2" t="str">
        <x:v>Hà Nội</x:v>
      </x:c>
      <x:c r="D695" s="2" t="str">
        <x:v>Quận Hà Đông</x:v>
      </x:c>
      <x:c r="E695" s="2" t="str">
        <x:v>house</x:v>
      </x:c>
      <x:c r="F695" s="2" t="str">
        <x:v>sale</x:v>
      </x:c>
      <x:c r="G695" s="11" t="n">
        <x:v>35</x:v>
      </x:c>
      <x:c r="H695" s="12" t="n">
        <x:v>2100000000</x:v>
      </x:c>
      <x:c r="I695" s="12" t="n">
        <x:v>60000000</x:v>
      </x:c>
      <x:c r="J695" s="2" t="str">
        <x:v>total</x:v>
      </x:c>
      <x:c r="K695" s="2" t="str">
        <x:v>top_level_area</x:v>
      </x:c>
      <x:c r="L695" s="2" t="str">
        <x:v>property_type_inferred_from_title</x:v>
      </x:c>
      <x:c r="M695" s="10" t="n">
        <x:v>0</x:v>
      </x:c>
      <x:c r="N695" s="10" t="n">
        <x:v>0</x:v>
      </x:c>
      <x:c r="O695" s="2" t="str">
        <x:v>Hà Nội|house</x:v>
      </x:c>
      <x:c r="P695" s="10" t="n">
        <x:v>2</x:v>
      </x:c>
      <x:c r="Q695" s="13" t="n">
        <x:f>IF(H695="","",H695/1000000000)</x:f>
        <x:v>2.1</x:v>
      </x:c>
      <x:c r="R695" s="13" t="n">
        <x:f>IF(I695="","",I695/1000000)</x:f>
        <x:v>60</x:v>
      </x:c>
    </x:row>
    <x:row r="696" ht="21" customHeight="1">
      <x:c r="A696" s="10" t="n">
        <x:v>762</x:v>
      </x:c>
      <x:c r="B696" s="2" t="str">
        <x:v>5fdab55774d2e33b8539</x:v>
      </x:c>
      <x:c r="C696" s="2" t="str">
        <x:v>Đồng Nai</x:v>
      </x:c>
      <x:c r="D696" s="2" t="str">
        <x:v>Huyện Vĩnh Cửu</x:v>
      </x:c>
      <x:c r="E696" s="2" t="str">
        <x:v>land</x:v>
      </x:c>
      <x:c r="F696" s="2" t="str">
        <x:v>sale_assumed</x:v>
      </x:c>
      <x:c r="G696" s="11" t="n">
        <x:v>126</x:v>
      </x:c>
      <x:c r="H696" s="12" t="n">
        <x:v>820000000</x:v>
      </x:c>
      <x:c r="I696" s="12" t="n">
        <x:v>6507936.507936508</x:v>
      </x:c>
      <x:c r="J696" s="2" t="str">
        <x:v>total</x:v>
      </x:c>
      <x:c r="K696" s="2" t="str">
        <x:v>top_level_area</x:v>
      </x:c>
      <x:c r="L696" s="2" t="str">
        <x:v>property_type_inferred_from_title;transaction_assumed_sale_from_dataset_context</x:v>
      </x:c>
      <x:c r="M696" s="10" t="n">
        <x:v>0</x:v>
      </x:c>
      <x:c r="N696" s="10" t="n">
        <x:v>0</x:v>
      </x:c>
      <x:c r="O696" s="2" t="str">
        <x:v>Đồng Nai|land</x:v>
      </x:c>
      <x:c r="P696" s="10" t="n">
        <x:v>2</x:v>
      </x:c>
      <x:c r="Q696" s="13" t="n">
        <x:f>IF(H696="","",H696/1000000000)</x:f>
        <x:v>0.82</x:v>
      </x:c>
      <x:c r="R696" s="13" t="n">
        <x:f>IF(I696="","",I696/1000000)</x:f>
        <x:v>6.507936507936509</x:v>
      </x:c>
    </x:row>
    <x:row r="697" ht="21" customHeight="1">
      <x:c r="A697" s="10" t="n">
        <x:v>763</x:v>
      </x:c>
      <x:c r="B697" s="2" t="str">
        <x:v>c25c6ecabc18bfd40f7c</x:v>
      </x:c>
      <x:c r="C697" s="2" t="str">
        <x:v>Tp Hồ Chí Minh</x:v>
      </x:c>
      <x:c r="D697" s="2" t="str">
        <x:v>Quận Bình Thạnh</x:v>
      </x:c>
      <x:c r="E697" s="2" t="str">
        <x:v>other_unknown</x:v>
      </x:c>
      <x:c r="F697" s="2" t="str">
        <x:v>sale_assumed</x:v>
      </x:c>
      <x:c r="G697" s="11" t="n">
        <x:v>50</x:v>
      </x:c>
      <x:c r="H697" s="12" t="n">
        <x:v>6800000000</x:v>
      </x:c>
      <x:c r="I697" s="12" t="n">
        <x:v>136000000</x:v>
      </x:c>
      <x:c r="J697" s="2" t="str">
        <x:v>total</x:v>
      </x:c>
      <x:c r="K697" s="2" t="str">
        <x:v>top_level_area</x:v>
      </x:c>
      <x:c r="L697" s="2" t="str">
        <x:v>property_type_inferred_from_title;transaction_assumed_sale_from_dataset_context;unknown_property_type</x:v>
      </x:c>
      <x:c r="M697" s="10" t="n">
        <x:v>0</x:v>
      </x:c>
      <x:c r="N697" s="10" t="n">
        <x:v>0</x:v>
      </x:c>
      <x:c r="O697" s="2" t="str">
        <x:v>Tp Hồ Chí Minh|other_unknown</x:v>
      </x:c>
      <x:c r="P697" s="10" t="n">
        <x:v>2</x:v>
      </x:c>
      <x:c r="Q697" s="13" t="n">
        <x:f>IF(H697="","",H697/1000000000)</x:f>
        <x:v>6.8</x:v>
      </x:c>
      <x:c r="R697" s="13" t="n">
        <x:f>IF(I697="","",I697/1000000)</x:f>
        <x:v>136</x:v>
      </x:c>
    </x:row>
    <x:row r="698" ht="21" customHeight="1">
      <x:c r="A698" s="10" t="n">
        <x:v>764</x:v>
      </x:c>
      <x:c r="B698" s="2" t="str">
        <x:v>cd57d7be22ab6908d51b</x:v>
      </x:c>
      <x:c r="C698" s="2" t="str">
        <x:v>Hà Nội</x:v>
      </x:c>
      <x:c r="D698" s="2" t="str">
        <x:v>Quận Long Biên</x:v>
      </x:c>
      <x:c r="E698" s="2" t="str">
        <x:v>house</x:v>
      </x:c>
      <x:c r="F698" s="2" t="str">
        <x:v>sale</x:v>
      </x:c>
      <x:c r="G698" s="11" t="n">
        <x:v>38</x:v>
      </x:c>
      <x:c r="H698" s="12" t="n">
        <x:v>2650000000</x:v>
      </x:c>
      <x:c r="I698" s="12" t="n">
        <x:v>69736842.10526316</x:v>
      </x:c>
      <x:c r="J698" s="2" t="str">
        <x:v>total</x:v>
      </x:c>
      <x:c r="K698" s="2" t="str">
        <x:v>top_level_area</x:v>
      </x:c>
      <x:c r="L698" s="2" t="str">
        <x:v>property_type_inferred_from_title</x:v>
      </x:c>
      <x:c r="M698" s="10" t="n">
        <x:v>0</x:v>
      </x:c>
      <x:c r="N698" s="10" t="n">
        <x:v>0</x:v>
      </x:c>
      <x:c r="O698" s="2" t="str">
        <x:v>Hà Nội|house</x:v>
      </x:c>
      <x:c r="P698" s="10" t="n">
        <x:v>2</x:v>
      </x:c>
      <x:c r="Q698" s="13" t="n">
        <x:f>IF(H698="","",H698/1000000000)</x:f>
        <x:v>2.65</x:v>
      </x:c>
      <x:c r="R698" s="13" t="n">
        <x:f>IF(I698="","",I698/1000000)</x:f>
        <x:v>69.73684210526316</x:v>
      </x:c>
    </x:row>
    <x:row r="699" ht="21" customHeight="1">
      <x:c r="A699" s="10" t="n">
        <x:v>765</x:v>
      </x:c>
      <x:c r="B699" s="2" t="str">
        <x:v>d7ef115966daf8bb6371</x:v>
      </x:c>
      <x:c r="C699" s="2" t="str">
        <x:v>Tp Hồ Chí Minh</x:v>
      </x:c>
      <x:c r="D699" s="2" t="str">
        <x:v>Quận 8</x:v>
      </x:c>
      <x:c r="E699" s="2" t="str">
        <x:v>house</x:v>
      </x:c>
      <x:c r="F699" s="2" t="str">
        <x:v>sale</x:v>
      </x:c>
      <x:c r="G699" s="11" t="n">
        <x:v>50</x:v>
      </x:c>
      <x:c r="H699" s="12" t="n">
        <x:v>7200000000</x:v>
      </x:c>
      <x:c r="I699" s="12" t="n">
        <x:v>144000000</x:v>
      </x:c>
      <x:c r="J699" s="2" t="str">
        <x:v>total</x:v>
      </x:c>
      <x:c r="K699" s="2" t="str">
        <x:v>top_level_area</x:v>
      </x:c>
      <x:c r="L699" s="2" t="str">
        <x:v>property_type_inferred_from_title</x:v>
      </x:c>
      <x:c r="M699" s="10" t="n">
        <x:v>0</x:v>
      </x:c>
      <x:c r="N699" s="10" t="n">
        <x:v>0</x:v>
      </x:c>
      <x:c r="O699" s="2" t="str">
        <x:v>Tp Hồ Chí Minh|house</x:v>
      </x:c>
      <x:c r="P699" s="10" t="n">
        <x:v>2</x:v>
      </x:c>
      <x:c r="Q699" s="13" t="n">
        <x:f>IF(H699="","",H699/1000000000)</x:f>
        <x:v>7.2</x:v>
      </x:c>
      <x:c r="R699" s="13" t="n">
        <x:f>IF(I699="","",I699/1000000)</x:f>
        <x:v>144</x:v>
      </x:c>
    </x:row>
    <x:row r="700" ht="21" customHeight="1">
      <x:c r="A700" s="10" t="n">
        <x:v>766</x:v>
      </x:c>
      <x:c r="B700" s="2" t="str">
        <x:v>47afabe999ab2d0cb3f9</x:v>
      </x:c>
      <x:c r="C700" s="2" t="str">
        <x:v>Tp Hồ Chí Minh</x:v>
      </x:c>
      <x:c r="D700" s="2" t="str">
        <x:v>Quận 7</x:v>
      </x:c>
      <x:c r="E700" s="2" t="str">
        <x:v>house</x:v>
      </x:c>
      <x:c r="F700" s="2" t="str">
        <x:v>sale</x:v>
      </x:c>
      <x:c r="G700" s="11" t="n">
        <x:v>80</x:v>
      </x:c>
      <x:c r="H700" s="12" t="n">
        <x:v>5750000000</x:v>
      </x:c>
      <x:c r="I700" s="12" t="n">
        <x:v>71875000</x:v>
      </x:c>
      <x:c r="J700" s="2" t="str">
        <x:v>total</x:v>
      </x:c>
      <x:c r="K700" s="2" t="str">
        <x:v>top_level_area</x:v>
      </x:c>
      <x:c r="L700" s="2" t="str">
        <x:v>property_type_inferred_from_title</x:v>
      </x:c>
      <x:c r="M700" s="10" t="n">
        <x:v>0</x:v>
      </x:c>
      <x:c r="N700" s="10" t="n">
        <x:v>0</x:v>
      </x:c>
      <x:c r="O700" s="2" t="str">
        <x:v>Tp Hồ Chí Minh|house</x:v>
      </x:c>
      <x:c r="P700" s="10" t="n">
        <x:v>2</x:v>
      </x:c>
      <x:c r="Q700" s="13" t="n">
        <x:f>IF(H700="","",H700/1000000000)</x:f>
        <x:v>5.75</x:v>
      </x:c>
      <x:c r="R700" s="13" t="n">
        <x:f>IF(I700="","",I700/1000000)</x:f>
        <x:v>71.875</x:v>
      </x:c>
    </x:row>
    <x:row r="701" ht="21" customHeight="1">
      <x:c r="A701" s="10" t="n">
        <x:v>767</x:v>
      </x:c>
      <x:c r="B701" s="2" t="str">
        <x:v>dcd3fb013ebadd00b596</x:v>
      </x:c>
      <x:c r="C701" s="2" t="str">
        <x:v>Tp Hồ Chí Minh</x:v>
      </x:c>
      <x:c r="D701" s="2" t="str">
        <x:v>Quận 8</x:v>
      </x:c>
      <x:c r="E701" s="2" t="str">
        <x:v>house</x:v>
      </x:c>
      <x:c r="F701" s="2" t="str">
        <x:v>sale</x:v>
      </x:c>
      <x:c r="G701" s="11" t="n">
        <x:v>65</x:v>
      </x:c>
      <x:c r="H701" s="12" t="n">
        <x:v>4300000000</x:v>
      </x:c>
      <x:c r="I701" s="12" t="n">
        <x:v>66153846.15384615</x:v>
      </x:c>
      <x:c r="J701" s="2" t="str">
        <x:v>total</x:v>
      </x:c>
      <x:c r="K701" s="2" t="str">
        <x:v>top_level_area</x:v>
      </x:c>
      <x:c r="L701" s="2" t="str">
        <x:v>property_type_inferred_from_title</x:v>
      </x:c>
      <x:c r="M701" s="10" t="n">
        <x:v>0</x:v>
      </x:c>
      <x:c r="N701" s="10" t="n">
        <x:v>0</x:v>
      </x:c>
      <x:c r="O701" s="2" t="str">
        <x:v>Tp Hồ Chí Minh|house</x:v>
      </x:c>
      <x:c r="P701" s="10" t="n">
        <x:v>2</x:v>
      </x:c>
      <x:c r="Q701" s="13" t="n">
        <x:f>IF(H701="","",H701/1000000000)</x:f>
        <x:v>4.3</x:v>
      </x:c>
      <x:c r="R701" s="13" t="n">
        <x:f>IF(I701="","",I701/1000000)</x:f>
        <x:v>66.15384615384615</x:v>
      </x:c>
    </x:row>
    <x:row r="702" ht="21" customHeight="1">
      <x:c r="A702" s="10" t="n">
        <x:v>768</x:v>
      </x:c>
      <x:c r="B702" s="2" t="str">
        <x:v>6bab738de7244a51e089</x:v>
      </x:c>
      <x:c r="C702" s="2" t="str">
        <x:v>Tp Hồ Chí Minh</x:v>
      </x:c>
      <x:c r="D702" s="2" t="str">
        <x:v>Quận 12</x:v>
      </x:c>
      <x:c r="E702" s="2" t="str">
        <x:v>house</x:v>
      </x:c>
      <x:c r="F702" s="2" t="str">
        <x:v>sale</x:v>
      </x:c>
      <x:c r="G702" s="11" t="n">
        <x:v>184</x:v>
      </x:c>
      <x:c r="H702" s="12" t="n">
        <x:v>3550000000</x:v>
      </x:c>
      <x:c r="I702" s="12" t="n">
        <x:v>19293478.260869566</x:v>
      </x:c>
      <x:c r="J702" s="2" t="str">
        <x:v>total</x:v>
      </x:c>
      <x:c r="K702" s="2" t="str">
        <x:v>top_level_area</x:v>
      </x:c>
      <x:c r="L702" s="2" t="str">
        <x:v>property_type_inferred_from_title</x:v>
      </x:c>
      <x:c r="M702" s="10" t="n">
        <x:v>0</x:v>
      </x:c>
      <x:c r="N702" s="10" t="n">
        <x:v>0</x:v>
      </x:c>
      <x:c r="O702" s="2" t="str">
        <x:v>Tp Hồ Chí Minh|house</x:v>
      </x:c>
      <x:c r="P702" s="10" t="n">
        <x:v>2</x:v>
      </x:c>
      <x:c r="Q702" s="13" t="n">
        <x:f>IF(H702="","",H702/1000000000)</x:f>
        <x:v>3.55</x:v>
      </x:c>
      <x:c r="R702" s="13" t="n">
        <x:f>IF(I702="","",I702/1000000)</x:f>
        <x:v>19.293478260869566</x:v>
      </x:c>
    </x:row>
    <x:row r="703" ht="21" customHeight="1">
      <x:c r="A703" s="10" t="n">
        <x:v>769</x:v>
      </x:c>
      <x:c r="B703" s="2" t="str">
        <x:v>501ab96af9ee5143cde3</x:v>
      </x:c>
      <x:c r="C703" s="2" t="str">
        <x:v>Hà Nội</x:v>
      </x:c>
      <x:c r="D703" s="2" t="str">
        <x:v>Huyện Thanh Trì</x:v>
      </x:c>
      <x:c r="E703" s="2" t="str">
        <x:v>house</x:v>
      </x:c>
      <x:c r="F703" s="2" t="str">
        <x:v>sale</x:v>
      </x:c>
      <x:c r="G703" s="11" t="n">
        <x:v>42</x:v>
      </x:c>
      <x:c r="H703" s="12" t="n">
        <x:v>2350000000</x:v>
      </x:c>
      <x:c r="I703" s="12" t="n">
        <x:v>55952380.952380955</x:v>
      </x:c>
      <x:c r="J703" s="2" t="str">
        <x:v>total</x:v>
      </x:c>
      <x:c r="K703" s="2" t="str">
        <x:v>top_level_area</x:v>
      </x:c>
      <x:c r="L703" s="2" t="str">
        <x:v>property_type_inferred_from_title</x:v>
      </x:c>
      <x:c r="M703" s="10" t="n">
        <x:v>0</x:v>
      </x:c>
      <x:c r="N703" s="10" t="n">
        <x:v>0</x:v>
      </x:c>
      <x:c r="O703" s="2" t="str">
        <x:v>Hà Nội|house</x:v>
      </x:c>
      <x:c r="P703" s="10" t="n">
        <x:v>2</x:v>
      </x:c>
      <x:c r="Q703" s="13" t="n">
        <x:f>IF(H703="","",H703/1000000000)</x:f>
        <x:v>2.35</x:v>
      </x:c>
      <x:c r="R703" s="13" t="n">
        <x:f>IF(I703="","",I703/1000000)</x:f>
        <x:v>55.952380952380956</x:v>
      </x:c>
    </x:row>
    <x:row r="704" ht="21" customHeight="1">
      <x:c r="A704" s="10" t="n">
        <x:v>771</x:v>
      </x:c>
      <x:c r="B704" s="2" t="str">
        <x:v>e78eb0e334160476b154</x:v>
      </x:c>
      <x:c r="C704" s="2" t="str">
        <x:v>Hà Nội</x:v>
      </x:c>
      <x:c r="D704" s="2" t="str">
        <x:v>Quận Hà Đông</x:v>
      </x:c>
      <x:c r="E704" s="2" t="str">
        <x:v>other_unknown</x:v>
      </x:c>
      <x:c r="F704" s="2" t="str">
        <x:v>sale</x:v>
      </x:c>
      <x:c r="G704" s="11" t="n">
        <x:v>91</x:v>
      </x:c>
      <x:c r="H704" s="12" t="n">
        <x:v>13500000000</x:v>
      </x:c>
      <x:c r="I704" s="12" t="n">
        <x:v>148351648.35164836</x:v>
      </x:c>
      <x:c r="J704" s="2" t="str">
        <x:v>total</x:v>
      </x:c>
      <x:c r="K704" s="2" t="str">
        <x:v>top_level_area</x:v>
      </x:c>
      <x:c r="L704" s="2" t="str">
        <x:v>property_type_inferred_from_title;unknown_property_type</x:v>
      </x:c>
      <x:c r="M704" s="10" t="n">
        <x:v>0</x:v>
      </x:c>
      <x:c r="N704" s="10" t="n">
        <x:v>0</x:v>
      </x:c>
      <x:c r="O704" s="2" t="str">
        <x:v>Hà Nội|other_unknown</x:v>
      </x:c>
      <x:c r="P704" s="10" t="n">
        <x:v>2</x:v>
      </x:c>
      <x:c r="Q704" s="13" t="n">
        <x:f>IF(H704="","",H704/1000000000)</x:f>
        <x:v>13.5</x:v>
      </x:c>
      <x:c r="R704" s="13" t="n">
        <x:f>IF(I704="","",I704/1000000)</x:f>
        <x:v>148.35164835164835</x:v>
      </x:c>
    </x:row>
    <x:row r="705" ht="21" customHeight="1">
      <x:c r="A705" s="10" t="n">
        <x:v>772</x:v>
      </x:c>
      <x:c r="B705" s="2" t="str">
        <x:v>d37bff563fe5862468ed</x:v>
      </x:c>
      <x:c r="C705" s="2" t="str">
        <x:v>Kiên Giang</x:v>
      </x:c>
      <x:c r="D705" s="2" t="str">
        <x:v>Thành phố Rạch Giá</x:v>
      </x:c>
      <x:c r="E705" s="2" t="str">
        <x:v>land</x:v>
      </x:c>
      <x:c r="F705" s="2" t="str">
        <x:v>sale</x:v>
      </x:c>
      <x:c r="G705" s="11" t="n">
        <x:v>211</x:v>
      </x:c>
      <x:c r="H705" s="12" t="n">
        <x:v>3600000000</x:v>
      </x:c>
      <x:c r="I705" s="12" t="n">
        <x:v>17061611.374407582</x:v>
      </x:c>
      <x:c r="J705" s="2" t="str">
        <x:v>total</x:v>
      </x:c>
      <x:c r="K705" s="2" t="str">
        <x:v>top_level_area</x:v>
      </x:c>
      <x:c r="L705" s="2" t="str">
        <x:v>property_type_inferred_from_title</x:v>
      </x:c>
      <x:c r="M705" s="10" t="n">
        <x:v>0</x:v>
      </x:c>
      <x:c r="N705" s="10" t="n">
        <x:v>0</x:v>
      </x:c>
      <x:c r="O705" s="2" t="str">
        <x:v>land</x:v>
      </x:c>
      <x:c r="P705" s="10" t="n">
        <x:v>2</x:v>
      </x:c>
      <x:c r="Q705" s="13" t="n">
        <x:f>IF(H705="","",H705/1000000000)</x:f>
        <x:v>3.6</x:v>
      </x:c>
      <x:c r="R705" s="13" t="n">
        <x:f>IF(I705="","",I705/1000000)</x:f>
        <x:v>17.061611374407583</x:v>
      </x:c>
    </x:row>
    <x:row r="706" ht="21" customHeight="1">
      <x:c r="A706" s="10" t="n">
        <x:v>773</x:v>
      </x:c>
      <x:c r="B706" s="2" t="str">
        <x:v>40584139a9f845cadba4</x:v>
      </x:c>
      <x:c r="C706" s="2" t="str">
        <x:v>Tp Hồ Chí Minh</x:v>
      </x:c>
      <x:c r="D706" s="2" t="str">
        <x:v>Quận Bình Thạnh</x:v>
      </x:c>
      <x:c r="E706" s="2" t="str">
        <x:v>house</x:v>
      </x:c>
      <x:c r="F706" s="2" t="str">
        <x:v>sale_assumed</x:v>
      </x:c>
      <x:c r="G706" s="11" t="n">
        <x:v>30</x:v>
      </x:c>
      <x:c r="H706" s="12" t="n">
        <x:v>3700000000</x:v>
      </x:c>
      <x:c r="I706" s="12" t="n">
        <x:v>123333333.33333333</x:v>
      </x:c>
      <x:c r="J706" s="2" t="str">
        <x:v>total</x:v>
      </x:c>
      <x:c r="K706" s="2" t="str">
        <x:v>top_level_area</x:v>
      </x:c>
      <x:c r="L706" s="2" t="str">
        <x:v>property_type_inferred_from_title;transaction_assumed_sale_from_dataset_context</x:v>
      </x:c>
      <x:c r="M706" s="10" t="n">
        <x:v>0</x:v>
      </x:c>
      <x:c r="N706" s="10" t="n">
        <x:v>0</x:v>
      </x:c>
      <x:c r="O706" s="2" t="str">
        <x:v>Tp Hồ Chí Minh|house</x:v>
      </x:c>
      <x:c r="P706" s="10" t="n">
        <x:v>2</x:v>
      </x:c>
      <x:c r="Q706" s="13" t="n">
        <x:f>IF(H706="","",H706/1000000000)</x:f>
        <x:v>3.7</x:v>
      </x:c>
      <x:c r="R706" s="13" t="n">
        <x:f>IF(I706="","",I706/1000000)</x:f>
        <x:v>123.33333333333333</x:v>
      </x:c>
    </x:row>
    <x:row r="707" ht="21" customHeight="1">
      <x:c r="A707" s="10" t="n">
        <x:v>774</x:v>
      </x:c>
      <x:c r="B707" s="2" t="str">
        <x:v>36c8d72f8c320266cdc9</x:v>
      </x:c>
      <x:c r="C707" s="2" t="str">
        <x:v>Tp Hồ Chí Minh</x:v>
      </x:c>
      <x:c r="D707" s="2" t="str">
        <x:v>Quận 9</x:v>
      </x:c>
      <x:c r="E707" s="2" t="str">
        <x:v>apartment</x:v>
      </x:c>
      <x:c r="F707" s="2" t="str">
        <x:v>sale</x:v>
      </x:c>
      <x:c r="G707" s="11" t="n">
        <x:v>58</x:v>
      </x:c>
      <x:c r="H707" s="12" t="n">
        <x:v>1390000000</x:v>
      </x:c>
      <x:c r="I707" s="12" t="n">
        <x:v>23965517.24137931</x:v>
      </x:c>
      <x:c r="J707" s="2" t="str">
        <x:v>total</x:v>
      </x:c>
      <x:c r="K707" s="2" t="str">
        <x:v>top_level_area</x:v>
      </x:c>
      <x:c r="L707" s="2" t="str">
        <x:v>property_type_inferred_from_title</x:v>
      </x:c>
      <x:c r="M707" s="10" t="n">
        <x:v>0</x:v>
      </x:c>
      <x:c r="N707" s="10" t="n">
        <x:v>0</x:v>
      </x:c>
      <x:c r="O707" s="2" t="str">
        <x:v>Tp Hồ Chí Minh|apartment</x:v>
      </x:c>
      <x:c r="P707" s="10" t="n">
        <x:v>2</x:v>
      </x:c>
      <x:c r="Q707" s="13" t="n">
        <x:f>IF(H707="","",H707/1000000000)</x:f>
        <x:v>1.39</x:v>
      </x:c>
      <x:c r="R707" s="13" t="n">
        <x:f>IF(I707="","",I707/1000000)</x:f>
        <x:v>23.96551724137931</x:v>
      </x:c>
    </x:row>
    <x:row r="708" ht="21" customHeight="1">
      <x:c r="A708" s="10" t="n">
        <x:v>775</x:v>
      </x:c>
      <x:c r="B708" s="2" t="str">
        <x:v>edd4cd52c96e5d064d50</x:v>
      </x:c>
      <x:c r="C708" s="2" t="str">
        <x:v>Tp Hồ Chí Minh</x:v>
      </x:c>
      <x:c r="D708" s="2" t="str">
        <x:v>Quận Bình Thạnh</x:v>
      </x:c>
      <x:c r="E708" s="2" t="str">
        <x:v>apartment</x:v>
      </x:c>
      <x:c r="F708" s="2" t="str">
        <x:v>sale_assumed</x:v>
      </x:c>
      <x:c r="G708" s="11" t="n">
        <x:v>61</x:v>
      </x:c>
      <x:c r="H708" s="12" t="n">
        <x:v>1125000000</x:v>
      </x:c>
      <x:c r="I708" s="12" t="n">
        <x:v>18442622.95081967</x:v>
      </x:c>
      <x:c r="J708" s="2" t="str">
        <x:v>total</x:v>
      </x:c>
      <x:c r="K708" s="2" t="str">
        <x:v>top_level_area</x:v>
      </x:c>
      <x:c r="L708" s="2" t="str">
        <x:v>property_type_inferred_from_title;transaction_assumed_sale_from_dataset_context</x:v>
      </x:c>
      <x:c r="M708" s="10" t="n">
        <x:v>0</x:v>
      </x:c>
      <x:c r="N708" s="10" t="n">
        <x:v>0</x:v>
      </x:c>
      <x:c r="O708" s="2" t="str">
        <x:v>Tp Hồ Chí Minh|apartment</x:v>
      </x:c>
      <x:c r="P708" s="10" t="n">
        <x:v>2</x:v>
      </x:c>
      <x:c r="Q708" s="13" t="n">
        <x:f>IF(H708="","",H708/1000000000)</x:f>
        <x:v>1.125</x:v>
      </x:c>
      <x:c r="R708" s="13" t="n">
        <x:f>IF(I708="","",I708/1000000)</x:f>
        <x:v>18.442622950819672</x:v>
      </x:c>
    </x:row>
    <x:row r="709" ht="21" customHeight="1">
      <x:c r="A709" s="10" t="n">
        <x:v>776</x:v>
      </x:c>
      <x:c r="B709" s="2" t="str">
        <x:v>5fa599337d64017ef87a</x:v>
      </x:c>
      <x:c r="C709" s="2" t="str">
        <x:v>Tp Hồ Chí Minh</x:v>
      </x:c>
      <x:c r="D709" s="2" t="str">
        <x:v>Quận Tân Phú</x:v>
      </x:c>
      <x:c r="E709" s="2" t="str">
        <x:v>house</x:v>
      </x:c>
      <x:c r="F709" s="2" t="str">
        <x:v>sale</x:v>
      </x:c>
      <x:c r="G709" s="11" t="n">
        <x:v>80</x:v>
      </x:c>
      <x:c r="H709" s="12" t="n">
        <x:v>6700000000</x:v>
      </x:c>
      <x:c r="I709" s="12" t="n">
        <x:v>83750000</x:v>
      </x:c>
      <x:c r="J709" s="2" t="str">
        <x:v>total</x:v>
      </x:c>
      <x:c r="K709" s="2" t="str">
        <x:v>top_level_area</x:v>
      </x:c>
      <x:c r="L709" s="2" t="str">
        <x:v>property_type_inferred_from_title</x:v>
      </x:c>
      <x:c r="M709" s="10" t="n">
        <x:v>0</x:v>
      </x:c>
      <x:c r="N709" s="10" t="n">
        <x:v>0</x:v>
      </x:c>
      <x:c r="O709" s="2" t="str">
        <x:v>Tp Hồ Chí Minh|house</x:v>
      </x:c>
      <x:c r="P709" s="10" t="n">
        <x:v>2</x:v>
      </x:c>
      <x:c r="Q709" s="13" t="n">
        <x:f>IF(H709="","",H709/1000000000)</x:f>
        <x:v>6.7</x:v>
      </x:c>
      <x:c r="R709" s="13" t="n">
        <x:f>IF(I709="","",I709/1000000)</x:f>
        <x:v>83.75</x:v>
      </x:c>
    </x:row>
    <x:row r="710" ht="21" customHeight="1">
      <x:c r="A710" s="10" t="n">
        <x:v>777</x:v>
      </x:c>
      <x:c r="B710" s="2" t="str">
        <x:v>cc4a75034bd5a65161c8</x:v>
      </x:c>
      <x:c r="C710" s="2" t="str">
        <x:v>Tp Hồ Chí Minh</x:v>
      </x:c>
      <x:c r="D710" s="2" t="str">
        <x:v>Quận 2</x:v>
      </x:c>
      <x:c r="E710" s="2" t="str">
        <x:v>house</x:v>
      </x:c>
      <x:c r="F710" s="2" t="str">
        <x:v>sale_assumed</x:v>
      </x:c>
      <x:c r="G710" s="11" t="n">
        <x:v>56</x:v>
      </x:c>
      <x:c r="H710" s="12" t="n">
        <x:v>6000000000</x:v>
      </x:c>
      <x:c r="I710" s="12" t="n">
        <x:v>107142857.14285715</x:v>
      </x:c>
      <x:c r="J710" s="2" t="str">
        <x:v>total</x:v>
      </x:c>
      <x:c r="K710" s="2" t="str">
        <x:v>top_level_area</x:v>
      </x:c>
      <x:c r="L710" s="2" t="str">
        <x:v>property_type_inferred_from_title;transaction_assumed_sale_from_dataset_context</x:v>
      </x:c>
      <x:c r="M710" s="10" t="n">
        <x:v>0</x:v>
      </x:c>
      <x:c r="N710" s="10" t="n">
        <x:v>0</x:v>
      </x:c>
      <x:c r="O710" s="2" t="str">
        <x:v>Tp Hồ Chí Minh|house</x:v>
      </x:c>
      <x:c r="P710" s="10" t="n">
        <x:v>2</x:v>
      </x:c>
      <x:c r="Q710" s="13" t="n">
        <x:f>IF(H710="","",H710/1000000000)</x:f>
        <x:v>6</x:v>
      </x:c>
      <x:c r="R710" s="13" t="n">
        <x:f>IF(I710="","",I710/1000000)</x:f>
        <x:v>107.14285714285715</x:v>
      </x:c>
    </x:row>
    <x:row r="711" ht="21" customHeight="1">
      <x:c r="A711" s="10" t="n">
        <x:v>778</x:v>
      </x:c>
      <x:c r="B711" s="2" t="str">
        <x:v>0c112471519cca7bbbcc</x:v>
      </x:c>
      <x:c r="C711" s="2" t="str">
        <x:v>Đà Nẵng</x:v>
      </x:c>
      <x:c r="D711" s="2" t="str">
        <x:v>Quận Liên Chiểu</x:v>
      </x:c>
      <x:c r="E711" s="2" t="str">
        <x:v>land</x:v>
      </x:c>
      <x:c r="F711" s="2" t="str">
        <x:v>sale_assumed</x:v>
      </x:c>
      <x:c r="G711" s="11" t="n">
        <x:v>173.3</x:v>
      </x:c>
      <x:c r="H711" s="12" t="n">
        <x:v>3900000000</x:v>
      </x:c>
      <x:c r="I711" s="12" t="n">
        <x:v>22504327.755337562</x:v>
      </x:c>
      <x:c r="J711" s="2" t="str">
        <x:v>total</x:v>
      </x:c>
      <x:c r="K711" s="2" t="str">
        <x:v>top_level_area</x:v>
      </x:c>
      <x:c r="L711" s="2" t="str">
        <x:v>property_type_inferred_from_title;transaction_assumed_sale_from_dataset_context</x:v>
      </x:c>
      <x:c r="M711" s="10" t="n">
        <x:v>0</x:v>
      </x:c>
      <x:c r="N711" s="10" t="n">
        <x:v>0</x:v>
      </x:c>
      <x:c r="O711" s="2" t="str">
        <x:v>Đà Nẵng|land</x:v>
      </x:c>
      <x:c r="P711" s="10" t="n">
        <x:v>2</x:v>
      </x:c>
      <x:c r="Q711" s="13" t="n">
        <x:f>IF(H711="","",H711/1000000000)</x:f>
        <x:v>3.9</x:v>
      </x:c>
      <x:c r="R711" s="13" t="n">
        <x:f>IF(I711="","",I711/1000000)</x:f>
        <x:v>22.504327755337563</x:v>
      </x:c>
    </x:row>
    <x:row r="712" ht="21" customHeight="1">
      <x:c r="A712" s="10" t="n">
        <x:v>779</x:v>
      </x:c>
      <x:c r="B712" s="2" t="str">
        <x:v>717cea5be4f9f27c532d</x:v>
      </x:c>
      <x:c r="C712" s="2" t="str">
        <x:v>Bà Rịa - Vũng Tàu</x:v>
      </x:c>
      <x:c r="D712" s="2" t="str">
        <x:v>Thị xã Phú Mỹ</x:v>
      </x:c>
      <x:c r="E712" s="2" t="str">
        <x:v>land</x:v>
      </x:c>
      <x:c r="F712" s="2" t="str">
        <x:v>sale_assumed</x:v>
      </x:c>
      <x:c r="G712" s="11" t="n">
        <x:v>500</x:v>
      </x:c>
      <x:c r="H712" s="12" t="n">
        <x:v>1000000000</x:v>
      </x:c>
      <x:c r="I712" s="12" t="n">
        <x:v>2000000</x:v>
      </x:c>
      <x:c r="J712" s="2" t="str">
        <x:v>total</x:v>
      </x:c>
      <x:c r="K712" s="2" t="str">
        <x:v>top_level_area</x:v>
      </x:c>
      <x:c r="L712" s="2" t="str">
        <x:v>property_type_inferred_from_title;transaction_assumed_sale_from_dataset_context</x:v>
      </x:c>
      <x:c r="M712" s="10" t="n">
        <x:v>0</x:v>
      </x:c>
      <x:c r="N712" s="10" t="n">
        <x:v>0</x:v>
      </x:c>
      <x:c r="O712" s="2" t="str">
        <x:v>Bà Rịa - Vũng Tàu|land</x:v>
      </x:c>
      <x:c r="P712" s="10" t="n">
        <x:v>1</x:v>
      </x:c>
      <x:c r="Q712" s="13" t="n">
        <x:f>IF(H712="","",H712/1000000000)</x:f>
        <x:v>1</x:v>
      </x:c>
      <x:c r="R712" s="13" t="n">
        <x:f>IF(I712="","",I712/1000000)</x:f>
        <x:v>2</x:v>
      </x:c>
    </x:row>
    <x:row r="713" ht="21" customHeight="1">
      <x:c r="A713" s="10" t="n">
        <x:v>780</x:v>
      </x:c>
      <x:c r="B713" s="2" t="str">
        <x:v>5e8557e769f9e5fe6f3d</x:v>
      </x:c>
      <x:c r="C713" s="2" t="str">
        <x:v>Đồng Tháp</x:v>
      </x:c>
      <x:c r="D713" s="2" t="str">
        <x:v>Thành phố Cao Lãnh</x:v>
      </x:c>
      <x:c r="E713" s="2" t="str">
        <x:v>house</x:v>
      </x:c>
      <x:c r="F713" s="2" t="str">
        <x:v>sale_assumed</x:v>
      </x:c>
      <x:c r="G713" s="11" t="n">
        <x:v>50</x:v>
      </x:c>
      <x:c r="H713" s="12" t="n">
        <x:v>2900000000</x:v>
      </x:c>
      <x:c r="I713" s="12" t="n">
        <x:v>58000000</x:v>
      </x:c>
      <x:c r="J713" s="2" t="str">
        <x:v>total</x:v>
      </x:c>
      <x:c r="K713" s="2" t="str">
        <x:v>top_level_area</x:v>
      </x:c>
      <x:c r="L713" s="2" t="str">
        <x:v>property_type_inferred_from_title;transaction_assumed_sale_from_dataset_context</x:v>
      </x:c>
      <x:c r="M713" s="10" t="n">
        <x:v>0</x:v>
      </x:c>
      <x:c r="N713" s="10" t="n">
        <x:v>0</x:v>
      </x:c>
      <x:c r="O713" s="2" t="str">
        <x:v>house</x:v>
      </x:c>
      <x:c r="P713" s="10" t="n">
        <x:v>2</x:v>
      </x:c>
      <x:c r="Q713" s="13" t="n">
        <x:f>IF(H713="","",H713/1000000000)</x:f>
        <x:v>2.9</x:v>
      </x:c>
      <x:c r="R713" s="13" t="n">
        <x:f>IF(I713="","",I713/1000000)</x:f>
        <x:v>58</x:v>
      </x:c>
    </x:row>
    <x:row r="714" ht="21" customHeight="1">
      <x:c r="A714" s="10" t="n">
        <x:v>781</x:v>
      </x:c>
      <x:c r="B714" s="2" t="str">
        <x:v>a5e132427903773c62bf</x:v>
      </x:c>
      <x:c r="C714" s="2" t="str">
        <x:v>Long An</x:v>
      </x:c>
      <x:c r="D714" s="2" t="str">
        <x:v>Huyện Cần Đước</x:v>
      </x:c>
      <x:c r="E714" s="2" t="str">
        <x:v>other_unknown</x:v>
      </x:c>
      <x:c r="F714" s="2" t="str">
        <x:v>sale_assumed</x:v>
      </x:c>
      <x:c r="G714" s="11" t="n">
        <x:v>1000</x:v>
      </x:c>
      <x:c r="H714" s="12" t="n">
        <x:v>2800000000</x:v>
      </x:c>
      <x:c r="I714" s="12" t="n">
        <x:v>2800000</x:v>
      </x:c>
      <x:c r="J714" s="2" t="str">
        <x:v>total</x:v>
      </x:c>
      <x:c r="K714" s="2" t="str">
        <x:v>top_level_price_embedded_area</x:v>
      </x:c>
      <x:c r="L714" s="2" t="str">
        <x:v>area_recovered_from_price_text;dot_thousands_convention;property_type_inferred_from_title;transaction_assumed_sale_from_dataset_context;unknown_property_type</x:v>
      </x:c>
      <x:c r="M714" s="10" t="n">
        <x:v>0</x:v>
      </x:c>
      <x:c r="N714" s="10" t="n">
        <x:v>0</x:v>
      </x:c>
      <x:c r="O714" s="2" t="str">
        <x:v>Long An|other_unknown</x:v>
      </x:c>
      <x:c r="P714" s="10" t="n">
        <x:v>1</x:v>
      </x:c>
      <x:c r="Q714" s="13" t="n">
        <x:f>IF(H714="","",H714/1000000000)</x:f>
        <x:v>2.8</x:v>
      </x:c>
      <x:c r="R714" s="13" t="n">
        <x:f>IF(I714="","",I714/1000000)</x:f>
        <x:v>2.8</x:v>
      </x:c>
    </x:row>
    <x:row r="715" ht="21" customHeight="1">
      <x:c r="A715" s="10" t="n">
        <x:v>782</x:v>
      </x:c>
      <x:c r="B715" s="2" t="str">
        <x:v>a008be7ac6021046318f</x:v>
      </x:c>
      <x:c r="C715" s="2" t="str">
        <x:v>Đà Nẵng</x:v>
      </x:c>
      <x:c r="D715" s="2" t="str">
        <x:v>Quận Thanh Khê</x:v>
      </x:c>
      <x:c r="E715" s="2" t="str">
        <x:v>house</x:v>
      </x:c>
      <x:c r="F715" s="2" t="str">
        <x:v>sale</x:v>
      </x:c>
      <x:c r="G715" s="11" t="n">
        <x:v>55</x:v>
      </x:c>
      <x:c r="H715" s="12" t="n">
        <x:v>3150000000</x:v>
      </x:c>
      <x:c r="I715" s="12" t="n">
        <x:v>57272727.27272727</x:v>
      </x:c>
      <x:c r="J715" s="2" t="str">
        <x:v>total</x:v>
      </x:c>
      <x:c r="K715" s="2" t="str">
        <x:v>top_level_area</x:v>
      </x:c>
      <x:c r="L715" s="2" t="str">
        <x:v>property_type_inferred_from_title</x:v>
      </x:c>
      <x:c r="M715" s="10" t="n">
        <x:v>0</x:v>
      </x:c>
      <x:c r="N715" s="10" t="n">
        <x:v>0</x:v>
      </x:c>
      <x:c r="O715" s="2" t="str">
        <x:v>Đà Nẵng|house</x:v>
      </x:c>
      <x:c r="P715" s="10" t="n">
        <x:v>2</x:v>
      </x:c>
      <x:c r="Q715" s="13" t="n">
        <x:f>IF(H715="","",H715/1000000000)</x:f>
        <x:v>3.15</x:v>
      </x:c>
      <x:c r="R715" s="13" t="n">
        <x:f>IF(I715="","",I715/1000000)</x:f>
        <x:v>57.27272727272727</x:v>
      </x:c>
    </x:row>
    <x:row r="716" ht="21" customHeight="1">
      <x:c r="A716" s="10" t="n">
        <x:v>783</x:v>
      </x:c>
      <x:c r="B716" s="2" t="str">
        <x:v>decc385c3e33ba05ba34</x:v>
      </x:c>
      <x:c r="C716" s="2" t="str">
        <x:v>Lâm Đồng</x:v>
      </x:c>
      <x:c r="D716" s="2" t="str">
        <x:v>Thành phố Đà Lạt</x:v>
      </x:c>
      <x:c r="E716" s="2" t="str">
        <x:v>house</x:v>
      </x:c>
      <x:c r="F716" s="2" t="str">
        <x:v>sale</x:v>
      </x:c>
      <x:c r="G716" s="11" t="n">
        <x:v>250</x:v>
      </x:c>
      <x:c r="H716" s="12" t="n">
        <x:v>6100000000</x:v>
      </x:c>
      <x:c r="I716" s="12" t="n">
        <x:v>24400000</x:v>
      </x:c>
      <x:c r="J716" s="2" t="str">
        <x:v>total</x:v>
      </x:c>
      <x:c r="K716" s="2" t="str">
        <x:v>top_level_area</x:v>
      </x:c>
      <x:c r="L716" s="2" t="str">
        <x:v>property_type_inferred_from_title</x:v>
      </x:c>
      <x:c r="M716" s="10" t="n">
        <x:v>0</x:v>
      </x:c>
      <x:c r="N716" s="10" t="n">
        <x:v>0</x:v>
      </x:c>
      <x:c r="O716" s="2" t="str">
        <x:v>house</x:v>
      </x:c>
      <x:c r="P716" s="10" t="n">
        <x:v>2</x:v>
      </x:c>
      <x:c r="Q716" s="13" t="n">
        <x:f>IF(H716="","",H716/1000000000)</x:f>
        <x:v>6.1</x:v>
      </x:c>
      <x:c r="R716" s="13" t="n">
        <x:f>IF(I716="","",I716/1000000)</x:f>
        <x:v>24.4</x:v>
      </x:c>
    </x:row>
    <x:row r="717" ht="21" customHeight="1">
      <x:c r="A717" s="10" t="n">
        <x:v>784</x:v>
      </x:c>
      <x:c r="B717" s="2" t="str">
        <x:v>3fbcb56e2c2f947c162e</x:v>
      </x:c>
      <x:c r="C717" s="2" t="str">
        <x:v>Tp Hồ Chí Minh</x:v>
      </x:c>
      <x:c r="D717" s="2" t="str">
        <x:v>Quận Tân Phú</x:v>
      </x:c>
      <x:c r="E717" s="2" t="str">
        <x:v>house</x:v>
      </x:c>
      <x:c r="F717" s="2" t="str">
        <x:v>sale_assumed</x:v>
      </x:c>
      <x:c r="G717" s="11" t="n">
        <x:v>57.5</x:v>
      </x:c>
      <x:c r="H717" s="12" t="n">
        <x:v>4400000000</x:v>
      </x:c>
      <x:c r="I717" s="12" t="n">
        <x:v>76521739.13043478</x:v>
      </x:c>
      <x:c r="J717" s="2" t="str">
        <x:v>total</x:v>
      </x:c>
      <x:c r="K717" s="2" t="str">
        <x:v>top_level_area</x:v>
      </x:c>
      <x:c r="L717" s="2" t="str">
        <x:v>property_type_inferred_from_title;transaction_assumed_sale_from_dataset_context</x:v>
      </x:c>
      <x:c r="M717" s="10" t="n">
        <x:v>0</x:v>
      </x:c>
      <x:c r="N717" s="10" t="n">
        <x:v>0</x:v>
      </x:c>
      <x:c r="O717" s="2" t="str">
        <x:v>Tp Hồ Chí Minh|house</x:v>
      </x:c>
      <x:c r="P717" s="10" t="n">
        <x:v>2</x:v>
      </x:c>
      <x:c r="Q717" s="13" t="n">
        <x:f>IF(H717="","",H717/1000000000)</x:f>
        <x:v>4.4</x:v>
      </x:c>
      <x:c r="R717" s="13" t="n">
        <x:f>IF(I717="","",I717/1000000)</x:f>
        <x:v>76.52173913043478</x:v>
      </x:c>
    </x:row>
    <x:row r="718" ht="21" customHeight="1">
      <x:c r="A718" s="10" t="n">
        <x:v>785</x:v>
      </x:c>
      <x:c r="B718" s="2" t="str">
        <x:v>61a4f1e6f6380a2e5681</x:v>
      </x:c>
      <x:c r="C718" s="2" t="str">
        <x:v>Đắk Lắk</x:v>
      </x:c>
      <x:c r="D718" s="2" t="str">
        <x:v>Thành phố Buôn Ma Thuột</x:v>
      </x:c>
      <x:c r="E718" s="2" t="str">
        <x:v>house</x:v>
      </x:c>
      <x:c r="F718" s="2" t="str">
        <x:v>sale_assumed</x:v>
      </x:c>
      <x:c r="G718" s="11" t="n">
        <x:v>91</x:v>
      </x:c>
      <x:c r="H718" s="12" t="n">
        <x:v>580000000</x:v>
      </x:c>
      <x:c r="I718" s="12" t="n">
        <x:v>6373626.373626374</x:v>
      </x:c>
      <x:c r="J718" s="2" t="str">
        <x:v>total</x:v>
      </x:c>
      <x:c r="K718" s="2" t="str">
        <x:v>top_level_area</x:v>
      </x:c>
      <x:c r="L718" s="2" t="str">
        <x:v>property_type_inferred_from_title;transaction_assumed_sale_from_dataset_context</x:v>
      </x:c>
      <x:c r="M718" s="10" t="n">
        <x:v>0</x:v>
      </x:c>
      <x:c r="N718" s="10" t="n">
        <x:v>0</x:v>
      </x:c>
      <x:c r="O718" s="2" t="str">
        <x:v>Đắk Lắk|house</x:v>
      </x:c>
      <x:c r="P718" s="10" t="n">
        <x:v>2</x:v>
      </x:c>
      <x:c r="Q718" s="13" t="n">
        <x:f>IF(H718="","",H718/1000000000)</x:f>
        <x:v>0.58</x:v>
      </x:c>
      <x:c r="R718" s="13" t="n">
        <x:f>IF(I718="","",I718/1000000)</x:f>
        <x:v>6.373626373626374</x:v>
      </x:c>
    </x:row>
    <x:row r="719" ht="21" customHeight="1">
      <x:c r="A719" s="10" t="n">
        <x:v>786</x:v>
      </x:c>
      <x:c r="B719" s="2" t="str">
        <x:v>344a299d4f580a211549</x:v>
      </x:c>
      <x:c r="C719" s="2" t="str">
        <x:v>Chưa xác định</x:v>
      </x:c>
      <x:c r="D719" s="2" t="str">
        <x:v>Chưa xác định</x:v>
      </x:c>
      <x:c r="E719" s="2" t="str">
        <x:v>house</x:v>
      </x:c>
      <x:c r="F719" s="2" t="str">
        <x:v>sale</x:v>
      </x:c>
      <x:c r="G719" s="11" t="n">
        <x:v>32</x:v>
      </x:c>
      <x:c r="H719" s="12" t="n">
        <x:v>2760000000</x:v>
      </x:c>
      <x:c r="I719" s="12" t="n">
        <x:v>86250000</x:v>
      </x:c>
      <x:c r="J719" s="2" t="str">
        <x:v>total</x:v>
      </x:c>
      <x:c r="K719" s="2" t="str">
        <x:v>top_level_area</x:v>
      </x:c>
      <x:c r="L719" s="2" t="str">
        <x:v>property_type_inferred_from_title;unknown_district;unknown_province</x:v>
      </x:c>
      <x:c r="M719" s="10" t="n">
        <x:v>0</x:v>
      </x:c>
      <x:c r="N719" s="10" t="n">
        <x:v>0</x:v>
      </x:c>
      <x:c r="O719" s="2" t="str">
        <x:v>house</x:v>
      </x:c>
      <x:c r="P719" s="10" t="n">
        <x:v>2</x:v>
      </x:c>
      <x:c r="Q719" s="13" t="n">
        <x:f>IF(H719="","",H719/1000000000)</x:f>
        <x:v>2.76</x:v>
      </x:c>
      <x:c r="R719" s="13" t="n">
        <x:f>IF(I719="","",I719/1000000)</x:f>
        <x:v>86.25</x:v>
      </x:c>
    </x:row>
    <x:row r="720" ht="21" customHeight="1">
      <x:c r="A720" s="10" t="n">
        <x:v>787</x:v>
      </x:c>
      <x:c r="B720" s="2" t="str">
        <x:v>f25470ef3d1c0e8d1ab6</x:v>
      </x:c>
      <x:c r="C720" s="2" t="str">
        <x:v>Tp Hồ Chí Minh</x:v>
      </x:c>
      <x:c r="D720" s="2" t="str">
        <x:v>Huyện Nhà Bè</x:v>
      </x:c>
      <x:c r="E720" s="2" t="str">
        <x:v>house</x:v>
      </x:c>
      <x:c r="F720" s="2" t="str">
        <x:v>sale_assumed</x:v>
      </x:c>
      <x:c r="G720" s="11" t="n">
        <x:v>80</x:v>
      </x:c>
      <x:c r="H720" s="12" t="n">
        <x:v>4500000000</x:v>
      </x:c>
      <x:c r="I720" s="12" t="n">
        <x:v>56250000</x:v>
      </x:c>
      <x:c r="J720" s="2" t="str">
        <x:v>total</x:v>
      </x:c>
      <x:c r="K720" s="2" t="str">
        <x:v>top_level_area</x:v>
      </x:c>
      <x:c r="L720" s="2" t="str">
        <x:v>property_type_inferred_from_title;transaction_assumed_sale_from_dataset_context</x:v>
      </x:c>
      <x:c r="M720" s="10" t="n">
        <x:v>0</x:v>
      </x:c>
      <x:c r="N720" s="10" t="n">
        <x:v>0</x:v>
      </x:c>
      <x:c r="O720" s="2" t="str">
        <x:v>Tp Hồ Chí Minh|house</x:v>
      </x:c>
      <x:c r="P720" s="10" t="n">
        <x:v>2</x:v>
      </x:c>
      <x:c r="Q720" s="13" t="n">
        <x:f>IF(H720="","",H720/1000000000)</x:f>
        <x:v>4.5</x:v>
      </x:c>
      <x:c r="R720" s="13" t="n">
        <x:f>IF(I720="","",I720/1000000)</x:f>
        <x:v>56.25</x:v>
      </x:c>
    </x:row>
    <x:row r="721" ht="21" customHeight="1">
      <x:c r="A721" s="10" t="n">
        <x:v>788</x:v>
      </x:c>
      <x:c r="B721" s="2" t="str">
        <x:v>6cd3dd78daf25609644f</x:v>
      </x:c>
      <x:c r="C721" s="2" t="str">
        <x:v>Tp Hồ Chí Minh</x:v>
      </x:c>
      <x:c r="D721" s="2" t="str">
        <x:v>Quận Thủ Đức</x:v>
      </x:c>
      <x:c r="E721" s="2" t="str">
        <x:v>land</x:v>
      </x:c>
      <x:c r="F721" s="2" t="str">
        <x:v>sale_assumed</x:v>
      </x:c>
      <x:c r="G721" s="11" t="n">
        <x:v>80</x:v>
      </x:c>
      <x:c r="H721" s="12" t="n">
        <x:v>750000000</x:v>
      </x:c>
      <x:c r="I721" s="12" t="n">
        <x:v>9375000</x:v>
      </x:c>
      <x:c r="J721" s="2" t="str">
        <x:v>total</x:v>
      </x:c>
      <x:c r="K721" s="2" t="str">
        <x:v>top_level_area</x:v>
      </x:c>
      <x:c r="L721" s="2" t="str">
        <x:v>property_type_inferred_from_title;transaction_assumed_sale_from_dataset_context</x:v>
      </x:c>
      <x:c r="M721" s="10" t="n">
        <x:v>0</x:v>
      </x:c>
      <x:c r="N721" s="10" t="n">
        <x:v>0</x:v>
      </x:c>
      <x:c r="O721" s="2" t="str">
        <x:v>Tp Hồ Chí Minh|land</x:v>
      </x:c>
      <x:c r="P721" s="10" t="n">
        <x:v>2</x:v>
      </x:c>
      <x:c r="Q721" s="13" t="n">
        <x:f>IF(H721="","",H721/1000000000)</x:f>
        <x:v>0.75</x:v>
      </x:c>
      <x:c r="R721" s="13" t="n">
        <x:f>IF(I721="","",I721/1000000)</x:f>
        <x:v>9.375</x:v>
      </x:c>
    </x:row>
    <x:row r="722" ht="21" customHeight="1">
      <x:c r="A722" s="10" t="n">
        <x:v>789</x:v>
      </x:c>
      <x:c r="B722" s="2" t="str">
        <x:v>b0799843921bae356136</x:v>
      </x:c>
      <x:c r="C722" s="2" t="str">
        <x:v>Tp Hồ Chí Minh</x:v>
      </x:c>
      <x:c r="D722" s="2" t="str">
        <x:v>Huyện Củ Chi</x:v>
      </x:c>
      <x:c r="E722" s="2" t="str">
        <x:v>land</x:v>
      </x:c>
      <x:c r="F722" s="2" t="str">
        <x:v>sale_assumed</x:v>
      </x:c>
      <x:c r="G722" s="11" t="n">
        <x:v>1000</x:v>
      </x:c>
      <x:c r="H722" s="12" t="n">
        <x:v>1100000000</x:v>
      </x:c>
      <x:c r="I722" s="12" t="n">
        <x:v>1100000</x:v>
      </x:c>
      <x:c r="J722" s="2" t="str">
        <x:v>total</x:v>
      </x:c>
      <x:c r="K722" s="2" t="str">
        <x:v>top_level_area</x:v>
      </x:c>
      <x:c r="L722" s="2" t="str">
        <x:v>dot_thousands_convention;property_type_inferred_from_title;transaction_assumed_sale_from_dataset_context</x:v>
      </x:c>
      <x:c r="M722" s="10" t="n">
        <x:v>0</x:v>
      </x:c>
      <x:c r="N722" s="10" t="n">
        <x:v>0</x:v>
      </x:c>
      <x:c r="O722" s="2" t="str">
        <x:v>Tp Hồ Chí Minh|land</x:v>
      </x:c>
      <x:c r="P722" s="10" t="n">
        <x:v>1</x:v>
      </x:c>
      <x:c r="Q722" s="13" t="n">
        <x:f>IF(H722="","",H722/1000000000)</x:f>
        <x:v>1.1</x:v>
      </x:c>
      <x:c r="R722" s="13" t="n">
        <x:f>IF(I722="","",I722/1000000)</x:f>
        <x:v>1.1</x:v>
      </x:c>
    </x:row>
    <x:row r="723" ht="21" customHeight="1">
      <x:c r="A723" s="10" t="n">
        <x:v>790</x:v>
      </x:c>
      <x:c r="B723" s="2" t="str">
        <x:v>97808a2ba3e14471a25f</x:v>
      </x:c>
      <x:c r="C723" s="2" t="str">
        <x:v>Tp Hồ Chí Minh</x:v>
      </x:c>
      <x:c r="D723" s="2" t="str">
        <x:v>Quận Gò Vấp</x:v>
      </x:c>
      <x:c r="E723" s="2" t="str">
        <x:v>house</x:v>
      </x:c>
      <x:c r="F723" s="2" t="str">
        <x:v>sale_assumed</x:v>
      </x:c>
      <x:c r="G723" s="11" t="n">
        <x:v>37</x:v>
      </x:c>
      <x:c r="H723" s="12" t="n">
        <x:v>3730000000</x:v>
      </x:c>
      <x:c r="I723" s="12" t="n">
        <x:v>100810810.8108108</x:v>
      </x:c>
      <x:c r="J723" s="2" t="str">
        <x:v>total</x:v>
      </x:c>
      <x:c r="K723" s="2" t="str">
        <x:v>top_level_area</x:v>
      </x:c>
      <x:c r="L723" s="2" t="str">
        <x:v>property_type_inferred_from_title;transaction_assumed_sale_from_dataset_context</x:v>
      </x:c>
      <x:c r="M723" s="10" t="n">
        <x:v>0</x:v>
      </x:c>
      <x:c r="N723" s="10" t="n">
        <x:v>0</x:v>
      </x:c>
      <x:c r="O723" s="2" t="str">
        <x:v>Tp Hồ Chí Minh|house</x:v>
      </x:c>
      <x:c r="P723" s="10" t="n">
        <x:v>2</x:v>
      </x:c>
      <x:c r="Q723" s="13" t="n">
        <x:f>IF(H723="","",H723/1000000000)</x:f>
        <x:v>3.73</x:v>
      </x:c>
      <x:c r="R723" s="13" t="n">
        <x:f>IF(I723="","",I723/1000000)</x:f>
        <x:v>100.8108108108108</x:v>
      </x:c>
    </x:row>
    <x:row r="724" ht="21" customHeight="1">
      <x:c r="A724" s="10" t="n">
        <x:v>791</x:v>
      </x:c>
      <x:c r="B724" s="2" t="str">
        <x:v>072f86ba66b562f1a577</x:v>
      </x:c>
      <x:c r="C724" s="2" t="str">
        <x:v>Tp Hồ Chí Minh</x:v>
      </x:c>
      <x:c r="D724" s="2" t="str">
        <x:v>Quận 9</x:v>
      </x:c>
      <x:c r="E724" s="2" t="str">
        <x:v>house</x:v>
      </x:c>
      <x:c r="F724" s="2" t="str">
        <x:v>sale_assumed</x:v>
      </x:c>
      <x:c r="G724" s="11" t="n">
        <x:v>18</x:v>
      </x:c>
      <x:c r="H724" s="12" t="n">
        <x:v>950000000</x:v>
      </x:c>
      <x:c r="I724" s="12" t="n">
        <x:v>52777777.777777776</x:v>
      </x:c>
      <x:c r="J724" s="2" t="str">
        <x:v>total</x:v>
      </x:c>
      <x:c r="K724" s="2" t="str">
        <x:v>top_level_area</x:v>
      </x:c>
      <x:c r="L724" s="2" t="str">
        <x:v>property_type_inferred_from_title;transaction_assumed_sale_from_dataset_context</x:v>
      </x:c>
      <x:c r="M724" s="10" t="n">
        <x:v>0</x:v>
      </x:c>
      <x:c r="N724" s="10" t="n">
        <x:v>0</x:v>
      </x:c>
      <x:c r="O724" s="2" t="str">
        <x:v>Tp Hồ Chí Minh|house</x:v>
      </x:c>
      <x:c r="P724" s="10" t="n">
        <x:v>2</x:v>
      </x:c>
      <x:c r="Q724" s="13" t="n">
        <x:f>IF(H724="","",H724/1000000000)</x:f>
        <x:v>0.95</x:v>
      </x:c>
      <x:c r="R724" s="13" t="n">
        <x:f>IF(I724="","",I724/1000000)</x:f>
        <x:v>52.77777777777778</x:v>
      </x:c>
    </x:row>
    <x:row r="725" ht="21" customHeight="1">
      <x:c r="A725" s="10" t="n">
        <x:v>792</x:v>
      </x:c>
      <x:c r="B725" s="2" t="str">
        <x:v>9ba51f28e5b57308387e</x:v>
      </x:c>
      <x:c r="C725" s="2" t="str">
        <x:v>Đà Nẵng</x:v>
      </x:c>
      <x:c r="D725" s="2" t="str">
        <x:v>Quận Thanh Khê</x:v>
      </x:c>
      <x:c r="E725" s="2" t="str">
        <x:v>house</x:v>
      </x:c>
      <x:c r="F725" s="2" t="str">
        <x:v>sale_assumed</x:v>
      </x:c>
      <x:c r="G725" s="11" t="n">
        <x:v>165</x:v>
      </x:c>
      <x:c r="H725" s="12" t="n">
        <x:v>5100000000</x:v>
      </x:c>
      <x:c r="I725" s="12" t="n">
        <x:v>30909090.90909091</x:v>
      </x:c>
      <x:c r="J725" s="2" t="str">
        <x:v>total</x:v>
      </x:c>
      <x:c r="K725" s="2" t="str">
        <x:v>top_level_area</x:v>
      </x:c>
      <x:c r="L725" s="2" t="str">
        <x:v>property_type_inferred_from_title;transaction_assumed_sale_from_dataset_context</x:v>
      </x:c>
      <x:c r="M725" s="10" t="n">
        <x:v>0</x:v>
      </x:c>
      <x:c r="N725" s="10" t="n">
        <x:v>0</x:v>
      </x:c>
      <x:c r="O725" s="2" t="str">
        <x:v>Đà Nẵng|house</x:v>
      </x:c>
      <x:c r="P725" s="10" t="n">
        <x:v>2</x:v>
      </x:c>
      <x:c r="Q725" s="13" t="n">
        <x:f>IF(H725="","",H725/1000000000)</x:f>
        <x:v>5.1</x:v>
      </x:c>
      <x:c r="R725" s="13" t="n">
        <x:f>IF(I725="","",I725/1000000)</x:f>
        <x:v>30.90909090909091</x:v>
      </x:c>
    </x:row>
    <x:row r="726" ht="21" customHeight="1">
      <x:c r="A726" s="10" t="n">
        <x:v>793</x:v>
      </x:c>
      <x:c r="B726" s="2" t="str">
        <x:v>4e76eb522f70e55bfbe2</x:v>
      </x:c>
      <x:c r="C726" s="2" t="str">
        <x:v>Tp Hồ Chí Minh</x:v>
      </x:c>
      <x:c r="D726" s="2" t="str">
        <x:v>Huyện Bình Chánh</x:v>
      </x:c>
      <x:c r="E726" s="2" t="str">
        <x:v>land</x:v>
      </x:c>
      <x:c r="F726" s="2" t="str">
        <x:v>sale_assumed</x:v>
      </x:c>
      <x:c r="G726" s="11" t="n">
        <x:v>10000</x:v>
      </x:c>
      <x:c r="H726" s="12" t="n">
        <x:v>16000000000</x:v>
      </x:c>
      <x:c r="I726" s="12" t="n">
        <x:v>1600000</x:v>
      </x:c>
      <x:c r="J726" s="2" t="str">
        <x:v>total</x:v>
      </x:c>
      <x:c r="K726" s="2" t="str">
        <x:v>top_level_area</x:v>
      </x:c>
      <x:c r="L726" s="2" t="str">
        <x:v>dot_thousands_convention;property_type_inferred_from_title;transaction_assumed_sale_from_dataset_context</x:v>
      </x:c>
      <x:c r="M726" s="10" t="n">
        <x:v>0</x:v>
      </x:c>
      <x:c r="N726" s="10" t="n">
        <x:v>0</x:v>
      </x:c>
      <x:c r="O726" s="2" t="str">
        <x:v>Tp Hồ Chí Minh|land</x:v>
      </x:c>
      <x:c r="P726" s="10" t="n">
        <x:v>1</x:v>
      </x:c>
      <x:c r="Q726" s="13" t="n">
        <x:f>IF(H726="","",H726/1000000000)</x:f>
        <x:v>16</x:v>
      </x:c>
      <x:c r="R726" s="13" t="n">
        <x:f>IF(I726="","",I726/1000000)</x:f>
        <x:v>1.6</x:v>
      </x:c>
    </x:row>
    <x:row r="727" ht="21" customHeight="1">
      <x:c r="A727" s="10" t="n">
        <x:v>795</x:v>
      </x:c>
      <x:c r="B727" s="2" t="str">
        <x:v>bc07ce76e1052435c3e9</x:v>
      </x:c>
      <x:c r="C727" s="2" t="str">
        <x:v>Tp Hồ Chí Minh</x:v>
      </x:c>
      <x:c r="D727" s="2" t="str">
        <x:v>Quận Tân Phú</x:v>
      </x:c>
      <x:c r="E727" s="2" t="str">
        <x:v>house</x:v>
      </x:c>
      <x:c r="F727" s="2" t="str">
        <x:v>sale</x:v>
      </x:c>
      <x:c r="G727" s="11" t="n">
        <x:v>56</x:v>
      </x:c>
      <x:c r="H727" s="12" t="n">
        <x:v>4500000000</x:v>
      </x:c>
      <x:c r="I727" s="12" t="n">
        <x:v>80357142.85714285</x:v>
      </x:c>
      <x:c r="J727" s="2" t="str">
        <x:v>total</x:v>
      </x:c>
      <x:c r="K727" s="2" t="str">
        <x:v>top_level_area</x:v>
      </x:c>
      <x:c r="L727" s="2" t="str">
        <x:v>property_type_inferred_from_title</x:v>
      </x:c>
      <x:c r="M727" s="10" t="n">
        <x:v>0</x:v>
      </x:c>
      <x:c r="N727" s="10" t="n">
        <x:v>0</x:v>
      </x:c>
      <x:c r="O727" s="2" t="str">
        <x:v>Tp Hồ Chí Minh|house</x:v>
      </x:c>
      <x:c r="P727" s="10" t="n">
        <x:v>2</x:v>
      </x:c>
      <x:c r="Q727" s="13" t="n">
        <x:f>IF(H727="","",H727/1000000000)</x:f>
        <x:v>4.5</x:v>
      </x:c>
      <x:c r="R727" s="13" t="n">
        <x:f>IF(I727="","",I727/1000000)</x:f>
        <x:v>80.35714285714285</x:v>
      </x:c>
    </x:row>
    <x:row r="728" ht="21" customHeight="1">
      <x:c r="A728" s="10" t="n">
        <x:v>796</x:v>
      </x:c>
      <x:c r="B728" s="2" t="str">
        <x:v>86366ffbb226abfa283f</x:v>
      </x:c>
      <x:c r="C728" s="2" t="str">
        <x:v>Bình Dương</x:v>
      </x:c>
      <x:c r="D728" s="2" t="str">
        <x:v>Thành phố Thủ Dầu Một</x:v>
      </x:c>
      <x:c r="E728" s="2" t="str">
        <x:v>other_unknown</x:v>
      </x:c>
      <x:c r="F728" s="2" t="str">
        <x:v>sale</x:v>
      </x:c>
      <x:c r="G728" s="11" t="n">
        <x:v>110</x:v>
      </x:c>
      <x:c r="H728" s="12" t="n">
        <x:v>3300000000</x:v>
      </x:c>
      <x:c r="I728" s="12" t="n">
        <x:v>30000000</x:v>
      </x:c>
      <x:c r="J728" s="2" t="str">
        <x:v>total</x:v>
      </x:c>
      <x:c r="K728" s="2" t="str">
        <x:v>top_level_area</x:v>
      </x:c>
      <x:c r="L728" s="2" t="str">
        <x:v>property_type_inferred_from_title;unknown_property_type</x:v>
      </x:c>
      <x:c r="M728" s="10" t="n">
        <x:v>0</x:v>
      </x:c>
      <x:c r="N728" s="10" t="n">
        <x:v>0</x:v>
      </x:c>
      <x:c r="O728" s="2" t="str">
        <x:v>Bình Dương|other_unknown</x:v>
      </x:c>
      <x:c r="P728" s="10" t="n">
        <x:v>2</x:v>
      </x:c>
      <x:c r="Q728" s="13" t="n">
        <x:f>IF(H728="","",H728/1000000000)</x:f>
        <x:v>3.3</x:v>
      </x:c>
      <x:c r="R728" s="13" t="n">
        <x:f>IF(I728="","",I728/1000000)</x:f>
        <x:v>30</x:v>
      </x:c>
    </x:row>
    <x:row r="729" ht="21" customHeight="1">
      <x:c r="A729" s="10" t="n">
        <x:v>797</x:v>
      </x:c>
      <x:c r="B729" s="2" t="str">
        <x:v>9d21efd9135587031290</x:v>
      </x:c>
      <x:c r="C729" s="2" t="str">
        <x:v>Tp Hồ Chí Minh</x:v>
      </x:c>
      <x:c r="D729" s="2" t="str">
        <x:v>Quận Gò Vấp</x:v>
      </x:c>
      <x:c r="E729" s="2" t="str">
        <x:v>house</x:v>
      </x:c>
      <x:c r="F729" s="2" t="str">
        <x:v>sale_assumed</x:v>
      </x:c>
      <x:c r="G729" s="11" t="n">
        <x:v>50</x:v>
      </x:c>
      <x:c r="H729" s="12" t="n">
        <x:v>4850000000</x:v>
      </x:c>
      <x:c r="I729" s="12" t="n">
        <x:v>97000000</x:v>
      </x:c>
      <x:c r="J729" s="2" t="str">
        <x:v>total</x:v>
      </x:c>
      <x:c r="K729" s="2" t="str">
        <x:v>top_level_area</x:v>
      </x:c>
      <x:c r="L729" s="2" t="str">
        <x:v>property_type_inferred_from_title;transaction_assumed_sale_from_dataset_context</x:v>
      </x:c>
      <x:c r="M729" s="10" t="n">
        <x:v>0</x:v>
      </x:c>
      <x:c r="N729" s="10" t="n">
        <x:v>0</x:v>
      </x:c>
      <x:c r="O729" s="2" t="str">
        <x:v>Tp Hồ Chí Minh|house</x:v>
      </x:c>
      <x:c r="P729" s="10" t="n">
        <x:v>2</x:v>
      </x:c>
      <x:c r="Q729" s="13" t="n">
        <x:f>IF(H729="","",H729/1000000000)</x:f>
        <x:v>4.85</x:v>
      </x:c>
      <x:c r="R729" s="13" t="n">
        <x:f>IF(I729="","",I729/1000000)</x:f>
        <x:v>97</x:v>
      </x:c>
    </x:row>
    <x:row r="730" ht="21" customHeight="1">
      <x:c r="A730" s="10" t="n">
        <x:v>798</x:v>
      </x:c>
      <x:c r="B730" s="2" t="str">
        <x:v>f0c3f757c28713aaf996</x:v>
      </x:c>
      <x:c r="C730" s="2" t="str">
        <x:v>Tp Hồ Chí Minh</x:v>
      </x:c>
      <x:c r="D730" s="2" t="str">
        <x:v>Quận Bình Thạnh</x:v>
      </x:c>
      <x:c r="E730" s="2" t="str">
        <x:v>house</x:v>
      </x:c>
      <x:c r="F730" s="2" t="str">
        <x:v>sale</x:v>
      </x:c>
      <x:c r="G730" s="11" t="n">
        <x:v>31</x:v>
      </x:c>
      <x:c r="H730" s="12" t="n">
        <x:v>4099999999.9999995</x:v>
      </x:c>
      <x:c r="I730" s="12" t="n">
        <x:v>132258064.51612902</x:v>
      </x:c>
      <x:c r="J730" s="2" t="str">
        <x:v>total</x:v>
      </x:c>
      <x:c r="K730" s="2" t="str">
        <x:v>top_level_area</x:v>
      </x:c>
      <x:c r="L730" s="2" t="str">
        <x:v>property_type_inferred_from_title</x:v>
      </x:c>
      <x:c r="M730" s="10" t="n">
        <x:v>0</x:v>
      </x:c>
      <x:c r="N730" s="10" t="n">
        <x:v>0</x:v>
      </x:c>
      <x:c r="O730" s="2" t="str">
        <x:v>Tp Hồ Chí Minh|house</x:v>
      </x:c>
      <x:c r="P730" s="10" t="n">
        <x:v>2</x:v>
      </x:c>
      <x:c r="Q730" s="13" t="n">
        <x:f>IF(H730="","",H730/1000000000)</x:f>
        <x:v>4.1</x:v>
      </x:c>
      <x:c r="R730" s="13" t="n">
        <x:f>IF(I730="","",I730/1000000)</x:f>
        <x:v>132.25806451612902</x:v>
      </x:c>
    </x:row>
    <x:row r="731" ht="21" customHeight="1">
      <x:c r="A731" s="10" t="n">
        <x:v>799</x:v>
      </x:c>
      <x:c r="B731" s="2" t="str">
        <x:v>de2b18cf7db19c64c2b4</x:v>
      </x:c>
      <x:c r="C731" s="2" t="str">
        <x:v>Tp Hồ Chí Minh</x:v>
      </x:c>
      <x:c r="D731" s="2" t="str">
        <x:v>Quận Tân Bình</x:v>
      </x:c>
      <x:c r="E731" s="2" t="str">
        <x:v>house</x:v>
      </x:c>
      <x:c r="F731" s="2" t="str">
        <x:v>sale_assumed</x:v>
      </x:c>
      <x:c r="G731" s="11" t="n">
        <x:v>50</x:v>
      </x:c>
      <x:c r="H731" s="12" t="n">
        <x:v>810000000</x:v>
      </x:c>
      <x:c r="I731" s="12" t="n">
        <x:v>16200000</x:v>
      </x:c>
      <x:c r="J731" s="2" t="str">
        <x:v>total</x:v>
      </x:c>
      <x:c r="K731" s="2" t="str">
        <x:v>top_level_area</x:v>
      </x:c>
      <x:c r="L731" s="2" t="str">
        <x:v>property_type_inferred_from_title;transaction_assumed_sale_from_dataset_context</x:v>
      </x:c>
      <x:c r="M731" s="10" t="n">
        <x:v>0</x:v>
      </x:c>
      <x:c r="N731" s="10" t="n">
        <x:v>0</x:v>
      </x:c>
      <x:c r="O731" s="2" t="str">
        <x:v>Tp Hồ Chí Minh|house</x:v>
      </x:c>
      <x:c r="P731" s="10" t="n">
        <x:v>2</x:v>
      </x:c>
      <x:c r="Q731" s="13" t="n">
        <x:f>IF(H731="","",H731/1000000000)</x:f>
        <x:v>0.81</x:v>
      </x:c>
      <x:c r="R731" s="13" t="n">
        <x:f>IF(I731="","",I731/1000000)</x:f>
        <x:v>16.2</x:v>
      </x:c>
    </x:row>
    <x:row r="732" ht="21" customHeight="1">
      <x:c r="A732" s="10" t="n">
        <x:v>800</x:v>
      </x:c>
      <x:c r="B732" s="2" t="str">
        <x:v>50ca97713cc68b3b69f8</x:v>
      </x:c>
      <x:c r="C732" s="2" t="str">
        <x:v>Bình Dương</x:v>
      </x:c>
      <x:c r="D732" s="2" t="str">
        <x:v>Thành phố Thủ Dầu Một</x:v>
      </x:c>
      <x:c r="E732" s="2" t="str">
        <x:v>house</x:v>
      </x:c>
      <x:c r="F732" s="2" t="str">
        <x:v>sale_assumed</x:v>
      </x:c>
      <x:c r="G732" s="11" t="n">
        <x:v>108</x:v>
      </x:c>
      <x:c r="H732" s="12" t="n">
        <x:v>2200000000</x:v>
      </x:c>
      <x:c r="I732" s="12" t="n">
        <x:v>20370370.37037037</x:v>
      </x:c>
      <x:c r="J732" s="2" t="str">
        <x:v>total</x:v>
      </x:c>
      <x:c r="K732" s="2" t="str">
        <x:v>top_level_area</x:v>
      </x:c>
      <x:c r="L732" s="2" t="str">
        <x:v>property_type_inferred_from_title;transaction_assumed_sale_from_dataset_context</x:v>
      </x:c>
      <x:c r="M732" s="10" t="n">
        <x:v>0</x:v>
      </x:c>
      <x:c r="N732" s="10" t="n">
        <x:v>0</x:v>
      </x:c>
      <x:c r="O732" s="2" t="str">
        <x:v>Bình Dương|house</x:v>
      </x:c>
      <x:c r="P732" s="10" t="n">
        <x:v>2</x:v>
      </x:c>
      <x:c r="Q732" s="13" t="n">
        <x:f>IF(H732="","",H732/1000000000)</x:f>
        <x:v>2.2</x:v>
      </x:c>
      <x:c r="R732" s="13" t="n">
        <x:f>IF(I732="","",I732/1000000)</x:f>
        <x:v>20.37037037037037</x:v>
      </x:c>
    </x:row>
    <x:row r="733" ht="21" customHeight="1">
      <x:c r="A733" s="10" t="n">
        <x:v>801</x:v>
      </x:c>
      <x:c r="B733" s="2" t="str">
        <x:v>52def0b2dd5a6ba934b6</x:v>
      </x:c>
      <x:c r="C733" s="2" t="str">
        <x:v>Bình Dương</x:v>
      </x:c>
      <x:c r="D733" s="2" t="str">
        <x:v>Thị xã Thuận An</x:v>
      </x:c>
      <x:c r="E733" s="2" t="str">
        <x:v>other_unknown</x:v>
      </x:c>
      <x:c r="F733" s="2" t="str">
        <x:v>sale_assumed</x:v>
      </x:c>
      <x:c r="G733" s="11" t="n">
        <x:v>60</x:v>
      </x:c>
      <x:c r="H733" s="12" t="n">
        <x:v>315000000</x:v>
      </x:c>
      <x:c r="I733" s="12" t="n">
        <x:v>5250000</x:v>
      </x:c>
      <x:c r="J733" s="2" t="str">
        <x:v>total</x:v>
      </x:c>
      <x:c r="K733" s="2" t="str">
        <x:v>top_level_area</x:v>
      </x:c>
      <x:c r="L733" s="2" t="str">
        <x:v>property_type_inferred_from_title;transaction_assumed_sale_from_dataset_context;unknown_property_type</x:v>
      </x:c>
      <x:c r="M733" s="10" t="n">
        <x:v>0</x:v>
      </x:c>
      <x:c r="N733" s="10" t="n">
        <x:v>0</x:v>
      </x:c>
      <x:c r="O733" s="2" t="str">
        <x:v>Bình Dương|other_unknown</x:v>
      </x:c>
      <x:c r="P733" s="10" t="n">
        <x:v>2</x:v>
      </x:c>
      <x:c r="Q733" s="13" t="n">
        <x:f>IF(H733="","",H733/1000000000)</x:f>
        <x:v>0.315</x:v>
      </x:c>
      <x:c r="R733" s="13" t="n">
        <x:f>IF(I733="","",I733/1000000)</x:f>
        <x:v>5.25</x:v>
      </x:c>
    </x:row>
    <x:row r="734" ht="21" customHeight="1">
      <x:c r="A734" s="10" t="n">
        <x:v>802</x:v>
      </x:c>
      <x:c r="B734" s="2" t="str">
        <x:v>2e2109ed397a75dbf242</x:v>
      </x:c>
      <x:c r="C734" s="2" t="str">
        <x:v>Tp Hồ Chí Minh</x:v>
      </x:c>
      <x:c r="D734" s="2" t="str">
        <x:v>Quận 7</x:v>
      </x:c>
      <x:c r="E734" s="2" t="str">
        <x:v>house</x:v>
      </x:c>
      <x:c r="F734" s="2" t="str">
        <x:v>sale_assumed</x:v>
      </x:c>
      <x:c r="G734" s="11" t="n">
        <x:v>60</x:v>
      </x:c>
      <x:c r="H734" s="12" t="n">
        <x:v>6300000000</x:v>
      </x:c>
      <x:c r="I734" s="12" t="n">
        <x:v>105000000</x:v>
      </x:c>
      <x:c r="J734" s="2" t="str">
        <x:v>total</x:v>
      </x:c>
      <x:c r="K734" s="2" t="str">
        <x:v>top_level_area</x:v>
      </x:c>
      <x:c r="L734" s="2" t="str">
        <x:v>property_type_inferred_from_title;transaction_assumed_sale_from_dataset_context</x:v>
      </x:c>
      <x:c r="M734" s="10" t="n">
        <x:v>0</x:v>
      </x:c>
      <x:c r="N734" s="10" t="n">
        <x:v>0</x:v>
      </x:c>
      <x:c r="O734" s="2" t="str">
        <x:v>Tp Hồ Chí Minh|house</x:v>
      </x:c>
      <x:c r="P734" s="10" t="n">
        <x:v>2</x:v>
      </x:c>
      <x:c r="Q734" s="13" t="n">
        <x:f>IF(H734="","",H734/1000000000)</x:f>
        <x:v>6.3</x:v>
      </x:c>
      <x:c r="R734" s="13" t="n">
        <x:f>IF(I734="","",I734/1000000)</x:f>
        <x:v>105</x:v>
      </x:c>
    </x:row>
    <x:row r="735" ht="21" customHeight="1">
      <x:c r="A735" s="10" t="n">
        <x:v>803</x:v>
      </x:c>
      <x:c r="B735" s="2" t="str">
        <x:v>e09f0e39f66328a83484</x:v>
      </x:c>
      <x:c r="C735" s="2" t="str">
        <x:v>Đồng Nai</x:v>
      </x:c>
      <x:c r="D735" s="2" t="str">
        <x:v>Thành phố Biên Hòa</x:v>
      </x:c>
      <x:c r="E735" s="2" t="str">
        <x:v>land</x:v>
      </x:c>
      <x:c r="F735" s="2" t="str">
        <x:v>sale_assumed</x:v>
      </x:c>
      <x:c r="G735" s="11" t="n">
        <x:v>100</x:v>
      </x:c>
      <x:c r="H735" s="12" t="n">
        <x:v>2800000000</x:v>
      </x:c>
      <x:c r="I735" s="12" t="n">
        <x:v>28000000</x:v>
      </x:c>
      <x:c r="J735" s="2" t="str">
        <x:v>total</x:v>
      </x:c>
      <x:c r="K735" s="2" t="str">
        <x:v>top_level_price_embedded_area</x:v>
      </x:c>
      <x:c r="L735" s="2" t="str">
        <x:v>area_recovered_from_price_text;property_type_inferred_from_title;transaction_assumed_sale_from_dataset_context</x:v>
      </x:c>
      <x:c r="M735" s="10" t="n">
        <x:v>0</x:v>
      </x:c>
      <x:c r="N735" s="10" t="n">
        <x:v>1</x:v>
      </x:c>
      <x:c r="O735" s="2" t="str">
        <x:v>Đồng Nai|land</x:v>
      </x:c>
      <x:c r="P735" s="10" t="n">
        <x:v>-1</x:v>
      </x:c>
      <x:c r="Q735" s="13" t="n">
        <x:f>IF(H735="","",H735/1000000000)</x:f>
        <x:v>2.8</x:v>
      </x:c>
      <x:c r="R735" s="13" t="n">
        <x:f>IF(I735="","",I735/1000000)</x:f>
        <x:v>28</x:v>
      </x:c>
    </x:row>
    <x:row r="736" ht="21" customHeight="1">
      <x:c r="A736" s="10" t="n">
        <x:v>804</x:v>
      </x:c>
      <x:c r="B736" s="2" t="str">
        <x:v>bf6096911cd9c89fcafc</x:v>
      </x:c>
      <x:c r="C736" s="2" t="str">
        <x:v>Tp Hồ Chí Minh</x:v>
      </x:c>
      <x:c r="D736" s="2" t="str">
        <x:v>Huyện Bình Chánh</x:v>
      </x:c>
      <x:c r="E736" s="2" t="str">
        <x:v>house</x:v>
      </x:c>
      <x:c r="F736" s="2" t="str">
        <x:v>sale</x:v>
      </x:c>
      <x:c r="G736" s="11" t="n">
        <x:v>50</x:v>
      </x:c>
      <x:c r="H736" s="12" t="n">
        <x:v>750000000</x:v>
      </x:c>
      <x:c r="I736" s="12" t="n">
        <x:v>15000000</x:v>
      </x:c>
      <x:c r="J736" s="2" t="str">
        <x:v>total</x:v>
      </x:c>
      <x:c r="K736" s="2" t="str">
        <x:v>top_level_area</x:v>
      </x:c>
      <x:c r="L736" s="2" t="str">
        <x:v>property_type_inferred_from_title</x:v>
      </x:c>
      <x:c r="M736" s="10" t="n">
        <x:v>0</x:v>
      </x:c>
      <x:c r="N736" s="10" t="n">
        <x:v>0</x:v>
      </x:c>
      <x:c r="O736" s="2" t="str">
        <x:v>Tp Hồ Chí Minh|house</x:v>
      </x:c>
      <x:c r="P736" s="10" t="n">
        <x:v>2</x:v>
      </x:c>
      <x:c r="Q736" s="13" t="n">
        <x:f>IF(H736="","",H736/1000000000)</x:f>
        <x:v>0.75</x:v>
      </x:c>
      <x:c r="R736" s="13" t="n">
        <x:f>IF(I736="","",I736/1000000)</x:f>
        <x:v>15</x:v>
      </x:c>
    </x:row>
    <x:row r="737" ht="21" customHeight="1">
      <x:c r="A737" s="10" t="n">
        <x:v>805</x:v>
      </x:c>
      <x:c r="B737" s="2" t="str">
        <x:v>387242d512d15441e0b1</x:v>
      </x:c>
      <x:c r="C737" s="2" t="str">
        <x:v>Sóc Trăng</x:v>
      </x:c>
      <x:c r="D737" s="2" t="str">
        <x:v>Thành phố Sóc Trăng</x:v>
      </x:c>
      <x:c r="E737" s="2" t="str">
        <x:v>land</x:v>
      </x:c>
      <x:c r="F737" s="2" t="str">
        <x:v>sale_assumed</x:v>
      </x:c>
      <x:c r="G737" s="11" t="n">
        <x:v>450</x:v>
      </x:c>
      <x:c r="H737" s="12" t="n">
        <x:v>1550000000</x:v>
      </x:c>
      <x:c r="I737" s="12" t="n">
        <x:v>3444444.4444444445</x:v>
      </x:c>
      <x:c r="J737" s="2" t="str">
        <x:v>total</x:v>
      </x:c>
      <x:c r="K737" s="2" t="str">
        <x:v>top_level_area</x:v>
      </x:c>
      <x:c r="L737" s="2" t="str">
        <x:v>property_type_inferred_from_title;transaction_assumed_sale_from_dataset_context</x:v>
      </x:c>
      <x:c r="M737" s="10" t="n">
        <x:v>0</x:v>
      </x:c>
      <x:c r="N737" s="10" t="n">
        <x:v>0</x:v>
      </x:c>
      <x:c r="O737" s="2" t="str">
        <x:v>land</x:v>
      </x:c>
      <x:c r="P737" s="10" t="n">
        <x:v>1</x:v>
      </x:c>
      <x:c r="Q737" s="13" t="n">
        <x:f>IF(H737="","",H737/1000000000)</x:f>
        <x:v>1.55</x:v>
      </x:c>
      <x:c r="R737" s="13" t="n">
        <x:f>IF(I737="","",I737/1000000)</x:f>
        <x:v>3.4444444444444446</x:v>
      </x:c>
    </x:row>
    <x:row r="738" ht="21" customHeight="1">
      <x:c r="A738" s="10" t="n">
        <x:v>806</x:v>
      </x:c>
      <x:c r="B738" s="2" t="str">
        <x:v>38d89f609dc17e1f77bc</x:v>
      </x:c>
      <x:c r="C738" s="2" t="str">
        <x:v>Tp Hồ Chí Minh</x:v>
      </x:c>
      <x:c r="D738" s="2" t="str">
        <x:v>Quận Bình Thạnh</x:v>
      </x:c>
      <x:c r="E738" s="2" t="str">
        <x:v>house</x:v>
      </x:c>
      <x:c r="F738" s="2" t="str">
        <x:v>sale_assumed</x:v>
      </x:c>
      <x:c r="G738" s="11" t="n">
        <x:v>118</x:v>
      </x:c>
      <x:c r="H738" s="12" t="n">
        <x:v>10200000000</x:v>
      </x:c>
      <x:c r="I738" s="12" t="n">
        <x:v>86440677.96610169</x:v>
      </x:c>
      <x:c r="J738" s="2" t="str">
        <x:v>total</x:v>
      </x:c>
      <x:c r="K738" s="2" t="str">
        <x:v>top_level_area</x:v>
      </x:c>
      <x:c r="L738" s="2" t="str">
        <x:v>property_type_inferred_from_title;transaction_assumed_sale_from_dataset_context</x:v>
      </x:c>
      <x:c r="M738" s="10" t="n">
        <x:v>0</x:v>
      </x:c>
      <x:c r="N738" s="10" t="n">
        <x:v>0</x:v>
      </x:c>
      <x:c r="O738" s="2" t="str">
        <x:v>Tp Hồ Chí Minh|house</x:v>
      </x:c>
      <x:c r="P738" s="10" t="n">
        <x:v>2</x:v>
      </x:c>
      <x:c r="Q738" s="13" t="n">
        <x:f>IF(H738="","",H738/1000000000)</x:f>
        <x:v>10.2</x:v>
      </x:c>
      <x:c r="R738" s="13" t="n">
        <x:f>IF(I738="","",I738/1000000)</x:f>
        <x:v>86.44067796610169</x:v>
      </x:c>
    </x:row>
    <x:row r="739" ht="21" customHeight="1">
      <x:c r="A739" s="10" t="n">
        <x:v>807</x:v>
      </x:c>
      <x:c r="B739" s="2" t="str">
        <x:v>f266bcc745fd31c0fd8f</x:v>
      </x:c>
      <x:c r="C739" s="2" t="str">
        <x:v>Bình Phước</x:v>
      </x:c>
      <x:c r="D739" s="2" t="str">
        <x:v>Huyện Chơn Thành</x:v>
      </x:c>
      <x:c r="E739" s="2" t="str">
        <x:v>other_unknown</x:v>
      </x:c>
      <x:c r="F739" s="2" t="str">
        <x:v>sale_assumed</x:v>
      </x:c>
      <x:c r="G739" s="11" t="n">
        <x:v>250</x:v>
      </x:c>
      <x:c r="H739" s="12" t="n">
        <x:v>400000000</x:v>
      </x:c>
      <x:c r="I739" s="12" t="n">
        <x:v>1600000</x:v>
      </x:c>
      <x:c r="J739" s="2" t="str">
        <x:v>total</x:v>
      </x:c>
      <x:c r="K739" s="2" t="str">
        <x:v>top_level_price_embedded_area</x:v>
      </x:c>
      <x:c r="L739" s="2" t="str">
        <x:v>area_recovered_from_price_text;property_type_inferred_from_title;transaction_assumed_sale_from_dataset_context;unknown_property_type</x:v>
      </x:c>
      <x:c r="M739" s="10" t="n">
        <x:v>0</x:v>
      </x:c>
      <x:c r="N739" s="10" t="n">
        <x:v>0</x:v>
      </x:c>
      <x:c r="O739" s="2" t="str">
        <x:v>other_unknown</x:v>
      </x:c>
      <x:c r="P739" s="10" t="n">
        <x:v>1</x:v>
      </x:c>
      <x:c r="Q739" s="13" t="n">
        <x:f>IF(H739="","",H739/1000000000)</x:f>
        <x:v>0.4</x:v>
      </x:c>
      <x:c r="R739" s="13" t="n">
        <x:f>IF(I739="","",I739/1000000)</x:f>
        <x:v>1.6</x:v>
      </x:c>
    </x:row>
    <x:row r="740" ht="21" customHeight="1">
      <x:c r="A740" s="10" t="n">
        <x:v>808</x:v>
      </x:c>
      <x:c r="B740" s="2" t="str">
        <x:v>af284b7b5323120038dd</x:v>
      </x:c>
      <x:c r="C740" s="2" t="str">
        <x:v>Tp Hồ Chí Minh</x:v>
      </x:c>
      <x:c r="D740" s="2" t="str">
        <x:v>Quận 12</x:v>
      </x:c>
      <x:c r="E740" s="2" t="str">
        <x:v>house</x:v>
      </x:c>
      <x:c r="F740" s="2" t="str">
        <x:v>sale</x:v>
      </x:c>
      <x:c r="G740" s="11" t="n">
        <x:v>18</x:v>
      </x:c>
      <x:c r="H740" s="12" t="n">
        <x:v>1300000000</x:v>
      </x:c>
      <x:c r="I740" s="12" t="n">
        <x:v>72222222.22222222</x:v>
      </x:c>
      <x:c r="J740" s="2" t="str">
        <x:v>total</x:v>
      </x:c>
      <x:c r="K740" s="2" t="str">
        <x:v>top_level_area</x:v>
      </x:c>
      <x:c r="L740" s="2" t="str">
        <x:v>property_type_inferred_from_title</x:v>
      </x:c>
      <x:c r="M740" s="10" t="n">
        <x:v>0</x:v>
      </x:c>
      <x:c r="N740" s="10" t="n">
        <x:v>0</x:v>
      </x:c>
      <x:c r="O740" s="2" t="str">
        <x:v>Tp Hồ Chí Minh|house</x:v>
      </x:c>
      <x:c r="P740" s="10" t="n">
        <x:v>2</x:v>
      </x:c>
      <x:c r="Q740" s="13" t="n">
        <x:f>IF(H740="","",H740/1000000000)</x:f>
        <x:v>1.3</x:v>
      </x:c>
      <x:c r="R740" s="13" t="n">
        <x:f>IF(I740="","",I740/1000000)</x:f>
        <x:v>72.22222222222223</x:v>
      </x:c>
    </x:row>
    <x:row r="741" ht="21" customHeight="1">
      <x:c r="A741" s="10" t="n">
        <x:v>809</x:v>
      </x:c>
      <x:c r="B741" s="2" t="str">
        <x:v>5992264ed23ff61d3c54</x:v>
      </x:c>
      <x:c r="C741" s="2" t="str">
        <x:v>Tp Hồ Chí Minh</x:v>
      </x:c>
      <x:c r="D741" s="2" t="str">
        <x:v>Quận Tân Bình</x:v>
      </x:c>
      <x:c r="E741" s="2" t="str">
        <x:v>other_unknown</x:v>
      </x:c>
      <x:c r="F741" s="2" t="str">
        <x:v>sale_assumed</x:v>
      </x:c>
      <x:c r="G741" s="11" t="n">
        <x:v>54</x:v>
      </x:c>
      <x:c r="H741" s="12" t="n">
        <x:v>4500000000</x:v>
      </x:c>
      <x:c r="I741" s="12" t="n">
        <x:v>83333333.33333333</x:v>
      </x:c>
      <x:c r="J741" s="2" t="str">
        <x:v>total</x:v>
      </x:c>
      <x:c r="K741" s="2" t="str">
        <x:v>top_level_area</x:v>
      </x:c>
      <x:c r="L741" s="2" t="str">
        <x:v>property_type_inferred_from_title;transaction_assumed_sale_from_dataset_context;unknown_property_type</x:v>
      </x:c>
      <x:c r="M741" s="10" t="n">
        <x:v>0</x:v>
      </x:c>
      <x:c r="N741" s="10" t="n">
        <x:v>0</x:v>
      </x:c>
      <x:c r="O741" s="2" t="str">
        <x:v>Tp Hồ Chí Minh|other_unknown</x:v>
      </x:c>
      <x:c r="P741" s="10" t="n">
        <x:v>2</x:v>
      </x:c>
      <x:c r="Q741" s="13" t="n">
        <x:f>IF(H741="","",H741/1000000000)</x:f>
        <x:v>4.5</x:v>
      </x:c>
      <x:c r="R741" s="13" t="n">
        <x:f>IF(I741="","",I741/1000000)</x:f>
        <x:v>83.33333333333333</x:v>
      </x:c>
    </x:row>
    <x:row r="742" ht="21" customHeight="1">
      <x:c r="A742" s="10" t="n">
        <x:v>810</x:v>
      </x:c>
      <x:c r="B742" s="2" t="str">
        <x:v>c0868dfcedaaca46726a</x:v>
      </x:c>
      <x:c r="C742" s="2" t="str">
        <x:v>Tp Hồ Chí Minh</x:v>
      </x:c>
      <x:c r="D742" s="2" t="str">
        <x:v>Quận Tân Bình</x:v>
      </x:c>
      <x:c r="E742" s="2" t="str">
        <x:v>other_unknown</x:v>
      </x:c>
      <x:c r="F742" s="2" t="str">
        <x:v>sale_assumed</x:v>
      </x:c>
      <x:c r="G742" s="11" t="n">
        <x:v>83</x:v>
      </x:c>
      <x:c r="H742" s="12" t="n">
        <x:v>7700000000</x:v>
      </x:c>
      <x:c r="I742" s="12" t="n">
        <x:v>92771084.3373494</x:v>
      </x:c>
      <x:c r="J742" s="2" t="str">
        <x:v>total</x:v>
      </x:c>
      <x:c r="K742" s="2" t="str">
        <x:v>top_level_area</x:v>
      </x:c>
      <x:c r="L742" s="2" t="str">
        <x:v>property_type_inferred_from_title;transaction_assumed_sale_from_dataset_context;unknown_property_type</x:v>
      </x:c>
      <x:c r="M742" s="10" t="n">
        <x:v>0</x:v>
      </x:c>
      <x:c r="N742" s="10" t="n">
        <x:v>0</x:v>
      </x:c>
      <x:c r="O742" s="2" t="str">
        <x:v>Tp Hồ Chí Minh|other_unknown</x:v>
      </x:c>
      <x:c r="P742" s="10" t="n">
        <x:v>2</x:v>
      </x:c>
      <x:c r="Q742" s="13" t="n">
        <x:f>IF(H742="","",H742/1000000000)</x:f>
        <x:v>7.7</x:v>
      </x:c>
      <x:c r="R742" s="13" t="n">
        <x:f>IF(I742="","",I742/1000000)</x:f>
        <x:v>92.7710843373494</x:v>
      </x:c>
    </x:row>
    <x:row r="743" ht="21" customHeight="1">
      <x:c r="A743" s="10" t="n">
        <x:v>811</x:v>
      </x:c>
      <x:c r="B743" s="2" t="str">
        <x:v>b64f4a66f25ca6015177</x:v>
      </x:c>
      <x:c r="C743" s="2" t="str">
        <x:v>Long An</x:v>
      </x:c>
      <x:c r="D743" s="2" t="str">
        <x:v>Huyện Tân Trụ</x:v>
      </x:c>
      <x:c r="E743" s="2" t="str">
        <x:v>other_unknown</x:v>
      </x:c>
      <x:c r="F743" s="2" t="str">
        <x:v>sale</x:v>
      </x:c>
      <x:c r="G743" s="11" t="n">
        <x:v>371</x:v>
      </x:c>
      <x:c r="H743" s="12" t="n">
        <x:v>930000000</x:v>
      </x:c>
      <x:c r="I743" s="12" t="n">
        <x:v>2506738.5444743936</x:v>
      </x:c>
      <x:c r="J743" s="2" t="str">
        <x:v>total</x:v>
      </x:c>
      <x:c r="K743" s="2" t="str">
        <x:v>top_level_area</x:v>
      </x:c>
      <x:c r="L743" s="2" t="str">
        <x:v>property_type_inferred_from_title;unknown_property_type</x:v>
      </x:c>
      <x:c r="M743" s="10" t="n">
        <x:v>0</x:v>
      </x:c>
      <x:c r="N743" s="10" t="n">
        <x:v>0</x:v>
      </x:c>
      <x:c r="O743" s="2" t="str">
        <x:v>Long An|other_unknown</x:v>
      </x:c>
      <x:c r="P743" s="10" t="n">
        <x:v>1</x:v>
      </x:c>
      <x:c r="Q743" s="13" t="n">
        <x:f>IF(H743="","",H743/1000000000)</x:f>
        <x:v>0.93</x:v>
      </x:c>
      <x:c r="R743" s="13" t="n">
        <x:f>IF(I743="","",I743/1000000)</x:f>
        <x:v>2.5067385444743935</x:v>
      </x:c>
    </x:row>
    <x:row r="744" ht="21" customHeight="1">
      <x:c r="A744" s="10" t="n">
        <x:v>812</x:v>
      </x:c>
      <x:c r="B744" s="2" t="str">
        <x:v>ba255eebe35fbbf24eac</x:v>
      </x:c>
      <x:c r="C744" s="2" t="str">
        <x:v>Tp Hồ Chí Minh</x:v>
      </x:c>
      <x:c r="D744" s="2" t="str">
        <x:v>Quận 9</x:v>
      </x:c>
      <x:c r="E744" s="2" t="str">
        <x:v>land</x:v>
      </x:c>
      <x:c r="F744" s="2" t="str">
        <x:v>sale_assumed</x:v>
      </x:c>
      <x:c r="G744" s="11" t="n">
        <x:v>90</x:v>
      </x:c>
      <x:c r="H744" s="12" t="n">
        <x:v>510000000</x:v>
      </x:c>
      <x:c r="I744" s="12" t="n">
        <x:v>5666666.666666667</x:v>
      </x:c>
      <x:c r="J744" s="2" t="str">
        <x:v>total</x:v>
      </x:c>
      <x:c r="K744" s="2" t="str">
        <x:v>top_level_area</x:v>
      </x:c>
      <x:c r="L744" s="2" t="str">
        <x:v>property_type_inferred_from_title;transaction_assumed_sale_from_dataset_context</x:v>
      </x:c>
      <x:c r="M744" s="10" t="n">
        <x:v>0</x:v>
      </x:c>
      <x:c r="N744" s="10" t="n">
        <x:v>0</x:v>
      </x:c>
      <x:c r="O744" s="2" t="str">
        <x:v>Tp Hồ Chí Minh|land</x:v>
      </x:c>
      <x:c r="P744" s="10" t="n">
        <x:v>2</x:v>
      </x:c>
      <x:c r="Q744" s="13" t="n">
        <x:f>IF(H744="","",H744/1000000000)</x:f>
        <x:v>0.51</x:v>
      </x:c>
      <x:c r="R744" s="13" t="n">
        <x:f>IF(I744="","",I744/1000000)</x:f>
        <x:v>5.666666666666667</x:v>
      </x:c>
    </x:row>
    <x:row r="745" ht="21" customHeight="1">
      <x:c r="A745" s="10" t="n">
        <x:v>813</x:v>
      </x:c>
      <x:c r="B745" s="2" t="str">
        <x:v>832748cdf054f21d6ab5</x:v>
      </x:c>
      <x:c r="C745" s="2" t="str">
        <x:v>Tp Hồ Chí Minh</x:v>
      </x:c>
      <x:c r="D745" s="2" t="str">
        <x:v>Quận Thủ Đức</x:v>
      </x:c>
      <x:c r="E745" s="2" t="str">
        <x:v>house</x:v>
      </x:c>
      <x:c r="F745" s="2" t="str">
        <x:v>sale</x:v>
      </x:c>
      <x:c r="G745" s="11" t="n">
        <x:v>460</x:v>
      </x:c>
      <x:c r="H745" s="12" t="n">
        <x:v>35000000000</x:v>
      </x:c>
      <x:c r="I745" s="12" t="n">
        <x:v>76086956.52173913</x:v>
      </x:c>
      <x:c r="J745" s="2" t="str">
        <x:v>total</x:v>
      </x:c>
      <x:c r="K745" s="2" t="str">
        <x:v>top_level_area</x:v>
      </x:c>
      <x:c r="L745" s="2" t="str">
        <x:v>property_type_inferred_from_title</x:v>
      </x:c>
      <x:c r="M745" s="10" t="n">
        <x:v>0</x:v>
      </x:c>
      <x:c r="N745" s="10" t="n">
        <x:v>0</x:v>
      </x:c>
      <x:c r="O745" s="2" t="str">
        <x:v>Tp Hồ Chí Minh|house</x:v>
      </x:c>
      <x:c r="P745" s="10" t="n">
        <x:v>2</x:v>
      </x:c>
      <x:c r="Q745" s="13" t="n">
        <x:f>IF(H745="","",H745/1000000000)</x:f>
        <x:v>35</x:v>
      </x:c>
      <x:c r="R745" s="13" t="n">
        <x:f>IF(I745="","",I745/1000000)</x:f>
        <x:v>76.08695652173913</x:v>
      </x:c>
    </x:row>
    <x:row r="746" ht="21" customHeight="1">
      <x:c r="A746" s="10" t="n">
        <x:v>814</x:v>
      </x:c>
      <x:c r="B746" s="2" t="str">
        <x:v>d22842ac2e6f674e248f</x:v>
      </x:c>
      <x:c r="C746" s="2" t="str">
        <x:v>Tp Hồ Chí Minh</x:v>
      </x:c>
      <x:c r="D746" s="2" t="str">
        <x:v>Quận 12</x:v>
      </x:c>
      <x:c r="E746" s="2" t="str">
        <x:v>house</x:v>
      </x:c>
      <x:c r="F746" s="2" t="str">
        <x:v>sale_assumed</x:v>
      </x:c>
      <x:c r="G746" s="11" t="n">
        <x:v>24</x:v>
      </x:c>
      <x:c r="H746" s="12" t="n">
        <x:v>1250000000</x:v>
      </x:c>
      <x:c r="I746" s="12" t="n">
        <x:v>52083333.333333336</x:v>
      </x:c>
      <x:c r="J746" s="2" t="str">
        <x:v>total</x:v>
      </x:c>
      <x:c r="K746" s="2" t="str">
        <x:v>top_level_area</x:v>
      </x:c>
      <x:c r="L746" s="2" t="str">
        <x:v>property_type_inferred_from_title;transaction_assumed_sale_from_dataset_context</x:v>
      </x:c>
      <x:c r="M746" s="10" t="n">
        <x:v>0</x:v>
      </x:c>
      <x:c r="N746" s="10" t="n">
        <x:v>0</x:v>
      </x:c>
      <x:c r="O746" s="2" t="str">
        <x:v>Tp Hồ Chí Minh|house</x:v>
      </x:c>
      <x:c r="P746" s="10" t="n">
        <x:v>2</x:v>
      </x:c>
      <x:c r="Q746" s="13" t="n">
        <x:f>IF(H746="","",H746/1000000000)</x:f>
        <x:v>1.25</x:v>
      </x:c>
      <x:c r="R746" s="13" t="n">
        <x:f>IF(I746="","",I746/1000000)</x:f>
        <x:v>52.083333333333336</x:v>
      </x:c>
    </x:row>
    <x:row r="747" ht="21" customHeight="1">
      <x:c r="A747" s="10" t="n">
        <x:v>815</x:v>
      </x:c>
      <x:c r="B747" s="2" t="str">
        <x:v>5b624dca461e222842aa</x:v>
      </x:c>
      <x:c r="C747" s="2" t="str">
        <x:v>Hà Nội</x:v>
      </x:c>
      <x:c r="D747" s="2" t="str">
        <x:v>Quận Thanh Xuân</x:v>
      </x:c>
      <x:c r="E747" s="2" t="str">
        <x:v>other_unknown</x:v>
      </x:c>
      <x:c r="F747" s="2" t="str">
        <x:v>sale_assumed</x:v>
      </x:c>
      <x:c r="G747" s="11" t="n">
        <x:v>33</x:v>
      </x:c>
      <x:c r="H747" s="12" t="n">
        <x:v>981000000</x:v>
      </x:c>
      <x:c r="I747" s="12" t="n">
        <x:v>29727272.727272727</x:v>
      </x:c>
      <x:c r="J747" s="2" t="str">
        <x:v>total</x:v>
      </x:c>
      <x:c r="K747" s="2" t="str">
        <x:v>top_level_area</x:v>
      </x:c>
      <x:c r="L747" s="2" t="str">
        <x:v>property_type_inferred_from_title;transaction_assumed_sale_from_dataset_context;unknown_property_type</x:v>
      </x:c>
      <x:c r="M747" s="10" t="n">
        <x:v>0</x:v>
      </x:c>
      <x:c r="N747" s="10" t="n">
        <x:v>0</x:v>
      </x:c>
      <x:c r="O747" s="2" t="str">
        <x:v>Hà Nội|other_unknown</x:v>
      </x:c>
      <x:c r="P747" s="10" t="n">
        <x:v>2</x:v>
      </x:c>
      <x:c r="Q747" s="13" t="n">
        <x:f>IF(H747="","",H747/1000000000)</x:f>
        <x:v>0.981</x:v>
      </x:c>
      <x:c r="R747" s="13" t="n">
        <x:f>IF(I747="","",I747/1000000)</x:f>
        <x:v>29.727272727272727</x:v>
      </x:c>
    </x:row>
    <x:row r="748" ht="21" customHeight="1">
      <x:c r="A748" s="10" t="n">
        <x:v>816</x:v>
      </x:c>
      <x:c r="B748" s="2" t="str">
        <x:v>caeb3625b43669879c6c</x:v>
      </x:c>
      <x:c r="C748" s="2" t="str">
        <x:v>Đồng Nai</x:v>
      </x:c>
      <x:c r="D748" s="2" t="str">
        <x:v>Huyện Trảng Bom</x:v>
      </x:c>
      <x:c r="E748" s="2" t="str">
        <x:v>land</x:v>
      </x:c>
      <x:c r="F748" s="2" t="str">
        <x:v>sale</x:v>
      </x:c>
      <x:c r="G748" s="11" t="n">
        <x:v>100</x:v>
      </x:c>
      <x:c r="H748" s="12" t="n">
        <x:v>175000000</x:v>
      </x:c>
      <x:c r="I748" s="12" t="n">
        <x:v>1750000</x:v>
      </x:c>
      <x:c r="J748" s="2" t="str">
        <x:v>total</x:v>
      </x:c>
      <x:c r="K748" s="2" t="str">
        <x:v>top_level_area</x:v>
      </x:c>
      <x:c r="L748" s="2" t="str">
        <x:v>property_type_inferred_from_title</x:v>
      </x:c>
      <x:c r="M748" s="10" t="n">
        <x:v>0</x:v>
      </x:c>
      <x:c r="N748" s="10" t="n">
        <x:v>0</x:v>
      </x:c>
      <x:c r="O748" s="2" t="str">
        <x:v>Đồng Nai|land</x:v>
      </x:c>
      <x:c r="P748" s="10" t="n">
        <x:v>1</x:v>
      </x:c>
      <x:c r="Q748" s="13" t="n">
        <x:f>IF(H748="","",H748/1000000000)</x:f>
        <x:v>0.175</x:v>
      </x:c>
      <x:c r="R748" s="13" t="n">
        <x:f>IF(I748="","",I748/1000000)</x:f>
        <x:v>1.75</x:v>
      </x:c>
    </x:row>
    <x:row r="749" ht="21" customHeight="1">
      <x:c r="A749" s="10" t="n">
        <x:v>818</x:v>
      </x:c>
      <x:c r="B749" s="2" t="str">
        <x:v>4ddc1c175bd74e9cd9b5</x:v>
      </x:c>
      <x:c r="C749" s="2" t="str">
        <x:v>Tp Hồ Chí Minh</x:v>
      </x:c>
      <x:c r="D749" s="2" t="str">
        <x:v>Quận 8</x:v>
      </x:c>
      <x:c r="E749" s="2" t="str">
        <x:v>house</x:v>
      </x:c>
      <x:c r="F749" s="2" t="str">
        <x:v>sale_assumed</x:v>
      </x:c>
      <x:c r="G749" s="11" t="n">
        <x:v>40</x:v>
      </x:c>
      <x:c r="H749" s="12" t="n">
        <x:v>1990000000</x:v>
      </x:c>
      <x:c r="I749" s="12" t="n">
        <x:v>49750000</x:v>
      </x:c>
      <x:c r="J749" s="2" t="str">
        <x:v>total</x:v>
      </x:c>
      <x:c r="K749" s="2" t="str">
        <x:v>top_level_area</x:v>
      </x:c>
      <x:c r="L749" s="2" t="str">
        <x:v>property_type_inferred_from_title;transaction_assumed_sale_from_dataset_context</x:v>
      </x:c>
      <x:c r="M749" s="10" t="n">
        <x:v>0</x:v>
      </x:c>
      <x:c r="N749" s="10" t="n">
        <x:v>0</x:v>
      </x:c>
      <x:c r="O749" s="2" t="str">
        <x:v>Tp Hồ Chí Minh|house</x:v>
      </x:c>
      <x:c r="P749" s="10" t="n">
        <x:v>2</x:v>
      </x:c>
      <x:c r="Q749" s="13" t="n">
        <x:f>IF(H749="","",H749/1000000000)</x:f>
        <x:v>1.99</x:v>
      </x:c>
      <x:c r="R749" s="13" t="n">
        <x:f>IF(I749="","",I749/1000000)</x:f>
        <x:v>49.75</x:v>
      </x:c>
    </x:row>
    <x:row r="750" ht="21" customHeight="1">
      <x:c r="A750" s="10" t="n">
        <x:v>819</x:v>
      </x:c>
      <x:c r="B750" s="2" t="str">
        <x:v>5ab2a63e2d3c51f450c4</x:v>
      </x:c>
      <x:c r="C750" s="2" t="str">
        <x:v>Tp Hồ Chí Minh</x:v>
      </x:c>
      <x:c r="D750" s="2" t="str">
        <x:v>Quận Bình Tân</x:v>
      </x:c>
      <x:c r="E750" s="2" t="str">
        <x:v>house</x:v>
      </x:c>
      <x:c r="F750" s="2" t="str">
        <x:v>sale</x:v>
      </x:c>
      <x:c r="G750" s="11" t="n">
        <x:v>120</x:v>
      </x:c>
      <x:c r="H750" s="12" t="n">
        <x:v>2250000000</x:v>
      </x:c>
      <x:c r="I750" s="12" t="n">
        <x:v>18750000</x:v>
      </x:c>
      <x:c r="J750" s="2" t="str">
        <x:v>total</x:v>
      </x:c>
      <x:c r="K750" s="2" t="str">
        <x:v>top_level_area</x:v>
      </x:c>
      <x:c r="L750" s="2" t="str">
        <x:v>property_type_inferred_from_title</x:v>
      </x:c>
      <x:c r="M750" s="10" t="n">
        <x:v>0</x:v>
      </x:c>
      <x:c r="N750" s="10" t="n">
        <x:v>0</x:v>
      </x:c>
      <x:c r="O750" s="2" t="str">
        <x:v>Tp Hồ Chí Minh|house</x:v>
      </x:c>
      <x:c r="P750" s="10" t="n">
        <x:v>2</x:v>
      </x:c>
      <x:c r="Q750" s="13" t="n">
        <x:f>IF(H750="","",H750/1000000000)</x:f>
        <x:v>2.25</x:v>
      </x:c>
      <x:c r="R750" s="13" t="n">
        <x:f>IF(I750="","",I750/1000000)</x:f>
        <x:v>18.75</x:v>
      </x:c>
    </x:row>
    <x:row r="751" ht="21" customHeight="1">
      <x:c r="A751" s="10" t="n">
        <x:v>820</x:v>
      </x:c>
      <x:c r="B751" s="2" t="str">
        <x:v>561bacaebb4579cb5fa8</x:v>
      </x:c>
      <x:c r="C751" s="2" t="str">
        <x:v>Cần Thơ</x:v>
      </x:c>
      <x:c r="D751" s="2" t="str">
        <x:v>Quận Ninh Kiều</x:v>
      </x:c>
      <x:c r="E751" s="2" t="str">
        <x:v>house</x:v>
      </x:c>
      <x:c r="F751" s="2" t="str">
        <x:v>sale</x:v>
      </x:c>
      <x:c r="G751" s="11" t="n">
        <x:v>38</x:v>
      </x:c>
      <x:c r="H751" s="12" t="n">
        <x:v>2750000000</x:v>
      </x:c>
      <x:c r="I751" s="12" t="n">
        <x:v>72368421.05263157</x:v>
      </x:c>
      <x:c r="J751" s="2" t="str">
        <x:v>total</x:v>
      </x:c>
      <x:c r="K751" s="2" t="str">
        <x:v>top_level_area</x:v>
      </x:c>
      <x:c r="L751" s="2" t="str">
        <x:v>property_type_inferred_from_title</x:v>
      </x:c>
      <x:c r="M751" s="10" t="n">
        <x:v>0</x:v>
      </x:c>
      <x:c r="N751" s="10" t="n">
        <x:v>0</x:v>
      </x:c>
      <x:c r="O751" s="2" t="str">
        <x:v>Cần Thơ|house</x:v>
      </x:c>
      <x:c r="P751" s="10" t="n">
        <x:v>2</x:v>
      </x:c>
      <x:c r="Q751" s="13" t="n">
        <x:f>IF(H751="","",H751/1000000000)</x:f>
        <x:v>2.75</x:v>
      </x:c>
      <x:c r="R751" s="13" t="n">
        <x:f>IF(I751="","",I751/1000000)</x:f>
        <x:v>72.36842105263158</x:v>
      </x:c>
    </x:row>
    <x:row r="752" ht="21" customHeight="1">
      <x:c r="A752" s="10" t="n">
        <x:v>821</x:v>
      </x:c>
      <x:c r="B752" s="2" t="str">
        <x:v>b1a245f470428a89ed65</x:v>
      </x:c>
      <x:c r="C752" s="2" t="str">
        <x:v>Tp Hồ Chí Minh</x:v>
      </x:c>
      <x:c r="D752" s="2" t="str">
        <x:v>Quận Bình Tân</x:v>
      </x:c>
      <x:c r="E752" s="2" t="str">
        <x:v>other_unknown</x:v>
      </x:c>
      <x:c r="F752" s="2" t="str">
        <x:v>sale_assumed</x:v>
      </x:c>
      <x:c r="G752" s="11" t="n">
        <x:v>32</x:v>
      </x:c>
      <x:c r="H752" s="12" t="n">
        <x:v>1500000000</x:v>
      </x:c>
      <x:c r="I752" s="12" t="n">
        <x:v>46875000</x:v>
      </x:c>
      <x:c r="J752" s="2" t="str">
        <x:v>total</x:v>
      </x:c>
      <x:c r="K752" s="2" t="str">
        <x:v>top_level_price_embedded_area</x:v>
      </x:c>
      <x:c r="L752" s="2" t="str">
        <x:v>area_recovered_from_price_text;property_type_inferred_from_title;transaction_assumed_sale_from_dataset_context;unknown_property_type</x:v>
      </x:c>
      <x:c r="M752" s="10" t="n">
        <x:v>0</x:v>
      </x:c>
      <x:c r="N752" s="10" t="n">
        <x:v>0</x:v>
      </x:c>
      <x:c r="O752" s="2" t="str">
        <x:v>Tp Hồ Chí Minh|other_unknown</x:v>
      </x:c>
      <x:c r="P752" s="10" t="n">
        <x:v>2</x:v>
      </x:c>
      <x:c r="Q752" s="13" t="n">
        <x:f>IF(H752="","",H752/1000000000)</x:f>
        <x:v>1.5</x:v>
      </x:c>
      <x:c r="R752" s="13" t="n">
        <x:f>IF(I752="","",I752/1000000)</x:f>
        <x:v>46.875</x:v>
      </x:c>
    </x:row>
    <x:row r="753" ht="21" customHeight="1">
      <x:c r="A753" s="10" t="n">
        <x:v>822</x:v>
      </x:c>
      <x:c r="B753" s="2" t="str">
        <x:v>f6fc9d76da6bd7429072</x:v>
      </x:c>
      <x:c r="C753" s="2" t="str">
        <x:v>Hà Nội</x:v>
      </x:c>
      <x:c r="D753" s="2" t="str">
        <x:v>Quận Hà Đông</x:v>
      </x:c>
      <x:c r="E753" s="2" t="str">
        <x:v>other_unknown</x:v>
      </x:c>
      <x:c r="F753" s="2" t="str">
        <x:v>sale_assumed</x:v>
      </x:c>
      <x:c r="G753" s="11" t="n">
        <x:v>38</x:v>
      </x:c>
      <x:c r="H753" s="12" t="n">
        <x:v>3100000000</x:v>
      </x:c>
      <x:c r="I753" s="12" t="n">
        <x:v>81578947.36842105</x:v>
      </x:c>
      <x:c r="J753" s="2" t="str">
        <x:v>total</x:v>
      </x:c>
      <x:c r="K753" s="2" t="str">
        <x:v>top_level_area</x:v>
      </x:c>
      <x:c r="L753" s="2" t="str">
        <x:v>property_type_inferred_from_title;transaction_assumed_sale_from_dataset_context;unknown_property_type</x:v>
      </x:c>
      <x:c r="M753" s="10" t="n">
        <x:v>0</x:v>
      </x:c>
      <x:c r="N753" s="10" t="n">
        <x:v>0</x:v>
      </x:c>
      <x:c r="O753" s="2" t="str">
        <x:v>Hà Nội|other_unknown</x:v>
      </x:c>
      <x:c r="P753" s="10" t="n">
        <x:v>2</x:v>
      </x:c>
      <x:c r="Q753" s="13" t="n">
        <x:f>IF(H753="","",H753/1000000000)</x:f>
        <x:v>3.1</x:v>
      </x:c>
      <x:c r="R753" s="13" t="n">
        <x:f>IF(I753="","",I753/1000000)</x:f>
        <x:v>81.57894736842105</x:v>
      </x:c>
    </x:row>
    <x:row r="754" ht="21" customHeight="1">
      <x:c r="A754" s="10" t="n">
        <x:v>823</x:v>
      </x:c>
      <x:c r="B754" s="2" t="str">
        <x:v>68ade0b630d747012ce5</x:v>
      </x:c>
      <x:c r="C754" s="2" t="str">
        <x:v>Bà Rịa - Vũng Tàu</x:v>
      </x:c>
      <x:c r="D754" s="2" t="str">
        <x:v>Thành phố Vũng Tàu</x:v>
      </x:c>
      <x:c r="E754" s="2" t="str">
        <x:v>house</x:v>
      </x:c>
      <x:c r="F754" s="2" t="str">
        <x:v>sale_assumed</x:v>
      </x:c>
      <x:c r="G754" s="11" t="n">
        <x:v>60</x:v>
      </x:c>
      <x:c r="H754" s="12" t="n">
        <x:v>6300000000</x:v>
      </x:c>
      <x:c r="I754" s="12" t="n">
        <x:v>105000000</x:v>
      </x:c>
      <x:c r="J754" s="2" t="str">
        <x:v>total</x:v>
      </x:c>
      <x:c r="K754" s="2" t="str">
        <x:v>top_level_area</x:v>
      </x:c>
      <x:c r="L754" s="2" t="str">
        <x:v>property_type_inferred_from_title;transaction_assumed_sale_from_dataset_context</x:v>
      </x:c>
      <x:c r="M754" s="10" t="n">
        <x:v>0</x:v>
      </x:c>
      <x:c r="N754" s="10" t="n">
        <x:v>0</x:v>
      </x:c>
      <x:c r="O754" s="2" t="str">
        <x:v>house</x:v>
      </x:c>
      <x:c r="P754" s="10" t="n">
        <x:v>2</x:v>
      </x:c>
      <x:c r="Q754" s="13" t="n">
        <x:f>IF(H754="","",H754/1000000000)</x:f>
        <x:v>6.3</x:v>
      </x:c>
      <x:c r="R754" s="13" t="n">
        <x:f>IF(I754="","",I754/1000000)</x:f>
        <x:v>105</x:v>
      </x:c>
    </x:row>
    <x:row r="755" ht="21" customHeight="1">
      <x:c r="A755" s="10" t="n">
        <x:v>824</x:v>
      </x:c>
      <x:c r="B755" s="2" t="str">
        <x:v>21c741c8811ddd54e080</x:v>
      </x:c>
      <x:c r="C755" s="2" t="str">
        <x:v>Bình Dương</x:v>
      </x:c>
      <x:c r="D755" s="2" t="str">
        <x:v>Thị xã Dĩ An</x:v>
      </x:c>
      <x:c r="E755" s="2" t="str">
        <x:v>house</x:v>
      </x:c>
      <x:c r="F755" s="2" t="str">
        <x:v>sale</x:v>
      </x:c>
      <x:c r="G755" s="11" t="n">
        <x:v>28</x:v>
      </x:c>
      <x:c r="H755" s="12" t="n">
        <x:v>790000000</x:v>
      </x:c>
      <x:c r="I755" s="12" t="n">
        <x:v>28214285.714285713</x:v>
      </x:c>
      <x:c r="J755" s="2" t="str">
        <x:v>total</x:v>
      </x:c>
      <x:c r="K755" s="2" t="str">
        <x:v>top_level_area</x:v>
      </x:c>
      <x:c r="L755" s="2" t="str">
        <x:v>property_type_inferred_from_title</x:v>
      </x:c>
      <x:c r="M755" s="10" t="n">
        <x:v>0</x:v>
      </x:c>
      <x:c r="N755" s="10" t="n">
        <x:v>0</x:v>
      </x:c>
      <x:c r="O755" s="2" t="str">
        <x:v>Bình Dương|house</x:v>
      </x:c>
      <x:c r="P755" s="10" t="n">
        <x:v>2</x:v>
      </x:c>
      <x:c r="Q755" s="13" t="n">
        <x:f>IF(H755="","",H755/1000000000)</x:f>
        <x:v>0.79</x:v>
      </x:c>
      <x:c r="R755" s="13" t="n">
        <x:f>IF(I755="","",I755/1000000)</x:f>
        <x:v>28.21428571428571</x:v>
      </x:c>
    </x:row>
    <x:row r="756" ht="21" customHeight="1">
      <x:c r="A756" s="10" t="n">
        <x:v>825</x:v>
      </x:c>
      <x:c r="B756" s="2" t="str">
        <x:v>67768f19d0bda7d9b8e6</x:v>
      </x:c>
      <x:c r="C756" s="2" t="str">
        <x:v>Hà Nội</x:v>
      </x:c>
      <x:c r="D756" s="2" t="str">
        <x:v>Quận Cầu Giấy</x:v>
      </x:c>
      <x:c r="E756" s="2" t="str">
        <x:v>house</x:v>
      </x:c>
      <x:c r="F756" s="2" t="str">
        <x:v>sale</x:v>
      </x:c>
      <x:c r="G756" s="11" t="n">
        <x:v>38</x:v>
      </x:c>
      <x:c r="H756" s="12" t="n">
        <x:v>3400000000</x:v>
      </x:c>
      <x:c r="I756" s="12" t="n">
        <x:v>89473684.21052632</x:v>
      </x:c>
      <x:c r="J756" s="2" t="str">
        <x:v>total</x:v>
      </x:c>
      <x:c r="K756" s="2" t="str">
        <x:v>top_level_area</x:v>
      </x:c>
      <x:c r="L756" s="2" t="str">
        <x:v>property_type_inferred_from_title</x:v>
      </x:c>
      <x:c r="M756" s="10" t="n">
        <x:v>0</x:v>
      </x:c>
      <x:c r="N756" s="10" t="n">
        <x:v>0</x:v>
      </x:c>
      <x:c r="O756" s="2" t="str">
        <x:v>Hà Nội|house</x:v>
      </x:c>
      <x:c r="P756" s="10" t="n">
        <x:v>2</x:v>
      </x:c>
      <x:c r="Q756" s="13" t="n">
        <x:f>IF(H756="","",H756/1000000000)</x:f>
        <x:v>3.4</x:v>
      </x:c>
      <x:c r="R756" s="13" t="n">
        <x:f>IF(I756="","",I756/1000000)</x:f>
        <x:v>89.47368421052632</x:v>
      </x:c>
    </x:row>
    <x:row r="757" ht="21" customHeight="1">
      <x:c r="A757" s="10" t="n">
        <x:v>826</x:v>
      </x:c>
      <x:c r="B757" s="2" t="str">
        <x:v>b20c0e5c6657cda70d96</x:v>
      </x:c>
      <x:c r="C757" s="2" t="str">
        <x:v>Thừa Thiên Huế</x:v>
      </x:c>
      <x:c r="D757" s="2" t="str">
        <x:v>Thành phố Huế</x:v>
      </x:c>
      <x:c r="E757" s="2" t="str">
        <x:v>house</x:v>
      </x:c>
      <x:c r="F757" s="2" t="str">
        <x:v>sale_assumed</x:v>
      </x:c>
      <x:c r="G757" s="11" t="n">
        <x:v>90</x:v>
      </x:c>
      <x:c r="H757" s="12" t="n">
        <x:v>1890000000</x:v>
      </x:c>
      <x:c r="I757" s="12" t="n">
        <x:v>21000000</x:v>
      </x:c>
      <x:c r="J757" s="2" t="str">
        <x:v>total</x:v>
      </x:c>
      <x:c r="K757" s="2" t="str">
        <x:v>top_level_area</x:v>
      </x:c>
      <x:c r="L757" s="2" t="str">
        <x:v>property_type_inferred_from_title;transaction_assumed_sale_from_dataset_context</x:v>
      </x:c>
      <x:c r="M757" s="10" t="n">
        <x:v>0</x:v>
      </x:c>
      <x:c r="N757" s="10" t="n">
        <x:v>0</x:v>
      </x:c>
      <x:c r="O757" s="2" t="str">
        <x:v>house</x:v>
      </x:c>
      <x:c r="P757" s="10" t="n">
        <x:v>2</x:v>
      </x:c>
      <x:c r="Q757" s="13" t="n">
        <x:f>IF(H757="","",H757/1000000000)</x:f>
        <x:v>1.89</x:v>
      </x:c>
      <x:c r="R757" s="13" t="n">
        <x:f>IF(I757="","",I757/1000000)</x:f>
        <x:v>21</x:v>
      </x:c>
    </x:row>
    <x:row r="758" ht="21" customHeight="1">
      <x:c r="A758" s="10" t="n">
        <x:v>827</x:v>
      </x:c>
      <x:c r="B758" s="2" t="str">
        <x:v>5d7eb12372e1a99426e0</x:v>
      </x:c>
      <x:c r="C758" s="2" t="str">
        <x:v>Hậu Giang</x:v>
      </x:c>
      <x:c r="D758" s="2" t="str">
        <x:v>Huyện Phụng Hiệp</x:v>
      </x:c>
      <x:c r="E758" s="2" t="str">
        <x:v>land</x:v>
      </x:c>
      <x:c r="F758" s="2" t="str">
        <x:v>sale_assumed</x:v>
      </x:c>
      <x:c r="G758" s="11" t="n">
        <x:v>162</x:v>
      </x:c>
      <x:c r="H758" s="12" t="n">
        <x:v>250000000</x:v>
      </x:c>
      <x:c r="I758" s="12" t="n">
        <x:v>1543209.87654321</x:v>
      </x:c>
      <x:c r="J758" s="2" t="str">
        <x:v>total</x:v>
      </x:c>
      <x:c r="K758" s="2" t="str">
        <x:v>top_level_area</x:v>
      </x:c>
      <x:c r="L758" s="2" t="str">
        <x:v>property_type_inferred_from_title;transaction_assumed_sale_from_dataset_context</x:v>
      </x:c>
      <x:c r="M758" s="10" t="n">
        <x:v>0</x:v>
      </x:c>
      <x:c r="N758" s="10" t="n">
        <x:v>0</x:v>
      </x:c>
      <x:c r="O758" s="2" t="str">
        <x:v>land</x:v>
      </x:c>
      <x:c r="P758" s="10" t="n">
        <x:v>1</x:v>
      </x:c>
      <x:c r="Q758" s="13" t="n">
        <x:f>IF(H758="","",H758/1000000000)</x:f>
        <x:v>0.25</x:v>
      </x:c>
      <x:c r="R758" s="13" t="n">
        <x:f>IF(I758="","",I758/1000000)</x:f>
        <x:v>1.5432098765432098</x:v>
      </x:c>
    </x:row>
    <x:row r="759" ht="21" customHeight="1">
      <x:c r="A759" s="10" t="n">
        <x:v>828</x:v>
      </x:c>
      <x:c r="B759" s="2" t="str">
        <x:v>5962681640b549abd894</x:v>
      </x:c>
      <x:c r="C759" s="2" t="str">
        <x:v>Tp Hồ Chí Minh</x:v>
      </x:c>
      <x:c r="D759" s="2" t="str">
        <x:v>Huyện Bình Chánh</x:v>
      </x:c>
      <x:c r="E759" s="2" t="str">
        <x:v>house</x:v>
      </x:c>
      <x:c r="F759" s="2" t="str">
        <x:v>sale_assumed</x:v>
      </x:c>
      <x:c r="G759" s="11" t="n">
        <x:v>40</x:v>
      </x:c>
      <x:c r="H759" s="12" t="n">
        <x:v>839000000</x:v>
      </x:c>
      <x:c r="I759" s="12" t="n">
        <x:v>20975000</x:v>
      </x:c>
      <x:c r="J759" s="2" t="str">
        <x:v>total</x:v>
      </x:c>
      <x:c r="K759" s="2" t="str">
        <x:v>top_level_area</x:v>
      </x:c>
      <x:c r="L759" s="2" t="str">
        <x:v>property_type_inferred_from_title;transaction_assumed_sale_from_dataset_context</x:v>
      </x:c>
      <x:c r="M759" s="10" t="n">
        <x:v>0</x:v>
      </x:c>
      <x:c r="N759" s="10" t="n">
        <x:v>0</x:v>
      </x:c>
      <x:c r="O759" s="2" t="str">
        <x:v>Tp Hồ Chí Minh|house</x:v>
      </x:c>
      <x:c r="P759" s="10" t="n">
        <x:v>2</x:v>
      </x:c>
      <x:c r="Q759" s="13" t="n">
        <x:f>IF(H759="","",H759/1000000000)</x:f>
        <x:v>0.839</x:v>
      </x:c>
      <x:c r="R759" s="13" t="n">
        <x:f>IF(I759="","",I759/1000000)</x:f>
        <x:v>20.975</x:v>
      </x:c>
    </x:row>
    <x:row r="760" ht="21" customHeight="1">
      <x:c r="A760" s="10" t="n">
        <x:v>829</x:v>
      </x:c>
      <x:c r="B760" s="2" t="str">
        <x:v>a93e9be8524b649f1f39</x:v>
      </x:c>
      <x:c r="C760" s="2" t="str">
        <x:v>Tp Hồ Chí Minh</x:v>
      </x:c>
      <x:c r="D760" s="2" t="str">
        <x:v>Huyện Hóc Môn</x:v>
      </x:c>
      <x:c r="E760" s="2" t="str">
        <x:v>house</x:v>
      </x:c>
      <x:c r="F760" s="2" t="str">
        <x:v>sale_assumed</x:v>
      </x:c>
      <x:c r="G760" s="11" t="n">
        <x:v>85</x:v>
      </x:c>
      <x:c r="H760" s="12" t="n">
        <x:v>3650000000</x:v>
      </x:c>
      <x:c r="I760" s="12" t="n">
        <x:v>42941176.47058824</x:v>
      </x:c>
      <x:c r="J760" s="2" t="str">
        <x:v>total</x:v>
      </x:c>
      <x:c r="K760" s="2" t="str">
        <x:v>top_level_area</x:v>
      </x:c>
      <x:c r="L760" s="2" t="str">
        <x:v>property_type_inferred_from_title;transaction_assumed_sale_from_dataset_context</x:v>
      </x:c>
      <x:c r="M760" s="10" t="n">
        <x:v>0</x:v>
      </x:c>
      <x:c r="N760" s="10" t="n">
        <x:v>0</x:v>
      </x:c>
      <x:c r="O760" s="2" t="str">
        <x:v>Tp Hồ Chí Minh|house</x:v>
      </x:c>
      <x:c r="P760" s="10" t="n">
        <x:v>2</x:v>
      </x:c>
      <x:c r="Q760" s="13" t="n">
        <x:f>IF(H760="","",H760/1000000000)</x:f>
        <x:v>3.65</x:v>
      </x:c>
      <x:c r="R760" s="13" t="n">
        <x:f>IF(I760="","",I760/1000000)</x:f>
        <x:v>42.94117647058824</x:v>
      </x:c>
    </x:row>
    <x:row r="761" ht="21" customHeight="1">
      <x:c r="A761" s="10" t="n">
        <x:v>830</x:v>
      </x:c>
      <x:c r="B761" s="2" t="str">
        <x:v>e734c87c6cf56e503a86</x:v>
      </x:c>
      <x:c r="C761" s="2" t="str">
        <x:v>Hà Nội</x:v>
      </x:c>
      <x:c r="D761" s="2" t="str">
        <x:v>Quận Long Biên</x:v>
      </x:c>
      <x:c r="E761" s="2" t="str">
        <x:v>house</x:v>
      </x:c>
      <x:c r="F761" s="2" t="str">
        <x:v>sale_assumed</x:v>
      </x:c>
      <x:c r="G761" s="11" t="n">
        <x:v>60</x:v>
      </x:c>
      <x:c r="H761" s="12" t="n">
        <x:v>6250000000</x:v>
      </x:c>
      <x:c r="I761" s="12" t="n">
        <x:v>104166666.66666667</x:v>
      </x:c>
      <x:c r="J761" s="2" t="str">
        <x:v>total</x:v>
      </x:c>
      <x:c r="K761" s="2" t="str">
        <x:v>top_level_area</x:v>
      </x:c>
      <x:c r="L761" s="2" t="str">
        <x:v>property_type_inferred_from_title;transaction_assumed_sale_from_dataset_context</x:v>
      </x:c>
      <x:c r="M761" s="10" t="n">
        <x:v>0</x:v>
      </x:c>
      <x:c r="N761" s="10" t="n">
        <x:v>0</x:v>
      </x:c>
      <x:c r="O761" s="2" t="str">
        <x:v>Hà Nội|house</x:v>
      </x:c>
      <x:c r="P761" s="10" t="n">
        <x:v>2</x:v>
      </x:c>
      <x:c r="Q761" s="13" t="n">
        <x:f>IF(H761="","",H761/1000000000)</x:f>
        <x:v>6.25</x:v>
      </x:c>
      <x:c r="R761" s="13" t="n">
        <x:f>IF(I761="","",I761/1000000)</x:f>
        <x:v>104.16666666666667</x:v>
      </x:c>
    </x:row>
    <x:row r="762" ht="21" customHeight="1">
      <x:c r="A762" s="10" t="n">
        <x:v>831</x:v>
      </x:c>
      <x:c r="B762" s="2" t="str">
        <x:v>75304e79e3d7a978c0a5</x:v>
      </x:c>
      <x:c r="C762" s="2" t="str">
        <x:v>Tp Hồ Chí Minh</x:v>
      </x:c>
      <x:c r="D762" s="2" t="str">
        <x:v>Huyện Củ Chi</x:v>
      </x:c>
      <x:c r="E762" s="2" t="str">
        <x:v>house</x:v>
      </x:c>
      <x:c r="F762" s="2" t="str">
        <x:v>sale_assumed</x:v>
      </x:c>
      <x:c r="G762" s="11" t="n">
        <x:v>150</x:v>
      </x:c>
      <x:c r="H762" s="12" t="n">
        <x:v>1780000000</x:v>
      </x:c>
      <x:c r="I762" s="12" t="n">
        <x:v>11866666.666666666</x:v>
      </x:c>
      <x:c r="J762" s="2" t="str">
        <x:v>total</x:v>
      </x:c>
      <x:c r="K762" s="2" t="str">
        <x:v>top_level_area</x:v>
      </x:c>
      <x:c r="L762" s="2" t="str">
        <x:v>property_type_inferred_from_title;transaction_assumed_sale_from_dataset_context</x:v>
      </x:c>
      <x:c r="M762" s="10" t="n">
        <x:v>0</x:v>
      </x:c>
      <x:c r="N762" s="10" t="n">
        <x:v>0</x:v>
      </x:c>
      <x:c r="O762" s="2" t="str">
        <x:v>Tp Hồ Chí Minh|house</x:v>
      </x:c>
      <x:c r="P762" s="10" t="n">
        <x:v>2</x:v>
      </x:c>
      <x:c r="Q762" s="13" t="n">
        <x:f>IF(H762="","",H762/1000000000)</x:f>
        <x:v>1.78</x:v>
      </x:c>
      <x:c r="R762" s="13" t="n">
        <x:f>IF(I762="","",I762/1000000)</x:f>
        <x:v>11.866666666666665</x:v>
      </x:c>
    </x:row>
    <x:row r="763" ht="21" customHeight="1">
      <x:c r="A763" s="10" t="n">
        <x:v>832</x:v>
      </x:c>
      <x:c r="B763" s="2" t="str">
        <x:v>b6b5d78f2dd6395ac2c0</x:v>
      </x:c>
      <x:c r="C763" s="2" t="str">
        <x:v>Tp Hồ Chí Minh</x:v>
      </x:c>
      <x:c r="D763" s="2" t="str">
        <x:v>Quận 7</x:v>
      </x:c>
      <x:c r="E763" s="2" t="str">
        <x:v>apartment</x:v>
      </x:c>
      <x:c r="F763" s="2" t="str">
        <x:v>sale</x:v>
      </x:c>
      <x:c r="G763" s="11" t="n">
        <x:v>73</x:v>
      </x:c>
      <x:c r="H763" s="12" t="n">
        <x:v>1650000000</x:v>
      </x:c>
      <x:c r="I763" s="12" t="n">
        <x:v>22602739.726027396</x:v>
      </x:c>
      <x:c r="J763" s="2" t="str">
        <x:v>total</x:v>
      </x:c>
      <x:c r="K763" s="2" t="str">
        <x:v>top_level_area</x:v>
      </x:c>
      <x:c r="L763" s="2" t="str">
        <x:v>property_type_inferred_from_title</x:v>
      </x:c>
      <x:c r="M763" s="10" t="n">
        <x:v>0</x:v>
      </x:c>
      <x:c r="N763" s="10" t="n">
        <x:v>0</x:v>
      </x:c>
      <x:c r="O763" s="2" t="str">
        <x:v>Tp Hồ Chí Minh|apartment</x:v>
      </x:c>
      <x:c r="P763" s="10" t="n">
        <x:v>2</x:v>
      </x:c>
      <x:c r="Q763" s="13" t="n">
        <x:f>IF(H763="","",H763/1000000000)</x:f>
        <x:v>1.65</x:v>
      </x:c>
      <x:c r="R763" s="13" t="n">
        <x:f>IF(I763="","",I763/1000000)</x:f>
        <x:v>22.602739726027394</x:v>
      </x:c>
    </x:row>
    <x:row r="764" ht="21" customHeight="1">
      <x:c r="A764" s="10" t="n">
        <x:v>833</x:v>
      </x:c>
      <x:c r="B764" s="2" t="str">
        <x:v>86d581c288a0c11f672b</x:v>
      </x:c>
      <x:c r="C764" s="2" t="str">
        <x:v>Tp Hồ Chí Minh</x:v>
      </x:c>
      <x:c r="D764" s="2" t="str">
        <x:v>Huyện Hóc Môn</x:v>
      </x:c>
      <x:c r="E764" s="2" t="str">
        <x:v>house</x:v>
      </x:c>
      <x:c r="F764" s="2" t="str">
        <x:v>sale</x:v>
      </x:c>
      <x:c r="G764" s="11" t="n">
        <x:v>150</x:v>
      </x:c>
      <x:c r="H764" s="12" t="n">
        <x:v>5800000000</x:v>
      </x:c>
      <x:c r="I764" s="12" t="n">
        <x:v>38666666.666666664</x:v>
      </x:c>
      <x:c r="J764" s="2" t="str">
        <x:v>total</x:v>
      </x:c>
      <x:c r="K764" s="2" t="str">
        <x:v>top_level_area</x:v>
      </x:c>
      <x:c r="L764" s="2" t="str">
        <x:v>property_type_inferred_from_title</x:v>
      </x:c>
      <x:c r="M764" s="10" t="n">
        <x:v>0</x:v>
      </x:c>
      <x:c r="N764" s="10" t="n">
        <x:v>0</x:v>
      </x:c>
      <x:c r="O764" s="2" t="str">
        <x:v>Tp Hồ Chí Minh|house</x:v>
      </x:c>
      <x:c r="P764" s="10" t="n">
        <x:v>2</x:v>
      </x:c>
      <x:c r="Q764" s="13" t="n">
        <x:f>IF(H764="","",H764/1000000000)</x:f>
        <x:v>5.8</x:v>
      </x:c>
      <x:c r="R764" s="13" t="n">
        <x:f>IF(I764="","",I764/1000000)</x:f>
        <x:v>38.666666666666664</x:v>
      </x:c>
    </x:row>
    <x:row r="765" ht="21" customHeight="1">
      <x:c r="A765" s="10" t="n">
        <x:v>834</x:v>
      </x:c>
      <x:c r="B765" s="2" t="str">
        <x:v>d53b2e2f82b104b9a005</x:v>
      </x:c>
      <x:c r="C765" s="2" t="str">
        <x:v>Tp Hồ Chí Minh</x:v>
      </x:c>
      <x:c r="D765" s="2" t="str">
        <x:v>Quận Thủ Đức</x:v>
      </x:c>
      <x:c r="E765" s="2" t="str">
        <x:v>house</x:v>
      </x:c>
      <x:c r="F765" s="2" t="str">
        <x:v>sale</x:v>
      </x:c>
      <x:c r="G765" s="11" t="n">
        <x:v>95</x:v>
      </x:c>
      <x:c r="H765" s="12" t="n">
        <x:v>8100000000</x:v>
      </x:c>
      <x:c r="I765" s="12" t="n">
        <x:v>85263157.89473684</x:v>
      </x:c>
      <x:c r="J765" s="2" t="str">
        <x:v>total</x:v>
      </x:c>
      <x:c r="K765" s="2" t="str">
        <x:v>top_level_area</x:v>
      </x:c>
      <x:c r="L765" s="2" t="str">
        <x:v>property_type_inferred_from_title</x:v>
      </x:c>
      <x:c r="M765" s="10" t="n">
        <x:v>0</x:v>
      </x:c>
      <x:c r="N765" s="10" t="n">
        <x:v>0</x:v>
      </x:c>
      <x:c r="O765" s="2" t="str">
        <x:v>Tp Hồ Chí Minh|house</x:v>
      </x:c>
      <x:c r="P765" s="10" t="n">
        <x:v>2</x:v>
      </x:c>
      <x:c r="Q765" s="13" t="n">
        <x:f>IF(H765="","",H765/1000000000)</x:f>
        <x:v>8.1</x:v>
      </x:c>
      <x:c r="R765" s="13" t="n">
        <x:f>IF(I765="","",I765/1000000)</x:f>
        <x:v>85.26315789473684</x:v>
      </x:c>
    </x:row>
    <x:row r="766" ht="21" customHeight="1">
      <x:c r="A766" s="10" t="n">
        <x:v>835</x:v>
      </x:c>
      <x:c r="B766" s="2" t="str">
        <x:v>7cd33e4f37ddb81c3123</x:v>
      </x:c>
      <x:c r="C766" s="2" t="str">
        <x:v>Quảng Ngãi</x:v>
      </x:c>
      <x:c r="D766" s="2" t="str">
        <x:v>Huyện Bình Sơn</x:v>
      </x:c>
      <x:c r="E766" s="2" t="str">
        <x:v>land</x:v>
      </x:c>
      <x:c r="F766" s="2" t="str">
        <x:v>sale_assumed</x:v>
      </x:c>
      <x:c r="G766" s="11" t="n">
        <x:v>200</x:v>
      </x:c>
      <x:c r="H766" s="12" t="n">
        <x:v>260000000</x:v>
      </x:c>
      <x:c r="I766" s="12" t="n">
        <x:v>1300000</x:v>
      </x:c>
      <x:c r="J766" s="2" t="str">
        <x:v>total</x:v>
      </x:c>
      <x:c r="K766" s="2" t="str">
        <x:v>top_level_area</x:v>
      </x:c>
      <x:c r="L766" s="2" t="str">
        <x:v>property_type_inferred_from_title;transaction_assumed_sale_from_dataset_context</x:v>
      </x:c>
      <x:c r="M766" s="10" t="n">
        <x:v>0</x:v>
      </x:c>
      <x:c r="N766" s="10" t="n">
        <x:v>0</x:v>
      </x:c>
      <x:c r="O766" s="2" t="str">
        <x:v>land</x:v>
      </x:c>
      <x:c r="P766" s="10" t="n">
        <x:v>1</x:v>
      </x:c>
      <x:c r="Q766" s="13" t="n">
        <x:f>IF(H766="","",H766/1000000000)</x:f>
        <x:v>0.26</x:v>
      </x:c>
      <x:c r="R766" s="13" t="n">
        <x:f>IF(I766="","",I766/1000000)</x:f>
        <x:v>1.3</x:v>
      </x:c>
    </x:row>
    <x:row r="767" ht="21" customHeight="1">
      <x:c r="A767" s="10" t="n">
        <x:v>836</x:v>
      </x:c>
      <x:c r="B767" s="2" t="str">
        <x:v>d38e529b1c14c832a253</x:v>
      </x:c>
      <x:c r="C767" s="2" t="str">
        <x:v>Cần Thơ</x:v>
      </x:c>
      <x:c r="D767" s="2" t="str">
        <x:v>Huyện Phong Điền</x:v>
      </x:c>
      <x:c r="E767" s="2" t="str">
        <x:v>land</x:v>
      </x:c>
      <x:c r="F767" s="2" t="str">
        <x:v>sale_assumed</x:v>
      </x:c>
      <x:c r="G767" s="11" t="n">
        <x:v>90</x:v>
      </x:c>
      <x:c r="H767" s="12" t="n">
        <x:v>1900000000</x:v>
      </x:c>
      <x:c r="I767" s="12" t="n">
        <x:v>21111111.111111112</x:v>
      </x:c>
      <x:c r="J767" s="2" t="str">
        <x:v>total</x:v>
      </x:c>
      <x:c r="K767" s="2" t="str">
        <x:v>top_level_area</x:v>
      </x:c>
      <x:c r="L767" s="2" t="str">
        <x:v>property_type_inferred_from_title;transaction_assumed_sale_from_dataset_context</x:v>
      </x:c>
      <x:c r="M767" s="10" t="n">
        <x:v>0</x:v>
      </x:c>
      <x:c r="N767" s="10" t="n">
        <x:v>0</x:v>
      </x:c>
      <x:c r="O767" s="2" t="str">
        <x:v>Cần Thơ|land</x:v>
      </x:c>
      <x:c r="P767" s="10" t="n">
        <x:v>2</x:v>
      </x:c>
      <x:c r="Q767" s="13" t="n">
        <x:f>IF(H767="","",H767/1000000000)</x:f>
        <x:v>1.9</x:v>
      </x:c>
      <x:c r="R767" s="13" t="n">
        <x:f>IF(I767="","",I767/1000000)</x:f>
        <x:v>21.11111111111111</x:v>
      </x:c>
    </x:row>
    <x:row r="768" ht="21" customHeight="1">
      <x:c r="A768" s="10" t="n">
        <x:v>837</x:v>
      </x:c>
      <x:c r="B768" s="2" t="str">
        <x:v>ed42cd35d46d0fb092fe</x:v>
      </x:c>
      <x:c r="C768" s="2" t="str">
        <x:v>Khánh Hòa</x:v>
      </x:c>
      <x:c r="D768" s="2" t="str">
        <x:v>Thành phố Nha Trang</x:v>
      </x:c>
      <x:c r="E768" s="2" t="str">
        <x:v>house</x:v>
      </x:c>
      <x:c r="F768" s="2" t="str">
        <x:v>sale_assumed</x:v>
      </x:c>
      <x:c r="G768" s="11" t="n">
        <x:v>70</x:v>
      </x:c>
      <x:c r="H768" s="12" t="n">
        <x:v>1550000000</x:v>
      </x:c>
      <x:c r="I768" s="12" t="n">
        <x:v>22142857.14285714</x:v>
      </x:c>
      <x:c r="J768" s="2" t="str">
        <x:v>total</x:v>
      </x:c>
      <x:c r="K768" s="2" t="str">
        <x:v>top_level_area</x:v>
      </x:c>
      <x:c r="L768" s="2" t="str">
        <x:v>property_type_inferred_from_title;transaction_assumed_sale_from_dataset_context</x:v>
      </x:c>
      <x:c r="M768" s="10" t="n">
        <x:v>0</x:v>
      </x:c>
      <x:c r="N768" s="10" t="n">
        <x:v>0</x:v>
      </x:c>
      <x:c r="O768" s="2" t="str">
        <x:v>Khánh Hòa|house</x:v>
      </x:c>
      <x:c r="P768" s="10" t="n">
        <x:v>2</x:v>
      </x:c>
      <x:c r="Q768" s="13" t="n">
        <x:f>IF(H768="","",H768/1000000000)</x:f>
        <x:v>1.55</x:v>
      </x:c>
      <x:c r="R768" s="13" t="n">
        <x:f>IF(I768="","",I768/1000000)</x:f>
        <x:v>22.142857142857142</x:v>
      </x:c>
    </x:row>
    <x:row r="769" ht="21" customHeight="1">
      <x:c r="A769" s="10" t="n">
        <x:v>838</x:v>
      </x:c>
      <x:c r="B769" s="2" t="str">
        <x:v>4463022e97de8451c510</x:v>
      </x:c>
      <x:c r="C769" s="2" t="str">
        <x:v>Hậu Giang</x:v>
      </x:c>
      <x:c r="D769" s="2" t="str">
        <x:v>Huyện Phụng Hiệp</x:v>
      </x:c>
      <x:c r="E769" s="2" t="str">
        <x:v>land</x:v>
      </x:c>
      <x:c r="F769" s="2" t="str">
        <x:v>sale_assumed</x:v>
      </x:c>
      <x:c r="G769" s="11" t="n">
        <x:v>98</x:v>
      </x:c>
      <x:c r="H769" s="12" t="n">
        <x:v>700000000</x:v>
      </x:c>
      <x:c r="I769" s="12" t="n">
        <x:v>7142857.142857143</x:v>
      </x:c>
      <x:c r="J769" s="2" t="str">
        <x:v>total</x:v>
      </x:c>
      <x:c r="K769" s="2" t="str">
        <x:v>top_level_area</x:v>
      </x:c>
      <x:c r="L769" s="2" t="str">
        <x:v>property_type_inferred_from_title;transaction_assumed_sale_from_dataset_context</x:v>
      </x:c>
      <x:c r="M769" s="10" t="n">
        <x:v>0</x:v>
      </x:c>
      <x:c r="N769" s="10" t="n">
        <x:v>0</x:v>
      </x:c>
      <x:c r="O769" s="2" t="str">
        <x:v>land</x:v>
      </x:c>
      <x:c r="P769" s="10" t="n">
        <x:v>2</x:v>
      </x:c>
      <x:c r="Q769" s="13" t="n">
        <x:f>IF(H769="","",H769/1000000000)</x:f>
        <x:v>0.7</x:v>
      </x:c>
      <x:c r="R769" s="13" t="n">
        <x:f>IF(I769="","",I769/1000000)</x:f>
        <x:v>7.142857142857142</x:v>
      </x:c>
    </x:row>
    <x:row r="770" ht="21" customHeight="1">
      <x:c r="A770" s="10" t="n">
        <x:v>840</x:v>
      </x:c>
      <x:c r="B770" s="2" t="str">
        <x:v>3b9b054a811b72b24c92</x:v>
      </x:c>
      <x:c r="C770" s="2" t="str">
        <x:v>Tp Hồ Chí Minh</x:v>
      </x:c>
      <x:c r="D770" s="2" t="str">
        <x:v>Quận Bình Tân</x:v>
      </x:c>
      <x:c r="E770" s="2" t="str">
        <x:v>house</x:v>
      </x:c>
      <x:c r="F770" s="2" t="str">
        <x:v>sale</x:v>
      </x:c>
      <x:c r="G770" s="11" t="n">
        <x:v>68</x:v>
      </x:c>
      <x:c r="H770" s="12" t="n">
        <x:v>4350000000</x:v>
      </x:c>
      <x:c r="I770" s="12" t="n">
        <x:v>63970588.23529412</x:v>
      </x:c>
      <x:c r="J770" s="2" t="str">
        <x:v>total</x:v>
      </x:c>
      <x:c r="K770" s="2" t="str">
        <x:v>top_level_area</x:v>
      </x:c>
      <x:c r="L770" s="2" t="str">
        <x:v>property_type_inferred_from_title</x:v>
      </x:c>
      <x:c r="M770" s="10" t="n">
        <x:v>0</x:v>
      </x:c>
      <x:c r="N770" s="10" t="n">
        <x:v>0</x:v>
      </x:c>
      <x:c r="O770" s="2" t="str">
        <x:v>Tp Hồ Chí Minh|house</x:v>
      </x:c>
      <x:c r="P770" s="10" t="n">
        <x:v>2</x:v>
      </x:c>
      <x:c r="Q770" s="13" t="n">
        <x:f>IF(H770="","",H770/1000000000)</x:f>
        <x:v>4.35</x:v>
      </x:c>
      <x:c r="R770" s="13" t="n">
        <x:f>IF(I770="","",I770/1000000)</x:f>
        <x:v>63.970588235294116</x:v>
      </x:c>
    </x:row>
    <x:row r="771" ht="21" customHeight="1">
      <x:c r="A771" s="10" t="n">
        <x:v>841</x:v>
      </x:c>
      <x:c r="B771" s="2" t="str">
        <x:v>2571e33c138592537c82</x:v>
      </x:c>
      <x:c r="C771" s="2" t="str">
        <x:v>Tp Hồ Chí Minh</x:v>
      </x:c>
      <x:c r="D771" s="2" t="str">
        <x:v>Quận 9</x:v>
      </x:c>
      <x:c r="E771" s="2" t="str">
        <x:v>other_unknown</x:v>
      </x:c>
      <x:c r="F771" s="2" t="str">
        <x:v>sale_assumed</x:v>
      </x:c>
      <x:c r="G771" s="11" t="n">
        <x:v>64</x:v>
      </x:c>
      <x:c r="H771" s="12" t="n">
        <x:v>1600000000</x:v>
      </x:c>
      <x:c r="I771" s="12" t="n">
        <x:v>25000000</x:v>
      </x:c>
      <x:c r="J771" s="2" t="str">
        <x:v>total</x:v>
      </x:c>
      <x:c r="K771" s="2" t="str">
        <x:v>top_level_area</x:v>
      </x:c>
      <x:c r="L771" s="2" t="str">
        <x:v>property_type_inferred_from_title;transaction_assumed_sale_from_dataset_context;unknown_property_type</x:v>
      </x:c>
      <x:c r="M771" s="10" t="n">
        <x:v>0</x:v>
      </x:c>
      <x:c r="N771" s="10" t="n">
        <x:v>0</x:v>
      </x:c>
      <x:c r="O771" s="2" t="str">
        <x:v>Tp Hồ Chí Minh|other_unknown</x:v>
      </x:c>
      <x:c r="P771" s="10" t="n">
        <x:v>2</x:v>
      </x:c>
      <x:c r="Q771" s="13" t="n">
        <x:f>IF(H771="","",H771/1000000000)</x:f>
        <x:v>1.6</x:v>
      </x:c>
      <x:c r="R771" s="13" t="n">
        <x:f>IF(I771="","",I771/1000000)</x:f>
        <x:v>25</x:v>
      </x:c>
    </x:row>
    <x:row r="772" ht="21" customHeight="1">
      <x:c r="A772" s="10" t="n">
        <x:v>842</x:v>
      </x:c>
      <x:c r="B772" s="2" t="str">
        <x:v>dbb506de8d88d551e610</x:v>
      </x:c>
      <x:c r="C772" s="2" t="str">
        <x:v>Đồng Nai</x:v>
      </x:c>
      <x:c r="D772" s="2" t="str">
        <x:v>Thành phố Biên Hòa</x:v>
      </x:c>
      <x:c r="E772" s="2" t="str">
        <x:v>house</x:v>
      </x:c>
      <x:c r="F772" s="2" t="str">
        <x:v>sale_assumed</x:v>
      </x:c>
      <x:c r="G772" s="11" t="n">
        <x:v>68</x:v>
      </x:c>
      <x:c r="H772" s="12" t="n">
        <x:v>2100000000</x:v>
      </x:c>
      <x:c r="I772" s="12" t="n">
        <x:v>30882352.94117647</x:v>
      </x:c>
      <x:c r="J772" s="2" t="str">
        <x:v>total</x:v>
      </x:c>
      <x:c r="K772" s="2" t="str">
        <x:v>top_level_area</x:v>
      </x:c>
      <x:c r="L772" s="2" t="str">
        <x:v>property_type_inferred_from_title;transaction_assumed_sale_from_dataset_context</x:v>
      </x:c>
      <x:c r="M772" s="10" t="n">
        <x:v>0</x:v>
      </x:c>
      <x:c r="N772" s="10" t="n">
        <x:v>0</x:v>
      </x:c>
      <x:c r="O772" s="2" t="str">
        <x:v>Đồng Nai|house</x:v>
      </x:c>
      <x:c r="P772" s="10" t="n">
        <x:v>2</x:v>
      </x:c>
      <x:c r="Q772" s="13" t="n">
        <x:f>IF(H772="","",H772/1000000000)</x:f>
        <x:v>2.1</x:v>
      </x:c>
      <x:c r="R772" s="13" t="n">
        <x:f>IF(I772="","",I772/1000000)</x:f>
        <x:v>30.88235294117647</x:v>
      </x:c>
    </x:row>
    <x:row r="773" ht="21" customHeight="1">
      <x:c r="A773" s="10" t="n">
        <x:v>843</x:v>
      </x:c>
      <x:c r="B773" s="2" t="str">
        <x:v>95ed51951d6147d410e0</x:v>
      </x:c>
      <x:c r="C773" s="2" t="str">
        <x:v>Bình Dương</x:v>
      </x:c>
      <x:c r="D773" s="2" t="str">
        <x:v>Thị xã Thuận An</x:v>
      </x:c>
      <x:c r="E773" s="2" t="str">
        <x:v>apartment</x:v>
      </x:c>
      <x:c r="F773" s="2" t="str">
        <x:v>sale_assumed</x:v>
      </x:c>
      <x:c r="G773" s="11" t="n">
        <x:v>50</x:v>
      </x:c>
      <x:c r="H773" s="12" t="n">
        <x:v>500000000</x:v>
      </x:c>
      <x:c r="I773" s="12" t="n">
        <x:v>10000000</x:v>
      </x:c>
      <x:c r="J773" s="2" t="str">
        <x:v>total</x:v>
      </x:c>
      <x:c r="K773" s="2" t="str">
        <x:v>top_level_area</x:v>
      </x:c>
      <x:c r="L773" s="2" t="str">
        <x:v>property_type_inferred_from_title;transaction_assumed_sale_from_dataset_context</x:v>
      </x:c>
      <x:c r="M773" s="10" t="n">
        <x:v>0</x:v>
      </x:c>
      <x:c r="N773" s="10" t="n">
        <x:v>0</x:v>
      </x:c>
      <x:c r="O773" s="2" t="str">
        <x:v>Bình Dương|apartment</x:v>
      </x:c>
      <x:c r="P773" s="10" t="n">
        <x:v>2</x:v>
      </x:c>
      <x:c r="Q773" s="13" t="n">
        <x:f>IF(H773="","",H773/1000000000)</x:f>
        <x:v>0.5</x:v>
      </x:c>
      <x:c r="R773" s="13" t="n">
        <x:f>IF(I773="","",I773/1000000)</x:f>
        <x:v>10</x:v>
      </x:c>
    </x:row>
    <x:row r="774" ht="21" customHeight="1">
      <x:c r="A774" s="10" t="n">
        <x:v>844</x:v>
      </x:c>
      <x:c r="B774" s="2" t="str">
        <x:v>d43ff89fcdb65d1ab32c</x:v>
      </x:c>
      <x:c r="C774" s="2" t="str">
        <x:v>Bình Dương</x:v>
      </x:c>
      <x:c r="D774" s="2" t="str">
        <x:v>Huyện Bàu Bàng</x:v>
      </x:c>
      <x:c r="E774" s="2" t="str">
        <x:v>land</x:v>
      </x:c>
      <x:c r="F774" s="2" t="str">
        <x:v>sale_assumed</x:v>
      </x:c>
      <x:c r="G774" s="11" t="n">
        <x:v>1000</x:v>
      </x:c>
      <x:c r="H774" s="12" t="n">
        <x:v>1990000000</x:v>
      </x:c>
      <x:c r="I774" s="12" t="n">
        <x:v>1990000</x:v>
      </x:c>
      <x:c r="J774" s="2" t="str">
        <x:v>total</x:v>
      </x:c>
      <x:c r="K774" s="2" t="str">
        <x:v>top_level_price_embedded_area</x:v>
      </x:c>
      <x:c r="L774" s="2" t="str">
        <x:v>area_recovered_from_price_text;dot_thousands_convention;property_type_inferred_from_title;transaction_assumed_sale_from_dataset_context</x:v>
      </x:c>
      <x:c r="M774" s="10" t="n">
        <x:v>0</x:v>
      </x:c>
      <x:c r="N774" s="10" t="n">
        <x:v>0</x:v>
      </x:c>
      <x:c r="O774" s="2" t="str">
        <x:v>Bình Dương|land</x:v>
      </x:c>
      <x:c r="P774" s="10" t="n">
        <x:v>1</x:v>
      </x:c>
      <x:c r="Q774" s="13" t="n">
        <x:f>IF(H774="","",H774/1000000000)</x:f>
        <x:v>1.99</x:v>
      </x:c>
      <x:c r="R774" s="13" t="n">
        <x:f>IF(I774="","",I774/1000000)</x:f>
        <x:v>1.99</x:v>
      </x:c>
    </x:row>
    <x:row r="775" ht="21" customHeight="1">
      <x:c r="A775" s="10" t="n">
        <x:v>845</x:v>
      </x:c>
      <x:c r="B775" s="2" t="str">
        <x:v>272086146c2edc262a0d</x:v>
      </x:c>
      <x:c r="C775" s="2" t="str">
        <x:v>Khánh Hòa</x:v>
      </x:c>
      <x:c r="D775" s="2" t="str">
        <x:v>Thành phố Nha Trang</x:v>
      </x:c>
      <x:c r="E775" s="2" t="str">
        <x:v>house</x:v>
      </x:c>
      <x:c r="F775" s="2" t="str">
        <x:v>sale_assumed</x:v>
      </x:c>
      <x:c r="G775" s="11" t="n">
        <x:v>128</x:v>
      </x:c>
      <x:c r="H775" s="12" t="n">
        <x:v>6500000000</x:v>
      </x:c>
      <x:c r="I775" s="12" t="n">
        <x:v>50781250</x:v>
      </x:c>
      <x:c r="J775" s="2" t="str">
        <x:v>total</x:v>
      </x:c>
      <x:c r="K775" s="2" t="str">
        <x:v>top_level_area</x:v>
      </x:c>
      <x:c r="L775" s="2" t="str">
        <x:v>property_type_inferred_from_title;transaction_assumed_sale_from_dataset_context</x:v>
      </x:c>
      <x:c r="M775" s="10" t="n">
        <x:v>0</x:v>
      </x:c>
      <x:c r="N775" s="10" t="n">
        <x:v>0</x:v>
      </x:c>
      <x:c r="O775" s="2" t="str">
        <x:v>Khánh Hòa|house</x:v>
      </x:c>
      <x:c r="P775" s="10" t="n">
        <x:v>2</x:v>
      </x:c>
      <x:c r="Q775" s="13" t="n">
        <x:f>IF(H775="","",H775/1000000000)</x:f>
        <x:v>6.5</x:v>
      </x:c>
      <x:c r="R775" s="13" t="n">
        <x:f>IF(I775="","",I775/1000000)</x:f>
        <x:v>50.78125</x:v>
      </x:c>
    </x:row>
    <x:row r="776" ht="21" customHeight="1">
      <x:c r="A776" s="10" t="n">
        <x:v>846</x:v>
      </x:c>
      <x:c r="B776" s="2" t="str">
        <x:v>674ea91047801932e554</x:v>
      </x:c>
      <x:c r="C776" s="2" t="str">
        <x:v>Hà Nội</x:v>
      </x:c>
      <x:c r="D776" s="2" t="str">
        <x:v>Quận Thanh Xuân</x:v>
      </x:c>
      <x:c r="E776" s="2" t="str">
        <x:v>house</x:v>
      </x:c>
      <x:c r="F776" s="2" t="str">
        <x:v>sale_assumed</x:v>
      </x:c>
      <x:c r="G776" s="11" t="n">
        <x:v>42</x:v>
      </x:c>
      <x:c r="H776" s="12" t="n">
        <x:v>4350000000</x:v>
      </x:c>
      <x:c r="I776" s="12" t="n">
        <x:v>103571428.57142857</x:v>
      </x:c>
      <x:c r="J776" s="2" t="str">
        <x:v>total</x:v>
      </x:c>
      <x:c r="K776" s="2" t="str">
        <x:v>top_level_area</x:v>
      </x:c>
      <x:c r="L776" s="2" t="str">
        <x:v>property_type_inferred_from_title;transaction_assumed_sale_from_dataset_context</x:v>
      </x:c>
      <x:c r="M776" s="10" t="n">
        <x:v>0</x:v>
      </x:c>
      <x:c r="N776" s="10" t="n">
        <x:v>0</x:v>
      </x:c>
      <x:c r="O776" s="2" t="str">
        <x:v>Hà Nội|house</x:v>
      </x:c>
      <x:c r="P776" s="10" t="n">
        <x:v>2</x:v>
      </x:c>
      <x:c r="Q776" s="13" t="n">
        <x:f>IF(H776="","",H776/1000000000)</x:f>
        <x:v>4.35</x:v>
      </x:c>
      <x:c r="R776" s="13" t="n">
        <x:f>IF(I776="","",I776/1000000)</x:f>
        <x:v>103.57142857142857</x:v>
      </x:c>
    </x:row>
    <x:row r="777" ht="21" customHeight="1">
      <x:c r="A777" s="10" t="n">
        <x:v>847</x:v>
      </x:c>
      <x:c r="B777" s="2" t="str">
        <x:v>5018367d152a1d84dba0</x:v>
      </x:c>
      <x:c r="C777" s="2" t="str">
        <x:v>Đồng Nai</x:v>
      </x:c>
      <x:c r="D777" s="2" t="str">
        <x:v>Huyện Trảng Bom</x:v>
      </x:c>
      <x:c r="E777" s="2" t="str">
        <x:v>land</x:v>
      </x:c>
      <x:c r="F777" s="2" t="str">
        <x:v>sale_assumed</x:v>
      </x:c>
      <x:c r="G777" s="11" t="n">
        <x:v>1000</x:v>
      </x:c>
      <x:c r="H777" s="12" t="n">
        <x:v>780000000</x:v>
      </x:c>
      <x:c r="I777" s="12" t="n">
        <x:v>780000</x:v>
      </x:c>
      <x:c r="J777" s="2" t="str">
        <x:v>total</x:v>
      </x:c>
      <x:c r="K777" s="2" t="str">
        <x:v>top_level_area</x:v>
      </x:c>
      <x:c r="L777" s="2" t="str">
        <x:v>dot_thousands_convention;property_type_inferred_from_title;transaction_assumed_sale_from_dataset_context</x:v>
      </x:c>
      <x:c r="M777" s="10" t="n">
        <x:v>0</x:v>
      </x:c>
      <x:c r="N777" s="10" t="n">
        <x:v>0</x:v>
      </x:c>
      <x:c r="O777" s="2" t="str">
        <x:v>Đồng Nai|land</x:v>
      </x:c>
      <x:c r="P777" s="10" t="n">
        <x:v>1</x:v>
      </x:c>
      <x:c r="Q777" s="13" t="n">
        <x:f>IF(H777="","",H777/1000000000)</x:f>
        <x:v>0.78</x:v>
      </x:c>
      <x:c r="R777" s="13" t="n">
        <x:f>IF(I777="","",I777/1000000)</x:f>
        <x:v>0.78</x:v>
      </x:c>
    </x:row>
    <x:row r="778" ht="21" customHeight="1">
      <x:c r="A778" s="10" t="n">
        <x:v>848</x:v>
      </x:c>
      <x:c r="B778" s="2" t="str">
        <x:v>a8c96f1e12b2adc9c241</x:v>
      </x:c>
      <x:c r="C778" s="2" t="str">
        <x:v>Tp Hồ Chí Minh</x:v>
      </x:c>
      <x:c r="D778" s="2" t="str">
        <x:v>Quận Tân Bình</x:v>
      </x:c>
      <x:c r="E778" s="2" t="str">
        <x:v>house</x:v>
      </x:c>
      <x:c r="F778" s="2" t="str">
        <x:v>sale_assumed</x:v>
      </x:c>
      <x:c r="G778" s="11" t="n">
        <x:v>60</x:v>
      </x:c>
      <x:c r="H778" s="12" t="n">
        <x:v>8600000000</x:v>
      </x:c>
      <x:c r="I778" s="12" t="n">
        <x:v>143333333.33333334</x:v>
      </x:c>
      <x:c r="J778" s="2" t="str">
        <x:v>total</x:v>
      </x:c>
      <x:c r="K778" s="2" t="str">
        <x:v>top_level_area</x:v>
      </x:c>
      <x:c r="L778" s="2" t="str">
        <x:v>property_type_inferred_from_title;transaction_assumed_sale_from_dataset_context</x:v>
      </x:c>
      <x:c r="M778" s="10" t="n">
        <x:v>0</x:v>
      </x:c>
      <x:c r="N778" s="10" t="n">
        <x:v>0</x:v>
      </x:c>
      <x:c r="O778" s="2" t="str">
        <x:v>Tp Hồ Chí Minh|house</x:v>
      </x:c>
      <x:c r="P778" s="10" t="n">
        <x:v>2</x:v>
      </x:c>
      <x:c r="Q778" s="13" t="n">
        <x:f>IF(H778="","",H778/1000000000)</x:f>
        <x:v>8.6</x:v>
      </x:c>
      <x:c r="R778" s="13" t="n">
        <x:f>IF(I778="","",I778/1000000)</x:f>
        <x:v>143.33333333333334</x:v>
      </x:c>
    </x:row>
    <x:row r="779" ht="21" customHeight="1">
      <x:c r="A779" s="10" t="n">
        <x:v>849</x:v>
      </x:c>
      <x:c r="B779" s="2" t="str">
        <x:v>63cf1ca1cdb8c5b1ab70</x:v>
      </x:c>
      <x:c r="C779" s="2" t="str">
        <x:v>Tp Hồ Chí Minh</x:v>
      </x:c>
      <x:c r="D779" s="2" t="str">
        <x:v>Huyện Hóc Môn</x:v>
      </x:c>
      <x:c r="E779" s="2" t="str">
        <x:v>house</x:v>
      </x:c>
      <x:c r="F779" s="2" t="str">
        <x:v>sale_assumed</x:v>
      </x:c>
      <x:c r="G779" s="11" t="n">
        <x:v>64</x:v>
      </x:c>
      <x:c r="H779" s="12" t="n">
        <x:v>3840000000</x:v>
      </x:c>
      <x:c r="I779" s="12" t="n">
        <x:v>60000000</x:v>
      </x:c>
      <x:c r="J779" s="2" t="str">
        <x:v>total</x:v>
      </x:c>
      <x:c r="K779" s="2" t="str">
        <x:v>top_level_area</x:v>
      </x:c>
      <x:c r="L779" s="2" t="str">
        <x:v>property_type_inferred_from_title;transaction_assumed_sale_from_dataset_context</x:v>
      </x:c>
      <x:c r="M779" s="10" t="n">
        <x:v>0</x:v>
      </x:c>
      <x:c r="N779" s="10" t="n">
        <x:v>0</x:v>
      </x:c>
      <x:c r="O779" s="2" t="str">
        <x:v>Tp Hồ Chí Minh|house</x:v>
      </x:c>
      <x:c r="P779" s="10" t="n">
        <x:v>2</x:v>
      </x:c>
      <x:c r="Q779" s="13" t="n">
        <x:f>IF(H779="","",H779/1000000000)</x:f>
        <x:v>3.84</x:v>
      </x:c>
      <x:c r="R779" s="13" t="n">
        <x:f>IF(I779="","",I779/1000000)</x:f>
        <x:v>60</x:v>
      </x:c>
    </x:row>
    <x:row r="780" ht="21" customHeight="1">
      <x:c r="A780" s="10" t="n">
        <x:v>850</x:v>
      </x:c>
      <x:c r="B780" s="2" t="str">
        <x:v>3e6600fa67724a0bae8f</x:v>
      </x:c>
      <x:c r="C780" s="2" t="str">
        <x:v>Tp Hồ Chí Minh</x:v>
      </x:c>
      <x:c r="D780" s="2" t="str">
        <x:v>Quận Bình Thạnh</x:v>
      </x:c>
      <x:c r="E780" s="2" t="str">
        <x:v>house</x:v>
      </x:c>
      <x:c r="F780" s="2" t="str">
        <x:v>sale</x:v>
      </x:c>
      <x:c r="G780" s="11" t="n">
        <x:v>48</x:v>
      </x:c>
      <x:c r="H780" s="12" t="n">
        <x:v>1700000000</x:v>
      </x:c>
      <x:c r="I780" s="12" t="n">
        <x:v>35416666.666666664</x:v>
      </x:c>
      <x:c r="J780" s="2" t="str">
        <x:v>total</x:v>
      </x:c>
      <x:c r="K780" s="2" t="str">
        <x:v>top_level_area</x:v>
      </x:c>
      <x:c r="L780" s="2" t="str">
        <x:v>property_type_inferred_from_title</x:v>
      </x:c>
      <x:c r="M780" s="10" t="n">
        <x:v>0</x:v>
      </x:c>
      <x:c r="N780" s="10" t="n">
        <x:v>0</x:v>
      </x:c>
      <x:c r="O780" s="2" t="str">
        <x:v>Tp Hồ Chí Minh|house</x:v>
      </x:c>
      <x:c r="P780" s="10" t="n">
        <x:v>2</x:v>
      </x:c>
      <x:c r="Q780" s="13" t="n">
        <x:f>IF(H780="","",H780/1000000000)</x:f>
        <x:v>1.7</x:v>
      </x:c>
      <x:c r="R780" s="13" t="n">
        <x:f>IF(I780="","",I780/1000000)</x:f>
        <x:v>35.416666666666664</x:v>
      </x:c>
    </x:row>
    <x:row r="781" ht="21" customHeight="1">
      <x:c r="A781" s="10" t="n">
        <x:v>851</x:v>
      </x:c>
      <x:c r="B781" s="2" t="str">
        <x:v>6a671291ef83b84c6844</x:v>
      </x:c>
      <x:c r="C781" s="2" t="str">
        <x:v>Cần Thơ</x:v>
      </x:c>
      <x:c r="D781" s="2" t="str">
        <x:v>Quận Ninh Kiều</x:v>
      </x:c>
      <x:c r="E781" s="2" t="str">
        <x:v>house</x:v>
      </x:c>
      <x:c r="F781" s="2" t="str">
        <x:v>sale</x:v>
      </x:c>
      <x:c r="G781" s="11" t="n">
        <x:v>46</x:v>
      </x:c>
      <x:c r="H781" s="12" t="n">
        <x:v>2350000000</x:v>
      </x:c>
      <x:c r="I781" s="12" t="n">
        <x:v>51086956.52173913</x:v>
      </x:c>
      <x:c r="J781" s="2" t="str">
        <x:v>total</x:v>
      </x:c>
      <x:c r="K781" s="2" t="str">
        <x:v>top_level_area</x:v>
      </x:c>
      <x:c r="L781" s="2" t="str">
        <x:v>property_type_inferred_from_title</x:v>
      </x:c>
      <x:c r="M781" s="10" t="n">
        <x:v>0</x:v>
      </x:c>
      <x:c r="N781" s="10" t="n">
        <x:v>0</x:v>
      </x:c>
      <x:c r="O781" s="2" t="str">
        <x:v>Cần Thơ|house</x:v>
      </x:c>
      <x:c r="P781" s="10" t="n">
        <x:v>2</x:v>
      </x:c>
      <x:c r="Q781" s="13" t="n">
        <x:f>IF(H781="","",H781/1000000000)</x:f>
        <x:v>2.35</x:v>
      </x:c>
      <x:c r="R781" s="13" t="n">
        <x:f>IF(I781="","",I781/1000000)</x:f>
        <x:v>51.08695652173913</x:v>
      </x:c>
    </x:row>
    <x:row r="782" ht="21" customHeight="1">
      <x:c r="A782" s="10" t="n">
        <x:v>852</x:v>
      </x:c>
      <x:c r="B782" s="2" t="str">
        <x:v>5bb9e34de01aa5fe4de0</x:v>
      </x:c>
      <x:c r="C782" s="2" t="str">
        <x:v>Bà Rịa - Vũng Tàu</x:v>
      </x:c>
      <x:c r="D782" s="2" t="str">
        <x:v>Thị xã Phú Mỹ</x:v>
      </x:c>
      <x:c r="E782" s="2" t="str">
        <x:v>land</x:v>
      </x:c>
      <x:c r="F782" s="2" t="str">
        <x:v>sale_assumed</x:v>
      </x:c>
      <x:c r="G782" s="11" t="n">
        <x:v>500</x:v>
      </x:c>
      <x:c r="H782" s="12" t="n">
        <x:v>1200000000</x:v>
      </x:c>
      <x:c r="I782" s="12" t="n">
        <x:v>2400000</x:v>
      </x:c>
      <x:c r="J782" s="2" t="str">
        <x:v>total</x:v>
      </x:c>
      <x:c r="K782" s="2" t="str">
        <x:v>top_level_area</x:v>
      </x:c>
      <x:c r="L782" s="2" t="str">
        <x:v>property_type_inferred_from_title;transaction_assumed_sale_from_dataset_context</x:v>
      </x:c>
      <x:c r="M782" s="10" t="n">
        <x:v>0</x:v>
      </x:c>
      <x:c r="N782" s="10" t="n">
        <x:v>0</x:v>
      </x:c>
      <x:c r="O782" s="2" t="str">
        <x:v>Bà Rịa - Vũng Tàu|land</x:v>
      </x:c>
      <x:c r="P782" s="10" t="n">
        <x:v>1</x:v>
      </x:c>
      <x:c r="Q782" s="13" t="n">
        <x:f>IF(H782="","",H782/1000000000)</x:f>
        <x:v>1.2</x:v>
      </x:c>
      <x:c r="R782" s="13" t="n">
        <x:f>IF(I782="","",I782/1000000)</x:f>
        <x:v>2.4</x:v>
      </x:c>
    </x:row>
    <x:row r="783" ht="21" customHeight="1">
      <x:c r="A783" s="10" t="n">
        <x:v>853</x:v>
      </x:c>
      <x:c r="B783" s="2" t="str">
        <x:v>7d197ba3b811f9c25cb1</x:v>
      </x:c>
      <x:c r="C783" s="2" t="str">
        <x:v>Tp Hồ Chí Minh</x:v>
      </x:c>
      <x:c r="D783" s="2" t="str">
        <x:v>Huyện Hóc Môn</x:v>
      </x:c>
      <x:c r="E783" s="2" t="str">
        <x:v>house</x:v>
      </x:c>
      <x:c r="F783" s="2" t="str">
        <x:v>sale</x:v>
      </x:c>
      <x:c r="G783" s="11" t="n">
        <x:v>180</x:v>
      </x:c>
      <x:c r="H783" s="12" t="n">
        <x:v>5850000000</x:v>
      </x:c>
      <x:c r="I783" s="12" t="n">
        <x:v>32500000</x:v>
      </x:c>
      <x:c r="J783" s="2" t="str">
        <x:v>total</x:v>
      </x:c>
      <x:c r="K783" s="2" t="str">
        <x:v>top_level_area</x:v>
      </x:c>
      <x:c r="L783" s="2" t="str">
        <x:v>property_type_inferred_from_title</x:v>
      </x:c>
      <x:c r="M783" s="10" t="n">
        <x:v>0</x:v>
      </x:c>
      <x:c r="N783" s="10" t="n">
        <x:v>0</x:v>
      </x:c>
      <x:c r="O783" s="2" t="str">
        <x:v>Tp Hồ Chí Minh|house</x:v>
      </x:c>
      <x:c r="P783" s="10" t="n">
        <x:v>2</x:v>
      </x:c>
      <x:c r="Q783" s="13" t="n">
        <x:f>IF(H783="","",H783/1000000000)</x:f>
        <x:v>5.85</x:v>
      </x:c>
      <x:c r="R783" s="13" t="n">
        <x:f>IF(I783="","",I783/1000000)</x:f>
        <x:v>32.5</x:v>
      </x:c>
    </x:row>
    <x:row r="784" ht="21" customHeight="1">
      <x:c r="A784" s="10" t="n">
        <x:v>854</x:v>
      </x:c>
      <x:c r="B784" s="2" t="str">
        <x:v>632649e7697155594492</x:v>
      </x:c>
      <x:c r="C784" s="2" t="str">
        <x:v>Tp Hồ Chí Minh</x:v>
      </x:c>
      <x:c r="D784" s="2" t="str">
        <x:v>Huyện Nhà Bè</x:v>
      </x:c>
      <x:c r="E784" s="2" t="str">
        <x:v>other_unknown</x:v>
      </x:c>
      <x:c r="F784" s="2" t="str">
        <x:v>sale_assumed</x:v>
      </x:c>
      <x:c r="G784" s="11" t="n">
        <x:v>1117</x:v>
      </x:c>
      <x:c r="H784" s="12" t="n">
        <x:v>11170000000</x:v>
      </x:c>
      <x:c r="I784" s="12" t="n">
        <x:v>10000000</x:v>
      </x:c>
      <x:c r="J784" s="2" t="str">
        <x:v>total</x:v>
      </x:c>
      <x:c r="K784" s="2" t="str">
        <x:v>top_level_area</x:v>
      </x:c>
      <x:c r="L784" s="2" t="str">
        <x:v>dot_thousands_convention;property_type_inferred_from_title;transaction_assumed_sale_from_dataset_context;unknown_property_type</x:v>
      </x:c>
      <x:c r="M784" s="10" t="n">
        <x:v>0</x:v>
      </x:c>
      <x:c r="N784" s="10" t="n">
        <x:v>0</x:v>
      </x:c>
      <x:c r="O784" s="2" t="str">
        <x:v>Tp Hồ Chí Minh|other_unknown</x:v>
      </x:c>
      <x:c r="P784" s="10" t="n">
        <x:v>1</x:v>
      </x:c>
      <x:c r="Q784" s="13" t="n">
        <x:f>IF(H784="","",H784/1000000000)</x:f>
        <x:v>11.17</x:v>
      </x:c>
      <x:c r="R784" s="13" t="n">
        <x:f>IF(I784="","",I784/1000000)</x:f>
        <x:v>10</x:v>
      </x:c>
    </x:row>
    <x:row r="785" ht="21" customHeight="1">
      <x:c r="A785" s="10" t="n">
        <x:v>855</x:v>
      </x:c>
      <x:c r="B785" s="2" t="str">
        <x:v>187672dba837b767f753</x:v>
      </x:c>
      <x:c r="C785" s="2" t="str">
        <x:v>Tp Hồ Chí Minh</x:v>
      </x:c>
      <x:c r="D785" s="2" t="str">
        <x:v>Quận 9</x:v>
      </x:c>
      <x:c r="E785" s="2" t="str">
        <x:v>house</x:v>
      </x:c>
      <x:c r="F785" s="2" t="str">
        <x:v>sale</x:v>
      </x:c>
      <x:c r="G785" s="11" t="n">
        <x:v>90</x:v>
      </x:c>
      <x:c r="H785" s="12" t="n">
        <x:v>8700000000</x:v>
      </x:c>
      <x:c r="I785" s="12" t="n">
        <x:v>96666666.66666667</x:v>
      </x:c>
      <x:c r="J785" s="2" t="str">
        <x:v>total</x:v>
      </x:c>
      <x:c r="K785" s="2" t="str">
        <x:v>top_level_area</x:v>
      </x:c>
      <x:c r="L785" s="2" t="str">
        <x:v>property_type_inferred_from_title</x:v>
      </x:c>
      <x:c r="M785" s="10" t="n">
        <x:v>0</x:v>
      </x:c>
      <x:c r="N785" s="10" t="n">
        <x:v>0</x:v>
      </x:c>
      <x:c r="O785" s="2" t="str">
        <x:v>Tp Hồ Chí Minh|house</x:v>
      </x:c>
      <x:c r="P785" s="10" t="n">
        <x:v>2</x:v>
      </x:c>
      <x:c r="Q785" s="13" t="n">
        <x:f>IF(H785="","",H785/1000000000)</x:f>
        <x:v>8.7</x:v>
      </x:c>
      <x:c r="R785" s="13" t="n">
        <x:f>IF(I785="","",I785/1000000)</x:f>
        <x:v>96.66666666666667</x:v>
      </x:c>
    </x:row>
    <x:row r="786" ht="21" customHeight="1">
      <x:c r="A786" s="10" t="n">
        <x:v>856</x:v>
      </x:c>
      <x:c r="B786" s="2" t="str">
        <x:v>36446e92273982f83cfd</x:v>
      </x:c>
      <x:c r="C786" s="2" t="str">
        <x:v>Tp Hồ Chí Minh</x:v>
      </x:c>
      <x:c r="D786" s="2" t="str">
        <x:v>Quận 12</x:v>
      </x:c>
      <x:c r="E786" s="2" t="str">
        <x:v>other_unknown</x:v>
      </x:c>
      <x:c r="F786" s="2" t="str">
        <x:v>sale</x:v>
      </x:c>
      <x:c r="G786" s="11" t="n">
        <x:v>36</x:v>
      </x:c>
      <x:c r="H786" s="12" t="n">
        <x:v>2290000000</x:v>
      </x:c>
      <x:c r="I786" s="12" t="n">
        <x:v>63611111.11111111</x:v>
      </x:c>
      <x:c r="J786" s="2" t="str">
        <x:v>total</x:v>
      </x:c>
      <x:c r="K786" s="2" t="str">
        <x:v>top_level_area</x:v>
      </x:c>
      <x:c r="L786" s="2" t="str">
        <x:v>property_type_inferred_from_title;unknown_property_type</x:v>
      </x:c>
      <x:c r="M786" s="10" t="n">
        <x:v>0</x:v>
      </x:c>
      <x:c r="N786" s="10" t="n">
        <x:v>0</x:v>
      </x:c>
      <x:c r="O786" s="2" t="str">
        <x:v>Tp Hồ Chí Minh|other_unknown</x:v>
      </x:c>
      <x:c r="P786" s="10" t="n">
        <x:v>2</x:v>
      </x:c>
      <x:c r="Q786" s="13" t="n">
        <x:f>IF(H786="","",H786/1000000000)</x:f>
        <x:v>2.29</x:v>
      </x:c>
      <x:c r="R786" s="13" t="n">
        <x:f>IF(I786="","",I786/1000000)</x:f>
        <x:v>63.611111111111114</x:v>
      </x:c>
    </x:row>
    <x:row r="787" ht="21" customHeight="1">
      <x:c r="A787" s="10" t="n">
        <x:v>857</x:v>
      </x:c>
      <x:c r="B787" s="2" t="str">
        <x:v>57c68c11671f1b36644a</x:v>
      </x:c>
      <x:c r="C787" s="2" t="str">
        <x:v>Bình Dương</x:v>
      </x:c>
      <x:c r="D787" s="2" t="str">
        <x:v>Thành phố Thủ Dầu Một</x:v>
      </x:c>
      <x:c r="E787" s="2" t="str">
        <x:v>house</x:v>
      </x:c>
      <x:c r="F787" s="2" t="str">
        <x:v>sale_assumed</x:v>
      </x:c>
      <x:c r="G787" s="11" t="n">
        <x:v>100</x:v>
      </x:c>
      <x:c r="H787" s="12" t="n">
        <x:v>1450000000</x:v>
      </x:c>
      <x:c r="I787" s="12" t="n">
        <x:v>14500000</x:v>
      </x:c>
      <x:c r="J787" s="2" t="str">
        <x:v>total</x:v>
      </x:c>
      <x:c r="K787" s="2" t="str">
        <x:v>top_level_area</x:v>
      </x:c>
      <x:c r="L787" s="2" t="str">
        <x:v>property_type_inferred_from_title;transaction_assumed_sale_from_dataset_context</x:v>
      </x:c>
      <x:c r="M787" s="10" t="n">
        <x:v>0</x:v>
      </x:c>
      <x:c r="N787" s="10" t="n">
        <x:v>0</x:v>
      </x:c>
      <x:c r="O787" s="2" t="str">
        <x:v>Bình Dương|house</x:v>
      </x:c>
      <x:c r="P787" s="10" t="n">
        <x:v>2</x:v>
      </x:c>
      <x:c r="Q787" s="13" t="n">
        <x:f>IF(H787="","",H787/1000000000)</x:f>
        <x:v>1.45</x:v>
      </x:c>
      <x:c r="R787" s="13" t="n">
        <x:f>IF(I787="","",I787/1000000)</x:f>
        <x:v>14.5</x:v>
      </x:c>
    </x:row>
    <x:row r="788" ht="21" customHeight="1">
      <x:c r="A788" s="10" t="n">
        <x:v>858</x:v>
      </x:c>
      <x:c r="B788" s="2" t="str">
        <x:v>6b71a1888d290b3e6ba9</x:v>
      </x:c>
      <x:c r="C788" s="2" t="str">
        <x:v>Tp Hồ Chí Minh</x:v>
      </x:c>
      <x:c r="D788" s="2" t="str">
        <x:v>Huyện Bình Chánh</x:v>
      </x:c>
      <x:c r="E788" s="2" t="str">
        <x:v>land</x:v>
      </x:c>
      <x:c r="F788" s="2" t="str">
        <x:v>sale_assumed</x:v>
      </x:c>
      <x:c r="G788" s="11" t="n">
        <x:v>75</x:v>
      </x:c>
      <x:c r="H788" s="12" t="n">
        <x:v>300000000</x:v>
      </x:c>
      <x:c r="I788" s="12" t="n">
        <x:v>4000000</x:v>
      </x:c>
      <x:c r="J788" s="2" t="str">
        <x:v>total</x:v>
      </x:c>
      <x:c r="K788" s="2" t="str">
        <x:v>top_level_area</x:v>
      </x:c>
      <x:c r="L788" s="2" t="str">
        <x:v>property_type_inferred_from_title;transaction_assumed_sale_from_dataset_context</x:v>
      </x:c>
      <x:c r="M788" s="10" t="n">
        <x:v>0</x:v>
      </x:c>
      <x:c r="N788" s="10" t="n">
        <x:v>0</x:v>
      </x:c>
      <x:c r="O788" s="2" t="str">
        <x:v>Tp Hồ Chí Minh|land</x:v>
      </x:c>
      <x:c r="P788" s="10" t="n">
        <x:v>2</x:v>
      </x:c>
      <x:c r="Q788" s="13" t="n">
        <x:f>IF(H788="","",H788/1000000000)</x:f>
        <x:v>0.3</x:v>
      </x:c>
      <x:c r="R788" s="13" t="n">
        <x:f>IF(I788="","",I788/1000000)</x:f>
        <x:v>4</x:v>
      </x:c>
    </x:row>
    <x:row r="789" ht="21" customHeight="1">
      <x:c r="A789" s="10" t="n">
        <x:v>859</x:v>
      </x:c>
      <x:c r="B789" s="2" t="str">
        <x:v>eac7639a6900b8117bad</x:v>
      </x:c>
      <x:c r="C789" s="2" t="str">
        <x:v>Đồng Nai</x:v>
      </x:c>
      <x:c r="D789" s="2" t="str">
        <x:v>Huyện Trảng Bom</x:v>
      </x:c>
      <x:c r="E789" s="2" t="str">
        <x:v>land</x:v>
      </x:c>
      <x:c r="F789" s="2" t="str">
        <x:v>sale</x:v>
      </x:c>
      <x:c r="G789" s="11" t="n">
        <x:v>22272</x:v>
      </x:c>
      <x:c r="H789" s="12" t="n">
        <x:v>51000000000</x:v>
      </x:c>
      <x:c r="I789" s="12" t="n">
        <x:v>2289870.6896551726</x:v>
      </x:c>
      <x:c r="J789" s="2" t="str">
        <x:v>total</x:v>
      </x:c>
      <x:c r="K789" s="2" t="str">
        <x:v>top_level_area</x:v>
      </x:c>
      <x:c r="L789" s="2" t="str">
        <x:v>dot_thousands_convention;property_type_inferred_from_title</x:v>
      </x:c>
      <x:c r="M789" s="10" t="n">
        <x:v>0</x:v>
      </x:c>
      <x:c r="N789" s="10" t="n">
        <x:v>0</x:v>
      </x:c>
      <x:c r="O789" s="2" t="str">
        <x:v>Đồng Nai|land</x:v>
      </x:c>
      <x:c r="P789" s="10" t="n">
        <x:v>1</x:v>
      </x:c>
      <x:c r="Q789" s="13" t="n">
        <x:f>IF(H789="","",H789/1000000000)</x:f>
        <x:v>51</x:v>
      </x:c>
      <x:c r="R789" s="13" t="n">
        <x:f>IF(I789="","",I789/1000000)</x:f>
        <x:v>2.2898706896551726</x:v>
      </x:c>
    </x:row>
    <x:row r="790" ht="21" customHeight="1">
      <x:c r="A790" s="10" t="n">
        <x:v>860</x:v>
      </x:c>
      <x:c r="B790" s="2" t="str">
        <x:v>36d5e0bfcaeda4f66beb</x:v>
      </x:c>
      <x:c r="C790" s="2" t="str">
        <x:v>Đồng Nai</x:v>
      </x:c>
      <x:c r="D790" s="2" t="str">
        <x:v>Thành phố Biên Hòa</x:v>
      </x:c>
      <x:c r="E790" s="2" t="str">
        <x:v>house</x:v>
      </x:c>
      <x:c r="F790" s="2" t="str">
        <x:v>sale</x:v>
      </x:c>
      <x:c r="G790" s="11" t="n">
        <x:v>160</x:v>
      </x:c>
      <x:c r="H790" s="12" t="n">
        <x:v>6950000000</x:v>
      </x:c>
      <x:c r="I790" s="12" t="n">
        <x:v>43437500</x:v>
      </x:c>
      <x:c r="J790" s="2" t="str">
        <x:v>total</x:v>
      </x:c>
      <x:c r="K790" s="2" t="str">
        <x:v>top_level_area</x:v>
      </x:c>
      <x:c r="L790" s="2" t="str">
        <x:v>property_type_inferred_from_title</x:v>
      </x:c>
      <x:c r="M790" s="10" t="n">
        <x:v>0</x:v>
      </x:c>
      <x:c r="N790" s="10" t="n">
        <x:v>0</x:v>
      </x:c>
      <x:c r="O790" s="2" t="str">
        <x:v>Đồng Nai|house</x:v>
      </x:c>
      <x:c r="P790" s="10" t="n">
        <x:v>2</x:v>
      </x:c>
      <x:c r="Q790" s="13" t="n">
        <x:f>IF(H790="","",H790/1000000000)</x:f>
        <x:v>6.95</x:v>
      </x:c>
      <x:c r="R790" s="13" t="n">
        <x:f>IF(I790="","",I790/1000000)</x:f>
        <x:v>43.4375</x:v>
      </x:c>
    </x:row>
    <x:row r="791" ht="21" customHeight="1">
      <x:c r="A791" s="10" t="n">
        <x:v>861</x:v>
      </x:c>
      <x:c r="B791" s="2" t="str">
        <x:v>2f3a6525def8a5d9bd88</x:v>
      </x:c>
      <x:c r="C791" s="2" t="str">
        <x:v>Đắk Lắk</x:v>
      </x:c>
      <x:c r="D791" s="2" t="str">
        <x:v>Thành phố Buôn Ma Thuột</x:v>
      </x:c>
      <x:c r="E791" s="2" t="str">
        <x:v>other_unknown</x:v>
      </x:c>
      <x:c r="F791" s="2" t="str">
        <x:v>sale_assumed</x:v>
      </x:c>
      <x:c r="G791" s="11" t="n">
        <x:v>1000</x:v>
      </x:c>
      <x:c r="H791" s="12" t="n">
        <x:v>180000000</x:v>
      </x:c>
      <x:c r="I791" s="12" t="n">
        <x:v>180000</x:v>
      </x:c>
      <x:c r="J791" s="2" t="str">
        <x:v>total</x:v>
      </x:c>
      <x:c r="K791" s="2" t="str">
        <x:v>top_level_area</x:v>
      </x:c>
      <x:c r="L791" s="2" t="str">
        <x:v>dot_thousands_convention;property_type_inferred_from_title;transaction_assumed_sale_from_dataset_context;unknown_property_type</x:v>
      </x:c>
      <x:c r="M791" s="10" t="n">
        <x:v>0</x:v>
      </x:c>
      <x:c r="N791" s="10" t="n">
        <x:v>0</x:v>
      </x:c>
      <x:c r="O791" s="2" t="str">
        <x:v>other_unknown</x:v>
      </x:c>
      <x:c r="P791" s="10" t="n">
        <x:v>1</x:v>
      </x:c>
      <x:c r="Q791" s="13" t="n">
        <x:f>IF(H791="","",H791/1000000000)</x:f>
        <x:v>0.18</x:v>
      </x:c>
      <x:c r="R791" s="13" t="n">
        <x:f>IF(I791="","",I791/1000000)</x:f>
        <x:v>0.18</x:v>
      </x:c>
    </x:row>
    <x:row r="792" ht="21" customHeight="1">
      <x:c r="A792" s="10" t="n">
        <x:v>863</x:v>
      </x:c>
      <x:c r="B792" s="2" t="str">
        <x:v>16f4c89e56bcff819de5</x:v>
      </x:c>
      <x:c r="C792" s="2" t="str">
        <x:v>Hải Phòng</x:v>
      </x:c>
      <x:c r="D792" s="2" t="str">
        <x:v>Quận Dương Kinh</x:v>
      </x:c>
      <x:c r="E792" s="2" t="str">
        <x:v>other_unknown</x:v>
      </x:c>
      <x:c r="F792" s="2" t="str">
        <x:v>sale_assumed</x:v>
      </x:c>
      <x:c r="G792" s="11" t="n">
        <x:v>112</x:v>
      </x:c>
      <x:c r="H792" s="12" t="n">
        <x:v>1300000000</x:v>
      </x:c>
      <x:c r="I792" s="12" t="n">
        <x:v>11607142.857142856</x:v>
      </x:c>
      <x:c r="J792" s="2" t="str">
        <x:v>total</x:v>
      </x:c>
      <x:c r="K792" s="2" t="str">
        <x:v>top_level_area</x:v>
      </x:c>
      <x:c r="L792" s="2" t="str">
        <x:v>property_type_inferred_from_title;transaction_assumed_sale_from_dataset_context;unknown_property_type</x:v>
      </x:c>
      <x:c r="M792" s="10" t="n">
        <x:v>0</x:v>
      </x:c>
      <x:c r="N792" s="10" t="n">
        <x:v>0</x:v>
      </x:c>
      <x:c r="O792" s="2" t="str">
        <x:v>other_unknown</x:v>
      </x:c>
      <x:c r="P792" s="10" t="n">
        <x:v>2</x:v>
      </x:c>
      <x:c r="Q792" s="13" t="n">
        <x:f>IF(H792="","",H792/1000000000)</x:f>
        <x:v>1.3</x:v>
      </x:c>
      <x:c r="R792" s="13" t="n">
        <x:f>IF(I792="","",I792/1000000)</x:f>
        <x:v>11.607142857142856</x:v>
      </x:c>
    </x:row>
    <x:row r="793" ht="21" customHeight="1">
      <x:c r="A793" s="10" t="n">
        <x:v>864</x:v>
      </x:c>
      <x:c r="B793" s="2" t="str">
        <x:v>a787a086b536f46eaa53</x:v>
      </x:c>
      <x:c r="C793" s="2" t="str">
        <x:v>Hà Nội</x:v>
      </x:c>
      <x:c r="D793" s="2" t="str">
        <x:v>Huyện Gia Lâm</x:v>
      </x:c>
      <x:c r="E793" s="2" t="str">
        <x:v>other_unknown</x:v>
      </x:c>
      <x:c r="F793" s="2" t="str">
        <x:v>sale_assumed</x:v>
      </x:c>
      <x:c r="G793" s="11" t="n">
        <x:v>150</x:v>
      </x:c>
      <x:c r="H793" s="12" t="n">
        <x:v>12000000000</x:v>
      </x:c>
      <x:c r="I793" s="12" t="n">
        <x:v>80000000</x:v>
      </x:c>
      <x:c r="J793" s="2" t="str">
        <x:v>total</x:v>
      </x:c>
      <x:c r="K793" s="2" t="str">
        <x:v>top_level_area</x:v>
      </x:c>
      <x:c r="L793" s="2" t="str">
        <x:v>property_type_inferred_from_title;transaction_assumed_sale_from_dataset_context;unknown_property_type</x:v>
      </x:c>
      <x:c r="M793" s="10" t="n">
        <x:v>0</x:v>
      </x:c>
      <x:c r="N793" s="10" t="n">
        <x:v>0</x:v>
      </x:c>
      <x:c r="O793" s="2" t="str">
        <x:v>Hà Nội|other_unknown</x:v>
      </x:c>
      <x:c r="P793" s="10" t="n">
        <x:v>2</x:v>
      </x:c>
      <x:c r="Q793" s="13" t="n">
        <x:f>IF(H793="","",H793/1000000000)</x:f>
        <x:v>12</x:v>
      </x:c>
      <x:c r="R793" s="13" t="n">
        <x:f>IF(I793="","",I793/1000000)</x:f>
        <x:v>80</x:v>
      </x:c>
    </x:row>
    <x:row r="794" ht="21" customHeight="1">
      <x:c r="A794" s="10" t="n">
        <x:v>865</x:v>
      </x:c>
      <x:c r="B794" s="2" t="str">
        <x:v>d59199bd228de2b29804</x:v>
      </x:c>
      <x:c r="C794" s="2" t="str">
        <x:v>Tp Hồ Chí Minh</x:v>
      </x:c>
      <x:c r="D794" s="2" t="str">
        <x:v>Quận 6</x:v>
      </x:c>
      <x:c r="E794" s="2" t="str">
        <x:v>house</x:v>
      </x:c>
      <x:c r="F794" s="2" t="str">
        <x:v>sale_assumed</x:v>
      </x:c>
      <x:c r="G794" s="11" t="n">
        <x:v>56</x:v>
      </x:c>
      <x:c r="H794" s="12" t="n">
        <x:v>9400000000</x:v>
      </x:c>
      <x:c r="I794" s="12" t="n">
        <x:v>167857142.85714287</x:v>
      </x:c>
      <x:c r="J794" s="2" t="str">
        <x:v>total</x:v>
      </x:c>
      <x:c r="K794" s="2" t="str">
        <x:v>top_level_area</x:v>
      </x:c>
      <x:c r="L794" s="2" t="str">
        <x:v>property_type_inferred_from_title;transaction_assumed_sale_from_dataset_context</x:v>
      </x:c>
      <x:c r="M794" s="10" t="n">
        <x:v>1</x:v>
      </x:c>
      <x:c r="N794" s="10" t="n">
        <x:v>0</x:v>
      </x:c>
      <x:c r="O794" s="2" t="str">
        <x:v>Tp Hồ Chí Minh|house</x:v>
      </x:c>
      <x:c r="P794" s="10" t="n">
        <x:v>2</x:v>
      </x:c>
      <x:c r="Q794" s="13" t="n">
        <x:f>IF(H794="","",H794/1000000000)</x:f>
        <x:v>9.4</x:v>
      </x:c>
      <x:c r="R794" s="13" t="n">
        <x:f>IF(I794="","",I794/1000000)</x:f>
        <x:v>167.85714285714286</x:v>
      </x:c>
    </x:row>
    <x:row r="795" ht="21" customHeight="1">
      <x:c r="A795" s="10" t="n">
        <x:v>866</x:v>
      </x:c>
      <x:c r="B795" s="2" t="str">
        <x:v>c239feba7e84ffa2e170</x:v>
      </x:c>
      <x:c r="C795" s="2" t="str">
        <x:v>Tp Hồ Chí Minh</x:v>
      </x:c>
      <x:c r="D795" s="2" t="str">
        <x:v>Quận 12</x:v>
      </x:c>
      <x:c r="E795" s="2" t="str">
        <x:v>house</x:v>
      </x:c>
      <x:c r="F795" s="2" t="str">
        <x:v>sale_assumed</x:v>
      </x:c>
      <x:c r="G795" s="11" t="n">
        <x:v>53</x:v>
      </x:c>
      <x:c r="H795" s="12" t="n">
        <x:v>2650000000</x:v>
      </x:c>
      <x:c r="I795" s="12" t="n">
        <x:v>50000000</x:v>
      </x:c>
      <x:c r="J795" s="2" t="str">
        <x:v>total</x:v>
      </x:c>
      <x:c r="K795" s="2" t="str">
        <x:v>top_level_area</x:v>
      </x:c>
      <x:c r="L795" s="2" t="str">
        <x:v>property_type_inferred_from_title;transaction_assumed_sale_from_dataset_context</x:v>
      </x:c>
      <x:c r="M795" s="10" t="n">
        <x:v>0</x:v>
      </x:c>
      <x:c r="N795" s="10" t="n">
        <x:v>0</x:v>
      </x:c>
      <x:c r="O795" s="2" t="str">
        <x:v>Tp Hồ Chí Minh|house</x:v>
      </x:c>
      <x:c r="P795" s="10" t="n">
        <x:v>2</x:v>
      </x:c>
      <x:c r="Q795" s="13" t="n">
        <x:f>IF(H795="","",H795/1000000000)</x:f>
        <x:v>2.65</x:v>
      </x:c>
      <x:c r="R795" s="13" t="n">
        <x:f>IF(I795="","",I795/1000000)</x:f>
        <x:v>50</x:v>
      </x:c>
    </x:row>
    <x:row r="796" ht="21" customHeight="1">
      <x:c r="A796" s="10" t="n">
        <x:v>867</x:v>
      </x:c>
      <x:c r="B796" s="2" t="str">
        <x:v>cac05400120dcd239120</x:v>
      </x:c>
      <x:c r="C796" s="2" t="str">
        <x:v>Tp Hồ Chí Minh</x:v>
      </x:c>
      <x:c r="D796" s="2" t="str">
        <x:v>Quận Bình Tân</x:v>
      </x:c>
      <x:c r="E796" s="2" t="str">
        <x:v>house</x:v>
      </x:c>
      <x:c r="F796" s="2" t="str">
        <x:v>sale</x:v>
      </x:c>
      <x:c r="G796" s="11" t="n">
        <x:v>56</x:v>
      </x:c>
      <x:c r="H796" s="12" t="n">
        <x:v>3290000000</x:v>
      </x:c>
      <x:c r="I796" s="12" t="n">
        <x:v>58750000</x:v>
      </x:c>
      <x:c r="J796" s="2" t="str">
        <x:v>total</x:v>
      </x:c>
      <x:c r="K796" s="2" t="str">
        <x:v>top_level_price_embedded_area</x:v>
      </x:c>
      <x:c r="L796" s="2" t="str">
        <x:v>area_recovered_from_price_text;property_type_inferred_from_title</x:v>
      </x:c>
      <x:c r="M796" s="10" t="n">
        <x:v>0</x:v>
      </x:c>
      <x:c r="N796" s="10" t="n">
        <x:v>0</x:v>
      </x:c>
      <x:c r="O796" s="2" t="str">
        <x:v>Tp Hồ Chí Minh|house</x:v>
      </x:c>
      <x:c r="P796" s="10" t="n">
        <x:v>2</x:v>
      </x:c>
      <x:c r="Q796" s="13" t="n">
        <x:f>IF(H796="","",H796/1000000000)</x:f>
        <x:v>3.29</x:v>
      </x:c>
      <x:c r="R796" s="13" t="n">
        <x:f>IF(I796="","",I796/1000000)</x:f>
        <x:v>58.75</x:v>
      </x:c>
    </x:row>
    <x:row r="797" ht="21" customHeight="1">
      <x:c r="A797" s="10" t="n">
        <x:v>868</x:v>
      </x:c>
      <x:c r="B797" s="2" t="str">
        <x:v>386f534c8904dfd8f32e</x:v>
      </x:c>
      <x:c r="C797" s="2" t="str">
        <x:v>Bình Dương</x:v>
      </x:c>
      <x:c r="D797" s="2" t="str">
        <x:v>Thị xã Thuận An</x:v>
      </x:c>
      <x:c r="E797" s="2" t="str">
        <x:v>land</x:v>
      </x:c>
      <x:c r="F797" s="2" t="str">
        <x:v>sale</x:v>
      </x:c>
      <x:c r="G797" s="11" t="n">
        <x:v>150</x:v>
      </x:c>
      <x:c r="H797" s="12" t="n">
        <x:v>2500000000</x:v>
      </x:c>
      <x:c r="I797" s="12" t="n">
        <x:v>16666666.666666666</x:v>
      </x:c>
      <x:c r="J797" s="2" t="str">
        <x:v>total</x:v>
      </x:c>
      <x:c r="K797" s="2" t="str">
        <x:v>top_level_area</x:v>
      </x:c>
      <x:c r="L797" s="2" t="str">
        <x:v>property_type_inferred_from_title</x:v>
      </x:c>
      <x:c r="M797" s="10" t="n">
        <x:v>0</x:v>
      </x:c>
      <x:c r="N797" s="10" t="n">
        <x:v>0</x:v>
      </x:c>
      <x:c r="O797" s="2" t="str">
        <x:v>Bình Dương|land</x:v>
      </x:c>
      <x:c r="P797" s="10" t="n">
        <x:v>2</x:v>
      </x:c>
      <x:c r="Q797" s="13" t="n">
        <x:f>IF(H797="","",H797/1000000000)</x:f>
        <x:v>2.5</x:v>
      </x:c>
      <x:c r="R797" s="13" t="n">
        <x:f>IF(I797="","",I797/1000000)</x:f>
        <x:v>16.666666666666664</x:v>
      </x:c>
    </x:row>
    <x:row r="798" ht="21" customHeight="1">
      <x:c r="A798" s="10" t="n">
        <x:v>869</x:v>
      </x:c>
      <x:c r="B798" s="2" t="str">
        <x:v>a33eb06c84b39cbb161b</x:v>
      </x:c>
      <x:c r="C798" s="2" t="str">
        <x:v>Đồng Nai</x:v>
      </x:c>
      <x:c r="D798" s="2" t="str">
        <x:v>Huyện Trảng Bom</x:v>
      </x:c>
      <x:c r="E798" s="2" t="str">
        <x:v>land</x:v>
      </x:c>
      <x:c r="F798" s="2" t="str">
        <x:v>sale_assumed</x:v>
      </x:c>
      <x:c r="G798" s="11" t="n">
        <x:v>100</x:v>
      </x:c>
      <x:c r="H798" s="12" t="n">
        <x:v>225000000</x:v>
      </x:c>
      <x:c r="I798" s="12" t="n">
        <x:v>2250000</x:v>
      </x:c>
      <x:c r="J798" s="2" t="str">
        <x:v>total</x:v>
      </x:c>
      <x:c r="K798" s="2" t="str">
        <x:v>top_level_area</x:v>
      </x:c>
      <x:c r="L798" s="2" t="str">
        <x:v>property_type_inferred_from_title;transaction_assumed_sale_from_dataset_context</x:v>
      </x:c>
      <x:c r="M798" s="10" t="n">
        <x:v>0</x:v>
      </x:c>
      <x:c r="N798" s="10" t="n">
        <x:v>0</x:v>
      </x:c>
      <x:c r="O798" s="2" t="str">
        <x:v>Đồng Nai|land</x:v>
      </x:c>
      <x:c r="P798" s="10" t="n">
        <x:v>1</x:v>
      </x:c>
      <x:c r="Q798" s="13" t="n">
        <x:f>IF(H798="","",H798/1000000000)</x:f>
        <x:v>0.225</x:v>
      </x:c>
      <x:c r="R798" s="13" t="n">
        <x:f>IF(I798="","",I798/1000000)</x:f>
        <x:v>2.25</x:v>
      </x:c>
    </x:row>
    <x:row r="799" ht="21" customHeight="1">
      <x:c r="A799" s="10" t="n">
        <x:v>870</x:v>
      </x:c>
      <x:c r="B799" s="2" t="str">
        <x:v>cf2faf47d2cc3bc8e25c</x:v>
      </x:c>
      <x:c r="C799" s="2" t="str">
        <x:v>Lâm Đồng</x:v>
      </x:c>
      <x:c r="D799" s="2" t="str">
        <x:v>Thành phố Bảo Lộc</x:v>
      </x:c>
      <x:c r="E799" s="2" t="str">
        <x:v>land</x:v>
      </x:c>
      <x:c r="F799" s="2" t="str">
        <x:v>sale_assumed</x:v>
      </x:c>
      <x:c r="G799" s="11" t="n">
        <x:v>125</x:v>
      </x:c>
      <x:c r="H799" s="12" t="n">
        <x:v>439000000</x:v>
      </x:c>
      <x:c r="I799" s="12" t="n">
        <x:v>3512000</x:v>
      </x:c>
      <x:c r="J799" s="2" t="str">
        <x:v>total</x:v>
      </x:c>
      <x:c r="K799" s="2" t="str">
        <x:v>top_level_area</x:v>
      </x:c>
      <x:c r="L799" s="2" t="str">
        <x:v>property_type_inferred_from_title;transaction_assumed_sale_from_dataset_context</x:v>
      </x:c>
      <x:c r="M799" s="10" t="n">
        <x:v>0</x:v>
      </x:c>
      <x:c r="N799" s="10" t="n">
        <x:v>0</x:v>
      </x:c>
      <x:c r="O799" s="2" t="str">
        <x:v>Lâm Đồng|land</x:v>
      </x:c>
      <x:c r="P799" s="10" t="n">
        <x:v>1</x:v>
      </x:c>
      <x:c r="Q799" s="13" t="n">
        <x:f>IF(H799="","",H799/1000000000)</x:f>
        <x:v>0.439</x:v>
      </x:c>
      <x:c r="R799" s="13" t="n">
        <x:f>IF(I799="","",I799/1000000)</x:f>
        <x:v>3.512</x:v>
      </x:c>
    </x:row>
    <x:row r="800" ht="21" customHeight="1">
      <x:c r="A800" s="10" t="n">
        <x:v>871</x:v>
      </x:c>
      <x:c r="B800" s="2" t="str">
        <x:v>fcf624bebfc7aa4d8559</x:v>
      </x:c>
      <x:c r="C800" s="2" t="str">
        <x:v>Tp Hồ Chí Minh</x:v>
      </x:c>
      <x:c r="D800" s="2" t="str">
        <x:v>Huyện Củ Chi</x:v>
      </x:c>
      <x:c r="E800" s="2" t="str">
        <x:v>house</x:v>
      </x:c>
      <x:c r="F800" s="2" t="str">
        <x:v>sale</x:v>
      </x:c>
      <x:c r="G800" s="11" t="n">
        <x:v>91</x:v>
      </x:c>
      <x:c r="H800" s="12" t="n">
        <x:v>2300000000</x:v>
      </x:c>
      <x:c r="I800" s="12" t="n">
        <x:v>25274725.274725273</x:v>
      </x:c>
      <x:c r="J800" s="2" t="str">
        <x:v>total</x:v>
      </x:c>
      <x:c r="K800" s="2" t="str">
        <x:v>top_level_price_embedded_area</x:v>
      </x:c>
      <x:c r="L800" s="2" t="str">
        <x:v>area_recovered_from_price_text;property_type_inferred_from_title</x:v>
      </x:c>
      <x:c r="M800" s="10" t="n">
        <x:v>0</x:v>
      </x:c>
      <x:c r="N800" s="10" t="n">
        <x:v>0</x:v>
      </x:c>
      <x:c r="O800" s="2" t="str">
        <x:v>Tp Hồ Chí Minh|house</x:v>
      </x:c>
      <x:c r="P800" s="10" t="n">
        <x:v>2</x:v>
      </x:c>
      <x:c r="Q800" s="13" t="n">
        <x:f>IF(H800="","",H800/1000000000)</x:f>
        <x:v>2.3</x:v>
      </x:c>
      <x:c r="R800" s="13" t="n">
        <x:f>IF(I800="","",I800/1000000)</x:f>
        <x:v>25.274725274725274</x:v>
      </x:c>
    </x:row>
    <x:row r="801" ht="21" customHeight="1">
      <x:c r="A801" s="10" t="n">
        <x:v>872</x:v>
      </x:c>
      <x:c r="B801" s="2" t="str">
        <x:v>22738ae29e698a8e73e2</x:v>
      </x:c>
      <x:c r="C801" s="2" t="str">
        <x:v>Tp Hồ Chí Minh</x:v>
      </x:c>
      <x:c r="D801" s="2" t="str">
        <x:v>Quận Gò Vấp</x:v>
      </x:c>
      <x:c r="E801" s="2" t="str">
        <x:v>house</x:v>
      </x:c>
      <x:c r="F801" s="2" t="str">
        <x:v>sale_assumed</x:v>
      </x:c>
      <x:c r="G801" s="11" t="n">
        <x:v>48</x:v>
      </x:c>
      <x:c r="H801" s="12" t="n">
        <x:v>630000000</x:v>
      </x:c>
      <x:c r="I801" s="12" t="n">
        <x:v>13125000</x:v>
      </x:c>
      <x:c r="J801" s="2" t="str">
        <x:v>total</x:v>
      </x:c>
      <x:c r="K801" s="2" t="str">
        <x:v>top_level_area</x:v>
      </x:c>
      <x:c r="L801" s="2" t="str">
        <x:v>property_type_inferred_from_title;transaction_assumed_sale_from_dataset_context</x:v>
      </x:c>
      <x:c r="M801" s="10" t="n">
        <x:v>0</x:v>
      </x:c>
      <x:c r="N801" s="10" t="n">
        <x:v>0</x:v>
      </x:c>
      <x:c r="O801" s="2" t="str">
        <x:v>Tp Hồ Chí Minh|house</x:v>
      </x:c>
      <x:c r="P801" s="10" t="n">
        <x:v>2</x:v>
      </x:c>
      <x:c r="Q801" s="13" t="n">
        <x:f>IF(H801="","",H801/1000000000)</x:f>
        <x:v>0.63</x:v>
      </x:c>
      <x:c r="R801" s="13" t="n">
        <x:f>IF(I801="","",I801/1000000)</x:f>
        <x:v>13.125</x:v>
      </x:c>
    </x:row>
    <x:row r="802" ht="21" customHeight="1">
      <x:c r="A802" s="10" t="n">
        <x:v>873</x:v>
      </x:c>
      <x:c r="B802" s="2" t="str">
        <x:v>99cacf1d7d964325c5d3</x:v>
      </x:c>
      <x:c r="C802" s="2" t="str">
        <x:v>Tp Hồ Chí Minh</x:v>
      </x:c>
      <x:c r="D802" s="2" t="str">
        <x:v>Huyện Củ Chi</x:v>
      </x:c>
      <x:c r="E802" s="2" t="str">
        <x:v>land</x:v>
      </x:c>
      <x:c r="F802" s="2" t="str">
        <x:v>sale</x:v>
      </x:c>
      <x:c r="G802" s="11" t="n">
        <x:v>81</x:v>
      </x:c>
      <x:c r="H802" s="12" t="n">
        <x:v>2089999999.9999998</x:v>
      </x:c>
      <x:c r="I802" s="12" t="n">
        <x:v>25802469.135802466</x:v>
      </x:c>
      <x:c r="J802" s="2" t="str">
        <x:v>total</x:v>
      </x:c>
      <x:c r="K802" s="2" t="str">
        <x:v>top_level_area</x:v>
      </x:c>
      <x:c r="L802" s="2" t="str">
        <x:v>property_type_inferred_from_title</x:v>
      </x:c>
      <x:c r="M802" s="10" t="n">
        <x:v>0</x:v>
      </x:c>
      <x:c r="N802" s="10" t="n">
        <x:v>0</x:v>
      </x:c>
      <x:c r="O802" s="2" t="str">
        <x:v>Tp Hồ Chí Minh|land</x:v>
      </x:c>
      <x:c r="P802" s="10" t="n">
        <x:v>2</x:v>
      </x:c>
      <x:c r="Q802" s="13" t="n">
        <x:f>IF(H802="","",H802/1000000000)</x:f>
        <x:v>2.09</x:v>
      </x:c>
      <x:c r="R802" s="13" t="n">
        <x:f>IF(I802="","",I802/1000000)</x:f>
        <x:v>25.802469135802465</x:v>
      </x:c>
    </x:row>
    <x:row r="803" ht="21" customHeight="1">
      <x:c r="A803" s="10" t="n">
        <x:v>874</x:v>
      </x:c>
      <x:c r="B803" s="2" t="str">
        <x:v>c0f4e056b6b9ff4bffb9</x:v>
      </x:c>
      <x:c r="C803" s="2" t="str">
        <x:v>Đồng Nai</x:v>
      </x:c>
      <x:c r="D803" s="2" t="str">
        <x:v>Thành phố Biên Hòa</x:v>
      </x:c>
      <x:c r="E803" s="2" t="str">
        <x:v>land</x:v>
      </x:c>
      <x:c r="F803" s="2" t="str">
        <x:v>sale</x:v>
      </x:c>
      <x:c r="G803" s="11" t="n">
        <x:v>86.4</x:v>
      </x:c>
      <x:c r="H803" s="12" t="n">
        <x:v>3800000000</x:v>
      </x:c>
      <x:c r="I803" s="12" t="n">
        <x:v>43981481.48148148</x:v>
      </x:c>
      <x:c r="J803" s="2" t="str">
        <x:v>total</x:v>
      </x:c>
      <x:c r="K803" s="2" t="str">
        <x:v>top_level_area</x:v>
      </x:c>
      <x:c r="L803" s="2" t="str">
        <x:v>property_type_inferred_from_title</x:v>
      </x:c>
      <x:c r="M803" s="10" t="n">
        <x:v>0</x:v>
      </x:c>
      <x:c r="N803" s="10" t="n">
        <x:v>1</x:v>
      </x:c>
      <x:c r="O803" s="2" t="str">
        <x:v>Đồng Nai|land</x:v>
      </x:c>
      <x:c r="P803" s="10" t="n">
        <x:v>-1</x:v>
      </x:c>
      <x:c r="Q803" s="13" t="n">
        <x:f>IF(H803="","",H803/1000000000)</x:f>
        <x:v>3.8</x:v>
      </x:c>
      <x:c r="R803" s="13" t="n">
        <x:f>IF(I803="","",I803/1000000)</x:f>
        <x:v>43.98148148148148</x:v>
      </x:c>
    </x:row>
    <x:row r="804" ht="21" customHeight="1">
      <x:c r="A804" s="10" t="n">
        <x:v>876</x:v>
      </x:c>
      <x:c r="B804" s="2" t="str">
        <x:v>e7c2412139ca982d8212</x:v>
      </x:c>
      <x:c r="C804" s="2" t="str">
        <x:v>Tp Hồ Chí Minh</x:v>
      </x:c>
      <x:c r="D804" s="2" t="str">
        <x:v>Quận Tân Phú</x:v>
      </x:c>
      <x:c r="E804" s="2" t="str">
        <x:v>other_unknown</x:v>
      </x:c>
      <x:c r="F804" s="2" t="str">
        <x:v>sale_assumed</x:v>
      </x:c>
      <x:c r="G804" s="11" t="n">
        <x:v>96</x:v>
      </x:c>
      <x:c r="H804" s="12" t="n">
        <x:v>4730000000</x:v>
      </x:c>
      <x:c r="I804" s="12" t="n">
        <x:v>49270833.333333336</x:v>
      </x:c>
      <x:c r="J804" s="2" t="str">
        <x:v>total</x:v>
      </x:c>
      <x:c r="K804" s="2" t="str">
        <x:v>top_level_area</x:v>
      </x:c>
      <x:c r="L804" s="2" t="str">
        <x:v>property_type_inferred_from_title;transaction_assumed_sale_from_dataset_context;unknown_property_type</x:v>
      </x:c>
      <x:c r="M804" s="10" t="n">
        <x:v>0</x:v>
      </x:c>
      <x:c r="N804" s="10" t="n">
        <x:v>0</x:v>
      </x:c>
      <x:c r="O804" s="2" t="str">
        <x:v>Tp Hồ Chí Minh|other_unknown</x:v>
      </x:c>
      <x:c r="P804" s="10" t="n">
        <x:v>2</x:v>
      </x:c>
      <x:c r="Q804" s="13" t="n">
        <x:f>IF(H804="","",H804/1000000000)</x:f>
        <x:v>4.73</x:v>
      </x:c>
      <x:c r="R804" s="13" t="n">
        <x:f>IF(I804="","",I804/1000000)</x:f>
        <x:v>49.270833333333336</x:v>
      </x:c>
    </x:row>
    <x:row r="805" ht="21" customHeight="1">
      <x:c r="A805" s="10" t="n">
        <x:v>877</x:v>
      </x:c>
      <x:c r="B805" s="2" t="str">
        <x:v>d912f870375cdea86354</x:v>
      </x:c>
      <x:c r="C805" s="2" t="str">
        <x:v>Tp Hồ Chí Minh</x:v>
      </x:c>
      <x:c r="D805" s="2" t="str">
        <x:v>Huyện Bình Chánh</x:v>
      </x:c>
      <x:c r="E805" s="2" t="str">
        <x:v>other_unknown</x:v>
      </x:c>
      <x:c r="F805" s="2" t="str">
        <x:v>sale_assumed</x:v>
      </x:c>
      <x:c r="G805" s="11" t="n">
        <x:v>163</x:v>
      </x:c>
      <x:c r="H805" s="12" t="n">
        <x:v>7500000000</x:v>
      </x:c>
      <x:c r="I805" s="12" t="n">
        <x:v>46012269.93865031</x:v>
      </x:c>
      <x:c r="J805" s="2" t="str">
        <x:v>total</x:v>
      </x:c>
      <x:c r="K805" s="2" t="str">
        <x:v>top_level_area</x:v>
      </x:c>
      <x:c r="L805" s="2" t="str">
        <x:v>property_type_inferred_from_title;transaction_assumed_sale_from_dataset_context;unknown_property_type</x:v>
      </x:c>
      <x:c r="M805" s="10" t="n">
        <x:v>0</x:v>
      </x:c>
      <x:c r="N805" s="10" t="n">
        <x:v>0</x:v>
      </x:c>
      <x:c r="O805" s="2" t="str">
        <x:v>Tp Hồ Chí Minh|other_unknown</x:v>
      </x:c>
      <x:c r="P805" s="10" t="n">
        <x:v>2</x:v>
      </x:c>
      <x:c r="Q805" s="13" t="n">
        <x:f>IF(H805="","",H805/1000000000)</x:f>
        <x:v>7.5</x:v>
      </x:c>
      <x:c r="R805" s="13" t="n">
        <x:f>IF(I805="","",I805/1000000)</x:f>
        <x:v>46.01226993865031</x:v>
      </x:c>
    </x:row>
    <x:row r="806" ht="21" customHeight="1">
      <x:c r="A806" s="10" t="n">
        <x:v>878</x:v>
      </x:c>
      <x:c r="B806" s="2" t="str">
        <x:v>5ccef2021e6f538ad7af</x:v>
      </x:c>
      <x:c r="C806" s="2" t="str">
        <x:v>Tp Hồ Chí Minh</x:v>
      </x:c>
      <x:c r="D806" s="2" t="str">
        <x:v>Quận Tân Bình</x:v>
      </x:c>
      <x:c r="E806" s="2" t="str">
        <x:v>house</x:v>
      </x:c>
      <x:c r="F806" s="2" t="str">
        <x:v>sale_assumed</x:v>
      </x:c>
      <x:c r="G806" s="11" t="n">
        <x:v>72</x:v>
      </x:c>
      <x:c r="H806" s="12" t="n">
        <x:v>6500000000</x:v>
      </x:c>
      <x:c r="I806" s="12" t="n">
        <x:v>90277777.77777778</x:v>
      </x:c>
      <x:c r="J806" s="2" t="str">
        <x:v>total</x:v>
      </x:c>
      <x:c r="K806" s="2" t="str">
        <x:v>top_level_area</x:v>
      </x:c>
      <x:c r="L806" s="2" t="str">
        <x:v>property_type_inferred_from_title;transaction_assumed_sale_from_dataset_context</x:v>
      </x:c>
      <x:c r="M806" s="10" t="n">
        <x:v>0</x:v>
      </x:c>
      <x:c r="N806" s="10" t="n">
        <x:v>0</x:v>
      </x:c>
      <x:c r="O806" s="2" t="str">
        <x:v>Tp Hồ Chí Minh|house</x:v>
      </x:c>
      <x:c r="P806" s="10" t="n">
        <x:v>2</x:v>
      </x:c>
      <x:c r="Q806" s="13" t="n">
        <x:f>IF(H806="","",H806/1000000000)</x:f>
        <x:v>6.5</x:v>
      </x:c>
      <x:c r="R806" s="13" t="n">
        <x:f>IF(I806="","",I806/1000000)</x:f>
        <x:v>90.27777777777777</x:v>
      </x:c>
    </x:row>
    <x:row r="807" ht="21" customHeight="1">
      <x:c r="A807" s="10" t="n">
        <x:v>879</x:v>
      </x:c>
      <x:c r="B807" s="2" t="str">
        <x:v>ce8f7a705517c1016494</x:v>
      </x:c>
      <x:c r="C807" s="2" t="str">
        <x:v>Đà Nẵng</x:v>
      </x:c>
      <x:c r="D807" s="2" t="str">
        <x:v>Quận Cẩm Lệ</x:v>
      </x:c>
      <x:c r="E807" s="2" t="str">
        <x:v>land</x:v>
      </x:c>
      <x:c r="F807" s="2" t="str">
        <x:v>sale</x:v>
      </x:c>
      <x:c r="G807" s="11" t="n">
        <x:v>100</x:v>
      </x:c>
      <x:c r="H807" s="12" t="n">
        <x:v>2100000000</x:v>
      </x:c>
      <x:c r="I807" s="12" t="n">
        <x:v>21000000</x:v>
      </x:c>
      <x:c r="J807" s="2" t="str">
        <x:v>total</x:v>
      </x:c>
      <x:c r="K807" s="2" t="str">
        <x:v>top_level_area</x:v>
      </x:c>
      <x:c r="L807" s="2" t="str">
        <x:v>property_type_inferred_from_title</x:v>
      </x:c>
      <x:c r="M807" s="10" t="n">
        <x:v>0</x:v>
      </x:c>
      <x:c r="N807" s="10" t="n">
        <x:v>0</x:v>
      </x:c>
      <x:c r="O807" s="2" t="str">
        <x:v>Đà Nẵng|land</x:v>
      </x:c>
      <x:c r="P807" s="10" t="n">
        <x:v>2</x:v>
      </x:c>
      <x:c r="Q807" s="13" t="n">
        <x:f>IF(H807="","",H807/1000000000)</x:f>
        <x:v>2.1</x:v>
      </x:c>
      <x:c r="R807" s="13" t="n">
        <x:f>IF(I807="","",I807/1000000)</x:f>
        <x:v>21</x:v>
      </x:c>
    </x:row>
    <x:row r="808" ht="21" customHeight="1">
      <x:c r="A808" s="10" t="n">
        <x:v>880</x:v>
      </x:c>
      <x:c r="B808" s="2" t="str">
        <x:v>9c1a6ebe2a64b1d5eef9</x:v>
      </x:c>
      <x:c r="C808" s="2" t="str">
        <x:v>Tp Hồ Chí Minh</x:v>
      </x:c>
      <x:c r="D808" s="2" t="str">
        <x:v>Huyện Củ Chi</x:v>
      </x:c>
      <x:c r="E808" s="2" t="str">
        <x:v>house</x:v>
      </x:c>
      <x:c r="F808" s="2" t="str">
        <x:v>sale_assumed</x:v>
      </x:c>
      <x:c r="G808" s="11" t="n">
        <x:v>100</x:v>
      </x:c>
      <x:c r="H808" s="12" t="n">
        <x:v>2049999999.9999998</x:v>
      </x:c>
      <x:c r="I808" s="12" t="n">
        <x:v>20499999.999999996</x:v>
      </x:c>
      <x:c r="J808" s="2" t="str">
        <x:v>total</x:v>
      </x:c>
      <x:c r="K808" s="2" t="str">
        <x:v>top_level_area</x:v>
      </x:c>
      <x:c r="L808" s="2" t="str">
        <x:v>property_type_inferred_from_title;transaction_assumed_sale_from_dataset_context</x:v>
      </x:c>
      <x:c r="M808" s="10" t="n">
        <x:v>0</x:v>
      </x:c>
      <x:c r="N808" s="10" t="n">
        <x:v>0</x:v>
      </x:c>
      <x:c r="O808" s="2" t="str">
        <x:v>Tp Hồ Chí Minh|house</x:v>
      </x:c>
      <x:c r="P808" s="10" t="n">
        <x:v>2</x:v>
      </x:c>
      <x:c r="Q808" s="13" t="n">
        <x:f>IF(H808="","",H808/1000000000)</x:f>
        <x:v>2.05</x:v>
      </x:c>
      <x:c r="R808" s="13" t="n">
        <x:f>IF(I808="","",I808/1000000)</x:f>
        <x:v>20.499999999999996</x:v>
      </x:c>
    </x:row>
    <x:row r="809" ht="21" customHeight="1">
      <x:c r="A809" s="10" t="n">
        <x:v>881</x:v>
      </x:c>
      <x:c r="B809" s="2" t="str">
        <x:v>a921234e70871a818a39</x:v>
      </x:c>
      <x:c r="C809" s="2" t="str">
        <x:v>Tp Hồ Chí Minh</x:v>
      </x:c>
      <x:c r="D809" s="2" t="str">
        <x:v>Quận Bình Tân</x:v>
      </x:c>
      <x:c r="E809" s="2" t="str">
        <x:v>apartment</x:v>
      </x:c>
      <x:c r="F809" s="2" t="str">
        <x:v>sale_assumed</x:v>
      </x:c>
      <x:c r="G809" s="11" t="n">
        <x:v>50</x:v>
      </x:c>
      <x:c r="H809" s="12" t="n">
        <x:v>1950000000</x:v>
      </x:c>
      <x:c r="I809" s="12" t="n">
        <x:v>39000000</x:v>
      </x:c>
      <x:c r="J809" s="2" t="str">
        <x:v>total</x:v>
      </x:c>
      <x:c r="K809" s="2" t="str">
        <x:v>top_level_area</x:v>
      </x:c>
      <x:c r="L809" s="2" t="str">
        <x:v>property_type_inferred_from_title;transaction_assumed_sale_from_dataset_context</x:v>
      </x:c>
      <x:c r="M809" s="10" t="n">
        <x:v>0</x:v>
      </x:c>
      <x:c r="N809" s="10" t="n">
        <x:v>0</x:v>
      </x:c>
      <x:c r="O809" s="2" t="str">
        <x:v>Tp Hồ Chí Minh|apartment</x:v>
      </x:c>
      <x:c r="P809" s="10" t="n">
        <x:v>2</x:v>
      </x:c>
      <x:c r="Q809" s="13" t="n">
        <x:f>IF(H809="","",H809/1000000000)</x:f>
        <x:v>1.95</x:v>
      </x:c>
      <x:c r="R809" s="13" t="n">
        <x:f>IF(I809="","",I809/1000000)</x:f>
        <x:v>39</x:v>
      </x:c>
    </x:row>
    <x:row r="810" ht="21" customHeight="1">
      <x:c r="A810" s="10" t="n">
        <x:v>882</x:v>
      </x:c>
      <x:c r="B810" s="2" t="str">
        <x:v>035d592f6fcb2e515256</x:v>
      </x:c>
      <x:c r="C810" s="2" t="str">
        <x:v>Hà Nội</x:v>
      </x:c>
      <x:c r="D810" s="2" t="str">
        <x:v>Huyện Thanh Trì</x:v>
      </x:c>
      <x:c r="E810" s="2" t="str">
        <x:v>house</x:v>
      </x:c>
      <x:c r="F810" s="2" t="str">
        <x:v>sale_assumed</x:v>
      </x:c>
      <x:c r="G810" s="11" t="n">
        <x:v>50</x:v>
      </x:c>
      <x:c r="H810" s="12" t="n">
        <x:v>2150000000</x:v>
      </x:c>
      <x:c r="I810" s="12" t="n">
        <x:v>43000000</x:v>
      </x:c>
      <x:c r="J810" s="2" t="str">
        <x:v>total</x:v>
      </x:c>
      <x:c r="K810" s="2" t="str">
        <x:v>top_level_area</x:v>
      </x:c>
      <x:c r="L810" s="2" t="str">
        <x:v>property_type_inferred_from_title;transaction_assumed_sale_from_dataset_context</x:v>
      </x:c>
      <x:c r="M810" s="10" t="n">
        <x:v>0</x:v>
      </x:c>
      <x:c r="N810" s="10" t="n">
        <x:v>0</x:v>
      </x:c>
      <x:c r="O810" s="2" t="str">
        <x:v>Hà Nội|house</x:v>
      </x:c>
      <x:c r="P810" s="10" t="n">
        <x:v>2</x:v>
      </x:c>
      <x:c r="Q810" s="13" t="n">
        <x:f>IF(H810="","",H810/1000000000)</x:f>
        <x:v>2.15</x:v>
      </x:c>
      <x:c r="R810" s="13" t="n">
        <x:f>IF(I810="","",I810/1000000)</x:f>
        <x:v>43</x:v>
      </x:c>
    </x:row>
    <x:row r="811" ht="21" customHeight="1">
      <x:c r="A811" s="10" t="n">
        <x:v>885</x:v>
      </x:c>
      <x:c r="B811" s="2" t="str">
        <x:v>9cc808dd03f94b45184f</x:v>
      </x:c>
      <x:c r="C811" s="2" t="str">
        <x:v>Hà Nội</x:v>
      </x:c>
      <x:c r="D811" s="2" t="str">
        <x:v>Quận Hà Đông</x:v>
      </x:c>
      <x:c r="E811" s="2" t="str">
        <x:v>house</x:v>
      </x:c>
      <x:c r="F811" s="2" t="str">
        <x:v>sale</x:v>
      </x:c>
      <x:c r="G811" s="11" t="n">
        <x:v>47.7</x:v>
      </x:c>
      <x:c r="H811" s="12" t="n">
        <x:v>2650000000</x:v>
      </x:c>
      <x:c r="I811" s="12" t="n">
        <x:v>55555555.55555555</x:v>
      </x:c>
      <x:c r="J811" s="2" t="str">
        <x:v>total</x:v>
      </x:c>
      <x:c r="K811" s="2" t="str">
        <x:v>top_level_area</x:v>
      </x:c>
      <x:c r="L811" s="2" t="str">
        <x:v>property_type_inferred_from_title</x:v>
      </x:c>
      <x:c r="M811" s="10" t="n">
        <x:v>0</x:v>
      </x:c>
      <x:c r="N811" s="10" t="n">
        <x:v>0</x:v>
      </x:c>
      <x:c r="O811" s="2" t="str">
        <x:v>Hà Nội|house</x:v>
      </x:c>
      <x:c r="P811" s="10" t="n">
        <x:v>2</x:v>
      </x:c>
      <x:c r="Q811" s="13" t="n">
        <x:f>IF(H811="","",H811/1000000000)</x:f>
        <x:v>2.65</x:v>
      </x:c>
      <x:c r="R811" s="13" t="n">
        <x:f>IF(I811="","",I811/1000000)</x:f>
        <x:v>55.55555555555555</x:v>
      </x:c>
    </x:row>
    <x:row r="812" ht="21" customHeight="1">
      <x:c r="A812" s="10" t="n">
        <x:v>886</x:v>
      </x:c>
      <x:c r="B812" s="2" t="str">
        <x:v>13356e880fbd5c4c97f3</x:v>
      </x:c>
      <x:c r="C812" s="2" t="str">
        <x:v>Tp Hồ Chí Minh</x:v>
      </x:c>
      <x:c r="D812" s="2" t="str">
        <x:v>Quận 9</x:v>
      </x:c>
      <x:c r="E812" s="2" t="str">
        <x:v>land</x:v>
      </x:c>
      <x:c r="F812" s="2" t="str">
        <x:v>sale</x:v>
      </x:c>
      <x:c r="G812" s="11" t="n">
        <x:v>78</x:v>
      </x:c>
      <x:c r="H812" s="12" t="n">
        <x:v>4099999999.9999995</x:v>
      </x:c>
      <x:c r="I812" s="12" t="n">
        <x:v>52564102.56410256</x:v>
      </x:c>
      <x:c r="J812" s="2" t="str">
        <x:v>total</x:v>
      </x:c>
      <x:c r="K812" s="2" t="str">
        <x:v>top_level_area</x:v>
      </x:c>
      <x:c r="L812" s="2" t="str">
        <x:v>property_type_inferred_from_title</x:v>
      </x:c>
      <x:c r="M812" s="10" t="n">
        <x:v>0</x:v>
      </x:c>
      <x:c r="N812" s="10" t="n">
        <x:v>0</x:v>
      </x:c>
      <x:c r="O812" s="2" t="str">
        <x:v>Tp Hồ Chí Minh|land</x:v>
      </x:c>
      <x:c r="P812" s="10" t="n">
        <x:v>2</x:v>
      </x:c>
      <x:c r="Q812" s="13" t="n">
        <x:f>IF(H812="","",H812/1000000000)</x:f>
        <x:v>4.1</x:v>
      </x:c>
      <x:c r="R812" s="13" t="n">
        <x:f>IF(I812="","",I812/1000000)</x:f>
        <x:v>52.56410256410256</x:v>
      </x:c>
    </x:row>
    <x:row r="813" ht="21" customHeight="1">
      <x:c r="A813" s="10" t="n">
        <x:v>887</x:v>
      </x:c>
      <x:c r="B813" s="2" t="str">
        <x:v>3a283257b87ccd9cf780</x:v>
      </x:c>
      <x:c r="C813" s="2" t="str">
        <x:v>Tp Hồ Chí Minh</x:v>
      </x:c>
      <x:c r="D813" s="2" t="str">
        <x:v>Quận 12</x:v>
      </x:c>
      <x:c r="E813" s="2" t="str">
        <x:v>house</x:v>
      </x:c>
      <x:c r="F813" s="2" t="str">
        <x:v>sale_assumed</x:v>
      </x:c>
      <x:c r="G813" s="11" t="n">
        <x:v>120</x:v>
      </x:c>
      <x:c r="H813" s="12" t="n">
        <x:v>1200000000</x:v>
      </x:c>
      <x:c r="I813" s="12" t="n">
        <x:v>10000000</x:v>
      </x:c>
      <x:c r="J813" s="2" t="str">
        <x:v>total</x:v>
      </x:c>
      <x:c r="K813" s="2" t="str">
        <x:v>top_level_area</x:v>
      </x:c>
      <x:c r="L813" s="2" t="str">
        <x:v>property_type_inferred_from_title;transaction_assumed_sale_from_dataset_context</x:v>
      </x:c>
      <x:c r="M813" s="10" t="n">
        <x:v>0</x:v>
      </x:c>
      <x:c r="N813" s="10" t="n">
        <x:v>0</x:v>
      </x:c>
      <x:c r="O813" s="2" t="str">
        <x:v>Tp Hồ Chí Minh|house</x:v>
      </x:c>
      <x:c r="P813" s="10" t="n">
        <x:v>2</x:v>
      </x:c>
      <x:c r="Q813" s="13" t="n">
        <x:f>IF(H813="","",H813/1000000000)</x:f>
        <x:v>1.2</x:v>
      </x:c>
      <x:c r="R813" s="13" t="n">
        <x:f>IF(I813="","",I813/1000000)</x:f>
        <x:v>10</x:v>
      </x:c>
    </x:row>
    <x:row r="814" ht="21" customHeight="1">
      <x:c r="A814" s="10" t="n">
        <x:v>888</x:v>
      </x:c>
      <x:c r="B814" s="2" t="str">
        <x:v>489878aaa5199fe59fb7</x:v>
      </x:c>
      <x:c r="C814" s="2" t="str">
        <x:v>Hà Nội</x:v>
      </x:c>
      <x:c r="D814" s="2" t="str">
        <x:v>Quận Nam Từ Liêm</x:v>
      </x:c>
      <x:c r="E814" s="2" t="str">
        <x:v>house</x:v>
      </x:c>
      <x:c r="F814" s="2" t="str">
        <x:v>sale</x:v>
      </x:c>
      <x:c r="G814" s="11" t="n">
        <x:v>31</x:v>
      </x:c>
      <x:c r="H814" s="12" t="n">
        <x:v>3100000000</x:v>
      </x:c>
      <x:c r="I814" s="12" t="n">
        <x:v>100000000</x:v>
      </x:c>
      <x:c r="J814" s="2" t="str">
        <x:v>total</x:v>
      </x:c>
      <x:c r="K814" s="2" t="str">
        <x:v>top_level_area</x:v>
      </x:c>
      <x:c r="L814" s="2" t="str">
        <x:v>property_type_inferred_from_title</x:v>
      </x:c>
      <x:c r="M814" s="10" t="n">
        <x:v>0</x:v>
      </x:c>
      <x:c r="N814" s="10" t="n">
        <x:v>0</x:v>
      </x:c>
      <x:c r="O814" s="2" t="str">
        <x:v>Hà Nội|house</x:v>
      </x:c>
      <x:c r="P814" s="10" t="n">
        <x:v>2</x:v>
      </x:c>
      <x:c r="Q814" s="13" t="n">
        <x:f>IF(H814="","",H814/1000000000)</x:f>
        <x:v>3.1</x:v>
      </x:c>
      <x:c r="R814" s="13" t="n">
        <x:f>IF(I814="","",I814/1000000)</x:f>
        <x:v>100</x:v>
      </x:c>
    </x:row>
    <x:row r="815" ht="21" customHeight="1">
      <x:c r="A815" s="10" t="n">
        <x:v>889</x:v>
      </x:c>
      <x:c r="B815" s="2" t="str">
        <x:v>bce1a328e0bad78b8bae</x:v>
      </x:c>
      <x:c r="C815" s="2" t="str">
        <x:v>Đồng Nai</x:v>
      </x:c>
      <x:c r="D815" s="2" t="str">
        <x:v>Thành phố Biên Hòa</x:v>
      </x:c>
      <x:c r="E815" s="2" t="str">
        <x:v>other_unknown</x:v>
      </x:c>
      <x:c r="F815" s="2" t="str">
        <x:v>sale_assumed</x:v>
      </x:c>
      <x:c r="G815" s="11" t="n">
        <x:v>129</x:v>
      </x:c>
      <x:c r="H815" s="12" t="n">
        <x:v>2700000000</x:v>
      </x:c>
      <x:c r="I815" s="12" t="n">
        <x:v>20930232.558139537</x:v>
      </x:c>
      <x:c r="J815" s="2" t="str">
        <x:v>total</x:v>
      </x:c>
      <x:c r="K815" s="2" t="str">
        <x:v>top_level_area</x:v>
      </x:c>
      <x:c r="L815" s="2" t="str">
        <x:v>property_type_inferred_from_title;transaction_assumed_sale_from_dataset_context;unknown_property_type</x:v>
      </x:c>
      <x:c r="M815" s="10" t="n">
        <x:v>0</x:v>
      </x:c>
      <x:c r="N815" s="10" t="n">
        <x:v>0</x:v>
      </x:c>
      <x:c r="O815" s="2" t="str">
        <x:v>Đồng Nai|other_unknown</x:v>
      </x:c>
      <x:c r="P815" s="10" t="n">
        <x:v>2</x:v>
      </x:c>
      <x:c r="Q815" s="13" t="n">
        <x:f>IF(H815="","",H815/1000000000)</x:f>
        <x:v>2.7</x:v>
      </x:c>
      <x:c r="R815" s="13" t="n">
        <x:f>IF(I815="","",I815/1000000)</x:f>
        <x:v>20.930232558139537</x:v>
      </x:c>
    </x:row>
    <x:row r="816" ht="21" customHeight="1">
      <x:c r="A816" s="10" t="n">
        <x:v>890</x:v>
      </x:c>
      <x:c r="B816" s="2" t="str">
        <x:v>e789e702b450c7cfd05a</x:v>
      </x:c>
      <x:c r="C816" s="2" t="str">
        <x:v>Tp Hồ Chí Minh</x:v>
      </x:c>
      <x:c r="D816" s="2" t="str">
        <x:v>Quận Bình Tân</x:v>
      </x:c>
      <x:c r="E816" s="2" t="str">
        <x:v>other_unknown</x:v>
      </x:c>
      <x:c r="F816" s="2" t="str">
        <x:v>sale</x:v>
      </x:c>
      <x:c r="G816" s="11" t="n">
        <x:v>68</x:v>
      </x:c>
      <x:c r="H816" s="12" t="n">
        <x:v>6600000000</x:v>
      </x:c>
      <x:c r="I816" s="12" t="n">
        <x:v>97058823.52941176</x:v>
      </x:c>
      <x:c r="J816" s="2" t="str">
        <x:v>total</x:v>
      </x:c>
      <x:c r="K816" s="2" t="str">
        <x:v>top_level_area</x:v>
      </x:c>
      <x:c r="L816" s="2" t="str">
        <x:v>property_type_inferred_from_title;unknown_property_type</x:v>
      </x:c>
      <x:c r="M816" s="10" t="n">
        <x:v>0</x:v>
      </x:c>
      <x:c r="N816" s="10" t="n">
        <x:v>0</x:v>
      </x:c>
      <x:c r="O816" s="2" t="str">
        <x:v>Tp Hồ Chí Minh|other_unknown</x:v>
      </x:c>
      <x:c r="P816" s="10" t="n">
        <x:v>2</x:v>
      </x:c>
      <x:c r="Q816" s="13" t="n">
        <x:f>IF(H816="","",H816/1000000000)</x:f>
        <x:v>6.6</x:v>
      </x:c>
      <x:c r="R816" s="13" t="n">
        <x:f>IF(I816="","",I816/1000000)</x:f>
        <x:v>97.05882352941177</x:v>
      </x:c>
    </x:row>
    <x:row r="817" ht="21" customHeight="1">
      <x:c r="A817" s="10" t="n">
        <x:v>891</x:v>
      </x:c>
      <x:c r="B817" s="2" t="str">
        <x:v>5c193a6e49c5a1d736d3</x:v>
      </x:c>
      <x:c r="C817" s="2" t="str">
        <x:v>Long An</x:v>
      </x:c>
      <x:c r="D817" s="2" t="str">
        <x:v>Huyện Đức Hòa</x:v>
      </x:c>
      <x:c r="E817" s="2" t="str">
        <x:v>house</x:v>
      </x:c>
      <x:c r="F817" s="2" t="str">
        <x:v>sale_assumed</x:v>
      </x:c>
      <x:c r="G817" s="11" t="n">
        <x:v>40</x:v>
      </x:c>
      <x:c r="H817" s="12" t="n">
        <x:v>400000000</x:v>
      </x:c>
      <x:c r="I817" s="12" t="n">
        <x:v>10000000</x:v>
      </x:c>
      <x:c r="J817" s="2" t="str">
        <x:v>total</x:v>
      </x:c>
      <x:c r="K817" s="2" t="str">
        <x:v>top_level_area</x:v>
      </x:c>
      <x:c r="L817" s="2" t="str">
        <x:v>property_type_inferred_from_title;transaction_assumed_sale_from_dataset_context</x:v>
      </x:c>
      <x:c r="M817" s="10" t="n">
        <x:v>0</x:v>
      </x:c>
      <x:c r="N817" s="10" t="n">
        <x:v>0</x:v>
      </x:c>
      <x:c r="O817" s="2" t="str">
        <x:v>Long An|house</x:v>
      </x:c>
      <x:c r="P817" s="10" t="n">
        <x:v>2</x:v>
      </x:c>
      <x:c r="Q817" s="13" t="n">
        <x:f>IF(H817="","",H817/1000000000)</x:f>
        <x:v>0.4</x:v>
      </x:c>
      <x:c r="R817" s="13" t="n">
        <x:f>IF(I817="","",I817/1000000)</x:f>
        <x:v>10</x:v>
      </x:c>
    </x:row>
    <x:row r="818" ht="21" customHeight="1">
      <x:c r="A818" s="10" t="n">
        <x:v>892</x:v>
      </x:c>
      <x:c r="B818" s="2" t="str">
        <x:v>df254d02ce883f515ded</x:v>
      </x:c>
      <x:c r="C818" s="2" t="str">
        <x:v>Hà Nội</x:v>
      </x:c>
      <x:c r="D818" s="2" t="str">
        <x:v>Huyện Thanh Trì</x:v>
      </x:c>
      <x:c r="E818" s="2" t="str">
        <x:v>other_unknown</x:v>
      </x:c>
      <x:c r="F818" s="2" t="str">
        <x:v>sale_assumed</x:v>
      </x:c>
      <x:c r="G818" s="11" t="n">
        <x:v>50</x:v>
      </x:c>
      <x:c r="H818" s="12" t="n">
        <x:v>3650000000</x:v>
      </x:c>
      <x:c r="I818" s="12" t="n">
        <x:v>73000000</x:v>
      </x:c>
      <x:c r="J818" s="2" t="str">
        <x:v>total</x:v>
      </x:c>
      <x:c r="K818" s="2" t="str">
        <x:v>top_level_area</x:v>
      </x:c>
      <x:c r="L818" s="2" t="str">
        <x:v>property_type_inferred_from_title;transaction_assumed_sale_from_dataset_context;unknown_property_type</x:v>
      </x:c>
      <x:c r="M818" s="10" t="n">
        <x:v>0</x:v>
      </x:c>
      <x:c r="N818" s="10" t="n">
        <x:v>0</x:v>
      </x:c>
      <x:c r="O818" s="2" t="str">
        <x:v>Hà Nội|other_unknown</x:v>
      </x:c>
      <x:c r="P818" s="10" t="n">
        <x:v>2</x:v>
      </x:c>
      <x:c r="Q818" s="13" t="n">
        <x:f>IF(H818="","",H818/1000000000)</x:f>
        <x:v>3.65</x:v>
      </x:c>
      <x:c r="R818" s="13" t="n">
        <x:f>IF(I818="","",I818/1000000)</x:f>
        <x:v>73</x:v>
      </x:c>
    </x:row>
    <x:row r="819" ht="21" customHeight="1">
      <x:c r="A819" s="10" t="n">
        <x:v>893</x:v>
      </x:c>
      <x:c r="B819" s="2" t="str">
        <x:v>7cdc84bc6fc031eed436</x:v>
      </x:c>
      <x:c r="C819" s="2" t="str">
        <x:v>Tp Hồ Chí Minh</x:v>
      </x:c>
      <x:c r="D819" s="2" t="str">
        <x:v>Quận 10</x:v>
      </x:c>
      <x:c r="E819" s="2" t="str">
        <x:v>house</x:v>
      </x:c>
      <x:c r="F819" s="2" t="str">
        <x:v>sale</x:v>
      </x:c>
      <x:c r="G819" s="11" t="n">
        <x:v>66</x:v>
      </x:c>
      <x:c r="H819" s="12" t="n">
        <x:v>4500000000</x:v>
      </x:c>
      <x:c r="I819" s="12" t="n">
        <x:v>68181818.18181819</x:v>
      </x:c>
      <x:c r="J819" s="2" t="str">
        <x:v>total</x:v>
      </x:c>
      <x:c r="K819" s="2" t="str">
        <x:v>top_level_area</x:v>
      </x:c>
      <x:c r="L819" s="2" t="str">
        <x:v>property_type_inferred_from_title</x:v>
      </x:c>
      <x:c r="M819" s="10" t="n">
        <x:v>0</x:v>
      </x:c>
      <x:c r="N819" s="10" t="n">
        <x:v>0</x:v>
      </x:c>
      <x:c r="O819" s="2" t="str">
        <x:v>Tp Hồ Chí Minh|house</x:v>
      </x:c>
      <x:c r="P819" s="10" t="n">
        <x:v>2</x:v>
      </x:c>
      <x:c r="Q819" s="13" t="n">
        <x:f>IF(H819="","",H819/1000000000)</x:f>
        <x:v>4.5</x:v>
      </x:c>
      <x:c r="R819" s="13" t="n">
        <x:f>IF(I819="","",I819/1000000)</x:f>
        <x:v>68.18181818181819</x:v>
      </x:c>
    </x:row>
    <x:row r="820" ht="21" customHeight="1">
      <x:c r="A820" s="10" t="n">
        <x:v>894</x:v>
      </x:c>
      <x:c r="B820" s="2" t="str">
        <x:v>57abea78c3bd4474f3dd</x:v>
      </x:c>
      <x:c r="C820" s="2" t="str">
        <x:v>Tp Hồ Chí Minh</x:v>
      </x:c>
      <x:c r="D820" s="2" t="str">
        <x:v>Quận 2</x:v>
      </x:c>
      <x:c r="E820" s="2" t="str">
        <x:v>house</x:v>
      </x:c>
      <x:c r="F820" s="2" t="str">
        <x:v>sale_assumed</x:v>
      </x:c>
      <x:c r="G820" s="11" t="n">
        <x:v>122</x:v>
      </x:c>
      <x:c r="H820" s="12" t="n">
        <x:v>1700000000</x:v>
      </x:c>
      <x:c r="I820" s="12" t="n">
        <x:v>13934426.229508197</x:v>
      </x:c>
      <x:c r="J820" s="2" t="str">
        <x:v>total</x:v>
      </x:c>
      <x:c r="K820" s="2" t="str">
        <x:v>top_level_area</x:v>
      </x:c>
      <x:c r="L820" s="2" t="str">
        <x:v>property_type_inferred_from_title;transaction_assumed_sale_from_dataset_context</x:v>
      </x:c>
      <x:c r="M820" s="10" t="n">
        <x:v>0</x:v>
      </x:c>
      <x:c r="N820" s="10" t="n">
        <x:v>0</x:v>
      </x:c>
      <x:c r="O820" s="2" t="str">
        <x:v>Tp Hồ Chí Minh|house</x:v>
      </x:c>
      <x:c r="P820" s="10" t="n">
        <x:v>2</x:v>
      </x:c>
      <x:c r="Q820" s="13" t="n">
        <x:f>IF(H820="","",H820/1000000000)</x:f>
        <x:v>1.7</x:v>
      </x:c>
      <x:c r="R820" s="13" t="n">
        <x:f>IF(I820="","",I820/1000000)</x:f>
        <x:v>13.934426229508198</x:v>
      </x:c>
    </x:row>
    <x:row r="821" ht="21" customHeight="1">
      <x:c r="A821" s="10" t="n">
        <x:v>895</x:v>
      </x:c>
      <x:c r="B821" s="2" t="str">
        <x:v>3d28c4557a4d8a30af0f</x:v>
      </x:c>
      <x:c r="C821" s="2" t="str">
        <x:v>Hà Nội</x:v>
      </x:c>
      <x:c r="D821" s="2" t="str">
        <x:v>Quận Thanh Xuân</x:v>
      </x:c>
      <x:c r="E821" s="2" t="str">
        <x:v>house</x:v>
      </x:c>
      <x:c r="F821" s="2" t="str">
        <x:v>sale</x:v>
      </x:c>
      <x:c r="G821" s="11" t="n">
        <x:v>35</x:v>
      </x:c>
      <x:c r="H821" s="12" t="n">
        <x:v>2750000000</x:v>
      </x:c>
      <x:c r="I821" s="12" t="n">
        <x:v>78571428.57142857</x:v>
      </x:c>
      <x:c r="J821" s="2" t="str">
        <x:v>total</x:v>
      </x:c>
      <x:c r="K821" s="2" t="str">
        <x:v>top_level_area</x:v>
      </x:c>
      <x:c r="L821" s="2" t="str">
        <x:v>property_type_inferred_from_title</x:v>
      </x:c>
      <x:c r="M821" s="10" t="n">
        <x:v>0</x:v>
      </x:c>
      <x:c r="N821" s="10" t="n">
        <x:v>0</x:v>
      </x:c>
      <x:c r="O821" s="2" t="str">
        <x:v>Hà Nội|house</x:v>
      </x:c>
      <x:c r="P821" s="10" t="n">
        <x:v>2</x:v>
      </x:c>
      <x:c r="Q821" s="13" t="n">
        <x:f>IF(H821="","",H821/1000000000)</x:f>
        <x:v>2.75</x:v>
      </x:c>
      <x:c r="R821" s="13" t="n">
        <x:f>IF(I821="","",I821/1000000)</x:f>
        <x:v>78.57142857142857</x:v>
      </x:c>
    </x:row>
    <x:row r="822" ht="21" customHeight="1">
      <x:c r="A822" s="10" t="n">
        <x:v>896</x:v>
      </x:c>
      <x:c r="B822" s="2" t="str">
        <x:v>da2e4c8e82bf8431368e</x:v>
      </x:c>
      <x:c r="C822" s="2" t="str">
        <x:v>Tp Hồ Chí Minh</x:v>
      </x:c>
      <x:c r="D822" s="2" t="str">
        <x:v>Quận 7</x:v>
      </x:c>
      <x:c r="E822" s="2" t="str">
        <x:v>house</x:v>
      </x:c>
      <x:c r="F822" s="2" t="str">
        <x:v>sale</x:v>
      </x:c>
      <x:c r="G822" s="11" t="n">
        <x:v>90</x:v>
      </x:c>
      <x:c r="H822" s="12" t="n">
        <x:v>11800000000</x:v>
      </x:c>
      <x:c r="I822" s="12" t="n">
        <x:v>131111111.1111111</x:v>
      </x:c>
      <x:c r="J822" s="2" t="str">
        <x:v>total</x:v>
      </x:c>
      <x:c r="K822" s="2" t="str">
        <x:v>top_level_area</x:v>
      </x:c>
      <x:c r="L822" s="2" t="str">
        <x:v>property_type_inferred_from_title</x:v>
      </x:c>
      <x:c r="M822" s="10" t="n">
        <x:v>0</x:v>
      </x:c>
      <x:c r="N822" s="10" t="n">
        <x:v>0</x:v>
      </x:c>
      <x:c r="O822" s="2" t="str">
        <x:v>Tp Hồ Chí Minh|house</x:v>
      </x:c>
      <x:c r="P822" s="10" t="n">
        <x:v>2</x:v>
      </x:c>
      <x:c r="Q822" s="13" t="n">
        <x:f>IF(H822="","",H822/1000000000)</x:f>
        <x:v>11.8</x:v>
      </x:c>
      <x:c r="R822" s="13" t="n">
        <x:f>IF(I822="","",I822/1000000)</x:f>
        <x:v>131.11111111111111</x:v>
      </x:c>
    </x:row>
    <x:row r="823" ht="21" customHeight="1">
      <x:c r="A823" s="10" t="n">
        <x:v>897</x:v>
      </x:c>
      <x:c r="B823" s="2" t="str">
        <x:v>a1d8f44f8bb835e4946b</x:v>
      </x:c>
      <x:c r="C823" s="2" t="str">
        <x:v>Tp Hồ Chí Minh</x:v>
      </x:c>
      <x:c r="D823" s="2" t="str">
        <x:v>Huyện Củ Chi</x:v>
      </x:c>
      <x:c r="E823" s="2" t="str">
        <x:v>land</x:v>
      </x:c>
      <x:c r="F823" s="2" t="str">
        <x:v>sale</x:v>
      </x:c>
      <x:c r="G823" s="11" t="n">
        <x:v>500</x:v>
      </x:c>
      <x:c r="H823" s="12" t="n">
        <x:v>780000000</x:v>
      </x:c>
      <x:c r="I823" s="12" t="n">
        <x:v>1560000</x:v>
      </x:c>
      <x:c r="J823" s="2" t="str">
        <x:v>total</x:v>
      </x:c>
      <x:c r="K823" s="2" t="str">
        <x:v>top_level_area</x:v>
      </x:c>
      <x:c r="L823" s="2" t="str">
        <x:v>property_type_inferred_from_title</x:v>
      </x:c>
      <x:c r="M823" s="10" t="n">
        <x:v>0</x:v>
      </x:c>
      <x:c r="N823" s="10" t="n">
        <x:v>0</x:v>
      </x:c>
      <x:c r="O823" s="2" t="str">
        <x:v>Tp Hồ Chí Minh|land</x:v>
      </x:c>
      <x:c r="P823" s="10" t="n">
        <x:v>1</x:v>
      </x:c>
      <x:c r="Q823" s="13" t="n">
        <x:f>IF(H823="","",H823/1000000000)</x:f>
        <x:v>0.78</x:v>
      </x:c>
      <x:c r="R823" s="13" t="n">
        <x:f>IF(I823="","",I823/1000000)</x:f>
        <x:v>1.56</x:v>
      </x:c>
    </x:row>
    <x:row r="824" ht="21" customHeight="1">
      <x:c r="A824" s="10" t="n">
        <x:v>898</x:v>
      </x:c>
      <x:c r="B824" s="2" t="str">
        <x:v>b1d39a55c9ea896cdca0</x:v>
      </x:c>
      <x:c r="C824" s="2" t="str">
        <x:v>Tp Hồ Chí Minh</x:v>
      </x:c>
      <x:c r="D824" s="2" t="str">
        <x:v>Quận Thủ Đức</x:v>
      </x:c>
      <x:c r="E824" s="2" t="str">
        <x:v>house</x:v>
      </x:c>
      <x:c r="F824" s="2" t="str">
        <x:v>sale_assumed</x:v>
      </x:c>
      <x:c r="G824" s="11" t="n">
        <x:v>126</x:v>
      </x:c>
      <x:c r="H824" s="12" t="n">
        <x:v>8199999999.999999</x:v>
      </x:c>
      <x:c r="I824" s="12" t="n">
        <x:v>65079365.079365075</x:v>
      </x:c>
      <x:c r="J824" s="2" t="str">
        <x:v>total</x:v>
      </x:c>
      <x:c r="K824" s="2" t="str">
        <x:v>top_level_area</x:v>
      </x:c>
      <x:c r="L824" s="2" t="str">
        <x:v>property_type_inferred_from_title;transaction_assumed_sale_from_dataset_context</x:v>
      </x:c>
      <x:c r="M824" s="10" t="n">
        <x:v>0</x:v>
      </x:c>
      <x:c r="N824" s="10" t="n">
        <x:v>0</x:v>
      </x:c>
      <x:c r="O824" s="2" t="str">
        <x:v>Tp Hồ Chí Minh|house</x:v>
      </x:c>
      <x:c r="P824" s="10" t="n">
        <x:v>2</x:v>
      </x:c>
      <x:c r="Q824" s="13" t="n">
        <x:f>IF(H824="","",H824/1000000000)</x:f>
        <x:v>8.2</x:v>
      </x:c>
      <x:c r="R824" s="13" t="n">
        <x:f>IF(I824="","",I824/1000000)</x:f>
        <x:v>65.07936507936508</x:v>
      </x:c>
    </x:row>
    <x:row r="825" ht="21" customHeight="1">
      <x:c r="A825" s="10" t="n">
        <x:v>899</x:v>
      </x:c>
      <x:c r="B825" s="2" t="str">
        <x:v>324c4a099cd0932da77d</x:v>
      </x:c>
      <x:c r="C825" s="2" t="str">
        <x:v>Tp Hồ Chí Minh</x:v>
      </x:c>
      <x:c r="D825" s="2" t="str">
        <x:v>Quận Tân Phú</x:v>
      </x:c>
      <x:c r="E825" s="2" t="str">
        <x:v>land</x:v>
      </x:c>
      <x:c r="F825" s="2" t="str">
        <x:v>sale</x:v>
      </x:c>
      <x:c r="G825" s="11" t="n">
        <x:v>61</x:v>
      </x:c>
      <x:c r="H825" s="12" t="n">
        <x:v>8000000000</x:v>
      </x:c>
      <x:c r="I825" s="12" t="n">
        <x:v>131147540.98360656</x:v>
      </x:c>
      <x:c r="J825" s="2" t="str">
        <x:v>total</x:v>
      </x:c>
      <x:c r="K825" s="2" t="str">
        <x:v>top_level_area</x:v>
      </x:c>
      <x:c r="L825" s="2" t="str">
        <x:v>property_type_inferred_from_title</x:v>
      </x:c>
      <x:c r="M825" s="10" t="n">
        <x:v>0</x:v>
      </x:c>
      <x:c r="N825" s="10" t="n">
        <x:v>1</x:v>
      </x:c>
      <x:c r="O825" s="2" t="str">
        <x:v>Tp Hồ Chí Minh|land</x:v>
      </x:c>
      <x:c r="P825" s="10" t="n">
        <x:v>-1</x:v>
      </x:c>
      <x:c r="Q825" s="13" t="n">
        <x:f>IF(H825="","",H825/1000000000)</x:f>
        <x:v>8</x:v>
      </x:c>
      <x:c r="R825" s="13" t="n">
        <x:f>IF(I825="","",I825/1000000)</x:f>
        <x:v>131.14754098360658</x:v>
      </x:c>
    </x:row>
    <x:row r="826" ht="21" customHeight="1">
      <x:c r="A826" s="10" t="n">
        <x:v>900</x:v>
      </x:c>
      <x:c r="B826" s="2" t="str">
        <x:v>f6684dc621adcb15276e</x:v>
      </x:c>
      <x:c r="C826" s="2" t="str">
        <x:v>Tp Hồ Chí Minh</x:v>
      </x:c>
      <x:c r="D826" s="2" t="str">
        <x:v>Quận Gò Vấp</x:v>
      </x:c>
      <x:c r="E826" s="2" t="str">
        <x:v>other_unknown</x:v>
      </x:c>
      <x:c r="F826" s="2" t="str">
        <x:v>sale_assumed</x:v>
      </x:c>
      <x:c r="G826" s="11" t="n">
        <x:v>34</x:v>
      </x:c>
      <x:c r="H826" s="12" t="n">
        <x:v>3650000000</x:v>
      </x:c>
      <x:c r="I826" s="12" t="n">
        <x:v>107352941.1764706</x:v>
      </x:c>
      <x:c r="J826" s="2" t="str">
        <x:v>total</x:v>
      </x:c>
      <x:c r="K826" s="2" t="str">
        <x:v>top_level_area</x:v>
      </x:c>
      <x:c r="L826" s="2" t="str">
        <x:v>property_type_inferred_from_title;transaction_assumed_sale_from_dataset_context;unknown_property_type</x:v>
      </x:c>
      <x:c r="M826" s="10" t="n">
        <x:v>0</x:v>
      </x:c>
      <x:c r="N826" s="10" t="n">
        <x:v>0</x:v>
      </x:c>
      <x:c r="O826" s="2" t="str">
        <x:v>Tp Hồ Chí Minh|other_unknown</x:v>
      </x:c>
      <x:c r="P826" s="10" t="n">
        <x:v>2</x:v>
      </x:c>
      <x:c r="Q826" s="13" t="n">
        <x:f>IF(H826="","",H826/1000000000)</x:f>
        <x:v>3.65</x:v>
      </x:c>
      <x:c r="R826" s="13" t="n">
        <x:f>IF(I826="","",I826/1000000)</x:f>
        <x:v>107.3529411764706</x:v>
      </x:c>
    </x:row>
    <x:row r="827" ht="21" customHeight="1">
      <x:c r="A827" s="10" t="n">
        <x:v>901</x:v>
      </x:c>
      <x:c r="B827" s="2" t="str">
        <x:v>ddb588cd1def1bdd16ca</x:v>
      </x:c>
      <x:c r="C827" s="2" t="str">
        <x:v>Tp Hồ Chí Minh</x:v>
      </x:c>
      <x:c r="D827" s="2" t="str">
        <x:v>Huyện Củ Chi</x:v>
      </x:c>
      <x:c r="E827" s="2" t="str">
        <x:v>land</x:v>
      </x:c>
      <x:c r="F827" s="2" t="str">
        <x:v>sale_assumed</x:v>
      </x:c>
      <x:c r="G827" s="11" t="n">
        <x:v>140</x:v>
      </x:c>
      <x:c r="H827" s="12" t="n">
        <x:v>1600000000</x:v>
      </x:c>
      <x:c r="I827" s="12" t="n">
        <x:v>11428571.42857143</x:v>
      </x:c>
      <x:c r="J827" s="2" t="str">
        <x:v>total</x:v>
      </x:c>
      <x:c r="K827" s="2" t="str">
        <x:v>top_level_area</x:v>
      </x:c>
      <x:c r="L827" s="2" t="str">
        <x:v>property_type_inferred_from_title;transaction_assumed_sale_from_dataset_context</x:v>
      </x:c>
      <x:c r="M827" s="10" t="n">
        <x:v>0</x:v>
      </x:c>
      <x:c r="N827" s="10" t="n">
        <x:v>0</x:v>
      </x:c>
      <x:c r="O827" s="2" t="str">
        <x:v>Tp Hồ Chí Minh|land</x:v>
      </x:c>
      <x:c r="P827" s="10" t="n">
        <x:v>2</x:v>
      </x:c>
      <x:c r="Q827" s="13" t="n">
        <x:f>IF(H827="","",H827/1000000000)</x:f>
        <x:v>1.6</x:v>
      </x:c>
      <x:c r="R827" s="13" t="n">
        <x:f>IF(I827="","",I827/1000000)</x:f>
        <x:v>11.428571428571429</x:v>
      </x:c>
    </x:row>
    <x:row r="828" ht="21" customHeight="1">
      <x:c r="A828" s="10" t="n">
        <x:v>902</x:v>
      </x:c>
      <x:c r="B828" s="2" t="str">
        <x:v>83f23be4bce86eb9f6ce</x:v>
      </x:c>
      <x:c r="C828" s="2" t="str">
        <x:v>Bình Dương</x:v>
      </x:c>
      <x:c r="D828" s="2" t="str">
        <x:v>Huyện Bàu Bàng</x:v>
      </x:c>
      <x:c r="E828" s="2" t="str">
        <x:v>land</x:v>
      </x:c>
      <x:c r="F828" s="2" t="str">
        <x:v>sale_assumed</x:v>
      </x:c>
      <x:c r="G828" s="11" t="n">
        <x:v>250</x:v>
      </x:c>
      <x:c r="H828" s="12" t="n">
        <x:v>260000000</x:v>
      </x:c>
      <x:c r="I828" s="12" t="n">
        <x:v>1040000</x:v>
      </x:c>
      <x:c r="J828" s="2" t="str">
        <x:v>total</x:v>
      </x:c>
      <x:c r="K828" s="2" t="str">
        <x:v>top_level_area</x:v>
      </x:c>
      <x:c r="L828" s="2" t="str">
        <x:v>property_type_inferred_from_title;transaction_assumed_sale_from_dataset_context</x:v>
      </x:c>
      <x:c r="M828" s="10" t="n">
        <x:v>0</x:v>
      </x:c>
      <x:c r="N828" s="10" t="n">
        <x:v>0</x:v>
      </x:c>
      <x:c r="O828" s="2" t="str">
        <x:v>Bình Dương|land</x:v>
      </x:c>
      <x:c r="P828" s="10" t="n">
        <x:v>1</x:v>
      </x:c>
      <x:c r="Q828" s="13" t="n">
        <x:f>IF(H828="","",H828/1000000000)</x:f>
        <x:v>0.26</x:v>
      </x:c>
      <x:c r="R828" s="13" t="n">
        <x:f>IF(I828="","",I828/1000000)</x:f>
        <x:v>1.04</x:v>
      </x:c>
    </x:row>
    <x:row r="829" ht="21" customHeight="1">
      <x:c r="A829" s="10" t="n">
        <x:v>903</x:v>
      </x:c>
      <x:c r="B829" s="2" t="str">
        <x:v>4ab9a0c5edcaae1337e9</x:v>
      </x:c>
      <x:c r="C829" s="2" t="str">
        <x:v>Tp Hồ Chí Minh</x:v>
      </x:c>
      <x:c r="D829" s="2" t="str">
        <x:v>Quận 12</x:v>
      </x:c>
      <x:c r="E829" s="2" t="str">
        <x:v>apartment</x:v>
      </x:c>
      <x:c r="F829" s="2" t="str">
        <x:v>sale_assumed</x:v>
      </x:c>
      <x:c r="G829" s="11" t="n">
        <x:v>55</x:v>
      </x:c>
      <x:c r="H829" s="12" t="n">
        <x:v>1470000000</x:v>
      </x:c>
      <x:c r="I829" s="12" t="n">
        <x:v>26727272.727272727</x:v>
      </x:c>
      <x:c r="J829" s="2" t="str">
        <x:v>total</x:v>
      </x:c>
      <x:c r="K829" s="2" t="str">
        <x:v>top_level_area</x:v>
      </x:c>
      <x:c r="L829" s="2" t="str">
        <x:v>property_type_inferred_from_title;transaction_assumed_sale_from_dataset_context</x:v>
      </x:c>
      <x:c r="M829" s="10" t="n">
        <x:v>0</x:v>
      </x:c>
      <x:c r="N829" s="10" t="n">
        <x:v>0</x:v>
      </x:c>
      <x:c r="O829" s="2" t="str">
        <x:v>Tp Hồ Chí Minh|apartment</x:v>
      </x:c>
      <x:c r="P829" s="10" t="n">
        <x:v>2</x:v>
      </x:c>
      <x:c r="Q829" s="13" t="n">
        <x:f>IF(H829="","",H829/1000000000)</x:f>
        <x:v>1.47</x:v>
      </x:c>
      <x:c r="R829" s="13" t="n">
        <x:f>IF(I829="","",I829/1000000)</x:f>
        <x:v>26.727272727272727</x:v>
      </x:c>
    </x:row>
    <x:row r="830" ht="21" customHeight="1">
      <x:c r="A830" s="10" t="n">
        <x:v>904</x:v>
      </x:c>
      <x:c r="B830" s="2" t="str">
        <x:v>5845eeab2b359d4ee2fb</x:v>
      </x:c>
      <x:c r="C830" s="2" t="str">
        <x:v>Đồng Nai</x:v>
      </x:c>
      <x:c r="D830" s="2" t="str">
        <x:v>Thành phố Biên Hòa</x:v>
      </x:c>
      <x:c r="E830" s="2" t="str">
        <x:v>land</x:v>
      </x:c>
      <x:c r="F830" s="2" t="str">
        <x:v>sale_assumed</x:v>
      </x:c>
      <x:c r="G830" s="11" t="n">
        <x:v>145</x:v>
      </x:c>
      <x:c r="H830" s="12" t="n">
        <x:v>1500000000</x:v>
      </x:c>
      <x:c r="I830" s="12" t="n">
        <x:v>10344827.586206896</x:v>
      </x:c>
      <x:c r="J830" s="2" t="str">
        <x:v>total</x:v>
      </x:c>
      <x:c r="K830" s="2" t="str">
        <x:v>top_level_area</x:v>
      </x:c>
      <x:c r="L830" s="2" t="str">
        <x:v>property_type_inferred_from_title;transaction_assumed_sale_from_dataset_context</x:v>
      </x:c>
      <x:c r="M830" s="10" t="n">
        <x:v>0</x:v>
      </x:c>
      <x:c r="N830" s="10" t="n">
        <x:v>0</x:v>
      </x:c>
      <x:c r="O830" s="2" t="str">
        <x:v>Đồng Nai|land</x:v>
      </x:c>
      <x:c r="P830" s="10" t="n">
        <x:v>2</x:v>
      </x:c>
      <x:c r="Q830" s="13" t="n">
        <x:f>IF(H830="","",H830/1000000000)</x:f>
        <x:v>1.5</x:v>
      </x:c>
      <x:c r="R830" s="13" t="n">
        <x:f>IF(I830="","",I830/1000000)</x:f>
        <x:v>10.344827586206897</x:v>
      </x:c>
    </x:row>
    <x:row r="831" ht="21" customHeight="1">
      <x:c r="A831" s="10" t="n">
        <x:v>924</x:v>
      </x:c>
      <x:c r="B831" s="2" t="str">
        <x:v>1c0b40c25147a04b2425</x:v>
      </x:c>
      <x:c r="C831" s="2" t="str">
        <x:v>Tp Hồ Chí Minh</x:v>
      </x:c>
      <x:c r="D831" s="2" t="str">
        <x:v>Quận 7</x:v>
      </x:c>
      <x:c r="E831" s="2" t="str">
        <x:v>house</x:v>
      </x:c>
      <x:c r="F831" s="2" t="str">
        <x:v>sale_assumed</x:v>
      </x:c>
      <x:c r="G831" s="11" t="n">
        <x:v>80.6</x:v>
      </x:c>
      <x:c r="H831" s="12" t="n">
        <x:v>5500000000</x:v>
      </x:c>
      <x:c r="I831" s="12" t="n">
        <x:v>68238213.39950372</x:v>
      </x:c>
      <x:c r="J831" s="2" t="str">
        <x:v>total</x:v>
      </x:c>
      <x:c r="K831" s="2" t="str">
        <x:v>top_level_price_embedded_area</x:v>
      </x:c>
      <x:c r="L831" s="2" t="str">
        <x:v>area_recovered_from_price_text;property_type_inferred_from_title;transaction_assumed_sale_from_dataset_context</x:v>
      </x:c>
      <x:c r="M831" s="10" t="n">
        <x:v>0</x:v>
      </x:c>
      <x:c r="N831" s="10" t="n">
        <x:v>0</x:v>
      </x:c>
      <x:c r="O831" s="2" t="str">
        <x:v>Tp Hồ Chí Minh|house</x:v>
      </x:c>
      <x:c r="P831" s="10" t="n">
        <x:v>2</x:v>
      </x:c>
      <x:c r="Q831" s="13" t="n">
        <x:f>IF(H831="","",H831/1000000000)</x:f>
        <x:v>5.5</x:v>
      </x:c>
      <x:c r="R831" s="13" t="n">
        <x:f>IF(I831="","",I831/1000000)</x:f>
        <x:v>68.23821339950372</x:v>
      </x:c>
    </x:row>
    <x:row r="832" ht="21" customHeight="1">
      <x:c r="A832" s="10" t="n">
        <x:v>925</x:v>
      </x:c>
      <x:c r="B832" s="2" t="str">
        <x:v>c3779282e297c46de07c</x:v>
      </x:c>
      <x:c r="C832" s="2" t="str">
        <x:v>Tp Hồ Chí Minh</x:v>
      </x:c>
      <x:c r="D832" s="2" t="str">
        <x:v>Quận Phú Nhuận</x:v>
      </x:c>
      <x:c r="E832" s="2" t="str">
        <x:v>other_unknown</x:v>
      </x:c>
      <x:c r="F832" s="2" t="str">
        <x:v>sale_assumed</x:v>
      </x:c>
      <x:c r="G832" s="11" t="n">
        <x:v>16</x:v>
      </x:c>
      <x:c r="H832" s="12" t="n">
        <x:v>1850000000</x:v>
      </x:c>
      <x:c r="I832" s="12" t="n">
        <x:v>115625000</x:v>
      </x:c>
      <x:c r="J832" s="2" t="str">
        <x:v>total</x:v>
      </x:c>
      <x:c r="K832" s="2" t="str">
        <x:v>top_level_area</x:v>
      </x:c>
      <x:c r="L832" s="2" t="str">
        <x:v>property_type_inferred_from_title;transaction_assumed_sale_from_dataset_context;unknown_property_type</x:v>
      </x:c>
      <x:c r="M832" s="10" t="n">
        <x:v>0</x:v>
      </x:c>
      <x:c r="N832" s="10" t="n">
        <x:v>0</x:v>
      </x:c>
      <x:c r="O832" s="2" t="str">
        <x:v>Tp Hồ Chí Minh|other_unknown</x:v>
      </x:c>
      <x:c r="P832" s="10" t="n">
        <x:v>2</x:v>
      </x:c>
      <x:c r="Q832" s="13" t="n">
        <x:f>IF(H832="","",H832/1000000000)</x:f>
        <x:v>1.85</x:v>
      </x:c>
      <x:c r="R832" s="13" t="n">
        <x:f>IF(I832="","",I832/1000000)</x:f>
        <x:v>115.625</x:v>
      </x:c>
    </x:row>
    <x:row r="833" ht="21" customHeight="1">
      <x:c r="A833" s="10" t="n">
        <x:v>926</x:v>
      </x:c>
      <x:c r="B833" s="2" t="str">
        <x:v>dcee6b1cb2f453d978bb</x:v>
      </x:c>
      <x:c r="C833" s="2" t="str">
        <x:v>Chưa xác định</x:v>
      </x:c>
      <x:c r="D833" s="2" t="str">
        <x:v>Chưa xác định</x:v>
      </x:c>
      <x:c r="E833" s="2" t="str">
        <x:v>land</x:v>
      </x:c>
      <x:c r="F833" s="2" t="str">
        <x:v>sale_assumed</x:v>
      </x:c>
      <x:c r="G833" s="11" t="n">
        <x:v>50</x:v>
      </x:c>
      <x:c r="H833" s="12" t="n">
        <x:v>400000000</x:v>
      </x:c>
      <x:c r="I833" s="12" t="n">
        <x:v>8000000</x:v>
      </x:c>
      <x:c r="J833" s="2" t="str">
        <x:v>total</x:v>
      </x:c>
      <x:c r="K833" s="2" t="str">
        <x:v>top_level_area</x:v>
      </x:c>
      <x:c r="L833" s="2" t="str">
        <x:v>property_type_inferred_from_title;transaction_assumed_sale_from_dataset_context;unknown_district;unknown_province</x:v>
      </x:c>
      <x:c r="M833" s="10" t="n">
        <x:v>0</x:v>
      </x:c>
      <x:c r="N833" s="10" t="n">
        <x:v>0</x:v>
      </x:c>
      <x:c r="O833" s="2" t="str">
        <x:v>land</x:v>
      </x:c>
      <x:c r="P833" s="10" t="n">
        <x:v>2</x:v>
      </x:c>
      <x:c r="Q833" s="13" t="n">
        <x:f>IF(H833="","",H833/1000000000)</x:f>
        <x:v>0.4</x:v>
      </x:c>
      <x:c r="R833" s="13" t="n">
        <x:f>IF(I833="","",I833/1000000)</x:f>
        <x:v>8</x:v>
      </x:c>
    </x:row>
    <x:row r="834" ht="21" customHeight="1">
      <x:c r="A834" s="10" t="n">
        <x:v>927</x:v>
      </x:c>
      <x:c r="B834" s="2" t="str">
        <x:v>15c5235ce84a30b9819e</x:v>
      </x:c>
      <x:c r="C834" s="2" t="str">
        <x:v>Đà Nẵng</x:v>
      </x:c>
      <x:c r="D834" s="2" t="str">
        <x:v>Quận Sơn Trà</x:v>
      </x:c>
      <x:c r="E834" s="2" t="str">
        <x:v>house</x:v>
      </x:c>
      <x:c r="F834" s="2" t="str">
        <x:v>sale</x:v>
      </x:c>
      <x:c r="G834" s="11" t="n">
        <x:v>80</x:v>
      </x:c>
      <x:c r="H834" s="12" t="n">
        <x:v>5900000000</x:v>
      </x:c>
      <x:c r="I834" s="12" t="n">
        <x:v>73750000</x:v>
      </x:c>
      <x:c r="J834" s="2" t="str">
        <x:v>total</x:v>
      </x:c>
      <x:c r="K834" s="2" t="str">
        <x:v>top_level_area</x:v>
      </x:c>
      <x:c r="L834" s="2" t="str">
        <x:v>property_type_inferred_from_title</x:v>
      </x:c>
      <x:c r="M834" s="10" t="n">
        <x:v>0</x:v>
      </x:c>
      <x:c r="N834" s="10" t="n">
        <x:v>0</x:v>
      </x:c>
      <x:c r="O834" s="2" t="str">
        <x:v>Đà Nẵng|house</x:v>
      </x:c>
      <x:c r="P834" s="10" t="n">
        <x:v>2</x:v>
      </x:c>
      <x:c r="Q834" s="13" t="n">
        <x:f>IF(H834="","",H834/1000000000)</x:f>
        <x:v>5.9</x:v>
      </x:c>
      <x:c r="R834" s="13" t="n">
        <x:f>IF(I834="","",I834/1000000)</x:f>
        <x:v>73.75</x:v>
      </x:c>
    </x:row>
    <x:row r="835" ht="21" customHeight="1">
      <x:c r="A835" s="10" t="n">
        <x:v>928</x:v>
      </x:c>
      <x:c r="B835" s="2" t="str">
        <x:v>533cc609f051015af68a</x:v>
      </x:c>
      <x:c r="C835" s="2" t="str">
        <x:v>Tp Hồ Chí Minh</x:v>
      </x:c>
      <x:c r="D835" s="2" t="str">
        <x:v>Huyện Hóc Môn</x:v>
      </x:c>
      <x:c r="E835" s="2" t="str">
        <x:v>land</x:v>
      </x:c>
      <x:c r="F835" s="2" t="str">
        <x:v>sale_assumed</x:v>
      </x:c>
      <x:c r="G835" s="11" t="n">
        <x:v>80</x:v>
      </x:c>
      <x:c r="H835" s="12" t="n">
        <x:v>3100000000</x:v>
      </x:c>
      <x:c r="I835" s="12" t="n">
        <x:v>38750000</x:v>
      </x:c>
      <x:c r="J835" s="2" t="str">
        <x:v>total</x:v>
      </x:c>
      <x:c r="K835" s="2" t="str">
        <x:v>top_level_price_embedded_area</x:v>
      </x:c>
      <x:c r="L835" s="2" t="str">
        <x:v>area_recovered_from_price_text;property_type_inferred_from_title;transaction_assumed_sale_from_dataset_context</x:v>
      </x:c>
      <x:c r="M835" s="10" t="n">
        <x:v>0</x:v>
      </x:c>
      <x:c r="N835" s="10" t="n">
        <x:v>0</x:v>
      </x:c>
      <x:c r="O835" s="2" t="str">
        <x:v>Tp Hồ Chí Minh|land</x:v>
      </x:c>
      <x:c r="P835" s="10" t="n">
        <x:v>2</x:v>
      </x:c>
      <x:c r="Q835" s="13" t="n">
        <x:f>IF(H835="","",H835/1000000000)</x:f>
        <x:v>3.1</x:v>
      </x:c>
      <x:c r="R835" s="13" t="n">
        <x:f>IF(I835="","",I835/1000000)</x:f>
        <x:v>38.75</x:v>
      </x:c>
    </x:row>
    <x:row r="836" ht="21" customHeight="1">
      <x:c r="A836" s="10" t="n">
        <x:v>929</x:v>
      </x:c>
      <x:c r="B836" s="2" t="str">
        <x:v>313fdc06dcc8b319f0ec</x:v>
      </x:c>
      <x:c r="C836" s="2" t="str">
        <x:v>Cần Thơ</x:v>
      </x:c>
      <x:c r="D836" s="2" t="str">
        <x:v>Quận Cái Răng</x:v>
      </x:c>
      <x:c r="E836" s="2" t="str">
        <x:v>apartment</x:v>
      </x:c>
      <x:c r="F836" s="2" t="str">
        <x:v>sale_assumed</x:v>
      </x:c>
      <x:c r="G836" s="11" t="n">
        <x:v>88</x:v>
      </x:c>
      <x:c r="H836" s="12" t="n">
        <x:v>2600000000</x:v>
      </x:c>
      <x:c r="I836" s="12" t="n">
        <x:v>29545454.545454547</x:v>
      </x:c>
      <x:c r="J836" s="2" t="str">
        <x:v>total</x:v>
      </x:c>
      <x:c r="K836" s="2" t="str">
        <x:v>top_level_area</x:v>
      </x:c>
      <x:c r="L836" s="2" t="str">
        <x:v>property_type_inferred_from_title;transaction_assumed_sale_from_dataset_context</x:v>
      </x:c>
      <x:c r="M836" s="10" t="n">
        <x:v>0</x:v>
      </x:c>
      <x:c r="N836" s="10" t="n">
        <x:v>0</x:v>
      </x:c>
      <x:c r="O836" s="2" t="str">
        <x:v>apartment</x:v>
      </x:c>
      <x:c r="P836" s="10" t="n">
        <x:v>2</x:v>
      </x:c>
      <x:c r="Q836" s="13" t="n">
        <x:f>IF(H836="","",H836/1000000000)</x:f>
        <x:v>2.6</x:v>
      </x:c>
      <x:c r="R836" s="13" t="n">
        <x:f>IF(I836="","",I836/1000000)</x:f>
        <x:v>29.545454545454547</x:v>
      </x:c>
    </x:row>
    <x:row r="837" ht="21" customHeight="1">
      <x:c r="A837" s="10" t="n">
        <x:v>930</x:v>
      </x:c>
      <x:c r="B837" s="2" t="str">
        <x:v>bc9c8fc408a0fe3014fe</x:v>
      </x:c>
      <x:c r="C837" s="2" t="str">
        <x:v>Tp Hồ Chí Minh</x:v>
      </x:c>
      <x:c r="D837" s="2" t="str">
        <x:v>Quận 9</x:v>
      </x:c>
      <x:c r="E837" s="2" t="str">
        <x:v>other_unknown</x:v>
      </x:c>
      <x:c r="F837" s="2" t="str">
        <x:v>sale_assumed</x:v>
      </x:c>
      <x:c r="G837" s="11" t="n">
        <x:v>60</x:v>
      </x:c>
      <x:c r="H837" s="12" t="n">
        <x:v>873000000</x:v>
      </x:c>
      <x:c r="I837" s="12" t="n">
        <x:v>14550000</x:v>
      </x:c>
      <x:c r="J837" s="2" t="str">
        <x:v>total</x:v>
      </x:c>
      <x:c r="K837" s="2" t="str">
        <x:v>top_level_area</x:v>
      </x:c>
      <x:c r="L837" s="2" t="str">
        <x:v>property_type_inferred_from_title;transaction_assumed_sale_from_dataset_context;unknown_property_type</x:v>
      </x:c>
      <x:c r="M837" s="10" t="n">
        <x:v>0</x:v>
      </x:c>
      <x:c r="N837" s="10" t="n">
        <x:v>0</x:v>
      </x:c>
      <x:c r="O837" s="2" t="str">
        <x:v>Tp Hồ Chí Minh|other_unknown</x:v>
      </x:c>
      <x:c r="P837" s="10" t="n">
        <x:v>2</x:v>
      </x:c>
      <x:c r="Q837" s="13" t="n">
        <x:f>IF(H837="","",H837/1000000000)</x:f>
        <x:v>0.873</x:v>
      </x:c>
      <x:c r="R837" s="13" t="n">
        <x:f>IF(I837="","",I837/1000000)</x:f>
        <x:v>14.55</x:v>
      </x:c>
    </x:row>
    <x:row r="838" ht="21" customHeight="1">
      <x:c r="A838" s="10" t="n">
        <x:v>931</x:v>
      </x:c>
      <x:c r="B838" s="2" t="str">
        <x:v>a283a3e8b8df554c5a32</x:v>
      </x:c>
      <x:c r="C838" s="2" t="str">
        <x:v>Khánh Hòa</x:v>
      </x:c>
      <x:c r="D838" s="2" t="str">
        <x:v>Thành phố Nha Trang</x:v>
      </x:c>
      <x:c r="E838" s="2" t="str">
        <x:v>house</x:v>
      </x:c>
      <x:c r="F838" s="2" t="str">
        <x:v>sale</x:v>
      </x:c>
      <x:c r="G838" s="11" t="n">
        <x:v>68</x:v>
      </x:c>
      <x:c r="H838" s="12" t="n">
        <x:v>2500000000</x:v>
      </x:c>
      <x:c r="I838" s="12" t="n">
        <x:v>36764705.88235294</x:v>
      </x:c>
      <x:c r="J838" s="2" t="str">
        <x:v>total</x:v>
      </x:c>
      <x:c r="K838" s="2" t="str">
        <x:v>top_level_area</x:v>
      </x:c>
      <x:c r="L838" s="2" t="str">
        <x:v>property_type_inferred_from_title</x:v>
      </x:c>
      <x:c r="M838" s="10" t="n">
        <x:v>0</x:v>
      </x:c>
      <x:c r="N838" s="10" t="n">
        <x:v>0</x:v>
      </x:c>
      <x:c r="O838" s="2" t="str">
        <x:v>Khánh Hòa|house</x:v>
      </x:c>
      <x:c r="P838" s="10" t="n">
        <x:v>2</x:v>
      </x:c>
      <x:c r="Q838" s="13" t="n">
        <x:f>IF(H838="","",H838/1000000000)</x:f>
        <x:v>2.5</x:v>
      </x:c>
      <x:c r="R838" s="13" t="n">
        <x:f>IF(I838="","",I838/1000000)</x:f>
        <x:v>36.76470588235294</x:v>
      </x:c>
    </x:row>
    <x:row r="839" ht="21" customHeight="1">
      <x:c r="A839" s="10" t="n">
        <x:v>932</x:v>
      </x:c>
      <x:c r="B839" s="2" t="str">
        <x:v>4bb74c16967305e1465d</x:v>
      </x:c>
      <x:c r="C839" s="2" t="str">
        <x:v>Tp Hồ Chí Minh</x:v>
      </x:c>
      <x:c r="D839" s="2" t="str">
        <x:v>Quận 2</x:v>
      </x:c>
      <x:c r="E839" s="2" t="str">
        <x:v>other_unknown</x:v>
      </x:c>
      <x:c r="F839" s="2" t="str">
        <x:v>sale</x:v>
      </x:c>
      <x:c r="G839" s="11" t="n">
        <x:v>50</x:v>
      </x:c>
      <x:c r="H839" s="12" t="n">
        <x:v>862000000</x:v>
      </x:c>
      <x:c r="I839" s="12" t="n">
        <x:v>17240000</x:v>
      </x:c>
      <x:c r="J839" s="2" t="str">
        <x:v>total</x:v>
      </x:c>
      <x:c r="K839" s="2" t="str">
        <x:v>top_level_area</x:v>
      </x:c>
      <x:c r="L839" s="2" t="str">
        <x:v>property_type_inferred_from_title;unknown_property_type</x:v>
      </x:c>
      <x:c r="M839" s="10" t="n">
        <x:v>0</x:v>
      </x:c>
      <x:c r="N839" s="10" t="n">
        <x:v>0</x:v>
      </x:c>
      <x:c r="O839" s="2" t="str">
        <x:v>Tp Hồ Chí Minh|other_unknown</x:v>
      </x:c>
      <x:c r="P839" s="10" t="n">
        <x:v>2</x:v>
      </x:c>
      <x:c r="Q839" s="13" t="n">
        <x:f>IF(H839="","",H839/1000000000)</x:f>
        <x:v>0.862</x:v>
      </x:c>
      <x:c r="R839" s="13" t="n">
        <x:f>IF(I839="","",I839/1000000)</x:f>
        <x:v>17.24</x:v>
      </x:c>
    </x:row>
    <x:row r="840" ht="21" customHeight="1">
      <x:c r="A840" s="10" t="n">
        <x:v>933</x:v>
      </x:c>
      <x:c r="B840" s="2" t="str">
        <x:v>b84e98a31697c76db1a9</x:v>
      </x:c>
      <x:c r="C840" s="2" t="str">
        <x:v>Bình Phước</x:v>
      </x:c>
      <x:c r="D840" s="2" t="str">
        <x:v>Huyện Hớn Quản</x:v>
      </x:c>
      <x:c r="E840" s="2" t="str">
        <x:v>other_unknown</x:v>
      </x:c>
      <x:c r="F840" s="2" t="str">
        <x:v>sale</x:v>
      </x:c>
      <x:c r="G840" s="11" t="n">
        <x:v>525</x:v>
      </x:c>
      <x:c r="H840" s="12" t="n">
        <x:v>539000000</x:v>
      </x:c>
      <x:c r="I840" s="12" t="n">
        <x:v>1026666.6666666666</x:v>
      </x:c>
      <x:c r="J840" s="2" t="str">
        <x:v>total</x:v>
      </x:c>
      <x:c r="K840" s="2" t="str">
        <x:v>top_level_area</x:v>
      </x:c>
      <x:c r="L840" s="2" t="str">
        <x:v>property_type_inferred_from_title;unknown_property_type</x:v>
      </x:c>
      <x:c r="M840" s="10" t="n">
        <x:v>0</x:v>
      </x:c>
      <x:c r="N840" s="10" t="n">
        <x:v>0</x:v>
      </x:c>
      <x:c r="O840" s="2" t="str">
        <x:v>other_unknown</x:v>
      </x:c>
      <x:c r="P840" s="10" t="n">
        <x:v>1</x:v>
      </x:c>
      <x:c r="Q840" s="13" t="n">
        <x:f>IF(H840="","",H840/1000000000)</x:f>
        <x:v>0.539</x:v>
      </x:c>
      <x:c r="R840" s="13" t="n">
        <x:f>IF(I840="","",I840/1000000)</x:f>
        <x:v>1.0266666666666666</x:v>
      </x:c>
    </x:row>
    <x:row r="841" ht="21" customHeight="1">
      <x:c r="A841" s="10" t="n">
        <x:v>934</x:v>
      </x:c>
      <x:c r="B841" s="2" t="str">
        <x:v>4be39ad9fc038f93d481</x:v>
      </x:c>
      <x:c r="C841" s="2" t="str">
        <x:v>Tp Hồ Chí Minh</x:v>
      </x:c>
      <x:c r="D841" s="2" t="str">
        <x:v>Quận Gò Vấp</x:v>
      </x:c>
      <x:c r="E841" s="2" t="str">
        <x:v>house</x:v>
      </x:c>
      <x:c r="F841" s="2" t="str">
        <x:v>sale_assumed</x:v>
      </x:c>
      <x:c r="G841" s="11" t="n">
        <x:v>119</x:v>
      </x:c>
      <x:c r="H841" s="12" t="n">
        <x:v>16500000000</x:v>
      </x:c>
      <x:c r="I841" s="12" t="n">
        <x:v>138655462.18487394</x:v>
      </x:c>
      <x:c r="J841" s="2" t="str">
        <x:v>total</x:v>
      </x:c>
      <x:c r="K841" s="2" t="str">
        <x:v>top_level_area</x:v>
      </x:c>
      <x:c r="L841" s="2" t="str">
        <x:v>property_type_inferred_from_title;transaction_assumed_sale_from_dataset_context</x:v>
      </x:c>
      <x:c r="M841" s="10" t="n">
        <x:v>0</x:v>
      </x:c>
      <x:c r="N841" s="10" t="n">
        <x:v>0</x:v>
      </x:c>
      <x:c r="O841" s="2" t="str">
        <x:v>Tp Hồ Chí Minh|house</x:v>
      </x:c>
      <x:c r="P841" s="10" t="n">
        <x:v>2</x:v>
      </x:c>
      <x:c r="Q841" s="13" t="n">
        <x:f>IF(H841="","",H841/1000000000)</x:f>
        <x:v>16.5</x:v>
      </x:c>
      <x:c r="R841" s="13" t="n">
        <x:f>IF(I841="","",I841/1000000)</x:f>
        <x:v>138.65546218487393</x:v>
      </x:c>
    </x:row>
    <x:row r="842" ht="21" customHeight="1">
      <x:c r="A842" s="10" t="n">
        <x:v>935</x:v>
      </x:c>
      <x:c r="B842" s="2" t="str">
        <x:v>53261aabce4222bdd8c2</x:v>
      </x:c>
      <x:c r="C842" s="2" t="str">
        <x:v>Khánh Hòa</x:v>
      </x:c>
      <x:c r="D842" s="2" t="str">
        <x:v>Thành phố Nha Trang</x:v>
      </x:c>
      <x:c r="E842" s="2" t="str">
        <x:v>house</x:v>
      </x:c>
      <x:c r="F842" s="2" t="str">
        <x:v>sale_assumed</x:v>
      </x:c>
      <x:c r="G842" s="11" t="n">
        <x:v>59</x:v>
      </x:c>
      <x:c r="H842" s="12" t="n">
        <x:v>1750000000</x:v>
      </x:c>
      <x:c r="I842" s="12" t="n">
        <x:v>29661016.949152544</x:v>
      </x:c>
      <x:c r="J842" s="2" t="str">
        <x:v>total</x:v>
      </x:c>
      <x:c r="K842" s="2" t="str">
        <x:v>top_level_area</x:v>
      </x:c>
      <x:c r="L842" s="2" t="str">
        <x:v>property_type_inferred_from_title;transaction_assumed_sale_from_dataset_context</x:v>
      </x:c>
      <x:c r="M842" s="10" t="n">
        <x:v>0</x:v>
      </x:c>
      <x:c r="N842" s="10" t="n">
        <x:v>0</x:v>
      </x:c>
      <x:c r="O842" s="2" t="str">
        <x:v>Khánh Hòa|house</x:v>
      </x:c>
      <x:c r="P842" s="10" t="n">
        <x:v>2</x:v>
      </x:c>
      <x:c r="Q842" s="13" t="n">
        <x:f>IF(H842="","",H842/1000000000)</x:f>
        <x:v>1.75</x:v>
      </x:c>
      <x:c r="R842" s="13" t="n">
        <x:f>IF(I842="","",I842/1000000)</x:f>
        <x:v>29.661016949152543</x:v>
      </x:c>
    </x:row>
    <x:row r="843" ht="21" customHeight="1">
      <x:c r="A843" s="10" t="n">
        <x:v>936</x:v>
      </x:c>
      <x:c r="B843" s="2" t="str">
        <x:v>74c539cc3a1d7233d9fa</x:v>
      </x:c>
      <x:c r="C843" s="2" t="str">
        <x:v>Tp Hồ Chí Minh</x:v>
      </x:c>
      <x:c r="D843" s="2" t="str">
        <x:v>Huyện Bình Chánh</x:v>
      </x:c>
      <x:c r="E843" s="2" t="str">
        <x:v>land</x:v>
      </x:c>
      <x:c r="F843" s="2" t="str">
        <x:v>sale</x:v>
      </x:c>
      <x:c r="G843" s="11" t="n">
        <x:v>60</x:v>
      </x:c>
      <x:c r="H843" s="12" t="n">
        <x:v>300000000</x:v>
      </x:c>
      <x:c r="I843" s="12" t="n">
        <x:v>5000000</x:v>
      </x:c>
      <x:c r="J843" s="2" t="str">
        <x:v>total</x:v>
      </x:c>
      <x:c r="K843" s="2" t="str">
        <x:v>top_level_area</x:v>
      </x:c>
      <x:c r="L843" s="2" t="str">
        <x:v>property_type_inferred_from_title</x:v>
      </x:c>
      <x:c r="M843" s="10" t="n">
        <x:v>0</x:v>
      </x:c>
      <x:c r="N843" s="10" t="n">
        <x:v>0</x:v>
      </x:c>
      <x:c r="O843" s="2" t="str">
        <x:v>Tp Hồ Chí Minh|land</x:v>
      </x:c>
      <x:c r="P843" s="10" t="n">
        <x:v>2</x:v>
      </x:c>
      <x:c r="Q843" s="13" t="n">
        <x:f>IF(H843="","",H843/1000000000)</x:f>
        <x:v>0.3</x:v>
      </x:c>
      <x:c r="R843" s="13" t="n">
        <x:f>IF(I843="","",I843/1000000)</x:f>
        <x:v>5</x:v>
      </x:c>
    </x:row>
    <x:row r="844" ht="21" customHeight="1">
      <x:c r="A844" s="10" t="n">
        <x:v>937</x:v>
      </x:c>
      <x:c r="B844" s="2" t="str">
        <x:v>98a7f7463f199b73ad26</x:v>
      </x:c>
      <x:c r="C844" s="2" t="str">
        <x:v>Tp Hồ Chí Minh</x:v>
      </x:c>
      <x:c r="D844" s="2" t="str">
        <x:v>Quận Gò Vấp</x:v>
      </x:c>
      <x:c r="E844" s="2" t="str">
        <x:v>house</x:v>
      </x:c>
      <x:c r="F844" s="2" t="str">
        <x:v>sale</x:v>
      </x:c>
      <x:c r="G844" s="11" t="n">
        <x:v>35</x:v>
      </x:c>
      <x:c r="H844" s="12" t="n">
        <x:v>3690000000</x:v>
      </x:c>
      <x:c r="I844" s="12" t="n">
        <x:v>105428571.42857143</x:v>
      </x:c>
      <x:c r="J844" s="2" t="str">
        <x:v>total</x:v>
      </x:c>
      <x:c r="K844" s="2" t="str">
        <x:v>top_level_area</x:v>
      </x:c>
      <x:c r="L844" s="2" t="str">
        <x:v>property_type_inferred_from_title</x:v>
      </x:c>
      <x:c r="M844" s="10" t="n">
        <x:v>0</x:v>
      </x:c>
      <x:c r="N844" s="10" t="n">
        <x:v>0</x:v>
      </x:c>
      <x:c r="O844" s="2" t="str">
        <x:v>Tp Hồ Chí Minh|house</x:v>
      </x:c>
      <x:c r="P844" s="10" t="n">
        <x:v>2</x:v>
      </x:c>
      <x:c r="Q844" s="13" t="n">
        <x:f>IF(H844="","",H844/1000000000)</x:f>
        <x:v>3.69</x:v>
      </x:c>
      <x:c r="R844" s="13" t="n">
        <x:f>IF(I844="","",I844/1000000)</x:f>
        <x:v>105.42857142857143</x:v>
      </x:c>
    </x:row>
    <x:row r="845" ht="21" customHeight="1">
      <x:c r="A845" s="10" t="n">
        <x:v>938</x:v>
      </x:c>
      <x:c r="B845" s="2" t="str">
        <x:v>5cfd4fa315083f145302</x:v>
      </x:c>
      <x:c r="C845" s="2" t="str">
        <x:v>Tp Hồ Chí Minh</x:v>
      </x:c>
      <x:c r="D845" s="2" t="str">
        <x:v>Quận 12</x:v>
      </x:c>
      <x:c r="E845" s="2" t="str">
        <x:v>house</x:v>
      </x:c>
      <x:c r="F845" s="2" t="str">
        <x:v>sale</x:v>
      </x:c>
      <x:c r="G845" s="11" t="n">
        <x:v>48</x:v>
      </x:c>
      <x:c r="H845" s="12" t="n">
        <x:v>1999000000</x:v>
      </x:c>
      <x:c r="I845" s="12" t="n">
        <x:v>41645833.333333336</x:v>
      </x:c>
      <x:c r="J845" s="2" t="str">
        <x:v>total</x:v>
      </x:c>
      <x:c r="K845" s="2" t="str">
        <x:v>top_level_area</x:v>
      </x:c>
      <x:c r="L845" s="2" t="str">
        <x:v>property_type_inferred_from_title</x:v>
      </x:c>
      <x:c r="M845" s="10" t="n">
        <x:v>0</x:v>
      </x:c>
      <x:c r="N845" s="10" t="n">
        <x:v>0</x:v>
      </x:c>
      <x:c r="O845" s="2" t="str">
        <x:v>Tp Hồ Chí Minh|house</x:v>
      </x:c>
      <x:c r="P845" s="10" t="n">
        <x:v>2</x:v>
      </x:c>
      <x:c r="Q845" s="13" t="n">
        <x:f>IF(H845="","",H845/1000000000)</x:f>
        <x:v>1.999</x:v>
      </x:c>
      <x:c r="R845" s="13" t="n">
        <x:f>IF(I845="","",I845/1000000)</x:f>
        <x:v>41.645833333333336</x:v>
      </x:c>
    </x:row>
    <x:row r="846" ht="21" customHeight="1">
      <x:c r="A846" s="10" t="n">
        <x:v>939</x:v>
      </x:c>
      <x:c r="B846" s="2" t="str">
        <x:v>13a2d7ba17f5da57b9ab</x:v>
      </x:c>
      <x:c r="C846" s="2" t="str">
        <x:v>Tp Hồ Chí Minh</x:v>
      </x:c>
      <x:c r="D846" s="2" t="str">
        <x:v>Quận 12</x:v>
      </x:c>
      <x:c r="E846" s="2" t="str">
        <x:v>other_unknown</x:v>
      </x:c>
      <x:c r="F846" s="2" t="str">
        <x:v>sale_assumed</x:v>
      </x:c>
      <x:c r="G846" s="11" t="n">
        <x:v>36</x:v>
      </x:c>
      <x:c r="H846" s="12" t="n">
        <x:v>1770000000</x:v>
      </x:c>
      <x:c r="I846" s="12" t="n">
        <x:v>49166666.666666664</x:v>
      </x:c>
      <x:c r="J846" s="2" t="str">
        <x:v>total</x:v>
      </x:c>
      <x:c r="K846" s="2" t="str">
        <x:v>top_level_area</x:v>
      </x:c>
      <x:c r="L846" s="2" t="str">
        <x:v>property_type_inferred_from_title;transaction_assumed_sale_from_dataset_context;unknown_property_type</x:v>
      </x:c>
      <x:c r="M846" s="10" t="n">
        <x:v>0</x:v>
      </x:c>
      <x:c r="N846" s="10" t="n">
        <x:v>0</x:v>
      </x:c>
      <x:c r="O846" s="2" t="str">
        <x:v>Tp Hồ Chí Minh|other_unknown</x:v>
      </x:c>
      <x:c r="P846" s="10" t="n">
        <x:v>2</x:v>
      </x:c>
      <x:c r="Q846" s="13" t="n">
        <x:f>IF(H846="","",H846/1000000000)</x:f>
        <x:v>1.77</x:v>
      </x:c>
      <x:c r="R846" s="13" t="n">
        <x:f>IF(I846="","",I846/1000000)</x:f>
        <x:v>49.166666666666664</x:v>
      </x:c>
    </x:row>
    <x:row r="847" ht="21" customHeight="1">
      <x:c r="A847" s="10" t="n">
        <x:v>940</x:v>
      </x:c>
      <x:c r="B847" s="2" t="str">
        <x:v>dd8e7e7a5917788e3c52</x:v>
      </x:c>
      <x:c r="C847" s="2" t="str">
        <x:v>Bình Dương</x:v>
      </x:c>
      <x:c r="D847" s="2" t="str">
        <x:v>Thị xã Dĩ An</x:v>
      </x:c>
      <x:c r="E847" s="2" t="str">
        <x:v>house</x:v>
      </x:c>
      <x:c r="F847" s="2" t="str">
        <x:v>sale_assumed</x:v>
      </x:c>
      <x:c r="G847" s="11" t="n">
        <x:v>80</x:v>
      </x:c>
      <x:c r="H847" s="12" t="n">
        <x:v>2600000000</x:v>
      </x:c>
      <x:c r="I847" s="12" t="n">
        <x:v>32500000</x:v>
      </x:c>
      <x:c r="J847" s="2" t="str">
        <x:v>total</x:v>
      </x:c>
      <x:c r="K847" s="2" t="str">
        <x:v>top_level_area</x:v>
      </x:c>
      <x:c r="L847" s="2" t="str">
        <x:v>property_type_inferred_from_title;transaction_assumed_sale_from_dataset_context</x:v>
      </x:c>
      <x:c r="M847" s="10" t="n">
        <x:v>0</x:v>
      </x:c>
      <x:c r="N847" s="10" t="n">
        <x:v>0</x:v>
      </x:c>
      <x:c r="O847" s="2" t="str">
        <x:v>Bình Dương|house</x:v>
      </x:c>
      <x:c r="P847" s="10" t="n">
        <x:v>2</x:v>
      </x:c>
      <x:c r="Q847" s="13" t="n">
        <x:f>IF(H847="","",H847/1000000000)</x:f>
        <x:v>2.6</x:v>
      </x:c>
      <x:c r="R847" s="13" t="n">
        <x:f>IF(I847="","",I847/1000000)</x:f>
        <x:v>32.5</x:v>
      </x:c>
    </x:row>
    <x:row r="848" ht="21" customHeight="1">
      <x:c r="A848" s="10" t="n">
        <x:v>941</x:v>
      </x:c>
      <x:c r="B848" s="2" t="str">
        <x:v>dafff1b9967389394678</x:v>
      </x:c>
      <x:c r="C848" s="2" t="str">
        <x:v>Tp Hồ Chí Minh</x:v>
      </x:c>
      <x:c r="D848" s="2" t="str">
        <x:v>Quận 9</x:v>
      </x:c>
      <x:c r="E848" s="2" t="str">
        <x:v>land</x:v>
      </x:c>
      <x:c r="F848" s="2" t="str">
        <x:v>sale</x:v>
      </x:c>
      <x:c r="G848" s="11" t="n">
        <x:v>100</x:v>
      </x:c>
      <x:c r="H848" s="12" t="n">
        <x:v>2100000000</x:v>
      </x:c>
      <x:c r="I848" s="12" t="n">
        <x:v>21000000</x:v>
      </x:c>
      <x:c r="J848" s="2" t="str">
        <x:v>total</x:v>
      </x:c>
      <x:c r="K848" s="2" t="str">
        <x:v>top_level_area</x:v>
      </x:c>
      <x:c r="L848" s="2" t="str">
        <x:v>property_type_inferred_from_title</x:v>
      </x:c>
      <x:c r="M848" s="10" t="n">
        <x:v>0</x:v>
      </x:c>
      <x:c r="N848" s="10" t="n">
        <x:v>0</x:v>
      </x:c>
      <x:c r="O848" s="2" t="str">
        <x:v>Tp Hồ Chí Minh|land</x:v>
      </x:c>
      <x:c r="P848" s="10" t="n">
        <x:v>2</x:v>
      </x:c>
      <x:c r="Q848" s="13" t="n">
        <x:f>IF(H848="","",H848/1000000000)</x:f>
        <x:v>2.1</x:v>
      </x:c>
      <x:c r="R848" s="13" t="n">
        <x:f>IF(I848="","",I848/1000000)</x:f>
        <x:v>21</x:v>
      </x:c>
    </x:row>
    <x:row r="849" ht="21" customHeight="1">
      <x:c r="A849" s="10" t="n">
        <x:v>942</x:v>
      </x:c>
      <x:c r="B849" s="2" t="str">
        <x:v>a2cbdbe4d193339028d7</x:v>
      </x:c>
      <x:c r="C849" s="2" t="str">
        <x:v>Tp Hồ Chí Minh</x:v>
      </x:c>
      <x:c r="D849" s="2" t="str">
        <x:v>Quận 9</x:v>
      </x:c>
      <x:c r="E849" s="2" t="str">
        <x:v>land</x:v>
      </x:c>
      <x:c r="F849" s="2" t="str">
        <x:v>sale_assumed</x:v>
      </x:c>
      <x:c r="G849" s="11" t="n">
        <x:v>293.5</x:v>
      </x:c>
      <x:c r="H849" s="12" t="n">
        <x:v>4099999999.9999995</x:v>
      </x:c>
      <x:c r="I849" s="12" t="n">
        <x:v>13969335.604770016</x:v>
      </x:c>
      <x:c r="J849" s="2" t="str">
        <x:v>total</x:v>
      </x:c>
      <x:c r="K849" s="2" t="str">
        <x:v>top_level_area</x:v>
      </x:c>
      <x:c r="L849" s="2" t="str">
        <x:v>property_type_inferred_from_title;transaction_assumed_sale_from_dataset_context</x:v>
      </x:c>
      <x:c r="M849" s="10" t="n">
        <x:v>0</x:v>
      </x:c>
      <x:c r="N849" s="10" t="n">
        <x:v>0</x:v>
      </x:c>
      <x:c r="O849" s="2" t="str">
        <x:v>Tp Hồ Chí Minh|land</x:v>
      </x:c>
      <x:c r="P849" s="10" t="n">
        <x:v>2</x:v>
      </x:c>
      <x:c r="Q849" s="13" t="n">
        <x:f>IF(H849="","",H849/1000000000)</x:f>
        <x:v>4.1</x:v>
      </x:c>
      <x:c r="R849" s="13" t="n">
        <x:f>IF(I849="","",I849/1000000)</x:f>
        <x:v>13.969335604770016</x:v>
      </x:c>
    </x:row>
    <x:row r="850" ht="21" customHeight="1">
      <x:c r="A850" s="10" t="n">
        <x:v>943</x:v>
      </x:c>
      <x:c r="B850" s="2" t="str">
        <x:v>672d95f5469d7b3c7977</x:v>
      </x:c>
      <x:c r="C850" s="2" t="str">
        <x:v>Tp Hồ Chí Minh</x:v>
      </x:c>
      <x:c r="D850" s="2" t="str">
        <x:v>Quận 9</x:v>
      </x:c>
      <x:c r="E850" s="2" t="str">
        <x:v>land</x:v>
      </x:c>
      <x:c r="F850" s="2" t="str">
        <x:v>sale_assumed</x:v>
      </x:c>
      <x:c r="G850" s="11" t="n">
        <x:v>90</x:v>
      </x:c>
      <x:c r="H850" s="12" t="n">
        <x:v>1750000000</x:v>
      </x:c>
      <x:c r="I850" s="12" t="n">
        <x:v>19444444.444444444</x:v>
      </x:c>
      <x:c r="J850" s="2" t="str">
        <x:v>total</x:v>
      </x:c>
      <x:c r="K850" s="2" t="str">
        <x:v>top_level_area</x:v>
      </x:c>
      <x:c r="L850" s="2" t="str">
        <x:v>property_type_inferred_from_title;transaction_assumed_sale_from_dataset_context</x:v>
      </x:c>
      <x:c r="M850" s="10" t="n">
        <x:v>0</x:v>
      </x:c>
      <x:c r="N850" s="10" t="n">
        <x:v>0</x:v>
      </x:c>
      <x:c r="O850" s="2" t="str">
        <x:v>Tp Hồ Chí Minh|land</x:v>
      </x:c>
      <x:c r="P850" s="10" t="n">
        <x:v>2</x:v>
      </x:c>
      <x:c r="Q850" s="13" t="n">
        <x:f>IF(H850="","",H850/1000000000)</x:f>
        <x:v>1.75</x:v>
      </x:c>
      <x:c r="R850" s="13" t="n">
        <x:f>IF(I850="","",I850/1000000)</x:f>
        <x:v>19.444444444444443</x:v>
      </x:c>
    </x:row>
    <x:row r="851" ht="21" customHeight="1">
      <x:c r="A851" s="10" t="n">
        <x:v>944</x:v>
      </x:c>
      <x:c r="B851" s="2" t="str">
        <x:v>a7cbea632b0e0d56583f</x:v>
      </x:c>
      <x:c r="C851" s="2" t="str">
        <x:v>Tp Hồ Chí Minh</x:v>
      </x:c>
      <x:c r="D851" s="2" t="str">
        <x:v>Quận 9</x:v>
      </x:c>
      <x:c r="E851" s="2" t="str">
        <x:v>land</x:v>
      </x:c>
      <x:c r="F851" s="2" t="str">
        <x:v>sale_assumed</x:v>
      </x:c>
      <x:c r="G851" s="11" t="n">
        <x:v>75</x:v>
      </x:c>
      <x:c r="H851" s="12" t="n">
        <x:v>1450000000</x:v>
      </x:c>
      <x:c r="I851" s="12" t="n">
        <x:v>19333333.333333332</x:v>
      </x:c>
      <x:c r="J851" s="2" t="str">
        <x:v>total</x:v>
      </x:c>
      <x:c r="K851" s="2" t="str">
        <x:v>top_level_area</x:v>
      </x:c>
      <x:c r="L851" s="2" t="str">
        <x:v>property_type_inferred_from_title;transaction_assumed_sale_from_dataset_context</x:v>
      </x:c>
      <x:c r="M851" s="10" t="n">
        <x:v>0</x:v>
      </x:c>
      <x:c r="N851" s="10" t="n">
        <x:v>0</x:v>
      </x:c>
      <x:c r="O851" s="2" t="str">
        <x:v>Tp Hồ Chí Minh|land</x:v>
      </x:c>
      <x:c r="P851" s="10" t="n">
        <x:v>2</x:v>
      </x:c>
      <x:c r="Q851" s="13" t="n">
        <x:f>IF(H851="","",H851/1000000000)</x:f>
        <x:v>1.45</x:v>
      </x:c>
      <x:c r="R851" s="13" t="n">
        <x:f>IF(I851="","",I851/1000000)</x:f>
        <x:v>19.333333333333332</x:v>
      </x:c>
    </x:row>
    <x:row r="852" ht="21" customHeight="1">
      <x:c r="A852" s="10" t="n">
        <x:v>945</x:v>
      </x:c>
      <x:c r="B852" s="2" t="str">
        <x:v>b116d3fb4a96f026fec8</x:v>
      </x:c>
      <x:c r="C852" s="2" t="str">
        <x:v>Tp Hồ Chí Minh</x:v>
      </x:c>
      <x:c r="D852" s="2" t="str">
        <x:v>Quận Thủ Đức</x:v>
      </x:c>
      <x:c r="E852" s="2" t="str">
        <x:v>house</x:v>
      </x:c>
      <x:c r="F852" s="2" t="str">
        <x:v>sale_assumed</x:v>
      </x:c>
      <x:c r="G852" s="11" t="n">
        <x:v>65</x:v>
      </x:c>
      <x:c r="H852" s="12" t="n">
        <x:v>6100000000</x:v>
      </x:c>
      <x:c r="I852" s="12" t="n">
        <x:v>93846153.84615384</x:v>
      </x:c>
      <x:c r="J852" s="2" t="str">
        <x:v>total</x:v>
      </x:c>
      <x:c r="K852" s="2" t="str">
        <x:v>top_level_area</x:v>
      </x:c>
      <x:c r="L852" s="2" t="str">
        <x:v>property_type_inferred_from_title;transaction_assumed_sale_from_dataset_context</x:v>
      </x:c>
      <x:c r="M852" s="10" t="n">
        <x:v>0</x:v>
      </x:c>
      <x:c r="N852" s="10" t="n">
        <x:v>0</x:v>
      </x:c>
      <x:c r="O852" s="2" t="str">
        <x:v>Tp Hồ Chí Minh|house</x:v>
      </x:c>
      <x:c r="P852" s="10" t="n">
        <x:v>2</x:v>
      </x:c>
      <x:c r="Q852" s="13" t="n">
        <x:f>IF(H852="","",H852/1000000000)</x:f>
        <x:v>6.1</x:v>
      </x:c>
      <x:c r="R852" s="13" t="n">
        <x:f>IF(I852="","",I852/1000000)</x:f>
        <x:v>93.84615384615384</x:v>
      </x:c>
    </x:row>
    <x:row r="853" ht="21" customHeight="1">
      <x:c r="A853" s="10" t="n">
        <x:v>946</x:v>
      </x:c>
      <x:c r="B853" s="2" t="str">
        <x:v>98024d055c1e1a6f2bfb</x:v>
      </x:c>
      <x:c r="C853" s="2" t="str">
        <x:v>Bình Dương</x:v>
      </x:c>
      <x:c r="D853" s="2" t="str">
        <x:v>Thị xã Bến Cát</x:v>
      </x:c>
      <x:c r="E853" s="2" t="str">
        <x:v>other_unknown</x:v>
      </x:c>
      <x:c r="F853" s="2" t="str">
        <x:v>sale</x:v>
      </x:c>
      <x:c r="G853" s="11" t="n">
        <x:v>300</x:v>
      </x:c>
      <x:c r="H853" s="12" t="n">
        <x:v>1450000000</x:v>
      </x:c>
      <x:c r="I853" s="12" t="n">
        <x:v>4833333.333333333</x:v>
      </x:c>
      <x:c r="J853" s="2" t="str">
        <x:v>total</x:v>
      </x:c>
      <x:c r="K853" s="2" t="str">
        <x:v>top_level_area</x:v>
      </x:c>
      <x:c r="L853" s="2" t="str">
        <x:v>property_type_inferred_from_title;unknown_property_type</x:v>
      </x:c>
      <x:c r="M853" s="10" t="n">
        <x:v>0</x:v>
      </x:c>
      <x:c r="N853" s="10" t="n">
        <x:v>0</x:v>
      </x:c>
      <x:c r="O853" s="2" t="str">
        <x:v>Bình Dương|other_unknown</x:v>
      </x:c>
      <x:c r="P853" s="10" t="n">
        <x:v>1</x:v>
      </x:c>
      <x:c r="Q853" s="13" t="n">
        <x:f>IF(H853="","",H853/1000000000)</x:f>
        <x:v>1.45</x:v>
      </x:c>
      <x:c r="R853" s="13" t="n">
        <x:f>IF(I853="","",I853/1000000)</x:f>
        <x:v>4.833333333333333</x:v>
      </x:c>
    </x:row>
    <x:row r="854" ht="21" customHeight="1">
      <x:c r="A854" s="10" t="n">
        <x:v>947</x:v>
      </x:c>
      <x:c r="B854" s="2" t="str">
        <x:v>fc7ef2f0f60e13bf616e</x:v>
      </x:c>
      <x:c r="C854" s="2" t="str">
        <x:v>Tp Hồ Chí Minh</x:v>
      </x:c>
      <x:c r="D854" s="2" t="str">
        <x:v>Quận 9</x:v>
      </x:c>
      <x:c r="E854" s="2" t="str">
        <x:v>house</x:v>
      </x:c>
      <x:c r="F854" s="2" t="str">
        <x:v>sale</x:v>
      </x:c>
      <x:c r="G854" s="11" t="n">
        <x:v>96</x:v>
      </x:c>
      <x:c r="H854" s="12" t="n">
        <x:v>15000000000</x:v>
      </x:c>
      <x:c r="I854" s="12" t="n">
        <x:v>156250000</x:v>
      </x:c>
      <x:c r="J854" s="2" t="str">
        <x:v>total</x:v>
      </x:c>
      <x:c r="K854" s="2" t="str">
        <x:v>top_level_area</x:v>
      </x:c>
      <x:c r="L854" s="2" t="str">
        <x:v>property_type_inferred_from_title</x:v>
      </x:c>
      <x:c r="M854" s="10" t="n">
        <x:v>0</x:v>
      </x:c>
      <x:c r="N854" s="10" t="n">
        <x:v>0</x:v>
      </x:c>
      <x:c r="O854" s="2" t="str">
        <x:v>Tp Hồ Chí Minh|house</x:v>
      </x:c>
      <x:c r="P854" s="10" t="n">
        <x:v>2</x:v>
      </x:c>
      <x:c r="Q854" s="13" t="n">
        <x:f>IF(H854="","",H854/1000000000)</x:f>
        <x:v>15</x:v>
      </x:c>
      <x:c r="R854" s="13" t="n">
        <x:f>IF(I854="","",I854/1000000)</x:f>
        <x:v>156.25</x:v>
      </x:c>
    </x:row>
    <x:row r="855" ht="21" customHeight="1">
      <x:c r="A855" s="10" t="n">
        <x:v>948</x:v>
      </x:c>
      <x:c r="B855" s="2" t="str">
        <x:v>017a8cf4c7d10a521004</x:v>
      </x:c>
      <x:c r="C855" s="2" t="str">
        <x:v>Bình Dương</x:v>
      </x:c>
      <x:c r="D855" s="2" t="str">
        <x:v>Thị xã Tân Uyên</x:v>
      </x:c>
      <x:c r="E855" s="2" t="str">
        <x:v>house</x:v>
      </x:c>
      <x:c r="F855" s="2" t="str">
        <x:v>sale_assumed</x:v>
      </x:c>
      <x:c r="G855" s="11" t="n">
        <x:v>100</x:v>
      </x:c>
      <x:c r="H855" s="12" t="n">
        <x:v>2200000000</x:v>
      </x:c>
      <x:c r="I855" s="12" t="n">
        <x:v>22000000</x:v>
      </x:c>
      <x:c r="J855" s="2" t="str">
        <x:v>total</x:v>
      </x:c>
      <x:c r="K855" s="2" t="str">
        <x:v>top_level_area</x:v>
      </x:c>
      <x:c r="L855" s="2" t="str">
        <x:v>property_type_inferred_from_title;transaction_assumed_sale_from_dataset_context</x:v>
      </x:c>
      <x:c r="M855" s="10" t="n">
        <x:v>0</x:v>
      </x:c>
      <x:c r="N855" s="10" t="n">
        <x:v>0</x:v>
      </x:c>
      <x:c r="O855" s="2" t="str">
        <x:v>Bình Dương|house</x:v>
      </x:c>
      <x:c r="P855" s="10" t="n">
        <x:v>2</x:v>
      </x:c>
      <x:c r="Q855" s="13" t="n">
        <x:f>IF(H855="","",H855/1000000000)</x:f>
        <x:v>2.2</x:v>
      </x:c>
      <x:c r="R855" s="13" t="n">
        <x:f>IF(I855="","",I855/1000000)</x:f>
        <x:v>22</x:v>
      </x:c>
    </x:row>
    <x:row r="856" ht="21" customHeight="1">
      <x:c r="A856" s="10" t="n">
        <x:v>950</x:v>
      </x:c>
      <x:c r="B856" s="2" t="str">
        <x:v>2465aac91a9870d960a1</x:v>
      </x:c>
      <x:c r="C856" s="2" t="str">
        <x:v>Sóc Trăng</x:v>
      </x:c>
      <x:c r="D856" s="2" t="str">
        <x:v>Thành phố Sóc Trăng</x:v>
      </x:c>
      <x:c r="E856" s="2" t="str">
        <x:v>house</x:v>
      </x:c>
      <x:c r="F856" s="2" t="str">
        <x:v>sale_assumed</x:v>
      </x:c>
      <x:c r="G856" s="11" t="n">
        <x:v>100</x:v>
      </x:c>
      <x:c r="H856" s="12" t="n">
        <x:v>1320000000</x:v>
      </x:c>
      <x:c r="I856" s="12" t="n">
        <x:v>13200000</x:v>
      </x:c>
      <x:c r="J856" s="2" t="str">
        <x:v>total</x:v>
      </x:c>
      <x:c r="K856" s="2" t="str">
        <x:v>top_level_area</x:v>
      </x:c>
      <x:c r="L856" s="2" t="str">
        <x:v>property_type_inferred_from_title;transaction_assumed_sale_from_dataset_context</x:v>
      </x:c>
      <x:c r="M856" s="10" t="n">
        <x:v>0</x:v>
      </x:c>
      <x:c r="N856" s="10" t="n">
        <x:v>0</x:v>
      </x:c>
      <x:c r="O856" s="2" t="str">
        <x:v>house</x:v>
      </x:c>
      <x:c r="P856" s="10" t="n">
        <x:v>2</x:v>
      </x:c>
      <x:c r="Q856" s="13" t="n">
        <x:f>IF(H856="","",H856/1000000000)</x:f>
        <x:v>1.32</x:v>
      </x:c>
      <x:c r="R856" s="13" t="n">
        <x:f>IF(I856="","",I856/1000000)</x:f>
        <x:v>13.2</x:v>
      </x:c>
    </x:row>
    <x:row r="857" ht="21" customHeight="1">
      <x:c r="A857" s="10" t="n">
        <x:v>951</x:v>
      </x:c>
      <x:c r="B857" s="2" t="str">
        <x:v>d9fe7d4571cb003cb2b9</x:v>
      </x:c>
      <x:c r="C857" s="2" t="str">
        <x:v>Đà Nẵng</x:v>
      </x:c>
      <x:c r="D857" s="2" t="str">
        <x:v>Huyện Hòa Vang</x:v>
      </x:c>
      <x:c r="E857" s="2" t="str">
        <x:v>land</x:v>
      </x:c>
      <x:c r="F857" s="2" t="str">
        <x:v>sale_assumed</x:v>
      </x:c>
      <x:c r="G857" s="11" t="n">
        <x:v>400</x:v>
      </x:c>
      <x:c r="H857" s="12" t="n">
        <x:v>1250000000</x:v>
      </x:c>
      <x:c r="I857" s="12" t="n">
        <x:v>3125000</x:v>
      </x:c>
      <x:c r="J857" s="2" t="str">
        <x:v>total</x:v>
      </x:c>
      <x:c r="K857" s="2" t="str">
        <x:v>top_level_area</x:v>
      </x:c>
      <x:c r="L857" s="2" t="str">
        <x:v>property_type_inferred_from_title;transaction_assumed_sale_from_dataset_context</x:v>
      </x:c>
      <x:c r="M857" s="10" t="n">
        <x:v>0</x:v>
      </x:c>
      <x:c r="N857" s="10" t="n">
        <x:v>0</x:v>
      </x:c>
      <x:c r="O857" s="2" t="str">
        <x:v>Đà Nẵng|land</x:v>
      </x:c>
      <x:c r="P857" s="10" t="n">
        <x:v>1</x:v>
      </x:c>
      <x:c r="Q857" s="13" t="n">
        <x:f>IF(H857="","",H857/1000000000)</x:f>
        <x:v>1.25</x:v>
      </x:c>
      <x:c r="R857" s="13" t="n">
        <x:f>IF(I857="","",I857/1000000)</x:f>
        <x:v>3.125</x:v>
      </x:c>
    </x:row>
    <x:row r="858" ht="21" customHeight="1">
      <x:c r="A858" s="10" t="n">
        <x:v>952</x:v>
      </x:c>
      <x:c r="B858" s="2" t="str">
        <x:v>56f8068199575fa76dc0</x:v>
      </x:c>
      <x:c r="C858" s="2" t="str">
        <x:v>Tp Hồ Chí Minh</x:v>
      </x:c>
      <x:c r="D858" s="2" t="str">
        <x:v>Quận Bình Tân</x:v>
      </x:c>
      <x:c r="E858" s="2" t="str">
        <x:v>house</x:v>
      </x:c>
      <x:c r="F858" s="2" t="str">
        <x:v>sale_assumed</x:v>
      </x:c>
      <x:c r="G858" s="11" t="n">
        <x:v>100</x:v>
      </x:c>
      <x:c r="H858" s="12" t="n">
        <x:v>4000000000</x:v>
      </x:c>
      <x:c r="I858" s="12" t="n">
        <x:v>40000000</x:v>
      </x:c>
      <x:c r="J858" s="2" t="str">
        <x:v>total</x:v>
      </x:c>
      <x:c r="K858" s="2" t="str">
        <x:v>top_level_area</x:v>
      </x:c>
      <x:c r="L858" s="2" t="str">
        <x:v>property_type_inferred_from_title;transaction_assumed_sale_from_dataset_context</x:v>
      </x:c>
      <x:c r="M858" s="10" t="n">
        <x:v>0</x:v>
      </x:c>
      <x:c r="N858" s="10" t="n">
        <x:v>0</x:v>
      </x:c>
      <x:c r="O858" s="2" t="str">
        <x:v>Tp Hồ Chí Minh|house</x:v>
      </x:c>
      <x:c r="P858" s="10" t="n">
        <x:v>2</x:v>
      </x:c>
      <x:c r="Q858" s="13" t="n">
        <x:f>IF(H858="","",H858/1000000000)</x:f>
        <x:v>4</x:v>
      </x:c>
      <x:c r="R858" s="13" t="n">
        <x:f>IF(I858="","",I858/1000000)</x:f>
        <x:v>40</x:v>
      </x:c>
    </x:row>
    <x:row r="859" ht="21" customHeight="1">
      <x:c r="A859" s="10" t="n">
        <x:v>953</x:v>
      </x:c>
      <x:c r="B859" s="2" t="str">
        <x:v>b37aa0903702ae08ab1e</x:v>
      </x:c>
      <x:c r="C859" s="2" t="str">
        <x:v>Long An</x:v>
      </x:c>
      <x:c r="D859" s="2" t="str">
        <x:v>Huyện Đức Hòa</x:v>
      </x:c>
      <x:c r="E859" s="2" t="str">
        <x:v>land</x:v>
      </x:c>
      <x:c r="F859" s="2" t="str">
        <x:v>sale_assumed</x:v>
      </x:c>
      <x:c r="G859" s="11" t="n">
        <x:v>129</x:v>
      </x:c>
      <x:c r="H859" s="12" t="n">
        <x:v>650000000</x:v>
      </x:c>
      <x:c r="I859" s="12" t="n">
        <x:v>5038759.689922481</x:v>
      </x:c>
      <x:c r="J859" s="2" t="str">
        <x:v>total</x:v>
      </x:c>
      <x:c r="K859" s="2" t="str">
        <x:v>top_level_area</x:v>
      </x:c>
      <x:c r="L859" s="2" t="str">
        <x:v>property_type_inferred_from_title;transaction_assumed_sale_from_dataset_context</x:v>
      </x:c>
      <x:c r="M859" s="10" t="n">
        <x:v>0</x:v>
      </x:c>
      <x:c r="N859" s="10" t="n">
        <x:v>0</x:v>
      </x:c>
      <x:c r="O859" s="2" t="str">
        <x:v>Long An|land</x:v>
      </x:c>
      <x:c r="P859" s="10" t="n">
        <x:v>2</x:v>
      </x:c>
      <x:c r="Q859" s="13" t="n">
        <x:f>IF(H859="","",H859/1000000000)</x:f>
        <x:v>0.65</x:v>
      </x:c>
      <x:c r="R859" s="13" t="n">
        <x:f>IF(I859="","",I859/1000000)</x:f>
        <x:v>5.038759689922481</x:v>
      </x:c>
    </x:row>
    <x:row r="860" ht="21" customHeight="1">
      <x:c r="A860" s="10" t="n">
        <x:v>954</x:v>
      </x:c>
      <x:c r="B860" s="2" t="str">
        <x:v>e5ea039909218eef5891</x:v>
      </x:c>
      <x:c r="C860" s="2" t="str">
        <x:v>Bình Dương</x:v>
      </x:c>
      <x:c r="D860" s="2" t="str">
        <x:v>Thị xã Thuận An</x:v>
      </x:c>
      <x:c r="E860" s="2" t="str">
        <x:v>apartment</x:v>
      </x:c>
      <x:c r="F860" s="2" t="str">
        <x:v>sale</x:v>
      </x:c>
      <x:c r="G860" s="11" t="n">
        <x:v>61</x:v>
      </x:c>
      <x:c r="H860" s="12" t="n">
        <x:v>1200000000</x:v>
      </x:c>
      <x:c r="I860" s="12" t="n">
        <x:v>19672131.147540983</x:v>
      </x:c>
      <x:c r="J860" s="2" t="str">
        <x:v>total</x:v>
      </x:c>
      <x:c r="K860" s="2" t="str">
        <x:v>top_level_area</x:v>
      </x:c>
      <x:c r="L860" s="2" t="str">
        <x:v>property_type_inferred_from_title</x:v>
      </x:c>
      <x:c r="M860" s="10" t="n">
        <x:v>0</x:v>
      </x:c>
      <x:c r="N860" s="10" t="n">
        <x:v>0</x:v>
      </x:c>
      <x:c r="O860" s="2" t="str">
        <x:v>Bình Dương|apartment</x:v>
      </x:c>
      <x:c r="P860" s="10" t="n">
        <x:v>2</x:v>
      </x:c>
      <x:c r="Q860" s="13" t="n">
        <x:f>IF(H860="","",H860/1000000000)</x:f>
        <x:v>1.2</x:v>
      </x:c>
      <x:c r="R860" s="13" t="n">
        <x:f>IF(I860="","",I860/1000000)</x:f>
        <x:v>19.672131147540984</x:v>
      </x:c>
    </x:row>
    <x:row r="861" ht="21" customHeight="1">
      <x:c r="A861" s="10" t="n">
        <x:v>955</x:v>
      </x:c>
      <x:c r="B861" s="2" t="str">
        <x:v>c42c8cb458a2625adfe5</x:v>
      </x:c>
      <x:c r="C861" s="2" t="str">
        <x:v>Tp Hồ Chí Minh</x:v>
      </x:c>
      <x:c r="D861" s="2" t="str">
        <x:v>Quận Bình Thạnh</x:v>
      </x:c>
      <x:c r="E861" s="2" t="str">
        <x:v>house</x:v>
      </x:c>
      <x:c r="F861" s="2" t="str">
        <x:v>sale_assumed</x:v>
      </x:c>
      <x:c r="G861" s="11" t="n">
        <x:v>21</x:v>
      </x:c>
      <x:c r="H861" s="12" t="n">
        <x:v>3300000000</x:v>
      </x:c>
      <x:c r="I861" s="12" t="n">
        <x:v>157142857.14285713</x:v>
      </x:c>
      <x:c r="J861" s="2" t="str">
        <x:v>total</x:v>
      </x:c>
      <x:c r="K861" s="2" t="str">
        <x:v>top_level_area</x:v>
      </x:c>
      <x:c r="L861" s="2" t="str">
        <x:v>property_type_inferred_from_title;transaction_assumed_sale_from_dataset_context</x:v>
      </x:c>
      <x:c r="M861" s="10" t="n">
        <x:v>0</x:v>
      </x:c>
      <x:c r="N861" s="10" t="n">
        <x:v>0</x:v>
      </x:c>
      <x:c r="O861" s="2" t="str">
        <x:v>Tp Hồ Chí Minh|house</x:v>
      </x:c>
      <x:c r="P861" s="10" t="n">
        <x:v>2</x:v>
      </x:c>
      <x:c r="Q861" s="13" t="n">
        <x:f>IF(H861="","",H861/1000000000)</x:f>
        <x:v>3.3</x:v>
      </x:c>
      <x:c r="R861" s="13" t="n">
        <x:f>IF(I861="","",I861/1000000)</x:f>
        <x:v>157.14285714285714</x:v>
      </x:c>
    </x:row>
    <x:row r="862" ht="21" customHeight="1">
      <x:c r="A862" s="10" t="n">
        <x:v>956</x:v>
      </x:c>
      <x:c r="B862" s="2" t="str">
        <x:v>5d87bc28e4fcecf336dc</x:v>
      </x:c>
      <x:c r="C862" s="2" t="str">
        <x:v>Tp Hồ Chí Minh</x:v>
      </x:c>
      <x:c r="D862" s="2" t="str">
        <x:v>Quận 3</x:v>
      </x:c>
      <x:c r="E862" s="2" t="str">
        <x:v>house</x:v>
      </x:c>
      <x:c r="F862" s="2" t="str">
        <x:v>sale</x:v>
      </x:c>
      <x:c r="G862" s="11" t="n">
        <x:v>52</x:v>
      </x:c>
      <x:c r="H862" s="12" t="n">
        <x:v>1230000000</x:v>
      </x:c>
      <x:c r="I862" s="12" t="n">
        <x:v>23653846.153846152</x:v>
      </x:c>
      <x:c r="J862" s="2" t="str">
        <x:v>total</x:v>
      </x:c>
      <x:c r="K862" s="2" t="str">
        <x:v>top_level_area</x:v>
      </x:c>
      <x:c r="L862" s="2" t="str">
        <x:v>property_type_inferred_from_title</x:v>
      </x:c>
      <x:c r="M862" s="10" t="n">
        <x:v>0</x:v>
      </x:c>
      <x:c r="N862" s="10" t="n">
        <x:v>0</x:v>
      </x:c>
      <x:c r="O862" s="2" t="str">
        <x:v>Tp Hồ Chí Minh|house</x:v>
      </x:c>
      <x:c r="P862" s="10" t="n">
        <x:v>2</x:v>
      </x:c>
      <x:c r="Q862" s="13" t="n">
        <x:f>IF(H862="","",H862/1000000000)</x:f>
        <x:v>1.23</x:v>
      </x:c>
      <x:c r="R862" s="13" t="n">
        <x:f>IF(I862="","",I862/1000000)</x:f>
        <x:v>23.653846153846153</x:v>
      </x:c>
    </x:row>
    <x:row r="863" ht="21" customHeight="1">
      <x:c r="A863" s="10" t="n">
        <x:v>957</x:v>
      </x:c>
      <x:c r="B863" s="2" t="str">
        <x:v>fc5086b8eb9aebf55c45</x:v>
      </x:c>
      <x:c r="C863" s="2" t="str">
        <x:v>Tp Hồ Chí Minh</x:v>
      </x:c>
      <x:c r="D863" s="2" t="str">
        <x:v>Quận 4</x:v>
      </x:c>
      <x:c r="E863" s="2" t="str">
        <x:v>house</x:v>
      </x:c>
      <x:c r="F863" s="2" t="str">
        <x:v>sale_assumed</x:v>
      </x:c>
      <x:c r="G863" s="11" t="n">
        <x:v>53</x:v>
      </x:c>
      <x:c r="H863" s="12" t="n">
        <x:v>1450000000</x:v>
      </x:c>
      <x:c r="I863" s="12" t="n">
        <x:v>27358490.566037737</x:v>
      </x:c>
      <x:c r="J863" s="2" t="str">
        <x:v>total</x:v>
      </x:c>
      <x:c r="K863" s="2" t="str">
        <x:v>top_level_area</x:v>
      </x:c>
      <x:c r="L863" s="2" t="str">
        <x:v>property_type_inferred_from_title;transaction_assumed_sale_from_dataset_context</x:v>
      </x:c>
      <x:c r="M863" s="10" t="n">
        <x:v>0</x:v>
      </x:c>
      <x:c r="N863" s="10" t="n">
        <x:v>0</x:v>
      </x:c>
      <x:c r="O863" s="2" t="str">
        <x:v>Tp Hồ Chí Minh|house</x:v>
      </x:c>
      <x:c r="P863" s="10" t="n">
        <x:v>2</x:v>
      </x:c>
      <x:c r="Q863" s="13" t="n">
        <x:f>IF(H863="","",H863/1000000000)</x:f>
        <x:v>1.45</x:v>
      </x:c>
      <x:c r="R863" s="13" t="n">
        <x:f>IF(I863="","",I863/1000000)</x:f>
        <x:v>27.358490566037737</x:v>
      </x:c>
    </x:row>
    <x:row r="864" ht="21" customHeight="1">
      <x:c r="A864" s="10" t="n">
        <x:v>958</x:v>
      </x:c>
      <x:c r="B864" s="2" t="str">
        <x:v>13d962649c0df58c2e59</x:v>
      </x:c>
      <x:c r="C864" s="2" t="str">
        <x:v>Hà Nội</x:v>
      </x:c>
      <x:c r="D864" s="2" t="str">
        <x:v>Quận Đống Đa</x:v>
      </x:c>
      <x:c r="E864" s="2" t="str">
        <x:v>other_unknown</x:v>
      </x:c>
      <x:c r="F864" s="2" t="str">
        <x:v>sale_assumed</x:v>
      </x:c>
      <x:c r="G864" s="11" t="n">
        <x:v>41</x:v>
      </x:c>
      <x:c r="H864" s="12" t="n">
        <x:v>3750000000</x:v>
      </x:c>
      <x:c r="I864" s="12" t="n">
        <x:v>91463414.63414635</x:v>
      </x:c>
      <x:c r="J864" s="2" t="str">
        <x:v>total</x:v>
      </x:c>
      <x:c r="K864" s="2" t="str">
        <x:v>top_level_area</x:v>
      </x:c>
      <x:c r="L864" s="2" t="str">
        <x:v>property_type_inferred_from_title;transaction_assumed_sale_from_dataset_context;unknown_property_type</x:v>
      </x:c>
      <x:c r="M864" s="10" t="n">
        <x:v>0</x:v>
      </x:c>
      <x:c r="N864" s="10" t="n">
        <x:v>0</x:v>
      </x:c>
      <x:c r="O864" s="2" t="str">
        <x:v>Hà Nội|other_unknown</x:v>
      </x:c>
      <x:c r="P864" s="10" t="n">
        <x:v>2</x:v>
      </x:c>
      <x:c r="Q864" s="13" t="n">
        <x:f>IF(H864="","",H864/1000000000)</x:f>
        <x:v>3.75</x:v>
      </x:c>
      <x:c r="R864" s="13" t="n">
        <x:f>IF(I864="","",I864/1000000)</x:f>
        <x:v>91.46341463414635</x:v>
      </x:c>
    </x:row>
    <x:row r="865" ht="21" customHeight="1">
      <x:c r="A865" s="10" t="n">
        <x:v>959</x:v>
      </x:c>
      <x:c r="B865" s="2" t="str">
        <x:v>b9874fe22d57f9e5c653</x:v>
      </x:c>
      <x:c r="C865" s="2" t="str">
        <x:v>Tây Ninh</x:v>
      </x:c>
      <x:c r="D865" s="2" t="str">
        <x:v>Huyện Gò Dầu</x:v>
      </x:c>
      <x:c r="E865" s="2" t="str">
        <x:v>land</x:v>
      </x:c>
      <x:c r="F865" s="2" t="str">
        <x:v>sale</x:v>
      </x:c>
      <x:c r="G865" s="11" t="n">
        <x:v>240</x:v>
      </x:c>
      <x:c r="H865" s="12" t="n">
        <x:v>280000000</x:v>
      </x:c>
      <x:c r="I865" s="12" t="n">
        <x:v>1166666.6666666667</x:v>
      </x:c>
      <x:c r="J865" s="2" t="str">
        <x:v>total</x:v>
      </x:c>
      <x:c r="K865" s="2" t="str">
        <x:v>top_level_area</x:v>
      </x:c>
      <x:c r="L865" s="2" t="str">
        <x:v>property_type_inferred_from_title</x:v>
      </x:c>
      <x:c r="M865" s="10" t="n">
        <x:v>0</x:v>
      </x:c>
      <x:c r="N865" s="10" t="n">
        <x:v>0</x:v>
      </x:c>
      <x:c r="O865" s="2" t="str">
        <x:v>land</x:v>
      </x:c>
      <x:c r="P865" s="10" t="n">
        <x:v>1</x:v>
      </x:c>
      <x:c r="Q865" s="13" t="n">
        <x:f>IF(H865="","",H865/1000000000)</x:f>
        <x:v>0.28</x:v>
      </x:c>
      <x:c r="R865" s="13" t="n">
        <x:f>IF(I865="","",I865/1000000)</x:f>
        <x:v>1.1666666666666667</x:v>
      </x:c>
    </x:row>
    <x:row r="866" ht="21" customHeight="1">
      <x:c r="A866" s="10" t="n">
        <x:v>960</x:v>
      </x:c>
      <x:c r="B866" s="2" t="str">
        <x:v>d2be25e174f28dcc93b5</x:v>
      </x:c>
      <x:c r="C866" s="2" t="str">
        <x:v>Tp Hồ Chí Minh</x:v>
      </x:c>
      <x:c r="D866" s="2" t="str">
        <x:v>Huyện Hóc Môn</x:v>
      </x:c>
      <x:c r="E866" s="2" t="str">
        <x:v>house</x:v>
      </x:c>
      <x:c r="F866" s="2" t="str">
        <x:v>sale_assumed</x:v>
      </x:c>
      <x:c r="G866" s="11" t="n">
        <x:v>20</x:v>
      </x:c>
      <x:c r="H866" s="12" t="n">
        <x:v>870000000</x:v>
      </x:c>
      <x:c r="I866" s="12" t="n">
        <x:v>43500000</x:v>
      </x:c>
      <x:c r="J866" s="2" t="str">
        <x:v>total</x:v>
      </x:c>
      <x:c r="K866" s="2" t="str">
        <x:v>top_level_area</x:v>
      </x:c>
      <x:c r="L866" s="2" t="str">
        <x:v>property_type_inferred_from_title;transaction_assumed_sale_from_dataset_context</x:v>
      </x:c>
      <x:c r="M866" s="10" t="n">
        <x:v>0</x:v>
      </x:c>
      <x:c r="N866" s="10" t="n">
        <x:v>0</x:v>
      </x:c>
      <x:c r="O866" s="2" t="str">
        <x:v>Tp Hồ Chí Minh|house</x:v>
      </x:c>
      <x:c r="P866" s="10" t="n">
        <x:v>2</x:v>
      </x:c>
      <x:c r="Q866" s="13" t="n">
        <x:f>IF(H866="","",H866/1000000000)</x:f>
        <x:v>0.87</x:v>
      </x:c>
      <x:c r="R866" s="13" t="n">
        <x:f>IF(I866="","",I866/1000000)</x:f>
        <x:v>43.5</x:v>
      </x:c>
    </x:row>
    <x:row r="867" ht="21" customHeight="1">
      <x:c r="A867" s="10" t="n">
        <x:v>961</x:v>
      </x:c>
      <x:c r="B867" s="2" t="str">
        <x:v>df718097c11537a092e5</x:v>
      </x:c>
      <x:c r="C867" s="2" t="str">
        <x:v>Tp Hồ Chí Minh</x:v>
      </x:c>
      <x:c r="D867" s="2" t="str">
        <x:v>Quận Thủ Đức</x:v>
      </x:c>
      <x:c r="E867" s="2" t="str">
        <x:v>house</x:v>
      </x:c>
      <x:c r="F867" s="2" t="str">
        <x:v>sale</x:v>
      </x:c>
      <x:c r="G867" s="11" t="n">
        <x:v>68</x:v>
      </x:c>
      <x:c r="H867" s="12" t="n">
        <x:v>6000000000</x:v>
      </x:c>
      <x:c r="I867" s="12" t="n">
        <x:v>88235294.11764705</x:v>
      </x:c>
      <x:c r="J867" s="2" t="str">
        <x:v>total</x:v>
      </x:c>
      <x:c r="K867" s="2" t="str">
        <x:v>top_level_area</x:v>
      </x:c>
      <x:c r="L867" s="2" t="str">
        <x:v>property_type_inferred_from_title</x:v>
      </x:c>
      <x:c r="M867" s="10" t="n">
        <x:v>0</x:v>
      </x:c>
      <x:c r="N867" s="10" t="n">
        <x:v>0</x:v>
      </x:c>
      <x:c r="O867" s="2" t="str">
        <x:v>Tp Hồ Chí Minh|house</x:v>
      </x:c>
      <x:c r="P867" s="10" t="n">
        <x:v>2</x:v>
      </x:c>
      <x:c r="Q867" s="13" t="n">
        <x:f>IF(H867="","",H867/1000000000)</x:f>
        <x:v>6</x:v>
      </x:c>
      <x:c r="R867" s="13" t="n">
        <x:f>IF(I867="","",I867/1000000)</x:f>
        <x:v>88.23529411764706</x:v>
      </x:c>
    </x:row>
    <x:row r="868" ht="21" customHeight="1">
      <x:c r="A868" s="10" t="n">
        <x:v>962</x:v>
      </x:c>
      <x:c r="B868" s="2" t="str">
        <x:v>3292b2363b65cb61177b</x:v>
      </x:c>
      <x:c r="C868" s="2" t="str">
        <x:v>Tp Hồ Chí Minh</x:v>
      </x:c>
      <x:c r="D868" s="2" t="str">
        <x:v>Quận 9</x:v>
      </x:c>
      <x:c r="E868" s="2" t="str">
        <x:v>house</x:v>
      </x:c>
      <x:c r="F868" s="2" t="str">
        <x:v>sale</x:v>
      </x:c>
      <x:c r="G868" s="11" t="n">
        <x:v>174</x:v>
      </x:c>
      <x:c r="H868" s="12" t="n">
        <x:v>12500000000</x:v>
      </x:c>
      <x:c r="I868" s="12" t="n">
        <x:v>71839080.45977011</x:v>
      </x:c>
      <x:c r="J868" s="2" t="str">
        <x:v>total</x:v>
      </x:c>
      <x:c r="K868" s="2" t="str">
        <x:v>top_level_area</x:v>
      </x:c>
      <x:c r="L868" s="2" t="str">
        <x:v>property_type_inferred_from_title</x:v>
      </x:c>
      <x:c r="M868" s="10" t="n">
        <x:v>0</x:v>
      </x:c>
      <x:c r="N868" s="10" t="n">
        <x:v>0</x:v>
      </x:c>
      <x:c r="O868" s="2" t="str">
        <x:v>Tp Hồ Chí Minh|house</x:v>
      </x:c>
      <x:c r="P868" s="10" t="n">
        <x:v>2</x:v>
      </x:c>
      <x:c r="Q868" s="13" t="n">
        <x:f>IF(H868="","",H868/1000000000)</x:f>
        <x:v>12.5</x:v>
      </x:c>
      <x:c r="R868" s="13" t="n">
        <x:f>IF(I868="","",I868/1000000)</x:f>
        <x:v>71.83908045977012</x:v>
      </x:c>
    </x:row>
    <x:row r="869" ht="21" customHeight="1">
      <x:c r="A869" s="10" t="n">
        <x:v>963</x:v>
      </x:c>
      <x:c r="B869" s="2" t="str">
        <x:v>f2e53e45ab5664481abe</x:v>
      </x:c>
      <x:c r="C869" s="2" t="str">
        <x:v>Tp Hồ Chí Minh</x:v>
      </x:c>
      <x:c r="D869" s="2" t="str">
        <x:v>Quận 8</x:v>
      </x:c>
      <x:c r="E869" s="2" t="str">
        <x:v>other_unknown</x:v>
      </x:c>
      <x:c r="F869" s="2" t="str">
        <x:v>sale_assumed</x:v>
      </x:c>
      <x:c r="G869" s="11" t="n">
        <x:v>54</x:v>
      </x:c>
      <x:c r="H869" s="12" t="n">
        <x:v>340000000</x:v>
      </x:c>
      <x:c r="I869" s="12" t="n">
        <x:v>6296296.296296297</x:v>
      </x:c>
      <x:c r="J869" s="2" t="str">
        <x:v>total</x:v>
      </x:c>
      <x:c r="K869" s="2" t="str">
        <x:v>top_level_area</x:v>
      </x:c>
      <x:c r="L869" s="2" t="str">
        <x:v>property_type_inferred_from_title;transaction_assumed_sale_from_dataset_context;unknown_property_type</x:v>
      </x:c>
      <x:c r="M869" s="10" t="n">
        <x:v>0</x:v>
      </x:c>
      <x:c r="N869" s="10" t="n">
        <x:v>0</x:v>
      </x:c>
      <x:c r="O869" s="2" t="str">
        <x:v>Tp Hồ Chí Minh|other_unknown</x:v>
      </x:c>
      <x:c r="P869" s="10" t="n">
        <x:v>2</x:v>
      </x:c>
      <x:c r="Q869" s="13" t="n">
        <x:f>IF(H869="","",H869/1000000000)</x:f>
        <x:v>0.34</x:v>
      </x:c>
      <x:c r="R869" s="13" t="n">
        <x:f>IF(I869="","",I869/1000000)</x:f>
        <x:v>6.296296296296297</x:v>
      </x:c>
    </x:row>
    <x:row r="870" ht="21" customHeight="1">
      <x:c r="A870" s="10" t="n">
        <x:v>964</x:v>
      </x:c>
      <x:c r="B870" s="2" t="str">
        <x:v>054ea512e4f9a40ca9c7</x:v>
      </x:c>
      <x:c r="C870" s="2" t="str">
        <x:v>Tp Hồ Chí Minh</x:v>
      </x:c>
      <x:c r="D870" s="2" t="str">
        <x:v>Quận Gò Vấp</x:v>
      </x:c>
      <x:c r="E870" s="2" t="str">
        <x:v>house</x:v>
      </x:c>
      <x:c r="F870" s="2" t="str">
        <x:v>sale_assumed</x:v>
      </x:c>
      <x:c r="G870" s="11" t="n">
        <x:v>44</x:v>
      </x:c>
      <x:c r="H870" s="12" t="n">
        <x:v>5200000000</x:v>
      </x:c>
      <x:c r="I870" s="12" t="n">
        <x:v>118181818.18181819</x:v>
      </x:c>
      <x:c r="J870" s="2" t="str">
        <x:v>total</x:v>
      </x:c>
      <x:c r="K870" s="2" t="str">
        <x:v>top_level_area</x:v>
      </x:c>
      <x:c r="L870" s="2" t="str">
        <x:v>property_type_inferred_from_title;transaction_assumed_sale_from_dataset_context</x:v>
      </x:c>
      <x:c r="M870" s="10" t="n">
        <x:v>0</x:v>
      </x:c>
      <x:c r="N870" s="10" t="n">
        <x:v>0</x:v>
      </x:c>
      <x:c r="O870" s="2" t="str">
        <x:v>Tp Hồ Chí Minh|house</x:v>
      </x:c>
      <x:c r="P870" s="10" t="n">
        <x:v>2</x:v>
      </x:c>
      <x:c r="Q870" s="13" t="n">
        <x:f>IF(H870="","",H870/1000000000)</x:f>
        <x:v>5.2</x:v>
      </x:c>
      <x:c r="R870" s="13" t="n">
        <x:f>IF(I870="","",I870/1000000)</x:f>
        <x:v>118.18181818181819</x:v>
      </x:c>
    </x:row>
    <x:row r="871" ht="21" customHeight="1">
      <x:c r="A871" s="10" t="n">
        <x:v>965</x:v>
      </x:c>
      <x:c r="B871" s="2" t="str">
        <x:v>0105b387e0063fbc2a26</x:v>
      </x:c>
      <x:c r="C871" s="2" t="str">
        <x:v>Lâm Đồng</x:v>
      </x:c>
      <x:c r="D871" s="2" t="str">
        <x:v>Thành phố Bảo Lộc</x:v>
      </x:c>
      <x:c r="E871" s="2" t="str">
        <x:v>land</x:v>
      </x:c>
      <x:c r="F871" s="2" t="str">
        <x:v>sale_assumed</x:v>
      </x:c>
      <x:c r="G871" s="11" t="n">
        <x:v>125</x:v>
      </x:c>
      <x:c r="H871" s="12" t="n">
        <x:v>390000000</x:v>
      </x:c>
      <x:c r="I871" s="12" t="n">
        <x:v>3120000</x:v>
      </x:c>
      <x:c r="J871" s="2" t="str">
        <x:v>total</x:v>
      </x:c>
      <x:c r="K871" s="2" t="str">
        <x:v>top_level_price_embedded_area</x:v>
      </x:c>
      <x:c r="L871" s="2" t="str">
        <x:v>area_recovered_from_price_text;property_type_inferred_from_title;transaction_assumed_sale_from_dataset_context</x:v>
      </x:c>
      <x:c r="M871" s="10" t="n">
        <x:v>0</x:v>
      </x:c>
      <x:c r="N871" s="10" t="n">
        <x:v>0</x:v>
      </x:c>
      <x:c r="O871" s="2" t="str">
        <x:v>Lâm Đồng|land</x:v>
      </x:c>
      <x:c r="P871" s="10" t="n">
        <x:v>1</x:v>
      </x:c>
      <x:c r="Q871" s="13" t="n">
        <x:f>IF(H871="","",H871/1000000000)</x:f>
        <x:v>0.39</x:v>
      </x:c>
      <x:c r="R871" s="13" t="n">
        <x:f>IF(I871="","",I871/1000000)</x:f>
        <x:v>3.12</x:v>
      </x:c>
    </x:row>
    <x:row r="872" ht="21" customHeight="1">
      <x:c r="A872" s="10" t="n">
        <x:v>966</x:v>
      </x:c>
      <x:c r="B872" s="2" t="str">
        <x:v>271a94ebe4e39ac42975</x:v>
      </x:c>
      <x:c r="C872" s="2" t="str">
        <x:v>Tp Hồ Chí Minh</x:v>
      </x:c>
      <x:c r="D872" s="2" t="str">
        <x:v>Quận Gò Vấp</x:v>
      </x:c>
      <x:c r="E872" s="2" t="str">
        <x:v>house</x:v>
      </x:c>
      <x:c r="F872" s="2" t="str">
        <x:v>sale</x:v>
      </x:c>
      <x:c r="G872" s="11" t="n">
        <x:v>63</x:v>
      </x:c>
      <x:c r="H872" s="12" t="n">
        <x:v>1550000000</x:v>
      </x:c>
      <x:c r="I872" s="12" t="n">
        <x:v>24603174.603174604</x:v>
      </x:c>
      <x:c r="J872" s="2" t="str">
        <x:v>total</x:v>
      </x:c>
      <x:c r="K872" s="2" t="str">
        <x:v>top_level_area</x:v>
      </x:c>
      <x:c r="L872" s="2" t="str">
        <x:v>property_type_inferred_from_title</x:v>
      </x:c>
      <x:c r="M872" s="10" t="n">
        <x:v>0</x:v>
      </x:c>
      <x:c r="N872" s="10" t="n">
        <x:v>0</x:v>
      </x:c>
      <x:c r="O872" s="2" t="str">
        <x:v>Tp Hồ Chí Minh|house</x:v>
      </x:c>
      <x:c r="P872" s="10" t="n">
        <x:v>2</x:v>
      </x:c>
      <x:c r="Q872" s="13" t="n">
        <x:f>IF(H872="","",H872/1000000000)</x:f>
        <x:v>1.55</x:v>
      </x:c>
      <x:c r="R872" s="13" t="n">
        <x:f>IF(I872="","",I872/1000000)</x:f>
        <x:v>24.603174603174605</x:v>
      </x:c>
    </x:row>
    <x:row r="873" ht="21" customHeight="1">
      <x:c r="A873" s="10" t="n">
        <x:v>967</x:v>
      </x:c>
      <x:c r="B873" s="2" t="str">
        <x:v>61b3f8e5c93ab40dee05</x:v>
      </x:c>
      <x:c r="C873" s="2" t="str">
        <x:v>Hà Nội</x:v>
      </x:c>
      <x:c r="D873" s="2" t="str">
        <x:v>Thị xã Sơn Tây</x:v>
      </x:c>
      <x:c r="E873" s="2" t="str">
        <x:v>land</x:v>
      </x:c>
      <x:c r="F873" s="2" t="str">
        <x:v>sale</x:v>
      </x:c>
      <x:c r="G873" s="11" t="n">
        <x:v>100</x:v>
      </x:c>
      <x:c r="H873" s="12" t="n">
        <x:v>850000000</x:v>
      </x:c>
      <x:c r="I873" s="12" t="n">
        <x:v>8500000</x:v>
      </x:c>
      <x:c r="J873" s="2" t="str">
        <x:v>total</x:v>
      </x:c>
      <x:c r="K873" s="2" t="str">
        <x:v>top_level_area</x:v>
      </x:c>
      <x:c r="L873" s="2" t="str">
        <x:v>property_type_inferred_from_title</x:v>
      </x:c>
      <x:c r="M873" s="10" t="n">
        <x:v>0</x:v>
      </x:c>
      <x:c r="N873" s="10" t="n">
        <x:v>0</x:v>
      </x:c>
      <x:c r="O873" s="2" t="str">
        <x:v>Hà Nội|land</x:v>
      </x:c>
      <x:c r="P873" s="10" t="n">
        <x:v>2</x:v>
      </x:c>
      <x:c r="Q873" s="13" t="n">
        <x:f>IF(H873="","",H873/1000000000)</x:f>
        <x:v>0.85</x:v>
      </x:c>
      <x:c r="R873" s="13" t="n">
        <x:f>IF(I873="","",I873/1000000)</x:f>
        <x:v>8.5</x:v>
      </x:c>
    </x:row>
    <x:row r="874" ht="21" customHeight="1">
      <x:c r="A874" s="10" t="n">
        <x:v>968</x:v>
      </x:c>
      <x:c r="B874" s="2" t="str">
        <x:v>325340e6010490408812</x:v>
      </x:c>
      <x:c r="C874" s="2" t="str">
        <x:v>Tp Hồ Chí Minh</x:v>
      </x:c>
      <x:c r="D874" s="2" t="str">
        <x:v>Quận 3</x:v>
      </x:c>
      <x:c r="E874" s="2" t="str">
        <x:v>house</x:v>
      </x:c>
      <x:c r="F874" s="2" t="str">
        <x:v>sale_assumed</x:v>
      </x:c>
      <x:c r="G874" s="11" t="n">
        <x:v>24</x:v>
      </x:c>
      <x:c r="H874" s="12" t="n">
        <x:v>4350000000</x:v>
      </x:c>
      <x:c r="I874" s="12" t="n">
        <x:v>181250000</x:v>
      </x:c>
      <x:c r="J874" s="2" t="str">
        <x:v>total</x:v>
      </x:c>
      <x:c r="K874" s="2" t="str">
        <x:v>top_level_area</x:v>
      </x:c>
      <x:c r="L874" s="2" t="str">
        <x:v>property_type_inferred_from_title;transaction_assumed_sale_from_dataset_context</x:v>
      </x:c>
      <x:c r="M874" s="10" t="n">
        <x:v>1</x:v>
      </x:c>
      <x:c r="N874" s="10" t="n">
        <x:v>0</x:v>
      </x:c>
      <x:c r="O874" s="2" t="str">
        <x:v>Tp Hồ Chí Minh|house</x:v>
      </x:c>
      <x:c r="P874" s="10" t="n">
        <x:v>2</x:v>
      </x:c>
      <x:c r="Q874" s="13" t="n">
        <x:f>IF(H874="","",H874/1000000000)</x:f>
        <x:v>4.35</x:v>
      </x:c>
      <x:c r="R874" s="13" t="n">
        <x:f>IF(I874="","",I874/1000000)</x:f>
        <x:v>181.25</x:v>
      </x:c>
    </x:row>
    <x:row r="875" ht="21" customHeight="1">
      <x:c r="A875" s="10" t="n">
        <x:v>969</x:v>
      </x:c>
      <x:c r="B875" s="2" t="str">
        <x:v>c9ecd3de389eea474499</x:v>
      </x:c>
      <x:c r="C875" s="2" t="str">
        <x:v>Bình Dương</x:v>
      </x:c>
      <x:c r="D875" s="2" t="str">
        <x:v>Thị xã Bến Cát</x:v>
      </x:c>
      <x:c r="E875" s="2" t="str">
        <x:v>land</x:v>
      </x:c>
      <x:c r="F875" s="2" t="str">
        <x:v>sale_assumed</x:v>
      </x:c>
      <x:c r="G875" s="11" t="n">
        <x:v>200</x:v>
      </x:c>
      <x:c r="H875" s="12" t="n">
        <x:v>680000000</x:v>
      </x:c>
      <x:c r="I875" s="12" t="n">
        <x:v>3400000</x:v>
      </x:c>
      <x:c r="J875" s="2" t="str">
        <x:v>total</x:v>
      </x:c>
      <x:c r="K875" s="2" t="str">
        <x:v>top_level_area</x:v>
      </x:c>
      <x:c r="L875" s="2" t="str">
        <x:v>property_type_inferred_from_title;transaction_assumed_sale_from_dataset_context</x:v>
      </x:c>
      <x:c r="M875" s="10" t="n">
        <x:v>0</x:v>
      </x:c>
      <x:c r="N875" s="10" t="n">
        <x:v>0</x:v>
      </x:c>
      <x:c r="O875" s="2" t="str">
        <x:v>Bình Dương|land</x:v>
      </x:c>
      <x:c r="P875" s="10" t="n">
        <x:v>1</x:v>
      </x:c>
      <x:c r="Q875" s="13" t="n">
        <x:f>IF(H875="","",H875/1000000000)</x:f>
        <x:v>0.68</x:v>
      </x:c>
      <x:c r="R875" s="13" t="n">
        <x:f>IF(I875="","",I875/1000000)</x:f>
        <x:v>3.4</x:v>
      </x:c>
    </x:row>
    <x:row r="876" ht="21" customHeight="1">
      <x:c r="A876" s="10" t="n">
        <x:v>970</x:v>
      </x:c>
      <x:c r="B876" s="2" t="str">
        <x:v>18adcb9f81fd634006d3</x:v>
      </x:c>
      <x:c r="C876" s="2" t="str">
        <x:v>Tp Hồ Chí Minh</x:v>
      </x:c>
      <x:c r="D876" s="2" t="str">
        <x:v>Quận 12</x:v>
      </x:c>
      <x:c r="E876" s="2" t="str">
        <x:v>house</x:v>
      </x:c>
      <x:c r="F876" s="2" t="str">
        <x:v>sale</x:v>
      </x:c>
      <x:c r="G876" s="11" t="n">
        <x:v>49</x:v>
      </x:c>
      <x:c r="H876" s="12" t="n">
        <x:v>830000000</x:v>
      </x:c>
      <x:c r="I876" s="12" t="n">
        <x:v>16938775.51020408</x:v>
      </x:c>
      <x:c r="J876" s="2" t="str">
        <x:v>total</x:v>
      </x:c>
      <x:c r="K876" s="2" t="str">
        <x:v>top_level_area</x:v>
      </x:c>
      <x:c r="L876" s="2" t="str">
        <x:v>property_type_inferred_from_title</x:v>
      </x:c>
      <x:c r="M876" s="10" t="n">
        <x:v>0</x:v>
      </x:c>
      <x:c r="N876" s="10" t="n">
        <x:v>0</x:v>
      </x:c>
      <x:c r="O876" s="2" t="str">
        <x:v>Tp Hồ Chí Minh|house</x:v>
      </x:c>
      <x:c r="P876" s="10" t="n">
        <x:v>2</x:v>
      </x:c>
      <x:c r="Q876" s="13" t="n">
        <x:f>IF(H876="","",H876/1000000000)</x:f>
        <x:v>0.83</x:v>
      </x:c>
      <x:c r="R876" s="13" t="n">
        <x:f>IF(I876="","",I876/1000000)</x:f>
        <x:v>16.93877551020408</x:v>
      </x:c>
    </x:row>
    <x:row r="877" ht="21" customHeight="1">
      <x:c r="A877" s="10" t="n">
        <x:v>974</x:v>
      </x:c>
      <x:c r="B877" s="2" t="str">
        <x:v>b79e7017f5a45aef0b87</x:v>
      </x:c>
      <x:c r="C877" s="2" t="str">
        <x:v>Đồng Nai</x:v>
      </x:c>
      <x:c r="D877" s="2" t="str">
        <x:v>Huyện Long Thành</x:v>
      </x:c>
      <x:c r="E877" s="2" t="str">
        <x:v>land</x:v>
      </x:c>
      <x:c r="F877" s="2" t="str">
        <x:v>sale_assumed</x:v>
      </x:c>
      <x:c r="G877" s="11" t="n">
        <x:v>120</x:v>
      </x:c>
      <x:c r="H877" s="12" t="n">
        <x:v>690000000</x:v>
      </x:c>
      <x:c r="I877" s="12" t="n">
        <x:v>5750000</x:v>
      </x:c>
      <x:c r="J877" s="2" t="str">
        <x:v>total</x:v>
      </x:c>
      <x:c r="K877" s="2" t="str">
        <x:v>top_level_area</x:v>
      </x:c>
      <x:c r="L877" s="2" t="str">
        <x:v>property_type_inferred_from_title;transaction_assumed_sale_from_dataset_context</x:v>
      </x:c>
      <x:c r="M877" s="10" t="n">
        <x:v>0</x:v>
      </x:c>
      <x:c r="N877" s="10" t="n">
        <x:v>0</x:v>
      </x:c>
      <x:c r="O877" s="2" t="str">
        <x:v>Đồng Nai|land</x:v>
      </x:c>
      <x:c r="P877" s="10" t="n">
        <x:v>2</x:v>
      </x:c>
      <x:c r="Q877" s="13" t="n">
        <x:f>IF(H877="","",H877/1000000000)</x:f>
        <x:v>0.69</x:v>
      </x:c>
      <x:c r="R877" s="13" t="n">
        <x:f>IF(I877="","",I877/1000000)</x:f>
        <x:v>5.75</x:v>
      </x:c>
    </x:row>
    <x:row r="878" ht="21" customHeight="1">
      <x:c r="A878" s="10" t="n">
        <x:v>975</x:v>
      </x:c>
      <x:c r="B878" s="2" t="str">
        <x:v>e29f652ddb00428bf809</x:v>
      </x:c>
      <x:c r="C878" s="2" t="str">
        <x:v>Tp Hồ Chí Minh</x:v>
      </x:c>
      <x:c r="D878" s="2" t="str">
        <x:v>Quận Thủ Đức</x:v>
      </x:c>
      <x:c r="E878" s="2" t="str">
        <x:v>house</x:v>
      </x:c>
      <x:c r="F878" s="2" t="str">
        <x:v>sale_assumed</x:v>
      </x:c>
      <x:c r="G878" s="11" t="n">
        <x:v>90</x:v>
      </x:c>
      <x:c r="H878" s="12" t="n">
        <x:v>8900000000</x:v>
      </x:c>
      <x:c r="I878" s="12" t="n">
        <x:v>98888888.8888889</x:v>
      </x:c>
      <x:c r="J878" s="2" t="str">
        <x:v>total</x:v>
      </x:c>
      <x:c r="K878" s="2" t="str">
        <x:v>top_level_area</x:v>
      </x:c>
      <x:c r="L878" s="2" t="str">
        <x:v>property_type_inferred_from_title;transaction_assumed_sale_from_dataset_context</x:v>
      </x:c>
      <x:c r="M878" s="10" t="n">
        <x:v>0</x:v>
      </x:c>
      <x:c r="N878" s="10" t="n">
        <x:v>0</x:v>
      </x:c>
      <x:c r="O878" s="2" t="str">
        <x:v>Tp Hồ Chí Minh|house</x:v>
      </x:c>
      <x:c r="P878" s="10" t="n">
        <x:v>2</x:v>
      </x:c>
      <x:c r="Q878" s="13" t="n">
        <x:f>IF(H878="","",H878/1000000000)</x:f>
        <x:v>8.9</x:v>
      </x:c>
      <x:c r="R878" s="13" t="n">
        <x:f>IF(I878="","",I878/1000000)</x:f>
        <x:v>98.8888888888889</x:v>
      </x:c>
    </x:row>
    <x:row r="879" ht="21" customHeight="1">
      <x:c r="A879" s="10" t="n">
        <x:v>976</x:v>
      </x:c>
      <x:c r="B879" s="2" t="str">
        <x:v>46b7fd5311a4f553c2ba</x:v>
      </x:c>
      <x:c r="C879" s="2" t="str">
        <x:v>Bà Rịa - Vũng Tàu</x:v>
      </x:c>
      <x:c r="D879" s="2" t="str">
        <x:v>Thị xã Phú Mỹ</x:v>
      </x:c>
      <x:c r="E879" s="2" t="str">
        <x:v>land</x:v>
      </x:c>
      <x:c r="F879" s="2" t="str">
        <x:v>sale_assumed</x:v>
      </x:c>
      <x:c r="G879" s="11" t="n">
        <x:v>120</x:v>
      </x:c>
      <x:c r="H879" s="12" t="n">
        <x:v>890000000</x:v>
      </x:c>
      <x:c r="I879" s="12" t="n">
        <x:v>7416666.666666667</x:v>
      </x:c>
      <x:c r="J879" s="2" t="str">
        <x:v>total</x:v>
      </x:c>
      <x:c r="K879" s="2" t="str">
        <x:v>top_level_area</x:v>
      </x:c>
      <x:c r="L879" s="2" t="str">
        <x:v>property_type_inferred_from_title;transaction_assumed_sale_from_dataset_context</x:v>
      </x:c>
      <x:c r="M879" s="10" t="n">
        <x:v>0</x:v>
      </x:c>
      <x:c r="N879" s="10" t="n">
        <x:v>0</x:v>
      </x:c>
      <x:c r="O879" s="2" t="str">
        <x:v>Bà Rịa - Vũng Tàu|land</x:v>
      </x:c>
      <x:c r="P879" s="10" t="n">
        <x:v>2</x:v>
      </x:c>
      <x:c r="Q879" s="13" t="n">
        <x:f>IF(H879="","",H879/1000000000)</x:f>
        <x:v>0.89</x:v>
      </x:c>
      <x:c r="R879" s="13" t="n">
        <x:f>IF(I879="","",I879/1000000)</x:f>
        <x:v>7.416666666666667</x:v>
      </x:c>
    </x:row>
    <x:row r="880" ht="21" customHeight="1">
      <x:c r="A880" s="10" t="n">
        <x:v>977</x:v>
      </x:c>
      <x:c r="B880" s="2" t="str">
        <x:v>e441f0d5e0bf33f8c61e</x:v>
      </x:c>
      <x:c r="C880" s="2" t="str">
        <x:v>Nghệ An</x:v>
      </x:c>
      <x:c r="D880" s="2" t="str">
        <x:v>Huyện Quỳnh Lưu</x:v>
      </x:c>
      <x:c r="E880" s="2" t="str">
        <x:v>land</x:v>
      </x:c>
      <x:c r="F880" s="2" t="str">
        <x:v>sale</x:v>
      </x:c>
      <x:c r="G880" s="11" t="n">
        <x:v>300</x:v>
      </x:c>
      <x:c r="H880" s="12" t="n">
        <x:v>525000000</x:v>
      </x:c>
      <x:c r="I880" s="12" t="n">
        <x:v>1750000</x:v>
      </x:c>
      <x:c r="J880" s="2" t="str">
        <x:v>total</x:v>
      </x:c>
      <x:c r="K880" s="2" t="str">
        <x:v>top_level_area</x:v>
      </x:c>
      <x:c r="L880" s="2" t="str">
        <x:v>property_type_inferred_from_title</x:v>
      </x:c>
      <x:c r="M880" s="10" t="n">
        <x:v>0</x:v>
      </x:c>
      <x:c r="N880" s="10" t="n">
        <x:v>0</x:v>
      </x:c>
      <x:c r="O880" s="2" t="str">
        <x:v>land</x:v>
      </x:c>
      <x:c r="P880" s="10" t="n">
        <x:v>1</x:v>
      </x:c>
      <x:c r="Q880" s="13" t="n">
        <x:f>IF(H880="","",H880/1000000000)</x:f>
        <x:v>0.525</x:v>
      </x:c>
      <x:c r="R880" s="13" t="n">
        <x:f>IF(I880="","",I880/1000000)</x:f>
        <x:v>1.75</x:v>
      </x:c>
    </x:row>
    <x:row r="881" ht="21" customHeight="1">
      <x:c r="A881" s="10" t="n">
        <x:v>978</x:v>
      </x:c>
      <x:c r="B881" s="2" t="str">
        <x:v>8cd38bee5623d74acf7e</x:v>
      </x:c>
      <x:c r="C881" s="2" t="str">
        <x:v>Tp Hồ Chí Minh</x:v>
      </x:c>
      <x:c r="D881" s="2" t="str">
        <x:v>Quận 12</x:v>
      </x:c>
      <x:c r="E881" s="2" t="str">
        <x:v>house</x:v>
      </x:c>
      <x:c r="F881" s="2" t="str">
        <x:v>sale_assumed</x:v>
      </x:c>
      <x:c r="G881" s="11" t="n">
        <x:v>55</x:v>
      </x:c>
      <x:c r="H881" s="12" t="n">
        <x:v>3550000000</x:v>
      </x:c>
      <x:c r="I881" s="12" t="n">
        <x:v>64545454.54545455</x:v>
      </x:c>
      <x:c r="J881" s="2" t="str">
        <x:v>total</x:v>
      </x:c>
      <x:c r="K881" s="2" t="str">
        <x:v>top_level_area</x:v>
      </x:c>
      <x:c r="L881" s="2" t="str">
        <x:v>property_type_inferred_from_title;transaction_assumed_sale_from_dataset_context</x:v>
      </x:c>
      <x:c r="M881" s="10" t="n">
        <x:v>0</x:v>
      </x:c>
      <x:c r="N881" s="10" t="n">
        <x:v>0</x:v>
      </x:c>
      <x:c r="O881" s="2" t="str">
        <x:v>Tp Hồ Chí Minh|house</x:v>
      </x:c>
      <x:c r="P881" s="10" t="n">
        <x:v>2</x:v>
      </x:c>
      <x:c r="Q881" s="13" t="n">
        <x:f>IF(H881="","",H881/1000000000)</x:f>
        <x:v>3.55</x:v>
      </x:c>
      <x:c r="R881" s="13" t="n">
        <x:f>IF(I881="","",I881/1000000)</x:f>
        <x:v>64.54545454545455</x:v>
      </x:c>
    </x:row>
    <x:row r="882" ht="21" customHeight="1">
      <x:c r="A882" s="10" t="n">
        <x:v>979</x:v>
      </x:c>
      <x:c r="B882" s="2" t="str">
        <x:v>9ec9c30a52e5ca3d64bc</x:v>
      </x:c>
      <x:c r="C882" s="2" t="str">
        <x:v>Tp Hồ Chí Minh</x:v>
      </x:c>
      <x:c r="D882" s="2" t="str">
        <x:v>Quận Gò Vấp</x:v>
      </x:c>
      <x:c r="E882" s="2" t="str">
        <x:v>house</x:v>
      </x:c>
      <x:c r="F882" s="2" t="str">
        <x:v>sale_assumed</x:v>
      </x:c>
      <x:c r="G882" s="11" t="n">
        <x:v>100</x:v>
      </x:c>
      <x:c r="H882" s="12" t="n">
        <x:v>7100000000</x:v>
      </x:c>
      <x:c r="I882" s="12" t="n">
        <x:v>71000000</x:v>
      </x:c>
      <x:c r="J882" s="2" t="str">
        <x:v>total</x:v>
      </x:c>
      <x:c r="K882" s="2" t="str">
        <x:v>top_level_area</x:v>
      </x:c>
      <x:c r="L882" s="2" t="str">
        <x:v>property_type_inferred_from_title;transaction_assumed_sale_from_dataset_context</x:v>
      </x:c>
      <x:c r="M882" s="10" t="n">
        <x:v>0</x:v>
      </x:c>
      <x:c r="N882" s="10" t="n">
        <x:v>0</x:v>
      </x:c>
      <x:c r="O882" s="2" t="str">
        <x:v>Tp Hồ Chí Minh|house</x:v>
      </x:c>
      <x:c r="P882" s="10" t="n">
        <x:v>2</x:v>
      </x:c>
      <x:c r="Q882" s="13" t="n">
        <x:f>IF(H882="","",H882/1000000000)</x:f>
        <x:v>7.1</x:v>
      </x:c>
      <x:c r="R882" s="13" t="n">
        <x:f>IF(I882="","",I882/1000000)</x:f>
        <x:v>71</x:v>
      </x:c>
    </x:row>
    <x:row r="883" ht="21" customHeight="1">
      <x:c r="A883" s="10" t="n">
        <x:v>980</x:v>
      </x:c>
      <x:c r="B883" s="2" t="str">
        <x:v>228f57b31c5136c6879f</x:v>
      </x:c>
      <x:c r="C883" s="2" t="str">
        <x:v>Bình Dương</x:v>
      </x:c>
      <x:c r="D883" s="2" t="str">
        <x:v>Thị xã Dĩ An</x:v>
      </x:c>
      <x:c r="E883" s="2" t="str">
        <x:v>apartment</x:v>
      </x:c>
      <x:c r="F883" s="2" t="str">
        <x:v>sale_assumed</x:v>
      </x:c>
      <x:c r="G883" s="11" t="n">
        <x:v>40</x:v>
      </x:c>
      <x:c r="H883" s="12" t="n">
        <x:v>650000000</x:v>
      </x:c>
      <x:c r="I883" s="12" t="n">
        <x:v>16250000</x:v>
      </x:c>
      <x:c r="J883" s="2" t="str">
        <x:v>total</x:v>
      </x:c>
      <x:c r="K883" s="2" t="str">
        <x:v>top_level_area</x:v>
      </x:c>
      <x:c r="L883" s="2" t="str">
        <x:v>property_type_inferred_from_title;transaction_assumed_sale_from_dataset_context</x:v>
      </x:c>
      <x:c r="M883" s="10" t="n">
        <x:v>0</x:v>
      </x:c>
      <x:c r="N883" s="10" t="n">
        <x:v>0</x:v>
      </x:c>
      <x:c r="O883" s="2" t="str">
        <x:v>Bình Dương|apartment</x:v>
      </x:c>
      <x:c r="P883" s="10" t="n">
        <x:v>2</x:v>
      </x:c>
      <x:c r="Q883" s="13" t="n">
        <x:f>IF(H883="","",H883/1000000000)</x:f>
        <x:v>0.65</x:v>
      </x:c>
      <x:c r="R883" s="13" t="n">
        <x:f>IF(I883="","",I883/1000000)</x:f>
        <x:v>16.25</x:v>
      </x:c>
    </x:row>
    <x:row r="884" ht="21" customHeight="1">
      <x:c r="A884" s="10" t="n">
        <x:v>981</x:v>
      </x:c>
      <x:c r="B884" s="2" t="str">
        <x:v>dfd354ba247a3c7777a0</x:v>
      </x:c>
      <x:c r="C884" s="2" t="str">
        <x:v>Tp Hồ Chí Minh</x:v>
      </x:c>
      <x:c r="D884" s="2" t="str">
        <x:v>Quận Bình Tân</x:v>
      </x:c>
      <x:c r="E884" s="2" t="str">
        <x:v>house</x:v>
      </x:c>
      <x:c r="F884" s="2" t="str">
        <x:v>sale</x:v>
      </x:c>
      <x:c r="G884" s="11" t="n">
        <x:v>107</x:v>
      </x:c>
      <x:c r="H884" s="12" t="n">
        <x:v>4300000000</x:v>
      </x:c>
      <x:c r="I884" s="12" t="n">
        <x:v>40186915.88785047</x:v>
      </x:c>
      <x:c r="J884" s="2" t="str">
        <x:v>total</x:v>
      </x:c>
      <x:c r="K884" s="2" t="str">
        <x:v>top_level_area</x:v>
      </x:c>
      <x:c r="L884" s="2" t="str">
        <x:v>property_type_inferred_from_title</x:v>
      </x:c>
      <x:c r="M884" s="10" t="n">
        <x:v>0</x:v>
      </x:c>
      <x:c r="N884" s="10" t="n">
        <x:v>0</x:v>
      </x:c>
      <x:c r="O884" s="2" t="str">
        <x:v>Tp Hồ Chí Minh|house</x:v>
      </x:c>
      <x:c r="P884" s="10" t="n">
        <x:v>2</x:v>
      </x:c>
      <x:c r="Q884" s="13" t="n">
        <x:f>IF(H884="","",H884/1000000000)</x:f>
        <x:v>4.3</x:v>
      </x:c>
      <x:c r="R884" s="13" t="n">
        <x:f>IF(I884="","",I884/1000000)</x:f>
        <x:v>40.18691588785047</x:v>
      </x:c>
    </x:row>
    <x:row r="885" ht="21" customHeight="1">
      <x:c r="A885" s="10" t="n">
        <x:v>982</x:v>
      </x:c>
      <x:c r="B885" s="2" t="str">
        <x:v>465b4a5f52922e2e444d</x:v>
      </x:c>
      <x:c r="C885" s="2" t="str">
        <x:v>Tp Hồ Chí Minh</x:v>
      </x:c>
      <x:c r="D885" s="2" t="str">
        <x:v>Huyện Nhà Bè</x:v>
      </x:c>
      <x:c r="E885" s="2" t="str">
        <x:v>house</x:v>
      </x:c>
      <x:c r="F885" s="2" t="str">
        <x:v>sale</x:v>
      </x:c>
      <x:c r="G885" s="11" t="n">
        <x:v>56</x:v>
      </x:c>
      <x:c r="H885" s="12" t="n">
        <x:v>4099999999.9999995</x:v>
      </x:c>
      <x:c r="I885" s="12" t="n">
        <x:v>73214285.7142857</x:v>
      </x:c>
      <x:c r="J885" s="2" t="str">
        <x:v>total</x:v>
      </x:c>
      <x:c r="K885" s="2" t="str">
        <x:v>top_level_area</x:v>
      </x:c>
      <x:c r="L885" s="2" t="str">
        <x:v>property_type_inferred_from_title</x:v>
      </x:c>
      <x:c r="M885" s="10" t="n">
        <x:v>0</x:v>
      </x:c>
      <x:c r="N885" s="10" t="n">
        <x:v>0</x:v>
      </x:c>
      <x:c r="O885" s="2" t="str">
        <x:v>Tp Hồ Chí Minh|house</x:v>
      </x:c>
      <x:c r="P885" s="10" t="n">
        <x:v>2</x:v>
      </x:c>
      <x:c r="Q885" s="13" t="n">
        <x:f>IF(H885="","",H885/1000000000)</x:f>
        <x:v>4.1</x:v>
      </x:c>
      <x:c r="R885" s="13" t="n">
        <x:f>IF(I885="","",I885/1000000)</x:f>
        <x:v>73.21428571428571</x:v>
      </x:c>
    </x:row>
    <x:row r="886" ht="21" customHeight="1">
      <x:c r="A886" s="10" t="n">
        <x:v>983</x:v>
      </x:c>
      <x:c r="B886" s="2" t="str">
        <x:v>a769ad8477ef75b2012e</x:v>
      </x:c>
      <x:c r="C886" s="2" t="str">
        <x:v>Tp Hồ Chí Minh</x:v>
      </x:c>
      <x:c r="D886" s="2" t="str">
        <x:v>Huyện Nhà Bè</x:v>
      </x:c>
      <x:c r="E886" s="2" t="str">
        <x:v>house</x:v>
      </x:c>
      <x:c r="F886" s="2" t="str">
        <x:v>sale_assumed</x:v>
      </x:c>
      <x:c r="G886" s="11" t="n">
        <x:v>84</x:v>
      </x:c>
      <x:c r="H886" s="12" t="n">
        <x:v>3850000000</x:v>
      </x:c>
      <x:c r="I886" s="12" t="n">
        <x:v>45833333.333333336</x:v>
      </x:c>
      <x:c r="J886" s="2" t="str">
        <x:v>total</x:v>
      </x:c>
      <x:c r="K886" s="2" t="str">
        <x:v>top_level_area</x:v>
      </x:c>
      <x:c r="L886" s="2" t="str">
        <x:v>property_type_inferred_from_title;transaction_assumed_sale_from_dataset_context</x:v>
      </x:c>
      <x:c r="M886" s="10" t="n">
        <x:v>0</x:v>
      </x:c>
      <x:c r="N886" s="10" t="n">
        <x:v>0</x:v>
      </x:c>
      <x:c r="O886" s="2" t="str">
        <x:v>Tp Hồ Chí Minh|house</x:v>
      </x:c>
      <x:c r="P886" s="10" t="n">
        <x:v>2</x:v>
      </x:c>
      <x:c r="Q886" s="13" t="n">
        <x:f>IF(H886="","",H886/1000000000)</x:f>
        <x:v>3.85</x:v>
      </x:c>
      <x:c r="R886" s="13" t="n">
        <x:f>IF(I886="","",I886/1000000)</x:f>
        <x:v>45.833333333333336</x:v>
      </x:c>
    </x:row>
    <x:row r="887" ht="21" customHeight="1">
      <x:c r="A887" s="10" t="n">
        <x:v>984</x:v>
      </x:c>
      <x:c r="B887" s="2" t="str">
        <x:v>35488c7df9fbde708865</x:v>
      </x:c>
      <x:c r="C887" s="2" t="str">
        <x:v>Cần Thơ</x:v>
      </x:c>
      <x:c r="D887" s="2" t="str">
        <x:v>Quận Cái Răng</x:v>
      </x:c>
      <x:c r="E887" s="2" t="str">
        <x:v>land</x:v>
      </x:c>
      <x:c r="F887" s="2" t="str">
        <x:v>sale_assumed</x:v>
      </x:c>
      <x:c r="G887" s="11" t="n">
        <x:v>79.8</x:v>
      </x:c>
      <x:c r="H887" s="12" t="n">
        <x:v>3050000000</x:v>
      </x:c>
      <x:c r="I887" s="12" t="n">
        <x:v>38220551.37844612</x:v>
      </x:c>
      <x:c r="J887" s="2" t="str">
        <x:v>total</x:v>
      </x:c>
      <x:c r="K887" s="2" t="str">
        <x:v>top_level_area</x:v>
      </x:c>
      <x:c r="L887" s="2" t="str">
        <x:v>property_type_inferred_from_title;transaction_assumed_sale_from_dataset_context</x:v>
      </x:c>
      <x:c r="M887" s="10" t="n">
        <x:v>0</x:v>
      </x:c>
      <x:c r="N887" s="10" t="n">
        <x:v>0</x:v>
      </x:c>
      <x:c r="O887" s="2" t="str">
        <x:v>Cần Thơ|land</x:v>
      </x:c>
      <x:c r="P887" s="10" t="n">
        <x:v>2</x:v>
      </x:c>
      <x:c r="Q887" s="13" t="n">
        <x:f>IF(H887="","",H887/1000000000)</x:f>
        <x:v>3.05</x:v>
      </x:c>
      <x:c r="R887" s="13" t="n">
        <x:f>IF(I887="","",I887/1000000)</x:f>
        <x:v>38.22055137844612</x:v>
      </x:c>
    </x:row>
    <x:row r="888" ht="21" customHeight="1">
      <x:c r="A888" s="10" t="n">
        <x:v>985</x:v>
      </x:c>
      <x:c r="B888" s="2" t="str">
        <x:v>325b7ee8561c28c71d48</x:v>
      </x:c>
      <x:c r="C888" s="2" t="str">
        <x:v>Tp Hồ Chí Minh</x:v>
      </x:c>
      <x:c r="D888" s="2" t="str">
        <x:v>Quận 9</x:v>
      </x:c>
      <x:c r="E888" s="2" t="str">
        <x:v>land</x:v>
      </x:c>
      <x:c r="F888" s="2" t="str">
        <x:v>sale_assumed</x:v>
      </x:c>
      <x:c r="G888" s="11" t="n">
        <x:v>70</x:v>
      </x:c>
      <x:c r="H888" s="12" t="n">
        <x:v>1620000000</x:v>
      </x:c>
      <x:c r="I888" s="12" t="n">
        <x:v>23142857.14285714</x:v>
      </x:c>
      <x:c r="J888" s="2" t="str">
        <x:v>total</x:v>
      </x:c>
      <x:c r="K888" s="2" t="str">
        <x:v>top_level_area</x:v>
      </x:c>
      <x:c r="L888" s="2" t="str">
        <x:v>property_type_inferred_from_title;transaction_assumed_sale_from_dataset_context</x:v>
      </x:c>
      <x:c r="M888" s="10" t="n">
        <x:v>0</x:v>
      </x:c>
      <x:c r="N888" s="10" t="n">
        <x:v>0</x:v>
      </x:c>
      <x:c r="O888" s="2" t="str">
        <x:v>Tp Hồ Chí Minh|land</x:v>
      </x:c>
      <x:c r="P888" s="10" t="n">
        <x:v>2</x:v>
      </x:c>
      <x:c r="Q888" s="13" t="n">
        <x:f>IF(H888="","",H888/1000000000)</x:f>
        <x:v>1.62</x:v>
      </x:c>
      <x:c r="R888" s="13" t="n">
        <x:f>IF(I888="","",I888/1000000)</x:f>
        <x:v>23.142857142857142</x:v>
      </x:c>
    </x:row>
    <x:row r="889" ht="21" customHeight="1">
      <x:c r="A889" s="10" t="n">
        <x:v>986</x:v>
      </x:c>
      <x:c r="B889" s="2" t="str">
        <x:v>f6c58f41c7612570b1b5</x:v>
      </x:c>
      <x:c r="C889" s="2" t="str">
        <x:v>Tp Hồ Chí Minh</x:v>
      </x:c>
      <x:c r="D889" s="2" t="str">
        <x:v>Quận 10</x:v>
      </x:c>
      <x:c r="E889" s="2" t="str">
        <x:v>apartment</x:v>
      </x:c>
      <x:c r="F889" s="2" t="str">
        <x:v>sale</x:v>
      </x:c>
      <x:c r="G889" s="11" t="n">
        <x:v>60</x:v>
      </x:c>
      <x:c r="H889" s="12" t="n">
        <x:v>2990000000</x:v>
      </x:c>
      <x:c r="I889" s="12" t="n">
        <x:v>49833333.333333336</x:v>
      </x:c>
      <x:c r="J889" s="2" t="str">
        <x:v>total</x:v>
      </x:c>
      <x:c r="K889" s="2" t="str">
        <x:v>top_level_area</x:v>
      </x:c>
      <x:c r="L889" s="2" t="str">
        <x:v>property_type_inferred_from_title</x:v>
      </x:c>
      <x:c r="M889" s="10" t="n">
        <x:v>0</x:v>
      </x:c>
      <x:c r="N889" s="10" t="n">
        <x:v>0</x:v>
      </x:c>
      <x:c r="O889" s="2" t="str">
        <x:v>Tp Hồ Chí Minh|apartment</x:v>
      </x:c>
      <x:c r="P889" s="10" t="n">
        <x:v>2</x:v>
      </x:c>
      <x:c r="Q889" s="13" t="n">
        <x:f>IF(H889="","",H889/1000000000)</x:f>
        <x:v>2.99</x:v>
      </x:c>
      <x:c r="R889" s="13" t="n">
        <x:f>IF(I889="","",I889/1000000)</x:f>
        <x:v>49.833333333333336</x:v>
      </x:c>
    </x:row>
    <x:row r="890" ht="21" customHeight="1">
      <x:c r="A890" s="10" t="n">
        <x:v>987</x:v>
      </x:c>
      <x:c r="B890" s="2" t="str">
        <x:v>63e3cd8381c6c96a1467</x:v>
      </x:c>
      <x:c r="C890" s="2" t="str">
        <x:v>Tp Hồ Chí Minh</x:v>
      </x:c>
      <x:c r="D890" s="2" t="str">
        <x:v>Huyện Nhà Bè</x:v>
      </x:c>
      <x:c r="E890" s="2" t="str">
        <x:v>house</x:v>
      </x:c>
      <x:c r="F890" s="2" t="str">
        <x:v>sale_assumed</x:v>
      </x:c>
      <x:c r="G890" s="11" t="n">
        <x:v>17</x:v>
      </x:c>
      <x:c r="H890" s="12" t="n">
        <x:v>650000000</x:v>
      </x:c>
      <x:c r="I890" s="12" t="n">
        <x:v>38235294.11764706</x:v>
      </x:c>
      <x:c r="J890" s="2" t="str">
        <x:v>total</x:v>
      </x:c>
      <x:c r="K890" s="2" t="str">
        <x:v>top_level_area</x:v>
      </x:c>
      <x:c r="L890" s="2" t="str">
        <x:v>property_type_inferred_from_title;transaction_assumed_sale_from_dataset_context</x:v>
      </x:c>
      <x:c r="M890" s="10" t="n">
        <x:v>0</x:v>
      </x:c>
      <x:c r="N890" s="10" t="n">
        <x:v>0</x:v>
      </x:c>
      <x:c r="O890" s="2" t="str">
        <x:v>Tp Hồ Chí Minh|house</x:v>
      </x:c>
      <x:c r="P890" s="10" t="n">
        <x:v>2</x:v>
      </x:c>
      <x:c r="Q890" s="13" t="n">
        <x:f>IF(H890="","",H890/1000000000)</x:f>
        <x:v>0.65</x:v>
      </x:c>
      <x:c r="R890" s="13" t="n">
        <x:f>IF(I890="","",I890/1000000)</x:f>
        <x:v>38.23529411764706</x:v>
      </x:c>
    </x:row>
    <x:row r="891" ht="21" customHeight="1">
      <x:c r="A891" s="10" t="n">
        <x:v>988</x:v>
      </x:c>
      <x:c r="B891" s="2" t="str">
        <x:v>9c334e7ce7340cd2a7b0</x:v>
      </x:c>
      <x:c r="C891" s="2" t="str">
        <x:v>Hà Nội</x:v>
      </x:c>
      <x:c r="D891" s="2" t="str">
        <x:v>Quận Đống Đa</x:v>
      </x:c>
      <x:c r="E891" s="2" t="str">
        <x:v>other_unknown</x:v>
      </x:c>
      <x:c r="F891" s="2" t="str">
        <x:v>sale_assumed</x:v>
      </x:c>
      <x:c r="G891" s="11" t="n">
        <x:v>41</x:v>
      </x:c>
      <x:c r="H891" s="12" t="n">
        <x:v>3750000000</x:v>
      </x:c>
      <x:c r="I891" s="12" t="n">
        <x:v>91463414.63414635</x:v>
      </x:c>
      <x:c r="J891" s="2" t="str">
        <x:v>total</x:v>
      </x:c>
      <x:c r="K891" s="2" t="str">
        <x:v>top_level_area</x:v>
      </x:c>
      <x:c r="L891" s="2" t="str">
        <x:v>property_type_inferred_from_title;transaction_assumed_sale_from_dataset_context;unknown_property_type</x:v>
      </x:c>
      <x:c r="M891" s="10" t="n">
        <x:v>0</x:v>
      </x:c>
      <x:c r="N891" s="10" t="n">
        <x:v>0</x:v>
      </x:c>
      <x:c r="O891" s="2" t="str">
        <x:v>Hà Nội|other_unknown</x:v>
      </x:c>
      <x:c r="P891" s="10" t="n">
        <x:v>2</x:v>
      </x:c>
      <x:c r="Q891" s="13" t="n">
        <x:f>IF(H891="","",H891/1000000000)</x:f>
        <x:v>3.75</x:v>
      </x:c>
      <x:c r="R891" s="13" t="n">
        <x:f>IF(I891="","",I891/1000000)</x:f>
        <x:v>91.46341463414635</x:v>
      </x:c>
    </x:row>
    <x:row r="892" ht="21" customHeight="1">
      <x:c r="A892" s="10" t="n">
        <x:v>989</x:v>
      </x:c>
      <x:c r="B892" s="2" t="str">
        <x:v>a0b6d45a718c9de8fd29</x:v>
      </x:c>
      <x:c r="C892" s="2" t="str">
        <x:v>Tp Hồ Chí Minh</x:v>
      </x:c>
      <x:c r="D892" s="2" t="str">
        <x:v>Huyện Hóc Môn</x:v>
      </x:c>
      <x:c r="E892" s="2" t="str">
        <x:v>house</x:v>
      </x:c>
      <x:c r="F892" s="2" t="str">
        <x:v>sale</x:v>
      </x:c>
      <x:c r="G892" s="11" t="n">
        <x:v>64</x:v>
      </x:c>
      <x:c r="H892" s="12" t="n">
        <x:v>2250000000</x:v>
      </x:c>
      <x:c r="I892" s="12" t="n">
        <x:v>35156250</x:v>
      </x:c>
      <x:c r="J892" s="2" t="str">
        <x:v>total</x:v>
      </x:c>
      <x:c r="K892" s="2" t="str">
        <x:v>top_level_area</x:v>
      </x:c>
      <x:c r="L892" s="2" t="str">
        <x:v>property_type_inferred_from_title</x:v>
      </x:c>
      <x:c r="M892" s="10" t="n">
        <x:v>0</x:v>
      </x:c>
      <x:c r="N892" s="10" t="n">
        <x:v>0</x:v>
      </x:c>
      <x:c r="O892" s="2" t="str">
        <x:v>Tp Hồ Chí Minh|house</x:v>
      </x:c>
      <x:c r="P892" s="10" t="n">
        <x:v>2</x:v>
      </x:c>
      <x:c r="Q892" s="13" t="n">
        <x:f>IF(H892="","",H892/1000000000)</x:f>
        <x:v>2.25</x:v>
      </x:c>
      <x:c r="R892" s="13" t="n">
        <x:f>IF(I892="","",I892/1000000)</x:f>
        <x:v>35.15625</x:v>
      </x:c>
    </x:row>
    <x:row r="893" ht="21" customHeight="1">
      <x:c r="A893" s="10" t="n">
        <x:v>990</x:v>
      </x:c>
      <x:c r="B893" s="2" t="str">
        <x:v>dd2eaf617f879bc67bee</x:v>
      </x:c>
      <x:c r="C893" s="2" t="str">
        <x:v>Đà Nẵng</x:v>
      </x:c>
      <x:c r="D893" s="2" t="str">
        <x:v>Quận Hải Châu</x:v>
      </x:c>
      <x:c r="E893" s="2" t="str">
        <x:v>other_unknown</x:v>
      </x:c>
      <x:c r="F893" s="2" t="str">
        <x:v>sale_assumed</x:v>
      </x:c>
      <x:c r="G893" s="11" t="n">
        <x:v>30</x:v>
      </x:c>
      <x:c r="H893" s="12" t="n">
        <x:v>40000000</x:v>
      </x:c>
      <x:c r="I893" s="12" t="n">
        <x:v>1333333.3333333333</x:v>
      </x:c>
      <x:c r="J893" s="2" t="str">
        <x:v>total</x:v>
      </x:c>
      <x:c r="K893" s="2" t="str">
        <x:v>top_level_area</x:v>
      </x:c>
      <x:c r="L893" s="2" t="str">
        <x:v>property_type_inferred_from_title;transaction_assumed_sale_from_dataset_context;unknown_property_type</x:v>
      </x:c>
      <x:c r="M893" s="10" t="n">
        <x:v>0</x:v>
      </x:c>
      <x:c r="N893" s="10" t="n">
        <x:v>0</x:v>
      </x:c>
      <x:c r="O893" s="2" t="str">
        <x:v>Đà Nẵng|other_unknown</x:v>
      </x:c>
      <x:c r="P893" s="10" t="n">
        <x:v>2</x:v>
      </x:c>
      <x:c r="Q893" s="13" t="n">
        <x:f>IF(H893="","",H893/1000000000)</x:f>
        <x:v>0.04</x:v>
      </x:c>
      <x:c r="R893" s="13" t="n">
        <x:f>IF(I893="","",I893/1000000)</x:f>
        <x:v>1.3333333333333333</x:v>
      </x:c>
    </x:row>
    <x:row r="894" ht="21" customHeight="1">
      <x:c r="A894" s="10" t="n">
        <x:v>991</x:v>
      </x:c>
      <x:c r="B894" s="2" t="str">
        <x:v>1e8d7c20705a08072c1e</x:v>
      </x:c>
      <x:c r="C894" s="2" t="str">
        <x:v>Tp Hồ Chí Minh</x:v>
      </x:c>
      <x:c r="D894" s="2" t="str">
        <x:v>Quận 1</x:v>
      </x:c>
      <x:c r="E894" s="2" t="str">
        <x:v>apartment</x:v>
      </x:c>
      <x:c r="F894" s="2" t="str">
        <x:v>sale</x:v>
      </x:c>
      <x:c r="G894" s="11" t="n">
        <x:v>24.05</x:v>
      </x:c>
      <x:c r="H894" s="12" t="n">
        <x:v>3500000000</x:v>
      </x:c>
      <x:c r="I894" s="12" t="n">
        <x:v>145530145.53014553</x:v>
      </x:c>
      <x:c r="J894" s="2" t="str">
        <x:v>total</x:v>
      </x:c>
      <x:c r="K894" s="2" t="str">
        <x:v>top_level_area</x:v>
      </x:c>
      <x:c r="L894" s="2" t="str">
        <x:v>property_type_inferred_from_title</x:v>
      </x:c>
      <x:c r="M894" s="10" t="n">
        <x:v>0</x:v>
      </x:c>
      <x:c r="N894" s="10" t="n">
        <x:v>1</x:v>
      </x:c>
      <x:c r="O894" s="2" t="str">
        <x:v>Tp Hồ Chí Minh|apartment</x:v>
      </x:c>
      <x:c r="P894" s="10" t="n">
        <x:v>-1</x:v>
      </x:c>
      <x:c r="Q894" s="13" t="n">
        <x:f>IF(H894="","",H894/1000000000)</x:f>
        <x:v>3.5</x:v>
      </x:c>
      <x:c r="R894" s="13" t="n">
        <x:f>IF(I894="","",I894/1000000)</x:f>
        <x:v>145.53014553014552</x:v>
      </x:c>
    </x:row>
    <x:row r="895" ht="21" customHeight="1">
      <x:c r="A895" s="10" t="n">
        <x:v>992</x:v>
      </x:c>
      <x:c r="B895" s="2" t="str">
        <x:v>45b9409c01fce6ba93e1</x:v>
      </x:c>
      <x:c r="C895" s="2" t="str">
        <x:v>Đà Nẵng</x:v>
      </x:c>
      <x:c r="D895" s="2" t="str">
        <x:v>Quận Hải Châu</x:v>
      </x:c>
      <x:c r="E895" s="2" t="str">
        <x:v>house</x:v>
      </x:c>
      <x:c r="F895" s="2" t="str">
        <x:v>sale_assumed</x:v>
      </x:c>
      <x:c r="G895" s="11" t="n">
        <x:v>39</x:v>
      </x:c>
      <x:c r="H895" s="12" t="n">
        <x:v>1670000000</x:v>
      </x:c>
      <x:c r="I895" s="12" t="n">
        <x:v>42820512.820512824</x:v>
      </x:c>
      <x:c r="J895" s="2" t="str">
        <x:v>total</x:v>
      </x:c>
      <x:c r="K895" s="2" t="str">
        <x:v>top_level_area</x:v>
      </x:c>
      <x:c r="L895" s="2" t="str">
        <x:v>property_type_inferred_from_title;transaction_assumed_sale_from_dataset_context</x:v>
      </x:c>
      <x:c r="M895" s="10" t="n">
        <x:v>0</x:v>
      </x:c>
      <x:c r="N895" s="10" t="n">
        <x:v>0</x:v>
      </x:c>
      <x:c r="O895" s="2" t="str">
        <x:v>Đà Nẵng|house</x:v>
      </x:c>
      <x:c r="P895" s="10" t="n">
        <x:v>2</x:v>
      </x:c>
      <x:c r="Q895" s="13" t="n">
        <x:f>IF(H895="","",H895/1000000000)</x:f>
        <x:v>1.67</x:v>
      </x:c>
      <x:c r="R895" s="13" t="n">
        <x:f>IF(I895="","",I895/1000000)</x:f>
        <x:v>42.820512820512825</x:v>
      </x:c>
    </x:row>
    <x:row r="896" ht="21" customHeight="1">
      <x:c r="A896" s="10" t="n">
        <x:v>994</x:v>
      </x:c>
      <x:c r="B896" s="2" t="str">
        <x:v>75dabf5fe975c891291c</x:v>
      </x:c>
      <x:c r="C896" s="2" t="str">
        <x:v>Long An</x:v>
      </x:c>
      <x:c r="D896" s="2" t="str">
        <x:v>Chưa xác định</x:v>
      </x:c>
      <x:c r="E896" s="2" t="str">
        <x:v>other_unknown</x:v>
      </x:c>
      <x:c r="F896" s="2" t="str">
        <x:v>sale_assumed</x:v>
      </x:c>
      <x:c r="G896" s="11" t="n">
        <x:v>100</x:v>
      </x:c>
      <x:c r="H896" s="12" t="n">
        <x:v>3800000000</x:v>
      </x:c>
      <x:c r="I896" s="12" t="n">
        <x:v>38000000</x:v>
      </x:c>
      <x:c r="J896" s="2" t="str">
        <x:v>total</x:v>
      </x:c>
      <x:c r="K896" s="2" t="str">
        <x:v>top_level_area</x:v>
      </x:c>
      <x:c r="L896" s="2" t="str">
        <x:v>property_type_inferred_from_title;province_alias_normalized;transaction_assumed_sale_from_dataset_context;unknown_district;unknown_property_type</x:v>
      </x:c>
      <x:c r="M896" s="10" t="n">
        <x:v>0</x:v>
      </x:c>
      <x:c r="N896" s="10" t="n">
        <x:v>1</x:v>
      </x:c>
      <x:c r="O896" s="2" t="str">
        <x:v>Long An|other_unknown</x:v>
      </x:c>
      <x:c r="P896" s="10" t="n">
        <x:v>-1</x:v>
      </x:c>
      <x:c r="Q896" s="13" t="n">
        <x:f>IF(H896="","",H896/1000000000)</x:f>
        <x:v>3.8</x:v>
      </x:c>
      <x:c r="R896" s="13" t="n">
        <x:f>IF(I896="","",I896/1000000)</x:f>
        <x:v>38</x:v>
      </x:c>
    </x:row>
    <x:row r="897" ht="21" customHeight="1">
      <x:c r="A897" s="10" t="n">
        <x:v>995</x:v>
      </x:c>
      <x:c r="B897" s="2" t="str">
        <x:v>cd65f27fc37e5c57f557</x:v>
      </x:c>
      <x:c r="C897" s="2" t="str">
        <x:v>Tp Hồ Chí Minh</x:v>
      </x:c>
      <x:c r="D897" s="2" t="str">
        <x:v>Quận Gò Vấp</x:v>
      </x:c>
      <x:c r="E897" s="2" t="str">
        <x:v>house</x:v>
      </x:c>
      <x:c r="F897" s="2" t="str">
        <x:v>sale_assumed</x:v>
      </x:c>
      <x:c r="G897" s="11" t="n">
        <x:v>37</x:v>
      </x:c>
      <x:c r="H897" s="12" t="n">
        <x:v>3000000000</x:v>
      </x:c>
      <x:c r="I897" s="12" t="n">
        <x:v>81081081.08108108</x:v>
      </x:c>
      <x:c r="J897" s="2" t="str">
        <x:v>total</x:v>
      </x:c>
      <x:c r="K897" s="2" t="str">
        <x:v>top_level_area</x:v>
      </x:c>
      <x:c r="L897" s="2" t="str">
        <x:v>property_type_inferred_from_title;transaction_assumed_sale_from_dataset_context</x:v>
      </x:c>
      <x:c r="M897" s="10" t="n">
        <x:v>0</x:v>
      </x:c>
      <x:c r="N897" s="10" t="n">
        <x:v>0</x:v>
      </x:c>
      <x:c r="O897" s="2" t="str">
        <x:v>Tp Hồ Chí Minh|house</x:v>
      </x:c>
      <x:c r="P897" s="10" t="n">
        <x:v>2</x:v>
      </x:c>
      <x:c r="Q897" s="13" t="n">
        <x:f>IF(H897="","",H897/1000000000)</x:f>
        <x:v>3</x:v>
      </x:c>
      <x:c r="R897" s="13" t="n">
        <x:f>IF(I897="","",I897/1000000)</x:f>
        <x:v>81.08108108108108</x:v>
      </x:c>
    </x:row>
    <x:row r="898" ht="21" customHeight="1">
      <x:c r="A898" s="10" t="n">
        <x:v>996</x:v>
      </x:c>
      <x:c r="B898" s="2" t="str">
        <x:v>c873bc4c174f20c135b6</x:v>
      </x:c>
      <x:c r="C898" s="2" t="str">
        <x:v>Đồng Nai</x:v>
      </x:c>
      <x:c r="D898" s="2" t="str">
        <x:v>Huyện Nhơn Trạch</x:v>
      </x:c>
      <x:c r="E898" s="2" t="str">
        <x:v>land</x:v>
      </x:c>
      <x:c r="F898" s="2" t="str">
        <x:v>sale</x:v>
      </x:c>
      <x:c r="G898" s="11" t="n">
        <x:v>125</x:v>
      </x:c>
      <x:c r="H898" s="12" t="n">
        <x:v>1680000000</x:v>
      </x:c>
      <x:c r="I898" s="12" t="n">
        <x:v>13440000</x:v>
      </x:c>
      <x:c r="J898" s="2" t="str">
        <x:v>total</x:v>
      </x:c>
      <x:c r="K898" s="2" t="str">
        <x:v>top_level_area</x:v>
      </x:c>
      <x:c r="L898" s="2" t="str">
        <x:v>property_type_inferred_from_title</x:v>
      </x:c>
      <x:c r="M898" s="10" t="n">
        <x:v>0</x:v>
      </x:c>
      <x:c r="N898" s="10" t="n">
        <x:v>0</x:v>
      </x:c>
      <x:c r="O898" s="2" t="str">
        <x:v>Đồng Nai|land</x:v>
      </x:c>
      <x:c r="P898" s="10" t="n">
        <x:v>2</x:v>
      </x:c>
      <x:c r="Q898" s="13" t="n">
        <x:f>IF(H898="","",H898/1000000000)</x:f>
        <x:v>1.68</x:v>
      </x:c>
      <x:c r="R898" s="13" t="n">
        <x:f>IF(I898="","",I898/1000000)</x:f>
        <x:v>13.44</x:v>
      </x:c>
    </x:row>
    <x:row r="899" ht="21" customHeight="1">
      <x:c r="A899" s="10" t="n">
        <x:v>997</x:v>
      </x:c>
      <x:c r="B899" s="2" t="str">
        <x:v>cd40c852da74de6ecec0</x:v>
      </x:c>
      <x:c r="C899" s="2" t="str">
        <x:v>Tp Hồ Chí Minh</x:v>
      </x:c>
      <x:c r="D899" s="2" t="str">
        <x:v>Quận Bình Tân</x:v>
      </x:c>
      <x:c r="E899" s="2" t="str">
        <x:v>house</x:v>
      </x:c>
      <x:c r="F899" s="2" t="str">
        <x:v>sale_assumed</x:v>
      </x:c>
      <x:c r="G899" s="11" t="n">
        <x:v>80</x:v>
      </x:c>
      <x:c r="H899" s="12" t="n">
        <x:v>7000000000</x:v>
      </x:c>
      <x:c r="I899" s="12" t="n">
        <x:v>87500000</x:v>
      </x:c>
      <x:c r="J899" s="2" t="str">
        <x:v>total</x:v>
      </x:c>
      <x:c r="K899" s="2" t="str">
        <x:v>top_level_area</x:v>
      </x:c>
      <x:c r="L899" s="2" t="str">
        <x:v>property_type_inferred_from_title;transaction_assumed_sale_from_dataset_context</x:v>
      </x:c>
      <x:c r="M899" s="10" t="n">
        <x:v>0</x:v>
      </x:c>
      <x:c r="N899" s="10" t="n">
        <x:v>0</x:v>
      </x:c>
      <x:c r="O899" s="2" t="str">
        <x:v>Tp Hồ Chí Minh|house</x:v>
      </x:c>
      <x:c r="P899" s="10" t="n">
        <x:v>2</x:v>
      </x:c>
      <x:c r="Q899" s="13" t="n">
        <x:f>IF(H899="","",H899/1000000000)</x:f>
        <x:v>7</x:v>
      </x:c>
      <x:c r="R899" s="13" t="n">
        <x:f>IF(I899="","",I899/1000000)</x:f>
        <x:v>87.5</x:v>
      </x:c>
    </x:row>
    <x:row r="900" ht="21" customHeight="1">
      <x:c r="A900" s="10" t="n">
        <x:v>998</x:v>
      </x:c>
      <x:c r="B900" s="2" t="str">
        <x:v>645f1d5950e7ad845e3a</x:v>
      </x:c>
      <x:c r="C900" s="2" t="str">
        <x:v>Hà Nội</x:v>
      </x:c>
      <x:c r="D900" s="2" t="str">
        <x:v>Huyện Quốc Oai</x:v>
      </x:c>
      <x:c r="E900" s="2" t="str">
        <x:v>land</x:v>
      </x:c>
      <x:c r="F900" s="2" t="str">
        <x:v>sale</x:v>
      </x:c>
      <x:c r="G900" s="11" t="n">
        <x:v>360</x:v>
      </x:c>
      <x:c r="H900" s="12" t="n">
        <x:v>2700000000</x:v>
      </x:c>
      <x:c r="I900" s="12" t="n">
        <x:v>7500000</x:v>
      </x:c>
      <x:c r="J900" s="2" t="str">
        <x:v>total</x:v>
      </x:c>
      <x:c r="K900" s="2" t="str">
        <x:v>top_level_area</x:v>
      </x:c>
      <x:c r="L900" s="2" t="str">
        <x:v>property_type_inferred_from_title</x:v>
      </x:c>
      <x:c r="M900" s="10" t="n">
        <x:v>0</x:v>
      </x:c>
      <x:c r="N900" s="10" t="n">
        <x:v>0</x:v>
      </x:c>
      <x:c r="O900" s="2" t="str">
        <x:v>Hà Nội|land</x:v>
      </x:c>
      <x:c r="P900" s="10" t="n">
        <x:v>1</x:v>
      </x:c>
      <x:c r="Q900" s="13" t="n">
        <x:f>IF(H900="","",H900/1000000000)</x:f>
        <x:v>2.7</x:v>
      </x:c>
      <x:c r="R900" s="13" t="n">
        <x:f>IF(I900="","",I900/1000000)</x:f>
        <x:v>7.5</x:v>
      </x:c>
    </x:row>
    <x:row r="901" ht="21" customHeight="1">
      <x:c r="A901" s="10" t="n">
        <x:v>999</x:v>
      </x:c>
      <x:c r="B901" s="2" t="str">
        <x:v>dcc941ddda19955ad63c</x:v>
      </x:c>
      <x:c r="C901" s="2" t="str">
        <x:v>Tp Hồ Chí Minh</x:v>
      </x:c>
      <x:c r="D901" s="2" t="str">
        <x:v>Quận Tân Bình</x:v>
      </x:c>
      <x:c r="E901" s="2" t="str">
        <x:v>house</x:v>
      </x:c>
      <x:c r="F901" s="2" t="str">
        <x:v>sale_assumed</x:v>
      </x:c>
      <x:c r="G901" s="11" t="n">
        <x:v>34</x:v>
      </x:c>
      <x:c r="H901" s="12" t="n">
        <x:v>3400000000</x:v>
      </x:c>
      <x:c r="I901" s="12" t="n">
        <x:v>100000000</x:v>
      </x:c>
      <x:c r="J901" s="2" t="str">
        <x:v>total</x:v>
      </x:c>
      <x:c r="K901" s="2" t="str">
        <x:v>top_level_area</x:v>
      </x:c>
      <x:c r="L901" s="2" t="str">
        <x:v>property_type_inferred_from_title;transaction_assumed_sale_from_dataset_context</x:v>
      </x:c>
      <x:c r="M901" s="10" t="n">
        <x:v>0</x:v>
      </x:c>
      <x:c r="N901" s="10" t="n">
        <x:v>0</x:v>
      </x:c>
      <x:c r="O901" s="2" t="str">
        <x:v>Tp Hồ Chí Minh|house</x:v>
      </x:c>
      <x:c r="P901" s="10" t="n">
        <x:v>2</x:v>
      </x:c>
      <x:c r="Q901" s="13" t="n">
        <x:f>IF(H901="","",H901/1000000000)</x:f>
        <x:v>3.4</x:v>
      </x:c>
      <x:c r="R901" s="13" t="n">
        <x:f>IF(I901="","",I901/1000000)</x:f>
        <x:v>100</x:v>
      </x:c>
    </x:row>
    <x:row r="902" ht="21" customHeight="1">
      <x:c r="A902" s="10" t="n">
        <x:v>1000</x:v>
      </x:c>
      <x:c r="B902" s="2" t="str">
        <x:v>d6e10e30c72e4d43591b</x:v>
      </x:c>
      <x:c r="C902" s="2" t="str">
        <x:v>Tp Hồ Chí Minh</x:v>
      </x:c>
      <x:c r="D902" s="2" t="str">
        <x:v>Quận 2</x:v>
      </x:c>
      <x:c r="E902" s="2" t="str">
        <x:v>house</x:v>
      </x:c>
      <x:c r="F902" s="2" t="str">
        <x:v>sale_assumed</x:v>
      </x:c>
      <x:c r="G902" s="11" t="n">
        <x:v>79</x:v>
      </x:c>
      <x:c r="H902" s="12" t="n">
        <x:v>4000000000</x:v>
      </x:c>
      <x:c r="I902" s="12" t="n">
        <x:v>50632911.39240506</x:v>
      </x:c>
      <x:c r="J902" s="2" t="str">
        <x:v>total</x:v>
      </x:c>
      <x:c r="K902" s="2" t="str">
        <x:v>top_level_area</x:v>
      </x:c>
      <x:c r="L902" s="2" t="str">
        <x:v>property_type_inferred_from_title;transaction_assumed_sale_from_dataset_context</x:v>
      </x:c>
      <x:c r="M902" s="10" t="n">
        <x:v>0</x:v>
      </x:c>
      <x:c r="N902" s="10" t="n">
        <x:v>0</x:v>
      </x:c>
      <x:c r="O902" s="2" t="str">
        <x:v>Tp Hồ Chí Minh|house</x:v>
      </x:c>
      <x:c r="P902" s="10" t="n">
        <x:v>2</x:v>
      </x:c>
      <x:c r="Q902" s="13" t="n">
        <x:f>IF(H902="","",H902/1000000000)</x:f>
        <x:v>4</x:v>
      </x:c>
      <x:c r="R902" s="13" t="n">
        <x:f>IF(I902="","",I902/1000000)</x:f>
        <x:v>50.63291139240506</x:v>
      </x:c>
    </x:row>
    <x:row r="903" ht="21" customHeight="1">
      <x:c r="A903" s="10" t="n">
        <x:v>1001</x:v>
      </x:c>
      <x:c r="B903" s="2" t="str">
        <x:v>dabde8bbdff2ddbc8451</x:v>
      </x:c>
      <x:c r="C903" s="2" t="str">
        <x:v>Bình Dương</x:v>
      </x:c>
      <x:c r="D903" s="2" t="str">
        <x:v>Thị xã Thuận An</x:v>
      </x:c>
      <x:c r="E903" s="2" t="str">
        <x:v>house</x:v>
      </x:c>
      <x:c r="F903" s="2" t="str">
        <x:v>sale_assumed</x:v>
      </x:c>
      <x:c r="G903" s="11" t="n">
        <x:v>110</x:v>
      </x:c>
      <x:c r="H903" s="12" t="n">
        <x:v>2900000000</x:v>
      </x:c>
      <x:c r="I903" s="12" t="n">
        <x:v>26363636.363636363</x:v>
      </x:c>
      <x:c r="J903" s="2" t="str">
        <x:v>total</x:v>
      </x:c>
      <x:c r="K903" s="2" t="str">
        <x:v>top_level_area</x:v>
      </x:c>
      <x:c r="L903" s="2" t="str">
        <x:v>property_type_inferred_from_title;transaction_assumed_sale_from_dataset_context</x:v>
      </x:c>
      <x:c r="M903" s="10" t="n">
        <x:v>0</x:v>
      </x:c>
      <x:c r="N903" s="10" t="n">
        <x:v>0</x:v>
      </x:c>
      <x:c r="O903" s="2" t="str">
        <x:v>Bình Dương|house</x:v>
      </x:c>
      <x:c r="P903" s="10" t="n">
        <x:v>2</x:v>
      </x:c>
      <x:c r="Q903" s="13" t="n">
        <x:f>IF(H903="","",H903/1000000000)</x:f>
        <x:v>2.9</x:v>
      </x:c>
      <x:c r="R903" s="13" t="n">
        <x:f>IF(I903="","",I903/1000000)</x:f>
        <x:v>26.363636363636363</x:v>
      </x:c>
    </x:row>
    <x:row r="904" ht="21" customHeight="1">
      <x:c r="A904" s="10" t="n">
        <x:v>1002</x:v>
      </x:c>
      <x:c r="B904" s="2" t="str">
        <x:v>bcd6ff796577eae4b6af</x:v>
      </x:c>
      <x:c r="C904" s="2" t="str">
        <x:v>Tp Hồ Chí Minh</x:v>
      </x:c>
      <x:c r="D904" s="2" t="str">
        <x:v>Quận 9</x:v>
      </x:c>
      <x:c r="E904" s="2" t="str">
        <x:v>house</x:v>
      </x:c>
      <x:c r="F904" s="2" t="str">
        <x:v>sale_assumed</x:v>
      </x:c>
      <x:c r="G904" s="11" t="n">
        <x:v>120</x:v>
      </x:c>
      <x:c r="H904" s="12" t="n">
        <x:v>3250000000</x:v>
      </x:c>
      <x:c r="I904" s="12" t="n">
        <x:v>27083333.333333332</x:v>
      </x:c>
      <x:c r="J904" s="2" t="str">
        <x:v>total</x:v>
      </x:c>
      <x:c r="K904" s="2" t="str">
        <x:v>top_level_area</x:v>
      </x:c>
      <x:c r="L904" s="2" t="str">
        <x:v>property_type_inferred_from_title;transaction_assumed_sale_from_dataset_context</x:v>
      </x:c>
      <x:c r="M904" s="10" t="n">
        <x:v>0</x:v>
      </x:c>
      <x:c r="N904" s="10" t="n">
        <x:v>0</x:v>
      </x:c>
      <x:c r="O904" s="2" t="str">
        <x:v>Tp Hồ Chí Minh|house</x:v>
      </x:c>
      <x:c r="P904" s="10" t="n">
        <x:v>2</x:v>
      </x:c>
      <x:c r="Q904" s="13" t="n">
        <x:f>IF(H904="","",H904/1000000000)</x:f>
        <x:v>3.25</x:v>
      </x:c>
      <x:c r="R904" s="13" t="n">
        <x:f>IF(I904="","",I904/1000000)</x:f>
        <x:v>27.083333333333332</x:v>
      </x:c>
    </x:row>
    <x:row r="905" ht="21" customHeight="1">
      <x:c r="A905" s="10" t="n">
        <x:v>1003</x:v>
      </x:c>
      <x:c r="B905" s="2" t="str">
        <x:v>2f75732a0a0a62861cc9</x:v>
      </x:c>
      <x:c r="C905" s="2" t="str">
        <x:v>Tp Hồ Chí Minh</x:v>
      </x:c>
      <x:c r="D905" s="2" t="str">
        <x:v>Quận Bình Tân</x:v>
      </x:c>
      <x:c r="E905" s="2" t="str">
        <x:v>apartment</x:v>
      </x:c>
      <x:c r="F905" s="2" t="str">
        <x:v>sale_assumed</x:v>
      </x:c>
      <x:c r="G905" s="11" t="n">
        <x:v>65</x:v>
      </x:c>
      <x:c r="H905" s="12" t="n">
        <x:v>1650000000</x:v>
      </x:c>
      <x:c r="I905" s="12" t="n">
        <x:v>25384615.384615384</x:v>
      </x:c>
      <x:c r="J905" s="2" t="str">
        <x:v>total</x:v>
      </x:c>
      <x:c r="K905" s="2" t="str">
        <x:v>top_level_area</x:v>
      </x:c>
      <x:c r="L905" s="2" t="str">
        <x:v>property_type_inferred_from_title;transaction_assumed_sale_from_dataset_context</x:v>
      </x:c>
      <x:c r="M905" s="10" t="n">
        <x:v>0</x:v>
      </x:c>
      <x:c r="N905" s="10" t="n">
        <x:v>0</x:v>
      </x:c>
      <x:c r="O905" s="2" t="str">
        <x:v>Tp Hồ Chí Minh|apartment</x:v>
      </x:c>
      <x:c r="P905" s="10" t="n">
        <x:v>2</x:v>
      </x:c>
      <x:c r="Q905" s="13" t="n">
        <x:f>IF(H905="","",H905/1000000000)</x:f>
        <x:v>1.65</x:v>
      </x:c>
      <x:c r="R905" s="13" t="n">
        <x:f>IF(I905="","",I905/1000000)</x:f>
        <x:v>25.384615384615383</x:v>
      </x:c>
    </x:row>
    <x:row r="906" ht="21" customHeight="1">
      <x:c r="A906" s="10" t="n">
        <x:v>1004</x:v>
      </x:c>
      <x:c r="B906" s="2" t="str">
        <x:v>145b1bf88246104efeb2</x:v>
      </x:c>
      <x:c r="C906" s="2" t="str">
        <x:v>Hải Phòng</x:v>
      </x:c>
      <x:c r="D906" s="2" t="str">
        <x:v>Quận Lê Chân</x:v>
      </x:c>
      <x:c r="E906" s="2" t="str">
        <x:v>house</x:v>
      </x:c>
      <x:c r="F906" s="2" t="str">
        <x:v>sale_assumed</x:v>
      </x:c>
      <x:c r="G906" s="11" t="n">
        <x:v>42</x:v>
      </x:c>
      <x:c r="H906" s="12" t="n">
        <x:v>1420000000</x:v>
      </x:c>
      <x:c r="I906" s="12" t="n">
        <x:v>33809523.809523806</x:v>
      </x:c>
      <x:c r="J906" s="2" t="str">
        <x:v>total</x:v>
      </x:c>
      <x:c r="K906" s="2" t="str">
        <x:v>top_level_area</x:v>
      </x:c>
      <x:c r="L906" s="2" t="str">
        <x:v>property_type_inferred_from_title;transaction_assumed_sale_from_dataset_context</x:v>
      </x:c>
      <x:c r="M906" s="10" t="n">
        <x:v>0</x:v>
      </x:c>
      <x:c r="N906" s="10" t="n">
        <x:v>0</x:v>
      </x:c>
      <x:c r="O906" s="2" t="str">
        <x:v>house</x:v>
      </x:c>
      <x:c r="P906" s="10" t="n">
        <x:v>2</x:v>
      </x:c>
      <x:c r="Q906" s="13" t="n">
        <x:f>IF(H906="","",H906/1000000000)</x:f>
        <x:v>1.42</x:v>
      </x:c>
      <x:c r="R906" s="13" t="n">
        <x:f>IF(I906="","",I906/1000000)</x:f>
        <x:v>33.8095238095238</x:v>
      </x:c>
    </x:row>
    <x:row r="907" ht="21" customHeight="1">
      <x:c r="A907" s="10" t="n">
        <x:v>1005</x:v>
      </x:c>
      <x:c r="B907" s="2" t="str">
        <x:v>9c9fa3589bb285fa0d2d</x:v>
      </x:c>
      <x:c r="C907" s="2" t="str">
        <x:v>Bình Phước</x:v>
      </x:c>
      <x:c r="D907" s="2" t="str">
        <x:v>Huyện Chơn Thành</x:v>
      </x:c>
      <x:c r="E907" s="2" t="str">
        <x:v>land</x:v>
      </x:c>
      <x:c r="F907" s="2" t="str">
        <x:v>sale</x:v>
      </x:c>
      <x:c r="G907" s="11" t="n">
        <x:v>706</x:v>
      </x:c>
      <x:c r="H907" s="12" t="n">
        <x:v>4950000000</x:v>
      </x:c>
      <x:c r="I907" s="12" t="n">
        <x:v>7011331.444759207</x:v>
      </x:c>
      <x:c r="J907" s="2" t="str">
        <x:v>total</x:v>
      </x:c>
      <x:c r="K907" s="2" t="str">
        <x:v>top_level_price_embedded_area</x:v>
      </x:c>
      <x:c r="L907" s="2" t="str">
        <x:v>area_recovered_from_price_text;property_type_inferred_from_title</x:v>
      </x:c>
      <x:c r="M907" s="10" t="n">
        <x:v>0</x:v>
      </x:c>
      <x:c r="N907" s="10" t="n">
        <x:v>1</x:v>
      </x:c>
      <x:c r="O907" s="2" t="str">
        <x:v>Bình Phước|land</x:v>
      </x:c>
      <x:c r="P907" s="10" t="n">
        <x:v>-1</x:v>
      </x:c>
      <x:c r="Q907" s="13" t="n">
        <x:f>IF(H907="","",H907/1000000000)</x:f>
        <x:v>4.95</x:v>
      </x:c>
      <x:c r="R907" s="13" t="n">
        <x:f>IF(I907="","",I907/1000000)</x:f>
        <x:v>7.0113314447592066</x:v>
      </x:c>
    </x:row>
    <x:row r="908" ht="21" customHeight="1">
      <x:c r="A908" s="10" t="n">
        <x:v>1006</x:v>
      </x:c>
      <x:c r="B908" s="2" t="str">
        <x:v>c8ba2975ec888db9889f</x:v>
      </x:c>
      <x:c r="C908" s="2" t="str">
        <x:v>Tp Hồ Chí Minh</x:v>
      </x:c>
      <x:c r="D908" s="2" t="str">
        <x:v>Quận 12</x:v>
      </x:c>
      <x:c r="E908" s="2" t="str">
        <x:v>house</x:v>
      </x:c>
      <x:c r="F908" s="2" t="str">
        <x:v>sale_assumed</x:v>
      </x:c>
      <x:c r="G908" s="11" t="n">
        <x:v>36</x:v>
      </x:c>
      <x:c r="H908" s="12" t="n">
        <x:v>2980000000</x:v>
      </x:c>
      <x:c r="I908" s="12" t="n">
        <x:v>82777777.77777778</x:v>
      </x:c>
      <x:c r="J908" s="2" t="str">
        <x:v>total</x:v>
      </x:c>
      <x:c r="K908" s="2" t="str">
        <x:v>top_level_area</x:v>
      </x:c>
      <x:c r="L908" s="2" t="str">
        <x:v>property_type_inferred_from_title;transaction_assumed_sale_from_dataset_context</x:v>
      </x:c>
      <x:c r="M908" s="10" t="n">
        <x:v>0</x:v>
      </x:c>
      <x:c r="N908" s="10" t="n">
        <x:v>0</x:v>
      </x:c>
      <x:c r="O908" s="2" t="str">
        <x:v>Tp Hồ Chí Minh|house</x:v>
      </x:c>
      <x:c r="P908" s="10" t="n">
        <x:v>2</x:v>
      </x:c>
      <x:c r="Q908" s="13" t="n">
        <x:f>IF(H908="","",H908/1000000000)</x:f>
        <x:v>2.98</x:v>
      </x:c>
      <x:c r="R908" s="13" t="n">
        <x:f>IF(I908="","",I908/1000000)</x:f>
        <x:v>82.77777777777777</x:v>
      </x:c>
    </x:row>
    <x:row r="909" ht="21" customHeight="1">
      <x:c r="A909" s="10" t="n">
        <x:v>1007</x:v>
      </x:c>
      <x:c r="B909" s="2" t="str">
        <x:v>61db6164020ae872d05d</x:v>
      </x:c>
      <x:c r="C909" s="2" t="str">
        <x:v>Tp Hồ Chí Minh</x:v>
      </x:c>
      <x:c r="D909" s="2" t="str">
        <x:v>Quận Phú Nhuận</x:v>
      </x:c>
      <x:c r="E909" s="2" t="str">
        <x:v>house</x:v>
      </x:c>
      <x:c r="F909" s="2" t="str">
        <x:v>sale</x:v>
      </x:c>
      <x:c r="G909" s="11" t="n">
        <x:v>39</x:v>
      </x:c>
      <x:c r="H909" s="12" t="n">
        <x:v>4500000000</x:v>
      </x:c>
      <x:c r="I909" s="12" t="n">
        <x:v>115384615.38461539</x:v>
      </x:c>
      <x:c r="J909" s="2" t="str">
        <x:v>total</x:v>
      </x:c>
      <x:c r="K909" s="2" t="str">
        <x:v>top_level_area</x:v>
      </x:c>
      <x:c r="L909" s="2" t="str">
        <x:v>property_type_inferred_from_title</x:v>
      </x:c>
      <x:c r="M909" s="10" t="n">
        <x:v>0</x:v>
      </x:c>
      <x:c r="N909" s="10" t="n">
        <x:v>0</x:v>
      </x:c>
      <x:c r="O909" s="2" t="str">
        <x:v>Tp Hồ Chí Minh|house</x:v>
      </x:c>
      <x:c r="P909" s="10" t="n">
        <x:v>2</x:v>
      </x:c>
      <x:c r="Q909" s="13" t="n">
        <x:f>IF(H909="","",H909/1000000000)</x:f>
        <x:v>4.5</x:v>
      </x:c>
      <x:c r="R909" s="13" t="n">
        <x:f>IF(I909="","",I909/1000000)</x:f>
        <x:v>115.38461538461539</x:v>
      </x:c>
    </x:row>
    <x:row r="910" ht="21" customHeight="1">
      <x:c r="A910" s="10" t="n">
        <x:v>1008</x:v>
      </x:c>
      <x:c r="B910" s="2" t="str">
        <x:v>6816a2f0e30717100279</x:v>
      </x:c>
      <x:c r="C910" s="2" t="str">
        <x:v>Tp Hồ Chí Minh</x:v>
      </x:c>
      <x:c r="D910" s="2" t="str">
        <x:v>Quận Thủ Đức</x:v>
      </x:c>
      <x:c r="E910" s="2" t="str">
        <x:v>house</x:v>
      </x:c>
      <x:c r="F910" s="2" t="str">
        <x:v>sale</x:v>
      </x:c>
      <x:c r="G910" s="11" t="n">
        <x:v>34</x:v>
      </x:c>
      <x:c r="H910" s="12" t="n">
        <x:v>2350000000</x:v>
      </x:c>
      <x:c r="I910" s="12" t="n">
        <x:v>69117647.05882353</x:v>
      </x:c>
      <x:c r="J910" s="2" t="str">
        <x:v>total</x:v>
      </x:c>
      <x:c r="K910" s="2" t="str">
        <x:v>top_level_area</x:v>
      </x:c>
      <x:c r="L910" s="2" t="str">
        <x:v>property_type_inferred_from_title</x:v>
      </x:c>
      <x:c r="M910" s="10" t="n">
        <x:v>0</x:v>
      </x:c>
      <x:c r="N910" s="10" t="n">
        <x:v>0</x:v>
      </x:c>
      <x:c r="O910" s="2" t="str">
        <x:v>Tp Hồ Chí Minh|house</x:v>
      </x:c>
      <x:c r="P910" s="10" t="n">
        <x:v>2</x:v>
      </x:c>
      <x:c r="Q910" s="13" t="n">
        <x:f>IF(H910="","",H910/1000000000)</x:f>
        <x:v>2.35</x:v>
      </x:c>
      <x:c r="R910" s="13" t="n">
        <x:f>IF(I910="","",I910/1000000)</x:f>
        <x:v>69.11764705882352</x:v>
      </x:c>
    </x:row>
    <x:row r="911" ht="21" customHeight="1">
      <x:c r="A911" s="10" t="n">
        <x:v>1009</x:v>
      </x:c>
      <x:c r="B911" s="2" t="str">
        <x:v>6492e577abe2dd8297ad</x:v>
      </x:c>
      <x:c r="C911" s="2" t="str">
        <x:v>Tp Hồ Chí Minh</x:v>
      </x:c>
      <x:c r="D911" s="2" t="str">
        <x:v>Quận Gò Vấp</x:v>
      </x:c>
      <x:c r="E911" s="2" t="str">
        <x:v>house</x:v>
      </x:c>
      <x:c r="F911" s="2" t="str">
        <x:v>sale_assumed</x:v>
      </x:c>
      <x:c r="G911" s="11" t="n">
        <x:v>72</x:v>
      </x:c>
      <x:c r="H911" s="12" t="n">
        <x:v>7200000000</x:v>
      </x:c>
      <x:c r="I911" s="12" t="n">
        <x:v>100000000</x:v>
      </x:c>
      <x:c r="J911" s="2" t="str">
        <x:v>total</x:v>
      </x:c>
      <x:c r="K911" s="2" t="str">
        <x:v>top_level_area</x:v>
      </x:c>
      <x:c r="L911" s="2" t="str">
        <x:v>property_type_inferred_from_title;transaction_assumed_sale_from_dataset_context</x:v>
      </x:c>
      <x:c r="M911" s="10" t="n">
        <x:v>0</x:v>
      </x:c>
      <x:c r="N911" s="10" t="n">
        <x:v>0</x:v>
      </x:c>
      <x:c r="O911" s="2" t="str">
        <x:v>Tp Hồ Chí Minh|house</x:v>
      </x:c>
      <x:c r="P911" s="10" t="n">
        <x:v>2</x:v>
      </x:c>
      <x:c r="Q911" s="13" t="n">
        <x:f>IF(H911="","",H911/1000000000)</x:f>
        <x:v>7.2</x:v>
      </x:c>
      <x:c r="R911" s="13" t="n">
        <x:f>IF(I911="","",I911/1000000)</x:f>
        <x:v>100</x:v>
      </x:c>
    </x:row>
    <x:row r="912" ht="21" customHeight="1">
      <x:c r="A912" s="10" t="n">
        <x:v>1010</x:v>
      </x:c>
      <x:c r="B912" s="2" t="str">
        <x:v>4bf5a536a982d32fbbc1</x:v>
      </x:c>
      <x:c r="C912" s="2" t="str">
        <x:v>Bình Dương</x:v>
      </x:c>
      <x:c r="D912" s="2" t="str">
        <x:v>Thị xã Thuận An</x:v>
      </x:c>
      <x:c r="E912" s="2" t="str">
        <x:v>land</x:v>
      </x:c>
      <x:c r="F912" s="2" t="str">
        <x:v>sale_assumed</x:v>
      </x:c>
      <x:c r="G912" s="11" t="n">
        <x:v>300</x:v>
      </x:c>
      <x:c r="H912" s="12" t="n">
        <x:v>25000000</x:v>
      </x:c>
      <x:c r="I912" s="12" t="n">
        <x:v>83333.33333333333</x:v>
      </x:c>
      <x:c r="J912" s="2" t="str">
        <x:v>total</x:v>
      </x:c>
      <x:c r="K912" s="2" t="str">
        <x:v>top_level_area</x:v>
      </x:c>
      <x:c r="L912" s="2" t="str">
        <x:v>property_type_inferred_from_title;transaction_assumed_sale_from_dataset_context</x:v>
      </x:c>
      <x:c r="M912" s="10" t="n">
        <x:v>0</x:v>
      </x:c>
      <x:c r="N912" s="10" t="n">
        <x:v>0</x:v>
      </x:c>
      <x:c r="O912" s="2" t="str">
        <x:v>Bình Dương|land</x:v>
      </x:c>
      <x:c r="P912" s="10" t="n">
        <x:v>1</x:v>
      </x:c>
      <x:c r="Q912" s="13" t="n">
        <x:f>IF(H912="","",H912/1000000000)</x:f>
        <x:v>0.025</x:v>
      </x:c>
      <x:c r="R912" s="13" t="n">
        <x:f>IF(I912="","",I912/1000000)</x:f>
        <x:v>0.08333333333333333</x:v>
      </x:c>
    </x:row>
    <x:row r="913" ht="21" customHeight="1">
      <x:c r="A913" s="10" t="n">
        <x:v>1011</x:v>
      </x:c>
      <x:c r="B913" s="2" t="str">
        <x:v>c782844e3548c3e1fab7</x:v>
      </x:c>
      <x:c r="C913" s="2" t="str">
        <x:v>Tp Hồ Chí Minh</x:v>
      </x:c>
      <x:c r="D913" s="2" t="str">
        <x:v>Quận Bình Thạnh</x:v>
      </x:c>
      <x:c r="E913" s="2" t="str">
        <x:v>house</x:v>
      </x:c>
      <x:c r="F913" s="2" t="str">
        <x:v>sale_assumed</x:v>
      </x:c>
      <x:c r="G913" s="11" t="n">
        <x:v>43</x:v>
      </x:c>
      <x:c r="H913" s="12" t="n">
        <x:v>5850000000</x:v>
      </x:c>
      <x:c r="I913" s="12" t="n">
        <x:v>136046511.62790698</x:v>
      </x:c>
      <x:c r="J913" s="2" t="str">
        <x:v>total</x:v>
      </x:c>
      <x:c r="K913" s="2" t="str">
        <x:v>top_level_area</x:v>
      </x:c>
      <x:c r="L913" s="2" t="str">
        <x:v>property_type_inferred_from_title;transaction_assumed_sale_from_dataset_context</x:v>
      </x:c>
      <x:c r="M913" s="10" t="n">
        <x:v>0</x:v>
      </x:c>
      <x:c r="N913" s="10" t="n">
        <x:v>0</x:v>
      </x:c>
      <x:c r="O913" s="2" t="str">
        <x:v>Tp Hồ Chí Minh|house</x:v>
      </x:c>
      <x:c r="P913" s="10" t="n">
        <x:v>2</x:v>
      </x:c>
      <x:c r="Q913" s="13" t="n">
        <x:f>IF(H913="","",H913/1000000000)</x:f>
        <x:v>5.85</x:v>
      </x:c>
      <x:c r="R913" s="13" t="n">
        <x:f>IF(I913="","",I913/1000000)</x:f>
        <x:v>136.04651162790697</x:v>
      </x:c>
    </x:row>
    <x:row r="914" ht="21" customHeight="1">
      <x:c r="A914" s="10" t="n">
        <x:v>1012</x:v>
      </x:c>
      <x:c r="B914" s="2" t="str">
        <x:v>201d602bbbd2a1e40d1e</x:v>
      </x:c>
      <x:c r="C914" s="2" t="str">
        <x:v>Hà Nội</x:v>
      </x:c>
      <x:c r="D914" s="2" t="str">
        <x:v>Quận Hai Bà Trưng</x:v>
      </x:c>
      <x:c r="E914" s="2" t="str">
        <x:v>house</x:v>
      </x:c>
      <x:c r="F914" s="2" t="str">
        <x:v>sale_assumed</x:v>
      </x:c>
      <x:c r="G914" s="11" t="n">
        <x:v>58</x:v>
      </x:c>
      <x:c r="H914" s="12" t="n">
        <x:v>4300000000</x:v>
      </x:c>
      <x:c r="I914" s="12" t="n">
        <x:v>74137931.03448276</x:v>
      </x:c>
      <x:c r="J914" s="2" t="str">
        <x:v>total</x:v>
      </x:c>
      <x:c r="K914" s="2" t="str">
        <x:v>top_level_area</x:v>
      </x:c>
      <x:c r="L914" s="2" t="str">
        <x:v>property_type_inferred_from_title;transaction_assumed_sale_from_dataset_context</x:v>
      </x:c>
      <x:c r="M914" s="10" t="n">
        <x:v>0</x:v>
      </x:c>
      <x:c r="N914" s="10" t="n">
        <x:v>0</x:v>
      </x:c>
      <x:c r="O914" s="2" t="str">
        <x:v>Hà Nội|house</x:v>
      </x:c>
      <x:c r="P914" s="10" t="n">
        <x:v>2</x:v>
      </x:c>
      <x:c r="Q914" s="13" t="n">
        <x:f>IF(H914="","",H914/1000000000)</x:f>
        <x:v>4.3</x:v>
      </x:c>
      <x:c r="R914" s="13" t="n">
        <x:f>IF(I914="","",I914/1000000)</x:f>
        <x:v>74.13793103448276</x:v>
      </x:c>
    </x:row>
    <x:row r="915" ht="21" customHeight="1">
      <x:c r="A915" s="10" t="n">
        <x:v>1013</x:v>
      </x:c>
      <x:c r="B915" s="2" t="str">
        <x:v>9ad46ca97db47719e631</x:v>
      </x:c>
      <x:c r="C915" s="2" t="str">
        <x:v>Tp Hồ Chí Minh</x:v>
      </x:c>
      <x:c r="D915" s="2" t="str">
        <x:v>Huyện Bình Chánh</x:v>
      </x:c>
      <x:c r="E915" s="2" t="str">
        <x:v>land</x:v>
      </x:c>
      <x:c r="F915" s="2" t="str">
        <x:v>sale</x:v>
      </x:c>
      <x:c r="G915" s="11" t="n">
        <x:v>52</x:v>
      </x:c>
      <x:c r="H915" s="12" t="n">
        <x:v>416000000</x:v>
      </x:c>
      <x:c r="I915" s="12" t="n">
        <x:v>8000000</x:v>
      </x:c>
      <x:c r="J915" s="2" t="str">
        <x:v>total</x:v>
      </x:c>
      <x:c r="K915" s="2" t="str">
        <x:v>top_level_area</x:v>
      </x:c>
      <x:c r="L915" s="2" t="str">
        <x:v>property_type_inferred_from_title</x:v>
      </x:c>
      <x:c r="M915" s="10" t="n">
        <x:v>0</x:v>
      </x:c>
      <x:c r="N915" s="10" t="n">
        <x:v>0</x:v>
      </x:c>
      <x:c r="O915" s="2" t="str">
        <x:v>Tp Hồ Chí Minh|land</x:v>
      </x:c>
      <x:c r="P915" s="10" t="n">
        <x:v>2</x:v>
      </x:c>
      <x:c r="Q915" s="13" t="n">
        <x:f>IF(H915="","",H915/1000000000)</x:f>
        <x:v>0.416</x:v>
      </x:c>
      <x:c r="R915" s="13" t="n">
        <x:f>IF(I915="","",I915/1000000)</x:f>
        <x:v>8</x:v>
      </x:c>
    </x:row>
    <x:row r="916" ht="21" customHeight="1">
      <x:c r="A916" s="10" t="n">
        <x:v>1014</x:v>
      </x:c>
      <x:c r="B916" s="2" t="str">
        <x:v>265f61fb0f4f381c858c</x:v>
      </x:c>
      <x:c r="C916" s="2" t="str">
        <x:v>Hà Nội</x:v>
      </x:c>
      <x:c r="D916" s="2" t="str">
        <x:v>Quận Tây Hồ</x:v>
      </x:c>
      <x:c r="E916" s="2" t="str">
        <x:v>house</x:v>
      </x:c>
      <x:c r="F916" s="2" t="str">
        <x:v>sale_assumed</x:v>
      </x:c>
      <x:c r="G916" s="11" t="n">
        <x:v>38</x:v>
      </x:c>
      <x:c r="H916" s="12" t="n">
        <x:v>3450000000</x:v>
      </x:c>
      <x:c r="I916" s="12" t="n">
        <x:v>90789473.68421052</x:v>
      </x:c>
      <x:c r="J916" s="2" t="str">
        <x:v>total</x:v>
      </x:c>
      <x:c r="K916" s="2" t="str">
        <x:v>top_level_area</x:v>
      </x:c>
      <x:c r="L916" s="2" t="str">
        <x:v>property_type_inferred_from_title;transaction_assumed_sale_from_dataset_context</x:v>
      </x:c>
      <x:c r="M916" s="10" t="n">
        <x:v>0</x:v>
      </x:c>
      <x:c r="N916" s="10" t="n">
        <x:v>0</x:v>
      </x:c>
      <x:c r="O916" s="2" t="str">
        <x:v>Hà Nội|house</x:v>
      </x:c>
      <x:c r="P916" s="10" t="n">
        <x:v>2</x:v>
      </x:c>
      <x:c r="Q916" s="13" t="n">
        <x:f>IF(H916="","",H916/1000000000)</x:f>
        <x:v>3.45</x:v>
      </x:c>
      <x:c r="R916" s="13" t="n">
        <x:f>IF(I916="","",I916/1000000)</x:f>
        <x:v>90.78947368421052</x:v>
      </x:c>
    </x:row>
    <x:row r="917" ht="21" customHeight="1">
      <x:c r="A917" s="10" t="n">
        <x:v>1015</x:v>
      </x:c>
      <x:c r="B917" s="2" t="str">
        <x:v>cd5dcf284c8aabb39b99</x:v>
      </x:c>
      <x:c r="C917" s="2" t="str">
        <x:v>Đà Nẵng</x:v>
      </x:c>
      <x:c r="D917" s="2" t="str">
        <x:v>Huyện Hòa Vang</x:v>
      </x:c>
      <x:c r="E917" s="2" t="str">
        <x:v>other_unknown</x:v>
      </x:c>
      <x:c r="F917" s="2" t="str">
        <x:v>sale_assumed</x:v>
      </x:c>
      <x:c r="G917" s="11" t="n">
        <x:v>101</x:v>
      </x:c>
      <x:c r="H917" s="12" t="n">
        <x:v>535000000</x:v>
      </x:c>
      <x:c r="I917" s="12" t="n">
        <x:v>5297029.702970297</x:v>
      </x:c>
      <x:c r="J917" s="2" t="str">
        <x:v>total</x:v>
      </x:c>
      <x:c r="K917" s="2" t="str">
        <x:v>top_level_area</x:v>
      </x:c>
      <x:c r="L917" s="2" t="str">
        <x:v>property_type_inferred_from_title;transaction_assumed_sale_from_dataset_context;unknown_property_type</x:v>
      </x:c>
      <x:c r="M917" s="10" t="n">
        <x:v>0</x:v>
      </x:c>
      <x:c r="N917" s="10" t="n">
        <x:v>0</x:v>
      </x:c>
      <x:c r="O917" s="2" t="str">
        <x:v>Đà Nẵng|other_unknown</x:v>
      </x:c>
      <x:c r="P917" s="10" t="n">
        <x:v>2</x:v>
      </x:c>
      <x:c r="Q917" s="13" t="n">
        <x:f>IF(H917="","",H917/1000000000)</x:f>
        <x:v>0.535</x:v>
      </x:c>
      <x:c r="R917" s="13" t="n">
        <x:f>IF(I917="","",I917/1000000)</x:f>
        <x:v>5.297029702970297</x:v>
      </x:c>
    </x:row>
    <x:row r="918" ht="21" customHeight="1">
      <x:c r="A918" s="10" t="n">
        <x:v>1016</x:v>
      </x:c>
      <x:c r="B918" s="2" t="str">
        <x:v>35c887b9bf3f6e595e24</x:v>
      </x:c>
      <x:c r="C918" s="2" t="str">
        <x:v>Hà Nội</x:v>
      </x:c>
      <x:c r="D918" s="2" t="str">
        <x:v>Quận Hoàng Mai</x:v>
      </x:c>
      <x:c r="E918" s="2" t="str">
        <x:v>apartment</x:v>
      </x:c>
      <x:c r="F918" s="2" t="str">
        <x:v>sale_assumed</x:v>
      </x:c>
      <x:c r="G918" s="11" t="n">
        <x:v>97</x:v>
      </x:c>
      <x:c r="H918" s="12" t="n">
        <x:v>1600000000</x:v>
      </x:c>
      <x:c r="I918" s="12" t="n">
        <x:v>16494845.360824741</x:v>
      </x:c>
      <x:c r="J918" s="2" t="str">
        <x:v>total</x:v>
      </x:c>
      <x:c r="K918" s="2" t="str">
        <x:v>top_level_area</x:v>
      </x:c>
      <x:c r="L918" s="2" t="str">
        <x:v>property_type_inferred_from_title;transaction_assumed_sale_from_dataset_context</x:v>
      </x:c>
      <x:c r="M918" s="10" t="n">
        <x:v>0</x:v>
      </x:c>
      <x:c r="N918" s="10" t="n">
        <x:v>0</x:v>
      </x:c>
      <x:c r="O918" s="2" t="str">
        <x:v>Hà Nội|apartment</x:v>
      </x:c>
      <x:c r="P918" s="10" t="n">
        <x:v>2</x:v>
      </x:c>
      <x:c r="Q918" s="13" t="n">
        <x:f>IF(H918="","",H918/1000000000)</x:f>
        <x:v>1.6</x:v>
      </x:c>
      <x:c r="R918" s="13" t="n">
        <x:f>IF(I918="","",I918/1000000)</x:f>
        <x:v>16.49484536082474</x:v>
      </x:c>
    </x:row>
    <x:row r="919" ht="21" customHeight="1">
      <x:c r="A919" s="10" t="n">
        <x:v>1017</x:v>
      </x:c>
      <x:c r="B919" s="2" t="str">
        <x:v>71c6036f05f3ce0d21f3</x:v>
      </x:c>
      <x:c r="C919" s="2" t="str">
        <x:v>Bình Thuận</x:v>
      </x:c>
      <x:c r="D919" s="2" t="str">
        <x:v>Huyện Bắc Bình</x:v>
      </x:c>
      <x:c r="E919" s="2" t="str">
        <x:v>land</x:v>
      </x:c>
      <x:c r="F919" s="2" t="str">
        <x:v>sale</x:v>
      </x:c>
      <x:c r="G919" s="11" t="n">
        <x:v>3380</x:v>
      </x:c>
      <x:c r="H919" s="12" t="n">
        <x:v>500000000</x:v>
      </x:c>
      <x:c r="I919" s="12" t="n">
        <x:v>147928.99408284025</x:v>
      </x:c>
      <x:c r="J919" s="2" t="str">
        <x:v>total</x:v>
      </x:c>
      <x:c r="K919" s="2" t="str">
        <x:v>top_level_area</x:v>
      </x:c>
      <x:c r="L919" s="2" t="str">
        <x:v>dot_thousands_convention;property_type_inferred_from_title</x:v>
      </x:c>
      <x:c r="M919" s="10" t="n">
        <x:v>0</x:v>
      </x:c>
      <x:c r="N919" s="10" t="n">
        <x:v>0</x:v>
      </x:c>
      <x:c r="O919" s="2" t="str">
        <x:v>land</x:v>
      </x:c>
      <x:c r="P919" s="10" t="n">
        <x:v>1</x:v>
      </x:c>
      <x:c r="Q919" s="13" t="n">
        <x:f>IF(H919="","",H919/1000000000)</x:f>
        <x:v>0.5</x:v>
      </x:c>
      <x:c r="R919" s="13" t="n">
        <x:f>IF(I919="","",I919/1000000)</x:f>
        <x:v>0.14792899408284024</x:v>
      </x:c>
    </x:row>
    <x:row r="920" ht="21" customHeight="1">
      <x:c r="A920" s="10" t="n">
        <x:v>1018</x:v>
      </x:c>
      <x:c r="B920" s="2" t="str">
        <x:v>89b201cd10681bf154fb</x:v>
      </x:c>
      <x:c r="C920" s="2" t="str">
        <x:v>Tp Hồ Chí Minh</x:v>
      </x:c>
      <x:c r="D920" s="2" t="str">
        <x:v>Quận 12</x:v>
      </x:c>
      <x:c r="E920" s="2" t="str">
        <x:v>house</x:v>
      </x:c>
      <x:c r="F920" s="2" t="str">
        <x:v>sale</x:v>
      </x:c>
      <x:c r="G920" s="11" t="n">
        <x:v>125</x:v>
      </x:c>
      <x:c r="H920" s="12" t="n">
        <x:v>980000000</x:v>
      </x:c>
      <x:c r="I920" s="12" t="n">
        <x:v>7840000</x:v>
      </x:c>
      <x:c r="J920" s="2" t="str">
        <x:v>total</x:v>
      </x:c>
      <x:c r="K920" s="2" t="str">
        <x:v>top_level_area</x:v>
      </x:c>
      <x:c r="L920" s="2" t="str">
        <x:v>property_type_inferred_from_title</x:v>
      </x:c>
      <x:c r="M920" s="10" t="n">
        <x:v>0</x:v>
      </x:c>
      <x:c r="N920" s="10" t="n">
        <x:v>0</x:v>
      </x:c>
      <x:c r="O920" s="2" t="str">
        <x:v>Tp Hồ Chí Minh|house</x:v>
      </x:c>
      <x:c r="P920" s="10" t="n">
        <x:v>2</x:v>
      </x:c>
      <x:c r="Q920" s="13" t="n">
        <x:f>IF(H920="","",H920/1000000000)</x:f>
        <x:v>0.98</x:v>
      </x:c>
      <x:c r="R920" s="13" t="n">
        <x:f>IF(I920="","",I920/1000000)</x:f>
        <x:v>7.84</x:v>
      </x:c>
    </x:row>
    <x:row r="921" ht="21" customHeight="1">
      <x:c r="A921" s="10" t="n">
        <x:v>1019</x:v>
      </x:c>
      <x:c r="B921" s="2" t="str">
        <x:v>16931bcb2feece5db9e8</x:v>
      </x:c>
      <x:c r="C921" s="2" t="str">
        <x:v>Tp Hồ Chí Minh</x:v>
      </x:c>
      <x:c r="D921" s="2" t="str">
        <x:v>Huyện Củ Chi</x:v>
      </x:c>
      <x:c r="E921" s="2" t="str">
        <x:v>land</x:v>
      </x:c>
      <x:c r="F921" s="2" t="str">
        <x:v>sale</x:v>
      </x:c>
      <x:c r="G921" s="11" t="n">
        <x:v>126</x:v>
      </x:c>
      <x:c r="H921" s="12" t="n">
        <x:v>1600000000</x:v>
      </x:c>
      <x:c r="I921" s="12" t="n">
        <x:v>12698412.698412698</x:v>
      </x:c>
      <x:c r="J921" s="2" t="str">
        <x:v>total</x:v>
      </x:c>
      <x:c r="K921" s="2" t="str">
        <x:v>top_level_area</x:v>
      </x:c>
      <x:c r="L921" s="2" t="str">
        <x:v>property_type_inferred_from_title</x:v>
      </x:c>
      <x:c r="M921" s="10" t="n">
        <x:v>0</x:v>
      </x:c>
      <x:c r="N921" s="10" t="n">
        <x:v>0</x:v>
      </x:c>
      <x:c r="O921" s="2" t="str">
        <x:v>Tp Hồ Chí Minh|land</x:v>
      </x:c>
      <x:c r="P921" s="10" t="n">
        <x:v>2</x:v>
      </x:c>
      <x:c r="Q921" s="13" t="n">
        <x:f>IF(H921="","",H921/1000000000)</x:f>
        <x:v>1.6</x:v>
      </x:c>
      <x:c r="R921" s="13" t="n">
        <x:f>IF(I921="","",I921/1000000)</x:f>
        <x:v>12.698412698412698</x:v>
      </x:c>
    </x:row>
    <x:row r="922" ht="21" customHeight="1">
      <x:c r="A922" s="10" t="n">
        <x:v>1020</x:v>
      </x:c>
      <x:c r="B922" s="2" t="str">
        <x:v>22f4136995d5fca3cee9</x:v>
      </x:c>
      <x:c r="C922" s="2" t="str">
        <x:v>Cà Mau</x:v>
      </x:c>
      <x:c r="D922" s="2" t="str">
        <x:v>Thành phố Cà Mau</x:v>
      </x:c>
      <x:c r="E922" s="2" t="str">
        <x:v>land</x:v>
      </x:c>
      <x:c r="F922" s="2" t="str">
        <x:v>sale</x:v>
      </x:c>
      <x:c r="G922" s="11" t="n">
        <x:v>117</x:v>
      </x:c>
      <x:c r="H922" s="12" t="n">
        <x:v>760000000</x:v>
      </x:c>
      <x:c r="I922" s="12" t="n">
        <x:v>6495726.495726496</x:v>
      </x:c>
      <x:c r="J922" s="2" t="str">
        <x:v>total</x:v>
      </x:c>
      <x:c r="K922" s="2" t="str">
        <x:v>top_level_area</x:v>
      </x:c>
      <x:c r="L922" s="2" t="str">
        <x:v>property_type_inferred_from_title</x:v>
      </x:c>
      <x:c r="M922" s="10" t="n">
        <x:v>0</x:v>
      </x:c>
      <x:c r="N922" s="10" t="n">
        <x:v>0</x:v>
      </x:c>
      <x:c r="O922" s="2" t="str">
        <x:v>land</x:v>
      </x:c>
      <x:c r="P922" s="10" t="n">
        <x:v>2</x:v>
      </x:c>
      <x:c r="Q922" s="13" t="n">
        <x:f>IF(H922="","",H922/1000000000)</x:f>
        <x:v>0.76</x:v>
      </x:c>
      <x:c r="R922" s="13" t="n">
        <x:f>IF(I922="","",I922/1000000)</x:f>
        <x:v>6.495726495726496</x:v>
      </x:c>
    </x:row>
    <x:row r="923" ht="21" customHeight="1">
      <x:c r="A923" s="10" t="n">
        <x:v>1021</x:v>
      </x:c>
      <x:c r="B923" s="2" t="str">
        <x:v>2b23f711893494520e33</x:v>
      </x:c>
      <x:c r="C923" s="2" t="str">
        <x:v>Đắk Lắk</x:v>
      </x:c>
      <x:c r="D923" s="2" t="str">
        <x:v>Thành phố Buôn Ma Thuột</x:v>
      </x:c>
      <x:c r="E923" s="2" t="str">
        <x:v>land</x:v>
      </x:c>
      <x:c r="F923" s="2" t="str">
        <x:v>sale_assumed</x:v>
      </x:c>
      <x:c r="G923" s="11" t="n">
        <x:v>121</x:v>
      </x:c>
      <x:c r="H923" s="12" t="n">
        <x:v>450000000</x:v>
      </x:c>
      <x:c r="I923" s="12" t="n">
        <x:v>3719008.26446281</x:v>
      </x:c>
      <x:c r="J923" s="2" t="str">
        <x:v>total</x:v>
      </x:c>
      <x:c r="K923" s="2" t="str">
        <x:v>top_level_area</x:v>
      </x:c>
      <x:c r="L923" s="2" t="str">
        <x:v>property_type_inferred_from_title;transaction_assumed_sale_from_dataset_context</x:v>
      </x:c>
      <x:c r="M923" s="10" t="n">
        <x:v>0</x:v>
      </x:c>
      <x:c r="N923" s="10" t="n">
        <x:v>0</x:v>
      </x:c>
      <x:c r="O923" s="2" t="str">
        <x:v>Đắk Lắk|land</x:v>
      </x:c>
      <x:c r="P923" s="10" t="n">
        <x:v>2</x:v>
      </x:c>
      <x:c r="Q923" s="13" t="n">
        <x:f>IF(H923="","",H923/1000000000)</x:f>
        <x:v>0.45</x:v>
      </x:c>
      <x:c r="R923" s="13" t="n">
        <x:f>IF(I923="","",I923/1000000)</x:f>
        <x:v>3.71900826446281</x:v>
      </x:c>
    </x:row>
    <x:row r="924" ht="21" customHeight="1">
      <x:c r="A924" s="10" t="n">
        <x:v>1022</x:v>
      </x:c>
      <x:c r="B924" s="2" t="str">
        <x:v>63c22c4957b60bc71229</x:v>
      </x:c>
      <x:c r="C924" s="2" t="str">
        <x:v>Lâm Đồng</x:v>
      </x:c>
      <x:c r="D924" s="2" t="str">
        <x:v>Thành phố Bảo Lộc</x:v>
      </x:c>
      <x:c r="E924" s="2" t="str">
        <x:v>other_unknown</x:v>
      </x:c>
      <x:c r="F924" s="2" t="str">
        <x:v>sale_assumed</x:v>
      </x:c>
      <x:c r="G924" s="11" t="n">
        <x:v>11000</x:v>
      </x:c>
      <x:c r="H924" s="12" t="n">
        <x:v>4700000000</x:v>
      </x:c>
      <x:c r="I924" s="12" t="n">
        <x:v>427272.7272727273</x:v>
      </x:c>
      <x:c r="J924" s="2" t="str">
        <x:v>total</x:v>
      </x:c>
      <x:c r="K924" s="2" t="str">
        <x:v>top_level_area</x:v>
      </x:c>
      <x:c r="L924" s="2" t="str">
        <x:v>dot_thousands_convention;property_type_inferred_from_title;transaction_assumed_sale_from_dataset_context;unknown_property_type</x:v>
      </x:c>
      <x:c r="M924" s="10" t="n">
        <x:v>0</x:v>
      </x:c>
      <x:c r="N924" s="10" t="n">
        <x:v>0</x:v>
      </x:c>
      <x:c r="O924" s="2" t="str">
        <x:v>other_unknown</x:v>
      </x:c>
      <x:c r="P924" s="10" t="n">
        <x:v>1</x:v>
      </x:c>
      <x:c r="Q924" s="13" t="n">
        <x:f>IF(H924="","",H924/1000000000)</x:f>
        <x:v>4.7</x:v>
      </x:c>
      <x:c r="R924" s="13" t="n">
        <x:f>IF(I924="","",I924/1000000)</x:f>
        <x:v>0.4272727272727273</x:v>
      </x:c>
    </x:row>
    <x:row r="925" ht="21" customHeight="1">
      <x:c r="A925" s="10" t="n">
        <x:v>1023</x:v>
      </x:c>
      <x:c r="B925" s="2" t="str">
        <x:v>40c9edcf0fac5d88320f</x:v>
      </x:c>
      <x:c r="C925" s="2" t="str">
        <x:v>Cần Thơ</x:v>
      </x:c>
      <x:c r="D925" s="2" t="str">
        <x:v>Quận Cái Răng</x:v>
      </x:c>
      <x:c r="E925" s="2" t="str">
        <x:v>land</x:v>
      </x:c>
      <x:c r="F925" s="2" t="str">
        <x:v>sale</x:v>
      </x:c>
      <x:c r="G925" s="11" t="n">
        <x:v>108</x:v>
      </x:c>
      <x:c r="H925" s="12" t="n">
        <x:v>2250000000</x:v>
      </x:c>
      <x:c r="I925" s="12" t="n">
        <x:v>20833333.333333332</x:v>
      </x:c>
      <x:c r="J925" s="2" t="str">
        <x:v>total</x:v>
      </x:c>
      <x:c r="K925" s="2" t="str">
        <x:v>top_level_area</x:v>
      </x:c>
      <x:c r="L925" s="2" t="str">
        <x:v>property_type_inferred_from_title</x:v>
      </x:c>
      <x:c r="M925" s="10" t="n">
        <x:v>0</x:v>
      </x:c>
      <x:c r="N925" s="10" t="n">
        <x:v>0</x:v>
      </x:c>
      <x:c r="O925" s="2" t="str">
        <x:v>Cần Thơ|land</x:v>
      </x:c>
      <x:c r="P925" s="10" t="n">
        <x:v>2</x:v>
      </x:c>
      <x:c r="Q925" s="13" t="n">
        <x:f>IF(H925="","",H925/1000000000)</x:f>
        <x:v>2.25</x:v>
      </x:c>
      <x:c r="R925" s="13" t="n">
        <x:f>IF(I925="","",I925/1000000)</x:f>
        <x:v>20.833333333333332</x:v>
      </x:c>
    </x:row>
    <x:row r="926" ht="21" customHeight="1">
      <x:c r="A926" s="10" t="n">
        <x:v>1024</x:v>
      </x:c>
      <x:c r="B926" s="2" t="str">
        <x:v>a5d50965d0cb3d494a6d</x:v>
      </x:c>
      <x:c r="C926" s="2" t="str">
        <x:v>Tp Hồ Chí Minh</x:v>
      </x:c>
      <x:c r="D926" s="2" t="str">
        <x:v>Quận Bình Thạnh</x:v>
      </x:c>
      <x:c r="E926" s="2" t="str">
        <x:v>house</x:v>
      </x:c>
      <x:c r="F926" s="2" t="str">
        <x:v>sale_assumed</x:v>
      </x:c>
      <x:c r="G926" s="11" t="n">
        <x:v>56</x:v>
      </x:c>
      <x:c r="H926" s="12" t="n">
        <x:v>7500000000</x:v>
      </x:c>
      <x:c r="I926" s="12" t="n">
        <x:v>133928571.42857143</x:v>
      </x:c>
      <x:c r="J926" s="2" t="str">
        <x:v>total</x:v>
      </x:c>
      <x:c r="K926" s="2" t="str">
        <x:v>top_level_price_embedded_area</x:v>
      </x:c>
      <x:c r="L926" s="2" t="str">
        <x:v>area_recovered_from_price_text;property_type_inferred_from_title;transaction_assumed_sale_from_dataset_context</x:v>
      </x:c>
      <x:c r="M926" s="10" t="n">
        <x:v>0</x:v>
      </x:c>
      <x:c r="N926" s="10" t="n">
        <x:v>0</x:v>
      </x:c>
      <x:c r="O926" s="2" t="str">
        <x:v>Tp Hồ Chí Minh|house</x:v>
      </x:c>
      <x:c r="P926" s="10" t="n">
        <x:v>2</x:v>
      </x:c>
      <x:c r="Q926" s="13" t="n">
        <x:f>IF(H926="","",H926/1000000000)</x:f>
        <x:v>7.5</x:v>
      </x:c>
      <x:c r="R926" s="13" t="n">
        <x:f>IF(I926="","",I926/1000000)</x:f>
        <x:v>133.92857142857144</x:v>
      </x:c>
    </x:row>
    <x:row r="927" ht="21" customHeight="1">
      <x:c r="A927" s="10" t="n">
        <x:v>1025</x:v>
      </x:c>
      <x:c r="B927" s="2" t="str">
        <x:v>a29684258a23ef80028e</x:v>
      </x:c>
      <x:c r="C927" s="2" t="str">
        <x:v>Tp Hồ Chí Minh</x:v>
      </x:c>
      <x:c r="D927" s="2" t="str">
        <x:v>Huyện Hóc Môn</x:v>
      </x:c>
      <x:c r="E927" s="2" t="str">
        <x:v>house</x:v>
      </x:c>
      <x:c r="F927" s="2" t="str">
        <x:v>sale</x:v>
      </x:c>
      <x:c r="G927" s="11" t="n">
        <x:v>123</x:v>
      </x:c>
      <x:c r="H927" s="12" t="n">
        <x:v>4850000000</x:v>
      </x:c>
      <x:c r="I927" s="12" t="n">
        <x:v>39430894.30894309</x:v>
      </x:c>
      <x:c r="J927" s="2" t="str">
        <x:v>total</x:v>
      </x:c>
      <x:c r="K927" s="2" t="str">
        <x:v>top_level_area</x:v>
      </x:c>
      <x:c r="L927" s="2" t="str">
        <x:v>property_type_inferred_from_title</x:v>
      </x:c>
      <x:c r="M927" s="10" t="n">
        <x:v>0</x:v>
      </x:c>
      <x:c r="N927" s="10" t="n">
        <x:v>0</x:v>
      </x:c>
      <x:c r="O927" s="2" t="str">
        <x:v>Tp Hồ Chí Minh|house</x:v>
      </x:c>
      <x:c r="P927" s="10" t="n">
        <x:v>2</x:v>
      </x:c>
      <x:c r="Q927" s="13" t="n">
        <x:f>IF(H927="","",H927/1000000000)</x:f>
        <x:v>4.85</x:v>
      </x:c>
      <x:c r="R927" s="13" t="n">
        <x:f>IF(I927="","",I927/1000000)</x:f>
        <x:v>39.430894308943095</x:v>
      </x:c>
    </x:row>
    <x:row r="928" ht="21" customHeight="1">
      <x:c r="A928" s="10" t="n">
        <x:v>1026</x:v>
      </x:c>
      <x:c r="B928" s="2" t="str">
        <x:v>3b07649f96beec3346d8</x:v>
      </x:c>
      <x:c r="C928" s="2" t="str">
        <x:v>Tp Hồ Chí Minh</x:v>
      </x:c>
      <x:c r="D928" s="2" t="str">
        <x:v>Huyện Hóc Môn</x:v>
      </x:c>
      <x:c r="E928" s="2" t="str">
        <x:v>house</x:v>
      </x:c>
      <x:c r="F928" s="2" t="str">
        <x:v>sale_assumed</x:v>
      </x:c>
      <x:c r="G928" s="11" t="n">
        <x:v>32</x:v>
      </x:c>
      <x:c r="H928" s="12" t="n">
        <x:v>640000000</x:v>
      </x:c>
      <x:c r="I928" s="12" t="n">
        <x:v>20000000</x:v>
      </x:c>
      <x:c r="J928" s="2" t="str">
        <x:v>total</x:v>
      </x:c>
      <x:c r="K928" s="2" t="str">
        <x:v>top_level_price_embedded_area</x:v>
      </x:c>
      <x:c r="L928" s="2" t="str">
        <x:v>area_recovered_from_price_text;property_type_inferred_from_title;transaction_assumed_sale_from_dataset_context</x:v>
      </x:c>
      <x:c r="M928" s="10" t="n">
        <x:v>0</x:v>
      </x:c>
      <x:c r="N928" s="10" t="n">
        <x:v>0</x:v>
      </x:c>
      <x:c r="O928" s="2" t="str">
        <x:v>Tp Hồ Chí Minh|house</x:v>
      </x:c>
      <x:c r="P928" s="10" t="n">
        <x:v>2</x:v>
      </x:c>
      <x:c r="Q928" s="13" t="n">
        <x:f>IF(H928="","",H928/1000000000)</x:f>
        <x:v>0.64</x:v>
      </x:c>
      <x:c r="R928" s="13" t="n">
        <x:f>IF(I928="","",I928/1000000)</x:f>
        <x:v>20</x:v>
      </x:c>
    </x:row>
    <x:row r="929" ht="21" customHeight="1">
      <x:c r="A929" s="10" t="n">
        <x:v>1027</x:v>
      </x:c>
      <x:c r="B929" s="2" t="str">
        <x:v>1f00cc844799e1b7137e</x:v>
      </x:c>
      <x:c r="C929" s="2" t="str">
        <x:v>Tp Hồ Chí Minh</x:v>
      </x:c>
      <x:c r="D929" s="2" t="str">
        <x:v>Quận 10</x:v>
      </x:c>
      <x:c r="E929" s="2" t="str">
        <x:v>other_unknown</x:v>
      </x:c>
      <x:c r="F929" s="2" t="str">
        <x:v>sale_assumed</x:v>
      </x:c>
      <x:c r="G929" s="11" t="n">
        <x:v>39</x:v>
      </x:c>
      <x:c r="H929" s="12" t="n">
        <x:v>7190000000</x:v>
      </x:c>
      <x:c r="I929" s="12" t="n">
        <x:v>184358974.35897437</x:v>
      </x:c>
      <x:c r="J929" s="2" t="str">
        <x:v>total</x:v>
      </x:c>
      <x:c r="K929" s="2" t="str">
        <x:v>top_level_area</x:v>
      </x:c>
      <x:c r="L929" s="2" t="str">
        <x:v>property_type_inferred_from_title;transaction_assumed_sale_from_dataset_context;unknown_property_type</x:v>
      </x:c>
      <x:c r="M929" s="10" t="n">
        <x:v>1</x:v>
      </x:c>
      <x:c r="N929" s="10" t="n">
        <x:v>0</x:v>
      </x:c>
      <x:c r="O929" s="2" t="str">
        <x:v>Tp Hồ Chí Minh|other_unknown</x:v>
      </x:c>
      <x:c r="P929" s="10" t="n">
        <x:v>2</x:v>
      </x:c>
      <x:c r="Q929" s="13" t="n">
        <x:f>IF(H929="","",H929/1000000000)</x:f>
        <x:v>7.19</x:v>
      </x:c>
      <x:c r="R929" s="13" t="n">
        <x:f>IF(I929="","",I929/1000000)</x:f>
        <x:v>184.35897435897436</x:v>
      </x:c>
    </x:row>
    <x:row r="930" ht="21" customHeight="1">
      <x:c r="A930" s="10" t="n">
        <x:v>1028</x:v>
      </x:c>
      <x:c r="B930" s="2" t="str">
        <x:v>6fae5ac9560ebb8ed86b</x:v>
      </x:c>
      <x:c r="C930" s="2" t="str">
        <x:v>Tp Hồ Chí Minh</x:v>
      </x:c>
      <x:c r="D930" s="2" t="str">
        <x:v>Huyện Hóc Môn</x:v>
      </x:c>
      <x:c r="E930" s="2" t="str">
        <x:v>apartment</x:v>
      </x:c>
      <x:c r="F930" s="2" t="str">
        <x:v>sale_assumed</x:v>
      </x:c>
      <x:c r="G930" s="11" t="n">
        <x:v>46</x:v>
      </x:c>
      <x:c r="H930" s="12" t="n">
        <x:v>270000000</x:v>
      </x:c>
      <x:c r="I930" s="12" t="n">
        <x:v>5869565.217391305</x:v>
      </x:c>
      <x:c r="J930" s="2" t="str">
        <x:v>total</x:v>
      </x:c>
      <x:c r="K930" s="2" t="str">
        <x:v>top_level_area</x:v>
      </x:c>
      <x:c r="L930" s="2" t="str">
        <x:v>property_type_inferred_from_title;transaction_assumed_sale_from_dataset_context</x:v>
      </x:c>
      <x:c r="M930" s="10" t="n">
        <x:v>0</x:v>
      </x:c>
      <x:c r="N930" s="10" t="n">
        <x:v>0</x:v>
      </x:c>
      <x:c r="O930" s="2" t="str">
        <x:v>Tp Hồ Chí Minh|apartment</x:v>
      </x:c>
      <x:c r="P930" s="10" t="n">
        <x:v>2</x:v>
      </x:c>
      <x:c r="Q930" s="13" t="n">
        <x:f>IF(H930="","",H930/1000000000)</x:f>
        <x:v>0.27</x:v>
      </x:c>
      <x:c r="R930" s="13" t="n">
        <x:f>IF(I930="","",I930/1000000)</x:f>
        <x:v>5.869565217391305</x:v>
      </x:c>
    </x:row>
    <x:row r="931" ht="21" customHeight="1">
      <x:c r="A931" s="10" t="n">
        <x:v>1029</x:v>
      </x:c>
      <x:c r="B931" s="2" t="str">
        <x:v>f18330ee5e0aeec7dd64</x:v>
      </x:c>
      <x:c r="C931" s="2" t="str">
        <x:v>Tp Hồ Chí Minh</x:v>
      </x:c>
      <x:c r="D931" s="2" t="str">
        <x:v>Quận Tân Phú</x:v>
      </x:c>
      <x:c r="E931" s="2" t="str">
        <x:v>house</x:v>
      </x:c>
      <x:c r="F931" s="2" t="str">
        <x:v>sale_assumed</x:v>
      </x:c>
      <x:c r="G931" s="11" t="n">
        <x:v>67</x:v>
      </x:c>
      <x:c r="H931" s="12" t="n">
        <x:v>6250000000</x:v>
      </x:c>
      <x:c r="I931" s="12" t="n">
        <x:v>93283582.08955224</x:v>
      </x:c>
      <x:c r="J931" s="2" t="str">
        <x:v>total</x:v>
      </x:c>
      <x:c r="K931" s="2" t="str">
        <x:v>top_level_area</x:v>
      </x:c>
      <x:c r="L931" s="2" t="str">
        <x:v>property_type_inferred_from_title;transaction_assumed_sale_from_dataset_context</x:v>
      </x:c>
      <x:c r="M931" s="10" t="n">
        <x:v>0</x:v>
      </x:c>
      <x:c r="N931" s="10" t="n">
        <x:v>0</x:v>
      </x:c>
      <x:c r="O931" s="2" t="str">
        <x:v>Tp Hồ Chí Minh|house</x:v>
      </x:c>
      <x:c r="P931" s="10" t="n">
        <x:v>2</x:v>
      </x:c>
      <x:c r="Q931" s="13" t="n">
        <x:f>IF(H931="","",H931/1000000000)</x:f>
        <x:v>6.25</x:v>
      </x:c>
      <x:c r="R931" s="13" t="n">
        <x:f>IF(I931="","",I931/1000000)</x:f>
        <x:v>93.28358208955224</x:v>
      </x:c>
    </x:row>
    <x:row r="932" ht="21" customHeight="1">
      <x:c r="A932" s="10" t="n">
        <x:v>1030</x:v>
      </x:c>
      <x:c r="B932" s="2" t="str">
        <x:v>ecdda355565d362ef460</x:v>
      </x:c>
      <x:c r="C932" s="2" t="str">
        <x:v>Tp Hồ Chí Minh</x:v>
      </x:c>
      <x:c r="D932" s="2" t="str">
        <x:v>Quận Bình Tân</x:v>
      </x:c>
      <x:c r="E932" s="2" t="str">
        <x:v>house</x:v>
      </x:c>
      <x:c r="F932" s="2" t="str">
        <x:v>sale_assumed</x:v>
      </x:c>
      <x:c r="G932" s="11" t="n">
        <x:v>40</x:v>
      </x:c>
      <x:c r="H932" s="12" t="n">
        <x:v>5950000000</x:v>
      </x:c>
      <x:c r="I932" s="12" t="n">
        <x:v>148750000</x:v>
      </x:c>
      <x:c r="J932" s="2" t="str">
        <x:v>total</x:v>
      </x:c>
      <x:c r="K932" s="2" t="str">
        <x:v>top_level_area</x:v>
      </x:c>
      <x:c r="L932" s="2" t="str">
        <x:v>property_type_inferred_from_title;transaction_assumed_sale_from_dataset_context</x:v>
      </x:c>
      <x:c r="M932" s="10" t="n">
        <x:v>0</x:v>
      </x:c>
      <x:c r="N932" s="10" t="n">
        <x:v>0</x:v>
      </x:c>
      <x:c r="O932" s="2" t="str">
        <x:v>Tp Hồ Chí Minh|house</x:v>
      </x:c>
      <x:c r="P932" s="10" t="n">
        <x:v>2</x:v>
      </x:c>
      <x:c r="Q932" s="13" t="n">
        <x:f>IF(H932="","",H932/1000000000)</x:f>
        <x:v>5.95</x:v>
      </x:c>
      <x:c r="R932" s="13" t="n">
        <x:f>IF(I932="","",I932/1000000)</x:f>
        <x:v>148.75</x:v>
      </x:c>
    </x:row>
    <x:row r="933" ht="21" customHeight="1">
      <x:c r="A933" s="10" t="n">
        <x:v>1031</x:v>
      </x:c>
      <x:c r="B933" s="2" t="str">
        <x:v>6389591f784458ad1455</x:v>
      </x:c>
      <x:c r="C933" s="2" t="str">
        <x:v>Tp Hồ Chí Minh</x:v>
      </x:c>
      <x:c r="D933" s="2" t="str">
        <x:v>Quận Tân Phú</x:v>
      </x:c>
      <x:c r="E933" s="2" t="str">
        <x:v>house</x:v>
      </x:c>
      <x:c r="F933" s="2" t="str">
        <x:v>sale</x:v>
      </x:c>
      <x:c r="G933" s="11" t="n">
        <x:v>56</x:v>
      </x:c>
      <x:c r="H933" s="12" t="n">
        <x:v>3900000000</x:v>
      </x:c>
      <x:c r="I933" s="12" t="n">
        <x:v>69642857.14285715</x:v>
      </x:c>
      <x:c r="J933" s="2" t="str">
        <x:v>total</x:v>
      </x:c>
      <x:c r="K933" s="2" t="str">
        <x:v>top_level_area</x:v>
      </x:c>
      <x:c r="L933" s="2" t="str">
        <x:v>property_type_inferred_from_title</x:v>
      </x:c>
      <x:c r="M933" s="10" t="n">
        <x:v>0</x:v>
      </x:c>
      <x:c r="N933" s="10" t="n">
        <x:v>0</x:v>
      </x:c>
      <x:c r="O933" s="2" t="str">
        <x:v>Tp Hồ Chí Minh|house</x:v>
      </x:c>
      <x:c r="P933" s="10" t="n">
        <x:v>2</x:v>
      </x:c>
      <x:c r="Q933" s="13" t="n">
        <x:f>IF(H933="","",H933/1000000000)</x:f>
        <x:v>3.9</x:v>
      </x:c>
      <x:c r="R933" s="13" t="n">
        <x:f>IF(I933="","",I933/1000000)</x:f>
        <x:v>69.64285714285715</x:v>
      </x:c>
    </x:row>
    <x:row r="934" ht="21" customHeight="1">
      <x:c r="A934" s="10" t="n">
        <x:v>1032</x:v>
      </x:c>
      <x:c r="B934" s="2" t="str">
        <x:v>e381368c9ca1fd9eeabb</x:v>
      </x:c>
      <x:c r="C934" s="2" t="str">
        <x:v>Tp Hồ Chí Minh</x:v>
      </x:c>
      <x:c r="D934" s="2" t="str">
        <x:v>Huyện Hóc Môn</x:v>
      </x:c>
      <x:c r="E934" s="2" t="str">
        <x:v>house</x:v>
      </x:c>
      <x:c r="F934" s="2" t="str">
        <x:v>sale_assumed</x:v>
      </x:c>
      <x:c r="G934" s="11" t="n">
        <x:v>60</x:v>
      </x:c>
      <x:c r="H934" s="12" t="n">
        <x:v>480000000</x:v>
      </x:c>
      <x:c r="I934" s="12" t="n">
        <x:v>8000000</x:v>
      </x:c>
      <x:c r="J934" s="2" t="str">
        <x:v>total</x:v>
      </x:c>
      <x:c r="K934" s="2" t="str">
        <x:v>top_level_area</x:v>
      </x:c>
      <x:c r="L934" s="2" t="str">
        <x:v>property_type_inferred_from_title;transaction_assumed_sale_from_dataset_context</x:v>
      </x:c>
      <x:c r="M934" s="10" t="n">
        <x:v>0</x:v>
      </x:c>
      <x:c r="N934" s="10" t="n">
        <x:v>0</x:v>
      </x:c>
      <x:c r="O934" s="2" t="str">
        <x:v>Tp Hồ Chí Minh|house</x:v>
      </x:c>
      <x:c r="P934" s="10" t="n">
        <x:v>2</x:v>
      </x:c>
      <x:c r="Q934" s="13" t="n">
        <x:f>IF(H934="","",H934/1000000000)</x:f>
        <x:v>0.48</x:v>
      </x:c>
      <x:c r="R934" s="13" t="n">
        <x:f>IF(I934="","",I934/1000000)</x:f>
        <x:v>8</x:v>
      </x:c>
    </x:row>
    <x:row r="935" ht="21" customHeight="1">
      <x:c r="A935" s="10" t="n">
        <x:v>1033</x:v>
      </x:c>
      <x:c r="B935" s="2" t="str">
        <x:v>2a61325f2e1d7974ff65</x:v>
      </x:c>
      <x:c r="C935" s="2" t="str">
        <x:v>Tp Hồ Chí Minh</x:v>
      </x:c>
      <x:c r="D935" s="2" t="str">
        <x:v>Huyện Hóc Môn</x:v>
      </x:c>
      <x:c r="E935" s="2" t="str">
        <x:v>house</x:v>
      </x:c>
      <x:c r="F935" s="2" t="str">
        <x:v>sale</x:v>
      </x:c>
      <x:c r="G935" s="11" t="n">
        <x:v>60</x:v>
      </x:c>
      <x:c r="H935" s="12" t="n">
        <x:v>400000000</x:v>
      </x:c>
      <x:c r="I935" s="12" t="n">
        <x:v>6666666.666666667</x:v>
      </x:c>
      <x:c r="J935" s="2" t="str">
        <x:v>total</x:v>
      </x:c>
      <x:c r="K935" s="2" t="str">
        <x:v>top_level_area</x:v>
      </x:c>
      <x:c r="L935" s="2" t="str">
        <x:v>property_type_inferred_from_title</x:v>
      </x:c>
      <x:c r="M935" s="10" t="n">
        <x:v>0</x:v>
      </x:c>
      <x:c r="N935" s="10" t="n">
        <x:v>0</x:v>
      </x:c>
      <x:c r="O935" s="2" t="str">
        <x:v>Tp Hồ Chí Minh|house</x:v>
      </x:c>
      <x:c r="P935" s="10" t="n">
        <x:v>2</x:v>
      </x:c>
      <x:c r="Q935" s="13" t="n">
        <x:f>IF(H935="","",H935/1000000000)</x:f>
        <x:v>0.4</x:v>
      </x:c>
      <x:c r="R935" s="13" t="n">
        <x:f>IF(I935="","",I935/1000000)</x:f>
        <x:v>6.666666666666667</x:v>
      </x:c>
    </x:row>
    <x:row r="936" ht="21" customHeight="1">
      <x:c r="A936" s="10" t="n">
        <x:v>1034</x:v>
      </x:c>
      <x:c r="B936" s="2" t="str">
        <x:v>22be7e67eab7f2a40cba</x:v>
      </x:c>
      <x:c r="C936" s="2" t="str">
        <x:v>Hà Nội</x:v>
      </x:c>
      <x:c r="D936" s="2" t="str">
        <x:v>Quận Long Biên</x:v>
      </x:c>
      <x:c r="E936" s="2" t="str">
        <x:v>house</x:v>
      </x:c>
      <x:c r="F936" s="2" t="str">
        <x:v>sale_assumed</x:v>
      </x:c>
      <x:c r="G936" s="11" t="n">
        <x:v>32</x:v>
      </x:c>
      <x:c r="H936" s="12" t="n">
        <x:v>3450000000</x:v>
      </x:c>
      <x:c r="I936" s="12" t="n">
        <x:v>107812500</x:v>
      </x:c>
      <x:c r="J936" s="2" t="str">
        <x:v>total</x:v>
      </x:c>
      <x:c r="K936" s="2" t="str">
        <x:v>top_level_area</x:v>
      </x:c>
      <x:c r="L936" s="2" t="str">
        <x:v>property_type_inferred_from_title;transaction_assumed_sale_from_dataset_context</x:v>
      </x:c>
      <x:c r="M936" s="10" t="n">
        <x:v>0</x:v>
      </x:c>
      <x:c r="N936" s="10" t="n">
        <x:v>0</x:v>
      </x:c>
      <x:c r="O936" s="2" t="str">
        <x:v>Hà Nội|house</x:v>
      </x:c>
      <x:c r="P936" s="10" t="n">
        <x:v>2</x:v>
      </x:c>
      <x:c r="Q936" s="13" t="n">
        <x:f>IF(H936="","",H936/1000000000)</x:f>
        <x:v>3.45</x:v>
      </x:c>
      <x:c r="R936" s="13" t="n">
        <x:f>IF(I936="","",I936/1000000)</x:f>
        <x:v>107.8125</x:v>
      </x:c>
    </x:row>
    <x:row r="937" ht="21" customHeight="1">
      <x:c r="A937" s="10" t="n">
        <x:v>1035</x:v>
      </x:c>
      <x:c r="B937" s="2" t="str">
        <x:v>7b7000fd120e91870987</x:v>
      </x:c>
      <x:c r="C937" s="2" t="str">
        <x:v>Tp Hồ Chí Minh</x:v>
      </x:c>
      <x:c r="D937" s="2" t="str">
        <x:v>Quận Bình Tân</x:v>
      </x:c>
      <x:c r="E937" s="2" t="str">
        <x:v>land</x:v>
      </x:c>
      <x:c r="F937" s="2" t="str">
        <x:v>sale_assumed</x:v>
      </x:c>
      <x:c r="G937" s="11" t="n">
        <x:v>56</x:v>
      </x:c>
      <x:c r="H937" s="12" t="n">
        <x:v>1100000000</x:v>
      </x:c>
      <x:c r="I937" s="12" t="n">
        <x:v>19642857.14285714</x:v>
      </x:c>
      <x:c r="J937" s="2" t="str">
        <x:v>total</x:v>
      </x:c>
      <x:c r="K937" s="2" t="str">
        <x:v>top_level_area</x:v>
      </x:c>
      <x:c r="L937" s="2" t="str">
        <x:v>property_type_inferred_from_title;transaction_assumed_sale_from_dataset_context</x:v>
      </x:c>
      <x:c r="M937" s="10" t="n">
        <x:v>0</x:v>
      </x:c>
      <x:c r="N937" s="10" t="n">
        <x:v>0</x:v>
      </x:c>
      <x:c r="O937" s="2" t="str">
        <x:v>Tp Hồ Chí Minh|land</x:v>
      </x:c>
      <x:c r="P937" s="10" t="n">
        <x:v>2</x:v>
      </x:c>
      <x:c r="Q937" s="13" t="n">
        <x:f>IF(H937="","",H937/1000000000)</x:f>
        <x:v>1.1</x:v>
      </x:c>
      <x:c r="R937" s="13" t="n">
        <x:f>IF(I937="","",I937/1000000)</x:f>
        <x:v>19.642857142857142</x:v>
      </x:c>
    </x:row>
    <x:row r="938" ht="21" customHeight="1">
      <x:c r="A938" s="10" t="n">
        <x:v>1036</x:v>
      </x:c>
      <x:c r="B938" s="2" t="str">
        <x:v>e53867534430103ab881</x:v>
      </x:c>
      <x:c r="C938" s="2" t="str">
        <x:v>Tp Hồ Chí Minh</x:v>
      </x:c>
      <x:c r="D938" s="2" t="str">
        <x:v>Huyện Bình Chánh</x:v>
      </x:c>
      <x:c r="E938" s="2" t="str">
        <x:v>house</x:v>
      </x:c>
      <x:c r="F938" s="2" t="str">
        <x:v>sale</x:v>
      </x:c>
      <x:c r="G938" s="11" t="n">
        <x:v>56</x:v>
      </x:c>
      <x:c r="H938" s="12" t="n">
        <x:v>1020000000</x:v>
      </x:c>
      <x:c r="I938" s="12" t="n">
        <x:v>18214285.714285713</x:v>
      </x:c>
      <x:c r="J938" s="2" t="str">
        <x:v>total</x:v>
      </x:c>
      <x:c r="K938" s="2" t="str">
        <x:v>top_level_area</x:v>
      </x:c>
      <x:c r="L938" s="2" t="str">
        <x:v>property_type_inferred_from_title</x:v>
      </x:c>
      <x:c r="M938" s="10" t="n">
        <x:v>0</x:v>
      </x:c>
      <x:c r="N938" s="10" t="n">
        <x:v>0</x:v>
      </x:c>
      <x:c r="O938" s="2" t="str">
        <x:v>Tp Hồ Chí Minh|house</x:v>
      </x:c>
      <x:c r="P938" s="10" t="n">
        <x:v>2</x:v>
      </x:c>
      <x:c r="Q938" s="13" t="n">
        <x:f>IF(H938="","",H938/1000000000)</x:f>
        <x:v>1.02</x:v>
      </x:c>
      <x:c r="R938" s="13" t="n">
        <x:f>IF(I938="","",I938/1000000)</x:f>
        <x:v>18.21428571428571</x:v>
      </x:c>
    </x:row>
    <x:row r="939" ht="21" customHeight="1">
      <x:c r="A939" s="10" t="n">
        <x:v>1037</x:v>
      </x:c>
      <x:c r="B939" s="2" t="str">
        <x:v>174a1d5566d2447bc9f9</x:v>
      </x:c>
      <x:c r="C939" s="2" t="str">
        <x:v>Hà Nội</x:v>
      </x:c>
      <x:c r="D939" s="2" t="str">
        <x:v>Quận Hà Đông</x:v>
      </x:c>
      <x:c r="E939" s="2" t="str">
        <x:v>house</x:v>
      </x:c>
      <x:c r="F939" s="2" t="str">
        <x:v>sale</x:v>
      </x:c>
      <x:c r="G939" s="11" t="n">
        <x:v>47.2</x:v>
      </x:c>
      <x:c r="H939" s="12" t="n">
        <x:v>1880000000</x:v>
      </x:c>
      <x:c r="I939" s="12" t="n">
        <x:v>39830508.47457627</x:v>
      </x:c>
      <x:c r="J939" s="2" t="str">
        <x:v>total</x:v>
      </x:c>
      <x:c r="K939" s="2" t="str">
        <x:v>top_level_area</x:v>
      </x:c>
      <x:c r="L939" s="2" t="str">
        <x:v>property_type_inferred_from_title</x:v>
      </x:c>
      <x:c r="M939" s="10" t="n">
        <x:v>0</x:v>
      </x:c>
      <x:c r="N939" s="10" t="n">
        <x:v>0</x:v>
      </x:c>
      <x:c r="O939" s="2" t="str">
        <x:v>Hà Nội|house</x:v>
      </x:c>
      <x:c r="P939" s="10" t="n">
        <x:v>2</x:v>
      </x:c>
      <x:c r="Q939" s="13" t="n">
        <x:f>IF(H939="","",H939/1000000000)</x:f>
        <x:v>1.88</x:v>
      </x:c>
      <x:c r="R939" s="13" t="n">
        <x:f>IF(I939="","",I939/1000000)</x:f>
        <x:v>39.83050847457627</x:v>
      </x:c>
    </x:row>
    <x:row r="940" ht="21" customHeight="1">
      <x:c r="A940" s="10" t="n">
        <x:v>1039</x:v>
      </x:c>
      <x:c r="B940" s="2" t="str">
        <x:v>fe1d745d516ef40803a3</x:v>
      </x:c>
      <x:c r="C940" s="2" t="str">
        <x:v>Lâm Đồng</x:v>
      </x:c>
      <x:c r="D940" s="2" t="str">
        <x:v>Thành phố Bảo Lộc</x:v>
      </x:c>
      <x:c r="E940" s="2" t="str">
        <x:v>other_unknown</x:v>
      </x:c>
      <x:c r="F940" s="2" t="str">
        <x:v>sale</x:v>
      </x:c>
      <x:c r="G940" s="11" t="n">
        <x:v>1000</x:v>
      </x:c>
      <x:c r="H940" s="12" t="n">
        <x:v>350000000</x:v>
      </x:c>
      <x:c r="I940" s="12" t="n">
        <x:v>350000</x:v>
      </x:c>
      <x:c r="J940" s="2" t="str">
        <x:v>total</x:v>
      </x:c>
      <x:c r="K940" s="2" t="str">
        <x:v>top_level_area</x:v>
      </x:c>
      <x:c r="L940" s="2" t="str">
        <x:v>dot_thousands_convention;property_type_inferred_from_title;unknown_property_type</x:v>
      </x:c>
      <x:c r="M940" s="10" t="n">
        <x:v>0</x:v>
      </x:c>
      <x:c r="N940" s="10" t="n">
        <x:v>0</x:v>
      </x:c>
      <x:c r="O940" s="2" t="str">
        <x:v>other_unknown</x:v>
      </x:c>
      <x:c r="P940" s="10" t="n">
        <x:v>1</x:v>
      </x:c>
      <x:c r="Q940" s="13" t="n">
        <x:f>IF(H940="","",H940/1000000000)</x:f>
        <x:v>0.35</x:v>
      </x:c>
      <x:c r="R940" s="13" t="n">
        <x:f>IF(I940="","",I940/1000000)</x:f>
        <x:v>0.35</x:v>
      </x:c>
    </x:row>
    <x:row r="941" ht="21" customHeight="1">
      <x:c r="A941" s="10" t="n">
        <x:v>1040</x:v>
      </x:c>
      <x:c r="B941" s="2" t="str">
        <x:v>083f4855dcdb959092fc</x:v>
      </x:c>
      <x:c r="C941" s="2" t="str">
        <x:v>Tp Hồ Chí Minh</x:v>
      </x:c>
      <x:c r="D941" s="2" t="str">
        <x:v>Huyện Bình Chánh</x:v>
      </x:c>
      <x:c r="E941" s="2" t="str">
        <x:v>house</x:v>
      </x:c>
      <x:c r="F941" s="2" t="str">
        <x:v>sale_assumed</x:v>
      </x:c>
      <x:c r="G941" s="11" t="n">
        <x:v>34</x:v>
      </x:c>
      <x:c r="H941" s="12" t="n">
        <x:v>420000000</x:v>
      </x:c>
      <x:c r="I941" s="12" t="n">
        <x:v>12352941.176470589</x:v>
      </x:c>
      <x:c r="J941" s="2" t="str">
        <x:v>total</x:v>
      </x:c>
      <x:c r="K941" s="2" t="str">
        <x:v>top_level_area</x:v>
      </x:c>
      <x:c r="L941" s="2" t="str">
        <x:v>property_type_inferred_from_title;transaction_assumed_sale_from_dataset_context</x:v>
      </x:c>
      <x:c r="M941" s="10" t="n">
        <x:v>0</x:v>
      </x:c>
      <x:c r="N941" s="10" t="n">
        <x:v>0</x:v>
      </x:c>
      <x:c r="O941" s="2" t="str">
        <x:v>Tp Hồ Chí Minh|house</x:v>
      </x:c>
      <x:c r="P941" s="10" t="n">
        <x:v>2</x:v>
      </x:c>
      <x:c r="Q941" s="13" t="n">
        <x:f>IF(H941="","",H941/1000000000)</x:f>
        <x:v>0.42</x:v>
      </x:c>
      <x:c r="R941" s="13" t="n">
        <x:f>IF(I941="","",I941/1000000)</x:f>
        <x:v>12.352941176470589</x:v>
      </x:c>
    </x:row>
    <x:row r="942" ht="21" customHeight="1">
      <x:c r="A942" s="10" t="n">
        <x:v>1041</x:v>
      </x:c>
      <x:c r="B942" s="2" t="str">
        <x:v>77bf3e430cca71cb8053</x:v>
      </x:c>
      <x:c r="C942" s="2" t="str">
        <x:v>Long An</x:v>
      </x:c>
      <x:c r="D942" s="2" t="str">
        <x:v>Huyện Bến Lức</x:v>
      </x:c>
      <x:c r="E942" s="2" t="str">
        <x:v>other_unknown</x:v>
      </x:c>
      <x:c r="F942" s="2" t="str">
        <x:v>sale_assumed</x:v>
      </x:c>
      <x:c r="G942" s="11" t="n">
        <x:v>100</x:v>
      </x:c>
      <x:c r="H942" s="12" t="n">
        <x:v>1100000000</x:v>
      </x:c>
      <x:c r="I942" s="12" t="n">
        <x:v>11000000</x:v>
      </x:c>
      <x:c r="J942" s="2" t="str">
        <x:v>total</x:v>
      </x:c>
      <x:c r="K942" s="2" t="str">
        <x:v>top_level_area</x:v>
      </x:c>
      <x:c r="L942" s="2" t="str">
        <x:v>property_type_inferred_from_title;transaction_assumed_sale_from_dataset_context;unknown_property_type</x:v>
      </x:c>
      <x:c r="M942" s="10" t="n">
        <x:v>0</x:v>
      </x:c>
      <x:c r="N942" s="10" t="n">
        <x:v>0</x:v>
      </x:c>
      <x:c r="O942" s="2" t="str">
        <x:v>Long An|other_unknown</x:v>
      </x:c>
      <x:c r="P942" s="10" t="n">
        <x:v>2</x:v>
      </x:c>
      <x:c r="Q942" s="13" t="n">
        <x:f>IF(H942="","",H942/1000000000)</x:f>
        <x:v>1.1</x:v>
      </x:c>
      <x:c r="R942" s="13" t="n">
        <x:f>IF(I942="","",I942/1000000)</x:f>
        <x:v>11</x:v>
      </x:c>
    </x:row>
    <x:row r="943" ht="21" customHeight="1">
      <x:c r="A943" s="10" t="n">
        <x:v>1042</x:v>
      </x:c>
      <x:c r="B943" s="2" t="str">
        <x:v>9ad63b3f6230397dd43e</x:v>
      </x:c>
      <x:c r="C943" s="2" t="str">
        <x:v>Đà Nẵng</x:v>
      </x:c>
      <x:c r="D943" s="2" t="str">
        <x:v>Quận Cẩm Lệ</x:v>
      </x:c>
      <x:c r="E943" s="2" t="str">
        <x:v>house</x:v>
      </x:c>
      <x:c r="F943" s="2" t="str">
        <x:v>sale</x:v>
      </x:c>
      <x:c r="G943" s="11" t="n">
        <x:v>105</x:v>
      </x:c>
      <x:c r="H943" s="12" t="n">
        <x:v>1990000000</x:v>
      </x:c>
      <x:c r="I943" s="12" t="n">
        <x:v>18952380.95238095</x:v>
      </x:c>
      <x:c r="J943" s="2" t="str">
        <x:v>total</x:v>
      </x:c>
      <x:c r="K943" s="2" t="str">
        <x:v>top_level_area</x:v>
      </x:c>
      <x:c r="L943" s="2" t="str">
        <x:v>property_type_inferred_from_title</x:v>
      </x:c>
      <x:c r="M943" s="10" t="n">
        <x:v>0</x:v>
      </x:c>
      <x:c r="N943" s="10" t="n">
        <x:v>0</x:v>
      </x:c>
      <x:c r="O943" s="2" t="str">
        <x:v>Đà Nẵng|house</x:v>
      </x:c>
      <x:c r="P943" s="10" t="n">
        <x:v>2</x:v>
      </x:c>
      <x:c r="Q943" s="13" t="n">
        <x:f>IF(H943="","",H943/1000000000)</x:f>
        <x:v>1.99</x:v>
      </x:c>
      <x:c r="R943" s="13" t="n">
        <x:f>IF(I943="","",I943/1000000)</x:f>
        <x:v>18.952380952380953</x:v>
      </x:c>
    </x:row>
    <x:row r="944" ht="21" customHeight="1">
      <x:c r="A944" s="10" t="n">
        <x:v>1043</x:v>
      </x:c>
      <x:c r="B944" s="2" t="str">
        <x:v>8ccc46fcfe4b3a01eafc</x:v>
      </x:c>
      <x:c r="C944" s="2" t="str">
        <x:v>Gia Lai</x:v>
      </x:c>
      <x:c r="D944" s="2" t="str">
        <x:v>Thành phố Pleiku</x:v>
      </x:c>
      <x:c r="E944" s="2" t="str">
        <x:v>land</x:v>
      </x:c>
      <x:c r="F944" s="2" t="str">
        <x:v>sale_assumed</x:v>
      </x:c>
      <x:c r="G944" s="11" t="n">
        <x:v>2040</x:v>
      </x:c>
      <x:c r="H944" s="12" t="n">
        <x:v>2200000000</x:v>
      </x:c>
      <x:c r="I944" s="12" t="n">
        <x:v>1078431.3725490195</x:v>
      </x:c>
      <x:c r="J944" s="2" t="str">
        <x:v>total</x:v>
      </x:c>
      <x:c r="K944" s="2" t="str">
        <x:v>top_level_area</x:v>
      </x:c>
      <x:c r="L944" s="2" t="str">
        <x:v>dot_thousands_convention;property_type_inferred_from_title;transaction_assumed_sale_from_dataset_context</x:v>
      </x:c>
      <x:c r="M944" s="10" t="n">
        <x:v>0</x:v>
      </x:c>
      <x:c r="N944" s="10" t="n">
        <x:v>0</x:v>
      </x:c>
      <x:c r="O944" s="2" t="str">
        <x:v>land</x:v>
      </x:c>
      <x:c r="P944" s="10" t="n">
        <x:v>1</x:v>
      </x:c>
      <x:c r="Q944" s="13" t="n">
        <x:f>IF(H944="","",H944/1000000000)</x:f>
        <x:v>2.2</x:v>
      </x:c>
      <x:c r="R944" s="13" t="n">
        <x:f>IF(I944="","",I944/1000000)</x:f>
        <x:v>1.0784313725490196</x:v>
      </x:c>
    </x:row>
    <x:row r="945" ht="21" customHeight="1">
      <x:c r="A945" s="10" t="n">
        <x:v>1044</x:v>
      </x:c>
      <x:c r="B945" s="2" t="str">
        <x:v>2168306f83aec1b1a5a8</x:v>
      </x:c>
      <x:c r="C945" s="2" t="str">
        <x:v>Hà Nội</x:v>
      </x:c>
      <x:c r="D945" s="2" t="str">
        <x:v>Quận Đống Đa</x:v>
      </x:c>
      <x:c r="E945" s="2" t="str">
        <x:v>house</x:v>
      </x:c>
      <x:c r="F945" s="2" t="str">
        <x:v>sale_assumed</x:v>
      </x:c>
      <x:c r="G945" s="11" t="n">
        <x:v>40</x:v>
      </x:c>
      <x:c r="H945" s="12" t="n">
        <x:v>2900000000</x:v>
      </x:c>
      <x:c r="I945" s="12" t="n">
        <x:v>72500000</x:v>
      </x:c>
      <x:c r="J945" s="2" t="str">
        <x:v>total</x:v>
      </x:c>
      <x:c r="K945" s="2" t="str">
        <x:v>top_level_area</x:v>
      </x:c>
      <x:c r="L945" s="2" t="str">
        <x:v>property_type_inferred_from_title;transaction_assumed_sale_from_dataset_context</x:v>
      </x:c>
      <x:c r="M945" s="10" t="n">
        <x:v>0</x:v>
      </x:c>
      <x:c r="N945" s="10" t="n">
        <x:v>0</x:v>
      </x:c>
      <x:c r="O945" s="2" t="str">
        <x:v>Hà Nội|house</x:v>
      </x:c>
      <x:c r="P945" s="10" t="n">
        <x:v>2</x:v>
      </x:c>
      <x:c r="Q945" s="13" t="n">
        <x:f>IF(H945="","",H945/1000000000)</x:f>
        <x:v>2.9</x:v>
      </x:c>
      <x:c r="R945" s="13" t="n">
        <x:f>IF(I945="","",I945/1000000)</x:f>
        <x:v>72.5</x:v>
      </x:c>
    </x:row>
    <x:row r="946" ht="21" customHeight="1">
      <x:c r="A946" s="10" t="n">
        <x:v>1045</x:v>
      </x:c>
      <x:c r="B946" s="2" t="str">
        <x:v>837ecaa558b03f8b70a0</x:v>
      </x:c>
      <x:c r="C946" s="2" t="str">
        <x:v>Hà Nội</x:v>
      </x:c>
      <x:c r="D946" s="2" t="str">
        <x:v>Quận Đống Đa</x:v>
      </x:c>
      <x:c r="E946" s="2" t="str">
        <x:v>other_unknown</x:v>
      </x:c>
      <x:c r="F946" s="2" t="str">
        <x:v>sale_assumed</x:v>
      </x:c>
      <x:c r="G946" s="11" t="n">
        <x:v>30</x:v>
      </x:c>
      <x:c r="H946" s="12" t="n">
        <x:v>2200000000</x:v>
      </x:c>
      <x:c r="I946" s="12" t="n">
        <x:v>73333333.33333333</x:v>
      </x:c>
      <x:c r="J946" s="2" t="str">
        <x:v>total</x:v>
      </x:c>
      <x:c r="K946" s="2" t="str">
        <x:v>top_level_area</x:v>
      </x:c>
      <x:c r="L946" s="2" t="str">
        <x:v>property_type_inferred_from_title;transaction_assumed_sale_from_dataset_context;unknown_property_type</x:v>
      </x:c>
      <x:c r="M946" s="10" t="n">
        <x:v>0</x:v>
      </x:c>
      <x:c r="N946" s="10" t="n">
        <x:v>0</x:v>
      </x:c>
      <x:c r="O946" s="2" t="str">
        <x:v>Hà Nội|other_unknown</x:v>
      </x:c>
      <x:c r="P946" s="10" t="n">
        <x:v>2</x:v>
      </x:c>
      <x:c r="Q946" s="13" t="n">
        <x:f>IF(H946="","",H946/1000000000)</x:f>
        <x:v>2.2</x:v>
      </x:c>
      <x:c r="R946" s="13" t="n">
        <x:f>IF(I946="","",I946/1000000)</x:f>
        <x:v>73.33333333333333</x:v>
      </x:c>
    </x:row>
    <x:row r="947" ht="21" customHeight="1">
      <x:c r="A947" s="10" t="n">
        <x:v>1046</x:v>
      </x:c>
      <x:c r="B947" s="2" t="str">
        <x:v>244fcceb4ace72697cb6</x:v>
      </x:c>
      <x:c r="C947" s="2" t="str">
        <x:v>Tp Hồ Chí Minh</x:v>
      </x:c>
      <x:c r="D947" s="2" t="str">
        <x:v>Quận Bình Tân</x:v>
      </x:c>
      <x:c r="E947" s="2" t="str">
        <x:v>house</x:v>
      </x:c>
      <x:c r="F947" s="2" t="str">
        <x:v>sale</x:v>
      </x:c>
      <x:c r="G947" s="11" t="n">
        <x:v>33</x:v>
      </x:c>
      <x:c r="H947" s="12" t="n">
        <x:v>1960000000</x:v>
      </x:c>
      <x:c r="I947" s="12" t="n">
        <x:v>59393939.39393939</x:v>
      </x:c>
      <x:c r="J947" s="2" t="str">
        <x:v>total</x:v>
      </x:c>
      <x:c r="K947" s="2" t="str">
        <x:v>top_level_area</x:v>
      </x:c>
      <x:c r="L947" s="2" t="str">
        <x:v>property_type_inferred_from_title</x:v>
      </x:c>
      <x:c r="M947" s="10" t="n">
        <x:v>0</x:v>
      </x:c>
      <x:c r="N947" s="10" t="n">
        <x:v>0</x:v>
      </x:c>
      <x:c r="O947" s="2" t="str">
        <x:v>Tp Hồ Chí Minh|house</x:v>
      </x:c>
      <x:c r="P947" s="10" t="n">
        <x:v>2</x:v>
      </x:c>
      <x:c r="Q947" s="13" t="n">
        <x:f>IF(H947="","",H947/1000000000)</x:f>
        <x:v>1.96</x:v>
      </x:c>
      <x:c r="R947" s="13" t="n">
        <x:f>IF(I947="","",I947/1000000)</x:f>
        <x:v>59.39393939393939</x:v>
      </x:c>
    </x:row>
    <x:row r="948" ht="21" customHeight="1">
      <x:c r="A948" s="10" t="n">
        <x:v>1047</x:v>
      </x:c>
      <x:c r="B948" s="2" t="str">
        <x:v>b8487702a2eb5bf92f53</x:v>
      </x:c>
      <x:c r="C948" s="2" t="str">
        <x:v>Hà Nội</x:v>
      </x:c>
      <x:c r="D948" s="2" t="str">
        <x:v>Quận Cầu Giấy</x:v>
      </x:c>
      <x:c r="E948" s="2" t="str">
        <x:v>house</x:v>
      </x:c>
      <x:c r="F948" s="2" t="str">
        <x:v>sale_assumed</x:v>
      </x:c>
      <x:c r="G948" s="11" t="n">
        <x:v>28</x:v>
      </x:c>
      <x:c r="H948" s="12" t="n">
        <x:v>2300000000</x:v>
      </x:c>
      <x:c r="I948" s="12" t="n">
        <x:v>82142857.14285715</x:v>
      </x:c>
      <x:c r="J948" s="2" t="str">
        <x:v>total</x:v>
      </x:c>
      <x:c r="K948" s="2" t="str">
        <x:v>top_level_area</x:v>
      </x:c>
      <x:c r="L948" s="2" t="str">
        <x:v>property_type_inferred_from_title;transaction_assumed_sale_from_dataset_context</x:v>
      </x:c>
      <x:c r="M948" s="10" t="n">
        <x:v>0</x:v>
      </x:c>
      <x:c r="N948" s="10" t="n">
        <x:v>0</x:v>
      </x:c>
      <x:c r="O948" s="2" t="str">
        <x:v>Hà Nội|house</x:v>
      </x:c>
      <x:c r="P948" s="10" t="n">
        <x:v>2</x:v>
      </x:c>
      <x:c r="Q948" s="13" t="n">
        <x:f>IF(H948="","",H948/1000000000)</x:f>
        <x:v>2.3</x:v>
      </x:c>
      <x:c r="R948" s="13" t="n">
        <x:f>IF(I948="","",I948/1000000)</x:f>
        <x:v>82.14285714285715</x:v>
      </x:c>
    </x:row>
    <x:row r="949" ht="21" customHeight="1">
      <x:c r="A949" s="10" t="n">
        <x:v>1048</x:v>
      </x:c>
      <x:c r="B949" s="2" t="str">
        <x:v>2107eb24891c5649b82f</x:v>
      </x:c>
      <x:c r="C949" s="2" t="str">
        <x:v>Tp Hồ Chí Minh</x:v>
      </x:c>
      <x:c r="D949" s="2" t="str">
        <x:v>Quận Gò Vấp</x:v>
      </x:c>
      <x:c r="E949" s="2" t="str">
        <x:v>house</x:v>
      </x:c>
      <x:c r="F949" s="2" t="str">
        <x:v>sale</x:v>
      </x:c>
      <x:c r="G949" s="11" t="n">
        <x:v>28</x:v>
      </x:c>
      <x:c r="H949" s="12" t="n">
        <x:v>2700000000</x:v>
      </x:c>
      <x:c r="I949" s="12" t="n">
        <x:v>96428571.42857143</x:v>
      </x:c>
      <x:c r="J949" s="2" t="str">
        <x:v>total</x:v>
      </x:c>
      <x:c r="K949" s="2" t="str">
        <x:v>top_level_area</x:v>
      </x:c>
      <x:c r="L949" s="2" t="str">
        <x:v>property_type_inferred_from_title</x:v>
      </x:c>
      <x:c r="M949" s="10" t="n">
        <x:v>0</x:v>
      </x:c>
      <x:c r="N949" s="10" t="n">
        <x:v>0</x:v>
      </x:c>
      <x:c r="O949" s="2" t="str">
        <x:v>Tp Hồ Chí Minh|house</x:v>
      </x:c>
      <x:c r="P949" s="10" t="n">
        <x:v>2</x:v>
      </x:c>
      <x:c r="Q949" s="13" t="n">
        <x:f>IF(H949="","",H949/1000000000)</x:f>
        <x:v>2.7</x:v>
      </x:c>
      <x:c r="R949" s="13" t="n">
        <x:f>IF(I949="","",I949/1000000)</x:f>
        <x:v>96.42857142857143</x:v>
      </x:c>
    </x:row>
    <x:row r="950" ht="21" customHeight="1">
      <x:c r="A950" s="10" t="n">
        <x:v>1049</x:v>
      </x:c>
      <x:c r="B950" s="2" t="str">
        <x:v>4ba8a79847d4610ec689</x:v>
      </x:c>
      <x:c r="C950" s="2" t="str">
        <x:v>Tp Hồ Chí Minh</x:v>
      </x:c>
      <x:c r="D950" s="2" t="str">
        <x:v>Quận 12</x:v>
      </x:c>
      <x:c r="E950" s="2" t="str">
        <x:v>apartment</x:v>
      </x:c>
      <x:c r="F950" s="2" t="str">
        <x:v>sale_assumed</x:v>
      </x:c>
      <x:c r="G950" s="11" t="n">
        <x:v>58</x:v>
      </x:c>
      <x:c r="H950" s="12" t="n">
        <x:v>1550000000</x:v>
      </x:c>
      <x:c r="I950" s="12" t="n">
        <x:v>26724137.931034483</x:v>
      </x:c>
      <x:c r="J950" s="2" t="str">
        <x:v>total</x:v>
      </x:c>
      <x:c r="K950" s="2" t="str">
        <x:v>top_level_area</x:v>
      </x:c>
      <x:c r="L950" s="2" t="str">
        <x:v>property_type_inferred_from_title;transaction_assumed_sale_from_dataset_context</x:v>
      </x:c>
      <x:c r="M950" s="10" t="n">
        <x:v>0</x:v>
      </x:c>
      <x:c r="N950" s="10" t="n">
        <x:v>0</x:v>
      </x:c>
      <x:c r="O950" s="2" t="str">
        <x:v>Tp Hồ Chí Minh|apartment</x:v>
      </x:c>
      <x:c r="P950" s="10" t="n">
        <x:v>2</x:v>
      </x:c>
      <x:c r="Q950" s="13" t="n">
        <x:f>IF(H950="","",H950/1000000000)</x:f>
        <x:v>1.55</x:v>
      </x:c>
      <x:c r="R950" s="13" t="n">
        <x:f>IF(I950="","",I950/1000000)</x:f>
        <x:v>26.724137931034484</x:v>
      </x:c>
    </x:row>
    <x:row r="951" ht="21" customHeight="1">
      <x:c r="A951" s="10" t="n">
        <x:v>1050</x:v>
      </x:c>
      <x:c r="B951" s="2" t="str">
        <x:v>080a89e9fdfe32ab0380</x:v>
      </x:c>
      <x:c r="C951" s="2" t="str">
        <x:v>Bình Dương</x:v>
      </x:c>
      <x:c r="D951" s="2" t="str">
        <x:v>Huyện Bàu Bàng</x:v>
      </x:c>
      <x:c r="E951" s="2" t="str">
        <x:v>land</x:v>
      </x:c>
      <x:c r="F951" s="2" t="str">
        <x:v>sale_assumed</x:v>
      </x:c>
      <x:c r="G951" s="11" t="n">
        <x:v>1000</x:v>
      </x:c>
      <x:c r="H951" s="12" t="n">
        <x:v>570000000</x:v>
      </x:c>
      <x:c r="I951" s="12" t="n">
        <x:v>570000</x:v>
      </x:c>
      <x:c r="J951" s="2" t="str">
        <x:v>total</x:v>
      </x:c>
      <x:c r="K951" s="2" t="str">
        <x:v>top_level_area</x:v>
      </x:c>
      <x:c r="L951" s="2" t="str">
        <x:v>dot_thousands_convention;property_type_inferred_from_title;transaction_assumed_sale_from_dataset_context</x:v>
      </x:c>
      <x:c r="M951" s="10" t="n">
        <x:v>0</x:v>
      </x:c>
      <x:c r="N951" s="10" t="n">
        <x:v>0</x:v>
      </x:c>
      <x:c r="O951" s="2" t="str">
        <x:v>Bình Dương|land</x:v>
      </x:c>
      <x:c r="P951" s="10" t="n">
        <x:v>1</x:v>
      </x:c>
      <x:c r="Q951" s="13" t="n">
        <x:f>IF(H951="","",H951/1000000000)</x:f>
        <x:v>0.57</x:v>
      </x:c>
      <x:c r="R951" s="13" t="n">
        <x:f>IF(I951="","",I951/1000000)</x:f>
        <x:v>0.57</x:v>
      </x:c>
    </x:row>
    <x:row r="952" ht="21" customHeight="1">
      <x:c r="A952" s="10" t="n">
        <x:v>1051</x:v>
      </x:c>
      <x:c r="B952" s="2" t="str">
        <x:v>148e462bea44355e34ab</x:v>
      </x:c>
      <x:c r="C952" s="2" t="str">
        <x:v>Tp Hồ Chí Minh</x:v>
      </x:c>
      <x:c r="D952" s="2" t="str">
        <x:v>Huyện Củ Chi</x:v>
      </x:c>
      <x:c r="E952" s="2" t="str">
        <x:v>land</x:v>
      </x:c>
      <x:c r="F952" s="2" t="str">
        <x:v>sale</x:v>
      </x:c>
      <x:c r="G952" s="11" t="n">
        <x:v>500</x:v>
      </x:c>
      <x:c r="H952" s="12" t="n">
        <x:v>2250000000</x:v>
      </x:c>
      <x:c r="I952" s="12" t="n">
        <x:v>4500000</x:v>
      </x:c>
      <x:c r="J952" s="2" t="str">
        <x:v>total</x:v>
      </x:c>
      <x:c r="K952" s="2" t="str">
        <x:v>top_level_area</x:v>
      </x:c>
      <x:c r="L952" s="2" t="str">
        <x:v>property_type_inferred_from_title</x:v>
      </x:c>
      <x:c r="M952" s="10" t="n">
        <x:v>0</x:v>
      </x:c>
      <x:c r="N952" s="10" t="n">
        <x:v>0</x:v>
      </x:c>
      <x:c r="O952" s="2" t="str">
        <x:v>Tp Hồ Chí Minh|land</x:v>
      </x:c>
      <x:c r="P952" s="10" t="n">
        <x:v>1</x:v>
      </x:c>
      <x:c r="Q952" s="13" t="n">
        <x:f>IF(H952="","",H952/1000000000)</x:f>
        <x:v>2.25</x:v>
      </x:c>
      <x:c r="R952" s="13" t="n">
        <x:f>IF(I952="","",I952/1000000)</x:f>
        <x:v>4.5</x:v>
      </x:c>
    </x:row>
    <x:row r="953" ht="21" customHeight="1">
      <x:c r="A953" s="10" t="n">
        <x:v>1052</x:v>
      </x:c>
      <x:c r="B953" s="2" t="str">
        <x:v>b1b8d5a118d46d93a783</x:v>
      </x:c>
      <x:c r="C953" s="2" t="str">
        <x:v>Bình Dương</x:v>
      </x:c>
      <x:c r="D953" s="2" t="str">
        <x:v>Thị xã Tân Uyên</x:v>
      </x:c>
      <x:c r="E953" s="2" t="str">
        <x:v>other_unknown</x:v>
      </x:c>
      <x:c r="F953" s="2" t="str">
        <x:v>sale_assumed</x:v>
      </x:c>
      <x:c r="G953" s="11" t="n">
        <x:v>60</x:v>
      </x:c>
      <x:c r="H953" s="12" t="n">
        <x:v>930000000</x:v>
      </x:c>
      <x:c r="I953" s="12" t="n">
        <x:v>15500000</x:v>
      </x:c>
      <x:c r="J953" s="2" t="str">
        <x:v>total</x:v>
      </x:c>
      <x:c r="K953" s="2" t="str">
        <x:v>top_level_price_embedded_area</x:v>
      </x:c>
      <x:c r="L953" s="2" t="str">
        <x:v>area_recovered_from_price_text;property_type_inferred_from_title;transaction_assumed_sale_from_dataset_context;unknown_property_type</x:v>
      </x:c>
      <x:c r="M953" s="10" t="n">
        <x:v>0</x:v>
      </x:c>
      <x:c r="N953" s="10" t="n">
        <x:v>0</x:v>
      </x:c>
      <x:c r="O953" s="2" t="str">
        <x:v>Bình Dương|other_unknown</x:v>
      </x:c>
      <x:c r="P953" s="10" t="n">
        <x:v>2</x:v>
      </x:c>
      <x:c r="Q953" s="13" t="n">
        <x:f>IF(H953="","",H953/1000000000)</x:f>
        <x:v>0.93</x:v>
      </x:c>
      <x:c r="R953" s="13" t="n">
        <x:f>IF(I953="","",I953/1000000)</x:f>
        <x:v>15.5</x:v>
      </x:c>
    </x:row>
    <x:row r="954" ht="21" customHeight="1">
      <x:c r="A954" s="10" t="n">
        <x:v>1053</x:v>
      </x:c>
      <x:c r="B954" s="2" t="str">
        <x:v>bc63b0a0c000e7b8e939</x:v>
      </x:c>
      <x:c r="C954" s="2" t="str">
        <x:v>Tp Hồ Chí Minh</x:v>
      </x:c>
      <x:c r="D954" s="2" t="str">
        <x:v>Quận Gò Vấp</x:v>
      </x:c>
      <x:c r="E954" s="2" t="str">
        <x:v>land</x:v>
      </x:c>
      <x:c r="F954" s="2" t="str">
        <x:v>sale_assumed</x:v>
      </x:c>
      <x:c r="G954" s="11" t="n">
        <x:v>38</x:v>
      </x:c>
      <x:c r="H954" s="12" t="n">
        <x:v>3400000000</x:v>
      </x:c>
      <x:c r="I954" s="12" t="n">
        <x:v>89473684.21052632</x:v>
      </x:c>
      <x:c r="J954" s="2" t="str">
        <x:v>total</x:v>
      </x:c>
      <x:c r="K954" s="2" t="str">
        <x:v>top_level_price_embedded_area</x:v>
      </x:c>
      <x:c r="L954" s="2" t="str">
        <x:v>area_recovered_from_price_text;property_type_inferred_from_title;transaction_assumed_sale_from_dataset_context</x:v>
      </x:c>
      <x:c r="M954" s="10" t="n">
        <x:v>0</x:v>
      </x:c>
      <x:c r="N954" s="10" t="n">
        <x:v>0</x:v>
      </x:c>
      <x:c r="O954" s="2" t="str">
        <x:v>Tp Hồ Chí Minh|land</x:v>
      </x:c>
      <x:c r="P954" s="10" t="n">
        <x:v>2</x:v>
      </x:c>
      <x:c r="Q954" s="13" t="n">
        <x:f>IF(H954="","",H954/1000000000)</x:f>
        <x:v>3.4</x:v>
      </x:c>
      <x:c r="R954" s="13" t="n">
        <x:f>IF(I954="","",I954/1000000)</x:f>
        <x:v>89.47368421052632</x:v>
      </x:c>
    </x:row>
    <x:row r="955" ht="21" customHeight="1">
      <x:c r="A955" s="10" t="n">
        <x:v>1054</x:v>
      </x:c>
      <x:c r="B955" s="2" t="str">
        <x:v>aa70723d6bd3bcda8df1</x:v>
      </x:c>
      <x:c r="C955" s="2" t="str">
        <x:v>Tp Hồ Chí Minh</x:v>
      </x:c>
      <x:c r="D955" s="2" t="str">
        <x:v>Quận Gò Vấp</x:v>
      </x:c>
      <x:c r="E955" s="2" t="str">
        <x:v>land</x:v>
      </x:c>
      <x:c r="F955" s="2" t="str">
        <x:v>sale_assumed</x:v>
      </x:c>
      <x:c r="G955" s="11" t="n">
        <x:v>65.2</x:v>
      </x:c>
      <x:c r="H955" s="12" t="n">
        <x:v>4000000000</x:v>
      </x:c>
      <x:c r="I955" s="12" t="n">
        <x:v>61349693.25153374</x:v>
      </x:c>
      <x:c r="J955" s="2" t="str">
        <x:v>total</x:v>
      </x:c>
      <x:c r="K955" s="2" t="str">
        <x:v>top_level_price_embedded_area</x:v>
      </x:c>
      <x:c r="L955" s="2" t="str">
        <x:v>area_recovered_from_price_text;property_type_inferred_from_title;transaction_assumed_sale_from_dataset_context</x:v>
      </x:c>
      <x:c r="M955" s="10" t="n">
        <x:v>0</x:v>
      </x:c>
      <x:c r="N955" s="10" t="n">
        <x:v>0</x:v>
      </x:c>
      <x:c r="O955" s="2" t="str">
        <x:v>Tp Hồ Chí Minh|land</x:v>
      </x:c>
      <x:c r="P955" s="10" t="n">
        <x:v>2</x:v>
      </x:c>
      <x:c r="Q955" s="13" t="n">
        <x:f>IF(H955="","",H955/1000000000)</x:f>
        <x:v>4</x:v>
      </x:c>
      <x:c r="R955" s="13" t="n">
        <x:f>IF(I955="","",I955/1000000)</x:f>
        <x:v>61.349693251533736</x:v>
      </x:c>
    </x:row>
    <x:row r="956" ht="21" customHeight="1">
      <x:c r="A956" s="10" t="n">
        <x:v>1055</x:v>
      </x:c>
      <x:c r="B956" s="2" t="str">
        <x:v>fc95253c0cffee0bd7a7</x:v>
      </x:c>
      <x:c r="C956" s="2" t="str">
        <x:v>Đồng Nai</x:v>
      </x:c>
      <x:c r="D956" s="2" t="str">
        <x:v>Huyện Trảng Bom</x:v>
      </x:c>
      <x:c r="E956" s="2" t="str">
        <x:v>land</x:v>
      </x:c>
      <x:c r="F956" s="2" t="str">
        <x:v>sale_assumed</x:v>
      </x:c>
      <x:c r="G956" s="11" t="n">
        <x:v>100</x:v>
      </x:c>
      <x:c r="H956" s="12" t="n">
        <x:v>265000000</x:v>
      </x:c>
      <x:c r="I956" s="12" t="n">
        <x:v>2650000</x:v>
      </x:c>
      <x:c r="J956" s="2" t="str">
        <x:v>total</x:v>
      </x:c>
      <x:c r="K956" s="2" t="str">
        <x:v>top_level_area</x:v>
      </x:c>
      <x:c r="L956" s="2" t="str">
        <x:v>property_type_inferred_from_title;transaction_assumed_sale_from_dataset_context</x:v>
      </x:c>
      <x:c r="M956" s="10" t="n">
        <x:v>0</x:v>
      </x:c>
      <x:c r="N956" s="10" t="n">
        <x:v>0</x:v>
      </x:c>
      <x:c r="O956" s="2" t="str">
        <x:v>Đồng Nai|land</x:v>
      </x:c>
      <x:c r="P956" s="10" t="n">
        <x:v>1</x:v>
      </x:c>
      <x:c r="Q956" s="13" t="n">
        <x:f>IF(H956="","",H956/1000000000)</x:f>
        <x:v>0.265</x:v>
      </x:c>
      <x:c r="R956" s="13" t="n">
        <x:f>IF(I956="","",I956/1000000)</x:f>
        <x:v>2.65</x:v>
      </x:c>
    </x:row>
    <x:row r="957" ht="21" customHeight="1">
      <x:c r="A957" s="10" t="n">
        <x:v>1056</x:v>
      </x:c>
      <x:c r="B957" s="2" t="str">
        <x:v>f3ae48e356194c9775ac</x:v>
      </x:c>
      <x:c r="C957" s="2" t="str">
        <x:v>Đà Nẵng</x:v>
      </x:c>
      <x:c r="D957" s="2" t="str">
        <x:v>Quận Liên Chiểu</x:v>
      </x:c>
      <x:c r="E957" s="2" t="str">
        <x:v>other_unknown</x:v>
      </x:c>
      <x:c r="F957" s="2" t="str">
        <x:v>sale</x:v>
      </x:c>
      <x:c r="G957" s="11" t="n">
        <x:v>100</x:v>
      </x:c>
      <x:c r="H957" s="12" t="n">
        <x:v>2380000000</x:v>
      </x:c>
      <x:c r="I957" s="12" t="n">
        <x:v>23800000</x:v>
      </x:c>
      <x:c r="J957" s="2" t="str">
        <x:v>total</x:v>
      </x:c>
      <x:c r="K957" s="2" t="str">
        <x:v>top_level_area</x:v>
      </x:c>
      <x:c r="L957" s="2" t="str">
        <x:v>property_type_inferred_from_title;unknown_property_type</x:v>
      </x:c>
      <x:c r="M957" s="10" t="n">
        <x:v>0</x:v>
      </x:c>
      <x:c r="N957" s="10" t="n">
        <x:v>0</x:v>
      </x:c>
      <x:c r="O957" s="2" t="str">
        <x:v>Đà Nẵng|other_unknown</x:v>
      </x:c>
      <x:c r="P957" s="10" t="n">
        <x:v>2</x:v>
      </x:c>
      <x:c r="Q957" s="13" t="n">
        <x:f>IF(H957="","",H957/1000000000)</x:f>
        <x:v>2.38</x:v>
      </x:c>
      <x:c r="R957" s="13" t="n">
        <x:f>IF(I957="","",I957/1000000)</x:f>
        <x:v>23.8</x:v>
      </x:c>
    </x:row>
    <x:row r="958" ht="21" customHeight="1">
      <x:c r="A958" s="10" t="n">
        <x:v>1057</x:v>
      </x:c>
      <x:c r="B958" s="2" t="str">
        <x:v>5e1aefc95e0444a26c50</x:v>
      </x:c>
      <x:c r="C958" s="2" t="str">
        <x:v>Tp Hồ Chí Minh</x:v>
      </x:c>
      <x:c r="D958" s="2" t="str">
        <x:v>Quận Bình Tân</x:v>
      </x:c>
      <x:c r="E958" s="2" t="str">
        <x:v>house</x:v>
      </x:c>
      <x:c r="F958" s="2" t="str">
        <x:v>sale_assumed</x:v>
      </x:c>
      <x:c r="G958" s="11" t="n">
        <x:v>30</x:v>
      </x:c>
      <x:c r="H958" s="12" t="n">
        <x:v>1150000000</x:v>
      </x:c>
      <x:c r="I958" s="12" t="n">
        <x:v>38333333.333333336</x:v>
      </x:c>
      <x:c r="J958" s="2" t="str">
        <x:v>total</x:v>
      </x:c>
      <x:c r="K958" s="2" t="str">
        <x:v>top_level_area</x:v>
      </x:c>
      <x:c r="L958" s="2" t="str">
        <x:v>property_type_inferred_from_title;transaction_assumed_sale_from_dataset_context</x:v>
      </x:c>
      <x:c r="M958" s="10" t="n">
        <x:v>0</x:v>
      </x:c>
      <x:c r="N958" s="10" t="n">
        <x:v>0</x:v>
      </x:c>
      <x:c r="O958" s="2" t="str">
        <x:v>Tp Hồ Chí Minh|house</x:v>
      </x:c>
      <x:c r="P958" s="10" t="n">
        <x:v>2</x:v>
      </x:c>
      <x:c r="Q958" s="13" t="n">
        <x:f>IF(H958="","",H958/1000000000)</x:f>
        <x:v>1.15</x:v>
      </x:c>
      <x:c r="R958" s="13" t="n">
        <x:f>IF(I958="","",I958/1000000)</x:f>
        <x:v>38.333333333333336</x:v>
      </x:c>
    </x:row>
    <x:row r="959" ht="21" customHeight="1">
      <x:c r="A959" s="10" t="n">
        <x:v>1058</x:v>
      </x:c>
      <x:c r="B959" s="2" t="str">
        <x:v>47797789b6c4f04c6e1a</x:v>
      </x:c>
      <x:c r="C959" s="2" t="str">
        <x:v>Tp Hồ Chí Minh</x:v>
      </x:c>
      <x:c r="D959" s="2" t="str">
        <x:v>Quận Gò Vấp</x:v>
      </x:c>
      <x:c r="E959" s="2" t="str">
        <x:v>house</x:v>
      </x:c>
      <x:c r="F959" s="2" t="str">
        <x:v>sale</x:v>
      </x:c>
      <x:c r="G959" s="11" t="n">
        <x:v>95</x:v>
      </x:c>
      <x:c r="H959" s="12" t="n">
        <x:v>17000000000</x:v>
      </x:c>
      <x:c r="I959" s="12" t="n">
        <x:v>178947368.42105263</x:v>
      </x:c>
      <x:c r="J959" s="2" t="str">
        <x:v>total</x:v>
      </x:c>
      <x:c r="K959" s="2" t="str">
        <x:v>top_level_area</x:v>
      </x:c>
      <x:c r="L959" s="2" t="str">
        <x:v>property_type_inferred_from_title</x:v>
      </x:c>
      <x:c r="M959" s="10" t="n">
        <x:v>1</x:v>
      </x:c>
      <x:c r="N959" s="10" t="n">
        <x:v>0</x:v>
      </x:c>
      <x:c r="O959" s="2" t="str">
        <x:v>Tp Hồ Chí Minh|house</x:v>
      </x:c>
      <x:c r="P959" s="10" t="n">
        <x:v>2</x:v>
      </x:c>
      <x:c r="Q959" s="13" t="n">
        <x:f>IF(H959="","",H959/1000000000)</x:f>
        <x:v>17</x:v>
      </x:c>
      <x:c r="R959" s="13" t="n">
        <x:f>IF(I959="","",I959/1000000)</x:f>
        <x:v>178.94736842105263</x:v>
      </x:c>
    </x:row>
    <x:row r="960" ht="21" customHeight="1">
      <x:c r="A960" s="10" t="n">
        <x:v>1059</x:v>
      </x:c>
      <x:c r="B960" s="2" t="str">
        <x:v>f8f9f37f8ddffd07bfd6</x:v>
      </x:c>
      <x:c r="C960" s="2" t="str">
        <x:v>Tp Hồ Chí Minh</x:v>
      </x:c>
      <x:c r="D960" s="2" t="str">
        <x:v>Quận 12</x:v>
      </x:c>
      <x:c r="E960" s="2" t="str">
        <x:v>apartment</x:v>
      </x:c>
      <x:c r="F960" s="2" t="str">
        <x:v>sale</x:v>
      </x:c>
      <x:c r="G960" s="11" t="n">
        <x:v>65</x:v>
      </x:c>
      <x:c r="H960" s="12" t="n">
        <x:v>2300000000</x:v>
      </x:c>
      <x:c r="I960" s="12" t="n">
        <x:v>35384615.384615384</x:v>
      </x:c>
      <x:c r="J960" s="2" t="str">
        <x:v>total</x:v>
      </x:c>
      <x:c r="K960" s="2" t="str">
        <x:v>top_level_area</x:v>
      </x:c>
      <x:c r="L960" s="2" t="str">
        <x:v>property_type_inferred_from_title</x:v>
      </x:c>
      <x:c r="M960" s="10" t="n">
        <x:v>0</x:v>
      </x:c>
      <x:c r="N960" s="10" t="n">
        <x:v>0</x:v>
      </x:c>
      <x:c r="O960" s="2" t="str">
        <x:v>Tp Hồ Chí Minh|apartment</x:v>
      </x:c>
      <x:c r="P960" s="10" t="n">
        <x:v>2</x:v>
      </x:c>
      <x:c r="Q960" s="13" t="n">
        <x:f>IF(H960="","",H960/1000000000)</x:f>
        <x:v>2.3</x:v>
      </x:c>
      <x:c r="R960" s="13" t="n">
        <x:f>IF(I960="","",I960/1000000)</x:f>
        <x:v>35.38461538461539</x:v>
      </x:c>
    </x:row>
    <x:row r="961" ht="21" customHeight="1">
      <x:c r="A961" s="10" t="n">
        <x:v>1060</x:v>
      </x:c>
      <x:c r="B961" s="2" t="str">
        <x:v>0e96025218f8dded0503</x:v>
      </x:c>
      <x:c r="C961" s="2" t="str">
        <x:v>Bình Dương</x:v>
      </x:c>
      <x:c r="D961" s="2" t="str">
        <x:v>Thị xã Thuận An</x:v>
      </x:c>
      <x:c r="E961" s="2" t="str">
        <x:v>house</x:v>
      </x:c>
      <x:c r="F961" s="2" t="str">
        <x:v>sale</x:v>
      </x:c>
      <x:c r="G961" s="11" t="n">
        <x:v>125</x:v>
      </x:c>
      <x:c r="H961" s="12" t="n">
        <x:v>15000000000</x:v>
      </x:c>
      <x:c r="I961" s="12" t="n">
        <x:v>120000000</x:v>
      </x:c>
      <x:c r="J961" s="2" t="str">
        <x:v>total</x:v>
      </x:c>
      <x:c r="K961" s="2" t="str">
        <x:v>top_level_area</x:v>
      </x:c>
      <x:c r="L961" s="2" t="str">
        <x:v>property_type_inferred_from_title</x:v>
      </x:c>
      <x:c r="M961" s="10" t="n">
        <x:v>0</x:v>
      </x:c>
      <x:c r="N961" s="10" t="n">
        <x:v>1</x:v>
      </x:c>
      <x:c r="O961" s="2" t="str">
        <x:v>Bình Dương|house</x:v>
      </x:c>
      <x:c r="P961" s="10" t="n">
        <x:v>-1</x:v>
      </x:c>
      <x:c r="Q961" s="13" t="n">
        <x:f>IF(H961="","",H961/1000000000)</x:f>
        <x:v>15</x:v>
      </x:c>
      <x:c r="R961" s="13" t="n">
        <x:f>IF(I961="","",I961/1000000)</x:f>
        <x:v>120</x:v>
      </x:c>
    </x:row>
    <x:row r="962" ht="21" customHeight="1">
      <x:c r="A962" s="10" t="n">
        <x:v>1063</x:v>
      </x:c>
      <x:c r="B962" s="2" t="str">
        <x:v>f72e6aff1fc75102668d</x:v>
      </x:c>
      <x:c r="C962" s="2" t="str">
        <x:v>Đồng Nai</x:v>
      </x:c>
      <x:c r="D962" s="2" t="str">
        <x:v>Thành phố Biên Hòa</x:v>
      </x:c>
      <x:c r="E962" s="2" t="str">
        <x:v>land</x:v>
      </x:c>
      <x:c r="F962" s="2" t="str">
        <x:v>sale</x:v>
      </x:c>
      <x:c r="G962" s="11" t="n">
        <x:v>500</x:v>
      </x:c>
      <x:c r="H962" s="12" t="n">
        <x:v>1299000000</x:v>
      </x:c>
      <x:c r="I962" s="12" t="n">
        <x:v>2598000</x:v>
      </x:c>
      <x:c r="J962" s="2" t="str">
        <x:v>total</x:v>
      </x:c>
      <x:c r="K962" s="2" t="str">
        <x:v>top_level_area</x:v>
      </x:c>
      <x:c r="L962" s="2" t="str">
        <x:v>property_type_inferred_from_title</x:v>
      </x:c>
      <x:c r="M962" s="10" t="n">
        <x:v>0</x:v>
      </x:c>
      <x:c r="N962" s="10" t="n">
        <x:v>0</x:v>
      </x:c>
      <x:c r="O962" s="2" t="str">
        <x:v>Đồng Nai|land</x:v>
      </x:c>
      <x:c r="P962" s="10" t="n">
        <x:v>1</x:v>
      </x:c>
      <x:c r="Q962" s="13" t="n">
        <x:f>IF(H962="","",H962/1000000000)</x:f>
        <x:v>1.299</x:v>
      </x:c>
      <x:c r="R962" s="13" t="n">
        <x:f>IF(I962="","",I962/1000000)</x:f>
        <x:v>2.598</x:v>
      </x:c>
    </x:row>
    <x:row r="963" ht="21" customHeight="1">
      <x:c r="A963" s="10" t="n">
        <x:v>1064</x:v>
      </x:c>
      <x:c r="B963" s="2" t="str">
        <x:v>663fdc13e1ec878b7a31</x:v>
      </x:c>
      <x:c r="C963" s="2" t="str">
        <x:v>Tp Hồ Chí Minh</x:v>
      </x:c>
      <x:c r="D963" s="2" t="str">
        <x:v>Quận Thủ Đức</x:v>
      </x:c>
      <x:c r="E963" s="2" t="str">
        <x:v>house</x:v>
      </x:c>
      <x:c r="F963" s="2" t="str">
        <x:v>sale_assumed</x:v>
      </x:c>
      <x:c r="G963" s="11" t="n">
        <x:v>12</x:v>
      </x:c>
      <x:c r="H963" s="12" t="n">
        <x:v>690000000</x:v>
      </x:c>
      <x:c r="I963" s="12" t="n">
        <x:v>57500000</x:v>
      </x:c>
      <x:c r="J963" s="2" t="str">
        <x:v>total</x:v>
      </x:c>
      <x:c r="K963" s="2" t="str">
        <x:v>top_level_area</x:v>
      </x:c>
      <x:c r="L963" s="2" t="str">
        <x:v>property_type_inferred_from_title;transaction_assumed_sale_from_dataset_context</x:v>
      </x:c>
      <x:c r="M963" s="10" t="n">
        <x:v>0</x:v>
      </x:c>
      <x:c r="N963" s="10" t="n">
        <x:v>0</x:v>
      </x:c>
      <x:c r="O963" s="2" t="str">
        <x:v>Tp Hồ Chí Minh|house</x:v>
      </x:c>
      <x:c r="P963" s="10" t="n">
        <x:v>2</x:v>
      </x:c>
      <x:c r="Q963" s="13" t="n">
        <x:f>IF(H963="","",H963/1000000000)</x:f>
        <x:v>0.69</x:v>
      </x:c>
      <x:c r="R963" s="13" t="n">
        <x:f>IF(I963="","",I963/1000000)</x:f>
        <x:v>57.5</x:v>
      </x:c>
    </x:row>
    <x:row r="964" ht="21" customHeight="1">
      <x:c r="A964" s="10" t="n">
        <x:v>1065</x:v>
      </x:c>
      <x:c r="B964" s="2" t="str">
        <x:v>cbcc4b19715274da8d8d</x:v>
      </x:c>
      <x:c r="C964" s="2" t="str">
        <x:v>Tp Hồ Chí Minh</x:v>
      </x:c>
      <x:c r="D964" s="2" t="str">
        <x:v>Quận 12</x:v>
      </x:c>
      <x:c r="E964" s="2" t="str">
        <x:v>house</x:v>
      </x:c>
      <x:c r="F964" s="2" t="str">
        <x:v>sale</x:v>
      </x:c>
      <x:c r="G964" s="11" t="n">
        <x:v>90</x:v>
      </x:c>
      <x:c r="H964" s="12" t="n">
        <x:v>850000000</x:v>
      </x:c>
      <x:c r="I964" s="12" t="n">
        <x:v>9444444.444444444</x:v>
      </x:c>
      <x:c r="J964" s="2" t="str">
        <x:v>total</x:v>
      </x:c>
      <x:c r="K964" s="2" t="str">
        <x:v>top_level_area</x:v>
      </x:c>
      <x:c r="L964" s="2" t="str">
        <x:v>property_type_inferred_from_title</x:v>
      </x:c>
      <x:c r="M964" s="10" t="n">
        <x:v>0</x:v>
      </x:c>
      <x:c r="N964" s="10" t="n">
        <x:v>0</x:v>
      </x:c>
      <x:c r="O964" s="2" t="str">
        <x:v>Tp Hồ Chí Minh|house</x:v>
      </x:c>
      <x:c r="P964" s="10" t="n">
        <x:v>2</x:v>
      </x:c>
      <x:c r="Q964" s="13" t="n">
        <x:f>IF(H964="","",H964/1000000000)</x:f>
        <x:v>0.85</x:v>
      </x:c>
      <x:c r="R964" s="13" t="n">
        <x:f>IF(I964="","",I964/1000000)</x:f>
        <x:v>9.444444444444445</x:v>
      </x:c>
    </x:row>
    <x:row r="965" ht="21" customHeight="1">
      <x:c r="A965" s="10" t="n">
        <x:v>1066</x:v>
      </x:c>
      <x:c r="B965" s="2" t="str">
        <x:v>3e8fb95594e2fd8c34ee</x:v>
      </x:c>
      <x:c r="C965" s="2" t="str">
        <x:v>Tp Hồ Chí Minh</x:v>
      </x:c>
      <x:c r="D965" s="2" t="str">
        <x:v>Quận 6</x:v>
      </x:c>
      <x:c r="E965" s="2" t="str">
        <x:v>house</x:v>
      </x:c>
      <x:c r="F965" s="2" t="str">
        <x:v>sale</x:v>
      </x:c>
      <x:c r="G965" s="11" t="n">
        <x:v>68</x:v>
      </x:c>
      <x:c r="H965" s="12" t="n">
        <x:v>1150000000</x:v>
      </x:c>
      <x:c r="I965" s="12" t="n">
        <x:v>16911764.70588235</x:v>
      </x:c>
      <x:c r="J965" s="2" t="str">
        <x:v>total</x:v>
      </x:c>
      <x:c r="K965" s="2" t="str">
        <x:v>top_level_area</x:v>
      </x:c>
      <x:c r="L965" s="2" t="str">
        <x:v>property_type_inferred_from_title</x:v>
      </x:c>
      <x:c r="M965" s="10" t="n">
        <x:v>0</x:v>
      </x:c>
      <x:c r="N965" s="10" t="n">
        <x:v>0</x:v>
      </x:c>
      <x:c r="O965" s="2" t="str">
        <x:v>Tp Hồ Chí Minh|house</x:v>
      </x:c>
      <x:c r="P965" s="10" t="n">
        <x:v>2</x:v>
      </x:c>
      <x:c r="Q965" s="13" t="n">
        <x:f>IF(H965="","",H965/1000000000)</x:f>
        <x:v>1.15</x:v>
      </x:c>
      <x:c r="R965" s="13" t="n">
        <x:f>IF(I965="","",I965/1000000)</x:f>
        <x:v>16.91176470588235</x:v>
      </x:c>
    </x:row>
    <x:row r="966" ht="21" customHeight="1">
      <x:c r="A966" s="10" t="n">
        <x:v>1067</x:v>
      </x:c>
      <x:c r="B966" s="2" t="str">
        <x:v>faaec683279f03d85f4b</x:v>
      </x:c>
      <x:c r="C966" s="2" t="str">
        <x:v>Bình Dương</x:v>
      </x:c>
      <x:c r="D966" s="2" t="str">
        <x:v>Thị xã Thuận An</x:v>
      </x:c>
      <x:c r="E966" s="2" t="str">
        <x:v>land</x:v>
      </x:c>
      <x:c r="F966" s="2" t="str">
        <x:v>sale</x:v>
      </x:c>
      <x:c r="G966" s="11" t="n">
        <x:v>60</x:v>
      </x:c>
      <x:c r="H966" s="12" t="n">
        <x:v>1500000000</x:v>
      </x:c>
      <x:c r="I966" s="12" t="n">
        <x:v>25000000</x:v>
      </x:c>
      <x:c r="J966" s="2" t="str">
        <x:v>total</x:v>
      </x:c>
      <x:c r="K966" s="2" t="str">
        <x:v>top_level_area</x:v>
      </x:c>
      <x:c r="L966" s="2" t="str">
        <x:v>property_type_inferred_from_title</x:v>
      </x:c>
      <x:c r="M966" s="10" t="n">
        <x:v>0</x:v>
      </x:c>
      <x:c r="N966" s="10" t="n">
        <x:v>0</x:v>
      </x:c>
      <x:c r="O966" s="2" t="str">
        <x:v>Bình Dương|land</x:v>
      </x:c>
      <x:c r="P966" s="10" t="n">
        <x:v>2</x:v>
      </x:c>
      <x:c r="Q966" s="13" t="n">
        <x:f>IF(H966="","",H966/1000000000)</x:f>
        <x:v>1.5</x:v>
      </x:c>
      <x:c r="R966" s="13" t="n">
        <x:f>IF(I966="","",I966/1000000)</x:f>
        <x:v>25</x:v>
      </x:c>
    </x:row>
    <x:row r="967" ht="21" customHeight="1">
      <x:c r="A967" s="10" t="n">
        <x:v>1068</x:v>
      </x:c>
      <x:c r="B967" s="2" t="str">
        <x:v>0aa4012a73da5e85e345</x:v>
      </x:c>
      <x:c r="C967" s="2" t="str">
        <x:v>An Giang</x:v>
      </x:c>
      <x:c r="D967" s="2" t="str">
        <x:v>Huyện Tịnh Biên</x:v>
      </x:c>
      <x:c r="E967" s="2" t="str">
        <x:v>land</x:v>
      </x:c>
      <x:c r="F967" s="2" t="str">
        <x:v>sale</x:v>
      </x:c>
      <x:c r="G967" s="11" t="n">
        <x:v>80</x:v>
      </x:c>
      <x:c r="H967" s="12" t="n">
        <x:v>298000000</x:v>
      </x:c>
      <x:c r="I967" s="12" t="n">
        <x:v>3725000</x:v>
      </x:c>
      <x:c r="J967" s="2" t="str">
        <x:v>total</x:v>
      </x:c>
      <x:c r="K967" s="2" t="str">
        <x:v>top_level_area</x:v>
      </x:c>
      <x:c r="L967" s="2" t="str">
        <x:v>property_type_inferred_from_title</x:v>
      </x:c>
      <x:c r="M967" s="10" t="n">
        <x:v>0</x:v>
      </x:c>
      <x:c r="N967" s="10" t="n">
        <x:v>0</x:v>
      </x:c>
      <x:c r="O967" s="2" t="str">
        <x:v>land</x:v>
      </x:c>
      <x:c r="P967" s="10" t="n">
        <x:v>2</x:v>
      </x:c>
      <x:c r="Q967" s="13" t="n">
        <x:f>IF(H967="","",H967/1000000000)</x:f>
        <x:v>0.298</x:v>
      </x:c>
      <x:c r="R967" s="13" t="n">
        <x:f>IF(I967="","",I967/1000000)</x:f>
        <x:v>3.725</x:v>
      </x:c>
    </x:row>
    <x:row r="968" ht="21" customHeight="1">
      <x:c r="A968" s="10" t="n">
        <x:v>1069</x:v>
      </x:c>
      <x:c r="B968" s="2" t="str">
        <x:v>33b1ae17eb5327dde3b5</x:v>
      </x:c>
      <x:c r="C968" s="2" t="str">
        <x:v>Tp Hồ Chí Minh</x:v>
      </x:c>
      <x:c r="D968" s="2" t="str">
        <x:v>Huyện Củ Chi</x:v>
      </x:c>
      <x:c r="E968" s="2" t="str">
        <x:v>other_unknown</x:v>
      </x:c>
      <x:c r="F968" s="2" t="str">
        <x:v>sale_assumed</x:v>
      </x:c>
      <x:c r="G968" s="11" t="n">
        <x:v>174</x:v>
      </x:c>
      <x:c r="H968" s="12" t="n">
        <x:v>1150000000</x:v>
      </x:c>
      <x:c r="I968" s="12" t="n">
        <x:v>6609195.402298851</x:v>
      </x:c>
      <x:c r="J968" s="2" t="str">
        <x:v>total</x:v>
      </x:c>
      <x:c r="K968" s="2" t="str">
        <x:v>top_level_area</x:v>
      </x:c>
      <x:c r="L968" s="2" t="str">
        <x:v>property_type_inferred_from_title;transaction_assumed_sale_from_dataset_context;unknown_property_type</x:v>
      </x:c>
      <x:c r="M968" s="10" t="n">
        <x:v>0</x:v>
      </x:c>
      <x:c r="N968" s="10" t="n">
        <x:v>0</x:v>
      </x:c>
      <x:c r="O968" s="2" t="str">
        <x:v>Tp Hồ Chí Minh|other_unknown</x:v>
      </x:c>
      <x:c r="P968" s="10" t="n">
        <x:v>2</x:v>
      </x:c>
      <x:c r="Q968" s="13" t="n">
        <x:f>IF(H968="","",H968/1000000000)</x:f>
        <x:v>1.15</x:v>
      </x:c>
      <x:c r="R968" s="13" t="n">
        <x:f>IF(I968="","",I968/1000000)</x:f>
        <x:v>6.609195402298851</x:v>
      </x:c>
    </x:row>
    <x:row r="969" ht="21" customHeight="1">
      <x:c r="A969" s="10" t="n">
        <x:v>1070</x:v>
      </x:c>
      <x:c r="B969" s="2" t="str">
        <x:v>d6e1a815becc546f5f35</x:v>
      </x:c>
      <x:c r="C969" s="2" t="str">
        <x:v>Tp Hồ Chí Minh</x:v>
      </x:c>
      <x:c r="D969" s="2" t="str">
        <x:v>Huyện Bình Chánh</x:v>
      </x:c>
      <x:c r="E969" s="2" t="str">
        <x:v>house</x:v>
      </x:c>
      <x:c r="F969" s="2" t="str">
        <x:v>sale_assumed</x:v>
      </x:c>
      <x:c r="G969" s="11" t="n">
        <x:v>49</x:v>
      </x:c>
      <x:c r="H969" s="12" t="n">
        <x:v>1350000000</x:v>
      </x:c>
      <x:c r="I969" s="12" t="n">
        <x:v>27551020.408163264</x:v>
      </x:c>
      <x:c r="J969" s="2" t="str">
        <x:v>total</x:v>
      </x:c>
      <x:c r="K969" s="2" t="str">
        <x:v>top_level_area</x:v>
      </x:c>
      <x:c r="L969" s="2" t="str">
        <x:v>property_type_inferred_from_title;transaction_assumed_sale_from_dataset_context</x:v>
      </x:c>
      <x:c r="M969" s="10" t="n">
        <x:v>0</x:v>
      </x:c>
      <x:c r="N969" s="10" t="n">
        <x:v>0</x:v>
      </x:c>
      <x:c r="O969" s="2" t="str">
        <x:v>Tp Hồ Chí Minh|house</x:v>
      </x:c>
      <x:c r="P969" s="10" t="n">
        <x:v>2</x:v>
      </x:c>
      <x:c r="Q969" s="13" t="n">
        <x:f>IF(H969="","",H969/1000000000)</x:f>
        <x:v>1.35</x:v>
      </x:c>
      <x:c r="R969" s="13" t="n">
        <x:f>IF(I969="","",I969/1000000)</x:f>
        <x:v>27.551020408163264</x:v>
      </x:c>
    </x:row>
    <x:row r="970" ht="21" customHeight="1">
      <x:c r="A970" s="10" t="n">
        <x:v>1071</x:v>
      </x:c>
      <x:c r="B970" s="2" t="str">
        <x:v>cafa550f39720fd3ba1f</x:v>
      </x:c>
      <x:c r="C970" s="2" t="str">
        <x:v>Bình Dương</x:v>
      </x:c>
      <x:c r="D970" s="2" t="str">
        <x:v>Huyện Phú Giáo</x:v>
      </x:c>
      <x:c r="E970" s="2" t="str">
        <x:v>land</x:v>
      </x:c>
      <x:c r="F970" s="2" t="str">
        <x:v>sale</x:v>
      </x:c>
      <x:c r="G970" s="11" t="n">
        <x:v>1000</x:v>
      </x:c>
      <x:c r="H970" s="12" t="n">
        <x:v>340000000</x:v>
      </x:c>
      <x:c r="I970" s="12" t="n">
        <x:v>340000</x:v>
      </x:c>
      <x:c r="J970" s="2" t="str">
        <x:v>total</x:v>
      </x:c>
      <x:c r="K970" s="2" t="str">
        <x:v>top_level_area</x:v>
      </x:c>
      <x:c r="L970" s="2" t="str">
        <x:v>dot_thousands_convention;property_type_inferred_from_title</x:v>
      </x:c>
      <x:c r="M970" s="10" t="n">
        <x:v>0</x:v>
      </x:c>
      <x:c r="N970" s="10" t="n">
        <x:v>0</x:v>
      </x:c>
      <x:c r="O970" s="2" t="str">
        <x:v>Bình Dương|land</x:v>
      </x:c>
      <x:c r="P970" s="10" t="n">
        <x:v>1</x:v>
      </x:c>
      <x:c r="Q970" s="13" t="n">
        <x:f>IF(H970="","",H970/1000000000)</x:f>
        <x:v>0.34</x:v>
      </x:c>
      <x:c r="R970" s="13" t="n">
        <x:f>IF(I970="","",I970/1000000)</x:f>
        <x:v>0.34</x:v>
      </x:c>
    </x:row>
    <x:row r="971" ht="21" customHeight="1">
      <x:c r="A971" s="10" t="n">
        <x:v>1073</x:v>
      </x:c>
      <x:c r="B971" s="2" t="str">
        <x:v>4f8ec6b92d79cd5e629e</x:v>
      </x:c>
      <x:c r="C971" s="2" t="str">
        <x:v>Lâm Đồng</x:v>
      </x:c>
      <x:c r="D971" s="2" t="str">
        <x:v>Huyện Bảo Lâm</x:v>
      </x:c>
      <x:c r="E971" s="2" t="str">
        <x:v>land</x:v>
      </x:c>
      <x:c r="F971" s="2" t="str">
        <x:v>sale_assumed</x:v>
      </x:c>
      <x:c r="G971" s="11" t="n">
        <x:v>150</x:v>
      </x:c>
      <x:c r="H971" s="12" t="n">
        <x:v>425000000</x:v>
      </x:c>
      <x:c r="I971" s="12" t="n">
        <x:v>2833333.3333333335</x:v>
      </x:c>
      <x:c r="J971" s="2" t="str">
        <x:v>total</x:v>
      </x:c>
      <x:c r="K971" s="2" t="str">
        <x:v>top_level_price_embedded_area</x:v>
      </x:c>
      <x:c r="L971" s="2" t="str">
        <x:v>area_recovered_from_price_text;property_type_inferred_from_title;transaction_assumed_sale_from_dataset_context</x:v>
      </x:c>
      <x:c r="M971" s="10" t="n">
        <x:v>0</x:v>
      </x:c>
      <x:c r="N971" s="10" t="n">
        <x:v>0</x:v>
      </x:c>
      <x:c r="O971" s="2" t="str">
        <x:v>Lâm Đồng|land</x:v>
      </x:c>
      <x:c r="P971" s="10" t="n">
        <x:v>1</x:v>
      </x:c>
      <x:c r="Q971" s="13" t="n">
        <x:f>IF(H971="","",H971/1000000000)</x:f>
        <x:v>0.425</x:v>
      </x:c>
      <x:c r="R971" s="13" t="n">
        <x:f>IF(I971="","",I971/1000000)</x:f>
        <x:v>2.8333333333333335</x:v>
      </x:c>
    </x:row>
    <x:row r="972" ht="21" customHeight="1">
      <x:c r="A972" s="10" t="n">
        <x:v>1074</x:v>
      </x:c>
      <x:c r="B972" s="2" t="str">
        <x:v>84e40f4638149e1df08b</x:v>
      </x:c>
      <x:c r="C972" s="2" t="str">
        <x:v>Tp Hồ Chí Minh</x:v>
      </x:c>
      <x:c r="D972" s="2" t="str">
        <x:v>Quận Bình Thạnh</x:v>
      </x:c>
      <x:c r="E972" s="2" t="str">
        <x:v>other_unknown</x:v>
      </x:c>
      <x:c r="F972" s="2" t="str">
        <x:v>sale_assumed</x:v>
      </x:c>
      <x:c r="G972" s="11" t="n">
        <x:v>58</x:v>
      </x:c>
      <x:c r="H972" s="12" t="n">
        <x:v>4850000000</x:v>
      </x:c>
      <x:c r="I972" s="12" t="n">
        <x:v>83620689.65517241</x:v>
      </x:c>
      <x:c r="J972" s="2" t="str">
        <x:v>total</x:v>
      </x:c>
      <x:c r="K972" s="2" t="str">
        <x:v>top_level_area</x:v>
      </x:c>
      <x:c r="L972" s="2" t="str">
        <x:v>property_type_inferred_from_title;transaction_assumed_sale_from_dataset_context;unknown_property_type</x:v>
      </x:c>
      <x:c r="M972" s="10" t="n">
        <x:v>0</x:v>
      </x:c>
      <x:c r="N972" s="10" t="n">
        <x:v>0</x:v>
      </x:c>
      <x:c r="O972" s="2" t="str">
        <x:v>Tp Hồ Chí Minh|other_unknown</x:v>
      </x:c>
      <x:c r="P972" s="10" t="n">
        <x:v>2</x:v>
      </x:c>
      <x:c r="Q972" s="13" t="n">
        <x:f>IF(H972="","",H972/1000000000)</x:f>
        <x:v>4.85</x:v>
      </x:c>
      <x:c r="R972" s="13" t="n">
        <x:f>IF(I972="","",I972/1000000)</x:f>
        <x:v>83.62068965517241</x:v>
      </x:c>
    </x:row>
    <x:row r="973" ht="21" customHeight="1">
      <x:c r="A973" s="10" t="n">
        <x:v>1075</x:v>
      </x:c>
      <x:c r="B973" s="2" t="str">
        <x:v>bec9cf9578a5e1068540</x:v>
      </x:c>
      <x:c r="C973" s="2" t="str">
        <x:v>Tp Hồ Chí Minh</x:v>
      </x:c>
      <x:c r="D973" s="2" t="str">
        <x:v>Quận 12</x:v>
      </x:c>
      <x:c r="E973" s="2" t="str">
        <x:v>land</x:v>
      </x:c>
      <x:c r="F973" s="2" t="str">
        <x:v>sale_assumed</x:v>
      </x:c>
      <x:c r="G973" s="11" t="n">
        <x:v>95</x:v>
      </x:c>
      <x:c r="H973" s="12" t="n">
        <x:v>1420000000</x:v>
      </x:c>
      <x:c r="I973" s="12" t="n">
        <x:v>14947368.421052631</x:v>
      </x:c>
      <x:c r="J973" s="2" t="str">
        <x:v>total</x:v>
      </x:c>
      <x:c r="K973" s="2" t="str">
        <x:v>top_level_area</x:v>
      </x:c>
      <x:c r="L973" s="2" t="str">
        <x:v>property_type_inferred_from_title;transaction_assumed_sale_from_dataset_context</x:v>
      </x:c>
      <x:c r="M973" s="10" t="n">
        <x:v>0</x:v>
      </x:c>
      <x:c r="N973" s="10" t="n">
        <x:v>0</x:v>
      </x:c>
      <x:c r="O973" s="2" t="str">
        <x:v>Tp Hồ Chí Minh|land</x:v>
      </x:c>
      <x:c r="P973" s="10" t="n">
        <x:v>2</x:v>
      </x:c>
      <x:c r="Q973" s="13" t="n">
        <x:f>IF(H973="","",H973/1000000000)</x:f>
        <x:v>1.42</x:v>
      </x:c>
      <x:c r="R973" s="13" t="n">
        <x:f>IF(I973="","",I973/1000000)</x:f>
        <x:v>14.947368421052632</x:v>
      </x:c>
    </x:row>
    <x:row r="974" ht="21" customHeight="1">
      <x:c r="A974" s="10" t="n">
        <x:v>1076</x:v>
      </x:c>
      <x:c r="B974" s="2" t="str">
        <x:v>24eb96cd42f85aa74563</x:v>
      </x:c>
      <x:c r="C974" s="2" t="str">
        <x:v>Tp Hồ Chí Minh</x:v>
      </x:c>
      <x:c r="D974" s="2" t="str">
        <x:v>Quận 9</x:v>
      </x:c>
      <x:c r="E974" s="2" t="str">
        <x:v>house</x:v>
      </x:c>
      <x:c r="F974" s="2" t="str">
        <x:v>sale</x:v>
      </x:c>
      <x:c r="G974" s="11" t="n">
        <x:v>80</x:v>
      </x:c>
      <x:c r="H974" s="12" t="n">
        <x:v>5800000000</x:v>
      </x:c>
      <x:c r="I974" s="12" t="n">
        <x:v>72500000</x:v>
      </x:c>
      <x:c r="J974" s="2" t="str">
        <x:v>total</x:v>
      </x:c>
      <x:c r="K974" s="2" t="str">
        <x:v>top_level_area</x:v>
      </x:c>
      <x:c r="L974" s="2" t="str">
        <x:v>property_type_inferred_from_title</x:v>
      </x:c>
      <x:c r="M974" s="10" t="n">
        <x:v>0</x:v>
      </x:c>
      <x:c r="N974" s="10" t="n">
        <x:v>0</x:v>
      </x:c>
      <x:c r="O974" s="2" t="str">
        <x:v>Tp Hồ Chí Minh|house</x:v>
      </x:c>
      <x:c r="P974" s="10" t="n">
        <x:v>2</x:v>
      </x:c>
      <x:c r="Q974" s="13" t="n">
        <x:f>IF(H974="","",H974/1000000000)</x:f>
        <x:v>5.8</x:v>
      </x:c>
      <x:c r="R974" s="13" t="n">
        <x:f>IF(I974="","",I974/1000000)</x:f>
        <x:v>72.5</x:v>
      </x:c>
    </x:row>
    <x:row r="975" ht="21" customHeight="1">
      <x:c r="A975" s="10" t="n">
        <x:v>1077</x:v>
      </x:c>
      <x:c r="B975" s="2" t="str">
        <x:v>f987aebc41a1310cea41</x:v>
      </x:c>
      <x:c r="C975" s="2" t="str">
        <x:v>Tp Hồ Chí Minh</x:v>
      </x:c>
      <x:c r="D975" s="2" t="str">
        <x:v>Quận Bình Tân</x:v>
      </x:c>
      <x:c r="E975" s="2" t="str">
        <x:v>house</x:v>
      </x:c>
      <x:c r="F975" s="2" t="str">
        <x:v>sale_assumed</x:v>
      </x:c>
      <x:c r="G975" s="11" t="n">
        <x:v>40</x:v>
      </x:c>
      <x:c r="H975" s="12" t="n">
        <x:v>2250000000</x:v>
      </x:c>
      <x:c r="I975" s="12" t="n">
        <x:v>56250000</x:v>
      </x:c>
      <x:c r="J975" s="2" t="str">
        <x:v>total</x:v>
      </x:c>
      <x:c r="K975" s="2" t="str">
        <x:v>top_level_area</x:v>
      </x:c>
      <x:c r="L975" s="2" t="str">
        <x:v>property_type_inferred_from_title;transaction_assumed_sale_from_dataset_context</x:v>
      </x:c>
      <x:c r="M975" s="10" t="n">
        <x:v>0</x:v>
      </x:c>
      <x:c r="N975" s="10" t="n">
        <x:v>0</x:v>
      </x:c>
      <x:c r="O975" s="2" t="str">
        <x:v>Tp Hồ Chí Minh|house</x:v>
      </x:c>
      <x:c r="P975" s="10" t="n">
        <x:v>2</x:v>
      </x:c>
      <x:c r="Q975" s="13" t="n">
        <x:f>IF(H975="","",H975/1000000000)</x:f>
        <x:v>2.25</x:v>
      </x:c>
      <x:c r="R975" s="13" t="n">
        <x:f>IF(I975="","",I975/1000000)</x:f>
        <x:v>56.25</x:v>
      </x:c>
    </x:row>
    <x:row r="976" ht="21" customHeight="1">
      <x:c r="A976" s="10" t="n">
        <x:v>1078</x:v>
      </x:c>
      <x:c r="B976" s="2" t="str">
        <x:v>53a20dee8e310e9d2c05</x:v>
      </x:c>
      <x:c r="C976" s="2" t="str">
        <x:v>Bà Rịa - Vũng Tàu</x:v>
      </x:c>
      <x:c r="D976" s="2" t="str">
        <x:v>Huyện Châu Đức</x:v>
      </x:c>
      <x:c r="E976" s="2" t="str">
        <x:v>land</x:v>
      </x:c>
      <x:c r="F976" s="2" t="str">
        <x:v>sale</x:v>
      </x:c>
      <x:c r="G976" s="11" t="n">
        <x:v>168</x:v>
      </x:c>
      <x:c r="H976" s="12" t="n">
        <x:v>830000000</x:v>
      </x:c>
      <x:c r="I976" s="12" t="n">
        <x:v>4940476.19047619</x:v>
      </x:c>
      <x:c r="J976" s="2" t="str">
        <x:v>total</x:v>
      </x:c>
      <x:c r="K976" s="2" t="str">
        <x:v>top_level_area</x:v>
      </x:c>
      <x:c r="L976" s="2" t="str">
        <x:v>property_type_inferred_from_title</x:v>
      </x:c>
      <x:c r="M976" s="10" t="n">
        <x:v>0</x:v>
      </x:c>
      <x:c r="N976" s="10" t="n">
        <x:v>0</x:v>
      </x:c>
      <x:c r="O976" s="2" t="str">
        <x:v>Bà Rịa - Vũng Tàu|land</x:v>
      </x:c>
      <x:c r="P976" s="10" t="n">
        <x:v>1</x:v>
      </x:c>
      <x:c r="Q976" s="13" t="n">
        <x:f>IF(H976="","",H976/1000000000)</x:f>
        <x:v>0.83</x:v>
      </x:c>
      <x:c r="R976" s="13" t="n">
        <x:f>IF(I976="","",I976/1000000)</x:f>
        <x:v>4.940476190476191</x:v>
      </x:c>
    </x:row>
    <x:row r="977" ht="21" customHeight="1">
      <x:c r="A977" s="10" t="n">
        <x:v>1079</x:v>
      </x:c>
      <x:c r="B977" s="2" t="str">
        <x:v>f9dc149b9866a0f95d33</x:v>
      </x:c>
      <x:c r="C977" s="2" t="str">
        <x:v>Đắk Lắk</x:v>
      </x:c>
      <x:c r="D977" s="2" t="str">
        <x:v>Thành phố Buôn Ma Thuột</x:v>
      </x:c>
      <x:c r="E977" s="2" t="str">
        <x:v>other_unknown</x:v>
      </x:c>
      <x:c r="F977" s="2" t="str">
        <x:v>sale_assumed</x:v>
      </x:c>
      <x:c r="G977" s="11" t="n">
        <x:v>89</x:v>
      </x:c>
      <x:c r="H977" s="12" t="n">
        <x:v>1600000000</x:v>
      </x:c>
      <x:c r="I977" s="12" t="n">
        <x:v>17977528.08988764</x:v>
      </x:c>
      <x:c r="J977" s="2" t="str">
        <x:v>total</x:v>
      </x:c>
      <x:c r="K977" s="2" t="str">
        <x:v>top_level_area</x:v>
      </x:c>
      <x:c r="L977" s="2" t="str">
        <x:v>property_type_inferred_from_title;transaction_assumed_sale_from_dataset_context;unknown_property_type</x:v>
      </x:c>
      <x:c r="M977" s="10" t="n">
        <x:v>0</x:v>
      </x:c>
      <x:c r="N977" s="10" t="n">
        <x:v>0</x:v>
      </x:c>
      <x:c r="O977" s="2" t="str">
        <x:v>other_unknown</x:v>
      </x:c>
      <x:c r="P977" s="10" t="n">
        <x:v>2</x:v>
      </x:c>
      <x:c r="Q977" s="13" t="n">
        <x:f>IF(H977="","",H977/1000000000)</x:f>
        <x:v>1.6</x:v>
      </x:c>
      <x:c r="R977" s="13" t="n">
        <x:f>IF(I977="","",I977/1000000)</x:f>
        <x:v>17.97752808988764</x:v>
      </x:c>
    </x:row>
    <x:row r="978" ht="21" customHeight="1">
      <x:c r="A978" s="10" t="n">
        <x:v>1080</x:v>
      </x:c>
      <x:c r="B978" s="2" t="str">
        <x:v>dc7b2ce74b6575c2f7e2</x:v>
      </x:c>
      <x:c r="C978" s="2" t="str">
        <x:v>Cần Thơ</x:v>
      </x:c>
      <x:c r="D978" s="2" t="str">
        <x:v>Quận Cái Răng</x:v>
      </x:c>
      <x:c r="E978" s="2" t="str">
        <x:v>land</x:v>
      </x:c>
      <x:c r="F978" s="2" t="str">
        <x:v>sale</x:v>
      </x:c>
      <x:c r="G978" s="11" t="n">
        <x:v>91</x:v>
      </x:c>
      <x:c r="H978" s="12" t="n">
        <x:v>1850000000</x:v>
      </x:c>
      <x:c r="I978" s="12" t="n">
        <x:v>20329670.32967033</x:v>
      </x:c>
      <x:c r="J978" s="2" t="str">
        <x:v>total</x:v>
      </x:c>
      <x:c r="K978" s="2" t="str">
        <x:v>top_level_area</x:v>
      </x:c>
      <x:c r="L978" s="2" t="str">
        <x:v>property_type_inferred_from_title</x:v>
      </x:c>
      <x:c r="M978" s="10" t="n">
        <x:v>0</x:v>
      </x:c>
      <x:c r="N978" s="10" t="n">
        <x:v>0</x:v>
      </x:c>
      <x:c r="O978" s="2" t="str">
        <x:v>Cần Thơ|land</x:v>
      </x:c>
      <x:c r="P978" s="10" t="n">
        <x:v>2</x:v>
      </x:c>
      <x:c r="Q978" s="13" t="n">
        <x:f>IF(H978="","",H978/1000000000)</x:f>
        <x:v>1.85</x:v>
      </x:c>
      <x:c r="R978" s="13" t="n">
        <x:f>IF(I978="","",I978/1000000)</x:f>
        <x:v>20.32967032967033</x:v>
      </x:c>
    </x:row>
    <x:row r="979" ht="21" customHeight="1">
      <x:c r="A979" s="10" t="n">
        <x:v>1081</x:v>
      </x:c>
      <x:c r="B979" s="2" t="str">
        <x:v>5af2776503182b77bab0</x:v>
      </x:c>
      <x:c r="C979" s="2" t="str">
        <x:v>Tp Hồ Chí Minh</x:v>
      </x:c>
      <x:c r="D979" s="2" t="str">
        <x:v>Quận Bình Thạnh</x:v>
      </x:c>
      <x:c r="E979" s="2" t="str">
        <x:v>house</x:v>
      </x:c>
      <x:c r="F979" s="2" t="str">
        <x:v>sale_assumed</x:v>
      </x:c>
      <x:c r="G979" s="11" t="n">
        <x:v>31</x:v>
      </x:c>
      <x:c r="H979" s="12" t="n">
        <x:v>5800000000</x:v>
      </x:c>
      <x:c r="I979" s="12" t="n">
        <x:v>187096774.19354838</x:v>
      </x:c>
      <x:c r="J979" s="2" t="str">
        <x:v>total</x:v>
      </x:c>
      <x:c r="K979" s="2" t="str">
        <x:v>top_level_area</x:v>
      </x:c>
      <x:c r="L979" s="2" t="str">
        <x:v>property_type_inferred_from_title;transaction_assumed_sale_from_dataset_context</x:v>
      </x:c>
      <x:c r="M979" s="10" t="n">
        <x:v>1</x:v>
      </x:c>
      <x:c r="N979" s="10" t="n">
        <x:v>0</x:v>
      </x:c>
      <x:c r="O979" s="2" t="str">
        <x:v>Tp Hồ Chí Minh|house</x:v>
      </x:c>
      <x:c r="P979" s="10" t="n">
        <x:v>2</x:v>
      </x:c>
      <x:c r="Q979" s="13" t="n">
        <x:f>IF(H979="","",H979/1000000000)</x:f>
        <x:v>5.8</x:v>
      </x:c>
      <x:c r="R979" s="13" t="n">
        <x:f>IF(I979="","",I979/1000000)</x:f>
        <x:v>187.09677419354838</x:v>
      </x:c>
    </x:row>
    <x:row r="980" ht="21" customHeight="1">
      <x:c r="A980" s="10" t="n">
        <x:v>1082</x:v>
      </x:c>
      <x:c r="B980" s="2" t="str">
        <x:v>bb46e3483318f9f917ce</x:v>
      </x:c>
      <x:c r="C980" s="2" t="str">
        <x:v>Đắk Nông</x:v>
      </x:c>
      <x:c r="D980" s="2" t="str">
        <x:v>Huyện Đăk Glong</x:v>
      </x:c>
      <x:c r="E980" s="2" t="str">
        <x:v>other_unknown</x:v>
      </x:c>
      <x:c r="F980" s="2" t="str">
        <x:v>sale_assumed</x:v>
      </x:c>
      <x:c r="G980" s="11" t="n">
        <x:v>53000</x:v>
      </x:c>
      <x:c r="H980" s="12" t="n">
        <x:v>8000000000</x:v>
      </x:c>
      <x:c r="I980" s="12" t="n">
        <x:v>150943.3962264151</x:v>
      </x:c>
      <x:c r="J980" s="2" t="str">
        <x:v>total</x:v>
      </x:c>
      <x:c r="K980" s="2" t="str">
        <x:v>top_level_area</x:v>
      </x:c>
      <x:c r="L980" s="2" t="str">
        <x:v>dot_thousands_convention;property_type_inferred_from_title;transaction_assumed_sale_from_dataset_context;unknown_property_type</x:v>
      </x:c>
      <x:c r="M980" s="10" t="n">
        <x:v>0</x:v>
      </x:c>
      <x:c r="N980" s="10" t="n">
        <x:v>0</x:v>
      </x:c>
      <x:c r="O980" s="2" t="str">
        <x:v>other_unknown</x:v>
      </x:c>
      <x:c r="P980" s="10" t="n">
        <x:v>1</x:v>
      </x:c>
      <x:c r="Q980" s="13" t="n">
        <x:f>IF(H980="","",H980/1000000000)</x:f>
        <x:v>8</x:v>
      </x:c>
      <x:c r="R980" s="13" t="n">
        <x:f>IF(I980="","",I980/1000000)</x:f>
        <x:v>0.1509433962264151</x:v>
      </x:c>
    </x:row>
    <x:row r="981" ht="21" customHeight="1">
      <x:c r="A981" s="10" t="n">
        <x:v>1085</x:v>
      </x:c>
      <x:c r="B981" s="2" t="str">
        <x:v>cfefad39349bab96796e</x:v>
      </x:c>
      <x:c r="C981" s="2" t="str">
        <x:v>Tp Hồ Chí Minh</x:v>
      </x:c>
      <x:c r="D981" s="2" t="str">
        <x:v>Quận Gò Vấp</x:v>
      </x:c>
      <x:c r="E981" s="2" t="str">
        <x:v>house</x:v>
      </x:c>
      <x:c r="F981" s="2" t="str">
        <x:v>sale</x:v>
      </x:c>
      <x:c r="G981" s="11" t="n">
        <x:v>50</x:v>
      </x:c>
      <x:c r="H981" s="12" t="n">
        <x:v>3270000000</x:v>
      </x:c>
      <x:c r="I981" s="12" t="n">
        <x:v>65400000</x:v>
      </x:c>
      <x:c r="J981" s="2" t="str">
        <x:v>total</x:v>
      </x:c>
      <x:c r="K981" s="2" t="str">
        <x:v>top_level_area</x:v>
      </x:c>
      <x:c r="L981" s="2" t="str">
        <x:v>property_type_inferred_from_title</x:v>
      </x:c>
      <x:c r="M981" s="10" t="n">
        <x:v>0</x:v>
      </x:c>
      <x:c r="N981" s="10" t="n">
        <x:v>0</x:v>
      </x:c>
      <x:c r="O981" s="2" t="str">
        <x:v>Tp Hồ Chí Minh|house</x:v>
      </x:c>
      <x:c r="P981" s="10" t="n">
        <x:v>2</x:v>
      </x:c>
      <x:c r="Q981" s="13" t="n">
        <x:f>IF(H981="","",H981/1000000000)</x:f>
        <x:v>3.27</x:v>
      </x:c>
      <x:c r="R981" s="13" t="n">
        <x:f>IF(I981="","",I981/1000000)</x:f>
        <x:v>65.4</x:v>
      </x:c>
    </x:row>
    <x:row r="982" ht="21" customHeight="1">
      <x:c r="A982" s="10" t="n">
        <x:v>1086</x:v>
      </x:c>
      <x:c r="B982" s="2" t="str">
        <x:v>14c83448e32b8a772f5e</x:v>
      </x:c>
      <x:c r="C982" s="2" t="str">
        <x:v>Tp Hồ Chí Minh</x:v>
      </x:c>
      <x:c r="D982" s="2" t="str">
        <x:v>Huyện Củ Chi</x:v>
      </x:c>
      <x:c r="E982" s="2" t="str">
        <x:v>land</x:v>
      </x:c>
      <x:c r="F982" s="2" t="str">
        <x:v>sale_assumed</x:v>
      </x:c>
      <x:c r="G982" s="11" t="n">
        <x:v>105</x:v>
      </x:c>
      <x:c r="H982" s="12" t="n">
        <x:v>1000000000</x:v>
      </x:c>
      <x:c r="I982" s="12" t="n">
        <x:v>9523809.523809524</x:v>
      </x:c>
      <x:c r="J982" s="2" t="str">
        <x:v>total</x:v>
      </x:c>
      <x:c r="K982" s="2" t="str">
        <x:v>top_level_area</x:v>
      </x:c>
      <x:c r="L982" s="2" t="str">
        <x:v>property_type_inferred_from_title;transaction_assumed_sale_from_dataset_context</x:v>
      </x:c>
      <x:c r="M982" s="10" t="n">
        <x:v>0</x:v>
      </x:c>
      <x:c r="N982" s="10" t="n">
        <x:v>0</x:v>
      </x:c>
      <x:c r="O982" s="2" t="str">
        <x:v>Tp Hồ Chí Minh|land</x:v>
      </x:c>
      <x:c r="P982" s="10" t="n">
        <x:v>2</x:v>
      </x:c>
      <x:c r="Q982" s="13" t="n">
        <x:f>IF(H982="","",H982/1000000000)</x:f>
        <x:v>1</x:v>
      </x:c>
      <x:c r="R982" s="13" t="n">
        <x:f>IF(I982="","",I982/1000000)</x:f>
        <x:v>9.523809523809524</x:v>
      </x:c>
    </x:row>
    <x:row r="983" ht="21" customHeight="1">
      <x:c r="A983" s="10" t="n">
        <x:v>1087</x:v>
      </x:c>
      <x:c r="B983" s="2" t="str">
        <x:v>83139c0028bd07d106c4</x:v>
      </x:c>
      <x:c r="C983" s="2" t="str">
        <x:v>Lâm Đồng</x:v>
      </x:c>
      <x:c r="D983" s="2" t="str">
        <x:v>Thành phố Đà Lạt</x:v>
      </x:c>
      <x:c r="E983" s="2" t="str">
        <x:v>house</x:v>
      </x:c>
      <x:c r="F983" s="2" t="str">
        <x:v>sale</x:v>
      </x:c>
      <x:c r="G983" s="11" t="n">
        <x:v>77</x:v>
      </x:c>
      <x:c r="H983" s="12" t="n">
        <x:v>3700000000</x:v>
      </x:c>
      <x:c r="I983" s="12" t="n">
        <x:v>48051948.051948056</x:v>
      </x:c>
      <x:c r="J983" s="2" t="str">
        <x:v>total</x:v>
      </x:c>
      <x:c r="K983" s="2" t="str">
        <x:v>top_level_area</x:v>
      </x:c>
      <x:c r="L983" s="2" t="str">
        <x:v>property_type_inferred_from_title</x:v>
      </x:c>
      <x:c r="M983" s="10" t="n">
        <x:v>0</x:v>
      </x:c>
      <x:c r="N983" s="10" t="n">
        <x:v>0</x:v>
      </x:c>
      <x:c r="O983" s="2" t="str">
        <x:v>house</x:v>
      </x:c>
      <x:c r="P983" s="10" t="n">
        <x:v>2</x:v>
      </x:c>
      <x:c r="Q983" s="13" t="n">
        <x:f>IF(H983="","",H983/1000000000)</x:f>
        <x:v>3.7</x:v>
      </x:c>
      <x:c r="R983" s="13" t="n">
        <x:f>IF(I983="","",I983/1000000)</x:f>
        <x:v>48.05194805194805</x:v>
      </x:c>
    </x:row>
    <x:row r="984" ht="21" customHeight="1">
      <x:c r="A984" s="10" t="n">
        <x:v>1088</x:v>
      </x:c>
      <x:c r="B984" s="2" t="str">
        <x:v>bac9eaf573c42e0a0966</x:v>
      </x:c>
      <x:c r="C984" s="2" t="str">
        <x:v>Tp Hồ Chí Minh</x:v>
      </x:c>
      <x:c r="D984" s="2" t="str">
        <x:v>Quận 2</x:v>
      </x:c>
      <x:c r="E984" s="2" t="str">
        <x:v>apartment</x:v>
      </x:c>
      <x:c r="F984" s="2" t="str">
        <x:v>sale_assumed</x:v>
      </x:c>
      <x:c r="G984" s="11" t="n">
        <x:v>105</x:v>
      </x:c>
      <x:c r="H984" s="12" t="n">
        <x:v>5100000000</x:v>
      </x:c>
      <x:c r="I984" s="12" t="n">
        <x:v>48571428.571428575</x:v>
      </x:c>
      <x:c r="J984" s="2" t="str">
        <x:v>total</x:v>
      </x:c>
      <x:c r="K984" s="2" t="str">
        <x:v>top_level_area</x:v>
      </x:c>
      <x:c r="L984" s="2" t="str">
        <x:v>property_type_inferred_from_title;transaction_assumed_sale_from_dataset_context</x:v>
      </x:c>
      <x:c r="M984" s="10" t="n">
        <x:v>0</x:v>
      </x:c>
      <x:c r="N984" s="10" t="n">
        <x:v>0</x:v>
      </x:c>
      <x:c r="O984" s="2" t="str">
        <x:v>Tp Hồ Chí Minh|apartment</x:v>
      </x:c>
      <x:c r="P984" s="10" t="n">
        <x:v>2</x:v>
      </x:c>
      <x:c r="Q984" s="13" t="n">
        <x:f>IF(H984="","",H984/1000000000)</x:f>
        <x:v>5.1</x:v>
      </x:c>
      <x:c r="R984" s="13" t="n">
        <x:f>IF(I984="","",I984/1000000)</x:f>
        <x:v>48.57142857142858</x:v>
      </x:c>
    </x:row>
    <x:row r="985" ht="21" customHeight="1">
      <x:c r="A985" s="10" t="n">
        <x:v>1089</x:v>
      </x:c>
      <x:c r="B985" s="2" t="str">
        <x:v>74a5fd6635af6f20c992</x:v>
      </x:c>
      <x:c r="C985" s="2" t="str">
        <x:v>Tp Hồ Chí Minh</x:v>
      </x:c>
      <x:c r="D985" s="2" t="str">
        <x:v>Quận Gò Vấp</x:v>
      </x:c>
      <x:c r="E985" s="2" t="str">
        <x:v>house</x:v>
      </x:c>
      <x:c r="F985" s="2" t="str">
        <x:v>sale</x:v>
      </x:c>
      <x:c r="G985" s="11" t="n">
        <x:v>60</x:v>
      </x:c>
      <x:c r="H985" s="12" t="n">
        <x:v>4300000000</x:v>
      </x:c>
      <x:c r="I985" s="12" t="n">
        <x:v>71666666.66666667</x:v>
      </x:c>
      <x:c r="J985" s="2" t="str">
        <x:v>total</x:v>
      </x:c>
      <x:c r="K985" s="2" t="str">
        <x:v>top_level_area</x:v>
      </x:c>
      <x:c r="L985" s="2" t="str">
        <x:v>property_type_inferred_from_title</x:v>
      </x:c>
      <x:c r="M985" s="10" t="n">
        <x:v>0</x:v>
      </x:c>
      <x:c r="N985" s="10" t="n">
        <x:v>0</x:v>
      </x:c>
      <x:c r="O985" s="2" t="str">
        <x:v>Tp Hồ Chí Minh|house</x:v>
      </x:c>
      <x:c r="P985" s="10" t="n">
        <x:v>2</x:v>
      </x:c>
      <x:c r="Q985" s="13" t="n">
        <x:f>IF(H985="","",H985/1000000000)</x:f>
        <x:v>4.3</x:v>
      </x:c>
      <x:c r="R985" s="13" t="n">
        <x:f>IF(I985="","",I985/1000000)</x:f>
        <x:v>71.66666666666667</x:v>
      </x:c>
    </x:row>
    <x:row r="986" ht="21" customHeight="1">
      <x:c r="A986" s="10" t="n">
        <x:v>1090</x:v>
      </x:c>
      <x:c r="B986" s="2" t="str">
        <x:v>64c59b48fe9476f9ca83</x:v>
      </x:c>
      <x:c r="C986" s="2" t="str">
        <x:v>Sóc Trăng</x:v>
      </x:c>
      <x:c r="D986" s="2" t="str">
        <x:v>Thành phố Sóc Trăng</x:v>
      </x:c>
      <x:c r="E986" s="2" t="str">
        <x:v>house</x:v>
      </x:c>
      <x:c r="F986" s="2" t="str">
        <x:v>sale_assumed</x:v>
      </x:c>
      <x:c r="G986" s="11" t="n">
        <x:v>69</x:v>
      </x:c>
      <x:c r="H986" s="12" t="n">
        <x:v>850000000</x:v>
      </x:c>
      <x:c r="I986" s="12" t="n">
        <x:v>12318840.579710145</x:v>
      </x:c>
      <x:c r="J986" s="2" t="str">
        <x:v>total</x:v>
      </x:c>
      <x:c r="K986" s="2" t="str">
        <x:v>top_level_area</x:v>
      </x:c>
      <x:c r="L986" s="2" t="str">
        <x:v>property_type_inferred_from_title;transaction_assumed_sale_from_dataset_context</x:v>
      </x:c>
      <x:c r="M986" s="10" t="n">
        <x:v>0</x:v>
      </x:c>
      <x:c r="N986" s="10" t="n">
        <x:v>0</x:v>
      </x:c>
      <x:c r="O986" s="2" t="str">
        <x:v>house</x:v>
      </x:c>
      <x:c r="P986" s="10" t="n">
        <x:v>2</x:v>
      </x:c>
      <x:c r="Q986" s="13" t="n">
        <x:f>IF(H986="","",H986/1000000000)</x:f>
        <x:v>0.85</x:v>
      </x:c>
      <x:c r="R986" s="13" t="n">
        <x:f>IF(I986="","",I986/1000000)</x:f>
        <x:v>12.318840579710145</x:v>
      </x:c>
    </x:row>
    <x:row r="987" ht="21" customHeight="1">
      <x:c r="A987" s="10" t="n">
        <x:v>1091</x:v>
      </x:c>
      <x:c r="B987" s="2" t="str">
        <x:v>e7009faeffefc75ad3a4</x:v>
      </x:c>
      <x:c r="C987" s="2" t="str">
        <x:v>Đà Nẵng</x:v>
      </x:c>
      <x:c r="D987" s="2" t="str">
        <x:v>Quận Thanh Khê</x:v>
      </x:c>
      <x:c r="E987" s="2" t="str">
        <x:v>house</x:v>
      </x:c>
      <x:c r="F987" s="2" t="str">
        <x:v>sale</x:v>
      </x:c>
      <x:c r="G987" s="11" t="n">
        <x:v>50</x:v>
      </x:c>
      <x:c r="H987" s="12" t="n">
        <x:v>4300000000</x:v>
      </x:c>
      <x:c r="I987" s="12" t="n">
        <x:v>86000000</x:v>
      </x:c>
      <x:c r="J987" s="2" t="str">
        <x:v>total</x:v>
      </x:c>
      <x:c r="K987" s="2" t="str">
        <x:v>top_level_area</x:v>
      </x:c>
      <x:c r="L987" s="2" t="str">
        <x:v>property_type_inferred_from_title</x:v>
      </x:c>
      <x:c r="M987" s="10" t="n">
        <x:v>0</x:v>
      </x:c>
      <x:c r="N987" s="10" t="n">
        <x:v>0</x:v>
      </x:c>
      <x:c r="O987" s="2" t="str">
        <x:v>Đà Nẵng|house</x:v>
      </x:c>
      <x:c r="P987" s="10" t="n">
        <x:v>2</x:v>
      </x:c>
      <x:c r="Q987" s="13" t="n">
        <x:f>IF(H987="","",H987/1000000000)</x:f>
        <x:v>4.3</x:v>
      </x:c>
      <x:c r="R987" s="13" t="n">
        <x:f>IF(I987="","",I987/1000000)</x:f>
        <x:v>86</x:v>
      </x:c>
    </x:row>
    <x:row r="988" ht="21" customHeight="1">
      <x:c r="A988" s="10" t="n">
        <x:v>1092</x:v>
      </x:c>
      <x:c r="B988" s="2" t="str">
        <x:v>7be7ba154a6529cc87ed</x:v>
      </x:c>
      <x:c r="C988" s="2" t="str">
        <x:v>Tp Hồ Chí Minh</x:v>
      </x:c>
      <x:c r="D988" s="2" t="str">
        <x:v>Huyện Hóc Môn</x:v>
      </x:c>
      <x:c r="E988" s="2" t="str">
        <x:v>house</x:v>
      </x:c>
      <x:c r="F988" s="2" t="str">
        <x:v>sale_assumed</x:v>
      </x:c>
      <x:c r="G988" s="11" t="n">
        <x:v>32</x:v>
      </x:c>
      <x:c r="H988" s="12" t="n">
        <x:v>640000000</x:v>
      </x:c>
      <x:c r="I988" s="12" t="n">
        <x:v>20000000</x:v>
      </x:c>
      <x:c r="J988" s="2" t="str">
        <x:v>total</x:v>
      </x:c>
      <x:c r="K988" s="2" t="str">
        <x:v>top_level_price_embedded_area</x:v>
      </x:c>
      <x:c r="L988" s="2" t="str">
        <x:v>area_recovered_from_price_text;property_type_inferred_from_title;transaction_assumed_sale_from_dataset_context</x:v>
      </x:c>
      <x:c r="M988" s="10" t="n">
        <x:v>0</x:v>
      </x:c>
      <x:c r="N988" s="10" t="n">
        <x:v>0</x:v>
      </x:c>
      <x:c r="O988" s="2" t="str">
        <x:v>Tp Hồ Chí Minh|house</x:v>
      </x:c>
      <x:c r="P988" s="10" t="n">
        <x:v>2</x:v>
      </x:c>
      <x:c r="Q988" s="13" t="n">
        <x:f>IF(H988="","",H988/1000000000)</x:f>
        <x:v>0.64</x:v>
      </x:c>
      <x:c r="R988" s="13" t="n">
        <x:f>IF(I988="","",I988/1000000)</x:f>
        <x:v>20</x:v>
      </x:c>
    </x:row>
    <x:row r="989" ht="21" customHeight="1">
      <x:c r="A989" s="10" t="n">
        <x:v>1093</x:v>
      </x:c>
      <x:c r="B989" s="2" t="str">
        <x:v>84197e6b26218707223d</x:v>
      </x:c>
      <x:c r="C989" s="2" t="str">
        <x:v>Bình Dương</x:v>
      </x:c>
      <x:c r="D989" s="2" t="str">
        <x:v>Thị xã Bến Cát</x:v>
      </x:c>
      <x:c r="E989" s="2" t="str">
        <x:v>land</x:v>
      </x:c>
      <x:c r="F989" s="2" t="str">
        <x:v>sale</x:v>
      </x:c>
      <x:c r="G989" s="11" t="n">
        <x:v>150</x:v>
      </x:c>
      <x:c r="H989" s="12" t="n">
        <x:v>1650000000</x:v>
      </x:c>
      <x:c r="I989" s="12" t="n">
        <x:v>11000000</x:v>
      </x:c>
      <x:c r="J989" s="2" t="str">
        <x:v>total</x:v>
      </x:c>
      <x:c r="K989" s="2" t="str">
        <x:v>top_level_price_embedded_area</x:v>
      </x:c>
      <x:c r="L989" s="2" t="str">
        <x:v>area_recovered_from_price_text;property_type_inferred_from_title</x:v>
      </x:c>
      <x:c r="M989" s="10" t="n">
        <x:v>0</x:v>
      </x:c>
      <x:c r="N989" s="10" t="n">
        <x:v>0</x:v>
      </x:c>
      <x:c r="O989" s="2" t="str">
        <x:v>Bình Dương|land</x:v>
      </x:c>
      <x:c r="P989" s="10" t="n">
        <x:v>2</x:v>
      </x:c>
      <x:c r="Q989" s="13" t="n">
        <x:f>IF(H989="","",H989/1000000000)</x:f>
        <x:v>1.65</x:v>
      </x:c>
      <x:c r="R989" s="13" t="n">
        <x:f>IF(I989="","",I989/1000000)</x:f>
        <x:v>11</x:v>
      </x:c>
    </x:row>
    <x:row r="990" ht="21" customHeight="1">
      <x:c r="A990" s="10" t="n">
        <x:v>1094</x:v>
      </x:c>
      <x:c r="B990" s="2" t="str">
        <x:v>ff9dca5e9962273fa529</x:v>
      </x:c>
      <x:c r="C990" s="2" t="str">
        <x:v>Đà Nẵng</x:v>
      </x:c>
      <x:c r="D990" s="2" t="str">
        <x:v>Quận Ngũ Hành Sơn</x:v>
      </x:c>
      <x:c r="E990" s="2" t="str">
        <x:v>land</x:v>
      </x:c>
      <x:c r="F990" s="2" t="str">
        <x:v>sale_assumed</x:v>
      </x:c>
      <x:c r="G990" s="11" t="n">
        <x:v>100</x:v>
      </x:c>
      <x:c r="H990" s="12" t="n">
        <x:v>1900000000</x:v>
      </x:c>
      <x:c r="I990" s="12" t="n">
        <x:v>19000000</x:v>
      </x:c>
      <x:c r="J990" s="2" t="str">
        <x:v>total</x:v>
      </x:c>
      <x:c r="K990" s="2" t="str">
        <x:v>top_level_area</x:v>
      </x:c>
      <x:c r="L990" s="2" t="str">
        <x:v>property_type_inferred_from_title;transaction_assumed_sale_from_dataset_context</x:v>
      </x:c>
      <x:c r="M990" s="10" t="n">
        <x:v>0</x:v>
      </x:c>
      <x:c r="N990" s="10" t="n">
        <x:v>0</x:v>
      </x:c>
      <x:c r="O990" s="2" t="str">
        <x:v>Đà Nẵng|land</x:v>
      </x:c>
      <x:c r="P990" s="10" t="n">
        <x:v>2</x:v>
      </x:c>
      <x:c r="Q990" s="13" t="n">
        <x:f>IF(H990="","",H990/1000000000)</x:f>
        <x:v>1.9</x:v>
      </x:c>
      <x:c r="R990" s="13" t="n">
        <x:f>IF(I990="","",I990/1000000)</x:f>
        <x:v>19</x:v>
      </x:c>
    </x:row>
    <x:row r="991" ht="21" customHeight="1">
      <x:c r="A991" s="10" t="n">
        <x:v>1095</x:v>
      </x:c>
      <x:c r="B991" s="2" t="str">
        <x:v>ac0d61b0e8372123eab8</x:v>
      </x:c>
      <x:c r="C991" s="2" t="str">
        <x:v>Hà Nội</x:v>
      </x:c>
      <x:c r="D991" s="2" t="str">
        <x:v>Quận Đống Đa</x:v>
      </x:c>
      <x:c r="E991" s="2" t="str">
        <x:v>other_unknown</x:v>
      </x:c>
      <x:c r="F991" s="2" t="str">
        <x:v>sale_assumed</x:v>
      </x:c>
      <x:c r="G991" s="11" t="n">
        <x:v>30</x:v>
      </x:c>
      <x:c r="H991" s="12" t="n">
        <x:v>2200000000</x:v>
      </x:c>
      <x:c r="I991" s="12" t="n">
        <x:v>73333333.33333333</x:v>
      </x:c>
      <x:c r="J991" s="2" t="str">
        <x:v>total</x:v>
      </x:c>
      <x:c r="K991" s="2" t="str">
        <x:v>top_level_area</x:v>
      </x:c>
      <x:c r="L991" s="2" t="str">
        <x:v>property_type_inferred_from_title;transaction_assumed_sale_from_dataset_context;unknown_property_type</x:v>
      </x:c>
      <x:c r="M991" s="10" t="n">
        <x:v>0</x:v>
      </x:c>
      <x:c r="N991" s="10" t="n">
        <x:v>0</x:v>
      </x:c>
      <x:c r="O991" s="2" t="str">
        <x:v>Hà Nội|other_unknown</x:v>
      </x:c>
      <x:c r="P991" s="10" t="n">
        <x:v>2</x:v>
      </x:c>
      <x:c r="Q991" s="13" t="n">
        <x:f>IF(H991="","",H991/1000000000)</x:f>
        <x:v>2.2</x:v>
      </x:c>
      <x:c r="R991" s="13" t="n">
        <x:f>IF(I991="","",I991/1000000)</x:f>
        <x:v>73.33333333333333</x:v>
      </x:c>
    </x:row>
    <x:row r="992" ht="21" customHeight="1">
      <x:c r="A992" s="10" t="n">
        <x:v>1096</x:v>
      </x:c>
      <x:c r="B992" s="2" t="str">
        <x:v>68a5983df8b1a2101858</x:v>
      </x:c>
      <x:c r="C992" s="2" t="str">
        <x:v>Tp Hồ Chí Minh</x:v>
      </x:c>
      <x:c r="D992" s="2" t="str">
        <x:v>Quận Bình Tân</x:v>
      </x:c>
      <x:c r="E992" s="2" t="str">
        <x:v>house</x:v>
      </x:c>
      <x:c r="F992" s="2" t="str">
        <x:v>sale</x:v>
      </x:c>
      <x:c r="G992" s="11" t="n">
        <x:v>60</x:v>
      </x:c>
      <x:c r="H992" s="12" t="n">
        <x:v>3350000000</x:v>
      </x:c>
      <x:c r="I992" s="12" t="n">
        <x:v>55833333.333333336</x:v>
      </x:c>
      <x:c r="J992" s="2" t="str">
        <x:v>total</x:v>
      </x:c>
      <x:c r="K992" s="2" t="str">
        <x:v>top_level_area</x:v>
      </x:c>
      <x:c r="L992" s="2" t="str">
        <x:v>property_type_inferred_from_title</x:v>
      </x:c>
      <x:c r="M992" s="10" t="n">
        <x:v>0</x:v>
      </x:c>
      <x:c r="N992" s="10" t="n">
        <x:v>0</x:v>
      </x:c>
      <x:c r="O992" s="2" t="str">
        <x:v>Tp Hồ Chí Minh|house</x:v>
      </x:c>
      <x:c r="P992" s="10" t="n">
        <x:v>2</x:v>
      </x:c>
      <x:c r="Q992" s="13" t="n">
        <x:f>IF(H992="","",H992/1000000000)</x:f>
        <x:v>3.35</x:v>
      </x:c>
      <x:c r="R992" s="13" t="n">
        <x:f>IF(I992="","",I992/1000000)</x:f>
        <x:v>55.833333333333336</x:v>
      </x:c>
    </x:row>
    <x:row r="993" ht="21" customHeight="1">
      <x:c r="A993" s="10" t="n">
        <x:v>1097</x:v>
      </x:c>
      <x:c r="B993" s="2" t="str">
        <x:v>cbc546ab6da7fe110dec</x:v>
      </x:c>
      <x:c r="C993" s="2" t="str">
        <x:v>Tp Hồ Chí Minh</x:v>
      </x:c>
      <x:c r="D993" s="2" t="str">
        <x:v>Quận 12</x:v>
      </x:c>
      <x:c r="E993" s="2" t="str">
        <x:v>house</x:v>
      </x:c>
      <x:c r="F993" s="2" t="str">
        <x:v>sale</x:v>
      </x:c>
      <x:c r="G993" s="11" t="n">
        <x:v>39</x:v>
      </x:c>
      <x:c r="H993" s="12" t="n">
        <x:v>820000000</x:v>
      </x:c>
      <x:c r="I993" s="12" t="n">
        <x:v>21025641.025641024</x:v>
      </x:c>
      <x:c r="J993" s="2" t="str">
        <x:v>total</x:v>
      </x:c>
      <x:c r="K993" s="2" t="str">
        <x:v>top_level_area</x:v>
      </x:c>
      <x:c r="L993" s="2" t="str">
        <x:v>property_type_inferred_from_title</x:v>
      </x:c>
      <x:c r="M993" s="10" t="n">
        <x:v>0</x:v>
      </x:c>
      <x:c r="N993" s="10" t="n">
        <x:v>0</x:v>
      </x:c>
      <x:c r="O993" s="2" t="str">
        <x:v>Tp Hồ Chí Minh|house</x:v>
      </x:c>
      <x:c r="P993" s="10" t="n">
        <x:v>2</x:v>
      </x:c>
      <x:c r="Q993" s="13" t="n">
        <x:f>IF(H993="","",H993/1000000000)</x:f>
        <x:v>0.82</x:v>
      </x:c>
      <x:c r="R993" s="13" t="n">
        <x:f>IF(I993="","",I993/1000000)</x:f>
        <x:v>21.025641025641026</x:v>
      </x:c>
    </x:row>
    <x:row r="994" ht="21" customHeight="1">
      <x:c r="A994" s="10" t="n">
        <x:v>1098</x:v>
      </x:c>
      <x:c r="B994" s="2" t="str">
        <x:v>281412479bf57f8a4f09</x:v>
      </x:c>
      <x:c r="C994" s="2" t="str">
        <x:v>Bình Thuận</x:v>
      </x:c>
      <x:c r="D994" s="2" t="str">
        <x:v>Huyện Hàm Tân</x:v>
      </x:c>
      <x:c r="E994" s="2" t="str">
        <x:v>land</x:v>
      </x:c>
      <x:c r="F994" s="2" t="str">
        <x:v>sale_assumed</x:v>
      </x:c>
      <x:c r="G994" s="11" t="n">
        <x:v>81000</x:v>
      </x:c>
      <x:c r="H994" s="12" t="n">
        <x:v>7200000000</x:v>
      </x:c>
      <x:c r="I994" s="12" t="n">
        <x:v>88888.88888888889</x:v>
      </x:c>
      <x:c r="J994" s="2" t="str">
        <x:v>total</x:v>
      </x:c>
      <x:c r="K994" s="2" t="str">
        <x:v>top_level_area</x:v>
      </x:c>
      <x:c r="L994" s="2" t="str">
        <x:v>dot_thousands_convention;property_type_inferred_from_title;transaction_assumed_sale_from_dataset_context</x:v>
      </x:c>
      <x:c r="M994" s="10" t="n">
        <x:v>0</x:v>
      </x:c>
      <x:c r="N994" s="10" t="n">
        <x:v>0</x:v>
      </x:c>
      <x:c r="O994" s="2" t="str">
        <x:v>land</x:v>
      </x:c>
      <x:c r="P994" s="10" t="n">
        <x:v>1</x:v>
      </x:c>
      <x:c r="Q994" s="13" t="n">
        <x:f>IF(H994="","",H994/1000000000)</x:f>
        <x:v>7.2</x:v>
      </x:c>
      <x:c r="R994" s="13" t="n">
        <x:f>IF(I994="","",I994/1000000)</x:f>
        <x:v>0.08888888888888889</x:v>
      </x:c>
    </x:row>
    <x:row r="995" ht="21" customHeight="1">
      <x:c r="A995" s="10" t="n">
        <x:v>1099</x:v>
      </x:c>
      <x:c r="B995" s="2" t="str">
        <x:v>b0df99bba4a57cbd31da</x:v>
      </x:c>
      <x:c r="C995" s="2" t="str">
        <x:v>Chưa xác định</x:v>
      </x:c>
      <x:c r="D995" s="2" t="str">
        <x:v>Chưa xác định</x:v>
      </x:c>
      <x:c r="E995" s="2" t="str">
        <x:v>land</x:v>
      </x:c>
      <x:c r="F995" s="2" t="str">
        <x:v>sale_assumed</x:v>
      </x:c>
      <x:c r="G995" s="11" t="n">
        <x:v>660</x:v>
      </x:c>
      <x:c r="H995" s="12" t="n">
        <x:v>1890000000</x:v>
      </x:c>
      <x:c r="I995" s="12" t="n">
        <x:v>2863636.3636363638</x:v>
      </x:c>
      <x:c r="J995" s="2" t="str">
        <x:v>total</x:v>
      </x:c>
      <x:c r="K995" s="2" t="str">
        <x:v>top_level_area</x:v>
      </x:c>
      <x:c r="L995" s="2" t="str">
        <x:v>property_type_inferred_from_title;transaction_assumed_sale_from_dataset_context;unknown_district;unknown_province</x:v>
      </x:c>
      <x:c r="M995" s="10" t="n">
        <x:v>0</x:v>
      </x:c>
      <x:c r="N995" s="10" t="n">
        <x:v>0</x:v>
      </x:c>
      <x:c r="O995" s="2" t="str">
        <x:v>land</x:v>
      </x:c>
      <x:c r="P995" s="10" t="n">
        <x:v>1</x:v>
      </x:c>
      <x:c r="Q995" s="13" t="n">
        <x:f>IF(H995="","",H995/1000000000)</x:f>
        <x:v>1.89</x:v>
      </x:c>
      <x:c r="R995" s="13" t="n">
        <x:f>IF(I995="","",I995/1000000)</x:f>
        <x:v>2.8636363636363638</x:v>
      </x:c>
    </x:row>
    <x:row r="996" ht="21" customHeight="1">
      <x:c r="A996" s="10" t="n">
        <x:v>1100</x:v>
      </x:c>
      <x:c r="B996" s="2" t="str">
        <x:v>0775237fcb265b2f3c2a</x:v>
      </x:c>
      <x:c r="C996" s="2" t="str">
        <x:v>Tp Hồ Chí Minh</x:v>
      </x:c>
      <x:c r="D996" s="2" t="str">
        <x:v>Quận Tân Bình</x:v>
      </x:c>
      <x:c r="E996" s="2" t="str">
        <x:v>other_unknown</x:v>
      </x:c>
      <x:c r="F996" s="2" t="str">
        <x:v>sale</x:v>
      </x:c>
      <x:c r="G996" s="11" t="n">
        <x:v>70</x:v>
      </x:c>
      <x:c r="H996" s="12" t="n">
        <x:v>4050000000</x:v>
      </x:c>
      <x:c r="I996" s="12" t="n">
        <x:v>57857142.85714286</x:v>
      </x:c>
      <x:c r="J996" s="2" t="str">
        <x:v>total</x:v>
      </x:c>
      <x:c r="K996" s="2" t="str">
        <x:v>top_level_price_embedded_area</x:v>
      </x:c>
      <x:c r="L996" s="2" t="str">
        <x:v>area_recovered_from_price_text;property_type_inferred_from_title;unknown_property_type</x:v>
      </x:c>
      <x:c r="M996" s="10" t="n">
        <x:v>0</x:v>
      </x:c>
      <x:c r="N996" s="10" t="n">
        <x:v>0</x:v>
      </x:c>
      <x:c r="O996" s="2" t="str">
        <x:v>Tp Hồ Chí Minh|other_unknown</x:v>
      </x:c>
      <x:c r="P996" s="10" t="n">
        <x:v>2</x:v>
      </x:c>
      <x:c r="Q996" s="13" t="n">
        <x:f>IF(H996="","",H996/1000000000)</x:f>
        <x:v>4.05</x:v>
      </x:c>
      <x:c r="R996" s="13" t="n">
        <x:f>IF(I996="","",I996/1000000)</x:f>
        <x:v>57.85714285714286</x:v>
      </x:c>
    </x:row>
    <x:row r="997" ht="21" customHeight="1">
      <x:c r="A997" s="10" t="n">
        <x:v>1101</x:v>
      </x:c>
      <x:c r="B997" s="2" t="str">
        <x:v>3e28abf28c2c2cfc8368</x:v>
      </x:c>
      <x:c r="C997" s="2" t="str">
        <x:v>Tp Hồ Chí Minh</x:v>
      </x:c>
      <x:c r="D997" s="2" t="str">
        <x:v>Quận Thủ Đức</x:v>
      </x:c>
      <x:c r="E997" s="2" t="str">
        <x:v>house</x:v>
      </x:c>
      <x:c r="F997" s="2" t="str">
        <x:v>sale_assumed</x:v>
      </x:c>
      <x:c r="G997" s="11" t="n">
        <x:v>78</x:v>
      </x:c>
      <x:c r="H997" s="12" t="n">
        <x:v>7000000000</x:v>
      </x:c>
      <x:c r="I997" s="12" t="n">
        <x:v>89743589.74358974</x:v>
      </x:c>
      <x:c r="J997" s="2" t="str">
        <x:v>total</x:v>
      </x:c>
      <x:c r="K997" s="2" t="str">
        <x:v>top_level_area</x:v>
      </x:c>
      <x:c r="L997" s="2" t="str">
        <x:v>property_type_inferred_from_title;transaction_assumed_sale_from_dataset_context</x:v>
      </x:c>
      <x:c r="M997" s="10" t="n">
        <x:v>0</x:v>
      </x:c>
      <x:c r="N997" s="10" t="n">
        <x:v>0</x:v>
      </x:c>
      <x:c r="O997" s="2" t="str">
        <x:v>Tp Hồ Chí Minh|house</x:v>
      </x:c>
      <x:c r="P997" s="10" t="n">
        <x:v>2</x:v>
      </x:c>
      <x:c r="Q997" s="13" t="n">
        <x:f>IF(H997="","",H997/1000000000)</x:f>
        <x:v>7</x:v>
      </x:c>
      <x:c r="R997" s="13" t="n">
        <x:f>IF(I997="","",I997/1000000)</x:f>
        <x:v>89.74358974358974</x:v>
      </x:c>
    </x:row>
    <x:row r="998" ht="21" customHeight="1">
      <x:c r="A998" s="10" t="n">
        <x:v>1102</x:v>
      </x:c>
      <x:c r="B998" s="2" t="str">
        <x:v>9c0011385cd5bb212e48</x:v>
      </x:c>
      <x:c r="C998" s="2" t="str">
        <x:v>Tp Hồ Chí Minh</x:v>
      </x:c>
      <x:c r="D998" s="2" t="str">
        <x:v>Quận Gò Vấp</x:v>
      </x:c>
      <x:c r="E998" s="2" t="str">
        <x:v>house</x:v>
      </x:c>
      <x:c r="F998" s="2" t="str">
        <x:v>sale</x:v>
      </x:c>
      <x:c r="G998" s="11" t="n">
        <x:v>60</x:v>
      </x:c>
      <x:c r="H998" s="12" t="n">
        <x:v>6800000000</x:v>
      </x:c>
      <x:c r="I998" s="12" t="n">
        <x:v>113333333.33333333</x:v>
      </x:c>
      <x:c r="J998" s="2" t="str">
        <x:v>total</x:v>
      </x:c>
      <x:c r="K998" s="2" t="str">
        <x:v>top_level_area</x:v>
      </x:c>
      <x:c r="L998" s="2" t="str">
        <x:v>property_type_inferred_from_title</x:v>
      </x:c>
      <x:c r="M998" s="10" t="n">
        <x:v>0</x:v>
      </x:c>
      <x:c r="N998" s="10" t="n">
        <x:v>0</x:v>
      </x:c>
      <x:c r="O998" s="2" t="str">
        <x:v>Tp Hồ Chí Minh|house</x:v>
      </x:c>
      <x:c r="P998" s="10" t="n">
        <x:v>2</x:v>
      </x:c>
      <x:c r="Q998" s="13" t="n">
        <x:f>IF(H998="","",H998/1000000000)</x:f>
        <x:v>6.8</x:v>
      </x:c>
      <x:c r="R998" s="13" t="n">
        <x:f>IF(I998="","",I998/1000000)</x:f>
        <x:v>113.33333333333333</x:v>
      </x:c>
    </x:row>
    <x:row r="999" ht="21" customHeight="1">
      <x:c r="A999" s="10" t="n">
        <x:v>1103</x:v>
      </x:c>
      <x:c r="B999" s="2" t="str">
        <x:v>19c9d70e2c21b5802f44</x:v>
      </x:c>
      <x:c r="C999" s="2" t="str">
        <x:v>Tp Hồ Chí Minh</x:v>
      </x:c>
      <x:c r="D999" s="2" t="str">
        <x:v>Huyện Cần Giờ</x:v>
      </x:c>
      <x:c r="E999" s="2" t="str">
        <x:v>land</x:v>
      </x:c>
      <x:c r="F999" s="2" t="str">
        <x:v>sale_assumed</x:v>
      </x:c>
      <x:c r="G999" s="11" t="n">
        <x:v>230</x:v>
      </x:c>
      <x:c r="H999" s="12" t="n">
        <x:v>1750000000</x:v>
      </x:c>
      <x:c r="I999" s="12" t="n">
        <x:v>7608695.652173913</x:v>
      </x:c>
      <x:c r="J999" s="2" t="str">
        <x:v>total</x:v>
      </x:c>
      <x:c r="K999" s="2" t="str">
        <x:v>top_level_area</x:v>
      </x:c>
      <x:c r="L999" s="2" t="str">
        <x:v>property_type_inferred_from_title;transaction_assumed_sale_from_dataset_context</x:v>
      </x:c>
      <x:c r="M999" s="10" t="n">
        <x:v>0</x:v>
      </x:c>
      <x:c r="N999" s="10" t="n">
        <x:v>0</x:v>
      </x:c>
      <x:c r="O999" s="2" t="str">
        <x:v>Tp Hồ Chí Minh|land</x:v>
      </x:c>
      <x:c r="P999" s="10" t="n">
        <x:v>1</x:v>
      </x:c>
      <x:c r="Q999" s="13" t="n">
        <x:f>IF(H999="","",H999/1000000000)</x:f>
        <x:v>1.75</x:v>
      </x:c>
      <x:c r="R999" s="13" t="n">
        <x:f>IF(I999="","",I999/1000000)</x:f>
        <x:v>7.608695652173913</x:v>
      </x:c>
    </x:row>
    <x:row r="1000" ht="21" customHeight="1">
      <x:c r="A1000" s="10" t="n">
        <x:v>1104</x:v>
      </x:c>
      <x:c r="B1000" s="2" t="str">
        <x:v>7db037704eef13dc0557</x:v>
      </x:c>
      <x:c r="C1000" s="2" t="str">
        <x:v>Tp Hồ Chí Minh</x:v>
      </x:c>
      <x:c r="D1000" s="2" t="str">
        <x:v>Quận Tân Phú</x:v>
      </x:c>
      <x:c r="E1000" s="2" t="str">
        <x:v>house</x:v>
      </x:c>
      <x:c r="F1000" s="2" t="str">
        <x:v>sale</x:v>
      </x:c>
      <x:c r="G1000" s="11" t="n">
        <x:v>100</x:v>
      </x:c>
      <x:c r="H1000" s="12" t="n">
        <x:v>9000000000</x:v>
      </x:c>
      <x:c r="I1000" s="12" t="n">
        <x:v>90000000</x:v>
      </x:c>
      <x:c r="J1000" s="2" t="str">
        <x:v>total</x:v>
      </x:c>
      <x:c r="K1000" s="2" t="str">
        <x:v>top_level_area</x:v>
      </x:c>
      <x:c r="L1000" s="2" t="str">
        <x:v>property_type_inferred_from_title</x:v>
      </x:c>
      <x:c r="M1000" s="10" t="n">
        <x:v>0</x:v>
      </x:c>
      <x:c r="N1000" s="10" t="n">
        <x:v>0</x:v>
      </x:c>
      <x:c r="O1000" s="2" t="str">
        <x:v>Tp Hồ Chí Minh|house</x:v>
      </x:c>
      <x:c r="P1000" s="10" t="n">
        <x:v>2</x:v>
      </x:c>
      <x:c r="Q1000" s="13" t="n">
        <x:f>IF(H1000="","",H1000/1000000000)</x:f>
        <x:v>9</x:v>
      </x:c>
      <x:c r="R1000" s="13" t="n">
        <x:f>IF(I1000="","",I1000/1000000)</x:f>
        <x:v>90</x:v>
      </x:c>
    </x:row>
    <x:row r="1001" ht="21" customHeight="1">
      <x:c r="A1001" s="10" t="n">
        <x:v>1105</x:v>
      </x:c>
      <x:c r="B1001" s="2" t="str">
        <x:v>15c7cb13e4d82ccddbbe</x:v>
      </x:c>
      <x:c r="C1001" s="2" t="str">
        <x:v>Tp Hồ Chí Minh</x:v>
      </x:c>
      <x:c r="D1001" s="2" t="str">
        <x:v>Huyện Củ Chi</x:v>
      </x:c>
      <x:c r="E1001" s="2" t="str">
        <x:v>land</x:v>
      </x:c>
      <x:c r="F1001" s="2" t="str">
        <x:v>sale_assumed</x:v>
      </x:c>
      <x:c r="G1001" s="11" t="n">
        <x:v>273</x:v>
      </x:c>
      <x:c r="H1001" s="12" t="n">
        <x:v>3900000000</x:v>
      </x:c>
      <x:c r="I1001" s="12" t="n">
        <x:v>14285714.285714285</x:v>
      </x:c>
      <x:c r="J1001" s="2" t="str">
        <x:v>total</x:v>
      </x:c>
      <x:c r="K1001" s="2" t="str">
        <x:v>top_level_price_embedded_area</x:v>
      </x:c>
      <x:c r="L1001" s="2" t="str">
        <x:v>area_recovered_from_price_text;property_type_inferred_from_title;transaction_assumed_sale_from_dataset_context</x:v>
      </x:c>
      <x:c r="M1001" s="10" t="n">
        <x:v>0</x:v>
      </x:c>
      <x:c r="N1001" s="10" t="n">
        <x:v>0</x:v>
      </x:c>
      <x:c r="O1001" s="2" t="str">
        <x:v>Tp Hồ Chí Minh|land</x:v>
      </x:c>
      <x:c r="P1001" s="10" t="n">
        <x:v>2</x:v>
      </x:c>
      <x:c r="Q1001" s="13" t="n">
        <x:f>IF(H1001="","",H1001/1000000000)</x:f>
        <x:v>3.9</x:v>
      </x:c>
      <x:c r="R1001" s="13" t="n">
        <x:f>IF(I1001="","",I1001/1000000)</x:f>
        <x:v>14.285714285714285</x:v>
      </x:c>
    </x:row>
    <x:row r="1002" ht="21" customHeight="1">
      <x:c r="A1002" s="10" t="n">
        <x:v>1106</x:v>
      </x:c>
      <x:c r="B1002" s="2" t="str">
        <x:v>9472a0a7d954d15e6730</x:v>
      </x:c>
      <x:c r="C1002" s="2" t="str">
        <x:v>Cần Thơ</x:v>
      </x:c>
      <x:c r="D1002" s="2" t="str">
        <x:v>Quận Ninh Kiều</x:v>
      </x:c>
      <x:c r="E1002" s="2" t="str">
        <x:v>house</x:v>
      </x:c>
      <x:c r="F1002" s="2" t="str">
        <x:v>sale_assumed</x:v>
      </x:c>
      <x:c r="G1002" s="11" t="n">
        <x:v>42</x:v>
      </x:c>
      <x:c r="H1002" s="12" t="n">
        <x:v>2490000000</x:v>
      </x:c>
      <x:c r="I1002" s="12" t="n">
        <x:v>59285714.28571428</x:v>
      </x:c>
      <x:c r="J1002" s="2" t="str">
        <x:v>total</x:v>
      </x:c>
      <x:c r="K1002" s="2" t="str">
        <x:v>top_level_area</x:v>
      </x:c>
      <x:c r="L1002" s="2" t="str">
        <x:v>property_type_inferred_from_title;transaction_assumed_sale_from_dataset_context</x:v>
      </x:c>
      <x:c r="M1002" s="10" t="n">
        <x:v>0</x:v>
      </x:c>
      <x:c r="N1002" s="10" t="n">
        <x:v>0</x:v>
      </x:c>
      <x:c r="O1002" s="2" t="str">
        <x:v>Cần Thơ|house</x:v>
      </x:c>
      <x:c r="P1002" s="10" t="n">
        <x:v>2</x:v>
      </x:c>
      <x:c r="Q1002" s="13" t="n">
        <x:f>IF(H1002="","",H1002/1000000000)</x:f>
        <x:v>2.49</x:v>
      </x:c>
      <x:c r="R1002" s="13" t="n">
        <x:f>IF(I1002="","",I1002/1000000)</x:f>
        <x:v>59.285714285714285</x:v>
      </x:c>
    </x:row>
    <x:row r="1003" ht="21" customHeight="1">
      <x:c r="A1003" s="10" t="n">
        <x:v>1107</x:v>
      </x:c>
      <x:c r="B1003" s="2" t="str">
        <x:v>4c8f619287d6dda17bc8</x:v>
      </x:c>
      <x:c r="C1003" s="2" t="str">
        <x:v>Đồng Nai</x:v>
      </x:c>
      <x:c r="D1003" s="2" t="str">
        <x:v>Huyện Long Thành</x:v>
      </x:c>
      <x:c r="E1003" s="2" t="str">
        <x:v>land</x:v>
      </x:c>
      <x:c r="F1003" s="2" t="str">
        <x:v>sale_assumed</x:v>
      </x:c>
      <x:c r="G1003" s="11" t="n">
        <x:v>101.4</x:v>
      </x:c>
      <x:c r="H1003" s="12" t="n">
        <x:v>889000000</x:v>
      </x:c>
      <x:c r="I1003" s="12" t="n">
        <x:v>8767258.382642997</x:v>
      </x:c>
      <x:c r="J1003" s="2" t="str">
        <x:v>total</x:v>
      </x:c>
      <x:c r="K1003" s="2" t="str">
        <x:v>top_level_area</x:v>
      </x:c>
      <x:c r="L1003" s="2" t="str">
        <x:v>property_type_inferred_from_title;transaction_assumed_sale_from_dataset_context</x:v>
      </x:c>
      <x:c r="M1003" s="10" t="n">
        <x:v>0</x:v>
      </x:c>
      <x:c r="N1003" s="10" t="n">
        <x:v>0</x:v>
      </x:c>
      <x:c r="O1003" s="2" t="str">
        <x:v>Đồng Nai|land</x:v>
      </x:c>
      <x:c r="P1003" s="10" t="n">
        <x:v>2</x:v>
      </x:c>
      <x:c r="Q1003" s="13" t="n">
        <x:f>IF(H1003="","",H1003/1000000000)</x:f>
        <x:v>0.889</x:v>
      </x:c>
      <x:c r="R1003" s="13" t="n">
        <x:f>IF(I1003="","",I1003/1000000)</x:f>
        <x:v>8.767258382642998</x:v>
      </x:c>
    </x:row>
    <x:row r="1004" ht="21" customHeight="1">
      <x:c r="A1004" s="10" t="n">
        <x:v>1109</x:v>
      </x:c>
      <x:c r="B1004" s="2" t="str">
        <x:v>cd371c301e01a1a1851c</x:v>
      </x:c>
      <x:c r="C1004" s="2" t="str">
        <x:v>Tp Hồ Chí Minh</x:v>
      </x:c>
      <x:c r="D1004" s="2" t="str">
        <x:v>Quận 9</x:v>
      </x:c>
      <x:c r="E1004" s="2" t="str">
        <x:v>other_unknown</x:v>
      </x:c>
      <x:c r="F1004" s="2" t="str">
        <x:v>sale_assumed</x:v>
      </x:c>
      <x:c r="G1004" s="11" t="n">
        <x:v>80</x:v>
      </x:c>
      <x:c r="H1004" s="12" t="n">
        <x:v>4350000000</x:v>
      </x:c>
      <x:c r="I1004" s="12" t="n">
        <x:v>54375000</x:v>
      </x:c>
      <x:c r="J1004" s="2" t="str">
        <x:v>total</x:v>
      </x:c>
      <x:c r="K1004" s="2" t="str">
        <x:v>top_level_area</x:v>
      </x:c>
      <x:c r="L1004" s="2" t="str">
        <x:v>property_type_inferred_from_title;transaction_assumed_sale_from_dataset_context;unknown_property_type</x:v>
      </x:c>
      <x:c r="M1004" s="10" t="n">
        <x:v>0</x:v>
      </x:c>
      <x:c r="N1004" s="10" t="n">
        <x:v>0</x:v>
      </x:c>
      <x:c r="O1004" s="2" t="str">
        <x:v>Tp Hồ Chí Minh|other_unknown</x:v>
      </x:c>
      <x:c r="P1004" s="10" t="n">
        <x:v>2</x:v>
      </x:c>
      <x:c r="Q1004" s="13" t="n">
        <x:f>IF(H1004="","",H1004/1000000000)</x:f>
        <x:v>4.35</x:v>
      </x:c>
      <x:c r="R1004" s="13" t="n">
        <x:f>IF(I1004="","",I1004/1000000)</x:f>
        <x:v>54.375</x:v>
      </x:c>
    </x:row>
    <x:row r="1005" ht="21" customHeight="1">
      <x:c r="A1005" s="10" t="n">
        <x:v>1110</x:v>
      </x:c>
      <x:c r="B1005" s="2" t="str">
        <x:v>4b97311f22665aa7ba02</x:v>
      </x:c>
      <x:c r="C1005" s="2" t="str">
        <x:v>Hà Nội</x:v>
      </x:c>
      <x:c r="D1005" s="2" t="str">
        <x:v>Quận Nam Từ Liêm</x:v>
      </x:c>
      <x:c r="E1005" s="2" t="str">
        <x:v>other_unknown</x:v>
      </x:c>
      <x:c r="F1005" s="2" t="str">
        <x:v>sale_assumed</x:v>
      </x:c>
      <x:c r="G1005" s="11" t="n">
        <x:v>100</x:v>
      </x:c>
      <x:c r="H1005" s="12" t="n">
        <x:v>27000000000</x:v>
      </x:c>
      <x:c r="I1005" s="12" t="n">
        <x:v>270000000</x:v>
      </x:c>
      <x:c r="J1005" s="2" t="str">
        <x:v>total</x:v>
      </x:c>
      <x:c r="K1005" s="2" t="str">
        <x:v>top_level_area</x:v>
      </x:c>
      <x:c r="L1005" s="2" t="str">
        <x:v>property_type_inferred_from_title;transaction_assumed_sale_from_dataset_context;unknown_property_type</x:v>
      </x:c>
      <x:c r="M1005" s="10" t="n">
        <x:v>1</x:v>
      </x:c>
      <x:c r="N1005" s="10" t="n">
        <x:v>1</x:v>
      </x:c>
      <x:c r="O1005" s="2" t="str">
        <x:v>Hà Nội|other_unknown</x:v>
      </x:c>
      <x:c r="P1005" s="10" t="n">
        <x:v>-1</x:v>
      </x:c>
      <x:c r="Q1005" s="13" t="n">
        <x:f>IF(H1005="","",H1005/1000000000)</x:f>
        <x:v>27</x:v>
      </x:c>
      <x:c r="R1005" s="13" t="n">
        <x:f>IF(I1005="","",I1005/1000000)</x:f>
        <x:v>270</x:v>
      </x:c>
    </x:row>
    <x:row r="1006" ht="21" customHeight="1">
      <x:c r="A1006" s="10" t="n">
        <x:v>1111</x:v>
      </x:c>
      <x:c r="B1006" s="2" t="str">
        <x:v>7e7d63dcb4db1f093206</x:v>
      </x:c>
      <x:c r="C1006" s="2" t="str">
        <x:v>Tp Hồ Chí Minh</x:v>
      </x:c>
      <x:c r="D1006" s="2" t="str">
        <x:v>Quận 8</x:v>
      </x:c>
      <x:c r="E1006" s="2" t="str">
        <x:v>apartment</x:v>
      </x:c>
      <x:c r="F1006" s="2" t="str">
        <x:v>sale_assumed</x:v>
      </x:c>
      <x:c r="G1006" s="11" t="n">
        <x:v>60</x:v>
      </x:c>
      <x:c r="H1006" s="12" t="n">
        <x:v>1500000000</x:v>
      </x:c>
      <x:c r="I1006" s="12" t="n">
        <x:v>25000000</x:v>
      </x:c>
      <x:c r="J1006" s="2" t="str">
        <x:v>total</x:v>
      </x:c>
      <x:c r="K1006" s="2" t="str">
        <x:v>top_level_area</x:v>
      </x:c>
      <x:c r="L1006" s="2" t="str">
        <x:v>property_type_inferred_from_title;transaction_assumed_sale_from_dataset_context</x:v>
      </x:c>
      <x:c r="M1006" s="10" t="n">
        <x:v>0</x:v>
      </x:c>
      <x:c r="N1006" s="10" t="n">
        <x:v>0</x:v>
      </x:c>
      <x:c r="O1006" s="2" t="str">
        <x:v>Tp Hồ Chí Minh|apartment</x:v>
      </x:c>
      <x:c r="P1006" s="10" t="n">
        <x:v>2</x:v>
      </x:c>
      <x:c r="Q1006" s="13" t="n">
        <x:f>IF(H1006="","",H1006/1000000000)</x:f>
        <x:v>1.5</x:v>
      </x:c>
      <x:c r="R1006" s="13" t="n">
        <x:f>IF(I1006="","",I1006/1000000)</x:f>
        <x:v>25</x:v>
      </x:c>
    </x:row>
    <x:row r="1007" ht="21" customHeight="1">
      <x:c r="A1007" s="10" t="n">
        <x:v>1112</x:v>
      </x:c>
      <x:c r="B1007" s="2" t="str">
        <x:v>f376b4a505b5a8ff4ce2</x:v>
      </x:c>
      <x:c r="C1007" s="2" t="str">
        <x:v>Đồng Nai</x:v>
      </x:c>
      <x:c r="D1007" s="2" t="str">
        <x:v>Huyện Trảng Bom</x:v>
      </x:c>
      <x:c r="E1007" s="2" t="str">
        <x:v>other_unknown</x:v>
      </x:c>
      <x:c r="F1007" s="2" t="str">
        <x:v>sale_assumed</x:v>
      </x:c>
      <x:c r="G1007" s="11" t="n">
        <x:v>100</x:v>
      </x:c>
      <x:c r="H1007" s="12" t="n">
        <x:v>240000000</x:v>
      </x:c>
      <x:c r="I1007" s="12" t="n">
        <x:v>2400000</x:v>
      </x:c>
      <x:c r="J1007" s="2" t="str">
        <x:v>total</x:v>
      </x:c>
      <x:c r="K1007" s="2" t="str">
        <x:v>top_level_area</x:v>
      </x:c>
      <x:c r="L1007" s="2" t="str">
        <x:v>property_type_inferred_from_title;transaction_assumed_sale_from_dataset_context;unknown_property_type</x:v>
      </x:c>
      <x:c r="M1007" s="10" t="n">
        <x:v>0</x:v>
      </x:c>
      <x:c r="N1007" s="10" t="n">
        <x:v>0</x:v>
      </x:c>
      <x:c r="O1007" s="2" t="str">
        <x:v>Đồng Nai|other_unknown</x:v>
      </x:c>
      <x:c r="P1007" s="10" t="n">
        <x:v>1</x:v>
      </x:c>
      <x:c r="Q1007" s="13" t="n">
        <x:f>IF(H1007="","",H1007/1000000000)</x:f>
        <x:v>0.24</x:v>
      </x:c>
      <x:c r="R1007" s="13" t="n">
        <x:f>IF(I1007="","",I1007/1000000)</x:f>
        <x:v>2.4</x:v>
      </x:c>
    </x:row>
    <x:row r="1008" ht="21" customHeight="1">
      <x:c r="A1008" s="10" t="n">
        <x:v>1113</x:v>
      </x:c>
      <x:c r="B1008" s="2" t="str">
        <x:v>047ed0aedfcfc3ad3ef6</x:v>
      </x:c>
      <x:c r="C1008" s="2" t="str">
        <x:v>Tp Hồ Chí Minh</x:v>
      </x:c>
      <x:c r="D1008" s="2" t="str">
        <x:v>Quận 1</x:v>
      </x:c>
      <x:c r="E1008" s="2" t="str">
        <x:v>other_unknown</x:v>
      </x:c>
      <x:c r="F1008" s="2" t="str">
        <x:v>sale_assumed</x:v>
      </x:c>
      <x:c r="G1008" s="11" t="n">
        <x:v>93</x:v>
      </x:c>
      <x:c r="H1008" s="12" t="n">
        <x:v>8690000000</x:v>
      </x:c>
      <x:c r="I1008" s="12" t="n">
        <x:v>93440860.21505377</x:v>
      </x:c>
      <x:c r="J1008" s="2" t="str">
        <x:v>total</x:v>
      </x:c>
      <x:c r="K1008" s="2" t="str">
        <x:v>top_level_area</x:v>
      </x:c>
      <x:c r="L1008" s="2" t="str">
        <x:v>property_type_inferred_from_title;transaction_assumed_sale_from_dataset_context;unknown_property_type</x:v>
      </x:c>
      <x:c r="M1008" s="10" t="n">
        <x:v>0</x:v>
      </x:c>
      <x:c r="N1008" s="10" t="n">
        <x:v>0</x:v>
      </x:c>
      <x:c r="O1008" s="2" t="str">
        <x:v>Tp Hồ Chí Minh|other_unknown</x:v>
      </x:c>
      <x:c r="P1008" s="10" t="n">
        <x:v>2</x:v>
      </x:c>
      <x:c r="Q1008" s="13" t="n">
        <x:f>IF(H1008="","",H1008/1000000000)</x:f>
        <x:v>8.69</x:v>
      </x:c>
      <x:c r="R1008" s="13" t="n">
        <x:f>IF(I1008="","",I1008/1000000)</x:f>
        <x:v>93.44086021505376</x:v>
      </x:c>
    </x:row>
    <x:row r="1009" ht="21" customHeight="1">
      <x:c r="A1009" s="10" t="n">
        <x:v>1114</x:v>
      </x:c>
      <x:c r="B1009" s="2" t="str">
        <x:v>e21737efd1d6fb9b473c</x:v>
      </x:c>
      <x:c r="C1009" s="2" t="str">
        <x:v>Tp Hồ Chí Minh</x:v>
      </x:c>
      <x:c r="D1009" s="2" t="str">
        <x:v>Quận Gò Vấp</x:v>
      </x:c>
      <x:c r="E1009" s="2" t="str">
        <x:v>house</x:v>
      </x:c>
      <x:c r="F1009" s="2" t="str">
        <x:v>sale</x:v>
      </x:c>
      <x:c r="G1009" s="11" t="n">
        <x:v>39</x:v>
      </x:c>
      <x:c r="H1009" s="12" t="n">
        <x:v>3490000000</x:v>
      </x:c>
      <x:c r="I1009" s="12" t="n">
        <x:v>89487179.48717949</x:v>
      </x:c>
      <x:c r="J1009" s="2" t="str">
        <x:v>total</x:v>
      </x:c>
      <x:c r="K1009" s="2" t="str">
        <x:v>top_level_area</x:v>
      </x:c>
      <x:c r="L1009" s="2" t="str">
        <x:v>property_type_inferred_from_title</x:v>
      </x:c>
      <x:c r="M1009" s="10" t="n">
        <x:v>0</x:v>
      </x:c>
      <x:c r="N1009" s="10" t="n">
        <x:v>0</x:v>
      </x:c>
      <x:c r="O1009" s="2" t="str">
        <x:v>Tp Hồ Chí Minh|house</x:v>
      </x:c>
      <x:c r="P1009" s="10" t="n">
        <x:v>2</x:v>
      </x:c>
      <x:c r="Q1009" s="13" t="n">
        <x:f>IF(H1009="","",H1009/1000000000)</x:f>
        <x:v>3.49</x:v>
      </x:c>
      <x:c r="R1009" s="13" t="n">
        <x:f>IF(I1009="","",I1009/1000000)</x:f>
        <x:v>89.48717948717949</x:v>
      </x:c>
    </x:row>
    <x:row r="1010" ht="21" customHeight="1">
      <x:c r="A1010" s="10" t="n">
        <x:v>1115</x:v>
      </x:c>
      <x:c r="B1010" s="2" t="str">
        <x:v>8aefa6392e15829e673d</x:v>
      </x:c>
      <x:c r="C1010" s="2" t="str">
        <x:v>Tp Hồ Chí Minh</x:v>
      </x:c>
      <x:c r="D1010" s="2" t="str">
        <x:v>Quận Phú Nhuận</x:v>
      </x:c>
      <x:c r="E1010" s="2" t="str">
        <x:v>house</x:v>
      </x:c>
      <x:c r="F1010" s="2" t="str">
        <x:v>sale_assumed</x:v>
      </x:c>
      <x:c r="G1010" s="11" t="n">
        <x:v>58</x:v>
      </x:c>
      <x:c r="H1010" s="12" t="n">
        <x:v>6100000000</x:v>
      </x:c>
      <x:c r="I1010" s="12" t="n">
        <x:v>105172413.79310344</x:v>
      </x:c>
      <x:c r="J1010" s="2" t="str">
        <x:v>total</x:v>
      </x:c>
      <x:c r="K1010" s="2" t="str">
        <x:v>top_level_area</x:v>
      </x:c>
      <x:c r="L1010" s="2" t="str">
        <x:v>property_type_inferred_from_title;transaction_assumed_sale_from_dataset_context</x:v>
      </x:c>
      <x:c r="M1010" s="10" t="n">
        <x:v>0</x:v>
      </x:c>
      <x:c r="N1010" s="10" t="n">
        <x:v>0</x:v>
      </x:c>
      <x:c r="O1010" s="2" t="str">
        <x:v>Tp Hồ Chí Minh|house</x:v>
      </x:c>
      <x:c r="P1010" s="10" t="n">
        <x:v>2</x:v>
      </x:c>
      <x:c r="Q1010" s="13" t="n">
        <x:f>IF(H1010="","",H1010/1000000000)</x:f>
        <x:v>6.1</x:v>
      </x:c>
      <x:c r="R1010" s="13" t="n">
        <x:f>IF(I1010="","",I1010/1000000)</x:f>
        <x:v>105.17241379310344</x:v>
      </x:c>
    </x:row>
    <x:row r="1011" ht="21" customHeight="1">
      <x:c r="A1011" s="10" t="n">
        <x:v>1116</x:v>
      </x:c>
      <x:c r="B1011" s="2" t="str">
        <x:v>00cdb25beca5de3992b6</x:v>
      </x:c>
      <x:c r="C1011" s="2" t="str">
        <x:v>Tp Hồ Chí Minh</x:v>
      </x:c>
      <x:c r="D1011" s="2" t="str">
        <x:v>Quận Bình Thạnh</x:v>
      </x:c>
      <x:c r="E1011" s="2" t="str">
        <x:v>house</x:v>
      </x:c>
      <x:c r="F1011" s="2" t="str">
        <x:v>sale</x:v>
      </x:c>
      <x:c r="G1011" s="11" t="n">
        <x:v>35</x:v>
      </x:c>
      <x:c r="H1011" s="12" t="n">
        <x:v>3900000000</x:v>
      </x:c>
      <x:c r="I1011" s="12" t="n">
        <x:v>111428571.42857143</x:v>
      </x:c>
      <x:c r="J1011" s="2" t="str">
        <x:v>total</x:v>
      </x:c>
      <x:c r="K1011" s="2" t="str">
        <x:v>top_level_area</x:v>
      </x:c>
      <x:c r="L1011" s="2" t="str">
        <x:v>property_type_inferred_from_title</x:v>
      </x:c>
      <x:c r="M1011" s="10" t="n">
        <x:v>0</x:v>
      </x:c>
      <x:c r="N1011" s="10" t="n">
        <x:v>0</x:v>
      </x:c>
      <x:c r="O1011" s="2" t="str">
        <x:v>Tp Hồ Chí Minh|house</x:v>
      </x:c>
      <x:c r="P1011" s="10" t="n">
        <x:v>2</x:v>
      </x:c>
      <x:c r="Q1011" s="13" t="n">
        <x:f>IF(H1011="","",H1011/1000000000)</x:f>
        <x:v>3.9</x:v>
      </x:c>
      <x:c r="R1011" s="13" t="n">
        <x:f>IF(I1011="","",I1011/1000000)</x:f>
        <x:v>111.42857142857143</x:v>
      </x:c>
    </x:row>
    <x:row r="1012" ht="21" customHeight="1">
      <x:c r="A1012" s="10" t="n">
        <x:v>1117</x:v>
      </x:c>
      <x:c r="B1012" s="2" t="str">
        <x:v>b2877c5655e730f5738e</x:v>
      </x:c>
      <x:c r="C1012" s="2" t="str">
        <x:v>Long An</x:v>
      </x:c>
      <x:c r="D1012" s="2" t="str">
        <x:v>Huyện Đức Hòa</x:v>
      </x:c>
      <x:c r="E1012" s="2" t="str">
        <x:v>apartment</x:v>
      </x:c>
      <x:c r="F1012" s="2" t="str">
        <x:v>sale_assumed</x:v>
      </x:c>
      <x:c r="G1012" s="11" t="n">
        <x:v>36</x:v>
      </x:c>
      <x:c r="H1012" s="12" t="n">
        <x:v>320000000</x:v>
      </x:c>
      <x:c r="I1012" s="12" t="n">
        <x:v>8888888.888888888</x:v>
      </x:c>
      <x:c r="J1012" s="2" t="str">
        <x:v>total</x:v>
      </x:c>
      <x:c r="K1012" s="2" t="str">
        <x:v>top_level_area</x:v>
      </x:c>
      <x:c r="L1012" s="2" t="str">
        <x:v>property_type_inferred_from_title;transaction_assumed_sale_from_dataset_context</x:v>
      </x:c>
      <x:c r="M1012" s="10" t="n">
        <x:v>0</x:v>
      </x:c>
      <x:c r="N1012" s="10" t="n">
        <x:v>0</x:v>
      </x:c>
      <x:c r="O1012" s="2" t="str">
        <x:v>apartment</x:v>
      </x:c>
      <x:c r="P1012" s="10" t="n">
        <x:v>2</x:v>
      </x:c>
      <x:c r="Q1012" s="13" t="n">
        <x:f>IF(H1012="","",H1012/1000000000)</x:f>
        <x:v>0.32</x:v>
      </x:c>
      <x:c r="R1012" s="13" t="n">
        <x:f>IF(I1012="","",I1012/1000000)</x:f>
        <x:v>8.888888888888888</x:v>
      </x:c>
    </x:row>
    <x:row r="1013" ht="21" customHeight="1">
      <x:c r="A1013" s="10" t="n">
        <x:v>1118</x:v>
      </x:c>
      <x:c r="B1013" s="2" t="str">
        <x:v>c36bb7f4929f9816e04d</x:v>
      </x:c>
      <x:c r="C1013" s="2" t="str">
        <x:v>Tp Hồ Chí Minh</x:v>
      </x:c>
      <x:c r="D1013" s="2" t="str">
        <x:v>Huyện Bình Chánh</x:v>
      </x:c>
      <x:c r="E1013" s="2" t="str">
        <x:v>house</x:v>
      </x:c>
      <x:c r="F1013" s="2" t="str">
        <x:v>sale_assumed</x:v>
      </x:c>
      <x:c r="G1013" s="11" t="n">
        <x:v>74</x:v>
      </x:c>
      <x:c r="H1013" s="12" t="n">
        <x:v>1285000000</x:v>
      </x:c>
      <x:c r="I1013" s="12" t="n">
        <x:v>17364864.864864863</x:v>
      </x:c>
      <x:c r="J1013" s="2" t="str">
        <x:v>total</x:v>
      </x:c>
      <x:c r="K1013" s="2" t="str">
        <x:v>top_level_area</x:v>
      </x:c>
      <x:c r="L1013" s="2" t="str">
        <x:v>property_type_inferred_from_title;transaction_assumed_sale_from_dataset_context</x:v>
      </x:c>
      <x:c r="M1013" s="10" t="n">
        <x:v>0</x:v>
      </x:c>
      <x:c r="N1013" s="10" t="n">
        <x:v>0</x:v>
      </x:c>
      <x:c r="O1013" s="2" t="str">
        <x:v>Tp Hồ Chí Minh|house</x:v>
      </x:c>
      <x:c r="P1013" s="10" t="n">
        <x:v>2</x:v>
      </x:c>
      <x:c r="Q1013" s="13" t="n">
        <x:f>IF(H1013="","",H1013/1000000000)</x:f>
        <x:v>1.285</x:v>
      </x:c>
      <x:c r="R1013" s="13" t="n">
        <x:f>IF(I1013="","",I1013/1000000)</x:f>
        <x:v>17.364864864864863</x:v>
      </x:c>
    </x:row>
    <x:row r="1014" ht="21" customHeight="1">
      <x:c r="A1014" s="10" t="n">
        <x:v>1119</x:v>
      </x:c>
      <x:c r="B1014" s="2" t="str">
        <x:v>8e17e781c78de177b444</x:v>
      </x:c>
      <x:c r="C1014" s="2" t="str">
        <x:v>Bình Dương</x:v>
      </x:c>
      <x:c r="D1014" s="2" t="str">
        <x:v>Thị xã Dĩ An</x:v>
      </x:c>
      <x:c r="E1014" s="2" t="str">
        <x:v>house</x:v>
      </x:c>
      <x:c r="F1014" s="2" t="str">
        <x:v>sale</x:v>
      </x:c>
      <x:c r="G1014" s="11" t="n">
        <x:v>68</x:v>
      </x:c>
      <x:c r="H1014" s="12" t="n">
        <x:v>2490000000</x:v>
      </x:c>
      <x:c r="I1014" s="12" t="n">
        <x:v>36617647.058823526</x:v>
      </x:c>
      <x:c r="J1014" s="2" t="str">
        <x:v>total</x:v>
      </x:c>
      <x:c r="K1014" s="2" t="str">
        <x:v>top_level_area</x:v>
      </x:c>
      <x:c r="L1014" s="2" t="str">
        <x:v>property_type_inferred_from_title</x:v>
      </x:c>
      <x:c r="M1014" s="10" t="n">
        <x:v>0</x:v>
      </x:c>
      <x:c r="N1014" s="10" t="n">
        <x:v>0</x:v>
      </x:c>
      <x:c r="O1014" s="2" t="str">
        <x:v>Bình Dương|house</x:v>
      </x:c>
      <x:c r="P1014" s="10" t="n">
        <x:v>2</x:v>
      </x:c>
      <x:c r="Q1014" s="13" t="n">
        <x:f>IF(H1014="","",H1014/1000000000)</x:f>
        <x:v>2.49</x:v>
      </x:c>
      <x:c r="R1014" s="13" t="n">
        <x:f>IF(I1014="","",I1014/1000000)</x:f>
        <x:v>36.61764705882353</x:v>
      </x:c>
    </x:row>
    <x:row r="1015" ht="21" customHeight="1">
      <x:c r="A1015" s="10" t="n">
        <x:v>1120</x:v>
      </x:c>
      <x:c r="B1015" s="2" t="str">
        <x:v>908ff05a7dfeaa56ca8f</x:v>
      </x:c>
      <x:c r="C1015" s="2" t="str">
        <x:v>Hậu Giang</x:v>
      </x:c>
      <x:c r="D1015" s="2" t="str">
        <x:v>Huyện Châu Thành A</x:v>
      </x:c>
      <x:c r="E1015" s="2" t="str">
        <x:v>land</x:v>
      </x:c>
      <x:c r="F1015" s="2" t="str">
        <x:v>sale_assumed</x:v>
      </x:c>
      <x:c r="G1015" s="11" t="n">
        <x:v>80</x:v>
      </x:c>
      <x:c r="H1015" s="12" t="n">
        <x:v>590000000</x:v>
      </x:c>
      <x:c r="I1015" s="12" t="n">
        <x:v>7375000</x:v>
      </x:c>
      <x:c r="J1015" s="2" t="str">
        <x:v>total</x:v>
      </x:c>
      <x:c r="K1015" s="2" t="str">
        <x:v>top_level_area</x:v>
      </x:c>
      <x:c r="L1015" s="2" t="str">
        <x:v>property_type_inferred_from_title;transaction_assumed_sale_from_dataset_context</x:v>
      </x:c>
      <x:c r="M1015" s="10" t="n">
        <x:v>0</x:v>
      </x:c>
      <x:c r="N1015" s="10" t="n">
        <x:v>0</x:v>
      </x:c>
      <x:c r="O1015" s="2" t="str">
        <x:v>land</x:v>
      </x:c>
      <x:c r="P1015" s="10" t="n">
        <x:v>2</x:v>
      </x:c>
      <x:c r="Q1015" s="13" t="n">
        <x:f>IF(H1015="","",H1015/1000000000)</x:f>
        <x:v>0.59</x:v>
      </x:c>
      <x:c r="R1015" s="13" t="n">
        <x:f>IF(I1015="","",I1015/1000000)</x:f>
        <x:v>7.375</x:v>
      </x:c>
    </x:row>
    <x:row r="1016" ht="21" customHeight="1">
      <x:c r="A1016" s="10" t="n">
        <x:v>1121</x:v>
      </x:c>
      <x:c r="B1016" s="2" t="str">
        <x:v>08ea9eb0fac8ce084d4c</x:v>
      </x:c>
      <x:c r="C1016" s="2" t="str">
        <x:v>Hà Nội</x:v>
      </x:c>
      <x:c r="D1016" s="2" t="str">
        <x:v>Huyện Gia Lâm</x:v>
      </x:c>
      <x:c r="E1016" s="2" t="str">
        <x:v>other_unknown</x:v>
      </x:c>
      <x:c r="F1016" s="2" t="str">
        <x:v>sale</x:v>
      </x:c>
      <x:c r="G1016" s="11" t="n">
        <x:v>70.5</x:v>
      </x:c>
      <x:c r="H1016" s="12" t="n">
        <x:v>2120000000</x:v>
      </x:c>
      <x:c r="I1016" s="12" t="n">
        <x:v>30070921.985815603</x:v>
      </x:c>
      <x:c r="J1016" s="2" t="str">
        <x:v>total</x:v>
      </x:c>
      <x:c r="K1016" s="2" t="str">
        <x:v>top_level_area</x:v>
      </x:c>
      <x:c r="L1016" s="2" t="str">
        <x:v>property_type_inferred_from_title;unknown_property_type</x:v>
      </x:c>
      <x:c r="M1016" s="10" t="n">
        <x:v>0</x:v>
      </x:c>
      <x:c r="N1016" s="10" t="n">
        <x:v>0</x:v>
      </x:c>
      <x:c r="O1016" s="2" t="str">
        <x:v>Hà Nội|other_unknown</x:v>
      </x:c>
      <x:c r="P1016" s="10" t="n">
        <x:v>2</x:v>
      </x:c>
      <x:c r="Q1016" s="13" t="n">
        <x:f>IF(H1016="","",H1016/1000000000)</x:f>
        <x:v>2.12</x:v>
      </x:c>
      <x:c r="R1016" s="13" t="n">
        <x:f>IF(I1016="","",I1016/1000000)</x:f>
        <x:v>30.070921985815602</x:v>
      </x:c>
    </x:row>
    <x:row r="1017" ht="21" customHeight="1">
      <x:c r="A1017" s="10" t="n">
        <x:v>1122</x:v>
      </x:c>
      <x:c r="B1017" s="2" t="str">
        <x:v>1b314654e119b65dbeb1</x:v>
      </x:c>
      <x:c r="C1017" s="2" t="str">
        <x:v>Tp Hồ Chí Minh</x:v>
      </x:c>
      <x:c r="D1017" s="2" t="str">
        <x:v>Quận Gò Vấp</x:v>
      </x:c>
      <x:c r="E1017" s="2" t="str">
        <x:v>house</x:v>
      </x:c>
      <x:c r="F1017" s="2" t="str">
        <x:v>sale_assumed</x:v>
      </x:c>
      <x:c r="G1017" s="11" t="n">
        <x:v>22</x:v>
      </x:c>
      <x:c r="H1017" s="12" t="n">
        <x:v>2100000000</x:v>
      </x:c>
      <x:c r="I1017" s="12" t="n">
        <x:v>95454545.45454545</x:v>
      </x:c>
      <x:c r="J1017" s="2" t="str">
        <x:v>total</x:v>
      </x:c>
      <x:c r="K1017" s="2" t="str">
        <x:v>top_level_area</x:v>
      </x:c>
      <x:c r="L1017" s="2" t="str">
        <x:v>property_type_inferred_from_title;transaction_assumed_sale_from_dataset_context</x:v>
      </x:c>
      <x:c r="M1017" s="10" t="n">
        <x:v>0</x:v>
      </x:c>
      <x:c r="N1017" s="10" t="n">
        <x:v>0</x:v>
      </x:c>
      <x:c r="O1017" s="2" t="str">
        <x:v>Tp Hồ Chí Minh|house</x:v>
      </x:c>
      <x:c r="P1017" s="10" t="n">
        <x:v>2</x:v>
      </x:c>
      <x:c r="Q1017" s="13" t="n">
        <x:f>IF(H1017="","",H1017/1000000000)</x:f>
        <x:v>2.1</x:v>
      </x:c>
      <x:c r="R1017" s="13" t="n">
        <x:f>IF(I1017="","",I1017/1000000)</x:f>
        <x:v>95.45454545454545</x:v>
      </x:c>
    </x:row>
    <x:row r="1018" ht="21" customHeight="1">
      <x:c r="A1018" s="10" t="n">
        <x:v>1123</x:v>
      </x:c>
      <x:c r="B1018" s="2" t="str">
        <x:v>2e97e25d39828d1a627c</x:v>
      </x:c>
      <x:c r="C1018" s="2" t="str">
        <x:v>Lâm Đồng</x:v>
      </x:c>
      <x:c r="D1018" s="2" t="str">
        <x:v>Thành phố Bảo Lộc</x:v>
      </x:c>
      <x:c r="E1018" s="2" t="str">
        <x:v>land</x:v>
      </x:c>
      <x:c r="F1018" s="2" t="str">
        <x:v>sale</x:v>
      </x:c>
      <x:c r="G1018" s="11" t="n">
        <x:v>190</x:v>
      </x:c>
      <x:c r="H1018" s="12" t="n">
        <x:v>800000000</x:v>
      </x:c>
      <x:c r="I1018" s="12" t="n">
        <x:v>4210526.315789473</x:v>
      </x:c>
      <x:c r="J1018" s="2" t="str">
        <x:v>total</x:v>
      </x:c>
      <x:c r="K1018" s="2" t="str">
        <x:v>top_level_area</x:v>
      </x:c>
      <x:c r="L1018" s="2" t="str">
        <x:v>property_type_inferred_from_title</x:v>
      </x:c>
      <x:c r="M1018" s="10" t="n">
        <x:v>0</x:v>
      </x:c>
      <x:c r="N1018" s="10" t="n">
        <x:v>0</x:v>
      </x:c>
      <x:c r="O1018" s="2" t="str">
        <x:v>Lâm Đồng|land</x:v>
      </x:c>
      <x:c r="P1018" s="10" t="n">
        <x:v>1</x:v>
      </x:c>
      <x:c r="Q1018" s="13" t="n">
        <x:f>IF(H1018="","",H1018/1000000000)</x:f>
        <x:v>0.8</x:v>
      </x:c>
      <x:c r="R1018" s="13" t="n">
        <x:f>IF(I1018="","",I1018/1000000)</x:f>
        <x:v>4.2105263157894735</x:v>
      </x:c>
    </x:row>
    <x:row r="1019" ht="21" customHeight="1">
      <x:c r="A1019" s="10" t="n">
        <x:v>1124</x:v>
      </x:c>
      <x:c r="B1019" s="2" t="str">
        <x:v>5a3006cfd38cc7187c2f</x:v>
      </x:c>
      <x:c r="C1019" s="2" t="str">
        <x:v>Tp Hồ Chí Minh</x:v>
      </x:c>
      <x:c r="D1019" s="2" t="str">
        <x:v>Quận Tân Phú</x:v>
      </x:c>
      <x:c r="E1019" s="2" t="str">
        <x:v>other_unknown</x:v>
      </x:c>
      <x:c r="F1019" s="2" t="str">
        <x:v>sale_assumed</x:v>
      </x:c>
      <x:c r="G1019" s="11" t="n">
        <x:v>78</x:v>
      </x:c>
      <x:c r="H1019" s="12" t="n">
        <x:v>6400000000</x:v>
      </x:c>
      <x:c r="I1019" s="12" t="n">
        <x:v>82051282.05128205</x:v>
      </x:c>
      <x:c r="J1019" s="2" t="str">
        <x:v>total</x:v>
      </x:c>
      <x:c r="K1019" s="2" t="str">
        <x:v>top_level_area</x:v>
      </x:c>
      <x:c r="L1019" s="2" t="str">
        <x:v>property_type_inferred_from_title;transaction_assumed_sale_from_dataset_context;unknown_property_type</x:v>
      </x:c>
      <x:c r="M1019" s="10" t="n">
        <x:v>0</x:v>
      </x:c>
      <x:c r="N1019" s="10" t="n">
        <x:v>0</x:v>
      </x:c>
      <x:c r="O1019" s="2" t="str">
        <x:v>Tp Hồ Chí Minh|other_unknown</x:v>
      </x:c>
      <x:c r="P1019" s="10" t="n">
        <x:v>2</x:v>
      </x:c>
      <x:c r="Q1019" s="13" t="n">
        <x:f>IF(H1019="","",H1019/1000000000)</x:f>
        <x:v>6.4</x:v>
      </x:c>
      <x:c r="R1019" s="13" t="n">
        <x:f>IF(I1019="","",I1019/1000000)</x:f>
        <x:v>82.05128205128204</x:v>
      </x:c>
    </x:row>
    <x:row r="1020" ht="21" customHeight="1">
      <x:c r="A1020" s="10" t="n">
        <x:v>1125</x:v>
      </x:c>
      <x:c r="B1020" s="2" t="str">
        <x:v>3fa7732ff7e34040076f</x:v>
      </x:c>
      <x:c r="C1020" s="2" t="str">
        <x:v>Đà Nẵng</x:v>
      </x:c>
      <x:c r="D1020" s="2" t="str">
        <x:v>Quận Sơn Trà</x:v>
      </x:c>
      <x:c r="E1020" s="2" t="str">
        <x:v>house</x:v>
      </x:c>
      <x:c r="F1020" s="2" t="str">
        <x:v>sale_assumed</x:v>
      </x:c>
      <x:c r="G1020" s="11" t="n">
        <x:v>85</x:v>
      </x:c>
      <x:c r="H1020" s="12" t="n">
        <x:v>2500000000</x:v>
      </x:c>
      <x:c r="I1020" s="12" t="n">
        <x:v>29411764.70588235</x:v>
      </x:c>
      <x:c r="J1020" s="2" t="str">
        <x:v>total</x:v>
      </x:c>
      <x:c r="K1020" s="2" t="str">
        <x:v>top_level_area</x:v>
      </x:c>
      <x:c r="L1020" s="2" t="str">
        <x:v>property_type_inferred_from_title;transaction_assumed_sale_from_dataset_context</x:v>
      </x:c>
      <x:c r="M1020" s="10" t="n">
        <x:v>0</x:v>
      </x:c>
      <x:c r="N1020" s="10" t="n">
        <x:v>0</x:v>
      </x:c>
      <x:c r="O1020" s="2" t="str">
        <x:v>Đà Nẵng|house</x:v>
      </x:c>
      <x:c r="P1020" s="10" t="n">
        <x:v>2</x:v>
      </x:c>
      <x:c r="Q1020" s="13" t="n">
        <x:f>IF(H1020="","",H1020/1000000000)</x:f>
        <x:v>2.5</x:v>
      </x:c>
      <x:c r="R1020" s="13" t="n">
        <x:f>IF(I1020="","",I1020/1000000)</x:f>
        <x:v>29.41176470588235</x:v>
      </x:c>
    </x:row>
    <x:row r="1021" ht="21" customHeight="1">
      <x:c r="A1021" s="10" t="n">
        <x:v>1126</x:v>
      </x:c>
      <x:c r="B1021" s="2" t="str">
        <x:v>91ccc5dc17afcb48e514</x:v>
      </x:c>
      <x:c r="C1021" s="2" t="str">
        <x:v>Tp Hồ Chí Minh</x:v>
      </x:c>
      <x:c r="D1021" s="2" t="str">
        <x:v>Quận Thủ Đức</x:v>
      </x:c>
      <x:c r="E1021" s="2" t="str">
        <x:v>land</x:v>
      </x:c>
      <x:c r="F1021" s="2" t="str">
        <x:v>sale</x:v>
      </x:c>
      <x:c r="G1021" s="11" t="n">
        <x:v>106</x:v>
      </x:c>
      <x:c r="H1021" s="12" t="n">
        <x:v>5250000000</x:v>
      </x:c>
      <x:c r="I1021" s="12" t="n">
        <x:v>49528301.88679245</x:v>
      </x:c>
      <x:c r="J1021" s="2" t="str">
        <x:v>total</x:v>
      </x:c>
      <x:c r="K1021" s="2" t="str">
        <x:v>top_level_area</x:v>
      </x:c>
      <x:c r="L1021" s="2" t="str">
        <x:v>property_type_inferred_from_title</x:v>
      </x:c>
      <x:c r="M1021" s="10" t="n">
        <x:v>0</x:v>
      </x:c>
      <x:c r="N1021" s="10" t="n">
        <x:v>0</x:v>
      </x:c>
      <x:c r="O1021" s="2" t="str">
        <x:v>Tp Hồ Chí Minh|land</x:v>
      </x:c>
      <x:c r="P1021" s="10" t="n">
        <x:v>2</x:v>
      </x:c>
      <x:c r="Q1021" s="13" t="n">
        <x:f>IF(H1021="","",H1021/1000000000)</x:f>
        <x:v>5.25</x:v>
      </x:c>
      <x:c r="R1021" s="13" t="n">
        <x:f>IF(I1021="","",I1021/1000000)</x:f>
        <x:v>49.52830188679245</x:v>
      </x:c>
    </x:row>
    <x:row r="1022" ht="21" customHeight="1">
      <x:c r="A1022" s="10" t="n">
        <x:v>1127</x:v>
      </x:c>
      <x:c r="B1022" s="2" t="str">
        <x:v>48ea7fa40c418f5cf921</x:v>
      </x:c>
      <x:c r="C1022" s="2" t="str">
        <x:v>Tiền Giang</x:v>
      </x:c>
      <x:c r="D1022" s="2" t="str">
        <x:v>Thị xã Cai Lậy</x:v>
      </x:c>
      <x:c r="E1022" s="2" t="str">
        <x:v>land</x:v>
      </x:c>
      <x:c r="F1022" s="2" t="str">
        <x:v>sale_assumed</x:v>
      </x:c>
      <x:c r="G1022" s="11" t="n">
        <x:v>1150</x:v>
      </x:c>
      <x:c r="H1022" s="12" t="n">
        <x:v>2450000000</x:v>
      </x:c>
      <x:c r="I1022" s="12" t="n">
        <x:v>2130434.782608696</x:v>
      </x:c>
      <x:c r="J1022" s="2" t="str">
        <x:v>total</x:v>
      </x:c>
      <x:c r="K1022" s="2" t="str">
        <x:v>top_level_area</x:v>
      </x:c>
      <x:c r="L1022" s="2" t="str">
        <x:v>dot_thousands_convention;property_type_inferred_from_title;transaction_assumed_sale_from_dataset_context</x:v>
      </x:c>
      <x:c r="M1022" s="10" t="n">
        <x:v>0</x:v>
      </x:c>
      <x:c r="N1022" s="10" t="n">
        <x:v>0</x:v>
      </x:c>
      <x:c r="O1022" s="2" t="str">
        <x:v>land</x:v>
      </x:c>
      <x:c r="P1022" s="10" t="n">
        <x:v>1</x:v>
      </x:c>
      <x:c r="Q1022" s="13" t="n">
        <x:f>IF(H1022="","",H1022/1000000000)</x:f>
        <x:v>2.45</x:v>
      </x:c>
      <x:c r="R1022" s="13" t="n">
        <x:f>IF(I1022="","",I1022/1000000)</x:f>
        <x:v>2.130434782608696</x:v>
      </x:c>
    </x:row>
    <x:row r="1023" ht="21" customHeight="1">
      <x:c r="A1023" s="10" t="n">
        <x:v>1128</x:v>
      </x:c>
      <x:c r="B1023" s="2" t="str">
        <x:v>ca7a339ea170c83e48a1</x:v>
      </x:c>
      <x:c r="C1023" s="2" t="str">
        <x:v>Đồng Nai</x:v>
      </x:c>
      <x:c r="D1023" s="2" t="str">
        <x:v>Huyện Định Quán</x:v>
      </x:c>
      <x:c r="E1023" s="2" t="str">
        <x:v>land</x:v>
      </x:c>
      <x:c r="F1023" s="2" t="str">
        <x:v>sale</x:v>
      </x:c>
      <x:c r="G1023" s="11" t="n">
        <x:v>1000</x:v>
      </x:c>
      <x:c r="H1023" s="12" t="n">
        <x:v>600000000</x:v>
      </x:c>
      <x:c r="I1023" s="12" t="n">
        <x:v>600000</x:v>
      </x:c>
      <x:c r="J1023" s="2" t="str">
        <x:v>total</x:v>
      </x:c>
      <x:c r="K1023" s="2" t="str">
        <x:v>top_level_price_embedded_area</x:v>
      </x:c>
      <x:c r="L1023" s="2" t="str">
        <x:v>area_recovered_from_price_text;dot_thousands_convention;property_type_inferred_from_title</x:v>
      </x:c>
      <x:c r="M1023" s="10" t="n">
        <x:v>0</x:v>
      </x:c>
      <x:c r="N1023" s="10" t="n">
        <x:v>0</x:v>
      </x:c>
      <x:c r="O1023" s="2" t="str">
        <x:v>Đồng Nai|land</x:v>
      </x:c>
      <x:c r="P1023" s="10" t="n">
        <x:v>1</x:v>
      </x:c>
      <x:c r="Q1023" s="13" t="n">
        <x:f>IF(H1023="","",H1023/1000000000)</x:f>
        <x:v>0.6</x:v>
      </x:c>
      <x:c r="R1023" s="13" t="n">
        <x:f>IF(I1023="","",I1023/1000000)</x:f>
        <x:v>0.6</x:v>
      </x:c>
    </x:row>
    <x:row r="1024" ht="21" customHeight="1">
      <x:c r="A1024" s="10" t="n">
        <x:v>1129</x:v>
      </x:c>
      <x:c r="B1024" s="2" t="str">
        <x:v>779676e823a2de86d613</x:v>
      </x:c>
      <x:c r="C1024" s="2" t="str">
        <x:v>Khánh Hòa</x:v>
      </x:c>
      <x:c r="D1024" s="2" t="str">
        <x:v>Thành phố Nha Trang</x:v>
      </x:c>
      <x:c r="E1024" s="2" t="str">
        <x:v>house</x:v>
      </x:c>
      <x:c r="F1024" s="2" t="str">
        <x:v>sale_assumed</x:v>
      </x:c>
      <x:c r="G1024" s="11" t="n">
        <x:v>123</x:v>
      </x:c>
      <x:c r="H1024" s="12" t="n">
        <x:v>1230000000</x:v>
      </x:c>
      <x:c r="I1024" s="12" t="n">
        <x:v>10000000</x:v>
      </x:c>
      <x:c r="J1024" s="2" t="str">
        <x:v>total</x:v>
      </x:c>
      <x:c r="K1024" s="2" t="str">
        <x:v>top_level_area</x:v>
      </x:c>
      <x:c r="L1024" s="2" t="str">
        <x:v>property_type_inferred_from_title;transaction_assumed_sale_from_dataset_context</x:v>
      </x:c>
      <x:c r="M1024" s="10" t="n">
        <x:v>0</x:v>
      </x:c>
      <x:c r="N1024" s="10" t="n">
        <x:v>0</x:v>
      </x:c>
      <x:c r="O1024" s="2" t="str">
        <x:v>Khánh Hòa|house</x:v>
      </x:c>
      <x:c r="P1024" s="10" t="n">
        <x:v>2</x:v>
      </x:c>
      <x:c r="Q1024" s="13" t="n">
        <x:f>IF(H1024="","",H1024/1000000000)</x:f>
        <x:v>1.23</x:v>
      </x:c>
      <x:c r="R1024" s="13" t="n">
        <x:f>IF(I1024="","",I1024/1000000)</x:f>
        <x:v>10</x:v>
      </x:c>
    </x:row>
    <x:row r="1025" ht="21" customHeight="1">
      <x:c r="A1025" s="10" t="n">
        <x:v>1130</x:v>
      </x:c>
      <x:c r="B1025" s="2" t="str">
        <x:v>0c41853d0415b63e3928</x:v>
      </x:c>
      <x:c r="C1025" s="2" t="str">
        <x:v>Nam Định</x:v>
      </x:c>
      <x:c r="D1025" s="2" t="str">
        <x:v>Thành phố Nam Định</x:v>
      </x:c>
      <x:c r="E1025" s="2" t="str">
        <x:v>house</x:v>
      </x:c>
      <x:c r="F1025" s="2" t="str">
        <x:v>sale</x:v>
      </x:c>
      <x:c r="G1025" s="11" t="n">
        <x:v>70.5</x:v>
      </x:c>
      <x:c r="H1025" s="12" t="n">
        <x:v>4800000000</x:v>
      </x:c>
      <x:c r="I1025" s="12" t="n">
        <x:v>68085106.38297872</x:v>
      </x:c>
      <x:c r="J1025" s="2" t="str">
        <x:v>total</x:v>
      </x:c>
      <x:c r="K1025" s="2" t="str">
        <x:v>top_level_area</x:v>
      </x:c>
      <x:c r="L1025" s="2" t="str">
        <x:v>property_type_inferred_from_title</x:v>
      </x:c>
      <x:c r="M1025" s="10" t="n">
        <x:v>0</x:v>
      </x:c>
      <x:c r="N1025" s="10" t="n">
        <x:v>0</x:v>
      </x:c>
      <x:c r="O1025" s="2" t="str">
        <x:v>house</x:v>
      </x:c>
      <x:c r="P1025" s="10" t="n">
        <x:v>2</x:v>
      </x:c>
      <x:c r="Q1025" s="13" t="n">
        <x:f>IF(H1025="","",H1025/1000000000)</x:f>
        <x:v>4.8</x:v>
      </x:c>
      <x:c r="R1025" s="13" t="n">
        <x:f>IF(I1025="","",I1025/1000000)</x:f>
        <x:v>68.08510638297872</x:v>
      </x:c>
    </x:row>
    <x:row r="1026" ht="21" customHeight="1">
      <x:c r="A1026" s="10" t="n">
        <x:v>1131</x:v>
      </x:c>
      <x:c r="B1026" s="2" t="str">
        <x:v>9c279b01937188419348</x:v>
      </x:c>
      <x:c r="C1026" s="2" t="str">
        <x:v>Đồng Nai</x:v>
      </x:c>
      <x:c r="D1026" s="2" t="str">
        <x:v>Thành phố Biên Hòa</x:v>
      </x:c>
      <x:c r="E1026" s="2" t="str">
        <x:v>house</x:v>
      </x:c>
      <x:c r="F1026" s="2" t="str">
        <x:v>sale</x:v>
      </x:c>
      <x:c r="G1026" s="11" t="n">
        <x:v>64</x:v>
      </x:c>
      <x:c r="H1026" s="12" t="n">
        <x:v>1990000000</x:v>
      </x:c>
      <x:c r="I1026" s="12" t="n">
        <x:v>31093750</x:v>
      </x:c>
      <x:c r="J1026" s="2" t="str">
        <x:v>total</x:v>
      </x:c>
      <x:c r="K1026" s="2" t="str">
        <x:v>top_level_area</x:v>
      </x:c>
      <x:c r="L1026" s="2" t="str">
        <x:v>property_type_inferred_from_title</x:v>
      </x:c>
      <x:c r="M1026" s="10" t="n">
        <x:v>0</x:v>
      </x:c>
      <x:c r="N1026" s="10" t="n">
        <x:v>0</x:v>
      </x:c>
      <x:c r="O1026" s="2" t="str">
        <x:v>Đồng Nai|house</x:v>
      </x:c>
      <x:c r="P1026" s="10" t="n">
        <x:v>2</x:v>
      </x:c>
      <x:c r="Q1026" s="13" t="n">
        <x:f>IF(H1026="","",H1026/1000000000)</x:f>
        <x:v>1.99</x:v>
      </x:c>
      <x:c r="R1026" s="13" t="n">
        <x:f>IF(I1026="","",I1026/1000000)</x:f>
        <x:v>31.09375</x:v>
      </x:c>
    </x:row>
    <x:row r="1027" ht="21" customHeight="1">
      <x:c r="A1027" s="10" t="n">
        <x:v>1132</x:v>
      </x:c>
      <x:c r="B1027" s="2" t="str">
        <x:v>8468509ceaaf7378da69</x:v>
      </x:c>
      <x:c r="C1027" s="2" t="str">
        <x:v>Bình Dương</x:v>
      </x:c>
      <x:c r="D1027" s="2" t="str">
        <x:v>Thị xã Bến Cát</x:v>
      </x:c>
      <x:c r="E1027" s="2" t="str">
        <x:v>other_unknown</x:v>
      </x:c>
      <x:c r="F1027" s="2" t="str">
        <x:v>sale</x:v>
      </x:c>
      <x:c r="G1027" s="11" t="n">
        <x:v>450</x:v>
      </x:c>
      <x:c r="H1027" s="12" t="n">
        <x:v>1250000000</x:v>
      </x:c>
      <x:c r="I1027" s="12" t="n">
        <x:v>2777777.777777778</x:v>
      </x:c>
      <x:c r="J1027" s="2" t="str">
        <x:v>total</x:v>
      </x:c>
      <x:c r="K1027" s="2" t="str">
        <x:v>top_level_area</x:v>
      </x:c>
      <x:c r="L1027" s="2" t="str">
        <x:v>property_type_inferred_from_title;unknown_property_type</x:v>
      </x:c>
      <x:c r="M1027" s="10" t="n">
        <x:v>0</x:v>
      </x:c>
      <x:c r="N1027" s="10" t="n">
        <x:v>0</x:v>
      </x:c>
      <x:c r="O1027" s="2" t="str">
        <x:v>Bình Dương|other_unknown</x:v>
      </x:c>
      <x:c r="P1027" s="10" t="n">
        <x:v>1</x:v>
      </x:c>
      <x:c r="Q1027" s="13" t="n">
        <x:f>IF(H1027="","",H1027/1000000000)</x:f>
        <x:v>1.25</x:v>
      </x:c>
      <x:c r="R1027" s="13" t="n">
        <x:f>IF(I1027="","",I1027/1000000)</x:f>
        <x:v>2.777777777777778</x:v>
      </x:c>
    </x:row>
    <x:row r="1028" ht="21" customHeight="1">
      <x:c r="A1028" s="10" t="n">
        <x:v>1133</x:v>
      </x:c>
      <x:c r="B1028" s="2" t="str">
        <x:v>50cc99a9464cf9e3f9ae</x:v>
      </x:c>
      <x:c r="C1028" s="2" t="str">
        <x:v>Tp Hồ Chí Minh</x:v>
      </x:c>
      <x:c r="D1028" s="2" t="str">
        <x:v>Quận 3</x:v>
      </x:c>
      <x:c r="E1028" s="2" t="str">
        <x:v>house</x:v>
      </x:c>
      <x:c r="F1028" s="2" t="str">
        <x:v>sale_assumed</x:v>
      </x:c>
      <x:c r="G1028" s="11" t="n">
        <x:v>22.5</x:v>
      </x:c>
      <x:c r="H1028" s="12" t="n">
        <x:v>4700000000</x:v>
      </x:c>
      <x:c r="I1028" s="12" t="n">
        <x:v>208888888.8888889</x:v>
      </x:c>
      <x:c r="J1028" s="2" t="str">
        <x:v>total</x:v>
      </x:c>
      <x:c r="K1028" s="2" t="str">
        <x:v>top_level_area</x:v>
      </x:c>
      <x:c r="L1028" s="2" t="str">
        <x:v>property_type_inferred_from_title;transaction_assumed_sale_from_dataset_context</x:v>
      </x:c>
      <x:c r="M1028" s="10" t="n">
        <x:v>1</x:v>
      </x:c>
      <x:c r="N1028" s="10" t="n">
        <x:v>1</x:v>
      </x:c>
      <x:c r="O1028" s="2" t="str">
        <x:v>Tp Hồ Chí Minh|house</x:v>
      </x:c>
      <x:c r="P1028" s="10" t="n">
        <x:v>-1</x:v>
      </x:c>
      <x:c r="Q1028" s="13" t="n">
        <x:f>IF(H1028="","",H1028/1000000000)</x:f>
        <x:v>4.7</x:v>
      </x:c>
      <x:c r="R1028" s="13" t="n">
        <x:f>IF(I1028="","",I1028/1000000)</x:f>
        <x:v>208.88888888888889</x:v>
      </x:c>
    </x:row>
    <x:row r="1029" ht="21" customHeight="1">
      <x:c r="A1029" s="10" t="n">
        <x:v>1134</x:v>
      </x:c>
      <x:c r="B1029" s="2" t="str">
        <x:v>ad1452014a8b6a470601</x:v>
      </x:c>
      <x:c r="C1029" s="2" t="str">
        <x:v>Tp Hồ Chí Minh</x:v>
      </x:c>
      <x:c r="D1029" s="2" t="str">
        <x:v>Huyện Nhà Bè</x:v>
      </x:c>
      <x:c r="E1029" s="2" t="str">
        <x:v>house</x:v>
      </x:c>
      <x:c r="F1029" s="2" t="str">
        <x:v>sale_assumed</x:v>
      </x:c>
      <x:c r="G1029" s="11" t="n">
        <x:v>35</x:v>
      </x:c>
      <x:c r="H1029" s="12" t="n">
        <x:v>970000000</x:v>
      </x:c>
      <x:c r="I1029" s="12" t="n">
        <x:v>27714285.714285713</x:v>
      </x:c>
      <x:c r="J1029" s="2" t="str">
        <x:v>total</x:v>
      </x:c>
      <x:c r="K1029" s="2" t="str">
        <x:v>top_level_area</x:v>
      </x:c>
      <x:c r="L1029" s="2" t="str">
        <x:v>property_type_inferred_from_title;transaction_assumed_sale_from_dataset_context</x:v>
      </x:c>
      <x:c r="M1029" s="10" t="n">
        <x:v>0</x:v>
      </x:c>
      <x:c r="N1029" s="10" t="n">
        <x:v>0</x:v>
      </x:c>
      <x:c r="O1029" s="2" t="str">
        <x:v>Tp Hồ Chí Minh|house</x:v>
      </x:c>
      <x:c r="P1029" s="10" t="n">
        <x:v>2</x:v>
      </x:c>
      <x:c r="Q1029" s="13" t="n">
        <x:f>IF(H1029="","",H1029/1000000000)</x:f>
        <x:v>0.97</x:v>
      </x:c>
      <x:c r="R1029" s="13" t="n">
        <x:f>IF(I1029="","",I1029/1000000)</x:f>
        <x:v>27.71428571428571</x:v>
      </x:c>
    </x:row>
    <x:row r="1030" ht="21" customHeight="1">
      <x:c r="A1030" s="10" t="n">
        <x:v>1135</x:v>
      </x:c>
      <x:c r="B1030" s="2" t="str">
        <x:v>2d22a73817f5651d90e5</x:v>
      </x:c>
      <x:c r="C1030" s="2" t="str">
        <x:v>Tp Hồ Chí Minh</x:v>
      </x:c>
      <x:c r="D1030" s="2" t="str">
        <x:v>Huyện Bình Chánh</x:v>
      </x:c>
      <x:c r="E1030" s="2" t="str">
        <x:v>land</x:v>
      </x:c>
      <x:c r="F1030" s="2" t="str">
        <x:v>sale_assumed</x:v>
      </x:c>
      <x:c r="G1030" s="11" t="n">
        <x:v>120</x:v>
      </x:c>
      <x:c r="H1030" s="12" t="n">
        <x:v>600000000</x:v>
      </x:c>
      <x:c r="I1030" s="12" t="n">
        <x:v>5000000</x:v>
      </x:c>
      <x:c r="J1030" s="2" t="str">
        <x:v>total</x:v>
      </x:c>
      <x:c r="K1030" s="2" t="str">
        <x:v>top_level_area</x:v>
      </x:c>
      <x:c r="L1030" s="2" t="str">
        <x:v>property_type_inferred_from_title;transaction_assumed_sale_from_dataset_context</x:v>
      </x:c>
      <x:c r="M1030" s="10" t="n">
        <x:v>0</x:v>
      </x:c>
      <x:c r="N1030" s="10" t="n">
        <x:v>0</x:v>
      </x:c>
      <x:c r="O1030" s="2" t="str">
        <x:v>Tp Hồ Chí Minh|land</x:v>
      </x:c>
      <x:c r="P1030" s="10" t="n">
        <x:v>2</x:v>
      </x:c>
      <x:c r="Q1030" s="13" t="n">
        <x:f>IF(H1030="","",H1030/1000000000)</x:f>
        <x:v>0.6</x:v>
      </x:c>
      <x:c r="R1030" s="13" t="n">
        <x:f>IF(I1030="","",I1030/1000000)</x:f>
        <x:v>5</x:v>
      </x:c>
    </x:row>
    <x:row r="1031" ht="21" customHeight="1">
      <x:c r="A1031" s="10" t="n">
        <x:v>1136</x:v>
      </x:c>
      <x:c r="B1031" s="2" t="str">
        <x:v>7be55a35c0bedc967bbb</x:v>
      </x:c>
      <x:c r="C1031" s="2" t="str">
        <x:v>Cần Thơ</x:v>
      </x:c>
      <x:c r="D1031" s="2" t="str">
        <x:v>Quận Cái Răng</x:v>
      </x:c>
      <x:c r="E1031" s="2" t="str">
        <x:v>land</x:v>
      </x:c>
      <x:c r="F1031" s="2" t="str">
        <x:v>sale_assumed</x:v>
      </x:c>
      <x:c r="G1031" s="11" t="n">
        <x:v>56</x:v>
      </x:c>
      <x:c r="H1031" s="12" t="n">
        <x:v>1450000000</x:v>
      </x:c>
      <x:c r="I1031" s="12" t="n">
        <x:v>25892857.14285714</x:v>
      </x:c>
      <x:c r="J1031" s="2" t="str">
        <x:v>total</x:v>
      </x:c>
      <x:c r="K1031" s="2" t="str">
        <x:v>top_level_area</x:v>
      </x:c>
      <x:c r="L1031" s="2" t="str">
        <x:v>property_type_inferred_from_title;transaction_assumed_sale_from_dataset_context</x:v>
      </x:c>
      <x:c r="M1031" s="10" t="n">
        <x:v>0</x:v>
      </x:c>
      <x:c r="N1031" s="10" t="n">
        <x:v>0</x:v>
      </x:c>
      <x:c r="O1031" s="2" t="str">
        <x:v>Cần Thơ|land</x:v>
      </x:c>
      <x:c r="P1031" s="10" t="n">
        <x:v>2</x:v>
      </x:c>
      <x:c r="Q1031" s="13" t="n">
        <x:f>IF(H1031="","",H1031/1000000000)</x:f>
        <x:v>1.45</x:v>
      </x:c>
      <x:c r="R1031" s="13" t="n">
        <x:f>IF(I1031="","",I1031/1000000)</x:f>
        <x:v>25.892857142857142</x:v>
      </x:c>
    </x:row>
    <x:row r="1032" ht="21" customHeight="1">
      <x:c r="A1032" s="10" t="n">
        <x:v>1137</x:v>
      </x:c>
      <x:c r="B1032" s="2" t="str">
        <x:v>c92ff7fa1d073862a547</x:v>
      </x:c>
      <x:c r="C1032" s="2" t="str">
        <x:v>Đắk Lắk</x:v>
      </x:c>
      <x:c r="D1032" s="2" t="str">
        <x:v>Thành phố Buôn Ma Thuột</x:v>
      </x:c>
      <x:c r="E1032" s="2" t="str">
        <x:v>house</x:v>
      </x:c>
      <x:c r="F1032" s="2" t="str">
        <x:v>sale_assumed</x:v>
      </x:c>
      <x:c r="G1032" s="11" t="n">
        <x:v>105</x:v>
      </x:c>
      <x:c r="H1032" s="12" t="n">
        <x:v>1600000000</x:v>
      </x:c>
      <x:c r="I1032" s="12" t="n">
        <x:v>15238095.238095239</x:v>
      </x:c>
      <x:c r="J1032" s="2" t="str">
        <x:v>total</x:v>
      </x:c>
      <x:c r="K1032" s="2" t="str">
        <x:v>top_level_area</x:v>
      </x:c>
      <x:c r="L1032" s="2" t="str">
        <x:v>property_type_inferred_from_title;transaction_assumed_sale_from_dataset_context</x:v>
      </x:c>
      <x:c r="M1032" s="10" t="n">
        <x:v>0</x:v>
      </x:c>
      <x:c r="N1032" s="10" t="n">
        <x:v>0</x:v>
      </x:c>
      <x:c r="O1032" s="2" t="str">
        <x:v>Đắk Lắk|house</x:v>
      </x:c>
      <x:c r="P1032" s="10" t="n">
        <x:v>2</x:v>
      </x:c>
      <x:c r="Q1032" s="13" t="n">
        <x:f>IF(H1032="","",H1032/1000000000)</x:f>
        <x:v>1.6</x:v>
      </x:c>
      <x:c r="R1032" s="13" t="n">
        <x:f>IF(I1032="","",I1032/1000000)</x:f>
        <x:v>15.238095238095239</x:v>
      </x:c>
    </x:row>
    <x:row r="1033" ht="21" customHeight="1">
      <x:c r="A1033" s="10" t="n">
        <x:v>1138</x:v>
      </x:c>
      <x:c r="B1033" s="2" t="str">
        <x:v>e5deb02febfbb1336d56</x:v>
      </x:c>
      <x:c r="C1033" s="2" t="str">
        <x:v>Long An</x:v>
      </x:c>
      <x:c r="D1033" s="2" t="str">
        <x:v>Huyện Đức Hòa</x:v>
      </x:c>
      <x:c r="E1033" s="2" t="str">
        <x:v>land</x:v>
      </x:c>
      <x:c r="F1033" s="2" t="str">
        <x:v>sale</x:v>
      </x:c>
      <x:c r="G1033" s="11" t="n">
        <x:v>64</x:v>
      </x:c>
      <x:c r="H1033" s="12" t="n">
        <x:v>200000000</x:v>
      </x:c>
      <x:c r="I1033" s="12" t="n">
        <x:v>3125000</x:v>
      </x:c>
      <x:c r="J1033" s="2" t="str">
        <x:v>total</x:v>
      </x:c>
      <x:c r="K1033" s="2" t="str">
        <x:v>top_level_area</x:v>
      </x:c>
      <x:c r="L1033" s="2" t="str">
        <x:v>property_type_inferred_from_title</x:v>
      </x:c>
      <x:c r="M1033" s="10" t="n">
        <x:v>0</x:v>
      </x:c>
      <x:c r="N1033" s="10" t="n">
        <x:v>0</x:v>
      </x:c>
      <x:c r="O1033" s="2" t="str">
        <x:v>Long An|land</x:v>
      </x:c>
      <x:c r="P1033" s="10" t="n">
        <x:v>2</x:v>
      </x:c>
      <x:c r="Q1033" s="13" t="n">
        <x:f>IF(H1033="","",H1033/1000000000)</x:f>
        <x:v>0.2</x:v>
      </x:c>
      <x:c r="R1033" s="13" t="n">
        <x:f>IF(I1033="","",I1033/1000000)</x:f>
        <x:v>3.125</x:v>
      </x:c>
    </x:row>
    <x:row r="1034" ht="21" customHeight="1">
      <x:c r="A1034" s="10" t="n">
        <x:v>1139</x:v>
      </x:c>
      <x:c r="B1034" s="2" t="str">
        <x:v>e4bcb0eda4ccb678e46e</x:v>
      </x:c>
      <x:c r="C1034" s="2" t="str">
        <x:v>Tp Hồ Chí Minh</x:v>
      </x:c>
      <x:c r="D1034" s="2" t="str">
        <x:v>Quận Tân Bình</x:v>
      </x:c>
      <x:c r="E1034" s="2" t="str">
        <x:v>other_unknown</x:v>
      </x:c>
      <x:c r="F1034" s="2" t="str">
        <x:v>sale_assumed</x:v>
      </x:c>
      <x:c r="G1034" s="11" t="n">
        <x:v>44</x:v>
      </x:c>
      <x:c r="H1034" s="12" t="n">
        <x:v>9300000000</x:v>
      </x:c>
      <x:c r="I1034" s="12" t="n">
        <x:v>211363636.36363637</x:v>
      </x:c>
      <x:c r="J1034" s="2" t="str">
        <x:v>total</x:v>
      </x:c>
      <x:c r="K1034" s="2" t="str">
        <x:v>top_level_area</x:v>
      </x:c>
      <x:c r="L1034" s="2" t="str">
        <x:v>property_type_inferred_from_title;rental_income_mentioned;transaction_assumed_sale_from_dataset_context;unknown_property_type</x:v>
      </x:c>
      <x:c r="M1034" s="10" t="n">
        <x:v>1</x:v>
      </x:c>
      <x:c r="N1034" s="10" t="n">
        <x:v>1</x:v>
      </x:c>
      <x:c r="O1034" s="2" t="str">
        <x:v>Tp Hồ Chí Minh|other_unknown</x:v>
      </x:c>
      <x:c r="P1034" s="10" t="n">
        <x:v>-1</x:v>
      </x:c>
      <x:c r="Q1034" s="13" t="n">
        <x:f>IF(H1034="","",H1034/1000000000)</x:f>
        <x:v>9.3</x:v>
      </x:c>
      <x:c r="R1034" s="13" t="n">
        <x:f>IF(I1034="","",I1034/1000000)</x:f>
        <x:v>211.36363636363637</x:v>
      </x:c>
    </x:row>
    <x:row r="1035" ht="21" customHeight="1">
      <x:c r="A1035" s="10" t="n">
        <x:v>1141</x:v>
      </x:c>
      <x:c r="B1035" s="2" t="str">
        <x:v>a326ba4e01ea7642d09c</x:v>
      </x:c>
      <x:c r="C1035" s="2" t="str">
        <x:v>Tp Hồ Chí Minh</x:v>
      </x:c>
      <x:c r="D1035" s="2" t="str">
        <x:v>Quận Gò Vấp</x:v>
      </x:c>
      <x:c r="E1035" s="2" t="str">
        <x:v>house</x:v>
      </x:c>
      <x:c r="F1035" s="2" t="str">
        <x:v>sale_assumed</x:v>
      </x:c>
      <x:c r="G1035" s="11" t="n">
        <x:v>72</x:v>
      </x:c>
      <x:c r="H1035" s="12" t="n">
        <x:v>10200000000</x:v>
      </x:c>
      <x:c r="I1035" s="12" t="n">
        <x:v>141666666.66666666</x:v>
      </x:c>
      <x:c r="J1035" s="2" t="str">
        <x:v>total</x:v>
      </x:c>
      <x:c r="K1035" s="2" t="str">
        <x:v>top_level_area</x:v>
      </x:c>
      <x:c r="L1035" s="2" t="str">
        <x:v>property_type_inferred_from_title;transaction_assumed_sale_from_dataset_context</x:v>
      </x:c>
      <x:c r="M1035" s="10" t="n">
        <x:v>0</x:v>
      </x:c>
      <x:c r="N1035" s="10" t="n">
        <x:v>0</x:v>
      </x:c>
      <x:c r="O1035" s="2" t="str">
        <x:v>Tp Hồ Chí Minh|house</x:v>
      </x:c>
      <x:c r="P1035" s="10" t="n">
        <x:v>2</x:v>
      </x:c>
      <x:c r="Q1035" s="13" t="n">
        <x:f>IF(H1035="","",H1035/1000000000)</x:f>
        <x:v>10.2</x:v>
      </x:c>
      <x:c r="R1035" s="13" t="n">
        <x:f>IF(I1035="","",I1035/1000000)</x:f>
        <x:v>141.66666666666666</x:v>
      </x:c>
    </x:row>
    <x:row r="1036" ht="21" customHeight="1">
      <x:c r="A1036" s="10" t="n">
        <x:v>1142</x:v>
      </x:c>
      <x:c r="B1036" s="2" t="str">
        <x:v>fa462e66c0a320a7885b</x:v>
      </x:c>
      <x:c r="C1036" s="2" t="str">
        <x:v>Cần Thơ</x:v>
      </x:c>
      <x:c r="D1036" s="2" t="str">
        <x:v>Quận Ninh Kiều</x:v>
      </x:c>
      <x:c r="E1036" s="2" t="str">
        <x:v>house</x:v>
      </x:c>
      <x:c r="F1036" s="2" t="str">
        <x:v>sale</x:v>
      </x:c>
      <x:c r="G1036" s="11" t="n">
        <x:v>40</x:v>
      </x:c>
      <x:c r="H1036" s="12" t="n">
        <x:v>2620000000</x:v>
      </x:c>
      <x:c r="I1036" s="12" t="n">
        <x:v>65500000</x:v>
      </x:c>
      <x:c r="J1036" s="2" t="str">
        <x:v>total</x:v>
      </x:c>
      <x:c r="K1036" s="2" t="str">
        <x:v>top_level_area</x:v>
      </x:c>
      <x:c r="L1036" s="2" t="str">
        <x:v>property_type_inferred_from_title</x:v>
      </x:c>
      <x:c r="M1036" s="10" t="n">
        <x:v>0</x:v>
      </x:c>
      <x:c r="N1036" s="10" t="n">
        <x:v>0</x:v>
      </x:c>
      <x:c r="O1036" s="2" t="str">
        <x:v>Cần Thơ|house</x:v>
      </x:c>
      <x:c r="P1036" s="10" t="n">
        <x:v>2</x:v>
      </x:c>
      <x:c r="Q1036" s="13" t="n">
        <x:f>IF(H1036="","",H1036/1000000000)</x:f>
        <x:v>2.62</x:v>
      </x:c>
      <x:c r="R1036" s="13" t="n">
        <x:f>IF(I1036="","",I1036/1000000)</x:f>
        <x:v>65.5</x:v>
      </x:c>
    </x:row>
    <x:row r="1037" ht="21" customHeight="1">
      <x:c r="A1037" s="10" t="n">
        <x:v>1143</x:v>
      </x:c>
      <x:c r="B1037" s="2" t="str">
        <x:v>1a995af5db1408f0d700</x:v>
      </x:c>
      <x:c r="C1037" s="2" t="str">
        <x:v>Tp Hồ Chí Minh</x:v>
      </x:c>
      <x:c r="D1037" s="2" t="str">
        <x:v>Quận 12</x:v>
      </x:c>
      <x:c r="E1037" s="2" t="str">
        <x:v>house</x:v>
      </x:c>
      <x:c r="F1037" s="2" t="str">
        <x:v>sale_assumed</x:v>
      </x:c>
      <x:c r="G1037" s="11" t="n">
        <x:v>56</x:v>
      </x:c>
      <x:c r="H1037" s="12" t="n">
        <x:v>2580000000</x:v>
      </x:c>
      <x:c r="I1037" s="12" t="n">
        <x:v>46071428.571428575</x:v>
      </x:c>
      <x:c r="J1037" s="2" t="str">
        <x:v>total</x:v>
      </x:c>
      <x:c r="K1037" s="2" t="str">
        <x:v>top_level_area</x:v>
      </x:c>
      <x:c r="L1037" s="2" t="str">
        <x:v>property_type_inferred_from_title;transaction_assumed_sale_from_dataset_context</x:v>
      </x:c>
      <x:c r="M1037" s="10" t="n">
        <x:v>0</x:v>
      </x:c>
      <x:c r="N1037" s="10" t="n">
        <x:v>0</x:v>
      </x:c>
      <x:c r="O1037" s="2" t="str">
        <x:v>Tp Hồ Chí Minh|house</x:v>
      </x:c>
      <x:c r="P1037" s="10" t="n">
        <x:v>2</x:v>
      </x:c>
      <x:c r="Q1037" s="13" t="n">
        <x:f>IF(H1037="","",H1037/1000000000)</x:f>
        <x:v>2.58</x:v>
      </x:c>
      <x:c r="R1037" s="13" t="n">
        <x:f>IF(I1037="","",I1037/1000000)</x:f>
        <x:v>46.07142857142858</x:v>
      </x:c>
    </x:row>
    <x:row r="1038" ht="21" customHeight="1">
      <x:c r="A1038" s="10" t="n">
        <x:v>1144</x:v>
      </x:c>
      <x:c r="B1038" s="2" t="str">
        <x:v>735547d48945a6ca81b2</x:v>
      </x:c>
      <x:c r="C1038" s="2" t="str">
        <x:v>Tp Hồ Chí Minh</x:v>
      </x:c>
      <x:c r="D1038" s="2" t="str">
        <x:v>Quận Tân Bình</x:v>
      </x:c>
      <x:c r="E1038" s="2" t="str">
        <x:v>house</x:v>
      </x:c>
      <x:c r="F1038" s="2" t="str">
        <x:v>sale</x:v>
      </x:c>
      <x:c r="G1038" s="11" t="n">
        <x:v>40</x:v>
      </x:c>
      <x:c r="H1038" s="12" t="n">
        <x:v>13500000000</x:v>
      </x:c>
      <x:c r="I1038" s="12" t="n">
        <x:v>337500000</x:v>
      </x:c>
      <x:c r="J1038" s="2" t="str">
        <x:v>total</x:v>
      </x:c>
      <x:c r="K1038" s="2" t="str">
        <x:v>top_level_area</x:v>
      </x:c>
      <x:c r="L1038" s="2" t="str">
        <x:v>property_type_inferred_from_title</x:v>
      </x:c>
      <x:c r="M1038" s="10" t="n">
        <x:v>1</x:v>
      </x:c>
      <x:c r="N1038" s="10" t="n">
        <x:v>1</x:v>
      </x:c>
      <x:c r="O1038" s="2" t="str">
        <x:v>Tp Hồ Chí Minh|house</x:v>
      </x:c>
      <x:c r="P1038" s="10" t="n">
        <x:v>-1</x:v>
      </x:c>
      <x:c r="Q1038" s="13" t="n">
        <x:f>IF(H1038="","",H1038/1000000000)</x:f>
        <x:v>13.5</x:v>
      </x:c>
      <x:c r="R1038" s="13" t="n">
        <x:f>IF(I1038="","",I1038/1000000)</x:f>
        <x:v>337.5</x:v>
      </x:c>
    </x:row>
    <x:row r="1039" ht="21" customHeight="1">
      <x:c r="A1039" s="10" t="n">
        <x:v>1146</x:v>
      </x:c>
      <x:c r="B1039" s="2" t="str">
        <x:v>5265d8884dee71aa7325</x:v>
      </x:c>
      <x:c r="C1039" s="2" t="str">
        <x:v>Quảng Ngãi</x:v>
      </x:c>
      <x:c r="D1039" s="2" t="str">
        <x:v>Huyện Nghĩa Hành</x:v>
      </x:c>
      <x:c r="E1039" s="2" t="str">
        <x:v>other_unknown</x:v>
      </x:c>
      <x:c r="F1039" s="2" t="str">
        <x:v>sale_assumed</x:v>
      </x:c>
      <x:c r="G1039" s="11" t="n">
        <x:v>194</x:v>
      </x:c>
      <x:c r="H1039" s="12" t="n">
        <x:v>265000000</x:v>
      </x:c>
      <x:c r="I1039" s="12" t="n">
        <x:v>1365979.381443299</x:v>
      </x:c>
      <x:c r="J1039" s="2" t="str">
        <x:v>total</x:v>
      </x:c>
      <x:c r="K1039" s="2" t="str">
        <x:v>top_level_area</x:v>
      </x:c>
      <x:c r="L1039" s="2" t="str">
        <x:v>property_type_inferred_from_title;transaction_assumed_sale_from_dataset_context;unknown_property_type</x:v>
      </x:c>
      <x:c r="M1039" s="10" t="n">
        <x:v>0</x:v>
      </x:c>
      <x:c r="N1039" s="10" t="n">
        <x:v>0</x:v>
      </x:c>
      <x:c r="O1039" s="2" t="str">
        <x:v>other_unknown</x:v>
      </x:c>
      <x:c r="P1039" s="10" t="n">
        <x:v>1</x:v>
      </x:c>
      <x:c r="Q1039" s="13" t="n">
        <x:f>IF(H1039="","",H1039/1000000000)</x:f>
        <x:v>0.265</x:v>
      </x:c>
      <x:c r="R1039" s="13" t="n">
        <x:f>IF(I1039="","",I1039/1000000)</x:f>
        <x:v>1.3659793814432988</x:v>
      </x:c>
    </x:row>
    <x:row r="1040" ht="21" customHeight="1">
      <x:c r="A1040" s="10" t="n">
        <x:v>1147</x:v>
      </x:c>
      <x:c r="B1040" s="2" t="str">
        <x:v>6c2e684d2a3806df1ca7</x:v>
      </x:c>
      <x:c r="C1040" s="2" t="str">
        <x:v>Tp Hồ Chí Minh</x:v>
      </x:c>
      <x:c r="D1040" s="2" t="str">
        <x:v>Quận 8</x:v>
      </x:c>
      <x:c r="E1040" s="2" t="str">
        <x:v>house</x:v>
      </x:c>
      <x:c r="F1040" s="2" t="str">
        <x:v>sale</x:v>
      </x:c>
      <x:c r="G1040" s="11" t="n">
        <x:v>60</x:v>
      </x:c>
      <x:c r="H1040" s="12" t="n">
        <x:v>2150000000</x:v>
      </x:c>
      <x:c r="I1040" s="12" t="n">
        <x:v>35833333.333333336</x:v>
      </x:c>
      <x:c r="J1040" s="2" t="str">
        <x:v>total</x:v>
      </x:c>
      <x:c r="K1040" s="2" t="str">
        <x:v>top_level_area</x:v>
      </x:c>
      <x:c r="L1040" s="2" t="str">
        <x:v>property_type_inferred_from_title</x:v>
      </x:c>
      <x:c r="M1040" s="10" t="n">
        <x:v>0</x:v>
      </x:c>
      <x:c r="N1040" s="10" t="n">
        <x:v>0</x:v>
      </x:c>
      <x:c r="O1040" s="2" t="str">
        <x:v>Tp Hồ Chí Minh|house</x:v>
      </x:c>
      <x:c r="P1040" s="10" t="n">
        <x:v>2</x:v>
      </x:c>
      <x:c r="Q1040" s="13" t="n">
        <x:f>IF(H1040="","",H1040/1000000000)</x:f>
        <x:v>2.15</x:v>
      </x:c>
      <x:c r="R1040" s="13" t="n">
        <x:f>IF(I1040="","",I1040/1000000)</x:f>
        <x:v>35.833333333333336</x:v>
      </x:c>
    </x:row>
    <x:row r="1041" ht="21" customHeight="1">
      <x:c r="A1041" s="10" t="n">
        <x:v>1148</x:v>
      </x:c>
      <x:c r="B1041" s="2" t="str">
        <x:v>45020bb8b7d86faf18ce</x:v>
      </x:c>
      <x:c r="C1041" s="2" t="str">
        <x:v>Cần Thơ</x:v>
      </x:c>
      <x:c r="D1041" s="2" t="str">
        <x:v>Quận Bình Thuỷ</x:v>
      </x:c>
      <x:c r="E1041" s="2" t="str">
        <x:v>land</x:v>
      </x:c>
      <x:c r="F1041" s="2" t="str">
        <x:v>sale_assumed</x:v>
      </x:c>
      <x:c r="G1041" s="11" t="n">
        <x:v>250</x:v>
      </x:c>
      <x:c r="H1041" s="12" t="n">
        <x:v>880000000</x:v>
      </x:c>
      <x:c r="I1041" s="12" t="n">
        <x:v>3520000</x:v>
      </x:c>
      <x:c r="J1041" s="2" t="str">
        <x:v>total</x:v>
      </x:c>
      <x:c r="K1041" s="2" t="str">
        <x:v>top_level_area</x:v>
      </x:c>
      <x:c r="L1041" s="2" t="str">
        <x:v>property_type_inferred_from_title;transaction_assumed_sale_from_dataset_context</x:v>
      </x:c>
      <x:c r="M1041" s="10" t="n">
        <x:v>0</x:v>
      </x:c>
      <x:c r="N1041" s="10" t="n">
        <x:v>0</x:v>
      </x:c>
      <x:c r="O1041" s="2" t="str">
        <x:v>Cần Thơ|land</x:v>
      </x:c>
      <x:c r="P1041" s="10" t="n">
        <x:v>1</x:v>
      </x:c>
      <x:c r="Q1041" s="13" t="n">
        <x:f>IF(H1041="","",H1041/1000000000)</x:f>
        <x:v>0.88</x:v>
      </x:c>
      <x:c r="R1041" s="13" t="n">
        <x:f>IF(I1041="","",I1041/1000000)</x:f>
        <x:v>3.52</x:v>
      </x:c>
    </x:row>
    <x:row r="1042" ht="21" customHeight="1">
      <x:c r="A1042" s="10" t="n">
        <x:v>1149</x:v>
      </x:c>
      <x:c r="B1042" s="2" t="str">
        <x:v>77adc05fdba4e110e5e3</x:v>
      </x:c>
      <x:c r="C1042" s="2" t="str">
        <x:v>Bình Thuận</x:v>
      </x:c>
      <x:c r="D1042" s="2" t="str">
        <x:v>Huyện Bắc Bình</x:v>
      </x:c>
      <x:c r="E1042" s="2" t="str">
        <x:v>land</x:v>
      </x:c>
      <x:c r="F1042" s="2" t="str">
        <x:v>sale_assumed</x:v>
      </x:c>
      <x:c r="G1042" s="11" t="n">
        <x:v>10610</x:v>
      </x:c>
      <x:c r="H1042" s="12" t="n">
        <x:v>750000000</x:v>
      </x:c>
      <x:c r="I1042" s="12" t="n">
        <x:v>70688.0301602262</x:v>
      </x:c>
      <x:c r="J1042" s="2" t="str">
        <x:v>total</x:v>
      </x:c>
      <x:c r="K1042" s="2" t="str">
        <x:v>top_level_area</x:v>
      </x:c>
      <x:c r="L1042" s="2" t="str">
        <x:v>dot_thousands_convention;property_type_inferred_from_title;transaction_assumed_sale_from_dataset_context</x:v>
      </x:c>
      <x:c r="M1042" s="10" t="n">
        <x:v>0</x:v>
      </x:c>
      <x:c r="N1042" s="10" t="n">
        <x:v>0</x:v>
      </x:c>
      <x:c r="O1042" s="2" t="str">
        <x:v>land</x:v>
      </x:c>
      <x:c r="P1042" s="10" t="n">
        <x:v>1</x:v>
      </x:c>
      <x:c r="Q1042" s="13" t="n">
        <x:f>IF(H1042="","",H1042/1000000000)</x:f>
        <x:v>0.75</x:v>
      </x:c>
      <x:c r="R1042" s="13" t="n">
        <x:f>IF(I1042="","",I1042/1000000)</x:f>
        <x:v>0.0706880301602262</x:v>
      </x:c>
    </x:row>
    <x:row r="1043" ht="21" customHeight="1">
      <x:c r="A1043" s="10" t="n">
        <x:v>1151</x:v>
      </x:c>
      <x:c r="B1043" s="2" t="str">
        <x:v>71cd9d4f64591cb88899</x:v>
      </x:c>
      <x:c r="C1043" s="2" t="str">
        <x:v>Tp Hồ Chí Minh</x:v>
      </x:c>
      <x:c r="D1043" s="2" t="str">
        <x:v>Quận Tân Phú</x:v>
      </x:c>
      <x:c r="E1043" s="2" t="str">
        <x:v>other_unknown</x:v>
      </x:c>
      <x:c r="F1043" s="2" t="str">
        <x:v>sale_assumed</x:v>
      </x:c>
      <x:c r="G1043" s="11" t="n">
        <x:v>64</x:v>
      </x:c>
      <x:c r="H1043" s="12" t="n">
        <x:v>5200000000</x:v>
      </x:c>
      <x:c r="I1043" s="12" t="n">
        <x:v>81250000</x:v>
      </x:c>
      <x:c r="J1043" s="2" t="str">
        <x:v>total</x:v>
      </x:c>
      <x:c r="K1043" s="2" t="str">
        <x:v>top_level_area</x:v>
      </x:c>
      <x:c r="L1043" s="2" t="str">
        <x:v>property_type_inferred_from_title;transaction_assumed_sale_from_dataset_context;unknown_property_type</x:v>
      </x:c>
      <x:c r="M1043" s="10" t="n">
        <x:v>0</x:v>
      </x:c>
      <x:c r="N1043" s="10" t="n">
        <x:v>0</x:v>
      </x:c>
      <x:c r="O1043" s="2" t="str">
        <x:v>Tp Hồ Chí Minh|other_unknown</x:v>
      </x:c>
      <x:c r="P1043" s="10" t="n">
        <x:v>2</x:v>
      </x:c>
      <x:c r="Q1043" s="13" t="n">
        <x:f>IF(H1043="","",H1043/1000000000)</x:f>
        <x:v>5.2</x:v>
      </x:c>
      <x:c r="R1043" s="13" t="n">
        <x:f>IF(I1043="","",I1043/1000000)</x:f>
        <x:v>81.25</x:v>
      </x:c>
    </x:row>
    <x:row r="1044" ht="21" customHeight="1">
      <x:c r="A1044" s="10" t="n">
        <x:v>1152</x:v>
      </x:c>
      <x:c r="B1044" s="2" t="str">
        <x:v>dc8c797bc9b0605f6bb3</x:v>
      </x:c>
      <x:c r="C1044" s="2" t="str">
        <x:v>Tp Hồ Chí Minh</x:v>
      </x:c>
      <x:c r="D1044" s="2" t="str">
        <x:v>Quận 12</x:v>
      </x:c>
      <x:c r="E1044" s="2" t="str">
        <x:v>other_unknown</x:v>
      </x:c>
      <x:c r="F1044" s="2" t="str">
        <x:v>sale_with_rental_income</x:v>
      </x:c>
      <x:c r="G1044" s="11" t="n">
        <x:v>63</x:v>
      </x:c>
      <x:c r="H1044" s="12" t="n">
        <x:v>4390000000</x:v>
      </x:c>
      <x:c r="I1044" s="12" t="n">
        <x:v>69682539.68253969</x:v>
      </x:c>
      <x:c r="J1044" s="2" t="str">
        <x:v>total</x:v>
      </x:c>
      <x:c r="K1044" s="2" t="str">
        <x:v>top_level_area</x:v>
      </x:c>
      <x:c r="L1044" s="2" t="str">
        <x:v>property_type_inferred_from_title;rental_income_mentioned;unknown_property_type</x:v>
      </x:c>
      <x:c r="M1044" s="10" t="n">
        <x:v>0</x:v>
      </x:c>
      <x:c r="N1044" s="10" t="n">
        <x:v>0</x:v>
      </x:c>
      <x:c r="O1044" s="2" t="str">
        <x:v>Tp Hồ Chí Minh|other_unknown</x:v>
      </x:c>
      <x:c r="P1044" s="10" t="n">
        <x:v>2</x:v>
      </x:c>
      <x:c r="Q1044" s="13" t="n">
        <x:f>IF(H1044="","",H1044/1000000000)</x:f>
        <x:v>4.39</x:v>
      </x:c>
      <x:c r="R1044" s="13" t="n">
        <x:f>IF(I1044="","",I1044/1000000)</x:f>
        <x:v>69.68253968253968</x:v>
      </x:c>
    </x:row>
    <x:row r="1045" ht="21" customHeight="1">
      <x:c r="A1045" s="10" t="n">
        <x:v>1153</x:v>
      </x:c>
      <x:c r="B1045" s="2" t="str">
        <x:v>6491f902073d083f73a8</x:v>
      </x:c>
      <x:c r="C1045" s="2" t="str">
        <x:v>Tp Hồ Chí Minh</x:v>
      </x:c>
      <x:c r="D1045" s="2" t="str">
        <x:v>Quận 8</x:v>
      </x:c>
      <x:c r="E1045" s="2" t="str">
        <x:v>house</x:v>
      </x:c>
      <x:c r="F1045" s="2" t="str">
        <x:v>sale</x:v>
      </x:c>
      <x:c r="G1045" s="11" t="n">
        <x:v>60</x:v>
      </x:c>
      <x:c r="H1045" s="12" t="n">
        <x:v>7800000000</x:v>
      </x:c>
      <x:c r="I1045" s="12" t="n">
        <x:v>130000000</x:v>
      </x:c>
      <x:c r="J1045" s="2" t="str">
        <x:v>total</x:v>
      </x:c>
      <x:c r="K1045" s="2" t="str">
        <x:v>top_level_area</x:v>
      </x:c>
      <x:c r="L1045" s="2" t="str">
        <x:v>property_type_inferred_from_title</x:v>
      </x:c>
      <x:c r="M1045" s="10" t="n">
        <x:v>0</x:v>
      </x:c>
      <x:c r="N1045" s="10" t="n">
        <x:v>0</x:v>
      </x:c>
      <x:c r="O1045" s="2" t="str">
        <x:v>Tp Hồ Chí Minh|house</x:v>
      </x:c>
      <x:c r="P1045" s="10" t="n">
        <x:v>2</x:v>
      </x:c>
      <x:c r="Q1045" s="13" t="n">
        <x:f>IF(H1045="","",H1045/1000000000)</x:f>
        <x:v>7.8</x:v>
      </x:c>
      <x:c r="R1045" s="13" t="n">
        <x:f>IF(I1045="","",I1045/1000000)</x:f>
        <x:v>130</x:v>
      </x:c>
    </x:row>
    <x:row r="1046" ht="21" customHeight="1">
      <x:c r="A1046" s="10" t="n">
        <x:v>1154</x:v>
      </x:c>
      <x:c r="B1046" s="2" t="str">
        <x:v>565d098af470bb72bee5</x:v>
      </x:c>
      <x:c r="C1046" s="2" t="str">
        <x:v>Tp Hồ Chí Minh</x:v>
      </x:c>
      <x:c r="D1046" s="2" t="str">
        <x:v>Quận Tân Bình</x:v>
      </x:c>
      <x:c r="E1046" s="2" t="str">
        <x:v>house</x:v>
      </x:c>
      <x:c r="F1046" s="2" t="str">
        <x:v>sale</x:v>
      </x:c>
      <x:c r="G1046" s="11" t="n">
        <x:v>45</x:v>
      </x:c>
      <x:c r="H1046" s="12" t="n">
        <x:v>1670000000</x:v>
      </x:c>
      <x:c r="I1046" s="12" t="n">
        <x:v>37111111.11111111</x:v>
      </x:c>
      <x:c r="J1046" s="2" t="str">
        <x:v>total</x:v>
      </x:c>
      <x:c r="K1046" s="2" t="str">
        <x:v>top_level_area</x:v>
      </x:c>
      <x:c r="L1046" s="2" t="str">
        <x:v>property_type_inferred_from_title</x:v>
      </x:c>
      <x:c r="M1046" s="10" t="n">
        <x:v>0</x:v>
      </x:c>
      <x:c r="N1046" s="10" t="n">
        <x:v>0</x:v>
      </x:c>
      <x:c r="O1046" s="2" t="str">
        <x:v>Tp Hồ Chí Minh|house</x:v>
      </x:c>
      <x:c r="P1046" s="10" t="n">
        <x:v>2</x:v>
      </x:c>
      <x:c r="Q1046" s="13" t="n">
        <x:f>IF(H1046="","",H1046/1000000000)</x:f>
        <x:v>1.67</x:v>
      </x:c>
      <x:c r="R1046" s="13" t="n">
        <x:f>IF(I1046="","",I1046/1000000)</x:f>
        <x:v>37.111111111111114</x:v>
      </x:c>
    </x:row>
    <x:row r="1047" ht="21" customHeight="1">
      <x:c r="A1047" s="10" t="n">
        <x:v>1155</x:v>
      </x:c>
      <x:c r="B1047" s="2" t="str">
        <x:v>671f3e30ca67893986ef</x:v>
      </x:c>
      <x:c r="C1047" s="2" t="str">
        <x:v>Tp Hồ Chí Minh</x:v>
      </x:c>
      <x:c r="D1047" s="2" t="str">
        <x:v>Quận 8</x:v>
      </x:c>
      <x:c r="E1047" s="2" t="str">
        <x:v>house</x:v>
      </x:c>
      <x:c r="F1047" s="2" t="str">
        <x:v>sale</x:v>
      </x:c>
      <x:c r="G1047" s="11" t="n">
        <x:v>15</x:v>
      </x:c>
      <x:c r="H1047" s="12" t="n">
        <x:v>820000000</x:v>
      </x:c>
      <x:c r="I1047" s="12" t="n">
        <x:v>54666666.666666664</x:v>
      </x:c>
      <x:c r="J1047" s="2" t="str">
        <x:v>total</x:v>
      </x:c>
      <x:c r="K1047" s="2" t="str">
        <x:v>top_level_area</x:v>
      </x:c>
      <x:c r="L1047" s="2" t="str">
        <x:v>property_type_inferred_from_title</x:v>
      </x:c>
      <x:c r="M1047" s="10" t="n">
        <x:v>0</x:v>
      </x:c>
      <x:c r="N1047" s="10" t="n">
        <x:v>0</x:v>
      </x:c>
      <x:c r="O1047" s="2" t="str">
        <x:v>Tp Hồ Chí Minh|house</x:v>
      </x:c>
      <x:c r="P1047" s="10" t="n">
        <x:v>2</x:v>
      </x:c>
      <x:c r="Q1047" s="13" t="n">
        <x:f>IF(H1047="","",H1047/1000000000)</x:f>
        <x:v>0.82</x:v>
      </x:c>
      <x:c r="R1047" s="13" t="n">
        <x:f>IF(I1047="","",I1047/1000000)</x:f>
        <x:v>54.666666666666664</x:v>
      </x:c>
    </x:row>
    <x:row r="1048" ht="21" customHeight="1">
      <x:c r="A1048" s="10" t="n">
        <x:v>1156</x:v>
      </x:c>
      <x:c r="B1048" s="2" t="str">
        <x:v>05c430ac320c6e5626b7</x:v>
      </x:c>
      <x:c r="C1048" s="2" t="str">
        <x:v>Tp Hồ Chí Minh</x:v>
      </x:c>
      <x:c r="D1048" s="2" t="str">
        <x:v>Huyện Hóc Môn</x:v>
      </x:c>
      <x:c r="E1048" s="2" t="str">
        <x:v>house</x:v>
      </x:c>
      <x:c r="F1048" s="2" t="str">
        <x:v>sale_assumed</x:v>
      </x:c>
      <x:c r="G1048" s="11" t="n">
        <x:v>44</x:v>
      </x:c>
      <x:c r="H1048" s="12" t="n">
        <x:v>215000000</x:v>
      </x:c>
      <x:c r="I1048" s="12" t="n">
        <x:v>4886363.636363637</x:v>
      </x:c>
      <x:c r="J1048" s="2" t="str">
        <x:v>total</x:v>
      </x:c>
      <x:c r="K1048" s="2" t="str">
        <x:v>top_level_area</x:v>
      </x:c>
      <x:c r="L1048" s="2" t="str">
        <x:v>property_type_inferred_from_title;transaction_assumed_sale_from_dataset_context</x:v>
      </x:c>
      <x:c r="M1048" s="10" t="n">
        <x:v>0</x:v>
      </x:c>
      <x:c r="N1048" s="10" t="n">
        <x:v>0</x:v>
      </x:c>
      <x:c r="O1048" s="2" t="str">
        <x:v>Tp Hồ Chí Minh|house</x:v>
      </x:c>
      <x:c r="P1048" s="10" t="n">
        <x:v>2</x:v>
      </x:c>
      <x:c r="Q1048" s="13" t="n">
        <x:f>IF(H1048="","",H1048/1000000000)</x:f>
        <x:v>0.215</x:v>
      </x:c>
      <x:c r="R1048" s="13" t="n">
        <x:f>IF(I1048="","",I1048/1000000)</x:f>
        <x:v>4.886363636363637</x:v>
      </x:c>
    </x:row>
    <x:row r="1049" ht="21" customHeight="1">
      <x:c r="A1049" s="10" t="n">
        <x:v>1157</x:v>
      </x:c>
      <x:c r="B1049" s="2" t="str">
        <x:v>ecb35fbb2a92ba70b88e</x:v>
      </x:c>
      <x:c r="C1049" s="2" t="str">
        <x:v>Tp Hồ Chí Minh</x:v>
      </x:c>
      <x:c r="D1049" s="2" t="str">
        <x:v>Quận 12</x:v>
      </x:c>
      <x:c r="E1049" s="2" t="str">
        <x:v>house</x:v>
      </x:c>
      <x:c r="F1049" s="2" t="str">
        <x:v>sale</x:v>
      </x:c>
      <x:c r="G1049" s="11" t="n">
        <x:v>30</x:v>
      </x:c>
      <x:c r="H1049" s="12" t="n">
        <x:v>1750000000</x:v>
      </x:c>
      <x:c r="I1049" s="12" t="n">
        <x:v>58333333.333333336</x:v>
      </x:c>
      <x:c r="J1049" s="2" t="str">
        <x:v>total</x:v>
      </x:c>
      <x:c r="K1049" s="2" t="str">
        <x:v>top_level_area</x:v>
      </x:c>
      <x:c r="L1049" s="2" t="str">
        <x:v>property_type_inferred_from_title</x:v>
      </x:c>
      <x:c r="M1049" s="10" t="n">
        <x:v>0</x:v>
      </x:c>
      <x:c r="N1049" s="10" t="n">
        <x:v>0</x:v>
      </x:c>
      <x:c r="O1049" s="2" t="str">
        <x:v>Tp Hồ Chí Minh|house</x:v>
      </x:c>
      <x:c r="P1049" s="10" t="n">
        <x:v>2</x:v>
      </x:c>
      <x:c r="Q1049" s="13" t="n">
        <x:f>IF(H1049="","",H1049/1000000000)</x:f>
        <x:v>1.75</x:v>
      </x:c>
      <x:c r="R1049" s="13" t="n">
        <x:f>IF(I1049="","",I1049/1000000)</x:f>
        <x:v>58.333333333333336</x:v>
      </x:c>
    </x:row>
    <x:row r="1050" ht="21" customHeight="1">
      <x:c r="A1050" s="10" t="n">
        <x:v>1158</x:v>
      </x:c>
      <x:c r="B1050" s="2" t="str">
        <x:v>6097e1d80b7cf27aa20e</x:v>
      </x:c>
      <x:c r="C1050" s="2" t="str">
        <x:v>Tp Hồ Chí Minh</x:v>
      </x:c>
      <x:c r="D1050" s="2" t="str">
        <x:v>Quận Bình Thạnh</x:v>
      </x:c>
      <x:c r="E1050" s="2" t="str">
        <x:v>house</x:v>
      </x:c>
      <x:c r="F1050" s="2" t="str">
        <x:v>sale</x:v>
      </x:c>
      <x:c r="G1050" s="11" t="n">
        <x:v>65</x:v>
      </x:c>
      <x:c r="H1050" s="12" t="n">
        <x:v>10000000000</x:v>
      </x:c>
      <x:c r="I1050" s="12" t="n">
        <x:v>153846153.84615386</x:v>
      </x:c>
      <x:c r="J1050" s="2" t="str">
        <x:v>total</x:v>
      </x:c>
      <x:c r="K1050" s="2" t="str">
        <x:v>top_level_area</x:v>
      </x:c>
      <x:c r="L1050" s="2" t="str">
        <x:v>property_type_inferred_from_title</x:v>
      </x:c>
      <x:c r="M1050" s="10" t="n">
        <x:v>0</x:v>
      </x:c>
      <x:c r="N1050" s="10" t="n">
        <x:v>0</x:v>
      </x:c>
      <x:c r="O1050" s="2" t="str">
        <x:v>Tp Hồ Chí Minh|house</x:v>
      </x:c>
      <x:c r="P1050" s="10" t="n">
        <x:v>2</x:v>
      </x:c>
      <x:c r="Q1050" s="13" t="n">
        <x:f>IF(H1050="","",H1050/1000000000)</x:f>
        <x:v>10</x:v>
      </x:c>
      <x:c r="R1050" s="13" t="n">
        <x:f>IF(I1050="","",I1050/1000000)</x:f>
        <x:v>153.84615384615387</x:v>
      </x:c>
    </x:row>
    <x:row r="1051" ht="21" customHeight="1">
      <x:c r="A1051" s="10" t="n">
        <x:v>1159</x:v>
      </x:c>
      <x:c r="B1051" s="2" t="str">
        <x:v>ec3dc7003085ad6c4129</x:v>
      </x:c>
      <x:c r="C1051" s="2" t="str">
        <x:v>Tp Hồ Chí Minh</x:v>
      </x:c>
      <x:c r="D1051" s="2" t="str">
        <x:v>Quận 7</x:v>
      </x:c>
      <x:c r="E1051" s="2" t="str">
        <x:v>house</x:v>
      </x:c>
      <x:c r="F1051" s="2" t="str">
        <x:v>sale</x:v>
      </x:c>
      <x:c r="G1051" s="11" t="n">
        <x:v>20</x:v>
      </x:c>
      <x:c r="H1051" s="12" t="n">
        <x:v>1150000000</x:v>
      </x:c>
      <x:c r="I1051" s="12" t="n">
        <x:v>57500000</x:v>
      </x:c>
      <x:c r="J1051" s="2" t="str">
        <x:v>total</x:v>
      </x:c>
      <x:c r="K1051" s="2" t="str">
        <x:v>top_level_area</x:v>
      </x:c>
      <x:c r="L1051" s="2" t="str">
        <x:v>property_type_inferred_from_title</x:v>
      </x:c>
      <x:c r="M1051" s="10" t="n">
        <x:v>0</x:v>
      </x:c>
      <x:c r="N1051" s="10" t="n">
        <x:v>0</x:v>
      </x:c>
      <x:c r="O1051" s="2" t="str">
        <x:v>Tp Hồ Chí Minh|house</x:v>
      </x:c>
      <x:c r="P1051" s="10" t="n">
        <x:v>2</x:v>
      </x:c>
      <x:c r="Q1051" s="13" t="n">
        <x:f>IF(H1051="","",H1051/1000000000)</x:f>
        <x:v>1.15</x:v>
      </x:c>
      <x:c r="R1051" s="13" t="n">
        <x:f>IF(I1051="","",I1051/1000000)</x:f>
        <x:v>57.5</x:v>
      </x:c>
    </x:row>
    <x:row r="1052" ht="21" customHeight="1">
      <x:c r="A1052" s="10" t="n">
        <x:v>1160</x:v>
      </x:c>
      <x:c r="B1052" s="2" t="str">
        <x:v>a21861090cb3d704d456</x:v>
      </x:c>
      <x:c r="C1052" s="2" t="str">
        <x:v>Tp Hồ Chí Minh</x:v>
      </x:c>
      <x:c r="D1052" s="2" t="str">
        <x:v>Quận Tân Phú</x:v>
      </x:c>
      <x:c r="E1052" s="2" t="str">
        <x:v>other_unknown</x:v>
      </x:c>
      <x:c r="F1052" s="2" t="str">
        <x:v>sale</x:v>
      </x:c>
      <x:c r="G1052" s="11" t="n">
        <x:v>71</x:v>
      </x:c>
      <x:c r="H1052" s="12" t="n">
        <x:v>3500000000</x:v>
      </x:c>
      <x:c r="I1052" s="12" t="n">
        <x:v>49295774.64788733</x:v>
      </x:c>
      <x:c r="J1052" s="2" t="str">
        <x:v>total</x:v>
      </x:c>
      <x:c r="K1052" s="2" t="str">
        <x:v>top_level_area</x:v>
      </x:c>
      <x:c r="L1052" s="2" t="str">
        <x:v>property_type_inferred_from_title;unknown_property_type</x:v>
      </x:c>
      <x:c r="M1052" s="10" t="n">
        <x:v>0</x:v>
      </x:c>
      <x:c r="N1052" s="10" t="n">
        <x:v>0</x:v>
      </x:c>
      <x:c r="O1052" s="2" t="str">
        <x:v>Tp Hồ Chí Minh|other_unknown</x:v>
      </x:c>
      <x:c r="P1052" s="10" t="n">
        <x:v>2</x:v>
      </x:c>
      <x:c r="Q1052" s="13" t="n">
        <x:f>IF(H1052="","",H1052/1000000000)</x:f>
        <x:v>3.5</x:v>
      </x:c>
      <x:c r="R1052" s="13" t="n">
        <x:f>IF(I1052="","",I1052/1000000)</x:f>
        <x:v>49.29577464788733</x:v>
      </x:c>
    </x:row>
    <x:row r="1053" ht="21" customHeight="1">
      <x:c r="A1053" s="10" t="n">
        <x:v>1161</x:v>
      </x:c>
      <x:c r="B1053" s="2" t="str">
        <x:v>705aaeea179435c3ecd2</x:v>
      </x:c>
      <x:c r="C1053" s="2" t="str">
        <x:v>Bình Dương</x:v>
      </x:c>
      <x:c r="D1053" s="2" t="str">
        <x:v>Huyện Bàu Bàng</x:v>
      </x:c>
      <x:c r="E1053" s="2" t="str">
        <x:v>land</x:v>
      </x:c>
      <x:c r="F1053" s="2" t="str">
        <x:v>sale</x:v>
      </x:c>
      <x:c r="G1053" s="11" t="n">
        <x:v>1000</x:v>
      </x:c>
      <x:c r="H1053" s="12" t="n">
        <x:v>770000000</x:v>
      </x:c>
      <x:c r="I1053" s="12" t="n">
        <x:v>770000</x:v>
      </x:c>
      <x:c r="J1053" s="2" t="str">
        <x:v>total</x:v>
      </x:c>
      <x:c r="K1053" s="2" t="str">
        <x:v>top_level_area</x:v>
      </x:c>
      <x:c r="L1053" s="2" t="str">
        <x:v>dot_thousands_convention;property_type_inferred_from_title</x:v>
      </x:c>
      <x:c r="M1053" s="10" t="n">
        <x:v>0</x:v>
      </x:c>
      <x:c r="N1053" s="10" t="n">
        <x:v>0</x:v>
      </x:c>
      <x:c r="O1053" s="2" t="str">
        <x:v>Bình Dương|land</x:v>
      </x:c>
      <x:c r="P1053" s="10" t="n">
        <x:v>1</x:v>
      </x:c>
      <x:c r="Q1053" s="13" t="n">
        <x:f>IF(H1053="","",H1053/1000000000)</x:f>
        <x:v>0.77</x:v>
      </x:c>
      <x:c r="R1053" s="13" t="n">
        <x:f>IF(I1053="","",I1053/1000000)</x:f>
        <x:v>0.77</x:v>
      </x:c>
    </x:row>
    <x:row r="1054" ht="21" customHeight="1">
      <x:c r="A1054" s="10" t="n">
        <x:v>1162</x:v>
      </x:c>
      <x:c r="B1054" s="2" t="str">
        <x:v>6a71b4d74dd66f587ceb</x:v>
      </x:c>
      <x:c r="C1054" s="2" t="str">
        <x:v>Cần Thơ</x:v>
      </x:c>
      <x:c r="D1054" s="2" t="str">
        <x:v>Quận Ninh Kiều</x:v>
      </x:c>
      <x:c r="E1054" s="2" t="str">
        <x:v>house</x:v>
      </x:c>
      <x:c r="F1054" s="2" t="str">
        <x:v>sale</x:v>
      </x:c>
      <x:c r="G1054" s="11" t="n">
        <x:v>66</x:v>
      </x:c>
      <x:c r="H1054" s="12" t="n">
        <x:v>1750000000</x:v>
      </x:c>
      <x:c r="I1054" s="12" t="n">
        <x:v>26515151.515151516</x:v>
      </x:c>
      <x:c r="J1054" s="2" t="str">
        <x:v>total</x:v>
      </x:c>
      <x:c r="K1054" s="2" t="str">
        <x:v>top_level_area</x:v>
      </x:c>
      <x:c r="L1054" s="2" t="str">
        <x:v>property_type_inferred_from_title</x:v>
      </x:c>
      <x:c r="M1054" s="10" t="n">
        <x:v>0</x:v>
      </x:c>
      <x:c r="N1054" s="10" t="n">
        <x:v>0</x:v>
      </x:c>
      <x:c r="O1054" s="2" t="str">
        <x:v>Cần Thơ|house</x:v>
      </x:c>
      <x:c r="P1054" s="10" t="n">
        <x:v>2</x:v>
      </x:c>
      <x:c r="Q1054" s="13" t="n">
        <x:f>IF(H1054="","",H1054/1000000000)</x:f>
        <x:v>1.75</x:v>
      </x:c>
      <x:c r="R1054" s="13" t="n">
        <x:f>IF(I1054="","",I1054/1000000)</x:f>
        <x:v>26.515151515151516</x:v>
      </x:c>
    </x:row>
    <x:row r="1055" ht="21" customHeight="1">
      <x:c r="A1055" s="10" t="n">
        <x:v>1163</x:v>
      </x:c>
      <x:c r="B1055" s="2" t="str">
        <x:v>b4b1ee713569a0b04de2</x:v>
      </x:c>
      <x:c r="C1055" s="2" t="str">
        <x:v>Bình Dương</x:v>
      </x:c>
      <x:c r="D1055" s="2" t="str">
        <x:v>Thị xã Dĩ An</x:v>
      </x:c>
      <x:c r="E1055" s="2" t="str">
        <x:v>land</x:v>
      </x:c>
      <x:c r="F1055" s="2" t="str">
        <x:v>sale_assumed</x:v>
      </x:c>
      <x:c r="G1055" s="11" t="n">
        <x:v>55</x:v>
      </x:c>
      <x:c r="H1055" s="12" t="n">
        <x:v>1350000000</x:v>
      </x:c>
      <x:c r="I1055" s="12" t="n">
        <x:v>24545454.545454547</x:v>
      </x:c>
      <x:c r="J1055" s="2" t="str">
        <x:v>total</x:v>
      </x:c>
      <x:c r="K1055" s="2" t="str">
        <x:v>top_level_area</x:v>
      </x:c>
      <x:c r="L1055" s="2" t="str">
        <x:v>property_type_inferred_from_title;transaction_assumed_sale_from_dataset_context</x:v>
      </x:c>
      <x:c r="M1055" s="10" t="n">
        <x:v>0</x:v>
      </x:c>
      <x:c r="N1055" s="10" t="n">
        <x:v>0</x:v>
      </x:c>
      <x:c r="O1055" s="2" t="str">
        <x:v>Bình Dương|land</x:v>
      </x:c>
      <x:c r="P1055" s="10" t="n">
        <x:v>2</x:v>
      </x:c>
      <x:c r="Q1055" s="13" t="n">
        <x:f>IF(H1055="","",H1055/1000000000)</x:f>
        <x:v>1.35</x:v>
      </x:c>
      <x:c r="R1055" s="13" t="n">
        <x:f>IF(I1055="","",I1055/1000000)</x:f>
        <x:v>24.545454545454547</x:v>
      </x:c>
    </x:row>
    <x:row r="1056" ht="21" customHeight="1">
      <x:c r="A1056" s="10" t="n">
        <x:v>1164</x:v>
      </x:c>
      <x:c r="B1056" s="2" t="str">
        <x:v>85b60556d511092cab41</x:v>
      </x:c>
      <x:c r="C1056" s="2" t="str">
        <x:v>Tp Hồ Chí Minh</x:v>
      </x:c>
      <x:c r="D1056" s="2" t="str">
        <x:v>Quận 7</x:v>
      </x:c>
      <x:c r="E1056" s="2" t="str">
        <x:v>house</x:v>
      </x:c>
      <x:c r="F1056" s="2" t="str">
        <x:v>sale</x:v>
      </x:c>
      <x:c r="G1056" s="11" t="n">
        <x:v>14</x:v>
      </x:c>
      <x:c r="H1056" s="12" t="n">
        <x:v>1190000000</x:v>
      </x:c>
      <x:c r="I1056" s="12" t="n">
        <x:v>85000000</x:v>
      </x:c>
      <x:c r="J1056" s="2" t="str">
        <x:v>total</x:v>
      </x:c>
      <x:c r="K1056" s="2" t="str">
        <x:v>top_level_area</x:v>
      </x:c>
      <x:c r="L1056" s="2" t="str">
        <x:v>property_type_inferred_from_title</x:v>
      </x:c>
      <x:c r="M1056" s="10" t="n">
        <x:v>0</x:v>
      </x:c>
      <x:c r="N1056" s="10" t="n">
        <x:v>0</x:v>
      </x:c>
      <x:c r="O1056" s="2" t="str">
        <x:v>Tp Hồ Chí Minh|house</x:v>
      </x:c>
      <x:c r="P1056" s="10" t="n">
        <x:v>2</x:v>
      </x:c>
      <x:c r="Q1056" s="13" t="n">
        <x:f>IF(H1056="","",H1056/1000000000)</x:f>
        <x:v>1.19</x:v>
      </x:c>
      <x:c r="R1056" s="13" t="n">
        <x:f>IF(I1056="","",I1056/1000000)</x:f>
        <x:v>85</x:v>
      </x:c>
    </x:row>
    <x:row r="1057" ht="21" customHeight="1">
      <x:c r="A1057" s="10" t="n">
        <x:v>1165</x:v>
      </x:c>
      <x:c r="B1057" s="2" t="str">
        <x:v>773f40022ce154e664ca</x:v>
      </x:c>
      <x:c r="C1057" s="2" t="str">
        <x:v>Bà Rịa - Vũng Tàu</x:v>
      </x:c>
      <x:c r="D1057" s="2" t="str">
        <x:v>Huyện Đất Đỏ</x:v>
      </x:c>
      <x:c r="E1057" s="2" t="str">
        <x:v>land</x:v>
      </x:c>
      <x:c r="F1057" s="2" t="str">
        <x:v>sale</x:v>
      </x:c>
      <x:c r="G1057" s="11" t="n">
        <x:v>176</x:v>
      </x:c>
      <x:c r="H1057" s="12" t="n">
        <x:v>665600000</x:v>
      </x:c>
      <x:c r="I1057" s="12" t="n">
        <x:v>3781818.1818181816</x:v>
      </x:c>
      <x:c r="J1057" s="2" t="str">
        <x:v>total</x:v>
      </x:c>
      <x:c r="K1057" s="2" t="str">
        <x:v>top_level_area</x:v>
      </x:c>
      <x:c r="L1057" s="2" t="str">
        <x:v>property_type_inferred_from_title</x:v>
      </x:c>
      <x:c r="M1057" s="10" t="n">
        <x:v>0</x:v>
      </x:c>
      <x:c r="N1057" s="10" t="n">
        <x:v>0</x:v>
      </x:c>
      <x:c r="O1057" s="2" t="str">
        <x:v>Bà Rịa - Vũng Tàu|land</x:v>
      </x:c>
      <x:c r="P1057" s="10" t="n">
        <x:v>1</x:v>
      </x:c>
      <x:c r="Q1057" s="13" t="n">
        <x:f>IF(H1057="","",H1057/1000000000)</x:f>
        <x:v>0.6656</x:v>
      </x:c>
      <x:c r="R1057" s="13" t="n">
        <x:f>IF(I1057="","",I1057/1000000)</x:f>
        <x:v>3.7818181818181817</x:v>
      </x:c>
    </x:row>
    <x:row r="1058" ht="21" customHeight="1">
      <x:c r="A1058" s="10" t="n">
        <x:v>1166</x:v>
      </x:c>
      <x:c r="B1058" s="2" t="str">
        <x:v>efe69ea98f384027a817</x:v>
      </x:c>
      <x:c r="C1058" s="2" t="str">
        <x:v>Bình Phước</x:v>
      </x:c>
      <x:c r="D1058" s="2" t="str">
        <x:v>Huyện Đồng Phú</x:v>
      </x:c>
      <x:c r="E1058" s="2" t="str">
        <x:v>land</x:v>
      </x:c>
      <x:c r="F1058" s="2" t="str">
        <x:v>sale</x:v>
      </x:c>
      <x:c r="G1058" s="11" t="n">
        <x:v>132</x:v>
      </x:c>
      <x:c r="H1058" s="12" t="n">
        <x:v>590000000</x:v>
      </x:c>
      <x:c r="I1058" s="12" t="n">
        <x:v>4469696.96969697</x:v>
      </x:c>
      <x:c r="J1058" s="2" t="str">
        <x:v>total</x:v>
      </x:c>
      <x:c r="K1058" s="2" t="str">
        <x:v>top_level_area</x:v>
      </x:c>
      <x:c r="L1058" s="2" t="str">
        <x:v>property_type_inferred_from_title</x:v>
      </x:c>
      <x:c r="M1058" s="10" t="n">
        <x:v>0</x:v>
      </x:c>
      <x:c r="N1058" s="10" t="n">
        <x:v>0</x:v>
      </x:c>
      <x:c r="O1058" s="2" t="str">
        <x:v>Bình Phước|land</x:v>
      </x:c>
      <x:c r="P1058" s="10" t="n">
        <x:v>2</x:v>
      </x:c>
      <x:c r="Q1058" s="13" t="n">
        <x:f>IF(H1058="","",H1058/1000000000)</x:f>
        <x:v>0.59</x:v>
      </x:c>
      <x:c r="R1058" s="13" t="n">
        <x:f>IF(I1058="","",I1058/1000000)</x:f>
        <x:v>4.46969696969697</x:v>
      </x:c>
    </x:row>
    <x:row r="1059" ht="21" customHeight="1">
      <x:c r="A1059" s="10" t="n">
        <x:v>1167</x:v>
      </x:c>
      <x:c r="B1059" s="2" t="str">
        <x:v>24531efe158600e8853c</x:v>
      </x:c>
      <x:c r="C1059" s="2" t="str">
        <x:v>Đồng Nai</x:v>
      </x:c>
      <x:c r="D1059" s="2" t="str">
        <x:v>Huyện Trảng Bom</x:v>
      </x:c>
      <x:c r="E1059" s="2" t="str">
        <x:v>land</x:v>
      </x:c>
      <x:c r="F1059" s="2" t="str">
        <x:v>sale</x:v>
      </x:c>
      <x:c r="G1059" s="11" t="n">
        <x:v>110</x:v>
      </x:c>
      <x:c r="H1059" s="12" t="n">
        <x:v>800000000</x:v>
      </x:c>
      <x:c r="I1059" s="12" t="n">
        <x:v>7272727.2727272725</x:v>
      </x:c>
      <x:c r="J1059" s="2" t="str">
        <x:v>total</x:v>
      </x:c>
      <x:c r="K1059" s="2" t="str">
        <x:v>top_level_area</x:v>
      </x:c>
      <x:c r="L1059" s="2" t="str">
        <x:v>property_type_inferred_from_title</x:v>
      </x:c>
      <x:c r="M1059" s="10" t="n">
        <x:v>0</x:v>
      </x:c>
      <x:c r="N1059" s="10" t="n">
        <x:v>0</x:v>
      </x:c>
      <x:c r="O1059" s="2" t="str">
        <x:v>Đồng Nai|land</x:v>
      </x:c>
      <x:c r="P1059" s="10" t="n">
        <x:v>2</x:v>
      </x:c>
      <x:c r="Q1059" s="13" t="n">
        <x:f>IF(H1059="","",H1059/1000000000)</x:f>
        <x:v>0.8</x:v>
      </x:c>
      <x:c r="R1059" s="13" t="n">
        <x:f>IF(I1059="","",I1059/1000000)</x:f>
        <x:v>7.2727272727272725</x:v>
      </x:c>
    </x:row>
    <x:row r="1060" ht="21" customHeight="1">
      <x:c r="A1060" s="10" t="n">
        <x:v>1171</x:v>
      </x:c>
      <x:c r="B1060" s="2" t="str">
        <x:v>61234f97099f8ff2c62d</x:v>
      </x:c>
      <x:c r="C1060" s="2" t="str">
        <x:v>Tp Hồ Chí Minh</x:v>
      </x:c>
      <x:c r="D1060" s="2" t="str">
        <x:v>Quận Thủ Đức</x:v>
      </x:c>
      <x:c r="E1060" s="2" t="str">
        <x:v>house</x:v>
      </x:c>
      <x:c r="F1060" s="2" t="str">
        <x:v>sale_assumed</x:v>
      </x:c>
      <x:c r="G1060" s="11" t="n">
        <x:v>36</x:v>
      </x:c>
      <x:c r="H1060" s="12" t="n">
        <x:v>1860000000</x:v>
      </x:c>
      <x:c r="I1060" s="12" t="n">
        <x:v>51666666.666666664</x:v>
      </x:c>
      <x:c r="J1060" s="2" t="str">
        <x:v>total</x:v>
      </x:c>
      <x:c r="K1060" s="2" t="str">
        <x:v>top_level_area</x:v>
      </x:c>
      <x:c r="L1060" s="2" t="str">
        <x:v>property_type_inferred_from_title;transaction_assumed_sale_from_dataset_context</x:v>
      </x:c>
      <x:c r="M1060" s="10" t="n">
        <x:v>0</x:v>
      </x:c>
      <x:c r="N1060" s="10" t="n">
        <x:v>0</x:v>
      </x:c>
      <x:c r="O1060" s="2" t="str">
        <x:v>Tp Hồ Chí Minh|house</x:v>
      </x:c>
      <x:c r="P1060" s="10" t="n">
        <x:v>2</x:v>
      </x:c>
      <x:c r="Q1060" s="13" t="n">
        <x:f>IF(H1060="","",H1060/1000000000)</x:f>
        <x:v>1.86</x:v>
      </x:c>
      <x:c r="R1060" s="13" t="n">
        <x:f>IF(I1060="","",I1060/1000000)</x:f>
        <x:v>51.666666666666664</x:v>
      </x:c>
    </x:row>
    <x:row r="1061" ht="21" customHeight="1">
      <x:c r="A1061" s="10" t="n">
        <x:v>1192</x:v>
      </x:c>
      <x:c r="B1061" s="2" t="str">
        <x:v>a78f9c44509f21f1dc05</x:v>
      </x:c>
      <x:c r="C1061" s="2" t="str">
        <x:v>Hà Nội</x:v>
      </x:c>
      <x:c r="D1061" s="2" t="str">
        <x:v>Quận Cầu Giấy</x:v>
      </x:c>
      <x:c r="E1061" s="2" t="str">
        <x:v>other_unknown</x:v>
      </x:c>
      <x:c r="F1061" s="2" t="str">
        <x:v>sale_assumed</x:v>
      </x:c>
      <x:c r="G1061" s="11" t="n">
        <x:v>52</x:v>
      </x:c>
      <x:c r="H1061" s="12" t="n">
        <x:v>730000000</x:v>
      </x:c>
      <x:c r="I1061" s="12" t="n">
        <x:v>14038461.538461538</x:v>
      </x:c>
      <x:c r="J1061" s="2" t="str">
        <x:v>total</x:v>
      </x:c>
      <x:c r="K1061" s="2" t="str">
        <x:v>top_level_area</x:v>
      </x:c>
      <x:c r="L1061" s="2" t="str">
        <x:v>property_type_inferred_from_title;transaction_assumed_sale_from_dataset_context;unknown_property_type</x:v>
      </x:c>
      <x:c r="M1061" s="10" t="n">
        <x:v>0</x:v>
      </x:c>
      <x:c r="N1061" s="10" t="n">
        <x:v>0</x:v>
      </x:c>
      <x:c r="O1061" s="2" t="str">
        <x:v>Hà Nội|other_unknown</x:v>
      </x:c>
      <x:c r="P1061" s="10" t="n">
        <x:v>2</x:v>
      </x:c>
      <x:c r="Q1061" s="13" t="n">
        <x:f>IF(H1061="","",H1061/1000000000)</x:f>
        <x:v>0.73</x:v>
      </x:c>
      <x:c r="R1061" s="13" t="n">
        <x:f>IF(I1061="","",I1061/1000000)</x:f>
        <x:v>14.038461538461538</x:v>
      </x:c>
    </x:row>
    <x:row r="1062" ht="21" customHeight="1">
      <x:c r="A1062" s="10" t="n">
        <x:v>1193</x:v>
      </x:c>
      <x:c r="B1062" s="2" t="str">
        <x:v>b6a2f1bd5c9650624d99</x:v>
      </x:c>
      <x:c r="C1062" s="2" t="str">
        <x:v>Hà Nội</x:v>
      </x:c>
      <x:c r="D1062" s="2" t="str">
        <x:v>Quận Thanh Xuân</x:v>
      </x:c>
      <x:c r="E1062" s="2" t="str">
        <x:v>apartment</x:v>
      </x:c>
      <x:c r="F1062" s="2" t="str">
        <x:v>sale</x:v>
      </x:c>
      <x:c r="G1062" s="11" t="n">
        <x:v>80</x:v>
      </x:c>
      <x:c r="H1062" s="12" t="n">
        <x:v>2800000000</x:v>
      </x:c>
      <x:c r="I1062" s="12" t="n">
        <x:v>35000000</x:v>
      </x:c>
      <x:c r="J1062" s="2" t="str">
        <x:v>total</x:v>
      </x:c>
      <x:c r="K1062" s="2" t="str">
        <x:v>top_level_area</x:v>
      </x:c>
      <x:c r="L1062" s="2" t="str">
        <x:v>property_type_inferred_from_title</x:v>
      </x:c>
      <x:c r="M1062" s="10" t="n">
        <x:v>0</x:v>
      </x:c>
      <x:c r="N1062" s="10" t="n">
        <x:v>0</x:v>
      </x:c>
      <x:c r="O1062" s="2" t="str">
        <x:v>Hà Nội|apartment</x:v>
      </x:c>
      <x:c r="P1062" s="10" t="n">
        <x:v>2</x:v>
      </x:c>
      <x:c r="Q1062" s="13" t="n">
        <x:f>IF(H1062="","",H1062/1000000000)</x:f>
        <x:v>2.8</x:v>
      </x:c>
      <x:c r="R1062" s="13" t="n">
        <x:f>IF(I1062="","",I1062/1000000)</x:f>
        <x:v>35</x:v>
      </x:c>
    </x:row>
    <x:row r="1063" ht="21" customHeight="1">
      <x:c r="A1063" s="10" t="n">
        <x:v>1212</x:v>
      </x:c>
      <x:c r="B1063" s="2" t="str">
        <x:v>ee288b670e2e6197f379</x:v>
      </x:c>
      <x:c r="C1063" s="2" t="str">
        <x:v>Tp Hồ Chí Minh</x:v>
      </x:c>
      <x:c r="D1063" s="2" t="str">
        <x:v>Huyện Củ Chi</x:v>
      </x:c>
      <x:c r="E1063" s="2" t="str">
        <x:v>land</x:v>
      </x:c>
      <x:c r="F1063" s="2" t="str">
        <x:v>sale_assumed</x:v>
      </x:c>
      <x:c r="G1063" s="11" t="n">
        <x:v>134.4</x:v>
      </x:c>
      <x:c r="H1063" s="12" t="n">
        <x:v>1100000000</x:v>
      </x:c>
      <x:c r="I1063" s="12" t="n">
        <x:v>8184523.809523809</x:v>
      </x:c>
      <x:c r="J1063" s="2" t="str">
        <x:v>total</x:v>
      </x:c>
      <x:c r="K1063" s="2" t="str">
        <x:v>top_level_area</x:v>
      </x:c>
      <x:c r="L1063" s="2" t="str">
        <x:v>property_type_inferred_from_title;transaction_assumed_sale_from_dataset_context</x:v>
      </x:c>
      <x:c r="M1063" s="10" t="n">
        <x:v>0</x:v>
      </x:c>
      <x:c r="N1063" s="10" t="n">
        <x:v>0</x:v>
      </x:c>
      <x:c r="O1063" s="2" t="str">
        <x:v>Tp Hồ Chí Minh|land</x:v>
      </x:c>
      <x:c r="P1063" s="10" t="n">
        <x:v>2</x:v>
      </x:c>
      <x:c r="Q1063" s="13" t="n">
        <x:f>IF(H1063="","",H1063/1000000000)</x:f>
        <x:v>1.1</x:v>
      </x:c>
      <x:c r="R1063" s="13" t="n">
        <x:f>IF(I1063="","",I1063/1000000)</x:f>
        <x:v>8.184523809523808</x:v>
      </x:c>
    </x:row>
    <x:row r="1064" ht="21" customHeight="1">
      <x:c r="A1064" s="10" t="n">
        <x:v>1235</x:v>
      </x:c>
      <x:c r="B1064" s="2" t="str">
        <x:v>293e454bc8b0ae0217dc</x:v>
      </x:c>
      <x:c r="C1064" s="2" t="str">
        <x:v>Bình Dương</x:v>
      </x:c>
      <x:c r="D1064" s="2" t="str">
        <x:v>Thị xã Thuận An</x:v>
      </x:c>
      <x:c r="E1064" s="2" t="str">
        <x:v>land</x:v>
      </x:c>
      <x:c r="F1064" s="2" t="str">
        <x:v>sale</x:v>
      </x:c>
      <x:c r="G1064" s="11" t="n">
        <x:v>63</x:v>
      </x:c>
      <x:c r="H1064" s="12" t="n">
        <x:v>1350000000</x:v>
      </x:c>
      <x:c r="I1064" s="12" t="n">
        <x:v>21428571.42857143</x:v>
      </x:c>
      <x:c r="J1064" s="2" t="str">
        <x:v>total</x:v>
      </x:c>
      <x:c r="K1064" s="2" t="str">
        <x:v>top_level_price_embedded_area</x:v>
      </x:c>
      <x:c r="L1064" s="2" t="str">
        <x:v>area_recovered_from_price_text;property_type_inferred_from_title</x:v>
      </x:c>
      <x:c r="M1064" s="10" t="n">
        <x:v>0</x:v>
      </x:c>
      <x:c r="N1064" s="10" t="n">
        <x:v>0</x:v>
      </x:c>
      <x:c r="O1064" s="2" t="str">
        <x:v>Bình Dương|land</x:v>
      </x:c>
      <x:c r="P1064" s="10" t="n">
        <x:v>2</x:v>
      </x:c>
      <x:c r="Q1064" s="13" t="n">
        <x:f>IF(H1064="","",H1064/1000000000)</x:f>
        <x:v>1.35</x:v>
      </x:c>
      <x:c r="R1064" s="13" t="n">
        <x:f>IF(I1064="","",I1064/1000000)</x:f>
        <x:v>21.42857142857143</x:v>
      </x:c>
    </x:row>
    <x:row r="1065" ht="21" customHeight="1">
      <x:c r="A1065" s="10" t="n">
        <x:v>1280</x:v>
      </x:c>
      <x:c r="B1065" s="2" t="str">
        <x:v>a1ff5e72fab2ba009cf6</x:v>
      </x:c>
      <x:c r="C1065" s="2" t="str">
        <x:v>Tp Hồ Chí Minh</x:v>
      </x:c>
      <x:c r="D1065" s="2" t="str">
        <x:v>Quận 9</x:v>
      </x:c>
      <x:c r="E1065" s="2" t="str">
        <x:v>land</x:v>
      </x:c>
      <x:c r="F1065" s="2" t="str">
        <x:v>sale_assumed</x:v>
      </x:c>
      <x:c r="G1065" s="11" t="n">
        <x:v>71</x:v>
      </x:c>
      <x:c r="H1065" s="12" t="n">
        <x:v>850000000</x:v>
      </x:c>
      <x:c r="I1065" s="12" t="n">
        <x:v>11971830.985915493</x:v>
      </x:c>
      <x:c r="J1065" s="2" t="str">
        <x:v>total</x:v>
      </x:c>
      <x:c r="K1065" s="2" t="str">
        <x:v>top_level_area</x:v>
      </x:c>
      <x:c r="L1065" s="2" t="str">
        <x:v>property_type_inferred_from_title;transaction_assumed_sale_from_dataset_context</x:v>
      </x:c>
      <x:c r="M1065" s="10" t="n">
        <x:v>0</x:v>
      </x:c>
      <x:c r="N1065" s="10" t="n">
        <x:v>0</x:v>
      </x:c>
      <x:c r="O1065" s="2" t="str">
        <x:v>Tp Hồ Chí Minh|land</x:v>
      </x:c>
      <x:c r="P1065" s="10" t="n">
        <x:v>2</x:v>
      </x:c>
      <x:c r="Q1065" s="13" t="n">
        <x:f>IF(H1065="","",H1065/1000000000)</x:f>
        <x:v>0.85</x:v>
      </x:c>
      <x:c r="R1065" s="13" t="n">
        <x:f>IF(I1065="","",I1065/1000000)</x:f>
        <x:v>11.971830985915494</x:v>
      </x:c>
    </x:row>
    <x:row r="1066" ht="21" customHeight="1">
      <x:c r="A1066" s="10" t="n">
        <x:v>1281</x:v>
      </x:c>
      <x:c r="B1066" s="2" t="str">
        <x:v>986504c11431055a0fcd</x:v>
      </x:c>
      <x:c r="C1066" s="2" t="str">
        <x:v>Cần Thơ</x:v>
      </x:c>
      <x:c r="D1066" s="2" t="str">
        <x:v>Quận Bình Thuỷ</x:v>
      </x:c>
      <x:c r="E1066" s="2" t="str">
        <x:v>land</x:v>
      </x:c>
      <x:c r="F1066" s="2" t="str">
        <x:v>sale_assumed</x:v>
      </x:c>
      <x:c r="G1066" s="11" t="n">
        <x:v>52</x:v>
      </x:c>
      <x:c r="H1066" s="12" t="n">
        <x:v>1390000000</x:v>
      </x:c>
      <x:c r="I1066" s="12" t="n">
        <x:v>26730769.230769232</x:v>
      </x:c>
      <x:c r="J1066" s="2" t="str">
        <x:v>total</x:v>
      </x:c>
      <x:c r="K1066" s="2" t="str">
        <x:v>top_level_area</x:v>
      </x:c>
      <x:c r="L1066" s="2" t="str">
        <x:v>property_type_inferred_from_title;transaction_assumed_sale_from_dataset_context</x:v>
      </x:c>
      <x:c r="M1066" s="10" t="n">
        <x:v>0</x:v>
      </x:c>
      <x:c r="N1066" s="10" t="n">
        <x:v>0</x:v>
      </x:c>
      <x:c r="O1066" s="2" t="str">
        <x:v>Cần Thơ|land</x:v>
      </x:c>
      <x:c r="P1066" s="10" t="n">
        <x:v>2</x:v>
      </x:c>
      <x:c r="Q1066" s="13" t="n">
        <x:f>IF(H1066="","",H1066/1000000000)</x:f>
        <x:v>1.39</x:v>
      </x:c>
      <x:c r="R1066" s="13" t="n">
        <x:f>IF(I1066="","",I1066/1000000)</x:f>
        <x:v>26.730769230769234</x:v>
      </x:c>
    </x:row>
    <x:row r="1067" ht="21" customHeight="1">
      <x:c r="A1067" s="10" t="n">
        <x:v>1324</x:v>
      </x:c>
      <x:c r="B1067" s="2" t="str">
        <x:v>e42ccd61ad05cb82bff1</x:v>
      </x:c>
      <x:c r="C1067" s="2" t="str">
        <x:v>Đà Nẵng</x:v>
      </x:c>
      <x:c r="D1067" s="2" t="str">
        <x:v>Huyện Hòa Vang</x:v>
      </x:c>
      <x:c r="E1067" s="2" t="str">
        <x:v>land</x:v>
      </x:c>
      <x:c r="F1067" s="2" t="str">
        <x:v>sale_assumed</x:v>
      </x:c>
      <x:c r="G1067" s="11" t="n">
        <x:v>100</x:v>
      </x:c>
      <x:c r="H1067" s="12" t="n">
        <x:v>515000000</x:v>
      </x:c>
      <x:c r="I1067" s="12" t="n">
        <x:v>5150000</x:v>
      </x:c>
      <x:c r="J1067" s="2" t="str">
        <x:v>total</x:v>
      </x:c>
      <x:c r="K1067" s="2" t="str">
        <x:v>top_level_area</x:v>
      </x:c>
      <x:c r="L1067" s="2" t="str">
        <x:v>property_type_inferred_from_title;transaction_assumed_sale_from_dataset_context</x:v>
      </x:c>
      <x:c r="M1067" s="10" t="n">
        <x:v>0</x:v>
      </x:c>
      <x:c r="N1067" s="10" t="n">
        <x:v>0</x:v>
      </x:c>
      <x:c r="O1067" s="2" t="str">
        <x:v>Đà Nẵng|land</x:v>
      </x:c>
      <x:c r="P1067" s="10" t="n">
        <x:v>2</x:v>
      </x:c>
      <x:c r="Q1067" s="13" t="n">
        <x:f>IF(H1067="","",H1067/1000000000)</x:f>
        <x:v>0.515</x:v>
      </x:c>
      <x:c r="R1067" s="13" t="n">
        <x:f>IF(I1067="","",I1067/1000000)</x:f>
        <x:v>5.15</x:v>
      </x:c>
    </x:row>
    <x:row r="1068" ht="21" customHeight="1">
      <x:c r="A1068" s="10" t="n">
        <x:v>1325</x:v>
      </x:c>
      <x:c r="B1068" s="2" t="str">
        <x:v>c2675578f70997695ae6</x:v>
      </x:c>
      <x:c r="C1068" s="2" t="str">
        <x:v>Tp Hồ Chí Minh</x:v>
      </x:c>
      <x:c r="D1068" s="2" t="str">
        <x:v>Huyện Củ Chi</x:v>
      </x:c>
      <x:c r="E1068" s="2" t="str">
        <x:v>land</x:v>
      </x:c>
      <x:c r="F1068" s="2" t="str">
        <x:v>sale_assumed</x:v>
      </x:c>
      <x:c r="G1068" s="11" t="n">
        <x:v>5100</x:v>
      </x:c>
      <x:c r="H1068" s="12" t="n">
        <x:v>4200000000</x:v>
      </x:c>
      <x:c r="I1068" s="12" t="n">
        <x:v>823529.4117647059</x:v>
      </x:c>
      <x:c r="J1068" s="2" t="str">
        <x:v>total</x:v>
      </x:c>
      <x:c r="K1068" s="2" t="str">
        <x:v>top_level_area</x:v>
      </x:c>
      <x:c r="L1068" s="2" t="str">
        <x:v>dot_thousands_convention;property_type_inferred_from_title;transaction_assumed_sale_from_dataset_context</x:v>
      </x:c>
      <x:c r="M1068" s="10" t="n">
        <x:v>0</x:v>
      </x:c>
      <x:c r="N1068" s="10" t="n">
        <x:v>0</x:v>
      </x:c>
      <x:c r="O1068" s="2" t="str">
        <x:v>Tp Hồ Chí Minh|land</x:v>
      </x:c>
      <x:c r="P1068" s="10" t="n">
        <x:v>1</x:v>
      </x:c>
      <x:c r="Q1068" s="13" t="n">
        <x:f>IF(H1068="","",H1068/1000000000)</x:f>
        <x:v>4.2</x:v>
      </x:c>
      <x:c r="R1068" s="13" t="n">
        <x:f>IF(I1068="","",I1068/1000000)</x:f>
        <x:v>0.823529411764706</x:v>
      </x:c>
    </x:row>
    <x:row r="1069" ht="21" customHeight="1">
      <x:c r="A1069" s="10" t="n">
        <x:v>1391</x:v>
      </x:c>
      <x:c r="B1069" s="2" t="str">
        <x:v>159f71a6eb26c3c29c16</x:v>
      </x:c>
      <x:c r="C1069" s="2" t="str">
        <x:v>Đắk Lắk</x:v>
      </x:c>
      <x:c r="D1069" s="2" t="str">
        <x:v>Thành phố Buôn Ma Thuột</x:v>
      </x:c>
      <x:c r="E1069" s="2" t="str">
        <x:v>land</x:v>
      </x:c>
      <x:c r="F1069" s="2" t="str">
        <x:v>sale</x:v>
      </x:c>
      <x:c r="G1069" s="11" t="n">
        <x:v>125</x:v>
      </x:c>
      <x:c r="H1069" s="12" t="n">
        <x:v>290000000</x:v>
      </x:c>
      <x:c r="I1069" s="12" t="n">
        <x:v>2320000</x:v>
      </x:c>
      <x:c r="J1069" s="2" t="str">
        <x:v>total</x:v>
      </x:c>
      <x:c r="K1069" s="2" t="str">
        <x:v>top_level_area</x:v>
      </x:c>
      <x:c r="L1069" s="2" t="str">
        <x:v>property_type_inferred_from_title</x:v>
      </x:c>
      <x:c r="M1069" s="10" t="n">
        <x:v>0</x:v>
      </x:c>
      <x:c r="N1069" s="10" t="n">
        <x:v>0</x:v>
      </x:c>
      <x:c r="O1069" s="2" t="str">
        <x:v>Đắk Lắk|land</x:v>
      </x:c>
      <x:c r="P1069" s="10" t="n">
        <x:v>1</x:v>
      </x:c>
      <x:c r="Q1069" s="13" t="n">
        <x:f>IF(H1069="","",H1069/1000000000)</x:f>
        <x:v>0.29</x:v>
      </x:c>
      <x:c r="R1069" s="13" t="n">
        <x:f>IF(I1069="","",I1069/1000000)</x:f>
        <x:v>2.32</x:v>
      </x:c>
    </x:row>
    <x:row r="1070" ht="21" customHeight="1">
      <x:c r="A1070" s="10" t="n">
        <x:v>1394</x:v>
      </x:c>
      <x:c r="B1070" s="2" t="str">
        <x:v>03c654ef8ff7273ec064</x:v>
      </x:c>
      <x:c r="C1070" s="2" t="str">
        <x:v>Tp Hồ Chí Minh</x:v>
      </x:c>
      <x:c r="D1070" s="2" t="str">
        <x:v>Quận 12</x:v>
      </x:c>
      <x:c r="E1070" s="2" t="str">
        <x:v>house</x:v>
      </x:c>
      <x:c r="F1070" s="2" t="str">
        <x:v>sale_assumed</x:v>
      </x:c>
      <x:c r="G1070" s="11" t="n">
        <x:v>24</x:v>
      </x:c>
      <x:c r="H1070" s="12" t="n">
        <x:v>1400000000</x:v>
      </x:c>
      <x:c r="I1070" s="12" t="n">
        <x:v>58333333.333333336</x:v>
      </x:c>
      <x:c r="J1070" s="2" t="str">
        <x:v>total</x:v>
      </x:c>
      <x:c r="K1070" s="2" t="str">
        <x:v>top_level_area</x:v>
      </x:c>
      <x:c r="L1070" s="2" t="str">
        <x:v>property_type_inferred_from_title;transaction_assumed_sale_from_dataset_context</x:v>
      </x:c>
      <x:c r="M1070" s="10" t="n">
        <x:v>0</x:v>
      </x:c>
      <x:c r="N1070" s="10" t="n">
        <x:v>0</x:v>
      </x:c>
      <x:c r="O1070" s="2" t="str">
        <x:v>Tp Hồ Chí Minh|house</x:v>
      </x:c>
      <x:c r="P1070" s="10" t="n">
        <x:v>2</x:v>
      </x:c>
      <x:c r="Q1070" s="13" t="n">
        <x:f>IF(H1070="","",H1070/1000000000)</x:f>
        <x:v>1.4</x:v>
      </x:c>
      <x:c r="R1070" s="13" t="n">
        <x:f>IF(I1070="","",I1070/1000000)</x:f>
        <x:v>58.333333333333336</x:v>
      </x:c>
    </x:row>
    <x:row r="1071" ht="21" customHeight="1">
      <x:c r="A1071" s="10" t="n">
        <x:v>1395</x:v>
      </x:c>
      <x:c r="B1071" s="2" t="str">
        <x:v>b7fcd6376ace93d21d70</x:v>
      </x:c>
      <x:c r="C1071" s="2" t="str">
        <x:v>Tp Hồ Chí Minh</x:v>
      </x:c>
      <x:c r="D1071" s="2" t="str">
        <x:v>Huyện Củ Chi</x:v>
      </x:c>
      <x:c r="E1071" s="2" t="str">
        <x:v>house</x:v>
      </x:c>
      <x:c r="F1071" s="2" t="str">
        <x:v>sale_assumed</x:v>
      </x:c>
      <x:c r="G1071" s="11" t="n">
        <x:v>75</x:v>
      </x:c>
      <x:c r="H1071" s="12" t="n">
        <x:v>650000000</x:v>
      </x:c>
      <x:c r="I1071" s="12" t="n">
        <x:v>8666666.666666666</x:v>
      </x:c>
      <x:c r="J1071" s="2" t="str">
        <x:v>total</x:v>
      </x:c>
      <x:c r="K1071" s="2" t="str">
        <x:v>top_level_area</x:v>
      </x:c>
      <x:c r="L1071" s="2" t="str">
        <x:v>property_type_inferred_from_title;transaction_assumed_sale_from_dataset_context</x:v>
      </x:c>
      <x:c r="M1071" s="10" t="n">
        <x:v>0</x:v>
      </x:c>
      <x:c r="N1071" s="10" t="n">
        <x:v>0</x:v>
      </x:c>
      <x:c r="O1071" s="2" t="str">
        <x:v>Tp Hồ Chí Minh|house</x:v>
      </x:c>
      <x:c r="P1071" s="10" t="n">
        <x:v>2</x:v>
      </x:c>
      <x:c r="Q1071" s="13" t="n">
        <x:f>IF(H1071="","",H1071/1000000000)</x:f>
        <x:v>0.65</x:v>
      </x:c>
      <x:c r="R1071" s="13" t="n">
        <x:f>IF(I1071="","",I1071/1000000)</x:f>
        <x:v>8.666666666666666</x:v>
      </x:c>
    </x:row>
    <x:row r="1072" ht="21" customHeight="1">
      <x:c r="A1072" s="10" t="n">
        <x:v>1396</x:v>
      </x:c>
      <x:c r="B1072" s="2" t="str">
        <x:v>00a1d1880fee70f2baba</x:v>
      </x:c>
      <x:c r="C1072" s="2" t="str">
        <x:v>Tp Hồ Chí Minh</x:v>
      </x:c>
      <x:c r="D1072" s="2" t="str">
        <x:v>Huyện Bình Chánh</x:v>
      </x:c>
      <x:c r="E1072" s="2" t="str">
        <x:v>land</x:v>
      </x:c>
      <x:c r="F1072" s="2" t="str">
        <x:v>sale_assumed</x:v>
      </x:c>
      <x:c r="G1072" s="11" t="n">
        <x:v>60</x:v>
      </x:c>
      <x:c r="H1072" s="12" t="n">
        <x:v>300000000</x:v>
      </x:c>
      <x:c r="I1072" s="12" t="n">
        <x:v>5000000</x:v>
      </x:c>
      <x:c r="J1072" s="2" t="str">
        <x:v>total</x:v>
      </x:c>
      <x:c r="K1072" s="2" t="str">
        <x:v>top_level_area</x:v>
      </x:c>
      <x:c r="L1072" s="2" t="str">
        <x:v>property_type_inferred_from_title;transaction_assumed_sale_from_dataset_context</x:v>
      </x:c>
      <x:c r="M1072" s="10" t="n">
        <x:v>0</x:v>
      </x:c>
      <x:c r="N1072" s="10" t="n">
        <x:v>0</x:v>
      </x:c>
      <x:c r="O1072" s="2" t="str">
        <x:v>Tp Hồ Chí Minh|land</x:v>
      </x:c>
      <x:c r="P1072" s="10" t="n">
        <x:v>2</x:v>
      </x:c>
      <x:c r="Q1072" s="13" t="n">
        <x:f>IF(H1072="","",H1072/1000000000)</x:f>
        <x:v>0.3</x:v>
      </x:c>
      <x:c r="R1072" s="13" t="n">
        <x:f>IF(I1072="","",I1072/1000000)</x:f>
        <x:v>5</x:v>
      </x:c>
    </x:row>
    <x:row r="1073" ht="21" customHeight="1">
      <x:c r="A1073" s="10" t="n">
        <x:v>1397</x:v>
      </x:c>
      <x:c r="B1073" s="2" t="str">
        <x:v>1f5fa3e09b10ca5dc6d4</x:v>
      </x:c>
      <x:c r="C1073" s="2" t="str">
        <x:v>Tp Hồ Chí Minh</x:v>
      </x:c>
      <x:c r="D1073" s="2" t="str">
        <x:v>Quận Thủ Đức</x:v>
      </x:c>
      <x:c r="E1073" s="2" t="str">
        <x:v>house</x:v>
      </x:c>
      <x:c r="F1073" s="2" t="str">
        <x:v>sale</x:v>
      </x:c>
      <x:c r="G1073" s="11" t="n">
        <x:v>48</x:v>
      </x:c>
      <x:c r="H1073" s="12" t="n">
        <x:v>3500000000</x:v>
      </x:c>
      <x:c r="I1073" s="12" t="n">
        <x:v>72916666.66666667</x:v>
      </x:c>
      <x:c r="J1073" s="2" t="str">
        <x:v>total</x:v>
      </x:c>
      <x:c r="K1073" s="2" t="str">
        <x:v>top_level_area</x:v>
      </x:c>
      <x:c r="L1073" s="2" t="str">
        <x:v>property_type_inferred_from_title</x:v>
      </x:c>
      <x:c r="M1073" s="10" t="n">
        <x:v>0</x:v>
      </x:c>
      <x:c r="N1073" s="10" t="n">
        <x:v>0</x:v>
      </x:c>
      <x:c r="O1073" s="2" t="str">
        <x:v>Tp Hồ Chí Minh|house</x:v>
      </x:c>
      <x:c r="P1073" s="10" t="n">
        <x:v>2</x:v>
      </x:c>
      <x:c r="Q1073" s="13" t="n">
        <x:f>IF(H1073="","",H1073/1000000000)</x:f>
        <x:v>3.5</x:v>
      </x:c>
      <x:c r="R1073" s="13" t="n">
        <x:f>IF(I1073="","",I1073/1000000)</x:f>
        <x:v>72.91666666666667</x:v>
      </x:c>
    </x:row>
    <x:row r="1074" ht="21" customHeight="1">
      <x:c r="A1074" s="10" t="n">
        <x:v>1398</x:v>
      </x:c>
      <x:c r="B1074" s="2" t="str">
        <x:v>59ca9b1660fa7e5366f6</x:v>
      </x:c>
      <x:c r="C1074" s="2" t="str">
        <x:v>Bình Dương</x:v>
      </x:c>
      <x:c r="D1074" s="2" t="str">
        <x:v>Thị xã Dĩ An</x:v>
      </x:c>
      <x:c r="E1074" s="2" t="str">
        <x:v>land</x:v>
      </x:c>
      <x:c r="F1074" s="2" t="str">
        <x:v>sale_assumed</x:v>
      </x:c>
      <x:c r="G1074" s="11" t="n">
        <x:v>70</x:v>
      </x:c>
      <x:c r="H1074" s="12" t="n">
        <x:v>2750000000</x:v>
      </x:c>
      <x:c r="I1074" s="12" t="n">
        <x:v>39285714.28571428</x:v>
      </x:c>
      <x:c r="J1074" s="2" t="str">
        <x:v>total</x:v>
      </x:c>
      <x:c r="K1074" s="2" t="str">
        <x:v>top_level_area</x:v>
      </x:c>
      <x:c r="L1074" s="2" t="str">
        <x:v>property_type_inferred_from_title;transaction_assumed_sale_from_dataset_context</x:v>
      </x:c>
      <x:c r="M1074" s="10" t="n">
        <x:v>0</x:v>
      </x:c>
      <x:c r="N1074" s="10" t="n">
        <x:v>1</x:v>
      </x:c>
      <x:c r="O1074" s="2" t="str">
        <x:v>Bình Dương|land</x:v>
      </x:c>
      <x:c r="P1074" s="10" t="n">
        <x:v>-1</x:v>
      </x:c>
      <x:c r="Q1074" s="13" t="n">
        <x:f>IF(H1074="","",H1074/1000000000)</x:f>
        <x:v>2.75</x:v>
      </x:c>
      <x:c r="R1074" s="13" t="n">
        <x:f>IF(I1074="","",I1074/1000000)</x:f>
        <x:v>39.285714285714285</x:v>
      </x:c>
    </x:row>
    <x:row r="1075" ht="21" customHeight="1">
      <x:c r="A1075" s="10" t="n">
        <x:v>1399</x:v>
      </x:c>
      <x:c r="B1075" s="2" t="str">
        <x:v>6ea893f86ad90453935e</x:v>
      </x:c>
      <x:c r="C1075" s="2" t="str">
        <x:v>Bình Dương</x:v>
      </x:c>
      <x:c r="D1075" s="2" t="str">
        <x:v>Thị xã Thuận An</x:v>
      </x:c>
      <x:c r="E1075" s="2" t="str">
        <x:v>house</x:v>
      </x:c>
      <x:c r="F1075" s="2" t="str">
        <x:v>sale</x:v>
      </x:c>
      <x:c r="G1075" s="11" t="n">
        <x:v>54</x:v>
      </x:c>
      <x:c r="H1075" s="12" t="n">
        <x:v>1020000000</x:v>
      </x:c>
      <x:c r="I1075" s="12" t="n">
        <x:v>18888888.888888888</x:v>
      </x:c>
      <x:c r="J1075" s="2" t="str">
        <x:v>total</x:v>
      </x:c>
      <x:c r="K1075" s="2" t="str">
        <x:v>top_level_price_embedded_area</x:v>
      </x:c>
      <x:c r="L1075" s="2" t="str">
        <x:v>area_recovered_from_price_text;property_type_inferred_from_title</x:v>
      </x:c>
      <x:c r="M1075" s="10" t="n">
        <x:v>0</x:v>
      </x:c>
      <x:c r="N1075" s="10" t="n">
        <x:v>0</x:v>
      </x:c>
      <x:c r="O1075" s="2" t="str">
        <x:v>Bình Dương|house</x:v>
      </x:c>
      <x:c r="P1075" s="10" t="n">
        <x:v>2</x:v>
      </x:c>
      <x:c r="Q1075" s="13" t="n">
        <x:f>IF(H1075="","",H1075/1000000000)</x:f>
        <x:v>1.02</x:v>
      </x:c>
      <x:c r="R1075" s="13" t="n">
        <x:f>IF(I1075="","",I1075/1000000)</x:f>
        <x:v>18.88888888888889</x:v>
      </x:c>
    </x:row>
    <x:row r="1076" ht="21" customHeight="1">
      <x:c r="A1076" s="10" t="n">
        <x:v>1400</x:v>
      </x:c>
      <x:c r="B1076" s="2" t="str">
        <x:v>da6752d1d85ff9ee4e95</x:v>
      </x:c>
      <x:c r="C1076" s="2" t="str">
        <x:v>Bình Phước</x:v>
      </x:c>
      <x:c r="D1076" s="2" t="str">
        <x:v>Huyện Đồng Phú</x:v>
      </x:c>
      <x:c r="E1076" s="2" t="str">
        <x:v>land</x:v>
      </x:c>
      <x:c r="F1076" s="2" t="str">
        <x:v>sale_assumed</x:v>
      </x:c>
      <x:c r="G1076" s="11" t="n">
        <x:v>200</x:v>
      </x:c>
      <x:c r="H1076" s="12" t="n">
        <x:v>450000000</x:v>
      </x:c>
      <x:c r="I1076" s="12" t="n">
        <x:v>2250000</x:v>
      </x:c>
      <x:c r="J1076" s="2" t="str">
        <x:v>total</x:v>
      </x:c>
      <x:c r="K1076" s="2" t="str">
        <x:v>top_level_area</x:v>
      </x:c>
      <x:c r="L1076" s="2" t="str">
        <x:v>property_type_inferred_from_title;transaction_assumed_sale_from_dataset_context</x:v>
      </x:c>
      <x:c r="M1076" s="10" t="n">
        <x:v>0</x:v>
      </x:c>
      <x:c r="N1076" s="10" t="n">
        <x:v>0</x:v>
      </x:c>
      <x:c r="O1076" s="2" t="str">
        <x:v>Bình Phước|land</x:v>
      </x:c>
      <x:c r="P1076" s="10" t="n">
        <x:v>1</x:v>
      </x:c>
      <x:c r="Q1076" s="13" t="n">
        <x:f>IF(H1076="","",H1076/1000000000)</x:f>
        <x:v>0.45</x:v>
      </x:c>
      <x:c r="R1076" s="13" t="n">
        <x:f>IF(I1076="","",I1076/1000000)</x:f>
        <x:v>2.25</x:v>
      </x:c>
    </x:row>
    <x:row r="1077" ht="21" customHeight="1">
      <x:c r="A1077" s="10" t="n">
        <x:v>1401</x:v>
      </x:c>
      <x:c r="B1077" s="2" t="str">
        <x:v>67f3fe231dfd21b89b1e</x:v>
      </x:c>
      <x:c r="C1077" s="2" t="str">
        <x:v>Bình Dương</x:v>
      </x:c>
      <x:c r="D1077" s="2" t="str">
        <x:v>Thị xã Dĩ An</x:v>
      </x:c>
      <x:c r="E1077" s="2" t="str">
        <x:v>other_unknown</x:v>
      </x:c>
      <x:c r="F1077" s="2" t="str">
        <x:v>sale_assumed</x:v>
      </x:c>
      <x:c r="G1077" s="11" t="n">
        <x:v>77</x:v>
      </x:c>
      <x:c r="H1077" s="12" t="n">
        <x:v>980000000</x:v>
      </x:c>
      <x:c r="I1077" s="12" t="n">
        <x:v>12727272.727272727</x:v>
      </x:c>
      <x:c r="J1077" s="2" t="str">
        <x:v>total</x:v>
      </x:c>
      <x:c r="K1077" s="2" t="str">
        <x:v>top_level_area</x:v>
      </x:c>
      <x:c r="L1077" s="2" t="str">
        <x:v>property_type_inferred_from_title;transaction_assumed_sale_from_dataset_context;unknown_property_type</x:v>
      </x:c>
      <x:c r="M1077" s="10" t="n">
        <x:v>0</x:v>
      </x:c>
      <x:c r="N1077" s="10" t="n">
        <x:v>0</x:v>
      </x:c>
      <x:c r="O1077" s="2" t="str">
        <x:v>Bình Dương|other_unknown</x:v>
      </x:c>
      <x:c r="P1077" s="10" t="n">
        <x:v>2</x:v>
      </x:c>
      <x:c r="Q1077" s="13" t="n">
        <x:f>IF(H1077="","",H1077/1000000000)</x:f>
        <x:v>0.98</x:v>
      </x:c>
      <x:c r="R1077" s="13" t="n">
        <x:f>IF(I1077="","",I1077/1000000)</x:f>
        <x:v>12.727272727272727</x:v>
      </x:c>
    </x:row>
    <x:row r="1078" ht="21" customHeight="1">
      <x:c r="A1078" s="10" t="n">
        <x:v>1402</x:v>
      </x:c>
      <x:c r="B1078" s="2" t="str">
        <x:v>ad6c896a571742d5e196</x:v>
      </x:c>
      <x:c r="C1078" s="2" t="str">
        <x:v>Tp Hồ Chí Minh</x:v>
      </x:c>
      <x:c r="D1078" s="2" t="str">
        <x:v>Quận 11</x:v>
      </x:c>
      <x:c r="E1078" s="2" t="str">
        <x:v>house</x:v>
      </x:c>
      <x:c r="F1078" s="2" t="str">
        <x:v>sale</x:v>
      </x:c>
      <x:c r="G1078" s="11" t="n">
        <x:v>67</x:v>
      </x:c>
      <x:c r="H1078" s="12" t="n">
        <x:v>1295000000</x:v>
      </x:c>
      <x:c r="I1078" s="12" t="n">
        <x:v>19328358.208955225</x:v>
      </x:c>
      <x:c r="J1078" s="2" t="str">
        <x:v>total</x:v>
      </x:c>
      <x:c r="K1078" s="2" t="str">
        <x:v>top_level_area</x:v>
      </x:c>
      <x:c r="L1078" s="2" t="str">
        <x:v>property_type_inferred_from_title</x:v>
      </x:c>
      <x:c r="M1078" s="10" t="n">
        <x:v>0</x:v>
      </x:c>
      <x:c r="N1078" s="10" t="n">
        <x:v>0</x:v>
      </x:c>
      <x:c r="O1078" s="2" t="str">
        <x:v>Tp Hồ Chí Minh|house</x:v>
      </x:c>
      <x:c r="P1078" s="10" t="n">
        <x:v>2</x:v>
      </x:c>
      <x:c r="Q1078" s="13" t="n">
        <x:f>IF(H1078="","",H1078/1000000000)</x:f>
        <x:v>1.295</x:v>
      </x:c>
      <x:c r="R1078" s="13" t="n">
        <x:f>IF(I1078="","",I1078/1000000)</x:f>
        <x:v>19.328358208955226</x:v>
      </x:c>
    </x:row>
    <x:row r="1079" ht="21" customHeight="1">
      <x:c r="A1079" s="10" t="n">
        <x:v>1403</x:v>
      </x:c>
      <x:c r="B1079" s="2" t="str">
        <x:v>045fcd21571ad8599dc8</x:v>
      </x:c>
      <x:c r="C1079" s="2" t="str">
        <x:v>Tp Hồ Chí Minh</x:v>
      </x:c>
      <x:c r="D1079" s="2" t="str">
        <x:v>Quận 7</x:v>
      </x:c>
      <x:c r="E1079" s="2" t="str">
        <x:v>house</x:v>
      </x:c>
      <x:c r="F1079" s="2" t="str">
        <x:v>sale_assumed</x:v>
      </x:c>
      <x:c r="G1079" s="11" t="n">
        <x:v>61</x:v>
      </x:c>
      <x:c r="H1079" s="12" t="n">
        <x:v>10000000000</x:v>
      </x:c>
      <x:c r="I1079" s="12" t="n">
        <x:v>163934426.2295082</x:v>
      </x:c>
      <x:c r="J1079" s="2" t="str">
        <x:v>total</x:v>
      </x:c>
      <x:c r="K1079" s="2" t="str">
        <x:v>top_level_area</x:v>
      </x:c>
      <x:c r="L1079" s="2" t="str">
        <x:v>property_type_inferred_from_title;transaction_assumed_sale_from_dataset_context</x:v>
      </x:c>
      <x:c r="M1079" s="10" t="n">
        <x:v>0</x:v>
      </x:c>
      <x:c r="N1079" s="10" t="n">
        <x:v>0</x:v>
      </x:c>
      <x:c r="O1079" s="2" t="str">
        <x:v>Tp Hồ Chí Minh|house</x:v>
      </x:c>
      <x:c r="P1079" s="10" t="n">
        <x:v>2</x:v>
      </x:c>
      <x:c r="Q1079" s="13" t="n">
        <x:f>IF(H1079="","",H1079/1000000000)</x:f>
        <x:v>10</x:v>
      </x:c>
      <x:c r="R1079" s="13" t="n">
        <x:f>IF(I1079="","",I1079/1000000)</x:f>
        <x:v>163.9344262295082</x:v>
      </x:c>
    </x:row>
    <x:row r="1080" ht="21" customHeight="1">
      <x:c r="A1080" s="10" t="n">
        <x:v>1404</x:v>
      </x:c>
      <x:c r="B1080" s="2" t="str">
        <x:v>c07c2b4eebf9b421118e</x:v>
      </x:c>
      <x:c r="C1080" s="2" t="str">
        <x:v>Tây Ninh</x:v>
      </x:c>
      <x:c r="D1080" s="2" t="str">
        <x:v>Huyện Gò Dầu</x:v>
      </x:c>
      <x:c r="E1080" s="2" t="str">
        <x:v>land</x:v>
      </x:c>
      <x:c r="F1080" s="2" t="str">
        <x:v>sale_assumed</x:v>
      </x:c>
      <x:c r="G1080" s="11" t="n">
        <x:v>125</x:v>
      </x:c>
      <x:c r="H1080" s="12" t="n">
        <x:v>390000000</x:v>
      </x:c>
      <x:c r="I1080" s="12" t="n">
        <x:v>3120000</x:v>
      </x:c>
      <x:c r="J1080" s="2" t="str">
        <x:v>total</x:v>
      </x:c>
      <x:c r="K1080" s="2" t="str">
        <x:v>top_level_area</x:v>
      </x:c>
      <x:c r="L1080" s="2" t="str">
        <x:v>property_type_inferred_from_title;transaction_assumed_sale_from_dataset_context</x:v>
      </x:c>
      <x:c r="M1080" s="10" t="n">
        <x:v>0</x:v>
      </x:c>
      <x:c r="N1080" s="10" t="n">
        <x:v>0</x:v>
      </x:c>
      <x:c r="O1080" s="2" t="str">
        <x:v>land</x:v>
      </x:c>
      <x:c r="P1080" s="10" t="n">
        <x:v>1</x:v>
      </x:c>
      <x:c r="Q1080" s="13" t="n">
        <x:f>IF(H1080="","",H1080/1000000000)</x:f>
        <x:v>0.39</x:v>
      </x:c>
      <x:c r="R1080" s="13" t="n">
        <x:f>IF(I1080="","",I1080/1000000)</x:f>
        <x:v>3.12</x:v>
      </x:c>
    </x:row>
    <x:row r="1081" ht="21" customHeight="1">
      <x:c r="A1081" s="10" t="n">
        <x:v>1405</x:v>
      </x:c>
      <x:c r="B1081" s="2" t="str">
        <x:v>bd34edd34bbe58e2cfef</x:v>
      </x:c>
      <x:c r="C1081" s="2" t="str">
        <x:v>Tp Hồ Chí Minh</x:v>
      </x:c>
      <x:c r="D1081" s="2" t="str">
        <x:v>Quận 4</x:v>
      </x:c>
      <x:c r="E1081" s="2" t="str">
        <x:v>house</x:v>
      </x:c>
      <x:c r="F1081" s="2" t="str">
        <x:v>sale_assumed</x:v>
      </x:c>
      <x:c r="G1081" s="11" t="n">
        <x:v>54</x:v>
      </x:c>
      <x:c r="H1081" s="12" t="n">
        <x:v>3800000000</x:v>
      </x:c>
      <x:c r="I1081" s="12" t="n">
        <x:v>70370370.37037037</x:v>
      </x:c>
      <x:c r="J1081" s="2" t="str">
        <x:v>total</x:v>
      </x:c>
      <x:c r="K1081" s="2" t="str">
        <x:v>top_level_area</x:v>
      </x:c>
      <x:c r="L1081" s="2" t="str">
        <x:v>property_type_inferred_from_title;transaction_assumed_sale_from_dataset_context</x:v>
      </x:c>
      <x:c r="M1081" s="10" t="n">
        <x:v>0</x:v>
      </x:c>
      <x:c r="N1081" s="10" t="n">
        <x:v>0</x:v>
      </x:c>
      <x:c r="O1081" s="2" t="str">
        <x:v>Tp Hồ Chí Minh|house</x:v>
      </x:c>
      <x:c r="P1081" s="10" t="n">
        <x:v>2</x:v>
      </x:c>
      <x:c r="Q1081" s="13" t="n">
        <x:f>IF(H1081="","",H1081/1000000000)</x:f>
        <x:v>3.8</x:v>
      </x:c>
      <x:c r="R1081" s="13" t="n">
        <x:f>IF(I1081="","",I1081/1000000)</x:f>
        <x:v>70.37037037037037</x:v>
      </x:c>
    </x:row>
    <x:row r="1082" ht="21" customHeight="1">
      <x:c r="A1082" s="10" t="n">
        <x:v>1406</x:v>
      </x:c>
      <x:c r="B1082" s="2" t="str">
        <x:v>de04b7eeeb9c64398a9a</x:v>
      </x:c>
      <x:c r="C1082" s="2" t="str">
        <x:v>Tp Hồ Chí Minh</x:v>
      </x:c>
      <x:c r="D1082" s="2" t="str">
        <x:v>Quận 7</x:v>
      </x:c>
      <x:c r="E1082" s="2" t="str">
        <x:v>apartment</x:v>
      </x:c>
      <x:c r="F1082" s="2" t="str">
        <x:v>sale</x:v>
      </x:c>
      <x:c r="G1082" s="11" t="n">
        <x:v>52</x:v>
      </x:c>
      <x:c r="H1082" s="12" t="n">
        <x:v>1450000000</x:v>
      </x:c>
      <x:c r="I1082" s="12" t="n">
        <x:v>27884615.384615384</x:v>
      </x:c>
      <x:c r="J1082" s="2" t="str">
        <x:v>total</x:v>
      </x:c>
      <x:c r="K1082" s="2" t="str">
        <x:v>top_level_area</x:v>
      </x:c>
      <x:c r="L1082" s="2" t="str">
        <x:v>property_type_inferred_from_title</x:v>
      </x:c>
      <x:c r="M1082" s="10" t="n">
        <x:v>0</x:v>
      </x:c>
      <x:c r="N1082" s="10" t="n">
        <x:v>0</x:v>
      </x:c>
      <x:c r="O1082" s="2" t="str">
        <x:v>Tp Hồ Chí Minh|apartment</x:v>
      </x:c>
      <x:c r="P1082" s="10" t="n">
        <x:v>2</x:v>
      </x:c>
      <x:c r="Q1082" s="13" t="n">
        <x:f>IF(H1082="","",H1082/1000000000)</x:f>
        <x:v>1.45</x:v>
      </x:c>
      <x:c r="R1082" s="13" t="n">
        <x:f>IF(I1082="","",I1082/1000000)</x:f>
        <x:v>27.884615384615383</x:v>
      </x:c>
    </x:row>
    <x:row r="1083" ht="21" customHeight="1">
      <x:c r="A1083" s="10" t="n">
        <x:v>1407</x:v>
      </x:c>
      <x:c r="B1083" s="2" t="str">
        <x:v>6769b9e649fd4e7e0053</x:v>
      </x:c>
      <x:c r="C1083" s="2" t="str">
        <x:v>Đà Nẵng</x:v>
      </x:c>
      <x:c r="D1083" s="2" t="str">
        <x:v>Quận Hải Châu</x:v>
      </x:c>
      <x:c r="E1083" s="2" t="str">
        <x:v>house</x:v>
      </x:c>
      <x:c r="F1083" s="2" t="str">
        <x:v>sale_assumed</x:v>
      </x:c>
      <x:c r="G1083" s="11" t="n">
        <x:v>31</x:v>
      </x:c>
      <x:c r="H1083" s="12" t="n">
        <x:v>2250000000</x:v>
      </x:c>
      <x:c r="I1083" s="12" t="n">
        <x:v>72580645.16129032</x:v>
      </x:c>
      <x:c r="J1083" s="2" t="str">
        <x:v>total</x:v>
      </x:c>
      <x:c r="K1083" s="2" t="str">
        <x:v>top_level_area</x:v>
      </x:c>
      <x:c r="L1083" s="2" t="str">
        <x:v>property_type_inferred_from_title;transaction_assumed_sale_from_dataset_context</x:v>
      </x:c>
      <x:c r="M1083" s="10" t="n">
        <x:v>0</x:v>
      </x:c>
      <x:c r="N1083" s="10" t="n">
        <x:v>0</x:v>
      </x:c>
      <x:c r="O1083" s="2" t="str">
        <x:v>Đà Nẵng|house</x:v>
      </x:c>
      <x:c r="P1083" s="10" t="n">
        <x:v>2</x:v>
      </x:c>
      <x:c r="Q1083" s="13" t="n">
        <x:f>IF(H1083="","",H1083/1000000000)</x:f>
        <x:v>2.25</x:v>
      </x:c>
      <x:c r="R1083" s="13" t="n">
        <x:f>IF(I1083="","",I1083/1000000)</x:f>
        <x:v>72.58064516129032</x:v>
      </x:c>
    </x:row>
    <x:row r="1084" ht="21" customHeight="1">
      <x:c r="A1084" s="10" t="n">
        <x:v>1408</x:v>
      </x:c>
      <x:c r="B1084" s="2" t="str">
        <x:v>294808b32fe81c9011b8</x:v>
      </x:c>
      <x:c r="C1084" s="2" t="str">
        <x:v>Đắk Lắk</x:v>
      </x:c>
      <x:c r="D1084" s="2" t="str">
        <x:v>Thành phố Buôn Ma Thuột</x:v>
      </x:c>
      <x:c r="E1084" s="2" t="str">
        <x:v>house</x:v>
      </x:c>
      <x:c r="F1084" s="2" t="str">
        <x:v>sale_assumed</x:v>
      </x:c>
      <x:c r="G1084" s="11" t="n">
        <x:v>105</x:v>
      </x:c>
      <x:c r="H1084" s="12" t="n">
        <x:v>1350000000</x:v>
      </x:c>
      <x:c r="I1084" s="12" t="n">
        <x:v>12857142.857142856</x:v>
      </x:c>
      <x:c r="J1084" s="2" t="str">
        <x:v>total</x:v>
      </x:c>
      <x:c r="K1084" s="2" t="str">
        <x:v>top_level_area</x:v>
      </x:c>
      <x:c r="L1084" s="2" t="str">
        <x:v>property_type_inferred_from_title;transaction_assumed_sale_from_dataset_context</x:v>
      </x:c>
      <x:c r="M1084" s="10" t="n">
        <x:v>0</x:v>
      </x:c>
      <x:c r="N1084" s="10" t="n">
        <x:v>0</x:v>
      </x:c>
      <x:c r="O1084" s="2" t="str">
        <x:v>Đắk Lắk|house</x:v>
      </x:c>
      <x:c r="P1084" s="10" t="n">
        <x:v>2</x:v>
      </x:c>
      <x:c r="Q1084" s="13" t="n">
        <x:f>IF(H1084="","",H1084/1000000000)</x:f>
        <x:v>1.35</x:v>
      </x:c>
      <x:c r="R1084" s="13" t="n">
        <x:f>IF(I1084="","",I1084/1000000)</x:f>
        <x:v>12.857142857142856</x:v>
      </x:c>
    </x:row>
    <x:row r="1085" ht="21" customHeight="1">
      <x:c r="A1085" s="10" t="n">
        <x:v>1409</x:v>
      </x:c>
      <x:c r="B1085" s="2" t="str">
        <x:v>781c459fe0e13d856419</x:v>
      </x:c>
      <x:c r="C1085" s="2" t="str">
        <x:v>Tp Hồ Chí Minh</x:v>
      </x:c>
      <x:c r="D1085" s="2" t="str">
        <x:v>Quận Gò Vấp</x:v>
      </x:c>
      <x:c r="E1085" s="2" t="str">
        <x:v>house</x:v>
      </x:c>
      <x:c r="F1085" s="2" t="str">
        <x:v>sale_assumed</x:v>
      </x:c>
      <x:c r="G1085" s="11" t="n">
        <x:v>80</x:v>
      </x:c>
      <x:c r="H1085" s="12" t="n">
        <x:v>6150000000</x:v>
      </x:c>
      <x:c r="I1085" s="12" t="n">
        <x:v>76875000</x:v>
      </x:c>
      <x:c r="J1085" s="2" t="str">
        <x:v>total</x:v>
      </x:c>
      <x:c r="K1085" s="2" t="str">
        <x:v>top_level_area</x:v>
      </x:c>
      <x:c r="L1085" s="2" t="str">
        <x:v>property_type_inferred_from_title;transaction_assumed_sale_from_dataset_context</x:v>
      </x:c>
      <x:c r="M1085" s="10" t="n">
        <x:v>0</x:v>
      </x:c>
      <x:c r="N1085" s="10" t="n">
        <x:v>0</x:v>
      </x:c>
      <x:c r="O1085" s="2" t="str">
        <x:v>Tp Hồ Chí Minh|house</x:v>
      </x:c>
      <x:c r="P1085" s="10" t="n">
        <x:v>2</x:v>
      </x:c>
      <x:c r="Q1085" s="13" t="n">
        <x:f>IF(H1085="","",H1085/1000000000)</x:f>
        <x:v>6.15</x:v>
      </x:c>
      <x:c r="R1085" s="13" t="n">
        <x:f>IF(I1085="","",I1085/1000000)</x:f>
        <x:v>76.875</x:v>
      </x:c>
    </x:row>
    <x:row r="1086" ht="21" customHeight="1">
      <x:c r="A1086" s="10" t="n">
        <x:v>1410</x:v>
      </x:c>
      <x:c r="B1086" s="2" t="str">
        <x:v>62476da2eddec458bb83</x:v>
      </x:c>
      <x:c r="C1086" s="2" t="str">
        <x:v>Bà Rịa - Vũng Tàu</x:v>
      </x:c>
      <x:c r="D1086" s="2" t="str">
        <x:v>Thị xã Phú Mỹ</x:v>
      </x:c>
      <x:c r="E1086" s="2" t="str">
        <x:v>land</x:v>
      </x:c>
      <x:c r="F1086" s="2" t="str">
        <x:v>sale</x:v>
      </x:c>
      <x:c r="G1086" s="11" t="n">
        <x:v>200</x:v>
      </x:c>
      <x:c r="H1086" s="12" t="n">
        <x:v>1050000000</x:v>
      </x:c>
      <x:c r="I1086" s="12" t="n">
        <x:v>5250000</x:v>
      </x:c>
      <x:c r="J1086" s="2" t="str">
        <x:v>total</x:v>
      </x:c>
      <x:c r="K1086" s="2" t="str">
        <x:v>top_level_area</x:v>
      </x:c>
      <x:c r="L1086" s="2" t="str">
        <x:v>property_type_inferred_from_title</x:v>
      </x:c>
      <x:c r="M1086" s="10" t="n">
        <x:v>0</x:v>
      </x:c>
      <x:c r="N1086" s="10" t="n">
        <x:v>0</x:v>
      </x:c>
      <x:c r="O1086" s="2" t="str">
        <x:v>Bà Rịa - Vũng Tàu|land</x:v>
      </x:c>
      <x:c r="P1086" s="10" t="n">
        <x:v>1</x:v>
      </x:c>
      <x:c r="Q1086" s="13" t="n">
        <x:f>IF(H1086="","",H1086/1000000000)</x:f>
        <x:v>1.05</x:v>
      </x:c>
      <x:c r="R1086" s="13" t="n">
        <x:f>IF(I1086="","",I1086/1000000)</x:f>
        <x:v>5.25</x:v>
      </x:c>
    </x:row>
    <x:row r="1087" ht="21" customHeight="1">
      <x:c r="A1087" s="10" t="n">
        <x:v>1411</x:v>
      </x:c>
      <x:c r="B1087" s="2" t="str">
        <x:v>8a209e43aff53d608536</x:v>
      </x:c>
      <x:c r="C1087" s="2" t="str">
        <x:v>Đồng Nai</x:v>
      </x:c>
      <x:c r="D1087" s="2" t="str">
        <x:v>Huyện Cẩm Mỹ</x:v>
      </x:c>
      <x:c r="E1087" s="2" t="str">
        <x:v>land</x:v>
      </x:c>
      <x:c r="F1087" s="2" t="str">
        <x:v>sale_assumed</x:v>
      </x:c>
      <x:c r="G1087" s="11" t="n">
        <x:v>829</x:v>
      </x:c>
      <x:c r="H1087" s="12" t="n">
        <x:v>230000000</x:v>
      </x:c>
      <x:c r="I1087" s="12" t="n">
        <x:v>277442.7020506635</x:v>
      </x:c>
      <x:c r="J1087" s="2" t="str">
        <x:v>total</x:v>
      </x:c>
      <x:c r="K1087" s="2" t="str">
        <x:v>top_level_area</x:v>
      </x:c>
      <x:c r="L1087" s="2" t="str">
        <x:v>property_type_inferred_from_title;transaction_assumed_sale_from_dataset_context</x:v>
      </x:c>
      <x:c r="M1087" s="10" t="n">
        <x:v>0</x:v>
      </x:c>
      <x:c r="N1087" s="10" t="n">
        <x:v>0</x:v>
      </x:c>
      <x:c r="O1087" s="2" t="str">
        <x:v>Đồng Nai|land</x:v>
      </x:c>
      <x:c r="P1087" s="10" t="n">
        <x:v>1</x:v>
      </x:c>
      <x:c r="Q1087" s="13" t="n">
        <x:f>IF(H1087="","",H1087/1000000000)</x:f>
        <x:v>0.23</x:v>
      </x:c>
      <x:c r="R1087" s="13" t="n">
        <x:f>IF(I1087="","",I1087/1000000)</x:f>
        <x:v>0.27744270205066346</x:v>
      </x:c>
    </x:row>
    <x:row r="1088" ht="21" customHeight="1">
      <x:c r="A1088" s="10" t="n">
        <x:v>1412</x:v>
      </x:c>
      <x:c r="B1088" s="2" t="str">
        <x:v>5f1428903014c86b9ca7</x:v>
      </x:c>
      <x:c r="C1088" s="2" t="str">
        <x:v>Tp Hồ Chí Minh</x:v>
      </x:c>
      <x:c r="D1088" s="2" t="str">
        <x:v>Huyện Củ Chi</x:v>
      </x:c>
      <x:c r="E1088" s="2" t="str">
        <x:v>house</x:v>
      </x:c>
      <x:c r="F1088" s="2" t="str">
        <x:v>sale_assumed</x:v>
      </x:c>
      <x:c r="G1088" s="11" t="n">
        <x:v>52</x:v>
      </x:c>
      <x:c r="H1088" s="12" t="n">
        <x:v>830000000</x:v>
      </x:c>
      <x:c r="I1088" s="12" t="n">
        <x:v>15961538.461538462</x:v>
      </x:c>
      <x:c r="J1088" s="2" t="str">
        <x:v>total</x:v>
      </x:c>
      <x:c r="K1088" s="2" t="str">
        <x:v>top_level_area</x:v>
      </x:c>
      <x:c r="L1088" s="2" t="str">
        <x:v>property_type_inferred_from_title;transaction_assumed_sale_from_dataset_context</x:v>
      </x:c>
      <x:c r="M1088" s="10" t="n">
        <x:v>0</x:v>
      </x:c>
      <x:c r="N1088" s="10" t="n">
        <x:v>0</x:v>
      </x:c>
      <x:c r="O1088" s="2" t="str">
        <x:v>Tp Hồ Chí Minh|house</x:v>
      </x:c>
      <x:c r="P1088" s="10" t="n">
        <x:v>2</x:v>
      </x:c>
      <x:c r="Q1088" s="13" t="n">
        <x:f>IF(H1088="","",H1088/1000000000)</x:f>
        <x:v>0.83</x:v>
      </x:c>
      <x:c r="R1088" s="13" t="n">
        <x:f>IF(I1088="","",I1088/1000000)</x:f>
        <x:v>15.961538461538462</x:v>
      </x:c>
    </x:row>
    <x:row r="1089" ht="21" customHeight="1">
      <x:c r="A1089" s="10" t="n">
        <x:v>1413</x:v>
      </x:c>
      <x:c r="B1089" s="2" t="str">
        <x:v>be807e5cb99896012d5a</x:v>
      </x:c>
      <x:c r="C1089" s="2" t="str">
        <x:v>Hà Nội</x:v>
      </x:c>
      <x:c r="D1089" s="2" t="str">
        <x:v>Huyện Hoài Đức</x:v>
      </x:c>
      <x:c r="E1089" s="2" t="str">
        <x:v>land</x:v>
      </x:c>
      <x:c r="F1089" s="2" t="str">
        <x:v>sale</x:v>
      </x:c>
      <x:c r="G1089" s="11" t="n">
        <x:v>113</x:v>
      </x:c>
      <x:c r="H1089" s="12" t="n">
        <x:v>7119000000</x:v>
      </x:c>
      <x:c r="I1089" s="12" t="n">
        <x:v>63000000</x:v>
      </x:c>
      <x:c r="J1089" s="2" t="str">
        <x:v>total</x:v>
      </x:c>
      <x:c r="K1089" s="2" t="str">
        <x:v>top_level_area</x:v>
      </x:c>
      <x:c r="L1089" s="2" t="str">
        <x:v>property_type_inferred_from_title</x:v>
      </x:c>
      <x:c r="M1089" s="10" t="n">
        <x:v>0</x:v>
      </x:c>
      <x:c r="N1089" s="10" t="n">
        <x:v>0</x:v>
      </x:c>
      <x:c r="O1089" s="2" t="str">
        <x:v>Hà Nội|land</x:v>
      </x:c>
      <x:c r="P1089" s="10" t="n">
        <x:v>2</x:v>
      </x:c>
      <x:c r="Q1089" s="13" t="n">
        <x:f>IF(H1089="","",H1089/1000000000)</x:f>
        <x:v>7.119</x:v>
      </x:c>
      <x:c r="R1089" s="13" t="n">
        <x:f>IF(I1089="","",I1089/1000000)</x:f>
        <x:v>63</x:v>
      </x:c>
    </x:row>
    <x:row r="1090" ht="21" customHeight="1">
      <x:c r="A1090" s="10" t="n">
        <x:v>1414</x:v>
      </x:c>
      <x:c r="B1090" s="2" t="str">
        <x:v>d3f18a674d96e17e457c</x:v>
      </x:c>
      <x:c r="C1090" s="2" t="str">
        <x:v>Tp Hồ Chí Minh</x:v>
      </x:c>
      <x:c r="D1090" s="2" t="str">
        <x:v>Huyện Bình Chánh</x:v>
      </x:c>
      <x:c r="E1090" s="2" t="str">
        <x:v>house</x:v>
      </x:c>
      <x:c r="F1090" s="2" t="str">
        <x:v>sale_assumed</x:v>
      </x:c>
      <x:c r="G1090" s="11" t="n">
        <x:v>36</x:v>
      </x:c>
      <x:c r="H1090" s="12" t="n">
        <x:v>380000000</x:v>
      </x:c>
      <x:c r="I1090" s="12" t="n">
        <x:v>10555555.555555556</x:v>
      </x:c>
      <x:c r="J1090" s="2" t="str">
        <x:v>total</x:v>
      </x:c>
      <x:c r="K1090" s="2" t="str">
        <x:v>top_level_area</x:v>
      </x:c>
      <x:c r="L1090" s="2" t="str">
        <x:v>property_type_inferred_from_title;transaction_assumed_sale_from_dataset_context</x:v>
      </x:c>
      <x:c r="M1090" s="10" t="n">
        <x:v>0</x:v>
      </x:c>
      <x:c r="N1090" s="10" t="n">
        <x:v>0</x:v>
      </x:c>
      <x:c r="O1090" s="2" t="str">
        <x:v>Tp Hồ Chí Minh|house</x:v>
      </x:c>
      <x:c r="P1090" s="10" t="n">
        <x:v>2</x:v>
      </x:c>
      <x:c r="Q1090" s="13" t="n">
        <x:f>IF(H1090="","",H1090/1000000000)</x:f>
        <x:v>0.38</x:v>
      </x:c>
      <x:c r="R1090" s="13" t="n">
        <x:f>IF(I1090="","",I1090/1000000)</x:f>
        <x:v>10.555555555555555</x:v>
      </x:c>
    </x:row>
    <x:row r="1091" ht="21" customHeight="1">
      <x:c r="A1091" s="10" t="n">
        <x:v>1415</x:v>
      </x:c>
      <x:c r="B1091" s="2" t="str">
        <x:v>6a6bf05d5ceeb3d1650e</x:v>
      </x:c>
      <x:c r="C1091" s="2" t="str">
        <x:v>Bình Dương</x:v>
      </x:c>
      <x:c r="D1091" s="2" t="str">
        <x:v>Thị xã Thuận An</x:v>
      </x:c>
      <x:c r="E1091" s="2" t="str">
        <x:v>house</x:v>
      </x:c>
      <x:c r="F1091" s="2" t="str">
        <x:v>sale_assumed</x:v>
      </x:c>
      <x:c r="G1091" s="11" t="n">
        <x:v>57</x:v>
      </x:c>
      <x:c r="H1091" s="12" t="n">
        <x:v>1700000000</x:v>
      </x:c>
      <x:c r="I1091" s="12" t="n">
        <x:v>29824561.40350877</x:v>
      </x:c>
      <x:c r="J1091" s="2" t="str">
        <x:v>total</x:v>
      </x:c>
      <x:c r="K1091" s="2" t="str">
        <x:v>top_level_area</x:v>
      </x:c>
      <x:c r="L1091" s="2" t="str">
        <x:v>property_type_inferred_from_title;transaction_assumed_sale_from_dataset_context</x:v>
      </x:c>
      <x:c r="M1091" s="10" t="n">
        <x:v>0</x:v>
      </x:c>
      <x:c r="N1091" s="10" t="n">
        <x:v>0</x:v>
      </x:c>
      <x:c r="O1091" s="2" t="str">
        <x:v>Bình Dương|house</x:v>
      </x:c>
      <x:c r="P1091" s="10" t="n">
        <x:v>2</x:v>
      </x:c>
      <x:c r="Q1091" s="13" t="n">
        <x:f>IF(H1091="","",H1091/1000000000)</x:f>
        <x:v>1.7</x:v>
      </x:c>
      <x:c r="R1091" s="13" t="n">
        <x:f>IF(I1091="","",I1091/1000000)</x:f>
        <x:v>29.82456140350877</x:v>
      </x:c>
    </x:row>
    <x:row r="1092" ht="21" customHeight="1">
      <x:c r="A1092" s="10" t="n">
        <x:v>1416</x:v>
      </x:c>
      <x:c r="B1092" s="2" t="str">
        <x:v>d1e680acdb0125c3bca8</x:v>
      </x:c>
      <x:c r="C1092" s="2" t="str">
        <x:v>Cần Thơ</x:v>
      </x:c>
      <x:c r="D1092" s="2" t="str">
        <x:v>Quận Ninh Kiều</x:v>
      </x:c>
      <x:c r="E1092" s="2" t="str">
        <x:v>house</x:v>
      </x:c>
      <x:c r="F1092" s="2" t="str">
        <x:v>sale_assumed</x:v>
      </x:c>
      <x:c r="G1092" s="11" t="n">
        <x:v>75</x:v>
      </x:c>
      <x:c r="H1092" s="12" t="n">
        <x:v>3250000000</x:v>
      </x:c>
      <x:c r="I1092" s="12" t="n">
        <x:v>43333333.333333336</x:v>
      </x:c>
      <x:c r="J1092" s="2" t="str">
        <x:v>total</x:v>
      </x:c>
      <x:c r="K1092" s="2" t="str">
        <x:v>top_level_area</x:v>
      </x:c>
      <x:c r="L1092" s="2" t="str">
        <x:v>property_type_inferred_from_title;transaction_assumed_sale_from_dataset_context</x:v>
      </x:c>
      <x:c r="M1092" s="10" t="n">
        <x:v>0</x:v>
      </x:c>
      <x:c r="N1092" s="10" t="n">
        <x:v>0</x:v>
      </x:c>
      <x:c r="O1092" s="2" t="str">
        <x:v>Cần Thơ|house</x:v>
      </x:c>
      <x:c r="P1092" s="10" t="n">
        <x:v>2</x:v>
      </x:c>
      <x:c r="Q1092" s="13" t="n">
        <x:f>IF(H1092="","",H1092/1000000000)</x:f>
        <x:v>3.25</x:v>
      </x:c>
      <x:c r="R1092" s="13" t="n">
        <x:f>IF(I1092="","",I1092/1000000)</x:f>
        <x:v>43.333333333333336</x:v>
      </x:c>
    </x:row>
    <x:row r="1093" ht="21" customHeight="1">
      <x:c r="A1093" s="10" t="n">
        <x:v>1417</x:v>
      </x:c>
      <x:c r="B1093" s="2" t="str">
        <x:v>d12a05edd7fdb13da4a1</x:v>
      </x:c>
      <x:c r="C1093" s="2" t="str">
        <x:v>Hà Nội</x:v>
      </x:c>
      <x:c r="D1093" s="2" t="str">
        <x:v>Quận Tây Hồ</x:v>
      </x:c>
      <x:c r="E1093" s="2" t="str">
        <x:v>house</x:v>
      </x:c>
      <x:c r="F1093" s="2" t="str">
        <x:v>sale_assumed</x:v>
      </x:c>
      <x:c r="G1093" s="11" t="n">
        <x:v>40</x:v>
      </x:c>
      <x:c r="H1093" s="12" t="n">
        <x:v>1590000000</x:v>
      </x:c>
      <x:c r="I1093" s="12" t="n">
        <x:v>39750000</x:v>
      </x:c>
      <x:c r="J1093" s="2" t="str">
        <x:v>total</x:v>
      </x:c>
      <x:c r="K1093" s="2" t="str">
        <x:v>top_level_area</x:v>
      </x:c>
      <x:c r="L1093" s="2" t="str">
        <x:v>property_type_inferred_from_title;transaction_assumed_sale_from_dataset_context</x:v>
      </x:c>
      <x:c r="M1093" s="10" t="n">
        <x:v>0</x:v>
      </x:c>
      <x:c r="N1093" s="10" t="n">
        <x:v>0</x:v>
      </x:c>
      <x:c r="O1093" s="2" t="str">
        <x:v>Hà Nội|house</x:v>
      </x:c>
      <x:c r="P1093" s="10" t="n">
        <x:v>2</x:v>
      </x:c>
      <x:c r="Q1093" s="13" t="n">
        <x:f>IF(H1093="","",H1093/1000000000)</x:f>
        <x:v>1.59</x:v>
      </x:c>
      <x:c r="R1093" s="13" t="n">
        <x:f>IF(I1093="","",I1093/1000000)</x:f>
        <x:v>39.75</x:v>
      </x:c>
    </x:row>
    <x:row r="1094" ht="21" customHeight="1">
      <x:c r="A1094" s="10" t="n">
        <x:v>1418</x:v>
      </x:c>
      <x:c r="B1094" s="2" t="str">
        <x:v>8a0338b4533ac3c9fbfd</x:v>
      </x:c>
      <x:c r="C1094" s="2" t="str">
        <x:v>Đắk Lắk</x:v>
      </x:c>
      <x:c r="D1094" s="2" t="str">
        <x:v>Thành phố Buôn Ma Thuột</x:v>
      </x:c>
      <x:c r="E1094" s="2" t="str">
        <x:v>house</x:v>
      </x:c>
      <x:c r="F1094" s="2" t="str">
        <x:v>sale</x:v>
      </x:c>
      <x:c r="G1094" s="11" t="n">
        <x:v>100</x:v>
      </x:c>
      <x:c r="H1094" s="12" t="n">
        <x:v>2485000000</x:v>
      </x:c>
      <x:c r="I1094" s="12" t="n">
        <x:v>24850000</x:v>
      </x:c>
      <x:c r="J1094" s="2" t="str">
        <x:v>total</x:v>
      </x:c>
      <x:c r="K1094" s="2" t="str">
        <x:v>top_level_area</x:v>
      </x:c>
      <x:c r="L1094" s="2" t="str">
        <x:v>property_type_inferred_from_title</x:v>
      </x:c>
      <x:c r="M1094" s="10" t="n">
        <x:v>0</x:v>
      </x:c>
      <x:c r="N1094" s="10" t="n">
        <x:v>0</x:v>
      </x:c>
      <x:c r="O1094" s="2" t="str">
        <x:v>Đắk Lắk|house</x:v>
      </x:c>
      <x:c r="P1094" s="10" t="n">
        <x:v>2</x:v>
      </x:c>
      <x:c r="Q1094" s="13" t="n">
        <x:f>IF(H1094="","",H1094/1000000000)</x:f>
        <x:v>2.485</x:v>
      </x:c>
      <x:c r="R1094" s="13" t="n">
        <x:f>IF(I1094="","",I1094/1000000)</x:f>
        <x:v>24.85</x:v>
      </x:c>
    </x:row>
    <x:row r="1095" ht="21" customHeight="1">
      <x:c r="A1095" s="10" t="n">
        <x:v>1419</x:v>
      </x:c>
      <x:c r="B1095" s="2" t="str">
        <x:v>e008c474589efc65d4f9</x:v>
      </x:c>
      <x:c r="C1095" s="2" t="str">
        <x:v>Bình Dương</x:v>
      </x:c>
      <x:c r="D1095" s="2" t="str">
        <x:v>Thành phố Thủ Dầu Một</x:v>
      </x:c>
      <x:c r="E1095" s="2" t="str">
        <x:v>other_unknown</x:v>
      </x:c>
      <x:c r="F1095" s="2" t="str">
        <x:v>sale_assumed</x:v>
      </x:c>
      <x:c r="G1095" s="11" t="n">
        <x:v>593</x:v>
      </x:c>
      <x:c r="H1095" s="12" t="n">
        <x:v>5000000000</x:v>
      </x:c>
      <x:c r="I1095" s="12" t="n">
        <x:v>8431703.204047218</x:v>
      </x:c>
      <x:c r="J1095" s="2" t="str">
        <x:v>total</x:v>
      </x:c>
      <x:c r="K1095" s="2" t="str">
        <x:v>top_level_area</x:v>
      </x:c>
      <x:c r="L1095" s="2" t="str">
        <x:v>property_type_inferred_from_title;transaction_assumed_sale_from_dataset_context;unknown_property_type</x:v>
      </x:c>
      <x:c r="M1095" s="10" t="n">
        <x:v>0</x:v>
      </x:c>
      <x:c r="N1095" s="10" t="n">
        <x:v>0</x:v>
      </x:c>
      <x:c r="O1095" s="2" t="str">
        <x:v>Bình Dương|other_unknown</x:v>
      </x:c>
      <x:c r="P1095" s="10" t="n">
        <x:v>1</x:v>
      </x:c>
      <x:c r="Q1095" s="13" t="n">
        <x:f>IF(H1095="","",H1095/1000000000)</x:f>
        <x:v>5</x:v>
      </x:c>
      <x:c r="R1095" s="13" t="n">
        <x:f>IF(I1095="","",I1095/1000000)</x:f>
        <x:v>8.431703204047219</x:v>
      </x:c>
    </x:row>
    <x:row r="1096" ht="21" customHeight="1">
      <x:c r="A1096" s="10" t="n">
        <x:v>1420</x:v>
      </x:c>
      <x:c r="B1096" s="2" t="str">
        <x:v>43a83a1ffcbd1198b700</x:v>
      </x:c>
      <x:c r="C1096" s="2" t="str">
        <x:v>Tp Hồ Chí Minh</x:v>
      </x:c>
      <x:c r="D1096" s="2" t="str">
        <x:v>Quận Tân Phú</x:v>
      </x:c>
      <x:c r="E1096" s="2" t="str">
        <x:v>house</x:v>
      </x:c>
      <x:c r="F1096" s="2" t="str">
        <x:v>sale</x:v>
      </x:c>
      <x:c r="G1096" s="11" t="n">
        <x:v>58</x:v>
      </x:c>
      <x:c r="H1096" s="12" t="n">
        <x:v>7500000000</x:v>
      </x:c>
      <x:c r="I1096" s="12" t="n">
        <x:v>129310344.8275862</x:v>
      </x:c>
      <x:c r="J1096" s="2" t="str">
        <x:v>total</x:v>
      </x:c>
      <x:c r="K1096" s="2" t="str">
        <x:v>top_level_area</x:v>
      </x:c>
      <x:c r="L1096" s="2" t="str">
        <x:v>property_type_inferred_from_title</x:v>
      </x:c>
      <x:c r="M1096" s="10" t="n">
        <x:v>0</x:v>
      </x:c>
      <x:c r="N1096" s="10" t="n">
        <x:v>0</x:v>
      </x:c>
      <x:c r="O1096" s="2" t="str">
        <x:v>Tp Hồ Chí Minh|house</x:v>
      </x:c>
      <x:c r="P1096" s="10" t="n">
        <x:v>2</x:v>
      </x:c>
      <x:c r="Q1096" s="13" t="n">
        <x:f>IF(H1096="","",H1096/1000000000)</x:f>
        <x:v>7.5</x:v>
      </x:c>
      <x:c r="R1096" s="13" t="n">
        <x:f>IF(I1096="","",I1096/1000000)</x:f>
        <x:v>129.3103448275862</x:v>
      </x:c>
    </x:row>
    <x:row r="1097" ht="21" customHeight="1">
      <x:c r="A1097" s="10" t="n">
        <x:v>1421</x:v>
      </x:c>
      <x:c r="B1097" s="2" t="str">
        <x:v>6310ea58858695ff615b</x:v>
      </x:c>
      <x:c r="C1097" s="2" t="str">
        <x:v>Đà Nẵng</x:v>
      </x:c>
      <x:c r="D1097" s="2" t="str">
        <x:v>Quận Hải Châu</x:v>
      </x:c>
      <x:c r="E1097" s="2" t="str">
        <x:v>house</x:v>
      </x:c>
      <x:c r="F1097" s="2" t="str">
        <x:v>sale</x:v>
      </x:c>
      <x:c r="G1097" s="11" t="n">
        <x:v>27</x:v>
      </x:c>
      <x:c r="H1097" s="12" t="n">
        <x:v>1680000000</x:v>
      </x:c>
      <x:c r="I1097" s="12" t="n">
        <x:v>62222222.222222224</x:v>
      </x:c>
      <x:c r="J1097" s="2" t="str">
        <x:v>total</x:v>
      </x:c>
      <x:c r="K1097" s="2" t="str">
        <x:v>top_level_area</x:v>
      </x:c>
      <x:c r="L1097" s="2" t="str">
        <x:v>property_type_inferred_from_title</x:v>
      </x:c>
      <x:c r="M1097" s="10" t="n">
        <x:v>0</x:v>
      </x:c>
      <x:c r="N1097" s="10" t="n">
        <x:v>0</x:v>
      </x:c>
      <x:c r="O1097" s="2" t="str">
        <x:v>Đà Nẵng|house</x:v>
      </x:c>
      <x:c r="P1097" s="10" t="n">
        <x:v>2</x:v>
      </x:c>
      <x:c r="Q1097" s="13" t="n">
        <x:f>IF(H1097="","",H1097/1000000000)</x:f>
        <x:v>1.68</x:v>
      </x:c>
      <x:c r="R1097" s="13" t="n">
        <x:f>IF(I1097="","",I1097/1000000)</x:f>
        <x:v>62.22222222222222</x:v>
      </x:c>
    </x:row>
    <x:row r="1098" ht="21" customHeight="1">
      <x:c r="A1098" s="10" t="n">
        <x:v>1422</x:v>
      </x:c>
      <x:c r="B1098" s="2" t="str">
        <x:v>d5d480626b45d5ba80d7</x:v>
      </x:c>
      <x:c r="C1098" s="2" t="str">
        <x:v>Đà Nẵng</x:v>
      </x:c>
      <x:c r="D1098" s="2" t="str">
        <x:v>Quận Liên Chiểu</x:v>
      </x:c>
      <x:c r="E1098" s="2" t="str">
        <x:v>land</x:v>
      </x:c>
      <x:c r="F1098" s="2" t="str">
        <x:v>sale</x:v>
      </x:c>
      <x:c r="G1098" s="11" t="n">
        <x:v>72</x:v>
      </x:c>
      <x:c r="H1098" s="12" t="n">
        <x:v>2200000000</x:v>
      </x:c>
      <x:c r="I1098" s="12" t="n">
        <x:v>30555555.555555556</x:v>
      </x:c>
      <x:c r="J1098" s="2" t="str">
        <x:v>total</x:v>
      </x:c>
      <x:c r="K1098" s="2" t="str">
        <x:v>top_level_area</x:v>
      </x:c>
      <x:c r="L1098" s="2" t="str">
        <x:v>property_type_inferred_from_title</x:v>
      </x:c>
      <x:c r="M1098" s="10" t="n">
        <x:v>0</x:v>
      </x:c>
      <x:c r="N1098" s="10" t="n">
        <x:v>0</x:v>
      </x:c>
      <x:c r="O1098" s="2" t="str">
        <x:v>Đà Nẵng|land</x:v>
      </x:c>
      <x:c r="P1098" s="10" t="n">
        <x:v>2</x:v>
      </x:c>
      <x:c r="Q1098" s="13" t="n">
        <x:f>IF(H1098="","",H1098/1000000000)</x:f>
        <x:v>2.2</x:v>
      </x:c>
      <x:c r="R1098" s="13" t="n">
        <x:f>IF(I1098="","",I1098/1000000)</x:f>
        <x:v>30.555555555555557</x:v>
      </x:c>
    </x:row>
    <x:row r="1099" ht="21" customHeight="1">
      <x:c r="A1099" s="10" t="n">
        <x:v>1423</x:v>
      </x:c>
      <x:c r="B1099" s="2" t="str">
        <x:v>8bd7df89b010941ecb9b</x:v>
      </x:c>
      <x:c r="C1099" s="2" t="str">
        <x:v>Đắk Lắk</x:v>
      </x:c>
      <x:c r="D1099" s="2" t="str">
        <x:v>Thành phố Buôn Ma Thuột</x:v>
      </x:c>
      <x:c r="E1099" s="2" t="str">
        <x:v>house</x:v>
      </x:c>
      <x:c r="F1099" s="2" t="str">
        <x:v>sale_assumed</x:v>
      </x:c>
      <x:c r="G1099" s="11" t="n">
        <x:v>260</x:v>
      </x:c>
      <x:c r="H1099" s="12" t="n">
        <x:v>570000000</x:v>
      </x:c>
      <x:c r="I1099" s="12" t="n">
        <x:v>2192307.6923076925</x:v>
      </x:c>
      <x:c r="J1099" s="2" t="str">
        <x:v>total</x:v>
      </x:c>
      <x:c r="K1099" s="2" t="str">
        <x:v>top_level_area</x:v>
      </x:c>
      <x:c r="L1099" s="2" t="str">
        <x:v>property_type_inferred_from_title;transaction_assumed_sale_from_dataset_context</x:v>
      </x:c>
      <x:c r="M1099" s="10" t="n">
        <x:v>0</x:v>
      </x:c>
      <x:c r="N1099" s="10" t="n">
        <x:v>0</x:v>
      </x:c>
      <x:c r="O1099" s="2" t="str">
        <x:v>Đắk Lắk|house</x:v>
      </x:c>
      <x:c r="P1099" s="10" t="n">
        <x:v>1</x:v>
      </x:c>
      <x:c r="Q1099" s="13" t="n">
        <x:f>IF(H1099="","",H1099/1000000000)</x:f>
        <x:v>0.57</x:v>
      </x:c>
      <x:c r="R1099" s="13" t="n">
        <x:f>IF(I1099="","",I1099/1000000)</x:f>
        <x:v>2.1923076923076925</x:v>
      </x:c>
    </x:row>
    <x:row r="1100" ht="21" customHeight="1">
      <x:c r="A1100" s="10" t="n">
        <x:v>1424</x:v>
      </x:c>
      <x:c r="B1100" s="2" t="str">
        <x:v>1d63ecde202e1a5cfb1c</x:v>
      </x:c>
      <x:c r="C1100" s="2" t="str">
        <x:v>Sóc Trăng</x:v>
      </x:c>
      <x:c r="D1100" s="2" t="str">
        <x:v>Thành phố Sóc Trăng</x:v>
      </x:c>
      <x:c r="E1100" s="2" t="str">
        <x:v>house</x:v>
      </x:c>
      <x:c r="F1100" s="2" t="str">
        <x:v>sale_assumed</x:v>
      </x:c>
      <x:c r="G1100" s="11" t="n">
        <x:v>98</x:v>
      </x:c>
      <x:c r="H1100" s="12" t="n">
        <x:v>1130000000</x:v>
      </x:c>
      <x:c r="I1100" s="12" t="n">
        <x:v>11530612.24489796</x:v>
      </x:c>
      <x:c r="J1100" s="2" t="str">
        <x:v>total</x:v>
      </x:c>
      <x:c r="K1100" s="2" t="str">
        <x:v>top_level_area</x:v>
      </x:c>
      <x:c r="L1100" s="2" t="str">
        <x:v>property_type_inferred_from_title;transaction_assumed_sale_from_dataset_context</x:v>
      </x:c>
      <x:c r="M1100" s="10" t="n">
        <x:v>0</x:v>
      </x:c>
      <x:c r="N1100" s="10" t="n">
        <x:v>0</x:v>
      </x:c>
      <x:c r="O1100" s="2" t="str">
        <x:v>house</x:v>
      </x:c>
      <x:c r="P1100" s="10" t="n">
        <x:v>2</x:v>
      </x:c>
      <x:c r="Q1100" s="13" t="n">
        <x:f>IF(H1100="","",H1100/1000000000)</x:f>
        <x:v>1.13</x:v>
      </x:c>
      <x:c r="R1100" s="13" t="n">
        <x:f>IF(I1100="","",I1100/1000000)</x:f>
        <x:v>11.53061224489796</x:v>
      </x:c>
    </x:row>
    <x:row r="1101" ht="21" customHeight="1">
      <x:c r="A1101" s="10" t="n">
        <x:v>1425</x:v>
      </x:c>
      <x:c r="B1101" s="2" t="str">
        <x:v>777b31b226d88b05d5dc</x:v>
      </x:c>
      <x:c r="C1101" s="2" t="str">
        <x:v>Thanh Hóa</x:v>
      </x:c>
      <x:c r="D1101" s="2" t="str">
        <x:v>Thành phố Thanh Hóa</x:v>
      </x:c>
      <x:c r="E1101" s="2" t="str">
        <x:v>land</x:v>
      </x:c>
      <x:c r="F1101" s="2" t="str">
        <x:v>sale_assumed</x:v>
      </x:c>
      <x:c r="G1101" s="11" t="n">
        <x:v>100</x:v>
      </x:c>
      <x:c r="H1101" s="12" t="n">
        <x:v>123460000</x:v>
      </x:c>
      <x:c r="I1101" s="12" t="n">
        <x:v>1234600</x:v>
      </x:c>
      <x:c r="J1101" s="2" t="str">
        <x:v>total</x:v>
      </x:c>
      <x:c r="K1101" s="2" t="str">
        <x:v>top_level_area</x:v>
      </x:c>
      <x:c r="L1101" s="2" t="str">
        <x:v>property_type_inferred_from_title;transaction_assumed_sale_from_dataset_context</x:v>
      </x:c>
      <x:c r="M1101" s="10" t="n">
        <x:v>0</x:v>
      </x:c>
      <x:c r="N1101" s="10" t="n">
        <x:v>0</x:v>
      </x:c>
      <x:c r="O1101" s="2" t="str">
        <x:v>land</x:v>
      </x:c>
      <x:c r="P1101" s="10" t="n">
        <x:v>1</x:v>
      </x:c>
      <x:c r="Q1101" s="13" t="n">
        <x:f>IF(H1101="","",H1101/1000000000)</x:f>
        <x:v>0.12346</x:v>
      </x:c>
      <x:c r="R1101" s="13" t="n">
        <x:f>IF(I1101="","",I1101/1000000)</x:f>
        <x:v>1.2346</x:v>
      </x:c>
    </x:row>
    <x:row r="1102" ht="21" customHeight="1">
      <x:c r="A1102" s="10" t="n">
        <x:v>1426</x:v>
      </x:c>
      <x:c r="B1102" s="2" t="str">
        <x:v>1244fc665be1564cde61</x:v>
      </x:c>
      <x:c r="C1102" s="2" t="str">
        <x:v>Tp Hồ Chí Minh</x:v>
      </x:c>
      <x:c r="D1102" s="2" t="str">
        <x:v>Quận Thủ Đức</x:v>
      </x:c>
      <x:c r="E1102" s="2" t="str">
        <x:v>house</x:v>
      </x:c>
      <x:c r="F1102" s="2" t="str">
        <x:v>sale_assumed</x:v>
      </x:c>
      <x:c r="G1102" s="11" t="n">
        <x:v>50</x:v>
      </x:c>
      <x:c r="H1102" s="12" t="n">
        <x:v>1550000000</x:v>
      </x:c>
      <x:c r="I1102" s="12" t="n">
        <x:v>31000000</x:v>
      </x:c>
      <x:c r="J1102" s="2" t="str">
        <x:v>total</x:v>
      </x:c>
      <x:c r="K1102" s="2" t="str">
        <x:v>top_level_area</x:v>
      </x:c>
      <x:c r="L1102" s="2" t="str">
        <x:v>property_type_inferred_from_title;transaction_assumed_sale_from_dataset_context</x:v>
      </x:c>
      <x:c r="M1102" s="10" t="n">
        <x:v>0</x:v>
      </x:c>
      <x:c r="N1102" s="10" t="n">
        <x:v>0</x:v>
      </x:c>
      <x:c r="O1102" s="2" t="str">
        <x:v>Tp Hồ Chí Minh|house</x:v>
      </x:c>
      <x:c r="P1102" s="10" t="n">
        <x:v>2</x:v>
      </x:c>
      <x:c r="Q1102" s="13" t="n">
        <x:f>IF(H1102="","",H1102/1000000000)</x:f>
        <x:v>1.55</x:v>
      </x:c>
      <x:c r="R1102" s="13" t="n">
        <x:f>IF(I1102="","",I1102/1000000)</x:f>
        <x:v>31</x:v>
      </x:c>
    </x:row>
    <x:row r="1103" ht="21" customHeight="1">
      <x:c r="A1103" s="10" t="n">
        <x:v>1427</x:v>
      </x:c>
      <x:c r="B1103" s="2" t="str">
        <x:v>cfa2e773ad46780e2f13</x:v>
      </x:c>
      <x:c r="C1103" s="2" t="str">
        <x:v>Tp Hồ Chí Minh</x:v>
      </x:c>
      <x:c r="D1103" s="2" t="str">
        <x:v>Quận 12</x:v>
      </x:c>
      <x:c r="E1103" s="2" t="str">
        <x:v>house</x:v>
      </x:c>
      <x:c r="F1103" s="2" t="str">
        <x:v>sale_assumed</x:v>
      </x:c>
      <x:c r="G1103" s="11" t="n">
        <x:v>32</x:v>
      </x:c>
      <x:c r="H1103" s="12" t="n">
        <x:v>640000000</x:v>
      </x:c>
      <x:c r="I1103" s="12" t="n">
        <x:v>20000000</x:v>
      </x:c>
      <x:c r="J1103" s="2" t="str">
        <x:v>total</x:v>
      </x:c>
      <x:c r="K1103" s="2" t="str">
        <x:v>top_level_price_embedded_area</x:v>
      </x:c>
      <x:c r="L1103" s="2" t="str">
        <x:v>area_recovered_from_price_text;property_type_inferred_from_title;transaction_assumed_sale_from_dataset_context</x:v>
      </x:c>
      <x:c r="M1103" s="10" t="n">
        <x:v>0</x:v>
      </x:c>
      <x:c r="N1103" s="10" t="n">
        <x:v>0</x:v>
      </x:c>
      <x:c r="O1103" s="2" t="str">
        <x:v>Tp Hồ Chí Minh|house</x:v>
      </x:c>
      <x:c r="P1103" s="10" t="n">
        <x:v>2</x:v>
      </x:c>
      <x:c r="Q1103" s="13" t="n">
        <x:f>IF(H1103="","",H1103/1000000000)</x:f>
        <x:v>0.64</x:v>
      </x:c>
      <x:c r="R1103" s="13" t="n">
        <x:f>IF(I1103="","",I1103/1000000)</x:f>
        <x:v>20</x:v>
      </x:c>
    </x:row>
    <x:row r="1104" ht="21" customHeight="1">
      <x:c r="A1104" s="10" t="n">
        <x:v>1428</x:v>
      </x:c>
      <x:c r="B1104" s="2" t="str">
        <x:v>982e3bb5cdc2c30211d3</x:v>
      </x:c>
      <x:c r="C1104" s="2" t="str">
        <x:v>Đà Nẵng</x:v>
      </x:c>
      <x:c r="D1104" s="2" t="str">
        <x:v>Quận Hải Châu</x:v>
      </x:c>
      <x:c r="E1104" s="2" t="str">
        <x:v>land</x:v>
      </x:c>
      <x:c r="F1104" s="2" t="str">
        <x:v>sale_assumed</x:v>
      </x:c>
      <x:c r="G1104" s="11" t="n">
        <x:v>65</x:v>
      </x:c>
      <x:c r="H1104" s="12" t="n">
        <x:v>2695000000</x:v>
      </x:c>
      <x:c r="I1104" s="12" t="n">
        <x:v>41461538.461538464</x:v>
      </x:c>
      <x:c r="J1104" s="2" t="str">
        <x:v>total</x:v>
      </x:c>
      <x:c r="K1104" s="2" t="str">
        <x:v>top_level_area</x:v>
      </x:c>
      <x:c r="L1104" s="2" t="str">
        <x:v>property_type_inferred_from_title;transaction_assumed_sale_from_dataset_context</x:v>
      </x:c>
      <x:c r="M1104" s="10" t="n">
        <x:v>0</x:v>
      </x:c>
      <x:c r="N1104" s="10" t="n">
        <x:v>0</x:v>
      </x:c>
      <x:c r="O1104" s="2" t="str">
        <x:v>Đà Nẵng|land</x:v>
      </x:c>
      <x:c r="P1104" s="10" t="n">
        <x:v>2</x:v>
      </x:c>
      <x:c r="Q1104" s="13" t="n">
        <x:f>IF(H1104="","",H1104/1000000000)</x:f>
        <x:v>2.695</x:v>
      </x:c>
      <x:c r="R1104" s="13" t="n">
        <x:f>IF(I1104="","",I1104/1000000)</x:f>
        <x:v>41.46153846153847</x:v>
      </x:c>
    </x:row>
    <x:row r="1105" ht="21" customHeight="1">
      <x:c r="A1105" s="10" t="n">
        <x:v>1429</x:v>
      </x:c>
      <x:c r="B1105" s="2" t="str">
        <x:v>e548b9d5d13f7eb50f96</x:v>
      </x:c>
      <x:c r="C1105" s="2" t="str">
        <x:v>Tp Hồ Chí Minh</x:v>
      </x:c>
      <x:c r="D1105" s="2" t="str">
        <x:v>Quận Gò Vấp</x:v>
      </x:c>
      <x:c r="E1105" s="2" t="str">
        <x:v>house</x:v>
      </x:c>
      <x:c r="F1105" s="2" t="str">
        <x:v>sale_assumed</x:v>
      </x:c>
      <x:c r="G1105" s="11" t="n">
        <x:v>36</x:v>
      </x:c>
      <x:c r="H1105" s="12" t="n">
        <x:v>830000000</x:v>
      </x:c>
      <x:c r="I1105" s="12" t="n">
        <x:v>23055555.555555556</x:v>
      </x:c>
      <x:c r="J1105" s="2" t="str">
        <x:v>total</x:v>
      </x:c>
      <x:c r="K1105" s="2" t="str">
        <x:v>top_level_area</x:v>
      </x:c>
      <x:c r="L1105" s="2" t="str">
        <x:v>property_type_inferred_from_title;transaction_assumed_sale_from_dataset_context</x:v>
      </x:c>
      <x:c r="M1105" s="10" t="n">
        <x:v>0</x:v>
      </x:c>
      <x:c r="N1105" s="10" t="n">
        <x:v>0</x:v>
      </x:c>
      <x:c r="O1105" s="2" t="str">
        <x:v>Tp Hồ Chí Minh|house</x:v>
      </x:c>
      <x:c r="P1105" s="10" t="n">
        <x:v>2</x:v>
      </x:c>
      <x:c r="Q1105" s="13" t="n">
        <x:f>IF(H1105="","",H1105/1000000000)</x:f>
        <x:v>0.83</x:v>
      </x:c>
      <x:c r="R1105" s="13" t="n">
        <x:f>IF(I1105="","",I1105/1000000)</x:f>
        <x:v>23.055555555555557</x:v>
      </x:c>
    </x:row>
    <x:row r="1106" ht="21" customHeight="1">
      <x:c r="A1106" s="10" t="n">
        <x:v>1430</x:v>
      </x:c>
      <x:c r="B1106" s="2" t="str">
        <x:v>6731979eba89d29d28e9</x:v>
      </x:c>
      <x:c r="C1106" s="2" t="str">
        <x:v>Tp Hồ Chí Minh</x:v>
      </x:c>
      <x:c r="D1106" s="2" t="str">
        <x:v>Quận Bình Tân</x:v>
      </x:c>
      <x:c r="E1106" s="2" t="str">
        <x:v>house</x:v>
      </x:c>
      <x:c r="F1106" s="2" t="str">
        <x:v>sale</x:v>
      </x:c>
      <x:c r="G1106" s="11" t="n">
        <x:v>60</x:v>
      </x:c>
      <x:c r="H1106" s="12" t="n">
        <x:v>3250000000</x:v>
      </x:c>
      <x:c r="I1106" s="12" t="n">
        <x:v>54166666.666666664</x:v>
      </x:c>
      <x:c r="J1106" s="2" t="str">
        <x:v>total</x:v>
      </x:c>
      <x:c r="K1106" s="2" t="str">
        <x:v>top_level_area</x:v>
      </x:c>
      <x:c r="L1106" s="2" t="str">
        <x:v>property_type_inferred_from_title</x:v>
      </x:c>
      <x:c r="M1106" s="10" t="n">
        <x:v>0</x:v>
      </x:c>
      <x:c r="N1106" s="10" t="n">
        <x:v>0</x:v>
      </x:c>
      <x:c r="O1106" s="2" t="str">
        <x:v>Tp Hồ Chí Minh|house</x:v>
      </x:c>
      <x:c r="P1106" s="10" t="n">
        <x:v>2</x:v>
      </x:c>
      <x:c r="Q1106" s="13" t="n">
        <x:f>IF(H1106="","",H1106/1000000000)</x:f>
        <x:v>3.25</x:v>
      </x:c>
      <x:c r="R1106" s="13" t="n">
        <x:f>IF(I1106="","",I1106/1000000)</x:f>
        <x:v>54.166666666666664</x:v>
      </x:c>
    </x:row>
    <x:row r="1107" ht="21" customHeight="1">
      <x:c r="A1107" s="10" t="n">
        <x:v>1431</x:v>
      </x:c>
      <x:c r="B1107" s="2" t="str">
        <x:v>9cda85ebe543c99ab860</x:v>
      </x:c>
      <x:c r="C1107" s="2" t="str">
        <x:v>Cà Mau</x:v>
      </x:c>
      <x:c r="D1107" s="2" t="str">
        <x:v>Thành phố Cà Mau</x:v>
      </x:c>
      <x:c r="E1107" s="2" t="str">
        <x:v>land</x:v>
      </x:c>
      <x:c r="F1107" s="2" t="str">
        <x:v>sale</x:v>
      </x:c>
      <x:c r="G1107" s="11" t="n">
        <x:v>121.5</x:v>
      </x:c>
      <x:c r="H1107" s="12" t="n">
        <x:v>770000000</x:v>
      </x:c>
      <x:c r="I1107" s="12" t="n">
        <x:v>6337448.559670782</x:v>
      </x:c>
      <x:c r="J1107" s="2" t="str">
        <x:v>total</x:v>
      </x:c>
      <x:c r="K1107" s="2" t="str">
        <x:v>top_level_area</x:v>
      </x:c>
      <x:c r="L1107" s="2" t="str">
        <x:v>property_type_inferred_from_title</x:v>
      </x:c>
      <x:c r="M1107" s="10" t="n">
        <x:v>0</x:v>
      </x:c>
      <x:c r="N1107" s="10" t="n">
        <x:v>0</x:v>
      </x:c>
      <x:c r="O1107" s="2" t="str">
        <x:v>land</x:v>
      </x:c>
      <x:c r="P1107" s="10" t="n">
        <x:v>2</x:v>
      </x:c>
      <x:c r="Q1107" s="13" t="n">
        <x:f>IF(H1107="","",H1107/1000000000)</x:f>
        <x:v>0.77</x:v>
      </x:c>
      <x:c r="R1107" s="13" t="n">
        <x:f>IF(I1107="","",I1107/1000000)</x:f>
        <x:v>6.337448559670782</x:v>
      </x:c>
    </x:row>
    <x:row r="1108" ht="21" customHeight="1">
      <x:c r="A1108" s="10" t="n">
        <x:v>1432</x:v>
      </x:c>
      <x:c r="B1108" s="2" t="str">
        <x:v>0a309ef112b93b4eb7a0</x:v>
      </x:c>
      <x:c r="C1108" s="2" t="str">
        <x:v>Tp Hồ Chí Minh</x:v>
      </x:c>
      <x:c r="D1108" s="2" t="str">
        <x:v>Quận 9</x:v>
      </x:c>
      <x:c r="E1108" s="2" t="str">
        <x:v>other_unknown</x:v>
      </x:c>
      <x:c r="F1108" s="2" t="str">
        <x:v>sale_assumed</x:v>
      </x:c>
      <x:c r="G1108" s="11" t="n">
        <x:v>102</x:v>
      </x:c>
      <x:c r="H1108" s="12" t="n">
        <x:v>14100000000</x:v>
      </x:c>
      <x:c r="I1108" s="12" t="n">
        <x:v>138235294.11764705</x:v>
      </x:c>
      <x:c r="J1108" s="2" t="str">
        <x:v>total</x:v>
      </x:c>
      <x:c r="K1108" s="2" t="str">
        <x:v>top_level_area</x:v>
      </x:c>
      <x:c r="L1108" s="2" t="str">
        <x:v>property_type_inferred_from_title;province_alias_normalized;transaction_assumed_sale_from_dataset_context;unknown_property_type</x:v>
      </x:c>
      <x:c r="M1108" s="10" t="n">
        <x:v>0</x:v>
      </x:c>
      <x:c r="N1108" s="10" t="n">
        <x:v>0</x:v>
      </x:c>
      <x:c r="O1108" s="2" t="str">
        <x:v>Tp Hồ Chí Minh|other_unknown</x:v>
      </x:c>
      <x:c r="P1108" s="10" t="n">
        <x:v>2</x:v>
      </x:c>
      <x:c r="Q1108" s="13" t="n">
        <x:f>IF(H1108="","",H1108/1000000000)</x:f>
        <x:v>14.1</x:v>
      </x:c>
      <x:c r="R1108" s="13" t="n">
        <x:f>IF(I1108="","",I1108/1000000)</x:f>
        <x:v>138.23529411764704</x:v>
      </x:c>
    </x:row>
    <x:row r="1109" ht="21" customHeight="1">
      <x:c r="A1109" s="10" t="n">
        <x:v>1433</x:v>
      </x:c>
      <x:c r="B1109" s="2" t="str">
        <x:v>4d55607ca0b08fb2e2d3</x:v>
      </x:c>
      <x:c r="C1109" s="2" t="str">
        <x:v>Tp Hồ Chí Minh</x:v>
      </x:c>
      <x:c r="D1109" s="2" t="str">
        <x:v>Quận 12</x:v>
      </x:c>
      <x:c r="E1109" s="2" t="str">
        <x:v>house</x:v>
      </x:c>
      <x:c r="F1109" s="2" t="str">
        <x:v>sale</x:v>
      </x:c>
      <x:c r="G1109" s="11" t="n">
        <x:v>70</x:v>
      </x:c>
      <x:c r="H1109" s="12" t="n">
        <x:v>1290000000</x:v>
      </x:c>
      <x:c r="I1109" s="12" t="n">
        <x:v>18428571.42857143</x:v>
      </x:c>
      <x:c r="J1109" s="2" t="str">
        <x:v>total</x:v>
      </x:c>
      <x:c r="K1109" s="2" t="str">
        <x:v>top_level_area</x:v>
      </x:c>
      <x:c r="L1109" s="2" t="str">
        <x:v>property_type_inferred_from_title</x:v>
      </x:c>
      <x:c r="M1109" s="10" t="n">
        <x:v>0</x:v>
      </x:c>
      <x:c r="N1109" s="10" t="n">
        <x:v>0</x:v>
      </x:c>
      <x:c r="O1109" s="2" t="str">
        <x:v>Tp Hồ Chí Minh|house</x:v>
      </x:c>
      <x:c r="P1109" s="10" t="n">
        <x:v>2</x:v>
      </x:c>
      <x:c r="Q1109" s="13" t="n">
        <x:f>IF(H1109="","",H1109/1000000000)</x:f>
        <x:v>1.29</x:v>
      </x:c>
      <x:c r="R1109" s="13" t="n">
        <x:f>IF(I1109="","",I1109/1000000)</x:f>
        <x:v>18.42857142857143</x:v>
      </x:c>
    </x:row>
    <x:row r="1110" ht="21" customHeight="1">
      <x:c r="A1110" s="10" t="n">
        <x:v>1434</x:v>
      </x:c>
      <x:c r="B1110" s="2" t="str">
        <x:v>49a9dc2bed4e486a6286</x:v>
      </x:c>
      <x:c r="C1110" s="2" t="str">
        <x:v>Tp Hồ Chí Minh</x:v>
      </x:c>
      <x:c r="D1110" s="2" t="str">
        <x:v>Quận Bình Thạnh</x:v>
      </x:c>
      <x:c r="E1110" s="2" t="str">
        <x:v>house</x:v>
      </x:c>
      <x:c r="F1110" s="2" t="str">
        <x:v>sale_assumed</x:v>
      </x:c>
      <x:c r="G1110" s="11" t="n">
        <x:v>39</x:v>
      </x:c>
      <x:c r="H1110" s="12" t="n">
        <x:v>6000000000</x:v>
      </x:c>
      <x:c r="I1110" s="12" t="n">
        <x:v>153846153.84615386</x:v>
      </x:c>
      <x:c r="J1110" s="2" t="str">
        <x:v>total</x:v>
      </x:c>
      <x:c r="K1110" s="2" t="str">
        <x:v>top_level_area</x:v>
      </x:c>
      <x:c r="L1110" s="2" t="str">
        <x:v>property_type_inferred_from_title;transaction_assumed_sale_from_dataset_context</x:v>
      </x:c>
      <x:c r="M1110" s="10" t="n">
        <x:v>0</x:v>
      </x:c>
      <x:c r="N1110" s="10" t="n">
        <x:v>0</x:v>
      </x:c>
      <x:c r="O1110" s="2" t="str">
        <x:v>Tp Hồ Chí Minh|house</x:v>
      </x:c>
      <x:c r="P1110" s="10" t="n">
        <x:v>2</x:v>
      </x:c>
      <x:c r="Q1110" s="13" t="n">
        <x:f>IF(H1110="","",H1110/1000000000)</x:f>
        <x:v>6</x:v>
      </x:c>
      <x:c r="R1110" s="13" t="n">
        <x:f>IF(I1110="","",I1110/1000000)</x:f>
        <x:v>153.84615384615387</x:v>
      </x:c>
    </x:row>
    <x:row r="1111" ht="21" customHeight="1">
      <x:c r="A1111" s="10" t="n">
        <x:v>1437</x:v>
      </x:c>
      <x:c r="B1111" s="2" t="str">
        <x:v>f8bfcad23c7bf1f1caf7</x:v>
      </x:c>
      <x:c r="C1111" s="2" t="str">
        <x:v>Đồng Nai</x:v>
      </x:c>
      <x:c r="D1111" s="2" t="str">
        <x:v>Huyện Định Quán</x:v>
      </x:c>
      <x:c r="E1111" s="2" t="str">
        <x:v>land</x:v>
      </x:c>
      <x:c r="F1111" s="2" t="str">
        <x:v>sale</x:v>
      </x:c>
      <x:c r="G1111" s="11" t="n">
        <x:v>1400</x:v>
      </x:c>
      <x:c r="H1111" s="12" t="n">
        <x:v>700000000</x:v>
      </x:c>
      <x:c r="I1111" s="12" t="n">
        <x:v>500000</x:v>
      </x:c>
      <x:c r="J1111" s="2" t="str">
        <x:v>total</x:v>
      </x:c>
      <x:c r="K1111" s="2" t="str">
        <x:v>top_level_area</x:v>
      </x:c>
      <x:c r="L1111" s="2" t="str">
        <x:v>dot_thousands_convention;property_type_inferred_from_title</x:v>
      </x:c>
      <x:c r="M1111" s="10" t="n">
        <x:v>0</x:v>
      </x:c>
      <x:c r="N1111" s="10" t="n">
        <x:v>0</x:v>
      </x:c>
      <x:c r="O1111" s="2" t="str">
        <x:v>Đồng Nai|land</x:v>
      </x:c>
      <x:c r="P1111" s="10" t="n">
        <x:v>1</x:v>
      </x:c>
      <x:c r="Q1111" s="13" t="n">
        <x:f>IF(H1111="","",H1111/1000000000)</x:f>
        <x:v>0.7</x:v>
      </x:c>
      <x:c r="R1111" s="13" t="n">
        <x:f>IF(I1111="","",I1111/1000000)</x:f>
        <x:v>0.5</x:v>
      </x:c>
    </x:row>
    <x:row r="1112" ht="21" customHeight="1">
      <x:c r="A1112" s="10" t="n">
        <x:v>1438</x:v>
      </x:c>
      <x:c r="B1112" s="2" t="str">
        <x:v>8d0b72fe143a9105cded</x:v>
      </x:c>
      <x:c r="C1112" s="2" t="str">
        <x:v>Tp Hồ Chí Minh</x:v>
      </x:c>
      <x:c r="D1112" s="2" t="str">
        <x:v>Quận 12</x:v>
      </x:c>
      <x:c r="E1112" s="2" t="str">
        <x:v>house</x:v>
      </x:c>
      <x:c r="F1112" s="2" t="str">
        <x:v>sale_assumed</x:v>
      </x:c>
      <x:c r="G1112" s="11" t="n">
        <x:v>60</x:v>
      </x:c>
      <x:c r="H1112" s="12" t="n">
        <x:v>3400000000</x:v>
      </x:c>
      <x:c r="I1112" s="12" t="n">
        <x:v>56666666.666666664</x:v>
      </x:c>
      <x:c r="J1112" s="2" t="str">
        <x:v>total</x:v>
      </x:c>
      <x:c r="K1112" s="2" t="str">
        <x:v>top_level_area</x:v>
      </x:c>
      <x:c r="L1112" s="2" t="str">
        <x:v>property_type_inferred_from_title;transaction_assumed_sale_from_dataset_context</x:v>
      </x:c>
      <x:c r="M1112" s="10" t="n">
        <x:v>0</x:v>
      </x:c>
      <x:c r="N1112" s="10" t="n">
        <x:v>0</x:v>
      </x:c>
      <x:c r="O1112" s="2" t="str">
        <x:v>Tp Hồ Chí Minh|house</x:v>
      </x:c>
      <x:c r="P1112" s="10" t="n">
        <x:v>2</x:v>
      </x:c>
      <x:c r="Q1112" s="13" t="n">
        <x:f>IF(H1112="","",H1112/1000000000)</x:f>
        <x:v>3.4</x:v>
      </x:c>
      <x:c r="R1112" s="13" t="n">
        <x:f>IF(I1112="","",I1112/1000000)</x:f>
        <x:v>56.666666666666664</x:v>
      </x:c>
    </x:row>
    <x:row r="1113" ht="21" customHeight="1">
      <x:c r="A1113" s="10" t="n">
        <x:v>1439</x:v>
      </x:c>
      <x:c r="B1113" s="2" t="str">
        <x:v>d07e6bc378cdecd5b39d</x:v>
      </x:c>
      <x:c r="C1113" s="2" t="str">
        <x:v>Tp Hồ Chí Minh</x:v>
      </x:c>
      <x:c r="D1113" s="2" t="str">
        <x:v>Quận Phú Nhuận</x:v>
      </x:c>
      <x:c r="E1113" s="2" t="str">
        <x:v>other_unknown</x:v>
      </x:c>
      <x:c r="F1113" s="2" t="str">
        <x:v>sale_assumed</x:v>
      </x:c>
      <x:c r="G1113" s="11" t="n">
        <x:v>35</x:v>
      </x:c>
      <x:c r="H1113" s="12" t="n">
        <x:v>4400000000</x:v>
      </x:c>
      <x:c r="I1113" s="12" t="n">
        <x:v>125714285.71428572</x:v>
      </x:c>
      <x:c r="J1113" s="2" t="str">
        <x:v>total</x:v>
      </x:c>
      <x:c r="K1113" s="2" t="str">
        <x:v>top_level_area</x:v>
      </x:c>
      <x:c r="L1113" s="2" t="str">
        <x:v>property_type_inferred_from_title;transaction_assumed_sale_from_dataset_context;unknown_property_type</x:v>
      </x:c>
      <x:c r="M1113" s="10" t="n">
        <x:v>0</x:v>
      </x:c>
      <x:c r="N1113" s="10" t="n">
        <x:v>0</x:v>
      </x:c>
      <x:c r="O1113" s="2" t="str">
        <x:v>Tp Hồ Chí Minh|other_unknown</x:v>
      </x:c>
      <x:c r="P1113" s="10" t="n">
        <x:v>2</x:v>
      </x:c>
      <x:c r="Q1113" s="13" t="n">
        <x:f>IF(H1113="","",H1113/1000000000)</x:f>
        <x:v>4.4</x:v>
      </x:c>
      <x:c r="R1113" s="13" t="n">
        <x:f>IF(I1113="","",I1113/1000000)</x:f>
        <x:v>125.71428571428572</x:v>
      </x:c>
    </x:row>
    <x:row r="1114" ht="21" customHeight="1">
      <x:c r="A1114" s="10" t="n">
        <x:v>1440</x:v>
      </x:c>
      <x:c r="B1114" s="2" t="str">
        <x:v>abe9fbd5997c6d35f777</x:v>
      </x:c>
      <x:c r="C1114" s="2" t="str">
        <x:v>Tp Hồ Chí Minh</x:v>
      </x:c>
      <x:c r="D1114" s="2" t="str">
        <x:v>Quận 10</x:v>
      </x:c>
      <x:c r="E1114" s="2" t="str">
        <x:v>house</x:v>
      </x:c>
      <x:c r="F1114" s="2" t="str">
        <x:v>sale</x:v>
      </x:c>
      <x:c r="G1114" s="11" t="n">
        <x:v>47</x:v>
      </x:c>
      <x:c r="H1114" s="12" t="n">
        <x:v>5500000000</x:v>
      </x:c>
      <x:c r="I1114" s="12" t="n">
        <x:v>117021276.59574468</x:v>
      </x:c>
      <x:c r="J1114" s="2" t="str">
        <x:v>total</x:v>
      </x:c>
      <x:c r="K1114" s="2" t="str">
        <x:v>top_level_area</x:v>
      </x:c>
      <x:c r="L1114" s="2" t="str">
        <x:v>property_type_inferred_from_title</x:v>
      </x:c>
      <x:c r="M1114" s="10" t="n">
        <x:v>0</x:v>
      </x:c>
      <x:c r="N1114" s="10" t="n">
        <x:v>0</x:v>
      </x:c>
      <x:c r="O1114" s="2" t="str">
        <x:v>Tp Hồ Chí Minh|house</x:v>
      </x:c>
      <x:c r="P1114" s="10" t="n">
        <x:v>2</x:v>
      </x:c>
      <x:c r="Q1114" s="13" t="n">
        <x:f>IF(H1114="","",H1114/1000000000)</x:f>
        <x:v>5.5</x:v>
      </x:c>
      <x:c r="R1114" s="13" t="n">
        <x:f>IF(I1114="","",I1114/1000000)</x:f>
        <x:v>117.02127659574468</x:v>
      </x:c>
    </x:row>
    <x:row r="1115" ht="21" customHeight="1">
      <x:c r="A1115" s="10" t="n">
        <x:v>1441</x:v>
      </x:c>
      <x:c r="B1115" s="2" t="str">
        <x:v>909111aee61cae9f9670</x:v>
      </x:c>
      <x:c r="C1115" s="2" t="str">
        <x:v>Tp Hồ Chí Minh</x:v>
      </x:c>
      <x:c r="D1115" s="2" t="str">
        <x:v>Quận Gò Vấp</x:v>
      </x:c>
      <x:c r="E1115" s="2" t="str">
        <x:v>house</x:v>
      </x:c>
      <x:c r="F1115" s="2" t="str">
        <x:v>sale_assumed</x:v>
      </x:c>
      <x:c r="G1115" s="11" t="n">
        <x:v>72</x:v>
      </x:c>
      <x:c r="H1115" s="12" t="n">
        <x:v>8400000000</x:v>
      </x:c>
      <x:c r="I1115" s="12" t="n">
        <x:v>116666666.66666667</x:v>
      </x:c>
      <x:c r="J1115" s="2" t="str">
        <x:v>total</x:v>
      </x:c>
      <x:c r="K1115" s="2" t="str">
        <x:v>top_level_area</x:v>
      </x:c>
      <x:c r="L1115" s="2" t="str">
        <x:v>property_type_inferred_from_title;transaction_assumed_sale_from_dataset_context</x:v>
      </x:c>
      <x:c r="M1115" s="10" t="n">
        <x:v>0</x:v>
      </x:c>
      <x:c r="N1115" s="10" t="n">
        <x:v>0</x:v>
      </x:c>
      <x:c r="O1115" s="2" t="str">
        <x:v>Tp Hồ Chí Minh|house</x:v>
      </x:c>
      <x:c r="P1115" s="10" t="n">
        <x:v>2</x:v>
      </x:c>
      <x:c r="Q1115" s="13" t="n">
        <x:f>IF(H1115="","",H1115/1000000000)</x:f>
        <x:v>8.4</x:v>
      </x:c>
      <x:c r="R1115" s="13" t="n">
        <x:f>IF(I1115="","",I1115/1000000)</x:f>
        <x:v>116.66666666666667</x:v>
      </x:c>
    </x:row>
    <x:row r="1116" ht="21" customHeight="1">
      <x:c r="A1116" s="10" t="n">
        <x:v>1442</x:v>
      </x:c>
      <x:c r="B1116" s="2" t="str">
        <x:v>7ed195450c800311f79b</x:v>
      </x:c>
      <x:c r="C1116" s="2" t="str">
        <x:v>Tp Hồ Chí Minh</x:v>
      </x:c>
      <x:c r="D1116" s="2" t="str">
        <x:v>Quận Bình Thạnh</x:v>
      </x:c>
      <x:c r="E1116" s="2" t="str">
        <x:v>house</x:v>
      </x:c>
      <x:c r="F1116" s="2" t="str">
        <x:v>sale_assumed</x:v>
      </x:c>
      <x:c r="G1116" s="11" t="n">
        <x:v>59</x:v>
      </x:c>
      <x:c r="H1116" s="12" t="n">
        <x:v>10000000000</x:v>
      </x:c>
      <x:c r="I1116" s="12" t="n">
        <x:v>169491525.42372882</x:v>
      </x:c>
      <x:c r="J1116" s="2" t="str">
        <x:v>total</x:v>
      </x:c>
      <x:c r="K1116" s="2" t="str">
        <x:v>top_level_area</x:v>
      </x:c>
      <x:c r="L1116" s="2" t="str">
        <x:v>property_type_inferred_from_title;transaction_assumed_sale_from_dataset_context</x:v>
      </x:c>
      <x:c r="M1116" s="10" t="n">
        <x:v>1</x:v>
      </x:c>
      <x:c r="N1116" s="10" t="n">
        <x:v>0</x:v>
      </x:c>
      <x:c r="O1116" s="2" t="str">
        <x:v>Tp Hồ Chí Minh|house</x:v>
      </x:c>
      <x:c r="P1116" s="10" t="n">
        <x:v>2</x:v>
      </x:c>
      <x:c r="Q1116" s="13" t="n">
        <x:f>IF(H1116="","",H1116/1000000000)</x:f>
        <x:v>10</x:v>
      </x:c>
      <x:c r="R1116" s="13" t="n">
        <x:f>IF(I1116="","",I1116/1000000)</x:f>
        <x:v>169.49152542372883</x:v>
      </x:c>
    </x:row>
    <x:row r="1117" ht="21" customHeight="1">
      <x:c r="A1117" s="10" t="n">
        <x:v>1443</x:v>
      </x:c>
      <x:c r="B1117" s="2" t="str">
        <x:v>588577188682189539a2</x:v>
      </x:c>
      <x:c r="C1117" s="2" t="str">
        <x:v>Khánh Hòa</x:v>
      </x:c>
      <x:c r="D1117" s="2" t="str">
        <x:v>Thành phố Nha Trang</x:v>
      </x:c>
      <x:c r="E1117" s="2" t="str">
        <x:v>apartment</x:v>
      </x:c>
      <x:c r="F1117" s="2" t="str">
        <x:v>sale_assumed</x:v>
      </x:c>
      <x:c r="G1117" s="11" t="n">
        <x:v>59</x:v>
      </x:c>
      <x:c r="H1117" s="12" t="n">
        <x:v>2300000000</x:v>
      </x:c>
      <x:c r="I1117" s="12" t="n">
        <x:v>38983050.847457625</x:v>
      </x:c>
      <x:c r="J1117" s="2" t="str">
        <x:v>total</x:v>
      </x:c>
      <x:c r="K1117" s="2" t="str">
        <x:v>top_level_area</x:v>
      </x:c>
      <x:c r="L1117" s="2" t="str">
        <x:v>property_type_inferred_from_title;transaction_assumed_sale_from_dataset_context</x:v>
      </x:c>
      <x:c r="M1117" s="10" t="n">
        <x:v>0</x:v>
      </x:c>
      <x:c r="N1117" s="10" t="n">
        <x:v>0</x:v>
      </x:c>
      <x:c r="O1117" s="2" t="str">
        <x:v>apartment</x:v>
      </x:c>
      <x:c r="P1117" s="10" t="n">
        <x:v>2</x:v>
      </x:c>
      <x:c r="Q1117" s="13" t="n">
        <x:f>IF(H1117="","",H1117/1000000000)</x:f>
        <x:v>2.3</x:v>
      </x:c>
      <x:c r="R1117" s="13" t="n">
        <x:f>IF(I1117="","",I1117/1000000)</x:f>
        <x:v>38.983050847457626</x:v>
      </x:c>
    </x:row>
    <x:row r="1118" ht="21" customHeight="1">
      <x:c r="A1118" s="10" t="n">
        <x:v>1444</x:v>
      </x:c>
      <x:c r="B1118" s="2" t="str">
        <x:v>735643b59c67605aac67</x:v>
      </x:c>
      <x:c r="C1118" s="2" t="str">
        <x:v>Hà Nội</x:v>
      </x:c>
      <x:c r="D1118" s="2" t="str">
        <x:v>Quận Long Biên</x:v>
      </x:c>
      <x:c r="E1118" s="2" t="str">
        <x:v>house</x:v>
      </x:c>
      <x:c r="F1118" s="2" t="str">
        <x:v>sale_assumed</x:v>
      </x:c>
      <x:c r="G1118" s="11" t="n">
        <x:v>95</x:v>
      </x:c>
      <x:c r="H1118" s="12" t="n">
        <x:v>13500000000</x:v>
      </x:c>
      <x:c r="I1118" s="12" t="n">
        <x:v>142105263.15789473</x:v>
      </x:c>
      <x:c r="J1118" s="2" t="str">
        <x:v>total</x:v>
      </x:c>
      <x:c r="K1118" s="2" t="str">
        <x:v>top_level_area</x:v>
      </x:c>
      <x:c r="L1118" s="2" t="str">
        <x:v>property_type_inferred_from_title;transaction_assumed_sale_from_dataset_context</x:v>
      </x:c>
      <x:c r="M1118" s="10" t="n">
        <x:v>0</x:v>
      </x:c>
      <x:c r="N1118" s="10" t="n">
        <x:v>0</x:v>
      </x:c>
      <x:c r="O1118" s="2" t="str">
        <x:v>Hà Nội|house</x:v>
      </x:c>
      <x:c r="P1118" s="10" t="n">
        <x:v>2</x:v>
      </x:c>
      <x:c r="Q1118" s="13" t="n">
        <x:f>IF(H1118="","",H1118/1000000000)</x:f>
        <x:v>13.5</x:v>
      </x:c>
      <x:c r="R1118" s="13" t="n">
        <x:f>IF(I1118="","",I1118/1000000)</x:f>
        <x:v>142.10526315789474</x:v>
      </x:c>
    </x:row>
    <x:row r="1119" ht="21" customHeight="1">
      <x:c r="A1119" s="10" t="n">
        <x:v>1445</x:v>
      </x:c>
      <x:c r="B1119" s="2" t="str">
        <x:v>e7d50481de03d3e56cce</x:v>
      </x:c>
      <x:c r="C1119" s="2" t="str">
        <x:v>Tp Hồ Chí Minh</x:v>
      </x:c>
      <x:c r="D1119" s="2" t="str">
        <x:v>Quận Tân Phú</x:v>
      </x:c>
      <x:c r="E1119" s="2" t="str">
        <x:v>house</x:v>
      </x:c>
      <x:c r="F1119" s="2" t="str">
        <x:v>sale_assumed</x:v>
      </x:c>
      <x:c r="G1119" s="11" t="n">
        <x:v>311</x:v>
      </x:c>
      <x:c r="H1119" s="12" t="n">
        <x:v>3300000000</x:v>
      </x:c>
      <x:c r="I1119" s="12" t="n">
        <x:v>10610932.475884244</x:v>
      </x:c>
      <x:c r="J1119" s="2" t="str">
        <x:v>total</x:v>
      </x:c>
      <x:c r="K1119" s="2" t="str">
        <x:v>top_level_price_embedded_area</x:v>
      </x:c>
      <x:c r="L1119" s="2" t="str">
        <x:v>area_recovered_from_price_text;property_type_inferred_from_title;transaction_assumed_sale_from_dataset_context</x:v>
      </x:c>
      <x:c r="M1119" s="10" t="n">
        <x:v>0</x:v>
      </x:c>
      <x:c r="N1119" s="10" t="n">
        <x:v>0</x:v>
      </x:c>
      <x:c r="O1119" s="2" t="str">
        <x:v>Tp Hồ Chí Minh|house</x:v>
      </x:c>
      <x:c r="P1119" s="10" t="n">
        <x:v>1</x:v>
      </x:c>
      <x:c r="Q1119" s="13" t="n">
        <x:f>IF(H1119="","",H1119/1000000000)</x:f>
        <x:v>3.3</x:v>
      </x:c>
      <x:c r="R1119" s="13" t="n">
        <x:f>IF(I1119="","",I1119/1000000)</x:f>
        <x:v>10.610932475884244</x:v>
      </x:c>
    </x:row>
    <x:row r="1120" ht="21" customHeight="1">
      <x:c r="A1120" s="10" t="n">
        <x:v>1446</x:v>
      </x:c>
      <x:c r="B1120" s="2" t="str">
        <x:v>a570b21197fe1ab8dbe9</x:v>
      </x:c>
      <x:c r="C1120" s="2" t="str">
        <x:v>Cần Thơ</x:v>
      </x:c>
      <x:c r="D1120" s="2" t="str">
        <x:v>Quận Cái Răng</x:v>
      </x:c>
      <x:c r="E1120" s="2" t="str">
        <x:v>house</x:v>
      </x:c>
      <x:c r="F1120" s="2" t="str">
        <x:v>sale</x:v>
      </x:c>
      <x:c r="G1120" s="11" t="n">
        <x:v>80</x:v>
      </x:c>
      <x:c r="H1120" s="12" t="n">
        <x:v>3100000000</x:v>
      </x:c>
      <x:c r="I1120" s="12" t="n">
        <x:v>38750000</x:v>
      </x:c>
      <x:c r="J1120" s="2" t="str">
        <x:v>total</x:v>
      </x:c>
      <x:c r="K1120" s="2" t="str">
        <x:v>top_level_area</x:v>
      </x:c>
      <x:c r="L1120" s="2" t="str">
        <x:v>property_type_inferred_from_title</x:v>
      </x:c>
      <x:c r="M1120" s="10" t="n">
        <x:v>0</x:v>
      </x:c>
      <x:c r="N1120" s="10" t="n">
        <x:v>0</x:v>
      </x:c>
      <x:c r="O1120" s="2" t="str">
        <x:v>Cần Thơ|house</x:v>
      </x:c>
      <x:c r="P1120" s="10" t="n">
        <x:v>2</x:v>
      </x:c>
      <x:c r="Q1120" s="13" t="n">
        <x:f>IF(H1120="","",H1120/1000000000)</x:f>
        <x:v>3.1</x:v>
      </x:c>
      <x:c r="R1120" s="13" t="n">
        <x:f>IF(I1120="","",I1120/1000000)</x:f>
        <x:v>38.75</x:v>
      </x:c>
    </x:row>
    <x:row r="1121" ht="21" customHeight="1">
      <x:c r="A1121" s="10" t="n">
        <x:v>1447</x:v>
      </x:c>
      <x:c r="B1121" s="2" t="str">
        <x:v>cd0a7056d58dff1efc4a</x:v>
      </x:c>
      <x:c r="C1121" s="2" t="str">
        <x:v>Đà Nẵng</x:v>
      </x:c>
      <x:c r="D1121" s="2" t="str">
        <x:v>Quận Hải Châu</x:v>
      </x:c>
      <x:c r="E1121" s="2" t="str">
        <x:v>other_unknown</x:v>
      </x:c>
      <x:c r="F1121" s="2" t="str">
        <x:v>sale_assumed</x:v>
      </x:c>
      <x:c r="G1121" s="11" t="n">
        <x:v>70</x:v>
      </x:c>
      <x:c r="H1121" s="12" t="n">
        <x:v>4900000000</x:v>
      </x:c>
      <x:c r="I1121" s="12" t="n">
        <x:v>70000000</x:v>
      </x:c>
      <x:c r="J1121" s="2" t="str">
        <x:v>total</x:v>
      </x:c>
      <x:c r="K1121" s="2" t="str">
        <x:v>top_level_area</x:v>
      </x:c>
      <x:c r="L1121" s="2" t="str">
        <x:v>property_type_inferred_from_title;transaction_assumed_sale_from_dataset_context;unknown_property_type</x:v>
      </x:c>
      <x:c r="M1121" s="10" t="n">
        <x:v>0</x:v>
      </x:c>
      <x:c r="N1121" s="10" t="n">
        <x:v>0</x:v>
      </x:c>
      <x:c r="O1121" s="2" t="str">
        <x:v>Đà Nẵng|other_unknown</x:v>
      </x:c>
      <x:c r="P1121" s="10" t="n">
        <x:v>2</x:v>
      </x:c>
      <x:c r="Q1121" s="13" t="n">
        <x:f>IF(H1121="","",H1121/1000000000)</x:f>
        <x:v>4.9</x:v>
      </x:c>
      <x:c r="R1121" s="13" t="n">
        <x:f>IF(I1121="","",I1121/1000000)</x:f>
        <x:v>70</x:v>
      </x:c>
    </x:row>
    <x:row r="1122" ht="21" customHeight="1">
      <x:c r="A1122" s="10" t="n">
        <x:v>1448</x:v>
      </x:c>
      <x:c r="B1122" s="2" t="str">
        <x:v>0106e09f1f864641a499</x:v>
      </x:c>
      <x:c r="C1122" s="2" t="str">
        <x:v>Bình Dương</x:v>
      </x:c>
      <x:c r="D1122" s="2" t="str">
        <x:v>Huyện Phú Giáo</x:v>
      </x:c>
      <x:c r="E1122" s="2" t="str">
        <x:v>land</x:v>
      </x:c>
      <x:c r="F1122" s="2" t="str">
        <x:v>sale_assumed</x:v>
      </x:c>
      <x:c r="G1122" s="11" t="n">
        <x:v>250</x:v>
      </x:c>
      <x:c r="H1122" s="12" t="n">
        <x:v>239000000</x:v>
      </x:c>
      <x:c r="I1122" s="12" t="n">
        <x:v>956000</x:v>
      </x:c>
      <x:c r="J1122" s="2" t="str">
        <x:v>total</x:v>
      </x:c>
      <x:c r="K1122" s="2" t="str">
        <x:v>top_level_area</x:v>
      </x:c>
      <x:c r="L1122" s="2" t="str">
        <x:v>property_type_inferred_from_title;transaction_assumed_sale_from_dataset_context</x:v>
      </x:c>
      <x:c r="M1122" s="10" t="n">
        <x:v>0</x:v>
      </x:c>
      <x:c r="N1122" s="10" t="n">
        <x:v>0</x:v>
      </x:c>
      <x:c r="O1122" s="2" t="str">
        <x:v>Bình Dương|land</x:v>
      </x:c>
      <x:c r="P1122" s="10" t="n">
        <x:v>1</x:v>
      </x:c>
      <x:c r="Q1122" s="13" t="n">
        <x:f>IF(H1122="","",H1122/1000000000)</x:f>
        <x:v>0.239</x:v>
      </x:c>
      <x:c r="R1122" s="13" t="n">
        <x:f>IF(I1122="","",I1122/1000000)</x:f>
        <x:v>0.956</x:v>
      </x:c>
    </x:row>
    <x:row r="1123" ht="21" customHeight="1">
      <x:c r="A1123" s="10" t="n">
        <x:v>1449</x:v>
      </x:c>
      <x:c r="B1123" s="2" t="str">
        <x:v>ac9faba0389ea8a97e49</x:v>
      </x:c>
      <x:c r="C1123" s="2" t="str">
        <x:v>Tp Hồ Chí Minh</x:v>
      </x:c>
      <x:c r="D1123" s="2" t="str">
        <x:v>Quận Bình Tân</x:v>
      </x:c>
      <x:c r="E1123" s="2" t="str">
        <x:v>house</x:v>
      </x:c>
      <x:c r="F1123" s="2" t="str">
        <x:v>sale</x:v>
      </x:c>
      <x:c r="G1123" s="11" t="n">
        <x:v>60</x:v>
      </x:c>
      <x:c r="H1123" s="12" t="n">
        <x:v>2990000000</x:v>
      </x:c>
      <x:c r="I1123" s="12" t="n">
        <x:v>49833333.333333336</x:v>
      </x:c>
      <x:c r="J1123" s="2" t="str">
        <x:v>total</x:v>
      </x:c>
      <x:c r="K1123" s="2" t="str">
        <x:v>top_level_area</x:v>
      </x:c>
      <x:c r="L1123" s="2" t="str">
        <x:v>property_type_inferred_from_title</x:v>
      </x:c>
      <x:c r="M1123" s="10" t="n">
        <x:v>0</x:v>
      </x:c>
      <x:c r="N1123" s="10" t="n">
        <x:v>0</x:v>
      </x:c>
      <x:c r="O1123" s="2" t="str">
        <x:v>Tp Hồ Chí Minh|house</x:v>
      </x:c>
      <x:c r="P1123" s="10" t="n">
        <x:v>2</x:v>
      </x:c>
      <x:c r="Q1123" s="13" t="n">
        <x:f>IF(H1123="","",H1123/1000000000)</x:f>
        <x:v>2.99</x:v>
      </x:c>
      <x:c r="R1123" s="13" t="n">
        <x:f>IF(I1123="","",I1123/1000000)</x:f>
        <x:v>49.833333333333336</x:v>
      </x:c>
    </x:row>
    <x:row r="1124" ht="21" customHeight="1">
      <x:c r="A1124" s="10" t="n">
        <x:v>1450</x:v>
      </x:c>
      <x:c r="B1124" s="2" t="str">
        <x:v>bd8e37887e1aaad81fe9</x:v>
      </x:c>
      <x:c r="C1124" s="2" t="str">
        <x:v>Bình Dương</x:v>
      </x:c>
      <x:c r="D1124" s="2" t="str">
        <x:v>Thị xã Dĩ An</x:v>
      </x:c>
      <x:c r="E1124" s="2" t="str">
        <x:v>house</x:v>
      </x:c>
      <x:c r="F1124" s="2" t="str">
        <x:v>sale</x:v>
      </x:c>
      <x:c r="G1124" s="11" t="n">
        <x:v>96</x:v>
      </x:c>
      <x:c r="H1124" s="12" t="n">
        <x:v>2250000000</x:v>
      </x:c>
      <x:c r="I1124" s="12" t="n">
        <x:v>23437500</x:v>
      </x:c>
      <x:c r="J1124" s="2" t="str">
        <x:v>total</x:v>
      </x:c>
      <x:c r="K1124" s="2" t="str">
        <x:v>top_level_area</x:v>
      </x:c>
      <x:c r="L1124" s="2" t="str">
        <x:v>property_type_inferred_from_title</x:v>
      </x:c>
      <x:c r="M1124" s="10" t="n">
        <x:v>0</x:v>
      </x:c>
      <x:c r="N1124" s="10" t="n">
        <x:v>0</x:v>
      </x:c>
      <x:c r="O1124" s="2" t="str">
        <x:v>Bình Dương|house</x:v>
      </x:c>
      <x:c r="P1124" s="10" t="n">
        <x:v>2</x:v>
      </x:c>
      <x:c r="Q1124" s="13" t="n">
        <x:f>IF(H1124="","",H1124/1000000000)</x:f>
        <x:v>2.25</x:v>
      </x:c>
      <x:c r="R1124" s="13" t="n">
        <x:f>IF(I1124="","",I1124/1000000)</x:f>
        <x:v>23.4375</x:v>
      </x:c>
    </x:row>
    <x:row r="1125" ht="21" customHeight="1">
      <x:c r="A1125" s="10" t="n">
        <x:v>1451</x:v>
      </x:c>
      <x:c r="B1125" s="2" t="str">
        <x:v>7a4ed18a080a54cefab6</x:v>
      </x:c>
      <x:c r="C1125" s="2" t="str">
        <x:v>Tp Hồ Chí Minh</x:v>
      </x:c>
      <x:c r="D1125" s="2" t="str">
        <x:v>Huyện Bình Chánh</x:v>
      </x:c>
      <x:c r="E1125" s="2" t="str">
        <x:v>house</x:v>
      </x:c>
      <x:c r="F1125" s="2" t="str">
        <x:v>sale_assumed</x:v>
      </x:c>
      <x:c r="G1125" s="11" t="n">
        <x:v>75</x:v>
      </x:c>
      <x:c r="H1125" s="12" t="n">
        <x:v>650000000</x:v>
      </x:c>
      <x:c r="I1125" s="12" t="n">
        <x:v>8666666.666666666</x:v>
      </x:c>
      <x:c r="J1125" s="2" t="str">
        <x:v>total</x:v>
      </x:c>
      <x:c r="K1125" s="2" t="str">
        <x:v>top_level_price_embedded_area</x:v>
      </x:c>
      <x:c r="L1125" s="2" t="str">
        <x:v>area_recovered_from_price_text;property_type_inferred_from_title;transaction_assumed_sale_from_dataset_context</x:v>
      </x:c>
      <x:c r="M1125" s="10" t="n">
        <x:v>0</x:v>
      </x:c>
      <x:c r="N1125" s="10" t="n">
        <x:v>0</x:v>
      </x:c>
      <x:c r="O1125" s="2" t="str">
        <x:v>Tp Hồ Chí Minh|house</x:v>
      </x:c>
      <x:c r="P1125" s="10" t="n">
        <x:v>2</x:v>
      </x:c>
      <x:c r="Q1125" s="13" t="n">
        <x:f>IF(H1125="","",H1125/1000000000)</x:f>
        <x:v>0.65</x:v>
      </x:c>
      <x:c r="R1125" s="13" t="n">
        <x:f>IF(I1125="","",I1125/1000000)</x:f>
        <x:v>8.666666666666666</x:v>
      </x:c>
    </x:row>
    <x:row r="1126" ht="21" customHeight="1">
      <x:c r="A1126" s="10" t="n">
        <x:v>1452</x:v>
      </x:c>
      <x:c r="B1126" s="2" t="str">
        <x:v>b10100e5629003a83272</x:v>
      </x:c>
      <x:c r="C1126" s="2" t="str">
        <x:v>Tp Hồ Chí Minh</x:v>
      </x:c>
      <x:c r="D1126" s="2" t="str">
        <x:v>Huyện Nhà Bè</x:v>
      </x:c>
      <x:c r="E1126" s="2" t="str">
        <x:v>house</x:v>
      </x:c>
      <x:c r="F1126" s="2" t="str">
        <x:v>sale_assumed</x:v>
      </x:c>
      <x:c r="G1126" s="11" t="n">
        <x:v>50</x:v>
      </x:c>
      <x:c r="H1126" s="12" t="n">
        <x:v>4500000000</x:v>
      </x:c>
      <x:c r="I1126" s="12" t="n">
        <x:v>90000000</x:v>
      </x:c>
      <x:c r="J1126" s="2" t="str">
        <x:v>total</x:v>
      </x:c>
      <x:c r="K1126" s="2" t="str">
        <x:v>top_level_area</x:v>
      </x:c>
      <x:c r="L1126" s="2" t="str">
        <x:v>property_type_inferred_from_title;transaction_assumed_sale_from_dataset_context</x:v>
      </x:c>
      <x:c r="M1126" s="10" t="n">
        <x:v>0</x:v>
      </x:c>
      <x:c r="N1126" s="10" t="n">
        <x:v>0</x:v>
      </x:c>
      <x:c r="O1126" s="2" t="str">
        <x:v>Tp Hồ Chí Minh|house</x:v>
      </x:c>
      <x:c r="P1126" s="10" t="n">
        <x:v>2</x:v>
      </x:c>
      <x:c r="Q1126" s="13" t="n">
        <x:f>IF(H1126="","",H1126/1000000000)</x:f>
        <x:v>4.5</x:v>
      </x:c>
      <x:c r="R1126" s="13" t="n">
        <x:f>IF(I1126="","",I1126/1000000)</x:f>
        <x:v>90</x:v>
      </x:c>
    </x:row>
    <x:row r="1127" ht="21" customHeight="1">
      <x:c r="A1127" s="10" t="n">
        <x:v>1453</x:v>
      </x:c>
      <x:c r="B1127" s="2" t="str">
        <x:v>345871e64d0176f408f3</x:v>
      </x:c>
      <x:c r="C1127" s="2" t="str">
        <x:v>Tp Hồ Chí Minh</x:v>
      </x:c>
      <x:c r="D1127" s="2" t="str">
        <x:v>Quận Gò Vấp</x:v>
      </x:c>
      <x:c r="E1127" s="2" t="str">
        <x:v>house</x:v>
      </x:c>
      <x:c r="F1127" s="2" t="str">
        <x:v>sale_assumed</x:v>
      </x:c>
      <x:c r="G1127" s="11" t="n">
        <x:v>32</x:v>
      </x:c>
      <x:c r="H1127" s="12" t="n">
        <x:v>3150000000</x:v>
      </x:c>
      <x:c r="I1127" s="12" t="n">
        <x:v>98437500</x:v>
      </x:c>
      <x:c r="J1127" s="2" t="str">
        <x:v>total</x:v>
      </x:c>
      <x:c r="K1127" s="2" t="str">
        <x:v>top_level_area</x:v>
      </x:c>
      <x:c r="L1127" s="2" t="str">
        <x:v>property_type_inferred_from_title;transaction_assumed_sale_from_dataset_context</x:v>
      </x:c>
      <x:c r="M1127" s="10" t="n">
        <x:v>0</x:v>
      </x:c>
      <x:c r="N1127" s="10" t="n">
        <x:v>0</x:v>
      </x:c>
      <x:c r="O1127" s="2" t="str">
        <x:v>Tp Hồ Chí Minh|house</x:v>
      </x:c>
      <x:c r="P1127" s="10" t="n">
        <x:v>2</x:v>
      </x:c>
      <x:c r="Q1127" s="13" t="n">
        <x:f>IF(H1127="","",H1127/1000000000)</x:f>
        <x:v>3.15</x:v>
      </x:c>
      <x:c r="R1127" s="13" t="n">
        <x:f>IF(I1127="","",I1127/1000000)</x:f>
        <x:v>98.4375</x:v>
      </x:c>
    </x:row>
    <x:row r="1128" ht="21" customHeight="1">
      <x:c r="A1128" s="10" t="n">
        <x:v>1454</x:v>
      </x:c>
      <x:c r="B1128" s="2" t="str">
        <x:v>ca8df6289f6dfef69e11</x:v>
      </x:c>
      <x:c r="C1128" s="2" t="str">
        <x:v>Tp Hồ Chí Minh</x:v>
      </x:c>
      <x:c r="D1128" s="2" t="str">
        <x:v>Huyện Củ Chi</x:v>
      </x:c>
      <x:c r="E1128" s="2" t="str">
        <x:v>land</x:v>
      </x:c>
      <x:c r="F1128" s="2" t="str">
        <x:v>sale</x:v>
      </x:c>
      <x:c r="G1128" s="11" t="n">
        <x:v>450</x:v>
      </x:c>
      <x:c r="H1128" s="12" t="n">
        <x:v>600000000</x:v>
      </x:c>
      <x:c r="I1128" s="12" t="n">
        <x:v>1333333.3333333333</x:v>
      </x:c>
      <x:c r="J1128" s="2" t="str">
        <x:v>total</x:v>
      </x:c>
      <x:c r="K1128" s="2" t="str">
        <x:v>top_level_price_embedded_area</x:v>
      </x:c>
      <x:c r="L1128" s="2" t="str">
        <x:v>area_recovered_from_price_text;property_type_inferred_from_title</x:v>
      </x:c>
      <x:c r="M1128" s="10" t="n">
        <x:v>0</x:v>
      </x:c>
      <x:c r="N1128" s="10" t="n">
        <x:v>0</x:v>
      </x:c>
      <x:c r="O1128" s="2" t="str">
        <x:v>Tp Hồ Chí Minh|land</x:v>
      </x:c>
      <x:c r="P1128" s="10" t="n">
        <x:v>1</x:v>
      </x:c>
      <x:c r="Q1128" s="13" t="n">
        <x:f>IF(H1128="","",H1128/1000000000)</x:f>
        <x:v>0.6</x:v>
      </x:c>
      <x:c r="R1128" s="13" t="n">
        <x:f>IF(I1128="","",I1128/1000000)</x:f>
        <x:v>1.3333333333333333</x:v>
      </x:c>
    </x:row>
    <x:row r="1129" ht="21" customHeight="1">
      <x:c r="A1129" s="10" t="n">
        <x:v>1455</x:v>
      </x:c>
      <x:c r="B1129" s="2" t="str">
        <x:v>50ddb8bc31e31380a44d</x:v>
      </x:c>
      <x:c r="C1129" s="2" t="str">
        <x:v>Cần Thơ</x:v>
      </x:c>
      <x:c r="D1129" s="2" t="str">
        <x:v>Quận Ninh Kiều</x:v>
      </x:c>
      <x:c r="E1129" s="2" t="str">
        <x:v>house</x:v>
      </x:c>
      <x:c r="F1129" s="2" t="str">
        <x:v>sale</x:v>
      </x:c>
      <x:c r="G1129" s="11" t="n">
        <x:v>66</x:v>
      </x:c>
      <x:c r="H1129" s="12" t="n">
        <x:v>1750000000</x:v>
      </x:c>
      <x:c r="I1129" s="12" t="n">
        <x:v>26515151.515151516</x:v>
      </x:c>
      <x:c r="J1129" s="2" t="str">
        <x:v>total</x:v>
      </x:c>
      <x:c r="K1129" s="2" t="str">
        <x:v>top_level_area</x:v>
      </x:c>
      <x:c r="L1129" s="2" t="str">
        <x:v>property_type_inferred_from_title</x:v>
      </x:c>
      <x:c r="M1129" s="10" t="n">
        <x:v>0</x:v>
      </x:c>
      <x:c r="N1129" s="10" t="n">
        <x:v>0</x:v>
      </x:c>
      <x:c r="O1129" s="2" t="str">
        <x:v>Cần Thơ|house</x:v>
      </x:c>
      <x:c r="P1129" s="10" t="n">
        <x:v>2</x:v>
      </x:c>
      <x:c r="Q1129" s="13" t="n">
        <x:f>IF(H1129="","",H1129/1000000000)</x:f>
        <x:v>1.75</x:v>
      </x:c>
      <x:c r="R1129" s="13" t="n">
        <x:f>IF(I1129="","",I1129/1000000)</x:f>
        <x:v>26.515151515151516</x:v>
      </x:c>
    </x:row>
    <x:row r="1130" ht="21" customHeight="1">
      <x:c r="A1130" s="10" t="n">
        <x:v>1456</x:v>
      </x:c>
      <x:c r="B1130" s="2" t="str">
        <x:v>5db2673eb151592d7976</x:v>
      </x:c>
      <x:c r="C1130" s="2" t="str">
        <x:v>Tp Hồ Chí Minh</x:v>
      </x:c>
      <x:c r="D1130" s="2" t="str">
        <x:v>Quận Tân Bình</x:v>
      </x:c>
      <x:c r="E1130" s="2" t="str">
        <x:v>house</x:v>
      </x:c>
      <x:c r="F1130" s="2" t="str">
        <x:v>sale_assumed</x:v>
      </x:c>
      <x:c r="G1130" s="11" t="n">
        <x:v>56</x:v>
      </x:c>
      <x:c r="H1130" s="12" t="n">
        <x:v>7350000000</x:v>
      </x:c>
      <x:c r="I1130" s="12" t="n">
        <x:v>131250000</x:v>
      </x:c>
      <x:c r="J1130" s="2" t="str">
        <x:v>total</x:v>
      </x:c>
      <x:c r="K1130" s="2" t="str">
        <x:v>top_level_area</x:v>
      </x:c>
      <x:c r="L1130" s="2" t="str">
        <x:v>property_type_inferred_from_title;transaction_assumed_sale_from_dataset_context</x:v>
      </x:c>
      <x:c r="M1130" s="10" t="n">
        <x:v>0</x:v>
      </x:c>
      <x:c r="N1130" s="10" t="n">
        <x:v>0</x:v>
      </x:c>
      <x:c r="O1130" s="2" t="str">
        <x:v>Tp Hồ Chí Minh|house</x:v>
      </x:c>
      <x:c r="P1130" s="10" t="n">
        <x:v>2</x:v>
      </x:c>
      <x:c r="Q1130" s="13" t="n">
        <x:f>IF(H1130="","",H1130/1000000000)</x:f>
        <x:v>7.35</x:v>
      </x:c>
      <x:c r="R1130" s="13" t="n">
        <x:f>IF(I1130="","",I1130/1000000)</x:f>
        <x:v>131.25</x:v>
      </x:c>
    </x:row>
    <x:row r="1131" ht="21" customHeight="1">
      <x:c r="A1131" s="10" t="n">
        <x:v>1457</x:v>
      </x:c>
      <x:c r="B1131" s="2" t="str">
        <x:v>c9152083e3b83dbcd94b</x:v>
      </x:c>
      <x:c r="C1131" s="2" t="str">
        <x:v>Tp Hồ Chí Minh</x:v>
      </x:c>
      <x:c r="D1131" s="2" t="str">
        <x:v>Quận Tân Phú</x:v>
      </x:c>
      <x:c r="E1131" s="2" t="str">
        <x:v>land</x:v>
      </x:c>
      <x:c r="F1131" s="2" t="str">
        <x:v>sale_assumed</x:v>
      </x:c>
      <x:c r="G1131" s="11" t="n">
        <x:v>60</x:v>
      </x:c>
      <x:c r="H1131" s="12" t="n">
        <x:v>360000000</x:v>
      </x:c>
      <x:c r="I1131" s="12" t="n">
        <x:v>6000000</x:v>
      </x:c>
      <x:c r="J1131" s="2" t="str">
        <x:v>total</x:v>
      </x:c>
      <x:c r="K1131" s="2" t="str">
        <x:v>top_level_area</x:v>
      </x:c>
      <x:c r="L1131" s="2" t="str">
        <x:v>property_type_inferred_from_title;transaction_assumed_sale_from_dataset_context</x:v>
      </x:c>
      <x:c r="M1131" s="10" t="n">
        <x:v>0</x:v>
      </x:c>
      <x:c r="N1131" s="10" t="n">
        <x:v>0</x:v>
      </x:c>
      <x:c r="O1131" s="2" t="str">
        <x:v>Tp Hồ Chí Minh|land</x:v>
      </x:c>
      <x:c r="P1131" s="10" t="n">
        <x:v>2</x:v>
      </x:c>
      <x:c r="Q1131" s="13" t="n">
        <x:f>IF(H1131="","",H1131/1000000000)</x:f>
        <x:v>0.36</x:v>
      </x:c>
      <x:c r="R1131" s="13" t="n">
        <x:f>IF(I1131="","",I1131/1000000)</x:f>
        <x:v>6</x:v>
      </x:c>
    </x:row>
    <x:row r="1132" ht="21" customHeight="1">
      <x:c r="A1132" s="10" t="n">
        <x:v>1458</x:v>
      </x:c>
      <x:c r="B1132" s="2" t="str">
        <x:v>00dc543a02a32371b529</x:v>
      </x:c>
      <x:c r="C1132" s="2" t="str">
        <x:v>Quảng Nam</x:v>
      </x:c>
      <x:c r="D1132" s="2" t="str">
        <x:v>Thị xã Điện Bàn</x:v>
      </x:c>
      <x:c r="E1132" s="2" t="str">
        <x:v>other_unknown</x:v>
      </x:c>
      <x:c r="F1132" s="2" t="str">
        <x:v>sale_assumed</x:v>
      </x:c>
      <x:c r="G1132" s="11" t="n">
        <x:v>150</x:v>
      </x:c>
      <x:c r="H1132" s="12" t="n">
        <x:v>2490000000</x:v>
      </x:c>
      <x:c r="I1132" s="12" t="n">
        <x:v>16600000</x:v>
      </x:c>
      <x:c r="J1132" s="2" t="str">
        <x:v>total</x:v>
      </x:c>
      <x:c r="K1132" s="2" t="str">
        <x:v>top_level_area</x:v>
      </x:c>
      <x:c r="L1132" s="2" t="str">
        <x:v>property_type_inferred_from_title;transaction_assumed_sale_from_dataset_context;unknown_property_type</x:v>
      </x:c>
      <x:c r="M1132" s="10" t="n">
        <x:v>0</x:v>
      </x:c>
      <x:c r="N1132" s="10" t="n">
        <x:v>0</x:v>
      </x:c>
      <x:c r="O1132" s="2" t="str">
        <x:v>other_unknown</x:v>
      </x:c>
      <x:c r="P1132" s="10" t="n">
        <x:v>2</x:v>
      </x:c>
      <x:c r="Q1132" s="13" t="n">
        <x:f>IF(H1132="","",H1132/1000000000)</x:f>
        <x:v>2.49</x:v>
      </x:c>
      <x:c r="R1132" s="13" t="n">
        <x:f>IF(I1132="","",I1132/1000000)</x:f>
        <x:v>16.6</x:v>
      </x:c>
    </x:row>
    <x:row r="1133" ht="21" customHeight="1">
      <x:c r="A1133" s="10" t="n">
        <x:v>1461</x:v>
      </x:c>
      <x:c r="B1133" s="2" t="str">
        <x:v>991eabb6cbf37532f359</x:v>
      </x:c>
      <x:c r="C1133" s="2" t="str">
        <x:v>Đà Nẵng</x:v>
      </x:c>
      <x:c r="D1133" s="2" t="str">
        <x:v>Quận Cẩm Lệ</x:v>
      </x:c>
      <x:c r="E1133" s="2" t="str">
        <x:v>house</x:v>
      </x:c>
      <x:c r="F1133" s="2" t="str">
        <x:v>sale</x:v>
      </x:c>
      <x:c r="G1133" s="11" t="n">
        <x:v>100</x:v>
      </x:c>
      <x:c r="H1133" s="12" t="n">
        <x:v>2999999000</x:v>
      </x:c>
      <x:c r="I1133" s="12" t="n">
        <x:v>29999990</x:v>
      </x:c>
      <x:c r="J1133" s="2" t="str">
        <x:v>total</x:v>
      </x:c>
      <x:c r="K1133" s="2" t="str">
        <x:v>top_level_area</x:v>
      </x:c>
      <x:c r="L1133" s="2" t="str">
        <x:v>property_type_inferred_from_title</x:v>
      </x:c>
      <x:c r="M1133" s="10" t="n">
        <x:v>0</x:v>
      </x:c>
      <x:c r="N1133" s="10" t="n">
        <x:v>0</x:v>
      </x:c>
      <x:c r="O1133" s="2" t="str">
        <x:v>Đà Nẵng|house</x:v>
      </x:c>
      <x:c r="P1133" s="10" t="n">
        <x:v>2</x:v>
      </x:c>
      <x:c r="Q1133" s="13" t="n">
        <x:f>IF(H1133="","",H1133/1000000000)</x:f>
        <x:v>2.999999</x:v>
      </x:c>
      <x:c r="R1133" s="13" t="n">
        <x:f>IF(I1133="","",I1133/1000000)</x:f>
        <x:v>29.99999</x:v>
      </x:c>
    </x:row>
    <x:row r="1134" ht="21" customHeight="1">
      <x:c r="A1134" s="10" t="n">
        <x:v>1503</x:v>
      </x:c>
      <x:c r="B1134" s="2" t="str">
        <x:v>f8555073771ae3cb7f16</x:v>
      </x:c>
      <x:c r="C1134" s="2" t="str">
        <x:v>Hà Nội</x:v>
      </x:c>
      <x:c r="D1134" s="2" t="str">
        <x:v>Quận Hà Đông</x:v>
      </x:c>
      <x:c r="E1134" s="2" t="str">
        <x:v>other_unknown</x:v>
      </x:c>
      <x:c r="F1134" s="2" t="str">
        <x:v>sale</x:v>
      </x:c>
      <x:c r="G1134" s="11" t="n">
        <x:v>97</x:v>
      </x:c>
      <x:c r="H1134" s="12" t="n">
        <x:v>13500000000</x:v>
      </x:c>
      <x:c r="I1134" s="12" t="n">
        <x:v>139175257.73195878</x:v>
      </x:c>
      <x:c r="J1134" s="2" t="str">
        <x:v>total</x:v>
      </x:c>
      <x:c r="K1134" s="2" t="str">
        <x:v>top_level_area</x:v>
      </x:c>
      <x:c r="L1134" s="2" t="str">
        <x:v>property_type_inferred_from_title;unknown_property_type</x:v>
      </x:c>
      <x:c r="M1134" s="10" t="n">
        <x:v>0</x:v>
      </x:c>
      <x:c r="N1134" s="10" t="n">
        <x:v>0</x:v>
      </x:c>
      <x:c r="O1134" s="2" t="str">
        <x:v>Hà Nội|other_unknown</x:v>
      </x:c>
      <x:c r="P1134" s="10" t="n">
        <x:v>2</x:v>
      </x:c>
      <x:c r="Q1134" s="13" t="n">
        <x:f>IF(H1134="","",H1134/1000000000)</x:f>
        <x:v>13.5</x:v>
      </x:c>
      <x:c r="R1134" s="13" t="n">
        <x:f>IF(I1134="","",I1134/1000000)</x:f>
        <x:v>139.17525773195877</x:v>
      </x:c>
    </x:row>
    <x:row r="1135" ht="21" customHeight="1">
      <x:c r="A1135" s="10" t="n">
        <x:v>1504</x:v>
      </x:c>
      <x:c r="B1135" s="2" t="str">
        <x:v>e3d8cf24020526c28c96</x:v>
      </x:c>
      <x:c r="C1135" s="2" t="str">
        <x:v>Đồng Nai</x:v>
      </x:c>
      <x:c r="D1135" s="2" t="str">
        <x:v>Huyện Vĩnh Cửu</x:v>
      </x:c>
      <x:c r="E1135" s="2" t="str">
        <x:v>house</x:v>
      </x:c>
      <x:c r="F1135" s="2" t="str">
        <x:v>sale_assumed</x:v>
      </x:c>
      <x:c r="G1135" s="11" t="n">
        <x:v>50</x:v>
      </x:c>
      <x:c r="H1135" s="12" t="n">
        <x:v>850000000</x:v>
      </x:c>
      <x:c r="I1135" s="12" t="n">
        <x:v>17000000</x:v>
      </x:c>
      <x:c r="J1135" s="2" t="str">
        <x:v>total</x:v>
      </x:c>
      <x:c r="K1135" s="2" t="str">
        <x:v>top_level_area</x:v>
      </x:c>
      <x:c r="L1135" s="2" t="str">
        <x:v>property_type_inferred_from_title;transaction_assumed_sale_from_dataset_context</x:v>
      </x:c>
      <x:c r="M1135" s="10" t="n">
        <x:v>0</x:v>
      </x:c>
      <x:c r="N1135" s="10" t="n">
        <x:v>0</x:v>
      </x:c>
      <x:c r="O1135" s="2" t="str">
        <x:v>Đồng Nai|house</x:v>
      </x:c>
      <x:c r="P1135" s="10" t="n">
        <x:v>2</x:v>
      </x:c>
      <x:c r="Q1135" s="13" t="n">
        <x:f>IF(H1135="","",H1135/1000000000)</x:f>
        <x:v>0.85</x:v>
      </x:c>
      <x:c r="R1135" s="13" t="n">
        <x:f>IF(I1135="","",I1135/1000000)</x:f>
        <x:v>17</x:v>
      </x:c>
    </x:row>
    <x:row r="1136" ht="21" customHeight="1">
      <x:c r="A1136" s="10" t="n">
        <x:v>1506</x:v>
      </x:c>
      <x:c r="B1136" s="2" t="str">
        <x:v>44ae58d0738a0578b435</x:v>
      </x:c>
      <x:c r="C1136" s="2" t="str">
        <x:v>Bến Tre</x:v>
      </x:c>
      <x:c r="D1136" s="2" t="str">
        <x:v>Huyện Thạnh Phú</x:v>
      </x:c>
      <x:c r="E1136" s="2" t="str">
        <x:v>land</x:v>
      </x:c>
      <x:c r="F1136" s="2" t="str">
        <x:v>sale_assumed</x:v>
      </x:c>
      <x:c r="G1136" s="11" t="n">
        <x:v>120</x:v>
      </x:c>
      <x:c r="H1136" s="12" t="n">
        <x:v>2069999999.9999998</x:v>
      </x:c>
      <x:c r="I1136" s="12" t="n">
        <x:v>17249999.999999996</x:v>
      </x:c>
      <x:c r="J1136" s="2" t="str">
        <x:v>total</x:v>
      </x:c>
      <x:c r="K1136" s="2" t="str">
        <x:v>top_level_area</x:v>
      </x:c>
      <x:c r="L1136" s="2" t="str">
        <x:v>property_type_inferred_from_title;transaction_assumed_sale_from_dataset_context</x:v>
      </x:c>
      <x:c r="M1136" s="10" t="n">
        <x:v>0</x:v>
      </x:c>
      <x:c r="N1136" s="10" t="n">
        <x:v>0</x:v>
      </x:c>
      <x:c r="O1136" s="2" t="str">
        <x:v>Bến Tre|land</x:v>
      </x:c>
      <x:c r="P1136" s="10" t="n">
        <x:v>2</x:v>
      </x:c>
      <x:c r="Q1136" s="13" t="n">
        <x:f>IF(H1136="","",H1136/1000000000)</x:f>
        <x:v>2.07</x:v>
      </x:c>
      <x:c r="R1136" s="13" t="n">
        <x:f>IF(I1136="","",I1136/1000000)</x:f>
        <x:v>17.249999999999996</x:v>
      </x:c>
    </x:row>
    <x:row r="1137" ht="21" customHeight="1">
      <x:c r="A1137" s="10" t="n">
        <x:v>1550</x:v>
      </x:c>
      <x:c r="B1137" s="2" t="str">
        <x:v>0d157d08daae7a828adb</x:v>
      </x:c>
      <x:c r="C1137" s="2" t="str">
        <x:v>Tp Hồ Chí Minh</x:v>
      </x:c>
      <x:c r="D1137" s="2" t="str">
        <x:v>Quận Bình Thạnh</x:v>
      </x:c>
      <x:c r="E1137" s="2" t="str">
        <x:v>house</x:v>
      </x:c>
      <x:c r="F1137" s="2" t="str">
        <x:v>sale</x:v>
      </x:c>
      <x:c r="G1137" s="11" t="n">
        <x:v>16.3</x:v>
      </x:c>
      <x:c r="H1137" s="12" t="n">
        <x:v>2450000000</x:v>
      </x:c>
      <x:c r="I1137" s="12" t="n">
        <x:v>150306748.46625766</x:v>
      </x:c>
      <x:c r="J1137" s="2" t="str">
        <x:v>total</x:v>
      </x:c>
      <x:c r="K1137" s="2" t="str">
        <x:v>top_level_area</x:v>
      </x:c>
      <x:c r="L1137" s="2" t="str">
        <x:v>property_type_inferred_from_title</x:v>
      </x:c>
      <x:c r="M1137" s="10" t="n">
        <x:v>0</x:v>
      </x:c>
      <x:c r="N1137" s="10" t="n">
        <x:v>0</x:v>
      </x:c>
      <x:c r="O1137" s="2" t="str">
        <x:v>Tp Hồ Chí Minh|house</x:v>
      </x:c>
      <x:c r="P1137" s="10" t="n">
        <x:v>2</x:v>
      </x:c>
      <x:c r="Q1137" s="13" t="n">
        <x:f>IF(H1137="","",H1137/1000000000)</x:f>
        <x:v>2.45</x:v>
      </x:c>
      <x:c r="R1137" s="13" t="n">
        <x:f>IF(I1137="","",I1137/1000000)</x:f>
        <x:v>150.30674846625766</x:v>
      </x:c>
    </x:row>
    <x:row r="1138" ht="21" customHeight="1">
      <x:c r="A1138" s="10" t="n">
        <x:v>1573</x:v>
      </x:c>
      <x:c r="B1138" s="2" t="str">
        <x:v>b477bd060bf6d6eda6f8</x:v>
      </x:c>
      <x:c r="C1138" s="2" t="str">
        <x:v>Tp Hồ Chí Minh</x:v>
      </x:c>
      <x:c r="D1138" s="2" t="str">
        <x:v>Quận 9</x:v>
      </x:c>
      <x:c r="E1138" s="2" t="str">
        <x:v>apartment</x:v>
      </x:c>
      <x:c r="F1138" s="2" t="str">
        <x:v>sale_assumed</x:v>
      </x:c>
      <x:c r="G1138" s="11" t="n">
        <x:v>69</x:v>
      </x:c>
      <x:c r="H1138" s="12" t="n">
        <x:v>1000000000</x:v>
      </x:c>
      <x:c r="I1138" s="12" t="n">
        <x:v>14492753.623188406</x:v>
      </x:c>
      <x:c r="J1138" s="2" t="str">
        <x:v>total</x:v>
      </x:c>
      <x:c r="K1138" s="2" t="str">
        <x:v>top_level_area</x:v>
      </x:c>
      <x:c r="L1138" s="2" t="str">
        <x:v>property_type_inferred_from_title;transaction_assumed_sale_from_dataset_context</x:v>
      </x:c>
      <x:c r="M1138" s="10" t="n">
        <x:v>0</x:v>
      </x:c>
      <x:c r="N1138" s="10" t="n">
        <x:v>0</x:v>
      </x:c>
      <x:c r="O1138" s="2" t="str">
        <x:v>Tp Hồ Chí Minh|apartment</x:v>
      </x:c>
      <x:c r="P1138" s="10" t="n">
        <x:v>2</x:v>
      </x:c>
      <x:c r="Q1138" s="13" t="n">
        <x:f>IF(H1138="","",H1138/1000000000)</x:f>
        <x:v>1</x:v>
      </x:c>
      <x:c r="R1138" s="13" t="n">
        <x:f>IF(I1138="","",I1138/1000000)</x:f>
        <x:v>14.492753623188406</x:v>
      </x:c>
    </x:row>
    <x:row r="1139" ht="21" customHeight="1">
      <x:c r="A1139" s="10" t="n">
        <x:v>1617</x:v>
      </x:c>
      <x:c r="B1139" s="2" t="str">
        <x:v>77e85310052a3ba1a4f5</x:v>
      </x:c>
      <x:c r="C1139" s="2" t="str">
        <x:v>Tp Hồ Chí Minh</x:v>
      </x:c>
      <x:c r="D1139" s="2" t="str">
        <x:v>Quận Bình Tân</x:v>
      </x:c>
      <x:c r="E1139" s="2" t="str">
        <x:v>house</x:v>
      </x:c>
      <x:c r="F1139" s="2" t="str">
        <x:v>sale_assumed</x:v>
      </x:c>
      <x:c r="G1139" s="11" t="n">
        <x:v>56</x:v>
      </x:c>
      <x:c r="H1139" s="12" t="n">
        <x:v>4600000000</x:v>
      </x:c>
      <x:c r="I1139" s="12" t="n">
        <x:v>82142857.14285715</x:v>
      </x:c>
      <x:c r="J1139" s="2" t="str">
        <x:v>total</x:v>
      </x:c>
      <x:c r="K1139" s="2" t="str">
        <x:v>top_level_area</x:v>
      </x:c>
      <x:c r="L1139" s="2" t="str">
        <x:v>property_type_inferred_from_title;transaction_assumed_sale_from_dataset_context</x:v>
      </x:c>
      <x:c r="M1139" s="10" t="n">
        <x:v>0</x:v>
      </x:c>
      <x:c r="N1139" s="10" t="n">
        <x:v>0</x:v>
      </x:c>
      <x:c r="O1139" s="2" t="str">
        <x:v>Tp Hồ Chí Minh|house</x:v>
      </x:c>
      <x:c r="P1139" s="10" t="n">
        <x:v>2</x:v>
      </x:c>
      <x:c r="Q1139" s="13" t="n">
        <x:f>IF(H1139="","",H1139/1000000000)</x:f>
        <x:v>4.6</x:v>
      </x:c>
      <x:c r="R1139" s="13" t="n">
        <x:f>IF(I1139="","",I1139/1000000)</x:f>
        <x:v>82.14285714285715</x:v>
      </x:c>
    </x:row>
    <x:row r="1140" ht="21" customHeight="1">
      <x:c r="A1140" s="10" t="n">
        <x:v>1618</x:v>
      </x:c>
      <x:c r="B1140" s="2" t="str">
        <x:v>f019cdd9a5717db5c5cd</x:v>
      </x:c>
      <x:c r="C1140" s="2" t="str">
        <x:v>Tp Hồ Chí Minh</x:v>
      </x:c>
      <x:c r="D1140" s="2" t="str">
        <x:v>Quận Bình Tân</x:v>
      </x:c>
      <x:c r="E1140" s="2" t="str">
        <x:v>apartment</x:v>
      </x:c>
      <x:c r="F1140" s="2" t="str">
        <x:v>sale_assumed</x:v>
      </x:c>
      <x:c r="G1140" s="11" t="n">
        <x:v>81</x:v>
      </x:c>
      <x:c r="H1140" s="12" t="n">
        <x:v>1850000000</x:v>
      </x:c>
      <x:c r="I1140" s="12" t="n">
        <x:v>22839506.172839507</x:v>
      </x:c>
      <x:c r="J1140" s="2" t="str">
        <x:v>total</x:v>
      </x:c>
      <x:c r="K1140" s="2" t="str">
        <x:v>top_level_area</x:v>
      </x:c>
      <x:c r="L1140" s="2" t="str">
        <x:v>property_type_inferred_from_title;transaction_assumed_sale_from_dataset_context</x:v>
      </x:c>
      <x:c r="M1140" s="10" t="n">
        <x:v>0</x:v>
      </x:c>
      <x:c r="N1140" s="10" t="n">
        <x:v>0</x:v>
      </x:c>
      <x:c r="O1140" s="2" t="str">
        <x:v>Tp Hồ Chí Minh|apartment</x:v>
      </x:c>
      <x:c r="P1140" s="10" t="n">
        <x:v>2</x:v>
      </x:c>
      <x:c r="Q1140" s="13" t="n">
        <x:f>IF(H1140="","",H1140/1000000000)</x:f>
        <x:v>1.85</x:v>
      </x:c>
      <x:c r="R1140" s="13" t="n">
        <x:f>IF(I1140="","",I1140/1000000)</x:f>
        <x:v>22.839506172839506</x:v>
      </x:c>
    </x:row>
    <x:row r="1141" ht="21" customHeight="1">
      <x:c r="A1141" s="10" t="n">
        <x:v>1640</x:v>
      </x:c>
      <x:c r="B1141" s="2" t="str">
        <x:v>897fb75825369213f2d1</x:v>
      </x:c>
      <x:c r="C1141" s="2" t="str">
        <x:v>Tp Hồ Chí Minh</x:v>
      </x:c>
      <x:c r="D1141" s="2" t="str">
        <x:v>Quận Tân Phú</x:v>
      </x:c>
      <x:c r="E1141" s="2" t="str">
        <x:v>land</x:v>
      </x:c>
      <x:c r="F1141" s="2" t="str">
        <x:v>sale_assumed</x:v>
      </x:c>
      <x:c r="G1141" s="11" t="n">
        <x:v>90</x:v>
      </x:c>
      <x:c r="H1141" s="12" t="n">
        <x:v>1560000000</x:v>
      </x:c>
      <x:c r="I1141" s="12" t="n">
        <x:v>17333333.333333332</x:v>
      </x:c>
      <x:c r="J1141" s="2" t="str">
        <x:v>total</x:v>
      </x:c>
      <x:c r="K1141" s="2" t="str">
        <x:v>top_level_area</x:v>
      </x:c>
      <x:c r="L1141" s="2" t="str">
        <x:v>property_type_inferred_from_title;transaction_assumed_sale_from_dataset_context</x:v>
      </x:c>
      <x:c r="M1141" s="10" t="n">
        <x:v>0</x:v>
      </x:c>
      <x:c r="N1141" s="10" t="n">
        <x:v>0</x:v>
      </x:c>
      <x:c r="O1141" s="2" t="str">
        <x:v>Tp Hồ Chí Minh|land</x:v>
      </x:c>
      <x:c r="P1141" s="10" t="n">
        <x:v>2</x:v>
      </x:c>
      <x:c r="Q1141" s="13" t="n">
        <x:f>IF(H1141="","",H1141/1000000000)</x:f>
        <x:v>1.56</x:v>
      </x:c>
      <x:c r="R1141" s="13" t="n">
        <x:f>IF(I1141="","",I1141/1000000)</x:f>
        <x:v>17.333333333333332</x:v>
      </x:c>
    </x:row>
    <x:row r="1142" ht="21" customHeight="1">
      <x:c r="A1142" s="10" t="n">
        <x:v>1641</x:v>
      </x:c>
      <x:c r="B1142" s="2" t="str">
        <x:v>2d532f0a6425a729c965</x:v>
      </x:c>
      <x:c r="C1142" s="2" t="str">
        <x:v>Bình Dương</x:v>
      </x:c>
      <x:c r="D1142" s="2" t="str">
        <x:v>Thị xã Thuận An</x:v>
      </x:c>
      <x:c r="E1142" s="2" t="str">
        <x:v>apartment</x:v>
      </x:c>
      <x:c r="F1142" s="2" t="str">
        <x:v>sale</x:v>
      </x:c>
      <x:c r="G1142" s="11" t="n">
        <x:v>40</x:v>
      </x:c>
      <x:c r="H1142" s="12" t="n">
        <x:v>1000000000</x:v>
      </x:c>
      <x:c r="I1142" s="12" t="n">
        <x:v>25000000</x:v>
      </x:c>
      <x:c r="J1142" s="2" t="str">
        <x:v>total</x:v>
      </x:c>
      <x:c r="K1142" s="2" t="str">
        <x:v>top_level_area</x:v>
      </x:c>
      <x:c r="L1142" s="2" t="str">
        <x:v>property_type_inferred_from_title</x:v>
      </x:c>
      <x:c r="M1142" s="10" t="n">
        <x:v>0</x:v>
      </x:c>
      <x:c r="N1142" s="10" t="n">
        <x:v>0</x:v>
      </x:c>
      <x:c r="O1142" s="2" t="str">
        <x:v>Bình Dương|apartment</x:v>
      </x:c>
      <x:c r="P1142" s="10" t="n">
        <x:v>2</x:v>
      </x:c>
      <x:c r="Q1142" s="13" t="n">
        <x:f>IF(H1142="","",H1142/1000000000)</x:f>
        <x:v>1</x:v>
      </x:c>
      <x:c r="R1142" s="13" t="n">
        <x:f>IF(I1142="","",I1142/1000000)</x:f>
        <x:v>25</x:v>
      </x:c>
    </x:row>
    <x:row r="1143" ht="21" customHeight="1">
      <x:c r="A1143" s="10" t="n">
        <x:v>1662</x:v>
      </x:c>
      <x:c r="B1143" s="2" t="str">
        <x:v>a568d214b63277696f00</x:v>
      </x:c>
      <x:c r="C1143" s="2" t="str">
        <x:v>Hà Nội</x:v>
      </x:c>
      <x:c r="D1143" s="2" t="str">
        <x:v>Quận Hoàng Mai</x:v>
      </x:c>
      <x:c r="E1143" s="2" t="str">
        <x:v>house</x:v>
      </x:c>
      <x:c r="F1143" s="2" t="str">
        <x:v>sale_assumed</x:v>
      </x:c>
      <x:c r="G1143" s="11" t="n">
        <x:v>90</x:v>
      </x:c>
      <x:c r="H1143" s="12" t="n">
        <x:v>960000000</x:v>
      </x:c>
      <x:c r="I1143" s="12" t="n">
        <x:v>10666666.666666666</x:v>
      </x:c>
      <x:c r="J1143" s="2" t="str">
        <x:v>total</x:v>
      </x:c>
      <x:c r="K1143" s="2" t="str">
        <x:v>top_level_price_embedded_area</x:v>
      </x:c>
      <x:c r="L1143" s="2" t="str">
        <x:v>area_recovered_from_price_text;property_type_inferred_from_title;transaction_assumed_sale_from_dataset_context</x:v>
      </x:c>
      <x:c r="M1143" s="10" t="n">
        <x:v>0</x:v>
      </x:c>
      <x:c r="N1143" s="10" t="n">
        <x:v>0</x:v>
      </x:c>
      <x:c r="O1143" s="2" t="str">
        <x:v>Hà Nội|house</x:v>
      </x:c>
      <x:c r="P1143" s="10" t="n">
        <x:v>2</x:v>
      </x:c>
      <x:c r="Q1143" s="13" t="n">
        <x:f>IF(H1143="","",H1143/1000000000)</x:f>
        <x:v>0.96</x:v>
      </x:c>
      <x:c r="R1143" s="13" t="n">
        <x:f>IF(I1143="","",I1143/1000000)</x:f>
        <x:v>10.666666666666666</x:v>
      </x:c>
    </x:row>
    <x:row r="1144" ht="21" customHeight="1">
      <x:c r="A1144" s="10" t="n">
        <x:v>1674</x:v>
      </x:c>
      <x:c r="B1144" s="2" t="str">
        <x:v>cc5915cf7f5f6227c79c</x:v>
      </x:c>
      <x:c r="C1144" s="2" t="str">
        <x:v>Đắk Lắk</x:v>
      </x:c>
      <x:c r="D1144" s="2" t="str">
        <x:v>Huyện Cư Kuin</x:v>
      </x:c>
      <x:c r="E1144" s="2" t="str">
        <x:v>land</x:v>
      </x:c>
      <x:c r="F1144" s="2" t="str">
        <x:v>sale_assumed</x:v>
      </x:c>
      <x:c r="G1144" s="11" t="n">
        <x:v>5000</x:v>
      </x:c>
      <x:c r="H1144" s="12" t="n">
        <x:v>1850000000</x:v>
      </x:c>
      <x:c r="I1144" s="12" t="n">
        <x:v>370000</x:v>
      </x:c>
      <x:c r="J1144" s="2" t="str">
        <x:v>total</x:v>
      </x:c>
      <x:c r="K1144" s="2" t="str">
        <x:v>top_level_area</x:v>
      </x:c>
      <x:c r="L1144" s="2" t="str">
        <x:v>dot_thousands_convention;property_type_inferred_from_title;transaction_assumed_sale_from_dataset_context</x:v>
      </x:c>
      <x:c r="M1144" s="10" t="n">
        <x:v>0</x:v>
      </x:c>
      <x:c r="N1144" s="10" t="n">
        <x:v>0</x:v>
      </x:c>
      <x:c r="O1144" s="2" t="str">
        <x:v>Đắk Lắk|land</x:v>
      </x:c>
      <x:c r="P1144" s="10" t="n">
        <x:v>1</x:v>
      </x:c>
      <x:c r="Q1144" s="13" t="n">
        <x:f>IF(H1144="","",H1144/1000000000)</x:f>
        <x:v>1.85</x:v>
      </x:c>
      <x:c r="R1144" s="13" t="n">
        <x:f>IF(I1144="","",I1144/1000000)</x:f>
        <x:v>0.37</x:v>
      </x:c>
    </x:row>
    <x:row r="1145" ht="21" customHeight="1">
      <x:c r="A1145" s="10" t="n">
        <x:v>1675</x:v>
      </x:c>
      <x:c r="B1145" s="2" t="str">
        <x:v>5de84c9501396415a050</x:v>
      </x:c>
      <x:c r="C1145" s="2" t="str">
        <x:v>Tp Hồ Chí Minh</x:v>
      </x:c>
      <x:c r="D1145" s="2" t="str">
        <x:v>Quận 12</x:v>
      </x:c>
      <x:c r="E1145" s="2" t="str">
        <x:v>house</x:v>
      </x:c>
      <x:c r="F1145" s="2" t="str">
        <x:v>sale_assumed</x:v>
      </x:c>
      <x:c r="G1145" s="11" t="n">
        <x:v>60</x:v>
      </x:c>
      <x:c r="H1145" s="12" t="n">
        <x:v>2350000000</x:v>
      </x:c>
      <x:c r="I1145" s="12" t="n">
        <x:v>39166666.666666664</x:v>
      </x:c>
      <x:c r="J1145" s="2" t="str">
        <x:v>total</x:v>
      </x:c>
      <x:c r="K1145" s="2" t="str">
        <x:v>top_level_area</x:v>
      </x:c>
      <x:c r="L1145" s="2" t="str">
        <x:v>property_type_inferred_from_title;transaction_assumed_sale_from_dataset_context</x:v>
      </x:c>
      <x:c r="M1145" s="10" t="n">
        <x:v>0</x:v>
      </x:c>
      <x:c r="N1145" s="10" t="n">
        <x:v>0</x:v>
      </x:c>
      <x:c r="O1145" s="2" t="str">
        <x:v>Tp Hồ Chí Minh|house</x:v>
      </x:c>
      <x:c r="P1145" s="10" t="n">
        <x:v>2</x:v>
      </x:c>
      <x:c r="Q1145" s="13" t="n">
        <x:f>IF(H1145="","",H1145/1000000000)</x:f>
        <x:v>2.35</x:v>
      </x:c>
      <x:c r="R1145" s="13" t="n">
        <x:f>IF(I1145="","",I1145/1000000)</x:f>
        <x:v>39.166666666666664</x:v>
      </x:c>
    </x:row>
    <x:row r="1146" ht="21" customHeight="1">
      <x:c r="A1146" s="10" t="n">
        <x:v>1676</x:v>
      </x:c>
      <x:c r="B1146" s="2" t="str">
        <x:v>fb8b725bd46bf2885763</x:v>
      </x:c>
      <x:c r="C1146" s="2" t="str">
        <x:v>Trà Vinh</x:v>
      </x:c>
      <x:c r="D1146" s="2" t="str">
        <x:v>Huyện Tiểu Cần</x:v>
      </x:c>
      <x:c r="E1146" s="2" t="str">
        <x:v>land</x:v>
      </x:c>
      <x:c r="F1146" s="2" t="str">
        <x:v>sale_assumed</x:v>
      </x:c>
      <x:c r="G1146" s="11" t="n">
        <x:v>224</x:v>
      </x:c>
      <x:c r="H1146" s="12" t="n">
        <x:v>1100000000</x:v>
      </x:c>
      <x:c r="I1146" s="12" t="n">
        <x:v>4910714.285714285</x:v>
      </x:c>
      <x:c r="J1146" s="2" t="str">
        <x:v>total</x:v>
      </x:c>
      <x:c r="K1146" s="2" t="str">
        <x:v>top_level_area</x:v>
      </x:c>
      <x:c r="L1146" s="2" t="str">
        <x:v>property_type_inferred_from_title;transaction_assumed_sale_from_dataset_context</x:v>
      </x:c>
      <x:c r="M1146" s="10" t="n">
        <x:v>0</x:v>
      </x:c>
      <x:c r="N1146" s="10" t="n">
        <x:v>0</x:v>
      </x:c>
      <x:c r="O1146" s="2" t="str">
        <x:v>land</x:v>
      </x:c>
      <x:c r="P1146" s="10" t="n">
        <x:v>1</x:v>
      </x:c>
      <x:c r="Q1146" s="13" t="n">
        <x:f>IF(H1146="","",H1146/1000000000)</x:f>
        <x:v>1.1</x:v>
      </x:c>
      <x:c r="R1146" s="13" t="n">
        <x:f>IF(I1146="","",I1146/1000000)</x:f>
        <x:v>4.910714285714286</x:v>
      </x:c>
    </x:row>
    <x:row r="1147" ht="21" customHeight="1">
      <x:c r="A1147" s="10" t="n">
        <x:v>1677</x:v>
      </x:c>
      <x:c r="B1147" s="2" t="str">
        <x:v>03db4350536c03a52a3f</x:v>
      </x:c>
      <x:c r="C1147" s="2" t="str">
        <x:v>Hà Nội</x:v>
      </x:c>
      <x:c r="D1147" s="2" t="str">
        <x:v>Quận Hoàng Mai</x:v>
      </x:c>
      <x:c r="E1147" s="2" t="str">
        <x:v>house</x:v>
      </x:c>
      <x:c r="F1147" s="2" t="str">
        <x:v>sale</x:v>
      </x:c>
      <x:c r="G1147" s="11" t="n">
        <x:v>41</x:v>
      </x:c>
      <x:c r="H1147" s="12" t="n">
        <x:v>2600000000</x:v>
      </x:c>
      <x:c r="I1147" s="12" t="n">
        <x:v>63414634.146341465</x:v>
      </x:c>
      <x:c r="J1147" s="2" t="str">
        <x:v>total</x:v>
      </x:c>
      <x:c r="K1147" s="2" t="str">
        <x:v>top_level_area</x:v>
      </x:c>
      <x:c r="L1147" s="2" t="str">
        <x:v>property_type_inferred_from_title</x:v>
      </x:c>
      <x:c r="M1147" s="10" t="n">
        <x:v>0</x:v>
      </x:c>
      <x:c r="N1147" s="10" t="n">
        <x:v>0</x:v>
      </x:c>
      <x:c r="O1147" s="2" t="str">
        <x:v>Hà Nội|house</x:v>
      </x:c>
      <x:c r="P1147" s="10" t="n">
        <x:v>2</x:v>
      </x:c>
      <x:c r="Q1147" s="13" t="n">
        <x:f>IF(H1147="","",H1147/1000000000)</x:f>
        <x:v>2.6</x:v>
      </x:c>
      <x:c r="R1147" s="13" t="n">
        <x:f>IF(I1147="","",I1147/1000000)</x:f>
        <x:v>63.41463414634146</x:v>
      </x:c>
    </x:row>
    <x:row r="1148" ht="21" customHeight="1">
      <x:c r="A1148" s="10" t="n">
        <x:v>1678</x:v>
      </x:c>
      <x:c r="B1148" s="2" t="str">
        <x:v>8e0510a80ec56507cdc9</x:v>
      </x:c>
      <x:c r="C1148" s="2" t="str">
        <x:v>Tp Hồ Chí Minh</x:v>
      </x:c>
      <x:c r="D1148" s="2" t="str">
        <x:v>Huyện Nhà Bè</x:v>
      </x:c>
      <x:c r="E1148" s="2" t="str">
        <x:v>house</x:v>
      </x:c>
      <x:c r="F1148" s="2" t="str">
        <x:v>sale</x:v>
      </x:c>
      <x:c r="G1148" s="11" t="n">
        <x:v>35</x:v>
      </x:c>
      <x:c r="H1148" s="12" t="n">
        <x:v>850000000</x:v>
      </x:c>
      <x:c r="I1148" s="12" t="n">
        <x:v>24285714.285714287</x:v>
      </x:c>
      <x:c r="J1148" s="2" t="str">
        <x:v>total</x:v>
      </x:c>
      <x:c r="K1148" s="2" t="str">
        <x:v>top_level_area</x:v>
      </x:c>
      <x:c r="L1148" s="2" t="str">
        <x:v>property_type_inferred_from_title</x:v>
      </x:c>
      <x:c r="M1148" s="10" t="n">
        <x:v>0</x:v>
      </x:c>
      <x:c r="N1148" s="10" t="n">
        <x:v>0</x:v>
      </x:c>
      <x:c r="O1148" s="2" t="str">
        <x:v>Tp Hồ Chí Minh|house</x:v>
      </x:c>
      <x:c r="P1148" s="10" t="n">
        <x:v>2</x:v>
      </x:c>
      <x:c r="Q1148" s="13" t="n">
        <x:f>IF(H1148="","",H1148/1000000000)</x:f>
        <x:v>0.85</x:v>
      </x:c>
      <x:c r="R1148" s="13" t="n">
        <x:f>IF(I1148="","",I1148/1000000)</x:f>
        <x:v>24.28571428571429</x:v>
      </x:c>
    </x:row>
    <x:row r="1149" ht="21" customHeight="1">
      <x:c r="A1149" s="10" t="n">
        <x:v>1679</x:v>
      </x:c>
      <x:c r="B1149" s="2" t="str">
        <x:v>93925d175ae283685b44</x:v>
      </x:c>
      <x:c r="C1149" s="2" t="str">
        <x:v>Tp Hồ Chí Minh</x:v>
      </x:c>
      <x:c r="D1149" s="2" t="str">
        <x:v>Quận Gò Vấp</x:v>
      </x:c>
      <x:c r="E1149" s="2" t="str">
        <x:v>other_unknown</x:v>
      </x:c>
      <x:c r="F1149" s="2" t="str">
        <x:v>sale</x:v>
      </x:c>
      <x:c r="G1149" s="11" t="n">
        <x:v>60</x:v>
      </x:c>
      <x:c r="H1149" s="12" t="n">
        <x:v>6500000000</x:v>
      </x:c>
      <x:c r="I1149" s="12" t="n">
        <x:v>108333333.33333333</x:v>
      </x:c>
      <x:c r="J1149" s="2" t="str">
        <x:v>total</x:v>
      </x:c>
      <x:c r="K1149" s="2" t="str">
        <x:v>top_level_area</x:v>
      </x:c>
      <x:c r="L1149" s="2" t="str">
        <x:v>property_type_inferred_from_title;unknown_property_type</x:v>
      </x:c>
      <x:c r="M1149" s="10" t="n">
        <x:v>0</x:v>
      </x:c>
      <x:c r="N1149" s="10" t="n">
        <x:v>0</x:v>
      </x:c>
      <x:c r="O1149" s="2" t="str">
        <x:v>Tp Hồ Chí Minh|other_unknown</x:v>
      </x:c>
      <x:c r="P1149" s="10" t="n">
        <x:v>2</x:v>
      </x:c>
      <x:c r="Q1149" s="13" t="n">
        <x:f>IF(H1149="","",H1149/1000000000)</x:f>
        <x:v>6.5</x:v>
      </x:c>
      <x:c r="R1149" s="13" t="n">
        <x:f>IF(I1149="","",I1149/1000000)</x:f>
        <x:v>108.33333333333333</x:v>
      </x:c>
    </x:row>
    <x:row r="1150" ht="21" customHeight="1">
      <x:c r="A1150" s="10" t="n">
        <x:v>1680</x:v>
      </x:c>
      <x:c r="B1150" s="2" t="str">
        <x:v>73043f745536e6b32d9d</x:v>
      </x:c>
      <x:c r="C1150" s="2" t="str">
        <x:v>Tp Hồ Chí Minh</x:v>
      </x:c>
      <x:c r="D1150" s="2" t="str">
        <x:v>Quận Bình Tân</x:v>
      </x:c>
      <x:c r="E1150" s="2" t="str">
        <x:v>house</x:v>
      </x:c>
      <x:c r="F1150" s="2" t="str">
        <x:v>sale_assumed</x:v>
      </x:c>
      <x:c r="G1150" s="11" t="n">
        <x:v>67</x:v>
      </x:c>
      <x:c r="H1150" s="12" t="n">
        <x:v>1320000000</x:v>
      </x:c>
      <x:c r="I1150" s="12" t="n">
        <x:v>19701492.53731343</x:v>
      </x:c>
      <x:c r="J1150" s="2" t="str">
        <x:v>total</x:v>
      </x:c>
      <x:c r="K1150" s="2" t="str">
        <x:v>top_level_area</x:v>
      </x:c>
      <x:c r="L1150" s="2" t="str">
        <x:v>property_type_inferred_from_title;transaction_assumed_sale_from_dataset_context</x:v>
      </x:c>
      <x:c r="M1150" s="10" t="n">
        <x:v>0</x:v>
      </x:c>
      <x:c r="N1150" s="10" t="n">
        <x:v>0</x:v>
      </x:c>
      <x:c r="O1150" s="2" t="str">
        <x:v>Tp Hồ Chí Minh|house</x:v>
      </x:c>
      <x:c r="P1150" s="10" t="n">
        <x:v>2</x:v>
      </x:c>
      <x:c r="Q1150" s="13" t="n">
        <x:f>IF(H1150="","",H1150/1000000000)</x:f>
        <x:v>1.32</x:v>
      </x:c>
      <x:c r="R1150" s="13" t="n">
        <x:f>IF(I1150="","",I1150/1000000)</x:f>
        <x:v>19.70149253731343</x:v>
      </x:c>
    </x:row>
    <x:row r="1151" ht="21" customHeight="1">
      <x:c r="A1151" s="10" t="n">
        <x:v>1681</x:v>
      </x:c>
      <x:c r="B1151" s="2" t="str">
        <x:v>26dbfcb28b94b452d136</x:v>
      </x:c>
      <x:c r="C1151" s="2" t="str">
        <x:v>Bà Rịa - Vũng Tàu</x:v>
      </x:c>
      <x:c r="D1151" s="2" t="str">
        <x:v>Thị xã Phú Mỹ</x:v>
      </x:c>
      <x:c r="E1151" s="2" t="str">
        <x:v>land</x:v>
      </x:c>
      <x:c r="F1151" s="2" t="str">
        <x:v>sale</x:v>
      </x:c>
      <x:c r="G1151" s="11" t="n">
        <x:v>160</x:v>
      </x:c>
      <x:c r="H1151" s="12" t="n">
        <x:v>3500000000</x:v>
      </x:c>
      <x:c r="I1151" s="12" t="n">
        <x:v>21875000</x:v>
      </x:c>
      <x:c r="J1151" s="2" t="str">
        <x:v>total</x:v>
      </x:c>
      <x:c r="K1151" s="2" t="str">
        <x:v>top_level_area</x:v>
      </x:c>
      <x:c r="L1151" s="2" t="str">
        <x:v>property_type_inferred_from_title</x:v>
      </x:c>
      <x:c r="M1151" s="10" t="n">
        <x:v>0</x:v>
      </x:c>
      <x:c r="N1151" s="10" t="n">
        <x:v>1</x:v>
      </x:c>
      <x:c r="O1151" s="2" t="str">
        <x:v>Bà Rịa - Vũng Tàu|land</x:v>
      </x:c>
      <x:c r="P1151" s="10" t="n">
        <x:v>-1</x:v>
      </x:c>
      <x:c r="Q1151" s="13" t="n">
        <x:f>IF(H1151="","",H1151/1000000000)</x:f>
        <x:v>3.5</x:v>
      </x:c>
      <x:c r="R1151" s="13" t="n">
        <x:f>IF(I1151="","",I1151/1000000)</x:f>
        <x:v>21.875</x:v>
      </x:c>
    </x:row>
    <x:row r="1152" ht="21" customHeight="1">
      <x:c r="A1152" s="10" t="n">
        <x:v>1682</x:v>
      </x:c>
      <x:c r="B1152" s="2" t="str">
        <x:v>1006e95949e3636b1aa9</x:v>
      </x:c>
      <x:c r="C1152" s="2" t="str">
        <x:v>Tp Hồ Chí Minh</x:v>
      </x:c>
      <x:c r="D1152" s="2" t="str">
        <x:v>Huyện Hóc Môn</x:v>
      </x:c>
      <x:c r="E1152" s="2" t="str">
        <x:v>house</x:v>
      </x:c>
      <x:c r="F1152" s="2" t="str">
        <x:v>sale_assumed</x:v>
      </x:c>
      <x:c r="G1152" s="11" t="n">
        <x:v>36</x:v>
      </x:c>
      <x:c r="H1152" s="12" t="n">
        <x:v>350000000</x:v>
      </x:c>
      <x:c r="I1152" s="12" t="n">
        <x:v>9722222.222222222</x:v>
      </x:c>
      <x:c r="J1152" s="2" t="str">
        <x:v>total</x:v>
      </x:c>
      <x:c r="K1152" s="2" t="str">
        <x:v>top_level_area</x:v>
      </x:c>
      <x:c r="L1152" s="2" t="str">
        <x:v>property_type_inferred_from_title;transaction_assumed_sale_from_dataset_context</x:v>
      </x:c>
      <x:c r="M1152" s="10" t="n">
        <x:v>0</x:v>
      </x:c>
      <x:c r="N1152" s="10" t="n">
        <x:v>0</x:v>
      </x:c>
      <x:c r="O1152" s="2" t="str">
        <x:v>Tp Hồ Chí Minh|house</x:v>
      </x:c>
      <x:c r="P1152" s="10" t="n">
        <x:v>2</x:v>
      </x:c>
      <x:c r="Q1152" s="13" t="n">
        <x:f>IF(H1152="","",H1152/1000000000)</x:f>
        <x:v>0.35</x:v>
      </x:c>
      <x:c r="R1152" s="13" t="n">
        <x:f>IF(I1152="","",I1152/1000000)</x:f>
        <x:v>9.722222222222221</x:v>
      </x:c>
    </x:row>
    <x:row r="1153" ht="21" customHeight="1">
      <x:c r="A1153" s="10" t="n">
        <x:v>1683</x:v>
      </x:c>
      <x:c r="B1153" s="2" t="str">
        <x:v>e89445de7239b34217b4</x:v>
      </x:c>
      <x:c r="C1153" s="2" t="str">
        <x:v>Nam Định</x:v>
      </x:c>
      <x:c r="D1153" s="2" t="str">
        <x:v>Thành phố Nam Định</x:v>
      </x:c>
      <x:c r="E1153" s="2" t="str">
        <x:v>house</x:v>
      </x:c>
      <x:c r="F1153" s="2" t="str">
        <x:v>sale</x:v>
      </x:c>
      <x:c r="G1153" s="11" t="n">
        <x:v>46</x:v>
      </x:c>
      <x:c r="H1153" s="12" t="n">
        <x:v>950000000</x:v>
      </x:c>
      <x:c r="I1153" s="12" t="n">
        <x:v>20652173.913043477</x:v>
      </x:c>
      <x:c r="J1153" s="2" t="str">
        <x:v>total</x:v>
      </x:c>
      <x:c r="K1153" s="2" t="str">
        <x:v>top_level_area</x:v>
      </x:c>
      <x:c r="L1153" s="2" t="str">
        <x:v>property_type_inferred_from_title</x:v>
      </x:c>
      <x:c r="M1153" s="10" t="n">
        <x:v>0</x:v>
      </x:c>
      <x:c r="N1153" s="10" t="n">
        <x:v>0</x:v>
      </x:c>
      <x:c r="O1153" s="2" t="str">
        <x:v>house</x:v>
      </x:c>
      <x:c r="P1153" s="10" t="n">
        <x:v>2</x:v>
      </x:c>
      <x:c r="Q1153" s="13" t="n">
        <x:f>IF(H1153="","",H1153/1000000000)</x:f>
        <x:v>0.95</x:v>
      </x:c>
      <x:c r="R1153" s="13" t="n">
        <x:f>IF(I1153="","",I1153/1000000)</x:f>
        <x:v>20.652173913043477</x:v>
      </x:c>
    </x:row>
    <x:row r="1154" ht="21" customHeight="1">
      <x:c r="A1154" s="10" t="n">
        <x:v>1684</x:v>
      </x:c>
      <x:c r="B1154" s="2" t="str">
        <x:v>7ebe1d7c028b12a64b71</x:v>
      </x:c>
      <x:c r="C1154" s="2" t="str">
        <x:v>Lâm Đồng</x:v>
      </x:c>
      <x:c r="D1154" s="2" t="str">
        <x:v>Thành phố Bảo Lộc</x:v>
      </x:c>
      <x:c r="E1154" s="2" t="str">
        <x:v>land</x:v>
      </x:c>
      <x:c r="F1154" s="2" t="str">
        <x:v>sale</x:v>
      </x:c>
      <x:c r="G1154" s="11" t="n">
        <x:v>1550</x:v>
      </x:c>
      <x:c r="H1154" s="12" t="n">
        <x:v>1300000000</x:v>
      </x:c>
      <x:c r="I1154" s="12" t="n">
        <x:v>838709.6774193548</x:v>
      </x:c>
      <x:c r="J1154" s="2" t="str">
        <x:v>total</x:v>
      </x:c>
      <x:c r="K1154" s="2" t="str">
        <x:v>top_level_area</x:v>
      </x:c>
      <x:c r="L1154" s="2" t="str">
        <x:v>dot_thousands_convention;property_type_inferred_from_title</x:v>
      </x:c>
      <x:c r="M1154" s="10" t="n">
        <x:v>0</x:v>
      </x:c>
      <x:c r="N1154" s="10" t="n">
        <x:v>0</x:v>
      </x:c>
      <x:c r="O1154" s="2" t="str">
        <x:v>Lâm Đồng|land</x:v>
      </x:c>
      <x:c r="P1154" s="10" t="n">
        <x:v>1</x:v>
      </x:c>
      <x:c r="Q1154" s="13" t="n">
        <x:f>IF(H1154="","",H1154/1000000000)</x:f>
        <x:v>1.3</x:v>
      </x:c>
      <x:c r="R1154" s="13" t="n">
        <x:f>IF(I1154="","",I1154/1000000)</x:f>
        <x:v>0.8387096774193548</x:v>
      </x:c>
    </x:row>
    <x:row r="1155" ht="21" customHeight="1">
      <x:c r="A1155" s="10" t="n">
        <x:v>1686</x:v>
      </x:c>
      <x:c r="B1155" s="2" t="str">
        <x:v>30ab086e764e6f5950f7</x:v>
      </x:c>
      <x:c r="C1155" s="2" t="str">
        <x:v>Bình Dương</x:v>
      </x:c>
      <x:c r="D1155" s="2" t="str">
        <x:v>Thị xã Dĩ An</x:v>
      </x:c>
      <x:c r="E1155" s="2" t="str">
        <x:v>house</x:v>
      </x:c>
      <x:c r="F1155" s="2" t="str">
        <x:v>sale</x:v>
      </x:c>
      <x:c r="G1155" s="11" t="n">
        <x:v>60</x:v>
      </x:c>
      <x:c r="H1155" s="12" t="n">
        <x:v>1100000000</x:v>
      </x:c>
      <x:c r="I1155" s="12" t="n">
        <x:v>18333333.333333332</x:v>
      </x:c>
      <x:c r="J1155" s="2" t="str">
        <x:v>total</x:v>
      </x:c>
      <x:c r="K1155" s="2" t="str">
        <x:v>top_level_area</x:v>
      </x:c>
      <x:c r="L1155" s="2" t="str">
        <x:v>property_type_inferred_from_title</x:v>
      </x:c>
      <x:c r="M1155" s="10" t="n">
        <x:v>0</x:v>
      </x:c>
      <x:c r="N1155" s="10" t="n">
        <x:v>0</x:v>
      </x:c>
      <x:c r="O1155" s="2" t="str">
        <x:v>Bình Dương|house</x:v>
      </x:c>
      <x:c r="P1155" s="10" t="n">
        <x:v>2</x:v>
      </x:c>
      <x:c r="Q1155" s="13" t="n">
        <x:f>IF(H1155="","",H1155/1000000000)</x:f>
        <x:v>1.1</x:v>
      </x:c>
      <x:c r="R1155" s="13" t="n">
        <x:f>IF(I1155="","",I1155/1000000)</x:f>
        <x:v>18.333333333333332</x:v>
      </x:c>
    </x:row>
    <x:row r="1156" ht="21" customHeight="1">
      <x:c r="A1156" s="10" t="n">
        <x:v>1687</x:v>
      </x:c>
      <x:c r="B1156" s="2" t="str">
        <x:v>64991f5aeaf46ae4ab9a</x:v>
      </x:c>
      <x:c r="C1156" s="2" t="str">
        <x:v>Tp Hồ Chí Minh</x:v>
      </x:c>
      <x:c r="D1156" s="2" t="str">
        <x:v>Huyện Hóc Môn</x:v>
      </x:c>
      <x:c r="E1156" s="2" t="str">
        <x:v>house</x:v>
      </x:c>
      <x:c r="F1156" s="2" t="str">
        <x:v>sale</x:v>
      </x:c>
      <x:c r="G1156" s="11" t="n">
        <x:v>32</x:v>
      </x:c>
      <x:c r="H1156" s="12" t="n">
        <x:v>640000000</x:v>
      </x:c>
      <x:c r="I1156" s="12" t="n">
        <x:v>20000000</x:v>
      </x:c>
      <x:c r="J1156" s="2" t="str">
        <x:v>total</x:v>
      </x:c>
      <x:c r="K1156" s="2" t="str">
        <x:v>top_level_area</x:v>
      </x:c>
      <x:c r="L1156" s="2" t="str">
        <x:v>property_type_inferred_from_title</x:v>
      </x:c>
      <x:c r="M1156" s="10" t="n">
        <x:v>0</x:v>
      </x:c>
      <x:c r="N1156" s="10" t="n">
        <x:v>0</x:v>
      </x:c>
      <x:c r="O1156" s="2" t="str">
        <x:v>Tp Hồ Chí Minh|house</x:v>
      </x:c>
      <x:c r="P1156" s="10" t="n">
        <x:v>2</x:v>
      </x:c>
      <x:c r="Q1156" s="13" t="n">
        <x:f>IF(H1156="","",H1156/1000000000)</x:f>
        <x:v>0.64</x:v>
      </x:c>
      <x:c r="R1156" s="13" t="n">
        <x:f>IF(I1156="","",I1156/1000000)</x:f>
        <x:v>20</x:v>
      </x:c>
    </x:row>
    <x:row r="1157" ht="21" customHeight="1">
      <x:c r="A1157" s="10" t="n">
        <x:v>1688</x:v>
      </x:c>
      <x:c r="B1157" s="2" t="str">
        <x:v>e91ffbdae66b9af60ae6</x:v>
      </x:c>
      <x:c r="C1157" s="2" t="str">
        <x:v>Tp Hồ Chí Minh</x:v>
      </x:c>
      <x:c r="D1157" s="2" t="str">
        <x:v>Quận Bình Thạnh</x:v>
      </x:c>
      <x:c r="E1157" s="2" t="str">
        <x:v>apartment</x:v>
      </x:c>
      <x:c r="F1157" s="2" t="str">
        <x:v>sale_assumed</x:v>
      </x:c>
      <x:c r="G1157" s="11" t="n">
        <x:v>71</x:v>
      </x:c>
      <x:c r="H1157" s="12" t="n">
        <x:v>2900000000</x:v>
      </x:c>
      <x:c r="I1157" s="12" t="n">
        <x:v>40845070.42253521</x:v>
      </x:c>
      <x:c r="J1157" s="2" t="str">
        <x:v>total</x:v>
      </x:c>
      <x:c r="K1157" s="2" t="str">
        <x:v>top_level_area</x:v>
      </x:c>
      <x:c r="L1157" s="2" t="str">
        <x:v>property_type_inferred_from_title;transaction_assumed_sale_from_dataset_context</x:v>
      </x:c>
      <x:c r="M1157" s="10" t="n">
        <x:v>0</x:v>
      </x:c>
      <x:c r="N1157" s="10" t="n">
        <x:v>0</x:v>
      </x:c>
      <x:c r="O1157" s="2" t="str">
        <x:v>Tp Hồ Chí Minh|apartment</x:v>
      </x:c>
      <x:c r="P1157" s="10" t="n">
        <x:v>2</x:v>
      </x:c>
      <x:c r="Q1157" s="13" t="n">
        <x:f>IF(H1157="","",H1157/1000000000)</x:f>
        <x:v>2.9</x:v>
      </x:c>
      <x:c r="R1157" s="13" t="n">
        <x:f>IF(I1157="","",I1157/1000000)</x:f>
        <x:v>40.84507042253521</x:v>
      </x:c>
    </x:row>
    <x:row r="1158" ht="21" customHeight="1">
      <x:c r="A1158" s="10" t="n">
        <x:v>1689</x:v>
      </x:c>
      <x:c r="B1158" s="2" t="str">
        <x:v>b38874f051000e4da783</x:v>
      </x:c>
      <x:c r="C1158" s="2" t="str">
        <x:v>Tp Hồ Chí Minh</x:v>
      </x:c>
      <x:c r="D1158" s="2" t="str">
        <x:v>Quận Gò Vấp</x:v>
      </x:c>
      <x:c r="E1158" s="2" t="str">
        <x:v>other_unknown</x:v>
      </x:c>
      <x:c r="F1158" s="2" t="str">
        <x:v>sale_assumed</x:v>
      </x:c>
      <x:c r="G1158" s="11" t="n">
        <x:v>150</x:v>
      </x:c>
      <x:c r="H1158" s="12" t="n">
        <x:v>27000000000</x:v>
      </x:c>
      <x:c r="I1158" s="12" t="n">
        <x:v>180000000</x:v>
      </x:c>
      <x:c r="J1158" s="2" t="str">
        <x:v>total</x:v>
      </x:c>
      <x:c r="K1158" s="2" t="str">
        <x:v>top_level_area</x:v>
      </x:c>
      <x:c r="L1158" s="2" t="str">
        <x:v>property_type_inferred_from_title;transaction_assumed_sale_from_dataset_context;unknown_property_type</x:v>
      </x:c>
      <x:c r="M1158" s="10" t="n">
        <x:v>1</x:v>
      </x:c>
      <x:c r="N1158" s="10" t="n">
        <x:v>0</x:v>
      </x:c>
      <x:c r="O1158" s="2" t="str">
        <x:v>Tp Hồ Chí Minh|other_unknown</x:v>
      </x:c>
      <x:c r="P1158" s="10" t="n">
        <x:v>2</x:v>
      </x:c>
      <x:c r="Q1158" s="13" t="n">
        <x:f>IF(H1158="","",H1158/1000000000)</x:f>
        <x:v>27</x:v>
      </x:c>
      <x:c r="R1158" s="13" t="n">
        <x:f>IF(I1158="","",I1158/1000000)</x:f>
        <x:v>180</x:v>
      </x:c>
    </x:row>
    <x:row r="1159" ht="21" customHeight="1">
      <x:c r="A1159" s="10" t="n">
        <x:v>1690</x:v>
      </x:c>
      <x:c r="B1159" s="2" t="str">
        <x:v>5d54153c03dbe8d16fd3</x:v>
      </x:c>
      <x:c r="C1159" s="2" t="str">
        <x:v>Tp Hồ Chí Minh</x:v>
      </x:c>
      <x:c r="D1159" s="2" t="str">
        <x:v>Huyện Bình Chánh</x:v>
      </x:c>
      <x:c r="E1159" s="2" t="str">
        <x:v>other_unknown</x:v>
      </x:c>
      <x:c r="F1159" s="2" t="str">
        <x:v>sale_assumed</x:v>
      </x:c>
      <x:c r="G1159" s="11" t="n">
        <x:v>60</x:v>
      </x:c>
      <x:c r="H1159" s="12" t="n">
        <x:v>3500000000</x:v>
      </x:c>
      <x:c r="I1159" s="12" t="n">
        <x:v>58333333.333333336</x:v>
      </x:c>
      <x:c r="J1159" s="2" t="str">
        <x:v>total</x:v>
      </x:c>
      <x:c r="K1159" s="2" t="str">
        <x:v>top_level_area</x:v>
      </x:c>
      <x:c r="L1159" s="2" t="str">
        <x:v>property_type_inferred_from_title;transaction_assumed_sale_from_dataset_context;unknown_property_type</x:v>
      </x:c>
      <x:c r="M1159" s="10" t="n">
        <x:v>0</x:v>
      </x:c>
      <x:c r="N1159" s="10" t="n">
        <x:v>0</x:v>
      </x:c>
      <x:c r="O1159" s="2" t="str">
        <x:v>Tp Hồ Chí Minh|other_unknown</x:v>
      </x:c>
      <x:c r="P1159" s="10" t="n">
        <x:v>2</x:v>
      </x:c>
      <x:c r="Q1159" s="13" t="n">
        <x:f>IF(H1159="","",H1159/1000000000)</x:f>
        <x:v>3.5</x:v>
      </x:c>
      <x:c r="R1159" s="13" t="n">
        <x:f>IF(I1159="","",I1159/1000000)</x:f>
        <x:v>58.333333333333336</x:v>
      </x:c>
    </x:row>
    <x:row r="1160" ht="21" customHeight="1">
      <x:c r="A1160" s="10" t="n">
        <x:v>1691</x:v>
      </x:c>
      <x:c r="B1160" s="2" t="str">
        <x:v>416552d068b6c0cd50a3</x:v>
      </x:c>
      <x:c r="C1160" s="2" t="str">
        <x:v>Tp Hồ Chí Minh</x:v>
      </x:c>
      <x:c r="D1160" s="2" t="str">
        <x:v>Quận 12</x:v>
      </x:c>
      <x:c r="E1160" s="2" t="str">
        <x:v>house</x:v>
      </x:c>
      <x:c r="F1160" s="2" t="str">
        <x:v>sale_assumed</x:v>
      </x:c>
      <x:c r="G1160" s="11" t="n">
        <x:v>78</x:v>
      </x:c>
      <x:c r="H1160" s="12" t="n">
        <x:v>2550000000</x:v>
      </x:c>
      <x:c r="I1160" s="12" t="n">
        <x:v>32692307.692307692</x:v>
      </x:c>
      <x:c r="J1160" s="2" t="str">
        <x:v>total</x:v>
      </x:c>
      <x:c r="K1160" s="2" t="str">
        <x:v>top_level_area</x:v>
      </x:c>
      <x:c r="L1160" s="2" t="str">
        <x:v>property_type_inferred_from_title;transaction_assumed_sale_from_dataset_context</x:v>
      </x:c>
      <x:c r="M1160" s="10" t="n">
        <x:v>0</x:v>
      </x:c>
      <x:c r="N1160" s="10" t="n">
        <x:v>0</x:v>
      </x:c>
      <x:c r="O1160" s="2" t="str">
        <x:v>Tp Hồ Chí Minh|house</x:v>
      </x:c>
      <x:c r="P1160" s="10" t="n">
        <x:v>2</x:v>
      </x:c>
      <x:c r="Q1160" s="13" t="n">
        <x:f>IF(H1160="","",H1160/1000000000)</x:f>
        <x:v>2.55</x:v>
      </x:c>
      <x:c r="R1160" s="13" t="n">
        <x:f>IF(I1160="","",I1160/1000000)</x:f>
        <x:v>32.69230769230769</x:v>
      </x:c>
    </x:row>
    <x:row r="1161" ht="21" customHeight="1">
      <x:c r="A1161" s="10" t="n">
        <x:v>1692</x:v>
      </x:c>
      <x:c r="B1161" s="2" t="str">
        <x:v>14817139bc81db1555ec</x:v>
      </x:c>
      <x:c r="C1161" s="2" t="str">
        <x:v>Tp Hồ Chí Minh</x:v>
      </x:c>
      <x:c r="D1161" s="2" t="str">
        <x:v>Quận 2</x:v>
      </x:c>
      <x:c r="E1161" s="2" t="str">
        <x:v>apartment</x:v>
      </x:c>
      <x:c r="F1161" s="2" t="str">
        <x:v>sale</x:v>
      </x:c>
      <x:c r="G1161" s="11" t="n">
        <x:v>72</x:v>
      </x:c>
      <x:c r="H1161" s="12" t="n">
        <x:v>4500000000</x:v>
      </x:c>
      <x:c r="I1161" s="12" t="n">
        <x:v>62500000</x:v>
      </x:c>
      <x:c r="J1161" s="2" t="str">
        <x:v>total</x:v>
      </x:c>
      <x:c r="K1161" s="2" t="str">
        <x:v>top_level_area</x:v>
      </x:c>
      <x:c r="L1161" s="2" t="str">
        <x:v>property_type_inferred_from_title</x:v>
      </x:c>
      <x:c r="M1161" s="10" t="n">
        <x:v>0</x:v>
      </x:c>
      <x:c r="N1161" s="10" t="n">
        <x:v>0</x:v>
      </x:c>
      <x:c r="O1161" s="2" t="str">
        <x:v>Tp Hồ Chí Minh|apartment</x:v>
      </x:c>
      <x:c r="P1161" s="10" t="n">
        <x:v>2</x:v>
      </x:c>
      <x:c r="Q1161" s="13" t="n">
        <x:f>IF(H1161="","",H1161/1000000000)</x:f>
        <x:v>4.5</x:v>
      </x:c>
      <x:c r="R1161" s="13" t="n">
        <x:f>IF(I1161="","",I1161/1000000)</x:f>
        <x:v>62.5</x:v>
      </x:c>
    </x:row>
    <x:row r="1162" ht="21" customHeight="1">
      <x:c r="A1162" s="10" t="n">
        <x:v>1693</x:v>
      </x:c>
      <x:c r="B1162" s="2" t="str">
        <x:v>595aceb9d5a7ed53f070</x:v>
      </x:c>
      <x:c r="C1162" s="2" t="str">
        <x:v>Đồng Nai</x:v>
      </x:c>
      <x:c r="D1162" s="2" t="str">
        <x:v>Huyện Trảng Bom</x:v>
      </x:c>
      <x:c r="E1162" s="2" t="str">
        <x:v>land</x:v>
      </x:c>
      <x:c r="F1162" s="2" t="str">
        <x:v>sale</x:v>
      </x:c>
      <x:c r="G1162" s="11" t="n">
        <x:v>100</x:v>
      </x:c>
      <x:c r="H1162" s="12" t="n">
        <x:v>210000000</x:v>
      </x:c>
      <x:c r="I1162" s="12" t="n">
        <x:v>2100000</x:v>
      </x:c>
      <x:c r="J1162" s="2" t="str">
        <x:v>total</x:v>
      </x:c>
      <x:c r="K1162" s="2" t="str">
        <x:v>top_level_area</x:v>
      </x:c>
      <x:c r="L1162" s="2" t="str">
        <x:v>property_type_inferred_from_title</x:v>
      </x:c>
      <x:c r="M1162" s="10" t="n">
        <x:v>0</x:v>
      </x:c>
      <x:c r="N1162" s="10" t="n">
        <x:v>0</x:v>
      </x:c>
      <x:c r="O1162" s="2" t="str">
        <x:v>Đồng Nai|land</x:v>
      </x:c>
      <x:c r="P1162" s="10" t="n">
        <x:v>1</x:v>
      </x:c>
      <x:c r="Q1162" s="13" t="n">
        <x:f>IF(H1162="","",H1162/1000000000)</x:f>
        <x:v>0.21</x:v>
      </x:c>
      <x:c r="R1162" s="13" t="n">
        <x:f>IF(I1162="","",I1162/1000000)</x:f>
        <x:v>2.1</x:v>
      </x:c>
    </x:row>
    <x:row r="1163" ht="21" customHeight="1">
      <x:c r="A1163" s="10" t="n">
        <x:v>1694</x:v>
      </x:c>
      <x:c r="B1163" s="2" t="str">
        <x:v>b24402c3af7dcbb2222e</x:v>
      </x:c>
      <x:c r="C1163" s="2" t="str">
        <x:v>Bình Phước</x:v>
      </x:c>
      <x:c r="D1163" s="2" t="str">
        <x:v>Huyện Đồng Phú</x:v>
      </x:c>
      <x:c r="E1163" s="2" t="str">
        <x:v>land</x:v>
      </x:c>
      <x:c r="F1163" s="2" t="str">
        <x:v>sale_assumed</x:v>
      </x:c>
      <x:c r="G1163" s="11" t="n">
        <x:v>300</x:v>
      </x:c>
      <x:c r="H1163" s="12" t="n">
        <x:v>160000000</x:v>
      </x:c>
      <x:c r="I1163" s="12" t="n">
        <x:v>533333.3333333334</x:v>
      </x:c>
      <x:c r="J1163" s="2" t="str">
        <x:v>total</x:v>
      </x:c>
      <x:c r="K1163" s="2" t="str">
        <x:v>top_level_area</x:v>
      </x:c>
      <x:c r="L1163" s="2" t="str">
        <x:v>property_type_inferred_from_title;transaction_assumed_sale_from_dataset_context</x:v>
      </x:c>
      <x:c r="M1163" s="10" t="n">
        <x:v>0</x:v>
      </x:c>
      <x:c r="N1163" s="10" t="n">
        <x:v>0</x:v>
      </x:c>
      <x:c r="O1163" s="2" t="str">
        <x:v>Bình Phước|land</x:v>
      </x:c>
      <x:c r="P1163" s="10" t="n">
        <x:v>1</x:v>
      </x:c>
      <x:c r="Q1163" s="13" t="n">
        <x:f>IF(H1163="","",H1163/1000000000)</x:f>
        <x:v>0.16</x:v>
      </x:c>
      <x:c r="R1163" s="13" t="n">
        <x:f>IF(I1163="","",I1163/1000000)</x:f>
        <x:v>0.5333333333333333</x:v>
      </x:c>
    </x:row>
    <x:row r="1164" ht="21" customHeight="1">
      <x:c r="A1164" s="10" t="n">
        <x:v>1695</x:v>
      </x:c>
      <x:c r="B1164" s="2" t="str">
        <x:v>7ffd0d631bb060e8bca7</x:v>
      </x:c>
      <x:c r="C1164" s="2" t="str">
        <x:v>Đà Nẵng</x:v>
      </x:c>
      <x:c r="D1164" s="2" t="str">
        <x:v>Quận Cẩm Lệ</x:v>
      </x:c>
      <x:c r="E1164" s="2" t="str">
        <x:v>house</x:v>
      </x:c>
      <x:c r="F1164" s="2" t="str">
        <x:v>sale_assumed</x:v>
      </x:c>
      <x:c r="G1164" s="11" t="n">
        <x:v>100</x:v>
      </x:c>
      <x:c r="H1164" s="12" t="n">
        <x:v>4700000000</x:v>
      </x:c>
      <x:c r="I1164" s="12" t="n">
        <x:v>47000000</x:v>
      </x:c>
      <x:c r="J1164" s="2" t="str">
        <x:v>total</x:v>
      </x:c>
      <x:c r="K1164" s="2" t="str">
        <x:v>top_level_area</x:v>
      </x:c>
      <x:c r="L1164" s="2" t="str">
        <x:v>property_type_inferred_from_title;transaction_assumed_sale_from_dataset_context</x:v>
      </x:c>
      <x:c r="M1164" s="10" t="n">
        <x:v>0</x:v>
      </x:c>
      <x:c r="N1164" s="10" t="n">
        <x:v>0</x:v>
      </x:c>
      <x:c r="O1164" s="2" t="str">
        <x:v>Đà Nẵng|house</x:v>
      </x:c>
      <x:c r="P1164" s="10" t="n">
        <x:v>2</x:v>
      </x:c>
      <x:c r="Q1164" s="13" t="n">
        <x:f>IF(H1164="","",H1164/1000000000)</x:f>
        <x:v>4.7</x:v>
      </x:c>
      <x:c r="R1164" s="13" t="n">
        <x:f>IF(I1164="","",I1164/1000000)</x:f>
        <x:v>47</x:v>
      </x:c>
    </x:row>
    <x:row r="1165" ht="21" customHeight="1">
      <x:c r="A1165" s="10" t="n">
        <x:v>1696</x:v>
      </x:c>
      <x:c r="B1165" s="2" t="str">
        <x:v>824a8e9e4e5bb7c89ed8</x:v>
      </x:c>
      <x:c r="C1165" s="2" t="str">
        <x:v>Đắk Lắk</x:v>
      </x:c>
      <x:c r="D1165" s="2" t="str">
        <x:v>Thành phố Buôn Ma Thuột</x:v>
      </x:c>
      <x:c r="E1165" s="2" t="str">
        <x:v>house</x:v>
      </x:c>
      <x:c r="F1165" s="2" t="str">
        <x:v>sale_assumed</x:v>
      </x:c>
      <x:c r="G1165" s="11" t="n">
        <x:v>115</x:v>
      </x:c>
      <x:c r="H1165" s="12" t="n">
        <x:v>1020000000</x:v>
      </x:c>
      <x:c r="I1165" s="12" t="n">
        <x:v>8869565.217391305</x:v>
      </x:c>
      <x:c r="J1165" s="2" t="str">
        <x:v>total</x:v>
      </x:c>
      <x:c r="K1165" s="2" t="str">
        <x:v>top_level_area</x:v>
      </x:c>
      <x:c r="L1165" s="2" t="str">
        <x:v>property_type_inferred_from_title;transaction_assumed_sale_from_dataset_context</x:v>
      </x:c>
      <x:c r="M1165" s="10" t="n">
        <x:v>0</x:v>
      </x:c>
      <x:c r="N1165" s="10" t="n">
        <x:v>0</x:v>
      </x:c>
      <x:c r="O1165" s="2" t="str">
        <x:v>Đắk Lắk|house</x:v>
      </x:c>
      <x:c r="P1165" s="10" t="n">
        <x:v>2</x:v>
      </x:c>
      <x:c r="Q1165" s="13" t="n">
        <x:f>IF(H1165="","",H1165/1000000000)</x:f>
        <x:v>1.02</x:v>
      </x:c>
      <x:c r="R1165" s="13" t="n">
        <x:f>IF(I1165="","",I1165/1000000)</x:f>
        <x:v>8.869565217391305</x:v>
      </x:c>
    </x:row>
    <x:row r="1166" ht="21" customHeight="1">
      <x:c r="A1166" s="10" t="n">
        <x:v>1697</x:v>
      </x:c>
      <x:c r="B1166" s="2" t="str">
        <x:v>7b887b752f94a96acfe3</x:v>
      </x:c>
      <x:c r="C1166" s="2" t="str">
        <x:v>Long An</x:v>
      </x:c>
      <x:c r="D1166" s="2" t="str">
        <x:v>Huyện Tân Trụ</x:v>
      </x:c>
      <x:c r="E1166" s="2" t="str">
        <x:v>land</x:v>
      </x:c>
      <x:c r="F1166" s="2" t="str">
        <x:v>sale</x:v>
      </x:c>
      <x:c r="G1166" s="11" t="n">
        <x:v>116</x:v>
      </x:c>
      <x:c r="H1166" s="12" t="n">
        <x:v>550000000</x:v>
      </x:c>
      <x:c r="I1166" s="12" t="n">
        <x:v>4741379.310344827</x:v>
      </x:c>
      <x:c r="J1166" s="2" t="str">
        <x:v>total</x:v>
      </x:c>
      <x:c r="K1166" s="2" t="str">
        <x:v>top_level_area</x:v>
      </x:c>
      <x:c r="L1166" s="2" t="str">
        <x:v>property_type_inferred_from_title</x:v>
      </x:c>
      <x:c r="M1166" s="10" t="n">
        <x:v>0</x:v>
      </x:c>
      <x:c r="N1166" s="10" t="n">
        <x:v>0</x:v>
      </x:c>
      <x:c r="O1166" s="2" t="str">
        <x:v>Long An|land</x:v>
      </x:c>
      <x:c r="P1166" s="10" t="n">
        <x:v>2</x:v>
      </x:c>
      <x:c r="Q1166" s="13" t="n">
        <x:f>IF(H1166="","",H1166/1000000000)</x:f>
        <x:v>0.55</x:v>
      </x:c>
      <x:c r="R1166" s="13" t="n">
        <x:f>IF(I1166="","",I1166/1000000)</x:f>
        <x:v>4.741379310344827</x:v>
      </x:c>
    </x:row>
    <x:row r="1167" ht="21" customHeight="1">
      <x:c r="A1167" s="10" t="n">
        <x:v>1698</x:v>
      </x:c>
      <x:c r="B1167" s="2" t="str">
        <x:v>1b2f35644883359f74b6</x:v>
      </x:c>
      <x:c r="C1167" s="2" t="str">
        <x:v>Tp Hồ Chí Minh</x:v>
      </x:c>
      <x:c r="D1167" s="2" t="str">
        <x:v>Huyện Hóc Môn</x:v>
      </x:c>
      <x:c r="E1167" s="2" t="str">
        <x:v>apartment</x:v>
      </x:c>
      <x:c r="F1167" s="2" t="str">
        <x:v>sale_assumed</x:v>
      </x:c>
      <x:c r="G1167" s="11" t="n">
        <x:v>40</x:v>
      </x:c>
      <x:c r="H1167" s="12" t="n">
        <x:v>275000000</x:v>
      </x:c>
      <x:c r="I1167" s="12" t="n">
        <x:v>6875000</x:v>
      </x:c>
      <x:c r="J1167" s="2" t="str">
        <x:v>total</x:v>
      </x:c>
      <x:c r="K1167" s="2" t="str">
        <x:v>top_level_area</x:v>
      </x:c>
      <x:c r="L1167" s="2" t="str">
        <x:v>property_type_inferred_from_title;transaction_assumed_sale_from_dataset_context</x:v>
      </x:c>
      <x:c r="M1167" s="10" t="n">
        <x:v>0</x:v>
      </x:c>
      <x:c r="N1167" s="10" t="n">
        <x:v>0</x:v>
      </x:c>
      <x:c r="O1167" s="2" t="str">
        <x:v>Tp Hồ Chí Minh|apartment</x:v>
      </x:c>
      <x:c r="P1167" s="10" t="n">
        <x:v>2</x:v>
      </x:c>
      <x:c r="Q1167" s="13" t="n">
        <x:f>IF(H1167="","",H1167/1000000000)</x:f>
        <x:v>0.275</x:v>
      </x:c>
      <x:c r="R1167" s="13" t="n">
        <x:f>IF(I1167="","",I1167/1000000)</x:f>
        <x:v>6.875</x:v>
      </x:c>
    </x:row>
    <x:row r="1168" ht="21" customHeight="1">
      <x:c r="A1168" s="10" t="n">
        <x:v>1699</x:v>
      </x:c>
      <x:c r="B1168" s="2" t="str">
        <x:v>2dde7854edfdfd599269</x:v>
      </x:c>
      <x:c r="C1168" s="2" t="str">
        <x:v>Tp Hồ Chí Minh</x:v>
      </x:c>
      <x:c r="D1168" s="2" t="str">
        <x:v>Quận Thủ Đức</x:v>
      </x:c>
      <x:c r="E1168" s="2" t="str">
        <x:v>other_unknown</x:v>
      </x:c>
      <x:c r="F1168" s="2" t="str">
        <x:v>sale_assumed</x:v>
      </x:c>
      <x:c r="G1168" s="11" t="n">
        <x:v>61.9</x:v>
      </x:c>
      <x:c r="H1168" s="12" t="n">
        <x:v>1240000000</x:v>
      </x:c>
      <x:c r="I1168" s="12" t="n">
        <x:v>20032310.177705977</x:v>
      </x:c>
      <x:c r="J1168" s="2" t="str">
        <x:v>total</x:v>
      </x:c>
      <x:c r="K1168" s="2" t="str">
        <x:v>top_level_area</x:v>
      </x:c>
      <x:c r="L1168" s="2" t="str">
        <x:v>property_type_inferred_from_title;transaction_assumed_sale_from_dataset_context;unknown_property_type</x:v>
      </x:c>
      <x:c r="M1168" s="10" t="n">
        <x:v>0</x:v>
      </x:c>
      <x:c r="N1168" s="10" t="n">
        <x:v>0</x:v>
      </x:c>
      <x:c r="O1168" s="2" t="str">
        <x:v>Tp Hồ Chí Minh|other_unknown</x:v>
      </x:c>
      <x:c r="P1168" s="10" t="n">
        <x:v>2</x:v>
      </x:c>
      <x:c r="Q1168" s="13" t="n">
        <x:f>IF(H1168="","",H1168/1000000000)</x:f>
        <x:v>1.24</x:v>
      </x:c>
      <x:c r="R1168" s="13" t="n">
        <x:f>IF(I1168="","",I1168/1000000)</x:f>
        <x:v>20.032310177705977</x:v>
      </x:c>
    </x:row>
    <x:row r="1169" ht="21" customHeight="1">
      <x:c r="A1169" s="10" t="n">
        <x:v>1700</x:v>
      </x:c>
      <x:c r="B1169" s="2" t="str">
        <x:v>89d00c809667834f38f8</x:v>
      </x:c>
      <x:c r="C1169" s="2" t="str">
        <x:v>Bình Dương</x:v>
      </x:c>
      <x:c r="D1169" s="2" t="str">
        <x:v>Thị xã Dĩ An</x:v>
      </x:c>
      <x:c r="E1169" s="2" t="str">
        <x:v>land</x:v>
      </x:c>
      <x:c r="F1169" s="2" t="str">
        <x:v>sale_assumed</x:v>
      </x:c>
      <x:c r="G1169" s="11" t="n">
        <x:v>82.4</x:v>
      </x:c>
      <x:c r="H1169" s="12" t="n">
        <x:v>1430000000</x:v>
      </x:c>
      <x:c r="I1169" s="12" t="n">
        <x:v>17354368.932038832</x:v>
      </x:c>
      <x:c r="J1169" s="2" t="str">
        <x:v>total</x:v>
      </x:c>
      <x:c r="K1169" s="2" t="str">
        <x:v>top_level_area</x:v>
      </x:c>
      <x:c r="L1169" s="2" t="str">
        <x:v>property_type_inferred_from_title;transaction_assumed_sale_from_dataset_context</x:v>
      </x:c>
      <x:c r="M1169" s="10" t="n">
        <x:v>0</x:v>
      </x:c>
      <x:c r="N1169" s="10" t="n">
        <x:v>0</x:v>
      </x:c>
      <x:c r="O1169" s="2" t="str">
        <x:v>Bình Dương|land</x:v>
      </x:c>
      <x:c r="P1169" s="10" t="n">
        <x:v>2</x:v>
      </x:c>
      <x:c r="Q1169" s="13" t="n">
        <x:f>IF(H1169="","",H1169/1000000000)</x:f>
        <x:v>1.43</x:v>
      </x:c>
      <x:c r="R1169" s="13" t="n">
        <x:f>IF(I1169="","",I1169/1000000)</x:f>
        <x:v>17.35436893203883</x:v>
      </x:c>
    </x:row>
    <x:row r="1170" ht="21" customHeight="1">
      <x:c r="A1170" s="10" t="n">
        <x:v>1701</x:v>
      </x:c>
      <x:c r="B1170" s="2" t="str">
        <x:v>d1df53b6a0f7969db8cf</x:v>
      </x:c>
      <x:c r="C1170" s="2" t="str">
        <x:v>Hà Nội</x:v>
      </x:c>
      <x:c r="D1170" s="2" t="str">
        <x:v>Quận Nam Từ Liêm</x:v>
      </x:c>
      <x:c r="E1170" s="2" t="str">
        <x:v>house</x:v>
      </x:c>
      <x:c r="F1170" s="2" t="str">
        <x:v>sale_assumed</x:v>
      </x:c>
      <x:c r="G1170" s="11" t="n">
        <x:v>60</x:v>
      </x:c>
      <x:c r="H1170" s="12" t="n">
        <x:v>15000000000</x:v>
      </x:c>
      <x:c r="I1170" s="12" t="n">
        <x:v>250000000</x:v>
      </x:c>
      <x:c r="J1170" s="2" t="str">
        <x:v>total</x:v>
      </x:c>
      <x:c r="K1170" s="2" t="str">
        <x:v>top_level_price_embedded_area</x:v>
      </x:c>
      <x:c r="L1170" s="2" t="str">
        <x:v>area_recovered_from_price_text;property_type_inferred_from_title;transaction_assumed_sale_from_dataset_context</x:v>
      </x:c>
      <x:c r="M1170" s="10" t="n">
        <x:v>1</x:v>
      </x:c>
      <x:c r="N1170" s="10" t="n">
        <x:v>1</x:v>
      </x:c>
      <x:c r="O1170" s="2" t="str">
        <x:v>Hà Nội|house</x:v>
      </x:c>
      <x:c r="P1170" s="10" t="n">
        <x:v>-1</x:v>
      </x:c>
      <x:c r="Q1170" s="13" t="n">
        <x:f>IF(H1170="","",H1170/1000000000)</x:f>
        <x:v>15</x:v>
      </x:c>
      <x:c r="R1170" s="13" t="n">
        <x:f>IF(I1170="","",I1170/1000000)</x:f>
        <x:v>250</x:v>
      </x:c>
    </x:row>
    <x:row r="1171" ht="21" customHeight="1">
      <x:c r="A1171" s="10" t="n">
        <x:v>1702</x:v>
      </x:c>
      <x:c r="B1171" s="2" t="str">
        <x:v>8d095b62d8c553c1a370</x:v>
      </x:c>
      <x:c r="C1171" s="2" t="str">
        <x:v>Bình Định</x:v>
      </x:c>
      <x:c r="D1171" s="2" t="str">
        <x:v>Thành phố Qui Nhơn</x:v>
      </x:c>
      <x:c r="E1171" s="2" t="str">
        <x:v>apartment</x:v>
      </x:c>
      <x:c r="F1171" s="2" t="str">
        <x:v>sale_assumed</x:v>
      </x:c>
      <x:c r="G1171" s="11" t="n">
        <x:v>65</x:v>
      </x:c>
      <x:c r="H1171" s="12" t="n">
        <x:v>1560000000</x:v>
      </x:c>
      <x:c r="I1171" s="12" t="n">
        <x:v>24000000</x:v>
      </x:c>
      <x:c r="J1171" s="2" t="str">
        <x:v>total</x:v>
      </x:c>
      <x:c r="K1171" s="2" t="str">
        <x:v>top_level_area</x:v>
      </x:c>
      <x:c r="L1171" s="2" t="str">
        <x:v>property_type_inferred_from_title;transaction_assumed_sale_from_dataset_context</x:v>
      </x:c>
      <x:c r="M1171" s="10" t="n">
        <x:v>0</x:v>
      </x:c>
      <x:c r="N1171" s="10" t="n">
        <x:v>0</x:v>
      </x:c>
      <x:c r="O1171" s="2" t="str">
        <x:v>apartment</x:v>
      </x:c>
      <x:c r="P1171" s="10" t="n">
        <x:v>2</x:v>
      </x:c>
      <x:c r="Q1171" s="13" t="n">
        <x:f>IF(H1171="","",H1171/1000000000)</x:f>
        <x:v>1.56</x:v>
      </x:c>
      <x:c r="R1171" s="13" t="n">
        <x:f>IF(I1171="","",I1171/1000000)</x:f>
        <x:v>24</x:v>
      </x:c>
    </x:row>
    <x:row r="1172" ht="21" customHeight="1">
      <x:c r="A1172" s="10" t="n">
        <x:v>1703</x:v>
      </x:c>
      <x:c r="B1172" s="2" t="str">
        <x:v>a66b86bb5017976b6c25</x:v>
      </x:c>
      <x:c r="C1172" s="2" t="str">
        <x:v>Bình Dương</x:v>
      </x:c>
      <x:c r="D1172" s="2" t="str">
        <x:v>Thị xã Thuận An</x:v>
      </x:c>
      <x:c r="E1172" s="2" t="str">
        <x:v>house</x:v>
      </x:c>
      <x:c r="F1172" s="2" t="str">
        <x:v>sale_with_rental_income</x:v>
      </x:c>
      <x:c r="G1172" s="11" t="n">
        <x:v>95</x:v>
      </x:c>
      <x:c r="H1172" s="12" t="n">
        <x:v>1950000000</x:v>
      </x:c>
      <x:c r="I1172" s="12" t="n">
        <x:v>20526315.789473683</x:v>
      </x:c>
      <x:c r="J1172" s="2" t="str">
        <x:v>total</x:v>
      </x:c>
      <x:c r="K1172" s="2" t="str">
        <x:v>top_level_area</x:v>
      </x:c>
      <x:c r="L1172" s="2" t="str">
        <x:v>property_type_inferred_from_title;rental_income_mentioned</x:v>
      </x:c>
      <x:c r="M1172" s="10" t="n">
        <x:v>0</x:v>
      </x:c>
      <x:c r="N1172" s="10" t="n">
        <x:v>0</x:v>
      </x:c>
      <x:c r="O1172" s="2" t="str">
        <x:v>Bình Dương|house</x:v>
      </x:c>
      <x:c r="P1172" s="10" t="n">
        <x:v>2</x:v>
      </x:c>
      <x:c r="Q1172" s="13" t="n">
        <x:f>IF(H1172="","",H1172/1000000000)</x:f>
        <x:v>1.95</x:v>
      </x:c>
      <x:c r="R1172" s="13" t="n">
        <x:f>IF(I1172="","",I1172/1000000)</x:f>
        <x:v>20.52631578947368</x:v>
      </x:c>
    </x:row>
    <x:row r="1173" ht="21" customHeight="1">
      <x:c r="A1173" s="10" t="n">
        <x:v>1704</x:v>
      </x:c>
      <x:c r="B1173" s="2" t="str">
        <x:v>b017065149cb99cca0bf</x:v>
      </x:c>
      <x:c r="C1173" s="2" t="str">
        <x:v>Hậu Giang</x:v>
      </x:c>
      <x:c r="D1173" s="2" t="str">
        <x:v>Thành phố Vị Thanh</x:v>
      </x:c>
      <x:c r="E1173" s="2" t="str">
        <x:v>land</x:v>
      </x:c>
      <x:c r="F1173" s="2" t="str">
        <x:v>sale_assumed</x:v>
      </x:c>
      <x:c r="G1173" s="11" t="n">
        <x:v>100</x:v>
      </x:c>
      <x:c r="H1173" s="12" t="n">
        <x:v>1400000000</x:v>
      </x:c>
      <x:c r="I1173" s="12" t="n">
        <x:v>14000000</x:v>
      </x:c>
      <x:c r="J1173" s="2" t="str">
        <x:v>total</x:v>
      </x:c>
      <x:c r="K1173" s="2" t="str">
        <x:v>top_level_area</x:v>
      </x:c>
      <x:c r="L1173" s="2" t="str">
        <x:v>property_type_inferred_from_title;transaction_assumed_sale_from_dataset_context</x:v>
      </x:c>
      <x:c r="M1173" s="10" t="n">
        <x:v>0</x:v>
      </x:c>
      <x:c r="N1173" s="10" t="n">
        <x:v>0</x:v>
      </x:c>
      <x:c r="O1173" s="2" t="str">
        <x:v>land</x:v>
      </x:c>
      <x:c r="P1173" s="10" t="n">
        <x:v>2</x:v>
      </x:c>
      <x:c r="Q1173" s="13" t="n">
        <x:f>IF(H1173="","",H1173/1000000000)</x:f>
        <x:v>1.4</x:v>
      </x:c>
      <x:c r="R1173" s="13" t="n">
        <x:f>IF(I1173="","",I1173/1000000)</x:f>
        <x:v>14</x:v>
      </x:c>
    </x:row>
    <x:row r="1174" ht="21" customHeight="1">
      <x:c r="A1174" s="10" t="n">
        <x:v>1705</x:v>
      </x:c>
      <x:c r="B1174" s="2" t="str">
        <x:v>0f5d938ed3c261c207a9</x:v>
      </x:c>
      <x:c r="C1174" s="2" t="str">
        <x:v>Tp Hồ Chí Minh</x:v>
      </x:c>
      <x:c r="D1174" s="2" t="str">
        <x:v>Quận 8</x:v>
      </x:c>
      <x:c r="E1174" s="2" t="str">
        <x:v>house</x:v>
      </x:c>
      <x:c r="F1174" s="2" t="str">
        <x:v>sale</x:v>
      </x:c>
      <x:c r="G1174" s="11" t="n">
        <x:v>98</x:v>
      </x:c>
      <x:c r="H1174" s="12" t="n">
        <x:v>7700000000</x:v>
      </x:c>
      <x:c r="I1174" s="12" t="n">
        <x:v>78571428.57142857</x:v>
      </x:c>
      <x:c r="J1174" s="2" t="str">
        <x:v>total</x:v>
      </x:c>
      <x:c r="K1174" s="2" t="str">
        <x:v>top_level_area</x:v>
      </x:c>
      <x:c r="L1174" s="2" t="str">
        <x:v>property_type_inferred_from_title</x:v>
      </x:c>
      <x:c r="M1174" s="10" t="n">
        <x:v>0</x:v>
      </x:c>
      <x:c r="N1174" s="10" t="n">
        <x:v>0</x:v>
      </x:c>
      <x:c r="O1174" s="2" t="str">
        <x:v>Tp Hồ Chí Minh|house</x:v>
      </x:c>
      <x:c r="P1174" s="10" t="n">
        <x:v>2</x:v>
      </x:c>
      <x:c r="Q1174" s="13" t="n">
        <x:f>IF(H1174="","",H1174/1000000000)</x:f>
        <x:v>7.7</x:v>
      </x:c>
      <x:c r="R1174" s="13" t="n">
        <x:f>IF(I1174="","",I1174/1000000)</x:f>
        <x:v>78.57142857142857</x:v>
      </x:c>
    </x:row>
    <x:row r="1175" ht="21" customHeight="1">
      <x:c r="A1175" s="10" t="n">
        <x:v>1706</x:v>
      </x:c>
      <x:c r="B1175" s="2" t="str">
        <x:v>2b212d281c2b82c3d51a</x:v>
      </x:c>
      <x:c r="C1175" s="2" t="str">
        <x:v>Chưa xác định</x:v>
      </x:c>
      <x:c r="D1175" s="2" t="str">
        <x:v>Chưa xác định</x:v>
      </x:c>
      <x:c r="E1175" s="2" t="str">
        <x:v>house</x:v>
      </x:c>
      <x:c r="F1175" s="2" t="str">
        <x:v>sale_assumed</x:v>
      </x:c>
      <x:c r="G1175" s="11" t="n">
        <x:v>40</x:v>
      </x:c>
      <x:c r="H1175" s="12" t="n">
        <x:v>415000000</x:v>
      </x:c>
      <x:c r="I1175" s="12" t="n">
        <x:v>10375000</x:v>
      </x:c>
      <x:c r="J1175" s="2" t="str">
        <x:v>total</x:v>
      </x:c>
      <x:c r="K1175" s="2" t="str">
        <x:v>top_level_area</x:v>
      </x:c>
      <x:c r="L1175" s="2" t="str">
        <x:v>property_type_inferred_from_title;transaction_assumed_sale_from_dataset_context;unknown_district;unknown_province</x:v>
      </x:c>
      <x:c r="M1175" s="10" t="n">
        <x:v>0</x:v>
      </x:c>
      <x:c r="N1175" s="10" t="n">
        <x:v>0</x:v>
      </x:c>
      <x:c r="O1175" s="2" t="str">
        <x:v>house</x:v>
      </x:c>
      <x:c r="P1175" s="10" t="n">
        <x:v>2</x:v>
      </x:c>
      <x:c r="Q1175" s="13" t="n">
        <x:f>IF(H1175="","",H1175/1000000000)</x:f>
        <x:v>0.415</x:v>
      </x:c>
      <x:c r="R1175" s="13" t="n">
        <x:f>IF(I1175="","",I1175/1000000)</x:f>
        <x:v>10.375</x:v>
      </x:c>
    </x:row>
    <x:row r="1176" ht="21" customHeight="1">
      <x:c r="A1176" s="10" t="n">
        <x:v>1728</x:v>
      </x:c>
      <x:c r="B1176" s="2" t="str">
        <x:v>6e06e984a28a4f436856</x:v>
      </x:c>
      <x:c r="C1176" s="2" t="str">
        <x:v>Đà Nẵng</x:v>
      </x:c>
      <x:c r="D1176" s="2" t="str">
        <x:v>Quận Sơn Trà</x:v>
      </x:c>
      <x:c r="E1176" s="2" t="str">
        <x:v>land</x:v>
      </x:c>
      <x:c r="F1176" s="2" t="str">
        <x:v>sale_assumed</x:v>
      </x:c>
      <x:c r="G1176" s="11" t="n">
        <x:v>125</x:v>
      </x:c>
      <x:c r="H1176" s="12" t="n">
        <x:v>3100000000</x:v>
      </x:c>
      <x:c r="I1176" s="12" t="n">
        <x:v>24800000</x:v>
      </x:c>
      <x:c r="J1176" s="2" t="str">
        <x:v>total</x:v>
      </x:c>
      <x:c r="K1176" s="2" t="str">
        <x:v>top_level_area</x:v>
      </x:c>
      <x:c r="L1176" s="2" t="str">
        <x:v>property_type_inferred_from_title;transaction_assumed_sale_from_dataset_context</x:v>
      </x:c>
      <x:c r="M1176" s="10" t="n">
        <x:v>0</x:v>
      </x:c>
      <x:c r="N1176" s="10" t="n">
        <x:v>0</x:v>
      </x:c>
      <x:c r="O1176" s="2" t="str">
        <x:v>Đà Nẵng|land</x:v>
      </x:c>
      <x:c r="P1176" s="10" t="n">
        <x:v>2</x:v>
      </x:c>
      <x:c r="Q1176" s="13" t="n">
        <x:f>IF(H1176="","",H1176/1000000000)</x:f>
        <x:v>3.1</x:v>
      </x:c>
      <x:c r="R1176" s="13" t="n">
        <x:f>IF(I1176="","",I1176/1000000)</x:f>
        <x:v>24.8</x:v>
      </x:c>
    </x:row>
    <x:row r="1177" ht="21" customHeight="1">
      <x:c r="A1177" s="10" t="n">
        <x:v>1734</x:v>
      </x:c>
      <x:c r="B1177" s="2" t="str">
        <x:v>bbd645a6b98ebdd4a5f7</x:v>
      </x:c>
      <x:c r="C1177" s="2" t="str">
        <x:v>Bình Dương</x:v>
      </x:c>
      <x:c r="D1177" s="2" t="str">
        <x:v>Thị xã Thuận An</x:v>
      </x:c>
      <x:c r="E1177" s="2" t="str">
        <x:v>land</x:v>
      </x:c>
      <x:c r="F1177" s="2" t="str">
        <x:v>sale</x:v>
      </x:c>
      <x:c r="G1177" s="11" t="n">
        <x:v>450</x:v>
      </x:c>
      <x:c r="H1177" s="12" t="n">
        <x:v>1200000000</x:v>
      </x:c>
      <x:c r="I1177" s="12" t="n">
        <x:v>2666666.6666666665</x:v>
      </x:c>
      <x:c r="J1177" s="2" t="str">
        <x:v>total</x:v>
      </x:c>
      <x:c r="K1177" s="2" t="str">
        <x:v>top_level_area</x:v>
      </x:c>
      <x:c r="L1177" s="2" t="str">
        <x:v>property_type_inferred_from_title</x:v>
      </x:c>
      <x:c r="M1177" s="10" t="n">
        <x:v>0</x:v>
      </x:c>
      <x:c r="N1177" s="10" t="n">
        <x:v>0</x:v>
      </x:c>
      <x:c r="O1177" s="2" t="str">
        <x:v>Bình Dương|land</x:v>
      </x:c>
      <x:c r="P1177" s="10" t="n">
        <x:v>1</x:v>
      </x:c>
      <x:c r="Q1177" s="13" t="n">
        <x:f>IF(H1177="","",H1177/1000000000)</x:f>
        <x:v>1.2</x:v>
      </x:c>
      <x:c r="R1177" s="13" t="n">
        <x:f>IF(I1177="","",I1177/1000000)</x:f>
        <x:v>2.6666666666666665</x:v>
      </x:c>
    </x:row>
    <x:row r="1178" ht="21" customHeight="1">
      <x:c r="A1178" s="10" t="n">
        <x:v>1735</x:v>
      </x:c>
      <x:c r="B1178" s="2" t="str">
        <x:v>d65fef3e582f150ed298</x:v>
      </x:c>
      <x:c r="C1178" s="2" t="str">
        <x:v>Tp Hồ Chí Minh</x:v>
      </x:c>
      <x:c r="D1178" s="2" t="str">
        <x:v>Quận 11</x:v>
      </x:c>
      <x:c r="E1178" s="2" t="str">
        <x:v>house</x:v>
      </x:c>
      <x:c r="F1178" s="2" t="str">
        <x:v>sale_assumed</x:v>
      </x:c>
      <x:c r="G1178" s="11" t="n">
        <x:v>37</x:v>
      </x:c>
      <x:c r="H1178" s="12" t="n">
        <x:v>4950000000</x:v>
      </x:c>
      <x:c r="I1178" s="12" t="n">
        <x:v>133783783.78378378</x:v>
      </x:c>
      <x:c r="J1178" s="2" t="str">
        <x:v>total</x:v>
      </x:c>
      <x:c r="K1178" s="2" t="str">
        <x:v>top_level_area</x:v>
      </x:c>
      <x:c r="L1178" s="2" t="str">
        <x:v>property_type_inferred_from_title;transaction_assumed_sale_from_dataset_context</x:v>
      </x:c>
      <x:c r="M1178" s="10" t="n">
        <x:v>0</x:v>
      </x:c>
      <x:c r="N1178" s="10" t="n">
        <x:v>0</x:v>
      </x:c>
      <x:c r="O1178" s="2" t="str">
        <x:v>Tp Hồ Chí Minh|house</x:v>
      </x:c>
      <x:c r="P1178" s="10" t="n">
        <x:v>2</x:v>
      </x:c>
      <x:c r="Q1178" s="13" t="n">
        <x:f>IF(H1178="","",H1178/1000000000)</x:f>
        <x:v>4.95</x:v>
      </x:c>
      <x:c r="R1178" s="13" t="n">
        <x:f>IF(I1178="","",I1178/1000000)</x:f>
        <x:v>133.78378378378378</x:v>
      </x:c>
    </x:row>
    <x:row r="1179" ht="21" customHeight="1">
      <x:c r="A1179" s="10" t="n">
        <x:v>1736</x:v>
      </x:c>
      <x:c r="B1179" s="2" t="str">
        <x:v>7c63bf9ce4d1f83753d6</x:v>
      </x:c>
      <x:c r="C1179" s="2" t="str">
        <x:v>Bình Dương</x:v>
      </x:c>
      <x:c r="D1179" s="2" t="str">
        <x:v>Thị xã Thuận An</x:v>
      </x:c>
      <x:c r="E1179" s="2" t="str">
        <x:v>land</x:v>
      </x:c>
      <x:c r="F1179" s="2" t="str">
        <x:v>sale</x:v>
      </x:c>
      <x:c r="G1179" s="11" t="n">
        <x:v>68</x:v>
      </x:c>
      <x:c r="H1179" s="12" t="n">
        <x:v>1750000000</x:v>
      </x:c>
      <x:c r="I1179" s="12" t="n">
        <x:v>25735294.11764706</x:v>
      </x:c>
      <x:c r="J1179" s="2" t="str">
        <x:v>total</x:v>
      </x:c>
      <x:c r="K1179" s="2" t="str">
        <x:v>top_level_area</x:v>
      </x:c>
      <x:c r="L1179" s="2" t="str">
        <x:v>property_type_inferred_from_title</x:v>
      </x:c>
      <x:c r="M1179" s="10" t="n">
        <x:v>0</x:v>
      </x:c>
      <x:c r="N1179" s="10" t="n">
        <x:v>0</x:v>
      </x:c>
      <x:c r="O1179" s="2" t="str">
        <x:v>Bình Dương|land</x:v>
      </x:c>
      <x:c r="P1179" s="10" t="n">
        <x:v>2</x:v>
      </x:c>
      <x:c r="Q1179" s="13" t="n">
        <x:f>IF(H1179="","",H1179/1000000000)</x:f>
        <x:v>1.75</x:v>
      </x:c>
      <x:c r="R1179" s="13" t="n">
        <x:f>IF(I1179="","",I1179/1000000)</x:f>
        <x:v>25.735294117647058</x:v>
      </x:c>
    </x:row>
    <x:row r="1180" ht="21" customHeight="1">
      <x:c r="A1180" s="10" t="n">
        <x:v>1737</x:v>
      </x:c>
      <x:c r="B1180" s="2" t="str">
        <x:v>462bf8167a102a52c2ea</x:v>
      </x:c>
      <x:c r="C1180" s="2" t="str">
        <x:v>Bình Dương</x:v>
      </x:c>
      <x:c r="D1180" s="2" t="str">
        <x:v>Thị xã Dĩ An</x:v>
      </x:c>
      <x:c r="E1180" s="2" t="str">
        <x:v>other_unknown</x:v>
      </x:c>
      <x:c r="F1180" s="2" t="str">
        <x:v>sale_assumed</x:v>
      </x:c>
      <x:c r="G1180" s="11" t="n">
        <x:v>450</x:v>
      </x:c>
      <x:c r="H1180" s="12" t="n">
        <x:v>1650000000</x:v>
      </x:c>
      <x:c r="I1180" s="12" t="n">
        <x:v>3666666.6666666665</x:v>
      </x:c>
      <x:c r="J1180" s="2" t="str">
        <x:v>total</x:v>
      </x:c>
      <x:c r="K1180" s="2" t="str">
        <x:v>top_level_area</x:v>
      </x:c>
      <x:c r="L1180" s="2" t="str">
        <x:v>property_type_inferred_from_title;transaction_assumed_sale_from_dataset_context;unknown_property_type</x:v>
      </x:c>
      <x:c r="M1180" s="10" t="n">
        <x:v>0</x:v>
      </x:c>
      <x:c r="N1180" s="10" t="n">
        <x:v>0</x:v>
      </x:c>
      <x:c r="O1180" s="2" t="str">
        <x:v>Bình Dương|other_unknown</x:v>
      </x:c>
      <x:c r="P1180" s="10" t="n">
        <x:v>1</x:v>
      </x:c>
      <x:c r="Q1180" s="13" t="n">
        <x:f>IF(H1180="","",H1180/1000000000)</x:f>
        <x:v>1.65</x:v>
      </x:c>
      <x:c r="R1180" s="13" t="n">
        <x:f>IF(I1180="","",I1180/1000000)</x:f>
        <x:v>3.6666666666666665</x:v>
      </x:c>
    </x:row>
    <x:row r="1181" ht="21" customHeight="1">
      <x:c r="A1181" s="10" t="n">
        <x:v>1738</x:v>
      </x:c>
      <x:c r="B1181" s="2" t="str">
        <x:v>71731e95fbcd026a1794</x:v>
      </x:c>
      <x:c r="C1181" s="2" t="str">
        <x:v>Đồng Nai</x:v>
      </x:c>
      <x:c r="D1181" s="2" t="str">
        <x:v>Huyện Long Thành</x:v>
      </x:c>
      <x:c r="E1181" s="2" t="str">
        <x:v>other_unknown</x:v>
      </x:c>
      <x:c r="F1181" s="2" t="str">
        <x:v>sale</x:v>
      </x:c>
      <x:c r="G1181" s="11" t="n">
        <x:v>570</x:v>
      </x:c>
      <x:c r="H1181" s="12" t="n">
        <x:v>6850000000</x:v>
      </x:c>
      <x:c r="I1181" s="12" t="n">
        <x:v>12017543.859649124</x:v>
      </x:c>
      <x:c r="J1181" s="2" t="str">
        <x:v>total</x:v>
      </x:c>
      <x:c r="K1181" s="2" t="str">
        <x:v>top_level_area</x:v>
      </x:c>
      <x:c r="L1181" s="2" t="str">
        <x:v>property_type_inferred_from_title;unknown_property_type</x:v>
      </x:c>
      <x:c r="M1181" s="10" t="n">
        <x:v>0</x:v>
      </x:c>
      <x:c r="N1181" s="10" t="n">
        <x:v>0</x:v>
      </x:c>
      <x:c r="O1181" s="2" t="str">
        <x:v>Đồng Nai|other_unknown</x:v>
      </x:c>
      <x:c r="P1181" s="10" t="n">
        <x:v>1</x:v>
      </x:c>
      <x:c r="Q1181" s="13" t="n">
        <x:f>IF(H1181="","",H1181/1000000000)</x:f>
        <x:v>6.85</x:v>
      </x:c>
      <x:c r="R1181" s="13" t="n">
        <x:f>IF(I1181="","",I1181/1000000)</x:f>
        <x:v>12.017543859649123</x:v>
      </x:c>
    </x:row>
    <x:row r="1182" ht="21" customHeight="1">
      <x:c r="A1182" s="10" t="n">
        <x:v>1739</x:v>
      </x:c>
      <x:c r="B1182" s="2" t="str">
        <x:v>069a9516c1efae6a7ede</x:v>
      </x:c>
      <x:c r="C1182" s="2" t="str">
        <x:v>Tp Hồ Chí Minh</x:v>
      </x:c>
      <x:c r="D1182" s="2" t="str">
        <x:v>Quận Bình Tân</x:v>
      </x:c>
      <x:c r="E1182" s="2" t="str">
        <x:v>land</x:v>
      </x:c>
      <x:c r="F1182" s="2" t="str">
        <x:v>sale</x:v>
      </x:c>
      <x:c r="G1182" s="11" t="n">
        <x:v>61</x:v>
      </x:c>
      <x:c r="H1182" s="12" t="n">
        <x:v>2900000000</x:v>
      </x:c>
      <x:c r="I1182" s="12" t="n">
        <x:v>47540983.60655738</x:v>
      </x:c>
      <x:c r="J1182" s="2" t="str">
        <x:v>total</x:v>
      </x:c>
      <x:c r="K1182" s="2" t="str">
        <x:v>top_level_area</x:v>
      </x:c>
      <x:c r="L1182" s="2" t="str">
        <x:v>property_type_inferred_from_title</x:v>
      </x:c>
      <x:c r="M1182" s="10" t="n">
        <x:v>0</x:v>
      </x:c>
      <x:c r="N1182" s="10" t="n">
        <x:v>0</x:v>
      </x:c>
      <x:c r="O1182" s="2" t="str">
        <x:v>Tp Hồ Chí Minh|land</x:v>
      </x:c>
      <x:c r="P1182" s="10" t="n">
        <x:v>2</x:v>
      </x:c>
      <x:c r="Q1182" s="13" t="n">
        <x:f>IF(H1182="","",H1182/1000000000)</x:f>
        <x:v>2.9</x:v>
      </x:c>
      <x:c r="R1182" s="13" t="n">
        <x:f>IF(I1182="","",I1182/1000000)</x:f>
        <x:v>47.540983606557376</x:v>
      </x:c>
    </x:row>
    <x:row r="1183" ht="21" customHeight="1">
      <x:c r="A1183" s="10" t="n">
        <x:v>1740</x:v>
      </x:c>
      <x:c r="B1183" s="2" t="str">
        <x:v>8e89cae6bae39098a208</x:v>
      </x:c>
      <x:c r="C1183" s="2" t="str">
        <x:v>Tp Hồ Chí Minh</x:v>
      </x:c>
      <x:c r="D1183" s="2" t="str">
        <x:v>Quận Gò Vấp</x:v>
      </x:c>
      <x:c r="E1183" s="2" t="str">
        <x:v>house</x:v>
      </x:c>
      <x:c r="F1183" s="2" t="str">
        <x:v>sale_assumed</x:v>
      </x:c>
      <x:c r="G1183" s="11" t="n">
        <x:v>49</x:v>
      </x:c>
      <x:c r="H1183" s="12" t="n">
        <x:v>4200000000</x:v>
      </x:c>
      <x:c r="I1183" s="12" t="n">
        <x:v>85714285.71428572</x:v>
      </x:c>
      <x:c r="J1183" s="2" t="str">
        <x:v>total</x:v>
      </x:c>
      <x:c r="K1183" s="2" t="str">
        <x:v>top_level_price_embedded_area</x:v>
      </x:c>
      <x:c r="L1183" s="2" t="str">
        <x:v>area_recovered_from_price_text;property_type_inferred_from_title;transaction_assumed_sale_from_dataset_context</x:v>
      </x:c>
      <x:c r="M1183" s="10" t="n">
        <x:v>0</x:v>
      </x:c>
      <x:c r="N1183" s="10" t="n">
        <x:v>0</x:v>
      </x:c>
      <x:c r="O1183" s="2" t="str">
        <x:v>Tp Hồ Chí Minh|house</x:v>
      </x:c>
      <x:c r="P1183" s="10" t="n">
        <x:v>2</x:v>
      </x:c>
      <x:c r="Q1183" s="13" t="n">
        <x:f>IF(H1183="","",H1183/1000000000)</x:f>
        <x:v>4.2</x:v>
      </x:c>
      <x:c r="R1183" s="13" t="n">
        <x:f>IF(I1183="","",I1183/1000000)</x:f>
        <x:v>85.71428571428572</x:v>
      </x:c>
    </x:row>
    <x:row r="1184" ht="21" customHeight="1">
      <x:c r="A1184" s="10" t="n">
        <x:v>1741</x:v>
      </x:c>
      <x:c r="B1184" s="2" t="str">
        <x:v>cb8a9140835d01b12402</x:v>
      </x:c>
      <x:c r="C1184" s="2" t="str">
        <x:v>Tp Hồ Chí Minh</x:v>
      </x:c>
      <x:c r="D1184" s="2" t="str">
        <x:v>Quận Gò Vấp</x:v>
      </x:c>
      <x:c r="E1184" s="2" t="str">
        <x:v>house</x:v>
      </x:c>
      <x:c r="F1184" s="2" t="str">
        <x:v>sale</x:v>
      </x:c>
      <x:c r="G1184" s="11" t="n">
        <x:v>105</x:v>
      </x:c>
      <x:c r="H1184" s="12" t="n">
        <x:v>6000000000</x:v>
      </x:c>
      <x:c r="I1184" s="12" t="n">
        <x:v>57142857.14285714</x:v>
      </x:c>
      <x:c r="J1184" s="2" t="str">
        <x:v>total</x:v>
      </x:c>
      <x:c r="K1184" s="2" t="str">
        <x:v>top_level_area</x:v>
      </x:c>
      <x:c r="L1184" s="2" t="str">
        <x:v>property_type_inferred_from_title</x:v>
      </x:c>
      <x:c r="M1184" s="10" t="n">
        <x:v>0</x:v>
      </x:c>
      <x:c r="N1184" s="10" t="n">
        <x:v>0</x:v>
      </x:c>
      <x:c r="O1184" s="2" t="str">
        <x:v>Tp Hồ Chí Minh|house</x:v>
      </x:c>
      <x:c r="P1184" s="10" t="n">
        <x:v>2</x:v>
      </x:c>
      <x:c r="Q1184" s="13" t="n">
        <x:f>IF(H1184="","",H1184/1000000000)</x:f>
        <x:v>6</x:v>
      </x:c>
      <x:c r="R1184" s="13" t="n">
        <x:f>IF(I1184="","",I1184/1000000)</x:f>
        <x:v>57.14285714285714</x:v>
      </x:c>
    </x:row>
    <x:row r="1185" ht="21" customHeight="1">
      <x:c r="A1185" s="10" t="n">
        <x:v>1742</x:v>
      </x:c>
      <x:c r="B1185" s="2" t="str">
        <x:v>50c32ea05fb2f4e5d058</x:v>
      </x:c>
      <x:c r="C1185" s="2" t="str">
        <x:v>Hà Nội</x:v>
      </x:c>
      <x:c r="D1185" s="2" t="str">
        <x:v>Huyện Gia Lâm</x:v>
      </x:c>
      <x:c r="E1185" s="2" t="str">
        <x:v>house</x:v>
      </x:c>
      <x:c r="F1185" s="2" t="str">
        <x:v>sale</x:v>
      </x:c>
      <x:c r="G1185" s="11" t="n">
        <x:v>60</x:v>
      </x:c>
      <x:c r="H1185" s="12" t="n">
        <x:v>7500000000</x:v>
      </x:c>
      <x:c r="I1185" s="12" t="n">
        <x:v>125000000</x:v>
      </x:c>
      <x:c r="J1185" s="2" t="str">
        <x:v>total</x:v>
      </x:c>
      <x:c r="K1185" s="2" t="str">
        <x:v>top_level_area</x:v>
      </x:c>
      <x:c r="L1185" s="2" t="str">
        <x:v>property_type_inferred_from_title</x:v>
      </x:c>
      <x:c r="M1185" s="10" t="n">
        <x:v>0</x:v>
      </x:c>
      <x:c r="N1185" s="10" t="n">
        <x:v>0</x:v>
      </x:c>
      <x:c r="O1185" s="2" t="str">
        <x:v>Hà Nội|house</x:v>
      </x:c>
      <x:c r="P1185" s="10" t="n">
        <x:v>2</x:v>
      </x:c>
      <x:c r="Q1185" s="13" t="n">
        <x:f>IF(H1185="","",H1185/1000000000)</x:f>
        <x:v>7.5</x:v>
      </x:c>
      <x:c r="R1185" s="13" t="n">
        <x:f>IF(I1185="","",I1185/1000000)</x:f>
        <x:v>125</x:v>
      </x:c>
    </x:row>
    <x:row r="1186" ht="21" customHeight="1">
      <x:c r="A1186" s="10" t="n">
        <x:v>1743</x:v>
      </x:c>
      <x:c r="B1186" s="2" t="str">
        <x:v>7e8be4f7f04e12e38cd6</x:v>
      </x:c>
      <x:c r="C1186" s="2" t="str">
        <x:v>Hà Nội</x:v>
      </x:c>
      <x:c r="D1186" s="2" t="str">
        <x:v>Quận Long Biên</x:v>
      </x:c>
      <x:c r="E1186" s="2" t="str">
        <x:v>house</x:v>
      </x:c>
      <x:c r="F1186" s="2" t="str">
        <x:v>sale_assumed</x:v>
      </x:c>
      <x:c r="G1186" s="11" t="n">
        <x:v>47</x:v>
      </x:c>
      <x:c r="H1186" s="12" t="n">
        <x:v>2980000000</x:v>
      </x:c>
      <x:c r="I1186" s="12" t="n">
        <x:v>63404255.319148935</x:v>
      </x:c>
      <x:c r="J1186" s="2" t="str">
        <x:v>total</x:v>
      </x:c>
      <x:c r="K1186" s="2" t="str">
        <x:v>top_level_area</x:v>
      </x:c>
      <x:c r="L1186" s="2" t="str">
        <x:v>property_type_inferred_from_title;transaction_assumed_sale_from_dataset_context</x:v>
      </x:c>
      <x:c r="M1186" s="10" t="n">
        <x:v>0</x:v>
      </x:c>
      <x:c r="N1186" s="10" t="n">
        <x:v>0</x:v>
      </x:c>
      <x:c r="O1186" s="2" t="str">
        <x:v>Hà Nội|house</x:v>
      </x:c>
      <x:c r="P1186" s="10" t="n">
        <x:v>2</x:v>
      </x:c>
      <x:c r="Q1186" s="13" t="n">
        <x:f>IF(H1186="","",H1186/1000000000)</x:f>
        <x:v>2.98</x:v>
      </x:c>
      <x:c r="R1186" s="13" t="n">
        <x:f>IF(I1186="","",I1186/1000000)</x:f>
        <x:v>63.40425531914894</x:v>
      </x:c>
    </x:row>
    <x:row r="1187" ht="21" customHeight="1">
      <x:c r="A1187" s="10" t="n">
        <x:v>1744</x:v>
      </x:c>
      <x:c r="B1187" s="2" t="str">
        <x:v>9e9a2f57958ed8a8e084</x:v>
      </x:c>
      <x:c r="C1187" s="2" t="str">
        <x:v>Tp Hồ Chí Minh</x:v>
      </x:c>
      <x:c r="D1187" s="2" t="str">
        <x:v>Quận Bình Tân</x:v>
      </x:c>
      <x:c r="E1187" s="2" t="str">
        <x:v>house</x:v>
      </x:c>
      <x:c r="F1187" s="2" t="str">
        <x:v>sale</x:v>
      </x:c>
      <x:c r="G1187" s="11" t="n">
        <x:v>60</x:v>
      </x:c>
      <x:c r="H1187" s="12" t="n">
        <x:v>4900000000</x:v>
      </x:c>
      <x:c r="I1187" s="12" t="n">
        <x:v>81666666.66666667</x:v>
      </x:c>
      <x:c r="J1187" s="2" t="str">
        <x:v>total</x:v>
      </x:c>
      <x:c r="K1187" s="2" t="str">
        <x:v>top_level_area</x:v>
      </x:c>
      <x:c r="L1187" s="2" t="str">
        <x:v>property_type_inferred_from_title</x:v>
      </x:c>
      <x:c r="M1187" s="10" t="n">
        <x:v>0</x:v>
      </x:c>
      <x:c r="N1187" s="10" t="n">
        <x:v>0</x:v>
      </x:c>
      <x:c r="O1187" s="2" t="str">
        <x:v>Tp Hồ Chí Minh|house</x:v>
      </x:c>
      <x:c r="P1187" s="10" t="n">
        <x:v>2</x:v>
      </x:c>
      <x:c r="Q1187" s="13" t="n">
        <x:f>IF(H1187="","",H1187/1000000000)</x:f>
        <x:v>4.9</x:v>
      </x:c>
      <x:c r="R1187" s="13" t="n">
        <x:f>IF(I1187="","",I1187/1000000)</x:f>
        <x:v>81.66666666666667</x:v>
      </x:c>
    </x:row>
    <x:row r="1188" ht="21" customHeight="1">
      <x:c r="A1188" s="10" t="n">
        <x:v>1745</x:v>
      </x:c>
      <x:c r="B1188" s="2" t="str">
        <x:v>721a55790d0b97ac48bd</x:v>
      </x:c>
      <x:c r="C1188" s="2" t="str">
        <x:v>Tp Hồ Chí Minh</x:v>
      </x:c>
      <x:c r="D1188" s="2" t="str">
        <x:v>Quận 10</x:v>
      </x:c>
      <x:c r="E1188" s="2" t="str">
        <x:v>house</x:v>
      </x:c>
      <x:c r="F1188" s="2" t="str">
        <x:v>sale_assumed</x:v>
      </x:c>
      <x:c r="G1188" s="11" t="n">
        <x:v>60</x:v>
      </x:c>
      <x:c r="H1188" s="12" t="n">
        <x:v>11500000000</x:v>
      </x:c>
      <x:c r="I1188" s="12" t="n">
        <x:v>191666666.66666666</x:v>
      </x:c>
      <x:c r="J1188" s="2" t="str">
        <x:v>total</x:v>
      </x:c>
      <x:c r="K1188" s="2" t="str">
        <x:v>top_level_price_embedded_area</x:v>
      </x:c>
      <x:c r="L1188" s="2" t="str">
        <x:v>area_recovered_from_price_text;property_type_inferred_from_title;transaction_assumed_sale_from_dataset_context</x:v>
      </x:c>
      <x:c r="M1188" s="10" t="n">
        <x:v>1</x:v>
      </x:c>
      <x:c r="N1188" s="10" t="n">
        <x:v>0</x:v>
      </x:c>
      <x:c r="O1188" s="2" t="str">
        <x:v>Tp Hồ Chí Minh|house</x:v>
      </x:c>
      <x:c r="P1188" s="10" t="n">
        <x:v>2</x:v>
      </x:c>
      <x:c r="Q1188" s="13" t="n">
        <x:f>IF(H1188="","",H1188/1000000000)</x:f>
        <x:v>11.5</x:v>
      </x:c>
      <x:c r="R1188" s="13" t="n">
        <x:f>IF(I1188="","",I1188/1000000)</x:f>
        <x:v>191.66666666666666</x:v>
      </x:c>
    </x:row>
    <x:row r="1189" ht="21" customHeight="1">
      <x:c r="A1189" s="10" t="n">
        <x:v>1746</x:v>
      </x:c>
      <x:c r="B1189" s="2" t="str">
        <x:v>b5ba55135fb6cebc8efe</x:v>
      </x:c>
      <x:c r="C1189" s="2" t="str">
        <x:v>Tp Hồ Chí Minh</x:v>
      </x:c>
      <x:c r="D1189" s="2" t="str">
        <x:v>Quận Thủ Đức</x:v>
      </x:c>
      <x:c r="E1189" s="2" t="str">
        <x:v>house</x:v>
      </x:c>
      <x:c r="F1189" s="2" t="str">
        <x:v>sale</x:v>
      </x:c>
      <x:c r="G1189" s="11" t="n">
        <x:v>110</x:v>
      </x:c>
      <x:c r="H1189" s="12" t="n">
        <x:v>6660000000</x:v>
      </x:c>
      <x:c r="I1189" s="12" t="n">
        <x:v>60545454.54545455</x:v>
      </x:c>
      <x:c r="J1189" s="2" t="str">
        <x:v>total</x:v>
      </x:c>
      <x:c r="K1189" s="2" t="str">
        <x:v>top_level_area</x:v>
      </x:c>
      <x:c r="L1189" s="2" t="str">
        <x:v>property_type_inferred_from_title</x:v>
      </x:c>
      <x:c r="M1189" s="10" t="n">
        <x:v>0</x:v>
      </x:c>
      <x:c r="N1189" s="10" t="n">
        <x:v>0</x:v>
      </x:c>
      <x:c r="O1189" s="2" t="str">
        <x:v>Tp Hồ Chí Minh|house</x:v>
      </x:c>
      <x:c r="P1189" s="10" t="n">
        <x:v>2</x:v>
      </x:c>
      <x:c r="Q1189" s="13" t="n">
        <x:f>IF(H1189="","",H1189/1000000000)</x:f>
        <x:v>6.66</x:v>
      </x:c>
      <x:c r="R1189" s="13" t="n">
        <x:f>IF(I1189="","",I1189/1000000)</x:f>
        <x:v>60.54545454545455</x:v>
      </x:c>
    </x:row>
    <x:row r="1190" ht="21" customHeight="1">
      <x:c r="A1190" s="10" t="n">
        <x:v>1747</x:v>
      </x:c>
      <x:c r="B1190" s="2" t="str">
        <x:v>43c2cf9a4f03797f7513</x:v>
      </x:c>
      <x:c r="C1190" s="2" t="str">
        <x:v>Bà Rịa - Vũng Tàu</x:v>
      </x:c>
      <x:c r="D1190" s="2" t="str">
        <x:v>Huyện Đất Đỏ</x:v>
      </x:c>
      <x:c r="E1190" s="2" t="str">
        <x:v>land</x:v>
      </x:c>
      <x:c r="F1190" s="2" t="str">
        <x:v>sale</x:v>
      </x:c>
      <x:c r="G1190" s="11" t="n">
        <x:v>118</x:v>
      </x:c>
      <x:c r="H1190" s="12" t="n">
        <x:v>650000000</x:v>
      </x:c>
      <x:c r="I1190" s="12" t="n">
        <x:v>5508474.576271187</x:v>
      </x:c>
      <x:c r="J1190" s="2" t="str">
        <x:v>total</x:v>
      </x:c>
      <x:c r="K1190" s="2" t="str">
        <x:v>top_level_area</x:v>
      </x:c>
      <x:c r="L1190" s="2" t="str">
        <x:v>property_type_inferred_from_title</x:v>
      </x:c>
      <x:c r="M1190" s="10" t="n">
        <x:v>0</x:v>
      </x:c>
      <x:c r="N1190" s="10" t="n">
        <x:v>0</x:v>
      </x:c>
      <x:c r="O1190" s="2" t="str">
        <x:v>Bà Rịa - Vũng Tàu|land</x:v>
      </x:c>
      <x:c r="P1190" s="10" t="n">
        <x:v>2</x:v>
      </x:c>
      <x:c r="Q1190" s="13" t="n">
        <x:f>IF(H1190="","",H1190/1000000000)</x:f>
        <x:v>0.65</x:v>
      </x:c>
      <x:c r="R1190" s="13" t="n">
        <x:f>IF(I1190="","",I1190/1000000)</x:f>
        <x:v>5.508474576271187</x:v>
      </x:c>
    </x:row>
    <x:row r="1191" ht="21" customHeight="1">
      <x:c r="A1191" s="10" t="n">
        <x:v>1748</x:v>
      </x:c>
      <x:c r="B1191" s="2" t="str">
        <x:v>15f958802c6575efa7bf</x:v>
      </x:c>
      <x:c r="C1191" s="2" t="str">
        <x:v>Đồng Nai</x:v>
      </x:c>
      <x:c r="D1191" s="2" t="str">
        <x:v>Thành phố Biên Hòa</x:v>
      </x:c>
      <x:c r="E1191" s="2" t="str">
        <x:v>house</x:v>
      </x:c>
      <x:c r="F1191" s="2" t="str">
        <x:v>sale</x:v>
      </x:c>
      <x:c r="G1191" s="11" t="n">
        <x:v>115</x:v>
      </x:c>
      <x:c r="H1191" s="12" t="n">
        <x:v>820000000</x:v>
      </x:c>
      <x:c r="I1191" s="12" t="n">
        <x:v>7130434.782608695</x:v>
      </x:c>
      <x:c r="J1191" s="2" t="str">
        <x:v>total</x:v>
      </x:c>
      <x:c r="K1191" s="2" t="str">
        <x:v>top_level_area</x:v>
      </x:c>
      <x:c r="L1191" s="2" t="str">
        <x:v>property_type_inferred_from_title</x:v>
      </x:c>
      <x:c r="M1191" s="10" t="n">
        <x:v>0</x:v>
      </x:c>
      <x:c r="N1191" s="10" t="n">
        <x:v>0</x:v>
      </x:c>
      <x:c r="O1191" s="2" t="str">
        <x:v>Đồng Nai|house</x:v>
      </x:c>
      <x:c r="P1191" s="10" t="n">
        <x:v>2</x:v>
      </x:c>
      <x:c r="Q1191" s="13" t="n">
        <x:f>IF(H1191="","",H1191/1000000000)</x:f>
        <x:v>0.82</x:v>
      </x:c>
      <x:c r="R1191" s="13" t="n">
        <x:f>IF(I1191="","",I1191/1000000)</x:f>
        <x:v>7.130434782608695</x:v>
      </x:c>
    </x:row>
    <x:row r="1192" ht="21" customHeight="1">
      <x:c r="A1192" s="10" t="n">
        <x:v>1749</x:v>
      </x:c>
      <x:c r="B1192" s="2" t="str">
        <x:v>6961049aa0a0fd769f80</x:v>
      </x:c>
      <x:c r="C1192" s="2" t="str">
        <x:v>Tp Hồ Chí Minh</x:v>
      </x:c>
      <x:c r="D1192" s="2" t="str">
        <x:v>Huyện Bình Chánh</x:v>
      </x:c>
      <x:c r="E1192" s="2" t="str">
        <x:v>other_unknown</x:v>
      </x:c>
      <x:c r="F1192" s="2" t="str">
        <x:v>sale</x:v>
      </x:c>
      <x:c r="G1192" s="11" t="n">
        <x:v>97</x:v>
      </x:c>
      <x:c r="H1192" s="12" t="n">
        <x:v>3150000000</x:v>
      </x:c>
      <x:c r="I1192" s="12" t="n">
        <x:v>32474226.80412371</x:v>
      </x:c>
      <x:c r="J1192" s="2" t="str">
        <x:v>total</x:v>
      </x:c>
      <x:c r="K1192" s="2" t="str">
        <x:v>top_level_area</x:v>
      </x:c>
      <x:c r="L1192" s="2" t="str">
        <x:v>property_type_inferred_from_title;unknown_property_type</x:v>
      </x:c>
      <x:c r="M1192" s="10" t="n">
        <x:v>0</x:v>
      </x:c>
      <x:c r="N1192" s="10" t="n">
        <x:v>0</x:v>
      </x:c>
      <x:c r="O1192" s="2" t="str">
        <x:v>Tp Hồ Chí Minh|other_unknown</x:v>
      </x:c>
      <x:c r="P1192" s="10" t="n">
        <x:v>2</x:v>
      </x:c>
      <x:c r="Q1192" s="13" t="n">
        <x:f>IF(H1192="","",H1192/1000000000)</x:f>
        <x:v>3.15</x:v>
      </x:c>
      <x:c r="R1192" s="13" t="n">
        <x:f>IF(I1192="","",I1192/1000000)</x:f>
        <x:v>32.47422680412371</x:v>
      </x:c>
    </x:row>
    <x:row r="1193" ht="21" customHeight="1">
      <x:c r="A1193" s="10" t="n">
        <x:v>1751</x:v>
      </x:c>
      <x:c r="B1193" s="2" t="str">
        <x:v>f9bad5364993a89b4c3d</x:v>
      </x:c>
      <x:c r="C1193" s="2" t="str">
        <x:v>Bình Phước</x:v>
      </x:c>
      <x:c r="D1193" s="2" t="str">
        <x:v>Huyện Đồng Phú</x:v>
      </x:c>
      <x:c r="E1193" s="2" t="str">
        <x:v>land</x:v>
      </x:c>
      <x:c r="F1193" s="2" t="str">
        <x:v>sale</x:v>
      </x:c>
      <x:c r="G1193" s="11" t="n">
        <x:v>120</x:v>
      </x:c>
      <x:c r="H1193" s="12" t="n">
        <x:v>450000000</x:v>
      </x:c>
      <x:c r="I1193" s="12" t="n">
        <x:v>3750000</x:v>
      </x:c>
      <x:c r="J1193" s="2" t="str">
        <x:v>total</x:v>
      </x:c>
      <x:c r="K1193" s="2" t="str">
        <x:v>top_level_area</x:v>
      </x:c>
      <x:c r="L1193" s="2" t="str">
        <x:v>property_type_inferred_from_title</x:v>
      </x:c>
      <x:c r="M1193" s="10" t="n">
        <x:v>0</x:v>
      </x:c>
      <x:c r="N1193" s="10" t="n">
        <x:v>0</x:v>
      </x:c>
      <x:c r="O1193" s="2" t="str">
        <x:v>Bình Phước|land</x:v>
      </x:c>
      <x:c r="P1193" s="10" t="n">
        <x:v>2</x:v>
      </x:c>
      <x:c r="Q1193" s="13" t="n">
        <x:f>IF(H1193="","",H1193/1000000000)</x:f>
        <x:v>0.45</x:v>
      </x:c>
      <x:c r="R1193" s="13" t="n">
        <x:f>IF(I1193="","",I1193/1000000)</x:f>
        <x:v>3.75</x:v>
      </x:c>
    </x:row>
    <x:row r="1194" ht="21" customHeight="1">
      <x:c r="A1194" s="10" t="n">
        <x:v>1753</x:v>
      </x:c>
      <x:c r="B1194" s="2" t="str">
        <x:v>1d597114eab2d7f51509</x:v>
      </x:c>
      <x:c r="C1194" s="2" t="str">
        <x:v>Bình Thuận</x:v>
      </x:c>
      <x:c r="D1194" s="2" t="str">
        <x:v>Huyện Hàm Tân</x:v>
      </x:c>
      <x:c r="E1194" s="2" t="str">
        <x:v>other_unknown</x:v>
      </x:c>
      <x:c r="F1194" s="2" t="str">
        <x:v>sale_assumed</x:v>
      </x:c>
      <x:c r="G1194" s="11" t="n">
        <x:v>13445</x:v>
      </x:c>
      <x:c r="H1194" s="12" t="n">
        <x:v>12000000000</x:v>
      </x:c>
      <x:c r="I1194" s="12" t="n">
        <x:v>892525.1022685013</x:v>
      </x:c>
      <x:c r="J1194" s="2" t="str">
        <x:v>total</x:v>
      </x:c>
      <x:c r="K1194" s="2" t="str">
        <x:v>top_level_area</x:v>
      </x:c>
      <x:c r="L1194" s="2" t="str">
        <x:v>dot_thousands_convention;property_type_inferred_from_title;transaction_assumed_sale_from_dataset_context;unknown_property_type</x:v>
      </x:c>
      <x:c r="M1194" s="10" t="n">
        <x:v>0</x:v>
      </x:c>
      <x:c r="N1194" s="10" t="n">
        <x:v>0</x:v>
      </x:c>
      <x:c r="O1194" s="2" t="str">
        <x:v>other_unknown</x:v>
      </x:c>
      <x:c r="P1194" s="10" t="n">
        <x:v>1</x:v>
      </x:c>
      <x:c r="Q1194" s="13" t="n">
        <x:f>IF(H1194="","",H1194/1000000000)</x:f>
        <x:v>12</x:v>
      </x:c>
      <x:c r="R1194" s="13" t="n">
        <x:f>IF(I1194="","",I1194/1000000)</x:f>
        <x:v>0.8925251022685013</x:v>
      </x:c>
    </x:row>
    <x:row r="1195" ht="21" customHeight="1">
      <x:c r="A1195" s="10" t="n">
        <x:v>1754</x:v>
      </x:c>
      <x:c r="B1195" s="2" t="str">
        <x:v>24b2460a4c59576086f8</x:v>
      </x:c>
      <x:c r="C1195" s="2" t="str">
        <x:v>Tp Hồ Chí Minh</x:v>
      </x:c>
      <x:c r="D1195" s="2" t="str">
        <x:v>Quận 12</x:v>
      </x:c>
      <x:c r="E1195" s="2" t="str">
        <x:v>other_unknown</x:v>
      </x:c>
      <x:c r="F1195" s="2" t="str">
        <x:v>sale_assumed</x:v>
      </x:c>
      <x:c r="G1195" s="11" t="n">
        <x:v>28</x:v>
      </x:c>
      <x:c r="H1195" s="12" t="n">
        <x:v>2220000000</x:v>
      </x:c>
      <x:c r="I1195" s="12" t="n">
        <x:v>79285714.28571428</x:v>
      </x:c>
      <x:c r="J1195" s="2" t="str">
        <x:v>total</x:v>
      </x:c>
      <x:c r="K1195" s="2" t="str">
        <x:v>top_level_area</x:v>
      </x:c>
      <x:c r="L1195" s="2" t="str">
        <x:v>property_type_inferred_from_title;transaction_assumed_sale_from_dataset_context;unknown_property_type</x:v>
      </x:c>
      <x:c r="M1195" s="10" t="n">
        <x:v>0</x:v>
      </x:c>
      <x:c r="N1195" s="10" t="n">
        <x:v>0</x:v>
      </x:c>
      <x:c r="O1195" s="2" t="str">
        <x:v>Tp Hồ Chí Minh|other_unknown</x:v>
      </x:c>
      <x:c r="P1195" s="10" t="n">
        <x:v>2</x:v>
      </x:c>
      <x:c r="Q1195" s="13" t="n">
        <x:f>IF(H1195="","",H1195/1000000000)</x:f>
        <x:v>2.22</x:v>
      </x:c>
      <x:c r="R1195" s="13" t="n">
        <x:f>IF(I1195="","",I1195/1000000)</x:f>
        <x:v>79.28571428571428</x:v>
      </x:c>
    </x:row>
    <x:row r="1196" ht="21" customHeight="1">
      <x:c r="A1196" s="10" t="n">
        <x:v>1755</x:v>
      </x:c>
      <x:c r="B1196" s="2" t="str">
        <x:v>5004328127ab721b020b</x:v>
      </x:c>
      <x:c r="C1196" s="2" t="str">
        <x:v>Long An</x:v>
      </x:c>
      <x:c r="D1196" s="2" t="str">
        <x:v>Huyện Cần Giuộc</x:v>
      </x:c>
      <x:c r="E1196" s="2" t="str">
        <x:v>land</x:v>
      </x:c>
      <x:c r="F1196" s="2" t="str">
        <x:v>sale_assumed</x:v>
      </x:c>
      <x:c r="G1196" s="11" t="n">
        <x:v>90</x:v>
      </x:c>
      <x:c r="H1196" s="12" t="n">
        <x:v>799000000</x:v>
      </x:c>
      <x:c r="I1196" s="12" t="n">
        <x:v>8877777.777777778</x:v>
      </x:c>
      <x:c r="J1196" s="2" t="str">
        <x:v>total</x:v>
      </x:c>
      <x:c r="K1196" s="2" t="str">
        <x:v>top_level_area</x:v>
      </x:c>
      <x:c r="L1196" s="2" t="str">
        <x:v>property_type_inferred_from_title;transaction_assumed_sale_from_dataset_context</x:v>
      </x:c>
      <x:c r="M1196" s="10" t="n">
        <x:v>0</x:v>
      </x:c>
      <x:c r="N1196" s="10" t="n">
        <x:v>0</x:v>
      </x:c>
      <x:c r="O1196" s="2" t="str">
        <x:v>Long An|land</x:v>
      </x:c>
      <x:c r="P1196" s="10" t="n">
        <x:v>2</x:v>
      </x:c>
      <x:c r="Q1196" s="13" t="n">
        <x:f>IF(H1196="","",H1196/1000000000)</x:f>
        <x:v>0.799</x:v>
      </x:c>
      <x:c r="R1196" s="13" t="n">
        <x:f>IF(I1196="","",I1196/1000000)</x:f>
        <x:v>8.877777777777778</x:v>
      </x:c>
    </x:row>
    <x:row r="1197" ht="21" customHeight="1">
      <x:c r="A1197" s="10" t="n">
        <x:v>1756</x:v>
      </x:c>
      <x:c r="B1197" s="2" t="str">
        <x:v>e552e54d6a66609863b5</x:v>
      </x:c>
      <x:c r="C1197" s="2" t="str">
        <x:v>Tp Hồ Chí Minh</x:v>
      </x:c>
      <x:c r="D1197" s="2" t="str">
        <x:v>Quận Bình Thạnh</x:v>
      </x:c>
      <x:c r="E1197" s="2" t="str">
        <x:v>house</x:v>
      </x:c>
      <x:c r="F1197" s="2" t="str">
        <x:v>sale_assumed</x:v>
      </x:c>
      <x:c r="G1197" s="11" t="n">
        <x:v>70</x:v>
      </x:c>
      <x:c r="H1197" s="12" t="n">
        <x:v>7200000000</x:v>
      </x:c>
      <x:c r="I1197" s="12" t="n">
        <x:v>102857142.85714285</x:v>
      </x:c>
      <x:c r="J1197" s="2" t="str">
        <x:v>total</x:v>
      </x:c>
      <x:c r="K1197" s="2" t="str">
        <x:v>top_level_area</x:v>
      </x:c>
      <x:c r="L1197" s="2" t="str">
        <x:v>property_type_inferred_from_title;transaction_assumed_sale_from_dataset_context</x:v>
      </x:c>
      <x:c r="M1197" s="10" t="n">
        <x:v>0</x:v>
      </x:c>
      <x:c r="N1197" s="10" t="n">
        <x:v>0</x:v>
      </x:c>
      <x:c r="O1197" s="2" t="str">
        <x:v>Tp Hồ Chí Minh|house</x:v>
      </x:c>
      <x:c r="P1197" s="10" t="n">
        <x:v>2</x:v>
      </x:c>
      <x:c r="Q1197" s="13" t="n">
        <x:f>IF(H1197="","",H1197/1000000000)</x:f>
        <x:v>7.2</x:v>
      </x:c>
      <x:c r="R1197" s="13" t="n">
        <x:f>IF(I1197="","",I1197/1000000)</x:f>
        <x:v>102.85714285714285</x:v>
      </x:c>
    </x:row>
    <x:row r="1198" ht="21" customHeight="1">
      <x:c r="A1198" s="10" t="n">
        <x:v>1757</x:v>
      </x:c>
      <x:c r="B1198" s="2" t="str">
        <x:v>c94eee8b51332883b3b7</x:v>
      </x:c>
      <x:c r="C1198" s="2" t="str">
        <x:v>Tp Hồ Chí Minh</x:v>
      </x:c>
      <x:c r="D1198" s="2" t="str">
        <x:v>Quận Thủ Đức</x:v>
      </x:c>
      <x:c r="E1198" s="2" t="str">
        <x:v>house</x:v>
      </x:c>
      <x:c r="F1198" s="2" t="str">
        <x:v>sale_assumed</x:v>
      </x:c>
      <x:c r="G1198" s="11" t="n">
        <x:v>51</x:v>
      </x:c>
      <x:c r="H1198" s="12" t="n">
        <x:v>4900000000</x:v>
      </x:c>
      <x:c r="I1198" s="12" t="n">
        <x:v>96078431.37254901</x:v>
      </x:c>
      <x:c r="J1198" s="2" t="str">
        <x:v>total</x:v>
      </x:c>
      <x:c r="K1198" s="2" t="str">
        <x:v>top_level_area</x:v>
      </x:c>
      <x:c r="L1198" s="2" t="str">
        <x:v>property_type_inferred_from_title;transaction_assumed_sale_from_dataset_context</x:v>
      </x:c>
      <x:c r="M1198" s="10" t="n">
        <x:v>0</x:v>
      </x:c>
      <x:c r="N1198" s="10" t="n">
        <x:v>0</x:v>
      </x:c>
      <x:c r="O1198" s="2" t="str">
        <x:v>Tp Hồ Chí Minh|house</x:v>
      </x:c>
      <x:c r="P1198" s="10" t="n">
        <x:v>2</x:v>
      </x:c>
      <x:c r="Q1198" s="13" t="n">
        <x:f>IF(H1198="","",H1198/1000000000)</x:f>
        <x:v>4.9</x:v>
      </x:c>
      <x:c r="R1198" s="13" t="n">
        <x:f>IF(I1198="","",I1198/1000000)</x:f>
        <x:v>96.07843137254902</x:v>
      </x:c>
    </x:row>
    <x:row r="1199" ht="21" customHeight="1">
      <x:c r="A1199" s="10" t="n">
        <x:v>1758</x:v>
      </x:c>
      <x:c r="B1199" s="2" t="str">
        <x:v>65f3c14988ace9e1c4e4</x:v>
      </x:c>
      <x:c r="C1199" s="2" t="str">
        <x:v>Khánh Hòa</x:v>
      </x:c>
      <x:c r="D1199" s="2" t="str">
        <x:v>Huyện Cam Lâm</x:v>
      </x:c>
      <x:c r="E1199" s="2" t="str">
        <x:v>land</x:v>
      </x:c>
      <x:c r="F1199" s="2" t="str">
        <x:v>sale_assumed</x:v>
      </x:c>
      <x:c r="G1199" s="11" t="n">
        <x:v>150</x:v>
      </x:c>
      <x:c r="H1199" s="12" t="n">
        <x:v>1400000000</x:v>
      </x:c>
      <x:c r="I1199" s="12" t="n">
        <x:v>9333333.333333334</x:v>
      </x:c>
      <x:c r="J1199" s="2" t="str">
        <x:v>total</x:v>
      </x:c>
      <x:c r="K1199" s="2" t="str">
        <x:v>top_level_area</x:v>
      </x:c>
      <x:c r="L1199" s="2" t="str">
        <x:v>property_type_inferred_from_title;transaction_assumed_sale_from_dataset_context</x:v>
      </x:c>
      <x:c r="M1199" s="10" t="n">
        <x:v>0</x:v>
      </x:c>
      <x:c r="N1199" s="10" t="n">
        <x:v>0</x:v>
      </x:c>
      <x:c r="O1199" s="2" t="str">
        <x:v>land</x:v>
      </x:c>
      <x:c r="P1199" s="10" t="n">
        <x:v>2</x:v>
      </x:c>
      <x:c r="Q1199" s="13" t="n">
        <x:f>IF(H1199="","",H1199/1000000000)</x:f>
        <x:v>1.4</x:v>
      </x:c>
      <x:c r="R1199" s="13" t="n">
        <x:f>IF(I1199="","",I1199/1000000)</x:f>
        <x:v>9.333333333333334</x:v>
      </x:c>
    </x:row>
    <x:row r="1200" ht="21" customHeight="1">
      <x:c r="A1200" s="10" t="n">
        <x:v>1759</x:v>
      </x:c>
      <x:c r="B1200" s="2" t="str">
        <x:v>61fe25f430916b78d2ef</x:v>
      </x:c>
      <x:c r="C1200" s="2" t="str">
        <x:v>Tp Hồ Chí Minh</x:v>
      </x:c>
      <x:c r="D1200" s="2" t="str">
        <x:v>Quận Thủ Đức</x:v>
      </x:c>
      <x:c r="E1200" s="2" t="str">
        <x:v>land</x:v>
      </x:c>
      <x:c r="F1200" s="2" t="str">
        <x:v>sale_assumed</x:v>
      </x:c>
      <x:c r="G1200" s="11" t="n">
        <x:v>139</x:v>
      </x:c>
      <x:c r="H1200" s="12" t="n">
        <x:v>8000000000</x:v>
      </x:c>
      <x:c r="I1200" s="12" t="n">
        <x:v>57553956.83453237</x:v>
      </x:c>
      <x:c r="J1200" s="2" t="str">
        <x:v>total</x:v>
      </x:c>
      <x:c r="K1200" s="2" t="str">
        <x:v>top_level_area</x:v>
      </x:c>
      <x:c r="L1200" s="2" t="str">
        <x:v>property_type_inferred_from_title;transaction_assumed_sale_from_dataset_context</x:v>
      </x:c>
      <x:c r="M1200" s="10" t="n">
        <x:v>0</x:v>
      </x:c>
      <x:c r="N1200" s="10" t="n">
        <x:v>0</x:v>
      </x:c>
      <x:c r="O1200" s="2" t="str">
        <x:v>Tp Hồ Chí Minh|land</x:v>
      </x:c>
      <x:c r="P1200" s="10" t="n">
        <x:v>2</x:v>
      </x:c>
      <x:c r="Q1200" s="13" t="n">
        <x:f>IF(H1200="","",H1200/1000000000)</x:f>
        <x:v>8</x:v>
      </x:c>
      <x:c r="R1200" s="13" t="n">
        <x:f>IF(I1200="","",I1200/1000000)</x:f>
        <x:v>57.55395683453237</x:v>
      </x:c>
    </x:row>
    <x:row r="1201" ht="21" customHeight="1">
      <x:c r="A1201" s="10" t="n">
        <x:v>1760</x:v>
      </x:c>
      <x:c r="B1201" s="2" t="str">
        <x:v>af6c958b0a31ebf1acf2</x:v>
      </x:c>
      <x:c r="C1201" s="2" t="str">
        <x:v>Tp Hồ Chí Minh</x:v>
      </x:c>
      <x:c r="D1201" s="2" t="str">
        <x:v>Quận Gò Vấp</x:v>
      </x:c>
      <x:c r="E1201" s="2" t="str">
        <x:v>house</x:v>
      </x:c>
      <x:c r="F1201" s="2" t="str">
        <x:v>sale</x:v>
      </x:c>
      <x:c r="G1201" s="11" t="n">
        <x:v>110</x:v>
      </x:c>
      <x:c r="H1201" s="12" t="n">
        <x:v>6990000000</x:v>
      </x:c>
      <x:c r="I1201" s="12" t="n">
        <x:v>63545454.54545455</x:v>
      </x:c>
      <x:c r="J1201" s="2" t="str">
        <x:v>total</x:v>
      </x:c>
      <x:c r="K1201" s="2" t="str">
        <x:v>top_level_area</x:v>
      </x:c>
      <x:c r="L1201" s="2" t="str">
        <x:v>property_type_inferred_from_title</x:v>
      </x:c>
      <x:c r="M1201" s="10" t="n">
        <x:v>0</x:v>
      </x:c>
      <x:c r="N1201" s="10" t="n">
        <x:v>0</x:v>
      </x:c>
      <x:c r="O1201" s="2" t="str">
        <x:v>Tp Hồ Chí Minh|house</x:v>
      </x:c>
      <x:c r="P1201" s="10" t="n">
        <x:v>2</x:v>
      </x:c>
      <x:c r="Q1201" s="13" t="n">
        <x:f>IF(H1201="","",H1201/1000000000)</x:f>
        <x:v>6.99</x:v>
      </x:c>
      <x:c r="R1201" s="13" t="n">
        <x:f>IF(I1201="","",I1201/1000000)</x:f>
        <x:v>63.54545454545455</x:v>
      </x:c>
    </x:row>
    <x:row r="1202" ht="21" customHeight="1">
      <x:c r="A1202" s="10" t="n">
        <x:v>1761</x:v>
      </x:c>
      <x:c r="B1202" s="2" t="str">
        <x:v>6f270fe31197040003f8</x:v>
      </x:c>
      <x:c r="C1202" s="2" t="str">
        <x:v>Tp Hồ Chí Minh</x:v>
      </x:c>
      <x:c r="D1202" s="2" t="str">
        <x:v>Huyện Củ Chi</x:v>
      </x:c>
      <x:c r="E1202" s="2" t="str">
        <x:v>land</x:v>
      </x:c>
      <x:c r="F1202" s="2" t="str">
        <x:v>sale_assumed</x:v>
      </x:c>
      <x:c r="G1202" s="11" t="n">
        <x:v>140</x:v>
      </x:c>
      <x:c r="H1202" s="12" t="n">
        <x:v>1130000000</x:v>
      </x:c>
      <x:c r="I1202" s="12" t="n">
        <x:v>8071428.571428572</x:v>
      </x:c>
      <x:c r="J1202" s="2" t="str">
        <x:v>total</x:v>
      </x:c>
      <x:c r="K1202" s="2" t="str">
        <x:v>top_level_area</x:v>
      </x:c>
      <x:c r="L1202" s="2" t="str">
        <x:v>property_type_inferred_from_title;transaction_assumed_sale_from_dataset_context</x:v>
      </x:c>
      <x:c r="M1202" s="10" t="n">
        <x:v>0</x:v>
      </x:c>
      <x:c r="N1202" s="10" t="n">
        <x:v>0</x:v>
      </x:c>
      <x:c r="O1202" s="2" t="str">
        <x:v>Tp Hồ Chí Minh|land</x:v>
      </x:c>
      <x:c r="P1202" s="10" t="n">
        <x:v>2</x:v>
      </x:c>
      <x:c r="Q1202" s="13" t="n">
        <x:f>IF(H1202="","",H1202/1000000000)</x:f>
        <x:v>1.13</x:v>
      </x:c>
      <x:c r="R1202" s="13" t="n">
        <x:f>IF(I1202="","",I1202/1000000)</x:f>
        <x:v>8.071428571428571</x:v>
      </x:c>
    </x:row>
    <x:row r="1203" ht="21" customHeight="1">
      <x:c r="A1203" s="10" t="n">
        <x:v>1762</x:v>
      </x:c>
      <x:c r="B1203" s="2" t="str">
        <x:v>00a0989979903be18410</x:v>
      </x:c>
      <x:c r="C1203" s="2" t="str">
        <x:v>Tp Hồ Chí Minh</x:v>
      </x:c>
      <x:c r="D1203" s="2" t="str">
        <x:v>Quận Thủ Đức</x:v>
      </x:c>
      <x:c r="E1203" s="2" t="str">
        <x:v>house</x:v>
      </x:c>
      <x:c r="F1203" s="2" t="str">
        <x:v>sale_assumed</x:v>
      </x:c>
      <x:c r="G1203" s="11" t="n">
        <x:v>55</x:v>
      </x:c>
      <x:c r="H1203" s="12" t="n">
        <x:v>4955000000</x:v>
      </x:c>
      <x:c r="I1203" s="12" t="n">
        <x:v>90090909.0909091</x:v>
      </x:c>
      <x:c r="J1203" s="2" t="str">
        <x:v>total</x:v>
      </x:c>
      <x:c r="K1203" s="2" t="str">
        <x:v>top_level_price_embedded_area</x:v>
      </x:c>
      <x:c r="L1203" s="2" t="str">
        <x:v>area_recovered_from_price_text;property_type_inferred_from_title;transaction_assumed_sale_from_dataset_context</x:v>
      </x:c>
      <x:c r="M1203" s="10" t="n">
        <x:v>0</x:v>
      </x:c>
      <x:c r="N1203" s="10" t="n">
        <x:v>0</x:v>
      </x:c>
      <x:c r="O1203" s="2" t="str">
        <x:v>Tp Hồ Chí Minh|house</x:v>
      </x:c>
      <x:c r="P1203" s="10" t="n">
        <x:v>2</x:v>
      </x:c>
      <x:c r="Q1203" s="13" t="n">
        <x:f>IF(H1203="","",H1203/1000000000)</x:f>
        <x:v>4.955</x:v>
      </x:c>
      <x:c r="R1203" s="13" t="n">
        <x:f>IF(I1203="","",I1203/1000000)</x:f>
        <x:v>90.0909090909091</x:v>
      </x:c>
    </x:row>
    <x:row r="1204" ht="21" customHeight="1">
      <x:c r="A1204" s="10" t="n">
        <x:v>1763</x:v>
      </x:c>
      <x:c r="B1204" s="2" t="str">
        <x:v>e392283cc71cae030d1e</x:v>
      </x:c>
      <x:c r="C1204" s="2" t="str">
        <x:v>Hà Nội</x:v>
      </x:c>
      <x:c r="D1204" s="2" t="str">
        <x:v>Quận Hai Bà Trưng</x:v>
      </x:c>
      <x:c r="E1204" s="2" t="str">
        <x:v>house</x:v>
      </x:c>
      <x:c r="F1204" s="2" t="str">
        <x:v>sale_assumed</x:v>
      </x:c>
      <x:c r="G1204" s="11" t="n">
        <x:v>20</x:v>
      </x:c>
      <x:c r="H1204" s="12" t="n">
        <x:v>1360000000</x:v>
      </x:c>
      <x:c r="I1204" s="12" t="n">
        <x:v>68000000</x:v>
      </x:c>
      <x:c r="J1204" s="2" t="str">
        <x:v>total</x:v>
      </x:c>
      <x:c r="K1204" s="2" t="str">
        <x:v>top_level_area</x:v>
      </x:c>
      <x:c r="L1204" s="2" t="str">
        <x:v>property_type_inferred_from_title;transaction_assumed_sale_from_dataset_context</x:v>
      </x:c>
      <x:c r="M1204" s="10" t="n">
        <x:v>0</x:v>
      </x:c>
      <x:c r="N1204" s="10" t="n">
        <x:v>0</x:v>
      </x:c>
      <x:c r="O1204" s="2" t="str">
        <x:v>Hà Nội|house</x:v>
      </x:c>
      <x:c r="P1204" s="10" t="n">
        <x:v>2</x:v>
      </x:c>
      <x:c r="Q1204" s="13" t="n">
        <x:f>IF(H1204="","",H1204/1000000000)</x:f>
        <x:v>1.36</x:v>
      </x:c>
      <x:c r="R1204" s="13" t="n">
        <x:f>IF(I1204="","",I1204/1000000)</x:f>
        <x:v>68</x:v>
      </x:c>
    </x:row>
    <x:row r="1205" ht="21" customHeight="1">
      <x:c r="A1205" s="10" t="n">
        <x:v>1764</x:v>
      </x:c>
      <x:c r="B1205" s="2" t="str">
        <x:v>ff2d5e63f7ba1055180e</x:v>
      </x:c>
      <x:c r="C1205" s="2" t="str">
        <x:v>Tp Hồ Chí Minh</x:v>
      </x:c>
      <x:c r="D1205" s="2" t="str">
        <x:v>Quận Tân Bình</x:v>
      </x:c>
      <x:c r="E1205" s="2" t="str">
        <x:v>house</x:v>
      </x:c>
      <x:c r="F1205" s="2" t="str">
        <x:v>sale</x:v>
      </x:c>
      <x:c r="G1205" s="11" t="n">
        <x:v>30</x:v>
      </x:c>
      <x:c r="H1205" s="12" t="n">
        <x:v>3500000000</x:v>
      </x:c>
      <x:c r="I1205" s="12" t="n">
        <x:v>116666666.66666667</x:v>
      </x:c>
      <x:c r="J1205" s="2" t="str">
        <x:v>total</x:v>
      </x:c>
      <x:c r="K1205" s="2" t="str">
        <x:v>top_level_area</x:v>
      </x:c>
      <x:c r="L1205" s="2" t="str">
        <x:v>property_type_inferred_from_title</x:v>
      </x:c>
      <x:c r="M1205" s="10" t="n">
        <x:v>0</x:v>
      </x:c>
      <x:c r="N1205" s="10" t="n">
        <x:v>0</x:v>
      </x:c>
      <x:c r="O1205" s="2" t="str">
        <x:v>Tp Hồ Chí Minh|house</x:v>
      </x:c>
      <x:c r="P1205" s="10" t="n">
        <x:v>2</x:v>
      </x:c>
      <x:c r="Q1205" s="13" t="n">
        <x:f>IF(H1205="","",H1205/1000000000)</x:f>
        <x:v>3.5</x:v>
      </x:c>
      <x:c r="R1205" s="13" t="n">
        <x:f>IF(I1205="","",I1205/1000000)</x:f>
        <x:v>116.66666666666667</x:v>
      </x:c>
    </x:row>
    <x:row r="1206" ht="21" customHeight="1">
      <x:c r="A1206" s="10" t="n">
        <x:v>1765</x:v>
      </x:c>
      <x:c r="B1206" s="2" t="str">
        <x:v>61e407fd2b67e069238f</x:v>
      </x:c>
      <x:c r="C1206" s="2" t="str">
        <x:v>Tp Hồ Chí Minh</x:v>
      </x:c>
      <x:c r="D1206" s="2" t="str">
        <x:v>Quận 11</x:v>
      </x:c>
      <x:c r="E1206" s="2" t="str">
        <x:v>house</x:v>
      </x:c>
      <x:c r="F1206" s="2" t="str">
        <x:v>sale</x:v>
      </x:c>
      <x:c r="G1206" s="11" t="n">
        <x:v>64</x:v>
      </x:c>
      <x:c r="H1206" s="12" t="n">
        <x:v>1250000000</x:v>
      </x:c>
      <x:c r="I1206" s="12" t="n">
        <x:v>19531250</x:v>
      </x:c>
      <x:c r="J1206" s="2" t="str">
        <x:v>total</x:v>
      </x:c>
      <x:c r="K1206" s="2" t="str">
        <x:v>top_level_area</x:v>
      </x:c>
      <x:c r="L1206" s="2" t="str">
        <x:v>property_type_inferred_from_title</x:v>
      </x:c>
      <x:c r="M1206" s="10" t="n">
        <x:v>0</x:v>
      </x:c>
      <x:c r="N1206" s="10" t="n">
        <x:v>0</x:v>
      </x:c>
      <x:c r="O1206" s="2" t="str">
        <x:v>Tp Hồ Chí Minh|house</x:v>
      </x:c>
      <x:c r="P1206" s="10" t="n">
        <x:v>2</x:v>
      </x:c>
      <x:c r="Q1206" s="13" t="n">
        <x:f>IF(H1206="","",H1206/1000000000)</x:f>
        <x:v>1.25</x:v>
      </x:c>
      <x:c r="R1206" s="13" t="n">
        <x:f>IF(I1206="","",I1206/1000000)</x:f>
        <x:v>19.53125</x:v>
      </x:c>
    </x:row>
    <x:row r="1207" ht="21" customHeight="1">
      <x:c r="A1207" s="10" t="n">
        <x:v>1766</x:v>
      </x:c>
      <x:c r="B1207" s="2" t="str">
        <x:v>f1b65ba0360ff4818013</x:v>
      </x:c>
      <x:c r="C1207" s="2" t="str">
        <x:v>Tp Hồ Chí Minh</x:v>
      </x:c>
      <x:c r="D1207" s="2" t="str">
        <x:v>Quận Thủ Đức</x:v>
      </x:c>
      <x:c r="E1207" s="2" t="str">
        <x:v>apartment</x:v>
      </x:c>
      <x:c r="F1207" s="2" t="str">
        <x:v>sale_assumed</x:v>
      </x:c>
      <x:c r="G1207" s="11" t="n">
        <x:v>61</x:v>
      </x:c>
      <x:c r="H1207" s="12" t="n">
        <x:v>170000000</x:v>
      </x:c>
      <x:c r="I1207" s="12" t="n">
        <x:v>2786885.2459016396</x:v>
      </x:c>
      <x:c r="J1207" s="2" t="str">
        <x:v>total</x:v>
      </x:c>
      <x:c r="K1207" s="2" t="str">
        <x:v>top_level_area</x:v>
      </x:c>
      <x:c r="L1207" s="2" t="str">
        <x:v>property_type_inferred_from_title;transaction_assumed_sale_from_dataset_context</x:v>
      </x:c>
      <x:c r="M1207" s="10" t="n">
        <x:v>0</x:v>
      </x:c>
      <x:c r="N1207" s="10" t="n">
        <x:v>0</x:v>
      </x:c>
      <x:c r="O1207" s="2" t="str">
        <x:v>Tp Hồ Chí Minh|apartment</x:v>
      </x:c>
      <x:c r="P1207" s="10" t="n">
        <x:v>2</x:v>
      </x:c>
      <x:c r="Q1207" s="13" t="n">
        <x:f>IF(H1207="","",H1207/1000000000)</x:f>
        <x:v>0.17</x:v>
      </x:c>
      <x:c r="R1207" s="13" t="n">
        <x:f>IF(I1207="","",I1207/1000000)</x:f>
        <x:v>2.7868852459016398</x:v>
      </x:c>
    </x:row>
    <x:row r="1208" ht="21" customHeight="1">
      <x:c r="A1208" s="10" t="n">
        <x:v>1767</x:v>
      </x:c>
      <x:c r="B1208" s="2" t="str">
        <x:v>8bd4f9c62b3414ba02f7</x:v>
      </x:c>
      <x:c r="C1208" s="2" t="str">
        <x:v>Sóc Trăng</x:v>
      </x:c>
      <x:c r="D1208" s="2" t="str">
        <x:v>Thành phố Sóc Trăng</x:v>
      </x:c>
      <x:c r="E1208" s="2" t="str">
        <x:v>land</x:v>
      </x:c>
      <x:c r="F1208" s="2" t="str">
        <x:v>sale_assumed</x:v>
      </x:c>
      <x:c r="G1208" s="11" t="n">
        <x:v>79</x:v>
      </x:c>
      <x:c r="H1208" s="12" t="n">
        <x:v>450000000</x:v>
      </x:c>
      <x:c r="I1208" s="12" t="n">
        <x:v>5696202.53164557</x:v>
      </x:c>
      <x:c r="J1208" s="2" t="str">
        <x:v>total</x:v>
      </x:c>
      <x:c r="K1208" s="2" t="str">
        <x:v>top_level_area</x:v>
      </x:c>
      <x:c r="L1208" s="2" t="str">
        <x:v>property_type_inferred_from_title;transaction_assumed_sale_from_dataset_context</x:v>
      </x:c>
      <x:c r="M1208" s="10" t="n">
        <x:v>0</x:v>
      </x:c>
      <x:c r="N1208" s="10" t="n">
        <x:v>0</x:v>
      </x:c>
      <x:c r="O1208" s="2" t="str">
        <x:v>land</x:v>
      </x:c>
      <x:c r="P1208" s="10" t="n">
        <x:v>2</x:v>
      </x:c>
      <x:c r="Q1208" s="13" t="n">
        <x:f>IF(H1208="","",H1208/1000000000)</x:f>
        <x:v>0.45</x:v>
      </x:c>
      <x:c r="R1208" s="13" t="n">
        <x:f>IF(I1208="","",I1208/1000000)</x:f>
        <x:v>5.69620253164557</x:v>
      </x:c>
    </x:row>
    <x:row r="1209" ht="21" customHeight="1">
      <x:c r="A1209" s="10" t="n">
        <x:v>1768</x:v>
      </x:c>
      <x:c r="B1209" s="2" t="str">
        <x:v>31020d7efba67398d7f3</x:v>
      </x:c>
      <x:c r="C1209" s="2" t="str">
        <x:v>Tp Hồ Chí Minh</x:v>
      </x:c>
      <x:c r="D1209" s="2" t="str">
        <x:v>Quận Gò Vấp</x:v>
      </x:c>
      <x:c r="E1209" s="2" t="str">
        <x:v>other_unknown</x:v>
      </x:c>
      <x:c r="F1209" s="2" t="str">
        <x:v>sale</x:v>
      </x:c>
      <x:c r="G1209" s="11" t="n">
        <x:v>90</x:v>
      </x:c>
      <x:c r="H1209" s="12" t="n">
        <x:v>1600000000</x:v>
      </x:c>
      <x:c r="I1209" s="12" t="n">
        <x:v>17777777.777777776</x:v>
      </x:c>
      <x:c r="J1209" s="2" t="str">
        <x:v>total</x:v>
      </x:c>
      <x:c r="K1209" s="2" t="str">
        <x:v>top_level_area</x:v>
      </x:c>
      <x:c r="L1209" s="2" t="str">
        <x:v>property_type_inferred_from_title;unknown_property_type</x:v>
      </x:c>
      <x:c r="M1209" s="10" t="n">
        <x:v>0</x:v>
      </x:c>
      <x:c r="N1209" s="10" t="n">
        <x:v>0</x:v>
      </x:c>
      <x:c r="O1209" s="2" t="str">
        <x:v>Tp Hồ Chí Minh|other_unknown</x:v>
      </x:c>
      <x:c r="P1209" s="10" t="n">
        <x:v>2</x:v>
      </x:c>
      <x:c r="Q1209" s="13" t="n">
        <x:f>IF(H1209="","",H1209/1000000000)</x:f>
        <x:v>1.6</x:v>
      </x:c>
      <x:c r="R1209" s="13" t="n">
        <x:f>IF(I1209="","",I1209/1000000)</x:f>
        <x:v>17.777777777777775</x:v>
      </x:c>
    </x:row>
    <x:row r="1210" ht="21" customHeight="1">
      <x:c r="A1210" s="10" t="n">
        <x:v>1769</x:v>
      </x:c>
      <x:c r="B1210" s="2" t="str">
        <x:v>fae0ab456c8c8e6bab19</x:v>
      </x:c>
      <x:c r="C1210" s="2" t="str">
        <x:v>Cần Thơ</x:v>
      </x:c>
      <x:c r="D1210" s="2" t="str">
        <x:v>Quận Ninh Kiều</x:v>
      </x:c>
      <x:c r="E1210" s="2" t="str">
        <x:v>land</x:v>
      </x:c>
      <x:c r="F1210" s="2" t="str">
        <x:v>sale</x:v>
      </x:c>
      <x:c r="G1210" s="11" t="n">
        <x:v>74</x:v>
      </x:c>
      <x:c r="H1210" s="12" t="n">
        <x:v>2190000000</x:v>
      </x:c>
      <x:c r="I1210" s="12" t="n">
        <x:v>29594594.594594594</x:v>
      </x:c>
      <x:c r="J1210" s="2" t="str">
        <x:v>total</x:v>
      </x:c>
      <x:c r="K1210" s="2" t="str">
        <x:v>top_level_area</x:v>
      </x:c>
      <x:c r="L1210" s="2" t="str">
        <x:v>property_type_inferred_from_title</x:v>
      </x:c>
      <x:c r="M1210" s="10" t="n">
        <x:v>0</x:v>
      </x:c>
      <x:c r="N1210" s="10" t="n">
        <x:v>0</x:v>
      </x:c>
      <x:c r="O1210" s="2" t="str">
        <x:v>Cần Thơ|land</x:v>
      </x:c>
      <x:c r="P1210" s="10" t="n">
        <x:v>2</x:v>
      </x:c>
      <x:c r="Q1210" s="13" t="n">
        <x:f>IF(H1210="","",H1210/1000000000)</x:f>
        <x:v>2.19</x:v>
      </x:c>
      <x:c r="R1210" s="13" t="n">
        <x:f>IF(I1210="","",I1210/1000000)</x:f>
        <x:v>29.594594594594593</x:v>
      </x:c>
    </x:row>
    <x:row r="1211" ht="21" customHeight="1">
      <x:c r="A1211" s="10" t="n">
        <x:v>1770</x:v>
      </x:c>
      <x:c r="B1211" s="2" t="str">
        <x:v>e12ea8c296ebf2a1e4b1</x:v>
      </x:c>
      <x:c r="C1211" s="2" t="str">
        <x:v>Đà Nẵng</x:v>
      </x:c>
      <x:c r="D1211" s="2" t="str">
        <x:v>Quận Hải Châu</x:v>
      </x:c>
      <x:c r="E1211" s="2" t="str">
        <x:v>house</x:v>
      </x:c>
      <x:c r="F1211" s="2" t="str">
        <x:v>sale_assumed</x:v>
      </x:c>
      <x:c r="G1211" s="11" t="n">
        <x:v>112</x:v>
      </x:c>
      <x:c r="H1211" s="12" t="n">
        <x:v>4300000000</x:v>
      </x:c>
      <x:c r="I1211" s="12" t="n">
        <x:v>38392857.14285714</x:v>
      </x:c>
      <x:c r="J1211" s="2" t="str">
        <x:v>total</x:v>
      </x:c>
      <x:c r="K1211" s="2" t="str">
        <x:v>top_level_area</x:v>
      </x:c>
      <x:c r="L1211" s="2" t="str">
        <x:v>property_type_inferred_from_title;transaction_assumed_sale_from_dataset_context</x:v>
      </x:c>
      <x:c r="M1211" s="10" t="n">
        <x:v>0</x:v>
      </x:c>
      <x:c r="N1211" s="10" t="n">
        <x:v>0</x:v>
      </x:c>
      <x:c r="O1211" s="2" t="str">
        <x:v>Đà Nẵng|house</x:v>
      </x:c>
      <x:c r="P1211" s="10" t="n">
        <x:v>2</x:v>
      </x:c>
      <x:c r="Q1211" s="13" t="n">
        <x:f>IF(H1211="","",H1211/1000000000)</x:f>
        <x:v>4.3</x:v>
      </x:c>
      <x:c r="R1211" s="13" t="n">
        <x:f>IF(I1211="","",I1211/1000000)</x:f>
        <x:v>38.39285714285714</x:v>
      </x:c>
    </x:row>
    <x:row r="1212" ht="21" customHeight="1">
      <x:c r="A1212" s="10" t="n">
        <x:v>1771</x:v>
      </x:c>
      <x:c r="B1212" s="2" t="str">
        <x:v>b22f03fdcdcae9e5103c</x:v>
      </x:c>
      <x:c r="C1212" s="2" t="str">
        <x:v>Đồng Nai</x:v>
      </x:c>
      <x:c r="D1212" s="2" t="str">
        <x:v>Huyện Nhơn Trạch</x:v>
      </x:c>
      <x:c r="E1212" s="2" t="str">
        <x:v>land</x:v>
      </x:c>
      <x:c r="F1212" s="2" t="str">
        <x:v>sale_assumed</x:v>
      </x:c>
      <x:c r="G1212" s="11" t="n">
        <x:v>1000</x:v>
      </x:c>
      <x:c r="H1212" s="12" t="n">
        <x:v>1350000000</x:v>
      </x:c>
      <x:c r="I1212" s="12" t="n">
        <x:v>1350000</x:v>
      </x:c>
      <x:c r="J1212" s="2" t="str">
        <x:v>total</x:v>
      </x:c>
      <x:c r="K1212" s="2" t="str">
        <x:v>top_level_price_embedded_area</x:v>
      </x:c>
      <x:c r="L1212" s="2" t="str">
        <x:v>area_recovered_from_price_text;dot_thousands_convention;property_type_inferred_from_title;transaction_assumed_sale_from_dataset_context</x:v>
      </x:c>
      <x:c r="M1212" s="10" t="n">
        <x:v>0</x:v>
      </x:c>
      <x:c r="N1212" s="10" t="n">
        <x:v>0</x:v>
      </x:c>
      <x:c r="O1212" s="2" t="str">
        <x:v>Đồng Nai|land</x:v>
      </x:c>
      <x:c r="P1212" s="10" t="n">
        <x:v>1</x:v>
      </x:c>
      <x:c r="Q1212" s="13" t="n">
        <x:f>IF(H1212="","",H1212/1000000000)</x:f>
        <x:v>1.35</x:v>
      </x:c>
      <x:c r="R1212" s="13" t="n">
        <x:f>IF(I1212="","",I1212/1000000)</x:f>
        <x:v>1.35</x:v>
      </x:c>
    </x:row>
    <x:row r="1213" ht="21" customHeight="1">
      <x:c r="A1213" s="10" t="n">
        <x:v>1772</x:v>
      </x:c>
      <x:c r="B1213" s="2" t="str">
        <x:v>8d470bc7dbba134715ac</x:v>
      </x:c>
      <x:c r="C1213" s="2" t="str">
        <x:v>Long An</x:v>
      </x:c>
      <x:c r="D1213" s="2" t="str">
        <x:v>Huyện Cần Đước</x:v>
      </x:c>
      <x:c r="E1213" s="2" t="str">
        <x:v>house</x:v>
      </x:c>
      <x:c r="F1213" s="2" t="str">
        <x:v>sale</x:v>
      </x:c>
      <x:c r="G1213" s="11" t="n">
        <x:v>105</x:v>
      </x:c>
      <x:c r="H1213" s="12" t="n">
        <x:v>1255000000</x:v>
      </x:c>
      <x:c r="I1213" s="12" t="n">
        <x:v>11952380.952380951</x:v>
      </x:c>
      <x:c r="J1213" s="2" t="str">
        <x:v>total</x:v>
      </x:c>
      <x:c r="K1213" s="2" t="str">
        <x:v>top_level_area</x:v>
      </x:c>
      <x:c r="L1213" s="2" t="str">
        <x:v>property_type_inferred_from_title</x:v>
      </x:c>
      <x:c r="M1213" s="10" t="n">
        <x:v>0</x:v>
      </x:c>
      <x:c r="N1213" s="10" t="n">
        <x:v>0</x:v>
      </x:c>
      <x:c r="O1213" s="2" t="str">
        <x:v>Long An|house</x:v>
      </x:c>
      <x:c r="P1213" s="10" t="n">
        <x:v>2</x:v>
      </x:c>
      <x:c r="Q1213" s="13" t="n">
        <x:f>IF(H1213="","",H1213/1000000000)</x:f>
        <x:v>1.255</x:v>
      </x:c>
      <x:c r="R1213" s="13" t="n">
        <x:f>IF(I1213="","",I1213/1000000)</x:f>
        <x:v>11.95238095238095</x:v>
      </x:c>
    </x:row>
    <x:row r="1214" ht="21" customHeight="1">
      <x:c r="A1214" s="10" t="n">
        <x:v>1775</x:v>
      </x:c>
      <x:c r="B1214" s="2" t="str">
        <x:v>8fedbead1ba30d4e580e</x:v>
      </x:c>
      <x:c r="C1214" s="2" t="str">
        <x:v>Tp Hồ Chí Minh</x:v>
      </x:c>
      <x:c r="D1214" s="2" t="str">
        <x:v>Quận 12</x:v>
      </x:c>
      <x:c r="E1214" s="2" t="str">
        <x:v>house</x:v>
      </x:c>
      <x:c r="F1214" s="2" t="str">
        <x:v>sale_assumed</x:v>
      </x:c>
      <x:c r="G1214" s="11" t="n">
        <x:v>51</x:v>
      </x:c>
      <x:c r="H1214" s="12" t="n">
        <x:v>3900000000</x:v>
      </x:c>
      <x:c r="I1214" s="12" t="n">
        <x:v>76470588.23529412</x:v>
      </x:c>
      <x:c r="J1214" s="2" t="str">
        <x:v>total</x:v>
      </x:c>
      <x:c r="K1214" s="2" t="str">
        <x:v>top_level_area</x:v>
      </x:c>
      <x:c r="L1214" s="2" t="str">
        <x:v>property_type_inferred_from_title;transaction_assumed_sale_from_dataset_context</x:v>
      </x:c>
      <x:c r="M1214" s="10" t="n">
        <x:v>0</x:v>
      </x:c>
      <x:c r="N1214" s="10" t="n">
        <x:v>0</x:v>
      </x:c>
      <x:c r="O1214" s="2" t="str">
        <x:v>Tp Hồ Chí Minh|house</x:v>
      </x:c>
      <x:c r="P1214" s="10" t="n">
        <x:v>2</x:v>
      </x:c>
      <x:c r="Q1214" s="13" t="n">
        <x:f>IF(H1214="","",H1214/1000000000)</x:f>
        <x:v>3.9</x:v>
      </x:c>
      <x:c r="R1214" s="13" t="n">
        <x:f>IF(I1214="","",I1214/1000000)</x:f>
        <x:v>76.47058823529412</x:v>
      </x:c>
    </x:row>
    <x:row r="1215" ht="21" customHeight="1">
      <x:c r="A1215" s="10" t="n">
        <x:v>1776</x:v>
      </x:c>
      <x:c r="B1215" s="2" t="str">
        <x:v>db7a35a2b17f63323415</x:v>
      </x:c>
      <x:c r="C1215" s="2" t="str">
        <x:v>Đà Nẵng</x:v>
      </x:c>
      <x:c r="D1215" s="2" t="str">
        <x:v>Quận Ngũ Hành Sơn</x:v>
      </x:c>
      <x:c r="E1215" s="2" t="str">
        <x:v>house</x:v>
      </x:c>
      <x:c r="F1215" s="2" t="str">
        <x:v>sale_assumed</x:v>
      </x:c>
      <x:c r="G1215" s="11" t="n">
        <x:v>89</x:v>
      </x:c>
      <x:c r="H1215" s="12" t="n">
        <x:v>2400000000</x:v>
      </x:c>
      <x:c r="I1215" s="12" t="n">
        <x:v>26966292.134831462</x:v>
      </x:c>
      <x:c r="J1215" s="2" t="str">
        <x:v>total</x:v>
      </x:c>
      <x:c r="K1215" s="2" t="str">
        <x:v>top_level_area</x:v>
      </x:c>
      <x:c r="L1215" s="2" t="str">
        <x:v>property_type_inferred_from_title;transaction_assumed_sale_from_dataset_context</x:v>
      </x:c>
      <x:c r="M1215" s="10" t="n">
        <x:v>0</x:v>
      </x:c>
      <x:c r="N1215" s="10" t="n">
        <x:v>0</x:v>
      </x:c>
      <x:c r="O1215" s="2" t="str">
        <x:v>Đà Nẵng|house</x:v>
      </x:c>
      <x:c r="P1215" s="10" t="n">
        <x:v>2</x:v>
      </x:c>
      <x:c r="Q1215" s="13" t="n">
        <x:f>IF(H1215="","",H1215/1000000000)</x:f>
        <x:v>2.4</x:v>
      </x:c>
      <x:c r="R1215" s="13" t="n">
        <x:f>IF(I1215="","",I1215/1000000)</x:f>
        <x:v>26.966292134831463</x:v>
      </x:c>
    </x:row>
    <x:row r="1216" ht="21" customHeight="1">
      <x:c r="A1216" s="10" t="n">
        <x:v>1777</x:v>
      </x:c>
      <x:c r="B1216" s="2" t="str">
        <x:v>0f878762e499f6ef0700</x:v>
      </x:c>
      <x:c r="C1216" s="2" t="str">
        <x:v>Tp Hồ Chí Minh</x:v>
      </x:c>
      <x:c r="D1216" s="2" t="str">
        <x:v>Quận Thủ Đức</x:v>
      </x:c>
      <x:c r="E1216" s="2" t="str">
        <x:v>other_unknown</x:v>
      </x:c>
      <x:c r="F1216" s="2" t="str">
        <x:v>sale</x:v>
      </x:c>
      <x:c r="G1216" s="11" t="n">
        <x:v>60</x:v>
      </x:c>
      <x:c r="H1216" s="12" t="n">
        <x:v>4440000000</x:v>
      </x:c>
      <x:c r="I1216" s="12" t="n">
        <x:v>74000000</x:v>
      </x:c>
      <x:c r="J1216" s="2" t="str">
        <x:v>total</x:v>
      </x:c>
      <x:c r="K1216" s="2" t="str">
        <x:v>top_level_area</x:v>
      </x:c>
      <x:c r="L1216" s="2" t="str">
        <x:v>property_type_inferred_from_title;unknown_property_type</x:v>
      </x:c>
      <x:c r="M1216" s="10" t="n">
        <x:v>0</x:v>
      </x:c>
      <x:c r="N1216" s="10" t="n">
        <x:v>0</x:v>
      </x:c>
      <x:c r="O1216" s="2" t="str">
        <x:v>Tp Hồ Chí Minh|other_unknown</x:v>
      </x:c>
      <x:c r="P1216" s="10" t="n">
        <x:v>2</x:v>
      </x:c>
      <x:c r="Q1216" s="13" t="n">
        <x:f>IF(H1216="","",H1216/1000000000)</x:f>
        <x:v>4.44</x:v>
      </x:c>
      <x:c r="R1216" s="13" t="n">
        <x:f>IF(I1216="","",I1216/1000000)</x:f>
        <x:v>74</x:v>
      </x:c>
    </x:row>
    <x:row r="1217" ht="21" customHeight="1">
      <x:c r="A1217" s="10" t="n">
        <x:v>1778</x:v>
      </x:c>
      <x:c r="B1217" s="2" t="str">
        <x:v>4946a875a24a70095b31</x:v>
      </x:c>
      <x:c r="C1217" s="2" t="str">
        <x:v>Tp Hồ Chí Minh</x:v>
      </x:c>
      <x:c r="D1217" s="2" t="str">
        <x:v>Huyện Hóc Môn</x:v>
      </x:c>
      <x:c r="E1217" s="2" t="str">
        <x:v>house</x:v>
      </x:c>
      <x:c r="F1217" s="2" t="str">
        <x:v>sale</x:v>
      </x:c>
      <x:c r="G1217" s="11" t="n">
        <x:v>122</x:v>
      </x:c>
      <x:c r="H1217" s="12" t="n">
        <x:v>2000000000</x:v>
      </x:c>
      <x:c r="I1217" s="12" t="n">
        <x:v>16393442.62295082</x:v>
      </x:c>
      <x:c r="J1217" s="2" t="str">
        <x:v>total</x:v>
      </x:c>
      <x:c r="K1217" s="2" t="str">
        <x:v>top_level_area</x:v>
      </x:c>
      <x:c r="L1217" s="2" t="str">
        <x:v>property_type_inferred_from_title</x:v>
      </x:c>
      <x:c r="M1217" s="10" t="n">
        <x:v>0</x:v>
      </x:c>
      <x:c r="N1217" s="10" t="n">
        <x:v>0</x:v>
      </x:c>
      <x:c r="O1217" s="2" t="str">
        <x:v>Tp Hồ Chí Minh|house</x:v>
      </x:c>
      <x:c r="P1217" s="10" t="n">
        <x:v>2</x:v>
      </x:c>
      <x:c r="Q1217" s="13" t="n">
        <x:f>IF(H1217="","",H1217/1000000000)</x:f>
        <x:v>2</x:v>
      </x:c>
      <x:c r="R1217" s="13" t="n">
        <x:f>IF(I1217="","",I1217/1000000)</x:f>
        <x:v>16.393442622950822</x:v>
      </x:c>
    </x:row>
    <x:row r="1218" ht="21" customHeight="1">
      <x:c r="A1218" s="10" t="n">
        <x:v>1779</x:v>
      </x:c>
      <x:c r="B1218" s="2" t="str">
        <x:v>ae3da2caba56f7e6c5eb</x:v>
      </x:c>
      <x:c r="C1218" s="2" t="str">
        <x:v>Tp Hồ Chí Minh</x:v>
      </x:c>
      <x:c r="D1218" s="2" t="str">
        <x:v>Quận Bình Thạnh</x:v>
      </x:c>
      <x:c r="E1218" s="2" t="str">
        <x:v>other_unknown</x:v>
      </x:c>
      <x:c r="F1218" s="2" t="str">
        <x:v>sale</x:v>
      </x:c>
      <x:c r="G1218" s="11" t="n">
        <x:v>43</x:v>
      </x:c>
      <x:c r="H1218" s="12" t="n">
        <x:v>1830000000</x:v>
      </x:c>
      <x:c r="I1218" s="12" t="n">
        <x:v>42558139.53488372</x:v>
      </x:c>
      <x:c r="J1218" s="2" t="str">
        <x:v>total</x:v>
      </x:c>
      <x:c r="K1218" s="2" t="str">
        <x:v>top_level_area</x:v>
      </x:c>
      <x:c r="L1218" s="2" t="str">
        <x:v>property_type_inferred_from_title;unknown_property_type</x:v>
      </x:c>
      <x:c r="M1218" s="10" t="n">
        <x:v>0</x:v>
      </x:c>
      <x:c r="N1218" s="10" t="n">
        <x:v>0</x:v>
      </x:c>
      <x:c r="O1218" s="2" t="str">
        <x:v>Tp Hồ Chí Minh|other_unknown</x:v>
      </x:c>
      <x:c r="P1218" s="10" t="n">
        <x:v>2</x:v>
      </x:c>
      <x:c r="Q1218" s="13" t="n">
        <x:f>IF(H1218="","",H1218/1000000000)</x:f>
        <x:v>1.83</x:v>
      </x:c>
      <x:c r="R1218" s="13" t="n">
        <x:f>IF(I1218="","",I1218/1000000)</x:f>
        <x:v>42.55813953488372</x:v>
      </x:c>
    </x:row>
    <x:row r="1219" ht="21" customHeight="1">
      <x:c r="A1219" s="10" t="n">
        <x:v>1780</x:v>
      </x:c>
      <x:c r="B1219" s="2" t="str">
        <x:v>feb6e0494ce36f2d2b62</x:v>
      </x:c>
      <x:c r="C1219" s="2" t="str">
        <x:v>Tp Hồ Chí Minh</x:v>
      </x:c>
      <x:c r="D1219" s="2" t="str">
        <x:v>Quận Gò Vấp</x:v>
      </x:c>
      <x:c r="E1219" s="2" t="str">
        <x:v>land</x:v>
      </x:c>
      <x:c r="F1219" s="2" t="str">
        <x:v>sale_assumed</x:v>
      </x:c>
      <x:c r="G1219" s="11" t="n">
        <x:v>58</x:v>
      </x:c>
      <x:c r="H1219" s="12" t="n">
        <x:v>4950000000</x:v>
      </x:c>
      <x:c r="I1219" s="12" t="n">
        <x:v>85344827.5862069</x:v>
      </x:c>
      <x:c r="J1219" s="2" t="str">
        <x:v>total</x:v>
      </x:c>
      <x:c r="K1219" s="2" t="str">
        <x:v>top_level_area</x:v>
      </x:c>
      <x:c r="L1219" s="2" t="str">
        <x:v>property_type_inferred_from_title;transaction_assumed_sale_from_dataset_context</x:v>
      </x:c>
      <x:c r="M1219" s="10" t="n">
        <x:v>0</x:v>
      </x:c>
      <x:c r="N1219" s="10" t="n">
        <x:v>0</x:v>
      </x:c>
      <x:c r="O1219" s="2" t="str">
        <x:v>Tp Hồ Chí Minh|land</x:v>
      </x:c>
      <x:c r="P1219" s="10" t="n">
        <x:v>2</x:v>
      </x:c>
      <x:c r="Q1219" s="13" t="n">
        <x:f>IF(H1219="","",H1219/1000000000)</x:f>
        <x:v>4.95</x:v>
      </x:c>
      <x:c r="R1219" s="13" t="n">
        <x:f>IF(I1219="","",I1219/1000000)</x:f>
        <x:v>85.3448275862069</x:v>
      </x:c>
    </x:row>
    <x:row r="1220" ht="21" customHeight="1">
      <x:c r="A1220" s="10" t="n">
        <x:v>1781</x:v>
      </x:c>
      <x:c r="B1220" s="2" t="str">
        <x:v>842ea0328e8b0fa1fc48</x:v>
      </x:c>
      <x:c r="C1220" s="2" t="str">
        <x:v>Tp Hồ Chí Minh</x:v>
      </x:c>
      <x:c r="D1220" s="2" t="str">
        <x:v>Huyện Bình Chánh</x:v>
      </x:c>
      <x:c r="E1220" s="2" t="str">
        <x:v>house</x:v>
      </x:c>
      <x:c r="F1220" s="2" t="str">
        <x:v>sale_assumed</x:v>
      </x:c>
      <x:c r="G1220" s="11" t="n">
        <x:v>100</x:v>
      </x:c>
      <x:c r="H1220" s="12" t="n">
        <x:v>900000000</x:v>
      </x:c>
      <x:c r="I1220" s="12" t="n">
        <x:v>9000000</x:v>
      </x:c>
      <x:c r="J1220" s="2" t="str">
        <x:v>total</x:v>
      </x:c>
      <x:c r="K1220" s="2" t="str">
        <x:v>top_level_area</x:v>
      </x:c>
      <x:c r="L1220" s="2" t="str">
        <x:v>property_type_inferred_from_title;transaction_assumed_sale_from_dataset_context</x:v>
      </x:c>
      <x:c r="M1220" s="10" t="n">
        <x:v>0</x:v>
      </x:c>
      <x:c r="N1220" s="10" t="n">
        <x:v>0</x:v>
      </x:c>
      <x:c r="O1220" s="2" t="str">
        <x:v>Tp Hồ Chí Minh|house</x:v>
      </x:c>
      <x:c r="P1220" s="10" t="n">
        <x:v>2</x:v>
      </x:c>
      <x:c r="Q1220" s="13" t="n">
        <x:f>IF(H1220="","",H1220/1000000000)</x:f>
        <x:v>0.9</x:v>
      </x:c>
      <x:c r="R1220" s="13" t="n">
        <x:f>IF(I1220="","",I1220/1000000)</x:f>
        <x:v>9</x:v>
      </x:c>
    </x:row>
    <x:row r="1221" ht="21" customHeight="1">
      <x:c r="A1221" s="10" t="n">
        <x:v>1782</x:v>
      </x:c>
      <x:c r="B1221" s="2" t="str">
        <x:v>2f86593a5dbe7bcf5174</x:v>
      </x:c>
      <x:c r="C1221" s="2" t="str">
        <x:v>Long An</x:v>
      </x:c>
      <x:c r="D1221" s="2" t="str">
        <x:v>Huyện Cần Giuộc</x:v>
      </x:c>
      <x:c r="E1221" s="2" t="str">
        <x:v>land</x:v>
      </x:c>
      <x:c r="F1221" s="2" t="str">
        <x:v>sale_assumed</x:v>
      </x:c>
      <x:c r="G1221" s="11" t="n">
        <x:v>96</x:v>
      </x:c>
      <x:c r="H1221" s="12" t="n">
        <x:v>1600000000</x:v>
      </x:c>
      <x:c r="I1221" s="12" t="n">
        <x:v>16666666.666666666</x:v>
      </x:c>
      <x:c r="J1221" s="2" t="str">
        <x:v>total</x:v>
      </x:c>
      <x:c r="K1221" s="2" t="str">
        <x:v>top_level_area</x:v>
      </x:c>
      <x:c r="L1221" s="2" t="str">
        <x:v>property_type_inferred_from_title;transaction_assumed_sale_from_dataset_context</x:v>
      </x:c>
      <x:c r="M1221" s="10" t="n">
        <x:v>0</x:v>
      </x:c>
      <x:c r="N1221" s="10" t="n">
        <x:v>0</x:v>
      </x:c>
      <x:c r="O1221" s="2" t="str">
        <x:v>Long An|land</x:v>
      </x:c>
      <x:c r="P1221" s="10" t="n">
        <x:v>2</x:v>
      </x:c>
      <x:c r="Q1221" s="13" t="n">
        <x:f>IF(H1221="","",H1221/1000000000)</x:f>
        <x:v>1.6</x:v>
      </x:c>
      <x:c r="R1221" s="13" t="n">
        <x:f>IF(I1221="","",I1221/1000000)</x:f>
        <x:v>16.666666666666664</x:v>
      </x:c>
    </x:row>
    <x:row r="1222" ht="21" customHeight="1">
      <x:c r="A1222" s="10" t="n">
        <x:v>1783</x:v>
      </x:c>
      <x:c r="B1222" s="2" t="str">
        <x:v>7d1eed642a70546c5d2e</x:v>
      </x:c>
      <x:c r="C1222" s="2" t="str">
        <x:v>Đắk Lắk</x:v>
      </x:c>
      <x:c r="D1222" s="2" t="str">
        <x:v>Thành phố Buôn Ma Thuột</x:v>
      </x:c>
      <x:c r="E1222" s="2" t="str">
        <x:v>land</x:v>
      </x:c>
      <x:c r="F1222" s="2" t="str">
        <x:v>sale_assumed</x:v>
      </x:c>
      <x:c r="G1222" s="11" t="n">
        <x:v>126</x:v>
      </x:c>
      <x:c r="H1222" s="12" t="n">
        <x:v>775000000</x:v>
      </x:c>
      <x:c r="I1222" s="12" t="n">
        <x:v>6150793.650793651</x:v>
      </x:c>
      <x:c r="J1222" s="2" t="str">
        <x:v>total</x:v>
      </x:c>
      <x:c r="K1222" s="2" t="str">
        <x:v>top_level_area</x:v>
      </x:c>
      <x:c r="L1222" s="2" t="str">
        <x:v>property_type_inferred_from_title;transaction_assumed_sale_from_dataset_context</x:v>
      </x:c>
      <x:c r="M1222" s="10" t="n">
        <x:v>0</x:v>
      </x:c>
      <x:c r="N1222" s="10" t="n">
        <x:v>0</x:v>
      </x:c>
      <x:c r="O1222" s="2" t="str">
        <x:v>Đắk Lắk|land</x:v>
      </x:c>
      <x:c r="P1222" s="10" t="n">
        <x:v>2</x:v>
      </x:c>
      <x:c r="Q1222" s="13" t="n">
        <x:f>IF(H1222="","",H1222/1000000000)</x:f>
        <x:v>0.775</x:v>
      </x:c>
      <x:c r="R1222" s="13" t="n">
        <x:f>IF(I1222="","",I1222/1000000)</x:f>
        <x:v>6.150793650793651</x:v>
      </x:c>
    </x:row>
    <x:row r="1223" ht="21" customHeight="1">
      <x:c r="A1223" s="10" t="n">
        <x:v>1784</x:v>
      </x:c>
      <x:c r="B1223" s="2" t="str">
        <x:v>4a2fab36cfc076e7090a</x:v>
      </x:c>
      <x:c r="C1223" s="2" t="str">
        <x:v>Sóc Trăng</x:v>
      </x:c>
      <x:c r="D1223" s="2" t="str">
        <x:v>Thành phố Sóc Trăng</x:v>
      </x:c>
      <x:c r="E1223" s="2" t="str">
        <x:v>house</x:v>
      </x:c>
      <x:c r="F1223" s="2" t="str">
        <x:v>sale_assumed</x:v>
      </x:c>
      <x:c r="G1223" s="11" t="n">
        <x:v>116</x:v>
      </x:c>
      <x:c r="H1223" s="12" t="n">
        <x:v>1150000000</x:v>
      </x:c>
      <x:c r="I1223" s="12" t="n">
        <x:v>9913793.103448275</x:v>
      </x:c>
      <x:c r="J1223" s="2" t="str">
        <x:v>total</x:v>
      </x:c>
      <x:c r="K1223" s="2" t="str">
        <x:v>top_level_area</x:v>
      </x:c>
      <x:c r="L1223" s="2" t="str">
        <x:v>property_type_inferred_from_title;transaction_assumed_sale_from_dataset_context</x:v>
      </x:c>
      <x:c r="M1223" s="10" t="n">
        <x:v>0</x:v>
      </x:c>
      <x:c r="N1223" s="10" t="n">
        <x:v>0</x:v>
      </x:c>
      <x:c r="O1223" s="2" t="str">
        <x:v>house</x:v>
      </x:c>
      <x:c r="P1223" s="10" t="n">
        <x:v>2</x:v>
      </x:c>
      <x:c r="Q1223" s="13" t="n">
        <x:f>IF(H1223="","",H1223/1000000000)</x:f>
        <x:v>1.15</x:v>
      </x:c>
      <x:c r="R1223" s="13" t="n">
        <x:f>IF(I1223="","",I1223/1000000)</x:f>
        <x:v>9.913793103448276</x:v>
      </x:c>
    </x:row>
    <x:row r="1224" ht="21" customHeight="1">
      <x:c r="A1224" s="10" t="n">
        <x:v>1785</x:v>
      </x:c>
      <x:c r="B1224" s="2" t="str">
        <x:v>2408d5ec833ea4f3121e</x:v>
      </x:c>
      <x:c r="C1224" s="2" t="str">
        <x:v>Hà Nội</x:v>
      </x:c>
      <x:c r="D1224" s="2" t="str">
        <x:v>Huyện Thanh Trì</x:v>
      </x:c>
      <x:c r="E1224" s="2" t="str">
        <x:v>house</x:v>
      </x:c>
      <x:c r="F1224" s="2" t="str">
        <x:v>sale</x:v>
      </x:c>
      <x:c r="G1224" s="11" t="n">
        <x:v>40</x:v>
      </x:c>
      <x:c r="H1224" s="12" t="n">
        <x:v>2300000000</x:v>
      </x:c>
      <x:c r="I1224" s="12" t="n">
        <x:v>57500000</x:v>
      </x:c>
      <x:c r="J1224" s="2" t="str">
        <x:v>total</x:v>
      </x:c>
      <x:c r="K1224" s="2" t="str">
        <x:v>top_level_area</x:v>
      </x:c>
      <x:c r="L1224" s="2" t="str">
        <x:v>property_type_inferred_from_title</x:v>
      </x:c>
      <x:c r="M1224" s="10" t="n">
        <x:v>0</x:v>
      </x:c>
      <x:c r="N1224" s="10" t="n">
        <x:v>0</x:v>
      </x:c>
      <x:c r="O1224" s="2" t="str">
        <x:v>Hà Nội|house</x:v>
      </x:c>
      <x:c r="P1224" s="10" t="n">
        <x:v>2</x:v>
      </x:c>
      <x:c r="Q1224" s="13" t="n">
        <x:f>IF(H1224="","",H1224/1000000000)</x:f>
        <x:v>2.3</x:v>
      </x:c>
      <x:c r="R1224" s="13" t="n">
        <x:f>IF(I1224="","",I1224/1000000)</x:f>
        <x:v>57.5</x:v>
      </x:c>
    </x:row>
    <x:row r="1225" ht="21" customHeight="1">
      <x:c r="A1225" s="10" t="n">
        <x:v>1786</x:v>
      </x:c>
      <x:c r="B1225" s="2" t="str">
        <x:v>016605f4c791b8b8c5c2</x:v>
      </x:c>
      <x:c r="C1225" s="2" t="str">
        <x:v>Tp Hồ Chí Minh</x:v>
      </x:c>
      <x:c r="D1225" s="2" t="str">
        <x:v>Quận Bình Tân</x:v>
      </x:c>
      <x:c r="E1225" s="2" t="str">
        <x:v>house</x:v>
      </x:c>
      <x:c r="F1225" s="2" t="str">
        <x:v>sale_assumed</x:v>
      </x:c>
      <x:c r="G1225" s="11" t="n">
        <x:v>52</x:v>
      </x:c>
      <x:c r="H1225" s="12" t="n">
        <x:v>3300000000</x:v>
      </x:c>
      <x:c r="I1225" s="12" t="n">
        <x:v>63461538.461538464</x:v>
      </x:c>
      <x:c r="J1225" s="2" t="str">
        <x:v>total</x:v>
      </x:c>
      <x:c r="K1225" s="2" t="str">
        <x:v>top_level_area</x:v>
      </x:c>
      <x:c r="L1225" s="2" t="str">
        <x:v>property_type_inferred_from_title;transaction_assumed_sale_from_dataset_context</x:v>
      </x:c>
      <x:c r="M1225" s="10" t="n">
        <x:v>0</x:v>
      </x:c>
      <x:c r="N1225" s="10" t="n">
        <x:v>0</x:v>
      </x:c>
      <x:c r="O1225" s="2" t="str">
        <x:v>Tp Hồ Chí Minh|house</x:v>
      </x:c>
      <x:c r="P1225" s="10" t="n">
        <x:v>2</x:v>
      </x:c>
      <x:c r="Q1225" s="13" t="n">
        <x:f>IF(H1225="","",H1225/1000000000)</x:f>
        <x:v>3.3</x:v>
      </x:c>
      <x:c r="R1225" s="13" t="n">
        <x:f>IF(I1225="","",I1225/1000000)</x:f>
        <x:v>63.46153846153847</x:v>
      </x:c>
    </x:row>
    <x:row r="1226" ht="21" customHeight="1">
      <x:c r="A1226" s="10" t="n">
        <x:v>1787</x:v>
      </x:c>
      <x:c r="B1226" s="2" t="str">
        <x:v>4405e5d2fb58e57ed129</x:v>
      </x:c>
      <x:c r="C1226" s="2" t="str">
        <x:v>Tp Hồ Chí Minh</x:v>
      </x:c>
      <x:c r="D1226" s="2" t="str">
        <x:v>Quận Bình Thạnh</x:v>
      </x:c>
      <x:c r="E1226" s="2" t="str">
        <x:v>house</x:v>
      </x:c>
      <x:c r="F1226" s="2" t="str">
        <x:v>sale_assumed</x:v>
      </x:c>
      <x:c r="G1226" s="11" t="n">
        <x:v>45</x:v>
      </x:c>
      <x:c r="H1226" s="12" t="n">
        <x:v>1490000000</x:v>
      </x:c>
      <x:c r="I1226" s="12" t="n">
        <x:v>33111111.111111112</x:v>
      </x:c>
      <x:c r="J1226" s="2" t="str">
        <x:v>total</x:v>
      </x:c>
      <x:c r="K1226" s="2" t="str">
        <x:v>top_level_area</x:v>
      </x:c>
      <x:c r="L1226" s="2" t="str">
        <x:v>property_type_inferred_from_title;transaction_assumed_sale_from_dataset_context</x:v>
      </x:c>
      <x:c r="M1226" s="10" t="n">
        <x:v>0</x:v>
      </x:c>
      <x:c r="N1226" s="10" t="n">
        <x:v>0</x:v>
      </x:c>
      <x:c r="O1226" s="2" t="str">
        <x:v>Tp Hồ Chí Minh|house</x:v>
      </x:c>
      <x:c r="P1226" s="10" t="n">
        <x:v>2</x:v>
      </x:c>
      <x:c r="Q1226" s="13" t="n">
        <x:f>IF(H1226="","",H1226/1000000000)</x:f>
        <x:v>1.49</x:v>
      </x:c>
      <x:c r="R1226" s="13" t="n">
        <x:f>IF(I1226="","",I1226/1000000)</x:f>
        <x:v>33.111111111111114</x:v>
      </x:c>
    </x:row>
    <x:row r="1227" ht="21" customHeight="1">
      <x:c r="A1227" s="10" t="n">
        <x:v>1788</x:v>
      </x:c>
      <x:c r="B1227" s="2" t="str">
        <x:v>50342fe1bdf790b38035</x:v>
      </x:c>
      <x:c r="C1227" s="2" t="str">
        <x:v>Tp Hồ Chí Minh</x:v>
      </x:c>
      <x:c r="D1227" s="2" t="str">
        <x:v>Quận Tân Phú</x:v>
      </x:c>
      <x:c r="E1227" s="2" t="str">
        <x:v>house</x:v>
      </x:c>
      <x:c r="F1227" s="2" t="str">
        <x:v>sale</x:v>
      </x:c>
      <x:c r="G1227" s="11" t="n">
        <x:v>56</x:v>
      </x:c>
      <x:c r="H1227" s="12" t="n">
        <x:v>3600000000</x:v>
      </x:c>
      <x:c r="I1227" s="12" t="n">
        <x:v>64285714.28571428</x:v>
      </x:c>
      <x:c r="J1227" s="2" t="str">
        <x:v>total</x:v>
      </x:c>
      <x:c r="K1227" s="2" t="str">
        <x:v>top_level_area</x:v>
      </x:c>
      <x:c r="L1227" s="2" t="str">
        <x:v>property_type_inferred_from_title</x:v>
      </x:c>
      <x:c r="M1227" s="10" t="n">
        <x:v>0</x:v>
      </x:c>
      <x:c r="N1227" s="10" t="n">
        <x:v>0</x:v>
      </x:c>
      <x:c r="O1227" s="2" t="str">
        <x:v>Tp Hồ Chí Minh|house</x:v>
      </x:c>
      <x:c r="P1227" s="10" t="n">
        <x:v>2</x:v>
      </x:c>
      <x:c r="Q1227" s="13" t="n">
        <x:f>IF(H1227="","",H1227/1000000000)</x:f>
        <x:v>3.6</x:v>
      </x:c>
      <x:c r="R1227" s="13" t="n">
        <x:f>IF(I1227="","",I1227/1000000)</x:f>
        <x:v>64.28571428571428</x:v>
      </x:c>
    </x:row>
    <x:row r="1228" ht="21" customHeight="1">
      <x:c r="A1228" s="10" t="n">
        <x:v>1789</x:v>
      </x:c>
      <x:c r="B1228" s="2" t="str">
        <x:v>21b7feb73d24b70589ff</x:v>
      </x:c>
      <x:c r="C1228" s="2" t="str">
        <x:v>Tp Hồ Chí Minh</x:v>
      </x:c>
      <x:c r="D1228" s="2" t="str">
        <x:v>Quận Tân Phú</x:v>
      </x:c>
      <x:c r="E1228" s="2" t="str">
        <x:v>house</x:v>
      </x:c>
      <x:c r="F1228" s="2" t="str">
        <x:v>sale</x:v>
      </x:c>
      <x:c r="G1228" s="11" t="n">
        <x:v>60</x:v>
      </x:c>
      <x:c r="H1228" s="12" t="n">
        <x:v>3600000000</x:v>
      </x:c>
      <x:c r="I1228" s="12" t="n">
        <x:v>60000000</x:v>
      </x:c>
      <x:c r="J1228" s="2" t="str">
        <x:v>total</x:v>
      </x:c>
      <x:c r="K1228" s="2" t="str">
        <x:v>top_level_area</x:v>
      </x:c>
      <x:c r="L1228" s="2" t="str">
        <x:v>property_type_inferred_from_title</x:v>
      </x:c>
      <x:c r="M1228" s="10" t="n">
        <x:v>0</x:v>
      </x:c>
      <x:c r="N1228" s="10" t="n">
        <x:v>0</x:v>
      </x:c>
      <x:c r="O1228" s="2" t="str">
        <x:v>Tp Hồ Chí Minh|house</x:v>
      </x:c>
      <x:c r="P1228" s="10" t="n">
        <x:v>2</x:v>
      </x:c>
      <x:c r="Q1228" s="13" t="n">
        <x:f>IF(H1228="","",H1228/1000000000)</x:f>
        <x:v>3.6</x:v>
      </x:c>
      <x:c r="R1228" s="13" t="n">
        <x:f>IF(I1228="","",I1228/1000000)</x:f>
        <x:v>60</x:v>
      </x:c>
    </x:row>
    <x:row r="1229" ht="21" customHeight="1">
      <x:c r="A1229" s="10" t="n">
        <x:v>1790</x:v>
      </x:c>
      <x:c r="B1229" s="2" t="str">
        <x:v>1623ff7a60579049c42d</x:v>
      </x:c>
      <x:c r="C1229" s="2" t="str">
        <x:v>Đà Nẵng</x:v>
      </x:c>
      <x:c r="D1229" s="2" t="str">
        <x:v>Quận Liên Chiểu</x:v>
      </x:c>
      <x:c r="E1229" s="2" t="str">
        <x:v>land</x:v>
      </x:c>
      <x:c r="F1229" s="2" t="str">
        <x:v>sale_assumed</x:v>
      </x:c>
      <x:c r="G1229" s="11" t="n">
        <x:v>54</x:v>
      </x:c>
      <x:c r="H1229" s="12" t="n">
        <x:v>1040000000</x:v>
      </x:c>
      <x:c r="I1229" s="12" t="n">
        <x:v>19259259.259259257</x:v>
      </x:c>
      <x:c r="J1229" s="2" t="str">
        <x:v>total</x:v>
      </x:c>
      <x:c r="K1229" s="2" t="str">
        <x:v>top_level_area</x:v>
      </x:c>
      <x:c r="L1229" s="2" t="str">
        <x:v>property_type_inferred_from_title;transaction_assumed_sale_from_dataset_context</x:v>
      </x:c>
      <x:c r="M1229" s="10" t="n">
        <x:v>0</x:v>
      </x:c>
      <x:c r="N1229" s="10" t="n">
        <x:v>0</x:v>
      </x:c>
      <x:c r="O1229" s="2" t="str">
        <x:v>Đà Nẵng|land</x:v>
      </x:c>
      <x:c r="P1229" s="10" t="n">
        <x:v>2</x:v>
      </x:c>
      <x:c r="Q1229" s="13" t="n">
        <x:f>IF(H1229="","",H1229/1000000000)</x:f>
        <x:v>1.04</x:v>
      </x:c>
      <x:c r="R1229" s="13" t="n">
        <x:f>IF(I1229="","",I1229/1000000)</x:f>
        <x:v>19.259259259259256</x:v>
      </x:c>
    </x:row>
    <x:row r="1230" ht="21" customHeight="1">
      <x:c r="A1230" s="10" t="n">
        <x:v>1791</x:v>
      </x:c>
      <x:c r="B1230" s="2" t="str">
        <x:v>79d2d1b5e3b35b53923f</x:v>
      </x:c>
      <x:c r="C1230" s="2" t="str">
        <x:v>Tp Hồ Chí Minh</x:v>
      </x:c>
      <x:c r="D1230" s="2" t="str">
        <x:v>Quận 12</x:v>
      </x:c>
      <x:c r="E1230" s="2" t="str">
        <x:v>house</x:v>
      </x:c>
      <x:c r="F1230" s="2" t="str">
        <x:v>sale_assumed</x:v>
      </x:c>
      <x:c r="G1230" s="11" t="n">
        <x:v>80</x:v>
      </x:c>
      <x:c r="H1230" s="12" t="n">
        <x:v>1170000000</x:v>
      </x:c>
      <x:c r="I1230" s="12" t="n">
        <x:v>14625000</x:v>
      </x:c>
      <x:c r="J1230" s="2" t="str">
        <x:v>total</x:v>
      </x:c>
      <x:c r="K1230" s="2" t="str">
        <x:v>top_level_area</x:v>
      </x:c>
      <x:c r="L1230" s="2" t="str">
        <x:v>property_type_inferred_from_title;transaction_assumed_sale_from_dataset_context</x:v>
      </x:c>
      <x:c r="M1230" s="10" t="n">
        <x:v>0</x:v>
      </x:c>
      <x:c r="N1230" s="10" t="n">
        <x:v>0</x:v>
      </x:c>
      <x:c r="O1230" s="2" t="str">
        <x:v>Tp Hồ Chí Minh|house</x:v>
      </x:c>
      <x:c r="P1230" s="10" t="n">
        <x:v>2</x:v>
      </x:c>
      <x:c r="Q1230" s="13" t="n">
        <x:f>IF(H1230="","",H1230/1000000000)</x:f>
        <x:v>1.17</x:v>
      </x:c>
      <x:c r="R1230" s="13" t="n">
        <x:f>IF(I1230="","",I1230/1000000)</x:f>
        <x:v>14.625</x:v>
      </x:c>
    </x:row>
    <x:row r="1231" ht="21" customHeight="1">
      <x:c r="A1231" s="10" t="n">
        <x:v>1792</x:v>
      </x:c>
      <x:c r="B1231" s="2" t="str">
        <x:v>40b8902162f34c5f725e</x:v>
      </x:c>
      <x:c r="C1231" s="2" t="str">
        <x:v>Tp Hồ Chí Minh</x:v>
      </x:c>
      <x:c r="D1231" s="2" t="str">
        <x:v>Quận 12</x:v>
      </x:c>
      <x:c r="E1231" s="2" t="str">
        <x:v>house</x:v>
      </x:c>
      <x:c r="F1231" s="2" t="str">
        <x:v>sale_assumed</x:v>
      </x:c>
      <x:c r="G1231" s="11" t="n">
        <x:v>60</x:v>
      </x:c>
      <x:c r="H1231" s="12" t="n">
        <x:v>4300000000</x:v>
      </x:c>
      <x:c r="I1231" s="12" t="n">
        <x:v>71666666.66666667</x:v>
      </x:c>
      <x:c r="J1231" s="2" t="str">
        <x:v>total</x:v>
      </x:c>
      <x:c r="K1231" s="2" t="str">
        <x:v>top_level_area</x:v>
      </x:c>
      <x:c r="L1231" s="2" t="str">
        <x:v>property_type_inferred_from_title;transaction_assumed_sale_from_dataset_context</x:v>
      </x:c>
      <x:c r="M1231" s="10" t="n">
        <x:v>0</x:v>
      </x:c>
      <x:c r="N1231" s="10" t="n">
        <x:v>0</x:v>
      </x:c>
      <x:c r="O1231" s="2" t="str">
        <x:v>Tp Hồ Chí Minh|house</x:v>
      </x:c>
      <x:c r="P1231" s="10" t="n">
        <x:v>2</x:v>
      </x:c>
      <x:c r="Q1231" s="13" t="n">
        <x:f>IF(H1231="","",H1231/1000000000)</x:f>
        <x:v>4.3</x:v>
      </x:c>
      <x:c r="R1231" s="13" t="n">
        <x:f>IF(I1231="","",I1231/1000000)</x:f>
        <x:v>71.66666666666667</x:v>
      </x:c>
    </x:row>
    <x:row r="1232" ht="21" customHeight="1">
      <x:c r="A1232" s="10" t="n">
        <x:v>1793</x:v>
      </x:c>
      <x:c r="B1232" s="2" t="str">
        <x:v>adf159d38d8bb7730f99</x:v>
      </x:c>
      <x:c r="C1232" s="2" t="str">
        <x:v>Tp Hồ Chí Minh</x:v>
      </x:c>
      <x:c r="D1232" s="2" t="str">
        <x:v>Quận Gò Vấp</x:v>
      </x:c>
      <x:c r="E1232" s="2" t="str">
        <x:v>house</x:v>
      </x:c>
      <x:c r="F1232" s="2" t="str">
        <x:v>sale_assumed</x:v>
      </x:c>
      <x:c r="G1232" s="11" t="n">
        <x:v>29</x:v>
      </x:c>
      <x:c r="H1232" s="12" t="n">
        <x:v>2780000000</x:v>
      </x:c>
      <x:c r="I1232" s="12" t="n">
        <x:v>95862068.96551724</x:v>
      </x:c>
      <x:c r="J1232" s="2" t="str">
        <x:v>total</x:v>
      </x:c>
      <x:c r="K1232" s="2" t="str">
        <x:v>top_level_area</x:v>
      </x:c>
      <x:c r="L1232" s="2" t="str">
        <x:v>property_type_inferred_from_title;transaction_assumed_sale_from_dataset_context</x:v>
      </x:c>
      <x:c r="M1232" s="10" t="n">
        <x:v>0</x:v>
      </x:c>
      <x:c r="N1232" s="10" t="n">
        <x:v>0</x:v>
      </x:c>
      <x:c r="O1232" s="2" t="str">
        <x:v>Tp Hồ Chí Minh|house</x:v>
      </x:c>
      <x:c r="P1232" s="10" t="n">
        <x:v>2</x:v>
      </x:c>
      <x:c r="Q1232" s="13" t="n">
        <x:f>IF(H1232="","",H1232/1000000000)</x:f>
        <x:v>2.78</x:v>
      </x:c>
      <x:c r="R1232" s="13" t="n">
        <x:f>IF(I1232="","",I1232/1000000)</x:f>
        <x:v>95.86206896551724</x:v>
      </x:c>
    </x:row>
    <x:row r="1233" ht="21" customHeight="1">
      <x:c r="A1233" s="10" t="n">
        <x:v>1794</x:v>
      </x:c>
      <x:c r="B1233" s="2" t="str">
        <x:v>8b3d358e8737237f669a</x:v>
      </x:c>
      <x:c r="C1233" s="2" t="str">
        <x:v>Lâm Đồng</x:v>
      </x:c>
      <x:c r="D1233" s="2" t="str">
        <x:v>Thành phố Bảo Lộc</x:v>
      </x:c>
      <x:c r="E1233" s="2" t="str">
        <x:v>land</x:v>
      </x:c>
      <x:c r="F1233" s="2" t="str">
        <x:v>sale</x:v>
      </x:c>
      <x:c r="G1233" s="11" t="n">
        <x:v>280</x:v>
      </x:c>
      <x:c r="H1233" s="12" t="n">
        <x:v>1570000000</x:v>
      </x:c>
      <x:c r="I1233" s="12" t="n">
        <x:v>5607142.857142857</x:v>
      </x:c>
      <x:c r="J1233" s="2" t="str">
        <x:v>total</x:v>
      </x:c>
      <x:c r="K1233" s="2" t="str">
        <x:v>top_level_price_embedded_area</x:v>
      </x:c>
      <x:c r="L1233" s="2" t="str">
        <x:v>area_recovered_from_price_text;property_type_inferred_from_title</x:v>
      </x:c>
      <x:c r="M1233" s="10" t="n">
        <x:v>0</x:v>
      </x:c>
      <x:c r="N1233" s="10" t="n">
        <x:v>0</x:v>
      </x:c>
      <x:c r="O1233" s="2" t="str">
        <x:v>Lâm Đồng|land</x:v>
      </x:c>
      <x:c r="P1233" s="10" t="n">
        <x:v>1</x:v>
      </x:c>
      <x:c r="Q1233" s="13" t="n">
        <x:f>IF(H1233="","",H1233/1000000000)</x:f>
        <x:v>1.57</x:v>
      </x:c>
      <x:c r="R1233" s="13" t="n">
        <x:f>IF(I1233="","",I1233/1000000)</x:f>
        <x:v>5.607142857142858</x:v>
      </x:c>
    </x:row>
    <x:row r="1234" ht="21" customHeight="1">
      <x:c r="A1234" s="10" t="n">
        <x:v>1796</x:v>
      </x:c>
      <x:c r="B1234" s="2" t="str">
        <x:v>17416cb7dd854eb3c346</x:v>
      </x:c>
      <x:c r="C1234" s="2" t="str">
        <x:v>Bình Dương</x:v>
      </x:c>
      <x:c r="D1234" s="2" t="str">
        <x:v>Huyện Bàu Bàng</x:v>
      </x:c>
      <x:c r="E1234" s="2" t="str">
        <x:v>other_unknown</x:v>
      </x:c>
      <x:c r="F1234" s="2" t="str">
        <x:v>sale_assumed</x:v>
      </x:c>
      <x:c r="G1234" s="11" t="n">
        <x:v>1000</x:v>
      </x:c>
      <x:c r="H1234" s="12" t="n">
        <x:v>340000000</x:v>
      </x:c>
      <x:c r="I1234" s="12" t="n">
        <x:v>340000</x:v>
      </x:c>
      <x:c r="J1234" s="2" t="str">
        <x:v>total</x:v>
      </x:c>
      <x:c r="K1234" s="2" t="str">
        <x:v>top_level_area</x:v>
      </x:c>
      <x:c r="L1234" s="2" t="str">
        <x:v>dot_thousands_convention;property_type_inferred_from_title;transaction_assumed_sale_from_dataset_context;unknown_property_type</x:v>
      </x:c>
      <x:c r="M1234" s="10" t="n">
        <x:v>0</x:v>
      </x:c>
      <x:c r="N1234" s="10" t="n">
        <x:v>0</x:v>
      </x:c>
      <x:c r="O1234" s="2" t="str">
        <x:v>Bình Dương|other_unknown</x:v>
      </x:c>
      <x:c r="P1234" s="10" t="n">
        <x:v>1</x:v>
      </x:c>
      <x:c r="Q1234" s="13" t="n">
        <x:f>IF(H1234="","",H1234/1000000000)</x:f>
        <x:v>0.34</x:v>
      </x:c>
      <x:c r="R1234" s="13" t="n">
        <x:f>IF(I1234="","",I1234/1000000)</x:f>
        <x:v>0.34</x:v>
      </x:c>
    </x:row>
    <x:row r="1235" ht="21" customHeight="1">
      <x:c r="A1235" s="10" t="n">
        <x:v>1797</x:v>
      </x:c>
      <x:c r="B1235" s="2" t="str">
        <x:v>0677b2e7846b85b9068c</x:v>
      </x:c>
      <x:c r="C1235" s="2" t="str">
        <x:v>Đà Nẵng</x:v>
      </x:c>
      <x:c r="D1235" s="2" t="str">
        <x:v>Quận Sơn Trà</x:v>
      </x:c>
      <x:c r="E1235" s="2" t="str">
        <x:v>house</x:v>
      </x:c>
      <x:c r="F1235" s="2" t="str">
        <x:v>sale</x:v>
      </x:c>
      <x:c r="G1235" s="11" t="n">
        <x:v>84.4</x:v>
      </x:c>
      <x:c r="H1235" s="12" t="n">
        <x:v>5400000000</x:v>
      </x:c>
      <x:c r="I1235" s="12" t="n">
        <x:v>63981042.65402843</x:v>
      </x:c>
      <x:c r="J1235" s="2" t="str">
        <x:v>total</x:v>
      </x:c>
      <x:c r="K1235" s="2" t="str">
        <x:v>top_level_area</x:v>
      </x:c>
      <x:c r="L1235" s="2" t="str">
        <x:v>property_type_inferred_from_title</x:v>
      </x:c>
      <x:c r="M1235" s="10" t="n">
        <x:v>0</x:v>
      </x:c>
      <x:c r="N1235" s="10" t="n">
        <x:v>0</x:v>
      </x:c>
      <x:c r="O1235" s="2" t="str">
        <x:v>Đà Nẵng|house</x:v>
      </x:c>
      <x:c r="P1235" s="10" t="n">
        <x:v>2</x:v>
      </x:c>
      <x:c r="Q1235" s="13" t="n">
        <x:f>IF(H1235="","",H1235/1000000000)</x:f>
        <x:v>5.4</x:v>
      </x:c>
      <x:c r="R1235" s="13" t="n">
        <x:f>IF(I1235="","",I1235/1000000)</x:f>
        <x:v>63.98104265402843</x:v>
      </x:c>
    </x:row>
    <x:row r="1236" ht="21" customHeight="1">
      <x:c r="A1236" s="10" t="n">
        <x:v>1798</x:v>
      </x:c>
      <x:c r="B1236" s="2" t="str">
        <x:v>6264beae9c0a9e0df6e6</x:v>
      </x:c>
      <x:c r="C1236" s="2" t="str">
        <x:v>Lâm Đồng</x:v>
      </x:c>
      <x:c r="D1236" s="2" t="str">
        <x:v>Thành phố Bảo Lộc</x:v>
      </x:c>
      <x:c r="E1236" s="2" t="str">
        <x:v>land</x:v>
      </x:c>
      <x:c r="F1236" s="2" t="str">
        <x:v>sale_assumed</x:v>
      </x:c>
      <x:c r="G1236" s="11" t="n">
        <x:v>190</x:v>
      </x:c>
      <x:c r="H1236" s="12" t="n">
        <x:v>1299000000</x:v>
      </x:c>
      <x:c r="I1236" s="12" t="n">
        <x:v>6836842.105263158</x:v>
      </x:c>
      <x:c r="J1236" s="2" t="str">
        <x:v>total</x:v>
      </x:c>
      <x:c r="K1236" s="2" t="str">
        <x:v>top_level_area</x:v>
      </x:c>
      <x:c r="L1236" s="2" t="str">
        <x:v>property_type_inferred_from_title;transaction_assumed_sale_from_dataset_context</x:v>
      </x:c>
      <x:c r="M1236" s="10" t="n">
        <x:v>0</x:v>
      </x:c>
      <x:c r="N1236" s="10" t="n">
        <x:v>0</x:v>
      </x:c>
      <x:c r="O1236" s="2" t="str">
        <x:v>Lâm Đồng|land</x:v>
      </x:c>
      <x:c r="P1236" s="10" t="n">
        <x:v>2</x:v>
      </x:c>
      <x:c r="Q1236" s="13" t="n">
        <x:f>IF(H1236="","",H1236/1000000000)</x:f>
        <x:v>1.299</x:v>
      </x:c>
      <x:c r="R1236" s="13" t="n">
        <x:f>IF(I1236="","",I1236/1000000)</x:f>
        <x:v>6.836842105263158</x:v>
      </x:c>
    </x:row>
    <x:row r="1237" ht="21" customHeight="1">
      <x:c r="A1237" s="10" t="n">
        <x:v>1799</x:v>
      </x:c>
      <x:c r="B1237" s="2" t="str">
        <x:v>1016a5f2ab73024aed22</x:v>
      </x:c>
      <x:c r="C1237" s="2" t="str">
        <x:v>Tp Hồ Chí Minh</x:v>
      </x:c>
      <x:c r="D1237" s="2" t="str">
        <x:v>Quận Gò Vấp</x:v>
      </x:c>
      <x:c r="E1237" s="2" t="str">
        <x:v>house</x:v>
      </x:c>
      <x:c r="F1237" s="2" t="str">
        <x:v>sale</x:v>
      </x:c>
      <x:c r="G1237" s="11" t="n">
        <x:v>57</x:v>
      </x:c>
      <x:c r="H1237" s="12" t="n">
        <x:v>4450000000</x:v>
      </x:c>
      <x:c r="I1237" s="12" t="n">
        <x:v>78070175.43859649</x:v>
      </x:c>
      <x:c r="J1237" s="2" t="str">
        <x:v>total</x:v>
      </x:c>
      <x:c r="K1237" s="2" t="str">
        <x:v>top_level_area</x:v>
      </x:c>
      <x:c r="L1237" s="2" t="str">
        <x:v>property_type_inferred_from_title</x:v>
      </x:c>
      <x:c r="M1237" s="10" t="n">
        <x:v>0</x:v>
      </x:c>
      <x:c r="N1237" s="10" t="n">
        <x:v>0</x:v>
      </x:c>
      <x:c r="O1237" s="2" t="str">
        <x:v>Tp Hồ Chí Minh|house</x:v>
      </x:c>
      <x:c r="P1237" s="10" t="n">
        <x:v>2</x:v>
      </x:c>
      <x:c r="Q1237" s="13" t="n">
        <x:f>IF(H1237="","",H1237/1000000000)</x:f>
        <x:v>4.45</x:v>
      </x:c>
      <x:c r="R1237" s="13" t="n">
        <x:f>IF(I1237="","",I1237/1000000)</x:f>
        <x:v>78.0701754385965</x:v>
      </x:c>
    </x:row>
    <x:row r="1238" ht="21" customHeight="1">
      <x:c r="A1238" s="10" t="n">
        <x:v>1800</x:v>
      </x:c>
      <x:c r="B1238" s="2" t="str">
        <x:v>ca3bbebcde4ea47026b7</x:v>
      </x:c>
      <x:c r="C1238" s="2" t="str">
        <x:v>Tp Hồ Chí Minh</x:v>
      </x:c>
      <x:c r="D1238" s="2" t="str">
        <x:v>Huyện Hóc Môn</x:v>
      </x:c>
      <x:c r="E1238" s="2" t="str">
        <x:v>other_unknown</x:v>
      </x:c>
      <x:c r="F1238" s="2" t="str">
        <x:v>sale_assumed</x:v>
      </x:c>
      <x:c r="G1238" s="11" t="n">
        <x:v>99</x:v>
      </x:c>
      <x:c r="H1238" s="12" t="n">
        <x:v>2250000000</x:v>
      </x:c>
      <x:c r="I1238" s="12" t="n">
        <x:v>22727272.727272727</x:v>
      </x:c>
      <x:c r="J1238" s="2" t="str">
        <x:v>total</x:v>
      </x:c>
      <x:c r="K1238" s="2" t="str">
        <x:v>top_level_price_embedded_area</x:v>
      </x:c>
      <x:c r="L1238" s="2" t="str">
        <x:v>area_recovered_from_price_text;property_type_inferred_from_title;transaction_assumed_sale_from_dataset_context;unknown_property_type</x:v>
      </x:c>
      <x:c r="M1238" s="10" t="n">
        <x:v>0</x:v>
      </x:c>
      <x:c r="N1238" s="10" t="n">
        <x:v>0</x:v>
      </x:c>
      <x:c r="O1238" s="2" t="str">
        <x:v>Tp Hồ Chí Minh|other_unknown</x:v>
      </x:c>
      <x:c r="P1238" s="10" t="n">
        <x:v>2</x:v>
      </x:c>
      <x:c r="Q1238" s="13" t="n">
        <x:f>IF(H1238="","",H1238/1000000000)</x:f>
        <x:v>2.25</x:v>
      </x:c>
      <x:c r="R1238" s="13" t="n">
        <x:f>IF(I1238="","",I1238/1000000)</x:f>
        <x:v>22.727272727272727</x:v>
      </x:c>
    </x:row>
    <x:row r="1239" ht="21" customHeight="1">
      <x:c r="A1239" s="10" t="n">
        <x:v>1801</x:v>
      </x:c>
      <x:c r="B1239" s="2" t="str">
        <x:v>7c841fee750f31cc4d65</x:v>
      </x:c>
      <x:c r="C1239" s="2" t="str">
        <x:v>Tp Hồ Chí Minh</x:v>
      </x:c>
      <x:c r="D1239" s="2" t="str">
        <x:v>Quận Bình Tân</x:v>
      </x:c>
      <x:c r="E1239" s="2" t="str">
        <x:v>house</x:v>
      </x:c>
      <x:c r="F1239" s="2" t="str">
        <x:v>sale</x:v>
      </x:c>
      <x:c r="G1239" s="11" t="n">
        <x:v>56</x:v>
      </x:c>
      <x:c r="H1239" s="12" t="n">
        <x:v>2750000000</x:v>
      </x:c>
      <x:c r="I1239" s="12" t="n">
        <x:v>49107142.85714286</x:v>
      </x:c>
      <x:c r="J1239" s="2" t="str">
        <x:v>total</x:v>
      </x:c>
      <x:c r="K1239" s="2" t="str">
        <x:v>top_level_area</x:v>
      </x:c>
      <x:c r="L1239" s="2" t="str">
        <x:v>property_type_inferred_from_title</x:v>
      </x:c>
      <x:c r="M1239" s="10" t="n">
        <x:v>0</x:v>
      </x:c>
      <x:c r="N1239" s="10" t="n">
        <x:v>0</x:v>
      </x:c>
      <x:c r="O1239" s="2" t="str">
        <x:v>Tp Hồ Chí Minh|house</x:v>
      </x:c>
      <x:c r="P1239" s="10" t="n">
        <x:v>2</x:v>
      </x:c>
      <x:c r="Q1239" s="13" t="n">
        <x:f>IF(H1239="","",H1239/1000000000)</x:f>
        <x:v>2.75</x:v>
      </x:c>
      <x:c r="R1239" s="13" t="n">
        <x:f>IF(I1239="","",I1239/1000000)</x:f>
        <x:v>49.10714285714286</x:v>
      </x:c>
    </x:row>
    <x:row r="1240" ht="21" customHeight="1">
      <x:c r="A1240" s="10" t="n">
        <x:v>1802</x:v>
      </x:c>
      <x:c r="B1240" s="2" t="str">
        <x:v>9b9c98cd91e147e3d6b6</x:v>
      </x:c>
      <x:c r="C1240" s="2" t="str">
        <x:v>Tp Hồ Chí Minh</x:v>
      </x:c>
      <x:c r="D1240" s="2" t="str">
        <x:v>Quận 7</x:v>
      </x:c>
      <x:c r="E1240" s="2" t="str">
        <x:v>house</x:v>
      </x:c>
      <x:c r="F1240" s="2" t="str">
        <x:v>sale_assumed</x:v>
      </x:c>
      <x:c r="G1240" s="11" t="n">
        <x:v>62</x:v>
      </x:c>
      <x:c r="H1240" s="12" t="n">
        <x:v>6500000000</x:v>
      </x:c>
      <x:c r="I1240" s="12" t="n">
        <x:v>104838709.67741935</x:v>
      </x:c>
      <x:c r="J1240" s="2" t="str">
        <x:v>total</x:v>
      </x:c>
      <x:c r="K1240" s="2" t="str">
        <x:v>top_level_area</x:v>
      </x:c>
      <x:c r="L1240" s="2" t="str">
        <x:v>property_type_inferred_from_title;transaction_assumed_sale_from_dataset_context</x:v>
      </x:c>
      <x:c r="M1240" s="10" t="n">
        <x:v>0</x:v>
      </x:c>
      <x:c r="N1240" s="10" t="n">
        <x:v>0</x:v>
      </x:c>
      <x:c r="O1240" s="2" t="str">
        <x:v>Tp Hồ Chí Minh|house</x:v>
      </x:c>
      <x:c r="P1240" s="10" t="n">
        <x:v>2</x:v>
      </x:c>
      <x:c r="Q1240" s="13" t="n">
        <x:f>IF(H1240="","",H1240/1000000000)</x:f>
        <x:v>6.5</x:v>
      </x:c>
      <x:c r="R1240" s="13" t="n">
        <x:f>IF(I1240="","",I1240/1000000)</x:f>
        <x:v>104.83870967741935</x:v>
      </x:c>
    </x:row>
    <x:row r="1241" ht="21" customHeight="1">
      <x:c r="A1241" s="10" t="n">
        <x:v>1803</x:v>
      </x:c>
      <x:c r="B1241" s="2" t="str">
        <x:v>36531fba084ce77b9f70</x:v>
      </x:c>
      <x:c r="C1241" s="2" t="str">
        <x:v>Tp Hồ Chí Minh</x:v>
      </x:c>
      <x:c r="D1241" s="2" t="str">
        <x:v>Huyện Bình Chánh</x:v>
      </x:c>
      <x:c r="E1241" s="2" t="str">
        <x:v>house</x:v>
      </x:c>
      <x:c r="F1241" s="2" t="str">
        <x:v>sale_assumed</x:v>
      </x:c>
      <x:c r="G1241" s="11" t="n">
        <x:v>72</x:v>
      </x:c>
      <x:c r="H1241" s="12" t="n">
        <x:v>1280000000</x:v>
      </x:c>
      <x:c r="I1241" s="12" t="n">
        <x:v>17777777.777777776</x:v>
      </x:c>
      <x:c r="J1241" s="2" t="str">
        <x:v>total</x:v>
      </x:c>
      <x:c r="K1241" s="2" t="str">
        <x:v>top_level_area</x:v>
      </x:c>
      <x:c r="L1241" s="2" t="str">
        <x:v>property_type_inferred_from_title;transaction_assumed_sale_from_dataset_context</x:v>
      </x:c>
      <x:c r="M1241" s="10" t="n">
        <x:v>0</x:v>
      </x:c>
      <x:c r="N1241" s="10" t="n">
        <x:v>0</x:v>
      </x:c>
      <x:c r="O1241" s="2" t="str">
        <x:v>Tp Hồ Chí Minh|house</x:v>
      </x:c>
      <x:c r="P1241" s="10" t="n">
        <x:v>2</x:v>
      </x:c>
      <x:c r="Q1241" s="13" t="n">
        <x:f>IF(H1241="","",H1241/1000000000)</x:f>
        <x:v>1.28</x:v>
      </x:c>
      <x:c r="R1241" s="13" t="n">
        <x:f>IF(I1241="","",I1241/1000000)</x:f>
        <x:v>17.777777777777775</x:v>
      </x:c>
    </x:row>
    <x:row r="1242" ht="21" customHeight="1">
      <x:c r="A1242" s="10" t="n">
        <x:v>1804</x:v>
      </x:c>
      <x:c r="B1242" s="2" t="str">
        <x:v>db9c0d762180687abfdf</x:v>
      </x:c>
      <x:c r="C1242" s="2" t="str">
        <x:v>Tp Hồ Chí Minh</x:v>
      </x:c>
      <x:c r="D1242" s="2" t="str">
        <x:v>Quận 7</x:v>
      </x:c>
      <x:c r="E1242" s="2" t="str">
        <x:v>house</x:v>
      </x:c>
      <x:c r="F1242" s="2" t="str">
        <x:v>sale</x:v>
      </x:c>
      <x:c r="G1242" s="11" t="n">
        <x:v>18</x:v>
      </x:c>
      <x:c r="H1242" s="12" t="n">
        <x:v>1550000000</x:v>
      </x:c>
      <x:c r="I1242" s="12" t="n">
        <x:v>86111111.1111111</x:v>
      </x:c>
      <x:c r="J1242" s="2" t="str">
        <x:v>total</x:v>
      </x:c>
      <x:c r="K1242" s="2" t="str">
        <x:v>top_level_area</x:v>
      </x:c>
      <x:c r="L1242" s="2" t="str">
        <x:v>property_type_inferred_from_title</x:v>
      </x:c>
      <x:c r="M1242" s="10" t="n">
        <x:v>0</x:v>
      </x:c>
      <x:c r="N1242" s="10" t="n">
        <x:v>0</x:v>
      </x:c>
      <x:c r="O1242" s="2" t="str">
        <x:v>Tp Hồ Chí Minh|house</x:v>
      </x:c>
      <x:c r="P1242" s="10" t="n">
        <x:v>2</x:v>
      </x:c>
      <x:c r="Q1242" s="13" t="n">
        <x:f>IF(H1242="","",H1242/1000000000)</x:f>
        <x:v>1.55</x:v>
      </x:c>
      <x:c r="R1242" s="13" t="n">
        <x:f>IF(I1242="","",I1242/1000000)</x:f>
        <x:v>86.1111111111111</x:v>
      </x:c>
    </x:row>
    <x:row r="1243" ht="21" customHeight="1">
      <x:c r="A1243" s="10" t="n">
        <x:v>1805</x:v>
      </x:c>
      <x:c r="B1243" s="2" t="str">
        <x:v>15e92ace67415564eb12</x:v>
      </x:c>
      <x:c r="C1243" s="2" t="str">
        <x:v>Hà Nội</x:v>
      </x:c>
      <x:c r="D1243" s="2" t="str">
        <x:v>Quận Hoàng Mai</x:v>
      </x:c>
      <x:c r="E1243" s="2" t="str">
        <x:v>other_unknown</x:v>
      </x:c>
      <x:c r="F1243" s="2" t="str">
        <x:v>sale_assumed</x:v>
      </x:c>
      <x:c r="G1243" s="11" t="n">
        <x:v>32</x:v>
      </x:c>
      <x:c r="H1243" s="12" t="n">
        <x:v>2000000000</x:v>
      </x:c>
      <x:c r="I1243" s="12" t="n">
        <x:v>62500000</x:v>
      </x:c>
      <x:c r="J1243" s="2" t="str">
        <x:v>total</x:v>
      </x:c>
      <x:c r="K1243" s="2" t="str">
        <x:v>top_level_area</x:v>
      </x:c>
      <x:c r="L1243" s="2" t="str">
        <x:v>property_type_inferred_from_title;transaction_assumed_sale_from_dataset_context;unknown_property_type</x:v>
      </x:c>
      <x:c r="M1243" s="10" t="n">
        <x:v>0</x:v>
      </x:c>
      <x:c r="N1243" s="10" t="n">
        <x:v>0</x:v>
      </x:c>
      <x:c r="O1243" s="2" t="str">
        <x:v>Hà Nội|other_unknown</x:v>
      </x:c>
      <x:c r="P1243" s="10" t="n">
        <x:v>2</x:v>
      </x:c>
      <x:c r="Q1243" s="13" t="n">
        <x:f>IF(H1243="","",H1243/1000000000)</x:f>
        <x:v>2</x:v>
      </x:c>
      <x:c r="R1243" s="13" t="n">
        <x:f>IF(I1243="","",I1243/1000000)</x:f>
        <x:v>62.5</x:v>
      </x:c>
    </x:row>
    <x:row r="1244" ht="21" customHeight="1">
      <x:c r="A1244" s="10" t="n">
        <x:v>1806</x:v>
      </x:c>
      <x:c r="B1244" s="2" t="str">
        <x:v>cea03da2f84a140cde90</x:v>
      </x:c>
      <x:c r="C1244" s="2" t="str">
        <x:v>Tp Hồ Chí Minh</x:v>
      </x:c>
      <x:c r="D1244" s="2" t="str">
        <x:v>Quận Thủ Đức</x:v>
      </x:c>
      <x:c r="E1244" s="2" t="str">
        <x:v>house</x:v>
      </x:c>
      <x:c r="F1244" s="2" t="str">
        <x:v>sale_assumed</x:v>
      </x:c>
      <x:c r="G1244" s="11" t="n">
        <x:v>145</x:v>
      </x:c>
      <x:c r="H1244" s="12" t="n">
        <x:v>1110000000</x:v>
      </x:c>
      <x:c r="I1244" s="12" t="n">
        <x:v>7655172.413793104</x:v>
      </x:c>
      <x:c r="J1244" s="2" t="str">
        <x:v>total</x:v>
      </x:c>
      <x:c r="K1244" s="2" t="str">
        <x:v>top_level_area</x:v>
      </x:c>
      <x:c r="L1244" s="2" t="str">
        <x:v>property_type_inferred_from_title;transaction_assumed_sale_from_dataset_context</x:v>
      </x:c>
      <x:c r="M1244" s="10" t="n">
        <x:v>0</x:v>
      </x:c>
      <x:c r="N1244" s="10" t="n">
        <x:v>0</x:v>
      </x:c>
      <x:c r="O1244" s="2" t="str">
        <x:v>Tp Hồ Chí Minh|house</x:v>
      </x:c>
      <x:c r="P1244" s="10" t="n">
        <x:v>2</x:v>
      </x:c>
      <x:c r="Q1244" s="13" t="n">
        <x:f>IF(H1244="","",H1244/1000000000)</x:f>
        <x:v>1.11</x:v>
      </x:c>
      <x:c r="R1244" s="13" t="n">
        <x:f>IF(I1244="","",I1244/1000000)</x:f>
        <x:v>7.655172413793104</x:v>
      </x:c>
    </x:row>
    <x:row r="1245" ht="21" customHeight="1">
      <x:c r="A1245" s="10" t="n">
        <x:v>1807</x:v>
      </x:c>
      <x:c r="B1245" s="2" t="str">
        <x:v>4322f2124c6355732aac</x:v>
      </x:c>
      <x:c r="C1245" s="2" t="str">
        <x:v>Hà Nội</x:v>
      </x:c>
      <x:c r="D1245" s="2" t="str">
        <x:v>Quận Hà Đông</x:v>
      </x:c>
      <x:c r="E1245" s="2" t="str">
        <x:v>house</x:v>
      </x:c>
      <x:c r="F1245" s="2" t="str">
        <x:v>sale</x:v>
      </x:c>
      <x:c r="G1245" s="11" t="n">
        <x:v>50</x:v>
      </x:c>
      <x:c r="H1245" s="12" t="n">
        <x:v>6500000000</x:v>
      </x:c>
      <x:c r="I1245" s="12" t="n">
        <x:v>130000000</x:v>
      </x:c>
      <x:c r="J1245" s="2" t="str">
        <x:v>total</x:v>
      </x:c>
      <x:c r="K1245" s="2" t="str">
        <x:v>top_level_area</x:v>
      </x:c>
      <x:c r="L1245" s="2" t="str">
        <x:v>property_type_inferred_from_title</x:v>
      </x:c>
      <x:c r="M1245" s="10" t="n">
        <x:v>0</x:v>
      </x:c>
      <x:c r="N1245" s="10" t="n">
        <x:v>0</x:v>
      </x:c>
      <x:c r="O1245" s="2" t="str">
        <x:v>Hà Nội|house</x:v>
      </x:c>
      <x:c r="P1245" s="10" t="n">
        <x:v>2</x:v>
      </x:c>
      <x:c r="Q1245" s="13" t="n">
        <x:f>IF(H1245="","",H1245/1000000000)</x:f>
        <x:v>6.5</x:v>
      </x:c>
      <x:c r="R1245" s="13" t="n">
        <x:f>IF(I1245="","",I1245/1000000)</x:f>
        <x:v>130</x:v>
      </x:c>
    </x:row>
    <x:row r="1246" ht="21" customHeight="1">
      <x:c r="A1246" s="10" t="n">
        <x:v>1808</x:v>
      </x:c>
      <x:c r="B1246" s="2" t="str">
        <x:v>2bc776669058d3b0130b</x:v>
      </x:c>
      <x:c r="C1246" s="2" t="str">
        <x:v>Đà Nẵng</x:v>
      </x:c>
      <x:c r="D1246" s="2" t="str">
        <x:v>Quận Ngũ Hành Sơn</x:v>
      </x:c>
      <x:c r="E1246" s="2" t="str">
        <x:v>house</x:v>
      </x:c>
      <x:c r="F1246" s="2" t="str">
        <x:v>sale_assumed</x:v>
      </x:c>
      <x:c r="G1246" s="11" t="n">
        <x:v>100</x:v>
      </x:c>
      <x:c r="H1246" s="12" t="n">
        <x:v>4700000000</x:v>
      </x:c>
      <x:c r="I1246" s="12" t="n">
        <x:v>47000000</x:v>
      </x:c>
      <x:c r="J1246" s="2" t="str">
        <x:v>total</x:v>
      </x:c>
      <x:c r="K1246" s="2" t="str">
        <x:v>top_level_area</x:v>
      </x:c>
      <x:c r="L1246" s="2" t="str">
        <x:v>property_type_inferred_from_title;transaction_assumed_sale_from_dataset_context</x:v>
      </x:c>
      <x:c r="M1246" s="10" t="n">
        <x:v>0</x:v>
      </x:c>
      <x:c r="N1246" s="10" t="n">
        <x:v>0</x:v>
      </x:c>
      <x:c r="O1246" s="2" t="str">
        <x:v>Đà Nẵng|house</x:v>
      </x:c>
      <x:c r="P1246" s="10" t="n">
        <x:v>2</x:v>
      </x:c>
      <x:c r="Q1246" s="13" t="n">
        <x:f>IF(H1246="","",H1246/1000000000)</x:f>
        <x:v>4.7</x:v>
      </x:c>
      <x:c r="R1246" s="13" t="n">
        <x:f>IF(I1246="","",I1246/1000000)</x:f>
        <x:v>47</x:v>
      </x:c>
    </x:row>
    <x:row r="1247" ht="21" customHeight="1">
      <x:c r="A1247" s="10" t="n">
        <x:v>1809</x:v>
      </x:c>
      <x:c r="B1247" s="2" t="str">
        <x:v>8f545d6e37ff710c08a4</x:v>
      </x:c>
      <x:c r="C1247" s="2" t="str">
        <x:v>Tp Hồ Chí Minh</x:v>
      </x:c>
      <x:c r="D1247" s="2" t="str">
        <x:v>Huyện Bình Chánh</x:v>
      </x:c>
      <x:c r="E1247" s="2" t="str">
        <x:v>house</x:v>
      </x:c>
      <x:c r="F1247" s="2" t="str">
        <x:v>sale</x:v>
      </x:c>
      <x:c r="G1247" s="11" t="n">
        <x:v>80</x:v>
      </x:c>
      <x:c r="H1247" s="12" t="n">
        <x:v>950000000</x:v>
      </x:c>
      <x:c r="I1247" s="12" t="n">
        <x:v>11875000</x:v>
      </x:c>
      <x:c r="J1247" s="2" t="str">
        <x:v>total</x:v>
      </x:c>
      <x:c r="K1247" s="2" t="str">
        <x:v>top_level_area</x:v>
      </x:c>
      <x:c r="L1247" s="2" t="str">
        <x:v>property_type_inferred_from_title</x:v>
      </x:c>
      <x:c r="M1247" s="10" t="n">
        <x:v>0</x:v>
      </x:c>
      <x:c r="N1247" s="10" t="n">
        <x:v>0</x:v>
      </x:c>
      <x:c r="O1247" s="2" t="str">
        <x:v>Tp Hồ Chí Minh|house</x:v>
      </x:c>
      <x:c r="P1247" s="10" t="n">
        <x:v>2</x:v>
      </x:c>
      <x:c r="Q1247" s="13" t="n">
        <x:f>IF(H1247="","",H1247/1000000000)</x:f>
        <x:v>0.95</x:v>
      </x:c>
      <x:c r="R1247" s="13" t="n">
        <x:f>IF(I1247="","",I1247/1000000)</x:f>
        <x:v>11.875</x:v>
      </x:c>
    </x:row>
    <x:row r="1248" ht="21" customHeight="1">
      <x:c r="A1248" s="10" t="n">
        <x:v>1810</x:v>
      </x:c>
      <x:c r="B1248" s="2" t="str">
        <x:v>d82cb1523d7161146947</x:v>
      </x:c>
      <x:c r="C1248" s="2" t="str">
        <x:v>Đồng Nai</x:v>
      </x:c>
      <x:c r="D1248" s="2" t="str">
        <x:v>Huyện Cẩm Mỹ</x:v>
      </x:c>
      <x:c r="E1248" s="2" t="str">
        <x:v>land</x:v>
      </x:c>
      <x:c r="F1248" s="2" t="str">
        <x:v>sale</x:v>
      </x:c>
      <x:c r="G1248" s="11" t="n">
        <x:v>20814</x:v>
      </x:c>
      <x:c r="H1248" s="12" t="n">
        <x:v>26000000000</x:v>
      </x:c>
      <x:c r="I1248" s="12" t="n">
        <x:v>1249159.2197559336</x:v>
      </x:c>
      <x:c r="J1248" s="2" t="str">
        <x:v>total</x:v>
      </x:c>
      <x:c r="K1248" s="2" t="str">
        <x:v>top_level_area</x:v>
      </x:c>
      <x:c r="L1248" s="2" t="str">
        <x:v>dot_thousands_convention;property_type_inferred_from_title</x:v>
      </x:c>
      <x:c r="M1248" s="10" t="n">
        <x:v>0</x:v>
      </x:c>
      <x:c r="N1248" s="10" t="n">
        <x:v>0</x:v>
      </x:c>
      <x:c r="O1248" s="2" t="str">
        <x:v>Đồng Nai|land</x:v>
      </x:c>
      <x:c r="P1248" s="10" t="n">
        <x:v>1</x:v>
      </x:c>
      <x:c r="Q1248" s="13" t="n">
        <x:f>IF(H1248="","",H1248/1000000000)</x:f>
        <x:v>26</x:v>
      </x:c>
      <x:c r="R1248" s="13" t="n">
        <x:f>IF(I1248="","",I1248/1000000)</x:f>
        <x:v>1.2491592197559336</x:v>
      </x:c>
    </x:row>
    <x:row r="1249" ht="21" customHeight="1">
      <x:c r="A1249" s="10" t="n">
        <x:v>1811</x:v>
      </x:c>
      <x:c r="B1249" s="2" t="str">
        <x:v>e0da8be80d2d4d1cb42d</x:v>
      </x:c>
      <x:c r="C1249" s="2" t="str">
        <x:v>Tp Hồ Chí Minh</x:v>
      </x:c>
      <x:c r="D1249" s="2" t="str">
        <x:v>Quận Thủ Đức</x:v>
      </x:c>
      <x:c r="E1249" s="2" t="str">
        <x:v>house</x:v>
      </x:c>
      <x:c r="F1249" s="2" t="str">
        <x:v>sale</x:v>
      </x:c>
      <x:c r="G1249" s="11" t="n">
        <x:v>70</x:v>
      </x:c>
      <x:c r="H1249" s="12" t="n">
        <x:v>7000000000</x:v>
      </x:c>
      <x:c r="I1249" s="12" t="n">
        <x:v>100000000</x:v>
      </x:c>
      <x:c r="J1249" s="2" t="str">
        <x:v>total</x:v>
      </x:c>
      <x:c r="K1249" s="2" t="str">
        <x:v>top_level_area</x:v>
      </x:c>
      <x:c r="L1249" s="2" t="str">
        <x:v>property_type_inferred_from_title</x:v>
      </x:c>
      <x:c r="M1249" s="10" t="n">
        <x:v>0</x:v>
      </x:c>
      <x:c r="N1249" s="10" t="n">
        <x:v>0</x:v>
      </x:c>
      <x:c r="O1249" s="2" t="str">
        <x:v>Tp Hồ Chí Minh|house</x:v>
      </x:c>
      <x:c r="P1249" s="10" t="n">
        <x:v>2</x:v>
      </x:c>
      <x:c r="Q1249" s="13" t="n">
        <x:f>IF(H1249="","",H1249/1000000000)</x:f>
        <x:v>7</x:v>
      </x:c>
      <x:c r="R1249" s="13" t="n">
        <x:f>IF(I1249="","",I1249/1000000)</x:f>
        <x:v>100</x:v>
      </x:c>
    </x:row>
    <x:row r="1250" ht="21" customHeight="1">
      <x:c r="A1250" s="10" t="n">
        <x:v>1812</x:v>
      </x:c>
      <x:c r="B1250" s="2" t="str">
        <x:v>8991008ef6e0e2507ddd</x:v>
      </x:c>
      <x:c r="C1250" s="2" t="str">
        <x:v>Tp Hồ Chí Minh</x:v>
      </x:c>
      <x:c r="D1250" s="2" t="str">
        <x:v>Huyện Củ Chi</x:v>
      </x:c>
      <x:c r="E1250" s="2" t="str">
        <x:v>other_unknown</x:v>
      </x:c>
      <x:c r="F1250" s="2" t="str">
        <x:v>sale</x:v>
      </x:c>
      <x:c r="G1250" s="11" t="n">
        <x:v>1055</x:v>
      </x:c>
      <x:c r="H1250" s="12" t="n">
        <x:v>5300000000</x:v>
      </x:c>
      <x:c r="I1250" s="12" t="n">
        <x:v>5023696.682464455</x:v>
      </x:c>
      <x:c r="J1250" s="2" t="str">
        <x:v>total</x:v>
      </x:c>
      <x:c r="K1250" s="2" t="str">
        <x:v>top_level_price_embedded_area</x:v>
      </x:c>
      <x:c r="L1250" s="2" t="str">
        <x:v>area_recovered_from_price_text;dot_thousands_convention;property_type_inferred_from_title;unknown_property_type</x:v>
      </x:c>
      <x:c r="M1250" s="10" t="n">
        <x:v>0</x:v>
      </x:c>
      <x:c r="N1250" s="10" t="n">
        <x:v>0</x:v>
      </x:c>
      <x:c r="O1250" s="2" t="str">
        <x:v>Tp Hồ Chí Minh|other_unknown</x:v>
      </x:c>
      <x:c r="P1250" s="10" t="n">
        <x:v>1</x:v>
      </x:c>
      <x:c r="Q1250" s="13" t="n">
        <x:f>IF(H1250="","",H1250/1000000000)</x:f>
        <x:v>5.3</x:v>
      </x:c>
      <x:c r="R1250" s="13" t="n">
        <x:f>IF(I1250="","",I1250/1000000)</x:f>
        <x:v>5.023696682464455</x:v>
      </x:c>
    </x:row>
    <x:row r="1251" ht="21" customHeight="1">
      <x:c r="A1251" s="10" t="n">
        <x:v>1813</x:v>
      </x:c>
      <x:c r="B1251" s="2" t="str">
        <x:v>162ef36923a6251ef120</x:v>
      </x:c>
      <x:c r="C1251" s="2" t="str">
        <x:v>Cà Mau</x:v>
      </x:c>
      <x:c r="D1251" s="2" t="str">
        <x:v>Thành phố Cà Mau</x:v>
      </x:c>
      <x:c r="E1251" s="2" t="str">
        <x:v>land</x:v>
      </x:c>
      <x:c r="F1251" s="2" t="str">
        <x:v>sale</x:v>
      </x:c>
      <x:c r="G1251" s="11" t="n">
        <x:v>112</x:v>
      </x:c>
      <x:c r="H1251" s="12" t="n">
        <x:v>775000000</x:v>
      </x:c>
      <x:c r="I1251" s="12" t="n">
        <x:v>6919642.857142857</x:v>
      </x:c>
      <x:c r="J1251" s="2" t="str">
        <x:v>total</x:v>
      </x:c>
      <x:c r="K1251" s="2" t="str">
        <x:v>top_level_area</x:v>
      </x:c>
      <x:c r="L1251" s="2" t="str">
        <x:v>property_type_inferred_from_title</x:v>
      </x:c>
      <x:c r="M1251" s="10" t="n">
        <x:v>0</x:v>
      </x:c>
      <x:c r="N1251" s="10" t="n">
        <x:v>0</x:v>
      </x:c>
      <x:c r="O1251" s="2" t="str">
        <x:v>land</x:v>
      </x:c>
      <x:c r="P1251" s="10" t="n">
        <x:v>2</x:v>
      </x:c>
      <x:c r="Q1251" s="13" t="n">
        <x:f>IF(H1251="","",H1251/1000000000)</x:f>
        <x:v>0.775</x:v>
      </x:c>
      <x:c r="R1251" s="13" t="n">
        <x:f>IF(I1251="","",I1251/1000000)</x:f>
        <x:v>6.919642857142858</x:v>
      </x:c>
    </x:row>
    <x:row r="1252" ht="21" customHeight="1">
      <x:c r="A1252" s="10" t="n">
        <x:v>1862</x:v>
      </x:c>
      <x:c r="B1252" s="2" t="str">
        <x:v>ac86b890cba7d99123d4</x:v>
      </x:c>
      <x:c r="C1252" s="2" t="str">
        <x:v>Tây Ninh</x:v>
      </x:c>
      <x:c r="D1252" s="2" t="str">
        <x:v>Huyện Trảng Bàng</x:v>
      </x:c>
      <x:c r="E1252" s="2" t="str">
        <x:v>house</x:v>
      </x:c>
      <x:c r="F1252" s="2" t="str">
        <x:v>sale</x:v>
      </x:c>
      <x:c r="G1252" s="11" t="n">
        <x:v>70</x:v>
      </x:c>
      <x:c r="H1252" s="12" t="n">
        <x:v>595000000</x:v>
      </x:c>
      <x:c r="I1252" s="12" t="n">
        <x:v>8500000</x:v>
      </x:c>
      <x:c r="J1252" s="2" t="str">
        <x:v>total</x:v>
      </x:c>
      <x:c r="K1252" s="2" t="str">
        <x:v>top_level_area</x:v>
      </x:c>
      <x:c r="L1252" s="2" t="str">
        <x:v>property_type_inferred_from_title</x:v>
      </x:c>
      <x:c r="M1252" s="10" t="n">
        <x:v>0</x:v>
      </x:c>
      <x:c r="N1252" s="10" t="n">
        <x:v>0</x:v>
      </x:c>
      <x:c r="O1252" s="2" t="str">
        <x:v>house</x:v>
      </x:c>
      <x:c r="P1252" s="10" t="n">
        <x:v>2</x:v>
      </x:c>
      <x:c r="Q1252" s="13" t="n">
        <x:f>IF(H1252="","",H1252/1000000000)</x:f>
        <x:v>0.595</x:v>
      </x:c>
      <x:c r="R1252" s="13" t="n">
        <x:f>IF(I1252="","",I1252/1000000)</x:f>
        <x:v>8.5</x:v>
      </x:c>
    </x:row>
    <x:row r="1253" ht="21" customHeight="1">
      <x:c r="A1253" s="10" t="n">
        <x:v>1863</x:v>
      </x:c>
      <x:c r="B1253" s="2" t="str">
        <x:v>642e15ac84e722ab6f2b</x:v>
      </x:c>
      <x:c r="C1253" s="2" t="str">
        <x:v>Nghệ An</x:v>
      </x:c>
      <x:c r="D1253" s="2" t="str">
        <x:v>Thành phố Vinh</x:v>
      </x:c>
      <x:c r="E1253" s="2" t="str">
        <x:v>land</x:v>
      </x:c>
      <x:c r="F1253" s="2" t="str">
        <x:v>sale</x:v>
      </x:c>
      <x:c r="G1253" s="11" t="n">
        <x:v>105</x:v>
      </x:c>
      <x:c r="H1253" s="12" t="n">
        <x:v>3430000000</x:v>
      </x:c>
      <x:c r="I1253" s="12" t="n">
        <x:v>32666666.666666668</x:v>
      </x:c>
      <x:c r="J1253" s="2" t="str">
        <x:v>total</x:v>
      </x:c>
      <x:c r="K1253" s="2" t="str">
        <x:v>top_level_area</x:v>
      </x:c>
      <x:c r="L1253" s="2" t="str">
        <x:v>property_type_inferred_from_title</x:v>
      </x:c>
      <x:c r="M1253" s="10" t="n">
        <x:v>0</x:v>
      </x:c>
      <x:c r="N1253" s="10" t="n">
        <x:v>0</x:v>
      </x:c>
      <x:c r="O1253" s="2" t="str">
        <x:v>land</x:v>
      </x:c>
      <x:c r="P1253" s="10" t="n">
        <x:v>2</x:v>
      </x:c>
      <x:c r="Q1253" s="13" t="n">
        <x:f>IF(H1253="","",H1253/1000000000)</x:f>
        <x:v>3.43</x:v>
      </x:c>
      <x:c r="R1253" s="13" t="n">
        <x:f>IF(I1253="","",I1253/1000000)</x:f>
        <x:v>32.66666666666667</x:v>
      </x:c>
    </x:row>
    <x:row r="1254" ht="21" customHeight="1">
      <x:c r="A1254" s="10" t="n">
        <x:v>1915</x:v>
      </x:c>
      <x:c r="B1254" s="2" t="str">
        <x:v>af052c635bbd5917f10d</x:v>
      </x:c>
      <x:c r="C1254" s="2" t="str">
        <x:v>Hà Nội</x:v>
      </x:c>
      <x:c r="D1254" s="2" t="str">
        <x:v>Quận Hoàng Mai</x:v>
      </x:c>
      <x:c r="E1254" s="2" t="str">
        <x:v>other_unknown</x:v>
      </x:c>
      <x:c r="F1254" s="2" t="str">
        <x:v>sale_assumed</x:v>
      </x:c>
      <x:c r="G1254" s="11" t="n">
        <x:v>50</x:v>
      </x:c>
      <x:c r="H1254" s="12" t="n">
        <x:v>4099999999.9999995</x:v>
      </x:c>
      <x:c r="I1254" s="12" t="n">
        <x:v>81999999.99999999</x:v>
      </x:c>
      <x:c r="J1254" s="2" t="str">
        <x:v>total</x:v>
      </x:c>
      <x:c r="K1254" s="2" t="str">
        <x:v>top_level_area</x:v>
      </x:c>
      <x:c r="L1254" s="2" t="str">
        <x:v>property_type_inferred_from_title;transaction_assumed_sale_from_dataset_context;unknown_property_type</x:v>
      </x:c>
      <x:c r="M1254" s="10" t="n">
        <x:v>0</x:v>
      </x:c>
      <x:c r="N1254" s="10" t="n">
        <x:v>0</x:v>
      </x:c>
      <x:c r="O1254" s="2" t="str">
        <x:v>Hà Nội|other_unknown</x:v>
      </x:c>
      <x:c r="P1254" s="10" t="n">
        <x:v>2</x:v>
      </x:c>
      <x:c r="Q1254" s="13" t="n">
        <x:f>IF(H1254="","",H1254/1000000000)</x:f>
        <x:v>4.1</x:v>
      </x:c>
      <x:c r="R1254" s="13" t="n">
        <x:f>IF(I1254="","",I1254/1000000)</x:f>
        <x:v>81.99999999999999</x:v>
      </x:c>
    </x:row>
    <x:row r="1255" ht="21" customHeight="1">
      <x:c r="A1255" s="10" t="n">
        <x:v>1929</x:v>
      </x:c>
      <x:c r="B1255" s="2" t="str">
        <x:v>e5f7618c5cf26096d5ec</x:v>
      </x:c>
      <x:c r="C1255" s="2" t="str">
        <x:v>Hải Phòng</x:v>
      </x:c>
      <x:c r="D1255" s="2" t="str">
        <x:v>Quận Lê Chân</x:v>
      </x:c>
      <x:c r="E1255" s="2" t="str">
        <x:v>house</x:v>
      </x:c>
      <x:c r="F1255" s="2" t="str">
        <x:v>sale_assumed</x:v>
      </x:c>
      <x:c r="G1255" s="11" t="n">
        <x:v>42.5</x:v>
      </x:c>
      <x:c r="H1255" s="12" t="n">
        <x:v>1450000000</x:v>
      </x:c>
      <x:c r="I1255" s="12" t="n">
        <x:v>34117647.058823526</x:v>
      </x:c>
      <x:c r="J1255" s="2" t="str">
        <x:v>total</x:v>
      </x:c>
      <x:c r="K1255" s="2" t="str">
        <x:v>top_level_area</x:v>
      </x:c>
      <x:c r="L1255" s="2" t="str">
        <x:v>property_type_inferred_from_title;transaction_assumed_sale_from_dataset_context</x:v>
      </x:c>
      <x:c r="M1255" s="10" t="n">
        <x:v>0</x:v>
      </x:c>
      <x:c r="N1255" s="10" t="n">
        <x:v>0</x:v>
      </x:c>
      <x:c r="O1255" s="2" t="str">
        <x:v>house</x:v>
      </x:c>
      <x:c r="P1255" s="10" t="n">
        <x:v>2</x:v>
      </x:c>
      <x:c r="Q1255" s="13" t="n">
        <x:f>IF(H1255="","",H1255/1000000000)</x:f>
        <x:v>1.45</x:v>
      </x:c>
      <x:c r="R1255" s="13" t="n">
        <x:f>IF(I1255="","",I1255/1000000)</x:f>
        <x:v>34.11764705882353</x:v>
      </x:c>
    </x:row>
    <x:row r="1256" ht="21" customHeight="1">
      <x:c r="A1256" s="10" t="n">
        <x:v>1952</x:v>
      </x:c>
      <x:c r="B1256" s="2" t="str">
        <x:v>956ad70952f3e6ac5f7e</x:v>
      </x:c>
      <x:c r="C1256" s="2" t="str">
        <x:v>Bình Dương</x:v>
      </x:c>
      <x:c r="D1256" s="2" t="str">
        <x:v>Thị xã Tân Uyên</x:v>
      </x:c>
      <x:c r="E1256" s="2" t="str">
        <x:v>house</x:v>
      </x:c>
      <x:c r="F1256" s="2" t="str">
        <x:v>sale</x:v>
      </x:c>
      <x:c r="G1256" s="11" t="n">
        <x:v>261</x:v>
      </x:c>
      <x:c r="H1256" s="12" t="n">
        <x:v>2400000000</x:v>
      </x:c>
      <x:c r="I1256" s="12" t="n">
        <x:v>9195402.298850575</x:v>
      </x:c>
      <x:c r="J1256" s="2" t="str">
        <x:v>total</x:v>
      </x:c>
      <x:c r="K1256" s="2" t="str">
        <x:v>top_level_area</x:v>
      </x:c>
      <x:c r="L1256" s="2" t="str">
        <x:v>property_type_inferred_from_title</x:v>
      </x:c>
      <x:c r="M1256" s="10" t="n">
        <x:v>0</x:v>
      </x:c>
      <x:c r="N1256" s="10" t="n">
        <x:v>0</x:v>
      </x:c>
      <x:c r="O1256" s="2" t="str">
        <x:v>Bình Dương|house</x:v>
      </x:c>
      <x:c r="P1256" s="10" t="n">
        <x:v>1</x:v>
      </x:c>
      <x:c r="Q1256" s="13" t="n">
        <x:f>IF(H1256="","",H1256/1000000000)</x:f>
        <x:v>2.4</x:v>
      </x:c>
      <x:c r="R1256" s="13" t="n">
        <x:f>IF(I1256="","",I1256/1000000)</x:f>
        <x:v>9.195402298850576</x:v>
      </x:c>
    </x:row>
    <x:row r="1257" ht="21" customHeight="1">
      <x:c r="A1257" s="10" t="n">
        <x:v>2014</x:v>
      </x:c>
      <x:c r="B1257" s="2" t="str">
        <x:v>d085e55e37464e21cc81</x:v>
      </x:c>
      <x:c r="C1257" s="2" t="str">
        <x:v>Tp Hồ Chí Minh</x:v>
      </x:c>
      <x:c r="D1257" s="2" t="str">
        <x:v>Quận Thủ Đức</x:v>
      </x:c>
      <x:c r="E1257" s="2" t="str">
        <x:v>house</x:v>
      </x:c>
      <x:c r="F1257" s="2" t="str">
        <x:v>sale_assumed</x:v>
      </x:c>
      <x:c r="G1257" s="11" t="n">
        <x:v>50</x:v>
      </x:c>
      <x:c r="H1257" s="12" t="n">
        <x:v>900000000</x:v>
      </x:c>
      <x:c r="I1257" s="12" t="n">
        <x:v>18000000</x:v>
      </x:c>
      <x:c r="J1257" s="2" t="str">
        <x:v>total</x:v>
      </x:c>
      <x:c r="K1257" s="2" t="str">
        <x:v>top_level_area</x:v>
      </x:c>
      <x:c r="L1257" s="2" t="str">
        <x:v>property_type_inferred_from_title;transaction_assumed_sale_from_dataset_context</x:v>
      </x:c>
      <x:c r="M1257" s="10" t="n">
        <x:v>0</x:v>
      </x:c>
      <x:c r="N1257" s="10" t="n">
        <x:v>0</x:v>
      </x:c>
      <x:c r="O1257" s="2" t="str">
        <x:v>Tp Hồ Chí Minh|house</x:v>
      </x:c>
      <x:c r="P1257" s="10" t="n">
        <x:v>2</x:v>
      </x:c>
      <x:c r="Q1257" s="13" t="n">
        <x:f>IF(H1257="","",H1257/1000000000)</x:f>
        <x:v>0.9</x:v>
      </x:c>
      <x:c r="R1257" s="13" t="n">
        <x:f>IF(I1257="","",I1257/1000000)</x:f>
        <x:v>18</x:v>
      </x:c>
    </x:row>
    <x:row r="1258" ht="21" customHeight="1">
      <x:c r="A1258" s="10" t="n">
        <x:v>2022</x:v>
      </x:c>
      <x:c r="B1258" s="2" t="str">
        <x:v>e55db194ea824e840692</x:v>
      </x:c>
      <x:c r="C1258" s="2" t="str">
        <x:v>Bình Dương</x:v>
      </x:c>
      <x:c r="D1258" s="2" t="str">
        <x:v>Thị xã Thuận An</x:v>
      </x:c>
      <x:c r="E1258" s="2" t="str">
        <x:v>land</x:v>
      </x:c>
      <x:c r="F1258" s="2" t="str">
        <x:v>sale_assumed</x:v>
      </x:c>
      <x:c r="G1258" s="11" t="n">
        <x:v>179</x:v>
      </x:c>
      <x:c r="H1258" s="12" t="n">
        <x:v>3280000000</x:v>
      </x:c>
      <x:c r="I1258" s="12" t="n">
        <x:v>18324022.346368715</x:v>
      </x:c>
      <x:c r="J1258" s="2" t="str">
        <x:v>total</x:v>
      </x:c>
      <x:c r="K1258" s="2" t="str">
        <x:v>top_level_area</x:v>
      </x:c>
      <x:c r="L1258" s="2" t="str">
        <x:v>property_type_inferred_from_title;transaction_assumed_sale_from_dataset_context</x:v>
      </x:c>
      <x:c r="M1258" s="10" t="n">
        <x:v>0</x:v>
      </x:c>
      <x:c r="N1258" s="10" t="n">
        <x:v>0</x:v>
      </x:c>
      <x:c r="O1258" s="2" t="str">
        <x:v>Bình Dương|land</x:v>
      </x:c>
      <x:c r="P1258" s="10" t="n">
        <x:v>2</x:v>
      </x:c>
      <x:c r="Q1258" s="13" t="n">
        <x:f>IF(H1258="","",H1258/1000000000)</x:f>
        <x:v>3.28</x:v>
      </x:c>
      <x:c r="R1258" s="13" t="n">
        <x:f>IF(I1258="","",I1258/1000000)</x:f>
        <x:v>18.324022346368714</x:v>
      </x:c>
    </x:row>
    <x:row r="1259" ht="21" customHeight="1">
      <x:c r="A1259" s="10" t="n">
        <x:v>2023</x:v>
      </x:c>
      <x:c r="B1259" s="2" t="str">
        <x:v>38ae9db1aaa7269c64d5</x:v>
      </x:c>
      <x:c r="C1259" s="2" t="str">
        <x:v>Tp Hồ Chí Minh</x:v>
      </x:c>
      <x:c r="D1259" s="2" t="str">
        <x:v>Huyện Củ Chi</x:v>
      </x:c>
      <x:c r="E1259" s="2" t="str">
        <x:v>house</x:v>
      </x:c>
      <x:c r="F1259" s="2" t="str">
        <x:v>sale</x:v>
      </x:c>
      <x:c r="G1259" s="11" t="n">
        <x:v>60</x:v>
      </x:c>
      <x:c r="H1259" s="12" t="n">
        <x:v>850000000</x:v>
      </x:c>
      <x:c r="I1259" s="12" t="n">
        <x:v>14166666.666666666</x:v>
      </x:c>
      <x:c r="J1259" s="2" t="str">
        <x:v>total</x:v>
      </x:c>
      <x:c r="K1259" s="2" t="str">
        <x:v>top_level_price_embedded_area</x:v>
      </x:c>
      <x:c r="L1259" s="2" t="str">
        <x:v>area_recovered_from_price_text;property_type_inferred_from_title</x:v>
      </x:c>
      <x:c r="M1259" s="10" t="n">
        <x:v>0</x:v>
      </x:c>
      <x:c r="N1259" s="10" t="n">
        <x:v>0</x:v>
      </x:c>
      <x:c r="O1259" s="2" t="str">
        <x:v>Tp Hồ Chí Minh|house</x:v>
      </x:c>
      <x:c r="P1259" s="10" t="n">
        <x:v>2</x:v>
      </x:c>
      <x:c r="Q1259" s="13" t="n">
        <x:f>IF(H1259="","",H1259/1000000000)</x:f>
        <x:v>0.85</x:v>
      </x:c>
      <x:c r="R1259" s="13" t="n">
        <x:f>IF(I1259="","",I1259/1000000)</x:f>
        <x:v>14.166666666666666</x:v>
      </x:c>
    </x:row>
    <x:row r="1260" ht="21" customHeight="1">
      <x:c r="A1260" s="10" t="n">
        <x:v>2024</x:v>
      </x:c>
      <x:c r="B1260" s="2" t="str">
        <x:v>d29e0515509803a33f8d</x:v>
      </x:c>
      <x:c r="C1260" s="2" t="str">
        <x:v>Tp Hồ Chí Minh</x:v>
      </x:c>
      <x:c r="D1260" s="2" t="str">
        <x:v>Quận Thủ Đức</x:v>
      </x:c>
      <x:c r="E1260" s="2" t="str">
        <x:v>house</x:v>
      </x:c>
      <x:c r="F1260" s="2" t="str">
        <x:v>sale_assumed</x:v>
      </x:c>
      <x:c r="G1260" s="11" t="n">
        <x:v>209</x:v>
      </x:c>
      <x:c r="H1260" s="12" t="n">
        <x:v>16500000000</x:v>
      </x:c>
      <x:c r="I1260" s="12" t="n">
        <x:v>78947368.42105263</x:v>
      </x:c>
      <x:c r="J1260" s="2" t="str">
        <x:v>total</x:v>
      </x:c>
      <x:c r="K1260" s="2" t="str">
        <x:v>top_level_area</x:v>
      </x:c>
      <x:c r="L1260" s="2" t="str">
        <x:v>property_type_inferred_from_title;transaction_assumed_sale_from_dataset_context</x:v>
      </x:c>
      <x:c r="M1260" s="10" t="n">
        <x:v>0</x:v>
      </x:c>
      <x:c r="N1260" s="10" t="n">
        <x:v>0</x:v>
      </x:c>
      <x:c r="O1260" s="2" t="str">
        <x:v>Tp Hồ Chí Minh|house</x:v>
      </x:c>
      <x:c r="P1260" s="10" t="n">
        <x:v>2</x:v>
      </x:c>
      <x:c r="Q1260" s="13" t="n">
        <x:f>IF(H1260="","",H1260/1000000000)</x:f>
        <x:v>16.5</x:v>
      </x:c>
      <x:c r="R1260" s="13" t="n">
        <x:f>IF(I1260="","",I1260/1000000)</x:f>
        <x:v>78.94736842105263</x:v>
      </x:c>
    </x:row>
    <x:row r="1261" ht="21" customHeight="1">
      <x:c r="A1261" s="10" t="n">
        <x:v>2025</x:v>
      </x:c>
      <x:c r="B1261" s="2" t="str">
        <x:v>c9e63b9122a1c41ea1b5</x:v>
      </x:c>
      <x:c r="C1261" s="2" t="str">
        <x:v>Tp Hồ Chí Minh</x:v>
      </x:c>
      <x:c r="D1261" s="2" t="str">
        <x:v>Quận Phú Nhuận</x:v>
      </x:c>
      <x:c r="E1261" s="2" t="str">
        <x:v>house</x:v>
      </x:c>
      <x:c r="F1261" s="2" t="str">
        <x:v>sale_assumed</x:v>
      </x:c>
      <x:c r="G1261" s="11" t="n">
        <x:v>25</x:v>
      </x:c>
      <x:c r="H1261" s="12" t="n">
        <x:v>3950000000</x:v>
      </x:c>
      <x:c r="I1261" s="12" t="n">
        <x:v>158000000</x:v>
      </x:c>
      <x:c r="J1261" s="2" t="str">
        <x:v>total</x:v>
      </x:c>
      <x:c r="K1261" s="2" t="str">
        <x:v>top_level_area</x:v>
      </x:c>
      <x:c r="L1261" s="2" t="str">
        <x:v>property_type_inferred_from_title;transaction_assumed_sale_from_dataset_context</x:v>
      </x:c>
      <x:c r="M1261" s="10" t="n">
        <x:v>0</x:v>
      </x:c>
      <x:c r="N1261" s="10" t="n">
        <x:v>0</x:v>
      </x:c>
      <x:c r="O1261" s="2" t="str">
        <x:v>Tp Hồ Chí Minh|house</x:v>
      </x:c>
      <x:c r="P1261" s="10" t="n">
        <x:v>2</x:v>
      </x:c>
      <x:c r="Q1261" s="13" t="n">
        <x:f>IF(H1261="","",H1261/1000000000)</x:f>
        <x:v>3.95</x:v>
      </x:c>
      <x:c r="R1261" s="13" t="n">
        <x:f>IF(I1261="","",I1261/1000000)</x:f>
        <x:v>158</x:v>
      </x:c>
    </x:row>
    <x:row r="1262" ht="21" customHeight="1">
      <x:c r="A1262" s="10" t="n">
        <x:v>2026</x:v>
      </x:c>
      <x:c r="B1262" s="2" t="str">
        <x:v>e9eb2f1ba7fedbdcd138</x:v>
      </x:c>
      <x:c r="C1262" s="2" t="str">
        <x:v>Tp Hồ Chí Minh</x:v>
      </x:c>
      <x:c r="D1262" s="2" t="str">
        <x:v>Quận Tân Bình</x:v>
      </x:c>
      <x:c r="E1262" s="2" t="str">
        <x:v>apartment</x:v>
      </x:c>
      <x:c r="F1262" s="2" t="str">
        <x:v>sale</x:v>
      </x:c>
      <x:c r="G1262" s="11" t="n">
        <x:v>65</x:v>
      </x:c>
      <x:c r="H1262" s="12" t="n">
        <x:v>2300000000</x:v>
      </x:c>
      <x:c r="I1262" s="12" t="n">
        <x:v>35384615.384615384</x:v>
      </x:c>
      <x:c r="J1262" s="2" t="str">
        <x:v>total</x:v>
      </x:c>
      <x:c r="K1262" s="2" t="str">
        <x:v>top_level_area</x:v>
      </x:c>
      <x:c r="L1262" s="2" t="str">
        <x:v>property_type_inferred_from_title</x:v>
      </x:c>
      <x:c r="M1262" s="10" t="n">
        <x:v>0</x:v>
      </x:c>
      <x:c r="N1262" s="10" t="n">
        <x:v>0</x:v>
      </x:c>
      <x:c r="O1262" s="2" t="str">
        <x:v>Tp Hồ Chí Minh|apartment</x:v>
      </x:c>
      <x:c r="P1262" s="10" t="n">
        <x:v>2</x:v>
      </x:c>
      <x:c r="Q1262" s="13" t="n">
        <x:f>IF(H1262="","",H1262/1000000000)</x:f>
        <x:v>2.3</x:v>
      </x:c>
      <x:c r="R1262" s="13" t="n">
        <x:f>IF(I1262="","",I1262/1000000)</x:f>
        <x:v>35.38461538461539</x:v>
      </x:c>
    </x:row>
    <x:row r="1263" ht="21" customHeight="1">
      <x:c r="A1263" s="10" t="n">
        <x:v>2027</x:v>
      </x:c>
      <x:c r="B1263" s="2" t="str">
        <x:v>fcb28e768f1f169fd2d5</x:v>
      </x:c>
      <x:c r="C1263" s="2" t="str">
        <x:v>Tp Hồ Chí Minh</x:v>
      </x:c>
      <x:c r="D1263" s="2" t="str">
        <x:v>Quận 12</x:v>
      </x:c>
      <x:c r="E1263" s="2" t="str">
        <x:v>land</x:v>
      </x:c>
      <x:c r="F1263" s="2" t="str">
        <x:v>sale_assumed</x:v>
      </x:c>
      <x:c r="G1263" s="11" t="n">
        <x:v>48</x:v>
      </x:c>
      <x:c r="H1263" s="12" t="n">
        <x:v>1100000000</x:v>
      </x:c>
      <x:c r="I1263" s="12" t="n">
        <x:v>22916666.666666668</x:v>
      </x:c>
      <x:c r="J1263" s="2" t="str">
        <x:v>total</x:v>
      </x:c>
      <x:c r="K1263" s="2" t="str">
        <x:v>top_level_price_embedded_area</x:v>
      </x:c>
      <x:c r="L1263" s="2" t="str">
        <x:v>area_recovered_from_price_text;property_type_inferred_from_title;transaction_assumed_sale_from_dataset_context</x:v>
      </x:c>
      <x:c r="M1263" s="10" t="n">
        <x:v>0</x:v>
      </x:c>
      <x:c r="N1263" s="10" t="n">
        <x:v>0</x:v>
      </x:c>
      <x:c r="O1263" s="2" t="str">
        <x:v>Tp Hồ Chí Minh|land</x:v>
      </x:c>
      <x:c r="P1263" s="10" t="n">
        <x:v>2</x:v>
      </x:c>
      <x:c r="Q1263" s="13" t="n">
        <x:f>IF(H1263="","",H1263/1000000000)</x:f>
        <x:v>1.1</x:v>
      </x:c>
      <x:c r="R1263" s="13" t="n">
        <x:f>IF(I1263="","",I1263/1000000)</x:f>
        <x:v>22.916666666666668</x:v>
      </x:c>
    </x:row>
    <x:row r="1264" ht="21" customHeight="1">
      <x:c r="A1264" s="10" t="n">
        <x:v>2028</x:v>
      </x:c>
      <x:c r="B1264" s="2" t="str">
        <x:v>9e13be7e625de9e84ab0</x:v>
      </x:c>
      <x:c r="C1264" s="2" t="str">
        <x:v>Tp Hồ Chí Minh</x:v>
      </x:c>
      <x:c r="D1264" s="2" t="str">
        <x:v>Huyện Hóc Môn</x:v>
      </x:c>
      <x:c r="E1264" s="2" t="str">
        <x:v>house</x:v>
      </x:c>
      <x:c r="F1264" s="2" t="str">
        <x:v>sale_assumed</x:v>
      </x:c>
      <x:c r="G1264" s="11" t="n">
        <x:v>36</x:v>
      </x:c>
      <x:c r="H1264" s="12" t="n">
        <x:v>1150000000</x:v>
      </x:c>
      <x:c r="I1264" s="12" t="n">
        <x:v>31944444.444444444</x:v>
      </x:c>
      <x:c r="J1264" s="2" t="str">
        <x:v>total</x:v>
      </x:c>
      <x:c r="K1264" s="2" t="str">
        <x:v>top_level_area</x:v>
      </x:c>
      <x:c r="L1264" s="2" t="str">
        <x:v>property_type_inferred_from_title;transaction_assumed_sale_from_dataset_context</x:v>
      </x:c>
      <x:c r="M1264" s="10" t="n">
        <x:v>0</x:v>
      </x:c>
      <x:c r="N1264" s="10" t="n">
        <x:v>0</x:v>
      </x:c>
      <x:c r="O1264" s="2" t="str">
        <x:v>Tp Hồ Chí Minh|house</x:v>
      </x:c>
      <x:c r="P1264" s="10" t="n">
        <x:v>2</x:v>
      </x:c>
      <x:c r="Q1264" s="13" t="n">
        <x:f>IF(H1264="","",H1264/1000000000)</x:f>
        <x:v>1.15</x:v>
      </x:c>
      <x:c r="R1264" s="13" t="n">
        <x:f>IF(I1264="","",I1264/1000000)</x:f>
        <x:v>31.944444444444443</x:v>
      </x:c>
    </x:row>
    <x:row r="1265" ht="21" customHeight="1">
      <x:c r="A1265" s="10" t="n">
        <x:v>2029</x:v>
      </x:c>
      <x:c r="B1265" s="2" t="str">
        <x:v>10105ec293a723ef2b25</x:v>
      </x:c>
      <x:c r="C1265" s="2" t="str">
        <x:v>Long An</x:v>
      </x:c>
      <x:c r="D1265" s="2" t="str">
        <x:v>Huyện Cần Đước</x:v>
      </x:c>
      <x:c r="E1265" s="2" t="str">
        <x:v>land</x:v>
      </x:c>
      <x:c r="F1265" s="2" t="str">
        <x:v>sale_assumed</x:v>
      </x:c>
      <x:c r="G1265" s="11" t="n">
        <x:v>101</x:v>
      </x:c>
      <x:c r="H1265" s="12" t="n">
        <x:v>1280000000</x:v>
      </x:c>
      <x:c r="I1265" s="12" t="n">
        <x:v>12673267.326732673</x:v>
      </x:c>
      <x:c r="J1265" s="2" t="str">
        <x:v>total</x:v>
      </x:c>
      <x:c r="K1265" s="2" t="str">
        <x:v>top_level_area</x:v>
      </x:c>
      <x:c r="L1265" s="2" t="str">
        <x:v>property_type_inferred_from_title;transaction_assumed_sale_from_dataset_context</x:v>
      </x:c>
      <x:c r="M1265" s="10" t="n">
        <x:v>0</x:v>
      </x:c>
      <x:c r="N1265" s="10" t="n">
        <x:v>0</x:v>
      </x:c>
      <x:c r="O1265" s="2" t="str">
        <x:v>Long An|land</x:v>
      </x:c>
      <x:c r="P1265" s="10" t="n">
        <x:v>2</x:v>
      </x:c>
      <x:c r="Q1265" s="13" t="n">
        <x:f>IF(H1265="","",H1265/1000000000)</x:f>
        <x:v>1.28</x:v>
      </x:c>
      <x:c r="R1265" s="13" t="n">
        <x:f>IF(I1265="","",I1265/1000000)</x:f>
        <x:v>12.673267326732672</x:v>
      </x:c>
    </x:row>
    <x:row r="1266" ht="21" customHeight="1">
      <x:c r="A1266" s="10" t="n">
        <x:v>2030</x:v>
      </x:c>
      <x:c r="B1266" s="2" t="str">
        <x:v>54a384f01999dcb7d785</x:v>
      </x:c>
      <x:c r="C1266" s="2" t="str">
        <x:v>Tp Hồ Chí Minh</x:v>
      </x:c>
      <x:c r="D1266" s="2" t="str">
        <x:v>Quận Bình Tân</x:v>
      </x:c>
      <x:c r="E1266" s="2" t="str">
        <x:v>house</x:v>
      </x:c>
      <x:c r="F1266" s="2" t="str">
        <x:v>sale_assumed</x:v>
      </x:c>
      <x:c r="G1266" s="11" t="n">
        <x:v>80</x:v>
      </x:c>
      <x:c r="H1266" s="12" t="n">
        <x:v>4300000000</x:v>
      </x:c>
      <x:c r="I1266" s="12" t="n">
        <x:v>53750000</x:v>
      </x:c>
      <x:c r="J1266" s="2" t="str">
        <x:v>total</x:v>
      </x:c>
      <x:c r="K1266" s="2" t="str">
        <x:v>top_level_area</x:v>
      </x:c>
      <x:c r="L1266" s="2" t="str">
        <x:v>property_type_inferred_from_title;transaction_assumed_sale_from_dataset_context</x:v>
      </x:c>
      <x:c r="M1266" s="10" t="n">
        <x:v>0</x:v>
      </x:c>
      <x:c r="N1266" s="10" t="n">
        <x:v>0</x:v>
      </x:c>
      <x:c r="O1266" s="2" t="str">
        <x:v>Tp Hồ Chí Minh|house</x:v>
      </x:c>
      <x:c r="P1266" s="10" t="n">
        <x:v>2</x:v>
      </x:c>
      <x:c r="Q1266" s="13" t="n">
        <x:f>IF(H1266="","",H1266/1000000000)</x:f>
        <x:v>4.3</x:v>
      </x:c>
      <x:c r="R1266" s="13" t="n">
        <x:f>IF(I1266="","",I1266/1000000)</x:f>
        <x:v>53.75</x:v>
      </x:c>
    </x:row>
    <x:row r="1267" ht="21" customHeight="1">
      <x:c r="A1267" s="10" t="n">
        <x:v>2031</x:v>
      </x:c>
      <x:c r="B1267" s="2" t="str">
        <x:v>f6e8a80f6cf15ae54d11</x:v>
      </x:c>
      <x:c r="C1267" s="2" t="str">
        <x:v>Tp Hồ Chí Minh</x:v>
      </x:c>
      <x:c r="D1267" s="2" t="str">
        <x:v>Quận Bình Tân</x:v>
      </x:c>
      <x:c r="E1267" s="2" t="str">
        <x:v>house</x:v>
      </x:c>
      <x:c r="F1267" s="2" t="str">
        <x:v>sale_assumed</x:v>
      </x:c>
      <x:c r="G1267" s="11" t="n">
        <x:v>100</x:v>
      </x:c>
      <x:c r="H1267" s="12" t="n">
        <x:v>900000000</x:v>
      </x:c>
      <x:c r="I1267" s="12" t="n">
        <x:v>9000000</x:v>
      </x:c>
      <x:c r="J1267" s="2" t="str">
        <x:v>total</x:v>
      </x:c>
      <x:c r="K1267" s="2" t="str">
        <x:v>top_level_price_embedded_area</x:v>
      </x:c>
      <x:c r="L1267" s="2" t="str">
        <x:v>area_recovered_from_price_text;property_type_inferred_from_title;transaction_assumed_sale_from_dataset_context</x:v>
      </x:c>
      <x:c r="M1267" s="10" t="n">
        <x:v>0</x:v>
      </x:c>
      <x:c r="N1267" s="10" t="n">
        <x:v>0</x:v>
      </x:c>
      <x:c r="O1267" s="2" t="str">
        <x:v>Tp Hồ Chí Minh|house</x:v>
      </x:c>
      <x:c r="P1267" s="10" t="n">
        <x:v>2</x:v>
      </x:c>
      <x:c r="Q1267" s="13" t="n">
        <x:f>IF(H1267="","",H1267/1000000000)</x:f>
        <x:v>0.9</x:v>
      </x:c>
      <x:c r="R1267" s="13" t="n">
        <x:f>IF(I1267="","",I1267/1000000)</x:f>
        <x:v>9</x:v>
      </x:c>
    </x:row>
    <x:row r="1268" ht="21" customHeight="1">
      <x:c r="A1268" s="10" t="n">
        <x:v>2032</x:v>
      </x:c>
      <x:c r="B1268" s="2" t="str">
        <x:v>0a22dce47bf34db72603</x:v>
      </x:c>
      <x:c r="C1268" s="2" t="str">
        <x:v>Tp Hồ Chí Minh</x:v>
      </x:c>
      <x:c r="D1268" s="2" t="str">
        <x:v>Quận 3</x:v>
      </x:c>
      <x:c r="E1268" s="2" t="str">
        <x:v>other_unknown</x:v>
      </x:c>
      <x:c r="F1268" s="2" t="str">
        <x:v>sale_assumed</x:v>
      </x:c>
      <x:c r="G1268" s="11" t="n">
        <x:v>40</x:v>
      </x:c>
      <x:c r="H1268" s="12" t="n">
        <x:v>3960000000</x:v>
      </x:c>
      <x:c r="I1268" s="12" t="n">
        <x:v>99000000</x:v>
      </x:c>
      <x:c r="J1268" s="2" t="str">
        <x:v>total</x:v>
      </x:c>
      <x:c r="K1268" s="2" t="str">
        <x:v>top_level_price_embedded_area</x:v>
      </x:c>
      <x:c r="L1268" s="2" t="str">
        <x:v>area_recovered_from_price_text;property_type_inferred_from_title;transaction_assumed_sale_from_dataset_context;unknown_property_type</x:v>
      </x:c>
      <x:c r="M1268" s="10" t="n">
        <x:v>0</x:v>
      </x:c>
      <x:c r="N1268" s="10" t="n">
        <x:v>0</x:v>
      </x:c>
      <x:c r="O1268" s="2" t="str">
        <x:v>Tp Hồ Chí Minh|other_unknown</x:v>
      </x:c>
      <x:c r="P1268" s="10" t="n">
        <x:v>2</x:v>
      </x:c>
      <x:c r="Q1268" s="13" t="n">
        <x:f>IF(H1268="","",H1268/1000000000)</x:f>
        <x:v>3.96</x:v>
      </x:c>
      <x:c r="R1268" s="13" t="n">
        <x:f>IF(I1268="","",I1268/1000000)</x:f>
        <x:v>99</x:v>
      </x:c>
    </x:row>
    <x:row r="1269" ht="21" customHeight="1">
      <x:c r="A1269" s="10" t="n">
        <x:v>2033</x:v>
      </x:c>
      <x:c r="B1269" s="2" t="str">
        <x:v>c5904d991454b12ec171</x:v>
      </x:c>
      <x:c r="C1269" s="2" t="str">
        <x:v>Tp Hồ Chí Minh</x:v>
      </x:c>
      <x:c r="D1269" s="2" t="str">
        <x:v>Huyện Củ Chi</x:v>
      </x:c>
      <x:c r="E1269" s="2" t="str">
        <x:v>land</x:v>
      </x:c>
      <x:c r="F1269" s="2" t="str">
        <x:v>sale_assumed</x:v>
      </x:c>
      <x:c r="G1269" s="11" t="n">
        <x:v>171</x:v>
      </x:c>
      <x:c r="H1269" s="12" t="n">
        <x:v>1600000000</x:v>
      </x:c>
      <x:c r="I1269" s="12" t="n">
        <x:v>9356725.14619883</x:v>
      </x:c>
      <x:c r="J1269" s="2" t="str">
        <x:v>total</x:v>
      </x:c>
      <x:c r="K1269" s="2" t="str">
        <x:v>top_level_area</x:v>
      </x:c>
      <x:c r="L1269" s="2" t="str">
        <x:v>property_type_inferred_from_title;transaction_assumed_sale_from_dataset_context</x:v>
      </x:c>
      <x:c r="M1269" s="10" t="n">
        <x:v>0</x:v>
      </x:c>
      <x:c r="N1269" s="10" t="n">
        <x:v>0</x:v>
      </x:c>
      <x:c r="O1269" s="2" t="str">
        <x:v>Tp Hồ Chí Minh|land</x:v>
      </x:c>
      <x:c r="P1269" s="10" t="n">
        <x:v>2</x:v>
      </x:c>
      <x:c r="Q1269" s="13" t="n">
        <x:f>IF(H1269="","",H1269/1000000000)</x:f>
        <x:v>1.6</x:v>
      </x:c>
      <x:c r="R1269" s="13" t="n">
        <x:f>IF(I1269="","",I1269/1000000)</x:f>
        <x:v>9.35672514619883</x:v>
      </x:c>
    </x:row>
    <x:row r="1270" ht="21" customHeight="1">
      <x:c r="A1270" s="10" t="n">
        <x:v>2034</x:v>
      </x:c>
      <x:c r="B1270" s="2" t="str">
        <x:v>b9e447229513890d38c2</x:v>
      </x:c>
      <x:c r="C1270" s="2" t="str">
        <x:v>Tp Hồ Chí Minh</x:v>
      </x:c>
      <x:c r="D1270" s="2" t="str">
        <x:v>Quận 9</x:v>
      </x:c>
      <x:c r="E1270" s="2" t="str">
        <x:v>house</x:v>
      </x:c>
      <x:c r="F1270" s="2" t="str">
        <x:v>sale_assumed</x:v>
      </x:c>
      <x:c r="G1270" s="11" t="n">
        <x:v>100</x:v>
      </x:c>
      <x:c r="H1270" s="12" t="n">
        <x:v>5800000000</x:v>
      </x:c>
      <x:c r="I1270" s="12" t="n">
        <x:v>58000000</x:v>
      </x:c>
      <x:c r="J1270" s="2" t="str">
        <x:v>total</x:v>
      </x:c>
      <x:c r="K1270" s="2" t="str">
        <x:v>top_level_area</x:v>
      </x:c>
      <x:c r="L1270" s="2" t="str">
        <x:v>property_type_inferred_from_title;transaction_assumed_sale_from_dataset_context</x:v>
      </x:c>
      <x:c r="M1270" s="10" t="n">
        <x:v>0</x:v>
      </x:c>
      <x:c r="N1270" s="10" t="n">
        <x:v>0</x:v>
      </x:c>
      <x:c r="O1270" s="2" t="str">
        <x:v>Tp Hồ Chí Minh|house</x:v>
      </x:c>
      <x:c r="P1270" s="10" t="n">
        <x:v>2</x:v>
      </x:c>
      <x:c r="Q1270" s="13" t="n">
        <x:f>IF(H1270="","",H1270/1000000000)</x:f>
        <x:v>5.8</x:v>
      </x:c>
      <x:c r="R1270" s="13" t="n">
        <x:f>IF(I1270="","",I1270/1000000)</x:f>
        <x:v>58</x:v>
      </x:c>
    </x:row>
    <x:row r="1271" ht="21" customHeight="1">
      <x:c r="A1271" s="10" t="n">
        <x:v>2035</x:v>
      </x:c>
      <x:c r="B1271" s="2" t="str">
        <x:v>58855dfc1c816febba95</x:v>
      </x:c>
      <x:c r="C1271" s="2" t="str">
        <x:v>Tp Hồ Chí Minh</x:v>
      </x:c>
      <x:c r="D1271" s="2" t="str">
        <x:v>Huyện Hóc Môn</x:v>
      </x:c>
      <x:c r="E1271" s="2" t="str">
        <x:v>house</x:v>
      </x:c>
      <x:c r="F1271" s="2" t="str">
        <x:v>sale</x:v>
      </x:c>
      <x:c r="G1271" s="11" t="n">
        <x:v>100</x:v>
      </x:c>
      <x:c r="H1271" s="12" t="n">
        <x:v>5250000000</x:v>
      </x:c>
      <x:c r="I1271" s="12" t="n">
        <x:v>52500000</x:v>
      </x:c>
      <x:c r="J1271" s="2" t="str">
        <x:v>total</x:v>
      </x:c>
      <x:c r="K1271" s="2" t="str">
        <x:v>top_level_area</x:v>
      </x:c>
      <x:c r="L1271" s="2" t="str">
        <x:v>property_type_inferred_from_title</x:v>
      </x:c>
      <x:c r="M1271" s="10" t="n">
        <x:v>0</x:v>
      </x:c>
      <x:c r="N1271" s="10" t="n">
        <x:v>0</x:v>
      </x:c>
      <x:c r="O1271" s="2" t="str">
        <x:v>Tp Hồ Chí Minh|house</x:v>
      </x:c>
      <x:c r="P1271" s="10" t="n">
        <x:v>2</x:v>
      </x:c>
      <x:c r="Q1271" s="13" t="n">
        <x:f>IF(H1271="","",H1271/1000000000)</x:f>
        <x:v>5.25</x:v>
      </x:c>
      <x:c r="R1271" s="13" t="n">
        <x:f>IF(I1271="","",I1271/1000000)</x:f>
        <x:v>52.5</x:v>
      </x:c>
    </x:row>
    <x:row r="1272" ht="21" customHeight="1">
      <x:c r="A1272" s="10" t="n">
        <x:v>2036</x:v>
      </x:c>
      <x:c r="B1272" s="2" t="str">
        <x:v>3efaf8de87c15af1d13e</x:v>
      </x:c>
      <x:c r="C1272" s="2" t="str">
        <x:v>Tp Hồ Chí Minh</x:v>
      </x:c>
      <x:c r="D1272" s="2" t="str">
        <x:v>Quận 9</x:v>
      </x:c>
      <x:c r="E1272" s="2" t="str">
        <x:v>other_unknown</x:v>
      </x:c>
      <x:c r="F1272" s="2" t="str">
        <x:v>sale_assumed</x:v>
      </x:c>
      <x:c r="G1272" s="11" t="n">
        <x:v>100</x:v>
      </x:c>
      <x:c r="H1272" s="12" t="n">
        <x:v>5500000000</x:v>
      </x:c>
      <x:c r="I1272" s="12" t="n">
        <x:v>55000000</x:v>
      </x:c>
      <x:c r="J1272" s="2" t="str">
        <x:v>total</x:v>
      </x:c>
      <x:c r="K1272" s="2" t="str">
        <x:v>top_level_area</x:v>
      </x:c>
      <x:c r="L1272" s="2" t="str">
        <x:v>property_type_inferred_from_title;transaction_assumed_sale_from_dataset_context;unknown_property_type</x:v>
      </x:c>
      <x:c r="M1272" s="10" t="n">
        <x:v>0</x:v>
      </x:c>
      <x:c r="N1272" s="10" t="n">
        <x:v>0</x:v>
      </x:c>
      <x:c r="O1272" s="2" t="str">
        <x:v>Tp Hồ Chí Minh|other_unknown</x:v>
      </x:c>
      <x:c r="P1272" s="10" t="n">
        <x:v>2</x:v>
      </x:c>
      <x:c r="Q1272" s="13" t="n">
        <x:f>IF(H1272="","",H1272/1000000000)</x:f>
        <x:v>5.5</x:v>
      </x:c>
      <x:c r="R1272" s="13" t="n">
        <x:f>IF(I1272="","",I1272/1000000)</x:f>
        <x:v>55</x:v>
      </x:c>
    </x:row>
    <x:row r="1273" ht="21" customHeight="1">
      <x:c r="A1273" s="10" t="n">
        <x:v>2037</x:v>
      </x:c>
      <x:c r="B1273" s="2" t="str">
        <x:v>2bb06afdcbce08097d1d</x:v>
      </x:c>
      <x:c r="C1273" s="2" t="str">
        <x:v>Long An</x:v>
      </x:c>
      <x:c r="D1273" s="2" t="str">
        <x:v>Huyện Đức Hòa</x:v>
      </x:c>
      <x:c r="E1273" s="2" t="str">
        <x:v>land</x:v>
      </x:c>
      <x:c r="F1273" s="2" t="str">
        <x:v>sale</x:v>
      </x:c>
      <x:c r="G1273" s="11" t="n">
        <x:v>271</x:v>
      </x:c>
      <x:c r="H1273" s="12" t="n">
        <x:v>3000000000</x:v>
      </x:c>
      <x:c r="I1273" s="12" t="n">
        <x:v>11070110.70110701</x:v>
      </x:c>
      <x:c r="J1273" s="2" t="str">
        <x:v>total</x:v>
      </x:c>
      <x:c r="K1273" s="2" t="str">
        <x:v>top_level_area</x:v>
      </x:c>
      <x:c r="L1273" s="2" t="str">
        <x:v>property_type_inferred_from_title</x:v>
      </x:c>
      <x:c r="M1273" s="10" t="n">
        <x:v>0</x:v>
      </x:c>
      <x:c r="N1273" s="10" t="n">
        <x:v>0</x:v>
      </x:c>
      <x:c r="O1273" s="2" t="str">
        <x:v>Long An|land</x:v>
      </x:c>
      <x:c r="P1273" s="10" t="n">
        <x:v>2</x:v>
      </x:c>
      <x:c r="Q1273" s="13" t="n">
        <x:f>IF(H1273="","",H1273/1000000000)</x:f>
        <x:v>3</x:v>
      </x:c>
      <x:c r="R1273" s="13" t="n">
        <x:f>IF(I1273="","",I1273/1000000)</x:f>
        <x:v>11.07011070110701</x:v>
      </x:c>
    </x:row>
    <x:row r="1274" ht="21" customHeight="1">
      <x:c r="A1274" s="10" t="n">
        <x:v>2038</x:v>
      </x:c>
      <x:c r="B1274" s="2" t="str">
        <x:v>6126e97ac330b5d7c829</x:v>
      </x:c>
      <x:c r="C1274" s="2" t="str">
        <x:v>Tp Hồ Chí Minh</x:v>
      </x:c>
      <x:c r="D1274" s="2" t="str">
        <x:v>Quận Bình Tân</x:v>
      </x:c>
      <x:c r="E1274" s="2" t="str">
        <x:v>house</x:v>
      </x:c>
      <x:c r="F1274" s="2" t="str">
        <x:v>sale_assumed</x:v>
      </x:c>
      <x:c r="G1274" s="11" t="n">
        <x:v>139.5</x:v>
      </x:c>
      <x:c r="H1274" s="12" t="n">
        <x:v>7000000000</x:v>
      </x:c>
      <x:c r="I1274" s="12" t="n">
        <x:v>50179211.46953405</x:v>
      </x:c>
      <x:c r="J1274" s="2" t="str">
        <x:v>total</x:v>
      </x:c>
      <x:c r="K1274" s="2" t="str">
        <x:v>top_level_area</x:v>
      </x:c>
      <x:c r="L1274" s="2" t="str">
        <x:v>property_type_inferred_from_title;transaction_assumed_sale_from_dataset_context</x:v>
      </x:c>
      <x:c r="M1274" s="10" t="n">
        <x:v>0</x:v>
      </x:c>
      <x:c r="N1274" s="10" t="n">
        <x:v>0</x:v>
      </x:c>
      <x:c r="O1274" s="2" t="str">
        <x:v>Tp Hồ Chí Minh|house</x:v>
      </x:c>
      <x:c r="P1274" s="10" t="n">
        <x:v>2</x:v>
      </x:c>
      <x:c r="Q1274" s="13" t="n">
        <x:f>IF(H1274="","",H1274/1000000000)</x:f>
        <x:v>7</x:v>
      </x:c>
      <x:c r="R1274" s="13" t="n">
        <x:f>IF(I1274="","",I1274/1000000)</x:f>
        <x:v>50.179211469534046</x:v>
      </x:c>
    </x:row>
    <x:row r="1275" ht="21" customHeight="1">
      <x:c r="A1275" s="10" t="n">
        <x:v>2039</x:v>
      </x:c>
      <x:c r="B1275" s="2" t="str">
        <x:v>9216bb04ffc679e30df3</x:v>
      </x:c>
      <x:c r="C1275" s="2" t="str">
        <x:v>Hà Nội</x:v>
      </x:c>
      <x:c r="D1275" s="2" t="str">
        <x:v>Quận Hà Đông</x:v>
      </x:c>
      <x:c r="E1275" s="2" t="str">
        <x:v>house</x:v>
      </x:c>
      <x:c r="F1275" s="2" t="str">
        <x:v>sale</x:v>
      </x:c>
      <x:c r="G1275" s="11" t="n">
        <x:v>33</x:v>
      </x:c>
      <x:c r="H1275" s="12" t="n">
        <x:v>2520000000</x:v>
      </x:c>
      <x:c r="I1275" s="12" t="n">
        <x:v>76363636.36363636</x:v>
      </x:c>
      <x:c r="J1275" s="2" t="str">
        <x:v>total</x:v>
      </x:c>
      <x:c r="K1275" s="2" t="str">
        <x:v>top_level_area</x:v>
      </x:c>
      <x:c r="L1275" s="2" t="str">
        <x:v>property_type_inferred_from_title</x:v>
      </x:c>
      <x:c r="M1275" s="10" t="n">
        <x:v>0</x:v>
      </x:c>
      <x:c r="N1275" s="10" t="n">
        <x:v>0</x:v>
      </x:c>
      <x:c r="O1275" s="2" t="str">
        <x:v>Hà Nội|house</x:v>
      </x:c>
      <x:c r="P1275" s="10" t="n">
        <x:v>2</x:v>
      </x:c>
      <x:c r="Q1275" s="13" t="n">
        <x:f>IF(H1275="","",H1275/1000000000)</x:f>
        <x:v>2.52</x:v>
      </x:c>
      <x:c r="R1275" s="13" t="n">
        <x:f>IF(I1275="","",I1275/1000000)</x:f>
        <x:v>76.36363636363636</x:v>
      </x:c>
    </x:row>
    <x:row r="1276" ht="21" customHeight="1">
      <x:c r="A1276" s="10" t="n">
        <x:v>2040</x:v>
      </x:c>
      <x:c r="B1276" s="2" t="str">
        <x:v>413ddeae6be478565f30</x:v>
      </x:c>
      <x:c r="C1276" s="2" t="str">
        <x:v>Vĩnh Long</x:v>
      </x:c>
      <x:c r="D1276" s="2" t="str">
        <x:v>Thành phố Vĩnh Long</x:v>
      </x:c>
      <x:c r="E1276" s="2" t="str">
        <x:v>house</x:v>
      </x:c>
      <x:c r="F1276" s="2" t="str">
        <x:v>sale</x:v>
      </x:c>
      <x:c r="G1276" s="11" t="n">
        <x:v>57</x:v>
      </x:c>
      <x:c r="H1276" s="12" t="n">
        <x:v>2900000000</x:v>
      </x:c>
      <x:c r="I1276" s="12" t="n">
        <x:v>50877192.98245614</x:v>
      </x:c>
      <x:c r="J1276" s="2" t="str">
        <x:v>total</x:v>
      </x:c>
      <x:c r="K1276" s="2" t="str">
        <x:v>top_level_area</x:v>
      </x:c>
      <x:c r="L1276" s="2" t="str">
        <x:v>property_type_inferred_from_title</x:v>
      </x:c>
      <x:c r="M1276" s="10" t="n">
        <x:v>0</x:v>
      </x:c>
      <x:c r="N1276" s="10" t="n">
        <x:v>0</x:v>
      </x:c>
      <x:c r="O1276" s="2" t="str">
        <x:v>house</x:v>
      </x:c>
      <x:c r="P1276" s="10" t="n">
        <x:v>2</x:v>
      </x:c>
      <x:c r="Q1276" s="13" t="n">
        <x:f>IF(H1276="","",H1276/1000000000)</x:f>
        <x:v>2.9</x:v>
      </x:c>
      <x:c r="R1276" s="13" t="n">
        <x:f>IF(I1276="","",I1276/1000000)</x:f>
        <x:v>50.87719298245614</x:v>
      </x:c>
    </x:row>
    <x:row r="1277" ht="21" customHeight="1">
      <x:c r="A1277" s="10" t="n">
        <x:v>2041</x:v>
      </x:c>
      <x:c r="B1277" s="2" t="str">
        <x:v>e19241826e08ccded93b</x:v>
      </x:c>
      <x:c r="C1277" s="2" t="str">
        <x:v>Cần Thơ</x:v>
      </x:c>
      <x:c r="D1277" s="2" t="str">
        <x:v>Quận Ninh Kiều</x:v>
      </x:c>
      <x:c r="E1277" s="2" t="str">
        <x:v>house</x:v>
      </x:c>
      <x:c r="F1277" s="2" t="str">
        <x:v>sale_assumed</x:v>
      </x:c>
      <x:c r="G1277" s="11" t="n">
        <x:v>64</x:v>
      </x:c>
      <x:c r="H1277" s="12" t="n">
        <x:v>4350000000</x:v>
      </x:c>
      <x:c r="I1277" s="12" t="n">
        <x:v>67968750</x:v>
      </x:c>
      <x:c r="J1277" s="2" t="str">
        <x:v>total</x:v>
      </x:c>
      <x:c r="K1277" s="2" t="str">
        <x:v>top_level_area</x:v>
      </x:c>
      <x:c r="L1277" s="2" t="str">
        <x:v>property_type_inferred_from_title;transaction_assumed_sale_from_dataset_context</x:v>
      </x:c>
      <x:c r="M1277" s="10" t="n">
        <x:v>0</x:v>
      </x:c>
      <x:c r="N1277" s="10" t="n">
        <x:v>0</x:v>
      </x:c>
      <x:c r="O1277" s="2" t="str">
        <x:v>Cần Thơ|house</x:v>
      </x:c>
      <x:c r="P1277" s="10" t="n">
        <x:v>2</x:v>
      </x:c>
      <x:c r="Q1277" s="13" t="n">
        <x:f>IF(H1277="","",H1277/1000000000)</x:f>
        <x:v>4.35</x:v>
      </x:c>
      <x:c r="R1277" s="13" t="n">
        <x:f>IF(I1277="","",I1277/1000000)</x:f>
        <x:v>67.96875</x:v>
      </x:c>
    </x:row>
    <x:row r="1278" ht="21" customHeight="1">
      <x:c r="A1278" s="10" t="n">
        <x:v>2043</x:v>
      </x:c>
      <x:c r="B1278" s="2" t="str">
        <x:v>40a01c35d5777a898777</x:v>
      </x:c>
      <x:c r="C1278" s="2" t="str">
        <x:v>Tp Hồ Chí Minh</x:v>
      </x:c>
      <x:c r="D1278" s="2" t="str">
        <x:v>Quận Gò Vấp</x:v>
      </x:c>
      <x:c r="E1278" s="2" t="str">
        <x:v>apartment</x:v>
      </x:c>
      <x:c r="F1278" s="2" t="str">
        <x:v>sale_assumed</x:v>
      </x:c>
      <x:c r="G1278" s="11" t="n">
        <x:v>56</x:v>
      </x:c>
      <x:c r="H1278" s="12" t="n">
        <x:v>1550000000</x:v>
      </x:c>
      <x:c r="I1278" s="12" t="n">
        <x:v>27678571.42857143</x:v>
      </x:c>
      <x:c r="J1278" s="2" t="str">
        <x:v>total</x:v>
      </x:c>
      <x:c r="K1278" s="2" t="str">
        <x:v>top_level_area</x:v>
      </x:c>
      <x:c r="L1278" s="2" t="str">
        <x:v>property_type_inferred_from_title;transaction_assumed_sale_from_dataset_context</x:v>
      </x:c>
      <x:c r="M1278" s="10" t="n">
        <x:v>0</x:v>
      </x:c>
      <x:c r="N1278" s="10" t="n">
        <x:v>0</x:v>
      </x:c>
      <x:c r="O1278" s="2" t="str">
        <x:v>Tp Hồ Chí Minh|apartment</x:v>
      </x:c>
      <x:c r="P1278" s="10" t="n">
        <x:v>2</x:v>
      </x:c>
      <x:c r="Q1278" s="13" t="n">
        <x:f>IF(H1278="","",H1278/1000000000)</x:f>
        <x:v>1.55</x:v>
      </x:c>
      <x:c r="R1278" s="13" t="n">
        <x:f>IF(I1278="","",I1278/1000000)</x:f>
        <x:v>27.67857142857143</x:v>
      </x:c>
    </x:row>
    <x:row r="1279" ht="21" customHeight="1">
      <x:c r="A1279" s="10" t="n">
        <x:v>2044</x:v>
      </x:c>
      <x:c r="B1279" s="2" t="str">
        <x:v>281e3469cc2d0ef30363</x:v>
      </x:c>
      <x:c r="C1279" s="2" t="str">
        <x:v>Tp Hồ Chí Minh</x:v>
      </x:c>
      <x:c r="D1279" s="2" t="str">
        <x:v>Quận Gò Vấp</x:v>
      </x:c>
      <x:c r="E1279" s="2" t="str">
        <x:v>house</x:v>
      </x:c>
      <x:c r="F1279" s="2" t="str">
        <x:v>sale_assumed</x:v>
      </x:c>
      <x:c r="G1279" s="11" t="n">
        <x:v>40</x:v>
      </x:c>
      <x:c r="H1279" s="12" t="n">
        <x:v>5400000000</x:v>
      </x:c>
      <x:c r="I1279" s="12" t="n">
        <x:v>135000000</x:v>
      </x:c>
      <x:c r="J1279" s="2" t="str">
        <x:v>total</x:v>
      </x:c>
      <x:c r="K1279" s="2" t="str">
        <x:v>top_level_area</x:v>
      </x:c>
      <x:c r="L1279" s="2" t="str">
        <x:v>property_type_inferred_from_title;transaction_assumed_sale_from_dataset_context</x:v>
      </x:c>
      <x:c r="M1279" s="10" t="n">
        <x:v>0</x:v>
      </x:c>
      <x:c r="N1279" s="10" t="n">
        <x:v>0</x:v>
      </x:c>
      <x:c r="O1279" s="2" t="str">
        <x:v>Tp Hồ Chí Minh|house</x:v>
      </x:c>
      <x:c r="P1279" s="10" t="n">
        <x:v>2</x:v>
      </x:c>
      <x:c r="Q1279" s="13" t="n">
        <x:f>IF(H1279="","",H1279/1000000000)</x:f>
        <x:v>5.4</x:v>
      </x:c>
      <x:c r="R1279" s="13" t="n">
        <x:f>IF(I1279="","",I1279/1000000)</x:f>
        <x:v>135</x:v>
      </x:c>
    </x:row>
    <x:row r="1280" ht="21" customHeight="1">
      <x:c r="A1280" s="10" t="n">
        <x:v>2045</x:v>
      </x:c>
      <x:c r="B1280" s="2" t="str">
        <x:v>fe6e36db5215f22e8005</x:v>
      </x:c>
      <x:c r="C1280" s="2" t="str">
        <x:v>Đồng Nai</x:v>
      </x:c>
      <x:c r="D1280" s="2" t="str">
        <x:v>Thành phố Biên Hòa</x:v>
      </x:c>
      <x:c r="E1280" s="2" t="str">
        <x:v>other_unknown</x:v>
      </x:c>
      <x:c r="F1280" s="2" t="str">
        <x:v>sale_assumed</x:v>
      </x:c>
      <x:c r="G1280" s="11" t="n">
        <x:v>46</x:v>
      </x:c>
      <x:c r="H1280" s="12" t="n">
        <x:v>498000000</x:v>
      </x:c>
      <x:c r="I1280" s="12" t="n">
        <x:v>10826086.956521738</x:v>
      </x:c>
      <x:c r="J1280" s="2" t="str">
        <x:v>total</x:v>
      </x:c>
      <x:c r="K1280" s="2" t="str">
        <x:v>top_level_price_embedded_area</x:v>
      </x:c>
      <x:c r="L1280" s="2" t="str">
        <x:v>area_recovered_from_price_text;property_type_inferred_from_title;transaction_assumed_sale_from_dataset_context;unknown_property_type</x:v>
      </x:c>
      <x:c r="M1280" s="10" t="n">
        <x:v>0</x:v>
      </x:c>
      <x:c r="N1280" s="10" t="n">
        <x:v>0</x:v>
      </x:c>
      <x:c r="O1280" s="2" t="str">
        <x:v>Đồng Nai|other_unknown</x:v>
      </x:c>
      <x:c r="P1280" s="10" t="n">
        <x:v>2</x:v>
      </x:c>
      <x:c r="Q1280" s="13" t="n">
        <x:f>IF(H1280="","",H1280/1000000000)</x:f>
        <x:v>0.498</x:v>
      </x:c>
      <x:c r="R1280" s="13" t="n">
        <x:f>IF(I1280="","",I1280/1000000)</x:f>
        <x:v>10.826086956521738</x:v>
      </x:c>
    </x:row>
    <x:row r="1281" ht="21" customHeight="1">
      <x:c r="A1281" s="10" t="n">
        <x:v>2046</x:v>
      </x:c>
      <x:c r="B1281" s="2" t="str">
        <x:v>bb98ae9a3d21d6e69e70</x:v>
      </x:c>
      <x:c r="C1281" s="2" t="str">
        <x:v>Tp Hồ Chí Minh</x:v>
      </x:c>
      <x:c r="D1281" s="2" t="str">
        <x:v>Huyện Hóc Môn</x:v>
      </x:c>
      <x:c r="E1281" s="2" t="str">
        <x:v>house</x:v>
      </x:c>
      <x:c r="F1281" s="2" t="str">
        <x:v>sale</x:v>
      </x:c>
      <x:c r="G1281" s="11" t="n">
        <x:v>160</x:v>
      </x:c>
      <x:c r="H1281" s="12" t="n">
        <x:v>4970000000</x:v>
      </x:c>
      <x:c r="I1281" s="12" t="n">
        <x:v>31062500</x:v>
      </x:c>
      <x:c r="J1281" s="2" t="str">
        <x:v>total</x:v>
      </x:c>
      <x:c r="K1281" s="2" t="str">
        <x:v>top_level_area</x:v>
      </x:c>
      <x:c r="L1281" s="2" t="str">
        <x:v>property_type_inferred_from_title</x:v>
      </x:c>
      <x:c r="M1281" s="10" t="n">
        <x:v>0</x:v>
      </x:c>
      <x:c r="N1281" s="10" t="n">
        <x:v>0</x:v>
      </x:c>
      <x:c r="O1281" s="2" t="str">
        <x:v>Tp Hồ Chí Minh|house</x:v>
      </x:c>
      <x:c r="P1281" s="10" t="n">
        <x:v>2</x:v>
      </x:c>
      <x:c r="Q1281" s="13" t="n">
        <x:f>IF(H1281="","",H1281/1000000000)</x:f>
        <x:v>4.97</x:v>
      </x:c>
      <x:c r="R1281" s="13" t="n">
        <x:f>IF(I1281="","",I1281/1000000)</x:f>
        <x:v>31.0625</x:v>
      </x:c>
    </x:row>
    <x:row r="1282" ht="21" customHeight="1">
      <x:c r="A1282" s="10" t="n">
        <x:v>2047</x:v>
      </x:c>
      <x:c r="B1282" s="2" t="str">
        <x:v>15cdfebfdaee0314af4c</x:v>
      </x:c>
      <x:c r="C1282" s="2" t="str">
        <x:v>Đà Nẵng</x:v>
      </x:c>
      <x:c r="D1282" s="2" t="str">
        <x:v>Quận Thanh Khê</x:v>
      </x:c>
      <x:c r="E1282" s="2" t="str">
        <x:v>other_unknown</x:v>
      </x:c>
      <x:c r="F1282" s="2" t="str">
        <x:v>sale_assumed</x:v>
      </x:c>
      <x:c r="G1282" s="11" t="n">
        <x:v>57</x:v>
      </x:c>
      <x:c r="H1282" s="12" t="n">
        <x:v>1750000000</x:v>
      </x:c>
      <x:c r="I1282" s="12" t="n">
        <x:v>30701754.38596491</x:v>
      </x:c>
      <x:c r="J1282" s="2" t="str">
        <x:v>total</x:v>
      </x:c>
      <x:c r="K1282" s="2" t="str">
        <x:v>top_level_area</x:v>
      </x:c>
      <x:c r="L1282" s="2" t="str">
        <x:v>property_type_inferred_from_title;transaction_assumed_sale_from_dataset_context;unknown_property_type</x:v>
      </x:c>
      <x:c r="M1282" s="10" t="n">
        <x:v>0</x:v>
      </x:c>
      <x:c r="N1282" s="10" t="n">
        <x:v>0</x:v>
      </x:c>
      <x:c r="O1282" s="2" t="str">
        <x:v>Đà Nẵng|other_unknown</x:v>
      </x:c>
      <x:c r="P1282" s="10" t="n">
        <x:v>2</x:v>
      </x:c>
      <x:c r="Q1282" s="13" t="n">
        <x:f>IF(H1282="","",H1282/1000000000)</x:f>
        <x:v>1.75</x:v>
      </x:c>
      <x:c r="R1282" s="13" t="n">
        <x:f>IF(I1282="","",I1282/1000000)</x:f>
        <x:v>30.70175438596491</x:v>
      </x:c>
    </x:row>
    <x:row r="1283" ht="21" customHeight="1">
      <x:c r="A1283" s="10" t="n">
        <x:v>2048</x:v>
      </x:c>
      <x:c r="B1283" s="2" t="str">
        <x:v>3da681de88f38581af68</x:v>
      </x:c>
      <x:c r="C1283" s="2" t="str">
        <x:v>Tp Hồ Chí Minh</x:v>
      </x:c>
      <x:c r="D1283" s="2" t="str">
        <x:v>Quận 12</x:v>
      </x:c>
      <x:c r="E1283" s="2" t="str">
        <x:v>house</x:v>
      </x:c>
      <x:c r="F1283" s="2" t="str">
        <x:v>sale</x:v>
      </x:c>
      <x:c r="G1283" s="11" t="n">
        <x:v>38</x:v>
      </x:c>
      <x:c r="H1283" s="12" t="n">
        <x:v>830000000</x:v>
      </x:c>
      <x:c r="I1283" s="12" t="n">
        <x:v>21842105.263157893</x:v>
      </x:c>
      <x:c r="J1283" s="2" t="str">
        <x:v>total</x:v>
      </x:c>
      <x:c r="K1283" s="2" t="str">
        <x:v>top_level_area</x:v>
      </x:c>
      <x:c r="L1283" s="2" t="str">
        <x:v>property_type_inferred_from_title</x:v>
      </x:c>
      <x:c r="M1283" s="10" t="n">
        <x:v>0</x:v>
      </x:c>
      <x:c r="N1283" s="10" t="n">
        <x:v>0</x:v>
      </x:c>
      <x:c r="O1283" s="2" t="str">
        <x:v>Tp Hồ Chí Minh|house</x:v>
      </x:c>
      <x:c r="P1283" s="10" t="n">
        <x:v>2</x:v>
      </x:c>
      <x:c r="Q1283" s="13" t="n">
        <x:f>IF(H1283="","",H1283/1000000000)</x:f>
        <x:v>0.83</x:v>
      </x:c>
      <x:c r="R1283" s="13" t="n">
        <x:f>IF(I1283="","",I1283/1000000)</x:f>
        <x:v>21.842105263157894</x:v>
      </x:c>
    </x:row>
    <x:row r="1284" ht="21" customHeight="1">
      <x:c r="A1284" s="10" t="n">
        <x:v>2049</x:v>
      </x:c>
      <x:c r="B1284" s="2" t="str">
        <x:v>cc24467bfc990f043d5f</x:v>
      </x:c>
      <x:c r="C1284" s="2" t="str">
        <x:v>Tp Hồ Chí Minh</x:v>
      </x:c>
      <x:c r="D1284" s="2" t="str">
        <x:v>Quận Bình Tân</x:v>
      </x:c>
      <x:c r="E1284" s="2" t="str">
        <x:v>house</x:v>
      </x:c>
      <x:c r="F1284" s="2" t="str">
        <x:v>sale</x:v>
      </x:c>
      <x:c r="G1284" s="11" t="n">
        <x:v>36</x:v>
      </x:c>
      <x:c r="H1284" s="12" t="n">
        <x:v>1350000000</x:v>
      </x:c>
      <x:c r="I1284" s="12" t="n">
        <x:v>37500000</x:v>
      </x:c>
      <x:c r="J1284" s="2" t="str">
        <x:v>total</x:v>
      </x:c>
      <x:c r="K1284" s="2" t="str">
        <x:v>top_level_area</x:v>
      </x:c>
      <x:c r="L1284" s="2" t="str">
        <x:v>property_type_inferred_from_title</x:v>
      </x:c>
      <x:c r="M1284" s="10" t="n">
        <x:v>0</x:v>
      </x:c>
      <x:c r="N1284" s="10" t="n">
        <x:v>0</x:v>
      </x:c>
      <x:c r="O1284" s="2" t="str">
        <x:v>Tp Hồ Chí Minh|house</x:v>
      </x:c>
      <x:c r="P1284" s="10" t="n">
        <x:v>2</x:v>
      </x:c>
      <x:c r="Q1284" s="13" t="n">
        <x:f>IF(H1284="","",H1284/1000000000)</x:f>
        <x:v>1.35</x:v>
      </x:c>
      <x:c r="R1284" s="13" t="n">
        <x:f>IF(I1284="","",I1284/1000000)</x:f>
        <x:v>37.5</x:v>
      </x:c>
    </x:row>
    <x:row r="1285" ht="21" customHeight="1">
      <x:c r="A1285" s="10" t="n">
        <x:v>2050</x:v>
      </x:c>
      <x:c r="B1285" s="2" t="str">
        <x:v>38dae0060b70434a46e3</x:v>
      </x:c>
      <x:c r="C1285" s="2" t="str">
        <x:v>Đà Nẵng</x:v>
      </x:c>
      <x:c r="D1285" s="2" t="str">
        <x:v>Huyện Hòa Vang</x:v>
      </x:c>
      <x:c r="E1285" s="2" t="str">
        <x:v>land</x:v>
      </x:c>
      <x:c r="F1285" s="2" t="str">
        <x:v>sale_assumed</x:v>
      </x:c>
      <x:c r="G1285" s="11" t="n">
        <x:v>49000</x:v>
      </x:c>
      <x:c r="H1285" s="12" t="n">
        <x:v>10000000000</x:v>
      </x:c>
      <x:c r="I1285" s="12" t="n">
        <x:v>204081.6326530612</x:v>
      </x:c>
      <x:c r="J1285" s="2" t="str">
        <x:v>total</x:v>
      </x:c>
      <x:c r="K1285" s="2" t="str">
        <x:v>top_level_area</x:v>
      </x:c>
      <x:c r="L1285" s="2" t="str">
        <x:v>dot_thousands_convention;property_type_inferred_from_title;transaction_assumed_sale_from_dataset_context</x:v>
      </x:c>
      <x:c r="M1285" s="10" t="n">
        <x:v>0</x:v>
      </x:c>
      <x:c r="N1285" s="10" t="n">
        <x:v>0</x:v>
      </x:c>
      <x:c r="O1285" s="2" t="str">
        <x:v>Đà Nẵng|land</x:v>
      </x:c>
      <x:c r="P1285" s="10" t="n">
        <x:v>1</x:v>
      </x:c>
      <x:c r="Q1285" s="13" t="n">
        <x:f>IF(H1285="","",H1285/1000000000)</x:f>
        <x:v>10</x:v>
      </x:c>
      <x:c r="R1285" s="13" t="n">
        <x:f>IF(I1285="","",I1285/1000000)</x:f>
        <x:v>0.2040816326530612</x:v>
      </x:c>
    </x:row>
    <x:row r="1286" ht="21" customHeight="1">
      <x:c r="A1286" s="10" t="n">
        <x:v>2052</x:v>
      </x:c>
      <x:c r="B1286" s="2" t="str">
        <x:v>047dd8b9e28cca95f2aa</x:v>
      </x:c>
      <x:c r="C1286" s="2" t="str">
        <x:v>Tp Hồ Chí Minh</x:v>
      </x:c>
      <x:c r="D1286" s="2" t="str">
        <x:v>Quận Bình Tân</x:v>
      </x:c>
      <x:c r="E1286" s="2" t="str">
        <x:v>house</x:v>
      </x:c>
      <x:c r="F1286" s="2" t="str">
        <x:v>sale_assumed</x:v>
      </x:c>
      <x:c r="G1286" s="11" t="n">
        <x:v>76</x:v>
      </x:c>
      <x:c r="H1286" s="12" t="n">
        <x:v>6650000000</x:v>
      </x:c>
      <x:c r="I1286" s="12" t="n">
        <x:v>87500000</x:v>
      </x:c>
      <x:c r="J1286" s="2" t="str">
        <x:v>total</x:v>
      </x:c>
      <x:c r="K1286" s="2" t="str">
        <x:v>top_level_price_embedded_area</x:v>
      </x:c>
      <x:c r="L1286" s="2" t="str">
        <x:v>area_recovered_from_price_text;property_type_inferred_from_title;transaction_assumed_sale_from_dataset_context</x:v>
      </x:c>
      <x:c r="M1286" s="10" t="n">
        <x:v>0</x:v>
      </x:c>
      <x:c r="N1286" s="10" t="n">
        <x:v>0</x:v>
      </x:c>
      <x:c r="O1286" s="2" t="str">
        <x:v>Tp Hồ Chí Minh|house</x:v>
      </x:c>
      <x:c r="P1286" s="10" t="n">
        <x:v>2</x:v>
      </x:c>
      <x:c r="Q1286" s="13" t="n">
        <x:f>IF(H1286="","",H1286/1000000000)</x:f>
        <x:v>6.65</x:v>
      </x:c>
      <x:c r="R1286" s="13" t="n">
        <x:f>IF(I1286="","",I1286/1000000)</x:f>
        <x:v>87.5</x:v>
      </x:c>
    </x:row>
    <x:row r="1287" ht="21" customHeight="1">
      <x:c r="A1287" s="10" t="n">
        <x:v>2053</x:v>
      </x:c>
      <x:c r="B1287" s="2" t="str">
        <x:v>89d132b63e8b1009632d</x:v>
      </x:c>
      <x:c r="C1287" s="2" t="str">
        <x:v>Bình Thuận</x:v>
      </x:c>
      <x:c r="D1287" s="2" t="str">
        <x:v>Thành phố Phan Thiết</x:v>
      </x:c>
      <x:c r="E1287" s="2" t="str">
        <x:v>house</x:v>
      </x:c>
      <x:c r="F1287" s="2" t="str">
        <x:v>sale_assumed</x:v>
      </x:c>
      <x:c r="G1287" s="11" t="n">
        <x:v>170</x:v>
      </x:c>
      <x:c r="H1287" s="12" t="n">
        <x:v>6900000000</x:v>
      </x:c>
      <x:c r="I1287" s="12" t="n">
        <x:v>40588235.294117644</x:v>
      </x:c>
      <x:c r="J1287" s="2" t="str">
        <x:v>total</x:v>
      </x:c>
      <x:c r="K1287" s="2" t="str">
        <x:v>top_level_area</x:v>
      </x:c>
      <x:c r="L1287" s="2" t="str">
        <x:v>property_type_inferred_from_title;transaction_assumed_sale_from_dataset_context</x:v>
      </x:c>
      <x:c r="M1287" s="10" t="n">
        <x:v>0</x:v>
      </x:c>
      <x:c r="N1287" s="10" t="n">
        <x:v>0</x:v>
      </x:c>
      <x:c r="O1287" s="2" t="str">
        <x:v>house</x:v>
      </x:c>
      <x:c r="P1287" s="10" t="n">
        <x:v>2</x:v>
      </x:c>
      <x:c r="Q1287" s="13" t="n">
        <x:f>IF(H1287="","",H1287/1000000000)</x:f>
        <x:v>6.9</x:v>
      </x:c>
      <x:c r="R1287" s="13" t="n">
        <x:f>IF(I1287="","",I1287/1000000)</x:f>
        <x:v>40.588235294117645</x:v>
      </x:c>
    </x:row>
    <x:row r="1288" ht="21" customHeight="1">
      <x:c r="A1288" s="10" t="n">
        <x:v>2054</x:v>
      </x:c>
      <x:c r="B1288" s="2" t="str">
        <x:v>7cd505f620acc614dd96</x:v>
      </x:c>
      <x:c r="C1288" s="2" t="str">
        <x:v>Tp Hồ Chí Minh</x:v>
      </x:c>
      <x:c r="D1288" s="2" t="str">
        <x:v>Quận 6</x:v>
      </x:c>
      <x:c r="E1288" s="2" t="str">
        <x:v>house</x:v>
      </x:c>
      <x:c r="F1288" s="2" t="str">
        <x:v>sale</x:v>
      </x:c>
      <x:c r="G1288" s="11" t="n">
        <x:v>50</x:v>
      </x:c>
      <x:c r="H1288" s="12" t="n">
        <x:v>4700000000</x:v>
      </x:c>
      <x:c r="I1288" s="12" t="n">
        <x:v>94000000</x:v>
      </x:c>
      <x:c r="J1288" s="2" t="str">
        <x:v>total</x:v>
      </x:c>
      <x:c r="K1288" s="2" t="str">
        <x:v>top_level_area</x:v>
      </x:c>
      <x:c r="L1288" s="2" t="str">
        <x:v>property_type_inferred_from_title</x:v>
      </x:c>
      <x:c r="M1288" s="10" t="n">
        <x:v>0</x:v>
      </x:c>
      <x:c r="N1288" s="10" t="n">
        <x:v>0</x:v>
      </x:c>
      <x:c r="O1288" s="2" t="str">
        <x:v>Tp Hồ Chí Minh|house</x:v>
      </x:c>
      <x:c r="P1288" s="10" t="n">
        <x:v>2</x:v>
      </x:c>
      <x:c r="Q1288" s="13" t="n">
        <x:f>IF(H1288="","",H1288/1000000000)</x:f>
        <x:v>4.7</x:v>
      </x:c>
      <x:c r="R1288" s="13" t="n">
        <x:f>IF(I1288="","",I1288/1000000)</x:f>
        <x:v>94</x:v>
      </x:c>
    </x:row>
    <x:row r="1289" ht="21" customHeight="1">
      <x:c r="A1289" s="10" t="n">
        <x:v>2055</x:v>
      </x:c>
      <x:c r="B1289" s="2" t="str">
        <x:v>fd752b0df578f3149371</x:v>
      </x:c>
      <x:c r="C1289" s="2" t="str">
        <x:v>Đồng Nai</x:v>
      </x:c>
      <x:c r="D1289" s="2" t="str">
        <x:v>Huyện Trảng Bom</x:v>
      </x:c>
      <x:c r="E1289" s="2" t="str">
        <x:v>land</x:v>
      </x:c>
      <x:c r="F1289" s="2" t="str">
        <x:v>sale_assumed</x:v>
      </x:c>
      <x:c r="G1289" s="11" t="n">
        <x:v>3334</x:v>
      </x:c>
      <x:c r="H1289" s="12" t="n">
        <x:v>3650000000</x:v>
      </x:c>
      <x:c r="I1289" s="12" t="n">
        <x:v>1094781.0437912417</x:v>
      </x:c>
      <x:c r="J1289" s="2" t="str">
        <x:v>total</x:v>
      </x:c>
      <x:c r="K1289" s="2" t="str">
        <x:v>top_level_area</x:v>
      </x:c>
      <x:c r="L1289" s="2" t="str">
        <x:v>dot_thousands_convention;property_type_inferred_from_title;transaction_assumed_sale_from_dataset_context</x:v>
      </x:c>
      <x:c r="M1289" s="10" t="n">
        <x:v>0</x:v>
      </x:c>
      <x:c r="N1289" s="10" t="n">
        <x:v>0</x:v>
      </x:c>
      <x:c r="O1289" s="2" t="str">
        <x:v>Đồng Nai|land</x:v>
      </x:c>
      <x:c r="P1289" s="10" t="n">
        <x:v>1</x:v>
      </x:c>
      <x:c r="Q1289" s="13" t="n">
        <x:f>IF(H1289="","",H1289/1000000000)</x:f>
        <x:v>3.65</x:v>
      </x:c>
      <x:c r="R1289" s="13" t="n">
        <x:f>IF(I1289="","",I1289/1000000)</x:f>
        <x:v>1.0947810437912417</x:v>
      </x:c>
    </x:row>
    <x:row r="1290" ht="21" customHeight="1">
      <x:c r="A1290" s="10" t="n">
        <x:v>2056</x:v>
      </x:c>
      <x:c r="B1290" s="2" t="str">
        <x:v>e7320019508ff200b780</x:v>
      </x:c>
      <x:c r="C1290" s="2" t="str">
        <x:v>Tp Hồ Chí Minh</x:v>
      </x:c>
      <x:c r="D1290" s="2" t="str">
        <x:v>Quận Tân Phú</x:v>
      </x:c>
      <x:c r="E1290" s="2" t="str">
        <x:v>apartment</x:v>
      </x:c>
      <x:c r="F1290" s="2" t="str">
        <x:v>sale_assumed</x:v>
      </x:c>
      <x:c r="G1290" s="11" t="n">
        <x:v>96</x:v>
      </x:c>
      <x:c r="H1290" s="12" t="n">
        <x:v>80000000</x:v>
      </x:c>
      <x:c r="I1290" s="12" t="n">
        <x:v>833333.3333333334</x:v>
      </x:c>
      <x:c r="J1290" s="2" t="str">
        <x:v>total</x:v>
      </x:c>
      <x:c r="K1290" s="2" t="str">
        <x:v>top_level_area</x:v>
      </x:c>
      <x:c r="L1290" s="2" t="str">
        <x:v>property_type_inferred_from_title;transaction_assumed_sale_from_dataset_context</x:v>
      </x:c>
      <x:c r="M1290" s="10" t="n">
        <x:v>0</x:v>
      </x:c>
      <x:c r="N1290" s="10" t="n">
        <x:v>0</x:v>
      </x:c>
      <x:c r="O1290" s="2" t="str">
        <x:v>Tp Hồ Chí Minh|apartment</x:v>
      </x:c>
      <x:c r="P1290" s="10" t="n">
        <x:v>1</x:v>
      </x:c>
      <x:c r="Q1290" s="13" t="n">
        <x:f>IF(H1290="","",H1290/1000000000)</x:f>
        <x:v>0.08</x:v>
      </x:c>
      <x:c r="R1290" s="13" t="n">
        <x:f>IF(I1290="","",I1290/1000000)</x:f>
        <x:v>0.8333333333333334</x:v>
      </x:c>
    </x:row>
    <x:row r="1291" ht="21" customHeight="1">
      <x:c r="A1291" s="10" t="n">
        <x:v>2057</x:v>
      </x:c>
      <x:c r="B1291" s="2" t="str">
        <x:v>2e438fb2d503d493b2e7</x:v>
      </x:c>
      <x:c r="C1291" s="2" t="str">
        <x:v>Tp Hồ Chí Minh</x:v>
      </x:c>
      <x:c r="D1291" s="2" t="str">
        <x:v>Quận Bình Thạnh</x:v>
      </x:c>
      <x:c r="E1291" s="2" t="str">
        <x:v>other_unknown</x:v>
      </x:c>
      <x:c r="F1291" s="2" t="str">
        <x:v>sale_assumed</x:v>
      </x:c>
      <x:c r="G1291" s="11" t="n">
        <x:v>200</x:v>
      </x:c>
      <x:c r="H1291" s="12" t="n">
        <x:v>250000000</x:v>
      </x:c>
      <x:c r="I1291" s="12" t="n">
        <x:v>1250000</x:v>
      </x:c>
      <x:c r="J1291" s="2" t="str">
        <x:v>total</x:v>
      </x:c>
      <x:c r="K1291" s="2" t="str">
        <x:v>top_level_area</x:v>
      </x:c>
      <x:c r="L1291" s="2" t="str">
        <x:v>property_type_inferred_from_title;transaction_assumed_sale_from_dataset_context;unknown_property_type</x:v>
      </x:c>
      <x:c r="M1291" s="10" t="n">
        <x:v>0</x:v>
      </x:c>
      <x:c r="N1291" s="10" t="n">
        <x:v>0</x:v>
      </x:c>
      <x:c r="O1291" s="2" t="str">
        <x:v>Tp Hồ Chí Minh|other_unknown</x:v>
      </x:c>
      <x:c r="P1291" s="10" t="n">
        <x:v>1</x:v>
      </x:c>
      <x:c r="Q1291" s="13" t="n">
        <x:f>IF(H1291="","",H1291/1000000000)</x:f>
        <x:v>0.25</x:v>
      </x:c>
      <x:c r="R1291" s="13" t="n">
        <x:f>IF(I1291="","",I1291/1000000)</x:f>
        <x:v>1.25</x:v>
      </x:c>
    </x:row>
    <x:row r="1292" ht="21" customHeight="1">
      <x:c r="A1292" s="10" t="n">
        <x:v>2058</x:v>
      </x:c>
      <x:c r="B1292" s="2" t="str">
        <x:v>5994f3a0f5bf3df506e7</x:v>
      </x:c>
      <x:c r="C1292" s="2" t="str">
        <x:v>Tp Hồ Chí Minh</x:v>
      </x:c>
      <x:c r="D1292" s="2" t="str">
        <x:v>Quận 9</x:v>
      </x:c>
      <x:c r="E1292" s="2" t="str">
        <x:v>house</x:v>
      </x:c>
      <x:c r="F1292" s="2" t="str">
        <x:v>sale</x:v>
      </x:c>
      <x:c r="G1292" s="11" t="n">
        <x:v>62</x:v>
      </x:c>
      <x:c r="H1292" s="12" t="n">
        <x:v>2600000000</x:v>
      </x:c>
      <x:c r="I1292" s="12" t="n">
        <x:v>41935483.87096774</x:v>
      </x:c>
      <x:c r="J1292" s="2" t="str">
        <x:v>total</x:v>
      </x:c>
      <x:c r="K1292" s="2" t="str">
        <x:v>top_level_area</x:v>
      </x:c>
      <x:c r="L1292" s="2" t="str">
        <x:v>property_type_inferred_from_title</x:v>
      </x:c>
      <x:c r="M1292" s="10" t="n">
        <x:v>0</x:v>
      </x:c>
      <x:c r="N1292" s="10" t="n">
        <x:v>0</x:v>
      </x:c>
      <x:c r="O1292" s="2" t="str">
        <x:v>Tp Hồ Chí Minh|house</x:v>
      </x:c>
      <x:c r="P1292" s="10" t="n">
        <x:v>2</x:v>
      </x:c>
      <x:c r="Q1292" s="13" t="n">
        <x:f>IF(H1292="","",H1292/1000000000)</x:f>
        <x:v>2.6</x:v>
      </x:c>
      <x:c r="R1292" s="13" t="n">
        <x:f>IF(I1292="","",I1292/1000000)</x:f>
        <x:v>41.93548387096774</x:v>
      </x:c>
    </x:row>
    <x:row r="1293" ht="21" customHeight="1">
      <x:c r="A1293" s="10" t="n">
        <x:v>2059</x:v>
      </x:c>
      <x:c r="B1293" s="2" t="str">
        <x:v>6db55665e44b72cca894</x:v>
      </x:c>
      <x:c r="C1293" s="2" t="str">
        <x:v>Đồng Nai</x:v>
      </x:c>
      <x:c r="D1293" s="2" t="str">
        <x:v>Thành phố Biên Hòa</x:v>
      </x:c>
      <x:c r="E1293" s="2" t="str">
        <x:v>house</x:v>
      </x:c>
      <x:c r="F1293" s="2" t="str">
        <x:v>sale</x:v>
      </x:c>
      <x:c r="G1293" s="11" t="n">
        <x:v>110</x:v>
      </x:c>
      <x:c r="H1293" s="12" t="n">
        <x:v>2400000000</x:v>
      </x:c>
      <x:c r="I1293" s="12" t="n">
        <x:v>21818181.818181816</x:v>
      </x:c>
      <x:c r="J1293" s="2" t="str">
        <x:v>total</x:v>
      </x:c>
      <x:c r="K1293" s="2" t="str">
        <x:v>top_level_area</x:v>
      </x:c>
      <x:c r="L1293" s="2" t="str">
        <x:v>property_type_inferred_from_title</x:v>
      </x:c>
      <x:c r="M1293" s="10" t="n">
        <x:v>0</x:v>
      </x:c>
      <x:c r="N1293" s="10" t="n">
        <x:v>0</x:v>
      </x:c>
      <x:c r="O1293" s="2" t="str">
        <x:v>Đồng Nai|house</x:v>
      </x:c>
      <x:c r="P1293" s="10" t="n">
        <x:v>2</x:v>
      </x:c>
      <x:c r="Q1293" s="13" t="n">
        <x:f>IF(H1293="","",H1293/1000000000)</x:f>
        <x:v>2.4</x:v>
      </x:c>
      <x:c r="R1293" s="13" t="n">
        <x:f>IF(I1293="","",I1293/1000000)</x:f>
        <x:v>21.818181818181817</x:v>
      </x:c>
    </x:row>
    <x:row r="1294" ht="21" customHeight="1">
      <x:c r="A1294" s="10" t="n">
        <x:v>2060</x:v>
      </x:c>
      <x:c r="B1294" s="2" t="str">
        <x:v>ef6fb774d5be9d781920</x:v>
      </x:c>
      <x:c r="C1294" s="2" t="str">
        <x:v>Tp Hồ Chí Minh</x:v>
      </x:c>
      <x:c r="D1294" s="2" t="str">
        <x:v>Quận 12</x:v>
      </x:c>
      <x:c r="E1294" s="2" t="str">
        <x:v>house</x:v>
      </x:c>
      <x:c r="F1294" s="2" t="str">
        <x:v>sale_assumed</x:v>
      </x:c>
      <x:c r="G1294" s="11" t="n">
        <x:v>33</x:v>
      </x:c>
      <x:c r="H1294" s="12" t="n">
        <x:v>1080000000</x:v>
      </x:c>
      <x:c r="I1294" s="12" t="n">
        <x:v>32727272.727272727</x:v>
      </x:c>
      <x:c r="J1294" s="2" t="str">
        <x:v>total</x:v>
      </x:c>
      <x:c r="K1294" s="2" t="str">
        <x:v>top_level_area</x:v>
      </x:c>
      <x:c r="L1294" s="2" t="str">
        <x:v>property_type_inferred_from_title;transaction_assumed_sale_from_dataset_context</x:v>
      </x:c>
      <x:c r="M1294" s="10" t="n">
        <x:v>0</x:v>
      </x:c>
      <x:c r="N1294" s="10" t="n">
        <x:v>0</x:v>
      </x:c>
      <x:c r="O1294" s="2" t="str">
        <x:v>Tp Hồ Chí Minh|house</x:v>
      </x:c>
      <x:c r="P1294" s="10" t="n">
        <x:v>2</x:v>
      </x:c>
      <x:c r="Q1294" s="13" t="n">
        <x:f>IF(H1294="","",H1294/1000000000)</x:f>
        <x:v>1.08</x:v>
      </x:c>
      <x:c r="R1294" s="13" t="n">
        <x:f>IF(I1294="","",I1294/1000000)</x:f>
        <x:v>32.72727272727273</x:v>
      </x:c>
    </x:row>
    <x:row r="1295" ht="21" customHeight="1">
      <x:c r="A1295" s="10" t="n">
        <x:v>2061</x:v>
      </x:c>
      <x:c r="B1295" s="2" t="str">
        <x:v>294edd45b1c9d1216abc</x:v>
      </x:c>
      <x:c r="C1295" s="2" t="str">
        <x:v>Hà Nội</x:v>
      </x:c>
      <x:c r="D1295" s="2" t="str">
        <x:v>Quận Long Biên</x:v>
      </x:c>
      <x:c r="E1295" s="2" t="str">
        <x:v>house</x:v>
      </x:c>
      <x:c r="F1295" s="2" t="str">
        <x:v>sale_assumed</x:v>
      </x:c>
      <x:c r="G1295" s="11" t="n">
        <x:v>59</x:v>
      </x:c>
      <x:c r="H1295" s="12" t="n">
        <x:v>5300000000</x:v>
      </x:c>
      <x:c r="I1295" s="12" t="n">
        <x:v>89830508.47457626</x:v>
      </x:c>
      <x:c r="J1295" s="2" t="str">
        <x:v>total</x:v>
      </x:c>
      <x:c r="K1295" s="2" t="str">
        <x:v>top_level_area</x:v>
      </x:c>
      <x:c r="L1295" s="2" t="str">
        <x:v>property_type_inferred_from_title;transaction_assumed_sale_from_dataset_context</x:v>
      </x:c>
      <x:c r="M1295" s="10" t="n">
        <x:v>0</x:v>
      </x:c>
      <x:c r="N1295" s="10" t="n">
        <x:v>0</x:v>
      </x:c>
      <x:c r="O1295" s="2" t="str">
        <x:v>Hà Nội|house</x:v>
      </x:c>
      <x:c r="P1295" s="10" t="n">
        <x:v>2</x:v>
      </x:c>
      <x:c r="Q1295" s="13" t="n">
        <x:f>IF(H1295="","",H1295/1000000000)</x:f>
        <x:v>5.3</x:v>
      </x:c>
      <x:c r="R1295" s="13" t="n">
        <x:f>IF(I1295="","",I1295/1000000)</x:f>
        <x:v>89.83050847457626</x:v>
      </x:c>
    </x:row>
    <x:row r="1296" ht="21" customHeight="1">
      <x:c r="A1296" s="10" t="n">
        <x:v>2062</x:v>
      </x:c>
      <x:c r="B1296" s="2" t="str">
        <x:v>43a5266041b51460b8f4</x:v>
      </x:c>
      <x:c r="C1296" s="2" t="str">
        <x:v>Tp Hồ Chí Minh</x:v>
      </x:c>
      <x:c r="D1296" s="2" t="str">
        <x:v>Quận 7</x:v>
      </x:c>
      <x:c r="E1296" s="2" t="str">
        <x:v>house</x:v>
      </x:c>
      <x:c r="F1296" s="2" t="str">
        <x:v>sale</x:v>
      </x:c>
      <x:c r="G1296" s="11" t="n">
        <x:v>56.9</x:v>
      </x:c>
      <x:c r="H1296" s="12" t="n">
        <x:v>2250000000</x:v>
      </x:c>
      <x:c r="I1296" s="12" t="n">
        <x:v>39543057.99648506</x:v>
      </x:c>
      <x:c r="J1296" s="2" t="str">
        <x:v>total</x:v>
      </x:c>
      <x:c r="K1296" s="2" t="str">
        <x:v>top_level_area</x:v>
      </x:c>
      <x:c r="L1296" s="2" t="str">
        <x:v>property_type_inferred_from_title</x:v>
      </x:c>
      <x:c r="M1296" s="10" t="n">
        <x:v>0</x:v>
      </x:c>
      <x:c r="N1296" s="10" t="n">
        <x:v>0</x:v>
      </x:c>
      <x:c r="O1296" s="2" t="str">
        <x:v>Tp Hồ Chí Minh|house</x:v>
      </x:c>
      <x:c r="P1296" s="10" t="n">
        <x:v>2</x:v>
      </x:c>
      <x:c r="Q1296" s="13" t="n">
        <x:f>IF(H1296="","",H1296/1000000000)</x:f>
        <x:v>2.25</x:v>
      </x:c>
      <x:c r="R1296" s="13" t="n">
        <x:f>IF(I1296="","",I1296/1000000)</x:f>
        <x:v>39.54305799648506</x:v>
      </x:c>
    </x:row>
    <x:row r="1297" ht="21" customHeight="1">
      <x:c r="A1297" s="10" t="n">
        <x:v>2064</x:v>
      </x:c>
      <x:c r="B1297" s="2" t="str">
        <x:v>e96a3fd01e44e64fcb46</x:v>
      </x:c>
      <x:c r="C1297" s="2" t="str">
        <x:v>Tp Hồ Chí Minh</x:v>
      </x:c>
      <x:c r="D1297" s="2" t="str">
        <x:v>Huyện Củ Chi</x:v>
      </x:c>
      <x:c r="E1297" s="2" t="str">
        <x:v>land</x:v>
      </x:c>
      <x:c r="F1297" s="2" t="str">
        <x:v>sale</x:v>
      </x:c>
      <x:c r="G1297" s="11" t="n">
        <x:v>1511</x:v>
      </x:c>
      <x:c r="H1297" s="12" t="n">
        <x:v>22665000000</x:v>
      </x:c>
      <x:c r="I1297" s="12" t="n">
        <x:v>15000000</x:v>
      </x:c>
      <x:c r="J1297" s="2" t="str">
        <x:v>total</x:v>
      </x:c>
      <x:c r="K1297" s="2" t="str">
        <x:v>top_level_area</x:v>
      </x:c>
      <x:c r="L1297" s="2" t="str">
        <x:v>dot_thousands_convention;property_type_inferred_from_title</x:v>
      </x:c>
      <x:c r="M1297" s="10" t="n">
        <x:v>0</x:v>
      </x:c>
      <x:c r="N1297" s="10" t="n">
        <x:v>0</x:v>
      </x:c>
      <x:c r="O1297" s="2" t="str">
        <x:v>Tp Hồ Chí Minh|land</x:v>
      </x:c>
      <x:c r="P1297" s="10" t="n">
        <x:v>1</x:v>
      </x:c>
      <x:c r="Q1297" s="13" t="n">
        <x:f>IF(H1297="","",H1297/1000000000)</x:f>
        <x:v>22.665</x:v>
      </x:c>
      <x:c r="R1297" s="13" t="n">
        <x:f>IF(I1297="","",I1297/1000000)</x:f>
        <x:v>15</x:v>
      </x:c>
    </x:row>
    <x:row r="1298" ht="21" customHeight="1">
      <x:c r="A1298" s="10" t="n">
        <x:v>2065</x:v>
      </x:c>
      <x:c r="B1298" s="2" t="str">
        <x:v>4ff404a3195c366e2497</x:v>
      </x:c>
      <x:c r="C1298" s="2" t="str">
        <x:v>Tp Hồ Chí Minh</x:v>
      </x:c>
      <x:c r="D1298" s="2" t="str">
        <x:v>Quận Bình Tân</x:v>
      </x:c>
      <x:c r="E1298" s="2" t="str">
        <x:v>land</x:v>
      </x:c>
      <x:c r="F1298" s="2" t="str">
        <x:v>sale_assumed</x:v>
      </x:c>
      <x:c r="G1298" s="11" t="n">
        <x:v>90</x:v>
      </x:c>
      <x:c r="H1298" s="12" t="n">
        <x:v>2880000000</x:v>
      </x:c>
      <x:c r="I1298" s="12" t="n">
        <x:v>32000000</x:v>
      </x:c>
      <x:c r="J1298" s="2" t="str">
        <x:v>total</x:v>
      </x:c>
      <x:c r="K1298" s="2" t="str">
        <x:v>top_level_area</x:v>
      </x:c>
      <x:c r="L1298" s="2" t="str">
        <x:v>property_type_inferred_from_title;transaction_assumed_sale_from_dataset_context</x:v>
      </x:c>
      <x:c r="M1298" s="10" t="n">
        <x:v>0</x:v>
      </x:c>
      <x:c r="N1298" s="10" t="n">
        <x:v>0</x:v>
      </x:c>
      <x:c r="O1298" s="2" t="str">
        <x:v>Tp Hồ Chí Minh|land</x:v>
      </x:c>
      <x:c r="P1298" s="10" t="n">
        <x:v>2</x:v>
      </x:c>
      <x:c r="Q1298" s="13" t="n">
        <x:f>IF(H1298="","",H1298/1000000000)</x:f>
        <x:v>2.88</x:v>
      </x:c>
      <x:c r="R1298" s="13" t="n">
        <x:f>IF(I1298="","",I1298/1000000)</x:f>
        <x:v>32</x:v>
      </x:c>
    </x:row>
    <x:row r="1299" ht="21" customHeight="1">
      <x:c r="A1299" s="10" t="n">
        <x:v>2066</x:v>
      </x:c>
      <x:c r="B1299" s="2" t="str">
        <x:v>a30d4c5433e1e93a937d</x:v>
      </x:c>
      <x:c r="C1299" s="2" t="str">
        <x:v>Tp Hồ Chí Minh</x:v>
      </x:c>
      <x:c r="D1299" s="2" t="str">
        <x:v>Huyện Củ Chi</x:v>
      </x:c>
      <x:c r="E1299" s="2" t="str">
        <x:v>land</x:v>
      </x:c>
      <x:c r="F1299" s="2" t="str">
        <x:v>sale_assumed</x:v>
      </x:c>
      <x:c r="G1299" s="11" t="n">
        <x:v>209</x:v>
      </x:c>
      <x:c r="H1299" s="12" t="n">
        <x:v>2700000000</x:v>
      </x:c>
      <x:c r="I1299" s="12" t="n">
        <x:v>12918660.28708134</x:v>
      </x:c>
      <x:c r="J1299" s="2" t="str">
        <x:v>total</x:v>
      </x:c>
      <x:c r="K1299" s="2" t="str">
        <x:v>top_level_area</x:v>
      </x:c>
      <x:c r="L1299" s="2" t="str">
        <x:v>property_type_inferred_from_title;transaction_assumed_sale_from_dataset_context</x:v>
      </x:c>
      <x:c r="M1299" s="10" t="n">
        <x:v>0</x:v>
      </x:c>
      <x:c r="N1299" s="10" t="n">
        <x:v>0</x:v>
      </x:c>
      <x:c r="O1299" s="2" t="str">
        <x:v>Tp Hồ Chí Minh|land</x:v>
      </x:c>
      <x:c r="P1299" s="10" t="n">
        <x:v>2</x:v>
      </x:c>
      <x:c r="Q1299" s="13" t="n">
        <x:f>IF(H1299="","",H1299/1000000000)</x:f>
        <x:v>2.7</x:v>
      </x:c>
      <x:c r="R1299" s="13" t="n">
        <x:f>IF(I1299="","",I1299/1000000)</x:f>
        <x:v>12.918660287081341</x:v>
      </x:c>
    </x:row>
    <x:row r="1300" ht="21" customHeight="1">
      <x:c r="A1300" s="10" t="n">
        <x:v>2067</x:v>
      </x:c>
      <x:c r="B1300" s="2" t="str">
        <x:v>5fd6771493baa54538d8</x:v>
      </x:c>
      <x:c r="C1300" s="2" t="str">
        <x:v>Tp Hồ Chí Minh</x:v>
      </x:c>
      <x:c r="D1300" s="2" t="str">
        <x:v>Quận 9</x:v>
      </x:c>
      <x:c r="E1300" s="2" t="str">
        <x:v>house</x:v>
      </x:c>
      <x:c r="F1300" s="2" t="str">
        <x:v>sale_assumed</x:v>
      </x:c>
      <x:c r="G1300" s="11" t="n">
        <x:v>170</x:v>
      </x:c>
      <x:c r="H1300" s="12" t="n">
        <x:v>4650000000</x:v>
      </x:c>
      <x:c r="I1300" s="12" t="n">
        <x:v>27352941.17647059</x:v>
      </x:c>
      <x:c r="J1300" s="2" t="str">
        <x:v>total</x:v>
      </x:c>
      <x:c r="K1300" s="2" t="str">
        <x:v>top_level_area</x:v>
      </x:c>
      <x:c r="L1300" s="2" t="str">
        <x:v>property_type_inferred_from_title;transaction_assumed_sale_from_dataset_context</x:v>
      </x:c>
      <x:c r="M1300" s="10" t="n">
        <x:v>0</x:v>
      </x:c>
      <x:c r="N1300" s="10" t="n">
        <x:v>0</x:v>
      </x:c>
      <x:c r="O1300" s="2" t="str">
        <x:v>Tp Hồ Chí Minh|house</x:v>
      </x:c>
      <x:c r="P1300" s="10" t="n">
        <x:v>2</x:v>
      </x:c>
      <x:c r="Q1300" s="13" t="n">
        <x:f>IF(H1300="","",H1300/1000000000)</x:f>
        <x:v>4.65</x:v>
      </x:c>
      <x:c r="R1300" s="13" t="n">
        <x:f>IF(I1300="","",I1300/1000000)</x:f>
        <x:v>27.35294117647059</x:v>
      </x:c>
    </x:row>
    <x:row r="1301" ht="21" customHeight="1">
      <x:c r="A1301" s="10" t="n">
        <x:v>2068</x:v>
      </x:c>
      <x:c r="B1301" s="2" t="str">
        <x:v>5533037be6a7b71ec88a</x:v>
      </x:c>
      <x:c r="C1301" s="2" t="str">
        <x:v>Tp Hồ Chí Minh</x:v>
      </x:c>
      <x:c r="D1301" s="2" t="str">
        <x:v>Huyện Củ Chi</x:v>
      </x:c>
      <x:c r="E1301" s="2" t="str">
        <x:v>land</x:v>
      </x:c>
      <x:c r="F1301" s="2" t="str">
        <x:v>sale_assumed</x:v>
      </x:c>
      <x:c r="G1301" s="11" t="n">
        <x:v>1617</x:v>
      </x:c>
      <x:c r="H1301" s="12" t="n">
        <x:v>4500000000</x:v>
      </x:c>
      <x:c r="I1301" s="12" t="n">
        <x:v>2782931.3543599257</x:v>
      </x:c>
      <x:c r="J1301" s="2" t="str">
        <x:v>total</x:v>
      </x:c>
      <x:c r="K1301" s="2" t="str">
        <x:v>top_level_area</x:v>
      </x:c>
      <x:c r="L1301" s="2" t="str">
        <x:v>dot_thousands_convention;property_type_inferred_from_title;transaction_assumed_sale_from_dataset_context</x:v>
      </x:c>
      <x:c r="M1301" s="10" t="n">
        <x:v>0</x:v>
      </x:c>
      <x:c r="N1301" s="10" t="n">
        <x:v>0</x:v>
      </x:c>
      <x:c r="O1301" s="2" t="str">
        <x:v>Tp Hồ Chí Minh|land</x:v>
      </x:c>
      <x:c r="P1301" s="10" t="n">
        <x:v>1</x:v>
      </x:c>
      <x:c r="Q1301" s="13" t="n">
        <x:f>IF(H1301="","",H1301/1000000000)</x:f>
        <x:v>4.5</x:v>
      </x:c>
      <x:c r="R1301" s="13" t="n">
        <x:f>IF(I1301="","",I1301/1000000)</x:f>
        <x:v>2.782931354359926</x:v>
      </x:c>
    </x:row>
    <x:row r="1302" ht="21" customHeight="1">
      <x:c r="A1302" s="10" t="n">
        <x:v>2069</x:v>
      </x:c>
      <x:c r="B1302" s="2" t="str">
        <x:v>828d27ae4cee80cd6618</x:v>
      </x:c>
      <x:c r="C1302" s="2" t="str">
        <x:v>Đồng Nai</x:v>
      </x:c>
      <x:c r="D1302" s="2" t="str">
        <x:v>Huyện Xuân Lộc</x:v>
      </x:c>
      <x:c r="E1302" s="2" t="str">
        <x:v>house</x:v>
      </x:c>
      <x:c r="F1302" s="2" t="str">
        <x:v>sale_assumed</x:v>
      </x:c>
      <x:c r="G1302" s="11" t="n">
        <x:v>34000</x:v>
      </x:c>
      <x:c r="H1302" s="12" t="n">
        <x:v>9520000000</x:v>
      </x:c>
      <x:c r="I1302" s="12" t="n">
        <x:v>280000</x:v>
      </x:c>
      <x:c r="J1302" s="2" t="str">
        <x:v>total</x:v>
      </x:c>
      <x:c r="K1302" s="2" t="str">
        <x:v>top_level_area</x:v>
      </x:c>
      <x:c r="L1302" s="2" t="str">
        <x:v>dot_thousands_convention;property_type_inferred_from_title;transaction_assumed_sale_from_dataset_context</x:v>
      </x:c>
      <x:c r="M1302" s="10" t="n">
        <x:v>0</x:v>
      </x:c>
      <x:c r="N1302" s="10" t="n">
        <x:v>0</x:v>
      </x:c>
      <x:c r="O1302" s="2" t="str">
        <x:v>Đồng Nai|house</x:v>
      </x:c>
      <x:c r="P1302" s="10" t="n">
        <x:v>1</x:v>
      </x:c>
      <x:c r="Q1302" s="13" t="n">
        <x:f>IF(H1302="","",H1302/1000000000)</x:f>
        <x:v>9.52</x:v>
      </x:c>
      <x:c r="R1302" s="13" t="n">
        <x:f>IF(I1302="","",I1302/1000000)</x:f>
        <x:v>0.28</x:v>
      </x:c>
    </x:row>
    <x:row r="1303" ht="21" customHeight="1">
      <x:c r="A1303" s="10" t="n">
        <x:v>2070</x:v>
      </x:c>
      <x:c r="B1303" s="2" t="str">
        <x:v>af8ae8b11e3c664b9c47</x:v>
      </x:c>
      <x:c r="C1303" s="2" t="str">
        <x:v>Tp Hồ Chí Minh</x:v>
      </x:c>
      <x:c r="D1303" s="2" t="str">
        <x:v>Quận Bình Tân</x:v>
      </x:c>
      <x:c r="E1303" s="2" t="str">
        <x:v>apartment</x:v>
      </x:c>
      <x:c r="F1303" s="2" t="str">
        <x:v>sale_assumed</x:v>
      </x:c>
      <x:c r="G1303" s="11" t="n">
        <x:v>53</x:v>
      </x:c>
      <x:c r="H1303" s="12" t="n">
        <x:v>1480000000</x:v>
      </x:c>
      <x:c r="I1303" s="12" t="n">
        <x:v>27924528.301886793</x:v>
      </x:c>
      <x:c r="J1303" s="2" t="str">
        <x:v>total</x:v>
      </x:c>
      <x:c r="K1303" s="2" t="str">
        <x:v>top_level_area</x:v>
      </x:c>
      <x:c r="L1303" s="2" t="str">
        <x:v>property_type_inferred_from_title;transaction_assumed_sale_from_dataset_context</x:v>
      </x:c>
      <x:c r="M1303" s="10" t="n">
        <x:v>0</x:v>
      </x:c>
      <x:c r="N1303" s="10" t="n">
        <x:v>0</x:v>
      </x:c>
      <x:c r="O1303" s="2" t="str">
        <x:v>Tp Hồ Chí Minh|apartment</x:v>
      </x:c>
      <x:c r="P1303" s="10" t="n">
        <x:v>2</x:v>
      </x:c>
      <x:c r="Q1303" s="13" t="n">
        <x:f>IF(H1303="","",H1303/1000000000)</x:f>
        <x:v>1.48</x:v>
      </x:c>
      <x:c r="R1303" s="13" t="n">
        <x:f>IF(I1303="","",I1303/1000000)</x:f>
        <x:v>27.92452830188679</x:v>
      </x:c>
    </x:row>
    <x:row r="1304" ht="21" customHeight="1">
      <x:c r="A1304" s="10" t="n">
        <x:v>2071</x:v>
      </x:c>
      <x:c r="B1304" s="2" t="str">
        <x:v>438aac8475ba6a453267</x:v>
      </x:c>
      <x:c r="C1304" s="2" t="str">
        <x:v>Tp Hồ Chí Minh</x:v>
      </x:c>
      <x:c r="D1304" s="2" t="str">
        <x:v>Quận Bình Tân</x:v>
      </x:c>
      <x:c r="E1304" s="2" t="str">
        <x:v>house</x:v>
      </x:c>
      <x:c r="F1304" s="2" t="str">
        <x:v>sale_assumed</x:v>
      </x:c>
      <x:c r="G1304" s="11" t="n">
        <x:v>36</x:v>
      </x:c>
      <x:c r="H1304" s="12" t="n">
        <x:v>2850000000</x:v>
      </x:c>
      <x:c r="I1304" s="12" t="n">
        <x:v>79166666.66666667</x:v>
      </x:c>
      <x:c r="J1304" s="2" t="str">
        <x:v>total</x:v>
      </x:c>
      <x:c r="K1304" s="2" t="str">
        <x:v>top_level_area</x:v>
      </x:c>
      <x:c r="L1304" s="2" t="str">
        <x:v>property_type_inferred_from_title;transaction_assumed_sale_from_dataset_context</x:v>
      </x:c>
      <x:c r="M1304" s="10" t="n">
        <x:v>0</x:v>
      </x:c>
      <x:c r="N1304" s="10" t="n">
        <x:v>0</x:v>
      </x:c>
      <x:c r="O1304" s="2" t="str">
        <x:v>Tp Hồ Chí Minh|house</x:v>
      </x:c>
      <x:c r="P1304" s="10" t="n">
        <x:v>2</x:v>
      </x:c>
      <x:c r="Q1304" s="13" t="n">
        <x:f>IF(H1304="","",H1304/1000000000)</x:f>
        <x:v>2.85</x:v>
      </x:c>
      <x:c r="R1304" s="13" t="n">
        <x:f>IF(I1304="","",I1304/1000000)</x:f>
        <x:v>79.16666666666667</x:v>
      </x:c>
    </x:row>
    <x:row r="1305" ht="21" customHeight="1">
      <x:c r="A1305" s="10" t="n">
        <x:v>2072</x:v>
      </x:c>
      <x:c r="B1305" s="2" t="str">
        <x:v>0fcdb250b54e9524f9ce</x:v>
      </x:c>
      <x:c r="C1305" s="2" t="str">
        <x:v>Tp Hồ Chí Minh</x:v>
      </x:c>
      <x:c r="D1305" s="2" t="str">
        <x:v>Quận Tân Phú</x:v>
      </x:c>
      <x:c r="E1305" s="2" t="str">
        <x:v>house</x:v>
      </x:c>
      <x:c r="F1305" s="2" t="str">
        <x:v>sale_assumed</x:v>
      </x:c>
      <x:c r="G1305" s="11" t="n">
        <x:v>55</x:v>
      </x:c>
      <x:c r="H1305" s="12" t="n">
        <x:v>6100000000</x:v>
      </x:c>
      <x:c r="I1305" s="12" t="n">
        <x:v>110909090.9090909</x:v>
      </x:c>
      <x:c r="J1305" s="2" t="str">
        <x:v>total</x:v>
      </x:c>
      <x:c r="K1305" s="2" t="str">
        <x:v>top_level_area</x:v>
      </x:c>
      <x:c r="L1305" s="2" t="str">
        <x:v>property_type_inferred_from_title;transaction_assumed_sale_from_dataset_context</x:v>
      </x:c>
      <x:c r="M1305" s="10" t="n">
        <x:v>0</x:v>
      </x:c>
      <x:c r="N1305" s="10" t="n">
        <x:v>0</x:v>
      </x:c>
      <x:c r="O1305" s="2" t="str">
        <x:v>Tp Hồ Chí Minh|house</x:v>
      </x:c>
      <x:c r="P1305" s="10" t="n">
        <x:v>2</x:v>
      </x:c>
      <x:c r="Q1305" s="13" t="n">
        <x:f>IF(H1305="","",H1305/1000000000)</x:f>
        <x:v>6.1</x:v>
      </x:c>
      <x:c r="R1305" s="13" t="n">
        <x:f>IF(I1305="","",I1305/1000000)</x:f>
        <x:v>110.9090909090909</x:v>
      </x:c>
    </x:row>
    <x:row r="1306" ht="21" customHeight="1">
      <x:c r="A1306" s="10" t="n">
        <x:v>2073</x:v>
      </x:c>
      <x:c r="B1306" s="2" t="str">
        <x:v>fac0dca4ecd5aaf2f19c</x:v>
      </x:c>
      <x:c r="C1306" s="2" t="str">
        <x:v>Tp Hồ Chí Minh</x:v>
      </x:c>
      <x:c r="D1306" s="2" t="str">
        <x:v>Quận Thủ Đức</x:v>
      </x:c>
      <x:c r="E1306" s="2" t="str">
        <x:v>house</x:v>
      </x:c>
      <x:c r="F1306" s="2" t="str">
        <x:v>sale_assumed</x:v>
      </x:c>
      <x:c r="G1306" s="11" t="n">
        <x:v>112</x:v>
      </x:c>
      <x:c r="H1306" s="12" t="n">
        <x:v>4500000000</x:v>
      </x:c>
      <x:c r="I1306" s="12" t="n">
        <x:v>40178571.428571425</x:v>
      </x:c>
      <x:c r="J1306" s="2" t="str">
        <x:v>total</x:v>
      </x:c>
      <x:c r="K1306" s="2" t="str">
        <x:v>top_level_area</x:v>
      </x:c>
      <x:c r="L1306" s="2" t="str">
        <x:v>property_type_inferred_from_title;transaction_assumed_sale_from_dataset_context</x:v>
      </x:c>
      <x:c r="M1306" s="10" t="n">
        <x:v>0</x:v>
      </x:c>
      <x:c r="N1306" s="10" t="n">
        <x:v>0</x:v>
      </x:c>
      <x:c r="O1306" s="2" t="str">
        <x:v>Tp Hồ Chí Minh|house</x:v>
      </x:c>
      <x:c r="P1306" s="10" t="n">
        <x:v>2</x:v>
      </x:c>
      <x:c r="Q1306" s="13" t="n">
        <x:f>IF(H1306="","",H1306/1000000000)</x:f>
        <x:v>4.5</x:v>
      </x:c>
      <x:c r="R1306" s="13" t="n">
        <x:f>IF(I1306="","",I1306/1000000)</x:f>
        <x:v>40.17857142857142</x:v>
      </x:c>
    </x:row>
    <x:row r="1307" ht="21" customHeight="1">
      <x:c r="A1307" s="10" t="n">
        <x:v>2074</x:v>
      </x:c>
      <x:c r="B1307" s="2" t="str">
        <x:v>4d997b687bbd35d1ecc5</x:v>
      </x:c>
      <x:c r="C1307" s="2" t="str">
        <x:v>Long An</x:v>
      </x:c>
      <x:c r="D1307" s="2" t="str">
        <x:v>Huyện Cần Đước</x:v>
      </x:c>
      <x:c r="E1307" s="2" t="str">
        <x:v>land</x:v>
      </x:c>
      <x:c r="F1307" s="2" t="str">
        <x:v>sale_assumed</x:v>
      </x:c>
      <x:c r="G1307" s="11" t="n">
        <x:v>105</x:v>
      </x:c>
      <x:c r="H1307" s="12" t="n">
        <x:v>520000000</x:v>
      </x:c>
      <x:c r="I1307" s="12" t="n">
        <x:v>4952380.952380952</x:v>
      </x:c>
      <x:c r="J1307" s="2" t="str">
        <x:v>total</x:v>
      </x:c>
      <x:c r="K1307" s="2" t="str">
        <x:v>top_level_area</x:v>
      </x:c>
      <x:c r="L1307" s="2" t="str">
        <x:v>property_type_inferred_from_title;transaction_assumed_sale_from_dataset_context</x:v>
      </x:c>
      <x:c r="M1307" s="10" t="n">
        <x:v>0</x:v>
      </x:c>
      <x:c r="N1307" s="10" t="n">
        <x:v>0</x:v>
      </x:c>
      <x:c r="O1307" s="2" t="str">
        <x:v>Long An|land</x:v>
      </x:c>
      <x:c r="P1307" s="10" t="n">
        <x:v>2</x:v>
      </x:c>
      <x:c r="Q1307" s="13" t="n">
        <x:f>IF(H1307="","",H1307/1000000000)</x:f>
        <x:v>0.52</x:v>
      </x:c>
      <x:c r="R1307" s="13" t="n">
        <x:f>IF(I1307="","",I1307/1000000)</x:f>
        <x:v>4.9523809523809526</x:v>
      </x:c>
    </x:row>
    <x:row r="1308" ht="21" customHeight="1">
      <x:c r="A1308" s="10" t="n">
        <x:v>2075</x:v>
      </x:c>
      <x:c r="B1308" s="2" t="str">
        <x:v>6131cb7ee8d6d1ad592a</x:v>
      </x:c>
      <x:c r="C1308" s="2" t="str">
        <x:v>Đồng Nai</x:v>
      </x:c>
      <x:c r="D1308" s="2" t="str">
        <x:v>Huyện Long Thành</x:v>
      </x:c>
      <x:c r="E1308" s="2" t="str">
        <x:v>land</x:v>
      </x:c>
      <x:c r="F1308" s="2" t="str">
        <x:v>sale</x:v>
      </x:c>
      <x:c r="G1308" s="11" t="n">
        <x:v>244</x:v>
      </x:c>
      <x:c r="H1308" s="12" t="n">
        <x:v>2650000000</x:v>
      </x:c>
      <x:c r="I1308" s="12" t="n">
        <x:v>10860655.737704918</x:v>
      </x:c>
      <x:c r="J1308" s="2" t="str">
        <x:v>total</x:v>
      </x:c>
      <x:c r="K1308" s="2" t="str">
        <x:v>top_level_area</x:v>
      </x:c>
      <x:c r="L1308" s="2" t="str">
        <x:v>property_type_inferred_from_title</x:v>
      </x:c>
      <x:c r="M1308" s="10" t="n">
        <x:v>0</x:v>
      </x:c>
      <x:c r="N1308" s="10" t="n">
        <x:v>0</x:v>
      </x:c>
      <x:c r="O1308" s="2" t="str">
        <x:v>Đồng Nai|land</x:v>
      </x:c>
      <x:c r="P1308" s="10" t="n">
        <x:v>2</x:v>
      </x:c>
      <x:c r="Q1308" s="13" t="n">
        <x:f>IF(H1308="","",H1308/1000000000)</x:f>
        <x:v>2.65</x:v>
      </x:c>
      <x:c r="R1308" s="13" t="n">
        <x:f>IF(I1308="","",I1308/1000000)</x:f>
        <x:v>10.860655737704917</x:v>
      </x:c>
    </x:row>
    <x:row r="1309" ht="21" customHeight="1">
      <x:c r="A1309" s="10" t="n">
        <x:v>2076</x:v>
      </x:c>
      <x:c r="B1309" s="2" t="str">
        <x:v>fa62423dc753c588a62a</x:v>
      </x:c>
      <x:c r="C1309" s="2" t="str">
        <x:v>Tp Hồ Chí Minh</x:v>
      </x:c>
      <x:c r="D1309" s="2" t="str">
        <x:v>Quận 12</x:v>
      </x:c>
      <x:c r="E1309" s="2" t="str">
        <x:v>house</x:v>
      </x:c>
      <x:c r="F1309" s="2" t="str">
        <x:v>sale_assumed</x:v>
      </x:c>
      <x:c r="G1309" s="11" t="n">
        <x:v>63</x:v>
      </x:c>
      <x:c r="H1309" s="12" t="n">
        <x:v>4400000000</x:v>
      </x:c>
      <x:c r="I1309" s="12" t="n">
        <x:v>69841269.84126984</x:v>
      </x:c>
      <x:c r="J1309" s="2" t="str">
        <x:v>total</x:v>
      </x:c>
      <x:c r="K1309" s="2" t="str">
        <x:v>top_level_area</x:v>
      </x:c>
      <x:c r="L1309" s="2" t="str">
        <x:v>property_type_inferred_from_title;transaction_assumed_sale_from_dataset_context</x:v>
      </x:c>
      <x:c r="M1309" s="10" t="n">
        <x:v>0</x:v>
      </x:c>
      <x:c r="N1309" s="10" t="n">
        <x:v>0</x:v>
      </x:c>
      <x:c r="O1309" s="2" t="str">
        <x:v>Tp Hồ Chí Minh|house</x:v>
      </x:c>
      <x:c r="P1309" s="10" t="n">
        <x:v>2</x:v>
      </x:c>
      <x:c r="Q1309" s="13" t="n">
        <x:f>IF(H1309="","",H1309/1000000000)</x:f>
        <x:v>4.4</x:v>
      </x:c>
      <x:c r="R1309" s="13" t="n">
        <x:f>IF(I1309="","",I1309/1000000)</x:f>
        <x:v>69.84126984126983</x:v>
      </x:c>
    </x:row>
    <x:row r="1310" ht="21" customHeight="1">
      <x:c r="A1310" s="10" t="n">
        <x:v>2077</x:v>
      </x:c>
      <x:c r="B1310" s="2" t="str">
        <x:v>5ed11c26d0ac8a69b6ae</x:v>
      </x:c>
      <x:c r="C1310" s="2" t="str">
        <x:v>Tp Hồ Chí Minh</x:v>
      </x:c>
      <x:c r="D1310" s="2" t="str">
        <x:v>Quận 2</x:v>
      </x:c>
      <x:c r="E1310" s="2" t="str">
        <x:v>other_unknown</x:v>
      </x:c>
      <x:c r="F1310" s="2" t="str">
        <x:v>sale</x:v>
      </x:c>
      <x:c r="G1310" s="11" t="n">
        <x:v>56</x:v>
      </x:c>
      <x:c r="H1310" s="12" t="n">
        <x:v>1590000000</x:v>
      </x:c>
      <x:c r="I1310" s="12" t="n">
        <x:v>28392857.14285714</x:v>
      </x:c>
      <x:c r="J1310" s="2" t="str">
        <x:v>total</x:v>
      </x:c>
      <x:c r="K1310" s="2" t="str">
        <x:v>top_level_area</x:v>
      </x:c>
      <x:c r="L1310" s="2" t="str">
        <x:v>property_type_inferred_from_title;unknown_property_type</x:v>
      </x:c>
      <x:c r="M1310" s="10" t="n">
        <x:v>0</x:v>
      </x:c>
      <x:c r="N1310" s="10" t="n">
        <x:v>0</x:v>
      </x:c>
      <x:c r="O1310" s="2" t="str">
        <x:v>Tp Hồ Chí Minh|other_unknown</x:v>
      </x:c>
      <x:c r="P1310" s="10" t="n">
        <x:v>2</x:v>
      </x:c>
      <x:c r="Q1310" s="13" t="n">
        <x:f>IF(H1310="","",H1310/1000000000)</x:f>
        <x:v>1.59</x:v>
      </x:c>
      <x:c r="R1310" s="13" t="n">
        <x:f>IF(I1310="","",I1310/1000000)</x:f>
        <x:v>28.392857142857142</x:v>
      </x:c>
    </x:row>
    <x:row r="1311" ht="21" customHeight="1">
      <x:c r="A1311" s="10" t="n">
        <x:v>2078</x:v>
      </x:c>
      <x:c r="B1311" s="2" t="str">
        <x:v>16213ff8d9eecf1a4524</x:v>
      </x:c>
      <x:c r="C1311" s="2" t="str">
        <x:v>Long An</x:v>
      </x:c>
      <x:c r="D1311" s="2" t="str">
        <x:v>Huyện Cần Giuộc</x:v>
      </x:c>
      <x:c r="E1311" s="2" t="str">
        <x:v>land</x:v>
      </x:c>
      <x:c r="F1311" s="2" t="str">
        <x:v>sale</x:v>
      </x:c>
      <x:c r="G1311" s="11" t="n">
        <x:v>3000</x:v>
      </x:c>
      <x:c r="H1311" s="12" t="n">
        <x:v>3400000000</x:v>
      </x:c>
      <x:c r="I1311" s="12" t="n">
        <x:v>1133333.3333333333</x:v>
      </x:c>
      <x:c r="J1311" s="2" t="str">
        <x:v>total</x:v>
      </x:c>
      <x:c r="K1311" s="2" t="str">
        <x:v>top_level_area</x:v>
      </x:c>
      <x:c r="L1311" s="2" t="str">
        <x:v>dot_thousands_convention;property_type_inferred_from_title</x:v>
      </x:c>
      <x:c r="M1311" s="10" t="n">
        <x:v>0</x:v>
      </x:c>
      <x:c r="N1311" s="10" t="n">
        <x:v>0</x:v>
      </x:c>
      <x:c r="O1311" s="2" t="str">
        <x:v>Long An|land</x:v>
      </x:c>
      <x:c r="P1311" s="10" t="n">
        <x:v>1</x:v>
      </x:c>
      <x:c r="Q1311" s="13" t="n">
        <x:f>IF(H1311="","",H1311/1000000000)</x:f>
        <x:v>3.4</x:v>
      </x:c>
      <x:c r="R1311" s="13" t="n">
        <x:f>IF(I1311="","",I1311/1000000)</x:f>
        <x:v>1.1333333333333333</x:v>
      </x:c>
    </x:row>
    <x:row r="1312" ht="21" customHeight="1">
      <x:c r="A1312" s="10" t="n">
        <x:v>2079</x:v>
      </x:c>
      <x:c r="B1312" s="2" t="str">
        <x:v>e8651ad7719cd3345c43</x:v>
      </x:c>
      <x:c r="C1312" s="2" t="str">
        <x:v>Tp Hồ Chí Minh</x:v>
      </x:c>
      <x:c r="D1312" s="2" t="str">
        <x:v>Quận Gò Vấp</x:v>
      </x:c>
      <x:c r="E1312" s="2" t="str">
        <x:v>house</x:v>
      </x:c>
      <x:c r="F1312" s="2" t="str">
        <x:v>sale_assumed</x:v>
      </x:c>
      <x:c r="G1312" s="11" t="n">
        <x:v>64</x:v>
      </x:c>
      <x:c r="H1312" s="12" t="n">
        <x:v>11500000000</x:v>
      </x:c>
      <x:c r="I1312" s="12" t="n">
        <x:v>179687500</x:v>
      </x:c>
      <x:c r="J1312" s="2" t="str">
        <x:v>total</x:v>
      </x:c>
      <x:c r="K1312" s="2" t="str">
        <x:v>top_level_area</x:v>
      </x:c>
      <x:c r="L1312" s="2" t="str">
        <x:v>property_type_inferred_from_title;transaction_assumed_sale_from_dataset_context</x:v>
      </x:c>
      <x:c r="M1312" s="10" t="n">
        <x:v>1</x:v>
      </x:c>
      <x:c r="N1312" s="10" t="n">
        <x:v>0</x:v>
      </x:c>
      <x:c r="O1312" s="2" t="str">
        <x:v>Tp Hồ Chí Minh|house</x:v>
      </x:c>
      <x:c r="P1312" s="10" t="n">
        <x:v>2</x:v>
      </x:c>
      <x:c r="Q1312" s="13" t="n">
        <x:f>IF(H1312="","",H1312/1000000000)</x:f>
        <x:v>11.5</x:v>
      </x:c>
      <x:c r="R1312" s="13" t="n">
        <x:f>IF(I1312="","",I1312/1000000)</x:f>
        <x:v>179.6875</x:v>
      </x:c>
    </x:row>
    <x:row r="1313" ht="21" customHeight="1">
      <x:c r="A1313" s="10" t="n">
        <x:v>2080</x:v>
      </x:c>
      <x:c r="B1313" s="2" t="str">
        <x:v>6781a2610cd8d5a04c94</x:v>
      </x:c>
      <x:c r="C1313" s="2" t="str">
        <x:v>Tp Hồ Chí Minh</x:v>
      </x:c>
      <x:c r="D1313" s="2" t="str">
        <x:v>Quận 2</x:v>
      </x:c>
      <x:c r="E1313" s="2" t="str">
        <x:v>house</x:v>
      </x:c>
      <x:c r="F1313" s="2" t="str">
        <x:v>sale</x:v>
      </x:c>
      <x:c r="G1313" s="11" t="n">
        <x:v>58</x:v>
      </x:c>
      <x:c r="H1313" s="12" t="n">
        <x:v>7800000000</x:v>
      </x:c>
      <x:c r="I1313" s="12" t="n">
        <x:v>134482758.62068966</x:v>
      </x:c>
      <x:c r="J1313" s="2" t="str">
        <x:v>total</x:v>
      </x:c>
      <x:c r="K1313" s="2" t="str">
        <x:v>top_level_area</x:v>
      </x:c>
      <x:c r="L1313" s="2" t="str">
        <x:v>property_type_inferred_from_title</x:v>
      </x:c>
      <x:c r="M1313" s="10" t="n">
        <x:v>0</x:v>
      </x:c>
      <x:c r="N1313" s="10" t="n">
        <x:v>0</x:v>
      </x:c>
      <x:c r="O1313" s="2" t="str">
        <x:v>Tp Hồ Chí Minh|house</x:v>
      </x:c>
      <x:c r="P1313" s="10" t="n">
        <x:v>2</x:v>
      </x:c>
      <x:c r="Q1313" s="13" t="n">
        <x:f>IF(H1313="","",H1313/1000000000)</x:f>
        <x:v>7.8</x:v>
      </x:c>
      <x:c r="R1313" s="13" t="n">
        <x:f>IF(I1313="","",I1313/1000000)</x:f>
        <x:v>134.48275862068965</x:v>
      </x:c>
    </x:row>
    <x:row r="1314" ht="21" customHeight="1">
      <x:c r="A1314" s="10" t="n">
        <x:v>2081</x:v>
      </x:c>
      <x:c r="B1314" s="2" t="str">
        <x:v>1b5764f3b1e9508aaa41</x:v>
      </x:c>
      <x:c r="C1314" s="2" t="str">
        <x:v>Tp Hồ Chí Minh</x:v>
      </x:c>
      <x:c r="D1314" s="2" t="str">
        <x:v>Quận Phú Nhuận</x:v>
      </x:c>
      <x:c r="E1314" s="2" t="str">
        <x:v>house</x:v>
      </x:c>
      <x:c r="F1314" s="2" t="str">
        <x:v>sale_assumed</x:v>
      </x:c>
      <x:c r="G1314" s="11" t="n">
        <x:v>24</x:v>
      </x:c>
      <x:c r="H1314" s="12" t="n">
        <x:v>5250000000</x:v>
      </x:c>
      <x:c r="I1314" s="12" t="n">
        <x:v>218750000</x:v>
      </x:c>
      <x:c r="J1314" s="2" t="str">
        <x:v>total</x:v>
      </x:c>
      <x:c r="K1314" s="2" t="str">
        <x:v>top_level_area</x:v>
      </x:c>
      <x:c r="L1314" s="2" t="str">
        <x:v>property_type_inferred_from_title;transaction_assumed_sale_from_dataset_context</x:v>
      </x:c>
      <x:c r="M1314" s="10" t="n">
        <x:v>1</x:v>
      </x:c>
      <x:c r="N1314" s="10" t="n">
        <x:v>1</x:v>
      </x:c>
      <x:c r="O1314" s="2" t="str">
        <x:v>Tp Hồ Chí Minh|house</x:v>
      </x:c>
      <x:c r="P1314" s="10" t="n">
        <x:v>-1</x:v>
      </x:c>
      <x:c r="Q1314" s="13" t="n">
        <x:f>IF(H1314="","",H1314/1000000000)</x:f>
        <x:v>5.25</x:v>
      </x:c>
      <x:c r="R1314" s="13" t="n">
        <x:f>IF(I1314="","",I1314/1000000)</x:f>
        <x:v>218.75</x:v>
      </x:c>
    </x:row>
    <x:row r="1315" ht="21" customHeight="1">
      <x:c r="A1315" s="10" t="n">
        <x:v>2082</x:v>
      </x:c>
      <x:c r="B1315" s="2" t="str">
        <x:v>75ce232ab902aa414e75</x:v>
      </x:c>
      <x:c r="C1315" s="2" t="str">
        <x:v>Đồng Nai</x:v>
      </x:c>
      <x:c r="D1315" s="2" t="str">
        <x:v>Huyện Thống Nhất</x:v>
      </x:c>
      <x:c r="E1315" s="2" t="str">
        <x:v>land</x:v>
      </x:c>
      <x:c r="F1315" s="2" t="str">
        <x:v>sale_assumed</x:v>
      </x:c>
      <x:c r="G1315" s="11" t="n">
        <x:v>90</x:v>
      </x:c>
      <x:c r="H1315" s="12" t="n">
        <x:v>630000000</x:v>
      </x:c>
      <x:c r="I1315" s="12" t="n">
        <x:v>7000000</x:v>
      </x:c>
      <x:c r="J1315" s="2" t="str">
        <x:v>total</x:v>
      </x:c>
      <x:c r="K1315" s="2" t="str">
        <x:v>top_level_area</x:v>
      </x:c>
      <x:c r="L1315" s="2" t="str">
        <x:v>property_type_inferred_from_title;transaction_assumed_sale_from_dataset_context</x:v>
      </x:c>
      <x:c r="M1315" s="10" t="n">
        <x:v>0</x:v>
      </x:c>
      <x:c r="N1315" s="10" t="n">
        <x:v>0</x:v>
      </x:c>
      <x:c r="O1315" s="2" t="str">
        <x:v>Đồng Nai|land</x:v>
      </x:c>
      <x:c r="P1315" s="10" t="n">
        <x:v>2</x:v>
      </x:c>
      <x:c r="Q1315" s="13" t="n">
        <x:f>IF(H1315="","",H1315/1000000000)</x:f>
        <x:v>0.63</x:v>
      </x:c>
      <x:c r="R1315" s="13" t="n">
        <x:f>IF(I1315="","",I1315/1000000)</x:f>
        <x:v>7</x:v>
      </x:c>
    </x:row>
    <x:row r="1316" ht="21" customHeight="1">
      <x:c r="A1316" s="10" t="n">
        <x:v>2083</x:v>
      </x:c>
      <x:c r="B1316" s="2" t="str">
        <x:v>315dfd81b0f2ad728aae</x:v>
      </x:c>
      <x:c r="C1316" s="2" t="str">
        <x:v>Đồng Nai</x:v>
      </x:c>
      <x:c r="D1316" s="2" t="str">
        <x:v>Thành phố Biên Hòa</x:v>
      </x:c>
      <x:c r="E1316" s="2" t="str">
        <x:v>land</x:v>
      </x:c>
      <x:c r="F1316" s="2" t="str">
        <x:v>sale</x:v>
      </x:c>
      <x:c r="G1316" s="11" t="n">
        <x:v>102</x:v>
      </x:c>
      <x:c r="H1316" s="12" t="n">
        <x:v>1650000000</x:v>
      </x:c>
      <x:c r="I1316" s="12" t="n">
        <x:v>16176470.588235294</x:v>
      </x:c>
      <x:c r="J1316" s="2" t="str">
        <x:v>total</x:v>
      </x:c>
      <x:c r="K1316" s="2" t="str">
        <x:v>top_level_area</x:v>
      </x:c>
      <x:c r="L1316" s="2" t="str">
        <x:v>property_type_inferred_from_title</x:v>
      </x:c>
      <x:c r="M1316" s="10" t="n">
        <x:v>0</x:v>
      </x:c>
      <x:c r="N1316" s="10" t="n">
        <x:v>0</x:v>
      </x:c>
      <x:c r="O1316" s="2" t="str">
        <x:v>Đồng Nai|land</x:v>
      </x:c>
      <x:c r="P1316" s="10" t="n">
        <x:v>2</x:v>
      </x:c>
      <x:c r="Q1316" s="13" t="n">
        <x:f>IF(H1316="","",H1316/1000000000)</x:f>
        <x:v>1.65</x:v>
      </x:c>
      <x:c r="R1316" s="13" t="n">
        <x:f>IF(I1316="","",I1316/1000000)</x:f>
        <x:v>16.176470588235293</x:v>
      </x:c>
    </x:row>
    <x:row r="1317" ht="21" customHeight="1">
      <x:c r="A1317" s="10" t="n">
        <x:v>2084</x:v>
      </x:c>
      <x:c r="B1317" s="2" t="str">
        <x:v>54541c3be6dd54e1133e</x:v>
      </x:c>
      <x:c r="C1317" s="2" t="str">
        <x:v>Tp Hồ Chí Minh</x:v>
      </x:c>
      <x:c r="D1317" s="2" t="str">
        <x:v>Quận 7</x:v>
      </x:c>
      <x:c r="E1317" s="2" t="str">
        <x:v>house</x:v>
      </x:c>
      <x:c r="F1317" s="2" t="str">
        <x:v>sale</x:v>
      </x:c>
      <x:c r="G1317" s="11" t="n">
        <x:v>83</x:v>
      </x:c>
      <x:c r="H1317" s="12" t="n">
        <x:v>5200000000</x:v>
      </x:c>
      <x:c r="I1317" s="12" t="n">
        <x:v>62650602.409638554</x:v>
      </x:c>
      <x:c r="J1317" s="2" t="str">
        <x:v>total</x:v>
      </x:c>
      <x:c r="K1317" s="2" t="str">
        <x:v>top_level_area</x:v>
      </x:c>
      <x:c r="L1317" s="2" t="str">
        <x:v>property_type_inferred_from_title</x:v>
      </x:c>
      <x:c r="M1317" s="10" t="n">
        <x:v>0</x:v>
      </x:c>
      <x:c r="N1317" s="10" t="n">
        <x:v>0</x:v>
      </x:c>
      <x:c r="O1317" s="2" t="str">
        <x:v>Tp Hồ Chí Minh|house</x:v>
      </x:c>
      <x:c r="P1317" s="10" t="n">
        <x:v>2</x:v>
      </x:c>
      <x:c r="Q1317" s="13" t="n">
        <x:f>IF(H1317="","",H1317/1000000000)</x:f>
        <x:v>5.2</x:v>
      </x:c>
      <x:c r="R1317" s="13" t="n">
        <x:f>IF(I1317="","",I1317/1000000)</x:f>
        <x:v>62.65060240963855</x:v>
      </x:c>
    </x:row>
    <x:row r="1318" ht="21" customHeight="1">
      <x:c r="A1318" s="10" t="n">
        <x:v>2085</x:v>
      </x:c>
      <x:c r="B1318" s="2" t="str">
        <x:v>7956a08877761a98a98e</x:v>
      </x:c>
      <x:c r="C1318" s="2" t="str">
        <x:v>Tp Hồ Chí Minh</x:v>
      </x:c>
      <x:c r="D1318" s="2" t="str">
        <x:v>Quận Bình Tân</x:v>
      </x:c>
      <x:c r="E1318" s="2" t="str">
        <x:v>other_unknown</x:v>
      </x:c>
      <x:c r="F1318" s="2" t="str">
        <x:v>sale_assumed</x:v>
      </x:c>
      <x:c r="G1318" s="11" t="n">
        <x:v>64</x:v>
      </x:c>
      <x:c r="H1318" s="12" t="n">
        <x:v>10000000000</x:v>
      </x:c>
      <x:c r="I1318" s="12" t="n">
        <x:v>156250000</x:v>
      </x:c>
      <x:c r="J1318" s="2" t="str">
        <x:v>total</x:v>
      </x:c>
      <x:c r="K1318" s="2" t="str">
        <x:v>top_level_area</x:v>
      </x:c>
      <x:c r="L1318" s="2" t="str">
        <x:v>property_type_inferred_from_title;transaction_assumed_sale_from_dataset_context;unknown_property_type</x:v>
      </x:c>
      <x:c r="M1318" s="10" t="n">
        <x:v>0</x:v>
      </x:c>
      <x:c r="N1318" s="10" t="n">
        <x:v>0</x:v>
      </x:c>
      <x:c r="O1318" s="2" t="str">
        <x:v>Tp Hồ Chí Minh|other_unknown</x:v>
      </x:c>
      <x:c r="P1318" s="10" t="n">
        <x:v>2</x:v>
      </x:c>
      <x:c r="Q1318" s="13" t="n">
        <x:f>IF(H1318="","",H1318/1000000000)</x:f>
        <x:v>10</x:v>
      </x:c>
      <x:c r="R1318" s="13" t="n">
        <x:f>IF(I1318="","",I1318/1000000)</x:f>
        <x:v>156.25</x:v>
      </x:c>
    </x:row>
    <x:row r="1319" ht="21" customHeight="1">
      <x:c r="A1319" s="10" t="n">
        <x:v>2090</x:v>
      </x:c>
      <x:c r="B1319" s="2" t="str">
        <x:v>6bbb4e919e0587e4d33d</x:v>
      </x:c>
      <x:c r="C1319" s="2" t="str">
        <x:v>Tp Hồ Chí Minh</x:v>
      </x:c>
      <x:c r="D1319" s="2" t="str">
        <x:v>Quận Tân Phú</x:v>
      </x:c>
      <x:c r="E1319" s="2" t="str">
        <x:v>house</x:v>
      </x:c>
      <x:c r="F1319" s="2" t="str">
        <x:v>sale</x:v>
      </x:c>
      <x:c r="G1319" s="11" t="n">
        <x:v>69</x:v>
      </x:c>
      <x:c r="H1319" s="12" t="n">
        <x:v>2300000000</x:v>
      </x:c>
      <x:c r="I1319" s="12" t="n">
        <x:v>33333333.333333332</x:v>
      </x:c>
      <x:c r="J1319" s="2" t="str">
        <x:v>total</x:v>
      </x:c>
      <x:c r="K1319" s="2" t="str">
        <x:v>top_level_price_embedded_area</x:v>
      </x:c>
      <x:c r="L1319" s="2" t="str">
        <x:v>area_recovered_from_price_text;property_type_inferred_from_title</x:v>
      </x:c>
      <x:c r="M1319" s="10" t="n">
        <x:v>0</x:v>
      </x:c>
      <x:c r="N1319" s="10" t="n">
        <x:v>0</x:v>
      </x:c>
      <x:c r="O1319" s="2" t="str">
        <x:v>Tp Hồ Chí Minh|house</x:v>
      </x:c>
      <x:c r="P1319" s="10" t="n">
        <x:v>2</x:v>
      </x:c>
      <x:c r="Q1319" s="13" t="n">
        <x:f>IF(H1319="","",H1319/1000000000)</x:f>
        <x:v>2.3</x:v>
      </x:c>
      <x:c r="R1319" s="13" t="n">
        <x:f>IF(I1319="","",I1319/1000000)</x:f>
        <x:v>33.33333333333333</x:v>
      </x:c>
    </x:row>
    <x:row r="1320" ht="21" customHeight="1">
      <x:c r="A1320" s="10" t="n">
        <x:v>2091</x:v>
      </x:c>
      <x:c r="B1320" s="2" t="str">
        <x:v>25ac761239c4097e5c61</x:v>
      </x:c>
      <x:c r="C1320" s="2" t="str">
        <x:v>Tp Hồ Chí Minh</x:v>
      </x:c>
      <x:c r="D1320" s="2" t="str">
        <x:v>Quận 9</x:v>
      </x:c>
      <x:c r="E1320" s="2" t="str">
        <x:v>other_unknown</x:v>
      </x:c>
      <x:c r="F1320" s="2" t="str">
        <x:v>sale_assumed</x:v>
      </x:c>
      <x:c r="G1320" s="11" t="n">
        <x:v>85.3</x:v>
      </x:c>
      <x:c r="H1320" s="12" t="n">
        <x:v>1600000000</x:v>
      </x:c>
      <x:c r="I1320" s="12" t="n">
        <x:v>18757327.080890972</x:v>
      </x:c>
      <x:c r="J1320" s="2" t="str">
        <x:v>total</x:v>
      </x:c>
      <x:c r="K1320" s="2" t="str">
        <x:v>top_level_area</x:v>
      </x:c>
      <x:c r="L1320" s="2" t="str">
        <x:v>property_type_inferred_from_title;transaction_assumed_sale_from_dataset_context;unknown_property_type</x:v>
      </x:c>
      <x:c r="M1320" s="10" t="n">
        <x:v>0</x:v>
      </x:c>
      <x:c r="N1320" s="10" t="n">
        <x:v>0</x:v>
      </x:c>
      <x:c r="O1320" s="2" t="str">
        <x:v>Tp Hồ Chí Minh|other_unknown</x:v>
      </x:c>
      <x:c r="P1320" s="10" t="n">
        <x:v>2</x:v>
      </x:c>
      <x:c r="Q1320" s="13" t="n">
        <x:f>IF(H1320="","",H1320/1000000000)</x:f>
        <x:v>1.6</x:v>
      </x:c>
      <x:c r="R1320" s="13" t="n">
        <x:f>IF(I1320="","",I1320/1000000)</x:f>
        <x:v>18.75732708089097</x:v>
      </x:c>
    </x:row>
    <x:row r="1321" ht="21" customHeight="1">
      <x:c r="A1321" s="10" t="n">
        <x:v>2092</x:v>
      </x:c>
      <x:c r="B1321" s="2" t="str">
        <x:v>d298dfa9abca7860569b</x:v>
      </x:c>
      <x:c r="C1321" s="2" t="str">
        <x:v>Hà Nội</x:v>
      </x:c>
      <x:c r="D1321" s="2" t="str">
        <x:v>Quận Nam Từ Liêm</x:v>
      </x:c>
      <x:c r="E1321" s="2" t="str">
        <x:v>apartment</x:v>
      </x:c>
      <x:c r="F1321" s="2" t="str">
        <x:v>sale</x:v>
      </x:c>
      <x:c r="G1321" s="11" t="n">
        <x:v>114.5</x:v>
      </x:c>
      <x:c r="H1321" s="12" t="n">
        <x:v>3100000000</x:v>
      </x:c>
      <x:c r="I1321" s="12" t="n">
        <x:v>27074235.807860263</x:v>
      </x:c>
      <x:c r="J1321" s="2" t="str">
        <x:v>total</x:v>
      </x:c>
      <x:c r="K1321" s="2" t="str">
        <x:v>top_level_area</x:v>
      </x:c>
      <x:c r="L1321" s="2" t="str">
        <x:v>property_type_inferred_from_title</x:v>
      </x:c>
      <x:c r="M1321" s="10" t="n">
        <x:v>0</x:v>
      </x:c>
      <x:c r="N1321" s="10" t="n">
        <x:v>0</x:v>
      </x:c>
      <x:c r="O1321" s="2" t="str">
        <x:v>Hà Nội|apartment</x:v>
      </x:c>
      <x:c r="P1321" s="10" t="n">
        <x:v>2</x:v>
      </x:c>
      <x:c r="Q1321" s="13" t="n">
        <x:f>IF(H1321="","",H1321/1000000000)</x:f>
        <x:v>3.1</x:v>
      </x:c>
      <x:c r="R1321" s="13" t="n">
        <x:f>IF(I1321="","",I1321/1000000)</x:f>
        <x:v>27.074235807860262</x:v>
      </x:c>
    </x:row>
    <x:row r="1322" ht="21" customHeight="1">
      <x:c r="A1322" s="10" t="n">
        <x:v>2093</x:v>
      </x:c>
      <x:c r="B1322" s="2" t="str">
        <x:v>0cbcd3ac7f1297184155</x:v>
      </x:c>
      <x:c r="C1322" s="2" t="str">
        <x:v>Đà Nẵng</x:v>
      </x:c>
      <x:c r="D1322" s="2" t="str">
        <x:v>Quận Liên Chiểu</x:v>
      </x:c>
      <x:c r="E1322" s="2" t="str">
        <x:v>other_unknown</x:v>
      </x:c>
      <x:c r="F1322" s="2" t="str">
        <x:v>sale_assumed</x:v>
      </x:c>
      <x:c r="G1322" s="11" t="n">
        <x:v>116</x:v>
      </x:c>
      <x:c r="H1322" s="12" t="n">
        <x:v>11000000000</x:v>
      </x:c>
      <x:c r="I1322" s="12" t="n">
        <x:v>94827586.20689656</x:v>
      </x:c>
      <x:c r="J1322" s="2" t="str">
        <x:v>total</x:v>
      </x:c>
      <x:c r="K1322" s="2" t="str">
        <x:v>top_level_area</x:v>
      </x:c>
      <x:c r="L1322" s="2" t="str">
        <x:v>property_type_inferred_from_title;transaction_assumed_sale_from_dataset_context;unknown_property_type</x:v>
      </x:c>
      <x:c r="M1322" s="10" t="n">
        <x:v>0</x:v>
      </x:c>
      <x:c r="N1322" s="10" t="n">
        <x:v>0</x:v>
      </x:c>
      <x:c r="O1322" s="2" t="str">
        <x:v>Đà Nẵng|other_unknown</x:v>
      </x:c>
      <x:c r="P1322" s="10" t="n">
        <x:v>2</x:v>
      </x:c>
      <x:c r="Q1322" s="13" t="n">
        <x:f>IF(H1322="","",H1322/1000000000)</x:f>
        <x:v>11</x:v>
      </x:c>
      <x:c r="R1322" s="13" t="n">
        <x:f>IF(I1322="","",I1322/1000000)</x:f>
        <x:v>94.82758620689656</x:v>
      </x:c>
    </x:row>
    <x:row r="1323" ht="21" customHeight="1">
      <x:c r="A1323" s="10" t="n">
        <x:v>2094</x:v>
      </x:c>
      <x:c r="B1323" s="2" t="str">
        <x:v>cd44a0cef41c44fba87f</x:v>
      </x:c>
      <x:c r="C1323" s="2" t="str">
        <x:v>Bình Dương</x:v>
      </x:c>
      <x:c r="D1323" s="2" t="str">
        <x:v>Thị xã Dĩ An</x:v>
      </x:c>
      <x:c r="E1323" s="2" t="str">
        <x:v>house</x:v>
      </x:c>
      <x:c r="F1323" s="2" t="str">
        <x:v>sale_assumed</x:v>
      </x:c>
      <x:c r="G1323" s="11" t="n">
        <x:v>150</x:v>
      </x:c>
      <x:c r="H1323" s="12" t="n">
        <x:v>3350000000</x:v>
      </x:c>
      <x:c r="I1323" s="12" t="n">
        <x:v>22333333.333333332</x:v>
      </x:c>
      <x:c r="J1323" s="2" t="str">
        <x:v>total</x:v>
      </x:c>
      <x:c r="K1323" s="2" t="str">
        <x:v>top_level_price_embedded_area</x:v>
      </x:c>
      <x:c r="L1323" s="2" t="str">
        <x:v>area_recovered_from_price_text;property_type_inferred_from_title;transaction_assumed_sale_from_dataset_context</x:v>
      </x:c>
      <x:c r="M1323" s="10" t="n">
        <x:v>0</x:v>
      </x:c>
      <x:c r="N1323" s="10" t="n">
        <x:v>0</x:v>
      </x:c>
      <x:c r="O1323" s="2" t="str">
        <x:v>Bình Dương|house</x:v>
      </x:c>
      <x:c r="P1323" s="10" t="n">
        <x:v>2</x:v>
      </x:c>
      <x:c r="Q1323" s="13" t="n">
        <x:f>IF(H1323="","",H1323/1000000000)</x:f>
        <x:v>3.35</x:v>
      </x:c>
      <x:c r="R1323" s="13" t="n">
        <x:f>IF(I1323="","",I1323/1000000)</x:f>
        <x:v>22.333333333333332</x:v>
      </x:c>
    </x:row>
    <x:row r="1324" ht="21" customHeight="1">
      <x:c r="A1324" s="10" t="n">
        <x:v>2095</x:v>
      </x:c>
      <x:c r="B1324" s="2" t="str">
        <x:v>9cf524e154b91b845956</x:v>
      </x:c>
      <x:c r="C1324" s="2" t="str">
        <x:v>Kiên Giang</x:v>
      </x:c>
      <x:c r="D1324" s="2" t="str">
        <x:v>Huyện Phú Quốc</x:v>
      </x:c>
      <x:c r="E1324" s="2" t="str">
        <x:v>land</x:v>
      </x:c>
      <x:c r="F1324" s="2" t="str">
        <x:v>sale</x:v>
      </x:c>
      <x:c r="G1324" s="11" t="n">
        <x:v>108</x:v>
      </x:c>
      <x:c r="H1324" s="12" t="n">
        <x:v>1450000000</x:v>
      </x:c>
      <x:c r="I1324" s="12" t="n">
        <x:v>13425925.925925925</x:v>
      </x:c>
      <x:c r="J1324" s="2" t="str">
        <x:v>total</x:v>
      </x:c>
      <x:c r="K1324" s="2" t="str">
        <x:v>top_level_area</x:v>
      </x:c>
      <x:c r="L1324" s="2" t="str">
        <x:v>property_type_inferred_from_title</x:v>
      </x:c>
      <x:c r="M1324" s="10" t="n">
        <x:v>0</x:v>
      </x:c>
      <x:c r="N1324" s="10" t="n">
        <x:v>0</x:v>
      </x:c>
      <x:c r="O1324" s="2" t="str">
        <x:v>land</x:v>
      </x:c>
      <x:c r="P1324" s="10" t="n">
        <x:v>2</x:v>
      </x:c>
      <x:c r="Q1324" s="13" t="n">
        <x:f>IF(H1324="","",H1324/1000000000)</x:f>
        <x:v>1.45</x:v>
      </x:c>
      <x:c r="R1324" s="13" t="n">
        <x:f>IF(I1324="","",I1324/1000000)</x:f>
        <x:v>13.425925925925926</x:v>
      </x:c>
    </x:row>
    <x:row r="1325" ht="21" customHeight="1">
      <x:c r="A1325" s="10" t="n">
        <x:v>2096</x:v>
      </x:c>
      <x:c r="B1325" s="2" t="str">
        <x:v>c11b52ca5609e8f0d496</x:v>
      </x:c>
      <x:c r="C1325" s="2" t="str">
        <x:v>Tp Hồ Chí Minh</x:v>
      </x:c>
      <x:c r="D1325" s="2" t="str">
        <x:v>Quận Bình Tân</x:v>
      </x:c>
      <x:c r="E1325" s="2" t="str">
        <x:v>other_unknown</x:v>
      </x:c>
      <x:c r="F1325" s="2" t="str">
        <x:v>sale</x:v>
      </x:c>
      <x:c r="G1325" s="11" t="n">
        <x:v>75</x:v>
      </x:c>
      <x:c r="H1325" s="12" t="n">
        <x:v>2554000000</x:v>
      </x:c>
      <x:c r="I1325" s="12" t="n">
        <x:v>34053333.333333336</x:v>
      </x:c>
      <x:c r="J1325" s="2" t="str">
        <x:v>total</x:v>
      </x:c>
      <x:c r="K1325" s="2" t="str">
        <x:v>top_level_area</x:v>
      </x:c>
      <x:c r="L1325" s="2" t="str">
        <x:v>property_type_inferred_from_title;unknown_property_type</x:v>
      </x:c>
      <x:c r="M1325" s="10" t="n">
        <x:v>0</x:v>
      </x:c>
      <x:c r="N1325" s="10" t="n">
        <x:v>0</x:v>
      </x:c>
      <x:c r="O1325" s="2" t="str">
        <x:v>Tp Hồ Chí Minh|other_unknown</x:v>
      </x:c>
      <x:c r="P1325" s="10" t="n">
        <x:v>2</x:v>
      </x:c>
      <x:c r="Q1325" s="13" t="n">
        <x:f>IF(H1325="","",H1325/1000000000)</x:f>
        <x:v>2.554</x:v>
      </x:c>
      <x:c r="R1325" s="13" t="n">
        <x:f>IF(I1325="","",I1325/1000000)</x:f>
        <x:v>34.053333333333335</x:v>
      </x:c>
    </x:row>
    <x:row r="1326" ht="21" customHeight="1">
      <x:c r="A1326" s="10" t="n">
        <x:v>2097</x:v>
      </x:c>
      <x:c r="B1326" s="2" t="str">
        <x:v>4a4b3dcb02135419619f</x:v>
      </x:c>
      <x:c r="C1326" s="2" t="str">
        <x:v>Tp Hồ Chí Minh</x:v>
      </x:c>
      <x:c r="D1326" s="2" t="str">
        <x:v>Quận 5</x:v>
      </x:c>
      <x:c r="E1326" s="2" t="str">
        <x:v>house</x:v>
      </x:c>
      <x:c r="F1326" s="2" t="str">
        <x:v>sale</x:v>
      </x:c>
      <x:c r="G1326" s="11" t="n">
        <x:v>65</x:v>
      </x:c>
      <x:c r="H1326" s="12" t="n">
        <x:v>1200000000</x:v>
      </x:c>
      <x:c r="I1326" s="12" t="n">
        <x:v>18461538.46153846</x:v>
      </x:c>
      <x:c r="J1326" s="2" t="str">
        <x:v>total</x:v>
      </x:c>
      <x:c r="K1326" s="2" t="str">
        <x:v>top_level_area</x:v>
      </x:c>
      <x:c r="L1326" s="2" t="str">
        <x:v>property_type_inferred_from_title</x:v>
      </x:c>
      <x:c r="M1326" s="10" t="n">
        <x:v>0</x:v>
      </x:c>
      <x:c r="N1326" s="10" t="n">
        <x:v>0</x:v>
      </x:c>
      <x:c r="O1326" s="2" t="str">
        <x:v>Tp Hồ Chí Minh|house</x:v>
      </x:c>
      <x:c r="P1326" s="10" t="n">
        <x:v>2</x:v>
      </x:c>
      <x:c r="Q1326" s="13" t="n">
        <x:f>IF(H1326="","",H1326/1000000000)</x:f>
        <x:v>1.2</x:v>
      </x:c>
      <x:c r="R1326" s="13" t="n">
        <x:f>IF(I1326="","",I1326/1000000)</x:f>
        <x:v>18.46153846153846</x:v>
      </x:c>
    </x:row>
    <x:row r="1327" ht="21" customHeight="1">
      <x:c r="A1327" s="10" t="n">
        <x:v>2098</x:v>
      </x:c>
      <x:c r="B1327" s="2" t="str">
        <x:v>bc50fd42fc80ac1537d5</x:v>
      </x:c>
      <x:c r="C1327" s="2" t="str">
        <x:v>Tp Hồ Chí Minh</x:v>
      </x:c>
      <x:c r="D1327" s="2" t="str">
        <x:v>Quận 5</x:v>
      </x:c>
      <x:c r="E1327" s="2" t="str">
        <x:v>other_unknown</x:v>
      </x:c>
      <x:c r="F1327" s="2" t="str">
        <x:v>sale_assumed</x:v>
      </x:c>
      <x:c r="G1327" s="11" t="n">
        <x:v>50</x:v>
      </x:c>
      <x:c r="H1327" s="12" t="n">
        <x:v>13200000000</x:v>
      </x:c>
      <x:c r="I1327" s="12" t="n">
        <x:v>264000000</x:v>
      </x:c>
      <x:c r="J1327" s="2" t="str">
        <x:v>total</x:v>
      </x:c>
      <x:c r="K1327" s="2" t="str">
        <x:v>top_level_area</x:v>
      </x:c>
      <x:c r="L1327" s="2" t="str">
        <x:v>property_type_inferred_from_title;transaction_assumed_sale_from_dataset_context;unknown_property_type</x:v>
      </x:c>
      <x:c r="M1327" s="10" t="n">
        <x:v>1</x:v>
      </x:c>
      <x:c r="N1327" s="10" t="n">
        <x:v>1</x:v>
      </x:c>
      <x:c r="O1327" s="2" t="str">
        <x:v>Tp Hồ Chí Minh|other_unknown</x:v>
      </x:c>
      <x:c r="P1327" s="10" t="n">
        <x:v>-1</x:v>
      </x:c>
      <x:c r="Q1327" s="13" t="n">
        <x:f>IF(H1327="","",H1327/1000000000)</x:f>
        <x:v>13.2</x:v>
      </x:c>
      <x:c r="R1327" s="13" t="n">
        <x:f>IF(I1327="","",I1327/1000000)</x:f>
        <x:v>264</x:v>
      </x:c>
    </x:row>
    <x:row r="1328" ht="21" customHeight="1">
      <x:c r="A1328" s="10" t="n">
        <x:v>2099</x:v>
      </x:c>
      <x:c r="B1328" s="2" t="str">
        <x:v>40fbc39ecbc756b991f1</x:v>
      </x:c>
      <x:c r="C1328" s="2" t="str">
        <x:v>Bà Rịa - Vũng Tàu</x:v>
      </x:c>
      <x:c r="D1328" s="2" t="str">
        <x:v>Thành phố Bà Rịa</x:v>
      </x:c>
      <x:c r="E1328" s="2" t="str">
        <x:v>other_unknown</x:v>
      </x:c>
      <x:c r="F1328" s="2" t="str">
        <x:v>sale</x:v>
      </x:c>
      <x:c r="G1328" s="11" t="n">
        <x:v>100</x:v>
      </x:c>
      <x:c r="H1328" s="12" t="n">
        <x:v>680000000</x:v>
      </x:c>
      <x:c r="I1328" s="12" t="n">
        <x:v>6800000</x:v>
      </x:c>
      <x:c r="J1328" s="2" t="str">
        <x:v>total</x:v>
      </x:c>
      <x:c r="K1328" s="2" t="str">
        <x:v>top_level_area</x:v>
      </x:c>
      <x:c r="L1328" s="2" t="str">
        <x:v>property_type_inferred_from_title;unknown_property_type</x:v>
      </x:c>
      <x:c r="M1328" s="10" t="n">
        <x:v>0</x:v>
      </x:c>
      <x:c r="N1328" s="10" t="n">
        <x:v>0</x:v>
      </x:c>
      <x:c r="O1328" s="2" t="str">
        <x:v>other_unknown</x:v>
      </x:c>
      <x:c r="P1328" s="10" t="n">
        <x:v>2</x:v>
      </x:c>
      <x:c r="Q1328" s="13" t="n">
        <x:f>IF(H1328="","",H1328/1000000000)</x:f>
        <x:v>0.68</x:v>
      </x:c>
      <x:c r="R1328" s="13" t="n">
        <x:f>IF(I1328="","",I1328/1000000)</x:f>
        <x:v>6.8</x:v>
      </x:c>
    </x:row>
    <x:row r="1329" ht="21" customHeight="1">
      <x:c r="A1329" s="10" t="n">
        <x:v>2100</x:v>
      </x:c>
      <x:c r="B1329" s="2" t="str">
        <x:v>bbb5cc87760082ebc828</x:v>
      </x:c>
      <x:c r="C1329" s="2" t="str">
        <x:v>Bình Thuận</x:v>
      </x:c>
      <x:c r="D1329" s="2" t="str">
        <x:v>Huyện Bắc Bình</x:v>
      </x:c>
      <x:c r="E1329" s="2" t="str">
        <x:v>land</x:v>
      </x:c>
      <x:c r="F1329" s="2" t="str">
        <x:v>sale_assumed</x:v>
      </x:c>
      <x:c r="G1329" s="11" t="n">
        <x:v>7700</x:v>
      </x:c>
      <x:c r="H1329" s="12" t="n">
        <x:v>340000000</x:v>
      </x:c>
      <x:c r="I1329" s="12" t="n">
        <x:v>44155.844155844155</x:v>
      </x:c>
      <x:c r="J1329" s="2" t="str">
        <x:v>total</x:v>
      </x:c>
      <x:c r="K1329" s="2" t="str">
        <x:v>top_level_area</x:v>
      </x:c>
      <x:c r="L1329" s="2" t="str">
        <x:v>dot_thousands_convention;property_type_inferred_from_title;transaction_assumed_sale_from_dataset_context</x:v>
      </x:c>
      <x:c r="M1329" s="10" t="n">
        <x:v>0</x:v>
      </x:c>
      <x:c r="N1329" s="10" t="n">
        <x:v>0</x:v>
      </x:c>
      <x:c r="O1329" s="2" t="str">
        <x:v>land</x:v>
      </x:c>
      <x:c r="P1329" s="10" t="n">
        <x:v>1</x:v>
      </x:c>
      <x:c r="Q1329" s="13" t="n">
        <x:f>IF(H1329="","",H1329/1000000000)</x:f>
        <x:v>0.34</x:v>
      </x:c>
      <x:c r="R1329" s="13" t="n">
        <x:f>IF(I1329="","",I1329/1000000)</x:f>
        <x:v>0.04415584415584416</x:v>
      </x:c>
    </x:row>
    <x:row r="1330" ht="21" customHeight="1">
      <x:c r="A1330" s="10" t="n">
        <x:v>2101</x:v>
      </x:c>
      <x:c r="B1330" s="2" t="str">
        <x:v>a178e293456a85250688</x:v>
      </x:c>
      <x:c r="C1330" s="2" t="str">
        <x:v>Tp Hồ Chí Minh</x:v>
      </x:c>
      <x:c r="D1330" s="2" t="str">
        <x:v>Quận Gò Vấp</x:v>
      </x:c>
      <x:c r="E1330" s="2" t="str">
        <x:v>house</x:v>
      </x:c>
      <x:c r="F1330" s="2" t="str">
        <x:v>sale</x:v>
      </x:c>
      <x:c r="G1330" s="11" t="n">
        <x:v>40</x:v>
      </x:c>
      <x:c r="H1330" s="12" t="n">
        <x:v>5850000000</x:v>
      </x:c>
      <x:c r="I1330" s="12" t="n">
        <x:v>146250000</x:v>
      </x:c>
      <x:c r="J1330" s="2" t="str">
        <x:v>total</x:v>
      </x:c>
      <x:c r="K1330" s="2" t="str">
        <x:v>top_level_area</x:v>
      </x:c>
      <x:c r="L1330" s="2" t="str">
        <x:v>property_type_inferred_from_title</x:v>
      </x:c>
      <x:c r="M1330" s="10" t="n">
        <x:v>0</x:v>
      </x:c>
      <x:c r="N1330" s="10" t="n">
        <x:v>0</x:v>
      </x:c>
      <x:c r="O1330" s="2" t="str">
        <x:v>Tp Hồ Chí Minh|house</x:v>
      </x:c>
      <x:c r="P1330" s="10" t="n">
        <x:v>2</x:v>
      </x:c>
      <x:c r="Q1330" s="13" t="n">
        <x:f>IF(H1330="","",H1330/1000000000)</x:f>
        <x:v>5.85</x:v>
      </x:c>
      <x:c r="R1330" s="13" t="n">
        <x:f>IF(I1330="","",I1330/1000000)</x:f>
        <x:v>146.25</x:v>
      </x:c>
    </x:row>
    <x:row r="1331" ht="21" customHeight="1">
      <x:c r="A1331" s="10" t="n">
        <x:v>2102</x:v>
      </x:c>
      <x:c r="B1331" s="2" t="str">
        <x:v>16c6c42b52c13477ce37</x:v>
      </x:c>
      <x:c r="C1331" s="2" t="str">
        <x:v>Tp Hồ Chí Minh</x:v>
      </x:c>
      <x:c r="D1331" s="2" t="str">
        <x:v>Quận Gò Vấp</x:v>
      </x:c>
      <x:c r="E1331" s="2" t="str">
        <x:v>land</x:v>
      </x:c>
      <x:c r="F1331" s="2" t="str">
        <x:v>sale_assumed</x:v>
      </x:c>
      <x:c r="G1331" s="11" t="n">
        <x:v>30</x:v>
      </x:c>
      <x:c r="H1331" s="12" t="n">
        <x:v>2550000000</x:v>
      </x:c>
      <x:c r="I1331" s="12" t="n">
        <x:v>85000000</x:v>
      </x:c>
      <x:c r="J1331" s="2" t="str">
        <x:v>total</x:v>
      </x:c>
      <x:c r="K1331" s="2" t="str">
        <x:v>top_level_area</x:v>
      </x:c>
      <x:c r="L1331" s="2" t="str">
        <x:v>property_type_inferred_from_title;transaction_assumed_sale_from_dataset_context</x:v>
      </x:c>
      <x:c r="M1331" s="10" t="n">
        <x:v>0</x:v>
      </x:c>
      <x:c r="N1331" s="10" t="n">
        <x:v>0</x:v>
      </x:c>
      <x:c r="O1331" s="2" t="str">
        <x:v>Tp Hồ Chí Minh|land</x:v>
      </x:c>
      <x:c r="P1331" s="10" t="n">
        <x:v>2</x:v>
      </x:c>
      <x:c r="Q1331" s="13" t="n">
        <x:f>IF(H1331="","",H1331/1000000000)</x:f>
        <x:v>2.55</x:v>
      </x:c>
      <x:c r="R1331" s="13" t="n">
        <x:f>IF(I1331="","",I1331/1000000)</x:f>
        <x:v>85</x:v>
      </x:c>
    </x:row>
    <x:row r="1332" ht="21" customHeight="1">
      <x:c r="A1332" s="10" t="n">
        <x:v>2103</x:v>
      </x:c>
      <x:c r="B1332" s="2" t="str">
        <x:v>4e06e2016db612f57665</x:v>
      </x:c>
      <x:c r="C1332" s="2" t="str">
        <x:v>Tp Hồ Chí Minh</x:v>
      </x:c>
      <x:c r="D1332" s="2" t="str">
        <x:v>Quận 2</x:v>
      </x:c>
      <x:c r="E1332" s="2" t="str">
        <x:v>land</x:v>
      </x:c>
      <x:c r="F1332" s="2" t="str">
        <x:v>sale</x:v>
      </x:c>
      <x:c r="G1332" s="11" t="n">
        <x:v>87</x:v>
      </x:c>
      <x:c r="H1332" s="12" t="n">
        <x:v>5150000000</x:v>
      </x:c>
      <x:c r="I1332" s="12" t="n">
        <x:v>59195402.29885057</x:v>
      </x:c>
      <x:c r="J1332" s="2" t="str">
        <x:v>total</x:v>
      </x:c>
      <x:c r="K1332" s="2" t="str">
        <x:v>top_level_area</x:v>
      </x:c>
      <x:c r="L1332" s="2" t="str">
        <x:v>property_type_inferred_from_title</x:v>
      </x:c>
      <x:c r="M1332" s="10" t="n">
        <x:v>0</x:v>
      </x:c>
      <x:c r="N1332" s="10" t="n">
        <x:v>0</x:v>
      </x:c>
      <x:c r="O1332" s="2" t="str">
        <x:v>Tp Hồ Chí Minh|land</x:v>
      </x:c>
      <x:c r="P1332" s="10" t="n">
        <x:v>2</x:v>
      </x:c>
      <x:c r="Q1332" s="13" t="n">
        <x:f>IF(H1332="","",H1332/1000000000)</x:f>
        <x:v>5.15</x:v>
      </x:c>
      <x:c r="R1332" s="13" t="n">
        <x:f>IF(I1332="","",I1332/1000000)</x:f>
        <x:v>59.195402298850574</x:v>
      </x:c>
    </x:row>
    <x:row r="1333" ht="21" customHeight="1">
      <x:c r="A1333" s="10" t="n">
        <x:v>2104</x:v>
      </x:c>
      <x:c r="B1333" s="2" t="str">
        <x:v>afe2dceb7561a14a4eb9</x:v>
      </x:c>
      <x:c r="C1333" s="2" t="str">
        <x:v>Tp Hồ Chí Minh</x:v>
      </x:c>
      <x:c r="D1333" s="2" t="str">
        <x:v>Quận Tân Phú</x:v>
      </x:c>
      <x:c r="E1333" s="2" t="str">
        <x:v>house</x:v>
      </x:c>
      <x:c r="F1333" s="2" t="str">
        <x:v>sale</x:v>
      </x:c>
      <x:c r="G1333" s="11" t="n">
        <x:v>72</x:v>
      </x:c>
      <x:c r="H1333" s="12" t="n">
        <x:v>4600000000</x:v>
      </x:c>
      <x:c r="I1333" s="12" t="n">
        <x:v>63888888.88888889</x:v>
      </x:c>
      <x:c r="J1333" s="2" t="str">
        <x:v>total</x:v>
      </x:c>
      <x:c r="K1333" s="2" t="str">
        <x:v>top_level_area</x:v>
      </x:c>
      <x:c r="L1333" s="2" t="str">
        <x:v>property_type_inferred_from_title</x:v>
      </x:c>
      <x:c r="M1333" s="10" t="n">
        <x:v>0</x:v>
      </x:c>
      <x:c r="N1333" s="10" t="n">
        <x:v>0</x:v>
      </x:c>
      <x:c r="O1333" s="2" t="str">
        <x:v>Tp Hồ Chí Minh|house</x:v>
      </x:c>
      <x:c r="P1333" s="10" t="n">
        <x:v>2</x:v>
      </x:c>
      <x:c r="Q1333" s="13" t="n">
        <x:f>IF(H1333="","",H1333/1000000000)</x:f>
        <x:v>4.6</x:v>
      </x:c>
      <x:c r="R1333" s="13" t="n">
        <x:f>IF(I1333="","",I1333/1000000)</x:f>
        <x:v>63.888888888888886</x:v>
      </x:c>
    </x:row>
    <x:row r="1334" ht="21" customHeight="1">
      <x:c r="A1334" s="10" t="n">
        <x:v>2105</x:v>
      </x:c>
      <x:c r="B1334" s="2" t="str">
        <x:v>746fcc9e645385e6fe83</x:v>
      </x:c>
      <x:c r="C1334" s="2" t="str">
        <x:v>Lâm Đồng</x:v>
      </x:c>
      <x:c r="D1334" s="2" t="str">
        <x:v>Thành phố Bảo Lộc</x:v>
      </x:c>
      <x:c r="E1334" s="2" t="str">
        <x:v>land</x:v>
      </x:c>
      <x:c r="F1334" s="2" t="str">
        <x:v>sale_assumed</x:v>
      </x:c>
      <x:c r="G1334" s="11" t="n">
        <x:v>128</x:v>
      </x:c>
      <x:c r="H1334" s="12" t="n">
        <x:v>900000000</x:v>
      </x:c>
      <x:c r="I1334" s="12" t="n">
        <x:v>7031250</x:v>
      </x:c>
      <x:c r="J1334" s="2" t="str">
        <x:v>total</x:v>
      </x:c>
      <x:c r="K1334" s="2" t="str">
        <x:v>top_level_area</x:v>
      </x:c>
      <x:c r="L1334" s="2" t="str">
        <x:v>property_type_inferred_from_title;transaction_assumed_sale_from_dataset_context</x:v>
      </x:c>
      <x:c r="M1334" s="10" t="n">
        <x:v>0</x:v>
      </x:c>
      <x:c r="N1334" s="10" t="n">
        <x:v>0</x:v>
      </x:c>
      <x:c r="O1334" s="2" t="str">
        <x:v>Lâm Đồng|land</x:v>
      </x:c>
      <x:c r="P1334" s="10" t="n">
        <x:v>2</x:v>
      </x:c>
      <x:c r="Q1334" s="13" t="n">
        <x:f>IF(H1334="","",H1334/1000000000)</x:f>
        <x:v>0.9</x:v>
      </x:c>
      <x:c r="R1334" s="13" t="n">
        <x:f>IF(I1334="","",I1334/1000000)</x:f>
        <x:v>7.03125</x:v>
      </x:c>
    </x:row>
    <x:row r="1335" ht="21" customHeight="1">
      <x:c r="A1335" s="10" t="n">
        <x:v>2106</x:v>
      </x:c>
      <x:c r="B1335" s="2" t="str">
        <x:v>28962d88d18056d3693f</x:v>
      </x:c>
      <x:c r="C1335" s="2" t="str">
        <x:v>Tp Hồ Chí Minh</x:v>
      </x:c>
      <x:c r="D1335" s="2" t="str">
        <x:v>Quận Bình Tân</x:v>
      </x:c>
      <x:c r="E1335" s="2" t="str">
        <x:v>house</x:v>
      </x:c>
      <x:c r="F1335" s="2" t="str">
        <x:v>sale_assumed</x:v>
      </x:c>
      <x:c r="G1335" s="11" t="n">
        <x:v>32</x:v>
      </x:c>
      <x:c r="H1335" s="12" t="n">
        <x:v>2680000000</x:v>
      </x:c>
      <x:c r="I1335" s="12" t="n">
        <x:v>83750000</x:v>
      </x:c>
      <x:c r="J1335" s="2" t="str">
        <x:v>total</x:v>
      </x:c>
      <x:c r="K1335" s="2" t="str">
        <x:v>top_level_area</x:v>
      </x:c>
      <x:c r="L1335" s="2" t="str">
        <x:v>property_type_inferred_from_title;transaction_assumed_sale_from_dataset_context</x:v>
      </x:c>
      <x:c r="M1335" s="10" t="n">
        <x:v>0</x:v>
      </x:c>
      <x:c r="N1335" s="10" t="n">
        <x:v>0</x:v>
      </x:c>
      <x:c r="O1335" s="2" t="str">
        <x:v>Tp Hồ Chí Minh|house</x:v>
      </x:c>
      <x:c r="P1335" s="10" t="n">
        <x:v>2</x:v>
      </x:c>
      <x:c r="Q1335" s="13" t="n">
        <x:f>IF(H1335="","",H1335/1000000000)</x:f>
        <x:v>2.68</x:v>
      </x:c>
      <x:c r="R1335" s="13" t="n">
        <x:f>IF(I1335="","",I1335/1000000)</x:f>
        <x:v>83.75</x:v>
      </x:c>
    </x:row>
    <x:row r="1336" ht="21" customHeight="1">
      <x:c r="A1336" s="10" t="n">
        <x:v>2107</x:v>
      </x:c>
      <x:c r="B1336" s="2" t="str">
        <x:v>ba27eeb99c08c43b58e6</x:v>
      </x:c>
      <x:c r="C1336" s="2" t="str">
        <x:v>Tp Hồ Chí Minh</x:v>
      </x:c>
      <x:c r="D1336" s="2" t="str">
        <x:v>Quận 9</x:v>
      </x:c>
      <x:c r="E1336" s="2" t="str">
        <x:v>land</x:v>
      </x:c>
      <x:c r="F1336" s="2" t="str">
        <x:v>sale</x:v>
      </x:c>
      <x:c r="G1336" s="11" t="n">
        <x:v>65</x:v>
      </x:c>
      <x:c r="H1336" s="12" t="n">
        <x:v>729000000</x:v>
      </x:c>
      <x:c r="I1336" s="12" t="n">
        <x:v>11215384.615384616</x:v>
      </x:c>
      <x:c r="J1336" s="2" t="str">
        <x:v>total</x:v>
      </x:c>
      <x:c r="K1336" s="2" t="str">
        <x:v>top_level_area</x:v>
      </x:c>
      <x:c r="L1336" s="2" t="str">
        <x:v>property_type_inferred_from_title</x:v>
      </x:c>
      <x:c r="M1336" s="10" t="n">
        <x:v>0</x:v>
      </x:c>
      <x:c r="N1336" s="10" t="n">
        <x:v>0</x:v>
      </x:c>
      <x:c r="O1336" s="2" t="str">
        <x:v>Tp Hồ Chí Minh|land</x:v>
      </x:c>
      <x:c r="P1336" s="10" t="n">
        <x:v>2</x:v>
      </x:c>
      <x:c r="Q1336" s="13" t="n">
        <x:f>IF(H1336="","",H1336/1000000000)</x:f>
        <x:v>0.729</x:v>
      </x:c>
      <x:c r="R1336" s="13" t="n">
        <x:f>IF(I1336="","",I1336/1000000)</x:f>
        <x:v>11.215384615384616</x:v>
      </x:c>
    </x:row>
    <x:row r="1337" ht="21" customHeight="1">
      <x:c r="A1337" s="10" t="n">
        <x:v>2108</x:v>
      </x:c>
      <x:c r="B1337" s="2" t="str">
        <x:v>9a00a9fe21ca7b836d7b</x:v>
      </x:c>
      <x:c r="C1337" s="2" t="str">
        <x:v>Hà Nội</x:v>
      </x:c>
      <x:c r="D1337" s="2" t="str">
        <x:v>Quận Long Biên</x:v>
      </x:c>
      <x:c r="E1337" s="2" t="str">
        <x:v>land</x:v>
      </x:c>
      <x:c r="F1337" s="2" t="str">
        <x:v>sale</x:v>
      </x:c>
      <x:c r="G1337" s="11" t="n">
        <x:v>52</x:v>
      </x:c>
      <x:c r="H1337" s="12" t="n">
        <x:v>4500000000</x:v>
      </x:c>
      <x:c r="I1337" s="12" t="n">
        <x:v>86538461.53846154</x:v>
      </x:c>
      <x:c r="J1337" s="2" t="str">
        <x:v>total</x:v>
      </x:c>
      <x:c r="K1337" s="2" t="str">
        <x:v>top_level_area</x:v>
      </x:c>
      <x:c r="L1337" s="2" t="str">
        <x:v>property_type_inferred_from_title</x:v>
      </x:c>
      <x:c r="M1337" s="10" t="n">
        <x:v>0</x:v>
      </x:c>
      <x:c r="N1337" s="10" t="n">
        <x:v>0</x:v>
      </x:c>
      <x:c r="O1337" s="2" t="str">
        <x:v>Hà Nội|land</x:v>
      </x:c>
      <x:c r="P1337" s="10" t="n">
        <x:v>2</x:v>
      </x:c>
      <x:c r="Q1337" s="13" t="n">
        <x:f>IF(H1337="","",H1337/1000000000)</x:f>
        <x:v>4.5</x:v>
      </x:c>
      <x:c r="R1337" s="13" t="n">
        <x:f>IF(I1337="","",I1337/1000000)</x:f>
        <x:v>86.53846153846153</x:v>
      </x:c>
    </x:row>
    <x:row r="1338" ht="21" customHeight="1">
      <x:c r="A1338" s="10" t="n">
        <x:v>2109</x:v>
      </x:c>
      <x:c r="B1338" s="2" t="str">
        <x:v>06328ec63efb6a12a79e</x:v>
      </x:c>
      <x:c r="C1338" s="2" t="str">
        <x:v>Long An</x:v>
      </x:c>
      <x:c r="D1338" s="2" t="str">
        <x:v>Huyện Đức Hòa</x:v>
      </x:c>
      <x:c r="E1338" s="2" t="str">
        <x:v>house</x:v>
      </x:c>
      <x:c r="F1338" s="2" t="str">
        <x:v>sale</x:v>
      </x:c>
      <x:c r="G1338" s="11" t="n">
        <x:v>28</x:v>
      </x:c>
      <x:c r="H1338" s="12" t="n">
        <x:v>450000000</x:v>
      </x:c>
      <x:c r="I1338" s="12" t="n">
        <x:v>16071428.57142857</x:v>
      </x:c>
      <x:c r="J1338" s="2" t="str">
        <x:v>total</x:v>
      </x:c>
      <x:c r="K1338" s="2" t="str">
        <x:v>top_level_area</x:v>
      </x:c>
      <x:c r="L1338" s="2" t="str">
        <x:v>property_type_inferred_from_title</x:v>
      </x:c>
      <x:c r="M1338" s="10" t="n">
        <x:v>0</x:v>
      </x:c>
      <x:c r="N1338" s="10" t="n">
        <x:v>0</x:v>
      </x:c>
      <x:c r="O1338" s="2" t="str">
        <x:v>Long An|house</x:v>
      </x:c>
      <x:c r="P1338" s="10" t="n">
        <x:v>2</x:v>
      </x:c>
      <x:c r="Q1338" s="13" t="n">
        <x:f>IF(H1338="","",H1338/1000000000)</x:f>
        <x:v>0.45</x:v>
      </x:c>
      <x:c r="R1338" s="13" t="n">
        <x:f>IF(I1338="","",I1338/1000000)</x:f>
        <x:v>16.07142857142857</x:v>
      </x:c>
    </x:row>
    <x:row r="1339" ht="21" customHeight="1">
      <x:c r="A1339" s="10" t="n">
        <x:v>2110</x:v>
      </x:c>
      <x:c r="B1339" s="2" t="str">
        <x:v>8e790d36995ebee35aa6</x:v>
      </x:c>
      <x:c r="C1339" s="2" t="str">
        <x:v>Tp Hồ Chí Minh</x:v>
      </x:c>
      <x:c r="D1339" s="2" t="str">
        <x:v>Quận Gò Vấp</x:v>
      </x:c>
      <x:c r="E1339" s="2" t="str">
        <x:v>house</x:v>
      </x:c>
      <x:c r="F1339" s="2" t="str">
        <x:v>sale_assumed</x:v>
      </x:c>
      <x:c r="G1339" s="11" t="n">
        <x:v>60.6</x:v>
      </x:c>
      <x:c r="H1339" s="12" t="n">
        <x:v>6850000000</x:v>
      </x:c>
      <x:c r="I1339" s="12" t="n">
        <x:v>113036303.63036303</x:v>
      </x:c>
      <x:c r="J1339" s="2" t="str">
        <x:v>total</x:v>
      </x:c>
      <x:c r="K1339" s="2" t="str">
        <x:v>top_level_area</x:v>
      </x:c>
      <x:c r="L1339" s="2" t="str">
        <x:v>property_type_inferred_from_title;transaction_assumed_sale_from_dataset_context</x:v>
      </x:c>
      <x:c r="M1339" s="10" t="n">
        <x:v>0</x:v>
      </x:c>
      <x:c r="N1339" s="10" t="n">
        <x:v>0</x:v>
      </x:c>
      <x:c r="O1339" s="2" t="str">
        <x:v>Tp Hồ Chí Minh|house</x:v>
      </x:c>
      <x:c r="P1339" s="10" t="n">
        <x:v>2</x:v>
      </x:c>
      <x:c r="Q1339" s="13" t="n">
        <x:f>IF(H1339="","",H1339/1000000000)</x:f>
        <x:v>6.85</x:v>
      </x:c>
      <x:c r="R1339" s="13" t="n">
        <x:f>IF(I1339="","",I1339/1000000)</x:f>
        <x:v>113.03630363036304</x:v>
      </x:c>
    </x:row>
    <x:row r="1340" ht="21" customHeight="1">
      <x:c r="A1340" s="10" t="n">
        <x:v>2111</x:v>
      </x:c>
      <x:c r="B1340" s="2" t="str">
        <x:v>7729770855070c1125e2</x:v>
      </x:c>
      <x:c r="C1340" s="2" t="str">
        <x:v>Tp Hồ Chí Minh</x:v>
      </x:c>
      <x:c r="D1340" s="2" t="str">
        <x:v>Quận Gò Vấp</x:v>
      </x:c>
      <x:c r="E1340" s="2" t="str">
        <x:v>land</x:v>
      </x:c>
      <x:c r="F1340" s="2" t="str">
        <x:v>sale_assumed</x:v>
      </x:c>
      <x:c r="G1340" s="11" t="n">
        <x:v>65.2</x:v>
      </x:c>
      <x:c r="H1340" s="12" t="n">
        <x:v>4000000000</x:v>
      </x:c>
      <x:c r="I1340" s="12" t="n">
        <x:v>61349693.25153374</x:v>
      </x:c>
      <x:c r="J1340" s="2" t="str">
        <x:v>total</x:v>
      </x:c>
      <x:c r="K1340" s="2" t="str">
        <x:v>top_level_area</x:v>
      </x:c>
      <x:c r="L1340" s="2" t="str">
        <x:v>property_type_inferred_from_title;transaction_assumed_sale_from_dataset_context</x:v>
      </x:c>
      <x:c r="M1340" s="10" t="n">
        <x:v>0</x:v>
      </x:c>
      <x:c r="N1340" s="10" t="n">
        <x:v>0</x:v>
      </x:c>
      <x:c r="O1340" s="2" t="str">
        <x:v>Tp Hồ Chí Minh|land</x:v>
      </x:c>
      <x:c r="P1340" s="10" t="n">
        <x:v>2</x:v>
      </x:c>
      <x:c r="Q1340" s="13" t="n">
        <x:f>IF(H1340="","",H1340/1000000000)</x:f>
        <x:v>4</x:v>
      </x:c>
      <x:c r="R1340" s="13" t="n">
        <x:f>IF(I1340="","",I1340/1000000)</x:f>
        <x:v>61.349693251533736</x:v>
      </x:c>
    </x:row>
    <x:row r="1341" ht="21" customHeight="1">
      <x:c r="A1341" s="10" t="n">
        <x:v>2113</x:v>
      </x:c>
      <x:c r="B1341" s="2" t="str">
        <x:v>d257604e4baf16529df7</x:v>
      </x:c>
      <x:c r="C1341" s="2" t="str">
        <x:v>Tp Hồ Chí Minh</x:v>
      </x:c>
      <x:c r="D1341" s="2" t="str">
        <x:v>Quận 8</x:v>
      </x:c>
      <x:c r="E1341" s="2" t="str">
        <x:v>other_unknown</x:v>
      </x:c>
      <x:c r="F1341" s="2" t="str">
        <x:v>sale_assumed</x:v>
      </x:c>
      <x:c r="G1341" s="11" t="n">
        <x:v>23</x:v>
      </x:c>
      <x:c r="H1341" s="12" t="n">
        <x:v>839000000</x:v>
      </x:c>
      <x:c r="I1341" s="12" t="n">
        <x:v>36478260.86956522</x:v>
      </x:c>
      <x:c r="J1341" s="2" t="str">
        <x:v>total</x:v>
      </x:c>
      <x:c r="K1341" s="2" t="str">
        <x:v>top_level_area</x:v>
      </x:c>
      <x:c r="L1341" s="2" t="str">
        <x:v>property_type_inferred_from_title;transaction_assumed_sale_from_dataset_context;unknown_property_type</x:v>
      </x:c>
      <x:c r="M1341" s="10" t="n">
        <x:v>0</x:v>
      </x:c>
      <x:c r="N1341" s="10" t="n">
        <x:v>0</x:v>
      </x:c>
      <x:c r="O1341" s="2" t="str">
        <x:v>Tp Hồ Chí Minh|other_unknown</x:v>
      </x:c>
      <x:c r="P1341" s="10" t="n">
        <x:v>2</x:v>
      </x:c>
      <x:c r="Q1341" s="13" t="n">
        <x:f>IF(H1341="","",H1341/1000000000)</x:f>
        <x:v>0.839</x:v>
      </x:c>
      <x:c r="R1341" s="13" t="n">
        <x:f>IF(I1341="","",I1341/1000000)</x:f>
        <x:v>36.47826086956522</x:v>
      </x:c>
    </x:row>
    <x:row r="1342" ht="21" customHeight="1">
      <x:c r="A1342" s="10" t="n">
        <x:v>2114</x:v>
      </x:c>
      <x:c r="B1342" s="2" t="str">
        <x:v>29914bdda5891480d2ba</x:v>
      </x:c>
      <x:c r="C1342" s="2" t="str">
        <x:v>Đồng Nai</x:v>
      </x:c>
      <x:c r="D1342" s="2" t="str">
        <x:v>Thành phố Biên Hòa</x:v>
      </x:c>
      <x:c r="E1342" s="2" t="str">
        <x:v>apartment</x:v>
      </x:c>
      <x:c r="F1342" s="2" t="str">
        <x:v>sale_assumed</x:v>
      </x:c>
      <x:c r="G1342" s="11" t="n">
        <x:v>67</x:v>
      </x:c>
      <x:c r="H1342" s="12" t="n">
        <x:v>2200000000</x:v>
      </x:c>
      <x:c r="I1342" s="12" t="n">
        <x:v>32835820.89552239</x:v>
      </x:c>
      <x:c r="J1342" s="2" t="str">
        <x:v>total</x:v>
      </x:c>
      <x:c r="K1342" s="2" t="str">
        <x:v>top_level_area</x:v>
      </x:c>
      <x:c r="L1342" s="2" t="str">
        <x:v>property_type_inferred_from_title;transaction_assumed_sale_from_dataset_context</x:v>
      </x:c>
      <x:c r="M1342" s="10" t="n">
        <x:v>0</x:v>
      </x:c>
      <x:c r="N1342" s="10" t="n">
        <x:v>0</x:v>
      </x:c>
      <x:c r="O1342" s="2" t="str">
        <x:v>apartment</x:v>
      </x:c>
      <x:c r="P1342" s="10" t="n">
        <x:v>2</x:v>
      </x:c>
      <x:c r="Q1342" s="13" t="n">
        <x:f>IF(H1342="","",H1342/1000000000)</x:f>
        <x:v>2.2</x:v>
      </x:c>
      <x:c r="R1342" s="13" t="n">
        <x:f>IF(I1342="","",I1342/1000000)</x:f>
        <x:v>32.83582089552239</x:v>
      </x:c>
    </x:row>
    <x:row r="1343" ht="21" customHeight="1">
      <x:c r="A1343" s="10" t="n">
        <x:v>2115</x:v>
      </x:c>
      <x:c r="B1343" s="2" t="str">
        <x:v>205d94476993d3975bd2</x:v>
      </x:c>
      <x:c r="C1343" s="2" t="str">
        <x:v>Lâm Đồng</x:v>
      </x:c>
      <x:c r="D1343" s="2" t="str">
        <x:v>Thành phố Bảo Lộc</x:v>
      </x:c>
      <x:c r="E1343" s="2" t="str">
        <x:v>other_unknown</x:v>
      </x:c>
      <x:c r="F1343" s="2" t="str">
        <x:v>sale_assumed</x:v>
      </x:c>
      <x:c r="G1343" s="11" t="n">
        <x:v>150</x:v>
      </x:c>
      <x:c r="H1343" s="12" t="n">
        <x:v>450000000</x:v>
      </x:c>
      <x:c r="I1343" s="12" t="n">
        <x:v>3000000</x:v>
      </x:c>
      <x:c r="J1343" s="2" t="str">
        <x:v>total</x:v>
      </x:c>
      <x:c r="K1343" s="2" t="str">
        <x:v>top_level_area</x:v>
      </x:c>
      <x:c r="L1343" s="2" t="str">
        <x:v>property_type_inferred_from_title;transaction_assumed_sale_from_dataset_context;unknown_property_type</x:v>
      </x:c>
      <x:c r="M1343" s="10" t="n">
        <x:v>0</x:v>
      </x:c>
      <x:c r="N1343" s="10" t="n">
        <x:v>0</x:v>
      </x:c>
      <x:c r="O1343" s="2" t="str">
        <x:v>other_unknown</x:v>
      </x:c>
      <x:c r="P1343" s="10" t="n">
        <x:v>1</x:v>
      </x:c>
      <x:c r="Q1343" s="13" t="n">
        <x:f>IF(H1343="","",H1343/1000000000)</x:f>
        <x:v>0.45</x:v>
      </x:c>
      <x:c r="R1343" s="13" t="n">
        <x:f>IF(I1343="","",I1343/1000000)</x:f>
        <x:v>3</x:v>
      </x:c>
    </x:row>
    <x:row r="1344" ht="21" customHeight="1">
      <x:c r="A1344" s="10" t="n">
        <x:v>2116</x:v>
      </x:c>
      <x:c r="B1344" s="2" t="str">
        <x:v>cb675468193638909f9b</x:v>
      </x:c>
      <x:c r="C1344" s="2" t="str">
        <x:v>Long An</x:v>
      </x:c>
      <x:c r="D1344" s="2" t="str">
        <x:v>Huyện Đức Hòa</x:v>
      </x:c>
      <x:c r="E1344" s="2" t="str">
        <x:v>land</x:v>
      </x:c>
      <x:c r="F1344" s="2" t="str">
        <x:v>sale</x:v>
      </x:c>
      <x:c r="G1344" s="11" t="n">
        <x:v>196</x:v>
      </x:c>
      <x:c r="H1344" s="12" t="n">
        <x:v>1250000000</x:v>
      </x:c>
      <x:c r="I1344" s="12" t="n">
        <x:v>6377551.020408163</x:v>
      </x:c>
      <x:c r="J1344" s="2" t="str">
        <x:v>total</x:v>
      </x:c>
      <x:c r="K1344" s="2" t="str">
        <x:v>top_level_area</x:v>
      </x:c>
      <x:c r="L1344" s="2" t="str">
        <x:v>property_type_inferred_from_title</x:v>
      </x:c>
      <x:c r="M1344" s="10" t="n">
        <x:v>0</x:v>
      </x:c>
      <x:c r="N1344" s="10" t="n">
        <x:v>0</x:v>
      </x:c>
      <x:c r="O1344" s="2" t="str">
        <x:v>Long An|land</x:v>
      </x:c>
      <x:c r="P1344" s="10" t="n">
        <x:v>1</x:v>
      </x:c>
      <x:c r="Q1344" s="13" t="n">
        <x:f>IF(H1344="","",H1344/1000000000)</x:f>
        <x:v>1.25</x:v>
      </x:c>
      <x:c r="R1344" s="13" t="n">
        <x:f>IF(I1344="","",I1344/1000000)</x:f>
        <x:v>6.377551020408163</x:v>
      </x:c>
    </x:row>
    <x:row r="1345" ht="21" customHeight="1">
      <x:c r="A1345" s="10" t="n">
        <x:v>2117</x:v>
      </x:c>
      <x:c r="B1345" s="2" t="str">
        <x:v>18837ec9a3855231b111</x:v>
      </x:c>
      <x:c r="C1345" s="2" t="str">
        <x:v>Tp Hồ Chí Minh</x:v>
      </x:c>
      <x:c r="D1345" s="2" t="str">
        <x:v>Quận 8</x:v>
      </x:c>
      <x:c r="E1345" s="2" t="str">
        <x:v>apartment</x:v>
      </x:c>
      <x:c r="F1345" s="2" t="str">
        <x:v>sale_assumed</x:v>
      </x:c>
      <x:c r="G1345" s="11" t="n">
        <x:v>61</x:v>
      </x:c>
      <x:c r="H1345" s="12" t="n">
        <x:v>1550000000</x:v>
      </x:c>
      <x:c r="I1345" s="12" t="n">
        <x:v>25409836.06557377</x:v>
      </x:c>
      <x:c r="J1345" s="2" t="str">
        <x:v>total</x:v>
      </x:c>
      <x:c r="K1345" s="2" t="str">
        <x:v>top_level_area</x:v>
      </x:c>
      <x:c r="L1345" s="2" t="str">
        <x:v>property_type_inferred_from_title;transaction_assumed_sale_from_dataset_context</x:v>
      </x:c>
      <x:c r="M1345" s="10" t="n">
        <x:v>0</x:v>
      </x:c>
      <x:c r="N1345" s="10" t="n">
        <x:v>0</x:v>
      </x:c>
      <x:c r="O1345" s="2" t="str">
        <x:v>Tp Hồ Chí Minh|apartment</x:v>
      </x:c>
      <x:c r="P1345" s="10" t="n">
        <x:v>2</x:v>
      </x:c>
      <x:c r="Q1345" s="13" t="n">
        <x:f>IF(H1345="","",H1345/1000000000)</x:f>
        <x:v>1.55</x:v>
      </x:c>
      <x:c r="R1345" s="13" t="n">
        <x:f>IF(I1345="","",I1345/1000000)</x:f>
        <x:v>25.40983606557377</x:v>
      </x:c>
    </x:row>
    <x:row r="1346" ht="21" customHeight="1">
      <x:c r="A1346" s="10" t="n">
        <x:v>2118</x:v>
      </x:c>
      <x:c r="B1346" s="2" t="str">
        <x:v>d0426222f6a992c850ac</x:v>
      </x:c>
      <x:c r="C1346" s="2" t="str">
        <x:v>Bình Dương</x:v>
      </x:c>
      <x:c r="D1346" s="2" t="str">
        <x:v>Thị xã Thuận An</x:v>
      </x:c>
      <x:c r="E1346" s="2" t="str">
        <x:v>apartment</x:v>
      </x:c>
      <x:c r="F1346" s="2" t="str">
        <x:v>sale_assumed</x:v>
      </x:c>
      <x:c r="G1346" s="11" t="n">
        <x:v>42</x:v>
      </x:c>
      <x:c r="H1346" s="12" t="n">
        <x:v>839000000</x:v>
      </x:c>
      <x:c r="I1346" s="12" t="n">
        <x:v>19976190.476190478</x:v>
      </x:c>
      <x:c r="J1346" s="2" t="str">
        <x:v>total</x:v>
      </x:c>
      <x:c r="K1346" s="2" t="str">
        <x:v>top_level_area</x:v>
      </x:c>
      <x:c r="L1346" s="2" t="str">
        <x:v>property_type_inferred_from_title;transaction_assumed_sale_from_dataset_context</x:v>
      </x:c>
      <x:c r="M1346" s="10" t="n">
        <x:v>0</x:v>
      </x:c>
      <x:c r="N1346" s="10" t="n">
        <x:v>0</x:v>
      </x:c>
      <x:c r="O1346" s="2" t="str">
        <x:v>Bình Dương|apartment</x:v>
      </x:c>
      <x:c r="P1346" s="10" t="n">
        <x:v>2</x:v>
      </x:c>
      <x:c r="Q1346" s="13" t="n">
        <x:f>IF(H1346="","",H1346/1000000000)</x:f>
        <x:v>0.839</x:v>
      </x:c>
      <x:c r="R1346" s="13" t="n">
        <x:f>IF(I1346="","",I1346/1000000)</x:f>
        <x:v>19.976190476190478</x:v>
      </x:c>
    </x:row>
    <x:row r="1347" ht="21" customHeight="1">
      <x:c r="A1347" s="10" t="n">
        <x:v>2119</x:v>
      </x:c>
      <x:c r="B1347" s="2" t="str">
        <x:v>7cc0011791a7e19484af</x:v>
      </x:c>
      <x:c r="C1347" s="2" t="str">
        <x:v>Tp Hồ Chí Minh</x:v>
      </x:c>
      <x:c r="D1347" s="2" t="str">
        <x:v>Quận Thủ Đức</x:v>
      </x:c>
      <x:c r="E1347" s="2" t="str">
        <x:v>house</x:v>
      </x:c>
      <x:c r="F1347" s="2" t="str">
        <x:v>sale</x:v>
      </x:c>
      <x:c r="G1347" s="11" t="n">
        <x:v>40</x:v>
      </x:c>
      <x:c r="H1347" s="12" t="n">
        <x:v>2300000000</x:v>
      </x:c>
      <x:c r="I1347" s="12" t="n">
        <x:v>57500000</x:v>
      </x:c>
      <x:c r="J1347" s="2" t="str">
        <x:v>total</x:v>
      </x:c>
      <x:c r="K1347" s="2" t="str">
        <x:v>top_level_price_embedded_area</x:v>
      </x:c>
      <x:c r="L1347" s="2" t="str">
        <x:v>area_recovered_from_price_text;property_type_inferred_from_title</x:v>
      </x:c>
      <x:c r="M1347" s="10" t="n">
        <x:v>0</x:v>
      </x:c>
      <x:c r="N1347" s="10" t="n">
        <x:v>0</x:v>
      </x:c>
      <x:c r="O1347" s="2" t="str">
        <x:v>Tp Hồ Chí Minh|house</x:v>
      </x:c>
      <x:c r="P1347" s="10" t="n">
        <x:v>2</x:v>
      </x:c>
      <x:c r="Q1347" s="13" t="n">
        <x:f>IF(H1347="","",H1347/1000000000)</x:f>
        <x:v>2.3</x:v>
      </x:c>
      <x:c r="R1347" s="13" t="n">
        <x:f>IF(I1347="","",I1347/1000000)</x:f>
        <x:v>57.5</x:v>
      </x:c>
    </x:row>
    <x:row r="1348" ht="21" customHeight="1">
      <x:c r="A1348" s="10" t="n">
        <x:v>2120</x:v>
      </x:c>
      <x:c r="B1348" s="2" t="str">
        <x:v>2c682430f13c4afc66c2</x:v>
      </x:c>
      <x:c r="C1348" s="2" t="str">
        <x:v>Nghệ An</x:v>
      </x:c>
      <x:c r="D1348" s="2" t="str">
        <x:v>Thành phố Vinh</x:v>
      </x:c>
      <x:c r="E1348" s="2" t="str">
        <x:v>land</x:v>
      </x:c>
      <x:c r="F1348" s="2" t="str">
        <x:v>sale_assumed</x:v>
      </x:c>
      <x:c r="G1348" s="11" t="n">
        <x:v>108</x:v>
      </x:c>
      <x:c r="H1348" s="12" t="n">
        <x:v>17000000</x:v>
      </x:c>
      <x:c r="I1348" s="12" t="n">
        <x:v>157407.40740740742</x:v>
      </x:c>
      <x:c r="J1348" s="2" t="str">
        <x:v>total</x:v>
      </x:c>
      <x:c r="K1348" s="2" t="str">
        <x:v>top_level_area</x:v>
      </x:c>
      <x:c r="L1348" s="2" t="str">
        <x:v>property_type_inferred_from_title;transaction_assumed_sale_from_dataset_context</x:v>
      </x:c>
      <x:c r="M1348" s="10" t="n">
        <x:v>0</x:v>
      </x:c>
      <x:c r="N1348" s="10" t="n">
        <x:v>0</x:v>
      </x:c>
      <x:c r="O1348" s="2" t="str">
        <x:v>land</x:v>
      </x:c>
      <x:c r="P1348" s="10" t="n">
        <x:v>1</x:v>
      </x:c>
      <x:c r="Q1348" s="13" t="n">
        <x:f>IF(H1348="","",H1348/1000000000)</x:f>
        <x:v>0.017</x:v>
      </x:c>
      <x:c r="R1348" s="13" t="n">
        <x:f>IF(I1348="","",I1348/1000000)</x:f>
        <x:v>0.1574074074074074</x:v>
      </x:c>
    </x:row>
    <x:row r="1349" ht="21" customHeight="1">
      <x:c r="A1349" s="10" t="n">
        <x:v>2121</x:v>
      </x:c>
      <x:c r="B1349" s="2" t="str">
        <x:v>24f09430c7f6e72f82bc</x:v>
      </x:c>
      <x:c r="C1349" s="2" t="str">
        <x:v>Quảng Nam</x:v>
      </x:c>
      <x:c r="D1349" s="2" t="str">
        <x:v>Huyện Duy Xuyên</x:v>
      </x:c>
      <x:c r="E1349" s="2" t="str">
        <x:v>house</x:v>
      </x:c>
      <x:c r="F1349" s="2" t="str">
        <x:v>sale</x:v>
      </x:c>
      <x:c r="G1349" s="11" t="n">
        <x:v>140</x:v>
      </x:c>
      <x:c r="H1349" s="12" t="n">
        <x:v>2600000000</x:v>
      </x:c>
      <x:c r="I1349" s="12" t="n">
        <x:v>18571428.57142857</x:v>
      </x:c>
      <x:c r="J1349" s="2" t="str">
        <x:v>total</x:v>
      </x:c>
      <x:c r="K1349" s="2" t="str">
        <x:v>top_level_area</x:v>
      </x:c>
      <x:c r="L1349" s="2" t="str">
        <x:v>property_type_inferred_from_title</x:v>
      </x:c>
      <x:c r="M1349" s="10" t="n">
        <x:v>0</x:v>
      </x:c>
      <x:c r="N1349" s="10" t="n">
        <x:v>0</x:v>
      </x:c>
      <x:c r="O1349" s="2" t="str">
        <x:v>house</x:v>
      </x:c>
      <x:c r="P1349" s="10" t="n">
        <x:v>2</x:v>
      </x:c>
      <x:c r="Q1349" s="13" t="n">
        <x:f>IF(H1349="","",H1349/1000000000)</x:f>
        <x:v>2.6</x:v>
      </x:c>
      <x:c r="R1349" s="13" t="n">
        <x:f>IF(I1349="","",I1349/1000000)</x:f>
        <x:v>18.57142857142857</x:v>
      </x:c>
    </x:row>
    <x:row r="1350" ht="21" customHeight="1">
      <x:c r="A1350" s="10" t="n">
        <x:v>2122</x:v>
      </x:c>
      <x:c r="B1350" s="2" t="str">
        <x:v>8ca2abbbc5091cfbbc35</x:v>
      </x:c>
      <x:c r="C1350" s="2" t="str">
        <x:v>Tp Hồ Chí Minh</x:v>
      </x:c>
      <x:c r="D1350" s="2" t="str">
        <x:v>Quận 11</x:v>
      </x:c>
      <x:c r="E1350" s="2" t="str">
        <x:v>other_unknown</x:v>
      </x:c>
      <x:c r="F1350" s="2" t="str">
        <x:v>sale_assumed</x:v>
      </x:c>
      <x:c r="G1350" s="11" t="n">
        <x:v>43</x:v>
      </x:c>
      <x:c r="H1350" s="12" t="n">
        <x:v>3000000000</x:v>
      </x:c>
      <x:c r="I1350" s="12" t="n">
        <x:v>69767441.86046511</x:v>
      </x:c>
      <x:c r="J1350" s="2" t="str">
        <x:v>total</x:v>
      </x:c>
      <x:c r="K1350" s="2" t="str">
        <x:v>top_level_area</x:v>
      </x:c>
      <x:c r="L1350" s="2" t="str">
        <x:v>property_type_inferred_from_title;transaction_assumed_sale_from_dataset_context;unknown_property_type</x:v>
      </x:c>
      <x:c r="M1350" s="10" t="n">
        <x:v>0</x:v>
      </x:c>
      <x:c r="N1350" s="10" t="n">
        <x:v>0</x:v>
      </x:c>
      <x:c r="O1350" s="2" t="str">
        <x:v>Tp Hồ Chí Minh|other_unknown</x:v>
      </x:c>
      <x:c r="P1350" s="10" t="n">
        <x:v>2</x:v>
      </x:c>
      <x:c r="Q1350" s="13" t="n">
        <x:f>IF(H1350="","",H1350/1000000000)</x:f>
        <x:v>3</x:v>
      </x:c>
      <x:c r="R1350" s="13" t="n">
        <x:f>IF(I1350="","",I1350/1000000)</x:f>
        <x:v>69.76744186046511</x:v>
      </x:c>
    </x:row>
    <x:row r="1351" ht="21" customHeight="1">
      <x:c r="A1351" s="10" t="n">
        <x:v>2124</x:v>
      </x:c>
      <x:c r="B1351" s="2" t="str">
        <x:v>a2c702908a8038c7b77a</x:v>
      </x:c>
      <x:c r="C1351" s="2" t="str">
        <x:v>Tp Hồ Chí Minh</x:v>
      </x:c>
      <x:c r="D1351" s="2" t="str">
        <x:v>Quận 1</x:v>
      </x:c>
      <x:c r="E1351" s="2" t="str">
        <x:v>house</x:v>
      </x:c>
      <x:c r="F1351" s="2" t="str">
        <x:v>sale</x:v>
      </x:c>
      <x:c r="G1351" s="11" t="n">
        <x:v>52</x:v>
      </x:c>
      <x:c r="H1351" s="12" t="n">
        <x:v>18000000000</x:v>
      </x:c>
      <x:c r="I1351" s="12" t="n">
        <x:v>346153846.15384614</x:v>
      </x:c>
      <x:c r="J1351" s="2" t="str">
        <x:v>total</x:v>
      </x:c>
      <x:c r="K1351" s="2" t="str">
        <x:v>top_level_price_embedded_area</x:v>
      </x:c>
      <x:c r="L1351" s="2" t="str">
        <x:v>area_recovered_from_price_text;property_type_inferred_from_title</x:v>
      </x:c>
      <x:c r="M1351" s="10" t="n">
        <x:v>1</x:v>
      </x:c>
      <x:c r="N1351" s="10" t="n">
        <x:v>1</x:v>
      </x:c>
      <x:c r="O1351" s="2" t="str">
        <x:v>Tp Hồ Chí Minh|house</x:v>
      </x:c>
      <x:c r="P1351" s="10" t="n">
        <x:v>-1</x:v>
      </x:c>
      <x:c r="Q1351" s="13" t="n">
        <x:f>IF(H1351="","",H1351/1000000000)</x:f>
        <x:v>18</x:v>
      </x:c>
      <x:c r="R1351" s="13" t="n">
        <x:f>IF(I1351="","",I1351/1000000)</x:f>
        <x:v>346.15384615384613</x:v>
      </x:c>
    </x:row>
    <x:row r="1352" ht="21" customHeight="1">
      <x:c r="A1352" s="10" t="n">
        <x:v>2125</x:v>
      </x:c>
      <x:c r="B1352" s="2" t="str">
        <x:v>7c791c63a25ce47c9bb2</x:v>
      </x:c>
      <x:c r="C1352" s="2" t="str">
        <x:v>Tp Hồ Chí Minh</x:v>
      </x:c>
      <x:c r="D1352" s="2" t="str">
        <x:v>Quận Thủ Đức</x:v>
      </x:c>
      <x:c r="E1352" s="2" t="str">
        <x:v>house</x:v>
      </x:c>
      <x:c r="F1352" s="2" t="str">
        <x:v>sale</x:v>
      </x:c>
      <x:c r="G1352" s="11" t="n">
        <x:v>21</x:v>
      </x:c>
      <x:c r="H1352" s="12" t="n">
        <x:v>2000000000</x:v>
      </x:c>
      <x:c r="I1352" s="12" t="n">
        <x:v>95238095.23809524</x:v>
      </x:c>
      <x:c r="J1352" s="2" t="str">
        <x:v>total</x:v>
      </x:c>
      <x:c r="K1352" s="2" t="str">
        <x:v>top_level_area</x:v>
      </x:c>
      <x:c r="L1352" s="2" t="str">
        <x:v>property_type_inferred_from_title</x:v>
      </x:c>
      <x:c r="M1352" s="10" t="n">
        <x:v>0</x:v>
      </x:c>
      <x:c r="N1352" s="10" t="n">
        <x:v>0</x:v>
      </x:c>
      <x:c r="O1352" s="2" t="str">
        <x:v>Tp Hồ Chí Minh|house</x:v>
      </x:c>
      <x:c r="P1352" s="10" t="n">
        <x:v>2</x:v>
      </x:c>
      <x:c r="Q1352" s="13" t="n">
        <x:f>IF(H1352="","",H1352/1000000000)</x:f>
        <x:v>2</x:v>
      </x:c>
      <x:c r="R1352" s="13" t="n">
        <x:f>IF(I1352="","",I1352/1000000)</x:f>
        <x:v>95.23809523809524</x:v>
      </x:c>
    </x:row>
    <x:row r="1353" ht="21" customHeight="1">
      <x:c r="A1353" s="10" t="n">
        <x:v>2126</x:v>
      </x:c>
      <x:c r="B1353" s="2" t="str">
        <x:v>b1a9b290962929a0d204</x:v>
      </x:c>
      <x:c r="C1353" s="2" t="str">
        <x:v>Lâm Đồng</x:v>
      </x:c>
      <x:c r="D1353" s="2" t="str">
        <x:v>Thành phố Bảo Lộc</x:v>
      </x:c>
      <x:c r="E1353" s="2" t="str">
        <x:v>land</x:v>
      </x:c>
      <x:c r="F1353" s="2" t="str">
        <x:v>sale_assumed</x:v>
      </x:c>
      <x:c r="G1353" s="11" t="n">
        <x:v>300</x:v>
      </x:c>
      <x:c r="H1353" s="12" t="n">
        <x:v>900000000</x:v>
      </x:c>
      <x:c r="I1353" s="12" t="n">
        <x:v>3000000</x:v>
      </x:c>
      <x:c r="J1353" s="2" t="str">
        <x:v>total</x:v>
      </x:c>
      <x:c r="K1353" s="2" t="str">
        <x:v>top_level_area</x:v>
      </x:c>
      <x:c r="L1353" s="2" t="str">
        <x:v>property_type_inferred_from_title;transaction_assumed_sale_from_dataset_context</x:v>
      </x:c>
      <x:c r="M1353" s="10" t="n">
        <x:v>0</x:v>
      </x:c>
      <x:c r="N1353" s="10" t="n">
        <x:v>0</x:v>
      </x:c>
      <x:c r="O1353" s="2" t="str">
        <x:v>Lâm Đồng|land</x:v>
      </x:c>
      <x:c r="P1353" s="10" t="n">
        <x:v>1</x:v>
      </x:c>
      <x:c r="Q1353" s="13" t="n">
        <x:f>IF(H1353="","",H1353/1000000000)</x:f>
        <x:v>0.9</x:v>
      </x:c>
      <x:c r="R1353" s="13" t="n">
        <x:f>IF(I1353="","",I1353/1000000)</x:f>
        <x:v>3</x:v>
      </x:c>
    </x:row>
    <x:row r="1354" ht="21" customHeight="1">
      <x:c r="A1354" s="10" t="n">
        <x:v>2127</x:v>
      </x:c>
      <x:c r="B1354" s="2" t="str">
        <x:v>0a911a65bd908cf2b329</x:v>
      </x:c>
      <x:c r="C1354" s="2" t="str">
        <x:v>Hà Nội</x:v>
      </x:c>
      <x:c r="D1354" s="2" t="str">
        <x:v>Quận Hoàng Mai</x:v>
      </x:c>
      <x:c r="E1354" s="2" t="str">
        <x:v>land</x:v>
      </x:c>
      <x:c r="F1354" s="2" t="str">
        <x:v>sale_assumed</x:v>
      </x:c>
      <x:c r="G1354" s="11" t="n">
        <x:v>85</x:v>
      </x:c>
      <x:c r="H1354" s="12" t="n">
        <x:v>4000000000</x:v>
      </x:c>
      <x:c r="I1354" s="12" t="n">
        <x:v>47058823.52941176</x:v>
      </x:c>
      <x:c r="J1354" s="2" t="str">
        <x:v>total</x:v>
      </x:c>
      <x:c r="K1354" s="2" t="str">
        <x:v>top_level_area</x:v>
      </x:c>
      <x:c r="L1354" s="2" t="str">
        <x:v>property_type_inferred_from_title;transaction_assumed_sale_from_dataset_context</x:v>
      </x:c>
      <x:c r="M1354" s="10" t="n">
        <x:v>0</x:v>
      </x:c>
      <x:c r="N1354" s="10" t="n">
        <x:v>0</x:v>
      </x:c>
      <x:c r="O1354" s="2" t="str">
        <x:v>Hà Nội|land</x:v>
      </x:c>
      <x:c r="P1354" s="10" t="n">
        <x:v>2</x:v>
      </x:c>
      <x:c r="Q1354" s="13" t="n">
        <x:f>IF(H1354="","",H1354/1000000000)</x:f>
        <x:v>4</x:v>
      </x:c>
      <x:c r="R1354" s="13" t="n">
        <x:f>IF(I1354="","",I1354/1000000)</x:f>
        <x:v>47.05882352941176</x:v>
      </x:c>
    </x:row>
    <x:row r="1355" ht="21" customHeight="1">
      <x:c r="A1355" s="10" t="n">
        <x:v>2128</x:v>
      </x:c>
      <x:c r="B1355" s="2" t="str">
        <x:v>72122fdab8b7b2065a95</x:v>
      </x:c>
      <x:c r="C1355" s="2" t="str">
        <x:v>Tp Hồ Chí Minh</x:v>
      </x:c>
      <x:c r="D1355" s="2" t="str">
        <x:v>Quận Bình Thạnh</x:v>
      </x:c>
      <x:c r="E1355" s="2" t="str">
        <x:v>house</x:v>
      </x:c>
      <x:c r="F1355" s="2" t="str">
        <x:v>sale</x:v>
      </x:c>
      <x:c r="G1355" s="11" t="n">
        <x:v>44</x:v>
      </x:c>
      <x:c r="H1355" s="12" t="n">
        <x:v>4350000000</x:v>
      </x:c>
      <x:c r="I1355" s="12" t="n">
        <x:v>98863636.36363636</x:v>
      </x:c>
      <x:c r="J1355" s="2" t="str">
        <x:v>total</x:v>
      </x:c>
      <x:c r="K1355" s="2" t="str">
        <x:v>top_level_area</x:v>
      </x:c>
      <x:c r="L1355" s="2" t="str">
        <x:v>property_type_inferred_from_title</x:v>
      </x:c>
      <x:c r="M1355" s="10" t="n">
        <x:v>0</x:v>
      </x:c>
      <x:c r="N1355" s="10" t="n">
        <x:v>0</x:v>
      </x:c>
      <x:c r="O1355" s="2" t="str">
        <x:v>Tp Hồ Chí Minh|house</x:v>
      </x:c>
      <x:c r="P1355" s="10" t="n">
        <x:v>2</x:v>
      </x:c>
      <x:c r="Q1355" s="13" t="n">
        <x:f>IF(H1355="","",H1355/1000000000)</x:f>
        <x:v>4.35</x:v>
      </x:c>
      <x:c r="R1355" s="13" t="n">
        <x:f>IF(I1355="","",I1355/1000000)</x:f>
        <x:v>98.86363636363636</x:v>
      </x:c>
    </x:row>
    <x:row r="1356" ht="21" customHeight="1">
      <x:c r="A1356" s="10" t="n">
        <x:v>2129</x:v>
      </x:c>
      <x:c r="B1356" s="2" t="str">
        <x:v>778e963b64c2400040fd</x:v>
      </x:c>
      <x:c r="C1356" s="2" t="str">
        <x:v>Kiên Giang</x:v>
      </x:c>
      <x:c r="D1356" s="2" t="str">
        <x:v>Huyện Phú Quốc</x:v>
      </x:c>
      <x:c r="E1356" s="2" t="str">
        <x:v>land</x:v>
      </x:c>
      <x:c r="F1356" s="2" t="str">
        <x:v>sale_assumed</x:v>
      </x:c>
      <x:c r="G1356" s="11" t="n">
        <x:v>235000</x:v>
      </x:c>
      <x:c r="H1356" s="12" t="n">
        <x:v>9999999999</x:v>
      </x:c>
      <x:c r="I1356" s="12" t="n">
        <x:v>42553.191485106385</x:v>
      </x:c>
      <x:c r="J1356" s="2" t="str">
        <x:v>total</x:v>
      </x:c>
      <x:c r="K1356" s="2" t="str">
        <x:v>top_level_area</x:v>
      </x:c>
      <x:c r="L1356" s="2" t="str">
        <x:v>dot_thousands_convention;property_type_inferred_from_title;transaction_assumed_sale_from_dataset_context</x:v>
      </x:c>
      <x:c r="M1356" s="10" t="n">
        <x:v>0</x:v>
      </x:c>
      <x:c r="N1356" s="10" t="n">
        <x:v>0</x:v>
      </x:c>
      <x:c r="O1356" s="2" t="str">
        <x:v>land</x:v>
      </x:c>
      <x:c r="P1356" s="10" t="n">
        <x:v>1</x:v>
      </x:c>
      <x:c r="Q1356" s="13" t="n">
        <x:f>IF(H1356="","",H1356/1000000000)</x:f>
        <x:v>9.999999999</x:v>
      </x:c>
      <x:c r="R1356" s="13" t="n">
        <x:f>IF(I1356="","",I1356/1000000)</x:f>
        <x:v>0.04255319148510638</x:v>
      </x:c>
    </x:row>
    <x:row r="1357" ht="21" customHeight="1">
      <x:c r="A1357" s="10" t="n">
        <x:v>2130</x:v>
      </x:c>
      <x:c r="B1357" s="2" t="str">
        <x:v>04b373e2211066244816</x:v>
      </x:c>
      <x:c r="C1357" s="2" t="str">
        <x:v>Tp Hồ Chí Minh</x:v>
      </x:c>
      <x:c r="D1357" s="2" t="str">
        <x:v>Quận Bình Tân</x:v>
      </x:c>
      <x:c r="E1357" s="2" t="str">
        <x:v>house</x:v>
      </x:c>
      <x:c r="F1357" s="2" t="str">
        <x:v>sale</x:v>
      </x:c>
      <x:c r="G1357" s="11" t="n">
        <x:v>68</x:v>
      </x:c>
      <x:c r="H1357" s="12" t="n">
        <x:v>4500000000</x:v>
      </x:c>
      <x:c r="I1357" s="12" t="n">
        <x:v>66176470.5882353</x:v>
      </x:c>
      <x:c r="J1357" s="2" t="str">
        <x:v>total</x:v>
      </x:c>
      <x:c r="K1357" s="2" t="str">
        <x:v>top_level_area</x:v>
      </x:c>
      <x:c r="L1357" s="2" t="str">
        <x:v>property_type_inferred_from_title</x:v>
      </x:c>
      <x:c r="M1357" s="10" t="n">
        <x:v>0</x:v>
      </x:c>
      <x:c r="N1357" s="10" t="n">
        <x:v>0</x:v>
      </x:c>
      <x:c r="O1357" s="2" t="str">
        <x:v>Tp Hồ Chí Minh|house</x:v>
      </x:c>
      <x:c r="P1357" s="10" t="n">
        <x:v>2</x:v>
      </x:c>
      <x:c r="Q1357" s="13" t="n">
        <x:f>IF(H1357="","",H1357/1000000000)</x:f>
        <x:v>4.5</x:v>
      </x:c>
      <x:c r="R1357" s="13" t="n">
        <x:f>IF(I1357="","",I1357/1000000)</x:f>
        <x:v>66.17647058823529</x:v>
      </x:c>
    </x:row>
    <x:row r="1358" ht="21" customHeight="1">
      <x:c r="A1358" s="10" t="n">
        <x:v>2131</x:v>
      </x:c>
      <x:c r="B1358" s="2" t="str">
        <x:v>16158824a5c374883509</x:v>
      </x:c>
      <x:c r="C1358" s="2" t="str">
        <x:v>Đồng Nai</x:v>
      </x:c>
      <x:c r="D1358" s="2" t="str">
        <x:v>Thành phố Biên Hòa</x:v>
      </x:c>
      <x:c r="E1358" s="2" t="str">
        <x:v>house</x:v>
      </x:c>
      <x:c r="F1358" s="2" t="str">
        <x:v>sale</x:v>
      </x:c>
      <x:c r="G1358" s="11" t="n">
        <x:v>110</x:v>
      </x:c>
      <x:c r="H1358" s="12" t="n">
        <x:v>3700000000</x:v>
      </x:c>
      <x:c r="I1358" s="12" t="n">
        <x:v>33636363.63636363</x:v>
      </x:c>
      <x:c r="J1358" s="2" t="str">
        <x:v>total</x:v>
      </x:c>
      <x:c r="K1358" s="2" t="str">
        <x:v>top_level_area</x:v>
      </x:c>
      <x:c r="L1358" s="2" t="str">
        <x:v>property_type_inferred_from_title</x:v>
      </x:c>
      <x:c r="M1358" s="10" t="n">
        <x:v>0</x:v>
      </x:c>
      <x:c r="N1358" s="10" t="n">
        <x:v>0</x:v>
      </x:c>
      <x:c r="O1358" s="2" t="str">
        <x:v>Đồng Nai|house</x:v>
      </x:c>
      <x:c r="P1358" s="10" t="n">
        <x:v>2</x:v>
      </x:c>
      <x:c r="Q1358" s="13" t="n">
        <x:f>IF(H1358="","",H1358/1000000000)</x:f>
        <x:v>3.7</x:v>
      </x:c>
      <x:c r="R1358" s="13" t="n">
        <x:f>IF(I1358="","",I1358/1000000)</x:f>
        <x:v>33.63636363636363</x:v>
      </x:c>
    </x:row>
    <x:row r="1359" ht="21" customHeight="1">
      <x:c r="A1359" s="10" t="n">
        <x:v>2132</x:v>
      </x:c>
      <x:c r="B1359" s="2" t="str">
        <x:v>bd81728c8bba6db6fadb</x:v>
      </x:c>
      <x:c r="C1359" s="2" t="str">
        <x:v>Lâm Đồng</x:v>
      </x:c>
      <x:c r="D1359" s="2" t="str">
        <x:v>Thành phố Bảo Lộc</x:v>
      </x:c>
      <x:c r="E1359" s="2" t="str">
        <x:v>land</x:v>
      </x:c>
      <x:c r="F1359" s="2" t="str">
        <x:v>sale</x:v>
      </x:c>
      <x:c r="G1359" s="11" t="n">
        <x:v>120</x:v>
      </x:c>
      <x:c r="H1359" s="12" t="n">
        <x:v>650000000</x:v>
      </x:c>
      <x:c r="I1359" s="12" t="n">
        <x:v>5416666.666666667</x:v>
      </x:c>
      <x:c r="J1359" s="2" t="str">
        <x:v>total</x:v>
      </x:c>
      <x:c r="K1359" s="2" t="str">
        <x:v>top_level_area</x:v>
      </x:c>
      <x:c r="L1359" s="2" t="str">
        <x:v>property_type_inferred_from_title</x:v>
      </x:c>
      <x:c r="M1359" s="10" t="n">
        <x:v>0</x:v>
      </x:c>
      <x:c r="N1359" s="10" t="n">
        <x:v>0</x:v>
      </x:c>
      <x:c r="O1359" s="2" t="str">
        <x:v>Lâm Đồng|land</x:v>
      </x:c>
      <x:c r="P1359" s="10" t="n">
        <x:v>2</x:v>
      </x:c>
      <x:c r="Q1359" s="13" t="n">
        <x:f>IF(H1359="","",H1359/1000000000)</x:f>
        <x:v>0.65</x:v>
      </x:c>
      <x:c r="R1359" s="13" t="n">
        <x:f>IF(I1359="","",I1359/1000000)</x:f>
        <x:v>5.416666666666667</x:v>
      </x:c>
    </x:row>
    <x:row r="1360" ht="21" customHeight="1">
      <x:c r="A1360" s="10" t="n">
        <x:v>2134</x:v>
      </x:c>
      <x:c r="B1360" s="2" t="str">
        <x:v>a03fc52827d0a50a3a11</x:v>
      </x:c>
      <x:c r="C1360" s="2" t="str">
        <x:v>Đắk Lắk</x:v>
      </x:c>
      <x:c r="D1360" s="2" t="str">
        <x:v>Huyện Cư M'gar</x:v>
      </x:c>
      <x:c r="E1360" s="2" t="str">
        <x:v>land</x:v>
      </x:c>
      <x:c r="F1360" s="2" t="str">
        <x:v>sale_assumed</x:v>
      </x:c>
      <x:c r="G1360" s="11" t="n">
        <x:v>125</x:v>
      </x:c>
      <x:c r="H1360" s="12" t="n">
        <x:v>290000000</x:v>
      </x:c>
      <x:c r="I1360" s="12" t="n">
        <x:v>2320000</x:v>
      </x:c>
      <x:c r="J1360" s="2" t="str">
        <x:v>total</x:v>
      </x:c>
      <x:c r="K1360" s="2" t="str">
        <x:v>top_level_area</x:v>
      </x:c>
      <x:c r="L1360" s="2" t="str">
        <x:v>property_type_inferred_from_title;transaction_assumed_sale_from_dataset_context</x:v>
      </x:c>
      <x:c r="M1360" s="10" t="n">
        <x:v>0</x:v>
      </x:c>
      <x:c r="N1360" s="10" t="n">
        <x:v>0</x:v>
      </x:c>
      <x:c r="O1360" s="2" t="str">
        <x:v>Đắk Lắk|land</x:v>
      </x:c>
      <x:c r="P1360" s="10" t="n">
        <x:v>1</x:v>
      </x:c>
      <x:c r="Q1360" s="13" t="n">
        <x:f>IF(H1360="","",H1360/1000000000)</x:f>
        <x:v>0.29</x:v>
      </x:c>
      <x:c r="R1360" s="13" t="n">
        <x:f>IF(I1360="","",I1360/1000000)</x:f>
        <x:v>2.32</x:v>
      </x:c>
    </x:row>
    <x:row r="1361" ht="21" customHeight="1">
      <x:c r="A1361" s="10" t="n">
        <x:v>2135</x:v>
      </x:c>
      <x:c r="B1361" s="2" t="str">
        <x:v>968fafc379331e0af393</x:v>
      </x:c>
      <x:c r="C1361" s="2" t="str">
        <x:v>Bình Dương</x:v>
      </x:c>
      <x:c r="D1361" s="2" t="str">
        <x:v>Thành phố Thủ Dầu Một</x:v>
      </x:c>
      <x:c r="E1361" s="2" t="str">
        <x:v>other_unknown</x:v>
      </x:c>
      <x:c r="F1361" s="2" t="str">
        <x:v>sale_assumed</x:v>
      </x:c>
      <x:c r="G1361" s="11" t="n">
        <x:v>258</x:v>
      </x:c>
      <x:c r="H1361" s="12" t="n">
        <x:v>7350000000</x:v>
      </x:c>
      <x:c r="I1361" s="12" t="n">
        <x:v>28488372.093023255</x:v>
      </x:c>
      <x:c r="J1361" s="2" t="str">
        <x:v>total</x:v>
      </x:c>
      <x:c r="K1361" s="2" t="str">
        <x:v>top_level_area</x:v>
      </x:c>
      <x:c r="L1361" s="2" t="str">
        <x:v>property_type_inferred_from_title;transaction_assumed_sale_from_dataset_context;unknown_property_type</x:v>
      </x:c>
      <x:c r="M1361" s="10" t="n">
        <x:v>0</x:v>
      </x:c>
      <x:c r="N1361" s="10" t="n">
        <x:v>0</x:v>
      </x:c>
      <x:c r="O1361" s="2" t="str">
        <x:v>Bình Dương|other_unknown</x:v>
      </x:c>
      <x:c r="P1361" s="10" t="n">
        <x:v>2</x:v>
      </x:c>
      <x:c r="Q1361" s="13" t="n">
        <x:f>IF(H1361="","",H1361/1000000000)</x:f>
        <x:v>7.35</x:v>
      </x:c>
      <x:c r="R1361" s="13" t="n">
        <x:f>IF(I1361="","",I1361/1000000)</x:f>
        <x:v>28.488372093023255</x:v>
      </x:c>
    </x:row>
    <x:row r="1362" ht="21" customHeight="1">
      <x:c r="A1362" s="10" t="n">
        <x:v>2136</x:v>
      </x:c>
      <x:c r="B1362" s="2" t="str">
        <x:v>a300971b1fafad3e057c</x:v>
      </x:c>
      <x:c r="C1362" s="2" t="str">
        <x:v>Đà Nẵng</x:v>
      </x:c>
      <x:c r="D1362" s="2" t="str">
        <x:v>Quận Liên Chiểu</x:v>
      </x:c>
      <x:c r="E1362" s="2" t="str">
        <x:v>house</x:v>
      </x:c>
      <x:c r="F1362" s="2" t="str">
        <x:v>sale</x:v>
      </x:c>
      <x:c r="G1362" s="11" t="n">
        <x:v>72</x:v>
      </x:c>
      <x:c r="H1362" s="12" t="n">
        <x:v>2600000000</x:v>
      </x:c>
      <x:c r="I1362" s="12" t="n">
        <x:v>36111111.11111111</x:v>
      </x:c>
      <x:c r="J1362" s="2" t="str">
        <x:v>total</x:v>
      </x:c>
      <x:c r="K1362" s="2" t="str">
        <x:v>top_level_area</x:v>
      </x:c>
      <x:c r="L1362" s="2" t="str">
        <x:v>property_type_inferred_from_title</x:v>
      </x:c>
      <x:c r="M1362" s="10" t="n">
        <x:v>0</x:v>
      </x:c>
      <x:c r="N1362" s="10" t="n">
        <x:v>0</x:v>
      </x:c>
      <x:c r="O1362" s="2" t="str">
        <x:v>Đà Nẵng|house</x:v>
      </x:c>
      <x:c r="P1362" s="10" t="n">
        <x:v>2</x:v>
      </x:c>
      <x:c r="Q1362" s="13" t="n">
        <x:f>IF(H1362="","",H1362/1000000000)</x:f>
        <x:v>2.6</x:v>
      </x:c>
      <x:c r="R1362" s="13" t="n">
        <x:f>IF(I1362="","",I1362/1000000)</x:f>
        <x:v>36.111111111111114</x:v>
      </x:c>
    </x:row>
    <x:row r="1363" ht="21" customHeight="1">
      <x:c r="A1363" s="10" t="n">
        <x:v>2137</x:v>
      </x:c>
      <x:c r="B1363" s="2" t="str">
        <x:v>bfc47917230c284cdfe4</x:v>
      </x:c>
      <x:c r="C1363" s="2" t="str">
        <x:v>Đắk Lắk</x:v>
      </x:c>
      <x:c r="D1363" s="2" t="str">
        <x:v>Thành phố Buôn Ma Thuột</x:v>
      </x:c>
      <x:c r="E1363" s="2" t="str">
        <x:v>land</x:v>
      </x:c>
      <x:c r="F1363" s="2" t="str">
        <x:v>sale</x:v>
      </x:c>
      <x:c r="G1363" s="11" t="n">
        <x:v>125</x:v>
      </x:c>
      <x:c r="H1363" s="12" t="n">
        <x:v>1750000000</x:v>
      </x:c>
      <x:c r="I1363" s="12" t="n">
        <x:v>14000000</x:v>
      </x:c>
      <x:c r="J1363" s="2" t="str">
        <x:v>total</x:v>
      </x:c>
      <x:c r="K1363" s="2" t="str">
        <x:v>top_level_area</x:v>
      </x:c>
      <x:c r="L1363" s="2" t="str">
        <x:v>property_type_inferred_from_title</x:v>
      </x:c>
      <x:c r="M1363" s="10" t="n">
        <x:v>0</x:v>
      </x:c>
      <x:c r="N1363" s="10" t="n">
        <x:v>0</x:v>
      </x:c>
      <x:c r="O1363" s="2" t="str">
        <x:v>Đắk Lắk|land</x:v>
      </x:c>
      <x:c r="P1363" s="10" t="n">
        <x:v>2</x:v>
      </x:c>
      <x:c r="Q1363" s="13" t="n">
        <x:f>IF(H1363="","",H1363/1000000000)</x:f>
        <x:v>1.75</x:v>
      </x:c>
      <x:c r="R1363" s="13" t="n">
        <x:f>IF(I1363="","",I1363/1000000)</x:f>
        <x:v>14</x:v>
      </x:c>
    </x:row>
    <x:row r="1364" ht="21" customHeight="1">
      <x:c r="A1364" s="10" t="n">
        <x:v>2138</x:v>
      </x:c>
      <x:c r="B1364" s="2" t="str">
        <x:v>5103f823f2169a8e2b59</x:v>
      </x:c>
      <x:c r="C1364" s="2" t="str">
        <x:v>Tiền Giang</x:v>
      </x:c>
      <x:c r="D1364" s="2" t="str">
        <x:v>Thị xã Cai Lậy</x:v>
      </x:c>
      <x:c r="E1364" s="2" t="str">
        <x:v>land</x:v>
      </x:c>
      <x:c r="F1364" s="2" t="str">
        <x:v>sale_assumed</x:v>
      </x:c>
      <x:c r="G1364" s="11" t="n">
        <x:v>217</x:v>
      </x:c>
      <x:c r="H1364" s="12" t="n">
        <x:v>900000000</x:v>
      </x:c>
      <x:c r="I1364" s="12" t="n">
        <x:v>4147465.4377880185</x:v>
      </x:c>
      <x:c r="J1364" s="2" t="str">
        <x:v>total</x:v>
      </x:c>
      <x:c r="K1364" s="2" t="str">
        <x:v>top_level_area</x:v>
      </x:c>
      <x:c r="L1364" s="2" t="str">
        <x:v>property_type_inferred_from_title;transaction_assumed_sale_from_dataset_context</x:v>
      </x:c>
      <x:c r="M1364" s="10" t="n">
        <x:v>0</x:v>
      </x:c>
      <x:c r="N1364" s="10" t="n">
        <x:v>0</x:v>
      </x:c>
      <x:c r="O1364" s="2" t="str">
        <x:v>land</x:v>
      </x:c>
      <x:c r="P1364" s="10" t="n">
        <x:v>1</x:v>
      </x:c>
      <x:c r="Q1364" s="13" t="n">
        <x:f>IF(H1364="","",H1364/1000000000)</x:f>
        <x:v>0.9</x:v>
      </x:c>
      <x:c r="R1364" s="13" t="n">
        <x:f>IF(I1364="","",I1364/1000000)</x:f>
        <x:v>4.147465437788019</x:v>
      </x:c>
    </x:row>
    <x:row r="1365" ht="21" customHeight="1">
      <x:c r="A1365" s="10" t="n">
        <x:v>2139</x:v>
      </x:c>
      <x:c r="B1365" s="2" t="str">
        <x:v>eb18d45117f1cf863930</x:v>
      </x:c>
      <x:c r="C1365" s="2" t="str">
        <x:v>Tp Hồ Chí Minh</x:v>
      </x:c>
      <x:c r="D1365" s="2" t="str">
        <x:v>Quận Gò Vấp</x:v>
      </x:c>
      <x:c r="E1365" s="2" t="str">
        <x:v>house</x:v>
      </x:c>
      <x:c r="F1365" s="2" t="str">
        <x:v>sale_assumed</x:v>
      </x:c>
      <x:c r="G1365" s="11" t="n">
        <x:v>22</x:v>
      </x:c>
      <x:c r="H1365" s="12" t="n">
        <x:v>3450000000</x:v>
      </x:c>
      <x:c r="I1365" s="12" t="n">
        <x:v>156818181.8181818</x:v>
      </x:c>
      <x:c r="J1365" s="2" t="str">
        <x:v>total</x:v>
      </x:c>
      <x:c r="K1365" s="2" t="str">
        <x:v>top_level_price_embedded_area</x:v>
      </x:c>
      <x:c r="L1365" s="2" t="str">
        <x:v>area_recovered_from_price_text;property_type_inferred_from_title;transaction_assumed_sale_from_dataset_context</x:v>
      </x:c>
      <x:c r="M1365" s="10" t="n">
        <x:v>0</x:v>
      </x:c>
      <x:c r="N1365" s="10" t="n">
        <x:v>0</x:v>
      </x:c>
      <x:c r="O1365" s="2" t="str">
        <x:v>Tp Hồ Chí Minh|house</x:v>
      </x:c>
      <x:c r="P1365" s="10" t="n">
        <x:v>2</x:v>
      </x:c>
      <x:c r="Q1365" s="13" t="n">
        <x:f>IF(H1365="","",H1365/1000000000)</x:f>
        <x:v>3.45</x:v>
      </x:c>
      <x:c r="R1365" s="13" t="n">
        <x:f>IF(I1365="","",I1365/1000000)</x:f>
        <x:v>156.8181818181818</x:v>
      </x:c>
    </x:row>
    <x:row r="1366" ht="21" customHeight="1">
      <x:c r="A1366" s="10" t="n">
        <x:v>2140</x:v>
      </x:c>
      <x:c r="B1366" s="2" t="str">
        <x:v>596695f5d9528a022957</x:v>
      </x:c>
      <x:c r="C1366" s="2" t="str">
        <x:v>Bình Dương</x:v>
      </x:c>
      <x:c r="D1366" s="2" t="str">
        <x:v>Thị xã Thuận An</x:v>
      </x:c>
      <x:c r="E1366" s="2" t="str">
        <x:v>house</x:v>
      </x:c>
      <x:c r="F1366" s="2" t="str">
        <x:v>sale_assumed</x:v>
      </x:c>
      <x:c r="G1366" s="11" t="n">
        <x:v>98</x:v>
      </x:c>
      <x:c r="H1366" s="12" t="n">
        <x:v>2350000000</x:v>
      </x:c>
      <x:c r="I1366" s="12" t="n">
        <x:v>23979591.836734693</x:v>
      </x:c>
      <x:c r="J1366" s="2" t="str">
        <x:v>total</x:v>
      </x:c>
      <x:c r="K1366" s="2" t="str">
        <x:v>top_level_area</x:v>
      </x:c>
      <x:c r="L1366" s="2" t="str">
        <x:v>property_type_inferred_from_title;transaction_assumed_sale_from_dataset_context</x:v>
      </x:c>
      <x:c r="M1366" s="10" t="n">
        <x:v>0</x:v>
      </x:c>
      <x:c r="N1366" s="10" t="n">
        <x:v>0</x:v>
      </x:c>
      <x:c r="O1366" s="2" t="str">
        <x:v>Bình Dương|house</x:v>
      </x:c>
      <x:c r="P1366" s="10" t="n">
        <x:v>2</x:v>
      </x:c>
      <x:c r="Q1366" s="13" t="n">
        <x:f>IF(H1366="","",H1366/1000000000)</x:f>
        <x:v>2.35</x:v>
      </x:c>
      <x:c r="R1366" s="13" t="n">
        <x:f>IF(I1366="","",I1366/1000000)</x:f>
        <x:v>23.979591836734695</x:v>
      </x:c>
    </x:row>
    <x:row r="1367" ht="21" customHeight="1">
      <x:c r="A1367" s="10" t="n">
        <x:v>2141</x:v>
      </x:c>
      <x:c r="B1367" s="2" t="str">
        <x:v>f390a8f38e90a01fe26a</x:v>
      </x:c>
      <x:c r="C1367" s="2" t="str">
        <x:v>Hà Nội</x:v>
      </x:c>
      <x:c r="D1367" s="2" t="str">
        <x:v>Quận Đống Đa</x:v>
      </x:c>
      <x:c r="E1367" s="2" t="str">
        <x:v>house</x:v>
      </x:c>
      <x:c r="F1367" s="2" t="str">
        <x:v>sale_assumed</x:v>
      </x:c>
      <x:c r="G1367" s="11" t="n">
        <x:v>32</x:v>
      </x:c>
      <x:c r="H1367" s="12" t="n">
        <x:v>6000000000</x:v>
      </x:c>
      <x:c r="I1367" s="12" t="n">
        <x:v>187500000</x:v>
      </x:c>
      <x:c r="J1367" s="2" t="str">
        <x:v>total</x:v>
      </x:c>
      <x:c r="K1367" s="2" t="str">
        <x:v>top_level_area</x:v>
      </x:c>
      <x:c r="L1367" s="2" t="str">
        <x:v>property_type_inferred_from_title;transaction_assumed_sale_from_dataset_context</x:v>
      </x:c>
      <x:c r="M1367" s="10" t="n">
        <x:v>1</x:v>
      </x:c>
      <x:c r="N1367" s="10" t="n">
        <x:v>1</x:v>
      </x:c>
      <x:c r="O1367" s="2" t="str">
        <x:v>Hà Nội|house</x:v>
      </x:c>
      <x:c r="P1367" s="10" t="n">
        <x:v>-1</x:v>
      </x:c>
      <x:c r="Q1367" s="13" t="n">
        <x:f>IF(H1367="","",H1367/1000000000)</x:f>
        <x:v>6</x:v>
      </x:c>
      <x:c r="R1367" s="13" t="n">
        <x:f>IF(I1367="","",I1367/1000000)</x:f>
        <x:v>187.5</x:v>
      </x:c>
    </x:row>
    <x:row r="1368" ht="21" customHeight="1">
      <x:c r="A1368" s="10" t="n">
        <x:v>2142</x:v>
      </x:c>
      <x:c r="B1368" s="2" t="str">
        <x:v>4626ba314f552f07ad8d</x:v>
      </x:c>
      <x:c r="C1368" s="2" t="str">
        <x:v>Tp Hồ Chí Minh</x:v>
      </x:c>
      <x:c r="D1368" s="2" t="str">
        <x:v>Quận 9</x:v>
      </x:c>
      <x:c r="E1368" s="2" t="str">
        <x:v>house</x:v>
      </x:c>
      <x:c r="F1368" s="2" t="str">
        <x:v>sale_assumed</x:v>
      </x:c>
      <x:c r="G1368" s="11" t="n">
        <x:v>50</x:v>
      </x:c>
      <x:c r="H1368" s="12" t="n">
        <x:v>3599000000</x:v>
      </x:c>
      <x:c r="I1368" s="12" t="n">
        <x:v>71980000</x:v>
      </x:c>
      <x:c r="J1368" s="2" t="str">
        <x:v>total</x:v>
      </x:c>
      <x:c r="K1368" s="2" t="str">
        <x:v>top_level_area</x:v>
      </x:c>
      <x:c r="L1368" s="2" t="str">
        <x:v>property_type_inferred_from_title;transaction_assumed_sale_from_dataset_context</x:v>
      </x:c>
      <x:c r="M1368" s="10" t="n">
        <x:v>0</x:v>
      </x:c>
      <x:c r="N1368" s="10" t="n">
        <x:v>0</x:v>
      </x:c>
      <x:c r="O1368" s="2" t="str">
        <x:v>Tp Hồ Chí Minh|house</x:v>
      </x:c>
      <x:c r="P1368" s="10" t="n">
        <x:v>2</x:v>
      </x:c>
      <x:c r="Q1368" s="13" t="n">
        <x:f>IF(H1368="","",H1368/1000000000)</x:f>
        <x:v>3.599</x:v>
      </x:c>
      <x:c r="R1368" s="13" t="n">
        <x:f>IF(I1368="","",I1368/1000000)</x:f>
        <x:v>71.98</x:v>
      </x:c>
    </x:row>
    <x:row r="1369" ht="21" customHeight="1">
      <x:c r="A1369" s="10" t="n">
        <x:v>2143</x:v>
      </x:c>
      <x:c r="B1369" s="2" t="str">
        <x:v>d7a10b319fbcc1c65260</x:v>
      </x:c>
      <x:c r="C1369" s="2" t="str">
        <x:v>Tp Hồ Chí Minh</x:v>
      </x:c>
      <x:c r="D1369" s="2" t="str">
        <x:v>Quận 6</x:v>
      </x:c>
      <x:c r="E1369" s="2" t="str">
        <x:v>apartment</x:v>
      </x:c>
      <x:c r="F1369" s="2" t="str">
        <x:v>sale_assumed</x:v>
      </x:c>
      <x:c r="G1369" s="11" t="n">
        <x:v>71</x:v>
      </x:c>
      <x:c r="H1369" s="12" t="n">
        <x:v>2100000000</x:v>
      </x:c>
      <x:c r="I1369" s="12" t="n">
        <x:v>29577464.788732395</x:v>
      </x:c>
      <x:c r="J1369" s="2" t="str">
        <x:v>total</x:v>
      </x:c>
      <x:c r="K1369" s="2" t="str">
        <x:v>top_level_area</x:v>
      </x:c>
      <x:c r="L1369" s="2" t="str">
        <x:v>property_type_inferred_from_title;transaction_assumed_sale_from_dataset_context</x:v>
      </x:c>
      <x:c r="M1369" s="10" t="n">
        <x:v>0</x:v>
      </x:c>
      <x:c r="N1369" s="10" t="n">
        <x:v>0</x:v>
      </x:c>
      <x:c r="O1369" s="2" t="str">
        <x:v>Tp Hồ Chí Minh|apartment</x:v>
      </x:c>
      <x:c r="P1369" s="10" t="n">
        <x:v>2</x:v>
      </x:c>
      <x:c r="Q1369" s="13" t="n">
        <x:f>IF(H1369="","",H1369/1000000000)</x:f>
        <x:v>2.1</x:v>
      </x:c>
      <x:c r="R1369" s="13" t="n">
        <x:f>IF(I1369="","",I1369/1000000)</x:f>
        <x:v>29.577464788732396</x:v>
      </x:c>
    </x:row>
    <x:row r="1370" ht="21" customHeight="1">
      <x:c r="A1370" s="10" t="n">
        <x:v>2144</x:v>
      </x:c>
      <x:c r="B1370" s="2" t="str">
        <x:v>2c0f74ca3b1a74c1695c</x:v>
      </x:c>
      <x:c r="C1370" s="2" t="str">
        <x:v>Đồng Nai</x:v>
      </x:c>
      <x:c r="D1370" s="2" t="str">
        <x:v>Thành phố Biên Hòa</x:v>
      </x:c>
      <x:c r="E1370" s="2" t="str">
        <x:v>land</x:v>
      </x:c>
      <x:c r="F1370" s="2" t="str">
        <x:v>sale</x:v>
      </x:c>
      <x:c r="G1370" s="11" t="n">
        <x:v>100</x:v>
      </x:c>
      <x:c r="H1370" s="12" t="n">
        <x:v>550000000</x:v>
      </x:c>
      <x:c r="I1370" s="12" t="n">
        <x:v>5500000</x:v>
      </x:c>
      <x:c r="J1370" s="2" t="str">
        <x:v>total</x:v>
      </x:c>
      <x:c r="K1370" s="2" t="str">
        <x:v>top_level_area</x:v>
      </x:c>
      <x:c r="L1370" s="2" t="str">
        <x:v>property_type_inferred_from_title</x:v>
      </x:c>
      <x:c r="M1370" s="10" t="n">
        <x:v>0</x:v>
      </x:c>
      <x:c r="N1370" s="10" t="n">
        <x:v>0</x:v>
      </x:c>
      <x:c r="O1370" s="2" t="str">
        <x:v>Đồng Nai|land</x:v>
      </x:c>
      <x:c r="P1370" s="10" t="n">
        <x:v>2</x:v>
      </x:c>
      <x:c r="Q1370" s="13" t="n">
        <x:f>IF(H1370="","",H1370/1000000000)</x:f>
        <x:v>0.55</x:v>
      </x:c>
      <x:c r="R1370" s="13" t="n">
        <x:f>IF(I1370="","",I1370/1000000)</x:f>
        <x:v>5.5</x:v>
      </x:c>
    </x:row>
    <x:row r="1371" ht="21" customHeight="1">
      <x:c r="A1371" s="10" t="n">
        <x:v>2145</x:v>
      </x:c>
      <x:c r="B1371" s="2" t="str">
        <x:v>78736dbb58a4b4f0b39b</x:v>
      </x:c>
      <x:c r="C1371" s="2" t="str">
        <x:v>Tp Hồ Chí Minh</x:v>
      </x:c>
      <x:c r="D1371" s="2" t="str">
        <x:v>Quận 9</x:v>
      </x:c>
      <x:c r="E1371" s="2" t="str">
        <x:v>house</x:v>
      </x:c>
      <x:c r="F1371" s="2" t="str">
        <x:v>sale</x:v>
      </x:c>
      <x:c r="G1371" s="11" t="n">
        <x:v>80</x:v>
      </x:c>
      <x:c r="H1371" s="12" t="n">
        <x:v>4600000000</x:v>
      </x:c>
      <x:c r="I1371" s="12" t="n">
        <x:v>57500000</x:v>
      </x:c>
      <x:c r="J1371" s="2" t="str">
        <x:v>total</x:v>
      </x:c>
      <x:c r="K1371" s="2" t="str">
        <x:v>top_level_area</x:v>
      </x:c>
      <x:c r="L1371" s="2" t="str">
        <x:v>property_type_inferred_from_title</x:v>
      </x:c>
      <x:c r="M1371" s="10" t="n">
        <x:v>0</x:v>
      </x:c>
      <x:c r="N1371" s="10" t="n">
        <x:v>0</x:v>
      </x:c>
      <x:c r="O1371" s="2" t="str">
        <x:v>Tp Hồ Chí Minh|house</x:v>
      </x:c>
      <x:c r="P1371" s="10" t="n">
        <x:v>2</x:v>
      </x:c>
      <x:c r="Q1371" s="13" t="n">
        <x:f>IF(H1371="","",H1371/1000000000)</x:f>
        <x:v>4.6</x:v>
      </x:c>
      <x:c r="R1371" s="13" t="n">
        <x:f>IF(I1371="","",I1371/1000000)</x:f>
        <x:v>57.5</x:v>
      </x:c>
    </x:row>
    <x:row r="1372" ht="21" customHeight="1">
      <x:c r="A1372" s="10" t="n">
        <x:v>2146</x:v>
      </x:c>
      <x:c r="B1372" s="2" t="str">
        <x:v>9802ec82311b127a270c</x:v>
      </x:c>
      <x:c r="C1372" s="2" t="str">
        <x:v>Bình Dương</x:v>
      </x:c>
      <x:c r="D1372" s="2" t="str">
        <x:v>Thị xã Thuận An</x:v>
      </x:c>
      <x:c r="E1372" s="2" t="str">
        <x:v>land</x:v>
      </x:c>
      <x:c r="F1372" s="2" t="str">
        <x:v>sale</x:v>
      </x:c>
      <x:c r="G1372" s="11" t="n">
        <x:v>2000</x:v>
      </x:c>
      <x:c r="H1372" s="12" t="n">
        <x:v>21000000000</x:v>
      </x:c>
      <x:c r="I1372" s="12" t="n">
        <x:v>10500000</x:v>
      </x:c>
      <x:c r="J1372" s="2" t="str">
        <x:v>total</x:v>
      </x:c>
      <x:c r="K1372" s="2" t="str">
        <x:v>top_level_area</x:v>
      </x:c>
      <x:c r="L1372" s="2" t="str">
        <x:v>dot_thousands_convention;property_type_inferred_from_title</x:v>
      </x:c>
      <x:c r="M1372" s="10" t="n">
        <x:v>0</x:v>
      </x:c>
      <x:c r="N1372" s="10" t="n">
        <x:v>0</x:v>
      </x:c>
      <x:c r="O1372" s="2" t="str">
        <x:v>Bình Dương|land</x:v>
      </x:c>
      <x:c r="P1372" s="10" t="n">
        <x:v>1</x:v>
      </x:c>
      <x:c r="Q1372" s="13" t="n">
        <x:f>IF(H1372="","",H1372/1000000000)</x:f>
        <x:v>21</x:v>
      </x:c>
      <x:c r="R1372" s="13" t="n">
        <x:f>IF(I1372="","",I1372/1000000)</x:f>
        <x:v>10.5</x:v>
      </x:c>
    </x:row>
    <x:row r="1373" ht="21" customHeight="1">
      <x:c r="A1373" s="10" t="n">
        <x:v>2147</x:v>
      </x:c>
      <x:c r="B1373" s="2" t="str">
        <x:v>16e5df0d79ba91434dae</x:v>
      </x:c>
      <x:c r="C1373" s="2" t="str">
        <x:v>Hà Nội</x:v>
      </x:c>
      <x:c r="D1373" s="2" t="str">
        <x:v>Quận Hà Đông</x:v>
      </x:c>
      <x:c r="E1373" s="2" t="str">
        <x:v>house</x:v>
      </x:c>
      <x:c r="F1373" s="2" t="str">
        <x:v>sale</x:v>
      </x:c>
      <x:c r="G1373" s="11" t="n">
        <x:v>80</x:v>
      </x:c>
      <x:c r="H1373" s="12" t="n">
        <x:v>8000000000</x:v>
      </x:c>
      <x:c r="I1373" s="12" t="n">
        <x:v>100000000</x:v>
      </x:c>
      <x:c r="J1373" s="2" t="str">
        <x:v>total</x:v>
      </x:c>
      <x:c r="K1373" s="2" t="str">
        <x:v>top_level_area</x:v>
      </x:c>
      <x:c r="L1373" s="2" t="str">
        <x:v>property_type_inferred_from_title</x:v>
      </x:c>
      <x:c r="M1373" s="10" t="n">
        <x:v>0</x:v>
      </x:c>
      <x:c r="N1373" s="10" t="n">
        <x:v>0</x:v>
      </x:c>
      <x:c r="O1373" s="2" t="str">
        <x:v>Hà Nội|house</x:v>
      </x:c>
      <x:c r="P1373" s="10" t="n">
        <x:v>2</x:v>
      </x:c>
      <x:c r="Q1373" s="13" t="n">
        <x:f>IF(H1373="","",H1373/1000000000)</x:f>
        <x:v>8</x:v>
      </x:c>
      <x:c r="R1373" s="13" t="n">
        <x:f>IF(I1373="","",I1373/1000000)</x:f>
        <x:v>100</x:v>
      </x:c>
    </x:row>
    <x:row r="1374" ht="21" customHeight="1">
      <x:c r="A1374" s="10" t="n">
        <x:v>2148</x:v>
      </x:c>
      <x:c r="B1374" s="2" t="str">
        <x:v>95bb0c7fd28efd044c13</x:v>
      </x:c>
      <x:c r="C1374" s="2" t="str">
        <x:v>Tp Hồ Chí Minh</x:v>
      </x:c>
      <x:c r="D1374" s="2" t="str">
        <x:v>Huyện Nhà Bè</x:v>
      </x:c>
      <x:c r="E1374" s="2" t="str">
        <x:v>house</x:v>
      </x:c>
      <x:c r="F1374" s="2" t="str">
        <x:v>sale_assumed</x:v>
      </x:c>
      <x:c r="G1374" s="11" t="n">
        <x:v>73</x:v>
      </x:c>
      <x:c r="H1374" s="12" t="n">
        <x:v>5500000000</x:v>
      </x:c>
      <x:c r="I1374" s="12" t="n">
        <x:v>75342465.75342466</x:v>
      </x:c>
      <x:c r="J1374" s="2" t="str">
        <x:v>total</x:v>
      </x:c>
      <x:c r="K1374" s="2" t="str">
        <x:v>top_level_area</x:v>
      </x:c>
      <x:c r="L1374" s="2" t="str">
        <x:v>property_type_inferred_from_title;transaction_assumed_sale_from_dataset_context</x:v>
      </x:c>
      <x:c r="M1374" s="10" t="n">
        <x:v>0</x:v>
      </x:c>
      <x:c r="N1374" s="10" t="n">
        <x:v>0</x:v>
      </x:c>
      <x:c r="O1374" s="2" t="str">
        <x:v>Tp Hồ Chí Minh|house</x:v>
      </x:c>
      <x:c r="P1374" s="10" t="n">
        <x:v>2</x:v>
      </x:c>
      <x:c r="Q1374" s="13" t="n">
        <x:f>IF(H1374="","",H1374/1000000000)</x:f>
        <x:v>5.5</x:v>
      </x:c>
      <x:c r="R1374" s="13" t="n">
        <x:f>IF(I1374="","",I1374/1000000)</x:f>
        <x:v>75.34246575342466</x:v>
      </x:c>
    </x:row>
    <x:row r="1375" ht="21" customHeight="1">
      <x:c r="A1375" s="10" t="n">
        <x:v>2149</x:v>
      </x:c>
      <x:c r="B1375" s="2" t="str">
        <x:v>54b9542c8b5cfa110b01</x:v>
      </x:c>
      <x:c r="C1375" s="2" t="str">
        <x:v>Tp Hồ Chí Minh</x:v>
      </x:c>
      <x:c r="D1375" s="2" t="str">
        <x:v>Huyện Nhà Bè</x:v>
      </x:c>
      <x:c r="E1375" s="2" t="str">
        <x:v>house</x:v>
      </x:c>
      <x:c r="F1375" s="2" t="str">
        <x:v>sale_assumed</x:v>
      </x:c>
      <x:c r="G1375" s="11" t="n">
        <x:v>85</x:v>
      </x:c>
      <x:c r="H1375" s="12" t="n">
        <x:v>2500000000</x:v>
      </x:c>
      <x:c r="I1375" s="12" t="n">
        <x:v>29411764.70588235</x:v>
      </x:c>
      <x:c r="J1375" s="2" t="str">
        <x:v>total</x:v>
      </x:c>
      <x:c r="K1375" s="2" t="str">
        <x:v>top_level_area</x:v>
      </x:c>
      <x:c r="L1375" s="2" t="str">
        <x:v>property_type_inferred_from_title;transaction_assumed_sale_from_dataset_context</x:v>
      </x:c>
      <x:c r="M1375" s="10" t="n">
        <x:v>0</x:v>
      </x:c>
      <x:c r="N1375" s="10" t="n">
        <x:v>0</x:v>
      </x:c>
      <x:c r="O1375" s="2" t="str">
        <x:v>Tp Hồ Chí Minh|house</x:v>
      </x:c>
      <x:c r="P1375" s="10" t="n">
        <x:v>2</x:v>
      </x:c>
      <x:c r="Q1375" s="13" t="n">
        <x:f>IF(H1375="","",H1375/1000000000)</x:f>
        <x:v>2.5</x:v>
      </x:c>
      <x:c r="R1375" s="13" t="n">
        <x:f>IF(I1375="","",I1375/1000000)</x:f>
        <x:v>29.41176470588235</x:v>
      </x:c>
    </x:row>
    <x:row r="1376" ht="21" customHeight="1">
      <x:c r="A1376" s="10" t="n">
        <x:v>2150</x:v>
      </x:c>
      <x:c r="B1376" s="2" t="str">
        <x:v>6b734998b09155fc27bc</x:v>
      </x:c>
      <x:c r="C1376" s="2" t="str">
        <x:v>Hà Nội</x:v>
      </x:c>
      <x:c r="D1376" s="2" t="str">
        <x:v>Quận Long Biên</x:v>
      </x:c>
      <x:c r="E1376" s="2" t="str">
        <x:v>house</x:v>
      </x:c>
      <x:c r="F1376" s="2" t="str">
        <x:v>sale_assumed</x:v>
      </x:c>
      <x:c r="G1376" s="11" t="n">
        <x:v>45</x:v>
      </x:c>
      <x:c r="H1376" s="12" t="n">
        <x:v>3850000000</x:v>
      </x:c>
      <x:c r="I1376" s="12" t="n">
        <x:v>85555555.55555555</x:v>
      </x:c>
      <x:c r="J1376" s="2" t="str">
        <x:v>total</x:v>
      </x:c>
      <x:c r="K1376" s="2" t="str">
        <x:v>top_level_area</x:v>
      </x:c>
      <x:c r="L1376" s="2" t="str">
        <x:v>property_type_inferred_from_title;transaction_assumed_sale_from_dataset_context</x:v>
      </x:c>
      <x:c r="M1376" s="10" t="n">
        <x:v>0</x:v>
      </x:c>
      <x:c r="N1376" s="10" t="n">
        <x:v>0</x:v>
      </x:c>
      <x:c r="O1376" s="2" t="str">
        <x:v>Hà Nội|house</x:v>
      </x:c>
      <x:c r="P1376" s="10" t="n">
        <x:v>2</x:v>
      </x:c>
      <x:c r="Q1376" s="13" t="n">
        <x:f>IF(H1376="","",H1376/1000000000)</x:f>
        <x:v>3.85</x:v>
      </x:c>
      <x:c r="R1376" s="13" t="n">
        <x:f>IF(I1376="","",I1376/1000000)</x:f>
        <x:v>85.55555555555556</x:v>
      </x:c>
    </x:row>
    <x:row r="1377" ht="21" customHeight="1">
      <x:c r="A1377" s="10" t="n">
        <x:v>2151</x:v>
      </x:c>
      <x:c r="B1377" s="2" t="str">
        <x:v>a6f7b2311b78f5f2c0e0</x:v>
      </x:c>
      <x:c r="C1377" s="2" t="str">
        <x:v>Tp Hồ Chí Minh</x:v>
      </x:c>
      <x:c r="D1377" s="2" t="str">
        <x:v>Quận Tân Phú</x:v>
      </x:c>
      <x:c r="E1377" s="2" t="str">
        <x:v>other_unknown</x:v>
      </x:c>
      <x:c r="F1377" s="2" t="str">
        <x:v>sale_assumed</x:v>
      </x:c>
      <x:c r="G1377" s="11" t="n">
        <x:v>85</x:v>
      </x:c>
      <x:c r="H1377" s="12" t="n">
        <x:v>5200000000</x:v>
      </x:c>
      <x:c r="I1377" s="12" t="n">
        <x:v>61176470.5882353</x:v>
      </x:c>
      <x:c r="J1377" s="2" t="str">
        <x:v>total</x:v>
      </x:c>
      <x:c r="K1377" s="2" t="str">
        <x:v>top_level_price_embedded_area</x:v>
      </x:c>
      <x:c r="L1377" s="2" t="str">
        <x:v>area_recovered_from_price_text;property_type_inferred_from_title;transaction_assumed_sale_from_dataset_context;unknown_property_type</x:v>
      </x:c>
      <x:c r="M1377" s="10" t="n">
        <x:v>0</x:v>
      </x:c>
      <x:c r="N1377" s="10" t="n">
        <x:v>0</x:v>
      </x:c>
      <x:c r="O1377" s="2" t="str">
        <x:v>Tp Hồ Chí Minh|other_unknown</x:v>
      </x:c>
      <x:c r="P1377" s="10" t="n">
        <x:v>2</x:v>
      </x:c>
      <x:c r="Q1377" s="13" t="n">
        <x:f>IF(H1377="","",H1377/1000000000)</x:f>
        <x:v>5.2</x:v>
      </x:c>
      <x:c r="R1377" s="13" t="n">
        <x:f>IF(I1377="","",I1377/1000000)</x:f>
        <x:v>61.1764705882353</x:v>
      </x:c>
    </x:row>
    <x:row r="1378" ht="21" customHeight="1">
      <x:c r="A1378" s="10" t="n">
        <x:v>2152</x:v>
      </x:c>
      <x:c r="B1378" s="2" t="str">
        <x:v>7dac899fef27000fc9f4</x:v>
      </x:c>
      <x:c r="C1378" s="2" t="str">
        <x:v>Đồng Nai</x:v>
      </x:c>
      <x:c r="D1378" s="2" t="str">
        <x:v>Huyện Trảng Bom</x:v>
      </x:c>
      <x:c r="E1378" s="2" t="str">
        <x:v>land</x:v>
      </x:c>
      <x:c r="F1378" s="2" t="str">
        <x:v>sale_assumed</x:v>
      </x:c>
      <x:c r="G1378" s="11" t="n">
        <x:v>140</x:v>
      </x:c>
      <x:c r="H1378" s="12" t="n">
        <x:v>630000000</x:v>
      </x:c>
      <x:c r="I1378" s="12" t="n">
        <x:v>4500000</x:v>
      </x:c>
      <x:c r="J1378" s="2" t="str">
        <x:v>total</x:v>
      </x:c>
      <x:c r="K1378" s="2" t="str">
        <x:v>top_level_area</x:v>
      </x:c>
      <x:c r="L1378" s="2" t="str">
        <x:v>property_type_inferred_from_title;transaction_assumed_sale_from_dataset_context</x:v>
      </x:c>
      <x:c r="M1378" s="10" t="n">
        <x:v>0</x:v>
      </x:c>
      <x:c r="N1378" s="10" t="n">
        <x:v>0</x:v>
      </x:c>
      <x:c r="O1378" s="2" t="str">
        <x:v>Đồng Nai|land</x:v>
      </x:c>
      <x:c r="P1378" s="10" t="n">
        <x:v>2</x:v>
      </x:c>
      <x:c r="Q1378" s="13" t="n">
        <x:f>IF(H1378="","",H1378/1000000000)</x:f>
        <x:v>0.63</x:v>
      </x:c>
      <x:c r="R1378" s="13" t="n">
        <x:f>IF(I1378="","",I1378/1000000)</x:f>
        <x:v>4.5</x:v>
      </x:c>
    </x:row>
    <x:row r="1379" ht="21" customHeight="1">
      <x:c r="A1379" s="10" t="n">
        <x:v>2153</x:v>
      </x:c>
      <x:c r="B1379" s="2" t="str">
        <x:v>1ca3e266eb1f74383ed9</x:v>
      </x:c>
      <x:c r="C1379" s="2" t="str">
        <x:v>Tp Hồ Chí Minh</x:v>
      </x:c>
      <x:c r="D1379" s="2" t="str">
        <x:v>Quận Gò Vấp</x:v>
      </x:c>
      <x:c r="E1379" s="2" t="str">
        <x:v>house</x:v>
      </x:c>
      <x:c r="F1379" s="2" t="str">
        <x:v>sale_assumed</x:v>
      </x:c>
      <x:c r="G1379" s="11" t="n">
        <x:v>70</x:v>
      </x:c>
      <x:c r="H1379" s="12" t="n">
        <x:v>8199999999.999999</x:v>
      </x:c>
      <x:c r="I1379" s="12" t="n">
        <x:v>117142857.14285713</x:v>
      </x:c>
      <x:c r="J1379" s="2" t="str">
        <x:v>total</x:v>
      </x:c>
      <x:c r="K1379" s="2" t="str">
        <x:v>top_level_area</x:v>
      </x:c>
      <x:c r="L1379" s="2" t="str">
        <x:v>property_type_inferred_from_title;transaction_assumed_sale_from_dataset_context</x:v>
      </x:c>
      <x:c r="M1379" s="10" t="n">
        <x:v>0</x:v>
      </x:c>
      <x:c r="N1379" s="10" t="n">
        <x:v>0</x:v>
      </x:c>
      <x:c r="O1379" s="2" t="str">
        <x:v>Tp Hồ Chí Minh|house</x:v>
      </x:c>
      <x:c r="P1379" s="10" t="n">
        <x:v>2</x:v>
      </x:c>
      <x:c r="Q1379" s="13" t="n">
        <x:f>IF(H1379="","",H1379/1000000000)</x:f>
        <x:v>8.2</x:v>
      </x:c>
      <x:c r="R1379" s="13" t="n">
        <x:f>IF(I1379="","",I1379/1000000)</x:f>
        <x:v>117.14285714285714</x:v>
      </x:c>
    </x:row>
    <x:row r="1380" ht="21" customHeight="1">
      <x:c r="A1380" s="10" t="n">
        <x:v>2154</x:v>
      </x:c>
      <x:c r="B1380" s="2" t="str">
        <x:v>6b9206a4da871166c944</x:v>
      </x:c>
      <x:c r="C1380" s="2" t="str">
        <x:v>Tp Hồ Chí Minh</x:v>
      </x:c>
      <x:c r="D1380" s="2" t="str">
        <x:v>Quận Bình Tân</x:v>
      </x:c>
      <x:c r="E1380" s="2" t="str">
        <x:v>apartment</x:v>
      </x:c>
      <x:c r="F1380" s="2" t="str">
        <x:v>sale_assumed</x:v>
      </x:c>
      <x:c r="G1380" s="11" t="n">
        <x:v>43.5</x:v>
      </x:c>
      <x:c r="H1380" s="12" t="n">
        <x:v>1050000000</x:v>
      </x:c>
      <x:c r="I1380" s="12" t="n">
        <x:v>24137931.03448276</x:v>
      </x:c>
      <x:c r="J1380" s="2" t="str">
        <x:v>total</x:v>
      </x:c>
      <x:c r="K1380" s="2" t="str">
        <x:v>top_level_area</x:v>
      </x:c>
      <x:c r="L1380" s="2" t="str">
        <x:v>property_type_inferred_from_title;transaction_assumed_sale_from_dataset_context</x:v>
      </x:c>
      <x:c r="M1380" s="10" t="n">
        <x:v>0</x:v>
      </x:c>
      <x:c r="N1380" s="10" t="n">
        <x:v>0</x:v>
      </x:c>
      <x:c r="O1380" s="2" t="str">
        <x:v>Tp Hồ Chí Minh|apartment</x:v>
      </x:c>
      <x:c r="P1380" s="10" t="n">
        <x:v>2</x:v>
      </x:c>
      <x:c r="Q1380" s="13" t="n">
        <x:f>IF(H1380="","",H1380/1000000000)</x:f>
        <x:v>1.05</x:v>
      </x:c>
      <x:c r="R1380" s="13" t="n">
        <x:f>IF(I1380="","",I1380/1000000)</x:f>
        <x:v>24.137931034482758</x:v>
      </x:c>
    </x:row>
    <x:row r="1381" ht="21" customHeight="1">
      <x:c r="A1381" s="10" t="n">
        <x:v>2155</x:v>
      </x:c>
      <x:c r="B1381" s="2" t="str">
        <x:v>d1871479c41caa901f37</x:v>
      </x:c>
      <x:c r="C1381" s="2" t="str">
        <x:v>Tp Hồ Chí Minh</x:v>
      </x:c>
      <x:c r="D1381" s="2" t="str">
        <x:v>Quận Tân Phú</x:v>
      </x:c>
      <x:c r="E1381" s="2" t="str">
        <x:v>house</x:v>
      </x:c>
      <x:c r="F1381" s="2" t="str">
        <x:v>sale</x:v>
      </x:c>
      <x:c r="G1381" s="11" t="n">
        <x:v>88</x:v>
      </x:c>
      <x:c r="H1381" s="12" t="n">
        <x:v>9400000000</x:v>
      </x:c>
      <x:c r="I1381" s="12" t="n">
        <x:v>106818181.81818181</x:v>
      </x:c>
      <x:c r="J1381" s="2" t="str">
        <x:v>total</x:v>
      </x:c>
      <x:c r="K1381" s="2" t="str">
        <x:v>top_level_area</x:v>
      </x:c>
      <x:c r="L1381" s="2" t="str">
        <x:v>property_type_inferred_from_title</x:v>
      </x:c>
      <x:c r="M1381" s="10" t="n">
        <x:v>0</x:v>
      </x:c>
      <x:c r="N1381" s="10" t="n">
        <x:v>0</x:v>
      </x:c>
      <x:c r="O1381" s="2" t="str">
        <x:v>Tp Hồ Chí Minh|house</x:v>
      </x:c>
      <x:c r="P1381" s="10" t="n">
        <x:v>2</x:v>
      </x:c>
      <x:c r="Q1381" s="13" t="n">
        <x:f>IF(H1381="","",H1381/1000000000)</x:f>
        <x:v>9.4</x:v>
      </x:c>
      <x:c r="R1381" s="13" t="n">
        <x:f>IF(I1381="","",I1381/1000000)</x:f>
        <x:v>106.81818181818181</x:v>
      </x:c>
    </x:row>
    <x:row r="1382" ht="21" customHeight="1">
      <x:c r="A1382" s="10" t="n">
        <x:v>2159</x:v>
      </x:c>
      <x:c r="B1382" s="2" t="str">
        <x:v>3e267529a3080468da9d</x:v>
      </x:c>
      <x:c r="C1382" s="2" t="str">
        <x:v>Tp Hồ Chí Minh</x:v>
      </x:c>
      <x:c r="D1382" s="2" t="str">
        <x:v>Quận 9</x:v>
      </x:c>
      <x:c r="E1382" s="2" t="str">
        <x:v>house</x:v>
      </x:c>
      <x:c r="F1382" s="2" t="str">
        <x:v>sale</x:v>
      </x:c>
      <x:c r="G1382" s="11" t="n">
        <x:v>70</x:v>
      </x:c>
      <x:c r="H1382" s="12" t="n">
        <x:v>4500000000</x:v>
      </x:c>
      <x:c r="I1382" s="12" t="n">
        <x:v>64285714.28571428</x:v>
      </x:c>
      <x:c r="J1382" s="2" t="str">
        <x:v>total</x:v>
      </x:c>
      <x:c r="K1382" s="2" t="str">
        <x:v>top_level_area</x:v>
      </x:c>
      <x:c r="L1382" s="2" t="str">
        <x:v>property_type_inferred_from_title</x:v>
      </x:c>
      <x:c r="M1382" s="10" t="n">
        <x:v>0</x:v>
      </x:c>
      <x:c r="N1382" s="10" t="n">
        <x:v>0</x:v>
      </x:c>
      <x:c r="O1382" s="2" t="str">
        <x:v>Tp Hồ Chí Minh|house</x:v>
      </x:c>
      <x:c r="P1382" s="10" t="n">
        <x:v>2</x:v>
      </x:c>
      <x:c r="Q1382" s="13" t="n">
        <x:f>IF(H1382="","",H1382/1000000000)</x:f>
        <x:v>4.5</x:v>
      </x:c>
      <x:c r="R1382" s="13" t="n">
        <x:f>IF(I1382="","",I1382/1000000)</x:f>
        <x:v>64.28571428571428</x:v>
      </x:c>
    </x:row>
    <x:row r="1383" ht="21" customHeight="1">
      <x:c r="A1383" s="10" t="n">
        <x:v>2160</x:v>
      </x:c>
      <x:c r="B1383" s="2" t="str">
        <x:v>41f14b239fce02fba80f</x:v>
      </x:c>
      <x:c r="C1383" s="2" t="str">
        <x:v>Tp Hồ Chí Minh</x:v>
      </x:c>
      <x:c r="D1383" s="2" t="str">
        <x:v>Quận 12</x:v>
      </x:c>
      <x:c r="E1383" s="2" t="str">
        <x:v>house</x:v>
      </x:c>
      <x:c r="F1383" s="2" t="str">
        <x:v>sale_assumed</x:v>
      </x:c>
      <x:c r="G1383" s="11" t="n">
        <x:v>96.6</x:v>
      </x:c>
      <x:c r="H1383" s="12" t="n">
        <x:v>5600000000</x:v>
      </x:c>
      <x:c r="I1383" s="12" t="n">
        <x:v>57971014.492753625</x:v>
      </x:c>
      <x:c r="J1383" s="2" t="str">
        <x:v>total</x:v>
      </x:c>
      <x:c r="K1383" s="2" t="str">
        <x:v>top_level_area</x:v>
      </x:c>
      <x:c r="L1383" s="2" t="str">
        <x:v>property_type_inferred_from_title;transaction_assumed_sale_from_dataset_context</x:v>
      </x:c>
      <x:c r="M1383" s="10" t="n">
        <x:v>0</x:v>
      </x:c>
      <x:c r="N1383" s="10" t="n">
        <x:v>0</x:v>
      </x:c>
      <x:c r="O1383" s="2" t="str">
        <x:v>Tp Hồ Chí Minh|house</x:v>
      </x:c>
      <x:c r="P1383" s="10" t="n">
        <x:v>2</x:v>
      </x:c>
      <x:c r="Q1383" s="13" t="n">
        <x:f>IF(H1383="","",H1383/1000000000)</x:f>
        <x:v>5.6</x:v>
      </x:c>
      <x:c r="R1383" s="13" t="n">
        <x:f>IF(I1383="","",I1383/1000000)</x:f>
        <x:v>57.971014492753625</x:v>
      </x:c>
    </x:row>
    <x:row r="1384" ht="21" customHeight="1">
      <x:c r="A1384" s="10" t="n">
        <x:v>2161</x:v>
      </x:c>
      <x:c r="B1384" s="2" t="str">
        <x:v>8719d5f77f64a6aa5e95</x:v>
      </x:c>
      <x:c r="C1384" s="2" t="str">
        <x:v>Tp Hồ Chí Minh</x:v>
      </x:c>
      <x:c r="D1384" s="2" t="str">
        <x:v>Quận Gò Vấp</x:v>
      </x:c>
      <x:c r="E1384" s="2" t="str">
        <x:v>house</x:v>
      </x:c>
      <x:c r="F1384" s="2" t="str">
        <x:v>sale</x:v>
      </x:c>
      <x:c r="G1384" s="11" t="n">
        <x:v>54.7</x:v>
      </x:c>
      <x:c r="H1384" s="12" t="n">
        <x:v>6550000000</x:v>
      </x:c>
      <x:c r="I1384" s="12" t="n">
        <x:v>119744058.50091407</x:v>
      </x:c>
      <x:c r="J1384" s="2" t="str">
        <x:v>total</x:v>
      </x:c>
      <x:c r="K1384" s="2" t="str">
        <x:v>top_level_area</x:v>
      </x:c>
      <x:c r="L1384" s="2" t="str">
        <x:v>property_type_inferred_from_title</x:v>
      </x:c>
      <x:c r="M1384" s="10" t="n">
        <x:v>0</x:v>
      </x:c>
      <x:c r="N1384" s="10" t="n">
        <x:v>0</x:v>
      </x:c>
      <x:c r="O1384" s="2" t="str">
        <x:v>Tp Hồ Chí Minh|house</x:v>
      </x:c>
      <x:c r="P1384" s="10" t="n">
        <x:v>2</x:v>
      </x:c>
      <x:c r="Q1384" s="13" t="n">
        <x:f>IF(H1384="","",H1384/1000000000)</x:f>
        <x:v>6.55</x:v>
      </x:c>
      <x:c r="R1384" s="13" t="n">
        <x:f>IF(I1384="","",I1384/1000000)</x:f>
        <x:v>119.74405850091406</x:v>
      </x:c>
    </x:row>
    <x:row r="1385" ht="21" customHeight="1">
      <x:c r="A1385" s="10" t="n">
        <x:v>2162</x:v>
      </x:c>
      <x:c r="B1385" s="2" t="str">
        <x:v>30551f0202b5706d51a0</x:v>
      </x:c>
      <x:c r="C1385" s="2" t="str">
        <x:v>Tp Hồ Chí Minh</x:v>
      </x:c>
      <x:c r="D1385" s="2" t="str">
        <x:v>Quận 12</x:v>
      </x:c>
      <x:c r="E1385" s="2" t="str">
        <x:v>house</x:v>
      </x:c>
      <x:c r="F1385" s="2" t="str">
        <x:v>sale_assumed</x:v>
      </x:c>
      <x:c r="G1385" s="11" t="n">
        <x:v>48</x:v>
      </x:c>
      <x:c r="H1385" s="12" t="n">
        <x:v>2650000000</x:v>
      </x:c>
      <x:c r="I1385" s="12" t="n">
        <x:v>55208333.333333336</x:v>
      </x:c>
      <x:c r="J1385" s="2" t="str">
        <x:v>total</x:v>
      </x:c>
      <x:c r="K1385" s="2" t="str">
        <x:v>top_level_area</x:v>
      </x:c>
      <x:c r="L1385" s="2" t="str">
        <x:v>property_type_inferred_from_title;transaction_assumed_sale_from_dataset_context</x:v>
      </x:c>
      <x:c r="M1385" s="10" t="n">
        <x:v>0</x:v>
      </x:c>
      <x:c r="N1385" s="10" t="n">
        <x:v>0</x:v>
      </x:c>
      <x:c r="O1385" s="2" t="str">
        <x:v>Tp Hồ Chí Minh|house</x:v>
      </x:c>
      <x:c r="P1385" s="10" t="n">
        <x:v>2</x:v>
      </x:c>
      <x:c r="Q1385" s="13" t="n">
        <x:f>IF(H1385="","",H1385/1000000000)</x:f>
        <x:v>2.65</x:v>
      </x:c>
      <x:c r="R1385" s="13" t="n">
        <x:f>IF(I1385="","",I1385/1000000)</x:f>
        <x:v>55.208333333333336</x:v>
      </x:c>
    </x:row>
    <x:row r="1386" ht="21" customHeight="1">
      <x:c r="A1386" s="10" t="n">
        <x:v>2163</x:v>
      </x:c>
      <x:c r="B1386" s="2" t="str">
        <x:v>6a572cf7d5dd1d7bb793</x:v>
      </x:c>
      <x:c r="C1386" s="2" t="str">
        <x:v>Tp Hồ Chí Minh</x:v>
      </x:c>
      <x:c r="D1386" s="2" t="str">
        <x:v>Quận 6</x:v>
      </x:c>
      <x:c r="E1386" s="2" t="str">
        <x:v>house</x:v>
      </x:c>
      <x:c r="F1386" s="2" t="str">
        <x:v>sale_assumed</x:v>
      </x:c>
      <x:c r="G1386" s="11" t="n">
        <x:v>49</x:v>
      </x:c>
      <x:c r="H1386" s="12" t="n">
        <x:v>14500000000</x:v>
      </x:c>
      <x:c r="I1386" s="12" t="n">
        <x:v>295918367.3469388</x:v>
      </x:c>
      <x:c r="J1386" s="2" t="str">
        <x:v>total</x:v>
      </x:c>
      <x:c r="K1386" s="2" t="str">
        <x:v>top_level_area</x:v>
      </x:c>
      <x:c r="L1386" s="2" t="str">
        <x:v>property_type_inferred_from_title;transaction_assumed_sale_from_dataset_context</x:v>
      </x:c>
      <x:c r="M1386" s="10" t="n">
        <x:v>1</x:v>
      </x:c>
      <x:c r="N1386" s="10" t="n">
        <x:v>1</x:v>
      </x:c>
      <x:c r="O1386" s="2" t="str">
        <x:v>Tp Hồ Chí Minh|house</x:v>
      </x:c>
      <x:c r="P1386" s="10" t="n">
        <x:v>-1</x:v>
      </x:c>
      <x:c r="Q1386" s="13" t="n">
        <x:f>IF(H1386="","",H1386/1000000000)</x:f>
        <x:v>14.5</x:v>
      </x:c>
      <x:c r="R1386" s="13" t="n">
        <x:f>IF(I1386="","",I1386/1000000)</x:f>
        <x:v>295.9183673469388</x:v>
      </x:c>
    </x:row>
    <x:row r="1387" ht="21" customHeight="1">
      <x:c r="A1387" s="10" t="n">
        <x:v>2164</x:v>
      </x:c>
      <x:c r="B1387" s="2" t="str">
        <x:v>61e17766b20cb6a25805</x:v>
      </x:c>
      <x:c r="C1387" s="2" t="str">
        <x:v>Tp Hồ Chí Minh</x:v>
      </x:c>
      <x:c r="D1387" s="2" t="str">
        <x:v>Quận Gò Vấp</x:v>
      </x:c>
      <x:c r="E1387" s="2" t="str">
        <x:v>land</x:v>
      </x:c>
      <x:c r="F1387" s="2" t="str">
        <x:v>sale</x:v>
      </x:c>
      <x:c r="G1387" s="11" t="n">
        <x:v>100</x:v>
      </x:c>
      <x:c r="H1387" s="12" t="n">
        <x:v>950000000</x:v>
      </x:c>
      <x:c r="I1387" s="12" t="n">
        <x:v>9500000</x:v>
      </x:c>
      <x:c r="J1387" s="2" t="str">
        <x:v>total</x:v>
      </x:c>
      <x:c r="K1387" s="2" t="str">
        <x:v>top_level_area</x:v>
      </x:c>
      <x:c r="L1387" s="2" t="str">
        <x:v>property_type_inferred_from_title</x:v>
      </x:c>
      <x:c r="M1387" s="10" t="n">
        <x:v>0</x:v>
      </x:c>
      <x:c r="N1387" s="10" t="n">
        <x:v>0</x:v>
      </x:c>
      <x:c r="O1387" s="2" t="str">
        <x:v>Tp Hồ Chí Minh|land</x:v>
      </x:c>
      <x:c r="P1387" s="10" t="n">
        <x:v>2</x:v>
      </x:c>
      <x:c r="Q1387" s="13" t="n">
        <x:f>IF(H1387="","",H1387/1000000000)</x:f>
        <x:v>0.95</x:v>
      </x:c>
      <x:c r="R1387" s="13" t="n">
        <x:f>IF(I1387="","",I1387/1000000)</x:f>
        <x:v>9.5</x:v>
      </x:c>
    </x:row>
    <x:row r="1388" ht="21" customHeight="1">
      <x:c r="A1388" s="10" t="n">
        <x:v>2165</x:v>
      </x:c>
      <x:c r="B1388" s="2" t="str">
        <x:v>8388d5f84766acf00111</x:v>
      </x:c>
      <x:c r="C1388" s="2" t="str">
        <x:v>Tp Hồ Chí Minh</x:v>
      </x:c>
      <x:c r="D1388" s="2" t="str">
        <x:v>Quận 12</x:v>
      </x:c>
      <x:c r="E1388" s="2" t="str">
        <x:v>land</x:v>
      </x:c>
      <x:c r="F1388" s="2" t="str">
        <x:v>sale_assumed</x:v>
      </x:c>
      <x:c r="G1388" s="11" t="n">
        <x:v>50.1</x:v>
      </x:c>
      <x:c r="H1388" s="12" t="n">
        <x:v>2796000000</x:v>
      </x:c>
      <x:c r="I1388" s="12" t="n">
        <x:v>55808383.233532935</x:v>
      </x:c>
      <x:c r="J1388" s="2" t="str">
        <x:v>total</x:v>
      </x:c>
      <x:c r="K1388" s="2" t="str">
        <x:v>top_level_area</x:v>
      </x:c>
      <x:c r="L1388" s="2" t="str">
        <x:v>property_type_inferred_from_title;transaction_assumed_sale_from_dataset_context</x:v>
      </x:c>
      <x:c r="M1388" s="10" t="n">
        <x:v>0</x:v>
      </x:c>
      <x:c r="N1388" s="10" t="n">
        <x:v>0</x:v>
      </x:c>
      <x:c r="O1388" s="2" t="str">
        <x:v>Tp Hồ Chí Minh|land</x:v>
      </x:c>
      <x:c r="P1388" s="10" t="n">
        <x:v>2</x:v>
      </x:c>
      <x:c r="Q1388" s="13" t="n">
        <x:f>IF(H1388="","",H1388/1000000000)</x:f>
        <x:v>2.796</x:v>
      </x:c>
      <x:c r="R1388" s="13" t="n">
        <x:f>IF(I1388="","",I1388/1000000)</x:f>
        <x:v>55.808383233532936</x:v>
      </x:c>
    </x:row>
    <x:row r="1389" ht="21" customHeight="1">
      <x:c r="A1389" s="10" t="n">
        <x:v>2166</x:v>
      </x:c>
      <x:c r="B1389" s="2" t="str">
        <x:v>1b341f51b8438c931ffa</x:v>
      </x:c>
      <x:c r="C1389" s="2" t="str">
        <x:v>Hà Nội</x:v>
      </x:c>
      <x:c r="D1389" s="2" t="str">
        <x:v>Quận Long Biên</x:v>
      </x:c>
      <x:c r="E1389" s="2" t="str">
        <x:v>house</x:v>
      </x:c>
      <x:c r="F1389" s="2" t="str">
        <x:v>sale_assumed</x:v>
      </x:c>
      <x:c r="G1389" s="11" t="n">
        <x:v>66</x:v>
      </x:c>
      <x:c r="H1389" s="12" t="n">
        <x:v>2450000000</x:v>
      </x:c>
      <x:c r="I1389" s="12" t="n">
        <x:v>37121212.121212125</x:v>
      </x:c>
      <x:c r="J1389" s="2" t="str">
        <x:v>total</x:v>
      </x:c>
      <x:c r="K1389" s="2" t="str">
        <x:v>top_level_area</x:v>
      </x:c>
      <x:c r="L1389" s="2" t="str">
        <x:v>property_type_inferred_from_title;transaction_assumed_sale_from_dataset_context</x:v>
      </x:c>
      <x:c r="M1389" s="10" t="n">
        <x:v>0</x:v>
      </x:c>
      <x:c r="N1389" s="10" t="n">
        <x:v>0</x:v>
      </x:c>
      <x:c r="O1389" s="2" t="str">
        <x:v>Hà Nội|house</x:v>
      </x:c>
      <x:c r="P1389" s="10" t="n">
        <x:v>2</x:v>
      </x:c>
      <x:c r="Q1389" s="13" t="n">
        <x:f>IF(H1389="","",H1389/1000000000)</x:f>
        <x:v>2.45</x:v>
      </x:c>
      <x:c r="R1389" s="13" t="n">
        <x:f>IF(I1389="","",I1389/1000000)</x:f>
        <x:v>37.121212121212125</x:v>
      </x:c>
    </x:row>
    <x:row r="1390" ht="21" customHeight="1">
      <x:c r="A1390" s="10" t="n">
        <x:v>2168</x:v>
      </x:c>
      <x:c r="B1390" s="2" t="str">
        <x:v>7ab09088920b743f0a28</x:v>
      </x:c>
      <x:c r="C1390" s="2" t="str">
        <x:v>Tp Hồ Chí Minh</x:v>
      </x:c>
      <x:c r="D1390" s="2" t="str">
        <x:v>Huyện Củ Chi</x:v>
      </x:c>
      <x:c r="E1390" s="2" t="str">
        <x:v>land</x:v>
      </x:c>
      <x:c r="F1390" s="2" t="str">
        <x:v>sale_assumed</x:v>
      </x:c>
      <x:c r="G1390" s="11" t="n">
        <x:v>500</x:v>
      </x:c>
      <x:c r="H1390" s="12" t="n">
        <x:v>780000000</x:v>
      </x:c>
      <x:c r="I1390" s="12" t="n">
        <x:v>1560000</x:v>
      </x:c>
      <x:c r="J1390" s="2" t="str">
        <x:v>total</x:v>
      </x:c>
      <x:c r="K1390" s="2" t="str">
        <x:v>top_level_area</x:v>
      </x:c>
      <x:c r="L1390" s="2" t="str">
        <x:v>property_type_inferred_from_title;transaction_assumed_sale_from_dataset_context</x:v>
      </x:c>
      <x:c r="M1390" s="10" t="n">
        <x:v>0</x:v>
      </x:c>
      <x:c r="N1390" s="10" t="n">
        <x:v>0</x:v>
      </x:c>
      <x:c r="O1390" s="2" t="str">
        <x:v>Tp Hồ Chí Minh|land</x:v>
      </x:c>
      <x:c r="P1390" s="10" t="n">
        <x:v>1</x:v>
      </x:c>
      <x:c r="Q1390" s="13" t="n">
        <x:f>IF(H1390="","",H1390/1000000000)</x:f>
        <x:v>0.78</x:v>
      </x:c>
      <x:c r="R1390" s="13" t="n">
        <x:f>IF(I1390="","",I1390/1000000)</x:f>
        <x:v>1.56</x:v>
      </x:c>
    </x:row>
    <x:row r="1391" ht="21" customHeight="1">
      <x:c r="A1391" s="10" t="n">
        <x:v>2169</x:v>
      </x:c>
      <x:c r="B1391" s="2" t="str">
        <x:v>db85b405fd7e27c78325</x:v>
      </x:c>
      <x:c r="C1391" s="2" t="str">
        <x:v>Đà Nẵng</x:v>
      </x:c>
      <x:c r="D1391" s="2" t="str">
        <x:v>Quận Liên Chiểu</x:v>
      </x:c>
      <x:c r="E1391" s="2" t="str">
        <x:v>other_unknown</x:v>
      </x:c>
      <x:c r="F1391" s="2" t="str">
        <x:v>sale_assumed</x:v>
      </x:c>
      <x:c r="G1391" s="11" t="n">
        <x:v>100</x:v>
      </x:c>
      <x:c r="H1391" s="12" t="n">
        <x:v>4700000000</x:v>
      </x:c>
      <x:c r="I1391" s="12" t="n">
        <x:v>47000000</x:v>
      </x:c>
      <x:c r="J1391" s="2" t="str">
        <x:v>total</x:v>
      </x:c>
      <x:c r="K1391" s="2" t="str">
        <x:v>top_level_area</x:v>
      </x:c>
      <x:c r="L1391" s="2" t="str">
        <x:v>property_type_inferred_from_title;transaction_assumed_sale_from_dataset_context;unknown_property_type</x:v>
      </x:c>
      <x:c r="M1391" s="10" t="n">
        <x:v>0</x:v>
      </x:c>
      <x:c r="N1391" s="10" t="n">
        <x:v>0</x:v>
      </x:c>
      <x:c r="O1391" s="2" t="str">
        <x:v>Đà Nẵng|other_unknown</x:v>
      </x:c>
      <x:c r="P1391" s="10" t="n">
        <x:v>2</x:v>
      </x:c>
      <x:c r="Q1391" s="13" t="n">
        <x:f>IF(H1391="","",H1391/1000000000)</x:f>
        <x:v>4.7</x:v>
      </x:c>
      <x:c r="R1391" s="13" t="n">
        <x:f>IF(I1391="","",I1391/1000000)</x:f>
        <x:v>47</x:v>
      </x:c>
    </x:row>
    <x:row r="1392" ht="21" customHeight="1">
      <x:c r="A1392" s="10" t="n">
        <x:v>2170</x:v>
      </x:c>
      <x:c r="B1392" s="2" t="str">
        <x:v>5c1d24cbab3bd307c8d5</x:v>
      </x:c>
      <x:c r="C1392" s="2" t="str">
        <x:v>Khánh Hòa</x:v>
      </x:c>
      <x:c r="D1392" s="2" t="str">
        <x:v>Thành phố Nha Trang</x:v>
      </x:c>
      <x:c r="E1392" s="2" t="str">
        <x:v>house</x:v>
      </x:c>
      <x:c r="F1392" s="2" t="str">
        <x:v>sale_assumed</x:v>
      </x:c>
      <x:c r="G1392" s="11" t="n">
        <x:v>600</x:v>
      </x:c>
      <x:c r="H1392" s="12" t="n">
        <x:v>3500000000</x:v>
      </x:c>
      <x:c r="I1392" s="12" t="n">
        <x:v>5833333.333333333</x:v>
      </x:c>
      <x:c r="J1392" s="2" t="str">
        <x:v>total</x:v>
      </x:c>
      <x:c r="K1392" s="2" t="str">
        <x:v>top_level_price_embedded_area</x:v>
      </x:c>
      <x:c r="L1392" s="2" t="str">
        <x:v>area_recovered_from_price_text;property_type_inferred_from_title;transaction_assumed_sale_from_dataset_context</x:v>
      </x:c>
      <x:c r="M1392" s="10" t="n">
        <x:v>0</x:v>
      </x:c>
      <x:c r="N1392" s="10" t="n">
        <x:v>0</x:v>
      </x:c>
      <x:c r="O1392" s="2" t="str">
        <x:v>Khánh Hòa|house</x:v>
      </x:c>
      <x:c r="P1392" s="10" t="n">
        <x:v>1</x:v>
      </x:c>
      <x:c r="Q1392" s="13" t="n">
        <x:f>IF(H1392="","",H1392/1000000000)</x:f>
        <x:v>3.5</x:v>
      </x:c>
      <x:c r="R1392" s="13" t="n">
        <x:f>IF(I1392="","",I1392/1000000)</x:f>
        <x:v>5.833333333333333</x:v>
      </x:c>
    </x:row>
    <x:row r="1393" ht="21" customHeight="1">
      <x:c r="A1393" s="10" t="n">
        <x:v>2171</x:v>
      </x:c>
      <x:c r="B1393" s="2" t="str">
        <x:v>dddc9a7cdcd45ad43c40</x:v>
      </x:c>
      <x:c r="C1393" s="2" t="str">
        <x:v>Tp Hồ Chí Minh</x:v>
      </x:c>
      <x:c r="D1393" s="2" t="str">
        <x:v>Quận Thủ Đức</x:v>
      </x:c>
      <x:c r="E1393" s="2" t="str">
        <x:v>house</x:v>
      </x:c>
      <x:c r="F1393" s="2" t="str">
        <x:v>sale_assumed</x:v>
      </x:c>
      <x:c r="G1393" s="11" t="n">
        <x:v>73</x:v>
      </x:c>
      <x:c r="H1393" s="12" t="n">
        <x:v>3300000000</x:v>
      </x:c>
      <x:c r="I1393" s="12" t="n">
        <x:v>45205479.45205479</x:v>
      </x:c>
      <x:c r="J1393" s="2" t="str">
        <x:v>total</x:v>
      </x:c>
      <x:c r="K1393" s="2" t="str">
        <x:v>top_level_area</x:v>
      </x:c>
      <x:c r="L1393" s="2" t="str">
        <x:v>property_type_inferred_from_title;transaction_assumed_sale_from_dataset_context</x:v>
      </x:c>
      <x:c r="M1393" s="10" t="n">
        <x:v>0</x:v>
      </x:c>
      <x:c r="N1393" s="10" t="n">
        <x:v>0</x:v>
      </x:c>
      <x:c r="O1393" s="2" t="str">
        <x:v>Tp Hồ Chí Minh|house</x:v>
      </x:c>
      <x:c r="P1393" s="10" t="n">
        <x:v>2</x:v>
      </x:c>
      <x:c r="Q1393" s="13" t="n">
        <x:f>IF(H1393="","",H1393/1000000000)</x:f>
        <x:v>3.3</x:v>
      </x:c>
      <x:c r="R1393" s="13" t="n">
        <x:f>IF(I1393="","",I1393/1000000)</x:f>
        <x:v>45.20547945205479</x:v>
      </x:c>
    </x:row>
    <x:row r="1394" ht="21" customHeight="1">
      <x:c r="A1394" s="10" t="n">
        <x:v>2172</x:v>
      </x:c>
      <x:c r="B1394" s="2" t="str">
        <x:v>0b317f9803ad1cc56920</x:v>
      </x:c>
      <x:c r="C1394" s="2" t="str">
        <x:v>Đà Nẵng</x:v>
      </x:c>
      <x:c r="D1394" s="2" t="str">
        <x:v>Quận Cẩm Lệ</x:v>
      </x:c>
      <x:c r="E1394" s="2" t="str">
        <x:v>house</x:v>
      </x:c>
      <x:c r="F1394" s="2" t="str">
        <x:v>sale_assumed</x:v>
      </x:c>
      <x:c r="G1394" s="11" t="n">
        <x:v>100</x:v>
      </x:c>
      <x:c r="H1394" s="12" t="n">
        <x:v>2500000000</x:v>
      </x:c>
      <x:c r="I1394" s="12" t="n">
        <x:v>25000000</x:v>
      </x:c>
      <x:c r="J1394" s="2" t="str">
        <x:v>total</x:v>
      </x:c>
      <x:c r="K1394" s="2" t="str">
        <x:v>top_level_area</x:v>
      </x:c>
      <x:c r="L1394" s="2" t="str">
        <x:v>property_type_inferred_from_title;transaction_assumed_sale_from_dataset_context</x:v>
      </x:c>
      <x:c r="M1394" s="10" t="n">
        <x:v>0</x:v>
      </x:c>
      <x:c r="N1394" s="10" t="n">
        <x:v>0</x:v>
      </x:c>
      <x:c r="O1394" s="2" t="str">
        <x:v>Đà Nẵng|house</x:v>
      </x:c>
      <x:c r="P1394" s="10" t="n">
        <x:v>2</x:v>
      </x:c>
      <x:c r="Q1394" s="13" t="n">
        <x:f>IF(H1394="","",H1394/1000000000)</x:f>
        <x:v>2.5</x:v>
      </x:c>
      <x:c r="R1394" s="13" t="n">
        <x:f>IF(I1394="","",I1394/1000000)</x:f>
        <x:v>25</x:v>
      </x:c>
    </x:row>
    <x:row r="1395" ht="21" customHeight="1">
      <x:c r="A1395" s="10" t="n">
        <x:v>2173</x:v>
      </x:c>
      <x:c r="B1395" s="2" t="str">
        <x:v>64991c5cdbd523ec7b45</x:v>
      </x:c>
      <x:c r="C1395" s="2" t="str">
        <x:v>Tp Hồ Chí Minh</x:v>
      </x:c>
      <x:c r="D1395" s="2" t="str">
        <x:v>Quận Bình Thạnh</x:v>
      </x:c>
      <x:c r="E1395" s="2" t="str">
        <x:v>house</x:v>
      </x:c>
      <x:c r="F1395" s="2" t="str">
        <x:v>sale</x:v>
      </x:c>
      <x:c r="G1395" s="11" t="n">
        <x:v>75</x:v>
      </x:c>
      <x:c r="H1395" s="12" t="n">
        <x:v>1400000000</x:v>
      </x:c>
      <x:c r="I1395" s="12" t="n">
        <x:v>18666666.666666668</x:v>
      </x:c>
      <x:c r="J1395" s="2" t="str">
        <x:v>total</x:v>
      </x:c>
      <x:c r="K1395" s="2" t="str">
        <x:v>top_level_area</x:v>
      </x:c>
      <x:c r="L1395" s="2" t="str">
        <x:v>property_type_inferred_from_title</x:v>
      </x:c>
      <x:c r="M1395" s="10" t="n">
        <x:v>0</x:v>
      </x:c>
      <x:c r="N1395" s="10" t="n">
        <x:v>0</x:v>
      </x:c>
      <x:c r="O1395" s="2" t="str">
        <x:v>Tp Hồ Chí Minh|house</x:v>
      </x:c>
      <x:c r="P1395" s="10" t="n">
        <x:v>2</x:v>
      </x:c>
      <x:c r="Q1395" s="13" t="n">
        <x:f>IF(H1395="","",H1395/1000000000)</x:f>
        <x:v>1.4</x:v>
      </x:c>
      <x:c r="R1395" s="13" t="n">
        <x:f>IF(I1395="","",I1395/1000000)</x:f>
        <x:v>18.666666666666668</x:v>
      </x:c>
    </x:row>
    <x:row r="1396" ht="21" customHeight="1">
      <x:c r="A1396" s="10" t="n">
        <x:v>2174</x:v>
      </x:c>
      <x:c r="B1396" s="2" t="str">
        <x:v>9f4098a0f3552438be4f</x:v>
      </x:c>
      <x:c r="C1396" s="2" t="str">
        <x:v>Tp Hồ Chí Minh</x:v>
      </x:c>
      <x:c r="D1396" s="2" t="str">
        <x:v>Quận Bình Tân</x:v>
      </x:c>
      <x:c r="E1396" s="2" t="str">
        <x:v>apartment</x:v>
      </x:c>
      <x:c r="F1396" s="2" t="str">
        <x:v>sale_assumed</x:v>
      </x:c>
      <x:c r="G1396" s="11" t="n">
        <x:v>40</x:v>
      </x:c>
      <x:c r="H1396" s="12" t="n">
        <x:v>299000000</x:v>
      </x:c>
      <x:c r="I1396" s="12" t="n">
        <x:v>7475000</x:v>
      </x:c>
      <x:c r="J1396" s="2" t="str">
        <x:v>total</x:v>
      </x:c>
      <x:c r="K1396" s="2" t="str">
        <x:v>top_level_area</x:v>
      </x:c>
      <x:c r="L1396" s="2" t="str">
        <x:v>property_type_inferred_from_title;transaction_assumed_sale_from_dataset_context</x:v>
      </x:c>
      <x:c r="M1396" s="10" t="n">
        <x:v>0</x:v>
      </x:c>
      <x:c r="N1396" s="10" t="n">
        <x:v>0</x:v>
      </x:c>
      <x:c r="O1396" s="2" t="str">
        <x:v>Tp Hồ Chí Minh|apartment</x:v>
      </x:c>
      <x:c r="P1396" s="10" t="n">
        <x:v>2</x:v>
      </x:c>
      <x:c r="Q1396" s="13" t="n">
        <x:f>IF(H1396="","",H1396/1000000000)</x:f>
        <x:v>0.299</x:v>
      </x:c>
      <x:c r="R1396" s="13" t="n">
        <x:f>IF(I1396="","",I1396/1000000)</x:f>
        <x:v>7.475</x:v>
      </x:c>
    </x:row>
    <x:row r="1397" ht="21" customHeight="1">
      <x:c r="A1397" s="10" t="n">
        <x:v>2175</x:v>
      </x:c>
      <x:c r="B1397" s="2" t="str">
        <x:v>a837be8ad75c2c49cd87</x:v>
      </x:c>
      <x:c r="C1397" s="2" t="str">
        <x:v>Tp Hồ Chí Minh</x:v>
      </x:c>
      <x:c r="D1397" s="2" t="str">
        <x:v>Huyện Hóc Môn</x:v>
      </x:c>
      <x:c r="E1397" s="2" t="str">
        <x:v>house</x:v>
      </x:c>
      <x:c r="F1397" s="2" t="str">
        <x:v>sale</x:v>
      </x:c>
      <x:c r="G1397" s="11" t="n">
        <x:v>24</x:v>
      </x:c>
      <x:c r="H1397" s="12" t="n">
        <x:v>750000000</x:v>
      </x:c>
      <x:c r="I1397" s="12" t="n">
        <x:v>31250000</x:v>
      </x:c>
      <x:c r="J1397" s="2" t="str">
        <x:v>total</x:v>
      </x:c>
      <x:c r="K1397" s="2" t="str">
        <x:v>top_level_area</x:v>
      </x:c>
      <x:c r="L1397" s="2" t="str">
        <x:v>property_type_inferred_from_title</x:v>
      </x:c>
      <x:c r="M1397" s="10" t="n">
        <x:v>0</x:v>
      </x:c>
      <x:c r="N1397" s="10" t="n">
        <x:v>0</x:v>
      </x:c>
      <x:c r="O1397" s="2" t="str">
        <x:v>Tp Hồ Chí Minh|house</x:v>
      </x:c>
      <x:c r="P1397" s="10" t="n">
        <x:v>2</x:v>
      </x:c>
      <x:c r="Q1397" s="13" t="n">
        <x:f>IF(H1397="","",H1397/1000000000)</x:f>
        <x:v>0.75</x:v>
      </x:c>
      <x:c r="R1397" s="13" t="n">
        <x:f>IF(I1397="","",I1397/1000000)</x:f>
        <x:v>31.25</x:v>
      </x:c>
    </x:row>
    <x:row r="1398" ht="21" customHeight="1">
      <x:c r="A1398" s="10" t="n">
        <x:v>2176</x:v>
      </x:c>
      <x:c r="B1398" s="2" t="str">
        <x:v>f8f0dea9c27567a81663</x:v>
      </x:c>
      <x:c r="C1398" s="2" t="str">
        <x:v>Long An</x:v>
      </x:c>
      <x:c r="D1398" s="2" t="str">
        <x:v>Huyện Bến Lức</x:v>
      </x:c>
      <x:c r="E1398" s="2" t="str">
        <x:v>house</x:v>
      </x:c>
      <x:c r="F1398" s="2" t="str">
        <x:v>sale_assumed</x:v>
      </x:c>
      <x:c r="G1398" s="11" t="n">
        <x:v>90</x:v>
      </x:c>
      <x:c r="H1398" s="12" t="n">
        <x:v>2700000000</x:v>
      </x:c>
      <x:c r="I1398" s="12" t="n">
        <x:v>30000000</x:v>
      </x:c>
      <x:c r="J1398" s="2" t="str">
        <x:v>total</x:v>
      </x:c>
      <x:c r="K1398" s="2" t="str">
        <x:v>top_level_area</x:v>
      </x:c>
      <x:c r="L1398" s="2" t="str">
        <x:v>property_type_inferred_from_title;transaction_assumed_sale_from_dataset_context</x:v>
      </x:c>
      <x:c r="M1398" s="10" t="n">
        <x:v>0</x:v>
      </x:c>
      <x:c r="N1398" s="10" t="n">
        <x:v>0</x:v>
      </x:c>
      <x:c r="O1398" s="2" t="str">
        <x:v>Long An|house</x:v>
      </x:c>
      <x:c r="P1398" s="10" t="n">
        <x:v>2</x:v>
      </x:c>
      <x:c r="Q1398" s="13" t="n">
        <x:f>IF(H1398="","",H1398/1000000000)</x:f>
        <x:v>2.7</x:v>
      </x:c>
      <x:c r="R1398" s="13" t="n">
        <x:f>IF(I1398="","",I1398/1000000)</x:f>
        <x:v>30</x:v>
      </x:c>
    </x:row>
    <x:row r="1399" ht="21" customHeight="1">
      <x:c r="A1399" s="10" t="n">
        <x:v>2177</x:v>
      </x:c>
      <x:c r="B1399" s="2" t="str">
        <x:v>c5327ada14563b35ea06</x:v>
      </x:c>
      <x:c r="C1399" s="2" t="str">
        <x:v>Tp Hồ Chí Minh</x:v>
      </x:c>
      <x:c r="D1399" s="2" t="str">
        <x:v>Quận Bình Tân</x:v>
      </x:c>
      <x:c r="E1399" s="2" t="str">
        <x:v>house</x:v>
      </x:c>
      <x:c r="F1399" s="2" t="str">
        <x:v>sale_assumed</x:v>
      </x:c>
      <x:c r="G1399" s="11" t="n">
        <x:v>38</x:v>
      </x:c>
      <x:c r="H1399" s="12" t="n">
        <x:v>2100000000</x:v>
      </x:c>
      <x:c r="I1399" s="12" t="n">
        <x:v>55263157.89473684</x:v>
      </x:c>
      <x:c r="J1399" s="2" t="str">
        <x:v>total</x:v>
      </x:c>
      <x:c r="K1399" s="2" t="str">
        <x:v>top_level_area</x:v>
      </x:c>
      <x:c r="L1399" s="2" t="str">
        <x:v>property_type_inferred_from_title;transaction_assumed_sale_from_dataset_context</x:v>
      </x:c>
      <x:c r="M1399" s="10" t="n">
        <x:v>0</x:v>
      </x:c>
      <x:c r="N1399" s="10" t="n">
        <x:v>0</x:v>
      </x:c>
      <x:c r="O1399" s="2" t="str">
        <x:v>Tp Hồ Chí Minh|house</x:v>
      </x:c>
      <x:c r="P1399" s="10" t="n">
        <x:v>2</x:v>
      </x:c>
      <x:c r="Q1399" s="13" t="n">
        <x:f>IF(H1399="","",H1399/1000000000)</x:f>
        <x:v>2.1</x:v>
      </x:c>
      <x:c r="R1399" s="13" t="n">
        <x:f>IF(I1399="","",I1399/1000000)</x:f>
        <x:v>55.26315789473684</x:v>
      </x:c>
    </x:row>
    <x:row r="1400" ht="21" customHeight="1">
      <x:c r="A1400" s="10" t="n">
        <x:v>2178</x:v>
      </x:c>
      <x:c r="B1400" s="2" t="str">
        <x:v>d66de0f41ac861cd7d3d</x:v>
      </x:c>
      <x:c r="C1400" s="2" t="str">
        <x:v>Tp Hồ Chí Minh</x:v>
      </x:c>
      <x:c r="D1400" s="2" t="str">
        <x:v>Quận 9</x:v>
      </x:c>
      <x:c r="E1400" s="2" t="str">
        <x:v>other_unknown</x:v>
      </x:c>
      <x:c r="F1400" s="2" t="str">
        <x:v>sale_assumed</x:v>
      </x:c>
      <x:c r="G1400" s="11" t="n">
        <x:v>125</x:v>
      </x:c>
      <x:c r="H1400" s="12" t="n">
        <x:v>14500000000</x:v>
      </x:c>
      <x:c r="I1400" s="12" t="n">
        <x:v>116000000</x:v>
      </x:c>
      <x:c r="J1400" s="2" t="str">
        <x:v>total</x:v>
      </x:c>
      <x:c r="K1400" s="2" t="str">
        <x:v>top_level_area</x:v>
      </x:c>
      <x:c r="L1400" s="2" t="str">
        <x:v>property_type_inferred_from_title;transaction_assumed_sale_from_dataset_context;unknown_property_type</x:v>
      </x:c>
      <x:c r="M1400" s="10" t="n">
        <x:v>0</x:v>
      </x:c>
      <x:c r="N1400" s="10" t="n">
        <x:v>0</x:v>
      </x:c>
      <x:c r="O1400" s="2" t="str">
        <x:v>Tp Hồ Chí Minh|other_unknown</x:v>
      </x:c>
      <x:c r="P1400" s="10" t="n">
        <x:v>2</x:v>
      </x:c>
      <x:c r="Q1400" s="13" t="n">
        <x:f>IF(H1400="","",H1400/1000000000)</x:f>
        <x:v>14.5</x:v>
      </x:c>
      <x:c r="R1400" s="13" t="n">
        <x:f>IF(I1400="","",I1400/1000000)</x:f>
        <x:v>116</x:v>
      </x:c>
    </x:row>
    <x:row r="1401" ht="21" customHeight="1">
      <x:c r="A1401" s="10" t="n">
        <x:v>2182</x:v>
      </x:c>
      <x:c r="B1401" s="2" t="str">
        <x:v>27dbdcf66d9dff52304f</x:v>
      </x:c>
      <x:c r="C1401" s="2" t="str">
        <x:v>Tp Hồ Chí Minh</x:v>
      </x:c>
      <x:c r="D1401" s="2" t="str">
        <x:v>Quận 9</x:v>
      </x:c>
      <x:c r="E1401" s="2" t="str">
        <x:v>other_unknown</x:v>
      </x:c>
      <x:c r="F1401" s="2" t="str">
        <x:v>sale_assumed</x:v>
      </x:c>
      <x:c r="G1401" s="11" t="n">
        <x:v>284</x:v>
      </x:c>
      <x:c r="H1401" s="12" t="n">
        <x:v>41000000000</x:v>
      </x:c>
      <x:c r="I1401" s="12" t="n">
        <x:v>144366197.18309858</x:v>
      </x:c>
      <x:c r="J1401" s="2" t="str">
        <x:v>total</x:v>
      </x:c>
      <x:c r="K1401" s="2" t="str">
        <x:v>top_level_area</x:v>
      </x:c>
      <x:c r="L1401" s="2" t="str">
        <x:v>property_type_inferred_from_title;transaction_assumed_sale_from_dataset_context;unknown_property_type</x:v>
      </x:c>
      <x:c r="M1401" s="10" t="n">
        <x:v>0</x:v>
      </x:c>
      <x:c r="N1401" s="10" t="n">
        <x:v>0</x:v>
      </x:c>
      <x:c r="O1401" s="2" t="str">
        <x:v>Tp Hồ Chí Minh|other_unknown</x:v>
      </x:c>
      <x:c r="P1401" s="10" t="n">
        <x:v>2</x:v>
      </x:c>
      <x:c r="Q1401" s="13" t="n">
        <x:f>IF(H1401="","",H1401/1000000000)</x:f>
        <x:v>41</x:v>
      </x:c>
      <x:c r="R1401" s="13" t="n">
        <x:f>IF(I1401="","",I1401/1000000)</x:f>
        <x:v>144.3661971830986</x:v>
      </x:c>
    </x:row>
    <x:row r="1402" ht="21" customHeight="1">
      <x:c r="A1402" s="10" t="n">
        <x:v>2183</x:v>
      </x:c>
      <x:c r="B1402" s="2" t="str">
        <x:v>277120590aa1f056936c</x:v>
      </x:c>
      <x:c r="C1402" s="2" t="str">
        <x:v>Tp Hồ Chí Minh</x:v>
      </x:c>
      <x:c r="D1402" s="2" t="str">
        <x:v>Quận Gò Vấp</x:v>
      </x:c>
      <x:c r="E1402" s="2" t="str">
        <x:v>apartment</x:v>
      </x:c>
      <x:c r="F1402" s="2" t="str">
        <x:v>sale</x:v>
      </x:c>
      <x:c r="G1402" s="11" t="n">
        <x:v>44</x:v>
      </x:c>
      <x:c r="H1402" s="12" t="n">
        <x:v>3580000000</x:v>
      </x:c>
      <x:c r="I1402" s="12" t="n">
        <x:v>81363636.36363636</x:v>
      </x:c>
      <x:c r="J1402" s="2" t="str">
        <x:v>total</x:v>
      </x:c>
      <x:c r="K1402" s="2" t="str">
        <x:v>top_level_area</x:v>
      </x:c>
      <x:c r="L1402" s="2" t="str">
        <x:v>property_type_inferred_from_title</x:v>
      </x:c>
      <x:c r="M1402" s="10" t="n">
        <x:v>0</x:v>
      </x:c>
      <x:c r="N1402" s="10" t="n">
        <x:v>1</x:v>
      </x:c>
      <x:c r="O1402" s="2" t="str">
        <x:v>Tp Hồ Chí Minh|apartment</x:v>
      </x:c>
      <x:c r="P1402" s="10" t="n">
        <x:v>-1</x:v>
      </x:c>
      <x:c r="Q1402" s="13" t="n">
        <x:f>IF(H1402="","",H1402/1000000000)</x:f>
        <x:v>3.58</x:v>
      </x:c>
      <x:c r="R1402" s="13" t="n">
        <x:f>IF(I1402="","",I1402/1000000)</x:f>
        <x:v>81.36363636363636</x:v>
      </x:c>
    </x:row>
    <x:row r="1403" ht="21" customHeight="1">
      <x:c r="A1403" s="10" t="n">
        <x:v>2184</x:v>
      </x:c>
      <x:c r="B1403" s="2" t="str">
        <x:v>5b4d290e0f2c76e92837</x:v>
      </x:c>
      <x:c r="C1403" s="2" t="str">
        <x:v>Tp Hồ Chí Minh</x:v>
      </x:c>
      <x:c r="D1403" s="2" t="str">
        <x:v>Quận 8</x:v>
      </x:c>
      <x:c r="E1403" s="2" t="str">
        <x:v>house</x:v>
      </x:c>
      <x:c r="F1403" s="2" t="str">
        <x:v>sale</x:v>
      </x:c>
      <x:c r="G1403" s="11" t="n">
        <x:v>77</x:v>
      </x:c>
      <x:c r="H1403" s="12" t="n">
        <x:v>1300000000</x:v>
      </x:c>
      <x:c r="I1403" s="12" t="n">
        <x:v>16883116.883116882</x:v>
      </x:c>
      <x:c r="J1403" s="2" t="str">
        <x:v>total</x:v>
      </x:c>
      <x:c r="K1403" s="2" t="str">
        <x:v>top_level_area</x:v>
      </x:c>
      <x:c r="L1403" s="2" t="str">
        <x:v>property_type_inferred_from_title</x:v>
      </x:c>
      <x:c r="M1403" s="10" t="n">
        <x:v>0</x:v>
      </x:c>
      <x:c r="N1403" s="10" t="n">
        <x:v>0</x:v>
      </x:c>
      <x:c r="O1403" s="2" t="str">
        <x:v>Tp Hồ Chí Minh|house</x:v>
      </x:c>
      <x:c r="P1403" s="10" t="n">
        <x:v>2</x:v>
      </x:c>
      <x:c r="Q1403" s="13" t="n">
        <x:f>IF(H1403="","",H1403/1000000000)</x:f>
        <x:v>1.3</x:v>
      </x:c>
      <x:c r="R1403" s="13" t="n">
        <x:f>IF(I1403="","",I1403/1000000)</x:f>
        <x:v>16.883116883116884</x:v>
      </x:c>
    </x:row>
    <x:row r="1404" ht="21" customHeight="1">
      <x:c r="A1404" s="10" t="n">
        <x:v>2185</x:v>
      </x:c>
      <x:c r="B1404" s="2" t="str">
        <x:v>aa2f575a07bfcff221bd</x:v>
      </x:c>
      <x:c r="C1404" s="2" t="str">
        <x:v>Tp Hồ Chí Minh</x:v>
      </x:c>
      <x:c r="D1404" s="2" t="str">
        <x:v>Quận Bình Thạnh</x:v>
      </x:c>
      <x:c r="E1404" s="2" t="str">
        <x:v>house</x:v>
      </x:c>
      <x:c r="F1404" s="2" t="str">
        <x:v>sale_assumed</x:v>
      </x:c>
      <x:c r="G1404" s="11" t="n">
        <x:v>98</x:v>
      </x:c>
      <x:c r="H1404" s="12" t="n">
        <x:v>2000000000</x:v>
      </x:c>
      <x:c r="I1404" s="12" t="n">
        <x:v>20408163.265306123</x:v>
      </x:c>
      <x:c r="J1404" s="2" t="str">
        <x:v>total</x:v>
      </x:c>
      <x:c r="K1404" s="2" t="str">
        <x:v>top_level_area</x:v>
      </x:c>
      <x:c r="L1404" s="2" t="str">
        <x:v>property_type_inferred_from_title;transaction_assumed_sale_from_dataset_context</x:v>
      </x:c>
      <x:c r="M1404" s="10" t="n">
        <x:v>0</x:v>
      </x:c>
      <x:c r="N1404" s="10" t="n">
        <x:v>0</x:v>
      </x:c>
      <x:c r="O1404" s="2" t="str">
        <x:v>Tp Hồ Chí Minh|house</x:v>
      </x:c>
      <x:c r="P1404" s="10" t="n">
        <x:v>2</x:v>
      </x:c>
      <x:c r="Q1404" s="13" t="n">
        <x:f>IF(H1404="","",H1404/1000000000)</x:f>
        <x:v>2</x:v>
      </x:c>
      <x:c r="R1404" s="13" t="n">
        <x:f>IF(I1404="","",I1404/1000000)</x:f>
        <x:v>20.408163265306122</x:v>
      </x:c>
    </x:row>
    <x:row r="1405" ht="21" customHeight="1">
      <x:c r="A1405" s="10" t="n">
        <x:v>2186</x:v>
      </x:c>
      <x:c r="B1405" s="2" t="str">
        <x:v>78b6782483e7f88dfe35</x:v>
      </x:c>
      <x:c r="C1405" s="2" t="str">
        <x:v>Khánh Hòa</x:v>
      </x:c>
      <x:c r="D1405" s="2" t="str">
        <x:v>Thành phố Nha Trang</x:v>
      </x:c>
      <x:c r="E1405" s="2" t="str">
        <x:v>house</x:v>
      </x:c>
      <x:c r="F1405" s="2" t="str">
        <x:v>sale</x:v>
      </x:c>
      <x:c r="G1405" s="11" t="n">
        <x:v>59</x:v>
      </x:c>
      <x:c r="H1405" s="12" t="n">
        <x:v>1500000000</x:v>
      </x:c>
      <x:c r="I1405" s="12" t="n">
        <x:v>25423728.813559324</x:v>
      </x:c>
      <x:c r="J1405" s="2" t="str">
        <x:v>total</x:v>
      </x:c>
      <x:c r="K1405" s="2" t="str">
        <x:v>top_level_area</x:v>
      </x:c>
      <x:c r="L1405" s="2" t="str">
        <x:v>property_type_inferred_from_title</x:v>
      </x:c>
      <x:c r="M1405" s="10" t="n">
        <x:v>0</x:v>
      </x:c>
      <x:c r="N1405" s="10" t="n">
        <x:v>0</x:v>
      </x:c>
      <x:c r="O1405" s="2" t="str">
        <x:v>Khánh Hòa|house</x:v>
      </x:c>
      <x:c r="P1405" s="10" t="n">
        <x:v>2</x:v>
      </x:c>
      <x:c r="Q1405" s="13" t="n">
        <x:f>IF(H1405="","",H1405/1000000000)</x:f>
        <x:v>1.5</x:v>
      </x:c>
      <x:c r="R1405" s="13" t="n">
        <x:f>IF(I1405="","",I1405/1000000)</x:f>
        <x:v>25.423728813559322</x:v>
      </x:c>
    </x:row>
    <x:row r="1406" ht="21" customHeight="1">
      <x:c r="A1406" s="10" t="n">
        <x:v>2187</x:v>
      </x:c>
      <x:c r="B1406" s="2" t="str">
        <x:v>77eae1c12698346a612a</x:v>
      </x:c>
      <x:c r="C1406" s="2" t="str">
        <x:v>Tp Hồ Chí Minh</x:v>
      </x:c>
      <x:c r="D1406" s="2" t="str">
        <x:v>Quận Gò Vấp</x:v>
      </x:c>
      <x:c r="E1406" s="2" t="str">
        <x:v>other_unknown</x:v>
      </x:c>
      <x:c r="F1406" s="2" t="str">
        <x:v>sale</x:v>
      </x:c>
      <x:c r="G1406" s="11" t="n">
        <x:v>75</x:v>
      </x:c>
      <x:c r="H1406" s="12" t="n">
        <x:v>1150000000</x:v>
      </x:c>
      <x:c r="I1406" s="12" t="n">
        <x:v>15333333.333333334</x:v>
      </x:c>
      <x:c r="J1406" s="2" t="str">
        <x:v>total</x:v>
      </x:c>
      <x:c r="K1406" s="2" t="str">
        <x:v>top_level_area</x:v>
      </x:c>
      <x:c r="L1406" s="2" t="str">
        <x:v>property_type_inferred_from_title;unknown_property_type</x:v>
      </x:c>
      <x:c r="M1406" s="10" t="n">
        <x:v>0</x:v>
      </x:c>
      <x:c r="N1406" s="10" t="n">
        <x:v>0</x:v>
      </x:c>
      <x:c r="O1406" s="2" t="str">
        <x:v>Tp Hồ Chí Minh|other_unknown</x:v>
      </x:c>
      <x:c r="P1406" s="10" t="n">
        <x:v>2</x:v>
      </x:c>
      <x:c r="Q1406" s="13" t="n">
        <x:f>IF(H1406="","",H1406/1000000000)</x:f>
        <x:v>1.15</x:v>
      </x:c>
      <x:c r="R1406" s="13" t="n">
        <x:f>IF(I1406="","",I1406/1000000)</x:f>
        <x:v>15.333333333333334</x:v>
      </x:c>
    </x:row>
    <x:row r="1407" ht="21" customHeight="1">
      <x:c r="A1407" s="10" t="n">
        <x:v>2188</x:v>
      </x:c>
      <x:c r="B1407" s="2" t="str">
        <x:v>b94e20b5afeae33c286d</x:v>
      </x:c>
      <x:c r="C1407" s="2" t="str">
        <x:v>Cần Thơ</x:v>
      </x:c>
      <x:c r="D1407" s="2" t="str">
        <x:v>Quận Bình Thuỷ</x:v>
      </x:c>
      <x:c r="E1407" s="2" t="str">
        <x:v>land</x:v>
      </x:c>
      <x:c r="F1407" s="2" t="str">
        <x:v>sale_assumed</x:v>
      </x:c>
      <x:c r="G1407" s="11" t="n">
        <x:v>220</x:v>
      </x:c>
      <x:c r="H1407" s="12" t="n">
        <x:v>440000000</x:v>
      </x:c>
      <x:c r="I1407" s="12" t="n">
        <x:v>2000000</x:v>
      </x:c>
      <x:c r="J1407" s="2" t="str">
        <x:v>total</x:v>
      </x:c>
      <x:c r="K1407" s="2" t="str">
        <x:v>top_level_area</x:v>
      </x:c>
      <x:c r="L1407" s="2" t="str">
        <x:v>property_type_inferred_from_title;transaction_assumed_sale_from_dataset_context</x:v>
      </x:c>
      <x:c r="M1407" s="10" t="n">
        <x:v>0</x:v>
      </x:c>
      <x:c r="N1407" s="10" t="n">
        <x:v>0</x:v>
      </x:c>
      <x:c r="O1407" s="2" t="str">
        <x:v>Cần Thơ|land</x:v>
      </x:c>
      <x:c r="P1407" s="10" t="n">
        <x:v>1</x:v>
      </x:c>
      <x:c r="Q1407" s="13" t="n">
        <x:f>IF(H1407="","",H1407/1000000000)</x:f>
        <x:v>0.44</x:v>
      </x:c>
      <x:c r="R1407" s="13" t="n">
        <x:f>IF(I1407="","",I1407/1000000)</x:f>
        <x:v>2</x:v>
      </x:c>
    </x:row>
    <x:row r="1408" ht="21" customHeight="1">
      <x:c r="A1408" s="10" t="n">
        <x:v>2189</x:v>
      </x:c>
      <x:c r="B1408" s="2" t="str">
        <x:v>975bdbebdaed99d283a9</x:v>
      </x:c>
      <x:c r="C1408" s="2" t="str">
        <x:v>Tp Hồ Chí Minh</x:v>
      </x:c>
      <x:c r="D1408" s="2" t="str">
        <x:v>Quận 10</x:v>
      </x:c>
      <x:c r="E1408" s="2" t="str">
        <x:v>other_unknown</x:v>
      </x:c>
      <x:c r="F1408" s="2" t="str">
        <x:v>sale</x:v>
      </x:c>
      <x:c r="G1408" s="11" t="n">
        <x:v>71</x:v>
      </x:c>
      <x:c r="H1408" s="12" t="n">
        <x:v>1390000000</x:v>
      </x:c>
      <x:c r="I1408" s="12" t="n">
        <x:v>19577464.788732395</x:v>
      </x:c>
      <x:c r="J1408" s="2" t="str">
        <x:v>total</x:v>
      </x:c>
      <x:c r="K1408" s="2" t="str">
        <x:v>top_level_area</x:v>
      </x:c>
      <x:c r="L1408" s="2" t="str">
        <x:v>property_type_inferred_from_title;unknown_property_type</x:v>
      </x:c>
      <x:c r="M1408" s="10" t="n">
        <x:v>0</x:v>
      </x:c>
      <x:c r="N1408" s="10" t="n">
        <x:v>0</x:v>
      </x:c>
      <x:c r="O1408" s="2" t="str">
        <x:v>Tp Hồ Chí Minh|other_unknown</x:v>
      </x:c>
      <x:c r="P1408" s="10" t="n">
        <x:v>2</x:v>
      </x:c>
      <x:c r="Q1408" s="13" t="n">
        <x:f>IF(H1408="","",H1408/1000000000)</x:f>
        <x:v>1.39</x:v>
      </x:c>
      <x:c r="R1408" s="13" t="n">
        <x:f>IF(I1408="","",I1408/1000000)</x:f>
        <x:v>19.577464788732396</x:v>
      </x:c>
    </x:row>
    <x:row r="1409" ht="21" customHeight="1">
      <x:c r="A1409" s="10" t="n">
        <x:v>2190</x:v>
      </x:c>
      <x:c r="B1409" s="2" t="str">
        <x:v>c0f58aab24568a8c2163</x:v>
      </x:c>
      <x:c r="C1409" s="2" t="str">
        <x:v>Tp Hồ Chí Minh</x:v>
      </x:c>
      <x:c r="D1409" s="2" t="str">
        <x:v>Quận Thủ Đức</x:v>
      </x:c>
      <x:c r="E1409" s="2" t="str">
        <x:v>house</x:v>
      </x:c>
      <x:c r="F1409" s="2" t="str">
        <x:v>sale</x:v>
      </x:c>
      <x:c r="G1409" s="11" t="n">
        <x:v>43</x:v>
      </x:c>
      <x:c r="H1409" s="12" t="n">
        <x:v>1430000000</x:v>
      </x:c>
      <x:c r="I1409" s="12" t="n">
        <x:v>33255813.953488372</x:v>
      </x:c>
      <x:c r="J1409" s="2" t="str">
        <x:v>total</x:v>
      </x:c>
      <x:c r="K1409" s="2" t="str">
        <x:v>top_level_area</x:v>
      </x:c>
      <x:c r="L1409" s="2" t="str">
        <x:v>property_type_inferred_from_title</x:v>
      </x:c>
      <x:c r="M1409" s="10" t="n">
        <x:v>0</x:v>
      </x:c>
      <x:c r="N1409" s="10" t="n">
        <x:v>0</x:v>
      </x:c>
      <x:c r="O1409" s="2" t="str">
        <x:v>Tp Hồ Chí Minh|house</x:v>
      </x:c>
      <x:c r="P1409" s="10" t="n">
        <x:v>2</x:v>
      </x:c>
      <x:c r="Q1409" s="13" t="n">
        <x:f>IF(H1409="","",H1409/1000000000)</x:f>
        <x:v>1.43</x:v>
      </x:c>
      <x:c r="R1409" s="13" t="n">
        <x:f>IF(I1409="","",I1409/1000000)</x:f>
        <x:v>33.25581395348837</x:v>
      </x:c>
    </x:row>
    <x:row r="1410" ht="21" customHeight="1">
      <x:c r="A1410" s="10" t="n">
        <x:v>2191</x:v>
      </x:c>
      <x:c r="B1410" s="2" t="str">
        <x:v>c6a7404273fe5a7319b9</x:v>
      </x:c>
      <x:c r="C1410" s="2" t="str">
        <x:v>Tp Hồ Chí Minh</x:v>
      </x:c>
      <x:c r="D1410" s="2" t="str">
        <x:v>Quận 10</x:v>
      </x:c>
      <x:c r="E1410" s="2" t="str">
        <x:v>apartment</x:v>
      </x:c>
      <x:c r="F1410" s="2" t="str">
        <x:v>sale_assumed</x:v>
      </x:c>
      <x:c r="G1410" s="11" t="n">
        <x:v>48</x:v>
      </x:c>
      <x:c r="H1410" s="12" t="n">
        <x:v>3800000000</x:v>
      </x:c>
      <x:c r="I1410" s="12" t="n">
        <x:v>79166666.66666667</x:v>
      </x:c>
      <x:c r="J1410" s="2" t="str">
        <x:v>total</x:v>
      </x:c>
      <x:c r="K1410" s="2" t="str">
        <x:v>top_level_area</x:v>
      </x:c>
      <x:c r="L1410" s="2" t="str">
        <x:v>property_type_inferred_from_title;transaction_assumed_sale_from_dataset_context</x:v>
      </x:c>
      <x:c r="M1410" s="10" t="n">
        <x:v>0</x:v>
      </x:c>
      <x:c r="N1410" s="10" t="n">
        <x:v>1</x:v>
      </x:c>
      <x:c r="O1410" s="2" t="str">
        <x:v>Tp Hồ Chí Minh|apartment</x:v>
      </x:c>
      <x:c r="P1410" s="10" t="n">
        <x:v>-1</x:v>
      </x:c>
      <x:c r="Q1410" s="13" t="n">
        <x:f>IF(H1410="","",H1410/1000000000)</x:f>
        <x:v>3.8</x:v>
      </x:c>
      <x:c r="R1410" s="13" t="n">
        <x:f>IF(I1410="","",I1410/1000000)</x:f>
        <x:v>79.16666666666667</x:v>
      </x:c>
    </x:row>
    <x:row r="1411" ht="21" customHeight="1">
      <x:c r="A1411" s="10" t="n">
        <x:v>2192</x:v>
      </x:c>
      <x:c r="B1411" s="2" t="str">
        <x:v>1ce77948f00602aa60f1</x:v>
      </x:c>
      <x:c r="C1411" s="2" t="str">
        <x:v>Tp Hồ Chí Minh</x:v>
      </x:c>
      <x:c r="D1411" s="2" t="str">
        <x:v>Quận Bình Thạnh</x:v>
      </x:c>
      <x:c r="E1411" s="2" t="str">
        <x:v>house</x:v>
      </x:c>
      <x:c r="F1411" s="2" t="str">
        <x:v>sale</x:v>
      </x:c>
      <x:c r="G1411" s="11" t="n">
        <x:v>47</x:v>
      </x:c>
      <x:c r="H1411" s="12" t="n">
        <x:v>1650000000</x:v>
      </x:c>
      <x:c r="I1411" s="12" t="n">
        <x:v>35106382.97872341</x:v>
      </x:c>
      <x:c r="J1411" s="2" t="str">
        <x:v>total</x:v>
      </x:c>
      <x:c r="K1411" s="2" t="str">
        <x:v>top_level_price_embedded_area</x:v>
      </x:c>
      <x:c r="L1411" s="2" t="str">
        <x:v>area_recovered_from_price_text;property_type_inferred_from_title</x:v>
      </x:c>
      <x:c r="M1411" s="10" t="n">
        <x:v>0</x:v>
      </x:c>
      <x:c r="N1411" s="10" t="n">
        <x:v>0</x:v>
      </x:c>
      <x:c r="O1411" s="2" t="str">
        <x:v>Tp Hồ Chí Minh|house</x:v>
      </x:c>
      <x:c r="P1411" s="10" t="n">
        <x:v>2</x:v>
      </x:c>
      <x:c r="Q1411" s="13" t="n">
        <x:f>IF(H1411="","",H1411/1000000000)</x:f>
        <x:v>1.65</x:v>
      </x:c>
      <x:c r="R1411" s="13" t="n">
        <x:f>IF(I1411="","",I1411/1000000)</x:f>
        <x:v>35.10638297872341</x:v>
      </x:c>
    </x:row>
    <x:row r="1412" ht="21" customHeight="1">
      <x:c r="A1412" s="10" t="n">
        <x:v>2193</x:v>
      </x:c>
      <x:c r="B1412" s="2" t="str">
        <x:v>fcdee173256721e892e7</x:v>
      </x:c>
      <x:c r="C1412" s="2" t="str">
        <x:v>Đồng Nai</x:v>
      </x:c>
      <x:c r="D1412" s="2" t="str">
        <x:v>Thành phố Biên Hòa</x:v>
      </x:c>
      <x:c r="E1412" s="2" t="str">
        <x:v>other_unknown</x:v>
      </x:c>
      <x:c r="F1412" s="2" t="str">
        <x:v>sale_assumed</x:v>
      </x:c>
      <x:c r="G1412" s="11" t="n">
        <x:v>72</x:v>
      </x:c>
      <x:c r="H1412" s="12" t="n">
        <x:v>1900000000</x:v>
      </x:c>
      <x:c r="I1412" s="12" t="n">
        <x:v>26388888.888888888</x:v>
      </x:c>
      <x:c r="J1412" s="2" t="str">
        <x:v>total</x:v>
      </x:c>
      <x:c r="K1412" s="2" t="str">
        <x:v>top_level_area</x:v>
      </x:c>
      <x:c r="L1412" s="2" t="str">
        <x:v>property_type_inferred_from_title;transaction_assumed_sale_from_dataset_context;unknown_property_type</x:v>
      </x:c>
      <x:c r="M1412" s="10" t="n">
        <x:v>0</x:v>
      </x:c>
      <x:c r="N1412" s="10" t="n">
        <x:v>0</x:v>
      </x:c>
      <x:c r="O1412" s="2" t="str">
        <x:v>Đồng Nai|other_unknown</x:v>
      </x:c>
      <x:c r="P1412" s="10" t="n">
        <x:v>2</x:v>
      </x:c>
      <x:c r="Q1412" s="13" t="n">
        <x:f>IF(H1412="","",H1412/1000000000)</x:f>
        <x:v>1.9</x:v>
      </x:c>
      <x:c r="R1412" s="13" t="n">
        <x:f>IF(I1412="","",I1412/1000000)</x:f>
        <x:v>26.38888888888889</x:v>
      </x:c>
    </x:row>
    <x:row r="1413" ht="21" customHeight="1">
      <x:c r="A1413" s="10" t="n">
        <x:v>2194</x:v>
      </x:c>
      <x:c r="B1413" s="2" t="str">
        <x:v>90d4cc6639e8e43ae277</x:v>
      </x:c>
      <x:c r="C1413" s="2" t="str">
        <x:v>Hà Nội</x:v>
      </x:c>
      <x:c r="D1413" s="2" t="str">
        <x:v>Quận Hai Bà Trưng</x:v>
      </x:c>
      <x:c r="E1413" s="2" t="str">
        <x:v>other_unknown</x:v>
      </x:c>
      <x:c r="F1413" s="2" t="str">
        <x:v>sale_assumed</x:v>
      </x:c>
      <x:c r="G1413" s="11" t="n">
        <x:v>45</x:v>
      </x:c>
      <x:c r="H1413" s="12" t="n">
        <x:v>3844444000</x:v>
      </x:c>
      <x:c r="I1413" s="12" t="n">
        <x:v>85432088.8888889</x:v>
      </x:c>
      <x:c r="J1413" s="2" t="str">
        <x:v>total</x:v>
      </x:c>
      <x:c r="K1413" s="2" t="str">
        <x:v>top_level_area</x:v>
      </x:c>
      <x:c r="L1413" s="2" t="str">
        <x:v>property_type_inferred_from_title;transaction_assumed_sale_from_dataset_context;unknown_property_type</x:v>
      </x:c>
      <x:c r="M1413" s="10" t="n">
        <x:v>0</x:v>
      </x:c>
      <x:c r="N1413" s="10" t="n">
        <x:v>0</x:v>
      </x:c>
      <x:c r="O1413" s="2" t="str">
        <x:v>Hà Nội|other_unknown</x:v>
      </x:c>
      <x:c r="P1413" s="10" t="n">
        <x:v>2</x:v>
      </x:c>
      <x:c r="Q1413" s="13" t="n">
        <x:f>IF(H1413="","",H1413/1000000000)</x:f>
        <x:v>3.844444</x:v>
      </x:c>
      <x:c r="R1413" s="13" t="n">
        <x:f>IF(I1413="","",I1413/1000000)</x:f>
        <x:v>85.4320888888889</x:v>
      </x:c>
    </x:row>
    <x:row r="1414" ht="21" customHeight="1">
      <x:c r="A1414" s="10" t="n">
        <x:v>2195</x:v>
      </x:c>
      <x:c r="B1414" s="2" t="str">
        <x:v>796f93070c177c20ba0c</x:v>
      </x:c>
      <x:c r="C1414" s="2" t="str">
        <x:v>Tp Hồ Chí Minh</x:v>
      </x:c>
      <x:c r="D1414" s="2" t="str">
        <x:v>Quận 12</x:v>
      </x:c>
      <x:c r="E1414" s="2" t="str">
        <x:v>house</x:v>
      </x:c>
      <x:c r="F1414" s="2" t="str">
        <x:v>sale_assumed</x:v>
      </x:c>
      <x:c r="G1414" s="11" t="n">
        <x:v>40</x:v>
      </x:c>
      <x:c r="H1414" s="12" t="n">
        <x:v>850000000</x:v>
      </x:c>
      <x:c r="I1414" s="12" t="n">
        <x:v>21250000</x:v>
      </x:c>
      <x:c r="J1414" s="2" t="str">
        <x:v>total</x:v>
      </x:c>
      <x:c r="K1414" s="2" t="str">
        <x:v>top_level_area</x:v>
      </x:c>
      <x:c r="L1414" s="2" t="str">
        <x:v>property_type_inferred_from_title;transaction_assumed_sale_from_dataset_context</x:v>
      </x:c>
      <x:c r="M1414" s="10" t="n">
        <x:v>0</x:v>
      </x:c>
      <x:c r="N1414" s="10" t="n">
        <x:v>0</x:v>
      </x:c>
      <x:c r="O1414" s="2" t="str">
        <x:v>Tp Hồ Chí Minh|house</x:v>
      </x:c>
      <x:c r="P1414" s="10" t="n">
        <x:v>2</x:v>
      </x:c>
      <x:c r="Q1414" s="13" t="n">
        <x:f>IF(H1414="","",H1414/1000000000)</x:f>
        <x:v>0.85</x:v>
      </x:c>
      <x:c r="R1414" s="13" t="n">
        <x:f>IF(I1414="","",I1414/1000000)</x:f>
        <x:v>21.25</x:v>
      </x:c>
    </x:row>
    <x:row r="1415" ht="21" customHeight="1">
      <x:c r="A1415" s="10" t="n">
        <x:v>2196</x:v>
      </x:c>
      <x:c r="B1415" s="2" t="str">
        <x:v>691304801aad8d721f3b</x:v>
      </x:c>
      <x:c r="C1415" s="2" t="str">
        <x:v>Tp Hồ Chí Minh</x:v>
      </x:c>
      <x:c r="D1415" s="2" t="str">
        <x:v>Quận Bình Tân</x:v>
      </x:c>
      <x:c r="E1415" s="2" t="str">
        <x:v>apartment</x:v>
      </x:c>
      <x:c r="F1415" s="2" t="str">
        <x:v>sale_assumed</x:v>
      </x:c>
      <x:c r="G1415" s="11" t="n">
        <x:v>75</x:v>
      </x:c>
      <x:c r="H1415" s="12" t="n">
        <x:v>2500000000</x:v>
      </x:c>
      <x:c r="I1415" s="12" t="n">
        <x:v>33333333.333333332</x:v>
      </x:c>
      <x:c r="J1415" s="2" t="str">
        <x:v>total</x:v>
      </x:c>
      <x:c r="K1415" s="2" t="str">
        <x:v>top_level_area</x:v>
      </x:c>
      <x:c r="L1415" s="2" t="str">
        <x:v>property_type_inferred_from_title;transaction_assumed_sale_from_dataset_context</x:v>
      </x:c>
      <x:c r="M1415" s="10" t="n">
        <x:v>0</x:v>
      </x:c>
      <x:c r="N1415" s="10" t="n">
        <x:v>0</x:v>
      </x:c>
      <x:c r="O1415" s="2" t="str">
        <x:v>Tp Hồ Chí Minh|apartment</x:v>
      </x:c>
      <x:c r="P1415" s="10" t="n">
        <x:v>2</x:v>
      </x:c>
      <x:c r="Q1415" s="13" t="n">
        <x:f>IF(H1415="","",H1415/1000000000)</x:f>
        <x:v>2.5</x:v>
      </x:c>
      <x:c r="R1415" s="13" t="n">
        <x:f>IF(I1415="","",I1415/1000000)</x:f>
        <x:v>33.33333333333333</x:v>
      </x:c>
    </x:row>
    <x:row r="1416" ht="21" customHeight="1">
      <x:c r="A1416" s="10" t="n">
        <x:v>2197</x:v>
      </x:c>
      <x:c r="B1416" s="2" t="str">
        <x:v>a03b9143ee159c950a9c</x:v>
      </x:c>
      <x:c r="C1416" s="2" t="str">
        <x:v>Bình Dương</x:v>
      </x:c>
      <x:c r="D1416" s="2" t="str">
        <x:v>Thành phố Thủ Dầu Một</x:v>
      </x:c>
      <x:c r="E1416" s="2" t="str">
        <x:v>house</x:v>
      </x:c>
      <x:c r="F1416" s="2" t="str">
        <x:v>sale</x:v>
      </x:c>
      <x:c r="G1416" s="11" t="n">
        <x:v>108</x:v>
      </x:c>
      <x:c r="H1416" s="12" t="n">
        <x:v>2350000000</x:v>
      </x:c>
      <x:c r="I1416" s="12" t="n">
        <x:v>21759259.259259257</x:v>
      </x:c>
      <x:c r="J1416" s="2" t="str">
        <x:v>total</x:v>
      </x:c>
      <x:c r="K1416" s="2" t="str">
        <x:v>top_level_area</x:v>
      </x:c>
      <x:c r="L1416" s="2" t="str">
        <x:v>property_type_inferred_from_title</x:v>
      </x:c>
      <x:c r="M1416" s="10" t="n">
        <x:v>0</x:v>
      </x:c>
      <x:c r="N1416" s="10" t="n">
        <x:v>0</x:v>
      </x:c>
      <x:c r="O1416" s="2" t="str">
        <x:v>Bình Dương|house</x:v>
      </x:c>
      <x:c r="P1416" s="10" t="n">
        <x:v>2</x:v>
      </x:c>
      <x:c r="Q1416" s="13" t="n">
        <x:f>IF(H1416="","",H1416/1000000000)</x:f>
        <x:v>2.35</x:v>
      </x:c>
      <x:c r="R1416" s="13" t="n">
        <x:f>IF(I1416="","",I1416/1000000)</x:f>
        <x:v>21.759259259259256</x:v>
      </x:c>
    </x:row>
    <x:row r="1417" ht="21" customHeight="1">
      <x:c r="A1417" s="10" t="n">
        <x:v>2198</x:v>
      </x:c>
      <x:c r="B1417" s="2" t="str">
        <x:v>0db4d9489052f9ed8f6a</x:v>
      </x:c>
      <x:c r="C1417" s="2" t="str">
        <x:v>Hà Nội</x:v>
      </x:c>
      <x:c r="D1417" s="2" t="str">
        <x:v>Quận Đống Đa</x:v>
      </x:c>
      <x:c r="E1417" s="2" t="str">
        <x:v>house</x:v>
      </x:c>
      <x:c r="F1417" s="2" t="str">
        <x:v>sale_assumed</x:v>
      </x:c>
      <x:c r="G1417" s="11" t="n">
        <x:v>41</x:v>
      </x:c>
      <x:c r="H1417" s="12" t="n">
        <x:v>3450000000</x:v>
      </x:c>
      <x:c r="I1417" s="12" t="n">
        <x:v>84146341.46341464</x:v>
      </x:c>
      <x:c r="J1417" s="2" t="str">
        <x:v>total</x:v>
      </x:c>
      <x:c r="K1417" s="2" t="str">
        <x:v>top_level_area</x:v>
      </x:c>
      <x:c r="L1417" s="2" t="str">
        <x:v>property_type_inferred_from_title;transaction_assumed_sale_from_dataset_context</x:v>
      </x:c>
      <x:c r="M1417" s="10" t="n">
        <x:v>0</x:v>
      </x:c>
      <x:c r="N1417" s="10" t="n">
        <x:v>0</x:v>
      </x:c>
      <x:c r="O1417" s="2" t="str">
        <x:v>Hà Nội|house</x:v>
      </x:c>
      <x:c r="P1417" s="10" t="n">
        <x:v>2</x:v>
      </x:c>
      <x:c r="Q1417" s="13" t="n">
        <x:f>IF(H1417="","",H1417/1000000000)</x:f>
        <x:v>3.45</x:v>
      </x:c>
      <x:c r="R1417" s="13" t="n">
        <x:f>IF(I1417="","",I1417/1000000)</x:f>
        <x:v>84.14634146341464</x:v>
      </x:c>
    </x:row>
    <x:row r="1418" ht="21" customHeight="1">
      <x:c r="A1418" s="10" t="n">
        <x:v>2199</x:v>
      </x:c>
      <x:c r="B1418" s="2" t="str">
        <x:v>8a68c8ca9398bfcd7777</x:v>
      </x:c>
      <x:c r="C1418" s="2" t="str">
        <x:v>Đà Nẵng</x:v>
      </x:c>
      <x:c r="D1418" s="2" t="str">
        <x:v>Quận Thanh Khê</x:v>
      </x:c>
      <x:c r="E1418" s="2" t="str">
        <x:v>house</x:v>
      </x:c>
      <x:c r="F1418" s="2" t="str">
        <x:v>sale</x:v>
      </x:c>
      <x:c r="G1418" s="11" t="n">
        <x:v>55</x:v>
      </x:c>
      <x:c r="H1418" s="12" t="n">
        <x:v>3150000000</x:v>
      </x:c>
      <x:c r="I1418" s="12" t="n">
        <x:v>57272727.27272727</x:v>
      </x:c>
      <x:c r="J1418" s="2" t="str">
        <x:v>total</x:v>
      </x:c>
      <x:c r="K1418" s="2" t="str">
        <x:v>top_level_area</x:v>
      </x:c>
      <x:c r="L1418" s="2" t="str">
        <x:v>property_type_inferred_from_title</x:v>
      </x:c>
      <x:c r="M1418" s="10" t="n">
        <x:v>0</x:v>
      </x:c>
      <x:c r="N1418" s="10" t="n">
        <x:v>0</x:v>
      </x:c>
      <x:c r="O1418" s="2" t="str">
        <x:v>Đà Nẵng|house</x:v>
      </x:c>
      <x:c r="P1418" s="10" t="n">
        <x:v>2</x:v>
      </x:c>
      <x:c r="Q1418" s="13" t="n">
        <x:f>IF(H1418="","",H1418/1000000000)</x:f>
        <x:v>3.15</x:v>
      </x:c>
      <x:c r="R1418" s="13" t="n">
        <x:f>IF(I1418="","",I1418/1000000)</x:f>
        <x:v>57.27272727272727</x:v>
      </x:c>
    </x:row>
    <x:row r="1419" ht="21" customHeight="1">
      <x:c r="A1419" s="10" t="n">
        <x:v>2200</x:v>
      </x:c>
      <x:c r="B1419" s="2" t="str">
        <x:v>586fa9a99bb88958685d</x:v>
      </x:c>
      <x:c r="C1419" s="2" t="str">
        <x:v>Bình Dương</x:v>
      </x:c>
      <x:c r="D1419" s="2" t="str">
        <x:v>Huyện Bàu Bàng</x:v>
      </x:c>
      <x:c r="E1419" s="2" t="str">
        <x:v>other_unknown</x:v>
      </x:c>
      <x:c r="F1419" s="2" t="str">
        <x:v>sale_assumed</x:v>
      </x:c>
      <x:c r="G1419" s="11" t="n">
        <x:v>100</x:v>
      </x:c>
      <x:c r="H1419" s="12" t="n">
        <x:v>450000000</x:v>
      </x:c>
      <x:c r="I1419" s="12" t="n">
        <x:v>4500000</x:v>
      </x:c>
      <x:c r="J1419" s="2" t="str">
        <x:v>total</x:v>
      </x:c>
      <x:c r="K1419" s="2" t="str">
        <x:v>top_level_area</x:v>
      </x:c>
      <x:c r="L1419" s="2" t="str">
        <x:v>property_type_inferred_from_title;transaction_assumed_sale_from_dataset_context;unknown_property_type</x:v>
      </x:c>
      <x:c r="M1419" s="10" t="n">
        <x:v>0</x:v>
      </x:c>
      <x:c r="N1419" s="10" t="n">
        <x:v>0</x:v>
      </x:c>
      <x:c r="O1419" s="2" t="str">
        <x:v>Bình Dương|other_unknown</x:v>
      </x:c>
      <x:c r="P1419" s="10" t="n">
        <x:v>2</x:v>
      </x:c>
      <x:c r="Q1419" s="13" t="n">
        <x:f>IF(H1419="","",H1419/1000000000)</x:f>
        <x:v>0.45</x:v>
      </x:c>
      <x:c r="R1419" s="13" t="n">
        <x:f>IF(I1419="","",I1419/1000000)</x:f>
        <x:v>4.5</x:v>
      </x:c>
    </x:row>
    <x:row r="1420" ht="21" customHeight="1">
      <x:c r="A1420" s="10" t="n">
        <x:v>2203</x:v>
      </x:c>
      <x:c r="B1420" s="2" t="str">
        <x:v>c11c61295afbea17ef22</x:v>
      </x:c>
      <x:c r="C1420" s="2" t="str">
        <x:v>Lâm Đồng</x:v>
      </x:c>
      <x:c r="D1420" s="2" t="str">
        <x:v>Huyện Bảo Lâm</x:v>
      </x:c>
      <x:c r="E1420" s="2" t="str">
        <x:v>house</x:v>
      </x:c>
      <x:c r="F1420" s="2" t="str">
        <x:v>sale_assumed</x:v>
      </x:c>
      <x:c r="G1420" s="11" t="n">
        <x:v>279</x:v>
      </x:c>
      <x:c r="H1420" s="12" t="n">
        <x:v>688000000</x:v>
      </x:c>
      <x:c r="I1420" s="12" t="n">
        <x:v>2465949.8207885306</x:v>
      </x:c>
      <x:c r="J1420" s="2" t="str">
        <x:v>total</x:v>
      </x:c>
      <x:c r="K1420" s="2" t="str">
        <x:v>top_level_area</x:v>
      </x:c>
      <x:c r="L1420" s="2" t="str">
        <x:v>property_type_inferred_from_title;transaction_assumed_sale_from_dataset_context</x:v>
      </x:c>
      <x:c r="M1420" s="10" t="n">
        <x:v>0</x:v>
      </x:c>
      <x:c r="N1420" s="10" t="n">
        <x:v>0</x:v>
      </x:c>
      <x:c r="O1420" s="2" t="str">
        <x:v>house</x:v>
      </x:c>
      <x:c r="P1420" s="10" t="n">
        <x:v>1</x:v>
      </x:c>
      <x:c r="Q1420" s="13" t="n">
        <x:f>IF(H1420="","",H1420/1000000000)</x:f>
        <x:v>0.688</x:v>
      </x:c>
      <x:c r="R1420" s="13" t="n">
        <x:f>IF(I1420="","",I1420/1000000)</x:f>
        <x:v>2.4659498207885306</x:v>
      </x:c>
    </x:row>
    <x:row r="1421" ht="21" customHeight="1">
      <x:c r="A1421" s="10" t="n">
        <x:v>2221</x:v>
      </x:c>
      <x:c r="B1421" s="2" t="str">
        <x:v>7248ce573f326646aabc</x:v>
      </x:c>
      <x:c r="C1421" s="2" t="str">
        <x:v>Tp Hồ Chí Minh</x:v>
      </x:c>
      <x:c r="D1421" s="2" t="str">
        <x:v>Huyện Củ Chi</x:v>
      </x:c>
      <x:c r="E1421" s="2" t="str">
        <x:v>land</x:v>
      </x:c>
      <x:c r="F1421" s="2" t="str">
        <x:v>sale_assumed</x:v>
      </x:c>
      <x:c r="G1421" s="11" t="n">
        <x:v>391</x:v>
      </x:c>
      <x:c r="H1421" s="12" t="n">
        <x:v>3300000000</x:v>
      </x:c>
      <x:c r="I1421" s="12" t="n">
        <x:v>8439897.698209718</x:v>
      </x:c>
      <x:c r="J1421" s="2" t="str">
        <x:v>total</x:v>
      </x:c>
      <x:c r="K1421" s="2" t="str">
        <x:v>top_level_area</x:v>
      </x:c>
      <x:c r="L1421" s="2" t="str">
        <x:v>property_type_inferred_from_title;transaction_assumed_sale_from_dataset_context</x:v>
      </x:c>
      <x:c r="M1421" s="10" t="n">
        <x:v>0</x:v>
      </x:c>
      <x:c r="N1421" s="10" t="n">
        <x:v>0</x:v>
      </x:c>
      <x:c r="O1421" s="2" t="str">
        <x:v>Tp Hồ Chí Minh|land</x:v>
      </x:c>
      <x:c r="P1421" s="10" t="n">
        <x:v>1</x:v>
      </x:c>
      <x:c r="Q1421" s="13" t="n">
        <x:f>IF(H1421="","",H1421/1000000000)</x:f>
        <x:v>3.3</x:v>
      </x:c>
      <x:c r="R1421" s="13" t="n">
        <x:f>IF(I1421="","",I1421/1000000)</x:f>
        <x:v>8.439897698209718</x:v>
      </x:c>
    </x:row>
    <x:row r="1422" ht="21" customHeight="1">
      <x:c r="A1422" s="10" t="n">
        <x:v>2222</x:v>
      </x:c>
      <x:c r="B1422" s="2" t="str">
        <x:v>a643d4d6af2bb316cc46</x:v>
      </x:c>
      <x:c r="C1422" s="2" t="str">
        <x:v>Tp Hồ Chí Minh</x:v>
      </x:c>
      <x:c r="D1422" s="2" t="str">
        <x:v>Huyện Nhà Bè</x:v>
      </x:c>
      <x:c r="E1422" s="2" t="str">
        <x:v>house</x:v>
      </x:c>
      <x:c r="F1422" s="2" t="str">
        <x:v>sale_assumed</x:v>
      </x:c>
      <x:c r="G1422" s="11" t="n">
        <x:v>116</x:v>
      </x:c>
      <x:c r="H1422" s="12" t="n">
        <x:v>4300000000</x:v>
      </x:c>
      <x:c r="I1422" s="12" t="n">
        <x:v>37068965.51724138</x:v>
      </x:c>
      <x:c r="J1422" s="2" t="str">
        <x:v>total</x:v>
      </x:c>
      <x:c r="K1422" s="2" t="str">
        <x:v>top_level_area</x:v>
      </x:c>
      <x:c r="L1422" s="2" t="str">
        <x:v>property_type_inferred_from_title;transaction_assumed_sale_from_dataset_context</x:v>
      </x:c>
      <x:c r="M1422" s="10" t="n">
        <x:v>0</x:v>
      </x:c>
      <x:c r="N1422" s="10" t="n">
        <x:v>0</x:v>
      </x:c>
      <x:c r="O1422" s="2" t="str">
        <x:v>Tp Hồ Chí Minh|house</x:v>
      </x:c>
      <x:c r="P1422" s="10" t="n">
        <x:v>2</x:v>
      </x:c>
      <x:c r="Q1422" s="13" t="n">
        <x:f>IF(H1422="","",H1422/1000000000)</x:f>
        <x:v>4.3</x:v>
      </x:c>
      <x:c r="R1422" s="13" t="n">
        <x:f>IF(I1422="","",I1422/1000000)</x:f>
        <x:v>37.06896551724138</x:v>
      </x:c>
    </x:row>
    <x:row r="1423" ht="21" customHeight="1">
      <x:c r="A1423" s="10" t="n">
        <x:v>2225</x:v>
      </x:c>
      <x:c r="B1423" s="2" t="str">
        <x:v>1895ab5f8be3d90e8ec1</x:v>
      </x:c>
      <x:c r="C1423" s="2" t="str">
        <x:v>Tp Hồ Chí Minh</x:v>
      </x:c>
      <x:c r="D1423" s="2" t="str">
        <x:v>Quận 7</x:v>
      </x:c>
      <x:c r="E1423" s="2" t="str">
        <x:v>house</x:v>
      </x:c>
      <x:c r="F1423" s="2" t="str">
        <x:v>sale</x:v>
      </x:c>
      <x:c r="G1423" s="11" t="n">
        <x:v>32</x:v>
      </x:c>
      <x:c r="H1423" s="12" t="n">
        <x:v>1750000000</x:v>
      </x:c>
      <x:c r="I1423" s="12" t="n">
        <x:v>54687500</x:v>
      </x:c>
      <x:c r="J1423" s="2" t="str">
        <x:v>total</x:v>
      </x:c>
      <x:c r="K1423" s="2" t="str">
        <x:v>top_level_area</x:v>
      </x:c>
      <x:c r="L1423" s="2" t="str">
        <x:v>property_type_inferred_from_title</x:v>
      </x:c>
      <x:c r="M1423" s="10" t="n">
        <x:v>0</x:v>
      </x:c>
      <x:c r="N1423" s="10" t="n">
        <x:v>0</x:v>
      </x:c>
      <x:c r="O1423" s="2" t="str">
        <x:v>Tp Hồ Chí Minh|house</x:v>
      </x:c>
      <x:c r="P1423" s="10" t="n">
        <x:v>2</x:v>
      </x:c>
      <x:c r="Q1423" s="13" t="n">
        <x:f>IF(H1423="","",H1423/1000000000)</x:f>
        <x:v>1.75</x:v>
      </x:c>
      <x:c r="R1423" s="13" t="n">
        <x:f>IF(I1423="","",I1423/1000000)</x:f>
        <x:v>54.6875</x:v>
      </x:c>
    </x:row>
    <x:row r="1424" ht="21" customHeight="1">
      <x:c r="A1424" s="10" t="n">
        <x:v>2226</x:v>
      </x:c>
      <x:c r="B1424" s="2" t="str">
        <x:v>e80a5f5ba00337f92e18</x:v>
      </x:c>
      <x:c r="C1424" s="2" t="str">
        <x:v>Tp Hồ Chí Minh</x:v>
      </x:c>
      <x:c r="D1424" s="2" t="str">
        <x:v>Huyện Nhà Bè</x:v>
      </x:c>
      <x:c r="E1424" s="2" t="str">
        <x:v>house</x:v>
      </x:c>
      <x:c r="F1424" s="2" t="str">
        <x:v>sale_assumed</x:v>
      </x:c>
      <x:c r="G1424" s="11" t="n">
        <x:v>54</x:v>
      </x:c>
      <x:c r="H1424" s="12" t="n">
        <x:v>1170000000</x:v>
      </x:c>
      <x:c r="I1424" s="12" t="n">
        <x:v>21666666.666666668</x:v>
      </x:c>
      <x:c r="J1424" s="2" t="str">
        <x:v>total</x:v>
      </x:c>
      <x:c r="K1424" s="2" t="str">
        <x:v>top_level_area</x:v>
      </x:c>
      <x:c r="L1424" s="2" t="str">
        <x:v>property_type_inferred_from_title;transaction_assumed_sale_from_dataset_context</x:v>
      </x:c>
      <x:c r="M1424" s="10" t="n">
        <x:v>0</x:v>
      </x:c>
      <x:c r="N1424" s="10" t="n">
        <x:v>0</x:v>
      </x:c>
      <x:c r="O1424" s="2" t="str">
        <x:v>Tp Hồ Chí Minh|house</x:v>
      </x:c>
      <x:c r="P1424" s="10" t="n">
        <x:v>2</x:v>
      </x:c>
      <x:c r="Q1424" s="13" t="n">
        <x:f>IF(H1424="","",H1424/1000000000)</x:f>
        <x:v>1.17</x:v>
      </x:c>
      <x:c r="R1424" s="13" t="n">
        <x:f>IF(I1424="","",I1424/1000000)</x:f>
        <x:v>21.666666666666668</x:v>
      </x:c>
    </x:row>
    <x:row r="1425" ht="21" customHeight="1">
      <x:c r="A1425" s="10" t="n">
        <x:v>2227</x:v>
      </x:c>
      <x:c r="B1425" s="2" t="str">
        <x:v>1fd086fa3b9b1215bf5a</x:v>
      </x:c>
      <x:c r="C1425" s="2" t="str">
        <x:v>Đắk Lắk</x:v>
      </x:c>
      <x:c r="D1425" s="2" t="str">
        <x:v>Thành phố Buôn Ma Thuột</x:v>
      </x:c>
      <x:c r="E1425" s="2" t="str">
        <x:v>house</x:v>
      </x:c>
      <x:c r="F1425" s="2" t="str">
        <x:v>sale_assumed</x:v>
      </x:c>
      <x:c r="G1425" s="11" t="n">
        <x:v>140</x:v>
      </x:c>
      <x:c r="H1425" s="12" t="n">
        <x:v>1020000000</x:v>
      </x:c>
      <x:c r="I1425" s="12" t="n">
        <x:v>7285714.285714285</x:v>
      </x:c>
      <x:c r="J1425" s="2" t="str">
        <x:v>total</x:v>
      </x:c>
      <x:c r="K1425" s="2" t="str">
        <x:v>top_level_price_embedded_area</x:v>
      </x:c>
      <x:c r="L1425" s="2" t="str">
        <x:v>area_recovered_from_price_text;property_type_inferred_from_title;transaction_assumed_sale_from_dataset_context</x:v>
      </x:c>
      <x:c r="M1425" s="10" t="n">
        <x:v>0</x:v>
      </x:c>
      <x:c r="N1425" s="10" t="n">
        <x:v>0</x:v>
      </x:c>
      <x:c r="O1425" s="2" t="str">
        <x:v>Đắk Lắk|house</x:v>
      </x:c>
      <x:c r="P1425" s="10" t="n">
        <x:v>2</x:v>
      </x:c>
      <x:c r="Q1425" s="13" t="n">
        <x:f>IF(H1425="","",H1425/1000000000)</x:f>
        <x:v>1.02</x:v>
      </x:c>
      <x:c r="R1425" s="13" t="n">
        <x:f>IF(I1425="","",I1425/1000000)</x:f>
        <x:v>7.285714285714286</x:v>
      </x:c>
    </x:row>
    <x:row r="1426" ht="21" customHeight="1">
      <x:c r="A1426" s="10" t="n">
        <x:v>2228</x:v>
      </x:c>
      <x:c r="B1426" s="2" t="str">
        <x:v>4d4f34a5f381fd7a98e3</x:v>
      </x:c>
      <x:c r="C1426" s="2" t="str">
        <x:v>Tp Hồ Chí Minh</x:v>
      </x:c>
      <x:c r="D1426" s="2" t="str">
        <x:v>Quận 11</x:v>
      </x:c>
      <x:c r="E1426" s="2" t="str">
        <x:v>house</x:v>
      </x:c>
      <x:c r="F1426" s="2" t="str">
        <x:v>sale</x:v>
      </x:c>
      <x:c r="G1426" s="11" t="n">
        <x:v>60</x:v>
      </x:c>
      <x:c r="H1426" s="12" t="n">
        <x:v>998000000</x:v>
      </x:c>
      <x:c r="I1426" s="12" t="n">
        <x:v>16633333.333333334</x:v>
      </x:c>
      <x:c r="J1426" s="2" t="str">
        <x:v>total</x:v>
      </x:c>
      <x:c r="K1426" s="2" t="str">
        <x:v>top_level_area</x:v>
      </x:c>
      <x:c r="L1426" s="2" t="str">
        <x:v>property_type_inferred_from_title</x:v>
      </x:c>
      <x:c r="M1426" s="10" t="n">
        <x:v>0</x:v>
      </x:c>
      <x:c r="N1426" s="10" t="n">
        <x:v>0</x:v>
      </x:c>
      <x:c r="O1426" s="2" t="str">
        <x:v>Tp Hồ Chí Minh|house</x:v>
      </x:c>
      <x:c r="P1426" s="10" t="n">
        <x:v>2</x:v>
      </x:c>
      <x:c r="Q1426" s="13" t="n">
        <x:f>IF(H1426="","",H1426/1000000000)</x:f>
        <x:v>0.998</x:v>
      </x:c>
      <x:c r="R1426" s="13" t="n">
        <x:f>IF(I1426="","",I1426/1000000)</x:f>
        <x:v>16.633333333333333</x:v>
      </x:c>
    </x:row>
    <x:row r="1427" ht="21" customHeight="1">
      <x:c r="A1427" s="10" t="n">
        <x:v>2229</x:v>
      </x:c>
      <x:c r="B1427" s="2" t="str">
        <x:v>63b5d155ba0c234c3b99</x:v>
      </x:c>
      <x:c r="C1427" s="2" t="str">
        <x:v>Long An</x:v>
      </x:c>
      <x:c r="D1427" s="2" t="str">
        <x:v>Huyện Cần Giuộc</x:v>
      </x:c>
      <x:c r="E1427" s="2" t="str">
        <x:v>land</x:v>
      </x:c>
      <x:c r="F1427" s="2" t="str">
        <x:v>sale</x:v>
      </x:c>
      <x:c r="G1427" s="11" t="n">
        <x:v>104</x:v>
      </x:c>
      <x:c r="H1427" s="12" t="n">
        <x:v>1120000000</x:v>
      </x:c>
      <x:c r="I1427" s="12" t="n">
        <x:v>10769230.76923077</x:v>
      </x:c>
      <x:c r="J1427" s="2" t="str">
        <x:v>total</x:v>
      </x:c>
      <x:c r="K1427" s="2" t="str">
        <x:v>top_level_area</x:v>
      </x:c>
      <x:c r="L1427" s="2" t="str">
        <x:v>property_type_inferred_from_title</x:v>
      </x:c>
      <x:c r="M1427" s="10" t="n">
        <x:v>0</x:v>
      </x:c>
      <x:c r="N1427" s="10" t="n">
        <x:v>0</x:v>
      </x:c>
      <x:c r="O1427" s="2" t="str">
        <x:v>Long An|land</x:v>
      </x:c>
      <x:c r="P1427" s="10" t="n">
        <x:v>2</x:v>
      </x:c>
      <x:c r="Q1427" s="13" t="n">
        <x:f>IF(H1427="","",H1427/1000000000)</x:f>
        <x:v>1.12</x:v>
      </x:c>
      <x:c r="R1427" s="13" t="n">
        <x:f>IF(I1427="","",I1427/1000000)</x:f>
        <x:v>10.76923076923077</x:v>
      </x:c>
    </x:row>
    <x:row r="1428" ht="21" customHeight="1">
      <x:c r="A1428" s="10" t="n">
        <x:v>2230</x:v>
      </x:c>
      <x:c r="B1428" s="2" t="str">
        <x:v>11997c437b97a5dfb546</x:v>
      </x:c>
      <x:c r="C1428" s="2" t="str">
        <x:v>Long An</x:v>
      </x:c>
      <x:c r="D1428" s="2" t="str">
        <x:v>Huyện Đức Hòa</x:v>
      </x:c>
      <x:c r="E1428" s="2" t="str">
        <x:v>land</x:v>
      </x:c>
      <x:c r="F1428" s="2" t="str">
        <x:v>sale_assumed</x:v>
      </x:c>
      <x:c r="G1428" s="11" t="n">
        <x:v>55</x:v>
      </x:c>
      <x:c r="H1428" s="12" t="n">
        <x:v>190000000</x:v>
      </x:c>
      <x:c r="I1428" s="12" t="n">
        <x:v>3454545.4545454546</x:v>
      </x:c>
      <x:c r="J1428" s="2" t="str">
        <x:v>total</x:v>
      </x:c>
      <x:c r="K1428" s="2" t="str">
        <x:v>top_level_area</x:v>
      </x:c>
      <x:c r="L1428" s="2" t="str">
        <x:v>property_type_inferred_from_title;transaction_assumed_sale_from_dataset_context</x:v>
      </x:c>
      <x:c r="M1428" s="10" t="n">
        <x:v>0</x:v>
      </x:c>
      <x:c r="N1428" s="10" t="n">
        <x:v>0</x:v>
      </x:c>
      <x:c r="O1428" s="2" t="str">
        <x:v>Long An|land</x:v>
      </x:c>
      <x:c r="P1428" s="10" t="n">
        <x:v>2</x:v>
      </x:c>
      <x:c r="Q1428" s="13" t="n">
        <x:f>IF(H1428="","",H1428/1000000000)</x:f>
        <x:v>0.19</x:v>
      </x:c>
      <x:c r="R1428" s="13" t="n">
        <x:f>IF(I1428="","",I1428/1000000)</x:f>
        <x:v>3.4545454545454546</x:v>
      </x:c>
    </x:row>
    <x:row r="1429" ht="21" customHeight="1">
      <x:c r="A1429" s="10" t="n">
        <x:v>2231</x:v>
      </x:c>
      <x:c r="B1429" s="2" t="str">
        <x:v>0d6da59a572905a09e0e</x:v>
      </x:c>
      <x:c r="C1429" s="2" t="str">
        <x:v>Tp Hồ Chí Minh</x:v>
      </x:c>
      <x:c r="D1429" s="2" t="str">
        <x:v>Quận Thủ Đức</x:v>
      </x:c>
      <x:c r="E1429" s="2" t="str">
        <x:v>house</x:v>
      </x:c>
      <x:c r="F1429" s="2" t="str">
        <x:v>sale</x:v>
      </x:c>
      <x:c r="G1429" s="11" t="n">
        <x:v>47</x:v>
      </x:c>
      <x:c r="H1429" s="12" t="n">
        <x:v>3350000000</x:v>
      </x:c>
      <x:c r="I1429" s="12" t="n">
        <x:v>71276595.74468085</x:v>
      </x:c>
      <x:c r="J1429" s="2" t="str">
        <x:v>total</x:v>
      </x:c>
      <x:c r="K1429" s="2" t="str">
        <x:v>top_level_area</x:v>
      </x:c>
      <x:c r="L1429" s="2" t="str">
        <x:v>property_type_inferred_from_title</x:v>
      </x:c>
      <x:c r="M1429" s="10" t="n">
        <x:v>0</x:v>
      </x:c>
      <x:c r="N1429" s="10" t="n">
        <x:v>0</x:v>
      </x:c>
      <x:c r="O1429" s="2" t="str">
        <x:v>Tp Hồ Chí Minh|house</x:v>
      </x:c>
      <x:c r="P1429" s="10" t="n">
        <x:v>2</x:v>
      </x:c>
      <x:c r="Q1429" s="13" t="n">
        <x:f>IF(H1429="","",H1429/1000000000)</x:f>
        <x:v>3.35</x:v>
      </x:c>
      <x:c r="R1429" s="13" t="n">
        <x:f>IF(I1429="","",I1429/1000000)</x:f>
        <x:v>71.27659574468085</x:v>
      </x:c>
    </x:row>
    <x:row r="1430" ht="21" customHeight="1">
      <x:c r="A1430" s="10" t="n">
        <x:v>2232</x:v>
      </x:c>
      <x:c r="B1430" s="2" t="str">
        <x:v>ea34124c2c452f9c276a</x:v>
      </x:c>
      <x:c r="C1430" s="2" t="str">
        <x:v>Cần Thơ</x:v>
      </x:c>
      <x:c r="D1430" s="2" t="str">
        <x:v>Quận Ninh Kiều</x:v>
      </x:c>
      <x:c r="E1430" s="2" t="str">
        <x:v>house</x:v>
      </x:c>
      <x:c r="F1430" s="2" t="str">
        <x:v>sale</x:v>
      </x:c>
      <x:c r="G1430" s="11" t="n">
        <x:v>18</x:v>
      </x:c>
      <x:c r="H1430" s="12" t="n">
        <x:v>360000000</x:v>
      </x:c>
      <x:c r="I1430" s="12" t="n">
        <x:v>20000000</x:v>
      </x:c>
      <x:c r="J1430" s="2" t="str">
        <x:v>total</x:v>
      </x:c>
      <x:c r="K1430" s="2" t="str">
        <x:v>top_level_area</x:v>
      </x:c>
      <x:c r="L1430" s="2" t="str">
        <x:v>property_type_inferred_from_title</x:v>
      </x:c>
      <x:c r="M1430" s="10" t="n">
        <x:v>0</x:v>
      </x:c>
      <x:c r="N1430" s="10" t="n">
        <x:v>0</x:v>
      </x:c>
      <x:c r="O1430" s="2" t="str">
        <x:v>Cần Thơ|house</x:v>
      </x:c>
      <x:c r="P1430" s="10" t="n">
        <x:v>2</x:v>
      </x:c>
      <x:c r="Q1430" s="13" t="n">
        <x:f>IF(H1430="","",H1430/1000000000)</x:f>
        <x:v>0.36</x:v>
      </x:c>
      <x:c r="R1430" s="13" t="n">
        <x:f>IF(I1430="","",I1430/1000000)</x:f>
        <x:v>20</x:v>
      </x:c>
    </x:row>
    <x:row r="1431" ht="21" customHeight="1">
      <x:c r="A1431" s="10" t="n">
        <x:v>2233</x:v>
      </x:c>
      <x:c r="B1431" s="2" t="str">
        <x:v>15747101ca33d8722fd9</x:v>
      </x:c>
      <x:c r="C1431" s="2" t="str">
        <x:v>Hà Nội</x:v>
      </x:c>
      <x:c r="D1431" s="2" t="str">
        <x:v>Huyện Thanh Trì</x:v>
      </x:c>
      <x:c r="E1431" s="2" t="str">
        <x:v>house</x:v>
      </x:c>
      <x:c r="F1431" s="2" t="str">
        <x:v>sale_assumed</x:v>
      </x:c>
      <x:c r="G1431" s="11" t="n">
        <x:v>45</x:v>
      </x:c>
      <x:c r="H1431" s="12" t="n">
        <x:v>2850000000</x:v>
      </x:c>
      <x:c r="I1431" s="12" t="n">
        <x:v>63333333.333333336</x:v>
      </x:c>
      <x:c r="J1431" s="2" t="str">
        <x:v>total</x:v>
      </x:c>
      <x:c r="K1431" s="2" t="str">
        <x:v>top_level_area</x:v>
      </x:c>
      <x:c r="L1431" s="2" t="str">
        <x:v>property_type_inferred_from_title;transaction_assumed_sale_from_dataset_context</x:v>
      </x:c>
      <x:c r="M1431" s="10" t="n">
        <x:v>0</x:v>
      </x:c>
      <x:c r="N1431" s="10" t="n">
        <x:v>0</x:v>
      </x:c>
      <x:c r="O1431" s="2" t="str">
        <x:v>Hà Nội|house</x:v>
      </x:c>
      <x:c r="P1431" s="10" t="n">
        <x:v>2</x:v>
      </x:c>
      <x:c r="Q1431" s="13" t="n">
        <x:f>IF(H1431="","",H1431/1000000000)</x:f>
        <x:v>2.85</x:v>
      </x:c>
      <x:c r="R1431" s="13" t="n">
        <x:f>IF(I1431="","",I1431/1000000)</x:f>
        <x:v>63.333333333333336</x:v>
      </x:c>
    </x:row>
    <x:row r="1432" ht="21" customHeight="1">
      <x:c r="A1432" s="10" t="n">
        <x:v>2234</x:v>
      </x:c>
      <x:c r="B1432" s="2" t="str">
        <x:v>82ee252468b2ca184985</x:v>
      </x:c>
      <x:c r="C1432" s="2" t="str">
        <x:v>Tp Hồ Chí Minh</x:v>
      </x:c>
      <x:c r="D1432" s="2" t="str">
        <x:v>Quận Bình Thạnh</x:v>
      </x:c>
      <x:c r="E1432" s="2" t="str">
        <x:v>other_unknown</x:v>
      </x:c>
      <x:c r="F1432" s="2" t="str">
        <x:v>sale</x:v>
      </x:c>
      <x:c r="G1432" s="11" t="n">
        <x:v>66</x:v>
      </x:c>
      <x:c r="H1432" s="12" t="n">
        <x:v>1420000000</x:v>
      </x:c>
      <x:c r="I1432" s="12" t="n">
        <x:v>21515151.515151516</x:v>
      </x:c>
      <x:c r="J1432" s="2" t="str">
        <x:v>total</x:v>
      </x:c>
      <x:c r="K1432" s="2" t="str">
        <x:v>top_level_area</x:v>
      </x:c>
      <x:c r="L1432" s="2" t="str">
        <x:v>property_type_inferred_from_title;unknown_property_type</x:v>
      </x:c>
      <x:c r="M1432" s="10" t="n">
        <x:v>0</x:v>
      </x:c>
      <x:c r="N1432" s="10" t="n">
        <x:v>0</x:v>
      </x:c>
      <x:c r="O1432" s="2" t="str">
        <x:v>Tp Hồ Chí Minh|other_unknown</x:v>
      </x:c>
      <x:c r="P1432" s="10" t="n">
        <x:v>2</x:v>
      </x:c>
      <x:c r="Q1432" s="13" t="n">
        <x:f>IF(H1432="","",H1432/1000000000)</x:f>
        <x:v>1.42</x:v>
      </x:c>
      <x:c r="R1432" s="13" t="n">
        <x:f>IF(I1432="","",I1432/1000000)</x:f>
        <x:v>21.515151515151516</x:v>
      </x:c>
    </x:row>
    <x:row r="1433" ht="21" customHeight="1">
      <x:c r="A1433" s="10" t="n">
        <x:v>2235</x:v>
      </x:c>
      <x:c r="B1433" s="2" t="str">
        <x:v>bcb46da08a4ead0afd6b</x:v>
      </x:c>
      <x:c r="C1433" s="2" t="str">
        <x:v>Hà Nội</x:v>
      </x:c>
      <x:c r="D1433" s="2" t="str">
        <x:v>Quận Đống Đa</x:v>
      </x:c>
      <x:c r="E1433" s="2" t="str">
        <x:v>other_unknown</x:v>
      </x:c>
      <x:c r="F1433" s="2" t="str">
        <x:v>sale_assumed</x:v>
      </x:c>
      <x:c r="G1433" s="11" t="n">
        <x:v>32</x:v>
      </x:c>
      <x:c r="H1433" s="12" t="n">
        <x:v>2750000000</x:v>
      </x:c>
      <x:c r="I1433" s="12" t="n">
        <x:v>85937500</x:v>
      </x:c>
      <x:c r="J1433" s="2" t="str">
        <x:v>total</x:v>
      </x:c>
      <x:c r="K1433" s="2" t="str">
        <x:v>top_level_area</x:v>
      </x:c>
      <x:c r="L1433" s="2" t="str">
        <x:v>property_type_inferred_from_title;transaction_assumed_sale_from_dataset_context;unknown_property_type</x:v>
      </x:c>
      <x:c r="M1433" s="10" t="n">
        <x:v>0</x:v>
      </x:c>
      <x:c r="N1433" s="10" t="n">
        <x:v>0</x:v>
      </x:c>
      <x:c r="O1433" s="2" t="str">
        <x:v>Hà Nội|other_unknown</x:v>
      </x:c>
      <x:c r="P1433" s="10" t="n">
        <x:v>2</x:v>
      </x:c>
      <x:c r="Q1433" s="13" t="n">
        <x:f>IF(H1433="","",H1433/1000000000)</x:f>
        <x:v>2.75</x:v>
      </x:c>
      <x:c r="R1433" s="13" t="n">
        <x:f>IF(I1433="","",I1433/1000000)</x:f>
        <x:v>85.9375</x:v>
      </x:c>
    </x:row>
    <x:row r="1434" ht="21" customHeight="1">
      <x:c r="A1434" s="10" t="n">
        <x:v>2236</x:v>
      </x:c>
      <x:c r="B1434" s="2" t="str">
        <x:v>a240d9648c02f22f7fa3</x:v>
      </x:c>
      <x:c r="C1434" s="2" t="str">
        <x:v>Tp Hồ Chí Minh</x:v>
      </x:c>
      <x:c r="D1434" s="2" t="str">
        <x:v>Quận Thủ Đức</x:v>
      </x:c>
      <x:c r="E1434" s="2" t="str">
        <x:v>house</x:v>
      </x:c>
      <x:c r="F1434" s="2" t="str">
        <x:v>sale</x:v>
      </x:c>
      <x:c r="G1434" s="11" t="n">
        <x:v>76</x:v>
      </x:c>
      <x:c r="H1434" s="12" t="n">
        <x:v>5100000000</x:v>
      </x:c>
      <x:c r="I1434" s="12" t="n">
        <x:v>67105263.15789474</x:v>
      </x:c>
      <x:c r="J1434" s="2" t="str">
        <x:v>total</x:v>
      </x:c>
      <x:c r="K1434" s="2" t="str">
        <x:v>top_level_area</x:v>
      </x:c>
      <x:c r="L1434" s="2" t="str">
        <x:v>property_type_inferred_from_title</x:v>
      </x:c>
      <x:c r="M1434" s="10" t="n">
        <x:v>0</x:v>
      </x:c>
      <x:c r="N1434" s="10" t="n">
        <x:v>0</x:v>
      </x:c>
      <x:c r="O1434" s="2" t="str">
        <x:v>Tp Hồ Chí Minh|house</x:v>
      </x:c>
      <x:c r="P1434" s="10" t="n">
        <x:v>2</x:v>
      </x:c>
      <x:c r="Q1434" s="13" t="n">
        <x:f>IF(H1434="","",H1434/1000000000)</x:f>
        <x:v>5.1</x:v>
      </x:c>
      <x:c r="R1434" s="13" t="n">
        <x:f>IF(I1434="","",I1434/1000000)</x:f>
        <x:v>67.10526315789474</x:v>
      </x:c>
    </x:row>
    <x:row r="1435" ht="21" customHeight="1">
      <x:c r="A1435" s="10" t="n">
        <x:v>2237</x:v>
      </x:c>
      <x:c r="B1435" s="2" t="str">
        <x:v>9f772bfaf8de552981f4</x:v>
      </x:c>
      <x:c r="C1435" s="2" t="str">
        <x:v>Tp Hồ Chí Minh</x:v>
      </x:c>
      <x:c r="D1435" s="2" t="str">
        <x:v>Quận Thủ Đức</x:v>
      </x:c>
      <x:c r="E1435" s="2" t="str">
        <x:v>house</x:v>
      </x:c>
      <x:c r="F1435" s="2" t="str">
        <x:v>sale_assumed</x:v>
      </x:c>
      <x:c r="G1435" s="11" t="n">
        <x:v>101</x:v>
      </x:c>
      <x:c r="H1435" s="12" t="n">
        <x:v>15000000000</x:v>
      </x:c>
      <x:c r="I1435" s="12" t="n">
        <x:v>148514851.48514852</x:v>
      </x:c>
      <x:c r="J1435" s="2" t="str">
        <x:v>total</x:v>
      </x:c>
      <x:c r="K1435" s="2" t="str">
        <x:v>top_level_area</x:v>
      </x:c>
      <x:c r="L1435" s="2" t="str">
        <x:v>property_type_inferred_from_title;transaction_assumed_sale_from_dataset_context</x:v>
      </x:c>
      <x:c r="M1435" s="10" t="n">
        <x:v>0</x:v>
      </x:c>
      <x:c r="N1435" s="10" t="n">
        <x:v>0</x:v>
      </x:c>
      <x:c r="O1435" s="2" t="str">
        <x:v>Tp Hồ Chí Minh|house</x:v>
      </x:c>
      <x:c r="P1435" s="10" t="n">
        <x:v>2</x:v>
      </x:c>
      <x:c r="Q1435" s="13" t="n">
        <x:f>IF(H1435="","",H1435/1000000000)</x:f>
        <x:v>15</x:v>
      </x:c>
      <x:c r="R1435" s="13" t="n">
        <x:f>IF(I1435="","",I1435/1000000)</x:f>
        <x:v>148.5148514851485</x:v>
      </x:c>
    </x:row>
    <x:row r="1436" ht="21" customHeight="1">
      <x:c r="A1436" s="10" t="n">
        <x:v>2238</x:v>
      </x:c>
      <x:c r="B1436" s="2" t="str">
        <x:v>c216cd4010b20a0e7e55</x:v>
      </x:c>
      <x:c r="C1436" s="2" t="str">
        <x:v>Tp Hồ Chí Minh</x:v>
      </x:c>
      <x:c r="D1436" s="2" t="str">
        <x:v>Quận Bình Thạnh</x:v>
      </x:c>
      <x:c r="E1436" s="2" t="str">
        <x:v>house</x:v>
      </x:c>
      <x:c r="F1436" s="2" t="str">
        <x:v>sale_assumed</x:v>
      </x:c>
      <x:c r="G1436" s="11" t="n">
        <x:v>21.8</x:v>
      </x:c>
      <x:c r="H1436" s="12" t="n">
        <x:v>2980000000</x:v>
      </x:c>
      <x:c r="I1436" s="12" t="n">
        <x:v>136697247.706422</x:v>
      </x:c>
      <x:c r="J1436" s="2" t="str">
        <x:v>total</x:v>
      </x:c>
      <x:c r="K1436" s="2" t="str">
        <x:v>top_level_area</x:v>
      </x:c>
      <x:c r="L1436" s="2" t="str">
        <x:v>property_type_inferred_from_title;transaction_assumed_sale_from_dataset_context</x:v>
      </x:c>
      <x:c r="M1436" s="10" t="n">
        <x:v>0</x:v>
      </x:c>
      <x:c r="N1436" s="10" t="n">
        <x:v>0</x:v>
      </x:c>
      <x:c r="O1436" s="2" t="str">
        <x:v>Tp Hồ Chí Minh|house</x:v>
      </x:c>
      <x:c r="P1436" s="10" t="n">
        <x:v>2</x:v>
      </x:c>
      <x:c r="Q1436" s="13" t="n">
        <x:f>IF(H1436="","",H1436/1000000000)</x:f>
        <x:v>2.98</x:v>
      </x:c>
      <x:c r="R1436" s="13" t="n">
        <x:f>IF(I1436="","",I1436/1000000)</x:f>
        <x:v>136.697247706422</x:v>
      </x:c>
    </x:row>
    <x:row r="1437" ht="21" customHeight="1">
      <x:c r="A1437" s="10" t="n">
        <x:v>2239</x:v>
      </x:c>
      <x:c r="B1437" s="2" t="str">
        <x:v>3494c360b6ce3bef7348</x:v>
      </x:c>
      <x:c r="C1437" s="2" t="str">
        <x:v>Tp Hồ Chí Minh</x:v>
      </x:c>
      <x:c r="D1437" s="2" t="str">
        <x:v>Quận 4</x:v>
      </x:c>
      <x:c r="E1437" s="2" t="str">
        <x:v>other_unknown</x:v>
      </x:c>
      <x:c r="F1437" s="2" t="str">
        <x:v>sale_assumed</x:v>
      </x:c>
      <x:c r="G1437" s="11" t="n">
        <x:v>40</x:v>
      </x:c>
      <x:c r="H1437" s="12" t="n">
        <x:v>3400000000</x:v>
      </x:c>
      <x:c r="I1437" s="12" t="n">
        <x:v>85000000</x:v>
      </x:c>
      <x:c r="J1437" s="2" t="str">
        <x:v>total</x:v>
      </x:c>
      <x:c r="K1437" s="2" t="str">
        <x:v>top_level_area</x:v>
      </x:c>
      <x:c r="L1437" s="2" t="str">
        <x:v>property_type_inferred_from_title;transaction_assumed_sale_from_dataset_context;unknown_property_type</x:v>
      </x:c>
      <x:c r="M1437" s="10" t="n">
        <x:v>0</x:v>
      </x:c>
      <x:c r="N1437" s="10" t="n">
        <x:v>0</x:v>
      </x:c>
      <x:c r="O1437" s="2" t="str">
        <x:v>Tp Hồ Chí Minh|other_unknown</x:v>
      </x:c>
      <x:c r="P1437" s="10" t="n">
        <x:v>2</x:v>
      </x:c>
      <x:c r="Q1437" s="13" t="n">
        <x:f>IF(H1437="","",H1437/1000000000)</x:f>
        <x:v>3.4</x:v>
      </x:c>
      <x:c r="R1437" s="13" t="n">
        <x:f>IF(I1437="","",I1437/1000000)</x:f>
        <x:v>85</x:v>
      </x:c>
    </x:row>
    <x:row r="1438" ht="21" customHeight="1">
      <x:c r="A1438" s="10" t="n">
        <x:v>2240</x:v>
      </x:c>
      <x:c r="B1438" s="2" t="str">
        <x:v>a9602122256651c8d9d4</x:v>
      </x:c>
      <x:c r="C1438" s="2" t="str">
        <x:v>Tp Hồ Chí Minh</x:v>
      </x:c>
      <x:c r="D1438" s="2" t="str">
        <x:v>Quận 1</x:v>
      </x:c>
      <x:c r="E1438" s="2" t="str">
        <x:v>house</x:v>
      </x:c>
      <x:c r="F1438" s="2" t="str">
        <x:v>sale</x:v>
      </x:c>
      <x:c r="G1438" s="11" t="n">
        <x:v>48</x:v>
      </x:c>
      <x:c r="H1438" s="12" t="n">
        <x:v>12500000000</x:v>
      </x:c>
      <x:c r="I1438" s="12" t="n">
        <x:v>260416666.66666666</x:v>
      </x:c>
      <x:c r="J1438" s="2" t="str">
        <x:v>total</x:v>
      </x:c>
      <x:c r="K1438" s="2" t="str">
        <x:v>top_level_area</x:v>
      </x:c>
      <x:c r="L1438" s="2" t="str">
        <x:v>property_type_inferred_from_title</x:v>
      </x:c>
      <x:c r="M1438" s="10" t="n">
        <x:v>1</x:v>
      </x:c>
      <x:c r="N1438" s="10" t="n">
        <x:v>1</x:v>
      </x:c>
      <x:c r="O1438" s="2" t="str">
        <x:v>Tp Hồ Chí Minh|house</x:v>
      </x:c>
      <x:c r="P1438" s="10" t="n">
        <x:v>-1</x:v>
      </x:c>
      <x:c r="Q1438" s="13" t="n">
        <x:f>IF(H1438="","",H1438/1000000000)</x:f>
        <x:v>12.5</x:v>
      </x:c>
      <x:c r="R1438" s="13" t="n">
        <x:f>IF(I1438="","",I1438/1000000)</x:f>
        <x:v>260.41666666666663</x:v>
      </x:c>
    </x:row>
    <x:row r="1439" ht="21" customHeight="1">
      <x:c r="A1439" s="10" t="n">
        <x:v>2241</x:v>
      </x:c>
      <x:c r="B1439" s="2" t="str">
        <x:v>9b9d12e348a129d259da</x:v>
      </x:c>
      <x:c r="C1439" s="2" t="str">
        <x:v>Cần Thơ</x:v>
      </x:c>
      <x:c r="D1439" s="2" t="str">
        <x:v>Quận Bình Thuỷ</x:v>
      </x:c>
      <x:c r="E1439" s="2" t="str">
        <x:v>land</x:v>
      </x:c>
      <x:c r="F1439" s="2" t="str">
        <x:v>sale</x:v>
      </x:c>
      <x:c r="G1439" s="11" t="n">
        <x:v>80</x:v>
      </x:c>
      <x:c r="H1439" s="12" t="n">
        <x:v>2049999999.9999998</x:v>
      </x:c>
      <x:c r="I1439" s="12" t="n">
        <x:v>25624999.999999996</x:v>
      </x:c>
      <x:c r="J1439" s="2" t="str">
        <x:v>total</x:v>
      </x:c>
      <x:c r="K1439" s="2" t="str">
        <x:v>top_level_area</x:v>
      </x:c>
      <x:c r="L1439" s="2" t="str">
        <x:v>property_type_inferred_from_title</x:v>
      </x:c>
      <x:c r="M1439" s="10" t="n">
        <x:v>0</x:v>
      </x:c>
      <x:c r="N1439" s="10" t="n">
        <x:v>0</x:v>
      </x:c>
      <x:c r="O1439" s="2" t="str">
        <x:v>Cần Thơ|land</x:v>
      </x:c>
      <x:c r="P1439" s="10" t="n">
        <x:v>2</x:v>
      </x:c>
      <x:c r="Q1439" s="13" t="n">
        <x:f>IF(H1439="","",H1439/1000000000)</x:f>
        <x:v>2.05</x:v>
      </x:c>
      <x:c r="R1439" s="13" t="n">
        <x:f>IF(I1439="","",I1439/1000000)</x:f>
        <x:v>25.624999999999996</x:v>
      </x:c>
    </x:row>
    <x:row r="1440" ht="21" customHeight="1">
      <x:c r="A1440" s="10" t="n">
        <x:v>2242</x:v>
      </x:c>
      <x:c r="B1440" s="2" t="str">
        <x:v>5330e31f0af8c5bb19bc</x:v>
      </x:c>
      <x:c r="C1440" s="2" t="str">
        <x:v>Tp Hồ Chí Minh</x:v>
      </x:c>
      <x:c r="D1440" s="2" t="str">
        <x:v>Quận Gò Vấp</x:v>
      </x:c>
      <x:c r="E1440" s="2" t="str">
        <x:v>house</x:v>
      </x:c>
      <x:c r="F1440" s="2" t="str">
        <x:v>sale_assumed</x:v>
      </x:c>
      <x:c r="G1440" s="11" t="n">
        <x:v>28</x:v>
      </x:c>
      <x:c r="H1440" s="12" t="n">
        <x:v>3980000000</x:v>
      </x:c>
      <x:c r="I1440" s="12" t="n">
        <x:v>142142857.14285713</x:v>
      </x:c>
      <x:c r="J1440" s="2" t="str">
        <x:v>total</x:v>
      </x:c>
      <x:c r="K1440" s="2" t="str">
        <x:v>top_level_area</x:v>
      </x:c>
      <x:c r="L1440" s="2" t="str">
        <x:v>property_type_inferred_from_title;transaction_assumed_sale_from_dataset_context</x:v>
      </x:c>
      <x:c r="M1440" s="10" t="n">
        <x:v>0</x:v>
      </x:c>
      <x:c r="N1440" s="10" t="n">
        <x:v>0</x:v>
      </x:c>
      <x:c r="O1440" s="2" t="str">
        <x:v>Tp Hồ Chí Minh|house</x:v>
      </x:c>
      <x:c r="P1440" s="10" t="n">
        <x:v>2</x:v>
      </x:c>
      <x:c r="Q1440" s="13" t="n">
        <x:f>IF(H1440="","",H1440/1000000000)</x:f>
        <x:v>3.98</x:v>
      </x:c>
      <x:c r="R1440" s="13" t="n">
        <x:f>IF(I1440="","",I1440/1000000)</x:f>
        <x:v>142.14285714285714</x:v>
      </x:c>
    </x:row>
    <x:row r="1441" ht="21" customHeight="1">
      <x:c r="A1441" s="10" t="n">
        <x:v>2243</x:v>
      </x:c>
      <x:c r="B1441" s="2" t="str">
        <x:v>9c36df86ab429723b5d2</x:v>
      </x:c>
      <x:c r="C1441" s="2" t="str">
        <x:v>Tp Hồ Chí Minh</x:v>
      </x:c>
      <x:c r="D1441" s="2" t="str">
        <x:v>Quận Tân Phú</x:v>
      </x:c>
      <x:c r="E1441" s="2" t="str">
        <x:v>house</x:v>
      </x:c>
      <x:c r="F1441" s="2" t="str">
        <x:v>sale</x:v>
      </x:c>
      <x:c r="G1441" s="11" t="n">
        <x:v>36</x:v>
      </x:c>
      <x:c r="H1441" s="12" t="n">
        <x:v>2650000000</x:v>
      </x:c>
      <x:c r="I1441" s="12" t="n">
        <x:v>73611111.1111111</x:v>
      </x:c>
      <x:c r="J1441" s="2" t="str">
        <x:v>total</x:v>
      </x:c>
      <x:c r="K1441" s="2" t="str">
        <x:v>top_level_area</x:v>
      </x:c>
      <x:c r="L1441" s="2" t="str">
        <x:v>property_type_inferred_from_title</x:v>
      </x:c>
      <x:c r="M1441" s="10" t="n">
        <x:v>0</x:v>
      </x:c>
      <x:c r="N1441" s="10" t="n">
        <x:v>0</x:v>
      </x:c>
      <x:c r="O1441" s="2" t="str">
        <x:v>Tp Hồ Chí Minh|house</x:v>
      </x:c>
      <x:c r="P1441" s="10" t="n">
        <x:v>2</x:v>
      </x:c>
      <x:c r="Q1441" s="13" t="n">
        <x:f>IF(H1441="","",H1441/1000000000)</x:f>
        <x:v>2.65</x:v>
      </x:c>
      <x:c r="R1441" s="13" t="n">
        <x:f>IF(I1441="","",I1441/1000000)</x:f>
        <x:v>73.6111111111111</x:v>
      </x:c>
    </x:row>
    <x:row r="1442" ht="21" customHeight="1">
      <x:c r="A1442" s="10" t="n">
        <x:v>2244</x:v>
      </x:c>
      <x:c r="B1442" s="2" t="str">
        <x:v>d4cc69b35d4c2b3a9ef3</x:v>
      </x:c>
      <x:c r="C1442" s="2" t="str">
        <x:v>Tp Hồ Chí Minh</x:v>
      </x:c>
      <x:c r="D1442" s="2" t="str">
        <x:v>Huyện Nhà Bè</x:v>
      </x:c>
      <x:c r="E1442" s="2" t="str">
        <x:v>land</x:v>
      </x:c>
      <x:c r="F1442" s="2" t="str">
        <x:v>sale_assumed</x:v>
      </x:c>
      <x:c r="G1442" s="11" t="n">
        <x:v>130</x:v>
      </x:c>
      <x:c r="H1442" s="12" t="n">
        <x:v>2370000000</x:v>
      </x:c>
      <x:c r="I1442" s="12" t="n">
        <x:v>18230769.230769232</x:v>
      </x:c>
      <x:c r="J1442" s="2" t="str">
        <x:v>total</x:v>
      </x:c>
      <x:c r="K1442" s="2" t="str">
        <x:v>top_level_area</x:v>
      </x:c>
      <x:c r="L1442" s="2" t="str">
        <x:v>property_type_inferred_from_title;transaction_assumed_sale_from_dataset_context</x:v>
      </x:c>
      <x:c r="M1442" s="10" t="n">
        <x:v>0</x:v>
      </x:c>
      <x:c r="N1442" s="10" t="n">
        <x:v>0</x:v>
      </x:c>
      <x:c r="O1442" s="2" t="str">
        <x:v>Tp Hồ Chí Minh|land</x:v>
      </x:c>
      <x:c r="P1442" s="10" t="n">
        <x:v>2</x:v>
      </x:c>
      <x:c r="Q1442" s="13" t="n">
        <x:f>IF(H1442="","",H1442/1000000000)</x:f>
        <x:v>2.37</x:v>
      </x:c>
      <x:c r="R1442" s="13" t="n">
        <x:f>IF(I1442="","",I1442/1000000)</x:f>
        <x:v>18.230769230769234</x:v>
      </x:c>
    </x:row>
    <x:row r="1443" ht="21" customHeight="1">
      <x:c r="A1443" s="10" t="n">
        <x:v>2245</x:v>
      </x:c>
      <x:c r="B1443" s="2" t="str">
        <x:v>7608e185d3abc5ecceb3</x:v>
      </x:c>
      <x:c r="C1443" s="2" t="str">
        <x:v>Tp Hồ Chí Minh</x:v>
      </x:c>
      <x:c r="D1443" s="2" t="str">
        <x:v>Huyện Bình Chánh</x:v>
      </x:c>
      <x:c r="E1443" s="2" t="str">
        <x:v>house</x:v>
      </x:c>
      <x:c r="F1443" s="2" t="str">
        <x:v>sale_assumed</x:v>
      </x:c>
      <x:c r="G1443" s="11" t="n">
        <x:v>102</x:v>
      </x:c>
      <x:c r="H1443" s="12" t="n">
        <x:v>1600000000</x:v>
      </x:c>
      <x:c r="I1443" s="12" t="n">
        <x:v>15686274.509803921</x:v>
      </x:c>
      <x:c r="J1443" s="2" t="str">
        <x:v>total</x:v>
      </x:c>
      <x:c r="K1443" s="2" t="str">
        <x:v>top_level_area</x:v>
      </x:c>
      <x:c r="L1443" s="2" t="str">
        <x:v>property_type_inferred_from_title;transaction_assumed_sale_from_dataset_context</x:v>
      </x:c>
      <x:c r="M1443" s="10" t="n">
        <x:v>0</x:v>
      </x:c>
      <x:c r="N1443" s="10" t="n">
        <x:v>0</x:v>
      </x:c>
      <x:c r="O1443" s="2" t="str">
        <x:v>Tp Hồ Chí Minh|house</x:v>
      </x:c>
      <x:c r="P1443" s="10" t="n">
        <x:v>2</x:v>
      </x:c>
      <x:c r="Q1443" s="13" t="n">
        <x:f>IF(H1443="","",H1443/1000000000)</x:f>
        <x:v>1.6</x:v>
      </x:c>
      <x:c r="R1443" s="13" t="n">
        <x:f>IF(I1443="","",I1443/1000000)</x:f>
        <x:v>15.686274509803921</x:v>
      </x:c>
    </x:row>
    <x:row r="1444" ht="21" customHeight="1">
      <x:c r="A1444" s="10" t="n">
        <x:v>2246</x:v>
      </x:c>
      <x:c r="B1444" s="2" t="str">
        <x:v>68d6b5587bd8c6c3063d</x:v>
      </x:c>
      <x:c r="C1444" s="2" t="str">
        <x:v>Bà Rịa - Vũng Tàu</x:v>
      </x:c>
      <x:c r="D1444" s="2" t="str">
        <x:v>Thị xã Phú Mỹ</x:v>
      </x:c>
      <x:c r="E1444" s="2" t="str">
        <x:v>land</x:v>
      </x:c>
      <x:c r="F1444" s="2" t="str">
        <x:v>sale</x:v>
      </x:c>
      <x:c r="G1444" s="11" t="n">
        <x:v>5000</x:v>
      </x:c>
      <x:c r="H1444" s="12" t="n">
        <x:v>9500000000</x:v>
      </x:c>
      <x:c r="I1444" s="12" t="n">
        <x:v>1900000</x:v>
      </x:c>
      <x:c r="J1444" s="2" t="str">
        <x:v>total</x:v>
      </x:c>
      <x:c r="K1444" s="2" t="str">
        <x:v>top_level_area</x:v>
      </x:c>
      <x:c r="L1444" s="2" t="str">
        <x:v>dot_thousands_convention;property_type_inferred_from_title</x:v>
      </x:c>
      <x:c r="M1444" s="10" t="n">
        <x:v>0</x:v>
      </x:c>
      <x:c r="N1444" s="10" t="n">
        <x:v>0</x:v>
      </x:c>
      <x:c r="O1444" s="2" t="str">
        <x:v>Bà Rịa - Vũng Tàu|land</x:v>
      </x:c>
      <x:c r="P1444" s="10" t="n">
        <x:v>1</x:v>
      </x:c>
      <x:c r="Q1444" s="13" t="n">
        <x:f>IF(H1444="","",H1444/1000000000)</x:f>
        <x:v>9.5</x:v>
      </x:c>
      <x:c r="R1444" s="13" t="n">
        <x:f>IF(I1444="","",I1444/1000000)</x:f>
        <x:v>1.9</x:v>
      </x:c>
    </x:row>
    <x:row r="1445" ht="21" customHeight="1">
      <x:c r="A1445" s="10" t="n">
        <x:v>2247</x:v>
      </x:c>
      <x:c r="B1445" s="2" t="str">
        <x:v>0cdd45ab12461687f779</x:v>
      </x:c>
      <x:c r="C1445" s="2" t="str">
        <x:v>Đắk Lắk</x:v>
      </x:c>
      <x:c r="D1445" s="2" t="str">
        <x:v>Thành phố Buôn Ma Thuột</x:v>
      </x:c>
      <x:c r="E1445" s="2" t="str">
        <x:v>land</x:v>
      </x:c>
      <x:c r="F1445" s="2" t="str">
        <x:v>sale_assumed</x:v>
      </x:c>
      <x:c r="G1445" s="11" t="n">
        <x:v>90</x:v>
      </x:c>
      <x:c r="H1445" s="12" t="n">
        <x:v>1050000000</x:v>
      </x:c>
      <x:c r="I1445" s="12" t="n">
        <x:v>11666666.666666666</x:v>
      </x:c>
      <x:c r="J1445" s="2" t="str">
        <x:v>total</x:v>
      </x:c>
      <x:c r="K1445" s="2" t="str">
        <x:v>top_level_area</x:v>
      </x:c>
      <x:c r="L1445" s="2" t="str">
        <x:v>property_type_inferred_from_title;transaction_assumed_sale_from_dataset_context</x:v>
      </x:c>
      <x:c r="M1445" s="10" t="n">
        <x:v>0</x:v>
      </x:c>
      <x:c r="N1445" s="10" t="n">
        <x:v>0</x:v>
      </x:c>
      <x:c r="O1445" s="2" t="str">
        <x:v>Đắk Lắk|land</x:v>
      </x:c>
      <x:c r="P1445" s="10" t="n">
        <x:v>2</x:v>
      </x:c>
      <x:c r="Q1445" s="13" t="n">
        <x:f>IF(H1445="","",H1445/1000000000)</x:f>
        <x:v>1.05</x:v>
      </x:c>
      <x:c r="R1445" s="13" t="n">
        <x:f>IF(I1445="","",I1445/1000000)</x:f>
        <x:v>11.666666666666666</x:v>
      </x:c>
    </x:row>
    <x:row r="1446" ht="21" customHeight="1">
      <x:c r="A1446" s="10" t="n">
        <x:v>2267</x:v>
      </x:c>
      <x:c r="B1446" s="2" t="str">
        <x:v>d18711a5d25ceeb3e6fe</x:v>
      </x:c>
      <x:c r="C1446" s="2" t="str">
        <x:v>Tp Hồ Chí Minh</x:v>
      </x:c>
      <x:c r="D1446" s="2" t="str">
        <x:v>Quận 9</x:v>
      </x:c>
      <x:c r="E1446" s="2" t="str">
        <x:v>land</x:v>
      </x:c>
      <x:c r="F1446" s="2" t="str">
        <x:v>sale_assumed</x:v>
      </x:c>
      <x:c r="G1446" s="11" t="n">
        <x:v>60</x:v>
      </x:c>
      <x:c r="H1446" s="12" t="n">
        <x:v>980000000</x:v>
      </x:c>
      <x:c r="I1446" s="12" t="n">
        <x:v>16333333.333333334</x:v>
      </x:c>
      <x:c r="J1446" s="2" t="str">
        <x:v>total</x:v>
      </x:c>
      <x:c r="K1446" s="2" t="str">
        <x:v>top_level_area</x:v>
      </x:c>
      <x:c r="L1446" s="2" t="str">
        <x:v>property_type_inferred_from_title;transaction_assumed_sale_from_dataset_context</x:v>
      </x:c>
      <x:c r="M1446" s="10" t="n">
        <x:v>0</x:v>
      </x:c>
      <x:c r="N1446" s="10" t="n">
        <x:v>0</x:v>
      </x:c>
      <x:c r="O1446" s="2" t="str">
        <x:v>Tp Hồ Chí Minh|land</x:v>
      </x:c>
      <x:c r="P1446" s="10" t="n">
        <x:v>2</x:v>
      </x:c>
      <x:c r="Q1446" s="13" t="n">
        <x:f>IF(H1446="","",H1446/1000000000)</x:f>
        <x:v>0.98</x:v>
      </x:c>
      <x:c r="R1446" s="13" t="n">
        <x:f>IF(I1446="","",I1446/1000000)</x:f>
        <x:v>16.333333333333336</x:v>
      </x:c>
    </x:row>
    <x:row r="1447" ht="21" customHeight="1">
      <x:c r="A1447" s="10" t="n">
        <x:v>2269</x:v>
      </x:c>
      <x:c r="B1447" s="2" t="str">
        <x:v>07a23162b0ee884af229</x:v>
      </x:c>
      <x:c r="C1447" s="2" t="str">
        <x:v>Bình Thuận</x:v>
      </x:c>
      <x:c r="D1447" s="2" t="str">
        <x:v>Huyện Hàm Tân</x:v>
      </x:c>
      <x:c r="E1447" s="2" t="str">
        <x:v>land</x:v>
      </x:c>
      <x:c r="F1447" s="2" t="str">
        <x:v>sale_assumed</x:v>
      </x:c>
      <x:c r="G1447" s="11" t="n">
        <x:v>32944</x:v>
      </x:c>
      <x:c r="H1447" s="12" t="n">
        <x:v>3250000000</x:v>
      </x:c>
      <x:c r="I1447" s="12" t="n">
        <x:v>98652.25837785333</x:v>
      </x:c>
      <x:c r="J1447" s="2" t="str">
        <x:v>total</x:v>
      </x:c>
      <x:c r="K1447" s="2" t="str">
        <x:v>top_level_area</x:v>
      </x:c>
      <x:c r="L1447" s="2" t="str">
        <x:v>dot_thousands_convention;property_type_inferred_from_title;transaction_assumed_sale_from_dataset_context</x:v>
      </x:c>
      <x:c r="M1447" s="10" t="n">
        <x:v>0</x:v>
      </x:c>
      <x:c r="N1447" s="10" t="n">
        <x:v>0</x:v>
      </x:c>
      <x:c r="O1447" s="2" t="str">
        <x:v>land</x:v>
      </x:c>
      <x:c r="P1447" s="10" t="n">
        <x:v>1</x:v>
      </x:c>
      <x:c r="Q1447" s="13" t="n">
        <x:f>IF(H1447="","",H1447/1000000000)</x:f>
        <x:v>3.25</x:v>
      </x:c>
      <x:c r="R1447" s="13" t="n">
        <x:f>IF(I1447="","",I1447/1000000)</x:f>
        <x:v>0.09865225837785332</x:v>
      </x:c>
    </x:row>
    <x:row r="1448" ht="21" customHeight="1">
      <x:c r="A1448" s="10" t="n">
        <x:v>2270</x:v>
      </x:c>
      <x:c r="B1448" s="2" t="str">
        <x:v>d6703c06255c08eb8534</x:v>
      </x:c>
      <x:c r="C1448" s="2" t="str">
        <x:v>Tp Hồ Chí Minh</x:v>
      </x:c>
      <x:c r="D1448" s="2" t="str">
        <x:v>Quận Tân Phú</x:v>
      </x:c>
      <x:c r="E1448" s="2" t="str">
        <x:v>other_unknown</x:v>
      </x:c>
      <x:c r="F1448" s="2" t="str">
        <x:v>sale_assumed</x:v>
      </x:c>
      <x:c r="G1448" s="11" t="n">
        <x:v>111</x:v>
      </x:c>
      <x:c r="H1448" s="12" t="n">
        <x:v>5500000000</x:v>
      </x:c>
      <x:c r="I1448" s="12" t="n">
        <x:v>49549549.54954955</x:v>
      </x:c>
      <x:c r="J1448" s="2" t="str">
        <x:v>total</x:v>
      </x:c>
      <x:c r="K1448" s="2" t="str">
        <x:v>top_level_area</x:v>
      </x:c>
      <x:c r="L1448" s="2" t="str">
        <x:v>property_type_inferred_from_title;transaction_assumed_sale_from_dataset_context;unknown_property_type</x:v>
      </x:c>
      <x:c r="M1448" s="10" t="n">
        <x:v>0</x:v>
      </x:c>
      <x:c r="N1448" s="10" t="n">
        <x:v>0</x:v>
      </x:c>
      <x:c r="O1448" s="2" t="str">
        <x:v>Tp Hồ Chí Minh|other_unknown</x:v>
      </x:c>
      <x:c r="P1448" s="10" t="n">
        <x:v>2</x:v>
      </x:c>
      <x:c r="Q1448" s="13" t="n">
        <x:f>IF(H1448="","",H1448/1000000000)</x:f>
        <x:v>5.5</x:v>
      </x:c>
      <x:c r="R1448" s="13" t="n">
        <x:f>IF(I1448="","",I1448/1000000)</x:f>
        <x:v>49.54954954954955</x:v>
      </x:c>
    </x:row>
    <x:row r="1449" ht="21" customHeight="1">
      <x:c r="A1449" s="10" t="n">
        <x:v>2271</x:v>
      </x:c>
      <x:c r="B1449" s="2" t="str">
        <x:v>5e1d971d50c5ef036dfc</x:v>
      </x:c>
      <x:c r="C1449" s="2" t="str">
        <x:v>Bình Thuận</x:v>
      </x:c>
      <x:c r="D1449" s="2" t="str">
        <x:v>Huyện Hàm Tân</x:v>
      </x:c>
      <x:c r="E1449" s="2" t="str">
        <x:v>other_unknown</x:v>
      </x:c>
      <x:c r="F1449" s="2" t="str">
        <x:v>sale_assumed</x:v>
      </x:c>
      <x:c r="G1449" s="11" t="n">
        <x:v>7408</x:v>
      </x:c>
      <x:c r="H1449" s="12" t="n">
        <x:v>1000000000</x:v>
      </x:c>
      <x:c r="I1449" s="12" t="n">
        <x:v>134989.2008639309</x:v>
      </x:c>
      <x:c r="J1449" s="2" t="str">
        <x:v>total</x:v>
      </x:c>
      <x:c r="K1449" s="2" t="str">
        <x:v>top_level_area</x:v>
      </x:c>
      <x:c r="L1449" s="2" t="str">
        <x:v>dot_thousands_convention;property_type_inferred_from_title;transaction_assumed_sale_from_dataset_context;unknown_property_type</x:v>
      </x:c>
      <x:c r="M1449" s="10" t="n">
        <x:v>0</x:v>
      </x:c>
      <x:c r="N1449" s="10" t="n">
        <x:v>0</x:v>
      </x:c>
      <x:c r="O1449" s="2" t="str">
        <x:v>other_unknown</x:v>
      </x:c>
      <x:c r="P1449" s="10" t="n">
        <x:v>1</x:v>
      </x:c>
      <x:c r="Q1449" s="13" t="n">
        <x:f>IF(H1449="","",H1449/1000000000)</x:f>
        <x:v>1</x:v>
      </x:c>
      <x:c r="R1449" s="13" t="n">
        <x:f>IF(I1449="","",I1449/1000000)</x:f>
        <x:v>0.1349892008639309</x:v>
      </x:c>
    </x:row>
    <x:row r="1450" ht="21" customHeight="1">
      <x:c r="A1450" s="10" t="n">
        <x:v>2272</x:v>
      </x:c>
      <x:c r="B1450" s="2" t="str">
        <x:v>f959e0039f2ab2ec1654</x:v>
      </x:c>
      <x:c r="C1450" s="2" t="str">
        <x:v>Tp Hồ Chí Minh</x:v>
      </x:c>
      <x:c r="D1450" s="2" t="str">
        <x:v>Quận Bình Thạnh</x:v>
      </x:c>
      <x:c r="E1450" s="2" t="str">
        <x:v>house</x:v>
      </x:c>
      <x:c r="F1450" s="2" t="str">
        <x:v>sale_assumed</x:v>
      </x:c>
      <x:c r="G1450" s="11" t="n">
        <x:v>68</x:v>
      </x:c>
      <x:c r="H1450" s="12" t="n">
        <x:v>1500000000</x:v>
      </x:c>
      <x:c r="I1450" s="12" t="n">
        <x:v>22058823.529411763</x:v>
      </x:c>
      <x:c r="J1450" s="2" t="str">
        <x:v>total</x:v>
      </x:c>
      <x:c r="K1450" s="2" t="str">
        <x:v>top_level_area</x:v>
      </x:c>
      <x:c r="L1450" s="2" t="str">
        <x:v>property_type_inferred_from_title;transaction_assumed_sale_from_dataset_context</x:v>
      </x:c>
      <x:c r="M1450" s="10" t="n">
        <x:v>0</x:v>
      </x:c>
      <x:c r="N1450" s="10" t="n">
        <x:v>0</x:v>
      </x:c>
      <x:c r="O1450" s="2" t="str">
        <x:v>Tp Hồ Chí Minh|house</x:v>
      </x:c>
      <x:c r="P1450" s="10" t="n">
        <x:v>2</x:v>
      </x:c>
      <x:c r="Q1450" s="13" t="n">
        <x:f>IF(H1450="","",H1450/1000000000)</x:f>
        <x:v>1.5</x:v>
      </x:c>
      <x:c r="R1450" s="13" t="n">
        <x:f>IF(I1450="","",I1450/1000000)</x:f>
        <x:v>22.058823529411764</x:v>
      </x:c>
    </x:row>
    <x:row r="1451" ht="21" customHeight="1">
      <x:c r="A1451" s="10" t="n">
        <x:v>2273</x:v>
      </x:c>
      <x:c r="B1451" s="2" t="str">
        <x:v>446405de26eceecf7c26</x:v>
      </x:c>
      <x:c r="C1451" s="2" t="str">
        <x:v>Tp Hồ Chí Minh</x:v>
      </x:c>
      <x:c r="D1451" s="2" t="str">
        <x:v>Quận Bình Thạnh</x:v>
      </x:c>
      <x:c r="E1451" s="2" t="str">
        <x:v>house</x:v>
      </x:c>
      <x:c r="F1451" s="2" t="str">
        <x:v>sale</x:v>
      </x:c>
      <x:c r="G1451" s="11" t="n">
        <x:v>55</x:v>
      </x:c>
      <x:c r="H1451" s="12" t="n">
        <x:v>2049999999.9999998</x:v>
      </x:c>
      <x:c r="I1451" s="12" t="n">
        <x:v>37272727.272727266</x:v>
      </x:c>
      <x:c r="J1451" s="2" t="str">
        <x:v>total</x:v>
      </x:c>
      <x:c r="K1451" s="2" t="str">
        <x:v>top_level_area</x:v>
      </x:c>
      <x:c r="L1451" s="2" t="str">
        <x:v>property_type_inferred_from_title</x:v>
      </x:c>
      <x:c r="M1451" s="10" t="n">
        <x:v>0</x:v>
      </x:c>
      <x:c r="N1451" s="10" t="n">
        <x:v>0</x:v>
      </x:c>
      <x:c r="O1451" s="2" t="str">
        <x:v>Tp Hồ Chí Minh|house</x:v>
      </x:c>
      <x:c r="P1451" s="10" t="n">
        <x:v>2</x:v>
      </x:c>
      <x:c r="Q1451" s="13" t="n">
        <x:f>IF(H1451="","",H1451/1000000000)</x:f>
        <x:v>2.05</x:v>
      </x:c>
      <x:c r="R1451" s="13" t="n">
        <x:f>IF(I1451="","",I1451/1000000)</x:f>
        <x:v>37.272727272727266</x:v>
      </x:c>
    </x:row>
    <x:row r="1452" ht="21" customHeight="1">
      <x:c r="A1452" s="10" t="n">
        <x:v>2274</x:v>
      </x:c>
      <x:c r="B1452" s="2" t="str">
        <x:v>5e89621b2add55281cd1</x:v>
      </x:c>
      <x:c r="C1452" s="2" t="str">
        <x:v>Tp Hồ Chí Minh</x:v>
      </x:c>
      <x:c r="D1452" s="2" t="str">
        <x:v>Quận 12</x:v>
      </x:c>
      <x:c r="E1452" s="2" t="str">
        <x:v>house</x:v>
      </x:c>
      <x:c r="F1452" s="2" t="str">
        <x:v>sale</x:v>
      </x:c>
      <x:c r="G1452" s="11" t="n">
        <x:v>52</x:v>
      </x:c>
      <x:c r="H1452" s="12" t="n">
        <x:v>995000000</x:v>
      </x:c>
      <x:c r="I1452" s="12" t="n">
        <x:v>19134615.384615384</x:v>
      </x:c>
      <x:c r="J1452" s="2" t="str">
        <x:v>total</x:v>
      </x:c>
      <x:c r="K1452" s="2" t="str">
        <x:v>top_level_area</x:v>
      </x:c>
      <x:c r="L1452" s="2" t="str">
        <x:v>property_type_inferred_from_title</x:v>
      </x:c>
      <x:c r="M1452" s="10" t="n">
        <x:v>0</x:v>
      </x:c>
      <x:c r="N1452" s="10" t="n">
        <x:v>0</x:v>
      </x:c>
      <x:c r="O1452" s="2" t="str">
        <x:v>Tp Hồ Chí Minh|house</x:v>
      </x:c>
      <x:c r="P1452" s="10" t="n">
        <x:v>2</x:v>
      </x:c>
      <x:c r="Q1452" s="13" t="n">
        <x:f>IF(H1452="","",H1452/1000000000)</x:f>
        <x:v>0.995</x:v>
      </x:c>
      <x:c r="R1452" s="13" t="n">
        <x:f>IF(I1452="","",I1452/1000000)</x:f>
        <x:v>19.134615384615383</x:v>
      </x:c>
    </x:row>
    <x:row r="1453" ht="21" customHeight="1">
      <x:c r="A1453" s="10" t="n">
        <x:v>2275</x:v>
      </x:c>
      <x:c r="B1453" s="2" t="str">
        <x:v>1a455de192c9a4e0b9a2</x:v>
      </x:c>
      <x:c r="C1453" s="2" t="str">
        <x:v>Long An</x:v>
      </x:c>
      <x:c r="D1453" s="2" t="str">
        <x:v>Huyện Cần Giuộc</x:v>
      </x:c>
      <x:c r="E1453" s="2" t="str">
        <x:v>land</x:v>
      </x:c>
      <x:c r="F1453" s="2" t="str">
        <x:v>sale_assumed</x:v>
      </x:c>
      <x:c r="G1453" s="11" t="n">
        <x:v>105</x:v>
      </x:c>
      <x:c r="H1453" s="12" t="n">
        <x:v>750000000</x:v>
      </x:c>
      <x:c r="I1453" s="12" t="n">
        <x:v>7142857.142857143</x:v>
      </x:c>
      <x:c r="J1453" s="2" t="str">
        <x:v>total</x:v>
      </x:c>
      <x:c r="K1453" s="2" t="str">
        <x:v>top_level_area</x:v>
      </x:c>
      <x:c r="L1453" s="2" t="str">
        <x:v>property_type_inferred_from_title;transaction_assumed_sale_from_dataset_context</x:v>
      </x:c>
      <x:c r="M1453" s="10" t="n">
        <x:v>0</x:v>
      </x:c>
      <x:c r="N1453" s="10" t="n">
        <x:v>0</x:v>
      </x:c>
      <x:c r="O1453" s="2" t="str">
        <x:v>Long An|land</x:v>
      </x:c>
      <x:c r="P1453" s="10" t="n">
        <x:v>2</x:v>
      </x:c>
      <x:c r="Q1453" s="13" t="n">
        <x:f>IF(H1453="","",H1453/1000000000)</x:f>
        <x:v>0.75</x:v>
      </x:c>
      <x:c r="R1453" s="13" t="n">
        <x:f>IF(I1453="","",I1453/1000000)</x:f>
        <x:v>7.142857142857142</x:v>
      </x:c>
    </x:row>
    <x:row r="1454" ht="21" customHeight="1">
      <x:c r="A1454" s="10" t="n">
        <x:v>2276</x:v>
      </x:c>
      <x:c r="B1454" s="2" t="str">
        <x:v>c2280cd598f695a571d9</x:v>
      </x:c>
      <x:c r="C1454" s="2" t="str">
        <x:v>Tp Hồ Chí Minh</x:v>
      </x:c>
      <x:c r="D1454" s="2" t="str">
        <x:v>Quận Thủ Đức</x:v>
      </x:c>
      <x:c r="E1454" s="2" t="str">
        <x:v>house</x:v>
      </x:c>
      <x:c r="F1454" s="2" t="str">
        <x:v>sale</x:v>
      </x:c>
      <x:c r="G1454" s="11" t="n">
        <x:v>80</x:v>
      </x:c>
      <x:c r="H1454" s="12" t="n">
        <x:v>1700000000</x:v>
      </x:c>
      <x:c r="I1454" s="12" t="n">
        <x:v>21250000</x:v>
      </x:c>
      <x:c r="J1454" s="2" t="str">
        <x:v>total</x:v>
      </x:c>
      <x:c r="K1454" s="2" t="str">
        <x:v>top_level_area</x:v>
      </x:c>
      <x:c r="L1454" s="2" t="str">
        <x:v>property_type_inferred_from_title</x:v>
      </x:c>
      <x:c r="M1454" s="10" t="n">
        <x:v>0</x:v>
      </x:c>
      <x:c r="N1454" s="10" t="n">
        <x:v>0</x:v>
      </x:c>
      <x:c r="O1454" s="2" t="str">
        <x:v>Tp Hồ Chí Minh|house</x:v>
      </x:c>
      <x:c r="P1454" s="10" t="n">
        <x:v>2</x:v>
      </x:c>
      <x:c r="Q1454" s="13" t="n">
        <x:f>IF(H1454="","",H1454/1000000000)</x:f>
        <x:v>1.7</x:v>
      </x:c>
      <x:c r="R1454" s="13" t="n">
        <x:f>IF(I1454="","",I1454/1000000)</x:f>
        <x:v>21.25</x:v>
      </x:c>
    </x:row>
    <x:row r="1455" ht="21" customHeight="1">
      <x:c r="A1455" s="10" t="n">
        <x:v>2277</x:v>
      </x:c>
      <x:c r="B1455" s="2" t="str">
        <x:v>d11f3820ac40ab13ffc2</x:v>
      </x:c>
      <x:c r="C1455" s="2" t="str">
        <x:v>Hà Nội</x:v>
      </x:c>
      <x:c r="D1455" s="2" t="str">
        <x:v>Quận Hai Bà Trưng</x:v>
      </x:c>
      <x:c r="E1455" s="2" t="str">
        <x:v>house</x:v>
      </x:c>
      <x:c r="F1455" s="2" t="str">
        <x:v>sale</x:v>
      </x:c>
      <x:c r="G1455" s="11" t="n">
        <x:v>80</x:v>
      </x:c>
      <x:c r="H1455" s="12" t="n">
        <x:v>7000000000</x:v>
      </x:c>
      <x:c r="I1455" s="12" t="n">
        <x:v>87500000</x:v>
      </x:c>
      <x:c r="J1455" s="2" t="str">
        <x:v>total</x:v>
      </x:c>
      <x:c r="K1455" s="2" t="str">
        <x:v>top_level_area</x:v>
      </x:c>
      <x:c r="L1455" s="2" t="str">
        <x:v>property_type_inferred_from_title</x:v>
      </x:c>
      <x:c r="M1455" s="10" t="n">
        <x:v>0</x:v>
      </x:c>
      <x:c r="N1455" s="10" t="n">
        <x:v>0</x:v>
      </x:c>
      <x:c r="O1455" s="2" t="str">
        <x:v>Hà Nội|house</x:v>
      </x:c>
      <x:c r="P1455" s="10" t="n">
        <x:v>2</x:v>
      </x:c>
      <x:c r="Q1455" s="13" t="n">
        <x:f>IF(H1455="","",H1455/1000000000)</x:f>
        <x:v>7</x:v>
      </x:c>
      <x:c r="R1455" s="13" t="n">
        <x:f>IF(I1455="","",I1455/1000000)</x:f>
        <x:v>87.5</x:v>
      </x:c>
    </x:row>
    <x:row r="1456" ht="21" customHeight="1">
      <x:c r="A1456" s="10" t="n">
        <x:v>2278</x:v>
      </x:c>
      <x:c r="B1456" s="2" t="str">
        <x:v>2aea6e982a6f5e9a8a8c</x:v>
      </x:c>
      <x:c r="C1456" s="2" t="str">
        <x:v>Chưa xác định</x:v>
      </x:c>
      <x:c r="D1456" s="2" t="str">
        <x:v>Chưa xác định</x:v>
      </x:c>
      <x:c r="E1456" s="2" t="str">
        <x:v>apartment</x:v>
      </x:c>
      <x:c r="F1456" s="2" t="str">
        <x:v>sale_assumed</x:v>
      </x:c>
      <x:c r="G1456" s="11" t="n">
        <x:v>93</x:v>
      </x:c>
      <x:c r="H1456" s="12" t="n">
        <x:v>1920000000</x:v>
      </x:c>
      <x:c r="I1456" s="12" t="n">
        <x:v>20645161.29032258</x:v>
      </x:c>
      <x:c r="J1456" s="2" t="str">
        <x:v>total</x:v>
      </x:c>
      <x:c r="K1456" s="2" t="str">
        <x:v>top_level_area</x:v>
      </x:c>
      <x:c r="L1456" s="2" t="str">
        <x:v>property_type_inferred_from_title;transaction_assumed_sale_from_dataset_context;unknown_district;unknown_province</x:v>
      </x:c>
      <x:c r="M1456" s="10" t="n">
        <x:v>0</x:v>
      </x:c>
      <x:c r="N1456" s="10" t="n">
        <x:v>0</x:v>
      </x:c>
      <x:c r="O1456" s="2" t="str">
        <x:v>apartment</x:v>
      </x:c>
      <x:c r="P1456" s="10" t="n">
        <x:v>2</x:v>
      </x:c>
      <x:c r="Q1456" s="13" t="n">
        <x:f>IF(H1456="","",H1456/1000000000)</x:f>
        <x:v>1.92</x:v>
      </x:c>
      <x:c r="R1456" s="13" t="n">
        <x:f>IF(I1456="","",I1456/1000000)</x:f>
        <x:v>20.64516129032258</x:v>
      </x:c>
    </x:row>
    <x:row r="1457" ht="21" customHeight="1">
      <x:c r="A1457" s="10" t="n">
        <x:v>2279</x:v>
      </x:c>
      <x:c r="B1457" s="2" t="str">
        <x:v>5ee7134400ddd93465a3</x:v>
      </x:c>
      <x:c r="C1457" s="2" t="str">
        <x:v>Tp Hồ Chí Minh</x:v>
      </x:c>
      <x:c r="D1457" s="2" t="str">
        <x:v>Quận 12</x:v>
      </x:c>
      <x:c r="E1457" s="2" t="str">
        <x:v>apartment</x:v>
      </x:c>
      <x:c r="F1457" s="2" t="str">
        <x:v>sale_assumed</x:v>
      </x:c>
      <x:c r="G1457" s="11" t="n">
        <x:v>32</x:v>
      </x:c>
      <x:c r="H1457" s="12" t="n">
        <x:v>700000000</x:v>
      </x:c>
      <x:c r="I1457" s="12" t="n">
        <x:v>21875000</x:v>
      </x:c>
      <x:c r="J1457" s="2" t="str">
        <x:v>total</x:v>
      </x:c>
      <x:c r="K1457" s="2" t="str">
        <x:v>top_level_area</x:v>
      </x:c>
      <x:c r="L1457" s="2" t="str">
        <x:v>property_type_inferred_from_title;transaction_assumed_sale_from_dataset_context</x:v>
      </x:c>
      <x:c r="M1457" s="10" t="n">
        <x:v>0</x:v>
      </x:c>
      <x:c r="N1457" s="10" t="n">
        <x:v>0</x:v>
      </x:c>
      <x:c r="O1457" s="2" t="str">
        <x:v>Tp Hồ Chí Minh|apartment</x:v>
      </x:c>
      <x:c r="P1457" s="10" t="n">
        <x:v>2</x:v>
      </x:c>
      <x:c r="Q1457" s="13" t="n">
        <x:f>IF(H1457="","",H1457/1000000000)</x:f>
        <x:v>0.7</x:v>
      </x:c>
      <x:c r="R1457" s="13" t="n">
        <x:f>IF(I1457="","",I1457/1000000)</x:f>
        <x:v>21.875</x:v>
      </x:c>
    </x:row>
    <x:row r="1458" ht="21" customHeight="1">
      <x:c r="A1458" s="10" t="n">
        <x:v>2280</x:v>
      </x:c>
      <x:c r="B1458" s="2" t="str">
        <x:v>bf6a75f9d2e86362abc6</x:v>
      </x:c>
      <x:c r="C1458" s="2" t="str">
        <x:v>Hà Nội</x:v>
      </x:c>
      <x:c r="D1458" s="2" t="str">
        <x:v>Quận Thanh Xuân</x:v>
      </x:c>
      <x:c r="E1458" s="2" t="str">
        <x:v>other_unknown</x:v>
      </x:c>
      <x:c r="F1458" s="2" t="str">
        <x:v>sale_assumed</x:v>
      </x:c>
      <x:c r="G1458" s="11" t="n">
        <x:v>50</x:v>
      </x:c>
      <x:c r="H1458" s="12" t="n">
        <x:v>8500000000</x:v>
      </x:c>
      <x:c r="I1458" s="12" t="n">
        <x:v>170000000</x:v>
      </x:c>
      <x:c r="J1458" s="2" t="str">
        <x:v>total</x:v>
      </x:c>
      <x:c r="K1458" s="2" t="str">
        <x:v>top_level_area</x:v>
      </x:c>
      <x:c r="L1458" s="2" t="str">
        <x:v>property_type_inferred_from_title;transaction_assumed_sale_from_dataset_context;unknown_property_type</x:v>
      </x:c>
      <x:c r="M1458" s="10" t="n">
        <x:v>1</x:v>
      </x:c>
      <x:c r="N1458" s="10" t="n">
        <x:v>0</x:v>
      </x:c>
      <x:c r="O1458" s="2" t="str">
        <x:v>Hà Nội|other_unknown</x:v>
      </x:c>
      <x:c r="P1458" s="10" t="n">
        <x:v>2</x:v>
      </x:c>
      <x:c r="Q1458" s="13" t="n">
        <x:f>IF(H1458="","",H1458/1000000000)</x:f>
        <x:v>8.5</x:v>
      </x:c>
      <x:c r="R1458" s="13" t="n">
        <x:f>IF(I1458="","",I1458/1000000)</x:f>
        <x:v>170</x:v>
      </x:c>
    </x:row>
    <x:row r="1459" ht="21" customHeight="1">
      <x:c r="A1459" s="10" t="n">
        <x:v>2281</x:v>
      </x:c>
      <x:c r="B1459" s="2" t="str">
        <x:v>ee20051e1817dac5f7c8</x:v>
      </x:c>
      <x:c r="C1459" s="2" t="str">
        <x:v>Bà Rịa - Vũng Tàu</x:v>
      </x:c>
      <x:c r="D1459" s="2" t="str">
        <x:v>Huyện Đất Đỏ</x:v>
      </x:c>
      <x:c r="E1459" s="2" t="str">
        <x:v>land</x:v>
      </x:c>
      <x:c r="F1459" s="2" t="str">
        <x:v>sale</x:v>
      </x:c>
      <x:c r="G1459" s="11" t="n">
        <x:v>119</x:v>
      </x:c>
      <x:c r="H1459" s="12" t="n">
        <x:v>495000000</x:v>
      </x:c>
      <x:c r="I1459" s="12" t="n">
        <x:v>4159663.8655462186</x:v>
      </x:c>
      <x:c r="J1459" s="2" t="str">
        <x:v>total</x:v>
      </x:c>
      <x:c r="K1459" s="2" t="str">
        <x:v>top_level_price_embedded_area</x:v>
      </x:c>
      <x:c r="L1459" s="2" t="str">
        <x:v>area_recovered_from_price_text;property_type_inferred_from_title</x:v>
      </x:c>
      <x:c r="M1459" s="10" t="n">
        <x:v>0</x:v>
      </x:c>
      <x:c r="N1459" s="10" t="n">
        <x:v>0</x:v>
      </x:c>
      <x:c r="O1459" s="2" t="str">
        <x:v>Bà Rịa - Vũng Tàu|land</x:v>
      </x:c>
      <x:c r="P1459" s="10" t="n">
        <x:v>2</x:v>
      </x:c>
      <x:c r="Q1459" s="13" t="n">
        <x:f>IF(H1459="","",H1459/1000000000)</x:f>
        <x:v>0.495</x:v>
      </x:c>
      <x:c r="R1459" s="13" t="n">
        <x:f>IF(I1459="","",I1459/1000000)</x:f>
        <x:v>4.159663865546219</x:v>
      </x:c>
    </x:row>
    <x:row r="1460" ht="21" customHeight="1">
      <x:c r="A1460" s="10" t="n">
        <x:v>2282</x:v>
      </x:c>
      <x:c r="B1460" s="2" t="str">
        <x:v>4e075282ef8332f16c33</x:v>
      </x:c>
      <x:c r="C1460" s="2" t="str">
        <x:v>Đà Nẵng</x:v>
      </x:c>
      <x:c r="D1460" s="2" t="str">
        <x:v>Quận Liên Chiểu</x:v>
      </x:c>
      <x:c r="E1460" s="2" t="str">
        <x:v>land</x:v>
      </x:c>
      <x:c r="F1460" s="2" t="str">
        <x:v>sale_assumed</x:v>
      </x:c>
      <x:c r="G1460" s="11" t="n">
        <x:v>110</x:v>
      </x:c>
      <x:c r="H1460" s="12" t="n">
        <x:v>1900000000</x:v>
      </x:c>
      <x:c r="I1460" s="12" t="n">
        <x:v>17272727.272727273</x:v>
      </x:c>
      <x:c r="J1460" s="2" t="str">
        <x:v>total</x:v>
      </x:c>
      <x:c r="K1460" s="2" t="str">
        <x:v>top_level_area</x:v>
      </x:c>
      <x:c r="L1460" s="2" t="str">
        <x:v>property_type_inferred_from_title;transaction_assumed_sale_from_dataset_context</x:v>
      </x:c>
      <x:c r="M1460" s="10" t="n">
        <x:v>0</x:v>
      </x:c>
      <x:c r="N1460" s="10" t="n">
        <x:v>0</x:v>
      </x:c>
      <x:c r="O1460" s="2" t="str">
        <x:v>Đà Nẵng|land</x:v>
      </x:c>
      <x:c r="P1460" s="10" t="n">
        <x:v>2</x:v>
      </x:c>
      <x:c r="Q1460" s="13" t="n">
        <x:f>IF(H1460="","",H1460/1000000000)</x:f>
        <x:v>1.9</x:v>
      </x:c>
      <x:c r="R1460" s="13" t="n">
        <x:f>IF(I1460="","",I1460/1000000)</x:f>
        <x:v>17.272727272727273</x:v>
      </x:c>
    </x:row>
    <x:row r="1461" ht="21" customHeight="1">
      <x:c r="A1461" s="10" t="n">
        <x:v>2283</x:v>
      </x:c>
      <x:c r="B1461" s="2" t="str">
        <x:v>78b4705700723fa159ed</x:v>
      </x:c>
      <x:c r="C1461" s="2" t="str">
        <x:v>Đắk Lắk</x:v>
      </x:c>
      <x:c r="D1461" s="2" t="str">
        <x:v>Thành phố Buôn Ma Thuột</x:v>
      </x:c>
      <x:c r="E1461" s="2" t="str">
        <x:v>land</x:v>
      </x:c>
      <x:c r="F1461" s="2" t="str">
        <x:v>sale_assumed</x:v>
      </x:c>
      <x:c r="G1461" s="11" t="n">
        <x:v>500</x:v>
      </x:c>
      <x:c r="H1461" s="12" t="n">
        <x:v>2500000000</x:v>
      </x:c>
      <x:c r="I1461" s="12" t="n">
        <x:v>5000000</x:v>
      </x:c>
      <x:c r="J1461" s="2" t="str">
        <x:v>total</x:v>
      </x:c>
      <x:c r="K1461" s="2" t="str">
        <x:v>top_level_area</x:v>
      </x:c>
      <x:c r="L1461" s="2" t="str">
        <x:v>property_type_inferred_from_title;transaction_assumed_sale_from_dataset_context</x:v>
      </x:c>
      <x:c r="M1461" s="10" t="n">
        <x:v>0</x:v>
      </x:c>
      <x:c r="N1461" s="10" t="n">
        <x:v>0</x:v>
      </x:c>
      <x:c r="O1461" s="2" t="str">
        <x:v>Đắk Lắk|land</x:v>
      </x:c>
      <x:c r="P1461" s="10" t="n">
        <x:v>1</x:v>
      </x:c>
      <x:c r="Q1461" s="13" t="n">
        <x:f>IF(H1461="","",H1461/1000000000)</x:f>
        <x:v>2.5</x:v>
      </x:c>
      <x:c r="R1461" s="13" t="n">
        <x:f>IF(I1461="","",I1461/1000000)</x:f>
        <x:v>5</x:v>
      </x:c>
    </x:row>
    <x:row r="1462" ht="21" customHeight="1">
      <x:c r="A1462" s="10" t="n">
        <x:v>2284</x:v>
      </x:c>
      <x:c r="B1462" s="2" t="str">
        <x:v>0320a8e9c050eae14653</x:v>
      </x:c>
      <x:c r="C1462" s="2" t="str">
        <x:v>Tp Hồ Chí Minh</x:v>
      </x:c>
      <x:c r="D1462" s="2" t="str">
        <x:v>Quận Tân Phú</x:v>
      </x:c>
      <x:c r="E1462" s="2" t="str">
        <x:v>house</x:v>
      </x:c>
      <x:c r="F1462" s="2" t="str">
        <x:v>sale_assumed</x:v>
      </x:c>
      <x:c r="G1462" s="11" t="n">
        <x:v>107</x:v>
      </x:c>
      <x:c r="H1462" s="12" t="n">
        <x:v>12800000000</x:v>
      </x:c>
      <x:c r="I1462" s="12" t="n">
        <x:v>119626168.22429906</x:v>
      </x:c>
      <x:c r="J1462" s="2" t="str">
        <x:v>total</x:v>
      </x:c>
      <x:c r="K1462" s="2" t="str">
        <x:v>top_level_area</x:v>
      </x:c>
      <x:c r="L1462" s="2" t="str">
        <x:v>property_type_inferred_from_title;transaction_assumed_sale_from_dataset_context</x:v>
      </x:c>
      <x:c r="M1462" s="10" t="n">
        <x:v>0</x:v>
      </x:c>
      <x:c r="N1462" s="10" t="n">
        <x:v>0</x:v>
      </x:c>
      <x:c r="O1462" s="2" t="str">
        <x:v>Tp Hồ Chí Minh|house</x:v>
      </x:c>
      <x:c r="P1462" s="10" t="n">
        <x:v>2</x:v>
      </x:c>
      <x:c r="Q1462" s="13" t="n">
        <x:f>IF(H1462="","",H1462/1000000000)</x:f>
        <x:v>12.8</x:v>
      </x:c>
      <x:c r="R1462" s="13" t="n">
        <x:f>IF(I1462="","",I1462/1000000)</x:f>
        <x:v>119.62616822429906</x:v>
      </x:c>
    </x:row>
    <x:row r="1463" ht="21" customHeight="1">
      <x:c r="A1463" s="10" t="n">
        <x:v>2285</x:v>
      </x:c>
      <x:c r="B1463" s="2" t="str">
        <x:v>7e21cda039f3fddf5211</x:v>
      </x:c>
      <x:c r="C1463" s="2" t="str">
        <x:v>Vĩnh Long</x:v>
      </x:c>
      <x:c r="D1463" s="2" t="str">
        <x:v>Huyện Vũng Liêm</x:v>
      </x:c>
      <x:c r="E1463" s="2" t="str">
        <x:v>land</x:v>
      </x:c>
      <x:c r="F1463" s="2" t="str">
        <x:v>sale</x:v>
      </x:c>
      <x:c r="G1463" s="11" t="n">
        <x:v>2500</x:v>
      </x:c>
      <x:c r="H1463" s="12" t="n">
        <x:v>1750000000</x:v>
      </x:c>
      <x:c r="I1463" s="12" t="n">
        <x:v>700000</x:v>
      </x:c>
      <x:c r="J1463" s="2" t="str">
        <x:v>total</x:v>
      </x:c>
      <x:c r="K1463" s="2" t="str">
        <x:v>top_level_area</x:v>
      </x:c>
      <x:c r="L1463" s="2" t="str">
        <x:v>dot_thousands_convention;property_type_inferred_from_title</x:v>
      </x:c>
      <x:c r="M1463" s="10" t="n">
        <x:v>0</x:v>
      </x:c>
      <x:c r="N1463" s="10" t="n">
        <x:v>0</x:v>
      </x:c>
      <x:c r="O1463" s="2" t="str">
        <x:v>land</x:v>
      </x:c>
      <x:c r="P1463" s="10" t="n">
        <x:v>1</x:v>
      </x:c>
      <x:c r="Q1463" s="13" t="n">
        <x:f>IF(H1463="","",H1463/1000000000)</x:f>
        <x:v>1.75</x:v>
      </x:c>
      <x:c r="R1463" s="13" t="n">
        <x:f>IF(I1463="","",I1463/1000000)</x:f>
        <x:v>0.7</x:v>
      </x:c>
    </x:row>
    <x:row r="1464" ht="21" customHeight="1">
      <x:c r="A1464" s="10" t="n">
        <x:v>2286</x:v>
      </x:c>
      <x:c r="B1464" s="2" t="str">
        <x:v>ba29b30ead4c2c962ecc</x:v>
      </x:c>
      <x:c r="C1464" s="2" t="str">
        <x:v>Khánh Hòa</x:v>
      </x:c>
      <x:c r="D1464" s="2" t="str">
        <x:v>Thành phố Nha Trang</x:v>
      </x:c>
      <x:c r="E1464" s="2" t="str">
        <x:v>house</x:v>
      </x:c>
      <x:c r="F1464" s="2" t="str">
        <x:v>sale_assumed</x:v>
      </x:c>
      <x:c r="G1464" s="11" t="n">
        <x:v>90</x:v>
      </x:c>
      <x:c r="H1464" s="12" t="n">
        <x:v>2500000000</x:v>
      </x:c>
      <x:c r="I1464" s="12" t="n">
        <x:v>27777777.777777776</x:v>
      </x:c>
      <x:c r="J1464" s="2" t="str">
        <x:v>total</x:v>
      </x:c>
      <x:c r="K1464" s="2" t="str">
        <x:v>top_level_area</x:v>
      </x:c>
      <x:c r="L1464" s="2" t="str">
        <x:v>property_type_inferred_from_title;transaction_assumed_sale_from_dataset_context</x:v>
      </x:c>
      <x:c r="M1464" s="10" t="n">
        <x:v>0</x:v>
      </x:c>
      <x:c r="N1464" s="10" t="n">
        <x:v>0</x:v>
      </x:c>
      <x:c r="O1464" s="2" t="str">
        <x:v>Khánh Hòa|house</x:v>
      </x:c>
      <x:c r="P1464" s="10" t="n">
        <x:v>2</x:v>
      </x:c>
      <x:c r="Q1464" s="13" t="n">
        <x:f>IF(H1464="","",H1464/1000000000)</x:f>
        <x:v>2.5</x:v>
      </x:c>
      <x:c r="R1464" s="13" t="n">
        <x:f>IF(I1464="","",I1464/1000000)</x:f>
        <x:v>27.777777777777775</x:v>
      </x:c>
    </x:row>
    <x:row r="1465" ht="21" customHeight="1">
      <x:c r="A1465" s="10" t="n">
        <x:v>2287</x:v>
      </x:c>
      <x:c r="B1465" s="2" t="str">
        <x:v>dcf683308cd89928e76d</x:v>
      </x:c>
      <x:c r="C1465" s="2" t="str">
        <x:v>Tp Hồ Chí Minh</x:v>
      </x:c>
      <x:c r="D1465" s="2" t="str">
        <x:v>Huyện Củ Chi</x:v>
      </x:c>
      <x:c r="E1465" s="2" t="str">
        <x:v>land</x:v>
      </x:c>
      <x:c r="F1465" s="2" t="str">
        <x:v>sale_assumed</x:v>
      </x:c>
      <x:c r="G1465" s="11" t="n">
        <x:v>94</x:v>
      </x:c>
      <x:c r="H1465" s="12" t="n">
        <x:v>850000000</x:v>
      </x:c>
      <x:c r="I1465" s="12" t="n">
        <x:v>9042553.191489361</x:v>
      </x:c>
      <x:c r="J1465" s="2" t="str">
        <x:v>total</x:v>
      </x:c>
      <x:c r="K1465" s="2" t="str">
        <x:v>top_level_area</x:v>
      </x:c>
      <x:c r="L1465" s="2" t="str">
        <x:v>property_type_inferred_from_title;transaction_assumed_sale_from_dataset_context</x:v>
      </x:c>
      <x:c r="M1465" s="10" t="n">
        <x:v>0</x:v>
      </x:c>
      <x:c r="N1465" s="10" t="n">
        <x:v>0</x:v>
      </x:c>
      <x:c r="O1465" s="2" t="str">
        <x:v>Tp Hồ Chí Minh|land</x:v>
      </x:c>
      <x:c r="P1465" s="10" t="n">
        <x:v>2</x:v>
      </x:c>
      <x:c r="Q1465" s="13" t="n">
        <x:f>IF(H1465="","",H1465/1000000000)</x:f>
        <x:v>0.85</x:v>
      </x:c>
      <x:c r="R1465" s="13" t="n">
        <x:f>IF(I1465="","",I1465/1000000)</x:f>
        <x:v>9.042553191489361</x:v>
      </x:c>
    </x:row>
    <x:row r="1466" ht="21" customHeight="1">
      <x:c r="A1466" s="10" t="n">
        <x:v>2288</x:v>
      </x:c>
      <x:c r="B1466" s="2" t="str">
        <x:v>9a82ea57852ab4d1fd0f</x:v>
      </x:c>
      <x:c r="C1466" s="2" t="str">
        <x:v>Sóc Trăng</x:v>
      </x:c>
      <x:c r="D1466" s="2" t="str">
        <x:v>Thành phố Sóc Trăng</x:v>
      </x:c>
      <x:c r="E1466" s="2" t="str">
        <x:v>house</x:v>
      </x:c>
      <x:c r="F1466" s="2" t="str">
        <x:v>sale</x:v>
      </x:c>
      <x:c r="G1466" s="11" t="n">
        <x:v>100</x:v>
      </x:c>
      <x:c r="H1466" s="12" t="n">
        <x:v>2875000000</x:v>
      </x:c>
      <x:c r="I1466" s="12" t="n">
        <x:v>28750000</x:v>
      </x:c>
      <x:c r="J1466" s="2" t="str">
        <x:v>total</x:v>
      </x:c>
      <x:c r="K1466" s="2" t="str">
        <x:v>top_level_area</x:v>
      </x:c>
      <x:c r="L1466" s="2" t="str">
        <x:v>property_type_inferred_from_title</x:v>
      </x:c>
      <x:c r="M1466" s="10" t="n">
        <x:v>0</x:v>
      </x:c>
      <x:c r="N1466" s="10" t="n">
        <x:v>0</x:v>
      </x:c>
      <x:c r="O1466" s="2" t="str">
        <x:v>house</x:v>
      </x:c>
      <x:c r="P1466" s="10" t="n">
        <x:v>2</x:v>
      </x:c>
      <x:c r="Q1466" s="13" t="n">
        <x:f>IF(H1466="","",H1466/1000000000)</x:f>
        <x:v>2.875</x:v>
      </x:c>
      <x:c r="R1466" s="13" t="n">
        <x:f>IF(I1466="","",I1466/1000000)</x:f>
        <x:v>28.75</x:v>
      </x:c>
    </x:row>
    <x:row r="1467" ht="21" customHeight="1">
      <x:c r="A1467" s="10" t="n">
        <x:v>2291</x:v>
      </x:c>
      <x:c r="B1467" s="2" t="str">
        <x:v>837ebf5c08cf73eae1dc</x:v>
      </x:c>
      <x:c r="C1467" s="2" t="str">
        <x:v>Cần Thơ</x:v>
      </x:c>
      <x:c r="D1467" s="2" t="str">
        <x:v>Quận Ninh Kiều</x:v>
      </x:c>
      <x:c r="E1467" s="2" t="str">
        <x:v>other_unknown</x:v>
      </x:c>
      <x:c r="F1467" s="2" t="str">
        <x:v>sale</x:v>
      </x:c>
      <x:c r="G1467" s="11" t="n">
        <x:v>66</x:v>
      </x:c>
      <x:c r="H1467" s="12" t="n">
        <x:v>1750000000</x:v>
      </x:c>
      <x:c r="I1467" s="12" t="n">
        <x:v>26515151.515151516</x:v>
      </x:c>
      <x:c r="J1467" s="2" t="str">
        <x:v>total</x:v>
      </x:c>
      <x:c r="K1467" s="2" t="str">
        <x:v>top_level_area</x:v>
      </x:c>
      <x:c r="L1467" s="2" t="str">
        <x:v>property_type_inferred_from_title;unknown_property_type</x:v>
      </x:c>
      <x:c r="M1467" s="10" t="n">
        <x:v>0</x:v>
      </x:c>
      <x:c r="N1467" s="10" t="n">
        <x:v>0</x:v>
      </x:c>
      <x:c r="O1467" s="2" t="str">
        <x:v>other_unknown</x:v>
      </x:c>
      <x:c r="P1467" s="10" t="n">
        <x:v>2</x:v>
      </x:c>
      <x:c r="Q1467" s="13" t="n">
        <x:f>IF(H1467="","",H1467/1000000000)</x:f>
        <x:v>1.75</x:v>
      </x:c>
      <x:c r="R1467" s="13" t="n">
        <x:f>IF(I1467="","",I1467/1000000)</x:f>
        <x:v>26.515151515151516</x:v>
      </x:c>
    </x:row>
    <x:row r="1468" ht="21" customHeight="1">
      <x:c r="A1468" s="10" t="n">
        <x:v>2292</x:v>
      </x:c>
      <x:c r="B1468" s="2" t="str">
        <x:v>03aebaf714f4f383c892</x:v>
      </x:c>
      <x:c r="C1468" s="2" t="str">
        <x:v>Bình Dương</x:v>
      </x:c>
      <x:c r="D1468" s="2" t="str">
        <x:v>Thành phố Thủ Dầu Một</x:v>
      </x:c>
      <x:c r="E1468" s="2" t="str">
        <x:v>other_unknown</x:v>
      </x:c>
      <x:c r="F1468" s="2" t="str">
        <x:v>sale</x:v>
      </x:c>
      <x:c r="G1468" s="11" t="n">
        <x:v>110</x:v>
      </x:c>
      <x:c r="H1468" s="12" t="n">
        <x:v>6500000000</x:v>
      </x:c>
      <x:c r="I1468" s="12" t="n">
        <x:v>59090909.09090909</x:v>
      </x:c>
      <x:c r="J1468" s="2" t="str">
        <x:v>total</x:v>
      </x:c>
      <x:c r="K1468" s="2" t="str">
        <x:v>top_level_area</x:v>
      </x:c>
      <x:c r="L1468" s="2" t="str">
        <x:v>property_type_inferred_from_title;unknown_property_type</x:v>
      </x:c>
      <x:c r="M1468" s="10" t="n">
        <x:v>0</x:v>
      </x:c>
      <x:c r="N1468" s="10" t="n">
        <x:v>1</x:v>
      </x:c>
      <x:c r="O1468" s="2" t="str">
        <x:v>Bình Dương|other_unknown</x:v>
      </x:c>
      <x:c r="P1468" s="10" t="n">
        <x:v>-1</x:v>
      </x:c>
      <x:c r="Q1468" s="13" t="n">
        <x:f>IF(H1468="","",H1468/1000000000)</x:f>
        <x:v>6.5</x:v>
      </x:c>
      <x:c r="R1468" s="13" t="n">
        <x:f>IF(I1468="","",I1468/1000000)</x:f>
        <x:v>59.09090909090909</x:v>
      </x:c>
    </x:row>
    <x:row r="1469" ht="21" customHeight="1">
      <x:c r="A1469" s="10" t="n">
        <x:v>2293</x:v>
      </x:c>
      <x:c r="B1469" s="2" t="str">
        <x:v>1ce209ae6ee46d1cd278</x:v>
      </x:c>
      <x:c r="C1469" s="2" t="str">
        <x:v>Bình Dương</x:v>
      </x:c>
      <x:c r="D1469" s="2" t="str">
        <x:v>Thị xã Dĩ An</x:v>
      </x:c>
      <x:c r="E1469" s="2" t="str">
        <x:v>house</x:v>
      </x:c>
      <x:c r="F1469" s="2" t="str">
        <x:v>sale_assumed</x:v>
      </x:c>
      <x:c r="G1469" s="11" t="n">
        <x:v>85</x:v>
      </x:c>
      <x:c r="H1469" s="12" t="n">
        <x:v>1350000000</x:v>
      </x:c>
      <x:c r="I1469" s="12" t="n">
        <x:v>15882352.94117647</x:v>
      </x:c>
      <x:c r="J1469" s="2" t="str">
        <x:v>total</x:v>
      </x:c>
      <x:c r="K1469" s="2" t="str">
        <x:v>top_level_price_embedded_area</x:v>
      </x:c>
      <x:c r="L1469" s="2" t="str">
        <x:v>area_recovered_from_price_text;property_type_inferred_from_title;transaction_assumed_sale_from_dataset_context</x:v>
      </x:c>
      <x:c r="M1469" s="10" t="n">
        <x:v>0</x:v>
      </x:c>
      <x:c r="N1469" s="10" t="n">
        <x:v>0</x:v>
      </x:c>
      <x:c r="O1469" s="2" t="str">
        <x:v>Bình Dương|house</x:v>
      </x:c>
      <x:c r="P1469" s="10" t="n">
        <x:v>2</x:v>
      </x:c>
      <x:c r="Q1469" s="13" t="n">
        <x:f>IF(H1469="","",H1469/1000000000)</x:f>
        <x:v>1.35</x:v>
      </x:c>
      <x:c r="R1469" s="13" t="n">
        <x:f>IF(I1469="","",I1469/1000000)</x:f>
        <x:v>15.882352941176471</x:v>
      </x:c>
    </x:row>
    <x:row r="1470" ht="21" customHeight="1">
      <x:c r="A1470" s="10" t="n">
        <x:v>2294</x:v>
      </x:c>
      <x:c r="B1470" s="2" t="str">
        <x:v>7aa3013eacb741dd4998</x:v>
      </x:c>
      <x:c r="C1470" s="2" t="str">
        <x:v>Đồng Nai</x:v>
      </x:c>
      <x:c r="D1470" s="2" t="str">
        <x:v>Huyện Trảng Bom</x:v>
      </x:c>
      <x:c r="E1470" s="2" t="str">
        <x:v>land</x:v>
      </x:c>
      <x:c r="F1470" s="2" t="str">
        <x:v>sale_assumed</x:v>
      </x:c>
      <x:c r="G1470" s="11" t="n">
        <x:v>100</x:v>
      </x:c>
      <x:c r="H1470" s="12" t="n">
        <x:v>210000000</x:v>
      </x:c>
      <x:c r="I1470" s="12" t="n">
        <x:v>2100000</x:v>
      </x:c>
      <x:c r="J1470" s="2" t="str">
        <x:v>total</x:v>
      </x:c>
      <x:c r="K1470" s="2" t="str">
        <x:v>top_level_area</x:v>
      </x:c>
      <x:c r="L1470" s="2" t="str">
        <x:v>property_type_inferred_from_title;transaction_assumed_sale_from_dataset_context</x:v>
      </x:c>
      <x:c r="M1470" s="10" t="n">
        <x:v>0</x:v>
      </x:c>
      <x:c r="N1470" s="10" t="n">
        <x:v>0</x:v>
      </x:c>
      <x:c r="O1470" s="2" t="str">
        <x:v>Đồng Nai|land</x:v>
      </x:c>
      <x:c r="P1470" s="10" t="n">
        <x:v>1</x:v>
      </x:c>
      <x:c r="Q1470" s="13" t="n">
        <x:f>IF(H1470="","",H1470/1000000000)</x:f>
        <x:v>0.21</x:v>
      </x:c>
      <x:c r="R1470" s="13" t="n">
        <x:f>IF(I1470="","",I1470/1000000)</x:f>
        <x:v>2.1</x:v>
      </x:c>
    </x:row>
    <x:row r="1471" ht="21" customHeight="1">
      <x:c r="A1471" s="10" t="n">
        <x:v>2295</x:v>
      </x:c>
      <x:c r="B1471" s="2" t="str">
        <x:v>34b2db46a845c87e2dc9</x:v>
      </x:c>
      <x:c r="C1471" s="2" t="str">
        <x:v>Tp Hồ Chí Minh</x:v>
      </x:c>
      <x:c r="D1471" s="2" t="str">
        <x:v>Quận 9</x:v>
      </x:c>
      <x:c r="E1471" s="2" t="str">
        <x:v>land</x:v>
      </x:c>
      <x:c r="F1471" s="2" t="str">
        <x:v>sale_assumed</x:v>
      </x:c>
      <x:c r="G1471" s="11" t="n">
        <x:v>55</x:v>
      </x:c>
      <x:c r="H1471" s="12" t="n">
        <x:v>3300000000</x:v>
      </x:c>
      <x:c r="I1471" s="12" t="n">
        <x:v>60000000</x:v>
      </x:c>
      <x:c r="J1471" s="2" t="str">
        <x:v>total</x:v>
      </x:c>
      <x:c r="K1471" s="2" t="str">
        <x:v>top_level_area</x:v>
      </x:c>
      <x:c r="L1471" s="2" t="str">
        <x:v>property_type_inferred_from_title;transaction_assumed_sale_from_dataset_context</x:v>
      </x:c>
      <x:c r="M1471" s="10" t="n">
        <x:v>0</x:v>
      </x:c>
      <x:c r="N1471" s="10" t="n">
        <x:v>0</x:v>
      </x:c>
      <x:c r="O1471" s="2" t="str">
        <x:v>Tp Hồ Chí Minh|land</x:v>
      </x:c>
      <x:c r="P1471" s="10" t="n">
        <x:v>2</x:v>
      </x:c>
      <x:c r="Q1471" s="13" t="n">
        <x:f>IF(H1471="","",H1471/1000000000)</x:f>
        <x:v>3.3</x:v>
      </x:c>
      <x:c r="R1471" s="13" t="n">
        <x:f>IF(I1471="","",I1471/1000000)</x:f>
        <x:v>60</x:v>
      </x:c>
    </x:row>
    <x:row r="1472" ht="21" customHeight="1">
      <x:c r="A1472" s="10" t="n">
        <x:v>2296</x:v>
      </x:c>
      <x:c r="B1472" s="2" t="str">
        <x:v>30199eb53c098f7c48c8</x:v>
      </x:c>
      <x:c r="C1472" s="2" t="str">
        <x:v>Tp Hồ Chí Minh</x:v>
      </x:c>
      <x:c r="D1472" s="2" t="str">
        <x:v>Huyện Củ Chi</x:v>
      </x:c>
      <x:c r="E1472" s="2" t="str">
        <x:v>house</x:v>
      </x:c>
      <x:c r="F1472" s="2" t="str">
        <x:v>sale_assumed</x:v>
      </x:c>
      <x:c r="G1472" s="11" t="n">
        <x:v>48</x:v>
      </x:c>
      <x:c r="H1472" s="12" t="n">
        <x:v>600000000</x:v>
      </x:c>
      <x:c r="I1472" s="12" t="n">
        <x:v>12500000</x:v>
      </x:c>
      <x:c r="J1472" s="2" t="str">
        <x:v>total</x:v>
      </x:c>
      <x:c r="K1472" s="2" t="str">
        <x:v>top_level_area</x:v>
      </x:c>
      <x:c r="L1472" s="2" t="str">
        <x:v>property_type_inferred_from_title;transaction_assumed_sale_from_dataset_context</x:v>
      </x:c>
      <x:c r="M1472" s="10" t="n">
        <x:v>0</x:v>
      </x:c>
      <x:c r="N1472" s="10" t="n">
        <x:v>0</x:v>
      </x:c>
      <x:c r="O1472" s="2" t="str">
        <x:v>Tp Hồ Chí Minh|house</x:v>
      </x:c>
      <x:c r="P1472" s="10" t="n">
        <x:v>2</x:v>
      </x:c>
      <x:c r="Q1472" s="13" t="n">
        <x:f>IF(H1472="","",H1472/1000000000)</x:f>
        <x:v>0.6</x:v>
      </x:c>
      <x:c r="R1472" s="13" t="n">
        <x:f>IF(I1472="","",I1472/1000000)</x:f>
        <x:v>12.5</x:v>
      </x:c>
    </x:row>
    <x:row r="1473" ht="21" customHeight="1">
      <x:c r="A1473" s="10" t="n">
        <x:v>2297</x:v>
      </x:c>
      <x:c r="B1473" s="2" t="str">
        <x:v>602e8a42f541c575e3da</x:v>
      </x:c>
      <x:c r="C1473" s="2" t="str">
        <x:v>Thái Bình</x:v>
      </x:c>
      <x:c r="D1473" s="2" t="str">
        <x:v>Huyện Đông Hưng</x:v>
      </x:c>
      <x:c r="E1473" s="2" t="str">
        <x:v>land</x:v>
      </x:c>
      <x:c r="F1473" s="2" t="str">
        <x:v>sale_assumed</x:v>
      </x:c>
      <x:c r="G1473" s="11" t="n">
        <x:v>150</x:v>
      </x:c>
      <x:c r="H1473" s="12" t="n">
        <x:v>845000000</x:v>
      </x:c>
      <x:c r="I1473" s="12" t="n">
        <x:v>5633333.333333333</x:v>
      </x:c>
      <x:c r="J1473" s="2" t="str">
        <x:v>total</x:v>
      </x:c>
      <x:c r="K1473" s="2" t="str">
        <x:v>top_level_area</x:v>
      </x:c>
      <x:c r="L1473" s="2" t="str">
        <x:v>property_type_inferred_from_title;transaction_assumed_sale_from_dataset_context</x:v>
      </x:c>
      <x:c r="M1473" s="10" t="n">
        <x:v>0</x:v>
      </x:c>
      <x:c r="N1473" s="10" t="n">
        <x:v>0</x:v>
      </x:c>
      <x:c r="O1473" s="2" t="str">
        <x:v>land</x:v>
      </x:c>
      <x:c r="P1473" s="10" t="n">
        <x:v>2</x:v>
      </x:c>
      <x:c r="Q1473" s="13" t="n">
        <x:f>IF(H1473="","",H1473/1000000000)</x:f>
        <x:v>0.845</x:v>
      </x:c>
      <x:c r="R1473" s="13" t="n">
        <x:f>IF(I1473="","",I1473/1000000)</x:f>
        <x:v>5.633333333333333</x:v>
      </x:c>
    </x:row>
    <x:row r="1474" ht="21" customHeight="1">
      <x:c r="A1474" s="10" t="n">
        <x:v>2298</x:v>
      </x:c>
      <x:c r="B1474" s="2" t="str">
        <x:v>135c0247585a924afded</x:v>
      </x:c>
      <x:c r="C1474" s="2" t="str">
        <x:v>Tp Hồ Chí Minh</x:v>
      </x:c>
      <x:c r="D1474" s="2" t="str">
        <x:v>Quận Bình Thạnh</x:v>
      </x:c>
      <x:c r="E1474" s="2" t="str">
        <x:v>house</x:v>
      </x:c>
      <x:c r="F1474" s="2" t="str">
        <x:v>sale</x:v>
      </x:c>
      <x:c r="G1474" s="11" t="n">
        <x:v>45</x:v>
      </x:c>
      <x:c r="H1474" s="12" t="n">
        <x:v>1100000000</x:v>
      </x:c>
      <x:c r="I1474" s="12" t="n">
        <x:v>24444444.444444444</x:v>
      </x:c>
      <x:c r="J1474" s="2" t="str">
        <x:v>total</x:v>
      </x:c>
      <x:c r="K1474" s="2" t="str">
        <x:v>top_level_area</x:v>
      </x:c>
      <x:c r="L1474" s="2" t="str">
        <x:v>property_type_inferred_from_title</x:v>
      </x:c>
      <x:c r="M1474" s="10" t="n">
        <x:v>0</x:v>
      </x:c>
      <x:c r="N1474" s="10" t="n">
        <x:v>0</x:v>
      </x:c>
      <x:c r="O1474" s="2" t="str">
        <x:v>Tp Hồ Chí Minh|house</x:v>
      </x:c>
      <x:c r="P1474" s="10" t="n">
        <x:v>2</x:v>
      </x:c>
      <x:c r="Q1474" s="13" t="n">
        <x:f>IF(H1474="","",H1474/1000000000)</x:f>
        <x:v>1.1</x:v>
      </x:c>
      <x:c r="R1474" s="13" t="n">
        <x:f>IF(I1474="","",I1474/1000000)</x:f>
        <x:v>24.444444444444443</x:v>
      </x:c>
    </x:row>
    <x:row r="1475" ht="21" customHeight="1">
      <x:c r="A1475" s="10" t="n">
        <x:v>2299</x:v>
      </x:c>
      <x:c r="B1475" s="2" t="str">
        <x:v>1c1dd3d608654da8847a</x:v>
      </x:c>
      <x:c r="C1475" s="2" t="str">
        <x:v>Đà Nẵng</x:v>
      </x:c>
      <x:c r="D1475" s="2" t="str">
        <x:v>Quận Hải Châu</x:v>
      </x:c>
      <x:c r="E1475" s="2" t="str">
        <x:v>house</x:v>
      </x:c>
      <x:c r="F1475" s="2" t="str">
        <x:v>sale_assumed</x:v>
      </x:c>
      <x:c r="G1475" s="11" t="n">
        <x:v>50</x:v>
      </x:c>
      <x:c r="H1475" s="12" t="n">
        <x:v>3800000000</x:v>
      </x:c>
      <x:c r="I1475" s="12" t="n">
        <x:v>76000000</x:v>
      </x:c>
      <x:c r="J1475" s="2" t="str">
        <x:v>total</x:v>
      </x:c>
      <x:c r="K1475" s="2" t="str">
        <x:v>top_level_area</x:v>
      </x:c>
      <x:c r="L1475" s="2" t="str">
        <x:v>property_type_inferred_from_title;transaction_assumed_sale_from_dataset_context</x:v>
      </x:c>
      <x:c r="M1475" s="10" t="n">
        <x:v>0</x:v>
      </x:c>
      <x:c r="N1475" s="10" t="n">
        <x:v>0</x:v>
      </x:c>
      <x:c r="O1475" s="2" t="str">
        <x:v>Đà Nẵng|house</x:v>
      </x:c>
      <x:c r="P1475" s="10" t="n">
        <x:v>2</x:v>
      </x:c>
      <x:c r="Q1475" s="13" t="n">
        <x:f>IF(H1475="","",H1475/1000000000)</x:f>
        <x:v>3.8</x:v>
      </x:c>
      <x:c r="R1475" s="13" t="n">
        <x:f>IF(I1475="","",I1475/1000000)</x:f>
        <x:v>76</x:v>
      </x:c>
    </x:row>
    <x:row r="1476" ht="21" customHeight="1">
      <x:c r="A1476" s="10" t="n">
        <x:v>2300</x:v>
      </x:c>
      <x:c r="B1476" s="2" t="str">
        <x:v>35a78271881130206e02</x:v>
      </x:c>
      <x:c r="C1476" s="2" t="str">
        <x:v>Cần Thơ</x:v>
      </x:c>
      <x:c r="D1476" s="2" t="str">
        <x:v>Quận Ninh Kiều</x:v>
      </x:c>
      <x:c r="E1476" s="2" t="str">
        <x:v>house</x:v>
      </x:c>
      <x:c r="F1476" s="2" t="str">
        <x:v>sale_assumed</x:v>
      </x:c>
      <x:c r="G1476" s="11" t="n">
        <x:v>90</x:v>
      </x:c>
      <x:c r="H1476" s="12" t="n">
        <x:v>7000000000</x:v>
      </x:c>
      <x:c r="I1476" s="12" t="n">
        <x:v>77777777.77777778</x:v>
      </x:c>
      <x:c r="J1476" s="2" t="str">
        <x:v>total</x:v>
      </x:c>
      <x:c r="K1476" s="2" t="str">
        <x:v>top_level_area</x:v>
      </x:c>
      <x:c r="L1476" s="2" t="str">
        <x:v>property_type_inferred_from_title;transaction_assumed_sale_from_dataset_context</x:v>
      </x:c>
      <x:c r="M1476" s="10" t="n">
        <x:v>0</x:v>
      </x:c>
      <x:c r="N1476" s="10" t="n">
        <x:v>0</x:v>
      </x:c>
      <x:c r="O1476" s="2" t="str">
        <x:v>Cần Thơ|house</x:v>
      </x:c>
      <x:c r="P1476" s="10" t="n">
        <x:v>2</x:v>
      </x:c>
      <x:c r="Q1476" s="13" t="n">
        <x:f>IF(H1476="","",H1476/1000000000)</x:f>
        <x:v>7</x:v>
      </x:c>
      <x:c r="R1476" s="13" t="n">
        <x:f>IF(I1476="","",I1476/1000000)</x:f>
        <x:v>77.77777777777777</x:v>
      </x:c>
    </x:row>
    <x:row r="1477" ht="21" customHeight="1">
      <x:c r="A1477" s="10" t="n">
        <x:v>2301</x:v>
      </x:c>
      <x:c r="B1477" s="2" t="str">
        <x:v>325b1328e83f773a189b</x:v>
      </x:c>
      <x:c r="C1477" s="2" t="str">
        <x:v>Bình Dương</x:v>
      </x:c>
      <x:c r="D1477" s="2" t="str">
        <x:v>Thị xã Dĩ An</x:v>
      </x:c>
      <x:c r="E1477" s="2" t="str">
        <x:v>house</x:v>
      </x:c>
      <x:c r="F1477" s="2" t="str">
        <x:v>sale_assumed</x:v>
      </x:c>
      <x:c r="G1477" s="11" t="n">
        <x:v>60</x:v>
      </x:c>
      <x:c r="H1477" s="12" t="n">
        <x:v>2780000000</x:v>
      </x:c>
      <x:c r="I1477" s="12" t="n">
        <x:v>46333333.333333336</x:v>
      </x:c>
      <x:c r="J1477" s="2" t="str">
        <x:v>total</x:v>
      </x:c>
      <x:c r="K1477" s="2" t="str">
        <x:v>top_level_area</x:v>
      </x:c>
      <x:c r="L1477" s="2" t="str">
        <x:v>property_type_inferred_from_title;transaction_assumed_sale_from_dataset_context</x:v>
      </x:c>
      <x:c r="M1477" s="10" t="n">
        <x:v>0</x:v>
      </x:c>
      <x:c r="N1477" s="10" t="n">
        <x:v>0</x:v>
      </x:c>
      <x:c r="O1477" s="2" t="str">
        <x:v>Bình Dương|house</x:v>
      </x:c>
      <x:c r="P1477" s="10" t="n">
        <x:v>2</x:v>
      </x:c>
      <x:c r="Q1477" s="13" t="n">
        <x:f>IF(H1477="","",H1477/1000000000)</x:f>
        <x:v>2.78</x:v>
      </x:c>
      <x:c r="R1477" s="13" t="n">
        <x:f>IF(I1477="","",I1477/1000000)</x:f>
        <x:v>46.333333333333336</x:v>
      </x:c>
    </x:row>
    <x:row r="1478" ht="21" customHeight="1">
      <x:c r="A1478" s="10" t="n">
        <x:v>2302</x:v>
      </x:c>
      <x:c r="B1478" s="2" t="str">
        <x:v>2f2afd89eb060d515604</x:v>
      </x:c>
      <x:c r="C1478" s="2" t="str">
        <x:v>Quảng Nam</x:v>
      </x:c>
      <x:c r="D1478" s="2" t="str">
        <x:v>Huyện Đại Lộc</x:v>
      </x:c>
      <x:c r="E1478" s="2" t="str">
        <x:v>other_unknown</x:v>
      </x:c>
      <x:c r="F1478" s="2" t="str">
        <x:v>sale_assumed</x:v>
      </x:c>
      <x:c r="G1478" s="11" t="n">
        <x:v>185</x:v>
      </x:c>
      <x:c r="H1478" s="12" t="n">
        <x:v>430000000</x:v>
      </x:c>
      <x:c r="I1478" s="12" t="n">
        <x:v>2324324.3243243243</x:v>
      </x:c>
      <x:c r="J1478" s="2" t="str">
        <x:v>total</x:v>
      </x:c>
      <x:c r="K1478" s="2" t="str">
        <x:v>top_level_area</x:v>
      </x:c>
      <x:c r="L1478" s="2" t="str">
        <x:v>property_type_inferred_from_title;transaction_assumed_sale_from_dataset_context;unknown_property_type</x:v>
      </x:c>
      <x:c r="M1478" s="10" t="n">
        <x:v>0</x:v>
      </x:c>
      <x:c r="N1478" s="10" t="n">
        <x:v>0</x:v>
      </x:c>
      <x:c r="O1478" s="2" t="str">
        <x:v>other_unknown</x:v>
      </x:c>
      <x:c r="P1478" s="10" t="n">
        <x:v>1</x:v>
      </x:c>
      <x:c r="Q1478" s="13" t="n">
        <x:f>IF(H1478="","",H1478/1000000000)</x:f>
        <x:v>0.43</x:v>
      </x:c>
      <x:c r="R1478" s="13" t="n">
        <x:f>IF(I1478="","",I1478/1000000)</x:f>
        <x:v>2.324324324324324</x:v>
      </x:c>
    </x:row>
    <x:row r="1479" ht="21" customHeight="1">
      <x:c r="A1479" s="10" t="n">
        <x:v>2303</x:v>
      </x:c>
      <x:c r="B1479" s="2" t="str">
        <x:v>ed8cd154e29a4beca00b</x:v>
      </x:c>
      <x:c r="C1479" s="2" t="str">
        <x:v>Tp Hồ Chí Minh</x:v>
      </x:c>
      <x:c r="D1479" s="2" t="str">
        <x:v>Quận 2</x:v>
      </x:c>
      <x:c r="E1479" s="2" t="str">
        <x:v>land</x:v>
      </x:c>
      <x:c r="F1479" s="2" t="str">
        <x:v>sale_assumed</x:v>
      </x:c>
      <x:c r="G1479" s="11" t="n">
        <x:v>75</x:v>
      </x:c>
      <x:c r="H1479" s="12" t="n">
        <x:v>3050000000</x:v>
      </x:c>
      <x:c r="I1479" s="12" t="n">
        <x:v>40666666.666666664</x:v>
      </x:c>
      <x:c r="J1479" s="2" t="str">
        <x:v>total</x:v>
      </x:c>
      <x:c r="K1479" s="2" t="str">
        <x:v>top_level_area</x:v>
      </x:c>
      <x:c r="L1479" s="2" t="str">
        <x:v>property_type_inferred_from_title;transaction_assumed_sale_from_dataset_context</x:v>
      </x:c>
      <x:c r="M1479" s="10" t="n">
        <x:v>0</x:v>
      </x:c>
      <x:c r="N1479" s="10" t="n">
        <x:v>0</x:v>
      </x:c>
      <x:c r="O1479" s="2" t="str">
        <x:v>Tp Hồ Chí Minh|land</x:v>
      </x:c>
      <x:c r="P1479" s="10" t="n">
        <x:v>2</x:v>
      </x:c>
      <x:c r="Q1479" s="13" t="n">
        <x:f>IF(H1479="","",H1479/1000000000)</x:f>
        <x:v>3.05</x:v>
      </x:c>
      <x:c r="R1479" s="13" t="n">
        <x:f>IF(I1479="","",I1479/1000000)</x:f>
        <x:v>40.666666666666664</x:v>
      </x:c>
    </x:row>
    <x:row r="1480" ht="21" customHeight="1">
      <x:c r="A1480" s="10" t="n">
        <x:v>2304</x:v>
      </x:c>
      <x:c r="B1480" s="2" t="str">
        <x:v>89062915326ceb3087c7</x:v>
      </x:c>
      <x:c r="C1480" s="2" t="str">
        <x:v>Đà Nẵng</x:v>
      </x:c>
      <x:c r="D1480" s="2" t="str">
        <x:v>Quận Ngũ Hành Sơn</x:v>
      </x:c>
      <x:c r="E1480" s="2" t="str">
        <x:v>other_unknown</x:v>
      </x:c>
      <x:c r="F1480" s="2" t="str">
        <x:v>sale</x:v>
      </x:c>
      <x:c r="G1480" s="11" t="n">
        <x:v>140</x:v>
      </x:c>
      <x:c r="H1480" s="12" t="n">
        <x:v>33900000000</x:v>
      </x:c>
      <x:c r="I1480" s="12" t="n">
        <x:v>242142857.14285713</x:v>
      </x:c>
      <x:c r="J1480" s="2" t="str">
        <x:v>total</x:v>
      </x:c>
      <x:c r="K1480" s="2" t="str">
        <x:v>top_level_area</x:v>
      </x:c>
      <x:c r="L1480" s="2" t="str">
        <x:v>property_type_inferred_from_title;unknown_property_type</x:v>
      </x:c>
      <x:c r="M1480" s="10" t="n">
        <x:v>1</x:v>
      </x:c>
      <x:c r="N1480" s="10" t="n">
        <x:v>1</x:v>
      </x:c>
      <x:c r="O1480" s="2" t="str">
        <x:v>Đà Nẵng|other_unknown</x:v>
      </x:c>
      <x:c r="P1480" s="10" t="n">
        <x:v>-1</x:v>
      </x:c>
      <x:c r="Q1480" s="13" t="n">
        <x:f>IF(H1480="","",H1480/1000000000)</x:f>
        <x:v>33.9</x:v>
      </x:c>
      <x:c r="R1480" s="13" t="n">
        <x:f>IF(I1480="","",I1480/1000000)</x:f>
        <x:v>242.14285714285714</x:v>
      </x:c>
    </x:row>
    <x:row r="1481" ht="21" customHeight="1">
      <x:c r="A1481" s="10" t="n">
        <x:v>2305</x:v>
      </x:c>
      <x:c r="B1481" s="2" t="str">
        <x:v>292b901dd4a13d1cce0c</x:v>
      </x:c>
      <x:c r="C1481" s="2" t="str">
        <x:v>Tp Hồ Chí Minh</x:v>
      </x:c>
      <x:c r="D1481" s="2" t="str">
        <x:v>Quận 3</x:v>
      </x:c>
      <x:c r="E1481" s="2" t="str">
        <x:v>other_unknown</x:v>
      </x:c>
      <x:c r="F1481" s="2" t="str">
        <x:v>sale_assumed</x:v>
      </x:c>
      <x:c r="G1481" s="11" t="n">
        <x:v>40</x:v>
      </x:c>
      <x:c r="H1481" s="12" t="n">
        <x:v>6650000000</x:v>
      </x:c>
      <x:c r="I1481" s="12" t="n">
        <x:v>166250000</x:v>
      </x:c>
      <x:c r="J1481" s="2" t="str">
        <x:v>total</x:v>
      </x:c>
      <x:c r="K1481" s="2" t="str">
        <x:v>top_level_price_embedded_area</x:v>
      </x:c>
      <x:c r="L1481" s="2" t="str">
        <x:v>area_recovered_from_price_text;property_type_inferred_from_title;transaction_assumed_sale_from_dataset_context;unknown_property_type</x:v>
      </x:c>
      <x:c r="M1481" s="10" t="n">
        <x:v>1</x:v>
      </x:c>
      <x:c r="N1481" s="10" t="n">
        <x:v>0</x:v>
      </x:c>
      <x:c r="O1481" s="2" t="str">
        <x:v>Tp Hồ Chí Minh|other_unknown</x:v>
      </x:c>
      <x:c r="P1481" s="10" t="n">
        <x:v>2</x:v>
      </x:c>
      <x:c r="Q1481" s="13" t="n">
        <x:f>IF(H1481="","",H1481/1000000000)</x:f>
        <x:v>6.65</x:v>
      </x:c>
      <x:c r="R1481" s="13" t="n">
        <x:f>IF(I1481="","",I1481/1000000)</x:f>
        <x:v>166.25</x:v>
      </x:c>
    </x:row>
    <x:row r="1482" ht="21" customHeight="1">
      <x:c r="A1482" s="10" t="n">
        <x:v>2306</x:v>
      </x:c>
      <x:c r="B1482" s="2" t="str">
        <x:v>4ddc98e01741e85148cc</x:v>
      </x:c>
      <x:c r="C1482" s="2" t="str">
        <x:v>Tp Hồ Chí Minh</x:v>
      </x:c>
      <x:c r="D1482" s="2" t="str">
        <x:v>Quận 9</x:v>
      </x:c>
      <x:c r="E1482" s="2" t="str">
        <x:v>house</x:v>
      </x:c>
      <x:c r="F1482" s="2" t="str">
        <x:v>sale_assumed</x:v>
      </x:c>
      <x:c r="G1482" s="11" t="n">
        <x:v>42</x:v>
      </x:c>
      <x:c r="H1482" s="12" t="n">
        <x:v>1200000000</x:v>
      </x:c>
      <x:c r="I1482" s="12" t="n">
        <x:v>28571428.57142857</x:v>
      </x:c>
      <x:c r="J1482" s="2" t="str">
        <x:v>total</x:v>
      </x:c>
      <x:c r="K1482" s="2" t="str">
        <x:v>top_level_area</x:v>
      </x:c>
      <x:c r="L1482" s="2" t="str">
        <x:v>property_type_inferred_from_title;transaction_assumed_sale_from_dataset_context</x:v>
      </x:c>
      <x:c r="M1482" s="10" t="n">
        <x:v>0</x:v>
      </x:c>
      <x:c r="N1482" s="10" t="n">
        <x:v>0</x:v>
      </x:c>
      <x:c r="O1482" s="2" t="str">
        <x:v>Tp Hồ Chí Minh|house</x:v>
      </x:c>
      <x:c r="P1482" s="10" t="n">
        <x:v>2</x:v>
      </x:c>
      <x:c r="Q1482" s="13" t="n">
        <x:f>IF(H1482="","",H1482/1000000000)</x:f>
        <x:v>1.2</x:v>
      </x:c>
      <x:c r="R1482" s="13" t="n">
        <x:f>IF(I1482="","",I1482/1000000)</x:f>
        <x:v>28.57142857142857</x:v>
      </x:c>
    </x:row>
    <x:row r="1483" ht="21" customHeight="1">
      <x:c r="A1483" s="10" t="n">
        <x:v>2307</x:v>
      </x:c>
      <x:c r="B1483" s="2" t="str">
        <x:v>887748c74106324c5d9c</x:v>
      </x:c>
      <x:c r="C1483" s="2" t="str">
        <x:v>Hậu Giang</x:v>
      </x:c>
      <x:c r="D1483" s="2" t="str">
        <x:v>Huyện Châu Thành A</x:v>
      </x:c>
      <x:c r="E1483" s="2" t="str">
        <x:v>land</x:v>
      </x:c>
      <x:c r="F1483" s="2" t="str">
        <x:v>sale</x:v>
      </x:c>
      <x:c r="G1483" s="11" t="n">
        <x:v>100</x:v>
      </x:c>
      <x:c r="H1483" s="12" t="n">
        <x:v>900000000</x:v>
      </x:c>
      <x:c r="I1483" s="12" t="n">
        <x:v>9000000</x:v>
      </x:c>
      <x:c r="J1483" s="2" t="str">
        <x:v>total</x:v>
      </x:c>
      <x:c r="K1483" s="2" t="str">
        <x:v>top_level_area</x:v>
      </x:c>
      <x:c r="L1483" s="2" t="str">
        <x:v>property_type_inferred_from_title</x:v>
      </x:c>
      <x:c r="M1483" s="10" t="n">
        <x:v>0</x:v>
      </x:c>
      <x:c r="N1483" s="10" t="n">
        <x:v>0</x:v>
      </x:c>
      <x:c r="O1483" s="2" t="str">
        <x:v>land</x:v>
      </x:c>
      <x:c r="P1483" s="10" t="n">
        <x:v>2</x:v>
      </x:c>
      <x:c r="Q1483" s="13" t="n">
        <x:f>IF(H1483="","",H1483/1000000000)</x:f>
        <x:v>0.9</x:v>
      </x:c>
      <x:c r="R1483" s="13" t="n">
        <x:f>IF(I1483="","",I1483/1000000)</x:f>
        <x:v>9</x:v>
      </x:c>
    </x:row>
    <x:row r="1484" ht="21" customHeight="1">
      <x:c r="A1484" s="10" t="n">
        <x:v>2308</x:v>
      </x:c>
      <x:c r="B1484" s="2" t="str">
        <x:v>29067a60321972ae8df6</x:v>
      </x:c>
      <x:c r="C1484" s="2" t="str">
        <x:v>Tp Hồ Chí Minh</x:v>
      </x:c>
      <x:c r="D1484" s="2" t="str">
        <x:v>Quận 9</x:v>
      </x:c>
      <x:c r="E1484" s="2" t="str">
        <x:v>apartment</x:v>
      </x:c>
      <x:c r="F1484" s="2" t="str">
        <x:v>sale</x:v>
      </x:c>
      <x:c r="G1484" s="11" t="n">
        <x:v>112</x:v>
      </x:c>
      <x:c r="H1484" s="12" t="n">
        <x:v>3500000000</x:v>
      </x:c>
      <x:c r="I1484" s="12" t="n">
        <x:v>31250000</x:v>
      </x:c>
      <x:c r="J1484" s="2" t="str">
        <x:v>total</x:v>
      </x:c>
      <x:c r="K1484" s="2" t="str">
        <x:v>top_level_area</x:v>
      </x:c>
      <x:c r="L1484" s="2" t="str">
        <x:v>property_type_inferred_from_title</x:v>
      </x:c>
      <x:c r="M1484" s="10" t="n">
        <x:v>0</x:v>
      </x:c>
      <x:c r="N1484" s="10" t="n">
        <x:v>0</x:v>
      </x:c>
      <x:c r="O1484" s="2" t="str">
        <x:v>Tp Hồ Chí Minh|apartment</x:v>
      </x:c>
      <x:c r="P1484" s="10" t="n">
        <x:v>2</x:v>
      </x:c>
      <x:c r="Q1484" s="13" t="n">
        <x:f>IF(H1484="","",H1484/1000000000)</x:f>
        <x:v>3.5</x:v>
      </x:c>
      <x:c r="R1484" s="13" t="n">
        <x:f>IF(I1484="","",I1484/1000000)</x:f>
        <x:v>31.25</x:v>
      </x:c>
    </x:row>
    <x:row r="1485" ht="21" customHeight="1">
      <x:c r="A1485" s="10" t="n">
        <x:v>2309</x:v>
      </x:c>
      <x:c r="B1485" s="2" t="str">
        <x:v>45668ee649e073475cae</x:v>
      </x:c>
      <x:c r="C1485" s="2" t="str">
        <x:v>Đà Nẵng</x:v>
      </x:c>
      <x:c r="D1485" s="2" t="str">
        <x:v>Quận Hải Châu</x:v>
      </x:c>
      <x:c r="E1485" s="2" t="str">
        <x:v>house</x:v>
      </x:c>
      <x:c r="F1485" s="2" t="str">
        <x:v>sale</x:v>
      </x:c>
      <x:c r="G1485" s="11" t="n">
        <x:v>67.3</x:v>
      </x:c>
      <x:c r="H1485" s="12" t="n">
        <x:v>8000000000</x:v>
      </x:c>
      <x:c r="I1485" s="12" t="n">
        <x:v>118870728.08320951</x:v>
      </x:c>
      <x:c r="J1485" s="2" t="str">
        <x:v>total</x:v>
      </x:c>
      <x:c r="K1485" s="2" t="str">
        <x:v>top_level_area</x:v>
      </x:c>
      <x:c r="L1485" s="2" t="str">
        <x:v>property_type_inferred_from_title</x:v>
      </x:c>
      <x:c r="M1485" s="10" t="n">
        <x:v>0</x:v>
      </x:c>
      <x:c r="N1485" s="10" t="n">
        <x:v>0</x:v>
      </x:c>
      <x:c r="O1485" s="2" t="str">
        <x:v>Đà Nẵng|house</x:v>
      </x:c>
      <x:c r="P1485" s="10" t="n">
        <x:v>2</x:v>
      </x:c>
      <x:c r="Q1485" s="13" t="n">
        <x:f>IF(H1485="","",H1485/1000000000)</x:f>
        <x:v>8</x:v>
      </x:c>
      <x:c r="R1485" s="13" t="n">
        <x:f>IF(I1485="","",I1485/1000000)</x:f>
        <x:v>118.87072808320951</x:v>
      </x:c>
    </x:row>
    <x:row r="1486" ht="21" customHeight="1">
      <x:c r="A1486" s="10" t="n">
        <x:v>2310</x:v>
      </x:c>
      <x:c r="B1486" s="2" t="str">
        <x:v>0a32da2e57fa9e91ae6a</x:v>
      </x:c>
      <x:c r="C1486" s="2" t="str">
        <x:v>Tp Hồ Chí Minh</x:v>
      </x:c>
      <x:c r="D1486" s="2" t="str">
        <x:v>Quận 12</x:v>
      </x:c>
      <x:c r="E1486" s="2" t="str">
        <x:v>house</x:v>
      </x:c>
      <x:c r="F1486" s="2" t="str">
        <x:v>sale_assumed</x:v>
      </x:c>
      <x:c r="G1486" s="11" t="n">
        <x:v>38</x:v>
      </x:c>
      <x:c r="H1486" s="12" t="n">
        <x:v>820000000</x:v>
      </x:c>
      <x:c r="I1486" s="12" t="n">
        <x:v>21578947.36842105</x:v>
      </x:c>
      <x:c r="J1486" s="2" t="str">
        <x:v>total</x:v>
      </x:c>
      <x:c r="K1486" s="2" t="str">
        <x:v>top_level_area</x:v>
      </x:c>
      <x:c r="L1486" s="2" t="str">
        <x:v>property_type_inferred_from_title;transaction_assumed_sale_from_dataset_context</x:v>
      </x:c>
      <x:c r="M1486" s="10" t="n">
        <x:v>0</x:v>
      </x:c>
      <x:c r="N1486" s="10" t="n">
        <x:v>0</x:v>
      </x:c>
      <x:c r="O1486" s="2" t="str">
        <x:v>Tp Hồ Chí Minh|house</x:v>
      </x:c>
      <x:c r="P1486" s="10" t="n">
        <x:v>2</x:v>
      </x:c>
      <x:c r="Q1486" s="13" t="n">
        <x:f>IF(H1486="","",H1486/1000000000)</x:f>
        <x:v>0.82</x:v>
      </x:c>
      <x:c r="R1486" s="13" t="n">
        <x:f>IF(I1486="","",I1486/1000000)</x:f>
        <x:v>21.57894736842105</x:v>
      </x:c>
    </x:row>
    <x:row r="1487" ht="21" customHeight="1">
      <x:c r="A1487" s="10" t="n">
        <x:v>2311</x:v>
      </x:c>
      <x:c r="B1487" s="2" t="str">
        <x:v>537c70bf9015832b2750</x:v>
      </x:c>
      <x:c r="C1487" s="2" t="str">
        <x:v>Tp Hồ Chí Minh</x:v>
      </x:c>
      <x:c r="D1487" s="2" t="str">
        <x:v>Quận Bình Thạnh</x:v>
      </x:c>
      <x:c r="E1487" s="2" t="str">
        <x:v>house</x:v>
      </x:c>
      <x:c r="F1487" s="2" t="str">
        <x:v>sale</x:v>
      </x:c>
      <x:c r="G1487" s="11" t="n">
        <x:v>25</x:v>
      </x:c>
      <x:c r="H1487" s="12" t="n">
        <x:v>2750000000</x:v>
      </x:c>
      <x:c r="I1487" s="12" t="n">
        <x:v>110000000</x:v>
      </x:c>
      <x:c r="J1487" s="2" t="str">
        <x:v>total</x:v>
      </x:c>
      <x:c r="K1487" s="2" t="str">
        <x:v>top_level_area</x:v>
      </x:c>
      <x:c r="L1487" s="2" t="str">
        <x:v>property_type_inferred_from_title</x:v>
      </x:c>
      <x:c r="M1487" s="10" t="n">
        <x:v>0</x:v>
      </x:c>
      <x:c r="N1487" s="10" t="n">
        <x:v>0</x:v>
      </x:c>
      <x:c r="O1487" s="2" t="str">
        <x:v>Tp Hồ Chí Minh|house</x:v>
      </x:c>
      <x:c r="P1487" s="10" t="n">
        <x:v>2</x:v>
      </x:c>
      <x:c r="Q1487" s="13" t="n">
        <x:f>IF(H1487="","",H1487/1000000000)</x:f>
        <x:v>2.75</x:v>
      </x:c>
      <x:c r="R1487" s="13" t="n">
        <x:f>IF(I1487="","",I1487/1000000)</x:f>
        <x:v>110</x:v>
      </x:c>
    </x:row>
    <x:row r="1488" ht="21" customHeight="1">
      <x:c r="A1488" s="10" t="n">
        <x:v>2314</x:v>
      </x:c>
      <x:c r="B1488" s="2" t="str">
        <x:v>e7389bb76f9bf8c46e6d</x:v>
      </x:c>
      <x:c r="C1488" s="2" t="str">
        <x:v>Tp Hồ Chí Minh</x:v>
      </x:c>
      <x:c r="D1488" s="2" t="str">
        <x:v>Quận 7</x:v>
      </x:c>
      <x:c r="E1488" s="2" t="str">
        <x:v>apartment</x:v>
      </x:c>
      <x:c r="F1488" s="2" t="str">
        <x:v>sale</x:v>
      </x:c>
      <x:c r="G1488" s="11" t="n">
        <x:v>69.5</x:v>
      </x:c>
      <x:c r="H1488" s="12" t="n">
        <x:v>4075000000</x:v>
      </x:c>
      <x:c r="I1488" s="12" t="n">
        <x:v>58633093.525179856</x:v>
      </x:c>
      <x:c r="J1488" s="2" t="str">
        <x:v>total</x:v>
      </x:c>
      <x:c r="K1488" s="2" t="str">
        <x:v>top_level_area</x:v>
      </x:c>
      <x:c r="L1488" s="2" t="str">
        <x:v>property_type_inferred_from_title</x:v>
      </x:c>
      <x:c r="M1488" s="10" t="n">
        <x:v>0</x:v>
      </x:c>
      <x:c r="N1488" s="10" t="n">
        <x:v>0</x:v>
      </x:c>
      <x:c r="O1488" s="2" t="str">
        <x:v>Tp Hồ Chí Minh|apartment</x:v>
      </x:c>
      <x:c r="P1488" s="10" t="n">
        <x:v>2</x:v>
      </x:c>
      <x:c r="Q1488" s="13" t="n">
        <x:f>IF(H1488="","",H1488/1000000000)</x:f>
        <x:v>4.075</x:v>
      </x:c>
      <x:c r="R1488" s="13" t="n">
        <x:f>IF(I1488="","",I1488/1000000)</x:f>
        <x:v>58.63309352517985</x:v>
      </x:c>
    </x:row>
    <x:row r="1489" ht="21" customHeight="1">
      <x:c r="A1489" s="10" t="n">
        <x:v>2316</x:v>
      </x:c>
      <x:c r="B1489" s="2" t="str">
        <x:v>fca7e6d9c5e9b06fa0db</x:v>
      </x:c>
      <x:c r="C1489" s="2" t="str">
        <x:v>Tp Hồ Chí Minh</x:v>
      </x:c>
      <x:c r="D1489" s="2" t="str">
        <x:v>Quận 12</x:v>
      </x:c>
      <x:c r="E1489" s="2" t="str">
        <x:v>house</x:v>
      </x:c>
      <x:c r="F1489" s="2" t="str">
        <x:v>sale</x:v>
      </x:c>
      <x:c r="G1489" s="11" t="n">
        <x:v>90</x:v>
      </x:c>
      <x:c r="H1489" s="12" t="n">
        <x:v>870000000</x:v>
      </x:c>
      <x:c r="I1489" s="12" t="n">
        <x:v>9666666.666666666</x:v>
      </x:c>
      <x:c r="J1489" s="2" t="str">
        <x:v>total</x:v>
      </x:c>
      <x:c r="K1489" s="2" t="str">
        <x:v>top_level_area</x:v>
      </x:c>
      <x:c r="L1489" s="2" t="str">
        <x:v>property_type_inferred_from_title</x:v>
      </x:c>
      <x:c r="M1489" s="10" t="n">
        <x:v>0</x:v>
      </x:c>
      <x:c r="N1489" s="10" t="n">
        <x:v>0</x:v>
      </x:c>
      <x:c r="O1489" s="2" t="str">
        <x:v>Tp Hồ Chí Minh|house</x:v>
      </x:c>
      <x:c r="P1489" s="10" t="n">
        <x:v>2</x:v>
      </x:c>
      <x:c r="Q1489" s="13" t="n">
        <x:f>IF(H1489="","",H1489/1000000000)</x:f>
        <x:v>0.87</x:v>
      </x:c>
      <x:c r="R1489" s="13" t="n">
        <x:f>IF(I1489="","",I1489/1000000)</x:f>
        <x:v>9.666666666666666</x:v>
      </x:c>
    </x:row>
    <x:row r="1490" ht="21" customHeight="1">
      <x:c r="A1490" s="10" t="n">
        <x:v>2317</x:v>
      </x:c>
      <x:c r="B1490" s="2" t="str">
        <x:v>714d4c70ce2e896934aa</x:v>
      </x:c>
      <x:c r="C1490" s="2" t="str">
        <x:v>Tp Hồ Chí Minh</x:v>
      </x:c>
      <x:c r="D1490" s="2" t="str">
        <x:v>Quận 11</x:v>
      </x:c>
      <x:c r="E1490" s="2" t="str">
        <x:v>house</x:v>
      </x:c>
      <x:c r="F1490" s="2" t="str">
        <x:v>sale</x:v>
      </x:c>
      <x:c r="G1490" s="11" t="n">
        <x:v>400</x:v>
      </x:c>
      <x:c r="H1490" s="12" t="n">
        <x:v>10990000000</x:v>
      </x:c>
      <x:c r="I1490" s="12" t="n">
        <x:v>27475000</x:v>
      </x:c>
      <x:c r="J1490" s="2" t="str">
        <x:v>total</x:v>
      </x:c>
      <x:c r="K1490" s="2" t="str">
        <x:v>top_level_area</x:v>
      </x:c>
      <x:c r="L1490" s="2" t="str">
        <x:v>property_type_inferred_from_title</x:v>
      </x:c>
      <x:c r="M1490" s="10" t="n">
        <x:v>0</x:v>
      </x:c>
      <x:c r="N1490" s="10" t="n">
        <x:v>0</x:v>
      </x:c>
      <x:c r="O1490" s="2" t="str">
        <x:v>Tp Hồ Chí Minh|house</x:v>
      </x:c>
      <x:c r="P1490" s="10" t="n">
        <x:v>2</x:v>
      </x:c>
      <x:c r="Q1490" s="13" t="n">
        <x:f>IF(H1490="","",H1490/1000000000)</x:f>
        <x:v>10.99</x:v>
      </x:c>
      <x:c r="R1490" s="13" t="n">
        <x:f>IF(I1490="","",I1490/1000000)</x:f>
        <x:v>27.475</x:v>
      </x:c>
    </x:row>
    <x:row r="1491" ht="21" customHeight="1">
      <x:c r="A1491" s="10" t="n">
        <x:v>2318</x:v>
      </x:c>
      <x:c r="B1491" s="2" t="str">
        <x:v>f0dc3e84c3dfa12c5f86</x:v>
      </x:c>
      <x:c r="C1491" s="2" t="str">
        <x:v>Tp Hồ Chí Minh</x:v>
      </x:c>
      <x:c r="D1491" s="2" t="str">
        <x:v>Quận Thủ Đức</x:v>
      </x:c>
      <x:c r="E1491" s="2" t="str">
        <x:v>house</x:v>
      </x:c>
      <x:c r="F1491" s="2" t="str">
        <x:v>sale</x:v>
      </x:c>
      <x:c r="G1491" s="11" t="n">
        <x:v>79</x:v>
      </x:c>
      <x:c r="H1491" s="12" t="n">
        <x:v>6900000000</x:v>
      </x:c>
      <x:c r="I1491" s="12" t="n">
        <x:v>87341772.15189873</x:v>
      </x:c>
      <x:c r="J1491" s="2" t="str">
        <x:v>total</x:v>
      </x:c>
      <x:c r="K1491" s="2" t="str">
        <x:v>top_level_area</x:v>
      </x:c>
      <x:c r="L1491" s="2" t="str">
        <x:v>property_type_inferred_from_title</x:v>
      </x:c>
      <x:c r="M1491" s="10" t="n">
        <x:v>0</x:v>
      </x:c>
      <x:c r="N1491" s="10" t="n">
        <x:v>0</x:v>
      </x:c>
      <x:c r="O1491" s="2" t="str">
        <x:v>Tp Hồ Chí Minh|house</x:v>
      </x:c>
      <x:c r="P1491" s="10" t="n">
        <x:v>2</x:v>
      </x:c>
      <x:c r="Q1491" s="13" t="n">
        <x:f>IF(H1491="","",H1491/1000000000)</x:f>
        <x:v>6.9</x:v>
      </x:c>
      <x:c r="R1491" s="13" t="n">
        <x:f>IF(I1491="","",I1491/1000000)</x:f>
        <x:v>87.34177215189872</x:v>
      </x:c>
    </x:row>
    <x:row r="1492" ht="21" customHeight="1">
      <x:c r="A1492" s="10" t="n">
        <x:v>2319</x:v>
      </x:c>
      <x:c r="B1492" s="2" t="str">
        <x:v>49fcbe8718bd705d557c</x:v>
      </x:c>
      <x:c r="C1492" s="2" t="str">
        <x:v>Đồng Nai</x:v>
      </x:c>
      <x:c r="D1492" s="2" t="str">
        <x:v>Thành phố Biên Hòa</x:v>
      </x:c>
      <x:c r="E1492" s="2" t="str">
        <x:v>land</x:v>
      </x:c>
      <x:c r="F1492" s="2" t="str">
        <x:v>sale_assumed</x:v>
      </x:c>
      <x:c r="G1492" s="11" t="n">
        <x:v>150</x:v>
      </x:c>
      <x:c r="H1492" s="12" t="n">
        <x:v>2350000000</x:v>
      </x:c>
      <x:c r="I1492" s="12" t="n">
        <x:v>15666666.666666666</x:v>
      </x:c>
      <x:c r="J1492" s="2" t="str">
        <x:v>total</x:v>
      </x:c>
      <x:c r="K1492" s="2" t="str">
        <x:v>top_level_area</x:v>
      </x:c>
      <x:c r="L1492" s="2" t="str">
        <x:v>property_type_inferred_from_title;transaction_assumed_sale_from_dataset_context</x:v>
      </x:c>
      <x:c r="M1492" s="10" t="n">
        <x:v>0</x:v>
      </x:c>
      <x:c r="N1492" s="10" t="n">
        <x:v>0</x:v>
      </x:c>
      <x:c r="O1492" s="2" t="str">
        <x:v>Đồng Nai|land</x:v>
      </x:c>
      <x:c r="P1492" s="10" t="n">
        <x:v>2</x:v>
      </x:c>
      <x:c r="Q1492" s="13" t="n">
        <x:f>IF(H1492="","",H1492/1000000000)</x:f>
        <x:v>2.35</x:v>
      </x:c>
      <x:c r="R1492" s="13" t="n">
        <x:f>IF(I1492="","",I1492/1000000)</x:f>
        <x:v>15.666666666666666</x:v>
      </x:c>
    </x:row>
    <x:row r="1493" ht="21" customHeight="1">
      <x:c r="A1493" s="10" t="n">
        <x:v>2320</x:v>
      </x:c>
      <x:c r="B1493" s="2" t="str">
        <x:v>cd8f32c5c74ad9a8dc51</x:v>
      </x:c>
      <x:c r="C1493" s="2" t="str">
        <x:v>Hà Nội</x:v>
      </x:c>
      <x:c r="D1493" s="2" t="str">
        <x:v>Quận Hai Bà Trưng</x:v>
      </x:c>
      <x:c r="E1493" s="2" t="str">
        <x:v>house</x:v>
      </x:c>
      <x:c r="F1493" s="2" t="str">
        <x:v>sale</x:v>
      </x:c>
      <x:c r="G1493" s="11" t="n">
        <x:v>40</x:v>
      </x:c>
      <x:c r="H1493" s="12" t="n">
        <x:v>6400000000</x:v>
      </x:c>
      <x:c r="I1493" s="12" t="n">
        <x:v>160000000</x:v>
      </x:c>
      <x:c r="J1493" s="2" t="str">
        <x:v>total</x:v>
      </x:c>
      <x:c r="K1493" s="2" t="str">
        <x:v>top_level_area</x:v>
      </x:c>
      <x:c r="L1493" s="2" t="str">
        <x:v>property_type_inferred_from_title</x:v>
      </x:c>
      <x:c r="M1493" s="10" t="n">
        <x:v>0</x:v>
      </x:c>
      <x:c r="N1493" s="10" t="n">
        <x:v>0</x:v>
      </x:c>
      <x:c r="O1493" s="2" t="str">
        <x:v>Hà Nội|house</x:v>
      </x:c>
      <x:c r="P1493" s="10" t="n">
        <x:v>2</x:v>
      </x:c>
      <x:c r="Q1493" s="13" t="n">
        <x:f>IF(H1493="","",H1493/1000000000)</x:f>
        <x:v>6.4</x:v>
      </x:c>
      <x:c r="R1493" s="13" t="n">
        <x:f>IF(I1493="","",I1493/1000000)</x:f>
        <x:v>160</x:v>
      </x:c>
    </x:row>
    <x:row r="1494" ht="21" customHeight="1">
      <x:c r="A1494" s="10" t="n">
        <x:v>2321</x:v>
      </x:c>
      <x:c r="B1494" s="2" t="str">
        <x:v>b9fc9438d16eba846c85</x:v>
      </x:c>
      <x:c r="C1494" s="2" t="str">
        <x:v>Đà Nẵng</x:v>
      </x:c>
      <x:c r="D1494" s="2" t="str">
        <x:v>Quận Thanh Khê</x:v>
      </x:c>
      <x:c r="E1494" s="2" t="str">
        <x:v>house</x:v>
      </x:c>
      <x:c r="F1494" s="2" t="str">
        <x:v>sale</x:v>
      </x:c>
      <x:c r="G1494" s="11" t="n">
        <x:v>62</x:v>
      </x:c>
      <x:c r="H1494" s="12" t="n">
        <x:v>1700000000</x:v>
      </x:c>
      <x:c r="I1494" s="12" t="n">
        <x:v>27419354.83870968</x:v>
      </x:c>
      <x:c r="J1494" s="2" t="str">
        <x:v>total</x:v>
      </x:c>
      <x:c r="K1494" s="2" t="str">
        <x:v>top_level_area</x:v>
      </x:c>
      <x:c r="L1494" s="2" t="str">
        <x:v>property_type_inferred_from_title</x:v>
      </x:c>
      <x:c r="M1494" s="10" t="n">
        <x:v>0</x:v>
      </x:c>
      <x:c r="N1494" s="10" t="n">
        <x:v>0</x:v>
      </x:c>
      <x:c r="O1494" s="2" t="str">
        <x:v>Đà Nẵng|house</x:v>
      </x:c>
      <x:c r="P1494" s="10" t="n">
        <x:v>2</x:v>
      </x:c>
      <x:c r="Q1494" s="13" t="n">
        <x:f>IF(H1494="","",H1494/1000000000)</x:f>
        <x:v>1.7</x:v>
      </x:c>
      <x:c r="R1494" s="13" t="n">
        <x:f>IF(I1494="","",I1494/1000000)</x:f>
        <x:v>27.41935483870968</x:v>
      </x:c>
    </x:row>
    <x:row r="1495" ht="21" customHeight="1">
      <x:c r="A1495" s="10" t="n">
        <x:v>2322</x:v>
      </x:c>
      <x:c r="B1495" s="2" t="str">
        <x:v>09ac8b52ea598e0146f1</x:v>
      </x:c>
      <x:c r="C1495" s="2" t="str">
        <x:v>Tp Hồ Chí Minh</x:v>
      </x:c>
      <x:c r="D1495" s="2" t="str">
        <x:v>Quận Bình Thạnh</x:v>
      </x:c>
      <x:c r="E1495" s="2" t="str">
        <x:v>house</x:v>
      </x:c>
      <x:c r="F1495" s="2" t="str">
        <x:v>sale_assumed</x:v>
      </x:c>
      <x:c r="G1495" s="11" t="n">
        <x:v>34</x:v>
      </x:c>
      <x:c r="H1495" s="12" t="n">
        <x:v>2450000000</x:v>
      </x:c>
      <x:c r="I1495" s="12" t="n">
        <x:v>72058823.52941176</x:v>
      </x:c>
      <x:c r="J1495" s="2" t="str">
        <x:v>total</x:v>
      </x:c>
      <x:c r="K1495" s="2" t="str">
        <x:v>top_level_area</x:v>
      </x:c>
      <x:c r="L1495" s="2" t="str">
        <x:v>property_type_inferred_from_title;transaction_assumed_sale_from_dataset_context</x:v>
      </x:c>
      <x:c r="M1495" s="10" t="n">
        <x:v>0</x:v>
      </x:c>
      <x:c r="N1495" s="10" t="n">
        <x:v>0</x:v>
      </x:c>
      <x:c r="O1495" s="2" t="str">
        <x:v>Tp Hồ Chí Minh|house</x:v>
      </x:c>
      <x:c r="P1495" s="10" t="n">
        <x:v>2</x:v>
      </x:c>
      <x:c r="Q1495" s="13" t="n">
        <x:f>IF(H1495="","",H1495/1000000000)</x:f>
        <x:v>2.45</x:v>
      </x:c>
      <x:c r="R1495" s="13" t="n">
        <x:f>IF(I1495="","",I1495/1000000)</x:f>
        <x:v>72.05882352941177</x:v>
      </x:c>
    </x:row>
    <x:row r="1496" ht="21" customHeight="1">
      <x:c r="A1496" s="10" t="n">
        <x:v>2323</x:v>
      </x:c>
      <x:c r="B1496" s="2" t="str">
        <x:v>12532ff3f0732f9f4076</x:v>
      </x:c>
      <x:c r="C1496" s="2" t="str">
        <x:v>Tp Hồ Chí Minh</x:v>
      </x:c>
      <x:c r="D1496" s="2" t="str">
        <x:v>Quận Gò Vấp</x:v>
      </x:c>
      <x:c r="E1496" s="2" t="str">
        <x:v>house</x:v>
      </x:c>
      <x:c r="F1496" s="2" t="str">
        <x:v>sale_assumed</x:v>
      </x:c>
      <x:c r="G1496" s="11" t="n">
        <x:v>50</x:v>
      </x:c>
      <x:c r="H1496" s="12" t="n">
        <x:v>680000000</x:v>
      </x:c>
      <x:c r="I1496" s="12" t="n">
        <x:v>13600000</x:v>
      </x:c>
      <x:c r="J1496" s="2" t="str">
        <x:v>total</x:v>
      </x:c>
      <x:c r="K1496" s="2" t="str">
        <x:v>top_level_area</x:v>
      </x:c>
      <x:c r="L1496" s="2" t="str">
        <x:v>property_type_inferred_from_title;transaction_assumed_sale_from_dataset_context</x:v>
      </x:c>
      <x:c r="M1496" s="10" t="n">
        <x:v>0</x:v>
      </x:c>
      <x:c r="N1496" s="10" t="n">
        <x:v>0</x:v>
      </x:c>
      <x:c r="O1496" s="2" t="str">
        <x:v>Tp Hồ Chí Minh|house</x:v>
      </x:c>
      <x:c r="P1496" s="10" t="n">
        <x:v>2</x:v>
      </x:c>
      <x:c r="Q1496" s="13" t="n">
        <x:f>IF(H1496="","",H1496/1000000000)</x:f>
        <x:v>0.68</x:v>
      </x:c>
      <x:c r="R1496" s="13" t="n">
        <x:f>IF(I1496="","",I1496/1000000)</x:f>
        <x:v>13.6</x:v>
      </x:c>
    </x:row>
    <x:row r="1497" ht="21" customHeight="1">
      <x:c r="A1497" s="10" t="n">
        <x:v>2324</x:v>
      </x:c>
      <x:c r="B1497" s="2" t="str">
        <x:v>4e654d0fe96bbbd0b151</x:v>
      </x:c>
      <x:c r="C1497" s="2" t="str">
        <x:v>Tp Hồ Chí Minh</x:v>
      </x:c>
      <x:c r="D1497" s="2" t="str">
        <x:v>Quận Gò Vấp</x:v>
      </x:c>
      <x:c r="E1497" s="2" t="str">
        <x:v>land</x:v>
      </x:c>
      <x:c r="F1497" s="2" t="str">
        <x:v>sale_assumed</x:v>
      </x:c>
      <x:c r="G1497" s="11" t="n">
        <x:v>37</x:v>
      </x:c>
      <x:c r="H1497" s="12" t="n">
        <x:v>3480000000</x:v>
      </x:c>
      <x:c r="I1497" s="12" t="n">
        <x:v>94054054.05405405</x:v>
      </x:c>
      <x:c r="J1497" s="2" t="str">
        <x:v>total</x:v>
      </x:c>
      <x:c r="K1497" s="2" t="str">
        <x:v>top_level_area</x:v>
      </x:c>
      <x:c r="L1497" s="2" t="str">
        <x:v>property_type_inferred_from_title;transaction_assumed_sale_from_dataset_context</x:v>
      </x:c>
      <x:c r="M1497" s="10" t="n">
        <x:v>0</x:v>
      </x:c>
      <x:c r="N1497" s="10" t="n">
        <x:v>0</x:v>
      </x:c>
      <x:c r="O1497" s="2" t="str">
        <x:v>Tp Hồ Chí Minh|land</x:v>
      </x:c>
      <x:c r="P1497" s="10" t="n">
        <x:v>2</x:v>
      </x:c>
      <x:c r="Q1497" s="13" t="n">
        <x:f>IF(H1497="","",H1497/1000000000)</x:f>
        <x:v>3.48</x:v>
      </x:c>
      <x:c r="R1497" s="13" t="n">
        <x:f>IF(I1497="","",I1497/1000000)</x:f>
        <x:v>94.05405405405405</x:v>
      </x:c>
    </x:row>
    <x:row r="1498" ht="21" customHeight="1">
      <x:c r="A1498" s="10" t="n">
        <x:v>2326</x:v>
      </x:c>
      <x:c r="B1498" s="2" t="str">
        <x:v>6289d54f61f5bf36affa</x:v>
      </x:c>
      <x:c r="C1498" s="2" t="str">
        <x:v>Tp Hồ Chí Minh</x:v>
      </x:c>
      <x:c r="D1498" s="2" t="str">
        <x:v>Quận Bình Tân</x:v>
      </x:c>
      <x:c r="E1498" s="2" t="str">
        <x:v>house</x:v>
      </x:c>
      <x:c r="F1498" s="2" t="str">
        <x:v>sale</x:v>
      </x:c>
      <x:c r="G1498" s="11" t="n">
        <x:v>131</x:v>
      </x:c>
      <x:c r="H1498" s="12" t="n">
        <x:v>1000000000</x:v>
      </x:c>
      <x:c r="I1498" s="12" t="n">
        <x:v>7633587.786259542</x:v>
      </x:c>
      <x:c r="J1498" s="2" t="str">
        <x:v>total</x:v>
      </x:c>
      <x:c r="K1498" s="2" t="str">
        <x:v>top_level_price_embedded_area</x:v>
      </x:c>
      <x:c r="L1498" s="2" t="str">
        <x:v>area_recovered_from_price_text;property_type_inferred_from_title</x:v>
      </x:c>
      <x:c r="M1498" s="10" t="n">
        <x:v>0</x:v>
      </x:c>
      <x:c r="N1498" s="10" t="n">
        <x:v>0</x:v>
      </x:c>
      <x:c r="O1498" s="2" t="str">
        <x:v>Tp Hồ Chí Minh|house</x:v>
      </x:c>
      <x:c r="P1498" s="10" t="n">
        <x:v>2</x:v>
      </x:c>
      <x:c r="Q1498" s="13" t="n">
        <x:f>IF(H1498="","",H1498/1000000000)</x:f>
        <x:v>1</x:v>
      </x:c>
      <x:c r="R1498" s="13" t="n">
        <x:f>IF(I1498="","",I1498/1000000)</x:f>
        <x:v>7.633587786259542</x:v>
      </x:c>
    </x:row>
    <x:row r="1499" ht="21" customHeight="1">
      <x:c r="A1499" s="10" t="n">
        <x:v>2327</x:v>
      </x:c>
      <x:c r="B1499" s="2" t="str">
        <x:v>8b0378b926c31c2a1666</x:v>
      </x:c>
      <x:c r="C1499" s="2" t="str">
        <x:v>Tp Hồ Chí Minh</x:v>
      </x:c>
      <x:c r="D1499" s="2" t="str">
        <x:v>Quận Gò Vấp</x:v>
      </x:c>
      <x:c r="E1499" s="2" t="str">
        <x:v>house</x:v>
      </x:c>
      <x:c r="F1499" s="2" t="str">
        <x:v>sale</x:v>
      </x:c>
      <x:c r="G1499" s="11" t="n">
        <x:v>37</x:v>
      </x:c>
      <x:c r="H1499" s="12" t="n">
        <x:v>4779000000</x:v>
      </x:c>
      <x:c r="I1499" s="12" t="n">
        <x:v>129162162.16216215</x:v>
      </x:c>
      <x:c r="J1499" s="2" t="str">
        <x:v>total</x:v>
      </x:c>
      <x:c r="K1499" s="2" t="str">
        <x:v>top_level_area</x:v>
      </x:c>
      <x:c r="L1499" s="2" t="str">
        <x:v>property_type_inferred_from_title</x:v>
      </x:c>
      <x:c r="M1499" s="10" t="n">
        <x:v>0</x:v>
      </x:c>
      <x:c r="N1499" s="10" t="n">
        <x:v>0</x:v>
      </x:c>
      <x:c r="O1499" s="2" t="str">
        <x:v>Tp Hồ Chí Minh|house</x:v>
      </x:c>
      <x:c r="P1499" s="10" t="n">
        <x:v>2</x:v>
      </x:c>
      <x:c r="Q1499" s="13" t="n">
        <x:f>IF(H1499="","",H1499/1000000000)</x:f>
        <x:v>4.779</x:v>
      </x:c>
      <x:c r="R1499" s="13" t="n">
        <x:f>IF(I1499="","",I1499/1000000)</x:f>
        <x:v>129.16216216216216</x:v>
      </x:c>
    </x:row>
    <x:row r="1500" ht="21" customHeight="1">
      <x:c r="A1500" s="10" t="n">
        <x:v>2328</x:v>
      </x:c>
      <x:c r="B1500" s="2" t="str">
        <x:v>72e0f585820d3db2b697</x:v>
      </x:c>
      <x:c r="C1500" s="2" t="str">
        <x:v>Tp Hồ Chí Minh</x:v>
      </x:c>
      <x:c r="D1500" s="2" t="str">
        <x:v>Quận 9</x:v>
      </x:c>
      <x:c r="E1500" s="2" t="str">
        <x:v>other_unknown</x:v>
      </x:c>
      <x:c r="F1500" s="2" t="str">
        <x:v>sale</x:v>
      </x:c>
      <x:c r="G1500" s="11" t="n">
        <x:v>66</x:v>
      </x:c>
      <x:c r="H1500" s="12" t="n">
        <x:v>3600000000</x:v>
      </x:c>
      <x:c r="I1500" s="12" t="n">
        <x:v>54545454.54545455</x:v>
      </x:c>
      <x:c r="J1500" s="2" t="str">
        <x:v>total</x:v>
      </x:c>
      <x:c r="K1500" s="2" t="str">
        <x:v>top_level_price_embedded_area</x:v>
      </x:c>
      <x:c r="L1500" s="2" t="str">
        <x:v>area_recovered_from_price_text;property_type_inferred_from_title;unknown_property_type</x:v>
      </x:c>
      <x:c r="M1500" s="10" t="n">
        <x:v>0</x:v>
      </x:c>
      <x:c r="N1500" s="10" t="n">
        <x:v>0</x:v>
      </x:c>
      <x:c r="O1500" s="2" t="str">
        <x:v>Tp Hồ Chí Minh|other_unknown</x:v>
      </x:c>
      <x:c r="P1500" s="10" t="n">
        <x:v>2</x:v>
      </x:c>
      <x:c r="Q1500" s="13" t="n">
        <x:f>IF(H1500="","",H1500/1000000000)</x:f>
        <x:v>3.6</x:v>
      </x:c>
      <x:c r="R1500" s="13" t="n">
        <x:f>IF(I1500="","",I1500/1000000)</x:f>
        <x:v>54.54545454545455</x:v>
      </x:c>
    </x:row>
    <x:row r="1501" ht="21" customHeight="1">
      <x:c r="A1501" s="10" t="n">
        <x:v>2329</x:v>
      </x:c>
      <x:c r="B1501" s="2" t="str">
        <x:v>88de33a4f6bf7bde3daa</x:v>
      </x:c>
      <x:c r="C1501" s="2" t="str">
        <x:v>Tp Hồ Chí Minh</x:v>
      </x:c>
      <x:c r="D1501" s="2" t="str">
        <x:v>Quận 3</x:v>
      </x:c>
      <x:c r="E1501" s="2" t="str">
        <x:v>house</x:v>
      </x:c>
      <x:c r="F1501" s="2" t="str">
        <x:v>sale_assumed</x:v>
      </x:c>
      <x:c r="G1501" s="11" t="n">
        <x:v>58</x:v>
      </x:c>
      <x:c r="H1501" s="12" t="n">
        <x:v>1330000000</x:v>
      </x:c>
      <x:c r="I1501" s="12" t="n">
        <x:v>22931034.48275862</x:v>
      </x:c>
      <x:c r="J1501" s="2" t="str">
        <x:v>total</x:v>
      </x:c>
      <x:c r="K1501" s="2" t="str">
        <x:v>top_level_area</x:v>
      </x:c>
      <x:c r="L1501" s="2" t="str">
        <x:v>property_type_inferred_from_title;transaction_assumed_sale_from_dataset_context</x:v>
      </x:c>
      <x:c r="M1501" s="10" t="n">
        <x:v>0</x:v>
      </x:c>
      <x:c r="N1501" s="10" t="n">
        <x:v>0</x:v>
      </x:c>
      <x:c r="O1501" s="2" t="str">
        <x:v>Tp Hồ Chí Minh|house</x:v>
      </x:c>
      <x:c r="P1501" s="10" t="n">
        <x:v>2</x:v>
      </x:c>
      <x:c r="Q1501" s="13" t="n">
        <x:f>IF(H1501="","",H1501/1000000000)</x:f>
        <x:v>1.33</x:v>
      </x:c>
      <x:c r="R1501" s="13" t="n">
        <x:f>IF(I1501="","",I1501/1000000)</x:f>
        <x:v>22.93103448275862</x:v>
      </x:c>
    </x:row>
    <x:row r="1502" ht="21" customHeight="1">
      <x:c r="A1502" s="10" t="n">
        <x:v>2330</x:v>
      </x:c>
      <x:c r="B1502" s="2" t="str">
        <x:v>b7923a97458f60339791</x:v>
      </x:c>
      <x:c r="C1502" s="2" t="str">
        <x:v>Đà Nẵng</x:v>
      </x:c>
      <x:c r="D1502" s="2" t="str">
        <x:v>Quận Sơn Trà</x:v>
      </x:c>
      <x:c r="E1502" s="2" t="str">
        <x:v>apartment</x:v>
      </x:c>
      <x:c r="F1502" s="2" t="str">
        <x:v>sale_assumed</x:v>
      </x:c>
      <x:c r="G1502" s="11" t="n">
        <x:v>73</x:v>
      </x:c>
      <x:c r="H1502" s="12" t="n">
        <x:v>10000000000</x:v>
      </x:c>
      <x:c r="I1502" s="12" t="n">
        <x:v>136986301.369863</x:v>
      </x:c>
      <x:c r="J1502" s="2" t="str">
        <x:v>total</x:v>
      </x:c>
      <x:c r="K1502" s="2" t="str">
        <x:v>top_level_area</x:v>
      </x:c>
      <x:c r="L1502" s="2" t="str">
        <x:v>property_type_inferred_from_title;transaction_assumed_sale_from_dataset_context</x:v>
      </x:c>
      <x:c r="M1502" s="10" t="n">
        <x:v>0</x:v>
      </x:c>
      <x:c r="N1502" s="10" t="n">
        <x:v>1</x:v>
      </x:c>
      <x:c r="O1502" s="2" t="str">
        <x:v>apartment</x:v>
      </x:c>
      <x:c r="P1502" s="10" t="n">
        <x:v>-1</x:v>
      </x:c>
      <x:c r="Q1502" s="13" t="n">
        <x:f>IF(H1502="","",H1502/1000000000)</x:f>
        <x:v>10</x:v>
      </x:c>
      <x:c r="R1502" s="13" t="n">
        <x:f>IF(I1502="","",I1502/1000000)</x:f>
        <x:v>136.986301369863</x:v>
      </x:c>
    </x:row>
    <x:row r="1503" ht="21" customHeight="1">
      <x:c r="A1503" s="10" t="n">
        <x:v>2331</x:v>
      </x:c>
      <x:c r="B1503" s="2" t="str">
        <x:v>c264fd2f941b39d452a4</x:v>
      </x:c>
      <x:c r="C1503" s="2" t="str">
        <x:v>Tp Hồ Chí Minh</x:v>
      </x:c>
      <x:c r="D1503" s="2" t="str">
        <x:v>Quận 12</x:v>
      </x:c>
      <x:c r="E1503" s="2" t="str">
        <x:v>house</x:v>
      </x:c>
      <x:c r="F1503" s="2" t="str">
        <x:v>sale</x:v>
      </x:c>
      <x:c r="G1503" s="11" t="n">
        <x:v>16</x:v>
      </x:c>
      <x:c r="H1503" s="12" t="n">
        <x:v>460000000</x:v>
      </x:c>
      <x:c r="I1503" s="12" t="n">
        <x:v>28750000</x:v>
      </x:c>
      <x:c r="J1503" s="2" t="str">
        <x:v>total</x:v>
      </x:c>
      <x:c r="K1503" s="2" t="str">
        <x:v>top_level_price_embedded_area</x:v>
      </x:c>
      <x:c r="L1503" s="2" t="str">
        <x:v>area_recovered_from_price_text;property_type_inferred_from_title</x:v>
      </x:c>
      <x:c r="M1503" s="10" t="n">
        <x:v>0</x:v>
      </x:c>
      <x:c r="N1503" s="10" t="n">
        <x:v>0</x:v>
      </x:c>
      <x:c r="O1503" s="2" t="str">
        <x:v>Tp Hồ Chí Minh|house</x:v>
      </x:c>
      <x:c r="P1503" s="10" t="n">
        <x:v>2</x:v>
      </x:c>
      <x:c r="Q1503" s="13" t="n">
        <x:f>IF(H1503="","",H1503/1000000000)</x:f>
        <x:v>0.46</x:v>
      </x:c>
      <x:c r="R1503" s="13" t="n">
        <x:f>IF(I1503="","",I1503/1000000)</x:f>
        <x:v>28.75</x:v>
      </x:c>
    </x:row>
    <x:row r="1504" ht="21" customHeight="1">
      <x:c r="A1504" s="10" t="n">
        <x:v>2332</x:v>
      </x:c>
      <x:c r="B1504" s="2" t="str">
        <x:v>e33271139215645ef3aa</x:v>
      </x:c>
      <x:c r="C1504" s="2" t="str">
        <x:v>Tp Hồ Chí Minh</x:v>
      </x:c>
      <x:c r="D1504" s="2" t="str">
        <x:v>Quận 10</x:v>
      </x:c>
      <x:c r="E1504" s="2" t="str">
        <x:v>house</x:v>
      </x:c>
      <x:c r="F1504" s="2" t="str">
        <x:v>sale</x:v>
      </x:c>
      <x:c r="G1504" s="11" t="n">
        <x:v>139</x:v>
      </x:c>
      <x:c r="H1504" s="12" t="n">
        <x:v>24500000000</x:v>
      </x:c>
      <x:c r="I1504" s="12" t="n">
        <x:v>176258992.8057554</x:v>
      </x:c>
      <x:c r="J1504" s="2" t="str">
        <x:v>total</x:v>
      </x:c>
      <x:c r="K1504" s="2" t="str">
        <x:v>top_level_area</x:v>
      </x:c>
      <x:c r="L1504" s="2" t="str">
        <x:v>property_type_inferred_from_title</x:v>
      </x:c>
      <x:c r="M1504" s="10" t="n">
        <x:v>1</x:v>
      </x:c>
      <x:c r="N1504" s="10" t="n">
        <x:v>0</x:v>
      </x:c>
      <x:c r="O1504" s="2" t="str">
        <x:v>Tp Hồ Chí Minh|house</x:v>
      </x:c>
      <x:c r="P1504" s="10" t="n">
        <x:v>2</x:v>
      </x:c>
      <x:c r="Q1504" s="13" t="n">
        <x:f>IF(H1504="","",H1504/1000000000)</x:f>
        <x:v>24.5</x:v>
      </x:c>
      <x:c r="R1504" s="13" t="n">
        <x:f>IF(I1504="","",I1504/1000000)</x:f>
        <x:v>176.2589928057554</x:v>
      </x:c>
    </x:row>
    <x:row r="1505" ht="21" customHeight="1">
      <x:c r="A1505" s="10" t="n">
        <x:v>2333</x:v>
      </x:c>
      <x:c r="B1505" s="2" t="str">
        <x:v>97abda81d9e5b713e50e</x:v>
      </x:c>
      <x:c r="C1505" s="2" t="str">
        <x:v>Lâm Đồng</x:v>
      </x:c>
      <x:c r="D1505" s="2" t="str">
        <x:v>Huyện Đơn Dương</x:v>
      </x:c>
      <x:c r="E1505" s="2" t="str">
        <x:v>house</x:v>
      </x:c>
      <x:c r="F1505" s="2" t="str">
        <x:v>sale</x:v>
      </x:c>
      <x:c r="G1505" s="11" t="n">
        <x:v>120</x:v>
      </x:c>
      <x:c r="H1505" s="12" t="n">
        <x:v>3600000000</x:v>
      </x:c>
      <x:c r="I1505" s="12" t="n">
        <x:v>30000000</x:v>
      </x:c>
      <x:c r="J1505" s="2" t="str">
        <x:v>total</x:v>
      </x:c>
      <x:c r="K1505" s="2" t="str">
        <x:v>top_level_area</x:v>
      </x:c>
      <x:c r="L1505" s="2" t="str">
        <x:v>property_type_inferred_from_title</x:v>
      </x:c>
      <x:c r="M1505" s="10" t="n">
        <x:v>0</x:v>
      </x:c>
      <x:c r="N1505" s="10" t="n">
        <x:v>0</x:v>
      </x:c>
      <x:c r="O1505" s="2" t="str">
        <x:v>house</x:v>
      </x:c>
      <x:c r="P1505" s="10" t="n">
        <x:v>2</x:v>
      </x:c>
      <x:c r="Q1505" s="13" t="n">
        <x:f>IF(H1505="","",H1505/1000000000)</x:f>
        <x:v>3.6</x:v>
      </x:c>
      <x:c r="R1505" s="13" t="n">
        <x:f>IF(I1505="","",I1505/1000000)</x:f>
        <x:v>30</x:v>
      </x:c>
    </x:row>
    <x:row r="1506" ht="21" customHeight="1">
      <x:c r="A1506" s="10" t="n">
        <x:v>2334</x:v>
      </x:c>
      <x:c r="B1506" s="2" t="str">
        <x:v>9c59158ab36d3fe977ca</x:v>
      </x:c>
      <x:c r="C1506" s="2" t="str">
        <x:v>Tp Hồ Chí Minh</x:v>
      </x:c>
      <x:c r="D1506" s="2" t="str">
        <x:v>Quận Bình Thạnh</x:v>
      </x:c>
      <x:c r="E1506" s="2" t="str">
        <x:v>house</x:v>
      </x:c>
      <x:c r="F1506" s="2" t="str">
        <x:v>sale_assumed</x:v>
      </x:c>
      <x:c r="G1506" s="11" t="n">
        <x:v>42</x:v>
      </x:c>
      <x:c r="H1506" s="12" t="n">
        <x:v>3950000000</x:v>
      </x:c>
      <x:c r="I1506" s="12" t="n">
        <x:v>94047619.04761904</x:v>
      </x:c>
      <x:c r="J1506" s="2" t="str">
        <x:v>total</x:v>
      </x:c>
      <x:c r="K1506" s="2" t="str">
        <x:v>top_level_area</x:v>
      </x:c>
      <x:c r="L1506" s="2" t="str">
        <x:v>property_type_inferred_from_title;transaction_assumed_sale_from_dataset_context</x:v>
      </x:c>
      <x:c r="M1506" s="10" t="n">
        <x:v>0</x:v>
      </x:c>
      <x:c r="N1506" s="10" t="n">
        <x:v>0</x:v>
      </x:c>
      <x:c r="O1506" s="2" t="str">
        <x:v>Tp Hồ Chí Minh|house</x:v>
      </x:c>
      <x:c r="P1506" s="10" t="n">
        <x:v>2</x:v>
      </x:c>
      <x:c r="Q1506" s="13" t="n">
        <x:f>IF(H1506="","",H1506/1000000000)</x:f>
        <x:v>3.95</x:v>
      </x:c>
      <x:c r="R1506" s="13" t="n">
        <x:f>IF(I1506="","",I1506/1000000)</x:f>
        <x:v>94.04761904761905</x:v>
      </x:c>
    </x:row>
    <x:row r="1507" ht="21" customHeight="1">
      <x:c r="A1507" s="10" t="n">
        <x:v>2335</x:v>
      </x:c>
      <x:c r="B1507" s="2" t="str">
        <x:v>089e321d08d8cbae2f79</x:v>
      </x:c>
      <x:c r="C1507" s="2" t="str">
        <x:v>Tp Hồ Chí Minh</x:v>
      </x:c>
      <x:c r="D1507" s="2" t="str">
        <x:v>Huyện Bình Chánh</x:v>
      </x:c>
      <x:c r="E1507" s="2" t="str">
        <x:v>house</x:v>
      </x:c>
      <x:c r="F1507" s="2" t="str">
        <x:v>sale</x:v>
      </x:c>
      <x:c r="G1507" s="11" t="n">
        <x:v>100</x:v>
      </x:c>
      <x:c r="H1507" s="12" t="n">
        <x:v>1950000000</x:v>
      </x:c>
      <x:c r="I1507" s="12" t="n">
        <x:v>19500000</x:v>
      </x:c>
      <x:c r="J1507" s="2" t="str">
        <x:v>total</x:v>
      </x:c>
      <x:c r="K1507" s="2" t="str">
        <x:v>top_level_area</x:v>
      </x:c>
      <x:c r="L1507" s="2" t="str">
        <x:v>property_type_inferred_from_title</x:v>
      </x:c>
      <x:c r="M1507" s="10" t="n">
        <x:v>0</x:v>
      </x:c>
      <x:c r="N1507" s="10" t="n">
        <x:v>0</x:v>
      </x:c>
      <x:c r="O1507" s="2" t="str">
        <x:v>Tp Hồ Chí Minh|house</x:v>
      </x:c>
      <x:c r="P1507" s="10" t="n">
        <x:v>2</x:v>
      </x:c>
      <x:c r="Q1507" s="13" t="n">
        <x:f>IF(H1507="","",H1507/1000000000)</x:f>
        <x:v>1.95</x:v>
      </x:c>
      <x:c r="R1507" s="13" t="n">
        <x:f>IF(I1507="","",I1507/1000000)</x:f>
        <x:v>19.5</x:v>
      </x:c>
    </x:row>
    <x:row r="1508" ht="21" customHeight="1">
      <x:c r="A1508" s="10" t="n">
        <x:v>2338</x:v>
      </x:c>
      <x:c r="B1508" s="2" t="str">
        <x:v>3e1ec17da675196e76c7</x:v>
      </x:c>
      <x:c r="C1508" s="2" t="str">
        <x:v>Tp Hồ Chí Minh</x:v>
      </x:c>
      <x:c r="D1508" s="2" t="str">
        <x:v>Huyện Củ Chi</x:v>
      </x:c>
      <x:c r="E1508" s="2" t="str">
        <x:v>land</x:v>
      </x:c>
      <x:c r="F1508" s="2" t="str">
        <x:v>sale_assumed</x:v>
      </x:c>
      <x:c r="G1508" s="11" t="n">
        <x:v>347</x:v>
      </x:c>
      <x:c r="H1508" s="12" t="n">
        <x:v>8199999999.999999</x:v>
      </x:c>
      <x:c r="I1508" s="12" t="n">
        <x:v>23631123.919308353</x:v>
      </x:c>
      <x:c r="J1508" s="2" t="str">
        <x:v>total</x:v>
      </x:c>
      <x:c r="K1508" s="2" t="str">
        <x:v>top_level_area</x:v>
      </x:c>
      <x:c r="L1508" s="2" t="str">
        <x:v>property_type_inferred_from_title;transaction_assumed_sale_from_dataset_context</x:v>
      </x:c>
      <x:c r="M1508" s="10" t="n">
        <x:v>0</x:v>
      </x:c>
      <x:c r="N1508" s="10" t="n">
        <x:v>0</x:v>
      </x:c>
      <x:c r="O1508" s="2" t="str">
        <x:v>Tp Hồ Chí Minh|land</x:v>
      </x:c>
      <x:c r="P1508" s="10" t="n">
        <x:v>2</x:v>
      </x:c>
      <x:c r="Q1508" s="13" t="n">
        <x:f>IF(H1508="","",H1508/1000000000)</x:f>
        <x:v>8.2</x:v>
      </x:c>
      <x:c r="R1508" s="13" t="n">
        <x:f>IF(I1508="","",I1508/1000000)</x:f>
        <x:v>23.631123919308354</x:v>
      </x:c>
    </x:row>
    <x:row r="1509" ht="21" customHeight="1">
      <x:c r="A1509" s="10" t="n">
        <x:v>2339</x:v>
      </x:c>
      <x:c r="B1509" s="2" t="str">
        <x:v>dc11fa7b97f521db15c8</x:v>
      </x:c>
      <x:c r="C1509" s="2" t="str">
        <x:v>Tp Hồ Chí Minh</x:v>
      </x:c>
      <x:c r="D1509" s="2" t="str">
        <x:v>Quận 12</x:v>
      </x:c>
      <x:c r="E1509" s="2" t="str">
        <x:v>other_unknown</x:v>
      </x:c>
      <x:c r="F1509" s="2" t="str">
        <x:v>sale</x:v>
      </x:c>
      <x:c r="G1509" s="11" t="n">
        <x:v>250</x:v>
      </x:c>
      <x:c r="H1509" s="12" t="n">
        <x:v>25000000000</x:v>
      </x:c>
      <x:c r="I1509" s="12" t="n">
        <x:v>100000000</x:v>
      </x:c>
      <x:c r="J1509" s="2" t="str">
        <x:v>total</x:v>
      </x:c>
      <x:c r="K1509" s="2" t="str">
        <x:v>top_level_area</x:v>
      </x:c>
      <x:c r="L1509" s="2" t="str">
        <x:v>property_type_inferred_from_title;unknown_property_type</x:v>
      </x:c>
      <x:c r="M1509" s="10" t="n">
        <x:v>0</x:v>
      </x:c>
      <x:c r="N1509" s="10" t="n">
        <x:v>0</x:v>
      </x:c>
      <x:c r="O1509" s="2" t="str">
        <x:v>Tp Hồ Chí Minh|other_unknown</x:v>
      </x:c>
      <x:c r="P1509" s="10" t="n">
        <x:v>2</x:v>
      </x:c>
      <x:c r="Q1509" s="13" t="n">
        <x:f>IF(H1509="","",H1509/1000000000)</x:f>
        <x:v>25</x:v>
      </x:c>
      <x:c r="R1509" s="13" t="n">
        <x:f>IF(I1509="","",I1509/1000000)</x:f>
        <x:v>100</x:v>
      </x:c>
    </x:row>
    <x:row r="1510" ht="21" customHeight="1">
      <x:c r="A1510" s="10" t="n">
        <x:v>2340</x:v>
      </x:c>
      <x:c r="B1510" s="2" t="str">
        <x:v>db214bc836643a4224ac</x:v>
      </x:c>
      <x:c r="C1510" s="2" t="str">
        <x:v>Tp Hồ Chí Minh</x:v>
      </x:c>
      <x:c r="D1510" s="2" t="str">
        <x:v>Quận 3</x:v>
      </x:c>
      <x:c r="E1510" s="2" t="str">
        <x:v>other_unknown</x:v>
      </x:c>
      <x:c r="F1510" s="2" t="str">
        <x:v>sale</x:v>
      </x:c>
      <x:c r="G1510" s="11" t="n">
        <x:v>57</x:v>
      </x:c>
      <x:c r="H1510" s="12" t="n">
        <x:v>1320000000</x:v>
      </x:c>
      <x:c r="I1510" s="12" t="n">
        <x:v>23157894.736842107</x:v>
      </x:c>
      <x:c r="J1510" s="2" t="str">
        <x:v>total</x:v>
      </x:c>
      <x:c r="K1510" s="2" t="str">
        <x:v>top_level_area</x:v>
      </x:c>
      <x:c r="L1510" s="2" t="str">
        <x:v>property_type_inferred_from_title;unknown_property_type</x:v>
      </x:c>
      <x:c r="M1510" s="10" t="n">
        <x:v>0</x:v>
      </x:c>
      <x:c r="N1510" s="10" t="n">
        <x:v>0</x:v>
      </x:c>
      <x:c r="O1510" s="2" t="str">
        <x:v>Tp Hồ Chí Minh|other_unknown</x:v>
      </x:c>
      <x:c r="P1510" s="10" t="n">
        <x:v>2</x:v>
      </x:c>
      <x:c r="Q1510" s="13" t="n">
        <x:f>IF(H1510="","",H1510/1000000000)</x:f>
        <x:v>1.32</x:v>
      </x:c>
      <x:c r="R1510" s="13" t="n">
        <x:f>IF(I1510="","",I1510/1000000)</x:f>
        <x:v>23.157894736842106</x:v>
      </x:c>
    </x:row>
    <x:row r="1511" ht="21" customHeight="1">
      <x:c r="A1511" s="10" t="n">
        <x:v>2341</x:v>
      </x:c>
      <x:c r="B1511" s="2" t="str">
        <x:v>c2499f8b770eaf6aa26a</x:v>
      </x:c>
      <x:c r="C1511" s="2" t="str">
        <x:v>Tp Hồ Chí Minh</x:v>
      </x:c>
      <x:c r="D1511" s="2" t="str">
        <x:v>Quận Thủ Đức</x:v>
      </x:c>
      <x:c r="E1511" s="2" t="str">
        <x:v>house</x:v>
      </x:c>
      <x:c r="F1511" s="2" t="str">
        <x:v>sale_assumed</x:v>
      </x:c>
      <x:c r="G1511" s="11" t="n">
        <x:v>47</x:v>
      </x:c>
      <x:c r="H1511" s="12" t="n">
        <x:v>3350000000</x:v>
      </x:c>
      <x:c r="I1511" s="12" t="n">
        <x:v>71276595.74468085</x:v>
      </x:c>
      <x:c r="J1511" s="2" t="str">
        <x:v>total</x:v>
      </x:c>
      <x:c r="K1511" s="2" t="str">
        <x:v>top_level_area</x:v>
      </x:c>
      <x:c r="L1511" s="2" t="str">
        <x:v>property_type_inferred_from_title;transaction_assumed_sale_from_dataset_context</x:v>
      </x:c>
      <x:c r="M1511" s="10" t="n">
        <x:v>0</x:v>
      </x:c>
      <x:c r="N1511" s="10" t="n">
        <x:v>0</x:v>
      </x:c>
      <x:c r="O1511" s="2" t="str">
        <x:v>Tp Hồ Chí Minh|house</x:v>
      </x:c>
      <x:c r="P1511" s="10" t="n">
        <x:v>2</x:v>
      </x:c>
      <x:c r="Q1511" s="13" t="n">
        <x:f>IF(H1511="","",H1511/1000000000)</x:f>
        <x:v>3.35</x:v>
      </x:c>
      <x:c r="R1511" s="13" t="n">
        <x:f>IF(I1511="","",I1511/1000000)</x:f>
        <x:v>71.27659574468085</x:v>
      </x:c>
    </x:row>
    <x:row r="1512" ht="21" customHeight="1">
      <x:c r="A1512" s="10" t="n">
        <x:v>2342</x:v>
      </x:c>
      <x:c r="B1512" s="2" t="str">
        <x:v>ba1852900b3c52fa1459</x:v>
      </x:c>
      <x:c r="C1512" s="2" t="str">
        <x:v>Tp Hồ Chí Minh</x:v>
      </x:c>
      <x:c r="D1512" s="2" t="str">
        <x:v>Quận 8</x:v>
      </x:c>
      <x:c r="E1512" s="2" t="str">
        <x:v>apartment</x:v>
      </x:c>
      <x:c r="F1512" s="2" t="str">
        <x:v>sale_assumed</x:v>
      </x:c>
      <x:c r="G1512" s="11" t="n">
        <x:v>100</x:v>
      </x:c>
      <x:c r="H1512" s="12" t="n">
        <x:v>1980000000</x:v>
      </x:c>
      <x:c r="I1512" s="12" t="n">
        <x:v>19800000</x:v>
      </x:c>
      <x:c r="J1512" s="2" t="str">
        <x:v>total</x:v>
      </x:c>
      <x:c r="K1512" s="2" t="str">
        <x:v>top_level_area</x:v>
      </x:c>
      <x:c r="L1512" s="2" t="str">
        <x:v>property_type_inferred_from_title;transaction_assumed_sale_from_dataset_context</x:v>
      </x:c>
      <x:c r="M1512" s="10" t="n">
        <x:v>0</x:v>
      </x:c>
      <x:c r="N1512" s="10" t="n">
        <x:v>0</x:v>
      </x:c>
      <x:c r="O1512" s="2" t="str">
        <x:v>Tp Hồ Chí Minh|apartment</x:v>
      </x:c>
      <x:c r="P1512" s="10" t="n">
        <x:v>2</x:v>
      </x:c>
      <x:c r="Q1512" s="13" t="n">
        <x:f>IF(H1512="","",H1512/1000000000)</x:f>
        <x:v>1.98</x:v>
      </x:c>
      <x:c r="R1512" s="13" t="n">
        <x:f>IF(I1512="","",I1512/1000000)</x:f>
        <x:v>19.8</x:v>
      </x:c>
    </x:row>
    <x:row r="1513" ht="21" customHeight="1">
      <x:c r="A1513" s="10" t="n">
        <x:v>2343</x:v>
      </x:c>
      <x:c r="B1513" s="2" t="str">
        <x:v>126c0eb45514289287e8</x:v>
      </x:c>
      <x:c r="C1513" s="2" t="str">
        <x:v>Đồng Nai</x:v>
      </x:c>
      <x:c r="D1513" s="2" t="str">
        <x:v>Huyện Cẩm Mỹ</x:v>
      </x:c>
      <x:c r="E1513" s="2" t="str">
        <x:v>land</x:v>
      </x:c>
      <x:c r="F1513" s="2" t="str">
        <x:v>sale</x:v>
      </x:c>
      <x:c r="G1513" s="11" t="n">
        <x:v>2745</x:v>
      </x:c>
      <x:c r="H1513" s="12" t="n">
        <x:v>600000000</x:v>
      </x:c>
      <x:c r="I1513" s="12" t="n">
        <x:v>218579.2349726776</x:v>
      </x:c>
      <x:c r="J1513" s="2" t="str">
        <x:v>total</x:v>
      </x:c>
      <x:c r="K1513" s="2" t="str">
        <x:v>top_level_area</x:v>
      </x:c>
      <x:c r="L1513" s="2" t="str">
        <x:v>dot_thousands_convention;property_type_inferred_from_title</x:v>
      </x:c>
      <x:c r="M1513" s="10" t="n">
        <x:v>0</x:v>
      </x:c>
      <x:c r="N1513" s="10" t="n">
        <x:v>0</x:v>
      </x:c>
      <x:c r="O1513" s="2" t="str">
        <x:v>Đồng Nai|land</x:v>
      </x:c>
      <x:c r="P1513" s="10" t="n">
        <x:v>1</x:v>
      </x:c>
      <x:c r="Q1513" s="13" t="n">
        <x:f>IF(H1513="","",H1513/1000000000)</x:f>
        <x:v>0.6</x:v>
      </x:c>
      <x:c r="R1513" s="13" t="n">
        <x:f>IF(I1513="","",I1513/1000000)</x:f>
        <x:v>0.2185792349726776</x:v>
      </x:c>
    </x:row>
    <x:row r="1514" ht="21" customHeight="1">
      <x:c r="A1514" s="10" t="n">
        <x:v>2344</x:v>
      </x:c>
      <x:c r="B1514" s="2" t="str">
        <x:v>322caf112ef4f2a87846</x:v>
      </x:c>
      <x:c r="C1514" s="2" t="str">
        <x:v>Tp Hồ Chí Minh</x:v>
      </x:c>
      <x:c r="D1514" s="2" t="str">
        <x:v>Quận Gò Vấp</x:v>
      </x:c>
      <x:c r="E1514" s="2" t="str">
        <x:v>house</x:v>
      </x:c>
      <x:c r="F1514" s="2" t="str">
        <x:v>sale_assumed</x:v>
      </x:c>
      <x:c r="G1514" s="11" t="n">
        <x:v>31.5</x:v>
      </x:c>
      <x:c r="H1514" s="12" t="n">
        <x:v>3990000000</x:v>
      </x:c>
      <x:c r="I1514" s="12" t="n">
        <x:v>126666666.66666667</x:v>
      </x:c>
      <x:c r="J1514" s="2" t="str">
        <x:v>total</x:v>
      </x:c>
      <x:c r="K1514" s="2" t="str">
        <x:v>top_level_area</x:v>
      </x:c>
      <x:c r="L1514" s="2" t="str">
        <x:v>property_type_inferred_from_title;transaction_assumed_sale_from_dataset_context</x:v>
      </x:c>
      <x:c r="M1514" s="10" t="n">
        <x:v>0</x:v>
      </x:c>
      <x:c r="N1514" s="10" t="n">
        <x:v>0</x:v>
      </x:c>
      <x:c r="O1514" s="2" t="str">
        <x:v>Tp Hồ Chí Minh|house</x:v>
      </x:c>
      <x:c r="P1514" s="10" t="n">
        <x:v>2</x:v>
      </x:c>
      <x:c r="Q1514" s="13" t="n">
        <x:f>IF(H1514="","",H1514/1000000000)</x:f>
        <x:v>3.99</x:v>
      </x:c>
      <x:c r="R1514" s="13" t="n">
        <x:f>IF(I1514="","",I1514/1000000)</x:f>
        <x:v>126.66666666666667</x:v>
      </x:c>
    </x:row>
    <x:row r="1515" ht="21" customHeight="1">
      <x:c r="A1515" s="10" t="n">
        <x:v>2345</x:v>
      </x:c>
      <x:c r="B1515" s="2" t="str">
        <x:v>a0f76caa479bb932b067</x:v>
      </x:c>
      <x:c r="C1515" s="2" t="str">
        <x:v>Đà Nẵng</x:v>
      </x:c>
      <x:c r="D1515" s="2" t="str">
        <x:v>Quận Hải Châu</x:v>
      </x:c>
      <x:c r="E1515" s="2" t="str">
        <x:v>house</x:v>
      </x:c>
      <x:c r="F1515" s="2" t="str">
        <x:v>sale</x:v>
      </x:c>
      <x:c r="G1515" s="11" t="n">
        <x:v>41</x:v>
      </x:c>
      <x:c r="H1515" s="12" t="n">
        <x:v>3500000000</x:v>
      </x:c>
      <x:c r="I1515" s="12" t="n">
        <x:v>85365853.65853658</x:v>
      </x:c>
      <x:c r="J1515" s="2" t="str">
        <x:v>total</x:v>
      </x:c>
      <x:c r="K1515" s="2" t="str">
        <x:v>top_level_area</x:v>
      </x:c>
      <x:c r="L1515" s="2" t="str">
        <x:v>property_type_inferred_from_title</x:v>
      </x:c>
      <x:c r="M1515" s="10" t="n">
        <x:v>0</x:v>
      </x:c>
      <x:c r="N1515" s="10" t="n">
        <x:v>0</x:v>
      </x:c>
      <x:c r="O1515" s="2" t="str">
        <x:v>Đà Nẵng|house</x:v>
      </x:c>
      <x:c r="P1515" s="10" t="n">
        <x:v>2</x:v>
      </x:c>
      <x:c r="Q1515" s="13" t="n">
        <x:f>IF(H1515="","",H1515/1000000000)</x:f>
        <x:v>3.5</x:v>
      </x:c>
      <x:c r="R1515" s="13" t="n">
        <x:f>IF(I1515="","",I1515/1000000)</x:f>
        <x:v>85.36585365853658</x:v>
      </x:c>
    </x:row>
    <x:row r="1516" ht="21" customHeight="1">
      <x:c r="A1516" s="10" t="n">
        <x:v>2346</x:v>
      </x:c>
      <x:c r="B1516" s="2" t="str">
        <x:v>00f992ef084ab18a1295</x:v>
      </x:c>
      <x:c r="C1516" s="2" t="str">
        <x:v>Hà Nội</x:v>
      </x:c>
      <x:c r="D1516" s="2" t="str">
        <x:v>Quận Hà Đông</x:v>
      </x:c>
      <x:c r="E1516" s="2" t="str">
        <x:v>house</x:v>
      </x:c>
      <x:c r="F1516" s="2" t="str">
        <x:v>sale_assumed</x:v>
      </x:c>
      <x:c r="G1516" s="11" t="n">
        <x:v>56</x:v>
      </x:c>
      <x:c r="H1516" s="12" t="n">
        <x:v>4500000000</x:v>
      </x:c>
      <x:c r="I1516" s="12" t="n">
        <x:v>80357142.85714285</x:v>
      </x:c>
      <x:c r="J1516" s="2" t="str">
        <x:v>total</x:v>
      </x:c>
      <x:c r="K1516" s="2" t="str">
        <x:v>top_level_area</x:v>
      </x:c>
      <x:c r="L1516" s="2" t="str">
        <x:v>property_type_inferred_from_title;transaction_assumed_sale_from_dataset_context</x:v>
      </x:c>
      <x:c r="M1516" s="10" t="n">
        <x:v>0</x:v>
      </x:c>
      <x:c r="N1516" s="10" t="n">
        <x:v>0</x:v>
      </x:c>
      <x:c r="O1516" s="2" t="str">
        <x:v>Hà Nội|house</x:v>
      </x:c>
      <x:c r="P1516" s="10" t="n">
        <x:v>2</x:v>
      </x:c>
      <x:c r="Q1516" s="13" t="n">
        <x:f>IF(H1516="","",H1516/1000000000)</x:f>
        <x:v>4.5</x:v>
      </x:c>
      <x:c r="R1516" s="13" t="n">
        <x:f>IF(I1516="","",I1516/1000000)</x:f>
        <x:v>80.35714285714285</x:v>
      </x:c>
    </x:row>
    <x:row r="1517" ht="21" customHeight="1">
      <x:c r="A1517" s="10" t="n">
        <x:v>2347</x:v>
      </x:c>
      <x:c r="B1517" s="2" t="str">
        <x:v>b9bb105460e3824c9d55</x:v>
      </x:c>
      <x:c r="C1517" s="2" t="str">
        <x:v>Tp Hồ Chí Minh</x:v>
      </x:c>
      <x:c r="D1517" s="2" t="str">
        <x:v>Quận 3</x:v>
      </x:c>
      <x:c r="E1517" s="2" t="str">
        <x:v>house</x:v>
      </x:c>
      <x:c r="F1517" s="2" t="str">
        <x:v>sale_assumed</x:v>
      </x:c>
      <x:c r="G1517" s="11" t="n">
        <x:v>43</x:v>
      </x:c>
      <x:c r="H1517" s="12" t="n">
        <x:v>5000000000</x:v>
      </x:c>
      <x:c r="I1517" s="12" t="n">
        <x:v>116279069.76744185</x:v>
      </x:c>
      <x:c r="J1517" s="2" t="str">
        <x:v>total</x:v>
      </x:c>
      <x:c r="K1517" s="2" t="str">
        <x:v>top_level_area</x:v>
      </x:c>
      <x:c r="L1517" s="2" t="str">
        <x:v>property_type_inferred_from_title;transaction_assumed_sale_from_dataset_context</x:v>
      </x:c>
      <x:c r="M1517" s="10" t="n">
        <x:v>0</x:v>
      </x:c>
      <x:c r="N1517" s="10" t="n">
        <x:v>0</x:v>
      </x:c>
      <x:c r="O1517" s="2" t="str">
        <x:v>Tp Hồ Chí Minh|house</x:v>
      </x:c>
      <x:c r="P1517" s="10" t="n">
        <x:v>2</x:v>
      </x:c>
      <x:c r="Q1517" s="13" t="n">
        <x:f>IF(H1517="","",H1517/1000000000)</x:f>
        <x:v>5</x:v>
      </x:c>
      <x:c r="R1517" s="13" t="n">
        <x:f>IF(I1517="","",I1517/1000000)</x:f>
        <x:v>116.27906976744185</x:v>
      </x:c>
    </x:row>
    <x:row r="1518" ht="21" customHeight="1">
      <x:c r="A1518" s="10" t="n">
        <x:v>2348</x:v>
      </x:c>
      <x:c r="B1518" s="2" t="str">
        <x:v>7f308f89b23ebbefed04</x:v>
      </x:c>
      <x:c r="C1518" s="2" t="str">
        <x:v>Tp Hồ Chí Minh</x:v>
      </x:c>
      <x:c r="D1518" s="2" t="str">
        <x:v>Huyện Bình Chánh</x:v>
      </x:c>
      <x:c r="E1518" s="2" t="str">
        <x:v>land</x:v>
      </x:c>
      <x:c r="F1518" s="2" t="str">
        <x:v>sale</x:v>
      </x:c>
      <x:c r="G1518" s="11" t="n">
        <x:v>180</x:v>
      </x:c>
      <x:c r="H1518" s="12" t="n">
        <x:v>1720000000</x:v>
      </x:c>
      <x:c r="I1518" s="12" t="n">
        <x:v>9555555.555555556</x:v>
      </x:c>
      <x:c r="J1518" s="2" t="str">
        <x:v>total</x:v>
      </x:c>
      <x:c r="K1518" s="2" t="str">
        <x:v>top_level_area</x:v>
      </x:c>
      <x:c r="L1518" s="2" t="str">
        <x:v>property_type_inferred_from_title</x:v>
      </x:c>
      <x:c r="M1518" s="10" t="n">
        <x:v>0</x:v>
      </x:c>
      <x:c r="N1518" s="10" t="n">
        <x:v>0</x:v>
      </x:c>
      <x:c r="O1518" s="2" t="str">
        <x:v>Tp Hồ Chí Minh|land</x:v>
      </x:c>
      <x:c r="P1518" s="10" t="n">
        <x:v>2</x:v>
      </x:c>
      <x:c r="Q1518" s="13" t="n">
        <x:f>IF(H1518="","",H1518/1000000000)</x:f>
        <x:v>1.72</x:v>
      </x:c>
      <x:c r="R1518" s="13" t="n">
        <x:f>IF(I1518="","",I1518/1000000)</x:f>
        <x:v>9.555555555555555</x:v>
      </x:c>
    </x:row>
    <x:row r="1519" ht="21" customHeight="1">
      <x:c r="A1519" s="10" t="n">
        <x:v>2349</x:v>
      </x:c>
      <x:c r="B1519" s="2" t="str">
        <x:v>cc3b1351cabb948e754a</x:v>
      </x:c>
      <x:c r="C1519" s="2" t="str">
        <x:v>Tp Hồ Chí Minh</x:v>
      </x:c>
      <x:c r="D1519" s="2" t="str">
        <x:v>Quận Gò Vấp</x:v>
      </x:c>
      <x:c r="E1519" s="2" t="str">
        <x:v>house</x:v>
      </x:c>
      <x:c r="F1519" s="2" t="str">
        <x:v>sale_assumed</x:v>
      </x:c>
      <x:c r="G1519" s="11" t="n">
        <x:v>162</x:v>
      </x:c>
      <x:c r="H1519" s="12" t="n">
        <x:v>2000000000</x:v>
      </x:c>
      <x:c r="I1519" s="12" t="n">
        <x:v>12345679.01234568</x:v>
      </x:c>
      <x:c r="J1519" s="2" t="str">
        <x:v>total</x:v>
      </x:c>
      <x:c r="K1519" s="2" t="str">
        <x:v>top_level_area</x:v>
      </x:c>
      <x:c r="L1519" s="2" t="str">
        <x:v>property_type_inferred_from_title;transaction_assumed_sale_from_dataset_context</x:v>
      </x:c>
      <x:c r="M1519" s="10" t="n">
        <x:v>0</x:v>
      </x:c>
      <x:c r="N1519" s="10" t="n">
        <x:v>0</x:v>
      </x:c>
      <x:c r="O1519" s="2" t="str">
        <x:v>Tp Hồ Chí Minh|house</x:v>
      </x:c>
      <x:c r="P1519" s="10" t="n">
        <x:v>2</x:v>
      </x:c>
      <x:c r="Q1519" s="13" t="n">
        <x:f>IF(H1519="","",H1519/1000000000)</x:f>
        <x:v>2</x:v>
      </x:c>
      <x:c r="R1519" s="13" t="n">
        <x:f>IF(I1519="","",I1519/1000000)</x:f>
        <x:v>12.345679012345679</x:v>
      </x:c>
    </x:row>
    <x:row r="1520" ht="21" customHeight="1">
      <x:c r="A1520" s="10" t="n">
        <x:v>2350</x:v>
      </x:c>
      <x:c r="B1520" s="2" t="str">
        <x:v>ed2429131f9bb88a57b3</x:v>
      </x:c>
      <x:c r="C1520" s="2" t="str">
        <x:v>Cần Thơ</x:v>
      </x:c>
      <x:c r="D1520" s="2" t="str">
        <x:v>Quận Ninh Kiều</x:v>
      </x:c>
      <x:c r="E1520" s="2" t="str">
        <x:v>house</x:v>
      </x:c>
      <x:c r="F1520" s="2" t="str">
        <x:v>sale_assumed</x:v>
      </x:c>
      <x:c r="G1520" s="11" t="n">
        <x:v>70</x:v>
      </x:c>
      <x:c r="H1520" s="12" t="n">
        <x:v>4600000000</x:v>
      </x:c>
      <x:c r="I1520" s="12" t="n">
        <x:v>65714285.71428572</x:v>
      </x:c>
      <x:c r="J1520" s="2" t="str">
        <x:v>total</x:v>
      </x:c>
      <x:c r="K1520" s="2" t="str">
        <x:v>top_level_area</x:v>
      </x:c>
      <x:c r="L1520" s="2" t="str">
        <x:v>property_type_inferred_from_title;transaction_assumed_sale_from_dataset_context</x:v>
      </x:c>
      <x:c r="M1520" s="10" t="n">
        <x:v>0</x:v>
      </x:c>
      <x:c r="N1520" s="10" t="n">
        <x:v>0</x:v>
      </x:c>
      <x:c r="O1520" s="2" t="str">
        <x:v>Cần Thơ|house</x:v>
      </x:c>
      <x:c r="P1520" s="10" t="n">
        <x:v>2</x:v>
      </x:c>
      <x:c r="Q1520" s="13" t="n">
        <x:f>IF(H1520="","",H1520/1000000000)</x:f>
        <x:v>4.6</x:v>
      </x:c>
      <x:c r="R1520" s="13" t="n">
        <x:f>IF(I1520="","",I1520/1000000)</x:f>
        <x:v>65.71428571428572</x:v>
      </x:c>
    </x:row>
    <x:row r="1521" ht="21" customHeight="1">
      <x:c r="A1521" s="10" t="n">
        <x:v>2351</x:v>
      </x:c>
      <x:c r="B1521" s="2" t="str">
        <x:v>029c0847edd1cca31ef9</x:v>
      </x:c>
      <x:c r="C1521" s="2" t="str">
        <x:v>Long An</x:v>
      </x:c>
      <x:c r="D1521" s="2" t="str">
        <x:v>Huyện Châu Thành</x:v>
      </x:c>
      <x:c r="E1521" s="2" t="str">
        <x:v>land</x:v>
      </x:c>
      <x:c r="F1521" s="2" t="str">
        <x:v>sale</x:v>
      </x:c>
      <x:c r="G1521" s="11" t="n">
        <x:v>80</x:v>
      </x:c>
      <x:c r="H1521" s="12" t="n">
        <x:v>210000000</x:v>
      </x:c>
      <x:c r="I1521" s="12" t="n">
        <x:v>2625000</x:v>
      </x:c>
      <x:c r="J1521" s="2" t="str">
        <x:v>total</x:v>
      </x:c>
      <x:c r="K1521" s="2" t="str">
        <x:v>top_level_area</x:v>
      </x:c>
      <x:c r="L1521" s="2" t="str">
        <x:v>property_type_inferred_from_title</x:v>
      </x:c>
      <x:c r="M1521" s="10" t="n">
        <x:v>0</x:v>
      </x:c>
      <x:c r="N1521" s="10" t="n">
        <x:v>0</x:v>
      </x:c>
      <x:c r="O1521" s="2" t="str">
        <x:v>Long An|land</x:v>
      </x:c>
      <x:c r="P1521" s="10" t="n">
        <x:v>2</x:v>
      </x:c>
      <x:c r="Q1521" s="13" t="n">
        <x:f>IF(H1521="","",H1521/1000000000)</x:f>
        <x:v>0.21</x:v>
      </x:c>
      <x:c r="R1521" s="13" t="n">
        <x:f>IF(I1521="","",I1521/1000000)</x:f>
        <x:v>2.625</x:v>
      </x:c>
    </x:row>
    <x:row r="1522" ht="21" customHeight="1">
      <x:c r="A1522" s="10" t="n">
        <x:v>2352</x:v>
      </x:c>
      <x:c r="B1522" s="2" t="str">
        <x:v>6b00be506d139494eb45</x:v>
      </x:c>
      <x:c r="C1522" s="2" t="str">
        <x:v>Đồng Nai</x:v>
      </x:c>
      <x:c r="D1522" s="2" t="str">
        <x:v>Thành phố Biên Hòa</x:v>
      </x:c>
      <x:c r="E1522" s="2" t="str">
        <x:v>house</x:v>
      </x:c>
      <x:c r="F1522" s="2" t="str">
        <x:v>sale</x:v>
      </x:c>
      <x:c r="G1522" s="11" t="n">
        <x:v>132</x:v>
      </x:c>
      <x:c r="H1522" s="12" t="n">
        <x:v>2500000000</x:v>
      </x:c>
      <x:c r="I1522" s="12" t="n">
        <x:v>18939393.939393938</x:v>
      </x:c>
      <x:c r="J1522" s="2" t="str">
        <x:v>total</x:v>
      </x:c>
      <x:c r="K1522" s="2" t="str">
        <x:v>top_level_area</x:v>
      </x:c>
      <x:c r="L1522" s="2" t="str">
        <x:v>property_type_inferred_from_title</x:v>
      </x:c>
      <x:c r="M1522" s="10" t="n">
        <x:v>0</x:v>
      </x:c>
      <x:c r="N1522" s="10" t="n">
        <x:v>0</x:v>
      </x:c>
      <x:c r="O1522" s="2" t="str">
        <x:v>Đồng Nai|house</x:v>
      </x:c>
      <x:c r="P1522" s="10" t="n">
        <x:v>2</x:v>
      </x:c>
      <x:c r="Q1522" s="13" t="n">
        <x:f>IF(H1522="","",H1522/1000000000)</x:f>
        <x:v>2.5</x:v>
      </x:c>
      <x:c r="R1522" s="13" t="n">
        <x:f>IF(I1522="","",I1522/1000000)</x:f>
        <x:v>18.939393939393938</x:v>
      </x:c>
    </x:row>
    <x:row r="1523" ht="21" customHeight="1">
      <x:c r="A1523" s="10" t="n">
        <x:v>2353</x:v>
      </x:c>
      <x:c r="B1523" s="2" t="str">
        <x:v>4805edef703aa0a91c63</x:v>
      </x:c>
      <x:c r="C1523" s="2" t="str">
        <x:v>Tp Hồ Chí Minh</x:v>
      </x:c>
      <x:c r="D1523" s="2" t="str">
        <x:v>Quận 10</x:v>
      </x:c>
      <x:c r="E1523" s="2" t="str">
        <x:v>other_unknown</x:v>
      </x:c>
      <x:c r="F1523" s="2" t="str">
        <x:v>sale_assumed</x:v>
      </x:c>
      <x:c r="G1523" s="11" t="n">
        <x:v>103</x:v>
      </x:c>
      <x:c r="H1523" s="12" t="n">
        <x:v>8000000000</x:v>
      </x:c>
      <x:c r="I1523" s="12" t="n">
        <x:v>77669902.91262136</x:v>
      </x:c>
      <x:c r="J1523" s="2" t="str">
        <x:v>total</x:v>
      </x:c>
      <x:c r="K1523" s="2" t="str">
        <x:v>top_level_area</x:v>
      </x:c>
      <x:c r="L1523" s="2" t="str">
        <x:v>property_type_inferred_from_title;transaction_assumed_sale_from_dataset_context;unknown_property_type</x:v>
      </x:c>
      <x:c r="M1523" s="10" t="n">
        <x:v>0</x:v>
      </x:c>
      <x:c r="N1523" s="10" t="n">
        <x:v>0</x:v>
      </x:c>
      <x:c r="O1523" s="2" t="str">
        <x:v>Tp Hồ Chí Minh|other_unknown</x:v>
      </x:c>
      <x:c r="P1523" s="10" t="n">
        <x:v>2</x:v>
      </x:c>
      <x:c r="Q1523" s="13" t="n">
        <x:f>IF(H1523="","",H1523/1000000000)</x:f>
        <x:v>8</x:v>
      </x:c>
      <x:c r="R1523" s="13" t="n">
        <x:f>IF(I1523="","",I1523/1000000)</x:f>
        <x:v>77.66990291262137</x:v>
      </x:c>
    </x:row>
    <x:row r="1524" ht="21" customHeight="1">
      <x:c r="A1524" s="10" t="n">
        <x:v>2354</x:v>
      </x:c>
      <x:c r="B1524" s="2" t="str">
        <x:v>780f83f32904b45bcfa1</x:v>
      </x:c>
      <x:c r="C1524" s="2" t="str">
        <x:v>Tp Hồ Chí Minh</x:v>
      </x:c>
      <x:c r="D1524" s="2" t="str">
        <x:v>Quận Gò Vấp</x:v>
      </x:c>
      <x:c r="E1524" s="2" t="str">
        <x:v>house</x:v>
      </x:c>
      <x:c r="F1524" s="2" t="str">
        <x:v>sale_assumed</x:v>
      </x:c>
      <x:c r="G1524" s="11" t="n">
        <x:v>43</x:v>
      </x:c>
      <x:c r="H1524" s="12" t="n">
        <x:v>5700000000</x:v>
      </x:c>
      <x:c r="I1524" s="12" t="n">
        <x:v>132558139.53488372</x:v>
      </x:c>
      <x:c r="J1524" s="2" t="str">
        <x:v>total</x:v>
      </x:c>
      <x:c r="K1524" s="2" t="str">
        <x:v>top_level_area</x:v>
      </x:c>
      <x:c r="L1524" s="2" t="str">
        <x:v>property_type_inferred_from_title;transaction_assumed_sale_from_dataset_context</x:v>
      </x:c>
      <x:c r="M1524" s="10" t="n">
        <x:v>0</x:v>
      </x:c>
      <x:c r="N1524" s="10" t="n">
        <x:v>0</x:v>
      </x:c>
      <x:c r="O1524" s="2" t="str">
        <x:v>Tp Hồ Chí Minh|house</x:v>
      </x:c>
      <x:c r="P1524" s="10" t="n">
        <x:v>2</x:v>
      </x:c>
      <x:c r="Q1524" s="13" t="n">
        <x:f>IF(H1524="","",H1524/1000000000)</x:f>
        <x:v>5.7</x:v>
      </x:c>
      <x:c r="R1524" s="13" t="n">
        <x:f>IF(I1524="","",I1524/1000000)</x:f>
        <x:v>132.55813953488374</x:v>
      </x:c>
    </x:row>
    <x:row r="1525" ht="21" customHeight="1">
      <x:c r="A1525" s="10" t="n">
        <x:v>2355</x:v>
      </x:c>
      <x:c r="B1525" s="2" t="str">
        <x:v>729b9045c90ae39841c3</x:v>
      </x:c>
      <x:c r="C1525" s="2" t="str">
        <x:v>Bình Thuận</x:v>
      </x:c>
      <x:c r="D1525" s="2" t="str">
        <x:v>Huyện Hàm Tân</x:v>
      </x:c>
      <x:c r="E1525" s="2" t="str">
        <x:v>other_unknown</x:v>
      </x:c>
      <x:c r="F1525" s="2" t="str">
        <x:v>sale_assumed</x:v>
      </x:c>
      <x:c r="G1525" s="11" t="n">
        <x:v>13445</x:v>
      </x:c>
      <x:c r="H1525" s="12" t="n">
        <x:v>12000000000</x:v>
      </x:c>
      <x:c r="I1525" s="12" t="n">
        <x:v>892525.1022685013</x:v>
      </x:c>
      <x:c r="J1525" s="2" t="str">
        <x:v>total</x:v>
      </x:c>
      <x:c r="K1525" s="2" t="str">
        <x:v>top_level_area</x:v>
      </x:c>
      <x:c r="L1525" s="2" t="str">
        <x:v>dot_thousands_convention;property_type_inferred_from_title;transaction_assumed_sale_from_dataset_context;unknown_property_type</x:v>
      </x:c>
      <x:c r="M1525" s="10" t="n">
        <x:v>0</x:v>
      </x:c>
      <x:c r="N1525" s="10" t="n">
        <x:v>0</x:v>
      </x:c>
      <x:c r="O1525" s="2" t="str">
        <x:v>other_unknown</x:v>
      </x:c>
      <x:c r="P1525" s="10" t="n">
        <x:v>1</x:v>
      </x:c>
      <x:c r="Q1525" s="13" t="n">
        <x:f>IF(H1525="","",H1525/1000000000)</x:f>
        <x:v>12</x:v>
      </x:c>
      <x:c r="R1525" s="13" t="n">
        <x:f>IF(I1525="","",I1525/1000000)</x:f>
        <x:v>0.8925251022685013</x:v>
      </x:c>
    </x:row>
    <x:row r="1526" ht="21" customHeight="1">
      <x:c r="A1526" s="10" t="n">
        <x:v>2356</x:v>
      </x:c>
      <x:c r="B1526" s="2" t="str">
        <x:v>172a3465669859f88922</x:v>
      </x:c>
      <x:c r="C1526" s="2" t="str">
        <x:v>Bình Dương</x:v>
      </x:c>
      <x:c r="D1526" s="2" t="str">
        <x:v>Thị xã Dĩ An</x:v>
      </x:c>
      <x:c r="E1526" s="2" t="str">
        <x:v>land</x:v>
      </x:c>
      <x:c r="F1526" s="2" t="str">
        <x:v>sale_assumed</x:v>
      </x:c>
      <x:c r="G1526" s="11" t="n">
        <x:v>75</x:v>
      </x:c>
      <x:c r="H1526" s="12" t="n">
        <x:v>2500000000</x:v>
      </x:c>
      <x:c r="I1526" s="12" t="n">
        <x:v>33333333.333333332</x:v>
      </x:c>
      <x:c r="J1526" s="2" t="str">
        <x:v>total</x:v>
      </x:c>
      <x:c r="K1526" s="2" t="str">
        <x:v>top_level_area</x:v>
      </x:c>
      <x:c r="L1526" s="2" t="str">
        <x:v>property_type_inferred_from_title;transaction_assumed_sale_from_dataset_context</x:v>
      </x:c>
      <x:c r="M1526" s="10" t="n">
        <x:v>0</x:v>
      </x:c>
      <x:c r="N1526" s="10" t="n">
        <x:v>1</x:v>
      </x:c>
      <x:c r="O1526" s="2" t="str">
        <x:v>Bình Dương|land</x:v>
      </x:c>
      <x:c r="P1526" s="10" t="n">
        <x:v>-1</x:v>
      </x:c>
      <x:c r="Q1526" s="13" t="n">
        <x:f>IF(H1526="","",H1526/1000000000)</x:f>
        <x:v>2.5</x:v>
      </x:c>
      <x:c r="R1526" s="13" t="n">
        <x:f>IF(I1526="","",I1526/1000000)</x:f>
        <x:v>33.33333333333333</x:v>
      </x:c>
    </x:row>
    <x:row r="1527" ht="21" customHeight="1">
      <x:c r="A1527" s="10" t="n">
        <x:v>2357</x:v>
      </x:c>
      <x:c r="B1527" s="2" t="str">
        <x:v>13b199cb4abb8d8de459</x:v>
      </x:c>
      <x:c r="C1527" s="2" t="str">
        <x:v>Sóc Trăng</x:v>
      </x:c>
      <x:c r="D1527" s="2" t="str">
        <x:v>Thành phố Sóc Trăng</x:v>
      </x:c>
      <x:c r="E1527" s="2" t="str">
        <x:v>house</x:v>
      </x:c>
      <x:c r="F1527" s="2" t="str">
        <x:v>sale_assumed</x:v>
      </x:c>
      <x:c r="G1527" s="11" t="n">
        <x:v>62</x:v>
      </x:c>
      <x:c r="H1527" s="12" t="n">
        <x:v>6500000000</x:v>
      </x:c>
      <x:c r="I1527" s="12" t="n">
        <x:v>104838709.67741935</x:v>
      </x:c>
      <x:c r="J1527" s="2" t="str">
        <x:v>total</x:v>
      </x:c>
      <x:c r="K1527" s="2" t="str">
        <x:v>top_level_area</x:v>
      </x:c>
      <x:c r="L1527" s="2" t="str">
        <x:v>property_type_inferred_from_title;transaction_assumed_sale_from_dataset_context</x:v>
      </x:c>
      <x:c r="M1527" s="10" t="n">
        <x:v>0</x:v>
      </x:c>
      <x:c r="N1527" s="10" t="n">
        <x:v>0</x:v>
      </x:c>
      <x:c r="O1527" s="2" t="str">
        <x:v>house</x:v>
      </x:c>
      <x:c r="P1527" s="10" t="n">
        <x:v>2</x:v>
      </x:c>
      <x:c r="Q1527" s="13" t="n">
        <x:f>IF(H1527="","",H1527/1000000000)</x:f>
        <x:v>6.5</x:v>
      </x:c>
      <x:c r="R1527" s="13" t="n">
        <x:f>IF(I1527="","",I1527/1000000)</x:f>
        <x:v>104.83870967741935</x:v>
      </x:c>
    </x:row>
    <x:row r="1528" ht="21" customHeight="1">
      <x:c r="A1528" s="10" t="n">
        <x:v>2358</x:v>
      </x:c>
      <x:c r="B1528" s="2" t="str">
        <x:v>e645580273281c69b3db</x:v>
      </x:c>
      <x:c r="C1528" s="2" t="str">
        <x:v>Bình Thuận</x:v>
      </x:c>
      <x:c r="D1528" s="2" t="str">
        <x:v>Huyện Hàm Thuận Nam</x:v>
      </x:c>
      <x:c r="E1528" s="2" t="str">
        <x:v>other_unknown</x:v>
      </x:c>
      <x:c r="F1528" s="2" t="str">
        <x:v>sale_assumed</x:v>
      </x:c>
      <x:c r="G1528" s="11" t="n">
        <x:v>68000</x:v>
      </x:c>
      <x:c r="H1528" s="12" t="n">
        <x:v>7000000000</x:v>
      </x:c>
      <x:c r="I1528" s="12" t="n">
        <x:v>102941.17647058824</x:v>
      </x:c>
      <x:c r="J1528" s="2" t="str">
        <x:v>total</x:v>
      </x:c>
      <x:c r="K1528" s="2" t="str">
        <x:v>top_level_area</x:v>
      </x:c>
      <x:c r="L1528" s="2" t="str">
        <x:v>dot_thousands_convention;property_type_inferred_from_title;transaction_assumed_sale_from_dataset_context;unknown_property_type</x:v>
      </x:c>
      <x:c r="M1528" s="10" t="n">
        <x:v>0</x:v>
      </x:c>
      <x:c r="N1528" s="10" t="n">
        <x:v>0</x:v>
      </x:c>
      <x:c r="O1528" s="2" t="str">
        <x:v>other_unknown</x:v>
      </x:c>
      <x:c r="P1528" s="10" t="n">
        <x:v>1</x:v>
      </x:c>
      <x:c r="Q1528" s="13" t="n">
        <x:f>IF(H1528="","",H1528/1000000000)</x:f>
        <x:v>7</x:v>
      </x:c>
      <x:c r="R1528" s="13" t="n">
        <x:f>IF(I1528="","",I1528/1000000)</x:f>
        <x:v>0.10294117647058824</x:v>
      </x:c>
    </x:row>
    <x:row r="1529" ht="21" customHeight="1">
      <x:c r="A1529" s="10" t="n">
        <x:v>2359</x:v>
      </x:c>
      <x:c r="B1529" s="2" t="str">
        <x:v>3d89e3e844d5c21f249f</x:v>
      </x:c>
      <x:c r="C1529" s="2" t="str">
        <x:v>Bình Dương</x:v>
      </x:c>
      <x:c r="D1529" s="2" t="str">
        <x:v>Thị xã Thuận An</x:v>
      </x:c>
      <x:c r="E1529" s="2" t="str">
        <x:v>house</x:v>
      </x:c>
      <x:c r="F1529" s="2" t="str">
        <x:v>sale</x:v>
      </x:c>
      <x:c r="G1529" s="11" t="n">
        <x:v>45</x:v>
      </x:c>
      <x:c r="H1529" s="12" t="n">
        <x:v>1350000000</x:v>
      </x:c>
      <x:c r="I1529" s="12" t="n">
        <x:v>30000000</x:v>
      </x:c>
      <x:c r="J1529" s="2" t="str">
        <x:v>total</x:v>
      </x:c>
      <x:c r="K1529" s="2" t="str">
        <x:v>top_level_area</x:v>
      </x:c>
      <x:c r="L1529" s="2" t="str">
        <x:v>property_type_inferred_from_title</x:v>
      </x:c>
      <x:c r="M1529" s="10" t="n">
        <x:v>0</x:v>
      </x:c>
      <x:c r="N1529" s="10" t="n">
        <x:v>0</x:v>
      </x:c>
      <x:c r="O1529" s="2" t="str">
        <x:v>Bình Dương|house</x:v>
      </x:c>
      <x:c r="P1529" s="10" t="n">
        <x:v>2</x:v>
      </x:c>
      <x:c r="Q1529" s="13" t="n">
        <x:f>IF(H1529="","",H1529/1000000000)</x:f>
        <x:v>1.35</x:v>
      </x:c>
      <x:c r="R1529" s="13" t="n">
        <x:f>IF(I1529="","",I1529/1000000)</x:f>
        <x:v>30</x:v>
      </x:c>
    </x:row>
    <x:row r="1530" ht="21" customHeight="1">
      <x:c r="A1530" s="10" t="n">
        <x:v>2361</x:v>
      </x:c>
      <x:c r="B1530" s="2" t="str">
        <x:v>9f89101fd8e4d7e023b2</x:v>
      </x:c>
      <x:c r="C1530" s="2" t="str">
        <x:v>Đắk Lắk</x:v>
      </x:c>
      <x:c r="D1530" s="2" t="str">
        <x:v>Thị Xã Buôn Hồ</x:v>
      </x:c>
      <x:c r="E1530" s="2" t="str">
        <x:v>land</x:v>
      </x:c>
      <x:c r="F1530" s="2" t="str">
        <x:v>sale</x:v>
      </x:c>
      <x:c r="G1530" s="11" t="n">
        <x:v>155</x:v>
      </x:c>
      <x:c r="H1530" s="12" t="n">
        <x:v>99000000</x:v>
      </x:c>
      <x:c r="I1530" s="12" t="n">
        <x:v>638709.6774193548</x:v>
      </x:c>
      <x:c r="J1530" s="2" t="str">
        <x:v>total</x:v>
      </x:c>
      <x:c r="K1530" s="2" t="str">
        <x:v>top_level_area</x:v>
      </x:c>
      <x:c r="L1530" s="2" t="str">
        <x:v>property_type_inferred_from_title</x:v>
      </x:c>
      <x:c r="M1530" s="10" t="n">
        <x:v>0</x:v>
      </x:c>
      <x:c r="N1530" s="10" t="n">
        <x:v>0</x:v>
      </x:c>
      <x:c r="O1530" s="2" t="str">
        <x:v>Đắk Lắk|land</x:v>
      </x:c>
      <x:c r="P1530" s="10" t="n">
        <x:v>1</x:v>
      </x:c>
      <x:c r="Q1530" s="13" t="n">
        <x:f>IF(H1530="","",H1530/1000000000)</x:f>
        <x:v>0.099</x:v>
      </x:c>
      <x:c r="R1530" s="13" t="n">
        <x:f>IF(I1530="","",I1530/1000000)</x:f>
        <x:v>0.6387096774193548</x:v>
      </x:c>
    </x:row>
    <x:row r="1531" ht="21" customHeight="1">
      <x:c r="A1531" s="10" t="n">
        <x:v>2362</x:v>
      </x:c>
      <x:c r="B1531" s="2" t="str">
        <x:v>5203dc7a208ce3cdd5db</x:v>
      </x:c>
      <x:c r="C1531" s="2" t="str">
        <x:v>Bình Dương</x:v>
      </x:c>
      <x:c r="D1531" s="2" t="str">
        <x:v>Thị xã Dĩ An</x:v>
      </x:c>
      <x:c r="E1531" s="2" t="str">
        <x:v>house</x:v>
      </x:c>
      <x:c r="F1531" s="2" t="str">
        <x:v>sale_assumed</x:v>
      </x:c>
      <x:c r="G1531" s="11" t="n">
        <x:v>51</x:v>
      </x:c>
      <x:c r="H1531" s="12" t="n">
        <x:v>2250000000</x:v>
      </x:c>
      <x:c r="I1531" s="12" t="n">
        <x:v>44117647.058823526</x:v>
      </x:c>
      <x:c r="J1531" s="2" t="str">
        <x:v>total</x:v>
      </x:c>
      <x:c r="K1531" s="2" t="str">
        <x:v>top_level_area</x:v>
      </x:c>
      <x:c r="L1531" s="2" t="str">
        <x:v>property_type_inferred_from_title;transaction_assumed_sale_from_dataset_context</x:v>
      </x:c>
      <x:c r="M1531" s="10" t="n">
        <x:v>0</x:v>
      </x:c>
      <x:c r="N1531" s="10" t="n">
        <x:v>0</x:v>
      </x:c>
      <x:c r="O1531" s="2" t="str">
        <x:v>Bình Dương|house</x:v>
      </x:c>
      <x:c r="P1531" s="10" t="n">
        <x:v>2</x:v>
      </x:c>
      <x:c r="Q1531" s="13" t="n">
        <x:f>IF(H1531="","",H1531/1000000000)</x:f>
        <x:v>2.25</x:v>
      </x:c>
      <x:c r="R1531" s="13" t="n">
        <x:f>IF(I1531="","",I1531/1000000)</x:f>
        <x:v>44.11764705882353</x:v>
      </x:c>
    </x:row>
    <x:row r="1532" ht="21" customHeight="1">
      <x:c r="A1532" s="10" t="n">
        <x:v>2363</x:v>
      </x:c>
      <x:c r="B1532" s="2" t="str">
        <x:v>bc394586cc30c79d3b0c</x:v>
      </x:c>
      <x:c r="C1532" s="2" t="str">
        <x:v>An Giang</x:v>
      </x:c>
      <x:c r="D1532" s="2" t="str">
        <x:v>Thành phố Long Xuyên</x:v>
      </x:c>
      <x:c r="E1532" s="2" t="str">
        <x:v>land</x:v>
      </x:c>
      <x:c r="F1532" s="2" t="str">
        <x:v>sale_assumed</x:v>
      </x:c>
      <x:c r="G1532" s="11" t="n">
        <x:v>507</x:v>
      </x:c>
      <x:c r="H1532" s="12" t="n">
        <x:v>330000000</x:v>
      </x:c>
      <x:c r="I1532" s="12" t="n">
        <x:v>650887.5739644971</x:v>
      </x:c>
      <x:c r="J1532" s="2" t="str">
        <x:v>total</x:v>
      </x:c>
      <x:c r="K1532" s="2" t="str">
        <x:v>top_level_area</x:v>
      </x:c>
      <x:c r="L1532" s="2" t="str">
        <x:v>property_type_inferred_from_title;transaction_assumed_sale_from_dataset_context</x:v>
      </x:c>
      <x:c r="M1532" s="10" t="n">
        <x:v>0</x:v>
      </x:c>
      <x:c r="N1532" s="10" t="n">
        <x:v>0</x:v>
      </x:c>
      <x:c r="O1532" s="2" t="str">
        <x:v>land</x:v>
      </x:c>
      <x:c r="P1532" s="10" t="n">
        <x:v>1</x:v>
      </x:c>
      <x:c r="Q1532" s="13" t="n">
        <x:f>IF(H1532="","",H1532/1000000000)</x:f>
        <x:v>0.33</x:v>
      </x:c>
      <x:c r="R1532" s="13" t="n">
        <x:f>IF(I1532="","",I1532/1000000)</x:f>
        <x:v>0.650887573964497</x:v>
      </x:c>
    </x:row>
    <x:row r="1533" ht="21" customHeight="1">
      <x:c r="A1533" s="10" t="n">
        <x:v>2364</x:v>
      </x:c>
      <x:c r="B1533" s="2" t="str">
        <x:v>b1fd6459d0cbc6599e36</x:v>
      </x:c>
      <x:c r="C1533" s="2" t="str">
        <x:v>Cần Thơ</x:v>
      </x:c>
      <x:c r="D1533" s="2" t="str">
        <x:v>Huyện Phong Điền</x:v>
      </x:c>
      <x:c r="E1533" s="2" t="str">
        <x:v>house</x:v>
      </x:c>
      <x:c r="F1533" s="2" t="str">
        <x:v>sale_assumed</x:v>
      </x:c>
      <x:c r="G1533" s="11" t="n">
        <x:v>300</x:v>
      </x:c>
      <x:c r="H1533" s="12" t="n">
        <x:v>720000000</x:v>
      </x:c>
      <x:c r="I1533" s="12" t="n">
        <x:v>2400000</x:v>
      </x:c>
      <x:c r="J1533" s="2" t="str">
        <x:v>total</x:v>
      </x:c>
      <x:c r="K1533" s="2" t="str">
        <x:v>top_level_area</x:v>
      </x:c>
      <x:c r="L1533" s="2" t="str">
        <x:v>property_type_inferred_from_title;transaction_assumed_sale_from_dataset_context</x:v>
      </x:c>
      <x:c r="M1533" s="10" t="n">
        <x:v>0</x:v>
      </x:c>
      <x:c r="N1533" s="10" t="n">
        <x:v>0</x:v>
      </x:c>
      <x:c r="O1533" s="2" t="str">
        <x:v>Cần Thơ|house</x:v>
      </x:c>
      <x:c r="P1533" s="10" t="n">
        <x:v>1</x:v>
      </x:c>
      <x:c r="Q1533" s="13" t="n">
        <x:f>IF(H1533="","",H1533/1000000000)</x:f>
        <x:v>0.72</x:v>
      </x:c>
      <x:c r="R1533" s="13" t="n">
        <x:f>IF(I1533="","",I1533/1000000)</x:f>
        <x:v>2.4</x:v>
      </x:c>
    </x:row>
    <x:row r="1534" ht="21" customHeight="1">
      <x:c r="A1534" s="10" t="n">
        <x:v>2365</x:v>
      </x:c>
      <x:c r="B1534" s="2" t="str">
        <x:v>603675e99f89ec5649e4</x:v>
      </x:c>
      <x:c r="C1534" s="2" t="str">
        <x:v>Bình Dương</x:v>
      </x:c>
      <x:c r="D1534" s="2" t="str">
        <x:v>Thị xã Dĩ An</x:v>
      </x:c>
      <x:c r="E1534" s="2" t="str">
        <x:v>land</x:v>
      </x:c>
      <x:c r="F1534" s="2" t="str">
        <x:v>sale_assumed</x:v>
      </x:c>
      <x:c r="G1534" s="11" t="n">
        <x:v>201</x:v>
      </x:c>
      <x:c r="H1534" s="12" t="n">
        <x:v>3700000000</x:v>
      </x:c>
      <x:c r="I1534" s="12" t="n">
        <x:v>18407960.199004974</x:v>
      </x:c>
      <x:c r="J1534" s="2" t="str">
        <x:v>total</x:v>
      </x:c>
      <x:c r="K1534" s="2" t="str">
        <x:v>top_level_area</x:v>
      </x:c>
      <x:c r="L1534" s="2" t="str">
        <x:v>property_type_inferred_from_title;transaction_assumed_sale_from_dataset_context</x:v>
      </x:c>
      <x:c r="M1534" s="10" t="n">
        <x:v>0</x:v>
      </x:c>
      <x:c r="N1534" s="10" t="n">
        <x:v>0</x:v>
      </x:c>
      <x:c r="O1534" s="2" t="str">
        <x:v>Bình Dương|land</x:v>
      </x:c>
      <x:c r="P1534" s="10" t="n">
        <x:v>2</x:v>
      </x:c>
      <x:c r="Q1534" s="13" t="n">
        <x:f>IF(H1534="","",H1534/1000000000)</x:f>
        <x:v>3.7</x:v>
      </x:c>
      <x:c r="R1534" s="13" t="n">
        <x:f>IF(I1534="","",I1534/1000000)</x:f>
        <x:v>18.407960199004975</x:v>
      </x:c>
    </x:row>
    <x:row r="1535" ht="21" customHeight="1">
      <x:c r="A1535" s="10" t="n">
        <x:v>2366</x:v>
      </x:c>
      <x:c r="B1535" s="2" t="str">
        <x:v>75fa45529fa702e63c4b</x:v>
      </x:c>
      <x:c r="C1535" s="2" t="str">
        <x:v>Tp Hồ Chí Minh</x:v>
      </x:c>
      <x:c r="D1535" s="2" t="str">
        <x:v>Quận Bình Thạnh</x:v>
      </x:c>
      <x:c r="E1535" s="2" t="str">
        <x:v>house</x:v>
      </x:c>
      <x:c r="F1535" s="2" t="str">
        <x:v>sale</x:v>
      </x:c>
      <x:c r="G1535" s="11" t="n">
        <x:v>114</x:v>
      </x:c>
      <x:c r="H1535" s="12" t="n">
        <x:v>14500000000</x:v>
      </x:c>
      <x:c r="I1535" s="12" t="n">
        <x:v>127192982.45614035</x:v>
      </x:c>
      <x:c r="J1535" s="2" t="str">
        <x:v>total</x:v>
      </x:c>
      <x:c r="K1535" s="2" t="str">
        <x:v>top_level_area</x:v>
      </x:c>
      <x:c r="L1535" s="2" t="str">
        <x:v>property_type_inferred_from_title</x:v>
      </x:c>
      <x:c r="M1535" s="10" t="n">
        <x:v>0</x:v>
      </x:c>
      <x:c r="N1535" s="10" t="n">
        <x:v>0</x:v>
      </x:c>
      <x:c r="O1535" s="2" t="str">
        <x:v>Tp Hồ Chí Minh|house</x:v>
      </x:c>
      <x:c r="P1535" s="10" t="n">
        <x:v>2</x:v>
      </x:c>
      <x:c r="Q1535" s="13" t="n">
        <x:f>IF(H1535="","",H1535/1000000000)</x:f>
        <x:v>14.5</x:v>
      </x:c>
      <x:c r="R1535" s="13" t="n">
        <x:f>IF(I1535="","",I1535/1000000)</x:f>
        <x:v>127.19298245614036</x:v>
      </x:c>
    </x:row>
    <x:row r="1536" ht="21" customHeight="1">
      <x:c r="A1536" s="10" t="n">
        <x:v>2367</x:v>
      </x:c>
      <x:c r="B1536" s="2" t="str">
        <x:v>b4ae7d6806b52b28ce75</x:v>
      </x:c>
      <x:c r="C1536" s="2" t="str">
        <x:v>Hà Nội</x:v>
      </x:c>
      <x:c r="D1536" s="2" t="str">
        <x:v>Quận Tây Hồ</x:v>
      </x:c>
      <x:c r="E1536" s="2" t="str">
        <x:v>house</x:v>
      </x:c>
      <x:c r="F1536" s="2" t="str">
        <x:v>sale_assumed</x:v>
      </x:c>
      <x:c r="G1536" s="11" t="n">
        <x:v>132</x:v>
      </x:c>
      <x:c r="H1536" s="12" t="n">
        <x:v>18600000000</x:v>
      </x:c>
      <x:c r="I1536" s="12" t="n">
        <x:v>140909090.9090909</x:v>
      </x:c>
      <x:c r="J1536" s="2" t="str">
        <x:v>total</x:v>
      </x:c>
      <x:c r="K1536" s="2" t="str">
        <x:v>top_level_area</x:v>
      </x:c>
      <x:c r="L1536" s="2" t="str">
        <x:v>property_type_inferred_from_title;transaction_assumed_sale_from_dataset_context</x:v>
      </x:c>
      <x:c r="M1536" s="10" t="n">
        <x:v>0</x:v>
      </x:c>
      <x:c r="N1536" s="10" t="n">
        <x:v>0</x:v>
      </x:c>
      <x:c r="O1536" s="2" t="str">
        <x:v>Hà Nội|house</x:v>
      </x:c>
      <x:c r="P1536" s="10" t="n">
        <x:v>2</x:v>
      </x:c>
      <x:c r="Q1536" s="13" t="n">
        <x:f>IF(H1536="","",H1536/1000000000)</x:f>
        <x:v>18.6</x:v>
      </x:c>
      <x:c r="R1536" s="13" t="n">
        <x:f>IF(I1536="","",I1536/1000000)</x:f>
        <x:v>140.9090909090909</x:v>
      </x:c>
    </x:row>
    <x:row r="1537" ht="21" customHeight="1">
      <x:c r="A1537" s="10" t="n">
        <x:v>2368</x:v>
      </x:c>
      <x:c r="B1537" s="2" t="str">
        <x:v>bb2ef28c0aa9fcf76839</x:v>
      </x:c>
      <x:c r="C1537" s="2" t="str">
        <x:v>Tp Hồ Chí Minh</x:v>
      </x:c>
      <x:c r="D1537" s="2" t="str">
        <x:v>Quận 9</x:v>
      </x:c>
      <x:c r="E1537" s="2" t="str">
        <x:v>other_unknown</x:v>
      </x:c>
      <x:c r="F1537" s="2" t="str">
        <x:v>sale_assumed</x:v>
      </x:c>
      <x:c r="G1537" s="11" t="n">
        <x:v>80</x:v>
      </x:c>
      <x:c r="H1537" s="12" t="n">
        <x:v>12000000000</x:v>
      </x:c>
      <x:c r="I1537" s="12" t="n">
        <x:v>150000000</x:v>
      </x:c>
      <x:c r="J1537" s="2" t="str">
        <x:v>total</x:v>
      </x:c>
      <x:c r="K1537" s="2" t="str">
        <x:v>top_level_area</x:v>
      </x:c>
      <x:c r="L1537" s="2" t="str">
        <x:v>property_type_inferred_from_title;transaction_assumed_sale_from_dataset_context;unknown_property_type</x:v>
      </x:c>
      <x:c r="M1537" s="10" t="n">
        <x:v>0</x:v>
      </x:c>
      <x:c r="N1537" s="10" t="n">
        <x:v>0</x:v>
      </x:c>
      <x:c r="O1537" s="2" t="str">
        <x:v>Tp Hồ Chí Minh|other_unknown</x:v>
      </x:c>
      <x:c r="P1537" s="10" t="n">
        <x:v>2</x:v>
      </x:c>
      <x:c r="Q1537" s="13" t="n">
        <x:f>IF(H1537="","",H1537/1000000000)</x:f>
        <x:v>12</x:v>
      </x:c>
      <x:c r="R1537" s="13" t="n">
        <x:f>IF(I1537="","",I1537/1000000)</x:f>
        <x:v>150</x:v>
      </x:c>
    </x:row>
    <x:row r="1538" ht="21" customHeight="1">
      <x:c r="A1538" s="10" t="n">
        <x:v>2369</x:v>
      </x:c>
      <x:c r="B1538" s="2" t="str">
        <x:v>71ef3ca5d7049a6f2cb3</x:v>
      </x:c>
      <x:c r="C1538" s="2" t="str">
        <x:v>Đắk Lắk</x:v>
      </x:c>
      <x:c r="D1538" s="2" t="str">
        <x:v>Thành phố Buôn Ma Thuột</x:v>
      </x:c>
      <x:c r="E1538" s="2" t="str">
        <x:v>other_unknown</x:v>
      </x:c>
      <x:c r="F1538" s="2" t="str">
        <x:v>sale_assumed</x:v>
      </x:c>
      <x:c r="G1538" s="11" t="n">
        <x:v>120</x:v>
      </x:c>
      <x:c r="H1538" s="12" t="n">
        <x:v>1500000000</x:v>
      </x:c>
      <x:c r="I1538" s="12" t="n">
        <x:v>12500000</x:v>
      </x:c>
      <x:c r="J1538" s="2" t="str">
        <x:v>total</x:v>
      </x:c>
      <x:c r="K1538" s="2" t="str">
        <x:v>top_level_area</x:v>
      </x:c>
      <x:c r="L1538" s="2" t="str">
        <x:v>property_type_inferred_from_title;transaction_assumed_sale_from_dataset_context;unknown_property_type</x:v>
      </x:c>
      <x:c r="M1538" s="10" t="n">
        <x:v>0</x:v>
      </x:c>
      <x:c r="N1538" s="10" t="n">
        <x:v>0</x:v>
      </x:c>
      <x:c r="O1538" s="2" t="str">
        <x:v>other_unknown</x:v>
      </x:c>
      <x:c r="P1538" s="10" t="n">
        <x:v>2</x:v>
      </x:c>
      <x:c r="Q1538" s="13" t="n">
        <x:f>IF(H1538="","",H1538/1000000000)</x:f>
        <x:v>1.5</x:v>
      </x:c>
      <x:c r="R1538" s="13" t="n">
        <x:f>IF(I1538="","",I1538/1000000)</x:f>
        <x:v>12.5</x:v>
      </x:c>
    </x:row>
    <x:row r="1539" ht="21" customHeight="1">
      <x:c r="A1539" s="10" t="n">
        <x:v>2370</x:v>
      </x:c>
      <x:c r="B1539" s="2" t="str">
        <x:v>399ef87267373857218e</x:v>
      </x:c>
      <x:c r="C1539" s="2" t="str">
        <x:v>Tp Hồ Chí Minh</x:v>
      </x:c>
      <x:c r="D1539" s="2" t="str">
        <x:v>Quận 2</x:v>
      </x:c>
      <x:c r="E1539" s="2" t="str">
        <x:v>other_unknown</x:v>
      </x:c>
      <x:c r="F1539" s="2" t="str">
        <x:v>sale_assumed</x:v>
      </x:c>
      <x:c r="G1539" s="11" t="n">
        <x:v>63</x:v>
      </x:c>
      <x:c r="H1539" s="12" t="n">
        <x:v>2400000000</x:v>
      </x:c>
      <x:c r="I1539" s="12" t="n">
        <x:v>38095238.0952381</x:v>
      </x:c>
      <x:c r="J1539" s="2" t="str">
        <x:v>total</x:v>
      </x:c>
      <x:c r="K1539" s="2" t="str">
        <x:v>top_level_area</x:v>
      </x:c>
      <x:c r="L1539" s="2" t="str">
        <x:v>property_type_inferred_from_title;transaction_assumed_sale_from_dataset_context;unknown_property_type</x:v>
      </x:c>
      <x:c r="M1539" s="10" t="n">
        <x:v>0</x:v>
      </x:c>
      <x:c r="N1539" s="10" t="n">
        <x:v>0</x:v>
      </x:c>
      <x:c r="O1539" s="2" t="str">
        <x:v>Tp Hồ Chí Minh|other_unknown</x:v>
      </x:c>
      <x:c r="P1539" s="10" t="n">
        <x:v>2</x:v>
      </x:c>
      <x:c r="Q1539" s="13" t="n">
        <x:f>IF(H1539="","",H1539/1000000000)</x:f>
        <x:v>2.4</x:v>
      </x:c>
      <x:c r="R1539" s="13" t="n">
        <x:f>IF(I1539="","",I1539/1000000)</x:f>
        <x:v>38.095238095238095</x:v>
      </x:c>
    </x:row>
    <x:row r="1540" ht="21" customHeight="1">
      <x:c r="A1540" s="10" t="n">
        <x:v>2371</x:v>
      </x:c>
      <x:c r="B1540" s="2" t="str">
        <x:v>fd909ea02947338f175d</x:v>
      </x:c>
      <x:c r="C1540" s="2" t="str">
        <x:v>Tp Hồ Chí Minh</x:v>
      </x:c>
      <x:c r="D1540" s="2" t="str">
        <x:v>Huyện Hóc Môn</x:v>
      </x:c>
      <x:c r="E1540" s="2" t="str">
        <x:v>house</x:v>
      </x:c>
      <x:c r="F1540" s="2" t="str">
        <x:v>sale_assumed</x:v>
      </x:c>
      <x:c r="G1540" s="11" t="n">
        <x:v>112</x:v>
      </x:c>
      <x:c r="H1540" s="12" t="n">
        <x:v>1750000000</x:v>
      </x:c>
      <x:c r="I1540" s="12" t="n">
        <x:v>15625000</x:v>
      </x:c>
      <x:c r="J1540" s="2" t="str">
        <x:v>total</x:v>
      </x:c>
      <x:c r="K1540" s="2" t="str">
        <x:v>top_level_area</x:v>
      </x:c>
      <x:c r="L1540" s="2" t="str">
        <x:v>property_type_inferred_from_title;transaction_assumed_sale_from_dataset_context</x:v>
      </x:c>
      <x:c r="M1540" s="10" t="n">
        <x:v>0</x:v>
      </x:c>
      <x:c r="N1540" s="10" t="n">
        <x:v>0</x:v>
      </x:c>
      <x:c r="O1540" s="2" t="str">
        <x:v>Tp Hồ Chí Minh|house</x:v>
      </x:c>
      <x:c r="P1540" s="10" t="n">
        <x:v>2</x:v>
      </x:c>
      <x:c r="Q1540" s="13" t="n">
        <x:f>IF(H1540="","",H1540/1000000000)</x:f>
        <x:v>1.75</x:v>
      </x:c>
      <x:c r="R1540" s="13" t="n">
        <x:f>IF(I1540="","",I1540/1000000)</x:f>
        <x:v>15.625</x:v>
      </x:c>
    </x:row>
    <x:row r="1541" ht="21" customHeight="1">
      <x:c r="A1541" s="10" t="n">
        <x:v>2372</x:v>
      </x:c>
      <x:c r="B1541" s="2" t="str">
        <x:v>5e988b73f75dca53bede</x:v>
      </x:c>
      <x:c r="C1541" s="2" t="str">
        <x:v>Đà Nẵng</x:v>
      </x:c>
      <x:c r="D1541" s="2" t="str">
        <x:v>Quận Hải Châu</x:v>
      </x:c>
      <x:c r="E1541" s="2" t="str">
        <x:v>house</x:v>
      </x:c>
      <x:c r="F1541" s="2" t="str">
        <x:v>sale</x:v>
      </x:c>
      <x:c r="G1541" s="11" t="n">
        <x:v>40</x:v>
      </x:c>
      <x:c r="H1541" s="12" t="n">
        <x:v>3900000000</x:v>
      </x:c>
      <x:c r="I1541" s="12" t="n">
        <x:v>97500000</x:v>
      </x:c>
      <x:c r="J1541" s="2" t="str">
        <x:v>total</x:v>
      </x:c>
      <x:c r="K1541" s="2" t="str">
        <x:v>top_level_area</x:v>
      </x:c>
      <x:c r="L1541" s="2" t="str">
        <x:v>property_type_inferred_from_title</x:v>
      </x:c>
      <x:c r="M1541" s="10" t="n">
        <x:v>0</x:v>
      </x:c>
      <x:c r="N1541" s="10" t="n">
        <x:v>0</x:v>
      </x:c>
      <x:c r="O1541" s="2" t="str">
        <x:v>Đà Nẵng|house</x:v>
      </x:c>
      <x:c r="P1541" s="10" t="n">
        <x:v>2</x:v>
      </x:c>
      <x:c r="Q1541" s="13" t="n">
        <x:f>IF(H1541="","",H1541/1000000000)</x:f>
        <x:v>3.9</x:v>
      </x:c>
      <x:c r="R1541" s="13" t="n">
        <x:f>IF(I1541="","",I1541/1000000)</x:f>
        <x:v>97.5</x:v>
      </x:c>
    </x:row>
    <x:row r="1542" ht="21" customHeight="1">
      <x:c r="A1542" s="10" t="n">
        <x:v>2373</x:v>
      </x:c>
      <x:c r="B1542" s="2" t="str">
        <x:v>a8c25a2b365be53c7d7d</x:v>
      </x:c>
      <x:c r="C1542" s="2" t="str">
        <x:v>Trà Vinh</x:v>
      </x:c>
      <x:c r="D1542" s="2" t="str">
        <x:v>Thành phố Trà Vinh</x:v>
      </x:c>
      <x:c r="E1542" s="2" t="str">
        <x:v>house</x:v>
      </x:c>
      <x:c r="F1542" s="2" t="str">
        <x:v>sale_assumed</x:v>
      </x:c>
      <x:c r="G1542" s="11" t="n">
        <x:v>700</x:v>
      </x:c>
      <x:c r="H1542" s="12" t="n">
        <x:v>1800000000</x:v>
      </x:c>
      <x:c r="I1542" s="12" t="n">
        <x:v>2571428.5714285714</x:v>
      </x:c>
      <x:c r="J1542" s="2" t="str">
        <x:v>total</x:v>
      </x:c>
      <x:c r="K1542" s="2" t="str">
        <x:v>top_level_area</x:v>
      </x:c>
      <x:c r="L1542" s="2" t="str">
        <x:v>property_type_inferred_from_title;transaction_assumed_sale_from_dataset_context</x:v>
      </x:c>
      <x:c r="M1542" s="10" t="n">
        <x:v>0</x:v>
      </x:c>
      <x:c r="N1542" s="10" t="n">
        <x:v>0</x:v>
      </x:c>
      <x:c r="O1542" s="2" t="str">
        <x:v>house</x:v>
      </x:c>
      <x:c r="P1542" s="10" t="n">
        <x:v>1</x:v>
      </x:c>
      <x:c r="Q1542" s="13" t="n">
        <x:f>IF(H1542="","",H1542/1000000000)</x:f>
        <x:v>1.8</x:v>
      </x:c>
      <x:c r="R1542" s="13" t="n">
        <x:f>IF(I1542="","",I1542/1000000)</x:f>
        <x:v>2.571428571428571</x:v>
      </x:c>
    </x:row>
    <x:row r="1543" ht="21" customHeight="1">
      <x:c r="A1543" s="10" t="n">
        <x:v>2374</x:v>
      </x:c>
      <x:c r="B1543" s="2" t="str">
        <x:v>04f2957b49ed31dba07c</x:v>
      </x:c>
      <x:c r="C1543" s="2" t="str">
        <x:v>Tp Hồ Chí Minh</x:v>
      </x:c>
      <x:c r="D1543" s="2" t="str">
        <x:v>Quận Gò Vấp</x:v>
      </x:c>
      <x:c r="E1543" s="2" t="str">
        <x:v>house</x:v>
      </x:c>
      <x:c r="F1543" s="2" t="str">
        <x:v>sale</x:v>
      </x:c>
      <x:c r="G1543" s="11" t="n">
        <x:v>48</x:v>
      </x:c>
      <x:c r="H1543" s="12" t="n">
        <x:v>850000000</x:v>
      </x:c>
      <x:c r="I1543" s="12" t="n">
        <x:v>17708333.333333332</x:v>
      </x:c>
      <x:c r="J1543" s="2" t="str">
        <x:v>total</x:v>
      </x:c>
      <x:c r="K1543" s="2" t="str">
        <x:v>top_level_area</x:v>
      </x:c>
      <x:c r="L1543" s="2" t="str">
        <x:v>property_type_inferred_from_title</x:v>
      </x:c>
      <x:c r="M1543" s="10" t="n">
        <x:v>0</x:v>
      </x:c>
      <x:c r="N1543" s="10" t="n">
        <x:v>0</x:v>
      </x:c>
      <x:c r="O1543" s="2" t="str">
        <x:v>Tp Hồ Chí Minh|house</x:v>
      </x:c>
      <x:c r="P1543" s="10" t="n">
        <x:v>2</x:v>
      </x:c>
      <x:c r="Q1543" s="13" t="n">
        <x:f>IF(H1543="","",H1543/1000000000)</x:f>
        <x:v>0.85</x:v>
      </x:c>
      <x:c r="R1543" s="13" t="n">
        <x:f>IF(I1543="","",I1543/1000000)</x:f>
        <x:v>17.708333333333332</x:v>
      </x:c>
    </x:row>
    <x:row r="1544" ht="21" customHeight="1">
      <x:c r="A1544" s="10" t="n">
        <x:v>2375</x:v>
      </x:c>
      <x:c r="B1544" s="2" t="str">
        <x:v>648cb88c16345f29331c</x:v>
      </x:c>
      <x:c r="C1544" s="2" t="str">
        <x:v>Long An</x:v>
      </x:c>
      <x:c r="D1544" s="2" t="str">
        <x:v>Thành phố Tân An</x:v>
      </x:c>
      <x:c r="E1544" s="2" t="str">
        <x:v>land</x:v>
      </x:c>
      <x:c r="F1544" s="2" t="str">
        <x:v>sale</x:v>
      </x:c>
      <x:c r="G1544" s="11" t="n">
        <x:v>100</x:v>
      </x:c>
      <x:c r="H1544" s="12" t="n">
        <x:v>45000000</x:v>
      </x:c>
      <x:c r="I1544" s="12" t="n">
        <x:v>450000</x:v>
      </x:c>
      <x:c r="J1544" s="2" t="str">
        <x:v>total</x:v>
      </x:c>
      <x:c r="K1544" s="2" t="str">
        <x:v>top_level_area</x:v>
      </x:c>
      <x:c r="L1544" s="2" t="str">
        <x:v>property_type_inferred_from_title</x:v>
      </x:c>
      <x:c r="M1544" s="10" t="n">
        <x:v>0</x:v>
      </x:c>
      <x:c r="N1544" s="10" t="n">
        <x:v>0</x:v>
      </x:c>
      <x:c r="O1544" s="2" t="str">
        <x:v>Long An|land</x:v>
      </x:c>
      <x:c r="P1544" s="10" t="n">
        <x:v>1</x:v>
      </x:c>
      <x:c r="Q1544" s="13" t="n">
        <x:f>IF(H1544="","",H1544/1000000000)</x:f>
        <x:v>0.045</x:v>
      </x:c>
      <x:c r="R1544" s="13" t="n">
        <x:f>IF(I1544="","",I1544/1000000)</x:f>
        <x:v>0.45</x:v>
      </x:c>
    </x:row>
    <x:row r="1545" ht="21" customHeight="1">
      <x:c r="A1545" s="10" t="n">
        <x:v>2376</x:v>
      </x:c>
      <x:c r="B1545" s="2" t="str">
        <x:v>73a8531d19a2a1994437</x:v>
      </x:c>
      <x:c r="C1545" s="2" t="str">
        <x:v>Bình Dương</x:v>
      </x:c>
      <x:c r="D1545" s="2" t="str">
        <x:v>Thành phố Thủ Dầu Một</x:v>
      </x:c>
      <x:c r="E1545" s="2" t="str">
        <x:v>house</x:v>
      </x:c>
      <x:c r="F1545" s="2" t="str">
        <x:v>sale</x:v>
      </x:c>
      <x:c r="G1545" s="11" t="n">
        <x:v>80</x:v>
      </x:c>
      <x:c r="H1545" s="12" t="n">
        <x:v>2650000000</x:v>
      </x:c>
      <x:c r="I1545" s="12" t="n">
        <x:v>33125000</x:v>
      </x:c>
      <x:c r="J1545" s="2" t="str">
        <x:v>total</x:v>
      </x:c>
      <x:c r="K1545" s="2" t="str">
        <x:v>top_level_area</x:v>
      </x:c>
      <x:c r="L1545" s="2" t="str">
        <x:v>property_type_inferred_from_title</x:v>
      </x:c>
      <x:c r="M1545" s="10" t="n">
        <x:v>0</x:v>
      </x:c>
      <x:c r="N1545" s="10" t="n">
        <x:v>0</x:v>
      </x:c>
      <x:c r="O1545" s="2" t="str">
        <x:v>Bình Dương|house</x:v>
      </x:c>
      <x:c r="P1545" s="10" t="n">
        <x:v>2</x:v>
      </x:c>
      <x:c r="Q1545" s="13" t="n">
        <x:f>IF(H1545="","",H1545/1000000000)</x:f>
        <x:v>2.65</x:v>
      </x:c>
      <x:c r="R1545" s="13" t="n">
        <x:f>IF(I1545="","",I1545/1000000)</x:f>
        <x:v>33.125</x:v>
      </x:c>
    </x:row>
    <x:row r="1546" ht="21" customHeight="1">
      <x:c r="A1546" s="10" t="n">
        <x:v>2377</x:v>
      </x:c>
      <x:c r="B1546" s="2" t="str">
        <x:v>0b2636407c26efa9bdd3</x:v>
      </x:c>
      <x:c r="C1546" s="2" t="str">
        <x:v>Đồng Nai</x:v>
      </x:c>
      <x:c r="D1546" s="2" t="str">
        <x:v>Thành phố Biên Hòa</x:v>
      </x:c>
      <x:c r="E1546" s="2" t="str">
        <x:v>apartment</x:v>
      </x:c>
      <x:c r="F1546" s="2" t="str">
        <x:v>sale_assumed</x:v>
      </x:c>
      <x:c r="G1546" s="11" t="n">
        <x:v>48</x:v>
      </x:c>
      <x:c r="H1546" s="12" t="n">
        <x:v>1490000000</x:v>
      </x:c>
      <x:c r="I1546" s="12" t="n">
        <x:v>31041666.666666668</x:v>
      </x:c>
      <x:c r="J1546" s="2" t="str">
        <x:v>total</x:v>
      </x:c>
      <x:c r="K1546" s="2" t="str">
        <x:v>top_level_area</x:v>
      </x:c>
      <x:c r="L1546" s="2" t="str">
        <x:v>property_type_inferred_from_title;transaction_assumed_sale_from_dataset_context</x:v>
      </x:c>
      <x:c r="M1546" s="10" t="n">
        <x:v>0</x:v>
      </x:c>
      <x:c r="N1546" s="10" t="n">
        <x:v>0</x:v>
      </x:c>
      <x:c r="O1546" s="2" t="str">
        <x:v>apartment</x:v>
      </x:c>
      <x:c r="P1546" s="10" t="n">
        <x:v>2</x:v>
      </x:c>
      <x:c r="Q1546" s="13" t="n">
        <x:f>IF(H1546="","",H1546/1000000000)</x:f>
        <x:v>1.49</x:v>
      </x:c>
      <x:c r="R1546" s="13" t="n">
        <x:f>IF(I1546="","",I1546/1000000)</x:f>
        <x:v>31.041666666666668</x:v>
      </x:c>
    </x:row>
    <x:row r="1547" ht="21" customHeight="1">
      <x:c r="A1547" s="10" t="n">
        <x:v>2378</x:v>
      </x:c>
      <x:c r="B1547" s="2" t="str">
        <x:v>e72a6e04b92793ff58e8</x:v>
      </x:c>
      <x:c r="C1547" s="2" t="str">
        <x:v>Tp Hồ Chí Minh</x:v>
      </x:c>
      <x:c r="D1547" s="2" t="str">
        <x:v>Quận Bình Thạnh</x:v>
      </x:c>
      <x:c r="E1547" s="2" t="str">
        <x:v>other_unknown</x:v>
      </x:c>
      <x:c r="F1547" s="2" t="str">
        <x:v>sale_assumed</x:v>
      </x:c>
      <x:c r="G1547" s="11" t="n">
        <x:v>25</x:v>
      </x:c>
      <x:c r="H1547" s="12" t="n">
        <x:v>2750000000</x:v>
      </x:c>
      <x:c r="I1547" s="12" t="n">
        <x:v>110000000</x:v>
      </x:c>
      <x:c r="J1547" s="2" t="str">
        <x:v>total</x:v>
      </x:c>
      <x:c r="K1547" s="2" t="str">
        <x:v>top_level_area</x:v>
      </x:c>
      <x:c r="L1547" s="2" t="str">
        <x:v>property_type_inferred_from_title;transaction_assumed_sale_from_dataset_context;unknown_property_type</x:v>
      </x:c>
      <x:c r="M1547" s="10" t="n">
        <x:v>0</x:v>
      </x:c>
      <x:c r="N1547" s="10" t="n">
        <x:v>0</x:v>
      </x:c>
      <x:c r="O1547" s="2" t="str">
        <x:v>Tp Hồ Chí Minh|other_unknown</x:v>
      </x:c>
      <x:c r="P1547" s="10" t="n">
        <x:v>2</x:v>
      </x:c>
      <x:c r="Q1547" s="13" t="n">
        <x:f>IF(H1547="","",H1547/1000000000)</x:f>
        <x:v>2.75</x:v>
      </x:c>
      <x:c r="R1547" s="13" t="n">
        <x:f>IF(I1547="","",I1547/1000000)</x:f>
        <x:v>110</x:v>
      </x:c>
    </x:row>
    <x:row r="1548" ht="21" customHeight="1">
      <x:c r="A1548" s="10" t="n">
        <x:v>2379</x:v>
      </x:c>
      <x:c r="B1548" s="2" t="str">
        <x:v>e0ac994a091eeec1e096</x:v>
      </x:c>
      <x:c r="C1548" s="2" t="str">
        <x:v>Tp Hồ Chí Minh</x:v>
      </x:c>
      <x:c r="D1548" s="2" t="str">
        <x:v>Quận 9</x:v>
      </x:c>
      <x:c r="E1548" s="2" t="str">
        <x:v>land</x:v>
      </x:c>
      <x:c r="F1548" s="2" t="str">
        <x:v>sale_assumed</x:v>
      </x:c>
      <x:c r="G1548" s="11" t="n">
        <x:v>65</x:v>
      </x:c>
      <x:c r="H1548" s="12" t="n">
        <x:v>1590000000</x:v>
      </x:c>
      <x:c r="I1548" s="12" t="n">
        <x:v>24461538.46153846</x:v>
      </x:c>
      <x:c r="J1548" s="2" t="str">
        <x:v>total</x:v>
      </x:c>
      <x:c r="K1548" s="2" t="str">
        <x:v>top_level_area</x:v>
      </x:c>
      <x:c r="L1548" s="2" t="str">
        <x:v>property_type_inferred_from_title;transaction_assumed_sale_from_dataset_context</x:v>
      </x:c>
      <x:c r="M1548" s="10" t="n">
        <x:v>0</x:v>
      </x:c>
      <x:c r="N1548" s="10" t="n">
        <x:v>0</x:v>
      </x:c>
      <x:c r="O1548" s="2" t="str">
        <x:v>Tp Hồ Chí Minh|land</x:v>
      </x:c>
      <x:c r="P1548" s="10" t="n">
        <x:v>2</x:v>
      </x:c>
      <x:c r="Q1548" s="13" t="n">
        <x:f>IF(H1548="","",H1548/1000000000)</x:f>
        <x:v>1.59</x:v>
      </x:c>
      <x:c r="R1548" s="13" t="n">
        <x:f>IF(I1548="","",I1548/1000000)</x:f>
        <x:v>24.46153846153846</x:v>
      </x:c>
    </x:row>
    <x:row r="1549" ht="21" customHeight="1">
      <x:c r="A1549" s="10" t="n">
        <x:v>2395</x:v>
      </x:c>
      <x:c r="B1549" s="2" t="str">
        <x:v>b0b34e0289e8b0d5091f</x:v>
      </x:c>
      <x:c r="C1549" s="2" t="str">
        <x:v>Khánh Hòa</x:v>
      </x:c>
      <x:c r="D1549" s="2" t="str">
        <x:v>Huyện Diên Khánh</x:v>
      </x:c>
      <x:c r="E1549" s="2" t="str">
        <x:v>land</x:v>
      </x:c>
      <x:c r="F1549" s="2" t="str">
        <x:v>sale_assumed</x:v>
      </x:c>
      <x:c r="G1549" s="11" t="n">
        <x:v>106</x:v>
      </x:c>
      <x:c r="H1549" s="12" t="n">
        <x:v>565000000</x:v>
      </x:c>
      <x:c r="I1549" s="12" t="n">
        <x:v>5330188.679245283</x:v>
      </x:c>
      <x:c r="J1549" s="2" t="str">
        <x:v>total</x:v>
      </x:c>
      <x:c r="K1549" s="2" t="str">
        <x:v>top_level_area</x:v>
      </x:c>
      <x:c r="L1549" s="2" t="str">
        <x:v>property_type_inferred_from_title;transaction_assumed_sale_from_dataset_context</x:v>
      </x:c>
      <x:c r="M1549" s="10" t="n">
        <x:v>0</x:v>
      </x:c>
      <x:c r="N1549" s="10" t="n">
        <x:v>0</x:v>
      </x:c>
      <x:c r="O1549" s="2" t="str">
        <x:v>land</x:v>
      </x:c>
      <x:c r="P1549" s="10" t="n">
        <x:v>2</x:v>
      </x:c>
      <x:c r="Q1549" s="13" t="n">
        <x:f>IF(H1549="","",H1549/1000000000)</x:f>
        <x:v>0.565</x:v>
      </x:c>
      <x:c r="R1549" s="13" t="n">
        <x:f>IF(I1549="","",I1549/1000000)</x:f>
        <x:v>5.330188679245283</x:v>
      </x:c>
    </x:row>
    <x:row r="1550" ht="21" customHeight="1">
      <x:c r="A1550" s="10" t="n">
        <x:v>2396</x:v>
      </x:c>
      <x:c r="B1550" s="2" t="str">
        <x:v>29ddc0a8012fddd097a3</x:v>
      </x:c>
      <x:c r="C1550" s="2" t="str">
        <x:v>Đắk Lắk</x:v>
      </x:c>
      <x:c r="D1550" s="2" t="str">
        <x:v>Thành phố Buôn Ma Thuột</x:v>
      </x:c>
      <x:c r="E1550" s="2" t="str">
        <x:v>house</x:v>
      </x:c>
      <x:c r="F1550" s="2" t="str">
        <x:v>sale_assumed</x:v>
      </x:c>
      <x:c r="G1550" s="11" t="n">
        <x:v>97</x:v>
      </x:c>
      <x:c r="H1550" s="12" t="n">
        <x:v>1750000000</x:v>
      </x:c>
      <x:c r="I1550" s="12" t="n">
        <x:v>18041237.11340206</x:v>
      </x:c>
      <x:c r="J1550" s="2" t="str">
        <x:v>total</x:v>
      </x:c>
      <x:c r="K1550" s="2" t="str">
        <x:v>top_level_area</x:v>
      </x:c>
      <x:c r="L1550" s="2" t="str">
        <x:v>property_type_inferred_from_title;transaction_assumed_sale_from_dataset_context</x:v>
      </x:c>
      <x:c r="M1550" s="10" t="n">
        <x:v>0</x:v>
      </x:c>
      <x:c r="N1550" s="10" t="n">
        <x:v>0</x:v>
      </x:c>
      <x:c r="O1550" s="2" t="str">
        <x:v>Đắk Lắk|house</x:v>
      </x:c>
      <x:c r="P1550" s="10" t="n">
        <x:v>2</x:v>
      </x:c>
      <x:c r="Q1550" s="13" t="n">
        <x:f>IF(H1550="","",H1550/1000000000)</x:f>
        <x:v>1.75</x:v>
      </x:c>
      <x:c r="R1550" s="13" t="n">
        <x:f>IF(I1550="","",I1550/1000000)</x:f>
        <x:v>18.04123711340206</x:v>
      </x:c>
    </x:row>
    <x:row r="1551" ht="21" customHeight="1">
      <x:c r="A1551" s="10" t="n">
        <x:v>2397</x:v>
      </x:c>
      <x:c r="B1551" s="2" t="str">
        <x:v>32cb4a246e47fef2e1d3</x:v>
      </x:c>
      <x:c r="C1551" s="2" t="str">
        <x:v>Tp Hồ Chí Minh</x:v>
      </x:c>
      <x:c r="D1551" s="2" t="str">
        <x:v>Quận 10</x:v>
      </x:c>
      <x:c r="E1551" s="2" t="str">
        <x:v>house</x:v>
      </x:c>
      <x:c r="F1551" s="2" t="str">
        <x:v>sale</x:v>
      </x:c>
      <x:c r="G1551" s="11" t="n">
        <x:v>24</x:v>
      </x:c>
      <x:c r="H1551" s="12" t="n">
        <x:v>3450000000</x:v>
      </x:c>
      <x:c r="I1551" s="12" t="n">
        <x:v>143750000</x:v>
      </x:c>
      <x:c r="J1551" s="2" t="str">
        <x:v>total</x:v>
      </x:c>
      <x:c r="K1551" s="2" t="str">
        <x:v>top_level_area</x:v>
      </x:c>
      <x:c r="L1551" s="2" t="str">
        <x:v>property_type_inferred_from_title</x:v>
      </x:c>
      <x:c r="M1551" s="10" t="n">
        <x:v>0</x:v>
      </x:c>
      <x:c r="N1551" s="10" t="n">
        <x:v>0</x:v>
      </x:c>
      <x:c r="O1551" s="2" t="str">
        <x:v>Tp Hồ Chí Minh|house</x:v>
      </x:c>
      <x:c r="P1551" s="10" t="n">
        <x:v>2</x:v>
      </x:c>
      <x:c r="Q1551" s="13" t="n">
        <x:f>IF(H1551="","",H1551/1000000000)</x:f>
        <x:v>3.45</x:v>
      </x:c>
      <x:c r="R1551" s="13" t="n">
        <x:f>IF(I1551="","",I1551/1000000)</x:f>
        <x:v>143.75</x:v>
      </x:c>
    </x:row>
    <x:row r="1552" ht="21" customHeight="1">
      <x:c r="A1552" s="10" t="n">
        <x:v>2398</x:v>
      </x:c>
      <x:c r="B1552" s="2" t="str">
        <x:v>1425ba5919d532894341</x:v>
      </x:c>
      <x:c r="C1552" s="2" t="str">
        <x:v>Lâm Đồng</x:v>
      </x:c>
      <x:c r="D1552" s="2" t="str">
        <x:v>Thành phố Bảo Lộc</x:v>
      </x:c>
      <x:c r="E1552" s="2" t="str">
        <x:v>land</x:v>
      </x:c>
      <x:c r="F1552" s="2" t="str">
        <x:v>sale_assumed</x:v>
      </x:c>
      <x:c r="G1552" s="11" t="n">
        <x:v>183</x:v>
      </x:c>
      <x:c r="H1552" s="12" t="n">
        <x:v>850000000</x:v>
      </x:c>
      <x:c r="I1552" s="12" t="n">
        <x:v>4644808.743169399</x:v>
      </x:c>
      <x:c r="J1552" s="2" t="str">
        <x:v>total</x:v>
      </x:c>
      <x:c r="K1552" s="2" t="str">
        <x:v>top_level_area</x:v>
      </x:c>
      <x:c r="L1552" s="2" t="str">
        <x:v>property_type_inferred_from_title;transaction_assumed_sale_from_dataset_context</x:v>
      </x:c>
      <x:c r="M1552" s="10" t="n">
        <x:v>0</x:v>
      </x:c>
      <x:c r="N1552" s="10" t="n">
        <x:v>0</x:v>
      </x:c>
      <x:c r="O1552" s="2" t="str">
        <x:v>Lâm Đồng|land</x:v>
      </x:c>
      <x:c r="P1552" s="10" t="n">
        <x:v>1</x:v>
      </x:c>
      <x:c r="Q1552" s="13" t="n">
        <x:f>IF(H1552="","",H1552/1000000000)</x:f>
        <x:v>0.85</x:v>
      </x:c>
      <x:c r="R1552" s="13" t="n">
        <x:f>IF(I1552="","",I1552/1000000)</x:f>
        <x:v>4.644808743169399</x:v>
      </x:c>
    </x:row>
    <x:row r="1553" ht="21" customHeight="1">
      <x:c r="A1553" s="10" t="n">
        <x:v>2399</x:v>
      </x:c>
      <x:c r="B1553" s="2" t="str">
        <x:v>cf748f61ff21d4851bd3</x:v>
      </x:c>
      <x:c r="C1553" s="2" t="str">
        <x:v>Long An</x:v>
      </x:c>
      <x:c r="D1553" s="2" t="str">
        <x:v>Huyện Cần Giuộc</x:v>
      </x:c>
      <x:c r="E1553" s="2" t="str">
        <x:v>house</x:v>
      </x:c>
      <x:c r="F1553" s="2" t="str">
        <x:v>sale</x:v>
      </x:c>
      <x:c r="G1553" s="11" t="n">
        <x:v>37</x:v>
      </x:c>
      <x:c r="H1553" s="12" t="n">
        <x:v>950000000</x:v>
      </x:c>
      <x:c r="I1553" s="12" t="n">
        <x:v>25675675.675675675</x:v>
      </x:c>
      <x:c r="J1553" s="2" t="str">
        <x:v>total</x:v>
      </x:c>
      <x:c r="K1553" s="2" t="str">
        <x:v>top_level_area</x:v>
      </x:c>
      <x:c r="L1553" s="2" t="str">
        <x:v>property_type_inferred_from_title</x:v>
      </x:c>
      <x:c r="M1553" s="10" t="n">
        <x:v>0</x:v>
      </x:c>
      <x:c r="N1553" s="10" t="n">
        <x:v>0</x:v>
      </x:c>
      <x:c r="O1553" s="2" t="str">
        <x:v>Long An|house</x:v>
      </x:c>
      <x:c r="P1553" s="10" t="n">
        <x:v>2</x:v>
      </x:c>
      <x:c r="Q1553" s="13" t="n">
        <x:f>IF(H1553="","",H1553/1000000000)</x:f>
        <x:v>0.95</x:v>
      </x:c>
      <x:c r="R1553" s="13" t="n">
        <x:f>IF(I1553="","",I1553/1000000)</x:f>
        <x:v>25.675675675675674</x:v>
      </x:c>
    </x:row>
    <x:row r="1554" ht="21" customHeight="1">
      <x:c r="A1554" s="10" t="n">
        <x:v>2400</x:v>
      </x:c>
      <x:c r="B1554" s="2" t="str">
        <x:v>707cacd81c43de841d08</x:v>
      </x:c>
      <x:c r="C1554" s="2" t="str">
        <x:v>Tp Hồ Chí Minh</x:v>
      </x:c>
      <x:c r="D1554" s="2" t="str">
        <x:v>Quận Bình Tân</x:v>
      </x:c>
      <x:c r="E1554" s="2" t="str">
        <x:v>house</x:v>
      </x:c>
      <x:c r="F1554" s="2" t="str">
        <x:v>sale</x:v>
      </x:c>
      <x:c r="G1554" s="11" t="n">
        <x:v>51</x:v>
      </x:c>
      <x:c r="H1554" s="12" t="n">
        <x:v>3500000000</x:v>
      </x:c>
      <x:c r="I1554" s="12" t="n">
        <x:v>68627450.98039216</x:v>
      </x:c>
      <x:c r="J1554" s="2" t="str">
        <x:v>total</x:v>
      </x:c>
      <x:c r="K1554" s="2" t="str">
        <x:v>top_level_area</x:v>
      </x:c>
      <x:c r="L1554" s="2" t="str">
        <x:v>property_type_inferred_from_title</x:v>
      </x:c>
      <x:c r="M1554" s="10" t="n">
        <x:v>0</x:v>
      </x:c>
      <x:c r="N1554" s="10" t="n">
        <x:v>0</x:v>
      </x:c>
      <x:c r="O1554" s="2" t="str">
        <x:v>Tp Hồ Chí Minh|house</x:v>
      </x:c>
      <x:c r="P1554" s="10" t="n">
        <x:v>2</x:v>
      </x:c>
      <x:c r="Q1554" s="13" t="n">
        <x:f>IF(H1554="","",H1554/1000000000)</x:f>
        <x:v>3.5</x:v>
      </x:c>
      <x:c r="R1554" s="13" t="n">
        <x:f>IF(I1554="","",I1554/1000000)</x:f>
        <x:v>68.62745098039215</x:v>
      </x:c>
    </x:row>
    <x:row r="1555" ht="21" customHeight="1">
      <x:c r="A1555" s="10" t="n">
        <x:v>2401</x:v>
      </x:c>
      <x:c r="B1555" s="2" t="str">
        <x:v>feed5f2084f4d7a3ce4f</x:v>
      </x:c>
      <x:c r="C1555" s="2" t="str">
        <x:v>Tp Hồ Chí Minh</x:v>
      </x:c>
      <x:c r="D1555" s="2" t="str">
        <x:v>Quận 9</x:v>
      </x:c>
      <x:c r="E1555" s="2" t="str">
        <x:v>land</x:v>
      </x:c>
      <x:c r="F1555" s="2" t="str">
        <x:v>sale</x:v>
      </x:c>
      <x:c r="G1555" s="11" t="n">
        <x:v>118</x:v>
      </x:c>
      <x:c r="H1555" s="12" t="n">
        <x:v>50000000</x:v>
      </x:c>
      <x:c r="I1555" s="12" t="n">
        <x:v>423728.81355932204</x:v>
      </x:c>
      <x:c r="J1555" s="2" t="str">
        <x:v>total</x:v>
      </x:c>
      <x:c r="K1555" s="2" t="str">
        <x:v>top_level_area</x:v>
      </x:c>
      <x:c r="L1555" s="2" t="str">
        <x:v>property_type_inferred_from_title</x:v>
      </x:c>
      <x:c r="M1555" s="10" t="n">
        <x:v>0</x:v>
      </x:c>
      <x:c r="N1555" s="10" t="n">
        <x:v>0</x:v>
      </x:c>
      <x:c r="O1555" s="2" t="str">
        <x:v>Tp Hồ Chí Minh|land</x:v>
      </x:c>
      <x:c r="P1555" s="10" t="n">
        <x:v>1</x:v>
      </x:c>
      <x:c r="Q1555" s="13" t="n">
        <x:f>IF(H1555="","",H1555/1000000000)</x:f>
        <x:v>0.05</x:v>
      </x:c>
      <x:c r="R1555" s="13" t="n">
        <x:f>IF(I1555="","",I1555/1000000)</x:f>
        <x:v>0.423728813559322</x:v>
      </x:c>
    </x:row>
    <x:row r="1556" ht="21" customHeight="1">
      <x:c r="A1556" s="10" t="n">
        <x:v>2402</x:v>
      </x:c>
      <x:c r="B1556" s="2" t="str">
        <x:v>087632123eea840e414d</x:v>
      </x:c>
      <x:c r="C1556" s="2" t="str">
        <x:v>Tp Hồ Chí Minh</x:v>
      </x:c>
      <x:c r="D1556" s="2" t="str">
        <x:v>Quận Tân Phú</x:v>
      </x:c>
      <x:c r="E1556" s="2" t="str">
        <x:v>house</x:v>
      </x:c>
      <x:c r="F1556" s="2" t="str">
        <x:v>sale</x:v>
      </x:c>
      <x:c r="G1556" s="11" t="n">
        <x:v>45</x:v>
      </x:c>
      <x:c r="H1556" s="12" t="n">
        <x:v>990000000</x:v>
      </x:c>
      <x:c r="I1556" s="12" t="n">
        <x:v>22000000</x:v>
      </x:c>
      <x:c r="J1556" s="2" t="str">
        <x:v>total</x:v>
      </x:c>
      <x:c r="K1556" s="2" t="str">
        <x:v>top_level_area</x:v>
      </x:c>
      <x:c r="L1556" s="2" t="str">
        <x:v>property_type_inferred_from_title</x:v>
      </x:c>
      <x:c r="M1556" s="10" t="n">
        <x:v>0</x:v>
      </x:c>
      <x:c r="N1556" s="10" t="n">
        <x:v>0</x:v>
      </x:c>
      <x:c r="O1556" s="2" t="str">
        <x:v>Tp Hồ Chí Minh|house</x:v>
      </x:c>
      <x:c r="P1556" s="10" t="n">
        <x:v>2</x:v>
      </x:c>
      <x:c r="Q1556" s="13" t="n">
        <x:f>IF(H1556="","",H1556/1000000000)</x:f>
        <x:v>0.99</x:v>
      </x:c>
      <x:c r="R1556" s="13" t="n">
        <x:f>IF(I1556="","",I1556/1000000)</x:f>
        <x:v>22</x:v>
      </x:c>
    </x:row>
    <x:row r="1557" ht="21" customHeight="1">
      <x:c r="A1557" s="10" t="n">
        <x:v>2403</x:v>
      </x:c>
      <x:c r="B1557" s="2" t="str">
        <x:v>f31d9ffd34c6895ea9b7</x:v>
      </x:c>
      <x:c r="C1557" s="2" t="str">
        <x:v>Tp Hồ Chí Minh</x:v>
      </x:c>
      <x:c r="D1557" s="2" t="str">
        <x:v>Quận 9</x:v>
      </x:c>
      <x:c r="E1557" s="2" t="str">
        <x:v>apartment</x:v>
      </x:c>
      <x:c r="F1557" s="2" t="str">
        <x:v>sale</x:v>
      </x:c>
      <x:c r="G1557" s="11" t="n">
        <x:v>69</x:v>
      </x:c>
      <x:c r="H1557" s="12" t="n">
        <x:v>2450000000</x:v>
      </x:c>
      <x:c r="I1557" s="12" t="n">
        <x:v>35507246.376811594</x:v>
      </x:c>
      <x:c r="J1557" s="2" t="str">
        <x:v>total</x:v>
      </x:c>
      <x:c r="K1557" s="2" t="str">
        <x:v>top_level_area</x:v>
      </x:c>
      <x:c r="L1557" s="2" t="str">
        <x:v>property_type_inferred_from_title</x:v>
      </x:c>
      <x:c r="M1557" s="10" t="n">
        <x:v>0</x:v>
      </x:c>
      <x:c r="N1557" s="10" t="n">
        <x:v>0</x:v>
      </x:c>
      <x:c r="O1557" s="2" t="str">
        <x:v>Tp Hồ Chí Minh|apartment</x:v>
      </x:c>
      <x:c r="P1557" s="10" t="n">
        <x:v>2</x:v>
      </x:c>
      <x:c r="Q1557" s="13" t="n">
        <x:f>IF(H1557="","",H1557/1000000000)</x:f>
        <x:v>2.45</x:v>
      </x:c>
      <x:c r="R1557" s="13" t="n">
        <x:f>IF(I1557="","",I1557/1000000)</x:f>
        <x:v>35.507246376811594</x:v>
      </x:c>
    </x:row>
    <x:row r="1558" ht="21" customHeight="1">
      <x:c r="A1558" s="10" t="n">
        <x:v>2406</x:v>
      </x:c>
      <x:c r="B1558" s="2" t="str">
        <x:v>4f06eab748250de14aae</x:v>
      </x:c>
      <x:c r="C1558" s="2" t="str">
        <x:v>Bình Dương</x:v>
      </x:c>
      <x:c r="D1558" s="2" t="str">
        <x:v>Thị xã Bến Cát</x:v>
      </x:c>
      <x:c r="E1558" s="2" t="str">
        <x:v>house</x:v>
      </x:c>
      <x:c r="F1558" s="2" t="str">
        <x:v>sale</x:v>
      </x:c>
      <x:c r="G1558" s="11" t="n">
        <x:v>150</x:v>
      </x:c>
      <x:c r="H1558" s="12" t="n">
        <x:v>1450000000</x:v>
      </x:c>
      <x:c r="I1558" s="12" t="n">
        <x:v>9666666.666666666</x:v>
      </x:c>
      <x:c r="J1558" s="2" t="str">
        <x:v>total</x:v>
      </x:c>
      <x:c r="K1558" s="2" t="str">
        <x:v>top_level_area</x:v>
      </x:c>
      <x:c r="L1558" s="2" t="str">
        <x:v>property_type_inferred_from_title</x:v>
      </x:c>
      <x:c r="M1558" s="10" t="n">
        <x:v>0</x:v>
      </x:c>
      <x:c r="N1558" s="10" t="n">
        <x:v>0</x:v>
      </x:c>
      <x:c r="O1558" s="2" t="str">
        <x:v>Bình Dương|house</x:v>
      </x:c>
      <x:c r="P1558" s="10" t="n">
        <x:v>2</x:v>
      </x:c>
      <x:c r="Q1558" s="13" t="n">
        <x:f>IF(H1558="","",H1558/1000000000)</x:f>
        <x:v>1.45</x:v>
      </x:c>
      <x:c r="R1558" s="13" t="n">
        <x:f>IF(I1558="","",I1558/1000000)</x:f>
        <x:v>9.666666666666666</x:v>
      </x:c>
    </x:row>
    <x:row r="1559" ht="21" customHeight="1">
      <x:c r="A1559" s="10" t="n">
        <x:v>2407</x:v>
      </x:c>
      <x:c r="B1559" s="2" t="str">
        <x:v>1f1b564144db307120d4</x:v>
      </x:c>
      <x:c r="C1559" s="2" t="str">
        <x:v>Đắk Lắk</x:v>
      </x:c>
      <x:c r="D1559" s="2" t="str">
        <x:v>Thành phố Buôn Ma Thuột</x:v>
      </x:c>
      <x:c r="E1559" s="2" t="str">
        <x:v>land</x:v>
      </x:c>
      <x:c r="F1559" s="2" t="str">
        <x:v>sale</x:v>
      </x:c>
      <x:c r="G1559" s="11" t="n">
        <x:v>120</x:v>
      </x:c>
      <x:c r="H1559" s="12" t="n">
        <x:v>1200000000</x:v>
      </x:c>
      <x:c r="I1559" s="12" t="n">
        <x:v>10000000</x:v>
      </x:c>
      <x:c r="J1559" s="2" t="str">
        <x:v>total</x:v>
      </x:c>
      <x:c r="K1559" s="2" t="str">
        <x:v>top_level_area</x:v>
      </x:c>
      <x:c r="L1559" s="2" t="str">
        <x:v>property_type_inferred_from_title</x:v>
      </x:c>
      <x:c r="M1559" s="10" t="n">
        <x:v>0</x:v>
      </x:c>
      <x:c r="N1559" s="10" t="n">
        <x:v>0</x:v>
      </x:c>
      <x:c r="O1559" s="2" t="str">
        <x:v>Đắk Lắk|land</x:v>
      </x:c>
      <x:c r="P1559" s="10" t="n">
        <x:v>2</x:v>
      </x:c>
      <x:c r="Q1559" s="13" t="n">
        <x:f>IF(H1559="","",H1559/1000000000)</x:f>
        <x:v>1.2</x:v>
      </x:c>
      <x:c r="R1559" s="13" t="n">
        <x:f>IF(I1559="","",I1559/1000000)</x:f>
        <x:v>10</x:v>
      </x:c>
    </x:row>
    <x:row r="1560" ht="21" customHeight="1">
      <x:c r="A1560" s="10" t="n">
        <x:v>2408</x:v>
      </x:c>
      <x:c r="B1560" s="2" t="str">
        <x:v>c7bae06fd99aaeddb6de</x:v>
      </x:c>
      <x:c r="C1560" s="2" t="str">
        <x:v>Bình Phước</x:v>
      </x:c>
      <x:c r="D1560" s="2" t="str">
        <x:v>Thành phố Đồng Xoài</x:v>
      </x:c>
      <x:c r="E1560" s="2" t="str">
        <x:v>other_unknown</x:v>
      </x:c>
      <x:c r="F1560" s="2" t="str">
        <x:v>sale</x:v>
      </x:c>
      <x:c r="G1560" s="11" t="n">
        <x:v>240</x:v>
      </x:c>
      <x:c r="H1560" s="12" t="n">
        <x:v>615000000</x:v>
      </x:c>
      <x:c r="I1560" s="12" t="n">
        <x:v>2562500</x:v>
      </x:c>
      <x:c r="J1560" s="2" t="str">
        <x:v>total</x:v>
      </x:c>
      <x:c r="K1560" s="2" t="str">
        <x:v>top_level_area</x:v>
      </x:c>
      <x:c r="L1560" s="2" t="str">
        <x:v>property_type_inferred_from_title;unknown_property_type</x:v>
      </x:c>
      <x:c r="M1560" s="10" t="n">
        <x:v>0</x:v>
      </x:c>
      <x:c r="N1560" s="10" t="n">
        <x:v>0</x:v>
      </x:c>
      <x:c r="O1560" s="2" t="str">
        <x:v>other_unknown</x:v>
      </x:c>
      <x:c r="P1560" s="10" t="n">
        <x:v>1</x:v>
      </x:c>
      <x:c r="Q1560" s="13" t="n">
        <x:f>IF(H1560="","",H1560/1000000000)</x:f>
        <x:v>0.615</x:v>
      </x:c>
      <x:c r="R1560" s="13" t="n">
        <x:f>IF(I1560="","",I1560/1000000)</x:f>
        <x:v>2.5625</x:v>
      </x:c>
    </x:row>
    <x:row r="1561" ht="21" customHeight="1">
      <x:c r="A1561" s="10" t="n">
        <x:v>2409</x:v>
      </x:c>
      <x:c r="B1561" s="2" t="str">
        <x:v>708cee60493936f6cc27</x:v>
      </x:c>
      <x:c r="C1561" s="2" t="str">
        <x:v>Tp Hồ Chí Minh</x:v>
      </x:c>
      <x:c r="D1561" s="2" t="str">
        <x:v>Quận Bình Thạnh</x:v>
      </x:c>
      <x:c r="E1561" s="2" t="str">
        <x:v>house</x:v>
      </x:c>
      <x:c r="F1561" s="2" t="str">
        <x:v>sale</x:v>
      </x:c>
      <x:c r="G1561" s="11" t="n">
        <x:v>63</x:v>
      </x:c>
      <x:c r="H1561" s="12" t="n">
        <x:v>950000000</x:v>
      </x:c>
      <x:c r="I1561" s="12" t="n">
        <x:v>15079365.07936508</x:v>
      </x:c>
      <x:c r="J1561" s="2" t="str">
        <x:v>total</x:v>
      </x:c>
      <x:c r="K1561" s="2" t="str">
        <x:v>top_level_area</x:v>
      </x:c>
      <x:c r="L1561" s="2" t="str">
        <x:v>property_type_inferred_from_title</x:v>
      </x:c>
      <x:c r="M1561" s="10" t="n">
        <x:v>0</x:v>
      </x:c>
      <x:c r="N1561" s="10" t="n">
        <x:v>0</x:v>
      </x:c>
      <x:c r="O1561" s="2" t="str">
        <x:v>Tp Hồ Chí Minh|house</x:v>
      </x:c>
      <x:c r="P1561" s="10" t="n">
        <x:v>2</x:v>
      </x:c>
      <x:c r="Q1561" s="13" t="n">
        <x:f>IF(H1561="","",H1561/1000000000)</x:f>
        <x:v>0.95</x:v>
      </x:c>
      <x:c r="R1561" s="13" t="n">
        <x:f>IF(I1561="","",I1561/1000000)</x:f>
        <x:v>15.07936507936508</x:v>
      </x:c>
    </x:row>
    <x:row r="1562" ht="21" customHeight="1">
      <x:c r="A1562" s="10" t="n">
        <x:v>2410</x:v>
      </x:c>
      <x:c r="B1562" s="2" t="str">
        <x:v>007b9a8713022ada405f</x:v>
      </x:c>
      <x:c r="C1562" s="2" t="str">
        <x:v>Tp Hồ Chí Minh</x:v>
      </x:c>
      <x:c r="D1562" s="2" t="str">
        <x:v>Quận 12</x:v>
      </x:c>
      <x:c r="E1562" s="2" t="str">
        <x:v>house</x:v>
      </x:c>
      <x:c r="F1562" s="2" t="str">
        <x:v>sale</x:v>
      </x:c>
      <x:c r="G1562" s="11" t="n">
        <x:v>40</x:v>
      </x:c>
      <x:c r="H1562" s="12" t="n">
        <x:v>830000000</x:v>
      </x:c>
      <x:c r="I1562" s="12" t="n">
        <x:v>20750000</x:v>
      </x:c>
      <x:c r="J1562" s="2" t="str">
        <x:v>total</x:v>
      </x:c>
      <x:c r="K1562" s="2" t="str">
        <x:v>top_level_area</x:v>
      </x:c>
      <x:c r="L1562" s="2" t="str">
        <x:v>property_type_inferred_from_title</x:v>
      </x:c>
      <x:c r="M1562" s="10" t="n">
        <x:v>0</x:v>
      </x:c>
      <x:c r="N1562" s="10" t="n">
        <x:v>0</x:v>
      </x:c>
      <x:c r="O1562" s="2" t="str">
        <x:v>Tp Hồ Chí Minh|house</x:v>
      </x:c>
      <x:c r="P1562" s="10" t="n">
        <x:v>2</x:v>
      </x:c>
      <x:c r="Q1562" s="13" t="n">
        <x:f>IF(H1562="","",H1562/1000000000)</x:f>
        <x:v>0.83</x:v>
      </x:c>
      <x:c r="R1562" s="13" t="n">
        <x:f>IF(I1562="","",I1562/1000000)</x:f>
        <x:v>20.75</x:v>
      </x:c>
    </x:row>
    <x:row r="1563" ht="21" customHeight="1">
      <x:c r="A1563" s="10" t="n">
        <x:v>2411</x:v>
      </x:c>
      <x:c r="B1563" s="2" t="str">
        <x:v>d7d1da7f63aa61235470</x:v>
      </x:c>
      <x:c r="C1563" s="2" t="str">
        <x:v>Long An</x:v>
      </x:c>
      <x:c r="D1563" s="2" t="str">
        <x:v>Huyện Cần Giuộc</x:v>
      </x:c>
      <x:c r="E1563" s="2" t="str">
        <x:v>land</x:v>
      </x:c>
      <x:c r="F1563" s="2" t="str">
        <x:v>sale</x:v>
      </x:c>
      <x:c r="G1563" s="11" t="n">
        <x:v>82</x:v>
      </x:c>
      <x:c r="H1563" s="12" t="n">
        <x:v>800000000</x:v>
      </x:c>
      <x:c r="I1563" s="12" t="n">
        <x:v>9756097.56097561</x:v>
      </x:c>
      <x:c r="J1563" s="2" t="str">
        <x:v>total</x:v>
      </x:c>
      <x:c r="K1563" s="2" t="str">
        <x:v>top_level_area</x:v>
      </x:c>
      <x:c r="L1563" s="2" t="str">
        <x:v>property_type_inferred_from_title</x:v>
      </x:c>
      <x:c r="M1563" s="10" t="n">
        <x:v>0</x:v>
      </x:c>
      <x:c r="N1563" s="10" t="n">
        <x:v>0</x:v>
      </x:c>
      <x:c r="O1563" s="2" t="str">
        <x:v>Long An|land</x:v>
      </x:c>
      <x:c r="P1563" s="10" t="n">
        <x:v>2</x:v>
      </x:c>
      <x:c r="Q1563" s="13" t="n">
        <x:f>IF(H1563="","",H1563/1000000000)</x:f>
        <x:v>0.8</x:v>
      </x:c>
      <x:c r="R1563" s="13" t="n">
        <x:f>IF(I1563="","",I1563/1000000)</x:f>
        <x:v>9.75609756097561</x:v>
      </x:c>
    </x:row>
    <x:row r="1564" ht="21" customHeight="1">
      <x:c r="A1564" s="10" t="n">
        <x:v>2412</x:v>
      </x:c>
      <x:c r="B1564" s="2" t="str">
        <x:v>2633f1892f92645d44c0</x:v>
      </x:c>
      <x:c r="C1564" s="2" t="str">
        <x:v>Đồng Nai</x:v>
      </x:c>
      <x:c r="D1564" s="2" t="str">
        <x:v>Thành phố Biên Hòa</x:v>
      </x:c>
      <x:c r="E1564" s="2" t="str">
        <x:v>house</x:v>
      </x:c>
      <x:c r="F1564" s="2" t="str">
        <x:v>sale_assumed</x:v>
      </x:c>
      <x:c r="G1564" s="11" t="n">
        <x:v>116</x:v>
      </x:c>
      <x:c r="H1564" s="12" t="n">
        <x:v>2650000000</x:v>
      </x:c>
      <x:c r="I1564" s="12" t="n">
        <x:v>22844827.586206898</x:v>
      </x:c>
      <x:c r="J1564" s="2" t="str">
        <x:v>total</x:v>
      </x:c>
      <x:c r="K1564" s="2" t="str">
        <x:v>top_level_area</x:v>
      </x:c>
      <x:c r="L1564" s="2" t="str">
        <x:v>property_type_inferred_from_title;transaction_assumed_sale_from_dataset_context</x:v>
      </x:c>
      <x:c r="M1564" s="10" t="n">
        <x:v>0</x:v>
      </x:c>
      <x:c r="N1564" s="10" t="n">
        <x:v>0</x:v>
      </x:c>
      <x:c r="O1564" s="2" t="str">
        <x:v>Đồng Nai|house</x:v>
      </x:c>
      <x:c r="P1564" s="10" t="n">
        <x:v>2</x:v>
      </x:c>
      <x:c r="Q1564" s="13" t="n">
        <x:f>IF(H1564="","",H1564/1000000000)</x:f>
        <x:v>2.65</x:v>
      </x:c>
      <x:c r="R1564" s="13" t="n">
        <x:f>IF(I1564="","",I1564/1000000)</x:f>
        <x:v>22.844827586206897</x:v>
      </x:c>
    </x:row>
    <x:row r="1565" ht="21" customHeight="1">
      <x:c r="A1565" s="10" t="n">
        <x:v>2413</x:v>
      </x:c>
      <x:c r="B1565" s="2" t="str">
        <x:v>e957b398a0ad5ac7ad61</x:v>
      </x:c>
      <x:c r="C1565" s="2" t="str">
        <x:v>Tp Hồ Chí Minh</x:v>
      </x:c>
      <x:c r="D1565" s="2" t="str">
        <x:v>Quận 9</x:v>
      </x:c>
      <x:c r="E1565" s="2" t="str">
        <x:v>other_unknown</x:v>
      </x:c>
      <x:c r="F1565" s="2" t="str">
        <x:v>sale_assumed</x:v>
      </x:c>
      <x:c r="G1565" s="11" t="n">
        <x:v>56</x:v>
      </x:c>
      <x:c r="H1565" s="12" t="n">
        <x:v>2200000000</x:v>
      </x:c>
      <x:c r="I1565" s="12" t="n">
        <x:v>39285714.28571428</x:v>
      </x:c>
      <x:c r="J1565" s="2" t="str">
        <x:v>total</x:v>
      </x:c>
      <x:c r="K1565" s="2" t="str">
        <x:v>top_level_area</x:v>
      </x:c>
      <x:c r="L1565" s="2" t="str">
        <x:v>property_type_inferred_from_title;transaction_assumed_sale_from_dataset_context;unknown_property_type</x:v>
      </x:c>
      <x:c r="M1565" s="10" t="n">
        <x:v>0</x:v>
      </x:c>
      <x:c r="N1565" s="10" t="n">
        <x:v>0</x:v>
      </x:c>
      <x:c r="O1565" s="2" t="str">
        <x:v>Tp Hồ Chí Minh|other_unknown</x:v>
      </x:c>
      <x:c r="P1565" s="10" t="n">
        <x:v>2</x:v>
      </x:c>
      <x:c r="Q1565" s="13" t="n">
        <x:f>IF(H1565="","",H1565/1000000000)</x:f>
        <x:v>2.2</x:v>
      </x:c>
      <x:c r="R1565" s="13" t="n">
        <x:f>IF(I1565="","",I1565/1000000)</x:f>
        <x:v>39.285714285714285</x:v>
      </x:c>
    </x:row>
    <x:row r="1566" ht="21" customHeight="1">
      <x:c r="A1566" s="10" t="n">
        <x:v>2414</x:v>
      </x:c>
      <x:c r="B1566" s="2" t="str">
        <x:v>8c2d9eb41ddf81c96ca2</x:v>
      </x:c>
      <x:c r="C1566" s="2" t="str">
        <x:v>Tp Hồ Chí Minh</x:v>
      </x:c>
      <x:c r="D1566" s="2" t="str">
        <x:v>Quận Bình Tân</x:v>
      </x:c>
      <x:c r="E1566" s="2" t="str">
        <x:v>land</x:v>
      </x:c>
      <x:c r="F1566" s="2" t="str">
        <x:v>sale</x:v>
      </x:c>
      <x:c r="G1566" s="11" t="n">
        <x:v>100</x:v>
      </x:c>
      <x:c r="H1566" s="12" t="n">
        <x:v>3200000000</x:v>
      </x:c>
      <x:c r="I1566" s="12" t="n">
        <x:v>32000000</x:v>
      </x:c>
      <x:c r="J1566" s="2" t="str">
        <x:v>total</x:v>
      </x:c>
      <x:c r="K1566" s="2" t="str">
        <x:v>top_level_area</x:v>
      </x:c>
      <x:c r="L1566" s="2" t="str">
        <x:v>property_type_inferred_from_title</x:v>
      </x:c>
      <x:c r="M1566" s="10" t="n">
        <x:v>0</x:v>
      </x:c>
      <x:c r="N1566" s="10" t="n">
        <x:v>0</x:v>
      </x:c>
      <x:c r="O1566" s="2" t="str">
        <x:v>Tp Hồ Chí Minh|land</x:v>
      </x:c>
      <x:c r="P1566" s="10" t="n">
        <x:v>2</x:v>
      </x:c>
      <x:c r="Q1566" s="13" t="n">
        <x:f>IF(H1566="","",H1566/1000000000)</x:f>
        <x:v>3.2</x:v>
      </x:c>
      <x:c r="R1566" s="13" t="n">
        <x:f>IF(I1566="","",I1566/1000000)</x:f>
        <x:v>32</x:v>
      </x:c>
    </x:row>
    <x:row r="1567" ht="21" customHeight="1">
      <x:c r="A1567" s="10" t="n">
        <x:v>2415</x:v>
      </x:c>
      <x:c r="B1567" s="2" t="str">
        <x:v>ba3eb3108fbfd04da5e5</x:v>
      </x:c>
      <x:c r="C1567" s="2" t="str">
        <x:v>Bình Dương</x:v>
      </x:c>
      <x:c r="D1567" s="2" t="str">
        <x:v>Huyện Bàu Bàng</x:v>
      </x:c>
      <x:c r="E1567" s="2" t="str">
        <x:v>land</x:v>
      </x:c>
      <x:c r="F1567" s="2" t="str">
        <x:v>sale_assumed</x:v>
      </x:c>
      <x:c r="G1567" s="11" t="n">
        <x:v>225</x:v>
      </x:c>
      <x:c r="H1567" s="12" t="n">
        <x:v>690000000</x:v>
      </x:c>
      <x:c r="I1567" s="12" t="n">
        <x:v>3066666.6666666665</x:v>
      </x:c>
      <x:c r="J1567" s="2" t="str">
        <x:v>total</x:v>
      </x:c>
      <x:c r="K1567" s="2" t="str">
        <x:v>top_level_area</x:v>
      </x:c>
      <x:c r="L1567" s="2" t="str">
        <x:v>property_type_inferred_from_title;transaction_assumed_sale_from_dataset_context</x:v>
      </x:c>
      <x:c r="M1567" s="10" t="n">
        <x:v>0</x:v>
      </x:c>
      <x:c r="N1567" s="10" t="n">
        <x:v>0</x:v>
      </x:c>
      <x:c r="O1567" s="2" t="str">
        <x:v>Bình Dương|land</x:v>
      </x:c>
      <x:c r="P1567" s="10" t="n">
        <x:v>1</x:v>
      </x:c>
      <x:c r="Q1567" s="13" t="n">
        <x:f>IF(H1567="","",H1567/1000000000)</x:f>
        <x:v>0.69</x:v>
      </x:c>
      <x:c r="R1567" s="13" t="n">
        <x:f>IF(I1567="","",I1567/1000000)</x:f>
        <x:v>3.0666666666666664</x:v>
      </x:c>
    </x:row>
    <x:row r="1568" ht="21" customHeight="1">
      <x:c r="A1568" s="10" t="n">
        <x:v>2416</x:v>
      </x:c>
      <x:c r="B1568" s="2" t="str">
        <x:v>b9baffc972851b14cf28</x:v>
      </x:c>
      <x:c r="C1568" s="2" t="str">
        <x:v>Đồng Nai</x:v>
      </x:c>
      <x:c r="D1568" s="2" t="str">
        <x:v>Thành phố Biên Hòa</x:v>
      </x:c>
      <x:c r="E1568" s="2" t="str">
        <x:v>house</x:v>
      </x:c>
      <x:c r="F1568" s="2" t="str">
        <x:v>sale_assumed</x:v>
      </x:c>
      <x:c r="G1568" s="11" t="n">
        <x:v>65</x:v>
      </x:c>
      <x:c r="H1568" s="12" t="n">
        <x:v>2600000000</x:v>
      </x:c>
      <x:c r="I1568" s="12" t="n">
        <x:v>40000000</x:v>
      </x:c>
      <x:c r="J1568" s="2" t="str">
        <x:v>total</x:v>
      </x:c>
      <x:c r="K1568" s="2" t="str">
        <x:v>top_level_area</x:v>
      </x:c>
      <x:c r="L1568" s="2" t="str">
        <x:v>property_type_inferred_from_title;transaction_assumed_sale_from_dataset_context</x:v>
      </x:c>
      <x:c r="M1568" s="10" t="n">
        <x:v>0</x:v>
      </x:c>
      <x:c r="N1568" s="10" t="n">
        <x:v>0</x:v>
      </x:c>
      <x:c r="O1568" s="2" t="str">
        <x:v>Đồng Nai|house</x:v>
      </x:c>
      <x:c r="P1568" s="10" t="n">
        <x:v>2</x:v>
      </x:c>
      <x:c r="Q1568" s="13" t="n">
        <x:f>IF(H1568="","",H1568/1000000000)</x:f>
        <x:v>2.6</x:v>
      </x:c>
      <x:c r="R1568" s="13" t="n">
        <x:f>IF(I1568="","",I1568/1000000)</x:f>
        <x:v>40</x:v>
      </x:c>
    </x:row>
    <x:row r="1569" ht="21" customHeight="1">
      <x:c r="A1569" s="10" t="n">
        <x:v>2417</x:v>
      </x:c>
      <x:c r="B1569" s="2" t="str">
        <x:v>912ccba4f3d3d16dba6a</x:v>
      </x:c>
      <x:c r="C1569" s="2" t="str">
        <x:v>Tp Hồ Chí Minh</x:v>
      </x:c>
      <x:c r="D1569" s="2" t="str">
        <x:v>Quận 12</x:v>
      </x:c>
      <x:c r="E1569" s="2" t="str">
        <x:v>house</x:v>
      </x:c>
      <x:c r="F1569" s="2" t="str">
        <x:v>sale_assumed</x:v>
      </x:c>
      <x:c r="G1569" s="11" t="n">
        <x:v>52</x:v>
      </x:c>
      <x:c r="H1569" s="12" t="n">
        <x:v>2750000000</x:v>
      </x:c>
      <x:c r="I1569" s="12" t="n">
        <x:v>52884615.384615384</x:v>
      </x:c>
      <x:c r="J1569" s="2" t="str">
        <x:v>total</x:v>
      </x:c>
      <x:c r="K1569" s="2" t="str">
        <x:v>top_level_area</x:v>
      </x:c>
      <x:c r="L1569" s="2" t="str">
        <x:v>property_type_inferred_from_title;transaction_assumed_sale_from_dataset_context</x:v>
      </x:c>
      <x:c r="M1569" s="10" t="n">
        <x:v>0</x:v>
      </x:c>
      <x:c r="N1569" s="10" t="n">
        <x:v>0</x:v>
      </x:c>
      <x:c r="O1569" s="2" t="str">
        <x:v>Tp Hồ Chí Minh|house</x:v>
      </x:c>
      <x:c r="P1569" s="10" t="n">
        <x:v>2</x:v>
      </x:c>
      <x:c r="Q1569" s="13" t="n">
        <x:f>IF(H1569="","",H1569/1000000000)</x:f>
        <x:v>2.75</x:v>
      </x:c>
      <x:c r="R1569" s="13" t="n">
        <x:f>IF(I1569="","",I1569/1000000)</x:f>
        <x:v>52.88461538461539</x:v>
      </x:c>
    </x:row>
    <x:row r="1570" ht="21" customHeight="1">
      <x:c r="A1570" s="10" t="n">
        <x:v>2418</x:v>
      </x:c>
      <x:c r="B1570" s="2" t="str">
        <x:v>02b4c51c0da5efb41261</x:v>
      </x:c>
      <x:c r="C1570" s="2" t="str">
        <x:v>Hà Nội</x:v>
      </x:c>
      <x:c r="D1570" s="2" t="str">
        <x:v>Huyện Đông Anh</x:v>
      </x:c>
      <x:c r="E1570" s="2" t="str">
        <x:v>land</x:v>
      </x:c>
      <x:c r="F1570" s="2" t="str">
        <x:v>sale</x:v>
      </x:c>
      <x:c r="G1570" s="11" t="n">
        <x:v>47</x:v>
      </x:c>
      <x:c r="H1570" s="12" t="n">
        <x:v>2120000000</x:v>
      </x:c>
      <x:c r="I1570" s="12" t="n">
        <x:v>45106382.97872341</x:v>
      </x:c>
      <x:c r="J1570" s="2" t="str">
        <x:v>total</x:v>
      </x:c>
      <x:c r="K1570" s="2" t="str">
        <x:v>top_level_area</x:v>
      </x:c>
      <x:c r="L1570" s="2" t="str">
        <x:v>property_type_inferred_from_title</x:v>
      </x:c>
      <x:c r="M1570" s="10" t="n">
        <x:v>0</x:v>
      </x:c>
      <x:c r="N1570" s="10" t="n">
        <x:v>0</x:v>
      </x:c>
      <x:c r="O1570" s="2" t="str">
        <x:v>Hà Nội|land</x:v>
      </x:c>
      <x:c r="P1570" s="10" t="n">
        <x:v>2</x:v>
      </x:c>
      <x:c r="Q1570" s="13" t="n">
        <x:f>IF(H1570="","",H1570/1000000000)</x:f>
        <x:v>2.12</x:v>
      </x:c>
      <x:c r="R1570" s="13" t="n">
        <x:f>IF(I1570="","",I1570/1000000)</x:f>
        <x:v>45.10638297872341</x:v>
      </x:c>
    </x:row>
    <x:row r="1571" ht="21" customHeight="1">
      <x:c r="A1571" s="10" t="n">
        <x:v>2419</x:v>
      </x:c>
      <x:c r="B1571" s="2" t="str">
        <x:v>1bda34b814cc4e44e3f5</x:v>
      </x:c>
      <x:c r="C1571" s="2" t="str">
        <x:v>Tp Hồ Chí Minh</x:v>
      </x:c>
      <x:c r="D1571" s="2" t="str">
        <x:v>Quận 12</x:v>
      </x:c>
      <x:c r="E1571" s="2" t="str">
        <x:v>apartment</x:v>
      </x:c>
      <x:c r="F1571" s="2" t="str">
        <x:v>sale_assumed</x:v>
      </x:c>
      <x:c r="G1571" s="11" t="n">
        <x:v>57</x:v>
      </x:c>
      <x:c r="H1571" s="12" t="n">
        <x:v>1720000000</x:v>
      </x:c>
      <x:c r="I1571" s="12" t="n">
        <x:v>30175438.59649123</x:v>
      </x:c>
      <x:c r="J1571" s="2" t="str">
        <x:v>total</x:v>
      </x:c>
      <x:c r="K1571" s="2" t="str">
        <x:v>top_level_price_embedded_area</x:v>
      </x:c>
      <x:c r="L1571" s="2" t="str">
        <x:v>area_recovered_from_price_text;property_type_inferred_from_title;transaction_assumed_sale_from_dataset_context</x:v>
      </x:c>
      <x:c r="M1571" s="10" t="n">
        <x:v>0</x:v>
      </x:c>
      <x:c r="N1571" s="10" t="n">
        <x:v>0</x:v>
      </x:c>
      <x:c r="O1571" s="2" t="str">
        <x:v>Tp Hồ Chí Minh|apartment</x:v>
      </x:c>
      <x:c r="P1571" s="10" t="n">
        <x:v>2</x:v>
      </x:c>
      <x:c r="Q1571" s="13" t="n">
        <x:f>IF(H1571="","",H1571/1000000000)</x:f>
        <x:v>1.72</x:v>
      </x:c>
      <x:c r="R1571" s="13" t="n">
        <x:f>IF(I1571="","",I1571/1000000)</x:f>
        <x:v>30.17543859649123</x:v>
      </x:c>
    </x:row>
    <x:row r="1572" ht="21" customHeight="1">
      <x:c r="A1572" s="10" t="n">
        <x:v>2420</x:v>
      </x:c>
      <x:c r="B1572" s="2" t="str">
        <x:v>2068324e065ba14d3f7a</x:v>
      </x:c>
      <x:c r="C1572" s="2" t="str">
        <x:v>Tp Hồ Chí Minh</x:v>
      </x:c>
      <x:c r="D1572" s="2" t="str">
        <x:v>Quận 9</x:v>
      </x:c>
      <x:c r="E1572" s="2" t="str">
        <x:v>house</x:v>
      </x:c>
      <x:c r="F1572" s="2" t="str">
        <x:v>sale_assumed</x:v>
      </x:c>
      <x:c r="G1572" s="11" t="n">
        <x:v>89</x:v>
      </x:c>
      <x:c r="H1572" s="12" t="n">
        <x:v>3750000000</x:v>
      </x:c>
      <x:c r="I1572" s="12" t="n">
        <x:v>42134831.46067416</x:v>
      </x:c>
      <x:c r="J1572" s="2" t="str">
        <x:v>total</x:v>
      </x:c>
      <x:c r="K1572" s="2" t="str">
        <x:v>top_level_price_embedded_area</x:v>
      </x:c>
      <x:c r="L1572" s="2" t="str">
        <x:v>area_recovered_from_price_text;property_type_inferred_from_title;transaction_assumed_sale_from_dataset_context</x:v>
      </x:c>
      <x:c r="M1572" s="10" t="n">
        <x:v>0</x:v>
      </x:c>
      <x:c r="N1572" s="10" t="n">
        <x:v>0</x:v>
      </x:c>
      <x:c r="O1572" s="2" t="str">
        <x:v>Tp Hồ Chí Minh|house</x:v>
      </x:c>
      <x:c r="P1572" s="10" t="n">
        <x:v>2</x:v>
      </x:c>
      <x:c r="Q1572" s="13" t="n">
        <x:f>IF(H1572="","",H1572/1000000000)</x:f>
        <x:v>3.75</x:v>
      </x:c>
      <x:c r="R1572" s="13" t="n">
        <x:f>IF(I1572="","",I1572/1000000)</x:f>
        <x:v>42.13483146067416</x:v>
      </x:c>
    </x:row>
    <x:row r="1573" ht="21" customHeight="1">
      <x:c r="A1573" s="10" t="n">
        <x:v>2421</x:v>
      </x:c>
      <x:c r="B1573" s="2" t="str">
        <x:v>fd28cb88036fb2872154</x:v>
      </x:c>
      <x:c r="C1573" s="2" t="str">
        <x:v>Tp Hồ Chí Minh</x:v>
      </x:c>
      <x:c r="D1573" s="2" t="str">
        <x:v>Quận 12</x:v>
      </x:c>
      <x:c r="E1573" s="2" t="str">
        <x:v>house</x:v>
      </x:c>
      <x:c r="F1573" s="2" t="str">
        <x:v>sale</x:v>
      </x:c>
      <x:c r="G1573" s="11" t="n">
        <x:v>19</x:v>
      </x:c>
      <x:c r="H1573" s="12" t="n">
        <x:v>1300000000</x:v>
      </x:c>
      <x:c r="I1573" s="12" t="n">
        <x:v>68421052.63157895</x:v>
      </x:c>
      <x:c r="J1573" s="2" t="str">
        <x:v>total</x:v>
      </x:c>
      <x:c r="K1573" s="2" t="str">
        <x:v>top_level_area</x:v>
      </x:c>
      <x:c r="L1573" s="2" t="str">
        <x:v>property_type_inferred_from_title</x:v>
      </x:c>
      <x:c r="M1573" s="10" t="n">
        <x:v>0</x:v>
      </x:c>
      <x:c r="N1573" s="10" t="n">
        <x:v>0</x:v>
      </x:c>
      <x:c r="O1573" s="2" t="str">
        <x:v>Tp Hồ Chí Minh|house</x:v>
      </x:c>
      <x:c r="P1573" s="10" t="n">
        <x:v>2</x:v>
      </x:c>
      <x:c r="Q1573" s="13" t="n">
        <x:f>IF(H1573="","",H1573/1000000000)</x:f>
        <x:v>1.3</x:v>
      </x:c>
      <x:c r="R1573" s="13" t="n">
        <x:f>IF(I1573="","",I1573/1000000)</x:f>
        <x:v>68.42105263157895</x:v>
      </x:c>
    </x:row>
    <x:row r="1574" ht="21" customHeight="1">
      <x:c r="A1574" s="10" t="n">
        <x:v>2422</x:v>
      </x:c>
      <x:c r="B1574" s="2" t="str">
        <x:v>b9c8b00b01f0f7ac255c</x:v>
      </x:c>
      <x:c r="C1574" s="2" t="str">
        <x:v>Lâm Đồng</x:v>
      </x:c>
      <x:c r="D1574" s="2" t="str">
        <x:v>Huyện Bảo Lâm</x:v>
      </x:c>
      <x:c r="E1574" s="2" t="str">
        <x:v>land</x:v>
      </x:c>
      <x:c r="F1574" s="2" t="str">
        <x:v>sale_assumed</x:v>
      </x:c>
      <x:c r="G1574" s="11" t="n">
        <x:v>200</x:v>
      </x:c>
      <x:c r="H1574" s="12" t="n">
        <x:v>468000000</x:v>
      </x:c>
      <x:c r="I1574" s="12" t="n">
        <x:v>2340000</x:v>
      </x:c>
      <x:c r="J1574" s="2" t="str">
        <x:v>total</x:v>
      </x:c>
      <x:c r="K1574" s="2" t="str">
        <x:v>top_level_area</x:v>
      </x:c>
      <x:c r="L1574" s="2" t="str">
        <x:v>property_type_inferred_from_title;transaction_assumed_sale_from_dataset_context</x:v>
      </x:c>
      <x:c r="M1574" s="10" t="n">
        <x:v>0</x:v>
      </x:c>
      <x:c r="N1574" s="10" t="n">
        <x:v>0</x:v>
      </x:c>
      <x:c r="O1574" s="2" t="str">
        <x:v>Lâm Đồng|land</x:v>
      </x:c>
      <x:c r="P1574" s="10" t="n">
        <x:v>1</x:v>
      </x:c>
      <x:c r="Q1574" s="13" t="n">
        <x:f>IF(H1574="","",H1574/1000000000)</x:f>
        <x:v>0.468</x:v>
      </x:c>
      <x:c r="R1574" s="13" t="n">
        <x:f>IF(I1574="","",I1574/1000000)</x:f>
        <x:v>2.34</x:v>
      </x:c>
    </x:row>
    <x:row r="1575" ht="21" customHeight="1">
      <x:c r="A1575" s="10" t="n">
        <x:v>2423</x:v>
      </x:c>
      <x:c r="B1575" s="2" t="str">
        <x:v>b5bd75de4bfe1aaae464</x:v>
      </x:c>
      <x:c r="C1575" s="2" t="str">
        <x:v>Tp Hồ Chí Minh</x:v>
      </x:c>
      <x:c r="D1575" s="2" t="str">
        <x:v>Huyện Hóc Môn</x:v>
      </x:c>
      <x:c r="E1575" s="2" t="str">
        <x:v>house</x:v>
      </x:c>
      <x:c r="F1575" s="2" t="str">
        <x:v>sale</x:v>
      </x:c>
      <x:c r="G1575" s="11" t="n">
        <x:v>100</x:v>
      </x:c>
      <x:c r="H1575" s="12" t="n">
        <x:v>290000000</x:v>
      </x:c>
      <x:c r="I1575" s="12" t="n">
        <x:v>2900000</x:v>
      </x:c>
      <x:c r="J1575" s="2" t="str">
        <x:v>total</x:v>
      </x:c>
      <x:c r="K1575" s="2" t="str">
        <x:v>top_level_area</x:v>
      </x:c>
      <x:c r="L1575" s="2" t="str">
        <x:v>property_type_inferred_from_title</x:v>
      </x:c>
      <x:c r="M1575" s="10" t="n">
        <x:v>0</x:v>
      </x:c>
      <x:c r="N1575" s="10" t="n">
        <x:v>0</x:v>
      </x:c>
      <x:c r="O1575" s="2" t="str">
        <x:v>Tp Hồ Chí Minh|house</x:v>
      </x:c>
      <x:c r="P1575" s="10" t="n">
        <x:v>2</x:v>
      </x:c>
      <x:c r="Q1575" s="13" t="n">
        <x:f>IF(H1575="","",H1575/1000000000)</x:f>
        <x:v>0.29</x:v>
      </x:c>
      <x:c r="R1575" s="13" t="n">
        <x:f>IF(I1575="","",I1575/1000000)</x:f>
        <x:v>2.9</x:v>
      </x:c>
    </x:row>
    <x:row r="1576" ht="21" customHeight="1">
      <x:c r="A1576" s="10" t="n">
        <x:v>2424</x:v>
      </x:c>
      <x:c r="B1576" s="2" t="str">
        <x:v>95bb20997e3a2a800bfb</x:v>
      </x:c>
      <x:c r="C1576" s="2" t="str">
        <x:v>Tp Hồ Chí Minh</x:v>
      </x:c>
      <x:c r="D1576" s="2" t="str">
        <x:v>Quận Thủ Đức</x:v>
      </x:c>
      <x:c r="E1576" s="2" t="str">
        <x:v>house</x:v>
      </x:c>
      <x:c r="F1576" s="2" t="str">
        <x:v>sale_assumed</x:v>
      </x:c>
      <x:c r="G1576" s="11" t="n">
        <x:v>60</x:v>
      </x:c>
      <x:c r="H1576" s="12" t="n">
        <x:v>5600000000</x:v>
      </x:c>
      <x:c r="I1576" s="12" t="n">
        <x:v>93333333.33333333</x:v>
      </x:c>
      <x:c r="J1576" s="2" t="str">
        <x:v>total</x:v>
      </x:c>
      <x:c r="K1576" s="2" t="str">
        <x:v>top_level_area</x:v>
      </x:c>
      <x:c r="L1576" s="2" t="str">
        <x:v>property_type_inferred_from_title;transaction_assumed_sale_from_dataset_context</x:v>
      </x:c>
      <x:c r="M1576" s="10" t="n">
        <x:v>0</x:v>
      </x:c>
      <x:c r="N1576" s="10" t="n">
        <x:v>0</x:v>
      </x:c>
      <x:c r="O1576" s="2" t="str">
        <x:v>Tp Hồ Chí Minh|house</x:v>
      </x:c>
      <x:c r="P1576" s="10" t="n">
        <x:v>2</x:v>
      </x:c>
      <x:c r="Q1576" s="13" t="n">
        <x:f>IF(H1576="","",H1576/1000000000)</x:f>
        <x:v>5.6</x:v>
      </x:c>
      <x:c r="R1576" s="13" t="n">
        <x:f>IF(I1576="","",I1576/1000000)</x:f>
        <x:v>93.33333333333333</x:v>
      </x:c>
    </x:row>
    <x:row r="1577" ht="21" customHeight="1">
      <x:c r="A1577" s="10" t="n">
        <x:v>2425</x:v>
      </x:c>
      <x:c r="B1577" s="2" t="str">
        <x:v>1f5f5828a2bd8baaac9e</x:v>
      </x:c>
      <x:c r="C1577" s="2" t="str">
        <x:v>Bình Dương</x:v>
      </x:c>
      <x:c r="D1577" s="2" t="str">
        <x:v>Thị xã Dĩ An</x:v>
      </x:c>
      <x:c r="E1577" s="2" t="str">
        <x:v>house</x:v>
      </x:c>
      <x:c r="F1577" s="2" t="str">
        <x:v>sale</x:v>
      </x:c>
      <x:c r="G1577" s="11" t="n">
        <x:v>423</x:v>
      </x:c>
      <x:c r="H1577" s="12" t="n">
        <x:v>8800000000</x:v>
      </x:c>
      <x:c r="I1577" s="12" t="n">
        <x:v>20803782.505910166</x:v>
      </x:c>
      <x:c r="J1577" s="2" t="str">
        <x:v>total</x:v>
      </x:c>
      <x:c r="K1577" s="2" t="str">
        <x:v>top_level_area</x:v>
      </x:c>
      <x:c r="L1577" s="2" t="str">
        <x:v>property_type_inferred_from_title</x:v>
      </x:c>
      <x:c r="M1577" s="10" t="n">
        <x:v>0</x:v>
      </x:c>
      <x:c r="N1577" s="10" t="n">
        <x:v>0</x:v>
      </x:c>
      <x:c r="O1577" s="2" t="str">
        <x:v>Bình Dương|house</x:v>
      </x:c>
      <x:c r="P1577" s="10" t="n">
        <x:v>2</x:v>
      </x:c>
      <x:c r="Q1577" s="13" t="n">
        <x:f>IF(H1577="","",H1577/1000000000)</x:f>
        <x:v>8.8</x:v>
      </x:c>
      <x:c r="R1577" s="13" t="n">
        <x:f>IF(I1577="","",I1577/1000000)</x:f>
        <x:v>20.803782505910167</x:v>
      </x:c>
    </x:row>
    <x:row r="1578" ht="21" customHeight="1">
      <x:c r="A1578" s="10" t="n">
        <x:v>2428</x:v>
      </x:c>
      <x:c r="B1578" s="2" t="str">
        <x:v>a83e35a6c5837cbcc8f1</x:v>
      </x:c>
      <x:c r="C1578" s="2" t="str">
        <x:v>Bình Dương</x:v>
      </x:c>
      <x:c r="D1578" s="2" t="str">
        <x:v>Thành phố Thủ Dầu Một</x:v>
      </x:c>
      <x:c r="E1578" s="2" t="str">
        <x:v>land</x:v>
      </x:c>
      <x:c r="F1578" s="2" t="str">
        <x:v>sale_assumed</x:v>
      </x:c>
      <x:c r="G1578" s="11" t="n">
        <x:v>200</x:v>
      </x:c>
      <x:c r="H1578" s="12" t="n">
        <x:v>1180000000</x:v>
      </x:c>
      <x:c r="I1578" s="12" t="n">
        <x:v>5900000</x:v>
      </x:c>
      <x:c r="J1578" s="2" t="str">
        <x:v>total</x:v>
      </x:c>
      <x:c r="K1578" s="2" t="str">
        <x:v>top_level_area</x:v>
      </x:c>
      <x:c r="L1578" s="2" t="str">
        <x:v>property_type_inferred_from_title;transaction_assumed_sale_from_dataset_context</x:v>
      </x:c>
      <x:c r="M1578" s="10" t="n">
        <x:v>0</x:v>
      </x:c>
      <x:c r="N1578" s="10" t="n">
        <x:v>0</x:v>
      </x:c>
      <x:c r="O1578" s="2" t="str">
        <x:v>Bình Dương|land</x:v>
      </x:c>
      <x:c r="P1578" s="10" t="n">
        <x:v>1</x:v>
      </x:c>
      <x:c r="Q1578" s="13" t="n">
        <x:f>IF(H1578="","",H1578/1000000000)</x:f>
        <x:v>1.18</x:v>
      </x:c>
      <x:c r="R1578" s="13" t="n">
        <x:f>IF(I1578="","",I1578/1000000)</x:f>
        <x:v>5.9</x:v>
      </x:c>
    </x:row>
    <x:row r="1579" ht="21" customHeight="1">
      <x:c r="A1579" s="10" t="n">
        <x:v>2429</x:v>
      </x:c>
      <x:c r="B1579" s="2" t="str">
        <x:v>5221d51ddcd2ec12c00d</x:v>
      </x:c>
      <x:c r="C1579" s="2" t="str">
        <x:v>Bà Rịa - Vũng Tàu</x:v>
      </x:c>
      <x:c r="D1579" s="2" t="str">
        <x:v>Thị xã Phú Mỹ</x:v>
      </x:c>
      <x:c r="E1579" s="2" t="str">
        <x:v>other_unknown</x:v>
      </x:c>
      <x:c r="F1579" s="2" t="str">
        <x:v>sale_assumed</x:v>
      </x:c>
      <x:c r="G1579" s="11" t="n">
        <x:v>125</x:v>
      </x:c>
      <x:c r="H1579" s="12" t="n">
        <x:v>400000000</x:v>
      </x:c>
      <x:c r="I1579" s="12" t="n">
        <x:v>3200000</x:v>
      </x:c>
      <x:c r="J1579" s="2" t="str">
        <x:v>total</x:v>
      </x:c>
      <x:c r="K1579" s="2" t="str">
        <x:v>top_level_area</x:v>
      </x:c>
      <x:c r="L1579" s="2" t="str">
        <x:v>property_type_inferred_from_title;transaction_assumed_sale_from_dataset_context;unknown_property_type</x:v>
      </x:c>
      <x:c r="M1579" s="10" t="n">
        <x:v>0</x:v>
      </x:c>
      <x:c r="N1579" s="10" t="n">
        <x:v>0</x:v>
      </x:c>
      <x:c r="O1579" s="2" t="str">
        <x:v>other_unknown</x:v>
      </x:c>
      <x:c r="P1579" s="10" t="n">
        <x:v>1</x:v>
      </x:c>
      <x:c r="Q1579" s="13" t="n">
        <x:f>IF(H1579="","",H1579/1000000000)</x:f>
        <x:v>0.4</x:v>
      </x:c>
      <x:c r="R1579" s="13" t="n">
        <x:f>IF(I1579="","",I1579/1000000)</x:f>
        <x:v>3.2</x:v>
      </x:c>
    </x:row>
    <x:row r="1580" ht="21" customHeight="1">
      <x:c r="A1580" s="10" t="n">
        <x:v>2430</x:v>
      </x:c>
      <x:c r="B1580" s="2" t="str">
        <x:v>61ed579aa727b55d7ea1</x:v>
      </x:c>
      <x:c r="C1580" s="2" t="str">
        <x:v>Tp Hồ Chí Minh</x:v>
      </x:c>
      <x:c r="D1580" s="2" t="str">
        <x:v>Quận 5</x:v>
      </x:c>
      <x:c r="E1580" s="2" t="str">
        <x:v>house</x:v>
      </x:c>
      <x:c r="F1580" s="2" t="str">
        <x:v>sale</x:v>
      </x:c>
      <x:c r="G1580" s="11" t="n">
        <x:v>70</x:v>
      </x:c>
      <x:c r="H1580" s="12" t="n">
        <x:v>980000000</x:v>
      </x:c>
      <x:c r="I1580" s="12" t="n">
        <x:v>14000000</x:v>
      </x:c>
      <x:c r="J1580" s="2" t="str">
        <x:v>total</x:v>
      </x:c>
      <x:c r="K1580" s="2" t="str">
        <x:v>top_level_area</x:v>
      </x:c>
      <x:c r="L1580" s="2" t="str">
        <x:v>property_type_inferred_from_title</x:v>
      </x:c>
      <x:c r="M1580" s="10" t="n">
        <x:v>0</x:v>
      </x:c>
      <x:c r="N1580" s="10" t="n">
        <x:v>0</x:v>
      </x:c>
      <x:c r="O1580" s="2" t="str">
        <x:v>Tp Hồ Chí Minh|house</x:v>
      </x:c>
      <x:c r="P1580" s="10" t="n">
        <x:v>2</x:v>
      </x:c>
      <x:c r="Q1580" s="13" t="n">
        <x:f>IF(H1580="","",H1580/1000000000)</x:f>
        <x:v>0.98</x:v>
      </x:c>
      <x:c r="R1580" s="13" t="n">
        <x:f>IF(I1580="","",I1580/1000000)</x:f>
        <x:v>14</x:v>
      </x:c>
    </x:row>
    <x:row r="1581" ht="21" customHeight="1">
      <x:c r="A1581" s="10" t="n">
        <x:v>2431</x:v>
      </x:c>
      <x:c r="B1581" s="2" t="str">
        <x:v>1d33a64e4e796ab5bfdd</x:v>
      </x:c>
      <x:c r="C1581" s="2" t="str">
        <x:v>Đà Nẵng</x:v>
      </x:c>
      <x:c r="D1581" s="2" t="str">
        <x:v>Quận Hải Châu</x:v>
      </x:c>
      <x:c r="E1581" s="2" t="str">
        <x:v>house</x:v>
      </x:c>
      <x:c r="F1581" s="2" t="str">
        <x:v>sale</x:v>
      </x:c>
      <x:c r="G1581" s="11" t="n">
        <x:v>62</x:v>
      </x:c>
      <x:c r="H1581" s="12" t="n">
        <x:v>4550000000</x:v>
      </x:c>
      <x:c r="I1581" s="12" t="n">
        <x:v>73387096.77419356</x:v>
      </x:c>
      <x:c r="J1581" s="2" t="str">
        <x:v>total</x:v>
      </x:c>
      <x:c r="K1581" s="2" t="str">
        <x:v>top_level_area</x:v>
      </x:c>
      <x:c r="L1581" s="2" t="str">
        <x:v>property_type_inferred_from_title</x:v>
      </x:c>
      <x:c r="M1581" s="10" t="n">
        <x:v>0</x:v>
      </x:c>
      <x:c r="N1581" s="10" t="n">
        <x:v>0</x:v>
      </x:c>
      <x:c r="O1581" s="2" t="str">
        <x:v>Đà Nẵng|house</x:v>
      </x:c>
      <x:c r="P1581" s="10" t="n">
        <x:v>2</x:v>
      </x:c>
      <x:c r="Q1581" s="13" t="n">
        <x:f>IF(H1581="","",H1581/1000000000)</x:f>
        <x:v>4.55</x:v>
      </x:c>
      <x:c r="R1581" s="13" t="n">
        <x:f>IF(I1581="","",I1581/1000000)</x:f>
        <x:v>73.38709677419355</x:v>
      </x:c>
    </x:row>
    <x:row r="1582" ht="21" customHeight="1">
      <x:c r="A1582" s="10" t="n">
        <x:v>2432</x:v>
      </x:c>
      <x:c r="B1582" s="2" t="str">
        <x:v>6f202a3a79f01886597e</x:v>
      </x:c>
      <x:c r="C1582" s="2" t="str">
        <x:v>Tp Hồ Chí Minh</x:v>
      </x:c>
      <x:c r="D1582" s="2" t="str">
        <x:v>Quận 8</x:v>
      </x:c>
      <x:c r="E1582" s="2" t="str">
        <x:v>other_unknown</x:v>
      </x:c>
      <x:c r="F1582" s="2" t="str">
        <x:v>sale_assumed</x:v>
      </x:c>
      <x:c r="G1582" s="11" t="n">
        <x:v>16</x:v>
      </x:c>
      <x:c r="H1582" s="12" t="n">
        <x:v>50000000</x:v>
      </x:c>
      <x:c r="I1582" s="12" t="n">
        <x:v>3125000</x:v>
      </x:c>
      <x:c r="J1582" s="2" t="str">
        <x:v>total</x:v>
      </x:c>
      <x:c r="K1582" s="2" t="str">
        <x:v>top_level_area</x:v>
      </x:c>
      <x:c r="L1582" s="2" t="str">
        <x:v>property_type_inferred_from_title;transaction_assumed_sale_from_dataset_context;unknown_property_type</x:v>
      </x:c>
      <x:c r="M1582" s="10" t="n">
        <x:v>0</x:v>
      </x:c>
      <x:c r="N1582" s="10" t="n">
        <x:v>0</x:v>
      </x:c>
      <x:c r="O1582" s="2" t="str">
        <x:v>Tp Hồ Chí Minh|other_unknown</x:v>
      </x:c>
      <x:c r="P1582" s="10" t="n">
        <x:v>2</x:v>
      </x:c>
      <x:c r="Q1582" s="13" t="n">
        <x:f>IF(H1582="","",H1582/1000000000)</x:f>
        <x:v>0.05</x:v>
      </x:c>
      <x:c r="R1582" s="13" t="n">
        <x:f>IF(I1582="","",I1582/1000000)</x:f>
        <x:v>3.125</x:v>
      </x:c>
    </x:row>
    <x:row r="1583" ht="21" customHeight="1">
      <x:c r="A1583" s="10" t="n">
        <x:v>2433</x:v>
      </x:c>
      <x:c r="B1583" s="2" t="str">
        <x:v>16fa6e73d55a4142cf62</x:v>
      </x:c>
      <x:c r="C1583" s="2" t="str">
        <x:v>Tp Hồ Chí Minh</x:v>
      </x:c>
      <x:c r="D1583" s="2" t="str">
        <x:v>Huyện Bình Chánh</x:v>
      </x:c>
      <x:c r="E1583" s="2" t="str">
        <x:v>house</x:v>
      </x:c>
      <x:c r="F1583" s="2" t="str">
        <x:v>sale</x:v>
      </x:c>
      <x:c r="G1583" s="11" t="n">
        <x:v>97</x:v>
      </x:c>
      <x:c r="H1583" s="12" t="n">
        <x:v>860000000</x:v>
      </x:c>
      <x:c r="I1583" s="12" t="n">
        <x:v>8865979.3814433</x:v>
      </x:c>
      <x:c r="J1583" s="2" t="str">
        <x:v>total</x:v>
      </x:c>
      <x:c r="K1583" s="2" t="str">
        <x:v>top_level_area</x:v>
      </x:c>
      <x:c r="L1583" s="2" t="str">
        <x:v>property_type_inferred_from_title</x:v>
      </x:c>
      <x:c r="M1583" s="10" t="n">
        <x:v>0</x:v>
      </x:c>
      <x:c r="N1583" s="10" t="n">
        <x:v>0</x:v>
      </x:c>
      <x:c r="O1583" s="2" t="str">
        <x:v>Tp Hồ Chí Minh|house</x:v>
      </x:c>
      <x:c r="P1583" s="10" t="n">
        <x:v>2</x:v>
      </x:c>
      <x:c r="Q1583" s="13" t="n">
        <x:f>IF(H1583="","",H1583/1000000000)</x:f>
        <x:v>0.86</x:v>
      </x:c>
      <x:c r="R1583" s="13" t="n">
        <x:f>IF(I1583="","",I1583/1000000)</x:f>
        <x:v>8.8659793814433</x:v>
      </x:c>
    </x:row>
    <x:row r="1584" ht="21" customHeight="1">
      <x:c r="A1584" s="10" t="n">
        <x:v>2434</x:v>
      </x:c>
      <x:c r="B1584" s="2" t="str">
        <x:v>5ed81b29178c15967312</x:v>
      </x:c>
      <x:c r="C1584" s="2" t="str">
        <x:v>Tp Hồ Chí Minh</x:v>
      </x:c>
      <x:c r="D1584" s="2" t="str">
        <x:v>Quận 3</x:v>
      </x:c>
      <x:c r="E1584" s="2" t="str">
        <x:v>house</x:v>
      </x:c>
      <x:c r="F1584" s="2" t="str">
        <x:v>sale_assumed</x:v>
      </x:c>
      <x:c r="G1584" s="11" t="n">
        <x:v>60</x:v>
      </x:c>
      <x:c r="H1584" s="12" t="n">
        <x:v>18500000000</x:v>
      </x:c>
      <x:c r="I1584" s="12" t="n">
        <x:v>308333333.3333333</x:v>
      </x:c>
      <x:c r="J1584" s="2" t="str">
        <x:v>total</x:v>
      </x:c>
      <x:c r="K1584" s="2" t="str">
        <x:v>top_level_area</x:v>
      </x:c>
      <x:c r="L1584" s="2" t="str">
        <x:v>property_type_inferred_from_title;transaction_assumed_sale_from_dataset_context</x:v>
      </x:c>
      <x:c r="M1584" s="10" t="n">
        <x:v>1</x:v>
      </x:c>
      <x:c r="N1584" s="10" t="n">
        <x:v>1</x:v>
      </x:c>
      <x:c r="O1584" s="2" t="str">
        <x:v>Tp Hồ Chí Minh|house</x:v>
      </x:c>
      <x:c r="P1584" s="10" t="n">
        <x:v>-1</x:v>
      </x:c>
      <x:c r="Q1584" s="13" t="n">
        <x:f>IF(H1584="","",H1584/1000000000)</x:f>
        <x:v>18.5</x:v>
      </x:c>
      <x:c r="R1584" s="13" t="n">
        <x:f>IF(I1584="","",I1584/1000000)</x:f>
        <x:v>308.3333333333333</x:v>
      </x:c>
    </x:row>
    <x:row r="1585" ht="21" customHeight="1">
      <x:c r="A1585" s="10" t="n">
        <x:v>2435</x:v>
      </x:c>
      <x:c r="B1585" s="2" t="str">
        <x:v>856422429a77061c67db</x:v>
      </x:c>
      <x:c r="C1585" s="2" t="str">
        <x:v>Tp Hồ Chí Minh</x:v>
      </x:c>
      <x:c r="D1585" s="2" t="str">
        <x:v>Quận 12</x:v>
      </x:c>
      <x:c r="E1585" s="2" t="str">
        <x:v>house</x:v>
      </x:c>
      <x:c r="F1585" s="2" t="str">
        <x:v>sale_assumed</x:v>
      </x:c>
      <x:c r="G1585" s="11" t="n">
        <x:v>30</x:v>
      </x:c>
      <x:c r="H1585" s="12" t="n">
        <x:v>1600000000</x:v>
      </x:c>
      <x:c r="I1585" s="12" t="n">
        <x:v>53333333.333333336</x:v>
      </x:c>
      <x:c r="J1585" s="2" t="str">
        <x:v>total</x:v>
      </x:c>
      <x:c r="K1585" s="2" t="str">
        <x:v>top_level_area</x:v>
      </x:c>
      <x:c r="L1585" s="2" t="str">
        <x:v>property_type_inferred_from_title;transaction_assumed_sale_from_dataset_context</x:v>
      </x:c>
      <x:c r="M1585" s="10" t="n">
        <x:v>0</x:v>
      </x:c>
      <x:c r="N1585" s="10" t="n">
        <x:v>0</x:v>
      </x:c>
      <x:c r="O1585" s="2" t="str">
        <x:v>Tp Hồ Chí Minh|house</x:v>
      </x:c>
      <x:c r="P1585" s="10" t="n">
        <x:v>2</x:v>
      </x:c>
      <x:c r="Q1585" s="13" t="n">
        <x:f>IF(H1585="","",H1585/1000000000)</x:f>
        <x:v>1.6</x:v>
      </x:c>
      <x:c r="R1585" s="13" t="n">
        <x:f>IF(I1585="","",I1585/1000000)</x:f>
        <x:v>53.333333333333336</x:v>
      </x:c>
    </x:row>
    <x:row r="1586" ht="21" customHeight="1">
      <x:c r="A1586" s="10" t="n">
        <x:v>2436</x:v>
      </x:c>
      <x:c r="B1586" s="2" t="str">
        <x:v>dba27711153cc3930e51</x:v>
      </x:c>
      <x:c r="C1586" s="2" t="str">
        <x:v>Long An</x:v>
      </x:c>
      <x:c r="D1586" s="2" t="str">
        <x:v>Huyện Đức Hòa</x:v>
      </x:c>
      <x:c r="E1586" s="2" t="str">
        <x:v>house</x:v>
      </x:c>
      <x:c r="F1586" s="2" t="str">
        <x:v>sale</x:v>
      </x:c>
      <x:c r="G1586" s="11" t="n">
        <x:v>51</x:v>
      </x:c>
      <x:c r="H1586" s="12" t="n">
        <x:v>1100000000</x:v>
      </x:c>
      <x:c r="I1586" s="12" t="n">
        <x:v>21568627.45098039</x:v>
      </x:c>
      <x:c r="J1586" s="2" t="str">
        <x:v>total</x:v>
      </x:c>
      <x:c r="K1586" s="2" t="str">
        <x:v>top_level_area</x:v>
      </x:c>
      <x:c r="L1586" s="2" t="str">
        <x:v>property_type_inferred_from_title</x:v>
      </x:c>
      <x:c r="M1586" s="10" t="n">
        <x:v>0</x:v>
      </x:c>
      <x:c r="N1586" s="10" t="n">
        <x:v>0</x:v>
      </x:c>
      <x:c r="O1586" s="2" t="str">
        <x:v>Long An|house</x:v>
      </x:c>
      <x:c r="P1586" s="10" t="n">
        <x:v>2</x:v>
      </x:c>
      <x:c r="Q1586" s="13" t="n">
        <x:f>IF(H1586="","",H1586/1000000000)</x:f>
        <x:v>1.1</x:v>
      </x:c>
      <x:c r="R1586" s="13" t="n">
        <x:f>IF(I1586="","",I1586/1000000)</x:f>
        <x:v>21.56862745098039</x:v>
      </x:c>
    </x:row>
    <x:row r="1587" ht="21" customHeight="1">
      <x:c r="A1587" s="10" t="n">
        <x:v>2437</x:v>
      </x:c>
      <x:c r="B1587" s="2" t="str">
        <x:v>8b742c7afe33936af101</x:v>
      </x:c>
      <x:c r="C1587" s="2" t="str">
        <x:v>Tp Hồ Chí Minh</x:v>
      </x:c>
      <x:c r="D1587" s="2" t="str">
        <x:v>Quận 2</x:v>
      </x:c>
      <x:c r="E1587" s="2" t="str">
        <x:v>other_unknown</x:v>
      </x:c>
      <x:c r="F1587" s="2" t="str">
        <x:v>sale</x:v>
      </x:c>
      <x:c r="G1587" s="11" t="n">
        <x:v>68</x:v>
      </x:c>
      <x:c r="H1587" s="12" t="n">
        <x:v>3910000000</x:v>
      </x:c>
      <x:c r="I1587" s="12" t="n">
        <x:v>57500000</x:v>
      </x:c>
      <x:c r="J1587" s="2" t="str">
        <x:v>total</x:v>
      </x:c>
      <x:c r="K1587" s="2" t="str">
        <x:v>top_level_area</x:v>
      </x:c>
      <x:c r="L1587" s="2" t="str">
        <x:v>property_type_inferred_from_title;unknown_property_type</x:v>
      </x:c>
      <x:c r="M1587" s="10" t="n">
        <x:v>0</x:v>
      </x:c>
      <x:c r="N1587" s="10" t="n">
        <x:v>0</x:v>
      </x:c>
      <x:c r="O1587" s="2" t="str">
        <x:v>Tp Hồ Chí Minh|other_unknown</x:v>
      </x:c>
      <x:c r="P1587" s="10" t="n">
        <x:v>2</x:v>
      </x:c>
      <x:c r="Q1587" s="13" t="n">
        <x:f>IF(H1587="","",H1587/1000000000)</x:f>
        <x:v>3.91</x:v>
      </x:c>
      <x:c r="R1587" s="13" t="n">
        <x:f>IF(I1587="","",I1587/1000000)</x:f>
        <x:v>57.5</x:v>
      </x:c>
    </x:row>
    <x:row r="1588" ht="21" customHeight="1">
      <x:c r="A1588" s="10" t="n">
        <x:v>2438</x:v>
      </x:c>
      <x:c r="B1588" s="2" t="str">
        <x:v>7f01aa2f52232720c15b</x:v>
      </x:c>
      <x:c r="C1588" s="2" t="str">
        <x:v>Đà Nẵng</x:v>
      </x:c>
      <x:c r="D1588" s="2" t="str">
        <x:v>Quận Ngũ Hành Sơn</x:v>
      </x:c>
      <x:c r="E1588" s="2" t="str">
        <x:v>other_unknown</x:v>
      </x:c>
      <x:c r="F1588" s="2" t="str">
        <x:v>sale</x:v>
      </x:c>
      <x:c r="G1588" s="11" t="n">
        <x:v>60</x:v>
      </x:c>
      <x:c r="H1588" s="12" t="n">
        <x:v>4900000000</x:v>
      </x:c>
      <x:c r="I1588" s="12" t="n">
        <x:v>81666666.66666667</x:v>
      </x:c>
      <x:c r="J1588" s="2" t="str">
        <x:v>total</x:v>
      </x:c>
      <x:c r="K1588" s="2" t="str">
        <x:v>top_level_area</x:v>
      </x:c>
      <x:c r="L1588" s="2" t="str">
        <x:v>property_type_inferred_from_title;unknown_property_type</x:v>
      </x:c>
      <x:c r="M1588" s="10" t="n">
        <x:v>0</x:v>
      </x:c>
      <x:c r="N1588" s="10" t="n">
        <x:v>0</x:v>
      </x:c>
      <x:c r="O1588" s="2" t="str">
        <x:v>Đà Nẵng|other_unknown</x:v>
      </x:c>
      <x:c r="P1588" s="10" t="n">
        <x:v>2</x:v>
      </x:c>
      <x:c r="Q1588" s="13" t="n">
        <x:f>IF(H1588="","",H1588/1000000000)</x:f>
        <x:v>4.9</x:v>
      </x:c>
      <x:c r="R1588" s="13" t="n">
        <x:f>IF(I1588="","",I1588/1000000)</x:f>
        <x:v>81.66666666666667</x:v>
      </x:c>
    </x:row>
    <x:row r="1589" ht="21" customHeight="1">
      <x:c r="A1589" s="10" t="n">
        <x:v>2439</x:v>
      </x:c>
      <x:c r="B1589" s="2" t="str">
        <x:v>1158fdfdd2a43837fc60</x:v>
      </x:c>
      <x:c r="C1589" s="2" t="str">
        <x:v>Tp Hồ Chí Minh</x:v>
      </x:c>
      <x:c r="D1589" s="2" t="str">
        <x:v>Quận Bình Tân</x:v>
      </x:c>
      <x:c r="E1589" s="2" t="str">
        <x:v>other_unknown</x:v>
      </x:c>
      <x:c r="F1589" s="2" t="str">
        <x:v>sale_assumed</x:v>
      </x:c>
      <x:c r="G1589" s="11" t="n">
        <x:v>63</x:v>
      </x:c>
      <x:c r="H1589" s="12" t="n">
        <x:v>3150000000</x:v>
      </x:c>
      <x:c r="I1589" s="12" t="n">
        <x:v>50000000</x:v>
      </x:c>
      <x:c r="J1589" s="2" t="str">
        <x:v>total</x:v>
      </x:c>
      <x:c r="K1589" s="2" t="str">
        <x:v>top_level_area</x:v>
      </x:c>
      <x:c r="L1589" s="2" t="str">
        <x:v>property_type_inferred_from_title;transaction_assumed_sale_from_dataset_context;unknown_property_type</x:v>
      </x:c>
      <x:c r="M1589" s="10" t="n">
        <x:v>0</x:v>
      </x:c>
      <x:c r="N1589" s="10" t="n">
        <x:v>0</x:v>
      </x:c>
      <x:c r="O1589" s="2" t="str">
        <x:v>Tp Hồ Chí Minh|other_unknown</x:v>
      </x:c>
      <x:c r="P1589" s="10" t="n">
        <x:v>2</x:v>
      </x:c>
      <x:c r="Q1589" s="13" t="n">
        <x:f>IF(H1589="","",H1589/1000000000)</x:f>
        <x:v>3.15</x:v>
      </x:c>
      <x:c r="R1589" s="13" t="n">
        <x:f>IF(I1589="","",I1589/1000000)</x:f>
        <x:v>50</x:v>
      </x:c>
    </x:row>
    <x:row r="1590" ht="21" customHeight="1">
      <x:c r="A1590" s="10" t="n">
        <x:v>2440</x:v>
      </x:c>
      <x:c r="B1590" s="2" t="str">
        <x:v>902c08eb317ca8220079</x:v>
      </x:c>
      <x:c r="C1590" s="2" t="str">
        <x:v>Bình Dương</x:v>
      </x:c>
      <x:c r="D1590" s="2" t="str">
        <x:v>Thị xã Bến Cát</x:v>
      </x:c>
      <x:c r="E1590" s="2" t="str">
        <x:v>land</x:v>
      </x:c>
      <x:c r="F1590" s="2" t="str">
        <x:v>sale_assumed</x:v>
      </x:c>
      <x:c r="G1590" s="11" t="n">
        <x:v>132</x:v>
      </x:c>
      <x:c r="H1590" s="12" t="n">
        <x:v>650000000</x:v>
      </x:c>
      <x:c r="I1590" s="12" t="n">
        <x:v>4924242.424242424</x:v>
      </x:c>
      <x:c r="J1590" s="2" t="str">
        <x:v>total</x:v>
      </x:c>
      <x:c r="K1590" s="2" t="str">
        <x:v>top_level_area</x:v>
      </x:c>
      <x:c r="L1590" s="2" t="str">
        <x:v>property_type_inferred_from_title;transaction_assumed_sale_from_dataset_context</x:v>
      </x:c>
      <x:c r="M1590" s="10" t="n">
        <x:v>0</x:v>
      </x:c>
      <x:c r="N1590" s="10" t="n">
        <x:v>0</x:v>
      </x:c>
      <x:c r="O1590" s="2" t="str">
        <x:v>Bình Dương|land</x:v>
      </x:c>
      <x:c r="P1590" s="10" t="n">
        <x:v>2</x:v>
      </x:c>
      <x:c r="Q1590" s="13" t="n">
        <x:f>IF(H1590="","",H1590/1000000000)</x:f>
        <x:v>0.65</x:v>
      </x:c>
      <x:c r="R1590" s="13" t="n">
        <x:f>IF(I1590="","",I1590/1000000)</x:f>
        <x:v>4.924242424242424</x:v>
      </x:c>
    </x:row>
    <x:row r="1591" ht="21" customHeight="1">
      <x:c r="A1591" s="10" t="n">
        <x:v>2441</x:v>
      </x:c>
      <x:c r="B1591" s="2" t="str">
        <x:v>088ba68edbadc6379bc2</x:v>
      </x:c>
      <x:c r="C1591" s="2" t="str">
        <x:v>Bình Dương</x:v>
      </x:c>
      <x:c r="D1591" s="2" t="str">
        <x:v>Thị xã Tân Uyên</x:v>
      </x:c>
      <x:c r="E1591" s="2" t="str">
        <x:v>land</x:v>
      </x:c>
      <x:c r="F1591" s="2" t="str">
        <x:v>sale</x:v>
      </x:c>
      <x:c r="G1591" s="11" t="n">
        <x:v>140</x:v>
      </x:c>
      <x:c r="H1591" s="12" t="n">
        <x:v>500000000</x:v>
      </x:c>
      <x:c r="I1591" s="12" t="n">
        <x:v>3571428.5714285714</x:v>
      </x:c>
      <x:c r="J1591" s="2" t="str">
        <x:v>total</x:v>
      </x:c>
      <x:c r="K1591" s="2" t="str">
        <x:v>top_level_area</x:v>
      </x:c>
      <x:c r="L1591" s="2" t="str">
        <x:v>property_type_inferred_from_title</x:v>
      </x:c>
      <x:c r="M1591" s="10" t="n">
        <x:v>0</x:v>
      </x:c>
      <x:c r="N1591" s="10" t="n">
        <x:v>0</x:v>
      </x:c>
      <x:c r="O1591" s="2" t="str">
        <x:v>Bình Dương|land</x:v>
      </x:c>
      <x:c r="P1591" s="10" t="n">
        <x:v>1</x:v>
      </x:c>
      <x:c r="Q1591" s="13" t="n">
        <x:f>IF(H1591="","",H1591/1000000000)</x:f>
        <x:v>0.5</x:v>
      </x:c>
      <x:c r="R1591" s="13" t="n">
        <x:f>IF(I1591="","",I1591/1000000)</x:f>
        <x:v>3.571428571428571</x:v>
      </x:c>
    </x:row>
    <x:row r="1592" ht="21" customHeight="1">
      <x:c r="A1592" s="10" t="n">
        <x:v>2442</x:v>
      </x:c>
      <x:c r="B1592" s="2" t="str">
        <x:v>27e03823b70a9829776f</x:v>
      </x:c>
      <x:c r="C1592" s="2" t="str">
        <x:v>Bình Dương</x:v>
      </x:c>
      <x:c r="D1592" s="2" t="str">
        <x:v>Thị xã Thuận An</x:v>
      </x:c>
      <x:c r="E1592" s="2" t="str">
        <x:v>house</x:v>
      </x:c>
      <x:c r="F1592" s="2" t="str">
        <x:v>sale</x:v>
      </x:c>
      <x:c r="G1592" s="11" t="n">
        <x:v>100</x:v>
      </x:c>
      <x:c r="H1592" s="12" t="n">
        <x:v>2500000000</x:v>
      </x:c>
      <x:c r="I1592" s="12" t="n">
        <x:v>25000000</x:v>
      </x:c>
      <x:c r="J1592" s="2" t="str">
        <x:v>total</x:v>
      </x:c>
      <x:c r="K1592" s="2" t="str">
        <x:v>top_level_area</x:v>
      </x:c>
      <x:c r="L1592" s="2" t="str">
        <x:v>property_type_inferred_from_title</x:v>
      </x:c>
      <x:c r="M1592" s="10" t="n">
        <x:v>0</x:v>
      </x:c>
      <x:c r="N1592" s="10" t="n">
        <x:v>0</x:v>
      </x:c>
      <x:c r="O1592" s="2" t="str">
        <x:v>Bình Dương|house</x:v>
      </x:c>
      <x:c r="P1592" s="10" t="n">
        <x:v>2</x:v>
      </x:c>
      <x:c r="Q1592" s="13" t="n">
        <x:f>IF(H1592="","",H1592/1000000000)</x:f>
        <x:v>2.5</x:v>
      </x:c>
      <x:c r="R1592" s="13" t="n">
        <x:f>IF(I1592="","",I1592/1000000)</x:f>
        <x:v>25</x:v>
      </x:c>
    </x:row>
    <x:row r="1593" ht="21" customHeight="1">
      <x:c r="A1593" s="10" t="n">
        <x:v>2443</x:v>
      </x:c>
      <x:c r="B1593" s="2" t="str">
        <x:v>dc47849268e481ee304b</x:v>
      </x:c>
      <x:c r="C1593" s="2" t="str">
        <x:v>Tp Hồ Chí Minh</x:v>
      </x:c>
      <x:c r="D1593" s="2" t="str">
        <x:v>Quận Thủ Đức</x:v>
      </x:c>
      <x:c r="E1593" s="2" t="str">
        <x:v>house</x:v>
      </x:c>
      <x:c r="F1593" s="2" t="str">
        <x:v>sale_assumed</x:v>
      </x:c>
      <x:c r="G1593" s="11" t="n">
        <x:v>52</x:v>
      </x:c>
      <x:c r="H1593" s="12" t="n">
        <x:v>4099999999.9999995</x:v>
      </x:c>
      <x:c r="I1593" s="12" t="n">
        <x:v>78846153.84615384</x:v>
      </x:c>
      <x:c r="J1593" s="2" t="str">
        <x:v>total</x:v>
      </x:c>
      <x:c r="K1593" s="2" t="str">
        <x:v>top_level_area</x:v>
      </x:c>
      <x:c r="L1593" s="2" t="str">
        <x:v>property_type_inferred_from_title;transaction_assumed_sale_from_dataset_context</x:v>
      </x:c>
      <x:c r="M1593" s="10" t="n">
        <x:v>0</x:v>
      </x:c>
      <x:c r="N1593" s="10" t="n">
        <x:v>0</x:v>
      </x:c>
      <x:c r="O1593" s="2" t="str">
        <x:v>Tp Hồ Chí Minh|house</x:v>
      </x:c>
      <x:c r="P1593" s="10" t="n">
        <x:v>2</x:v>
      </x:c>
      <x:c r="Q1593" s="13" t="n">
        <x:f>IF(H1593="","",H1593/1000000000)</x:f>
        <x:v>4.1</x:v>
      </x:c>
      <x:c r="R1593" s="13" t="n">
        <x:f>IF(I1593="","",I1593/1000000)</x:f>
        <x:v>78.84615384615384</x:v>
      </x:c>
    </x:row>
    <x:row r="1594" ht="21" customHeight="1">
      <x:c r="A1594" s="10" t="n">
        <x:v>2444</x:v>
      </x:c>
      <x:c r="B1594" s="2" t="str">
        <x:v>43c443adc315421b90ba</x:v>
      </x:c>
      <x:c r="C1594" s="2" t="str">
        <x:v>Tp Hồ Chí Minh</x:v>
      </x:c>
      <x:c r="D1594" s="2" t="str">
        <x:v>Huyện Hóc Môn</x:v>
      </x:c>
      <x:c r="E1594" s="2" t="str">
        <x:v>house</x:v>
      </x:c>
      <x:c r="F1594" s="2" t="str">
        <x:v>sale</x:v>
      </x:c>
      <x:c r="G1594" s="11" t="n">
        <x:v>60</x:v>
      </x:c>
      <x:c r="H1594" s="12" t="n">
        <x:v>315000000</x:v>
      </x:c>
      <x:c r="I1594" s="12" t="n">
        <x:v>5250000</x:v>
      </x:c>
      <x:c r="J1594" s="2" t="str">
        <x:v>total</x:v>
      </x:c>
      <x:c r="K1594" s="2" t="str">
        <x:v>top_level_area</x:v>
      </x:c>
      <x:c r="L1594" s="2" t="str">
        <x:v>property_type_inferred_from_title</x:v>
      </x:c>
      <x:c r="M1594" s="10" t="n">
        <x:v>0</x:v>
      </x:c>
      <x:c r="N1594" s="10" t="n">
        <x:v>0</x:v>
      </x:c>
      <x:c r="O1594" s="2" t="str">
        <x:v>Tp Hồ Chí Minh|house</x:v>
      </x:c>
      <x:c r="P1594" s="10" t="n">
        <x:v>2</x:v>
      </x:c>
      <x:c r="Q1594" s="13" t="n">
        <x:f>IF(H1594="","",H1594/1000000000)</x:f>
        <x:v>0.315</x:v>
      </x:c>
      <x:c r="R1594" s="13" t="n">
        <x:f>IF(I1594="","",I1594/1000000)</x:f>
        <x:v>5.25</x:v>
      </x:c>
    </x:row>
    <x:row r="1595" ht="21" customHeight="1">
      <x:c r="A1595" s="10" t="n">
        <x:v>2445</x:v>
      </x:c>
      <x:c r="B1595" s="2" t="str">
        <x:v>2866c10c488b5eb7ffa9</x:v>
      </x:c>
      <x:c r="C1595" s="2" t="str">
        <x:v>Khánh Hòa</x:v>
      </x:c>
      <x:c r="D1595" s="2" t="str">
        <x:v>Huyện Cam Lâm</x:v>
      </x:c>
      <x:c r="E1595" s="2" t="str">
        <x:v>land</x:v>
      </x:c>
      <x:c r="F1595" s="2" t="str">
        <x:v>sale_assumed</x:v>
      </x:c>
      <x:c r="G1595" s="11" t="n">
        <x:v>150</x:v>
      </x:c>
      <x:c r="H1595" s="12" t="n">
        <x:v>1300000000</x:v>
      </x:c>
      <x:c r="I1595" s="12" t="n">
        <x:v>8666666.666666666</x:v>
      </x:c>
      <x:c r="J1595" s="2" t="str">
        <x:v>total</x:v>
      </x:c>
      <x:c r="K1595" s="2" t="str">
        <x:v>top_level_area</x:v>
      </x:c>
      <x:c r="L1595" s="2" t="str">
        <x:v>property_type_inferred_from_title;transaction_assumed_sale_from_dataset_context</x:v>
      </x:c>
      <x:c r="M1595" s="10" t="n">
        <x:v>0</x:v>
      </x:c>
      <x:c r="N1595" s="10" t="n">
        <x:v>0</x:v>
      </x:c>
      <x:c r="O1595" s="2" t="str">
        <x:v>land</x:v>
      </x:c>
      <x:c r="P1595" s="10" t="n">
        <x:v>2</x:v>
      </x:c>
      <x:c r="Q1595" s="13" t="n">
        <x:f>IF(H1595="","",H1595/1000000000)</x:f>
        <x:v>1.3</x:v>
      </x:c>
      <x:c r="R1595" s="13" t="n">
        <x:f>IF(I1595="","",I1595/1000000)</x:f>
        <x:v>8.666666666666666</x:v>
      </x:c>
    </x:row>
    <x:row r="1596" ht="21" customHeight="1">
      <x:c r="A1596" s="10" t="n">
        <x:v>2446</x:v>
      </x:c>
      <x:c r="B1596" s="2" t="str">
        <x:v>13e24aad805d5fef6c60</x:v>
      </x:c>
      <x:c r="C1596" s="2" t="str">
        <x:v>Đồng Nai</x:v>
      </x:c>
      <x:c r="D1596" s="2" t="str">
        <x:v>Thành phố Biên Hòa</x:v>
      </x:c>
      <x:c r="E1596" s="2" t="str">
        <x:v>land</x:v>
      </x:c>
      <x:c r="F1596" s="2" t="str">
        <x:v>sale_assumed</x:v>
      </x:c>
      <x:c r="G1596" s="11" t="n">
        <x:v>243</x:v>
      </x:c>
      <x:c r="H1596" s="12" t="n">
        <x:v>1250000000</x:v>
      </x:c>
      <x:c r="I1596" s="12" t="n">
        <x:v>5144032.9218107</x:v>
      </x:c>
      <x:c r="J1596" s="2" t="str">
        <x:v>total</x:v>
      </x:c>
      <x:c r="K1596" s="2" t="str">
        <x:v>top_level_area</x:v>
      </x:c>
      <x:c r="L1596" s="2" t="str">
        <x:v>property_type_inferred_from_title;transaction_assumed_sale_from_dataset_context</x:v>
      </x:c>
      <x:c r="M1596" s="10" t="n">
        <x:v>0</x:v>
      </x:c>
      <x:c r="N1596" s="10" t="n">
        <x:v>0</x:v>
      </x:c>
      <x:c r="O1596" s="2" t="str">
        <x:v>Đồng Nai|land</x:v>
      </x:c>
      <x:c r="P1596" s="10" t="n">
        <x:v>1</x:v>
      </x:c>
      <x:c r="Q1596" s="13" t="n">
        <x:f>IF(H1596="","",H1596/1000000000)</x:f>
        <x:v>1.25</x:v>
      </x:c>
      <x:c r="R1596" s="13" t="n">
        <x:f>IF(I1596="","",I1596/1000000)</x:f>
        <x:v>5.1440329218107</x:v>
      </x:c>
    </x:row>
    <x:row r="1597" ht="21" customHeight="1">
      <x:c r="A1597" s="10" t="n">
        <x:v>2447</x:v>
      </x:c>
      <x:c r="B1597" s="2" t="str">
        <x:v>ffcd1f4e72dcd58351be</x:v>
      </x:c>
      <x:c r="C1597" s="2" t="str">
        <x:v>Tp Hồ Chí Minh</x:v>
      </x:c>
      <x:c r="D1597" s="2" t="str">
        <x:v>Quận Gò Vấp</x:v>
      </x:c>
      <x:c r="E1597" s="2" t="str">
        <x:v>house</x:v>
      </x:c>
      <x:c r="F1597" s="2" t="str">
        <x:v>sale_assumed</x:v>
      </x:c>
      <x:c r="G1597" s="11" t="n">
        <x:v>75.3</x:v>
      </x:c>
      <x:c r="H1597" s="12" t="n">
        <x:v>8500000000</x:v>
      </x:c>
      <x:c r="I1597" s="12" t="n">
        <x:v>112881806.10889775</x:v>
      </x:c>
      <x:c r="J1597" s="2" t="str">
        <x:v>total</x:v>
      </x:c>
      <x:c r="K1597" s="2" t="str">
        <x:v>top_level_area</x:v>
      </x:c>
      <x:c r="L1597" s="2" t="str">
        <x:v>property_type_inferred_from_title;transaction_assumed_sale_from_dataset_context</x:v>
      </x:c>
      <x:c r="M1597" s="10" t="n">
        <x:v>0</x:v>
      </x:c>
      <x:c r="N1597" s="10" t="n">
        <x:v>0</x:v>
      </x:c>
      <x:c r="O1597" s="2" t="str">
        <x:v>Tp Hồ Chí Minh|house</x:v>
      </x:c>
      <x:c r="P1597" s="10" t="n">
        <x:v>2</x:v>
      </x:c>
      <x:c r="Q1597" s="13" t="n">
        <x:f>IF(H1597="","",H1597/1000000000)</x:f>
        <x:v>8.5</x:v>
      </x:c>
      <x:c r="R1597" s="13" t="n">
        <x:f>IF(I1597="","",I1597/1000000)</x:f>
        <x:v>112.88180610889775</x:v>
      </x:c>
    </x:row>
    <x:row r="1598" ht="21" customHeight="1">
      <x:c r="A1598" s="10" t="n">
        <x:v>2450</x:v>
      </x:c>
      <x:c r="B1598" s="2" t="str">
        <x:v>17297a70248660a7143f</x:v>
      </x:c>
      <x:c r="C1598" s="2" t="str">
        <x:v>Tp Hồ Chí Minh</x:v>
      </x:c>
      <x:c r="D1598" s="2" t="str">
        <x:v>Quận 2</x:v>
      </x:c>
      <x:c r="E1598" s="2" t="str">
        <x:v>other_unknown</x:v>
      </x:c>
      <x:c r="F1598" s="2" t="str">
        <x:v>sale_assumed</x:v>
      </x:c>
      <x:c r="G1598" s="11" t="n">
        <x:v>171</x:v>
      </x:c>
      <x:c r="H1598" s="12" t="n">
        <x:v>1800000000</x:v>
      </x:c>
      <x:c r="I1598" s="12" t="n">
        <x:v>10526315.789473685</x:v>
      </x:c>
      <x:c r="J1598" s="2" t="str">
        <x:v>total</x:v>
      </x:c>
      <x:c r="K1598" s="2" t="str">
        <x:v>top_level_area</x:v>
      </x:c>
      <x:c r="L1598" s="2" t="str">
        <x:v>property_type_inferred_from_title;transaction_assumed_sale_from_dataset_context;unknown_property_type</x:v>
      </x:c>
      <x:c r="M1598" s="10" t="n">
        <x:v>0</x:v>
      </x:c>
      <x:c r="N1598" s="10" t="n">
        <x:v>0</x:v>
      </x:c>
      <x:c r="O1598" s="2" t="str">
        <x:v>Tp Hồ Chí Minh|other_unknown</x:v>
      </x:c>
      <x:c r="P1598" s="10" t="n">
        <x:v>2</x:v>
      </x:c>
      <x:c r="Q1598" s="13" t="n">
        <x:f>IF(H1598="","",H1598/1000000000)</x:f>
        <x:v>1.8</x:v>
      </x:c>
      <x:c r="R1598" s="13" t="n">
        <x:f>IF(I1598="","",I1598/1000000)</x:f>
        <x:v>10.526315789473685</x:v>
      </x:c>
    </x:row>
    <x:row r="1599" ht="21" customHeight="1">
      <x:c r="A1599" s="10" t="n">
        <x:v>2451</x:v>
      </x:c>
      <x:c r="B1599" s="2" t="str">
        <x:v>6201d13d17dbdc142cce</x:v>
      </x:c>
      <x:c r="C1599" s="2" t="str">
        <x:v>Cần Thơ</x:v>
      </x:c>
      <x:c r="D1599" s="2" t="str">
        <x:v>Huyện Phong Điền</x:v>
      </x:c>
      <x:c r="E1599" s="2" t="str">
        <x:v>land</x:v>
      </x:c>
      <x:c r="F1599" s="2" t="str">
        <x:v>sale_assumed</x:v>
      </x:c>
      <x:c r="G1599" s="11" t="n">
        <x:v>1300</x:v>
      </x:c>
      <x:c r="H1599" s="12" t="n">
        <x:v>1000000000</x:v>
      </x:c>
      <x:c r="I1599" s="12" t="n">
        <x:v>769230.7692307692</x:v>
      </x:c>
      <x:c r="J1599" s="2" t="str">
        <x:v>total</x:v>
      </x:c>
      <x:c r="K1599" s="2" t="str">
        <x:v>top_level_area</x:v>
      </x:c>
      <x:c r="L1599" s="2" t="str">
        <x:v>dot_thousands_convention;property_type_inferred_from_title;transaction_assumed_sale_from_dataset_context</x:v>
      </x:c>
      <x:c r="M1599" s="10" t="n">
        <x:v>0</x:v>
      </x:c>
      <x:c r="N1599" s="10" t="n">
        <x:v>0</x:v>
      </x:c>
      <x:c r="O1599" s="2" t="str">
        <x:v>Cần Thơ|land</x:v>
      </x:c>
      <x:c r="P1599" s="10" t="n">
        <x:v>1</x:v>
      </x:c>
      <x:c r="Q1599" s="13" t="n">
        <x:f>IF(H1599="","",H1599/1000000000)</x:f>
        <x:v>1</x:v>
      </x:c>
      <x:c r="R1599" s="13" t="n">
        <x:f>IF(I1599="","",I1599/1000000)</x:f>
        <x:v>0.7692307692307693</x:v>
      </x:c>
    </x:row>
    <x:row r="1600" ht="21" customHeight="1">
      <x:c r="A1600" s="10" t="n">
        <x:v>2452</x:v>
      </x:c>
      <x:c r="B1600" s="2" t="str">
        <x:v>f52c57d26680bbeb8a92</x:v>
      </x:c>
      <x:c r="C1600" s="2" t="str">
        <x:v>Đà Nẵng</x:v>
      </x:c>
      <x:c r="D1600" s="2" t="str">
        <x:v>Quận Liên Chiểu</x:v>
      </x:c>
      <x:c r="E1600" s="2" t="str">
        <x:v>land</x:v>
      </x:c>
      <x:c r="F1600" s="2" t="str">
        <x:v>sale</x:v>
      </x:c>
      <x:c r="G1600" s="11" t="n">
        <x:v>90</x:v>
      </x:c>
      <x:c r="H1600" s="12" t="n">
        <x:v>1650000000</x:v>
      </x:c>
      <x:c r="I1600" s="12" t="n">
        <x:v>18333333.333333332</x:v>
      </x:c>
      <x:c r="J1600" s="2" t="str">
        <x:v>total</x:v>
      </x:c>
      <x:c r="K1600" s="2" t="str">
        <x:v>top_level_area</x:v>
      </x:c>
      <x:c r="L1600" s="2" t="str">
        <x:v>property_type_inferred_from_title</x:v>
      </x:c>
      <x:c r="M1600" s="10" t="n">
        <x:v>0</x:v>
      </x:c>
      <x:c r="N1600" s="10" t="n">
        <x:v>0</x:v>
      </x:c>
      <x:c r="O1600" s="2" t="str">
        <x:v>Đà Nẵng|land</x:v>
      </x:c>
      <x:c r="P1600" s="10" t="n">
        <x:v>2</x:v>
      </x:c>
      <x:c r="Q1600" s="13" t="n">
        <x:f>IF(H1600="","",H1600/1000000000)</x:f>
        <x:v>1.65</x:v>
      </x:c>
      <x:c r="R1600" s="13" t="n">
        <x:f>IF(I1600="","",I1600/1000000)</x:f>
        <x:v>18.333333333333332</x:v>
      </x:c>
    </x:row>
    <x:row r="1601" ht="21" customHeight="1">
      <x:c r="A1601" s="10" t="n">
        <x:v>2453</x:v>
      </x:c>
      <x:c r="B1601" s="2" t="str">
        <x:v>b04d48eaed6adf0948a9</x:v>
      </x:c>
      <x:c r="C1601" s="2" t="str">
        <x:v>Tp Hồ Chí Minh</x:v>
      </x:c>
      <x:c r="D1601" s="2" t="str">
        <x:v>Huyện Nhà Bè</x:v>
      </x:c>
      <x:c r="E1601" s="2" t="str">
        <x:v>house</x:v>
      </x:c>
      <x:c r="F1601" s="2" t="str">
        <x:v>sale</x:v>
      </x:c>
      <x:c r="G1601" s="11" t="n">
        <x:v>30</x:v>
      </x:c>
      <x:c r="H1601" s="12" t="n">
        <x:v>1500000000</x:v>
      </x:c>
      <x:c r="I1601" s="12" t="n">
        <x:v>50000000</x:v>
      </x:c>
      <x:c r="J1601" s="2" t="str">
        <x:v>total</x:v>
      </x:c>
      <x:c r="K1601" s="2" t="str">
        <x:v>top_level_area</x:v>
      </x:c>
      <x:c r="L1601" s="2" t="str">
        <x:v>property_type_inferred_from_title</x:v>
      </x:c>
      <x:c r="M1601" s="10" t="n">
        <x:v>0</x:v>
      </x:c>
      <x:c r="N1601" s="10" t="n">
        <x:v>0</x:v>
      </x:c>
      <x:c r="O1601" s="2" t="str">
        <x:v>Tp Hồ Chí Minh|house</x:v>
      </x:c>
      <x:c r="P1601" s="10" t="n">
        <x:v>2</x:v>
      </x:c>
      <x:c r="Q1601" s="13" t="n">
        <x:f>IF(H1601="","",H1601/1000000000)</x:f>
        <x:v>1.5</x:v>
      </x:c>
      <x:c r="R1601" s="13" t="n">
        <x:f>IF(I1601="","",I1601/1000000)</x:f>
        <x:v>50</x:v>
      </x:c>
    </x:row>
    <x:row r="1602" ht="21" customHeight="1">
      <x:c r="A1602" s="10" t="n">
        <x:v>2454</x:v>
      </x:c>
      <x:c r="B1602" s="2" t="str">
        <x:v>401b4bf1670950902971</x:v>
      </x:c>
      <x:c r="C1602" s="2" t="str">
        <x:v>Hà Nội</x:v>
      </x:c>
      <x:c r="D1602" s="2" t="str">
        <x:v>Quận Long Biên</x:v>
      </x:c>
      <x:c r="E1602" s="2" t="str">
        <x:v>house</x:v>
      </x:c>
      <x:c r="F1602" s="2" t="str">
        <x:v>sale_assumed</x:v>
      </x:c>
      <x:c r="G1602" s="11" t="n">
        <x:v>40</x:v>
      </x:c>
      <x:c r="H1602" s="12" t="n">
        <x:v>2850000000</x:v>
      </x:c>
      <x:c r="I1602" s="12" t="n">
        <x:v>71250000</x:v>
      </x:c>
      <x:c r="J1602" s="2" t="str">
        <x:v>total</x:v>
      </x:c>
      <x:c r="K1602" s="2" t="str">
        <x:v>top_level_area</x:v>
      </x:c>
      <x:c r="L1602" s="2" t="str">
        <x:v>property_type_inferred_from_title;transaction_assumed_sale_from_dataset_context</x:v>
      </x:c>
      <x:c r="M1602" s="10" t="n">
        <x:v>0</x:v>
      </x:c>
      <x:c r="N1602" s="10" t="n">
        <x:v>0</x:v>
      </x:c>
      <x:c r="O1602" s="2" t="str">
        <x:v>Hà Nội|house</x:v>
      </x:c>
      <x:c r="P1602" s="10" t="n">
        <x:v>2</x:v>
      </x:c>
      <x:c r="Q1602" s="13" t="n">
        <x:f>IF(H1602="","",H1602/1000000000)</x:f>
        <x:v>2.85</x:v>
      </x:c>
      <x:c r="R1602" s="13" t="n">
        <x:f>IF(I1602="","",I1602/1000000)</x:f>
        <x:v>71.25</x:v>
      </x:c>
    </x:row>
    <x:row r="1603" ht="21" customHeight="1">
      <x:c r="A1603" s="10" t="n">
        <x:v>2456</x:v>
      </x:c>
      <x:c r="B1603" s="2" t="str">
        <x:v>2d3f760f8b8b35bfdc42</x:v>
      </x:c>
      <x:c r="C1603" s="2" t="str">
        <x:v>Hà Nội</x:v>
      </x:c>
      <x:c r="D1603" s="2" t="str">
        <x:v>Quận Thanh Xuân</x:v>
      </x:c>
      <x:c r="E1603" s="2" t="str">
        <x:v>other_unknown</x:v>
      </x:c>
      <x:c r="F1603" s="2" t="str">
        <x:v>sale_assumed</x:v>
      </x:c>
      <x:c r="G1603" s="11" t="n">
        <x:v>38</x:v>
      </x:c>
      <x:c r="H1603" s="12" t="n">
        <x:v>3550000000</x:v>
      </x:c>
      <x:c r="I1603" s="12" t="n">
        <x:v>93421052.63157895</x:v>
      </x:c>
      <x:c r="J1603" s="2" t="str">
        <x:v>total</x:v>
      </x:c>
      <x:c r="K1603" s="2" t="str">
        <x:v>top_level_area</x:v>
      </x:c>
      <x:c r="L1603" s="2" t="str">
        <x:v>property_type_inferred_from_title;transaction_assumed_sale_from_dataset_context;unknown_property_type</x:v>
      </x:c>
      <x:c r="M1603" s="10" t="n">
        <x:v>0</x:v>
      </x:c>
      <x:c r="N1603" s="10" t="n">
        <x:v>0</x:v>
      </x:c>
      <x:c r="O1603" s="2" t="str">
        <x:v>Hà Nội|other_unknown</x:v>
      </x:c>
      <x:c r="P1603" s="10" t="n">
        <x:v>2</x:v>
      </x:c>
      <x:c r="Q1603" s="13" t="n">
        <x:f>IF(H1603="","",H1603/1000000000)</x:f>
        <x:v>3.55</x:v>
      </x:c>
      <x:c r="R1603" s="13" t="n">
        <x:f>IF(I1603="","",I1603/1000000)</x:f>
        <x:v>93.42105263157895</x:v>
      </x:c>
    </x:row>
    <x:row r="1604" ht="21" customHeight="1">
      <x:c r="A1604" s="10" t="n">
        <x:v>2457</x:v>
      </x:c>
      <x:c r="B1604" s="2" t="str">
        <x:v>d0a8e232d0c6dfc7237f</x:v>
      </x:c>
      <x:c r="C1604" s="2" t="str">
        <x:v>Tp Hồ Chí Minh</x:v>
      </x:c>
      <x:c r="D1604" s="2" t="str">
        <x:v>Quận Bình Tân</x:v>
      </x:c>
      <x:c r="E1604" s="2" t="str">
        <x:v>house</x:v>
      </x:c>
      <x:c r="F1604" s="2" t="str">
        <x:v>sale_assumed</x:v>
      </x:c>
      <x:c r="G1604" s="11" t="n">
        <x:v>32</x:v>
      </x:c>
      <x:c r="H1604" s="12" t="n">
        <x:v>2800000000</x:v>
      </x:c>
      <x:c r="I1604" s="12" t="n">
        <x:v>87500000</x:v>
      </x:c>
      <x:c r="J1604" s="2" t="str">
        <x:v>total</x:v>
      </x:c>
      <x:c r="K1604" s="2" t="str">
        <x:v>top_level_area</x:v>
      </x:c>
      <x:c r="L1604" s="2" t="str">
        <x:v>property_type_inferred_from_title;transaction_assumed_sale_from_dataset_context</x:v>
      </x:c>
      <x:c r="M1604" s="10" t="n">
        <x:v>0</x:v>
      </x:c>
      <x:c r="N1604" s="10" t="n">
        <x:v>0</x:v>
      </x:c>
      <x:c r="O1604" s="2" t="str">
        <x:v>Tp Hồ Chí Minh|house</x:v>
      </x:c>
      <x:c r="P1604" s="10" t="n">
        <x:v>2</x:v>
      </x:c>
      <x:c r="Q1604" s="13" t="n">
        <x:f>IF(H1604="","",H1604/1000000000)</x:f>
        <x:v>2.8</x:v>
      </x:c>
      <x:c r="R1604" s="13" t="n">
        <x:f>IF(I1604="","",I1604/1000000)</x:f>
        <x:v>87.5</x:v>
      </x:c>
    </x:row>
    <x:row r="1605" ht="21" customHeight="1">
      <x:c r="A1605" s="10" t="n">
        <x:v>2458</x:v>
      </x:c>
      <x:c r="B1605" s="2" t="str">
        <x:v>e36be7047115fd619122</x:v>
      </x:c>
      <x:c r="C1605" s="2" t="str">
        <x:v>Tp Hồ Chí Minh</x:v>
      </x:c>
      <x:c r="D1605" s="2" t="str">
        <x:v>Huyện Nhà Bè</x:v>
      </x:c>
      <x:c r="E1605" s="2" t="str">
        <x:v>land</x:v>
      </x:c>
      <x:c r="F1605" s="2" t="str">
        <x:v>sale</x:v>
      </x:c>
      <x:c r="G1605" s="11" t="n">
        <x:v>60</x:v>
      </x:c>
      <x:c r="H1605" s="12" t="n">
        <x:v>750000000</x:v>
      </x:c>
      <x:c r="I1605" s="12" t="n">
        <x:v>12500000</x:v>
      </x:c>
      <x:c r="J1605" s="2" t="str">
        <x:v>total</x:v>
      </x:c>
      <x:c r="K1605" s="2" t="str">
        <x:v>top_level_area</x:v>
      </x:c>
      <x:c r="L1605" s="2" t="str">
        <x:v>property_type_inferred_from_title</x:v>
      </x:c>
      <x:c r="M1605" s="10" t="n">
        <x:v>0</x:v>
      </x:c>
      <x:c r="N1605" s="10" t="n">
        <x:v>0</x:v>
      </x:c>
      <x:c r="O1605" s="2" t="str">
        <x:v>Tp Hồ Chí Minh|land</x:v>
      </x:c>
      <x:c r="P1605" s="10" t="n">
        <x:v>2</x:v>
      </x:c>
      <x:c r="Q1605" s="13" t="n">
        <x:f>IF(H1605="","",H1605/1000000000)</x:f>
        <x:v>0.75</x:v>
      </x:c>
      <x:c r="R1605" s="13" t="n">
        <x:f>IF(I1605="","",I1605/1000000)</x:f>
        <x:v>12.5</x:v>
      </x:c>
    </x:row>
    <x:row r="1606" ht="21" customHeight="1">
      <x:c r="A1606" s="10" t="n">
        <x:v>2459</x:v>
      </x:c>
      <x:c r="B1606" s="2" t="str">
        <x:v>37c64ba0aebef87064c6</x:v>
      </x:c>
      <x:c r="C1606" s="2" t="str">
        <x:v>Tp Hồ Chí Minh</x:v>
      </x:c>
      <x:c r="D1606" s="2" t="str">
        <x:v>Quận 7</x:v>
      </x:c>
      <x:c r="E1606" s="2" t="str">
        <x:v>house</x:v>
      </x:c>
      <x:c r="F1606" s="2" t="str">
        <x:v>sale</x:v>
      </x:c>
      <x:c r="G1606" s="11" t="n">
        <x:v>65</x:v>
      </x:c>
      <x:c r="H1606" s="12" t="n">
        <x:v>1300000000</x:v>
      </x:c>
      <x:c r="I1606" s="12" t="n">
        <x:v>20000000</x:v>
      </x:c>
      <x:c r="J1606" s="2" t="str">
        <x:v>total</x:v>
      </x:c>
      <x:c r="K1606" s="2" t="str">
        <x:v>top_level_area</x:v>
      </x:c>
      <x:c r="L1606" s="2" t="str">
        <x:v>property_type_inferred_from_title</x:v>
      </x:c>
      <x:c r="M1606" s="10" t="n">
        <x:v>0</x:v>
      </x:c>
      <x:c r="N1606" s="10" t="n">
        <x:v>0</x:v>
      </x:c>
      <x:c r="O1606" s="2" t="str">
        <x:v>Tp Hồ Chí Minh|house</x:v>
      </x:c>
      <x:c r="P1606" s="10" t="n">
        <x:v>2</x:v>
      </x:c>
      <x:c r="Q1606" s="13" t="n">
        <x:f>IF(H1606="","",H1606/1000000000)</x:f>
        <x:v>1.3</x:v>
      </x:c>
      <x:c r="R1606" s="13" t="n">
        <x:f>IF(I1606="","",I1606/1000000)</x:f>
        <x:v>20</x:v>
      </x:c>
    </x:row>
    <x:row r="1607" ht="21" customHeight="1">
      <x:c r="A1607" s="10" t="n">
        <x:v>2460</x:v>
      </x:c>
      <x:c r="B1607" s="2" t="str">
        <x:v>cff730b251eb8eedca63</x:v>
      </x:c>
      <x:c r="C1607" s="2" t="str">
        <x:v>Bình Thuận</x:v>
      </x:c>
      <x:c r="D1607" s="2" t="str">
        <x:v>Huyện Hàm Thuận Nam</x:v>
      </x:c>
      <x:c r="E1607" s="2" t="str">
        <x:v>other_unknown</x:v>
      </x:c>
      <x:c r="F1607" s="2" t="str">
        <x:v>sale_assumed</x:v>
      </x:c>
      <x:c r="G1607" s="11" t="n">
        <x:v>68000</x:v>
      </x:c>
      <x:c r="H1607" s="12" t="n">
        <x:v>7000000000</x:v>
      </x:c>
      <x:c r="I1607" s="12" t="n">
        <x:v>102941.17647058824</x:v>
      </x:c>
      <x:c r="J1607" s="2" t="str">
        <x:v>total</x:v>
      </x:c>
      <x:c r="K1607" s="2" t="str">
        <x:v>top_level_area</x:v>
      </x:c>
      <x:c r="L1607" s="2" t="str">
        <x:v>dot_thousands_convention;property_type_inferred_from_title;transaction_assumed_sale_from_dataset_context;unknown_property_type</x:v>
      </x:c>
      <x:c r="M1607" s="10" t="n">
        <x:v>0</x:v>
      </x:c>
      <x:c r="N1607" s="10" t="n">
        <x:v>0</x:v>
      </x:c>
      <x:c r="O1607" s="2" t="str">
        <x:v>other_unknown</x:v>
      </x:c>
      <x:c r="P1607" s="10" t="n">
        <x:v>1</x:v>
      </x:c>
      <x:c r="Q1607" s="13" t="n">
        <x:f>IF(H1607="","",H1607/1000000000)</x:f>
        <x:v>7</x:v>
      </x:c>
      <x:c r="R1607" s="13" t="n">
        <x:f>IF(I1607="","",I1607/1000000)</x:f>
        <x:v>0.10294117647058824</x:v>
      </x:c>
    </x:row>
    <x:row r="1608" ht="21" customHeight="1">
      <x:c r="A1608" s="10" t="n">
        <x:v>2461</x:v>
      </x:c>
      <x:c r="B1608" s="2" t="str">
        <x:v>18358d9e64c8ea57a76e</x:v>
      </x:c>
      <x:c r="C1608" s="2" t="str">
        <x:v>Tp Hồ Chí Minh</x:v>
      </x:c>
      <x:c r="D1608" s="2" t="str">
        <x:v>Quận 12</x:v>
      </x:c>
      <x:c r="E1608" s="2" t="str">
        <x:v>house</x:v>
      </x:c>
      <x:c r="F1608" s="2" t="str">
        <x:v>sale_assumed</x:v>
      </x:c>
      <x:c r="G1608" s="11" t="n">
        <x:v>56</x:v>
      </x:c>
      <x:c r="H1608" s="12" t="n">
        <x:v>4250000000</x:v>
      </x:c>
      <x:c r="I1608" s="12" t="n">
        <x:v>75892857.14285715</x:v>
      </x:c>
      <x:c r="J1608" s="2" t="str">
        <x:v>total</x:v>
      </x:c>
      <x:c r="K1608" s="2" t="str">
        <x:v>top_level_area</x:v>
      </x:c>
      <x:c r="L1608" s="2" t="str">
        <x:v>property_type_inferred_from_title;transaction_assumed_sale_from_dataset_context</x:v>
      </x:c>
      <x:c r="M1608" s="10" t="n">
        <x:v>0</x:v>
      </x:c>
      <x:c r="N1608" s="10" t="n">
        <x:v>0</x:v>
      </x:c>
      <x:c r="O1608" s="2" t="str">
        <x:v>Tp Hồ Chí Minh|house</x:v>
      </x:c>
      <x:c r="P1608" s="10" t="n">
        <x:v>2</x:v>
      </x:c>
      <x:c r="Q1608" s="13" t="n">
        <x:f>IF(H1608="","",H1608/1000000000)</x:f>
        <x:v>4.25</x:v>
      </x:c>
      <x:c r="R1608" s="13" t="n">
        <x:f>IF(I1608="","",I1608/1000000)</x:f>
        <x:v>75.89285714285715</x:v>
      </x:c>
    </x:row>
    <x:row r="1609" ht="21" customHeight="1">
      <x:c r="A1609" s="10" t="n">
        <x:v>2462</x:v>
      </x:c>
      <x:c r="B1609" s="2" t="str">
        <x:v>e4b7ecbd0ec646949173</x:v>
      </x:c>
      <x:c r="C1609" s="2" t="str">
        <x:v>Tp Hồ Chí Minh</x:v>
      </x:c>
      <x:c r="D1609" s="2" t="str">
        <x:v>Quận 9</x:v>
      </x:c>
      <x:c r="E1609" s="2" t="str">
        <x:v>other_unknown</x:v>
      </x:c>
      <x:c r="F1609" s="2" t="str">
        <x:v>sale</x:v>
      </x:c>
      <x:c r="G1609" s="11" t="n">
        <x:v>77.2</x:v>
      </x:c>
      <x:c r="H1609" s="12" t="n">
        <x:v>1285000000</x:v>
      </x:c>
      <x:c r="I1609" s="12" t="n">
        <x:v>16645077.720207253</x:v>
      </x:c>
      <x:c r="J1609" s="2" t="str">
        <x:v>total</x:v>
      </x:c>
      <x:c r="K1609" s="2" t="str">
        <x:v>top_level_area</x:v>
      </x:c>
      <x:c r="L1609" s="2" t="str">
        <x:v>property_type_inferred_from_title;unknown_property_type</x:v>
      </x:c>
      <x:c r="M1609" s="10" t="n">
        <x:v>0</x:v>
      </x:c>
      <x:c r="N1609" s="10" t="n">
        <x:v>0</x:v>
      </x:c>
      <x:c r="O1609" s="2" t="str">
        <x:v>Tp Hồ Chí Minh|other_unknown</x:v>
      </x:c>
      <x:c r="P1609" s="10" t="n">
        <x:v>2</x:v>
      </x:c>
      <x:c r="Q1609" s="13" t="n">
        <x:f>IF(H1609="","",H1609/1000000000)</x:f>
        <x:v>1.285</x:v>
      </x:c>
      <x:c r="R1609" s="13" t="n">
        <x:f>IF(I1609="","",I1609/1000000)</x:f>
        <x:v>16.645077720207254</x:v>
      </x:c>
    </x:row>
    <x:row r="1610" ht="21" customHeight="1">
      <x:c r="A1610" s="10" t="n">
        <x:v>2463</x:v>
      </x:c>
      <x:c r="B1610" s="2" t="str">
        <x:v>49f8b82319f8320bace3</x:v>
      </x:c>
      <x:c r="C1610" s="2" t="str">
        <x:v>Đà Nẵng</x:v>
      </x:c>
      <x:c r="D1610" s="2" t="str">
        <x:v>Quận Hải Châu</x:v>
      </x:c>
      <x:c r="E1610" s="2" t="str">
        <x:v>house</x:v>
      </x:c>
      <x:c r="F1610" s="2" t="str">
        <x:v>sale</x:v>
      </x:c>
      <x:c r="G1610" s="11" t="n">
        <x:v>58</x:v>
      </x:c>
      <x:c r="H1610" s="12" t="n">
        <x:v>4590000000</x:v>
      </x:c>
      <x:c r="I1610" s="12" t="n">
        <x:v>79137931.03448276</x:v>
      </x:c>
      <x:c r="J1610" s="2" t="str">
        <x:v>total</x:v>
      </x:c>
      <x:c r="K1610" s="2" t="str">
        <x:v>top_level_area</x:v>
      </x:c>
      <x:c r="L1610" s="2" t="str">
        <x:v>property_type_inferred_from_title</x:v>
      </x:c>
      <x:c r="M1610" s="10" t="n">
        <x:v>0</x:v>
      </x:c>
      <x:c r="N1610" s="10" t="n">
        <x:v>0</x:v>
      </x:c>
      <x:c r="O1610" s="2" t="str">
        <x:v>Đà Nẵng|house</x:v>
      </x:c>
      <x:c r="P1610" s="10" t="n">
        <x:v>2</x:v>
      </x:c>
      <x:c r="Q1610" s="13" t="n">
        <x:f>IF(H1610="","",H1610/1000000000)</x:f>
        <x:v>4.59</x:v>
      </x:c>
      <x:c r="R1610" s="13" t="n">
        <x:f>IF(I1610="","",I1610/1000000)</x:f>
        <x:v>79.13793103448276</x:v>
      </x:c>
    </x:row>
    <x:row r="1611" ht="21" customHeight="1">
      <x:c r="A1611" s="10" t="n">
        <x:v>2464</x:v>
      </x:c>
      <x:c r="B1611" s="2" t="str">
        <x:v>1e11cfbdee97d5f2bde1</x:v>
      </x:c>
      <x:c r="C1611" s="2" t="str">
        <x:v>Đà Nẵng</x:v>
      </x:c>
      <x:c r="D1611" s="2" t="str">
        <x:v>Quận Thanh Khê</x:v>
      </x:c>
      <x:c r="E1611" s="2" t="str">
        <x:v>land</x:v>
      </x:c>
      <x:c r="F1611" s="2" t="str">
        <x:v>sale</x:v>
      </x:c>
      <x:c r="G1611" s="11" t="n">
        <x:v>125</x:v>
      </x:c>
      <x:c r="H1611" s="12" t="n">
        <x:v>9000000000</x:v>
      </x:c>
      <x:c r="I1611" s="12" t="n">
        <x:v>72000000</x:v>
      </x:c>
      <x:c r="J1611" s="2" t="str">
        <x:v>total</x:v>
      </x:c>
      <x:c r="K1611" s="2" t="str">
        <x:v>top_level_area</x:v>
      </x:c>
      <x:c r="L1611" s="2" t="str">
        <x:v>property_type_inferred_from_title</x:v>
      </x:c>
      <x:c r="M1611" s="10" t="n">
        <x:v>0</x:v>
      </x:c>
      <x:c r="N1611" s="10" t="n">
        <x:v>1</x:v>
      </x:c>
      <x:c r="O1611" s="2" t="str">
        <x:v>Đà Nẵng|land</x:v>
      </x:c>
      <x:c r="P1611" s="10" t="n">
        <x:v>-1</x:v>
      </x:c>
      <x:c r="Q1611" s="13" t="n">
        <x:f>IF(H1611="","",H1611/1000000000)</x:f>
        <x:v>9</x:v>
      </x:c>
      <x:c r="R1611" s="13" t="n">
        <x:f>IF(I1611="","",I1611/1000000)</x:f>
        <x:v>72</x:v>
      </x:c>
    </x:row>
    <x:row r="1612" ht="21" customHeight="1">
      <x:c r="A1612" s="10" t="n">
        <x:v>2465</x:v>
      </x:c>
      <x:c r="B1612" s="2" t="str">
        <x:v>9917c3b68c52017e565c</x:v>
      </x:c>
      <x:c r="C1612" s="2" t="str">
        <x:v>Sóc Trăng</x:v>
      </x:c>
      <x:c r="D1612" s="2" t="str">
        <x:v>Thành phố Sóc Trăng</x:v>
      </x:c>
      <x:c r="E1612" s="2" t="str">
        <x:v>land</x:v>
      </x:c>
      <x:c r="F1612" s="2" t="str">
        <x:v>sale</x:v>
      </x:c>
      <x:c r="G1612" s="11" t="n">
        <x:v>1199</x:v>
      </x:c>
      <x:c r="H1612" s="12" t="n">
        <x:v>750000000</x:v>
      </x:c>
      <x:c r="I1612" s="12" t="n">
        <x:v>625521.2677231026</x:v>
      </x:c>
      <x:c r="J1612" s="2" t="str">
        <x:v>total</x:v>
      </x:c>
      <x:c r="K1612" s="2" t="str">
        <x:v>top_level_area</x:v>
      </x:c>
      <x:c r="L1612" s="2" t="str">
        <x:v>dot_thousands_convention;property_type_inferred_from_title</x:v>
      </x:c>
      <x:c r="M1612" s="10" t="n">
        <x:v>0</x:v>
      </x:c>
      <x:c r="N1612" s="10" t="n">
        <x:v>0</x:v>
      </x:c>
      <x:c r="O1612" s="2" t="str">
        <x:v>land</x:v>
      </x:c>
      <x:c r="P1612" s="10" t="n">
        <x:v>1</x:v>
      </x:c>
      <x:c r="Q1612" s="13" t="n">
        <x:f>IF(H1612="","",H1612/1000000000)</x:f>
        <x:v>0.75</x:v>
      </x:c>
      <x:c r="R1612" s="13" t="n">
        <x:f>IF(I1612="","",I1612/1000000)</x:f>
        <x:v>0.6255212677231026</x:v>
      </x:c>
    </x:row>
    <x:row r="1613" ht="21" customHeight="1">
      <x:c r="A1613" s="10" t="n">
        <x:v>2466</x:v>
      </x:c>
      <x:c r="B1613" s="2" t="str">
        <x:v>f1c8f726a2aac247dc14</x:v>
      </x:c>
      <x:c r="C1613" s="2" t="str">
        <x:v>Đà Nẵng</x:v>
      </x:c>
      <x:c r="D1613" s="2" t="str">
        <x:v>Quận Thanh Khê</x:v>
      </x:c>
      <x:c r="E1613" s="2" t="str">
        <x:v>house</x:v>
      </x:c>
      <x:c r="F1613" s="2" t="str">
        <x:v>sale_assumed</x:v>
      </x:c>
      <x:c r="G1613" s="11" t="n">
        <x:v>81</x:v>
      </x:c>
      <x:c r="H1613" s="12" t="n">
        <x:v>2950000000</x:v>
      </x:c>
      <x:c r="I1613" s="12" t="n">
        <x:v>36419753.086419754</x:v>
      </x:c>
      <x:c r="J1613" s="2" t="str">
        <x:v>total</x:v>
      </x:c>
      <x:c r="K1613" s="2" t="str">
        <x:v>top_level_area</x:v>
      </x:c>
      <x:c r="L1613" s="2" t="str">
        <x:v>property_type_inferred_from_title;transaction_assumed_sale_from_dataset_context</x:v>
      </x:c>
      <x:c r="M1613" s="10" t="n">
        <x:v>0</x:v>
      </x:c>
      <x:c r="N1613" s="10" t="n">
        <x:v>0</x:v>
      </x:c>
      <x:c r="O1613" s="2" t="str">
        <x:v>Đà Nẵng|house</x:v>
      </x:c>
      <x:c r="P1613" s="10" t="n">
        <x:v>2</x:v>
      </x:c>
      <x:c r="Q1613" s="13" t="n">
        <x:f>IF(H1613="","",H1613/1000000000)</x:f>
        <x:v>2.95</x:v>
      </x:c>
      <x:c r="R1613" s="13" t="n">
        <x:f>IF(I1613="","",I1613/1000000)</x:f>
        <x:v>36.41975308641975</x:v>
      </x:c>
    </x:row>
    <x:row r="1614" ht="21" customHeight="1">
      <x:c r="A1614" s="10" t="n">
        <x:v>2467</x:v>
      </x:c>
      <x:c r="B1614" s="2" t="str">
        <x:v>bdaabb601af8f0cc4347</x:v>
      </x:c>
      <x:c r="C1614" s="2" t="str">
        <x:v>Tp Hồ Chí Minh</x:v>
      </x:c>
      <x:c r="D1614" s="2" t="str">
        <x:v>Quận 4</x:v>
      </x:c>
      <x:c r="E1614" s="2" t="str">
        <x:v>other_unknown</x:v>
      </x:c>
      <x:c r="F1614" s="2" t="str">
        <x:v>sale_assumed</x:v>
      </x:c>
      <x:c r="G1614" s="11" t="n">
        <x:v>75</x:v>
      </x:c>
      <x:c r="H1614" s="12" t="n">
        <x:v>1250000000</x:v>
      </x:c>
      <x:c r="I1614" s="12" t="n">
        <x:v>16666666.666666666</x:v>
      </x:c>
      <x:c r="J1614" s="2" t="str">
        <x:v>total</x:v>
      </x:c>
      <x:c r="K1614" s="2" t="str">
        <x:v>top_level_area</x:v>
      </x:c>
      <x:c r="L1614" s="2" t="str">
        <x:v>property_type_inferred_from_title;transaction_assumed_sale_from_dataset_context;unknown_property_type</x:v>
      </x:c>
      <x:c r="M1614" s="10" t="n">
        <x:v>0</x:v>
      </x:c>
      <x:c r="N1614" s="10" t="n">
        <x:v>0</x:v>
      </x:c>
      <x:c r="O1614" s="2" t="str">
        <x:v>Tp Hồ Chí Minh|other_unknown</x:v>
      </x:c>
      <x:c r="P1614" s="10" t="n">
        <x:v>2</x:v>
      </x:c>
      <x:c r="Q1614" s="13" t="n">
        <x:f>IF(H1614="","",H1614/1000000000)</x:f>
        <x:v>1.25</x:v>
      </x:c>
      <x:c r="R1614" s="13" t="n">
        <x:f>IF(I1614="","",I1614/1000000)</x:f>
        <x:v>16.666666666666664</x:v>
      </x:c>
    </x:row>
    <x:row r="1615" ht="21" customHeight="1">
      <x:c r="A1615" s="10" t="n">
        <x:v>2468</x:v>
      </x:c>
      <x:c r="B1615" s="2" t="str">
        <x:v>754964670c9a0a3bafb3</x:v>
      </x:c>
      <x:c r="C1615" s="2" t="str">
        <x:v>Tp Hồ Chí Minh</x:v>
      </x:c>
      <x:c r="D1615" s="2" t="str">
        <x:v>Huyện Nhà Bè</x:v>
      </x:c>
      <x:c r="E1615" s="2" t="str">
        <x:v>house</x:v>
      </x:c>
      <x:c r="F1615" s="2" t="str">
        <x:v>sale</x:v>
      </x:c>
      <x:c r="G1615" s="11" t="n">
        <x:v>50</x:v>
      </x:c>
      <x:c r="H1615" s="12" t="n">
        <x:v>1050000000</x:v>
      </x:c>
      <x:c r="I1615" s="12" t="n">
        <x:v>21000000</x:v>
      </x:c>
      <x:c r="J1615" s="2" t="str">
        <x:v>total</x:v>
      </x:c>
      <x:c r="K1615" s="2" t="str">
        <x:v>top_level_area</x:v>
      </x:c>
      <x:c r="L1615" s="2" t="str">
        <x:v>property_type_inferred_from_title</x:v>
      </x:c>
      <x:c r="M1615" s="10" t="n">
        <x:v>0</x:v>
      </x:c>
      <x:c r="N1615" s="10" t="n">
        <x:v>0</x:v>
      </x:c>
      <x:c r="O1615" s="2" t="str">
        <x:v>Tp Hồ Chí Minh|house</x:v>
      </x:c>
      <x:c r="P1615" s="10" t="n">
        <x:v>2</x:v>
      </x:c>
      <x:c r="Q1615" s="13" t="n">
        <x:f>IF(H1615="","",H1615/1000000000)</x:f>
        <x:v>1.05</x:v>
      </x:c>
      <x:c r="R1615" s="13" t="n">
        <x:f>IF(I1615="","",I1615/1000000)</x:f>
        <x:v>21</x:v>
      </x:c>
    </x:row>
    <x:row r="1616" ht="21" customHeight="1">
      <x:c r="A1616" s="10" t="n">
        <x:v>2469</x:v>
      </x:c>
      <x:c r="B1616" s="2" t="str">
        <x:v>c969e7b560a6e4af2d8a</x:v>
      </x:c>
      <x:c r="C1616" s="2" t="str">
        <x:v>Tp Hồ Chí Minh</x:v>
      </x:c>
      <x:c r="D1616" s="2" t="str">
        <x:v>Quận 11</x:v>
      </x:c>
      <x:c r="E1616" s="2" t="str">
        <x:v>house</x:v>
      </x:c>
      <x:c r="F1616" s="2" t="str">
        <x:v>sale</x:v>
      </x:c>
      <x:c r="G1616" s="11" t="n">
        <x:v>75</x:v>
      </x:c>
      <x:c r="H1616" s="12" t="n">
        <x:v>1350000000</x:v>
      </x:c>
      <x:c r="I1616" s="12" t="n">
        <x:v>18000000</x:v>
      </x:c>
      <x:c r="J1616" s="2" t="str">
        <x:v>total</x:v>
      </x:c>
      <x:c r="K1616" s="2" t="str">
        <x:v>top_level_area</x:v>
      </x:c>
      <x:c r="L1616" s="2" t="str">
        <x:v>property_type_inferred_from_title</x:v>
      </x:c>
      <x:c r="M1616" s="10" t="n">
        <x:v>0</x:v>
      </x:c>
      <x:c r="N1616" s="10" t="n">
        <x:v>0</x:v>
      </x:c>
      <x:c r="O1616" s="2" t="str">
        <x:v>Tp Hồ Chí Minh|house</x:v>
      </x:c>
      <x:c r="P1616" s="10" t="n">
        <x:v>2</x:v>
      </x:c>
      <x:c r="Q1616" s="13" t="n">
        <x:f>IF(H1616="","",H1616/1000000000)</x:f>
        <x:v>1.35</x:v>
      </x:c>
      <x:c r="R1616" s="13" t="n">
        <x:f>IF(I1616="","",I1616/1000000)</x:f>
        <x:v>18</x:v>
      </x:c>
    </x:row>
    <x:row r="1617" ht="21" customHeight="1">
      <x:c r="A1617" s="10" t="n">
        <x:v>2471</x:v>
      </x:c>
      <x:c r="B1617" s="2" t="str">
        <x:v>b2b0cd02214436bfd46c</x:v>
      </x:c>
      <x:c r="C1617" s="2" t="str">
        <x:v>Hà Nội</x:v>
      </x:c>
      <x:c r="D1617" s="2" t="str">
        <x:v>Huyện Thạch Thất</x:v>
      </x:c>
      <x:c r="E1617" s="2" t="str">
        <x:v>other_unknown</x:v>
      </x:c>
      <x:c r="F1617" s="2" t="str">
        <x:v>sale</x:v>
      </x:c>
      <x:c r="G1617" s="11" t="n">
        <x:v>100</x:v>
      </x:c>
      <x:c r="H1617" s="12" t="n">
        <x:v>1300000000</x:v>
      </x:c>
      <x:c r="I1617" s="12" t="n">
        <x:v>13000000</x:v>
      </x:c>
      <x:c r="J1617" s="2" t="str">
        <x:v>total</x:v>
      </x:c>
      <x:c r="K1617" s="2" t="str">
        <x:v>top_level_area</x:v>
      </x:c>
      <x:c r="L1617" s="2" t="str">
        <x:v>property_type_inferred_from_title;unknown_property_type</x:v>
      </x:c>
      <x:c r="M1617" s="10" t="n">
        <x:v>0</x:v>
      </x:c>
      <x:c r="N1617" s="10" t="n">
        <x:v>0</x:v>
      </x:c>
      <x:c r="O1617" s="2" t="str">
        <x:v>Hà Nội|other_unknown</x:v>
      </x:c>
      <x:c r="P1617" s="10" t="n">
        <x:v>2</x:v>
      </x:c>
      <x:c r="Q1617" s="13" t="n">
        <x:f>IF(H1617="","",H1617/1000000000)</x:f>
        <x:v>1.3</x:v>
      </x:c>
      <x:c r="R1617" s="13" t="n">
        <x:f>IF(I1617="","",I1617/1000000)</x:f>
        <x:v>13</x:v>
      </x:c>
    </x:row>
    <x:row r="1618" ht="21" customHeight="1">
      <x:c r="A1618" s="10" t="n">
        <x:v>2473</x:v>
      </x:c>
      <x:c r="B1618" s="2" t="str">
        <x:v>6c9a3022b7dd04b3901f</x:v>
      </x:c>
      <x:c r="C1618" s="2" t="str">
        <x:v>Tp Hồ Chí Minh</x:v>
      </x:c>
      <x:c r="D1618" s="2" t="str">
        <x:v>Quận 8</x:v>
      </x:c>
      <x:c r="E1618" s="2" t="str">
        <x:v>house</x:v>
      </x:c>
      <x:c r="F1618" s="2" t="str">
        <x:v>sale</x:v>
      </x:c>
      <x:c r="G1618" s="11" t="n">
        <x:v>28</x:v>
      </x:c>
      <x:c r="H1618" s="12" t="n">
        <x:v>1450000000</x:v>
      </x:c>
      <x:c r="I1618" s="12" t="n">
        <x:v>51785714.28571428</x:v>
      </x:c>
      <x:c r="J1618" s="2" t="str">
        <x:v>total</x:v>
      </x:c>
      <x:c r="K1618" s="2" t="str">
        <x:v>top_level_area</x:v>
      </x:c>
      <x:c r="L1618" s="2" t="str">
        <x:v>property_type_inferred_from_title</x:v>
      </x:c>
      <x:c r="M1618" s="10" t="n">
        <x:v>0</x:v>
      </x:c>
      <x:c r="N1618" s="10" t="n">
        <x:v>0</x:v>
      </x:c>
      <x:c r="O1618" s="2" t="str">
        <x:v>Tp Hồ Chí Minh|house</x:v>
      </x:c>
      <x:c r="P1618" s="10" t="n">
        <x:v>2</x:v>
      </x:c>
      <x:c r="Q1618" s="13" t="n">
        <x:f>IF(H1618="","",H1618/1000000000)</x:f>
        <x:v>1.45</x:v>
      </x:c>
      <x:c r="R1618" s="13" t="n">
        <x:f>IF(I1618="","",I1618/1000000)</x:f>
        <x:v>51.785714285714285</x:v>
      </x:c>
    </x:row>
    <x:row r="1619" ht="21" customHeight="1">
      <x:c r="A1619" s="10" t="n">
        <x:v>2474</x:v>
      </x:c>
      <x:c r="B1619" s="2" t="str">
        <x:v>ddcc9883c6b099245931</x:v>
      </x:c>
      <x:c r="C1619" s="2" t="str">
        <x:v>Tp Hồ Chí Minh</x:v>
      </x:c>
      <x:c r="D1619" s="2" t="str">
        <x:v>Huyện Củ Chi</x:v>
      </x:c>
      <x:c r="E1619" s="2" t="str">
        <x:v>other_unknown</x:v>
      </x:c>
      <x:c r="F1619" s="2" t="str">
        <x:v>sale_assumed</x:v>
      </x:c>
      <x:c r="G1619" s="11" t="n">
        <x:v>100</x:v>
      </x:c>
      <x:c r="H1619" s="12" t="n">
        <x:v>990000000</x:v>
      </x:c>
      <x:c r="I1619" s="12" t="n">
        <x:v>9900000</x:v>
      </x:c>
      <x:c r="J1619" s="2" t="str">
        <x:v>total</x:v>
      </x:c>
      <x:c r="K1619" s="2" t="str">
        <x:v>top_level_area</x:v>
      </x:c>
      <x:c r="L1619" s="2" t="str">
        <x:v>property_type_inferred_from_title;transaction_assumed_sale_from_dataset_context;unknown_property_type</x:v>
      </x:c>
      <x:c r="M1619" s="10" t="n">
        <x:v>0</x:v>
      </x:c>
      <x:c r="N1619" s="10" t="n">
        <x:v>0</x:v>
      </x:c>
      <x:c r="O1619" s="2" t="str">
        <x:v>Tp Hồ Chí Minh|other_unknown</x:v>
      </x:c>
      <x:c r="P1619" s="10" t="n">
        <x:v>2</x:v>
      </x:c>
      <x:c r="Q1619" s="13" t="n">
        <x:f>IF(H1619="","",H1619/1000000000)</x:f>
        <x:v>0.99</x:v>
      </x:c>
      <x:c r="R1619" s="13" t="n">
        <x:f>IF(I1619="","",I1619/1000000)</x:f>
        <x:v>9.9</x:v>
      </x:c>
    </x:row>
    <x:row r="1620" ht="21" customHeight="1">
      <x:c r="A1620" s="10" t="n">
        <x:v>2475</x:v>
      </x:c>
      <x:c r="B1620" s="2" t="str">
        <x:v>3dca991f24927dce1103</x:v>
      </x:c>
      <x:c r="C1620" s="2" t="str">
        <x:v>Tp Hồ Chí Minh</x:v>
      </x:c>
      <x:c r="D1620" s="2" t="str">
        <x:v>Quận 2</x:v>
      </x:c>
      <x:c r="E1620" s="2" t="str">
        <x:v>apartment</x:v>
      </x:c>
      <x:c r="F1620" s="2" t="str">
        <x:v>sale_assumed</x:v>
      </x:c>
      <x:c r="G1620" s="11" t="n">
        <x:v>50</x:v>
      </x:c>
      <x:c r="H1620" s="12" t="n">
        <x:v>3300000000</x:v>
      </x:c>
      <x:c r="I1620" s="12" t="n">
        <x:v>66000000</x:v>
      </x:c>
      <x:c r="J1620" s="2" t="str">
        <x:v>total</x:v>
      </x:c>
      <x:c r="K1620" s="2" t="str">
        <x:v>top_level_area</x:v>
      </x:c>
      <x:c r="L1620" s="2" t="str">
        <x:v>property_type_inferred_from_title;transaction_assumed_sale_from_dataset_context</x:v>
      </x:c>
      <x:c r="M1620" s="10" t="n">
        <x:v>0</x:v>
      </x:c>
      <x:c r="N1620" s="10" t="n">
        <x:v>1</x:v>
      </x:c>
      <x:c r="O1620" s="2" t="str">
        <x:v>Tp Hồ Chí Minh|apartment</x:v>
      </x:c>
      <x:c r="P1620" s="10" t="n">
        <x:v>-1</x:v>
      </x:c>
      <x:c r="Q1620" s="13" t="n">
        <x:f>IF(H1620="","",H1620/1000000000)</x:f>
        <x:v>3.3</x:v>
      </x:c>
      <x:c r="R1620" s="13" t="n">
        <x:f>IF(I1620="","",I1620/1000000)</x:f>
        <x:v>66</x:v>
      </x:c>
    </x:row>
    <x:row r="1621" ht="21" customHeight="1">
      <x:c r="A1621" s="10" t="n">
        <x:v>2476</x:v>
      </x:c>
      <x:c r="B1621" s="2" t="str">
        <x:v>cd0319c3ea4ec73beeef</x:v>
      </x:c>
      <x:c r="C1621" s="2" t="str">
        <x:v>Tp Hồ Chí Minh</x:v>
      </x:c>
      <x:c r="D1621" s="2" t="str">
        <x:v>Quận 5</x:v>
      </x:c>
      <x:c r="E1621" s="2" t="str">
        <x:v>house</x:v>
      </x:c>
      <x:c r="F1621" s="2" t="str">
        <x:v>sale_assumed</x:v>
      </x:c>
      <x:c r="G1621" s="11" t="n">
        <x:v>62</x:v>
      </x:c>
      <x:c r="H1621" s="12" t="n">
        <x:v>8199999999.999999</x:v>
      </x:c>
      <x:c r="I1621" s="12" t="n">
        <x:v>132258064.51612902</x:v>
      </x:c>
      <x:c r="J1621" s="2" t="str">
        <x:v>total</x:v>
      </x:c>
      <x:c r="K1621" s="2" t="str">
        <x:v>top_level_price_embedded_area</x:v>
      </x:c>
      <x:c r="L1621" s="2" t="str">
        <x:v>area_recovered_from_price_text;property_type_inferred_from_title;transaction_assumed_sale_from_dataset_context</x:v>
      </x:c>
      <x:c r="M1621" s="10" t="n">
        <x:v>0</x:v>
      </x:c>
      <x:c r="N1621" s="10" t="n">
        <x:v>0</x:v>
      </x:c>
      <x:c r="O1621" s="2" t="str">
        <x:v>Tp Hồ Chí Minh|house</x:v>
      </x:c>
      <x:c r="P1621" s="10" t="n">
        <x:v>2</x:v>
      </x:c>
      <x:c r="Q1621" s="13" t="n">
        <x:f>IF(H1621="","",H1621/1000000000)</x:f>
        <x:v>8.2</x:v>
      </x:c>
      <x:c r="R1621" s="13" t="n">
        <x:f>IF(I1621="","",I1621/1000000)</x:f>
        <x:v>132.25806451612902</x:v>
      </x:c>
    </x:row>
    <x:row r="1622" ht="21" customHeight="1">
      <x:c r="A1622" s="10" t="n">
        <x:v>2477</x:v>
      </x:c>
      <x:c r="B1622" s="2" t="str">
        <x:v>a391fa12ff0dd7c825fc</x:v>
      </x:c>
      <x:c r="C1622" s="2" t="str">
        <x:v>Tp Hồ Chí Minh</x:v>
      </x:c>
      <x:c r="D1622" s="2" t="str">
        <x:v>Huyện Củ Chi</x:v>
      </x:c>
      <x:c r="E1622" s="2" t="str">
        <x:v>other_unknown</x:v>
      </x:c>
      <x:c r="F1622" s="2" t="str">
        <x:v>sale_assumed</x:v>
      </x:c>
      <x:c r="G1622" s="11" t="n">
        <x:v>19</x:v>
      </x:c>
      <x:c r="H1622" s="12" t="n">
        <x:v>1250000000</x:v>
      </x:c>
      <x:c r="I1622" s="12" t="n">
        <x:v>65789473.684210524</x:v>
      </x:c>
      <x:c r="J1622" s="2" t="str">
        <x:v>total</x:v>
      </x:c>
      <x:c r="K1622" s="2" t="str">
        <x:v>top_level_area</x:v>
      </x:c>
      <x:c r="L1622" s="2" t="str">
        <x:v>property_type_inferred_from_title;transaction_assumed_sale_from_dataset_context;unknown_property_type</x:v>
      </x:c>
      <x:c r="M1622" s="10" t="n">
        <x:v>0</x:v>
      </x:c>
      <x:c r="N1622" s="10" t="n">
        <x:v>0</x:v>
      </x:c>
      <x:c r="O1622" s="2" t="str">
        <x:v>Tp Hồ Chí Minh|other_unknown</x:v>
      </x:c>
      <x:c r="P1622" s="10" t="n">
        <x:v>2</x:v>
      </x:c>
      <x:c r="Q1622" s="13" t="n">
        <x:f>IF(H1622="","",H1622/1000000000)</x:f>
        <x:v>1.25</x:v>
      </x:c>
      <x:c r="R1622" s="13" t="n">
        <x:f>IF(I1622="","",I1622/1000000)</x:f>
        <x:v>65.78947368421052</x:v>
      </x:c>
    </x:row>
    <x:row r="1623" ht="21" customHeight="1">
      <x:c r="A1623" s="10" t="n">
        <x:v>2478</x:v>
      </x:c>
      <x:c r="B1623" s="2" t="str">
        <x:v>58fee714f37089c829f5</x:v>
      </x:c>
      <x:c r="C1623" s="2" t="str">
        <x:v>Tp Hồ Chí Minh</x:v>
      </x:c>
      <x:c r="D1623" s="2" t="str">
        <x:v>Quận 3</x:v>
      </x:c>
      <x:c r="E1623" s="2" t="str">
        <x:v>house</x:v>
      </x:c>
      <x:c r="F1623" s="2" t="str">
        <x:v>sale_assumed</x:v>
      </x:c>
      <x:c r="G1623" s="11" t="n">
        <x:v>30</x:v>
      </x:c>
      <x:c r="H1623" s="12" t="n">
        <x:v>7000000000</x:v>
      </x:c>
      <x:c r="I1623" s="12" t="n">
        <x:v>233333333.33333334</x:v>
      </x:c>
      <x:c r="J1623" s="2" t="str">
        <x:v>total</x:v>
      </x:c>
      <x:c r="K1623" s="2" t="str">
        <x:v>top_level_area</x:v>
      </x:c>
      <x:c r="L1623" s="2" t="str">
        <x:v>property_type_inferred_from_title;transaction_assumed_sale_from_dataset_context</x:v>
      </x:c>
      <x:c r="M1623" s="10" t="n">
        <x:v>1</x:v>
      </x:c>
      <x:c r="N1623" s="10" t="n">
        <x:v>1</x:v>
      </x:c>
      <x:c r="O1623" s="2" t="str">
        <x:v>Tp Hồ Chí Minh|house</x:v>
      </x:c>
      <x:c r="P1623" s="10" t="n">
        <x:v>-1</x:v>
      </x:c>
      <x:c r="Q1623" s="13" t="n">
        <x:f>IF(H1623="","",H1623/1000000000)</x:f>
        <x:v>7</x:v>
      </x:c>
      <x:c r="R1623" s="13" t="n">
        <x:f>IF(I1623="","",I1623/1000000)</x:f>
        <x:v>233.33333333333334</x:v>
      </x:c>
    </x:row>
    <x:row r="1624" ht="21" customHeight="1">
      <x:c r="A1624" s="10" t="n">
        <x:v>2479</x:v>
      </x:c>
      <x:c r="B1624" s="2" t="str">
        <x:v>f7fff2777725f3ed5f25</x:v>
      </x:c>
      <x:c r="C1624" s="2" t="str">
        <x:v>Bình Dương</x:v>
      </x:c>
      <x:c r="D1624" s="2" t="str">
        <x:v>Thị xã Bến Cát</x:v>
      </x:c>
      <x:c r="E1624" s="2" t="str">
        <x:v>land</x:v>
      </x:c>
      <x:c r="F1624" s="2" t="str">
        <x:v>sale_assumed</x:v>
      </x:c>
      <x:c r="G1624" s="11" t="n">
        <x:v>90</x:v>
      </x:c>
      <x:c r="H1624" s="12" t="n">
        <x:v>570000000</x:v>
      </x:c>
      <x:c r="I1624" s="12" t="n">
        <x:v>6333333.333333333</x:v>
      </x:c>
      <x:c r="J1624" s="2" t="str">
        <x:v>total</x:v>
      </x:c>
      <x:c r="K1624" s="2" t="str">
        <x:v>top_level_area</x:v>
      </x:c>
      <x:c r="L1624" s="2" t="str">
        <x:v>property_type_inferred_from_title;transaction_assumed_sale_from_dataset_context</x:v>
      </x:c>
      <x:c r="M1624" s="10" t="n">
        <x:v>0</x:v>
      </x:c>
      <x:c r="N1624" s="10" t="n">
        <x:v>0</x:v>
      </x:c>
      <x:c r="O1624" s="2" t="str">
        <x:v>Bình Dương|land</x:v>
      </x:c>
      <x:c r="P1624" s="10" t="n">
        <x:v>2</x:v>
      </x:c>
      <x:c r="Q1624" s="13" t="n">
        <x:f>IF(H1624="","",H1624/1000000000)</x:f>
        <x:v>0.57</x:v>
      </x:c>
      <x:c r="R1624" s="13" t="n">
        <x:f>IF(I1624="","",I1624/1000000)</x:f>
        <x:v>6.333333333333333</x:v>
      </x:c>
    </x:row>
    <x:row r="1625" ht="21" customHeight="1">
      <x:c r="A1625" s="10" t="n">
        <x:v>2481</x:v>
      </x:c>
      <x:c r="B1625" s="2" t="str">
        <x:v>f5cc04fa499938645145</x:v>
      </x:c>
      <x:c r="C1625" s="2" t="str">
        <x:v>Tp Hồ Chí Minh</x:v>
      </x:c>
      <x:c r="D1625" s="2" t="str">
        <x:v>Quận 9</x:v>
      </x:c>
      <x:c r="E1625" s="2" t="str">
        <x:v>house</x:v>
      </x:c>
      <x:c r="F1625" s="2" t="str">
        <x:v>sale_assumed</x:v>
      </x:c>
      <x:c r="G1625" s="11" t="n">
        <x:v>250</x:v>
      </x:c>
      <x:c r="H1625" s="12" t="n">
        <x:v>6000000000</x:v>
      </x:c>
      <x:c r="I1625" s="12" t="n">
        <x:v>24000000</x:v>
      </x:c>
      <x:c r="J1625" s="2" t="str">
        <x:v>total</x:v>
      </x:c>
      <x:c r="K1625" s="2" t="str">
        <x:v>top_level_area</x:v>
      </x:c>
      <x:c r="L1625" s="2" t="str">
        <x:v>property_type_inferred_from_title;transaction_assumed_sale_from_dataset_context</x:v>
      </x:c>
      <x:c r="M1625" s="10" t="n">
        <x:v>0</x:v>
      </x:c>
      <x:c r="N1625" s="10" t="n">
        <x:v>0</x:v>
      </x:c>
      <x:c r="O1625" s="2" t="str">
        <x:v>Tp Hồ Chí Minh|house</x:v>
      </x:c>
      <x:c r="P1625" s="10" t="n">
        <x:v>2</x:v>
      </x:c>
      <x:c r="Q1625" s="13" t="n">
        <x:f>IF(H1625="","",H1625/1000000000)</x:f>
        <x:v>6</x:v>
      </x:c>
      <x:c r="R1625" s="13" t="n">
        <x:f>IF(I1625="","",I1625/1000000)</x:f>
        <x:v>24</x:v>
      </x:c>
    </x:row>
    <x:row r="1626" ht="21" customHeight="1">
      <x:c r="A1626" s="10" t="n">
        <x:v>2484</x:v>
      </x:c>
      <x:c r="B1626" s="2" t="str">
        <x:v>b5f81d91bd40bcadd45d</x:v>
      </x:c>
      <x:c r="C1626" s="2" t="str">
        <x:v>Tp Hồ Chí Minh</x:v>
      </x:c>
      <x:c r="D1626" s="2" t="str">
        <x:v>Quận 11</x:v>
      </x:c>
      <x:c r="E1626" s="2" t="str">
        <x:v>house</x:v>
      </x:c>
      <x:c r="F1626" s="2" t="str">
        <x:v>sale_assumed</x:v>
      </x:c>
      <x:c r="G1626" s="11" t="n">
        <x:v>29</x:v>
      </x:c>
      <x:c r="H1626" s="12" t="n">
        <x:v>3200000000</x:v>
      </x:c>
      <x:c r="I1626" s="12" t="n">
        <x:v>110344827.5862069</x:v>
      </x:c>
      <x:c r="J1626" s="2" t="str">
        <x:v>total</x:v>
      </x:c>
      <x:c r="K1626" s="2" t="str">
        <x:v>top_level_area</x:v>
      </x:c>
      <x:c r="L1626" s="2" t="str">
        <x:v>property_type_inferred_from_title;transaction_assumed_sale_from_dataset_context</x:v>
      </x:c>
      <x:c r="M1626" s="10" t="n">
        <x:v>0</x:v>
      </x:c>
      <x:c r="N1626" s="10" t="n">
        <x:v>0</x:v>
      </x:c>
      <x:c r="O1626" s="2" t="str">
        <x:v>Tp Hồ Chí Minh|house</x:v>
      </x:c>
      <x:c r="P1626" s="10" t="n">
        <x:v>2</x:v>
      </x:c>
      <x:c r="Q1626" s="13" t="n">
        <x:f>IF(H1626="","",H1626/1000000000)</x:f>
        <x:v>3.2</x:v>
      </x:c>
      <x:c r="R1626" s="13" t="n">
        <x:f>IF(I1626="","",I1626/1000000)</x:f>
        <x:v>110.3448275862069</x:v>
      </x:c>
    </x:row>
    <x:row r="1627" ht="21" customHeight="1">
      <x:c r="A1627" s="10" t="n">
        <x:v>2485</x:v>
      </x:c>
      <x:c r="B1627" s="2" t="str">
        <x:v>720652a76c65e30adc68</x:v>
      </x:c>
      <x:c r="C1627" s="2" t="str">
        <x:v>Tp Hồ Chí Minh</x:v>
      </x:c>
      <x:c r="D1627" s="2" t="str">
        <x:v>Quận 12</x:v>
      </x:c>
      <x:c r="E1627" s="2" t="str">
        <x:v>house</x:v>
      </x:c>
      <x:c r="F1627" s="2" t="str">
        <x:v>sale</x:v>
      </x:c>
      <x:c r="G1627" s="11" t="n">
        <x:v>36</x:v>
      </x:c>
      <x:c r="H1627" s="12" t="n">
        <x:v>830000000</x:v>
      </x:c>
      <x:c r="I1627" s="12" t="n">
        <x:v>23055555.555555556</x:v>
      </x:c>
      <x:c r="J1627" s="2" t="str">
        <x:v>total</x:v>
      </x:c>
      <x:c r="K1627" s="2" t="str">
        <x:v>top_level_area</x:v>
      </x:c>
      <x:c r="L1627" s="2" t="str">
        <x:v>property_type_inferred_from_title</x:v>
      </x:c>
      <x:c r="M1627" s="10" t="n">
        <x:v>0</x:v>
      </x:c>
      <x:c r="N1627" s="10" t="n">
        <x:v>0</x:v>
      </x:c>
      <x:c r="O1627" s="2" t="str">
        <x:v>Tp Hồ Chí Minh|house</x:v>
      </x:c>
      <x:c r="P1627" s="10" t="n">
        <x:v>2</x:v>
      </x:c>
      <x:c r="Q1627" s="13" t="n">
        <x:f>IF(H1627="","",H1627/1000000000)</x:f>
        <x:v>0.83</x:v>
      </x:c>
      <x:c r="R1627" s="13" t="n">
        <x:f>IF(I1627="","",I1627/1000000)</x:f>
        <x:v>23.055555555555557</x:v>
      </x:c>
    </x:row>
    <x:row r="1628" ht="21" customHeight="1">
      <x:c r="A1628" s="10" t="n">
        <x:v>2486</x:v>
      </x:c>
      <x:c r="B1628" s="2" t="str">
        <x:v>4e84d9995dc09561c85b</x:v>
      </x:c>
      <x:c r="C1628" s="2" t="str">
        <x:v>Bình Dương</x:v>
      </x:c>
      <x:c r="D1628" s="2" t="str">
        <x:v>Thị xã Bến Cát</x:v>
      </x:c>
      <x:c r="E1628" s="2" t="str">
        <x:v>house</x:v>
      </x:c>
      <x:c r="F1628" s="2" t="str">
        <x:v>sale_assumed</x:v>
      </x:c>
      <x:c r="G1628" s="11" t="n">
        <x:v>300</x:v>
      </x:c>
      <x:c r="H1628" s="12" t="n">
        <x:v>1200000000</x:v>
      </x:c>
      <x:c r="I1628" s="12" t="n">
        <x:v>4000000</x:v>
      </x:c>
      <x:c r="J1628" s="2" t="str">
        <x:v>total</x:v>
      </x:c>
      <x:c r="K1628" s="2" t="str">
        <x:v>top_level_area</x:v>
      </x:c>
      <x:c r="L1628" s="2" t="str">
        <x:v>property_type_inferred_from_title;transaction_assumed_sale_from_dataset_context</x:v>
      </x:c>
      <x:c r="M1628" s="10" t="n">
        <x:v>0</x:v>
      </x:c>
      <x:c r="N1628" s="10" t="n">
        <x:v>0</x:v>
      </x:c>
      <x:c r="O1628" s="2" t="str">
        <x:v>Bình Dương|house</x:v>
      </x:c>
      <x:c r="P1628" s="10" t="n">
        <x:v>1</x:v>
      </x:c>
      <x:c r="Q1628" s="13" t="n">
        <x:f>IF(H1628="","",H1628/1000000000)</x:f>
        <x:v>1.2</x:v>
      </x:c>
      <x:c r="R1628" s="13" t="n">
        <x:f>IF(I1628="","",I1628/1000000)</x:f>
        <x:v>4</x:v>
      </x:c>
    </x:row>
    <x:row r="1629" ht="21" customHeight="1">
      <x:c r="A1629" s="10" t="n">
        <x:v>2487</x:v>
      </x:c>
      <x:c r="B1629" s="2" t="str">
        <x:v>fc721e6684e45a5a2e2a</x:v>
      </x:c>
      <x:c r="C1629" s="2" t="str">
        <x:v>Tp Hồ Chí Minh</x:v>
      </x:c>
      <x:c r="D1629" s="2" t="str">
        <x:v>Quận 12</x:v>
      </x:c>
      <x:c r="E1629" s="2" t="str">
        <x:v>house</x:v>
      </x:c>
      <x:c r="F1629" s="2" t="str">
        <x:v>sale_assumed</x:v>
      </x:c>
      <x:c r="G1629" s="11" t="n">
        <x:v>80</x:v>
      </x:c>
      <x:c r="H1629" s="12" t="n">
        <x:v>3600000000</x:v>
      </x:c>
      <x:c r="I1629" s="12" t="n">
        <x:v>45000000</x:v>
      </x:c>
      <x:c r="J1629" s="2" t="str">
        <x:v>total</x:v>
      </x:c>
      <x:c r="K1629" s="2" t="str">
        <x:v>top_level_area</x:v>
      </x:c>
      <x:c r="L1629" s="2" t="str">
        <x:v>property_type_inferred_from_title;transaction_assumed_sale_from_dataset_context</x:v>
      </x:c>
      <x:c r="M1629" s="10" t="n">
        <x:v>0</x:v>
      </x:c>
      <x:c r="N1629" s="10" t="n">
        <x:v>0</x:v>
      </x:c>
      <x:c r="O1629" s="2" t="str">
        <x:v>Tp Hồ Chí Minh|house</x:v>
      </x:c>
      <x:c r="P1629" s="10" t="n">
        <x:v>2</x:v>
      </x:c>
      <x:c r="Q1629" s="13" t="n">
        <x:f>IF(H1629="","",H1629/1000000000)</x:f>
        <x:v>3.6</x:v>
      </x:c>
      <x:c r="R1629" s="13" t="n">
        <x:f>IF(I1629="","",I1629/1000000)</x:f>
        <x:v>45</x:v>
      </x:c>
    </x:row>
    <x:row r="1630" ht="21" customHeight="1">
      <x:c r="A1630" s="10" t="n">
        <x:v>2488</x:v>
      </x:c>
      <x:c r="B1630" s="2" t="str">
        <x:v>fd6944336f6bd62d376f</x:v>
      </x:c>
      <x:c r="C1630" s="2" t="str">
        <x:v>Tp Hồ Chí Minh</x:v>
      </x:c>
      <x:c r="D1630" s="2" t="str">
        <x:v>Quận Thủ Đức</x:v>
      </x:c>
      <x:c r="E1630" s="2" t="str">
        <x:v>house</x:v>
      </x:c>
      <x:c r="F1630" s="2" t="str">
        <x:v>sale</x:v>
      </x:c>
      <x:c r="G1630" s="11" t="n">
        <x:v>92</x:v>
      </x:c>
      <x:c r="H1630" s="12" t="n">
        <x:v>4498000000</x:v>
      </x:c>
      <x:c r="I1630" s="12" t="n">
        <x:v>48891304.347826086</x:v>
      </x:c>
      <x:c r="J1630" s="2" t="str">
        <x:v>total</x:v>
      </x:c>
      <x:c r="K1630" s="2" t="str">
        <x:v>top_level_area</x:v>
      </x:c>
      <x:c r="L1630" s="2" t="str">
        <x:v>property_type_inferred_from_title</x:v>
      </x:c>
      <x:c r="M1630" s="10" t="n">
        <x:v>0</x:v>
      </x:c>
      <x:c r="N1630" s="10" t="n">
        <x:v>0</x:v>
      </x:c>
      <x:c r="O1630" s="2" t="str">
        <x:v>Tp Hồ Chí Minh|house</x:v>
      </x:c>
      <x:c r="P1630" s="10" t="n">
        <x:v>2</x:v>
      </x:c>
      <x:c r="Q1630" s="13" t="n">
        <x:f>IF(H1630="","",H1630/1000000000)</x:f>
        <x:v>4.498</x:v>
      </x:c>
      <x:c r="R1630" s="13" t="n">
        <x:f>IF(I1630="","",I1630/1000000)</x:f>
        <x:v>48.891304347826086</x:v>
      </x:c>
    </x:row>
    <x:row r="1631" ht="21" customHeight="1">
      <x:c r="A1631" s="10" t="n">
        <x:v>2489</x:v>
      </x:c>
      <x:c r="B1631" s="2" t="str">
        <x:v>6979a260e65005920759</x:v>
      </x:c>
      <x:c r="C1631" s="2" t="str">
        <x:v>Lâm Đồng</x:v>
      </x:c>
      <x:c r="D1631" s="2" t="str">
        <x:v>Thành phố Bảo Lộc</x:v>
      </x:c>
      <x:c r="E1631" s="2" t="str">
        <x:v>house</x:v>
      </x:c>
      <x:c r="F1631" s="2" t="str">
        <x:v>sale_assumed</x:v>
      </x:c>
      <x:c r="G1631" s="11" t="n">
        <x:v>380</x:v>
      </x:c>
      <x:c r="H1631" s="12" t="n">
        <x:v>1679000000</x:v>
      </x:c>
      <x:c r="I1631" s="12" t="n">
        <x:v>4418421.052631579</x:v>
      </x:c>
      <x:c r="J1631" s="2" t="str">
        <x:v>total</x:v>
      </x:c>
      <x:c r="K1631" s="2" t="str">
        <x:v>top_level_area</x:v>
      </x:c>
      <x:c r="L1631" s="2" t="str">
        <x:v>property_type_inferred_from_title;transaction_assumed_sale_from_dataset_context</x:v>
      </x:c>
      <x:c r="M1631" s="10" t="n">
        <x:v>0</x:v>
      </x:c>
      <x:c r="N1631" s="10" t="n">
        <x:v>0</x:v>
      </x:c>
      <x:c r="O1631" s="2" t="str">
        <x:v>house</x:v>
      </x:c>
      <x:c r="P1631" s="10" t="n">
        <x:v>1</x:v>
      </x:c>
      <x:c r="Q1631" s="13" t="n">
        <x:f>IF(H1631="","",H1631/1000000000)</x:f>
        <x:v>1.679</x:v>
      </x:c>
      <x:c r="R1631" s="13" t="n">
        <x:f>IF(I1631="","",I1631/1000000)</x:f>
        <x:v>4.4184210526315795</x:v>
      </x:c>
    </x:row>
    <x:row r="1632" ht="21" customHeight="1">
      <x:c r="A1632" s="10" t="n">
        <x:v>2490</x:v>
      </x:c>
      <x:c r="B1632" s="2" t="str">
        <x:v>8208f0d26692063f7e06</x:v>
      </x:c>
      <x:c r="C1632" s="2" t="str">
        <x:v>Tp Hồ Chí Minh</x:v>
      </x:c>
      <x:c r="D1632" s="2" t="str">
        <x:v>Quận Thủ Đức</x:v>
      </x:c>
      <x:c r="E1632" s="2" t="str">
        <x:v>house</x:v>
      </x:c>
      <x:c r="F1632" s="2" t="str">
        <x:v>sale</x:v>
      </x:c>
      <x:c r="G1632" s="11" t="n">
        <x:v>62</x:v>
      </x:c>
      <x:c r="H1632" s="12" t="n">
        <x:v>1500000000</x:v>
      </x:c>
      <x:c r="I1632" s="12" t="n">
        <x:v>24193548.387096774</x:v>
      </x:c>
      <x:c r="J1632" s="2" t="str">
        <x:v>total</x:v>
      </x:c>
      <x:c r="K1632" s="2" t="str">
        <x:v>top_level_area</x:v>
      </x:c>
      <x:c r="L1632" s="2" t="str">
        <x:v>property_type_inferred_from_title</x:v>
      </x:c>
      <x:c r="M1632" s="10" t="n">
        <x:v>0</x:v>
      </x:c>
      <x:c r="N1632" s="10" t="n">
        <x:v>0</x:v>
      </x:c>
      <x:c r="O1632" s="2" t="str">
        <x:v>Tp Hồ Chí Minh|house</x:v>
      </x:c>
      <x:c r="P1632" s="10" t="n">
        <x:v>2</x:v>
      </x:c>
      <x:c r="Q1632" s="13" t="n">
        <x:f>IF(H1632="","",H1632/1000000000)</x:f>
        <x:v>1.5</x:v>
      </x:c>
      <x:c r="R1632" s="13" t="n">
        <x:f>IF(I1632="","",I1632/1000000)</x:f>
        <x:v>24.193548387096772</x:v>
      </x:c>
    </x:row>
    <x:row r="1633" ht="21" customHeight="1">
      <x:c r="A1633" s="10" t="n">
        <x:v>2491</x:v>
      </x:c>
      <x:c r="B1633" s="2" t="str">
        <x:v>5096eca917df8714ad3e</x:v>
      </x:c>
      <x:c r="C1633" s="2" t="str">
        <x:v>Tp Hồ Chí Minh</x:v>
      </x:c>
      <x:c r="D1633" s="2" t="str">
        <x:v>Huyện Hóc Môn</x:v>
      </x:c>
      <x:c r="E1633" s="2" t="str">
        <x:v>house</x:v>
      </x:c>
      <x:c r="F1633" s="2" t="str">
        <x:v>sale</x:v>
      </x:c>
      <x:c r="G1633" s="11" t="n">
        <x:v>175</x:v>
      </x:c>
      <x:c r="H1633" s="12" t="n">
        <x:v>7100000000</x:v>
      </x:c>
      <x:c r="I1633" s="12" t="n">
        <x:v>40571428.571428575</x:v>
      </x:c>
      <x:c r="J1633" s="2" t="str">
        <x:v>total</x:v>
      </x:c>
      <x:c r="K1633" s="2" t="str">
        <x:v>top_level_area</x:v>
      </x:c>
      <x:c r="L1633" s="2" t="str">
        <x:v>property_type_inferred_from_title</x:v>
      </x:c>
      <x:c r="M1633" s="10" t="n">
        <x:v>0</x:v>
      </x:c>
      <x:c r="N1633" s="10" t="n">
        <x:v>0</x:v>
      </x:c>
      <x:c r="O1633" s="2" t="str">
        <x:v>Tp Hồ Chí Minh|house</x:v>
      </x:c>
      <x:c r="P1633" s="10" t="n">
        <x:v>2</x:v>
      </x:c>
      <x:c r="Q1633" s="13" t="n">
        <x:f>IF(H1633="","",H1633/1000000000)</x:f>
        <x:v>7.1</x:v>
      </x:c>
      <x:c r="R1633" s="13" t="n">
        <x:f>IF(I1633="","",I1633/1000000)</x:f>
        <x:v>40.57142857142858</x:v>
      </x:c>
    </x:row>
    <x:row r="1634" ht="21" customHeight="1">
      <x:c r="A1634" s="10" t="n">
        <x:v>2492</x:v>
      </x:c>
      <x:c r="B1634" s="2" t="str">
        <x:v>23735ac38ead3ed18cf5</x:v>
      </x:c>
      <x:c r="C1634" s="2" t="str">
        <x:v>Tp Hồ Chí Minh</x:v>
      </x:c>
      <x:c r="D1634" s="2" t="str">
        <x:v>Quận 10</x:v>
      </x:c>
      <x:c r="E1634" s="2" t="str">
        <x:v>house</x:v>
      </x:c>
      <x:c r="F1634" s="2" t="str">
        <x:v>sale</x:v>
      </x:c>
      <x:c r="G1634" s="11" t="n">
        <x:v>80</x:v>
      </x:c>
      <x:c r="H1634" s="12" t="n">
        <x:v>15000000000</x:v>
      </x:c>
      <x:c r="I1634" s="12" t="n">
        <x:v>187500000</x:v>
      </x:c>
      <x:c r="J1634" s="2" t="str">
        <x:v>total</x:v>
      </x:c>
      <x:c r="K1634" s="2" t="str">
        <x:v>top_level_area</x:v>
      </x:c>
      <x:c r="L1634" s="2" t="str">
        <x:v>property_type_inferred_from_title</x:v>
      </x:c>
      <x:c r="M1634" s="10" t="n">
        <x:v>1</x:v>
      </x:c>
      <x:c r="N1634" s="10" t="n">
        <x:v>0</x:v>
      </x:c>
      <x:c r="O1634" s="2" t="str">
        <x:v>Tp Hồ Chí Minh|house</x:v>
      </x:c>
      <x:c r="P1634" s="10" t="n">
        <x:v>2</x:v>
      </x:c>
      <x:c r="Q1634" s="13" t="n">
        <x:f>IF(H1634="","",H1634/1000000000)</x:f>
        <x:v>15</x:v>
      </x:c>
      <x:c r="R1634" s="13" t="n">
        <x:f>IF(I1634="","",I1634/1000000)</x:f>
        <x:v>187.5</x:v>
      </x:c>
    </x:row>
    <x:row r="1635" ht="21" customHeight="1">
      <x:c r="A1635" s="10" t="n">
        <x:v>2495</x:v>
      </x:c>
      <x:c r="B1635" s="2" t="str">
        <x:v>9e9995ff1abb436b7d5b</x:v>
      </x:c>
      <x:c r="C1635" s="2" t="str">
        <x:v>Quảng Nam</x:v>
      </x:c>
      <x:c r="D1635" s="2" t="str">
        <x:v>Thị xã Điện Bàn</x:v>
      </x:c>
      <x:c r="E1635" s="2" t="str">
        <x:v>other_unknown</x:v>
      </x:c>
      <x:c r="F1635" s="2" t="str">
        <x:v>sale_assumed</x:v>
      </x:c>
      <x:c r="G1635" s="11" t="n">
        <x:v>100</x:v>
      </x:c>
      <x:c r="H1635" s="12" t="n">
        <x:v>1423000000</x:v>
      </x:c>
      <x:c r="I1635" s="12" t="n">
        <x:v>14230000</x:v>
      </x:c>
      <x:c r="J1635" s="2" t="str">
        <x:v>total</x:v>
      </x:c>
      <x:c r="K1635" s="2" t="str">
        <x:v>top_level_area</x:v>
      </x:c>
      <x:c r="L1635" s="2" t="str">
        <x:v>property_type_inferred_from_title;transaction_assumed_sale_from_dataset_context;unknown_property_type</x:v>
      </x:c>
      <x:c r="M1635" s="10" t="n">
        <x:v>0</x:v>
      </x:c>
      <x:c r="N1635" s="10" t="n">
        <x:v>0</x:v>
      </x:c>
      <x:c r="O1635" s="2" t="str">
        <x:v>other_unknown</x:v>
      </x:c>
      <x:c r="P1635" s="10" t="n">
        <x:v>2</x:v>
      </x:c>
      <x:c r="Q1635" s="13" t="n">
        <x:f>IF(H1635="","",H1635/1000000000)</x:f>
        <x:v>1.423</x:v>
      </x:c>
      <x:c r="R1635" s="13" t="n">
        <x:f>IF(I1635="","",I1635/1000000)</x:f>
        <x:v>14.23</x:v>
      </x:c>
    </x:row>
    <x:row r="1636" ht="21" customHeight="1">
      <x:c r="A1636" s="10" t="n">
        <x:v>2496</x:v>
      </x:c>
      <x:c r="B1636" s="2" t="str">
        <x:v>dcbd087a407ebebe44be</x:v>
      </x:c>
      <x:c r="C1636" s="2" t="str">
        <x:v>Đà Nẵng</x:v>
      </x:c>
      <x:c r="D1636" s="2" t="str">
        <x:v>Quận Liên Chiểu</x:v>
      </x:c>
      <x:c r="E1636" s="2" t="str">
        <x:v>house</x:v>
      </x:c>
      <x:c r="F1636" s="2" t="str">
        <x:v>sale_assumed</x:v>
      </x:c>
      <x:c r="G1636" s="11" t="n">
        <x:v>67</x:v>
      </x:c>
      <x:c r="H1636" s="12" t="n">
        <x:v>3150000000</x:v>
      </x:c>
      <x:c r="I1636" s="12" t="n">
        <x:v>47014925.37313433</x:v>
      </x:c>
      <x:c r="J1636" s="2" t="str">
        <x:v>total</x:v>
      </x:c>
      <x:c r="K1636" s="2" t="str">
        <x:v>top_level_area</x:v>
      </x:c>
      <x:c r="L1636" s="2" t="str">
        <x:v>property_type_inferred_from_title;transaction_assumed_sale_from_dataset_context</x:v>
      </x:c>
      <x:c r="M1636" s="10" t="n">
        <x:v>0</x:v>
      </x:c>
      <x:c r="N1636" s="10" t="n">
        <x:v>0</x:v>
      </x:c>
      <x:c r="O1636" s="2" t="str">
        <x:v>Đà Nẵng|house</x:v>
      </x:c>
      <x:c r="P1636" s="10" t="n">
        <x:v>2</x:v>
      </x:c>
      <x:c r="Q1636" s="13" t="n">
        <x:f>IF(H1636="","",H1636/1000000000)</x:f>
        <x:v>3.15</x:v>
      </x:c>
      <x:c r="R1636" s="13" t="n">
        <x:f>IF(I1636="","",I1636/1000000)</x:f>
        <x:v>47.01492537313433</x:v>
      </x:c>
    </x:row>
    <x:row r="1637" ht="21" customHeight="1">
      <x:c r="A1637" s="10" t="n">
        <x:v>2497</x:v>
      </x:c>
      <x:c r="B1637" s="2" t="str">
        <x:v>2dc21603be7ed6693c55</x:v>
      </x:c>
      <x:c r="C1637" s="2" t="str">
        <x:v>Đà Nẵng</x:v>
      </x:c>
      <x:c r="D1637" s="2" t="str">
        <x:v>Quận Thanh Khê</x:v>
      </x:c>
      <x:c r="E1637" s="2" t="str">
        <x:v>house</x:v>
      </x:c>
      <x:c r="F1637" s="2" t="str">
        <x:v>sale</x:v>
      </x:c>
      <x:c r="G1637" s="11" t="n">
        <x:v>60</x:v>
      </x:c>
      <x:c r="H1637" s="12" t="n">
        <x:v>5500000000</x:v>
      </x:c>
      <x:c r="I1637" s="12" t="n">
        <x:v>91666666.66666667</x:v>
      </x:c>
      <x:c r="J1637" s="2" t="str">
        <x:v>total</x:v>
      </x:c>
      <x:c r="K1637" s="2" t="str">
        <x:v>top_level_area</x:v>
      </x:c>
      <x:c r="L1637" s="2" t="str">
        <x:v>property_type_inferred_from_title</x:v>
      </x:c>
      <x:c r="M1637" s="10" t="n">
        <x:v>0</x:v>
      </x:c>
      <x:c r="N1637" s="10" t="n">
        <x:v>0</x:v>
      </x:c>
      <x:c r="O1637" s="2" t="str">
        <x:v>Đà Nẵng|house</x:v>
      </x:c>
      <x:c r="P1637" s="10" t="n">
        <x:v>2</x:v>
      </x:c>
      <x:c r="Q1637" s="13" t="n">
        <x:f>IF(H1637="","",H1637/1000000000)</x:f>
        <x:v>5.5</x:v>
      </x:c>
      <x:c r="R1637" s="13" t="n">
        <x:f>IF(I1637="","",I1637/1000000)</x:f>
        <x:v>91.66666666666667</x:v>
      </x:c>
    </x:row>
    <x:row r="1638" ht="21" customHeight="1">
      <x:c r="A1638" s="10" t="n">
        <x:v>2498</x:v>
      </x:c>
      <x:c r="B1638" s="2" t="str">
        <x:v>81d2dae1023f1d71c01e</x:v>
      </x:c>
      <x:c r="C1638" s="2" t="str">
        <x:v>Tp Hồ Chí Minh</x:v>
      </x:c>
      <x:c r="D1638" s="2" t="str">
        <x:v>Quận Gò Vấp</x:v>
      </x:c>
      <x:c r="E1638" s="2" t="str">
        <x:v>other_unknown</x:v>
      </x:c>
      <x:c r="F1638" s="2" t="str">
        <x:v>sale_assumed</x:v>
      </x:c>
      <x:c r="G1638" s="11" t="n">
        <x:v>32</x:v>
      </x:c>
      <x:c r="H1638" s="12" t="n">
        <x:v>3390000000</x:v>
      </x:c>
      <x:c r="I1638" s="12" t="n">
        <x:v>105937500</x:v>
      </x:c>
      <x:c r="J1638" s="2" t="str">
        <x:v>total</x:v>
      </x:c>
      <x:c r="K1638" s="2" t="str">
        <x:v>top_level_area</x:v>
      </x:c>
      <x:c r="L1638" s="2" t="str">
        <x:v>property_type_inferred_from_title;transaction_assumed_sale_from_dataset_context;unknown_property_type</x:v>
      </x:c>
      <x:c r="M1638" s="10" t="n">
        <x:v>0</x:v>
      </x:c>
      <x:c r="N1638" s="10" t="n">
        <x:v>0</x:v>
      </x:c>
      <x:c r="O1638" s="2" t="str">
        <x:v>Tp Hồ Chí Minh|other_unknown</x:v>
      </x:c>
      <x:c r="P1638" s="10" t="n">
        <x:v>2</x:v>
      </x:c>
      <x:c r="Q1638" s="13" t="n">
        <x:f>IF(H1638="","",H1638/1000000000)</x:f>
        <x:v>3.39</x:v>
      </x:c>
      <x:c r="R1638" s="13" t="n">
        <x:f>IF(I1638="","",I1638/1000000)</x:f>
        <x:v>105.9375</x:v>
      </x:c>
    </x:row>
    <x:row r="1639" ht="21" customHeight="1">
      <x:c r="A1639" s="10" t="n">
        <x:v>2499</x:v>
      </x:c>
      <x:c r="B1639" s="2" t="str">
        <x:v>2ccdc709a0068d4a53c9</x:v>
      </x:c>
      <x:c r="C1639" s="2" t="str">
        <x:v>Bình Dương</x:v>
      </x:c>
      <x:c r="D1639" s="2" t="str">
        <x:v>Thị xã Dĩ An</x:v>
      </x:c>
      <x:c r="E1639" s="2" t="str">
        <x:v>land</x:v>
      </x:c>
      <x:c r="F1639" s="2" t="str">
        <x:v>sale_assumed</x:v>
      </x:c>
      <x:c r="G1639" s="11" t="n">
        <x:v>100</x:v>
      </x:c>
      <x:c r="H1639" s="12" t="n">
        <x:v>3750000000</x:v>
      </x:c>
      <x:c r="I1639" s="12" t="n">
        <x:v>37500000</x:v>
      </x:c>
      <x:c r="J1639" s="2" t="str">
        <x:v>total</x:v>
      </x:c>
      <x:c r="K1639" s="2" t="str">
        <x:v>top_level_price_embedded_area</x:v>
      </x:c>
      <x:c r="L1639" s="2" t="str">
        <x:v>area_recovered_from_price_text;property_type_inferred_from_title;transaction_assumed_sale_from_dataset_context</x:v>
      </x:c>
      <x:c r="M1639" s="10" t="n">
        <x:v>0</x:v>
      </x:c>
      <x:c r="N1639" s="10" t="n">
        <x:v>1</x:v>
      </x:c>
      <x:c r="O1639" s="2" t="str">
        <x:v>Bình Dương|land</x:v>
      </x:c>
      <x:c r="P1639" s="10" t="n">
        <x:v>-1</x:v>
      </x:c>
      <x:c r="Q1639" s="13" t="n">
        <x:f>IF(H1639="","",H1639/1000000000)</x:f>
        <x:v>3.75</x:v>
      </x:c>
      <x:c r="R1639" s="13" t="n">
        <x:f>IF(I1639="","",I1639/1000000)</x:f>
        <x:v>37.5</x:v>
      </x:c>
    </x:row>
    <x:row r="1640" ht="21" customHeight="1">
      <x:c r="A1640" s="10" t="n">
        <x:v>2500</x:v>
      </x:c>
      <x:c r="B1640" s="2" t="str">
        <x:v>c0d3123ffbf1162f1d3b</x:v>
      </x:c>
      <x:c r="C1640" s="2" t="str">
        <x:v>Tp Hồ Chí Minh</x:v>
      </x:c>
      <x:c r="D1640" s="2" t="str">
        <x:v>Quận 12</x:v>
      </x:c>
      <x:c r="E1640" s="2" t="str">
        <x:v>house</x:v>
      </x:c>
      <x:c r="F1640" s="2" t="str">
        <x:v>sale_assumed</x:v>
      </x:c>
      <x:c r="G1640" s="11" t="n">
        <x:v>45</x:v>
      </x:c>
      <x:c r="H1640" s="12" t="n">
        <x:v>2780000000</x:v>
      </x:c>
      <x:c r="I1640" s="12" t="n">
        <x:v>61777777.777777776</x:v>
      </x:c>
      <x:c r="J1640" s="2" t="str">
        <x:v>total</x:v>
      </x:c>
      <x:c r="K1640" s="2" t="str">
        <x:v>top_level_area</x:v>
      </x:c>
      <x:c r="L1640" s="2" t="str">
        <x:v>property_type_inferred_from_title;transaction_assumed_sale_from_dataset_context</x:v>
      </x:c>
      <x:c r="M1640" s="10" t="n">
        <x:v>0</x:v>
      </x:c>
      <x:c r="N1640" s="10" t="n">
        <x:v>0</x:v>
      </x:c>
      <x:c r="O1640" s="2" t="str">
        <x:v>Tp Hồ Chí Minh|house</x:v>
      </x:c>
      <x:c r="P1640" s="10" t="n">
        <x:v>2</x:v>
      </x:c>
      <x:c r="Q1640" s="13" t="n">
        <x:f>IF(H1640="","",H1640/1000000000)</x:f>
        <x:v>2.78</x:v>
      </x:c>
      <x:c r="R1640" s="13" t="n">
        <x:f>IF(I1640="","",I1640/1000000)</x:f>
        <x:v>61.77777777777778</x:v>
      </x:c>
    </x:row>
    <x:row r="1641" ht="21" customHeight="1">
      <x:c r="A1641" s="10" t="n">
        <x:v>2501</x:v>
      </x:c>
      <x:c r="B1641" s="2" t="str">
        <x:v>601715dfe7f5a8ba2f7e</x:v>
      </x:c>
      <x:c r="C1641" s="2" t="str">
        <x:v>Tp Hồ Chí Minh</x:v>
      </x:c>
      <x:c r="D1641" s="2" t="str">
        <x:v>Huyện Củ Chi</x:v>
      </x:c>
      <x:c r="E1641" s="2" t="str">
        <x:v>house</x:v>
      </x:c>
      <x:c r="F1641" s="2" t="str">
        <x:v>sale</x:v>
      </x:c>
      <x:c r="G1641" s="11" t="n">
        <x:v>64</x:v>
      </x:c>
      <x:c r="H1641" s="12" t="n">
        <x:v>1200000000</x:v>
      </x:c>
      <x:c r="I1641" s="12" t="n">
        <x:v>18750000</x:v>
      </x:c>
      <x:c r="J1641" s="2" t="str">
        <x:v>total</x:v>
      </x:c>
      <x:c r="K1641" s="2" t="str">
        <x:v>top_level_area</x:v>
      </x:c>
      <x:c r="L1641" s="2" t="str">
        <x:v>property_type_inferred_from_title</x:v>
      </x:c>
      <x:c r="M1641" s="10" t="n">
        <x:v>0</x:v>
      </x:c>
      <x:c r="N1641" s="10" t="n">
        <x:v>0</x:v>
      </x:c>
      <x:c r="O1641" s="2" t="str">
        <x:v>Tp Hồ Chí Minh|house</x:v>
      </x:c>
      <x:c r="P1641" s="10" t="n">
        <x:v>2</x:v>
      </x:c>
      <x:c r="Q1641" s="13" t="n">
        <x:f>IF(H1641="","",H1641/1000000000)</x:f>
        <x:v>1.2</x:v>
      </x:c>
      <x:c r="R1641" s="13" t="n">
        <x:f>IF(I1641="","",I1641/1000000)</x:f>
        <x:v>18.75</x:v>
      </x:c>
    </x:row>
    <x:row r="1642" ht="21" customHeight="1">
      <x:c r="A1642" s="10" t="n">
        <x:v>2502</x:v>
      </x:c>
      <x:c r="B1642" s="2" t="str">
        <x:v>aa684ad2de6c2b903142</x:v>
      </x:c>
      <x:c r="C1642" s="2" t="str">
        <x:v>Lâm Đồng</x:v>
      </x:c>
      <x:c r="D1642" s="2" t="str">
        <x:v>Thành phố Bảo Lộc</x:v>
      </x:c>
      <x:c r="E1642" s="2" t="str">
        <x:v>land</x:v>
      </x:c>
      <x:c r="F1642" s="2" t="str">
        <x:v>sale</x:v>
      </x:c>
      <x:c r="G1642" s="11" t="n">
        <x:v>140</x:v>
      </x:c>
      <x:c r="H1642" s="12" t="n">
        <x:v>800000000</x:v>
      </x:c>
      <x:c r="I1642" s="12" t="n">
        <x:v>5714285.714285715</x:v>
      </x:c>
      <x:c r="J1642" s="2" t="str">
        <x:v>total</x:v>
      </x:c>
      <x:c r="K1642" s="2" t="str">
        <x:v>top_level_area</x:v>
      </x:c>
      <x:c r="L1642" s="2" t="str">
        <x:v>property_type_inferred_from_title</x:v>
      </x:c>
      <x:c r="M1642" s="10" t="n">
        <x:v>0</x:v>
      </x:c>
      <x:c r="N1642" s="10" t="n">
        <x:v>0</x:v>
      </x:c>
      <x:c r="O1642" s="2" t="str">
        <x:v>Lâm Đồng|land</x:v>
      </x:c>
      <x:c r="P1642" s="10" t="n">
        <x:v>2</x:v>
      </x:c>
      <x:c r="Q1642" s="13" t="n">
        <x:f>IF(H1642="","",H1642/1000000000)</x:f>
        <x:v>0.8</x:v>
      </x:c>
      <x:c r="R1642" s="13" t="n">
        <x:f>IF(I1642="","",I1642/1000000)</x:f>
        <x:v>5.714285714285714</x:v>
      </x:c>
    </x:row>
    <x:row r="1643" ht="21" customHeight="1">
      <x:c r="A1643" s="10" t="n">
        <x:v>2503</x:v>
      </x:c>
      <x:c r="B1643" s="2" t="str">
        <x:v>2a15ba7632b8e7e94c44</x:v>
      </x:c>
      <x:c r="C1643" s="2" t="str">
        <x:v>Lâm Đồng</x:v>
      </x:c>
      <x:c r="D1643" s="2" t="str">
        <x:v>Thành phố Bảo Lộc</x:v>
      </x:c>
      <x:c r="E1643" s="2" t="str">
        <x:v>land</x:v>
      </x:c>
      <x:c r="F1643" s="2" t="str">
        <x:v>sale</x:v>
      </x:c>
      <x:c r="G1643" s="11" t="n">
        <x:v>1621</x:v>
      </x:c>
      <x:c r="H1643" s="12" t="n">
        <x:v>700000000</x:v>
      </x:c>
      <x:c r="I1643" s="12" t="n">
        <x:v>431832.20234423195</x:v>
      </x:c>
      <x:c r="J1643" s="2" t="str">
        <x:v>total</x:v>
      </x:c>
      <x:c r="K1643" s="2" t="str">
        <x:v>top_level_area</x:v>
      </x:c>
      <x:c r="L1643" s="2" t="str">
        <x:v>dot_thousands_convention;property_type_inferred_from_title</x:v>
      </x:c>
      <x:c r="M1643" s="10" t="n">
        <x:v>0</x:v>
      </x:c>
      <x:c r="N1643" s="10" t="n">
        <x:v>0</x:v>
      </x:c>
      <x:c r="O1643" s="2" t="str">
        <x:v>Lâm Đồng|land</x:v>
      </x:c>
      <x:c r="P1643" s="10" t="n">
        <x:v>1</x:v>
      </x:c>
      <x:c r="Q1643" s="13" t="n">
        <x:f>IF(H1643="","",H1643/1000000000)</x:f>
        <x:v>0.7</x:v>
      </x:c>
      <x:c r="R1643" s="13" t="n">
        <x:f>IF(I1643="","",I1643/1000000)</x:f>
        <x:v>0.431832202344232</x:v>
      </x:c>
    </x:row>
    <x:row r="1644" ht="21" customHeight="1">
      <x:c r="A1644" s="10" t="n">
        <x:v>2504</x:v>
      </x:c>
      <x:c r="B1644" s="2" t="str">
        <x:v>585768674c42644dcfd9</x:v>
      </x:c>
      <x:c r="C1644" s="2" t="str">
        <x:v>Tp Hồ Chí Minh</x:v>
      </x:c>
      <x:c r="D1644" s="2" t="str">
        <x:v>Quận 9</x:v>
      </x:c>
      <x:c r="E1644" s="2" t="str">
        <x:v>land</x:v>
      </x:c>
      <x:c r="F1644" s="2" t="str">
        <x:v>sale</x:v>
      </x:c>
      <x:c r="G1644" s="11" t="n">
        <x:v>55</x:v>
      </x:c>
      <x:c r="H1644" s="12" t="n">
        <x:v>836000000</x:v>
      </x:c>
      <x:c r="I1644" s="12" t="n">
        <x:v>15200000</x:v>
      </x:c>
      <x:c r="J1644" s="2" t="str">
        <x:v>total</x:v>
      </x:c>
      <x:c r="K1644" s="2" t="str">
        <x:v>top_level_area</x:v>
      </x:c>
      <x:c r="L1644" s="2" t="str">
        <x:v>property_type_inferred_from_title</x:v>
      </x:c>
      <x:c r="M1644" s="10" t="n">
        <x:v>0</x:v>
      </x:c>
      <x:c r="N1644" s="10" t="n">
        <x:v>0</x:v>
      </x:c>
      <x:c r="O1644" s="2" t="str">
        <x:v>Tp Hồ Chí Minh|land</x:v>
      </x:c>
      <x:c r="P1644" s="10" t="n">
        <x:v>2</x:v>
      </x:c>
      <x:c r="Q1644" s="13" t="n">
        <x:f>IF(H1644="","",H1644/1000000000)</x:f>
        <x:v>0.836</x:v>
      </x:c>
      <x:c r="R1644" s="13" t="n">
        <x:f>IF(I1644="","",I1644/1000000)</x:f>
        <x:v>15.2</x:v>
      </x:c>
    </x:row>
    <x:row r="1645" ht="21" customHeight="1">
      <x:c r="A1645" s="10" t="n">
        <x:v>2505</x:v>
      </x:c>
      <x:c r="B1645" s="2" t="str">
        <x:v>5df68a0ca096953e9b3e</x:v>
      </x:c>
      <x:c r="C1645" s="2" t="str">
        <x:v>Tp Hồ Chí Minh</x:v>
      </x:c>
      <x:c r="D1645" s="2" t="str">
        <x:v>Quận 9</x:v>
      </x:c>
      <x:c r="E1645" s="2" t="str">
        <x:v>land</x:v>
      </x:c>
      <x:c r="F1645" s="2" t="str">
        <x:v>sale</x:v>
      </x:c>
      <x:c r="G1645" s="11" t="n">
        <x:v>50.1</x:v>
      </x:c>
      <x:c r="H1645" s="12" t="n">
        <x:v>2400000000</x:v>
      </x:c>
      <x:c r="I1645" s="12" t="n">
        <x:v>47904191.61676647</x:v>
      </x:c>
      <x:c r="J1645" s="2" t="str">
        <x:v>total</x:v>
      </x:c>
      <x:c r="K1645" s="2" t="str">
        <x:v>top_level_area</x:v>
      </x:c>
      <x:c r="L1645" s="2" t="str">
        <x:v>property_type_inferred_from_title</x:v>
      </x:c>
      <x:c r="M1645" s="10" t="n">
        <x:v>0</x:v>
      </x:c>
      <x:c r="N1645" s="10" t="n">
        <x:v>0</x:v>
      </x:c>
      <x:c r="O1645" s="2" t="str">
        <x:v>Tp Hồ Chí Minh|land</x:v>
      </x:c>
      <x:c r="P1645" s="10" t="n">
        <x:v>2</x:v>
      </x:c>
      <x:c r="Q1645" s="13" t="n">
        <x:f>IF(H1645="","",H1645/1000000000)</x:f>
        <x:v>2.4</x:v>
      </x:c>
      <x:c r="R1645" s="13" t="n">
        <x:f>IF(I1645="","",I1645/1000000)</x:f>
        <x:v>47.90419161676647</x:v>
      </x:c>
    </x:row>
    <x:row r="1646" ht="21" customHeight="1">
      <x:c r="A1646" s="10" t="n">
        <x:v>2506</x:v>
      </x:c>
      <x:c r="B1646" s="2" t="str">
        <x:v>cf3271897577551826d5</x:v>
      </x:c>
      <x:c r="C1646" s="2" t="str">
        <x:v>Tp Hồ Chí Minh</x:v>
      </x:c>
      <x:c r="D1646" s="2" t="str">
        <x:v>Huyện Bình Chánh</x:v>
      </x:c>
      <x:c r="E1646" s="2" t="str">
        <x:v>house</x:v>
      </x:c>
      <x:c r="F1646" s="2" t="str">
        <x:v>sale</x:v>
      </x:c>
      <x:c r="G1646" s="11" t="n">
        <x:v>80</x:v>
      </x:c>
      <x:c r="H1646" s="12" t="n">
        <x:v>2000000000</x:v>
      </x:c>
      <x:c r="I1646" s="12" t="n">
        <x:v>25000000</x:v>
      </x:c>
      <x:c r="J1646" s="2" t="str">
        <x:v>total</x:v>
      </x:c>
      <x:c r="K1646" s="2" t="str">
        <x:v>top_level_area</x:v>
      </x:c>
      <x:c r="L1646" s="2" t="str">
        <x:v>property_type_inferred_from_title</x:v>
      </x:c>
      <x:c r="M1646" s="10" t="n">
        <x:v>0</x:v>
      </x:c>
      <x:c r="N1646" s="10" t="n">
        <x:v>0</x:v>
      </x:c>
      <x:c r="O1646" s="2" t="str">
        <x:v>Tp Hồ Chí Minh|house</x:v>
      </x:c>
      <x:c r="P1646" s="10" t="n">
        <x:v>2</x:v>
      </x:c>
      <x:c r="Q1646" s="13" t="n">
        <x:f>IF(H1646="","",H1646/1000000000)</x:f>
        <x:v>2</x:v>
      </x:c>
      <x:c r="R1646" s="13" t="n">
        <x:f>IF(I1646="","",I1646/1000000)</x:f>
        <x:v>25</x:v>
      </x:c>
    </x:row>
    <x:row r="1647" ht="21" customHeight="1">
      <x:c r="A1647" s="10" t="n">
        <x:v>2507</x:v>
      </x:c>
      <x:c r="B1647" s="2" t="str">
        <x:v>905aad678354f9d69614</x:v>
      </x:c>
      <x:c r="C1647" s="2" t="str">
        <x:v>Đắk Lắk</x:v>
      </x:c>
      <x:c r="D1647" s="2" t="str">
        <x:v>Thành phố Buôn Ma Thuột</x:v>
      </x:c>
      <x:c r="E1647" s="2" t="str">
        <x:v>house</x:v>
      </x:c>
      <x:c r="F1647" s="2" t="str">
        <x:v>sale</x:v>
      </x:c>
      <x:c r="G1647" s="11" t="n">
        <x:v>450</x:v>
      </x:c>
      <x:c r="H1647" s="12" t="n">
        <x:v>1360000000</x:v>
      </x:c>
      <x:c r="I1647" s="12" t="n">
        <x:v>3022222.222222222</x:v>
      </x:c>
      <x:c r="J1647" s="2" t="str">
        <x:v>total</x:v>
      </x:c>
      <x:c r="K1647" s="2" t="str">
        <x:v>top_level_area</x:v>
      </x:c>
      <x:c r="L1647" s="2" t="str">
        <x:v>property_type_inferred_from_title</x:v>
      </x:c>
      <x:c r="M1647" s="10" t="n">
        <x:v>0</x:v>
      </x:c>
      <x:c r="N1647" s="10" t="n">
        <x:v>0</x:v>
      </x:c>
      <x:c r="O1647" s="2" t="str">
        <x:v>Đắk Lắk|house</x:v>
      </x:c>
      <x:c r="P1647" s="10" t="n">
        <x:v>1</x:v>
      </x:c>
      <x:c r="Q1647" s="13" t="n">
        <x:f>IF(H1647="","",H1647/1000000000)</x:f>
        <x:v>1.36</x:v>
      </x:c>
      <x:c r="R1647" s="13" t="n">
        <x:f>IF(I1647="","",I1647/1000000)</x:f>
        <x:v>3.022222222222222</x:v>
      </x:c>
    </x:row>
    <x:row r="1648" ht="21" customHeight="1">
      <x:c r="A1648" s="10" t="n">
        <x:v>2508</x:v>
      </x:c>
      <x:c r="B1648" s="2" t="str">
        <x:v>73e6678a59baa7326f22</x:v>
      </x:c>
      <x:c r="C1648" s="2" t="str">
        <x:v>Tp Hồ Chí Minh</x:v>
      </x:c>
      <x:c r="D1648" s="2" t="str">
        <x:v>Quận Tân Phú</x:v>
      </x:c>
      <x:c r="E1648" s="2" t="str">
        <x:v>other_unknown</x:v>
      </x:c>
      <x:c r="F1648" s="2" t="str">
        <x:v>sale_assumed</x:v>
      </x:c>
      <x:c r="G1648" s="11" t="n">
        <x:v>56</x:v>
      </x:c>
      <x:c r="H1648" s="12" t="n">
        <x:v>4600000000</x:v>
      </x:c>
      <x:c r="I1648" s="12" t="n">
        <x:v>82142857.14285715</x:v>
      </x:c>
      <x:c r="J1648" s="2" t="str">
        <x:v>total</x:v>
      </x:c>
      <x:c r="K1648" s="2" t="str">
        <x:v>top_level_area</x:v>
      </x:c>
      <x:c r="L1648" s="2" t="str">
        <x:v>property_type_inferred_from_title;transaction_assumed_sale_from_dataset_context;unknown_property_type</x:v>
      </x:c>
      <x:c r="M1648" s="10" t="n">
        <x:v>0</x:v>
      </x:c>
      <x:c r="N1648" s="10" t="n">
        <x:v>0</x:v>
      </x:c>
      <x:c r="O1648" s="2" t="str">
        <x:v>Tp Hồ Chí Minh|other_unknown</x:v>
      </x:c>
      <x:c r="P1648" s="10" t="n">
        <x:v>2</x:v>
      </x:c>
      <x:c r="Q1648" s="13" t="n">
        <x:f>IF(H1648="","",H1648/1000000000)</x:f>
        <x:v>4.6</x:v>
      </x:c>
      <x:c r="R1648" s="13" t="n">
        <x:f>IF(I1648="","",I1648/1000000)</x:f>
        <x:v>82.14285714285715</x:v>
      </x:c>
    </x:row>
    <x:row r="1649" ht="21" customHeight="1">
      <x:c r="A1649" s="10" t="n">
        <x:v>2509</x:v>
      </x:c>
      <x:c r="B1649" s="2" t="str">
        <x:v>dfb4b50c668526d355a8</x:v>
      </x:c>
      <x:c r="C1649" s="2" t="str">
        <x:v>Tây Ninh</x:v>
      </x:c>
      <x:c r="D1649" s="2" t="str">
        <x:v>Huyện Trảng Bàng</x:v>
      </x:c>
      <x:c r="E1649" s="2" t="str">
        <x:v>land</x:v>
      </x:c>
      <x:c r="F1649" s="2" t="str">
        <x:v>sale_assumed</x:v>
      </x:c>
      <x:c r="G1649" s="11" t="n">
        <x:v>205</x:v>
      </x:c>
      <x:c r="H1649" s="12" t="n">
        <x:v>700000000</x:v>
      </x:c>
      <x:c r="I1649" s="12" t="n">
        <x:v>3414634.1463414636</x:v>
      </x:c>
      <x:c r="J1649" s="2" t="str">
        <x:v>total</x:v>
      </x:c>
      <x:c r="K1649" s="2" t="str">
        <x:v>top_level_area</x:v>
      </x:c>
      <x:c r="L1649" s="2" t="str">
        <x:v>property_type_inferred_from_title;transaction_assumed_sale_from_dataset_context</x:v>
      </x:c>
      <x:c r="M1649" s="10" t="n">
        <x:v>0</x:v>
      </x:c>
      <x:c r="N1649" s="10" t="n">
        <x:v>0</x:v>
      </x:c>
      <x:c r="O1649" s="2" t="str">
        <x:v>land</x:v>
      </x:c>
      <x:c r="P1649" s="10" t="n">
        <x:v>1</x:v>
      </x:c>
      <x:c r="Q1649" s="13" t="n">
        <x:f>IF(H1649="","",H1649/1000000000)</x:f>
        <x:v>0.7</x:v>
      </x:c>
      <x:c r="R1649" s="13" t="n">
        <x:f>IF(I1649="","",I1649/1000000)</x:f>
        <x:v>3.4146341463414633</x:v>
      </x:c>
    </x:row>
    <x:row r="1650" ht="21" customHeight="1">
      <x:c r="A1650" s="10" t="n">
        <x:v>2510</x:v>
      </x:c>
      <x:c r="B1650" s="2" t="str">
        <x:v>a4fd5016971ea01caf3b</x:v>
      </x:c>
      <x:c r="C1650" s="2" t="str">
        <x:v>Tp Hồ Chí Minh</x:v>
      </x:c>
      <x:c r="D1650" s="2" t="str">
        <x:v>Quận Thủ Đức</x:v>
      </x:c>
      <x:c r="E1650" s="2" t="str">
        <x:v>house</x:v>
      </x:c>
      <x:c r="F1650" s="2" t="str">
        <x:v>sale</x:v>
      </x:c>
      <x:c r="G1650" s="11" t="n">
        <x:v>60</x:v>
      </x:c>
      <x:c r="H1650" s="12" t="n">
        <x:v>1900000000</x:v>
      </x:c>
      <x:c r="I1650" s="12" t="n">
        <x:v>31666666.666666668</x:v>
      </x:c>
      <x:c r="J1650" s="2" t="str">
        <x:v>total</x:v>
      </x:c>
      <x:c r="K1650" s="2" t="str">
        <x:v>top_level_area</x:v>
      </x:c>
      <x:c r="L1650" s="2" t="str">
        <x:v>property_type_inferred_from_title</x:v>
      </x:c>
      <x:c r="M1650" s="10" t="n">
        <x:v>0</x:v>
      </x:c>
      <x:c r="N1650" s="10" t="n">
        <x:v>0</x:v>
      </x:c>
      <x:c r="O1650" s="2" t="str">
        <x:v>Tp Hồ Chí Minh|house</x:v>
      </x:c>
      <x:c r="P1650" s="10" t="n">
        <x:v>2</x:v>
      </x:c>
      <x:c r="Q1650" s="13" t="n">
        <x:f>IF(H1650="","",H1650/1000000000)</x:f>
        <x:v>1.9</x:v>
      </x:c>
      <x:c r="R1650" s="13" t="n">
        <x:f>IF(I1650="","",I1650/1000000)</x:f>
        <x:v>31.666666666666668</x:v>
      </x:c>
    </x:row>
    <x:row r="1651" ht="21" customHeight="1">
      <x:c r="A1651" s="10" t="n">
        <x:v>2511</x:v>
      </x:c>
      <x:c r="B1651" s="2" t="str">
        <x:v>95d1aeabf4568c75c21c</x:v>
      </x:c>
      <x:c r="C1651" s="2" t="str">
        <x:v>Tp Hồ Chí Minh</x:v>
      </x:c>
      <x:c r="D1651" s="2" t="str">
        <x:v>Quận Thủ Đức</x:v>
      </x:c>
      <x:c r="E1651" s="2" t="str">
        <x:v>land</x:v>
      </x:c>
      <x:c r="F1651" s="2" t="str">
        <x:v>sale</x:v>
      </x:c>
      <x:c r="G1651" s="11" t="n">
        <x:v>90</x:v>
      </x:c>
      <x:c r="H1651" s="12" t="n">
        <x:v>5300000000</x:v>
      </x:c>
      <x:c r="I1651" s="12" t="n">
        <x:v>58888888.88888889</x:v>
      </x:c>
      <x:c r="J1651" s="2" t="str">
        <x:v>total</x:v>
      </x:c>
      <x:c r="K1651" s="2" t="str">
        <x:v>top_level_area</x:v>
      </x:c>
      <x:c r="L1651" s="2" t="str">
        <x:v>property_type_inferred_from_title</x:v>
      </x:c>
      <x:c r="M1651" s="10" t="n">
        <x:v>0</x:v>
      </x:c>
      <x:c r="N1651" s="10" t="n">
        <x:v>0</x:v>
      </x:c>
      <x:c r="O1651" s="2" t="str">
        <x:v>Tp Hồ Chí Minh|land</x:v>
      </x:c>
      <x:c r="P1651" s="10" t="n">
        <x:v>2</x:v>
      </x:c>
      <x:c r="Q1651" s="13" t="n">
        <x:f>IF(H1651="","",H1651/1000000000)</x:f>
        <x:v>5.3</x:v>
      </x:c>
      <x:c r="R1651" s="13" t="n">
        <x:f>IF(I1651="","",I1651/1000000)</x:f>
        <x:v>58.888888888888886</x:v>
      </x:c>
    </x:row>
    <x:row r="1652" ht="21" customHeight="1">
      <x:c r="A1652" s="10" t="n">
        <x:v>2513</x:v>
      </x:c>
      <x:c r="B1652" s="2" t="str">
        <x:v>04365a1aee81433fb28e</x:v>
      </x:c>
      <x:c r="C1652" s="2" t="str">
        <x:v>Tp Hồ Chí Minh</x:v>
      </x:c>
      <x:c r="D1652" s="2" t="str">
        <x:v>Quận 8</x:v>
      </x:c>
      <x:c r="E1652" s="2" t="str">
        <x:v>house</x:v>
      </x:c>
      <x:c r="F1652" s="2" t="str">
        <x:v>sale_assumed</x:v>
      </x:c>
      <x:c r="G1652" s="11" t="n">
        <x:v>73</x:v>
      </x:c>
      <x:c r="H1652" s="12" t="n">
        <x:v>2150000000</x:v>
      </x:c>
      <x:c r="I1652" s="12" t="n">
        <x:v>29452054.79452055</x:v>
      </x:c>
      <x:c r="J1652" s="2" t="str">
        <x:v>total</x:v>
      </x:c>
      <x:c r="K1652" s="2" t="str">
        <x:v>top_level_area</x:v>
      </x:c>
      <x:c r="L1652" s="2" t="str">
        <x:v>property_type_inferred_from_title;transaction_assumed_sale_from_dataset_context</x:v>
      </x:c>
      <x:c r="M1652" s="10" t="n">
        <x:v>0</x:v>
      </x:c>
      <x:c r="N1652" s="10" t="n">
        <x:v>0</x:v>
      </x:c>
      <x:c r="O1652" s="2" t="str">
        <x:v>Tp Hồ Chí Minh|house</x:v>
      </x:c>
      <x:c r="P1652" s="10" t="n">
        <x:v>2</x:v>
      </x:c>
      <x:c r="Q1652" s="13" t="n">
        <x:f>IF(H1652="","",H1652/1000000000)</x:f>
        <x:v>2.15</x:v>
      </x:c>
      <x:c r="R1652" s="13" t="n">
        <x:f>IF(I1652="","",I1652/1000000)</x:f>
        <x:v>29.45205479452055</x:v>
      </x:c>
    </x:row>
    <x:row r="1653" ht="21" customHeight="1">
      <x:c r="A1653" s="10" t="n">
        <x:v>2514</x:v>
      </x:c>
      <x:c r="B1653" s="2" t="str">
        <x:v>b5f0be3412b19de9cd7f</x:v>
      </x:c>
      <x:c r="C1653" s="2" t="str">
        <x:v>Đồng Nai</x:v>
      </x:c>
      <x:c r="D1653" s="2" t="str">
        <x:v>Huyện Trảng Bom</x:v>
      </x:c>
      <x:c r="E1653" s="2" t="str">
        <x:v>land</x:v>
      </x:c>
      <x:c r="F1653" s="2" t="str">
        <x:v>sale_assumed</x:v>
      </x:c>
      <x:c r="G1653" s="11" t="n">
        <x:v>1080</x:v>
      </x:c>
      <x:c r="H1653" s="12" t="n">
        <x:v>1350000000</x:v>
      </x:c>
      <x:c r="I1653" s="12" t="n">
        <x:v>1250000</x:v>
      </x:c>
      <x:c r="J1653" s="2" t="str">
        <x:v>total</x:v>
      </x:c>
      <x:c r="K1653" s="2" t="str">
        <x:v>top_level_area</x:v>
      </x:c>
      <x:c r="L1653" s="2" t="str">
        <x:v>dot_thousands_convention;property_type_inferred_from_title;transaction_assumed_sale_from_dataset_context</x:v>
      </x:c>
      <x:c r="M1653" s="10" t="n">
        <x:v>0</x:v>
      </x:c>
      <x:c r="N1653" s="10" t="n">
        <x:v>0</x:v>
      </x:c>
      <x:c r="O1653" s="2" t="str">
        <x:v>Đồng Nai|land</x:v>
      </x:c>
      <x:c r="P1653" s="10" t="n">
        <x:v>1</x:v>
      </x:c>
      <x:c r="Q1653" s="13" t="n">
        <x:f>IF(H1653="","",H1653/1000000000)</x:f>
        <x:v>1.35</x:v>
      </x:c>
      <x:c r="R1653" s="13" t="n">
        <x:f>IF(I1653="","",I1653/1000000)</x:f>
        <x:v>1.25</x:v>
      </x:c>
    </x:row>
    <x:row r="1654" ht="21" customHeight="1">
      <x:c r="A1654" s="10" t="n">
        <x:v>2518</x:v>
      </x:c>
      <x:c r="B1654" s="2" t="str">
        <x:v>376fb10409f9fd88e2f1</x:v>
      </x:c>
      <x:c r="C1654" s="2" t="str">
        <x:v>Đà Nẵng</x:v>
      </x:c>
      <x:c r="D1654" s="2" t="str">
        <x:v>Quận Thanh Khê</x:v>
      </x:c>
      <x:c r="E1654" s="2" t="str">
        <x:v>other_unknown</x:v>
      </x:c>
      <x:c r="F1654" s="2" t="str">
        <x:v>sale</x:v>
      </x:c>
      <x:c r="G1654" s="11" t="n">
        <x:v>53</x:v>
      </x:c>
      <x:c r="H1654" s="12" t="n">
        <x:v>5400000000</x:v>
      </x:c>
      <x:c r="I1654" s="12" t="n">
        <x:v>101886792.4528302</x:v>
      </x:c>
      <x:c r="J1654" s="2" t="str">
        <x:v>total</x:v>
      </x:c>
      <x:c r="K1654" s="2" t="str">
        <x:v>top_level_area</x:v>
      </x:c>
      <x:c r="L1654" s="2" t="str">
        <x:v>property_type_inferred_from_title;unknown_property_type</x:v>
      </x:c>
      <x:c r="M1654" s="10" t="n">
        <x:v>0</x:v>
      </x:c>
      <x:c r="N1654" s="10" t="n">
        <x:v>0</x:v>
      </x:c>
      <x:c r="O1654" s="2" t="str">
        <x:v>Đà Nẵng|other_unknown</x:v>
      </x:c>
      <x:c r="P1654" s="10" t="n">
        <x:v>2</x:v>
      </x:c>
      <x:c r="Q1654" s="13" t="n">
        <x:f>IF(H1654="","",H1654/1000000000)</x:f>
        <x:v>5.4</x:v>
      </x:c>
      <x:c r="R1654" s="13" t="n">
        <x:f>IF(I1654="","",I1654/1000000)</x:f>
        <x:v>101.88679245283019</x:v>
      </x:c>
    </x:row>
    <x:row r="1655" ht="21" customHeight="1">
      <x:c r="A1655" s="10" t="n">
        <x:v>2519</x:v>
      </x:c>
      <x:c r="B1655" s="2" t="str">
        <x:v>69401f137efbe3e3fe04</x:v>
      </x:c>
      <x:c r="C1655" s="2" t="str">
        <x:v>Tp Hồ Chí Minh</x:v>
      </x:c>
      <x:c r="D1655" s="2" t="str">
        <x:v>Quận Bình Tân</x:v>
      </x:c>
      <x:c r="E1655" s="2" t="str">
        <x:v>land</x:v>
      </x:c>
      <x:c r="F1655" s="2" t="str">
        <x:v>sale_assumed</x:v>
      </x:c>
      <x:c r="G1655" s="11" t="n">
        <x:v>88</x:v>
      </x:c>
      <x:c r="H1655" s="12" t="n">
        <x:v>2816000000</x:v>
      </x:c>
      <x:c r="I1655" s="12" t="n">
        <x:v>32000000</x:v>
      </x:c>
      <x:c r="J1655" s="2" t="str">
        <x:v>total</x:v>
      </x:c>
      <x:c r="K1655" s="2" t="str">
        <x:v>top_level_area</x:v>
      </x:c>
      <x:c r="L1655" s="2" t="str">
        <x:v>property_type_inferred_from_title;transaction_assumed_sale_from_dataset_context</x:v>
      </x:c>
      <x:c r="M1655" s="10" t="n">
        <x:v>0</x:v>
      </x:c>
      <x:c r="N1655" s="10" t="n">
        <x:v>0</x:v>
      </x:c>
      <x:c r="O1655" s="2" t="str">
        <x:v>Tp Hồ Chí Minh|land</x:v>
      </x:c>
      <x:c r="P1655" s="10" t="n">
        <x:v>2</x:v>
      </x:c>
      <x:c r="Q1655" s="13" t="n">
        <x:f>IF(H1655="","",H1655/1000000000)</x:f>
        <x:v>2.816</x:v>
      </x:c>
      <x:c r="R1655" s="13" t="n">
        <x:f>IF(I1655="","",I1655/1000000)</x:f>
        <x:v>32</x:v>
      </x:c>
    </x:row>
    <x:row r="1656" ht="21" customHeight="1">
      <x:c r="A1656" s="10" t="n">
        <x:v>2520</x:v>
      </x:c>
      <x:c r="B1656" s="2" t="str">
        <x:v>bd0bc63c43e5130d2ae8</x:v>
      </x:c>
      <x:c r="C1656" s="2" t="str">
        <x:v>Tp Hồ Chí Minh</x:v>
      </x:c>
      <x:c r="D1656" s="2" t="str">
        <x:v>Quận Bình Thạnh</x:v>
      </x:c>
      <x:c r="E1656" s="2" t="str">
        <x:v>house</x:v>
      </x:c>
      <x:c r="F1656" s="2" t="str">
        <x:v>sale_assumed</x:v>
      </x:c>
      <x:c r="G1656" s="11" t="n">
        <x:v>68</x:v>
      </x:c>
      <x:c r="H1656" s="12" t="n">
        <x:v>990000000</x:v>
      </x:c>
      <x:c r="I1656" s="12" t="n">
        <x:v>14558823.529411765</x:v>
      </x:c>
      <x:c r="J1656" s="2" t="str">
        <x:v>total</x:v>
      </x:c>
      <x:c r="K1656" s="2" t="str">
        <x:v>top_level_area</x:v>
      </x:c>
      <x:c r="L1656" s="2" t="str">
        <x:v>property_type_inferred_from_title;transaction_assumed_sale_from_dataset_context</x:v>
      </x:c>
      <x:c r="M1656" s="10" t="n">
        <x:v>0</x:v>
      </x:c>
      <x:c r="N1656" s="10" t="n">
        <x:v>0</x:v>
      </x:c>
      <x:c r="O1656" s="2" t="str">
        <x:v>Tp Hồ Chí Minh|house</x:v>
      </x:c>
      <x:c r="P1656" s="10" t="n">
        <x:v>2</x:v>
      </x:c>
      <x:c r="Q1656" s="13" t="n">
        <x:f>IF(H1656="","",H1656/1000000000)</x:f>
        <x:v>0.99</x:v>
      </x:c>
      <x:c r="R1656" s="13" t="n">
        <x:f>IF(I1656="","",I1656/1000000)</x:f>
        <x:v>14.558823529411764</x:v>
      </x:c>
    </x:row>
    <x:row r="1657" ht="21" customHeight="1">
      <x:c r="A1657" s="10" t="n">
        <x:v>2521</x:v>
      </x:c>
      <x:c r="B1657" s="2" t="str">
        <x:v>8f7bdb9aa181cd949a9a</x:v>
      </x:c>
      <x:c r="C1657" s="2" t="str">
        <x:v>Tp Hồ Chí Minh</x:v>
      </x:c>
      <x:c r="D1657" s="2" t="str">
        <x:v>Quận 8</x:v>
      </x:c>
      <x:c r="E1657" s="2" t="str">
        <x:v>apartment</x:v>
      </x:c>
      <x:c r="F1657" s="2" t="str">
        <x:v>sale_assumed</x:v>
      </x:c>
      <x:c r="G1657" s="11" t="n">
        <x:v>51</x:v>
      </x:c>
      <x:c r="H1657" s="12" t="n">
        <x:v>2350000000</x:v>
      </x:c>
      <x:c r="I1657" s="12" t="n">
        <x:v>46078431.37254902</x:v>
      </x:c>
      <x:c r="J1657" s="2" t="str">
        <x:v>total</x:v>
      </x:c>
      <x:c r="K1657" s="2" t="str">
        <x:v>top_level_area</x:v>
      </x:c>
      <x:c r="L1657" s="2" t="str">
        <x:v>property_type_inferred_from_title;transaction_assumed_sale_from_dataset_context</x:v>
      </x:c>
      <x:c r="M1657" s="10" t="n">
        <x:v>0</x:v>
      </x:c>
      <x:c r="N1657" s="10" t="n">
        <x:v>0</x:v>
      </x:c>
      <x:c r="O1657" s="2" t="str">
        <x:v>Tp Hồ Chí Minh|apartment</x:v>
      </x:c>
      <x:c r="P1657" s="10" t="n">
        <x:v>2</x:v>
      </x:c>
      <x:c r="Q1657" s="13" t="n">
        <x:f>IF(H1657="","",H1657/1000000000)</x:f>
        <x:v>2.35</x:v>
      </x:c>
      <x:c r="R1657" s="13" t="n">
        <x:f>IF(I1657="","",I1657/1000000)</x:f>
        <x:v>46.07843137254902</x:v>
      </x:c>
    </x:row>
    <x:row r="1658" ht="21" customHeight="1">
      <x:c r="A1658" s="10" t="n">
        <x:v>2522</x:v>
      </x:c>
      <x:c r="B1658" s="2" t="str">
        <x:v>cbb30d002e4cd1168a11</x:v>
      </x:c>
      <x:c r="C1658" s="2" t="str">
        <x:v>Cần Thơ</x:v>
      </x:c>
      <x:c r="D1658" s="2" t="str">
        <x:v>Quận Ninh Kiều</x:v>
      </x:c>
      <x:c r="E1658" s="2" t="str">
        <x:v>house</x:v>
      </x:c>
      <x:c r="F1658" s="2" t="str">
        <x:v>sale</x:v>
      </x:c>
      <x:c r="G1658" s="11" t="n">
        <x:v>40</x:v>
      </x:c>
      <x:c r="H1658" s="12" t="n">
        <x:v>2680000000</x:v>
      </x:c>
      <x:c r="I1658" s="12" t="n">
        <x:v>67000000</x:v>
      </x:c>
      <x:c r="J1658" s="2" t="str">
        <x:v>total</x:v>
      </x:c>
      <x:c r="K1658" s="2" t="str">
        <x:v>top_level_area</x:v>
      </x:c>
      <x:c r="L1658" s="2" t="str">
        <x:v>property_type_inferred_from_title</x:v>
      </x:c>
      <x:c r="M1658" s="10" t="n">
        <x:v>0</x:v>
      </x:c>
      <x:c r="N1658" s="10" t="n">
        <x:v>0</x:v>
      </x:c>
      <x:c r="O1658" s="2" t="str">
        <x:v>Cần Thơ|house</x:v>
      </x:c>
      <x:c r="P1658" s="10" t="n">
        <x:v>2</x:v>
      </x:c>
      <x:c r="Q1658" s="13" t="n">
        <x:f>IF(H1658="","",H1658/1000000000)</x:f>
        <x:v>2.68</x:v>
      </x:c>
      <x:c r="R1658" s="13" t="n">
        <x:f>IF(I1658="","",I1658/1000000)</x:f>
        <x:v>67</x:v>
      </x:c>
    </x:row>
    <x:row r="1659" ht="21" customHeight="1">
      <x:c r="A1659" s="10" t="n">
        <x:v>2523</x:v>
      </x:c>
      <x:c r="B1659" s="2" t="str">
        <x:v>5fb275934c063e00ffae</x:v>
      </x:c>
      <x:c r="C1659" s="2" t="str">
        <x:v>Tp Hồ Chí Minh</x:v>
      </x:c>
      <x:c r="D1659" s="2" t="str">
        <x:v>Quận Tân Phú</x:v>
      </x:c>
      <x:c r="E1659" s="2" t="str">
        <x:v>house</x:v>
      </x:c>
      <x:c r="F1659" s="2" t="str">
        <x:v>sale</x:v>
      </x:c>
      <x:c r="G1659" s="11" t="n">
        <x:v>39</x:v>
      </x:c>
      <x:c r="H1659" s="12" t="n">
        <x:v>3900000000</x:v>
      </x:c>
      <x:c r="I1659" s="12" t="n">
        <x:v>100000000</x:v>
      </x:c>
      <x:c r="J1659" s="2" t="str">
        <x:v>total</x:v>
      </x:c>
      <x:c r="K1659" s="2" t="str">
        <x:v>top_level_area</x:v>
      </x:c>
      <x:c r="L1659" s="2" t="str">
        <x:v>property_type_inferred_from_title</x:v>
      </x:c>
      <x:c r="M1659" s="10" t="n">
        <x:v>0</x:v>
      </x:c>
      <x:c r="N1659" s="10" t="n">
        <x:v>0</x:v>
      </x:c>
      <x:c r="O1659" s="2" t="str">
        <x:v>Tp Hồ Chí Minh|house</x:v>
      </x:c>
      <x:c r="P1659" s="10" t="n">
        <x:v>2</x:v>
      </x:c>
      <x:c r="Q1659" s="13" t="n">
        <x:f>IF(H1659="","",H1659/1000000000)</x:f>
        <x:v>3.9</x:v>
      </x:c>
      <x:c r="R1659" s="13" t="n">
        <x:f>IF(I1659="","",I1659/1000000)</x:f>
        <x:v>100</x:v>
      </x:c>
    </x:row>
    <x:row r="1660" ht="21" customHeight="1">
      <x:c r="A1660" s="10" t="n">
        <x:v>2524</x:v>
      </x:c>
      <x:c r="B1660" s="2" t="str">
        <x:v>a4e7fb1384c826a8e463</x:v>
      </x:c>
      <x:c r="C1660" s="2" t="str">
        <x:v>Tp Hồ Chí Minh</x:v>
      </x:c>
      <x:c r="D1660" s="2" t="str">
        <x:v>Quận Tân Bình</x:v>
      </x:c>
      <x:c r="E1660" s="2" t="str">
        <x:v>house</x:v>
      </x:c>
      <x:c r="F1660" s="2" t="str">
        <x:v>sale_assumed</x:v>
      </x:c>
      <x:c r="G1660" s="11" t="n">
        <x:v>96</x:v>
      </x:c>
      <x:c r="H1660" s="12" t="n">
        <x:v>11850000000</x:v>
      </x:c>
      <x:c r="I1660" s="12" t="n">
        <x:v>123437500</x:v>
      </x:c>
      <x:c r="J1660" s="2" t="str">
        <x:v>total</x:v>
      </x:c>
      <x:c r="K1660" s="2" t="str">
        <x:v>top_level_area</x:v>
      </x:c>
      <x:c r="L1660" s="2" t="str">
        <x:v>property_type_inferred_from_title;transaction_assumed_sale_from_dataset_context</x:v>
      </x:c>
      <x:c r="M1660" s="10" t="n">
        <x:v>0</x:v>
      </x:c>
      <x:c r="N1660" s="10" t="n">
        <x:v>0</x:v>
      </x:c>
      <x:c r="O1660" s="2" t="str">
        <x:v>Tp Hồ Chí Minh|house</x:v>
      </x:c>
      <x:c r="P1660" s="10" t="n">
        <x:v>2</x:v>
      </x:c>
      <x:c r="Q1660" s="13" t="n">
        <x:f>IF(H1660="","",H1660/1000000000)</x:f>
        <x:v>11.85</x:v>
      </x:c>
      <x:c r="R1660" s="13" t="n">
        <x:f>IF(I1660="","",I1660/1000000)</x:f>
        <x:v>123.4375</x:v>
      </x:c>
    </x:row>
    <x:row r="1661" ht="21" customHeight="1">
      <x:c r="A1661" s="10" t="n">
        <x:v>2525</x:v>
      </x:c>
      <x:c r="B1661" s="2" t="str">
        <x:v>dc5b68061b36059d642f</x:v>
      </x:c>
      <x:c r="C1661" s="2" t="str">
        <x:v>Tp Hồ Chí Minh</x:v>
      </x:c>
      <x:c r="D1661" s="2" t="str">
        <x:v>Huyện Hóc Môn</x:v>
      </x:c>
      <x:c r="E1661" s="2" t="str">
        <x:v>land</x:v>
      </x:c>
      <x:c r="F1661" s="2" t="str">
        <x:v>sale</x:v>
      </x:c>
      <x:c r="G1661" s="11" t="n">
        <x:v>125</x:v>
      </x:c>
      <x:c r="H1661" s="12" t="n">
        <x:v>590000000</x:v>
      </x:c>
      <x:c r="I1661" s="12" t="n">
        <x:v>4720000</x:v>
      </x:c>
      <x:c r="J1661" s="2" t="str">
        <x:v>total</x:v>
      </x:c>
      <x:c r="K1661" s="2" t="str">
        <x:v>top_level_area</x:v>
      </x:c>
      <x:c r="L1661" s="2" t="str">
        <x:v>property_type_inferred_from_title</x:v>
      </x:c>
      <x:c r="M1661" s="10" t="n">
        <x:v>0</x:v>
      </x:c>
      <x:c r="N1661" s="10" t="n">
        <x:v>0</x:v>
      </x:c>
      <x:c r="O1661" s="2" t="str">
        <x:v>Tp Hồ Chí Minh|land</x:v>
      </x:c>
      <x:c r="P1661" s="10" t="n">
        <x:v>2</x:v>
      </x:c>
      <x:c r="Q1661" s="13" t="n">
        <x:f>IF(H1661="","",H1661/1000000000)</x:f>
        <x:v>0.59</x:v>
      </x:c>
      <x:c r="R1661" s="13" t="n">
        <x:f>IF(I1661="","",I1661/1000000)</x:f>
        <x:v>4.72</x:v>
      </x:c>
    </x:row>
    <x:row r="1662" ht="21" customHeight="1">
      <x:c r="A1662" s="10" t="n">
        <x:v>2526</x:v>
      </x:c>
      <x:c r="B1662" s="2" t="str">
        <x:v>83ed8acf9f279be16ec2</x:v>
      </x:c>
      <x:c r="C1662" s="2" t="str">
        <x:v>Bình Dương</x:v>
      </x:c>
      <x:c r="D1662" s="2" t="str">
        <x:v>Thành phố Thủ Dầu Một</x:v>
      </x:c>
      <x:c r="E1662" s="2" t="str">
        <x:v>land</x:v>
      </x:c>
      <x:c r="F1662" s="2" t="str">
        <x:v>sale_assumed</x:v>
      </x:c>
      <x:c r="G1662" s="11" t="n">
        <x:v>107</x:v>
      </x:c>
      <x:c r="H1662" s="12" t="n">
        <x:v>2550000000</x:v>
      </x:c>
      <x:c r="I1662" s="12" t="n">
        <x:v>23831775.700934578</x:v>
      </x:c>
      <x:c r="J1662" s="2" t="str">
        <x:v>total</x:v>
      </x:c>
      <x:c r="K1662" s="2" t="str">
        <x:v>top_level_price_embedded_area</x:v>
      </x:c>
      <x:c r="L1662" s="2" t="str">
        <x:v>area_recovered_from_price_text;property_type_inferred_from_title;transaction_assumed_sale_from_dataset_context</x:v>
      </x:c>
      <x:c r="M1662" s="10" t="n">
        <x:v>0</x:v>
      </x:c>
      <x:c r="N1662" s="10" t="n">
        <x:v>0</x:v>
      </x:c>
      <x:c r="O1662" s="2" t="str">
        <x:v>Bình Dương|land</x:v>
      </x:c>
      <x:c r="P1662" s="10" t="n">
        <x:v>2</x:v>
      </x:c>
      <x:c r="Q1662" s="13" t="n">
        <x:f>IF(H1662="","",H1662/1000000000)</x:f>
        <x:v>2.55</x:v>
      </x:c>
      <x:c r="R1662" s="13" t="n">
        <x:f>IF(I1662="","",I1662/1000000)</x:f>
        <x:v>23.83177570093458</x:v>
      </x:c>
    </x:row>
    <x:row r="1663" ht="21" customHeight="1">
      <x:c r="A1663" s="10" t="n">
        <x:v>2527</x:v>
      </x:c>
      <x:c r="B1663" s="2" t="str">
        <x:v>75f640d66c2f8edbdd34</x:v>
      </x:c>
      <x:c r="C1663" s="2" t="str">
        <x:v>Bình Dương</x:v>
      </x:c>
      <x:c r="D1663" s="2" t="str">
        <x:v>Huyện Phú Giáo</x:v>
      </x:c>
      <x:c r="E1663" s="2" t="str">
        <x:v>house</x:v>
      </x:c>
      <x:c r="F1663" s="2" t="str">
        <x:v>sale</x:v>
      </x:c>
      <x:c r="G1663" s="11" t="n">
        <x:v>250</x:v>
      </x:c>
      <x:c r="H1663" s="12" t="n">
        <x:v>190000000</x:v>
      </x:c>
      <x:c r="I1663" s="12" t="n">
        <x:v>760000</x:v>
      </x:c>
      <x:c r="J1663" s="2" t="str">
        <x:v>total</x:v>
      </x:c>
      <x:c r="K1663" s="2" t="str">
        <x:v>top_level_area</x:v>
      </x:c>
      <x:c r="L1663" s="2" t="str">
        <x:v>property_type_inferred_from_title</x:v>
      </x:c>
      <x:c r="M1663" s="10" t="n">
        <x:v>0</x:v>
      </x:c>
      <x:c r="N1663" s="10" t="n">
        <x:v>0</x:v>
      </x:c>
      <x:c r="O1663" s="2" t="str">
        <x:v>Bình Dương|house</x:v>
      </x:c>
      <x:c r="P1663" s="10" t="n">
        <x:v>1</x:v>
      </x:c>
      <x:c r="Q1663" s="13" t="n">
        <x:f>IF(H1663="","",H1663/1000000000)</x:f>
        <x:v>0.19</x:v>
      </x:c>
      <x:c r="R1663" s="13" t="n">
        <x:f>IF(I1663="","",I1663/1000000)</x:f>
        <x:v>0.76</x:v>
      </x:c>
    </x:row>
    <x:row r="1664" ht="21" customHeight="1">
      <x:c r="A1664" s="10" t="n">
        <x:v>2528</x:v>
      </x:c>
      <x:c r="B1664" s="2" t="str">
        <x:v>4e4b4c21ba7f3be669e5</x:v>
      </x:c>
      <x:c r="C1664" s="2" t="str">
        <x:v>Tp Hồ Chí Minh</x:v>
      </x:c>
      <x:c r="D1664" s="2" t="str">
        <x:v>Quận Thủ Đức</x:v>
      </x:c>
      <x:c r="E1664" s="2" t="str">
        <x:v>house</x:v>
      </x:c>
      <x:c r="F1664" s="2" t="str">
        <x:v>sale_assumed</x:v>
      </x:c>
      <x:c r="G1664" s="11" t="n">
        <x:v>55</x:v>
      </x:c>
      <x:c r="H1664" s="12" t="n">
        <x:v>6500000000</x:v>
      </x:c>
      <x:c r="I1664" s="12" t="n">
        <x:v>118181818.18181819</x:v>
      </x:c>
      <x:c r="J1664" s="2" t="str">
        <x:v>total</x:v>
      </x:c>
      <x:c r="K1664" s="2" t="str">
        <x:v>top_level_area</x:v>
      </x:c>
      <x:c r="L1664" s="2" t="str">
        <x:v>property_type_inferred_from_title;transaction_assumed_sale_from_dataset_context</x:v>
      </x:c>
      <x:c r="M1664" s="10" t="n">
        <x:v>0</x:v>
      </x:c>
      <x:c r="N1664" s="10" t="n">
        <x:v>0</x:v>
      </x:c>
      <x:c r="O1664" s="2" t="str">
        <x:v>Tp Hồ Chí Minh|house</x:v>
      </x:c>
      <x:c r="P1664" s="10" t="n">
        <x:v>2</x:v>
      </x:c>
      <x:c r="Q1664" s="13" t="n">
        <x:f>IF(H1664="","",H1664/1000000000)</x:f>
        <x:v>6.5</x:v>
      </x:c>
      <x:c r="R1664" s="13" t="n">
        <x:f>IF(I1664="","",I1664/1000000)</x:f>
        <x:v>118.18181818181819</x:v>
      </x:c>
    </x:row>
    <x:row r="1665" ht="21" customHeight="1">
      <x:c r="A1665" s="10" t="n">
        <x:v>2529</x:v>
      </x:c>
      <x:c r="B1665" s="2" t="str">
        <x:v>bfbbf06e2314c8591928</x:v>
      </x:c>
      <x:c r="C1665" s="2" t="str">
        <x:v>Đồng Nai</x:v>
      </x:c>
      <x:c r="D1665" s="2" t="str">
        <x:v>Huyện Trảng Bom</x:v>
      </x:c>
      <x:c r="E1665" s="2" t="str">
        <x:v>land</x:v>
      </x:c>
      <x:c r="F1665" s="2" t="str">
        <x:v>sale</x:v>
      </x:c>
      <x:c r="G1665" s="11" t="n">
        <x:v>100</x:v>
      </x:c>
      <x:c r="H1665" s="12" t="n">
        <x:v>1489000000</x:v>
      </x:c>
      <x:c r="I1665" s="12" t="n">
        <x:v>14890000</x:v>
      </x:c>
      <x:c r="J1665" s="2" t="str">
        <x:v>total</x:v>
      </x:c>
      <x:c r="K1665" s="2" t="str">
        <x:v>top_level_area</x:v>
      </x:c>
      <x:c r="L1665" s="2" t="str">
        <x:v>property_type_inferred_from_title</x:v>
      </x:c>
      <x:c r="M1665" s="10" t="n">
        <x:v>0</x:v>
      </x:c>
      <x:c r="N1665" s="10" t="n">
        <x:v>0</x:v>
      </x:c>
      <x:c r="O1665" s="2" t="str">
        <x:v>Đồng Nai|land</x:v>
      </x:c>
      <x:c r="P1665" s="10" t="n">
        <x:v>2</x:v>
      </x:c>
      <x:c r="Q1665" s="13" t="n">
        <x:f>IF(H1665="","",H1665/1000000000)</x:f>
        <x:v>1.489</x:v>
      </x:c>
      <x:c r="R1665" s="13" t="n">
        <x:f>IF(I1665="","",I1665/1000000)</x:f>
        <x:v>14.89</x:v>
      </x:c>
    </x:row>
    <x:row r="1666" ht="21" customHeight="1">
      <x:c r="A1666" s="10" t="n">
        <x:v>2530</x:v>
      </x:c>
      <x:c r="B1666" s="2" t="str">
        <x:v>84d5bf7f1f86a8446730</x:v>
      </x:c>
      <x:c r="C1666" s="2" t="str">
        <x:v>Bình Dương</x:v>
      </x:c>
      <x:c r="D1666" s="2" t="str">
        <x:v>Thị xã Thuận An</x:v>
      </x:c>
      <x:c r="E1666" s="2" t="str">
        <x:v>house</x:v>
      </x:c>
      <x:c r="F1666" s="2" t="str">
        <x:v>sale</x:v>
      </x:c>
      <x:c r="G1666" s="11" t="n">
        <x:v>38</x:v>
      </x:c>
      <x:c r="H1666" s="12" t="n">
        <x:v>620000000</x:v>
      </x:c>
      <x:c r="I1666" s="12" t="n">
        <x:v>16315789.47368421</x:v>
      </x:c>
      <x:c r="J1666" s="2" t="str">
        <x:v>total</x:v>
      </x:c>
      <x:c r="K1666" s="2" t="str">
        <x:v>top_level_price_embedded_area</x:v>
      </x:c>
      <x:c r="L1666" s="2" t="str">
        <x:v>area_recovered_from_price_text;property_type_inferred_from_title</x:v>
      </x:c>
      <x:c r="M1666" s="10" t="n">
        <x:v>0</x:v>
      </x:c>
      <x:c r="N1666" s="10" t="n">
        <x:v>0</x:v>
      </x:c>
      <x:c r="O1666" s="2" t="str">
        <x:v>Bình Dương|house</x:v>
      </x:c>
      <x:c r="P1666" s="10" t="n">
        <x:v>2</x:v>
      </x:c>
      <x:c r="Q1666" s="13" t="n">
        <x:f>IF(H1666="","",H1666/1000000000)</x:f>
        <x:v>0.62</x:v>
      </x:c>
      <x:c r="R1666" s="13" t="n">
        <x:f>IF(I1666="","",I1666/1000000)</x:f>
        <x:v>16.31578947368421</x:v>
      </x:c>
    </x:row>
    <x:row r="1667" ht="21" customHeight="1">
      <x:c r="A1667" s="10" t="n">
        <x:v>2532</x:v>
      </x:c>
      <x:c r="B1667" s="2" t="str">
        <x:v>e81609663872e327f822</x:v>
      </x:c>
      <x:c r="C1667" s="2" t="str">
        <x:v>Tp Hồ Chí Minh</x:v>
      </x:c>
      <x:c r="D1667" s="2" t="str">
        <x:v>Quận Bình Thạnh</x:v>
      </x:c>
      <x:c r="E1667" s="2" t="str">
        <x:v>house</x:v>
      </x:c>
      <x:c r="F1667" s="2" t="str">
        <x:v>sale</x:v>
      </x:c>
      <x:c r="G1667" s="11" t="n">
        <x:v>56</x:v>
      </x:c>
      <x:c r="H1667" s="12" t="n">
        <x:v>1480000000</x:v>
      </x:c>
      <x:c r="I1667" s="12" t="n">
        <x:v>26428571.42857143</x:v>
      </x:c>
      <x:c r="J1667" s="2" t="str">
        <x:v>total</x:v>
      </x:c>
      <x:c r="K1667" s="2" t="str">
        <x:v>top_level_area</x:v>
      </x:c>
      <x:c r="L1667" s="2" t="str">
        <x:v>property_type_inferred_from_title</x:v>
      </x:c>
      <x:c r="M1667" s="10" t="n">
        <x:v>0</x:v>
      </x:c>
      <x:c r="N1667" s="10" t="n">
        <x:v>0</x:v>
      </x:c>
      <x:c r="O1667" s="2" t="str">
        <x:v>Tp Hồ Chí Minh|house</x:v>
      </x:c>
      <x:c r="P1667" s="10" t="n">
        <x:v>2</x:v>
      </x:c>
      <x:c r="Q1667" s="13" t="n">
        <x:f>IF(H1667="","",H1667/1000000000)</x:f>
        <x:v>1.48</x:v>
      </x:c>
      <x:c r="R1667" s="13" t="n">
        <x:f>IF(I1667="","",I1667/1000000)</x:f>
        <x:v>26.42857142857143</x:v>
      </x:c>
    </x:row>
    <x:row r="1668" ht="21" customHeight="1">
      <x:c r="A1668" s="10" t="n">
        <x:v>2533</x:v>
      </x:c>
      <x:c r="B1668" s="2" t="str">
        <x:v>080ef195787b757496ab</x:v>
      </x:c>
      <x:c r="C1668" s="2" t="str">
        <x:v>An Giang</x:v>
      </x:c>
      <x:c r="D1668" s="2" t="str">
        <x:v>Huyện Châu Thành</x:v>
      </x:c>
      <x:c r="E1668" s="2" t="str">
        <x:v>land</x:v>
      </x:c>
      <x:c r="F1668" s="2" t="str">
        <x:v>sale_assumed</x:v>
      </x:c>
      <x:c r="G1668" s="11" t="n">
        <x:v>790.3</x:v>
      </x:c>
      <x:c r="H1668" s="12" t="n">
        <x:v>1700000000</x:v>
      </x:c>
      <x:c r="I1668" s="12" t="n">
        <x:v>2151081.867645198</x:v>
      </x:c>
      <x:c r="J1668" s="2" t="str">
        <x:v>total</x:v>
      </x:c>
      <x:c r="K1668" s="2" t="str">
        <x:v>top_level_area</x:v>
      </x:c>
      <x:c r="L1668" s="2" t="str">
        <x:v>property_type_inferred_from_title;transaction_assumed_sale_from_dataset_context</x:v>
      </x:c>
      <x:c r="M1668" s="10" t="n">
        <x:v>0</x:v>
      </x:c>
      <x:c r="N1668" s="10" t="n">
        <x:v>0</x:v>
      </x:c>
      <x:c r="O1668" s="2" t="str">
        <x:v>land</x:v>
      </x:c>
      <x:c r="P1668" s="10" t="n">
        <x:v>1</x:v>
      </x:c>
      <x:c r="Q1668" s="13" t="n">
        <x:f>IF(H1668="","",H1668/1000000000)</x:f>
        <x:v>1.7</x:v>
      </x:c>
      <x:c r="R1668" s="13" t="n">
        <x:f>IF(I1668="","",I1668/1000000)</x:f>
        <x:v>2.151081867645198</x:v>
      </x:c>
    </x:row>
    <x:row r="1669" ht="21" customHeight="1">
      <x:c r="A1669" s="10" t="n">
        <x:v>2534</x:v>
      </x:c>
      <x:c r="B1669" s="2" t="str">
        <x:v>d4b948fe1a0e4ec91c70</x:v>
      </x:c>
      <x:c r="C1669" s="2" t="str">
        <x:v>Đắk Lắk</x:v>
      </x:c>
      <x:c r="D1669" s="2" t="str">
        <x:v>Thành phố Buôn Ma Thuột</x:v>
      </x:c>
      <x:c r="E1669" s="2" t="str">
        <x:v>land</x:v>
      </x:c>
      <x:c r="F1669" s="2" t="str">
        <x:v>sale_assumed</x:v>
      </x:c>
      <x:c r="G1669" s="11" t="n">
        <x:v>1150</x:v>
      </x:c>
      <x:c r="H1669" s="12" t="n">
        <x:v>3360000000</x:v>
      </x:c>
      <x:c r="I1669" s="12" t="n">
        <x:v>2921739.1304347827</x:v>
      </x:c>
      <x:c r="J1669" s="2" t="str">
        <x:v>total</x:v>
      </x:c>
      <x:c r="K1669" s="2" t="str">
        <x:v>top_level_area</x:v>
      </x:c>
      <x:c r="L1669" s="2" t="str">
        <x:v>dot_thousands_convention;property_type_inferred_from_title;transaction_assumed_sale_from_dataset_context</x:v>
      </x:c>
      <x:c r="M1669" s="10" t="n">
        <x:v>0</x:v>
      </x:c>
      <x:c r="N1669" s="10" t="n">
        <x:v>0</x:v>
      </x:c>
      <x:c r="O1669" s="2" t="str">
        <x:v>Đắk Lắk|land</x:v>
      </x:c>
      <x:c r="P1669" s="10" t="n">
        <x:v>1</x:v>
      </x:c>
      <x:c r="Q1669" s="13" t="n">
        <x:f>IF(H1669="","",H1669/1000000000)</x:f>
        <x:v>3.36</x:v>
      </x:c>
      <x:c r="R1669" s="13" t="n">
        <x:f>IF(I1669="","",I1669/1000000)</x:f>
        <x:v>2.9217391304347826</x:v>
      </x:c>
    </x:row>
    <x:row r="1670" ht="21" customHeight="1">
      <x:c r="A1670" s="10" t="n">
        <x:v>2535</x:v>
      </x:c>
      <x:c r="B1670" s="2" t="str">
        <x:v>653c0cd3f843499a496c</x:v>
      </x:c>
      <x:c r="C1670" s="2" t="str">
        <x:v>Tp Hồ Chí Minh</x:v>
      </x:c>
      <x:c r="D1670" s="2" t="str">
        <x:v>Quận 9</x:v>
      </x:c>
      <x:c r="E1670" s="2" t="str">
        <x:v>land</x:v>
      </x:c>
      <x:c r="F1670" s="2" t="str">
        <x:v>sale_assumed</x:v>
      </x:c>
      <x:c r="G1670" s="11" t="n">
        <x:v>92</x:v>
      </x:c>
      <x:c r="H1670" s="12" t="n">
        <x:v>5300000000</x:v>
      </x:c>
      <x:c r="I1670" s="12" t="n">
        <x:v>57608695.652173914</x:v>
      </x:c>
      <x:c r="J1670" s="2" t="str">
        <x:v>total</x:v>
      </x:c>
      <x:c r="K1670" s="2" t="str">
        <x:v>top_level_price_embedded_area</x:v>
      </x:c>
      <x:c r="L1670" s="2" t="str">
        <x:v>area_recovered_from_price_text;property_type_inferred_from_title;transaction_assumed_sale_from_dataset_context</x:v>
      </x:c>
      <x:c r="M1670" s="10" t="n">
        <x:v>0</x:v>
      </x:c>
      <x:c r="N1670" s="10" t="n">
        <x:v>0</x:v>
      </x:c>
      <x:c r="O1670" s="2" t="str">
        <x:v>Tp Hồ Chí Minh|land</x:v>
      </x:c>
      <x:c r="P1670" s="10" t="n">
        <x:v>2</x:v>
      </x:c>
      <x:c r="Q1670" s="13" t="n">
        <x:f>IF(H1670="","",H1670/1000000000)</x:f>
        <x:v>5.3</x:v>
      </x:c>
      <x:c r="R1670" s="13" t="n">
        <x:f>IF(I1670="","",I1670/1000000)</x:f>
        <x:v>57.608695652173914</x:v>
      </x:c>
    </x:row>
    <x:row r="1671" ht="21" customHeight="1">
      <x:c r="A1671" s="10" t="n">
        <x:v>2536</x:v>
      </x:c>
      <x:c r="B1671" s="2" t="str">
        <x:v>5e98d0771d1c553ef3fe</x:v>
      </x:c>
      <x:c r="C1671" s="2" t="str">
        <x:v>Tây Ninh</x:v>
      </x:c>
      <x:c r="D1671" s="2" t="str">
        <x:v>Thành phố Tây Ninh</x:v>
      </x:c>
      <x:c r="E1671" s="2" t="str">
        <x:v>land</x:v>
      </x:c>
      <x:c r="F1671" s="2" t="str">
        <x:v>sale_assumed</x:v>
      </x:c>
      <x:c r="G1671" s="11" t="n">
        <x:v>661</x:v>
      </x:c>
      <x:c r="H1671" s="12" t="n">
        <x:v>3800000000</x:v>
      </x:c>
      <x:c r="I1671" s="12" t="n">
        <x:v>5748865.355521937</x:v>
      </x:c>
      <x:c r="J1671" s="2" t="str">
        <x:v>total</x:v>
      </x:c>
      <x:c r="K1671" s="2" t="str">
        <x:v>top_level_area</x:v>
      </x:c>
      <x:c r="L1671" s="2" t="str">
        <x:v>property_type_inferred_from_title;transaction_assumed_sale_from_dataset_context</x:v>
      </x:c>
      <x:c r="M1671" s="10" t="n">
        <x:v>0</x:v>
      </x:c>
      <x:c r="N1671" s="10" t="n">
        <x:v>0</x:v>
      </x:c>
      <x:c r="O1671" s="2" t="str">
        <x:v>land</x:v>
      </x:c>
      <x:c r="P1671" s="10" t="n">
        <x:v>1</x:v>
      </x:c>
      <x:c r="Q1671" s="13" t="n">
        <x:f>IF(H1671="","",H1671/1000000000)</x:f>
        <x:v>3.8</x:v>
      </x:c>
      <x:c r="R1671" s="13" t="n">
        <x:f>IF(I1671="","",I1671/1000000)</x:f>
        <x:v>5.748865355521937</x:v>
      </x:c>
    </x:row>
    <x:row r="1672" ht="21" customHeight="1">
      <x:c r="A1672" s="10" t="n">
        <x:v>2537</x:v>
      </x:c>
      <x:c r="B1672" s="2" t="str">
        <x:v>e930a5cecebb45d22fad</x:v>
      </x:c>
      <x:c r="C1672" s="2" t="str">
        <x:v>Đà Nẵng</x:v>
      </x:c>
      <x:c r="D1672" s="2" t="str">
        <x:v>Quận Cẩm Lệ</x:v>
      </x:c>
      <x:c r="E1672" s="2" t="str">
        <x:v>land</x:v>
      </x:c>
      <x:c r="F1672" s="2" t="str">
        <x:v>sale_assumed</x:v>
      </x:c>
      <x:c r="G1672" s="11" t="n">
        <x:v>3200</x:v>
      </x:c>
      <x:c r="H1672" s="12" t="n">
        <x:v>28100000000</x:v>
      </x:c>
      <x:c r="I1672" s="12" t="n">
        <x:v>8781250</x:v>
      </x:c>
      <x:c r="J1672" s="2" t="str">
        <x:v>total</x:v>
      </x:c>
      <x:c r="K1672" s="2" t="str">
        <x:v>top_level_area</x:v>
      </x:c>
      <x:c r="L1672" s="2" t="str">
        <x:v>dot_thousands_convention;property_type_inferred_from_title;transaction_assumed_sale_from_dataset_context</x:v>
      </x:c>
      <x:c r="M1672" s="10" t="n">
        <x:v>0</x:v>
      </x:c>
      <x:c r="N1672" s="10" t="n">
        <x:v>0</x:v>
      </x:c>
      <x:c r="O1672" s="2" t="str">
        <x:v>Đà Nẵng|land</x:v>
      </x:c>
      <x:c r="P1672" s="10" t="n">
        <x:v>1</x:v>
      </x:c>
      <x:c r="Q1672" s="13" t="n">
        <x:f>IF(H1672="","",H1672/1000000000)</x:f>
        <x:v>28.1</x:v>
      </x:c>
      <x:c r="R1672" s="13" t="n">
        <x:f>IF(I1672="","",I1672/1000000)</x:f>
        <x:v>8.78125</x:v>
      </x:c>
    </x:row>
    <x:row r="1673" ht="21" customHeight="1">
      <x:c r="A1673" s="10" t="n">
        <x:v>2540</x:v>
      </x:c>
      <x:c r="B1673" s="2" t="str">
        <x:v>95726adaf5e69e39156e</x:v>
      </x:c>
      <x:c r="C1673" s="2" t="str">
        <x:v>Tp Hồ Chí Minh</x:v>
      </x:c>
      <x:c r="D1673" s="2" t="str">
        <x:v>Quận Gò Vấp</x:v>
      </x:c>
      <x:c r="E1673" s="2" t="str">
        <x:v>land</x:v>
      </x:c>
      <x:c r="F1673" s="2" t="str">
        <x:v>sale</x:v>
      </x:c>
      <x:c r="G1673" s="11" t="n">
        <x:v>53</x:v>
      </x:c>
      <x:c r="H1673" s="12" t="n">
        <x:v>5890000000</x:v>
      </x:c>
      <x:c r="I1673" s="12" t="n">
        <x:v>111132075.47169812</x:v>
      </x:c>
      <x:c r="J1673" s="2" t="str">
        <x:v>total</x:v>
      </x:c>
      <x:c r="K1673" s="2" t="str">
        <x:v>top_level_area</x:v>
      </x:c>
      <x:c r="L1673" s="2" t="str">
        <x:v>property_type_inferred_from_title</x:v>
      </x:c>
      <x:c r="M1673" s="10" t="n">
        <x:v>0</x:v>
      </x:c>
      <x:c r="N1673" s="10" t="n">
        <x:v>1</x:v>
      </x:c>
      <x:c r="O1673" s="2" t="str">
        <x:v>Tp Hồ Chí Minh|land</x:v>
      </x:c>
      <x:c r="P1673" s="10" t="n">
        <x:v>-1</x:v>
      </x:c>
      <x:c r="Q1673" s="13" t="n">
        <x:f>IF(H1673="","",H1673/1000000000)</x:f>
        <x:v>5.89</x:v>
      </x:c>
      <x:c r="R1673" s="13" t="n">
        <x:f>IF(I1673="","",I1673/1000000)</x:f>
        <x:v>111.13207547169812</x:v>
      </x:c>
    </x:row>
    <x:row r="1674" ht="21" customHeight="1">
      <x:c r="A1674" s="10" t="n">
        <x:v>2541</x:v>
      </x:c>
      <x:c r="B1674" s="2" t="str">
        <x:v>c3a281f3e8970199eabd</x:v>
      </x:c>
      <x:c r="C1674" s="2" t="str">
        <x:v>Đà Nẵng</x:v>
      </x:c>
      <x:c r="D1674" s="2" t="str">
        <x:v>Quận Ngũ Hành Sơn</x:v>
      </x:c>
      <x:c r="E1674" s="2" t="str">
        <x:v>land</x:v>
      </x:c>
      <x:c r="F1674" s="2" t="str">
        <x:v>sale</x:v>
      </x:c>
      <x:c r="G1674" s="11" t="n">
        <x:v>82</x:v>
      </x:c>
      <x:c r="H1674" s="12" t="n">
        <x:v>4300000000</x:v>
      </x:c>
      <x:c r="I1674" s="12" t="n">
        <x:v>52439024.3902439</x:v>
      </x:c>
      <x:c r="J1674" s="2" t="str">
        <x:v>total</x:v>
      </x:c>
      <x:c r="K1674" s="2" t="str">
        <x:v>top_level_area</x:v>
      </x:c>
      <x:c r="L1674" s="2" t="str">
        <x:v>property_type_inferred_from_title</x:v>
      </x:c>
      <x:c r="M1674" s="10" t="n">
        <x:v>0</x:v>
      </x:c>
      <x:c r="N1674" s="10" t="n">
        <x:v>0</x:v>
      </x:c>
      <x:c r="O1674" s="2" t="str">
        <x:v>Đà Nẵng|land</x:v>
      </x:c>
      <x:c r="P1674" s="10" t="n">
        <x:v>2</x:v>
      </x:c>
      <x:c r="Q1674" s="13" t="n">
        <x:f>IF(H1674="","",H1674/1000000000)</x:f>
        <x:v>4.3</x:v>
      </x:c>
      <x:c r="R1674" s="13" t="n">
        <x:f>IF(I1674="","",I1674/1000000)</x:f>
        <x:v>52.4390243902439</x:v>
      </x:c>
    </x:row>
    <x:row r="1675" ht="21" customHeight="1">
      <x:c r="A1675" s="10" t="n">
        <x:v>2542</x:v>
      </x:c>
      <x:c r="B1675" s="2" t="str">
        <x:v>17ff403eb18bd45bcebc</x:v>
      </x:c>
      <x:c r="C1675" s="2" t="str">
        <x:v>Vĩnh Phúc</x:v>
      </x:c>
      <x:c r="D1675" s="2" t="str">
        <x:v>Thành phố Vĩnh Yên</x:v>
      </x:c>
      <x:c r="E1675" s="2" t="str">
        <x:v>house</x:v>
      </x:c>
      <x:c r="F1675" s="2" t="str">
        <x:v>sale</x:v>
      </x:c>
      <x:c r="G1675" s="11" t="n">
        <x:v>77.4</x:v>
      </x:c>
      <x:c r="H1675" s="12" t="n">
        <x:v>8500000000</x:v>
      </x:c>
      <x:c r="I1675" s="12" t="n">
        <x:v>109819121.44702841</x:v>
      </x:c>
      <x:c r="J1675" s="2" t="str">
        <x:v>total</x:v>
      </x:c>
      <x:c r="K1675" s="2" t="str">
        <x:v>top_level_area</x:v>
      </x:c>
      <x:c r="L1675" s="2" t="str">
        <x:v>property_type_inferred_from_title</x:v>
      </x:c>
      <x:c r="M1675" s="10" t="n">
        <x:v>0</x:v>
      </x:c>
      <x:c r="N1675" s="10" t="n">
        <x:v>0</x:v>
      </x:c>
      <x:c r="O1675" s="2" t="str">
        <x:v>house</x:v>
      </x:c>
      <x:c r="P1675" s="10" t="n">
        <x:v>2</x:v>
      </x:c>
      <x:c r="Q1675" s="13" t="n">
        <x:f>IF(H1675="","",H1675/1000000000)</x:f>
        <x:v>8.5</x:v>
      </x:c>
      <x:c r="R1675" s="13" t="n">
        <x:f>IF(I1675="","",I1675/1000000)</x:f>
        <x:v>109.81912144702841</x:v>
      </x:c>
    </x:row>
    <x:row r="1676" ht="21" customHeight="1">
      <x:c r="A1676" s="10" t="n">
        <x:v>2543</x:v>
      </x:c>
      <x:c r="B1676" s="2" t="str">
        <x:v>de6f368ef903768b4b80</x:v>
      </x:c>
      <x:c r="C1676" s="2" t="str">
        <x:v>Đắk Lắk</x:v>
      </x:c>
      <x:c r="D1676" s="2" t="str">
        <x:v>Thành phố Buôn Ma Thuột</x:v>
      </x:c>
      <x:c r="E1676" s="2" t="str">
        <x:v>other_unknown</x:v>
      </x:c>
      <x:c r="F1676" s="2" t="str">
        <x:v>sale_assumed</x:v>
      </x:c>
      <x:c r="G1676" s="11" t="n">
        <x:v>95</x:v>
      </x:c>
      <x:c r="H1676" s="12" t="n">
        <x:v>1450000000</x:v>
      </x:c>
      <x:c r="I1676" s="12" t="n">
        <x:v>15263157.894736841</x:v>
      </x:c>
      <x:c r="J1676" s="2" t="str">
        <x:v>total</x:v>
      </x:c>
      <x:c r="K1676" s="2" t="str">
        <x:v>top_level_area</x:v>
      </x:c>
      <x:c r="L1676" s="2" t="str">
        <x:v>property_type_inferred_from_title;transaction_assumed_sale_from_dataset_context;unknown_property_type</x:v>
      </x:c>
      <x:c r="M1676" s="10" t="n">
        <x:v>0</x:v>
      </x:c>
      <x:c r="N1676" s="10" t="n">
        <x:v>0</x:v>
      </x:c>
      <x:c r="O1676" s="2" t="str">
        <x:v>other_unknown</x:v>
      </x:c>
      <x:c r="P1676" s="10" t="n">
        <x:v>2</x:v>
      </x:c>
      <x:c r="Q1676" s="13" t="n">
        <x:f>IF(H1676="","",H1676/1000000000)</x:f>
        <x:v>1.45</x:v>
      </x:c>
      <x:c r="R1676" s="13" t="n">
        <x:f>IF(I1676="","",I1676/1000000)</x:f>
        <x:v>15.26315789473684</x:v>
      </x:c>
    </x:row>
    <x:row r="1677" ht="21" customHeight="1">
      <x:c r="A1677" s="10" t="n">
        <x:v>2544</x:v>
      </x:c>
      <x:c r="B1677" s="2" t="str">
        <x:v>be283ea091bb3285a720</x:v>
      </x:c>
      <x:c r="C1677" s="2" t="str">
        <x:v>Bình Dương</x:v>
      </x:c>
      <x:c r="D1677" s="2" t="str">
        <x:v>Thị xã Thuận An</x:v>
      </x:c>
      <x:c r="E1677" s="2" t="str">
        <x:v>land</x:v>
      </x:c>
      <x:c r="F1677" s="2" t="str">
        <x:v>sale_assumed</x:v>
      </x:c>
      <x:c r="G1677" s="11" t="n">
        <x:v>67</x:v>
      </x:c>
      <x:c r="H1677" s="12" t="n">
        <x:v>750000000</x:v>
      </x:c>
      <x:c r="I1677" s="12" t="n">
        <x:v>11194029.850746268</x:v>
      </x:c>
      <x:c r="J1677" s="2" t="str">
        <x:v>total</x:v>
      </x:c>
      <x:c r="K1677" s="2" t="str">
        <x:v>top_level_area</x:v>
      </x:c>
      <x:c r="L1677" s="2" t="str">
        <x:v>property_type_inferred_from_title;transaction_assumed_sale_from_dataset_context</x:v>
      </x:c>
      <x:c r="M1677" s="10" t="n">
        <x:v>0</x:v>
      </x:c>
      <x:c r="N1677" s="10" t="n">
        <x:v>0</x:v>
      </x:c>
      <x:c r="O1677" s="2" t="str">
        <x:v>Bình Dương|land</x:v>
      </x:c>
      <x:c r="P1677" s="10" t="n">
        <x:v>2</x:v>
      </x:c>
      <x:c r="Q1677" s="13" t="n">
        <x:f>IF(H1677="","",H1677/1000000000)</x:f>
        <x:v>0.75</x:v>
      </x:c>
      <x:c r="R1677" s="13" t="n">
        <x:f>IF(I1677="","",I1677/1000000)</x:f>
        <x:v>11.194029850746269</x:v>
      </x:c>
    </x:row>
    <x:row r="1678" ht="21" customHeight="1">
      <x:c r="A1678" s="10" t="n">
        <x:v>2545</x:v>
      </x:c>
      <x:c r="B1678" s="2" t="str">
        <x:v>c936edd25f5759bfb4fb</x:v>
      </x:c>
      <x:c r="C1678" s="2" t="str">
        <x:v>Tp Hồ Chí Minh</x:v>
      </x:c>
      <x:c r="D1678" s="2" t="str">
        <x:v>Quận Bình Tân</x:v>
      </x:c>
      <x:c r="E1678" s="2" t="str">
        <x:v>other_unknown</x:v>
      </x:c>
      <x:c r="F1678" s="2" t="str">
        <x:v>sale_assumed</x:v>
      </x:c>
      <x:c r="G1678" s="11" t="n">
        <x:v>46</x:v>
      </x:c>
      <x:c r="H1678" s="12" t="n">
        <x:v>3200000000</x:v>
      </x:c>
      <x:c r="I1678" s="12" t="n">
        <x:v>69565217.39130434</x:v>
      </x:c>
      <x:c r="J1678" s="2" t="str">
        <x:v>total</x:v>
      </x:c>
      <x:c r="K1678" s="2" t="str">
        <x:v>top_level_area</x:v>
      </x:c>
      <x:c r="L1678" s="2" t="str">
        <x:v>property_type_inferred_from_title;transaction_assumed_sale_from_dataset_context;unknown_property_type</x:v>
      </x:c>
      <x:c r="M1678" s="10" t="n">
        <x:v>0</x:v>
      </x:c>
      <x:c r="N1678" s="10" t="n">
        <x:v>0</x:v>
      </x:c>
      <x:c r="O1678" s="2" t="str">
        <x:v>Tp Hồ Chí Minh|other_unknown</x:v>
      </x:c>
      <x:c r="P1678" s="10" t="n">
        <x:v>2</x:v>
      </x:c>
      <x:c r="Q1678" s="13" t="n">
        <x:f>IF(H1678="","",H1678/1000000000)</x:f>
        <x:v>3.2</x:v>
      </x:c>
      <x:c r="R1678" s="13" t="n">
        <x:f>IF(I1678="","",I1678/1000000)</x:f>
        <x:v>69.56521739130434</x:v>
      </x:c>
    </x:row>
    <x:row r="1679" ht="21" customHeight="1">
      <x:c r="A1679" s="10" t="n">
        <x:v>2546</x:v>
      </x:c>
      <x:c r="B1679" s="2" t="str">
        <x:v>23e40f2cf8ee1c386753</x:v>
      </x:c>
      <x:c r="C1679" s="2" t="str">
        <x:v>Tp Hồ Chí Minh</x:v>
      </x:c>
      <x:c r="D1679" s="2" t="str">
        <x:v>Huyện Hóc Môn</x:v>
      </x:c>
      <x:c r="E1679" s="2" t="str">
        <x:v>house</x:v>
      </x:c>
      <x:c r="F1679" s="2" t="str">
        <x:v>sale_assumed</x:v>
      </x:c>
      <x:c r="G1679" s="11" t="n">
        <x:v>45</x:v>
      </x:c>
      <x:c r="H1679" s="12" t="n">
        <x:v>1450000000</x:v>
      </x:c>
      <x:c r="I1679" s="12" t="n">
        <x:v>32222222.222222224</x:v>
      </x:c>
      <x:c r="J1679" s="2" t="str">
        <x:v>total</x:v>
      </x:c>
      <x:c r="K1679" s="2" t="str">
        <x:v>top_level_area</x:v>
      </x:c>
      <x:c r="L1679" s="2" t="str">
        <x:v>property_type_inferred_from_title;transaction_assumed_sale_from_dataset_context</x:v>
      </x:c>
      <x:c r="M1679" s="10" t="n">
        <x:v>0</x:v>
      </x:c>
      <x:c r="N1679" s="10" t="n">
        <x:v>0</x:v>
      </x:c>
      <x:c r="O1679" s="2" t="str">
        <x:v>Tp Hồ Chí Minh|house</x:v>
      </x:c>
      <x:c r="P1679" s="10" t="n">
        <x:v>2</x:v>
      </x:c>
      <x:c r="Q1679" s="13" t="n">
        <x:f>IF(H1679="","",H1679/1000000000)</x:f>
        <x:v>1.45</x:v>
      </x:c>
      <x:c r="R1679" s="13" t="n">
        <x:f>IF(I1679="","",I1679/1000000)</x:f>
        <x:v>32.22222222222222</x:v>
      </x:c>
    </x:row>
    <x:row r="1680" ht="21" customHeight="1">
      <x:c r="A1680" s="10" t="n">
        <x:v>2548</x:v>
      </x:c>
      <x:c r="B1680" s="2" t="str">
        <x:v>c70e3ce54a90eabbe71d</x:v>
      </x:c>
      <x:c r="C1680" s="2" t="str">
        <x:v>Tp Hồ Chí Minh</x:v>
      </x:c>
      <x:c r="D1680" s="2" t="str">
        <x:v>Quận Bình Thạnh</x:v>
      </x:c>
      <x:c r="E1680" s="2" t="str">
        <x:v>house</x:v>
      </x:c>
      <x:c r="F1680" s="2" t="str">
        <x:v>sale_assumed</x:v>
      </x:c>
      <x:c r="G1680" s="11" t="n">
        <x:v>53</x:v>
      </x:c>
      <x:c r="H1680" s="12" t="n">
        <x:v>6900000000</x:v>
      </x:c>
      <x:c r="I1680" s="12" t="n">
        <x:v>130188679.24528302</x:v>
      </x:c>
      <x:c r="J1680" s="2" t="str">
        <x:v>total</x:v>
      </x:c>
      <x:c r="K1680" s="2" t="str">
        <x:v>top_level_area</x:v>
      </x:c>
      <x:c r="L1680" s="2" t="str">
        <x:v>property_type_inferred_from_title;transaction_assumed_sale_from_dataset_context</x:v>
      </x:c>
      <x:c r="M1680" s="10" t="n">
        <x:v>0</x:v>
      </x:c>
      <x:c r="N1680" s="10" t="n">
        <x:v>0</x:v>
      </x:c>
      <x:c r="O1680" s="2" t="str">
        <x:v>Tp Hồ Chí Minh|house</x:v>
      </x:c>
      <x:c r="P1680" s="10" t="n">
        <x:v>2</x:v>
      </x:c>
      <x:c r="Q1680" s="13" t="n">
        <x:f>IF(H1680="","",H1680/1000000000)</x:f>
        <x:v>6.9</x:v>
      </x:c>
      <x:c r="R1680" s="13" t="n">
        <x:f>IF(I1680="","",I1680/1000000)</x:f>
        <x:v>130.18867924528303</x:v>
      </x:c>
    </x:row>
    <x:row r="1681" ht="21" customHeight="1">
      <x:c r="A1681" s="10" t="n">
        <x:v>2549</x:v>
      </x:c>
      <x:c r="B1681" s="2" t="str">
        <x:v>3b61c085b8a72eb7b35f</x:v>
      </x:c>
      <x:c r="C1681" s="2" t="str">
        <x:v>Tp Hồ Chí Minh</x:v>
      </x:c>
      <x:c r="D1681" s="2" t="str">
        <x:v>Quận Thủ Đức</x:v>
      </x:c>
      <x:c r="E1681" s="2" t="str">
        <x:v>house</x:v>
      </x:c>
      <x:c r="F1681" s="2" t="str">
        <x:v>sale_assumed</x:v>
      </x:c>
      <x:c r="G1681" s="11" t="n">
        <x:v>50</x:v>
      </x:c>
      <x:c r="H1681" s="12" t="n">
        <x:v>760000000</x:v>
      </x:c>
      <x:c r="I1681" s="12" t="n">
        <x:v>15200000</x:v>
      </x:c>
      <x:c r="J1681" s="2" t="str">
        <x:v>total</x:v>
      </x:c>
      <x:c r="K1681" s="2" t="str">
        <x:v>top_level_area</x:v>
      </x:c>
      <x:c r="L1681" s="2" t="str">
        <x:v>property_type_inferred_from_title;transaction_assumed_sale_from_dataset_context</x:v>
      </x:c>
      <x:c r="M1681" s="10" t="n">
        <x:v>0</x:v>
      </x:c>
      <x:c r="N1681" s="10" t="n">
        <x:v>0</x:v>
      </x:c>
      <x:c r="O1681" s="2" t="str">
        <x:v>Tp Hồ Chí Minh|house</x:v>
      </x:c>
      <x:c r="P1681" s="10" t="n">
        <x:v>2</x:v>
      </x:c>
      <x:c r="Q1681" s="13" t="n">
        <x:f>IF(H1681="","",H1681/1000000000)</x:f>
        <x:v>0.76</x:v>
      </x:c>
      <x:c r="R1681" s="13" t="n">
        <x:f>IF(I1681="","",I1681/1000000)</x:f>
        <x:v>15.2</x:v>
      </x:c>
    </x:row>
    <x:row r="1682" ht="21" customHeight="1">
      <x:c r="A1682" s="10" t="n">
        <x:v>2550</x:v>
      </x:c>
      <x:c r="B1682" s="2" t="str">
        <x:v>cb5fbb19d4323ffa252d</x:v>
      </x:c>
      <x:c r="C1682" s="2" t="str">
        <x:v>Tp Hồ Chí Minh</x:v>
      </x:c>
      <x:c r="D1682" s="2" t="str">
        <x:v>Quận 10</x:v>
      </x:c>
      <x:c r="E1682" s="2" t="str">
        <x:v>house</x:v>
      </x:c>
      <x:c r="F1682" s="2" t="str">
        <x:v>sale_assumed</x:v>
      </x:c>
      <x:c r="G1682" s="11" t="n">
        <x:v>65</x:v>
      </x:c>
      <x:c r="H1682" s="12" t="n">
        <x:v>970000000</x:v>
      </x:c>
      <x:c r="I1682" s="12" t="n">
        <x:v>14923076.923076924</x:v>
      </x:c>
      <x:c r="J1682" s="2" t="str">
        <x:v>total</x:v>
      </x:c>
      <x:c r="K1682" s="2" t="str">
        <x:v>top_level_area</x:v>
      </x:c>
      <x:c r="L1682" s="2" t="str">
        <x:v>property_type_inferred_from_title;transaction_assumed_sale_from_dataset_context</x:v>
      </x:c>
      <x:c r="M1682" s="10" t="n">
        <x:v>0</x:v>
      </x:c>
      <x:c r="N1682" s="10" t="n">
        <x:v>0</x:v>
      </x:c>
      <x:c r="O1682" s="2" t="str">
        <x:v>Tp Hồ Chí Minh|house</x:v>
      </x:c>
      <x:c r="P1682" s="10" t="n">
        <x:v>2</x:v>
      </x:c>
      <x:c r="Q1682" s="13" t="n">
        <x:f>IF(H1682="","",H1682/1000000000)</x:f>
        <x:v>0.97</x:v>
      </x:c>
      <x:c r="R1682" s="13" t="n">
        <x:f>IF(I1682="","",I1682/1000000)</x:f>
        <x:v>14.923076923076923</x:v>
      </x:c>
    </x:row>
    <x:row r="1683" ht="21" customHeight="1">
      <x:c r="A1683" s="10" t="n">
        <x:v>2551</x:v>
      </x:c>
      <x:c r="B1683" s="2" t="str">
        <x:v>5e22c3374a4a16c591f8</x:v>
      </x:c>
      <x:c r="C1683" s="2" t="str">
        <x:v>Đà Nẵng</x:v>
      </x:c>
      <x:c r="D1683" s="2" t="str">
        <x:v>Quận Thanh Khê</x:v>
      </x:c>
      <x:c r="E1683" s="2" t="str">
        <x:v>house</x:v>
      </x:c>
      <x:c r="F1683" s="2" t="str">
        <x:v>sale</x:v>
      </x:c>
      <x:c r="G1683" s="11" t="n">
        <x:v>68</x:v>
      </x:c>
      <x:c r="H1683" s="12" t="n">
        <x:v>4090000000</x:v>
      </x:c>
      <x:c r="I1683" s="12" t="n">
        <x:v>60147058.823529415</x:v>
      </x:c>
      <x:c r="J1683" s="2" t="str">
        <x:v>total</x:v>
      </x:c>
      <x:c r="K1683" s="2" t="str">
        <x:v>top_level_area</x:v>
      </x:c>
      <x:c r="L1683" s="2" t="str">
        <x:v>property_type_inferred_from_title</x:v>
      </x:c>
      <x:c r="M1683" s="10" t="n">
        <x:v>0</x:v>
      </x:c>
      <x:c r="N1683" s="10" t="n">
        <x:v>0</x:v>
      </x:c>
      <x:c r="O1683" s="2" t="str">
        <x:v>Đà Nẵng|house</x:v>
      </x:c>
      <x:c r="P1683" s="10" t="n">
        <x:v>2</x:v>
      </x:c>
      <x:c r="Q1683" s="13" t="n">
        <x:f>IF(H1683="","",H1683/1000000000)</x:f>
        <x:v>4.09</x:v>
      </x:c>
      <x:c r="R1683" s="13" t="n">
        <x:f>IF(I1683="","",I1683/1000000)</x:f>
        <x:v>60.14705882352941</x:v>
      </x:c>
    </x:row>
    <x:row r="1684" ht="21" customHeight="1">
      <x:c r="A1684" s="10" t="n">
        <x:v>2552</x:v>
      </x:c>
      <x:c r="B1684" s="2" t="str">
        <x:v>0f0a713d72e599abeb73</x:v>
      </x:c>
      <x:c r="C1684" s="2" t="str">
        <x:v>Tp Hồ Chí Minh</x:v>
      </x:c>
      <x:c r="D1684" s="2" t="str">
        <x:v>Quận Bình Tân</x:v>
      </x:c>
      <x:c r="E1684" s="2" t="str">
        <x:v>house</x:v>
      </x:c>
      <x:c r="F1684" s="2" t="str">
        <x:v>sale</x:v>
      </x:c>
      <x:c r="G1684" s="11" t="n">
        <x:v>27</x:v>
      </x:c>
      <x:c r="H1684" s="12" t="n">
        <x:v>400000000</x:v>
      </x:c>
      <x:c r="I1684" s="12" t="n">
        <x:v>14814814.814814815</x:v>
      </x:c>
      <x:c r="J1684" s="2" t="str">
        <x:v>total</x:v>
      </x:c>
      <x:c r="K1684" s="2" t="str">
        <x:v>top_level_price_embedded_area</x:v>
      </x:c>
      <x:c r="L1684" s="2" t="str">
        <x:v>area_recovered_from_price_text;property_type_inferred_from_title</x:v>
      </x:c>
      <x:c r="M1684" s="10" t="n">
        <x:v>0</x:v>
      </x:c>
      <x:c r="N1684" s="10" t="n">
        <x:v>0</x:v>
      </x:c>
      <x:c r="O1684" s="2" t="str">
        <x:v>Tp Hồ Chí Minh|house</x:v>
      </x:c>
      <x:c r="P1684" s="10" t="n">
        <x:v>2</x:v>
      </x:c>
      <x:c r="Q1684" s="13" t="n">
        <x:f>IF(H1684="","",H1684/1000000000)</x:f>
        <x:v>0.4</x:v>
      </x:c>
      <x:c r="R1684" s="13" t="n">
        <x:f>IF(I1684="","",I1684/1000000)</x:f>
        <x:v>14.814814814814815</x:v>
      </x:c>
    </x:row>
    <x:row r="1685" ht="21" customHeight="1">
      <x:c r="A1685" s="10" t="n">
        <x:v>2553</x:v>
      </x:c>
      <x:c r="B1685" s="2" t="str">
        <x:v>19f5ece7c341c19599f6</x:v>
      </x:c>
      <x:c r="C1685" s="2" t="str">
        <x:v>Bình Dương</x:v>
      </x:c>
      <x:c r="D1685" s="2" t="str">
        <x:v>Thị xã Bến Cát</x:v>
      </x:c>
      <x:c r="E1685" s="2" t="str">
        <x:v>other_unknown</x:v>
      </x:c>
      <x:c r="F1685" s="2" t="str">
        <x:v>sale_assumed</x:v>
      </x:c>
      <x:c r="G1685" s="11" t="n">
        <x:v>300</x:v>
      </x:c>
      <x:c r="H1685" s="12" t="n">
        <x:v>850000000</x:v>
      </x:c>
      <x:c r="I1685" s="12" t="n">
        <x:v>2833333.3333333335</x:v>
      </x:c>
      <x:c r="J1685" s="2" t="str">
        <x:v>total</x:v>
      </x:c>
      <x:c r="K1685" s="2" t="str">
        <x:v>top_level_area</x:v>
      </x:c>
      <x:c r="L1685" s="2" t="str">
        <x:v>property_type_inferred_from_title;transaction_assumed_sale_from_dataset_context;unknown_property_type</x:v>
      </x:c>
      <x:c r="M1685" s="10" t="n">
        <x:v>0</x:v>
      </x:c>
      <x:c r="N1685" s="10" t="n">
        <x:v>0</x:v>
      </x:c>
      <x:c r="O1685" s="2" t="str">
        <x:v>Bình Dương|other_unknown</x:v>
      </x:c>
      <x:c r="P1685" s="10" t="n">
        <x:v>1</x:v>
      </x:c>
      <x:c r="Q1685" s="13" t="n">
        <x:f>IF(H1685="","",H1685/1000000000)</x:f>
        <x:v>0.85</x:v>
      </x:c>
      <x:c r="R1685" s="13" t="n">
        <x:f>IF(I1685="","",I1685/1000000)</x:f>
        <x:v>2.8333333333333335</x:v>
      </x:c>
    </x:row>
    <x:row r="1686" ht="21" customHeight="1">
      <x:c r="A1686" s="10" t="n">
        <x:v>2554</x:v>
      </x:c>
      <x:c r="B1686" s="2" t="str">
        <x:v>8fea7ad7c43e06687b8f</x:v>
      </x:c>
      <x:c r="C1686" s="2" t="str">
        <x:v>Bình Phước</x:v>
      </x:c>
      <x:c r="D1686" s="2" t="str">
        <x:v>Huyện Đồng Phú</x:v>
      </x:c>
      <x:c r="E1686" s="2" t="str">
        <x:v>land</x:v>
      </x:c>
      <x:c r="F1686" s="2" t="str">
        <x:v>sale</x:v>
      </x:c>
      <x:c r="G1686" s="11" t="n">
        <x:v>200</x:v>
      </x:c>
      <x:c r="H1686" s="12" t="n">
        <x:v>650000000</x:v>
      </x:c>
      <x:c r="I1686" s="12" t="n">
        <x:v>3250000</x:v>
      </x:c>
      <x:c r="J1686" s="2" t="str">
        <x:v>total</x:v>
      </x:c>
      <x:c r="K1686" s="2" t="str">
        <x:v>top_level_price_embedded_area</x:v>
      </x:c>
      <x:c r="L1686" s="2" t="str">
        <x:v>area_recovered_from_price_text;property_type_inferred_from_title</x:v>
      </x:c>
      <x:c r="M1686" s="10" t="n">
        <x:v>0</x:v>
      </x:c>
      <x:c r="N1686" s="10" t="n">
        <x:v>0</x:v>
      </x:c>
      <x:c r="O1686" s="2" t="str">
        <x:v>Bình Phước|land</x:v>
      </x:c>
      <x:c r="P1686" s="10" t="n">
        <x:v>1</x:v>
      </x:c>
      <x:c r="Q1686" s="13" t="n">
        <x:f>IF(H1686="","",H1686/1000000000)</x:f>
        <x:v>0.65</x:v>
      </x:c>
      <x:c r="R1686" s="13" t="n">
        <x:f>IF(I1686="","",I1686/1000000)</x:f>
        <x:v>3.25</x:v>
      </x:c>
    </x:row>
    <x:row r="1687" ht="21" customHeight="1">
      <x:c r="A1687" s="10" t="n">
        <x:v>2555</x:v>
      </x:c>
      <x:c r="B1687" s="2" t="str">
        <x:v>5534ca5a55ff391a6002</x:v>
      </x:c>
      <x:c r="C1687" s="2" t="str">
        <x:v>Tp Hồ Chí Minh</x:v>
      </x:c>
      <x:c r="D1687" s="2" t="str">
        <x:v>Quận Bình Tân</x:v>
      </x:c>
      <x:c r="E1687" s="2" t="str">
        <x:v>house</x:v>
      </x:c>
      <x:c r="F1687" s="2" t="str">
        <x:v>sale_assumed</x:v>
      </x:c>
      <x:c r="G1687" s="11" t="n">
        <x:v>120</x:v>
      </x:c>
      <x:c r="H1687" s="12" t="n">
        <x:v>2450000000</x:v>
      </x:c>
      <x:c r="I1687" s="12" t="n">
        <x:v>20416666.666666668</x:v>
      </x:c>
      <x:c r="J1687" s="2" t="str">
        <x:v>total</x:v>
      </x:c>
      <x:c r="K1687" s="2" t="str">
        <x:v>top_level_area</x:v>
      </x:c>
      <x:c r="L1687" s="2" t="str">
        <x:v>property_type_inferred_from_title;transaction_assumed_sale_from_dataset_context</x:v>
      </x:c>
      <x:c r="M1687" s="10" t="n">
        <x:v>0</x:v>
      </x:c>
      <x:c r="N1687" s="10" t="n">
        <x:v>0</x:v>
      </x:c>
      <x:c r="O1687" s="2" t="str">
        <x:v>Tp Hồ Chí Minh|house</x:v>
      </x:c>
      <x:c r="P1687" s="10" t="n">
        <x:v>2</x:v>
      </x:c>
      <x:c r="Q1687" s="13" t="n">
        <x:f>IF(H1687="","",H1687/1000000000)</x:f>
        <x:v>2.45</x:v>
      </x:c>
      <x:c r="R1687" s="13" t="n">
        <x:f>IF(I1687="","",I1687/1000000)</x:f>
        <x:v>20.416666666666668</x:v>
      </x:c>
    </x:row>
    <x:row r="1688" ht="21" customHeight="1">
      <x:c r="A1688" s="10" t="n">
        <x:v>2556</x:v>
      </x:c>
      <x:c r="B1688" s="2" t="str">
        <x:v>39c3bda187d57e9bab14</x:v>
      </x:c>
      <x:c r="C1688" s="2" t="str">
        <x:v>Tp Hồ Chí Minh</x:v>
      </x:c>
      <x:c r="D1688" s="2" t="str">
        <x:v>Quận 5</x:v>
      </x:c>
      <x:c r="E1688" s="2" t="str">
        <x:v>house</x:v>
      </x:c>
      <x:c r="F1688" s="2" t="str">
        <x:v>sale_assumed</x:v>
      </x:c>
      <x:c r="G1688" s="11" t="n">
        <x:v>64</x:v>
      </x:c>
      <x:c r="H1688" s="12" t="n">
        <x:v>1180000000</x:v>
      </x:c>
      <x:c r="I1688" s="12" t="n">
        <x:v>18437500</x:v>
      </x:c>
      <x:c r="J1688" s="2" t="str">
        <x:v>total</x:v>
      </x:c>
      <x:c r="K1688" s="2" t="str">
        <x:v>top_level_area</x:v>
      </x:c>
      <x:c r="L1688" s="2" t="str">
        <x:v>property_type_inferred_from_title;transaction_assumed_sale_from_dataset_context</x:v>
      </x:c>
      <x:c r="M1688" s="10" t="n">
        <x:v>0</x:v>
      </x:c>
      <x:c r="N1688" s="10" t="n">
        <x:v>0</x:v>
      </x:c>
      <x:c r="O1688" s="2" t="str">
        <x:v>Tp Hồ Chí Minh|house</x:v>
      </x:c>
      <x:c r="P1688" s="10" t="n">
        <x:v>2</x:v>
      </x:c>
      <x:c r="Q1688" s="13" t="n">
        <x:f>IF(H1688="","",H1688/1000000000)</x:f>
        <x:v>1.18</x:v>
      </x:c>
      <x:c r="R1688" s="13" t="n">
        <x:f>IF(I1688="","",I1688/1000000)</x:f>
        <x:v>18.4375</x:v>
      </x:c>
    </x:row>
    <x:row r="1689" ht="21" customHeight="1">
      <x:c r="A1689" s="10" t="n">
        <x:v>2557</x:v>
      </x:c>
      <x:c r="B1689" s="2" t="str">
        <x:v>40d8a369e0d19e4d1401</x:v>
      </x:c>
      <x:c r="C1689" s="2" t="str">
        <x:v>Bình Dương</x:v>
      </x:c>
      <x:c r="D1689" s="2" t="str">
        <x:v>Thị xã Thuận An</x:v>
      </x:c>
      <x:c r="E1689" s="2" t="str">
        <x:v>house</x:v>
      </x:c>
      <x:c r="F1689" s="2" t="str">
        <x:v>sale</x:v>
      </x:c>
      <x:c r="G1689" s="11" t="n">
        <x:v>80</x:v>
      </x:c>
      <x:c r="H1689" s="12" t="n">
        <x:v>1900000000</x:v>
      </x:c>
      <x:c r="I1689" s="12" t="n">
        <x:v>23750000</x:v>
      </x:c>
      <x:c r="J1689" s="2" t="str">
        <x:v>total</x:v>
      </x:c>
      <x:c r="K1689" s="2" t="str">
        <x:v>top_level_area</x:v>
      </x:c>
      <x:c r="L1689" s="2" t="str">
        <x:v>property_type_inferred_from_title</x:v>
      </x:c>
      <x:c r="M1689" s="10" t="n">
        <x:v>0</x:v>
      </x:c>
      <x:c r="N1689" s="10" t="n">
        <x:v>0</x:v>
      </x:c>
      <x:c r="O1689" s="2" t="str">
        <x:v>Bình Dương|house</x:v>
      </x:c>
      <x:c r="P1689" s="10" t="n">
        <x:v>2</x:v>
      </x:c>
      <x:c r="Q1689" s="13" t="n">
        <x:f>IF(H1689="","",H1689/1000000000)</x:f>
        <x:v>1.9</x:v>
      </x:c>
      <x:c r="R1689" s="13" t="n">
        <x:f>IF(I1689="","",I1689/1000000)</x:f>
        <x:v>23.75</x:v>
      </x:c>
    </x:row>
    <x:row r="1690" ht="21" customHeight="1">
      <x:c r="A1690" s="10" t="n">
        <x:v>2558</x:v>
      </x:c>
      <x:c r="B1690" s="2" t="str">
        <x:v>24174d183ca764c248d9</x:v>
      </x:c>
      <x:c r="C1690" s="2" t="str">
        <x:v>Tp Hồ Chí Minh</x:v>
      </x:c>
      <x:c r="D1690" s="2" t="str">
        <x:v>Quận 12</x:v>
      </x:c>
      <x:c r="E1690" s="2" t="str">
        <x:v>other_unknown</x:v>
      </x:c>
      <x:c r="F1690" s="2" t="str">
        <x:v>sale_assumed</x:v>
      </x:c>
      <x:c r="G1690" s="11" t="n">
        <x:v>40</x:v>
      </x:c>
      <x:c r="H1690" s="12" t="n">
        <x:v>2550000000</x:v>
      </x:c>
      <x:c r="I1690" s="12" t="n">
        <x:v>63750000</x:v>
      </x:c>
      <x:c r="J1690" s="2" t="str">
        <x:v>total</x:v>
      </x:c>
      <x:c r="K1690" s="2" t="str">
        <x:v>top_level_area</x:v>
      </x:c>
      <x:c r="L1690" s="2" t="str">
        <x:v>property_type_inferred_from_title;transaction_assumed_sale_from_dataset_context;unknown_property_type</x:v>
      </x:c>
      <x:c r="M1690" s="10" t="n">
        <x:v>0</x:v>
      </x:c>
      <x:c r="N1690" s="10" t="n">
        <x:v>0</x:v>
      </x:c>
      <x:c r="O1690" s="2" t="str">
        <x:v>Tp Hồ Chí Minh|other_unknown</x:v>
      </x:c>
      <x:c r="P1690" s="10" t="n">
        <x:v>2</x:v>
      </x:c>
      <x:c r="Q1690" s="13" t="n">
        <x:f>IF(H1690="","",H1690/1000000000)</x:f>
        <x:v>2.55</x:v>
      </x:c>
      <x:c r="R1690" s="13" t="n">
        <x:f>IF(I1690="","",I1690/1000000)</x:f>
        <x:v>63.75</x:v>
      </x:c>
    </x:row>
    <x:row r="1691" ht="21" customHeight="1">
      <x:c r="A1691" s="10" t="n">
        <x:v>2559</x:v>
      </x:c>
      <x:c r="B1691" s="2" t="str">
        <x:v>ad5cd33235bef1044fe8</x:v>
      </x:c>
      <x:c r="C1691" s="2" t="str">
        <x:v>Cần Thơ</x:v>
      </x:c>
      <x:c r="D1691" s="2" t="str">
        <x:v>Quận Ninh Kiều</x:v>
      </x:c>
      <x:c r="E1691" s="2" t="str">
        <x:v>house</x:v>
      </x:c>
      <x:c r="F1691" s="2" t="str">
        <x:v>sale</x:v>
      </x:c>
      <x:c r="G1691" s="11" t="n">
        <x:v>60</x:v>
      </x:c>
      <x:c r="H1691" s="12" t="n">
        <x:v>1630000000</x:v>
      </x:c>
      <x:c r="I1691" s="12" t="n">
        <x:v>27166666.666666668</x:v>
      </x:c>
      <x:c r="J1691" s="2" t="str">
        <x:v>total</x:v>
      </x:c>
      <x:c r="K1691" s="2" t="str">
        <x:v>top_level_area</x:v>
      </x:c>
      <x:c r="L1691" s="2" t="str">
        <x:v>property_type_inferred_from_title</x:v>
      </x:c>
      <x:c r="M1691" s="10" t="n">
        <x:v>0</x:v>
      </x:c>
      <x:c r="N1691" s="10" t="n">
        <x:v>0</x:v>
      </x:c>
      <x:c r="O1691" s="2" t="str">
        <x:v>Cần Thơ|house</x:v>
      </x:c>
      <x:c r="P1691" s="10" t="n">
        <x:v>2</x:v>
      </x:c>
      <x:c r="Q1691" s="13" t="n">
        <x:f>IF(H1691="","",H1691/1000000000)</x:f>
        <x:v>1.63</x:v>
      </x:c>
      <x:c r="R1691" s="13" t="n">
        <x:f>IF(I1691="","",I1691/1000000)</x:f>
        <x:v>27.166666666666668</x:v>
      </x:c>
    </x:row>
    <x:row r="1692" ht="21" customHeight="1">
      <x:c r="A1692" s="10" t="n">
        <x:v>2560</x:v>
      </x:c>
      <x:c r="B1692" s="2" t="str">
        <x:v>d57ed1dc0501a1685288</x:v>
      </x:c>
      <x:c r="C1692" s="2" t="str">
        <x:v>Tp Hồ Chí Minh</x:v>
      </x:c>
      <x:c r="D1692" s="2" t="str">
        <x:v>Quận 12</x:v>
      </x:c>
      <x:c r="E1692" s="2" t="str">
        <x:v>house</x:v>
      </x:c>
      <x:c r="F1692" s="2" t="str">
        <x:v>sale_assumed</x:v>
      </x:c>
      <x:c r="G1692" s="11" t="n">
        <x:v>30</x:v>
      </x:c>
      <x:c r="H1692" s="12" t="n">
        <x:v>830000000</x:v>
      </x:c>
      <x:c r="I1692" s="12" t="n">
        <x:v>27666666.666666668</x:v>
      </x:c>
      <x:c r="J1692" s="2" t="str">
        <x:v>total</x:v>
      </x:c>
      <x:c r="K1692" s="2" t="str">
        <x:v>top_level_area</x:v>
      </x:c>
      <x:c r="L1692" s="2" t="str">
        <x:v>property_type_inferred_from_title;transaction_assumed_sale_from_dataset_context</x:v>
      </x:c>
      <x:c r="M1692" s="10" t="n">
        <x:v>0</x:v>
      </x:c>
      <x:c r="N1692" s="10" t="n">
        <x:v>0</x:v>
      </x:c>
      <x:c r="O1692" s="2" t="str">
        <x:v>Tp Hồ Chí Minh|house</x:v>
      </x:c>
      <x:c r="P1692" s="10" t="n">
        <x:v>2</x:v>
      </x:c>
      <x:c r="Q1692" s="13" t="n">
        <x:f>IF(H1692="","",H1692/1000000000)</x:f>
        <x:v>0.83</x:v>
      </x:c>
      <x:c r="R1692" s="13" t="n">
        <x:f>IF(I1692="","",I1692/1000000)</x:f>
        <x:v>27.666666666666668</x:v>
      </x:c>
    </x:row>
    <x:row r="1693" ht="21" customHeight="1">
      <x:c r="A1693" s="10" t="n">
        <x:v>2561</x:v>
      </x:c>
      <x:c r="B1693" s="2" t="str">
        <x:v>591c694ed9f7cd8a82f1</x:v>
      </x:c>
      <x:c r="C1693" s="2" t="str">
        <x:v>Tp Hồ Chí Minh</x:v>
      </x:c>
      <x:c r="D1693" s="2" t="str">
        <x:v>Quận 12</x:v>
      </x:c>
      <x:c r="E1693" s="2" t="str">
        <x:v>land</x:v>
      </x:c>
      <x:c r="F1693" s="2" t="str">
        <x:v>sale_assumed</x:v>
      </x:c>
      <x:c r="G1693" s="11" t="n">
        <x:v>44</x:v>
      </x:c>
      <x:c r="H1693" s="12" t="n">
        <x:v>450000000</x:v>
      </x:c>
      <x:c r="I1693" s="12" t="n">
        <x:v>10227272.727272727</x:v>
      </x:c>
      <x:c r="J1693" s="2" t="str">
        <x:v>total</x:v>
      </x:c>
      <x:c r="K1693" s="2" t="str">
        <x:v>top_level_area</x:v>
      </x:c>
      <x:c r="L1693" s="2" t="str">
        <x:v>property_type_inferred_from_title;transaction_assumed_sale_from_dataset_context</x:v>
      </x:c>
      <x:c r="M1693" s="10" t="n">
        <x:v>0</x:v>
      </x:c>
      <x:c r="N1693" s="10" t="n">
        <x:v>0</x:v>
      </x:c>
      <x:c r="O1693" s="2" t="str">
        <x:v>Tp Hồ Chí Minh|land</x:v>
      </x:c>
      <x:c r="P1693" s="10" t="n">
        <x:v>2</x:v>
      </x:c>
      <x:c r="Q1693" s="13" t="n">
        <x:f>IF(H1693="","",H1693/1000000000)</x:f>
        <x:v>0.45</x:v>
      </x:c>
      <x:c r="R1693" s="13" t="n">
        <x:f>IF(I1693="","",I1693/1000000)</x:f>
        <x:v>10.227272727272727</x:v>
      </x:c>
    </x:row>
    <x:row r="1694" ht="21" customHeight="1">
      <x:c r="A1694" s="10" t="n">
        <x:v>2566</x:v>
      </x:c>
      <x:c r="B1694" s="2" t="str">
        <x:v>4e73babfb53ae0fab924</x:v>
      </x:c>
      <x:c r="C1694" s="2" t="str">
        <x:v>Đà Nẵng</x:v>
      </x:c>
      <x:c r="D1694" s="2" t="str">
        <x:v>Quận Thanh Khê</x:v>
      </x:c>
      <x:c r="E1694" s="2" t="str">
        <x:v>house</x:v>
      </x:c>
      <x:c r="F1694" s="2" t="str">
        <x:v>sale</x:v>
      </x:c>
      <x:c r="G1694" s="11" t="n">
        <x:v>35</x:v>
      </x:c>
      <x:c r="H1694" s="12" t="n">
        <x:v>2200000000</x:v>
      </x:c>
      <x:c r="I1694" s="12" t="n">
        <x:v>62857142.85714286</x:v>
      </x:c>
      <x:c r="J1694" s="2" t="str">
        <x:v>total</x:v>
      </x:c>
      <x:c r="K1694" s="2" t="str">
        <x:v>top_level_area</x:v>
      </x:c>
      <x:c r="L1694" s="2" t="str">
        <x:v>property_type_inferred_from_title</x:v>
      </x:c>
      <x:c r="M1694" s="10" t="n">
        <x:v>0</x:v>
      </x:c>
      <x:c r="N1694" s="10" t="n">
        <x:v>0</x:v>
      </x:c>
      <x:c r="O1694" s="2" t="str">
        <x:v>Đà Nẵng|house</x:v>
      </x:c>
      <x:c r="P1694" s="10" t="n">
        <x:v>2</x:v>
      </x:c>
      <x:c r="Q1694" s="13" t="n">
        <x:f>IF(H1694="","",H1694/1000000000)</x:f>
        <x:v>2.2</x:v>
      </x:c>
      <x:c r="R1694" s="13" t="n">
        <x:f>IF(I1694="","",I1694/1000000)</x:f>
        <x:v>62.85714285714286</x:v>
      </x:c>
    </x:row>
    <x:row r="1695" ht="21" customHeight="1">
      <x:c r="A1695" s="10" t="n">
        <x:v>2567</x:v>
      </x:c>
      <x:c r="B1695" s="2" t="str">
        <x:v>98686cb52605ccdd375f</x:v>
      </x:c>
      <x:c r="C1695" s="2" t="str">
        <x:v>Đắk Lắk</x:v>
      </x:c>
      <x:c r="D1695" s="2" t="str">
        <x:v>Thành phố Buôn Ma Thuột</x:v>
      </x:c>
      <x:c r="E1695" s="2" t="str">
        <x:v>other_unknown</x:v>
      </x:c>
      <x:c r="F1695" s="2" t="str">
        <x:v>sale_assumed</x:v>
      </x:c>
      <x:c r="G1695" s="11" t="n">
        <x:v>125</x:v>
      </x:c>
      <x:c r="H1695" s="12" t="n">
        <x:v>865000000</x:v>
      </x:c>
      <x:c r="I1695" s="12" t="n">
        <x:v>6920000</x:v>
      </x:c>
      <x:c r="J1695" s="2" t="str">
        <x:v>total</x:v>
      </x:c>
      <x:c r="K1695" s="2" t="str">
        <x:v>top_level_area</x:v>
      </x:c>
      <x:c r="L1695" s="2" t="str">
        <x:v>property_type_inferred_from_title;transaction_assumed_sale_from_dataset_context;unknown_property_type</x:v>
      </x:c>
      <x:c r="M1695" s="10" t="n">
        <x:v>0</x:v>
      </x:c>
      <x:c r="N1695" s="10" t="n">
        <x:v>0</x:v>
      </x:c>
      <x:c r="O1695" s="2" t="str">
        <x:v>other_unknown</x:v>
      </x:c>
      <x:c r="P1695" s="10" t="n">
        <x:v>2</x:v>
      </x:c>
      <x:c r="Q1695" s="13" t="n">
        <x:f>IF(H1695="","",H1695/1000000000)</x:f>
        <x:v>0.865</x:v>
      </x:c>
      <x:c r="R1695" s="13" t="n">
        <x:f>IF(I1695="","",I1695/1000000)</x:f>
        <x:v>6.92</x:v>
      </x:c>
    </x:row>
    <x:row r="1696" ht="21" customHeight="1">
      <x:c r="A1696" s="10" t="n">
        <x:v>2568</x:v>
      </x:c>
      <x:c r="B1696" s="2" t="str">
        <x:v>b531e83a02349f2bd4d3</x:v>
      </x:c>
      <x:c r="C1696" s="2" t="str">
        <x:v>Tp Hồ Chí Minh</x:v>
      </x:c>
      <x:c r="D1696" s="2" t="str">
        <x:v>Quận Tân Phú</x:v>
      </x:c>
      <x:c r="E1696" s="2" t="str">
        <x:v>other_unknown</x:v>
      </x:c>
      <x:c r="F1696" s="2" t="str">
        <x:v>sale_assumed</x:v>
      </x:c>
      <x:c r="G1696" s="11" t="n">
        <x:v>117.2</x:v>
      </x:c>
      <x:c r="H1696" s="12" t="n">
        <x:v>5320000000</x:v>
      </x:c>
      <x:c r="I1696" s="12" t="n">
        <x:v>45392491.467576794</x:v>
      </x:c>
      <x:c r="J1696" s="2" t="str">
        <x:v>total</x:v>
      </x:c>
      <x:c r="K1696" s="2" t="str">
        <x:v>top_level_area</x:v>
      </x:c>
      <x:c r="L1696" s="2" t="str">
        <x:v>property_type_inferred_from_title;transaction_assumed_sale_from_dataset_context;unknown_property_type</x:v>
      </x:c>
      <x:c r="M1696" s="10" t="n">
        <x:v>0</x:v>
      </x:c>
      <x:c r="N1696" s="10" t="n">
        <x:v>0</x:v>
      </x:c>
      <x:c r="O1696" s="2" t="str">
        <x:v>Tp Hồ Chí Minh|other_unknown</x:v>
      </x:c>
      <x:c r="P1696" s="10" t="n">
        <x:v>2</x:v>
      </x:c>
      <x:c r="Q1696" s="13" t="n">
        <x:f>IF(H1696="","",H1696/1000000000)</x:f>
        <x:v>5.32</x:v>
      </x:c>
      <x:c r="R1696" s="13" t="n">
        <x:f>IF(I1696="","",I1696/1000000)</x:f>
        <x:v>45.3924914675768</x:v>
      </x:c>
    </x:row>
    <x:row r="1697" ht="21" customHeight="1">
      <x:c r="A1697" s="10" t="n">
        <x:v>2569</x:v>
      </x:c>
      <x:c r="B1697" s="2" t="str">
        <x:v>9726ff303127b4d964a5</x:v>
      </x:c>
      <x:c r="C1697" s="2" t="str">
        <x:v>Tp Hồ Chí Minh</x:v>
      </x:c>
      <x:c r="D1697" s="2" t="str">
        <x:v>Quận Tân Bình</x:v>
      </x:c>
      <x:c r="E1697" s="2" t="str">
        <x:v>house</x:v>
      </x:c>
      <x:c r="F1697" s="2" t="str">
        <x:v>sale_assumed</x:v>
      </x:c>
      <x:c r="G1697" s="11" t="n">
        <x:v>41</x:v>
      </x:c>
      <x:c r="H1697" s="12" t="n">
        <x:v>3850000000</x:v>
      </x:c>
      <x:c r="I1697" s="12" t="n">
        <x:v>93902439.02439025</x:v>
      </x:c>
      <x:c r="J1697" s="2" t="str">
        <x:v>total</x:v>
      </x:c>
      <x:c r="K1697" s="2" t="str">
        <x:v>top_level_area</x:v>
      </x:c>
      <x:c r="L1697" s="2" t="str">
        <x:v>property_type_inferred_from_title;transaction_assumed_sale_from_dataset_context</x:v>
      </x:c>
      <x:c r="M1697" s="10" t="n">
        <x:v>0</x:v>
      </x:c>
      <x:c r="N1697" s="10" t="n">
        <x:v>0</x:v>
      </x:c>
      <x:c r="O1697" s="2" t="str">
        <x:v>Tp Hồ Chí Minh|house</x:v>
      </x:c>
      <x:c r="P1697" s="10" t="n">
        <x:v>2</x:v>
      </x:c>
      <x:c r="Q1697" s="13" t="n">
        <x:f>IF(H1697="","",H1697/1000000000)</x:f>
        <x:v>3.85</x:v>
      </x:c>
      <x:c r="R1697" s="13" t="n">
        <x:f>IF(I1697="","",I1697/1000000)</x:f>
        <x:v>93.90243902439025</x:v>
      </x:c>
    </x:row>
    <x:row r="1698" ht="21" customHeight="1">
      <x:c r="A1698" s="10" t="n">
        <x:v>2570</x:v>
      </x:c>
      <x:c r="B1698" s="2" t="str">
        <x:v>14feb5fd76dfa861c5cf</x:v>
      </x:c>
      <x:c r="C1698" s="2" t="str">
        <x:v>Sóc Trăng</x:v>
      </x:c>
      <x:c r="D1698" s="2" t="str">
        <x:v>Thành phố Sóc Trăng</x:v>
      </x:c>
      <x:c r="E1698" s="2" t="str">
        <x:v>land</x:v>
      </x:c>
      <x:c r="F1698" s="2" t="str">
        <x:v>sale</x:v>
      </x:c>
      <x:c r="G1698" s="11" t="n">
        <x:v>80</x:v>
      </x:c>
      <x:c r="H1698" s="12" t="n">
        <x:v>1800000000</x:v>
      </x:c>
      <x:c r="I1698" s="12" t="n">
        <x:v>22500000</x:v>
      </x:c>
      <x:c r="J1698" s="2" t="str">
        <x:v>total</x:v>
      </x:c>
      <x:c r="K1698" s="2" t="str">
        <x:v>top_level_area</x:v>
      </x:c>
      <x:c r="L1698" s="2" t="str">
        <x:v>property_type_inferred_from_title</x:v>
      </x:c>
      <x:c r="M1698" s="10" t="n">
        <x:v>0</x:v>
      </x:c>
      <x:c r="N1698" s="10" t="n">
        <x:v>0</x:v>
      </x:c>
      <x:c r="O1698" s="2" t="str">
        <x:v>land</x:v>
      </x:c>
      <x:c r="P1698" s="10" t="n">
        <x:v>2</x:v>
      </x:c>
      <x:c r="Q1698" s="13" t="n">
        <x:f>IF(H1698="","",H1698/1000000000)</x:f>
        <x:v>1.8</x:v>
      </x:c>
      <x:c r="R1698" s="13" t="n">
        <x:f>IF(I1698="","",I1698/1000000)</x:f>
        <x:v>22.5</x:v>
      </x:c>
    </x:row>
    <x:row r="1699" ht="21" customHeight="1">
      <x:c r="A1699" s="10" t="n">
        <x:v>2571</x:v>
      </x:c>
      <x:c r="B1699" s="2" t="str">
        <x:v>32eaf40708953035fefd</x:v>
      </x:c>
      <x:c r="C1699" s="2" t="str">
        <x:v>Đà Nẵng</x:v>
      </x:c>
      <x:c r="D1699" s="2" t="str">
        <x:v>Quận Ngũ Hành Sơn</x:v>
      </x:c>
      <x:c r="E1699" s="2" t="str">
        <x:v>land</x:v>
      </x:c>
      <x:c r="F1699" s="2" t="str">
        <x:v>sale</x:v>
      </x:c>
      <x:c r="G1699" s="11" t="n">
        <x:v>100</x:v>
      </x:c>
      <x:c r="H1699" s="12" t="n">
        <x:v>1900000000</x:v>
      </x:c>
      <x:c r="I1699" s="12" t="n">
        <x:v>19000000</x:v>
      </x:c>
      <x:c r="J1699" s="2" t="str">
        <x:v>total</x:v>
      </x:c>
      <x:c r="K1699" s="2" t="str">
        <x:v>top_level_area</x:v>
      </x:c>
      <x:c r="L1699" s="2" t="str">
        <x:v>property_type_inferred_from_title</x:v>
      </x:c>
      <x:c r="M1699" s="10" t="n">
        <x:v>0</x:v>
      </x:c>
      <x:c r="N1699" s="10" t="n">
        <x:v>0</x:v>
      </x:c>
      <x:c r="O1699" s="2" t="str">
        <x:v>Đà Nẵng|land</x:v>
      </x:c>
      <x:c r="P1699" s="10" t="n">
        <x:v>2</x:v>
      </x:c>
      <x:c r="Q1699" s="13" t="n">
        <x:f>IF(H1699="","",H1699/1000000000)</x:f>
        <x:v>1.9</x:v>
      </x:c>
      <x:c r="R1699" s="13" t="n">
        <x:f>IF(I1699="","",I1699/1000000)</x:f>
        <x:v>19</x:v>
      </x:c>
    </x:row>
    <x:row r="1700" ht="21" customHeight="1">
      <x:c r="A1700" s="10" t="n">
        <x:v>2572</x:v>
      </x:c>
      <x:c r="B1700" s="2" t="str">
        <x:v>a77b5392f1b7b6396001</x:v>
      </x:c>
      <x:c r="C1700" s="2" t="str">
        <x:v>Tp Hồ Chí Minh</x:v>
      </x:c>
      <x:c r="D1700" s="2" t="str">
        <x:v>Quận Thủ Đức</x:v>
      </x:c>
      <x:c r="E1700" s="2" t="str">
        <x:v>land</x:v>
      </x:c>
      <x:c r="F1700" s="2" t="str">
        <x:v>sale_assumed</x:v>
      </x:c>
      <x:c r="G1700" s="11" t="n">
        <x:v>161</x:v>
      </x:c>
      <x:c r="H1700" s="12" t="n">
        <x:v>5600000000</x:v>
      </x:c>
      <x:c r="I1700" s="12" t="n">
        <x:v>34782608.69565217</x:v>
      </x:c>
      <x:c r="J1700" s="2" t="str">
        <x:v>total</x:v>
      </x:c>
      <x:c r="K1700" s="2" t="str">
        <x:v>top_level_area</x:v>
      </x:c>
      <x:c r="L1700" s="2" t="str">
        <x:v>property_type_inferred_from_title;transaction_assumed_sale_from_dataset_context</x:v>
      </x:c>
      <x:c r="M1700" s="10" t="n">
        <x:v>0</x:v>
      </x:c>
      <x:c r="N1700" s="10" t="n">
        <x:v>0</x:v>
      </x:c>
      <x:c r="O1700" s="2" t="str">
        <x:v>Tp Hồ Chí Minh|land</x:v>
      </x:c>
      <x:c r="P1700" s="10" t="n">
        <x:v>2</x:v>
      </x:c>
      <x:c r="Q1700" s="13" t="n">
        <x:f>IF(H1700="","",H1700/1000000000)</x:f>
        <x:v>5.6</x:v>
      </x:c>
      <x:c r="R1700" s="13" t="n">
        <x:f>IF(I1700="","",I1700/1000000)</x:f>
        <x:v>34.78260869565217</x:v>
      </x:c>
    </x:row>
    <x:row r="1701" ht="21" customHeight="1">
      <x:c r="A1701" s="10" t="n">
        <x:v>2573</x:v>
      </x:c>
      <x:c r="B1701" s="2" t="str">
        <x:v>279e737436d07868b554</x:v>
      </x:c>
      <x:c r="C1701" s="2" t="str">
        <x:v>Bình Dương</x:v>
      </x:c>
      <x:c r="D1701" s="2" t="str">
        <x:v>Thị xã Thuận An</x:v>
      </x:c>
      <x:c r="E1701" s="2" t="str">
        <x:v>land</x:v>
      </x:c>
      <x:c r="F1701" s="2" t="str">
        <x:v>sale</x:v>
      </x:c>
      <x:c r="G1701" s="11" t="n">
        <x:v>83</x:v>
      </x:c>
      <x:c r="H1701" s="12" t="n">
        <x:v>860000000</x:v>
      </x:c>
      <x:c r="I1701" s="12" t="n">
        <x:v>10361445.78313253</x:v>
      </x:c>
      <x:c r="J1701" s="2" t="str">
        <x:v>total</x:v>
      </x:c>
      <x:c r="K1701" s="2" t="str">
        <x:v>top_level_area</x:v>
      </x:c>
      <x:c r="L1701" s="2" t="str">
        <x:v>property_type_inferred_from_title</x:v>
      </x:c>
      <x:c r="M1701" s="10" t="n">
        <x:v>0</x:v>
      </x:c>
      <x:c r="N1701" s="10" t="n">
        <x:v>0</x:v>
      </x:c>
      <x:c r="O1701" s="2" t="str">
        <x:v>Bình Dương|land</x:v>
      </x:c>
      <x:c r="P1701" s="10" t="n">
        <x:v>2</x:v>
      </x:c>
      <x:c r="Q1701" s="13" t="n">
        <x:f>IF(H1701="","",H1701/1000000000)</x:f>
        <x:v>0.86</x:v>
      </x:c>
      <x:c r="R1701" s="13" t="n">
        <x:f>IF(I1701="","",I1701/1000000)</x:f>
        <x:v>10.361445783132531</x:v>
      </x:c>
    </x:row>
    <x:row r="1702" ht="21" customHeight="1">
      <x:c r="A1702" s="10" t="n">
        <x:v>2574</x:v>
      </x:c>
      <x:c r="B1702" s="2" t="str">
        <x:v>e9ff79b565dbbde7ca2c</x:v>
      </x:c>
      <x:c r="C1702" s="2" t="str">
        <x:v>Tp Hồ Chí Minh</x:v>
      </x:c>
      <x:c r="D1702" s="2" t="str">
        <x:v>Quận Gò Vấp</x:v>
      </x:c>
      <x:c r="E1702" s="2" t="str">
        <x:v>house</x:v>
      </x:c>
      <x:c r="F1702" s="2" t="str">
        <x:v>sale_assumed</x:v>
      </x:c>
      <x:c r="G1702" s="11" t="n">
        <x:v>44</x:v>
      </x:c>
      <x:c r="H1702" s="12" t="n">
        <x:v>6300000000</x:v>
      </x:c>
      <x:c r="I1702" s="12" t="n">
        <x:v>143181818.1818182</x:v>
      </x:c>
      <x:c r="J1702" s="2" t="str">
        <x:v>total</x:v>
      </x:c>
      <x:c r="K1702" s="2" t="str">
        <x:v>top_level_area</x:v>
      </x:c>
      <x:c r="L1702" s="2" t="str">
        <x:v>property_type_inferred_from_title;transaction_assumed_sale_from_dataset_context</x:v>
      </x:c>
      <x:c r="M1702" s="10" t="n">
        <x:v>0</x:v>
      </x:c>
      <x:c r="N1702" s="10" t="n">
        <x:v>0</x:v>
      </x:c>
      <x:c r="O1702" s="2" t="str">
        <x:v>Tp Hồ Chí Minh|house</x:v>
      </x:c>
      <x:c r="P1702" s="10" t="n">
        <x:v>2</x:v>
      </x:c>
      <x:c r="Q1702" s="13" t="n">
        <x:f>IF(H1702="","",H1702/1000000000)</x:f>
        <x:v>6.3</x:v>
      </x:c>
      <x:c r="R1702" s="13" t="n">
        <x:f>IF(I1702="","",I1702/1000000)</x:f>
        <x:v>143.1818181818182</x:v>
      </x:c>
    </x:row>
    <x:row r="1703" ht="21" customHeight="1">
      <x:c r="A1703" s="10" t="n">
        <x:v>2575</x:v>
      </x:c>
      <x:c r="B1703" s="2" t="str">
        <x:v>fa6716fd8dcf8b3c7bb1</x:v>
      </x:c>
      <x:c r="C1703" s="2" t="str">
        <x:v>Sóc Trăng</x:v>
      </x:c>
      <x:c r="D1703" s="2" t="str">
        <x:v>Thành phố Sóc Trăng</x:v>
      </x:c>
      <x:c r="E1703" s="2" t="str">
        <x:v>house</x:v>
      </x:c>
      <x:c r="F1703" s="2" t="str">
        <x:v>sale</x:v>
      </x:c>
      <x:c r="G1703" s="11" t="n">
        <x:v>198.4</x:v>
      </x:c>
      <x:c r="H1703" s="12" t="n">
        <x:v>2819000000</x:v>
      </x:c>
      <x:c r="I1703" s="12" t="n">
        <x:v>14208669.354838708</x:v>
      </x:c>
      <x:c r="J1703" s="2" t="str">
        <x:v>total</x:v>
      </x:c>
      <x:c r="K1703" s="2" t="str">
        <x:v>top_level_area</x:v>
      </x:c>
      <x:c r="L1703" s="2" t="str">
        <x:v>property_type_inferred_from_title</x:v>
      </x:c>
      <x:c r="M1703" s="10" t="n">
        <x:v>0</x:v>
      </x:c>
      <x:c r="N1703" s="10" t="n">
        <x:v>0</x:v>
      </x:c>
      <x:c r="O1703" s="2" t="str">
        <x:v>house</x:v>
      </x:c>
      <x:c r="P1703" s="10" t="n">
        <x:v>2</x:v>
      </x:c>
      <x:c r="Q1703" s="13" t="n">
        <x:f>IF(H1703="","",H1703/1000000000)</x:f>
        <x:v>2.819</x:v>
      </x:c>
      <x:c r="R1703" s="13" t="n">
        <x:f>IF(I1703="","",I1703/1000000)</x:f>
        <x:v>14.208669354838708</x:v>
      </x:c>
    </x:row>
    <x:row r="1704" ht="21" customHeight="1">
      <x:c r="A1704" s="10" t="n">
        <x:v>2576</x:v>
      </x:c>
      <x:c r="B1704" s="2" t="str">
        <x:v>2b23d1d41ec75a80cf4e</x:v>
      </x:c>
      <x:c r="C1704" s="2" t="str">
        <x:v>Tp Hồ Chí Minh</x:v>
      </x:c>
      <x:c r="D1704" s="2" t="str">
        <x:v>Quận 12</x:v>
      </x:c>
      <x:c r="E1704" s="2" t="str">
        <x:v>house</x:v>
      </x:c>
      <x:c r="F1704" s="2" t="str">
        <x:v>sale_assumed</x:v>
      </x:c>
      <x:c r="G1704" s="11" t="n">
        <x:v>48</x:v>
      </x:c>
      <x:c r="H1704" s="12" t="n">
        <x:v>980000000</x:v>
      </x:c>
      <x:c r="I1704" s="12" t="n">
        <x:v>20416666.666666668</x:v>
      </x:c>
      <x:c r="J1704" s="2" t="str">
        <x:v>total</x:v>
      </x:c>
      <x:c r="K1704" s="2" t="str">
        <x:v>top_level_area</x:v>
      </x:c>
      <x:c r="L1704" s="2" t="str">
        <x:v>property_type_inferred_from_title;transaction_assumed_sale_from_dataset_context</x:v>
      </x:c>
      <x:c r="M1704" s="10" t="n">
        <x:v>0</x:v>
      </x:c>
      <x:c r="N1704" s="10" t="n">
        <x:v>0</x:v>
      </x:c>
      <x:c r="O1704" s="2" t="str">
        <x:v>Tp Hồ Chí Minh|house</x:v>
      </x:c>
      <x:c r="P1704" s="10" t="n">
        <x:v>2</x:v>
      </x:c>
      <x:c r="Q1704" s="13" t="n">
        <x:f>IF(H1704="","",H1704/1000000000)</x:f>
        <x:v>0.98</x:v>
      </x:c>
      <x:c r="R1704" s="13" t="n">
        <x:f>IF(I1704="","",I1704/1000000)</x:f>
        <x:v>20.416666666666668</x:v>
      </x:c>
    </x:row>
    <x:row r="1705" ht="21" customHeight="1">
      <x:c r="A1705" s="10" t="n">
        <x:v>2577</x:v>
      </x:c>
      <x:c r="B1705" s="2" t="str">
        <x:v>d1f2baaf95420b367ee9</x:v>
      </x:c>
      <x:c r="C1705" s="2" t="str">
        <x:v>Đà Nẵng</x:v>
      </x:c>
      <x:c r="D1705" s="2" t="str">
        <x:v>Quận Ngũ Hành Sơn</x:v>
      </x:c>
      <x:c r="E1705" s="2" t="str">
        <x:v>land</x:v>
      </x:c>
      <x:c r="F1705" s="2" t="str">
        <x:v>sale_assumed</x:v>
      </x:c>
      <x:c r="G1705" s="11" t="n">
        <x:v>109</x:v>
      </x:c>
      <x:c r="H1705" s="12" t="n">
        <x:v>1950000000</x:v>
      </x:c>
      <x:c r="I1705" s="12" t="n">
        <x:v>17889908.256880734</x:v>
      </x:c>
      <x:c r="J1705" s="2" t="str">
        <x:v>total</x:v>
      </x:c>
      <x:c r="K1705" s="2" t="str">
        <x:v>top_level_area</x:v>
      </x:c>
      <x:c r="L1705" s="2" t="str">
        <x:v>property_type_inferred_from_title;transaction_assumed_sale_from_dataset_context</x:v>
      </x:c>
      <x:c r="M1705" s="10" t="n">
        <x:v>0</x:v>
      </x:c>
      <x:c r="N1705" s="10" t="n">
        <x:v>0</x:v>
      </x:c>
      <x:c r="O1705" s="2" t="str">
        <x:v>Đà Nẵng|land</x:v>
      </x:c>
      <x:c r="P1705" s="10" t="n">
        <x:v>2</x:v>
      </x:c>
      <x:c r="Q1705" s="13" t="n">
        <x:f>IF(H1705="","",H1705/1000000000)</x:f>
        <x:v>1.95</x:v>
      </x:c>
      <x:c r="R1705" s="13" t="n">
        <x:f>IF(I1705="","",I1705/1000000)</x:f>
        <x:v>17.889908256880734</x:v>
      </x:c>
    </x:row>
    <x:row r="1706" ht="21" customHeight="1">
      <x:c r="A1706" s="10" t="n">
        <x:v>2578</x:v>
      </x:c>
      <x:c r="B1706" s="2" t="str">
        <x:v>ad23555bafbb80013391</x:v>
      </x:c>
      <x:c r="C1706" s="2" t="str">
        <x:v>Bình Dương</x:v>
      </x:c>
      <x:c r="D1706" s="2" t="str">
        <x:v>Thị xã Thuận An</x:v>
      </x:c>
      <x:c r="E1706" s="2" t="str">
        <x:v>land</x:v>
      </x:c>
      <x:c r="F1706" s="2" t="str">
        <x:v>sale_assumed</x:v>
      </x:c>
      <x:c r="G1706" s="11" t="n">
        <x:v>72</x:v>
      </x:c>
      <x:c r="H1706" s="12" t="n">
        <x:v>950000000</x:v>
      </x:c>
      <x:c r="I1706" s="12" t="n">
        <x:v>13194444.444444444</x:v>
      </x:c>
      <x:c r="J1706" s="2" t="str">
        <x:v>total</x:v>
      </x:c>
      <x:c r="K1706" s="2" t="str">
        <x:v>top_level_area</x:v>
      </x:c>
      <x:c r="L1706" s="2" t="str">
        <x:v>property_type_inferred_from_title;transaction_assumed_sale_from_dataset_context</x:v>
      </x:c>
      <x:c r="M1706" s="10" t="n">
        <x:v>0</x:v>
      </x:c>
      <x:c r="N1706" s="10" t="n">
        <x:v>0</x:v>
      </x:c>
      <x:c r="O1706" s="2" t="str">
        <x:v>Bình Dương|land</x:v>
      </x:c>
      <x:c r="P1706" s="10" t="n">
        <x:v>2</x:v>
      </x:c>
      <x:c r="Q1706" s="13" t="n">
        <x:f>IF(H1706="","",H1706/1000000000)</x:f>
        <x:v>0.95</x:v>
      </x:c>
      <x:c r="R1706" s="13" t="n">
        <x:f>IF(I1706="","",I1706/1000000)</x:f>
        <x:v>13.194444444444445</x:v>
      </x:c>
    </x:row>
    <x:row r="1707" ht="21" customHeight="1">
      <x:c r="A1707" s="10" t="n">
        <x:v>2579</x:v>
      </x:c>
      <x:c r="B1707" s="2" t="str">
        <x:v>10081b7cbc17a07325cf</x:v>
      </x:c>
      <x:c r="C1707" s="2" t="str">
        <x:v>Tp Hồ Chí Minh</x:v>
      </x:c>
      <x:c r="D1707" s="2" t="str">
        <x:v>Quận 1</x:v>
      </x:c>
      <x:c r="E1707" s="2" t="str">
        <x:v>house</x:v>
      </x:c>
      <x:c r="F1707" s="2" t="str">
        <x:v>sale_assumed</x:v>
      </x:c>
      <x:c r="G1707" s="11" t="n">
        <x:v>45</x:v>
      </x:c>
      <x:c r="H1707" s="12" t="n">
        <x:v>7300000000</x:v>
      </x:c>
      <x:c r="I1707" s="12" t="n">
        <x:v>162222222.2222222</x:v>
      </x:c>
      <x:c r="J1707" s="2" t="str">
        <x:v>total</x:v>
      </x:c>
      <x:c r="K1707" s="2" t="str">
        <x:v>top_level_area</x:v>
      </x:c>
      <x:c r="L1707" s="2" t="str">
        <x:v>property_type_inferred_from_title;transaction_assumed_sale_from_dataset_context</x:v>
      </x:c>
      <x:c r="M1707" s="10" t="n">
        <x:v>0</x:v>
      </x:c>
      <x:c r="N1707" s="10" t="n">
        <x:v>0</x:v>
      </x:c>
      <x:c r="O1707" s="2" t="str">
        <x:v>Tp Hồ Chí Minh|house</x:v>
      </x:c>
      <x:c r="P1707" s="10" t="n">
        <x:v>2</x:v>
      </x:c>
      <x:c r="Q1707" s="13" t="n">
        <x:f>IF(H1707="","",H1707/1000000000)</x:f>
        <x:v>7.3</x:v>
      </x:c>
      <x:c r="R1707" s="13" t="n">
        <x:f>IF(I1707="","",I1707/1000000)</x:f>
        <x:v>162.2222222222222</x:v>
      </x:c>
    </x:row>
    <x:row r="1708" ht="21" customHeight="1">
      <x:c r="A1708" s="10" t="n">
        <x:v>2580</x:v>
      </x:c>
      <x:c r="B1708" s="2" t="str">
        <x:v>6de57d773a3fd0b6ade1</x:v>
      </x:c>
      <x:c r="C1708" s="2" t="str">
        <x:v>Tp Hồ Chí Minh</x:v>
      </x:c>
      <x:c r="D1708" s="2" t="str">
        <x:v>Quận Bình Thạnh</x:v>
      </x:c>
      <x:c r="E1708" s="2" t="str">
        <x:v>house</x:v>
      </x:c>
      <x:c r="F1708" s="2" t="str">
        <x:v>sale</x:v>
      </x:c>
      <x:c r="G1708" s="11" t="n">
        <x:v>94</x:v>
      </x:c>
      <x:c r="H1708" s="12" t="n">
        <x:v>14000000000</x:v>
      </x:c>
      <x:c r="I1708" s="12" t="n">
        <x:v>148936170.21276596</x:v>
      </x:c>
      <x:c r="J1708" s="2" t="str">
        <x:v>total</x:v>
      </x:c>
      <x:c r="K1708" s="2" t="str">
        <x:v>top_level_area</x:v>
      </x:c>
      <x:c r="L1708" s="2" t="str">
        <x:v>property_type_inferred_from_title</x:v>
      </x:c>
      <x:c r="M1708" s="10" t="n">
        <x:v>0</x:v>
      </x:c>
      <x:c r="N1708" s="10" t="n">
        <x:v>0</x:v>
      </x:c>
      <x:c r="O1708" s="2" t="str">
        <x:v>Tp Hồ Chí Minh|house</x:v>
      </x:c>
      <x:c r="P1708" s="10" t="n">
        <x:v>2</x:v>
      </x:c>
      <x:c r="Q1708" s="13" t="n">
        <x:f>IF(H1708="","",H1708/1000000000)</x:f>
        <x:v>14</x:v>
      </x:c>
      <x:c r="R1708" s="13" t="n">
        <x:f>IF(I1708="","",I1708/1000000)</x:f>
        <x:v>148.93617021276597</x:v>
      </x:c>
    </x:row>
    <x:row r="1709" ht="21" customHeight="1">
      <x:c r="A1709" s="10" t="n">
        <x:v>2581</x:v>
      </x:c>
      <x:c r="B1709" s="2" t="str">
        <x:v>ea6922fd808c7dfc2d01</x:v>
      </x:c>
      <x:c r="C1709" s="2" t="str">
        <x:v>Đà Nẵng</x:v>
      </x:c>
      <x:c r="D1709" s="2" t="str">
        <x:v>Quận Thanh Khê</x:v>
      </x:c>
      <x:c r="E1709" s="2" t="str">
        <x:v>house</x:v>
      </x:c>
      <x:c r="F1709" s="2" t="str">
        <x:v>sale_assumed</x:v>
      </x:c>
      <x:c r="G1709" s="11" t="n">
        <x:v>58</x:v>
      </x:c>
      <x:c r="H1709" s="12" t="n">
        <x:v>1850000000</x:v>
      </x:c>
      <x:c r="I1709" s="12" t="n">
        <x:v>31896551.724137932</x:v>
      </x:c>
      <x:c r="J1709" s="2" t="str">
        <x:v>total</x:v>
      </x:c>
      <x:c r="K1709" s="2" t="str">
        <x:v>top_level_area</x:v>
      </x:c>
      <x:c r="L1709" s="2" t="str">
        <x:v>property_type_inferred_from_title;transaction_assumed_sale_from_dataset_context</x:v>
      </x:c>
      <x:c r="M1709" s="10" t="n">
        <x:v>0</x:v>
      </x:c>
      <x:c r="N1709" s="10" t="n">
        <x:v>0</x:v>
      </x:c>
      <x:c r="O1709" s="2" t="str">
        <x:v>Đà Nẵng|house</x:v>
      </x:c>
      <x:c r="P1709" s="10" t="n">
        <x:v>2</x:v>
      </x:c>
      <x:c r="Q1709" s="13" t="n">
        <x:f>IF(H1709="","",H1709/1000000000)</x:f>
        <x:v>1.85</x:v>
      </x:c>
      <x:c r="R1709" s="13" t="n">
        <x:f>IF(I1709="","",I1709/1000000)</x:f>
        <x:v>31.896551724137932</x:v>
      </x:c>
    </x:row>
    <x:row r="1710" ht="21" customHeight="1">
      <x:c r="A1710" s="10" t="n">
        <x:v>2582</x:v>
      </x:c>
      <x:c r="B1710" s="2" t="str">
        <x:v>ba0a477b777594be5f28</x:v>
      </x:c>
      <x:c r="C1710" s="2" t="str">
        <x:v>Tp Hồ Chí Minh</x:v>
      </x:c>
      <x:c r="D1710" s="2" t="str">
        <x:v>Quận Bình Thạnh</x:v>
      </x:c>
      <x:c r="E1710" s="2" t="str">
        <x:v>other_unknown</x:v>
      </x:c>
      <x:c r="F1710" s="2" t="str">
        <x:v>sale_assumed</x:v>
      </x:c>
      <x:c r="G1710" s="11" t="n">
        <x:v>52</x:v>
      </x:c>
      <x:c r="H1710" s="12" t="n">
        <x:v>3950000000</x:v>
      </x:c>
      <x:c r="I1710" s="12" t="n">
        <x:v>75961538.46153846</x:v>
      </x:c>
      <x:c r="J1710" s="2" t="str">
        <x:v>total</x:v>
      </x:c>
      <x:c r="K1710" s="2" t="str">
        <x:v>top_level_area</x:v>
      </x:c>
      <x:c r="L1710" s="2" t="str">
        <x:v>property_type_inferred_from_title;transaction_assumed_sale_from_dataset_context;unknown_property_type</x:v>
      </x:c>
      <x:c r="M1710" s="10" t="n">
        <x:v>0</x:v>
      </x:c>
      <x:c r="N1710" s="10" t="n">
        <x:v>0</x:v>
      </x:c>
      <x:c r="O1710" s="2" t="str">
        <x:v>Tp Hồ Chí Minh|other_unknown</x:v>
      </x:c>
      <x:c r="P1710" s="10" t="n">
        <x:v>2</x:v>
      </x:c>
      <x:c r="Q1710" s="13" t="n">
        <x:f>IF(H1710="","",H1710/1000000000)</x:f>
        <x:v>3.95</x:v>
      </x:c>
      <x:c r="R1710" s="13" t="n">
        <x:f>IF(I1710="","",I1710/1000000)</x:f>
        <x:v>75.96153846153847</x:v>
      </x:c>
    </x:row>
    <x:row r="1711" ht="21" customHeight="1">
      <x:c r="A1711" s="10" t="n">
        <x:v>2583</x:v>
      </x:c>
      <x:c r="B1711" s="2" t="str">
        <x:v>1e5ffd8f91c51605dd97</x:v>
      </x:c>
      <x:c r="C1711" s="2" t="str">
        <x:v>Tp Hồ Chí Minh</x:v>
      </x:c>
      <x:c r="D1711" s="2" t="str">
        <x:v>Quận 8</x:v>
      </x:c>
      <x:c r="E1711" s="2" t="str">
        <x:v>house</x:v>
      </x:c>
      <x:c r="F1711" s="2" t="str">
        <x:v>sale</x:v>
      </x:c>
      <x:c r="G1711" s="11" t="n">
        <x:v>73.6</x:v>
      </x:c>
      <x:c r="H1711" s="12" t="n">
        <x:v>2950000000</x:v>
      </x:c>
      <x:c r="I1711" s="12" t="n">
        <x:v>40081521.73913044</x:v>
      </x:c>
      <x:c r="J1711" s="2" t="str">
        <x:v>total</x:v>
      </x:c>
      <x:c r="K1711" s="2" t="str">
        <x:v>top_level_area</x:v>
      </x:c>
      <x:c r="L1711" s="2" t="str">
        <x:v>property_type_inferred_from_title</x:v>
      </x:c>
      <x:c r="M1711" s="10" t="n">
        <x:v>0</x:v>
      </x:c>
      <x:c r="N1711" s="10" t="n">
        <x:v>0</x:v>
      </x:c>
      <x:c r="O1711" s="2" t="str">
        <x:v>Tp Hồ Chí Minh|house</x:v>
      </x:c>
      <x:c r="P1711" s="10" t="n">
        <x:v>2</x:v>
      </x:c>
      <x:c r="Q1711" s="13" t="n">
        <x:f>IF(H1711="","",H1711/1000000000)</x:f>
        <x:v>2.95</x:v>
      </x:c>
      <x:c r="R1711" s="13" t="n">
        <x:f>IF(I1711="","",I1711/1000000)</x:f>
        <x:v>40.08152173913044</x:v>
      </x:c>
    </x:row>
    <x:row r="1712" ht="21" customHeight="1">
      <x:c r="A1712" s="10" t="n">
        <x:v>2584</x:v>
      </x:c>
      <x:c r="B1712" s="2" t="str">
        <x:v>25deb1128cf5e770ce6b</x:v>
      </x:c>
      <x:c r="C1712" s="2" t="str">
        <x:v>Cần Thơ</x:v>
      </x:c>
      <x:c r="D1712" s="2" t="str">
        <x:v>Quận Ninh Kiều</x:v>
      </x:c>
      <x:c r="E1712" s="2" t="str">
        <x:v>other_unknown</x:v>
      </x:c>
      <x:c r="F1712" s="2" t="str">
        <x:v>sale_assumed</x:v>
      </x:c>
      <x:c r="G1712" s="11" t="n">
        <x:v>70</x:v>
      </x:c>
      <x:c r="H1712" s="12" t="n">
        <x:v>1000000000</x:v>
      </x:c>
      <x:c r="I1712" s="12" t="n">
        <x:v>14285714.285714285</x:v>
      </x:c>
      <x:c r="J1712" s="2" t="str">
        <x:v>total</x:v>
      </x:c>
      <x:c r="K1712" s="2" t="str">
        <x:v>top_level_area</x:v>
      </x:c>
      <x:c r="L1712" s="2" t="str">
        <x:v>property_type_inferred_from_title;transaction_assumed_sale_from_dataset_context;unknown_property_type</x:v>
      </x:c>
      <x:c r="M1712" s="10" t="n">
        <x:v>0</x:v>
      </x:c>
      <x:c r="N1712" s="10" t="n">
        <x:v>0</x:v>
      </x:c>
      <x:c r="O1712" s="2" t="str">
        <x:v>other_unknown</x:v>
      </x:c>
      <x:c r="P1712" s="10" t="n">
        <x:v>2</x:v>
      </x:c>
      <x:c r="Q1712" s="13" t="n">
        <x:f>IF(H1712="","",H1712/1000000000)</x:f>
        <x:v>1</x:v>
      </x:c>
      <x:c r="R1712" s="13" t="n">
        <x:f>IF(I1712="","",I1712/1000000)</x:f>
        <x:v>14.285714285714285</x:v>
      </x:c>
    </x:row>
    <x:row r="1713" ht="21" customHeight="1">
      <x:c r="A1713" s="10" t="n">
        <x:v>2585</x:v>
      </x:c>
      <x:c r="B1713" s="2" t="str">
        <x:v>40c4a345a8f0d286384f</x:v>
      </x:c>
      <x:c r="C1713" s="2" t="str">
        <x:v>Bình Dương</x:v>
      </x:c>
      <x:c r="D1713" s="2" t="str">
        <x:v>Thị xã Dĩ An</x:v>
      </x:c>
      <x:c r="E1713" s="2" t="str">
        <x:v>land</x:v>
      </x:c>
      <x:c r="F1713" s="2" t="str">
        <x:v>sale</x:v>
      </x:c>
      <x:c r="G1713" s="11" t="n">
        <x:v>85</x:v>
      </x:c>
      <x:c r="H1713" s="12" t="n">
        <x:v>980000000</x:v>
      </x:c>
      <x:c r="I1713" s="12" t="n">
        <x:v>11529411.764705881</x:v>
      </x:c>
      <x:c r="J1713" s="2" t="str">
        <x:v>total</x:v>
      </x:c>
      <x:c r="K1713" s="2" t="str">
        <x:v>top_level_area</x:v>
      </x:c>
      <x:c r="L1713" s="2" t="str">
        <x:v>property_type_inferred_from_title</x:v>
      </x:c>
      <x:c r="M1713" s="10" t="n">
        <x:v>0</x:v>
      </x:c>
      <x:c r="N1713" s="10" t="n">
        <x:v>0</x:v>
      </x:c>
      <x:c r="O1713" s="2" t="str">
        <x:v>Bình Dương|land</x:v>
      </x:c>
      <x:c r="P1713" s="10" t="n">
        <x:v>2</x:v>
      </x:c>
      <x:c r="Q1713" s="13" t="n">
        <x:f>IF(H1713="","",H1713/1000000000)</x:f>
        <x:v>0.98</x:v>
      </x:c>
      <x:c r="R1713" s="13" t="n">
        <x:f>IF(I1713="","",I1713/1000000)</x:f>
        <x:v>11.529411764705882</x:v>
      </x:c>
    </x:row>
    <x:row r="1714" ht="21" customHeight="1">
      <x:c r="A1714" s="10" t="n">
        <x:v>2586</x:v>
      </x:c>
      <x:c r="B1714" s="2" t="str">
        <x:v>be7e7a5ee439caecf028</x:v>
      </x:c>
      <x:c r="C1714" s="2" t="str">
        <x:v>Bình Dương</x:v>
      </x:c>
      <x:c r="D1714" s="2" t="str">
        <x:v>Thành phố Thủ Dầu Một</x:v>
      </x:c>
      <x:c r="E1714" s="2" t="str">
        <x:v>house</x:v>
      </x:c>
      <x:c r="F1714" s="2" t="str">
        <x:v>sale_assumed</x:v>
      </x:c>
      <x:c r="G1714" s="11" t="n">
        <x:v>60</x:v>
      </x:c>
      <x:c r="H1714" s="12" t="n">
        <x:v>1600000000</x:v>
      </x:c>
      <x:c r="I1714" s="12" t="n">
        <x:v>26666666.666666668</x:v>
      </x:c>
      <x:c r="J1714" s="2" t="str">
        <x:v>total</x:v>
      </x:c>
      <x:c r="K1714" s="2" t="str">
        <x:v>top_level_area</x:v>
      </x:c>
      <x:c r="L1714" s="2" t="str">
        <x:v>property_type_inferred_from_title;transaction_assumed_sale_from_dataset_context</x:v>
      </x:c>
      <x:c r="M1714" s="10" t="n">
        <x:v>0</x:v>
      </x:c>
      <x:c r="N1714" s="10" t="n">
        <x:v>0</x:v>
      </x:c>
      <x:c r="O1714" s="2" t="str">
        <x:v>Bình Dương|house</x:v>
      </x:c>
      <x:c r="P1714" s="10" t="n">
        <x:v>2</x:v>
      </x:c>
      <x:c r="Q1714" s="13" t="n">
        <x:f>IF(H1714="","",H1714/1000000000)</x:f>
        <x:v>1.6</x:v>
      </x:c>
      <x:c r="R1714" s="13" t="n">
        <x:f>IF(I1714="","",I1714/1000000)</x:f>
        <x:v>26.666666666666668</x:v>
      </x:c>
    </x:row>
    <x:row r="1715" ht="21" customHeight="1">
      <x:c r="A1715" s="10" t="n">
        <x:v>2589</x:v>
      </x:c>
      <x:c r="B1715" s="2" t="str">
        <x:v>ffdd7b20781e5003b561</x:v>
      </x:c>
      <x:c r="C1715" s="2" t="str">
        <x:v>Bình Dương</x:v>
      </x:c>
      <x:c r="D1715" s="2" t="str">
        <x:v>Thành phố Thủ Dầu Một</x:v>
      </x:c>
      <x:c r="E1715" s="2" t="str">
        <x:v>house</x:v>
      </x:c>
      <x:c r="F1715" s="2" t="str">
        <x:v>sale</x:v>
      </x:c>
      <x:c r="G1715" s="11" t="n">
        <x:v>145</x:v>
      </x:c>
      <x:c r="H1715" s="12" t="n">
        <x:v>3800000000</x:v>
      </x:c>
      <x:c r="I1715" s="12" t="n">
        <x:v>26206896.55172414</x:v>
      </x:c>
      <x:c r="J1715" s="2" t="str">
        <x:v>total</x:v>
      </x:c>
      <x:c r="K1715" s="2" t="str">
        <x:v>top_level_area</x:v>
      </x:c>
      <x:c r="L1715" s="2" t="str">
        <x:v>property_type_inferred_from_title</x:v>
      </x:c>
      <x:c r="M1715" s="10" t="n">
        <x:v>0</x:v>
      </x:c>
      <x:c r="N1715" s="10" t="n">
        <x:v>0</x:v>
      </x:c>
      <x:c r="O1715" s="2" t="str">
        <x:v>Bình Dương|house</x:v>
      </x:c>
      <x:c r="P1715" s="10" t="n">
        <x:v>2</x:v>
      </x:c>
      <x:c r="Q1715" s="13" t="n">
        <x:f>IF(H1715="","",H1715/1000000000)</x:f>
        <x:v>3.8</x:v>
      </x:c>
      <x:c r="R1715" s="13" t="n">
        <x:f>IF(I1715="","",I1715/1000000)</x:f>
        <x:v>26.20689655172414</x:v>
      </x:c>
    </x:row>
    <x:row r="1716" ht="21" customHeight="1">
      <x:c r="A1716" s="10" t="n">
        <x:v>2590</x:v>
      </x:c>
      <x:c r="B1716" s="2" t="str">
        <x:v>75b9053cf77a63b4f663</x:v>
      </x:c>
      <x:c r="C1716" s="2" t="str">
        <x:v>Tp Hồ Chí Minh</x:v>
      </x:c>
      <x:c r="D1716" s="2" t="str">
        <x:v>Quận Tân Bình</x:v>
      </x:c>
      <x:c r="E1716" s="2" t="str">
        <x:v>house</x:v>
      </x:c>
      <x:c r="F1716" s="2" t="str">
        <x:v>sale</x:v>
      </x:c>
      <x:c r="G1716" s="11" t="n">
        <x:v>41</x:v>
      </x:c>
      <x:c r="H1716" s="12" t="n">
        <x:v>3850000000</x:v>
      </x:c>
      <x:c r="I1716" s="12" t="n">
        <x:v>93902439.02439025</x:v>
      </x:c>
      <x:c r="J1716" s="2" t="str">
        <x:v>total</x:v>
      </x:c>
      <x:c r="K1716" s="2" t="str">
        <x:v>top_level_area</x:v>
      </x:c>
      <x:c r="L1716" s="2" t="str">
        <x:v>property_type_inferred_from_title</x:v>
      </x:c>
      <x:c r="M1716" s="10" t="n">
        <x:v>0</x:v>
      </x:c>
      <x:c r="N1716" s="10" t="n">
        <x:v>0</x:v>
      </x:c>
      <x:c r="O1716" s="2" t="str">
        <x:v>Tp Hồ Chí Minh|house</x:v>
      </x:c>
      <x:c r="P1716" s="10" t="n">
        <x:v>2</x:v>
      </x:c>
      <x:c r="Q1716" s="13" t="n">
        <x:f>IF(H1716="","",H1716/1000000000)</x:f>
        <x:v>3.85</x:v>
      </x:c>
      <x:c r="R1716" s="13" t="n">
        <x:f>IF(I1716="","",I1716/1000000)</x:f>
        <x:v>93.90243902439025</x:v>
      </x:c>
    </x:row>
    <x:row r="1717" ht="21" customHeight="1">
      <x:c r="A1717" s="10" t="n">
        <x:v>2591</x:v>
      </x:c>
      <x:c r="B1717" s="2" t="str">
        <x:v>fcecf5af23a4092ba78d</x:v>
      </x:c>
      <x:c r="C1717" s="2" t="str">
        <x:v>Tp Hồ Chí Minh</x:v>
      </x:c>
      <x:c r="D1717" s="2" t="str">
        <x:v>Huyện Củ Chi</x:v>
      </x:c>
      <x:c r="E1717" s="2" t="str">
        <x:v>land</x:v>
      </x:c>
      <x:c r="F1717" s="2" t="str">
        <x:v>sale_assumed</x:v>
      </x:c>
      <x:c r="G1717" s="11" t="n">
        <x:v>600</x:v>
      </x:c>
      <x:c r="H1717" s="12" t="n">
        <x:v>850000000</x:v>
      </x:c>
      <x:c r="I1717" s="12" t="n">
        <x:v>1416666.6666666667</x:v>
      </x:c>
      <x:c r="J1717" s="2" t="str">
        <x:v>total</x:v>
      </x:c>
      <x:c r="K1717" s="2" t="str">
        <x:v>top_level_area</x:v>
      </x:c>
      <x:c r="L1717" s="2" t="str">
        <x:v>property_type_inferred_from_title;transaction_assumed_sale_from_dataset_context</x:v>
      </x:c>
      <x:c r="M1717" s="10" t="n">
        <x:v>0</x:v>
      </x:c>
      <x:c r="N1717" s="10" t="n">
        <x:v>0</x:v>
      </x:c>
      <x:c r="O1717" s="2" t="str">
        <x:v>Tp Hồ Chí Minh|land</x:v>
      </x:c>
      <x:c r="P1717" s="10" t="n">
        <x:v>1</x:v>
      </x:c>
      <x:c r="Q1717" s="13" t="n">
        <x:f>IF(H1717="","",H1717/1000000000)</x:f>
        <x:v>0.85</x:v>
      </x:c>
      <x:c r="R1717" s="13" t="n">
        <x:f>IF(I1717="","",I1717/1000000)</x:f>
        <x:v>1.4166666666666667</x:v>
      </x:c>
    </x:row>
    <x:row r="1718" ht="21" customHeight="1">
      <x:c r="A1718" s="10" t="n">
        <x:v>2592</x:v>
      </x:c>
      <x:c r="B1718" s="2" t="str">
        <x:v>1a5d5c381a32da1680e0</x:v>
      </x:c>
      <x:c r="C1718" s="2" t="str">
        <x:v>Tp Hồ Chí Minh</x:v>
      </x:c>
      <x:c r="D1718" s="2" t="str">
        <x:v>Huyện Nhà Bè</x:v>
      </x:c>
      <x:c r="E1718" s="2" t="str">
        <x:v>other_unknown</x:v>
      </x:c>
      <x:c r="F1718" s="2" t="str">
        <x:v>sale</x:v>
      </x:c>
      <x:c r="G1718" s="11" t="n">
        <x:v>32</x:v>
      </x:c>
      <x:c r="H1718" s="12" t="n">
        <x:v>1280000000</x:v>
      </x:c>
      <x:c r="I1718" s="12" t="n">
        <x:v>40000000</x:v>
      </x:c>
      <x:c r="J1718" s="2" t="str">
        <x:v>total</x:v>
      </x:c>
      <x:c r="K1718" s="2" t="str">
        <x:v>top_level_area</x:v>
      </x:c>
      <x:c r="L1718" s="2" t="str">
        <x:v>property_type_inferred_from_title;unknown_property_type</x:v>
      </x:c>
      <x:c r="M1718" s="10" t="n">
        <x:v>0</x:v>
      </x:c>
      <x:c r="N1718" s="10" t="n">
        <x:v>0</x:v>
      </x:c>
      <x:c r="O1718" s="2" t="str">
        <x:v>Tp Hồ Chí Minh|other_unknown</x:v>
      </x:c>
      <x:c r="P1718" s="10" t="n">
        <x:v>2</x:v>
      </x:c>
      <x:c r="Q1718" s="13" t="n">
        <x:f>IF(H1718="","",H1718/1000000000)</x:f>
        <x:v>1.28</x:v>
      </x:c>
      <x:c r="R1718" s="13" t="n">
        <x:f>IF(I1718="","",I1718/1000000)</x:f>
        <x:v>40</x:v>
      </x:c>
    </x:row>
    <x:row r="1719" ht="21" customHeight="1">
      <x:c r="A1719" s="10" t="n">
        <x:v>2593</x:v>
      </x:c>
      <x:c r="B1719" s="2" t="str">
        <x:v>9d173458366908105947</x:v>
      </x:c>
      <x:c r="C1719" s="2" t="str">
        <x:v>Đồng Nai</x:v>
      </x:c>
      <x:c r="D1719" s="2" t="str">
        <x:v>Huyện Long Thành</x:v>
      </x:c>
      <x:c r="E1719" s="2" t="str">
        <x:v>land</x:v>
      </x:c>
      <x:c r="F1719" s="2" t="str">
        <x:v>sale_assumed</x:v>
      </x:c>
      <x:c r="G1719" s="11" t="n">
        <x:v>100</x:v>
      </x:c>
      <x:c r="H1719" s="12" t="n">
        <x:v>360000000</x:v>
      </x:c>
      <x:c r="I1719" s="12" t="n">
        <x:v>3600000</x:v>
      </x:c>
      <x:c r="J1719" s="2" t="str">
        <x:v>total</x:v>
      </x:c>
      <x:c r="K1719" s="2" t="str">
        <x:v>top_level_area</x:v>
      </x:c>
      <x:c r="L1719" s="2" t="str">
        <x:v>property_type_inferred_from_title;transaction_assumed_sale_from_dataset_context</x:v>
      </x:c>
      <x:c r="M1719" s="10" t="n">
        <x:v>0</x:v>
      </x:c>
      <x:c r="N1719" s="10" t="n">
        <x:v>0</x:v>
      </x:c>
      <x:c r="O1719" s="2" t="str">
        <x:v>Đồng Nai|land</x:v>
      </x:c>
      <x:c r="P1719" s="10" t="n">
        <x:v>2</x:v>
      </x:c>
      <x:c r="Q1719" s="13" t="n">
        <x:f>IF(H1719="","",H1719/1000000000)</x:f>
        <x:v>0.36</x:v>
      </x:c>
      <x:c r="R1719" s="13" t="n">
        <x:f>IF(I1719="","",I1719/1000000)</x:f>
        <x:v>3.6</x:v>
      </x:c>
    </x:row>
    <x:row r="1720" ht="21" customHeight="1">
      <x:c r="A1720" s="10" t="n">
        <x:v>2594</x:v>
      </x:c>
      <x:c r="B1720" s="2" t="str">
        <x:v>413232f4e73484aa1cda</x:v>
      </x:c>
      <x:c r="C1720" s="2" t="str">
        <x:v>Tp Hồ Chí Minh</x:v>
      </x:c>
      <x:c r="D1720" s="2" t="str">
        <x:v>Quận 12</x:v>
      </x:c>
      <x:c r="E1720" s="2" t="str">
        <x:v>house</x:v>
      </x:c>
      <x:c r="F1720" s="2" t="str">
        <x:v>sale</x:v>
      </x:c>
      <x:c r="G1720" s="11" t="n">
        <x:v>63</x:v>
      </x:c>
      <x:c r="H1720" s="12" t="n">
        <x:v>3250000000</x:v>
      </x:c>
      <x:c r="I1720" s="12" t="n">
        <x:v>51587301.58730159</x:v>
      </x:c>
      <x:c r="J1720" s="2" t="str">
        <x:v>total</x:v>
      </x:c>
      <x:c r="K1720" s="2" t="str">
        <x:v>top_level_price_embedded_area</x:v>
      </x:c>
      <x:c r="L1720" s="2" t="str">
        <x:v>area_recovered_from_price_text;property_type_inferred_from_title</x:v>
      </x:c>
      <x:c r="M1720" s="10" t="n">
        <x:v>0</x:v>
      </x:c>
      <x:c r="N1720" s="10" t="n">
        <x:v>0</x:v>
      </x:c>
      <x:c r="O1720" s="2" t="str">
        <x:v>Tp Hồ Chí Minh|house</x:v>
      </x:c>
      <x:c r="P1720" s="10" t="n">
        <x:v>2</x:v>
      </x:c>
      <x:c r="Q1720" s="13" t="n">
        <x:f>IF(H1720="","",H1720/1000000000)</x:f>
        <x:v>3.25</x:v>
      </x:c>
      <x:c r="R1720" s="13" t="n">
        <x:f>IF(I1720="","",I1720/1000000)</x:f>
        <x:v>51.58730158730159</x:v>
      </x:c>
    </x:row>
    <x:row r="1721" ht="21" customHeight="1">
      <x:c r="A1721" s="10" t="n">
        <x:v>2595</x:v>
      </x:c>
      <x:c r="B1721" s="2" t="str">
        <x:v>53d246872cd3d2bc0944</x:v>
      </x:c>
      <x:c r="C1721" s="2" t="str">
        <x:v>Tp Hồ Chí Minh</x:v>
      </x:c>
      <x:c r="D1721" s="2" t="str">
        <x:v>Quận 9</x:v>
      </x:c>
      <x:c r="E1721" s="2" t="str">
        <x:v>house</x:v>
      </x:c>
      <x:c r="F1721" s="2" t="str">
        <x:v>sale_assumed</x:v>
      </x:c>
      <x:c r="G1721" s="11" t="n">
        <x:v>52</x:v>
      </x:c>
      <x:c r="H1721" s="12" t="n">
        <x:v>5320000000</x:v>
      </x:c>
      <x:c r="I1721" s="12" t="n">
        <x:v>102307692.3076923</x:v>
      </x:c>
      <x:c r="J1721" s="2" t="str">
        <x:v>total</x:v>
      </x:c>
      <x:c r="K1721" s="2" t="str">
        <x:v>top_level_price_embedded_area</x:v>
      </x:c>
      <x:c r="L1721" s="2" t="str">
        <x:v>area_recovered_from_price_text;property_type_inferred_from_title;transaction_assumed_sale_from_dataset_context</x:v>
      </x:c>
      <x:c r="M1721" s="10" t="n">
        <x:v>0</x:v>
      </x:c>
      <x:c r="N1721" s="10" t="n">
        <x:v>0</x:v>
      </x:c>
      <x:c r="O1721" s="2" t="str">
        <x:v>Tp Hồ Chí Minh|house</x:v>
      </x:c>
      <x:c r="P1721" s="10" t="n">
        <x:v>2</x:v>
      </x:c>
      <x:c r="Q1721" s="13" t="n">
        <x:f>IF(H1721="","",H1721/1000000000)</x:f>
        <x:v>5.32</x:v>
      </x:c>
      <x:c r="R1721" s="13" t="n">
        <x:f>IF(I1721="","",I1721/1000000)</x:f>
        <x:v>102.3076923076923</x:v>
      </x:c>
    </x:row>
    <x:row r="1722" ht="21" customHeight="1">
      <x:c r="A1722" s="10" t="n">
        <x:v>2597</x:v>
      </x:c>
      <x:c r="B1722" s="2" t="str">
        <x:v>986561670f6466abed09</x:v>
      </x:c>
      <x:c r="C1722" s="2" t="str">
        <x:v>Tp Hồ Chí Minh</x:v>
      </x:c>
      <x:c r="D1722" s="2" t="str">
        <x:v>Quận 12</x:v>
      </x:c>
      <x:c r="E1722" s="2" t="str">
        <x:v>land</x:v>
      </x:c>
      <x:c r="F1722" s="2" t="str">
        <x:v>sale</x:v>
      </x:c>
      <x:c r="G1722" s="11" t="n">
        <x:v>158</x:v>
      </x:c>
      <x:c r="H1722" s="12" t="n">
        <x:v>4190000000.0000005</x:v>
      </x:c>
      <x:c r="I1722" s="12" t="n">
        <x:v>26518987.341772154</x:v>
      </x:c>
      <x:c r="J1722" s="2" t="str">
        <x:v>total</x:v>
      </x:c>
      <x:c r="K1722" s="2" t="str">
        <x:v>top_level_price_embedded_area</x:v>
      </x:c>
      <x:c r="L1722" s="2" t="str">
        <x:v>area_recovered_from_price_text;property_type_inferred_from_title</x:v>
      </x:c>
      <x:c r="M1722" s="10" t="n">
        <x:v>0</x:v>
      </x:c>
      <x:c r="N1722" s="10" t="n">
        <x:v>0</x:v>
      </x:c>
      <x:c r="O1722" s="2" t="str">
        <x:v>Tp Hồ Chí Minh|land</x:v>
      </x:c>
      <x:c r="P1722" s="10" t="n">
        <x:v>2</x:v>
      </x:c>
      <x:c r="Q1722" s="13" t="n">
        <x:f>IF(H1722="","",H1722/1000000000)</x:f>
        <x:v>4.19</x:v>
      </x:c>
      <x:c r="R1722" s="13" t="n">
        <x:f>IF(I1722="","",I1722/1000000)</x:f>
        <x:v>26.518987341772153</x:v>
      </x:c>
    </x:row>
    <x:row r="1723" ht="21" customHeight="1">
      <x:c r="A1723" s="10" t="n">
        <x:v>2598</x:v>
      </x:c>
      <x:c r="B1723" s="2" t="str">
        <x:v>26d3bab5efe731fe4486</x:v>
      </x:c>
      <x:c r="C1723" s="2" t="str">
        <x:v>Tp Hồ Chí Minh</x:v>
      </x:c>
      <x:c r="D1723" s="2" t="str">
        <x:v>Quận Bình Thạnh</x:v>
      </x:c>
      <x:c r="E1723" s="2" t="str">
        <x:v>other_unknown</x:v>
      </x:c>
      <x:c r="F1723" s="2" t="str">
        <x:v>sale_assumed</x:v>
      </x:c>
      <x:c r="G1723" s="11" t="n">
        <x:v>56</x:v>
      </x:c>
      <x:c r="H1723" s="12" t="n">
        <x:v>6500000000</x:v>
      </x:c>
      <x:c r="I1723" s="12" t="n">
        <x:v>116071428.57142857</x:v>
      </x:c>
      <x:c r="J1723" s="2" t="str">
        <x:v>total</x:v>
      </x:c>
      <x:c r="K1723" s="2" t="str">
        <x:v>top_level_area</x:v>
      </x:c>
      <x:c r="L1723" s="2" t="str">
        <x:v>property_type_inferred_from_title;transaction_assumed_sale_from_dataset_context;unknown_property_type</x:v>
      </x:c>
      <x:c r="M1723" s="10" t="n">
        <x:v>0</x:v>
      </x:c>
      <x:c r="N1723" s="10" t="n">
        <x:v>0</x:v>
      </x:c>
      <x:c r="O1723" s="2" t="str">
        <x:v>Tp Hồ Chí Minh|other_unknown</x:v>
      </x:c>
      <x:c r="P1723" s="10" t="n">
        <x:v>2</x:v>
      </x:c>
      <x:c r="Q1723" s="13" t="n">
        <x:f>IF(H1723="","",H1723/1000000000)</x:f>
        <x:v>6.5</x:v>
      </x:c>
      <x:c r="R1723" s="13" t="n">
        <x:f>IF(I1723="","",I1723/1000000)</x:f>
        <x:v>116.07142857142857</x:v>
      </x:c>
    </x:row>
    <x:row r="1724" ht="21" customHeight="1">
      <x:c r="A1724" s="10" t="n">
        <x:v>2599</x:v>
      </x:c>
      <x:c r="B1724" s="2" t="str">
        <x:v>3cf41d8649a411e75995</x:v>
      </x:c>
      <x:c r="C1724" s="2" t="str">
        <x:v>Đà Nẵng</x:v>
      </x:c>
      <x:c r="D1724" s="2" t="str">
        <x:v>Quận Ngũ Hành Sơn</x:v>
      </x:c>
      <x:c r="E1724" s="2" t="str">
        <x:v>land</x:v>
      </x:c>
      <x:c r="F1724" s="2" t="str">
        <x:v>sale</x:v>
      </x:c>
      <x:c r="G1724" s="11" t="n">
        <x:v>109</x:v>
      </x:c>
      <x:c r="H1724" s="12" t="n">
        <x:v>1500000000</x:v>
      </x:c>
      <x:c r="I1724" s="12" t="n">
        <x:v>13761467.889908256</x:v>
      </x:c>
      <x:c r="J1724" s="2" t="str">
        <x:v>total</x:v>
      </x:c>
      <x:c r="K1724" s="2" t="str">
        <x:v>top_level_area</x:v>
      </x:c>
      <x:c r="L1724" s="2" t="str">
        <x:v>property_type_inferred_from_title</x:v>
      </x:c>
      <x:c r="M1724" s="10" t="n">
        <x:v>0</x:v>
      </x:c>
      <x:c r="N1724" s="10" t="n">
        <x:v>0</x:v>
      </x:c>
      <x:c r="O1724" s="2" t="str">
        <x:v>Đà Nẵng|land</x:v>
      </x:c>
      <x:c r="P1724" s="10" t="n">
        <x:v>2</x:v>
      </x:c>
      <x:c r="Q1724" s="13" t="n">
        <x:f>IF(H1724="","",H1724/1000000000)</x:f>
        <x:v>1.5</x:v>
      </x:c>
      <x:c r="R1724" s="13" t="n">
        <x:f>IF(I1724="","",I1724/1000000)</x:f>
        <x:v>13.761467889908255</x:v>
      </x:c>
    </x:row>
    <x:row r="1725" ht="21" customHeight="1">
      <x:c r="A1725" s="10" t="n">
        <x:v>2600</x:v>
      </x:c>
      <x:c r="B1725" s="2" t="str">
        <x:v>65ca5b27cc92973fae5b</x:v>
      </x:c>
      <x:c r="C1725" s="2" t="str">
        <x:v>Tp Hồ Chí Minh</x:v>
      </x:c>
      <x:c r="D1725" s="2" t="str">
        <x:v>Quận Bình Thạnh</x:v>
      </x:c>
      <x:c r="E1725" s="2" t="str">
        <x:v>house</x:v>
      </x:c>
      <x:c r="F1725" s="2" t="str">
        <x:v>sale</x:v>
      </x:c>
      <x:c r="G1725" s="11" t="n">
        <x:v>44</x:v>
      </x:c>
      <x:c r="H1725" s="12" t="n">
        <x:v>1900000000</x:v>
      </x:c>
      <x:c r="I1725" s="12" t="n">
        <x:v>43181818.18181818</x:v>
      </x:c>
      <x:c r="J1725" s="2" t="str">
        <x:v>total</x:v>
      </x:c>
      <x:c r="K1725" s="2" t="str">
        <x:v>top_level_area</x:v>
      </x:c>
      <x:c r="L1725" s="2" t="str">
        <x:v>property_type_inferred_from_title</x:v>
      </x:c>
      <x:c r="M1725" s="10" t="n">
        <x:v>0</x:v>
      </x:c>
      <x:c r="N1725" s="10" t="n">
        <x:v>0</x:v>
      </x:c>
      <x:c r="O1725" s="2" t="str">
        <x:v>Tp Hồ Chí Minh|house</x:v>
      </x:c>
      <x:c r="P1725" s="10" t="n">
        <x:v>2</x:v>
      </x:c>
      <x:c r="Q1725" s="13" t="n">
        <x:f>IF(H1725="","",H1725/1000000000)</x:f>
        <x:v>1.9</x:v>
      </x:c>
      <x:c r="R1725" s="13" t="n">
        <x:f>IF(I1725="","",I1725/1000000)</x:f>
        <x:v>43.18181818181818</x:v>
      </x:c>
    </x:row>
    <x:row r="1726" ht="21" customHeight="1">
      <x:c r="A1726" s="10" t="n">
        <x:v>2601</x:v>
      </x:c>
      <x:c r="B1726" s="2" t="str">
        <x:v>1a6eaf6d2d821ea9d5dd</x:v>
      </x:c>
      <x:c r="C1726" s="2" t="str">
        <x:v>Hà Nội</x:v>
      </x:c>
      <x:c r="D1726" s="2" t="str">
        <x:v>Quận Long Biên</x:v>
      </x:c>
      <x:c r="E1726" s="2" t="str">
        <x:v>house</x:v>
      </x:c>
      <x:c r="F1726" s="2" t="str">
        <x:v>sale_assumed</x:v>
      </x:c>
      <x:c r="G1726" s="11" t="n">
        <x:v>30</x:v>
      </x:c>
      <x:c r="H1726" s="12" t="n">
        <x:v>2650000000</x:v>
      </x:c>
      <x:c r="I1726" s="12" t="n">
        <x:v>88333333.33333333</x:v>
      </x:c>
      <x:c r="J1726" s="2" t="str">
        <x:v>total</x:v>
      </x:c>
      <x:c r="K1726" s="2" t="str">
        <x:v>top_level_area</x:v>
      </x:c>
      <x:c r="L1726" s="2" t="str">
        <x:v>property_type_inferred_from_title;transaction_assumed_sale_from_dataset_context</x:v>
      </x:c>
      <x:c r="M1726" s="10" t="n">
        <x:v>0</x:v>
      </x:c>
      <x:c r="N1726" s="10" t="n">
        <x:v>0</x:v>
      </x:c>
      <x:c r="O1726" s="2" t="str">
        <x:v>Hà Nội|house</x:v>
      </x:c>
      <x:c r="P1726" s="10" t="n">
        <x:v>2</x:v>
      </x:c>
      <x:c r="Q1726" s="13" t="n">
        <x:f>IF(H1726="","",H1726/1000000000)</x:f>
        <x:v>2.65</x:v>
      </x:c>
      <x:c r="R1726" s="13" t="n">
        <x:f>IF(I1726="","",I1726/1000000)</x:f>
        <x:v>88.33333333333333</x:v>
      </x:c>
    </x:row>
    <x:row r="1727" ht="21" customHeight="1">
      <x:c r="A1727" s="10" t="n">
        <x:v>2602</x:v>
      </x:c>
      <x:c r="B1727" s="2" t="str">
        <x:v>7801098640025c8dfa56</x:v>
      </x:c>
      <x:c r="C1727" s="2" t="str">
        <x:v>Tp Hồ Chí Minh</x:v>
      </x:c>
      <x:c r="D1727" s="2" t="str">
        <x:v>Quận 12</x:v>
      </x:c>
      <x:c r="E1727" s="2" t="str">
        <x:v>house</x:v>
      </x:c>
      <x:c r="F1727" s="2" t="str">
        <x:v>sale_assumed</x:v>
      </x:c>
      <x:c r="G1727" s="11" t="n">
        <x:v>68</x:v>
      </x:c>
      <x:c r="H1727" s="12" t="n">
        <x:v>5200000000</x:v>
      </x:c>
      <x:c r="I1727" s="12" t="n">
        <x:v>76470588.23529412</x:v>
      </x:c>
      <x:c r="J1727" s="2" t="str">
        <x:v>total</x:v>
      </x:c>
      <x:c r="K1727" s="2" t="str">
        <x:v>top_level_area</x:v>
      </x:c>
      <x:c r="L1727" s="2" t="str">
        <x:v>property_type_inferred_from_title;transaction_assumed_sale_from_dataset_context</x:v>
      </x:c>
      <x:c r="M1727" s="10" t="n">
        <x:v>0</x:v>
      </x:c>
      <x:c r="N1727" s="10" t="n">
        <x:v>0</x:v>
      </x:c>
      <x:c r="O1727" s="2" t="str">
        <x:v>Tp Hồ Chí Minh|house</x:v>
      </x:c>
      <x:c r="P1727" s="10" t="n">
        <x:v>2</x:v>
      </x:c>
      <x:c r="Q1727" s="13" t="n">
        <x:f>IF(H1727="","",H1727/1000000000)</x:f>
        <x:v>5.2</x:v>
      </x:c>
      <x:c r="R1727" s="13" t="n">
        <x:f>IF(I1727="","",I1727/1000000)</x:f>
        <x:v>76.47058823529412</x:v>
      </x:c>
    </x:row>
    <x:row r="1728" ht="21" customHeight="1">
      <x:c r="A1728" s="10" t="n">
        <x:v>2603</x:v>
      </x:c>
      <x:c r="B1728" s="2" t="str">
        <x:v>023fb1457d6cb8d008f1</x:v>
      </x:c>
      <x:c r="C1728" s="2" t="str">
        <x:v>Đắk Lắk</x:v>
      </x:c>
      <x:c r="D1728" s="2" t="str">
        <x:v>Thành phố Buôn Ma Thuột</x:v>
      </x:c>
      <x:c r="E1728" s="2" t="str">
        <x:v>house</x:v>
      </x:c>
      <x:c r="F1728" s="2" t="str">
        <x:v>sale_assumed</x:v>
      </x:c>
      <x:c r="G1728" s="11" t="n">
        <x:v>242</x:v>
      </x:c>
      <x:c r="H1728" s="12" t="n">
        <x:v>800000000</x:v>
      </x:c>
      <x:c r="I1728" s="12" t="n">
        <x:v>3305785.123966942</x:v>
      </x:c>
      <x:c r="J1728" s="2" t="str">
        <x:v>total</x:v>
      </x:c>
      <x:c r="K1728" s="2" t="str">
        <x:v>top_level_area</x:v>
      </x:c>
      <x:c r="L1728" s="2" t="str">
        <x:v>property_type_inferred_from_title;transaction_assumed_sale_from_dataset_context</x:v>
      </x:c>
      <x:c r="M1728" s="10" t="n">
        <x:v>0</x:v>
      </x:c>
      <x:c r="N1728" s="10" t="n">
        <x:v>0</x:v>
      </x:c>
      <x:c r="O1728" s="2" t="str">
        <x:v>Đắk Lắk|house</x:v>
      </x:c>
      <x:c r="P1728" s="10" t="n">
        <x:v>1</x:v>
      </x:c>
      <x:c r="Q1728" s="13" t="n">
        <x:f>IF(H1728="","",H1728/1000000000)</x:f>
        <x:v>0.8</x:v>
      </x:c>
      <x:c r="R1728" s="13" t="n">
        <x:f>IF(I1728="","",I1728/1000000)</x:f>
        <x:v>3.3057851239669422</x:v>
      </x:c>
    </x:row>
    <x:row r="1729" ht="21" customHeight="1">
      <x:c r="A1729" s="10" t="n">
        <x:v>2605</x:v>
      </x:c>
      <x:c r="B1729" s="2" t="str">
        <x:v>f48085b6fa5f567553c9</x:v>
      </x:c>
      <x:c r="C1729" s="2" t="str">
        <x:v>Bình Dương</x:v>
      </x:c>
      <x:c r="D1729" s="2" t="str">
        <x:v>Thị xã Thuận An</x:v>
      </x:c>
      <x:c r="E1729" s="2" t="str">
        <x:v>house</x:v>
      </x:c>
      <x:c r="F1729" s="2" t="str">
        <x:v>sale</x:v>
      </x:c>
      <x:c r="G1729" s="11" t="n">
        <x:v>75</x:v>
      </x:c>
      <x:c r="H1729" s="12" t="n">
        <x:v>1800000000</x:v>
      </x:c>
      <x:c r="I1729" s="12" t="n">
        <x:v>24000000</x:v>
      </x:c>
      <x:c r="J1729" s="2" t="str">
        <x:v>total</x:v>
      </x:c>
      <x:c r="K1729" s="2" t="str">
        <x:v>top_level_area</x:v>
      </x:c>
      <x:c r="L1729" s="2" t="str">
        <x:v>property_type_inferred_from_title</x:v>
      </x:c>
      <x:c r="M1729" s="10" t="n">
        <x:v>0</x:v>
      </x:c>
      <x:c r="N1729" s="10" t="n">
        <x:v>0</x:v>
      </x:c>
      <x:c r="O1729" s="2" t="str">
        <x:v>Bình Dương|house</x:v>
      </x:c>
      <x:c r="P1729" s="10" t="n">
        <x:v>2</x:v>
      </x:c>
      <x:c r="Q1729" s="13" t="n">
        <x:f>IF(H1729="","",H1729/1000000000)</x:f>
        <x:v>1.8</x:v>
      </x:c>
      <x:c r="R1729" s="13" t="n">
        <x:f>IF(I1729="","",I1729/1000000)</x:f>
        <x:v>24</x:v>
      </x:c>
    </x:row>
    <x:row r="1730" ht="21" customHeight="1">
      <x:c r="A1730" s="10" t="n">
        <x:v>2606</x:v>
      </x:c>
      <x:c r="B1730" s="2" t="str">
        <x:v>a5ade20567c65261c0a4</x:v>
      </x:c>
      <x:c r="C1730" s="2" t="str">
        <x:v>Bình Dương</x:v>
      </x:c>
      <x:c r="D1730" s="2" t="str">
        <x:v>Thị xã Dĩ An</x:v>
      </x:c>
      <x:c r="E1730" s="2" t="str">
        <x:v>other_unknown</x:v>
      </x:c>
      <x:c r="F1730" s="2" t="str">
        <x:v>sale</x:v>
      </x:c>
      <x:c r="G1730" s="11" t="n">
        <x:v>49</x:v>
      </x:c>
      <x:c r="H1730" s="12" t="n">
        <x:v>1000000000</x:v>
      </x:c>
      <x:c r="I1730" s="12" t="n">
        <x:v>20408163.265306123</x:v>
      </x:c>
      <x:c r="J1730" s="2" t="str">
        <x:v>total</x:v>
      </x:c>
      <x:c r="K1730" s="2" t="str">
        <x:v>top_level_price_embedded_area</x:v>
      </x:c>
      <x:c r="L1730" s="2" t="str">
        <x:v>area_recovered_from_price_text;property_type_inferred_from_title;unknown_property_type</x:v>
      </x:c>
      <x:c r="M1730" s="10" t="n">
        <x:v>0</x:v>
      </x:c>
      <x:c r="N1730" s="10" t="n">
        <x:v>0</x:v>
      </x:c>
      <x:c r="O1730" s="2" t="str">
        <x:v>Bình Dương|other_unknown</x:v>
      </x:c>
      <x:c r="P1730" s="10" t="n">
        <x:v>2</x:v>
      </x:c>
      <x:c r="Q1730" s="13" t="n">
        <x:f>IF(H1730="","",H1730/1000000000)</x:f>
        <x:v>1</x:v>
      </x:c>
      <x:c r="R1730" s="13" t="n">
        <x:f>IF(I1730="","",I1730/1000000)</x:f>
        <x:v>20.408163265306122</x:v>
      </x:c>
    </x:row>
    <x:row r="1731" ht="21" customHeight="1">
      <x:c r="A1731" s="10" t="n">
        <x:v>2608</x:v>
      </x:c>
      <x:c r="B1731" s="2" t="str">
        <x:v>5db0fb63fd08284ed255</x:v>
      </x:c>
      <x:c r="C1731" s="2" t="str">
        <x:v>Tp Hồ Chí Minh</x:v>
      </x:c>
      <x:c r="D1731" s="2" t="str">
        <x:v>Quận Bình Tân</x:v>
      </x:c>
      <x:c r="E1731" s="2" t="str">
        <x:v>other_unknown</x:v>
      </x:c>
      <x:c r="F1731" s="2" t="str">
        <x:v>sale_assumed</x:v>
      </x:c>
      <x:c r="G1731" s="11" t="n">
        <x:v>65</x:v>
      </x:c>
      <x:c r="H1731" s="12" t="n">
        <x:v>990000000</x:v>
      </x:c>
      <x:c r="I1731" s="12" t="n">
        <x:v>15230769.23076923</x:v>
      </x:c>
      <x:c r="J1731" s="2" t="str">
        <x:v>total</x:v>
      </x:c>
      <x:c r="K1731" s="2" t="str">
        <x:v>top_level_area</x:v>
      </x:c>
      <x:c r="L1731" s="2" t="str">
        <x:v>property_type_inferred_from_title;transaction_assumed_sale_from_dataset_context;unknown_property_type</x:v>
      </x:c>
      <x:c r="M1731" s="10" t="n">
        <x:v>0</x:v>
      </x:c>
      <x:c r="N1731" s="10" t="n">
        <x:v>0</x:v>
      </x:c>
      <x:c r="O1731" s="2" t="str">
        <x:v>Tp Hồ Chí Minh|other_unknown</x:v>
      </x:c>
      <x:c r="P1731" s="10" t="n">
        <x:v>2</x:v>
      </x:c>
      <x:c r="Q1731" s="13" t="n">
        <x:f>IF(H1731="","",H1731/1000000000)</x:f>
        <x:v>0.99</x:v>
      </x:c>
      <x:c r="R1731" s="13" t="n">
        <x:f>IF(I1731="","",I1731/1000000)</x:f>
        <x:v>15.23076923076923</x:v>
      </x:c>
    </x:row>
    <x:row r="1732" ht="21" customHeight="1">
      <x:c r="A1732" s="10" t="n">
        <x:v>2613</x:v>
      </x:c>
      <x:c r="B1732" s="2" t="str">
        <x:v>b480e686e73178054dcf</x:v>
      </x:c>
      <x:c r="C1732" s="2" t="str">
        <x:v>Đà Nẵng</x:v>
      </x:c>
      <x:c r="D1732" s="2" t="str">
        <x:v>Quận Ngũ Hành Sơn</x:v>
      </x:c>
      <x:c r="E1732" s="2" t="str">
        <x:v>other_unknown</x:v>
      </x:c>
      <x:c r="F1732" s="2" t="str">
        <x:v>sale_assumed</x:v>
      </x:c>
      <x:c r="G1732" s="11" t="n">
        <x:v>100</x:v>
      </x:c>
      <x:c r="H1732" s="12" t="n">
        <x:v>1300000000</x:v>
      </x:c>
      <x:c r="I1732" s="12" t="n">
        <x:v>13000000</x:v>
      </x:c>
      <x:c r="J1732" s="2" t="str">
        <x:v>total</x:v>
      </x:c>
      <x:c r="K1732" s="2" t="str">
        <x:v>top_level_area</x:v>
      </x:c>
      <x:c r="L1732" s="2" t="str">
        <x:v>property_type_inferred_from_title;transaction_assumed_sale_from_dataset_context;unknown_property_type</x:v>
      </x:c>
      <x:c r="M1732" s="10" t="n">
        <x:v>0</x:v>
      </x:c>
      <x:c r="N1732" s="10" t="n">
        <x:v>0</x:v>
      </x:c>
      <x:c r="O1732" s="2" t="str">
        <x:v>Đà Nẵng|other_unknown</x:v>
      </x:c>
      <x:c r="P1732" s="10" t="n">
        <x:v>2</x:v>
      </x:c>
      <x:c r="Q1732" s="13" t="n">
        <x:f>IF(H1732="","",H1732/1000000000)</x:f>
        <x:v>1.3</x:v>
      </x:c>
      <x:c r="R1732" s="13" t="n">
        <x:f>IF(I1732="","",I1732/1000000)</x:f>
        <x:v>13</x:v>
      </x:c>
    </x:row>
    <x:row r="1733" ht="21" customHeight="1">
      <x:c r="A1733" s="10" t="n">
        <x:v>2614</x:v>
      </x:c>
      <x:c r="B1733" s="2" t="str">
        <x:v>8e72627e3ecb9847d8b8</x:v>
      </x:c>
      <x:c r="C1733" s="2" t="str">
        <x:v>Cần Thơ</x:v>
      </x:c>
      <x:c r="D1733" s="2" t="str">
        <x:v>Quận Cái Răng</x:v>
      </x:c>
      <x:c r="E1733" s="2" t="str">
        <x:v>land</x:v>
      </x:c>
      <x:c r="F1733" s="2" t="str">
        <x:v>sale_assumed</x:v>
      </x:c>
      <x:c r="G1733" s="11" t="n">
        <x:v>80</x:v>
      </x:c>
      <x:c r="H1733" s="12" t="n">
        <x:v>680000000</x:v>
      </x:c>
      <x:c r="I1733" s="12" t="n">
        <x:v>8500000</x:v>
      </x:c>
      <x:c r="J1733" s="2" t="str">
        <x:v>total</x:v>
      </x:c>
      <x:c r="K1733" s="2" t="str">
        <x:v>top_level_area</x:v>
      </x:c>
      <x:c r="L1733" s="2" t="str">
        <x:v>property_type_inferred_from_title;transaction_assumed_sale_from_dataset_context</x:v>
      </x:c>
      <x:c r="M1733" s="10" t="n">
        <x:v>0</x:v>
      </x:c>
      <x:c r="N1733" s="10" t="n">
        <x:v>0</x:v>
      </x:c>
      <x:c r="O1733" s="2" t="str">
        <x:v>Cần Thơ|land</x:v>
      </x:c>
      <x:c r="P1733" s="10" t="n">
        <x:v>2</x:v>
      </x:c>
      <x:c r="Q1733" s="13" t="n">
        <x:f>IF(H1733="","",H1733/1000000000)</x:f>
        <x:v>0.68</x:v>
      </x:c>
      <x:c r="R1733" s="13" t="n">
        <x:f>IF(I1733="","",I1733/1000000)</x:f>
        <x:v>8.5</x:v>
      </x:c>
    </x:row>
    <x:row r="1734" ht="21" customHeight="1">
      <x:c r="A1734" s="10" t="n">
        <x:v>2615</x:v>
      </x:c>
      <x:c r="B1734" s="2" t="str">
        <x:v>c26896a18b5289e7a553</x:v>
      </x:c>
      <x:c r="C1734" s="2" t="str">
        <x:v>Đồng Nai</x:v>
      </x:c>
      <x:c r="D1734" s="2" t="str">
        <x:v>Huyện Vĩnh Cửu</x:v>
      </x:c>
      <x:c r="E1734" s="2" t="str">
        <x:v>land</x:v>
      </x:c>
      <x:c r="F1734" s="2" t="str">
        <x:v>sale_assumed</x:v>
      </x:c>
      <x:c r="G1734" s="11" t="n">
        <x:v>125</x:v>
      </x:c>
      <x:c r="H1734" s="12" t="n">
        <x:v>500000000</x:v>
      </x:c>
      <x:c r="I1734" s="12" t="n">
        <x:v>4000000</x:v>
      </x:c>
      <x:c r="J1734" s="2" t="str">
        <x:v>total</x:v>
      </x:c>
      <x:c r="K1734" s="2" t="str">
        <x:v>top_level_area</x:v>
      </x:c>
      <x:c r="L1734" s="2" t="str">
        <x:v>property_type_inferred_from_title;transaction_assumed_sale_from_dataset_context</x:v>
      </x:c>
      <x:c r="M1734" s="10" t="n">
        <x:v>0</x:v>
      </x:c>
      <x:c r="N1734" s="10" t="n">
        <x:v>0</x:v>
      </x:c>
      <x:c r="O1734" s="2" t="str">
        <x:v>Đồng Nai|land</x:v>
      </x:c>
      <x:c r="P1734" s="10" t="n">
        <x:v>2</x:v>
      </x:c>
      <x:c r="Q1734" s="13" t="n">
        <x:f>IF(H1734="","",H1734/1000000000)</x:f>
        <x:v>0.5</x:v>
      </x:c>
      <x:c r="R1734" s="13" t="n">
        <x:f>IF(I1734="","",I1734/1000000)</x:f>
        <x:v>4</x:v>
      </x:c>
    </x:row>
    <x:row r="1735" ht="21" customHeight="1">
      <x:c r="A1735" s="10" t="n">
        <x:v>2616</x:v>
      </x:c>
      <x:c r="B1735" s="2" t="str">
        <x:v>5c7368ab37576d19d289</x:v>
      </x:c>
      <x:c r="C1735" s="2" t="str">
        <x:v>Đà Nẵng</x:v>
      </x:c>
      <x:c r="D1735" s="2" t="str">
        <x:v>Quận Ngũ Hành Sơn</x:v>
      </x:c>
      <x:c r="E1735" s="2" t="str">
        <x:v>land</x:v>
      </x:c>
      <x:c r="F1735" s="2" t="str">
        <x:v>sale</x:v>
      </x:c>
      <x:c r="G1735" s="11" t="n">
        <x:v>108</x:v>
      </x:c>
      <x:c r="H1735" s="12" t="n">
        <x:v>1900000000</x:v>
      </x:c>
      <x:c r="I1735" s="12" t="n">
        <x:v>17592592.592592593</x:v>
      </x:c>
      <x:c r="J1735" s="2" t="str">
        <x:v>total</x:v>
      </x:c>
      <x:c r="K1735" s="2" t="str">
        <x:v>top_level_area</x:v>
      </x:c>
      <x:c r="L1735" s="2" t="str">
        <x:v>property_type_inferred_from_title</x:v>
      </x:c>
      <x:c r="M1735" s="10" t="n">
        <x:v>0</x:v>
      </x:c>
      <x:c r="N1735" s="10" t="n">
        <x:v>0</x:v>
      </x:c>
      <x:c r="O1735" s="2" t="str">
        <x:v>Đà Nẵng|land</x:v>
      </x:c>
      <x:c r="P1735" s="10" t="n">
        <x:v>2</x:v>
      </x:c>
      <x:c r="Q1735" s="13" t="n">
        <x:f>IF(H1735="","",H1735/1000000000)</x:f>
        <x:v>1.9</x:v>
      </x:c>
      <x:c r="R1735" s="13" t="n">
        <x:f>IF(I1735="","",I1735/1000000)</x:f>
        <x:v>17.59259259259259</x:v>
      </x:c>
    </x:row>
    <x:row r="1736" ht="21" customHeight="1">
      <x:c r="A1736" s="10" t="n">
        <x:v>2617</x:v>
      </x:c>
      <x:c r="B1736" s="2" t="str">
        <x:v>ea2152ba6371e68ea6c9</x:v>
      </x:c>
      <x:c r="C1736" s="2" t="str">
        <x:v>Tp Hồ Chí Minh</x:v>
      </x:c>
      <x:c r="D1736" s="2" t="str">
        <x:v>Huyện Bình Chánh</x:v>
      </x:c>
      <x:c r="E1736" s="2" t="str">
        <x:v>land</x:v>
      </x:c>
      <x:c r="F1736" s="2" t="str">
        <x:v>sale</x:v>
      </x:c>
      <x:c r="G1736" s="11" t="n">
        <x:v>80</x:v>
      </x:c>
      <x:c r="H1736" s="12" t="n">
        <x:v>890000000</x:v>
      </x:c>
      <x:c r="I1736" s="12" t="n">
        <x:v>11125000</x:v>
      </x:c>
      <x:c r="J1736" s="2" t="str">
        <x:v>total</x:v>
      </x:c>
      <x:c r="K1736" s="2" t="str">
        <x:v>top_level_area</x:v>
      </x:c>
      <x:c r="L1736" s="2" t="str">
        <x:v>property_type_inferred_from_title</x:v>
      </x:c>
      <x:c r="M1736" s="10" t="n">
        <x:v>0</x:v>
      </x:c>
      <x:c r="N1736" s="10" t="n">
        <x:v>0</x:v>
      </x:c>
      <x:c r="O1736" s="2" t="str">
        <x:v>Tp Hồ Chí Minh|land</x:v>
      </x:c>
      <x:c r="P1736" s="10" t="n">
        <x:v>2</x:v>
      </x:c>
      <x:c r="Q1736" s="13" t="n">
        <x:f>IF(H1736="","",H1736/1000000000)</x:f>
        <x:v>0.89</x:v>
      </x:c>
      <x:c r="R1736" s="13" t="n">
        <x:f>IF(I1736="","",I1736/1000000)</x:f>
        <x:v>11.125</x:v>
      </x:c>
    </x:row>
    <x:row r="1737" ht="21" customHeight="1">
      <x:c r="A1737" s="10" t="n">
        <x:v>2618</x:v>
      </x:c>
      <x:c r="B1737" s="2" t="str">
        <x:v>1a61305c4811b5b02c9c</x:v>
      </x:c>
      <x:c r="C1737" s="2" t="str">
        <x:v>Hà Nội</x:v>
      </x:c>
      <x:c r="D1737" s="2" t="str">
        <x:v>Quận Đống Đa</x:v>
      </x:c>
      <x:c r="E1737" s="2" t="str">
        <x:v>house</x:v>
      </x:c>
      <x:c r="F1737" s="2" t="str">
        <x:v>sale</x:v>
      </x:c>
      <x:c r="G1737" s="11" t="n">
        <x:v>40</x:v>
      </x:c>
      <x:c r="H1737" s="12" t="n">
        <x:v>2650000000</x:v>
      </x:c>
      <x:c r="I1737" s="12" t="n">
        <x:v>66250000</x:v>
      </x:c>
      <x:c r="J1737" s="2" t="str">
        <x:v>total</x:v>
      </x:c>
      <x:c r="K1737" s="2" t="str">
        <x:v>top_level_area</x:v>
      </x:c>
      <x:c r="L1737" s="2" t="str">
        <x:v>property_type_inferred_from_title</x:v>
      </x:c>
      <x:c r="M1737" s="10" t="n">
        <x:v>0</x:v>
      </x:c>
      <x:c r="N1737" s="10" t="n">
        <x:v>0</x:v>
      </x:c>
      <x:c r="O1737" s="2" t="str">
        <x:v>Hà Nội|house</x:v>
      </x:c>
      <x:c r="P1737" s="10" t="n">
        <x:v>2</x:v>
      </x:c>
      <x:c r="Q1737" s="13" t="n">
        <x:f>IF(H1737="","",H1737/1000000000)</x:f>
        <x:v>2.65</x:v>
      </x:c>
      <x:c r="R1737" s="13" t="n">
        <x:f>IF(I1737="","",I1737/1000000)</x:f>
        <x:v>66.25</x:v>
      </x:c>
    </x:row>
    <x:row r="1738" ht="21" customHeight="1">
      <x:c r="A1738" s="10" t="n">
        <x:v>2619</x:v>
      </x:c>
      <x:c r="B1738" s="2" t="str">
        <x:v>16f8800dd4b0dee83d42</x:v>
      </x:c>
      <x:c r="C1738" s="2" t="str">
        <x:v>Cần Thơ</x:v>
      </x:c>
      <x:c r="D1738" s="2" t="str">
        <x:v>Quận Bình Thuỷ</x:v>
      </x:c>
      <x:c r="E1738" s="2" t="str">
        <x:v>land</x:v>
      </x:c>
      <x:c r="F1738" s="2" t="str">
        <x:v>sale_assumed</x:v>
      </x:c>
      <x:c r="G1738" s="11" t="n">
        <x:v>3400</x:v>
      </x:c>
      <x:c r="H1738" s="12" t="n">
        <x:v>7650000000</x:v>
      </x:c>
      <x:c r="I1738" s="12" t="n">
        <x:v>2250000</x:v>
      </x:c>
      <x:c r="J1738" s="2" t="str">
        <x:v>total</x:v>
      </x:c>
      <x:c r="K1738" s="2" t="str">
        <x:v>top_level_area</x:v>
      </x:c>
      <x:c r="L1738" s="2" t="str">
        <x:v>dot_thousands_convention;property_type_inferred_from_title;transaction_assumed_sale_from_dataset_context</x:v>
      </x:c>
      <x:c r="M1738" s="10" t="n">
        <x:v>0</x:v>
      </x:c>
      <x:c r="N1738" s="10" t="n">
        <x:v>0</x:v>
      </x:c>
      <x:c r="O1738" s="2" t="str">
        <x:v>Cần Thơ|land</x:v>
      </x:c>
      <x:c r="P1738" s="10" t="n">
        <x:v>1</x:v>
      </x:c>
      <x:c r="Q1738" s="13" t="n">
        <x:f>IF(H1738="","",H1738/1000000000)</x:f>
        <x:v>7.65</x:v>
      </x:c>
      <x:c r="R1738" s="13" t="n">
        <x:f>IF(I1738="","",I1738/1000000)</x:f>
        <x:v>2.25</x:v>
      </x:c>
    </x:row>
    <x:row r="1739" ht="21" customHeight="1">
      <x:c r="A1739" s="10" t="n">
        <x:v>2620</x:v>
      </x:c>
      <x:c r="B1739" s="2" t="str">
        <x:v>33365e37c316204106f8</x:v>
      </x:c>
      <x:c r="C1739" s="2" t="str">
        <x:v>Tp Hồ Chí Minh</x:v>
      </x:c>
      <x:c r="D1739" s="2" t="str">
        <x:v>Quận 10</x:v>
      </x:c>
      <x:c r="E1739" s="2" t="str">
        <x:v>house</x:v>
      </x:c>
      <x:c r="F1739" s="2" t="str">
        <x:v>sale</x:v>
      </x:c>
      <x:c r="G1739" s="11" t="n">
        <x:v>60</x:v>
      </x:c>
      <x:c r="H1739" s="12" t="n">
        <x:v>1500000000</x:v>
      </x:c>
      <x:c r="I1739" s="12" t="n">
        <x:v>25000000</x:v>
      </x:c>
      <x:c r="J1739" s="2" t="str">
        <x:v>total</x:v>
      </x:c>
      <x:c r="K1739" s="2" t="str">
        <x:v>top_level_area</x:v>
      </x:c>
      <x:c r="L1739" s="2" t="str">
        <x:v>property_type_inferred_from_title</x:v>
      </x:c>
      <x:c r="M1739" s="10" t="n">
        <x:v>0</x:v>
      </x:c>
      <x:c r="N1739" s="10" t="n">
        <x:v>0</x:v>
      </x:c>
      <x:c r="O1739" s="2" t="str">
        <x:v>Tp Hồ Chí Minh|house</x:v>
      </x:c>
      <x:c r="P1739" s="10" t="n">
        <x:v>2</x:v>
      </x:c>
      <x:c r="Q1739" s="13" t="n">
        <x:f>IF(H1739="","",H1739/1000000000)</x:f>
        <x:v>1.5</x:v>
      </x:c>
      <x:c r="R1739" s="13" t="n">
        <x:f>IF(I1739="","",I1739/1000000)</x:f>
        <x:v>25</x:v>
      </x:c>
    </x:row>
    <x:row r="1740" ht="21" customHeight="1">
      <x:c r="A1740" s="10" t="n">
        <x:v>2621</x:v>
      </x:c>
      <x:c r="B1740" s="2" t="str">
        <x:v>dd10eb250ba56f18d9d1</x:v>
      </x:c>
      <x:c r="C1740" s="2" t="str">
        <x:v>Đà Nẵng</x:v>
      </x:c>
      <x:c r="D1740" s="2" t="str">
        <x:v>Quận Ngũ Hành Sơn</x:v>
      </x:c>
      <x:c r="E1740" s="2" t="str">
        <x:v>land</x:v>
      </x:c>
      <x:c r="F1740" s="2" t="str">
        <x:v>sale</x:v>
      </x:c>
      <x:c r="G1740" s="11" t="n">
        <x:v>100</x:v>
      </x:c>
      <x:c r="H1740" s="12" t="n">
        <x:v>6400000001</x:v>
      </x:c>
      <x:c r="I1740" s="12" t="n">
        <x:v>64000000.01</x:v>
      </x:c>
      <x:c r="J1740" s="2" t="str">
        <x:v>total</x:v>
      </x:c>
      <x:c r="K1740" s="2" t="str">
        <x:v>top_level_area</x:v>
      </x:c>
      <x:c r="L1740" s="2" t="str">
        <x:v>property_type_inferred_from_title</x:v>
      </x:c>
      <x:c r="M1740" s="10" t="n">
        <x:v>0</x:v>
      </x:c>
      <x:c r="N1740" s="10" t="n">
        <x:v>1</x:v>
      </x:c>
      <x:c r="O1740" s="2" t="str">
        <x:v>Đà Nẵng|land</x:v>
      </x:c>
      <x:c r="P1740" s="10" t="n">
        <x:v>-1</x:v>
      </x:c>
      <x:c r="Q1740" s="13" t="n">
        <x:f>IF(H1740="","",H1740/1000000000)</x:f>
        <x:v>6.400000001</x:v>
      </x:c>
      <x:c r="R1740" s="13" t="n">
        <x:f>IF(I1740="","",I1740/1000000)</x:f>
        <x:v>64.00000001</x:v>
      </x:c>
    </x:row>
    <x:row r="1741" ht="21" customHeight="1">
      <x:c r="A1741" s="10" t="n">
        <x:v>2622</x:v>
      </x:c>
      <x:c r="B1741" s="2" t="str">
        <x:v>08312bff230a9781cf68</x:v>
      </x:c>
      <x:c r="C1741" s="2" t="str">
        <x:v>Tp Hồ Chí Minh</x:v>
      </x:c>
      <x:c r="D1741" s="2" t="str">
        <x:v>Huyện Hóc Môn</x:v>
      </x:c>
      <x:c r="E1741" s="2" t="str">
        <x:v>house</x:v>
      </x:c>
      <x:c r="F1741" s="2" t="str">
        <x:v>sale_assumed</x:v>
      </x:c>
      <x:c r="G1741" s="11" t="n">
        <x:v>10125</x:v>
      </x:c>
      <x:c r="H1741" s="12" t="n">
        <x:v>2900000000</x:v>
      </x:c>
      <x:c r="I1741" s="12" t="n">
        <x:v>286419.7530864198</x:v>
      </x:c>
      <x:c r="J1741" s="2" t="str">
        <x:v>total</x:v>
      </x:c>
      <x:c r="K1741" s="2" t="str">
        <x:v>top_level_area</x:v>
      </x:c>
      <x:c r="L1741" s="2" t="str">
        <x:v>dot_thousands_convention;property_type_inferred_from_title;transaction_assumed_sale_from_dataset_context</x:v>
      </x:c>
      <x:c r="M1741" s="10" t="n">
        <x:v>0</x:v>
      </x:c>
      <x:c r="N1741" s="10" t="n">
        <x:v>0</x:v>
      </x:c>
      <x:c r="O1741" s="2" t="str">
        <x:v>Tp Hồ Chí Minh|house</x:v>
      </x:c>
      <x:c r="P1741" s="10" t="n">
        <x:v>1</x:v>
      </x:c>
      <x:c r="Q1741" s="13" t="n">
        <x:f>IF(H1741="","",H1741/1000000000)</x:f>
        <x:v>2.9</x:v>
      </x:c>
      <x:c r="R1741" s="13" t="n">
        <x:f>IF(I1741="","",I1741/1000000)</x:f>
        <x:v>0.28641975308641976</x:v>
      </x:c>
    </x:row>
    <x:row r="1742" ht="21" customHeight="1">
      <x:c r="A1742" s="10" t="n">
        <x:v>2623</x:v>
      </x:c>
      <x:c r="B1742" s="2" t="str">
        <x:v>cb5df5280fb962d70b9f</x:v>
      </x:c>
      <x:c r="C1742" s="2" t="str">
        <x:v>Tp Hồ Chí Minh</x:v>
      </x:c>
      <x:c r="D1742" s="2" t="str">
        <x:v>Huyện Bình Chánh</x:v>
      </x:c>
      <x:c r="E1742" s="2" t="str">
        <x:v>house</x:v>
      </x:c>
      <x:c r="F1742" s="2" t="str">
        <x:v>sale</x:v>
      </x:c>
      <x:c r="G1742" s="11" t="n">
        <x:v>40</x:v>
      </x:c>
      <x:c r="H1742" s="12" t="n">
        <x:v>450000000</x:v>
      </x:c>
      <x:c r="I1742" s="12" t="n">
        <x:v>11250000</x:v>
      </x:c>
      <x:c r="J1742" s="2" t="str">
        <x:v>total</x:v>
      </x:c>
      <x:c r="K1742" s="2" t="str">
        <x:v>top_level_price_embedded_area</x:v>
      </x:c>
      <x:c r="L1742" s="2" t="str">
        <x:v>area_recovered_from_price_text;property_type_inferred_from_title</x:v>
      </x:c>
      <x:c r="M1742" s="10" t="n">
        <x:v>0</x:v>
      </x:c>
      <x:c r="N1742" s="10" t="n">
        <x:v>0</x:v>
      </x:c>
      <x:c r="O1742" s="2" t="str">
        <x:v>Tp Hồ Chí Minh|house</x:v>
      </x:c>
      <x:c r="P1742" s="10" t="n">
        <x:v>2</x:v>
      </x:c>
      <x:c r="Q1742" s="13" t="n">
        <x:f>IF(H1742="","",H1742/1000000000)</x:f>
        <x:v>0.45</x:v>
      </x:c>
      <x:c r="R1742" s="13" t="n">
        <x:f>IF(I1742="","",I1742/1000000)</x:f>
        <x:v>11.25</x:v>
      </x:c>
    </x:row>
    <x:row r="1743" ht="21" customHeight="1">
      <x:c r="A1743" s="10" t="n">
        <x:v>2624</x:v>
      </x:c>
      <x:c r="B1743" s="2" t="str">
        <x:v>b76ba15d600bf4099e7f</x:v>
      </x:c>
      <x:c r="C1743" s="2" t="str">
        <x:v>Đà Nẵng</x:v>
      </x:c>
      <x:c r="D1743" s="2" t="str">
        <x:v>Quận Liên Chiểu</x:v>
      </x:c>
      <x:c r="E1743" s="2" t="str">
        <x:v>house</x:v>
      </x:c>
      <x:c r="F1743" s="2" t="str">
        <x:v>sale_assumed</x:v>
      </x:c>
      <x:c r="G1743" s="11" t="n">
        <x:v>67</x:v>
      </x:c>
      <x:c r="H1743" s="12" t="n">
        <x:v>3150000000</x:v>
      </x:c>
      <x:c r="I1743" s="12" t="n">
        <x:v>47014925.37313433</x:v>
      </x:c>
      <x:c r="J1743" s="2" t="str">
        <x:v>total</x:v>
      </x:c>
      <x:c r="K1743" s="2" t="str">
        <x:v>top_level_area</x:v>
      </x:c>
      <x:c r="L1743" s="2" t="str">
        <x:v>property_type_inferred_from_title;transaction_assumed_sale_from_dataset_context</x:v>
      </x:c>
      <x:c r="M1743" s="10" t="n">
        <x:v>0</x:v>
      </x:c>
      <x:c r="N1743" s="10" t="n">
        <x:v>0</x:v>
      </x:c>
      <x:c r="O1743" s="2" t="str">
        <x:v>Đà Nẵng|house</x:v>
      </x:c>
      <x:c r="P1743" s="10" t="n">
        <x:v>2</x:v>
      </x:c>
      <x:c r="Q1743" s="13" t="n">
        <x:f>IF(H1743="","",H1743/1000000000)</x:f>
        <x:v>3.15</x:v>
      </x:c>
      <x:c r="R1743" s="13" t="n">
        <x:f>IF(I1743="","",I1743/1000000)</x:f>
        <x:v>47.01492537313433</x:v>
      </x:c>
    </x:row>
    <x:row r="1744" ht="21" customHeight="1">
      <x:c r="A1744" s="10" t="n">
        <x:v>2625</x:v>
      </x:c>
      <x:c r="B1744" s="2" t="str">
        <x:v>fbf98dda18e056acdfe8</x:v>
      </x:c>
      <x:c r="C1744" s="2" t="str">
        <x:v>Tp Hồ Chí Minh</x:v>
      </x:c>
      <x:c r="D1744" s="2" t="str">
        <x:v>Huyện Bình Chánh</x:v>
      </x:c>
      <x:c r="E1744" s="2" t="str">
        <x:v>house</x:v>
      </x:c>
      <x:c r="F1744" s="2" t="str">
        <x:v>sale_assumed</x:v>
      </x:c>
      <x:c r="G1744" s="11" t="n">
        <x:v>56</x:v>
      </x:c>
      <x:c r="H1744" s="12" t="n">
        <x:v>1050000000</x:v>
      </x:c>
      <x:c r="I1744" s="12" t="n">
        <x:v>18750000</x:v>
      </x:c>
      <x:c r="J1744" s="2" t="str">
        <x:v>total</x:v>
      </x:c>
      <x:c r="K1744" s="2" t="str">
        <x:v>top_level_area</x:v>
      </x:c>
      <x:c r="L1744" s="2" t="str">
        <x:v>property_type_inferred_from_title;transaction_assumed_sale_from_dataset_context</x:v>
      </x:c>
      <x:c r="M1744" s="10" t="n">
        <x:v>0</x:v>
      </x:c>
      <x:c r="N1744" s="10" t="n">
        <x:v>0</x:v>
      </x:c>
      <x:c r="O1744" s="2" t="str">
        <x:v>Tp Hồ Chí Minh|house</x:v>
      </x:c>
      <x:c r="P1744" s="10" t="n">
        <x:v>2</x:v>
      </x:c>
      <x:c r="Q1744" s="13" t="n">
        <x:f>IF(H1744="","",H1744/1000000000)</x:f>
        <x:v>1.05</x:v>
      </x:c>
      <x:c r="R1744" s="13" t="n">
        <x:f>IF(I1744="","",I1744/1000000)</x:f>
        <x:v>18.75</x:v>
      </x:c>
    </x:row>
    <x:row r="1745" ht="21" customHeight="1">
      <x:c r="A1745" s="10" t="n">
        <x:v>2626</x:v>
      </x:c>
      <x:c r="B1745" s="2" t="str">
        <x:v>24267a615d83099c9b3d</x:v>
      </x:c>
      <x:c r="C1745" s="2" t="str">
        <x:v>Tp Hồ Chí Minh</x:v>
      </x:c>
      <x:c r="D1745" s="2" t="str">
        <x:v>Quận 9</x:v>
      </x:c>
      <x:c r="E1745" s="2" t="str">
        <x:v>house</x:v>
      </x:c>
      <x:c r="F1745" s="2" t="str">
        <x:v>sale</x:v>
      </x:c>
      <x:c r="G1745" s="11" t="n">
        <x:v>87</x:v>
      </x:c>
      <x:c r="H1745" s="12" t="n">
        <x:v>4600000000</x:v>
      </x:c>
      <x:c r="I1745" s="12" t="n">
        <x:v>52873563.21839081</x:v>
      </x:c>
      <x:c r="J1745" s="2" t="str">
        <x:v>total</x:v>
      </x:c>
      <x:c r="K1745" s="2" t="str">
        <x:v>top_level_price_embedded_area</x:v>
      </x:c>
      <x:c r="L1745" s="2" t="str">
        <x:v>area_recovered_from_price_text;property_type_inferred_from_title</x:v>
      </x:c>
      <x:c r="M1745" s="10" t="n">
        <x:v>0</x:v>
      </x:c>
      <x:c r="N1745" s="10" t="n">
        <x:v>0</x:v>
      </x:c>
      <x:c r="O1745" s="2" t="str">
        <x:v>Tp Hồ Chí Minh|house</x:v>
      </x:c>
      <x:c r="P1745" s="10" t="n">
        <x:v>2</x:v>
      </x:c>
      <x:c r="Q1745" s="13" t="n">
        <x:f>IF(H1745="","",H1745/1000000000)</x:f>
        <x:v>4.6</x:v>
      </x:c>
      <x:c r="R1745" s="13" t="n">
        <x:f>IF(I1745="","",I1745/1000000)</x:f>
        <x:v>52.87356321839081</x:v>
      </x:c>
    </x:row>
    <x:row r="1746" ht="21" customHeight="1">
      <x:c r="A1746" s="10" t="n">
        <x:v>2627</x:v>
      </x:c>
      <x:c r="B1746" s="2" t="str">
        <x:v>56dc008bc3c3748346b4</x:v>
      </x:c>
      <x:c r="C1746" s="2" t="str">
        <x:v>Đồng Nai</x:v>
      </x:c>
      <x:c r="D1746" s="2" t="str">
        <x:v>Thành phố Biên Hòa</x:v>
      </x:c>
      <x:c r="E1746" s="2" t="str">
        <x:v>house</x:v>
      </x:c>
      <x:c r="F1746" s="2" t="str">
        <x:v>sale_assumed</x:v>
      </x:c>
      <x:c r="G1746" s="11" t="n">
        <x:v>84</x:v>
      </x:c>
      <x:c r="H1746" s="12" t="n">
        <x:v>3750000000</x:v>
      </x:c>
      <x:c r="I1746" s="12" t="n">
        <x:v>44642857.14285714</x:v>
      </x:c>
      <x:c r="J1746" s="2" t="str">
        <x:v>total</x:v>
      </x:c>
      <x:c r="K1746" s="2" t="str">
        <x:v>top_level_area</x:v>
      </x:c>
      <x:c r="L1746" s="2" t="str">
        <x:v>property_type_inferred_from_title;transaction_assumed_sale_from_dataset_context</x:v>
      </x:c>
      <x:c r="M1746" s="10" t="n">
        <x:v>0</x:v>
      </x:c>
      <x:c r="N1746" s="10" t="n">
        <x:v>0</x:v>
      </x:c>
      <x:c r="O1746" s="2" t="str">
        <x:v>Đồng Nai|house</x:v>
      </x:c>
      <x:c r="P1746" s="10" t="n">
        <x:v>2</x:v>
      </x:c>
      <x:c r="Q1746" s="13" t="n">
        <x:f>IF(H1746="","",H1746/1000000000)</x:f>
        <x:v>3.75</x:v>
      </x:c>
      <x:c r="R1746" s="13" t="n">
        <x:f>IF(I1746="","",I1746/1000000)</x:f>
        <x:v>44.64285714285714</x:v>
      </x:c>
    </x:row>
    <x:row r="1747" ht="21" customHeight="1">
      <x:c r="A1747" s="10" t="n">
        <x:v>2628</x:v>
      </x:c>
      <x:c r="B1747" s="2" t="str">
        <x:v>6afe75bd7dd16ee834bb</x:v>
      </x:c>
      <x:c r="C1747" s="2" t="str">
        <x:v>Hà Nội</x:v>
      </x:c>
      <x:c r="D1747" s="2" t="str">
        <x:v>Huyện Mê Linh</x:v>
      </x:c>
      <x:c r="E1747" s="2" t="str">
        <x:v>land</x:v>
      </x:c>
      <x:c r="F1747" s="2" t="str">
        <x:v>sale</x:v>
      </x:c>
      <x:c r="G1747" s="11" t="n">
        <x:v>50</x:v>
      </x:c>
      <x:c r="H1747" s="12" t="n">
        <x:v>680000000</x:v>
      </x:c>
      <x:c r="I1747" s="12" t="n">
        <x:v>13600000</x:v>
      </x:c>
      <x:c r="J1747" s="2" t="str">
        <x:v>total</x:v>
      </x:c>
      <x:c r="K1747" s="2" t="str">
        <x:v>top_level_area</x:v>
      </x:c>
      <x:c r="L1747" s="2" t="str">
        <x:v>property_type_inferred_from_title</x:v>
      </x:c>
      <x:c r="M1747" s="10" t="n">
        <x:v>0</x:v>
      </x:c>
      <x:c r="N1747" s="10" t="n">
        <x:v>0</x:v>
      </x:c>
      <x:c r="O1747" s="2" t="str">
        <x:v>Hà Nội|land</x:v>
      </x:c>
      <x:c r="P1747" s="10" t="n">
        <x:v>2</x:v>
      </x:c>
      <x:c r="Q1747" s="13" t="n">
        <x:f>IF(H1747="","",H1747/1000000000)</x:f>
        <x:v>0.68</x:v>
      </x:c>
      <x:c r="R1747" s="13" t="n">
        <x:f>IF(I1747="","",I1747/1000000)</x:f>
        <x:v>13.6</x:v>
      </x:c>
    </x:row>
    <x:row r="1748" ht="21" customHeight="1">
      <x:c r="A1748" s="10" t="n">
        <x:v>2629</x:v>
      </x:c>
      <x:c r="B1748" s="2" t="str">
        <x:v>ab0ed4d8e42077ac692b</x:v>
      </x:c>
      <x:c r="C1748" s="2" t="str">
        <x:v>Bình Dương</x:v>
      </x:c>
      <x:c r="D1748" s="2" t="str">
        <x:v>Thị xã Thuận An</x:v>
      </x:c>
      <x:c r="E1748" s="2" t="str">
        <x:v>land</x:v>
      </x:c>
      <x:c r="F1748" s="2" t="str">
        <x:v>sale_assumed</x:v>
      </x:c>
      <x:c r="G1748" s="11" t="n">
        <x:v>104</x:v>
      </x:c>
      <x:c r="H1748" s="12" t="n">
        <x:v>11000000000</x:v>
      </x:c>
      <x:c r="I1748" s="12" t="n">
        <x:v>105769230.76923077</x:v>
      </x:c>
      <x:c r="J1748" s="2" t="str">
        <x:v>total</x:v>
      </x:c>
      <x:c r="K1748" s="2" t="str">
        <x:v>top_level_area</x:v>
      </x:c>
      <x:c r="L1748" s="2" t="str">
        <x:v>property_type_inferred_from_title;transaction_assumed_sale_from_dataset_context</x:v>
      </x:c>
      <x:c r="M1748" s="10" t="n">
        <x:v>0</x:v>
      </x:c>
      <x:c r="N1748" s="10" t="n">
        <x:v>1</x:v>
      </x:c>
      <x:c r="O1748" s="2" t="str">
        <x:v>Bình Dương|land</x:v>
      </x:c>
      <x:c r="P1748" s="10" t="n">
        <x:v>-1</x:v>
      </x:c>
      <x:c r="Q1748" s="13" t="n">
        <x:f>IF(H1748="","",H1748/1000000000)</x:f>
        <x:v>11</x:v>
      </x:c>
      <x:c r="R1748" s="13" t="n">
        <x:f>IF(I1748="","",I1748/1000000)</x:f>
        <x:v>105.76923076923077</x:v>
      </x:c>
    </x:row>
    <x:row r="1749" ht="21" customHeight="1">
      <x:c r="A1749" s="10" t="n">
        <x:v>2630</x:v>
      </x:c>
      <x:c r="B1749" s="2" t="str">
        <x:v>5d0dceb2e7f221b30ac1</x:v>
      </x:c>
      <x:c r="C1749" s="2" t="str">
        <x:v>Tp Hồ Chí Minh</x:v>
      </x:c>
      <x:c r="D1749" s="2" t="str">
        <x:v>Quận 7</x:v>
      </x:c>
      <x:c r="E1749" s="2" t="str">
        <x:v>house</x:v>
      </x:c>
      <x:c r="F1749" s="2" t="str">
        <x:v>sale_assumed</x:v>
      </x:c>
      <x:c r="G1749" s="11" t="n">
        <x:v>56</x:v>
      </x:c>
      <x:c r="H1749" s="12" t="n">
        <x:v>4600000000</x:v>
      </x:c>
      <x:c r="I1749" s="12" t="n">
        <x:v>82142857.14285715</x:v>
      </x:c>
      <x:c r="J1749" s="2" t="str">
        <x:v>total</x:v>
      </x:c>
      <x:c r="K1749" s="2" t="str">
        <x:v>top_level_area</x:v>
      </x:c>
      <x:c r="L1749" s="2" t="str">
        <x:v>property_type_inferred_from_title;transaction_assumed_sale_from_dataset_context</x:v>
      </x:c>
      <x:c r="M1749" s="10" t="n">
        <x:v>0</x:v>
      </x:c>
      <x:c r="N1749" s="10" t="n">
        <x:v>0</x:v>
      </x:c>
      <x:c r="O1749" s="2" t="str">
        <x:v>Tp Hồ Chí Minh|house</x:v>
      </x:c>
      <x:c r="P1749" s="10" t="n">
        <x:v>2</x:v>
      </x:c>
      <x:c r="Q1749" s="13" t="n">
        <x:f>IF(H1749="","",H1749/1000000000)</x:f>
        <x:v>4.6</x:v>
      </x:c>
      <x:c r="R1749" s="13" t="n">
        <x:f>IF(I1749="","",I1749/1000000)</x:f>
        <x:v>82.14285714285715</x:v>
      </x:c>
    </x:row>
    <x:row r="1750" ht="21" customHeight="1">
      <x:c r="A1750" s="10" t="n">
        <x:v>2631</x:v>
      </x:c>
      <x:c r="B1750" s="2" t="str">
        <x:v>2ab3d86763e09050f23b</x:v>
      </x:c>
      <x:c r="C1750" s="2" t="str">
        <x:v>Tp Hồ Chí Minh</x:v>
      </x:c>
      <x:c r="D1750" s="2" t="str">
        <x:v>Quận 12</x:v>
      </x:c>
      <x:c r="E1750" s="2" t="str">
        <x:v>house</x:v>
      </x:c>
      <x:c r="F1750" s="2" t="str">
        <x:v>sale_assumed</x:v>
      </x:c>
      <x:c r="G1750" s="11" t="n">
        <x:v>35</x:v>
      </x:c>
      <x:c r="H1750" s="12" t="n">
        <x:v>2300000000</x:v>
      </x:c>
      <x:c r="I1750" s="12" t="n">
        <x:v>65714285.71428572</x:v>
      </x:c>
      <x:c r="J1750" s="2" t="str">
        <x:v>total</x:v>
      </x:c>
      <x:c r="K1750" s="2" t="str">
        <x:v>top_level_area</x:v>
      </x:c>
      <x:c r="L1750" s="2" t="str">
        <x:v>property_type_inferred_from_title;transaction_assumed_sale_from_dataset_context</x:v>
      </x:c>
      <x:c r="M1750" s="10" t="n">
        <x:v>0</x:v>
      </x:c>
      <x:c r="N1750" s="10" t="n">
        <x:v>0</x:v>
      </x:c>
      <x:c r="O1750" s="2" t="str">
        <x:v>Tp Hồ Chí Minh|house</x:v>
      </x:c>
      <x:c r="P1750" s="10" t="n">
        <x:v>2</x:v>
      </x:c>
      <x:c r="Q1750" s="13" t="n">
        <x:f>IF(H1750="","",H1750/1000000000)</x:f>
        <x:v>2.3</x:v>
      </x:c>
      <x:c r="R1750" s="13" t="n">
        <x:f>IF(I1750="","",I1750/1000000)</x:f>
        <x:v>65.71428571428572</x:v>
      </x:c>
    </x:row>
    <x:row r="1751" ht="21" customHeight="1">
      <x:c r="A1751" s="10" t="n">
        <x:v>2632</x:v>
      </x:c>
      <x:c r="B1751" s="2" t="str">
        <x:v>03c603cb99bccf94e454</x:v>
      </x:c>
      <x:c r="C1751" s="2" t="str">
        <x:v>Tp Hồ Chí Minh</x:v>
      </x:c>
      <x:c r="D1751" s="2" t="str">
        <x:v>Quận Thủ Đức</x:v>
      </x:c>
      <x:c r="E1751" s="2" t="str">
        <x:v>land</x:v>
      </x:c>
      <x:c r="F1751" s="2" t="str">
        <x:v>sale</x:v>
      </x:c>
      <x:c r="G1751" s="11" t="n">
        <x:v>87</x:v>
      </x:c>
      <x:c r="H1751" s="12" t="n">
        <x:v>5100000000</x:v>
      </x:c>
      <x:c r="I1751" s="12" t="n">
        <x:v>58620689.655172415</x:v>
      </x:c>
      <x:c r="J1751" s="2" t="str">
        <x:v>total</x:v>
      </x:c>
      <x:c r="K1751" s="2" t="str">
        <x:v>top_level_price_embedded_area</x:v>
      </x:c>
      <x:c r="L1751" s="2" t="str">
        <x:v>area_recovered_from_price_text;property_type_inferred_from_title</x:v>
      </x:c>
      <x:c r="M1751" s="10" t="n">
        <x:v>0</x:v>
      </x:c>
      <x:c r="N1751" s="10" t="n">
        <x:v>0</x:v>
      </x:c>
      <x:c r="O1751" s="2" t="str">
        <x:v>Tp Hồ Chí Minh|land</x:v>
      </x:c>
      <x:c r="P1751" s="10" t="n">
        <x:v>2</x:v>
      </x:c>
      <x:c r="Q1751" s="13" t="n">
        <x:f>IF(H1751="","",H1751/1000000000)</x:f>
        <x:v>5.1</x:v>
      </x:c>
      <x:c r="R1751" s="13" t="n">
        <x:f>IF(I1751="","",I1751/1000000)</x:f>
        <x:v>58.62068965517241</x:v>
      </x:c>
    </x:row>
    <x:row r="1752" ht="21" customHeight="1">
      <x:c r="A1752" s="10" t="n">
        <x:v>2635</x:v>
      </x:c>
      <x:c r="B1752" s="2" t="str">
        <x:v>b99aa88c1638165071da</x:v>
      </x:c>
      <x:c r="C1752" s="2" t="str">
        <x:v>Tp Hồ Chí Minh</x:v>
      </x:c>
      <x:c r="D1752" s="2" t="str">
        <x:v>Huyện Nhà Bè</x:v>
      </x:c>
      <x:c r="E1752" s="2" t="str">
        <x:v>house</x:v>
      </x:c>
      <x:c r="F1752" s="2" t="str">
        <x:v>sale_assumed</x:v>
      </x:c>
      <x:c r="G1752" s="11" t="n">
        <x:v>46</x:v>
      </x:c>
      <x:c r="H1752" s="12" t="n">
        <x:v>1320000000</x:v>
      </x:c>
      <x:c r="I1752" s="12" t="n">
        <x:v>28695652.173913043</x:v>
      </x:c>
      <x:c r="J1752" s="2" t="str">
        <x:v>total</x:v>
      </x:c>
      <x:c r="K1752" s="2" t="str">
        <x:v>top_level_area</x:v>
      </x:c>
      <x:c r="L1752" s="2" t="str">
        <x:v>property_type_inferred_from_title;transaction_assumed_sale_from_dataset_context</x:v>
      </x:c>
      <x:c r="M1752" s="10" t="n">
        <x:v>0</x:v>
      </x:c>
      <x:c r="N1752" s="10" t="n">
        <x:v>0</x:v>
      </x:c>
      <x:c r="O1752" s="2" t="str">
        <x:v>Tp Hồ Chí Minh|house</x:v>
      </x:c>
      <x:c r="P1752" s="10" t="n">
        <x:v>2</x:v>
      </x:c>
      <x:c r="Q1752" s="13" t="n">
        <x:f>IF(H1752="","",H1752/1000000000)</x:f>
        <x:v>1.32</x:v>
      </x:c>
      <x:c r="R1752" s="13" t="n">
        <x:f>IF(I1752="","",I1752/1000000)</x:f>
        <x:v>28.695652173913043</x:v>
      </x:c>
    </x:row>
    <x:row r="1753" ht="21" customHeight="1">
      <x:c r="A1753" s="10" t="n">
        <x:v>2636</x:v>
      </x:c>
      <x:c r="B1753" s="2" t="str">
        <x:v>6e30df4a9e1d4e955fed</x:v>
      </x:c>
      <x:c r="C1753" s="2" t="str">
        <x:v>Tp Hồ Chí Minh</x:v>
      </x:c>
      <x:c r="D1753" s="2" t="str">
        <x:v>Quận Tân Phú</x:v>
      </x:c>
      <x:c r="E1753" s="2" t="str">
        <x:v>other_unknown</x:v>
      </x:c>
      <x:c r="F1753" s="2" t="str">
        <x:v>sale_assumed</x:v>
      </x:c>
      <x:c r="G1753" s="11" t="n">
        <x:v>42</x:v>
      </x:c>
      <x:c r="H1753" s="12" t="n">
        <x:v>4700000000</x:v>
      </x:c>
      <x:c r="I1753" s="12" t="n">
        <x:v>111904761.90476191</x:v>
      </x:c>
      <x:c r="J1753" s="2" t="str">
        <x:v>total</x:v>
      </x:c>
      <x:c r="K1753" s="2" t="str">
        <x:v>top_level_area</x:v>
      </x:c>
      <x:c r="L1753" s="2" t="str">
        <x:v>property_type_inferred_from_title;transaction_assumed_sale_from_dataset_context;unknown_property_type</x:v>
      </x:c>
      <x:c r="M1753" s="10" t="n">
        <x:v>0</x:v>
      </x:c>
      <x:c r="N1753" s="10" t="n">
        <x:v>0</x:v>
      </x:c>
      <x:c r="O1753" s="2" t="str">
        <x:v>Tp Hồ Chí Minh|other_unknown</x:v>
      </x:c>
      <x:c r="P1753" s="10" t="n">
        <x:v>2</x:v>
      </x:c>
      <x:c r="Q1753" s="13" t="n">
        <x:f>IF(H1753="","",H1753/1000000000)</x:f>
        <x:v>4.7</x:v>
      </x:c>
      <x:c r="R1753" s="13" t="n">
        <x:f>IF(I1753="","",I1753/1000000)</x:f>
        <x:v>111.90476190476191</x:v>
      </x:c>
    </x:row>
    <x:row r="1754" ht="21" customHeight="1">
      <x:c r="A1754" s="10" t="n">
        <x:v>2637</x:v>
      </x:c>
      <x:c r="B1754" s="2" t="str">
        <x:v>52704fc564e22129d297</x:v>
      </x:c>
      <x:c r="C1754" s="2" t="str">
        <x:v>Bạc Liêu</x:v>
      </x:c>
      <x:c r="D1754" s="2" t="str">
        <x:v>Thành phố Bạc Liêu</x:v>
      </x:c>
      <x:c r="E1754" s="2" t="str">
        <x:v>land</x:v>
      </x:c>
      <x:c r="F1754" s="2" t="str">
        <x:v>sale_assumed</x:v>
      </x:c>
      <x:c r="G1754" s="11" t="n">
        <x:v>80</x:v>
      </x:c>
      <x:c r="H1754" s="12" t="n">
        <x:v>480000000</x:v>
      </x:c>
      <x:c r="I1754" s="12" t="n">
        <x:v>6000000</x:v>
      </x:c>
      <x:c r="J1754" s="2" t="str">
        <x:v>total</x:v>
      </x:c>
      <x:c r="K1754" s="2" t="str">
        <x:v>top_level_area</x:v>
      </x:c>
      <x:c r="L1754" s="2" t="str">
        <x:v>property_type_inferred_from_title;transaction_assumed_sale_from_dataset_context</x:v>
      </x:c>
      <x:c r="M1754" s="10" t="n">
        <x:v>0</x:v>
      </x:c>
      <x:c r="N1754" s="10" t="n">
        <x:v>0</x:v>
      </x:c>
      <x:c r="O1754" s="2" t="str">
        <x:v>land</x:v>
      </x:c>
      <x:c r="P1754" s="10" t="n">
        <x:v>2</x:v>
      </x:c>
      <x:c r="Q1754" s="13" t="n">
        <x:f>IF(H1754="","",H1754/1000000000)</x:f>
        <x:v>0.48</x:v>
      </x:c>
      <x:c r="R1754" s="13" t="n">
        <x:f>IF(I1754="","",I1754/1000000)</x:f>
        <x:v>6</x:v>
      </x:c>
    </x:row>
    <x:row r="1755" ht="21" customHeight="1">
      <x:c r="A1755" s="10" t="n">
        <x:v>2638</x:v>
      </x:c>
      <x:c r="B1755" s="2" t="str">
        <x:v>e38a035f0b9cc7c91b0f</x:v>
      </x:c>
      <x:c r="C1755" s="2" t="str">
        <x:v>Tp Hồ Chí Minh</x:v>
      </x:c>
      <x:c r="D1755" s="2" t="str">
        <x:v>Quận 10</x:v>
      </x:c>
      <x:c r="E1755" s="2" t="str">
        <x:v>house</x:v>
      </x:c>
      <x:c r="F1755" s="2" t="str">
        <x:v>sale</x:v>
      </x:c>
      <x:c r="G1755" s="11" t="n">
        <x:v>82</x:v>
      </x:c>
      <x:c r="H1755" s="12" t="n">
        <x:v>1700000000</x:v>
      </x:c>
      <x:c r="I1755" s="12" t="n">
        <x:v>20731707.31707317</x:v>
      </x:c>
      <x:c r="J1755" s="2" t="str">
        <x:v>total</x:v>
      </x:c>
      <x:c r="K1755" s="2" t="str">
        <x:v>top_level_area</x:v>
      </x:c>
      <x:c r="L1755" s="2" t="str">
        <x:v>property_type_inferred_from_title</x:v>
      </x:c>
      <x:c r="M1755" s="10" t="n">
        <x:v>0</x:v>
      </x:c>
      <x:c r="N1755" s="10" t="n">
        <x:v>0</x:v>
      </x:c>
      <x:c r="O1755" s="2" t="str">
        <x:v>Tp Hồ Chí Minh|house</x:v>
      </x:c>
      <x:c r="P1755" s="10" t="n">
        <x:v>2</x:v>
      </x:c>
      <x:c r="Q1755" s="13" t="n">
        <x:f>IF(H1755="","",H1755/1000000000)</x:f>
        <x:v>1.7</x:v>
      </x:c>
      <x:c r="R1755" s="13" t="n">
        <x:f>IF(I1755="","",I1755/1000000)</x:f>
        <x:v>20.73170731707317</x:v>
      </x:c>
    </x:row>
    <x:row r="1756" ht="21" customHeight="1">
      <x:c r="A1756" s="10" t="n">
        <x:v>2639</x:v>
      </x:c>
      <x:c r="B1756" s="2" t="str">
        <x:v>ad8580f4f3a9ae47762e</x:v>
      </x:c>
      <x:c r="C1756" s="2" t="str">
        <x:v>Lâm Đồng</x:v>
      </x:c>
      <x:c r="D1756" s="2" t="str">
        <x:v>Huyện Đạ Huoai</x:v>
      </x:c>
      <x:c r="E1756" s="2" t="str">
        <x:v>land</x:v>
      </x:c>
      <x:c r="F1756" s="2" t="str">
        <x:v>sale_assumed</x:v>
      </x:c>
      <x:c r="G1756" s="11" t="n">
        <x:v>3700</x:v>
      </x:c>
      <x:c r="H1756" s="12" t="n">
        <x:v>900000000</x:v>
      </x:c>
      <x:c r="I1756" s="12" t="n">
        <x:v>243243.24324324325</x:v>
      </x:c>
      <x:c r="J1756" s="2" t="str">
        <x:v>total</x:v>
      </x:c>
      <x:c r="K1756" s="2" t="str">
        <x:v>top_level_area</x:v>
      </x:c>
      <x:c r="L1756" s="2" t="str">
        <x:v>dot_thousands_convention;property_type_inferred_from_title;transaction_assumed_sale_from_dataset_context</x:v>
      </x:c>
      <x:c r="M1756" s="10" t="n">
        <x:v>0</x:v>
      </x:c>
      <x:c r="N1756" s="10" t="n">
        <x:v>0</x:v>
      </x:c>
      <x:c r="O1756" s="2" t="str">
        <x:v>Lâm Đồng|land</x:v>
      </x:c>
      <x:c r="P1756" s="10" t="n">
        <x:v>1</x:v>
      </x:c>
      <x:c r="Q1756" s="13" t="n">
        <x:f>IF(H1756="","",H1756/1000000000)</x:f>
        <x:v>0.9</x:v>
      </x:c>
      <x:c r="R1756" s="13" t="n">
        <x:f>IF(I1756="","",I1756/1000000)</x:f>
        <x:v>0.24324324324324326</x:v>
      </x:c>
    </x:row>
    <x:row r="1757" ht="21" customHeight="1">
      <x:c r="A1757" s="10" t="n">
        <x:v>2640</x:v>
      </x:c>
      <x:c r="B1757" s="2" t="str">
        <x:v>150813c00146f12cb5e3</x:v>
      </x:c>
      <x:c r="C1757" s="2" t="str">
        <x:v>Tp Hồ Chí Minh</x:v>
      </x:c>
      <x:c r="D1757" s="2" t="str">
        <x:v>Quận Thủ Đức</x:v>
      </x:c>
      <x:c r="E1757" s="2" t="str">
        <x:v>house</x:v>
      </x:c>
      <x:c r="F1757" s="2" t="str">
        <x:v>sale</x:v>
      </x:c>
      <x:c r="G1757" s="11" t="n">
        <x:v>60</x:v>
      </x:c>
      <x:c r="H1757" s="12" t="n">
        <x:v>1455000000</x:v>
      </x:c>
      <x:c r="I1757" s="12" t="n">
        <x:v>24250000</x:v>
      </x:c>
      <x:c r="J1757" s="2" t="str">
        <x:v>total</x:v>
      </x:c>
      <x:c r="K1757" s="2" t="str">
        <x:v>top_level_area</x:v>
      </x:c>
      <x:c r="L1757" s="2" t="str">
        <x:v>property_type_inferred_from_title</x:v>
      </x:c>
      <x:c r="M1757" s="10" t="n">
        <x:v>0</x:v>
      </x:c>
      <x:c r="N1757" s="10" t="n">
        <x:v>0</x:v>
      </x:c>
      <x:c r="O1757" s="2" t="str">
        <x:v>Tp Hồ Chí Minh|house</x:v>
      </x:c>
      <x:c r="P1757" s="10" t="n">
        <x:v>2</x:v>
      </x:c>
      <x:c r="Q1757" s="13" t="n">
        <x:f>IF(H1757="","",H1757/1000000000)</x:f>
        <x:v>1.455</x:v>
      </x:c>
      <x:c r="R1757" s="13" t="n">
        <x:f>IF(I1757="","",I1757/1000000)</x:f>
        <x:v>24.25</x:v>
      </x:c>
    </x:row>
    <x:row r="1758" ht="21" customHeight="1">
      <x:c r="A1758" s="10" t="n">
        <x:v>2641</x:v>
      </x:c>
      <x:c r="B1758" s="2" t="str">
        <x:v>5bede0af57701702570d</x:v>
      </x:c>
      <x:c r="C1758" s="2" t="str">
        <x:v>Long An</x:v>
      </x:c>
      <x:c r="D1758" s="2" t="str">
        <x:v>Huyện Đức Hòa</x:v>
      </x:c>
      <x:c r="E1758" s="2" t="str">
        <x:v>other_unknown</x:v>
      </x:c>
      <x:c r="F1758" s="2" t="str">
        <x:v>sale</x:v>
      </x:c>
      <x:c r="G1758" s="11" t="n">
        <x:v>158</x:v>
      </x:c>
      <x:c r="H1758" s="12" t="n">
        <x:v>1800000000</x:v>
      </x:c>
      <x:c r="I1758" s="12" t="n">
        <x:v>11392405.06329114</x:v>
      </x:c>
      <x:c r="J1758" s="2" t="str">
        <x:v>total</x:v>
      </x:c>
      <x:c r="K1758" s="2" t="str">
        <x:v>top_level_area</x:v>
      </x:c>
      <x:c r="L1758" s="2" t="str">
        <x:v>property_type_inferred_from_title;unknown_property_type</x:v>
      </x:c>
      <x:c r="M1758" s="10" t="n">
        <x:v>0</x:v>
      </x:c>
      <x:c r="N1758" s="10" t="n">
        <x:v>0</x:v>
      </x:c>
      <x:c r="O1758" s="2" t="str">
        <x:v>Long An|other_unknown</x:v>
      </x:c>
      <x:c r="P1758" s="10" t="n">
        <x:v>2</x:v>
      </x:c>
      <x:c r="Q1758" s="13" t="n">
        <x:f>IF(H1758="","",H1758/1000000000)</x:f>
        <x:v>1.8</x:v>
      </x:c>
      <x:c r="R1758" s="13" t="n">
        <x:f>IF(I1758="","",I1758/1000000)</x:f>
        <x:v>11.39240506329114</x:v>
      </x:c>
    </x:row>
    <x:row r="1759" ht="21" customHeight="1">
      <x:c r="A1759" s="10" t="n">
        <x:v>2642</x:v>
      </x:c>
      <x:c r="B1759" s="2" t="str">
        <x:v>7dddb76f97f63f0006eb</x:v>
      </x:c>
      <x:c r="C1759" s="2" t="str">
        <x:v>Đà Nẵng</x:v>
      </x:c>
      <x:c r="D1759" s="2" t="str">
        <x:v>Quận Cẩm Lệ</x:v>
      </x:c>
      <x:c r="E1759" s="2" t="str">
        <x:v>land</x:v>
      </x:c>
      <x:c r="F1759" s="2" t="str">
        <x:v>sale</x:v>
      </x:c>
      <x:c r="G1759" s="11" t="n">
        <x:v>100</x:v>
      </x:c>
      <x:c r="H1759" s="12" t="n">
        <x:v>2350000001</x:v>
      </x:c>
      <x:c r="I1759" s="12" t="n">
        <x:v>23500000.01</x:v>
      </x:c>
      <x:c r="J1759" s="2" t="str">
        <x:v>total</x:v>
      </x:c>
      <x:c r="K1759" s="2" t="str">
        <x:v>top_level_area</x:v>
      </x:c>
      <x:c r="L1759" s="2" t="str">
        <x:v>property_type_inferred_from_title</x:v>
      </x:c>
      <x:c r="M1759" s="10" t="n">
        <x:v>0</x:v>
      </x:c>
      <x:c r="N1759" s="10" t="n">
        <x:v>0</x:v>
      </x:c>
      <x:c r="O1759" s="2" t="str">
        <x:v>Đà Nẵng|land</x:v>
      </x:c>
      <x:c r="P1759" s="10" t="n">
        <x:v>2</x:v>
      </x:c>
      <x:c r="Q1759" s="13" t="n">
        <x:f>IF(H1759="","",H1759/1000000000)</x:f>
        <x:v>2.350000001</x:v>
      </x:c>
      <x:c r="R1759" s="13" t="n">
        <x:f>IF(I1759="","",I1759/1000000)</x:f>
        <x:v>23.50000001</x:v>
      </x:c>
    </x:row>
    <x:row r="1760" ht="21" customHeight="1">
      <x:c r="A1760" s="10" t="n">
        <x:v>2643</x:v>
      </x:c>
      <x:c r="B1760" s="2" t="str">
        <x:v>c8e0f72321a20951b410</x:v>
      </x:c>
      <x:c r="C1760" s="2" t="str">
        <x:v>Cần Thơ</x:v>
      </x:c>
      <x:c r="D1760" s="2" t="str">
        <x:v>Quận Cái Răng</x:v>
      </x:c>
      <x:c r="E1760" s="2" t="str">
        <x:v>land</x:v>
      </x:c>
      <x:c r="F1760" s="2" t="str">
        <x:v>sale_assumed</x:v>
      </x:c>
      <x:c r="G1760" s="11" t="n">
        <x:v>80</x:v>
      </x:c>
      <x:c r="H1760" s="12" t="n">
        <x:v>665000000</x:v>
      </x:c>
      <x:c r="I1760" s="12" t="n">
        <x:v>8312500</x:v>
      </x:c>
      <x:c r="J1760" s="2" t="str">
        <x:v>total</x:v>
      </x:c>
      <x:c r="K1760" s="2" t="str">
        <x:v>top_level_area</x:v>
      </x:c>
      <x:c r="L1760" s="2" t="str">
        <x:v>property_type_inferred_from_title;transaction_assumed_sale_from_dataset_context</x:v>
      </x:c>
      <x:c r="M1760" s="10" t="n">
        <x:v>0</x:v>
      </x:c>
      <x:c r="N1760" s="10" t="n">
        <x:v>0</x:v>
      </x:c>
      <x:c r="O1760" s="2" t="str">
        <x:v>Cần Thơ|land</x:v>
      </x:c>
      <x:c r="P1760" s="10" t="n">
        <x:v>2</x:v>
      </x:c>
      <x:c r="Q1760" s="13" t="n">
        <x:f>IF(H1760="","",H1760/1000000000)</x:f>
        <x:v>0.665</x:v>
      </x:c>
      <x:c r="R1760" s="13" t="n">
        <x:f>IF(I1760="","",I1760/1000000)</x:f>
        <x:v>8.3125</x:v>
      </x:c>
    </x:row>
    <x:row r="1761" ht="21" customHeight="1">
      <x:c r="A1761" s="10" t="n">
        <x:v>2644</x:v>
      </x:c>
      <x:c r="B1761" s="2" t="str">
        <x:v>8e2aaf84119b9f53633e</x:v>
      </x:c>
      <x:c r="C1761" s="2" t="str">
        <x:v>Tp Hồ Chí Minh</x:v>
      </x:c>
      <x:c r="D1761" s="2" t="str">
        <x:v>Quận Thủ Đức</x:v>
      </x:c>
      <x:c r="E1761" s="2" t="str">
        <x:v>house</x:v>
      </x:c>
      <x:c r="F1761" s="2" t="str">
        <x:v>sale</x:v>
      </x:c>
      <x:c r="G1761" s="11" t="n">
        <x:v>60</x:v>
      </x:c>
      <x:c r="H1761" s="12" t="n">
        <x:v>5300000000</x:v>
      </x:c>
      <x:c r="I1761" s="12" t="n">
        <x:v>88333333.33333333</x:v>
      </x:c>
      <x:c r="J1761" s="2" t="str">
        <x:v>total</x:v>
      </x:c>
      <x:c r="K1761" s="2" t="str">
        <x:v>top_level_area</x:v>
      </x:c>
      <x:c r="L1761" s="2" t="str">
        <x:v>property_type_inferred_from_title</x:v>
      </x:c>
      <x:c r="M1761" s="10" t="n">
        <x:v>0</x:v>
      </x:c>
      <x:c r="N1761" s="10" t="n">
        <x:v>0</x:v>
      </x:c>
      <x:c r="O1761" s="2" t="str">
        <x:v>Tp Hồ Chí Minh|house</x:v>
      </x:c>
      <x:c r="P1761" s="10" t="n">
        <x:v>2</x:v>
      </x:c>
      <x:c r="Q1761" s="13" t="n">
        <x:f>IF(H1761="","",H1761/1000000000)</x:f>
        <x:v>5.3</x:v>
      </x:c>
      <x:c r="R1761" s="13" t="n">
        <x:f>IF(I1761="","",I1761/1000000)</x:f>
        <x:v>88.33333333333333</x:v>
      </x:c>
    </x:row>
    <x:row r="1762" ht="21" customHeight="1">
      <x:c r="A1762" s="10" t="n">
        <x:v>2645</x:v>
      </x:c>
      <x:c r="B1762" s="2" t="str">
        <x:v>a30b4eeb2fad987dff1e</x:v>
      </x:c>
      <x:c r="C1762" s="2" t="str">
        <x:v>Bình Dương</x:v>
      </x:c>
      <x:c r="D1762" s="2" t="str">
        <x:v>Thị xã Thuận An</x:v>
      </x:c>
      <x:c r="E1762" s="2" t="str">
        <x:v>apartment</x:v>
      </x:c>
      <x:c r="F1762" s="2" t="str">
        <x:v>sale_assumed</x:v>
      </x:c>
      <x:c r="G1762" s="11" t="n">
        <x:v>61</x:v>
      </x:c>
      <x:c r="H1762" s="12" t="n">
        <x:v>220000000</x:v>
      </x:c>
      <x:c r="I1762" s="12" t="n">
        <x:v>3606557.37704918</x:v>
      </x:c>
      <x:c r="J1762" s="2" t="str">
        <x:v>total</x:v>
      </x:c>
      <x:c r="K1762" s="2" t="str">
        <x:v>top_level_area</x:v>
      </x:c>
      <x:c r="L1762" s="2" t="str">
        <x:v>property_type_inferred_from_title;transaction_assumed_sale_from_dataset_context</x:v>
      </x:c>
      <x:c r="M1762" s="10" t="n">
        <x:v>0</x:v>
      </x:c>
      <x:c r="N1762" s="10" t="n">
        <x:v>0</x:v>
      </x:c>
      <x:c r="O1762" s="2" t="str">
        <x:v>Bình Dương|apartment</x:v>
      </x:c>
      <x:c r="P1762" s="10" t="n">
        <x:v>2</x:v>
      </x:c>
      <x:c r="Q1762" s="13" t="n">
        <x:f>IF(H1762="","",H1762/1000000000)</x:f>
        <x:v>0.22</x:v>
      </x:c>
      <x:c r="R1762" s="13" t="n">
        <x:f>IF(I1762="","",I1762/1000000)</x:f>
        <x:v>3.6065573770491803</x:v>
      </x:c>
    </x:row>
    <x:row r="1763" ht="21" customHeight="1">
      <x:c r="A1763" s="10" t="n">
        <x:v>2646</x:v>
      </x:c>
      <x:c r="B1763" s="2" t="str">
        <x:v>10adb2bd1ab9b9636903</x:v>
      </x:c>
      <x:c r="C1763" s="2" t="str">
        <x:v>Tp Hồ Chí Minh</x:v>
      </x:c>
      <x:c r="D1763" s="2" t="str">
        <x:v>Quận Bình Tân</x:v>
      </x:c>
      <x:c r="E1763" s="2" t="str">
        <x:v>house</x:v>
      </x:c>
      <x:c r="F1763" s="2" t="str">
        <x:v>sale</x:v>
      </x:c>
      <x:c r="G1763" s="11" t="n">
        <x:v>850</x:v>
      </x:c>
      <x:c r="H1763" s="12" t="n">
        <x:v>40000000000</x:v>
      </x:c>
      <x:c r="I1763" s="12" t="n">
        <x:v>47058823.52941176</x:v>
      </x:c>
      <x:c r="J1763" s="2" t="str">
        <x:v>total</x:v>
      </x:c>
      <x:c r="K1763" s="2" t="str">
        <x:v>top_level_area</x:v>
      </x:c>
      <x:c r="L1763" s="2" t="str">
        <x:v>property_type_inferred_from_title</x:v>
      </x:c>
      <x:c r="M1763" s="10" t="n">
        <x:v>0</x:v>
      </x:c>
      <x:c r="N1763" s="10" t="n">
        <x:v>0</x:v>
      </x:c>
      <x:c r="O1763" s="2" t="str">
        <x:v>Tp Hồ Chí Minh|house</x:v>
      </x:c>
      <x:c r="P1763" s="10" t="n">
        <x:v>1</x:v>
      </x:c>
      <x:c r="Q1763" s="13" t="n">
        <x:f>IF(H1763="","",H1763/1000000000)</x:f>
        <x:v>40</x:v>
      </x:c>
      <x:c r="R1763" s="13" t="n">
        <x:f>IF(I1763="","",I1763/1000000)</x:f>
        <x:v>47.05882352941176</x:v>
      </x:c>
    </x:row>
    <x:row r="1764" ht="21" customHeight="1">
      <x:c r="A1764" s="10" t="n">
        <x:v>2647</x:v>
      </x:c>
      <x:c r="B1764" s="2" t="str">
        <x:v>b0e35b4e22b4cbab965c</x:v>
      </x:c>
      <x:c r="C1764" s="2" t="str">
        <x:v>Bình Dương</x:v>
      </x:c>
      <x:c r="D1764" s="2" t="str">
        <x:v>Thị xã Thuận An</x:v>
      </x:c>
      <x:c r="E1764" s="2" t="str">
        <x:v>house</x:v>
      </x:c>
      <x:c r="F1764" s="2" t="str">
        <x:v>sale_assumed</x:v>
      </x:c>
      <x:c r="G1764" s="11" t="n">
        <x:v>60</x:v>
      </x:c>
      <x:c r="H1764" s="12" t="n">
        <x:v>800000000</x:v>
      </x:c>
      <x:c r="I1764" s="12" t="n">
        <x:v>13333333.333333334</x:v>
      </x:c>
      <x:c r="J1764" s="2" t="str">
        <x:v>total</x:v>
      </x:c>
      <x:c r="K1764" s="2" t="str">
        <x:v>top_level_area</x:v>
      </x:c>
      <x:c r="L1764" s="2" t="str">
        <x:v>property_type_inferred_from_title;transaction_assumed_sale_from_dataset_context</x:v>
      </x:c>
      <x:c r="M1764" s="10" t="n">
        <x:v>0</x:v>
      </x:c>
      <x:c r="N1764" s="10" t="n">
        <x:v>0</x:v>
      </x:c>
      <x:c r="O1764" s="2" t="str">
        <x:v>Bình Dương|house</x:v>
      </x:c>
      <x:c r="P1764" s="10" t="n">
        <x:v>2</x:v>
      </x:c>
      <x:c r="Q1764" s="13" t="n">
        <x:f>IF(H1764="","",H1764/1000000000)</x:f>
        <x:v>0.8</x:v>
      </x:c>
      <x:c r="R1764" s="13" t="n">
        <x:f>IF(I1764="","",I1764/1000000)</x:f>
        <x:v>13.333333333333334</x:v>
      </x:c>
    </x:row>
    <x:row r="1765" ht="21" customHeight="1">
      <x:c r="A1765" s="10" t="n">
        <x:v>2648</x:v>
      </x:c>
      <x:c r="B1765" s="2" t="str">
        <x:v>05c483baf24114ae1c76</x:v>
      </x:c>
      <x:c r="C1765" s="2" t="str">
        <x:v>Bình Dương</x:v>
      </x:c>
      <x:c r="D1765" s="2" t="str">
        <x:v>Thị xã Dĩ An</x:v>
      </x:c>
      <x:c r="E1765" s="2" t="str">
        <x:v>land</x:v>
      </x:c>
      <x:c r="F1765" s="2" t="str">
        <x:v>sale</x:v>
      </x:c>
      <x:c r="G1765" s="11" t="n">
        <x:v>103</x:v>
      </x:c>
      <x:c r="H1765" s="12" t="n">
        <x:v>650000000</x:v>
      </x:c>
      <x:c r="I1765" s="12" t="n">
        <x:v>6310679.611650486</x:v>
      </x:c>
      <x:c r="J1765" s="2" t="str">
        <x:v>total</x:v>
      </x:c>
      <x:c r="K1765" s="2" t="str">
        <x:v>top_level_area</x:v>
      </x:c>
      <x:c r="L1765" s="2" t="str">
        <x:v>property_type_inferred_from_title</x:v>
      </x:c>
      <x:c r="M1765" s="10" t="n">
        <x:v>0</x:v>
      </x:c>
      <x:c r="N1765" s="10" t="n">
        <x:v>0</x:v>
      </x:c>
      <x:c r="O1765" s="2" t="str">
        <x:v>Bình Dương|land</x:v>
      </x:c>
      <x:c r="P1765" s="10" t="n">
        <x:v>2</x:v>
      </x:c>
      <x:c r="Q1765" s="13" t="n">
        <x:f>IF(H1765="","",H1765/1000000000)</x:f>
        <x:v>0.65</x:v>
      </x:c>
      <x:c r="R1765" s="13" t="n">
        <x:f>IF(I1765="","",I1765/1000000)</x:f>
        <x:v>6.310679611650485</x:v>
      </x:c>
    </x:row>
    <x:row r="1766" ht="21" customHeight="1">
      <x:c r="A1766" s="10" t="n">
        <x:v>2649</x:v>
      </x:c>
      <x:c r="B1766" s="2" t="str">
        <x:v>5fe3e2e6b312198fc70b</x:v>
      </x:c>
      <x:c r="C1766" s="2" t="str">
        <x:v>Tp Hồ Chí Minh</x:v>
      </x:c>
      <x:c r="D1766" s="2" t="str">
        <x:v>Huyện Hóc Môn</x:v>
      </x:c>
      <x:c r="E1766" s="2" t="str">
        <x:v>house</x:v>
      </x:c>
      <x:c r="F1766" s="2" t="str">
        <x:v>sale_assumed</x:v>
      </x:c>
      <x:c r="G1766" s="11" t="n">
        <x:v>18</x:v>
      </x:c>
      <x:c r="H1766" s="12" t="n">
        <x:v>460000000</x:v>
      </x:c>
      <x:c r="I1766" s="12" t="n">
        <x:v>25555555.555555556</x:v>
      </x:c>
      <x:c r="J1766" s="2" t="str">
        <x:v>total</x:v>
      </x:c>
      <x:c r="K1766" s="2" t="str">
        <x:v>top_level_area</x:v>
      </x:c>
      <x:c r="L1766" s="2" t="str">
        <x:v>property_type_inferred_from_title;transaction_assumed_sale_from_dataset_context</x:v>
      </x:c>
      <x:c r="M1766" s="10" t="n">
        <x:v>0</x:v>
      </x:c>
      <x:c r="N1766" s="10" t="n">
        <x:v>0</x:v>
      </x:c>
      <x:c r="O1766" s="2" t="str">
        <x:v>Tp Hồ Chí Minh|house</x:v>
      </x:c>
      <x:c r="P1766" s="10" t="n">
        <x:v>2</x:v>
      </x:c>
      <x:c r="Q1766" s="13" t="n">
        <x:f>IF(H1766="","",H1766/1000000000)</x:f>
        <x:v>0.46</x:v>
      </x:c>
      <x:c r="R1766" s="13" t="n">
        <x:f>IF(I1766="","",I1766/1000000)</x:f>
        <x:v>25.555555555555557</x:v>
      </x:c>
    </x:row>
    <x:row r="1767" ht="21" customHeight="1">
      <x:c r="A1767" s="10" t="n">
        <x:v>2650</x:v>
      </x:c>
      <x:c r="B1767" s="2" t="str">
        <x:v>39a8f6b7ce4ee9b13465</x:v>
      </x:c>
      <x:c r="C1767" s="2" t="str">
        <x:v>Tp Hồ Chí Minh</x:v>
      </x:c>
      <x:c r="D1767" s="2" t="str">
        <x:v>Quận 9</x:v>
      </x:c>
      <x:c r="E1767" s="2" t="str">
        <x:v>house</x:v>
      </x:c>
      <x:c r="F1767" s="2" t="str">
        <x:v>sale_assumed</x:v>
      </x:c>
      <x:c r="G1767" s="11" t="n">
        <x:v>240</x:v>
      </x:c>
      <x:c r="H1767" s="12" t="n">
        <x:v>5220000000</x:v>
      </x:c>
      <x:c r="I1767" s="12" t="n">
        <x:v>21750000</x:v>
      </x:c>
      <x:c r="J1767" s="2" t="str">
        <x:v>total</x:v>
      </x:c>
      <x:c r="K1767" s="2" t="str">
        <x:v>top_level_area</x:v>
      </x:c>
      <x:c r="L1767" s="2" t="str">
        <x:v>property_type_inferred_from_title;transaction_assumed_sale_from_dataset_context</x:v>
      </x:c>
      <x:c r="M1767" s="10" t="n">
        <x:v>0</x:v>
      </x:c>
      <x:c r="N1767" s="10" t="n">
        <x:v>0</x:v>
      </x:c>
      <x:c r="O1767" s="2" t="str">
        <x:v>Tp Hồ Chí Minh|house</x:v>
      </x:c>
      <x:c r="P1767" s="10" t="n">
        <x:v>2</x:v>
      </x:c>
      <x:c r="Q1767" s="13" t="n">
        <x:f>IF(H1767="","",H1767/1000000000)</x:f>
        <x:v>5.22</x:v>
      </x:c>
      <x:c r="R1767" s="13" t="n">
        <x:f>IF(I1767="","",I1767/1000000)</x:f>
        <x:v>21.75</x:v>
      </x:c>
    </x:row>
    <x:row r="1768" ht="21" customHeight="1">
      <x:c r="A1768" s="10" t="n">
        <x:v>2651</x:v>
      </x:c>
      <x:c r="B1768" s="2" t="str">
        <x:v>af253ce59cbf3e619ae9</x:v>
      </x:c>
      <x:c r="C1768" s="2" t="str">
        <x:v>Tp Hồ Chí Minh</x:v>
      </x:c>
      <x:c r="D1768" s="2" t="str">
        <x:v>Huyện Củ Chi</x:v>
      </x:c>
      <x:c r="E1768" s="2" t="str">
        <x:v>house</x:v>
      </x:c>
      <x:c r="F1768" s="2" t="str">
        <x:v>sale_assumed</x:v>
      </x:c>
      <x:c r="G1768" s="11" t="n">
        <x:v>196</x:v>
      </x:c>
      <x:c r="H1768" s="12" t="n">
        <x:v>2700000000</x:v>
      </x:c>
      <x:c r="I1768" s="12" t="n">
        <x:v>13775510.204081632</x:v>
      </x:c>
      <x:c r="J1768" s="2" t="str">
        <x:v>total</x:v>
      </x:c>
      <x:c r="K1768" s="2" t="str">
        <x:v>top_level_area</x:v>
      </x:c>
      <x:c r="L1768" s="2" t="str">
        <x:v>property_type_inferred_from_title;transaction_assumed_sale_from_dataset_context</x:v>
      </x:c>
      <x:c r="M1768" s="10" t="n">
        <x:v>0</x:v>
      </x:c>
      <x:c r="N1768" s="10" t="n">
        <x:v>0</x:v>
      </x:c>
      <x:c r="O1768" s="2" t="str">
        <x:v>Tp Hồ Chí Minh|house</x:v>
      </x:c>
      <x:c r="P1768" s="10" t="n">
        <x:v>2</x:v>
      </x:c>
      <x:c r="Q1768" s="13" t="n">
        <x:f>IF(H1768="","",H1768/1000000000)</x:f>
        <x:v>2.7</x:v>
      </x:c>
      <x:c r="R1768" s="13" t="n">
        <x:f>IF(I1768="","",I1768/1000000)</x:f>
        <x:v>13.775510204081632</x:v>
      </x:c>
    </x:row>
    <x:row r="1769" ht="21" customHeight="1">
      <x:c r="A1769" s="10" t="n">
        <x:v>2652</x:v>
      </x:c>
      <x:c r="B1769" s="2" t="str">
        <x:v>794f5b524f6ac647d3eb</x:v>
      </x:c>
      <x:c r="C1769" s="2" t="str">
        <x:v>Tp Hồ Chí Minh</x:v>
      </x:c>
      <x:c r="D1769" s="2" t="str">
        <x:v>Quận Tân Phú</x:v>
      </x:c>
      <x:c r="E1769" s="2" t="str">
        <x:v>house</x:v>
      </x:c>
      <x:c r="F1769" s="2" t="str">
        <x:v>sale_assumed</x:v>
      </x:c>
      <x:c r="G1769" s="11" t="n">
        <x:v>144</x:v>
      </x:c>
      <x:c r="H1769" s="12" t="n">
        <x:v>7600000000</x:v>
      </x:c>
      <x:c r="I1769" s="12" t="n">
        <x:v>52777777.777777776</x:v>
      </x:c>
      <x:c r="J1769" s="2" t="str">
        <x:v>total</x:v>
      </x:c>
      <x:c r="K1769" s="2" t="str">
        <x:v>top_level_area</x:v>
      </x:c>
      <x:c r="L1769" s="2" t="str">
        <x:v>property_type_inferred_from_title;transaction_assumed_sale_from_dataset_context</x:v>
      </x:c>
      <x:c r="M1769" s="10" t="n">
        <x:v>0</x:v>
      </x:c>
      <x:c r="N1769" s="10" t="n">
        <x:v>0</x:v>
      </x:c>
      <x:c r="O1769" s="2" t="str">
        <x:v>Tp Hồ Chí Minh|house</x:v>
      </x:c>
      <x:c r="P1769" s="10" t="n">
        <x:v>2</x:v>
      </x:c>
      <x:c r="Q1769" s="13" t="n">
        <x:f>IF(H1769="","",H1769/1000000000)</x:f>
        <x:v>7.6</x:v>
      </x:c>
      <x:c r="R1769" s="13" t="n">
        <x:f>IF(I1769="","",I1769/1000000)</x:f>
        <x:v>52.77777777777778</x:v>
      </x:c>
    </x:row>
    <x:row r="1770" ht="21" customHeight="1">
      <x:c r="A1770" s="10" t="n">
        <x:v>2653</x:v>
      </x:c>
      <x:c r="B1770" s="2" t="str">
        <x:v>9c70f3b73dee143de7fe</x:v>
      </x:c>
      <x:c r="C1770" s="2" t="str">
        <x:v>Tp Hồ Chí Minh</x:v>
      </x:c>
      <x:c r="D1770" s="2" t="str">
        <x:v>Huyện Nhà Bè</x:v>
      </x:c>
      <x:c r="E1770" s="2" t="str">
        <x:v>other_unknown</x:v>
      </x:c>
      <x:c r="F1770" s="2" t="str">
        <x:v>sale_assumed</x:v>
      </x:c>
      <x:c r="G1770" s="11" t="n">
        <x:v>24</x:v>
      </x:c>
      <x:c r="H1770" s="12" t="n">
        <x:v>1050000000</x:v>
      </x:c>
      <x:c r="I1770" s="12" t="n">
        <x:v>43750000</x:v>
      </x:c>
      <x:c r="J1770" s="2" t="str">
        <x:v>total</x:v>
      </x:c>
      <x:c r="K1770" s="2" t="str">
        <x:v>top_level_area</x:v>
      </x:c>
      <x:c r="L1770" s="2" t="str">
        <x:v>property_type_inferred_from_title;transaction_assumed_sale_from_dataset_context;unknown_property_type</x:v>
      </x:c>
      <x:c r="M1770" s="10" t="n">
        <x:v>0</x:v>
      </x:c>
      <x:c r="N1770" s="10" t="n">
        <x:v>0</x:v>
      </x:c>
      <x:c r="O1770" s="2" t="str">
        <x:v>Tp Hồ Chí Minh|other_unknown</x:v>
      </x:c>
      <x:c r="P1770" s="10" t="n">
        <x:v>2</x:v>
      </x:c>
      <x:c r="Q1770" s="13" t="n">
        <x:f>IF(H1770="","",H1770/1000000000)</x:f>
        <x:v>1.05</x:v>
      </x:c>
      <x:c r="R1770" s="13" t="n">
        <x:f>IF(I1770="","",I1770/1000000)</x:f>
        <x:v>43.75</x:v>
      </x:c>
    </x:row>
    <x:row r="1771" ht="21" customHeight="1">
      <x:c r="A1771" s="10" t="n">
        <x:v>2657</x:v>
      </x:c>
      <x:c r="B1771" s="2" t="str">
        <x:v>5f24780061aa4bd532b6</x:v>
      </x:c>
      <x:c r="C1771" s="2" t="str">
        <x:v>Tp Hồ Chí Minh</x:v>
      </x:c>
      <x:c r="D1771" s="2" t="str">
        <x:v>Quận 8</x:v>
      </x:c>
      <x:c r="E1771" s="2" t="str">
        <x:v>apartment</x:v>
      </x:c>
      <x:c r="F1771" s="2" t="str">
        <x:v>sale_assumed</x:v>
      </x:c>
      <x:c r="G1771" s="11" t="n">
        <x:v>62</x:v>
      </x:c>
      <x:c r="H1771" s="12" t="n">
        <x:v>1550000000</x:v>
      </x:c>
      <x:c r="I1771" s="12" t="n">
        <x:v>25000000</x:v>
      </x:c>
      <x:c r="J1771" s="2" t="str">
        <x:v>total</x:v>
      </x:c>
      <x:c r="K1771" s="2" t="str">
        <x:v>top_level_price_embedded_area</x:v>
      </x:c>
      <x:c r="L1771" s="2" t="str">
        <x:v>area_recovered_from_price_text;property_type_inferred_from_title;transaction_assumed_sale_from_dataset_context</x:v>
      </x:c>
      <x:c r="M1771" s="10" t="n">
        <x:v>0</x:v>
      </x:c>
      <x:c r="N1771" s="10" t="n">
        <x:v>0</x:v>
      </x:c>
      <x:c r="O1771" s="2" t="str">
        <x:v>Tp Hồ Chí Minh|apartment</x:v>
      </x:c>
      <x:c r="P1771" s="10" t="n">
        <x:v>2</x:v>
      </x:c>
      <x:c r="Q1771" s="13" t="n">
        <x:f>IF(H1771="","",H1771/1000000000)</x:f>
        <x:v>1.55</x:v>
      </x:c>
      <x:c r="R1771" s="13" t="n">
        <x:f>IF(I1771="","",I1771/1000000)</x:f>
        <x:v>25</x:v>
      </x:c>
    </x:row>
    <x:row r="1772" ht="21" customHeight="1">
      <x:c r="A1772" s="10" t="n">
        <x:v>2658</x:v>
      </x:c>
      <x:c r="B1772" s="2" t="str">
        <x:v>1e3cd9bdc074b33edaad</x:v>
      </x:c>
      <x:c r="C1772" s="2" t="str">
        <x:v>Tp Hồ Chí Minh</x:v>
      </x:c>
      <x:c r="D1772" s="2" t="str">
        <x:v>Quận Gò Vấp</x:v>
      </x:c>
      <x:c r="E1772" s="2" t="str">
        <x:v>house</x:v>
      </x:c>
      <x:c r="F1772" s="2" t="str">
        <x:v>sale</x:v>
      </x:c>
      <x:c r="G1772" s="11" t="n">
        <x:v>52</x:v>
      </x:c>
      <x:c r="H1772" s="12" t="n">
        <x:v>4250000000</x:v>
      </x:c>
      <x:c r="I1772" s="12" t="n">
        <x:v>81730769.23076923</x:v>
      </x:c>
      <x:c r="J1772" s="2" t="str">
        <x:v>total</x:v>
      </x:c>
      <x:c r="K1772" s="2" t="str">
        <x:v>top_level_area</x:v>
      </x:c>
      <x:c r="L1772" s="2" t="str">
        <x:v>property_type_inferred_from_title</x:v>
      </x:c>
      <x:c r="M1772" s="10" t="n">
        <x:v>0</x:v>
      </x:c>
      <x:c r="N1772" s="10" t="n">
        <x:v>0</x:v>
      </x:c>
      <x:c r="O1772" s="2" t="str">
        <x:v>Tp Hồ Chí Minh|house</x:v>
      </x:c>
      <x:c r="P1772" s="10" t="n">
        <x:v>2</x:v>
      </x:c>
      <x:c r="Q1772" s="13" t="n">
        <x:f>IF(H1772="","",H1772/1000000000)</x:f>
        <x:v>4.25</x:v>
      </x:c>
      <x:c r="R1772" s="13" t="n">
        <x:f>IF(I1772="","",I1772/1000000)</x:f>
        <x:v>81.73076923076923</x:v>
      </x:c>
    </x:row>
    <x:row r="1773" ht="21" customHeight="1">
      <x:c r="A1773" s="10" t="n">
        <x:v>2659</x:v>
      </x:c>
      <x:c r="B1773" s="2" t="str">
        <x:v>2b9bca454be7f2d14d87</x:v>
      </x:c>
      <x:c r="C1773" s="2" t="str">
        <x:v>Bình Dương</x:v>
      </x:c>
      <x:c r="D1773" s="2" t="str">
        <x:v>Thị xã Dĩ An</x:v>
      </x:c>
      <x:c r="E1773" s="2" t="str">
        <x:v>land</x:v>
      </x:c>
      <x:c r="F1773" s="2" t="str">
        <x:v>sale_assumed</x:v>
      </x:c>
      <x:c r="G1773" s="11" t="n">
        <x:v>100</x:v>
      </x:c>
      <x:c r="H1773" s="12" t="n">
        <x:v>2550000000</x:v>
      </x:c>
      <x:c r="I1773" s="12" t="n">
        <x:v>25500000</x:v>
      </x:c>
      <x:c r="J1773" s="2" t="str">
        <x:v>total</x:v>
      </x:c>
      <x:c r="K1773" s="2" t="str">
        <x:v>top_level_area</x:v>
      </x:c>
      <x:c r="L1773" s="2" t="str">
        <x:v>property_type_inferred_from_title;transaction_assumed_sale_from_dataset_context</x:v>
      </x:c>
      <x:c r="M1773" s="10" t="n">
        <x:v>0</x:v>
      </x:c>
      <x:c r="N1773" s="10" t="n">
        <x:v>0</x:v>
      </x:c>
      <x:c r="O1773" s="2" t="str">
        <x:v>Bình Dương|land</x:v>
      </x:c>
      <x:c r="P1773" s="10" t="n">
        <x:v>2</x:v>
      </x:c>
      <x:c r="Q1773" s="13" t="n">
        <x:f>IF(H1773="","",H1773/1000000000)</x:f>
        <x:v>2.55</x:v>
      </x:c>
      <x:c r="R1773" s="13" t="n">
        <x:f>IF(I1773="","",I1773/1000000)</x:f>
        <x:v>25.5</x:v>
      </x:c>
    </x:row>
    <x:row r="1774" ht="21" customHeight="1">
      <x:c r="A1774" s="10" t="n">
        <x:v>2660</x:v>
      </x:c>
      <x:c r="B1774" s="2" t="str">
        <x:v>5a1aee48c3f748410eff</x:v>
      </x:c>
      <x:c r="C1774" s="2" t="str">
        <x:v>Bình Dương</x:v>
      </x:c>
      <x:c r="D1774" s="2" t="str">
        <x:v>Thị xã Dĩ An</x:v>
      </x:c>
      <x:c r="E1774" s="2" t="str">
        <x:v>house</x:v>
      </x:c>
      <x:c r="F1774" s="2" t="str">
        <x:v>sale_assumed</x:v>
      </x:c>
      <x:c r="G1774" s="11" t="n">
        <x:v>90</x:v>
      </x:c>
      <x:c r="H1774" s="12" t="n">
        <x:v>7500000000</x:v>
      </x:c>
      <x:c r="I1774" s="12" t="n">
        <x:v>83333333.33333333</x:v>
      </x:c>
      <x:c r="J1774" s="2" t="str">
        <x:v>total</x:v>
      </x:c>
      <x:c r="K1774" s="2" t="str">
        <x:v>top_level_area</x:v>
      </x:c>
      <x:c r="L1774" s="2" t="str">
        <x:v>property_type_inferred_from_title;transaction_assumed_sale_from_dataset_context</x:v>
      </x:c>
      <x:c r="M1774" s="10" t="n">
        <x:v>0</x:v>
      </x:c>
      <x:c r="N1774" s="10" t="n">
        <x:v>1</x:v>
      </x:c>
      <x:c r="O1774" s="2" t="str">
        <x:v>Bình Dương|house</x:v>
      </x:c>
      <x:c r="P1774" s="10" t="n">
        <x:v>-1</x:v>
      </x:c>
      <x:c r="Q1774" s="13" t="n">
        <x:f>IF(H1774="","",H1774/1000000000)</x:f>
        <x:v>7.5</x:v>
      </x:c>
      <x:c r="R1774" s="13" t="n">
        <x:f>IF(I1774="","",I1774/1000000)</x:f>
        <x:v>83.33333333333333</x:v>
      </x:c>
    </x:row>
    <x:row r="1775" ht="21" customHeight="1">
      <x:c r="A1775" s="10" t="n">
        <x:v>2661</x:v>
      </x:c>
      <x:c r="B1775" s="2" t="str">
        <x:v>b8748f2363d21be35c6c</x:v>
      </x:c>
      <x:c r="C1775" s="2" t="str">
        <x:v>Tp Hồ Chí Minh</x:v>
      </x:c>
      <x:c r="D1775" s="2" t="str">
        <x:v>Huyện Hóc Môn</x:v>
      </x:c>
      <x:c r="E1775" s="2" t="str">
        <x:v>house</x:v>
      </x:c>
      <x:c r="F1775" s="2" t="str">
        <x:v>sale</x:v>
      </x:c>
      <x:c r="G1775" s="11" t="n">
        <x:v>100</x:v>
      </x:c>
      <x:c r="H1775" s="12" t="n">
        <x:v>9000000000</x:v>
      </x:c>
      <x:c r="I1775" s="12" t="n">
        <x:v>90000000</x:v>
      </x:c>
      <x:c r="J1775" s="2" t="str">
        <x:v>total</x:v>
      </x:c>
      <x:c r="K1775" s="2" t="str">
        <x:v>top_level_area</x:v>
      </x:c>
      <x:c r="L1775" s="2" t="str">
        <x:v>property_type_inferred_from_title</x:v>
      </x:c>
      <x:c r="M1775" s="10" t="n">
        <x:v>0</x:v>
      </x:c>
      <x:c r="N1775" s="10" t="n">
        <x:v>0</x:v>
      </x:c>
      <x:c r="O1775" s="2" t="str">
        <x:v>Tp Hồ Chí Minh|house</x:v>
      </x:c>
      <x:c r="P1775" s="10" t="n">
        <x:v>2</x:v>
      </x:c>
      <x:c r="Q1775" s="13" t="n">
        <x:f>IF(H1775="","",H1775/1000000000)</x:f>
        <x:v>9</x:v>
      </x:c>
      <x:c r="R1775" s="13" t="n">
        <x:f>IF(I1775="","",I1775/1000000)</x:f>
        <x:v>90</x:v>
      </x:c>
    </x:row>
    <x:row r="1776" ht="21" customHeight="1">
      <x:c r="A1776" s="10" t="n">
        <x:v>2662</x:v>
      </x:c>
      <x:c r="B1776" s="2" t="str">
        <x:v>c63fb31c81b05f1aad1d</x:v>
      </x:c>
      <x:c r="C1776" s="2" t="str">
        <x:v>Tp Hồ Chí Minh</x:v>
      </x:c>
      <x:c r="D1776" s="2" t="str">
        <x:v>Quận 9</x:v>
      </x:c>
      <x:c r="E1776" s="2" t="str">
        <x:v>house</x:v>
      </x:c>
      <x:c r="F1776" s="2" t="str">
        <x:v>sale</x:v>
      </x:c>
      <x:c r="G1776" s="11" t="n">
        <x:v>60</x:v>
      </x:c>
      <x:c r="H1776" s="12" t="n">
        <x:v>3100000000</x:v>
      </x:c>
      <x:c r="I1776" s="12" t="n">
        <x:v>51666666.666666664</x:v>
      </x:c>
      <x:c r="J1776" s="2" t="str">
        <x:v>total</x:v>
      </x:c>
      <x:c r="K1776" s="2" t="str">
        <x:v>top_level_area</x:v>
      </x:c>
      <x:c r="L1776" s="2" t="str">
        <x:v>property_type_inferred_from_title</x:v>
      </x:c>
      <x:c r="M1776" s="10" t="n">
        <x:v>0</x:v>
      </x:c>
      <x:c r="N1776" s="10" t="n">
        <x:v>0</x:v>
      </x:c>
      <x:c r="O1776" s="2" t="str">
        <x:v>Tp Hồ Chí Minh|house</x:v>
      </x:c>
      <x:c r="P1776" s="10" t="n">
        <x:v>2</x:v>
      </x:c>
      <x:c r="Q1776" s="13" t="n">
        <x:f>IF(H1776="","",H1776/1000000000)</x:f>
        <x:v>3.1</x:v>
      </x:c>
      <x:c r="R1776" s="13" t="n">
        <x:f>IF(I1776="","",I1776/1000000)</x:f>
        <x:v>51.666666666666664</x:v>
      </x:c>
    </x:row>
    <x:row r="1777" ht="21" customHeight="1">
      <x:c r="A1777" s="10" t="n">
        <x:v>2663</x:v>
      </x:c>
      <x:c r="B1777" s="2" t="str">
        <x:v>f88562b12668f610dd8a</x:v>
      </x:c>
      <x:c r="C1777" s="2" t="str">
        <x:v>Hà Nội</x:v>
      </x:c>
      <x:c r="D1777" s="2" t="str">
        <x:v>Quận Đống Đa</x:v>
      </x:c>
      <x:c r="E1777" s="2" t="str">
        <x:v>other_unknown</x:v>
      </x:c>
      <x:c r="F1777" s="2" t="str">
        <x:v>sale</x:v>
      </x:c>
      <x:c r="G1777" s="11" t="n">
        <x:v>50</x:v>
      </x:c>
      <x:c r="H1777" s="12" t="n">
        <x:v>2950000000</x:v>
      </x:c>
      <x:c r="I1777" s="12" t="n">
        <x:v>59000000</x:v>
      </x:c>
      <x:c r="J1777" s="2" t="str">
        <x:v>total</x:v>
      </x:c>
      <x:c r="K1777" s="2" t="str">
        <x:v>top_level_area</x:v>
      </x:c>
      <x:c r="L1777" s="2" t="str">
        <x:v>property_type_inferred_from_title;unknown_property_type</x:v>
      </x:c>
      <x:c r="M1777" s="10" t="n">
        <x:v>0</x:v>
      </x:c>
      <x:c r="N1777" s="10" t="n">
        <x:v>0</x:v>
      </x:c>
      <x:c r="O1777" s="2" t="str">
        <x:v>Hà Nội|other_unknown</x:v>
      </x:c>
      <x:c r="P1777" s="10" t="n">
        <x:v>2</x:v>
      </x:c>
      <x:c r="Q1777" s="13" t="n">
        <x:f>IF(H1777="","",H1777/1000000000)</x:f>
        <x:v>2.95</x:v>
      </x:c>
      <x:c r="R1777" s="13" t="n">
        <x:f>IF(I1777="","",I1777/1000000)</x:f>
        <x:v>59</x:v>
      </x:c>
    </x:row>
    <x:row r="1778" ht="21" customHeight="1">
      <x:c r="A1778" s="10" t="n">
        <x:v>2664</x:v>
      </x:c>
      <x:c r="B1778" s="2" t="str">
        <x:v>e3ac8221a32edc9292d6</x:v>
      </x:c>
      <x:c r="C1778" s="2" t="str">
        <x:v>Tp Hồ Chí Minh</x:v>
      </x:c>
      <x:c r="D1778" s="2" t="str">
        <x:v>Quận Bình Thạnh</x:v>
      </x:c>
      <x:c r="E1778" s="2" t="str">
        <x:v>house</x:v>
      </x:c>
      <x:c r="F1778" s="2" t="str">
        <x:v>sale_assumed</x:v>
      </x:c>
      <x:c r="G1778" s="11" t="n">
        <x:v>44.6</x:v>
      </x:c>
      <x:c r="H1778" s="12" t="n">
        <x:v>11000000000</x:v>
      </x:c>
      <x:c r="I1778" s="12" t="n">
        <x:v>246636771.30044842</x:v>
      </x:c>
      <x:c r="J1778" s="2" t="str">
        <x:v>total</x:v>
      </x:c>
      <x:c r="K1778" s="2" t="str">
        <x:v>top_level_area</x:v>
      </x:c>
      <x:c r="L1778" s="2" t="str">
        <x:v>property_type_inferred_from_title;transaction_assumed_sale_from_dataset_context</x:v>
      </x:c>
      <x:c r="M1778" s="10" t="n">
        <x:v>1</x:v>
      </x:c>
      <x:c r="N1778" s="10" t="n">
        <x:v>1</x:v>
      </x:c>
      <x:c r="O1778" s="2" t="str">
        <x:v>Tp Hồ Chí Minh|house</x:v>
      </x:c>
      <x:c r="P1778" s="10" t="n">
        <x:v>-1</x:v>
      </x:c>
      <x:c r="Q1778" s="13" t="n">
        <x:f>IF(H1778="","",H1778/1000000000)</x:f>
        <x:v>11</x:v>
      </x:c>
      <x:c r="R1778" s="13" t="n">
        <x:f>IF(I1778="","",I1778/1000000)</x:f>
        <x:v>246.63677130044843</x:v>
      </x:c>
    </x:row>
    <x:row r="1779" ht="21" customHeight="1">
      <x:c r="A1779" s="10" t="n">
        <x:v>2665</x:v>
      </x:c>
      <x:c r="B1779" s="2" t="str">
        <x:v>a737f391710665b77b93</x:v>
      </x:c>
      <x:c r="C1779" s="2" t="str">
        <x:v>Tp Hồ Chí Minh</x:v>
      </x:c>
      <x:c r="D1779" s="2" t="str">
        <x:v>Quận Thủ Đức</x:v>
      </x:c>
      <x:c r="E1779" s="2" t="str">
        <x:v>other_unknown</x:v>
      </x:c>
      <x:c r="F1779" s="2" t="str">
        <x:v>sale_assumed</x:v>
      </x:c>
      <x:c r="G1779" s="11" t="n">
        <x:v>87</x:v>
      </x:c>
      <x:c r="H1779" s="12" t="n">
        <x:v>5500000000</x:v>
      </x:c>
      <x:c r="I1779" s="12" t="n">
        <x:v>63218390.8045977</x:v>
      </x:c>
      <x:c r="J1779" s="2" t="str">
        <x:v>total</x:v>
      </x:c>
      <x:c r="K1779" s="2" t="str">
        <x:v>top_level_area</x:v>
      </x:c>
      <x:c r="L1779" s="2" t="str">
        <x:v>property_type_inferred_from_title;transaction_assumed_sale_from_dataset_context;unknown_property_type</x:v>
      </x:c>
      <x:c r="M1779" s="10" t="n">
        <x:v>0</x:v>
      </x:c>
      <x:c r="N1779" s="10" t="n">
        <x:v>0</x:v>
      </x:c>
      <x:c r="O1779" s="2" t="str">
        <x:v>Tp Hồ Chí Minh|other_unknown</x:v>
      </x:c>
      <x:c r="P1779" s="10" t="n">
        <x:v>2</x:v>
      </x:c>
      <x:c r="Q1779" s="13" t="n">
        <x:f>IF(H1779="","",H1779/1000000000)</x:f>
        <x:v>5.5</x:v>
      </x:c>
      <x:c r="R1779" s="13" t="n">
        <x:f>IF(I1779="","",I1779/1000000)</x:f>
        <x:v>63.218390804597696</x:v>
      </x:c>
    </x:row>
    <x:row r="1780" ht="21" customHeight="1">
      <x:c r="A1780" s="10" t="n">
        <x:v>2666</x:v>
      </x:c>
      <x:c r="B1780" s="2" t="str">
        <x:v>9f13cffbbf8ae79b0da9</x:v>
      </x:c>
      <x:c r="C1780" s="2" t="str">
        <x:v>Tp Hồ Chí Minh</x:v>
      </x:c>
      <x:c r="D1780" s="2" t="str">
        <x:v>Quận Bình Thạnh</x:v>
      </x:c>
      <x:c r="E1780" s="2" t="str">
        <x:v>house</x:v>
      </x:c>
      <x:c r="F1780" s="2" t="str">
        <x:v>sale</x:v>
      </x:c>
      <x:c r="G1780" s="11" t="n">
        <x:v>55</x:v>
      </x:c>
      <x:c r="H1780" s="12" t="n">
        <x:v>1200000000</x:v>
      </x:c>
      <x:c r="I1780" s="12" t="n">
        <x:v>21818181.818181816</x:v>
      </x:c>
      <x:c r="J1780" s="2" t="str">
        <x:v>total</x:v>
      </x:c>
      <x:c r="K1780" s="2" t="str">
        <x:v>top_level_area</x:v>
      </x:c>
      <x:c r="L1780" s="2" t="str">
        <x:v>property_type_inferred_from_title</x:v>
      </x:c>
      <x:c r="M1780" s="10" t="n">
        <x:v>0</x:v>
      </x:c>
      <x:c r="N1780" s="10" t="n">
        <x:v>0</x:v>
      </x:c>
      <x:c r="O1780" s="2" t="str">
        <x:v>Tp Hồ Chí Minh|house</x:v>
      </x:c>
      <x:c r="P1780" s="10" t="n">
        <x:v>2</x:v>
      </x:c>
      <x:c r="Q1780" s="13" t="n">
        <x:f>IF(H1780="","",H1780/1000000000)</x:f>
        <x:v>1.2</x:v>
      </x:c>
      <x:c r="R1780" s="13" t="n">
        <x:f>IF(I1780="","",I1780/1000000)</x:f>
        <x:v>21.818181818181817</x:v>
      </x:c>
    </x:row>
    <x:row r="1781" ht="21" customHeight="1">
      <x:c r="A1781" s="10" t="n">
        <x:v>2667</x:v>
      </x:c>
      <x:c r="B1781" s="2" t="str">
        <x:v>feff4efd60a7683249ba</x:v>
      </x:c>
      <x:c r="C1781" s="2" t="str">
        <x:v>Tp Hồ Chí Minh</x:v>
      </x:c>
      <x:c r="D1781" s="2" t="str">
        <x:v>Quận 2</x:v>
      </x:c>
      <x:c r="E1781" s="2" t="str">
        <x:v>other_unknown</x:v>
      </x:c>
      <x:c r="F1781" s="2" t="str">
        <x:v>sale_assumed</x:v>
      </x:c>
      <x:c r="G1781" s="11" t="n">
        <x:v>168</x:v>
      </x:c>
      <x:c r="H1781" s="12" t="n">
        <x:v>6900000000</x:v>
      </x:c>
      <x:c r="I1781" s="12" t="n">
        <x:v>41071428.571428575</x:v>
      </x:c>
      <x:c r="J1781" s="2" t="str">
        <x:v>total</x:v>
      </x:c>
      <x:c r="K1781" s="2" t="str">
        <x:v>top_level_area</x:v>
      </x:c>
      <x:c r="L1781" s="2" t="str">
        <x:v>property_type_inferred_from_title;transaction_assumed_sale_from_dataset_context;unknown_property_type</x:v>
      </x:c>
      <x:c r="M1781" s="10" t="n">
        <x:v>0</x:v>
      </x:c>
      <x:c r="N1781" s="10" t="n">
        <x:v>0</x:v>
      </x:c>
      <x:c r="O1781" s="2" t="str">
        <x:v>Tp Hồ Chí Minh|other_unknown</x:v>
      </x:c>
      <x:c r="P1781" s="10" t="n">
        <x:v>2</x:v>
      </x:c>
      <x:c r="Q1781" s="13" t="n">
        <x:f>IF(H1781="","",H1781/1000000000)</x:f>
        <x:v>6.9</x:v>
      </x:c>
      <x:c r="R1781" s="13" t="n">
        <x:f>IF(I1781="","",I1781/1000000)</x:f>
        <x:v>41.07142857142858</x:v>
      </x:c>
    </x:row>
    <x:row r="1782" ht="21" customHeight="1">
      <x:c r="A1782" s="10" t="n">
        <x:v>2668</x:v>
      </x:c>
      <x:c r="B1782" s="2" t="str">
        <x:v>b25a2f8c899afb300eea</x:v>
      </x:c>
      <x:c r="C1782" s="2" t="str">
        <x:v>Hà Nội</x:v>
      </x:c>
      <x:c r="D1782" s="2" t="str">
        <x:v>Quận Long Biên</x:v>
      </x:c>
      <x:c r="E1782" s="2" t="str">
        <x:v>house</x:v>
      </x:c>
      <x:c r="F1782" s="2" t="str">
        <x:v>sale_assumed</x:v>
      </x:c>
      <x:c r="G1782" s="11" t="n">
        <x:v>45</x:v>
      </x:c>
      <x:c r="H1782" s="12" t="n">
        <x:v>3200000000</x:v>
      </x:c>
      <x:c r="I1782" s="12" t="n">
        <x:v>71111111.1111111</x:v>
      </x:c>
      <x:c r="J1782" s="2" t="str">
        <x:v>total</x:v>
      </x:c>
      <x:c r="K1782" s="2" t="str">
        <x:v>top_level_area</x:v>
      </x:c>
      <x:c r="L1782" s="2" t="str">
        <x:v>property_type_inferred_from_title;transaction_assumed_sale_from_dataset_context</x:v>
      </x:c>
      <x:c r="M1782" s="10" t="n">
        <x:v>0</x:v>
      </x:c>
      <x:c r="N1782" s="10" t="n">
        <x:v>0</x:v>
      </x:c>
      <x:c r="O1782" s="2" t="str">
        <x:v>Hà Nội|house</x:v>
      </x:c>
      <x:c r="P1782" s="10" t="n">
        <x:v>2</x:v>
      </x:c>
      <x:c r="Q1782" s="13" t="n">
        <x:f>IF(H1782="","",H1782/1000000000)</x:f>
        <x:v>3.2</x:v>
      </x:c>
      <x:c r="R1782" s="13" t="n">
        <x:f>IF(I1782="","",I1782/1000000)</x:f>
        <x:v>71.1111111111111</x:v>
      </x:c>
    </x:row>
    <x:row r="1783" ht="21" customHeight="1">
      <x:c r="A1783" s="10" t="n">
        <x:v>2669</x:v>
      </x:c>
      <x:c r="B1783" s="2" t="str">
        <x:v>0179e3e475e0e750a5f6</x:v>
      </x:c>
      <x:c r="C1783" s="2" t="str">
        <x:v>Tp Hồ Chí Minh</x:v>
      </x:c>
      <x:c r="D1783" s="2" t="str">
        <x:v>Quận Tân Phú</x:v>
      </x:c>
      <x:c r="E1783" s="2" t="str">
        <x:v>house</x:v>
      </x:c>
      <x:c r="F1783" s="2" t="str">
        <x:v>sale</x:v>
      </x:c>
      <x:c r="G1783" s="11" t="n">
        <x:v>60</x:v>
      </x:c>
      <x:c r="H1783" s="12" t="n">
        <x:v>5200000000</x:v>
      </x:c>
      <x:c r="I1783" s="12" t="n">
        <x:v>86666666.66666667</x:v>
      </x:c>
      <x:c r="J1783" s="2" t="str">
        <x:v>total</x:v>
      </x:c>
      <x:c r="K1783" s="2" t="str">
        <x:v>top_level_price_embedded_area</x:v>
      </x:c>
      <x:c r="L1783" s="2" t="str">
        <x:v>area_recovered_from_price_text;property_type_inferred_from_title</x:v>
      </x:c>
      <x:c r="M1783" s="10" t="n">
        <x:v>0</x:v>
      </x:c>
      <x:c r="N1783" s="10" t="n">
        <x:v>0</x:v>
      </x:c>
      <x:c r="O1783" s="2" t="str">
        <x:v>Tp Hồ Chí Minh|house</x:v>
      </x:c>
      <x:c r="P1783" s="10" t="n">
        <x:v>2</x:v>
      </x:c>
      <x:c r="Q1783" s="13" t="n">
        <x:f>IF(H1783="","",H1783/1000000000)</x:f>
        <x:v>5.2</x:v>
      </x:c>
      <x:c r="R1783" s="13" t="n">
        <x:f>IF(I1783="","",I1783/1000000)</x:f>
        <x:v>86.66666666666667</x:v>
      </x:c>
    </x:row>
    <x:row r="1784" ht="21" customHeight="1">
      <x:c r="A1784" s="10" t="n">
        <x:v>2670</x:v>
      </x:c>
      <x:c r="B1784" s="2" t="str">
        <x:v>a926c8dbeb99076d4bbe</x:v>
      </x:c>
      <x:c r="C1784" s="2" t="str">
        <x:v>Đà Nẵng</x:v>
      </x:c>
      <x:c r="D1784" s="2" t="str">
        <x:v>Quận Thanh Khê</x:v>
      </x:c>
      <x:c r="E1784" s="2" t="str">
        <x:v>house</x:v>
      </x:c>
      <x:c r="F1784" s="2" t="str">
        <x:v>sale</x:v>
      </x:c>
      <x:c r="G1784" s="11" t="n">
        <x:v>100</x:v>
      </x:c>
      <x:c r="H1784" s="12" t="n">
        <x:v>3700000001</x:v>
      </x:c>
      <x:c r="I1784" s="12" t="n">
        <x:v>37000000.01</x:v>
      </x:c>
      <x:c r="J1784" s="2" t="str">
        <x:v>total</x:v>
      </x:c>
      <x:c r="K1784" s="2" t="str">
        <x:v>top_level_area</x:v>
      </x:c>
      <x:c r="L1784" s="2" t="str">
        <x:v>property_type_inferred_from_title</x:v>
      </x:c>
      <x:c r="M1784" s="10" t="n">
        <x:v>0</x:v>
      </x:c>
      <x:c r="N1784" s="10" t="n">
        <x:v>0</x:v>
      </x:c>
      <x:c r="O1784" s="2" t="str">
        <x:v>Đà Nẵng|house</x:v>
      </x:c>
      <x:c r="P1784" s="10" t="n">
        <x:v>2</x:v>
      </x:c>
      <x:c r="Q1784" s="13" t="n">
        <x:f>IF(H1784="","",H1784/1000000000)</x:f>
        <x:v>3.700000001</x:v>
      </x:c>
      <x:c r="R1784" s="13" t="n">
        <x:f>IF(I1784="","",I1784/1000000)</x:f>
        <x:v>37.00000001</x:v>
      </x:c>
    </x:row>
    <x:row r="1785" ht="21" customHeight="1">
      <x:c r="A1785" s="10" t="n">
        <x:v>2671</x:v>
      </x:c>
      <x:c r="B1785" s="2" t="str">
        <x:v>352a45b8afc67956636b</x:v>
      </x:c>
      <x:c r="C1785" s="2" t="str">
        <x:v>Tp Hồ Chí Minh</x:v>
      </x:c>
      <x:c r="D1785" s="2" t="str">
        <x:v>Quận 12</x:v>
      </x:c>
      <x:c r="E1785" s="2" t="str">
        <x:v>house</x:v>
      </x:c>
      <x:c r="F1785" s="2" t="str">
        <x:v>sale_assumed</x:v>
      </x:c>
      <x:c r="G1785" s="11" t="n">
        <x:v>32</x:v>
      </x:c>
      <x:c r="H1785" s="12" t="n">
        <x:v>950000000</x:v>
      </x:c>
      <x:c r="I1785" s="12" t="n">
        <x:v>29687500</x:v>
      </x:c>
      <x:c r="J1785" s="2" t="str">
        <x:v>total</x:v>
      </x:c>
      <x:c r="K1785" s="2" t="str">
        <x:v>top_level_area</x:v>
      </x:c>
      <x:c r="L1785" s="2" t="str">
        <x:v>property_type_inferred_from_title;transaction_assumed_sale_from_dataset_context</x:v>
      </x:c>
      <x:c r="M1785" s="10" t="n">
        <x:v>0</x:v>
      </x:c>
      <x:c r="N1785" s="10" t="n">
        <x:v>0</x:v>
      </x:c>
      <x:c r="O1785" s="2" t="str">
        <x:v>Tp Hồ Chí Minh|house</x:v>
      </x:c>
      <x:c r="P1785" s="10" t="n">
        <x:v>2</x:v>
      </x:c>
      <x:c r="Q1785" s="13" t="n">
        <x:f>IF(H1785="","",H1785/1000000000)</x:f>
        <x:v>0.95</x:v>
      </x:c>
      <x:c r="R1785" s="13" t="n">
        <x:f>IF(I1785="","",I1785/1000000)</x:f>
        <x:v>29.6875</x:v>
      </x:c>
    </x:row>
    <x:row r="1786" ht="21" customHeight="1">
      <x:c r="A1786" s="10" t="n">
        <x:v>2672</x:v>
      </x:c>
      <x:c r="B1786" s="2" t="str">
        <x:v>c37b72c2b872042cd4e5</x:v>
      </x:c>
      <x:c r="C1786" s="2" t="str">
        <x:v>Tp Hồ Chí Minh</x:v>
      </x:c>
      <x:c r="D1786" s="2" t="str">
        <x:v>Huyện Hóc Môn</x:v>
      </x:c>
      <x:c r="E1786" s="2" t="str">
        <x:v>other_unknown</x:v>
      </x:c>
      <x:c r="F1786" s="2" t="str">
        <x:v>sale_assumed</x:v>
      </x:c>
      <x:c r="G1786" s="11" t="n">
        <x:v>190</x:v>
      </x:c>
      <x:c r="H1786" s="12" t="n">
        <x:v>980000000</x:v>
      </x:c>
      <x:c r="I1786" s="12" t="n">
        <x:v>5157894.736842105</x:v>
      </x:c>
      <x:c r="J1786" s="2" t="str">
        <x:v>total</x:v>
      </x:c>
      <x:c r="K1786" s="2" t="str">
        <x:v>top_level_price_embedded_area</x:v>
      </x:c>
      <x:c r="L1786" s="2" t="str">
        <x:v>area_recovered_from_price_text;property_type_inferred_from_title;transaction_assumed_sale_from_dataset_context;unknown_property_type</x:v>
      </x:c>
      <x:c r="M1786" s="10" t="n">
        <x:v>0</x:v>
      </x:c>
      <x:c r="N1786" s="10" t="n">
        <x:v>0</x:v>
      </x:c>
      <x:c r="O1786" s="2" t="str">
        <x:v>Tp Hồ Chí Minh|other_unknown</x:v>
      </x:c>
      <x:c r="P1786" s="10" t="n">
        <x:v>1</x:v>
      </x:c>
      <x:c r="Q1786" s="13" t="n">
        <x:f>IF(H1786="","",H1786/1000000000)</x:f>
        <x:v>0.98</x:v>
      </x:c>
      <x:c r="R1786" s="13" t="n">
        <x:f>IF(I1786="","",I1786/1000000)</x:f>
        <x:v>5.157894736842105</x:v>
      </x:c>
    </x:row>
    <x:row r="1787" ht="21" customHeight="1">
      <x:c r="A1787" s="10" t="n">
        <x:v>2673</x:v>
      </x:c>
      <x:c r="B1787" s="2" t="str">
        <x:v>2ddba8f193988bc21b5c</x:v>
      </x:c>
      <x:c r="C1787" s="2" t="str">
        <x:v>Tp Hồ Chí Minh</x:v>
      </x:c>
      <x:c r="D1787" s="2" t="str">
        <x:v>Quận Gò Vấp</x:v>
      </x:c>
      <x:c r="E1787" s="2" t="str">
        <x:v>house</x:v>
      </x:c>
      <x:c r="F1787" s="2" t="str">
        <x:v>sale_assumed</x:v>
      </x:c>
      <x:c r="G1787" s="11" t="n">
        <x:v>54</x:v>
      </x:c>
      <x:c r="H1787" s="12" t="n">
        <x:v>1440000000</x:v>
      </x:c>
      <x:c r="I1787" s="12" t="n">
        <x:v>26666666.666666668</x:v>
      </x:c>
      <x:c r="J1787" s="2" t="str">
        <x:v>total</x:v>
      </x:c>
      <x:c r="K1787" s="2" t="str">
        <x:v>top_level_area</x:v>
      </x:c>
      <x:c r="L1787" s="2" t="str">
        <x:v>property_type_inferred_from_title;transaction_assumed_sale_from_dataset_context</x:v>
      </x:c>
      <x:c r="M1787" s="10" t="n">
        <x:v>0</x:v>
      </x:c>
      <x:c r="N1787" s="10" t="n">
        <x:v>0</x:v>
      </x:c>
      <x:c r="O1787" s="2" t="str">
        <x:v>Tp Hồ Chí Minh|house</x:v>
      </x:c>
      <x:c r="P1787" s="10" t="n">
        <x:v>2</x:v>
      </x:c>
      <x:c r="Q1787" s="13" t="n">
        <x:f>IF(H1787="","",H1787/1000000000)</x:f>
        <x:v>1.44</x:v>
      </x:c>
      <x:c r="R1787" s="13" t="n">
        <x:f>IF(I1787="","",I1787/1000000)</x:f>
        <x:v>26.666666666666668</x:v>
      </x:c>
    </x:row>
    <x:row r="1788" ht="21" customHeight="1">
      <x:c r="A1788" s="10" t="n">
        <x:v>2674</x:v>
      </x:c>
      <x:c r="B1788" s="2" t="str">
        <x:v>8941a4963f2a8dd5d604</x:v>
      </x:c>
      <x:c r="C1788" s="2" t="str">
        <x:v>Tp Hồ Chí Minh</x:v>
      </x:c>
      <x:c r="D1788" s="2" t="str">
        <x:v>Huyện Củ Chi</x:v>
      </x:c>
      <x:c r="E1788" s="2" t="str">
        <x:v>land</x:v>
      </x:c>
      <x:c r="F1788" s="2" t="str">
        <x:v>sale_assumed</x:v>
      </x:c>
      <x:c r="G1788" s="11" t="n">
        <x:v>510</x:v>
      </x:c>
      <x:c r="H1788" s="12" t="n">
        <x:v>2900000000</x:v>
      </x:c>
      <x:c r="I1788" s="12" t="n">
        <x:v>5686274.509803922</x:v>
      </x:c>
      <x:c r="J1788" s="2" t="str">
        <x:v>total</x:v>
      </x:c>
      <x:c r="K1788" s="2" t="str">
        <x:v>top_level_area</x:v>
      </x:c>
      <x:c r="L1788" s="2" t="str">
        <x:v>property_type_inferred_from_title;transaction_assumed_sale_from_dataset_context</x:v>
      </x:c>
      <x:c r="M1788" s="10" t="n">
        <x:v>0</x:v>
      </x:c>
      <x:c r="N1788" s="10" t="n">
        <x:v>0</x:v>
      </x:c>
      <x:c r="O1788" s="2" t="str">
        <x:v>Tp Hồ Chí Minh|land</x:v>
      </x:c>
      <x:c r="P1788" s="10" t="n">
        <x:v>1</x:v>
      </x:c>
      <x:c r="Q1788" s="13" t="n">
        <x:f>IF(H1788="","",H1788/1000000000)</x:f>
        <x:v>2.9</x:v>
      </x:c>
      <x:c r="R1788" s="13" t="n">
        <x:f>IF(I1788="","",I1788/1000000)</x:f>
        <x:v>5.686274509803922</x:v>
      </x:c>
    </x:row>
    <x:row r="1789" ht="21" customHeight="1">
      <x:c r="A1789" s="10" t="n">
        <x:v>2675</x:v>
      </x:c>
      <x:c r="B1789" s="2" t="str">
        <x:v>29b82ebc87a40ca0121e</x:v>
      </x:c>
      <x:c r="C1789" s="2" t="str">
        <x:v>Tp Hồ Chí Minh</x:v>
      </x:c>
      <x:c r="D1789" s="2" t="str">
        <x:v>Quận 8</x:v>
      </x:c>
      <x:c r="E1789" s="2" t="str">
        <x:v>house</x:v>
      </x:c>
      <x:c r="F1789" s="2" t="str">
        <x:v>sale</x:v>
      </x:c>
      <x:c r="G1789" s="11" t="n">
        <x:v>75</x:v>
      </x:c>
      <x:c r="H1789" s="12" t="n">
        <x:v>1340000000</x:v>
      </x:c>
      <x:c r="I1789" s="12" t="n">
        <x:v>17866666.666666668</x:v>
      </x:c>
      <x:c r="J1789" s="2" t="str">
        <x:v>total</x:v>
      </x:c>
      <x:c r="K1789" s="2" t="str">
        <x:v>top_level_area</x:v>
      </x:c>
      <x:c r="L1789" s="2" t="str">
        <x:v>property_type_inferred_from_title</x:v>
      </x:c>
      <x:c r="M1789" s="10" t="n">
        <x:v>0</x:v>
      </x:c>
      <x:c r="N1789" s="10" t="n">
        <x:v>0</x:v>
      </x:c>
      <x:c r="O1789" s="2" t="str">
        <x:v>Tp Hồ Chí Minh|house</x:v>
      </x:c>
      <x:c r="P1789" s="10" t="n">
        <x:v>2</x:v>
      </x:c>
      <x:c r="Q1789" s="13" t="n">
        <x:f>IF(H1789="","",H1789/1000000000)</x:f>
        <x:v>1.34</x:v>
      </x:c>
      <x:c r="R1789" s="13" t="n">
        <x:f>IF(I1789="","",I1789/1000000)</x:f>
        <x:v>17.866666666666667</x:v>
      </x:c>
    </x:row>
    <x:row r="1790" ht="21" customHeight="1">
      <x:c r="A1790" s="10" t="n">
        <x:v>2676</x:v>
      </x:c>
      <x:c r="B1790" s="2" t="str">
        <x:v>398c1ddde6ad15ded93b</x:v>
      </x:c>
      <x:c r="C1790" s="2" t="str">
        <x:v>Tp Hồ Chí Minh</x:v>
      </x:c>
      <x:c r="D1790" s="2" t="str">
        <x:v>Quận 3</x:v>
      </x:c>
      <x:c r="E1790" s="2" t="str">
        <x:v>other_unknown</x:v>
      </x:c>
      <x:c r="F1790" s="2" t="str">
        <x:v>sale</x:v>
      </x:c>
      <x:c r="G1790" s="11" t="n">
        <x:v>65</x:v>
      </x:c>
      <x:c r="H1790" s="12" t="n">
        <x:v>1450000000</x:v>
      </x:c>
      <x:c r="I1790" s="12" t="n">
        <x:v>22307692.307692308</x:v>
      </x:c>
      <x:c r="J1790" s="2" t="str">
        <x:v>total</x:v>
      </x:c>
      <x:c r="K1790" s="2" t="str">
        <x:v>top_level_area</x:v>
      </x:c>
      <x:c r="L1790" s="2" t="str">
        <x:v>property_type_inferred_from_title;unknown_property_type</x:v>
      </x:c>
      <x:c r="M1790" s="10" t="n">
        <x:v>0</x:v>
      </x:c>
      <x:c r="N1790" s="10" t="n">
        <x:v>0</x:v>
      </x:c>
      <x:c r="O1790" s="2" t="str">
        <x:v>Tp Hồ Chí Minh|other_unknown</x:v>
      </x:c>
      <x:c r="P1790" s="10" t="n">
        <x:v>2</x:v>
      </x:c>
      <x:c r="Q1790" s="13" t="n">
        <x:f>IF(H1790="","",H1790/1000000000)</x:f>
        <x:v>1.45</x:v>
      </x:c>
      <x:c r="R1790" s="13" t="n">
        <x:f>IF(I1790="","",I1790/1000000)</x:f>
        <x:v>22.307692307692307</x:v>
      </x:c>
    </x:row>
    <x:row r="1791" ht="21" customHeight="1">
      <x:c r="A1791" s="10" t="n">
        <x:v>2679</x:v>
      </x:c>
      <x:c r="B1791" s="2" t="str">
        <x:v>0193b66906ddbde819dc</x:v>
      </x:c>
      <x:c r="C1791" s="2" t="str">
        <x:v>Hà Nội</x:v>
      </x:c>
      <x:c r="D1791" s="2" t="str">
        <x:v>Quận Long Biên</x:v>
      </x:c>
      <x:c r="E1791" s="2" t="str">
        <x:v>house</x:v>
      </x:c>
      <x:c r="F1791" s="2" t="str">
        <x:v>sale_assumed</x:v>
      </x:c>
      <x:c r="G1791" s="11" t="n">
        <x:v>35</x:v>
      </x:c>
      <x:c r="H1791" s="12" t="n">
        <x:v>3000000000</x:v>
      </x:c>
      <x:c r="I1791" s="12" t="n">
        <x:v>85714285.71428572</x:v>
      </x:c>
      <x:c r="J1791" s="2" t="str">
        <x:v>total</x:v>
      </x:c>
      <x:c r="K1791" s="2" t="str">
        <x:v>top_level_area</x:v>
      </x:c>
      <x:c r="L1791" s="2" t="str">
        <x:v>property_type_inferred_from_title;transaction_assumed_sale_from_dataset_context</x:v>
      </x:c>
      <x:c r="M1791" s="10" t="n">
        <x:v>0</x:v>
      </x:c>
      <x:c r="N1791" s="10" t="n">
        <x:v>0</x:v>
      </x:c>
      <x:c r="O1791" s="2" t="str">
        <x:v>Hà Nội|house</x:v>
      </x:c>
      <x:c r="P1791" s="10" t="n">
        <x:v>2</x:v>
      </x:c>
      <x:c r="Q1791" s="13" t="n">
        <x:f>IF(H1791="","",H1791/1000000000)</x:f>
        <x:v>3</x:v>
      </x:c>
      <x:c r="R1791" s="13" t="n">
        <x:f>IF(I1791="","",I1791/1000000)</x:f>
        <x:v>85.71428571428572</x:v>
      </x:c>
    </x:row>
    <x:row r="1792" ht="21" customHeight="1">
      <x:c r="A1792" s="10" t="n">
        <x:v>2680</x:v>
      </x:c>
      <x:c r="B1792" s="2" t="str">
        <x:v>071e2e43dee8968d6dcf</x:v>
      </x:c>
      <x:c r="C1792" s="2" t="str">
        <x:v>Tp Hồ Chí Minh</x:v>
      </x:c>
      <x:c r="D1792" s="2" t="str">
        <x:v>Quận Tân Phú</x:v>
      </x:c>
      <x:c r="E1792" s="2" t="str">
        <x:v>apartment</x:v>
      </x:c>
      <x:c r="F1792" s="2" t="str">
        <x:v>sale</x:v>
      </x:c>
      <x:c r="G1792" s="11" t="n">
        <x:v>81</x:v>
      </x:c>
      <x:c r="H1792" s="12" t="n">
        <x:v>1320000000</x:v>
      </x:c>
      <x:c r="I1792" s="12" t="n">
        <x:v>16296296.296296297</x:v>
      </x:c>
      <x:c r="J1792" s="2" t="str">
        <x:v>total</x:v>
      </x:c>
      <x:c r="K1792" s="2" t="str">
        <x:v>top_level_area</x:v>
      </x:c>
      <x:c r="L1792" s="2" t="str">
        <x:v>property_type_inferred_from_title</x:v>
      </x:c>
      <x:c r="M1792" s="10" t="n">
        <x:v>0</x:v>
      </x:c>
      <x:c r="N1792" s="10" t="n">
        <x:v>0</x:v>
      </x:c>
      <x:c r="O1792" s="2" t="str">
        <x:v>Tp Hồ Chí Minh|apartment</x:v>
      </x:c>
      <x:c r="P1792" s="10" t="n">
        <x:v>2</x:v>
      </x:c>
      <x:c r="Q1792" s="13" t="n">
        <x:f>IF(H1792="","",H1792/1000000000)</x:f>
        <x:v>1.32</x:v>
      </x:c>
      <x:c r="R1792" s="13" t="n">
        <x:f>IF(I1792="","",I1792/1000000)</x:f>
        <x:v>16.296296296296298</x:v>
      </x:c>
    </x:row>
    <x:row r="1793" ht="21" customHeight="1">
      <x:c r="A1793" s="10" t="n">
        <x:v>2681</x:v>
      </x:c>
      <x:c r="B1793" s="2" t="str">
        <x:v>ee440acf8b9a7b3cc225</x:v>
      </x:c>
      <x:c r="C1793" s="2" t="str">
        <x:v>Tp Hồ Chí Minh</x:v>
      </x:c>
      <x:c r="D1793" s="2" t="str">
        <x:v>Quận 9</x:v>
      </x:c>
      <x:c r="E1793" s="2" t="str">
        <x:v>land</x:v>
      </x:c>
      <x:c r="F1793" s="2" t="str">
        <x:v>sale_assumed</x:v>
      </x:c>
      <x:c r="G1793" s="11" t="n">
        <x:v>69</x:v>
      </x:c>
      <x:c r="H1793" s="12" t="n">
        <x:v>1620000000</x:v>
      </x:c>
      <x:c r="I1793" s="12" t="n">
        <x:v>23478260.86956522</x:v>
      </x:c>
      <x:c r="J1793" s="2" t="str">
        <x:v>total</x:v>
      </x:c>
      <x:c r="K1793" s="2" t="str">
        <x:v>top_level_area</x:v>
      </x:c>
      <x:c r="L1793" s="2" t="str">
        <x:v>property_type_inferred_from_title;transaction_assumed_sale_from_dataset_context</x:v>
      </x:c>
      <x:c r="M1793" s="10" t="n">
        <x:v>0</x:v>
      </x:c>
      <x:c r="N1793" s="10" t="n">
        <x:v>0</x:v>
      </x:c>
      <x:c r="O1793" s="2" t="str">
        <x:v>Tp Hồ Chí Minh|land</x:v>
      </x:c>
      <x:c r="P1793" s="10" t="n">
        <x:v>2</x:v>
      </x:c>
      <x:c r="Q1793" s="13" t="n">
        <x:f>IF(H1793="","",H1793/1000000000)</x:f>
        <x:v>1.62</x:v>
      </x:c>
      <x:c r="R1793" s="13" t="n">
        <x:f>IF(I1793="","",I1793/1000000)</x:f>
        <x:v>23.47826086956522</x:v>
      </x:c>
    </x:row>
    <x:row r="1794" ht="21" customHeight="1">
      <x:c r="A1794" s="10" t="n">
        <x:v>2682</x:v>
      </x:c>
      <x:c r="B1794" s="2" t="str">
        <x:v>e615d00c2d1a6892d932</x:v>
      </x:c>
      <x:c r="C1794" s="2" t="str">
        <x:v>Bình Dương</x:v>
      </x:c>
      <x:c r="D1794" s="2" t="str">
        <x:v>Thị xã Thuận An</x:v>
      </x:c>
      <x:c r="E1794" s="2" t="str">
        <x:v>apartment</x:v>
      </x:c>
      <x:c r="F1794" s="2" t="str">
        <x:v>sale_assumed</x:v>
      </x:c>
      <x:c r="G1794" s="11" t="n">
        <x:v>71</x:v>
      </x:c>
      <x:c r="H1794" s="12" t="n">
        <x:v>1250000000</x:v>
      </x:c>
      <x:c r="I1794" s="12" t="n">
        <x:v>17605633.8028169</x:v>
      </x:c>
      <x:c r="J1794" s="2" t="str">
        <x:v>total</x:v>
      </x:c>
      <x:c r="K1794" s="2" t="str">
        <x:v>top_level_area</x:v>
      </x:c>
      <x:c r="L1794" s="2" t="str">
        <x:v>property_type_inferred_from_title;transaction_assumed_sale_from_dataset_context</x:v>
      </x:c>
      <x:c r="M1794" s="10" t="n">
        <x:v>0</x:v>
      </x:c>
      <x:c r="N1794" s="10" t="n">
        <x:v>0</x:v>
      </x:c>
      <x:c r="O1794" s="2" t="str">
        <x:v>Bình Dương|apartment</x:v>
      </x:c>
      <x:c r="P1794" s="10" t="n">
        <x:v>2</x:v>
      </x:c>
      <x:c r="Q1794" s="13" t="n">
        <x:f>IF(H1794="","",H1794/1000000000)</x:f>
        <x:v>1.25</x:v>
      </x:c>
      <x:c r="R1794" s="13" t="n">
        <x:f>IF(I1794="","",I1794/1000000)</x:f>
        <x:v>17.6056338028169</x:v>
      </x:c>
    </x:row>
    <x:row r="1795" ht="21" customHeight="1">
      <x:c r="A1795" s="10" t="n">
        <x:v>2683</x:v>
      </x:c>
      <x:c r="B1795" s="2" t="str">
        <x:v>91003f9a2c60c4fc5239</x:v>
      </x:c>
      <x:c r="C1795" s="2" t="str">
        <x:v>Tp Hồ Chí Minh</x:v>
      </x:c>
      <x:c r="D1795" s="2" t="str">
        <x:v>Quận 7</x:v>
      </x:c>
      <x:c r="E1795" s="2" t="str">
        <x:v>house</x:v>
      </x:c>
      <x:c r="F1795" s="2" t="str">
        <x:v>sale</x:v>
      </x:c>
      <x:c r="G1795" s="11" t="n">
        <x:v>70</x:v>
      </x:c>
      <x:c r="H1795" s="12" t="n">
        <x:v>1200000000</x:v>
      </x:c>
      <x:c r="I1795" s="12" t="n">
        <x:v>17142857.14285714</x:v>
      </x:c>
      <x:c r="J1795" s="2" t="str">
        <x:v>total</x:v>
      </x:c>
      <x:c r="K1795" s="2" t="str">
        <x:v>top_level_area</x:v>
      </x:c>
      <x:c r="L1795" s="2" t="str">
        <x:v>property_type_inferred_from_title</x:v>
      </x:c>
      <x:c r="M1795" s="10" t="n">
        <x:v>0</x:v>
      </x:c>
      <x:c r="N1795" s="10" t="n">
        <x:v>0</x:v>
      </x:c>
      <x:c r="O1795" s="2" t="str">
        <x:v>Tp Hồ Chí Minh|house</x:v>
      </x:c>
      <x:c r="P1795" s="10" t="n">
        <x:v>2</x:v>
      </x:c>
      <x:c r="Q1795" s="13" t="n">
        <x:f>IF(H1795="","",H1795/1000000000)</x:f>
        <x:v>1.2</x:v>
      </x:c>
      <x:c r="R1795" s="13" t="n">
        <x:f>IF(I1795="","",I1795/1000000)</x:f>
        <x:v>17.142857142857142</x:v>
      </x:c>
    </x:row>
    <x:row r="1796" ht="21" customHeight="1">
      <x:c r="A1796" s="10" t="n">
        <x:v>2684</x:v>
      </x:c>
      <x:c r="B1796" s="2" t="str">
        <x:v>9dce40fc0b9f17d17297</x:v>
      </x:c>
      <x:c r="C1796" s="2" t="str">
        <x:v>Tp Hồ Chí Minh</x:v>
      </x:c>
      <x:c r="D1796" s="2" t="str">
        <x:v>Quận 11</x:v>
      </x:c>
      <x:c r="E1796" s="2" t="str">
        <x:v>house</x:v>
      </x:c>
      <x:c r="F1796" s="2" t="str">
        <x:v>sale_assumed</x:v>
      </x:c>
      <x:c r="G1796" s="11" t="n">
        <x:v>66</x:v>
      </x:c>
      <x:c r="H1796" s="12" t="n">
        <x:v>1230000000</x:v>
      </x:c>
      <x:c r="I1796" s="12" t="n">
        <x:v>18636363.636363637</x:v>
      </x:c>
      <x:c r="J1796" s="2" t="str">
        <x:v>total</x:v>
      </x:c>
      <x:c r="K1796" s="2" t="str">
        <x:v>top_level_area</x:v>
      </x:c>
      <x:c r="L1796" s="2" t="str">
        <x:v>property_type_inferred_from_title;transaction_assumed_sale_from_dataset_context</x:v>
      </x:c>
      <x:c r="M1796" s="10" t="n">
        <x:v>0</x:v>
      </x:c>
      <x:c r="N1796" s="10" t="n">
        <x:v>0</x:v>
      </x:c>
      <x:c r="O1796" s="2" t="str">
        <x:v>Tp Hồ Chí Minh|house</x:v>
      </x:c>
      <x:c r="P1796" s="10" t="n">
        <x:v>2</x:v>
      </x:c>
      <x:c r="Q1796" s="13" t="n">
        <x:f>IF(H1796="","",H1796/1000000000)</x:f>
        <x:v>1.23</x:v>
      </x:c>
      <x:c r="R1796" s="13" t="n">
        <x:f>IF(I1796="","",I1796/1000000)</x:f>
        <x:v>18.636363636363637</x:v>
      </x:c>
    </x:row>
    <x:row r="1797" ht="21" customHeight="1">
      <x:c r="A1797" s="10" t="n">
        <x:v>2685</x:v>
      </x:c>
      <x:c r="B1797" s="2" t="str">
        <x:v>373732da879bd9e068aa</x:v>
      </x:c>
      <x:c r="C1797" s="2" t="str">
        <x:v>Tp Hồ Chí Minh</x:v>
      </x:c>
      <x:c r="D1797" s="2" t="str">
        <x:v>Quận Tân Phú</x:v>
      </x:c>
      <x:c r="E1797" s="2" t="str">
        <x:v>house</x:v>
      </x:c>
      <x:c r="F1797" s="2" t="str">
        <x:v>sale</x:v>
      </x:c>
      <x:c r="G1797" s="11" t="n">
        <x:v>95</x:v>
      </x:c>
      <x:c r="H1797" s="12" t="n">
        <x:v>8600000000</x:v>
      </x:c>
      <x:c r="I1797" s="12" t="n">
        <x:v>90526315.78947368</x:v>
      </x:c>
      <x:c r="J1797" s="2" t="str">
        <x:v>total</x:v>
      </x:c>
      <x:c r="K1797" s="2" t="str">
        <x:v>top_level_area</x:v>
      </x:c>
      <x:c r="L1797" s="2" t="str">
        <x:v>property_type_inferred_from_title</x:v>
      </x:c>
      <x:c r="M1797" s="10" t="n">
        <x:v>0</x:v>
      </x:c>
      <x:c r="N1797" s="10" t="n">
        <x:v>0</x:v>
      </x:c>
      <x:c r="O1797" s="2" t="str">
        <x:v>Tp Hồ Chí Minh|house</x:v>
      </x:c>
      <x:c r="P1797" s="10" t="n">
        <x:v>2</x:v>
      </x:c>
      <x:c r="Q1797" s="13" t="n">
        <x:f>IF(H1797="","",H1797/1000000000)</x:f>
        <x:v>8.6</x:v>
      </x:c>
      <x:c r="R1797" s="13" t="n">
        <x:f>IF(I1797="","",I1797/1000000)</x:f>
        <x:v>90.52631578947368</x:v>
      </x:c>
    </x:row>
    <x:row r="1798" ht="21" customHeight="1">
      <x:c r="A1798" s="10" t="n">
        <x:v>2686</x:v>
      </x:c>
      <x:c r="B1798" s="2" t="str">
        <x:v>cf7c9e9070981e53834d</x:v>
      </x:c>
      <x:c r="C1798" s="2" t="str">
        <x:v>Long An</x:v>
      </x:c>
      <x:c r="D1798" s="2" t="str">
        <x:v>Huyện Bến Lức</x:v>
      </x:c>
      <x:c r="E1798" s="2" t="str">
        <x:v>land</x:v>
      </x:c>
      <x:c r="F1798" s="2" t="str">
        <x:v>sale</x:v>
      </x:c>
      <x:c r="G1798" s="11" t="n">
        <x:v>64</x:v>
      </x:c>
      <x:c r="H1798" s="12" t="n">
        <x:v>990000000</x:v>
      </x:c>
      <x:c r="I1798" s="12" t="n">
        <x:v>15468750</x:v>
      </x:c>
      <x:c r="J1798" s="2" t="str">
        <x:v>total</x:v>
      </x:c>
      <x:c r="K1798" s="2" t="str">
        <x:v>top_level_area</x:v>
      </x:c>
      <x:c r="L1798" s="2" t="str">
        <x:v>property_type_inferred_from_title</x:v>
      </x:c>
      <x:c r="M1798" s="10" t="n">
        <x:v>0</x:v>
      </x:c>
      <x:c r="N1798" s="10" t="n">
        <x:v>0</x:v>
      </x:c>
      <x:c r="O1798" s="2" t="str">
        <x:v>Long An|land</x:v>
      </x:c>
      <x:c r="P1798" s="10" t="n">
        <x:v>2</x:v>
      </x:c>
      <x:c r="Q1798" s="13" t="n">
        <x:f>IF(H1798="","",H1798/1000000000)</x:f>
        <x:v>0.99</x:v>
      </x:c>
      <x:c r="R1798" s="13" t="n">
        <x:f>IF(I1798="","",I1798/1000000)</x:f>
        <x:v>15.46875</x:v>
      </x:c>
    </x:row>
    <x:row r="1799" ht="21" customHeight="1">
      <x:c r="A1799" s="10" t="n">
        <x:v>2687</x:v>
      </x:c>
      <x:c r="B1799" s="2" t="str">
        <x:v>da86d0bbc2ecdfb6918a</x:v>
      </x:c>
      <x:c r="C1799" s="2" t="str">
        <x:v>Hà Nội</x:v>
      </x:c>
      <x:c r="D1799" s="2" t="str">
        <x:v>Quận Hai Bà Trưng</x:v>
      </x:c>
      <x:c r="E1799" s="2" t="str">
        <x:v>house</x:v>
      </x:c>
      <x:c r="F1799" s="2" t="str">
        <x:v>sale_assumed</x:v>
      </x:c>
      <x:c r="G1799" s="11" t="n">
        <x:v>55</x:v>
      </x:c>
      <x:c r="H1799" s="12" t="n">
        <x:v>7000000000</x:v>
      </x:c>
      <x:c r="I1799" s="12" t="n">
        <x:v>127272727.27272727</x:v>
      </x:c>
      <x:c r="J1799" s="2" t="str">
        <x:v>total</x:v>
      </x:c>
      <x:c r="K1799" s="2" t="str">
        <x:v>top_level_area</x:v>
      </x:c>
      <x:c r="L1799" s="2" t="str">
        <x:v>property_type_inferred_from_title;transaction_assumed_sale_from_dataset_context</x:v>
      </x:c>
      <x:c r="M1799" s="10" t="n">
        <x:v>0</x:v>
      </x:c>
      <x:c r="N1799" s="10" t="n">
        <x:v>0</x:v>
      </x:c>
      <x:c r="O1799" s="2" t="str">
        <x:v>Hà Nội|house</x:v>
      </x:c>
      <x:c r="P1799" s="10" t="n">
        <x:v>2</x:v>
      </x:c>
      <x:c r="Q1799" s="13" t="n">
        <x:f>IF(H1799="","",H1799/1000000000)</x:f>
        <x:v>7</x:v>
      </x:c>
      <x:c r="R1799" s="13" t="n">
        <x:f>IF(I1799="","",I1799/1000000)</x:f>
        <x:v>127.27272727272727</x:v>
      </x:c>
    </x:row>
    <x:row r="1800" ht="21" customHeight="1">
      <x:c r="A1800" s="10" t="n">
        <x:v>2688</x:v>
      </x:c>
      <x:c r="B1800" s="2" t="str">
        <x:v>2aff10404717b8a1d3a3</x:v>
      </x:c>
      <x:c r="C1800" s="2" t="str">
        <x:v>Tp Hồ Chí Minh</x:v>
      </x:c>
      <x:c r="D1800" s="2" t="str">
        <x:v>Quận Tân Bình</x:v>
      </x:c>
      <x:c r="E1800" s="2" t="str">
        <x:v>house</x:v>
      </x:c>
      <x:c r="F1800" s="2" t="str">
        <x:v>sale</x:v>
      </x:c>
      <x:c r="G1800" s="11" t="n">
        <x:v>38</x:v>
      </x:c>
      <x:c r="H1800" s="12" t="n">
        <x:v>3300000000</x:v>
      </x:c>
      <x:c r="I1800" s="12" t="n">
        <x:v>86842105.26315789</x:v>
      </x:c>
      <x:c r="J1800" s="2" t="str">
        <x:v>total</x:v>
      </x:c>
      <x:c r="K1800" s="2" t="str">
        <x:v>top_level_area</x:v>
      </x:c>
      <x:c r="L1800" s="2" t="str">
        <x:v>property_type_inferred_from_title</x:v>
      </x:c>
      <x:c r="M1800" s="10" t="n">
        <x:v>0</x:v>
      </x:c>
      <x:c r="N1800" s="10" t="n">
        <x:v>0</x:v>
      </x:c>
      <x:c r="O1800" s="2" t="str">
        <x:v>Tp Hồ Chí Minh|house</x:v>
      </x:c>
      <x:c r="P1800" s="10" t="n">
        <x:v>2</x:v>
      </x:c>
      <x:c r="Q1800" s="13" t="n">
        <x:f>IF(H1800="","",H1800/1000000000)</x:f>
        <x:v>3.3</x:v>
      </x:c>
      <x:c r="R1800" s="13" t="n">
        <x:f>IF(I1800="","",I1800/1000000)</x:f>
        <x:v>86.84210526315789</x:v>
      </x:c>
    </x:row>
    <x:row r="1801" ht="21" customHeight="1">
      <x:c r="A1801" s="10" t="n">
        <x:v>2689</x:v>
      </x:c>
      <x:c r="B1801" s="2" t="str">
        <x:v>5d92a9375ffee871172a</x:v>
      </x:c>
      <x:c r="C1801" s="2" t="str">
        <x:v>Hà Nội</x:v>
      </x:c>
      <x:c r="D1801" s="2" t="str">
        <x:v>Quận Ba Đình</x:v>
      </x:c>
      <x:c r="E1801" s="2" t="str">
        <x:v>house</x:v>
      </x:c>
      <x:c r="F1801" s="2" t="str">
        <x:v>sale_assumed</x:v>
      </x:c>
      <x:c r="G1801" s="11" t="n">
        <x:v>43</x:v>
      </x:c>
      <x:c r="H1801" s="12" t="n">
        <x:v>3950000000</x:v>
      </x:c>
      <x:c r="I1801" s="12" t="n">
        <x:v>91860465.11627907</x:v>
      </x:c>
      <x:c r="J1801" s="2" t="str">
        <x:v>total</x:v>
      </x:c>
      <x:c r="K1801" s="2" t="str">
        <x:v>top_level_area</x:v>
      </x:c>
      <x:c r="L1801" s="2" t="str">
        <x:v>property_type_inferred_from_title;transaction_assumed_sale_from_dataset_context</x:v>
      </x:c>
      <x:c r="M1801" s="10" t="n">
        <x:v>0</x:v>
      </x:c>
      <x:c r="N1801" s="10" t="n">
        <x:v>0</x:v>
      </x:c>
      <x:c r="O1801" s="2" t="str">
        <x:v>Hà Nội|house</x:v>
      </x:c>
      <x:c r="P1801" s="10" t="n">
        <x:v>2</x:v>
      </x:c>
      <x:c r="Q1801" s="13" t="n">
        <x:f>IF(H1801="","",H1801/1000000000)</x:f>
        <x:v>3.95</x:v>
      </x:c>
      <x:c r="R1801" s="13" t="n">
        <x:f>IF(I1801="","",I1801/1000000)</x:f>
        <x:v>91.86046511627906</x:v>
      </x:c>
    </x:row>
    <x:row r="1802" ht="21" customHeight="1">
      <x:c r="A1802" s="10" t="n">
        <x:v>2690</x:v>
      </x:c>
      <x:c r="B1802" s="2" t="str">
        <x:v>dbf19868185bda6d913e</x:v>
      </x:c>
      <x:c r="C1802" s="2" t="str">
        <x:v>Hà Nội</x:v>
      </x:c>
      <x:c r="D1802" s="2" t="str">
        <x:v>Quận Cầu Giấy</x:v>
      </x:c>
      <x:c r="E1802" s="2" t="str">
        <x:v>house</x:v>
      </x:c>
      <x:c r="F1802" s="2" t="str">
        <x:v>sale</x:v>
      </x:c>
      <x:c r="G1802" s="11" t="n">
        <x:v>60</x:v>
      </x:c>
      <x:c r="H1802" s="12" t="n">
        <x:v>12000000000</x:v>
      </x:c>
      <x:c r="I1802" s="12" t="n">
        <x:v>200000000</x:v>
      </x:c>
      <x:c r="J1802" s="2" t="str">
        <x:v>total</x:v>
      </x:c>
      <x:c r="K1802" s="2" t="str">
        <x:v>top_level_area</x:v>
      </x:c>
      <x:c r="L1802" s="2" t="str">
        <x:v>property_type_inferred_from_title</x:v>
      </x:c>
      <x:c r="M1802" s="10" t="n">
        <x:v>1</x:v>
      </x:c>
      <x:c r="N1802" s="10" t="n">
        <x:v>1</x:v>
      </x:c>
      <x:c r="O1802" s="2" t="str">
        <x:v>Hà Nội|house</x:v>
      </x:c>
      <x:c r="P1802" s="10" t="n">
        <x:v>-1</x:v>
      </x:c>
      <x:c r="Q1802" s="13" t="n">
        <x:f>IF(H1802="","",H1802/1000000000)</x:f>
        <x:v>12</x:v>
      </x:c>
      <x:c r="R1802" s="13" t="n">
        <x:f>IF(I1802="","",I1802/1000000)</x:f>
        <x:v>200</x:v>
      </x:c>
    </x:row>
    <x:row r="1803" ht="21" customHeight="1">
      <x:c r="A1803" s="10" t="n">
        <x:v>2691</x:v>
      </x:c>
      <x:c r="B1803" s="2" t="str">
        <x:v>326b39ca00565d0063cc</x:v>
      </x:c>
      <x:c r="C1803" s="2" t="str">
        <x:v>Bình Dương</x:v>
      </x:c>
      <x:c r="D1803" s="2" t="str">
        <x:v>Thị xã Bến Cát</x:v>
      </x:c>
      <x:c r="E1803" s="2" t="str">
        <x:v>house</x:v>
      </x:c>
      <x:c r="F1803" s="2" t="str">
        <x:v>sale</x:v>
      </x:c>
      <x:c r="G1803" s="11" t="n">
        <x:v>150</x:v>
      </x:c>
      <x:c r="H1803" s="12" t="n">
        <x:v>1450000000</x:v>
      </x:c>
      <x:c r="I1803" s="12" t="n">
        <x:v>9666666.666666666</x:v>
      </x:c>
      <x:c r="J1803" s="2" t="str">
        <x:v>total</x:v>
      </x:c>
      <x:c r="K1803" s="2" t="str">
        <x:v>top_level_area</x:v>
      </x:c>
      <x:c r="L1803" s="2" t="str">
        <x:v>property_type_inferred_from_title</x:v>
      </x:c>
      <x:c r="M1803" s="10" t="n">
        <x:v>0</x:v>
      </x:c>
      <x:c r="N1803" s="10" t="n">
        <x:v>0</x:v>
      </x:c>
      <x:c r="O1803" s="2" t="str">
        <x:v>Bình Dương|house</x:v>
      </x:c>
      <x:c r="P1803" s="10" t="n">
        <x:v>2</x:v>
      </x:c>
      <x:c r="Q1803" s="13" t="n">
        <x:f>IF(H1803="","",H1803/1000000000)</x:f>
        <x:v>1.45</x:v>
      </x:c>
      <x:c r="R1803" s="13" t="n">
        <x:f>IF(I1803="","",I1803/1000000)</x:f>
        <x:v>9.666666666666666</x:v>
      </x:c>
    </x:row>
    <x:row r="1804" ht="21" customHeight="1">
      <x:c r="A1804" s="10" t="n">
        <x:v>2692</x:v>
      </x:c>
      <x:c r="B1804" s="2" t="str">
        <x:v>7afa1b3e6f4cd5b8906d</x:v>
      </x:c>
      <x:c r="C1804" s="2" t="str">
        <x:v>Tp Hồ Chí Minh</x:v>
      </x:c>
      <x:c r="D1804" s="2" t="str">
        <x:v>Huyện Nhà Bè</x:v>
      </x:c>
      <x:c r="E1804" s="2" t="str">
        <x:v>house</x:v>
      </x:c>
      <x:c r="F1804" s="2" t="str">
        <x:v>sale_assumed</x:v>
      </x:c>
      <x:c r="G1804" s="11" t="n">
        <x:v>64</x:v>
      </x:c>
      <x:c r="H1804" s="12" t="n">
        <x:v>1800000000</x:v>
      </x:c>
      <x:c r="I1804" s="12" t="n">
        <x:v>28125000</x:v>
      </x:c>
      <x:c r="J1804" s="2" t="str">
        <x:v>total</x:v>
      </x:c>
      <x:c r="K1804" s="2" t="str">
        <x:v>top_level_area</x:v>
      </x:c>
      <x:c r="L1804" s="2" t="str">
        <x:v>property_type_inferred_from_title;transaction_assumed_sale_from_dataset_context</x:v>
      </x:c>
      <x:c r="M1804" s="10" t="n">
        <x:v>0</x:v>
      </x:c>
      <x:c r="N1804" s="10" t="n">
        <x:v>0</x:v>
      </x:c>
      <x:c r="O1804" s="2" t="str">
        <x:v>Tp Hồ Chí Minh|house</x:v>
      </x:c>
      <x:c r="P1804" s="10" t="n">
        <x:v>2</x:v>
      </x:c>
      <x:c r="Q1804" s="13" t="n">
        <x:f>IF(H1804="","",H1804/1000000000)</x:f>
        <x:v>1.8</x:v>
      </x:c>
      <x:c r="R1804" s="13" t="n">
        <x:f>IF(I1804="","",I1804/1000000)</x:f>
        <x:v>28.125</x:v>
      </x:c>
    </x:row>
    <x:row r="1805" ht="21" customHeight="1">
      <x:c r="A1805" s="10" t="n">
        <x:v>2693</x:v>
      </x:c>
      <x:c r="B1805" s="2" t="str">
        <x:v>1c828f6564ceed87cbb4</x:v>
      </x:c>
      <x:c r="C1805" s="2" t="str">
        <x:v>Tp Hồ Chí Minh</x:v>
      </x:c>
      <x:c r="D1805" s="2" t="str">
        <x:v>Quận 8</x:v>
      </x:c>
      <x:c r="E1805" s="2" t="str">
        <x:v>house</x:v>
      </x:c>
      <x:c r="F1805" s="2" t="str">
        <x:v>sale_assumed</x:v>
      </x:c>
      <x:c r="G1805" s="11" t="n">
        <x:v>48</x:v>
      </x:c>
      <x:c r="H1805" s="12" t="n">
        <x:v>980000000</x:v>
      </x:c>
      <x:c r="I1805" s="12" t="n">
        <x:v>20416666.666666668</x:v>
      </x:c>
      <x:c r="J1805" s="2" t="str">
        <x:v>total</x:v>
      </x:c>
      <x:c r="K1805" s="2" t="str">
        <x:v>top_level_area</x:v>
      </x:c>
      <x:c r="L1805" s="2" t="str">
        <x:v>property_type_inferred_from_title;transaction_assumed_sale_from_dataset_context</x:v>
      </x:c>
      <x:c r="M1805" s="10" t="n">
        <x:v>0</x:v>
      </x:c>
      <x:c r="N1805" s="10" t="n">
        <x:v>0</x:v>
      </x:c>
      <x:c r="O1805" s="2" t="str">
        <x:v>Tp Hồ Chí Minh|house</x:v>
      </x:c>
      <x:c r="P1805" s="10" t="n">
        <x:v>2</x:v>
      </x:c>
      <x:c r="Q1805" s="13" t="n">
        <x:f>IF(H1805="","",H1805/1000000000)</x:f>
        <x:v>0.98</x:v>
      </x:c>
      <x:c r="R1805" s="13" t="n">
        <x:f>IF(I1805="","",I1805/1000000)</x:f>
        <x:v>20.416666666666668</x:v>
      </x:c>
    </x:row>
    <x:row r="1806" ht="21" customHeight="1">
      <x:c r="A1806" s="10" t="n">
        <x:v>2694</x:v>
      </x:c>
      <x:c r="B1806" s="2" t="str">
        <x:v>7220c30cd964491cf3a9</x:v>
      </x:c>
      <x:c r="C1806" s="2" t="str">
        <x:v>Long An</x:v>
      </x:c>
      <x:c r="D1806" s="2" t="str">
        <x:v>Huyện Bến Lức</x:v>
      </x:c>
      <x:c r="E1806" s="2" t="str">
        <x:v>land</x:v>
      </x:c>
      <x:c r="F1806" s="2" t="str">
        <x:v>sale_assumed</x:v>
      </x:c>
      <x:c r="G1806" s="11" t="n">
        <x:v>1000</x:v>
      </x:c>
      <x:c r="H1806" s="12" t="n">
        <x:v>690000000</x:v>
      </x:c>
      <x:c r="I1806" s="12" t="n">
        <x:v>690000</x:v>
      </x:c>
      <x:c r="J1806" s="2" t="str">
        <x:v>total</x:v>
      </x:c>
      <x:c r="K1806" s="2" t="str">
        <x:v>top_level_area</x:v>
      </x:c>
      <x:c r="L1806" s="2" t="str">
        <x:v>dot_thousands_convention;property_type_inferred_from_title;transaction_assumed_sale_from_dataset_context</x:v>
      </x:c>
      <x:c r="M1806" s="10" t="n">
        <x:v>0</x:v>
      </x:c>
      <x:c r="N1806" s="10" t="n">
        <x:v>0</x:v>
      </x:c>
      <x:c r="O1806" s="2" t="str">
        <x:v>Long An|land</x:v>
      </x:c>
      <x:c r="P1806" s="10" t="n">
        <x:v>1</x:v>
      </x:c>
      <x:c r="Q1806" s="13" t="n">
        <x:f>IF(H1806="","",H1806/1000000000)</x:f>
        <x:v>0.69</x:v>
      </x:c>
      <x:c r="R1806" s="13" t="n">
        <x:f>IF(I1806="","",I1806/1000000)</x:f>
        <x:v>0.69</x:v>
      </x:c>
    </x:row>
    <x:row r="1807" ht="21" customHeight="1">
      <x:c r="A1807" s="10" t="n">
        <x:v>2695</x:v>
      </x:c>
      <x:c r="B1807" s="2" t="str">
        <x:v>546355eac586f7025024</x:v>
      </x:c>
      <x:c r="C1807" s="2" t="str">
        <x:v>Tp Hồ Chí Minh</x:v>
      </x:c>
      <x:c r="D1807" s="2" t="str">
        <x:v>Huyện Củ Chi</x:v>
      </x:c>
      <x:c r="E1807" s="2" t="str">
        <x:v>land</x:v>
      </x:c>
      <x:c r="F1807" s="2" t="str">
        <x:v>sale_assumed</x:v>
      </x:c>
      <x:c r="G1807" s="11" t="n">
        <x:v>199</x:v>
      </x:c>
      <x:c r="H1807" s="12" t="n">
        <x:v>420000000</x:v>
      </x:c>
      <x:c r="I1807" s="12" t="n">
        <x:v>2110552.7638190957</x:v>
      </x:c>
      <x:c r="J1807" s="2" t="str">
        <x:v>total</x:v>
      </x:c>
      <x:c r="K1807" s="2" t="str">
        <x:v>top_level_area</x:v>
      </x:c>
      <x:c r="L1807" s="2" t="str">
        <x:v>property_type_inferred_from_title;transaction_assumed_sale_from_dataset_context</x:v>
      </x:c>
      <x:c r="M1807" s="10" t="n">
        <x:v>0</x:v>
      </x:c>
      <x:c r="N1807" s="10" t="n">
        <x:v>0</x:v>
      </x:c>
      <x:c r="O1807" s="2" t="str">
        <x:v>Tp Hồ Chí Minh|land</x:v>
      </x:c>
      <x:c r="P1807" s="10" t="n">
        <x:v>1</x:v>
      </x:c>
      <x:c r="Q1807" s="13" t="n">
        <x:f>IF(H1807="","",H1807/1000000000)</x:f>
        <x:v>0.42</x:v>
      </x:c>
      <x:c r="R1807" s="13" t="n">
        <x:f>IF(I1807="","",I1807/1000000)</x:f>
        <x:v>2.1105527638190957</x:v>
      </x:c>
    </x:row>
    <x:row r="1808" ht="21" customHeight="1">
      <x:c r="A1808" s="10" t="n">
        <x:v>2696</x:v>
      </x:c>
      <x:c r="B1808" s="2" t="str">
        <x:v>7b086e85bdd165ce9b2a</x:v>
      </x:c>
      <x:c r="C1808" s="2" t="str">
        <x:v>Bình Dương</x:v>
      </x:c>
      <x:c r="D1808" s="2" t="str">
        <x:v>Thị xã Bến Cát</x:v>
      </x:c>
      <x:c r="E1808" s="2" t="str">
        <x:v>house</x:v>
      </x:c>
      <x:c r="F1808" s="2" t="str">
        <x:v>sale</x:v>
      </x:c>
      <x:c r="G1808" s="11" t="n">
        <x:v>150</x:v>
      </x:c>
      <x:c r="H1808" s="12" t="n">
        <x:v>1550000000</x:v>
      </x:c>
      <x:c r="I1808" s="12" t="n">
        <x:v>10333333.333333334</x:v>
      </x:c>
      <x:c r="J1808" s="2" t="str">
        <x:v>total</x:v>
      </x:c>
      <x:c r="K1808" s="2" t="str">
        <x:v>top_level_area</x:v>
      </x:c>
      <x:c r="L1808" s="2" t="str">
        <x:v>property_type_inferred_from_title</x:v>
      </x:c>
      <x:c r="M1808" s="10" t="n">
        <x:v>0</x:v>
      </x:c>
      <x:c r="N1808" s="10" t="n">
        <x:v>0</x:v>
      </x:c>
      <x:c r="O1808" s="2" t="str">
        <x:v>Bình Dương|house</x:v>
      </x:c>
      <x:c r="P1808" s="10" t="n">
        <x:v>2</x:v>
      </x:c>
      <x:c r="Q1808" s="13" t="n">
        <x:f>IF(H1808="","",H1808/1000000000)</x:f>
        <x:v>1.55</x:v>
      </x:c>
      <x:c r="R1808" s="13" t="n">
        <x:f>IF(I1808="","",I1808/1000000)</x:f>
        <x:v>10.333333333333334</x:v>
      </x:c>
    </x:row>
    <x:row r="1809" ht="21" customHeight="1">
      <x:c r="A1809" s="10" t="n">
        <x:v>2697</x:v>
      </x:c>
      <x:c r="B1809" s="2" t="str">
        <x:v>656297ab14cf84da3541</x:v>
      </x:c>
      <x:c r="C1809" s="2" t="str">
        <x:v>Tp Hồ Chí Minh</x:v>
      </x:c>
      <x:c r="D1809" s="2" t="str">
        <x:v>Quận 11</x:v>
      </x:c>
      <x:c r="E1809" s="2" t="str">
        <x:v>house</x:v>
      </x:c>
      <x:c r="F1809" s="2" t="str">
        <x:v>sale</x:v>
      </x:c>
      <x:c r="G1809" s="11" t="n">
        <x:v>42</x:v>
      </x:c>
      <x:c r="H1809" s="12" t="n">
        <x:v>1710000000</x:v>
      </x:c>
      <x:c r="I1809" s="12" t="n">
        <x:v>40714285.71428572</x:v>
      </x:c>
      <x:c r="J1809" s="2" t="str">
        <x:v>total</x:v>
      </x:c>
      <x:c r="K1809" s="2" t="str">
        <x:v>top_level_area</x:v>
      </x:c>
      <x:c r="L1809" s="2" t="str">
        <x:v>property_type_inferred_from_title</x:v>
      </x:c>
      <x:c r="M1809" s="10" t="n">
        <x:v>0</x:v>
      </x:c>
      <x:c r="N1809" s="10" t="n">
        <x:v>0</x:v>
      </x:c>
      <x:c r="O1809" s="2" t="str">
        <x:v>Tp Hồ Chí Minh|house</x:v>
      </x:c>
      <x:c r="P1809" s="10" t="n">
        <x:v>2</x:v>
      </x:c>
      <x:c r="Q1809" s="13" t="n">
        <x:f>IF(H1809="","",H1809/1000000000)</x:f>
        <x:v>1.71</x:v>
      </x:c>
      <x:c r="R1809" s="13" t="n">
        <x:f>IF(I1809="","",I1809/1000000)</x:f>
        <x:v>40.714285714285715</x:v>
      </x:c>
    </x:row>
    <x:row r="1810" ht="21" customHeight="1">
      <x:c r="A1810" s="10" t="n">
        <x:v>2698</x:v>
      </x:c>
      <x:c r="B1810" s="2" t="str">
        <x:v>fc897b8a7d06c857f377</x:v>
      </x:c>
      <x:c r="C1810" s="2" t="str">
        <x:v>Tp Hồ Chí Minh</x:v>
      </x:c>
      <x:c r="D1810" s="2" t="str">
        <x:v>Quận 6</x:v>
      </x:c>
      <x:c r="E1810" s="2" t="str">
        <x:v>house</x:v>
      </x:c>
      <x:c r="F1810" s="2" t="str">
        <x:v>sale</x:v>
      </x:c>
      <x:c r="G1810" s="11" t="n">
        <x:v>42</x:v>
      </x:c>
      <x:c r="H1810" s="12" t="n">
        <x:v>6500000000</x:v>
      </x:c>
      <x:c r="I1810" s="12" t="n">
        <x:v>154761904.76190478</x:v>
      </x:c>
      <x:c r="J1810" s="2" t="str">
        <x:v>total</x:v>
      </x:c>
      <x:c r="K1810" s="2" t="str">
        <x:v>top_level_area</x:v>
      </x:c>
      <x:c r="L1810" s="2" t="str">
        <x:v>property_type_inferred_from_title</x:v>
      </x:c>
      <x:c r="M1810" s="10" t="n">
        <x:v>0</x:v>
      </x:c>
      <x:c r="N1810" s="10" t="n">
        <x:v>0</x:v>
      </x:c>
      <x:c r="O1810" s="2" t="str">
        <x:v>Tp Hồ Chí Minh|house</x:v>
      </x:c>
      <x:c r="P1810" s="10" t="n">
        <x:v>2</x:v>
      </x:c>
      <x:c r="Q1810" s="13" t="n">
        <x:f>IF(H1810="","",H1810/1000000000)</x:f>
        <x:v>6.5</x:v>
      </x:c>
      <x:c r="R1810" s="13" t="n">
        <x:f>IF(I1810="","",I1810/1000000)</x:f>
        <x:v>154.7619047619048</x:v>
      </x:c>
    </x:row>
    <x:row r="1811" ht="21" customHeight="1">
      <x:c r="A1811" s="10" t="n">
        <x:v>2699</x:v>
      </x:c>
      <x:c r="B1811" s="2" t="str">
        <x:v>d454fb5b56b136d12d04</x:v>
      </x:c>
      <x:c r="C1811" s="2" t="str">
        <x:v>Đồng Nai</x:v>
      </x:c>
      <x:c r="D1811" s="2" t="str">
        <x:v>Thành phố Biên Hòa</x:v>
      </x:c>
      <x:c r="E1811" s="2" t="str">
        <x:v>house</x:v>
      </x:c>
      <x:c r="F1811" s="2" t="str">
        <x:v>sale_assumed</x:v>
      </x:c>
      <x:c r="G1811" s="11" t="n">
        <x:v>105</x:v>
      </x:c>
      <x:c r="H1811" s="12" t="n">
        <x:v>1560000000</x:v>
      </x:c>
      <x:c r="I1811" s="12" t="n">
        <x:v>14857142.857142856</x:v>
      </x:c>
      <x:c r="J1811" s="2" t="str">
        <x:v>total</x:v>
      </x:c>
      <x:c r="K1811" s="2" t="str">
        <x:v>top_level_area</x:v>
      </x:c>
      <x:c r="L1811" s="2" t="str">
        <x:v>property_type_inferred_from_title;transaction_assumed_sale_from_dataset_context</x:v>
      </x:c>
      <x:c r="M1811" s="10" t="n">
        <x:v>0</x:v>
      </x:c>
      <x:c r="N1811" s="10" t="n">
        <x:v>0</x:v>
      </x:c>
      <x:c r="O1811" s="2" t="str">
        <x:v>Đồng Nai|house</x:v>
      </x:c>
      <x:c r="P1811" s="10" t="n">
        <x:v>2</x:v>
      </x:c>
      <x:c r="Q1811" s="13" t="n">
        <x:f>IF(H1811="","",H1811/1000000000)</x:f>
        <x:v>1.56</x:v>
      </x:c>
      <x:c r="R1811" s="13" t="n">
        <x:f>IF(I1811="","",I1811/1000000)</x:f>
        <x:v>14.857142857142856</x:v>
      </x:c>
    </x:row>
    <x:row r="1812" ht="21" customHeight="1">
      <x:c r="A1812" s="10" t="n">
        <x:v>2702</x:v>
      </x:c>
      <x:c r="B1812" s="2" t="str">
        <x:v>d4ee21ab6b656cdaa51b</x:v>
      </x:c>
      <x:c r="C1812" s="2" t="str">
        <x:v>Tp Hồ Chí Minh</x:v>
      </x:c>
      <x:c r="D1812" s="2" t="str">
        <x:v>Quận Thủ Đức</x:v>
      </x:c>
      <x:c r="E1812" s="2" t="str">
        <x:v>house</x:v>
      </x:c>
      <x:c r="F1812" s="2" t="str">
        <x:v>sale_assumed</x:v>
      </x:c>
      <x:c r="G1812" s="11" t="n">
        <x:v>64</x:v>
      </x:c>
      <x:c r="H1812" s="12" t="n">
        <x:v>5200000000</x:v>
      </x:c>
      <x:c r="I1812" s="12" t="n">
        <x:v>81250000</x:v>
      </x:c>
      <x:c r="J1812" s="2" t="str">
        <x:v>total</x:v>
      </x:c>
      <x:c r="K1812" s="2" t="str">
        <x:v>top_level_area</x:v>
      </x:c>
      <x:c r="L1812" s="2" t="str">
        <x:v>property_type_inferred_from_title;transaction_assumed_sale_from_dataset_context</x:v>
      </x:c>
      <x:c r="M1812" s="10" t="n">
        <x:v>0</x:v>
      </x:c>
      <x:c r="N1812" s="10" t="n">
        <x:v>0</x:v>
      </x:c>
      <x:c r="O1812" s="2" t="str">
        <x:v>Tp Hồ Chí Minh|house</x:v>
      </x:c>
      <x:c r="P1812" s="10" t="n">
        <x:v>2</x:v>
      </x:c>
      <x:c r="Q1812" s="13" t="n">
        <x:f>IF(H1812="","",H1812/1000000000)</x:f>
        <x:v>5.2</x:v>
      </x:c>
      <x:c r="R1812" s="13" t="n">
        <x:f>IF(I1812="","",I1812/1000000)</x:f>
        <x:v>81.25</x:v>
      </x:c>
    </x:row>
    <x:row r="1813" ht="21" customHeight="1">
      <x:c r="A1813" s="10" t="n">
        <x:v>2703</x:v>
      </x:c>
      <x:c r="B1813" s="2" t="str">
        <x:v>ba46fd76ad5bcc2066df</x:v>
      </x:c>
      <x:c r="C1813" s="2" t="str">
        <x:v>Tp Hồ Chí Minh</x:v>
      </x:c>
      <x:c r="D1813" s="2" t="str">
        <x:v>Quận 11</x:v>
      </x:c>
      <x:c r="E1813" s="2" t="str">
        <x:v>house</x:v>
      </x:c>
      <x:c r="F1813" s="2" t="str">
        <x:v>sale</x:v>
      </x:c>
      <x:c r="G1813" s="11" t="n">
        <x:v>20</x:v>
      </x:c>
      <x:c r="H1813" s="12" t="n">
        <x:v>2000000000</x:v>
      </x:c>
      <x:c r="I1813" s="12" t="n">
        <x:v>100000000</x:v>
      </x:c>
      <x:c r="J1813" s="2" t="str">
        <x:v>total</x:v>
      </x:c>
      <x:c r="K1813" s="2" t="str">
        <x:v>top_level_area</x:v>
      </x:c>
      <x:c r="L1813" s="2" t="str">
        <x:v>property_type_inferred_from_title</x:v>
      </x:c>
      <x:c r="M1813" s="10" t="n">
        <x:v>0</x:v>
      </x:c>
      <x:c r="N1813" s="10" t="n">
        <x:v>0</x:v>
      </x:c>
      <x:c r="O1813" s="2" t="str">
        <x:v>Tp Hồ Chí Minh|house</x:v>
      </x:c>
      <x:c r="P1813" s="10" t="n">
        <x:v>2</x:v>
      </x:c>
      <x:c r="Q1813" s="13" t="n">
        <x:f>IF(H1813="","",H1813/1000000000)</x:f>
        <x:v>2</x:v>
      </x:c>
      <x:c r="R1813" s="13" t="n">
        <x:f>IF(I1813="","",I1813/1000000)</x:f>
        <x:v>100</x:v>
      </x:c>
    </x:row>
    <x:row r="1814" ht="21" customHeight="1">
      <x:c r="A1814" s="10" t="n">
        <x:v>2704</x:v>
      </x:c>
      <x:c r="B1814" s="2" t="str">
        <x:v>89ac5396e14ae5d38b54</x:v>
      </x:c>
      <x:c r="C1814" s="2" t="str">
        <x:v>Tp Hồ Chí Minh</x:v>
      </x:c>
      <x:c r="D1814" s="2" t="str">
        <x:v>Quận Tân Phú</x:v>
      </x:c>
      <x:c r="E1814" s="2" t="str">
        <x:v>land</x:v>
      </x:c>
      <x:c r="F1814" s="2" t="str">
        <x:v>sale_assumed</x:v>
      </x:c>
      <x:c r="G1814" s="11" t="n">
        <x:v>85</x:v>
      </x:c>
      <x:c r="H1814" s="12" t="n">
        <x:v>2720000000</x:v>
      </x:c>
      <x:c r="I1814" s="12" t="n">
        <x:v>32000000</x:v>
      </x:c>
      <x:c r="J1814" s="2" t="str">
        <x:v>total</x:v>
      </x:c>
      <x:c r="K1814" s="2" t="str">
        <x:v>top_level_area</x:v>
      </x:c>
      <x:c r="L1814" s="2" t="str">
        <x:v>property_type_inferred_from_title;transaction_assumed_sale_from_dataset_context</x:v>
      </x:c>
      <x:c r="M1814" s="10" t="n">
        <x:v>0</x:v>
      </x:c>
      <x:c r="N1814" s="10" t="n">
        <x:v>0</x:v>
      </x:c>
      <x:c r="O1814" s="2" t="str">
        <x:v>Tp Hồ Chí Minh|land</x:v>
      </x:c>
      <x:c r="P1814" s="10" t="n">
        <x:v>2</x:v>
      </x:c>
      <x:c r="Q1814" s="13" t="n">
        <x:f>IF(H1814="","",H1814/1000000000)</x:f>
        <x:v>2.72</x:v>
      </x:c>
      <x:c r="R1814" s="13" t="n">
        <x:f>IF(I1814="","",I1814/1000000)</x:f>
        <x:v>32</x:v>
      </x:c>
    </x:row>
    <x:row r="1815" ht="21" customHeight="1">
      <x:c r="A1815" s="10" t="n">
        <x:v>2705</x:v>
      </x:c>
      <x:c r="B1815" s="2" t="str">
        <x:v>246707e8f59f19634edd</x:v>
      </x:c>
      <x:c r="C1815" s="2" t="str">
        <x:v>Đà Nẵng</x:v>
      </x:c>
      <x:c r="D1815" s="2" t="str">
        <x:v>Quận Ngũ Hành Sơn</x:v>
      </x:c>
      <x:c r="E1815" s="2" t="str">
        <x:v>house</x:v>
      </x:c>
      <x:c r="F1815" s="2" t="str">
        <x:v>sale</x:v>
      </x:c>
      <x:c r="G1815" s="11" t="n">
        <x:v>110</x:v>
      </x:c>
      <x:c r="H1815" s="12" t="n">
        <x:v>2400000001</x:v>
      </x:c>
      <x:c r="I1815" s="12" t="n">
        <x:v>21818181.827272728</x:v>
      </x:c>
      <x:c r="J1815" s="2" t="str">
        <x:v>total</x:v>
      </x:c>
      <x:c r="K1815" s="2" t="str">
        <x:v>top_level_area</x:v>
      </x:c>
      <x:c r="L1815" s="2" t="str">
        <x:v>property_type_inferred_from_title</x:v>
      </x:c>
      <x:c r="M1815" s="10" t="n">
        <x:v>0</x:v>
      </x:c>
      <x:c r="N1815" s="10" t="n">
        <x:v>0</x:v>
      </x:c>
      <x:c r="O1815" s="2" t="str">
        <x:v>Đà Nẵng|house</x:v>
      </x:c>
      <x:c r="P1815" s="10" t="n">
        <x:v>2</x:v>
      </x:c>
      <x:c r="Q1815" s="13" t="n">
        <x:f>IF(H1815="","",H1815/1000000000)</x:f>
        <x:v>2.400000001</x:v>
      </x:c>
      <x:c r="R1815" s="13" t="n">
        <x:f>IF(I1815="","",I1815/1000000)</x:f>
        <x:v>21.818181827272728</x:v>
      </x:c>
    </x:row>
    <x:row r="1816" ht="21" customHeight="1">
      <x:c r="A1816" s="10" t="n">
        <x:v>2706</x:v>
      </x:c>
      <x:c r="B1816" s="2" t="str">
        <x:v>0174e835c8aff8eb5e81</x:v>
      </x:c>
      <x:c r="C1816" s="2" t="str">
        <x:v>Hà Nội</x:v>
      </x:c>
      <x:c r="D1816" s="2" t="str">
        <x:v>Quận Nam Từ Liêm</x:v>
      </x:c>
      <x:c r="E1816" s="2" t="str">
        <x:v>other_unknown</x:v>
      </x:c>
      <x:c r="F1816" s="2" t="str">
        <x:v>sale_assumed</x:v>
      </x:c>
      <x:c r="G1816" s="11" t="n">
        <x:v>31</x:v>
      </x:c>
      <x:c r="H1816" s="12" t="n">
        <x:v>3550000000</x:v>
      </x:c>
      <x:c r="I1816" s="12" t="n">
        <x:v>114516129.03225806</x:v>
      </x:c>
      <x:c r="J1816" s="2" t="str">
        <x:v>total</x:v>
      </x:c>
      <x:c r="K1816" s="2" t="str">
        <x:v>top_level_area</x:v>
      </x:c>
      <x:c r="L1816" s="2" t="str">
        <x:v>property_type_inferred_from_title;transaction_assumed_sale_from_dataset_context;unknown_property_type</x:v>
      </x:c>
      <x:c r="M1816" s="10" t="n">
        <x:v>0</x:v>
      </x:c>
      <x:c r="N1816" s="10" t="n">
        <x:v>0</x:v>
      </x:c>
      <x:c r="O1816" s="2" t="str">
        <x:v>Hà Nội|other_unknown</x:v>
      </x:c>
      <x:c r="P1816" s="10" t="n">
        <x:v>2</x:v>
      </x:c>
      <x:c r="Q1816" s="13" t="n">
        <x:f>IF(H1816="","",H1816/1000000000)</x:f>
        <x:v>3.55</x:v>
      </x:c>
      <x:c r="R1816" s="13" t="n">
        <x:f>IF(I1816="","",I1816/1000000)</x:f>
        <x:v>114.51612903225806</x:v>
      </x:c>
    </x:row>
    <x:row r="1817" ht="21" customHeight="1">
      <x:c r="A1817" s="10" t="n">
        <x:v>2707</x:v>
      </x:c>
      <x:c r="B1817" s="2" t="str">
        <x:v>ca796c28aaa00c7f3653</x:v>
      </x:c>
      <x:c r="C1817" s="2" t="str">
        <x:v>Bắc Giang</x:v>
      </x:c>
      <x:c r="D1817" s="2" t="str">
        <x:v>Thành phố Bắc Giang</x:v>
      </x:c>
      <x:c r="E1817" s="2" t="str">
        <x:v>land</x:v>
      </x:c>
      <x:c r="F1817" s="2" t="str">
        <x:v>sale_assumed</x:v>
      </x:c>
      <x:c r="G1817" s="11" t="n">
        <x:v>102</x:v>
      </x:c>
      <x:c r="H1817" s="12" t="n">
        <x:v>3320000000</x:v>
      </x:c>
      <x:c r="I1817" s="12" t="n">
        <x:v>32549019.60784314</x:v>
      </x:c>
      <x:c r="J1817" s="2" t="str">
        <x:v>total</x:v>
      </x:c>
      <x:c r="K1817" s="2" t="str">
        <x:v>top_level_area</x:v>
      </x:c>
      <x:c r="L1817" s="2" t="str">
        <x:v>property_type_inferred_from_title;transaction_assumed_sale_from_dataset_context</x:v>
      </x:c>
      <x:c r="M1817" s="10" t="n">
        <x:v>0</x:v>
      </x:c>
      <x:c r="N1817" s="10" t="n">
        <x:v>0</x:v>
      </x:c>
      <x:c r="O1817" s="2" t="str">
        <x:v>land</x:v>
      </x:c>
      <x:c r="P1817" s="10" t="n">
        <x:v>2</x:v>
      </x:c>
      <x:c r="Q1817" s="13" t="n">
        <x:f>IF(H1817="","",H1817/1000000000)</x:f>
        <x:v>3.32</x:v>
      </x:c>
      <x:c r="R1817" s="13" t="n">
        <x:f>IF(I1817="","",I1817/1000000)</x:f>
        <x:v>32.549019607843135</x:v>
      </x:c>
    </x:row>
    <x:row r="1818" ht="21" customHeight="1">
      <x:c r="A1818" s="10" t="n">
        <x:v>2708</x:v>
      </x:c>
      <x:c r="B1818" s="2" t="str">
        <x:v>9a8e8f9e03d692bdd6ef</x:v>
      </x:c>
      <x:c r="C1818" s="2" t="str">
        <x:v>Cần Thơ</x:v>
      </x:c>
      <x:c r="D1818" s="2" t="str">
        <x:v>Quận Cái Răng</x:v>
      </x:c>
      <x:c r="E1818" s="2" t="str">
        <x:v>other_unknown</x:v>
      </x:c>
      <x:c r="F1818" s="2" t="str">
        <x:v>sale_assumed</x:v>
      </x:c>
      <x:c r="G1818" s="11" t="n">
        <x:v>100</x:v>
      </x:c>
      <x:c r="H1818" s="12" t="n">
        <x:v>960000000</x:v>
      </x:c>
      <x:c r="I1818" s="12" t="n">
        <x:v>9600000</x:v>
      </x:c>
      <x:c r="J1818" s="2" t="str">
        <x:v>total</x:v>
      </x:c>
      <x:c r="K1818" s="2" t="str">
        <x:v>top_level_area</x:v>
      </x:c>
      <x:c r="L1818" s="2" t="str">
        <x:v>property_type_inferred_from_title;transaction_assumed_sale_from_dataset_context;unknown_property_type</x:v>
      </x:c>
      <x:c r="M1818" s="10" t="n">
        <x:v>0</x:v>
      </x:c>
      <x:c r="N1818" s="10" t="n">
        <x:v>0</x:v>
      </x:c>
      <x:c r="O1818" s="2" t="str">
        <x:v>other_unknown</x:v>
      </x:c>
      <x:c r="P1818" s="10" t="n">
        <x:v>2</x:v>
      </x:c>
      <x:c r="Q1818" s="13" t="n">
        <x:f>IF(H1818="","",H1818/1000000000)</x:f>
        <x:v>0.96</x:v>
      </x:c>
      <x:c r="R1818" s="13" t="n">
        <x:f>IF(I1818="","",I1818/1000000)</x:f>
        <x:v>9.6</x:v>
      </x:c>
    </x:row>
    <x:row r="1819" ht="21" customHeight="1">
      <x:c r="A1819" s="10" t="n">
        <x:v>2709</x:v>
      </x:c>
      <x:c r="B1819" s="2" t="str">
        <x:v>c4afe748a08e5ed636ab</x:v>
      </x:c>
      <x:c r="C1819" s="2" t="str">
        <x:v>Hà Nội</x:v>
      </x:c>
      <x:c r="D1819" s="2" t="str">
        <x:v>Quận Ba Đình</x:v>
      </x:c>
      <x:c r="E1819" s="2" t="str">
        <x:v>house</x:v>
      </x:c>
      <x:c r="F1819" s="2" t="str">
        <x:v>sale_assumed</x:v>
      </x:c>
      <x:c r="G1819" s="11" t="n">
        <x:v>46</x:v>
      </x:c>
      <x:c r="H1819" s="12" t="n">
        <x:v>3800000000</x:v>
      </x:c>
      <x:c r="I1819" s="12" t="n">
        <x:v>82608695.6521739</x:v>
      </x:c>
      <x:c r="J1819" s="2" t="str">
        <x:v>total</x:v>
      </x:c>
      <x:c r="K1819" s="2" t="str">
        <x:v>top_level_area</x:v>
      </x:c>
      <x:c r="L1819" s="2" t="str">
        <x:v>property_type_inferred_from_title;transaction_assumed_sale_from_dataset_context</x:v>
      </x:c>
      <x:c r="M1819" s="10" t="n">
        <x:v>0</x:v>
      </x:c>
      <x:c r="N1819" s="10" t="n">
        <x:v>0</x:v>
      </x:c>
      <x:c r="O1819" s="2" t="str">
        <x:v>Hà Nội|house</x:v>
      </x:c>
      <x:c r="P1819" s="10" t="n">
        <x:v>2</x:v>
      </x:c>
      <x:c r="Q1819" s="13" t="n">
        <x:f>IF(H1819="","",H1819/1000000000)</x:f>
        <x:v>3.8</x:v>
      </x:c>
      <x:c r="R1819" s="13" t="n">
        <x:f>IF(I1819="","",I1819/1000000)</x:f>
        <x:v>82.6086956521739</x:v>
      </x:c>
    </x:row>
    <x:row r="1820" ht="21" customHeight="1">
      <x:c r="A1820" s="10" t="n">
        <x:v>2710</x:v>
      </x:c>
      <x:c r="B1820" s="2" t="str">
        <x:v>d5054a23514ae747a1de</x:v>
      </x:c>
      <x:c r="C1820" s="2" t="str">
        <x:v>Tiền Giang</x:v>
      </x:c>
      <x:c r="D1820" s="2" t="str">
        <x:v>Thành phố Mỹ Tho</x:v>
      </x:c>
      <x:c r="E1820" s="2" t="str">
        <x:v>house</x:v>
      </x:c>
      <x:c r="F1820" s="2" t="str">
        <x:v>sale_assumed</x:v>
      </x:c>
      <x:c r="G1820" s="11" t="n">
        <x:v>100</x:v>
      </x:c>
      <x:c r="H1820" s="12" t="n">
        <x:v>3900000000</x:v>
      </x:c>
      <x:c r="I1820" s="12" t="n">
        <x:v>39000000</x:v>
      </x:c>
      <x:c r="J1820" s="2" t="str">
        <x:v>total</x:v>
      </x:c>
      <x:c r="K1820" s="2" t="str">
        <x:v>top_level_area</x:v>
      </x:c>
      <x:c r="L1820" s="2" t="str">
        <x:v>property_type_inferred_from_title;transaction_assumed_sale_from_dataset_context</x:v>
      </x:c>
      <x:c r="M1820" s="10" t="n">
        <x:v>0</x:v>
      </x:c>
      <x:c r="N1820" s="10" t="n">
        <x:v>0</x:v>
      </x:c>
      <x:c r="O1820" s="2" t="str">
        <x:v>house</x:v>
      </x:c>
      <x:c r="P1820" s="10" t="n">
        <x:v>2</x:v>
      </x:c>
      <x:c r="Q1820" s="13" t="n">
        <x:f>IF(H1820="","",H1820/1000000000)</x:f>
        <x:v>3.9</x:v>
      </x:c>
      <x:c r="R1820" s="13" t="n">
        <x:f>IF(I1820="","",I1820/1000000)</x:f>
        <x:v>39</x:v>
      </x:c>
    </x:row>
    <x:row r="1821" ht="21" customHeight="1">
      <x:c r="A1821" s="10" t="n">
        <x:v>2711</x:v>
      </x:c>
      <x:c r="B1821" s="2" t="str">
        <x:v>47e58e1d05a6a95c84d0</x:v>
      </x:c>
      <x:c r="C1821" s="2" t="str">
        <x:v>Tp Hồ Chí Minh</x:v>
      </x:c>
      <x:c r="D1821" s="2" t="str">
        <x:v>Quận Gò Vấp</x:v>
      </x:c>
      <x:c r="E1821" s="2" t="str">
        <x:v>house</x:v>
      </x:c>
      <x:c r="F1821" s="2" t="str">
        <x:v>sale</x:v>
      </x:c>
      <x:c r="G1821" s="11" t="n">
        <x:v>18</x:v>
      </x:c>
      <x:c r="H1821" s="12" t="n">
        <x:v>1850000000</x:v>
      </x:c>
      <x:c r="I1821" s="12" t="n">
        <x:v>102777777.77777778</x:v>
      </x:c>
      <x:c r="J1821" s="2" t="str">
        <x:v>total</x:v>
      </x:c>
      <x:c r="K1821" s="2" t="str">
        <x:v>top_level_area</x:v>
      </x:c>
      <x:c r="L1821" s="2" t="str">
        <x:v>property_type_inferred_from_title</x:v>
      </x:c>
      <x:c r="M1821" s="10" t="n">
        <x:v>0</x:v>
      </x:c>
      <x:c r="N1821" s="10" t="n">
        <x:v>0</x:v>
      </x:c>
      <x:c r="O1821" s="2" t="str">
        <x:v>Tp Hồ Chí Minh|house</x:v>
      </x:c>
      <x:c r="P1821" s="10" t="n">
        <x:v>2</x:v>
      </x:c>
      <x:c r="Q1821" s="13" t="n">
        <x:f>IF(H1821="","",H1821/1000000000)</x:f>
        <x:v>1.85</x:v>
      </x:c>
      <x:c r="R1821" s="13" t="n">
        <x:f>IF(I1821="","",I1821/1000000)</x:f>
        <x:v>102.77777777777777</x:v>
      </x:c>
    </x:row>
    <x:row r="1822" ht="21" customHeight="1">
      <x:c r="A1822" s="10" t="n">
        <x:v>2712</x:v>
      </x:c>
      <x:c r="B1822" s="2" t="str">
        <x:v>addd53bfd2970a18280d</x:v>
      </x:c>
      <x:c r="C1822" s="2" t="str">
        <x:v>Tp Hồ Chí Minh</x:v>
      </x:c>
      <x:c r="D1822" s="2" t="str">
        <x:v>Quận 12</x:v>
      </x:c>
      <x:c r="E1822" s="2" t="str">
        <x:v>land</x:v>
      </x:c>
      <x:c r="F1822" s="2" t="str">
        <x:v>sale_assumed</x:v>
      </x:c>
      <x:c r="G1822" s="11" t="n">
        <x:v>60</x:v>
      </x:c>
      <x:c r="H1822" s="12" t="n">
        <x:v>1050000000</x:v>
      </x:c>
      <x:c r="I1822" s="12" t="n">
        <x:v>17500000</x:v>
      </x:c>
      <x:c r="J1822" s="2" t="str">
        <x:v>total</x:v>
      </x:c>
      <x:c r="K1822" s="2" t="str">
        <x:v>top_level_area</x:v>
      </x:c>
      <x:c r="L1822" s="2" t="str">
        <x:v>property_type_inferred_from_title;transaction_assumed_sale_from_dataset_context</x:v>
      </x:c>
      <x:c r="M1822" s="10" t="n">
        <x:v>0</x:v>
      </x:c>
      <x:c r="N1822" s="10" t="n">
        <x:v>0</x:v>
      </x:c>
      <x:c r="O1822" s="2" t="str">
        <x:v>Tp Hồ Chí Minh|land</x:v>
      </x:c>
      <x:c r="P1822" s="10" t="n">
        <x:v>2</x:v>
      </x:c>
      <x:c r="Q1822" s="13" t="n">
        <x:f>IF(H1822="","",H1822/1000000000)</x:f>
        <x:v>1.05</x:v>
      </x:c>
      <x:c r="R1822" s="13" t="n">
        <x:f>IF(I1822="","",I1822/1000000)</x:f>
        <x:v>17.5</x:v>
      </x:c>
    </x:row>
    <x:row r="1823" ht="21" customHeight="1">
      <x:c r="A1823" s="10" t="n">
        <x:v>2713</x:v>
      </x:c>
      <x:c r="B1823" s="2" t="str">
        <x:v>d94ffdbfe7de1fdee3cb</x:v>
      </x:c>
      <x:c r="C1823" s="2" t="str">
        <x:v>Tp Hồ Chí Minh</x:v>
      </x:c>
      <x:c r="D1823" s="2" t="str">
        <x:v>Quận 12</x:v>
      </x:c>
      <x:c r="E1823" s="2" t="str">
        <x:v>house</x:v>
      </x:c>
      <x:c r="F1823" s="2" t="str">
        <x:v>sale_assumed</x:v>
      </x:c>
      <x:c r="G1823" s="11" t="n">
        <x:v>55</x:v>
      </x:c>
      <x:c r="H1823" s="12" t="n">
        <x:v>2100000000</x:v>
      </x:c>
      <x:c r="I1823" s="12" t="n">
        <x:v>38181818.18181818</x:v>
      </x:c>
      <x:c r="J1823" s="2" t="str">
        <x:v>total</x:v>
      </x:c>
      <x:c r="K1823" s="2" t="str">
        <x:v>top_level_area</x:v>
      </x:c>
      <x:c r="L1823" s="2" t="str">
        <x:v>property_type_inferred_from_title;transaction_assumed_sale_from_dataset_context</x:v>
      </x:c>
      <x:c r="M1823" s="10" t="n">
        <x:v>0</x:v>
      </x:c>
      <x:c r="N1823" s="10" t="n">
        <x:v>0</x:v>
      </x:c>
      <x:c r="O1823" s="2" t="str">
        <x:v>Tp Hồ Chí Minh|house</x:v>
      </x:c>
      <x:c r="P1823" s="10" t="n">
        <x:v>2</x:v>
      </x:c>
      <x:c r="Q1823" s="13" t="n">
        <x:f>IF(H1823="","",H1823/1000000000)</x:f>
        <x:v>2.1</x:v>
      </x:c>
      <x:c r="R1823" s="13" t="n">
        <x:f>IF(I1823="","",I1823/1000000)</x:f>
        <x:v>38.18181818181818</x:v>
      </x:c>
    </x:row>
    <x:row r="1824" ht="21" customHeight="1">
      <x:c r="A1824" s="10" t="n">
        <x:v>2714</x:v>
      </x:c>
      <x:c r="B1824" s="2" t="str">
        <x:v>0424d58c911eb5add7e5</x:v>
      </x:c>
      <x:c r="C1824" s="2" t="str">
        <x:v>Tp Hồ Chí Minh</x:v>
      </x:c>
      <x:c r="D1824" s="2" t="str">
        <x:v>Quận 12</x:v>
      </x:c>
      <x:c r="E1824" s="2" t="str">
        <x:v>house</x:v>
      </x:c>
      <x:c r="F1824" s="2" t="str">
        <x:v>sale</x:v>
      </x:c>
      <x:c r="G1824" s="11" t="n">
        <x:v>68</x:v>
      </x:c>
      <x:c r="H1824" s="12" t="n">
        <x:v>4700000000</x:v>
      </x:c>
      <x:c r="I1824" s="12" t="n">
        <x:v>69117647.05882353</x:v>
      </x:c>
      <x:c r="J1824" s="2" t="str">
        <x:v>total</x:v>
      </x:c>
      <x:c r="K1824" s="2" t="str">
        <x:v>top_level_area</x:v>
      </x:c>
      <x:c r="L1824" s="2" t="str">
        <x:v>property_type_inferred_from_title</x:v>
      </x:c>
      <x:c r="M1824" s="10" t="n">
        <x:v>0</x:v>
      </x:c>
      <x:c r="N1824" s="10" t="n">
        <x:v>0</x:v>
      </x:c>
      <x:c r="O1824" s="2" t="str">
        <x:v>Tp Hồ Chí Minh|house</x:v>
      </x:c>
      <x:c r="P1824" s="10" t="n">
        <x:v>2</x:v>
      </x:c>
      <x:c r="Q1824" s="13" t="n">
        <x:f>IF(H1824="","",H1824/1000000000)</x:f>
        <x:v>4.7</x:v>
      </x:c>
      <x:c r="R1824" s="13" t="n">
        <x:f>IF(I1824="","",I1824/1000000)</x:f>
        <x:v>69.11764705882352</x:v>
      </x:c>
    </x:row>
    <x:row r="1825" ht="21" customHeight="1">
      <x:c r="A1825" s="10" t="n">
        <x:v>2715</x:v>
      </x:c>
      <x:c r="B1825" s="2" t="str">
        <x:v>cb9a4398bc365197c809</x:v>
      </x:c>
      <x:c r="C1825" s="2" t="str">
        <x:v>Đắk Nông</x:v>
      </x:c>
      <x:c r="D1825" s="2" t="str">
        <x:v>Huyện Tuy Đức</x:v>
      </x:c>
      <x:c r="E1825" s="2" t="str">
        <x:v>land</x:v>
      </x:c>
      <x:c r="F1825" s="2" t="str">
        <x:v>sale</x:v>
      </x:c>
      <x:c r="G1825" s="11" t="n">
        <x:v>23000</x:v>
      </x:c>
      <x:c r="H1825" s="12" t="n">
        <x:v>1380000000</x:v>
      </x:c>
      <x:c r="I1825" s="12" t="n">
        <x:v>60000</x:v>
      </x:c>
      <x:c r="J1825" s="2" t="str">
        <x:v>total</x:v>
      </x:c>
      <x:c r="K1825" s="2" t="str">
        <x:v>top_level_area</x:v>
      </x:c>
      <x:c r="L1825" s="2" t="str">
        <x:v>dot_thousands_convention;property_type_inferred_from_title</x:v>
      </x:c>
      <x:c r="M1825" s="10" t="n">
        <x:v>0</x:v>
      </x:c>
      <x:c r="N1825" s="10" t="n">
        <x:v>0</x:v>
      </x:c>
      <x:c r="O1825" s="2" t="str">
        <x:v>land</x:v>
      </x:c>
      <x:c r="P1825" s="10" t="n">
        <x:v>1</x:v>
      </x:c>
      <x:c r="Q1825" s="13" t="n">
        <x:f>IF(H1825="","",H1825/1000000000)</x:f>
        <x:v>1.38</x:v>
      </x:c>
      <x:c r="R1825" s="13" t="n">
        <x:f>IF(I1825="","",I1825/1000000)</x:f>
        <x:v>0.06</x:v>
      </x:c>
    </x:row>
    <x:row r="1826" ht="21" customHeight="1">
      <x:c r="A1826" s="10" t="n">
        <x:v>2716</x:v>
      </x:c>
      <x:c r="B1826" s="2" t="str">
        <x:v>7615ecae17d7b7522438</x:v>
      </x:c>
      <x:c r="C1826" s="2" t="str">
        <x:v>Tp Hồ Chí Minh</x:v>
      </x:c>
      <x:c r="D1826" s="2" t="str">
        <x:v>Quận Bình Thạnh</x:v>
      </x:c>
      <x:c r="E1826" s="2" t="str">
        <x:v>house</x:v>
      </x:c>
      <x:c r="F1826" s="2" t="str">
        <x:v>sale</x:v>
      </x:c>
      <x:c r="G1826" s="11" t="n">
        <x:v>75</x:v>
      </x:c>
      <x:c r="H1826" s="12" t="n">
        <x:v>1100000000</x:v>
      </x:c>
      <x:c r="I1826" s="12" t="n">
        <x:v>14666666.666666666</x:v>
      </x:c>
      <x:c r="J1826" s="2" t="str">
        <x:v>total</x:v>
      </x:c>
      <x:c r="K1826" s="2" t="str">
        <x:v>top_level_area</x:v>
      </x:c>
      <x:c r="L1826" s="2" t="str">
        <x:v>property_type_inferred_from_title</x:v>
      </x:c>
      <x:c r="M1826" s="10" t="n">
        <x:v>0</x:v>
      </x:c>
      <x:c r="N1826" s="10" t="n">
        <x:v>0</x:v>
      </x:c>
      <x:c r="O1826" s="2" t="str">
        <x:v>Tp Hồ Chí Minh|house</x:v>
      </x:c>
      <x:c r="P1826" s="10" t="n">
        <x:v>2</x:v>
      </x:c>
      <x:c r="Q1826" s="13" t="n">
        <x:f>IF(H1826="","",H1826/1000000000)</x:f>
        <x:v>1.1</x:v>
      </x:c>
      <x:c r="R1826" s="13" t="n">
        <x:f>IF(I1826="","",I1826/1000000)</x:f>
        <x:v>14.666666666666666</x:v>
      </x:c>
    </x:row>
    <x:row r="1827" ht="21" customHeight="1">
      <x:c r="A1827" s="10" t="n">
        <x:v>2717</x:v>
      </x:c>
      <x:c r="B1827" s="2" t="str">
        <x:v>1b8c34ef76556dad67a0</x:v>
      </x:c>
      <x:c r="C1827" s="2" t="str">
        <x:v>Tp Hồ Chí Minh</x:v>
      </x:c>
      <x:c r="D1827" s="2" t="str">
        <x:v>Quận 10</x:v>
      </x:c>
      <x:c r="E1827" s="2" t="str">
        <x:v>house</x:v>
      </x:c>
      <x:c r="F1827" s="2" t="str">
        <x:v>sale</x:v>
      </x:c>
      <x:c r="G1827" s="11" t="n">
        <x:v>71</x:v>
      </x:c>
      <x:c r="H1827" s="12" t="n">
        <x:v>17000000000</x:v>
      </x:c>
      <x:c r="I1827" s="12" t="n">
        <x:v>239436619.71830985</x:v>
      </x:c>
      <x:c r="J1827" s="2" t="str">
        <x:v>total</x:v>
      </x:c>
      <x:c r="K1827" s="2" t="str">
        <x:v>top_level_area</x:v>
      </x:c>
      <x:c r="L1827" s="2" t="str">
        <x:v>property_type_inferred_from_title</x:v>
      </x:c>
      <x:c r="M1827" s="10" t="n">
        <x:v>1</x:v>
      </x:c>
      <x:c r="N1827" s="10" t="n">
        <x:v>1</x:v>
      </x:c>
      <x:c r="O1827" s="2" t="str">
        <x:v>Tp Hồ Chí Minh|house</x:v>
      </x:c>
      <x:c r="P1827" s="10" t="n">
        <x:v>-1</x:v>
      </x:c>
      <x:c r="Q1827" s="13" t="n">
        <x:f>IF(H1827="","",H1827/1000000000)</x:f>
        <x:v>17</x:v>
      </x:c>
      <x:c r="R1827" s="13" t="n">
        <x:f>IF(I1827="","",I1827/1000000)</x:f>
        <x:v>239.43661971830986</x:v>
      </x:c>
    </x:row>
    <x:row r="1828" ht="21" customHeight="1">
      <x:c r="A1828" s="10" t="n">
        <x:v>2718</x:v>
      </x:c>
      <x:c r="B1828" s="2" t="str">
        <x:v>43dfce514dfd760909bd</x:v>
      </x:c>
      <x:c r="C1828" s="2" t="str">
        <x:v>Tp Hồ Chí Minh</x:v>
      </x:c>
      <x:c r="D1828" s="2" t="str">
        <x:v>Quận Bình Thạnh</x:v>
      </x:c>
      <x:c r="E1828" s="2" t="str">
        <x:v>other_unknown</x:v>
      </x:c>
      <x:c r="F1828" s="2" t="str">
        <x:v>sale_assumed</x:v>
      </x:c>
      <x:c r="G1828" s="11" t="n">
        <x:v>197</x:v>
      </x:c>
      <x:c r="H1828" s="12" t="n">
        <x:v>50000000000</x:v>
      </x:c>
      <x:c r="I1828" s="12" t="n">
        <x:v>253807106.59898478</x:v>
      </x:c>
      <x:c r="J1828" s="2" t="str">
        <x:v>total</x:v>
      </x:c>
      <x:c r="K1828" s="2" t="str">
        <x:v>top_level_area</x:v>
      </x:c>
      <x:c r="L1828" s="2" t="str">
        <x:v>property_type_inferred_from_title;transaction_assumed_sale_from_dataset_context;unknown_property_type</x:v>
      </x:c>
      <x:c r="M1828" s="10" t="n">
        <x:v>1</x:v>
      </x:c>
      <x:c r="N1828" s="10" t="n">
        <x:v>1</x:v>
      </x:c>
      <x:c r="O1828" s="2" t="str">
        <x:v>Tp Hồ Chí Minh|other_unknown</x:v>
      </x:c>
      <x:c r="P1828" s="10" t="n">
        <x:v>-1</x:v>
      </x:c>
      <x:c r="Q1828" s="13" t="n">
        <x:f>IF(H1828="","",H1828/1000000000)</x:f>
        <x:v>50</x:v>
      </x:c>
      <x:c r="R1828" s="13" t="n">
        <x:f>IF(I1828="","",I1828/1000000)</x:f>
        <x:v>253.80710659898477</x:v>
      </x:c>
    </x:row>
    <x:row r="1829" ht="21" customHeight="1">
      <x:c r="A1829" s="10" t="n">
        <x:v>2719</x:v>
      </x:c>
      <x:c r="B1829" s="2" t="str">
        <x:v>6f60b08f7408382c5576</x:v>
      </x:c>
      <x:c r="C1829" s="2" t="str">
        <x:v>Bình Dương</x:v>
      </x:c>
      <x:c r="D1829" s="2" t="str">
        <x:v>Thị xã Tân Uyên</x:v>
      </x:c>
      <x:c r="E1829" s="2" t="str">
        <x:v>house</x:v>
      </x:c>
      <x:c r="F1829" s="2" t="str">
        <x:v>sale_assumed</x:v>
      </x:c>
      <x:c r="G1829" s="11" t="n">
        <x:v>150</x:v>
      </x:c>
      <x:c r="H1829" s="12" t="n">
        <x:v>1350000000</x:v>
      </x:c>
      <x:c r="I1829" s="12" t="n">
        <x:v>9000000</x:v>
      </x:c>
      <x:c r="J1829" s="2" t="str">
        <x:v>total</x:v>
      </x:c>
      <x:c r="K1829" s="2" t="str">
        <x:v>top_level_area</x:v>
      </x:c>
      <x:c r="L1829" s="2" t="str">
        <x:v>property_type_inferred_from_title;transaction_assumed_sale_from_dataset_context</x:v>
      </x:c>
      <x:c r="M1829" s="10" t="n">
        <x:v>0</x:v>
      </x:c>
      <x:c r="N1829" s="10" t="n">
        <x:v>0</x:v>
      </x:c>
      <x:c r="O1829" s="2" t="str">
        <x:v>Bình Dương|house</x:v>
      </x:c>
      <x:c r="P1829" s="10" t="n">
        <x:v>2</x:v>
      </x:c>
      <x:c r="Q1829" s="13" t="n">
        <x:f>IF(H1829="","",H1829/1000000000)</x:f>
        <x:v>1.35</x:v>
      </x:c>
      <x:c r="R1829" s="13" t="n">
        <x:f>IF(I1829="","",I1829/1000000)</x:f>
        <x:v>9</x:v>
      </x:c>
    </x:row>
    <x:row r="1830" ht="21" customHeight="1">
      <x:c r="A1830" s="10" t="n">
        <x:v>2720</x:v>
      </x:c>
      <x:c r="B1830" s="2" t="str">
        <x:v>cacc8aac06ef7b28cad6</x:v>
      </x:c>
      <x:c r="C1830" s="2" t="str">
        <x:v>Bình Dương</x:v>
      </x:c>
      <x:c r="D1830" s="2" t="str">
        <x:v>Thị xã Bến Cát</x:v>
      </x:c>
      <x:c r="E1830" s="2" t="str">
        <x:v>house</x:v>
      </x:c>
      <x:c r="F1830" s="2" t="str">
        <x:v>sale_assumed</x:v>
      </x:c>
      <x:c r="G1830" s="11" t="n">
        <x:v>900</x:v>
      </x:c>
      <x:c r="H1830" s="12" t="n">
        <x:v>1000000000</x:v>
      </x:c>
      <x:c r="I1830" s="12" t="n">
        <x:v>1111111.111111111</x:v>
      </x:c>
      <x:c r="J1830" s="2" t="str">
        <x:v>total</x:v>
      </x:c>
      <x:c r="K1830" s="2" t="str">
        <x:v>top_level_area</x:v>
      </x:c>
      <x:c r="L1830" s="2" t="str">
        <x:v>dot_thousands_convention;property_type_inferred_from_title;transaction_assumed_sale_from_dataset_context</x:v>
      </x:c>
      <x:c r="M1830" s="10" t="n">
        <x:v>0</x:v>
      </x:c>
      <x:c r="N1830" s="10" t="n">
        <x:v>0</x:v>
      </x:c>
      <x:c r="O1830" s="2" t="str">
        <x:v>Bình Dương|house</x:v>
      </x:c>
      <x:c r="P1830" s="10" t="n">
        <x:v>1</x:v>
      </x:c>
      <x:c r="Q1830" s="13" t="n">
        <x:f>IF(H1830="","",H1830/1000000000)</x:f>
        <x:v>1</x:v>
      </x:c>
      <x:c r="R1830" s="13" t="n">
        <x:f>IF(I1830="","",I1830/1000000)</x:f>
        <x:v>1.111111111111111</x:v>
      </x:c>
    </x:row>
    <x:row r="1831" ht="21" customHeight="1">
      <x:c r="A1831" s="10" t="n">
        <x:v>2722</x:v>
      </x:c>
      <x:c r="B1831" s="2" t="str">
        <x:v>b4d1e99e87ab6b4e6313</x:v>
      </x:c>
      <x:c r="C1831" s="2" t="str">
        <x:v>Hà Nội</x:v>
      </x:c>
      <x:c r="D1831" s="2" t="str">
        <x:v>Huyện Gia Lâm</x:v>
      </x:c>
      <x:c r="E1831" s="2" t="str">
        <x:v>other_unknown</x:v>
      </x:c>
      <x:c r="F1831" s="2" t="str">
        <x:v>sale_assumed</x:v>
      </x:c>
      <x:c r="G1831" s="11" t="n">
        <x:v>46</x:v>
      </x:c>
      <x:c r="H1831" s="12" t="n">
        <x:v>1250000000</x:v>
      </x:c>
      <x:c r="I1831" s="12" t="n">
        <x:v>27173913.04347826</x:v>
      </x:c>
      <x:c r="J1831" s="2" t="str">
        <x:v>total</x:v>
      </x:c>
      <x:c r="K1831" s="2" t="str">
        <x:v>top_level_area</x:v>
      </x:c>
      <x:c r="L1831" s="2" t="str">
        <x:v>property_type_inferred_from_title;transaction_assumed_sale_from_dataset_context;unknown_property_type</x:v>
      </x:c>
      <x:c r="M1831" s="10" t="n">
        <x:v>0</x:v>
      </x:c>
      <x:c r="N1831" s="10" t="n">
        <x:v>0</x:v>
      </x:c>
      <x:c r="O1831" s="2" t="str">
        <x:v>Hà Nội|other_unknown</x:v>
      </x:c>
      <x:c r="P1831" s="10" t="n">
        <x:v>2</x:v>
      </x:c>
      <x:c r="Q1831" s="13" t="n">
        <x:f>IF(H1831="","",H1831/1000000000)</x:f>
        <x:v>1.25</x:v>
      </x:c>
      <x:c r="R1831" s="13" t="n">
        <x:f>IF(I1831="","",I1831/1000000)</x:f>
        <x:v>27.17391304347826</x:v>
      </x:c>
    </x:row>
    <x:row r="1832" ht="21" customHeight="1">
      <x:c r="A1832" s="10" t="n">
        <x:v>2723</x:v>
      </x:c>
      <x:c r="B1832" s="2" t="str">
        <x:v>9206635cc1e478f5ff4d</x:v>
      </x:c>
      <x:c r="C1832" s="2" t="str">
        <x:v>Hà Nội</x:v>
      </x:c>
      <x:c r="D1832" s="2" t="str">
        <x:v>Quận Hoàng Mai</x:v>
      </x:c>
      <x:c r="E1832" s="2" t="str">
        <x:v>other_unknown</x:v>
      </x:c>
      <x:c r="F1832" s="2" t="str">
        <x:v>sale_assumed</x:v>
      </x:c>
      <x:c r="G1832" s="11" t="n">
        <x:v>30</x:v>
      </x:c>
      <x:c r="H1832" s="12" t="n">
        <x:v>2500000000</x:v>
      </x:c>
      <x:c r="I1832" s="12" t="n">
        <x:v>83333333.33333333</x:v>
      </x:c>
      <x:c r="J1832" s="2" t="str">
        <x:v>total</x:v>
      </x:c>
      <x:c r="K1832" s="2" t="str">
        <x:v>top_level_area</x:v>
      </x:c>
      <x:c r="L1832" s="2" t="str">
        <x:v>property_type_inferred_from_title;transaction_assumed_sale_from_dataset_context;unknown_property_type</x:v>
      </x:c>
      <x:c r="M1832" s="10" t="n">
        <x:v>0</x:v>
      </x:c>
      <x:c r="N1832" s="10" t="n">
        <x:v>0</x:v>
      </x:c>
      <x:c r="O1832" s="2" t="str">
        <x:v>Hà Nội|other_unknown</x:v>
      </x:c>
      <x:c r="P1832" s="10" t="n">
        <x:v>2</x:v>
      </x:c>
      <x:c r="Q1832" s="13" t="n">
        <x:f>IF(H1832="","",H1832/1000000000)</x:f>
        <x:v>2.5</x:v>
      </x:c>
      <x:c r="R1832" s="13" t="n">
        <x:f>IF(I1832="","",I1832/1000000)</x:f>
        <x:v>83.33333333333333</x:v>
      </x:c>
    </x:row>
    <x:row r="1833" ht="21" customHeight="1">
      <x:c r="A1833" s="10" t="n">
        <x:v>2724</x:v>
      </x:c>
      <x:c r="B1833" s="2" t="str">
        <x:v>ac006ff847fc6c81c167</x:v>
      </x:c>
      <x:c r="C1833" s="2" t="str">
        <x:v>Lâm Đồng</x:v>
      </x:c>
      <x:c r="D1833" s="2" t="str">
        <x:v>Huyện Bảo Lâm</x:v>
      </x:c>
      <x:c r="E1833" s="2" t="str">
        <x:v>land</x:v>
      </x:c>
      <x:c r="F1833" s="2" t="str">
        <x:v>sale_assumed</x:v>
      </x:c>
      <x:c r="G1833" s="11" t="n">
        <x:v>500</x:v>
      </x:c>
      <x:c r="H1833" s="12" t="n">
        <x:v>395000000</x:v>
      </x:c>
      <x:c r="I1833" s="12" t="n">
        <x:v>790000</x:v>
      </x:c>
      <x:c r="J1833" s="2" t="str">
        <x:v>total</x:v>
      </x:c>
      <x:c r="K1833" s="2" t="str">
        <x:v>top_level_price_embedded_area</x:v>
      </x:c>
      <x:c r="L1833" s="2" t="str">
        <x:v>area_recovered_from_price_text;property_type_inferred_from_title;transaction_assumed_sale_from_dataset_context</x:v>
      </x:c>
      <x:c r="M1833" s="10" t="n">
        <x:v>0</x:v>
      </x:c>
      <x:c r="N1833" s="10" t="n">
        <x:v>0</x:v>
      </x:c>
      <x:c r="O1833" s="2" t="str">
        <x:v>Lâm Đồng|land</x:v>
      </x:c>
      <x:c r="P1833" s="10" t="n">
        <x:v>1</x:v>
      </x:c>
      <x:c r="Q1833" s="13" t="n">
        <x:f>IF(H1833="","",H1833/1000000000)</x:f>
        <x:v>0.395</x:v>
      </x:c>
      <x:c r="R1833" s="13" t="n">
        <x:f>IF(I1833="","",I1833/1000000)</x:f>
        <x:v>0.79</x:v>
      </x:c>
    </x:row>
    <x:row r="1834" ht="21" customHeight="1">
      <x:c r="A1834" s="10" t="n">
        <x:v>2725</x:v>
      </x:c>
      <x:c r="B1834" s="2" t="str">
        <x:v>a66c17d58d6b45cfd85e</x:v>
      </x:c>
      <x:c r="C1834" s="2" t="str">
        <x:v>Tp Hồ Chí Minh</x:v>
      </x:c>
      <x:c r="D1834" s="2" t="str">
        <x:v>Quận Thủ Đức</x:v>
      </x:c>
      <x:c r="E1834" s="2" t="str">
        <x:v>house</x:v>
      </x:c>
      <x:c r="F1834" s="2" t="str">
        <x:v>sale</x:v>
      </x:c>
      <x:c r="G1834" s="11" t="n">
        <x:v>41</x:v>
      </x:c>
      <x:c r="H1834" s="12" t="n">
        <x:v>3150000000</x:v>
      </x:c>
      <x:c r="I1834" s="12" t="n">
        <x:v>76829268.29268293</x:v>
      </x:c>
      <x:c r="J1834" s="2" t="str">
        <x:v>total</x:v>
      </x:c>
      <x:c r="K1834" s="2" t="str">
        <x:v>top_level_area</x:v>
      </x:c>
      <x:c r="L1834" s="2" t="str">
        <x:v>property_type_inferred_from_title</x:v>
      </x:c>
      <x:c r="M1834" s="10" t="n">
        <x:v>0</x:v>
      </x:c>
      <x:c r="N1834" s="10" t="n">
        <x:v>0</x:v>
      </x:c>
      <x:c r="O1834" s="2" t="str">
        <x:v>Tp Hồ Chí Minh|house</x:v>
      </x:c>
      <x:c r="P1834" s="10" t="n">
        <x:v>2</x:v>
      </x:c>
      <x:c r="Q1834" s="13" t="n">
        <x:f>IF(H1834="","",H1834/1000000000)</x:f>
        <x:v>3.15</x:v>
      </x:c>
      <x:c r="R1834" s="13" t="n">
        <x:f>IF(I1834="","",I1834/1000000)</x:f>
        <x:v>76.82926829268293</x:v>
      </x:c>
    </x:row>
    <x:row r="1835" ht="21" customHeight="1">
      <x:c r="A1835" s="10" t="n">
        <x:v>2726</x:v>
      </x:c>
      <x:c r="B1835" s="2" t="str">
        <x:v>6d9fd8155a77621fc1da</x:v>
      </x:c>
      <x:c r="C1835" s="2" t="str">
        <x:v>Tp Hồ Chí Minh</x:v>
      </x:c>
      <x:c r="D1835" s="2" t="str">
        <x:v>Quận 2</x:v>
      </x:c>
      <x:c r="E1835" s="2" t="str">
        <x:v>other_unknown</x:v>
      </x:c>
      <x:c r="F1835" s="2" t="str">
        <x:v>sale_assumed</x:v>
      </x:c>
      <x:c r="G1835" s="11" t="n">
        <x:v>101.2</x:v>
      </x:c>
      <x:c r="H1835" s="12" t="n">
        <x:v>1600000000</x:v>
      </x:c>
      <x:c r="I1835" s="12" t="n">
        <x:v>15810276.679841897</x:v>
      </x:c>
      <x:c r="J1835" s="2" t="str">
        <x:v>total</x:v>
      </x:c>
      <x:c r="K1835" s="2" t="str">
        <x:v>top_level_area</x:v>
      </x:c>
      <x:c r="L1835" s="2" t="str">
        <x:v>property_type_inferred_from_title;transaction_assumed_sale_from_dataset_context;unknown_property_type</x:v>
      </x:c>
      <x:c r="M1835" s="10" t="n">
        <x:v>0</x:v>
      </x:c>
      <x:c r="N1835" s="10" t="n">
        <x:v>0</x:v>
      </x:c>
      <x:c r="O1835" s="2" t="str">
        <x:v>Tp Hồ Chí Minh|other_unknown</x:v>
      </x:c>
      <x:c r="P1835" s="10" t="n">
        <x:v>2</x:v>
      </x:c>
      <x:c r="Q1835" s="13" t="n">
        <x:f>IF(H1835="","",H1835/1000000000)</x:f>
        <x:v>1.6</x:v>
      </x:c>
      <x:c r="R1835" s="13" t="n">
        <x:f>IF(I1835="","",I1835/1000000)</x:f>
        <x:v>15.810276679841897</x:v>
      </x:c>
    </x:row>
    <x:row r="1836" ht="21" customHeight="1">
      <x:c r="A1836" s="10" t="n">
        <x:v>2727</x:v>
      </x:c>
      <x:c r="B1836" s="2" t="str">
        <x:v>d53ce0dd9d14dde07565</x:v>
      </x:c>
      <x:c r="C1836" s="2" t="str">
        <x:v>Tp Hồ Chí Minh</x:v>
      </x:c>
      <x:c r="D1836" s="2" t="str">
        <x:v>Quận Bình Thạnh</x:v>
      </x:c>
      <x:c r="E1836" s="2" t="str">
        <x:v>house</x:v>
      </x:c>
      <x:c r="F1836" s="2" t="str">
        <x:v>sale</x:v>
      </x:c>
      <x:c r="G1836" s="11" t="n">
        <x:v>70</x:v>
      </x:c>
      <x:c r="H1836" s="12" t="n">
        <x:v>1450000000</x:v>
      </x:c>
      <x:c r="I1836" s="12" t="n">
        <x:v>20714285.714285713</x:v>
      </x:c>
      <x:c r="J1836" s="2" t="str">
        <x:v>total</x:v>
      </x:c>
      <x:c r="K1836" s="2" t="str">
        <x:v>top_level_area</x:v>
      </x:c>
      <x:c r="L1836" s="2" t="str">
        <x:v>property_type_inferred_from_title</x:v>
      </x:c>
      <x:c r="M1836" s="10" t="n">
        <x:v>0</x:v>
      </x:c>
      <x:c r="N1836" s="10" t="n">
        <x:v>0</x:v>
      </x:c>
      <x:c r="O1836" s="2" t="str">
        <x:v>Tp Hồ Chí Minh|house</x:v>
      </x:c>
      <x:c r="P1836" s="10" t="n">
        <x:v>2</x:v>
      </x:c>
      <x:c r="Q1836" s="13" t="n">
        <x:f>IF(H1836="","",H1836/1000000000)</x:f>
        <x:v>1.45</x:v>
      </x:c>
      <x:c r="R1836" s="13" t="n">
        <x:f>IF(I1836="","",I1836/1000000)</x:f>
        <x:v>20.71428571428571</x:v>
      </x:c>
    </x:row>
    <x:row r="1837" ht="21" customHeight="1">
      <x:c r="A1837" s="10" t="n">
        <x:v>2728</x:v>
      </x:c>
      <x:c r="B1837" s="2" t="str">
        <x:v>ef93f8532de213bacc8a</x:v>
      </x:c>
      <x:c r="C1837" s="2" t="str">
        <x:v>Cần Thơ</x:v>
      </x:c>
      <x:c r="D1837" s="2" t="str">
        <x:v>Quận Bình Thuỷ</x:v>
      </x:c>
      <x:c r="E1837" s="2" t="str">
        <x:v>land</x:v>
      </x:c>
      <x:c r="F1837" s="2" t="str">
        <x:v>sale_assumed</x:v>
      </x:c>
      <x:c r="G1837" s="11" t="n">
        <x:v>80</x:v>
      </x:c>
      <x:c r="H1837" s="12" t="n">
        <x:v>665000000</x:v>
      </x:c>
      <x:c r="I1837" s="12" t="n">
        <x:v>8312500</x:v>
      </x:c>
      <x:c r="J1837" s="2" t="str">
        <x:v>total</x:v>
      </x:c>
      <x:c r="K1837" s="2" t="str">
        <x:v>top_level_area</x:v>
      </x:c>
      <x:c r="L1837" s="2" t="str">
        <x:v>property_type_inferred_from_title;transaction_assumed_sale_from_dataset_context</x:v>
      </x:c>
      <x:c r="M1837" s="10" t="n">
        <x:v>0</x:v>
      </x:c>
      <x:c r="N1837" s="10" t="n">
        <x:v>0</x:v>
      </x:c>
      <x:c r="O1837" s="2" t="str">
        <x:v>Cần Thơ|land</x:v>
      </x:c>
      <x:c r="P1837" s="10" t="n">
        <x:v>2</x:v>
      </x:c>
      <x:c r="Q1837" s="13" t="n">
        <x:f>IF(H1837="","",H1837/1000000000)</x:f>
        <x:v>0.665</x:v>
      </x:c>
      <x:c r="R1837" s="13" t="n">
        <x:f>IF(I1837="","",I1837/1000000)</x:f>
        <x:v>8.3125</x:v>
      </x:c>
    </x:row>
    <x:row r="1838" ht="21" customHeight="1">
      <x:c r="A1838" s="10" t="n">
        <x:v>2729</x:v>
      </x:c>
      <x:c r="B1838" s="2" t="str">
        <x:v>371bb2fa0075a6c8a96f</x:v>
      </x:c>
      <x:c r="C1838" s="2" t="str">
        <x:v>Tp Hồ Chí Minh</x:v>
      </x:c>
      <x:c r="D1838" s="2" t="str">
        <x:v>Quận 11</x:v>
      </x:c>
      <x:c r="E1838" s="2" t="str">
        <x:v>house</x:v>
      </x:c>
      <x:c r="F1838" s="2" t="str">
        <x:v>sale</x:v>
      </x:c>
      <x:c r="G1838" s="11" t="n">
        <x:v>70</x:v>
      </x:c>
      <x:c r="H1838" s="12" t="n">
        <x:v>990000000</x:v>
      </x:c>
      <x:c r="I1838" s="12" t="n">
        <x:v>14142857.142857144</x:v>
      </x:c>
      <x:c r="J1838" s="2" t="str">
        <x:v>total</x:v>
      </x:c>
      <x:c r="K1838" s="2" t="str">
        <x:v>top_level_area</x:v>
      </x:c>
      <x:c r="L1838" s="2" t="str">
        <x:v>property_type_inferred_from_title</x:v>
      </x:c>
      <x:c r="M1838" s="10" t="n">
        <x:v>0</x:v>
      </x:c>
      <x:c r="N1838" s="10" t="n">
        <x:v>0</x:v>
      </x:c>
      <x:c r="O1838" s="2" t="str">
        <x:v>Tp Hồ Chí Minh|house</x:v>
      </x:c>
      <x:c r="P1838" s="10" t="n">
        <x:v>2</x:v>
      </x:c>
      <x:c r="Q1838" s="13" t="n">
        <x:f>IF(H1838="","",H1838/1000000000)</x:f>
        <x:v>0.99</x:v>
      </x:c>
      <x:c r="R1838" s="13" t="n">
        <x:f>IF(I1838="","",I1838/1000000)</x:f>
        <x:v>14.142857142857144</x:v>
      </x:c>
    </x:row>
    <x:row r="1839" ht="21" customHeight="1">
      <x:c r="A1839" s="10" t="n">
        <x:v>2730</x:v>
      </x:c>
      <x:c r="B1839" s="2" t="str">
        <x:v>54450af727e3b56ddc51</x:v>
      </x:c>
      <x:c r="C1839" s="2" t="str">
        <x:v>Tp Hồ Chí Minh</x:v>
      </x:c>
      <x:c r="D1839" s="2" t="str">
        <x:v>Quận 9</x:v>
      </x:c>
      <x:c r="E1839" s="2" t="str">
        <x:v>house</x:v>
      </x:c>
      <x:c r="F1839" s="2" t="str">
        <x:v>sale</x:v>
      </x:c>
      <x:c r="G1839" s="11" t="n">
        <x:v>52</x:v>
      </x:c>
      <x:c r="H1839" s="12" t="n">
        <x:v>990000000</x:v>
      </x:c>
      <x:c r="I1839" s="12" t="n">
        <x:v>19038461.53846154</x:v>
      </x:c>
      <x:c r="J1839" s="2" t="str">
        <x:v>total</x:v>
      </x:c>
      <x:c r="K1839" s="2" t="str">
        <x:v>top_level_area</x:v>
      </x:c>
      <x:c r="L1839" s="2" t="str">
        <x:v>property_type_inferred_from_title</x:v>
      </x:c>
      <x:c r="M1839" s="10" t="n">
        <x:v>0</x:v>
      </x:c>
      <x:c r="N1839" s="10" t="n">
        <x:v>0</x:v>
      </x:c>
      <x:c r="O1839" s="2" t="str">
        <x:v>Tp Hồ Chí Minh|house</x:v>
      </x:c>
      <x:c r="P1839" s="10" t="n">
        <x:v>2</x:v>
      </x:c>
      <x:c r="Q1839" s="13" t="n">
        <x:f>IF(H1839="","",H1839/1000000000)</x:f>
        <x:v>0.99</x:v>
      </x:c>
      <x:c r="R1839" s="13" t="n">
        <x:f>IF(I1839="","",I1839/1000000)</x:f>
        <x:v>19.03846153846154</x:v>
      </x:c>
    </x:row>
    <x:row r="1840" ht="21" customHeight="1">
      <x:c r="A1840" s="10" t="n">
        <x:v>2731</x:v>
      </x:c>
      <x:c r="B1840" s="2" t="str">
        <x:v>a4bd5b8fe0763eee9d75</x:v>
      </x:c>
      <x:c r="C1840" s="2" t="str">
        <x:v>Tp Hồ Chí Minh</x:v>
      </x:c>
      <x:c r="D1840" s="2" t="str">
        <x:v>Quận Bình Thạnh</x:v>
      </x:c>
      <x:c r="E1840" s="2" t="str">
        <x:v>house</x:v>
      </x:c>
      <x:c r="F1840" s="2" t="str">
        <x:v>sale</x:v>
      </x:c>
      <x:c r="G1840" s="11" t="n">
        <x:v>71</x:v>
      </x:c>
      <x:c r="H1840" s="12" t="n">
        <x:v>1350000000</x:v>
      </x:c>
      <x:c r="I1840" s="12" t="n">
        <x:v>19014084.507042255</x:v>
      </x:c>
      <x:c r="J1840" s="2" t="str">
        <x:v>total</x:v>
      </x:c>
      <x:c r="K1840" s="2" t="str">
        <x:v>top_level_area</x:v>
      </x:c>
      <x:c r="L1840" s="2" t="str">
        <x:v>property_type_inferred_from_title</x:v>
      </x:c>
      <x:c r="M1840" s="10" t="n">
        <x:v>0</x:v>
      </x:c>
      <x:c r="N1840" s="10" t="n">
        <x:v>0</x:v>
      </x:c>
      <x:c r="O1840" s="2" t="str">
        <x:v>Tp Hồ Chí Minh|house</x:v>
      </x:c>
      <x:c r="P1840" s="10" t="n">
        <x:v>2</x:v>
      </x:c>
      <x:c r="Q1840" s="13" t="n">
        <x:f>IF(H1840="","",H1840/1000000000)</x:f>
        <x:v>1.35</x:v>
      </x:c>
      <x:c r="R1840" s="13" t="n">
        <x:f>IF(I1840="","",I1840/1000000)</x:f>
        <x:v>19.014084507042256</x:v>
      </x:c>
    </x:row>
    <x:row r="1841" ht="21" customHeight="1">
      <x:c r="A1841" s="10" t="n">
        <x:v>2732</x:v>
      </x:c>
      <x:c r="B1841" s="2" t="str">
        <x:v>8a3e323edbc7f6e2e867</x:v>
      </x:c>
      <x:c r="C1841" s="2" t="str">
        <x:v>Tp Hồ Chí Minh</x:v>
      </x:c>
      <x:c r="D1841" s="2" t="str">
        <x:v>Quận Gò Vấp</x:v>
      </x:c>
      <x:c r="E1841" s="2" t="str">
        <x:v>house</x:v>
      </x:c>
      <x:c r="F1841" s="2" t="str">
        <x:v>sale</x:v>
      </x:c>
      <x:c r="G1841" s="11" t="n">
        <x:v>80</x:v>
      </x:c>
      <x:c r="H1841" s="12" t="n">
        <x:v>1500000000</x:v>
      </x:c>
      <x:c r="I1841" s="12" t="n">
        <x:v>18750000</x:v>
      </x:c>
      <x:c r="J1841" s="2" t="str">
        <x:v>total</x:v>
      </x:c>
      <x:c r="K1841" s="2" t="str">
        <x:v>top_level_area</x:v>
      </x:c>
      <x:c r="L1841" s="2" t="str">
        <x:v>property_type_inferred_from_title</x:v>
      </x:c>
      <x:c r="M1841" s="10" t="n">
        <x:v>0</x:v>
      </x:c>
      <x:c r="N1841" s="10" t="n">
        <x:v>0</x:v>
      </x:c>
      <x:c r="O1841" s="2" t="str">
        <x:v>Tp Hồ Chí Minh|house</x:v>
      </x:c>
      <x:c r="P1841" s="10" t="n">
        <x:v>2</x:v>
      </x:c>
      <x:c r="Q1841" s="13" t="n">
        <x:f>IF(H1841="","",H1841/1000000000)</x:f>
        <x:v>1.5</x:v>
      </x:c>
      <x:c r="R1841" s="13" t="n">
        <x:f>IF(I1841="","",I1841/1000000)</x:f>
        <x:v>18.75</x:v>
      </x:c>
    </x:row>
    <x:row r="1842" ht="21" customHeight="1">
      <x:c r="A1842" s="10" t="n">
        <x:v>2733</x:v>
      </x:c>
      <x:c r="B1842" s="2" t="str">
        <x:v>b3eb66263156942cd83c</x:v>
      </x:c>
      <x:c r="C1842" s="2" t="str">
        <x:v>Tp Hồ Chí Minh</x:v>
      </x:c>
      <x:c r="D1842" s="2" t="str">
        <x:v>Quận 9</x:v>
      </x:c>
      <x:c r="E1842" s="2" t="str">
        <x:v>land</x:v>
      </x:c>
      <x:c r="F1842" s="2" t="str">
        <x:v>sale_assumed</x:v>
      </x:c>
      <x:c r="G1842" s="11" t="n">
        <x:v>51</x:v>
      </x:c>
      <x:c r="H1842" s="12" t="n">
        <x:v>5000000000</x:v>
      </x:c>
      <x:c r="I1842" s="12" t="n">
        <x:v>98039215.68627451</x:v>
      </x:c>
      <x:c r="J1842" s="2" t="str">
        <x:v>total</x:v>
      </x:c>
      <x:c r="K1842" s="2" t="str">
        <x:v>top_level_area</x:v>
      </x:c>
      <x:c r="L1842" s="2" t="str">
        <x:v>property_type_inferred_from_title;transaction_assumed_sale_from_dataset_context</x:v>
      </x:c>
      <x:c r="M1842" s="10" t="n">
        <x:v>0</x:v>
      </x:c>
      <x:c r="N1842" s="10" t="n">
        <x:v>0</x:v>
      </x:c>
      <x:c r="O1842" s="2" t="str">
        <x:v>Tp Hồ Chí Minh|land</x:v>
      </x:c>
      <x:c r="P1842" s="10" t="n">
        <x:v>2</x:v>
      </x:c>
      <x:c r="Q1842" s="13" t="n">
        <x:f>IF(H1842="","",H1842/1000000000)</x:f>
        <x:v>5</x:v>
      </x:c>
      <x:c r="R1842" s="13" t="n">
        <x:f>IF(I1842="","",I1842/1000000)</x:f>
        <x:v>98.03921568627452</x:v>
      </x:c>
    </x:row>
    <x:row r="1843" ht="21" customHeight="1">
      <x:c r="A1843" s="10" t="n">
        <x:v>2734</x:v>
      </x:c>
      <x:c r="B1843" s="2" t="str">
        <x:v>ee76259e6c3deee3531a</x:v>
      </x:c>
      <x:c r="C1843" s="2" t="str">
        <x:v>Tp Hồ Chí Minh</x:v>
      </x:c>
      <x:c r="D1843" s="2" t="str">
        <x:v>Quận 1</x:v>
      </x:c>
      <x:c r="E1843" s="2" t="str">
        <x:v>apartment</x:v>
      </x:c>
      <x:c r="F1843" s="2" t="str">
        <x:v>sale</x:v>
      </x:c>
      <x:c r="G1843" s="11" t="n">
        <x:v>51</x:v>
      </x:c>
      <x:c r="H1843" s="12" t="n">
        <x:v>3800000000</x:v>
      </x:c>
      <x:c r="I1843" s="12" t="n">
        <x:v>74509803.92156863</x:v>
      </x:c>
      <x:c r="J1843" s="2" t="str">
        <x:v>total</x:v>
      </x:c>
      <x:c r="K1843" s="2" t="str">
        <x:v>top_level_area</x:v>
      </x:c>
      <x:c r="L1843" s="2" t="str">
        <x:v>property_type_inferred_from_title</x:v>
      </x:c>
      <x:c r="M1843" s="10" t="n">
        <x:v>0</x:v>
      </x:c>
      <x:c r="N1843" s="10" t="n">
        <x:v>1</x:v>
      </x:c>
      <x:c r="O1843" s="2" t="str">
        <x:v>Tp Hồ Chí Minh|apartment</x:v>
      </x:c>
      <x:c r="P1843" s="10" t="n">
        <x:v>-1</x:v>
      </x:c>
      <x:c r="Q1843" s="13" t="n">
        <x:f>IF(H1843="","",H1843/1000000000)</x:f>
        <x:v>3.8</x:v>
      </x:c>
      <x:c r="R1843" s="13" t="n">
        <x:f>IF(I1843="","",I1843/1000000)</x:f>
        <x:v>74.50980392156863</x:v>
      </x:c>
    </x:row>
    <x:row r="1844" ht="21" customHeight="1">
      <x:c r="A1844" s="10" t="n">
        <x:v>2735</x:v>
      </x:c>
      <x:c r="B1844" s="2" t="str">
        <x:v>d78f2cf403757045bb15</x:v>
      </x:c>
      <x:c r="C1844" s="2" t="str">
        <x:v>Bà Rịa - Vũng Tàu</x:v>
      </x:c>
      <x:c r="D1844" s="2" t="str">
        <x:v>Huyện Đất Đỏ</x:v>
      </x:c>
      <x:c r="E1844" s="2" t="str">
        <x:v>other_unknown</x:v>
      </x:c>
      <x:c r="F1844" s="2" t="str">
        <x:v>sale</x:v>
      </x:c>
      <x:c r="G1844" s="11" t="n">
        <x:v>637</x:v>
      </x:c>
      <x:c r="H1844" s="12" t="n">
        <x:v>1680000000</x:v>
      </x:c>
      <x:c r="I1844" s="12" t="n">
        <x:v>2637362.6373626376</x:v>
      </x:c>
      <x:c r="J1844" s="2" t="str">
        <x:v>total</x:v>
      </x:c>
      <x:c r="K1844" s="2" t="str">
        <x:v>top_level_area</x:v>
      </x:c>
      <x:c r="L1844" s="2" t="str">
        <x:v>property_type_inferred_from_title;unknown_property_type</x:v>
      </x:c>
      <x:c r="M1844" s="10" t="n">
        <x:v>0</x:v>
      </x:c>
      <x:c r="N1844" s="10" t="n">
        <x:v>0</x:v>
      </x:c>
      <x:c r="O1844" s="2" t="str">
        <x:v>other_unknown</x:v>
      </x:c>
      <x:c r="P1844" s="10" t="n">
        <x:v>1</x:v>
      </x:c>
      <x:c r="Q1844" s="13" t="n">
        <x:f>IF(H1844="","",H1844/1000000000)</x:f>
        <x:v>1.68</x:v>
      </x:c>
      <x:c r="R1844" s="13" t="n">
        <x:f>IF(I1844="","",I1844/1000000)</x:f>
        <x:v>2.6373626373626378</x:v>
      </x:c>
    </x:row>
    <x:row r="1845" ht="21" customHeight="1">
      <x:c r="A1845" s="10" t="n">
        <x:v>2736</x:v>
      </x:c>
      <x:c r="B1845" s="2" t="str">
        <x:v>b0e560482a1620c24f52</x:v>
      </x:c>
      <x:c r="C1845" s="2" t="str">
        <x:v>Tiền Giang</x:v>
      </x:c>
      <x:c r="D1845" s="2" t="str">
        <x:v>Thành phố Mỹ Tho</x:v>
      </x:c>
      <x:c r="E1845" s="2" t="str">
        <x:v>land</x:v>
      </x:c>
      <x:c r="F1845" s="2" t="str">
        <x:v>sale_assumed</x:v>
      </x:c>
      <x:c r="G1845" s="11" t="n">
        <x:v>140</x:v>
      </x:c>
      <x:c r="H1845" s="12" t="n">
        <x:v>1100000000</x:v>
      </x:c>
      <x:c r="I1845" s="12" t="n">
        <x:v>7857142.857142857</x:v>
      </x:c>
      <x:c r="J1845" s="2" t="str">
        <x:v>total</x:v>
      </x:c>
      <x:c r="K1845" s="2" t="str">
        <x:v>top_level_area</x:v>
      </x:c>
      <x:c r="L1845" s="2" t="str">
        <x:v>property_type_inferred_from_title;transaction_assumed_sale_from_dataset_context</x:v>
      </x:c>
      <x:c r="M1845" s="10" t="n">
        <x:v>0</x:v>
      </x:c>
      <x:c r="N1845" s="10" t="n">
        <x:v>0</x:v>
      </x:c>
      <x:c r="O1845" s="2" t="str">
        <x:v>land</x:v>
      </x:c>
      <x:c r="P1845" s="10" t="n">
        <x:v>2</x:v>
      </x:c>
      <x:c r="Q1845" s="13" t="n">
        <x:f>IF(H1845="","",H1845/1000000000)</x:f>
        <x:v>1.1</x:v>
      </x:c>
      <x:c r="R1845" s="13" t="n">
        <x:f>IF(I1845="","",I1845/1000000)</x:f>
        <x:v>7.857142857142858</x:v>
      </x:c>
    </x:row>
    <x:row r="1846" ht="21" customHeight="1">
      <x:c r="A1846" s="10" t="n">
        <x:v>2737</x:v>
      </x:c>
      <x:c r="B1846" s="2" t="str">
        <x:v>5b2a12a239fa673d8221</x:v>
      </x:c>
      <x:c r="C1846" s="2" t="str">
        <x:v>Bến Tre</x:v>
      </x:c>
      <x:c r="D1846" s="2" t="str">
        <x:v>Thành phố Bến Tre</x:v>
      </x:c>
      <x:c r="E1846" s="2" t="str">
        <x:v>house</x:v>
      </x:c>
      <x:c r="F1846" s="2" t="str">
        <x:v>sale_assumed</x:v>
      </x:c>
      <x:c r="G1846" s="11" t="n">
        <x:v>71.2</x:v>
      </x:c>
      <x:c r="H1846" s="12" t="n">
        <x:v>2300000000</x:v>
      </x:c>
      <x:c r="I1846" s="12" t="n">
        <x:v>32303370.786516853</x:v>
      </x:c>
      <x:c r="J1846" s="2" t="str">
        <x:v>total</x:v>
      </x:c>
      <x:c r="K1846" s="2" t="str">
        <x:v>top_level_area</x:v>
      </x:c>
      <x:c r="L1846" s="2" t="str">
        <x:v>property_type_inferred_from_title;transaction_assumed_sale_from_dataset_context</x:v>
      </x:c>
      <x:c r="M1846" s="10" t="n">
        <x:v>0</x:v>
      </x:c>
      <x:c r="N1846" s="10" t="n">
        <x:v>0</x:v>
      </x:c>
      <x:c r="O1846" s="2" t="str">
        <x:v>house</x:v>
      </x:c>
      <x:c r="P1846" s="10" t="n">
        <x:v>2</x:v>
      </x:c>
      <x:c r="Q1846" s="13" t="n">
        <x:f>IF(H1846="","",H1846/1000000000)</x:f>
        <x:v>2.3</x:v>
      </x:c>
      <x:c r="R1846" s="13" t="n">
        <x:f>IF(I1846="","",I1846/1000000)</x:f>
        <x:v>32.30337078651685</x:v>
      </x:c>
    </x:row>
    <x:row r="1847" ht="21" customHeight="1">
      <x:c r="A1847" s="10" t="n">
        <x:v>2738</x:v>
      </x:c>
      <x:c r="B1847" s="2" t="str">
        <x:v>9873f88e045bc6e81882</x:v>
      </x:c>
      <x:c r="C1847" s="2" t="str">
        <x:v>Hậu Giang</x:v>
      </x:c>
      <x:c r="D1847" s="2" t="str">
        <x:v>Huyện Châu Thành A</x:v>
      </x:c>
      <x:c r="E1847" s="2" t="str">
        <x:v>land</x:v>
      </x:c>
      <x:c r="F1847" s="2" t="str">
        <x:v>sale_assumed</x:v>
      </x:c>
      <x:c r="G1847" s="11" t="n">
        <x:v>85</x:v>
      </x:c>
      <x:c r="H1847" s="12" t="n">
        <x:v>2500000000</x:v>
      </x:c>
      <x:c r="I1847" s="12" t="n">
        <x:v>29411764.70588235</x:v>
      </x:c>
      <x:c r="J1847" s="2" t="str">
        <x:v>total</x:v>
      </x:c>
      <x:c r="K1847" s="2" t="str">
        <x:v>top_level_area</x:v>
      </x:c>
      <x:c r="L1847" s="2" t="str">
        <x:v>property_type_inferred_from_title;transaction_assumed_sale_from_dataset_context</x:v>
      </x:c>
      <x:c r="M1847" s="10" t="n">
        <x:v>0</x:v>
      </x:c>
      <x:c r="N1847" s="10" t="n">
        <x:v>0</x:v>
      </x:c>
      <x:c r="O1847" s="2" t="str">
        <x:v>land</x:v>
      </x:c>
      <x:c r="P1847" s="10" t="n">
        <x:v>2</x:v>
      </x:c>
      <x:c r="Q1847" s="13" t="n">
        <x:f>IF(H1847="","",H1847/1000000000)</x:f>
        <x:v>2.5</x:v>
      </x:c>
      <x:c r="R1847" s="13" t="n">
        <x:f>IF(I1847="","",I1847/1000000)</x:f>
        <x:v>29.41176470588235</x:v>
      </x:c>
    </x:row>
    <x:row r="1848" ht="21" customHeight="1">
      <x:c r="A1848" s="10" t="n">
        <x:v>2739</x:v>
      </x:c>
      <x:c r="B1848" s="2" t="str">
        <x:v>ee85774662b1cf4b0b63</x:v>
      </x:c>
      <x:c r="C1848" s="2" t="str">
        <x:v>Tp Hồ Chí Minh</x:v>
      </x:c>
      <x:c r="D1848" s="2" t="str">
        <x:v>Quận Bình Thạnh</x:v>
      </x:c>
      <x:c r="E1848" s="2" t="str">
        <x:v>house</x:v>
      </x:c>
      <x:c r="F1848" s="2" t="str">
        <x:v>sale_assumed</x:v>
      </x:c>
      <x:c r="G1848" s="11" t="n">
        <x:v>68</x:v>
      </x:c>
      <x:c r="H1848" s="12" t="n">
        <x:v>950000000</x:v>
      </x:c>
      <x:c r="I1848" s="12" t="n">
        <x:v>13970588.235294119</x:v>
      </x:c>
      <x:c r="J1848" s="2" t="str">
        <x:v>total</x:v>
      </x:c>
      <x:c r="K1848" s="2" t="str">
        <x:v>top_level_area</x:v>
      </x:c>
      <x:c r="L1848" s="2" t="str">
        <x:v>property_type_inferred_from_title;transaction_assumed_sale_from_dataset_context</x:v>
      </x:c>
      <x:c r="M1848" s="10" t="n">
        <x:v>0</x:v>
      </x:c>
      <x:c r="N1848" s="10" t="n">
        <x:v>0</x:v>
      </x:c>
      <x:c r="O1848" s="2" t="str">
        <x:v>Tp Hồ Chí Minh|house</x:v>
      </x:c>
      <x:c r="P1848" s="10" t="n">
        <x:v>2</x:v>
      </x:c>
      <x:c r="Q1848" s="13" t="n">
        <x:f>IF(H1848="","",H1848/1000000000)</x:f>
        <x:v>0.95</x:v>
      </x:c>
      <x:c r="R1848" s="13" t="n">
        <x:f>IF(I1848="","",I1848/1000000)</x:f>
        <x:v>13.970588235294118</x:v>
      </x:c>
    </x:row>
    <x:row r="1849" ht="21" customHeight="1">
      <x:c r="A1849" s="10" t="n">
        <x:v>2740</x:v>
      </x:c>
      <x:c r="B1849" s="2" t="str">
        <x:v>f9086ea1a8a4c2cb7add</x:v>
      </x:c>
      <x:c r="C1849" s="2" t="str">
        <x:v>Tp Hồ Chí Minh</x:v>
      </x:c>
      <x:c r="D1849" s="2" t="str">
        <x:v>Quận 12</x:v>
      </x:c>
      <x:c r="E1849" s="2" t="str">
        <x:v>house</x:v>
      </x:c>
      <x:c r="F1849" s="2" t="str">
        <x:v>sale_assumed</x:v>
      </x:c>
      <x:c r="G1849" s="11" t="n">
        <x:v>50</x:v>
      </x:c>
      <x:c r="H1849" s="12" t="n">
        <x:v>1830000000</x:v>
      </x:c>
      <x:c r="I1849" s="12" t="n">
        <x:v>36600000</x:v>
      </x:c>
      <x:c r="J1849" s="2" t="str">
        <x:v>total</x:v>
      </x:c>
      <x:c r="K1849" s="2" t="str">
        <x:v>top_level_area</x:v>
      </x:c>
      <x:c r="L1849" s="2" t="str">
        <x:v>property_type_inferred_from_title;transaction_assumed_sale_from_dataset_context</x:v>
      </x:c>
      <x:c r="M1849" s="10" t="n">
        <x:v>0</x:v>
      </x:c>
      <x:c r="N1849" s="10" t="n">
        <x:v>0</x:v>
      </x:c>
      <x:c r="O1849" s="2" t="str">
        <x:v>Tp Hồ Chí Minh|house</x:v>
      </x:c>
      <x:c r="P1849" s="10" t="n">
        <x:v>2</x:v>
      </x:c>
      <x:c r="Q1849" s="13" t="n">
        <x:f>IF(H1849="","",H1849/1000000000)</x:f>
        <x:v>1.83</x:v>
      </x:c>
      <x:c r="R1849" s="13" t="n">
        <x:f>IF(I1849="","",I1849/1000000)</x:f>
        <x:v>36.6</x:v>
      </x:c>
    </x:row>
    <x:row r="1850" ht="21" customHeight="1">
      <x:c r="A1850" s="10" t="n">
        <x:v>2741</x:v>
      </x:c>
      <x:c r="B1850" s="2" t="str">
        <x:v>5b756090c9f232b13038</x:v>
      </x:c>
      <x:c r="C1850" s="2" t="str">
        <x:v>Sóc Trăng</x:v>
      </x:c>
      <x:c r="D1850" s="2" t="str">
        <x:v>Thành phố Sóc Trăng</x:v>
      </x:c>
      <x:c r="E1850" s="2" t="str">
        <x:v>land</x:v>
      </x:c>
      <x:c r="F1850" s="2" t="str">
        <x:v>sale_assumed</x:v>
      </x:c>
      <x:c r="G1850" s="11" t="n">
        <x:v>855</x:v>
      </x:c>
      <x:c r="H1850" s="12" t="n">
        <x:v>9200000000</x:v>
      </x:c>
      <x:c r="I1850" s="12" t="n">
        <x:v>10760233.918128654</x:v>
      </x:c>
      <x:c r="J1850" s="2" t="str">
        <x:v>total</x:v>
      </x:c>
      <x:c r="K1850" s="2" t="str">
        <x:v>top_level_area</x:v>
      </x:c>
      <x:c r="L1850" s="2" t="str">
        <x:v>property_type_inferred_from_title;transaction_assumed_sale_from_dataset_context</x:v>
      </x:c>
      <x:c r="M1850" s="10" t="n">
        <x:v>0</x:v>
      </x:c>
      <x:c r="N1850" s="10" t="n">
        <x:v>0</x:v>
      </x:c>
      <x:c r="O1850" s="2" t="str">
        <x:v>land</x:v>
      </x:c>
      <x:c r="P1850" s="10" t="n">
        <x:v>1</x:v>
      </x:c>
      <x:c r="Q1850" s="13" t="n">
        <x:f>IF(H1850="","",H1850/1000000000)</x:f>
        <x:v>9.2</x:v>
      </x:c>
      <x:c r="R1850" s="13" t="n">
        <x:f>IF(I1850="","",I1850/1000000)</x:f>
        <x:v>10.760233918128653</x:v>
      </x:c>
    </x:row>
    <x:row r="1851" ht="21" customHeight="1">
      <x:c r="A1851" s="10" t="n">
        <x:v>2742</x:v>
      </x:c>
      <x:c r="B1851" s="2" t="str">
        <x:v>e302f646a19c2128a0aa</x:v>
      </x:c>
      <x:c r="C1851" s="2" t="str">
        <x:v>Đồng Nai</x:v>
      </x:c>
      <x:c r="D1851" s="2" t="str">
        <x:v>Huyện Long Thành</x:v>
      </x:c>
      <x:c r="E1851" s="2" t="str">
        <x:v>land</x:v>
      </x:c>
      <x:c r="F1851" s="2" t="str">
        <x:v>sale_assumed</x:v>
      </x:c>
      <x:c r="G1851" s="11" t="n">
        <x:v>609</x:v>
      </x:c>
      <x:c r="H1851" s="12" t="n">
        <x:v>4500000000</x:v>
      </x:c>
      <x:c r="I1851" s="12" t="n">
        <x:v>7389162.561576354</x:v>
      </x:c>
      <x:c r="J1851" s="2" t="str">
        <x:v>total</x:v>
      </x:c>
      <x:c r="K1851" s="2" t="str">
        <x:v>top_level_price_embedded_area</x:v>
      </x:c>
      <x:c r="L1851" s="2" t="str">
        <x:v>area_recovered_from_price_text;property_type_inferred_from_title;transaction_assumed_sale_from_dataset_context</x:v>
      </x:c>
      <x:c r="M1851" s="10" t="n">
        <x:v>0</x:v>
      </x:c>
      <x:c r="N1851" s="10" t="n">
        <x:v>0</x:v>
      </x:c>
      <x:c r="O1851" s="2" t="str">
        <x:v>Đồng Nai|land</x:v>
      </x:c>
      <x:c r="P1851" s="10" t="n">
        <x:v>1</x:v>
      </x:c>
      <x:c r="Q1851" s="13" t="n">
        <x:f>IF(H1851="","",H1851/1000000000)</x:f>
        <x:v>4.5</x:v>
      </x:c>
      <x:c r="R1851" s="13" t="n">
        <x:f>IF(I1851="","",I1851/1000000)</x:f>
        <x:v>7.389162561576354</x:v>
      </x:c>
    </x:row>
    <x:row r="1852" ht="21" customHeight="1">
      <x:c r="A1852" s="10" t="n">
        <x:v>2743</x:v>
      </x:c>
      <x:c r="B1852" s="2" t="str">
        <x:v>6ba3eab7752de7f2cc71</x:v>
      </x:c>
      <x:c r="C1852" s="2" t="str">
        <x:v>Tp Hồ Chí Minh</x:v>
      </x:c>
      <x:c r="D1852" s="2" t="str">
        <x:v>Quận 4</x:v>
      </x:c>
      <x:c r="E1852" s="2" t="str">
        <x:v>other_unknown</x:v>
      </x:c>
      <x:c r="F1852" s="2" t="str">
        <x:v>sale_assumed</x:v>
      </x:c>
      <x:c r="G1852" s="11" t="n">
        <x:v>60</x:v>
      </x:c>
      <x:c r="H1852" s="12" t="n">
        <x:v>2790000000</x:v>
      </x:c>
      <x:c r="I1852" s="12" t="n">
        <x:v>46500000</x:v>
      </x:c>
      <x:c r="J1852" s="2" t="str">
        <x:v>total</x:v>
      </x:c>
      <x:c r="K1852" s="2" t="str">
        <x:v>top_level_area</x:v>
      </x:c>
      <x:c r="L1852" s="2" t="str">
        <x:v>property_type_inferred_from_title;transaction_assumed_sale_from_dataset_context;unknown_property_type</x:v>
      </x:c>
      <x:c r="M1852" s="10" t="n">
        <x:v>0</x:v>
      </x:c>
      <x:c r="N1852" s="10" t="n">
        <x:v>0</x:v>
      </x:c>
      <x:c r="O1852" s="2" t="str">
        <x:v>Tp Hồ Chí Minh|other_unknown</x:v>
      </x:c>
      <x:c r="P1852" s="10" t="n">
        <x:v>2</x:v>
      </x:c>
      <x:c r="Q1852" s="13" t="n">
        <x:f>IF(H1852="","",H1852/1000000000)</x:f>
        <x:v>2.79</x:v>
      </x:c>
      <x:c r="R1852" s="13" t="n">
        <x:f>IF(I1852="","",I1852/1000000)</x:f>
        <x:v>46.5</x:v>
      </x:c>
    </x:row>
    <x:row r="1853" ht="21" customHeight="1">
      <x:c r="A1853" s="10" t="n">
        <x:v>2745</x:v>
      </x:c>
      <x:c r="B1853" s="2" t="str">
        <x:v>7a982b7dad8538771245</x:v>
      </x:c>
      <x:c r="C1853" s="2" t="str">
        <x:v>Long An</x:v>
      </x:c>
      <x:c r="D1853" s="2" t="str">
        <x:v>Huyện Cần Giuộc</x:v>
      </x:c>
      <x:c r="E1853" s="2" t="str">
        <x:v>house</x:v>
      </x:c>
      <x:c r="F1853" s="2" t="str">
        <x:v>sale_assumed</x:v>
      </x:c>
      <x:c r="G1853" s="11" t="n">
        <x:v>60</x:v>
      </x:c>
      <x:c r="H1853" s="12" t="n">
        <x:v>400000000</x:v>
      </x:c>
      <x:c r="I1853" s="12" t="n">
        <x:v>6666666.666666667</x:v>
      </x:c>
      <x:c r="J1853" s="2" t="str">
        <x:v>total</x:v>
      </x:c>
      <x:c r="K1853" s="2" t="str">
        <x:v>top_level_area</x:v>
      </x:c>
      <x:c r="L1853" s="2" t="str">
        <x:v>property_type_inferred_from_title;transaction_assumed_sale_from_dataset_context</x:v>
      </x:c>
      <x:c r="M1853" s="10" t="n">
        <x:v>0</x:v>
      </x:c>
      <x:c r="N1853" s="10" t="n">
        <x:v>0</x:v>
      </x:c>
      <x:c r="O1853" s="2" t="str">
        <x:v>Long An|house</x:v>
      </x:c>
      <x:c r="P1853" s="10" t="n">
        <x:v>2</x:v>
      </x:c>
      <x:c r="Q1853" s="13" t="n">
        <x:f>IF(H1853="","",H1853/1000000000)</x:f>
        <x:v>0.4</x:v>
      </x:c>
      <x:c r="R1853" s="13" t="n">
        <x:f>IF(I1853="","",I1853/1000000)</x:f>
        <x:v>6.666666666666667</x:v>
      </x:c>
    </x:row>
    <x:row r="1854" ht="21" customHeight="1">
      <x:c r="A1854" s="10" t="n">
        <x:v>2747</x:v>
      </x:c>
      <x:c r="B1854" s="2" t="str">
        <x:v>bda019d6f3edb90153d1</x:v>
      </x:c>
      <x:c r="C1854" s="2" t="str">
        <x:v>Tp Hồ Chí Minh</x:v>
      </x:c>
      <x:c r="D1854" s="2" t="str">
        <x:v>Quận 2</x:v>
      </x:c>
      <x:c r="E1854" s="2" t="str">
        <x:v>house</x:v>
      </x:c>
      <x:c r="F1854" s="2" t="str">
        <x:v>sale_assumed</x:v>
      </x:c>
      <x:c r="G1854" s="11" t="n">
        <x:v>63</x:v>
      </x:c>
      <x:c r="H1854" s="12" t="n">
        <x:v>1700000000</x:v>
      </x:c>
      <x:c r="I1854" s="12" t="n">
        <x:v>26984126.984126985</x:v>
      </x:c>
      <x:c r="J1854" s="2" t="str">
        <x:v>total</x:v>
      </x:c>
      <x:c r="K1854" s="2" t="str">
        <x:v>top_level_area</x:v>
      </x:c>
      <x:c r="L1854" s="2" t="str">
        <x:v>property_type_inferred_from_title;transaction_assumed_sale_from_dataset_context</x:v>
      </x:c>
      <x:c r="M1854" s="10" t="n">
        <x:v>0</x:v>
      </x:c>
      <x:c r="N1854" s="10" t="n">
        <x:v>0</x:v>
      </x:c>
      <x:c r="O1854" s="2" t="str">
        <x:v>Tp Hồ Chí Minh|house</x:v>
      </x:c>
      <x:c r="P1854" s="10" t="n">
        <x:v>2</x:v>
      </x:c>
      <x:c r="Q1854" s="13" t="n">
        <x:f>IF(H1854="","",H1854/1000000000)</x:f>
        <x:v>1.7</x:v>
      </x:c>
      <x:c r="R1854" s="13" t="n">
        <x:f>IF(I1854="","",I1854/1000000)</x:f>
        <x:v>26.984126984126984</x:v>
      </x:c>
    </x:row>
    <x:row r="1855" ht="21" customHeight="1">
      <x:c r="A1855" s="10" t="n">
        <x:v>2748</x:v>
      </x:c>
      <x:c r="B1855" s="2" t="str">
        <x:v>3c4ba22b1cf3d30372c0</x:v>
      </x:c>
      <x:c r="C1855" s="2" t="str">
        <x:v>Tp Hồ Chí Minh</x:v>
      </x:c>
      <x:c r="D1855" s="2" t="str">
        <x:v>Quận Tân Bình</x:v>
      </x:c>
      <x:c r="E1855" s="2" t="str">
        <x:v>house</x:v>
      </x:c>
      <x:c r="F1855" s="2" t="str">
        <x:v>sale_assumed</x:v>
      </x:c>
      <x:c r="G1855" s="11" t="n">
        <x:v>62</x:v>
      </x:c>
      <x:c r="H1855" s="12" t="n">
        <x:v>9200000000</x:v>
      </x:c>
      <x:c r="I1855" s="12" t="n">
        <x:v>148387096.77419356</x:v>
      </x:c>
      <x:c r="J1855" s="2" t="str">
        <x:v>total</x:v>
      </x:c>
      <x:c r="K1855" s="2" t="str">
        <x:v>top_level_area</x:v>
      </x:c>
      <x:c r="L1855" s="2" t="str">
        <x:v>property_type_inferred_from_title;transaction_assumed_sale_from_dataset_context</x:v>
      </x:c>
      <x:c r="M1855" s="10" t="n">
        <x:v>0</x:v>
      </x:c>
      <x:c r="N1855" s="10" t="n">
        <x:v>0</x:v>
      </x:c>
      <x:c r="O1855" s="2" t="str">
        <x:v>Tp Hồ Chí Minh|house</x:v>
      </x:c>
      <x:c r="P1855" s="10" t="n">
        <x:v>2</x:v>
      </x:c>
      <x:c r="Q1855" s="13" t="n">
        <x:f>IF(H1855="","",H1855/1000000000)</x:f>
        <x:v>9.2</x:v>
      </x:c>
      <x:c r="R1855" s="13" t="n">
        <x:f>IF(I1855="","",I1855/1000000)</x:f>
        <x:v>148.38709677419357</x:v>
      </x:c>
    </x:row>
    <x:row r="1856" ht="21" customHeight="1">
      <x:c r="A1856" s="10" t="n">
        <x:v>2749</x:v>
      </x:c>
      <x:c r="B1856" s="2" t="str">
        <x:v>5078bc125eead6262d8b</x:v>
      </x:c>
      <x:c r="C1856" s="2" t="str">
        <x:v>Hậu Giang</x:v>
      </x:c>
      <x:c r="D1856" s="2" t="str">
        <x:v>Huyện Châu Thành A</x:v>
      </x:c>
      <x:c r="E1856" s="2" t="str">
        <x:v>land</x:v>
      </x:c>
      <x:c r="F1856" s="2" t="str">
        <x:v>sale_assumed</x:v>
      </x:c>
      <x:c r="G1856" s="11" t="n">
        <x:v>83</x:v>
      </x:c>
      <x:c r="H1856" s="12" t="n">
        <x:v>1000000000</x:v>
      </x:c>
      <x:c r="I1856" s="12" t="n">
        <x:v>12048192.771084337</x:v>
      </x:c>
      <x:c r="J1856" s="2" t="str">
        <x:v>total</x:v>
      </x:c>
      <x:c r="K1856" s="2" t="str">
        <x:v>top_level_area</x:v>
      </x:c>
      <x:c r="L1856" s="2" t="str">
        <x:v>property_type_inferred_from_title;transaction_assumed_sale_from_dataset_context</x:v>
      </x:c>
      <x:c r="M1856" s="10" t="n">
        <x:v>0</x:v>
      </x:c>
      <x:c r="N1856" s="10" t="n">
        <x:v>0</x:v>
      </x:c>
      <x:c r="O1856" s="2" t="str">
        <x:v>land</x:v>
      </x:c>
      <x:c r="P1856" s="10" t="n">
        <x:v>2</x:v>
      </x:c>
      <x:c r="Q1856" s="13" t="n">
        <x:f>IF(H1856="","",H1856/1000000000)</x:f>
        <x:v>1</x:v>
      </x:c>
      <x:c r="R1856" s="13" t="n">
        <x:f>IF(I1856="","",I1856/1000000)</x:f>
        <x:v>12.048192771084336</x:v>
      </x:c>
    </x:row>
    <x:row r="1857" ht="21" customHeight="1">
      <x:c r="A1857" s="10" t="n">
        <x:v>2750</x:v>
      </x:c>
      <x:c r="B1857" s="2" t="str">
        <x:v>782c77237440a24108b5</x:v>
      </x:c>
      <x:c r="C1857" s="2" t="str">
        <x:v>Hà Nội</x:v>
      </x:c>
      <x:c r="D1857" s="2" t="str">
        <x:v>Quận Hai Bà Trưng</x:v>
      </x:c>
      <x:c r="E1857" s="2" t="str">
        <x:v>house</x:v>
      </x:c>
      <x:c r="F1857" s="2" t="str">
        <x:v>sale_assumed</x:v>
      </x:c>
      <x:c r="G1857" s="11" t="n">
        <x:v>40</x:v>
      </x:c>
      <x:c r="H1857" s="12" t="n">
        <x:v>4500000000</x:v>
      </x:c>
      <x:c r="I1857" s="12" t="n">
        <x:v>112500000</x:v>
      </x:c>
      <x:c r="J1857" s="2" t="str">
        <x:v>total</x:v>
      </x:c>
      <x:c r="K1857" s="2" t="str">
        <x:v>top_level_area</x:v>
      </x:c>
      <x:c r="L1857" s="2" t="str">
        <x:v>property_type_inferred_from_title;transaction_assumed_sale_from_dataset_context</x:v>
      </x:c>
      <x:c r="M1857" s="10" t="n">
        <x:v>0</x:v>
      </x:c>
      <x:c r="N1857" s="10" t="n">
        <x:v>0</x:v>
      </x:c>
      <x:c r="O1857" s="2" t="str">
        <x:v>Hà Nội|house</x:v>
      </x:c>
      <x:c r="P1857" s="10" t="n">
        <x:v>2</x:v>
      </x:c>
      <x:c r="Q1857" s="13" t="n">
        <x:f>IF(H1857="","",H1857/1000000000)</x:f>
        <x:v>4.5</x:v>
      </x:c>
      <x:c r="R1857" s="13" t="n">
        <x:f>IF(I1857="","",I1857/1000000)</x:f>
        <x:v>112.5</x:v>
      </x:c>
    </x:row>
    <x:row r="1858" ht="21" customHeight="1">
      <x:c r="A1858" s="10" t="n">
        <x:v>2751</x:v>
      </x:c>
      <x:c r="B1858" s="2" t="str">
        <x:v>7c4d085461353048e090</x:v>
      </x:c>
      <x:c r="C1858" s="2" t="str">
        <x:v>Hậu Giang</x:v>
      </x:c>
      <x:c r="D1858" s="2" t="str">
        <x:v>Huyện Châu Thành</x:v>
      </x:c>
      <x:c r="E1858" s="2" t="str">
        <x:v>land</x:v>
      </x:c>
      <x:c r="F1858" s="2" t="str">
        <x:v>sale_assumed</x:v>
      </x:c>
      <x:c r="G1858" s="11" t="n">
        <x:v>80</x:v>
      </x:c>
      <x:c r="H1858" s="12" t="n">
        <x:v>664000000</x:v>
      </x:c>
      <x:c r="I1858" s="12" t="n">
        <x:v>8300000</x:v>
      </x:c>
      <x:c r="J1858" s="2" t="str">
        <x:v>total</x:v>
      </x:c>
      <x:c r="K1858" s="2" t="str">
        <x:v>top_level_area</x:v>
      </x:c>
      <x:c r="L1858" s="2" t="str">
        <x:v>property_type_inferred_from_title;transaction_assumed_sale_from_dataset_context</x:v>
      </x:c>
      <x:c r="M1858" s="10" t="n">
        <x:v>0</x:v>
      </x:c>
      <x:c r="N1858" s="10" t="n">
        <x:v>0</x:v>
      </x:c>
      <x:c r="O1858" s="2" t="str">
        <x:v>land</x:v>
      </x:c>
      <x:c r="P1858" s="10" t="n">
        <x:v>2</x:v>
      </x:c>
      <x:c r="Q1858" s="13" t="n">
        <x:f>IF(H1858="","",H1858/1000000000)</x:f>
        <x:v>0.664</x:v>
      </x:c>
      <x:c r="R1858" s="13" t="n">
        <x:f>IF(I1858="","",I1858/1000000)</x:f>
        <x:v>8.3</x:v>
      </x:c>
    </x:row>
    <x:row r="1859" ht="21" customHeight="1">
      <x:c r="A1859" s="10" t="n">
        <x:v>2752</x:v>
      </x:c>
      <x:c r="B1859" s="2" t="str">
        <x:v>46e068a53f34f9fb40d0</x:v>
      </x:c>
      <x:c r="C1859" s="2" t="str">
        <x:v>Tp Hồ Chí Minh</x:v>
      </x:c>
      <x:c r="D1859" s="2" t="str">
        <x:v>Quận 7</x:v>
      </x:c>
      <x:c r="E1859" s="2" t="str">
        <x:v>house</x:v>
      </x:c>
      <x:c r="F1859" s="2" t="str">
        <x:v>sale</x:v>
      </x:c>
      <x:c r="G1859" s="11" t="n">
        <x:v>72</x:v>
      </x:c>
      <x:c r="H1859" s="12" t="n">
        <x:v>5000000000</x:v>
      </x:c>
      <x:c r="I1859" s="12" t="n">
        <x:v>69444444.44444445</x:v>
      </x:c>
      <x:c r="J1859" s="2" t="str">
        <x:v>total</x:v>
      </x:c>
      <x:c r="K1859" s="2" t="str">
        <x:v>top_level_price_embedded_area</x:v>
      </x:c>
      <x:c r="L1859" s="2" t="str">
        <x:v>area_recovered_from_price_text;property_type_inferred_from_title</x:v>
      </x:c>
      <x:c r="M1859" s="10" t="n">
        <x:v>0</x:v>
      </x:c>
      <x:c r="N1859" s="10" t="n">
        <x:v>0</x:v>
      </x:c>
      <x:c r="O1859" s="2" t="str">
        <x:v>Tp Hồ Chí Minh|house</x:v>
      </x:c>
      <x:c r="P1859" s="10" t="n">
        <x:v>2</x:v>
      </x:c>
      <x:c r="Q1859" s="13" t="n">
        <x:f>IF(H1859="","",H1859/1000000000)</x:f>
        <x:v>5</x:v>
      </x:c>
      <x:c r="R1859" s="13" t="n">
        <x:f>IF(I1859="","",I1859/1000000)</x:f>
        <x:v>69.44444444444444</x:v>
      </x:c>
    </x:row>
    <x:row r="1860" ht="21" customHeight="1">
      <x:c r="A1860" s="10" t="n">
        <x:v>2753</x:v>
      </x:c>
      <x:c r="B1860" s="2" t="str">
        <x:v>9838215ff3089b4295c1</x:v>
      </x:c>
      <x:c r="C1860" s="2" t="str">
        <x:v>Hà Nội</x:v>
      </x:c>
      <x:c r="D1860" s="2" t="str">
        <x:v>Quận Long Biên</x:v>
      </x:c>
      <x:c r="E1860" s="2" t="str">
        <x:v>house</x:v>
      </x:c>
      <x:c r="F1860" s="2" t="str">
        <x:v>sale</x:v>
      </x:c>
      <x:c r="G1860" s="11" t="n">
        <x:v>41</x:v>
      </x:c>
      <x:c r="H1860" s="12" t="n">
        <x:v>2150000000</x:v>
      </x:c>
      <x:c r="I1860" s="12" t="n">
        <x:v>52439024.3902439</x:v>
      </x:c>
      <x:c r="J1860" s="2" t="str">
        <x:v>total</x:v>
      </x:c>
      <x:c r="K1860" s="2" t="str">
        <x:v>top_level_area</x:v>
      </x:c>
      <x:c r="L1860" s="2" t="str">
        <x:v>property_type_inferred_from_title</x:v>
      </x:c>
      <x:c r="M1860" s="10" t="n">
        <x:v>0</x:v>
      </x:c>
      <x:c r="N1860" s="10" t="n">
        <x:v>0</x:v>
      </x:c>
      <x:c r="O1860" s="2" t="str">
        <x:v>Hà Nội|house</x:v>
      </x:c>
      <x:c r="P1860" s="10" t="n">
        <x:v>2</x:v>
      </x:c>
      <x:c r="Q1860" s="13" t="n">
        <x:f>IF(H1860="","",H1860/1000000000)</x:f>
        <x:v>2.15</x:v>
      </x:c>
      <x:c r="R1860" s="13" t="n">
        <x:f>IF(I1860="","",I1860/1000000)</x:f>
        <x:v>52.4390243902439</x:v>
      </x:c>
    </x:row>
    <x:row r="1861" ht="21" customHeight="1">
      <x:c r="A1861" s="10" t="n">
        <x:v>2754</x:v>
      </x:c>
      <x:c r="B1861" s="2" t="str">
        <x:v>b88f3a37171ae7b18675</x:v>
      </x:c>
      <x:c r="C1861" s="2" t="str">
        <x:v>Tp Hồ Chí Minh</x:v>
      </x:c>
      <x:c r="D1861" s="2" t="str">
        <x:v>Quận 2</x:v>
      </x:c>
      <x:c r="E1861" s="2" t="str">
        <x:v>house</x:v>
      </x:c>
      <x:c r="F1861" s="2" t="str">
        <x:v>sale</x:v>
      </x:c>
      <x:c r="G1861" s="11" t="n">
        <x:v>56</x:v>
      </x:c>
      <x:c r="H1861" s="12" t="n">
        <x:v>1200000000</x:v>
      </x:c>
      <x:c r="I1861" s="12" t="n">
        <x:v>21428571.42857143</x:v>
      </x:c>
      <x:c r="J1861" s="2" t="str">
        <x:v>total</x:v>
      </x:c>
      <x:c r="K1861" s="2" t="str">
        <x:v>top_level_area</x:v>
      </x:c>
      <x:c r="L1861" s="2" t="str">
        <x:v>property_type_inferred_from_title</x:v>
      </x:c>
      <x:c r="M1861" s="10" t="n">
        <x:v>0</x:v>
      </x:c>
      <x:c r="N1861" s="10" t="n">
        <x:v>0</x:v>
      </x:c>
      <x:c r="O1861" s="2" t="str">
        <x:v>Tp Hồ Chí Minh|house</x:v>
      </x:c>
      <x:c r="P1861" s="10" t="n">
        <x:v>2</x:v>
      </x:c>
      <x:c r="Q1861" s="13" t="n">
        <x:f>IF(H1861="","",H1861/1000000000)</x:f>
        <x:v>1.2</x:v>
      </x:c>
      <x:c r="R1861" s="13" t="n">
        <x:f>IF(I1861="","",I1861/1000000)</x:f>
        <x:v>21.42857142857143</x:v>
      </x:c>
    </x:row>
    <x:row r="1862" ht="21" customHeight="1">
      <x:c r="A1862" s="10" t="n">
        <x:v>2755</x:v>
      </x:c>
      <x:c r="B1862" s="2" t="str">
        <x:v>cffb9089c62ece3ee827</x:v>
      </x:c>
      <x:c r="C1862" s="2" t="str">
        <x:v>Hà Nội</x:v>
      </x:c>
      <x:c r="D1862" s="2" t="str">
        <x:v>Quận Long Biên</x:v>
      </x:c>
      <x:c r="E1862" s="2" t="str">
        <x:v>house</x:v>
      </x:c>
      <x:c r="F1862" s="2" t="str">
        <x:v>sale</x:v>
      </x:c>
      <x:c r="G1862" s="11" t="n">
        <x:v>35</x:v>
      </x:c>
      <x:c r="H1862" s="12" t="n">
        <x:v>2550000000</x:v>
      </x:c>
      <x:c r="I1862" s="12" t="n">
        <x:v>72857142.85714285</x:v>
      </x:c>
      <x:c r="J1862" s="2" t="str">
        <x:v>total</x:v>
      </x:c>
      <x:c r="K1862" s="2" t="str">
        <x:v>top_level_area</x:v>
      </x:c>
      <x:c r="L1862" s="2" t="str">
        <x:v>property_type_inferred_from_title</x:v>
      </x:c>
      <x:c r="M1862" s="10" t="n">
        <x:v>0</x:v>
      </x:c>
      <x:c r="N1862" s="10" t="n">
        <x:v>0</x:v>
      </x:c>
      <x:c r="O1862" s="2" t="str">
        <x:v>Hà Nội|house</x:v>
      </x:c>
      <x:c r="P1862" s="10" t="n">
        <x:v>2</x:v>
      </x:c>
      <x:c r="Q1862" s="13" t="n">
        <x:f>IF(H1862="","",H1862/1000000000)</x:f>
        <x:v>2.55</x:v>
      </x:c>
      <x:c r="R1862" s="13" t="n">
        <x:f>IF(I1862="","",I1862/1000000)</x:f>
        <x:v>72.85714285714285</x:v>
      </x:c>
    </x:row>
    <x:row r="1863" ht="21" customHeight="1">
      <x:c r="A1863" s="10" t="n">
        <x:v>2756</x:v>
      </x:c>
      <x:c r="B1863" s="2" t="str">
        <x:v>8db8f2cfd5b83679b683</x:v>
      </x:c>
      <x:c r="C1863" s="2" t="str">
        <x:v>Bình Dương</x:v>
      </x:c>
      <x:c r="D1863" s="2" t="str">
        <x:v>Thị xã Dĩ An</x:v>
      </x:c>
      <x:c r="E1863" s="2" t="str">
        <x:v>house</x:v>
      </x:c>
      <x:c r="F1863" s="2" t="str">
        <x:v>sale</x:v>
      </x:c>
      <x:c r="G1863" s="11" t="n">
        <x:v>80</x:v>
      </x:c>
      <x:c r="H1863" s="12" t="n">
        <x:v>850000000</x:v>
      </x:c>
      <x:c r="I1863" s="12" t="n">
        <x:v>10625000</x:v>
      </x:c>
      <x:c r="J1863" s="2" t="str">
        <x:v>total</x:v>
      </x:c>
      <x:c r="K1863" s="2" t="str">
        <x:v>top_level_price_embedded_area</x:v>
      </x:c>
      <x:c r="L1863" s="2" t="str">
        <x:v>area_recovered_from_price_text;property_type_inferred_from_title</x:v>
      </x:c>
      <x:c r="M1863" s="10" t="n">
        <x:v>0</x:v>
      </x:c>
      <x:c r="N1863" s="10" t="n">
        <x:v>0</x:v>
      </x:c>
      <x:c r="O1863" s="2" t="str">
        <x:v>Bình Dương|house</x:v>
      </x:c>
      <x:c r="P1863" s="10" t="n">
        <x:v>2</x:v>
      </x:c>
      <x:c r="Q1863" s="13" t="n">
        <x:f>IF(H1863="","",H1863/1000000000)</x:f>
        <x:v>0.85</x:v>
      </x:c>
      <x:c r="R1863" s="13" t="n">
        <x:f>IF(I1863="","",I1863/1000000)</x:f>
        <x:v>10.625</x:v>
      </x:c>
    </x:row>
    <x:row r="1864" ht="21" customHeight="1">
      <x:c r="A1864" s="10" t="n">
        <x:v>2757</x:v>
      </x:c>
      <x:c r="B1864" s="2" t="str">
        <x:v>aac3a8abeadc2e9c030b</x:v>
      </x:c>
      <x:c r="C1864" s="2" t="str">
        <x:v>Tp Hồ Chí Minh</x:v>
      </x:c>
      <x:c r="D1864" s="2" t="str">
        <x:v>Quận 9</x:v>
      </x:c>
      <x:c r="E1864" s="2" t="str">
        <x:v>other_unknown</x:v>
      </x:c>
      <x:c r="F1864" s="2" t="str">
        <x:v>sale</x:v>
      </x:c>
      <x:c r="G1864" s="11" t="n">
        <x:v>60</x:v>
      </x:c>
      <x:c r="H1864" s="12" t="n">
        <x:v>1360000000</x:v>
      </x:c>
      <x:c r="I1864" s="12" t="n">
        <x:v>22666666.666666668</x:v>
      </x:c>
      <x:c r="J1864" s="2" t="str">
        <x:v>total</x:v>
      </x:c>
      <x:c r="K1864" s="2" t="str">
        <x:v>top_level_area</x:v>
      </x:c>
      <x:c r="L1864" s="2" t="str">
        <x:v>property_type_inferred_from_title;unknown_property_type</x:v>
      </x:c>
      <x:c r="M1864" s="10" t="n">
        <x:v>0</x:v>
      </x:c>
      <x:c r="N1864" s="10" t="n">
        <x:v>0</x:v>
      </x:c>
      <x:c r="O1864" s="2" t="str">
        <x:v>Tp Hồ Chí Minh|other_unknown</x:v>
      </x:c>
      <x:c r="P1864" s="10" t="n">
        <x:v>2</x:v>
      </x:c>
      <x:c r="Q1864" s="13" t="n">
        <x:f>IF(H1864="","",H1864/1000000000)</x:f>
        <x:v>1.36</x:v>
      </x:c>
      <x:c r="R1864" s="13" t="n">
        <x:f>IF(I1864="","",I1864/1000000)</x:f>
        <x:v>22.666666666666668</x:v>
      </x:c>
    </x:row>
    <x:row r="1865" ht="21" customHeight="1">
      <x:c r="A1865" s="10" t="n">
        <x:v>2758</x:v>
      </x:c>
      <x:c r="B1865" s="2" t="str">
        <x:v>48aa7c7190aeed3f4c82</x:v>
      </x:c>
      <x:c r="C1865" s="2" t="str">
        <x:v>Đắk Lắk</x:v>
      </x:c>
      <x:c r="D1865" s="2" t="str">
        <x:v>Thành phố Buôn Ma Thuột</x:v>
      </x:c>
      <x:c r="E1865" s="2" t="str">
        <x:v>land</x:v>
      </x:c>
      <x:c r="F1865" s="2" t="str">
        <x:v>sale</x:v>
      </x:c>
      <x:c r="G1865" s="11" t="n">
        <x:v>135</x:v>
      </x:c>
      <x:c r="H1865" s="12" t="n">
        <x:v>580000000</x:v>
      </x:c>
      <x:c r="I1865" s="12" t="n">
        <x:v>4296296.296296297</x:v>
      </x:c>
      <x:c r="J1865" s="2" t="str">
        <x:v>total</x:v>
      </x:c>
      <x:c r="K1865" s="2" t="str">
        <x:v>top_level_area</x:v>
      </x:c>
      <x:c r="L1865" s="2" t="str">
        <x:v>property_type_inferred_from_title</x:v>
      </x:c>
      <x:c r="M1865" s="10" t="n">
        <x:v>0</x:v>
      </x:c>
      <x:c r="N1865" s="10" t="n">
        <x:v>0</x:v>
      </x:c>
      <x:c r="O1865" s="2" t="str">
        <x:v>Đắk Lắk|land</x:v>
      </x:c>
      <x:c r="P1865" s="10" t="n">
        <x:v>2</x:v>
      </x:c>
      <x:c r="Q1865" s="13" t="n">
        <x:f>IF(H1865="","",H1865/1000000000)</x:f>
        <x:v>0.58</x:v>
      </x:c>
      <x:c r="R1865" s="13" t="n">
        <x:f>IF(I1865="","",I1865/1000000)</x:f>
        <x:v>4.296296296296297</x:v>
      </x:c>
    </x:row>
    <x:row r="1866" ht="21" customHeight="1">
      <x:c r="A1866" s="10" t="n">
        <x:v>2759</x:v>
      </x:c>
      <x:c r="B1866" s="2" t="str">
        <x:v>965e2602f251f6c4c5fd</x:v>
      </x:c>
      <x:c r="C1866" s="2" t="str">
        <x:v>Tp Hồ Chí Minh</x:v>
      </x:c>
      <x:c r="D1866" s="2" t="str">
        <x:v>Quận Bình Thạnh</x:v>
      </x:c>
      <x:c r="E1866" s="2" t="str">
        <x:v>house</x:v>
      </x:c>
      <x:c r="F1866" s="2" t="str">
        <x:v>sale</x:v>
      </x:c>
      <x:c r="G1866" s="11" t="n">
        <x:v>60</x:v>
      </x:c>
      <x:c r="H1866" s="12" t="n">
        <x:v>1050000000</x:v>
      </x:c>
      <x:c r="I1866" s="12" t="n">
        <x:v>17500000</x:v>
      </x:c>
      <x:c r="J1866" s="2" t="str">
        <x:v>total</x:v>
      </x:c>
      <x:c r="K1866" s="2" t="str">
        <x:v>top_level_area</x:v>
      </x:c>
      <x:c r="L1866" s="2" t="str">
        <x:v>property_type_inferred_from_title</x:v>
      </x:c>
      <x:c r="M1866" s="10" t="n">
        <x:v>0</x:v>
      </x:c>
      <x:c r="N1866" s="10" t="n">
        <x:v>0</x:v>
      </x:c>
      <x:c r="O1866" s="2" t="str">
        <x:v>Tp Hồ Chí Minh|house</x:v>
      </x:c>
      <x:c r="P1866" s="10" t="n">
        <x:v>2</x:v>
      </x:c>
      <x:c r="Q1866" s="13" t="n">
        <x:f>IF(H1866="","",H1866/1000000000)</x:f>
        <x:v>1.05</x:v>
      </x:c>
      <x:c r="R1866" s="13" t="n">
        <x:f>IF(I1866="","",I1866/1000000)</x:f>
        <x:v>17.5</x:v>
      </x:c>
    </x:row>
    <x:row r="1867" ht="21" customHeight="1">
      <x:c r="A1867" s="10" t="n">
        <x:v>2760</x:v>
      </x:c>
      <x:c r="B1867" s="2" t="str">
        <x:v>4dc715c9b2d0746b9095</x:v>
      </x:c>
      <x:c r="C1867" s="2" t="str">
        <x:v>Tp Hồ Chí Minh</x:v>
      </x:c>
      <x:c r="D1867" s="2" t="str">
        <x:v>Quận 10</x:v>
      </x:c>
      <x:c r="E1867" s="2" t="str">
        <x:v>house</x:v>
      </x:c>
      <x:c r="F1867" s="2" t="str">
        <x:v>sale</x:v>
      </x:c>
      <x:c r="G1867" s="11" t="n">
        <x:v>62</x:v>
      </x:c>
      <x:c r="H1867" s="12" t="n">
        <x:v>1680000000</x:v>
      </x:c>
      <x:c r="I1867" s="12" t="n">
        <x:v>27096774.19354839</x:v>
      </x:c>
      <x:c r="J1867" s="2" t="str">
        <x:v>total</x:v>
      </x:c>
      <x:c r="K1867" s="2" t="str">
        <x:v>top_level_area</x:v>
      </x:c>
      <x:c r="L1867" s="2" t="str">
        <x:v>property_type_inferred_from_title</x:v>
      </x:c>
      <x:c r="M1867" s="10" t="n">
        <x:v>0</x:v>
      </x:c>
      <x:c r="N1867" s="10" t="n">
        <x:v>0</x:v>
      </x:c>
      <x:c r="O1867" s="2" t="str">
        <x:v>Tp Hồ Chí Minh|house</x:v>
      </x:c>
      <x:c r="P1867" s="10" t="n">
        <x:v>2</x:v>
      </x:c>
      <x:c r="Q1867" s="13" t="n">
        <x:f>IF(H1867="","",H1867/1000000000)</x:f>
        <x:v>1.68</x:v>
      </x:c>
      <x:c r="R1867" s="13" t="n">
        <x:f>IF(I1867="","",I1867/1000000)</x:f>
        <x:v>27.096774193548388</x:v>
      </x:c>
    </x:row>
    <x:row r="1868" ht="21" customHeight="1">
      <x:c r="A1868" s="10" t="n">
        <x:v>2761</x:v>
      </x:c>
      <x:c r="B1868" s="2" t="str">
        <x:v>cfc375cfd0bf4692ac35</x:v>
      </x:c>
      <x:c r="C1868" s="2" t="str">
        <x:v>Đắk Lắk</x:v>
      </x:c>
      <x:c r="D1868" s="2" t="str">
        <x:v>Huyện Cư M'gar</x:v>
      </x:c>
      <x:c r="E1868" s="2" t="str">
        <x:v>land</x:v>
      </x:c>
      <x:c r="F1868" s="2" t="str">
        <x:v>sale_assumed</x:v>
      </x:c>
      <x:c r="G1868" s="11" t="n">
        <x:v>110</x:v>
      </x:c>
      <x:c r="H1868" s="12" t="n">
        <x:v>80000000</x:v>
      </x:c>
      <x:c r="I1868" s="12" t="n">
        <x:v>727272.7272727273</x:v>
      </x:c>
      <x:c r="J1868" s="2" t="str">
        <x:v>total</x:v>
      </x:c>
      <x:c r="K1868" s="2" t="str">
        <x:v>top_level_area</x:v>
      </x:c>
      <x:c r="L1868" s="2" t="str">
        <x:v>property_type_inferred_from_title;transaction_assumed_sale_from_dataset_context</x:v>
      </x:c>
      <x:c r="M1868" s="10" t="n">
        <x:v>0</x:v>
      </x:c>
      <x:c r="N1868" s="10" t="n">
        <x:v>0</x:v>
      </x:c>
      <x:c r="O1868" s="2" t="str">
        <x:v>Đắk Lắk|land</x:v>
      </x:c>
      <x:c r="P1868" s="10" t="n">
        <x:v>1</x:v>
      </x:c>
      <x:c r="Q1868" s="13" t="n">
        <x:f>IF(H1868="","",H1868/1000000000)</x:f>
        <x:v>0.08</x:v>
      </x:c>
      <x:c r="R1868" s="13" t="n">
        <x:f>IF(I1868="","",I1868/1000000)</x:f>
        <x:v>0.7272727272727273</x:v>
      </x:c>
    </x:row>
    <x:row r="1869" ht="21" customHeight="1">
      <x:c r="A1869" s="10" t="n">
        <x:v>2762</x:v>
      </x:c>
      <x:c r="B1869" s="2" t="str">
        <x:v>ab726ac961d890995b66</x:v>
      </x:c>
      <x:c r="C1869" s="2" t="str">
        <x:v>Tp Hồ Chí Minh</x:v>
      </x:c>
      <x:c r="D1869" s="2" t="str">
        <x:v>Huyện Củ Chi</x:v>
      </x:c>
      <x:c r="E1869" s="2" t="str">
        <x:v>land</x:v>
      </x:c>
      <x:c r="F1869" s="2" t="str">
        <x:v>sale_assumed</x:v>
      </x:c>
      <x:c r="G1869" s="11" t="n">
        <x:v>108</x:v>
      </x:c>
      <x:c r="H1869" s="12" t="n">
        <x:v>1595000000</x:v>
      </x:c>
      <x:c r="I1869" s="12" t="n">
        <x:v>14768518.518518519</x:v>
      </x:c>
      <x:c r="J1869" s="2" t="str">
        <x:v>total</x:v>
      </x:c>
      <x:c r="K1869" s="2" t="str">
        <x:v>top_level_area</x:v>
      </x:c>
      <x:c r="L1869" s="2" t="str">
        <x:v>property_type_inferred_from_title;transaction_assumed_sale_from_dataset_context</x:v>
      </x:c>
      <x:c r="M1869" s="10" t="n">
        <x:v>0</x:v>
      </x:c>
      <x:c r="N1869" s="10" t="n">
        <x:v>0</x:v>
      </x:c>
      <x:c r="O1869" s="2" t="str">
        <x:v>Tp Hồ Chí Minh|land</x:v>
      </x:c>
      <x:c r="P1869" s="10" t="n">
        <x:v>2</x:v>
      </x:c>
      <x:c r="Q1869" s="13" t="n">
        <x:f>IF(H1869="","",H1869/1000000000)</x:f>
        <x:v>1.595</x:v>
      </x:c>
      <x:c r="R1869" s="13" t="n">
        <x:f>IF(I1869="","",I1869/1000000)</x:f>
        <x:v>14.768518518518519</x:v>
      </x:c>
    </x:row>
    <x:row r="1870" ht="21" customHeight="1">
      <x:c r="A1870" s="10" t="n">
        <x:v>2763</x:v>
      </x:c>
      <x:c r="B1870" s="2" t="str">
        <x:v>d5f2726b298f6819f333</x:v>
      </x:c>
      <x:c r="C1870" s="2" t="str">
        <x:v>Tp Hồ Chí Minh</x:v>
      </x:c>
      <x:c r="D1870" s="2" t="str">
        <x:v>Quận Bình Tân</x:v>
      </x:c>
      <x:c r="E1870" s="2" t="str">
        <x:v>house</x:v>
      </x:c>
      <x:c r="F1870" s="2" t="str">
        <x:v>sale_assumed</x:v>
      </x:c>
      <x:c r="G1870" s="11" t="n">
        <x:v>30</x:v>
      </x:c>
      <x:c r="H1870" s="12" t="n">
        <x:v>1190000000</x:v>
      </x:c>
      <x:c r="I1870" s="12" t="n">
        <x:v>39666666.666666664</x:v>
      </x:c>
      <x:c r="J1870" s="2" t="str">
        <x:v>total</x:v>
      </x:c>
      <x:c r="K1870" s="2" t="str">
        <x:v>top_level_area</x:v>
      </x:c>
      <x:c r="L1870" s="2" t="str">
        <x:v>property_type_inferred_from_title;transaction_assumed_sale_from_dataset_context</x:v>
      </x:c>
      <x:c r="M1870" s="10" t="n">
        <x:v>0</x:v>
      </x:c>
      <x:c r="N1870" s="10" t="n">
        <x:v>0</x:v>
      </x:c>
      <x:c r="O1870" s="2" t="str">
        <x:v>Tp Hồ Chí Minh|house</x:v>
      </x:c>
      <x:c r="P1870" s="10" t="n">
        <x:v>2</x:v>
      </x:c>
      <x:c r="Q1870" s="13" t="n">
        <x:f>IF(H1870="","",H1870/1000000000)</x:f>
        <x:v>1.19</x:v>
      </x:c>
      <x:c r="R1870" s="13" t="n">
        <x:f>IF(I1870="","",I1870/1000000)</x:f>
        <x:v>39.666666666666664</x:v>
      </x:c>
    </x:row>
    <x:row r="1871" ht="21" customHeight="1">
      <x:c r="A1871" s="10" t="n">
        <x:v>2764</x:v>
      </x:c>
      <x:c r="B1871" s="2" t="str">
        <x:v>fcdf0be2d270ef8af7fa</x:v>
      </x:c>
      <x:c r="C1871" s="2" t="str">
        <x:v>Tp Hồ Chí Minh</x:v>
      </x:c>
      <x:c r="D1871" s="2" t="str">
        <x:v>Quận 7</x:v>
      </x:c>
      <x:c r="E1871" s="2" t="str">
        <x:v>land</x:v>
      </x:c>
      <x:c r="F1871" s="2" t="str">
        <x:v>sale</x:v>
      </x:c>
      <x:c r="G1871" s="11" t="n">
        <x:v>125</x:v>
      </x:c>
      <x:c r="H1871" s="12" t="n">
        <x:v>2700000000</x:v>
      </x:c>
      <x:c r="I1871" s="12" t="n">
        <x:v>21600000</x:v>
      </x:c>
      <x:c r="J1871" s="2" t="str">
        <x:v>total</x:v>
      </x:c>
      <x:c r="K1871" s="2" t="str">
        <x:v>top_level_area</x:v>
      </x:c>
      <x:c r="L1871" s="2" t="str">
        <x:v>property_type_inferred_from_title</x:v>
      </x:c>
      <x:c r="M1871" s="10" t="n">
        <x:v>0</x:v>
      </x:c>
      <x:c r="N1871" s="10" t="n">
        <x:v>0</x:v>
      </x:c>
      <x:c r="O1871" s="2" t="str">
        <x:v>Tp Hồ Chí Minh|land</x:v>
      </x:c>
      <x:c r="P1871" s="10" t="n">
        <x:v>2</x:v>
      </x:c>
      <x:c r="Q1871" s="13" t="n">
        <x:f>IF(H1871="","",H1871/1000000000)</x:f>
        <x:v>2.7</x:v>
      </x:c>
      <x:c r="R1871" s="13" t="n">
        <x:f>IF(I1871="","",I1871/1000000)</x:f>
        <x:v>21.6</x:v>
      </x:c>
    </x:row>
    <x:row r="1872" ht="21" customHeight="1">
      <x:c r="A1872" s="10" t="n">
        <x:v>2765</x:v>
      </x:c>
      <x:c r="B1872" s="2" t="str">
        <x:v>fecb9e8b09cc862ef090</x:v>
      </x:c>
      <x:c r="C1872" s="2" t="str">
        <x:v>Tp Hồ Chí Minh</x:v>
      </x:c>
      <x:c r="D1872" s="2" t="str">
        <x:v>Quận Tân Phú</x:v>
      </x:c>
      <x:c r="E1872" s="2" t="str">
        <x:v>house</x:v>
      </x:c>
      <x:c r="F1872" s="2" t="str">
        <x:v>sale</x:v>
      </x:c>
      <x:c r="G1872" s="11" t="n">
        <x:v>20</x:v>
      </x:c>
      <x:c r="H1872" s="12" t="n">
        <x:v>1850000000</x:v>
      </x:c>
      <x:c r="I1872" s="12" t="n">
        <x:v>92500000</x:v>
      </x:c>
      <x:c r="J1872" s="2" t="str">
        <x:v>total</x:v>
      </x:c>
      <x:c r="K1872" s="2" t="str">
        <x:v>top_level_area</x:v>
      </x:c>
      <x:c r="L1872" s="2" t="str">
        <x:v>property_type_inferred_from_title</x:v>
      </x:c>
      <x:c r="M1872" s="10" t="n">
        <x:v>0</x:v>
      </x:c>
      <x:c r="N1872" s="10" t="n">
        <x:v>0</x:v>
      </x:c>
      <x:c r="O1872" s="2" t="str">
        <x:v>Tp Hồ Chí Minh|house</x:v>
      </x:c>
      <x:c r="P1872" s="10" t="n">
        <x:v>2</x:v>
      </x:c>
      <x:c r="Q1872" s="13" t="n">
        <x:f>IF(H1872="","",H1872/1000000000)</x:f>
        <x:v>1.85</x:v>
      </x:c>
      <x:c r="R1872" s="13" t="n">
        <x:f>IF(I1872="","",I1872/1000000)</x:f>
        <x:v>92.5</x:v>
      </x:c>
    </x:row>
    <x:row r="1873" ht="21" customHeight="1">
      <x:c r="A1873" s="10" t="n">
        <x:v>2766</x:v>
      </x:c>
      <x:c r="B1873" s="2" t="str">
        <x:v>5dd731882871e1345f04</x:v>
      </x:c>
      <x:c r="C1873" s="2" t="str">
        <x:v>Hậu Giang</x:v>
      </x:c>
      <x:c r="D1873" s="2" t="str">
        <x:v>Huyện Châu Thành</x:v>
      </x:c>
      <x:c r="E1873" s="2" t="str">
        <x:v>land</x:v>
      </x:c>
      <x:c r="F1873" s="2" t="str">
        <x:v>sale_assumed</x:v>
      </x:c>
      <x:c r="G1873" s="11" t="n">
        <x:v>80</x:v>
      </x:c>
      <x:c r="H1873" s="12" t="n">
        <x:v>665000000</x:v>
      </x:c>
      <x:c r="I1873" s="12" t="n">
        <x:v>8312500</x:v>
      </x:c>
      <x:c r="J1873" s="2" t="str">
        <x:v>total</x:v>
      </x:c>
      <x:c r="K1873" s="2" t="str">
        <x:v>top_level_area</x:v>
      </x:c>
      <x:c r="L1873" s="2" t="str">
        <x:v>property_type_inferred_from_title;transaction_assumed_sale_from_dataset_context</x:v>
      </x:c>
      <x:c r="M1873" s="10" t="n">
        <x:v>0</x:v>
      </x:c>
      <x:c r="N1873" s="10" t="n">
        <x:v>0</x:v>
      </x:c>
      <x:c r="O1873" s="2" t="str">
        <x:v>land</x:v>
      </x:c>
      <x:c r="P1873" s="10" t="n">
        <x:v>2</x:v>
      </x:c>
      <x:c r="Q1873" s="13" t="n">
        <x:f>IF(H1873="","",H1873/1000000000)</x:f>
        <x:v>0.665</x:v>
      </x:c>
      <x:c r="R1873" s="13" t="n">
        <x:f>IF(I1873="","",I1873/1000000)</x:f>
        <x:v>8.3125</x:v>
      </x:c>
    </x:row>
    <x:row r="1874" ht="21" customHeight="1">
      <x:c r="A1874" s="10" t="n">
        <x:v>2769</x:v>
      </x:c>
      <x:c r="B1874" s="2" t="str">
        <x:v>759bbddb047975943e3c</x:v>
      </x:c>
      <x:c r="C1874" s="2" t="str">
        <x:v>Tp Hồ Chí Minh</x:v>
      </x:c>
      <x:c r="D1874" s="2" t="str">
        <x:v>Quận Thủ Đức</x:v>
      </x:c>
      <x:c r="E1874" s="2" t="str">
        <x:v>other_unknown</x:v>
      </x:c>
      <x:c r="F1874" s="2" t="str">
        <x:v>sale</x:v>
      </x:c>
      <x:c r="G1874" s="11" t="n">
        <x:v>92</x:v>
      </x:c>
      <x:c r="H1874" s="12" t="n">
        <x:v>4400000000</x:v>
      </x:c>
      <x:c r="I1874" s="12" t="n">
        <x:v>47826086.95652174</x:v>
      </x:c>
      <x:c r="J1874" s="2" t="str">
        <x:v>total</x:v>
      </x:c>
      <x:c r="K1874" s="2" t="str">
        <x:v>top_level_area</x:v>
      </x:c>
      <x:c r="L1874" s="2" t="str">
        <x:v>property_type_inferred_from_title;unknown_property_type</x:v>
      </x:c>
      <x:c r="M1874" s="10" t="n">
        <x:v>0</x:v>
      </x:c>
      <x:c r="N1874" s="10" t="n">
        <x:v>0</x:v>
      </x:c>
      <x:c r="O1874" s="2" t="str">
        <x:v>Tp Hồ Chí Minh|other_unknown</x:v>
      </x:c>
      <x:c r="P1874" s="10" t="n">
        <x:v>2</x:v>
      </x:c>
      <x:c r="Q1874" s="13" t="n">
        <x:f>IF(H1874="","",H1874/1000000000)</x:f>
        <x:v>4.4</x:v>
      </x:c>
      <x:c r="R1874" s="13" t="n">
        <x:f>IF(I1874="","",I1874/1000000)</x:f>
        <x:v>47.82608695652174</x:v>
      </x:c>
    </x:row>
    <x:row r="1875" ht="21" customHeight="1">
      <x:c r="A1875" s="10" t="n">
        <x:v>2770</x:v>
      </x:c>
      <x:c r="B1875" s="2" t="str">
        <x:v>a9d3ff3aa0b3db7d2633</x:v>
      </x:c>
      <x:c r="C1875" s="2" t="str">
        <x:v>Tp Hồ Chí Minh</x:v>
      </x:c>
      <x:c r="D1875" s="2" t="str">
        <x:v>Huyện Củ Chi</x:v>
      </x:c>
      <x:c r="E1875" s="2" t="str">
        <x:v>house</x:v>
      </x:c>
      <x:c r="F1875" s="2" t="str">
        <x:v>sale_assumed</x:v>
      </x:c>
      <x:c r="G1875" s="11" t="n">
        <x:v>868</x:v>
      </x:c>
      <x:c r="H1875" s="12" t="n">
        <x:v>4900000000</x:v>
      </x:c>
      <x:c r="I1875" s="12" t="n">
        <x:v>5645161.29032258</x:v>
      </x:c>
      <x:c r="J1875" s="2" t="str">
        <x:v>total</x:v>
      </x:c>
      <x:c r="K1875" s="2" t="str">
        <x:v>top_level_area</x:v>
      </x:c>
      <x:c r="L1875" s="2" t="str">
        <x:v>property_type_inferred_from_title;transaction_assumed_sale_from_dataset_context</x:v>
      </x:c>
      <x:c r="M1875" s="10" t="n">
        <x:v>0</x:v>
      </x:c>
      <x:c r="N1875" s="10" t="n">
        <x:v>0</x:v>
      </x:c>
      <x:c r="O1875" s="2" t="str">
        <x:v>Tp Hồ Chí Minh|house</x:v>
      </x:c>
      <x:c r="P1875" s="10" t="n">
        <x:v>1</x:v>
      </x:c>
      <x:c r="Q1875" s="13" t="n">
        <x:f>IF(H1875="","",H1875/1000000000)</x:f>
        <x:v>4.9</x:v>
      </x:c>
      <x:c r="R1875" s="13" t="n">
        <x:f>IF(I1875="","",I1875/1000000)</x:f>
        <x:v>5.64516129032258</x:v>
      </x:c>
    </x:row>
    <x:row r="1876" ht="21" customHeight="1">
      <x:c r="A1876" s="10" t="n">
        <x:v>2771</x:v>
      </x:c>
      <x:c r="B1876" s="2" t="str">
        <x:v>851054488b6cd0c9a828</x:v>
      </x:c>
      <x:c r="C1876" s="2" t="str">
        <x:v>Đà Nẵng</x:v>
      </x:c>
      <x:c r="D1876" s="2" t="str">
        <x:v>Quận Sơn Trà</x:v>
      </x:c>
      <x:c r="E1876" s="2" t="str">
        <x:v>apartment</x:v>
      </x:c>
      <x:c r="F1876" s="2" t="str">
        <x:v>sale_assumed</x:v>
      </x:c>
      <x:c r="G1876" s="11" t="n">
        <x:v>52</x:v>
      </x:c>
      <x:c r="H1876" s="12" t="n">
        <x:v>1160000000</x:v>
      </x:c>
      <x:c r="I1876" s="12" t="n">
        <x:v>22307692.307692308</x:v>
      </x:c>
      <x:c r="J1876" s="2" t="str">
        <x:v>total</x:v>
      </x:c>
      <x:c r="K1876" s="2" t="str">
        <x:v>top_level_area</x:v>
      </x:c>
      <x:c r="L1876" s="2" t="str">
        <x:v>property_type_inferred_from_title;transaction_assumed_sale_from_dataset_context</x:v>
      </x:c>
      <x:c r="M1876" s="10" t="n">
        <x:v>0</x:v>
      </x:c>
      <x:c r="N1876" s="10" t="n">
        <x:v>0</x:v>
      </x:c>
      <x:c r="O1876" s="2" t="str">
        <x:v>apartment</x:v>
      </x:c>
      <x:c r="P1876" s="10" t="n">
        <x:v>2</x:v>
      </x:c>
      <x:c r="Q1876" s="13" t="n">
        <x:f>IF(H1876="","",H1876/1000000000)</x:f>
        <x:v>1.16</x:v>
      </x:c>
      <x:c r="R1876" s="13" t="n">
        <x:f>IF(I1876="","",I1876/1000000)</x:f>
        <x:v>22.307692307692307</x:v>
      </x:c>
    </x:row>
    <x:row r="1877" ht="21" customHeight="1">
      <x:c r="A1877" s="10" t="n">
        <x:v>2772</x:v>
      </x:c>
      <x:c r="B1877" s="2" t="str">
        <x:v>07e39455af8697f72743</x:v>
      </x:c>
      <x:c r="C1877" s="2" t="str">
        <x:v>Bình Dương</x:v>
      </x:c>
      <x:c r="D1877" s="2" t="str">
        <x:v>Thị xã Thuận An</x:v>
      </x:c>
      <x:c r="E1877" s="2" t="str">
        <x:v>other_unknown</x:v>
      </x:c>
      <x:c r="F1877" s="2" t="str">
        <x:v>sale</x:v>
      </x:c>
      <x:c r="G1877" s="11" t="n">
        <x:v>40</x:v>
      </x:c>
      <x:c r="H1877" s="12" t="n">
        <x:v>8850000000</x:v>
      </x:c>
      <x:c r="I1877" s="12" t="n">
        <x:v>221250000</x:v>
      </x:c>
      <x:c r="J1877" s="2" t="str">
        <x:v>total</x:v>
      </x:c>
      <x:c r="K1877" s="2" t="str">
        <x:v>top_level_area</x:v>
      </x:c>
      <x:c r="L1877" s="2" t="str">
        <x:v>property_type_inferred_from_title;unknown_property_type</x:v>
      </x:c>
      <x:c r="M1877" s="10" t="n">
        <x:v>1</x:v>
      </x:c>
      <x:c r="N1877" s="10" t="n">
        <x:v>1</x:v>
      </x:c>
      <x:c r="O1877" s="2" t="str">
        <x:v>Bình Dương|other_unknown</x:v>
      </x:c>
      <x:c r="P1877" s="10" t="n">
        <x:v>-1</x:v>
      </x:c>
      <x:c r="Q1877" s="13" t="n">
        <x:f>IF(H1877="","",H1877/1000000000)</x:f>
        <x:v>8.85</x:v>
      </x:c>
      <x:c r="R1877" s="13" t="n">
        <x:f>IF(I1877="","",I1877/1000000)</x:f>
        <x:v>221.25</x:v>
      </x:c>
    </x:row>
    <x:row r="1878" ht="21" customHeight="1">
      <x:c r="A1878" s="10" t="n">
        <x:v>2773</x:v>
      </x:c>
      <x:c r="B1878" s="2" t="str">
        <x:v>e66664d9c8688b6aff6f</x:v>
      </x:c>
      <x:c r="C1878" s="2" t="str">
        <x:v>Tp Hồ Chí Minh</x:v>
      </x:c>
      <x:c r="D1878" s="2" t="str">
        <x:v>Huyện Củ Chi</x:v>
      </x:c>
      <x:c r="E1878" s="2" t="str">
        <x:v>land</x:v>
      </x:c>
      <x:c r="F1878" s="2" t="str">
        <x:v>sale</x:v>
      </x:c>
      <x:c r="G1878" s="11" t="n">
        <x:v>75</x:v>
      </x:c>
      <x:c r="H1878" s="12" t="n">
        <x:v>489000000</x:v>
      </x:c>
      <x:c r="I1878" s="12" t="n">
        <x:v>6520000</x:v>
      </x:c>
      <x:c r="J1878" s="2" t="str">
        <x:v>total</x:v>
      </x:c>
      <x:c r="K1878" s="2" t="str">
        <x:v>top_level_area</x:v>
      </x:c>
      <x:c r="L1878" s="2" t="str">
        <x:v>property_type_inferred_from_title</x:v>
      </x:c>
      <x:c r="M1878" s="10" t="n">
        <x:v>0</x:v>
      </x:c>
      <x:c r="N1878" s="10" t="n">
        <x:v>0</x:v>
      </x:c>
      <x:c r="O1878" s="2" t="str">
        <x:v>Tp Hồ Chí Minh|land</x:v>
      </x:c>
      <x:c r="P1878" s="10" t="n">
        <x:v>2</x:v>
      </x:c>
      <x:c r="Q1878" s="13" t="n">
        <x:f>IF(H1878="","",H1878/1000000000)</x:f>
        <x:v>0.489</x:v>
      </x:c>
      <x:c r="R1878" s="13" t="n">
        <x:f>IF(I1878="","",I1878/1000000)</x:f>
        <x:v>6.52</x:v>
      </x:c>
    </x:row>
    <x:row r="1879" ht="21" customHeight="1">
      <x:c r="A1879" s="10" t="n">
        <x:v>2774</x:v>
      </x:c>
      <x:c r="B1879" s="2" t="str">
        <x:v>035fba059ee9f4c6f29e</x:v>
      </x:c>
      <x:c r="C1879" s="2" t="str">
        <x:v>Tp Hồ Chí Minh</x:v>
      </x:c>
      <x:c r="D1879" s="2" t="str">
        <x:v>Huyện Hóc Môn</x:v>
      </x:c>
      <x:c r="E1879" s="2" t="str">
        <x:v>house</x:v>
      </x:c>
      <x:c r="F1879" s="2" t="str">
        <x:v>sale</x:v>
      </x:c>
      <x:c r="G1879" s="11" t="n">
        <x:v>33</x:v>
      </x:c>
      <x:c r="H1879" s="12" t="n">
        <x:v>950000000</x:v>
      </x:c>
      <x:c r="I1879" s="12" t="n">
        <x:v>28787878.78787879</x:v>
      </x:c>
      <x:c r="J1879" s="2" t="str">
        <x:v>total</x:v>
      </x:c>
      <x:c r="K1879" s="2" t="str">
        <x:v>top_level_area</x:v>
      </x:c>
      <x:c r="L1879" s="2" t="str">
        <x:v>property_type_inferred_from_title</x:v>
      </x:c>
      <x:c r="M1879" s="10" t="n">
        <x:v>0</x:v>
      </x:c>
      <x:c r="N1879" s="10" t="n">
        <x:v>0</x:v>
      </x:c>
      <x:c r="O1879" s="2" t="str">
        <x:v>Tp Hồ Chí Minh|house</x:v>
      </x:c>
      <x:c r="P1879" s="10" t="n">
        <x:v>2</x:v>
      </x:c>
      <x:c r="Q1879" s="13" t="n">
        <x:f>IF(H1879="","",H1879/1000000000)</x:f>
        <x:v>0.95</x:v>
      </x:c>
      <x:c r="R1879" s="13" t="n">
        <x:f>IF(I1879="","",I1879/1000000)</x:f>
        <x:v>28.78787878787879</x:v>
      </x:c>
    </x:row>
    <x:row r="1880" ht="21" customHeight="1">
      <x:c r="A1880" s="10" t="n">
        <x:v>2775</x:v>
      </x:c>
      <x:c r="B1880" s="2" t="str">
        <x:v>d349e64eaaadb18906eb</x:v>
      </x:c>
      <x:c r="C1880" s="2" t="str">
        <x:v>Tp Hồ Chí Minh</x:v>
      </x:c>
      <x:c r="D1880" s="2" t="str">
        <x:v>Huyện Củ Chi</x:v>
      </x:c>
      <x:c r="E1880" s="2" t="str">
        <x:v>house</x:v>
      </x:c>
      <x:c r="F1880" s="2" t="str">
        <x:v>sale</x:v>
      </x:c>
      <x:c r="G1880" s="11" t="n">
        <x:v>100</x:v>
      </x:c>
      <x:c r="H1880" s="12" t="n">
        <x:v>890000000</x:v>
      </x:c>
      <x:c r="I1880" s="12" t="n">
        <x:v>8900000</x:v>
      </x:c>
      <x:c r="J1880" s="2" t="str">
        <x:v>total</x:v>
      </x:c>
      <x:c r="K1880" s="2" t="str">
        <x:v>top_level_area</x:v>
      </x:c>
      <x:c r="L1880" s="2" t="str">
        <x:v>property_type_inferred_from_title</x:v>
      </x:c>
      <x:c r="M1880" s="10" t="n">
        <x:v>0</x:v>
      </x:c>
      <x:c r="N1880" s="10" t="n">
        <x:v>0</x:v>
      </x:c>
      <x:c r="O1880" s="2" t="str">
        <x:v>Tp Hồ Chí Minh|house</x:v>
      </x:c>
      <x:c r="P1880" s="10" t="n">
        <x:v>2</x:v>
      </x:c>
      <x:c r="Q1880" s="13" t="n">
        <x:f>IF(H1880="","",H1880/1000000000)</x:f>
        <x:v>0.89</x:v>
      </x:c>
      <x:c r="R1880" s="13" t="n">
        <x:f>IF(I1880="","",I1880/1000000)</x:f>
        <x:v>8.9</x:v>
      </x:c>
    </x:row>
    <x:row r="1881" ht="21" customHeight="1">
      <x:c r="A1881" s="10" t="n">
        <x:v>2776</x:v>
      </x:c>
      <x:c r="B1881" s="2" t="str">
        <x:v>2b7c27547a486563a3b0</x:v>
      </x:c>
      <x:c r="C1881" s="2" t="str">
        <x:v>Hà Nội</x:v>
      </x:c>
      <x:c r="D1881" s="2" t="str">
        <x:v>Quận Nam Từ Liêm</x:v>
      </x:c>
      <x:c r="E1881" s="2" t="str">
        <x:v>other_unknown</x:v>
      </x:c>
      <x:c r="F1881" s="2" t="str">
        <x:v>sale_assumed</x:v>
      </x:c>
      <x:c r="G1881" s="11" t="n">
        <x:v>80</x:v>
      </x:c>
      <x:c r="H1881" s="12" t="n">
        <x:v>7000000000</x:v>
      </x:c>
      <x:c r="I1881" s="12" t="n">
        <x:v>87500000</x:v>
      </x:c>
      <x:c r="J1881" s="2" t="str">
        <x:v>total</x:v>
      </x:c>
      <x:c r="K1881" s="2" t="str">
        <x:v>top_level_area</x:v>
      </x:c>
      <x:c r="L1881" s="2" t="str">
        <x:v>property_type_inferred_from_title;transaction_assumed_sale_from_dataset_context;unknown_property_type</x:v>
      </x:c>
      <x:c r="M1881" s="10" t="n">
        <x:v>0</x:v>
      </x:c>
      <x:c r="N1881" s="10" t="n">
        <x:v>0</x:v>
      </x:c>
      <x:c r="O1881" s="2" t="str">
        <x:v>Hà Nội|other_unknown</x:v>
      </x:c>
      <x:c r="P1881" s="10" t="n">
        <x:v>2</x:v>
      </x:c>
      <x:c r="Q1881" s="13" t="n">
        <x:f>IF(H1881="","",H1881/1000000000)</x:f>
        <x:v>7</x:v>
      </x:c>
      <x:c r="R1881" s="13" t="n">
        <x:f>IF(I1881="","",I1881/1000000)</x:f>
        <x:v>87.5</x:v>
      </x:c>
    </x:row>
    <x:row r="1882" ht="21" customHeight="1">
      <x:c r="A1882" s="10" t="n">
        <x:v>2777</x:v>
      </x:c>
      <x:c r="B1882" s="2" t="str">
        <x:v>ccc1fad722b618a49e96</x:v>
      </x:c>
      <x:c r="C1882" s="2" t="str">
        <x:v>Tp Hồ Chí Minh</x:v>
      </x:c>
      <x:c r="D1882" s="2" t="str">
        <x:v>Quận Phú Nhuận</x:v>
      </x:c>
      <x:c r="E1882" s="2" t="str">
        <x:v>house</x:v>
      </x:c>
      <x:c r="F1882" s="2" t="str">
        <x:v>sale_assumed</x:v>
      </x:c>
      <x:c r="G1882" s="11" t="n">
        <x:v>60</x:v>
      </x:c>
      <x:c r="H1882" s="12" t="n">
        <x:v>970000000</x:v>
      </x:c>
      <x:c r="I1882" s="12" t="n">
        <x:v>16166666.666666666</x:v>
      </x:c>
      <x:c r="J1882" s="2" t="str">
        <x:v>total</x:v>
      </x:c>
      <x:c r="K1882" s="2" t="str">
        <x:v>top_level_area</x:v>
      </x:c>
      <x:c r="L1882" s="2" t="str">
        <x:v>property_type_inferred_from_title;transaction_assumed_sale_from_dataset_context</x:v>
      </x:c>
      <x:c r="M1882" s="10" t="n">
        <x:v>0</x:v>
      </x:c>
      <x:c r="N1882" s="10" t="n">
        <x:v>0</x:v>
      </x:c>
      <x:c r="O1882" s="2" t="str">
        <x:v>Tp Hồ Chí Minh|house</x:v>
      </x:c>
      <x:c r="P1882" s="10" t="n">
        <x:v>2</x:v>
      </x:c>
      <x:c r="Q1882" s="13" t="n">
        <x:f>IF(H1882="","",H1882/1000000000)</x:f>
        <x:v>0.97</x:v>
      </x:c>
      <x:c r="R1882" s="13" t="n">
        <x:f>IF(I1882="","",I1882/1000000)</x:f>
        <x:v>16.166666666666664</x:v>
      </x:c>
    </x:row>
    <x:row r="1883" ht="21" customHeight="1">
      <x:c r="A1883" s="10" t="n">
        <x:v>2778</x:v>
      </x:c>
      <x:c r="B1883" s="2" t="str">
        <x:v>0268075fa6f314ef06aa</x:v>
      </x:c>
      <x:c r="C1883" s="2" t="str">
        <x:v>Tp Hồ Chí Minh</x:v>
      </x:c>
      <x:c r="D1883" s="2" t="str">
        <x:v>Quận 6</x:v>
      </x:c>
      <x:c r="E1883" s="2" t="str">
        <x:v>house</x:v>
      </x:c>
      <x:c r="F1883" s="2" t="str">
        <x:v>sale</x:v>
      </x:c>
      <x:c r="G1883" s="11" t="n">
        <x:v>68</x:v>
      </x:c>
      <x:c r="H1883" s="12" t="n">
        <x:v>1240000000</x:v>
      </x:c>
      <x:c r="I1883" s="12" t="n">
        <x:v>18235294.11764706</x:v>
      </x:c>
      <x:c r="J1883" s="2" t="str">
        <x:v>total</x:v>
      </x:c>
      <x:c r="K1883" s="2" t="str">
        <x:v>top_level_area</x:v>
      </x:c>
      <x:c r="L1883" s="2" t="str">
        <x:v>property_type_inferred_from_title</x:v>
      </x:c>
      <x:c r="M1883" s="10" t="n">
        <x:v>0</x:v>
      </x:c>
      <x:c r="N1883" s="10" t="n">
        <x:v>0</x:v>
      </x:c>
      <x:c r="O1883" s="2" t="str">
        <x:v>Tp Hồ Chí Minh|house</x:v>
      </x:c>
      <x:c r="P1883" s="10" t="n">
        <x:v>2</x:v>
      </x:c>
      <x:c r="Q1883" s="13" t="n">
        <x:f>IF(H1883="","",H1883/1000000000)</x:f>
        <x:v>1.24</x:v>
      </x:c>
      <x:c r="R1883" s="13" t="n">
        <x:f>IF(I1883="","",I1883/1000000)</x:f>
        <x:v>18.235294117647058</x:v>
      </x:c>
    </x:row>
    <x:row r="1884" ht="21" customHeight="1">
      <x:c r="A1884" s="10" t="n">
        <x:v>2779</x:v>
      </x:c>
      <x:c r="B1884" s="2" t="str">
        <x:v>6f6b9eedc65ec55f062a</x:v>
      </x:c>
      <x:c r="C1884" s="2" t="str">
        <x:v>Lâm Đồng</x:v>
      </x:c>
      <x:c r="D1884" s="2" t="str">
        <x:v>Thành phố Đà Lạt</x:v>
      </x:c>
      <x:c r="E1884" s="2" t="str">
        <x:v>other_unknown</x:v>
      </x:c>
      <x:c r="F1884" s="2" t="str">
        <x:v>sale_assumed</x:v>
      </x:c>
      <x:c r="G1884" s="11" t="n">
        <x:v>1600</x:v>
      </x:c>
      <x:c r="H1884" s="12" t="n">
        <x:v>2100000000</x:v>
      </x:c>
      <x:c r="I1884" s="12" t="n">
        <x:v>1312500</x:v>
      </x:c>
      <x:c r="J1884" s="2" t="str">
        <x:v>total</x:v>
      </x:c>
      <x:c r="K1884" s="2" t="str">
        <x:v>top_level_area</x:v>
      </x:c>
      <x:c r="L1884" s="2" t="str">
        <x:v>dot_thousands_convention;property_type_inferred_from_title;transaction_assumed_sale_from_dataset_context;unknown_property_type</x:v>
      </x:c>
      <x:c r="M1884" s="10" t="n">
        <x:v>0</x:v>
      </x:c>
      <x:c r="N1884" s="10" t="n">
        <x:v>0</x:v>
      </x:c>
      <x:c r="O1884" s="2" t="str">
        <x:v>other_unknown</x:v>
      </x:c>
      <x:c r="P1884" s="10" t="n">
        <x:v>1</x:v>
      </x:c>
      <x:c r="Q1884" s="13" t="n">
        <x:f>IF(H1884="","",H1884/1000000000)</x:f>
        <x:v>2.1</x:v>
      </x:c>
      <x:c r="R1884" s="13" t="n">
        <x:f>IF(I1884="","",I1884/1000000)</x:f>
        <x:v>1.3125</x:v>
      </x:c>
    </x:row>
    <x:row r="1885" ht="21" customHeight="1">
      <x:c r="A1885" s="10" t="n">
        <x:v>2780</x:v>
      </x:c>
      <x:c r="B1885" s="2" t="str">
        <x:v>55e0322eb304e15b8b9f</x:v>
      </x:c>
      <x:c r="C1885" s="2" t="str">
        <x:v>Bình Dương</x:v>
      </x:c>
      <x:c r="D1885" s="2" t="str">
        <x:v>Thị xã Thuận An</x:v>
      </x:c>
      <x:c r="E1885" s="2" t="str">
        <x:v>house</x:v>
      </x:c>
      <x:c r="F1885" s="2" t="str">
        <x:v>sale</x:v>
      </x:c>
      <x:c r="G1885" s="11" t="n">
        <x:v>77</x:v>
      </x:c>
      <x:c r="H1885" s="12" t="n">
        <x:v>1800000000</x:v>
      </x:c>
      <x:c r="I1885" s="12" t="n">
        <x:v>23376623.376623377</x:v>
      </x:c>
      <x:c r="J1885" s="2" t="str">
        <x:v>total</x:v>
      </x:c>
      <x:c r="K1885" s="2" t="str">
        <x:v>top_level_area</x:v>
      </x:c>
      <x:c r="L1885" s="2" t="str">
        <x:v>property_type_inferred_from_title</x:v>
      </x:c>
      <x:c r="M1885" s="10" t="n">
        <x:v>0</x:v>
      </x:c>
      <x:c r="N1885" s="10" t="n">
        <x:v>0</x:v>
      </x:c>
      <x:c r="O1885" s="2" t="str">
        <x:v>Bình Dương|house</x:v>
      </x:c>
      <x:c r="P1885" s="10" t="n">
        <x:v>2</x:v>
      </x:c>
      <x:c r="Q1885" s="13" t="n">
        <x:f>IF(H1885="","",H1885/1000000000)</x:f>
        <x:v>1.8</x:v>
      </x:c>
      <x:c r="R1885" s="13" t="n">
        <x:f>IF(I1885="","",I1885/1000000)</x:f>
        <x:v>23.376623376623378</x:v>
      </x:c>
    </x:row>
    <x:row r="1886" ht="21" customHeight="1">
      <x:c r="A1886" s="10" t="n">
        <x:v>2781</x:v>
      </x:c>
      <x:c r="B1886" s="2" t="str">
        <x:v>67ff5ce8e4643564993b</x:v>
      </x:c>
      <x:c r="C1886" s="2" t="str">
        <x:v>Đồng Nai</x:v>
      </x:c>
      <x:c r="D1886" s="2" t="str">
        <x:v>Huyện Long Thành</x:v>
      </x:c>
      <x:c r="E1886" s="2" t="str">
        <x:v>other_unknown</x:v>
      </x:c>
      <x:c r="F1886" s="2" t="str">
        <x:v>sale_assumed</x:v>
      </x:c>
      <x:c r="G1886" s="11" t="n">
        <x:v>131</x:v>
      </x:c>
      <x:c r="H1886" s="12" t="n">
        <x:v>1100000000</x:v>
      </x:c>
      <x:c r="I1886" s="12" t="n">
        <x:v>8396946.564885497</x:v>
      </x:c>
      <x:c r="J1886" s="2" t="str">
        <x:v>total</x:v>
      </x:c>
      <x:c r="K1886" s="2" t="str">
        <x:v>top_level_area</x:v>
      </x:c>
      <x:c r="L1886" s="2" t="str">
        <x:v>property_type_inferred_from_title;transaction_assumed_sale_from_dataset_context;unknown_property_type</x:v>
      </x:c>
      <x:c r="M1886" s="10" t="n">
        <x:v>0</x:v>
      </x:c>
      <x:c r="N1886" s="10" t="n">
        <x:v>0</x:v>
      </x:c>
      <x:c r="O1886" s="2" t="str">
        <x:v>Đồng Nai|other_unknown</x:v>
      </x:c>
      <x:c r="P1886" s="10" t="n">
        <x:v>2</x:v>
      </x:c>
      <x:c r="Q1886" s="13" t="n">
        <x:f>IF(H1886="","",H1886/1000000000)</x:f>
        <x:v>1.1</x:v>
      </x:c>
      <x:c r="R1886" s="13" t="n">
        <x:f>IF(I1886="","",I1886/1000000)</x:f>
        <x:v>8.396946564885496</x:v>
      </x:c>
    </x:row>
    <x:row r="1887" ht="21" customHeight="1">
      <x:c r="A1887" s="10" t="n">
        <x:v>2782</x:v>
      </x:c>
      <x:c r="B1887" s="2" t="str">
        <x:v>1051b43534908cff2edd</x:v>
      </x:c>
      <x:c r="C1887" s="2" t="str">
        <x:v>Hà Nội</x:v>
      </x:c>
      <x:c r="D1887" s="2" t="str">
        <x:v>Quận Hà Đông</x:v>
      </x:c>
      <x:c r="E1887" s="2" t="str">
        <x:v>other_unknown</x:v>
      </x:c>
      <x:c r="F1887" s="2" t="str">
        <x:v>sale</x:v>
      </x:c>
      <x:c r="G1887" s="11" t="n">
        <x:v>49</x:v>
      </x:c>
      <x:c r="H1887" s="12" t="n">
        <x:v>2300000000</x:v>
      </x:c>
      <x:c r="I1887" s="12" t="n">
        <x:v>46938775.510204084</x:v>
      </x:c>
      <x:c r="J1887" s="2" t="str">
        <x:v>total</x:v>
      </x:c>
      <x:c r="K1887" s="2" t="str">
        <x:v>top_level_area</x:v>
      </x:c>
      <x:c r="L1887" s="2" t="str">
        <x:v>property_type_inferred_from_title;unknown_property_type</x:v>
      </x:c>
      <x:c r="M1887" s="10" t="n">
        <x:v>0</x:v>
      </x:c>
      <x:c r="N1887" s="10" t="n">
        <x:v>0</x:v>
      </x:c>
      <x:c r="O1887" s="2" t="str">
        <x:v>Hà Nội|other_unknown</x:v>
      </x:c>
      <x:c r="P1887" s="10" t="n">
        <x:v>2</x:v>
      </x:c>
      <x:c r="Q1887" s="13" t="n">
        <x:f>IF(H1887="","",H1887/1000000000)</x:f>
        <x:v>2.3</x:v>
      </x:c>
      <x:c r="R1887" s="13" t="n">
        <x:f>IF(I1887="","",I1887/1000000)</x:f>
        <x:v>46.93877551020408</x:v>
      </x:c>
    </x:row>
    <x:row r="1888" ht="21" customHeight="1">
      <x:c r="A1888" s="10" t="n">
        <x:v>2783</x:v>
      </x:c>
      <x:c r="B1888" s="2" t="str">
        <x:v>bf8bd9394bc1e0a2d4d7</x:v>
      </x:c>
      <x:c r="C1888" s="2" t="str">
        <x:v>Bà Rịa - Vũng Tàu</x:v>
      </x:c>
      <x:c r="D1888" s="2" t="str">
        <x:v>Thị xã Phú Mỹ</x:v>
      </x:c>
      <x:c r="E1888" s="2" t="str">
        <x:v>land</x:v>
      </x:c>
      <x:c r="F1888" s="2" t="str">
        <x:v>sale_assumed</x:v>
      </x:c>
      <x:c r="G1888" s="11" t="n">
        <x:v>125</x:v>
      </x:c>
      <x:c r="H1888" s="12" t="n">
        <x:v>515000000</x:v>
      </x:c>
      <x:c r="I1888" s="12" t="n">
        <x:v>4120000</x:v>
      </x:c>
      <x:c r="J1888" s="2" t="str">
        <x:v>total</x:v>
      </x:c>
      <x:c r="K1888" s="2" t="str">
        <x:v>top_level_area</x:v>
      </x:c>
      <x:c r="L1888" s="2" t="str">
        <x:v>property_type_inferred_from_title;transaction_assumed_sale_from_dataset_context</x:v>
      </x:c>
      <x:c r="M1888" s="10" t="n">
        <x:v>0</x:v>
      </x:c>
      <x:c r="N1888" s="10" t="n">
        <x:v>0</x:v>
      </x:c>
      <x:c r="O1888" s="2" t="str">
        <x:v>Bà Rịa - Vũng Tàu|land</x:v>
      </x:c>
      <x:c r="P1888" s="10" t="n">
        <x:v>2</x:v>
      </x:c>
      <x:c r="Q1888" s="13" t="n">
        <x:f>IF(H1888="","",H1888/1000000000)</x:f>
        <x:v>0.515</x:v>
      </x:c>
      <x:c r="R1888" s="13" t="n">
        <x:f>IF(I1888="","",I1888/1000000)</x:f>
        <x:v>4.12</x:v>
      </x:c>
    </x:row>
    <x:row r="1889" ht="21" customHeight="1">
      <x:c r="A1889" s="10" t="n">
        <x:v>2784</x:v>
      </x:c>
      <x:c r="B1889" s="2" t="str">
        <x:v>d27b4ca9d8efe38c4c93</x:v>
      </x:c>
      <x:c r="C1889" s="2" t="str">
        <x:v>Tp Hồ Chí Minh</x:v>
      </x:c>
      <x:c r="D1889" s="2" t="str">
        <x:v>Quận 8</x:v>
      </x:c>
      <x:c r="E1889" s="2" t="str">
        <x:v>house</x:v>
      </x:c>
      <x:c r="F1889" s="2" t="str">
        <x:v>sale</x:v>
      </x:c>
      <x:c r="G1889" s="11" t="n">
        <x:v>40</x:v>
      </x:c>
      <x:c r="H1889" s="12" t="n">
        <x:v>3950000000</x:v>
      </x:c>
      <x:c r="I1889" s="12" t="n">
        <x:v>98750000</x:v>
      </x:c>
      <x:c r="J1889" s="2" t="str">
        <x:v>total</x:v>
      </x:c>
      <x:c r="K1889" s="2" t="str">
        <x:v>top_level_area</x:v>
      </x:c>
      <x:c r="L1889" s="2" t="str">
        <x:v>property_type_inferred_from_title</x:v>
      </x:c>
      <x:c r="M1889" s="10" t="n">
        <x:v>0</x:v>
      </x:c>
      <x:c r="N1889" s="10" t="n">
        <x:v>0</x:v>
      </x:c>
      <x:c r="O1889" s="2" t="str">
        <x:v>Tp Hồ Chí Minh|house</x:v>
      </x:c>
      <x:c r="P1889" s="10" t="n">
        <x:v>2</x:v>
      </x:c>
      <x:c r="Q1889" s="13" t="n">
        <x:f>IF(H1889="","",H1889/1000000000)</x:f>
        <x:v>3.95</x:v>
      </x:c>
      <x:c r="R1889" s="13" t="n">
        <x:f>IF(I1889="","",I1889/1000000)</x:f>
        <x:v>98.75</x:v>
      </x:c>
    </x:row>
    <x:row r="1890" ht="21" customHeight="1">
      <x:c r="A1890" s="10" t="n">
        <x:v>2785</x:v>
      </x:c>
      <x:c r="B1890" s="2" t="str">
        <x:v>b66bf0ab37628c01193e</x:v>
      </x:c>
      <x:c r="C1890" s="2" t="str">
        <x:v>Hà Nội</x:v>
      </x:c>
      <x:c r="D1890" s="2" t="str">
        <x:v>Quận Thanh Xuân</x:v>
      </x:c>
      <x:c r="E1890" s="2" t="str">
        <x:v>house</x:v>
      </x:c>
      <x:c r="F1890" s="2" t="str">
        <x:v>sale</x:v>
      </x:c>
      <x:c r="G1890" s="11" t="n">
        <x:v>55</x:v>
      </x:c>
      <x:c r="H1890" s="12" t="n">
        <x:v>8500000000</x:v>
      </x:c>
      <x:c r="I1890" s="12" t="n">
        <x:v>154545454.54545453</x:v>
      </x:c>
      <x:c r="J1890" s="2" t="str">
        <x:v>total</x:v>
      </x:c>
      <x:c r="K1890" s="2" t="str">
        <x:v>top_level_area</x:v>
      </x:c>
      <x:c r="L1890" s="2" t="str">
        <x:v>property_type_inferred_from_title</x:v>
      </x:c>
      <x:c r="M1890" s="10" t="n">
        <x:v>0</x:v>
      </x:c>
      <x:c r="N1890" s="10" t="n">
        <x:v>0</x:v>
      </x:c>
      <x:c r="O1890" s="2" t="str">
        <x:v>Hà Nội|house</x:v>
      </x:c>
      <x:c r="P1890" s="10" t="n">
        <x:v>2</x:v>
      </x:c>
      <x:c r="Q1890" s="13" t="n">
        <x:f>IF(H1890="","",H1890/1000000000)</x:f>
        <x:v>8.5</x:v>
      </x:c>
      <x:c r="R1890" s="13" t="n">
        <x:f>IF(I1890="","",I1890/1000000)</x:f>
        <x:v>154.54545454545453</x:v>
      </x:c>
    </x:row>
    <x:row r="1891" ht="21" customHeight="1">
      <x:c r="A1891" s="10" t="n">
        <x:v>2786</x:v>
      </x:c>
      <x:c r="B1891" s="2" t="str">
        <x:v>6a8706d7f92912ea014a</x:v>
      </x:c>
      <x:c r="C1891" s="2" t="str">
        <x:v>Tp Hồ Chí Minh</x:v>
      </x:c>
      <x:c r="D1891" s="2" t="str">
        <x:v>Quận 12</x:v>
      </x:c>
      <x:c r="E1891" s="2" t="str">
        <x:v>house</x:v>
      </x:c>
      <x:c r="F1891" s="2" t="str">
        <x:v>sale_assumed</x:v>
      </x:c>
      <x:c r="G1891" s="11" t="n">
        <x:v>40</x:v>
      </x:c>
      <x:c r="H1891" s="12" t="n">
        <x:v>2150000000</x:v>
      </x:c>
      <x:c r="I1891" s="12" t="n">
        <x:v>53750000</x:v>
      </x:c>
      <x:c r="J1891" s="2" t="str">
        <x:v>total</x:v>
      </x:c>
      <x:c r="K1891" s="2" t="str">
        <x:v>top_level_area</x:v>
      </x:c>
      <x:c r="L1891" s="2" t="str">
        <x:v>property_type_inferred_from_title;transaction_assumed_sale_from_dataset_context</x:v>
      </x:c>
      <x:c r="M1891" s="10" t="n">
        <x:v>0</x:v>
      </x:c>
      <x:c r="N1891" s="10" t="n">
        <x:v>0</x:v>
      </x:c>
      <x:c r="O1891" s="2" t="str">
        <x:v>Tp Hồ Chí Minh|house</x:v>
      </x:c>
      <x:c r="P1891" s="10" t="n">
        <x:v>2</x:v>
      </x:c>
      <x:c r="Q1891" s="13" t="n">
        <x:f>IF(H1891="","",H1891/1000000000)</x:f>
        <x:v>2.15</x:v>
      </x:c>
      <x:c r="R1891" s="13" t="n">
        <x:f>IF(I1891="","",I1891/1000000)</x:f>
        <x:v>53.75</x:v>
      </x:c>
    </x:row>
    <x:row r="1892" ht="21" customHeight="1">
      <x:c r="A1892" s="10" t="n">
        <x:v>2787</x:v>
      </x:c>
      <x:c r="B1892" s="2" t="str">
        <x:v>773359e54a737ce370d4</x:v>
      </x:c>
      <x:c r="C1892" s="2" t="str">
        <x:v>Tp Hồ Chí Minh</x:v>
      </x:c>
      <x:c r="D1892" s="2" t="str">
        <x:v>Quận 8</x:v>
      </x:c>
      <x:c r="E1892" s="2" t="str">
        <x:v>house</x:v>
      </x:c>
      <x:c r="F1892" s="2" t="str">
        <x:v>sale_assumed</x:v>
      </x:c>
      <x:c r="G1892" s="11" t="n">
        <x:v>9</x:v>
      </x:c>
      <x:c r="H1892" s="12" t="n">
        <x:v>1700000000</x:v>
      </x:c>
      <x:c r="I1892" s="12" t="n">
        <x:v>188888888.8888889</x:v>
      </x:c>
      <x:c r="J1892" s="2" t="str">
        <x:v>total</x:v>
      </x:c>
      <x:c r="K1892" s="2" t="str">
        <x:v>top_level_area</x:v>
      </x:c>
      <x:c r="L1892" s="2" t="str">
        <x:v>property_type_inferred_from_title;transaction_assumed_sale_from_dataset_context</x:v>
      </x:c>
      <x:c r="M1892" s="10" t="n">
        <x:v>1</x:v>
      </x:c>
      <x:c r="N1892" s="10" t="n">
        <x:v>0</x:v>
      </x:c>
      <x:c r="O1892" s="2" t="str">
        <x:v>Tp Hồ Chí Minh|house</x:v>
      </x:c>
      <x:c r="P1892" s="10" t="n">
        <x:v>2</x:v>
      </x:c>
      <x:c r="Q1892" s="13" t="n">
        <x:f>IF(H1892="","",H1892/1000000000)</x:f>
        <x:v>1.7</x:v>
      </x:c>
      <x:c r="R1892" s="13" t="n">
        <x:f>IF(I1892="","",I1892/1000000)</x:f>
        <x:v>188.88888888888889</x:v>
      </x:c>
    </x:row>
    <x:row r="1893" ht="21" customHeight="1">
      <x:c r="A1893" s="10" t="n">
        <x:v>2788</x:v>
      </x:c>
      <x:c r="B1893" s="2" t="str">
        <x:v>7e6b5d446b93aec98d71</x:v>
      </x:c>
      <x:c r="C1893" s="2" t="str">
        <x:v>Đà Nẵng</x:v>
      </x:c>
      <x:c r="D1893" s="2" t="str">
        <x:v>Huyện Hòa Vang</x:v>
      </x:c>
      <x:c r="E1893" s="2" t="str">
        <x:v>land</x:v>
      </x:c>
      <x:c r="F1893" s="2" t="str">
        <x:v>sale_assumed</x:v>
      </x:c>
      <x:c r="G1893" s="11" t="n">
        <x:v>2960</x:v>
      </x:c>
      <x:c r="H1893" s="12" t="n">
        <x:v>47000000000</x:v>
      </x:c>
      <x:c r="I1893" s="12" t="n">
        <x:v>15878378.378378378</x:v>
      </x:c>
      <x:c r="J1893" s="2" t="str">
        <x:v>total</x:v>
      </x:c>
      <x:c r="K1893" s="2" t="str">
        <x:v>top_level_area</x:v>
      </x:c>
      <x:c r="L1893" s="2" t="str">
        <x:v>dot_thousands_convention;property_type_inferred_from_title;transaction_assumed_sale_from_dataset_context</x:v>
      </x:c>
      <x:c r="M1893" s="10" t="n">
        <x:v>0</x:v>
      </x:c>
      <x:c r="N1893" s="10" t="n">
        <x:v>0</x:v>
      </x:c>
      <x:c r="O1893" s="2" t="str">
        <x:v>Đà Nẵng|land</x:v>
      </x:c>
      <x:c r="P1893" s="10" t="n">
        <x:v>1</x:v>
      </x:c>
      <x:c r="Q1893" s="13" t="n">
        <x:f>IF(H1893="","",H1893/1000000000)</x:f>
        <x:v>47</x:v>
      </x:c>
      <x:c r="R1893" s="13" t="n">
        <x:f>IF(I1893="","",I1893/1000000)</x:f>
        <x:v>15.878378378378379</x:v>
      </x:c>
    </x:row>
    <x:row r="1894" ht="21" customHeight="1">
      <x:c r="A1894" s="10" t="n">
        <x:v>2792</x:v>
      </x:c>
      <x:c r="B1894" s="2" t="str">
        <x:v>98a16951b2f1a95ba48a</x:v>
      </x:c>
      <x:c r="C1894" s="2" t="str">
        <x:v>Lâm Đồng</x:v>
      </x:c>
      <x:c r="D1894" s="2" t="str">
        <x:v>Huyện Đạ Huoai</x:v>
      </x:c>
      <x:c r="E1894" s="2" t="str">
        <x:v>other_unknown</x:v>
      </x:c>
      <x:c r="F1894" s="2" t="str">
        <x:v>sale</x:v>
      </x:c>
      <x:c r="G1894" s="11" t="n">
        <x:v>1250</x:v>
      </x:c>
      <x:c r="H1894" s="12" t="n">
        <x:v>1150000000</x:v>
      </x:c>
      <x:c r="I1894" s="12" t="n">
        <x:v>920000</x:v>
      </x:c>
      <x:c r="J1894" s="2" t="str">
        <x:v>total</x:v>
      </x:c>
      <x:c r="K1894" s="2" t="str">
        <x:v>top_level_area</x:v>
      </x:c>
      <x:c r="L1894" s="2" t="str">
        <x:v>dot_thousands_convention;property_type_inferred_from_title;unknown_property_type</x:v>
      </x:c>
      <x:c r="M1894" s="10" t="n">
        <x:v>0</x:v>
      </x:c>
      <x:c r="N1894" s="10" t="n">
        <x:v>0</x:v>
      </x:c>
      <x:c r="O1894" s="2" t="str">
        <x:v>other_unknown</x:v>
      </x:c>
      <x:c r="P1894" s="10" t="n">
        <x:v>1</x:v>
      </x:c>
      <x:c r="Q1894" s="13" t="n">
        <x:f>IF(H1894="","",H1894/1000000000)</x:f>
        <x:v>1.15</x:v>
      </x:c>
      <x:c r="R1894" s="13" t="n">
        <x:f>IF(I1894="","",I1894/1000000)</x:f>
        <x:v>0.92</x:v>
      </x:c>
    </x:row>
    <x:row r="1895" ht="21" customHeight="1">
      <x:c r="A1895" s="10" t="n">
        <x:v>2793</x:v>
      </x:c>
      <x:c r="B1895" s="2" t="str">
        <x:v>617bd7be479bd9965a22</x:v>
      </x:c>
      <x:c r="C1895" s="2" t="str">
        <x:v>Hà Nội</x:v>
      </x:c>
      <x:c r="D1895" s="2" t="str">
        <x:v>Quận Cầu Giấy</x:v>
      </x:c>
      <x:c r="E1895" s="2" t="str">
        <x:v>other_unknown</x:v>
      </x:c>
      <x:c r="F1895" s="2" t="str">
        <x:v>sale_assumed</x:v>
      </x:c>
      <x:c r="G1895" s="11" t="n">
        <x:v>33</x:v>
      </x:c>
      <x:c r="H1895" s="12" t="n">
        <x:v>2000000000</x:v>
      </x:c>
      <x:c r="I1895" s="12" t="n">
        <x:v>60606060.60606061</x:v>
      </x:c>
      <x:c r="J1895" s="2" t="str">
        <x:v>total</x:v>
      </x:c>
      <x:c r="K1895" s="2" t="str">
        <x:v>top_level_area</x:v>
      </x:c>
      <x:c r="L1895" s="2" t="str">
        <x:v>property_type_inferred_from_title;transaction_assumed_sale_from_dataset_context;unknown_property_type</x:v>
      </x:c>
      <x:c r="M1895" s="10" t="n">
        <x:v>0</x:v>
      </x:c>
      <x:c r="N1895" s="10" t="n">
        <x:v>0</x:v>
      </x:c>
      <x:c r="O1895" s="2" t="str">
        <x:v>Hà Nội|other_unknown</x:v>
      </x:c>
      <x:c r="P1895" s="10" t="n">
        <x:v>2</x:v>
      </x:c>
      <x:c r="Q1895" s="13" t="n">
        <x:f>IF(H1895="","",H1895/1000000000)</x:f>
        <x:v>2</x:v>
      </x:c>
      <x:c r="R1895" s="13" t="n">
        <x:f>IF(I1895="","",I1895/1000000)</x:f>
        <x:v>60.60606060606061</x:v>
      </x:c>
    </x:row>
    <x:row r="1896" ht="21" customHeight="1">
      <x:c r="A1896" s="10" t="n">
        <x:v>2794</x:v>
      </x:c>
      <x:c r="B1896" s="2" t="str">
        <x:v>d081168d9b4c6305ea5e</x:v>
      </x:c>
      <x:c r="C1896" s="2" t="str">
        <x:v>Tp Hồ Chí Minh</x:v>
      </x:c>
      <x:c r="D1896" s="2" t="str">
        <x:v>Quận 10</x:v>
      </x:c>
      <x:c r="E1896" s="2" t="str">
        <x:v>apartment</x:v>
      </x:c>
      <x:c r="F1896" s="2" t="str">
        <x:v>sale</x:v>
      </x:c>
      <x:c r="G1896" s="11" t="n">
        <x:v>86</x:v>
      </x:c>
      <x:c r="H1896" s="12" t="n">
        <x:v>5500000000</x:v>
      </x:c>
      <x:c r="I1896" s="12" t="n">
        <x:v>63953488.37209302</x:v>
      </x:c>
      <x:c r="J1896" s="2" t="str">
        <x:v>total</x:v>
      </x:c>
      <x:c r="K1896" s="2" t="str">
        <x:v>top_level_area</x:v>
      </x:c>
      <x:c r="L1896" s="2" t="str">
        <x:v>property_type_inferred_from_title</x:v>
      </x:c>
      <x:c r="M1896" s="10" t="n">
        <x:v>0</x:v>
      </x:c>
      <x:c r="N1896" s="10" t="n">
        <x:v>0</x:v>
      </x:c>
      <x:c r="O1896" s="2" t="str">
        <x:v>Tp Hồ Chí Minh|apartment</x:v>
      </x:c>
      <x:c r="P1896" s="10" t="n">
        <x:v>2</x:v>
      </x:c>
      <x:c r="Q1896" s="13" t="n">
        <x:f>IF(H1896="","",H1896/1000000000)</x:f>
        <x:v>5.5</x:v>
      </x:c>
      <x:c r="R1896" s="13" t="n">
        <x:f>IF(I1896="","",I1896/1000000)</x:f>
        <x:v>63.95348837209302</x:v>
      </x:c>
    </x:row>
    <x:row r="1897" ht="21" customHeight="1">
      <x:c r="A1897" s="10" t="n">
        <x:v>2795</x:v>
      </x:c>
      <x:c r="B1897" s="2" t="str">
        <x:v>7ad425b8b547acb3738a</x:v>
      </x:c>
      <x:c r="C1897" s="2" t="str">
        <x:v>Bình Dương</x:v>
      </x:c>
      <x:c r="D1897" s="2" t="str">
        <x:v>Thị xã Dĩ An</x:v>
      </x:c>
      <x:c r="E1897" s="2" t="str">
        <x:v>house</x:v>
      </x:c>
      <x:c r="F1897" s="2" t="str">
        <x:v>sale</x:v>
      </x:c>
      <x:c r="G1897" s="11" t="n">
        <x:v>66</x:v>
      </x:c>
      <x:c r="H1897" s="12" t="n">
        <x:v>907000000</x:v>
      </x:c>
      <x:c r="I1897" s="12" t="n">
        <x:v>13742424.242424242</x:v>
      </x:c>
      <x:c r="J1897" s="2" t="str">
        <x:v>total</x:v>
      </x:c>
      <x:c r="K1897" s="2" t="str">
        <x:v>top_level_area</x:v>
      </x:c>
      <x:c r="L1897" s="2" t="str">
        <x:v>property_type_inferred_from_title</x:v>
      </x:c>
      <x:c r="M1897" s="10" t="n">
        <x:v>0</x:v>
      </x:c>
      <x:c r="N1897" s="10" t="n">
        <x:v>0</x:v>
      </x:c>
      <x:c r="O1897" s="2" t="str">
        <x:v>Bình Dương|house</x:v>
      </x:c>
      <x:c r="P1897" s="10" t="n">
        <x:v>2</x:v>
      </x:c>
      <x:c r="Q1897" s="13" t="n">
        <x:f>IF(H1897="","",H1897/1000000000)</x:f>
        <x:v>0.907</x:v>
      </x:c>
      <x:c r="R1897" s="13" t="n">
        <x:f>IF(I1897="","",I1897/1000000)</x:f>
        <x:v>13.742424242424242</x:v>
      </x:c>
    </x:row>
    <x:row r="1898" ht="21" customHeight="1">
      <x:c r="A1898" s="10" t="n">
        <x:v>2796</x:v>
      </x:c>
      <x:c r="B1898" s="2" t="str">
        <x:v>41006ffb3d70dd23bbdf</x:v>
      </x:c>
      <x:c r="C1898" s="2" t="str">
        <x:v>Tp Hồ Chí Minh</x:v>
      </x:c>
      <x:c r="D1898" s="2" t="str">
        <x:v>Quận 9</x:v>
      </x:c>
      <x:c r="E1898" s="2" t="str">
        <x:v>land</x:v>
      </x:c>
      <x:c r="F1898" s="2" t="str">
        <x:v>sale</x:v>
      </x:c>
      <x:c r="G1898" s="11" t="n">
        <x:v>50.4</x:v>
      </x:c>
      <x:c r="H1898" s="12" t="n">
        <x:v>2600000000</x:v>
      </x:c>
      <x:c r="I1898" s="12" t="n">
        <x:v>51587301.58730159</x:v>
      </x:c>
      <x:c r="J1898" s="2" t="str">
        <x:v>total</x:v>
      </x:c>
      <x:c r="K1898" s="2" t="str">
        <x:v>top_level_area</x:v>
      </x:c>
      <x:c r="L1898" s="2" t="str">
        <x:v>property_type_inferred_from_title</x:v>
      </x:c>
      <x:c r="M1898" s="10" t="n">
        <x:v>0</x:v>
      </x:c>
      <x:c r="N1898" s="10" t="n">
        <x:v>0</x:v>
      </x:c>
      <x:c r="O1898" s="2" t="str">
        <x:v>Tp Hồ Chí Minh|land</x:v>
      </x:c>
      <x:c r="P1898" s="10" t="n">
        <x:v>2</x:v>
      </x:c>
      <x:c r="Q1898" s="13" t="n">
        <x:f>IF(H1898="","",H1898/1000000000)</x:f>
        <x:v>2.6</x:v>
      </x:c>
      <x:c r="R1898" s="13" t="n">
        <x:f>IF(I1898="","",I1898/1000000)</x:f>
        <x:v>51.58730158730159</x:v>
      </x:c>
    </x:row>
    <x:row r="1899" ht="21" customHeight="1">
      <x:c r="A1899" s="10" t="n">
        <x:v>2797</x:v>
      </x:c>
      <x:c r="B1899" s="2" t="str">
        <x:v>88e5c800311b7eb4cddd</x:v>
      </x:c>
      <x:c r="C1899" s="2" t="str">
        <x:v>Hà Nội</x:v>
      </x:c>
      <x:c r="D1899" s="2" t="str">
        <x:v>Huyện Thanh Trì</x:v>
      </x:c>
      <x:c r="E1899" s="2" t="str">
        <x:v>house</x:v>
      </x:c>
      <x:c r="F1899" s="2" t="str">
        <x:v>sale_assumed</x:v>
      </x:c>
      <x:c r="G1899" s="11" t="n">
        <x:v>40</x:v>
      </x:c>
      <x:c r="H1899" s="12" t="n">
        <x:v>2850000000</x:v>
      </x:c>
      <x:c r="I1899" s="12" t="n">
        <x:v>71250000</x:v>
      </x:c>
      <x:c r="J1899" s="2" t="str">
        <x:v>total</x:v>
      </x:c>
      <x:c r="K1899" s="2" t="str">
        <x:v>top_level_area</x:v>
      </x:c>
      <x:c r="L1899" s="2" t="str">
        <x:v>property_type_inferred_from_title;transaction_assumed_sale_from_dataset_context</x:v>
      </x:c>
      <x:c r="M1899" s="10" t="n">
        <x:v>0</x:v>
      </x:c>
      <x:c r="N1899" s="10" t="n">
        <x:v>0</x:v>
      </x:c>
      <x:c r="O1899" s="2" t="str">
        <x:v>Hà Nội|house</x:v>
      </x:c>
      <x:c r="P1899" s="10" t="n">
        <x:v>2</x:v>
      </x:c>
      <x:c r="Q1899" s="13" t="n">
        <x:f>IF(H1899="","",H1899/1000000000)</x:f>
        <x:v>2.85</x:v>
      </x:c>
      <x:c r="R1899" s="13" t="n">
        <x:f>IF(I1899="","",I1899/1000000)</x:f>
        <x:v>71.25</x:v>
      </x:c>
    </x:row>
    <x:row r="1900" ht="21" customHeight="1">
      <x:c r="A1900" s="10" t="n">
        <x:v>2798</x:v>
      </x:c>
      <x:c r="B1900" s="2" t="str">
        <x:v>9c5e81f837c8dfca3cf5</x:v>
      </x:c>
      <x:c r="C1900" s="2" t="str">
        <x:v>Tp Hồ Chí Minh</x:v>
      </x:c>
      <x:c r="D1900" s="2" t="str">
        <x:v>Quận Thủ Đức</x:v>
      </x:c>
      <x:c r="E1900" s="2" t="str">
        <x:v>house</x:v>
      </x:c>
      <x:c r="F1900" s="2" t="str">
        <x:v>sale_assumed</x:v>
      </x:c>
      <x:c r="G1900" s="11" t="n">
        <x:v>56</x:v>
      </x:c>
      <x:c r="H1900" s="12" t="n">
        <x:v>840000000</x:v>
      </x:c>
      <x:c r="I1900" s="12" t="n">
        <x:v>15000000</x:v>
      </x:c>
      <x:c r="J1900" s="2" t="str">
        <x:v>total</x:v>
      </x:c>
      <x:c r="K1900" s="2" t="str">
        <x:v>top_level_area</x:v>
      </x:c>
      <x:c r="L1900" s="2" t="str">
        <x:v>property_type_inferred_from_title;transaction_assumed_sale_from_dataset_context</x:v>
      </x:c>
      <x:c r="M1900" s="10" t="n">
        <x:v>0</x:v>
      </x:c>
      <x:c r="N1900" s="10" t="n">
        <x:v>0</x:v>
      </x:c>
      <x:c r="O1900" s="2" t="str">
        <x:v>Tp Hồ Chí Minh|house</x:v>
      </x:c>
      <x:c r="P1900" s="10" t="n">
        <x:v>2</x:v>
      </x:c>
      <x:c r="Q1900" s="13" t="n">
        <x:f>IF(H1900="","",H1900/1000000000)</x:f>
        <x:v>0.84</x:v>
      </x:c>
      <x:c r="R1900" s="13" t="n">
        <x:f>IF(I1900="","",I1900/1000000)</x:f>
        <x:v>15</x:v>
      </x:c>
    </x:row>
    <x:row r="1901" ht="21" customHeight="1">
      <x:c r="A1901" s="10" t="n">
        <x:v>2799</x:v>
      </x:c>
      <x:c r="B1901" s="2" t="str">
        <x:v>3a1fa4d89e44bb3f4ee7</x:v>
      </x:c>
      <x:c r="C1901" s="2" t="str">
        <x:v>Đồng Nai</x:v>
      </x:c>
      <x:c r="D1901" s="2" t="str">
        <x:v>Huyện Long Thành</x:v>
      </x:c>
      <x:c r="E1901" s="2" t="str">
        <x:v>land</x:v>
      </x:c>
      <x:c r="F1901" s="2" t="str">
        <x:v>sale_assumed</x:v>
      </x:c>
      <x:c r="G1901" s="11" t="n">
        <x:v>189</x:v>
      </x:c>
      <x:c r="H1901" s="12" t="n">
        <x:v>2400000000</x:v>
      </x:c>
      <x:c r="I1901" s="12" t="n">
        <x:v>12698412.698412698</x:v>
      </x:c>
      <x:c r="J1901" s="2" t="str">
        <x:v>total</x:v>
      </x:c>
      <x:c r="K1901" s="2" t="str">
        <x:v>top_level_price_embedded_area</x:v>
      </x:c>
      <x:c r="L1901" s="2" t="str">
        <x:v>area_recovered_from_price_text;property_type_inferred_from_title;transaction_assumed_sale_from_dataset_context</x:v>
      </x:c>
      <x:c r="M1901" s="10" t="n">
        <x:v>0</x:v>
      </x:c>
      <x:c r="N1901" s="10" t="n">
        <x:v>0</x:v>
      </x:c>
      <x:c r="O1901" s="2" t="str">
        <x:v>Đồng Nai|land</x:v>
      </x:c>
      <x:c r="P1901" s="10" t="n">
        <x:v>2</x:v>
      </x:c>
      <x:c r="Q1901" s="13" t="n">
        <x:f>IF(H1901="","",H1901/1000000000)</x:f>
        <x:v>2.4</x:v>
      </x:c>
      <x:c r="R1901" s="13" t="n">
        <x:f>IF(I1901="","",I1901/1000000)</x:f>
        <x:v>12.698412698412698</x:v>
      </x:c>
    </x:row>
    <x:row r="1902" ht="21" customHeight="1">
      <x:c r="A1902" s="10" t="n">
        <x:v>2800</x:v>
      </x:c>
      <x:c r="B1902" s="2" t="str">
        <x:v>9d411c46ce1832609b96</x:v>
      </x:c>
      <x:c r="C1902" s="2" t="str">
        <x:v>Bình Dương</x:v>
      </x:c>
      <x:c r="D1902" s="2" t="str">
        <x:v>Huyện Bàu Bàng</x:v>
      </x:c>
      <x:c r="E1902" s="2" t="str">
        <x:v>other_unknown</x:v>
      </x:c>
      <x:c r="F1902" s="2" t="str">
        <x:v>sale</x:v>
      </x:c>
      <x:c r="G1902" s="11" t="n">
        <x:v>100</x:v>
      </x:c>
      <x:c r="H1902" s="12" t="n">
        <x:v>550000000</x:v>
      </x:c>
      <x:c r="I1902" s="12" t="n">
        <x:v>5500000</x:v>
      </x:c>
      <x:c r="J1902" s="2" t="str">
        <x:v>total</x:v>
      </x:c>
      <x:c r="K1902" s="2" t="str">
        <x:v>top_level_area</x:v>
      </x:c>
      <x:c r="L1902" s="2" t="str">
        <x:v>property_type_inferred_from_title;unknown_property_type</x:v>
      </x:c>
      <x:c r="M1902" s="10" t="n">
        <x:v>0</x:v>
      </x:c>
      <x:c r="N1902" s="10" t="n">
        <x:v>0</x:v>
      </x:c>
      <x:c r="O1902" s="2" t="str">
        <x:v>Bình Dương|other_unknown</x:v>
      </x:c>
      <x:c r="P1902" s="10" t="n">
        <x:v>2</x:v>
      </x:c>
      <x:c r="Q1902" s="13" t="n">
        <x:f>IF(H1902="","",H1902/1000000000)</x:f>
        <x:v>0.55</x:v>
      </x:c>
      <x:c r="R1902" s="13" t="n">
        <x:f>IF(I1902="","",I1902/1000000)</x:f>
        <x:v>5.5</x:v>
      </x:c>
    </x:row>
    <x:row r="1903" ht="21" customHeight="1">
      <x:c r="A1903" s="10" t="n">
        <x:v>2801</x:v>
      </x:c>
      <x:c r="B1903" s="2" t="str">
        <x:v>8374392f030bd9f39098</x:v>
      </x:c>
      <x:c r="C1903" s="2" t="str">
        <x:v>Đồng Nai</x:v>
      </x:c>
      <x:c r="D1903" s="2" t="str">
        <x:v>Huyện Nhơn Trạch</x:v>
      </x:c>
      <x:c r="E1903" s="2" t="str">
        <x:v>land</x:v>
      </x:c>
      <x:c r="F1903" s="2" t="str">
        <x:v>sale</x:v>
      </x:c>
      <x:c r="G1903" s="11" t="n">
        <x:v>932</x:v>
      </x:c>
      <x:c r="H1903" s="12" t="n">
        <x:v>4200000000</x:v>
      </x:c>
      <x:c r="I1903" s="12" t="n">
        <x:v>4506437.768240344</x:v>
      </x:c>
      <x:c r="J1903" s="2" t="str">
        <x:v>total</x:v>
      </x:c>
      <x:c r="K1903" s="2" t="str">
        <x:v>top_level_price_embedded_area</x:v>
      </x:c>
      <x:c r="L1903" s="2" t="str">
        <x:v>area_recovered_from_price_text;property_type_inferred_from_title</x:v>
      </x:c>
      <x:c r="M1903" s="10" t="n">
        <x:v>0</x:v>
      </x:c>
      <x:c r="N1903" s="10" t="n">
        <x:v>0</x:v>
      </x:c>
      <x:c r="O1903" s="2" t="str">
        <x:v>Đồng Nai|land</x:v>
      </x:c>
      <x:c r="P1903" s="10" t="n">
        <x:v>1</x:v>
      </x:c>
      <x:c r="Q1903" s="13" t="n">
        <x:f>IF(H1903="","",H1903/1000000000)</x:f>
        <x:v>4.2</x:v>
      </x:c>
      <x:c r="R1903" s="13" t="n">
        <x:f>IF(I1903="","",I1903/1000000)</x:f>
        <x:v>4.506437768240343</x:v>
      </x:c>
    </x:row>
    <x:row r="1904" ht="21" customHeight="1">
      <x:c r="A1904" s="10" t="n">
        <x:v>2802</x:v>
      </x:c>
      <x:c r="B1904" s="2" t="str">
        <x:v>338261a18c77c0f2210b</x:v>
      </x:c>
      <x:c r="C1904" s="2" t="str">
        <x:v>Tp Hồ Chí Minh</x:v>
      </x:c>
      <x:c r="D1904" s="2" t="str">
        <x:v>Quận Thủ Đức</x:v>
      </x:c>
      <x:c r="E1904" s="2" t="str">
        <x:v>other_unknown</x:v>
      </x:c>
      <x:c r="F1904" s="2" t="str">
        <x:v>sale_assumed</x:v>
      </x:c>
      <x:c r="G1904" s="11" t="n">
        <x:v>480</x:v>
      </x:c>
      <x:c r="H1904" s="12" t="n">
        <x:v>28000000000</x:v>
      </x:c>
      <x:c r="I1904" s="12" t="n">
        <x:v>58333333.333333336</x:v>
      </x:c>
      <x:c r="J1904" s="2" t="str">
        <x:v>total</x:v>
      </x:c>
      <x:c r="K1904" s="2" t="str">
        <x:v>top_level_price_embedded_area</x:v>
      </x:c>
      <x:c r="L1904" s="2" t="str">
        <x:v>area_recovered_from_price_text;property_type_inferred_from_title;transaction_assumed_sale_from_dataset_context;unknown_property_type</x:v>
      </x:c>
      <x:c r="M1904" s="10" t="n">
        <x:v>0</x:v>
      </x:c>
      <x:c r="N1904" s="10" t="n">
        <x:v>0</x:v>
      </x:c>
      <x:c r="O1904" s="2" t="str">
        <x:v>Tp Hồ Chí Minh|other_unknown</x:v>
      </x:c>
      <x:c r="P1904" s="10" t="n">
        <x:v>2</x:v>
      </x:c>
      <x:c r="Q1904" s="13" t="n">
        <x:f>IF(H1904="","",H1904/1000000000)</x:f>
        <x:v>28</x:v>
      </x:c>
      <x:c r="R1904" s="13" t="n">
        <x:f>IF(I1904="","",I1904/1000000)</x:f>
        <x:v>58.333333333333336</x:v>
      </x:c>
    </x:row>
    <x:row r="1905" ht="21" customHeight="1">
      <x:c r="A1905" s="10" t="n">
        <x:v>2803</x:v>
      </x:c>
      <x:c r="B1905" s="2" t="str">
        <x:v>3c0c05485f8fbc4d0711</x:v>
      </x:c>
      <x:c r="C1905" s="2" t="str">
        <x:v>Tp Hồ Chí Minh</x:v>
      </x:c>
      <x:c r="D1905" s="2" t="str">
        <x:v>Quận Tân Phú</x:v>
      </x:c>
      <x:c r="E1905" s="2" t="str">
        <x:v>house</x:v>
      </x:c>
      <x:c r="F1905" s="2" t="str">
        <x:v>sale_assumed</x:v>
      </x:c>
      <x:c r="G1905" s="11" t="n">
        <x:v>60</x:v>
      </x:c>
      <x:c r="H1905" s="12" t="n">
        <x:v>945000000</x:v>
      </x:c>
      <x:c r="I1905" s="12" t="n">
        <x:v>15750000</x:v>
      </x:c>
      <x:c r="J1905" s="2" t="str">
        <x:v>total</x:v>
      </x:c>
      <x:c r="K1905" s="2" t="str">
        <x:v>top_level_area</x:v>
      </x:c>
      <x:c r="L1905" s="2" t="str">
        <x:v>property_type_inferred_from_title;transaction_assumed_sale_from_dataset_context</x:v>
      </x:c>
      <x:c r="M1905" s="10" t="n">
        <x:v>0</x:v>
      </x:c>
      <x:c r="N1905" s="10" t="n">
        <x:v>0</x:v>
      </x:c>
      <x:c r="O1905" s="2" t="str">
        <x:v>Tp Hồ Chí Minh|house</x:v>
      </x:c>
      <x:c r="P1905" s="10" t="n">
        <x:v>2</x:v>
      </x:c>
      <x:c r="Q1905" s="13" t="n">
        <x:f>IF(H1905="","",H1905/1000000000)</x:f>
        <x:v>0.945</x:v>
      </x:c>
      <x:c r="R1905" s="13" t="n">
        <x:f>IF(I1905="","",I1905/1000000)</x:f>
        <x:v>15.75</x:v>
      </x:c>
    </x:row>
    <x:row r="1906" ht="21" customHeight="1">
      <x:c r="A1906" s="10" t="n">
        <x:v>2804</x:v>
      </x:c>
      <x:c r="B1906" s="2" t="str">
        <x:v>3a8f60cbb6d4caefddf3</x:v>
      </x:c>
      <x:c r="C1906" s="2" t="str">
        <x:v>Tp Hồ Chí Minh</x:v>
      </x:c>
      <x:c r="D1906" s="2" t="str">
        <x:v>Quận Bình Tân</x:v>
      </x:c>
      <x:c r="E1906" s="2" t="str">
        <x:v>house</x:v>
      </x:c>
      <x:c r="F1906" s="2" t="str">
        <x:v>sale</x:v>
      </x:c>
      <x:c r="G1906" s="11" t="n">
        <x:v>32</x:v>
      </x:c>
      <x:c r="H1906" s="12" t="n">
        <x:v>500000000</x:v>
      </x:c>
      <x:c r="I1906" s="12" t="n">
        <x:v>15625000</x:v>
      </x:c>
      <x:c r="J1906" s="2" t="str">
        <x:v>total</x:v>
      </x:c>
      <x:c r="K1906" s="2" t="str">
        <x:v>top_level_area</x:v>
      </x:c>
      <x:c r="L1906" s="2" t="str">
        <x:v>property_type_inferred_from_title</x:v>
      </x:c>
      <x:c r="M1906" s="10" t="n">
        <x:v>0</x:v>
      </x:c>
      <x:c r="N1906" s="10" t="n">
        <x:v>0</x:v>
      </x:c>
      <x:c r="O1906" s="2" t="str">
        <x:v>Tp Hồ Chí Minh|house</x:v>
      </x:c>
      <x:c r="P1906" s="10" t="n">
        <x:v>2</x:v>
      </x:c>
      <x:c r="Q1906" s="13" t="n">
        <x:f>IF(H1906="","",H1906/1000000000)</x:f>
        <x:v>0.5</x:v>
      </x:c>
      <x:c r="R1906" s="13" t="n">
        <x:f>IF(I1906="","",I1906/1000000)</x:f>
        <x:v>15.625</x:v>
      </x:c>
    </x:row>
    <x:row r="1907" ht="21" customHeight="1">
      <x:c r="A1907" s="10" t="n">
        <x:v>2805</x:v>
      </x:c>
      <x:c r="B1907" s="2" t="str">
        <x:v>b12246a670ab4bb89f70</x:v>
      </x:c>
      <x:c r="C1907" s="2" t="str">
        <x:v>Khánh Hòa</x:v>
      </x:c>
      <x:c r="D1907" s="2" t="str">
        <x:v>Huyện Diên Khánh</x:v>
      </x:c>
      <x:c r="E1907" s="2" t="str">
        <x:v>land</x:v>
      </x:c>
      <x:c r="F1907" s="2" t="str">
        <x:v>sale</x:v>
      </x:c>
      <x:c r="G1907" s="11" t="n">
        <x:v>662</x:v>
      </x:c>
      <x:c r="H1907" s="12" t="n">
        <x:v>6947000000</x:v>
      </x:c>
      <x:c r="I1907" s="12" t="n">
        <x:v>10493957.703927493</x:v>
      </x:c>
      <x:c r="J1907" s="2" t="str">
        <x:v>total</x:v>
      </x:c>
      <x:c r="K1907" s="2" t="str">
        <x:v>top_level_area</x:v>
      </x:c>
      <x:c r="L1907" s="2" t="str">
        <x:v>property_type_inferred_from_title</x:v>
      </x:c>
      <x:c r="M1907" s="10" t="n">
        <x:v>0</x:v>
      </x:c>
      <x:c r="N1907" s="10" t="n">
        <x:v>0</x:v>
      </x:c>
      <x:c r="O1907" s="2" t="str">
        <x:v>land</x:v>
      </x:c>
      <x:c r="P1907" s="10" t="n">
        <x:v>1</x:v>
      </x:c>
      <x:c r="Q1907" s="13" t="n">
        <x:f>IF(H1907="","",H1907/1000000000)</x:f>
        <x:v>6.947</x:v>
      </x:c>
      <x:c r="R1907" s="13" t="n">
        <x:f>IF(I1907="","",I1907/1000000)</x:f>
        <x:v>10.493957703927492</x:v>
      </x:c>
    </x:row>
    <x:row r="1908" ht="21" customHeight="1">
      <x:c r="A1908" s="10" t="n">
        <x:v>2806</x:v>
      </x:c>
      <x:c r="B1908" s="2" t="str">
        <x:v>ff1faa4b136b672cccb3</x:v>
      </x:c>
      <x:c r="C1908" s="2" t="str">
        <x:v>Bình Dương</x:v>
      </x:c>
      <x:c r="D1908" s="2" t="str">
        <x:v>Thị xã Dĩ An</x:v>
      </x:c>
      <x:c r="E1908" s="2" t="str">
        <x:v>land</x:v>
      </x:c>
      <x:c r="F1908" s="2" t="str">
        <x:v>sale</x:v>
      </x:c>
      <x:c r="G1908" s="11" t="n">
        <x:v>195</x:v>
      </x:c>
      <x:c r="H1908" s="12" t="n">
        <x:v>6700000000</x:v>
      </x:c>
      <x:c r="I1908" s="12" t="n">
        <x:v>34358974.35897436</x:v>
      </x:c>
      <x:c r="J1908" s="2" t="str">
        <x:v>total</x:v>
      </x:c>
      <x:c r="K1908" s="2" t="str">
        <x:v>top_level_area</x:v>
      </x:c>
      <x:c r="L1908" s="2" t="str">
        <x:v>property_type_inferred_from_title</x:v>
      </x:c>
      <x:c r="M1908" s="10" t="n">
        <x:v>0</x:v>
      </x:c>
      <x:c r="N1908" s="10" t="n">
        <x:v>1</x:v>
      </x:c>
      <x:c r="O1908" s="2" t="str">
        <x:v>Bình Dương|land</x:v>
      </x:c>
      <x:c r="P1908" s="10" t="n">
        <x:v>-1</x:v>
      </x:c>
      <x:c r="Q1908" s="13" t="n">
        <x:f>IF(H1908="","",H1908/1000000000)</x:f>
        <x:v>6.7</x:v>
      </x:c>
      <x:c r="R1908" s="13" t="n">
        <x:f>IF(I1908="","",I1908/1000000)</x:f>
        <x:v>34.35897435897436</x:v>
      </x:c>
    </x:row>
    <x:row r="1909" ht="21" customHeight="1">
      <x:c r="A1909" s="10" t="n">
        <x:v>2807</x:v>
      </x:c>
      <x:c r="B1909" s="2" t="str">
        <x:v>67da45eb088030a5e420</x:v>
      </x:c>
      <x:c r="C1909" s="2" t="str">
        <x:v>Tp Hồ Chí Minh</x:v>
      </x:c>
      <x:c r="D1909" s="2" t="str">
        <x:v>Quận Bình Thạnh</x:v>
      </x:c>
      <x:c r="E1909" s="2" t="str">
        <x:v>house</x:v>
      </x:c>
      <x:c r="F1909" s="2" t="str">
        <x:v>sale</x:v>
      </x:c>
      <x:c r="G1909" s="11" t="n">
        <x:v>69</x:v>
      </x:c>
      <x:c r="H1909" s="12" t="n">
        <x:v>8500000000</x:v>
      </x:c>
      <x:c r="I1909" s="12" t="n">
        <x:v>123188405.79710145</x:v>
      </x:c>
      <x:c r="J1909" s="2" t="str">
        <x:v>total</x:v>
      </x:c>
      <x:c r="K1909" s="2" t="str">
        <x:v>top_level_area</x:v>
      </x:c>
      <x:c r="L1909" s="2" t="str">
        <x:v>property_type_inferred_from_title</x:v>
      </x:c>
      <x:c r="M1909" s="10" t="n">
        <x:v>0</x:v>
      </x:c>
      <x:c r="N1909" s="10" t="n">
        <x:v>0</x:v>
      </x:c>
      <x:c r="O1909" s="2" t="str">
        <x:v>Tp Hồ Chí Minh|house</x:v>
      </x:c>
      <x:c r="P1909" s="10" t="n">
        <x:v>2</x:v>
      </x:c>
      <x:c r="Q1909" s="13" t="n">
        <x:f>IF(H1909="","",H1909/1000000000)</x:f>
        <x:v>8.5</x:v>
      </x:c>
      <x:c r="R1909" s="13" t="n">
        <x:f>IF(I1909="","",I1909/1000000)</x:f>
        <x:v>123.18840579710145</x:v>
      </x:c>
    </x:row>
    <x:row r="1910" ht="21" customHeight="1">
      <x:c r="A1910" s="10" t="n">
        <x:v>2808</x:v>
      </x:c>
      <x:c r="B1910" s="2" t="str">
        <x:v>3e898b1412137ad502e7</x:v>
      </x:c>
      <x:c r="C1910" s="2" t="str">
        <x:v>Tp Hồ Chí Minh</x:v>
      </x:c>
      <x:c r="D1910" s="2" t="str">
        <x:v>Quận 7</x:v>
      </x:c>
      <x:c r="E1910" s="2" t="str">
        <x:v>house</x:v>
      </x:c>
      <x:c r="F1910" s="2" t="str">
        <x:v>sale</x:v>
      </x:c>
      <x:c r="G1910" s="11" t="n">
        <x:v>65</x:v>
      </x:c>
      <x:c r="H1910" s="12" t="n">
        <x:v>1450000000</x:v>
      </x:c>
      <x:c r="I1910" s="12" t="n">
        <x:v>22307692.307692308</x:v>
      </x:c>
      <x:c r="J1910" s="2" t="str">
        <x:v>total</x:v>
      </x:c>
      <x:c r="K1910" s="2" t="str">
        <x:v>top_level_area</x:v>
      </x:c>
      <x:c r="L1910" s="2" t="str">
        <x:v>property_type_inferred_from_title</x:v>
      </x:c>
      <x:c r="M1910" s="10" t="n">
        <x:v>0</x:v>
      </x:c>
      <x:c r="N1910" s="10" t="n">
        <x:v>0</x:v>
      </x:c>
      <x:c r="O1910" s="2" t="str">
        <x:v>Tp Hồ Chí Minh|house</x:v>
      </x:c>
      <x:c r="P1910" s="10" t="n">
        <x:v>2</x:v>
      </x:c>
      <x:c r="Q1910" s="13" t="n">
        <x:f>IF(H1910="","",H1910/1000000000)</x:f>
        <x:v>1.45</x:v>
      </x:c>
      <x:c r="R1910" s="13" t="n">
        <x:f>IF(I1910="","",I1910/1000000)</x:f>
        <x:v>22.307692307692307</x:v>
      </x:c>
    </x:row>
    <x:row r="1911" ht="21" customHeight="1">
      <x:c r="A1911" s="10" t="n">
        <x:v>2809</x:v>
      </x:c>
      <x:c r="B1911" s="2" t="str">
        <x:v>dca8250d61c308e15ae0</x:v>
      </x:c>
      <x:c r="C1911" s="2" t="str">
        <x:v>Tp Hồ Chí Minh</x:v>
      </x:c>
      <x:c r="D1911" s="2" t="str">
        <x:v>Quận 8</x:v>
      </x:c>
      <x:c r="E1911" s="2" t="str">
        <x:v>house</x:v>
      </x:c>
      <x:c r="F1911" s="2" t="str">
        <x:v>sale_assumed</x:v>
      </x:c>
      <x:c r="G1911" s="11" t="n">
        <x:v>73</x:v>
      </x:c>
      <x:c r="H1911" s="12" t="n">
        <x:v>1700000000</x:v>
      </x:c>
      <x:c r="I1911" s="12" t="n">
        <x:v>23287671.23287671</x:v>
      </x:c>
      <x:c r="J1911" s="2" t="str">
        <x:v>total</x:v>
      </x:c>
      <x:c r="K1911" s="2" t="str">
        <x:v>top_level_area</x:v>
      </x:c>
      <x:c r="L1911" s="2" t="str">
        <x:v>property_type_inferred_from_title;transaction_assumed_sale_from_dataset_context</x:v>
      </x:c>
      <x:c r="M1911" s="10" t="n">
        <x:v>0</x:v>
      </x:c>
      <x:c r="N1911" s="10" t="n">
        <x:v>0</x:v>
      </x:c>
      <x:c r="O1911" s="2" t="str">
        <x:v>Tp Hồ Chí Minh|house</x:v>
      </x:c>
      <x:c r="P1911" s="10" t="n">
        <x:v>2</x:v>
      </x:c>
      <x:c r="Q1911" s="13" t="n">
        <x:f>IF(H1911="","",H1911/1000000000)</x:f>
        <x:v>1.7</x:v>
      </x:c>
      <x:c r="R1911" s="13" t="n">
        <x:f>IF(I1911="","",I1911/1000000)</x:f>
        <x:v>23.28767123287671</x:v>
      </x:c>
    </x:row>
    <x:row r="1912" ht="21" customHeight="1">
      <x:c r="A1912" s="10" t="n">
        <x:v>2810</x:v>
      </x:c>
      <x:c r="B1912" s="2" t="str">
        <x:v>10d89cbfd1fc768d1cc3</x:v>
      </x:c>
      <x:c r="C1912" s="2" t="str">
        <x:v>Tp Hồ Chí Minh</x:v>
      </x:c>
      <x:c r="D1912" s="2" t="str">
        <x:v>Quận Phú Nhuận</x:v>
      </x:c>
      <x:c r="E1912" s="2" t="str">
        <x:v>house</x:v>
      </x:c>
      <x:c r="F1912" s="2" t="str">
        <x:v>sale</x:v>
      </x:c>
      <x:c r="G1912" s="11" t="n">
        <x:v>65</x:v>
      </x:c>
      <x:c r="H1912" s="12" t="n">
        <x:v>1550000000</x:v>
      </x:c>
      <x:c r="I1912" s="12" t="n">
        <x:v>23846153.846153848</x:v>
      </x:c>
      <x:c r="J1912" s="2" t="str">
        <x:v>total</x:v>
      </x:c>
      <x:c r="K1912" s="2" t="str">
        <x:v>top_level_area</x:v>
      </x:c>
      <x:c r="L1912" s="2" t="str">
        <x:v>property_type_inferred_from_title</x:v>
      </x:c>
      <x:c r="M1912" s="10" t="n">
        <x:v>0</x:v>
      </x:c>
      <x:c r="N1912" s="10" t="n">
        <x:v>0</x:v>
      </x:c>
      <x:c r="O1912" s="2" t="str">
        <x:v>Tp Hồ Chí Minh|house</x:v>
      </x:c>
      <x:c r="P1912" s="10" t="n">
        <x:v>2</x:v>
      </x:c>
      <x:c r="Q1912" s="13" t="n">
        <x:f>IF(H1912="","",H1912/1000000000)</x:f>
        <x:v>1.55</x:v>
      </x:c>
      <x:c r="R1912" s="13" t="n">
        <x:f>IF(I1912="","",I1912/1000000)</x:f>
        <x:v>23.846153846153847</x:v>
      </x:c>
    </x:row>
    <x:row r="1913" ht="21" customHeight="1">
      <x:c r="A1913" s="10" t="n">
        <x:v>2811</x:v>
      </x:c>
      <x:c r="B1913" s="2" t="str">
        <x:v>adfd856d01b0b7dd3dbf</x:v>
      </x:c>
      <x:c r="C1913" s="2" t="str">
        <x:v>Tp Hồ Chí Minh</x:v>
      </x:c>
      <x:c r="D1913" s="2" t="str">
        <x:v>Quận 2</x:v>
      </x:c>
      <x:c r="E1913" s="2" t="str">
        <x:v>house</x:v>
      </x:c>
      <x:c r="F1913" s="2" t="str">
        <x:v>sale</x:v>
      </x:c>
      <x:c r="G1913" s="11" t="n">
        <x:v>65</x:v>
      </x:c>
      <x:c r="H1913" s="12" t="n">
        <x:v>1650000000</x:v>
      </x:c>
      <x:c r="I1913" s="12" t="n">
        <x:v>25384615.384615384</x:v>
      </x:c>
      <x:c r="J1913" s="2" t="str">
        <x:v>total</x:v>
      </x:c>
      <x:c r="K1913" s="2" t="str">
        <x:v>top_level_area</x:v>
      </x:c>
      <x:c r="L1913" s="2" t="str">
        <x:v>property_type_inferred_from_title</x:v>
      </x:c>
      <x:c r="M1913" s="10" t="n">
        <x:v>0</x:v>
      </x:c>
      <x:c r="N1913" s="10" t="n">
        <x:v>0</x:v>
      </x:c>
      <x:c r="O1913" s="2" t="str">
        <x:v>Tp Hồ Chí Minh|house</x:v>
      </x:c>
      <x:c r="P1913" s="10" t="n">
        <x:v>2</x:v>
      </x:c>
      <x:c r="Q1913" s="13" t="n">
        <x:f>IF(H1913="","",H1913/1000000000)</x:f>
        <x:v>1.65</x:v>
      </x:c>
      <x:c r="R1913" s="13" t="n">
        <x:f>IF(I1913="","",I1913/1000000)</x:f>
        <x:v>25.384615384615383</x:v>
      </x:c>
    </x:row>
    <x:row r="1914" ht="21" customHeight="1">
      <x:c r="A1914" s="10" t="n">
        <x:v>2814</x:v>
      </x:c>
      <x:c r="B1914" s="2" t="str">
        <x:v>961b565312e23e29b2a9</x:v>
      </x:c>
      <x:c r="C1914" s="2" t="str">
        <x:v>Tp Hồ Chí Minh</x:v>
      </x:c>
      <x:c r="D1914" s="2" t="str">
        <x:v>Quận 12</x:v>
      </x:c>
      <x:c r="E1914" s="2" t="str">
        <x:v>house</x:v>
      </x:c>
      <x:c r="F1914" s="2" t="str">
        <x:v>sale</x:v>
      </x:c>
      <x:c r="G1914" s="11" t="n">
        <x:v>1100</x:v>
      </x:c>
      <x:c r="H1914" s="12" t="n">
        <x:v>28000000000</x:v>
      </x:c>
      <x:c r="I1914" s="12" t="n">
        <x:v>25454545.454545453</x:v>
      </x:c>
      <x:c r="J1914" s="2" t="str">
        <x:v>total</x:v>
      </x:c>
      <x:c r="K1914" s="2" t="str">
        <x:v>top_level_area</x:v>
      </x:c>
      <x:c r="L1914" s="2" t="str">
        <x:v>dot_thousands_convention;property_type_inferred_from_title</x:v>
      </x:c>
      <x:c r="M1914" s="10" t="n">
        <x:v>0</x:v>
      </x:c>
      <x:c r="N1914" s="10" t="n">
        <x:v>0</x:v>
      </x:c>
      <x:c r="O1914" s="2" t="str">
        <x:v>Tp Hồ Chí Minh|house</x:v>
      </x:c>
      <x:c r="P1914" s="10" t="n">
        <x:v>1</x:v>
      </x:c>
      <x:c r="Q1914" s="13" t="n">
        <x:f>IF(H1914="","",H1914/1000000000)</x:f>
        <x:v>28</x:v>
      </x:c>
      <x:c r="R1914" s="13" t="n">
        <x:f>IF(I1914="","",I1914/1000000)</x:f>
        <x:v>25.454545454545453</x:v>
      </x:c>
    </x:row>
    <x:row r="1915" ht="21" customHeight="1">
      <x:c r="A1915" s="10" t="n">
        <x:v>2815</x:v>
      </x:c>
      <x:c r="B1915" s="2" t="str">
        <x:v>2c141c422c5b45e9c89f</x:v>
      </x:c>
      <x:c r="C1915" s="2" t="str">
        <x:v>Gia Lai</x:v>
      </x:c>
      <x:c r="D1915" s="2" t="str">
        <x:v>Huyện Chư Sê</x:v>
      </x:c>
      <x:c r="E1915" s="2" t="str">
        <x:v>land</x:v>
      </x:c>
      <x:c r="F1915" s="2" t="str">
        <x:v>sale_assumed</x:v>
      </x:c>
      <x:c r="G1915" s="11" t="n">
        <x:v>600</x:v>
      </x:c>
      <x:c r="H1915" s="12" t="n">
        <x:v>689000000</x:v>
      </x:c>
      <x:c r="I1915" s="12" t="n">
        <x:v>1148333.3333333333</x:v>
      </x:c>
      <x:c r="J1915" s="2" t="str">
        <x:v>total</x:v>
      </x:c>
      <x:c r="K1915" s="2" t="str">
        <x:v>top_level_area</x:v>
      </x:c>
      <x:c r="L1915" s="2" t="str">
        <x:v>property_type_inferred_from_title;transaction_assumed_sale_from_dataset_context</x:v>
      </x:c>
      <x:c r="M1915" s="10" t="n">
        <x:v>0</x:v>
      </x:c>
      <x:c r="N1915" s="10" t="n">
        <x:v>0</x:v>
      </x:c>
      <x:c r="O1915" s="2" t="str">
        <x:v>land</x:v>
      </x:c>
      <x:c r="P1915" s="10" t="n">
        <x:v>1</x:v>
      </x:c>
      <x:c r="Q1915" s="13" t="n">
        <x:f>IF(H1915="","",H1915/1000000000)</x:f>
        <x:v>0.689</x:v>
      </x:c>
      <x:c r="R1915" s="13" t="n">
        <x:f>IF(I1915="","",I1915/1000000)</x:f>
        <x:v>1.1483333333333332</x:v>
      </x:c>
    </x:row>
    <x:row r="1916" ht="21" customHeight="1">
      <x:c r="A1916" s="10" t="n">
        <x:v>2816</x:v>
      </x:c>
      <x:c r="B1916" s="2" t="str">
        <x:v>93f0c86af293fa91b493</x:v>
      </x:c>
      <x:c r="C1916" s="2" t="str">
        <x:v>Hậu Giang</x:v>
      </x:c>
      <x:c r="D1916" s="2" t="str">
        <x:v>Huyện Châu Thành</x:v>
      </x:c>
      <x:c r="E1916" s="2" t="str">
        <x:v>land</x:v>
      </x:c>
      <x:c r="F1916" s="2" t="str">
        <x:v>sale_assumed</x:v>
      </x:c>
      <x:c r="G1916" s="11" t="n">
        <x:v>80</x:v>
      </x:c>
      <x:c r="H1916" s="12" t="n">
        <x:v>680000000</x:v>
      </x:c>
      <x:c r="I1916" s="12" t="n">
        <x:v>8500000</x:v>
      </x:c>
      <x:c r="J1916" s="2" t="str">
        <x:v>total</x:v>
      </x:c>
      <x:c r="K1916" s="2" t="str">
        <x:v>top_level_area</x:v>
      </x:c>
      <x:c r="L1916" s="2" t="str">
        <x:v>property_type_inferred_from_title;transaction_assumed_sale_from_dataset_context</x:v>
      </x:c>
      <x:c r="M1916" s="10" t="n">
        <x:v>0</x:v>
      </x:c>
      <x:c r="N1916" s="10" t="n">
        <x:v>0</x:v>
      </x:c>
      <x:c r="O1916" s="2" t="str">
        <x:v>land</x:v>
      </x:c>
      <x:c r="P1916" s="10" t="n">
        <x:v>2</x:v>
      </x:c>
      <x:c r="Q1916" s="13" t="n">
        <x:f>IF(H1916="","",H1916/1000000000)</x:f>
        <x:v>0.68</x:v>
      </x:c>
      <x:c r="R1916" s="13" t="n">
        <x:f>IF(I1916="","",I1916/1000000)</x:f>
        <x:v>8.5</x:v>
      </x:c>
    </x:row>
    <x:row r="1917" ht="21" customHeight="1">
      <x:c r="A1917" s="10" t="n">
        <x:v>2817</x:v>
      </x:c>
      <x:c r="B1917" s="2" t="str">
        <x:v>0f27dd2e387f1eef8012</x:v>
      </x:c>
      <x:c r="C1917" s="2" t="str">
        <x:v>Hà Nội</x:v>
      </x:c>
      <x:c r="D1917" s="2" t="str">
        <x:v>Quận Thanh Xuân</x:v>
      </x:c>
      <x:c r="E1917" s="2" t="str">
        <x:v>land</x:v>
      </x:c>
      <x:c r="F1917" s="2" t="str">
        <x:v>sale</x:v>
      </x:c>
      <x:c r="G1917" s="11" t="n">
        <x:v>127</x:v>
      </x:c>
      <x:c r="H1917" s="12" t="n">
        <x:v>8800000000</x:v>
      </x:c>
      <x:c r="I1917" s="12" t="n">
        <x:v>69291338.58267717</x:v>
      </x:c>
      <x:c r="J1917" s="2" t="str">
        <x:v>total</x:v>
      </x:c>
      <x:c r="K1917" s="2" t="str">
        <x:v>top_level_area</x:v>
      </x:c>
      <x:c r="L1917" s="2" t="str">
        <x:v>property_type_inferred_from_title</x:v>
      </x:c>
      <x:c r="M1917" s="10" t="n">
        <x:v>0</x:v>
      </x:c>
      <x:c r="N1917" s="10" t="n">
        <x:v>0</x:v>
      </x:c>
      <x:c r="O1917" s="2" t="str">
        <x:v>Hà Nội|land</x:v>
      </x:c>
      <x:c r="P1917" s="10" t="n">
        <x:v>2</x:v>
      </x:c>
      <x:c r="Q1917" s="13" t="n">
        <x:f>IF(H1917="","",H1917/1000000000)</x:f>
        <x:v>8.8</x:v>
      </x:c>
      <x:c r="R1917" s="13" t="n">
        <x:f>IF(I1917="","",I1917/1000000)</x:f>
        <x:v>69.29133858267717</x:v>
      </x:c>
    </x:row>
    <x:row r="1918" ht="21" customHeight="1">
      <x:c r="A1918" s="10" t="n">
        <x:v>2818</x:v>
      </x:c>
      <x:c r="B1918" s="2" t="str">
        <x:v>4c2527080896fa1f7c4d</x:v>
      </x:c>
      <x:c r="C1918" s="2" t="str">
        <x:v>Bình Dương</x:v>
      </x:c>
      <x:c r="D1918" s="2" t="str">
        <x:v>Thị xã Thuận An</x:v>
      </x:c>
      <x:c r="E1918" s="2" t="str">
        <x:v>land</x:v>
      </x:c>
      <x:c r="F1918" s="2" t="str">
        <x:v>sale_assumed</x:v>
      </x:c>
      <x:c r="G1918" s="11" t="n">
        <x:v>140</x:v>
      </x:c>
      <x:c r="H1918" s="12" t="n">
        <x:v>300000000</x:v>
      </x:c>
      <x:c r="I1918" s="12" t="n">
        <x:v>2142857.1428571427</x:v>
      </x:c>
      <x:c r="J1918" s="2" t="str">
        <x:v>total</x:v>
      </x:c>
      <x:c r="K1918" s="2" t="str">
        <x:v>top_level_area</x:v>
      </x:c>
      <x:c r="L1918" s="2" t="str">
        <x:v>property_type_inferred_from_title;transaction_assumed_sale_from_dataset_context</x:v>
      </x:c>
      <x:c r="M1918" s="10" t="n">
        <x:v>0</x:v>
      </x:c>
      <x:c r="N1918" s="10" t="n">
        <x:v>0</x:v>
      </x:c>
      <x:c r="O1918" s="2" t="str">
        <x:v>Bình Dương|land</x:v>
      </x:c>
      <x:c r="P1918" s="10" t="n">
        <x:v>1</x:v>
      </x:c>
      <x:c r="Q1918" s="13" t="n">
        <x:f>IF(H1918="","",H1918/1000000000)</x:f>
        <x:v>0.3</x:v>
      </x:c>
      <x:c r="R1918" s="13" t="n">
        <x:f>IF(I1918="","",I1918/1000000)</x:f>
        <x:v>2.142857142857143</x:v>
      </x:c>
    </x:row>
    <x:row r="1919" ht="21" customHeight="1">
      <x:c r="A1919" s="10" t="n">
        <x:v>2819</x:v>
      </x:c>
      <x:c r="B1919" s="2" t="str">
        <x:v>c5b3709afd11883d26fb</x:v>
      </x:c>
      <x:c r="C1919" s="2" t="str">
        <x:v>Đà Nẵng</x:v>
      </x:c>
      <x:c r="D1919" s="2" t="str">
        <x:v>Quận Ngũ Hành Sơn</x:v>
      </x:c>
      <x:c r="E1919" s="2" t="str">
        <x:v>house</x:v>
      </x:c>
      <x:c r="F1919" s="2" t="str">
        <x:v>sale</x:v>
      </x:c>
      <x:c r="G1919" s="11" t="n">
        <x:v>100</x:v>
      </x:c>
      <x:c r="H1919" s="12" t="n">
        <x:v>2600000000</x:v>
      </x:c>
      <x:c r="I1919" s="12" t="n">
        <x:v>26000000</x:v>
      </x:c>
      <x:c r="J1919" s="2" t="str">
        <x:v>total</x:v>
      </x:c>
      <x:c r="K1919" s="2" t="str">
        <x:v>top_level_area</x:v>
      </x:c>
      <x:c r="L1919" s="2" t="str">
        <x:v>property_type_inferred_from_title</x:v>
      </x:c>
      <x:c r="M1919" s="10" t="n">
        <x:v>0</x:v>
      </x:c>
      <x:c r="N1919" s="10" t="n">
        <x:v>0</x:v>
      </x:c>
      <x:c r="O1919" s="2" t="str">
        <x:v>Đà Nẵng|house</x:v>
      </x:c>
      <x:c r="P1919" s="10" t="n">
        <x:v>2</x:v>
      </x:c>
      <x:c r="Q1919" s="13" t="n">
        <x:f>IF(H1919="","",H1919/1000000000)</x:f>
        <x:v>2.6</x:v>
      </x:c>
      <x:c r="R1919" s="13" t="n">
        <x:f>IF(I1919="","",I1919/1000000)</x:f>
        <x:v>26</x:v>
      </x:c>
    </x:row>
    <x:row r="1920" ht="21" customHeight="1">
      <x:c r="A1920" s="10" t="n">
        <x:v>2820</x:v>
      </x:c>
      <x:c r="B1920" s="2" t="str">
        <x:v>1ce83ac61ac408aa5a8c</x:v>
      </x:c>
      <x:c r="C1920" s="2" t="str">
        <x:v>Hà Nội</x:v>
      </x:c>
      <x:c r="D1920" s="2" t="str">
        <x:v>Huyện Thanh Trì</x:v>
      </x:c>
      <x:c r="E1920" s="2" t="str">
        <x:v>house</x:v>
      </x:c>
      <x:c r="F1920" s="2" t="str">
        <x:v>sale_assumed</x:v>
      </x:c>
      <x:c r="G1920" s="11" t="n">
        <x:v>38</x:v>
      </x:c>
      <x:c r="H1920" s="12" t="n">
        <x:v>2550000000</x:v>
      </x:c>
      <x:c r="I1920" s="12" t="n">
        <x:v>67105263.15789474</x:v>
      </x:c>
      <x:c r="J1920" s="2" t="str">
        <x:v>total</x:v>
      </x:c>
      <x:c r="K1920" s="2" t="str">
        <x:v>top_level_area</x:v>
      </x:c>
      <x:c r="L1920" s="2" t="str">
        <x:v>property_type_inferred_from_title;transaction_assumed_sale_from_dataset_context</x:v>
      </x:c>
      <x:c r="M1920" s="10" t="n">
        <x:v>0</x:v>
      </x:c>
      <x:c r="N1920" s="10" t="n">
        <x:v>0</x:v>
      </x:c>
      <x:c r="O1920" s="2" t="str">
        <x:v>Hà Nội|house</x:v>
      </x:c>
      <x:c r="P1920" s="10" t="n">
        <x:v>2</x:v>
      </x:c>
      <x:c r="Q1920" s="13" t="n">
        <x:f>IF(H1920="","",H1920/1000000000)</x:f>
        <x:v>2.55</x:v>
      </x:c>
      <x:c r="R1920" s="13" t="n">
        <x:f>IF(I1920="","",I1920/1000000)</x:f>
        <x:v>67.10526315789474</x:v>
      </x:c>
    </x:row>
    <x:row r="1921" ht="21" customHeight="1">
      <x:c r="A1921" s="10" t="n">
        <x:v>2821</x:v>
      </x:c>
      <x:c r="B1921" s="2" t="str">
        <x:v>54e083910513818e1021</x:v>
      </x:c>
      <x:c r="C1921" s="2" t="str">
        <x:v>Đắk Lắk</x:v>
      </x:c>
      <x:c r="D1921" s="2" t="str">
        <x:v>Thành phố Buôn Ma Thuột</x:v>
      </x:c>
      <x:c r="E1921" s="2" t="str">
        <x:v>house</x:v>
      </x:c>
      <x:c r="F1921" s="2" t="str">
        <x:v>sale_assumed</x:v>
      </x:c>
      <x:c r="G1921" s="11" t="n">
        <x:v>96</x:v>
      </x:c>
      <x:c r="H1921" s="12" t="n">
        <x:v>2650000000</x:v>
      </x:c>
      <x:c r="I1921" s="12" t="n">
        <x:v>27604166.666666668</x:v>
      </x:c>
      <x:c r="J1921" s="2" t="str">
        <x:v>total</x:v>
      </x:c>
      <x:c r="K1921" s="2" t="str">
        <x:v>top_level_area</x:v>
      </x:c>
      <x:c r="L1921" s="2" t="str">
        <x:v>property_type_inferred_from_title;transaction_assumed_sale_from_dataset_context</x:v>
      </x:c>
      <x:c r="M1921" s="10" t="n">
        <x:v>0</x:v>
      </x:c>
      <x:c r="N1921" s="10" t="n">
        <x:v>0</x:v>
      </x:c>
      <x:c r="O1921" s="2" t="str">
        <x:v>Đắk Lắk|house</x:v>
      </x:c>
      <x:c r="P1921" s="10" t="n">
        <x:v>2</x:v>
      </x:c>
      <x:c r="Q1921" s="13" t="n">
        <x:f>IF(H1921="","",H1921/1000000000)</x:f>
        <x:v>2.65</x:v>
      </x:c>
      <x:c r="R1921" s="13" t="n">
        <x:f>IF(I1921="","",I1921/1000000)</x:f>
        <x:v>27.604166666666668</x:v>
      </x:c>
    </x:row>
    <x:row r="1922" ht="21" customHeight="1">
      <x:c r="A1922" s="10" t="n">
        <x:v>2822</x:v>
      </x:c>
      <x:c r="B1922" s="2" t="str">
        <x:v>d9b32addfea1e22a8e3c</x:v>
      </x:c>
      <x:c r="C1922" s="2" t="str">
        <x:v>Tp Hồ Chí Minh</x:v>
      </x:c>
      <x:c r="D1922" s="2" t="str">
        <x:v>Quận 9</x:v>
      </x:c>
      <x:c r="E1922" s="2" t="str">
        <x:v>land</x:v>
      </x:c>
      <x:c r="F1922" s="2" t="str">
        <x:v>sale_assumed</x:v>
      </x:c>
      <x:c r="G1922" s="11" t="n">
        <x:v>101</x:v>
      </x:c>
      <x:c r="H1922" s="12" t="n">
        <x:v>850000000</x:v>
      </x:c>
      <x:c r="I1922" s="12" t="n">
        <x:v>8415841.584158415</x:v>
      </x:c>
      <x:c r="J1922" s="2" t="str">
        <x:v>total</x:v>
      </x:c>
      <x:c r="K1922" s="2" t="str">
        <x:v>top_level_area</x:v>
      </x:c>
      <x:c r="L1922" s="2" t="str">
        <x:v>property_type_inferred_from_title;transaction_assumed_sale_from_dataset_context</x:v>
      </x:c>
      <x:c r="M1922" s="10" t="n">
        <x:v>0</x:v>
      </x:c>
      <x:c r="N1922" s="10" t="n">
        <x:v>0</x:v>
      </x:c>
      <x:c r="O1922" s="2" t="str">
        <x:v>Tp Hồ Chí Minh|land</x:v>
      </x:c>
      <x:c r="P1922" s="10" t="n">
        <x:v>2</x:v>
      </x:c>
      <x:c r="Q1922" s="13" t="n">
        <x:f>IF(H1922="","",H1922/1000000000)</x:f>
        <x:v>0.85</x:v>
      </x:c>
      <x:c r="R1922" s="13" t="n">
        <x:f>IF(I1922="","",I1922/1000000)</x:f>
        <x:v>8.415841584158414</x:v>
      </x:c>
    </x:row>
    <x:row r="1923" ht="21" customHeight="1">
      <x:c r="A1923" s="10" t="n">
        <x:v>2823</x:v>
      </x:c>
      <x:c r="B1923" s="2" t="str">
        <x:v>44a6e8d0612d89e397aa</x:v>
      </x:c>
      <x:c r="C1923" s="2" t="str">
        <x:v>Bình Dương</x:v>
      </x:c>
      <x:c r="D1923" s="2" t="str">
        <x:v>Thị xã Bến Cát</x:v>
      </x:c>
      <x:c r="E1923" s="2" t="str">
        <x:v>land</x:v>
      </x:c>
      <x:c r="F1923" s="2" t="str">
        <x:v>sale</x:v>
      </x:c>
      <x:c r="G1923" s="11" t="n">
        <x:v>100</x:v>
      </x:c>
      <x:c r="H1923" s="12" t="n">
        <x:v>620000000</x:v>
      </x:c>
      <x:c r="I1923" s="12" t="n">
        <x:v>6200000</x:v>
      </x:c>
      <x:c r="J1923" s="2" t="str">
        <x:v>total</x:v>
      </x:c>
      <x:c r="K1923" s="2" t="str">
        <x:v>top_level_area</x:v>
      </x:c>
      <x:c r="L1923" s="2" t="str">
        <x:v>property_type_inferred_from_title</x:v>
      </x:c>
      <x:c r="M1923" s="10" t="n">
        <x:v>0</x:v>
      </x:c>
      <x:c r="N1923" s="10" t="n">
        <x:v>0</x:v>
      </x:c>
      <x:c r="O1923" s="2" t="str">
        <x:v>Bình Dương|land</x:v>
      </x:c>
      <x:c r="P1923" s="10" t="n">
        <x:v>2</x:v>
      </x:c>
      <x:c r="Q1923" s="13" t="n">
        <x:f>IF(H1923="","",H1923/1000000000)</x:f>
        <x:v>0.62</x:v>
      </x:c>
      <x:c r="R1923" s="13" t="n">
        <x:f>IF(I1923="","",I1923/1000000)</x:f>
        <x:v>6.2</x:v>
      </x:c>
    </x:row>
    <x:row r="1924" ht="21" customHeight="1">
      <x:c r="A1924" s="10" t="n">
        <x:v>2824</x:v>
      </x:c>
      <x:c r="B1924" s="2" t="str">
        <x:v>76d7e9c428dee0f2a94f</x:v>
      </x:c>
      <x:c r="C1924" s="2" t="str">
        <x:v>Đồng Nai</x:v>
      </x:c>
      <x:c r="D1924" s="2" t="str">
        <x:v>Thành phố Biên Hòa</x:v>
      </x:c>
      <x:c r="E1924" s="2" t="str">
        <x:v>other_unknown</x:v>
      </x:c>
      <x:c r="F1924" s="2" t="str">
        <x:v>sale</x:v>
      </x:c>
      <x:c r="G1924" s="11" t="n">
        <x:v>82</x:v>
      </x:c>
      <x:c r="H1924" s="12" t="n">
        <x:v>1080000000</x:v>
      </x:c>
      <x:c r="I1924" s="12" t="n">
        <x:v>13170731.707317073</x:v>
      </x:c>
      <x:c r="J1924" s="2" t="str">
        <x:v>total</x:v>
      </x:c>
      <x:c r="K1924" s="2" t="str">
        <x:v>top_level_area</x:v>
      </x:c>
      <x:c r="L1924" s="2" t="str">
        <x:v>property_type_inferred_from_title;unknown_property_type</x:v>
      </x:c>
      <x:c r="M1924" s="10" t="n">
        <x:v>0</x:v>
      </x:c>
      <x:c r="N1924" s="10" t="n">
        <x:v>0</x:v>
      </x:c>
      <x:c r="O1924" s="2" t="str">
        <x:v>Đồng Nai|other_unknown</x:v>
      </x:c>
      <x:c r="P1924" s="10" t="n">
        <x:v>2</x:v>
      </x:c>
      <x:c r="Q1924" s="13" t="n">
        <x:f>IF(H1924="","",H1924/1000000000)</x:f>
        <x:v>1.08</x:v>
      </x:c>
      <x:c r="R1924" s="13" t="n">
        <x:f>IF(I1924="","",I1924/1000000)</x:f>
        <x:v>13.170731707317072</x:v>
      </x:c>
    </x:row>
    <x:row r="1925" ht="21" customHeight="1">
      <x:c r="A1925" s="10" t="n">
        <x:v>2825</x:v>
      </x:c>
      <x:c r="B1925" s="2" t="str">
        <x:v>eb3624b9eb627902e90b</x:v>
      </x:c>
      <x:c r="C1925" s="2" t="str">
        <x:v>Đồng Nai</x:v>
      </x:c>
      <x:c r="D1925" s="2" t="str">
        <x:v>Huyện Long Thành</x:v>
      </x:c>
      <x:c r="E1925" s="2" t="str">
        <x:v>land</x:v>
      </x:c>
      <x:c r="F1925" s="2" t="str">
        <x:v>sale_assumed</x:v>
      </x:c>
      <x:c r="G1925" s="11" t="n">
        <x:v>60</x:v>
      </x:c>
      <x:c r="H1925" s="12" t="n">
        <x:v>210000000</x:v>
      </x:c>
      <x:c r="I1925" s="12" t="n">
        <x:v>3500000</x:v>
      </x:c>
      <x:c r="J1925" s="2" t="str">
        <x:v>total</x:v>
      </x:c>
      <x:c r="K1925" s="2" t="str">
        <x:v>top_level_area</x:v>
      </x:c>
      <x:c r="L1925" s="2" t="str">
        <x:v>property_type_inferred_from_title;transaction_assumed_sale_from_dataset_context</x:v>
      </x:c>
      <x:c r="M1925" s="10" t="n">
        <x:v>0</x:v>
      </x:c>
      <x:c r="N1925" s="10" t="n">
        <x:v>0</x:v>
      </x:c>
      <x:c r="O1925" s="2" t="str">
        <x:v>Đồng Nai|land</x:v>
      </x:c>
      <x:c r="P1925" s="10" t="n">
        <x:v>2</x:v>
      </x:c>
      <x:c r="Q1925" s="13" t="n">
        <x:f>IF(H1925="","",H1925/1000000000)</x:f>
        <x:v>0.21</x:v>
      </x:c>
      <x:c r="R1925" s="13" t="n">
        <x:f>IF(I1925="","",I1925/1000000)</x:f>
        <x:v>3.5</x:v>
      </x:c>
    </x:row>
    <x:row r="1926" ht="21" customHeight="1">
      <x:c r="A1926" s="10" t="n">
        <x:v>2826</x:v>
      </x:c>
      <x:c r="B1926" s="2" t="str">
        <x:v>1e920237d6350fb11c8f</x:v>
      </x:c>
      <x:c r="C1926" s="2" t="str">
        <x:v>Đà Nẵng</x:v>
      </x:c>
      <x:c r="D1926" s="2" t="str">
        <x:v>Quận Sơn Trà</x:v>
      </x:c>
      <x:c r="E1926" s="2" t="str">
        <x:v>other_unknown</x:v>
      </x:c>
      <x:c r="F1926" s="2" t="str">
        <x:v>sale_assumed</x:v>
      </x:c>
      <x:c r="G1926" s="11" t="n">
        <x:v>74</x:v>
      </x:c>
      <x:c r="H1926" s="12" t="n">
        <x:v>5200000000</x:v>
      </x:c>
      <x:c r="I1926" s="12" t="n">
        <x:v>70270270.27027027</x:v>
      </x:c>
      <x:c r="J1926" s="2" t="str">
        <x:v>total</x:v>
      </x:c>
      <x:c r="K1926" s="2" t="str">
        <x:v>top_level_area</x:v>
      </x:c>
      <x:c r="L1926" s="2" t="str">
        <x:v>property_type_inferred_from_title;transaction_assumed_sale_from_dataset_context;unknown_property_type</x:v>
      </x:c>
      <x:c r="M1926" s="10" t="n">
        <x:v>0</x:v>
      </x:c>
      <x:c r="N1926" s="10" t="n">
        <x:v>0</x:v>
      </x:c>
      <x:c r="O1926" s="2" t="str">
        <x:v>Đà Nẵng|other_unknown</x:v>
      </x:c>
      <x:c r="P1926" s="10" t="n">
        <x:v>2</x:v>
      </x:c>
      <x:c r="Q1926" s="13" t="n">
        <x:f>IF(H1926="","",H1926/1000000000)</x:f>
        <x:v>5.2</x:v>
      </x:c>
      <x:c r="R1926" s="13" t="n">
        <x:f>IF(I1926="","",I1926/1000000)</x:f>
        <x:v>70.27027027027027</x:v>
      </x:c>
    </x:row>
    <x:row r="1927" ht="21" customHeight="1">
      <x:c r="A1927" s="10" t="n">
        <x:v>2827</x:v>
      </x:c>
      <x:c r="B1927" s="2" t="str">
        <x:v>6d6fb456823b2c386706</x:v>
      </x:c>
      <x:c r="C1927" s="2" t="str">
        <x:v>Hà Nội</x:v>
      </x:c>
      <x:c r="D1927" s="2" t="str">
        <x:v>Quận Hoàng Mai</x:v>
      </x:c>
      <x:c r="E1927" s="2" t="str">
        <x:v>house</x:v>
      </x:c>
      <x:c r="F1927" s="2" t="str">
        <x:v>sale</x:v>
      </x:c>
      <x:c r="G1927" s="11" t="n">
        <x:v>54</x:v>
      </x:c>
      <x:c r="H1927" s="12" t="n">
        <x:v>5500000000</x:v>
      </x:c>
      <x:c r="I1927" s="12" t="n">
        <x:v>101851851.85185185</x:v>
      </x:c>
      <x:c r="J1927" s="2" t="str">
        <x:v>total</x:v>
      </x:c>
      <x:c r="K1927" s="2" t="str">
        <x:v>top_level_area</x:v>
      </x:c>
      <x:c r="L1927" s="2" t="str">
        <x:v>property_type_inferred_from_title</x:v>
      </x:c>
      <x:c r="M1927" s="10" t="n">
        <x:v>0</x:v>
      </x:c>
      <x:c r="N1927" s="10" t="n">
        <x:v>0</x:v>
      </x:c>
      <x:c r="O1927" s="2" t="str">
        <x:v>Hà Nội|house</x:v>
      </x:c>
      <x:c r="P1927" s="10" t="n">
        <x:v>2</x:v>
      </x:c>
      <x:c r="Q1927" s="13" t="n">
        <x:f>IF(H1927="","",H1927/1000000000)</x:f>
        <x:v>5.5</x:v>
      </x:c>
      <x:c r="R1927" s="13" t="n">
        <x:f>IF(I1927="","",I1927/1000000)</x:f>
        <x:v>101.85185185185185</x:v>
      </x:c>
    </x:row>
    <x:row r="1928" ht="21" customHeight="1">
      <x:c r="A1928" s="10" t="n">
        <x:v>2828</x:v>
      </x:c>
      <x:c r="B1928" s="2" t="str">
        <x:v>3b3870d6db469e4908ed</x:v>
      </x:c>
      <x:c r="C1928" s="2" t="str">
        <x:v>Tp Hồ Chí Minh</x:v>
      </x:c>
      <x:c r="D1928" s="2" t="str">
        <x:v>Quận 12</x:v>
      </x:c>
      <x:c r="E1928" s="2" t="str">
        <x:v>house</x:v>
      </x:c>
      <x:c r="F1928" s="2" t="str">
        <x:v>sale_assumed</x:v>
      </x:c>
      <x:c r="G1928" s="11" t="n">
        <x:v>58</x:v>
      </x:c>
      <x:c r="H1928" s="12" t="n">
        <x:v>4269999999.9999995</x:v>
      </x:c>
      <x:c r="I1928" s="12" t="n">
        <x:v>73620689.65517241</x:v>
      </x:c>
      <x:c r="J1928" s="2" t="str">
        <x:v>total</x:v>
      </x:c>
      <x:c r="K1928" s="2" t="str">
        <x:v>top_level_area</x:v>
      </x:c>
      <x:c r="L1928" s="2" t="str">
        <x:v>property_type_inferred_from_title;transaction_assumed_sale_from_dataset_context</x:v>
      </x:c>
      <x:c r="M1928" s="10" t="n">
        <x:v>0</x:v>
      </x:c>
      <x:c r="N1928" s="10" t="n">
        <x:v>0</x:v>
      </x:c>
      <x:c r="O1928" s="2" t="str">
        <x:v>Tp Hồ Chí Minh|house</x:v>
      </x:c>
      <x:c r="P1928" s="10" t="n">
        <x:v>2</x:v>
      </x:c>
      <x:c r="Q1928" s="13" t="n">
        <x:f>IF(H1928="","",H1928/1000000000)</x:f>
        <x:v>4.27</x:v>
      </x:c>
      <x:c r="R1928" s="13" t="n">
        <x:f>IF(I1928="","",I1928/1000000)</x:f>
        <x:v>73.62068965517241</x:v>
      </x:c>
    </x:row>
    <x:row r="1929" ht="21" customHeight="1">
      <x:c r="A1929" s="10" t="n">
        <x:v>2829</x:v>
      </x:c>
      <x:c r="B1929" s="2" t="str">
        <x:v>ccbebb6a402af5b52d5a</x:v>
      </x:c>
      <x:c r="C1929" s="2" t="str">
        <x:v>Tp Hồ Chí Minh</x:v>
      </x:c>
      <x:c r="D1929" s="2" t="str">
        <x:v>Quận Bình Tân</x:v>
      </x:c>
      <x:c r="E1929" s="2" t="str">
        <x:v>house</x:v>
      </x:c>
      <x:c r="F1929" s="2" t="str">
        <x:v>sale_assumed</x:v>
      </x:c>
      <x:c r="G1929" s="11" t="n">
        <x:v>50</x:v>
      </x:c>
      <x:c r="H1929" s="12" t="n">
        <x:v>2780000000</x:v>
      </x:c>
      <x:c r="I1929" s="12" t="n">
        <x:v>55600000</x:v>
      </x:c>
      <x:c r="J1929" s="2" t="str">
        <x:v>total</x:v>
      </x:c>
      <x:c r="K1929" s="2" t="str">
        <x:v>top_level_area</x:v>
      </x:c>
      <x:c r="L1929" s="2" t="str">
        <x:v>property_type_inferred_from_title;transaction_assumed_sale_from_dataset_context</x:v>
      </x:c>
      <x:c r="M1929" s="10" t="n">
        <x:v>0</x:v>
      </x:c>
      <x:c r="N1929" s="10" t="n">
        <x:v>0</x:v>
      </x:c>
      <x:c r="O1929" s="2" t="str">
        <x:v>Tp Hồ Chí Minh|house</x:v>
      </x:c>
      <x:c r="P1929" s="10" t="n">
        <x:v>2</x:v>
      </x:c>
      <x:c r="Q1929" s="13" t="n">
        <x:f>IF(H1929="","",H1929/1000000000)</x:f>
        <x:v>2.78</x:v>
      </x:c>
      <x:c r="R1929" s="13" t="n">
        <x:f>IF(I1929="","",I1929/1000000)</x:f>
        <x:v>55.6</x:v>
      </x:c>
    </x:row>
    <x:row r="1930" ht="21" customHeight="1">
      <x:c r="A1930" s="10" t="n">
        <x:v>2830</x:v>
      </x:c>
      <x:c r="B1930" s="2" t="str">
        <x:v>3dd28aec6bd64e243236</x:v>
      </x:c>
      <x:c r="C1930" s="2" t="str">
        <x:v>Tp Hồ Chí Minh</x:v>
      </x:c>
      <x:c r="D1930" s="2" t="str">
        <x:v>Quận Thủ Đức</x:v>
      </x:c>
      <x:c r="E1930" s="2" t="str">
        <x:v>house</x:v>
      </x:c>
      <x:c r="F1930" s="2" t="str">
        <x:v>sale</x:v>
      </x:c>
      <x:c r="G1930" s="11" t="n">
        <x:v>80</x:v>
      </x:c>
      <x:c r="H1930" s="12" t="n">
        <x:v>5800000000</x:v>
      </x:c>
      <x:c r="I1930" s="12" t="n">
        <x:v>72500000</x:v>
      </x:c>
      <x:c r="J1930" s="2" t="str">
        <x:v>total</x:v>
      </x:c>
      <x:c r="K1930" s="2" t="str">
        <x:v>top_level_area</x:v>
      </x:c>
      <x:c r="L1930" s="2" t="str">
        <x:v>property_type_inferred_from_title</x:v>
      </x:c>
      <x:c r="M1930" s="10" t="n">
        <x:v>0</x:v>
      </x:c>
      <x:c r="N1930" s="10" t="n">
        <x:v>0</x:v>
      </x:c>
      <x:c r="O1930" s="2" t="str">
        <x:v>Tp Hồ Chí Minh|house</x:v>
      </x:c>
      <x:c r="P1930" s="10" t="n">
        <x:v>2</x:v>
      </x:c>
      <x:c r="Q1930" s="13" t="n">
        <x:f>IF(H1930="","",H1930/1000000000)</x:f>
        <x:v>5.8</x:v>
      </x:c>
      <x:c r="R1930" s="13" t="n">
        <x:f>IF(I1930="","",I1930/1000000)</x:f>
        <x:v>72.5</x:v>
      </x:c>
    </x:row>
    <x:row r="1931" ht="21" customHeight="1">
      <x:c r="A1931" s="10" t="n">
        <x:v>2831</x:v>
      </x:c>
      <x:c r="B1931" s="2" t="str">
        <x:v>b7893ffb26c5ccda4355</x:v>
      </x:c>
      <x:c r="C1931" s="2" t="str">
        <x:v>Tp Hồ Chí Minh</x:v>
      </x:c>
      <x:c r="D1931" s="2" t="str">
        <x:v>Quận Bình Thạnh</x:v>
      </x:c>
      <x:c r="E1931" s="2" t="str">
        <x:v>house</x:v>
      </x:c>
      <x:c r="F1931" s="2" t="str">
        <x:v>sale_assumed</x:v>
      </x:c>
      <x:c r="G1931" s="11" t="n">
        <x:v>58.7</x:v>
      </x:c>
      <x:c r="H1931" s="12" t="n">
        <x:v>997000000</x:v>
      </x:c>
      <x:c r="I1931" s="12" t="n">
        <x:v>16984667.802385006</x:v>
      </x:c>
      <x:c r="J1931" s="2" t="str">
        <x:v>total</x:v>
      </x:c>
      <x:c r="K1931" s="2" t="str">
        <x:v>top_level_price_embedded_area</x:v>
      </x:c>
      <x:c r="L1931" s="2" t="str">
        <x:v>area_recovered_from_price_text;property_type_inferred_from_title;transaction_assumed_sale_from_dataset_context</x:v>
      </x:c>
      <x:c r="M1931" s="10" t="n">
        <x:v>0</x:v>
      </x:c>
      <x:c r="N1931" s="10" t="n">
        <x:v>0</x:v>
      </x:c>
      <x:c r="O1931" s="2" t="str">
        <x:v>Tp Hồ Chí Minh|house</x:v>
      </x:c>
      <x:c r="P1931" s="10" t="n">
        <x:v>2</x:v>
      </x:c>
      <x:c r="Q1931" s="13" t="n">
        <x:f>IF(H1931="","",H1931/1000000000)</x:f>
        <x:v>0.997</x:v>
      </x:c>
      <x:c r="R1931" s="13" t="n">
        <x:f>IF(I1931="","",I1931/1000000)</x:f>
        <x:v>16.984667802385005</x:v>
      </x:c>
    </x:row>
    <x:row r="1932" ht="21" customHeight="1">
      <x:c r="A1932" s="10" t="n">
        <x:v>2832</x:v>
      </x:c>
      <x:c r="B1932" s="2" t="str">
        <x:v>29662a18a4e165bd7f33</x:v>
      </x:c>
      <x:c r="C1932" s="2" t="str">
        <x:v>Tp Hồ Chí Minh</x:v>
      </x:c>
      <x:c r="D1932" s="2" t="str">
        <x:v>Quận 7</x:v>
      </x:c>
      <x:c r="E1932" s="2" t="str">
        <x:v>house</x:v>
      </x:c>
      <x:c r="F1932" s="2" t="str">
        <x:v>sale_assumed</x:v>
      </x:c>
      <x:c r="G1932" s="11" t="n">
        <x:v>45</x:v>
      </x:c>
      <x:c r="H1932" s="12" t="n">
        <x:v>3950000000</x:v>
      </x:c>
      <x:c r="I1932" s="12" t="n">
        <x:v>87777777.77777778</x:v>
      </x:c>
      <x:c r="J1932" s="2" t="str">
        <x:v>total</x:v>
      </x:c>
      <x:c r="K1932" s="2" t="str">
        <x:v>top_level_area</x:v>
      </x:c>
      <x:c r="L1932" s="2" t="str">
        <x:v>property_type_inferred_from_title;transaction_assumed_sale_from_dataset_context</x:v>
      </x:c>
      <x:c r="M1932" s="10" t="n">
        <x:v>0</x:v>
      </x:c>
      <x:c r="N1932" s="10" t="n">
        <x:v>0</x:v>
      </x:c>
      <x:c r="O1932" s="2" t="str">
        <x:v>Tp Hồ Chí Minh|house</x:v>
      </x:c>
      <x:c r="P1932" s="10" t="n">
        <x:v>2</x:v>
      </x:c>
      <x:c r="Q1932" s="13" t="n">
        <x:f>IF(H1932="","",H1932/1000000000)</x:f>
        <x:v>3.95</x:v>
      </x:c>
      <x:c r="R1932" s="13" t="n">
        <x:f>IF(I1932="","",I1932/1000000)</x:f>
        <x:v>87.77777777777777</x:v>
      </x:c>
    </x:row>
    <x:row r="1933" ht="21" customHeight="1">
      <x:c r="A1933" s="10" t="n">
        <x:v>2833</x:v>
      </x:c>
      <x:c r="B1933" s="2" t="str">
        <x:v>c3572f75b554722c7011</x:v>
      </x:c>
      <x:c r="C1933" s="2" t="str">
        <x:v>Hà Nội</x:v>
      </x:c>
      <x:c r="D1933" s="2" t="str">
        <x:v>Quận Đống Đa</x:v>
      </x:c>
      <x:c r="E1933" s="2" t="str">
        <x:v>other_unknown</x:v>
      </x:c>
      <x:c r="F1933" s="2" t="str">
        <x:v>sale_assumed</x:v>
      </x:c>
      <x:c r="G1933" s="11" t="n">
        <x:v>95</x:v>
      </x:c>
      <x:c r="H1933" s="12" t="n">
        <x:v>25500000000</x:v>
      </x:c>
      <x:c r="I1933" s="12" t="n">
        <x:v>268421052.63157895</x:v>
      </x:c>
      <x:c r="J1933" s="2" t="str">
        <x:v>total</x:v>
      </x:c>
      <x:c r="K1933" s="2" t="str">
        <x:v>top_level_area</x:v>
      </x:c>
      <x:c r="L1933" s="2" t="str">
        <x:v>property_type_inferred_from_title;transaction_assumed_sale_from_dataset_context;unknown_property_type</x:v>
      </x:c>
      <x:c r="M1933" s="10" t="n">
        <x:v>1</x:v>
      </x:c>
      <x:c r="N1933" s="10" t="n">
        <x:v>1</x:v>
      </x:c>
      <x:c r="O1933" s="2" t="str">
        <x:v>Hà Nội|other_unknown</x:v>
      </x:c>
      <x:c r="P1933" s="10" t="n">
        <x:v>-1</x:v>
      </x:c>
      <x:c r="Q1933" s="13" t="n">
        <x:f>IF(H1933="","",H1933/1000000000)</x:f>
        <x:v>25.5</x:v>
      </x:c>
      <x:c r="R1933" s="13" t="n">
        <x:f>IF(I1933="","",I1933/1000000)</x:f>
        <x:v>268.42105263157896</x:v>
      </x:c>
    </x:row>
    <x:row r="1934" ht="21" customHeight="1">
      <x:c r="A1934" s="10" t="n">
        <x:v>2847</x:v>
      </x:c>
      <x:c r="B1934" s="2" t="str">
        <x:v>60b422087bb5982388c8</x:v>
      </x:c>
      <x:c r="C1934" s="2" t="str">
        <x:v>Bình Dương</x:v>
      </x:c>
      <x:c r="D1934" s="2" t="str">
        <x:v>Huyện Bàu Bàng</x:v>
      </x:c>
      <x:c r="E1934" s="2" t="str">
        <x:v>other_unknown</x:v>
      </x:c>
      <x:c r="F1934" s="2" t="str">
        <x:v>sale_assumed</x:v>
      </x:c>
      <x:c r="G1934" s="11" t="n">
        <x:v>167</x:v>
      </x:c>
      <x:c r="H1934" s="12" t="n">
        <x:v>1100000000</x:v>
      </x:c>
      <x:c r="I1934" s="12" t="n">
        <x:v>6586826.347305389</x:v>
      </x:c>
      <x:c r="J1934" s="2" t="str">
        <x:v>total</x:v>
      </x:c>
      <x:c r="K1934" s="2" t="str">
        <x:v>top_level_area</x:v>
      </x:c>
      <x:c r="L1934" s="2" t="str">
        <x:v>property_type_inferred_from_title;transaction_assumed_sale_from_dataset_context;unknown_property_type</x:v>
      </x:c>
      <x:c r="M1934" s="10" t="n">
        <x:v>0</x:v>
      </x:c>
      <x:c r="N1934" s="10" t="n">
        <x:v>0</x:v>
      </x:c>
      <x:c r="O1934" s="2" t="str">
        <x:v>Bình Dương|other_unknown</x:v>
      </x:c>
      <x:c r="P1934" s="10" t="n">
        <x:v>2</x:v>
      </x:c>
      <x:c r="Q1934" s="13" t="n">
        <x:f>IF(H1934="","",H1934/1000000000)</x:f>
        <x:v>1.1</x:v>
      </x:c>
      <x:c r="R1934" s="13" t="n">
        <x:f>IF(I1934="","",I1934/1000000)</x:f>
        <x:v>6.586826347305389</x:v>
      </x:c>
    </x:row>
    <x:row r="1935" ht="21" customHeight="1">
      <x:c r="A1935" s="10" t="n">
        <x:v>2848</x:v>
      </x:c>
      <x:c r="B1935" s="2" t="str">
        <x:v>a0ce1523fe51a1495c8a</x:v>
      </x:c>
      <x:c r="C1935" s="2" t="str">
        <x:v>Tp Hồ Chí Minh</x:v>
      </x:c>
      <x:c r="D1935" s="2" t="str">
        <x:v>Quận 10</x:v>
      </x:c>
      <x:c r="E1935" s="2" t="str">
        <x:v>house</x:v>
      </x:c>
      <x:c r="F1935" s="2" t="str">
        <x:v>sale</x:v>
      </x:c>
      <x:c r="G1935" s="11" t="n">
        <x:v>62</x:v>
      </x:c>
      <x:c r="H1935" s="12" t="n">
        <x:v>1400000000</x:v>
      </x:c>
      <x:c r="I1935" s="12" t="n">
        <x:v>22580645.16129032</x:v>
      </x:c>
      <x:c r="J1935" s="2" t="str">
        <x:v>total</x:v>
      </x:c>
      <x:c r="K1935" s="2" t="str">
        <x:v>top_level_area</x:v>
      </x:c>
      <x:c r="L1935" s="2" t="str">
        <x:v>property_type_inferred_from_title</x:v>
      </x:c>
      <x:c r="M1935" s="10" t="n">
        <x:v>0</x:v>
      </x:c>
      <x:c r="N1935" s="10" t="n">
        <x:v>0</x:v>
      </x:c>
      <x:c r="O1935" s="2" t="str">
        <x:v>Tp Hồ Chí Minh|house</x:v>
      </x:c>
      <x:c r="P1935" s="10" t="n">
        <x:v>2</x:v>
      </x:c>
      <x:c r="Q1935" s="13" t="n">
        <x:f>IF(H1935="","",H1935/1000000000)</x:f>
        <x:v>1.4</x:v>
      </x:c>
      <x:c r="R1935" s="13" t="n">
        <x:f>IF(I1935="","",I1935/1000000)</x:f>
        <x:v>22.58064516129032</x:v>
      </x:c>
    </x:row>
    <x:row r="1936" ht="21" customHeight="1">
      <x:c r="A1936" s="10" t="n">
        <x:v>2850</x:v>
      </x:c>
      <x:c r="B1936" s="2" t="str">
        <x:v>db1062fe57aeb73d21f3</x:v>
      </x:c>
      <x:c r="C1936" s="2" t="str">
        <x:v>Hậu Giang</x:v>
      </x:c>
      <x:c r="D1936" s="2" t="str">
        <x:v>Huyện Châu Thành A</x:v>
      </x:c>
      <x:c r="E1936" s="2" t="str">
        <x:v>land</x:v>
      </x:c>
      <x:c r="F1936" s="2" t="str">
        <x:v>sale_assumed</x:v>
      </x:c>
      <x:c r="G1936" s="11" t="n">
        <x:v>80</x:v>
      </x:c>
      <x:c r="H1936" s="12" t="n">
        <x:v>1000000000</x:v>
      </x:c>
      <x:c r="I1936" s="12" t="n">
        <x:v>12500000</x:v>
      </x:c>
      <x:c r="J1936" s="2" t="str">
        <x:v>total</x:v>
      </x:c>
      <x:c r="K1936" s="2" t="str">
        <x:v>top_level_area</x:v>
      </x:c>
      <x:c r="L1936" s="2" t="str">
        <x:v>property_type_inferred_from_title;transaction_assumed_sale_from_dataset_context</x:v>
      </x:c>
      <x:c r="M1936" s="10" t="n">
        <x:v>0</x:v>
      </x:c>
      <x:c r="N1936" s="10" t="n">
        <x:v>0</x:v>
      </x:c>
      <x:c r="O1936" s="2" t="str">
        <x:v>land</x:v>
      </x:c>
      <x:c r="P1936" s="10" t="n">
        <x:v>2</x:v>
      </x:c>
      <x:c r="Q1936" s="13" t="n">
        <x:f>IF(H1936="","",H1936/1000000000)</x:f>
        <x:v>1</x:v>
      </x:c>
      <x:c r="R1936" s="13" t="n">
        <x:f>IF(I1936="","",I1936/1000000)</x:f>
        <x:v>12.5</x:v>
      </x:c>
    </x:row>
    <x:row r="1937" ht="21" customHeight="1">
      <x:c r="A1937" s="10" t="n">
        <x:v>2851</x:v>
      </x:c>
      <x:c r="B1937" s="2" t="str">
        <x:v>85e69539872fe320dc47</x:v>
      </x:c>
      <x:c r="C1937" s="2" t="str">
        <x:v>Hà Nội</x:v>
      </x:c>
      <x:c r="D1937" s="2" t="str">
        <x:v>Quận Đống Đa</x:v>
      </x:c>
      <x:c r="E1937" s="2" t="str">
        <x:v>other_unknown</x:v>
      </x:c>
      <x:c r="F1937" s="2" t="str">
        <x:v>sale_assumed</x:v>
      </x:c>
      <x:c r="G1937" s="11" t="n">
        <x:v>32</x:v>
      </x:c>
      <x:c r="H1937" s="12" t="n">
        <x:v>5400000000</x:v>
      </x:c>
      <x:c r="I1937" s="12" t="n">
        <x:v>168750000</x:v>
      </x:c>
      <x:c r="J1937" s="2" t="str">
        <x:v>total</x:v>
      </x:c>
      <x:c r="K1937" s="2" t="str">
        <x:v>top_level_price_embedded_area</x:v>
      </x:c>
      <x:c r="L1937" s="2" t="str">
        <x:v>area_recovered_from_price_text;property_type_inferred_from_title;transaction_assumed_sale_from_dataset_context;unknown_property_type</x:v>
      </x:c>
      <x:c r="M1937" s="10" t="n">
        <x:v>1</x:v>
      </x:c>
      <x:c r="N1937" s="10" t="n">
        <x:v>0</x:v>
      </x:c>
      <x:c r="O1937" s="2" t="str">
        <x:v>Hà Nội|other_unknown</x:v>
      </x:c>
      <x:c r="P1937" s="10" t="n">
        <x:v>2</x:v>
      </x:c>
      <x:c r="Q1937" s="13" t="n">
        <x:f>IF(H1937="","",H1937/1000000000)</x:f>
        <x:v>5.4</x:v>
      </x:c>
      <x:c r="R1937" s="13" t="n">
        <x:f>IF(I1937="","",I1937/1000000)</x:f>
        <x:v>168.75</x:v>
      </x:c>
    </x:row>
    <x:row r="1938" ht="21" customHeight="1">
      <x:c r="A1938" s="10" t="n">
        <x:v>2852</x:v>
      </x:c>
      <x:c r="B1938" s="2" t="str">
        <x:v>802df4952ae0e8e2c4eb</x:v>
      </x:c>
      <x:c r="C1938" s="2" t="str">
        <x:v>Đồng Nai</x:v>
      </x:c>
      <x:c r="D1938" s="2" t="str">
        <x:v>Huyện Long Thành</x:v>
      </x:c>
      <x:c r="E1938" s="2" t="str">
        <x:v>land</x:v>
      </x:c>
      <x:c r="F1938" s="2" t="str">
        <x:v>sale_assumed</x:v>
      </x:c>
      <x:c r="G1938" s="11" t="n">
        <x:v>100</x:v>
      </x:c>
      <x:c r="H1938" s="12" t="n">
        <x:v>1500000000</x:v>
      </x:c>
      <x:c r="I1938" s="12" t="n">
        <x:v>15000000</x:v>
      </x:c>
      <x:c r="J1938" s="2" t="str">
        <x:v>total</x:v>
      </x:c>
      <x:c r="K1938" s="2" t="str">
        <x:v>top_level_area</x:v>
      </x:c>
      <x:c r="L1938" s="2" t="str">
        <x:v>property_type_inferred_from_title;transaction_assumed_sale_from_dataset_context</x:v>
      </x:c>
      <x:c r="M1938" s="10" t="n">
        <x:v>0</x:v>
      </x:c>
      <x:c r="N1938" s="10" t="n">
        <x:v>0</x:v>
      </x:c>
      <x:c r="O1938" s="2" t="str">
        <x:v>Đồng Nai|land</x:v>
      </x:c>
      <x:c r="P1938" s="10" t="n">
        <x:v>2</x:v>
      </x:c>
      <x:c r="Q1938" s="13" t="n">
        <x:f>IF(H1938="","",H1938/1000000000)</x:f>
        <x:v>1.5</x:v>
      </x:c>
      <x:c r="R1938" s="13" t="n">
        <x:f>IF(I1938="","",I1938/1000000)</x:f>
        <x:v>15</x:v>
      </x:c>
    </x:row>
    <x:row r="1939" ht="21" customHeight="1">
      <x:c r="A1939" s="10" t="n">
        <x:v>2853</x:v>
      </x:c>
      <x:c r="B1939" s="2" t="str">
        <x:v>8ae340a295ee49c27095</x:v>
      </x:c>
      <x:c r="C1939" s="2" t="str">
        <x:v>Tp Hồ Chí Minh</x:v>
      </x:c>
      <x:c r="D1939" s="2" t="str">
        <x:v>Quận 8</x:v>
      </x:c>
      <x:c r="E1939" s="2" t="str">
        <x:v>house</x:v>
      </x:c>
      <x:c r="F1939" s="2" t="str">
        <x:v>sale_assumed</x:v>
      </x:c>
      <x:c r="G1939" s="11" t="n">
        <x:v>39</x:v>
      </x:c>
      <x:c r="H1939" s="12" t="n">
        <x:v>1550000000</x:v>
      </x:c>
      <x:c r="I1939" s="12" t="n">
        <x:v>39743589.743589744</x:v>
      </x:c>
      <x:c r="J1939" s="2" t="str">
        <x:v>total</x:v>
      </x:c>
      <x:c r="K1939" s="2" t="str">
        <x:v>top_level_area</x:v>
      </x:c>
      <x:c r="L1939" s="2" t="str">
        <x:v>property_type_inferred_from_title;transaction_assumed_sale_from_dataset_context</x:v>
      </x:c>
      <x:c r="M1939" s="10" t="n">
        <x:v>0</x:v>
      </x:c>
      <x:c r="N1939" s="10" t="n">
        <x:v>0</x:v>
      </x:c>
      <x:c r="O1939" s="2" t="str">
        <x:v>Tp Hồ Chí Minh|house</x:v>
      </x:c>
      <x:c r="P1939" s="10" t="n">
        <x:v>2</x:v>
      </x:c>
      <x:c r="Q1939" s="13" t="n">
        <x:f>IF(H1939="","",H1939/1000000000)</x:f>
        <x:v>1.55</x:v>
      </x:c>
      <x:c r="R1939" s="13" t="n">
        <x:f>IF(I1939="","",I1939/1000000)</x:f>
        <x:v>39.743589743589745</x:v>
      </x:c>
    </x:row>
    <x:row r="1940" ht="21" customHeight="1">
      <x:c r="A1940" s="10" t="n">
        <x:v>2854</x:v>
      </x:c>
      <x:c r="B1940" s="2" t="str">
        <x:v>65e03b3b898291d67eb4</x:v>
      </x:c>
      <x:c r="C1940" s="2" t="str">
        <x:v>Tp Hồ Chí Minh</x:v>
      </x:c>
      <x:c r="D1940" s="2" t="str">
        <x:v>Quận 12</x:v>
      </x:c>
      <x:c r="E1940" s="2" t="str">
        <x:v>house</x:v>
      </x:c>
      <x:c r="F1940" s="2" t="str">
        <x:v>sale_assumed</x:v>
      </x:c>
      <x:c r="G1940" s="11" t="n">
        <x:v>100</x:v>
      </x:c>
      <x:c r="H1940" s="12" t="n">
        <x:v>3100000000</x:v>
      </x:c>
      <x:c r="I1940" s="12" t="n">
        <x:v>31000000</x:v>
      </x:c>
      <x:c r="J1940" s="2" t="str">
        <x:v>total</x:v>
      </x:c>
      <x:c r="K1940" s="2" t="str">
        <x:v>top_level_area</x:v>
      </x:c>
      <x:c r="L1940" s="2" t="str">
        <x:v>property_type_inferred_from_title;transaction_assumed_sale_from_dataset_context</x:v>
      </x:c>
      <x:c r="M1940" s="10" t="n">
        <x:v>0</x:v>
      </x:c>
      <x:c r="N1940" s="10" t="n">
        <x:v>0</x:v>
      </x:c>
      <x:c r="O1940" s="2" t="str">
        <x:v>Tp Hồ Chí Minh|house</x:v>
      </x:c>
      <x:c r="P1940" s="10" t="n">
        <x:v>2</x:v>
      </x:c>
      <x:c r="Q1940" s="13" t="n">
        <x:f>IF(H1940="","",H1940/1000000000)</x:f>
        <x:v>3.1</x:v>
      </x:c>
      <x:c r="R1940" s="13" t="n">
        <x:f>IF(I1940="","",I1940/1000000)</x:f>
        <x:v>31</x:v>
      </x:c>
    </x:row>
    <x:row r="1941" ht="21" customHeight="1">
      <x:c r="A1941" s="10" t="n">
        <x:v>2855</x:v>
      </x:c>
      <x:c r="B1941" s="2" t="str">
        <x:v>8fffe82dd28fce518e79</x:v>
      </x:c>
      <x:c r="C1941" s="2" t="str">
        <x:v>Tp Hồ Chí Minh</x:v>
      </x:c>
      <x:c r="D1941" s="2" t="str">
        <x:v>Quận 11</x:v>
      </x:c>
      <x:c r="E1941" s="2" t="str">
        <x:v>house</x:v>
      </x:c>
      <x:c r="F1941" s="2" t="str">
        <x:v>sale</x:v>
      </x:c>
      <x:c r="G1941" s="11" t="n">
        <x:v>65</x:v>
      </x:c>
      <x:c r="H1941" s="12" t="n">
        <x:v>1350000000</x:v>
      </x:c>
      <x:c r="I1941" s="12" t="n">
        <x:v>20769230.769230768</x:v>
      </x:c>
      <x:c r="J1941" s="2" t="str">
        <x:v>total</x:v>
      </x:c>
      <x:c r="K1941" s="2" t="str">
        <x:v>top_level_area</x:v>
      </x:c>
      <x:c r="L1941" s="2" t="str">
        <x:v>property_type_inferred_from_title</x:v>
      </x:c>
      <x:c r="M1941" s="10" t="n">
        <x:v>0</x:v>
      </x:c>
      <x:c r="N1941" s="10" t="n">
        <x:v>0</x:v>
      </x:c>
      <x:c r="O1941" s="2" t="str">
        <x:v>Tp Hồ Chí Minh|house</x:v>
      </x:c>
      <x:c r="P1941" s="10" t="n">
        <x:v>2</x:v>
      </x:c>
      <x:c r="Q1941" s="13" t="n">
        <x:f>IF(H1941="","",H1941/1000000000)</x:f>
        <x:v>1.35</x:v>
      </x:c>
      <x:c r="R1941" s="13" t="n">
        <x:f>IF(I1941="","",I1941/1000000)</x:f>
        <x:v>20.769230769230766</x:v>
      </x:c>
    </x:row>
    <x:row r="1942" ht="21" customHeight="1">
      <x:c r="A1942" s="10" t="n">
        <x:v>2858</x:v>
      </x:c>
      <x:c r="B1942" s="2" t="str">
        <x:v>ee09557be5f8105f7a2b</x:v>
      </x:c>
      <x:c r="C1942" s="2" t="str">
        <x:v>Bình Thuận</x:v>
      </x:c>
      <x:c r="D1942" s="2" t="str">
        <x:v>Thành phố Phan Thiết</x:v>
      </x:c>
      <x:c r="E1942" s="2" t="str">
        <x:v>house</x:v>
      </x:c>
      <x:c r="F1942" s="2" t="str">
        <x:v>sale</x:v>
      </x:c>
      <x:c r="G1942" s="11" t="n">
        <x:v>100</x:v>
      </x:c>
      <x:c r="H1942" s="12" t="n">
        <x:v>3100000000</x:v>
      </x:c>
      <x:c r="I1942" s="12" t="n">
        <x:v>31000000</x:v>
      </x:c>
      <x:c r="J1942" s="2" t="str">
        <x:v>total</x:v>
      </x:c>
      <x:c r="K1942" s="2" t="str">
        <x:v>top_level_area</x:v>
      </x:c>
      <x:c r="L1942" s="2" t="str">
        <x:v>property_type_inferred_from_title</x:v>
      </x:c>
      <x:c r="M1942" s="10" t="n">
        <x:v>0</x:v>
      </x:c>
      <x:c r="N1942" s="10" t="n">
        <x:v>0</x:v>
      </x:c>
      <x:c r="O1942" s="2" t="str">
        <x:v>house</x:v>
      </x:c>
      <x:c r="P1942" s="10" t="n">
        <x:v>2</x:v>
      </x:c>
      <x:c r="Q1942" s="13" t="n">
        <x:f>IF(H1942="","",H1942/1000000000)</x:f>
        <x:v>3.1</x:v>
      </x:c>
      <x:c r="R1942" s="13" t="n">
        <x:f>IF(I1942="","",I1942/1000000)</x:f>
        <x:v>31</x:v>
      </x:c>
    </x:row>
    <x:row r="1943" ht="21" customHeight="1">
      <x:c r="A1943" s="10" t="n">
        <x:v>2859</x:v>
      </x:c>
      <x:c r="B1943" s="2" t="str">
        <x:v>1f1a7ca6c18a7cc254e5</x:v>
      </x:c>
      <x:c r="C1943" s="2" t="str">
        <x:v>Hậu Giang</x:v>
      </x:c>
      <x:c r="D1943" s="2" t="str">
        <x:v>Huyện Châu Thành</x:v>
      </x:c>
      <x:c r="E1943" s="2" t="str">
        <x:v>land</x:v>
      </x:c>
      <x:c r="F1943" s="2" t="str">
        <x:v>sale_assumed</x:v>
      </x:c>
      <x:c r="G1943" s="11" t="n">
        <x:v>100</x:v>
      </x:c>
      <x:c r="H1943" s="12" t="n">
        <x:v>960000000</x:v>
      </x:c>
      <x:c r="I1943" s="12" t="n">
        <x:v>9600000</x:v>
      </x:c>
      <x:c r="J1943" s="2" t="str">
        <x:v>total</x:v>
      </x:c>
      <x:c r="K1943" s="2" t="str">
        <x:v>top_level_area</x:v>
      </x:c>
      <x:c r="L1943" s="2" t="str">
        <x:v>property_type_inferred_from_title;transaction_assumed_sale_from_dataset_context</x:v>
      </x:c>
      <x:c r="M1943" s="10" t="n">
        <x:v>0</x:v>
      </x:c>
      <x:c r="N1943" s="10" t="n">
        <x:v>0</x:v>
      </x:c>
      <x:c r="O1943" s="2" t="str">
        <x:v>land</x:v>
      </x:c>
      <x:c r="P1943" s="10" t="n">
        <x:v>2</x:v>
      </x:c>
      <x:c r="Q1943" s="13" t="n">
        <x:f>IF(H1943="","",H1943/1000000000)</x:f>
        <x:v>0.96</x:v>
      </x:c>
      <x:c r="R1943" s="13" t="n">
        <x:f>IF(I1943="","",I1943/1000000)</x:f>
        <x:v>9.6</x:v>
      </x:c>
    </x:row>
    <x:row r="1944" ht="21" customHeight="1">
      <x:c r="A1944" s="10" t="n">
        <x:v>2860</x:v>
      </x:c>
      <x:c r="B1944" s="2" t="str">
        <x:v>81183656935482534d1c</x:v>
      </x:c>
      <x:c r="C1944" s="2" t="str">
        <x:v>Trà Vinh</x:v>
      </x:c>
      <x:c r="D1944" s="2" t="str">
        <x:v>Thành phố Trà Vinh</x:v>
      </x:c>
      <x:c r="E1944" s="2" t="str">
        <x:v>other_unknown</x:v>
      </x:c>
      <x:c r="F1944" s="2" t="str">
        <x:v>sale_assumed</x:v>
      </x:c>
      <x:c r="G1944" s="11" t="n">
        <x:v>430</x:v>
      </x:c>
      <x:c r="H1944" s="12" t="n">
        <x:v>2550000000</x:v>
      </x:c>
      <x:c r="I1944" s="12" t="n">
        <x:v>5930232.558139535</x:v>
      </x:c>
      <x:c r="J1944" s="2" t="str">
        <x:v>total</x:v>
      </x:c>
      <x:c r="K1944" s="2" t="str">
        <x:v>top_level_area</x:v>
      </x:c>
      <x:c r="L1944" s="2" t="str">
        <x:v>property_type_inferred_from_title;transaction_assumed_sale_from_dataset_context;unknown_property_type</x:v>
      </x:c>
      <x:c r="M1944" s="10" t="n">
        <x:v>0</x:v>
      </x:c>
      <x:c r="N1944" s="10" t="n">
        <x:v>0</x:v>
      </x:c>
      <x:c r="O1944" s="2" t="str">
        <x:v>other_unknown</x:v>
      </x:c>
      <x:c r="P1944" s="10" t="n">
        <x:v>1</x:v>
      </x:c>
      <x:c r="Q1944" s="13" t="n">
        <x:f>IF(H1944="","",H1944/1000000000)</x:f>
        <x:v>2.55</x:v>
      </x:c>
      <x:c r="R1944" s="13" t="n">
        <x:f>IF(I1944="","",I1944/1000000)</x:f>
        <x:v>5.930232558139535</x:v>
      </x:c>
    </x:row>
    <x:row r="1945" ht="21" customHeight="1">
      <x:c r="A1945" s="10" t="n">
        <x:v>2861</x:v>
      </x:c>
      <x:c r="B1945" s="2" t="str">
        <x:v>208c701df9cb983f595d</x:v>
      </x:c>
      <x:c r="C1945" s="2" t="str">
        <x:v>Bà Rịa - Vũng Tàu</x:v>
      </x:c>
      <x:c r="D1945" s="2" t="str">
        <x:v>Thị xã Phú Mỹ</x:v>
      </x:c>
      <x:c r="E1945" s="2" t="str">
        <x:v>land</x:v>
      </x:c>
      <x:c r="F1945" s="2" t="str">
        <x:v>sale</x:v>
      </x:c>
      <x:c r="G1945" s="11" t="n">
        <x:v>200</x:v>
      </x:c>
      <x:c r="H1945" s="12" t="n">
        <x:v>1100000000</x:v>
      </x:c>
      <x:c r="I1945" s="12" t="n">
        <x:v>5500000</x:v>
      </x:c>
      <x:c r="J1945" s="2" t="str">
        <x:v>total</x:v>
      </x:c>
      <x:c r="K1945" s="2" t="str">
        <x:v>top_level_area</x:v>
      </x:c>
      <x:c r="L1945" s="2" t="str">
        <x:v>property_type_inferred_from_title</x:v>
      </x:c>
      <x:c r="M1945" s="10" t="n">
        <x:v>0</x:v>
      </x:c>
      <x:c r="N1945" s="10" t="n">
        <x:v>0</x:v>
      </x:c>
      <x:c r="O1945" s="2" t="str">
        <x:v>Bà Rịa - Vũng Tàu|land</x:v>
      </x:c>
      <x:c r="P1945" s="10" t="n">
        <x:v>1</x:v>
      </x:c>
      <x:c r="Q1945" s="13" t="n">
        <x:f>IF(H1945="","",H1945/1000000000)</x:f>
        <x:v>1.1</x:v>
      </x:c>
      <x:c r="R1945" s="13" t="n">
        <x:f>IF(I1945="","",I1945/1000000)</x:f>
        <x:v>5.5</x:v>
      </x:c>
    </x:row>
    <x:row r="1946" ht="21" customHeight="1">
      <x:c r="A1946" s="10" t="n">
        <x:v>2862</x:v>
      </x:c>
      <x:c r="B1946" s="2" t="str">
        <x:v>d52675f07f2682ffa7d9</x:v>
      </x:c>
      <x:c r="C1946" s="2" t="str">
        <x:v>Tp Hồ Chí Minh</x:v>
      </x:c>
      <x:c r="D1946" s="2" t="str">
        <x:v>Quận 8</x:v>
      </x:c>
      <x:c r="E1946" s="2" t="str">
        <x:v>house</x:v>
      </x:c>
      <x:c r="F1946" s="2" t="str">
        <x:v>sale_assumed</x:v>
      </x:c>
      <x:c r="G1946" s="11" t="n">
        <x:v>40</x:v>
      </x:c>
      <x:c r="H1946" s="12" t="n">
        <x:v>890000000</x:v>
      </x:c>
      <x:c r="I1946" s="12" t="n">
        <x:v>22250000</x:v>
      </x:c>
      <x:c r="J1946" s="2" t="str">
        <x:v>total</x:v>
      </x:c>
      <x:c r="K1946" s="2" t="str">
        <x:v>top_level_area</x:v>
      </x:c>
      <x:c r="L1946" s="2" t="str">
        <x:v>property_type_inferred_from_title;transaction_assumed_sale_from_dataset_context</x:v>
      </x:c>
      <x:c r="M1946" s="10" t="n">
        <x:v>0</x:v>
      </x:c>
      <x:c r="N1946" s="10" t="n">
        <x:v>0</x:v>
      </x:c>
      <x:c r="O1946" s="2" t="str">
        <x:v>Tp Hồ Chí Minh|house</x:v>
      </x:c>
      <x:c r="P1946" s="10" t="n">
        <x:v>2</x:v>
      </x:c>
      <x:c r="Q1946" s="13" t="n">
        <x:f>IF(H1946="","",H1946/1000000000)</x:f>
        <x:v>0.89</x:v>
      </x:c>
      <x:c r="R1946" s="13" t="n">
        <x:f>IF(I1946="","",I1946/1000000)</x:f>
        <x:v>22.25</x:v>
      </x:c>
    </x:row>
    <x:row r="1947" ht="21" customHeight="1">
      <x:c r="A1947" s="10" t="n">
        <x:v>2863</x:v>
      </x:c>
      <x:c r="B1947" s="2" t="str">
        <x:v>84575f9b4f0cea96761b</x:v>
      </x:c>
      <x:c r="C1947" s="2" t="str">
        <x:v>Tp Hồ Chí Minh</x:v>
      </x:c>
      <x:c r="D1947" s="2" t="str">
        <x:v>Quận 7</x:v>
      </x:c>
      <x:c r="E1947" s="2" t="str">
        <x:v>house</x:v>
      </x:c>
      <x:c r="F1947" s="2" t="str">
        <x:v>sale_assumed</x:v>
      </x:c>
      <x:c r="G1947" s="11" t="n">
        <x:v>82</x:v>
      </x:c>
      <x:c r="H1947" s="12" t="n">
        <x:v>4650000000</x:v>
      </x:c>
      <x:c r="I1947" s="12" t="n">
        <x:v>56707317.07317073</x:v>
      </x:c>
      <x:c r="J1947" s="2" t="str">
        <x:v>total</x:v>
      </x:c>
      <x:c r="K1947" s="2" t="str">
        <x:v>top_level_area</x:v>
      </x:c>
      <x:c r="L1947" s="2" t="str">
        <x:v>property_type_inferred_from_title;transaction_assumed_sale_from_dataset_context</x:v>
      </x:c>
      <x:c r="M1947" s="10" t="n">
        <x:v>0</x:v>
      </x:c>
      <x:c r="N1947" s="10" t="n">
        <x:v>0</x:v>
      </x:c>
      <x:c r="O1947" s="2" t="str">
        <x:v>Tp Hồ Chí Minh|house</x:v>
      </x:c>
      <x:c r="P1947" s="10" t="n">
        <x:v>2</x:v>
      </x:c>
      <x:c r="Q1947" s="13" t="n">
        <x:f>IF(H1947="","",H1947/1000000000)</x:f>
        <x:v>4.65</x:v>
      </x:c>
      <x:c r="R1947" s="13" t="n">
        <x:f>IF(I1947="","",I1947/1000000)</x:f>
        <x:v>56.70731707317073</x:v>
      </x:c>
    </x:row>
    <x:row r="1948" ht="21" customHeight="1">
      <x:c r="A1948" s="10" t="n">
        <x:v>2864</x:v>
      </x:c>
      <x:c r="B1948" s="2" t="str">
        <x:v>3a63e3946f26a68c5dca</x:v>
      </x:c>
      <x:c r="C1948" s="2" t="str">
        <x:v>Tp Hồ Chí Minh</x:v>
      </x:c>
      <x:c r="D1948" s="2" t="str">
        <x:v>Quận Tân Phú</x:v>
      </x:c>
      <x:c r="E1948" s="2" t="str">
        <x:v>house</x:v>
      </x:c>
      <x:c r="F1948" s="2" t="str">
        <x:v>sale</x:v>
      </x:c>
      <x:c r="G1948" s="11" t="n">
        <x:v>48</x:v>
      </x:c>
      <x:c r="H1948" s="12" t="n">
        <x:v>4900000000</x:v>
      </x:c>
      <x:c r="I1948" s="12" t="n">
        <x:v>102083333.33333333</x:v>
      </x:c>
      <x:c r="J1948" s="2" t="str">
        <x:v>total</x:v>
      </x:c>
      <x:c r="K1948" s="2" t="str">
        <x:v>top_level_area</x:v>
      </x:c>
      <x:c r="L1948" s="2" t="str">
        <x:v>property_type_inferred_from_title</x:v>
      </x:c>
      <x:c r="M1948" s="10" t="n">
        <x:v>0</x:v>
      </x:c>
      <x:c r="N1948" s="10" t="n">
        <x:v>0</x:v>
      </x:c>
      <x:c r="O1948" s="2" t="str">
        <x:v>Tp Hồ Chí Minh|house</x:v>
      </x:c>
      <x:c r="P1948" s="10" t="n">
        <x:v>2</x:v>
      </x:c>
      <x:c r="Q1948" s="13" t="n">
        <x:f>IF(H1948="","",H1948/1000000000)</x:f>
        <x:v>4.9</x:v>
      </x:c>
      <x:c r="R1948" s="13" t="n">
        <x:f>IF(I1948="","",I1948/1000000)</x:f>
        <x:v>102.08333333333333</x:v>
      </x:c>
    </x:row>
    <x:row r="1949" ht="21" customHeight="1">
      <x:c r="A1949" s="10" t="n">
        <x:v>2865</x:v>
      </x:c>
      <x:c r="B1949" s="2" t="str">
        <x:v>164b2172c6baadd0958e</x:v>
      </x:c>
      <x:c r="C1949" s="2" t="str">
        <x:v>Tp Hồ Chí Minh</x:v>
      </x:c>
      <x:c r="D1949" s="2" t="str">
        <x:v>Quận 10</x:v>
      </x:c>
      <x:c r="E1949" s="2" t="str">
        <x:v>house</x:v>
      </x:c>
      <x:c r="F1949" s="2" t="str">
        <x:v>sale</x:v>
      </x:c>
      <x:c r="G1949" s="11" t="n">
        <x:v>80</x:v>
      </x:c>
      <x:c r="H1949" s="12" t="n">
        <x:v>1700000000</x:v>
      </x:c>
      <x:c r="I1949" s="12" t="n">
        <x:v>21250000</x:v>
      </x:c>
      <x:c r="J1949" s="2" t="str">
        <x:v>total</x:v>
      </x:c>
      <x:c r="K1949" s="2" t="str">
        <x:v>top_level_area</x:v>
      </x:c>
      <x:c r="L1949" s="2" t="str">
        <x:v>property_type_inferred_from_title</x:v>
      </x:c>
      <x:c r="M1949" s="10" t="n">
        <x:v>0</x:v>
      </x:c>
      <x:c r="N1949" s="10" t="n">
        <x:v>0</x:v>
      </x:c>
      <x:c r="O1949" s="2" t="str">
        <x:v>Tp Hồ Chí Minh|house</x:v>
      </x:c>
      <x:c r="P1949" s="10" t="n">
        <x:v>2</x:v>
      </x:c>
      <x:c r="Q1949" s="13" t="n">
        <x:f>IF(H1949="","",H1949/1000000000)</x:f>
        <x:v>1.7</x:v>
      </x:c>
      <x:c r="R1949" s="13" t="n">
        <x:f>IF(I1949="","",I1949/1000000)</x:f>
        <x:v>21.25</x:v>
      </x:c>
    </x:row>
    <x:row r="1950" ht="21" customHeight="1">
      <x:c r="A1950" s="10" t="n">
        <x:v>2866</x:v>
      </x:c>
      <x:c r="B1950" s="2" t="str">
        <x:v>04e2c68a23a533c38686</x:v>
      </x:c>
      <x:c r="C1950" s="2" t="str">
        <x:v>Tp Hồ Chí Minh</x:v>
      </x:c>
      <x:c r="D1950" s="2" t="str">
        <x:v>Quận Tân Phú</x:v>
      </x:c>
      <x:c r="E1950" s="2" t="str">
        <x:v>other_unknown</x:v>
      </x:c>
      <x:c r="F1950" s="2" t="str">
        <x:v>sale_assumed</x:v>
      </x:c>
      <x:c r="G1950" s="11" t="n">
        <x:v>88.3</x:v>
      </x:c>
      <x:c r="H1950" s="12" t="n">
        <x:v>4099999999.9999995</x:v>
      </x:c>
      <x:c r="I1950" s="12" t="n">
        <x:v>46432616.0815402</x:v>
      </x:c>
      <x:c r="J1950" s="2" t="str">
        <x:v>total</x:v>
      </x:c>
      <x:c r="K1950" s="2" t="str">
        <x:v>top_level_area</x:v>
      </x:c>
      <x:c r="L1950" s="2" t="str">
        <x:v>property_type_inferred_from_title;transaction_assumed_sale_from_dataset_context;unknown_property_type</x:v>
      </x:c>
      <x:c r="M1950" s="10" t="n">
        <x:v>0</x:v>
      </x:c>
      <x:c r="N1950" s="10" t="n">
        <x:v>0</x:v>
      </x:c>
      <x:c r="O1950" s="2" t="str">
        <x:v>Tp Hồ Chí Minh|other_unknown</x:v>
      </x:c>
      <x:c r="P1950" s="10" t="n">
        <x:v>2</x:v>
      </x:c>
      <x:c r="Q1950" s="13" t="n">
        <x:f>IF(H1950="","",H1950/1000000000)</x:f>
        <x:v>4.1</x:v>
      </x:c>
      <x:c r="R1950" s="13" t="n">
        <x:f>IF(I1950="","",I1950/1000000)</x:f>
        <x:v>46.432616081540196</x:v>
      </x:c>
    </x:row>
    <x:row r="1951" ht="21" customHeight="1">
      <x:c r="A1951" s="10" t="n">
        <x:v>2867</x:v>
      </x:c>
      <x:c r="B1951" s="2" t="str">
        <x:v>6dbce7c2bead69f2ebfd</x:v>
      </x:c>
      <x:c r="C1951" s="2" t="str">
        <x:v>Tp Hồ Chí Minh</x:v>
      </x:c>
      <x:c r="D1951" s="2" t="str">
        <x:v>Huyện Hóc Môn</x:v>
      </x:c>
      <x:c r="E1951" s="2" t="str">
        <x:v>house</x:v>
      </x:c>
      <x:c r="F1951" s="2" t="str">
        <x:v>sale</x:v>
      </x:c>
      <x:c r="G1951" s="11" t="n">
        <x:v>25</x:v>
      </x:c>
      <x:c r="H1951" s="12" t="n">
        <x:v>520000000</x:v>
      </x:c>
      <x:c r="I1951" s="12" t="n">
        <x:v>20800000</x:v>
      </x:c>
      <x:c r="J1951" s="2" t="str">
        <x:v>total</x:v>
      </x:c>
      <x:c r="K1951" s="2" t="str">
        <x:v>top_level_area</x:v>
      </x:c>
      <x:c r="L1951" s="2" t="str">
        <x:v>property_type_inferred_from_title</x:v>
      </x:c>
      <x:c r="M1951" s="10" t="n">
        <x:v>0</x:v>
      </x:c>
      <x:c r="N1951" s="10" t="n">
        <x:v>0</x:v>
      </x:c>
      <x:c r="O1951" s="2" t="str">
        <x:v>Tp Hồ Chí Minh|house</x:v>
      </x:c>
      <x:c r="P1951" s="10" t="n">
        <x:v>2</x:v>
      </x:c>
      <x:c r="Q1951" s="13" t="n">
        <x:f>IF(H1951="","",H1951/1000000000)</x:f>
        <x:v>0.52</x:v>
      </x:c>
      <x:c r="R1951" s="13" t="n">
        <x:f>IF(I1951="","",I1951/1000000)</x:f>
        <x:v>20.8</x:v>
      </x:c>
    </x:row>
    <x:row r="1952" ht="21" customHeight="1">
      <x:c r="A1952" s="10" t="n">
        <x:v>2868</x:v>
      </x:c>
      <x:c r="B1952" s="2" t="str">
        <x:v>12079aace6f90eefb31c</x:v>
      </x:c>
      <x:c r="C1952" s="2" t="str">
        <x:v>Tp Hồ Chí Minh</x:v>
      </x:c>
      <x:c r="D1952" s="2" t="str">
        <x:v>Quận Thủ Đức</x:v>
      </x:c>
      <x:c r="E1952" s="2" t="str">
        <x:v>house</x:v>
      </x:c>
      <x:c r="F1952" s="2" t="str">
        <x:v>sale_assumed</x:v>
      </x:c>
      <x:c r="G1952" s="11" t="n">
        <x:v>66</x:v>
      </x:c>
      <x:c r="H1952" s="12" t="n">
        <x:v>3300000000</x:v>
      </x:c>
      <x:c r="I1952" s="12" t="n">
        <x:v>50000000</x:v>
      </x:c>
      <x:c r="J1952" s="2" t="str">
        <x:v>total</x:v>
      </x:c>
      <x:c r="K1952" s="2" t="str">
        <x:v>top_level_area</x:v>
      </x:c>
      <x:c r="L1952" s="2" t="str">
        <x:v>property_type_inferred_from_title;transaction_assumed_sale_from_dataset_context</x:v>
      </x:c>
      <x:c r="M1952" s="10" t="n">
        <x:v>0</x:v>
      </x:c>
      <x:c r="N1952" s="10" t="n">
        <x:v>0</x:v>
      </x:c>
      <x:c r="O1952" s="2" t="str">
        <x:v>Tp Hồ Chí Minh|house</x:v>
      </x:c>
      <x:c r="P1952" s="10" t="n">
        <x:v>2</x:v>
      </x:c>
      <x:c r="Q1952" s="13" t="n">
        <x:f>IF(H1952="","",H1952/1000000000)</x:f>
        <x:v>3.3</x:v>
      </x:c>
      <x:c r="R1952" s="13" t="n">
        <x:f>IF(I1952="","",I1952/1000000)</x:f>
        <x:v>50</x:v>
      </x:c>
    </x:row>
    <x:row r="1953" ht="21" customHeight="1">
      <x:c r="A1953" s="10" t="n">
        <x:v>2869</x:v>
      </x:c>
      <x:c r="B1953" s="2" t="str">
        <x:v>359b8fa0ca8c4f17c27b</x:v>
      </x:c>
      <x:c r="C1953" s="2" t="str">
        <x:v>Tp Hồ Chí Minh</x:v>
      </x:c>
      <x:c r="D1953" s="2" t="str">
        <x:v>Huyện Nhà Bè</x:v>
      </x:c>
      <x:c r="E1953" s="2" t="str">
        <x:v>house</x:v>
      </x:c>
      <x:c r="F1953" s="2" t="str">
        <x:v>sale_assumed</x:v>
      </x:c>
      <x:c r="G1953" s="11" t="n">
        <x:v>65</x:v>
      </x:c>
      <x:c r="H1953" s="12" t="n">
        <x:v>3100000000</x:v>
      </x:c>
      <x:c r="I1953" s="12" t="n">
        <x:v>47692307.692307696</x:v>
      </x:c>
      <x:c r="J1953" s="2" t="str">
        <x:v>total</x:v>
      </x:c>
      <x:c r="K1953" s="2" t="str">
        <x:v>top_level_area</x:v>
      </x:c>
      <x:c r="L1953" s="2" t="str">
        <x:v>property_type_inferred_from_title;transaction_assumed_sale_from_dataset_context</x:v>
      </x:c>
      <x:c r="M1953" s="10" t="n">
        <x:v>0</x:v>
      </x:c>
      <x:c r="N1953" s="10" t="n">
        <x:v>0</x:v>
      </x:c>
      <x:c r="O1953" s="2" t="str">
        <x:v>Tp Hồ Chí Minh|house</x:v>
      </x:c>
      <x:c r="P1953" s="10" t="n">
        <x:v>2</x:v>
      </x:c>
      <x:c r="Q1953" s="13" t="n">
        <x:f>IF(H1953="","",H1953/1000000000)</x:f>
        <x:v>3.1</x:v>
      </x:c>
      <x:c r="R1953" s="13" t="n">
        <x:f>IF(I1953="","",I1953/1000000)</x:f>
        <x:v>47.69230769230769</x:v>
      </x:c>
    </x:row>
    <x:row r="1954" ht="21" customHeight="1">
      <x:c r="A1954" s="10" t="n">
        <x:v>2870</x:v>
      </x:c>
      <x:c r="B1954" s="2" t="str">
        <x:v>67b8019d2831edc493b9</x:v>
      </x:c>
      <x:c r="C1954" s="2" t="str">
        <x:v>Tp Hồ Chí Minh</x:v>
      </x:c>
      <x:c r="D1954" s="2" t="str">
        <x:v>Quận Thủ Đức</x:v>
      </x:c>
      <x:c r="E1954" s="2" t="str">
        <x:v>land</x:v>
      </x:c>
      <x:c r="F1954" s="2" t="str">
        <x:v>sale_assumed</x:v>
      </x:c>
      <x:c r="G1954" s="11" t="n">
        <x:v>100</x:v>
      </x:c>
      <x:c r="H1954" s="12" t="n">
        <x:v>5600000000</x:v>
      </x:c>
      <x:c r="I1954" s="12" t="n">
        <x:v>56000000</x:v>
      </x:c>
      <x:c r="J1954" s="2" t="str">
        <x:v>total</x:v>
      </x:c>
      <x:c r="K1954" s="2" t="str">
        <x:v>top_level_area</x:v>
      </x:c>
      <x:c r="L1954" s="2" t="str">
        <x:v>property_type_inferred_from_title;transaction_assumed_sale_from_dataset_context</x:v>
      </x:c>
      <x:c r="M1954" s="10" t="n">
        <x:v>0</x:v>
      </x:c>
      <x:c r="N1954" s="10" t="n">
        <x:v>0</x:v>
      </x:c>
      <x:c r="O1954" s="2" t="str">
        <x:v>Tp Hồ Chí Minh|land</x:v>
      </x:c>
      <x:c r="P1954" s="10" t="n">
        <x:v>2</x:v>
      </x:c>
      <x:c r="Q1954" s="13" t="n">
        <x:f>IF(H1954="","",H1954/1000000000)</x:f>
        <x:v>5.6</x:v>
      </x:c>
      <x:c r="R1954" s="13" t="n">
        <x:f>IF(I1954="","",I1954/1000000)</x:f>
        <x:v>56</x:v>
      </x:c>
    </x:row>
    <x:row r="1955" ht="21" customHeight="1">
      <x:c r="A1955" s="10" t="n">
        <x:v>2871</x:v>
      </x:c>
      <x:c r="B1955" s="2" t="str">
        <x:v>9518317b46cce0730408</x:v>
      </x:c>
      <x:c r="C1955" s="2" t="str">
        <x:v>Hà Nội</x:v>
      </x:c>
      <x:c r="D1955" s="2" t="str">
        <x:v>Quận Ba Đình</x:v>
      </x:c>
      <x:c r="E1955" s="2" t="str">
        <x:v>house</x:v>
      </x:c>
      <x:c r="F1955" s="2" t="str">
        <x:v>sale</x:v>
      </x:c>
      <x:c r="G1955" s="11" t="n">
        <x:v>37</x:v>
      </x:c>
      <x:c r="H1955" s="12" t="n">
        <x:v>3600000000</x:v>
      </x:c>
      <x:c r="I1955" s="12" t="n">
        <x:v>97297297.2972973</x:v>
      </x:c>
      <x:c r="J1955" s="2" t="str">
        <x:v>total</x:v>
      </x:c>
      <x:c r="K1955" s="2" t="str">
        <x:v>top_level_area</x:v>
      </x:c>
      <x:c r="L1955" s="2" t="str">
        <x:v>property_type_inferred_from_title</x:v>
      </x:c>
      <x:c r="M1955" s="10" t="n">
        <x:v>0</x:v>
      </x:c>
      <x:c r="N1955" s="10" t="n">
        <x:v>0</x:v>
      </x:c>
      <x:c r="O1955" s="2" t="str">
        <x:v>Hà Nội|house</x:v>
      </x:c>
      <x:c r="P1955" s="10" t="n">
        <x:v>2</x:v>
      </x:c>
      <x:c r="Q1955" s="13" t="n">
        <x:f>IF(H1955="","",H1955/1000000000)</x:f>
        <x:v>3.6</x:v>
      </x:c>
      <x:c r="R1955" s="13" t="n">
        <x:f>IF(I1955="","",I1955/1000000)</x:f>
        <x:v>97.2972972972973</x:v>
      </x:c>
    </x:row>
    <x:row r="1956" ht="21" customHeight="1">
      <x:c r="A1956" s="10" t="n">
        <x:v>2872</x:v>
      </x:c>
      <x:c r="B1956" s="2" t="str">
        <x:v>898154023f7fd0fe3d6b</x:v>
      </x:c>
      <x:c r="C1956" s="2" t="str">
        <x:v>Đắk Lắk</x:v>
      </x:c>
      <x:c r="D1956" s="2" t="str">
        <x:v>Thành phố Buôn Ma Thuột</x:v>
      </x:c>
      <x:c r="E1956" s="2" t="str">
        <x:v>land</x:v>
      </x:c>
      <x:c r="F1956" s="2" t="str">
        <x:v>sale</x:v>
      </x:c>
      <x:c r="G1956" s="11" t="n">
        <x:v>1000</x:v>
      </x:c>
      <x:c r="H1956" s="12" t="n">
        <x:v>3360000000</x:v>
      </x:c>
      <x:c r="I1956" s="12" t="n">
        <x:v>3360000</x:v>
      </x:c>
      <x:c r="J1956" s="2" t="str">
        <x:v>total</x:v>
      </x:c>
      <x:c r="K1956" s="2" t="str">
        <x:v>top_level_area</x:v>
      </x:c>
      <x:c r="L1956" s="2" t="str">
        <x:v>dot_thousands_convention;property_type_inferred_from_title</x:v>
      </x:c>
      <x:c r="M1956" s="10" t="n">
        <x:v>0</x:v>
      </x:c>
      <x:c r="N1956" s="10" t="n">
        <x:v>0</x:v>
      </x:c>
      <x:c r="O1956" s="2" t="str">
        <x:v>Đắk Lắk|land</x:v>
      </x:c>
      <x:c r="P1956" s="10" t="n">
        <x:v>1</x:v>
      </x:c>
      <x:c r="Q1956" s="13" t="n">
        <x:f>IF(H1956="","",H1956/1000000000)</x:f>
        <x:v>3.36</x:v>
      </x:c>
      <x:c r="R1956" s="13" t="n">
        <x:f>IF(I1956="","",I1956/1000000)</x:f>
        <x:v>3.36</x:v>
      </x:c>
    </x:row>
    <x:row r="1957" ht="21" customHeight="1">
      <x:c r="A1957" s="10" t="n">
        <x:v>2873</x:v>
      </x:c>
      <x:c r="B1957" s="2" t="str">
        <x:v>b6075f9bc56648f9cddd</x:v>
      </x:c>
      <x:c r="C1957" s="2" t="str">
        <x:v>Cần Thơ</x:v>
      </x:c>
      <x:c r="D1957" s="2" t="str">
        <x:v>Quận Cái Răng</x:v>
      </x:c>
      <x:c r="E1957" s="2" t="str">
        <x:v>land</x:v>
      </x:c>
      <x:c r="F1957" s="2" t="str">
        <x:v>sale_assumed</x:v>
      </x:c>
      <x:c r="G1957" s="11" t="n">
        <x:v>114</x:v>
      </x:c>
      <x:c r="H1957" s="12" t="n">
        <x:v>3300000000</x:v>
      </x:c>
      <x:c r="I1957" s="12" t="n">
        <x:v>28947368.42105263</x:v>
      </x:c>
      <x:c r="J1957" s="2" t="str">
        <x:v>total</x:v>
      </x:c>
      <x:c r="K1957" s="2" t="str">
        <x:v>top_level_area</x:v>
      </x:c>
      <x:c r="L1957" s="2" t="str">
        <x:v>property_type_inferred_from_title;transaction_assumed_sale_from_dataset_context</x:v>
      </x:c>
      <x:c r="M1957" s="10" t="n">
        <x:v>0</x:v>
      </x:c>
      <x:c r="N1957" s="10" t="n">
        <x:v>0</x:v>
      </x:c>
      <x:c r="O1957" s="2" t="str">
        <x:v>Cần Thơ|land</x:v>
      </x:c>
      <x:c r="P1957" s="10" t="n">
        <x:v>2</x:v>
      </x:c>
      <x:c r="Q1957" s="13" t="n">
        <x:f>IF(H1957="","",H1957/1000000000)</x:f>
        <x:v>3.3</x:v>
      </x:c>
      <x:c r="R1957" s="13" t="n">
        <x:f>IF(I1957="","",I1957/1000000)</x:f>
        <x:v>28.94736842105263</x:v>
      </x:c>
    </x:row>
    <x:row r="1958" ht="21" customHeight="1">
      <x:c r="A1958" s="10" t="n">
        <x:v>2874</x:v>
      </x:c>
      <x:c r="B1958" s="2" t="str">
        <x:v>bc67754bc6e9654fedf0</x:v>
      </x:c>
      <x:c r="C1958" s="2" t="str">
        <x:v>Tp Hồ Chí Minh</x:v>
      </x:c>
      <x:c r="D1958" s="2" t="str">
        <x:v>Quận 11</x:v>
      </x:c>
      <x:c r="E1958" s="2" t="str">
        <x:v>other_unknown</x:v>
      </x:c>
      <x:c r="F1958" s="2" t="str">
        <x:v>sale_assumed</x:v>
      </x:c>
      <x:c r="G1958" s="11" t="n">
        <x:v>29</x:v>
      </x:c>
      <x:c r="H1958" s="12" t="n">
        <x:v>3650000000</x:v>
      </x:c>
      <x:c r="I1958" s="12" t="n">
        <x:v>125862068.96551724</x:v>
      </x:c>
      <x:c r="J1958" s="2" t="str">
        <x:v>total</x:v>
      </x:c>
      <x:c r="K1958" s="2" t="str">
        <x:v>top_level_area</x:v>
      </x:c>
      <x:c r="L1958" s="2" t="str">
        <x:v>property_type_inferred_from_title;transaction_assumed_sale_from_dataset_context;unknown_property_type</x:v>
      </x:c>
      <x:c r="M1958" s="10" t="n">
        <x:v>0</x:v>
      </x:c>
      <x:c r="N1958" s="10" t="n">
        <x:v>0</x:v>
      </x:c>
      <x:c r="O1958" s="2" t="str">
        <x:v>Tp Hồ Chí Minh|other_unknown</x:v>
      </x:c>
      <x:c r="P1958" s="10" t="n">
        <x:v>2</x:v>
      </x:c>
      <x:c r="Q1958" s="13" t="n">
        <x:f>IF(H1958="","",H1958/1000000000)</x:f>
        <x:v>3.65</x:v>
      </x:c>
      <x:c r="R1958" s="13" t="n">
        <x:f>IF(I1958="","",I1958/1000000)</x:f>
        <x:v>125.86206896551724</x:v>
      </x:c>
    </x:row>
    <x:row r="1959" ht="21" customHeight="1">
      <x:c r="A1959" s="10" t="n">
        <x:v>2875</x:v>
      </x:c>
      <x:c r="B1959" s="2" t="str">
        <x:v>34b91b42883ef00809c5</x:v>
      </x:c>
      <x:c r="C1959" s="2" t="str">
        <x:v>Tp Hồ Chí Minh</x:v>
      </x:c>
      <x:c r="D1959" s="2" t="str">
        <x:v>Huyện Bình Chánh</x:v>
      </x:c>
      <x:c r="E1959" s="2" t="str">
        <x:v>house</x:v>
      </x:c>
      <x:c r="F1959" s="2" t="str">
        <x:v>sale</x:v>
      </x:c>
      <x:c r="G1959" s="11" t="n">
        <x:v>40</x:v>
      </x:c>
      <x:c r="H1959" s="12" t="n">
        <x:v>690000000</x:v>
      </x:c>
      <x:c r="I1959" s="12" t="n">
        <x:v>17250000</x:v>
      </x:c>
      <x:c r="J1959" s="2" t="str">
        <x:v>total</x:v>
      </x:c>
      <x:c r="K1959" s="2" t="str">
        <x:v>top_level_area</x:v>
      </x:c>
      <x:c r="L1959" s="2" t="str">
        <x:v>property_type_inferred_from_title</x:v>
      </x:c>
      <x:c r="M1959" s="10" t="n">
        <x:v>0</x:v>
      </x:c>
      <x:c r="N1959" s="10" t="n">
        <x:v>0</x:v>
      </x:c>
      <x:c r="O1959" s="2" t="str">
        <x:v>Tp Hồ Chí Minh|house</x:v>
      </x:c>
      <x:c r="P1959" s="10" t="n">
        <x:v>2</x:v>
      </x:c>
      <x:c r="Q1959" s="13" t="n">
        <x:f>IF(H1959="","",H1959/1000000000)</x:f>
        <x:v>0.69</x:v>
      </x:c>
      <x:c r="R1959" s="13" t="n">
        <x:f>IF(I1959="","",I1959/1000000)</x:f>
        <x:v>17.25</x:v>
      </x:c>
    </x:row>
    <x:row r="1960" ht="21" customHeight="1">
      <x:c r="A1960" s="10" t="n">
        <x:v>2876</x:v>
      </x:c>
      <x:c r="B1960" s="2" t="str">
        <x:v>0f2c2d1d73c56a9e6260</x:v>
      </x:c>
      <x:c r="C1960" s="2" t="str">
        <x:v>Tp Hồ Chí Minh</x:v>
      </x:c>
      <x:c r="D1960" s="2" t="str">
        <x:v>Huyện Củ Chi</x:v>
      </x:c>
      <x:c r="E1960" s="2" t="str">
        <x:v>land</x:v>
      </x:c>
      <x:c r="F1960" s="2" t="str">
        <x:v>sale_assumed</x:v>
      </x:c>
      <x:c r="G1960" s="11" t="n">
        <x:v>200</x:v>
      </x:c>
      <x:c r="H1960" s="12" t="n">
        <x:v>1000000000</x:v>
      </x:c>
      <x:c r="I1960" s="12" t="n">
        <x:v>5000000</x:v>
      </x:c>
      <x:c r="J1960" s="2" t="str">
        <x:v>total</x:v>
      </x:c>
      <x:c r="K1960" s="2" t="str">
        <x:v>top_level_area</x:v>
      </x:c>
      <x:c r="L1960" s="2" t="str">
        <x:v>property_type_inferred_from_title;transaction_assumed_sale_from_dataset_context</x:v>
      </x:c>
      <x:c r="M1960" s="10" t="n">
        <x:v>0</x:v>
      </x:c>
      <x:c r="N1960" s="10" t="n">
        <x:v>0</x:v>
      </x:c>
      <x:c r="O1960" s="2" t="str">
        <x:v>Tp Hồ Chí Minh|land</x:v>
      </x:c>
      <x:c r="P1960" s="10" t="n">
        <x:v>1</x:v>
      </x:c>
      <x:c r="Q1960" s="13" t="n">
        <x:f>IF(H1960="","",H1960/1000000000)</x:f>
        <x:v>1</x:v>
      </x:c>
      <x:c r="R1960" s="13" t="n">
        <x:f>IF(I1960="","",I1960/1000000)</x:f>
        <x:v>5</x:v>
      </x:c>
    </x:row>
    <x:row r="1961" ht="21" customHeight="1">
      <x:c r="A1961" s="10" t="n">
        <x:v>2877</x:v>
      </x:c>
      <x:c r="B1961" s="2" t="str">
        <x:v>318f13f45b51b3433057</x:v>
      </x:c>
      <x:c r="C1961" s="2" t="str">
        <x:v>Tp Hồ Chí Minh</x:v>
      </x:c>
      <x:c r="D1961" s="2" t="str">
        <x:v>Quận Thủ Đức</x:v>
      </x:c>
      <x:c r="E1961" s="2" t="str">
        <x:v>house</x:v>
      </x:c>
      <x:c r="F1961" s="2" t="str">
        <x:v>sale_assumed</x:v>
      </x:c>
      <x:c r="G1961" s="11" t="n">
        <x:v>63</x:v>
      </x:c>
      <x:c r="H1961" s="12" t="n">
        <x:v>6270000000</x:v>
      </x:c>
      <x:c r="I1961" s="12" t="n">
        <x:v>99523809.52380952</x:v>
      </x:c>
      <x:c r="J1961" s="2" t="str">
        <x:v>total</x:v>
      </x:c>
      <x:c r="K1961" s="2" t="str">
        <x:v>top_level_area</x:v>
      </x:c>
      <x:c r="L1961" s="2" t="str">
        <x:v>property_type_inferred_from_title;transaction_assumed_sale_from_dataset_context</x:v>
      </x:c>
      <x:c r="M1961" s="10" t="n">
        <x:v>0</x:v>
      </x:c>
      <x:c r="N1961" s="10" t="n">
        <x:v>0</x:v>
      </x:c>
      <x:c r="O1961" s="2" t="str">
        <x:v>Tp Hồ Chí Minh|house</x:v>
      </x:c>
      <x:c r="P1961" s="10" t="n">
        <x:v>2</x:v>
      </x:c>
      <x:c r="Q1961" s="13" t="n">
        <x:f>IF(H1961="","",H1961/1000000000)</x:f>
        <x:v>6.27</x:v>
      </x:c>
      <x:c r="R1961" s="13" t="n">
        <x:f>IF(I1961="","",I1961/1000000)</x:f>
        <x:v>99.52380952380952</x:v>
      </x:c>
    </x:row>
    <x:row r="1962" ht="21" customHeight="1">
      <x:c r="A1962" s="10" t="n">
        <x:v>2878</x:v>
      </x:c>
      <x:c r="B1962" s="2" t="str">
        <x:v>adcb9be5cd6360775616</x:v>
      </x:c>
      <x:c r="C1962" s="2" t="str">
        <x:v>Bà Rịa - Vũng Tàu</x:v>
      </x:c>
      <x:c r="D1962" s="2" t="str">
        <x:v>Huyện Châu Đức</x:v>
      </x:c>
      <x:c r="E1962" s="2" t="str">
        <x:v>other_unknown</x:v>
      </x:c>
      <x:c r="F1962" s="2" t="str">
        <x:v>sale</x:v>
      </x:c>
      <x:c r="G1962" s="11" t="n">
        <x:v>1046</x:v>
      </x:c>
      <x:c r="H1962" s="12" t="n">
        <x:v>435000000</x:v>
      </x:c>
      <x:c r="I1962" s="12" t="n">
        <x:v>415869.98087954114</x:v>
      </x:c>
      <x:c r="J1962" s="2" t="str">
        <x:v>total</x:v>
      </x:c>
      <x:c r="K1962" s="2" t="str">
        <x:v>top_level_area</x:v>
      </x:c>
      <x:c r="L1962" s="2" t="str">
        <x:v>dot_thousands_convention;property_type_inferred_from_title;unknown_property_type</x:v>
      </x:c>
      <x:c r="M1962" s="10" t="n">
        <x:v>0</x:v>
      </x:c>
      <x:c r="N1962" s="10" t="n">
        <x:v>0</x:v>
      </x:c>
      <x:c r="O1962" s="2" t="str">
        <x:v>other_unknown</x:v>
      </x:c>
      <x:c r="P1962" s="10" t="n">
        <x:v>1</x:v>
      </x:c>
      <x:c r="Q1962" s="13" t="n">
        <x:f>IF(H1962="","",H1962/1000000000)</x:f>
        <x:v>0.435</x:v>
      </x:c>
      <x:c r="R1962" s="13" t="n">
        <x:f>IF(I1962="","",I1962/1000000)</x:f>
        <x:v>0.41586998087954113</x:v>
      </x:c>
    </x:row>
    <x:row r="1963" ht="21" customHeight="1">
      <x:c r="A1963" s="10" t="n">
        <x:v>2880</x:v>
      </x:c>
      <x:c r="B1963" s="2" t="str">
        <x:v>90105d5ce11b369d974b</x:v>
      </x:c>
      <x:c r="C1963" s="2" t="str">
        <x:v>Hà Nội</x:v>
      </x:c>
      <x:c r="D1963" s="2" t="str">
        <x:v>Quận Thanh Xuân</x:v>
      </x:c>
      <x:c r="E1963" s="2" t="str">
        <x:v>other_unknown</x:v>
      </x:c>
      <x:c r="F1963" s="2" t="str">
        <x:v>sale_assumed</x:v>
      </x:c>
      <x:c r="G1963" s="11" t="n">
        <x:v>170</x:v>
      </x:c>
      <x:c r="H1963" s="12" t="n">
        <x:v>19000000000</x:v>
      </x:c>
      <x:c r="I1963" s="12" t="n">
        <x:v>111764705.88235295</x:v>
      </x:c>
      <x:c r="J1963" s="2" t="str">
        <x:v>total</x:v>
      </x:c>
      <x:c r="K1963" s="2" t="str">
        <x:v>top_level_area</x:v>
      </x:c>
      <x:c r="L1963" s="2" t="str">
        <x:v>property_type_inferred_from_title;transaction_assumed_sale_from_dataset_context;unknown_property_type</x:v>
      </x:c>
      <x:c r="M1963" s="10" t="n">
        <x:v>0</x:v>
      </x:c>
      <x:c r="N1963" s="10" t="n">
        <x:v>0</x:v>
      </x:c>
      <x:c r="O1963" s="2" t="str">
        <x:v>Hà Nội|other_unknown</x:v>
      </x:c>
      <x:c r="P1963" s="10" t="n">
        <x:v>2</x:v>
      </x:c>
      <x:c r="Q1963" s="13" t="n">
        <x:f>IF(H1963="","",H1963/1000000000)</x:f>
        <x:v>19</x:v>
      </x:c>
      <x:c r="R1963" s="13" t="n">
        <x:f>IF(I1963="","",I1963/1000000)</x:f>
        <x:v>111.76470588235294</x:v>
      </x:c>
    </x:row>
    <x:row r="1964" ht="21" customHeight="1">
      <x:c r="A1964" s="10" t="n">
        <x:v>2881</x:v>
      </x:c>
      <x:c r="B1964" s="2" t="str">
        <x:v>95310bfba876980f98ec</x:v>
      </x:c>
      <x:c r="C1964" s="2" t="str">
        <x:v>Hà Nội</x:v>
      </x:c>
      <x:c r="D1964" s="2" t="str">
        <x:v>Quận Hoàng Mai</x:v>
      </x:c>
      <x:c r="E1964" s="2" t="str">
        <x:v>land</x:v>
      </x:c>
      <x:c r="F1964" s="2" t="str">
        <x:v>sale</x:v>
      </x:c>
      <x:c r="G1964" s="11" t="n">
        <x:v>108</x:v>
      </x:c>
      <x:c r="H1964" s="12" t="n">
        <x:v>5200000000</x:v>
      </x:c>
      <x:c r="I1964" s="12" t="n">
        <x:v>48148148.14814815</x:v>
      </x:c>
      <x:c r="J1964" s="2" t="str">
        <x:v>total</x:v>
      </x:c>
      <x:c r="K1964" s="2" t="str">
        <x:v>top_level_area</x:v>
      </x:c>
      <x:c r="L1964" s="2" t="str">
        <x:v>property_type_inferred_from_title</x:v>
      </x:c>
      <x:c r="M1964" s="10" t="n">
        <x:v>0</x:v>
      </x:c>
      <x:c r="N1964" s="10" t="n">
        <x:v>0</x:v>
      </x:c>
      <x:c r="O1964" s="2" t="str">
        <x:v>Hà Nội|land</x:v>
      </x:c>
      <x:c r="P1964" s="10" t="n">
        <x:v>2</x:v>
      </x:c>
      <x:c r="Q1964" s="13" t="n">
        <x:f>IF(H1964="","",H1964/1000000000)</x:f>
        <x:v>5.2</x:v>
      </x:c>
      <x:c r="R1964" s="13" t="n">
        <x:f>IF(I1964="","",I1964/1000000)</x:f>
        <x:v>48.14814814814815</x:v>
      </x:c>
    </x:row>
    <x:row r="1965" ht="21" customHeight="1">
      <x:c r="A1965" s="10" t="n">
        <x:v>2882</x:v>
      </x:c>
      <x:c r="B1965" s="2" t="str">
        <x:v>a065815ead245178e996</x:v>
      </x:c>
      <x:c r="C1965" s="2" t="str">
        <x:v>Tp Hồ Chí Minh</x:v>
      </x:c>
      <x:c r="D1965" s="2" t="str">
        <x:v>Quận Tân Phú</x:v>
      </x:c>
      <x:c r="E1965" s="2" t="str">
        <x:v>house</x:v>
      </x:c>
      <x:c r="F1965" s="2" t="str">
        <x:v>sale</x:v>
      </x:c>
      <x:c r="G1965" s="11" t="n">
        <x:v>40</x:v>
      </x:c>
      <x:c r="H1965" s="12" t="n">
        <x:v>1250000000</x:v>
      </x:c>
      <x:c r="I1965" s="12" t="n">
        <x:v>31250000</x:v>
      </x:c>
      <x:c r="J1965" s="2" t="str">
        <x:v>total</x:v>
      </x:c>
      <x:c r="K1965" s="2" t="str">
        <x:v>top_level_area</x:v>
      </x:c>
      <x:c r="L1965" s="2" t="str">
        <x:v>property_type_inferred_from_title</x:v>
      </x:c>
      <x:c r="M1965" s="10" t="n">
        <x:v>0</x:v>
      </x:c>
      <x:c r="N1965" s="10" t="n">
        <x:v>0</x:v>
      </x:c>
      <x:c r="O1965" s="2" t="str">
        <x:v>Tp Hồ Chí Minh|house</x:v>
      </x:c>
      <x:c r="P1965" s="10" t="n">
        <x:v>2</x:v>
      </x:c>
      <x:c r="Q1965" s="13" t="n">
        <x:f>IF(H1965="","",H1965/1000000000)</x:f>
        <x:v>1.25</x:v>
      </x:c>
      <x:c r="R1965" s="13" t="n">
        <x:f>IF(I1965="","",I1965/1000000)</x:f>
        <x:v>31.25</x:v>
      </x:c>
    </x:row>
    <x:row r="1966" ht="21" customHeight="1">
      <x:c r="A1966" s="10" t="n">
        <x:v>2883</x:v>
      </x:c>
      <x:c r="B1966" s="2" t="str">
        <x:v>d71a77e01b5c2bfc6b87</x:v>
      </x:c>
      <x:c r="C1966" s="2" t="str">
        <x:v>Tp Hồ Chí Minh</x:v>
      </x:c>
      <x:c r="D1966" s="2" t="str">
        <x:v>Quận Thủ Đức</x:v>
      </x:c>
      <x:c r="E1966" s="2" t="str">
        <x:v>house</x:v>
      </x:c>
      <x:c r="F1966" s="2" t="str">
        <x:v>sale</x:v>
      </x:c>
      <x:c r="G1966" s="11" t="n">
        <x:v>80</x:v>
      </x:c>
      <x:c r="H1966" s="12" t="n">
        <x:v>6900000000</x:v>
      </x:c>
      <x:c r="I1966" s="12" t="n">
        <x:v>86250000</x:v>
      </x:c>
      <x:c r="J1966" s="2" t="str">
        <x:v>total</x:v>
      </x:c>
      <x:c r="K1966" s="2" t="str">
        <x:v>top_level_area</x:v>
      </x:c>
      <x:c r="L1966" s="2" t="str">
        <x:v>property_type_inferred_from_title</x:v>
      </x:c>
      <x:c r="M1966" s="10" t="n">
        <x:v>0</x:v>
      </x:c>
      <x:c r="N1966" s="10" t="n">
        <x:v>0</x:v>
      </x:c>
      <x:c r="O1966" s="2" t="str">
        <x:v>Tp Hồ Chí Minh|house</x:v>
      </x:c>
      <x:c r="P1966" s="10" t="n">
        <x:v>2</x:v>
      </x:c>
      <x:c r="Q1966" s="13" t="n">
        <x:f>IF(H1966="","",H1966/1000000000)</x:f>
        <x:v>6.9</x:v>
      </x:c>
      <x:c r="R1966" s="13" t="n">
        <x:f>IF(I1966="","",I1966/1000000)</x:f>
        <x:v>86.25</x:v>
      </x:c>
    </x:row>
    <x:row r="1967" ht="21" customHeight="1">
      <x:c r="A1967" s="10" t="n">
        <x:v>2884</x:v>
      </x:c>
      <x:c r="B1967" s="2" t="str">
        <x:v>8671346a631545389d11</x:v>
      </x:c>
      <x:c r="C1967" s="2" t="str">
        <x:v>Tp Hồ Chí Minh</x:v>
      </x:c>
      <x:c r="D1967" s="2" t="str">
        <x:v>Quận Gò Vấp</x:v>
      </x:c>
      <x:c r="E1967" s="2" t="str">
        <x:v>house</x:v>
      </x:c>
      <x:c r="F1967" s="2" t="str">
        <x:v>sale_assumed</x:v>
      </x:c>
      <x:c r="G1967" s="11" t="n">
        <x:v>72</x:v>
      </x:c>
      <x:c r="H1967" s="12" t="n">
        <x:v>3500000000</x:v>
      </x:c>
      <x:c r="I1967" s="12" t="n">
        <x:v>48611111.11111111</x:v>
      </x:c>
      <x:c r="J1967" s="2" t="str">
        <x:v>total</x:v>
      </x:c>
      <x:c r="K1967" s="2" t="str">
        <x:v>top_level_area</x:v>
      </x:c>
      <x:c r="L1967" s="2" t="str">
        <x:v>property_type_inferred_from_title;transaction_assumed_sale_from_dataset_context</x:v>
      </x:c>
      <x:c r="M1967" s="10" t="n">
        <x:v>0</x:v>
      </x:c>
      <x:c r="N1967" s="10" t="n">
        <x:v>0</x:v>
      </x:c>
      <x:c r="O1967" s="2" t="str">
        <x:v>Tp Hồ Chí Minh|house</x:v>
      </x:c>
      <x:c r="P1967" s="10" t="n">
        <x:v>2</x:v>
      </x:c>
      <x:c r="Q1967" s="13" t="n">
        <x:f>IF(H1967="","",H1967/1000000000)</x:f>
        <x:v>3.5</x:v>
      </x:c>
      <x:c r="R1967" s="13" t="n">
        <x:f>IF(I1967="","",I1967/1000000)</x:f>
        <x:v>48.611111111111114</x:v>
      </x:c>
    </x:row>
    <x:row r="1968" ht="21" customHeight="1">
      <x:c r="A1968" s="10" t="n">
        <x:v>2885</x:v>
      </x:c>
      <x:c r="B1968" s="2" t="str">
        <x:v>3aa1f4345e2d0277f8e5</x:v>
      </x:c>
      <x:c r="C1968" s="2" t="str">
        <x:v>Tp Hồ Chí Minh</x:v>
      </x:c>
      <x:c r="D1968" s="2" t="str">
        <x:v>Quận 7</x:v>
      </x:c>
      <x:c r="E1968" s="2" t="str">
        <x:v>house</x:v>
      </x:c>
      <x:c r="F1968" s="2" t="str">
        <x:v>sale</x:v>
      </x:c>
      <x:c r="G1968" s="11" t="n">
        <x:v>51.5</x:v>
      </x:c>
      <x:c r="H1968" s="12" t="n">
        <x:v>1721000000</x:v>
      </x:c>
      <x:c r="I1968" s="12" t="n">
        <x:v>33417475.72815534</x:v>
      </x:c>
      <x:c r="J1968" s="2" t="str">
        <x:v>total</x:v>
      </x:c>
      <x:c r="K1968" s="2" t="str">
        <x:v>top_level_area</x:v>
      </x:c>
      <x:c r="L1968" s="2" t="str">
        <x:v>property_type_inferred_from_title</x:v>
      </x:c>
      <x:c r="M1968" s="10" t="n">
        <x:v>0</x:v>
      </x:c>
      <x:c r="N1968" s="10" t="n">
        <x:v>0</x:v>
      </x:c>
      <x:c r="O1968" s="2" t="str">
        <x:v>Tp Hồ Chí Minh|house</x:v>
      </x:c>
      <x:c r="P1968" s="10" t="n">
        <x:v>2</x:v>
      </x:c>
      <x:c r="Q1968" s="13" t="n">
        <x:f>IF(H1968="","",H1968/1000000000)</x:f>
        <x:v>1.721</x:v>
      </x:c>
      <x:c r="R1968" s="13" t="n">
        <x:f>IF(I1968="","",I1968/1000000)</x:f>
        <x:v>33.41747572815534</x:v>
      </x:c>
    </x:row>
    <x:row r="1969" ht="21" customHeight="1">
      <x:c r="A1969" s="10" t="n">
        <x:v>2886</x:v>
      </x:c>
      <x:c r="B1969" s="2" t="str">
        <x:v>c4ca3eab114bd35c42d0</x:v>
      </x:c>
      <x:c r="C1969" s="2" t="str">
        <x:v>Đồng Nai</x:v>
      </x:c>
      <x:c r="D1969" s="2" t="str">
        <x:v>Thành phố Biên Hòa</x:v>
      </x:c>
      <x:c r="E1969" s="2" t="str">
        <x:v>house</x:v>
      </x:c>
      <x:c r="F1969" s="2" t="str">
        <x:v>sale</x:v>
      </x:c>
      <x:c r="G1969" s="11" t="n">
        <x:v>109</x:v>
      </x:c>
      <x:c r="H1969" s="12" t="n">
        <x:v>1640000000</x:v>
      </x:c>
      <x:c r="I1969" s="12" t="n">
        <x:v>15045871.559633028</x:v>
      </x:c>
      <x:c r="J1969" s="2" t="str">
        <x:v>total</x:v>
      </x:c>
      <x:c r="K1969" s="2" t="str">
        <x:v>top_level_area</x:v>
      </x:c>
      <x:c r="L1969" s="2" t="str">
        <x:v>property_type_inferred_from_title</x:v>
      </x:c>
      <x:c r="M1969" s="10" t="n">
        <x:v>0</x:v>
      </x:c>
      <x:c r="N1969" s="10" t="n">
        <x:v>0</x:v>
      </x:c>
      <x:c r="O1969" s="2" t="str">
        <x:v>Đồng Nai|house</x:v>
      </x:c>
      <x:c r="P1969" s="10" t="n">
        <x:v>2</x:v>
      </x:c>
      <x:c r="Q1969" s="13" t="n">
        <x:f>IF(H1969="","",H1969/1000000000)</x:f>
        <x:v>1.64</x:v>
      </x:c>
      <x:c r="R1969" s="13" t="n">
        <x:f>IF(I1969="","",I1969/1000000)</x:f>
        <x:v>15.045871559633028</x:v>
      </x:c>
    </x:row>
    <x:row r="1970" ht="21" customHeight="1">
      <x:c r="A1970" s="10" t="n">
        <x:v>2887</x:v>
      </x:c>
      <x:c r="B1970" s="2" t="str">
        <x:v>df580374d5bf148a92ce</x:v>
      </x:c>
      <x:c r="C1970" s="2" t="str">
        <x:v>Tp Hồ Chí Minh</x:v>
      </x:c>
      <x:c r="D1970" s="2" t="str">
        <x:v>Quận 2</x:v>
      </x:c>
      <x:c r="E1970" s="2" t="str">
        <x:v>house</x:v>
      </x:c>
      <x:c r="F1970" s="2" t="str">
        <x:v>sale</x:v>
      </x:c>
      <x:c r="G1970" s="11" t="n">
        <x:v>60</x:v>
      </x:c>
      <x:c r="H1970" s="12" t="n">
        <x:v>1630000000</x:v>
      </x:c>
      <x:c r="I1970" s="12" t="n">
        <x:v>27166666.666666668</x:v>
      </x:c>
      <x:c r="J1970" s="2" t="str">
        <x:v>total</x:v>
      </x:c>
      <x:c r="K1970" s="2" t="str">
        <x:v>top_level_area</x:v>
      </x:c>
      <x:c r="L1970" s="2" t="str">
        <x:v>property_type_inferred_from_title</x:v>
      </x:c>
      <x:c r="M1970" s="10" t="n">
        <x:v>0</x:v>
      </x:c>
      <x:c r="N1970" s="10" t="n">
        <x:v>0</x:v>
      </x:c>
      <x:c r="O1970" s="2" t="str">
        <x:v>Tp Hồ Chí Minh|house</x:v>
      </x:c>
      <x:c r="P1970" s="10" t="n">
        <x:v>2</x:v>
      </x:c>
      <x:c r="Q1970" s="13" t="n">
        <x:f>IF(H1970="","",H1970/1000000000)</x:f>
        <x:v>1.63</x:v>
      </x:c>
      <x:c r="R1970" s="13" t="n">
        <x:f>IF(I1970="","",I1970/1000000)</x:f>
        <x:v>27.166666666666668</x:v>
      </x:c>
    </x:row>
    <x:row r="1971" ht="21" customHeight="1">
      <x:c r="A1971" s="10" t="n">
        <x:v>2888</x:v>
      </x:c>
      <x:c r="B1971" s="2" t="str">
        <x:v>19f2aca4234662918933</x:v>
      </x:c>
      <x:c r="C1971" s="2" t="str">
        <x:v>Tp Hồ Chí Minh</x:v>
      </x:c>
      <x:c r="D1971" s="2" t="str">
        <x:v>Huyện Hóc Môn</x:v>
      </x:c>
      <x:c r="E1971" s="2" t="str">
        <x:v>house</x:v>
      </x:c>
      <x:c r="F1971" s="2" t="str">
        <x:v>sale_assumed</x:v>
      </x:c>
      <x:c r="G1971" s="11" t="n">
        <x:v>120</x:v>
      </x:c>
      <x:c r="H1971" s="12" t="n">
        <x:v>1365000000</x:v>
      </x:c>
      <x:c r="I1971" s="12" t="n">
        <x:v>11375000</x:v>
      </x:c>
      <x:c r="J1971" s="2" t="str">
        <x:v>total</x:v>
      </x:c>
      <x:c r="K1971" s="2" t="str">
        <x:v>top_level_area</x:v>
      </x:c>
      <x:c r="L1971" s="2" t="str">
        <x:v>property_type_inferred_from_title;transaction_assumed_sale_from_dataset_context</x:v>
      </x:c>
      <x:c r="M1971" s="10" t="n">
        <x:v>0</x:v>
      </x:c>
      <x:c r="N1971" s="10" t="n">
        <x:v>0</x:v>
      </x:c>
      <x:c r="O1971" s="2" t="str">
        <x:v>Tp Hồ Chí Minh|house</x:v>
      </x:c>
      <x:c r="P1971" s="10" t="n">
        <x:v>2</x:v>
      </x:c>
      <x:c r="Q1971" s="13" t="n">
        <x:f>IF(H1971="","",H1971/1000000000)</x:f>
        <x:v>1.365</x:v>
      </x:c>
      <x:c r="R1971" s="13" t="n">
        <x:f>IF(I1971="","",I1971/1000000)</x:f>
        <x:v>11.375</x:v>
      </x:c>
    </x:row>
    <x:row r="1972" ht="21" customHeight="1">
      <x:c r="A1972" s="10" t="n">
        <x:v>2889</x:v>
      </x:c>
      <x:c r="B1972" s="2" t="str">
        <x:v>62d9090d06e04ab1d5f4</x:v>
      </x:c>
      <x:c r="C1972" s="2" t="str">
        <x:v>Tp Hồ Chí Minh</x:v>
      </x:c>
      <x:c r="D1972" s="2" t="str">
        <x:v>Quận Tân Bình</x:v>
      </x:c>
      <x:c r="E1972" s="2" t="str">
        <x:v>house</x:v>
      </x:c>
      <x:c r="F1972" s="2" t="str">
        <x:v>sale</x:v>
      </x:c>
      <x:c r="G1972" s="11" t="n">
        <x:v>30</x:v>
      </x:c>
      <x:c r="H1972" s="12" t="n">
        <x:v>3350000000</x:v>
      </x:c>
      <x:c r="I1972" s="12" t="n">
        <x:v>111666666.66666667</x:v>
      </x:c>
      <x:c r="J1972" s="2" t="str">
        <x:v>total</x:v>
      </x:c>
      <x:c r="K1972" s="2" t="str">
        <x:v>top_level_price_embedded_area</x:v>
      </x:c>
      <x:c r="L1972" s="2" t="str">
        <x:v>area_recovered_from_price_text;property_type_inferred_from_title</x:v>
      </x:c>
      <x:c r="M1972" s="10" t="n">
        <x:v>0</x:v>
      </x:c>
      <x:c r="N1972" s="10" t="n">
        <x:v>0</x:v>
      </x:c>
      <x:c r="O1972" s="2" t="str">
        <x:v>Tp Hồ Chí Minh|house</x:v>
      </x:c>
      <x:c r="P1972" s="10" t="n">
        <x:v>2</x:v>
      </x:c>
      <x:c r="Q1972" s="13" t="n">
        <x:f>IF(H1972="","",H1972/1000000000)</x:f>
        <x:v>3.35</x:v>
      </x:c>
      <x:c r="R1972" s="13" t="n">
        <x:f>IF(I1972="","",I1972/1000000)</x:f>
        <x:v>111.66666666666667</x:v>
      </x:c>
    </x:row>
    <x:row r="1973" ht="21" customHeight="1">
      <x:c r="A1973" s="10" t="n">
        <x:v>2890</x:v>
      </x:c>
      <x:c r="B1973" s="2" t="str">
        <x:v>f810597566759402d3ff</x:v>
      </x:c>
      <x:c r="C1973" s="2" t="str">
        <x:v>Hà Nội</x:v>
      </x:c>
      <x:c r="D1973" s="2" t="str">
        <x:v>Quận Hà Đông</x:v>
      </x:c>
      <x:c r="E1973" s="2" t="str">
        <x:v>other_unknown</x:v>
      </x:c>
      <x:c r="F1973" s="2" t="str">
        <x:v>sale_assumed</x:v>
      </x:c>
      <x:c r="G1973" s="11" t="n">
        <x:v>52</x:v>
      </x:c>
      <x:c r="H1973" s="12" t="n">
        <x:v>5200000000</x:v>
      </x:c>
      <x:c r="I1973" s="12" t="n">
        <x:v>100000000</x:v>
      </x:c>
      <x:c r="J1973" s="2" t="str">
        <x:v>total</x:v>
      </x:c>
      <x:c r="K1973" s="2" t="str">
        <x:v>top_level_area</x:v>
      </x:c>
      <x:c r="L1973" s="2" t="str">
        <x:v>property_type_inferred_from_title;transaction_assumed_sale_from_dataset_context;unknown_property_type</x:v>
      </x:c>
      <x:c r="M1973" s="10" t="n">
        <x:v>0</x:v>
      </x:c>
      <x:c r="N1973" s="10" t="n">
        <x:v>0</x:v>
      </x:c>
      <x:c r="O1973" s="2" t="str">
        <x:v>Hà Nội|other_unknown</x:v>
      </x:c>
      <x:c r="P1973" s="10" t="n">
        <x:v>2</x:v>
      </x:c>
      <x:c r="Q1973" s="13" t="n">
        <x:f>IF(H1973="","",H1973/1000000000)</x:f>
        <x:v>5.2</x:v>
      </x:c>
      <x:c r="R1973" s="13" t="n">
        <x:f>IF(I1973="","",I1973/1000000)</x:f>
        <x:v>100</x:v>
      </x:c>
    </x:row>
    <x:row r="1974" ht="21" customHeight="1">
      <x:c r="A1974" s="10" t="n">
        <x:v>2891</x:v>
      </x:c>
      <x:c r="B1974" s="2" t="str">
        <x:v>e26ed2bc3ed703b858f6</x:v>
      </x:c>
      <x:c r="C1974" s="2" t="str">
        <x:v>Hà Nội</x:v>
      </x:c>
      <x:c r="D1974" s="2" t="str">
        <x:v>Quận Hà Đông</x:v>
      </x:c>
      <x:c r="E1974" s="2" t="str">
        <x:v>house</x:v>
      </x:c>
      <x:c r="F1974" s="2" t="str">
        <x:v>sale</x:v>
      </x:c>
      <x:c r="G1974" s="11" t="n">
        <x:v>39</x:v>
      </x:c>
      <x:c r="H1974" s="12" t="n">
        <x:v>2800000000</x:v>
      </x:c>
      <x:c r="I1974" s="12" t="n">
        <x:v>71794871.79487179</x:v>
      </x:c>
      <x:c r="J1974" s="2" t="str">
        <x:v>total</x:v>
      </x:c>
      <x:c r="K1974" s="2" t="str">
        <x:v>top_level_area</x:v>
      </x:c>
      <x:c r="L1974" s="2" t="str">
        <x:v>property_type_inferred_from_title</x:v>
      </x:c>
      <x:c r="M1974" s="10" t="n">
        <x:v>0</x:v>
      </x:c>
      <x:c r="N1974" s="10" t="n">
        <x:v>0</x:v>
      </x:c>
      <x:c r="O1974" s="2" t="str">
        <x:v>Hà Nội|house</x:v>
      </x:c>
      <x:c r="P1974" s="10" t="n">
        <x:v>2</x:v>
      </x:c>
      <x:c r="Q1974" s="13" t="n">
        <x:f>IF(H1974="","",H1974/1000000000)</x:f>
        <x:v>2.8</x:v>
      </x:c>
      <x:c r="R1974" s="13" t="n">
        <x:f>IF(I1974="","",I1974/1000000)</x:f>
        <x:v>71.7948717948718</x:v>
      </x:c>
    </x:row>
    <x:row r="1975" ht="21" customHeight="1">
      <x:c r="A1975" s="10" t="n">
        <x:v>2892</x:v>
      </x:c>
      <x:c r="B1975" s="2" t="str">
        <x:v>f61fd8304df0436d16d4</x:v>
      </x:c>
      <x:c r="C1975" s="2" t="str">
        <x:v>Bình Dương</x:v>
      </x:c>
      <x:c r="D1975" s="2" t="str">
        <x:v>Huyện Bàu Bàng</x:v>
      </x:c>
      <x:c r="E1975" s="2" t="str">
        <x:v>land</x:v>
      </x:c>
      <x:c r="F1975" s="2" t="str">
        <x:v>sale_assumed</x:v>
      </x:c>
      <x:c r="G1975" s="11" t="n">
        <x:v>100</x:v>
      </x:c>
      <x:c r="H1975" s="12" t="n">
        <x:v>545000000</x:v>
      </x:c>
      <x:c r="I1975" s="12" t="n">
        <x:v>5450000</x:v>
      </x:c>
      <x:c r="J1975" s="2" t="str">
        <x:v>total</x:v>
      </x:c>
      <x:c r="K1975" s="2" t="str">
        <x:v>top_level_area</x:v>
      </x:c>
      <x:c r="L1975" s="2" t="str">
        <x:v>property_type_inferred_from_title;transaction_assumed_sale_from_dataset_context</x:v>
      </x:c>
      <x:c r="M1975" s="10" t="n">
        <x:v>0</x:v>
      </x:c>
      <x:c r="N1975" s="10" t="n">
        <x:v>0</x:v>
      </x:c>
      <x:c r="O1975" s="2" t="str">
        <x:v>Bình Dương|land</x:v>
      </x:c>
      <x:c r="P1975" s="10" t="n">
        <x:v>2</x:v>
      </x:c>
      <x:c r="Q1975" s="13" t="n">
        <x:f>IF(H1975="","",H1975/1000000000)</x:f>
        <x:v>0.545</x:v>
      </x:c>
      <x:c r="R1975" s="13" t="n">
        <x:f>IF(I1975="","",I1975/1000000)</x:f>
        <x:v>5.45</x:v>
      </x:c>
    </x:row>
    <x:row r="1976" ht="21" customHeight="1">
      <x:c r="A1976" s="10" t="n">
        <x:v>2893</x:v>
      </x:c>
      <x:c r="B1976" s="2" t="str">
        <x:v>4716977dc8a87ac6caf4</x:v>
      </x:c>
      <x:c r="C1976" s="2" t="str">
        <x:v>Tp Hồ Chí Minh</x:v>
      </x:c>
      <x:c r="D1976" s="2" t="str">
        <x:v>Quận Bình Thạnh</x:v>
      </x:c>
      <x:c r="E1976" s="2" t="str">
        <x:v>house</x:v>
      </x:c>
      <x:c r="F1976" s="2" t="str">
        <x:v>sale_assumed</x:v>
      </x:c>
      <x:c r="G1976" s="11" t="n">
        <x:v>61</x:v>
      </x:c>
      <x:c r="H1976" s="12" t="n">
        <x:v>1000000000</x:v>
      </x:c>
      <x:c r="I1976" s="12" t="n">
        <x:v>16393442.62295082</x:v>
      </x:c>
      <x:c r="J1976" s="2" t="str">
        <x:v>total</x:v>
      </x:c>
      <x:c r="K1976" s="2" t="str">
        <x:v>top_level_area</x:v>
      </x:c>
      <x:c r="L1976" s="2" t="str">
        <x:v>property_type_inferred_from_title;transaction_assumed_sale_from_dataset_context</x:v>
      </x:c>
      <x:c r="M1976" s="10" t="n">
        <x:v>0</x:v>
      </x:c>
      <x:c r="N1976" s="10" t="n">
        <x:v>0</x:v>
      </x:c>
      <x:c r="O1976" s="2" t="str">
        <x:v>Tp Hồ Chí Minh|house</x:v>
      </x:c>
      <x:c r="P1976" s="10" t="n">
        <x:v>2</x:v>
      </x:c>
      <x:c r="Q1976" s="13" t="n">
        <x:f>IF(H1976="","",H1976/1000000000)</x:f>
        <x:v>1</x:v>
      </x:c>
      <x:c r="R1976" s="13" t="n">
        <x:f>IF(I1976="","",I1976/1000000)</x:f>
        <x:v>16.393442622950822</x:v>
      </x:c>
    </x:row>
    <x:row r="1977" ht="21" customHeight="1">
      <x:c r="A1977" s="10" t="n">
        <x:v>2894</x:v>
      </x:c>
      <x:c r="B1977" s="2" t="str">
        <x:v>dd396a85abbc54f3c629</x:v>
      </x:c>
      <x:c r="C1977" s="2" t="str">
        <x:v>Tp Hồ Chí Minh</x:v>
      </x:c>
      <x:c r="D1977" s="2" t="str">
        <x:v>Quận 8</x:v>
      </x:c>
      <x:c r="E1977" s="2" t="str">
        <x:v>house</x:v>
      </x:c>
      <x:c r="F1977" s="2" t="str">
        <x:v>sale</x:v>
      </x:c>
      <x:c r="G1977" s="11" t="n">
        <x:v>70</x:v>
      </x:c>
      <x:c r="H1977" s="12" t="n">
        <x:v>1250000000</x:v>
      </x:c>
      <x:c r="I1977" s="12" t="n">
        <x:v>17857142.85714286</x:v>
      </x:c>
      <x:c r="J1977" s="2" t="str">
        <x:v>total</x:v>
      </x:c>
      <x:c r="K1977" s="2" t="str">
        <x:v>top_level_area</x:v>
      </x:c>
      <x:c r="L1977" s="2" t="str">
        <x:v>property_type_inferred_from_title</x:v>
      </x:c>
      <x:c r="M1977" s="10" t="n">
        <x:v>0</x:v>
      </x:c>
      <x:c r="N1977" s="10" t="n">
        <x:v>0</x:v>
      </x:c>
      <x:c r="O1977" s="2" t="str">
        <x:v>Tp Hồ Chí Minh|house</x:v>
      </x:c>
      <x:c r="P1977" s="10" t="n">
        <x:v>2</x:v>
      </x:c>
      <x:c r="Q1977" s="13" t="n">
        <x:f>IF(H1977="","",H1977/1000000000)</x:f>
        <x:v>1.25</x:v>
      </x:c>
      <x:c r="R1977" s="13" t="n">
        <x:f>IF(I1977="","",I1977/1000000)</x:f>
        <x:v>17.857142857142858</x:v>
      </x:c>
    </x:row>
    <x:row r="1978" ht="21" customHeight="1">
      <x:c r="A1978" s="10" t="n">
        <x:v>2895</x:v>
      </x:c>
      <x:c r="B1978" s="2" t="str">
        <x:v>50b2b5509dcf83724bb8</x:v>
      </x:c>
      <x:c r="C1978" s="2" t="str">
        <x:v>Đồng Nai</x:v>
      </x:c>
      <x:c r="D1978" s="2" t="str">
        <x:v>Huyện Trảng Bom</x:v>
      </x:c>
      <x:c r="E1978" s="2" t="str">
        <x:v>land</x:v>
      </x:c>
      <x:c r="F1978" s="2" t="str">
        <x:v>sale_assumed</x:v>
      </x:c>
      <x:c r="G1978" s="11" t="n">
        <x:v>100</x:v>
      </x:c>
      <x:c r="H1978" s="12" t="n">
        <x:v>185000000</x:v>
      </x:c>
      <x:c r="I1978" s="12" t="n">
        <x:v>1850000</x:v>
      </x:c>
      <x:c r="J1978" s="2" t="str">
        <x:v>total</x:v>
      </x:c>
      <x:c r="K1978" s="2" t="str">
        <x:v>top_level_area</x:v>
      </x:c>
      <x:c r="L1978" s="2" t="str">
        <x:v>property_type_inferred_from_title;transaction_assumed_sale_from_dataset_context</x:v>
      </x:c>
      <x:c r="M1978" s="10" t="n">
        <x:v>0</x:v>
      </x:c>
      <x:c r="N1978" s="10" t="n">
        <x:v>0</x:v>
      </x:c>
      <x:c r="O1978" s="2" t="str">
        <x:v>Đồng Nai|land</x:v>
      </x:c>
      <x:c r="P1978" s="10" t="n">
        <x:v>1</x:v>
      </x:c>
      <x:c r="Q1978" s="13" t="n">
        <x:f>IF(H1978="","",H1978/1000000000)</x:f>
        <x:v>0.185</x:v>
      </x:c>
      <x:c r="R1978" s="13" t="n">
        <x:f>IF(I1978="","",I1978/1000000)</x:f>
        <x:v>1.85</x:v>
      </x:c>
    </x:row>
    <x:row r="1979" ht="21" customHeight="1">
      <x:c r="A1979" s="10" t="n">
        <x:v>2896</x:v>
      </x:c>
      <x:c r="B1979" s="2" t="str">
        <x:v>01a998a288cc7ffd0989</x:v>
      </x:c>
      <x:c r="C1979" s="2" t="str">
        <x:v>Tp Hồ Chí Minh</x:v>
      </x:c>
      <x:c r="D1979" s="2" t="str">
        <x:v>Quận Bình Thạnh</x:v>
      </x:c>
      <x:c r="E1979" s="2" t="str">
        <x:v>other_unknown</x:v>
      </x:c>
      <x:c r="F1979" s="2" t="str">
        <x:v>sale_assumed</x:v>
      </x:c>
      <x:c r="G1979" s="11" t="n">
        <x:v>38</x:v>
      </x:c>
      <x:c r="H1979" s="12" t="n">
        <x:v>3850000000</x:v>
      </x:c>
      <x:c r="I1979" s="12" t="n">
        <x:v>101315789.4736842</x:v>
      </x:c>
      <x:c r="J1979" s="2" t="str">
        <x:v>total</x:v>
      </x:c>
      <x:c r="K1979" s="2" t="str">
        <x:v>top_level_area</x:v>
      </x:c>
      <x:c r="L1979" s="2" t="str">
        <x:v>property_type_inferred_from_title;transaction_assumed_sale_from_dataset_context;unknown_property_type</x:v>
      </x:c>
      <x:c r="M1979" s="10" t="n">
        <x:v>0</x:v>
      </x:c>
      <x:c r="N1979" s="10" t="n">
        <x:v>0</x:v>
      </x:c>
      <x:c r="O1979" s="2" t="str">
        <x:v>Tp Hồ Chí Minh|other_unknown</x:v>
      </x:c>
      <x:c r="P1979" s="10" t="n">
        <x:v>2</x:v>
      </x:c>
      <x:c r="Q1979" s="13" t="n">
        <x:f>IF(H1979="","",H1979/1000000000)</x:f>
        <x:v>3.85</x:v>
      </x:c>
      <x:c r="R1979" s="13" t="n">
        <x:f>IF(I1979="","",I1979/1000000)</x:f>
        <x:v>101.3157894736842</x:v>
      </x:c>
    </x:row>
    <x:row r="1980" ht="21" customHeight="1">
      <x:c r="A1980" s="10" t="n">
        <x:v>2897</x:v>
      </x:c>
      <x:c r="B1980" s="2" t="str">
        <x:v>e1492a935054fb8e0eb8</x:v>
      </x:c>
      <x:c r="C1980" s="2" t="str">
        <x:v>Long An</x:v>
      </x:c>
      <x:c r="D1980" s="2" t="str">
        <x:v>Huyện Đức Hòa</x:v>
      </x:c>
      <x:c r="E1980" s="2" t="str">
        <x:v>house</x:v>
      </x:c>
      <x:c r="F1980" s="2" t="str">
        <x:v>sale_assumed</x:v>
      </x:c>
      <x:c r="G1980" s="11" t="n">
        <x:v>98</x:v>
      </x:c>
      <x:c r="H1980" s="12" t="n">
        <x:v>1750000000</x:v>
      </x:c>
      <x:c r="I1980" s="12" t="n">
        <x:v>17857142.85714286</x:v>
      </x:c>
      <x:c r="J1980" s="2" t="str">
        <x:v>total</x:v>
      </x:c>
      <x:c r="K1980" s="2" t="str">
        <x:v>top_level_area</x:v>
      </x:c>
      <x:c r="L1980" s="2" t="str">
        <x:v>property_type_inferred_from_title;transaction_assumed_sale_from_dataset_context</x:v>
      </x:c>
      <x:c r="M1980" s="10" t="n">
        <x:v>0</x:v>
      </x:c>
      <x:c r="N1980" s="10" t="n">
        <x:v>0</x:v>
      </x:c>
      <x:c r="O1980" s="2" t="str">
        <x:v>Long An|house</x:v>
      </x:c>
      <x:c r="P1980" s="10" t="n">
        <x:v>2</x:v>
      </x:c>
      <x:c r="Q1980" s="13" t="n">
        <x:f>IF(H1980="","",H1980/1000000000)</x:f>
        <x:v>1.75</x:v>
      </x:c>
      <x:c r="R1980" s="13" t="n">
        <x:f>IF(I1980="","",I1980/1000000)</x:f>
        <x:v>17.857142857142858</x:v>
      </x:c>
    </x:row>
    <x:row r="1981" ht="21" customHeight="1">
      <x:c r="A1981" s="10" t="n">
        <x:v>2898</x:v>
      </x:c>
      <x:c r="B1981" s="2" t="str">
        <x:v>2b11d28270b10d3b34f5</x:v>
      </x:c>
      <x:c r="C1981" s="2" t="str">
        <x:v>Hà Nội</x:v>
      </x:c>
      <x:c r="D1981" s="2" t="str">
        <x:v>Quận Hoàng Mai</x:v>
      </x:c>
      <x:c r="E1981" s="2" t="str">
        <x:v>house</x:v>
      </x:c>
      <x:c r="F1981" s="2" t="str">
        <x:v>sale</x:v>
      </x:c>
      <x:c r="G1981" s="11" t="n">
        <x:v>70</x:v>
      </x:c>
      <x:c r="H1981" s="12" t="n">
        <x:v>6900000000</x:v>
      </x:c>
      <x:c r="I1981" s="12" t="n">
        <x:v>98571428.57142857</x:v>
      </x:c>
      <x:c r="J1981" s="2" t="str">
        <x:v>total</x:v>
      </x:c>
      <x:c r="K1981" s="2" t="str">
        <x:v>top_level_area</x:v>
      </x:c>
      <x:c r="L1981" s="2" t="str">
        <x:v>property_type_inferred_from_title</x:v>
      </x:c>
      <x:c r="M1981" s="10" t="n">
        <x:v>0</x:v>
      </x:c>
      <x:c r="N1981" s="10" t="n">
        <x:v>0</x:v>
      </x:c>
      <x:c r="O1981" s="2" t="str">
        <x:v>Hà Nội|house</x:v>
      </x:c>
      <x:c r="P1981" s="10" t="n">
        <x:v>2</x:v>
      </x:c>
      <x:c r="Q1981" s="13" t="n">
        <x:f>IF(H1981="","",H1981/1000000000)</x:f>
        <x:v>6.9</x:v>
      </x:c>
      <x:c r="R1981" s="13" t="n">
        <x:f>IF(I1981="","",I1981/1000000)</x:f>
        <x:v>98.57142857142857</x:v>
      </x:c>
    </x:row>
    <x:row r="1982" ht="21" customHeight="1">
      <x:c r="A1982" s="10" t="n">
        <x:v>2899</x:v>
      </x:c>
      <x:c r="B1982" s="2" t="str">
        <x:v>4ad47644742f7f983a02</x:v>
      </x:c>
      <x:c r="C1982" s="2" t="str">
        <x:v>Tp Hồ Chí Minh</x:v>
      </x:c>
      <x:c r="D1982" s="2" t="str">
        <x:v>Quận Tân Phú</x:v>
      </x:c>
      <x:c r="E1982" s="2" t="str">
        <x:v>house</x:v>
      </x:c>
      <x:c r="F1982" s="2" t="str">
        <x:v>sale</x:v>
      </x:c>
      <x:c r="G1982" s="11" t="n">
        <x:v>64</x:v>
      </x:c>
      <x:c r="H1982" s="12" t="n">
        <x:v>1300000000</x:v>
      </x:c>
      <x:c r="I1982" s="12" t="n">
        <x:v>20312500</x:v>
      </x:c>
      <x:c r="J1982" s="2" t="str">
        <x:v>total</x:v>
      </x:c>
      <x:c r="K1982" s="2" t="str">
        <x:v>top_level_area</x:v>
      </x:c>
      <x:c r="L1982" s="2" t="str">
        <x:v>property_type_inferred_from_title</x:v>
      </x:c>
      <x:c r="M1982" s="10" t="n">
        <x:v>0</x:v>
      </x:c>
      <x:c r="N1982" s="10" t="n">
        <x:v>0</x:v>
      </x:c>
      <x:c r="O1982" s="2" t="str">
        <x:v>Tp Hồ Chí Minh|house</x:v>
      </x:c>
      <x:c r="P1982" s="10" t="n">
        <x:v>2</x:v>
      </x:c>
      <x:c r="Q1982" s="13" t="n">
        <x:f>IF(H1982="","",H1982/1000000000)</x:f>
        <x:v>1.3</x:v>
      </x:c>
      <x:c r="R1982" s="13" t="n">
        <x:f>IF(I1982="","",I1982/1000000)</x:f>
        <x:v>20.3125</x:v>
      </x:c>
    </x:row>
    <x:row r="1983" ht="21" customHeight="1">
      <x:c r="A1983" s="10" t="n">
        <x:v>2902</x:v>
      </x:c>
      <x:c r="B1983" s="2" t="str">
        <x:v>60ae729e515366c9eda3</x:v>
      </x:c>
      <x:c r="C1983" s="2" t="str">
        <x:v>Tp Hồ Chí Minh</x:v>
      </x:c>
      <x:c r="D1983" s="2" t="str">
        <x:v>Quận 12</x:v>
      </x:c>
      <x:c r="E1983" s="2" t="str">
        <x:v>house</x:v>
      </x:c>
      <x:c r="F1983" s="2" t="str">
        <x:v>sale_assumed</x:v>
      </x:c>
      <x:c r="G1983" s="11" t="n">
        <x:v>53</x:v>
      </x:c>
      <x:c r="H1983" s="12" t="n">
        <x:v>3500000000</x:v>
      </x:c>
      <x:c r="I1983" s="12" t="n">
        <x:v>66037735.8490566</x:v>
      </x:c>
      <x:c r="J1983" s="2" t="str">
        <x:v>total</x:v>
      </x:c>
      <x:c r="K1983" s="2" t="str">
        <x:v>top_level_area</x:v>
      </x:c>
      <x:c r="L1983" s="2" t="str">
        <x:v>property_type_inferred_from_title;transaction_assumed_sale_from_dataset_context</x:v>
      </x:c>
      <x:c r="M1983" s="10" t="n">
        <x:v>0</x:v>
      </x:c>
      <x:c r="N1983" s="10" t="n">
        <x:v>0</x:v>
      </x:c>
      <x:c r="O1983" s="2" t="str">
        <x:v>Tp Hồ Chí Minh|house</x:v>
      </x:c>
      <x:c r="P1983" s="10" t="n">
        <x:v>2</x:v>
      </x:c>
      <x:c r="Q1983" s="13" t="n">
        <x:f>IF(H1983="","",H1983/1000000000)</x:f>
        <x:v>3.5</x:v>
      </x:c>
      <x:c r="R1983" s="13" t="n">
        <x:f>IF(I1983="","",I1983/1000000)</x:f>
        <x:v>66.0377358490566</x:v>
      </x:c>
    </x:row>
    <x:row r="1984" ht="21" customHeight="1">
      <x:c r="A1984" s="10" t="n">
        <x:v>2903</x:v>
      </x:c>
      <x:c r="B1984" s="2" t="str">
        <x:v>9851b6d9a26543f76b94</x:v>
      </x:c>
      <x:c r="C1984" s="2" t="str">
        <x:v>Tp Hồ Chí Minh</x:v>
      </x:c>
      <x:c r="D1984" s="2" t="str">
        <x:v>Quận Thủ Đức</x:v>
      </x:c>
      <x:c r="E1984" s="2" t="str">
        <x:v>house</x:v>
      </x:c>
      <x:c r="F1984" s="2" t="str">
        <x:v>sale</x:v>
      </x:c>
      <x:c r="G1984" s="11" t="n">
        <x:v>70</x:v>
      </x:c>
      <x:c r="H1984" s="12" t="n">
        <x:v>6600000000</x:v>
      </x:c>
      <x:c r="I1984" s="12" t="n">
        <x:v>94285714.28571428</x:v>
      </x:c>
      <x:c r="J1984" s="2" t="str">
        <x:v>total</x:v>
      </x:c>
      <x:c r="K1984" s="2" t="str">
        <x:v>top_level_area</x:v>
      </x:c>
      <x:c r="L1984" s="2" t="str">
        <x:v>property_type_inferred_from_title</x:v>
      </x:c>
      <x:c r="M1984" s="10" t="n">
        <x:v>0</x:v>
      </x:c>
      <x:c r="N1984" s="10" t="n">
        <x:v>0</x:v>
      </x:c>
      <x:c r="O1984" s="2" t="str">
        <x:v>Tp Hồ Chí Minh|house</x:v>
      </x:c>
      <x:c r="P1984" s="10" t="n">
        <x:v>2</x:v>
      </x:c>
      <x:c r="Q1984" s="13" t="n">
        <x:f>IF(H1984="","",H1984/1000000000)</x:f>
        <x:v>6.6</x:v>
      </x:c>
      <x:c r="R1984" s="13" t="n">
        <x:f>IF(I1984="","",I1984/1000000)</x:f>
        <x:v>94.28571428571428</x:v>
      </x:c>
    </x:row>
    <x:row r="1985" ht="21" customHeight="1">
      <x:c r="A1985" s="10" t="n">
        <x:v>2904</x:v>
      </x:c>
      <x:c r="B1985" s="2" t="str">
        <x:v>2328fe234589b8f8e669</x:v>
      </x:c>
      <x:c r="C1985" s="2" t="str">
        <x:v>Đồng Nai</x:v>
      </x:c>
      <x:c r="D1985" s="2" t="str">
        <x:v>Huyện Vĩnh Cửu</x:v>
      </x:c>
      <x:c r="E1985" s="2" t="str">
        <x:v>land</x:v>
      </x:c>
      <x:c r="F1985" s="2" t="str">
        <x:v>sale_assumed</x:v>
      </x:c>
      <x:c r="G1985" s="11" t="n">
        <x:v>526</x:v>
      </x:c>
      <x:c r="H1985" s="12" t="n">
        <x:v>690000000</x:v>
      </x:c>
      <x:c r="I1985" s="12" t="n">
        <x:v>1311787.072243346</x:v>
      </x:c>
      <x:c r="J1985" s="2" t="str">
        <x:v>total</x:v>
      </x:c>
      <x:c r="K1985" s="2" t="str">
        <x:v>top_level_area</x:v>
      </x:c>
      <x:c r="L1985" s="2" t="str">
        <x:v>property_type_inferred_from_title;transaction_assumed_sale_from_dataset_context</x:v>
      </x:c>
      <x:c r="M1985" s="10" t="n">
        <x:v>0</x:v>
      </x:c>
      <x:c r="N1985" s="10" t="n">
        <x:v>0</x:v>
      </x:c>
      <x:c r="O1985" s="2" t="str">
        <x:v>Đồng Nai|land</x:v>
      </x:c>
      <x:c r="P1985" s="10" t="n">
        <x:v>1</x:v>
      </x:c>
      <x:c r="Q1985" s="13" t="n">
        <x:f>IF(H1985="","",H1985/1000000000)</x:f>
        <x:v>0.69</x:v>
      </x:c>
      <x:c r="R1985" s="13" t="n">
        <x:f>IF(I1985="","",I1985/1000000)</x:f>
        <x:v>1.311787072243346</x:v>
      </x:c>
    </x:row>
    <x:row r="1986" ht="21" customHeight="1">
      <x:c r="A1986" s="10" t="n">
        <x:v>2905</x:v>
      </x:c>
      <x:c r="B1986" s="2" t="str">
        <x:v>32cefa0c64d87be04613</x:v>
      </x:c>
      <x:c r="C1986" s="2" t="str">
        <x:v>Tp Hồ Chí Minh</x:v>
      </x:c>
      <x:c r="D1986" s="2" t="str">
        <x:v>Quận Gò Vấp</x:v>
      </x:c>
      <x:c r="E1986" s="2" t="str">
        <x:v>other_unknown</x:v>
      </x:c>
      <x:c r="F1986" s="2" t="str">
        <x:v>sale_assumed</x:v>
      </x:c>
      <x:c r="G1986" s="11" t="n">
        <x:v>55</x:v>
      </x:c>
      <x:c r="H1986" s="12" t="n">
        <x:v>1950000000</x:v>
      </x:c>
      <x:c r="I1986" s="12" t="n">
        <x:v>35454545.45454545</x:v>
      </x:c>
      <x:c r="J1986" s="2" t="str">
        <x:v>total</x:v>
      </x:c>
      <x:c r="K1986" s="2" t="str">
        <x:v>top_level_area</x:v>
      </x:c>
      <x:c r="L1986" s="2" t="str">
        <x:v>property_type_inferred_from_title;transaction_assumed_sale_from_dataset_context;unknown_property_type</x:v>
      </x:c>
      <x:c r="M1986" s="10" t="n">
        <x:v>0</x:v>
      </x:c>
      <x:c r="N1986" s="10" t="n">
        <x:v>0</x:v>
      </x:c>
      <x:c r="O1986" s="2" t="str">
        <x:v>Tp Hồ Chí Minh|other_unknown</x:v>
      </x:c>
      <x:c r="P1986" s="10" t="n">
        <x:v>2</x:v>
      </x:c>
      <x:c r="Q1986" s="13" t="n">
        <x:f>IF(H1986="","",H1986/1000000000)</x:f>
        <x:v>1.95</x:v>
      </x:c>
      <x:c r="R1986" s="13" t="n">
        <x:f>IF(I1986="","",I1986/1000000)</x:f>
        <x:v>35.45454545454545</x:v>
      </x:c>
    </x:row>
    <x:row r="1987" ht="21" customHeight="1">
      <x:c r="A1987" s="10" t="n">
        <x:v>2906</x:v>
      </x:c>
      <x:c r="B1987" s="2" t="str">
        <x:v>b94ca8f260c6fc435692</x:v>
      </x:c>
      <x:c r="C1987" s="2" t="str">
        <x:v>Tp Hồ Chí Minh</x:v>
      </x:c>
      <x:c r="D1987" s="2" t="str">
        <x:v>Quận Gò Vấp</x:v>
      </x:c>
      <x:c r="E1987" s="2" t="str">
        <x:v>house</x:v>
      </x:c>
      <x:c r="F1987" s="2" t="str">
        <x:v>sale</x:v>
      </x:c>
      <x:c r="G1987" s="11" t="n">
        <x:v>48</x:v>
      </x:c>
      <x:c r="H1987" s="12" t="n">
        <x:v>6500000000</x:v>
      </x:c>
      <x:c r="I1987" s="12" t="n">
        <x:v>135416666.66666666</x:v>
      </x:c>
      <x:c r="J1987" s="2" t="str">
        <x:v>total</x:v>
      </x:c>
      <x:c r="K1987" s="2" t="str">
        <x:v>top_level_area</x:v>
      </x:c>
      <x:c r="L1987" s="2" t="str">
        <x:v>property_type_inferred_from_title</x:v>
      </x:c>
      <x:c r="M1987" s="10" t="n">
        <x:v>0</x:v>
      </x:c>
      <x:c r="N1987" s="10" t="n">
        <x:v>0</x:v>
      </x:c>
      <x:c r="O1987" s="2" t="str">
        <x:v>Tp Hồ Chí Minh|house</x:v>
      </x:c>
      <x:c r="P1987" s="10" t="n">
        <x:v>2</x:v>
      </x:c>
      <x:c r="Q1987" s="13" t="n">
        <x:f>IF(H1987="","",H1987/1000000000)</x:f>
        <x:v>6.5</x:v>
      </x:c>
      <x:c r="R1987" s="13" t="n">
        <x:f>IF(I1987="","",I1987/1000000)</x:f>
        <x:v>135.41666666666666</x:v>
      </x:c>
    </x:row>
    <x:row r="1988" ht="21" customHeight="1">
      <x:c r="A1988" s="10" t="n">
        <x:v>2907</x:v>
      </x:c>
      <x:c r="B1988" s="2" t="str">
        <x:v>fe31431334a91bb568cf</x:v>
      </x:c>
      <x:c r="C1988" s="2" t="str">
        <x:v>Hà Nội</x:v>
      </x:c>
      <x:c r="D1988" s="2" t="str">
        <x:v>Quận Bắc Từ Liêm</x:v>
      </x:c>
      <x:c r="E1988" s="2" t="str">
        <x:v>house</x:v>
      </x:c>
      <x:c r="F1988" s="2" t="str">
        <x:v>sale_assumed</x:v>
      </x:c>
      <x:c r="G1988" s="11" t="n">
        <x:v>40</x:v>
      </x:c>
      <x:c r="H1988" s="12" t="n">
        <x:v>3850000000</x:v>
      </x:c>
      <x:c r="I1988" s="12" t="n">
        <x:v>96250000</x:v>
      </x:c>
      <x:c r="J1988" s="2" t="str">
        <x:v>total</x:v>
      </x:c>
      <x:c r="K1988" s="2" t="str">
        <x:v>top_level_area</x:v>
      </x:c>
      <x:c r="L1988" s="2" t="str">
        <x:v>property_type_inferred_from_title;transaction_assumed_sale_from_dataset_context</x:v>
      </x:c>
      <x:c r="M1988" s="10" t="n">
        <x:v>0</x:v>
      </x:c>
      <x:c r="N1988" s="10" t="n">
        <x:v>0</x:v>
      </x:c>
      <x:c r="O1988" s="2" t="str">
        <x:v>Hà Nội|house</x:v>
      </x:c>
      <x:c r="P1988" s="10" t="n">
        <x:v>2</x:v>
      </x:c>
      <x:c r="Q1988" s="13" t="n">
        <x:f>IF(H1988="","",H1988/1000000000)</x:f>
        <x:v>3.85</x:v>
      </x:c>
      <x:c r="R1988" s="13" t="n">
        <x:f>IF(I1988="","",I1988/1000000)</x:f>
        <x:v>96.25</x:v>
      </x:c>
    </x:row>
    <x:row r="1989" ht="21" customHeight="1">
      <x:c r="A1989" s="10" t="n">
        <x:v>2908</x:v>
      </x:c>
      <x:c r="B1989" s="2" t="str">
        <x:v>c7ab3aa71872e2977790</x:v>
      </x:c>
      <x:c r="C1989" s="2" t="str">
        <x:v>Hà Nội</x:v>
      </x:c>
      <x:c r="D1989" s="2" t="str">
        <x:v>Huyện Thanh Oai</x:v>
      </x:c>
      <x:c r="E1989" s="2" t="str">
        <x:v>house</x:v>
      </x:c>
      <x:c r="F1989" s="2" t="str">
        <x:v>sale_assumed</x:v>
      </x:c>
      <x:c r="G1989" s="11" t="n">
        <x:v>30</x:v>
      </x:c>
      <x:c r="H1989" s="12" t="n">
        <x:v>1500000000</x:v>
      </x:c>
      <x:c r="I1989" s="12" t="n">
        <x:v>50000000</x:v>
      </x:c>
      <x:c r="J1989" s="2" t="str">
        <x:v>total</x:v>
      </x:c>
      <x:c r="K1989" s="2" t="str">
        <x:v>top_level_area</x:v>
      </x:c>
      <x:c r="L1989" s="2" t="str">
        <x:v>property_type_inferred_from_title;transaction_assumed_sale_from_dataset_context</x:v>
      </x:c>
      <x:c r="M1989" s="10" t="n">
        <x:v>0</x:v>
      </x:c>
      <x:c r="N1989" s="10" t="n">
        <x:v>0</x:v>
      </x:c>
      <x:c r="O1989" s="2" t="str">
        <x:v>Hà Nội|house</x:v>
      </x:c>
      <x:c r="P1989" s="10" t="n">
        <x:v>2</x:v>
      </x:c>
      <x:c r="Q1989" s="13" t="n">
        <x:f>IF(H1989="","",H1989/1000000000)</x:f>
        <x:v>1.5</x:v>
      </x:c>
      <x:c r="R1989" s="13" t="n">
        <x:f>IF(I1989="","",I1989/1000000)</x:f>
        <x:v>50</x:v>
      </x:c>
    </x:row>
    <x:row r="1990" ht="21" customHeight="1">
      <x:c r="A1990" s="10" t="n">
        <x:v>2909</x:v>
      </x:c>
      <x:c r="B1990" s="2" t="str">
        <x:v>b3b106ef2c258dda8f0b</x:v>
      </x:c>
      <x:c r="C1990" s="2" t="str">
        <x:v>Tp Hồ Chí Minh</x:v>
      </x:c>
      <x:c r="D1990" s="2" t="str">
        <x:v>Quận Tân Bình</x:v>
      </x:c>
      <x:c r="E1990" s="2" t="str">
        <x:v>house</x:v>
      </x:c>
      <x:c r="F1990" s="2" t="str">
        <x:v>sale</x:v>
      </x:c>
      <x:c r="G1990" s="11" t="n">
        <x:v>40</x:v>
      </x:c>
      <x:c r="H1990" s="12" t="n">
        <x:v>7200000000</x:v>
      </x:c>
      <x:c r="I1990" s="12" t="n">
        <x:v>180000000</x:v>
      </x:c>
      <x:c r="J1990" s="2" t="str">
        <x:v>total</x:v>
      </x:c>
      <x:c r="K1990" s="2" t="str">
        <x:v>top_level_area</x:v>
      </x:c>
      <x:c r="L1990" s="2" t="str">
        <x:v>property_type_inferred_from_title</x:v>
      </x:c>
      <x:c r="M1990" s="10" t="n">
        <x:v>1</x:v>
      </x:c>
      <x:c r="N1990" s="10" t="n">
        <x:v>0</x:v>
      </x:c>
      <x:c r="O1990" s="2" t="str">
        <x:v>Tp Hồ Chí Minh|house</x:v>
      </x:c>
      <x:c r="P1990" s="10" t="n">
        <x:v>2</x:v>
      </x:c>
      <x:c r="Q1990" s="13" t="n">
        <x:f>IF(H1990="","",H1990/1000000000)</x:f>
        <x:v>7.2</x:v>
      </x:c>
      <x:c r="R1990" s="13" t="n">
        <x:f>IF(I1990="","",I1990/1000000)</x:f>
        <x:v>180</x:v>
      </x:c>
    </x:row>
    <x:row r="1991" ht="21" customHeight="1">
      <x:c r="A1991" s="10" t="n">
        <x:v>2910</x:v>
      </x:c>
      <x:c r="B1991" s="2" t="str">
        <x:v>734025dc67844e42f971</x:v>
      </x:c>
      <x:c r="C1991" s="2" t="str">
        <x:v>Đắk Lắk</x:v>
      </x:c>
      <x:c r="D1991" s="2" t="str">
        <x:v>Thành phố Buôn Ma Thuột</x:v>
      </x:c>
      <x:c r="E1991" s="2" t="str">
        <x:v>house</x:v>
      </x:c>
      <x:c r="F1991" s="2" t="str">
        <x:v>sale_assumed</x:v>
      </x:c>
      <x:c r="G1991" s="11" t="n">
        <x:v>85</x:v>
      </x:c>
      <x:c r="H1991" s="12" t="n">
        <x:v>1850000000</x:v>
      </x:c>
      <x:c r="I1991" s="12" t="n">
        <x:v>21764705.88235294</x:v>
      </x:c>
      <x:c r="J1991" s="2" t="str">
        <x:v>total</x:v>
      </x:c>
      <x:c r="K1991" s="2" t="str">
        <x:v>top_level_area</x:v>
      </x:c>
      <x:c r="L1991" s="2" t="str">
        <x:v>property_type_inferred_from_title;transaction_assumed_sale_from_dataset_context</x:v>
      </x:c>
      <x:c r="M1991" s="10" t="n">
        <x:v>0</x:v>
      </x:c>
      <x:c r="N1991" s="10" t="n">
        <x:v>0</x:v>
      </x:c>
      <x:c r="O1991" s="2" t="str">
        <x:v>Đắk Lắk|house</x:v>
      </x:c>
      <x:c r="P1991" s="10" t="n">
        <x:v>2</x:v>
      </x:c>
      <x:c r="Q1991" s="13" t="n">
        <x:f>IF(H1991="","",H1991/1000000000)</x:f>
        <x:v>1.85</x:v>
      </x:c>
      <x:c r="R1991" s="13" t="n">
        <x:f>IF(I1991="","",I1991/1000000)</x:f>
        <x:v>21.764705882352942</x:v>
      </x:c>
    </x:row>
    <x:row r="1992" ht="21" customHeight="1">
      <x:c r="A1992" s="10" t="n">
        <x:v>2911</x:v>
      </x:c>
      <x:c r="B1992" s="2" t="str">
        <x:v>268902e29e403db9009c</x:v>
      </x:c>
      <x:c r="C1992" s="2" t="str">
        <x:v>Đà Nẵng</x:v>
      </x:c>
      <x:c r="D1992" s="2" t="str">
        <x:v>Quận Thanh Khê</x:v>
      </x:c>
      <x:c r="E1992" s="2" t="str">
        <x:v>house</x:v>
      </x:c>
      <x:c r="F1992" s="2" t="str">
        <x:v>sale</x:v>
      </x:c>
      <x:c r="G1992" s="11" t="n">
        <x:v>57</x:v>
      </x:c>
      <x:c r="H1992" s="12" t="n">
        <x:v>1750000000</x:v>
      </x:c>
      <x:c r="I1992" s="12" t="n">
        <x:v>30701754.38596491</x:v>
      </x:c>
      <x:c r="J1992" s="2" t="str">
        <x:v>total</x:v>
      </x:c>
      <x:c r="K1992" s="2" t="str">
        <x:v>top_level_area</x:v>
      </x:c>
      <x:c r="L1992" s="2" t="str">
        <x:v>property_type_inferred_from_title</x:v>
      </x:c>
      <x:c r="M1992" s="10" t="n">
        <x:v>0</x:v>
      </x:c>
      <x:c r="N1992" s="10" t="n">
        <x:v>0</x:v>
      </x:c>
      <x:c r="O1992" s="2" t="str">
        <x:v>Đà Nẵng|house</x:v>
      </x:c>
      <x:c r="P1992" s="10" t="n">
        <x:v>2</x:v>
      </x:c>
      <x:c r="Q1992" s="13" t="n">
        <x:f>IF(H1992="","",H1992/1000000000)</x:f>
        <x:v>1.75</x:v>
      </x:c>
      <x:c r="R1992" s="13" t="n">
        <x:f>IF(I1992="","",I1992/1000000)</x:f>
        <x:v>30.70175438596491</x:v>
      </x:c>
    </x:row>
    <x:row r="1993" ht="21" customHeight="1">
      <x:c r="A1993" s="10" t="n">
        <x:v>2912</x:v>
      </x:c>
      <x:c r="B1993" s="2" t="str">
        <x:v>ca8171d0cf539195f21a</x:v>
      </x:c>
      <x:c r="C1993" s="2" t="str">
        <x:v>Đắk Lắk</x:v>
      </x:c>
      <x:c r="D1993" s="2" t="str">
        <x:v>Thành phố Buôn Ma Thuột</x:v>
      </x:c>
      <x:c r="E1993" s="2" t="str">
        <x:v>other_unknown</x:v>
      </x:c>
      <x:c r="F1993" s="2" t="str">
        <x:v>sale</x:v>
      </x:c>
      <x:c r="G1993" s="11" t="n">
        <x:v>1000</x:v>
      </x:c>
      <x:c r="H1993" s="12" t="n">
        <x:v>3360000000</x:v>
      </x:c>
      <x:c r="I1993" s="12" t="n">
        <x:v>3360000</x:v>
      </x:c>
      <x:c r="J1993" s="2" t="str">
        <x:v>total</x:v>
      </x:c>
      <x:c r="K1993" s="2" t="str">
        <x:v>top_level_area</x:v>
      </x:c>
      <x:c r="L1993" s="2" t="str">
        <x:v>dot_thousands_convention;property_type_inferred_from_title;unknown_property_type</x:v>
      </x:c>
      <x:c r="M1993" s="10" t="n">
        <x:v>0</x:v>
      </x:c>
      <x:c r="N1993" s="10" t="n">
        <x:v>0</x:v>
      </x:c>
      <x:c r="O1993" s="2" t="str">
        <x:v>other_unknown</x:v>
      </x:c>
      <x:c r="P1993" s="10" t="n">
        <x:v>1</x:v>
      </x:c>
      <x:c r="Q1993" s="13" t="n">
        <x:f>IF(H1993="","",H1993/1000000000)</x:f>
        <x:v>3.36</x:v>
      </x:c>
      <x:c r="R1993" s="13" t="n">
        <x:f>IF(I1993="","",I1993/1000000)</x:f>
        <x:v>3.36</x:v>
      </x:c>
    </x:row>
    <x:row r="1994" ht="21" customHeight="1">
      <x:c r="A1994" s="10" t="n">
        <x:v>2913</x:v>
      </x:c>
      <x:c r="B1994" s="2" t="str">
        <x:v>2ca70b19dc331287874e</x:v>
      </x:c>
      <x:c r="C1994" s="2" t="str">
        <x:v>Tp Hồ Chí Minh</x:v>
      </x:c>
      <x:c r="D1994" s="2" t="str">
        <x:v>Quận 2</x:v>
      </x:c>
      <x:c r="E1994" s="2" t="str">
        <x:v>house</x:v>
      </x:c>
      <x:c r="F1994" s="2" t="str">
        <x:v>sale</x:v>
      </x:c>
      <x:c r="G1994" s="11" t="n">
        <x:v>70</x:v>
      </x:c>
      <x:c r="H1994" s="12" t="n">
        <x:v>2200000000</x:v>
      </x:c>
      <x:c r="I1994" s="12" t="n">
        <x:v>31428571.42857143</x:v>
      </x:c>
      <x:c r="J1994" s="2" t="str">
        <x:v>total</x:v>
      </x:c>
      <x:c r="K1994" s="2" t="str">
        <x:v>top_level_area</x:v>
      </x:c>
      <x:c r="L1994" s="2" t="str">
        <x:v>property_type_inferred_from_title</x:v>
      </x:c>
      <x:c r="M1994" s="10" t="n">
        <x:v>0</x:v>
      </x:c>
      <x:c r="N1994" s="10" t="n">
        <x:v>0</x:v>
      </x:c>
      <x:c r="O1994" s="2" t="str">
        <x:v>Tp Hồ Chí Minh|house</x:v>
      </x:c>
      <x:c r="P1994" s="10" t="n">
        <x:v>2</x:v>
      </x:c>
      <x:c r="Q1994" s="13" t="n">
        <x:f>IF(H1994="","",H1994/1000000000)</x:f>
        <x:v>2.2</x:v>
      </x:c>
      <x:c r="R1994" s="13" t="n">
        <x:f>IF(I1994="","",I1994/1000000)</x:f>
        <x:v>31.42857142857143</x:v>
      </x:c>
    </x:row>
    <x:row r="1995" ht="21" customHeight="1">
      <x:c r="A1995" s="10" t="n">
        <x:v>2914</x:v>
      </x:c>
      <x:c r="B1995" s="2" t="str">
        <x:v>66d53789c866c98a7833</x:v>
      </x:c>
      <x:c r="C1995" s="2" t="str">
        <x:v>Tp Hồ Chí Minh</x:v>
      </x:c>
      <x:c r="D1995" s="2" t="str">
        <x:v>Quận Bình Tân</x:v>
      </x:c>
      <x:c r="E1995" s="2" t="str">
        <x:v>land</x:v>
      </x:c>
      <x:c r="F1995" s="2" t="str">
        <x:v>sale</x:v>
      </x:c>
      <x:c r="G1995" s="11" t="n">
        <x:v>63</x:v>
      </x:c>
      <x:c r="H1995" s="12" t="n">
        <x:v>3100000000</x:v>
      </x:c>
      <x:c r="I1995" s="12" t="n">
        <x:v>49206349.20634921</x:v>
      </x:c>
      <x:c r="J1995" s="2" t="str">
        <x:v>total</x:v>
      </x:c>
      <x:c r="K1995" s="2" t="str">
        <x:v>top_level_area</x:v>
      </x:c>
      <x:c r="L1995" s="2" t="str">
        <x:v>property_type_inferred_from_title</x:v>
      </x:c>
      <x:c r="M1995" s="10" t="n">
        <x:v>0</x:v>
      </x:c>
      <x:c r="N1995" s="10" t="n">
        <x:v>0</x:v>
      </x:c>
      <x:c r="O1995" s="2" t="str">
        <x:v>Tp Hồ Chí Minh|land</x:v>
      </x:c>
      <x:c r="P1995" s="10" t="n">
        <x:v>2</x:v>
      </x:c>
      <x:c r="Q1995" s="13" t="n">
        <x:f>IF(H1995="","",H1995/1000000000)</x:f>
        <x:v>3.1</x:v>
      </x:c>
      <x:c r="R1995" s="13" t="n">
        <x:f>IF(I1995="","",I1995/1000000)</x:f>
        <x:v>49.20634920634921</x:v>
      </x:c>
    </x:row>
    <x:row r="1996" ht="21" customHeight="1">
      <x:c r="A1996" s="10" t="n">
        <x:v>2915</x:v>
      </x:c>
      <x:c r="B1996" s="2" t="str">
        <x:v>438df9c940a382d44550</x:v>
      </x:c>
      <x:c r="C1996" s="2" t="str">
        <x:v>Tp Hồ Chí Minh</x:v>
      </x:c>
      <x:c r="D1996" s="2" t="str">
        <x:v>Huyện Củ Chi</x:v>
      </x:c>
      <x:c r="E1996" s="2" t="str">
        <x:v>land</x:v>
      </x:c>
      <x:c r="F1996" s="2" t="str">
        <x:v>sale</x:v>
      </x:c>
      <x:c r="G1996" s="11" t="n">
        <x:v>500</x:v>
      </x:c>
      <x:c r="H1996" s="12" t="n">
        <x:v>930000000</x:v>
      </x:c>
      <x:c r="I1996" s="12" t="n">
        <x:v>1860000</x:v>
      </x:c>
      <x:c r="J1996" s="2" t="str">
        <x:v>total</x:v>
      </x:c>
      <x:c r="K1996" s="2" t="str">
        <x:v>top_level_area</x:v>
      </x:c>
      <x:c r="L1996" s="2" t="str">
        <x:v>property_type_inferred_from_title</x:v>
      </x:c>
      <x:c r="M1996" s="10" t="n">
        <x:v>0</x:v>
      </x:c>
      <x:c r="N1996" s="10" t="n">
        <x:v>0</x:v>
      </x:c>
      <x:c r="O1996" s="2" t="str">
        <x:v>Tp Hồ Chí Minh|land</x:v>
      </x:c>
      <x:c r="P1996" s="10" t="n">
        <x:v>1</x:v>
      </x:c>
      <x:c r="Q1996" s="13" t="n">
        <x:f>IF(H1996="","",H1996/1000000000)</x:f>
        <x:v>0.93</x:v>
      </x:c>
      <x:c r="R1996" s="13" t="n">
        <x:f>IF(I1996="","",I1996/1000000)</x:f>
        <x:v>1.86</x:v>
      </x:c>
    </x:row>
    <x:row r="1997" ht="21" customHeight="1">
      <x:c r="A1997" s="10" t="n">
        <x:v>2916</x:v>
      </x:c>
      <x:c r="B1997" s="2" t="str">
        <x:v>861c72267db9a94a4c5e</x:v>
      </x:c>
      <x:c r="C1997" s="2" t="str">
        <x:v>Tp Hồ Chí Minh</x:v>
      </x:c>
      <x:c r="D1997" s="2" t="str">
        <x:v>Quận Bình Tân</x:v>
      </x:c>
      <x:c r="E1997" s="2" t="str">
        <x:v>house</x:v>
      </x:c>
      <x:c r="F1997" s="2" t="str">
        <x:v>sale</x:v>
      </x:c>
      <x:c r="G1997" s="11" t="n">
        <x:v>56</x:v>
      </x:c>
      <x:c r="H1997" s="12" t="n">
        <x:v>2900000000</x:v>
      </x:c>
      <x:c r="I1997" s="12" t="n">
        <x:v>51785714.28571428</x:v>
      </x:c>
      <x:c r="J1997" s="2" t="str">
        <x:v>total</x:v>
      </x:c>
      <x:c r="K1997" s="2" t="str">
        <x:v>top_level_area</x:v>
      </x:c>
      <x:c r="L1997" s="2" t="str">
        <x:v>property_type_inferred_from_title</x:v>
      </x:c>
      <x:c r="M1997" s="10" t="n">
        <x:v>0</x:v>
      </x:c>
      <x:c r="N1997" s="10" t="n">
        <x:v>0</x:v>
      </x:c>
      <x:c r="O1997" s="2" t="str">
        <x:v>Tp Hồ Chí Minh|house</x:v>
      </x:c>
      <x:c r="P1997" s="10" t="n">
        <x:v>2</x:v>
      </x:c>
      <x:c r="Q1997" s="13" t="n">
        <x:f>IF(H1997="","",H1997/1000000000)</x:f>
        <x:v>2.9</x:v>
      </x:c>
      <x:c r="R1997" s="13" t="n">
        <x:f>IF(I1997="","",I1997/1000000)</x:f>
        <x:v>51.785714285714285</x:v>
      </x:c>
    </x:row>
    <x:row r="1998" ht="21" customHeight="1">
      <x:c r="A1998" s="10" t="n">
        <x:v>2917</x:v>
      </x:c>
      <x:c r="B1998" s="2" t="str">
        <x:v>f9f07cc628b38e1ce8a0</x:v>
      </x:c>
      <x:c r="C1998" s="2" t="str">
        <x:v>Tp Hồ Chí Minh</x:v>
      </x:c>
      <x:c r="D1998" s="2" t="str">
        <x:v>Quận Gò Vấp</x:v>
      </x:c>
      <x:c r="E1998" s="2" t="str">
        <x:v>house</x:v>
      </x:c>
      <x:c r="F1998" s="2" t="str">
        <x:v>sale</x:v>
      </x:c>
      <x:c r="G1998" s="11" t="n">
        <x:v>38</x:v>
      </x:c>
      <x:c r="H1998" s="12" t="n">
        <x:v>3490000000</x:v>
      </x:c>
      <x:c r="I1998" s="12" t="n">
        <x:v>91842105.26315789</x:v>
      </x:c>
      <x:c r="J1998" s="2" t="str">
        <x:v>total</x:v>
      </x:c>
      <x:c r="K1998" s="2" t="str">
        <x:v>top_level_area</x:v>
      </x:c>
      <x:c r="L1998" s="2" t="str">
        <x:v>property_type_inferred_from_title</x:v>
      </x:c>
      <x:c r="M1998" s="10" t="n">
        <x:v>0</x:v>
      </x:c>
      <x:c r="N1998" s="10" t="n">
        <x:v>0</x:v>
      </x:c>
      <x:c r="O1998" s="2" t="str">
        <x:v>Tp Hồ Chí Minh|house</x:v>
      </x:c>
      <x:c r="P1998" s="10" t="n">
        <x:v>2</x:v>
      </x:c>
      <x:c r="Q1998" s="13" t="n">
        <x:f>IF(H1998="","",H1998/1000000000)</x:f>
        <x:v>3.49</x:v>
      </x:c>
      <x:c r="R1998" s="13" t="n">
        <x:f>IF(I1998="","",I1998/1000000)</x:f>
        <x:v>91.84210526315789</x:v>
      </x:c>
    </x:row>
    <x:row r="1999" ht="21" customHeight="1">
      <x:c r="A1999" s="10" t="n">
        <x:v>2918</x:v>
      </x:c>
      <x:c r="B1999" s="2" t="str">
        <x:v>ecc1005a70a6a33e0436</x:v>
      </x:c>
      <x:c r="C1999" s="2" t="str">
        <x:v>Long An</x:v>
      </x:c>
      <x:c r="D1999" s="2" t="str">
        <x:v>Huyện Đức Hòa</x:v>
      </x:c>
      <x:c r="E1999" s="2" t="str">
        <x:v>land</x:v>
      </x:c>
      <x:c r="F1999" s="2" t="str">
        <x:v>sale</x:v>
      </x:c>
      <x:c r="G1999" s="11" t="n">
        <x:v>124</x:v>
      </x:c>
      <x:c r="H1999" s="12" t="n">
        <x:v>980000000</x:v>
      </x:c>
      <x:c r="I1999" s="12" t="n">
        <x:v>7903225.806451613</x:v>
      </x:c>
      <x:c r="J1999" s="2" t="str">
        <x:v>total</x:v>
      </x:c>
      <x:c r="K1999" s="2" t="str">
        <x:v>top_level_area</x:v>
      </x:c>
      <x:c r="L1999" s="2" t="str">
        <x:v>property_type_inferred_from_title</x:v>
      </x:c>
      <x:c r="M1999" s="10" t="n">
        <x:v>0</x:v>
      </x:c>
      <x:c r="N1999" s="10" t="n">
        <x:v>0</x:v>
      </x:c>
      <x:c r="O1999" s="2" t="str">
        <x:v>Long An|land</x:v>
      </x:c>
      <x:c r="P1999" s="10" t="n">
        <x:v>2</x:v>
      </x:c>
      <x:c r="Q1999" s="13" t="n">
        <x:f>IF(H1999="","",H1999/1000000000)</x:f>
        <x:v>0.98</x:v>
      </x:c>
      <x:c r="R1999" s="13" t="n">
        <x:f>IF(I1999="","",I1999/1000000)</x:f>
        <x:v>7.903225806451613</x:v>
      </x:c>
    </x:row>
    <x:row r="2000" ht="21" customHeight="1">
      <x:c r="A2000" s="10" t="n">
        <x:v>2919</x:v>
      </x:c>
      <x:c r="B2000" s="2" t="str">
        <x:v>bbce13740324befdee06</x:v>
      </x:c>
      <x:c r="C2000" s="2" t="str">
        <x:v>Tp Hồ Chí Minh</x:v>
      </x:c>
      <x:c r="D2000" s="2" t="str">
        <x:v>Quận Thủ Đức</x:v>
      </x:c>
      <x:c r="E2000" s="2" t="str">
        <x:v>house</x:v>
      </x:c>
      <x:c r="F2000" s="2" t="str">
        <x:v>sale</x:v>
      </x:c>
      <x:c r="G2000" s="11" t="n">
        <x:v>120</x:v>
      </x:c>
      <x:c r="H2000" s="12" t="n">
        <x:v>15500000000</x:v>
      </x:c>
      <x:c r="I2000" s="12" t="n">
        <x:v>129166666.66666667</x:v>
      </x:c>
      <x:c r="J2000" s="2" t="str">
        <x:v>total</x:v>
      </x:c>
      <x:c r="K2000" s="2" t="str">
        <x:v>top_level_area</x:v>
      </x:c>
      <x:c r="L2000" s="2" t="str">
        <x:v>property_type_inferred_from_title</x:v>
      </x:c>
      <x:c r="M2000" s="10" t="n">
        <x:v>0</x:v>
      </x:c>
      <x:c r="N2000" s="10" t="n">
        <x:v>0</x:v>
      </x:c>
      <x:c r="O2000" s="2" t="str">
        <x:v>Tp Hồ Chí Minh|house</x:v>
      </x:c>
      <x:c r="P2000" s="10" t="n">
        <x:v>2</x:v>
      </x:c>
      <x:c r="Q2000" s="13" t="n">
        <x:f>IF(H2000="","",H2000/1000000000)</x:f>
        <x:v>15.5</x:v>
      </x:c>
      <x:c r="R2000" s="13" t="n">
        <x:f>IF(I2000="","",I2000/1000000)</x:f>
        <x:v>129.16666666666669</x:v>
      </x:c>
    </x:row>
    <x:row r="2001" ht="21" customHeight="1">
      <x:c r="A2001" s="10" t="n">
        <x:v>2920</x:v>
      </x:c>
      <x:c r="B2001" s="2" t="str">
        <x:v>e6e4a6faa422d51f77be</x:v>
      </x:c>
      <x:c r="C2001" s="2" t="str">
        <x:v>Tp Hồ Chí Minh</x:v>
      </x:c>
      <x:c r="D2001" s="2" t="str">
        <x:v>Quận 1</x:v>
      </x:c>
      <x:c r="E2001" s="2" t="str">
        <x:v>house</x:v>
      </x:c>
      <x:c r="F2001" s="2" t="str">
        <x:v>sale</x:v>
      </x:c>
      <x:c r="G2001" s="11" t="n">
        <x:v>48</x:v>
      </x:c>
      <x:c r="H2001" s="12" t="n">
        <x:v>7900000000</x:v>
      </x:c>
      <x:c r="I2001" s="12" t="n">
        <x:v>164583333.33333334</x:v>
      </x:c>
      <x:c r="J2001" s="2" t="str">
        <x:v>total</x:v>
      </x:c>
      <x:c r="K2001" s="2" t="str">
        <x:v>top_level_area</x:v>
      </x:c>
      <x:c r="L2001" s="2" t="str">
        <x:v>property_type_inferred_from_title</x:v>
      </x:c>
      <x:c r="M2001" s="10" t="n">
        <x:v>1</x:v>
      </x:c>
      <x:c r="N2001" s="10" t="n">
        <x:v>0</x:v>
      </x:c>
      <x:c r="O2001" s="2" t="str">
        <x:v>Tp Hồ Chí Minh|house</x:v>
      </x:c>
      <x:c r="P2001" s="10" t="n">
        <x:v>2</x:v>
      </x:c>
      <x:c r="Q2001" s="13" t="n">
        <x:f>IF(H2001="","",H2001/1000000000)</x:f>
        <x:v>7.9</x:v>
      </x:c>
      <x:c r="R2001" s="13" t="n">
        <x:f>IF(I2001="","",I2001/1000000)</x:f>
        <x:v>164.58333333333334</x:v>
      </x:c>
    </x:row>
    <x:row r="2002" ht="21" customHeight="1">
      <x:c r="A2002" s="10" t="n">
        <x:v>2923</x:v>
      </x:c>
      <x:c r="B2002" s="2" t="str">
        <x:v>20a23112b189d67063aa</x:v>
      </x:c>
      <x:c r="C2002" s="2" t="str">
        <x:v>Tp Hồ Chí Minh</x:v>
      </x:c>
      <x:c r="D2002" s="2" t="str">
        <x:v>Huyện Bình Chánh</x:v>
      </x:c>
      <x:c r="E2002" s="2" t="str">
        <x:v>other_unknown</x:v>
      </x:c>
      <x:c r="F2002" s="2" t="str">
        <x:v>sale</x:v>
      </x:c>
      <x:c r="G2002" s="11" t="n">
        <x:v>100</x:v>
      </x:c>
      <x:c r="H2002" s="12" t="n">
        <x:v>900000000</x:v>
      </x:c>
      <x:c r="I2002" s="12" t="n">
        <x:v>9000000</x:v>
      </x:c>
      <x:c r="J2002" s="2" t="str">
        <x:v>total</x:v>
      </x:c>
      <x:c r="K2002" s="2" t="str">
        <x:v>top_level_area</x:v>
      </x:c>
      <x:c r="L2002" s="2" t="str">
        <x:v>property_type_inferred_from_title;unknown_property_type</x:v>
      </x:c>
      <x:c r="M2002" s="10" t="n">
        <x:v>0</x:v>
      </x:c>
      <x:c r="N2002" s="10" t="n">
        <x:v>0</x:v>
      </x:c>
      <x:c r="O2002" s="2" t="str">
        <x:v>Tp Hồ Chí Minh|other_unknown</x:v>
      </x:c>
      <x:c r="P2002" s="10" t="n">
        <x:v>2</x:v>
      </x:c>
      <x:c r="Q2002" s="13" t="n">
        <x:f>IF(H2002="","",H2002/1000000000)</x:f>
        <x:v>0.9</x:v>
      </x:c>
      <x:c r="R2002" s="13" t="n">
        <x:f>IF(I2002="","",I2002/1000000)</x:f>
        <x:v>9</x:v>
      </x:c>
    </x:row>
    <x:row r="2003" ht="21" customHeight="1">
      <x:c r="A2003" s="10" t="n">
        <x:v>2924</x:v>
      </x:c>
      <x:c r="B2003" s="2" t="str">
        <x:v>45ee83b4a57b15194e0b</x:v>
      </x:c>
      <x:c r="C2003" s="2" t="str">
        <x:v>Bà Rịa - Vũng Tàu</x:v>
      </x:c>
      <x:c r="D2003" s="2" t="str">
        <x:v>Huyện Xuyên Mộc</x:v>
      </x:c>
      <x:c r="E2003" s="2" t="str">
        <x:v>land</x:v>
      </x:c>
      <x:c r="F2003" s="2" t="str">
        <x:v>sale_assumed</x:v>
      </x:c>
      <x:c r="G2003" s="11" t="n">
        <x:v>509</x:v>
      </x:c>
      <x:c r="H2003" s="12" t="n">
        <x:v>2500000000</x:v>
      </x:c>
      <x:c r="I2003" s="12" t="n">
        <x:v>4911591.355599214</x:v>
      </x:c>
      <x:c r="J2003" s="2" t="str">
        <x:v>total</x:v>
      </x:c>
      <x:c r="K2003" s="2" t="str">
        <x:v>top_level_area</x:v>
      </x:c>
      <x:c r="L2003" s="2" t="str">
        <x:v>property_type_inferred_from_title;transaction_assumed_sale_from_dataset_context</x:v>
      </x:c>
      <x:c r="M2003" s="10" t="n">
        <x:v>0</x:v>
      </x:c>
      <x:c r="N2003" s="10" t="n">
        <x:v>0</x:v>
      </x:c>
      <x:c r="O2003" s="2" t="str">
        <x:v>Bà Rịa - Vũng Tàu|land</x:v>
      </x:c>
      <x:c r="P2003" s="10" t="n">
        <x:v>1</x:v>
      </x:c>
      <x:c r="Q2003" s="13" t="n">
        <x:f>IF(H2003="","",H2003/1000000000)</x:f>
        <x:v>2.5</x:v>
      </x:c>
      <x:c r="R2003" s="13" t="n">
        <x:f>IF(I2003="","",I2003/1000000)</x:f>
        <x:v>4.911591355599215</x:v>
      </x:c>
    </x:row>
    <x:row r="2004" ht="21" customHeight="1">
      <x:c r="A2004" s="10" t="n">
        <x:v>2925</x:v>
      </x:c>
      <x:c r="B2004" s="2" t="str">
        <x:v>7291d633acf6d03ee131</x:v>
      </x:c>
      <x:c r="C2004" s="2" t="str">
        <x:v>Đà Nẵng</x:v>
      </x:c>
      <x:c r="D2004" s="2" t="str">
        <x:v>Huyện Hòa Vang</x:v>
      </x:c>
      <x:c r="E2004" s="2" t="str">
        <x:v>land</x:v>
      </x:c>
      <x:c r="F2004" s="2" t="str">
        <x:v>sale_assumed</x:v>
      </x:c>
      <x:c r="G2004" s="11" t="n">
        <x:v>105</x:v>
      </x:c>
      <x:c r="H2004" s="12" t="n">
        <x:v>1700000000</x:v>
      </x:c>
      <x:c r="I2004" s="12" t="n">
        <x:v>16190476.19047619</x:v>
      </x:c>
      <x:c r="J2004" s="2" t="str">
        <x:v>total</x:v>
      </x:c>
      <x:c r="K2004" s="2" t="str">
        <x:v>top_level_area</x:v>
      </x:c>
      <x:c r="L2004" s="2" t="str">
        <x:v>property_type_inferred_from_title;transaction_assumed_sale_from_dataset_context</x:v>
      </x:c>
      <x:c r="M2004" s="10" t="n">
        <x:v>0</x:v>
      </x:c>
      <x:c r="N2004" s="10" t="n">
        <x:v>0</x:v>
      </x:c>
      <x:c r="O2004" s="2" t="str">
        <x:v>Đà Nẵng|land</x:v>
      </x:c>
      <x:c r="P2004" s="10" t="n">
        <x:v>2</x:v>
      </x:c>
      <x:c r="Q2004" s="13" t="n">
        <x:f>IF(H2004="","",H2004/1000000000)</x:f>
        <x:v>1.7</x:v>
      </x:c>
      <x:c r="R2004" s="13" t="n">
        <x:f>IF(I2004="","",I2004/1000000)</x:f>
        <x:v>16.19047619047619</x:v>
      </x:c>
    </x:row>
    <x:row r="2005" ht="21" customHeight="1">
      <x:c r="A2005" s="10" t="n">
        <x:v>2926</x:v>
      </x:c>
      <x:c r="B2005" s="2" t="str">
        <x:v>bbfdd6bdf6696b271017</x:v>
      </x:c>
      <x:c r="C2005" s="2" t="str">
        <x:v>Đà Nẵng</x:v>
      </x:c>
      <x:c r="D2005" s="2" t="str">
        <x:v>Quận Cẩm Lệ</x:v>
      </x:c>
      <x:c r="E2005" s="2" t="str">
        <x:v>land</x:v>
      </x:c>
      <x:c r="F2005" s="2" t="str">
        <x:v>sale</x:v>
      </x:c>
      <x:c r="G2005" s="11" t="n">
        <x:v>60</x:v>
      </x:c>
      <x:c r="H2005" s="12" t="n">
        <x:v>1430000000</x:v>
      </x:c>
      <x:c r="I2005" s="12" t="n">
        <x:v>23833333.333333332</x:v>
      </x:c>
      <x:c r="J2005" s="2" t="str">
        <x:v>total</x:v>
      </x:c>
      <x:c r="K2005" s="2" t="str">
        <x:v>top_level_area</x:v>
      </x:c>
      <x:c r="L2005" s="2" t="str">
        <x:v>property_type_inferred_from_title</x:v>
      </x:c>
      <x:c r="M2005" s="10" t="n">
        <x:v>0</x:v>
      </x:c>
      <x:c r="N2005" s="10" t="n">
        <x:v>0</x:v>
      </x:c>
      <x:c r="O2005" s="2" t="str">
        <x:v>Đà Nẵng|land</x:v>
      </x:c>
      <x:c r="P2005" s="10" t="n">
        <x:v>2</x:v>
      </x:c>
      <x:c r="Q2005" s="13" t="n">
        <x:f>IF(H2005="","",H2005/1000000000)</x:f>
        <x:v>1.43</x:v>
      </x:c>
      <x:c r="R2005" s="13" t="n">
        <x:f>IF(I2005="","",I2005/1000000)</x:f>
        <x:v>23.833333333333332</x:v>
      </x:c>
    </x:row>
    <x:row r="2006" ht="21" customHeight="1">
      <x:c r="A2006" s="10" t="n">
        <x:v>2927</x:v>
      </x:c>
      <x:c r="B2006" s="2" t="str">
        <x:v>8044386dbb3a6123ec5e</x:v>
      </x:c>
      <x:c r="C2006" s="2" t="str">
        <x:v>Đắk Lắk</x:v>
      </x:c>
      <x:c r="D2006" s="2" t="str">
        <x:v>Thành phố Buôn Ma Thuột</x:v>
      </x:c>
      <x:c r="E2006" s="2" t="str">
        <x:v>other_unknown</x:v>
      </x:c>
      <x:c r="F2006" s="2" t="str">
        <x:v>sale_assumed</x:v>
      </x:c>
      <x:c r="G2006" s="11" t="n">
        <x:v>3688</x:v>
      </x:c>
      <x:c r="H2006" s="12" t="n">
        <x:v>1250000000</x:v>
      </x:c>
      <x:c r="I2006" s="12" t="n">
        <x:v>338937.09327548806</x:v>
      </x:c>
      <x:c r="J2006" s="2" t="str">
        <x:v>total</x:v>
      </x:c>
      <x:c r="K2006" s="2" t="str">
        <x:v>top_level_area</x:v>
      </x:c>
      <x:c r="L2006" s="2" t="str">
        <x:v>dot_thousands_convention;property_type_inferred_from_title;transaction_assumed_sale_from_dataset_context;unknown_property_type</x:v>
      </x:c>
      <x:c r="M2006" s="10" t="n">
        <x:v>0</x:v>
      </x:c>
      <x:c r="N2006" s="10" t="n">
        <x:v>0</x:v>
      </x:c>
      <x:c r="O2006" s="2" t="str">
        <x:v>other_unknown</x:v>
      </x:c>
      <x:c r="P2006" s="10" t="n">
        <x:v>1</x:v>
      </x:c>
      <x:c r="Q2006" s="13" t="n">
        <x:f>IF(H2006="","",H2006/1000000000)</x:f>
        <x:v>1.25</x:v>
      </x:c>
      <x:c r="R2006" s="13" t="n">
        <x:f>IF(I2006="","",I2006/1000000)</x:f>
        <x:v>0.33893709327548804</x:v>
      </x:c>
    </x:row>
    <x:row r="2007" ht="21" customHeight="1">
      <x:c r="A2007" s="10" t="n">
        <x:v>2928</x:v>
      </x:c>
      <x:c r="B2007" s="2" t="str">
        <x:v>e86156c06d46856734f3</x:v>
      </x:c>
      <x:c r="C2007" s="2" t="str">
        <x:v>Hà Nội</x:v>
      </x:c>
      <x:c r="D2007" s="2" t="str">
        <x:v>Quận Đống Đa</x:v>
      </x:c>
      <x:c r="E2007" s="2" t="str">
        <x:v>house</x:v>
      </x:c>
      <x:c r="F2007" s="2" t="str">
        <x:v>sale_assumed</x:v>
      </x:c>
      <x:c r="G2007" s="11" t="n">
        <x:v>40</x:v>
      </x:c>
      <x:c r="H2007" s="12" t="n">
        <x:v>7000000000</x:v>
      </x:c>
      <x:c r="I2007" s="12" t="n">
        <x:v>175000000</x:v>
      </x:c>
      <x:c r="J2007" s="2" t="str">
        <x:v>total</x:v>
      </x:c>
      <x:c r="K2007" s="2" t="str">
        <x:v>top_level_area</x:v>
      </x:c>
      <x:c r="L2007" s="2" t="str">
        <x:v>property_type_inferred_from_title;transaction_assumed_sale_from_dataset_context</x:v>
      </x:c>
      <x:c r="M2007" s="10" t="n">
        <x:v>1</x:v>
      </x:c>
      <x:c r="N2007" s="10" t="n">
        <x:v>1</x:v>
      </x:c>
      <x:c r="O2007" s="2" t="str">
        <x:v>Hà Nội|house</x:v>
      </x:c>
      <x:c r="P2007" s="10" t="n">
        <x:v>-1</x:v>
      </x:c>
      <x:c r="Q2007" s="13" t="n">
        <x:f>IF(H2007="","",H2007/1000000000)</x:f>
        <x:v>7</x:v>
      </x:c>
      <x:c r="R2007" s="13" t="n">
        <x:f>IF(I2007="","",I2007/1000000)</x:f>
        <x:v>175</x:v>
      </x:c>
    </x:row>
    <x:row r="2008" ht="21" customHeight="1">
      <x:c r="A2008" s="10" t="n">
        <x:v>2929</x:v>
      </x:c>
      <x:c r="B2008" s="2" t="str">
        <x:v>bf1cbf25216083d186dd</x:v>
      </x:c>
      <x:c r="C2008" s="2" t="str">
        <x:v>Đà Nẵng</x:v>
      </x:c>
      <x:c r="D2008" s="2" t="str">
        <x:v>Quận Sơn Trà</x:v>
      </x:c>
      <x:c r="E2008" s="2" t="str">
        <x:v>land</x:v>
      </x:c>
      <x:c r="F2008" s="2" t="str">
        <x:v>sale</x:v>
      </x:c>
      <x:c r="G2008" s="11" t="n">
        <x:v>100</x:v>
      </x:c>
      <x:c r="H2008" s="12" t="n">
        <x:v>4300000000</x:v>
      </x:c>
      <x:c r="I2008" s="12" t="n">
        <x:v>43000000</x:v>
      </x:c>
      <x:c r="J2008" s="2" t="str">
        <x:v>total</x:v>
      </x:c>
      <x:c r="K2008" s="2" t="str">
        <x:v>top_level_area</x:v>
      </x:c>
      <x:c r="L2008" s="2" t="str">
        <x:v>property_type_inferred_from_title</x:v>
      </x:c>
      <x:c r="M2008" s="10" t="n">
        <x:v>0</x:v>
      </x:c>
      <x:c r="N2008" s="10" t="n">
        <x:v>0</x:v>
      </x:c>
      <x:c r="O2008" s="2" t="str">
        <x:v>Đà Nẵng|land</x:v>
      </x:c>
      <x:c r="P2008" s="10" t="n">
        <x:v>2</x:v>
      </x:c>
      <x:c r="Q2008" s="13" t="n">
        <x:f>IF(H2008="","",H2008/1000000000)</x:f>
        <x:v>4.3</x:v>
      </x:c>
      <x:c r="R2008" s="13" t="n">
        <x:f>IF(I2008="","",I2008/1000000)</x:f>
        <x:v>43</x:v>
      </x:c>
    </x:row>
    <x:row r="2009" ht="21" customHeight="1">
      <x:c r="A2009" s="10" t="n">
        <x:v>2930</x:v>
      </x:c>
      <x:c r="B2009" s="2" t="str">
        <x:v>7168cf4c6751eea2274a</x:v>
      </x:c>
      <x:c r="C2009" s="2" t="str">
        <x:v>Hà Nội</x:v>
      </x:c>
      <x:c r="D2009" s="2" t="str">
        <x:v>Quận Hai Bà Trưng</x:v>
      </x:c>
      <x:c r="E2009" s="2" t="str">
        <x:v>house</x:v>
      </x:c>
      <x:c r="F2009" s="2" t="str">
        <x:v>sale</x:v>
      </x:c>
      <x:c r="G2009" s="11" t="n">
        <x:v>42</x:v>
      </x:c>
      <x:c r="H2009" s="12" t="n">
        <x:v>5500000000</x:v>
      </x:c>
      <x:c r="I2009" s="12" t="n">
        <x:v>130952380.95238096</x:v>
      </x:c>
      <x:c r="J2009" s="2" t="str">
        <x:v>total</x:v>
      </x:c>
      <x:c r="K2009" s="2" t="str">
        <x:v>top_level_area</x:v>
      </x:c>
      <x:c r="L2009" s="2" t="str">
        <x:v>property_type_inferred_from_title</x:v>
      </x:c>
      <x:c r="M2009" s="10" t="n">
        <x:v>0</x:v>
      </x:c>
      <x:c r="N2009" s="10" t="n">
        <x:v>0</x:v>
      </x:c>
      <x:c r="O2009" s="2" t="str">
        <x:v>Hà Nội|house</x:v>
      </x:c>
      <x:c r="P2009" s="10" t="n">
        <x:v>2</x:v>
      </x:c>
      <x:c r="Q2009" s="13" t="n">
        <x:f>IF(H2009="","",H2009/1000000000)</x:f>
        <x:v>5.5</x:v>
      </x:c>
      <x:c r="R2009" s="13" t="n">
        <x:f>IF(I2009="","",I2009/1000000)</x:f>
        <x:v>130.95238095238096</x:v>
      </x:c>
    </x:row>
    <x:row r="2010" ht="21" customHeight="1">
      <x:c r="A2010" s="10" t="n">
        <x:v>2931</x:v>
      </x:c>
      <x:c r="B2010" s="2" t="str">
        <x:v>daa45b8bdb8977c5f28d</x:v>
      </x:c>
      <x:c r="C2010" s="2" t="str">
        <x:v>Tp Hồ Chí Minh</x:v>
      </x:c>
      <x:c r="D2010" s="2" t="str">
        <x:v>Quận Tân Bình</x:v>
      </x:c>
      <x:c r="E2010" s="2" t="str">
        <x:v>house</x:v>
      </x:c>
      <x:c r="F2010" s="2" t="str">
        <x:v>sale_assumed</x:v>
      </x:c>
      <x:c r="G2010" s="11" t="n">
        <x:v>66</x:v>
      </x:c>
      <x:c r="H2010" s="12" t="n">
        <x:v>15000000000</x:v>
      </x:c>
      <x:c r="I2010" s="12" t="n">
        <x:v>227272727.27272728</x:v>
      </x:c>
      <x:c r="J2010" s="2" t="str">
        <x:v>total</x:v>
      </x:c>
      <x:c r="K2010" s="2" t="str">
        <x:v>top_level_area</x:v>
      </x:c>
      <x:c r="L2010" s="2" t="str">
        <x:v>property_type_inferred_from_title;transaction_assumed_sale_from_dataset_context</x:v>
      </x:c>
      <x:c r="M2010" s="10" t="n">
        <x:v>1</x:v>
      </x:c>
      <x:c r="N2010" s="10" t="n">
        <x:v>1</x:v>
      </x:c>
      <x:c r="O2010" s="2" t="str">
        <x:v>Tp Hồ Chí Minh|house</x:v>
      </x:c>
      <x:c r="P2010" s="10" t="n">
        <x:v>-1</x:v>
      </x:c>
      <x:c r="Q2010" s="13" t="n">
        <x:f>IF(H2010="","",H2010/1000000000)</x:f>
        <x:v>15</x:v>
      </x:c>
      <x:c r="R2010" s="13" t="n">
        <x:f>IF(I2010="","",I2010/1000000)</x:f>
        <x:v>227.27272727272728</x:v>
      </x:c>
    </x:row>
    <x:row r="2011" ht="21" customHeight="1">
      <x:c r="A2011" s="10" t="n">
        <x:v>2932</x:v>
      </x:c>
      <x:c r="B2011" s="2" t="str">
        <x:v>71968f36c25e89c88b8f</x:v>
      </x:c>
      <x:c r="C2011" s="2" t="str">
        <x:v>Tp Hồ Chí Minh</x:v>
      </x:c>
      <x:c r="D2011" s="2" t="str">
        <x:v>Huyện Hóc Môn</x:v>
      </x:c>
      <x:c r="E2011" s="2" t="str">
        <x:v>house</x:v>
      </x:c>
      <x:c r="F2011" s="2" t="str">
        <x:v>sale</x:v>
      </x:c>
      <x:c r="G2011" s="11" t="n">
        <x:v>52</x:v>
      </x:c>
      <x:c r="H2011" s="12" t="n">
        <x:v>890000000</x:v>
      </x:c>
      <x:c r="I2011" s="12" t="n">
        <x:v>17115384.615384616</x:v>
      </x:c>
      <x:c r="J2011" s="2" t="str">
        <x:v>total</x:v>
      </x:c>
      <x:c r="K2011" s="2" t="str">
        <x:v>top_level_area</x:v>
      </x:c>
      <x:c r="L2011" s="2" t="str">
        <x:v>property_type_inferred_from_title</x:v>
      </x:c>
      <x:c r="M2011" s="10" t="n">
        <x:v>0</x:v>
      </x:c>
      <x:c r="N2011" s="10" t="n">
        <x:v>0</x:v>
      </x:c>
      <x:c r="O2011" s="2" t="str">
        <x:v>Tp Hồ Chí Minh|house</x:v>
      </x:c>
      <x:c r="P2011" s="10" t="n">
        <x:v>2</x:v>
      </x:c>
      <x:c r="Q2011" s="13" t="n">
        <x:f>IF(H2011="","",H2011/1000000000)</x:f>
        <x:v>0.89</x:v>
      </x:c>
      <x:c r="R2011" s="13" t="n">
        <x:f>IF(I2011="","",I2011/1000000)</x:f>
        <x:v>17.115384615384617</x:v>
      </x:c>
    </x:row>
    <x:row r="2012" ht="21" customHeight="1">
      <x:c r="A2012" s="10" t="n">
        <x:v>2933</x:v>
      </x:c>
      <x:c r="B2012" s="2" t="str">
        <x:v>57e57c37dbebd35ddc37</x:v>
      </x:c>
      <x:c r="C2012" s="2" t="str">
        <x:v>Bà Rịa - Vũng Tàu</x:v>
      </x:c>
      <x:c r="D2012" s="2" t="str">
        <x:v>Huyện Xuyên Mộc</x:v>
      </x:c>
      <x:c r="E2012" s="2" t="str">
        <x:v>land</x:v>
      </x:c>
      <x:c r="F2012" s="2" t="str">
        <x:v>sale</x:v>
      </x:c>
      <x:c r="G2012" s="11" t="n">
        <x:v>252</x:v>
      </x:c>
      <x:c r="H2012" s="12" t="n">
        <x:v>1750000000</x:v>
      </x:c>
      <x:c r="I2012" s="12" t="n">
        <x:v>6944444.444444444</x:v>
      </x:c>
      <x:c r="J2012" s="2" t="str">
        <x:v>total</x:v>
      </x:c>
      <x:c r="K2012" s="2" t="str">
        <x:v>top_level_area</x:v>
      </x:c>
      <x:c r="L2012" s="2" t="str">
        <x:v>property_type_inferred_from_title</x:v>
      </x:c>
      <x:c r="M2012" s="10" t="n">
        <x:v>0</x:v>
      </x:c>
      <x:c r="N2012" s="10" t="n">
        <x:v>0</x:v>
      </x:c>
      <x:c r="O2012" s="2" t="str">
        <x:v>Bà Rịa - Vũng Tàu|land</x:v>
      </x:c>
      <x:c r="P2012" s="10" t="n">
        <x:v>1</x:v>
      </x:c>
      <x:c r="Q2012" s="13" t="n">
        <x:f>IF(H2012="","",H2012/1000000000)</x:f>
        <x:v>1.75</x:v>
      </x:c>
      <x:c r="R2012" s="13" t="n">
        <x:f>IF(I2012="","",I2012/1000000)</x:f>
        <x:v>6.944444444444444</x:v>
      </x:c>
    </x:row>
    <x:row r="2013" ht="21" customHeight="1">
      <x:c r="A2013" s="10" t="n">
        <x:v>2934</x:v>
      </x:c>
      <x:c r="B2013" s="2" t="str">
        <x:v>281686f8f16cdadc6045</x:v>
      </x:c>
      <x:c r="C2013" s="2" t="str">
        <x:v>Tp Hồ Chí Minh</x:v>
      </x:c>
      <x:c r="D2013" s="2" t="str">
        <x:v>Quận Bình Tân</x:v>
      </x:c>
      <x:c r="E2013" s="2" t="str">
        <x:v>land</x:v>
      </x:c>
      <x:c r="F2013" s="2" t="str">
        <x:v>sale_assumed</x:v>
      </x:c>
      <x:c r="G2013" s="11" t="n">
        <x:v>52</x:v>
      </x:c>
      <x:c r="H2013" s="12" t="n">
        <x:v>3700000000</x:v>
      </x:c>
      <x:c r="I2013" s="12" t="n">
        <x:v>71153846.15384616</x:v>
      </x:c>
      <x:c r="J2013" s="2" t="str">
        <x:v>total</x:v>
      </x:c>
      <x:c r="K2013" s="2" t="str">
        <x:v>top_level_area</x:v>
      </x:c>
      <x:c r="L2013" s="2" t="str">
        <x:v>property_type_inferred_from_title;transaction_assumed_sale_from_dataset_context</x:v>
      </x:c>
      <x:c r="M2013" s="10" t="n">
        <x:v>0</x:v>
      </x:c>
      <x:c r="N2013" s="10" t="n">
        <x:v>0</x:v>
      </x:c>
      <x:c r="O2013" s="2" t="str">
        <x:v>Tp Hồ Chí Minh|land</x:v>
      </x:c>
      <x:c r="P2013" s="10" t="n">
        <x:v>2</x:v>
      </x:c>
      <x:c r="Q2013" s="13" t="n">
        <x:f>IF(H2013="","",H2013/1000000000)</x:f>
        <x:v>3.7</x:v>
      </x:c>
      <x:c r="R2013" s="13" t="n">
        <x:f>IF(I2013="","",I2013/1000000)</x:f>
        <x:v>71.15384615384616</x:v>
      </x:c>
    </x:row>
    <x:row r="2014" ht="21" customHeight="1">
      <x:c r="A2014" s="10" t="n">
        <x:v>2935</x:v>
      </x:c>
      <x:c r="B2014" s="2" t="str">
        <x:v>38ba60106906f865fd70</x:v>
      </x:c>
      <x:c r="C2014" s="2" t="str">
        <x:v>Tp Hồ Chí Minh</x:v>
      </x:c>
      <x:c r="D2014" s="2" t="str">
        <x:v>Quận Bình Tân</x:v>
      </x:c>
      <x:c r="E2014" s="2" t="str">
        <x:v>house</x:v>
      </x:c>
      <x:c r="F2014" s="2" t="str">
        <x:v>sale_assumed</x:v>
      </x:c>
      <x:c r="G2014" s="11" t="n">
        <x:v>80</x:v>
      </x:c>
      <x:c r="H2014" s="12" t="n">
        <x:v>7160000000</x:v>
      </x:c>
      <x:c r="I2014" s="12" t="n">
        <x:v>89500000</x:v>
      </x:c>
      <x:c r="J2014" s="2" t="str">
        <x:v>total</x:v>
      </x:c>
      <x:c r="K2014" s="2" t="str">
        <x:v>top_level_area</x:v>
      </x:c>
      <x:c r="L2014" s="2" t="str">
        <x:v>property_type_inferred_from_title;transaction_assumed_sale_from_dataset_context</x:v>
      </x:c>
      <x:c r="M2014" s="10" t="n">
        <x:v>0</x:v>
      </x:c>
      <x:c r="N2014" s="10" t="n">
        <x:v>0</x:v>
      </x:c>
      <x:c r="O2014" s="2" t="str">
        <x:v>Tp Hồ Chí Minh|house</x:v>
      </x:c>
      <x:c r="P2014" s="10" t="n">
        <x:v>2</x:v>
      </x:c>
      <x:c r="Q2014" s="13" t="n">
        <x:f>IF(H2014="","",H2014/1000000000)</x:f>
        <x:v>7.16</x:v>
      </x:c>
      <x:c r="R2014" s="13" t="n">
        <x:f>IF(I2014="","",I2014/1000000)</x:f>
        <x:v>89.5</x:v>
      </x:c>
    </x:row>
    <x:row r="2015" ht="21" customHeight="1">
      <x:c r="A2015" s="10" t="n">
        <x:v>2936</x:v>
      </x:c>
      <x:c r="B2015" s="2" t="str">
        <x:v>f4501ba6d7b42a08517e</x:v>
      </x:c>
      <x:c r="C2015" s="2" t="str">
        <x:v>Tp Hồ Chí Minh</x:v>
      </x:c>
      <x:c r="D2015" s="2" t="str">
        <x:v>Huyện Bình Chánh</x:v>
      </x:c>
      <x:c r="E2015" s="2" t="str">
        <x:v>house</x:v>
      </x:c>
      <x:c r="F2015" s="2" t="str">
        <x:v>sale</x:v>
      </x:c>
      <x:c r="G2015" s="11" t="n">
        <x:v>56</x:v>
      </x:c>
      <x:c r="H2015" s="12" t="n">
        <x:v>780000000</x:v>
      </x:c>
      <x:c r="I2015" s="12" t="n">
        <x:v>13928571.42857143</x:v>
      </x:c>
      <x:c r="J2015" s="2" t="str">
        <x:v>total</x:v>
      </x:c>
      <x:c r="K2015" s="2" t="str">
        <x:v>top_level_area</x:v>
      </x:c>
      <x:c r="L2015" s="2" t="str">
        <x:v>property_type_inferred_from_title</x:v>
      </x:c>
      <x:c r="M2015" s="10" t="n">
        <x:v>0</x:v>
      </x:c>
      <x:c r="N2015" s="10" t="n">
        <x:v>0</x:v>
      </x:c>
      <x:c r="O2015" s="2" t="str">
        <x:v>Tp Hồ Chí Minh|house</x:v>
      </x:c>
      <x:c r="P2015" s="10" t="n">
        <x:v>2</x:v>
      </x:c>
      <x:c r="Q2015" s="13" t="n">
        <x:f>IF(H2015="","",H2015/1000000000)</x:f>
        <x:v>0.78</x:v>
      </x:c>
      <x:c r="R2015" s="13" t="n">
        <x:f>IF(I2015="","",I2015/1000000)</x:f>
        <x:v>13.928571428571429</x:v>
      </x:c>
    </x:row>
    <x:row r="2016" ht="21" customHeight="1">
      <x:c r="A2016" s="10" t="n">
        <x:v>2938</x:v>
      </x:c>
      <x:c r="B2016" s="2" t="str">
        <x:v>5ba379b931b3fbac0a23</x:v>
      </x:c>
      <x:c r="C2016" s="2" t="str">
        <x:v>Bình Dương</x:v>
      </x:c>
      <x:c r="D2016" s="2" t="str">
        <x:v>Thị xã Dĩ An</x:v>
      </x:c>
      <x:c r="E2016" s="2" t="str">
        <x:v>apartment</x:v>
      </x:c>
      <x:c r="F2016" s="2" t="str">
        <x:v>sale_assumed</x:v>
      </x:c>
      <x:c r="G2016" s="11" t="n">
        <x:v>51.33</x:v>
      </x:c>
      <x:c r="H2016" s="12" t="n">
        <x:v>1450000000</x:v>
      </x:c>
      <x:c r="I2016" s="12" t="n">
        <x:v>28248587.570621468</x:v>
      </x:c>
      <x:c r="J2016" s="2" t="str">
        <x:v>total</x:v>
      </x:c>
      <x:c r="K2016" s="2" t="str">
        <x:v>top_level_area</x:v>
      </x:c>
      <x:c r="L2016" s="2" t="str">
        <x:v>property_type_inferred_from_title;transaction_assumed_sale_from_dataset_context</x:v>
      </x:c>
      <x:c r="M2016" s="10" t="n">
        <x:v>0</x:v>
      </x:c>
      <x:c r="N2016" s="10" t="n">
        <x:v>0</x:v>
      </x:c>
      <x:c r="O2016" s="2" t="str">
        <x:v>Bình Dương|apartment</x:v>
      </x:c>
      <x:c r="P2016" s="10" t="n">
        <x:v>2</x:v>
      </x:c>
      <x:c r="Q2016" s="13" t="n">
        <x:f>IF(H2016="","",H2016/1000000000)</x:f>
        <x:v>1.45</x:v>
      </x:c>
      <x:c r="R2016" s="13" t="n">
        <x:f>IF(I2016="","",I2016/1000000)</x:f>
        <x:v>28.248587570621467</x:v>
      </x:c>
    </x:row>
    <x:row r="2017" ht="21" customHeight="1">
      <x:c r="A2017" s="10" t="n">
        <x:v>2939</x:v>
      </x:c>
      <x:c r="B2017" s="2" t="str">
        <x:v>4578e070e095b7c1f350</x:v>
      </x:c>
      <x:c r="C2017" s="2" t="str">
        <x:v>Hà Nội</x:v>
      </x:c>
      <x:c r="D2017" s="2" t="str">
        <x:v>Quận Thanh Xuân</x:v>
      </x:c>
      <x:c r="E2017" s="2" t="str">
        <x:v>other_unknown</x:v>
      </x:c>
      <x:c r="F2017" s="2" t="str">
        <x:v>sale_assumed</x:v>
      </x:c>
      <x:c r="G2017" s="11" t="n">
        <x:v>36</x:v>
      </x:c>
      <x:c r="H2017" s="12" t="n">
        <x:v>4300000000</x:v>
      </x:c>
      <x:c r="I2017" s="12" t="n">
        <x:v>119444444.44444445</x:v>
      </x:c>
      <x:c r="J2017" s="2" t="str">
        <x:v>total</x:v>
      </x:c>
      <x:c r="K2017" s="2" t="str">
        <x:v>top_level_area</x:v>
      </x:c>
      <x:c r="L2017" s="2" t="str">
        <x:v>property_type_inferred_from_title;transaction_assumed_sale_from_dataset_context;unknown_property_type</x:v>
      </x:c>
      <x:c r="M2017" s="10" t="n">
        <x:v>0</x:v>
      </x:c>
      <x:c r="N2017" s="10" t="n">
        <x:v>0</x:v>
      </x:c>
      <x:c r="O2017" s="2" t="str">
        <x:v>Hà Nội|other_unknown</x:v>
      </x:c>
      <x:c r="P2017" s="10" t="n">
        <x:v>2</x:v>
      </x:c>
      <x:c r="Q2017" s="13" t="n">
        <x:f>IF(H2017="","",H2017/1000000000)</x:f>
        <x:v>4.3</x:v>
      </x:c>
      <x:c r="R2017" s="13" t="n">
        <x:f>IF(I2017="","",I2017/1000000)</x:f>
        <x:v>119.44444444444444</x:v>
      </x:c>
    </x:row>
    <x:row r="2018" ht="21" customHeight="1">
      <x:c r="A2018" s="10" t="n">
        <x:v>2940</x:v>
      </x:c>
      <x:c r="B2018" s="2" t="str">
        <x:v>b99c4aecff8affd4115b</x:v>
      </x:c>
      <x:c r="C2018" s="2" t="str">
        <x:v>Lâm Đồng</x:v>
      </x:c>
      <x:c r="D2018" s="2" t="str">
        <x:v>Thành phố Đà Lạt</x:v>
      </x:c>
      <x:c r="E2018" s="2" t="str">
        <x:v>house</x:v>
      </x:c>
      <x:c r="F2018" s="2" t="str">
        <x:v>sale</x:v>
      </x:c>
      <x:c r="G2018" s="11" t="n">
        <x:v>74</x:v>
      </x:c>
      <x:c r="H2018" s="12" t="n">
        <x:v>6100000000</x:v>
      </x:c>
      <x:c r="I2018" s="12" t="n">
        <x:v>82432432.43243243</x:v>
      </x:c>
      <x:c r="J2018" s="2" t="str">
        <x:v>total</x:v>
      </x:c>
      <x:c r="K2018" s="2" t="str">
        <x:v>top_level_area</x:v>
      </x:c>
      <x:c r="L2018" s="2" t="str">
        <x:v>property_type_inferred_from_title</x:v>
      </x:c>
      <x:c r="M2018" s="10" t="n">
        <x:v>0</x:v>
      </x:c>
      <x:c r="N2018" s="10" t="n">
        <x:v>0</x:v>
      </x:c>
      <x:c r="O2018" s="2" t="str">
        <x:v>house</x:v>
      </x:c>
      <x:c r="P2018" s="10" t="n">
        <x:v>2</x:v>
      </x:c>
      <x:c r="Q2018" s="13" t="n">
        <x:f>IF(H2018="","",H2018/1000000000)</x:f>
        <x:v>6.1</x:v>
      </x:c>
      <x:c r="R2018" s="13" t="n">
        <x:f>IF(I2018="","",I2018/1000000)</x:f>
        <x:v>82.43243243243242</x:v>
      </x:c>
    </x:row>
    <x:row r="2019" ht="21" customHeight="1">
      <x:c r="A2019" s="10" t="n">
        <x:v>2941</x:v>
      </x:c>
      <x:c r="B2019" s="2" t="str">
        <x:v>6efba12d1894a1830e03</x:v>
      </x:c>
      <x:c r="C2019" s="2" t="str">
        <x:v>Tp Hồ Chí Minh</x:v>
      </x:c>
      <x:c r="D2019" s="2" t="str">
        <x:v>Quận 10</x:v>
      </x:c>
      <x:c r="E2019" s="2" t="str">
        <x:v>house</x:v>
      </x:c>
      <x:c r="F2019" s="2" t="str">
        <x:v>sale</x:v>
      </x:c>
      <x:c r="G2019" s="11" t="n">
        <x:v>72</x:v>
      </x:c>
      <x:c r="H2019" s="12" t="n">
        <x:v>19000000000</x:v>
      </x:c>
      <x:c r="I2019" s="12" t="n">
        <x:v>263888888.8888889</x:v>
      </x:c>
      <x:c r="J2019" s="2" t="str">
        <x:v>total</x:v>
      </x:c>
      <x:c r="K2019" s="2" t="str">
        <x:v>top_level_area</x:v>
      </x:c>
      <x:c r="L2019" s="2" t="str">
        <x:v>property_type_inferred_from_title</x:v>
      </x:c>
      <x:c r="M2019" s="10" t="n">
        <x:v>1</x:v>
      </x:c>
      <x:c r="N2019" s="10" t="n">
        <x:v>1</x:v>
      </x:c>
      <x:c r="O2019" s="2" t="str">
        <x:v>Tp Hồ Chí Minh|house</x:v>
      </x:c>
      <x:c r="P2019" s="10" t="n">
        <x:v>-1</x:v>
      </x:c>
      <x:c r="Q2019" s="13" t="n">
        <x:f>IF(H2019="","",H2019/1000000000)</x:f>
        <x:v>19</x:v>
      </x:c>
      <x:c r="R2019" s="13" t="n">
        <x:f>IF(I2019="","",I2019/1000000)</x:f>
        <x:v>263.8888888888889</x:v>
      </x:c>
    </x:row>
    <x:row r="2020" ht="21" customHeight="1">
      <x:c r="A2020" s="10" t="n">
        <x:v>2942</x:v>
      </x:c>
      <x:c r="B2020" s="2" t="str">
        <x:v>f3fcc66e9efd8daee140</x:v>
      </x:c>
      <x:c r="C2020" s="2" t="str">
        <x:v>Tp Hồ Chí Minh</x:v>
      </x:c>
      <x:c r="D2020" s="2" t="str">
        <x:v>Quận Bình Thạnh</x:v>
      </x:c>
      <x:c r="E2020" s="2" t="str">
        <x:v>other_unknown</x:v>
      </x:c>
      <x:c r="F2020" s="2" t="str">
        <x:v>sale_assumed</x:v>
      </x:c>
      <x:c r="G2020" s="11" t="n">
        <x:v>160</x:v>
      </x:c>
      <x:c r="H2020" s="12" t="n">
        <x:v>1800000000</x:v>
      </x:c>
      <x:c r="I2020" s="12" t="n">
        <x:v>11250000</x:v>
      </x:c>
      <x:c r="J2020" s="2" t="str">
        <x:v>total</x:v>
      </x:c>
      <x:c r="K2020" s="2" t="str">
        <x:v>top_level_area</x:v>
      </x:c>
      <x:c r="L2020" s="2" t="str">
        <x:v>property_type_inferred_from_title;transaction_assumed_sale_from_dataset_context;unknown_property_type</x:v>
      </x:c>
      <x:c r="M2020" s="10" t="n">
        <x:v>0</x:v>
      </x:c>
      <x:c r="N2020" s="10" t="n">
        <x:v>0</x:v>
      </x:c>
      <x:c r="O2020" s="2" t="str">
        <x:v>Tp Hồ Chí Minh|other_unknown</x:v>
      </x:c>
      <x:c r="P2020" s="10" t="n">
        <x:v>2</x:v>
      </x:c>
      <x:c r="Q2020" s="13" t="n">
        <x:f>IF(H2020="","",H2020/1000000000)</x:f>
        <x:v>1.8</x:v>
      </x:c>
      <x:c r="R2020" s="13" t="n">
        <x:f>IF(I2020="","",I2020/1000000)</x:f>
        <x:v>11.25</x:v>
      </x:c>
    </x:row>
    <x:row r="2021" ht="21" customHeight="1">
      <x:c r="A2021" s="10" t="n">
        <x:v>2945</x:v>
      </x:c>
      <x:c r="B2021" s="2" t="str">
        <x:v>1787be6d7ba06a354c2f</x:v>
      </x:c>
      <x:c r="C2021" s="2" t="str">
        <x:v>Hà Nội</x:v>
      </x:c>
      <x:c r="D2021" s="2" t="str">
        <x:v>Quận Ba Đình</x:v>
      </x:c>
      <x:c r="E2021" s="2" t="str">
        <x:v>house</x:v>
      </x:c>
      <x:c r="F2021" s="2" t="str">
        <x:v>sale_assumed</x:v>
      </x:c>
      <x:c r="G2021" s="11" t="n">
        <x:v>62</x:v>
      </x:c>
      <x:c r="H2021" s="12" t="n">
        <x:v>4400000000</x:v>
      </x:c>
      <x:c r="I2021" s="12" t="n">
        <x:v>70967741.93548387</x:v>
      </x:c>
      <x:c r="J2021" s="2" t="str">
        <x:v>total</x:v>
      </x:c>
      <x:c r="K2021" s="2" t="str">
        <x:v>top_level_area</x:v>
      </x:c>
      <x:c r="L2021" s="2" t="str">
        <x:v>property_type_inferred_from_title;transaction_assumed_sale_from_dataset_context</x:v>
      </x:c>
      <x:c r="M2021" s="10" t="n">
        <x:v>0</x:v>
      </x:c>
      <x:c r="N2021" s="10" t="n">
        <x:v>0</x:v>
      </x:c>
      <x:c r="O2021" s="2" t="str">
        <x:v>Hà Nội|house</x:v>
      </x:c>
      <x:c r="P2021" s="10" t="n">
        <x:v>2</x:v>
      </x:c>
      <x:c r="Q2021" s="13" t="n">
        <x:f>IF(H2021="","",H2021/1000000000)</x:f>
        <x:v>4.4</x:v>
      </x:c>
      <x:c r="R2021" s="13" t="n">
        <x:f>IF(I2021="","",I2021/1000000)</x:f>
        <x:v>70.96774193548387</x:v>
      </x:c>
    </x:row>
    <x:row r="2022" ht="21" customHeight="1">
      <x:c r="A2022" s="10" t="n">
        <x:v>2946</x:v>
      </x:c>
      <x:c r="B2022" s="2" t="str">
        <x:v>7d88486f2243e14c1b29</x:v>
      </x:c>
      <x:c r="C2022" s="2" t="str">
        <x:v>Tp Hồ Chí Minh</x:v>
      </x:c>
      <x:c r="D2022" s="2" t="str">
        <x:v>Quận 12</x:v>
      </x:c>
      <x:c r="E2022" s="2" t="str">
        <x:v>land</x:v>
      </x:c>
      <x:c r="F2022" s="2" t="str">
        <x:v>sale_assumed</x:v>
      </x:c>
      <x:c r="G2022" s="11" t="n">
        <x:v>609</x:v>
      </x:c>
      <x:c r="H2022" s="12" t="n">
        <x:v>6000000000</x:v>
      </x:c>
      <x:c r="I2022" s="12" t="n">
        <x:v>9852216.748768473</x:v>
      </x:c>
      <x:c r="J2022" s="2" t="str">
        <x:v>total</x:v>
      </x:c>
      <x:c r="K2022" s="2" t="str">
        <x:v>top_level_area</x:v>
      </x:c>
      <x:c r="L2022" s="2" t="str">
        <x:v>property_type_inferred_from_title;transaction_assumed_sale_from_dataset_context</x:v>
      </x:c>
      <x:c r="M2022" s="10" t="n">
        <x:v>0</x:v>
      </x:c>
      <x:c r="N2022" s="10" t="n">
        <x:v>0</x:v>
      </x:c>
      <x:c r="O2022" s="2" t="str">
        <x:v>Tp Hồ Chí Minh|land</x:v>
      </x:c>
      <x:c r="P2022" s="10" t="n">
        <x:v>1</x:v>
      </x:c>
      <x:c r="Q2022" s="13" t="n">
        <x:f>IF(H2022="","",H2022/1000000000)</x:f>
        <x:v>6</x:v>
      </x:c>
      <x:c r="R2022" s="13" t="n">
        <x:f>IF(I2022="","",I2022/1000000)</x:f>
        <x:v>9.852216748768473</x:v>
      </x:c>
    </x:row>
    <x:row r="2023" ht="21" customHeight="1">
      <x:c r="A2023" s="10" t="n">
        <x:v>2947</x:v>
      </x:c>
      <x:c r="B2023" s="2" t="str">
        <x:v>4bc586fd6932f4143a24</x:v>
      </x:c>
      <x:c r="C2023" s="2" t="str">
        <x:v>Hà Nội</x:v>
      </x:c>
      <x:c r="D2023" s="2" t="str">
        <x:v>Quận Đống Đa</x:v>
      </x:c>
      <x:c r="E2023" s="2" t="str">
        <x:v>house</x:v>
      </x:c>
      <x:c r="F2023" s="2" t="str">
        <x:v>sale_assumed</x:v>
      </x:c>
      <x:c r="G2023" s="11" t="n">
        <x:v>42</x:v>
      </x:c>
      <x:c r="H2023" s="12" t="n">
        <x:v>8199999999.999999</x:v>
      </x:c>
      <x:c r="I2023" s="12" t="n">
        <x:v>195238095.23809522</x:v>
      </x:c>
      <x:c r="J2023" s="2" t="str">
        <x:v>total</x:v>
      </x:c>
      <x:c r="K2023" s="2" t="str">
        <x:v>top_level_area</x:v>
      </x:c>
      <x:c r="L2023" s="2" t="str">
        <x:v>property_type_inferred_from_title;transaction_assumed_sale_from_dataset_context</x:v>
      </x:c>
      <x:c r="M2023" s="10" t="n">
        <x:v>1</x:v>
      </x:c>
      <x:c r="N2023" s="10" t="n">
        <x:v>1</x:v>
      </x:c>
      <x:c r="O2023" s="2" t="str">
        <x:v>Hà Nội|house</x:v>
      </x:c>
      <x:c r="P2023" s="10" t="n">
        <x:v>-1</x:v>
      </x:c>
      <x:c r="Q2023" s="13" t="n">
        <x:f>IF(H2023="","",H2023/1000000000)</x:f>
        <x:v>8.2</x:v>
      </x:c>
      <x:c r="R2023" s="13" t="n">
        <x:f>IF(I2023="","",I2023/1000000)</x:f>
        <x:v>195.2380952380952</x:v>
      </x:c>
    </x:row>
    <x:row r="2024" ht="21" customHeight="1">
      <x:c r="A2024" s="10" t="n">
        <x:v>2948</x:v>
      </x:c>
      <x:c r="B2024" s="2" t="str">
        <x:v>3e99d493bdd888c00dcc</x:v>
      </x:c>
      <x:c r="C2024" s="2" t="str">
        <x:v>Bình Dương</x:v>
      </x:c>
      <x:c r="D2024" s="2" t="str">
        <x:v>Thị xã Thuận An</x:v>
      </x:c>
      <x:c r="E2024" s="2" t="str">
        <x:v>house</x:v>
      </x:c>
      <x:c r="F2024" s="2" t="str">
        <x:v>sale_assumed</x:v>
      </x:c>
      <x:c r="G2024" s="11" t="n">
        <x:v>32</x:v>
      </x:c>
      <x:c r="H2024" s="12" t="n">
        <x:v>750000000</x:v>
      </x:c>
      <x:c r="I2024" s="12" t="n">
        <x:v>23437500</x:v>
      </x:c>
      <x:c r="J2024" s="2" t="str">
        <x:v>total</x:v>
      </x:c>
      <x:c r="K2024" s="2" t="str">
        <x:v>top_level_area</x:v>
      </x:c>
      <x:c r="L2024" s="2" t="str">
        <x:v>property_type_inferred_from_title;transaction_assumed_sale_from_dataset_context</x:v>
      </x:c>
      <x:c r="M2024" s="10" t="n">
        <x:v>0</x:v>
      </x:c>
      <x:c r="N2024" s="10" t="n">
        <x:v>0</x:v>
      </x:c>
      <x:c r="O2024" s="2" t="str">
        <x:v>Bình Dương|house</x:v>
      </x:c>
      <x:c r="P2024" s="10" t="n">
        <x:v>2</x:v>
      </x:c>
      <x:c r="Q2024" s="13" t="n">
        <x:f>IF(H2024="","",H2024/1000000000)</x:f>
        <x:v>0.75</x:v>
      </x:c>
      <x:c r="R2024" s="13" t="n">
        <x:f>IF(I2024="","",I2024/1000000)</x:f>
        <x:v>23.4375</x:v>
      </x:c>
    </x:row>
    <x:row r="2025" ht="21" customHeight="1">
      <x:c r="A2025" s="10" t="n">
        <x:v>2949</x:v>
      </x:c>
      <x:c r="B2025" s="2" t="str">
        <x:v>736f215a405ea098a6c3</x:v>
      </x:c>
      <x:c r="C2025" s="2" t="str">
        <x:v>Tp Hồ Chí Minh</x:v>
      </x:c>
      <x:c r="D2025" s="2" t="str">
        <x:v>Quận Tân Phú</x:v>
      </x:c>
      <x:c r="E2025" s="2" t="str">
        <x:v>house</x:v>
      </x:c>
      <x:c r="F2025" s="2" t="str">
        <x:v>sale</x:v>
      </x:c>
      <x:c r="G2025" s="11" t="n">
        <x:v>52</x:v>
      </x:c>
      <x:c r="H2025" s="12" t="n">
        <x:v>3500000000</x:v>
      </x:c>
      <x:c r="I2025" s="12" t="n">
        <x:v>67307692.3076923</x:v>
      </x:c>
      <x:c r="J2025" s="2" t="str">
        <x:v>total</x:v>
      </x:c>
      <x:c r="K2025" s="2" t="str">
        <x:v>top_level_area</x:v>
      </x:c>
      <x:c r="L2025" s="2" t="str">
        <x:v>property_type_inferred_from_title</x:v>
      </x:c>
      <x:c r="M2025" s="10" t="n">
        <x:v>0</x:v>
      </x:c>
      <x:c r="N2025" s="10" t="n">
        <x:v>0</x:v>
      </x:c>
      <x:c r="O2025" s="2" t="str">
        <x:v>Tp Hồ Chí Minh|house</x:v>
      </x:c>
      <x:c r="P2025" s="10" t="n">
        <x:v>2</x:v>
      </x:c>
      <x:c r="Q2025" s="13" t="n">
        <x:f>IF(H2025="","",H2025/1000000000)</x:f>
        <x:v>3.5</x:v>
      </x:c>
      <x:c r="R2025" s="13" t="n">
        <x:f>IF(I2025="","",I2025/1000000)</x:f>
        <x:v>67.3076923076923</x:v>
      </x:c>
    </x:row>
    <x:row r="2026" ht="21" customHeight="1">
      <x:c r="A2026" s="10" t="n">
        <x:v>2950</x:v>
      </x:c>
      <x:c r="B2026" s="2" t="str">
        <x:v>13668938347a334f49fb</x:v>
      </x:c>
      <x:c r="C2026" s="2" t="str">
        <x:v>Tp Hồ Chí Minh</x:v>
      </x:c>
      <x:c r="D2026" s="2" t="str">
        <x:v>Huyện Hóc Môn</x:v>
      </x:c>
      <x:c r="E2026" s="2" t="str">
        <x:v>house</x:v>
      </x:c>
      <x:c r="F2026" s="2" t="str">
        <x:v>sale_assumed</x:v>
      </x:c>
      <x:c r="G2026" s="11" t="n">
        <x:v>18</x:v>
      </x:c>
      <x:c r="H2026" s="12" t="n">
        <x:v>830000000</x:v>
      </x:c>
      <x:c r="I2026" s="12" t="n">
        <x:v>46111111.11111111</x:v>
      </x:c>
      <x:c r="J2026" s="2" t="str">
        <x:v>total</x:v>
      </x:c>
      <x:c r="K2026" s="2" t="str">
        <x:v>top_level_area</x:v>
      </x:c>
      <x:c r="L2026" s="2" t="str">
        <x:v>property_type_inferred_from_title;transaction_assumed_sale_from_dataset_context</x:v>
      </x:c>
      <x:c r="M2026" s="10" t="n">
        <x:v>0</x:v>
      </x:c>
      <x:c r="N2026" s="10" t="n">
        <x:v>0</x:v>
      </x:c>
      <x:c r="O2026" s="2" t="str">
        <x:v>Tp Hồ Chí Minh|house</x:v>
      </x:c>
      <x:c r="P2026" s="10" t="n">
        <x:v>2</x:v>
      </x:c>
      <x:c r="Q2026" s="13" t="n">
        <x:f>IF(H2026="","",H2026/1000000000)</x:f>
        <x:v>0.83</x:v>
      </x:c>
      <x:c r="R2026" s="13" t="n">
        <x:f>IF(I2026="","",I2026/1000000)</x:f>
        <x:v>46.111111111111114</x:v>
      </x:c>
    </x:row>
    <x:row r="2027" ht="21" customHeight="1">
      <x:c r="A2027" s="10" t="n">
        <x:v>2951</x:v>
      </x:c>
      <x:c r="B2027" s="2" t="str">
        <x:v>60d86d23deeed986f54d</x:v>
      </x:c>
      <x:c r="C2027" s="2" t="str">
        <x:v>Hà Nội</x:v>
      </x:c>
      <x:c r="D2027" s="2" t="str">
        <x:v>Quận Tây Hồ</x:v>
      </x:c>
      <x:c r="E2027" s="2" t="str">
        <x:v>house</x:v>
      </x:c>
      <x:c r="F2027" s="2" t="str">
        <x:v>sale</x:v>
      </x:c>
      <x:c r="G2027" s="11" t="n">
        <x:v>32</x:v>
      </x:c>
      <x:c r="H2027" s="12" t="n">
        <x:v>3950000000</x:v>
      </x:c>
      <x:c r="I2027" s="12" t="n">
        <x:v>123437500</x:v>
      </x:c>
      <x:c r="J2027" s="2" t="str">
        <x:v>total</x:v>
      </x:c>
      <x:c r="K2027" s="2" t="str">
        <x:v>top_level_area</x:v>
      </x:c>
      <x:c r="L2027" s="2" t="str">
        <x:v>property_type_inferred_from_title</x:v>
      </x:c>
      <x:c r="M2027" s="10" t="n">
        <x:v>0</x:v>
      </x:c>
      <x:c r="N2027" s="10" t="n">
        <x:v>0</x:v>
      </x:c>
      <x:c r="O2027" s="2" t="str">
        <x:v>Hà Nội|house</x:v>
      </x:c>
      <x:c r="P2027" s="10" t="n">
        <x:v>2</x:v>
      </x:c>
      <x:c r="Q2027" s="13" t="n">
        <x:f>IF(H2027="","",H2027/1000000000)</x:f>
        <x:v>3.95</x:v>
      </x:c>
      <x:c r="R2027" s="13" t="n">
        <x:f>IF(I2027="","",I2027/1000000)</x:f>
        <x:v>123.4375</x:v>
      </x:c>
    </x:row>
    <x:row r="2028" ht="21" customHeight="1">
      <x:c r="A2028" s="10" t="n">
        <x:v>2952</x:v>
      </x:c>
      <x:c r="B2028" s="2" t="str">
        <x:v>fef0302c3e9cddac594d</x:v>
      </x:c>
      <x:c r="C2028" s="2" t="str">
        <x:v>Tp Hồ Chí Minh</x:v>
      </x:c>
      <x:c r="D2028" s="2" t="str">
        <x:v>Quận 12</x:v>
      </x:c>
      <x:c r="E2028" s="2" t="str">
        <x:v>other_unknown</x:v>
      </x:c>
      <x:c r="F2028" s="2" t="str">
        <x:v>sale_assumed</x:v>
      </x:c>
      <x:c r="G2028" s="11" t="n">
        <x:v>100</x:v>
      </x:c>
      <x:c r="H2028" s="12" t="n">
        <x:v>579000000</x:v>
      </x:c>
      <x:c r="I2028" s="12" t="n">
        <x:v>5790000</x:v>
      </x:c>
      <x:c r="J2028" s="2" t="str">
        <x:v>total</x:v>
      </x:c>
      <x:c r="K2028" s="2" t="str">
        <x:v>top_level_area</x:v>
      </x:c>
      <x:c r="L2028" s="2" t="str">
        <x:v>property_type_inferred_from_title;transaction_assumed_sale_from_dataset_context;unknown_property_type</x:v>
      </x:c>
      <x:c r="M2028" s="10" t="n">
        <x:v>0</x:v>
      </x:c>
      <x:c r="N2028" s="10" t="n">
        <x:v>0</x:v>
      </x:c>
      <x:c r="O2028" s="2" t="str">
        <x:v>Tp Hồ Chí Minh|other_unknown</x:v>
      </x:c>
      <x:c r="P2028" s="10" t="n">
        <x:v>2</x:v>
      </x:c>
      <x:c r="Q2028" s="13" t="n">
        <x:f>IF(H2028="","",H2028/1000000000)</x:f>
        <x:v>0.579</x:v>
      </x:c>
      <x:c r="R2028" s="13" t="n">
        <x:f>IF(I2028="","",I2028/1000000)</x:f>
        <x:v>5.79</x:v>
      </x:c>
    </x:row>
    <x:row r="2029" ht="21" customHeight="1">
      <x:c r="A2029" s="10" t="n">
        <x:v>2953</x:v>
      </x:c>
      <x:c r="B2029" s="2" t="str">
        <x:v>e88c5705869e0828afff</x:v>
      </x:c>
      <x:c r="C2029" s="2" t="str">
        <x:v>Hà Nội</x:v>
      </x:c>
      <x:c r="D2029" s="2" t="str">
        <x:v>Quận Hà Đông</x:v>
      </x:c>
      <x:c r="E2029" s="2" t="str">
        <x:v>house</x:v>
      </x:c>
      <x:c r="F2029" s="2" t="str">
        <x:v>sale_assumed</x:v>
      </x:c>
      <x:c r="G2029" s="11" t="n">
        <x:v>41</x:v>
      </x:c>
      <x:c r="H2029" s="12" t="n">
        <x:v>4550000000</x:v>
      </x:c>
      <x:c r="I2029" s="12" t="n">
        <x:v>110975609.75609756</x:v>
      </x:c>
      <x:c r="J2029" s="2" t="str">
        <x:v>total</x:v>
      </x:c>
      <x:c r="K2029" s="2" t="str">
        <x:v>top_level_area</x:v>
      </x:c>
      <x:c r="L2029" s="2" t="str">
        <x:v>property_type_inferred_from_title;transaction_assumed_sale_from_dataset_context</x:v>
      </x:c>
      <x:c r="M2029" s="10" t="n">
        <x:v>0</x:v>
      </x:c>
      <x:c r="N2029" s="10" t="n">
        <x:v>0</x:v>
      </x:c>
      <x:c r="O2029" s="2" t="str">
        <x:v>Hà Nội|house</x:v>
      </x:c>
      <x:c r="P2029" s="10" t="n">
        <x:v>2</x:v>
      </x:c>
      <x:c r="Q2029" s="13" t="n">
        <x:f>IF(H2029="","",H2029/1000000000)</x:f>
        <x:v>4.55</x:v>
      </x:c>
      <x:c r="R2029" s="13" t="n">
        <x:f>IF(I2029="","",I2029/1000000)</x:f>
        <x:v>110.97560975609755</x:v>
      </x:c>
    </x:row>
    <x:row r="2030" ht="21" customHeight="1">
      <x:c r="A2030" s="10" t="n">
        <x:v>2954</x:v>
      </x:c>
      <x:c r="B2030" s="2" t="str">
        <x:v>2ae25c557fd0306530c1</x:v>
      </x:c>
      <x:c r="C2030" s="2" t="str">
        <x:v>Hà Nội</x:v>
      </x:c>
      <x:c r="D2030" s="2" t="str">
        <x:v>Quận Hai Bà Trưng</x:v>
      </x:c>
      <x:c r="E2030" s="2" t="str">
        <x:v>house</x:v>
      </x:c>
      <x:c r="F2030" s="2" t="str">
        <x:v>sale</x:v>
      </x:c>
      <x:c r="G2030" s="11" t="n">
        <x:v>50</x:v>
      </x:c>
      <x:c r="H2030" s="12" t="n">
        <x:v>5700000000</x:v>
      </x:c>
      <x:c r="I2030" s="12" t="n">
        <x:v>114000000</x:v>
      </x:c>
      <x:c r="J2030" s="2" t="str">
        <x:v>total</x:v>
      </x:c>
      <x:c r="K2030" s="2" t="str">
        <x:v>top_level_area</x:v>
      </x:c>
      <x:c r="L2030" s="2" t="str">
        <x:v>property_type_inferred_from_title</x:v>
      </x:c>
      <x:c r="M2030" s="10" t="n">
        <x:v>0</x:v>
      </x:c>
      <x:c r="N2030" s="10" t="n">
        <x:v>0</x:v>
      </x:c>
      <x:c r="O2030" s="2" t="str">
        <x:v>Hà Nội|house</x:v>
      </x:c>
      <x:c r="P2030" s="10" t="n">
        <x:v>2</x:v>
      </x:c>
      <x:c r="Q2030" s="13" t="n">
        <x:f>IF(H2030="","",H2030/1000000000)</x:f>
        <x:v>5.7</x:v>
      </x:c>
      <x:c r="R2030" s="13" t="n">
        <x:f>IF(I2030="","",I2030/1000000)</x:f>
        <x:v>114</x:v>
      </x:c>
    </x:row>
    <x:row r="2031" ht="21" customHeight="1">
      <x:c r="A2031" s="10" t="n">
        <x:v>2955</x:v>
      </x:c>
      <x:c r="B2031" s="2" t="str">
        <x:v>ec396ba00fa8d8748243</x:v>
      </x:c>
      <x:c r="C2031" s="2" t="str">
        <x:v>Tp Hồ Chí Minh</x:v>
      </x:c>
      <x:c r="D2031" s="2" t="str">
        <x:v>Quận 4</x:v>
      </x:c>
      <x:c r="E2031" s="2" t="str">
        <x:v>house</x:v>
      </x:c>
      <x:c r="F2031" s="2" t="str">
        <x:v>sale</x:v>
      </x:c>
      <x:c r="G2031" s="11" t="n">
        <x:v>70</x:v>
      </x:c>
      <x:c r="H2031" s="12" t="n">
        <x:v>1800000000</x:v>
      </x:c>
      <x:c r="I2031" s="12" t="n">
        <x:v>25714285.714285713</x:v>
      </x:c>
      <x:c r="J2031" s="2" t="str">
        <x:v>total</x:v>
      </x:c>
      <x:c r="K2031" s="2" t="str">
        <x:v>top_level_area</x:v>
      </x:c>
      <x:c r="L2031" s="2" t="str">
        <x:v>property_type_inferred_from_title</x:v>
      </x:c>
      <x:c r="M2031" s="10" t="n">
        <x:v>0</x:v>
      </x:c>
      <x:c r="N2031" s="10" t="n">
        <x:v>0</x:v>
      </x:c>
      <x:c r="O2031" s="2" t="str">
        <x:v>Tp Hồ Chí Minh|house</x:v>
      </x:c>
      <x:c r="P2031" s="10" t="n">
        <x:v>2</x:v>
      </x:c>
      <x:c r="Q2031" s="13" t="n">
        <x:f>IF(H2031="","",H2031/1000000000)</x:f>
        <x:v>1.8</x:v>
      </x:c>
      <x:c r="R2031" s="13" t="n">
        <x:f>IF(I2031="","",I2031/1000000)</x:f>
        <x:v>25.71428571428571</x:v>
      </x:c>
    </x:row>
    <x:row r="2032" ht="21" customHeight="1">
      <x:c r="A2032" s="10" t="n">
        <x:v>2956</x:v>
      </x:c>
      <x:c r="B2032" s="2" t="str">
        <x:v>ab704e0c8cab5c385f7e</x:v>
      </x:c>
      <x:c r="C2032" s="2" t="str">
        <x:v>Tp Hồ Chí Minh</x:v>
      </x:c>
      <x:c r="D2032" s="2" t="str">
        <x:v>Quận 8</x:v>
      </x:c>
      <x:c r="E2032" s="2" t="str">
        <x:v>house</x:v>
      </x:c>
      <x:c r="F2032" s="2" t="str">
        <x:v>sale</x:v>
      </x:c>
      <x:c r="G2032" s="11" t="n">
        <x:v>32</x:v>
      </x:c>
      <x:c r="H2032" s="12" t="n">
        <x:v>2049999999.9999998</x:v>
      </x:c>
      <x:c r="I2032" s="12" t="n">
        <x:v>64062499.99999999</x:v>
      </x:c>
      <x:c r="J2032" s="2" t="str">
        <x:v>total</x:v>
      </x:c>
      <x:c r="K2032" s="2" t="str">
        <x:v>top_level_area</x:v>
      </x:c>
      <x:c r="L2032" s="2" t="str">
        <x:v>property_type_inferred_from_title</x:v>
      </x:c>
      <x:c r="M2032" s="10" t="n">
        <x:v>0</x:v>
      </x:c>
      <x:c r="N2032" s="10" t="n">
        <x:v>0</x:v>
      </x:c>
      <x:c r="O2032" s="2" t="str">
        <x:v>Tp Hồ Chí Minh|house</x:v>
      </x:c>
      <x:c r="P2032" s="10" t="n">
        <x:v>2</x:v>
      </x:c>
      <x:c r="Q2032" s="13" t="n">
        <x:f>IF(H2032="","",H2032/1000000000)</x:f>
        <x:v>2.05</x:v>
      </x:c>
      <x:c r="R2032" s="13" t="n">
        <x:f>IF(I2032="","",I2032/1000000)</x:f>
        <x:v>64.06249999999999</x:v>
      </x:c>
    </x:row>
    <x:row r="2033" ht="21" customHeight="1">
      <x:c r="A2033" s="10" t="n">
        <x:v>2957</x:v>
      </x:c>
      <x:c r="B2033" s="2" t="str">
        <x:v>9066a6a824454c942434</x:v>
      </x:c>
      <x:c r="C2033" s="2" t="str">
        <x:v>Tp Hồ Chí Minh</x:v>
      </x:c>
      <x:c r="D2033" s="2" t="str">
        <x:v>Quận 9</x:v>
      </x:c>
      <x:c r="E2033" s="2" t="str">
        <x:v>land</x:v>
      </x:c>
      <x:c r="F2033" s="2" t="str">
        <x:v>sale</x:v>
      </x:c>
      <x:c r="G2033" s="11" t="n">
        <x:v>150</x:v>
      </x:c>
      <x:c r="H2033" s="12" t="n">
        <x:v>950000000</x:v>
      </x:c>
      <x:c r="I2033" s="12" t="n">
        <x:v>6333333.333333333</x:v>
      </x:c>
      <x:c r="J2033" s="2" t="str">
        <x:v>total</x:v>
      </x:c>
      <x:c r="K2033" s="2" t="str">
        <x:v>top_level_area</x:v>
      </x:c>
      <x:c r="L2033" s="2" t="str">
        <x:v>property_type_inferred_from_title</x:v>
      </x:c>
      <x:c r="M2033" s="10" t="n">
        <x:v>0</x:v>
      </x:c>
      <x:c r="N2033" s="10" t="n">
        <x:v>0</x:v>
      </x:c>
      <x:c r="O2033" s="2" t="str">
        <x:v>Tp Hồ Chí Minh|land</x:v>
      </x:c>
      <x:c r="P2033" s="10" t="n">
        <x:v>2</x:v>
      </x:c>
      <x:c r="Q2033" s="13" t="n">
        <x:f>IF(H2033="","",H2033/1000000000)</x:f>
        <x:v>0.95</x:v>
      </x:c>
      <x:c r="R2033" s="13" t="n">
        <x:f>IF(I2033="","",I2033/1000000)</x:f>
        <x:v>6.333333333333333</x:v>
      </x:c>
    </x:row>
    <x:row r="2034" ht="21" customHeight="1">
      <x:c r="A2034" s="10" t="n">
        <x:v>2958</x:v>
      </x:c>
      <x:c r="B2034" s="2" t="str">
        <x:v>bf2fec5441e9a7bbf98b</x:v>
      </x:c>
      <x:c r="C2034" s="2" t="str">
        <x:v>Bình Phước</x:v>
      </x:c>
      <x:c r="D2034" s="2" t="str">
        <x:v>Huyện Đồng Phú</x:v>
      </x:c>
      <x:c r="E2034" s="2" t="str">
        <x:v>land</x:v>
      </x:c>
      <x:c r="F2034" s="2" t="str">
        <x:v>sale</x:v>
      </x:c>
      <x:c r="G2034" s="11" t="n">
        <x:v>2023</x:v>
      </x:c>
      <x:c r="H2034" s="12" t="n">
        <x:v>250000000</x:v>
      </x:c>
      <x:c r="I2034" s="12" t="n">
        <x:v>123578.8433020267</x:v>
      </x:c>
      <x:c r="J2034" s="2" t="str">
        <x:v>total</x:v>
      </x:c>
      <x:c r="K2034" s="2" t="str">
        <x:v>top_level_area</x:v>
      </x:c>
      <x:c r="L2034" s="2" t="str">
        <x:v>dot_thousands_convention;property_type_inferred_from_title</x:v>
      </x:c>
      <x:c r="M2034" s="10" t="n">
        <x:v>0</x:v>
      </x:c>
      <x:c r="N2034" s="10" t="n">
        <x:v>0</x:v>
      </x:c>
      <x:c r="O2034" s="2" t="str">
        <x:v>Bình Phước|land</x:v>
      </x:c>
      <x:c r="P2034" s="10" t="n">
        <x:v>1</x:v>
      </x:c>
      <x:c r="Q2034" s="13" t="n">
        <x:f>IF(H2034="","",H2034/1000000000)</x:f>
        <x:v>0.25</x:v>
      </x:c>
      <x:c r="R2034" s="13" t="n">
        <x:f>IF(I2034="","",I2034/1000000)</x:f>
        <x:v>0.1235788433020267</x:v>
      </x:c>
    </x:row>
    <x:row r="2035" ht="21" customHeight="1">
      <x:c r="A2035" s="10" t="n">
        <x:v>2959</x:v>
      </x:c>
      <x:c r="B2035" s="2" t="str">
        <x:v>882f453536d83193f993</x:v>
      </x:c>
      <x:c r="C2035" s="2" t="str">
        <x:v>Tp Hồ Chí Minh</x:v>
      </x:c>
      <x:c r="D2035" s="2" t="str">
        <x:v>Huyện Hóc Môn</x:v>
      </x:c>
      <x:c r="E2035" s="2" t="str">
        <x:v>house</x:v>
      </x:c>
      <x:c r="F2035" s="2" t="str">
        <x:v>sale_assumed</x:v>
      </x:c>
      <x:c r="G2035" s="11" t="n">
        <x:v>76</x:v>
      </x:c>
      <x:c r="H2035" s="12" t="n">
        <x:v>5200000000</x:v>
      </x:c>
      <x:c r="I2035" s="12" t="n">
        <x:v>68421052.63157895</x:v>
      </x:c>
      <x:c r="J2035" s="2" t="str">
        <x:v>total</x:v>
      </x:c>
      <x:c r="K2035" s="2" t="str">
        <x:v>top_level_area</x:v>
      </x:c>
      <x:c r="L2035" s="2" t="str">
        <x:v>property_type_inferred_from_title;transaction_assumed_sale_from_dataset_context</x:v>
      </x:c>
      <x:c r="M2035" s="10" t="n">
        <x:v>0</x:v>
      </x:c>
      <x:c r="N2035" s="10" t="n">
        <x:v>0</x:v>
      </x:c>
      <x:c r="O2035" s="2" t="str">
        <x:v>Tp Hồ Chí Minh|house</x:v>
      </x:c>
      <x:c r="P2035" s="10" t="n">
        <x:v>2</x:v>
      </x:c>
      <x:c r="Q2035" s="13" t="n">
        <x:f>IF(H2035="","",H2035/1000000000)</x:f>
        <x:v>5.2</x:v>
      </x:c>
      <x:c r="R2035" s="13" t="n">
        <x:f>IF(I2035="","",I2035/1000000)</x:f>
        <x:v>68.42105263157895</x:v>
      </x:c>
    </x:row>
    <x:row r="2036" ht="21" customHeight="1">
      <x:c r="A2036" s="10" t="n">
        <x:v>2960</x:v>
      </x:c>
      <x:c r="B2036" s="2" t="str">
        <x:v>bf9aa450138518ecdf52</x:v>
      </x:c>
      <x:c r="C2036" s="2" t="str">
        <x:v>Tp Hồ Chí Minh</x:v>
      </x:c>
      <x:c r="D2036" s="2" t="str">
        <x:v>Huyện Hóc Môn</x:v>
      </x:c>
      <x:c r="E2036" s="2" t="str">
        <x:v>apartment</x:v>
      </x:c>
      <x:c r="F2036" s="2" t="str">
        <x:v>sale_assumed</x:v>
      </x:c>
      <x:c r="G2036" s="11" t="n">
        <x:v>55</x:v>
      </x:c>
      <x:c r="H2036" s="12" t="n">
        <x:v>280000000</x:v>
      </x:c>
      <x:c r="I2036" s="12" t="n">
        <x:v>5090909.090909091</x:v>
      </x:c>
      <x:c r="J2036" s="2" t="str">
        <x:v>total</x:v>
      </x:c>
      <x:c r="K2036" s="2" t="str">
        <x:v>top_level_area</x:v>
      </x:c>
      <x:c r="L2036" s="2" t="str">
        <x:v>property_type_inferred_from_title;transaction_assumed_sale_from_dataset_context</x:v>
      </x:c>
      <x:c r="M2036" s="10" t="n">
        <x:v>0</x:v>
      </x:c>
      <x:c r="N2036" s="10" t="n">
        <x:v>0</x:v>
      </x:c>
      <x:c r="O2036" s="2" t="str">
        <x:v>Tp Hồ Chí Minh|apartment</x:v>
      </x:c>
      <x:c r="P2036" s="10" t="n">
        <x:v>2</x:v>
      </x:c>
      <x:c r="Q2036" s="13" t="n">
        <x:f>IF(H2036="","",H2036/1000000000)</x:f>
        <x:v>0.28</x:v>
      </x:c>
      <x:c r="R2036" s="13" t="n">
        <x:f>IF(I2036="","",I2036/1000000)</x:f>
        <x:v>5.090909090909091</x:v>
      </x:c>
    </x:row>
    <x:row r="2037" ht="21" customHeight="1">
      <x:c r="A2037" s="10" t="n">
        <x:v>2961</x:v>
      </x:c>
      <x:c r="B2037" s="2" t="str">
        <x:v>ad040dd85cace7f65761</x:v>
      </x:c>
      <x:c r="C2037" s="2" t="str">
        <x:v>Hà Nội</x:v>
      </x:c>
      <x:c r="D2037" s="2" t="str">
        <x:v>Quận Cầu Giấy</x:v>
      </x:c>
      <x:c r="E2037" s="2" t="str">
        <x:v>house</x:v>
      </x:c>
      <x:c r="F2037" s="2" t="str">
        <x:v>sale_assumed</x:v>
      </x:c>
      <x:c r="G2037" s="11" t="n">
        <x:v>120</x:v>
      </x:c>
      <x:c r="H2037" s="12" t="n">
        <x:v>14600000000</x:v>
      </x:c>
      <x:c r="I2037" s="12" t="n">
        <x:v>121666666.66666667</x:v>
      </x:c>
      <x:c r="J2037" s="2" t="str">
        <x:v>total</x:v>
      </x:c>
      <x:c r="K2037" s="2" t="str">
        <x:v>top_level_area</x:v>
      </x:c>
      <x:c r="L2037" s="2" t="str">
        <x:v>property_type_inferred_from_title;transaction_assumed_sale_from_dataset_context</x:v>
      </x:c>
      <x:c r="M2037" s="10" t="n">
        <x:v>0</x:v>
      </x:c>
      <x:c r="N2037" s="10" t="n">
        <x:v>0</x:v>
      </x:c>
      <x:c r="O2037" s="2" t="str">
        <x:v>Hà Nội|house</x:v>
      </x:c>
      <x:c r="P2037" s="10" t="n">
        <x:v>2</x:v>
      </x:c>
      <x:c r="Q2037" s="13" t="n">
        <x:f>IF(H2037="","",H2037/1000000000)</x:f>
        <x:v>14.6</x:v>
      </x:c>
      <x:c r="R2037" s="13" t="n">
        <x:f>IF(I2037="","",I2037/1000000)</x:f>
        <x:v>121.66666666666667</x:v>
      </x:c>
    </x:row>
    <x:row r="2038" ht="21" customHeight="1">
      <x:c r="A2038" s="10" t="n">
        <x:v>2962</x:v>
      </x:c>
      <x:c r="B2038" s="2" t="str">
        <x:v>09bb6c670dd262677851</x:v>
      </x:c>
      <x:c r="C2038" s="2" t="str">
        <x:v>Tp Hồ Chí Minh</x:v>
      </x:c>
      <x:c r="D2038" s="2" t="str">
        <x:v>Quận Gò Vấp</x:v>
      </x:c>
      <x:c r="E2038" s="2" t="str">
        <x:v>house</x:v>
      </x:c>
      <x:c r="F2038" s="2" t="str">
        <x:v>sale</x:v>
      </x:c>
      <x:c r="G2038" s="11" t="n">
        <x:v>117</x:v>
      </x:c>
      <x:c r="H2038" s="12" t="n">
        <x:v>9900000000</x:v>
      </x:c>
      <x:c r="I2038" s="12" t="n">
        <x:v>84615384.61538461</x:v>
      </x:c>
      <x:c r="J2038" s="2" t="str">
        <x:v>total</x:v>
      </x:c>
      <x:c r="K2038" s="2" t="str">
        <x:v>top_level_area</x:v>
      </x:c>
      <x:c r="L2038" s="2" t="str">
        <x:v>property_type_inferred_from_title</x:v>
      </x:c>
      <x:c r="M2038" s="10" t="n">
        <x:v>0</x:v>
      </x:c>
      <x:c r="N2038" s="10" t="n">
        <x:v>0</x:v>
      </x:c>
      <x:c r="O2038" s="2" t="str">
        <x:v>Tp Hồ Chí Minh|house</x:v>
      </x:c>
      <x:c r="P2038" s="10" t="n">
        <x:v>2</x:v>
      </x:c>
      <x:c r="Q2038" s="13" t="n">
        <x:f>IF(H2038="","",H2038/1000000000)</x:f>
        <x:v>9.9</x:v>
      </x:c>
      <x:c r="R2038" s="13" t="n">
        <x:f>IF(I2038="","",I2038/1000000)</x:f>
        <x:v>84.61538461538461</x:v>
      </x:c>
    </x:row>
    <x:row r="2039" ht="21" customHeight="1">
      <x:c r="A2039" s="10" t="n">
        <x:v>2963</x:v>
      </x:c>
      <x:c r="B2039" s="2" t="str">
        <x:v>a028d4d88a07f5b3daec</x:v>
      </x:c>
      <x:c r="C2039" s="2" t="str">
        <x:v>Tp Hồ Chí Minh</x:v>
      </x:c>
      <x:c r="D2039" s="2" t="str">
        <x:v>Quận 2</x:v>
      </x:c>
      <x:c r="E2039" s="2" t="str">
        <x:v>house</x:v>
      </x:c>
      <x:c r="F2039" s="2" t="str">
        <x:v>sale</x:v>
      </x:c>
      <x:c r="G2039" s="11" t="n">
        <x:v>90</x:v>
      </x:c>
      <x:c r="H2039" s="12" t="n">
        <x:v>2230000000</x:v>
      </x:c>
      <x:c r="I2039" s="12" t="n">
        <x:v>24777777.777777776</x:v>
      </x:c>
      <x:c r="J2039" s="2" t="str">
        <x:v>total</x:v>
      </x:c>
      <x:c r="K2039" s="2" t="str">
        <x:v>top_level_area</x:v>
      </x:c>
      <x:c r="L2039" s="2" t="str">
        <x:v>property_type_inferred_from_title</x:v>
      </x:c>
      <x:c r="M2039" s="10" t="n">
        <x:v>0</x:v>
      </x:c>
      <x:c r="N2039" s="10" t="n">
        <x:v>0</x:v>
      </x:c>
      <x:c r="O2039" s="2" t="str">
        <x:v>Tp Hồ Chí Minh|house</x:v>
      </x:c>
      <x:c r="P2039" s="10" t="n">
        <x:v>2</x:v>
      </x:c>
      <x:c r="Q2039" s="13" t="n">
        <x:f>IF(H2039="","",H2039/1000000000)</x:f>
        <x:v>2.23</x:v>
      </x:c>
      <x:c r="R2039" s="13" t="n">
        <x:f>IF(I2039="","",I2039/1000000)</x:f>
        <x:v>24.777777777777775</x:v>
      </x:c>
    </x:row>
    <x:row r="2040" ht="21" customHeight="1">
      <x:c r="A2040" s="10" t="n">
        <x:v>2967</x:v>
      </x:c>
      <x:c r="B2040" s="2" t="str">
        <x:v>84a717695e305870591d</x:v>
      </x:c>
      <x:c r="C2040" s="2" t="str">
        <x:v>Tp Hồ Chí Minh</x:v>
      </x:c>
      <x:c r="D2040" s="2" t="str">
        <x:v>Quận Phú Nhuận</x:v>
      </x:c>
      <x:c r="E2040" s="2" t="str">
        <x:v>house</x:v>
      </x:c>
      <x:c r="F2040" s="2" t="str">
        <x:v>sale_assumed</x:v>
      </x:c>
      <x:c r="G2040" s="11" t="n">
        <x:v>68</x:v>
      </x:c>
      <x:c r="H2040" s="12" t="n">
        <x:v>1990000000</x:v>
      </x:c>
      <x:c r="I2040" s="12" t="n">
        <x:v>29264705.88235294</x:v>
      </x:c>
      <x:c r="J2040" s="2" t="str">
        <x:v>total</x:v>
      </x:c>
      <x:c r="K2040" s="2" t="str">
        <x:v>top_level_area</x:v>
      </x:c>
      <x:c r="L2040" s="2" t="str">
        <x:v>property_type_inferred_from_title;transaction_assumed_sale_from_dataset_context</x:v>
      </x:c>
      <x:c r="M2040" s="10" t="n">
        <x:v>0</x:v>
      </x:c>
      <x:c r="N2040" s="10" t="n">
        <x:v>0</x:v>
      </x:c>
      <x:c r="O2040" s="2" t="str">
        <x:v>Tp Hồ Chí Minh|house</x:v>
      </x:c>
      <x:c r="P2040" s="10" t="n">
        <x:v>2</x:v>
      </x:c>
      <x:c r="Q2040" s="13" t="n">
        <x:f>IF(H2040="","",H2040/1000000000)</x:f>
        <x:v>1.99</x:v>
      </x:c>
      <x:c r="R2040" s="13" t="n">
        <x:f>IF(I2040="","",I2040/1000000)</x:f>
        <x:v>29.264705882352942</x:v>
      </x:c>
    </x:row>
    <x:row r="2041" ht="21" customHeight="1">
      <x:c r="A2041" s="10" t="n">
        <x:v>2968</x:v>
      </x:c>
      <x:c r="B2041" s="2" t="str">
        <x:v>bbc863bf885cb19e28c2</x:v>
      </x:c>
      <x:c r="C2041" s="2" t="str">
        <x:v>Tp Hồ Chí Minh</x:v>
      </x:c>
      <x:c r="D2041" s="2" t="str">
        <x:v>Quận 9</x:v>
      </x:c>
      <x:c r="E2041" s="2" t="str">
        <x:v>house</x:v>
      </x:c>
      <x:c r="F2041" s="2" t="str">
        <x:v>sale_assumed</x:v>
      </x:c>
      <x:c r="G2041" s="11" t="n">
        <x:v>160</x:v>
      </x:c>
      <x:c r="H2041" s="12" t="n">
        <x:v>6850000000</x:v>
      </x:c>
      <x:c r="I2041" s="12" t="n">
        <x:v>42812500</x:v>
      </x:c>
      <x:c r="J2041" s="2" t="str">
        <x:v>total</x:v>
      </x:c>
      <x:c r="K2041" s="2" t="str">
        <x:v>top_level_area</x:v>
      </x:c>
      <x:c r="L2041" s="2" t="str">
        <x:v>property_type_inferred_from_title;transaction_assumed_sale_from_dataset_context</x:v>
      </x:c>
      <x:c r="M2041" s="10" t="n">
        <x:v>0</x:v>
      </x:c>
      <x:c r="N2041" s="10" t="n">
        <x:v>0</x:v>
      </x:c>
      <x:c r="O2041" s="2" t="str">
        <x:v>Tp Hồ Chí Minh|house</x:v>
      </x:c>
      <x:c r="P2041" s="10" t="n">
        <x:v>2</x:v>
      </x:c>
      <x:c r="Q2041" s="13" t="n">
        <x:f>IF(H2041="","",H2041/1000000000)</x:f>
        <x:v>6.85</x:v>
      </x:c>
      <x:c r="R2041" s="13" t="n">
        <x:f>IF(I2041="","",I2041/1000000)</x:f>
        <x:v>42.8125</x:v>
      </x:c>
    </x:row>
    <x:row r="2042" ht="21" customHeight="1">
      <x:c r="A2042" s="10" t="n">
        <x:v>2969</x:v>
      </x:c>
      <x:c r="B2042" s="2" t="str">
        <x:v>85fbbc49adfe72c0411f</x:v>
      </x:c>
      <x:c r="C2042" s="2" t="str">
        <x:v>Bắc Giang</x:v>
      </x:c>
      <x:c r="D2042" s="2" t="str">
        <x:v>Thành phố Bắc Giang</x:v>
      </x:c>
      <x:c r="E2042" s="2" t="str">
        <x:v>land</x:v>
      </x:c>
      <x:c r="F2042" s="2" t="str">
        <x:v>sale</x:v>
      </x:c>
      <x:c r="G2042" s="11" t="n">
        <x:v>150</x:v>
      </x:c>
      <x:c r="H2042" s="12" t="n">
        <x:v>3500000000</x:v>
      </x:c>
      <x:c r="I2042" s="12" t="n">
        <x:v>23333333.333333332</x:v>
      </x:c>
      <x:c r="J2042" s="2" t="str">
        <x:v>total</x:v>
      </x:c>
      <x:c r="K2042" s="2" t="str">
        <x:v>top_level_area</x:v>
      </x:c>
      <x:c r="L2042" s="2" t="str">
        <x:v>property_type_inferred_from_title</x:v>
      </x:c>
      <x:c r="M2042" s="10" t="n">
        <x:v>0</x:v>
      </x:c>
      <x:c r="N2042" s="10" t="n">
        <x:v>0</x:v>
      </x:c>
      <x:c r="O2042" s="2" t="str">
        <x:v>land</x:v>
      </x:c>
      <x:c r="P2042" s="10" t="n">
        <x:v>2</x:v>
      </x:c>
      <x:c r="Q2042" s="13" t="n">
        <x:f>IF(H2042="","",H2042/1000000000)</x:f>
        <x:v>3.5</x:v>
      </x:c>
      <x:c r="R2042" s="13" t="n">
        <x:f>IF(I2042="","",I2042/1000000)</x:f>
        <x:v>23.333333333333332</x:v>
      </x:c>
    </x:row>
    <x:row r="2043" ht="21" customHeight="1">
      <x:c r="A2043" s="10" t="n">
        <x:v>2970</x:v>
      </x:c>
      <x:c r="B2043" s="2" t="str">
        <x:v>6f2632788d3c45ac4b29</x:v>
      </x:c>
      <x:c r="C2043" s="2" t="str">
        <x:v>Tp Hồ Chí Minh</x:v>
      </x:c>
      <x:c r="D2043" s="2" t="str">
        <x:v>Huyện Bình Chánh</x:v>
      </x:c>
      <x:c r="E2043" s="2" t="str">
        <x:v>house</x:v>
      </x:c>
      <x:c r="F2043" s="2" t="str">
        <x:v>sale</x:v>
      </x:c>
      <x:c r="G2043" s="11" t="n">
        <x:v>60</x:v>
      </x:c>
      <x:c r="H2043" s="12" t="n">
        <x:v>515000000</x:v>
      </x:c>
      <x:c r="I2043" s="12" t="n">
        <x:v>8583333.333333334</x:v>
      </x:c>
      <x:c r="J2043" s="2" t="str">
        <x:v>total</x:v>
      </x:c>
      <x:c r="K2043" s="2" t="str">
        <x:v>top_level_area</x:v>
      </x:c>
      <x:c r="L2043" s="2" t="str">
        <x:v>property_type_inferred_from_title</x:v>
      </x:c>
      <x:c r="M2043" s="10" t="n">
        <x:v>0</x:v>
      </x:c>
      <x:c r="N2043" s="10" t="n">
        <x:v>0</x:v>
      </x:c>
      <x:c r="O2043" s="2" t="str">
        <x:v>Tp Hồ Chí Minh|house</x:v>
      </x:c>
      <x:c r="P2043" s="10" t="n">
        <x:v>2</x:v>
      </x:c>
      <x:c r="Q2043" s="13" t="n">
        <x:f>IF(H2043="","",H2043/1000000000)</x:f>
        <x:v>0.515</x:v>
      </x:c>
      <x:c r="R2043" s="13" t="n">
        <x:f>IF(I2043="","",I2043/1000000)</x:f>
        <x:v>8.583333333333334</x:v>
      </x:c>
    </x:row>
    <x:row r="2044" ht="21" customHeight="1">
      <x:c r="A2044" s="10" t="n">
        <x:v>2971</x:v>
      </x:c>
      <x:c r="B2044" s="2" t="str">
        <x:v>f4086d9579c1fd994c2b</x:v>
      </x:c>
      <x:c r="C2044" s="2" t="str">
        <x:v>Tp Hồ Chí Minh</x:v>
      </x:c>
      <x:c r="D2044" s="2" t="str">
        <x:v>Quận 9</x:v>
      </x:c>
      <x:c r="E2044" s="2" t="str">
        <x:v>house</x:v>
      </x:c>
      <x:c r="F2044" s="2" t="str">
        <x:v>sale</x:v>
      </x:c>
      <x:c r="G2044" s="11" t="n">
        <x:v>73</x:v>
      </x:c>
      <x:c r="H2044" s="12" t="n">
        <x:v>1150000000</x:v>
      </x:c>
      <x:c r="I2044" s="12" t="n">
        <x:v>15753424.657534247</x:v>
      </x:c>
      <x:c r="J2044" s="2" t="str">
        <x:v>total</x:v>
      </x:c>
      <x:c r="K2044" s="2" t="str">
        <x:v>top_level_area</x:v>
      </x:c>
      <x:c r="L2044" s="2" t="str">
        <x:v>property_type_inferred_from_title</x:v>
      </x:c>
      <x:c r="M2044" s="10" t="n">
        <x:v>0</x:v>
      </x:c>
      <x:c r="N2044" s="10" t="n">
        <x:v>0</x:v>
      </x:c>
      <x:c r="O2044" s="2" t="str">
        <x:v>Tp Hồ Chí Minh|house</x:v>
      </x:c>
      <x:c r="P2044" s="10" t="n">
        <x:v>2</x:v>
      </x:c>
      <x:c r="Q2044" s="13" t="n">
        <x:f>IF(H2044="","",H2044/1000000000)</x:f>
        <x:v>1.15</x:v>
      </x:c>
      <x:c r="R2044" s="13" t="n">
        <x:f>IF(I2044="","",I2044/1000000)</x:f>
        <x:v>15.753424657534246</x:v>
      </x:c>
    </x:row>
    <x:row r="2045" ht="21" customHeight="1">
      <x:c r="A2045" s="10" t="n">
        <x:v>2972</x:v>
      </x:c>
      <x:c r="B2045" s="2" t="str">
        <x:v>13089b681e9c2274b99a</x:v>
      </x:c>
      <x:c r="C2045" s="2" t="str">
        <x:v>Tp Hồ Chí Minh</x:v>
      </x:c>
      <x:c r="D2045" s="2" t="str">
        <x:v>Quận 5</x:v>
      </x:c>
      <x:c r="E2045" s="2" t="str">
        <x:v>house</x:v>
      </x:c>
      <x:c r="F2045" s="2" t="str">
        <x:v>sale</x:v>
      </x:c>
      <x:c r="G2045" s="11" t="n">
        <x:v>61</x:v>
      </x:c>
      <x:c r="H2045" s="12" t="n">
        <x:v>1530000000</x:v>
      </x:c>
      <x:c r="I2045" s="12" t="n">
        <x:v>25081967.213114753</x:v>
      </x:c>
      <x:c r="J2045" s="2" t="str">
        <x:v>total</x:v>
      </x:c>
      <x:c r="K2045" s="2" t="str">
        <x:v>top_level_area</x:v>
      </x:c>
      <x:c r="L2045" s="2" t="str">
        <x:v>property_type_inferred_from_title</x:v>
      </x:c>
      <x:c r="M2045" s="10" t="n">
        <x:v>0</x:v>
      </x:c>
      <x:c r="N2045" s="10" t="n">
        <x:v>0</x:v>
      </x:c>
      <x:c r="O2045" s="2" t="str">
        <x:v>Tp Hồ Chí Minh|house</x:v>
      </x:c>
      <x:c r="P2045" s="10" t="n">
        <x:v>2</x:v>
      </x:c>
      <x:c r="Q2045" s="13" t="n">
        <x:f>IF(H2045="","",H2045/1000000000)</x:f>
        <x:v>1.53</x:v>
      </x:c>
      <x:c r="R2045" s="13" t="n">
        <x:f>IF(I2045="","",I2045/1000000)</x:f>
        <x:v>25.081967213114755</x:v>
      </x:c>
    </x:row>
    <x:row r="2046" ht="21" customHeight="1">
      <x:c r="A2046" s="10" t="n">
        <x:v>2973</x:v>
      </x:c>
      <x:c r="B2046" s="2" t="str">
        <x:v>21a4adfa398e181668e4</x:v>
      </x:c>
      <x:c r="C2046" s="2" t="str">
        <x:v>Long An</x:v>
      </x:c>
      <x:c r="D2046" s="2" t="str">
        <x:v>Huyện Bến Lức</x:v>
      </x:c>
      <x:c r="E2046" s="2" t="str">
        <x:v>land</x:v>
      </x:c>
      <x:c r="F2046" s="2" t="str">
        <x:v>sale</x:v>
      </x:c>
      <x:c r="G2046" s="11" t="n">
        <x:v>9700</x:v>
      </x:c>
      <x:c r="H2046" s="12" t="n">
        <x:v>14600000000</x:v>
      </x:c>
      <x:c r="I2046" s="12" t="n">
        <x:v>1505154.6391752576</x:v>
      </x:c>
      <x:c r="J2046" s="2" t="str">
        <x:v>total</x:v>
      </x:c>
      <x:c r="K2046" s="2" t="str">
        <x:v>top_level_area</x:v>
      </x:c>
      <x:c r="L2046" s="2" t="str">
        <x:v>dot_thousands_convention;property_type_inferred_from_title</x:v>
      </x:c>
      <x:c r="M2046" s="10" t="n">
        <x:v>0</x:v>
      </x:c>
      <x:c r="N2046" s="10" t="n">
        <x:v>0</x:v>
      </x:c>
      <x:c r="O2046" s="2" t="str">
        <x:v>Long An|land</x:v>
      </x:c>
      <x:c r="P2046" s="10" t="n">
        <x:v>1</x:v>
      </x:c>
      <x:c r="Q2046" s="13" t="n">
        <x:f>IF(H2046="","",H2046/1000000000)</x:f>
        <x:v>14.6</x:v>
      </x:c>
      <x:c r="R2046" s="13" t="n">
        <x:f>IF(I2046="","",I2046/1000000)</x:f>
        <x:v>1.5051546391752577</x:v>
      </x:c>
    </x:row>
    <x:row r="2047" ht="21" customHeight="1">
      <x:c r="A2047" s="10" t="n">
        <x:v>2975</x:v>
      </x:c>
      <x:c r="B2047" s="2" t="str">
        <x:v>1989c7499da2a7639efb</x:v>
      </x:c>
      <x:c r="C2047" s="2" t="str">
        <x:v>Lâm Đồng</x:v>
      </x:c>
      <x:c r="D2047" s="2" t="str">
        <x:v>Huyện Bảo Lâm</x:v>
      </x:c>
      <x:c r="E2047" s="2" t="str">
        <x:v>land</x:v>
      </x:c>
      <x:c r="F2047" s="2" t="str">
        <x:v>sale_assumed</x:v>
      </x:c>
      <x:c r="G2047" s="11" t="n">
        <x:v>200</x:v>
      </x:c>
      <x:c r="H2047" s="12" t="n">
        <x:v>488000000</x:v>
      </x:c>
      <x:c r="I2047" s="12" t="n">
        <x:v>2440000</x:v>
      </x:c>
      <x:c r="J2047" s="2" t="str">
        <x:v>total</x:v>
      </x:c>
      <x:c r="K2047" s="2" t="str">
        <x:v>top_level_area</x:v>
      </x:c>
      <x:c r="L2047" s="2" t="str">
        <x:v>property_type_inferred_from_title;transaction_assumed_sale_from_dataset_context</x:v>
      </x:c>
      <x:c r="M2047" s="10" t="n">
        <x:v>0</x:v>
      </x:c>
      <x:c r="N2047" s="10" t="n">
        <x:v>0</x:v>
      </x:c>
      <x:c r="O2047" s="2" t="str">
        <x:v>Lâm Đồng|land</x:v>
      </x:c>
      <x:c r="P2047" s="10" t="n">
        <x:v>1</x:v>
      </x:c>
      <x:c r="Q2047" s="13" t="n">
        <x:f>IF(H2047="","",H2047/1000000000)</x:f>
        <x:v>0.488</x:v>
      </x:c>
      <x:c r="R2047" s="13" t="n">
        <x:f>IF(I2047="","",I2047/1000000)</x:f>
        <x:v>2.44</x:v>
      </x:c>
    </x:row>
    <x:row r="2048" ht="21" customHeight="1">
      <x:c r="A2048" s="10" t="n">
        <x:v>2976</x:v>
      </x:c>
      <x:c r="B2048" s="2" t="str">
        <x:v>c150b3c1fb96385856c4</x:v>
      </x:c>
      <x:c r="C2048" s="2" t="str">
        <x:v>Hải Phòng</x:v>
      </x:c>
      <x:c r="D2048" s="2" t="str">
        <x:v>Quận Hải An</x:v>
      </x:c>
      <x:c r="E2048" s="2" t="str">
        <x:v>land</x:v>
      </x:c>
      <x:c r="F2048" s="2" t="str">
        <x:v>sale</x:v>
      </x:c>
      <x:c r="G2048" s="11" t="n">
        <x:v>67</x:v>
      </x:c>
      <x:c r="H2048" s="12" t="n">
        <x:v>1720000000</x:v>
      </x:c>
      <x:c r="I2048" s="12" t="n">
        <x:v>25671641.791044775</x:v>
      </x:c>
      <x:c r="J2048" s="2" t="str">
        <x:v>total</x:v>
      </x:c>
      <x:c r="K2048" s="2" t="str">
        <x:v>top_level_area</x:v>
      </x:c>
      <x:c r="L2048" s="2" t="str">
        <x:v>property_type_inferred_from_title</x:v>
      </x:c>
      <x:c r="M2048" s="10" t="n">
        <x:v>0</x:v>
      </x:c>
      <x:c r="N2048" s="10" t="n">
        <x:v>0</x:v>
      </x:c>
      <x:c r="O2048" s="2" t="str">
        <x:v>land</x:v>
      </x:c>
      <x:c r="P2048" s="10" t="n">
        <x:v>2</x:v>
      </x:c>
      <x:c r="Q2048" s="13" t="n">
        <x:f>IF(H2048="","",H2048/1000000000)</x:f>
        <x:v>1.72</x:v>
      </x:c>
      <x:c r="R2048" s="13" t="n">
        <x:f>IF(I2048="","",I2048/1000000)</x:f>
        <x:v>25.671641791044774</x:v>
      </x:c>
    </x:row>
    <x:row r="2049" ht="21" customHeight="1">
      <x:c r="A2049" s="10" t="n">
        <x:v>2977</x:v>
      </x:c>
      <x:c r="B2049" s="2" t="str">
        <x:v>a1762a81df31b645e06e</x:v>
      </x:c>
      <x:c r="C2049" s="2" t="str">
        <x:v>Tiền Giang</x:v>
      </x:c>
      <x:c r="D2049" s="2" t="str">
        <x:v>Huyện Châu Thành</x:v>
      </x:c>
      <x:c r="E2049" s="2" t="str">
        <x:v>land</x:v>
      </x:c>
      <x:c r="F2049" s="2" t="str">
        <x:v>sale</x:v>
      </x:c>
      <x:c r="G2049" s="11" t="n">
        <x:v>542</x:v>
      </x:c>
      <x:c r="H2049" s="12" t="n">
        <x:v>1000000000</x:v>
      </x:c>
      <x:c r="I2049" s="12" t="n">
        <x:v>1845018.450184502</x:v>
      </x:c>
      <x:c r="J2049" s="2" t="str">
        <x:v>total</x:v>
      </x:c>
      <x:c r="K2049" s="2" t="str">
        <x:v>top_level_price_embedded_area</x:v>
      </x:c>
      <x:c r="L2049" s="2" t="str">
        <x:v>area_recovered_from_price_text;property_type_inferred_from_title</x:v>
      </x:c>
      <x:c r="M2049" s="10" t="n">
        <x:v>0</x:v>
      </x:c>
      <x:c r="N2049" s="10" t="n">
        <x:v>0</x:v>
      </x:c>
      <x:c r="O2049" s="2" t="str">
        <x:v>land</x:v>
      </x:c>
      <x:c r="P2049" s="10" t="n">
        <x:v>1</x:v>
      </x:c>
      <x:c r="Q2049" s="13" t="n">
        <x:f>IF(H2049="","",H2049/1000000000)</x:f>
        <x:v>1</x:v>
      </x:c>
      <x:c r="R2049" s="13" t="n">
        <x:f>IF(I2049="","",I2049/1000000)</x:f>
        <x:v>1.845018450184502</x:v>
      </x:c>
    </x:row>
    <x:row r="2050" ht="21" customHeight="1">
      <x:c r="A2050" s="10" t="n">
        <x:v>2978</x:v>
      </x:c>
      <x:c r="B2050" s="2" t="str">
        <x:v>9360c25d56e708a9457b</x:v>
      </x:c>
      <x:c r="C2050" s="2" t="str">
        <x:v>Tp Hồ Chí Minh</x:v>
      </x:c>
      <x:c r="D2050" s="2" t="str">
        <x:v>Quận Bình Tân</x:v>
      </x:c>
      <x:c r="E2050" s="2" t="str">
        <x:v>house</x:v>
      </x:c>
      <x:c r="F2050" s="2" t="str">
        <x:v>sale_assumed</x:v>
      </x:c>
      <x:c r="G2050" s="11" t="n">
        <x:v>80</x:v>
      </x:c>
      <x:c r="H2050" s="12" t="n">
        <x:v>4150000000.0000005</x:v>
      </x:c>
      <x:c r="I2050" s="12" t="n">
        <x:v>51875000.00000001</x:v>
      </x:c>
      <x:c r="J2050" s="2" t="str">
        <x:v>total</x:v>
      </x:c>
      <x:c r="K2050" s="2" t="str">
        <x:v>top_level_area</x:v>
      </x:c>
      <x:c r="L2050" s="2" t="str">
        <x:v>property_type_inferred_from_title;transaction_assumed_sale_from_dataset_context</x:v>
      </x:c>
      <x:c r="M2050" s="10" t="n">
        <x:v>0</x:v>
      </x:c>
      <x:c r="N2050" s="10" t="n">
        <x:v>0</x:v>
      </x:c>
      <x:c r="O2050" s="2" t="str">
        <x:v>Tp Hồ Chí Minh|house</x:v>
      </x:c>
      <x:c r="P2050" s="10" t="n">
        <x:v>2</x:v>
      </x:c>
      <x:c r="Q2050" s="13" t="n">
        <x:f>IF(H2050="","",H2050/1000000000)</x:f>
        <x:v>4.15</x:v>
      </x:c>
      <x:c r="R2050" s="13" t="n">
        <x:f>IF(I2050="","",I2050/1000000)</x:f>
        <x:v>51.87500000000001</x:v>
      </x:c>
    </x:row>
    <x:row r="2051" ht="21" customHeight="1">
      <x:c r="A2051" s="10" t="n">
        <x:v>2979</x:v>
      </x:c>
      <x:c r="B2051" s="2" t="str">
        <x:v>105be6aa956b05920f9f</x:v>
      </x:c>
      <x:c r="C2051" s="2" t="str">
        <x:v>Tp Hồ Chí Minh</x:v>
      </x:c>
      <x:c r="D2051" s="2" t="str">
        <x:v>Quận Tân Phú</x:v>
      </x:c>
      <x:c r="E2051" s="2" t="str">
        <x:v>house</x:v>
      </x:c>
      <x:c r="F2051" s="2" t="str">
        <x:v>sale</x:v>
      </x:c>
      <x:c r="G2051" s="11" t="n">
        <x:v>29</x:v>
      </x:c>
      <x:c r="H2051" s="12" t="n">
        <x:v>2150000000</x:v>
      </x:c>
      <x:c r="I2051" s="12" t="n">
        <x:v>74137931.03448276</x:v>
      </x:c>
      <x:c r="J2051" s="2" t="str">
        <x:v>total</x:v>
      </x:c>
      <x:c r="K2051" s="2" t="str">
        <x:v>top_level_area</x:v>
      </x:c>
      <x:c r="L2051" s="2" t="str">
        <x:v>property_type_inferred_from_title</x:v>
      </x:c>
      <x:c r="M2051" s="10" t="n">
        <x:v>0</x:v>
      </x:c>
      <x:c r="N2051" s="10" t="n">
        <x:v>0</x:v>
      </x:c>
      <x:c r="O2051" s="2" t="str">
        <x:v>Tp Hồ Chí Minh|house</x:v>
      </x:c>
      <x:c r="P2051" s="10" t="n">
        <x:v>2</x:v>
      </x:c>
      <x:c r="Q2051" s="13" t="n">
        <x:f>IF(H2051="","",H2051/1000000000)</x:f>
        <x:v>2.15</x:v>
      </x:c>
      <x:c r="R2051" s="13" t="n">
        <x:f>IF(I2051="","",I2051/1000000)</x:f>
        <x:v>74.13793103448276</x:v>
      </x:c>
    </x:row>
    <x:row r="2052" ht="21" customHeight="1">
      <x:c r="A2052" s="10" t="n">
        <x:v>2980</x:v>
      </x:c>
      <x:c r="B2052" s="2" t="str">
        <x:v>00dbd5cac94567ef50ea</x:v>
      </x:c>
      <x:c r="C2052" s="2" t="str">
        <x:v>Đồng Nai</x:v>
      </x:c>
      <x:c r="D2052" s="2" t="str">
        <x:v>Huyện Định Quán</x:v>
      </x:c>
      <x:c r="E2052" s="2" t="str">
        <x:v>other_unknown</x:v>
      </x:c>
      <x:c r="F2052" s="2" t="str">
        <x:v>sale</x:v>
      </x:c>
      <x:c r="G2052" s="11" t="n">
        <x:v>2400</x:v>
      </x:c>
      <x:c r="H2052" s="12" t="n">
        <x:v>460000000</x:v>
      </x:c>
      <x:c r="I2052" s="12" t="n">
        <x:v>191666.66666666666</x:v>
      </x:c>
      <x:c r="J2052" s="2" t="str">
        <x:v>total</x:v>
      </x:c>
      <x:c r="K2052" s="2" t="str">
        <x:v>top_level_area</x:v>
      </x:c>
      <x:c r="L2052" s="2" t="str">
        <x:v>dot_thousands_convention;property_type_inferred_from_title;unknown_property_type</x:v>
      </x:c>
      <x:c r="M2052" s="10" t="n">
        <x:v>0</x:v>
      </x:c>
      <x:c r="N2052" s="10" t="n">
        <x:v>0</x:v>
      </x:c>
      <x:c r="O2052" s="2" t="str">
        <x:v>Đồng Nai|other_unknown</x:v>
      </x:c>
      <x:c r="P2052" s="10" t="n">
        <x:v>1</x:v>
      </x:c>
      <x:c r="Q2052" s="13" t="n">
        <x:f>IF(H2052="","",H2052/1000000000)</x:f>
        <x:v>0.46</x:v>
      </x:c>
      <x:c r="R2052" s="13" t="n">
        <x:f>IF(I2052="","",I2052/1000000)</x:f>
        <x:v>0.19166666666666665</x:v>
      </x:c>
    </x:row>
    <x:row r="2053" ht="21" customHeight="1">
      <x:c r="A2053" s="10" t="n">
        <x:v>2981</x:v>
      </x:c>
      <x:c r="B2053" s="2" t="str">
        <x:v>c7f8009686a14e79045a</x:v>
      </x:c>
      <x:c r="C2053" s="2" t="str">
        <x:v>Tp Hồ Chí Minh</x:v>
      </x:c>
      <x:c r="D2053" s="2" t="str">
        <x:v>Huyện Nhà Bè</x:v>
      </x:c>
      <x:c r="E2053" s="2" t="str">
        <x:v>house</x:v>
      </x:c>
      <x:c r="F2053" s="2" t="str">
        <x:v>sale_assumed</x:v>
      </x:c>
      <x:c r="G2053" s="11" t="n">
        <x:v>40</x:v>
      </x:c>
      <x:c r="H2053" s="12" t="n">
        <x:v>829000000</x:v>
      </x:c>
      <x:c r="I2053" s="12" t="n">
        <x:v>20725000</x:v>
      </x:c>
      <x:c r="J2053" s="2" t="str">
        <x:v>total</x:v>
      </x:c>
      <x:c r="K2053" s="2" t="str">
        <x:v>top_level_area</x:v>
      </x:c>
      <x:c r="L2053" s="2" t="str">
        <x:v>property_type_inferred_from_title;transaction_assumed_sale_from_dataset_context</x:v>
      </x:c>
      <x:c r="M2053" s="10" t="n">
        <x:v>0</x:v>
      </x:c>
      <x:c r="N2053" s="10" t="n">
        <x:v>0</x:v>
      </x:c>
      <x:c r="O2053" s="2" t="str">
        <x:v>Tp Hồ Chí Minh|house</x:v>
      </x:c>
      <x:c r="P2053" s="10" t="n">
        <x:v>2</x:v>
      </x:c>
      <x:c r="Q2053" s="13" t="n">
        <x:f>IF(H2053="","",H2053/1000000000)</x:f>
        <x:v>0.829</x:v>
      </x:c>
      <x:c r="R2053" s="13" t="n">
        <x:f>IF(I2053="","",I2053/1000000)</x:f>
        <x:v>20.725</x:v>
      </x:c>
    </x:row>
    <x:row r="2054" ht="21" customHeight="1">
      <x:c r="A2054" s="10" t="n">
        <x:v>2982</x:v>
      </x:c>
      <x:c r="B2054" s="2" t="str">
        <x:v>1dd9b97386b13d0be1de</x:v>
      </x:c>
      <x:c r="C2054" s="2" t="str">
        <x:v>Đồng Nai</x:v>
      </x:c>
      <x:c r="D2054" s="2" t="str">
        <x:v>Huyện Long Thành</x:v>
      </x:c>
      <x:c r="E2054" s="2" t="str">
        <x:v>other_unknown</x:v>
      </x:c>
      <x:c r="F2054" s="2" t="str">
        <x:v>sale</x:v>
      </x:c>
      <x:c r="G2054" s="11" t="n">
        <x:v>90</x:v>
      </x:c>
      <x:c r="H2054" s="12" t="n">
        <x:v>1678000000</x:v>
      </x:c>
      <x:c r="I2054" s="12" t="n">
        <x:v>18644444.444444444</x:v>
      </x:c>
      <x:c r="J2054" s="2" t="str">
        <x:v>total</x:v>
      </x:c>
      <x:c r="K2054" s="2" t="str">
        <x:v>top_level_area</x:v>
      </x:c>
      <x:c r="L2054" s="2" t="str">
        <x:v>property_type_inferred_from_title;unknown_property_type</x:v>
      </x:c>
      <x:c r="M2054" s="10" t="n">
        <x:v>0</x:v>
      </x:c>
      <x:c r="N2054" s="10" t="n">
        <x:v>0</x:v>
      </x:c>
      <x:c r="O2054" s="2" t="str">
        <x:v>Đồng Nai|other_unknown</x:v>
      </x:c>
      <x:c r="P2054" s="10" t="n">
        <x:v>2</x:v>
      </x:c>
      <x:c r="Q2054" s="13" t="n">
        <x:f>IF(H2054="","",H2054/1000000000)</x:f>
        <x:v>1.678</x:v>
      </x:c>
      <x:c r="R2054" s="13" t="n">
        <x:f>IF(I2054="","",I2054/1000000)</x:f>
        <x:v>18.644444444444446</x:v>
      </x:c>
    </x:row>
    <x:row r="2055" ht="21" customHeight="1">
      <x:c r="A2055" s="10" t="n">
        <x:v>2983</x:v>
      </x:c>
      <x:c r="B2055" s="2" t="str">
        <x:v>0579a91645bfb9778cb3</x:v>
      </x:c>
      <x:c r="C2055" s="2" t="str">
        <x:v>Đắk Lắk</x:v>
      </x:c>
      <x:c r="D2055" s="2" t="str">
        <x:v>Thành phố Buôn Ma Thuột</x:v>
      </x:c>
      <x:c r="E2055" s="2" t="str">
        <x:v>land</x:v>
      </x:c>
      <x:c r="F2055" s="2" t="str">
        <x:v>sale</x:v>
      </x:c>
      <x:c r="G2055" s="11" t="n">
        <x:v>200</x:v>
      </x:c>
      <x:c r="H2055" s="12" t="n">
        <x:v>600000000</x:v>
      </x:c>
      <x:c r="I2055" s="12" t="n">
        <x:v>3000000</x:v>
      </x:c>
      <x:c r="J2055" s="2" t="str">
        <x:v>total</x:v>
      </x:c>
      <x:c r="K2055" s="2" t="str">
        <x:v>top_level_area</x:v>
      </x:c>
      <x:c r="L2055" s="2" t="str">
        <x:v>property_type_inferred_from_title</x:v>
      </x:c>
      <x:c r="M2055" s="10" t="n">
        <x:v>0</x:v>
      </x:c>
      <x:c r="N2055" s="10" t="n">
        <x:v>0</x:v>
      </x:c>
      <x:c r="O2055" s="2" t="str">
        <x:v>Đắk Lắk|land</x:v>
      </x:c>
      <x:c r="P2055" s="10" t="n">
        <x:v>1</x:v>
      </x:c>
      <x:c r="Q2055" s="13" t="n">
        <x:f>IF(H2055="","",H2055/1000000000)</x:f>
        <x:v>0.6</x:v>
      </x:c>
      <x:c r="R2055" s="13" t="n">
        <x:f>IF(I2055="","",I2055/1000000)</x:f>
        <x:v>3</x:v>
      </x:c>
    </x:row>
    <x:row r="2056" ht="21" customHeight="1">
      <x:c r="A2056" s="10" t="n">
        <x:v>2984</x:v>
      </x:c>
      <x:c r="B2056" s="2" t="str">
        <x:v>72c68e32b885f17c82d0</x:v>
      </x:c>
      <x:c r="C2056" s="2" t="str">
        <x:v>Vĩnh Long</x:v>
      </x:c>
      <x:c r="D2056" s="2" t="str">
        <x:v>Thành phố Vĩnh Long</x:v>
      </x:c>
      <x:c r="E2056" s="2" t="str">
        <x:v>house</x:v>
      </x:c>
      <x:c r="F2056" s="2" t="str">
        <x:v>sale_assumed</x:v>
      </x:c>
      <x:c r="G2056" s="11" t="n">
        <x:v>67.8</x:v>
      </x:c>
      <x:c r="H2056" s="12" t="n">
        <x:v>1680000000</x:v>
      </x:c>
      <x:c r="I2056" s="12" t="n">
        <x:v>24778761.061946902</x:v>
      </x:c>
      <x:c r="J2056" s="2" t="str">
        <x:v>total</x:v>
      </x:c>
      <x:c r="K2056" s="2" t="str">
        <x:v>top_level_area</x:v>
      </x:c>
      <x:c r="L2056" s="2" t="str">
        <x:v>property_type_inferred_from_title;transaction_assumed_sale_from_dataset_context</x:v>
      </x:c>
      <x:c r="M2056" s="10" t="n">
        <x:v>0</x:v>
      </x:c>
      <x:c r="N2056" s="10" t="n">
        <x:v>0</x:v>
      </x:c>
      <x:c r="O2056" s="2" t="str">
        <x:v>house</x:v>
      </x:c>
      <x:c r="P2056" s="10" t="n">
        <x:v>2</x:v>
      </x:c>
      <x:c r="Q2056" s="13" t="n">
        <x:f>IF(H2056="","",H2056/1000000000)</x:f>
        <x:v>1.68</x:v>
      </x:c>
      <x:c r="R2056" s="13" t="n">
        <x:f>IF(I2056="","",I2056/1000000)</x:f>
        <x:v>24.778761061946902</x:v>
      </x:c>
    </x:row>
    <x:row r="2057" ht="21" customHeight="1">
      <x:c r="A2057" s="10" t="n">
        <x:v>2985</x:v>
      </x:c>
      <x:c r="B2057" s="2" t="str">
        <x:v>9aa59fddf54925a32e06</x:v>
      </x:c>
      <x:c r="C2057" s="2" t="str">
        <x:v>Bình Dương</x:v>
      </x:c>
      <x:c r="D2057" s="2" t="str">
        <x:v>Thành phố Thủ Dầu Một</x:v>
      </x:c>
      <x:c r="E2057" s="2" t="str">
        <x:v>land</x:v>
      </x:c>
      <x:c r="F2057" s="2" t="str">
        <x:v>sale_assumed</x:v>
      </x:c>
      <x:c r="G2057" s="11" t="n">
        <x:v>140</x:v>
      </x:c>
      <x:c r="H2057" s="12" t="n">
        <x:v>750000000</x:v>
      </x:c>
      <x:c r="I2057" s="12" t="n">
        <x:v>5357142.857142857</x:v>
      </x:c>
      <x:c r="J2057" s="2" t="str">
        <x:v>total</x:v>
      </x:c>
      <x:c r="K2057" s="2" t="str">
        <x:v>top_level_area</x:v>
      </x:c>
      <x:c r="L2057" s="2" t="str">
        <x:v>property_type_inferred_from_title;transaction_assumed_sale_from_dataset_context</x:v>
      </x:c>
      <x:c r="M2057" s="10" t="n">
        <x:v>0</x:v>
      </x:c>
      <x:c r="N2057" s="10" t="n">
        <x:v>0</x:v>
      </x:c>
      <x:c r="O2057" s="2" t="str">
        <x:v>Bình Dương|land</x:v>
      </x:c>
      <x:c r="P2057" s="10" t="n">
        <x:v>2</x:v>
      </x:c>
      <x:c r="Q2057" s="13" t="n">
        <x:f>IF(H2057="","",H2057/1000000000)</x:f>
        <x:v>0.75</x:v>
      </x:c>
      <x:c r="R2057" s="13" t="n">
        <x:f>IF(I2057="","",I2057/1000000)</x:f>
        <x:v>5.357142857142858</x:v>
      </x:c>
    </x:row>
    <x:row r="2058" ht="21" customHeight="1">
      <x:c r="A2058" s="10" t="n">
        <x:v>2986</x:v>
      </x:c>
      <x:c r="B2058" s="2" t="str">
        <x:v>5a1e6437fd54588053b6</x:v>
      </x:c>
      <x:c r="C2058" s="2" t="str">
        <x:v>Tp Hồ Chí Minh</x:v>
      </x:c>
      <x:c r="D2058" s="2" t="str">
        <x:v>Quận 2</x:v>
      </x:c>
      <x:c r="E2058" s="2" t="str">
        <x:v>house</x:v>
      </x:c>
      <x:c r="F2058" s="2" t="str">
        <x:v>sale_assumed</x:v>
      </x:c>
      <x:c r="G2058" s="11" t="n">
        <x:v>75</x:v>
      </x:c>
      <x:c r="H2058" s="12" t="n">
        <x:v>925000000</x:v>
      </x:c>
      <x:c r="I2058" s="12" t="n">
        <x:v>12333333.333333334</x:v>
      </x:c>
      <x:c r="J2058" s="2" t="str">
        <x:v>total</x:v>
      </x:c>
      <x:c r="K2058" s="2" t="str">
        <x:v>top_level_area</x:v>
      </x:c>
      <x:c r="L2058" s="2" t="str">
        <x:v>property_type_inferred_from_title;transaction_assumed_sale_from_dataset_context</x:v>
      </x:c>
      <x:c r="M2058" s="10" t="n">
        <x:v>0</x:v>
      </x:c>
      <x:c r="N2058" s="10" t="n">
        <x:v>0</x:v>
      </x:c>
      <x:c r="O2058" s="2" t="str">
        <x:v>Tp Hồ Chí Minh|house</x:v>
      </x:c>
      <x:c r="P2058" s="10" t="n">
        <x:v>2</x:v>
      </x:c>
      <x:c r="Q2058" s="13" t="n">
        <x:f>IF(H2058="","",H2058/1000000000)</x:f>
        <x:v>0.925</x:v>
      </x:c>
      <x:c r="R2058" s="13" t="n">
        <x:f>IF(I2058="","",I2058/1000000)</x:f>
        <x:v>12.333333333333334</x:v>
      </x:c>
    </x:row>
    <x:row r="2059" ht="21" customHeight="1">
      <x:c r="A2059" s="10" t="n">
        <x:v>2989</x:v>
      </x:c>
      <x:c r="B2059" s="2" t="str">
        <x:v>78b566c79fd10e449a3d</x:v>
      </x:c>
      <x:c r="C2059" s="2" t="str">
        <x:v>Hà Nội</x:v>
      </x:c>
      <x:c r="D2059" s="2" t="str">
        <x:v>Quận Tây Hồ</x:v>
      </x:c>
      <x:c r="E2059" s="2" t="str">
        <x:v>land</x:v>
      </x:c>
      <x:c r="F2059" s="2" t="str">
        <x:v>sale</x:v>
      </x:c>
      <x:c r="G2059" s="11" t="n">
        <x:v>95</x:v>
      </x:c>
      <x:c r="H2059" s="12" t="n">
        <x:v>13000000000</x:v>
      </x:c>
      <x:c r="I2059" s="12" t="n">
        <x:v>136842105.2631579</x:v>
      </x:c>
      <x:c r="J2059" s="2" t="str">
        <x:v>total</x:v>
      </x:c>
      <x:c r="K2059" s="2" t="str">
        <x:v>top_level_area</x:v>
      </x:c>
      <x:c r="L2059" s="2" t="str">
        <x:v>property_type_inferred_from_title</x:v>
      </x:c>
      <x:c r="M2059" s="10" t="n">
        <x:v>0</x:v>
      </x:c>
      <x:c r="N2059" s="10" t="n">
        <x:v>1</x:v>
      </x:c>
      <x:c r="O2059" s="2" t="str">
        <x:v>Hà Nội|land</x:v>
      </x:c>
      <x:c r="P2059" s="10" t="n">
        <x:v>-1</x:v>
      </x:c>
      <x:c r="Q2059" s="13" t="n">
        <x:f>IF(H2059="","",H2059/1000000000)</x:f>
        <x:v>13</x:v>
      </x:c>
      <x:c r="R2059" s="13" t="n">
        <x:f>IF(I2059="","",I2059/1000000)</x:f>
        <x:v>136.8421052631579</x:v>
      </x:c>
    </x:row>
    <x:row r="2060" ht="21" customHeight="1">
      <x:c r="A2060" s="10" t="n">
        <x:v>2990</x:v>
      </x:c>
      <x:c r="B2060" s="2" t="str">
        <x:v>f6bb9f943757d6461930</x:v>
      </x:c>
      <x:c r="C2060" s="2" t="str">
        <x:v>Tp Hồ Chí Minh</x:v>
      </x:c>
      <x:c r="D2060" s="2" t="str">
        <x:v>Quận Thủ Đức</x:v>
      </x:c>
      <x:c r="E2060" s="2" t="str">
        <x:v>house</x:v>
      </x:c>
      <x:c r="F2060" s="2" t="str">
        <x:v>sale_assumed</x:v>
      </x:c>
      <x:c r="G2060" s="11" t="n">
        <x:v>45</x:v>
      </x:c>
      <x:c r="H2060" s="12" t="n">
        <x:v>3350000000</x:v>
      </x:c>
      <x:c r="I2060" s="12" t="n">
        <x:v>74444444.44444445</x:v>
      </x:c>
      <x:c r="J2060" s="2" t="str">
        <x:v>total</x:v>
      </x:c>
      <x:c r="K2060" s="2" t="str">
        <x:v>top_level_area</x:v>
      </x:c>
      <x:c r="L2060" s="2" t="str">
        <x:v>property_type_inferred_from_title;transaction_assumed_sale_from_dataset_context</x:v>
      </x:c>
      <x:c r="M2060" s="10" t="n">
        <x:v>0</x:v>
      </x:c>
      <x:c r="N2060" s="10" t="n">
        <x:v>0</x:v>
      </x:c>
      <x:c r="O2060" s="2" t="str">
        <x:v>Tp Hồ Chí Minh|house</x:v>
      </x:c>
      <x:c r="P2060" s="10" t="n">
        <x:v>2</x:v>
      </x:c>
      <x:c r="Q2060" s="13" t="n">
        <x:f>IF(H2060="","",H2060/1000000000)</x:f>
        <x:v>3.35</x:v>
      </x:c>
      <x:c r="R2060" s="13" t="n">
        <x:f>IF(I2060="","",I2060/1000000)</x:f>
        <x:v>74.44444444444444</x:v>
      </x:c>
    </x:row>
    <x:row r="2061" ht="21" customHeight="1">
      <x:c r="A2061" s="10" t="n">
        <x:v>2991</x:v>
      </x:c>
      <x:c r="B2061" s="2" t="str">
        <x:v>258341f32c2c5bce980a</x:v>
      </x:c>
      <x:c r="C2061" s="2" t="str">
        <x:v>Đồng Nai</x:v>
      </x:c>
      <x:c r="D2061" s="2" t="str">
        <x:v>Huyện Long Thành</x:v>
      </x:c>
      <x:c r="E2061" s="2" t="str">
        <x:v>house</x:v>
      </x:c>
      <x:c r="F2061" s="2" t="str">
        <x:v>sale_assumed</x:v>
      </x:c>
      <x:c r="G2061" s="11" t="n">
        <x:v>80</x:v>
      </x:c>
      <x:c r="H2061" s="12" t="n">
        <x:v>630000000</x:v>
      </x:c>
      <x:c r="I2061" s="12" t="n">
        <x:v>7875000</x:v>
      </x:c>
      <x:c r="J2061" s="2" t="str">
        <x:v>total</x:v>
      </x:c>
      <x:c r="K2061" s="2" t="str">
        <x:v>top_level_area</x:v>
      </x:c>
      <x:c r="L2061" s="2" t="str">
        <x:v>property_type_inferred_from_title;transaction_assumed_sale_from_dataset_context</x:v>
      </x:c>
      <x:c r="M2061" s="10" t="n">
        <x:v>0</x:v>
      </x:c>
      <x:c r="N2061" s="10" t="n">
        <x:v>0</x:v>
      </x:c>
      <x:c r="O2061" s="2" t="str">
        <x:v>Đồng Nai|house</x:v>
      </x:c>
      <x:c r="P2061" s="10" t="n">
        <x:v>2</x:v>
      </x:c>
      <x:c r="Q2061" s="13" t="n">
        <x:f>IF(H2061="","",H2061/1000000000)</x:f>
        <x:v>0.63</x:v>
      </x:c>
      <x:c r="R2061" s="13" t="n">
        <x:f>IF(I2061="","",I2061/1000000)</x:f>
        <x:v>7.875</x:v>
      </x:c>
    </x:row>
    <x:row r="2062" ht="21" customHeight="1">
      <x:c r="A2062" s="10" t="n">
        <x:v>2992</x:v>
      </x:c>
      <x:c r="B2062" s="2" t="str">
        <x:v>6efb76929c3aef5dcb15</x:v>
      </x:c>
      <x:c r="C2062" s="2" t="str">
        <x:v>Tp Hồ Chí Minh</x:v>
      </x:c>
      <x:c r="D2062" s="2" t="str">
        <x:v>Quận Gò Vấp</x:v>
      </x:c>
      <x:c r="E2062" s="2" t="str">
        <x:v>land</x:v>
      </x:c>
      <x:c r="F2062" s="2" t="str">
        <x:v>sale_assumed</x:v>
      </x:c>
      <x:c r="G2062" s="11" t="n">
        <x:v>72</x:v>
      </x:c>
      <x:c r="H2062" s="12" t="n">
        <x:v>6600000000</x:v>
      </x:c>
      <x:c r="I2062" s="12" t="n">
        <x:v>91666666.66666667</x:v>
      </x:c>
      <x:c r="J2062" s="2" t="str">
        <x:v>total</x:v>
      </x:c>
      <x:c r="K2062" s="2" t="str">
        <x:v>top_level_area</x:v>
      </x:c>
      <x:c r="L2062" s="2" t="str">
        <x:v>property_type_inferred_from_title;transaction_assumed_sale_from_dataset_context</x:v>
      </x:c>
      <x:c r="M2062" s="10" t="n">
        <x:v>0</x:v>
      </x:c>
      <x:c r="N2062" s="10" t="n">
        <x:v>0</x:v>
      </x:c>
      <x:c r="O2062" s="2" t="str">
        <x:v>Tp Hồ Chí Minh|land</x:v>
      </x:c>
      <x:c r="P2062" s="10" t="n">
        <x:v>2</x:v>
      </x:c>
      <x:c r="Q2062" s="13" t="n">
        <x:f>IF(H2062="","",H2062/1000000000)</x:f>
        <x:v>6.6</x:v>
      </x:c>
      <x:c r="R2062" s="13" t="n">
        <x:f>IF(I2062="","",I2062/1000000)</x:f>
        <x:v>91.66666666666667</x:v>
      </x:c>
    </x:row>
    <x:row r="2063" ht="21" customHeight="1">
      <x:c r="A2063" s="10" t="n">
        <x:v>2993</x:v>
      </x:c>
      <x:c r="B2063" s="2" t="str">
        <x:v>47d3d2e46ad4d4aeca11</x:v>
      </x:c>
      <x:c r="C2063" s="2" t="str">
        <x:v>Tp Hồ Chí Minh</x:v>
      </x:c>
      <x:c r="D2063" s="2" t="str">
        <x:v>Quận 12</x:v>
      </x:c>
      <x:c r="E2063" s="2" t="str">
        <x:v>house</x:v>
      </x:c>
      <x:c r="F2063" s="2" t="str">
        <x:v>sale_assumed</x:v>
      </x:c>
      <x:c r="G2063" s="11" t="n">
        <x:v>70</x:v>
      </x:c>
      <x:c r="H2063" s="12" t="n">
        <x:v>5700000000</x:v>
      </x:c>
      <x:c r="I2063" s="12" t="n">
        <x:v>81428571.42857143</x:v>
      </x:c>
      <x:c r="J2063" s="2" t="str">
        <x:v>total</x:v>
      </x:c>
      <x:c r="K2063" s="2" t="str">
        <x:v>top_level_area</x:v>
      </x:c>
      <x:c r="L2063" s="2" t="str">
        <x:v>property_type_inferred_from_title;transaction_assumed_sale_from_dataset_context</x:v>
      </x:c>
      <x:c r="M2063" s="10" t="n">
        <x:v>0</x:v>
      </x:c>
      <x:c r="N2063" s="10" t="n">
        <x:v>0</x:v>
      </x:c>
      <x:c r="O2063" s="2" t="str">
        <x:v>Tp Hồ Chí Minh|house</x:v>
      </x:c>
      <x:c r="P2063" s="10" t="n">
        <x:v>2</x:v>
      </x:c>
      <x:c r="Q2063" s="13" t="n">
        <x:f>IF(H2063="","",H2063/1000000000)</x:f>
        <x:v>5.7</x:v>
      </x:c>
      <x:c r="R2063" s="13" t="n">
        <x:f>IF(I2063="","",I2063/1000000)</x:f>
        <x:v>81.42857142857143</x:v>
      </x:c>
    </x:row>
    <x:row r="2064" ht="21" customHeight="1">
      <x:c r="A2064" s="10" t="n">
        <x:v>2994</x:v>
      </x:c>
      <x:c r="B2064" s="2" t="str">
        <x:v>5ac2fd3902e1a2a7f8b6</x:v>
      </x:c>
      <x:c r="C2064" s="2" t="str">
        <x:v>Tp Hồ Chí Minh</x:v>
      </x:c>
      <x:c r="D2064" s="2" t="str">
        <x:v>Quận Bình Tân</x:v>
      </x:c>
      <x:c r="E2064" s="2" t="str">
        <x:v>house</x:v>
      </x:c>
      <x:c r="F2064" s="2" t="str">
        <x:v>sale</x:v>
      </x:c>
      <x:c r="G2064" s="11" t="n">
        <x:v>33</x:v>
      </x:c>
      <x:c r="H2064" s="12" t="n">
        <x:v>1690000000</x:v>
      </x:c>
      <x:c r="I2064" s="12" t="n">
        <x:v>51212121.21212121</x:v>
      </x:c>
      <x:c r="J2064" s="2" t="str">
        <x:v>total</x:v>
      </x:c>
      <x:c r="K2064" s="2" t="str">
        <x:v>top_level_area</x:v>
      </x:c>
      <x:c r="L2064" s="2" t="str">
        <x:v>property_type_inferred_from_title</x:v>
      </x:c>
      <x:c r="M2064" s="10" t="n">
        <x:v>0</x:v>
      </x:c>
      <x:c r="N2064" s="10" t="n">
        <x:v>0</x:v>
      </x:c>
      <x:c r="O2064" s="2" t="str">
        <x:v>Tp Hồ Chí Minh|house</x:v>
      </x:c>
      <x:c r="P2064" s="10" t="n">
        <x:v>2</x:v>
      </x:c>
      <x:c r="Q2064" s="13" t="n">
        <x:f>IF(H2064="","",H2064/1000000000)</x:f>
        <x:v>1.69</x:v>
      </x:c>
      <x:c r="R2064" s="13" t="n">
        <x:f>IF(I2064="","",I2064/1000000)</x:f>
        <x:v>51.21212121212121</x:v>
      </x:c>
    </x:row>
    <x:row r="2065" ht="21" customHeight="1">
      <x:c r="A2065" s="10" t="n">
        <x:v>2995</x:v>
      </x:c>
      <x:c r="B2065" s="2" t="str">
        <x:v>acc56b78f73c5c1ad68b</x:v>
      </x:c>
      <x:c r="C2065" s="2" t="str">
        <x:v>Tp Hồ Chí Minh</x:v>
      </x:c>
      <x:c r="D2065" s="2" t="str">
        <x:v>Quận 12</x:v>
      </x:c>
      <x:c r="E2065" s="2" t="str">
        <x:v>house</x:v>
      </x:c>
      <x:c r="F2065" s="2" t="str">
        <x:v>sale_assumed</x:v>
      </x:c>
      <x:c r="G2065" s="11" t="n">
        <x:v>33</x:v>
      </x:c>
      <x:c r="H2065" s="12" t="n">
        <x:v>2450000000</x:v>
      </x:c>
      <x:c r="I2065" s="12" t="n">
        <x:v>74242424.24242425</x:v>
      </x:c>
      <x:c r="J2065" s="2" t="str">
        <x:v>total</x:v>
      </x:c>
      <x:c r="K2065" s="2" t="str">
        <x:v>top_level_area</x:v>
      </x:c>
      <x:c r="L2065" s="2" t="str">
        <x:v>property_type_inferred_from_title;transaction_assumed_sale_from_dataset_context</x:v>
      </x:c>
      <x:c r="M2065" s="10" t="n">
        <x:v>0</x:v>
      </x:c>
      <x:c r="N2065" s="10" t="n">
        <x:v>0</x:v>
      </x:c>
      <x:c r="O2065" s="2" t="str">
        <x:v>Tp Hồ Chí Minh|house</x:v>
      </x:c>
      <x:c r="P2065" s="10" t="n">
        <x:v>2</x:v>
      </x:c>
      <x:c r="Q2065" s="13" t="n">
        <x:f>IF(H2065="","",H2065/1000000000)</x:f>
        <x:v>2.45</x:v>
      </x:c>
      <x:c r="R2065" s="13" t="n">
        <x:f>IF(I2065="","",I2065/1000000)</x:f>
        <x:v>74.24242424242425</x:v>
      </x:c>
    </x:row>
    <x:row r="2066" ht="21" customHeight="1">
      <x:c r="A2066" s="10" t="n">
        <x:v>2996</x:v>
      </x:c>
      <x:c r="B2066" s="2" t="str">
        <x:v>5d2eeafbe6967ad0d947</x:v>
      </x:c>
      <x:c r="C2066" s="2" t="str">
        <x:v>Tp Hồ Chí Minh</x:v>
      </x:c>
      <x:c r="D2066" s="2" t="str">
        <x:v>Quận Bình Tân</x:v>
      </x:c>
      <x:c r="E2066" s="2" t="str">
        <x:v>other_unknown</x:v>
      </x:c>
      <x:c r="F2066" s="2" t="str">
        <x:v>sale</x:v>
      </x:c>
      <x:c r="G2066" s="11" t="n">
        <x:v>230</x:v>
      </x:c>
      <x:c r="H2066" s="12" t="n">
        <x:v>12500000000</x:v>
      </x:c>
      <x:c r="I2066" s="12" t="n">
        <x:v>54347826.08695652</x:v>
      </x:c>
      <x:c r="J2066" s="2" t="str">
        <x:v>total</x:v>
      </x:c>
      <x:c r="K2066" s="2" t="str">
        <x:v>top_level_area</x:v>
      </x:c>
      <x:c r="L2066" s="2" t="str">
        <x:v>property_type_inferred_from_title;unknown_property_type</x:v>
      </x:c>
      <x:c r="M2066" s="10" t="n">
        <x:v>0</x:v>
      </x:c>
      <x:c r="N2066" s="10" t="n">
        <x:v>0</x:v>
      </x:c>
      <x:c r="O2066" s="2" t="str">
        <x:v>Tp Hồ Chí Minh|other_unknown</x:v>
      </x:c>
      <x:c r="P2066" s="10" t="n">
        <x:v>2</x:v>
      </x:c>
      <x:c r="Q2066" s="13" t="n">
        <x:f>IF(H2066="","",H2066/1000000000)</x:f>
        <x:v>12.5</x:v>
      </x:c>
      <x:c r="R2066" s="13" t="n">
        <x:f>IF(I2066="","",I2066/1000000)</x:f>
        <x:v>54.34782608695652</x:v>
      </x:c>
    </x:row>
    <x:row r="2067" ht="21" customHeight="1">
      <x:c r="A2067" s="10" t="n">
        <x:v>2997</x:v>
      </x:c>
      <x:c r="B2067" s="2" t="str">
        <x:v>932f6c47cdfdf3d9e8f4</x:v>
      </x:c>
      <x:c r="C2067" s="2" t="str">
        <x:v>Đà Nẵng</x:v>
      </x:c>
      <x:c r="D2067" s="2" t="str">
        <x:v>Quận Hải Châu</x:v>
      </x:c>
      <x:c r="E2067" s="2" t="str">
        <x:v>house</x:v>
      </x:c>
      <x:c r="F2067" s="2" t="str">
        <x:v>sale</x:v>
      </x:c>
      <x:c r="G2067" s="11" t="n">
        <x:v>100</x:v>
      </x:c>
      <x:c r="H2067" s="12" t="n">
        <x:v>5800000000</x:v>
      </x:c>
      <x:c r="I2067" s="12" t="n">
        <x:v>58000000</x:v>
      </x:c>
      <x:c r="J2067" s="2" t="str">
        <x:v>total</x:v>
      </x:c>
      <x:c r="K2067" s="2" t="str">
        <x:v>top_level_area</x:v>
      </x:c>
      <x:c r="L2067" s="2" t="str">
        <x:v>property_type_inferred_from_title</x:v>
      </x:c>
      <x:c r="M2067" s="10" t="n">
        <x:v>0</x:v>
      </x:c>
      <x:c r="N2067" s="10" t="n">
        <x:v>0</x:v>
      </x:c>
      <x:c r="O2067" s="2" t="str">
        <x:v>Đà Nẵng|house</x:v>
      </x:c>
      <x:c r="P2067" s="10" t="n">
        <x:v>2</x:v>
      </x:c>
      <x:c r="Q2067" s="13" t="n">
        <x:f>IF(H2067="","",H2067/1000000000)</x:f>
        <x:v>5.8</x:v>
      </x:c>
      <x:c r="R2067" s="13" t="n">
        <x:f>IF(I2067="","",I2067/1000000)</x:f>
        <x:v>58</x:v>
      </x:c>
    </x:row>
    <x:row r="2068" ht="21" customHeight="1">
      <x:c r="A2068" s="10" t="n">
        <x:v>2998</x:v>
      </x:c>
      <x:c r="B2068" s="2" t="str">
        <x:v>676a231803ce697bea4d</x:v>
      </x:c>
      <x:c r="C2068" s="2" t="str">
        <x:v>Tp Hồ Chí Minh</x:v>
      </x:c>
      <x:c r="D2068" s="2" t="str">
        <x:v>Quận Bình Tân</x:v>
      </x:c>
      <x:c r="E2068" s="2" t="str">
        <x:v>house</x:v>
      </x:c>
      <x:c r="F2068" s="2" t="str">
        <x:v>sale_assumed</x:v>
      </x:c>
      <x:c r="G2068" s="11" t="n">
        <x:v>78</x:v>
      </x:c>
      <x:c r="H2068" s="12" t="n">
        <x:v>1340000000</x:v>
      </x:c>
      <x:c r="I2068" s="12" t="n">
        <x:v>17179487.17948718</x:v>
      </x:c>
      <x:c r="J2068" s="2" t="str">
        <x:v>total</x:v>
      </x:c>
      <x:c r="K2068" s="2" t="str">
        <x:v>top_level_area</x:v>
      </x:c>
      <x:c r="L2068" s="2" t="str">
        <x:v>property_type_inferred_from_title;transaction_assumed_sale_from_dataset_context</x:v>
      </x:c>
      <x:c r="M2068" s="10" t="n">
        <x:v>0</x:v>
      </x:c>
      <x:c r="N2068" s="10" t="n">
        <x:v>0</x:v>
      </x:c>
      <x:c r="O2068" s="2" t="str">
        <x:v>Tp Hồ Chí Minh|house</x:v>
      </x:c>
      <x:c r="P2068" s="10" t="n">
        <x:v>2</x:v>
      </x:c>
      <x:c r="Q2068" s="13" t="n">
        <x:f>IF(H2068="","",H2068/1000000000)</x:f>
        <x:v>1.34</x:v>
      </x:c>
      <x:c r="R2068" s="13" t="n">
        <x:f>IF(I2068="","",I2068/1000000)</x:f>
        <x:v>17.17948717948718</x:v>
      </x:c>
    </x:row>
    <x:row r="2069" ht="21" customHeight="1">
      <x:c r="A2069" s="10" t="n">
        <x:v>2999</x:v>
      </x:c>
      <x:c r="B2069" s="2" t="str">
        <x:v>b789ca3c88eda8b82b82</x:v>
      </x:c>
      <x:c r="C2069" s="2" t="str">
        <x:v>Tp Hồ Chí Minh</x:v>
      </x:c>
      <x:c r="D2069" s="2" t="str">
        <x:v>Quận 2</x:v>
      </x:c>
      <x:c r="E2069" s="2" t="str">
        <x:v>house</x:v>
      </x:c>
      <x:c r="F2069" s="2" t="str">
        <x:v>sale</x:v>
      </x:c>
      <x:c r="G2069" s="11" t="n">
        <x:v>85</x:v>
      </x:c>
      <x:c r="H2069" s="12" t="n">
        <x:v>6250000000</x:v>
      </x:c>
      <x:c r="I2069" s="12" t="n">
        <x:v>73529411.76470588</x:v>
      </x:c>
      <x:c r="J2069" s="2" t="str">
        <x:v>total</x:v>
      </x:c>
      <x:c r="K2069" s="2" t="str">
        <x:v>top_level_area</x:v>
      </x:c>
      <x:c r="L2069" s="2" t="str">
        <x:v>property_type_inferred_from_title</x:v>
      </x:c>
      <x:c r="M2069" s="10" t="n">
        <x:v>0</x:v>
      </x:c>
      <x:c r="N2069" s="10" t="n">
        <x:v>0</x:v>
      </x:c>
      <x:c r="O2069" s="2" t="str">
        <x:v>Tp Hồ Chí Minh|house</x:v>
      </x:c>
      <x:c r="P2069" s="10" t="n">
        <x:v>2</x:v>
      </x:c>
      <x:c r="Q2069" s="13" t="n">
        <x:f>IF(H2069="","",H2069/1000000000)</x:f>
        <x:v>6.25</x:v>
      </x:c>
      <x:c r="R2069" s="13" t="n">
        <x:f>IF(I2069="","",I2069/1000000)</x:f>
        <x:v>73.52941176470588</x:v>
      </x:c>
    </x:row>
    <x:row r="2070" ht="21" customHeight="1">
      <x:c r="A2070" s="10" t="n">
        <x:v>3000</x:v>
      </x:c>
      <x:c r="B2070" s="2" t="str">
        <x:v>12e33a55f52bdb93ccff</x:v>
      </x:c>
      <x:c r="C2070" s="2" t="str">
        <x:v>Đắk Lắk</x:v>
      </x:c>
      <x:c r="D2070" s="2" t="str">
        <x:v>Thành phố Buôn Ma Thuột</x:v>
      </x:c>
      <x:c r="E2070" s="2" t="str">
        <x:v>other_unknown</x:v>
      </x:c>
      <x:c r="F2070" s="2" t="str">
        <x:v>sale_assumed</x:v>
      </x:c>
      <x:c r="G2070" s="11" t="n">
        <x:v>126</x:v>
      </x:c>
      <x:c r="H2070" s="12" t="n">
        <x:v>12000000000</x:v>
      </x:c>
      <x:c r="I2070" s="12" t="n">
        <x:v>95238095.23809524</x:v>
      </x:c>
      <x:c r="J2070" s="2" t="str">
        <x:v>total</x:v>
      </x:c>
      <x:c r="K2070" s="2" t="str">
        <x:v>top_level_area</x:v>
      </x:c>
      <x:c r="L2070" s="2" t="str">
        <x:v>property_type_inferred_from_title;transaction_assumed_sale_from_dataset_context;unknown_property_type</x:v>
      </x:c>
      <x:c r="M2070" s="10" t="n">
        <x:v>0</x:v>
      </x:c>
      <x:c r="N2070" s="10" t="n">
        <x:v>0</x:v>
      </x:c>
      <x:c r="O2070" s="2" t="str">
        <x:v>other_unknown</x:v>
      </x:c>
      <x:c r="P2070" s="10" t="n">
        <x:v>2</x:v>
      </x:c>
      <x:c r="Q2070" s="13" t="n">
        <x:f>IF(H2070="","",H2070/1000000000)</x:f>
        <x:v>12</x:v>
      </x:c>
      <x:c r="R2070" s="13" t="n">
        <x:f>IF(I2070="","",I2070/1000000)</x:f>
        <x:v>95.23809523809524</x:v>
      </x:c>
    </x:row>
    <x:row r="2071" ht="21" customHeight="1">
      <x:c r="A2071" s="10" t="n">
        <x:v>3001</x:v>
      </x:c>
      <x:c r="B2071" s="2" t="str">
        <x:v>43e81fb88aed618f9ce1</x:v>
      </x:c>
      <x:c r="C2071" s="2" t="str">
        <x:v>Tp Hồ Chí Minh</x:v>
      </x:c>
      <x:c r="D2071" s="2" t="str">
        <x:v>Quận Thủ Đức</x:v>
      </x:c>
      <x:c r="E2071" s="2" t="str">
        <x:v>house</x:v>
      </x:c>
      <x:c r="F2071" s="2" t="str">
        <x:v>sale</x:v>
      </x:c>
      <x:c r="G2071" s="11" t="n">
        <x:v>223</x:v>
      </x:c>
      <x:c r="H2071" s="12" t="n">
        <x:v>15000000000</x:v>
      </x:c>
      <x:c r="I2071" s="12" t="n">
        <x:v>67264573.9910314</x:v>
      </x:c>
      <x:c r="J2071" s="2" t="str">
        <x:v>total</x:v>
      </x:c>
      <x:c r="K2071" s="2" t="str">
        <x:v>top_level_area</x:v>
      </x:c>
      <x:c r="L2071" s="2" t="str">
        <x:v>property_type_inferred_from_title</x:v>
      </x:c>
      <x:c r="M2071" s="10" t="n">
        <x:v>0</x:v>
      </x:c>
      <x:c r="N2071" s="10" t="n">
        <x:v>0</x:v>
      </x:c>
      <x:c r="O2071" s="2" t="str">
        <x:v>Tp Hồ Chí Minh|house</x:v>
      </x:c>
      <x:c r="P2071" s="10" t="n">
        <x:v>2</x:v>
      </x:c>
      <x:c r="Q2071" s="13" t="n">
        <x:f>IF(H2071="","",H2071/1000000000)</x:f>
        <x:v>15</x:v>
      </x:c>
      <x:c r="R2071" s="13" t="n">
        <x:f>IF(I2071="","",I2071/1000000)</x:f>
        <x:v>67.2645739910314</x:v>
      </x:c>
    </x:row>
    <x:row r="2072" ht="21" customHeight="1">
      <x:c r="A2072" s="10" t="n">
        <x:v>3002</x:v>
      </x:c>
      <x:c r="B2072" s="2" t="str">
        <x:v>38c131e5c031fd3ba986</x:v>
      </x:c>
      <x:c r="C2072" s="2" t="str">
        <x:v>Tp Hồ Chí Minh</x:v>
      </x:c>
      <x:c r="D2072" s="2" t="str">
        <x:v>Huyện Bình Chánh</x:v>
      </x:c>
      <x:c r="E2072" s="2" t="str">
        <x:v>house</x:v>
      </x:c>
      <x:c r="F2072" s="2" t="str">
        <x:v>sale_assumed</x:v>
      </x:c>
      <x:c r="G2072" s="11" t="n">
        <x:v>32</x:v>
      </x:c>
      <x:c r="H2072" s="12" t="n">
        <x:v>840000000</x:v>
      </x:c>
      <x:c r="I2072" s="12" t="n">
        <x:v>26250000</x:v>
      </x:c>
      <x:c r="J2072" s="2" t="str">
        <x:v>total</x:v>
      </x:c>
      <x:c r="K2072" s="2" t="str">
        <x:v>top_level_area</x:v>
      </x:c>
      <x:c r="L2072" s="2" t="str">
        <x:v>property_type_inferred_from_title;transaction_assumed_sale_from_dataset_context</x:v>
      </x:c>
      <x:c r="M2072" s="10" t="n">
        <x:v>0</x:v>
      </x:c>
      <x:c r="N2072" s="10" t="n">
        <x:v>0</x:v>
      </x:c>
      <x:c r="O2072" s="2" t="str">
        <x:v>Tp Hồ Chí Minh|house</x:v>
      </x:c>
      <x:c r="P2072" s="10" t="n">
        <x:v>2</x:v>
      </x:c>
      <x:c r="Q2072" s="13" t="n">
        <x:f>IF(H2072="","",H2072/1000000000)</x:f>
        <x:v>0.84</x:v>
      </x:c>
      <x:c r="R2072" s="13" t="n">
        <x:f>IF(I2072="","",I2072/1000000)</x:f>
        <x:v>26.25</x:v>
      </x:c>
    </x:row>
    <x:row r="2073" ht="21" customHeight="1">
      <x:c r="A2073" s="10" t="n">
        <x:v>3003</x:v>
      </x:c>
      <x:c r="B2073" s="2" t="str">
        <x:v>538d59320ead465e5009</x:v>
      </x:c>
      <x:c r="C2073" s="2" t="str">
        <x:v>Hà Nội</x:v>
      </x:c>
      <x:c r="D2073" s="2" t="str">
        <x:v>Quận Hai Bà Trưng</x:v>
      </x:c>
      <x:c r="E2073" s="2" t="str">
        <x:v>house</x:v>
      </x:c>
      <x:c r="F2073" s="2" t="str">
        <x:v>sale</x:v>
      </x:c>
      <x:c r="G2073" s="11" t="n">
        <x:v>30</x:v>
      </x:c>
      <x:c r="H2073" s="12" t="n">
        <x:v>2900000000</x:v>
      </x:c>
      <x:c r="I2073" s="12" t="n">
        <x:v>96666666.66666667</x:v>
      </x:c>
      <x:c r="J2073" s="2" t="str">
        <x:v>total</x:v>
      </x:c>
      <x:c r="K2073" s="2" t="str">
        <x:v>top_level_area</x:v>
      </x:c>
      <x:c r="L2073" s="2" t="str">
        <x:v>property_type_inferred_from_title</x:v>
      </x:c>
      <x:c r="M2073" s="10" t="n">
        <x:v>0</x:v>
      </x:c>
      <x:c r="N2073" s="10" t="n">
        <x:v>0</x:v>
      </x:c>
      <x:c r="O2073" s="2" t="str">
        <x:v>Hà Nội|house</x:v>
      </x:c>
      <x:c r="P2073" s="10" t="n">
        <x:v>2</x:v>
      </x:c>
      <x:c r="Q2073" s="13" t="n">
        <x:f>IF(H2073="","",H2073/1000000000)</x:f>
        <x:v>2.9</x:v>
      </x:c>
      <x:c r="R2073" s="13" t="n">
        <x:f>IF(I2073="","",I2073/1000000)</x:f>
        <x:v>96.66666666666667</x:v>
      </x:c>
    </x:row>
    <x:row r="2074" ht="21" customHeight="1">
      <x:c r="A2074" s="10" t="n">
        <x:v>3004</x:v>
      </x:c>
      <x:c r="B2074" s="2" t="str">
        <x:v>eb40e027da5c80b0c240</x:v>
      </x:c>
      <x:c r="C2074" s="2" t="str">
        <x:v>Hà Nội</x:v>
      </x:c>
      <x:c r="D2074" s="2" t="str">
        <x:v>Quận Ba Đình</x:v>
      </x:c>
      <x:c r="E2074" s="2" t="str">
        <x:v>house</x:v>
      </x:c>
      <x:c r="F2074" s="2" t="str">
        <x:v>sale</x:v>
      </x:c>
      <x:c r="G2074" s="11" t="n">
        <x:v>62</x:v>
      </x:c>
      <x:c r="H2074" s="12" t="n">
        <x:v>4400000000</x:v>
      </x:c>
      <x:c r="I2074" s="12" t="n">
        <x:v>70967741.93548387</x:v>
      </x:c>
      <x:c r="J2074" s="2" t="str">
        <x:v>total</x:v>
      </x:c>
      <x:c r="K2074" s="2" t="str">
        <x:v>top_level_area</x:v>
      </x:c>
      <x:c r="L2074" s="2" t="str">
        <x:v>property_type_inferred_from_title</x:v>
      </x:c>
      <x:c r="M2074" s="10" t="n">
        <x:v>0</x:v>
      </x:c>
      <x:c r="N2074" s="10" t="n">
        <x:v>0</x:v>
      </x:c>
      <x:c r="O2074" s="2" t="str">
        <x:v>Hà Nội|house</x:v>
      </x:c>
      <x:c r="P2074" s="10" t="n">
        <x:v>2</x:v>
      </x:c>
      <x:c r="Q2074" s="13" t="n">
        <x:f>IF(H2074="","",H2074/1000000000)</x:f>
        <x:v>4.4</x:v>
      </x:c>
      <x:c r="R2074" s="13" t="n">
        <x:f>IF(I2074="","",I2074/1000000)</x:f>
        <x:v>70.96774193548387</x:v>
      </x:c>
    </x:row>
    <x:row r="2075" ht="21" customHeight="1">
      <x:c r="A2075" s="10" t="n">
        <x:v>3005</x:v>
      </x:c>
      <x:c r="B2075" s="2" t="str">
        <x:v>450bee21ef97b4d05a20</x:v>
      </x:c>
      <x:c r="C2075" s="2" t="str">
        <x:v>Tp Hồ Chí Minh</x:v>
      </x:c>
      <x:c r="D2075" s="2" t="str">
        <x:v>Quận Bình Thạnh</x:v>
      </x:c>
      <x:c r="E2075" s="2" t="str">
        <x:v>other_unknown</x:v>
      </x:c>
      <x:c r="F2075" s="2" t="str">
        <x:v>sale_assumed</x:v>
      </x:c>
      <x:c r="G2075" s="11" t="n">
        <x:v>60</x:v>
      </x:c>
      <x:c r="H2075" s="12" t="n">
        <x:v>4550000000</x:v>
      </x:c>
      <x:c r="I2075" s="12" t="n">
        <x:v>75833333.33333333</x:v>
      </x:c>
      <x:c r="J2075" s="2" t="str">
        <x:v>total</x:v>
      </x:c>
      <x:c r="K2075" s="2" t="str">
        <x:v>top_level_area</x:v>
      </x:c>
      <x:c r="L2075" s="2" t="str">
        <x:v>property_type_inferred_from_title;transaction_assumed_sale_from_dataset_context;unknown_property_type</x:v>
      </x:c>
      <x:c r="M2075" s="10" t="n">
        <x:v>0</x:v>
      </x:c>
      <x:c r="N2075" s="10" t="n">
        <x:v>0</x:v>
      </x:c>
      <x:c r="O2075" s="2" t="str">
        <x:v>Tp Hồ Chí Minh|other_unknown</x:v>
      </x:c>
      <x:c r="P2075" s="10" t="n">
        <x:v>2</x:v>
      </x:c>
      <x:c r="Q2075" s="13" t="n">
        <x:f>IF(H2075="","",H2075/1000000000)</x:f>
        <x:v>4.55</x:v>
      </x:c>
      <x:c r="R2075" s="13" t="n">
        <x:f>IF(I2075="","",I2075/1000000)</x:f>
        <x:v>75.83333333333333</x:v>
      </x:c>
    </x:row>
    <x:row r="2076" ht="21" customHeight="1">
      <x:c r="A2076" s="10" t="n">
        <x:v>3006</x:v>
      </x:c>
      <x:c r="B2076" s="2" t="str">
        <x:v>4e84692bbf391aa7cfb6</x:v>
      </x:c>
      <x:c r="C2076" s="2" t="str">
        <x:v>Tp Hồ Chí Minh</x:v>
      </x:c>
      <x:c r="D2076" s="2" t="str">
        <x:v>Quận Bình Thạnh</x:v>
      </x:c>
      <x:c r="E2076" s="2" t="str">
        <x:v>other_unknown</x:v>
      </x:c>
      <x:c r="F2076" s="2" t="str">
        <x:v>sale_assumed</x:v>
      </x:c>
      <x:c r="G2076" s="11" t="n">
        <x:v>64</x:v>
      </x:c>
      <x:c r="H2076" s="12" t="n">
        <x:v>5600000000</x:v>
      </x:c>
      <x:c r="I2076" s="12" t="n">
        <x:v>87500000</x:v>
      </x:c>
      <x:c r="J2076" s="2" t="str">
        <x:v>total</x:v>
      </x:c>
      <x:c r="K2076" s="2" t="str">
        <x:v>top_level_area</x:v>
      </x:c>
      <x:c r="L2076" s="2" t="str">
        <x:v>property_type_inferred_from_title;transaction_assumed_sale_from_dataset_context;unknown_property_type</x:v>
      </x:c>
      <x:c r="M2076" s="10" t="n">
        <x:v>0</x:v>
      </x:c>
      <x:c r="N2076" s="10" t="n">
        <x:v>0</x:v>
      </x:c>
      <x:c r="O2076" s="2" t="str">
        <x:v>Tp Hồ Chí Minh|other_unknown</x:v>
      </x:c>
      <x:c r="P2076" s="10" t="n">
        <x:v>2</x:v>
      </x:c>
      <x:c r="Q2076" s="13" t="n">
        <x:f>IF(H2076="","",H2076/1000000000)</x:f>
        <x:v>5.6</x:v>
      </x:c>
      <x:c r="R2076" s="13" t="n">
        <x:f>IF(I2076="","",I2076/1000000)</x:f>
        <x:v>87.5</x:v>
      </x:c>
    </x:row>
    <x:row r="2077" ht="21" customHeight="1">
      <x:c r="A2077" s="10" t="n">
        <x:v>3007</x:v>
      </x:c>
      <x:c r="B2077" s="2" t="str">
        <x:v>16ad187a7c41aed96d5b</x:v>
      </x:c>
      <x:c r="C2077" s="2" t="str">
        <x:v>Sóc Trăng</x:v>
      </x:c>
      <x:c r="D2077" s="2" t="str">
        <x:v>Thành phố Sóc Trăng</x:v>
      </x:c>
      <x:c r="E2077" s="2" t="str">
        <x:v>land</x:v>
      </x:c>
      <x:c r="F2077" s="2" t="str">
        <x:v>sale_assumed</x:v>
      </x:c>
      <x:c r="G2077" s="11" t="n">
        <x:v>166</x:v>
      </x:c>
      <x:c r="H2077" s="12" t="n">
        <x:v>1300000000</x:v>
      </x:c>
      <x:c r="I2077" s="12" t="n">
        <x:v>7831325.301204819</x:v>
      </x:c>
      <x:c r="J2077" s="2" t="str">
        <x:v>total</x:v>
      </x:c>
      <x:c r="K2077" s="2" t="str">
        <x:v>top_level_area</x:v>
      </x:c>
      <x:c r="L2077" s="2" t="str">
        <x:v>property_type_inferred_from_title;transaction_assumed_sale_from_dataset_context</x:v>
      </x:c>
      <x:c r="M2077" s="10" t="n">
        <x:v>0</x:v>
      </x:c>
      <x:c r="N2077" s="10" t="n">
        <x:v>0</x:v>
      </x:c>
      <x:c r="O2077" s="2" t="str">
        <x:v>land</x:v>
      </x:c>
      <x:c r="P2077" s="10" t="n">
        <x:v>2</x:v>
      </x:c>
      <x:c r="Q2077" s="13" t="n">
        <x:f>IF(H2077="","",H2077/1000000000)</x:f>
        <x:v>1.3</x:v>
      </x:c>
      <x:c r="R2077" s="13" t="n">
        <x:f>IF(I2077="","",I2077/1000000)</x:f>
        <x:v>7.831325301204819</x:v>
      </x:c>
    </x:row>
    <x:row r="2078" ht="21" customHeight="1">
      <x:c r="A2078" s="10" t="n">
        <x:v>3008</x:v>
      </x:c>
      <x:c r="B2078" s="2" t="str">
        <x:v>dcf795605ea2f66a4fff</x:v>
      </x:c>
      <x:c r="C2078" s="2" t="str">
        <x:v>Hà Nội</x:v>
      </x:c>
      <x:c r="D2078" s="2" t="str">
        <x:v>Quận Hoàng Mai</x:v>
      </x:c>
      <x:c r="E2078" s="2" t="str">
        <x:v>other_unknown</x:v>
      </x:c>
      <x:c r="F2078" s="2" t="str">
        <x:v>sale_assumed</x:v>
      </x:c>
      <x:c r="G2078" s="11" t="n">
        <x:v>42</x:v>
      </x:c>
      <x:c r="H2078" s="12" t="n">
        <x:v>350000000000</x:v>
      </x:c>
      <x:c r="I2078" s="12" t="n">
        <x:v>8333333333.333333</x:v>
      </x:c>
      <x:c r="J2078" s="2" t="str">
        <x:v>total</x:v>
      </x:c>
      <x:c r="K2078" s="2" t="str">
        <x:v>top_level_area</x:v>
      </x:c>
      <x:c r="L2078" s="2" t="str">
        <x:v>property_type_inferred_from_title;transaction_assumed_sale_from_dataset_context;unknown_property_type</x:v>
      </x:c>
      <x:c r="M2078" s="10" t="n">
        <x:v>1</x:v>
      </x:c>
      <x:c r="N2078" s="10" t="n">
        <x:v>1</x:v>
      </x:c>
      <x:c r="O2078" s="2" t="str">
        <x:v>Hà Nội|other_unknown</x:v>
      </x:c>
      <x:c r="P2078" s="10" t="n">
        <x:v>-1</x:v>
      </x:c>
      <x:c r="Q2078" s="13" t="n">
        <x:f>IF(H2078="","",H2078/1000000000)</x:f>
        <x:v>350</x:v>
      </x:c>
      <x:c r="R2078" s="13" t="n">
        <x:f>IF(I2078="","",I2078/1000000)</x:f>
        <x:v>8333.333333333332</x:v>
      </x:c>
    </x:row>
    <x:row r="2079" ht="21" customHeight="1">
      <x:c r="A2079" s="10" t="n">
        <x:v>3011</x:v>
      </x:c>
      <x:c r="B2079" s="2" t="str">
        <x:v>5c91624942149f4ef045</x:v>
      </x:c>
      <x:c r="C2079" s="2" t="str">
        <x:v>Hà Nội</x:v>
      </x:c>
      <x:c r="D2079" s="2" t="str">
        <x:v>Quận Long Biên</x:v>
      </x:c>
      <x:c r="E2079" s="2" t="str">
        <x:v>land</x:v>
      </x:c>
      <x:c r="F2079" s="2" t="str">
        <x:v>sale</x:v>
      </x:c>
      <x:c r="G2079" s="11" t="n">
        <x:v>85</x:v>
      </x:c>
      <x:c r="H2079" s="12" t="n">
        <x:v>5000000000</x:v>
      </x:c>
      <x:c r="I2079" s="12" t="n">
        <x:v>58823529.4117647</x:v>
      </x:c>
      <x:c r="J2079" s="2" t="str">
        <x:v>total</x:v>
      </x:c>
      <x:c r="K2079" s="2" t="str">
        <x:v>top_level_area</x:v>
      </x:c>
      <x:c r="L2079" s="2" t="str">
        <x:v>property_type_inferred_from_title</x:v>
      </x:c>
      <x:c r="M2079" s="10" t="n">
        <x:v>0</x:v>
      </x:c>
      <x:c r="N2079" s="10" t="n">
        <x:v>0</x:v>
      </x:c>
      <x:c r="O2079" s="2" t="str">
        <x:v>Hà Nội|land</x:v>
      </x:c>
      <x:c r="P2079" s="10" t="n">
        <x:v>2</x:v>
      </x:c>
      <x:c r="Q2079" s="13" t="n">
        <x:f>IF(H2079="","",H2079/1000000000)</x:f>
        <x:v>5</x:v>
      </x:c>
      <x:c r="R2079" s="13" t="n">
        <x:f>IF(I2079="","",I2079/1000000)</x:f>
        <x:v>58.8235294117647</x:v>
      </x:c>
    </x:row>
    <x:row r="2080" ht="21" customHeight="1">
      <x:c r="A2080" s="10" t="n">
        <x:v>3012</x:v>
      </x:c>
      <x:c r="B2080" s="2" t="str">
        <x:v>e6bb699c0f0bdd86571c</x:v>
      </x:c>
      <x:c r="C2080" s="2" t="str">
        <x:v>Lâm Đồng</x:v>
      </x:c>
      <x:c r="D2080" s="2" t="str">
        <x:v>Thành phố Bảo Lộc</x:v>
      </x:c>
      <x:c r="E2080" s="2" t="str">
        <x:v>land</x:v>
      </x:c>
      <x:c r="F2080" s="2" t="str">
        <x:v>sale_assumed</x:v>
      </x:c>
      <x:c r="G2080" s="11" t="n">
        <x:v>2000</x:v>
      </x:c>
      <x:c r="H2080" s="12" t="n">
        <x:v>1100000000</x:v>
      </x:c>
      <x:c r="I2080" s="12" t="n">
        <x:v>550000</x:v>
      </x:c>
      <x:c r="J2080" s="2" t="str">
        <x:v>total</x:v>
      </x:c>
      <x:c r="K2080" s="2" t="str">
        <x:v>top_level_area</x:v>
      </x:c>
      <x:c r="L2080" s="2" t="str">
        <x:v>dot_thousands_convention;property_type_inferred_from_title;transaction_assumed_sale_from_dataset_context</x:v>
      </x:c>
      <x:c r="M2080" s="10" t="n">
        <x:v>0</x:v>
      </x:c>
      <x:c r="N2080" s="10" t="n">
        <x:v>0</x:v>
      </x:c>
      <x:c r="O2080" s="2" t="str">
        <x:v>Lâm Đồng|land</x:v>
      </x:c>
      <x:c r="P2080" s="10" t="n">
        <x:v>1</x:v>
      </x:c>
      <x:c r="Q2080" s="13" t="n">
        <x:f>IF(H2080="","",H2080/1000000000)</x:f>
        <x:v>1.1</x:v>
      </x:c>
      <x:c r="R2080" s="13" t="n">
        <x:f>IF(I2080="","",I2080/1000000)</x:f>
        <x:v>0.55</x:v>
      </x:c>
    </x:row>
    <x:row r="2081" ht="21" customHeight="1">
      <x:c r="A2081" s="10" t="n">
        <x:v>3013</x:v>
      </x:c>
      <x:c r="B2081" s="2" t="str">
        <x:v>323c17a5d155aff93daa</x:v>
      </x:c>
      <x:c r="C2081" s="2" t="str">
        <x:v>Tp Hồ Chí Minh</x:v>
      </x:c>
      <x:c r="D2081" s="2" t="str">
        <x:v>Quận Gò Vấp</x:v>
      </x:c>
      <x:c r="E2081" s="2" t="str">
        <x:v>land</x:v>
      </x:c>
      <x:c r="F2081" s="2" t="str">
        <x:v>sale_assumed</x:v>
      </x:c>
      <x:c r="G2081" s="11" t="n">
        <x:v>125</x:v>
      </x:c>
      <x:c r="H2081" s="12" t="n">
        <x:v>390000000</x:v>
      </x:c>
      <x:c r="I2081" s="12" t="n">
        <x:v>3120000</x:v>
      </x:c>
      <x:c r="J2081" s="2" t="str">
        <x:v>total</x:v>
      </x:c>
      <x:c r="K2081" s="2" t="str">
        <x:v>top_level_area</x:v>
      </x:c>
      <x:c r="L2081" s="2" t="str">
        <x:v>property_type_inferred_from_title;transaction_assumed_sale_from_dataset_context</x:v>
      </x:c>
      <x:c r="M2081" s="10" t="n">
        <x:v>0</x:v>
      </x:c>
      <x:c r="N2081" s="10" t="n">
        <x:v>0</x:v>
      </x:c>
      <x:c r="O2081" s="2" t="str">
        <x:v>Tp Hồ Chí Minh|land</x:v>
      </x:c>
      <x:c r="P2081" s="10" t="n">
        <x:v>1</x:v>
      </x:c>
      <x:c r="Q2081" s="13" t="n">
        <x:f>IF(H2081="","",H2081/1000000000)</x:f>
        <x:v>0.39</x:v>
      </x:c>
      <x:c r="R2081" s="13" t="n">
        <x:f>IF(I2081="","",I2081/1000000)</x:f>
        <x:v>3.12</x:v>
      </x:c>
    </x:row>
    <x:row r="2082" ht="21" customHeight="1">
      <x:c r="A2082" s="10" t="n">
        <x:v>3014</x:v>
      </x:c>
      <x:c r="B2082" s="2" t="str">
        <x:v>e7e55803191fc771f394</x:v>
      </x:c>
      <x:c r="C2082" s="2" t="str">
        <x:v>Tp Hồ Chí Minh</x:v>
      </x:c>
      <x:c r="D2082" s="2" t="str">
        <x:v>Quận 2</x:v>
      </x:c>
      <x:c r="E2082" s="2" t="str">
        <x:v>house</x:v>
      </x:c>
      <x:c r="F2082" s="2" t="str">
        <x:v>sale_assumed</x:v>
      </x:c>
      <x:c r="G2082" s="11" t="n">
        <x:v>58</x:v>
      </x:c>
      <x:c r="H2082" s="12" t="n">
        <x:v>990000000</x:v>
      </x:c>
      <x:c r="I2082" s="12" t="n">
        <x:v>17068965.51724138</x:v>
      </x:c>
      <x:c r="J2082" s="2" t="str">
        <x:v>total</x:v>
      </x:c>
      <x:c r="K2082" s="2" t="str">
        <x:v>top_level_area</x:v>
      </x:c>
      <x:c r="L2082" s="2" t="str">
        <x:v>property_type_inferred_from_title;transaction_assumed_sale_from_dataset_context</x:v>
      </x:c>
      <x:c r="M2082" s="10" t="n">
        <x:v>0</x:v>
      </x:c>
      <x:c r="N2082" s="10" t="n">
        <x:v>0</x:v>
      </x:c>
      <x:c r="O2082" s="2" t="str">
        <x:v>Tp Hồ Chí Minh|house</x:v>
      </x:c>
      <x:c r="P2082" s="10" t="n">
        <x:v>2</x:v>
      </x:c>
      <x:c r="Q2082" s="13" t="n">
        <x:f>IF(H2082="","",H2082/1000000000)</x:f>
        <x:v>0.99</x:v>
      </x:c>
      <x:c r="R2082" s="13" t="n">
        <x:f>IF(I2082="","",I2082/1000000)</x:f>
        <x:v>17.06896551724138</x:v>
      </x:c>
    </x:row>
    <x:row r="2083" ht="21" customHeight="1">
      <x:c r="A2083" s="10" t="n">
        <x:v>3015</x:v>
      </x:c>
      <x:c r="B2083" s="2" t="str">
        <x:v>496e1407e9e96efe621d</x:v>
      </x:c>
      <x:c r="C2083" s="2" t="str">
        <x:v>Tp Hồ Chí Minh</x:v>
      </x:c>
      <x:c r="D2083" s="2" t="str">
        <x:v>Quận 9</x:v>
      </x:c>
      <x:c r="E2083" s="2" t="str">
        <x:v>house</x:v>
      </x:c>
      <x:c r="F2083" s="2" t="str">
        <x:v>sale_assumed</x:v>
      </x:c>
      <x:c r="G2083" s="11" t="n">
        <x:v>115</x:v>
      </x:c>
      <x:c r="H2083" s="12" t="n">
        <x:v>18400000000</x:v>
      </x:c>
      <x:c r="I2083" s="12" t="n">
        <x:v>160000000</x:v>
      </x:c>
      <x:c r="J2083" s="2" t="str">
        <x:v>total</x:v>
      </x:c>
      <x:c r="K2083" s="2" t="str">
        <x:v>top_level_area</x:v>
      </x:c>
      <x:c r="L2083" s="2" t="str">
        <x:v>property_type_inferred_from_title;transaction_assumed_sale_from_dataset_context</x:v>
      </x:c>
      <x:c r="M2083" s="10" t="n">
        <x:v>0</x:v>
      </x:c>
      <x:c r="N2083" s="10" t="n">
        <x:v>0</x:v>
      </x:c>
      <x:c r="O2083" s="2" t="str">
        <x:v>Tp Hồ Chí Minh|house</x:v>
      </x:c>
      <x:c r="P2083" s="10" t="n">
        <x:v>2</x:v>
      </x:c>
      <x:c r="Q2083" s="13" t="n">
        <x:f>IF(H2083="","",H2083/1000000000)</x:f>
        <x:v>18.4</x:v>
      </x:c>
      <x:c r="R2083" s="13" t="n">
        <x:f>IF(I2083="","",I2083/1000000)</x:f>
        <x:v>160</x:v>
      </x:c>
    </x:row>
    <x:row r="2084" ht="21" customHeight="1">
      <x:c r="A2084" s="10" t="n">
        <x:v>3016</x:v>
      </x:c>
      <x:c r="B2084" s="2" t="str">
        <x:v>1392fd671c66189886aa</x:v>
      </x:c>
      <x:c r="C2084" s="2" t="str">
        <x:v>Tp Hồ Chí Minh</x:v>
      </x:c>
      <x:c r="D2084" s="2" t="str">
        <x:v>Quận 12</x:v>
      </x:c>
      <x:c r="E2084" s="2" t="str">
        <x:v>house</x:v>
      </x:c>
      <x:c r="F2084" s="2" t="str">
        <x:v>sale</x:v>
      </x:c>
      <x:c r="G2084" s="11" t="n">
        <x:v>68</x:v>
      </x:c>
      <x:c r="H2084" s="12" t="n">
        <x:v>3860000000</x:v>
      </x:c>
      <x:c r="I2084" s="12" t="n">
        <x:v>56764705.88235294</x:v>
      </x:c>
      <x:c r="J2084" s="2" t="str">
        <x:v>total</x:v>
      </x:c>
      <x:c r="K2084" s="2" t="str">
        <x:v>top_level_area</x:v>
      </x:c>
      <x:c r="L2084" s="2" t="str">
        <x:v>property_type_inferred_from_title</x:v>
      </x:c>
      <x:c r="M2084" s="10" t="n">
        <x:v>0</x:v>
      </x:c>
      <x:c r="N2084" s="10" t="n">
        <x:v>0</x:v>
      </x:c>
      <x:c r="O2084" s="2" t="str">
        <x:v>Tp Hồ Chí Minh|house</x:v>
      </x:c>
      <x:c r="P2084" s="10" t="n">
        <x:v>2</x:v>
      </x:c>
      <x:c r="Q2084" s="13" t="n">
        <x:f>IF(H2084="","",H2084/1000000000)</x:f>
        <x:v>3.86</x:v>
      </x:c>
      <x:c r="R2084" s="13" t="n">
        <x:f>IF(I2084="","",I2084/1000000)</x:f>
        <x:v>56.76470588235294</x:v>
      </x:c>
    </x:row>
    <x:row r="2085" ht="21" customHeight="1">
      <x:c r="A2085" s="10" t="n">
        <x:v>3017</x:v>
      </x:c>
      <x:c r="B2085" s="2" t="str">
        <x:v>2ea03e406e52b6a23b61</x:v>
      </x:c>
      <x:c r="C2085" s="2" t="str">
        <x:v>Tp Hồ Chí Minh</x:v>
      </x:c>
      <x:c r="D2085" s="2" t="str">
        <x:v>Quận 9</x:v>
      </x:c>
      <x:c r="E2085" s="2" t="str">
        <x:v>house</x:v>
      </x:c>
      <x:c r="F2085" s="2" t="str">
        <x:v>sale_assumed</x:v>
      </x:c>
      <x:c r="G2085" s="11" t="n">
        <x:v>14</x:v>
      </x:c>
      <x:c r="H2085" s="12" t="n">
        <x:v>850000000</x:v>
      </x:c>
      <x:c r="I2085" s="12" t="n">
        <x:v>60714285.71428572</x:v>
      </x:c>
      <x:c r="J2085" s="2" t="str">
        <x:v>total</x:v>
      </x:c>
      <x:c r="K2085" s="2" t="str">
        <x:v>top_level_area</x:v>
      </x:c>
      <x:c r="L2085" s="2" t="str">
        <x:v>property_type_inferred_from_title;transaction_assumed_sale_from_dataset_context</x:v>
      </x:c>
      <x:c r="M2085" s="10" t="n">
        <x:v>0</x:v>
      </x:c>
      <x:c r="N2085" s="10" t="n">
        <x:v>0</x:v>
      </x:c>
      <x:c r="O2085" s="2" t="str">
        <x:v>Tp Hồ Chí Minh|house</x:v>
      </x:c>
      <x:c r="P2085" s="10" t="n">
        <x:v>2</x:v>
      </x:c>
      <x:c r="Q2085" s="13" t="n">
        <x:f>IF(H2085="","",H2085/1000000000)</x:f>
        <x:v>0.85</x:v>
      </x:c>
      <x:c r="R2085" s="13" t="n">
        <x:f>IF(I2085="","",I2085/1000000)</x:f>
        <x:v>60.714285714285715</x:v>
      </x:c>
    </x:row>
    <x:row r="2086" ht="21" customHeight="1">
      <x:c r="A2086" s="10" t="n">
        <x:v>3018</x:v>
      </x:c>
      <x:c r="B2086" s="2" t="str">
        <x:v>63b7f47519c7be8ffa40</x:v>
      </x:c>
      <x:c r="C2086" s="2" t="str">
        <x:v>Hà Nội</x:v>
      </x:c>
      <x:c r="D2086" s="2" t="str">
        <x:v>Quận Long Biên</x:v>
      </x:c>
      <x:c r="E2086" s="2" t="str">
        <x:v>house</x:v>
      </x:c>
      <x:c r="F2086" s="2" t="str">
        <x:v>sale</x:v>
      </x:c>
      <x:c r="G2086" s="11" t="n">
        <x:v>61</x:v>
      </x:c>
      <x:c r="H2086" s="12" t="n">
        <x:v>4500000000</x:v>
      </x:c>
      <x:c r="I2086" s="12" t="n">
        <x:v>73770491.80327868</x:v>
      </x:c>
      <x:c r="J2086" s="2" t="str">
        <x:v>total</x:v>
      </x:c>
      <x:c r="K2086" s="2" t="str">
        <x:v>top_level_area</x:v>
      </x:c>
      <x:c r="L2086" s="2" t="str">
        <x:v>property_type_inferred_from_title</x:v>
      </x:c>
      <x:c r="M2086" s="10" t="n">
        <x:v>0</x:v>
      </x:c>
      <x:c r="N2086" s="10" t="n">
        <x:v>0</x:v>
      </x:c>
      <x:c r="O2086" s="2" t="str">
        <x:v>Hà Nội|house</x:v>
      </x:c>
      <x:c r="P2086" s="10" t="n">
        <x:v>2</x:v>
      </x:c>
      <x:c r="Q2086" s="13" t="n">
        <x:f>IF(H2086="","",H2086/1000000000)</x:f>
        <x:v>4.5</x:v>
      </x:c>
      <x:c r="R2086" s="13" t="n">
        <x:f>IF(I2086="","",I2086/1000000)</x:f>
        <x:v>73.77049180327869</x:v>
      </x:c>
    </x:row>
    <x:row r="2087" ht="21" customHeight="1">
      <x:c r="A2087" s="10" t="n">
        <x:v>3019</x:v>
      </x:c>
      <x:c r="B2087" s="2" t="str">
        <x:v>c7912d162b10c244d32d</x:v>
      </x:c>
      <x:c r="C2087" s="2" t="str">
        <x:v>Lâm Đồng</x:v>
      </x:c>
      <x:c r="D2087" s="2" t="str">
        <x:v>Thành phố Đà Lạt</x:v>
      </x:c>
      <x:c r="E2087" s="2" t="str">
        <x:v>land</x:v>
      </x:c>
      <x:c r="F2087" s="2" t="str">
        <x:v>sale_assumed</x:v>
      </x:c>
      <x:c r="G2087" s="11" t="n">
        <x:v>200</x:v>
      </x:c>
      <x:c r="H2087" s="12" t="n">
        <x:v>1300000000</x:v>
      </x:c>
      <x:c r="I2087" s="12" t="n">
        <x:v>6500000</x:v>
      </x:c>
      <x:c r="J2087" s="2" t="str">
        <x:v>total</x:v>
      </x:c>
      <x:c r="K2087" s="2" t="str">
        <x:v>top_level_area</x:v>
      </x:c>
      <x:c r="L2087" s="2" t="str">
        <x:v>property_type_inferred_from_title;transaction_assumed_sale_from_dataset_context</x:v>
      </x:c>
      <x:c r="M2087" s="10" t="n">
        <x:v>0</x:v>
      </x:c>
      <x:c r="N2087" s="10" t="n">
        <x:v>0</x:v>
      </x:c>
      <x:c r="O2087" s="2" t="str">
        <x:v>Lâm Đồng|land</x:v>
      </x:c>
      <x:c r="P2087" s="10" t="n">
        <x:v>1</x:v>
      </x:c>
      <x:c r="Q2087" s="13" t="n">
        <x:f>IF(H2087="","",H2087/1000000000)</x:f>
        <x:v>1.3</x:v>
      </x:c>
      <x:c r="R2087" s="13" t="n">
        <x:f>IF(I2087="","",I2087/1000000)</x:f>
        <x:v>6.5</x:v>
      </x:c>
    </x:row>
    <x:row r="2088" ht="21" customHeight="1">
      <x:c r="A2088" s="10" t="n">
        <x:v>3020</x:v>
      </x:c>
      <x:c r="B2088" s="2" t="str">
        <x:v>1c241dc18670a5ed7873</x:v>
      </x:c>
      <x:c r="C2088" s="2" t="str">
        <x:v>Tp Hồ Chí Minh</x:v>
      </x:c>
      <x:c r="D2088" s="2" t="str">
        <x:v>Quận Bình Tân</x:v>
      </x:c>
      <x:c r="E2088" s="2" t="str">
        <x:v>land</x:v>
      </x:c>
      <x:c r="F2088" s="2" t="str">
        <x:v>sale</x:v>
      </x:c>
      <x:c r="G2088" s="11" t="n">
        <x:v>63</x:v>
      </x:c>
      <x:c r="H2088" s="12" t="n">
        <x:v>3120000000</x:v>
      </x:c>
      <x:c r="I2088" s="12" t="n">
        <x:v>49523809.52380952</x:v>
      </x:c>
      <x:c r="J2088" s="2" t="str">
        <x:v>total</x:v>
      </x:c>
      <x:c r="K2088" s="2" t="str">
        <x:v>top_level_area</x:v>
      </x:c>
      <x:c r="L2088" s="2" t="str">
        <x:v>property_type_inferred_from_title</x:v>
      </x:c>
      <x:c r="M2088" s="10" t="n">
        <x:v>0</x:v>
      </x:c>
      <x:c r="N2088" s="10" t="n">
        <x:v>0</x:v>
      </x:c>
      <x:c r="O2088" s="2" t="str">
        <x:v>Tp Hồ Chí Minh|land</x:v>
      </x:c>
      <x:c r="P2088" s="10" t="n">
        <x:v>2</x:v>
      </x:c>
      <x:c r="Q2088" s="13" t="n">
        <x:f>IF(H2088="","",H2088/1000000000)</x:f>
        <x:v>3.12</x:v>
      </x:c>
      <x:c r="R2088" s="13" t="n">
        <x:f>IF(I2088="","",I2088/1000000)</x:f>
        <x:v>49.523809523809526</x:v>
      </x:c>
    </x:row>
    <x:row r="2089" ht="21" customHeight="1">
      <x:c r="A2089" s="10" t="n">
        <x:v>3021</x:v>
      </x:c>
      <x:c r="B2089" s="2" t="str">
        <x:v>6d85a18d03edfba38df7</x:v>
      </x:c>
      <x:c r="C2089" s="2" t="str">
        <x:v>Tp Hồ Chí Minh</x:v>
      </x:c>
      <x:c r="D2089" s="2" t="str">
        <x:v>Quận Thủ Đức</x:v>
      </x:c>
      <x:c r="E2089" s="2" t="str">
        <x:v>land</x:v>
      </x:c>
      <x:c r="F2089" s="2" t="str">
        <x:v>sale_assumed</x:v>
      </x:c>
      <x:c r="G2089" s="11" t="n">
        <x:v>100</x:v>
      </x:c>
      <x:c r="H2089" s="12" t="n">
        <x:v>2100000000</x:v>
      </x:c>
      <x:c r="I2089" s="12" t="n">
        <x:v>21000000</x:v>
      </x:c>
      <x:c r="J2089" s="2" t="str">
        <x:v>total</x:v>
      </x:c>
      <x:c r="K2089" s="2" t="str">
        <x:v>top_level_area</x:v>
      </x:c>
      <x:c r="L2089" s="2" t="str">
        <x:v>property_type_inferred_from_title;transaction_assumed_sale_from_dataset_context</x:v>
      </x:c>
      <x:c r="M2089" s="10" t="n">
        <x:v>0</x:v>
      </x:c>
      <x:c r="N2089" s="10" t="n">
        <x:v>0</x:v>
      </x:c>
      <x:c r="O2089" s="2" t="str">
        <x:v>Tp Hồ Chí Minh|land</x:v>
      </x:c>
      <x:c r="P2089" s="10" t="n">
        <x:v>2</x:v>
      </x:c>
      <x:c r="Q2089" s="13" t="n">
        <x:f>IF(H2089="","",H2089/1000000000)</x:f>
        <x:v>2.1</x:v>
      </x:c>
      <x:c r="R2089" s="13" t="n">
        <x:f>IF(I2089="","",I2089/1000000)</x:f>
        <x:v>21</x:v>
      </x:c>
    </x:row>
    <x:row r="2090" ht="21" customHeight="1">
      <x:c r="A2090" s="10" t="n">
        <x:v>3022</x:v>
      </x:c>
      <x:c r="B2090" s="2" t="str">
        <x:v>d4b3c01c785b329cbd65</x:v>
      </x:c>
      <x:c r="C2090" s="2" t="str">
        <x:v>Hà Nội</x:v>
      </x:c>
      <x:c r="D2090" s="2" t="str">
        <x:v>Huyện Thanh Trì</x:v>
      </x:c>
      <x:c r="E2090" s="2" t="str">
        <x:v>land</x:v>
      </x:c>
      <x:c r="F2090" s="2" t="str">
        <x:v>sale_assumed</x:v>
      </x:c>
      <x:c r="G2090" s="11" t="n">
        <x:v>43</x:v>
      </x:c>
      <x:c r="H2090" s="12" t="n">
        <x:v>1350000000</x:v>
      </x:c>
      <x:c r="I2090" s="12" t="n">
        <x:v>31395348.837209303</x:v>
      </x:c>
      <x:c r="J2090" s="2" t="str">
        <x:v>total</x:v>
      </x:c>
      <x:c r="K2090" s="2" t="str">
        <x:v>top_level_area</x:v>
      </x:c>
      <x:c r="L2090" s="2" t="str">
        <x:v>property_type_inferred_from_title;transaction_assumed_sale_from_dataset_context</x:v>
      </x:c>
      <x:c r="M2090" s="10" t="n">
        <x:v>0</x:v>
      </x:c>
      <x:c r="N2090" s="10" t="n">
        <x:v>0</x:v>
      </x:c>
      <x:c r="O2090" s="2" t="str">
        <x:v>Hà Nội|land</x:v>
      </x:c>
      <x:c r="P2090" s="10" t="n">
        <x:v>2</x:v>
      </x:c>
      <x:c r="Q2090" s="13" t="n">
        <x:f>IF(H2090="","",H2090/1000000000)</x:f>
        <x:v>1.35</x:v>
      </x:c>
      <x:c r="R2090" s="13" t="n">
        <x:f>IF(I2090="","",I2090/1000000)</x:f>
        <x:v>31.3953488372093</x:v>
      </x:c>
    </x:row>
    <x:row r="2091" ht="21" customHeight="1">
      <x:c r="A2091" s="10" t="n">
        <x:v>3023</x:v>
      </x:c>
      <x:c r="B2091" s="2" t="str">
        <x:v>30daa8a5e06d093e555a</x:v>
      </x:c>
      <x:c r="C2091" s="2" t="str">
        <x:v>Tp Hồ Chí Minh</x:v>
      </x:c>
      <x:c r="D2091" s="2" t="str">
        <x:v>Huyện Nhà Bè</x:v>
      </x:c>
      <x:c r="E2091" s="2" t="str">
        <x:v>apartment</x:v>
      </x:c>
      <x:c r="F2091" s="2" t="str">
        <x:v>sale_assumed</x:v>
      </x:c>
      <x:c r="G2091" s="11" t="n">
        <x:v>91</x:v>
      </x:c>
      <x:c r="H2091" s="12" t="n">
        <x:v>1260000000</x:v>
      </x:c>
      <x:c r="I2091" s="12" t="n">
        <x:v>13846153.846153846</x:v>
      </x:c>
      <x:c r="J2091" s="2" t="str">
        <x:v>total</x:v>
      </x:c>
      <x:c r="K2091" s="2" t="str">
        <x:v>top_level_area</x:v>
      </x:c>
      <x:c r="L2091" s="2" t="str">
        <x:v>property_type_inferred_from_title;transaction_assumed_sale_from_dataset_context</x:v>
      </x:c>
      <x:c r="M2091" s="10" t="n">
        <x:v>0</x:v>
      </x:c>
      <x:c r="N2091" s="10" t="n">
        <x:v>0</x:v>
      </x:c>
      <x:c r="O2091" s="2" t="str">
        <x:v>Tp Hồ Chí Minh|apartment</x:v>
      </x:c>
      <x:c r="P2091" s="10" t="n">
        <x:v>2</x:v>
      </x:c>
      <x:c r="Q2091" s="13" t="n">
        <x:f>IF(H2091="","",H2091/1000000000)</x:f>
        <x:v>1.26</x:v>
      </x:c>
      <x:c r="R2091" s="13" t="n">
        <x:f>IF(I2091="","",I2091/1000000)</x:f>
        <x:v>13.846153846153847</x:v>
      </x:c>
    </x:row>
    <x:row r="2092" ht="21" customHeight="1">
      <x:c r="A2092" s="10" t="n">
        <x:v>3024</x:v>
      </x:c>
      <x:c r="B2092" s="2" t="str">
        <x:v>b6361805396fbc004ef5</x:v>
      </x:c>
      <x:c r="C2092" s="2" t="str">
        <x:v>Bình Dương</x:v>
      </x:c>
      <x:c r="D2092" s="2" t="str">
        <x:v>Thị xã Thuận An</x:v>
      </x:c>
      <x:c r="E2092" s="2" t="str">
        <x:v>other_unknown</x:v>
      </x:c>
      <x:c r="F2092" s="2" t="str">
        <x:v>sale_assumed</x:v>
      </x:c>
      <x:c r="G2092" s="11" t="n">
        <x:v>60</x:v>
      </x:c>
      <x:c r="H2092" s="12" t="n">
        <x:v>1700000000</x:v>
      </x:c>
      <x:c r="I2092" s="12" t="n">
        <x:v>28333333.333333332</x:v>
      </x:c>
      <x:c r="J2092" s="2" t="str">
        <x:v>total</x:v>
      </x:c>
      <x:c r="K2092" s="2" t="str">
        <x:v>top_level_price_embedded_area</x:v>
      </x:c>
      <x:c r="L2092" s="2" t="str">
        <x:v>area_recovered_from_price_text;property_type_inferred_from_title;transaction_assumed_sale_from_dataset_context;unknown_property_type</x:v>
      </x:c>
      <x:c r="M2092" s="10" t="n">
        <x:v>0</x:v>
      </x:c>
      <x:c r="N2092" s="10" t="n">
        <x:v>0</x:v>
      </x:c>
      <x:c r="O2092" s="2" t="str">
        <x:v>Bình Dương|other_unknown</x:v>
      </x:c>
      <x:c r="P2092" s="10" t="n">
        <x:v>2</x:v>
      </x:c>
      <x:c r="Q2092" s="13" t="n">
        <x:f>IF(H2092="","",H2092/1000000000)</x:f>
        <x:v>1.7</x:v>
      </x:c>
      <x:c r="R2092" s="13" t="n">
        <x:f>IF(I2092="","",I2092/1000000)</x:f>
        <x:v>28.333333333333332</x:v>
      </x:c>
    </x:row>
    <x:row r="2093" ht="21" customHeight="1">
      <x:c r="A2093" s="10" t="n">
        <x:v>3025</x:v>
      </x:c>
      <x:c r="B2093" s="2" t="str">
        <x:v>7cefeb17f258929b87fe</x:v>
      </x:c>
      <x:c r="C2093" s="2" t="str">
        <x:v>Tp Hồ Chí Minh</x:v>
      </x:c>
      <x:c r="D2093" s="2" t="str">
        <x:v>Quận 11</x:v>
      </x:c>
      <x:c r="E2093" s="2" t="str">
        <x:v>house</x:v>
      </x:c>
      <x:c r="F2093" s="2" t="str">
        <x:v>sale</x:v>
      </x:c>
      <x:c r="G2093" s="11" t="n">
        <x:v>60</x:v>
      </x:c>
      <x:c r="H2093" s="12" t="n">
        <x:v>1300000000</x:v>
      </x:c>
      <x:c r="I2093" s="12" t="n">
        <x:v>21666666.666666668</x:v>
      </x:c>
      <x:c r="J2093" s="2" t="str">
        <x:v>total</x:v>
      </x:c>
      <x:c r="K2093" s="2" t="str">
        <x:v>top_level_area</x:v>
      </x:c>
      <x:c r="L2093" s="2" t="str">
        <x:v>property_type_inferred_from_title</x:v>
      </x:c>
      <x:c r="M2093" s="10" t="n">
        <x:v>0</x:v>
      </x:c>
      <x:c r="N2093" s="10" t="n">
        <x:v>0</x:v>
      </x:c>
      <x:c r="O2093" s="2" t="str">
        <x:v>Tp Hồ Chí Minh|house</x:v>
      </x:c>
      <x:c r="P2093" s="10" t="n">
        <x:v>2</x:v>
      </x:c>
      <x:c r="Q2093" s="13" t="n">
        <x:f>IF(H2093="","",H2093/1000000000)</x:f>
        <x:v>1.3</x:v>
      </x:c>
      <x:c r="R2093" s="13" t="n">
        <x:f>IF(I2093="","",I2093/1000000)</x:f>
        <x:v>21.666666666666668</x:v>
      </x:c>
    </x:row>
    <x:row r="2094" ht="21" customHeight="1">
      <x:c r="A2094" s="10" t="n">
        <x:v>3026</x:v>
      </x:c>
      <x:c r="B2094" s="2" t="str">
        <x:v>8a3becf3b8b46dde312d</x:v>
      </x:c>
      <x:c r="C2094" s="2" t="str">
        <x:v>Long An</x:v>
      </x:c>
      <x:c r="D2094" s="2" t="str">
        <x:v>Huyện Bến Lức</x:v>
      </x:c>
      <x:c r="E2094" s="2" t="str">
        <x:v>land</x:v>
      </x:c>
      <x:c r="F2094" s="2" t="str">
        <x:v>sale_assumed</x:v>
      </x:c>
      <x:c r="G2094" s="11" t="n">
        <x:v>100</x:v>
      </x:c>
      <x:c r="H2094" s="12" t="n">
        <x:v>750000000</x:v>
      </x:c>
      <x:c r="I2094" s="12" t="n">
        <x:v>7500000</x:v>
      </x:c>
      <x:c r="J2094" s="2" t="str">
        <x:v>total</x:v>
      </x:c>
      <x:c r="K2094" s="2" t="str">
        <x:v>top_level_area</x:v>
      </x:c>
      <x:c r="L2094" s="2" t="str">
        <x:v>property_type_inferred_from_title;transaction_assumed_sale_from_dataset_context</x:v>
      </x:c>
      <x:c r="M2094" s="10" t="n">
        <x:v>0</x:v>
      </x:c>
      <x:c r="N2094" s="10" t="n">
        <x:v>0</x:v>
      </x:c>
      <x:c r="O2094" s="2" t="str">
        <x:v>Long An|land</x:v>
      </x:c>
      <x:c r="P2094" s="10" t="n">
        <x:v>2</x:v>
      </x:c>
      <x:c r="Q2094" s="13" t="n">
        <x:f>IF(H2094="","",H2094/1000000000)</x:f>
        <x:v>0.75</x:v>
      </x:c>
      <x:c r="R2094" s="13" t="n">
        <x:f>IF(I2094="","",I2094/1000000)</x:f>
        <x:v>7.5</x:v>
      </x:c>
    </x:row>
    <x:row r="2095" ht="21" customHeight="1">
      <x:c r="A2095" s="10" t="n">
        <x:v>3027</x:v>
      </x:c>
      <x:c r="B2095" s="2" t="str">
        <x:v>5058dc33676eed96f157</x:v>
      </x:c>
      <x:c r="C2095" s="2" t="str">
        <x:v>Hà Nội</x:v>
      </x:c>
      <x:c r="D2095" s="2" t="str">
        <x:v>Quận Long Biên</x:v>
      </x:c>
      <x:c r="E2095" s="2" t="str">
        <x:v>house</x:v>
      </x:c>
      <x:c r="F2095" s="2" t="str">
        <x:v>sale_assumed</x:v>
      </x:c>
      <x:c r="G2095" s="11" t="n">
        <x:v>27</x:v>
      </x:c>
      <x:c r="H2095" s="12" t="n">
        <x:v>2450000000</x:v>
      </x:c>
      <x:c r="I2095" s="12" t="n">
        <x:v>90740740.74074075</x:v>
      </x:c>
      <x:c r="J2095" s="2" t="str">
        <x:v>total</x:v>
      </x:c>
      <x:c r="K2095" s="2" t="str">
        <x:v>top_level_area</x:v>
      </x:c>
      <x:c r="L2095" s="2" t="str">
        <x:v>property_type_inferred_from_title;transaction_assumed_sale_from_dataset_context</x:v>
      </x:c>
      <x:c r="M2095" s="10" t="n">
        <x:v>0</x:v>
      </x:c>
      <x:c r="N2095" s="10" t="n">
        <x:v>0</x:v>
      </x:c>
      <x:c r="O2095" s="2" t="str">
        <x:v>Hà Nội|house</x:v>
      </x:c>
      <x:c r="P2095" s="10" t="n">
        <x:v>2</x:v>
      </x:c>
      <x:c r="Q2095" s="13" t="n">
        <x:f>IF(H2095="","",H2095/1000000000)</x:f>
        <x:v>2.45</x:v>
      </x:c>
      <x:c r="R2095" s="13" t="n">
        <x:f>IF(I2095="","",I2095/1000000)</x:f>
        <x:v>90.74074074074075</x:v>
      </x:c>
    </x:row>
    <x:row r="2096" ht="21" customHeight="1">
      <x:c r="A2096" s="10" t="n">
        <x:v>3028</x:v>
      </x:c>
      <x:c r="B2096" s="2" t="str">
        <x:v>fadec36fe2a9ee719019</x:v>
      </x:c>
      <x:c r="C2096" s="2" t="str">
        <x:v>Tp Hồ Chí Minh</x:v>
      </x:c>
      <x:c r="D2096" s="2" t="str">
        <x:v>Huyện Hóc Môn</x:v>
      </x:c>
      <x:c r="E2096" s="2" t="str">
        <x:v>house</x:v>
      </x:c>
      <x:c r="F2096" s="2" t="str">
        <x:v>sale</x:v>
      </x:c>
      <x:c r="G2096" s="11" t="n">
        <x:v>40</x:v>
      </x:c>
      <x:c r="H2096" s="12" t="n">
        <x:v>400000000</x:v>
      </x:c>
      <x:c r="I2096" s="12" t="n">
        <x:v>10000000</x:v>
      </x:c>
      <x:c r="J2096" s="2" t="str">
        <x:v>total</x:v>
      </x:c>
      <x:c r="K2096" s="2" t="str">
        <x:v>top_level_area</x:v>
      </x:c>
      <x:c r="L2096" s="2" t="str">
        <x:v>property_type_inferred_from_title</x:v>
      </x:c>
      <x:c r="M2096" s="10" t="n">
        <x:v>0</x:v>
      </x:c>
      <x:c r="N2096" s="10" t="n">
        <x:v>0</x:v>
      </x:c>
      <x:c r="O2096" s="2" t="str">
        <x:v>Tp Hồ Chí Minh|house</x:v>
      </x:c>
      <x:c r="P2096" s="10" t="n">
        <x:v>2</x:v>
      </x:c>
      <x:c r="Q2096" s="13" t="n">
        <x:f>IF(H2096="","",H2096/1000000000)</x:f>
        <x:v>0.4</x:v>
      </x:c>
      <x:c r="R2096" s="13" t="n">
        <x:f>IF(I2096="","",I2096/1000000)</x:f>
        <x:v>10</x:v>
      </x:c>
    </x:row>
    <x:row r="2097" ht="21" customHeight="1">
      <x:c r="A2097" s="10" t="n">
        <x:v>3029</x:v>
      </x:c>
      <x:c r="B2097" s="2" t="str">
        <x:v>c3fc70aa7375ffeb2db7</x:v>
      </x:c>
      <x:c r="C2097" s="2" t="str">
        <x:v>Bình Dương</x:v>
      </x:c>
      <x:c r="D2097" s="2" t="str">
        <x:v>Huyện Bàu Bàng</x:v>
      </x:c>
      <x:c r="E2097" s="2" t="str">
        <x:v>house</x:v>
      </x:c>
      <x:c r="F2097" s="2" t="str">
        <x:v>sale</x:v>
      </x:c>
      <x:c r="G2097" s="11" t="n">
        <x:v>397</x:v>
      </x:c>
      <x:c r="H2097" s="12" t="n">
        <x:v>500000000</x:v>
      </x:c>
      <x:c r="I2097" s="12" t="n">
        <x:v>1259445.8438287154</x:v>
      </x:c>
      <x:c r="J2097" s="2" t="str">
        <x:v>total</x:v>
      </x:c>
      <x:c r="K2097" s="2" t="str">
        <x:v>top_level_price_embedded_area</x:v>
      </x:c>
      <x:c r="L2097" s="2" t="str">
        <x:v>area_recovered_from_price_text;property_type_inferred_from_title</x:v>
      </x:c>
      <x:c r="M2097" s="10" t="n">
        <x:v>0</x:v>
      </x:c>
      <x:c r="N2097" s="10" t="n">
        <x:v>0</x:v>
      </x:c>
      <x:c r="O2097" s="2" t="str">
        <x:v>Bình Dương|house</x:v>
      </x:c>
      <x:c r="P2097" s="10" t="n">
        <x:v>1</x:v>
      </x:c>
      <x:c r="Q2097" s="13" t="n">
        <x:f>IF(H2097="","",H2097/1000000000)</x:f>
        <x:v>0.5</x:v>
      </x:c>
      <x:c r="R2097" s="13" t="n">
        <x:f>IF(I2097="","",I2097/1000000)</x:f>
        <x:v>1.2594458438287155</x:v>
      </x:c>
    </x:row>
    <x:row r="2098" ht="21" customHeight="1">
      <x:c r="A2098" s="10" t="n">
        <x:v>3030</x:v>
      </x:c>
      <x:c r="B2098" s="2" t="str">
        <x:v>f87a7920df3c2b6d3014</x:v>
      </x:c>
      <x:c r="C2098" s="2" t="str">
        <x:v>Tp Hồ Chí Minh</x:v>
      </x:c>
      <x:c r="D2098" s="2" t="str">
        <x:v>Quận 8</x:v>
      </x:c>
      <x:c r="E2098" s="2" t="str">
        <x:v>house</x:v>
      </x:c>
      <x:c r="F2098" s="2" t="str">
        <x:v>sale_assumed</x:v>
      </x:c>
      <x:c r="G2098" s="11" t="n">
        <x:v>42</x:v>
      </x:c>
      <x:c r="H2098" s="12" t="n">
        <x:v>3250000000</x:v>
      </x:c>
      <x:c r="I2098" s="12" t="n">
        <x:v>77380952.38095239</x:v>
      </x:c>
      <x:c r="J2098" s="2" t="str">
        <x:v>total</x:v>
      </x:c>
      <x:c r="K2098" s="2" t="str">
        <x:v>top_level_area</x:v>
      </x:c>
      <x:c r="L2098" s="2" t="str">
        <x:v>property_type_inferred_from_title;transaction_assumed_sale_from_dataset_context</x:v>
      </x:c>
      <x:c r="M2098" s="10" t="n">
        <x:v>0</x:v>
      </x:c>
      <x:c r="N2098" s="10" t="n">
        <x:v>0</x:v>
      </x:c>
      <x:c r="O2098" s="2" t="str">
        <x:v>Tp Hồ Chí Minh|house</x:v>
      </x:c>
      <x:c r="P2098" s="10" t="n">
        <x:v>2</x:v>
      </x:c>
      <x:c r="Q2098" s="13" t="n">
        <x:f>IF(H2098="","",H2098/1000000000)</x:f>
        <x:v>3.25</x:v>
      </x:c>
      <x:c r="R2098" s="13" t="n">
        <x:f>IF(I2098="","",I2098/1000000)</x:f>
        <x:v>77.3809523809524</x:v>
      </x:c>
    </x:row>
    <x:row r="2099" ht="21" customHeight="1">
      <x:c r="A2099" s="10" t="n">
        <x:v>3032</x:v>
      </x:c>
      <x:c r="B2099" s="2" t="str">
        <x:v>63654045dc62fbf61773</x:v>
      </x:c>
      <x:c r="C2099" s="2" t="str">
        <x:v>Hà Nội</x:v>
      </x:c>
      <x:c r="D2099" s="2" t="str">
        <x:v>Quận Nam Từ Liêm</x:v>
      </x:c>
      <x:c r="E2099" s="2" t="str">
        <x:v>apartment</x:v>
      </x:c>
      <x:c r="F2099" s="2" t="str">
        <x:v>sale_assumed</x:v>
      </x:c>
      <x:c r="G2099" s="11" t="n">
        <x:v>85</x:v>
      </x:c>
      <x:c r="H2099" s="12" t="n">
        <x:v>2900000000</x:v>
      </x:c>
      <x:c r="I2099" s="12" t="n">
        <x:v>34117647.058823526</x:v>
      </x:c>
      <x:c r="J2099" s="2" t="str">
        <x:v>total</x:v>
      </x:c>
      <x:c r="K2099" s="2" t="str">
        <x:v>top_level_area</x:v>
      </x:c>
      <x:c r="L2099" s="2" t="str">
        <x:v>property_type_inferred_from_title;transaction_assumed_sale_from_dataset_context</x:v>
      </x:c>
      <x:c r="M2099" s="10" t="n">
        <x:v>0</x:v>
      </x:c>
      <x:c r="N2099" s="10" t="n">
        <x:v>0</x:v>
      </x:c>
      <x:c r="O2099" s="2" t="str">
        <x:v>Hà Nội|apartment</x:v>
      </x:c>
      <x:c r="P2099" s="10" t="n">
        <x:v>2</x:v>
      </x:c>
      <x:c r="Q2099" s="13" t="n">
        <x:f>IF(H2099="","",H2099/1000000000)</x:f>
        <x:v>2.9</x:v>
      </x:c>
      <x:c r="R2099" s="13" t="n">
        <x:f>IF(I2099="","",I2099/1000000)</x:f>
        <x:v>34.11764705882353</x:v>
      </x:c>
    </x:row>
    <x:row r="2100" ht="21" customHeight="1">
      <x:c r="A2100" s="10" t="n">
        <x:v>3035</x:v>
      </x:c>
      <x:c r="B2100" s="2" t="str">
        <x:v>2a84d499c1d1a2fc63b1</x:v>
      </x:c>
      <x:c r="C2100" s="2" t="str">
        <x:v>Long An</x:v>
      </x:c>
      <x:c r="D2100" s="2" t="str">
        <x:v>Huyện Đức Hòa</x:v>
      </x:c>
      <x:c r="E2100" s="2" t="str">
        <x:v>house</x:v>
      </x:c>
      <x:c r="F2100" s="2" t="str">
        <x:v>sale</x:v>
      </x:c>
      <x:c r="G2100" s="11" t="n">
        <x:v>40</x:v>
      </x:c>
      <x:c r="H2100" s="12" t="n">
        <x:v>680000000</x:v>
      </x:c>
      <x:c r="I2100" s="12" t="n">
        <x:v>17000000</x:v>
      </x:c>
      <x:c r="J2100" s="2" t="str">
        <x:v>total</x:v>
      </x:c>
      <x:c r="K2100" s="2" t="str">
        <x:v>top_level_price_embedded_area</x:v>
      </x:c>
      <x:c r="L2100" s="2" t="str">
        <x:v>area_recovered_from_price_text;property_type_inferred_from_title</x:v>
      </x:c>
      <x:c r="M2100" s="10" t="n">
        <x:v>0</x:v>
      </x:c>
      <x:c r="N2100" s="10" t="n">
        <x:v>0</x:v>
      </x:c>
      <x:c r="O2100" s="2" t="str">
        <x:v>Long An|house</x:v>
      </x:c>
      <x:c r="P2100" s="10" t="n">
        <x:v>2</x:v>
      </x:c>
      <x:c r="Q2100" s="13" t="n">
        <x:f>IF(H2100="","",H2100/1000000000)</x:f>
        <x:v>0.68</x:v>
      </x:c>
      <x:c r="R2100" s="13" t="n">
        <x:f>IF(I2100="","",I2100/1000000)</x:f>
        <x:v>17</x:v>
      </x:c>
    </x:row>
    <x:row r="2101" ht="21" customHeight="1">
      <x:c r="A2101" s="10" t="n">
        <x:v>3036</x:v>
      </x:c>
      <x:c r="B2101" s="2" t="str">
        <x:v>623a410c33e99fcd4961</x:v>
      </x:c>
      <x:c r="C2101" s="2" t="str">
        <x:v>Tp Hồ Chí Minh</x:v>
      </x:c>
      <x:c r="D2101" s="2" t="str">
        <x:v>Quận Bình Thạnh</x:v>
      </x:c>
      <x:c r="E2101" s="2" t="str">
        <x:v>house</x:v>
      </x:c>
      <x:c r="F2101" s="2" t="str">
        <x:v>sale_assumed</x:v>
      </x:c>
      <x:c r="G2101" s="11" t="n">
        <x:v>38</x:v>
      </x:c>
      <x:c r="H2101" s="12" t="n">
        <x:v>4300000000</x:v>
      </x:c>
      <x:c r="I2101" s="12" t="n">
        <x:v>113157894.73684211</x:v>
      </x:c>
      <x:c r="J2101" s="2" t="str">
        <x:v>total</x:v>
      </x:c>
      <x:c r="K2101" s="2" t="str">
        <x:v>top_level_area</x:v>
      </x:c>
      <x:c r="L2101" s="2" t="str">
        <x:v>property_type_inferred_from_title;transaction_assumed_sale_from_dataset_context</x:v>
      </x:c>
      <x:c r="M2101" s="10" t="n">
        <x:v>0</x:v>
      </x:c>
      <x:c r="N2101" s="10" t="n">
        <x:v>0</x:v>
      </x:c>
      <x:c r="O2101" s="2" t="str">
        <x:v>Tp Hồ Chí Minh|house</x:v>
      </x:c>
      <x:c r="P2101" s="10" t="n">
        <x:v>2</x:v>
      </x:c>
      <x:c r="Q2101" s="13" t="n">
        <x:f>IF(H2101="","",H2101/1000000000)</x:f>
        <x:v>4.3</x:v>
      </x:c>
      <x:c r="R2101" s="13" t="n">
        <x:f>IF(I2101="","",I2101/1000000)</x:f>
        <x:v>113.15789473684211</x:v>
      </x:c>
    </x:row>
    <x:row r="2102" ht="21" customHeight="1">
      <x:c r="A2102" s="10" t="n">
        <x:v>3037</x:v>
      </x:c>
      <x:c r="B2102" s="2" t="str">
        <x:v>e5bcc4bb35215d448a8e</x:v>
      </x:c>
      <x:c r="C2102" s="2" t="str">
        <x:v>Long An</x:v>
      </x:c>
      <x:c r="D2102" s="2" t="str">
        <x:v>Huyện Đức Hòa</x:v>
      </x:c>
      <x:c r="E2102" s="2" t="str">
        <x:v>land</x:v>
      </x:c>
      <x:c r="F2102" s="2" t="str">
        <x:v>sale_assumed</x:v>
      </x:c>
      <x:c r="G2102" s="11" t="n">
        <x:v>96</x:v>
      </x:c>
      <x:c r="H2102" s="12" t="n">
        <x:v>140000000</x:v>
      </x:c>
      <x:c r="I2102" s="12" t="n">
        <x:v>1458333.3333333333</x:v>
      </x:c>
      <x:c r="J2102" s="2" t="str">
        <x:v>total</x:v>
      </x:c>
      <x:c r="K2102" s="2" t="str">
        <x:v>top_level_area</x:v>
      </x:c>
      <x:c r="L2102" s="2" t="str">
        <x:v>property_type_inferred_from_title;transaction_assumed_sale_from_dataset_context</x:v>
      </x:c>
      <x:c r="M2102" s="10" t="n">
        <x:v>0</x:v>
      </x:c>
      <x:c r="N2102" s="10" t="n">
        <x:v>0</x:v>
      </x:c>
      <x:c r="O2102" s="2" t="str">
        <x:v>Long An|land</x:v>
      </x:c>
      <x:c r="P2102" s="10" t="n">
        <x:v>1</x:v>
      </x:c>
      <x:c r="Q2102" s="13" t="n">
        <x:f>IF(H2102="","",H2102/1000000000)</x:f>
        <x:v>0.14</x:v>
      </x:c>
      <x:c r="R2102" s="13" t="n">
        <x:f>IF(I2102="","",I2102/1000000)</x:f>
        <x:v>1.4583333333333333</x:v>
      </x:c>
    </x:row>
    <x:row r="2103" ht="21" customHeight="1">
      <x:c r="A2103" s="10" t="n">
        <x:v>3038</x:v>
      </x:c>
      <x:c r="B2103" s="2" t="str">
        <x:v>1b8c9d176f3388c661e0</x:v>
      </x:c>
      <x:c r="C2103" s="2" t="str">
        <x:v>Hà Nội</x:v>
      </x:c>
      <x:c r="D2103" s="2" t="str">
        <x:v>Huyện Chương Mỹ</x:v>
      </x:c>
      <x:c r="E2103" s="2" t="str">
        <x:v>land</x:v>
      </x:c>
      <x:c r="F2103" s="2" t="str">
        <x:v>sale_assumed</x:v>
      </x:c>
      <x:c r="G2103" s="11" t="n">
        <x:v>1486</x:v>
      </x:c>
      <x:c r="H2103" s="12" t="n">
        <x:v>2000000000</x:v>
      </x:c>
      <x:c r="I2103" s="12" t="n">
        <x:v>1345895.0201884252</x:v>
      </x:c>
      <x:c r="J2103" s="2" t="str">
        <x:v>total</x:v>
      </x:c>
      <x:c r="K2103" s="2" t="str">
        <x:v>top_level_area</x:v>
      </x:c>
      <x:c r="L2103" s="2" t="str">
        <x:v>dot_thousands_convention;property_type_inferred_from_title;transaction_assumed_sale_from_dataset_context</x:v>
      </x:c>
      <x:c r="M2103" s="10" t="n">
        <x:v>0</x:v>
      </x:c>
      <x:c r="N2103" s="10" t="n">
        <x:v>0</x:v>
      </x:c>
      <x:c r="O2103" s="2" t="str">
        <x:v>Hà Nội|land</x:v>
      </x:c>
      <x:c r="P2103" s="10" t="n">
        <x:v>1</x:v>
      </x:c>
      <x:c r="Q2103" s="13" t="n">
        <x:f>IF(H2103="","",H2103/1000000000)</x:f>
        <x:v>2</x:v>
      </x:c>
      <x:c r="R2103" s="13" t="n">
        <x:f>IF(I2103="","",I2103/1000000)</x:f>
        <x:v>1.3458950201884252</x:v>
      </x:c>
    </x:row>
    <x:row r="2104" ht="21" customHeight="1">
      <x:c r="A2104" s="10" t="n">
        <x:v>3039</x:v>
      </x:c>
      <x:c r="B2104" s="2" t="str">
        <x:v>f8aaba0250302936ca21</x:v>
      </x:c>
      <x:c r="C2104" s="2" t="str">
        <x:v>Hà Nội</x:v>
      </x:c>
      <x:c r="D2104" s="2" t="str">
        <x:v>Huyện Thanh Trì</x:v>
      </x:c>
      <x:c r="E2104" s="2" t="str">
        <x:v>house</x:v>
      </x:c>
      <x:c r="F2104" s="2" t="str">
        <x:v>sale_assumed</x:v>
      </x:c>
      <x:c r="G2104" s="11" t="n">
        <x:v>42</x:v>
      </x:c>
      <x:c r="H2104" s="12" t="n">
        <x:v>1880000000</x:v>
      </x:c>
      <x:c r="I2104" s="12" t="n">
        <x:v>44761904.76190476</x:v>
      </x:c>
      <x:c r="J2104" s="2" t="str">
        <x:v>total</x:v>
      </x:c>
      <x:c r="K2104" s="2" t="str">
        <x:v>top_level_area</x:v>
      </x:c>
      <x:c r="L2104" s="2" t="str">
        <x:v>property_type_inferred_from_title;transaction_assumed_sale_from_dataset_context</x:v>
      </x:c>
      <x:c r="M2104" s="10" t="n">
        <x:v>0</x:v>
      </x:c>
      <x:c r="N2104" s="10" t="n">
        <x:v>0</x:v>
      </x:c>
      <x:c r="O2104" s="2" t="str">
        <x:v>Hà Nội|house</x:v>
      </x:c>
      <x:c r="P2104" s="10" t="n">
        <x:v>2</x:v>
      </x:c>
      <x:c r="Q2104" s="13" t="n">
        <x:f>IF(H2104="","",H2104/1000000000)</x:f>
        <x:v>1.88</x:v>
      </x:c>
      <x:c r="R2104" s="13" t="n">
        <x:f>IF(I2104="","",I2104/1000000)</x:f>
        <x:v>44.76190476190476</x:v>
      </x:c>
    </x:row>
    <x:row r="2105" ht="21" customHeight="1">
      <x:c r="A2105" s="10" t="n">
        <x:v>3040</x:v>
      </x:c>
      <x:c r="B2105" s="2" t="str">
        <x:v>99c5afa902e53cd31c9c</x:v>
      </x:c>
      <x:c r="C2105" s="2" t="str">
        <x:v>Tp Hồ Chí Minh</x:v>
      </x:c>
      <x:c r="D2105" s="2" t="str">
        <x:v>Quận Thủ Đức</x:v>
      </x:c>
      <x:c r="E2105" s="2" t="str">
        <x:v>house</x:v>
      </x:c>
      <x:c r="F2105" s="2" t="str">
        <x:v>sale_assumed</x:v>
      </x:c>
      <x:c r="G2105" s="11" t="n">
        <x:v>20</x:v>
      </x:c>
      <x:c r="H2105" s="12" t="n">
        <x:v>2350000000</x:v>
      </x:c>
      <x:c r="I2105" s="12" t="n">
        <x:v>117500000</x:v>
      </x:c>
      <x:c r="J2105" s="2" t="str">
        <x:v>total</x:v>
      </x:c>
      <x:c r="K2105" s="2" t="str">
        <x:v>top_level_area</x:v>
      </x:c>
      <x:c r="L2105" s="2" t="str">
        <x:v>property_type_inferred_from_title;transaction_assumed_sale_from_dataset_context</x:v>
      </x:c>
      <x:c r="M2105" s="10" t="n">
        <x:v>0</x:v>
      </x:c>
      <x:c r="N2105" s="10" t="n">
        <x:v>0</x:v>
      </x:c>
      <x:c r="O2105" s="2" t="str">
        <x:v>Tp Hồ Chí Minh|house</x:v>
      </x:c>
      <x:c r="P2105" s="10" t="n">
        <x:v>2</x:v>
      </x:c>
      <x:c r="Q2105" s="13" t="n">
        <x:f>IF(H2105="","",H2105/1000000000)</x:f>
        <x:v>2.35</x:v>
      </x:c>
      <x:c r="R2105" s="13" t="n">
        <x:f>IF(I2105="","",I2105/1000000)</x:f>
        <x:v>117.5</x:v>
      </x:c>
    </x:row>
    <x:row r="2106" ht="21" customHeight="1">
      <x:c r="A2106" s="10" t="n">
        <x:v>3041</x:v>
      </x:c>
      <x:c r="B2106" s="2" t="str">
        <x:v>21530d08ef83290346ab</x:v>
      </x:c>
      <x:c r="C2106" s="2" t="str">
        <x:v>Tp Hồ Chí Minh</x:v>
      </x:c>
      <x:c r="D2106" s="2" t="str">
        <x:v>Quận 7</x:v>
      </x:c>
      <x:c r="E2106" s="2" t="str">
        <x:v>house</x:v>
      </x:c>
      <x:c r="F2106" s="2" t="str">
        <x:v>sale</x:v>
      </x:c>
      <x:c r="G2106" s="11" t="n">
        <x:v>65</x:v>
      </x:c>
      <x:c r="H2106" s="12" t="n">
        <x:v>1350000000</x:v>
      </x:c>
      <x:c r="I2106" s="12" t="n">
        <x:v>20769230.769230768</x:v>
      </x:c>
      <x:c r="J2106" s="2" t="str">
        <x:v>total</x:v>
      </x:c>
      <x:c r="K2106" s="2" t="str">
        <x:v>top_level_area</x:v>
      </x:c>
      <x:c r="L2106" s="2" t="str">
        <x:v>property_type_inferred_from_title</x:v>
      </x:c>
      <x:c r="M2106" s="10" t="n">
        <x:v>0</x:v>
      </x:c>
      <x:c r="N2106" s="10" t="n">
        <x:v>0</x:v>
      </x:c>
      <x:c r="O2106" s="2" t="str">
        <x:v>Tp Hồ Chí Minh|house</x:v>
      </x:c>
      <x:c r="P2106" s="10" t="n">
        <x:v>2</x:v>
      </x:c>
      <x:c r="Q2106" s="13" t="n">
        <x:f>IF(H2106="","",H2106/1000000000)</x:f>
        <x:v>1.35</x:v>
      </x:c>
      <x:c r="R2106" s="13" t="n">
        <x:f>IF(I2106="","",I2106/1000000)</x:f>
        <x:v>20.769230769230766</x:v>
      </x:c>
    </x:row>
    <x:row r="2107" ht="21" customHeight="1">
      <x:c r="A2107" s="10" t="n">
        <x:v>3042</x:v>
      </x:c>
      <x:c r="B2107" s="2" t="str">
        <x:v>612c1c81c2891eb08738</x:v>
      </x:c>
      <x:c r="C2107" s="2" t="str">
        <x:v>Đồng Nai</x:v>
      </x:c>
      <x:c r="D2107" s="2" t="str">
        <x:v>Huyện Long Thành</x:v>
      </x:c>
      <x:c r="E2107" s="2" t="str">
        <x:v>other_unknown</x:v>
      </x:c>
      <x:c r="F2107" s="2" t="str">
        <x:v>sale</x:v>
      </x:c>
      <x:c r="G2107" s="11" t="n">
        <x:v>100</x:v>
      </x:c>
      <x:c r="H2107" s="12" t="n">
        <x:v>422000000</x:v>
      </x:c>
      <x:c r="I2107" s="12" t="n">
        <x:v>4220000</x:v>
      </x:c>
      <x:c r="J2107" s="2" t="str">
        <x:v>total</x:v>
      </x:c>
      <x:c r="K2107" s="2" t="str">
        <x:v>top_level_area</x:v>
      </x:c>
      <x:c r="L2107" s="2" t="str">
        <x:v>property_type_inferred_from_title;unknown_property_type</x:v>
      </x:c>
      <x:c r="M2107" s="10" t="n">
        <x:v>0</x:v>
      </x:c>
      <x:c r="N2107" s="10" t="n">
        <x:v>0</x:v>
      </x:c>
      <x:c r="O2107" s="2" t="str">
        <x:v>Đồng Nai|other_unknown</x:v>
      </x:c>
      <x:c r="P2107" s="10" t="n">
        <x:v>2</x:v>
      </x:c>
      <x:c r="Q2107" s="13" t="n">
        <x:f>IF(H2107="","",H2107/1000000000)</x:f>
        <x:v>0.422</x:v>
      </x:c>
      <x:c r="R2107" s="13" t="n">
        <x:f>IF(I2107="","",I2107/1000000)</x:f>
        <x:v>4.22</x:v>
      </x:c>
    </x:row>
    <x:row r="2108" ht="21" customHeight="1">
      <x:c r="A2108" s="10" t="n">
        <x:v>3043</x:v>
      </x:c>
      <x:c r="B2108" s="2" t="str">
        <x:v>adb45a77e22788d519a1</x:v>
      </x:c>
      <x:c r="C2108" s="2" t="str">
        <x:v>Tp Hồ Chí Minh</x:v>
      </x:c>
      <x:c r="D2108" s="2" t="str">
        <x:v>Quận 8</x:v>
      </x:c>
      <x:c r="E2108" s="2" t="str">
        <x:v>apartment</x:v>
      </x:c>
      <x:c r="F2108" s="2" t="str">
        <x:v>sale_assumed</x:v>
      </x:c>
      <x:c r="G2108" s="11" t="n">
        <x:v>52</x:v>
      </x:c>
      <x:c r="H2108" s="12" t="n">
        <x:v>1200000000</x:v>
      </x:c>
      <x:c r="I2108" s="12" t="n">
        <x:v>23076923.076923076</x:v>
      </x:c>
      <x:c r="J2108" s="2" t="str">
        <x:v>total</x:v>
      </x:c>
      <x:c r="K2108" s="2" t="str">
        <x:v>top_level_area</x:v>
      </x:c>
      <x:c r="L2108" s="2" t="str">
        <x:v>property_type_inferred_from_title;transaction_assumed_sale_from_dataset_context</x:v>
      </x:c>
      <x:c r="M2108" s="10" t="n">
        <x:v>0</x:v>
      </x:c>
      <x:c r="N2108" s="10" t="n">
        <x:v>0</x:v>
      </x:c>
      <x:c r="O2108" s="2" t="str">
        <x:v>Tp Hồ Chí Minh|apartment</x:v>
      </x:c>
      <x:c r="P2108" s="10" t="n">
        <x:v>2</x:v>
      </x:c>
      <x:c r="Q2108" s="13" t="n">
        <x:f>IF(H2108="","",H2108/1000000000)</x:f>
        <x:v>1.2</x:v>
      </x:c>
      <x:c r="R2108" s="13" t="n">
        <x:f>IF(I2108="","",I2108/1000000)</x:f>
        <x:v>23.076923076923077</x:v>
      </x:c>
    </x:row>
    <x:row r="2109" ht="21" customHeight="1">
      <x:c r="A2109" s="10" t="n">
        <x:v>3044</x:v>
      </x:c>
      <x:c r="B2109" s="2" t="str">
        <x:v>8d3da5d5e92e1ab47a56</x:v>
      </x:c>
      <x:c r="C2109" s="2" t="str">
        <x:v>Tp Hồ Chí Minh</x:v>
      </x:c>
      <x:c r="D2109" s="2" t="str">
        <x:v>Quận Bình Thạnh</x:v>
      </x:c>
      <x:c r="E2109" s="2" t="str">
        <x:v>house</x:v>
      </x:c>
      <x:c r="F2109" s="2" t="str">
        <x:v>sale</x:v>
      </x:c>
      <x:c r="G2109" s="11" t="n">
        <x:v>38</x:v>
      </x:c>
      <x:c r="H2109" s="12" t="n">
        <x:v>6300000000</x:v>
      </x:c>
      <x:c r="I2109" s="12" t="n">
        <x:v>165789473.68421054</x:v>
      </x:c>
      <x:c r="J2109" s="2" t="str">
        <x:v>total</x:v>
      </x:c>
      <x:c r="K2109" s="2" t="str">
        <x:v>top_level_area</x:v>
      </x:c>
      <x:c r="L2109" s="2" t="str">
        <x:v>property_type_inferred_from_title</x:v>
      </x:c>
      <x:c r="M2109" s="10" t="n">
        <x:v>1</x:v>
      </x:c>
      <x:c r="N2109" s="10" t="n">
        <x:v>0</x:v>
      </x:c>
      <x:c r="O2109" s="2" t="str">
        <x:v>Tp Hồ Chí Minh|house</x:v>
      </x:c>
      <x:c r="P2109" s="10" t="n">
        <x:v>2</x:v>
      </x:c>
      <x:c r="Q2109" s="13" t="n">
        <x:f>IF(H2109="","",H2109/1000000000)</x:f>
        <x:v>6.3</x:v>
      </x:c>
      <x:c r="R2109" s="13" t="n">
        <x:f>IF(I2109="","",I2109/1000000)</x:f>
        <x:v>165.78947368421055</x:v>
      </x:c>
    </x:row>
    <x:row r="2110" ht="21" customHeight="1">
      <x:c r="A2110" s="10" t="n">
        <x:v>3045</x:v>
      </x:c>
      <x:c r="B2110" s="2" t="str">
        <x:v>2c2755a4a0bc7f88d02d</x:v>
      </x:c>
      <x:c r="C2110" s="2" t="str">
        <x:v>Thừa Thiên Huế</x:v>
      </x:c>
      <x:c r="D2110" s="2" t="str">
        <x:v>Thị xã Hương Trà</x:v>
      </x:c>
      <x:c r="E2110" s="2" t="str">
        <x:v>land</x:v>
      </x:c>
      <x:c r="F2110" s="2" t="str">
        <x:v>sale</x:v>
      </x:c>
      <x:c r="G2110" s="11" t="n">
        <x:v>450</x:v>
      </x:c>
      <x:c r="H2110" s="12" t="n">
        <x:v>490000000</x:v>
      </x:c>
      <x:c r="I2110" s="12" t="n">
        <x:v>1088888.888888889</x:v>
      </x:c>
      <x:c r="J2110" s="2" t="str">
        <x:v>total</x:v>
      </x:c>
      <x:c r="K2110" s="2" t="str">
        <x:v>top_level_area</x:v>
      </x:c>
      <x:c r="L2110" s="2" t="str">
        <x:v>property_type_inferred_from_title</x:v>
      </x:c>
      <x:c r="M2110" s="10" t="n">
        <x:v>0</x:v>
      </x:c>
      <x:c r="N2110" s="10" t="n">
        <x:v>0</x:v>
      </x:c>
      <x:c r="O2110" s="2" t="str">
        <x:v>land</x:v>
      </x:c>
      <x:c r="P2110" s="10" t="n">
        <x:v>1</x:v>
      </x:c>
      <x:c r="Q2110" s="13" t="n">
        <x:f>IF(H2110="","",H2110/1000000000)</x:f>
        <x:v>0.49</x:v>
      </x:c>
      <x:c r="R2110" s="13" t="n">
        <x:f>IF(I2110="","",I2110/1000000)</x:f>
        <x:v>1.088888888888889</x:v>
      </x:c>
    </x:row>
    <x:row r="2111" ht="21" customHeight="1">
      <x:c r="A2111" s="10" t="n">
        <x:v>3046</x:v>
      </x:c>
      <x:c r="B2111" s="2" t="str">
        <x:v>6d6098c93b06195a05b9</x:v>
      </x:c>
      <x:c r="C2111" s="2" t="str">
        <x:v>Thanh Hóa</x:v>
      </x:c>
      <x:c r="D2111" s="2" t="str">
        <x:v>Huyện Đông Sơn</x:v>
      </x:c>
      <x:c r="E2111" s="2" t="str">
        <x:v>land</x:v>
      </x:c>
      <x:c r="F2111" s="2" t="str">
        <x:v>sale_assumed</x:v>
      </x:c>
      <x:c r="G2111" s="11" t="n">
        <x:v>100</x:v>
      </x:c>
      <x:c r="H2111" s="12" t="n">
        <x:v>860000000</x:v>
      </x:c>
      <x:c r="I2111" s="12" t="n">
        <x:v>8600000</x:v>
      </x:c>
      <x:c r="J2111" s="2" t="str">
        <x:v>total</x:v>
      </x:c>
      <x:c r="K2111" s="2" t="str">
        <x:v>top_level_area</x:v>
      </x:c>
      <x:c r="L2111" s="2" t="str">
        <x:v>property_type_inferred_from_title;transaction_assumed_sale_from_dataset_context</x:v>
      </x:c>
      <x:c r="M2111" s="10" t="n">
        <x:v>0</x:v>
      </x:c>
      <x:c r="N2111" s="10" t="n">
        <x:v>0</x:v>
      </x:c>
      <x:c r="O2111" s="2" t="str">
        <x:v>land</x:v>
      </x:c>
      <x:c r="P2111" s="10" t="n">
        <x:v>2</x:v>
      </x:c>
      <x:c r="Q2111" s="13" t="n">
        <x:f>IF(H2111="","",H2111/1000000000)</x:f>
        <x:v>0.86</x:v>
      </x:c>
      <x:c r="R2111" s="13" t="n">
        <x:f>IF(I2111="","",I2111/1000000)</x:f>
        <x:v>8.6</x:v>
      </x:c>
    </x:row>
    <x:row r="2112" ht="21" customHeight="1">
      <x:c r="A2112" s="10" t="n">
        <x:v>3047</x:v>
      </x:c>
      <x:c r="B2112" s="2" t="str">
        <x:v>405efd6df4b65a1823eb</x:v>
      </x:c>
      <x:c r="C2112" s="2" t="str">
        <x:v>Tp Hồ Chí Minh</x:v>
      </x:c>
      <x:c r="D2112" s="2" t="str">
        <x:v>Quận 12</x:v>
      </x:c>
      <x:c r="E2112" s="2" t="str">
        <x:v>apartment</x:v>
      </x:c>
      <x:c r="F2112" s="2" t="str">
        <x:v>sale</x:v>
      </x:c>
      <x:c r="G2112" s="11" t="n">
        <x:v>21</x:v>
      </x:c>
      <x:c r="H2112" s="12" t="n">
        <x:v>790000000</x:v>
      </x:c>
      <x:c r="I2112" s="12" t="n">
        <x:v>37619047.61904762</x:v>
      </x:c>
      <x:c r="J2112" s="2" t="str">
        <x:v>total</x:v>
      </x:c>
      <x:c r="K2112" s="2" t="str">
        <x:v>top_level_area</x:v>
      </x:c>
      <x:c r="L2112" s="2" t="str">
        <x:v>property_type_inferred_from_title</x:v>
      </x:c>
      <x:c r="M2112" s="10" t="n">
        <x:v>0</x:v>
      </x:c>
      <x:c r="N2112" s="10" t="n">
        <x:v>0</x:v>
      </x:c>
      <x:c r="O2112" s="2" t="str">
        <x:v>Tp Hồ Chí Minh|apartment</x:v>
      </x:c>
      <x:c r="P2112" s="10" t="n">
        <x:v>2</x:v>
      </x:c>
      <x:c r="Q2112" s="13" t="n">
        <x:f>IF(H2112="","",H2112/1000000000)</x:f>
        <x:v>0.79</x:v>
      </x:c>
      <x:c r="R2112" s="13" t="n">
        <x:f>IF(I2112="","",I2112/1000000)</x:f>
        <x:v>37.61904761904762</x:v>
      </x:c>
    </x:row>
    <x:row r="2113" ht="21" customHeight="1">
      <x:c r="A2113" s="10" t="n">
        <x:v>3049</x:v>
      </x:c>
      <x:c r="B2113" s="2" t="str">
        <x:v>2a681971392d8f868739</x:v>
      </x:c>
      <x:c r="C2113" s="2" t="str">
        <x:v>Đồng Nai</x:v>
      </x:c>
      <x:c r="D2113" s="2" t="str">
        <x:v>Huyện Long Thành</x:v>
      </x:c>
      <x:c r="E2113" s="2" t="str">
        <x:v>land</x:v>
      </x:c>
      <x:c r="F2113" s="2" t="str">
        <x:v>sale_assumed</x:v>
      </x:c>
      <x:c r="G2113" s="11" t="n">
        <x:v>100</x:v>
      </x:c>
      <x:c r="H2113" s="12" t="n">
        <x:v>700000000</x:v>
      </x:c>
      <x:c r="I2113" s="12" t="n">
        <x:v>7000000</x:v>
      </x:c>
      <x:c r="J2113" s="2" t="str">
        <x:v>total</x:v>
      </x:c>
      <x:c r="K2113" s="2" t="str">
        <x:v>top_level_area</x:v>
      </x:c>
      <x:c r="L2113" s="2" t="str">
        <x:v>property_type_inferred_from_title;transaction_assumed_sale_from_dataset_context</x:v>
      </x:c>
      <x:c r="M2113" s="10" t="n">
        <x:v>0</x:v>
      </x:c>
      <x:c r="N2113" s="10" t="n">
        <x:v>0</x:v>
      </x:c>
      <x:c r="O2113" s="2" t="str">
        <x:v>Đồng Nai|land</x:v>
      </x:c>
      <x:c r="P2113" s="10" t="n">
        <x:v>2</x:v>
      </x:c>
      <x:c r="Q2113" s="13" t="n">
        <x:f>IF(H2113="","",H2113/1000000000)</x:f>
        <x:v>0.7</x:v>
      </x:c>
      <x:c r="R2113" s="13" t="n">
        <x:f>IF(I2113="","",I2113/1000000)</x:f>
        <x:v>7</x:v>
      </x:c>
    </x:row>
    <x:row r="2114" ht="21" customHeight="1">
      <x:c r="A2114" s="10" t="n">
        <x:v>3050</x:v>
      </x:c>
      <x:c r="B2114" s="2" t="str">
        <x:v>54cb108a36ce15c7486c</x:v>
      </x:c>
      <x:c r="C2114" s="2" t="str">
        <x:v>Tp Hồ Chí Minh</x:v>
      </x:c>
      <x:c r="D2114" s="2" t="str">
        <x:v>Quận Gò Vấp</x:v>
      </x:c>
      <x:c r="E2114" s="2" t="str">
        <x:v>house</x:v>
      </x:c>
      <x:c r="F2114" s="2" t="str">
        <x:v>sale</x:v>
      </x:c>
      <x:c r="G2114" s="11" t="n">
        <x:v>50</x:v>
      </x:c>
      <x:c r="H2114" s="12" t="n">
        <x:v>890000000</x:v>
      </x:c>
      <x:c r="I2114" s="12" t="n">
        <x:v>17800000</x:v>
      </x:c>
      <x:c r="J2114" s="2" t="str">
        <x:v>total</x:v>
      </x:c>
      <x:c r="K2114" s="2" t="str">
        <x:v>top_level_area</x:v>
      </x:c>
      <x:c r="L2114" s="2" t="str">
        <x:v>property_type_inferred_from_title</x:v>
      </x:c>
      <x:c r="M2114" s="10" t="n">
        <x:v>0</x:v>
      </x:c>
      <x:c r="N2114" s="10" t="n">
        <x:v>0</x:v>
      </x:c>
      <x:c r="O2114" s="2" t="str">
        <x:v>Tp Hồ Chí Minh|house</x:v>
      </x:c>
      <x:c r="P2114" s="10" t="n">
        <x:v>2</x:v>
      </x:c>
      <x:c r="Q2114" s="13" t="n">
        <x:f>IF(H2114="","",H2114/1000000000)</x:f>
        <x:v>0.89</x:v>
      </x:c>
      <x:c r="R2114" s="13" t="n">
        <x:f>IF(I2114="","",I2114/1000000)</x:f>
        <x:v>17.8</x:v>
      </x:c>
    </x:row>
    <x:row r="2115" ht="21" customHeight="1">
      <x:c r="A2115" s="10" t="n">
        <x:v>3051</x:v>
      </x:c>
      <x:c r="B2115" s="2" t="str">
        <x:v>ee34af3f70429b74d198</x:v>
      </x:c>
      <x:c r="C2115" s="2" t="str">
        <x:v>Chưa xác định</x:v>
      </x:c>
      <x:c r="D2115" s="2" t="str">
        <x:v>Chưa xác định</x:v>
      </x:c>
      <x:c r="E2115" s="2" t="str">
        <x:v>house</x:v>
      </x:c>
      <x:c r="F2115" s="2" t="str">
        <x:v>sale</x:v>
      </x:c>
      <x:c r="G2115" s="11" t="n">
        <x:v>46</x:v>
      </x:c>
      <x:c r="H2115" s="12" t="n">
        <x:v>2800000000</x:v>
      </x:c>
      <x:c r="I2115" s="12" t="n">
        <x:v>60869565.217391305</x:v>
      </x:c>
      <x:c r="J2115" s="2" t="str">
        <x:v>total</x:v>
      </x:c>
      <x:c r="K2115" s="2" t="str">
        <x:v>top_level_area</x:v>
      </x:c>
      <x:c r="L2115" s="2" t="str">
        <x:v>property_type_inferred_from_title;unknown_district;unknown_province</x:v>
      </x:c>
      <x:c r="M2115" s="10" t="n">
        <x:v>0</x:v>
      </x:c>
      <x:c r="N2115" s="10" t="n">
        <x:v>0</x:v>
      </x:c>
      <x:c r="O2115" s="2" t="str">
        <x:v>house</x:v>
      </x:c>
      <x:c r="P2115" s="10" t="n">
        <x:v>2</x:v>
      </x:c>
      <x:c r="Q2115" s="13" t="n">
        <x:f>IF(H2115="","",H2115/1000000000)</x:f>
        <x:v>2.8</x:v>
      </x:c>
      <x:c r="R2115" s="13" t="n">
        <x:f>IF(I2115="","",I2115/1000000)</x:f>
        <x:v>60.869565217391305</x:v>
      </x:c>
    </x:row>
    <x:row r="2116" ht="21" customHeight="1">
      <x:c r="A2116" s="10" t="n">
        <x:v>3052</x:v>
      </x:c>
      <x:c r="B2116" s="2" t="str">
        <x:v>ace0492d7185b3dfbb42</x:v>
      </x:c>
      <x:c r="C2116" s="2" t="str">
        <x:v>Trà Vinh</x:v>
      </x:c>
      <x:c r="D2116" s="2" t="str">
        <x:v>Thành phố Trà Vinh</x:v>
      </x:c>
      <x:c r="E2116" s="2" t="str">
        <x:v>house</x:v>
      </x:c>
      <x:c r="F2116" s="2" t="str">
        <x:v>sale</x:v>
      </x:c>
      <x:c r="G2116" s="11" t="n">
        <x:v>69.7</x:v>
      </x:c>
      <x:c r="H2116" s="12" t="n">
        <x:v>693000000</x:v>
      </x:c>
      <x:c r="I2116" s="12" t="n">
        <x:v>9942611.19081779</x:v>
      </x:c>
      <x:c r="J2116" s="2" t="str">
        <x:v>total</x:v>
      </x:c>
      <x:c r="K2116" s="2" t="str">
        <x:v>top_level_area</x:v>
      </x:c>
      <x:c r="L2116" s="2" t="str">
        <x:v>property_type_inferred_from_title</x:v>
      </x:c>
      <x:c r="M2116" s="10" t="n">
        <x:v>0</x:v>
      </x:c>
      <x:c r="N2116" s="10" t="n">
        <x:v>0</x:v>
      </x:c>
      <x:c r="O2116" s="2" t="str">
        <x:v>house</x:v>
      </x:c>
      <x:c r="P2116" s="10" t="n">
        <x:v>2</x:v>
      </x:c>
      <x:c r="Q2116" s="13" t="n">
        <x:f>IF(H2116="","",H2116/1000000000)</x:f>
        <x:v>0.693</x:v>
      </x:c>
      <x:c r="R2116" s="13" t="n">
        <x:f>IF(I2116="","",I2116/1000000)</x:f>
        <x:v>9.94261119081779</x:v>
      </x:c>
    </x:row>
    <x:row r="2117" ht="21" customHeight="1">
      <x:c r="A2117" s="10" t="n">
        <x:v>3053</x:v>
      </x:c>
      <x:c r="B2117" s="2" t="str">
        <x:v>07b24d8be23652f2c13d</x:v>
      </x:c>
      <x:c r="C2117" s="2" t="str">
        <x:v>Tp Hồ Chí Minh</x:v>
      </x:c>
      <x:c r="D2117" s="2" t="str">
        <x:v>Quận Tân Bình</x:v>
      </x:c>
      <x:c r="E2117" s="2" t="str">
        <x:v>other_unknown</x:v>
      </x:c>
      <x:c r="F2117" s="2" t="str">
        <x:v>sale_assumed</x:v>
      </x:c>
      <x:c r="G2117" s="11" t="n">
        <x:v>36</x:v>
      </x:c>
      <x:c r="H2117" s="12" t="n">
        <x:v>3650000000</x:v>
      </x:c>
      <x:c r="I2117" s="12" t="n">
        <x:v>101388888.8888889</x:v>
      </x:c>
      <x:c r="J2117" s="2" t="str">
        <x:v>total</x:v>
      </x:c>
      <x:c r="K2117" s="2" t="str">
        <x:v>top_level_area</x:v>
      </x:c>
      <x:c r="L2117" s="2" t="str">
        <x:v>property_type_inferred_from_title;transaction_assumed_sale_from_dataset_context;unknown_property_type</x:v>
      </x:c>
      <x:c r="M2117" s="10" t="n">
        <x:v>0</x:v>
      </x:c>
      <x:c r="N2117" s="10" t="n">
        <x:v>0</x:v>
      </x:c>
      <x:c r="O2117" s="2" t="str">
        <x:v>Tp Hồ Chí Minh|other_unknown</x:v>
      </x:c>
      <x:c r="P2117" s="10" t="n">
        <x:v>2</x:v>
      </x:c>
      <x:c r="Q2117" s="13" t="n">
        <x:f>IF(H2117="","",H2117/1000000000)</x:f>
        <x:v>3.65</x:v>
      </x:c>
      <x:c r="R2117" s="13" t="n">
        <x:f>IF(I2117="","",I2117/1000000)</x:f>
        <x:v>101.3888888888889</x:v>
      </x:c>
    </x:row>
    <x:row r="2118" ht="21" customHeight="1">
      <x:c r="A2118" s="10" t="n">
        <x:v>3054</x:v>
      </x:c>
      <x:c r="B2118" s="2" t="str">
        <x:v>2df34ccde0cce1f2385d</x:v>
      </x:c>
      <x:c r="C2118" s="2" t="str">
        <x:v>Tp Hồ Chí Minh</x:v>
      </x:c>
      <x:c r="D2118" s="2" t="str">
        <x:v>Quận 12</x:v>
      </x:c>
      <x:c r="E2118" s="2" t="str">
        <x:v>land</x:v>
      </x:c>
      <x:c r="F2118" s="2" t="str">
        <x:v>sale_assumed</x:v>
      </x:c>
      <x:c r="G2118" s="11" t="n">
        <x:v>90</x:v>
      </x:c>
      <x:c r="H2118" s="12" t="n">
        <x:v>4200000000</x:v>
      </x:c>
      <x:c r="I2118" s="12" t="n">
        <x:v>46666666.666666664</x:v>
      </x:c>
      <x:c r="J2118" s="2" t="str">
        <x:v>total</x:v>
      </x:c>
      <x:c r="K2118" s="2" t="str">
        <x:v>top_level_area</x:v>
      </x:c>
      <x:c r="L2118" s="2" t="str">
        <x:v>property_type_inferred_from_title;transaction_assumed_sale_from_dataset_context</x:v>
      </x:c>
      <x:c r="M2118" s="10" t="n">
        <x:v>0</x:v>
      </x:c>
      <x:c r="N2118" s="10" t="n">
        <x:v>0</x:v>
      </x:c>
      <x:c r="O2118" s="2" t="str">
        <x:v>Tp Hồ Chí Minh|land</x:v>
      </x:c>
      <x:c r="P2118" s="10" t="n">
        <x:v>2</x:v>
      </x:c>
      <x:c r="Q2118" s="13" t="n">
        <x:f>IF(H2118="","",H2118/1000000000)</x:f>
        <x:v>4.2</x:v>
      </x:c>
      <x:c r="R2118" s="13" t="n">
        <x:f>IF(I2118="","",I2118/1000000)</x:f>
        <x:v>46.666666666666664</x:v>
      </x:c>
    </x:row>
    <x:row r="2119" ht="21" customHeight="1">
      <x:c r="A2119" s="10" t="n">
        <x:v>3058</x:v>
      </x:c>
      <x:c r="B2119" s="2" t="str">
        <x:v>f1b3a91177eeb09b72fe</x:v>
      </x:c>
      <x:c r="C2119" s="2" t="str">
        <x:v>Tp Hồ Chí Minh</x:v>
      </x:c>
      <x:c r="D2119" s="2" t="str">
        <x:v>Quận Tân Phú</x:v>
      </x:c>
      <x:c r="E2119" s="2" t="str">
        <x:v>house</x:v>
      </x:c>
      <x:c r="F2119" s="2" t="str">
        <x:v>sale</x:v>
      </x:c>
      <x:c r="G2119" s="11" t="n">
        <x:v>54</x:v>
      </x:c>
      <x:c r="H2119" s="12" t="n">
        <x:v>4300000000</x:v>
      </x:c>
      <x:c r="I2119" s="12" t="n">
        <x:v>79629629.62962963</x:v>
      </x:c>
      <x:c r="J2119" s="2" t="str">
        <x:v>total</x:v>
      </x:c>
      <x:c r="K2119" s="2" t="str">
        <x:v>top_level_area</x:v>
      </x:c>
      <x:c r="L2119" s="2" t="str">
        <x:v>property_type_inferred_from_title</x:v>
      </x:c>
      <x:c r="M2119" s="10" t="n">
        <x:v>0</x:v>
      </x:c>
      <x:c r="N2119" s="10" t="n">
        <x:v>0</x:v>
      </x:c>
      <x:c r="O2119" s="2" t="str">
        <x:v>Tp Hồ Chí Minh|house</x:v>
      </x:c>
      <x:c r="P2119" s="10" t="n">
        <x:v>2</x:v>
      </x:c>
      <x:c r="Q2119" s="13" t="n">
        <x:f>IF(H2119="","",H2119/1000000000)</x:f>
        <x:v>4.3</x:v>
      </x:c>
      <x:c r="R2119" s="13" t="n">
        <x:f>IF(I2119="","",I2119/1000000)</x:f>
        <x:v>79.62962962962963</x:v>
      </x:c>
    </x:row>
    <x:row r="2120" ht="21" customHeight="1">
      <x:c r="A2120" s="10" t="n">
        <x:v>3059</x:v>
      </x:c>
      <x:c r="B2120" s="2" t="str">
        <x:v>ce8f2371f70967e05d83</x:v>
      </x:c>
      <x:c r="C2120" s="2" t="str">
        <x:v>Tp Hồ Chí Minh</x:v>
      </x:c>
      <x:c r="D2120" s="2" t="str">
        <x:v>Quận Gò Vấp</x:v>
      </x:c>
      <x:c r="E2120" s="2" t="str">
        <x:v>house</x:v>
      </x:c>
      <x:c r="F2120" s="2" t="str">
        <x:v>sale_assumed</x:v>
      </x:c>
      <x:c r="G2120" s="11" t="n">
        <x:v>68</x:v>
      </x:c>
      <x:c r="H2120" s="12" t="n">
        <x:v>4600000000</x:v>
      </x:c>
      <x:c r="I2120" s="12" t="n">
        <x:v>67647058.8235294</x:v>
      </x:c>
      <x:c r="J2120" s="2" t="str">
        <x:v>total</x:v>
      </x:c>
      <x:c r="K2120" s="2" t="str">
        <x:v>top_level_area</x:v>
      </x:c>
      <x:c r="L2120" s="2" t="str">
        <x:v>property_type_inferred_from_title;transaction_assumed_sale_from_dataset_context</x:v>
      </x:c>
      <x:c r="M2120" s="10" t="n">
        <x:v>0</x:v>
      </x:c>
      <x:c r="N2120" s="10" t="n">
        <x:v>0</x:v>
      </x:c>
      <x:c r="O2120" s="2" t="str">
        <x:v>Tp Hồ Chí Minh|house</x:v>
      </x:c>
      <x:c r="P2120" s="10" t="n">
        <x:v>2</x:v>
      </x:c>
      <x:c r="Q2120" s="13" t="n">
        <x:f>IF(H2120="","",H2120/1000000000)</x:f>
        <x:v>4.6</x:v>
      </x:c>
      <x:c r="R2120" s="13" t="n">
        <x:f>IF(I2120="","",I2120/1000000)</x:f>
        <x:v>67.6470588235294</x:v>
      </x:c>
    </x:row>
    <x:row r="2121" ht="21" customHeight="1">
      <x:c r="A2121" s="10" t="n">
        <x:v>3060</x:v>
      </x:c>
      <x:c r="B2121" s="2" t="str">
        <x:v>87daf33a6d3bf47c1514</x:v>
      </x:c>
      <x:c r="C2121" s="2" t="str">
        <x:v>Lâm Đồng</x:v>
      </x:c>
      <x:c r="D2121" s="2" t="str">
        <x:v>Thành phố Bảo Lộc</x:v>
      </x:c>
      <x:c r="E2121" s="2" t="str">
        <x:v>land</x:v>
      </x:c>
      <x:c r="F2121" s="2" t="str">
        <x:v>sale_assumed</x:v>
      </x:c>
      <x:c r="G2121" s="11" t="n">
        <x:v>909</x:v>
      </x:c>
      <x:c r="H2121" s="12" t="n">
        <x:v>4099999999.9999995</x:v>
      </x:c>
      <x:c r="I2121" s="12" t="n">
        <x:v>4510451.04510451</x:v>
      </x:c>
      <x:c r="J2121" s="2" t="str">
        <x:v>total</x:v>
      </x:c>
      <x:c r="K2121" s="2" t="str">
        <x:v>top_level_area</x:v>
      </x:c>
      <x:c r="L2121" s="2" t="str">
        <x:v>property_type_inferred_from_title;transaction_assumed_sale_from_dataset_context</x:v>
      </x:c>
      <x:c r="M2121" s="10" t="n">
        <x:v>0</x:v>
      </x:c>
      <x:c r="N2121" s="10" t="n">
        <x:v>0</x:v>
      </x:c>
      <x:c r="O2121" s="2" t="str">
        <x:v>Lâm Đồng|land</x:v>
      </x:c>
      <x:c r="P2121" s="10" t="n">
        <x:v>1</x:v>
      </x:c>
      <x:c r="Q2121" s="13" t="n">
        <x:f>IF(H2121="","",H2121/1000000000)</x:f>
        <x:v>4.1</x:v>
      </x:c>
      <x:c r="R2121" s="13" t="n">
        <x:f>IF(I2121="","",I2121/1000000)</x:f>
        <x:v>4.51045104510451</x:v>
      </x:c>
    </x:row>
    <x:row r="2122" ht="21" customHeight="1">
      <x:c r="A2122" s="10" t="n">
        <x:v>3061</x:v>
      </x:c>
      <x:c r="B2122" s="2" t="str">
        <x:v>e48a5f0300863b219925</x:v>
      </x:c>
      <x:c r="C2122" s="2" t="str">
        <x:v>Tp Hồ Chí Minh</x:v>
      </x:c>
      <x:c r="D2122" s="2" t="str">
        <x:v>Quận 7</x:v>
      </x:c>
      <x:c r="E2122" s="2" t="str">
        <x:v>house</x:v>
      </x:c>
      <x:c r="F2122" s="2" t="str">
        <x:v>sale</x:v>
      </x:c>
      <x:c r="G2122" s="11" t="n">
        <x:v>48</x:v>
      </x:c>
      <x:c r="H2122" s="12" t="n">
        <x:v>5390000000</x:v>
      </x:c>
      <x:c r="I2122" s="12" t="n">
        <x:v>112291666.66666667</x:v>
      </x:c>
      <x:c r="J2122" s="2" t="str">
        <x:v>total</x:v>
      </x:c>
      <x:c r="K2122" s="2" t="str">
        <x:v>top_level_area</x:v>
      </x:c>
      <x:c r="L2122" s="2" t="str">
        <x:v>property_type_inferred_from_title</x:v>
      </x:c>
      <x:c r="M2122" s="10" t="n">
        <x:v>0</x:v>
      </x:c>
      <x:c r="N2122" s="10" t="n">
        <x:v>0</x:v>
      </x:c>
      <x:c r="O2122" s="2" t="str">
        <x:v>Tp Hồ Chí Minh|house</x:v>
      </x:c>
      <x:c r="P2122" s="10" t="n">
        <x:v>2</x:v>
      </x:c>
      <x:c r="Q2122" s="13" t="n">
        <x:f>IF(H2122="","",H2122/1000000000)</x:f>
        <x:v>5.39</x:v>
      </x:c>
      <x:c r="R2122" s="13" t="n">
        <x:f>IF(I2122="","",I2122/1000000)</x:f>
        <x:v>112.29166666666667</x:v>
      </x:c>
    </x:row>
    <x:row r="2123" ht="21" customHeight="1">
      <x:c r="A2123" s="10" t="n">
        <x:v>3062</x:v>
      </x:c>
      <x:c r="B2123" s="2" t="str">
        <x:v>4704fa3838d8b99fb769</x:v>
      </x:c>
      <x:c r="C2123" s="2" t="str">
        <x:v>Quảng Nam</x:v>
      </x:c>
      <x:c r="D2123" s="2" t="str">
        <x:v>Thị xã Điện Bàn</x:v>
      </x:c>
      <x:c r="E2123" s="2" t="str">
        <x:v>land</x:v>
      </x:c>
      <x:c r="F2123" s="2" t="str">
        <x:v>sale_assumed</x:v>
      </x:c>
      <x:c r="G2123" s="11" t="n">
        <x:v>100</x:v>
      </x:c>
      <x:c r="H2123" s="12" t="n">
        <x:v>1900000000</x:v>
      </x:c>
      <x:c r="I2123" s="12" t="n">
        <x:v>19000000</x:v>
      </x:c>
      <x:c r="J2123" s="2" t="str">
        <x:v>total</x:v>
      </x:c>
      <x:c r="K2123" s="2" t="str">
        <x:v>top_level_area</x:v>
      </x:c>
      <x:c r="L2123" s="2" t="str">
        <x:v>property_type_inferred_from_title;transaction_assumed_sale_from_dataset_context</x:v>
      </x:c>
      <x:c r="M2123" s="10" t="n">
        <x:v>0</x:v>
      </x:c>
      <x:c r="N2123" s="10" t="n">
        <x:v>0</x:v>
      </x:c>
      <x:c r="O2123" s="2" t="str">
        <x:v>land</x:v>
      </x:c>
      <x:c r="P2123" s="10" t="n">
        <x:v>2</x:v>
      </x:c>
      <x:c r="Q2123" s="13" t="n">
        <x:f>IF(H2123="","",H2123/1000000000)</x:f>
        <x:v>1.9</x:v>
      </x:c>
      <x:c r="R2123" s="13" t="n">
        <x:f>IF(I2123="","",I2123/1000000)</x:f>
        <x:v>19</x:v>
      </x:c>
    </x:row>
    <x:row r="2124" ht="21" customHeight="1">
      <x:c r="A2124" s="10" t="n">
        <x:v>3063</x:v>
      </x:c>
      <x:c r="B2124" s="2" t="str">
        <x:v>c49e884835a6c93306ca</x:v>
      </x:c>
      <x:c r="C2124" s="2" t="str">
        <x:v>Bình Dương</x:v>
      </x:c>
      <x:c r="D2124" s="2" t="str">
        <x:v>Huyện Bàu Bàng</x:v>
      </x:c>
      <x:c r="E2124" s="2" t="str">
        <x:v>land</x:v>
      </x:c>
      <x:c r="F2124" s="2" t="str">
        <x:v>sale_assumed</x:v>
      </x:c>
      <x:c r="G2124" s="11" t="n">
        <x:v>100</x:v>
      </x:c>
      <x:c r="H2124" s="12" t="n">
        <x:v>1100000000</x:v>
      </x:c>
      <x:c r="I2124" s="12" t="n">
        <x:v>11000000</x:v>
      </x:c>
      <x:c r="J2124" s="2" t="str">
        <x:v>total</x:v>
      </x:c>
      <x:c r="K2124" s="2" t="str">
        <x:v>top_level_area</x:v>
      </x:c>
      <x:c r="L2124" s="2" t="str">
        <x:v>property_type_inferred_from_title;transaction_assumed_sale_from_dataset_context</x:v>
      </x:c>
      <x:c r="M2124" s="10" t="n">
        <x:v>0</x:v>
      </x:c>
      <x:c r="N2124" s="10" t="n">
        <x:v>0</x:v>
      </x:c>
      <x:c r="O2124" s="2" t="str">
        <x:v>Bình Dương|land</x:v>
      </x:c>
      <x:c r="P2124" s="10" t="n">
        <x:v>2</x:v>
      </x:c>
      <x:c r="Q2124" s="13" t="n">
        <x:f>IF(H2124="","",H2124/1000000000)</x:f>
        <x:v>1.1</x:v>
      </x:c>
      <x:c r="R2124" s="13" t="n">
        <x:f>IF(I2124="","",I2124/1000000)</x:f>
        <x:v>11</x:v>
      </x:c>
    </x:row>
    <x:row r="2125" ht="21" customHeight="1">
      <x:c r="A2125" s="10" t="n">
        <x:v>3064</x:v>
      </x:c>
      <x:c r="B2125" s="2" t="str">
        <x:v>b914e96cbde7c7c747c8</x:v>
      </x:c>
      <x:c r="C2125" s="2" t="str">
        <x:v>Tp Hồ Chí Minh</x:v>
      </x:c>
      <x:c r="D2125" s="2" t="str">
        <x:v>Quận Thủ Đức</x:v>
      </x:c>
      <x:c r="E2125" s="2" t="str">
        <x:v>house</x:v>
      </x:c>
      <x:c r="F2125" s="2" t="str">
        <x:v>sale</x:v>
      </x:c>
      <x:c r="G2125" s="11" t="n">
        <x:v>82</x:v>
      </x:c>
      <x:c r="H2125" s="12" t="n">
        <x:v>8100000000</x:v>
      </x:c>
      <x:c r="I2125" s="12" t="n">
        <x:v>98780487.80487806</x:v>
      </x:c>
      <x:c r="J2125" s="2" t="str">
        <x:v>total</x:v>
      </x:c>
      <x:c r="K2125" s="2" t="str">
        <x:v>top_level_area</x:v>
      </x:c>
      <x:c r="L2125" s="2" t="str">
        <x:v>property_type_inferred_from_title</x:v>
      </x:c>
      <x:c r="M2125" s="10" t="n">
        <x:v>0</x:v>
      </x:c>
      <x:c r="N2125" s="10" t="n">
        <x:v>0</x:v>
      </x:c>
      <x:c r="O2125" s="2" t="str">
        <x:v>Tp Hồ Chí Minh|house</x:v>
      </x:c>
      <x:c r="P2125" s="10" t="n">
        <x:v>2</x:v>
      </x:c>
      <x:c r="Q2125" s="13" t="n">
        <x:f>IF(H2125="","",H2125/1000000000)</x:f>
        <x:v>8.1</x:v>
      </x:c>
      <x:c r="R2125" s="13" t="n">
        <x:f>IF(I2125="","",I2125/1000000)</x:f>
        <x:v>98.78048780487805</x:v>
      </x:c>
    </x:row>
    <x:row r="2126" ht="21" customHeight="1">
      <x:c r="A2126" s="10" t="n">
        <x:v>3066</x:v>
      </x:c>
      <x:c r="B2126" s="2" t="str">
        <x:v>315ced1679be7373eb64</x:v>
      </x:c>
      <x:c r="C2126" s="2" t="str">
        <x:v>Tp Hồ Chí Minh</x:v>
      </x:c>
      <x:c r="D2126" s="2" t="str">
        <x:v>Quận Gò Vấp</x:v>
      </x:c>
      <x:c r="E2126" s="2" t="str">
        <x:v>house</x:v>
      </x:c>
      <x:c r="F2126" s="2" t="str">
        <x:v>sale_assumed</x:v>
      </x:c>
      <x:c r="G2126" s="11" t="n">
        <x:v>60</x:v>
      </x:c>
      <x:c r="H2126" s="12" t="n">
        <x:v>4000000000</x:v>
      </x:c>
      <x:c r="I2126" s="12" t="n">
        <x:v>66666666.666666664</x:v>
      </x:c>
      <x:c r="J2126" s="2" t="str">
        <x:v>total</x:v>
      </x:c>
      <x:c r="K2126" s="2" t="str">
        <x:v>top_level_area</x:v>
      </x:c>
      <x:c r="L2126" s="2" t="str">
        <x:v>property_type_inferred_from_title;transaction_assumed_sale_from_dataset_context</x:v>
      </x:c>
      <x:c r="M2126" s="10" t="n">
        <x:v>0</x:v>
      </x:c>
      <x:c r="N2126" s="10" t="n">
        <x:v>0</x:v>
      </x:c>
      <x:c r="O2126" s="2" t="str">
        <x:v>Tp Hồ Chí Minh|house</x:v>
      </x:c>
      <x:c r="P2126" s="10" t="n">
        <x:v>2</x:v>
      </x:c>
      <x:c r="Q2126" s="13" t="n">
        <x:f>IF(H2126="","",H2126/1000000000)</x:f>
        <x:v>4</x:v>
      </x:c>
      <x:c r="R2126" s="13" t="n">
        <x:f>IF(I2126="","",I2126/1000000)</x:f>
        <x:v>66.66666666666666</x:v>
      </x:c>
    </x:row>
    <x:row r="2127" ht="21" customHeight="1">
      <x:c r="A2127" s="10" t="n">
        <x:v>3067</x:v>
      </x:c>
      <x:c r="B2127" s="2" t="str">
        <x:v>ae847e2f214a99547b6c</x:v>
      </x:c>
      <x:c r="C2127" s="2" t="str">
        <x:v>Đà Nẵng</x:v>
      </x:c>
      <x:c r="D2127" s="2" t="str">
        <x:v>Quận Thanh Khê</x:v>
      </x:c>
      <x:c r="E2127" s="2" t="str">
        <x:v>house</x:v>
      </x:c>
      <x:c r="F2127" s="2" t="str">
        <x:v>sale_assumed</x:v>
      </x:c>
      <x:c r="G2127" s="11" t="n">
        <x:v>52</x:v>
      </x:c>
      <x:c r="H2127" s="12" t="n">
        <x:v>3950000000</x:v>
      </x:c>
      <x:c r="I2127" s="12" t="n">
        <x:v>75961538.46153846</x:v>
      </x:c>
      <x:c r="J2127" s="2" t="str">
        <x:v>total</x:v>
      </x:c>
      <x:c r="K2127" s="2" t="str">
        <x:v>top_level_area</x:v>
      </x:c>
      <x:c r="L2127" s="2" t="str">
        <x:v>property_type_inferred_from_title;transaction_assumed_sale_from_dataset_context</x:v>
      </x:c>
      <x:c r="M2127" s="10" t="n">
        <x:v>0</x:v>
      </x:c>
      <x:c r="N2127" s="10" t="n">
        <x:v>0</x:v>
      </x:c>
      <x:c r="O2127" s="2" t="str">
        <x:v>Đà Nẵng|house</x:v>
      </x:c>
      <x:c r="P2127" s="10" t="n">
        <x:v>2</x:v>
      </x:c>
      <x:c r="Q2127" s="13" t="n">
        <x:f>IF(H2127="","",H2127/1000000000)</x:f>
        <x:v>3.95</x:v>
      </x:c>
      <x:c r="R2127" s="13" t="n">
        <x:f>IF(I2127="","",I2127/1000000)</x:f>
        <x:v>75.96153846153847</x:v>
      </x:c>
    </x:row>
    <x:row r="2128" ht="21" customHeight="1">
      <x:c r="A2128" s="10" t="n">
        <x:v>3068</x:v>
      </x:c>
      <x:c r="B2128" s="2" t="str">
        <x:v>1366f8b988aa3cf8af91</x:v>
      </x:c>
      <x:c r="C2128" s="2" t="str">
        <x:v>Tp Hồ Chí Minh</x:v>
      </x:c>
      <x:c r="D2128" s="2" t="str">
        <x:v>Quận Bình Tân</x:v>
      </x:c>
      <x:c r="E2128" s="2" t="str">
        <x:v>house</x:v>
      </x:c>
      <x:c r="F2128" s="2" t="str">
        <x:v>sale_assumed</x:v>
      </x:c>
      <x:c r="G2128" s="11" t="n">
        <x:v>37</x:v>
      </x:c>
      <x:c r="H2128" s="12" t="n">
        <x:v>2100000000</x:v>
      </x:c>
      <x:c r="I2128" s="12" t="n">
        <x:v>56756756.75675676</x:v>
      </x:c>
      <x:c r="J2128" s="2" t="str">
        <x:v>total</x:v>
      </x:c>
      <x:c r="K2128" s="2" t="str">
        <x:v>top_level_area</x:v>
      </x:c>
      <x:c r="L2128" s="2" t="str">
        <x:v>property_type_inferred_from_title;transaction_assumed_sale_from_dataset_context</x:v>
      </x:c>
      <x:c r="M2128" s="10" t="n">
        <x:v>0</x:v>
      </x:c>
      <x:c r="N2128" s="10" t="n">
        <x:v>0</x:v>
      </x:c>
      <x:c r="O2128" s="2" t="str">
        <x:v>Tp Hồ Chí Minh|house</x:v>
      </x:c>
      <x:c r="P2128" s="10" t="n">
        <x:v>2</x:v>
      </x:c>
      <x:c r="Q2128" s="13" t="n">
        <x:f>IF(H2128="","",H2128/1000000000)</x:f>
        <x:v>2.1</x:v>
      </x:c>
      <x:c r="R2128" s="13" t="n">
        <x:f>IF(I2128="","",I2128/1000000)</x:f>
        <x:v>56.75675675675676</x:v>
      </x:c>
    </x:row>
    <x:row r="2129" ht="21" customHeight="1">
      <x:c r="A2129" s="10" t="n">
        <x:v>3069</x:v>
      </x:c>
      <x:c r="B2129" s="2" t="str">
        <x:v>51fc0f57b5d9dc8e80e5</x:v>
      </x:c>
      <x:c r="C2129" s="2" t="str">
        <x:v>Lâm Đồng</x:v>
      </x:c>
      <x:c r="D2129" s="2" t="str">
        <x:v>Huyện Đạ Huoai</x:v>
      </x:c>
      <x:c r="E2129" s="2" t="str">
        <x:v>land</x:v>
      </x:c>
      <x:c r="F2129" s="2" t="str">
        <x:v>sale_assumed</x:v>
      </x:c>
      <x:c r="G2129" s="11" t="n">
        <x:v>4700</x:v>
      </x:c>
      <x:c r="H2129" s="12" t="n">
        <x:v>13500000000</x:v>
      </x:c>
      <x:c r="I2129" s="12" t="n">
        <x:v>2872340.425531915</x:v>
      </x:c>
      <x:c r="J2129" s="2" t="str">
        <x:v>total</x:v>
      </x:c>
      <x:c r="K2129" s="2" t="str">
        <x:v>top_level_area</x:v>
      </x:c>
      <x:c r="L2129" s="2" t="str">
        <x:v>dot_thousands_convention;property_type_inferred_from_title;transaction_assumed_sale_from_dataset_context</x:v>
      </x:c>
      <x:c r="M2129" s="10" t="n">
        <x:v>0</x:v>
      </x:c>
      <x:c r="N2129" s="10" t="n">
        <x:v>0</x:v>
      </x:c>
      <x:c r="O2129" s="2" t="str">
        <x:v>Lâm Đồng|land</x:v>
      </x:c>
      <x:c r="P2129" s="10" t="n">
        <x:v>1</x:v>
      </x:c>
      <x:c r="Q2129" s="13" t="n">
        <x:f>IF(H2129="","",H2129/1000000000)</x:f>
        <x:v>13.5</x:v>
      </x:c>
      <x:c r="R2129" s="13" t="n">
        <x:f>IF(I2129="","",I2129/1000000)</x:f>
        <x:v>2.872340425531915</x:v>
      </x:c>
    </x:row>
    <x:row r="2130" ht="21" customHeight="1">
      <x:c r="A2130" s="10" t="n">
        <x:v>3070</x:v>
      </x:c>
      <x:c r="B2130" s="2" t="str">
        <x:v>8e60407d48061e664071</x:v>
      </x:c>
      <x:c r="C2130" s="2" t="str">
        <x:v>Bình Dương</x:v>
      </x:c>
      <x:c r="D2130" s="2" t="str">
        <x:v>Thị xã Thuận An</x:v>
      </x:c>
      <x:c r="E2130" s="2" t="str">
        <x:v>land</x:v>
      </x:c>
      <x:c r="F2130" s="2" t="str">
        <x:v>sale_assumed</x:v>
      </x:c>
      <x:c r="G2130" s="11" t="n">
        <x:v>150</x:v>
      </x:c>
      <x:c r="H2130" s="12" t="n">
        <x:v>1350000000</x:v>
      </x:c>
      <x:c r="I2130" s="12" t="n">
        <x:v>9000000</x:v>
      </x:c>
      <x:c r="J2130" s="2" t="str">
        <x:v>total</x:v>
      </x:c>
      <x:c r="K2130" s="2" t="str">
        <x:v>top_level_area</x:v>
      </x:c>
      <x:c r="L2130" s="2" t="str">
        <x:v>property_type_inferred_from_title;transaction_assumed_sale_from_dataset_context</x:v>
      </x:c>
      <x:c r="M2130" s="10" t="n">
        <x:v>0</x:v>
      </x:c>
      <x:c r="N2130" s="10" t="n">
        <x:v>0</x:v>
      </x:c>
      <x:c r="O2130" s="2" t="str">
        <x:v>Bình Dương|land</x:v>
      </x:c>
      <x:c r="P2130" s="10" t="n">
        <x:v>2</x:v>
      </x:c>
      <x:c r="Q2130" s="13" t="n">
        <x:f>IF(H2130="","",H2130/1000000000)</x:f>
        <x:v>1.35</x:v>
      </x:c>
      <x:c r="R2130" s="13" t="n">
        <x:f>IF(I2130="","",I2130/1000000)</x:f>
        <x:v>9</x:v>
      </x:c>
    </x:row>
    <x:row r="2131" ht="21" customHeight="1">
      <x:c r="A2131" s="10" t="n">
        <x:v>3071</x:v>
      </x:c>
      <x:c r="B2131" s="2" t="str">
        <x:v>1cf7685fbe19a66789b3</x:v>
      </x:c>
      <x:c r="C2131" s="2" t="str">
        <x:v>Bình Dương</x:v>
      </x:c>
      <x:c r="D2131" s="2" t="str">
        <x:v>Huyện Bàu Bàng</x:v>
      </x:c>
      <x:c r="E2131" s="2" t="str">
        <x:v>house</x:v>
      </x:c>
      <x:c r="F2131" s="2" t="str">
        <x:v>sale_assumed</x:v>
      </x:c>
      <x:c r="G2131" s="11" t="n">
        <x:v>1000</x:v>
      </x:c>
      <x:c r="H2131" s="12" t="n">
        <x:v>250000000</x:v>
      </x:c>
      <x:c r="I2131" s="12" t="n">
        <x:v>250000</x:v>
      </x:c>
      <x:c r="J2131" s="2" t="str">
        <x:v>total</x:v>
      </x:c>
      <x:c r="K2131" s="2" t="str">
        <x:v>top_level_area</x:v>
      </x:c>
      <x:c r="L2131" s="2" t="str">
        <x:v>dot_thousands_convention;property_type_inferred_from_title;transaction_assumed_sale_from_dataset_context</x:v>
      </x:c>
      <x:c r="M2131" s="10" t="n">
        <x:v>0</x:v>
      </x:c>
      <x:c r="N2131" s="10" t="n">
        <x:v>0</x:v>
      </x:c>
      <x:c r="O2131" s="2" t="str">
        <x:v>Bình Dương|house</x:v>
      </x:c>
      <x:c r="P2131" s="10" t="n">
        <x:v>1</x:v>
      </x:c>
      <x:c r="Q2131" s="13" t="n">
        <x:f>IF(H2131="","",H2131/1000000000)</x:f>
        <x:v>0.25</x:v>
      </x:c>
      <x:c r="R2131" s="13" t="n">
        <x:f>IF(I2131="","",I2131/1000000)</x:f>
        <x:v>0.25</x:v>
      </x:c>
    </x:row>
    <x:row r="2132" ht="21" customHeight="1">
      <x:c r="A2132" s="10" t="n">
        <x:v>3072</x:v>
      </x:c>
      <x:c r="B2132" s="2" t="str">
        <x:v>ca78d06f2e3e6c0187f9</x:v>
      </x:c>
      <x:c r="C2132" s="2" t="str">
        <x:v>Tp Hồ Chí Minh</x:v>
      </x:c>
      <x:c r="D2132" s="2" t="str">
        <x:v>Quận Thủ Đức</x:v>
      </x:c>
      <x:c r="E2132" s="2" t="str">
        <x:v>house</x:v>
      </x:c>
      <x:c r="F2132" s="2" t="str">
        <x:v>sale</x:v>
      </x:c>
      <x:c r="G2132" s="11" t="n">
        <x:v>33.3</x:v>
      </x:c>
      <x:c r="H2132" s="12" t="n">
        <x:v>2190000000</x:v>
      </x:c>
      <x:c r="I2132" s="12" t="n">
        <x:v>65765765.76576577</x:v>
      </x:c>
      <x:c r="J2132" s="2" t="str">
        <x:v>total</x:v>
      </x:c>
      <x:c r="K2132" s="2" t="str">
        <x:v>top_level_area</x:v>
      </x:c>
      <x:c r="L2132" s="2" t="str">
        <x:v>property_type_inferred_from_title</x:v>
      </x:c>
      <x:c r="M2132" s="10" t="n">
        <x:v>0</x:v>
      </x:c>
      <x:c r="N2132" s="10" t="n">
        <x:v>0</x:v>
      </x:c>
      <x:c r="O2132" s="2" t="str">
        <x:v>Tp Hồ Chí Minh|house</x:v>
      </x:c>
      <x:c r="P2132" s="10" t="n">
        <x:v>2</x:v>
      </x:c>
      <x:c r="Q2132" s="13" t="n">
        <x:f>IF(H2132="","",H2132/1000000000)</x:f>
        <x:v>2.19</x:v>
      </x:c>
      <x:c r="R2132" s="13" t="n">
        <x:f>IF(I2132="","",I2132/1000000)</x:f>
        <x:v>65.76576576576578</x:v>
      </x:c>
    </x:row>
    <x:row r="2133" ht="21" customHeight="1">
      <x:c r="A2133" s="10" t="n">
        <x:v>3073</x:v>
      </x:c>
      <x:c r="B2133" s="2" t="str">
        <x:v>f535b99dec323aad9931</x:v>
      </x:c>
      <x:c r="C2133" s="2" t="str">
        <x:v>Tp Hồ Chí Minh</x:v>
      </x:c>
      <x:c r="D2133" s="2" t="str">
        <x:v>Quận Thủ Đức</x:v>
      </x:c>
      <x:c r="E2133" s="2" t="str">
        <x:v>other_unknown</x:v>
      </x:c>
      <x:c r="F2133" s="2" t="str">
        <x:v>sale_assumed</x:v>
      </x:c>
      <x:c r="G2133" s="11" t="n">
        <x:v>175</x:v>
      </x:c>
      <x:c r="H2133" s="12" t="n">
        <x:v>15300000000</x:v>
      </x:c>
      <x:c r="I2133" s="12" t="n">
        <x:v>87428571.42857143</x:v>
      </x:c>
      <x:c r="J2133" s="2" t="str">
        <x:v>total</x:v>
      </x:c>
      <x:c r="K2133" s="2" t="str">
        <x:v>top_level_area</x:v>
      </x:c>
      <x:c r="L2133" s="2" t="str">
        <x:v>property_type_inferred_from_title;transaction_assumed_sale_from_dataset_context;unknown_property_type</x:v>
      </x:c>
      <x:c r="M2133" s="10" t="n">
        <x:v>0</x:v>
      </x:c>
      <x:c r="N2133" s="10" t="n">
        <x:v>0</x:v>
      </x:c>
      <x:c r="O2133" s="2" t="str">
        <x:v>Tp Hồ Chí Minh|other_unknown</x:v>
      </x:c>
      <x:c r="P2133" s="10" t="n">
        <x:v>2</x:v>
      </x:c>
      <x:c r="Q2133" s="13" t="n">
        <x:f>IF(H2133="","",H2133/1000000000)</x:f>
        <x:v>15.3</x:v>
      </x:c>
      <x:c r="R2133" s="13" t="n">
        <x:f>IF(I2133="","",I2133/1000000)</x:f>
        <x:v>87.42857142857143</x:v>
      </x:c>
    </x:row>
    <x:row r="2134" ht="21" customHeight="1">
      <x:c r="A2134" s="10" t="n">
        <x:v>3074</x:v>
      </x:c>
      <x:c r="B2134" s="2" t="str">
        <x:v>f52bc07540f83a901235</x:v>
      </x:c>
      <x:c r="C2134" s="2" t="str">
        <x:v>Tp Hồ Chí Minh</x:v>
      </x:c>
      <x:c r="D2134" s="2" t="str">
        <x:v>Quận Thủ Đức</x:v>
      </x:c>
      <x:c r="E2134" s="2" t="str">
        <x:v>apartment</x:v>
      </x:c>
      <x:c r="F2134" s="2" t="str">
        <x:v>sale_assumed</x:v>
      </x:c>
      <x:c r="G2134" s="11" t="n">
        <x:v>46</x:v>
      </x:c>
      <x:c r="H2134" s="12" t="n">
        <x:v>3650000000</x:v>
      </x:c>
      <x:c r="I2134" s="12" t="n">
        <x:v>79347826.08695652</x:v>
      </x:c>
      <x:c r="J2134" s="2" t="str">
        <x:v>total</x:v>
      </x:c>
      <x:c r="K2134" s="2" t="str">
        <x:v>top_level_area</x:v>
      </x:c>
      <x:c r="L2134" s="2" t="str">
        <x:v>property_type_inferred_from_title;transaction_assumed_sale_from_dataset_context</x:v>
      </x:c>
      <x:c r="M2134" s="10" t="n">
        <x:v>0</x:v>
      </x:c>
      <x:c r="N2134" s="10" t="n">
        <x:v>1</x:v>
      </x:c>
      <x:c r="O2134" s="2" t="str">
        <x:v>Tp Hồ Chí Minh|apartment</x:v>
      </x:c>
      <x:c r="P2134" s="10" t="n">
        <x:v>-1</x:v>
      </x:c>
      <x:c r="Q2134" s="13" t="n">
        <x:f>IF(H2134="","",H2134/1000000000)</x:f>
        <x:v>3.65</x:v>
      </x:c>
      <x:c r="R2134" s="13" t="n">
        <x:f>IF(I2134="","",I2134/1000000)</x:f>
        <x:v>79.34782608695652</x:v>
      </x:c>
    </x:row>
    <x:row r="2135" ht="21" customHeight="1">
      <x:c r="A2135" s="10" t="n">
        <x:v>3075</x:v>
      </x:c>
      <x:c r="B2135" s="2" t="str">
        <x:v>2ffe22641cec902d609a</x:v>
      </x:c>
      <x:c r="C2135" s="2" t="str">
        <x:v>Cần Thơ</x:v>
      </x:c>
      <x:c r="D2135" s="2" t="str">
        <x:v>Quận Cái Răng</x:v>
      </x:c>
      <x:c r="E2135" s="2" t="str">
        <x:v>house</x:v>
      </x:c>
      <x:c r="F2135" s="2" t="str">
        <x:v>sale</x:v>
      </x:c>
      <x:c r="G2135" s="11" t="n">
        <x:v>81</x:v>
      </x:c>
      <x:c r="H2135" s="12" t="n">
        <x:v>2950000000</x:v>
      </x:c>
      <x:c r="I2135" s="12" t="n">
        <x:v>36419753.086419754</x:v>
      </x:c>
      <x:c r="J2135" s="2" t="str">
        <x:v>total</x:v>
      </x:c>
      <x:c r="K2135" s="2" t="str">
        <x:v>top_level_area</x:v>
      </x:c>
      <x:c r="L2135" s="2" t="str">
        <x:v>property_type_inferred_from_title</x:v>
      </x:c>
      <x:c r="M2135" s="10" t="n">
        <x:v>0</x:v>
      </x:c>
      <x:c r="N2135" s="10" t="n">
        <x:v>0</x:v>
      </x:c>
      <x:c r="O2135" s="2" t="str">
        <x:v>Cần Thơ|house</x:v>
      </x:c>
      <x:c r="P2135" s="10" t="n">
        <x:v>2</x:v>
      </x:c>
      <x:c r="Q2135" s="13" t="n">
        <x:f>IF(H2135="","",H2135/1000000000)</x:f>
        <x:v>2.95</x:v>
      </x:c>
      <x:c r="R2135" s="13" t="n">
        <x:f>IF(I2135="","",I2135/1000000)</x:f>
        <x:v>36.41975308641975</x:v>
      </x:c>
    </x:row>
    <x:row r="2136" ht="21" customHeight="1">
      <x:c r="A2136" s="10" t="n">
        <x:v>3076</x:v>
      </x:c>
      <x:c r="B2136" s="2" t="str">
        <x:v>0e5a1d43b1ea27156d95</x:v>
      </x:c>
      <x:c r="C2136" s="2" t="str">
        <x:v>Tp Hồ Chí Minh</x:v>
      </x:c>
      <x:c r="D2136" s="2" t="str">
        <x:v>Quận Bình Thạnh</x:v>
      </x:c>
      <x:c r="E2136" s="2" t="str">
        <x:v>other_unknown</x:v>
      </x:c>
      <x:c r="F2136" s="2" t="str">
        <x:v>sale_assumed</x:v>
      </x:c>
      <x:c r="G2136" s="11" t="n">
        <x:v>21</x:v>
      </x:c>
      <x:c r="H2136" s="12" t="n">
        <x:v>2450000000</x:v>
      </x:c>
      <x:c r="I2136" s="12" t="n">
        <x:v>116666666.66666667</x:v>
      </x:c>
      <x:c r="J2136" s="2" t="str">
        <x:v>total</x:v>
      </x:c>
      <x:c r="K2136" s="2" t="str">
        <x:v>top_level_area</x:v>
      </x:c>
      <x:c r="L2136" s="2" t="str">
        <x:v>property_type_inferred_from_title;transaction_assumed_sale_from_dataset_context;unknown_property_type</x:v>
      </x:c>
      <x:c r="M2136" s="10" t="n">
        <x:v>0</x:v>
      </x:c>
      <x:c r="N2136" s="10" t="n">
        <x:v>0</x:v>
      </x:c>
      <x:c r="O2136" s="2" t="str">
        <x:v>Tp Hồ Chí Minh|other_unknown</x:v>
      </x:c>
      <x:c r="P2136" s="10" t="n">
        <x:v>2</x:v>
      </x:c>
      <x:c r="Q2136" s="13" t="n">
        <x:f>IF(H2136="","",H2136/1000000000)</x:f>
        <x:v>2.45</x:v>
      </x:c>
      <x:c r="R2136" s="13" t="n">
        <x:f>IF(I2136="","",I2136/1000000)</x:f>
        <x:v>116.66666666666667</x:v>
      </x:c>
    </x:row>
    <x:row r="2137" ht="21" customHeight="1">
      <x:c r="A2137" s="10" t="n">
        <x:v>3077</x:v>
      </x:c>
      <x:c r="B2137" s="2" t="str">
        <x:v>5e79fe85d68defddac9e</x:v>
      </x:c>
      <x:c r="C2137" s="2" t="str">
        <x:v>Tp Hồ Chí Minh</x:v>
      </x:c>
      <x:c r="D2137" s="2" t="str">
        <x:v>Quận 9</x:v>
      </x:c>
      <x:c r="E2137" s="2" t="str">
        <x:v>house</x:v>
      </x:c>
      <x:c r="F2137" s="2" t="str">
        <x:v>sale</x:v>
      </x:c>
      <x:c r="G2137" s="11" t="n">
        <x:v>82</x:v>
      </x:c>
      <x:c r="H2137" s="12" t="n">
        <x:v>1750000000</x:v>
      </x:c>
      <x:c r="I2137" s="12" t="n">
        <x:v>21341463.414634146</x:v>
      </x:c>
      <x:c r="J2137" s="2" t="str">
        <x:v>total</x:v>
      </x:c>
      <x:c r="K2137" s="2" t="str">
        <x:v>top_level_price_embedded_area</x:v>
      </x:c>
      <x:c r="L2137" s="2" t="str">
        <x:v>area_recovered_from_price_text;property_type_inferred_from_title</x:v>
      </x:c>
      <x:c r="M2137" s="10" t="n">
        <x:v>0</x:v>
      </x:c>
      <x:c r="N2137" s="10" t="n">
        <x:v>0</x:v>
      </x:c>
      <x:c r="O2137" s="2" t="str">
        <x:v>Tp Hồ Chí Minh|house</x:v>
      </x:c>
      <x:c r="P2137" s="10" t="n">
        <x:v>2</x:v>
      </x:c>
      <x:c r="Q2137" s="13" t="n">
        <x:f>IF(H2137="","",H2137/1000000000)</x:f>
        <x:v>1.75</x:v>
      </x:c>
      <x:c r="R2137" s="13" t="n">
        <x:f>IF(I2137="","",I2137/1000000)</x:f>
        <x:v>21.341463414634145</x:v>
      </x:c>
    </x:row>
    <x:row r="2138" ht="21" customHeight="1">
      <x:c r="A2138" s="10" t="n">
        <x:v>3078</x:v>
      </x:c>
      <x:c r="B2138" s="2" t="str">
        <x:v>4006f071ff011d554661</x:v>
      </x:c>
      <x:c r="C2138" s="2" t="str">
        <x:v>Đồng Nai</x:v>
      </x:c>
      <x:c r="D2138" s="2" t="str">
        <x:v>Thành phố Biên Hòa</x:v>
      </x:c>
      <x:c r="E2138" s="2" t="str">
        <x:v>house</x:v>
      </x:c>
      <x:c r="F2138" s="2" t="str">
        <x:v>sale_assumed</x:v>
      </x:c>
      <x:c r="G2138" s="11" t="n">
        <x:v>7400</x:v>
      </x:c>
      <x:c r="H2138" s="12" t="n">
        <x:v>8500000000</x:v>
      </x:c>
      <x:c r="I2138" s="12" t="n">
        <x:v>1148648.6486486488</x:v>
      </x:c>
      <x:c r="J2138" s="2" t="str">
        <x:v>total</x:v>
      </x:c>
      <x:c r="K2138" s="2" t="str">
        <x:v>top_level_area</x:v>
      </x:c>
      <x:c r="L2138" s="2" t="str">
        <x:v>dot_thousands_convention;property_type_inferred_from_title;transaction_assumed_sale_from_dataset_context</x:v>
      </x:c>
      <x:c r="M2138" s="10" t="n">
        <x:v>0</x:v>
      </x:c>
      <x:c r="N2138" s="10" t="n">
        <x:v>0</x:v>
      </x:c>
      <x:c r="O2138" s="2" t="str">
        <x:v>Đồng Nai|house</x:v>
      </x:c>
      <x:c r="P2138" s="10" t="n">
        <x:v>1</x:v>
      </x:c>
      <x:c r="Q2138" s="13" t="n">
        <x:f>IF(H2138="","",H2138/1000000000)</x:f>
        <x:v>8.5</x:v>
      </x:c>
      <x:c r="R2138" s="13" t="n">
        <x:f>IF(I2138="","",I2138/1000000)</x:f>
        <x:v>1.1486486486486487</x:v>
      </x:c>
    </x:row>
    <x:row r="2139" ht="21" customHeight="1">
      <x:c r="A2139" s="10" t="n">
        <x:v>3081</x:v>
      </x:c>
      <x:c r="B2139" s="2" t="str">
        <x:v>f7825fc9122f2a2bd73d</x:v>
      </x:c>
      <x:c r="C2139" s="2" t="str">
        <x:v>Đà Nẵng</x:v>
      </x:c>
      <x:c r="D2139" s="2" t="str">
        <x:v>Quận Thanh Khê</x:v>
      </x:c>
      <x:c r="E2139" s="2" t="str">
        <x:v>house</x:v>
      </x:c>
      <x:c r="F2139" s="2" t="str">
        <x:v>sale</x:v>
      </x:c>
      <x:c r="G2139" s="11" t="n">
        <x:v>111</x:v>
      </x:c>
      <x:c r="H2139" s="12" t="n">
        <x:v>2350000000</x:v>
      </x:c>
      <x:c r="I2139" s="12" t="n">
        <x:v>21171171.17117117</x:v>
      </x:c>
      <x:c r="J2139" s="2" t="str">
        <x:v>total</x:v>
      </x:c>
      <x:c r="K2139" s="2" t="str">
        <x:v>top_level_area</x:v>
      </x:c>
      <x:c r="L2139" s="2" t="str">
        <x:v>property_type_inferred_from_title</x:v>
      </x:c>
      <x:c r="M2139" s="10" t="n">
        <x:v>0</x:v>
      </x:c>
      <x:c r="N2139" s="10" t="n">
        <x:v>0</x:v>
      </x:c>
      <x:c r="O2139" s="2" t="str">
        <x:v>Đà Nẵng|house</x:v>
      </x:c>
      <x:c r="P2139" s="10" t="n">
        <x:v>2</x:v>
      </x:c>
      <x:c r="Q2139" s="13" t="n">
        <x:f>IF(H2139="","",H2139/1000000000)</x:f>
        <x:v>2.35</x:v>
      </x:c>
      <x:c r="R2139" s="13" t="n">
        <x:f>IF(I2139="","",I2139/1000000)</x:f>
        <x:v>21.17117117117117</x:v>
      </x:c>
    </x:row>
    <x:row r="2140" ht="21" customHeight="1">
      <x:c r="A2140" s="10" t="n">
        <x:v>3082</x:v>
      </x:c>
      <x:c r="B2140" s="2" t="str">
        <x:v>e8c9fa223bea4f818d07</x:v>
      </x:c>
      <x:c r="C2140" s="2" t="str">
        <x:v>Bình Dương</x:v>
      </x:c>
      <x:c r="D2140" s="2" t="str">
        <x:v>Thành phố Thủ Dầu Một</x:v>
      </x:c>
      <x:c r="E2140" s="2" t="str">
        <x:v>other_unknown</x:v>
      </x:c>
      <x:c r="F2140" s="2" t="str">
        <x:v>sale_assumed</x:v>
      </x:c>
      <x:c r="G2140" s="11" t="n">
        <x:v>63</x:v>
      </x:c>
      <x:c r="H2140" s="12" t="n">
        <x:v>3500000000</x:v>
      </x:c>
      <x:c r="I2140" s="12" t="n">
        <x:v>55555555.55555555</x:v>
      </x:c>
      <x:c r="J2140" s="2" t="str">
        <x:v>total</x:v>
      </x:c>
      <x:c r="K2140" s="2" t="str">
        <x:v>top_level_area</x:v>
      </x:c>
      <x:c r="L2140" s="2" t="str">
        <x:v>property_type_inferred_from_title;transaction_assumed_sale_from_dataset_context;unknown_property_type</x:v>
      </x:c>
      <x:c r="M2140" s="10" t="n">
        <x:v>0</x:v>
      </x:c>
      <x:c r="N2140" s="10" t="n">
        <x:v>1</x:v>
      </x:c>
      <x:c r="O2140" s="2" t="str">
        <x:v>Bình Dương|other_unknown</x:v>
      </x:c>
      <x:c r="P2140" s="10" t="n">
        <x:v>-1</x:v>
      </x:c>
      <x:c r="Q2140" s="13" t="n">
        <x:f>IF(H2140="","",H2140/1000000000)</x:f>
        <x:v>3.5</x:v>
      </x:c>
      <x:c r="R2140" s="13" t="n">
        <x:f>IF(I2140="","",I2140/1000000)</x:f>
        <x:v>55.55555555555555</x:v>
      </x:c>
    </x:row>
    <x:row r="2141" ht="21" customHeight="1">
      <x:c r="A2141" s="10" t="n">
        <x:v>3083</x:v>
      </x:c>
      <x:c r="B2141" s="2" t="str">
        <x:v>f67b58e3f52090e2c010</x:v>
      </x:c>
      <x:c r="C2141" s="2" t="str">
        <x:v>Tp Hồ Chí Minh</x:v>
      </x:c>
      <x:c r="D2141" s="2" t="str">
        <x:v>Quận Thủ Đức</x:v>
      </x:c>
      <x:c r="E2141" s="2" t="str">
        <x:v>house</x:v>
      </x:c>
      <x:c r="F2141" s="2" t="str">
        <x:v>sale_assumed</x:v>
      </x:c>
      <x:c r="G2141" s="11" t="n">
        <x:v>73</x:v>
      </x:c>
      <x:c r="H2141" s="12" t="n">
        <x:v>6980000000</x:v>
      </x:c>
      <x:c r="I2141" s="12" t="n">
        <x:v>95616438.35616438</x:v>
      </x:c>
      <x:c r="J2141" s="2" t="str">
        <x:v>total</x:v>
      </x:c>
      <x:c r="K2141" s="2" t="str">
        <x:v>top_level_area</x:v>
      </x:c>
      <x:c r="L2141" s="2" t="str">
        <x:v>property_type_inferred_from_title;transaction_assumed_sale_from_dataset_context</x:v>
      </x:c>
      <x:c r="M2141" s="10" t="n">
        <x:v>0</x:v>
      </x:c>
      <x:c r="N2141" s="10" t="n">
        <x:v>0</x:v>
      </x:c>
      <x:c r="O2141" s="2" t="str">
        <x:v>Tp Hồ Chí Minh|house</x:v>
      </x:c>
      <x:c r="P2141" s="10" t="n">
        <x:v>2</x:v>
      </x:c>
      <x:c r="Q2141" s="13" t="n">
        <x:f>IF(H2141="","",H2141/1000000000)</x:f>
        <x:v>6.98</x:v>
      </x:c>
      <x:c r="R2141" s="13" t="n">
        <x:f>IF(I2141="","",I2141/1000000)</x:f>
        <x:v>95.61643835616438</x:v>
      </x:c>
    </x:row>
    <x:row r="2142" ht="21" customHeight="1">
      <x:c r="A2142" s="10" t="n">
        <x:v>3084</x:v>
      </x:c>
      <x:c r="B2142" s="2" t="str">
        <x:v>1a1e64f7825d5fa73451</x:v>
      </x:c>
      <x:c r="C2142" s="2" t="str">
        <x:v>Long An</x:v>
      </x:c>
      <x:c r="D2142" s="2" t="str">
        <x:v>Huyện Cần Đước</x:v>
      </x:c>
      <x:c r="E2142" s="2" t="str">
        <x:v>land</x:v>
      </x:c>
      <x:c r="F2142" s="2" t="str">
        <x:v>sale</x:v>
      </x:c>
      <x:c r="G2142" s="11" t="n">
        <x:v>104</x:v>
      </x:c>
      <x:c r="H2142" s="12" t="n">
        <x:v>590000000</x:v>
      </x:c>
      <x:c r="I2142" s="12" t="n">
        <x:v>5673076.923076923</x:v>
      </x:c>
      <x:c r="J2142" s="2" t="str">
        <x:v>total</x:v>
      </x:c>
      <x:c r="K2142" s="2" t="str">
        <x:v>top_level_area</x:v>
      </x:c>
      <x:c r="L2142" s="2" t="str">
        <x:v>property_type_inferred_from_title</x:v>
      </x:c>
      <x:c r="M2142" s="10" t="n">
        <x:v>0</x:v>
      </x:c>
      <x:c r="N2142" s="10" t="n">
        <x:v>0</x:v>
      </x:c>
      <x:c r="O2142" s="2" t="str">
        <x:v>Long An|land</x:v>
      </x:c>
      <x:c r="P2142" s="10" t="n">
        <x:v>2</x:v>
      </x:c>
      <x:c r="Q2142" s="13" t="n">
        <x:f>IF(H2142="","",H2142/1000000000)</x:f>
        <x:v>0.59</x:v>
      </x:c>
      <x:c r="R2142" s="13" t="n">
        <x:f>IF(I2142="","",I2142/1000000)</x:f>
        <x:v>5.673076923076923</x:v>
      </x:c>
    </x:row>
    <x:row r="2143" ht="21" customHeight="1">
      <x:c r="A2143" s="10" t="n">
        <x:v>3085</x:v>
      </x:c>
      <x:c r="B2143" s="2" t="str">
        <x:v>e35c3b151a471fb130c6</x:v>
      </x:c>
      <x:c r="C2143" s="2" t="str">
        <x:v>Tp Hồ Chí Minh</x:v>
      </x:c>
      <x:c r="D2143" s="2" t="str">
        <x:v>Quận 10</x:v>
      </x:c>
      <x:c r="E2143" s="2" t="str">
        <x:v>other_unknown</x:v>
      </x:c>
      <x:c r="F2143" s="2" t="str">
        <x:v>sale_assumed</x:v>
      </x:c>
      <x:c r="G2143" s="11" t="n">
        <x:v>79</x:v>
      </x:c>
      <x:c r="H2143" s="12" t="n">
        <x:v>4000000000</x:v>
      </x:c>
      <x:c r="I2143" s="12" t="n">
        <x:v>50632911.39240506</x:v>
      </x:c>
      <x:c r="J2143" s="2" t="str">
        <x:v>total</x:v>
      </x:c>
      <x:c r="K2143" s="2" t="str">
        <x:v>top_level_area</x:v>
      </x:c>
      <x:c r="L2143" s="2" t="str">
        <x:v>property_type_inferred_from_title;transaction_assumed_sale_from_dataset_context;unknown_property_type</x:v>
      </x:c>
      <x:c r="M2143" s="10" t="n">
        <x:v>0</x:v>
      </x:c>
      <x:c r="N2143" s="10" t="n">
        <x:v>0</x:v>
      </x:c>
      <x:c r="O2143" s="2" t="str">
        <x:v>Tp Hồ Chí Minh|other_unknown</x:v>
      </x:c>
      <x:c r="P2143" s="10" t="n">
        <x:v>2</x:v>
      </x:c>
      <x:c r="Q2143" s="13" t="n">
        <x:f>IF(H2143="","",H2143/1000000000)</x:f>
        <x:v>4</x:v>
      </x:c>
      <x:c r="R2143" s="13" t="n">
        <x:f>IF(I2143="","",I2143/1000000)</x:f>
        <x:v>50.63291139240506</x:v>
      </x:c>
    </x:row>
    <x:row r="2144" ht="21" customHeight="1">
      <x:c r="A2144" s="10" t="n">
        <x:v>3086</x:v>
      </x:c>
      <x:c r="B2144" s="2" t="str">
        <x:v>bb3c88fa2d3035e3fcc9</x:v>
      </x:c>
      <x:c r="C2144" s="2" t="str">
        <x:v>Tp Hồ Chí Minh</x:v>
      </x:c>
      <x:c r="D2144" s="2" t="str">
        <x:v>Huyện Hóc Môn</x:v>
      </x:c>
      <x:c r="E2144" s="2" t="str">
        <x:v>land</x:v>
      </x:c>
      <x:c r="F2144" s="2" t="str">
        <x:v>sale</x:v>
      </x:c>
      <x:c r="G2144" s="11" t="n">
        <x:v>60</x:v>
      </x:c>
      <x:c r="H2144" s="12" t="n">
        <x:v>2500000000</x:v>
      </x:c>
      <x:c r="I2144" s="12" t="n">
        <x:v>41666666.666666664</x:v>
      </x:c>
      <x:c r="J2144" s="2" t="str">
        <x:v>total</x:v>
      </x:c>
      <x:c r="K2144" s="2" t="str">
        <x:v>top_level_area</x:v>
      </x:c>
      <x:c r="L2144" s="2" t="str">
        <x:v>property_type_inferred_from_title</x:v>
      </x:c>
      <x:c r="M2144" s="10" t="n">
        <x:v>0</x:v>
      </x:c>
      <x:c r="N2144" s="10" t="n">
        <x:v>0</x:v>
      </x:c>
      <x:c r="O2144" s="2" t="str">
        <x:v>Tp Hồ Chí Minh|land</x:v>
      </x:c>
      <x:c r="P2144" s="10" t="n">
        <x:v>2</x:v>
      </x:c>
      <x:c r="Q2144" s="13" t="n">
        <x:f>IF(H2144="","",H2144/1000000000)</x:f>
        <x:v>2.5</x:v>
      </x:c>
      <x:c r="R2144" s="13" t="n">
        <x:f>IF(I2144="","",I2144/1000000)</x:f>
        <x:v>41.666666666666664</x:v>
      </x:c>
    </x:row>
    <x:row r="2145" ht="21" customHeight="1">
      <x:c r="A2145" s="10" t="n">
        <x:v>3087</x:v>
      </x:c>
      <x:c r="B2145" s="2" t="str">
        <x:v>966d8811ce89a2c18d15</x:v>
      </x:c>
      <x:c r="C2145" s="2" t="str">
        <x:v>Bình Dương</x:v>
      </x:c>
      <x:c r="D2145" s="2" t="str">
        <x:v>Thị xã Bến Cát</x:v>
      </x:c>
      <x:c r="E2145" s="2" t="str">
        <x:v>land</x:v>
      </x:c>
      <x:c r="F2145" s="2" t="str">
        <x:v>sale_assumed</x:v>
      </x:c>
      <x:c r="G2145" s="11" t="n">
        <x:v>150</x:v>
      </x:c>
      <x:c r="H2145" s="12" t="n">
        <x:v>1300000000</x:v>
      </x:c>
      <x:c r="I2145" s="12" t="n">
        <x:v>8666666.666666666</x:v>
      </x:c>
      <x:c r="J2145" s="2" t="str">
        <x:v>total</x:v>
      </x:c>
      <x:c r="K2145" s="2" t="str">
        <x:v>top_level_area</x:v>
      </x:c>
      <x:c r="L2145" s="2" t="str">
        <x:v>property_type_inferred_from_title;transaction_assumed_sale_from_dataset_context</x:v>
      </x:c>
      <x:c r="M2145" s="10" t="n">
        <x:v>0</x:v>
      </x:c>
      <x:c r="N2145" s="10" t="n">
        <x:v>0</x:v>
      </x:c>
      <x:c r="O2145" s="2" t="str">
        <x:v>Bình Dương|land</x:v>
      </x:c>
      <x:c r="P2145" s="10" t="n">
        <x:v>2</x:v>
      </x:c>
      <x:c r="Q2145" s="13" t="n">
        <x:f>IF(H2145="","",H2145/1000000000)</x:f>
        <x:v>1.3</x:v>
      </x:c>
      <x:c r="R2145" s="13" t="n">
        <x:f>IF(I2145="","",I2145/1000000)</x:f>
        <x:v>8.666666666666666</x:v>
      </x:c>
    </x:row>
    <x:row r="2146" ht="21" customHeight="1">
      <x:c r="A2146" s="10" t="n">
        <x:v>3088</x:v>
      </x:c>
      <x:c r="B2146" s="2" t="str">
        <x:v>09dfa0f53239e231ac06</x:v>
      </x:c>
      <x:c r="C2146" s="2" t="str">
        <x:v>Tp Hồ Chí Minh</x:v>
      </x:c>
      <x:c r="D2146" s="2" t="str">
        <x:v>Huyện Bình Chánh</x:v>
      </x:c>
      <x:c r="E2146" s="2" t="str">
        <x:v>house</x:v>
      </x:c>
      <x:c r="F2146" s="2" t="str">
        <x:v>sale_assumed</x:v>
      </x:c>
      <x:c r="G2146" s="11" t="n">
        <x:v>80</x:v>
      </x:c>
      <x:c r="H2146" s="12" t="n">
        <x:v>1150000000</x:v>
      </x:c>
      <x:c r="I2146" s="12" t="n">
        <x:v>14375000</x:v>
      </x:c>
      <x:c r="J2146" s="2" t="str">
        <x:v>total</x:v>
      </x:c>
      <x:c r="K2146" s="2" t="str">
        <x:v>top_level_area</x:v>
      </x:c>
      <x:c r="L2146" s="2" t="str">
        <x:v>property_type_inferred_from_title;transaction_assumed_sale_from_dataset_context</x:v>
      </x:c>
      <x:c r="M2146" s="10" t="n">
        <x:v>0</x:v>
      </x:c>
      <x:c r="N2146" s="10" t="n">
        <x:v>0</x:v>
      </x:c>
      <x:c r="O2146" s="2" t="str">
        <x:v>Tp Hồ Chí Minh|house</x:v>
      </x:c>
      <x:c r="P2146" s="10" t="n">
        <x:v>2</x:v>
      </x:c>
      <x:c r="Q2146" s="13" t="n">
        <x:f>IF(H2146="","",H2146/1000000000)</x:f>
        <x:v>1.15</x:v>
      </x:c>
      <x:c r="R2146" s="13" t="n">
        <x:f>IF(I2146="","",I2146/1000000)</x:f>
        <x:v>14.375</x:v>
      </x:c>
    </x:row>
    <x:row r="2147" ht="21" customHeight="1">
      <x:c r="A2147" s="10" t="n">
        <x:v>3089</x:v>
      </x:c>
      <x:c r="B2147" s="2" t="str">
        <x:v>6f07a1244be8d7db7bcb</x:v>
      </x:c>
      <x:c r="C2147" s="2" t="str">
        <x:v>Tp Hồ Chí Minh</x:v>
      </x:c>
      <x:c r="D2147" s="2" t="str">
        <x:v>Huyện Củ Chi</x:v>
      </x:c>
      <x:c r="E2147" s="2" t="str">
        <x:v>land</x:v>
      </x:c>
      <x:c r="F2147" s="2" t="str">
        <x:v>sale</x:v>
      </x:c>
      <x:c r="G2147" s="11" t="n">
        <x:v>3800</x:v>
      </x:c>
      <x:c r="H2147" s="12" t="n">
        <x:v>3000000000</x:v>
      </x:c>
      <x:c r="I2147" s="12" t="n">
        <x:v>789473.6842105263</x:v>
      </x:c>
      <x:c r="J2147" s="2" t="str">
        <x:v>total</x:v>
      </x:c>
      <x:c r="K2147" s="2" t="str">
        <x:v>top_level_area</x:v>
      </x:c>
      <x:c r="L2147" s="2" t="str">
        <x:v>dot_thousands_convention;property_type_inferred_from_title</x:v>
      </x:c>
      <x:c r="M2147" s="10" t="n">
        <x:v>0</x:v>
      </x:c>
      <x:c r="N2147" s="10" t="n">
        <x:v>0</x:v>
      </x:c>
      <x:c r="O2147" s="2" t="str">
        <x:v>Tp Hồ Chí Minh|land</x:v>
      </x:c>
      <x:c r="P2147" s="10" t="n">
        <x:v>1</x:v>
      </x:c>
      <x:c r="Q2147" s="13" t="n">
        <x:f>IF(H2147="","",H2147/1000000000)</x:f>
        <x:v>3</x:v>
      </x:c>
      <x:c r="R2147" s="13" t="n">
        <x:f>IF(I2147="","",I2147/1000000)</x:f>
        <x:v>0.7894736842105263</x:v>
      </x:c>
    </x:row>
    <x:row r="2148" ht="21" customHeight="1">
      <x:c r="A2148" s="10" t="n">
        <x:v>3090</x:v>
      </x:c>
      <x:c r="B2148" s="2" t="str">
        <x:v>d83425091de2c5cc05ba</x:v>
      </x:c>
      <x:c r="C2148" s="2" t="str">
        <x:v>Tp Hồ Chí Minh</x:v>
      </x:c>
      <x:c r="D2148" s="2" t="str">
        <x:v>Huyện Nhà Bè</x:v>
      </x:c>
      <x:c r="E2148" s="2" t="str">
        <x:v>apartment</x:v>
      </x:c>
      <x:c r="F2148" s="2" t="str">
        <x:v>sale_assumed</x:v>
      </x:c>
      <x:c r="G2148" s="11" t="n">
        <x:v>121</x:v>
      </x:c>
      <x:c r="H2148" s="12" t="n">
        <x:v>2500000000</x:v>
      </x:c>
      <x:c r="I2148" s="12" t="n">
        <x:v>20661157.02479339</x:v>
      </x:c>
      <x:c r="J2148" s="2" t="str">
        <x:v>total</x:v>
      </x:c>
      <x:c r="K2148" s="2" t="str">
        <x:v>top_level_area</x:v>
      </x:c>
      <x:c r="L2148" s="2" t="str">
        <x:v>property_type_inferred_from_title;transaction_assumed_sale_from_dataset_context</x:v>
      </x:c>
      <x:c r="M2148" s="10" t="n">
        <x:v>0</x:v>
      </x:c>
      <x:c r="N2148" s="10" t="n">
        <x:v>0</x:v>
      </x:c>
      <x:c r="O2148" s="2" t="str">
        <x:v>Tp Hồ Chí Minh|apartment</x:v>
      </x:c>
      <x:c r="P2148" s="10" t="n">
        <x:v>2</x:v>
      </x:c>
      <x:c r="Q2148" s="13" t="n">
        <x:f>IF(H2148="","",H2148/1000000000)</x:f>
        <x:v>2.5</x:v>
      </x:c>
      <x:c r="R2148" s="13" t="n">
        <x:f>IF(I2148="","",I2148/1000000)</x:f>
        <x:v>20.66115702479339</x:v>
      </x:c>
    </x:row>
    <x:row r="2149" ht="21" customHeight="1">
      <x:c r="A2149" s="10" t="n">
        <x:v>3091</x:v>
      </x:c>
      <x:c r="B2149" s="2" t="str">
        <x:v>a8614bfaa5509d77715e</x:v>
      </x:c>
      <x:c r="C2149" s="2" t="str">
        <x:v>Lâm Đồng</x:v>
      </x:c>
      <x:c r="D2149" s="2" t="str">
        <x:v>Thành phố Bảo Lộc</x:v>
      </x:c>
      <x:c r="E2149" s="2" t="str">
        <x:v>land</x:v>
      </x:c>
      <x:c r="F2149" s="2" t="str">
        <x:v>sale_assumed</x:v>
      </x:c>
      <x:c r="G2149" s="11" t="n">
        <x:v>300</x:v>
      </x:c>
      <x:c r="H2149" s="12" t="n">
        <x:v>900000000</x:v>
      </x:c>
      <x:c r="I2149" s="12" t="n">
        <x:v>3000000</x:v>
      </x:c>
      <x:c r="J2149" s="2" t="str">
        <x:v>total</x:v>
      </x:c>
      <x:c r="K2149" s="2" t="str">
        <x:v>top_level_area</x:v>
      </x:c>
      <x:c r="L2149" s="2" t="str">
        <x:v>property_type_inferred_from_title;transaction_assumed_sale_from_dataset_context</x:v>
      </x:c>
      <x:c r="M2149" s="10" t="n">
        <x:v>0</x:v>
      </x:c>
      <x:c r="N2149" s="10" t="n">
        <x:v>0</x:v>
      </x:c>
      <x:c r="O2149" s="2" t="str">
        <x:v>Lâm Đồng|land</x:v>
      </x:c>
      <x:c r="P2149" s="10" t="n">
        <x:v>1</x:v>
      </x:c>
      <x:c r="Q2149" s="13" t="n">
        <x:f>IF(H2149="","",H2149/1000000000)</x:f>
        <x:v>0.9</x:v>
      </x:c>
      <x:c r="R2149" s="13" t="n">
        <x:f>IF(I2149="","",I2149/1000000)</x:f>
        <x:v>3</x:v>
      </x:c>
    </x:row>
    <x:row r="2150" ht="21" customHeight="1">
      <x:c r="A2150" s="10" t="n">
        <x:v>3092</x:v>
      </x:c>
      <x:c r="B2150" s="2" t="str">
        <x:v>fc4668f95ecfbb6f20f0</x:v>
      </x:c>
      <x:c r="C2150" s="2" t="str">
        <x:v>Đồng Nai</x:v>
      </x:c>
      <x:c r="D2150" s="2" t="str">
        <x:v>Thành phố Biên Hòa</x:v>
      </x:c>
      <x:c r="E2150" s="2" t="str">
        <x:v>apartment</x:v>
      </x:c>
      <x:c r="F2150" s="2" t="str">
        <x:v>sale_assumed</x:v>
      </x:c>
      <x:c r="G2150" s="11" t="n">
        <x:v>67</x:v>
      </x:c>
      <x:c r="H2150" s="12" t="n">
        <x:v>2200000000</x:v>
      </x:c>
      <x:c r="I2150" s="12" t="n">
        <x:v>32835820.89552239</x:v>
      </x:c>
      <x:c r="J2150" s="2" t="str">
        <x:v>total</x:v>
      </x:c>
      <x:c r="K2150" s="2" t="str">
        <x:v>top_level_area</x:v>
      </x:c>
      <x:c r="L2150" s="2" t="str">
        <x:v>property_type_inferred_from_title;transaction_assumed_sale_from_dataset_context</x:v>
      </x:c>
      <x:c r="M2150" s="10" t="n">
        <x:v>0</x:v>
      </x:c>
      <x:c r="N2150" s="10" t="n">
        <x:v>0</x:v>
      </x:c>
      <x:c r="O2150" s="2" t="str">
        <x:v>apartment</x:v>
      </x:c>
      <x:c r="P2150" s="10" t="n">
        <x:v>2</x:v>
      </x:c>
      <x:c r="Q2150" s="13" t="n">
        <x:f>IF(H2150="","",H2150/1000000000)</x:f>
        <x:v>2.2</x:v>
      </x:c>
      <x:c r="R2150" s="13" t="n">
        <x:f>IF(I2150="","",I2150/1000000)</x:f>
        <x:v>32.83582089552239</x:v>
      </x:c>
    </x:row>
    <x:row r="2151" ht="21" customHeight="1">
      <x:c r="A2151" s="10" t="n">
        <x:v>3093</x:v>
      </x:c>
      <x:c r="B2151" s="2" t="str">
        <x:v>d39ce680cdd3dc46c63f</x:v>
      </x:c>
      <x:c r="C2151" s="2" t="str">
        <x:v>Bình Phước</x:v>
      </x:c>
      <x:c r="D2151" s="2" t="str">
        <x:v>Huyện Chơn Thành</x:v>
      </x:c>
      <x:c r="E2151" s="2" t="str">
        <x:v>land</x:v>
      </x:c>
      <x:c r="F2151" s="2" t="str">
        <x:v>sale_assumed</x:v>
      </x:c>
      <x:c r="G2151" s="11" t="n">
        <x:v>250</x:v>
      </x:c>
      <x:c r="H2151" s="12" t="n">
        <x:v>325000000</x:v>
      </x:c>
      <x:c r="I2151" s="12" t="n">
        <x:v>1300000</x:v>
      </x:c>
      <x:c r="J2151" s="2" t="str">
        <x:v>total</x:v>
      </x:c>
      <x:c r="K2151" s="2" t="str">
        <x:v>top_level_area</x:v>
      </x:c>
      <x:c r="L2151" s="2" t="str">
        <x:v>property_type_inferred_from_title;transaction_assumed_sale_from_dataset_context</x:v>
      </x:c>
      <x:c r="M2151" s="10" t="n">
        <x:v>0</x:v>
      </x:c>
      <x:c r="N2151" s="10" t="n">
        <x:v>0</x:v>
      </x:c>
      <x:c r="O2151" s="2" t="str">
        <x:v>Bình Phước|land</x:v>
      </x:c>
      <x:c r="P2151" s="10" t="n">
        <x:v>1</x:v>
      </x:c>
      <x:c r="Q2151" s="13" t="n">
        <x:f>IF(H2151="","",H2151/1000000000)</x:f>
        <x:v>0.325</x:v>
      </x:c>
      <x:c r="R2151" s="13" t="n">
        <x:f>IF(I2151="","",I2151/1000000)</x:f>
        <x:v>1.3</x:v>
      </x:c>
    </x:row>
    <x:row r="2152" ht="21" customHeight="1">
      <x:c r="A2152" s="10" t="n">
        <x:v>3094</x:v>
      </x:c>
      <x:c r="B2152" s="2" t="str">
        <x:v>f6867360d7e6b7dce87a</x:v>
      </x:c>
      <x:c r="C2152" s="2" t="str">
        <x:v>Bình Dương</x:v>
      </x:c>
      <x:c r="D2152" s="2" t="str">
        <x:v>Thị xã Bến Cát</x:v>
      </x:c>
      <x:c r="E2152" s="2" t="str">
        <x:v>land</x:v>
      </x:c>
      <x:c r="F2152" s="2" t="str">
        <x:v>sale_assumed</x:v>
      </x:c>
      <x:c r="G2152" s="11" t="n">
        <x:v>80</x:v>
      </x:c>
      <x:c r="H2152" s="12" t="n">
        <x:v>650000000</x:v>
      </x:c>
      <x:c r="I2152" s="12" t="n">
        <x:v>8125000</x:v>
      </x:c>
      <x:c r="J2152" s="2" t="str">
        <x:v>total</x:v>
      </x:c>
      <x:c r="K2152" s="2" t="str">
        <x:v>top_level_area</x:v>
      </x:c>
      <x:c r="L2152" s="2" t="str">
        <x:v>property_type_inferred_from_title;transaction_assumed_sale_from_dataset_context</x:v>
      </x:c>
      <x:c r="M2152" s="10" t="n">
        <x:v>0</x:v>
      </x:c>
      <x:c r="N2152" s="10" t="n">
        <x:v>0</x:v>
      </x:c>
      <x:c r="O2152" s="2" t="str">
        <x:v>Bình Dương|land</x:v>
      </x:c>
      <x:c r="P2152" s="10" t="n">
        <x:v>2</x:v>
      </x:c>
      <x:c r="Q2152" s="13" t="n">
        <x:f>IF(H2152="","",H2152/1000000000)</x:f>
        <x:v>0.65</x:v>
      </x:c>
      <x:c r="R2152" s="13" t="n">
        <x:f>IF(I2152="","",I2152/1000000)</x:f>
        <x:v>8.125</x:v>
      </x:c>
    </x:row>
    <x:row r="2153" ht="21" customHeight="1">
      <x:c r="A2153" s="10" t="n">
        <x:v>3095</x:v>
      </x:c>
      <x:c r="B2153" s="2" t="str">
        <x:v>5557a7f1aac95b76b7f5</x:v>
      </x:c>
      <x:c r="C2153" s="2" t="str">
        <x:v>Bình Phước</x:v>
      </x:c>
      <x:c r="D2153" s="2" t="str">
        <x:v>Thành phố Đồng Xoài</x:v>
      </x:c>
      <x:c r="E2153" s="2" t="str">
        <x:v>land</x:v>
      </x:c>
      <x:c r="F2153" s="2" t="str">
        <x:v>sale_assumed</x:v>
      </x:c>
      <x:c r="G2153" s="11" t="n">
        <x:v>1000</x:v>
      </x:c>
      <x:c r="H2153" s="12" t="n">
        <x:v>450000000</x:v>
      </x:c>
      <x:c r="I2153" s="12" t="n">
        <x:v>450000</x:v>
      </x:c>
      <x:c r="J2153" s="2" t="str">
        <x:v>total</x:v>
      </x:c>
      <x:c r="K2153" s="2" t="str">
        <x:v>top_level_area</x:v>
      </x:c>
      <x:c r="L2153" s="2" t="str">
        <x:v>dot_thousands_convention;property_type_inferred_from_title;transaction_assumed_sale_from_dataset_context</x:v>
      </x:c>
      <x:c r="M2153" s="10" t="n">
        <x:v>0</x:v>
      </x:c>
      <x:c r="N2153" s="10" t="n">
        <x:v>0</x:v>
      </x:c>
      <x:c r="O2153" s="2" t="str">
        <x:v>Bình Phước|land</x:v>
      </x:c>
      <x:c r="P2153" s="10" t="n">
        <x:v>1</x:v>
      </x:c>
      <x:c r="Q2153" s="13" t="n">
        <x:f>IF(H2153="","",H2153/1000000000)</x:f>
        <x:v>0.45</x:v>
      </x:c>
      <x:c r="R2153" s="13" t="n">
        <x:f>IF(I2153="","",I2153/1000000)</x:f>
        <x:v>0.45</x:v>
      </x:c>
    </x:row>
    <x:row r="2154" ht="21" customHeight="1">
      <x:c r="A2154" s="10" t="n">
        <x:v>3096</x:v>
      </x:c>
      <x:c r="B2154" s="2" t="str">
        <x:v>d15b24315fdd99b552ce</x:v>
      </x:c>
      <x:c r="C2154" s="2" t="str">
        <x:v>Tp Hồ Chí Minh</x:v>
      </x:c>
      <x:c r="D2154" s="2" t="str">
        <x:v>Quận 10</x:v>
      </x:c>
      <x:c r="E2154" s="2" t="str">
        <x:v>house</x:v>
      </x:c>
      <x:c r="F2154" s="2" t="str">
        <x:v>sale_assumed</x:v>
      </x:c>
      <x:c r="G2154" s="11" t="n">
        <x:v>58</x:v>
      </x:c>
      <x:c r="H2154" s="12" t="n">
        <x:v>998000000</x:v>
      </x:c>
      <x:c r="I2154" s="12" t="n">
        <x:v>17206896.55172414</x:v>
      </x:c>
      <x:c r="J2154" s="2" t="str">
        <x:v>total</x:v>
      </x:c>
      <x:c r="K2154" s="2" t="str">
        <x:v>top_level_area</x:v>
      </x:c>
      <x:c r="L2154" s="2" t="str">
        <x:v>property_type_inferred_from_title;transaction_assumed_sale_from_dataset_context</x:v>
      </x:c>
      <x:c r="M2154" s="10" t="n">
        <x:v>0</x:v>
      </x:c>
      <x:c r="N2154" s="10" t="n">
        <x:v>0</x:v>
      </x:c>
      <x:c r="O2154" s="2" t="str">
        <x:v>Tp Hồ Chí Minh|house</x:v>
      </x:c>
      <x:c r="P2154" s="10" t="n">
        <x:v>2</x:v>
      </x:c>
      <x:c r="Q2154" s="13" t="n">
        <x:f>IF(H2154="","",H2154/1000000000)</x:f>
        <x:v>0.998</x:v>
      </x:c>
      <x:c r="R2154" s="13" t="n">
        <x:f>IF(I2154="","",I2154/1000000)</x:f>
        <x:v>17.20689655172414</x:v>
      </x:c>
    </x:row>
    <x:row r="2155" ht="21" customHeight="1">
      <x:c r="A2155" s="10" t="n">
        <x:v>3097</x:v>
      </x:c>
      <x:c r="B2155" s="2" t="str">
        <x:v>ad2cefdadfc3ae0f896d</x:v>
      </x:c>
      <x:c r="C2155" s="2" t="str">
        <x:v>Tp Hồ Chí Minh</x:v>
      </x:c>
      <x:c r="D2155" s="2" t="str">
        <x:v>Quận Bình Tân</x:v>
      </x:c>
      <x:c r="E2155" s="2" t="str">
        <x:v>house</x:v>
      </x:c>
      <x:c r="F2155" s="2" t="str">
        <x:v>sale</x:v>
      </x:c>
      <x:c r="G2155" s="11" t="n">
        <x:v>25</x:v>
      </x:c>
      <x:c r="H2155" s="12" t="n">
        <x:v>399000000</x:v>
      </x:c>
      <x:c r="I2155" s="12" t="n">
        <x:v>15960000</x:v>
      </x:c>
      <x:c r="J2155" s="2" t="str">
        <x:v>total</x:v>
      </x:c>
      <x:c r="K2155" s="2" t="str">
        <x:v>top_level_area</x:v>
      </x:c>
      <x:c r="L2155" s="2" t="str">
        <x:v>property_type_inferred_from_title</x:v>
      </x:c>
      <x:c r="M2155" s="10" t="n">
        <x:v>0</x:v>
      </x:c>
      <x:c r="N2155" s="10" t="n">
        <x:v>0</x:v>
      </x:c>
      <x:c r="O2155" s="2" t="str">
        <x:v>Tp Hồ Chí Minh|house</x:v>
      </x:c>
      <x:c r="P2155" s="10" t="n">
        <x:v>2</x:v>
      </x:c>
      <x:c r="Q2155" s="13" t="n">
        <x:f>IF(H2155="","",H2155/1000000000)</x:f>
        <x:v>0.399</x:v>
      </x:c>
      <x:c r="R2155" s="13" t="n">
        <x:f>IF(I2155="","",I2155/1000000)</x:f>
        <x:v>15.96</x:v>
      </x:c>
    </x:row>
    <x:row r="2156" ht="21" customHeight="1">
      <x:c r="A2156" s="10" t="n">
        <x:v>3098</x:v>
      </x:c>
      <x:c r="B2156" s="2" t="str">
        <x:v>0679e135c2f141cfb55c</x:v>
      </x:c>
      <x:c r="C2156" s="2" t="str">
        <x:v>Khánh Hòa</x:v>
      </x:c>
      <x:c r="D2156" s="2" t="str">
        <x:v>Thành phố Nha Trang</x:v>
      </x:c>
      <x:c r="E2156" s="2" t="str">
        <x:v>house</x:v>
      </x:c>
      <x:c r="F2156" s="2" t="str">
        <x:v>sale_assumed</x:v>
      </x:c>
      <x:c r="G2156" s="11" t="n">
        <x:v>58.6</x:v>
      </x:c>
      <x:c r="H2156" s="12" t="n">
        <x:v>2049999999.9999998</x:v>
      </x:c>
      <x:c r="I2156" s="12" t="n">
        <x:v>34982935.153583616</x:v>
      </x:c>
      <x:c r="J2156" s="2" t="str">
        <x:v>total</x:v>
      </x:c>
      <x:c r="K2156" s="2" t="str">
        <x:v>top_level_area</x:v>
      </x:c>
      <x:c r="L2156" s="2" t="str">
        <x:v>property_type_inferred_from_title;transaction_assumed_sale_from_dataset_context</x:v>
      </x:c>
      <x:c r="M2156" s="10" t="n">
        <x:v>0</x:v>
      </x:c>
      <x:c r="N2156" s="10" t="n">
        <x:v>0</x:v>
      </x:c>
      <x:c r="O2156" s="2" t="str">
        <x:v>Khánh Hòa|house</x:v>
      </x:c>
      <x:c r="P2156" s="10" t="n">
        <x:v>2</x:v>
      </x:c>
      <x:c r="Q2156" s="13" t="n">
        <x:f>IF(H2156="","",H2156/1000000000)</x:f>
        <x:v>2.05</x:v>
      </x:c>
      <x:c r="R2156" s="13" t="n">
        <x:f>IF(I2156="","",I2156/1000000)</x:f>
        <x:v>34.98293515358362</x:v>
      </x:c>
    </x:row>
    <x:row r="2157" ht="21" customHeight="1">
      <x:c r="A2157" s="10" t="n">
        <x:v>3099</x:v>
      </x:c>
      <x:c r="B2157" s="2" t="str">
        <x:v>11e0985e79c28cb4905a</x:v>
      </x:c>
      <x:c r="C2157" s="2" t="str">
        <x:v>Tp Hồ Chí Minh</x:v>
      </x:c>
      <x:c r="D2157" s="2" t="str">
        <x:v>Huyện Hóc Môn</x:v>
      </x:c>
      <x:c r="E2157" s="2" t="str">
        <x:v>house</x:v>
      </x:c>
      <x:c r="F2157" s="2" t="str">
        <x:v>sale</x:v>
      </x:c>
      <x:c r="G2157" s="11" t="n">
        <x:v>489</x:v>
      </x:c>
      <x:c r="H2157" s="12" t="n">
        <x:v>8000000000</x:v>
      </x:c>
      <x:c r="I2157" s="12" t="n">
        <x:v>16359918.200408999</x:v>
      </x:c>
      <x:c r="J2157" s="2" t="str">
        <x:v>total</x:v>
      </x:c>
      <x:c r="K2157" s="2" t="str">
        <x:v>top_level_area</x:v>
      </x:c>
      <x:c r="L2157" s="2" t="str">
        <x:v>property_type_inferred_from_title</x:v>
      </x:c>
      <x:c r="M2157" s="10" t="n">
        <x:v>0</x:v>
      </x:c>
      <x:c r="N2157" s="10" t="n">
        <x:v>0</x:v>
      </x:c>
      <x:c r="O2157" s="2" t="str">
        <x:v>Tp Hồ Chí Minh|house</x:v>
      </x:c>
      <x:c r="P2157" s="10" t="n">
        <x:v>1</x:v>
      </x:c>
      <x:c r="Q2157" s="13" t="n">
        <x:f>IF(H2157="","",H2157/1000000000)</x:f>
        <x:v>8</x:v>
      </x:c>
      <x:c r="R2157" s="13" t="n">
        <x:f>IF(I2157="","",I2157/1000000)</x:f>
        <x:v>16.359918200409</x:v>
      </x:c>
    </x:row>
    <x:row r="2158" ht="21" customHeight="1">
      <x:c r="A2158" s="10" t="n">
        <x:v>3100</x:v>
      </x:c>
      <x:c r="B2158" s="2" t="str">
        <x:v>a76f314559885b97d038</x:v>
      </x:c>
      <x:c r="C2158" s="2" t="str">
        <x:v>Đồng Nai</x:v>
      </x:c>
      <x:c r="D2158" s="2" t="str">
        <x:v>Thành phố Biên Hòa</x:v>
      </x:c>
      <x:c r="E2158" s="2" t="str">
        <x:v>land</x:v>
      </x:c>
      <x:c r="F2158" s="2" t="str">
        <x:v>sale</x:v>
      </x:c>
      <x:c r="G2158" s="11" t="n">
        <x:v>125</x:v>
      </x:c>
      <x:c r="H2158" s="12" t="n">
        <x:v>670000000</x:v>
      </x:c>
      <x:c r="I2158" s="12" t="n">
        <x:v>5360000</x:v>
      </x:c>
      <x:c r="J2158" s="2" t="str">
        <x:v>total</x:v>
      </x:c>
      <x:c r="K2158" s="2" t="str">
        <x:v>top_level_area</x:v>
      </x:c>
      <x:c r="L2158" s="2" t="str">
        <x:v>property_type_inferred_from_title</x:v>
      </x:c>
      <x:c r="M2158" s="10" t="n">
        <x:v>0</x:v>
      </x:c>
      <x:c r="N2158" s="10" t="n">
        <x:v>0</x:v>
      </x:c>
      <x:c r="O2158" s="2" t="str">
        <x:v>Đồng Nai|land</x:v>
      </x:c>
      <x:c r="P2158" s="10" t="n">
        <x:v>2</x:v>
      </x:c>
      <x:c r="Q2158" s="13" t="n">
        <x:f>IF(H2158="","",H2158/1000000000)</x:f>
        <x:v>0.67</x:v>
      </x:c>
      <x:c r="R2158" s="13" t="n">
        <x:f>IF(I2158="","",I2158/1000000)</x:f>
        <x:v>5.36</x:v>
      </x:c>
    </x:row>
    <x:row r="2159" ht="21" customHeight="1">
      <x:c r="A2159" s="10" t="n">
        <x:v>3103</x:v>
      </x:c>
      <x:c r="B2159" s="2" t="str">
        <x:v>e23c3ef42a94a19f8ba6</x:v>
      </x:c>
      <x:c r="C2159" s="2" t="str">
        <x:v>Chưa xác định</x:v>
      </x:c>
      <x:c r="D2159" s="2" t="str">
        <x:v>Chưa xác định</x:v>
      </x:c>
      <x:c r="E2159" s="2" t="str">
        <x:v>house</x:v>
      </x:c>
      <x:c r="F2159" s="2" t="str">
        <x:v>sale_assumed</x:v>
      </x:c>
      <x:c r="G2159" s="11" t="n">
        <x:v>160</x:v>
      </x:c>
      <x:c r="H2159" s="12" t="n">
        <x:v>6500000000</x:v>
      </x:c>
      <x:c r="I2159" s="12" t="n">
        <x:v>40625000</x:v>
      </x:c>
      <x:c r="J2159" s="2" t="str">
        <x:v>total</x:v>
      </x:c>
      <x:c r="K2159" s="2" t="str">
        <x:v>top_level_area</x:v>
      </x:c>
      <x:c r="L2159" s="2" t="str">
        <x:v>property_type_inferred_from_title;transaction_assumed_sale_from_dataset_context;unknown_district;unknown_province</x:v>
      </x:c>
      <x:c r="M2159" s="10" t="n">
        <x:v>0</x:v>
      </x:c>
      <x:c r="N2159" s="10" t="n">
        <x:v>0</x:v>
      </x:c>
      <x:c r="O2159" s="2" t="str">
        <x:v>house</x:v>
      </x:c>
      <x:c r="P2159" s="10" t="n">
        <x:v>2</x:v>
      </x:c>
      <x:c r="Q2159" s="13" t="n">
        <x:f>IF(H2159="","",H2159/1000000000)</x:f>
        <x:v>6.5</x:v>
      </x:c>
      <x:c r="R2159" s="13" t="n">
        <x:f>IF(I2159="","",I2159/1000000)</x:f>
        <x:v>40.625</x:v>
      </x:c>
    </x:row>
    <x:row r="2160" ht="21" customHeight="1">
      <x:c r="A2160" s="10" t="n">
        <x:v>3104</x:v>
      </x:c>
      <x:c r="B2160" s="2" t="str">
        <x:v>6d71aa6286c5909a42a9</x:v>
      </x:c>
      <x:c r="C2160" s="2" t="str">
        <x:v>Tp Hồ Chí Minh</x:v>
      </x:c>
      <x:c r="D2160" s="2" t="str">
        <x:v>Quận 3</x:v>
      </x:c>
      <x:c r="E2160" s="2" t="str">
        <x:v>house</x:v>
      </x:c>
      <x:c r="F2160" s="2" t="str">
        <x:v>sale</x:v>
      </x:c>
      <x:c r="G2160" s="11" t="n">
        <x:v>56</x:v>
      </x:c>
      <x:c r="H2160" s="12" t="n">
        <x:v>18000000000</x:v>
      </x:c>
      <x:c r="I2160" s="12" t="n">
        <x:v>321428571.4285714</x:v>
      </x:c>
      <x:c r="J2160" s="2" t="str">
        <x:v>total</x:v>
      </x:c>
      <x:c r="K2160" s="2" t="str">
        <x:v>top_level_area</x:v>
      </x:c>
      <x:c r="L2160" s="2" t="str">
        <x:v>property_type_inferred_from_title</x:v>
      </x:c>
      <x:c r="M2160" s="10" t="n">
        <x:v>1</x:v>
      </x:c>
      <x:c r="N2160" s="10" t="n">
        <x:v>1</x:v>
      </x:c>
      <x:c r="O2160" s="2" t="str">
        <x:v>Tp Hồ Chí Minh|house</x:v>
      </x:c>
      <x:c r="P2160" s="10" t="n">
        <x:v>-1</x:v>
      </x:c>
      <x:c r="Q2160" s="13" t="n">
        <x:f>IF(H2160="","",H2160/1000000000)</x:f>
        <x:v>18</x:v>
      </x:c>
      <x:c r="R2160" s="13" t="n">
        <x:f>IF(I2160="","",I2160/1000000)</x:f>
        <x:v>321.4285714285714</x:v>
      </x:c>
    </x:row>
    <x:row r="2161" ht="21" customHeight="1">
      <x:c r="A2161" s="10" t="n">
        <x:v>3105</x:v>
      </x:c>
      <x:c r="B2161" s="2" t="str">
        <x:v>f4d4a9207de716def7bb</x:v>
      </x:c>
      <x:c r="C2161" s="2" t="str">
        <x:v>Tp Hồ Chí Minh</x:v>
      </x:c>
      <x:c r="D2161" s="2" t="str">
        <x:v>Quận 9</x:v>
      </x:c>
      <x:c r="E2161" s="2" t="str">
        <x:v>land</x:v>
      </x:c>
      <x:c r="F2161" s="2" t="str">
        <x:v>sale</x:v>
      </x:c>
      <x:c r="G2161" s="11" t="n">
        <x:v>80</x:v>
      </x:c>
      <x:c r="H2161" s="12" t="n">
        <x:v>2600000000</x:v>
      </x:c>
      <x:c r="I2161" s="12" t="n">
        <x:v>32500000</x:v>
      </x:c>
      <x:c r="J2161" s="2" t="str">
        <x:v>total</x:v>
      </x:c>
      <x:c r="K2161" s="2" t="str">
        <x:v>top_level_area</x:v>
      </x:c>
      <x:c r="L2161" s="2" t="str">
        <x:v>property_type_inferred_from_title</x:v>
      </x:c>
      <x:c r="M2161" s="10" t="n">
        <x:v>0</x:v>
      </x:c>
      <x:c r="N2161" s="10" t="n">
        <x:v>0</x:v>
      </x:c>
      <x:c r="O2161" s="2" t="str">
        <x:v>Tp Hồ Chí Minh|land</x:v>
      </x:c>
      <x:c r="P2161" s="10" t="n">
        <x:v>2</x:v>
      </x:c>
      <x:c r="Q2161" s="13" t="n">
        <x:f>IF(H2161="","",H2161/1000000000)</x:f>
        <x:v>2.6</x:v>
      </x:c>
      <x:c r="R2161" s="13" t="n">
        <x:f>IF(I2161="","",I2161/1000000)</x:f>
        <x:v>32.5</x:v>
      </x:c>
    </x:row>
    <x:row r="2162" ht="21" customHeight="1">
      <x:c r="A2162" s="10" t="n">
        <x:v>3106</x:v>
      </x:c>
      <x:c r="B2162" s="2" t="str">
        <x:v>103848d51d1042b41d8e</x:v>
      </x:c>
      <x:c r="C2162" s="2" t="str">
        <x:v>Tp Hồ Chí Minh</x:v>
      </x:c>
      <x:c r="D2162" s="2" t="str">
        <x:v>Quận Tân Phú</x:v>
      </x:c>
      <x:c r="E2162" s="2" t="str">
        <x:v>house</x:v>
      </x:c>
      <x:c r="F2162" s="2" t="str">
        <x:v>sale</x:v>
      </x:c>
      <x:c r="G2162" s="11" t="n">
        <x:v>52</x:v>
      </x:c>
      <x:c r="H2162" s="12" t="n">
        <x:v>7800000000</x:v>
      </x:c>
      <x:c r="I2162" s="12" t="n">
        <x:v>150000000</x:v>
      </x:c>
      <x:c r="J2162" s="2" t="str">
        <x:v>total</x:v>
      </x:c>
      <x:c r="K2162" s="2" t="str">
        <x:v>top_level_area</x:v>
      </x:c>
      <x:c r="L2162" s="2" t="str">
        <x:v>property_type_inferred_from_title</x:v>
      </x:c>
      <x:c r="M2162" s="10" t="n">
        <x:v>0</x:v>
      </x:c>
      <x:c r="N2162" s="10" t="n">
        <x:v>0</x:v>
      </x:c>
      <x:c r="O2162" s="2" t="str">
        <x:v>Tp Hồ Chí Minh|house</x:v>
      </x:c>
      <x:c r="P2162" s="10" t="n">
        <x:v>2</x:v>
      </x:c>
      <x:c r="Q2162" s="13" t="n">
        <x:f>IF(H2162="","",H2162/1000000000)</x:f>
        <x:v>7.8</x:v>
      </x:c>
      <x:c r="R2162" s="13" t="n">
        <x:f>IF(I2162="","",I2162/1000000)</x:f>
        <x:v>150</x:v>
      </x:c>
    </x:row>
    <x:row r="2163" ht="21" customHeight="1">
      <x:c r="A2163" s="10" t="n">
        <x:v>3107</x:v>
      </x:c>
      <x:c r="B2163" s="2" t="str">
        <x:v>b263bf757db11efa8d53</x:v>
      </x:c>
      <x:c r="C2163" s="2" t="str">
        <x:v>Bình Dương</x:v>
      </x:c>
      <x:c r="D2163" s="2" t="str">
        <x:v>Thị xã Dĩ An</x:v>
      </x:c>
      <x:c r="E2163" s="2" t="str">
        <x:v>house</x:v>
      </x:c>
      <x:c r="F2163" s="2" t="str">
        <x:v>sale</x:v>
      </x:c>
      <x:c r="G2163" s="11" t="n">
        <x:v>36</x:v>
      </x:c>
      <x:c r="H2163" s="12" t="n">
        <x:v>1150000000</x:v>
      </x:c>
      <x:c r="I2163" s="12" t="n">
        <x:v>31944444.444444444</x:v>
      </x:c>
      <x:c r="J2163" s="2" t="str">
        <x:v>total</x:v>
      </x:c>
      <x:c r="K2163" s="2" t="str">
        <x:v>top_level_area</x:v>
      </x:c>
      <x:c r="L2163" s="2" t="str">
        <x:v>property_type_inferred_from_title</x:v>
      </x:c>
      <x:c r="M2163" s="10" t="n">
        <x:v>0</x:v>
      </x:c>
      <x:c r="N2163" s="10" t="n">
        <x:v>0</x:v>
      </x:c>
      <x:c r="O2163" s="2" t="str">
        <x:v>Bình Dương|house</x:v>
      </x:c>
      <x:c r="P2163" s="10" t="n">
        <x:v>2</x:v>
      </x:c>
      <x:c r="Q2163" s="13" t="n">
        <x:f>IF(H2163="","",H2163/1000000000)</x:f>
        <x:v>1.15</x:v>
      </x:c>
      <x:c r="R2163" s="13" t="n">
        <x:f>IF(I2163="","",I2163/1000000)</x:f>
        <x:v>31.944444444444443</x:v>
      </x:c>
    </x:row>
    <x:row r="2164" ht="21" customHeight="1">
      <x:c r="A2164" s="10" t="n">
        <x:v>3108</x:v>
      </x:c>
      <x:c r="B2164" s="2" t="str">
        <x:v>b718c12bb2f8cf173d0a</x:v>
      </x:c>
      <x:c r="C2164" s="2" t="str">
        <x:v>Đồng Nai</x:v>
      </x:c>
      <x:c r="D2164" s="2" t="str">
        <x:v>Huyện Nhơn Trạch</x:v>
      </x:c>
      <x:c r="E2164" s="2" t="str">
        <x:v>other_unknown</x:v>
      </x:c>
      <x:c r="F2164" s="2" t="str">
        <x:v>sale_assumed</x:v>
      </x:c>
      <x:c r="G2164" s="11" t="n">
        <x:v>100</x:v>
      </x:c>
      <x:c r="H2164" s="12" t="n">
        <x:v>750000000</x:v>
      </x:c>
      <x:c r="I2164" s="12" t="n">
        <x:v>7500000</x:v>
      </x:c>
      <x:c r="J2164" s="2" t="str">
        <x:v>total</x:v>
      </x:c>
      <x:c r="K2164" s="2" t="str">
        <x:v>top_level_area</x:v>
      </x:c>
      <x:c r="L2164" s="2" t="str">
        <x:v>property_type_inferred_from_title;transaction_assumed_sale_from_dataset_context;unknown_property_type</x:v>
      </x:c>
      <x:c r="M2164" s="10" t="n">
        <x:v>0</x:v>
      </x:c>
      <x:c r="N2164" s="10" t="n">
        <x:v>0</x:v>
      </x:c>
      <x:c r="O2164" s="2" t="str">
        <x:v>Đồng Nai|other_unknown</x:v>
      </x:c>
      <x:c r="P2164" s="10" t="n">
        <x:v>2</x:v>
      </x:c>
      <x:c r="Q2164" s="13" t="n">
        <x:f>IF(H2164="","",H2164/1000000000)</x:f>
        <x:v>0.75</x:v>
      </x:c>
      <x:c r="R2164" s="13" t="n">
        <x:f>IF(I2164="","",I2164/1000000)</x:f>
        <x:v>7.5</x:v>
      </x:c>
    </x:row>
    <x:row r="2165" ht="21" customHeight="1">
      <x:c r="A2165" s="10" t="n">
        <x:v>3109</x:v>
      </x:c>
      <x:c r="B2165" s="2" t="str">
        <x:v>9b46d610beffffcc83c4</x:v>
      </x:c>
      <x:c r="C2165" s="2" t="str">
        <x:v>Tp Hồ Chí Minh</x:v>
      </x:c>
      <x:c r="D2165" s="2" t="str">
        <x:v>Quận Thủ Đức</x:v>
      </x:c>
      <x:c r="E2165" s="2" t="str">
        <x:v>house</x:v>
      </x:c>
      <x:c r="F2165" s="2" t="str">
        <x:v>sale</x:v>
      </x:c>
      <x:c r="G2165" s="11" t="n">
        <x:v>80</x:v>
      </x:c>
      <x:c r="H2165" s="12" t="n">
        <x:v>5800000000</x:v>
      </x:c>
      <x:c r="I2165" s="12" t="n">
        <x:v>72500000</x:v>
      </x:c>
      <x:c r="J2165" s="2" t="str">
        <x:v>total</x:v>
      </x:c>
      <x:c r="K2165" s="2" t="str">
        <x:v>top_level_area</x:v>
      </x:c>
      <x:c r="L2165" s="2" t="str">
        <x:v>property_type_inferred_from_title</x:v>
      </x:c>
      <x:c r="M2165" s="10" t="n">
        <x:v>0</x:v>
      </x:c>
      <x:c r="N2165" s="10" t="n">
        <x:v>0</x:v>
      </x:c>
      <x:c r="O2165" s="2" t="str">
        <x:v>Tp Hồ Chí Minh|house</x:v>
      </x:c>
      <x:c r="P2165" s="10" t="n">
        <x:v>2</x:v>
      </x:c>
      <x:c r="Q2165" s="13" t="n">
        <x:f>IF(H2165="","",H2165/1000000000)</x:f>
        <x:v>5.8</x:v>
      </x:c>
      <x:c r="R2165" s="13" t="n">
        <x:f>IF(I2165="","",I2165/1000000)</x:f>
        <x:v>72.5</x:v>
      </x:c>
    </x:row>
    <x:row r="2166" ht="21" customHeight="1">
      <x:c r="A2166" s="10" t="n">
        <x:v>3110</x:v>
      </x:c>
      <x:c r="B2166" s="2" t="str">
        <x:v>2cc1e802abb40e0da124</x:v>
      </x:c>
      <x:c r="C2166" s="2" t="str">
        <x:v>Tp Hồ Chí Minh</x:v>
      </x:c>
      <x:c r="D2166" s="2" t="str">
        <x:v>Huyện Bình Chánh</x:v>
      </x:c>
      <x:c r="E2166" s="2" t="str">
        <x:v>land</x:v>
      </x:c>
      <x:c r="F2166" s="2" t="str">
        <x:v>sale_assumed</x:v>
      </x:c>
      <x:c r="G2166" s="11" t="n">
        <x:v>104</x:v>
      </x:c>
      <x:c r="H2166" s="12" t="n">
        <x:v>3400000000</x:v>
      </x:c>
      <x:c r="I2166" s="12" t="n">
        <x:v>32692307.692307692</x:v>
      </x:c>
      <x:c r="J2166" s="2" t="str">
        <x:v>total</x:v>
      </x:c>
      <x:c r="K2166" s="2" t="str">
        <x:v>top_level_area</x:v>
      </x:c>
      <x:c r="L2166" s="2" t="str">
        <x:v>property_type_inferred_from_title;transaction_assumed_sale_from_dataset_context</x:v>
      </x:c>
      <x:c r="M2166" s="10" t="n">
        <x:v>0</x:v>
      </x:c>
      <x:c r="N2166" s="10" t="n">
        <x:v>0</x:v>
      </x:c>
      <x:c r="O2166" s="2" t="str">
        <x:v>Tp Hồ Chí Minh|land</x:v>
      </x:c>
      <x:c r="P2166" s="10" t="n">
        <x:v>2</x:v>
      </x:c>
      <x:c r="Q2166" s="13" t="n">
        <x:f>IF(H2166="","",H2166/1000000000)</x:f>
        <x:v>3.4</x:v>
      </x:c>
      <x:c r="R2166" s="13" t="n">
        <x:f>IF(I2166="","",I2166/1000000)</x:f>
        <x:v>32.69230769230769</x:v>
      </x:c>
    </x:row>
    <x:row r="2167" ht="21" customHeight="1">
      <x:c r="A2167" s="10" t="n">
        <x:v>3112</x:v>
      </x:c>
      <x:c r="B2167" s="2" t="str">
        <x:v>2ce259ff70209dceae75</x:v>
      </x:c>
      <x:c r="C2167" s="2" t="str">
        <x:v>Bình Dương</x:v>
      </x:c>
      <x:c r="D2167" s="2" t="str">
        <x:v>Thị xã Bến Cát</x:v>
      </x:c>
      <x:c r="E2167" s="2" t="str">
        <x:v>land</x:v>
      </x:c>
      <x:c r="F2167" s="2" t="str">
        <x:v>sale_assumed</x:v>
      </x:c>
      <x:c r="G2167" s="11" t="n">
        <x:v>100</x:v>
      </x:c>
      <x:c r="H2167" s="12" t="n">
        <x:v>850000000</x:v>
      </x:c>
      <x:c r="I2167" s="12" t="n">
        <x:v>8500000</x:v>
      </x:c>
      <x:c r="J2167" s="2" t="str">
        <x:v>total</x:v>
      </x:c>
      <x:c r="K2167" s="2" t="str">
        <x:v>top_level_area</x:v>
      </x:c>
      <x:c r="L2167" s="2" t="str">
        <x:v>property_type_inferred_from_title;transaction_assumed_sale_from_dataset_context</x:v>
      </x:c>
      <x:c r="M2167" s="10" t="n">
        <x:v>0</x:v>
      </x:c>
      <x:c r="N2167" s="10" t="n">
        <x:v>0</x:v>
      </x:c>
      <x:c r="O2167" s="2" t="str">
        <x:v>Bình Dương|land</x:v>
      </x:c>
      <x:c r="P2167" s="10" t="n">
        <x:v>2</x:v>
      </x:c>
      <x:c r="Q2167" s="13" t="n">
        <x:f>IF(H2167="","",H2167/1000000000)</x:f>
        <x:v>0.85</x:v>
      </x:c>
      <x:c r="R2167" s="13" t="n">
        <x:f>IF(I2167="","",I2167/1000000)</x:f>
        <x:v>8.5</x:v>
      </x:c>
    </x:row>
    <x:row r="2168" ht="21" customHeight="1">
      <x:c r="A2168" s="10" t="n">
        <x:v>3113</x:v>
      </x:c>
      <x:c r="B2168" s="2" t="str">
        <x:v>dee814a51ff970b960b2</x:v>
      </x:c>
      <x:c r="C2168" s="2" t="str">
        <x:v>Tp Hồ Chí Minh</x:v>
      </x:c>
      <x:c r="D2168" s="2" t="str">
        <x:v>Huyện Củ Chi</x:v>
      </x:c>
      <x:c r="E2168" s="2" t="str">
        <x:v>land</x:v>
      </x:c>
      <x:c r="F2168" s="2" t="str">
        <x:v>sale</x:v>
      </x:c>
      <x:c r="G2168" s="11" t="n">
        <x:v>110</x:v>
      </x:c>
      <x:c r="H2168" s="12" t="n">
        <x:v>1550000000</x:v>
      </x:c>
      <x:c r="I2168" s="12" t="n">
        <x:v>14090909.090909092</x:v>
      </x:c>
      <x:c r="J2168" s="2" t="str">
        <x:v>total</x:v>
      </x:c>
      <x:c r="K2168" s="2" t="str">
        <x:v>top_level_area</x:v>
      </x:c>
      <x:c r="L2168" s="2" t="str">
        <x:v>property_type_inferred_from_title</x:v>
      </x:c>
      <x:c r="M2168" s="10" t="n">
        <x:v>0</x:v>
      </x:c>
      <x:c r="N2168" s="10" t="n">
        <x:v>0</x:v>
      </x:c>
      <x:c r="O2168" s="2" t="str">
        <x:v>Tp Hồ Chí Minh|land</x:v>
      </x:c>
      <x:c r="P2168" s="10" t="n">
        <x:v>2</x:v>
      </x:c>
      <x:c r="Q2168" s="13" t="n">
        <x:f>IF(H2168="","",H2168/1000000000)</x:f>
        <x:v>1.55</x:v>
      </x:c>
      <x:c r="R2168" s="13" t="n">
        <x:f>IF(I2168="","",I2168/1000000)</x:f>
        <x:v>14.090909090909092</x:v>
      </x:c>
    </x:row>
    <x:row r="2169" ht="21" customHeight="1">
      <x:c r="A2169" s="10" t="n">
        <x:v>3114</x:v>
      </x:c>
      <x:c r="B2169" s="2" t="str">
        <x:v>05556e8c1aceae8bcaa3</x:v>
      </x:c>
      <x:c r="C2169" s="2" t="str">
        <x:v>Lâm Đồng</x:v>
      </x:c>
      <x:c r="D2169" s="2" t="str">
        <x:v>Huyện Bảo Lâm</x:v>
      </x:c>
      <x:c r="E2169" s="2" t="str">
        <x:v>land</x:v>
      </x:c>
      <x:c r="F2169" s="2" t="str">
        <x:v>sale</x:v>
      </x:c>
      <x:c r="G2169" s="11" t="n">
        <x:v>238</x:v>
      </x:c>
      <x:c r="H2169" s="12" t="n">
        <x:v>606000000</x:v>
      </x:c>
      <x:c r="I2169" s="12" t="n">
        <x:v>2546218.487394958</x:v>
      </x:c>
      <x:c r="J2169" s="2" t="str">
        <x:v>total</x:v>
      </x:c>
      <x:c r="K2169" s="2" t="str">
        <x:v>top_level_area</x:v>
      </x:c>
      <x:c r="L2169" s="2" t="str">
        <x:v>property_type_inferred_from_title</x:v>
      </x:c>
      <x:c r="M2169" s="10" t="n">
        <x:v>0</x:v>
      </x:c>
      <x:c r="N2169" s="10" t="n">
        <x:v>0</x:v>
      </x:c>
      <x:c r="O2169" s="2" t="str">
        <x:v>Lâm Đồng|land</x:v>
      </x:c>
      <x:c r="P2169" s="10" t="n">
        <x:v>1</x:v>
      </x:c>
      <x:c r="Q2169" s="13" t="n">
        <x:f>IF(H2169="","",H2169/1000000000)</x:f>
        <x:v>0.606</x:v>
      </x:c>
      <x:c r="R2169" s="13" t="n">
        <x:f>IF(I2169="","",I2169/1000000)</x:f>
        <x:v>2.546218487394958</x:v>
      </x:c>
    </x:row>
    <x:row r="2170" ht="21" customHeight="1">
      <x:c r="A2170" s="10" t="n">
        <x:v>3115</x:v>
      </x:c>
      <x:c r="B2170" s="2" t="str">
        <x:v>549db0b3231e8b79e399</x:v>
      </x:c>
      <x:c r="C2170" s="2" t="str">
        <x:v>Tp Hồ Chí Minh</x:v>
      </x:c>
      <x:c r="D2170" s="2" t="str">
        <x:v>Quận 8</x:v>
      </x:c>
      <x:c r="E2170" s="2" t="str">
        <x:v>house</x:v>
      </x:c>
      <x:c r="F2170" s="2" t="str">
        <x:v>sale</x:v>
      </x:c>
      <x:c r="G2170" s="11" t="n">
        <x:v>36</x:v>
      </x:c>
      <x:c r="H2170" s="12" t="n">
        <x:v>2350000000</x:v>
      </x:c>
      <x:c r="I2170" s="12" t="n">
        <x:v>65277777.777777776</x:v>
      </x:c>
      <x:c r="J2170" s="2" t="str">
        <x:v>total</x:v>
      </x:c>
      <x:c r="K2170" s="2" t="str">
        <x:v>top_level_area</x:v>
      </x:c>
      <x:c r="L2170" s="2" t="str">
        <x:v>property_type_inferred_from_title</x:v>
      </x:c>
      <x:c r="M2170" s="10" t="n">
        <x:v>0</x:v>
      </x:c>
      <x:c r="N2170" s="10" t="n">
        <x:v>0</x:v>
      </x:c>
      <x:c r="O2170" s="2" t="str">
        <x:v>Tp Hồ Chí Minh|house</x:v>
      </x:c>
      <x:c r="P2170" s="10" t="n">
        <x:v>2</x:v>
      </x:c>
      <x:c r="Q2170" s="13" t="n">
        <x:f>IF(H2170="","",H2170/1000000000)</x:f>
        <x:v>2.35</x:v>
      </x:c>
      <x:c r="R2170" s="13" t="n">
        <x:f>IF(I2170="","",I2170/1000000)</x:f>
        <x:v>65.27777777777777</x:v>
      </x:c>
    </x:row>
    <x:row r="2171" ht="21" customHeight="1">
      <x:c r="A2171" s="10" t="n">
        <x:v>3116</x:v>
      </x:c>
      <x:c r="B2171" s="2" t="str">
        <x:v>fee880150fc638ec90b6</x:v>
      </x:c>
      <x:c r="C2171" s="2" t="str">
        <x:v>Đồng Nai</x:v>
      </x:c>
      <x:c r="D2171" s="2" t="str">
        <x:v>Thành phố Biên Hòa</x:v>
      </x:c>
      <x:c r="E2171" s="2" t="str">
        <x:v>house</x:v>
      </x:c>
      <x:c r="F2171" s="2" t="str">
        <x:v>sale_assumed</x:v>
      </x:c>
      <x:c r="G2171" s="11" t="n">
        <x:v>110</x:v>
      </x:c>
      <x:c r="H2171" s="12" t="n">
        <x:v>1050000000</x:v>
      </x:c>
      <x:c r="I2171" s="12" t="n">
        <x:v>9545454.545454545</x:v>
      </x:c>
      <x:c r="J2171" s="2" t="str">
        <x:v>total</x:v>
      </x:c>
      <x:c r="K2171" s="2" t="str">
        <x:v>top_level_area</x:v>
      </x:c>
      <x:c r="L2171" s="2" t="str">
        <x:v>property_type_inferred_from_title;transaction_assumed_sale_from_dataset_context</x:v>
      </x:c>
      <x:c r="M2171" s="10" t="n">
        <x:v>0</x:v>
      </x:c>
      <x:c r="N2171" s="10" t="n">
        <x:v>0</x:v>
      </x:c>
      <x:c r="O2171" s="2" t="str">
        <x:v>Đồng Nai|house</x:v>
      </x:c>
      <x:c r="P2171" s="10" t="n">
        <x:v>2</x:v>
      </x:c>
      <x:c r="Q2171" s="13" t="n">
        <x:f>IF(H2171="","",H2171/1000000000)</x:f>
        <x:v>1.05</x:v>
      </x:c>
      <x:c r="R2171" s="13" t="n">
        <x:f>IF(I2171="","",I2171/1000000)</x:f>
        <x:v>9.545454545454545</x:v>
      </x:c>
    </x:row>
    <x:row r="2172" ht="21" customHeight="1">
      <x:c r="A2172" s="10" t="n">
        <x:v>3117</x:v>
      </x:c>
      <x:c r="B2172" s="2" t="str">
        <x:v>a97b43cc0dc56de66bf5</x:v>
      </x:c>
      <x:c r="C2172" s="2" t="str">
        <x:v>Tp Hồ Chí Minh</x:v>
      </x:c>
      <x:c r="D2172" s="2" t="str">
        <x:v>Quận 3</x:v>
      </x:c>
      <x:c r="E2172" s="2" t="str">
        <x:v>house</x:v>
      </x:c>
      <x:c r="F2172" s="2" t="str">
        <x:v>sale_assumed</x:v>
      </x:c>
      <x:c r="G2172" s="11" t="n">
        <x:v>60</x:v>
      </x:c>
      <x:c r="H2172" s="12" t="n">
        <x:v>32000000000</x:v>
      </x:c>
      <x:c r="I2172" s="12" t="n">
        <x:v>533333333.3333333</x:v>
      </x:c>
      <x:c r="J2172" s="2" t="str">
        <x:v>total</x:v>
      </x:c>
      <x:c r="K2172" s="2" t="str">
        <x:v>top_level_area</x:v>
      </x:c>
      <x:c r="L2172" s="2" t="str">
        <x:v>property_type_inferred_from_title;transaction_assumed_sale_from_dataset_context</x:v>
      </x:c>
      <x:c r="M2172" s="10" t="n">
        <x:v>1</x:v>
      </x:c>
      <x:c r="N2172" s="10" t="n">
        <x:v>1</x:v>
      </x:c>
      <x:c r="O2172" s="2" t="str">
        <x:v>Tp Hồ Chí Minh|house</x:v>
      </x:c>
      <x:c r="P2172" s="10" t="n">
        <x:v>-1</x:v>
      </x:c>
      <x:c r="Q2172" s="13" t="n">
        <x:f>IF(H2172="","",H2172/1000000000)</x:f>
        <x:v>32</x:v>
      </x:c>
      <x:c r="R2172" s="13" t="n">
        <x:f>IF(I2172="","",I2172/1000000)</x:f>
        <x:v>533.3333333333333</x:v>
      </x:c>
    </x:row>
    <x:row r="2173" ht="21" customHeight="1">
      <x:c r="A2173" s="10" t="n">
        <x:v>3118</x:v>
      </x:c>
      <x:c r="B2173" s="2" t="str">
        <x:v>0bb46ea21bfa3432c271</x:v>
      </x:c>
      <x:c r="C2173" s="2" t="str">
        <x:v>Bà Rịa - Vũng Tàu</x:v>
      </x:c>
      <x:c r="D2173" s="2" t="str">
        <x:v>Thị xã Phú Mỹ</x:v>
      </x:c>
      <x:c r="E2173" s="2" t="str">
        <x:v>house</x:v>
      </x:c>
      <x:c r="F2173" s="2" t="str">
        <x:v>sale_assumed</x:v>
      </x:c>
      <x:c r="G2173" s="11" t="n">
        <x:v>445</x:v>
      </x:c>
      <x:c r="H2173" s="12" t="n">
        <x:v>9000000000</x:v>
      </x:c>
      <x:c r="I2173" s="12" t="n">
        <x:v>20224719.101123594</x:v>
      </x:c>
      <x:c r="J2173" s="2" t="str">
        <x:v>total</x:v>
      </x:c>
      <x:c r="K2173" s="2" t="str">
        <x:v>top_level_area</x:v>
      </x:c>
      <x:c r="L2173" s="2" t="str">
        <x:v>property_type_inferred_from_title;transaction_assumed_sale_from_dataset_context</x:v>
      </x:c>
      <x:c r="M2173" s="10" t="n">
        <x:v>0</x:v>
      </x:c>
      <x:c r="N2173" s="10" t="n">
        <x:v>0</x:v>
      </x:c>
      <x:c r="O2173" s="2" t="str">
        <x:v>house</x:v>
      </x:c>
      <x:c r="P2173" s="10" t="n">
        <x:v>1</x:v>
      </x:c>
      <x:c r="Q2173" s="13" t="n">
        <x:f>IF(H2173="","",H2173/1000000000)</x:f>
        <x:v>9</x:v>
      </x:c>
      <x:c r="R2173" s="13" t="n">
        <x:f>IF(I2173="","",I2173/1000000)</x:f>
        <x:v>20.224719101123593</x:v>
      </x:c>
    </x:row>
    <x:row r="2174" ht="21" customHeight="1">
      <x:c r="A2174" s="10" t="n">
        <x:v>3119</x:v>
      </x:c>
      <x:c r="B2174" s="2" t="str">
        <x:v>4981615aecff3c4b4a19</x:v>
      </x:c>
      <x:c r="C2174" s="2" t="str">
        <x:v>Tp Hồ Chí Minh</x:v>
      </x:c>
      <x:c r="D2174" s="2" t="str">
        <x:v>Quận 11</x:v>
      </x:c>
      <x:c r="E2174" s="2" t="str">
        <x:v>other_unknown</x:v>
      </x:c>
      <x:c r="F2174" s="2" t="str">
        <x:v>sale_assumed</x:v>
      </x:c>
      <x:c r="G2174" s="11" t="n">
        <x:v>46</x:v>
      </x:c>
      <x:c r="H2174" s="12" t="n">
        <x:v>5300000000</x:v>
      </x:c>
      <x:c r="I2174" s="12" t="n">
        <x:v>115217391.30434783</x:v>
      </x:c>
      <x:c r="J2174" s="2" t="str">
        <x:v>total</x:v>
      </x:c>
      <x:c r="K2174" s="2" t="str">
        <x:v>top_level_area</x:v>
      </x:c>
      <x:c r="L2174" s="2" t="str">
        <x:v>property_type_inferred_from_title;transaction_assumed_sale_from_dataset_context;unknown_property_type</x:v>
      </x:c>
      <x:c r="M2174" s="10" t="n">
        <x:v>0</x:v>
      </x:c>
      <x:c r="N2174" s="10" t="n">
        <x:v>0</x:v>
      </x:c>
      <x:c r="O2174" s="2" t="str">
        <x:v>Tp Hồ Chí Minh|other_unknown</x:v>
      </x:c>
      <x:c r="P2174" s="10" t="n">
        <x:v>2</x:v>
      </x:c>
      <x:c r="Q2174" s="13" t="n">
        <x:f>IF(H2174="","",H2174/1000000000)</x:f>
        <x:v>5.3</x:v>
      </x:c>
      <x:c r="R2174" s="13" t="n">
        <x:f>IF(I2174="","",I2174/1000000)</x:f>
        <x:v>115.21739130434783</x:v>
      </x:c>
    </x:row>
    <x:row r="2175" ht="21" customHeight="1">
      <x:c r="A2175" s="10" t="n">
        <x:v>3120</x:v>
      </x:c>
      <x:c r="B2175" s="2" t="str">
        <x:v>2cd4c2bb45e3984d0046</x:v>
      </x:c>
      <x:c r="C2175" s="2" t="str">
        <x:v>Tp Hồ Chí Minh</x:v>
      </x:c>
      <x:c r="D2175" s="2" t="str">
        <x:v>Huyện Củ Chi</x:v>
      </x:c>
      <x:c r="E2175" s="2" t="str">
        <x:v>other_unknown</x:v>
      </x:c>
      <x:c r="F2175" s="2" t="str">
        <x:v>sale</x:v>
      </x:c>
      <x:c r="G2175" s="11" t="n">
        <x:v>477</x:v>
      </x:c>
      <x:c r="H2175" s="12" t="n">
        <x:v>2000000000</x:v>
      </x:c>
      <x:c r="I2175" s="12" t="n">
        <x:v>4192872.1174004194</x:v>
      </x:c>
      <x:c r="J2175" s="2" t="str">
        <x:v>total</x:v>
      </x:c>
      <x:c r="K2175" s="2" t="str">
        <x:v>top_level_area</x:v>
      </x:c>
      <x:c r="L2175" s="2" t="str">
        <x:v>property_type_inferred_from_title;unknown_property_type</x:v>
      </x:c>
      <x:c r="M2175" s="10" t="n">
        <x:v>0</x:v>
      </x:c>
      <x:c r="N2175" s="10" t="n">
        <x:v>0</x:v>
      </x:c>
      <x:c r="O2175" s="2" t="str">
        <x:v>Tp Hồ Chí Minh|other_unknown</x:v>
      </x:c>
      <x:c r="P2175" s="10" t="n">
        <x:v>1</x:v>
      </x:c>
      <x:c r="Q2175" s="13" t="n">
        <x:f>IF(H2175="","",H2175/1000000000)</x:f>
        <x:v>2</x:v>
      </x:c>
      <x:c r="R2175" s="13" t="n">
        <x:f>IF(I2175="","",I2175/1000000)</x:f>
        <x:v>4.1928721174004195</x:v>
      </x:c>
    </x:row>
    <x:row r="2176" ht="21" customHeight="1">
      <x:c r="A2176" s="10" t="n">
        <x:v>3121</x:v>
      </x:c>
      <x:c r="B2176" s="2" t="str">
        <x:v>dcdf6a80ba438d2e5e4d</x:v>
      </x:c>
      <x:c r="C2176" s="2" t="str">
        <x:v>Bình Dương</x:v>
      </x:c>
      <x:c r="D2176" s="2" t="str">
        <x:v>Thị xã Thuận An</x:v>
      </x:c>
      <x:c r="E2176" s="2" t="str">
        <x:v>other_unknown</x:v>
      </x:c>
      <x:c r="F2176" s="2" t="str">
        <x:v>sale_assumed</x:v>
      </x:c>
      <x:c r="G2176" s="11" t="n">
        <x:v>185</x:v>
      </x:c>
      <x:c r="H2176" s="12" t="n">
        <x:v>910000000</x:v>
      </x:c>
      <x:c r="I2176" s="12" t="n">
        <x:v>4918918.918918919</x:v>
      </x:c>
      <x:c r="J2176" s="2" t="str">
        <x:v>total</x:v>
      </x:c>
      <x:c r="K2176" s="2" t="str">
        <x:v>top_level_area</x:v>
      </x:c>
      <x:c r="L2176" s="2" t="str">
        <x:v>property_type_inferred_from_title;transaction_assumed_sale_from_dataset_context;unknown_property_type</x:v>
      </x:c>
      <x:c r="M2176" s="10" t="n">
        <x:v>0</x:v>
      </x:c>
      <x:c r="N2176" s="10" t="n">
        <x:v>0</x:v>
      </x:c>
      <x:c r="O2176" s="2" t="str">
        <x:v>Bình Dương|other_unknown</x:v>
      </x:c>
      <x:c r="P2176" s="10" t="n">
        <x:v>1</x:v>
      </x:c>
      <x:c r="Q2176" s="13" t="n">
        <x:f>IF(H2176="","",H2176/1000000000)</x:f>
        <x:v>0.91</x:v>
      </x:c>
      <x:c r="R2176" s="13" t="n">
        <x:f>IF(I2176="","",I2176/1000000)</x:f>
        <x:v>4.918918918918918</x:v>
      </x:c>
    </x:row>
    <x:row r="2177" ht="21" customHeight="1">
      <x:c r="A2177" s="10" t="n">
        <x:v>3124</x:v>
      </x:c>
      <x:c r="B2177" s="2" t="str">
        <x:v>fbfa682e203ca2d9e6b4</x:v>
      </x:c>
      <x:c r="C2177" s="2" t="str">
        <x:v>Bình Dương</x:v>
      </x:c>
      <x:c r="D2177" s="2" t="str">
        <x:v>Huyện Bàu Bàng</x:v>
      </x:c>
      <x:c r="E2177" s="2" t="str">
        <x:v>land</x:v>
      </x:c>
      <x:c r="F2177" s="2" t="str">
        <x:v>sale_assumed</x:v>
      </x:c>
      <x:c r="G2177" s="11" t="n">
        <x:v>532</x:v>
      </x:c>
      <x:c r="H2177" s="12" t="n">
        <x:v>800000000</x:v>
      </x:c>
      <x:c r="I2177" s="12" t="n">
        <x:v>1503759.3984962406</x:v>
      </x:c>
      <x:c r="J2177" s="2" t="str">
        <x:v>total</x:v>
      </x:c>
      <x:c r="K2177" s="2" t="str">
        <x:v>top_level_price_embedded_area</x:v>
      </x:c>
      <x:c r="L2177" s="2" t="str">
        <x:v>area_recovered_from_price_text;property_type_inferred_from_title;transaction_assumed_sale_from_dataset_context</x:v>
      </x:c>
      <x:c r="M2177" s="10" t="n">
        <x:v>0</x:v>
      </x:c>
      <x:c r="N2177" s="10" t="n">
        <x:v>0</x:v>
      </x:c>
      <x:c r="O2177" s="2" t="str">
        <x:v>Bình Dương|land</x:v>
      </x:c>
      <x:c r="P2177" s="10" t="n">
        <x:v>1</x:v>
      </x:c>
      <x:c r="Q2177" s="13" t="n">
        <x:f>IF(H2177="","",H2177/1000000000)</x:f>
        <x:v>0.8</x:v>
      </x:c>
      <x:c r="R2177" s="13" t="n">
        <x:f>IF(I2177="","",I2177/1000000)</x:f>
        <x:v>1.5037593984962405</x:v>
      </x:c>
    </x:row>
    <x:row r="2178" ht="21" customHeight="1">
      <x:c r="A2178" s="10" t="n">
        <x:v>3125</x:v>
      </x:c>
      <x:c r="B2178" s="2" t="str">
        <x:v>711c7a2c16201710e777</x:v>
      </x:c>
      <x:c r="C2178" s="2" t="str">
        <x:v>Bình Dương</x:v>
      </x:c>
      <x:c r="D2178" s="2" t="str">
        <x:v>Thị xã Bến Cát</x:v>
      </x:c>
      <x:c r="E2178" s="2" t="str">
        <x:v>land</x:v>
      </x:c>
      <x:c r="F2178" s="2" t="str">
        <x:v>sale</x:v>
      </x:c>
      <x:c r="G2178" s="11" t="n">
        <x:v>135</x:v>
      </x:c>
      <x:c r="H2178" s="12" t="n">
        <x:v>1350000000</x:v>
      </x:c>
      <x:c r="I2178" s="12" t="n">
        <x:v>10000000</x:v>
      </x:c>
      <x:c r="J2178" s="2" t="str">
        <x:v>total</x:v>
      </x:c>
      <x:c r="K2178" s="2" t="str">
        <x:v>top_level_area</x:v>
      </x:c>
      <x:c r="L2178" s="2" t="str">
        <x:v>property_type_inferred_from_title</x:v>
      </x:c>
      <x:c r="M2178" s="10" t="n">
        <x:v>0</x:v>
      </x:c>
      <x:c r="N2178" s="10" t="n">
        <x:v>0</x:v>
      </x:c>
      <x:c r="O2178" s="2" t="str">
        <x:v>Bình Dương|land</x:v>
      </x:c>
      <x:c r="P2178" s="10" t="n">
        <x:v>2</x:v>
      </x:c>
      <x:c r="Q2178" s="13" t="n">
        <x:f>IF(H2178="","",H2178/1000000000)</x:f>
        <x:v>1.35</x:v>
      </x:c>
      <x:c r="R2178" s="13" t="n">
        <x:f>IF(I2178="","",I2178/1000000)</x:f>
        <x:v>10</x:v>
      </x:c>
    </x:row>
    <x:row r="2179" ht="21" customHeight="1">
      <x:c r="A2179" s="10" t="n">
        <x:v>3126</x:v>
      </x:c>
      <x:c r="B2179" s="2" t="str">
        <x:v>f838e034e2f879b84155</x:v>
      </x:c>
      <x:c r="C2179" s="2" t="str">
        <x:v>Đà Nẵng</x:v>
      </x:c>
      <x:c r="D2179" s="2" t="str">
        <x:v>Quận Thanh Khê</x:v>
      </x:c>
      <x:c r="E2179" s="2" t="str">
        <x:v>house</x:v>
      </x:c>
      <x:c r="F2179" s="2" t="str">
        <x:v>sale</x:v>
      </x:c>
      <x:c r="G2179" s="11" t="n">
        <x:v>56</x:v>
      </x:c>
      <x:c r="H2179" s="12" t="n">
        <x:v>3100000000</x:v>
      </x:c>
      <x:c r="I2179" s="12" t="n">
        <x:v>55357142.85714286</x:v>
      </x:c>
      <x:c r="J2179" s="2" t="str">
        <x:v>total</x:v>
      </x:c>
      <x:c r="K2179" s="2" t="str">
        <x:v>top_level_area</x:v>
      </x:c>
      <x:c r="L2179" s="2" t="str">
        <x:v>property_type_inferred_from_title</x:v>
      </x:c>
      <x:c r="M2179" s="10" t="n">
        <x:v>0</x:v>
      </x:c>
      <x:c r="N2179" s="10" t="n">
        <x:v>0</x:v>
      </x:c>
      <x:c r="O2179" s="2" t="str">
        <x:v>Đà Nẵng|house</x:v>
      </x:c>
      <x:c r="P2179" s="10" t="n">
        <x:v>2</x:v>
      </x:c>
      <x:c r="Q2179" s="13" t="n">
        <x:f>IF(H2179="","",H2179/1000000000)</x:f>
        <x:v>3.1</x:v>
      </x:c>
      <x:c r="R2179" s="13" t="n">
        <x:f>IF(I2179="","",I2179/1000000)</x:f>
        <x:v>55.35714285714286</x:v>
      </x:c>
    </x:row>
    <x:row r="2180" ht="21" customHeight="1">
      <x:c r="A2180" s="10" t="n">
        <x:v>3127</x:v>
      </x:c>
      <x:c r="B2180" s="2" t="str">
        <x:v>e17220b466a469f022d5</x:v>
      </x:c>
      <x:c r="C2180" s="2" t="str">
        <x:v>Hà Nội</x:v>
      </x:c>
      <x:c r="D2180" s="2" t="str">
        <x:v>Huyện Thanh Trì</x:v>
      </x:c>
      <x:c r="E2180" s="2" t="str">
        <x:v>land</x:v>
      </x:c>
      <x:c r="F2180" s="2" t="str">
        <x:v>sale_assumed</x:v>
      </x:c>
      <x:c r="G2180" s="11" t="n">
        <x:v>132</x:v>
      </x:c>
      <x:c r="H2180" s="12" t="n">
        <x:v>1950000000</x:v>
      </x:c>
      <x:c r="I2180" s="12" t="n">
        <x:v>14772727.272727273</x:v>
      </x:c>
      <x:c r="J2180" s="2" t="str">
        <x:v>total</x:v>
      </x:c>
      <x:c r="K2180" s="2" t="str">
        <x:v>top_level_area</x:v>
      </x:c>
      <x:c r="L2180" s="2" t="str">
        <x:v>property_type_inferred_from_title;transaction_assumed_sale_from_dataset_context</x:v>
      </x:c>
      <x:c r="M2180" s="10" t="n">
        <x:v>0</x:v>
      </x:c>
      <x:c r="N2180" s="10" t="n">
        <x:v>0</x:v>
      </x:c>
      <x:c r="O2180" s="2" t="str">
        <x:v>Hà Nội|land</x:v>
      </x:c>
      <x:c r="P2180" s="10" t="n">
        <x:v>2</x:v>
      </x:c>
      <x:c r="Q2180" s="13" t="n">
        <x:f>IF(H2180="","",H2180/1000000000)</x:f>
        <x:v>1.95</x:v>
      </x:c>
      <x:c r="R2180" s="13" t="n">
        <x:f>IF(I2180="","",I2180/1000000)</x:f>
        <x:v>14.772727272727273</x:v>
      </x:c>
    </x:row>
    <x:row r="2181" ht="21" customHeight="1">
      <x:c r="A2181" s="10" t="n">
        <x:v>3128</x:v>
      </x:c>
      <x:c r="B2181" s="2" t="str">
        <x:v>1a83880f3c6349a36a66</x:v>
      </x:c>
      <x:c r="C2181" s="2" t="str">
        <x:v>Hậu Giang</x:v>
      </x:c>
      <x:c r="D2181" s="2" t="str">
        <x:v>Huyện Phụng Hiệp</x:v>
      </x:c>
      <x:c r="E2181" s="2" t="str">
        <x:v>land</x:v>
      </x:c>
      <x:c r="F2181" s="2" t="str">
        <x:v>sale_assumed</x:v>
      </x:c>
      <x:c r="G2181" s="11" t="n">
        <x:v>594</x:v>
      </x:c>
      <x:c r="H2181" s="12" t="n">
        <x:v>700000000</x:v>
      </x:c>
      <x:c r="I2181" s="12" t="n">
        <x:v>1178451.1784511784</x:v>
      </x:c>
      <x:c r="J2181" s="2" t="str">
        <x:v>total</x:v>
      </x:c>
      <x:c r="K2181" s="2" t="str">
        <x:v>top_level_area</x:v>
      </x:c>
      <x:c r="L2181" s="2" t="str">
        <x:v>property_type_inferred_from_title;transaction_assumed_sale_from_dataset_context</x:v>
      </x:c>
      <x:c r="M2181" s="10" t="n">
        <x:v>0</x:v>
      </x:c>
      <x:c r="N2181" s="10" t="n">
        <x:v>0</x:v>
      </x:c>
      <x:c r="O2181" s="2" t="str">
        <x:v>land</x:v>
      </x:c>
      <x:c r="P2181" s="10" t="n">
        <x:v>1</x:v>
      </x:c>
      <x:c r="Q2181" s="13" t="n">
        <x:f>IF(H2181="","",H2181/1000000000)</x:f>
        <x:v>0.7</x:v>
      </x:c>
      <x:c r="R2181" s="13" t="n">
        <x:f>IF(I2181="","",I2181/1000000)</x:f>
        <x:v>1.1784511784511784</x:v>
      </x:c>
    </x:row>
    <x:row r="2182" ht="21" customHeight="1">
      <x:c r="A2182" s="10" t="n">
        <x:v>3129</x:v>
      </x:c>
      <x:c r="B2182" s="2" t="str">
        <x:v>ce1a88638242d1bd2b0a</x:v>
      </x:c>
      <x:c r="C2182" s="2" t="str">
        <x:v>Bình Phước</x:v>
      </x:c>
      <x:c r="D2182" s="2" t="str">
        <x:v>Huyện Chơn Thành</x:v>
      </x:c>
      <x:c r="E2182" s="2" t="str">
        <x:v>other_unknown</x:v>
      </x:c>
      <x:c r="F2182" s="2" t="str">
        <x:v>sale_assumed</x:v>
      </x:c>
      <x:c r="G2182" s="11" t="n">
        <x:v>250</x:v>
      </x:c>
      <x:c r="H2182" s="12" t="n">
        <x:v>780000000</x:v>
      </x:c>
      <x:c r="I2182" s="12" t="n">
        <x:v>3120000</x:v>
      </x:c>
      <x:c r="J2182" s="2" t="str">
        <x:v>total</x:v>
      </x:c>
      <x:c r="K2182" s="2" t="str">
        <x:v>top_level_area</x:v>
      </x:c>
      <x:c r="L2182" s="2" t="str">
        <x:v>property_type_inferred_from_title;transaction_assumed_sale_from_dataset_context;unknown_property_type</x:v>
      </x:c>
      <x:c r="M2182" s="10" t="n">
        <x:v>0</x:v>
      </x:c>
      <x:c r="N2182" s="10" t="n">
        <x:v>0</x:v>
      </x:c>
      <x:c r="O2182" s="2" t="str">
        <x:v>other_unknown</x:v>
      </x:c>
      <x:c r="P2182" s="10" t="n">
        <x:v>1</x:v>
      </x:c>
      <x:c r="Q2182" s="13" t="n">
        <x:f>IF(H2182="","",H2182/1000000000)</x:f>
        <x:v>0.78</x:v>
      </x:c>
      <x:c r="R2182" s="13" t="n">
        <x:f>IF(I2182="","",I2182/1000000)</x:f>
        <x:v>3.12</x:v>
      </x:c>
    </x:row>
    <x:row r="2183" ht="21" customHeight="1">
      <x:c r="A2183" s="10" t="n">
        <x:v>3130</x:v>
      </x:c>
      <x:c r="B2183" s="2" t="str">
        <x:v>a889370e87bb4b183054</x:v>
      </x:c>
      <x:c r="C2183" s="2" t="str">
        <x:v>Tp Hồ Chí Minh</x:v>
      </x:c>
      <x:c r="D2183" s="2" t="str">
        <x:v>Quận Thủ Đức</x:v>
      </x:c>
      <x:c r="E2183" s="2" t="str">
        <x:v>house</x:v>
      </x:c>
      <x:c r="F2183" s="2" t="str">
        <x:v>sale_assumed</x:v>
      </x:c>
      <x:c r="G2183" s="11" t="n">
        <x:v>58</x:v>
      </x:c>
      <x:c r="H2183" s="12" t="n">
        <x:v>5560000000</x:v>
      </x:c>
      <x:c r="I2183" s="12" t="n">
        <x:v>95862068.96551724</x:v>
      </x:c>
      <x:c r="J2183" s="2" t="str">
        <x:v>total</x:v>
      </x:c>
      <x:c r="K2183" s="2" t="str">
        <x:v>top_level_area</x:v>
      </x:c>
      <x:c r="L2183" s="2" t="str">
        <x:v>property_type_inferred_from_title;transaction_assumed_sale_from_dataset_context</x:v>
      </x:c>
      <x:c r="M2183" s="10" t="n">
        <x:v>0</x:v>
      </x:c>
      <x:c r="N2183" s="10" t="n">
        <x:v>0</x:v>
      </x:c>
      <x:c r="O2183" s="2" t="str">
        <x:v>Tp Hồ Chí Minh|house</x:v>
      </x:c>
      <x:c r="P2183" s="10" t="n">
        <x:v>2</x:v>
      </x:c>
      <x:c r="Q2183" s="13" t="n">
        <x:f>IF(H2183="","",H2183/1000000000)</x:f>
        <x:v>5.56</x:v>
      </x:c>
      <x:c r="R2183" s="13" t="n">
        <x:f>IF(I2183="","",I2183/1000000)</x:f>
        <x:v>95.86206896551724</x:v>
      </x:c>
    </x:row>
    <x:row r="2184" ht="21" customHeight="1">
      <x:c r="A2184" s="10" t="n">
        <x:v>3131</x:v>
      </x:c>
      <x:c r="B2184" s="2" t="str">
        <x:v>69a1e482113ff1e0e372</x:v>
      </x:c>
      <x:c r="C2184" s="2" t="str">
        <x:v>Bình Dương</x:v>
      </x:c>
      <x:c r="D2184" s="2" t="str">
        <x:v>Thị xã Thuận An</x:v>
      </x:c>
      <x:c r="E2184" s="2" t="str">
        <x:v>other_unknown</x:v>
      </x:c>
      <x:c r="F2184" s="2" t="str">
        <x:v>sale</x:v>
      </x:c>
      <x:c r="G2184" s="11" t="n">
        <x:v>50</x:v>
      </x:c>
      <x:c r="H2184" s="12" t="n">
        <x:v>1550000000</x:v>
      </x:c>
      <x:c r="I2184" s="12" t="n">
        <x:v>31000000</x:v>
      </x:c>
      <x:c r="J2184" s="2" t="str">
        <x:v>total</x:v>
      </x:c>
      <x:c r="K2184" s="2" t="str">
        <x:v>top_level_area</x:v>
      </x:c>
      <x:c r="L2184" s="2" t="str">
        <x:v>property_type_inferred_from_title;unknown_property_type</x:v>
      </x:c>
      <x:c r="M2184" s="10" t="n">
        <x:v>0</x:v>
      </x:c>
      <x:c r="N2184" s="10" t="n">
        <x:v>0</x:v>
      </x:c>
      <x:c r="O2184" s="2" t="str">
        <x:v>Bình Dương|other_unknown</x:v>
      </x:c>
      <x:c r="P2184" s="10" t="n">
        <x:v>2</x:v>
      </x:c>
      <x:c r="Q2184" s="13" t="n">
        <x:f>IF(H2184="","",H2184/1000000000)</x:f>
        <x:v>1.55</x:v>
      </x:c>
      <x:c r="R2184" s="13" t="n">
        <x:f>IF(I2184="","",I2184/1000000)</x:f>
        <x:v>31</x:v>
      </x:c>
    </x:row>
    <x:row r="2185" ht="21" customHeight="1">
      <x:c r="A2185" s="10" t="n">
        <x:v>3133</x:v>
      </x:c>
      <x:c r="B2185" s="2" t="str">
        <x:v>24d0ee2526a771b445b3</x:v>
      </x:c>
      <x:c r="C2185" s="2" t="str">
        <x:v>Bình Dương</x:v>
      </x:c>
      <x:c r="D2185" s="2" t="str">
        <x:v>Thị xã Dĩ An</x:v>
      </x:c>
      <x:c r="E2185" s="2" t="str">
        <x:v>land</x:v>
      </x:c>
      <x:c r="F2185" s="2" t="str">
        <x:v>sale</x:v>
      </x:c>
      <x:c r="G2185" s="11" t="n">
        <x:v>1450</x:v>
      </x:c>
      <x:c r="H2185" s="12" t="n">
        <x:v>19000000000</x:v>
      </x:c>
      <x:c r="I2185" s="12" t="n">
        <x:v>13103448.27586207</x:v>
      </x:c>
      <x:c r="J2185" s="2" t="str">
        <x:v>total</x:v>
      </x:c>
      <x:c r="K2185" s="2" t="str">
        <x:v>top_level_area</x:v>
      </x:c>
      <x:c r="L2185" s="2" t="str">
        <x:v>dot_thousands_convention;property_type_inferred_from_title</x:v>
      </x:c>
      <x:c r="M2185" s="10" t="n">
        <x:v>0</x:v>
      </x:c>
      <x:c r="N2185" s="10" t="n">
        <x:v>0</x:v>
      </x:c>
      <x:c r="O2185" s="2" t="str">
        <x:v>Bình Dương|land</x:v>
      </x:c>
      <x:c r="P2185" s="10" t="n">
        <x:v>1</x:v>
      </x:c>
      <x:c r="Q2185" s="13" t="n">
        <x:f>IF(H2185="","",H2185/1000000000)</x:f>
        <x:v>19</x:v>
      </x:c>
      <x:c r="R2185" s="13" t="n">
        <x:f>IF(I2185="","",I2185/1000000)</x:f>
        <x:v>13.10344827586207</x:v>
      </x:c>
    </x:row>
    <x:row r="2186" ht="21" customHeight="1">
      <x:c r="A2186" s="10" t="n">
        <x:v>3134</x:v>
      </x:c>
      <x:c r="B2186" s="2" t="str">
        <x:v>d112174de278e3900fb8</x:v>
      </x:c>
      <x:c r="C2186" s="2" t="str">
        <x:v>Hậu Giang</x:v>
      </x:c>
      <x:c r="D2186" s="2" t="str">
        <x:v>Huyện Phụng Hiệp</x:v>
      </x:c>
      <x:c r="E2186" s="2" t="str">
        <x:v>land</x:v>
      </x:c>
      <x:c r="F2186" s="2" t="str">
        <x:v>sale</x:v>
      </x:c>
      <x:c r="G2186" s="11" t="n">
        <x:v>80</x:v>
      </x:c>
      <x:c r="H2186" s="12" t="n">
        <x:v>560000000</x:v>
      </x:c>
      <x:c r="I2186" s="12" t="n">
        <x:v>7000000</x:v>
      </x:c>
      <x:c r="J2186" s="2" t="str">
        <x:v>total</x:v>
      </x:c>
      <x:c r="K2186" s="2" t="str">
        <x:v>top_level_area</x:v>
      </x:c>
      <x:c r="L2186" s="2" t="str">
        <x:v>property_type_inferred_from_title</x:v>
      </x:c>
      <x:c r="M2186" s="10" t="n">
        <x:v>0</x:v>
      </x:c>
      <x:c r="N2186" s="10" t="n">
        <x:v>0</x:v>
      </x:c>
      <x:c r="O2186" s="2" t="str">
        <x:v>land</x:v>
      </x:c>
      <x:c r="P2186" s="10" t="n">
        <x:v>2</x:v>
      </x:c>
      <x:c r="Q2186" s="13" t="n">
        <x:f>IF(H2186="","",H2186/1000000000)</x:f>
        <x:v>0.56</x:v>
      </x:c>
      <x:c r="R2186" s="13" t="n">
        <x:f>IF(I2186="","",I2186/1000000)</x:f>
        <x:v>7</x:v>
      </x:c>
    </x:row>
    <x:row r="2187" ht="21" customHeight="1">
      <x:c r="A2187" s="10" t="n">
        <x:v>3135</x:v>
      </x:c>
      <x:c r="B2187" s="2" t="str">
        <x:v>251de9d8cd594917e19c</x:v>
      </x:c>
      <x:c r="C2187" s="2" t="str">
        <x:v>Tp Hồ Chí Minh</x:v>
      </x:c>
      <x:c r="D2187" s="2" t="str">
        <x:v>Quận Bình Tân</x:v>
      </x:c>
      <x:c r="E2187" s="2" t="str">
        <x:v>house</x:v>
      </x:c>
      <x:c r="F2187" s="2" t="str">
        <x:v>sale_assumed</x:v>
      </x:c>
      <x:c r="G2187" s="11" t="n">
        <x:v>116</x:v>
      </x:c>
      <x:c r="H2187" s="12" t="n">
        <x:v>3500000000</x:v>
      </x:c>
      <x:c r="I2187" s="12" t="n">
        <x:v>30172413.79310345</x:v>
      </x:c>
      <x:c r="J2187" s="2" t="str">
        <x:v>total</x:v>
      </x:c>
      <x:c r="K2187" s="2" t="str">
        <x:v>top_level_area</x:v>
      </x:c>
      <x:c r="L2187" s="2" t="str">
        <x:v>property_type_inferred_from_title;transaction_assumed_sale_from_dataset_context</x:v>
      </x:c>
      <x:c r="M2187" s="10" t="n">
        <x:v>0</x:v>
      </x:c>
      <x:c r="N2187" s="10" t="n">
        <x:v>0</x:v>
      </x:c>
      <x:c r="O2187" s="2" t="str">
        <x:v>Tp Hồ Chí Minh|house</x:v>
      </x:c>
      <x:c r="P2187" s="10" t="n">
        <x:v>2</x:v>
      </x:c>
      <x:c r="Q2187" s="13" t="n">
        <x:f>IF(H2187="","",H2187/1000000000)</x:f>
        <x:v>3.5</x:v>
      </x:c>
      <x:c r="R2187" s="13" t="n">
        <x:f>IF(I2187="","",I2187/1000000)</x:f>
        <x:v>30.17241379310345</x:v>
      </x:c>
    </x:row>
    <x:row r="2188" ht="21" customHeight="1">
      <x:c r="A2188" s="10" t="n">
        <x:v>3136</x:v>
      </x:c>
      <x:c r="B2188" s="2" t="str">
        <x:v>cf7dadf066aa68a2f8d8</x:v>
      </x:c>
      <x:c r="C2188" s="2" t="str">
        <x:v>Tp Hồ Chí Minh</x:v>
      </x:c>
      <x:c r="D2188" s="2" t="str">
        <x:v>Quận 12</x:v>
      </x:c>
      <x:c r="E2188" s="2" t="str">
        <x:v>apartment</x:v>
      </x:c>
      <x:c r="F2188" s="2" t="str">
        <x:v>sale</x:v>
      </x:c>
      <x:c r="G2188" s="11" t="n">
        <x:v>74</x:v>
      </x:c>
      <x:c r="H2188" s="12" t="n">
        <x:v>1850000000</x:v>
      </x:c>
      <x:c r="I2188" s="12" t="n">
        <x:v>25000000</x:v>
      </x:c>
      <x:c r="J2188" s="2" t="str">
        <x:v>total</x:v>
      </x:c>
      <x:c r="K2188" s="2" t="str">
        <x:v>top_level_area</x:v>
      </x:c>
      <x:c r="L2188" s="2" t="str">
        <x:v>property_type_inferred_from_title</x:v>
      </x:c>
      <x:c r="M2188" s="10" t="n">
        <x:v>0</x:v>
      </x:c>
      <x:c r="N2188" s="10" t="n">
        <x:v>0</x:v>
      </x:c>
      <x:c r="O2188" s="2" t="str">
        <x:v>Tp Hồ Chí Minh|apartment</x:v>
      </x:c>
      <x:c r="P2188" s="10" t="n">
        <x:v>2</x:v>
      </x:c>
      <x:c r="Q2188" s="13" t="n">
        <x:f>IF(H2188="","",H2188/1000000000)</x:f>
        <x:v>1.85</x:v>
      </x:c>
      <x:c r="R2188" s="13" t="n">
        <x:f>IF(I2188="","",I2188/1000000)</x:f>
        <x:v>25</x:v>
      </x:c>
    </x:row>
    <x:row r="2189" ht="21" customHeight="1">
      <x:c r="A2189" s="10" t="n">
        <x:v>3137</x:v>
      </x:c>
      <x:c r="B2189" s="2" t="str">
        <x:v>df5dbc4301973fe41b87</x:v>
      </x:c>
      <x:c r="C2189" s="2" t="str">
        <x:v>Bình Dương</x:v>
      </x:c>
      <x:c r="D2189" s="2" t="str">
        <x:v>Thành phố Thủ Dầu Một</x:v>
      </x:c>
      <x:c r="E2189" s="2" t="str">
        <x:v>other_unknown</x:v>
      </x:c>
      <x:c r="F2189" s="2" t="str">
        <x:v>sale_assumed</x:v>
      </x:c>
      <x:c r="G2189" s="11" t="n">
        <x:v>100</x:v>
      </x:c>
      <x:c r="H2189" s="12" t="n">
        <x:v>5500000000</x:v>
      </x:c>
      <x:c r="I2189" s="12" t="n">
        <x:v>55000000</x:v>
      </x:c>
      <x:c r="J2189" s="2" t="str">
        <x:v>total</x:v>
      </x:c>
      <x:c r="K2189" s="2" t="str">
        <x:v>top_level_area</x:v>
      </x:c>
      <x:c r="L2189" s="2" t="str">
        <x:v>property_type_inferred_from_title;transaction_assumed_sale_from_dataset_context;unknown_property_type</x:v>
      </x:c>
      <x:c r="M2189" s="10" t="n">
        <x:v>0</x:v>
      </x:c>
      <x:c r="N2189" s="10" t="n">
        <x:v>1</x:v>
      </x:c>
      <x:c r="O2189" s="2" t="str">
        <x:v>Bình Dương|other_unknown</x:v>
      </x:c>
      <x:c r="P2189" s="10" t="n">
        <x:v>-1</x:v>
      </x:c>
      <x:c r="Q2189" s="13" t="n">
        <x:f>IF(H2189="","",H2189/1000000000)</x:f>
        <x:v>5.5</x:v>
      </x:c>
      <x:c r="R2189" s="13" t="n">
        <x:f>IF(I2189="","",I2189/1000000)</x:f>
        <x:v>55</x:v>
      </x:c>
    </x:row>
    <x:row r="2190" ht="21" customHeight="1">
      <x:c r="A2190" s="10" t="n">
        <x:v>3138</x:v>
      </x:c>
      <x:c r="B2190" s="2" t="str">
        <x:v>7612ae123432e37d296b</x:v>
      </x:c>
      <x:c r="C2190" s="2" t="str">
        <x:v>Tp Hồ Chí Minh</x:v>
      </x:c>
      <x:c r="D2190" s="2" t="str">
        <x:v>Quận Bình Tân</x:v>
      </x:c>
      <x:c r="E2190" s="2" t="str">
        <x:v>house</x:v>
      </x:c>
      <x:c r="F2190" s="2" t="str">
        <x:v>sale</x:v>
      </x:c>
      <x:c r="G2190" s="11" t="n">
        <x:v>62</x:v>
      </x:c>
      <x:c r="H2190" s="12" t="n">
        <x:v>6500000000</x:v>
      </x:c>
      <x:c r="I2190" s="12" t="n">
        <x:v>104838709.67741935</x:v>
      </x:c>
      <x:c r="J2190" s="2" t="str">
        <x:v>total</x:v>
      </x:c>
      <x:c r="K2190" s="2" t="str">
        <x:v>top_level_area</x:v>
      </x:c>
      <x:c r="L2190" s="2" t="str">
        <x:v>property_type_inferred_from_title</x:v>
      </x:c>
      <x:c r="M2190" s="10" t="n">
        <x:v>0</x:v>
      </x:c>
      <x:c r="N2190" s="10" t="n">
        <x:v>0</x:v>
      </x:c>
      <x:c r="O2190" s="2" t="str">
        <x:v>Tp Hồ Chí Minh|house</x:v>
      </x:c>
      <x:c r="P2190" s="10" t="n">
        <x:v>2</x:v>
      </x:c>
      <x:c r="Q2190" s="13" t="n">
        <x:f>IF(H2190="","",H2190/1000000000)</x:f>
        <x:v>6.5</x:v>
      </x:c>
      <x:c r="R2190" s="13" t="n">
        <x:f>IF(I2190="","",I2190/1000000)</x:f>
        <x:v>104.83870967741935</x:v>
      </x:c>
    </x:row>
    <x:row r="2191" ht="21" customHeight="1">
      <x:c r="A2191" s="10" t="n">
        <x:v>3139</x:v>
      </x:c>
      <x:c r="B2191" s="2" t="str">
        <x:v>c37ac6b51822f8c24743</x:v>
      </x:c>
      <x:c r="C2191" s="2" t="str">
        <x:v>Tp Hồ Chí Minh</x:v>
      </x:c>
      <x:c r="D2191" s="2" t="str">
        <x:v>Quận 7</x:v>
      </x:c>
      <x:c r="E2191" s="2" t="str">
        <x:v>house</x:v>
      </x:c>
      <x:c r="F2191" s="2" t="str">
        <x:v>sale</x:v>
      </x:c>
      <x:c r="G2191" s="11" t="n">
        <x:v>65</x:v>
      </x:c>
      <x:c r="H2191" s="12" t="n">
        <x:v>2100000000</x:v>
      </x:c>
      <x:c r="I2191" s="12" t="n">
        <x:v>32307692.307692308</x:v>
      </x:c>
      <x:c r="J2191" s="2" t="str">
        <x:v>total</x:v>
      </x:c>
      <x:c r="K2191" s="2" t="str">
        <x:v>top_level_area</x:v>
      </x:c>
      <x:c r="L2191" s="2" t="str">
        <x:v>property_type_inferred_from_title</x:v>
      </x:c>
      <x:c r="M2191" s="10" t="n">
        <x:v>0</x:v>
      </x:c>
      <x:c r="N2191" s="10" t="n">
        <x:v>0</x:v>
      </x:c>
      <x:c r="O2191" s="2" t="str">
        <x:v>Tp Hồ Chí Minh|house</x:v>
      </x:c>
      <x:c r="P2191" s="10" t="n">
        <x:v>2</x:v>
      </x:c>
      <x:c r="Q2191" s="13" t="n">
        <x:f>IF(H2191="","",H2191/1000000000)</x:f>
        <x:v>2.1</x:v>
      </x:c>
      <x:c r="R2191" s="13" t="n">
        <x:f>IF(I2191="","",I2191/1000000)</x:f>
        <x:v>32.30769230769231</x:v>
      </x:c>
    </x:row>
    <x:row r="2192" ht="21" customHeight="1">
      <x:c r="A2192" s="10" t="n">
        <x:v>3140</x:v>
      </x:c>
      <x:c r="B2192" s="2" t="str">
        <x:v>289f08e21fd9038e2444</x:v>
      </x:c>
      <x:c r="C2192" s="2" t="str">
        <x:v>Đồng Nai</x:v>
      </x:c>
      <x:c r="D2192" s="2" t="str">
        <x:v>Huyện Long Thành</x:v>
      </x:c>
      <x:c r="E2192" s="2" t="str">
        <x:v>other_unknown</x:v>
      </x:c>
      <x:c r="F2192" s="2" t="str">
        <x:v>sale</x:v>
      </x:c>
      <x:c r="G2192" s="11" t="n">
        <x:v>1550</x:v>
      </x:c>
      <x:c r="H2192" s="12" t="n">
        <x:v>5000000000</x:v>
      </x:c>
      <x:c r="I2192" s="12" t="n">
        <x:v>3225806.4516129033</x:v>
      </x:c>
      <x:c r="J2192" s="2" t="str">
        <x:v>total</x:v>
      </x:c>
      <x:c r="K2192" s="2" t="str">
        <x:v>top_level_area</x:v>
      </x:c>
      <x:c r="L2192" s="2" t="str">
        <x:v>dot_thousands_convention;property_type_inferred_from_title;unknown_property_type</x:v>
      </x:c>
      <x:c r="M2192" s="10" t="n">
        <x:v>0</x:v>
      </x:c>
      <x:c r="N2192" s="10" t="n">
        <x:v>0</x:v>
      </x:c>
      <x:c r="O2192" s="2" t="str">
        <x:v>Đồng Nai|other_unknown</x:v>
      </x:c>
      <x:c r="P2192" s="10" t="n">
        <x:v>1</x:v>
      </x:c>
      <x:c r="Q2192" s="13" t="n">
        <x:f>IF(H2192="","",H2192/1000000000)</x:f>
        <x:v>5</x:v>
      </x:c>
      <x:c r="R2192" s="13" t="n">
        <x:f>IF(I2192="","",I2192/1000000)</x:f>
        <x:v>3.2258064516129035</x:v>
      </x:c>
    </x:row>
    <x:row r="2193" ht="21" customHeight="1">
      <x:c r="A2193" s="10" t="n">
        <x:v>3141</x:v>
      </x:c>
      <x:c r="B2193" s="2" t="str">
        <x:v>91d1345b2f84db20a040</x:v>
      </x:c>
      <x:c r="C2193" s="2" t="str">
        <x:v>Tp Hồ Chí Minh</x:v>
      </x:c>
      <x:c r="D2193" s="2" t="str">
        <x:v>Quận 11</x:v>
      </x:c>
      <x:c r="E2193" s="2" t="str">
        <x:v>land</x:v>
      </x:c>
      <x:c r="F2193" s="2" t="str">
        <x:v>sale_assumed</x:v>
      </x:c>
      <x:c r="G2193" s="11" t="n">
        <x:v>11</x:v>
      </x:c>
      <x:c r="H2193" s="12" t="n">
        <x:v>4700000000</x:v>
      </x:c>
      <x:c r="I2193" s="12" t="n">
        <x:v>427272727.27272725</x:v>
      </x:c>
      <x:c r="J2193" s="2" t="str">
        <x:v>total</x:v>
      </x:c>
      <x:c r="K2193" s="2" t="str">
        <x:v>top_level_price_embedded_area</x:v>
      </x:c>
      <x:c r="L2193" s="2" t="str">
        <x:v>area_recovered_from_price_text;property_type_inferred_from_title;transaction_assumed_sale_from_dataset_context</x:v>
      </x:c>
      <x:c r="M2193" s="10" t="n">
        <x:v>1</x:v>
      </x:c>
      <x:c r="N2193" s="10" t="n">
        <x:v>1</x:v>
      </x:c>
      <x:c r="O2193" s="2" t="str">
        <x:v>Tp Hồ Chí Minh|land</x:v>
      </x:c>
      <x:c r="P2193" s="10" t="n">
        <x:v>-1</x:v>
      </x:c>
      <x:c r="Q2193" s="13" t="n">
        <x:f>IF(H2193="","",H2193/1000000000)</x:f>
        <x:v>4.7</x:v>
      </x:c>
      <x:c r="R2193" s="13" t="n">
        <x:f>IF(I2193="","",I2193/1000000)</x:f>
        <x:v>427.27272727272725</x:v>
      </x:c>
    </x:row>
    <x:row r="2194" ht="21" customHeight="1">
      <x:c r="A2194" s="10" t="n">
        <x:v>3142</x:v>
      </x:c>
      <x:c r="B2194" s="2" t="str">
        <x:v>b2ebfb520814c7cb5f26</x:v>
      </x:c>
      <x:c r="C2194" s="2" t="str">
        <x:v>Bà Rịa - Vũng Tàu</x:v>
      </x:c>
      <x:c r="D2194" s="2" t="str">
        <x:v>Huyện Châu Đức</x:v>
      </x:c>
      <x:c r="E2194" s="2" t="str">
        <x:v>land</x:v>
      </x:c>
      <x:c r="F2194" s="2" t="str">
        <x:v>sale_assumed</x:v>
      </x:c>
      <x:c r="G2194" s="11" t="n">
        <x:v>10240</x:v>
      </x:c>
      <x:c r="H2194" s="12" t="n">
        <x:v>10000000000</x:v>
      </x:c>
      <x:c r="I2194" s="12" t="n">
        <x:v>976562.5</x:v>
      </x:c>
      <x:c r="J2194" s="2" t="str">
        <x:v>total</x:v>
      </x:c>
      <x:c r="K2194" s="2" t="str">
        <x:v>top_level_area</x:v>
      </x:c>
      <x:c r="L2194" s="2" t="str">
        <x:v>dot_thousands_convention;property_type_inferred_from_title;transaction_assumed_sale_from_dataset_context</x:v>
      </x:c>
      <x:c r="M2194" s="10" t="n">
        <x:v>0</x:v>
      </x:c>
      <x:c r="N2194" s="10" t="n">
        <x:v>0</x:v>
      </x:c>
      <x:c r="O2194" s="2" t="str">
        <x:v>Bà Rịa - Vũng Tàu|land</x:v>
      </x:c>
      <x:c r="P2194" s="10" t="n">
        <x:v>1</x:v>
      </x:c>
      <x:c r="Q2194" s="13" t="n">
        <x:f>IF(H2194="","",H2194/1000000000)</x:f>
        <x:v>10</x:v>
      </x:c>
      <x:c r="R2194" s="13" t="n">
        <x:f>IF(I2194="","",I2194/1000000)</x:f>
        <x:v>0.9765625</x:v>
      </x:c>
    </x:row>
    <x:row r="2195" ht="21" customHeight="1">
      <x:c r="A2195" s="10" t="n">
        <x:v>3143</x:v>
      </x:c>
      <x:c r="B2195" s="2" t="str">
        <x:v>d658d4210333b9738147</x:v>
      </x:c>
      <x:c r="C2195" s="2" t="str">
        <x:v>Cần Thơ</x:v>
      </x:c>
      <x:c r="D2195" s="2" t="str">
        <x:v>Quận Cái Răng</x:v>
      </x:c>
      <x:c r="E2195" s="2" t="str">
        <x:v>land</x:v>
      </x:c>
      <x:c r="F2195" s="2" t="str">
        <x:v>sale_assumed</x:v>
      </x:c>
      <x:c r="G2195" s="11" t="n">
        <x:v>80</x:v>
      </x:c>
      <x:c r="H2195" s="12" t="n">
        <x:v>561000000</x:v>
      </x:c>
      <x:c r="I2195" s="12" t="n">
        <x:v>7012500</x:v>
      </x:c>
      <x:c r="J2195" s="2" t="str">
        <x:v>total</x:v>
      </x:c>
      <x:c r="K2195" s="2" t="str">
        <x:v>top_level_area</x:v>
      </x:c>
      <x:c r="L2195" s="2" t="str">
        <x:v>property_type_inferred_from_title;transaction_assumed_sale_from_dataset_context</x:v>
      </x:c>
      <x:c r="M2195" s="10" t="n">
        <x:v>0</x:v>
      </x:c>
      <x:c r="N2195" s="10" t="n">
        <x:v>0</x:v>
      </x:c>
      <x:c r="O2195" s="2" t="str">
        <x:v>Cần Thơ|land</x:v>
      </x:c>
      <x:c r="P2195" s="10" t="n">
        <x:v>2</x:v>
      </x:c>
      <x:c r="Q2195" s="13" t="n">
        <x:f>IF(H2195="","",H2195/1000000000)</x:f>
        <x:v>0.561</x:v>
      </x:c>
      <x:c r="R2195" s="13" t="n">
        <x:f>IF(I2195="","",I2195/1000000)</x:f>
        <x:v>7.0125</x:v>
      </x:c>
    </x:row>
    <x:row r="2196" ht="21" customHeight="1">
      <x:c r="A2196" s="10" t="n">
        <x:v>3147</x:v>
      </x:c>
      <x:c r="B2196" s="2" t="str">
        <x:v>d622c48afe8e6ce3f2d4</x:v>
      </x:c>
      <x:c r="C2196" s="2" t="str">
        <x:v>Long An</x:v>
      </x:c>
      <x:c r="D2196" s="2" t="str">
        <x:v>Huyện Cần Đước</x:v>
      </x:c>
      <x:c r="E2196" s="2" t="str">
        <x:v>land</x:v>
      </x:c>
      <x:c r="F2196" s="2" t="str">
        <x:v>sale</x:v>
      </x:c>
      <x:c r="G2196" s="11" t="n">
        <x:v>100</x:v>
      </x:c>
      <x:c r="H2196" s="12" t="n">
        <x:v>1040000000</x:v>
      </x:c>
      <x:c r="I2196" s="12" t="n">
        <x:v>10400000</x:v>
      </x:c>
      <x:c r="J2196" s="2" t="str">
        <x:v>total</x:v>
      </x:c>
      <x:c r="K2196" s="2" t="str">
        <x:v>top_level_area</x:v>
      </x:c>
      <x:c r="L2196" s="2" t="str">
        <x:v>property_type_inferred_from_title</x:v>
      </x:c>
      <x:c r="M2196" s="10" t="n">
        <x:v>0</x:v>
      </x:c>
      <x:c r="N2196" s="10" t="n">
        <x:v>0</x:v>
      </x:c>
      <x:c r="O2196" s="2" t="str">
        <x:v>Long An|land</x:v>
      </x:c>
      <x:c r="P2196" s="10" t="n">
        <x:v>2</x:v>
      </x:c>
      <x:c r="Q2196" s="13" t="n">
        <x:f>IF(H2196="","",H2196/1000000000)</x:f>
        <x:v>1.04</x:v>
      </x:c>
      <x:c r="R2196" s="13" t="n">
        <x:f>IF(I2196="","",I2196/1000000)</x:f>
        <x:v>10.4</x:v>
      </x:c>
    </x:row>
    <x:row r="2197" ht="21" customHeight="1">
      <x:c r="A2197" s="10" t="n">
        <x:v>3148</x:v>
      </x:c>
      <x:c r="B2197" s="2" t="str">
        <x:v>58c361365ce9f178cac3</x:v>
      </x:c>
      <x:c r="C2197" s="2" t="str">
        <x:v>Long An</x:v>
      </x:c>
      <x:c r="D2197" s="2" t="str">
        <x:v>Huyện Đức Hòa</x:v>
      </x:c>
      <x:c r="E2197" s="2" t="str">
        <x:v>land</x:v>
      </x:c>
      <x:c r="F2197" s="2" t="str">
        <x:v>sale_assumed</x:v>
      </x:c>
      <x:c r="G2197" s="11" t="n">
        <x:v>100</x:v>
      </x:c>
      <x:c r="H2197" s="12" t="n">
        <x:v>1200000000</x:v>
      </x:c>
      <x:c r="I2197" s="12" t="n">
        <x:v>12000000</x:v>
      </x:c>
      <x:c r="J2197" s="2" t="str">
        <x:v>total</x:v>
      </x:c>
      <x:c r="K2197" s="2" t="str">
        <x:v>top_level_area</x:v>
      </x:c>
      <x:c r="L2197" s="2" t="str">
        <x:v>property_type_inferred_from_title;transaction_assumed_sale_from_dataset_context</x:v>
      </x:c>
      <x:c r="M2197" s="10" t="n">
        <x:v>0</x:v>
      </x:c>
      <x:c r="N2197" s="10" t="n">
        <x:v>0</x:v>
      </x:c>
      <x:c r="O2197" s="2" t="str">
        <x:v>Long An|land</x:v>
      </x:c>
      <x:c r="P2197" s="10" t="n">
        <x:v>2</x:v>
      </x:c>
      <x:c r="Q2197" s="13" t="n">
        <x:f>IF(H2197="","",H2197/1000000000)</x:f>
        <x:v>1.2</x:v>
      </x:c>
      <x:c r="R2197" s="13" t="n">
        <x:f>IF(I2197="","",I2197/1000000)</x:f>
        <x:v>12</x:v>
      </x:c>
    </x:row>
    <x:row r="2198" ht="21" customHeight="1">
      <x:c r="A2198" s="10" t="n">
        <x:v>3149</x:v>
      </x:c>
      <x:c r="B2198" s="2" t="str">
        <x:v>f135b981bb8f8701d72e</x:v>
      </x:c>
      <x:c r="C2198" s="2" t="str">
        <x:v>Đồng Nai</x:v>
      </x:c>
      <x:c r="D2198" s="2" t="str">
        <x:v>Huyện Xuân Lộc</x:v>
      </x:c>
      <x:c r="E2198" s="2" t="str">
        <x:v>land</x:v>
      </x:c>
      <x:c r="F2198" s="2" t="str">
        <x:v>sale</x:v>
      </x:c>
      <x:c r="G2198" s="11" t="n">
        <x:v>1000</x:v>
      </x:c>
      <x:c r="H2198" s="12" t="n">
        <x:v>740000000</x:v>
      </x:c>
      <x:c r="I2198" s="12" t="n">
        <x:v>740000</x:v>
      </x:c>
      <x:c r="J2198" s="2" t="str">
        <x:v>total</x:v>
      </x:c>
      <x:c r="K2198" s="2" t="str">
        <x:v>top_level_area</x:v>
      </x:c>
      <x:c r="L2198" s="2" t="str">
        <x:v>dot_thousands_convention;property_type_inferred_from_title</x:v>
      </x:c>
      <x:c r="M2198" s="10" t="n">
        <x:v>0</x:v>
      </x:c>
      <x:c r="N2198" s="10" t="n">
        <x:v>0</x:v>
      </x:c>
      <x:c r="O2198" s="2" t="str">
        <x:v>Đồng Nai|land</x:v>
      </x:c>
      <x:c r="P2198" s="10" t="n">
        <x:v>1</x:v>
      </x:c>
      <x:c r="Q2198" s="13" t="n">
        <x:f>IF(H2198="","",H2198/1000000000)</x:f>
        <x:v>0.74</x:v>
      </x:c>
      <x:c r="R2198" s="13" t="n">
        <x:f>IF(I2198="","",I2198/1000000)</x:f>
        <x:v>0.74</x:v>
      </x:c>
    </x:row>
    <x:row r="2199" ht="21" customHeight="1">
      <x:c r="A2199" s="10" t="n">
        <x:v>3150</x:v>
      </x:c>
      <x:c r="B2199" s="2" t="str">
        <x:v>2a857c90ebaa1c80d7f4</x:v>
      </x:c>
      <x:c r="C2199" s="2" t="str">
        <x:v>Bình Dương</x:v>
      </x:c>
      <x:c r="D2199" s="2" t="str">
        <x:v>Thị xã Bến Cát</x:v>
      </x:c>
      <x:c r="E2199" s="2" t="str">
        <x:v>land</x:v>
      </x:c>
      <x:c r="F2199" s="2" t="str">
        <x:v>sale_assumed</x:v>
      </x:c>
      <x:c r="G2199" s="11" t="n">
        <x:v>150</x:v>
      </x:c>
      <x:c r="H2199" s="12" t="n">
        <x:v>939000000</x:v>
      </x:c>
      <x:c r="I2199" s="12" t="n">
        <x:v>6260000</x:v>
      </x:c>
      <x:c r="J2199" s="2" t="str">
        <x:v>total</x:v>
      </x:c>
      <x:c r="K2199" s="2" t="str">
        <x:v>top_level_area</x:v>
      </x:c>
      <x:c r="L2199" s="2" t="str">
        <x:v>property_type_inferred_from_title;transaction_assumed_sale_from_dataset_context</x:v>
      </x:c>
      <x:c r="M2199" s="10" t="n">
        <x:v>0</x:v>
      </x:c>
      <x:c r="N2199" s="10" t="n">
        <x:v>0</x:v>
      </x:c>
      <x:c r="O2199" s="2" t="str">
        <x:v>Bình Dương|land</x:v>
      </x:c>
      <x:c r="P2199" s="10" t="n">
        <x:v>2</x:v>
      </x:c>
      <x:c r="Q2199" s="13" t="n">
        <x:f>IF(H2199="","",H2199/1000000000)</x:f>
        <x:v>0.939</x:v>
      </x:c>
      <x:c r="R2199" s="13" t="n">
        <x:f>IF(I2199="","",I2199/1000000)</x:f>
        <x:v>6.26</x:v>
      </x:c>
    </x:row>
    <x:row r="2200" ht="21" customHeight="1">
      <x:c r="A2200" s="10" t="n">
        <x:v>3151</x:v>
      </x:c>
      <x:c r="B2200" s="2" t="str">
        <x:v>cc656cf3536cf2c33639</x:v>
      </x:c>
      <x:c r="C2200" s="2" t="str">
        <x:v>Tp Hồ Chí Minh</x:v>
      </x:c>
      <x:c r="D2200" s="2" t="str">
        <x:v>Quận Tân Phú</x:v>
      </x:c>
      <x:c r="E2200" s="2" t="str">
        <x:v>house</x:v>
      </x:c>
      <x:c r="F2200" s="2" t="str">
        <x:v>sale</x:v>
      </x:c>
      <x:c r="G2200" s="11" t="n">
        <x:v>42</x:v>
      </x:c>
      <x:c r="H2200" s="12" t="n">
        <x:v>3800000000</x:v>
      </x:c>
      <x:c r="I2200" s="12" t="n">
        <x:v>90476190.47619048</x:v>
      </x:c>
      <x:c r="J2200" s="2" t="str">
        <x:v>total</x:v>
      </x:c>
      <x:c r="K2200" s="2" t="str">
        <x:v>top_level_area</x:v>
      </x:c>
      <x:c r="L2200" s="2" t="str">
        <x:v>property_type_inferred_from_title</x:v>
      </x:c>
      <x:c r="M2200" s="10" t="n">
        <x:v>0</x:v>
      </x:c>
      <x:c r="N2200" s="10" t="n">
        <x:v>0</x:v>
      </x:c>
      <x:c r="O2200" s="2" t="str">
        <x:v>Tp Hồ Chí Minh|house</x:v>
      </x:c>
      <x:c r="P2200" s="10" t="n">
        <x:v>2</x:v>
      </x:c>
      <x:c r="Q2200" s="13" t="n">
        <x:f>IF(H2200="","",H2200/1000000000)</x:f>
        <x:v>3.8</x:v>
      </x:c>
      <x:c r="R2200" s="13" t="n">
        <x:f>IF(I2200="","",I2200/1000000)</x:f>
        <x:v>90.47619047619048</x:v>
      </x:c>
    </x:row>
    <x:row r="2201" ht="21" customHeight="1">
      <x:c r="A2201" s="10" t="n">
        <x:v>3152</x:v>
      </x:c>
      <x:c r="B2201" s="2" t="str">
        <x:v>a3a125cd9bb6f1617990</x:v>
      </x:c>
      <x:c r="C2201" s="2" t="str">
        <x:v>Tp Hồ Chí Minh</x:v>
      </x:c>
      <x:c r="D2201" s="2" t="str">
        <x:v>Quận Tân Phú</x:v>
      </x:c>
      <x:c r="E2201" s="2" t="str">
        <x:v>house</x:v>
      </x:c>
      <x:c r="F2201" s="2" t="str">
        <x:v>sale_assumed</x:v>
      </x:c>
      <x:c r="G2201" s="11" t="n">
        <x:v>50</x:v>
      </x:c>
      <x:c r="H2201" s="12" t="n">
        <x:v>3800000000</x:v>
      </x:c>
      <x:c r="I2201" s="12" t="n">
        <x:v>76000000</x:v>
      </x:c>
      <x:c r="J2201" s="2" t="str">
        <x:v>total</x:v>
      </x:c>
      <x:c r="K2201" s="2" t="str">
        <x:v>top_level_area</x:v>
      </x:c>
      <x:c r="L2201" s="2" t="str">
        <x:v>property_type_inferred_from_title;transaction_assumed_sale_from_dataset_context</x:v>
      </x:c>
      <x:c r="M2201" s="10" t="n">
        <x:v>0</x:v>
      </x:c>
      <x:c r="N2201" s="10" t="n">
        <x:v>0</x:v>
      </x:c>
      <x:c r="O2201" s="2" t="str">
        <x:v>Tp Hồ Chí Minh|house</x:v>
      </x:c>
      <x:c r="P2201" s="10" t="n">
        <x:v>2</x:v>
      </x:c>
      <x:c r="Q2201" s="13" t="n">
        <x:f>IF(H2201="","",H2201/1000000000)</x:f>
        <x:v>3.8</x:v>
      </x:c>
      <x:c r="R2201" s="13" t="n">
        <x:f>IF(I2201="","",I2201/1000000)</x:f>
        <x:v>76</x:v>
      </x:c>
    </x:row>
    <x:row r="2202" ht="21" customHeight="1">
      <x:c r="A2202" s="10" t="n">
        <x:v>3153</x:v>
      </x:c>
      <x:c r="B2202" s="2" t="str">
        <x:v>808774536de5e43778e1</x:v>
      </x:c>
      <x:c r="C2202" s="2" t="str">
        <x:v>Tp Hồ Chí Minh</x:v>
      </x:c>
      <x:c r="D2202" s="2" t="str">
        <x:v>Quận Thủ Đức</x:v>
      </x:c>
      <x:c r="E2202" s="2" t="str">
        <x:v>house</x:v>
      </x:c>
      <x:c r="F2202" s="2" t="str">
        <x:v>sale_assumed</x:v>
      </x:c>
      <x:c r="G2202" s="11" t="n">
        <x:v>34</x:v>
      </x:c>
      <x:c r="H2202" s="12" t="n">
        <x:v>3600000000</x:v>
      </x:c>
      <x:c r="I2202" s="12" t="n">
        <x:v>105882352.94117647</x:v>
      </x:c>
      <x:c r="J2202" s="2" t="str">
        <x:v>total</x:v>
      </x:c>
      <x:c r="K2202" s="2" t="str">
        <x:v>top_level_area</x:v>
      </x:c>
      <x:c r="L2202" s="2" t="str">
        <x:v>property_type_inferred_from_title;transaction_assumed_sale_from_dataset_context</x:v>
      </x:c>
      <x:c r="M2202" s="10" t="n">
        <x:v>0</x:v>
      </x:c>
      <x:c r="N2202" s="10" t="n">
        <x:v>0</x:v>
      </x:c>
      <x:c r="O2202" s="2" t="str">
        <x:v>Tp Hồ Chí Minh|house</x:v>
      </x:c>
      <x:c r="P2202" s="10" t="n">
        <x:v>2</x:v>
      </x:c>
      <x:c r="Q2202" s="13" t="n">
        <x:f>IF(H2202="","",H2202/1000000000)</x:f>
        <x:v>3.6</x:v>
      </x:c>
      <x:c r="R2202" s="13" t="n">
        <x:f>IF(I2202="","",I2202/1000000)</x:f>
        <x:v>105.88235294117648</x:v>
      </x:c>
    </x:row>
    <x:row r="2203" ht="21" customHeight="1">
      <x:c r="A2203" s="10" t="n">
        <x:v>3154</x:v>
      </x:c>
      <x:c r="B2203" s="2" t="str">
        <x:v>f5c396ca10b489f21666</x:v>
      </x:c>
      <x:c r="C2203" s="2" t="str">
        <x:v>Tp Hồ Chí Minh</x:v>
      </x:c>
      <x:c r="D2203" s="2" t="str">
        <x:v>Huyện Bình Chánh</x:v>
      </x:c>
      <x:c r="E2203" s="2" t="str">
        <x:v>house</x:v>
      </x:c>
      <x:c r="F2203" s="2" t="str">
        <x:v>sale_assumed</x:v>
      </x:c>
      <x:c r="G2203" s="11" t="n">
        <x:v>102</x:v>
      </x:c>
      <x:c r="H2203" s="12" t="n">
        <x:v>1700000000</x:v>
      </x:c>
      <x:c r="I2203" s="12" t="n">
        <x:v>16666666.666666666</x:v>
      </x:c>
      <x:c r="J2203" s="2" t="str">
        <x:v>total</x:v>
      </x:c>
      <x:c r="K2203" s="2" t="str">
        <x:v>top_level_area</x:v>
      </x:c>
      <x:c r="L2203" s="2" t="str">
        <x:v>property_type_inferred_from_title;transaction_assumed_sale_from_dataset_context</x:v>
      </x:c>
      <x:c r="M2203" s="10" t="n">
        <x:v>0</x:v>
      </x:c>
      <x:c r="N2203" s="10" t="n">
        <x:v>0</x:v>
      </x:c>
      <x:c r="O2203" s="2" t="str">
        <x:v>Tp Hồ Chí Minh|house</x:v>
      </x:c>
      <x:c r="P2203" s="10" t="n">
        <x:v>2</x:v>
      </x:c>
      <x:c r="Q2203" s="13" t="n">
        <x:f>IF(H2203="","",H2203/1000000000)</x:f>
        <x:v>1.7</x:v>
      </x:c>
      <x:c r="R2203" s="13" t="n">
        <x:f>IF(I2203="","",I2203/1000000)</x:f>
        <x:v>16.666666666666664</x:v>
      </x:c>
    </x:row>
    <x:row r="2204" ht="21" customHeight="1">
      <x:c r="A2204" s="10" t="n">
        <x:v>3155</x:v>
      </x:c>
      <x:c r="B2204" s="2" t="str">
        <x:v>3bf02758e7db860521ae</x:v>
      </x:c>
      <x:c r="C2204" s="2" t="str">
        <x:v>Đồng Nai</x:v>
      </x:c>
      <x:c r="D2204" s="2" t="str">
        <x:v>Huyện Trảng Bom</x:v>
      </x:c>
      <x:c r="E2204" s="2" t="str">
        <x:v>land</x:v>
      </x:c>
      <x:c r="F2204" s="2" t="str">
        <x:v>sale_assumed</x:v>
      </x:c>
      <x:c r="G2204" s="11" t="n">
        <x:v>1000</x:v>
      </x:c>
      <x:c r="H2204" s="12" t="n">
        <x:v>999000000</x:v>
      </x:c>
      <x:c r="I2204" s="12" t="n">
        <x:v>999000</x:v>
      </x:c>
      <x:c r="J2204" s="2" t="str">
        <x:v>total</x:v>
      </x:c>
      <x:c r="K2204" s="2" t="str">
        <x:v>top_level_area</x:v>
      </x:c>
      <x:c r="L2204" s="2" t="str">
        <x:v>dot_thousands_convention;property_type_inferred_from_title;transaction_assumed_sale_from_dataset_context</x:v>
      </x:c>
      <x:c r="M2204" s="10" t="n">
        <x:v>0</x:v>
      </x:c>
      <x:c r="N2204" s="10" t="n">
        <x:v>0</x:v>
      </x:c>
      <x:c r="O2204" s="2" t="str">
        <x:v>Đồng Nai|land</x:v>
      </x:c>
      <x:c r="P2204" s="10" t="n">
        <x:v>1</x:v>
      </x:c>
      <x:c r="Q2204" s="13" t="n">
        <x:f>IF(H2204="","",H2204/1000000000)</x:f>
        <x:v>0.999</x:v>
      </x:c>
      <x:c r="R2204" s="13" t="n">
        <x:f>IF(I2204="","",I2204/1000000)</x:f>
        <x:v>0.999</x:v>
      </x:c>
    </x:row>
    <x:row r="2205" ht="21" customHeight="1">
      <x:c r="A2205" s="10" t="n">
        <x:v>3156</x:v>
      </x:c>
      <x:c r="B2205" s="2" t="str">
        <x:v>15f0ac36c358311888de</x:v>
      </x:c>
      <x:c r="C2205" s="2" t="str">
        <x:v>Bình Dương</x:v>
      </x:c>
      <x:c r="D2205" s="2" t="str">
        <x:v>Thị xã Bến Cát</x:v>
      </x:c>
      <x:c r="E2205" s="2" t="str">
        <x:v>land</x:v>
      </x:c>
      <x:c r="F2205" s="2" t="str">
        <x:v>sale</x:v>
      </x:c>
      <x:c r="G2205" s="11" t="n">
        <x:v>262</x:v>
      </x:c>
      <x:c r="H2205" s="12" t="n">
        <x:v>1370000000</x:v>
      </x:c>
      <x:c r="I2205" s="12" t="n">
        <x:v>5229007.633587786</x:v>
      </x:c>
      <x:c r="J2205" s="2" t="str">
        <x:v>total</x:v>
      </x:c>
      <x:c r="K2205" s="2" t="str">
        <x:v>top_level_area</x:v>
      </x:c>
      <x:c r="L2205" s="2" t="str">
        <x:v>property_type_inferred_from_title</x:v>
      </x:c>
      <x:c r="M2205" s="10" t="n">
        <x:v>0</x:v>
      </x:c>
      <x:c r="N2205" s="10" t="n">
        <x:v>0</x:v>
      </x:c>
      <x:c r="O2205" s="2" t="str">
        <x:v>Bình Dương|land</x:v>
      </x:c>
      <x:c r="P2205" s="10" t="n">
        <x:v>1</x:v>
      </x:c>
      <x:c r="Q2205" s="13" t="n">
        <x:f>IF(H2205="","",H2205/1000000000)</x:f>
        <x:v>1.37</x:v>
      </x:c>
      <x:c r="R2205" s="13" t="n">
        <x:f>IF(I2205="","",I2205/1000000)</x:f>
        <x:v>5.229007633587786</x:v>
      </x:c>
    </x:row>
    <x:row r="2206" ht="21" customHeight="1">
      <x:c r="A2206" s="10" t="n">
        <x:v>3157</x:v>
      </x:c>
      <x:c r="B2206" s="2" t="str">
        <x:v>1d0b43c6671449e5996f</x:v>
      </x:c>
      <x:c r="C2206" s="2" t="str">
        <x:v>Tp Hồ Chí Minh</x:v>
      </x:c>
      <x:c r="D2206" s="2" t="str">
        <x:v>Quận Bình Tân</x:v>
      </x:c>
      <x:c r="E2206" s="2" t="str">
        <x:v>land</x:v>
      </x:c>
      <x:c r="F2206" s="2" t="str">
        <x:v>sale_assumed</x:v>
      </x:c>
      <x:c r="G2206" s="11" t="n">
        <x:v>95</x:v>
      </x:c>
      <x:c r="H2206" s="12" t="n">
        <x:v>3040000000</x:v>
      </x:c>
      <x:c r="I2206" s="12" t="n">
        <x:v>32000000</x:v>
      </x:c>
      <x:c r="J2206" s="2" t="str">
        <x:v>total</x:v>
      </x:c>
      <x:c r="K2206" s="2" t="str">
        <x:v>top_level_area</x:v>
      </x:c>
      <x:c r="L2206" s="2" t="str">
        <x:v>property_type_inferred_from_title;transaction_assumed_sale_from_dataset_context</x:v>
      </x:c>
      <x:c r="M2206" s="10" t="n">
        <x:v>0</x:v>
      </x:c>
      <x:c r="N2206" s="10" t="n">
        <x:v>0</x:v>
      </x:c>
      <x:c r="O2206" s="2" t="str">
        <x:v>Tp Hồ Chí Minh|land</x:v>
      </x:c>
      <x:c r="P2206" s="10" t="n">
        <x:v>2</x:v>
      </x:c>
      <x:c r="Q2206" s="13" t="n">
        <x:f>IF(H2206="","",H2206/1000000000)</x:f>
        <x:v>3.04</x:v>
      </x:c>
      <x:c r="R2206" s="13" t="n">
        <x:f>IF(I2206="","",I2206/1000000)</x:f>
        <x:v>32</x:v>
      </x:c>
    </x:row>
    <x:row r="2207" ht="21" customHeight="1">
      <x:c r="A2207" s="10" t="n">
        <x:v>3158</x:v>
      </x:c>
      <x:c r="B2207" s="2" t="str">
        <x:v>ca76a946491edabf361f</x:v>
      </x:c>
      <x:c r="C2207" s="2" t="str">
        <x:v>Đắk Lắk</x:v>
      </x:c>
      <x:c r="D2207" s="2" t="str">
        <x:v>Thành phố Buôn Ma Thuột</x:v>
      </x:c>
      <x:c r="E2207" s="2" t="str">
        <x:v>house</x:v>
      </x:c>
      <x:c r="F2207" s="2" t="str">
        <x:v>sale</x:v>
      </x:c>
      <x:c r="G2207" s="11" t="n">
        <x:v>187.5</x:v>
      </x:c>
      <x:c r="H2207" s="12" t="n">
        <x:v>2850000000</x:v>
      </x:c>
      <x:c r="I2207" s="12" t="n">
        <x:v>15200000</x:v>
      </x:c>
      <x:c r="J2207" s="2" t="str">
        <x:v>total</x:v>
      </x:c>
      <x:c r="K2207" s="2" t="str">
        <x:v>top_level_area</x:v>
      </x:c>
      <x:c r="L2207" s="2" t="str">
        <x:v>property_type_inferred_from_title</x:v>
      </x:c>
      <x:c r="M2207" s="10" t="n">
        <x:v>0</x:v>
      </x:c>
      <x:c r="N2207" s="10" t="n">
        <x:v>0</x:v>
      </x:c>
      <x:c r="O2207" s="2" t="str">
        <x:v>Đắk Lắk|house</x:v>
      </x:c>
      <x:c r="P2207" s="10" t="n">
        <x:v>2</x:v>
      </x:c>
      <x:c r="Q2207" s="13" t="n">
        <x:f>IF(H2207="","",H2207/1000000000)</x:f>
        <x:v>2.85</x:v>
      </x:c>
      <x:c r="R2207" s="13" t="n">
        <x:f>IF(I2207="","",I2207/1000000)</x:f>
        <x:v>15.2</x:v>
      </x:c>
    </x:row>
    <x:row r="2208" ht="21" customHeight="1">
      <x:c r="A2208" s="10" t="n">
        <x:v>3159</x:v>
      </x:c>
      <x:c r="B2208" s="2" t="str">
        <x:v>2390f360bb6a67917cfe</x:v>
      </x:c>
      <x:c r="C2208" s="2" t="str">
        <x:v>Tp Hồ Chí Minh</x:v>
      </x:c>
      <x:c r="D2208" s="2" t="str">
        <x:v>Quận Tân Bình</x:v>
      </x:c>
      <x:c r="E2208" s="2" t="str">
        <x:v>house</x:v>
      </x:c>
      <x:c r="F2208" s="2" t="str">
        <x:v>sale</x:v>
      </x:c>
      <x:c r="G2208" s="11" t="n">
        <x:v>86</x:v>
      </x:c>
      <x:c r="H2208" s="12" t="n">
        <x:v>16600000000.000002</x:v>
      </x:c>
      <x:c r="I2208" s="12" t="n">
        <x:v>193023255.81395352</x:v>
      </x:c>
      <x:c r="J2208" s="2" t="str">
        <x:v>total</x:v>
      </x:c>
      <x:c r="K2208" s="2" t="str">
        <x:v>top_level_price_embedded_area</x:v>
      </x:c>
      <x:c r="L2208" s="2" t="str">
        <x:v>area_recovered_from_price_text;property_type_inferred_from_title</x:v>
      </x:c>
      <x:c r="M2208" s="10" t="n">
        <x:v>1</x:v>
      </x:c>
      <x:c r="N2208" s="10" t="n">
        <x:v>0</x:v>
      </x:c>
      <x:c r="O2208" s="2" t="str">
        <x:v>Tp Hồ Chí Minh|house</x:v>
      </x:c>
      <x:c r="P2208" s="10" t="n">
        <x:v>2</x:v>
      </x:c>
      <x:c r="Q2208" s="13" t="n">
        <x:f>IF(H2208="","",H2208/1000000000)</x:f>
        <x:v>16.6</x:v>
      </x:c>
      <x:c r="R2208" s="13" t="n">
        <x:f>IF(I2208="","",I2208/1000000)</x:f>
        <x:v>193.0232558139535</x:v>
      </x:c>
    </x:row>
    <x:row r="2209" ht="21" customHeight="1">
      <x:c r="A2209" s="10" t="n">
        <x:v>3160</x:v>
      </x:c>
      <x:c r="B2209" s="2" t="str">
        <x:v>dc2cb565ba1d82c697d8</x:v>
      </x:c>
      <x:c r="C2209" s="2" t="str">
        <x:v>Tp Hồ Chí Minh</x:v>
      </x:c>
      <x:c r="D2209" s="2" t="str">
        <x:v>Quận Bình Thạnh</x:v>
      </x:c>
      <x:c r="E2209" s="2" t="str">
        <x:v>house</x:v>
      </x:c>
      <x:c r="F2209" s="2" t="str">
        <x:v>sale</x:v>
      </x:c>
      <x:c r="G2209" s="11" t="n">
        <x:v>60</x:v>
      </x:c>
      <x:c r="H2209" s="12" t="n">
        <x:v>1557000000</x:v>
      </x:c>
      <x:c r="I2209" s="12" t="n">
        <x:v>25950000</x:v>
      </x:c>
      <x:c r="J2209" s="2" t="str">
        <x:v>total</x:v>
      </x:c>
      <x:c r="K2209" s="2" t="str">
        <x:v>top_level_area</x:v>
      </x:c>
      <x:c r="L2209" s="2" t="str">
        <x:v>property_type_inferred_from_title</x:v>
      </x:c>
      <x:c r="M2209" s="10" t="n">
        <x:v>0</x:v>
      </x:c>
      <x:c r="N2209" s="10" t="n">
        <x:v>0</x:v>
      </x:c>
      <x:c r="O2209" s="2" t="str">
        <x:v>Tp Hồ Chí Minh|house</x:v>
      </x:c>
      <x:c r="P2209" s="10" t="n">
        <x:v>2</x:v>
      </x:c>
      <x:c r="Q2209" s="13" t="n">
        <x:f>IF(H2209="","",H2209/1000000000)</x:f>
        <x:v>1.557</x:v>
      </x:c>
      <x:c r="R2209" s="13" t="n">
        <x:f>IF(I2209="","",I2209/1000000)</x:f>
        <x:v>25.95</x:v>
      </x:c>
    </x:row>
    <x:row r="2210" ht="21" customHeight="1">
      <x:c r="A2210" s="10" t="n">
        <x:v>3161</x:v>
      </x:c>
      <x:c r="B2210" s="2" t="str">
        <x:v>72a8a5ae5e290284fa6a</x:v>
      </x:c>
      <x:c r="C2210" s="2" t="str">
        <x:v>Bình Dương</x:v>
      </x:c>
      <x:c r="D2210" s="2" t="str">
        <x:v>Thị xã Dĩ An</x:v>
      </x:c>
      <x:c r="E2210" s="2" t="str">
        <x:v>land</x:v>
      </x:c>
      <x:c r="F2210" s="2" t="str">
        <x:v>sale</x:v>
      </x:c>
      <x:c r="G2210" s="11" t="n">
        <x:v>1100</x:v>
      </x:c>
      <x:c r="H2210" s="12" t="n">
        <x:v>950000000</x:v>
      </x:c>
      <x:c r="I2210" s="12" t="n">
        <x:v>863636.3636363636</x:v>
      </x:c>
      <x:c r="J2210" s="2" t="str">
        <x:v>total</x:v>
      </x:c>
      <x:c r="K2210" s="2" t="str">
        <x:v>top_level_area</x:v>
      </x:c>
      <x:c r="L2210" s="2" t="str">
        <x:v>dot_thousands_convention;property_type_inferred_from_title</x:v>
      </x:c>
      <x:c r="M2210" s="10" t="n">
        <x:v>0</x:v>
      </x:c>
      <x:c r="N2210" s="10" t="n">
        <x:v>0</x:v>
      </x:c>
      <x:c r="O2210" s="2" t="str">
        <x:v>Bình Dương|land</x:v>
      </x:c>
      <x:c r="P2210" s="10" t="n">
        <x:v>1</x:v>
      </x:c>
      <x:c r="Q2210" s="13" t="n">
        <x:f>IF(H2210="","",H2210/1000000000)</x:f>
        <x:v>0.95</x:v>
      </x:c>
      <x:c r="R2210" s="13" t="n">
        <x:f>IF(I2210="","",I2210/1000000)</x:f>
        <x:v>0.8636363636363636</x:v>
      </x:c>
    </x:row>
    <x:row r="2211" ht="21" customHeight="1">
      <x:c r="A2211" s="10" t="n">
        <x:v>3162</x:v>
      </x:c>
      <x:c r="B2211" s="2" t="str">
        <x:v>81f042b0498786aa6773</x:v>
      </x:c>
      <x:c r="C2211" s="2" t="str">
        <x:v>Bình Dương</x:v>
      </x:c>
      <x:c r="D2211" s="2" t="str">
        <x:v>Thị xã Dĩ An</x:v>
      </x:c>
      <x:c r="E2211" s="2" t="str">
        <x:v>apartment</x:v>
      </x:c>
      <x:c r="F2211" s="2" t="str">
        <x:v>sale_assumed</x:v>
      </x:c>
      <x:c r="G2211" s="11" t="n">
        <x:v>51</x:v>
      </x:c>
      <x:c r="H2211" s="12" t="n">
        <x:v>1550000000</x:v>
      </x:c>
      <x:c r="I2211" s="12" t="n">
        <x:v>30392156.8627451</x:v>
      </x:c>
      <x:c r="J2211" s="2" t="str">
        <x:v>total</x:v>
      </x:c>
      <x:c r="K2211" s="2" t="str">
        <x:v>top_level_area</x:v>
      </x:c>
      <x:c r="L2211" s="2" t="str">
        <x:v>property_type_inferred_from_title;transaction_assumed_sale_from_dataset_context</x:v>
      </x:c>
      <x:c r="M2211" s="10" t="n">
        <x:v>0</x:v>
      </x:c>
      <x:c r="N2211" s="10" t="n">
        <x:v>0</x:v>
      </x:c>
      <x:c r="O2211" s="2" t="str">
        <x:v>Bình Dương|apartment</x:v>
      </x:c>
      <x:c r="P2211" s="10" t="n">
        <x:v>2</x:v>
      </x:c>
      <x:c r="Q2211" s="13" t="n">
        <x:f>IF(H2211="","",H2211/1000000000)</x:f>
        <x:v>1.55</x:v>
      </x:c>
      <x:c r="R2211" s="13" t="n">
        <x:f>IF(I2211="","",I2211/1000000)</x:f>
        <x:v>30.3921568627451</x:v>
      </x:c>
    </x:row>
    <x:row r="2212" ht="21" customHeight="1">
      <x:c r="A2212" s="10" t="n">
        <x:v>3163</x:v>
      </x:c>
      <x:c r="B2212" s="2" t="str">
        <x:v>87eba15fe746a7551fe1</x:v>
      </x:c>
      <x:c r="C2212" s="2" t="str">
        <x:v>Tp Hồ Chí Minh</x:v>
      </x:c>
      <x:c r="D2212" s="2" t="str">
        <x:v>Quận 7</x:v>
      </x:c>
      <x:c r="E2212" s="2" t="str">
        <x:v>house</x:v>
      </x:c>
      <x:c r="F2212" s="2" t="str">
        <x:v>sale</x:v>
      </x:c>
      <x:c r="G2212" s="11" t="n">
        <x:v>63</x:v>
      </x:c>
      <x:c r="H2212" s="12" t="n">
        <x:v>1620000000</x:v>
      </x:c>
      <x:c r="I2212" s="12" t="n">
        <x:v>25714285.714285713</x:v>
      </x:c>
      <x:c r="J2212" s="2" t="str">
        <x:v>total</x:v>
      </x:c>
      <x:c r="K2212" s="2" t="str">
        <x:v>top_level_area</x:v>
      </x:c>
      <x:c r="L2212" s="2" t="str">
        <x:v>property_type_inferred_from_title</x:v>
      </x:c>
      <x:c r="M2212" s="10" t="n">
        <x:v>0</x:v>
      </x:c>
      <x:c r="N2212" s="10" t="n">
        <x:v>0</x:v>
      </x:c>
      <x:c r="O2212" s="2" t="str">
        <x:v>Tp Hồ Chí Minh|house</x:v>
      </x:c>
      <x:c r="P2212" s="10" t="n">
        <x:v>2</x:v>
      </x:c>
      <x:c r="Q2212" s="13" t="n">
        <x:f>IF(H2212="","",H2212/1000000000)</x:f>
        <x:v>1.62</x:v>
      </x:c>
      <x:c r="R2212" s="13" t="n">
        <x:f>IF(I2212="","",I2212/1000000)</x:f>
        <x:v>25.71428571428571</x:v>
      </x:c>
    </x:row>
    <x:row r="2213" ht="21" customHeight="1">
      <x:c r="A2213" s="10" t="n">
        <x:v>3164</x:v>
      </x:c>
      <x:c r="B2213" s="2" t="str">
        <x:v>e39892e57e4fe3d1290e</x:v>
      </x:c>
      <x:c r="C2213" s="2" t="str">
        <x:v>Đồng Nai</x:v>
      </x:c>
      <x:c r="D2213" s="2" t="str">
        <x:v>Thành phố Biên Hòa</x:v>
      </x:c>
      <x:c r="E2213" s="2" t="str">
        <x:v>house</x:v>
      </x:c>
      <x:c r="F2213" s="2" t="str">
        <x:v>sale</x:v>
      </x:c>
      <x:c r="G2213" s="11" t="n">
        <x:v>100</x:v>
      </x:c>
      <x:c r="H2213" s="12" t="n">
        <x:v>1200000000</x:v>
      </x:c>
      <x:c r="I2213" s="12" t="n">
        <x:v>12000000</x:v>
      </x:c>
      <x:c r="J2213" s="2" t="str">
        <x:v>total</x:v>
      </x:c>
      <x:c r="K2213" s="2" t="str">
        <x:v>top_level_area</x:v>
      </x:c>
      <x:c r="L2213" s="2" t="str">
        <x:v>property_type_inferred_from_title</x:v>
      </x:c>
      <x:c r="M2213" s="10" t="n">
        <x:v>0</x:v>
      </x:c>
      <x:c r="N2213" s="10" t="n">
        <x:v>0</x:v>
      </x:c>
      <x:c r="O2213" s="2" t="str">
        <x:v>Đồng Nai|house</x:v>
      </x:c>
      <x:c r="P2213" s="10" t="n">
        <x:v>2</x:v>
      </x:c>
      <x:c r="Q2213" s="13" t="n">
        <x:f>IF(H2213="","",H2213/1000000000)</x:f>
        <x:v>1.2</x:v>
      </x:c>
      <x:c r="R2213" s="13" t="n">
        <x:f>IF(I2213="","",I2213/1000000)</x:f>
        <x:v>12</x:v>
      </x:c>
    </x:row>
    <x:row r="2214" ht="21" customHeight="1">
      <x:c r="A2214" s="10" t="n">
        <x:v>3165</x:v>
      </x:c>
      <x:c r="B2214" s="2" t="str">
        <x:v>86a9d800f03a9be81a22</x:v>
      </x:c>
      <x:c r="C2214" s="2" t="str">
        <x:v>Đồng Nai</x:v>
      </x:c>
      <x:c r="D2214" s="2" t="str">
        <x:v>Huyện Trảng Bom</x:v>
      </x:c>
      <x:c r="E2214" s="2" t="str">
        <x:v>land</x:v>
      </x:c>
      <x:c r="F2214" s="2" t="str">
        <x:v>sale</x:v>
      </x:c>
      <x:c r="G2214" s="11" t="n">
        <x:v>110</x:v>
      </x:c>
      <x:c r="H2214" s="12" t="n">
        <x:v>250000000</x:v>
      </x:c>
      <x:c r="I2214" s="12" t="n">
        <x:v>2272727.272727273</x:v>
      </x:c>
      <x:c r="J2214" s="2" t="str">
        <x:v>total</x:v>
      </x:c>
      <x:c r="K2214" s="2" t="str">
        <x:v>top_level_area</x:v>
      </x:c>
      <x:c r="L2214" s="2" t="str">
        <x:v>property_type_inferred_from_title</x:v>
      </x:c>
      <x:c r="M2214" s="10" t="n">
        <x:v>0</x:v>
      </x:c>
      <x:c r="N2214" s="10" t="n">
        <x:v>0</x:v>
      </x:c>
      <x:c r="O2214" s="2" t="str">
        <x:v>Đồng Nai|land</x:v>
      </x:c>
      <x:c r="P2214" s="10" t="n">
        <x:v>1</x:v>
      </x:c>
      <x:c r="Q2214" s="13" t="n">
        <x:f>IF(H2214="","",H2214/1000000000)</x:f>
        <x:v>0.25</x:v>
      </x:c>
      <x:c r="R2214" s="13" t="n">
        <x:f>IF(I2214="","",I2214/1000000)</x:f>
        <x:v>2.272727272727273</x:v>
      </x:c>
    </x:row>
    <x:row r="2215" ht="21" customHeight="1">
      <x:c r="A2215" s="10" t="n">
        <x:v>3166</x:v>
      </x:c>
      <x:c r="B2215" s="2" t="str">
        <x:v>1486faeccf12175a8f92</x:v>
      </x:c>
      <x:c r="C2215" s="2" t="str">
        <x:v>Tp Hồ Chí Minh</x:v>
      </x:c>
      <x:c r="D2215" s="2" t="str">
        <x:v>Quận Tân Phú</x:v>
      </x:c>
      <x:c r="E2215" s="2" t="str">
        <x:v>house</x:v>
      </x:c>
      <x:c r="F2215" s="2" t="str">
        <x:v>sale</x:v>
      </x:c>
      <x:c r="G2215" s="11" t="n">
        <x:v>60</x:v>
      </x:c>
      <x:c r="H2215" s="12" t="n">
        <x:v>6300000000</x:v>
      </x:c>
      <x:c r="I2215" s="12" t="n">
        <x:v>105000000</x:v>
      </x:c>
      <x:c r="J2215" s="2" t="str">
        <x:v>total</x:v>
      </x:c>
      <x:c r="K2215" s="2" t="str">
        <x:v>top_level_price_embedded_area</x:v>
      </x:c>
      <x:c r="L2215" s="2" t="str">
        <x:v>area_recovered_from_price_text;property_type_inferred_from_title</x:v>
      </x:c>
      <x:c r="M2215" s="10" t="n">
        <x:v>0</x:v>
      </x:c>
      <x:c r="N2215" s="10" t="n">
        <x:v>0</x:v>
      </x:c>
      <x:c r="O2215" s="2" t="str">
        <x:v>Tp Hồ Chí Minh|house</x:v>
      </x:c>
      <x:c r="P2215" s="10" t="n">
        <x:v>2</x:v>
      </x:c>
      <x:c r="Q2215" s="13" t="n">
        <x:f>IF(H2215="","",H2215/1000000000)</x:f>
        <x:v>6.3</x:v>
      </x:c>
      <x:c r="R2215" s="13" t="n">
        <x:f>IF(I2215="","",I2215/1000000)</x:f>
        <x:v>105</x:v>
      </x:c>
    </x:row>
    <x:row r="2216" ht="21" customHeight="1">
      <x:c r="A2216" s="10" t="n">
        <x:v>3169</x:v>
      </x:c>
      <x:c r="B2216" s="2" t="str">
        <x:v>4c13fa057acad3757458</x:v>
      </x:c>
      <x:c r="C2216" s="2" t="str">
        <x:v>Tp Hồ Chí Minh</x:v>
      </x:c>
      <x:c r="D2216" s="2" t="str">
        <x:v>Quận 7</x:v>
      </x:c>
      <x:c r="E2216" s="2" t="str">
        <x:v>house</x:v>
      </x:c>
      <x:c r="F2216" s="2" t="str">
        <x:v>sale</x:v>
      </x:c>
      <x:c r="G2216" s="11" t="n">
        <x:v>128</x:v>
      </x:c>
      <x:c r="H2216" s="12" t="n">
        <x:v>1800000000</x:v>
      </x:c>
      <x:c r="I2216" s="12" t="n">
        <x:v>14062500</x:v>
      </x:c>
      <x:c r="J2216" s="2" t="str">
        <x:v>total</x:v>
      </x:c>
      <x:c r="K2216" s="2" t="str">
        <x:v>top_level_area</x:v>
      </x:c>
      <x:c r="L2216" s="2" t="str">
        <x:v>property_type_inferred_from_title</x:v>
      </x:c>
      <x:c r="M2216" s="10" t="n">
        <x:v>0</x:v>
      </x:c>
      <x:c r="N2216" s="10" t="n">
        <x:v>0</x:v>
      </x:c>
      <x:c r="O2216" s="2" t="str">
        <x:v>Tp Hồ Chí Minh|house</x:v>
      </x:c>
      <x:c r="P2216" s="10" t="n">
        <x:v>2</x:v>
      </x:c>
      <x:c r="Q2216" s="13" t="n">
        <x:f>IF(H2216="","",H2216/1000000000)</x:f>
        <x:v>1.8</x:v>
      </x:c>
      <x:c r="R2216" s="13" t="n">
        <x:f>IF(I2216="","",I2216/1000000)</x:f>
        <x:v>14.0625</x:v>
      </x:c>
    </x:row>
    <x:row r="2217" ht="21" customHeight="1">
      <x:c r="A2217" s="10" t="n">
        <x:v>3170</x:v>
      </x:c>
      <x:c r="B2217" s="2" t="str">
        <x:v>97d51d415a8f8f4f40e9</x:v>
      </x:c>
      <x:c r="C2217" s="2" t="str">
        <x:v>Bình Phước</x:v>
      </x:c>
      <x:c r="D2217" s="2" t="str">
        <x:v>Thị xã Bình Long</x:v>
      </x:c>
      <x:c r="E2217" s="2" t="str">
        <x:v>land</x:v>
      </x:c>
      <x:c r="F2217" s="2" t="str">
        <x:v>sale_assumed</x:v>
      </x:c>
      <x:c r="G2217" s="11" t="n">
        <x:v>1200</x:v>
      </x:c>
      <x:c r="H2217" s="12" t="n">
        <x:v>250000000</x:v>
      </x:c>
      <x:c r="I2217" s="12" t="n">
        <x:v>208333.33333333334</x:v>
      </x:c>
      <x:c r="J2217" s="2" t="str">
        <x:v>total</x:v>
      </x:c>
      <x:c r="K2217" s="2" t="str">
        <x:v>top_level_area</x:v>
      </x:c>
      <x:c r="L2217" s="2" t="str">
        <x:v>dot_thousands_convention;property_type_inferred_from_title;transaction_assumed_sale_from_dataset_context</x:v>
      </x:c>
      <x:c r="M2217" s="10" t="n">
        <x:v>0</x:v>
      </x:c>
      <x:c r="N2217" s="10" t="n">
        <x:v>0</x:v>
      </x:c>
      <x:c r="O2217" s="2" t="str">
        <x:v>Bình Phước|land</x:v>
      </x:c>
      <x:c r="P2217" s="10" t="n">
        <x:v>1</x:v>
      </x:c>
      <x:c r="Q2217" s="13" t="n">
        <x:f>IF(H2217="","",H2217/1000000000)</x:f>
        <x:v>0.25</x:v>
      </x:c>
      <x:c r="R2217" s="13" t="n">
        <x:f>IF(I2217="","",I2217/1000000)</x:f>
        <x:v>0.20833333333333334</x:v>
      </x:c>
    </x:row>
    <x:row r="2218" ht="21" customHeight="1">
      <x:c r="A2218" s="10" t="n">
        <x:v>3171</x:v>
      </x:c>
      <x:c r="B2218" s="2" t="str">
        <x:v>c1746f986f6ff938062d</x:v>
      </x:c>
      <x:c r="C2218" s="2" t="str">
        <x:v>Tp Hồ Chí Minh</x:v>
      </x:c>
      <x:c r="D2218" s="2" t="str">
        <x:v>Quận 9</x:v>
      </x:c>
      <x:c r="E2218" s="2" t="str">
        <x:v>other_unknown</x:v>
      </x:c>
      <x:c r="F2218" s="2" t="str">
        <x:v>sale_assumed</x:v>
      </x:c>
      <x:c r="G2218" s="11" t="n">
        <x:v>52</x:v>
      </x:c>
      <x:c r="H2218" s="12" t="n">
        <x:v>2630000000</x:v>
      </x:c>
      <x:c r="I2218" s="12" t="n">
        <x:v>50576923.07692308</x:v>
      </x:c>
      <x:c r="J2218" s="2" t="str">
        <x:v>total</x:v>
      </x:c>
      <x:c r="K2218" s="2" t="str">
        <x:v>top_level_area</x:v>
      </x:c>
      <x:c r="L2218" s="2" t="str">
        <x:v>property_type_inferred_from_title;transaction_assumed_sale_from_dataset_context;unknown_property_type</x:v>
      </x:c>
      <x:c r="M2218" s="10" t="n">
        <x:v>0</x:v>
      </x:c>
      <x:c r="N2218" s="10" t="n">
        <x:v>0</x:v>
      </x:c>
      <x:c r="O2218" s="2" t="str">
        <x:v>Tp Hồ Chí Minh|other_unknown</x:v>
      </x:c>
      <x:c r="P2218" s="10" t="n">
        <x:v>2</x:v>
      </x:c>
      <x:c r="Q2218" s="13" t="n">
        <x:f>IF(H2218="","",H2218/1000000000)</x:f>
        <x:v>2.63</x:v>
      </x:c>
      <x:c r="R2218" s="13" t="n">
        <x:f>IF(I2218="","",I2218/1000000)</x:f>
        <x:v>50.57692307692308</x:v>
      </x:c>
    </x:row>
    <x:row r="2219" ht="21" customHeight="1">
      <x:c r="A2219" s="10" t="n">
        <x:v>3172</x:v>
      </x:c>
      <x:c r="B2219" s="2" t="str">
        <x:v>cc91a79b9c9a0eb06689</x:v>
      </x:c>
      <x:c r="C2219" s="2" t="str">
        <x:v>Tp Hồ Chí Minh</x:v>
      </x:c>
      <x:c r="D2219" s="2" t="str">
        <x:v>Huyện Nhà Bè</x:v>
      </x:c>
      <x:c r="E2219" s="2" t="str">
        <x:v>land</x:v>
      </x:c>
      <x:c r="F2219" s="2" t="str">
        <x:v>sale_assumed</x:v>
      </x:c>
      <x:c r="G2219" s="11" t="n">
        <x:v>96</x:v>
      </x:c>
      <x:c r="H2219" s="12" t="n">
        <x:v>2500000000</x:v>
      </x:c>
      <x:c r="I2219" s="12" t="n">
        <x:v>26041666.666666668</x:v>
      </x:c>
      <x:c r="J2219" s="2" t="str">
        <x:v>total</x:v>
      </x:c>
      <x:c r="K2219" s="2" t="str">
        <x:v>top_level_area</x:v>
      </x:c>
      <x:c r="L2219" s="2" t="str">
        <x:v>property_type_inferred_from_title;transaction_assumed_sale_from_dataset_context</x:v>
      </x:c>
      <x:c r="M2219" s="10" t="n">
        <x:v>0</x:v>
      </x:c>
      <x:c r="N2219" s="10" t="n">
        <x:v>0</x:v>
      </x:c>
      <x:c r="O2219" s="2" t="str">
        <x:v>Tp Hồ Chí Minh|land</x:v>
      </x:c>
      <x:c r="P2219" s="10" t="n">
        <x:v>2</x:v>
      </x:c>
      <x:c r="Q2219" s="13" t="n">
        <x:f>IF(H2219="","",H2219/1000000000)</x:f>
        <x:v>2.5</x:v>
      </x:c>
      <x:c r="R2219" s="13" t="n">
        <x:f>IF(I2219="","",I2219/1000000)</x:f>
        <x:v>26.041666666666668</x:v>
      </x:c>
    </x:row>
    <x:row r="2220" ht="21" customHeight="1">
      <x:c r="A2220" s="10" t="n">
        <x:v>3173</x:v>
      </x:c>
      <x:c r="B2220" s="2" t="str">
        <x:v>9becac2209b84460fcb6</x:v>
      </x:c>
      <x:c r="C2220" s="2" t="str">
        <x:v>Tp Hồ Chí Minh</x:v>
      </x:c>
      <x:c r="D2220" s="2" t="str">
        <x:v>Quận Tân Bình</x:v>
      </x:c>
      <x:c r="E2220" s="2" t="str">
        <x:v>house</x:v>
      </x:c>
      <x:c r="F2220" s="2" t="str">
        <x:v>sale_assumed</x:v>
      </x:c>
      <x:c r="G2220" s="11" t="n">
        <x:v>104</x:v>
      </x:c>
      <x:c r="H2220" s="12" t="n">
        <x:v>33000000000</x:v>
      </x:c>
      <x:c r="I2220" s="12" t="n">
        <x:v>317307692.3076923</x:v>
      </x:c>
      <x:c r="J2220" s="2" t="str">
        <x:v>total</x:v>
      </x:c>
      <x:c r="K2220" s="2" t="str">
        <x:v>top_level_area</x:v>
      </x:c>
      <x:c r="L2220" s="2" t="str">
        <x:v>property_type_inferred_from_title;transaction_assumed_sale_from_dataset_context</x:v>
      </x:c>
      <x:c r="M2220" s="10" t="n">
        <x:v>1</x:v>
      </x:c>
      <x:c r="N2220" s="10" t="n">
        <x:v>1</x:v>
      </x:c>
      <x:c r="O2220" s="2" t="str">
        <x:v>Tp Hồ Chí Minh|house</x:v>
      </x:c>
      <x:c r="P2220" s="10" t="n">
        <x:v>-1</x:v>
      </x:c>
      <x:c r="Q2220" s="13" t="n">
        <x:f>IF(H2220="","",H2220/1000000000)</x:f>
        <x:v>33</x:v>
      </x:c>
      <x:c r="R2220" s="13" t="n">
        <x:f>IF(I2220="","",I2220/1000000)</x:f>
        <x:v>317.30769230769226</x:v>
      </x:c>
    </x:row>
    <x:row r="2221" ht="21" customHeight="1">
      <x:c r="A2221" s="10" t="n">
        <x:v>3174</x:v>
      </x:c>
      <x:c r="B2221" s="2" t="str">
        <x:v>9b7bc578168153393378</x:v>
      </x:c>
      <x:c r="C2221" s="2" t="str">
        <x:v>Tp Hồ Chí Minh</x:v>
      </x:c>
      <x:c r="D2221" s="2" t="str">
        <x:v>Quận Bình Thạnh</x:v>
      </x:c>
      <x:c r="E2221" s="2" t="str">
        <x:v>house</x:v>
      </x:c>
      <x:c r="F2221" s="2" t="str">
        <x:v>sale_assumed</x:v>
      </x:c>
      <x:c r="G2221" s="11" t="n">
        <x:v>68</x:v>
      </x:c>
      <x:c r="H2221" s="12" t="n">
        <x:v>1100000000</x:v>
      </x:c>
      <x:c r="I2221" s="12" t="n">
        <x:v>16176470.588235294</x:v>
      </x:c>
      <x:c r="J2221" s="2" t="str">
        <x:v>total</x:v>
      </x:c>
      <x:c r="K2221" s="2" t="str">
        <x:v>top_level_area</x:v>
      </x:c>
      <x:c r="L2221" s="2" t="str">
        <x:v>property_type_inferred_from_title;transaction_assumed_sale_from_dataset_context</x:v>
      </x:c>
      <x:c r="M2221" s="10" t="n">
        <x:v>0</x:v>
      </x:c>
      <x:c r="N2221" s="10" t="n">
        <x:v>0</x:v>
      </x:c>
      <x:c r="O2221" s="2" t="str">
        <x:v>Tp Hồ Chí Minh|house</x:v>
      </x:c>
      <x:c r="P2221" s="10" t="n">
        <x:v>2</x:v>
      </x:c>
      <x:c r="Q2221" s="13" t="n">
        <x:f>IF(H2221="","",H2221/1000000000)</x:f>
        <x:v>1.1</x:v>
      </x:c>
      <x:c r="R2221" s="13" t="n">
        <x:f>IF(I2221="","",I2221/1000000)</x:f>
        <x:v>16.176470588235293</x:v>
      </x:c>
    </x:row>
    <x:row r="2222" ht="21" customHeight="1">
      <x:c r="A2222" s="10" t="n">
        <x:v>3175</x:v>
      </x:c>
      <x:c r="B2222" s="2" t="str">
        <x:v>6a236004d2767363b791</x:v>
      </x:c>
      <x:c r="C2222" s="2" t="str">
        <x:v>Tp Hồ Chí Minh</x:v>
      </x:c>
      <x:c r="D2222" s="2" t="str">
        <x:v>Quận Bình Thạnh</x:v>
      </x:c>
      <x:c r="E2222" s="2" t="str">
        <x:v>other_unknown</x:v>
      </x:c>
      <x:c r="F2222" s="2" t="str">
        <x:v>sale_assumed</x:v>
      </x:c>
      <x:c r="G2222" s="11" t="n">
        <x:v>53</x:v>
      </x:c>
      <x:c r="H2222" s="12" t="n">
        <x:v>6150000000</x:v>
      </x:c>
      <x:c r="I2222" s="12" t="n">
        <x:v>116037735.8490566</x:v>
      </x:c>
      <x:c r="J2222" s="2" t="str">
        <x:v>total</x:v>
      </x:c>
      <x:c r="K2222" s="2" t="str">
        <x:v>top_level_area</x:v>
      </x:c>
      <x:c r="L2222" s="2" t="str">
        <x:v>property_type_inferred_from_title;transaction_assumed_sale_from_dataset_context;unknown_property_type</x:v>
      </x:c>
      <x:c r="M2222" s="10" t="n">
        <x:v>0</x:v>
      </x:c>
      <x:c r="N2222" s="10" t="n">
        <x:v>0</x:v>
      </x:c>
      <x:c r="O2222" s="2" t="str">
        <x:v>Tp Hồ Chí Minh|other_unknown</x:v>
      </x:c>
      <x:c r="P2222" s="10" t="n">
        <x:v>2</x:v>
      </x:c>
      <x:c r="Q2222" s="13" t="n">
        <x:f>IF(H2222="","",H2222/1000000000)</x:f>
        <x:v>6.15</x:v>
      </x:c>
      <x:c r="R2222" s="13" t="n">
        <x:f>IF(I2222="","",I2222/1000000)</x:f>
        <x:v>116.0377358490566</x:v>
      </x:c>
    </x:row>
    <x:row r="2223" ht="21" customHeight="1">
      <x:c r="A2223" s="10" t="n">
        <x:v>3176</x:v>
      </x:c>
      <x:c r="B2223" s="2" t="str">
        <x:v>c911475007161dc25296</x:v>
      </x:c>
      <x:c r="C2223" s="2" t="str">
        <x:v>Đồng Nai</x:v>
      </x:c>
      <x:c r="D2223" s="2" t="str">
        <x:v>Thành phố Biên Hòa</x:v>
      </x:c>
      <x:c r="E2223" s="2" t="str">
        <x:v>other_unknown</x:v>
      </x:c>
      <x:c r="F2223" s="2" t="str">
        <x:v>sale_assumed</x:v>
      </x:c>
      <x:c r="G2223" s="11" t="n">
        <x:v>100</x:v>
      </x:c>
      <x:c r="H2223" s="12" t="n">
        <x:v>700000000</x:v>
      </x:c>
      <x:c r="I2223" s="12" t="n">
        <x:v>7000000</x:v>
      </x:c>
      <x:c r="J2223" s="2" t="str">
        <x:v>total</x:v>
      </x:c>
      <x:c r="K2223" s="2" t="str">
        <x:v>top_level_area</x:v>
      </x:c>
      <x:c r="L2223" s="2" t="str">
        <x:v>property_type_inferred_from_title;transaction_assumed_sale_from_dataset_context;unknown_property_type</x:v>
      </x:c>
      <x:c r="M2223" s="10" t="n">
        <x:v>0</x:v>
      </x:c>
      <x:c r="N2223" s="10" t="n">
        <x:v>0</x:v>
      </x:c>
      <x:c r="O2223" s="2" t="str">
        <x:v>Đồng Nai|other_unknown</x:v>
      </x:c>
      <x:c r="P2223" s="10" t="n">
        <x:v>2</x:v>
      </x:c>
      <x:c r="Q2223" s="13" t="n">
        <x:f>IF(H2223="","",H2223/1000000000)</x:f>
        <x:v>0.7</x:v>
      </x:c>
      <x:c r="R2223" s="13" t="n">
        <x:f>IF(I2223="","",I2223/1000000)</x:f>
        <x:v>7</x:v>
      </x:c>
    </x:row>
    <x:row r="2224" ht="21" customHeight="1">
      <x:c r="A2224" s="10" t="n">
        <x:v>3177</x:v>
      </x:c>
      <x:c r="B2224" s="2" t="str">
        <x:v>0f8a926591691212dda9</x:v>
      </x:c>
      <x:c r="C2224" s="2" t="str">
        <x:v>Tp Hồ Chí Minh</x:v>
      </x:c>
      <x:c r="D2224" s="2" t="str">
        <x:v>Quận 7</x:v>
      </x:c>
      <x:c r="E2224" s="2" t="str">
        <x:v>house</x:v>
      </x:c>
      <x:c r="F2224" s="2" t="str">
        <x:v>sale</x:v>
      </x:c>
      <x:c r="G2224" s="11" t="n">
        <x:v>65</x:v>
      </x:c>
      <x:c r="H2224" s="12" t="n">
        <x:v>1350000000</x:v>
      </x:c>
      <x:c r="I2224" s="12" t="n">
        <x:v>20769230.769230768</x:v>
      </x:c>
      <x:c r="J2224" s="2" t="str">
        <x:v>total</x:v>
      </x:c>
      <x:c r="K2224" s="2" t="str">
        <x:v>top_level_area</x:v>
      </x:c>
      <x:c r="L2224" s="2" t="str">
        <x:v>property_type_inferred_from_title</x:v>
      </x:c>
      <x:c r="M2224" s="10" t="n">
        <x:v>0</x:v>
      </x:c>
      <x:c r="N2224" s="10" t="n">
        <x:v>0</x:v>
      </x:c>
      <x:c r="O2224" s="2" t="str">
        <x:v>Tp Hồ Chí Minh|house</x:v>
      </x:c>
      <x:c r="P2224" s="10" t="n">
        <x:v>2</x:v>
      </x:c>
      <x:c r="Q2224" s="13" t="n">
        <x:f>IF(H2224="","",H2224/1000000000)</x:f>
        <x:v>1.35</x:v>
      </x:c>
      <x:c r="R2224" s="13" t="n">
        <x:f>IF(I2224="","",I2224/1000000)</x:f>
        <x:v>20.769230769230766</x:v>
      </x:c>
    </x:row>
    <x:row r="2225" ht="21" customHeight="1">
      <x:c r="A2225" s="10" t="n">
        <x:v>3178</x:v>
      </x:c>
      <x:c r="B2225" s="2" t="str">
        <x:v>d43cbd34dbcf3407b225</x:v>
      </x:c>
      <x:c r="C2225" s="2" t="str">
        <x:v>Tp Hồ Chí Minh</x:v>
      </x:c>
      <x:c r="D2225" s="2" t="str">
        <x:v>Quận Tân Bình</x:v>
      </x:c>
      <x:c r="E2225" s="2" t="str">
        <x:v>apartment</x:v>
      </x:c>
      <x:c r="F2225" s="2" t="str">
        <x:v>sale_assumed</x:v>
      </x:c>
      <x:c r="G2225" s="11" t="n">
        <x:v>36</x:v>
      </x:c>
      <x:c r="H2225" s="12" t="n">
        <x:v>860000000</x:v>
      </x:c>
      <x:c r="I2225" s="12" t="n">
        <x:v>23888888.888888888</x:v>
      </x:c>
      <x:c r="J2225" s="2" t="str">
        <x:v>total</x:v>
      </x:c>
      <x:c r="K2225" s="2" t="str">
        <x:v>top_level_area</x:v>
      </x:c>
      <x:c r="L2225" s="2" t="str">
        <x:v>property_type_inferred_from_title;transaction_assumed_sale_from_dataset_context</x:v>
      </x:c>
      <x:c r="M2225" s="10" t="n">
        <x:v>0</x:v>
      </x:c>
      <x:c r="N2225" s="10" t="n">
        <x:v>0</x:v>
      </x:c>
      <x:c r="O2225" s="2" t="str">
        <x:v>Tp Hồ Chí Minh|apartment</x:v>
      </x:c>
      <x:c r="P2225" s="10" t="n">
        <x:v>2</x:v>
      </x:c>
      <x:c r="Q2225" s="13" t="n">
        <x:f>IF(H2225="","",H2225/1000000000)</x:f>
        <x:v>0.86</x:v>
      </x:c>
      <x:c r="R2225" s="13" t="n">
        <x:f>IF(I2225="","",I2225/1000000)</x:f>
        <x:v>23.88888888888889</x:v>
      </x:c>
    </x:row>
    <x:row r="2226" ht="21" customHeight="1">
      <x:c r="A2226" s="10" t="n">
        <x:v>3179</x:v>
      </x:c>
      <x:c r="B2226" s="2" t="str">
        <x:v>b2184bcdd377ca209bf5</x:v>
      </x:c>
      <x:c r="C2226" s="2" t="str">
        <x:v>Bà Rịa - Vũng Tàu</x:v>
      </x:c>
      <x:c r="D2226" s="2" t="str">
        <x:v>Thị xã Phú Mỹ</x:v>
      </x:c>
      <x:c r="E2226" s="2" t="str">
        <x:v>land</x:v>
      </x:c>
      <x:c r="F2226" s="2" t="str">
        <x:v>sale_assumed</x:v>
      </x:c>
      <x:c r="G2226" s="11" t="n">
        <x:v>120</x:v>
      </x:c>
      <x:c r="H2226" s="12" t="n">
        <x:v>790000000</x:v>
      </x:c>
      <x:c r="I2226" s="12" t="n">
        <x:v>6583333.333333333</x:v>
      </x:c>
      <x:c r="J2226" s="2" t="str">
        <x:v>total</x:v>
      </x:c>
      <x:c r="K2226" s="2" t="str">
        <x:v>top_level_area</x:v>
      </x:c>
      <x:c r="L2226" s="2" t="str">
        <x:v>property_type_inferred_from_title;transaction_assumed_sale_from_dataset_context</x:v>
      </x:c>
      <x:c r="M2226" s="10" t="n">
        <x:v>0</x:v>
      </x:c>
      <x:c r="N2226" s="10" t="n">
        <x:v>0</x:v>
      </x:c>
      <x:c r="O2226" s="2" t="str">
        <x:v>Bà Rịa - Vũng Tàu|land</x:v>
      </x:c>
      <x:c r="P2226" s="10" t="n">
        <x:v>2</x:v>
      </x:c>
      <x:c r="Q2226" s="13" t="n">
        <x:f>IF(H2226="","",H2226/1000000000)</x:f>
        <x:v>0.79</x:v>
      </x:c>
      <x:c r="R2226" s="13" t="n">
        <x:f>IF(I2226="","",I2226/1000000)</x:f>
        <x:v>6.583333333333333</x:v>
      </x:c>
    </x:row>
    <x:row r="2227" ht="21" customHeight="1">
      <x:c r="A2227" s="10" t="n">
        <x:v>3180</x:v>
      </x:c>
      <x:c r="B2227" s="2" t="str">
        <x:v>7f6c0e6ed6a5a76e5ac8</x:v>
      </x:c>
      <x:c r="C2227" s="2" t="str">
        <x:v>Long An</x:v>
      </x:c>
      <x:c r="D2227" s="2" t="str">
        <x:v>Huyện Đức Hòa</x:v>
      </x:c>
      <x:c r="E2227" s="2" t="str">
        <x:v>land</x:v>
      </x:c>
      <x:c r="F2227" s="2" t="str">
        <x:v>sale_assumed</x:v>
      </x:c>
      <x:c r="G2227" s="11" t="n">
        <x:v>145</x:v>
      </x:c>
      <x:c r="H2227" s="12" t="n">
        <x:v>770000000</x:v>
      </x:c>
      <x:c r="I2227" s="12" t="n">
        <x:v>5310344.827586207</x:v>
      </x:c>
      <x:c r="J2227" s="2" t="str">
        <x:v>total</x:v>
      </x:c>
      <x:c r="K2227" s="2" t="str">
        <x:v>top_level_area</x:v>
      </x:c>
      <x:c r="L2227" s="2" t="str">
        <x:v>property_type_inferred_from_title;transaction_assumed_sale_from_dataset_context</x:v>
      </x:c>
      <x:c r="M2227" s="10" t="n">
        <x:v>0</x:v>
      </x:c>
      <x:c r="N2227" s="10" t="n">
        <x:v>0</x:v>
      </x:c>
      <x:c r="O2227" s="2" t="str">
        <x:v>Long An|land</x:v>
      </x:c>
      <x:c r="P2227" s="10" t="n">
        <x:v>2</x:v>
      </x:c>
      <x:c r="Q2227" s="13" t="n">
        <x:f>IF(H2227="","",H2227/1000000000)</x:f>
        <x:v>0.77</x:v>
      </x:c>
      <x:c r="R2227" s="13" t="n">
        <x:f>IF(I2227="","",I2227/1000000)</x:f>
        <x:v>5.310344827586206</x:v>
      </x:c>
    </x:row>
    <x:row r="2228" ht="21" customHeight="1">
      <x:c r="A2228" s="10" t="n">
        <x:v>3181</x:v>
      </x:c>
      <x:c r="B2228" s="2" t="str">
        <x:v>3a64411a0ca5a3e367c0</x:v>
      </x:c>
      <x:c r="C2228" s="2" t="str">
        <x:v>Tp Hồ Chí Minh</x:v>
      </x:c>
      <x:c r="D2228" s="2" t="str">
        <x:v>Quận 7</x:v>
      </x:c>
      <x:c r="E2228" s="2" t="str">
        <x:v>house</x:v>
      </x:c>
      <x:c r="F2228" s="2" t="str">
        <x:v>sale</x:v>
      </x:c>
      <x:c r="G2228" s="11" t="n">
        <x:v>62</x:v>
      </x:c>
      <x:c r="H2228" s="12" t="n">
        <x:v>960000000</x:v>
      </x:c>
      <x:c r="I2228" s="12" t="n">
        <x:v>15483870.967741935</x:v>
      </x:c>
      <x:c r="J2228" s="2" t="str">
        <x:v>total</x:v>
      </x:c>
      <x:c r="K2228" s="2" t="str">
        <x:v>top_level_area</x:v>
      </x:c>
      <x:c r="L2228" s="2" t="str">
        <x:v>property_type_inferred_from_title</x:v>
      </x:c>
      <x:c r="M2228" s="10" t="n">
        <x:v>0</x:v>
      </x:c>
      <x:c r="N2228" s="10" t="n">
        <x:v>0</x:v>
      </x:c>
      <x:c r="O2228" s="2" t="str">
        <x:v>Tp Hồ Chí Minh|house</x:v>
      </x:c>
      <x:c r="P2228" s="10" t="n">
        <x:v>2</x:v>
      </x:c>
      <x:c r="Q2228" s="13" t="n">
        <x:f>IF(H2228="","",H2228/1000000000)</x:f>
        <x:v>0.96</x:v>
      </x:c>
      <x:c r="R2228" s="13" t="n">
        <x:f>IF(I2228="","",I2228/1000000)</x:f>
        <x:v>15.483870967741934</x:v>
      </x:c>
    </x:row>
    <x:row r="2229" ht="21" customHeight="1">
      <x:c r="A2229" s="10" t="n">
        <x:v>3182</x:v>
      </x:c>
      <x:c r="B2229" s="2" t="str">
        <x:v>bcaa9a892b92c68650a7</x:v>
      </x:c>
      <x:c r="C2229" s="2" t="str">
        <x:v>Vĩnh Long</x:v>
      </x:c>
      <x:c r="D2229" s="2" t="str">
        <x:v>Thành phố Vĩnh Long</x:v>
      </x:c>
      <x:c r="E2229" s="2" t="str">
        <x:v>house</x:v>
      </x:c>
      <x:c r="F2229" s="2" t="str">
        <x:v>sale</x:v>
      </x:c>
      <x:c r="G2229" s="11" t="n">
        <x:v>82</x:v>
      </x:c>
      <x:c r="H2229" s="12" t="n">
        <x:v>1050000000</x:v>
      </x:c>
      <x:c r="I2229" s="12" t="n">
        <x:v>12804878.048780488</x:v>
      </x:c>
      <x:c r="J2229" s="2" t="str">
        <x:v>total</x:v>
      </x:c>
      <x:c r="K2229" s="2" t="str">
        <x:v>top_level_area</x:v>
      </x:c>
      <x:c r="L2229" s="2" t="str">
        <x:v>property_type_inferred_from_title</x:v>
      </x:c>
      <x:c r="M2229" s="10" t="n">
        <x:v>0</x:v>
      </x:c>
      <x:c r="N2229" s="10" t="n">
        <x:v>0</x:v>
      </x:c>
      <x:c r="O2229" s="2" t="str">
        <x:v>house</x:v>
      </x:c>
      <x:c r="P2229" s="10" t="n">
        <x:v>2</x:v>
      </x:c>
      <x:c r="Q2229" s="13" t="n">
        <x:f>IF(H2229="","",H2229/1000000000)</x:f>
        <x:v>1.05</x:v>
      </x:c>
      <x:c r="R2229" s="13" t="n">
        <x:f>IF(I2229="","",I2229/1000000)</x:f>
        <x:v>12.804878048780488</x:v>
      </x:c>
    </x:row>
    <x:row r="2230" ht="21" customHeight="1">
      <x:c r="A2230" s="10" t="n">
        <x:v>3183</x:v>
      </x:c>
      <x:c r="B2230" s="2" t="str">
        <x:v>116ca7c138428ec47833</x:v>
      </x:c>
      <x:c r="C2230" s="2" t="str">
        <x:v>Hậu Giang</x:v>
      </x:c>
      <x:c r="D2230" s="2" t="str">
        <x:v>Huyện Phụng Hiệp</x:v>
      </x:c>
      <x:c r="E2230" s="2" t="str">
        <x:v>house</x:v>
      </x:c>
      <x:c r="F2230" s="2" t="str">
        <x:v>sale</x:v>
      </x:c>
      <x:c r="G2230" s="11" t="n">
        <x:v>400</x:v>
      </x:c>
      <x:c r="H2230" s="12" t="n">
        <x:v>650000000</x:v>
      </x:c>
      <x:c r="I2230" s="12" t="n">
        <x:v>1625000</x:v>
      </x:c>
      <x:c r="J2230" s="2" t="str">
        <x:v>total</x:v>
      </x:c>
      <x:c r="K2230" s="2" t="str">
        <x:v>top_level_area</x:v>
      </x:c>
      <x:c r="L2230" s="2" t="str">
        <x:v>property_type_inferred_from_title</x:v>
      </x:c>
      <x:c r="M2230" s="10" t="n">
        <x:v>0</x:v>
      </x:c>
      <x:c r="N2230" s="10" t="n">
        <x:v>0</x:v>
      </x:c>
      <x:c r="O2230" s="2" t="str">
        <x:v>house</x:v>
      </x:c>
      <x:c r="P2230" s="10" t="n">
        <x:v>1</x:v>
      </x:c>
      <x:c r="Q2230" s="13" t="n">
        <x:f>IF(H2230="","",H2230/1000000000)</x:f>
        <x:v>0.65</x:v>
      </x:c>
      <x:c r="R2230" s="13" t="n">
        <x:f>IF(I2230="","",I2230/1000000)</x:f>
        <x:v>1.625</x:v>
      </x:c>
    </x:row>
    <x:row r="2231" ht="21" customHeight="1">
      <x:c r="A2231" s="10" t="n">
        <x:v>3184</x:v>
      </x:c>
      <x:c r="B2231" s="2" t="str">
        <x:v>2b79ee31f72f5348f282</x:v>
      </x:c>
      <x:c r="C2231" s="2" t="str">
        <x:v>Tp Hồ Chí Minh</x:v>
      </x:c>
      <x:c r="D2231" s="2" t="str">
        <x:v>Quận 12</x:v>
      </x:c>
      <x:c r="E2231" s="2" t="str">
        <x:v>house</x:v>
      </x:c>
      <x:c r="F2231" s="2" t="str">
        <x:v>sale</x:v>
      </x:c>
      <x:c r="G2231" s="11" t="n">
        <x:v>18</x:v>
      </x:c>
      <x:c r="H2231" s="12" t="n">
        <x:v>820000000</x:v>
      </x:c>
      <x:c r="I2231" s="12" t="n">
        <x:v>45555555.55555555</x:v>
      </x:c>
      <x:c r="J2231" s="2" t="str">
        <x:v>total</x:v>
      </x:c>
      <x:c r="K2231" s="2" t="str">
        <x:v>top_level_area</x:v>
      </x:c>
      <x:c r="L2231" s="2" t="str">
        <x:v>property_type_inferred_from_title</x:v>
      </x:c>
      <x:c r="M2231" s="10" t="n">
        <x:v>0</x:v>
      </x:c>
      <x:c r="N2231" s="10" t="n">
        <x:v>0</x:v>
      </x:c>
      <x:c r="O2231" s="2" t="str">
        <x:v>Tp Hồ Chí Minh|house</x:v>
      </x:c>
      <x:c r="P2231" s="10" t="n">
        <x:v>2</x:v>
      </x:c>
      <x:c r="Q2231" s="13" t="n">
        <x:f>IF(H2231="","",H2231/1000000000)</x:f>
        <x:v>0.82</x:v>
      </x:c>
      <x:c r="R2231" s="13" t="n">
        <x:f>IF(I2231="","",I2231/1000000)</x:f>
        <x:v>45.55555555555555</x:v>
      </x:c>
    </x:row>
    <x:row r="2232" ht="21" customHeight="1">
      <x:c r="A2232" s="10" t="n">
        <x:v>3185</x:v>
      </x:c>
      <x:c r="B2232" s="2" t="str">
        <x:v>267938609109e099d315</x:v>
      </x:c>
      <x:c r="C2232" s="2" t="str">
        <x:v>Tp Hồ Chí Minh</x:v>
      </x:c>
      <x:c r="D2232" s="2" t="str">
        <x:v>Quận Tân Phú</x:v>
      </x:c>
      <x:c r="E2232" s="2" t="str">
        <x:v>house</x:v>
      </x:c>
      <x:c r="F2232" s="2" t="str">
        <x:v>sale</x:v>
      </x:c>
      <x:c r="G2232" s="11" t="n">
        <x:v>75</x:v>
      </x:c>
      <x:c r="H2232" s="12" t="n">
        <x:v>5600000000</x:v>
      </x:c>
      <x:c r="I2232" s="12" t="n">
        <x:v>74666666.66666667</x:v>
      </x:c>
      <x:c r="J2232" s="2" t="str">
        <x:v>total</x:v>
      </x:c>
      <x:c r="K2232" s="2" t="str">
        <x:v>top_level_area</x:v>
      </x:c>
      <x:c r="L2232" s="2" t="str">
        <x:v>property_type_inferred_from_title</x:v>
      </x:c>
      <x:c r="M2232" s="10" t="n">
        <x:v>0</x:v>
      </x:c>
      <x:c r="N2232" s="10" t="n">
        <x:v>0</x:v>
      </x:c>
      <x:c r="O2232" s="2" t="str">
        <x:v>Tp Hồ Chí Minh|house</x:v>
      </x:c>
      <x:c r="P2232" s="10" t="n">
        <x:v>2</x:v>
      </x:c>
      <x:c r="Q2232" s="13" t="n">
        <x:f>IF(H2232="","",H2232/1000000000)</x:f>
        <x:v>5.6</x:v>
      </x:c>
      <x:c r="R2232" s="13" t="n">
        <x:f>IF(I2232="","",I2232/1000000)</x:f>
        <x:v>74.66666666666667</x:v>
      </x:c>
    </x:row>
    <x:row r="2233" ht="21" customHeight="1">
      <x:c r="A2233" s="10" t="n">
        <x:v>3186</x:v>
      </x:c>
      <x:c r="B2233" s="2" t="str">
        <x:v>3d44413d5a319cca77e7</x:v>
      </x:c>
      <x:c r="C2233" s="2" t="str">
        <x:v>Tp Hồ Chí Minh</x:v>
      </x:c>
      <x:c r="D2233" s="2" t="str">
        <x:v>Quận 8</x:v>
      </x:c>
      <x:c r="E2233" s="2" t="str">
        <x:v>house</x:v>
      </x:c>
      <x:c r="F2233" s="2" t="str">
        <x:v>sale_assumed</x:v>
      </x:c>
      <x:c r="G2233" s="11" t="n">
        <x:v>77</x:v>
      </x:c>
      <x:c r="H2233" s="12" t="n">
        <x:v>998000000</x:v>
      </x:c>
      <x:c r="I2233" s="12" t="n">
        <x:v>12961038.96103896</x:v>
      </x:c>
      <x:c r="J2233" s="2" t="str">
        <x:v>total</x:v>
      </x:c>
      <x:c r="K2233" s="2" t="str">
        <x:v>top_level_area</x:v>
      </x:c>
      <x:c r="L2233" s="2" t="str">
        <x:v>property_type_inferred_from_title;transaction_assumed_sale_from_dataset_context</x:v>
      </x:c>
      <x:c r="M2233" s="10" t="n">
        <x:v>0</x:v>
      </x:c>
      <x:c r="N2233" s="10" t="n">
        <x:v>0</x:v>
      </x:c>
      <x:c r="O2233" s="2" t="str">
        <x:v>Tp Hồ Chí Minh|house</x:v>
      </x:c>
      <x:c r="P2233" s="10" t="n">
        <x:v>2</x:v>
      </x:c>
      <x:c r="Q2233" s="13" t="n">
        <x:f>IF(H2233="","",H2233/1000000000)</x:f>
        <x:v>0.998</x:v>
      </x:c>
      <x:c r="R2233" s="13" t="n">
        <x:f>IF(I2233="","",I2233/1000000)</x:f>
        <x:v>12.96103896103896</x:v>
      </x:c>
    </x:row>
    <x:row r="2234" ht="21" customHeight="1">
      <x:c r="A2234" s="10" t="n">
        <x:v>3187</x:v>
      </x:c>
      <x:c r="B2234" s="2" t="str">
        <x:v>a96e1ead51a1d7c89589</x:v>
      </x:c>
      <x:c r="C2234" s="2" t="str">
        <x:v>Tp Hồ Chí Minh</x:v>
      </x:c>
      <x:c r="D2234" s="2" t="str">
        <x:v>Quận Thủ Đức</x:v>
      </x:c>
      <x:c r="E2234" s="2" t="str">
        <x:v>house</x:v>
      </x:c>
      <x:c r="F2234" s="2" t="str">
        <x:v>sale</x:v>
      </x:c>
      <x:c r="G2234" s="11" t="n">
        <x:v>80</x:v>
      </x:c>
      <x:c r="H2234" s="12" t="n">
        <x:v>1600000000</x:v>
      </x:c>
      <x:c r="I2234" s="12" t="n">
        <x:v>20000000</x:v>
      </x:c>
      <x:c r="J2234" s="2" t="str">
        <x:v>total</x:v>
      </x:c>
      <x:c r="K2234" s="2" t="str">
        <x:v>top_level_area</x:v>
      </x:c>
      <x:c r="L2234" s="2" t="str">
        <x:v>property_type_inferred_from_title</x:v>
      </x:c>
      <x:c r="M2234" s="10" t="n">
        <x:v>0</x:v>
      </x:c>
      <x:c r="N2234" s="10" t="n">
        <x:v>0</x:v>
      </x:c>
      <x:c r="O2234" s="2" t="str">
        <x:v>Tp Hồ Chí Minh|house</x:v>
      </x:c>
      <x:c r="P2234" s="10" t="n">
        <x:v>2</x:v>
      </x:c>
      <x:c r="Q2234" s="13" t="n">
        <x:f>IF(H2234="","",H2234/1000000000)</x:f>
        <x:v>1.6</x:v>
      </x:c>
      <x:c r="R2234" s="13" t="n">
        <x:f>IF(I2234="","",I2234/1000000)</x:f>
        <x:v>20</x:v>
      </x:c>
    </x:row>
    <x:row r="2235" ht="21" customHeight="1">
      <x:c r="A2235" s="10" t="n">
        <x:v>3188</x:v>
      </x:c>
      <x:c r="B2235" s="2" t="str">
        <x:v>1d723f0239f0ff604fd9</x:v>
      </x:c>
      <x:c r="C2235" s="2" t="str">
        <x:v>Tp Hồ Chí Minh</x:v>
      </x:c>
      <x:c r="D2235" s="2" t="str">
        <x:v>Quận 9</x:v>
      </x:c>
      <x:c r="E2235" s="2" t="str">
        <x:v>land</x:v>
      </x:c>
      <x:c r="F2235" s="2" t="str">
        <x:v>sale_assumed</x:v>
      </x:c>
      <x:c r="G2235" s="11" t="n">
        <x:v>85</x:v>
      </x:c>
      <x:c r="H2235" s="12" t="n">
        <x:v>3900000000</x:v>
      </x:c>
      <x:c r="I2235" s="12" t="n">
        <x:v>45882352.941176474</x:v>
      </x:c>
      <x:c r="J2235" s="2" t="str">
        <x:v>total</x:v>
      </x:c>
      <x:c r="K2235" s="2" t="str">
        <x:v>top_level_area</x:v>
      </x:c>
      <x:c r="L2235" s="2" t="str">
        <x:v>property_type_inferred_from_title;transaction_assumed_sale_from_dataset_context</x:v>
      </x:c>
      <x:c r="M2235" s="10" t="n">
        <x:v>0</x:v>
      </x:c>
      <x:c r="N2235" s="10" t="n">
        <x:v>0</x:v>
      </x:c>
      <x:c r="O2235" s="2" t="str">
        <x:v>Tp Hồ Chí Minh|land</x:v>
      </x:c>
      <x:c r="P2235" s="10" t="n">
        <x:v>2</x:v>
      </x:c>
      <x:c r="Q2235" s="13" t="n">
        <x:f>IF(H2235="","",H2235/1000000000)</x:f>
        <x:v>3.9</x:v>
      </x:c>
      <x:c r="R2235" s="13" t="n">
        <x:f>IF(I2235="","",I2235/1000000)</x:f>
        <x:v>45.88235294117647</x:v>
      </x:c>
    </x:row>
    <x:row r="2236" ht="21" customHeight="1">
      <x:c r="A2236" s="10" t="n">
        <x:v>3189</x:v>
      </x:c>
      <x:c r="B2236" s="2" t="str">
        <x:v>b151f3132631ee5e7d57</x:v>
      </x:c>
      <x:c r="C2236" s="2" t="str">
        <x:v>Hà Nội</x:v>
      </x:c>
      <x:c r="D2236" s="2" t="str">
        <x:v>Quận Bắc Từ Liêm</x:v>
      </x:c>
      <x:c r="E2236" s="2" t="str">
        <x:v>apartment</x:v>
      </x:c>
      <x:c r="F2236" s="2" t="str">
        <x:v>sale</x:v>
      </x:c>
      <x:c r="G2236" s="11" t="n">
        <x:v>42</x:v>
      </x:c>
      <x:c r="H2236" s="12" t="n">
        <x:v>520000000</x:v>
      </x:c>
      <x:c r="I2236" s="12" t="n">
        <x:v>12380952.38095238</x:v>
      </x:c>
      <x:c r="J2236" s="2" t="str">
        <x:v>total</x:v>
      </x:c>
      <x:c r="K2236" s="2" t="str">
        <x:v>top_level_area</x:v>
      </x:c>
      <x:c r="L2236" s="2" t="str">
        <x:v>property_type_inferred_from_title</x:v>
      </x:c>
      <x:c r="M2236" s="10" t="n">
        <x:v>0</x:v>
      </x:c>
      <x:c r="N2236" s="10" t="n">
        <x:v>0</x:v>
      </x:c>
      <x:c r="O2236" s="2" t="str">
        <x:v>Hà Nội|apartment</x:v>
      </x:c>
      <x:c r="P2236" s="10" t="n">
        <x:v>2</x:v>
      </x:c>
      <x:c r="Q2236" s="13" t="n">
        <x:f>IF(H2236="","",H2236/1000000000)</x:f>
        <x:v>0.52</x:v>
      </x:c>
      <x:c r="R2236" s="13" t="n">
        <x:f>IF(I2236="","",I2236/1000000)</x:f>
        <x:v>12.380952380952381</x:v>
      </x:c>
    </x:row>
    <x:row r="2237" ht="21" customHeight="1">
      <x:c r="A2237" s="10" t="n">
        <x:v>3192</x:v>
      </x:c>
      <x:c r="B2237" s="2" t="str">
        <x:v>aa34bdf132f62f1d9edd</x:v>
      </x:c>
      <x:c r="C2237" s="2" t="str">
        <x:v>Thừa Thiên Huế</x:v>
      </x:c>
      <x:c r="D2237" s="2" t="str">
        <x:v>Huyện Phú Vang</x:v>
      </x:c>
      <x:c r="E2237" s="2" t="str">
        <x:v>house</x:v>
      </x:c>
      <x:c r="F2237" s="2" t="str">
        <x:v>sale</x:v>
      </x:c>
      <x:c r="G2237" s="11" t="n">
        <x:v>592</x:v>
      </x:c>
      <x:c r="H2237" s="12" t="n">
        <x:v>4800000000</x:v>
      </x:c>
      <x:c r="I2237" s="12" t="n">
        <x:v>8108108.108108108</x:v>
      </x:c>
      <x:c r="J2237" s="2" t="str">
        <x:v>total</x:v>
      </x:c>
      <x:c r="K2237" s="2" t="str">
        <x:v>top_level_area</x:v>
      </x:c>
      <x:c r="L2237" s="2" t="str">
        <x:v>property_type_inferred_from_title</x:v>
      </x:c>
      <x:c r="M2237" s="10" t="n">
        <x:v>0</x:v>
      </x:c>
      <x:c r="N2237" s="10" t="n">
        <x:v>0</x:v>
      </x:c>
      <x:c r="O2237" s="2" t="str">
        <x:v>house</x:v>
      </x:c>
      <x:c r="P2237" s="10" t="n">
        <x:v>1</x:v>
      </x:c>
      <x:c r="Q2237" s="13" t="n">
        <x:f>IF(H2237="","",H2237/1000000000)</x:f>
        <x:v>4.8</x:v>
      </x:c>
      <x:c r="R2237" s="13" t="n">
        <x:f>IF(I2237="","",I2237/1000000)</x:f>
        <x:v>8.108108108108109</x:v>
      </x:c>
    </x:row>
    <x:row r="2238" ht="21" customHeight="1">
      <x:c r="A2238" s="10" t="n">
        <x:v>3193</x:v>
      </x:c>
      <x:c r="B2238" s="2" t="str">
        <x:v>1cac8dc2ef0af96ef7de</x:v>
      </x:c>
      <x:c r="C2238" s="2" t="str">
        <x:v>Tp Hồ Chí Minh</x:v>
      </x:c>
      <x:c r="D2238" s="2" t="str">
        <x:v>Quận Tân Phú</x:v>
      </x:c>
      <x:c r="E2238" s="2" t="str">
        <x:v>house</x:v>
      </x:c>
      <x:c r="F2238" s="2" t="str">
        <x:v>sale</x:v>
      </x:c>
      <x:c r="G2238" s="11" t="n">
        <x:v>49.2</x:v>
      </x:c>
      <x:c r="H2238" s="12" t="n">
        <x:v>1100000000</x:v>
      </x:c>
      <x:c r="I2238" s="12" t="n">
        <x:v>22357723.57723577</x:v>
      </x:c>
      <x:c r="J2238" s="2" t="str">
        <x:v>total</x:v>
      </x:c>
      <x:c r="K2238" s="2" t="str">
        <x:v>top_level_area</x:v>
      </x:c>
      <x:c r="L2238" s="2" t="str">
        <x:v>property_type_inferred_from_title</x:v>
      </x:c>
      <x:c r="M2238" s="10" t="n">
        <x:v>0</x:v>
      </x:c>
      <x:c r="N2238" s="10" t="n">
        <x:v>0</x:v>
      </x:c>
      <x:c r="O2238" s="2" t="str">
        <x:v>Tp Hồ Chí Minh|house</x:v>
      </x:c>
      <x:c r="P2238" s="10" t="n">
        <x:v>2</x:v>
      </x:c>
      <x:c r="Q2238" s="13" t="n">
        <x:f>IF(H2238="","",H2238/1000000000)</x:f>
        <x:v>1.1</x:v>
      </x:c>
      <x:c r="R2238" s="13" t="n">
        <x:f>IF(I2238="","",I2238/1000000)</x:f>
        <x:v>22.35772357723577</x:v>
      </x:c>
    </x:row>
    <x:row r="2239" ht="21" customHeight="1">
      <x:c r="A2239" s="10" t="n">
        <x:v>3194</x:v>
      </x:c>
      <x:c r="B2239" s="2" t="str">
        <x:v>9b2177f6a53b4d979849</x:v>
      </x:c>
      <x:c r="C2239" s="2" t="str">
        <x:v>Tp Hồ Chí Minh</x:v>
      </x:c>
      <x:c r="D2239" s="2" t="str">
        <x:v>Quận Gò Vấp</x:v>
      </x:c>
      <x:c r="E2239" s="2" t="str">
        <x:v>house</x:v>
      </x:c>
      <x:c r="F2239" s="2" t="str">
        <x:v>sale</x:v>
      </x:c>
      <x:c r="G2239" s="11" t="n">
        <x:v>68</x:v>
      </x:c>
      <x:c r="H2239" s="12" t="n">
        <x:v>11300000000</x:v>
      </x:c>
      <x:c r="I2239" s="12" t="n">
        <x:v>166176470.5882353</x:v>
      </x:c>
      <x:c r="J2239" s="2" t="str">
        <x:v>total</x:v>
      </x:c>
      <x:c r="K2239" s="2" t="str">
        <x:v>top_level_area</x:v>
      </x:c>
      <x:c r="L2239" s="2" t="str">
        <x:v>property_type_inferred_from_title</x:v>
      </x:c>
      <x:c r="M2239" s="10" t="n">
        <x:v>1</x:v>
      </x:c>
      <x:c r="N2239" s="10" t="n">
        <x:v>0</x:v>
      </x:c>
      <x:c r="O2239" s="2" t="str">
        <x:v>Tp Hồ Chí Minh|house</x:v>
      </x:c>
      <x:c r="P2239" s="10" t="n">
        <x:v>2</x:v>
      </x:c>
      <x:c r="Q2239" s="13" t="n">
        <x:f>IF(H2239="","",H2239/1000000000)</x:f>
        <x:v>11.3</x:v>
      </x:c>
      <x:c r="R2239" s="13" t="n">
        <x:f>IF(I2239="","",I2239/1000000)</x:f>
        <x:v>166.17647058823528</x:v>
      </x:c>
    </x:row>
    <x:row r="2240" ht="21" customHeight="1">
      <x:c r="A2240" s="10" t="n">
        <x:v>3195</x:v>
      </x:c>
      <x:c r="B2240" s="2" t="str">
        <x:v>715f4d2293516b269646</x:v>
      </x:c>
      <x:c r="C2240" s="2" t="str">
        <x:v>Tp Hồ Chí Minh</x:v>
      </x:c>
      <x:c r="D2240" s="2" t="str">
        <x:v>Quận Thủ Đức</x:v>
      </x:c>
      <x:c r="E2240" s="2" t="str">
        <x:v>house</x:v>
      </x:c>
      <x:c r="F2240" s="2" t="str">
        <x:v>sale_assumed</x:v>
      </x:c>
      <x:c r="G2240" s="11" t="n">
        <x:v>50</x:v>
      </x:c>
      <x:c r="H2240" s="12" t="n">
        <x:v>4700000000</x:v>
      </x:c>
      <x:c r="I2240" s="12" t="n">
        <x:v>94000000</x:v>
      </x:c>
      <x:c r="J2240" s="2" t="str">
        <x:v>total</x:v>
      </x:c>
      <x:c r="K2240" s="2" t="str">
        <x:v>top_level_area</x:v>
      </x:c>
      <x:c r="L2240" s="2" t="str">
        <x:v>property_type_inferred_from_title;transaction_assumed_sale_from_dataset_context</x:v>
      </x:c>
      <x:c r="M2240" s="10" t="n">
        <x:v>0</x:v>
      </x:c>
      <x:c r="N2240" s="10" t="n">
        <x:v>0</x:v>
      </x:c>
      <x:c r="O2240" s="2" t="str">
        <x:v>Tp Hồ Chí Minh|house</x:v>
      </x:c>
      <x:c r="P2240" s="10" t="n">
        <x:v>2</x:v>
      </x:c>
      <x:c r="Q2240" s="13" t="n">
        <x:f>IF(H2240="","",H2240/1000000000)</x:f>
        <x:v>4.7</x:v>
      </x:c>
      <x:c r="R2240" s="13" t="n">
        <x:f>IF(I2240="","",I2240/1000000)</x:f>
        <x:v>94</x:v>
      </x:c>
    </x:row>
    <x:row r="2241" ht="21" customHeight="1">
      <x:c r="A2241" s="10" t="n">
        <x:v>3196</x:v>
      </x:c>
      <x:c r="B2241" s="2" t="str">
        <x:v>625137fdfbff46a3789b</x:v>
      </x:c>
      <x:c r="C2241" s="2" t="str">
        <x:v>Đồng Nai</x:v>
      </x:c>
      <x:c r="D2241" s="2" t="str">
        <x:v>Thành phố Biên Hòa</x:v>
      </x:c>
      <x:c r="E2241" s="2" t="str">
        <x:v>house</x:v>
      </x:c>
      <x:c r="F2241" s="2" t="str">
        <x:v>sale</x:v>
      </x:c>
      <x:c r="G2241" s="11" t="n">
        <x:v>70</x:v>
      </x:c>
      <x:c r="H2241" s="12" t="n">
        <x:v>4600000000</x:v>
      </x:c>
      <x:c r="I2241" s="12" t="n">
        <x:v>65714285.71428572</x:v>
      </x:c>
      <x:c r="J2241" s="2" t="str">
        <x:v>total</x:v>
      </x:c>
      <x:c r="K2241" s="2" t="str">
        <x:v>top_level_area</x:v>
      </x:c>
      <x:c r="L2241" s="2" t="str">
        <x:v>property_type_inferred_from_title</x:v>
      </x:c>
      <x:c r="M2241" s="10" t="n">
        <x:v>0</x:v>
      </x:c>
      <x:c r="N2241" s="10" t="n">
        <x:v>1</x:v>
      </x:c>
      <x:c r="O2241" s="2" t="str">
        <x:v>Đồng Nai|house</x:v>
      </x:c>
      <x:c r="P2241" s="10" t="n">
        <x:v>-1</x:v>
      </x:c>
      <x:c r="Q2241" s="13" t="n">
        <x:f>IF(H2241="","",H2241/1000000000)</x:f>
        <x:v>4.6</x:v>
      </x:c>
      <x:c r="R2241" s="13" t="n">
        <x:f>IF(I2241="","",I2241/1000000)</x:f>
        <x:v>65.71428571428572</x:v>
      </x:c>
    </x:row>
    <x:row r="2242" ht="21" customHeight="1">
      <x:c r="A2242" s="10" t="n">
        <x:v>3197</x:v>
      </x:c>
      <x:c r="B2242" s="2" t="str">
        <x:v>c0a465eebc3fa71673ad</x:v>
      </x:c>
      <x:c r="C2242" s="2" t="str">
        <x:v>Bình Dương</x:v>
      </x:c>
      <x:c r="D2242" s="2" t="str">
        <x:v>Thị xã Bến Cát</x:v>
      </x:c>
      <x:c r="E2242" s="2" t="str">
        <x:v>house</x:v>
      </x:c>
      <x:c r="F2242" s="2" t="str">
        <x:v>sale</x:v>
      </x:c>
      <x:c r="G2242" s="11" t="n">
        <x:v>300</x:v>
      </x:c>
      <x:c r="H2242" s="12" t="n">
        <x:v>2000000000</x:v>
      </x:c>
      <x:c r="I2242" s="12" t="n">
        <x:v>6666666.666666667</x:v>
      </x:c>
      <x:c r="J2242" s="2" t="str">
        <x:v>total</x:v>
      </x:c>
      <x:c r="K2242" s="2" t="str">
        <x:v>top_level_price_embedded_area</x:v>
      </x:c>
      <x:c r="L2242" s="2" t="str">
        <x:v>area_recovered_from_price_text;property_type_inferred_from_title</x:v>
      </x:c>
      <x:c r="M2242" s="10" t="n">
        <x:v>0</x:v>
      </x:c>
      <x:c r="N2242" s="10" t="n">
        <x:v>0</x:v>
      </x:c>
      <x:c r="O2242" s="2" t="str">
        <x:v>Bình Dương|house</x:v>
      </x:c>
      <x:c r="P2242" s="10" t="n">
        <x:v>1</x:v>
      </x:c>
      <x:c r="Q2242" s="13" t="n">
        <x:f>IF(H2242="","",H2242/1000000000)</x:f>
        <x:v>2</x:v>
      </x:c>
      <x:c r="R2242" s="13" t="n">
        <x:f>IF(I2242="","",I2242/1000000)</x:f>
        <x:v>6.666666666666667</x:v>
      </x:c>
    </x:row>
    <x:row r="2243" ht="21" customHeight="1">
      <x:c r="A2243" s="10" t="n">
        <x:v>3198</x:v>
      </x:c>
      <x:c r="B2243" s="2" t="str">
        <x:v>500e17e1558ec24a6ec2</x:v>
      </x:c>
      <x:c r="C2243" s="2" t="str">
        <x:v>Đắk Lắk</x:v>
      </x:c>
      <x:c r="D2243" s="2" t="str">
        <x:v>Thành phố Buôn Ma Thuột</x:v>
      </x:c>
      <x:c r="E2243" s="2" t="str">
        <x:v>house</x:v>
      </x:c>
      <x:c r="F2243" s="2" t="str">
        <x:v>sale_assumed</x:v>
      </x:c>
      <x:c r="G2243" s="11" t="n">
        <x:v>125</x:v>
      </x:c>
      <x:c r="H2243" s="12" t="n">
        <x:v>1700000000</x:v>
      </x:c>
      <x:c r="I2243" s="12" t="n">
        <x:v>13600000</x:v>
      </x:c>
      <x:c r="J2243" s="2" t="str">
        <x:v>total</x:v>
      </x:c>
      <x:c r="K2243" s="2" t="str">
        <x:v>top_level_area</x:v>
      </x:c>
      <x:c r="L2243" s="2" t="str">
        <x:v>property_type_inferred_from_title;transaction_assumed_sale_from_dataset_context</x:v>
      </x:c>
      <x:c r="M2243" s="10" t="n">
        <x:v>0</x:v>
      </x:c>
      <x:c r="N2243" s="10" t="n">
        <x:v>0</x:v>
      </x:c>
      <x:c r="O2243" s="2" t="str">
        <x:v>Đắk Lắk|house</x:v>
      </x:c>
      <x:c r="P2243" s="10" t="n">
        <x:v>2</x:v>
      </x:c>
      <x:c r="Q2243" s="13" t="n">
        <x:f>IF(H2243="","",H2243/1000000000)</x:f>
        <x:v>1.7</x:v>
      </x:c>
      <x:c r="R2243" s="13" t="n">
        <x:f>IF(I2243="","",I2243/1000000)</x:f>
        <x:v>13.6</x:v>
      </x:c>
    </x:row>
    <x:row r="2244" ht="21" customHeight="1">
      <x:c r="A2244" s="10" t="n">
        <x:v>3199</x:v>
      </x:c>
      <x:c r="B2244" s="2" t="str">
        <x:v>317a3b5e006ad24e9dc2</x:v>
      </x:c>
      <x:c r="C2244" s="2" t="str">
        <x:v>Hà Nội</x:v>
      </x:c>
      <x:c r="D2244" s="2" t="str">
        <x:v>Quận Long Biên</x:v>
      </x:c>
      <x:c r="E2244" s="2" t="str">
        <x:v>house</x:v>
      </x:c>
      <x:c r="F2244" s="2" t="str">
        <x:v>sale</x:v>
      </x:c>
      <x:c r="G2244" s="11" t="n">
        <x:v>42</x:v>
      </x:c>
      <x:c r="H2244" s="12" t="n">
        <x:v>1300000000</x:v>
      </x:c>
      <x:c r="I2244" s="12" t="n">
        <x:v>30952380.95238095</x:v>
      </x:c>
      <x:c r="J2244" s="2" t="str">
        <x:v>total</x:v>
      </x:c>
      <x:c r="K2244" s="2" t="str">
        <x:v>top_level_area</x:v>
      </x:c>
      <x:c r="L2244" s="2" t="str">
        <x:v>property_type_inferred_from_title</x:v>
      </x:c>
      <x:c r="M2244" s="10" t="n">
        <x:v>0</x:v>
      </x:c>
      <x:c r="N2244" s="10" t="n">
        <x:v>0</x:v>
      </x:c>
      <x:c r="O2244" s="2" t="str">
        <x:v>Hà Nội|house</x:v>
      </x:c>
      <x:c r="P2244" s="10" t="n">
        <x:v>2</x:v>
      </x:c>
      <x:c r="Q2244" s="13" t="n">
        <x:f>IF(H2244="","",H2244/1000000000)</x:f>
        <x:v>1.3</x:v>
      </x:c>
      <x:c r="R2244" s="13" t="n">
        <x:f>IF(I2244="","",I2244/1000000)</x:f>
        <x:v>30.952380952380953</x:v>
      </x:c>
    </x:row>
    <x:row r="2245" ht="21" customHeight="1">
      <x:c r="A2245" s="10" t="n">
        <x:v>3200</x:v>
      </x:c>
      <x:c r="B2245" s="2" t="str">
        <x:v>a05fe2c8a042e328b8a3</x:v>
      </x:c>
      <x:c r="C2245" s="2" t="str">
        <x:v>Tp Hồ Chí Minh</x:v>
      </x:c>
      <x:c r="D2245" s="2" t="str">
        <x:v>Quận Thủ Đức</x:v>
      </x:c>
      <x:c r="E2245" s="2" t="str">
        <x:v>house</x:v>
      </x:c>
      <x:c r="F2245" s="2" t="str">
        <x:v>sale</x:v>
      </x:c>
      <x:c r="G2245" s="11" t="n">
        <x:v>62</x:v>
      </x:c>
      <x:c r="H2245" s="12" t="n">
        <x:v>995000000</x:v>
      </x:c>
      <x:c r="I2245" s="12" t="n">
        <x:v>16048387.096774194</x:v>
      </x:c>
      <x:c r="J2245" s="2" t="str">
        <x:v>total</x:v>
      </x:c>
      <x:c r="K2245" s="2" t="str">
        <x:v>top_level_area</x:v>
      </x:c>
      <x:c r="L2245" s="2" t="str">
        <x:v>property_type_inferred_from_title</x:v>
      </x:c>
      <x:c r="M2245" s="10" t="n">
        <x:v>0</x:v>
      </x:c>
      <x:c r="N2245" s="10" t="n">
        <x:v>0</x:v>
      </x:c>
      <x:c r="O2245" s="2" t="str">
        <x:v>Tp Hồ Chí Minh|house</x:v>
      </x:c>
      <x:c r="P2245" s="10" t="n">
        <x:v>2</x:v>
      </x:c>
      <x:c r="Q2245" s="13" t="n">
        <x:f>IF(H2245="","",H2245/1000000000)</x:f>
        <x:v>0.995</x:v>
      </x:c>
      <x:c r="R2245" s="13" t="n">
        <x:f>IF(I2245="","",I2245/1000000)</x:f>
        <x:v>16.048387096774196</x:v>
      </x:c>
    </x:row>
    <x:row r="2246" ht="21" customHeight="1">
      <x:c r="A2246" s="10" t="n">
        <x:v>3201</x:v>
      </x:c>
      <x:c r="B2246" s="2" t="str">
        <x:v>43d9099b8740a0c7604a</x:v>
      </x:c>
      <x:c r="C2246" s="2" t="str">
        <x:v>Bình Dương</x:v>
      </x:c>
      <x:c r="D2246" s="2" t="str">
        <x:v>Thị xã Thuận An</x:v>
      </x:c>
      <x:c r="E2246" s="2" t="str">
        <x:v>land</x:v>
      </x:c>
      <x:c r="F2246" s="2" t="str">
        <x:v>sale</x:v>
      </x:c>
      <x:c r="G2246" s="11" t="n">
        <x:v>1000</x:v>
      </x:c>
      <x:c r="H2246" s="12" t="n">
        <x:v>450000000</x:v>
      </x:c>
      <x:c r="I2246" s="12" t="n">
        <x:v>450000</x:v>
      </x:c>
      <x:c r="J2246" s="2" t="str">
        <x:v>total</x:v>
      </x:c>
      <x:c r="K2246" s="2" t="str">
        <x:v>top_level_area</x:v>
      </x:c>
      <x:c r="L2246" s="2" t="str">
        <x:v>dot_thousands_convention;property_type_inferred_from_title</x:v>
      </x:c>
      <x:c r="M2246" s="10" t="n">
        <x:v>0</x:v>
      </x:c>
      <x:c r="N2246" s="10" t="n">
        <x:v>0</x:v>
      </x:c>
      <x:c r="O2246" s="2" t="str">
        <x:v>Bình Dương|land</x:v>
      </x:c>
      <x:c r="P2246" s="10" t="n">
        <x:v>1</x:v>
      </x:c>
      <x:c r="Q2246" s="13" t="n">
        <x:f>IF(H2246="","",H2246/1000000000)</x:f>
        <x:v>0.45</x:v>
      </x:c>
      <x:c r="R2246" s="13" t="n">
        <x:f>IF(I2246="","",I2246/1000000)</x:f>
        <x:v>0.45</x:v>
      </x:c>
    </x:row>
    <x:row r="2247" ht="21" customHeight="1">
      <x:c r="A2247" s="10" t="n">
        <x:v>3202</x:v>
      </x:c>
      <x:c r="B2247" s="2" t="str">
        <x:v>b52ead96934073ce3858</x:v>
      </x:c>
      <x:c r="C2247" s="2" t="str">
        <x:v>Tp Hồ Chí Minh</x:v>
      </x:c>
      <x:c r="D2247" s="2" t="str">
        <x:v>Quận 12</x:v>
      </x:c>
      <x:c r="E2247" s="2" t="str">
        <x:v>house</x:v>
      </x:c>
      <x:c r="F2247" s="2" t="str">
        <x:v>sale_assumed</x:v>
      </x:c>
      <x:c r="G2247" s="11" t="n">
        <x:v>15</x:v>
      </x:c>
      <x:c r="H2247" s="12" t="n">
        <x:v>715000000</x:v>
      </x:c>
      <x:c r="I2247" s="12" t="n">
        <x:v>47666666.666666664</x:v>
      </x:c>
      <x:c r="J2247" s="2" t="str">
        <x:v>total</x:v>
      </x:c>
      <x:c r="K2247" s="2" t="str">
        <x:v>top_level_price_embedded_area</x:v>
      </x:c>
      <x:c r="L2247" s="2" t="str">
        <x:v>area_recovered_from_price_text;property_type_inferred_from_title;transaction_assumed_sale_from_dataset_context</x:v>
      </x:c>
      <x:c r="M2247" s="10" t="n">
        <x:v>0</x:v>
      </x:c>
      <x:c r="N2247" s="10" t="n">
        <x:v>0</x:v>
      </x:c>
      <x:c r="O2247" s="2" t="str">
        <x:v>Tp Hồ Chí Minh|house</x:v>
      </x:c>
      <x:c r="P2247" s="10" t="n">
        <x:v>2</x:v>
      </x:c>
      <x:c r="Q2247" s="13" t="n">
        <x:f>IF(H2247="","",H2247/1000000000)</x:f>
        <x:v>0.715</x:v>
      </x:c>
      <x:c r="R2247" s="13" t="n">
        <x:f>IF(I2247="","",I2247/1000000)</x:f>
        <x:v>47.666666666666664</x:v>
      </x:c>
    </x:row>
    <x:row r="2248" ht="21" customHeight="1">
      <x:c r="A2248" s="10" t="n">
        <x:v>3203</x:v>
      </x:c>
      <x:c r="B2248" s="2" t="str">
        <x:v>4e1eb3022a0e747c0718</x:v>
      </x:c>
      <x:c r="C2248" s="2" t="str">
        <x:v>Đồng Nai</x:v>
      </x:c>
      <x:c r="D2248" s="2" t="str">
        <x:v>Thành phố Biên Hòa</x:v>
      </x:c>
      <x:c r="E2248" s="2" t="str">
        <x:v>land</x:v>
      </x:c>
      <x:c r="F2248" s="2" t="str">
        <x:v>sale</x:v>
      </x:c>
      <x:c r="G2248" s="11" t="n">
        <x:v>108</x:v>
      </x:c>
      <x:c r="H2248" s="12" t="n">
        <x:v>1480000000</x:v>
      </x:c>
      <x:c r="I2248" s="12" t="n">
        <x:v>13703703.703703703</x:v>
      </x:c>
      <x:c r="J2248" s="2" t="str">
        <x:v>total</x:v>
      </x:c>
      <x:c r="K2248" s="2" t="str">
        <x:v>top_level_area</x:v>
      </x:c>
      <x:c r="L2248" s="2" t="str">
        <x:v>property_type_inferred_from_title</x:v>
      </x:c>
      <x:c r="M2248" s="10" t="n">
        <x:v>0</x:v>
      </x:c>
      <x:c r="N2248" s="10" t="n">
        <x:v>0</x:v>
      </x:c>
      <x:c r="O2248" s="2" t="str">
        <x:v>Đồng Nai|land</x:v>
      </x:c>
      <x:c r="P2248" s="10" t="n">
        <x:v>2</x:v>
      </x:c>
      <x:c r="Q2248" s="13" t="n">
        <x:f>IF(H2248="","",H2248/1000000000)</x:f>
        <x:v>1.48</x:v>
      </x:c>
      <x:c r="R2248" s="13" t="n">
        <x:f>IF(I2248="","",I2248/1000000)</x:f>
        <x:v>13.703703703703704</x:v>
      </x:c>
    </x:row>
    <x:row r="2249" ht="21" customHeight="1">
      <x:c r="A2249" s="10" t="n">
        <x:v>3204</x:v>
      </x:c>
      <x:c r="B2249" s="2" t="str">
        <x:v>a7d3e6c4d703855477b2</x:v>
      </x:c>
      <x:c r="C2249" s="2" t="str">
        <x:v>Tp Hồ Chí Minh</x:v>
      </x:c>
      <x:c r="D2249" s="2" t="str">
        <x:v>Quận 12</x:v>
      </x:c>
      <x:c r="E2249" s="2" t="str">
        <x:v>house</x:v>
      </x:c>
      <x:c r="F2249" s="2" t="str">
        <x:v>sale_assumed</x:v>
      </x:c>
      <x:c r="G2249" s="11" t="n">
        <x:v>65</x:v>
      </x:c>
      <x:c r="H2249" s="12" t="n">
        <x:v>2049999999.9999998</x:v>
      </x:c>
      <x:c r="I2249" s="12" t="n">
        <x:v>31538461.538461536</x:v>
      </x:c>
      <x:c r="J2249" s="2" t="str">
        <x:v>total</x:v>
      </x:c>
      <x:c r="K2249" s="2" t="str">
        <x:v>top_level_area</x:v>
      </x:c>
      <x:c r="L2249" s="2" t="str">
        <x:v>property_type_inferred_from_title;transaction_assumed_sale_from_dataset_context</x:v>
      </x:c>
      <x:c r="M2249" s="10" t="n">
        <x:v>0</x:v>
      </x:c>
      <x:c r="N2249" s="10" t="n">
        <x:v>0</x:v>
      </x:c>
      <x:c r="O2249" s="2" t="str">
        <x:v>Tp Hồ Chí Minh|house</x:v>
      </x:c>
      <x:c r="P2249" s="10" t="n">
        <x:v>2</x:v>
      </x:c>
      <x:c r="Q2249" s="13" t="n">
        <x:f>IF(H2249="","",H2249/1000000000)</x:f>
        <x:v>2.05</x:v>
      </x:c>
      <x:c r="R2249" s="13" t="n">
        <x:f>IF(I2249="","",I2249/1000000)</x:f>
        <x:v>31.538461538461537</x:v>
      </x:c>
    </x:row>
    <x:row r="2250" ht="21" customHeight="1">
      <x:c r="A2250" s="10" t="n">
        <x:v>3205</x:v>
      </x:c>
      <x:c r="B2250" s="2" t="str">
        <x:v>3a5365e9ac2db6c10c86</x:v>
      </x:c>
      <x:c r="C2250" s="2" t="str">
        <x:v>Tp Hồ Chí Minh</x:v>
      </x:c>
      <x:c r="D2250" s="2" t="str">
        <x:v>Quận 12</x:v>
      </x:c>
      <x:c r="E2250" s="2" t="str">
        <x:v>house</x:v>
      </x:c>
      <x:c r="F2250" s="2" t="str">
        <x:v>sale</x:v>
      </x:c>
      <x:c r="G2250" s="11" t="n">
        <x:v>38</x:v>
      </x:c>
      <x:c r="H2250" s="12" t="n">
        <x:v>835000000</x:v>
      </x:c>
      <x:c r="I2250" s="12" t="n">
        <x:v>21973684.210526317</x:v>
      </x:c>
      <x:c r="J2250" s="2" t="str">
        <x:v>total</x:v>
      </x:c>
      <x:c r="K2250" s="2" t="str">
        <x:v>top_level_area</x:v>
      </x:c>
      <x:c r="L2250" s="2" t="str">
        <x:v>property_type_inferred_from_title</x:v>
      </x:c>
      <x:c r="M2250" s="10" t="n">
        <x:v>0</x:v>
      </x:c>
      <x:c r="N2250" s="10" t="n">
        <x:v>0</x:v>
      </x:c>
      <x:c r="O2250" s="2" t="str">
        <x:v>Tp Hồ Chí Minh|house</x:v>
      </x:c>
      <x:c r="P2250" s="10" t="n">
        <x:v>2</x:v>
      </x:c>
      <x:c r="Q2250" s="13" t="n">
        <x:f>IF(H2250="","",H2250/1000000000)</x:f>
        <x:v>0.835</x:v>
      </x:c>
      <x:c r="R2250" s="13" t="n">
        <x:f>IF(I2250="","",I2250/1000000)</x:f>
        <x:v>21.97368421052632</x:v>
      </x:c>
    </x:row>
    <x:row r="2251" ht="21" customHeight="1">
      <x:c r="A2251" s="10" t="n">
        <x:v>3206</x:v>
      </x:c>
      <x:c r="B2251" s="2" t="str">
        <x:v>6eacf25ddec8966b3015</x:v>
      </x:c>
      <x:c r="C2251" s="2" t="str">
        <x:v>Tp Hồ Chí Minh</x:v>
      </x:c>
      <x:c r="D2251" s="2" t="str">
        <x:v>Quận Bình Tân</x:v>
      </x:c>
      <x:c r="E2251" s="2" t="str">
        <x:v>house</x:v>
      </x:c>
      <x:c r="F2251" s="2" t="str">
        <x:v>sale_assumed</x:v>
      </x:c>
      <x:c r="G2251" s="11" t="n">
        <x:v>60</x:v>
      </x:c>
      <x:c r="H2251" s="12" t="n">
        <x:v>6200000000</x:v>
      </x:c>
      <x:c r="I2251" s="12" t="n">
        <x:v>103333333.33333333</x:v>
      </x:c>
      <x:c r="J2251" s="2" t="str">
        <x:v>total</x:v>
      </x:c>
      <x:c r="K2251" s="2" t="str">
        <x:v>top_level_area</x:v>
      </x:c>
      <x:c r="L2251" s="2" t="str">
        <x:v>property_type_inferred_from_title;transaction_assumed_sale_from_dataset_context</x:v>
      </x:c>
      <x:c r="M2251" s="10" t="n">
        <x:v>0</x:v>
      </x:c>
      <x:c r="N2251" s="10" t="n">
        <x:v>0</x:v>
      </x:c>
      <x:c r="O2251" s="2" t="str">
        <x:v>Tp Hồ Chí Minh|house</x:v>
      </x:c>
      <x:c r="P2251" s="10" t="n">
        <x:v>2</x:v>
      </x:c>
      <x:c r="Q2251" s="13" t="n">
        <x:f>IF(H2251="","",H2251/1000000000)</x:f>
        <x:v>6.2</x:v>
      </x:c>
      <x:c r="R2251" s="13" t="n">
        <x:f>IF(I2251="","",I2251/1000000)</x:f>
        <x:v>103.33333333333333</x:v>
      </x:c>
    </x:row>
    <x:row r="2252" ht="21" customHeight="1">
      <x:c r="A2252" s="10" t="n">
        <x:v>3208</x:v>
      </x:c>
      <x:c r="B2252" s="2" t="str">
        <x:v>9e282847df4ff9439dd2</x:v>
      </x:c>
      <x:c r="C2252" s="2" t="str">
        <x:v>Đà Nẵng</x:v>
      </x:c>
      <x:c r="D2252" s="2" t="str">
        <x:v>Quận Ngũ Hành Sơn</x:v>
      </x:c>
      <x:c r="E2252" s="2" t="str">
        <x:v>land</x:v>
      </x:c>
      <x:c r="F2252" s="2" t="str">
        <x:v>sale</x:v>
      </x:c>
      <x:c r="G2252" s="11" t="n">
        <x:v>100</x:v>
      </x:c>
      <x:c r="H2252" s="12" t="n">
        <x:v>2701000000</x:v>
      </x:c>
      <x:c r="I2252" s="12" t="n">
        <x:v>27010000</x:v>
      </x:c>
      <x:c r="J2252" s="2" t="str">
        <x:v>total</x:v>
      </x:c>
      <x:c r="K2252" s="2" t="str">
        <x:v>top_level_area</x:v>
      </x:c>
      <x:c r="L2252" s="2" t="str">
        <x:v>property_type_inferred_from_title</x:v>
      </x:c>
      <x:c r="M2252" s="10" t="n">
        <x:v>0</x:v>
      </x:c>
      <x:c r="N2252" s="10" t="n">
        <x:v>0</x:v>
      </x:c>
      <x:c r="O2252" s="2" t="str">
        <x:v>Đà Nẵng|land</x:v>
      </x:c>
      <x:c r="P2252" s="10" t="n">
        <x:v>2</x:v>
      </x:c>
      <x:c r="Q2252" s="13" t="n">
        <x:f>IF(H2252="","",H2252/1000000000)</x:f>
        <x:v>2.701</x:v>
      </x:c>
      <x:c r="R2252" s="13" t="n">
        <x:f>IF(I2252="","",I2252/1000000)</x:f>
        <x:v>27.01</x:v>
      </x:c>
    </x:row>
    <x:row r="2253" ht="21" customHeight="1">
      <x:c r="A2253" s="10" t="n">
        <x:v>3209</x:v>
      </x:c>
      <x:c r="B2253" s="2" t="str">
        <x:v>e72d8d1d7ae8332b9101</x:v>
      </x:c>
      <x:c r="C2253" s="2" t="str">
        <x:v>Bình Dương</x:v>
      </x:c>
      <x:c r="D2253" s="2" t="str">
        <x:v>Thị xã Thuận An</x:v>
      </x:c>
      <x:c r="E2253" s="2" t="str">
        <x:v>other_unknown</x:v>
      </x:c>
      <x:c r="F2253" s="2" t="str">
        <x:v>sale_assumed</x:v>
      </x:c>
      <x:c r="G2253" s="11" t="n">
        <x:v>90</x:v>
      </x:c>
      <x:c r="H2253" s="12" t="n">
        <x:v>660000000</x:v>
      </x:c>
      <x:c r="I2253" s="12" t="n">
        <x:v>7333333.333333333</x:v>
      </x:c>
      <x:c r="J2253" s="2" t="str">
        <x:v>total</x:v>
      </x:c>
      <x:c r="K2253" s="2" t="str">
        <x:v>top_level_area</x:v>
      </x:c>
      <x:c r="L2253" s="2" t="str">
        <x:v>property_type_inferred_from_title;transaction_assumed_sale_from_dataset_context;unknown_property_type</x:v>
      </x:c>
      <x:c r="M2253" s="10" t="n">
        <x:v>0</x:v>
      </x:c>
      <x:c r="N2253" s="10" t="n">
        <x:v>0</x:v>
      </x:c>
      <x:c r="O2253" s="2" t="str">
        <x:v>Bình Dương|other_unknown</x:v>
      </x:c>
      <x:c r="P2253" s="10" t="n">
        <x:v>2</x:v>
      </x:c>
      <x:c r="Q2253" s="13" t="n">
        <x:f>IF(H2253="","",H2253/1000000000)</x:f>
        <x:v>0.66</x:v>
      </x:c>
      <x:c r="R2253" s="13" t="n">
        <x:f>IF(I2253="","",I2253/1000000)</x:f>
        <x:v>7.333333333333333</x:v>
      </x:c>
    </x:row>
    <x:row r="2254" ht="21" customHeight="1">
      <x:c r="A2254" s="10" t="n">
        <x:v>3210</x:v>
      </x:c>
      <x:c r="B2254" s="2" t="str">
        <x:v>307b1c240c08a4e48a69</x:v>
      </x:c>
      <x:c r="C2254" s="2" t="str">
        <x:v>Tp Hồ Chí Minh</x:v>
      </x:c>
      <x:c r="D2254" s="2" t="str">
        <x:v>Quận 11</x:v>
      </x:c>
      <x:c r="E2254" s="2" t="str">
        <x:v>house</x:v>
      </x:c>
      <x:c r="F2254" s="2" t="str">
        <x:v>sale</x:v>
      </x:c>
      <x:c r="G2254" s="11" t="n">
        <x:v>29</x:v>
      </x:c>
      <x:c r="H2254" s="12" t="n">
        <x:v>3200000000</x:v>
      </x:c>
      <x:c r="I2254" s="12" t="n">
        <x:v>110344827.5862069</x:v>
      </x:c>
      <x:c r="J2254" s="2" t="str">
        <x:v>total</x:v>
      </x:c>
      <x:c r="K2254" s="2" t="str">
        <x:v>top_level_area</x:v>
      </x:c>
      <x:c r="L2254" s="2" t="str">
        <x:v>property_type_inferred_from_title</x:v>
      </x:c>
      <x:c r="M2254" s="10" t="n">
        <x:v>0</x:v>
      </x:c>
      <x:c r="N2254" s="10" t="n">
        <x:v>0</x:v>
      </x:c>
      <x:c r="O2254" s="2" t="str">
        <x:v>Tp Hồ Chí Minh|house</x:v>
      </x:c>
      <x:c r="P2254" s="10" t="n">
        <x:v>2</x:v>
      </x:c>
      <x:c r="Q2254" s="13" t="n">
        <x:f>IF(H2254="","",H2254/1000000000)</x:f>
        <x:v>3.2</x:v>
      </x:c>
      <x:c r="R2254" s="13" t="n">
        <x:f>IF(I2254="","",I2254/1000000)</x:f>
        <x:v>110.3448275862069</x:v>
      </x:c>
    </x:row>
    <x:row r="2255" ht="21" customHeight="1">
      <x:c r="A2255" s="10" t="n">
        <x:v>3211</x:v>
      </x:c>
      <x:c r="B2255" s="2" t="str">
        <x:v>95faadecb41f34ddbb35</x:v>
      </x:c>
      <x:c r="C2255" s="2" t="str">
        <x:v>Tp Hồ Chí Minh</x:v>
      </x:c>
      <x:c r="D2255" s="2" t="str">
        <x:v>Quận 9</x:v>
      </x:c>
      <x:c r="E2255" s="2" t="str">
        <x:v>house</x:v>
      </x:c>
      <x:c r="F2255" s="2" t="str">
        <x:v>sale</x:v>
      </x:c>
      <x:c r="G2255" s="11" t="n">
        <x:v>50</x:v>
      </x:c>
      <x:c r="H2255" s="12" t="n">
        <x:v>950000000</x:v>
      </x:c>
      <x:c r="I2255" s="12" t="n">
        <x:v>19000000</x:v>
      </x:c>
      <x:c r="J2255" s="2" t="str">
        <x:v>total</x:v>
      </x:c>
      <x:c r="K2255" s="2" t="str">
        <x:v>top_level_area</x:v>
      </x:c>
      <x:c r="L2255" s="2" t="str">
        <x:v>property_type_inferred_from_title</x:v>
      </x:c>
      <x:c r="M2255" s="10" t="n">
        <x:v>0</x:v>
      </x:c>
      <x:c r="N2255" s="10" t="n">
        <x:v>0</x:v>
      </x:c>
      <x:c r="O2255" s="2" t="str">
        <x:v>Tp Hồ Chí Minh|house</x:v>
      </x:c>
      <x:c r="P2255" s="10" t="n">
        <x:v>2</x:v>
      </x:c>
      <x:c r="Q2255" s="13" t="n">
        <x:f>IF(H2255="","",H2255/1000000000)</x:f>
        <x:v>0.95</x:v>
      </x:c>
      <x:c r="R2255" s="13" t="n">
        <x:f>IF(I2255="","",I2255/1000000)</x:f>
        <x:v>19</x:v>
      </x:c>
    </x:row>
    <x:row r="2256" ht="21" customHeight="1">
      <x:c r="A2256" s="10" t="n">
        <x:v>3214</x:v>
      </x:c>
      <x:c r="B2256" s="2" t="str">
        <x:v>5cd7cbfc7593737b5d69</x:v>
      </x:c>
      <x:c r="C2256" s="2" t="str">
        <x:v>Vĩnh Long</x:v>
      </x:c>
      <x:c r="D2256" s="2" t="str">
        <x:v>Huyện Long Hồ</x:v>
      </x:c>
      <x:c r="E2256" s="2" t="str">
        <x:v>land</x:v>
      </x:c>
      <x:c r="F2256" s="2" t="str">
        <x:v>sale</x:v>
      </x:c>
      <x:c r="G2256" s="11" t="n">
        <x:v>152</x:v>
      </x:c>
      <x:c r="H2256" s="12" t="n">
        <x:v>550000000</x:v>
      </x:c>
      <x:c r="I2256" s="12" t="n">
        <x:v>3618421.052631579</x:v>
      </x:c>
      <x:c r="J2256" s="2" t="str">
        <x:v>total</x:v>
      </x:c>
      <x:c r="K2256" s="2" t="str">
        <x:v>top_level_area</x:v>
      </x:c>
      <x:c r="L2256" s="2" t="str">
        <x:v>property_type_inferred_from_title</x:v>
      </x:c>
      <x:c r="M2256" s="10" t="n">
        <x:v>0</x:v>
      </x:c>
      <x:c r="N2256" s="10" t="n">
        <x:v>0</x:v>
      </x:c>
      <x:c r="O2256" s="2" t="str">
        <x:v>land</x:v>
      </x:c>
      <x:c r="P2256" s="10" t="n">
        <x:v>1</x:v>
      </x:c>
      <x:c r="Q2256" s="13" t="n">
        <x:f>IF(H2256="","",H2256/1000000000)</x:f>
        <x:v>0.55</x:v>
      </x:c>
      <x:c r="R2256" s="13" t="n">
        <x:f>IF(I2256="","",I2256/1000000)</x:f>
        <x:v>3.6184210526315788</x:v>
      </x:c>
    </x:row>
    <x:row r="2257" ht="21" customHeight="1">
      <x:c r="A2257" s="10" t="n">
        <x:v>3215</x:v>
      </x:c>
      <x:c r="B2257" s="2" t="str">
        <x:v>dca46001ca9380c19025</x:v>
      </x:c>
      <x:c r="C2257" s="2" t="str">
        <x:v>Tp Hồ Chí Minh</x:v>
      </x:c>
      <x:c r="D2257" s="2" t="str">
        <x:v>Quận Bình Thạnh</x:v>
      </x:c>
      <x:c r="E2257" s="2" t="str">
        <x:v>house</x:v>
      </x:c>
      <x:c r="F2257" s="2" t="str">
        <x:v>sale_assumed</x:v>
      </x:c>
      <x:c r="G2257" s="11" t="n">
        <x:v>70</x:v>
      </x:c>
      <x:c r="H2257" s="12" t="n">
        <x:v>1000000000</x:v>
      </x:c>
      <x:c r="I2257" s="12" t="n">
        <x:v>14285714.285714285</x:v>
      </x:c>
      <x:c r="J2257" s="2" t="str">
        <x:v>total</x:v>
      </x:c>
      <x:c r="K2257" s="2" t="str">
        <x:v>top_level_area</x:v>
      </x:c>
      <x:c r="L2257" s="2" t="str">
        <x:v>property_type_inferred_from_title;transaction_assumed_sale_from_dataset_context</x:v>
      </x:c>
      <x:c r="M2257" s="10" t="n">
        <x:v>0</x:v>
      </x:c>
      <x:c r="N2257" s="10" t="n">
        <x:v>0</x:v>
      </x:c>
      <x:c r="O2257" s="2" t="str">
        <x:v>Tp Hồ Chí Minh|house</x:v>
      </x:c>
      <x:c r="P2257" s="10" t="n">
        <x:v>2</x:v>
      </x:c>
      <x:c r="Q2257" s="13" t="n">
        <x:f>IF(H2257="","",H2257/1000000000)</x:f>
        <x:v>1</x:v>
      </x:c>
      <x:c r="R2257" s="13" t="n">
        <x:f>IF(I2257="","",I2257/1000000)</x:f>
        <x:v>14.285714285714285</x:v>
      </x:c>
    </x:row>
    <x:row r="2258" ht="21" customHeight="1">
      <x:c r="A2258" s="10" t="n">
        <x:v>3216</x:v>
      </x:c>
      <x:c r="B2258" s="2" t="str">
        <x:v>5259cd7d6dd4607ca0f8</x:v>
      </x:c>
      <x:c r="C2258" s="2" t="str">
        <x:v>Đồng Nai</x:v>
      </x:c>
      <x:c r="D2258" s="2" t="str">
        <x:v>Thành phố Biên Hòa</x:v>
      </x:c>
      <x:c r="E2258" s="2" t="str">
        <x:v>house</x:v>
      </x:c>
      <x:c r="F2258" s="2" t="str">
        <x:v>sale_assumed</x:v>
      </x:c>
      <x:c r="G2258" s="11" t="n">
        <x:v>80</x:v>
      </x:c>
      <x:c r="H2258" s="12" t="n">
        <x:v>620000000</x:v>
      </x:c>
      <x:c r="I2258" s="12" t="n">
        <x:v>7750000</x:v>
      </x:c>
      <x:c r="J2258" s="2" t="str">
        <x:v>total</x:v>
      </x:c>
      <x:c r="K2258" s="2" t="str">
        <x:v>top_level_area</x:v>
      </x:c>
      <x:c r="L2258" s="2" t="str">
        <x:v>property_type_inferred_from_title;transaction_assumed_sale_from_dataset_context</x:v>
      </x:c>
      <x:c r="M2258" s="10" t="n">
        <x:v>0</x:v>
      </x:c>
      <x:c r="N2258" s="10" t="n">
        <x:v>0</x:v>
      </x:c>
      <x:c r="O2258" s="2" t="str">
        <x:v>Đồng Nai|house</x:v>
      </x:c>
      <x:c r="P2258" s="10" t="n">
        <x:v>2</x:v>
      </x:c>
      <x:c r="Q2258" s="13" t="n">
        <x:f>IF(H2258="","",H2258/1000000000)</x:f>
        <x:v>0.62</x:v>
      </x:c>
      <x:c r="R2258" s="13" t="n">
        <x:f>IF(I2258="","",I2258/1000000)</x:f>
        <x:v>7.75</x:v>
      </x:c>
    </x:row>
    <x:row r="2259" ht="21" customHeight="1">
      <x:c r="A2259" s="10" t="n">
        <x:v>3217</x:v>
      </x:c>
      <x:c r="B2259" s="2" t="str">
        <x:v>742bf8d88ebdd1ae826f</x:v>
      </x:c>
      <x:c r="C2259" s="2" t="str">
        <x:v>Bình Dương</x:v>
      </x:c>
      <x:c r="D2259" s="2" t="str">
        <x:v>Thị xã Dĩ An</x:v>
      </x:c>
      <x:c r="E2259" s="2" t="str">
        <x:v>apartment</x:v>
      </x:c>
      <x:c r="F2259" s="2" t="str">
        <x:v>sale_assumed</x:v>
      </x:c>
      <x:c r="G2259" s="11" t="n">
        <x:v>51.33</x:v>
      </x:c>
      <x:c r="H2259" s="12" t="n">
        <x:v>1450000000</x:v>
      </x:c>
      <x:c r="I2259" s="12" t="n">
        <x:v>28248587.570621468</x:v>
      </x:c>
      <x:c r="J2259" s="2" t="str">
        <x:v>total</x:v>
      </x:c>
      <x:c r="K2259" s="2" t="str">
        <x:v>top_level_area</x:v>
      </x:c>
      <x:c r="L2259" s="2" t="str">
        <x:v>property_type_inferred_from_title;transaction_assumed_sale_from_dataset_context</x:v>
      </x:c>
      <x:c r="M2259" s="10" t="n">
        <x:v>0</x:v>
      </x:c>
      <x:c r="N2259" s="10" t="n">
        <x:v>0</x:v>
      </x:c>
      <x:c r="O2259" s="2" t="str">
        <x:v>Bình Dương|apartment</x:v>
      </x:c>
      <x:c r="P2259" s="10" t="n">
        <x:v>2</x:v>
      </x:c>
      <x:c r="Q2259" s="13" t="n">
        <x:f>IF(H2259="","",H2259/1000000000)</x:f>
        <x:v>1.45</x:v>
      </x:c>
      <x:c r="R2259" s="13" t="n">
        <x:f>IF(I2259="","",I2259/1000000)</x:f>
        <x:v>28.248587570621467</x:v>
      </x:c>
    </x:row>
    <x:row r="2260" ht="21" customHeight="1">
      <x:c r="A2260" s="10" t="n">
        <x:v>3218</x:v>
      </x:c>
      <x:c r="B2260" s="2" t="str">
        <x:v>1292a48374e4f446f4f9</x:v>
      </x:c>
      <x:c r="C2260" s="2" t="str">
        <x:v>Hà Nội</x:v>
      </x:c>
      <x:c r="D2260" s="2" t="str">
        <x:v>Quận Hai Bà Trưng</x:v>
      </x:c>
      <x:c r="E2260" s="2" t="str">
        <x:v>other_unknown</x:v>
      </x:c>
      <x:c r="F2260" s="2" t="str">
        <x:v>sale_assumed</x:v>
      </x:c>
      <x:c r="G2260" s="11" t="n">
        <x:v>35</x:v>
      </x:c>
      <x:c r="H2260" s="12" t="n">
        <x:v>3333333000</x:v>
      </x:c>
      <x:c r="I2260" s="12" t="n">
        <x:v>95238085.71428572</x:v>
      </x:c>
      <x:c r="J2260" s="2" t="str">
        <x:v>total</x:v>
      </x:c>
      <x:c r="K2260" s="2" t="str">
        <x:v>top_level_area</x:v>
      </x:c>
      <x:c r="L2260" s="2" t="str">
        <x:v>property_type_inferred_from_title;transaction_assumed_sale_from_dataset_context;unknown_property_type</x:v>
      </x:c>
      <x:c r="M2260" s="10" t="n">
        <x:v>0</x:v>
      </x:c>
      <x:c r="N2260" s="10" t="n">
        <x:v>0</x:v>
      </x:c>
      <x:c r="O2260" s="2" t="str">
        <x:v>Hà Nội|other_unknown</x:v>
      </x:c>
      <x:c r="P2260" s="10" t="n">
        <x:v>2</x:v>
      </x:c>
      <x:c r="Q2260" s="13" t="n">
        <x:f>IF(H2260="","",H2260/1000000000)</x:f>
        <x:v>3.333333</x:v>
      </x:c>
      <x:c r="R2260" s="13" t="n">
        <x:f>IF(I2260="","",I2260/1000000)</x:f>
        <x:v>95.23808571428572</x:v>
      </x:c>
    </x:row>
    <x:row r="2261" ht="21" customHeight="1">
      <x:c r="A2261" s="10" t="n">
        <x:v>3219</x:v>
      </x:c>
      <x:c r="B2261" s="2" t="str">
        <x:v>a33a0a66cc985f85295b</x:v>
      </x:c>
      <x:c r="C2261" s="2" t="str">
        <x:v>Tp Hồ Chí Minh</x:v>
      </x:c>
      <x:c r="D2261" s="2" t="str">
        <x:v>Huyện Nhà Bè</x:v>
      </x:c>
      <x:c r="E2261" s="2" t="str">
        <x:v>house</x:v>
      </x:c>
      <x:c r="F2261" s="2" t="str">
        <x:v>sale_assumed</x:v>
      </x:c>
      <x:c r="G2261" s="11" t="n">
        <x:v>42</x:v>
      </x:c>
      <x:c r="H2261" s="12" t="n">
        <x:v>1700000000</x:v>
      </x:c>
      <x:c r="I2261" s="12" t="n">
        <x:v>40476190.47619048</x:v>
      </x:c>
      <x:c r="J2261" s="2" t="str">
        <x:v>total</x:v>
      </x:c>
      <x:c r="K2261" s="2" t="str">
        <x:v>top_level_area</x:v>
      </x:c>
      <x:c r="L2261" s="2" t="str">
        <x:v>property_type_inferred_from_title;transaction_assumed_sale_from_dataset_context</x:v>
      </x:c>
      <x:c r="M2261" s="10" t="n">
        <x:v>0</x:v>
      </x:c>
      <x:c r="N2261" s="10" t="n">
        <x:v>0</x:v>
      </x:c>
      <x:c r="O2261" s="2" t="str">
        <x:v>Tp Hồ Chí Minh|house</x:v>
      </x:c>
      <x:c r="P2261" s="10" t="n">
        <x:v>2</x:v>
      </x:c>
      <x:c r="Q2261" s="13" t="n">
        <x:f>IF(H2261="","",H2261/1000000000)</x:f>
        <x:v>1.7</x:v>
      </x:c>
      <x:c r="R2261" s="13" t="n">
        <x:f>IF(I2261="","",I2261/1000000)</x:f>
        <x:v>40.476190476190474</x:v>
      </x:c>
    </x:row>
    <x:row r="2262" ht="21" customHeight="1">
      <x:c r="A2262" s="10" t="n">
        <x:v>3220</x:v>
      </x:c>
      <x:c r="B2262" s="2" t="str">
        <x:v>09245a986d362d3d8e2a</x:v>
      </x:c>
      <x:c r="C2262" s="2" t="str">
        <x:v>Tp Hồ Chí Minh</x:v>
      </x:c>
      <x:c r="D2262" s="2" t="str">
        <x:v>Quận Gò Vấp</x:v>
      </x:c>
      <x:c r="E2262" s="2" t="str">
        <x:v>other_unknown</x:v>
      </x:c>
      <x:c r="F2262" s="2" t="str">
        <x:v>sale_assumed</x:v>
      </x:c>
      <x:c r="G2262" s="11" t="n">
        <x:v>55</x:v>
      </x:c>
      <x:c r="H2262" s="12" t="n">
        <x:v>3660000000</x:v>
      </x:c>
      <x:c r="I2262" s="12" t="n">
        <x:v>66545454.54545455</x:v>
      </x:c>
      <x:c r="J2262" s="2" t="str">
        <x:v>total</x:v>
      </x:c>
      <x:c r="K2262" s="2" t="str">
        <x:v>top_level_area</x:v>
      </x:c>
      <x:c r="L2262" s="2" t="str">
        <x:v>property_type_inferred_from_title;transaction_assumed_sale_from_dataset_context;unknown_property_type</x:v>
      </x:c>
      <x:c r="M2262" s="10" t="n">
        <x:v>0</x:v>
      </x:c>
      <x:c r="N2262" s="10" t="n">
        <x:v>0</x:v>
      </x:c>
      <x:c r="O2262" s="2" t="str">
        <x:v>Tp Hồ Chí Minh|other_unknown</x:v>
      </x:c>
      <x:c r="P2262" s="10" t="n">
        <x:v>2</x:v>
      </x:c>
      <x:c r="Q2262" s="13" t="n">
        <x:f>IF(H2262="","",H2262/1000000000)</x:f>
        <x:v>3.66</x:v>
      </x:c>
      <x:c r="R2262" s="13" t="n">
        <x:f>IF(I2262="","",I2262/1000000)</x:f>
        <x:v>66.54545454545455</x:v>
      </x:c>
    </x:row>
    <x:row r="2263" ht="21" customHeight="1">
      <x:c r="A2263" s="10" t="n">
        <x:v>3221</x:v>
      </x:c>
      <x:c r="B2263" s="2" t="str">
        <x:v>0a540a4ba973e3dc856d</x:v>
      </x:c>
      <x:c r="C2263" s="2" t="str">
        <x:v>Đồng Nai</x:v>
      </x:c>
      <x:c r="D2263" s="2" t="str">
        <x:v>Thành phố Biên Hòa</x:v>
      </x:c>
      <x:c r="E2263" s="2" t="str">
        <x:v>house</x:v>
      </x:c>
      <x:c r="F2263" s="2" t="str">
        <x:v>sale</x:v>
      </x:c>
      <x:c r="G2263" s="11" t="n">
        <x:v>1275</x:v>
      </x:c>
      <x:c r="H2263" s="12" t="n">
        <x:v>25000000000</x:v>
      </x:c>
      <x:c r="I2263" s="12" t="n">
        <x:v>19607843.1372549</x:v>
      </x:c>
      <x:c r="J2263" s="2" t="str">
        <x:v>total</x:v>
      </x:c>
      <x:c r="K2263" s="2" t="str">
        <x:v>top_level_area</x:v>
      </x:c>
      <x:c r="L2263" s="2" t="str">
        <x:v>dot_thousands_convention;property_type_inferred_from_title</x:v>
      </x:c>
      <x:c r="M2263" s="10" t="n">
        <x:v>0</x:v>
      </x:c>
      <x:c r="N2263" s="10" t="n">
        <x:v>0</x:v>
      </x:c>
      <x:c r="O2263" s="2" t="str">
        <x:v>Đồng Nai|house</x:v>
      </x:c>
      <x:c r="P2263" s="10" t="n">
        <x:v>1</x:v>
      </x:c>
      <x:c r="Q2263" s="13" t="n">
        <x:f>IF(H2263="","",H2263/1000000000)</x:f>
        <x:v>25</x:v>
      </x:c>
      <x:c r="R2263" s="13" t="n">
        <x:f>IF(I2263="","",I2263/1000000)</x:f>
        <x:v>19.6078431372549</x:v>
      </x:c>
    </x:row>
    <x:row r="2264" ht="21" customHeight="1">
      <x:c r="A2264" s="10" t="n">
        <x:v>3222</x:v>
      </x:c>
      <x:c r="B2264" s="2" t="str">
        <x:v>e7309d79854adb2565e2</x:v>
      </x:c>
      <x:c r="C2264" s="2" t="str">
        <x:v>Tp Hồ Chí Minh</x:v>
      </x:c>
      <x:c r="D2264" s="2" t="str">
        <x:v>Quận 9</x:v>
      </x:c>
      <x:c r="E2264" s="2" t="str">
        <x:v>house</x:v>
      </x:c>
      <x:c r="F2264" s="2" t="str">
        <x:v>sale_assumed</x:v>
      </x:c>
      <x:c r="G2264" s="11" t="n">
        <x:v>58</x:v>
      </x:c>
      <x:c r="H2264" s="12" t="n">
        <x:v>6500000000</x:v>
      </x:c>
      <x:c r="I2264" s="12" t="n">
        <x:v>112068965.51724137</x:v>
      </x:c>
      <x:c r="J2264" s="2" t="str">
        <x:v>total</x:v>
      </x:c>
      <x:c r="K2264" s="2" t="str">
        <x:v>top_level_area</x:v>
      </x:c>
      <x:c r="L2264" s="2" t="str">
        <x:v>property_type_inferred_from_title;transaction_assumed_sale_from_dataset_context</x:v>
      </x:c>
      <x:c r="M2264" s="10" t="n">
        <x:v>0</x:v>
      </x:c>
      <x:c r="N2264" s="10" t="n">
        <x:v>0</x:v>
      </x:c>
      <x:c r="O2264" s="2" t="str">
        <x:v>Tp Hồ Chí Minh|house</x:v>
      </x:c>
      <x:c r="P2264" s="10" t="n">
        <x:v>2</x:v>
      </x:c>
      <x:c r="Q2264" s="13" t="n">
        <x:f>IF(H2264="","",H2264/1000000000)</x:f>
        <x:v>6.5</x:v>
      </x:c>
      <x:c r="R2264" s="13" t="n">
        <x:f>IF(I2264="","",I2264/1000000)</x:f>
        <x:v>112.06896551724137</x:v>
      </x:c>
    </x:row>
    <x:row r="2265" ht="21" customHeight="1">
      <x:c r="A2265" s="10" t="n">
        <x:v>3223</x:v>
      </x:c>
      <x:c r="B2265" s="2" t="str">
        <x:v>aabef3dd14ee377dc5a5</x:v>
      </x:c>
      <x:c r="C2265" s="2" t="str">
        <x:v>Tp Hồ Chí Minh</x:v>
      </x:c>
      <x:c r="D2265" s="2" t="str">
        <x:v>Quận 8</x:v>
      </x:c>
      <x:c r="E2265" s="2" t="str">
        <x:v>house</x:v>
      </x:c>
      <x:c r="F2265" s="2" t="str">
        <x:v>sale</x:v>
      </x:c>
      <x:c r="G2265" s="11" t="n">
        <x:v>100</x:v>
      </x:c>
      <x:c r="H2265" s="12" t="n">
        <x:v>5000000000</x:v>
      </x:c>
      <x:c r="I2265" s="12" t="n">
        <x:v>50000000</x:v>
      </x:c>
      <x:c r="J2265" s="2" t="str">
        <x:v>total</x:v>
      </x:c>
      <x:c r="K2265" s="2" t="str">
        <x:v>top_level_area</x:v>
      </x:c>
      <x:c r="L2265" s="2" t="str">
        <x:v>property_type_inferred_from_title</x:v>
      </x:c>
      <x:c r="M2265" s="10" t="n">
        <x:v>0</x:v>
      </x:c>
      <x:c r="N2265" s="10" t="n">
        <x:v>0</x:v>
      </x:c>
      <x:c r="O2265" s="2" t="str">
        <x:v>Tp Hồ Chí Minh|house</x:v>
      </x:c>
      <x:c r="P2265" s="10" t="n">
        <x:v>2</x:v>
      </x:c>
      <x:c r="Q2265" s="13" t="n">
        <x:f>IF(H2265="","",H2265/1000000000)</x:f>
        <x:v>5</x:v>
      </x:c>
      <x:c r="R2265" s="13" t="n">
        <x:f>IF(I2265="","",I2265/1000000)</x:f>
        <x:v>50</x:v>
      </x:c>
    </x:row>
    <x:row r="2266" ht="21" customHeight="1">
      <x:c r="A2266" s="10" t="n">
        <x:v>3224</x:v>
      </x:c>
      <x:c r="B2266" s="2" t="str">
        <x:v>f6dca912de4c83e4f74f</x:v>
      </x:c>
      <x:c r="C2266" s="2" t="str">
        <x:v>Tp Hồ Chí Minh</x:v>
      </x:c>
      <x:c r="D2266" s="2" t="str">
        <x:v>Quận Gò Vấp</x:v>
      </x:c>
      <x:c r="E2266" s="2" t="str">
        <x:v>other_unknown</x:v>
      </x:c>
      <x:c r="F2266" s="2" t="str">
        <x:v>sale</x:v>
      </x:c>
      <x:c r="G2266" s="11" t="n">
        <x:v>12</x:v>
      </x:c>
      <x:c r="H2266" s="12" t="n">
        <x:v>2200000000</x:v>
      </x:c>
      <x:c r="I2266" s="12" t="n">
        <x:v>183333333.33333334</x:v>
      </x:c>
      <x:c r="J2266" s="2" t="str">
        <x:v>total</x:v>
      </x:c>
      <x:c r="K2266" s="2" t="str">
        <x:v>top_level_area</x:v>
      </x:c>
      <x:c r="L2266" s="2" t="str">
        <x:v>property_type_inferred_from_title;unknown_property_type</x:v>
      </x:c>
      <x:c r="M2266" s="10" t="n">
        <x:v>1</x:v>
      </x:c>
      <x:c r="N2266" s="10" t="n">
        <x:v>0</x:v>
      </x:c>
      <x:c r="O2266" s="2" t="str">
        <x:v>Tp Hồ Chí Minh|other_unknown</x:v>
      </x:c>
      <x:c r="P2266" s="10" t="n">
        <x:v>2</x:v>
      </x:c>
      <x:c r="Q2266" s="13" t="n">
        <x:f>IF(H2266="","",H2266/1000000000)</x:f>
        <x:v>2.2</x:v>
      </x:c>
      <x:c r="R2266" s="13" t="n">
        <x:f>IF(I2266="","",I2266/1000000)</x:f>
        <x:v>183.33333333333334</x:v>
      </x:c>
    </x:row>
    <x:row r="2267" ht="21" customHeight="1">
      <x:c r="A2267" s="10" t="n">
        <x:v>3225</x:v>
      </x:c>
      <x:c r="B2267" s="2" t="str">
        <x:v>6d6912938fc12ada6655</x:v>
      </x:c>
      <x:c r="C2267" s="2" t="str">
        <x:v>Hà Nội</x:v>
      </x:c>
      <x:c r="D2267" s="2" t="str">
        <x:v>Huyện Hoài Đức</x:v>
      </x:c>
      <x:c r="E2267" s="2" t="str">
        <x:v>apartment</x:v>
      </x:c>
      <x:c r="F2267" s="2" t="str">
        <x:v>sale_assumed</x:v>
      </x:c>
      <x:c r="G2267" s="11" t="n">
        <x:v>71</x:v>
      </x:c>
      <x:c r="H2267" s="12" t="n">
        <x:v>22000000</x:v>
      </x:c>
      <x:c r="I2267" s="12" t="n">
        <x:v>309859.1549295775</x:v>
      </x:c>
      <x:c r="J2267" s="2" t="str">
        <x:v>total</x:v>
      </x:c>
      <x:c r="K2267" s="2" t="str">
        <x:v>top_level_area</x:v>
      </x:c>
      <x:c r="L2267" s="2" t="str">
        <x:v>property_type_inferred_from_title;transaction_assumed_sale_from_dataset_context</x:v>
      </x:c>
      <x:c r="M2267" s="10" t="n">
        <x:v>0</x:v>
      </x:c>
      <x:c r="N2267" s="10" t="n">
        <x:v>0</x:v>
      </x:c>
      <x:c r="O2267" s="2" t="str">
        <x:v>Hà Nội|apartment</x:v>
      </x:c>
      <x:c r="P2267" s="10" t="n">
        <x:v>1</x:v>
      </x:c>
      <x:c r="Q2267" s="13" t="n">
        <x:f>IF(H2267="","",H2267/1000000000)</x:f>
        <x:v>0.022</x:v>
      </x:c>
      <x:c r="R2267" s="13" t="n">
        <x:f>IF(I2267="","",I2267/1000000)</x:f>
        <x:v>0.3098591549295775</x:v>
      </x:c>
    </x:row>
    <x:row r="2268" ht="21" customHeight="1">
      <x:c r="A2268" s="10" t="n">
        <x:v>3226</x:v>
      </x:c>
      <x:c r="B2268" s="2" t="str">
        <x:v>d7515e307f43fd29e29b</x:v>
      </x:c>
      <x:c r="C2268" s="2" t="str">
        <x:v>Tp Hồ Chí Minh</x:v>
      </x:c>
      <x:c r="D2268" s="2" t="str">
        <x:v>Quận 9</x:v>
      </x:c>
      <x:c r="E2268" s="2" t="str">
        <x:v>house</x:v>
      </x:c>
      <x:c r="F2268" s="2" t="str">
        <x:v>sale_assumed</x:v>
      </x:c>
      <x:c r="G2268" s="11" t="n">
        <x:v>75</x:v>
      </x:c>
      <x:c r="H2268" s="12" t="n">
        <x:v>1390000000</x:v>
      </x:c>
      <x:c r="I2268" s="12" t="n">
        <x:v>18533333.333333332</x:v>
      </x:c>
      <x:c r="J2268" s="2" t="str">
        <x:v>total</x:v>
      </x:c>
      <x:c r="K2268" s="2" t="str">
        <x:v>top_level_price_embedded_area</x:v>
      </x:c>
      <x:c r="L2268" s="2" t="str">
        <x:v>area_recovered_from_price_text;property_type_inferred_from_title;transaction_assumed_sale_from_dataset_context</x:v>
      </x:c>
      <x:c r="M2268" s="10" t="n">
        <x:v>0</x:v>
      </x:c>
      <x:c r="N2268" s="10" t="n">
        <x:v>0</x:v>
      </x:c>
      <x:c r="O2268" s="2" t="str">
        <x:v>Tp Hồ Chí Minh|house</x:v>
      </x:c>
      <x:c r="P2268" s="10" t="n">
        <x:v>2</x:v>
      </x:c>
      <x:c r="Q2268" s="13" t="n">
        <x:f>IF(H2268="","",H2268/1000000000)</x:f>
        <x:v>1.39</x:v>
      </x:c>
      <x:c r="R2268" s="13" t="n">
        <x:f>IF(I2268="","",I2268/1000000)</x:f>
        <x:v>18.53333333333333</x:v>
      </x:c>
    </x:row>
    <x:row r="2269" ht="21" customHeight="1">
      <x:c r="A2269" s="10" t="n">
        <x:v>3227</x:v>
      </x:c>
      <x:c r="B2269" s="2" t="str">
        <x:v>c543bfbbe6e89b6c2f48</x:v>
      </x:c>
      <x:c r="C2269" s="2" t="str">
        <x:v>Cần Thơ</x:v>
      </x:c>
      <x:c r="D2269" s="2" t="str">
        <x:v>Quận Cái Răng</x:v>
      </x:c>
      <x:c r="E2269" s="2" t="str">
        <x:v>land</x:v>
      </x:c>
      <x:c r="F2269" s="2" t="str">
        <x:v>sale_assumed</x:v>
      </x:c>
      <x:c r="G2269" s="11" t="n">
        <x:v>80</x:v>
      </x:c>
      <x:c r="H2269" s="12" t="n">
        <x:v>680000000</x:v>
      </x:c>
      <x:c r="I2269" s="12" t="n">
        <x:v>8500000</x:v>
      </x:c>
      <x:c r="J2269" s="2" t="str">
        <x:v>total</x:v>
      </x:c>
      <x:c r="K2269" s="2" t="str">
        <x:v>top_level_area</x:v>
      </x:c>
      <x:c r="L2269" s="2" t="str">
        <x:v>property_type_inferred_from_title;transaction_assumed_sale_from_dataset_context</x:v>
      </x:c>
      <x:c r="M2269" s="10" t="n">
        <x:v>0</x:v>
      </x:c>
      <x:c r="N2269" s="10" t="n">
        <x:v>0</x:v>
      </x:c>
      <x:c r="O2269" s="2" t="str">
        <x:v>Cần Thơ|land</x:v>
      </x:c>
      <x:c r="P2269" s="10" t="n">
        <x:v>2</x:v>
      </x:c>
      <x:c r="Q2269" s="13" t="n">
        <x:f>IF(H2269="","",H2269/1000000000)</x:f>
        <x:v>0.68</x:v>
      </x:c>
      <x:c r="R2269" s="13" t="n">
        <x:f>IF(I2269="","",I2269/1000000)</x:f>
        <x:v>8.5</x:v>
      </x:c>
    </x:row>
    <x:row r="2270" ht="21" customHeight="1">
      <x:c r="A2270" s="10" t="n">
        <x:v>3228</x:v>
      </x:c>
      <x:c r="B2270" s="2" t="str">
        <x:v>1c3fd0766f5067a38f6a</x:v>
      </x:c>
      <x:c r="C2270" s="2" t="str">
        <x:v>Tp Hồ Chí Minh</x:v>
      </x:c>
      <x:c r="D2270" s="2" t="str">
        <x:v>Quận Gò Vấp</x:v>
      </x:c>
      <x:c r="E2270" s="2" t="str">
        <x:v>apartment</x:v>
      </x:c>
      <x:c r="F2270" s="2" t="str">
        <x:v>sale_assumed</x:v>
      </x:c>
      <x:c r="G2270" s="11" t="n">
        <x:v>78</x:v>
      </x:c>
      <x:c r="H2270" s="12" t="n">
        <x:v>2200000000</x:v>
      </x:c>
      <x:c r="I2270" s="12" t="n">
        <x:v>28205128.205128204</x:v>
      </x:c>
      <x:c r="J2270" s="2" t="str">
        <x:v>total</x:v>
      </x:c>
      <x:c r="K2270" s="2" t="str">
        <x:v>top_level_area</x:v>
      </x:c>
      <x:c r="L2270" s="2" t="str">
        <x:v>property_type_inferred_from_title;transaction_assumed_sale_from_dataset_context</x:v>
      </x:c>
      <x:c r="M2270" s="10" t="n">
        <x:v>0</x:v>
      </x:c>
      <x:c r="N2270" s="10" t="n">
        <x:v>0</x:v>
      </x:c>
      <x:c r="O2270" s="2" t="str">
        <x:v>Tp Hồ Chí Minh|apartment</x:v>
      </x:c>
      <x:c r="P2270" s="10" t="n">
        <x:v>2</x:v>
      </x:c>
      <x:c r="Q2270" s="13" t="n">
        <x:f>IF(H2270="","",H2270/1000000000)</x:f>
        <x:v>2.2</x:v>
      </x:c>
      <x:c r="R2270" s="13" t="n">
        <x:f>IF(I2270="","",I2270/1000000)</x:f>
        <x:v>28.205128205128204</x:v>
      </x:c>
    </x:row>
    <x:row r="2271" ht="21" customHeight="1">
      <x:c r="A2271" s="10" t="n">
        <x:v>3229</x:v>
      </x:c>
      <x:c r="B2271" s="2" t="str">
        <x:v>a0d286432b9e5015ea3c</x:v>
      </x:c>
      <x:c r="C2271" s="2" t="str">
        <x:v>Đà Nẵng</x:v>
      </x:c>
      <x:c r="D2271" s="2" t="str">
        <x:v>Quận Sơn Trà</x:v>
      </x:c>
      <x:c r="E2271" s="2" t="str">
        <x:v>house</x:v>
      </x:c>
      <x:c r="F2271" s="2" t="str">
        <x:v>sale_assumed</x:v>
      </x:c>
      <x:c r="G2271" s="11" t="n">
        <x:v>71</x:v>
      </x:c>
      <x:c r="H2271" s="12" t="n">
        <x:v>4300000000</x:v>
      </x:c>
      <x:c r="I2271" s="12" t="n">
        <x:v>60563380.28169014</x:v>
      </x:c>
      <x:c r="J2271" s="2" t="str">
        <x:v>total</x:v>
      </x:c>
      <x:c r="K2271" s="2" t="str">
        <x:v>top_level_area</x:v>
      </x:c>
      <x:c r="L2271" s="2" t="str">
        <x:v>property_type_inferred_from_title;transaction_assumed_sale_from_dataset_context</x:v>
      </x:c>
      <x:c r="M2271" s="10" t="n">
        <x:v>0</x:v>
      </x:c>
      <x:c r="N2271" s="10" t="n">
        <x:v>0</x:v>
      </x:c>
      <x:c r="O2271" s="2" t="str">
        <x:v>Đà Nẵng|house</x:v>
      </x:c>
      <x:c r="P2271" s="10" t="n">
        <x:v>2</x:v>
      </x:c>
      <x:c r="Q2271" s="13" t="n">
        <x:f>IF(H2271="","",H2271/1000000000)</x:f>
        <x:v>4.3</x:v>
      </x:c>
      <x:c r="R2271" s="13" t="n">
        <x:f>IF(I2271="","",I2271/1000000)</x:f>
        <x:v>60.563380281690144</x:v>
      </x:c>
    </x:row>
    <x:row r="2272" ht="21" customHeight="1">
      <x:c r="A2272" s="10" t="n">
        <x:v>3230</x:v>
      </x:c>
      <x:c r="B2272" s="2" t="str">
        <x:v>7c8510dce84e8ce15085</x:v>
      </x:c>
      <x:c r="C2272" s="2" t="str">
        <x:v>Bà Rịa - Vũng Tàu</x:v>
      </x:c>
      <x:c r="D2272" s="2" t="str">
        <x:v>Thành phố Vũng Tàu</x:v>
      </x:c>
      <x:c r="E2272" s="2" t="str">
        <x:v>land</x:v>
      </x:c>
      <x:c r="F2272" s="2" t="str">
        <x:v>sale</x:v>
      </x:c>
      <x:c r="G2272" s="11" t="n">
        <x:v>165</x:v>
      </x:c>
      <x:c r="H2272" s="12" t="n">
        <x:v>1780000000</x:v>
      </x:c>
      <x:c r="I2272" s="12" t="n">
        <x:v>10787878.787878787</x:v>
      </x:c>
      <x:c r="J2272" s="2" t="str">
        <x:v>total</x:v>
      </x:c>
      <x:c r="K2272" s="2" t="str">
        <x:v>top_level_area</x:v>
      </x:c>
      <x:c r="L2272" s="2" t="str">
        <x:v>property_type_inferred_from_title</x:v>
      </x:c>
      <x:c r="M2272" s="10" t="n">
        <x:v>0</x:v>
      </x:c>
      <x:c r="N2272" s="10" t="n">
        <x:v>0</x:v>
      </x:c>
      <x:c r="O2272" s="2" t="str">
        <x:v>Bà Rịa - Vũng Tàu|land</x:v>
      </x:c>
      <x:c r="P2272" s="10" t="n">
        <x:v>2</x:v>
      </x:c>
      <x:c r="Q2272" s="13" t="n">
        <x:f>IF(H2272="","",H2272/1000000000)</x:f>
        <x:v>1.78</x:v>
      </x:c>
      <x:c r="R2272" s="13" t="n">
        <x:f>IF(I2272="","",I2272/1000000)</x:f>
        <x:v>10.787878787878787</x:v>
      </x:c>
    </x:row>
    <x:row r="2273" ht="21" customHeight="1">
      <x:c r="A2273" s="10" t="n">
        <x:v>3231</x:v>
      </x:c>
      <x:c r="B2273" s="2" t="str">
        <x:v>6394e2e4e7978c9ccf28</x:v>
      </x:c>
      <x:c r="C2273" s="2" t="str">
        <x:v>Tp Hồ Chí Minh</x:v>
      </x:c>
      <x:c r="D2273" s="2" t="str">
        <x:v>Quận 8</x:v>
      </x:c>
      <x:c r="E2273" s="2" t="str">
        <x:v>house</x:v>
      </x:c>
      <x:c r="F2273" s="2" t="str">
        <x:v>sale</x:v>
      </x:c>
      <x:c r="G2273" s="11" t="n">
        <x:v>58</x:v>
      </x:c>
      <x:c r="H2273" s="12" t="n">
        <x:v>990000000</x:v>
      </x:c>
      <x:c r="I2273" s="12" t="n">
        <x:v>17068965.51724138</x:v>
      </x:c>
      <x:c r="J2273" s="2" t="str">
        <x:v>total</x:v>
      </x:c>
      <x:c r="K2273" s="2" t="str">
        <x:v>top_level_area</x:v>
      </x:c>
      <x:c r="L2273" s="2" t="str">
        <x:v>property_type_inferred_from_title</x:v>
      </x:c>
      <x:c r="M2273" s="10" t="n">
        <x:v>0</x:v>
      </x:c>
      <x:c r="N2273" s="10" t="n">
        <x:v>0</x:v>
      </x:c>
      <x:c r="O2273" s="2" t="str">
        <x:v>Tp Hồ Chí Minh|house</x:v>
      </x:c>
      <x:c r="P2273" s="10" t="n">
        <x:v>2</x:v>
      </x:c>
      <x:c r="Q2273" s="13" t="n">
        <x:f>IF(H2273="","",H2273/1000000000)</x:f>
        <x:v>0.99</x:v>
      </x:c>
      <x:c r="R2273" s="13" t="n">
        <x:f>IF(I2273="","",I2273/1000000)</x:f>
        <x:v>17.06896551724138</x:v>
      </x:c>
    </x:row>
    <x:row r="2274" ht="21" customHeight="1">
      <x:c r="A2274" s="10" t="n">
        <x:v>3233</x:v>
      </x:c>
      <x:c r="B2274" s="2" t="str">
        <x:v>723ea14d47086f3cca37</x:v>
      </x:c>
      <x:c r="C2274" s="2" t="str">
        <x:v>Tp Hồ Chí Minh</x:v>
      </x:c>
      <x:c r="D2274" s="2" t="str">
        <x:v>Quận Thủ Đức</x:v>
      </x:c>
      <x:c r="E2274" s="2" t="str">
        <x:v>land</x:v>
      </x:c>
      <x:c r="F2274" s="2" t="str">
        <x:v>sale_assumed</x:v>
      </x:c>
      <x:c r="G2274" s="11" t="n">
        <x:v>436</x:v>
      </x:c>
      <x:c r="H2274" s="12" t="n">
        <x:v>28300000000</x:v>
      </x:c>
      <x:c r="I2274" s="12" t="n">
        <x:v>64908256.880733944</x:v>
      </x:c>
      <x:c r="J2274" s="2" t="str">
        <x:v>total</x:v>
      </x:c>
      <x:c r="K2274" s="2" t="str">
        <x:v>top_level_area</x:v>
      </x:c>
      <x:c r="L2274" s="2" t="str">
        <x:v>property_type_inferred_from_title;transaction_assumed_sale_from_dataset_context</x:v>
      </x:c>
      <x:c r="M2274" s="10" t="n">
        <x:v>0</x:v>
      </x:c>
      <x:c r="N2274" s="10" t="n">
        <x:v>0</x:v>
      </x:c>
      <x:c r="O2274" s="2" t="str">
        <x:v>Tp Hồ Chí Minh|land</x:v>
      </x:c>
      <x:c r="P2274" s="10" t="n">
        <x:v>2</x:v>
      </x:c>
      <x:c r="Q2274" s="13" t="n">
        <x:f>IF(H2274="","",H2274/1000000000)</x:f>
        <x:v>28.3</x:v>
      </x:c>
      <x:c r="R2274" s="13" t="n">
        <x:f>IF(I2274="","",I2274/1000000)</x:f>
        <x:v>64.90825688073394</x:v>
      </x:c>
    </x:row>
    <x:row r="2275" ht="21" customHeight="1">
      <x:c r="A2275" s="10" t="n">
        <x:v>3236</x:v>
      </x:c>
      <x:c r="B2275" s="2" t="str">
        <x:v>f1b096cc2eb631a8c40f</x:v>
      </x:c>
      <x:c r="C2275" s="2" t="str">
        <x:v>Hà Nội</x:v>
      </x:c>
      <x:c r="D2275" s="2" t="str">
        <x:v>Quận Hai Bà Trưng</x:v>
      </x:c>
      <x:c r="E2275" s="2" t="str">
        <x:v>house</x:v>
      </x:c>
      <x:c r="F2275" s="2" t="str">
        <x:v>sale</x:v>
      </x:c>
      <x:c r="G2275" s="11" t="n">
        <x:v>101</x:v>
      </x:c>
      <x:c r="H2275" s="12" t="n">
        <x:v>3250000000</x:v>
      </x:c>
      <x:c r="I2275" s="12" t="n">
        <x:v>32178217.82178218</x:v>
      </x:c>
      <x:c r="J2275" s="2" t="str">
        <x:v>total</x:v>
      </x:c>
      <x:c r="K2275" s="2" t="str">
        <x:v>top_level_area</x:v>
      </x:c>
      <x:c r="L2275" s="2" t="str">
        <x:v>property_type_inferred_from_title</x:v>
      </x:c>
      <x:c r="M2275" s="10" t="n">
        <x:v>0</x:v>
      </x:c>
      <x:c r="N2275" s="10" t="n">
        <x:v>0</x:v>
      </x:c>
      <x:c r="O2275" s="2" t="str">
        <x:v>Hà Nội|house</x:v>
      </x:c>
      <x:c r="P2275" s="10" t="n">
        <x:v>2</x:v>
      </x:c>
      <x:c r="Q2275" s="13" t="n">
        <x:f>IF(H2275="","",H2275/1000000000)</x:f>
        <x:v>3.25</x:v>
      </x:c>
      <x:c r="R2275" s="13" t="n">
        <x:f>IF(I2275="","",I2275/1000000)</x:f>
        <x:v>32.17821782178218</x:v>
      </x:c>
    </x:row>
    <x:row r="2276" ht="21" customHeight="1">
      <x:c r="A2276" s="10" t="n">
        <x:v>3237</x:v>
      </x:c>
      <x:c r="B2276" s="2" t="str">
        <x:v>b02922ceaa7ff6d7c147</x:v>
      </x:c>
      <x:c r="C2276" s="2" t="str">
        <x:v>Tp Hồ Chí Minh</x:v>
      </x:c>
      <x:c r="D2276" s="2" t="str">
        <x:v>Quận Bình Thạnh</x:v>
      </x:c>
      <x:c r="E2276" s="2" t="str">
        <x:v>house</x:v>
      </x:c>
      <x:c r="F2276" s="2" t="str">
        <x:v>sale_assumed</x:v>
      </x:c>
      <x:c r="G2276" s="11" t="n">
        <x:v>42</x:v>
      </x:c>
      <x:c r="H2276" s="12" t="n">
        <x:v>6400000000</x:v>
      </x:c>
      <x:c r="I2276" s="12" t="n">
        <x:v>152380952.3809524</x:v>
      </x:c>
      <x:c r="J2276" s="2" t="str">
        <x:v>total</x:v>
      </x:c>
      <x:c r="K2276" s="2" t="str">
        <x:v>top_level_area</x:v>
      </x:c>
      <x:c r="L2276" s="2" t="str">
        <x:v>property_type_inferred_from_title;transaction_assumed_sale_from_dataset_context</x:v>
      </x:c>
      <x:c r="M2276" s="10" t="n">
        <x:v>0</x:v>
      </x:c>
      <x:c r="N2276" s="10" t="n">
        <x:v>0</x:v>
      </x:c>
      <x:c r="O2276" s="2" t="str">
        <x:v>Tp Hồ Chí Minh|house</x:v>
      </x:c>
      <x:c r="P2276" s="10" t="n">
        <x:v>2</x:v>
      </x:c>
      <x:c r="Q2276" s="13" t="n">
        <x:f>IF(H2276="","",H2276/1000000000)</x:f>
        <x:v>6.4</x:v>
      </x:c>
      <x:c r="R2276" s="13" t="n">
        <x:f>IF(I2276="","",I2276/1000000)</x:f>
        <x:v>152.38095238095238</x:v>
      </x:c>
    </x:row>
    <x:row r="2277" ht="21" customHeight="1">
      <x:c r="A2277" s="10" t="n">
        <x:v>3238</x:v>
      </x:c>
      <x:c r="B2277" s="2" t="str">
        <x:v>2b370fb9c9c78fdd21ad</x:v>
      </x:c>
      <x:c r="C2277" s="2" t="str">
        <x:v>Đà Nẵng</x:v>
      </x:c>
      <x:c r="D2277" s="2" t="str">
        <x:v>Quận Liên Chiểu</x:v>
      </x:c>
      <x:c r="E2277" s="2" t="str">
        <x:v>house</x:v>
      </x:c>
      <x:c r="F2277" s="2" t="str">
        <x:v>sale_assumed</x:v>
      </x:c>
      <x:c r="G2277" s="11" t="n">
        <x:v>100</x:v>
      </x:c>
      <x:c r="H2277" s="12" t="n">
        <x:v>3600000000</x:v>
      </x:c>
      <x:c r="I2277" s="12" t="n">
        <x:v>36000000</x:v>
      </x:c>
      <x:c r="J2277" s="2" t="str">
        <x:v>total</x:v>
      </x:c>
      <x:c r="K2277" s="2" t="str">
        <x:v>top_level_area</x:v>
      </x:c>
      <x:c r="L2277" s="2" t="str">
        <x:v>property_type_inferred_from_title;transaction_assumed_sale_from_dataset_context</x:v>
      </x:c>
      <x:c r="M2277" s="10" t="n">
        <x:v>0</x:v>
      </x:c>
      <x:c r="N2277" s="10" t="n">
        <x:v>0</x:v>
      </x:c>
      <x:c r="O2277" s="2" t="str">
        <x:v>Đà Nẵng|house</x:v>
      </x:c>
      <x:c r="P2277" s="10" t="n">
        <x:v>2</x:v>
      </x:c>
      <x:c r="Q2277" s="13" t="n">
        <x:f>IF(H2277="","",H2277/1000000000)</x:f>
        <x:v>3.6</x:v>
      </x:c>
      <x:c r="R2277" s="13" t="n">
        <x:f>IF(I2277="","",I2277/1000000)</x:f>
        <x:v>36</x:v>
      </x:c>
    </x:row>
    <x:row r="2278" ht="21" customHeight="1">
      <x:c r="A2278" s="10" t="n">
        <x:v>3239</x:v>
      </x:c>
      <x:c r="B2278" s="2" t="str">
        <x:v>bda642383773d99f9853</x:v>
      </x:c>
      <x:c r="C2278" s="2" t="str">
        <x:v>Bình Dương</x:v>
      </x:c>
      <x:c r="D2278" s="2" t="str">
        <x:v>Thị xã Tân Uyên</x:v>
      </x:c>
      <x:c r="E2278" s="2" t="str">
        <x:v>land</x:v>
      </x:c>
      <x:c r="F2278" s="2" t="str">
        <x:v>sale_assumed</x:v>
      </x:c>
      <x:c r="G2278" s="11" t="n">
        <x:v>130</x:v>
      </x:c>
      <x:c r="H2278" s="12" t="n">
        <x:v>900000000</x:v>
      </x:c>
      <x:c r="I2278" s="12" t="n">
        <x:v>6923076.923076923</x:v>
      </x:c>
      <x:c r="J2278" s="2" t="str">
        <x:v>total</x:v>
      </x:c>
      <x:c r="K2278" s="2" t="str">
        <x:v>top_level_area</x:v>
      </x:c>
      <x:c r="L2278" s="2" t="str">
        <x:v>property_type_inferred_from_title;transaction_assumed_sale_from_dataset_context</x:v>
      </x:c>
      <x:c r="M2278" s="10" t="n">
        <x:v>0</x:v>
      </x:c>
      <x:c r="N2278" s="10" t="n">
        <x:v>0</x:v>
      </x:c>
      <x:c r="O2278" s="2" t="str">
        <x:v>Bình Dương|land</x:v>
      </x:c>
      <x:c r="P2278" s="10" t="n">
        <x:v>2</x:v>
      </x:c>
      <x:c r="Q2278" s="13" t="n">
        <x:f>IF(H2278="","",H2278/1000000000)</x:f>
        <x:v>0.9</x:v>
      </x:c>
      <x:c r="R2278" s="13" t="n">
        <x:f>IF(I2278="","",I2278/1000000)</x:f>
        <x:v>6.923076923076923</x:v>
      </x:c>
    </x:row>
    <x:row r="2279" ht="21" customHeight="1">
      <x:c r="A2279" s="10" t="n">
        <x:v>3240</x:v>
      </x:c>
      <x:c r="B2279" s="2" t="str">
        <x:v>37b7f8c0bde7b9568332</x:v>
      </x:c>
      <x:c r="C2279" s="2" t="str">
        <x:v>Tp Hồ Chí Minh</x:v>
      </x:c>
      <x:c r="D2279" s="2" t="str">
        <x:v>Quận Bình Tân</x:v>
      </x:c>
      <x:c r="E2279" s="2" t="str">
        <x:v>house</x:v>
      </x:c>
      <x:c r="F2279" s="2" t="str">
        <x:v>sale_assumed</x:v>
      </x:c>
      <x:c r="G2279" s="11" t="n">
        <x:v>200</x:v>
      </x:c>
      <x:c r="H2279" s="12" t="n">
        <x:v>6400000000</x:v>
      </x:c>
      <x:c r="I2279" s="12" t="n">
        <x:v>32000000</x:v>
      </x:c>
      <x:c r="J2279" s="2" t="str">
        <x:v>total</x:v>
      </x:c>
      <x:c r="K2279" s="2" t="str">
        <x:v>top_level_area</x:v>
      </x:c>
      <x:c r="L2279" s="2" t="str">
        <x:v>property_type_inferred_from_title;transaction_assumed_sale_from_dataset_context</x:v>
      </x:c>
      <x:c r="M2279" s="10" t="n">
        <x:v>0</x:v>
      </x:c>
      <x:c r="N2279" s="10" t="n">
        <x:v>0</x:v>
      </x:c>
      <x:c r="O2279" s="2" t="str">
        <x:v>Tp Hồ Chí Minh|house</x:v>
      </x:c>
      <x:c r="P2279" s="10" t="n">
        <x:v>2</x:v>
      </x:c>
      <x:c r="Q2279" s="13" t="n">
        <x:f>IF(H2279="","",H2279/1000000000)</x:f>
        <x:v>6.4</x:v>
      </x:c>
      <x:c r="R2279" s="13" t="n">
        <x:f>IF(I2279="","",I2279/1000000)</x:f>
        <x:v>32</x:v>
      </x:c>
    </x:row>
    <x:row r="2280" ht="21" customHeight="1">
      <x:c r="A2280" s="10" t="n">
        <x:v>3241</x:v>
      </x:c>
      <x:c r="B2280" s="2" t="str">
        <x:v>f05fce1575fecbc597ca</x:v>
      </x:c>
      <x:c r="C2280" s="2" t="str">
        <x:v>Bà Rịa - Vũng Tàu</x:v>
      </x:c>
      <x:c r="D2280" s="2" t="str">
        <x:v>Huyện Đất Đỏ</x:v>
      </x:c>
      <x:c r="E2280" s="2" t="str">
        <x:v>land</x:v>
      </x:c>
      <x:c r="F2280" s="2" t="str">
        <x:v>sale</x:v>
      </x:c>
      <x:c r="G2280" s="11" t="n">
        <x:v>350</x:v>
      </x:c>
      <x:c r="H2280" s="12" t="n">
        <x:v>1500000000</x:v>
      </x:c>
      <x:c r="I2280" s="12" t="n">
        <x:v>4285714.285714285</x:v>
      </x:c>
      <x:c r="J2280" s="2" t="str">
        <x:v>total</x:v>
      </x:c>
      <x:c r="K2280" s="2" t="str">
        <x:v>top_level_area</x:v>
      </x:c>
      <x:c r="L2280" s="2" t="str">
        <x:v>property_type_inferred_from_title</x:v>
      </x:c>
      <x:c r="M2280" s="10" t="n">
        <x:v>0</x:v>
      </x:c>
      <x:c r="N2280" s="10" t="n">
        <x:v>0</x:v>
      </x:c>
      <x:c r="O2280" s="2" t="str">
        <x:v>Bà Rịa - Vũng Tàu|land</x:v>
      </x:c>
      <x:c r="P2280" s="10" t="n">
        <x:v>1</x:v>
      </x:c>
      <x:c r="Q2280" s="13" t="n">
        <x:f>IF(H2280="","",H2280/1000000000)</x:f>
        <x:v>1.5</x:v>
      </x:c>
      <x:c r="R2280" s="13" t="n">
        <x:f>IF(I2280="","",I2280/1000000)</x:f>
        <x:v>4.285714285714286</x:v>
      </x:c>
    </x:row>
    <x:row r="2281" ht="21" customHeight="1">
      <x:c r="A2281" s="10" t="n">
        <x:v>3242</x:v>
      </x:c>
      <x:c r="B2281" s="2" t="str">
        <x:v>5f3916fb51090f7c99ee</x:v>
      </x:c>
      <x:c r="C2281" s="2" t="str">
        <x:v>Đà Nẵng</x:v>
      </x:c>
      <x:c r="D2281" s="2" t="str">
        <x:v>Quận Sơn Trà</x:v>
      </x:c>
      <x:c r="E2281" s="2" t="str">
        <x:v>apartment</x:v>
      </x:c>
      <x:c r="F2281" s="2" t="str">
        <x:v>sale</x:v>
      </x:c>
      <x:c r="G2281" s="11" t="n">
        <x:v>63.6</x:v>
      </x:c>
      <x:c r="H2281" s="12" t="n">
        <x:v>3200000000</x:v>
      </x:c>
      <x:c r="I2281" s="12" t="n">
        <x:v>50314465.40880503</x:v>
      </x:c>
      <x:c r="J2281" s="2" t="str">
        <x:v>total</x:v>
      </x:c>
      <x:c r="K2281" s="2" t="str">
        <x:v>top_level_area</x:v>
      </x:c>
      <x:c r="L2281" s="2" t="str">
        <x:v>property_type_inferred_from_title</x:v>
      </x:c>
      <x:c r="M2281" s="10" t="n">
        <x:v>0</x:v>
      </x:c>
      <x:c r="N2281" s="10" t="n">
        <x:v>0</x:v>
      </x:c>
      <x:c r="O2281" s="2" t="str">
        <x:v>apartment</x:v>
      </x:c>
      <x:c r="P2281" s="10" t="n">
        <x:v>2</x:v>
      </x:c>
      <x:c r="Q2281" s="13" t="n">
        <x:f>IF(H2281="","",H2281/1000000000)</x:f>
        <x:v>3.2</x:v>
      </x:c>
      <x:c r="R2281" s="13" t="n">
        <x:f>IF(I2281="","",I2281/1000000)</x:f>
        <x:v>50.31446540880503</x:v>
      </x:c>
    </x:row>
    <x:row r="2282" ht="21" customHeight="1">
      <x:c r="A2282" s="10" t="n">
        <x:v>3243</x:v>
      </x:c>
      <x:c r="B2282" s="2" t="str">
        <x:v>7b3ca65074a31afc7bce</x:v>
      </x:c>
      <x:c r="C2282" s="2" t="str">
        <x:v>Tp Hồ Chí Minh</x:v>
      </x:c>
      <x:c r="D2282" s="2" t="str">
        <x:v>Quận 9</x:v>
      </x:c>
      <x:c r="E2282" s="2" t="str">
        <x:v>house</x:v>
      </x:c>
      <x:c r="F2282" s="2" t="str">
        <x:v>sale</x:v>
      </x:c>
      <x:c r="G2282" s="11" t="n">
        <x:v>75</x:v>
      </x:c>
      <x:c r="H2282" s="12" t="n">
        <x:v>1850000000</x:v>
      </x:c>
      <x:c r="I2282" s="12" t="n">
        <x:v>24666666.666666668</x:v>
      </x:c>
      <x:c r="J2282" s="2" t="str">
        <x:v>total</x:v>
      </x:c>
      <x:c r="K2282" s="2" t="str">
        <x:v>top_level_price_embedded_area</x:v>
      </x:c>
      <x:c r="L2282" s="2" t="str">
        <x:v>area_recovered_from_price_text;property_type_inferred_from_title</x:v>
      </x:c>
      <x:c r="M2282" s="10" t="n">
        <x:v>0</x:v>
      </x:c>
      <x:c r="N2282" s="10" t="n">
        <x:v>0</x:v>
      </x:c>
      <x:c r="O2282" s="2" t="str">
        <x:v>Tp Hồ Chí Minh|house</x:v>
      </x:c>
      <x:c r="P2282" s="10" t="n">
        <x:v>2</x:v>
      </x:c>
      <x:c r="Q2282" s="13" t="n">
        <x:f>IF(H2282="","",H2282/1000000000)</x:f>
        <x:v>1.85</x:v>
      </x:c>
      <x:c r="R2282" s="13" t="n">
        <x:f>IF(I2282="","",I2282/1000000)</x:f>
        <x:v>24.666666666666668</x:v>
      </x:c>
    </x:row>
    <x:row r="2283" ht="21" customHeight="1">
      <x:c r="A2283" s="10" t="n">
        <x:v>3244</x:v>
      </x:c>
      <x:c r="B2283" s="2" t="str">
        <x:v>a2aa372080c712f91c61</x:v>
      </x:c>
      <x:c r="C2283" s="2" t="str">
        <x:v>Tp Hồ Chí Minh</x:v>
      </x:c>
      <x:c r="D2283" s="2" t="str">
        <x:v>Quận 9</x:v>
      </x:c>
      <x:c r="E2283" s="2" t="str">
        <x:v>land</x:v>
      </x:c>
      <x:c r="F2283" s="2" t="str">
        <x:v>sale</x:v>
      </x:c>
      <x:c r="G2283" s="11" t="n">
        <x:v>127</x:v>
      </x:c>
      <x:c r="H2283" s="12" t="n">
        <x:v>4450000000</x:v>
      </x:c>
      <x:c r="I2283" s="12" t="n">
        <x:v>35039370.07874016</x:v>
      </x:c>
      <x:c r="J2283" s="2" t="str">
        <x:v>total</x:v>
      </x:c>
      <x:c r="K2283" s="2" t="str">
        <x:v>top_level_area</x:v>
      </x:c>
      <x:c r="L2283" s="2" t="str">
        <x:v>property_type_inferred_from_title</x:v>
      </x:c>
      <x:c r="M2283" s="10" t="n">
        <x:v>0</x:v>
      </x:c>
      <x:c r="N2283" s="10" t="n">
        <x:v>0</x:v>
      </x:c>
      <x:c r="O2283" s="2" t="str">
        <x:v>Tp Hồ Chí Minh|land</x:v>
      </x:c>
      <x:c r="P2283" s="10" t="n">
        <x:v>2</x:v>
      </x:c>
      <x:c r="Q2283" s="13" t="n">
        <x:f>IF(H2283="","",H2283/1000000000)</x:f>
        <x:v>4.45</x:v>
      </x:c>
      <x:c r="R2283" s="13" t="n">
        <x:f>IF(I2283="","",I2283/1000000)</x:f>
        <x:v>35.039370078740156</x:v>
      </x:c>
    </x:row>
    <x:row r="2284" ht="21" customHeight="1">
      <x:c r="A2284" s="10" t="n">
        <x:v>3245</x:v>
      </x:c>
      <x:c r="B2284" s="2" t="str">
        <x:v>4e34f65294fbb6695347</x:v>
      </x:c>
      <x:c r="C2284" s="2" t="str">
        <x:v>Tp Hồ Chí Minh</x:v>
      </x:c>
      <x:c r="D2284" s="2" t="str">
        <x:v>Quận Bình Thạnh</x:v>
      </x:c>
      <x:c r="E2284" s="2" t="str">
        <x:v>house</x:v>
      </x:c>
      <x:c r="F2284" s="2" t="str">
        <x:v>sale</x:v>
      </x:c>
      <x:c r="G2284" s="11" t="n">
        <x:v>64</x:v>
      </x:c>
      <x:c r="H2284" s="12" t="n">
        <x:v>1100000000</x:v>
      </x:c>
      <x:c r="I2284" s="12" t="n">
        <x:v>17187500</x:v>
      </x:c>
      <x:c r="J2284" s="2" t="str">
        <x:v>total</x:v>
      </x:c>
      <x:c r="K2284" s="2" t="str">
        <x:v>top_level_area</x:v>
      </x:c>
      <x:c r="L2284" s="2" t="str">
        <x:v>property_type_inferred_from_title</x:v>
      </x:c>
      <x:c r="M2284" s="10" t="n">
        <x:v>0</x:v>
      </x:c>
      <x:c r="N2284" s="10" t="n">
        <x:v>0</x:v>
      </x:c>
      <x:c r="O2284" s="2" t="str">
        <x:v>Tp Hồ Chí Minh|house</x:v>
      </x:c>
      <x:c r="P2284" s="10" t="n">
        <x:v>2</x:v>
      </x:c>
      <x:c r="Q2284" s="13" t="n">
        <x:f>IF(H2284="","",H2284/1000000000)</x:f>
        <x:v>1.1</x:v>
      </x:c>
      <x:c r="R2284" s="13" t="n">
        <x:f>IF(I2284="","",I2284/1000000)</x:f>
        <x:v>17.1875</x:v>
      </x:c>
    </x:row>
    <x:row r="2285" ht="21" customHeight="1">
      <x:c r="A2285" s="10" t="n">
        <x:v>3246</x:v>
      </x:c>
      <x:c r="B2285" s="2" t="str">
        <x:v>7963f981314f472a9736</x:v>
      </x:c>
      <x:c r="C2285" s="2" t="str">
        <x:v>Tp Hồ Chí Minh</x:v>
      </x:c>
      <x:c r="D2285" s="2" t="str">
        <x:v>Quận 9</x:v>
      </x:c>
      <x:c r="E2285" s="2" t="str">
        <x:v>house</x:v>
      </x:c>
      <x:c r="F2285" s="2" t="str">
        <x:v>sale</x:v>
      </x:c>
      <x:c r="G2285" s="11" t="n">
        <x:v>67</x:v>
      </x:c>
      <x:c r="H2285" s="12" t="n">
        <x:v>1370000000</x:v>
      </x:c>
      <x:c r="I2285" s="12" t="n">
        <x:v>20447761.19402985</x:v>
      </x:c>
      <x:c r="J2285" s="2" t="str">
        <x:v>total</x:v>
      </x:c>
      <x:c r="K2285" s="2" t="str">
        <x:v>top_level_area</x:v>
      </x:c>
      <x:c r="L2285" s="2" t="str">
        <x:v>property_type_inferred_from_title</x:v>
      </x:c>
      <x:c r="M2285" s="10" t="n">
        <x:v>0</x:v>
      </x:c>
      <x:c r="N2285" s="10" t="n">
        <x:v>0</x:v>
      </x:c>
      <x:c r="O2285" s="2" t="str">
        <x:v>Tp Hồ Chí Minh|house</x:v>
      </x:c>
      <x:c r="P2285" s="10" t="n">
        <x:v>2</x:v>
      </x:c>
      <x:c r="Q2285" s="13" t="n">
        <x:f>IF(H2285="","",H2285/1000000000)</x:f>
        <x:v>1.37</x:v>
      </x:c>
      <x:c r="R2285" s="13" t="n">
        <x:f>IF(I2285="","",I2285/1000000)</x:f>
        <x:v>20.447761194029848</x:v>
      </x:c>
    </x:row>
    <x:row r="2286" ht="21" customHeight="1">
      <x:c r="A2286" s="10" t="n">
        <x:v>3247</x:v>
      </x:c>
      <x:c r="B2286" s="2" t="str">
        <x:v>ebec08986c0976e1b1b4</x:v>
      </x:c>
      <x:c r="C2286" s="2" t="str">
        <x:v>Tp Hồ Chí Minh</x:v>
      </x:c>
      <x:c r="D2286" s="2" t="str">
        <x:v>Huyện Bình Chánh</x:v>
      </x:c>
      <x:c r="E2286" s="2" t="str">
        <x:v>house</x:v>
      </x:c>
      <x:c r="F2286" s="2" t="str">
        <x:v>sale</x:v>
      </x:c>
      <x:c r="G2286" s="11" t="n">
        <x:v>28</x:v>
      </x:c>
      <x:c r="H2286" s="12" t="n">
        <x:v>399000000</x:v>
      </x:c>
      <x:c r="I2286" s="12" t="n">
        <x:v>14250000</x:v>
      </x:c>
      <x:c r="J2286" s="2" t="str">
        <x:v>total</x:v>
      </x:c>
      <x:c r="K2286" s="2" t="str">
        <x:v>top_level_area</x:v>
      </x:c>
      <x:c r="L2286" s="2" t="str">
        <x:v>property_type_inferred_from_title</x:v>
      </x:c>
      <x:c r="M2286" s="10" t="n">
        <x:v>0</x:v>
      </x:c>
      <x:c r="N2286" s="10" t="n">
        <x:v>0</x:v>
      </x:c>
      <x:c r="O2286" s="2" t="str">
        <x:v>Tp Hồ Chí Minh|house</x:v>
      </x:c>
      <x:c r="P2286" s="10" t="n">
        <x:v>2</x:v>
      </x:c>
      <x:c r="Q2286" s="13" t="n">
        <x:f>IF(H2286="","",H2286/1000000000)</x:f>
        <x:v>0.399</x:v>
      </x:c>
      <x:c r="R2286" s="13" t="n">
        <x:f>IF(I2286="","",I2286/1000000)</x:f>
        <x:v>14.25</x:v>
      </x:c>
    </x:row>
    <x:row r="2287" ht="21" customHeight="1">
      <x:c r="A2287" s="10" t="n">
        <x:v>3248</x:v>
      </x:c>
      <x:c r="B2287" s="2" t="str">
        <x:v>f8422517e554212d5937</x:v>
      </x:c>
      <x:c r="C2287" s="2" t="str">
        <x:v>Tp Hồ Chí Minh</x:v>
      </x:c>
      <x:c r="D2287" s="2" t="str">
        <x:v>Huyện Củ Chi</x:v>
      </x:c>
      <x:c r="E2287" s="2" t="str">
        <x:v>house</x:v>
      </x:c>
      <x:c r="F2287" s="2" t="str">
        <x:v>sale_assumed</x:v>
      </x:c>
      <x:c r="G2287" s="11" t="n">
        <x:v>45</x:v>
      </x:c>
      <x:c r="H2287" s="12" t="n">
        <x:v>860000000</x:v>
      </x:c>
      <x:c r="I2287" s="12" t="n">
        <x:v>19111111.111111112</x:v>
      </x:c>
      <x:c r="J2287" s="2" t="str">
        <x:v>total</x:v>
      </x:c>
      <x:c r="K2287" s="2" t="str">
        <x:v>top_level_price_embedded_area</x:v>
      </x:c>
      <x:c r="L2287" s="2" t="str">
        <x:v>area_recovered_from_price_text;property_type_inferred_from_title;transaction_assumed_sale_from_dataset_context</x:v>
      </x:c>
      <x:c r="M2287" s="10" t="n">
        <x:v>0</x:v>
      </x:c>
      <x:c r="N2287" s="10" t="n">
        <x:v>0</x:v>
      </x:c>
      <x:c r="O2287" s="2" t="str">
        <x:v>Tp Hồ Chí Minh|house</x:v>
      </x:c>
      <x:c r="P2287" s="10" t="n">
        <x:v>2</x:v>
      </x:c>
      <x:c r="Q2287" s="13" t="n">
        <x:f>IF(H2287="","",H2287/1000000000)</x:f>
        <x:v>0.86</x:v>
      </x:c>
      <x:c r="R2287" s="13" t="n">
        <x:f>IF(I2287="","",I2287/1000000)</x:f>
        <x:v>19.11111111111111</x:v>
      </x:c>
    </x:row>
    <x:row r="2288" ht="21" customHeight="1">
      <x:c r="A2288" s="10" t="n">
        <x:v>3249</x:v>
      </x:c>
      <x:c r="B2288" s="2" t="str">
        <x:v>9ecdd3f305e24d6f5bd6</x:v>
      </x:c>
      <x:c r="C2288" s="2" t="str">
        <x:v>Chưa xác định</x:v>
      </x:c>
      <x:c r="D2288" s="2" t="str">
        <x:v>Chưa xác định</x:v>
      </x:c>
      <x:c r="E2288" s="2" t="str">
        <x:v>house</x:v>
      </x:c>
      <x:c r="F2288" s="2" t="str">
        <x:v>sale</x:v>
      </x:c>
      <x:c r="G2288" s="11" t="n">
        <x:v>191</x:v>
      </x:c>
      <x:c r="H2288" s="12" t="n">
        <x:v>4500000000</x:v>
      </x:c>
      <x:c r="I2288" s="12" t="n">
        <x:v>23560209.42408377</x:v>
      </x:c>
      <x:c r="J2288" s="2" t="str">
        <x:v>total</x:v>
      </x:c>
      <x:c r="K2288" s="2" t="str">
        <x:v>top_level_area</x:v>
      </x:c>
      <x:c r="L2288" s="2" t="str">
        <x:v>property_type_inferred_from_title;unknown_district;unknown_province</x:v>
      </x:c>
      <x:c r="M2288" s="10" t="n">
        <x:v>0</x:v>
      </x:c>
      <x:c r="N2288" s="10" t="n">
        <x:v>0</x:v>
      </x:c>
      <x:c r="O2288" s="2" t="str">
        <x:v>house</x:v>
      </x:c>
      <x:c r="P2288" s="10" t="n">
        <x:v>2</x:v>
      </x:c>
      <x:c r="Q2288" s="13" t="n">
        <x:f>IF(H2288="","",H2288/1000000000)</x:f>
        <x:v>4.5</x:v>
      </x:c>
      <x:c r="R2288" s="13" t="n">
        <x:f>IF(I2288="","",I2288/1000000)</x:f>
        <x:v>23.56020942408377</x:v>
      </x:c>
    </x:row>
    <x:row r="2289" ht="21" customHeight="1">
      <x:c r="A2289" s="10" t="n">
        <x:v>3250</x:v>
      </x:c>
      <x:c r="B2289" s="2" t="str">
        <x:v>2fdf5a95d04ef9c4f815</x:v>
      </x:c>
      <x:c r="C2289" s="2" t="str">
        <x:v>Tp Hồ Chí Minh</x:v>
      </x:c>
      <x:c r="D2289" s="2" t="str">
        <x:v>Huyện Củ Chi</x:v>
      </x:c>
      <x:c r="E2289" s="2" t="str">
        <x:v>land</x:v>
      </x:c>
      <x:c r="F2289" s="2" t="str">
        <x:v>sale</x:v>
      </x:c>
      <x:c r="G2289" s="11" t="n">
        <x:v>100</x:v>
      </x:c>
      <x:c r="H2289" s="12" t="n">
        <x:v>400000000</x:v>
      </x:c>
      <x:c r="I2289" s="12" t="n">
        <x:v>4000000</x:v>
      </x:c>
      <x:c r="J2289" s="2" t="str">
        <x:v>total</x:v>
      </x:c>
      <x:c r="K2289" s="2" t="str">
        <x:v>top_level_area</x:v>
      </x:c>
      <x:c r="L2289" s="2" t="str">
        <x:v>property_type_inferred_from_title</x:v>
      </x:c>
      <x:c r="M2289" s="10" t="n">
        <x:v>0</x:v>
      </x:c>
      <x:c r="N2289" s="10" t="n">
        <x:v>0</x:v>
      </x:c>
      <x:c r="O2289" s="2" t="str">
        <x:v>Tp Hồ Chí Minh|land</x:v>
      </x:c>
      <x:c r="P2289" s="10" t="n">
        <x:v>2</x:v>
      </x:c>
      <x:c r="Q2289" s="13" t="n">
        <x:f>IF(H2289="","",H2289/1000000000)</x:f>
        <x:v>0.4</x:v>
      </x:c>
      <x:c r="R2289" s="13" t="n">
        <x:f>IF(I2289="","",I2289/1000000)</x:f>
        <x:v>4</x:v>
      </x:c>
    </x:row>
    <x:row r="2290" ht="21" customHeight="1">
      <x:c r="A2290" s="10" t="n">
        <x:v>3251</x:v>
      </x:c>
      <x:c r="B2290" s="2" t="str">
        <x:v>78c9282f13f0a2fba9a1</x:v>
      </x:c>
      <x:c r="C2290" s="2" t="str">
        <x:v>Đồng Nai</x:v>
      </x:c>
      <x:c r="D2290" s="2" t="str">
        <x:v>Huyện Long Thành</x:v>
      </x:c>
      <x:c r="E2290" s="2" t="str">
        <x:v>land</x:v>
      </x:c>
      <x:c r="F2290" s="2" t="str">
        <x:v>sale_assumed</x:v>
      </x:c>
      <x:c r="G2290" s="11" t="n">
        <x:v>2005</x:v>
      </x:c>
      <x:c r="H2290" s="12" t="n">
        <x:v>5500000000</x:v>
      </x:c>
      <x:c r="I2290" s="12" t="n">
        <x:v>2743142.144638404</x:v>
      </x:c>
      <x:c r="J2290" s="2" t="str">
        <x:v>total</x:v>
      </x:c>
      <x:c r="K2290" s="2" t="str">
        <x:v>top_level_area</x:v>
      </x:c>
      <x:c r="L2290" s="2" t="str">
        <x:v>dot_thousands_convention;property_type_inferred_from_title;transaction_assumed_sale_from_dataset_context</x:v>
      </x:c>
      <x:c r="M2290" s="10" t="n">
        <x:v>0</x:v>
      </x:c>
      <x:c r="N2290" s="10" t="n">
        <x:v>0</x:v>
      </x:c>
      <x:c r="O2290" s="2" t="str">
        <x:v>Đồng Nai|land</x:v>
      </x:c>
      <x:c r="P2290" s="10" t="n">
        <x:v>1</x:v>
      </x:c>
      <x:c r="Q2290" s="13" t="n">
        <x:f>IF(H2290="","",H2290/1000000000)</x:f>
        <x:v>5.5</x:v>
      </x:c>
      <x:c r="R2290" s="13" t="n">
        <x:f>IF(I2290="","",I2290/1000000)</x:f>
        <x:v>2.7431421446384037</x:v>
      </x:c>
    </x:row>
    <x:row r="2291" ht="21" customHeight="1">
      <x:c r="A2291" s="10" t="n">
        <x:v>3252</x:v>
      </x:c>
      <x:c r="B2291" s="2" t="str">
        <x:v>ce51b46e5d444bd273c5</x:v>
      </x:c>
      <x:c r="C2291" s="2" t="str">
        <x:v>Tp Hồ Chí Minh</x:v>
      </x:c>
      <x:c r="D2291" s="2" t="str">
        <x:v>Quận 10</x:v>
      </x:c>
      <x:c r="E2291" s="2" t="str">
        <x:v>other_unknown</x:v>
      </x:c>
      <x:c r="F2291" s="2" t="str">
        <x:v>sale</x:v>
      </x:c>
      <x:c r="G2291" s="11" t="n">
        <x:v>60</x:v>
      </x:c>
      <x:c r="H2291" s="12" t="n">
        <x:v>1490000000</x:v>
      </x:c>
      <x:c r="I2291" s="12" t="n">
        <x:v>24833333.333333332</x:v>
      </x:c>
      <x:c r="J2291" s="2" t="str">
        <x:v>total</x:v>
      </x:c>
      <x:c r="K2291" s="2" t="str">
        <x:v>top_level_area</x:v>
      </x:c>
      <x:c r="L2291" s="2" t="str">
        <x:v>property_type_inferred_from_title;unknown_property_type</x:v>
      </x:c>
      <x:c r="M2291" s="10" t="n">
        <x:v>0</x:v>
      </x:c>
      <x:c r="N2291" s="10" t="n">
        <x:v>0</x:v>
      </x:c>
      <x:c r="O2291" s="2" t="str">
        <x:v>Tp Hồ Chí Minh|other_unknown</x:v>
      </x:c>
      <x:c r="P2291" s="10" t="n">
        <x:v>2</x:v>
      </x:c>
      <x:c r="Q2291" s="13" t="n">
        <x:f>IF(H2291="","",H2291/1000000000)</x:f>
        <x:v>1.49</x:v>
      </x:c>
      <x:c r="R2291" s="13" t="n">
        <x:f>IF(I2291="","",I2291/1000000)</x:f>
        <x:v>24.833333333333332</x:v>
      </x:c>
    </x:row>
    <x:row r="2292" ht="21" customHeight="1">
      <x:c r="A2292" s="10" t="n">
        <x:v>3253</x:v>
      </x:c>
      <x:c r="B2292" s="2" t="str">
        <x:v>a2418f1dcd61bfb6b972</x:v>
      </x:c>
      <x:c r="C2292" s="2" t="str">
        <x:v>Tp Hồ Chí Minh</x:v>
      </x:c>
      <x:c r="D2292" s="2" t="str">
        <x:v>Quận Bình Thạnh</x:v>
      </x:c>
      <x:c r="E2292" s="2" t="str">
        <x:v>house</x:v>
      </x:c>
      <x:c r="F2292" s="2" t="str">
        <x:v>sale</x:v>
      </x:c>
      <x:c r="G2292" s="11" t="n">
        <x:v>67</x:v>
      </x:c>
      <x:c r="H2292" s="12" t="n">
        <x:v>1140000000</x:v>
      </x:c>
      <x:c r="I2292" s="12" t="n">
        <x:v>17014925.37313433</x:v>
      </x:c>
      <x:c r="J2292" s="2" t="str">
        <x:v>total</x:v>
      </x:c>
      <x:c r="K2292" s="2" t="str">
        <x:v>top_level_area</x:v>
      </x:c>
      <x:c r="L2292" s="2" t="str">
        <x:v>property_type_inferred_from_title</x:v>
      </x:c>
      <x:c r="M2292" s="10" t="n">
        <x:v>0</x:v>
      </x:c>
      <x:c r="N2292" s="10" t="n">
        <x:v>0</x:v>
      </x:c>
      <x:c r="O2292" s="2" t="str">
        <x:v>Tp Hồ Chí Minh|house</x:v>
      </x:c>
      <x:c r="P2292" s="10" t="n">
        <x:v>2</x:v>
      </x:c>
      <x:c r="Q2292" s="13" t="n">
        <x:f>IF(H2292="","",H2292/1000000000)</x:f>
        <x:v>1.14</x:v>
      </x:c>
      <x:c r="R2292" s="13" t="n">
        <x:f>IF(I2292="","",I2292/1000000)</x:f>
        <x:v>17.01492537313433</x:v>
      </x:c>
    </x:row>
    <x:row r="2293" ht="21" customHeight="1">
      <x:c r="A2293" s="10" t="n">
        <x:v>3254</x:v>
      </x:c>
      <x:c r="B2293" s="2" t="str">
        <x:v>bd2d7c9fd3ae847a8a77</x:v>
      </x:c>
      <x:c r="C2293" s="2" t="str">
        <x:v>Đắk Lắk</x:v>
      </x:c>
      <x:c r="D2293" s="2" t="str">
        <x:v>Thành phố Buôn Ma Thuột</x:v>
      </x:c>
      <x:c r="E2293" s="2" t="str">
        <x:v>house</x:v>
      </x:c>
      <x:c r="F2293" s="2" t="str">
        <x:v>sale_assumed</x:v>
      </x:c>
      <x:c r="G2293" s="11" t="n">
        <x:v>100</x:v>
      </x:c>
      <x:c r="H2293" s="12" t="n">
        <x:v>1700000000</x:v>
      </x:c>
      <x:c r="I2293" s="12" t="n">
        <x:v>17000000</x:v>
      </x:c>
      <x:c r="J2293" s="2" t="str">
        <x:v>total</x:v>
      </x:c>
      <x:c r="K2293" s="2" t="str">
        <x:v>top_level_area</x:v>
      </x:c>
      <x:c r="L2293" s="2" t="str">
        <x:v>property_type_inferred_from_title;transaction_assumed_sale_from_dataset_context</x:v>
      </x:c>
      <x:c r="M2293" s="10" t="n">
        <x:v>0</x:v>
      </x:c>
      <x:c r="N2293" s="10" t="n">
        <x:v>0</x:v>
      </x:c>
      <x:c r="O2293" s="2" t="str">
        <x:v>Đắk Lắk|house</x:v>
      </x:c>
      <x:c r="P2293" s="10" t="n">
        <x:v>2</x:v>
      </x:c>
      <x:c r="Q2293" s="13" t="n">
        <x:f>IF(H2293="","",H2293/1000000000)</x:f>
        <x:v>1.7</x:v>
      </x:c>
      <x:c r="R2293" s="13" t="n">
        <x:f>IF(I2293="","",I2293/1000000)</x:f>
        <x:v>17</x:v>
      </x:c>
    </x:row>
    <x:row r="2294" ht="21" customHeight="1">
      <x:c r="A2294" s="10" t="n">
        <x:v>3255</x:v>
      </x:c>
      <x:c r="B2294" s="2" t="str">
        <x:v>672d97271966338f09fe</x:v>
      </x:c>
      <x:c r="C2294" s="2" t="str">
        <x:v>Tp Hồ Chí Minh</x:v>
      </x:c>
      <x:c r="D2294" s="2" t="str">
        <x:v>Quận Gò Vấp</x:v>
      </x:c>
      <x:c r="E2294" s="2" t="str">
        <x:v>other_unknown</x:v>
      </x:c>
      <x:c r="F2294" s="2" t="str">
        <x:v>sale</x:v>
      </x:c>
      <x:c r="G2294" s="11" t="n">
        <x:v>120</x:v>
      </x:c>
      <x:c r="H2294" s="12" t="n">
        <x:v>8300000000.000001</x:v>
      </x:c>
      <x:c r="I2294" s="12" t="n">
        <x:v>69166666.66666667</x:v>
      </x:c>
      <x:c r="J2294" s="2" t="str">
        <x:v>total</x:v>
      </x:c>
      <x:c r="K2294" s="2" t="str">
        <x:v>top_level_area</x:v>
      </x:c>
      <x:c r="L2294" s="2" t="str">
        <x:v>property_type_inferred_from_title;unknown_property_type</x:v>
      </x:c>
      <x:c r="M2294" s="10" t="n">
        <x:v>0</x:v>
      </x:c>
      <x:c r="N2294" s="10" t="n">
        <x:v>0</x:v>
      </x:c>
      <x:c r="O2294" s="2" t="str">
        <x:v>Tp Hồ Chí Minh|other_unknown</x:v>
      </x:c>
      <x:c r="P2294" s="10" t="n">
        <x:v>2</x:v>
      </x:c>
      <x:c r="Q2294" s="13" t="n">
        <x:f>IF(H2294="","",H2294/1000000000)</x:f>
        <x:v>8.3</x:v>
      </x:c>
      <x:c r="R2294" s="13" t="n">
        <x:f>IF(I2294="","",I2294/1000000)</x:f>
        <x:v>69.16666666666667</x:v>
      </x:c>
    </x:row>
    <x:row r="2295" ht="21" customHeight="1">
      <x:c r="A2295" s="10" t="n">
        <x:v>3258</x:v>
      </x:c>
      <x:c r="B2295" s="2" t="str">
        <x:v>039b9b565eaa910c4280</x:v>
      </x:c>
      <x:c r="C2295" s="2" t="str">
        <x:v>Tp Hồ Chí Minh</x:v>
      </x:c>
      <x:c r="D2295" s="2" t="str">
        <x:v>Quận 2</x:v>
      </x:c>
      <x:c r="E2295" s="2" t="str">
        <x:v>land</x:v>
      </x:c>
      <x:c r="F2295" s="2" t="str">
        <x:v>sale</x:v>
      </x:c>
      <x:c r="G2295" s="11" t="n">
        <x:v>100</x:v>
      </x:c>
      <x:c r="H2295" s="12" t="n">
        <x:v>2800000000</x:v>
      </x:c>
      <x:c r="I2295" s="12" t="n">
        <x:v>28000000</x:v>
      </x:c>
      <x:c r="J2295" s="2" t="str">
        <x:v>total</x:v>
      </x:c>
      <x:c r="K2295" s="2" t="str">
        <x:v>top_level_area</x:v>
      </x:c>
      <x:c r="L2295" s="2" t="str">
        <x:v>property_type_inferred_from_title</x:v>
      </x:c>
      <x:c r="M2295" s="10" t="n">
        <x:v>0</x:v>
      </x:c>
      <x:c r="N2295" s="10" t="n">
        <x:v>0</x:v>
      </x:c>
      <x:c r="O2295" s="2" t="str">
        <x:v>Tp Hồ Chí Minh|land</x:v>
      </x:c>
      <x:c r="P2295" s="10" t="n">
        <x:v>2</x:v>
      </x:c>
      <x:c r="Q2295" s="13" t="n">
        <x:f>IF(H2295="","",H2295/1000000000)</x:f>
        <x:v>2.8</x:v>
      </x:c>
      <x:c r="R2295" s="13" t="n">
        <x:f>IF(I2295="","",I2295/1000000)</x:f>
        <x:v>28</x:v>
      </x:c>
    </x:row>
    <x:row r="2296" ht="21" customHeight="1">
      <x:c r="A2296" s="10" t="n">
        <x:v>3259</x:v>
      </x:c>
      <x:c r="B2296" s="2" t="str">
        <x:v>c2d3cdfc80924ea259ef</x:v>
      </x:c>
      <x:c r="C2296" s="2" t="str">
        <x:v>Tp Hồ Chí Minh</x:v>
      </x:c>
      <x:c r="D2296" s="2" t="str">
        <x:v>Quận 7</x:v>
      </x:c>
      <x:c r="E2296" s="2" t="str">
        <x:v>house</x:v>
      </x:c>
      <x:c r="F2296" s="2" t="str">
        <x:v>sale_assumed</x:v>
      </x:c>
      <x:c r="G2296" s="11" t="n">
        <x:v>55</x:v>
      </x:c>
      <x:c r="H2296" s="12" t="n">
        <x:v>1800000000</x:v>
      </x:c>
      <x:c r="I2296" s="12" t="n">
        <x:v>32727272.727272727</x:v>
      </x:c>
      <x:c r="J2296" s="2" t="str">
        <x:v>total</x:v>
      </x:c>
      <x:c r="K2296" s="2" t="str">
        <x:v>top_level_area</x:v>
      </x:c>
      <x:c r="L2296" s="2" t="str">
        <x:v>property_type_inferred_from_title;transaction_assumed_sale_from_dataset_context</x:v>
      </x:c>
      <x:c r="M2296" s="10" t="n">
        <x:v>0</x:v>
      </x:c>
      <x:c r="N2296" s="10" t="n">
        <x:v>0</x:v>
      </x:c>
      <x:c r="O2296" s="2" t="str">
        <x:v>Tp Hồ Chí Minh|house</x:v>
      </x:c>
      <x:c r="P2296" s="10" t="n">
        <x:v>2</x:v>
      </x:c>
      <x:c r="Q2296" s="13" t="n">
        <x:f>IF(H2296="","",H2296/1000000000)</x:f>
        <x:v>1.8</x:v>
      </x:c>
      <x:c r="R2296" s="13" t="n">
        <x:f>IF(I2296="","",I2296/1000000)</x:f>
        <x:v>32.72727272727273</x:v>
      </x:c>
    </x:row>
    <x:row r="2297" ht="21" customHeight="1">
      <x:c r="A2297" s="10" t="n">
        <x:v>3260</x:v>
      </x:c>
      <x:c r="B2297" s="2" t="str">
        <x:v>4dc025884441b330b78a</x:v>
      </x:c>
      <x:c r="C2297" s="2" t="str">
        <x:v>Tp Hồ Chí Minh</x:v>
      </x:c>
      <x:c r="D2297" s="2" t="str">
        <x:v>Quận Bình Thạnh</x:v>
      </x:c>
      <x:c r="E2297" s="2" t="str">
        <x:v>house</x:v>
      </x:c>
      <x:c r="F2297" s="2" t="str">
        <x:v>sale_assumed</x:v>
      </x:c>
      <x:c r="G2297" s="11" t="n">
        <x:v>73</x:v>
      </x:c>
      <x:c r="H2297" s="12" t="n">
        <x:v>950000000</x:v>
      </x:c>
      <x:c r="I2297" s="12" t="n">
        <x:v>13013698.630136987</x:v>
      </x:c>
      <x:c r="J2297" s="2" t="str">
        <x:v>total</x:v>
      </x:c>
      <x:c r="K2297" s="2" t="str">
        <x:v>top_level_area</x:v>
      </x:c>
      <x:c r="L2297" s="2" t="str">
        <x:v>property_type_inferred_from_title;transaction_assumed_sale_from_dataset_context</x:v>
      </x:c>
      <x:c r="M2297" s="10" t="n">
        <x:v>0</x:v>
      </x:c>
      <x:c r="N2297" s="10" t="n">
        <x:v>0</x:v>
      </x:c>
      <x:c r="O2297" s="2" t="str">
        <x:v>Tp Hồ Chí Minh|house</x:v>
      </x:c>
      <x:c r="P2297" s="10" t="n">
        <x:v>2</x:v>
      </x:c>
      <x:c r="Q2297" s="13" t="n">
        <x:f>IF(H2297="","",H2297/1000000000)</x:f>
        <x:v>0.95</x:v>
      </x:c>
      <x:c r="R2297" s="13" t="n">
        <x:f>IF(I2297="","",I2297/1000000)</x:f>
        <x:v>13.013698630136988</x:v>
      </x:c>
    </x:row>
    <x:row r="2298" ht="21" customHeight="1">
      <x:c r="A2298" s="10" t="n">
        <x:v>3261</x:v>
      </x:c>
      <x:c r="B2298" s="2" t="str">
        <x:v>2a082b635165cf453427</x:v>
      </x:c>
      <x:c r="C2298" s="2" t="str">
        <x:v>Đồng Nai</x:v>
      </x:c>
      <x:c r="D2298" s="2" t="str">
        <x:v>Thành phố Biên Hòa</x:v>
      </x:c>
      <x:c r="E2298" s="2" t="str">
        <x:v>other_unknown</x:v>
      </x:c>
      <x:c r="F2298" s="2" t="str">
        <x:v>sale_assumed</x:v>
      </x:c>
      <x:c r="G2298" s="11" t="n">
        <x:v>65</x:v>
      </x:c>
      <x:c r="H2298" s="12" t="n">
        <x:v>3490000000</x:v>
      </x:c>
      <x:c r="I2298" s="12" t="n">
        <x:v>53692307.692307696</x:v>
      </x:c>
      <x:c r="J2298" s="2" t="str">
        <x:v>total</x:v>
      </x:c>
      <x:c r="K2298" s="2" t="str">
        <x:v>top_level_area</x:v>
      </x:c>
      <x:c r="L2298" s="2" t="str">
        <x:v>property_type_inferred_from_title;transaction_assumed_sale_from_dataset_context;unknown_property_type</x:v>
      </x:c>
      <x:c r="M2298" s="10" t="n">
        <x:v>0</x:v>
      </x:c>
      <x:c r="N2298" s="10" t="n">
        <x:v>1</x:v>
      </x:c>
      <x:c r="O2298" s="2" t="str">
        <x:v>Đồng Nai|other_unknown</x:v>
      </x:c>
      <x:c r="P2298" s="10" t="n">
        <x:v>-1</x:v>
      </x:c>
      <x:c r="Q2298" s="13" t="n">
        <x:f>IF(H2298="","",H2298/1000000000)</x:f>
        <x:v>3.49</x:v>
      </x:c>
      <x:c r="R2298" s="13" t="n">
        <x:f>IF(I2298="","",I2298/1000000)</x:f>
        <x:v>53.69230769230769</x:v>
      </x:c>
    </x:row>
    <x:row r="2299" ht="21" customHeight="1">
      <x:c r="A2299" s="10" t="n">
        <x:v>3262</x:v>
      </x:c>
      <x:c r="B2299" s="2" t="str">
        <x:v>2931b76102a3051df9c4</x:v>
      </x:c>
      <x:c r="C2299" s="2" t="str">
        <x:v>Tp Hồ Chí Minh</x:v>
      </x:c>
      <x:c r="D2299" s="2" t="str">
        <x:v>Quận Thủ Đức</x:v>
      </x:c>
      <x:c r="E2299" s="2" t="str">
        <x:v>land</x:v>
      </x:c>
      <x:c r="F2299" s="2" t="str">
        <x:v>sale</x:v>
      </x:c>
      <x:c r="G2299" s="11" t="n">
        <x:v>80</x:v>
      </x:c>
      <x:c r="H2299" s="12" t="n">
        <x:v>830000000</x:v>
      </x:c>
      <x:c r="I2299" s="12" t="n">
        <x:v>10375000</x:v>
      </x:c>
      <x:c r="J2299" s="2" t="str">
        <x:v>total</x:v>
      </x:c>
      <x:c r="K2299" s="2" t="str">
        <x:v>top_level_area</x:v>
      </x:c>
      <x:c r="L2299" s="2" t="str">
        <x:v>property_type_inferred_from_title</x:v>
      </x:c>
      <x:c r="M2299" s="10" t="n">
        <x:v>0</x:v>
      </x:c>
      <x:c r="N2299" s="10" t="n">
        <x:v>0</x:v>
      </x:c>
      <x:c r="O2299" s="2" t="str">
        <x:v>Tp Hồ Chí Minh|land</x:v>
      </x:c>
      <x:c r="P2299" s="10" t="n">
        <x:v>2</x:v>
      </x:c>
      <x:c r="Q2299" s="13" t="n">
        <x:f>IF(H2299="","",H2299/1000000000)</x:f>
        <x:v>0.83</x:v>
      </x:c>
      <x:c r="R2299" s="13" t="n">
        <x:f>IF(I2299="","",I2299/1000000)</x:f>
        <x:v>10.375</x:v>
      </x:c>
    </x:row>
    <x:row r="2300" ht="21" customHeight="1">
      <x:c r="A2300" s="10" t="n">
        <x:v>3263</x:v>
      </x:c>
      <x:c r="B2300" s="2" t="str">
        <x:v>4099a91470421bd8abd5</x:v>
      </x:c>
      <x:c r="C2300" s="2" t="str">
        <x:v>Tp Hồ Chí Minh</x:v>
      </x:c>
      <x:c r="D2300" s="2" t="str">
        <x:v>Quận Bình Thạnh</x:v>
      </x:c>
      <x:c r="E2300" s="2" t="str">
        <x:v>house</x:v>
      </x:c>
      <x:c r="F2300" s="2" t="str">
        <x:v>sale</x:v>
      </x:c>
      <x:c r="G2300" s="11" t="n">
        <x:v>60</x:v>
      </x:c>
      <x:c r="H2300" s="12" t="n">
        <x:v>1300000000</x:v>
      </x:c>
      <x:c r="I2300" s="12" t="n">
        <x:v>21666666.666666668</x:v>
      </x:c>
      <x:c r="J2300" s="2" t="str">
        <x:v>total</x:v>
      </x:c>
      <x:c r="K2300" s="2" t="str">
        <x:v>top_level_area</x:v>
      </x:c>
      <x:c r="L2300" s="2" t="str">
        <x:v>property_type_inferred_from_title</x:v>
      </x:c>
      <x:c r="M2300" s="10" t="n">
        <x:v>0</x:v>
      </x:c>
      <x:c r="N2300" s="10" t="n">
        <x:v>0</x:v>
      </x:c>
      <x:c r="O2300" s="2" t="str">
        <x:v>Tp Hồ Chí Minh|house</x:v>
      </x:c>
      <x:c r="P2300" s="10" t="n">
        <x:v>2</x:v>
      </x:c>
      <x:c r="Q2300" s="13" t="n">
        <x:f>IF(H2300="","",H2300/1000000000)</x:f>
        <x:v>1.3</x:v>
      </x:c>
      <x:c r="R2300" s="13" t="n">
        <x:f>IF(I2300="","",I2300/1000000)</x:f>
        <x:v>21.666666666666668</x:v>
      </x:c>
    </x:row>
    <x:row r="2301" ht="21" customHeight="1">
      <x:c r="A2301" s="10" t="n">
        <x:v>3264</x:v>
      </x:c>
      <x:c r="B2301" s="2" t="str">
        <x:v>50ca280e9af10eb081e1</x:v>
      </x:c>
      <x:c r="C2301" s="2" t="str">
        <x:v>Hà Nội</x:v>
      </x:c>
      <x:c r="D2301" s="2" t="str">
        <x:v>Quận Thanh Xuân</x:v>
      </x:c>
      <x:c r="E2301" s="2" t="str">
        <x:v>house</x:v>
      </x:c>
      <x:c r="F2301" s="2" t="str">
        <x:v>sale_assumed</x:v>
      </x:c>
      <x:c r="G2301" s="11" t="n">
        <x:v>98</x:v>
      </x:c>
      <x:c r="H2301" s="12" t="n">
        <x:v>15000000000</x:v>
      </x:c>
      <x:c r="I2301" s="12" t="n">
        <x:v>153061224.48979592</x:v>
      </x:c>
      <x:c r="J2301" s="2" t="str">
        <x:v>total</x:v>
      </x:c>
      <x:c r="K2301" s="2" t="str">
        <x:v>top_level_area</x:v>
      </x:c>
      <x:c r="L2301" s="2" t="str">
        <x:v>property_type_inferred_from_title;transaction_assumed_sale_from_dataset_context</x:v>
      </x:c>
      <x:c r="M2301" s="10" t="n">
        <x:v>0</x:v>
      </x:c>
      <x:c r="N2301" s="10" t="n">
        <x:v>0</x:v>
      </x:c>
      <x:c r="O2301" s="2" t="str">
        <x:v>Hà Nội|house</x:v>
      </x:c>
      <x:c r="P2301" s="10" t="n">
        <x:v>2</x:v>
      </x:c>
      <x:c r="Q2301" s="13" t="n">
        <x:f>IF(H2301="","",H2301/1000000000)</x:f>
        <x:v>15</x:v>
      </x:c>
      <x:c r="R2301" s="13" t="n">
        <x:f>IF(I2301="","",I2301/1000000)</x:f>
        <x:v>153.06122448979593</x:v>
      </x:c>
    </x:row>
    <x:row r="2302" ht="21" customHeight="1">
      <x:c r="A2302" s="10" t="n">
        <x:v>3265</x:v>
      </x:c>
      <x:c r="B2302" s="2" t="str">
        <x:v>827055861e3dc7803605</x:v>
      </x:c>
      <x:c r="C2302" s="2" t="str">
        <x:v>Tp Hồ Chí Minh</x:v>
      </x:c>
      <x:c r="D2302" s="2" t="str">
        <x:v>Quận Bình Tân</x:v>
      </x:c>
      <x:c r="E2302" s="2" t="str">
        <x:v>house</x:v>
      </x:c>
      <x:c r="F2302" s="2" t="str">
        <x:v>sale</x:v>
      </x:c>
      <x:c r="G2302" s="11" t="n">
        <x:v>35</x:v>
      </x:c>
      <x:c r="H2302" s="12" t="n">
        <x:v>1450000000</x:v>
      </x:c>
      <x:c r="I2302" s="12" t="n">
        <x:v>41428571.428571425</x:v>
      </x:c>
      <x:c r="J2302" s="2" t="str">
        <x:v>total</x:v>
      </x:c>
      <x:c r="K2302" s="2" t="str">
        <x:v>top_level_area</x:v>
      </x:c>
      <x:c r="L2302" s="2" t="str">
        <x:v>property_type_inferred_from_title</x:v>
      </x:c>
      <x:c r="M2302" s="10" t="n">
        <x:v>0</x:v>
      </x:c>
      <x:c r="N2302" s="10" t="n">
        <x:v>0</x:v>
      </x:c>
      <x:c r="O2302" s="2" t="str">
        <x:v>Tp Hồ Chí Minh|house</x:v>
      </x:c>
      <x:c r="P2302" s="10" t="n">
        <x:v>2</x:v>
      </x:c>
      <x:c r="Q2302" s="13" t="n">
        <x:f>IF(H2302="","",H2302/1000000000)</x:f>
        <x:v>1.45</x:v>
      </x:c>
      <x:c r="R2302" s="13" t="n">
        <x:f>IF(I2302="","",I2302/1000000)</x:f>
        <x:v>41.42857142857142</x:v>
      </x:c>
    </x:row>
    <x:row r="2303" ht="21" customHeight="1">
      <x:c r="A2303" s="10" t="n">
        <x:v>3266</x:v>
      </x:c>
      <x:c r="B2303" s="2" t="str">
        <x:v>e4eba535195feee3a387</x:v>
      </x:c>
      <x:c r="C2303" s="2" t="str">
        <x:v>Tp Hồ Chí Minh</x:v>
      </x:c>
      <x:c r="D2303" s="2" t="str">
        <x:v>Huyện Bình Chánh</x:v>
      </x:c>
      <x:c r="E2303" s="2" t="str">
        <x:v>house</x:v>
      </x:c>
      <x:c r="F2303" s="2" t="str">
        <x:v>sale_assumed</x:v>
      </x:c>
      <x:c r="G2303" s="11" t="n">
        <x:v>32</x:v>
      </x:c>
      <x:c r="H2303" s="12" t="n">
        <x:v>640000000</x:v>
      </x:c>
      <x:c r="I2303" s="12" t="n">
        <x:v>20000000</x:v>
      </x:c>
      <x:c r="J2303" s="2" t="str">
        <x:v>total</x:v>
      </x:c>
      <x:c r="K2303" s="2" t="str">
        <x:v>top_level_area</x:v>
      </x:c>
      <x:c r="L2303" s="2" t="str">
        <x:v>property_type_inferred_from_title;transaction_assumed_sale_from_dataset_context</x:v>
      </x:c>
      <x:c r="M2303" s="10" t="n">
        <x:v>0</x:v>
      </x:c>
      <x:c r="N2303" s="10" t="n">
        <x:v>0</x:v>
      </x:c>
      <x:c r="O2303" s="2" t="str">
        <x:v>Tp Hồ Chí Minh|house</x:v>
      </x:c>
      <x:c r="P2303" s="10" t="n">
        <x:v>2</x:v>
      </x:c>
      <x:c r="Q2303" s="13" t="n">
        <x:f>IF(H2303="","",H2303/1000000000)</x:f>
        <x:v>0.64</x:v>
      </x:c>
      <x:c r="R2303" s="13" t="n">
        <x:f>IF(I2303="","",I2303/1000000)</x:f>
        <x:v>20</x:v>
      </x:c>
    </x:row>
    <x:row r="2304" ht="21" customHeight="1">
      <x:c r="A2304" s="10" t="n">
        <x:v>3267</x:v>
      </x:c>
      <x:c r="B2304" s="2" t="str">
        <x:v>abf5f0885d6b5db23729</x:v>
      </x:c>
      <x:c r="C2304" s="2" t="str">
        <x:v>Cần Thơ</x:v>
      </x:c>
      <x:c r="D2304" s="2" t="str">
        <x:v>Quận Cái Răng</x:v>
      </x:c>
      <x:c r="E2304" s="2" t="str">
        <x:v>land</x:v>
      </x:c>
      <x:c r="F2304" s="2" t="str">
        <x:v>sale_assumed</x:v>
      </x:c>
      <x:c r="G2304" s="11" t="n">
        <x:v>90</x:v>
      </x:c>
      <x:c r="H2304" s="12" t="n">
        <x:v>2290000000</x:v>
      </x:c>
      <x:c r="I2304" s="12" t="n">
        <x:v>25444444.444444444</x:v>
      </x:c>
      <x:c r="J2304" s="2" t="str">
        <x:v>total</x:v>
      </x:c>
      <x:c r="K2304" s="2" t="str">
        <x:v>top_level_area</x:v>
      </x:c>
      <x:c r="L2304" s="2" t="str">
        <x:v>property_type_inferred_from_title;transaction_assumed_sale_from_dataset_context</x:v>
      </x:c>
      <x:c r="M2304" s="10" t="n">
        <x:v>0</x:v>
      </x:c>
      <x:c r="N2304" s="10" t="n">
        <x:v>0</x:v>
      </x:c>
      <x:c r="O2304" s="2" t="str">
        <x:v>Cần Thơ|land</x:v>
      </x:c>
      <x:c r="P2304" s="10" t="n">
        <x:v>2</x:v>
      </x:c>
      <x:c r="Q2304" s="13" t="n">
        <x:f>IF(H2304="","",H2304/1000000000)</x:f>
        <x:v>2.29</x:v>
      </x:c>
      <x:c r="R2304" s="13" t="n">
        <x:f>IF(I2304="","",I2304/1000000)</x:f>
        <x:v>25.444444444444443</x:v>
      </x:c>
    </x:row>
    <x:row r="2305" ht="21" customHeight="1">
      <x:c r="A2305" s="10" t="n">
        <x:v>3268</x:v>
      </x:c>
      <x:c r="B2305" s="2" t="str">
        <x:v>eac5404102fd214f8d64</x:v>
      </x:c>
      <x:c r="C2305" s="2" t="str">
        <x:v>Đà Nẵng</x:v>
      </x:c>
      <x:c r="D2305" s="2" t="str">
        <x:v>Huyện Hòa Vang</x:v>
      </x:c>
      <x:c r="E2305" s="2" t="str">
        <x:v>land</x:v>
      </x:c>
      <x:c r="F2305" s="2" t="str">
        <x:v>sale</x:v>
      </x:c>
      <x:c r="G2305" s="11" t="n">
        <x:v>750</x:v>
      </x:c>
      <x:c r="H2305" s="12" t="n">
        <x:v>1750000000</x:v>
      </x:c>
      <x:c r="I2305" s="12" t="n">
        <x:v>2333333.3333333335</x:v>
      </x:c>
      <x:c r="J2305" s="2" t="str">
        <x:v>total</x:v>
      </x:c>
      <x:c r="K2305" s="2" t="str">
        <x:v>top_level_area</x:v>
      </x:c>
      <x:c r="L2305" s="2" t="str">
        <x:v>property_type_inferred_from_title</x:v>
      </x:c>
      <x:c r="M2305" s="10" t="n">
        <x:v>0</x:v>
      </x:c>
      <x:c r="N2305" s="10" t="n">
        <x:v>0</x:v>
      </x:c>
      <x:c r="O2305" s="2" t="str">
        <x:v>Đà Nẵng|land</x:v>
      </x:c>
      <x:c r="P2305" s="10" t="n">
        <x:v>1</x:v>
      </x:c>
      <x:c r="Q2305" s="13" t="n">
        <x:f>IF(H2305="","",H2305/1000000000)</x:f>
        <x:v>1.75</x:v>
      </x:c>
      <x:c r="R2305" s="13" t="n">
        <x:f>IF(I2305="","",I2305/1000000)</x:f>
        <x:v>2.3333333333333335</x:v>
      </x:c>
    </x:row>
    <x:row r="2306" ht="21" customHeight="1">
      <x:c r="A2306" s="10" t="n">
        <x:v>3269</x:v>
      </x:c>
      <x:c r="B2306" s="2" t="str">
        <x:v>f07d1d24a170d69b00bc</x:v>
      </x:c>
      <x:c r="C2306" s="2" t="str">
        <x:v>Tp Hồ Chí Minh</x:v>
      </x:c>
      <x:c r="D2306" s="2" t="str">
        <x:v>Quận Bình Thạnh</x:v>
      </x:c>
      <x:c r="E2306" s="2" t="str">
        <x:v>house</x:v>
      </x:c>
      <x:c r="F2306" s="2" t="str">
        <x:v>sale</x:v>
      </x:c>
      <x:c r="G2306" s="11" t="n">
        <x:v>68</x:v>
      </x:c>
      <x:c r="H2306" s="12" t="n">
        <x:v>3150000000</x:v>
      </x:c>
      <x:c r="I2306" s="12" t="n">
        <x:v>46323529.4117647</x:v>
      </x:c>
      <x:c r="J2306" s="2" t="str">
        <x:v>total</x:v>
      </x:c>
      <x:c r="K2306" s="2" t="str">
        <x:v>top_level_area</x:v>
      </x:c>
      <x:c r="L2306" s="2" t="str">
        <x:v>property_type_inferred_from_title</x:v>
      </x:c>
      <x:c r="M2306" s="10" t="n">
        <x:v>0</x:v>
      </x:c>
      <x:c r="N2306" s="10" t="n">
        <x:v>0</x:v>
      </x:c>
      <x:c r="O2306" s="2" t="str">
        <x:v>Tp Hồ Chí Minh|house</x:v>
      </x:c>
      <x:c r="P2306" s="10" t="n">
        <x:v>2</x:v>
      </x:c>
      <x:c r="Q2306" s="13" t="n">
        <x:f>IF(H2306="","",H2306/1000000000)</x:f>
        <x:v>3.15</x:v>
      </x:c>
      <x:c r="R2306" s="13" t="n">
        <x:f>IF(I2306="","",I2306/1000000)</x:f>
        <x:v>46.3235294117647</x:v>
      </x:c>
    </x:row>
    <x:row r="2307" ht="21" customHeight="1">
      <x:c r="A2307" s="10" t="n">
        <x:v>3270</x:v>
      </x:c>
      <x:c r="B2307" s="2" t="str">
        <x:v>ad38eda95d1b65d0c6a8</x:v>
      </x:c>
      <x:c r="C2307" s="2" t="str">
        <x:v>Tp Hồ Chí Minh</x:v>
      </x:c>
      <x:c r="D2307" s="2" t="str">
        <x:v>Quận 11</x:v>
      </x:c>
      <x:c r="E2307" s="2" t="str">
        <x:v>house</x:v>
      </x:c>
      <x:c r="F2307" s="2" t="str">
        <x:v>sale</x:v>
      </x:c>
      <x:c r="G2307" s="11" t="n">
        <x:v>56</x:v>
      </x:c>
      <x:c r="H2307" s="12" t="n">
        <x:v>990000000</x:v>
      </x:c>
      <x:c r="I2307" s="12" t="n">
        <x:v>17678571.42857143</x:v>
      </x:c>
      <x:c r="J2307" s="2" t="str">
        <x:v>total</x:v>
      </x:c>
      <x:c r="K2307" s="2" t="str">
        <x:v>top_level_area</x:v>
      </x:c>
      <x:c r="L2307" s="2" t="str">
        <x:v>property_type_inferred_from_title</x:v>
      </x:c>
      <x:c r="M2307" s="10" t="n">
        <x:v>0</x:v>
      </x:c>
      <x:c r="N2307" s="10" t="n">
        <x:v>0</x:v>
      </x:c>
      <x:c r="O2307" s="2" t="str">
        <x:v>Tp Hồ Chí Minh|house</x:v>
      </x:c>
      <x:c r="P2307" s="10" t="n">
        <x:v>2</x:v>
      </x:c>
      <x:c r="Q2307" s="13" t="n">
        <x:f>IF(H2307="","",H2307/1000000000)</x:f>
        <x:v>0.99</x:v>
      </x:c>
      <x:c r="R2307" s="13" t="n">
        <x:f>IF(I2307="","",I2307/1000000)</x:f>
        <x:v>17.67857142857143</x:v>
      </x:c>
    </x:row>
    <x:row r="2308" ht="21" customHeight="1">
      <x:c r="A2308" s="10" t="n">
        <x:v>3271</x:v>
      </x:c>
      <x:c r="B2308" s="2" t="str">
        <x:v>2a0d830dc55653014da6</x:v>
      </x:c>
      <x:c r="C2308" s="2" t="str">
        <x:v>Tp Hồ Chí Minh</x:v>
      </x:c>
      <x:c r="D2308" s="2" t="str">
        <x:v>Quận Thủ Đức</x:v>
      </x:c>
      <x:c r="E2308" s="2" t="str">
        <x:v>house</x:v>
      </x:c>
      <x:c r="F2308" s="2" t="str">
        <x:v>sale_assumed</x:v>
      </x:c>
      <x:c r="G2308" s="11" t="n">
        <x:v>62</x:v>
      </x:c>
      <x:c r="H2308" s="12" t="n">
        <x:v>5950000000</x:v>
      </x:c>
      <x:c r="I2308" s="12" t="n">
        <x:v>95967741.93548387</x:v>
      </x:c>
      <x:c r="J2308" s="2" t="str">
        <x:v>total</x:v>
      </x:c>
      <x:c r="K2308" s="2" t="str">
        <x:v>top_level_area</x:v>
      </x:c>
      <x:c r="L2308" s="2" t="str">
        <x:v>property_type_inferred_from_title;transaction_assumed_sale_from_dataset_context</x:v>
      </x:c>
      <x:c r="M2308" s="10" t="n">
        <x:v>0</x:v>
      </x:c>
      <x:c r="N2308" s="10" t="n">
        <x:v>0</x:v>
      </x:c>
      <x:c r="O2308" s="2" t="str">
        <x:v>Tp Hồ Chí Minh|house</x:v>
      </x:c>
      <x:c r="P2308" s="10" t="n">
        <x:v>2</x:v>
      </x:c>
      <x:c r="Q2308" s="13" t="n">
        <x:f>IF(H2308="","",H2308/1000000000)</x:f>
        <x:v>5.95</x:v>
      </x:c>
      <x:c r="R2308" s="13" t="n">
        <x:f>IF(I2308="","",I2308/1000000)</x:f>
        <x:v>95.96774193548387</x:v>
      </x:c>
    </x:row>
    <x:row r="2309" ht="21" customHeight="1">
      <x:c r="A2309" s="10" t="n">
        <x:v>3272</x:v>
      </x:c>
      <x:c r="B2309" s="2" t="str">
        <x:v>52fbea63869282fc6642</x:v>
      </x:c>
      <x:c r="C2309" s="2" t="str">
        <x:v>Bình Dương</x:v>
      </x:c>
      <x:c r="D2309" s="2" t="str">
        <x:v>Thị xã Thuận An</x:v>
      </x:c>
      <x:c r="E2309" s="2" t="str">
        <x:v>other_unknown</x:v>
      </x:c>
      <x:c r="F2309" s="2" t="str">
        <x:v>sale_assumed</x:v>
      </x:c>
      <x:c r="G2309" s="11" t="n">
        <x:v>79</x:v>
      </x:c>
      <x:c r="H2309" s="12" t="n">
        <x:v>629000000</x:v>
      </x:c>
      <x:c r="I2309" s="12" t="n">
        <x:v>7962025.316455696</x:v>
      </x:c>
      <x:c r="J2309" s="2" t="str">
        <x:v>total</x:v>
      </x:c>
      <x:c r="K2309" s="2" t="str">
        <x:v>top_level_area</x:v>
      </x:c>
      <x:c r="L2309" s="2" t="str">
        <x:v>property_type_inferred_from_title;transaction_assumed_sale_from_dataset_context;unknown_property_type</x:v>
      </x:c>
      <x:c r="M2309" s="10" t="n">
        <x:v>0</x:v>
      </x:c>
      <x:c r="N2309" s="10" t="n">
        <x:v>0</x:v>
      </x:c>
      <x:c r="O2309" s="2" t="str">
        <x:v>Bình Dương|other_unknown</x:v>
      </x:c>
      <x:c r="P2309" s="10" t="n">
        <x:v>2</x:v>
      </x:c>
      <x:c r="Q2309" s="13" t="n">
        <x:f>IF(H2309="","",H2309/1000000000)</x:f>
        <x:v>0.629</x:v>
      </x:c>
      <x:c r="R2309" s="13" t="n">
        <x:f>IF(I2309="","",I2309/1000000)</x:f>
        <x:v>7.962025316455696</x:v>
      </x:c>
    </x:row>
    <x:row r="2310" ht="21" customHeight="1">
      <x:c r="A2310" s="10" t="n">
        <x:v>3273</x:v>
      </x:c>
      <x:c r="B2310" s="2" t="str">
        <x:v>6d1fcdc9dc26fb9834be</x:v>
      </x:c>
      <x:c r="C2310" s="2" t="str">
        <x:v>Cần Thơ</x:v>
      </x:c>
      <x:c r="D2310" s="2" t="str">
        <x:v>Quận Ninh Kiều</x:v>
      </x:c>
      <x:c r="E2310" s="2" t="str">
        <x:v>other_unknown</x:v>
      </x:c>
      <x:c r="F2310" s="2" t="str">
        <x:v>sale_assumed</x:v>
      </x:c>
      <x:c r="G2310" s="11" t="n">
        <x:v>125</x:v>
      </x:c>
      <x:c r="H2310" s="12" t="n">
        <x:v>2350000000</x:v>
      </x:c>
      <x:c r="I2310" s="12" t="n">
        <x:v>18800000</x:v>
      </x:c>
      <x:c r="J2310" s="2" t="str">
        <x:v>total</x:v>
      </x:c>
      <x:c r="K2310" s="2" t="str">
        <x:v>top_level_area</x:v>
      </x:c>
      <x:c r="L2310" s="2" t="str">
        <x:v>property_type_inferred_from_title;transaction_assumed_sale_from_dataset_context;unknown_property_type</x:v>
      </x:c>
      <x:c r="M2310" s="10" t="n">
        <x:v>0</x:v>
      </x:c>
      <x:c r="N2310" s="10" t="n">
        <x:v>0</x:v>
      </x:c>
      <x:c r="O2310" s="2" t="str">
        <x:v>other_unknown</x:v>
      </x:c>
      <x:c r="P2310" s="10" t="n">
        <x:v>2</x:v>
      </x:c>
      <x:c r="Q2310" s="13" t="n">
        <x:f>IF(H2310="","",H2310/1000000000)</x:f>
        <x:v>2.35</x:v>
      </x:c>
      <x:c r="R2310" s="13" t="n">
        <x:f>IF(I2310="","",I2310/1000000)</x:f>
        <x:v>18.8</x:v>
      </x:c>
    </x:row>
    <x:row r="2311" ht="21" customHeight="1">
      <x:c r="A2311" s="10" t="n">
        <x:v>3274</x:v>
      </x:c>
      <x:c r="B2311" s="2" t="str">
        <x:v>a5084e63661d5898afd6</x:v>
      </x:c>
      <x:c r="C2311" s="2" t="str">
        <x:v>Đồng Nai</x:v>
      </x:c>
      <x:c r="D2311" s="2" t="str">
        <x:v>Thành phố Biên Hòa</x:v>
      </x:c>
      <x:c r="E2311" s="2" t="str">
        <x:v>land</x:v>
      </x:c>
      <x:c r="F2311" s="2" t="str">
        <x:v>sale</x:v>
      </x:c>
      <x:c r="G2311" s="11" t="n">
        <x:v>500</x:v>
      </x:c>
      <x:c r="H2311" s="12" t="n">
        <x:v>1287000000</x:v>
      </x:c>
      <x:c r="I2311" s="12" t="n">
        <x:v>2574000</x:v>
      </x:c>
      <x:c r="J2311" s="2" t="str">
        <x:v>total</x:v>
      </x:c>
      <x:c r="K2311" s="2" t="str">
        <x:v>top_level_price_embedded_area</x:v>
      </x:c>
      <x:c r="L2311" s="2" t="str">
        <x:v>area_recovered_from_price_text;property_type_inferred_from_title</x:v>
      </x:c>
      <x:c r="M2311" s="10" t="n">
        <x:v>0</x:v>
      </x:c>
      <x:c r="N2311" s="10" t="n">
        <x:v>0</x:v>
      </x:c>
      <x:c r="O2311" s="2" t="str">
        <x:v>Đồng Nai|land</x:v>
      </x:c>
      <x:c r="P2311" s="10" t="n">
        <x:v>1</x:v>
      </x:c>
      <x:c r="Q2311" s="13" t="n">
        <x:f>IF(H2311="","",H2311/1000000000)</x:f>
        <x:v>1.287</x:v>
      </x:c>
      <x:c r="R2311" s="13" t="n">
        <x:f>IF(I2311="","",I2311/1000000)</x:f>
        <x:v>2.574</x:v>
      </x:c>
    </x:row>
    <x:row r="2312" ht="21" customHeight="1">
      <x:c r="A2312" s="10" t="n">
        <x:v>3275</x:v>
      </x:c>
      <x:c r="B2312" s="2" t="str">
        <x:v>2db97c95e385ae82591c</x:v>
      </x:c>
      <x:c r="C2312" s="2" t="str">
        <x:v>Bình Dương</x:v>
      </x:c>
      <x:c r="D2312" s="2" t="str">
        <x:v>Thị xã Thuận An</x:v>
      </x:c>
      <x:c r="E2312" s="2" t="str">
        <x:v>land</x:v>
      </x:c>
      <x:c r="F2312" s="2" t="str">
        <x:v>sale</x:v>
      </x:c>
      <x:c r="G2312" s="11" t="n">
        <x:v>220</x:v>
      </x:c>
      <x:c r="H2312" s="12" t="n">
        <x:v>1500000000</x:v>
      </x:c>
      <x:c r="I2312" s="12" t="n">
        <x:v>6818181.818181818</x:v>
      </x:c>
      <x:c r="J2312" s="2" t="str">
        <x:v>total</x:v>
      </x:c>
      <x:c r="K2312" s="2" t="str">
        <x:v>top_level_price_embedded_area</x:v>
      </x:c>
      <x:c r="L2312" s="2" t="str">
        <x:v>area_recovered_from_price_text;property_type_inferred_from_title</x:v>
      </x:c>
      <x:c r="M2312" s="10" t="n">
        <x:v>0</x:v>
      </x:c>
      <x:c r="N2312" s="10" t="n">
        <x:v>0</x:v>
      </x:c>
      <x:c r="O2312" s="2" t="str">
        <x:v>Bình Dương|land</x:v>
      </x:c>
      <x:c r="P2312" s="10" t="n">
        <x:v>1</x:v>
      </x:c>
      <x:c r="Q2312" s="13" t="n">
        <x:f>IF(H2312="","",H2312/1000000000)</x:f>
        <x:v>1.5</x:v>
      </x:c>
      <x:c r="R2312" s="13" t="n">
        <x:f>IF(I2312="","",I2312/1000000)</x:f>
        <x:v>6.818181818181818</x:v>
      </x:c>
    </x:row>
    <x:row r="2313" ht="21" customHeight="1">
      <x:c r="A2313" s="10" t="n">
        <x:v>3277</x:v>
      </x:c>
      <x:c r="B2313" s="2" t="str">
        <x:v>96ba1d9231d3b081812f</x:v>
      </x:c>
      <x:c r="C2313" s="2" t="str">
        <x:v>Tp Hồ Chí Minh</x:v>
      </x:c>
      <x:c r="D2313" s="2" t="str">
        <x:v>Quận Bình Thạnh</x:v>
      </x:c>
      <x:c r="E2313" s="2" t="str">
        <x:v>house</x:v>
      </x:c>
      <x:c r="F2313" s="2" t="str">
        <x:v>sale_assumed</x:v>
      </x:c>
      <x:c r="G2313" s="11" t="n">
        <x:v>61.8</x:v>
      </x:c>
      <x:c r="H2313" s="12" t="n">
        <x:v>1014999999.9999999</x:v>
      </x:c>
      <x:c r="I2313" s="12" t="n">
        <x:v>16423948.220064724</x:v>
      </x:c>
      <x:c r="J2313" s="2" t="str">
        <x:v>total</x:v>
      </x:c>
      <x:c r="K2313" s="2" t="str">
        <x:v>top_level_area</x:v>
      </x:c>
      <x:c r="L2313" s="2" t="str">
        <x:v>property_type_inferred_from_title;transaction_assumed_sale_from_dataset_context</x:v>
      </x:c>
      <x:c r="M2313" s="10" t="n">
        <x:v>0</x:v>
      </x:c>
      <x:c r="N2313" s="10" t="n">
        <x:v>0</x:v>
      </x:c>
      <x:c r="O2313" s="2" t="str">
        <x:v>Tp Hồ Chí Minh|house</x:v>
      </x:c>
      <x:c r="P2313" s="10" t="n">
        <x:v>2</x:v>
      </x:c>
      <x:c r="Q2313" s="13" t="n">
        <x:f>IF(H2313="","",H2313/1000000000)</x:f>
        <x:v>1.015</x:v>
      </x:c>
      <x:c r="R2313" s="13" t="n">
        <x:f>IF(I2313="","",I2313/1000000)</x:f>
        <x:v>16.423948220064723</x:v>
      </x:c>
    </x:row>
    <x:row r="2314" ht="21" customHeight="1">
      <x:c r="A2314" s="10" t="n">
        <x:v>3280</x:v>
      </x:c>
      <x:c r="B2314" s="2" t="str">
        <x:v>30a61a1c69e5491bdf8d</x:v>
      </x:c>
      <x:c r="C2314" s="2" t="str">
        <x:v>Tp Hồ Chí Minh</x:v>
      </x:c>
      <x:c r="D2314" s="2" t="str">
        <x:v>Quận Bình Tân</x:v>
      </x:c>
      <x:c r="E2314" s="2" t="str">
        <x:v>land</x:v>
      </x:c>
      <x:c r="F2314" s="2" t="str">
        <x:v>sale</x:v>
      </x:c>
      <x:c r="G2314" s="11" t="n">
        <x:v>96</x:v>
      </x:c>
      <x:c r="H2314" s="12" t="n">
        <x:v>3072000000</x:v>
      </x:c>
      <x:c r="I2314" s="12" t="n">
        <x:v>32000000</x:v>
      </x:c>
      <x:c r="J2314" s="2" t="str">
        <x:v>total</x:v>
      </x:c>
      <x:c r="K2314" s="2" t="str">
        <x:v>top_level_area</x:v>
      </x:c>
      <x:c r="L2314" s="2" t="str">
        <x:v>property_type_inferred_from_title</x:v>
      </x:c>
      <x:c r="M2314" s="10" t="n">
        <x:v>0</x:v>
      </x:c>
      <x:c r="N2314" s="10" t="n">
        <x:v>0</x:v>
      </x:c>
      <x:c r="O2314" s="2" t="str">
        <x:v>Tp Hồ Chí Minh|land</x:v>
      </x:c>
      <x:c r="P2314" s="10" t="n">
        <x:v>2</x:v>
      </x:c>
      <x:c r="Q2314" s="13" t="n">
        <x:f>IF(H2314="","",H2314/1000000000)</x:f>
        <x:v>3.072</x:v>
      </x:c>
      <x:c r="R2314" s="13" t="n">
        <x:f>IF(I2314="","",I2314/1000000)</x:f>
        <x:v>32</x:v>
      </x:c>
    </x:row>
    <x:row r="2315" ht="21" customHeight="1">
      <x:c r="A2315" s="10" t="n">
        <x:v>3281</x:v>
      </x:c>
      <x:c r="B2315" s="2" t="str">
        <x:v>4a3b0b672928adc942ee</x:v>
      </x:c>
      <x:c r="C2315" s="2" t="str">
        <x:v>Tp Hồ Chí Minh</x:v>
      </x:c>
      <x:c r="D2315" s="2" t="str">
        <x:v>Quận Bình Tân</x:v>
      </x:c>
      <x:c r="E2315" s="2" t="str">
        <x:v>land</x:v>
      </x:c>
      <x:c r="F2315" s="2" t="str">
        <x:v>sale</x:v>
      </x:c>
      <x:c r="G2315" s="11" t="n">
        <x:v>100</x:v>
      </x:c>
      <x:c r="H2315" s="12" t="n">
        <x:v>4500000000</x:v>
      </x:c>
      <x:c r="I2315" s="12" t="n">
        <x:v>45000000</x:v>
      </x:c>
      <x:c r="J2315" s="2" t="str">
        <x:v>total</x:v>
      </x:c>
      <x:c r="K2315" s="2" t="str">
        <x:v>top_level_area</x:v>
      </x:c>
      <x:c r="L2315" s="2" t="str">
        <x:v>property_type_inferred_from_title</x:v>
      </x:c>
      <x:c r="M2315" s="10" t="n">
        <x:v>0</x:v>
      </x:c>
      <x:c r="N2315" s="10" t="n">
        <x:v>0</x:v>
      </x:c>
      <x:c r="O2315" s="2" t="str">
        <x:v>Tp Hồ Chí Minh|land</x:v>
      </x:c>
      <x:c r="P2315" s="10" t="n">
        <x:v>2</x:v>
      </x:c>
      <x:c r="Q2315" s="13" t="n">
        <x:f>IF(H2315="","",H2315/1000000000)</x:f>
        <x:v>4.5</x:v>
      </x:c>
      <x:c r="R2315" s="13" t="n">
        <x:f>IF(I2315="","",I2315/1000000)</x:f>
        <x:v>45</x:v>
      </x:c>
    </x:row>
    <x:row r="2316" ht="21" customHeight="1">
      <x:c r="A2316" s="10" t="n">
        <x:v>3282</x:v>
      </x:c>
      <x:c r="B2316" s="2" t="str">
        <x:v>f8916bfcb14117488e0a</x:v>
      </x:c>
      <x:c r="C2316" s="2" t="str">
        <x:v>Bình Dương</x:v>
      </x:c>
      <x:c r="D2316" s="2" t="str">
        <x:v>Thành phố Thủ Dầu Một</x:v>
      </x:c>
      <x:c r="E2316" s="2" t="str">
        <x:v>land</x:v>
      </x:c>
      <x:c r="F2316" s="2" t="str">
        <x:v>sale</x:v>
      </x:c>
      <x:c r="G2316" s="11" t="n">
        <x:v>75</x:v>
      </x:c>
      <x:c r="H2316" s="12" t="n">
        <x:v>1350000000</x:v>
      </x:c>
      <x:c r="I2316" s="12" t="n">
        <x:v>18000000</x:v>
      </x:c>
      <x:c r="J2316" s="2" t="str">
        <x:v>total</x:v>
      </x:c>
      <x:c r="K2316" s="2" t="str">
        <x:v>top_level_price_embedded_area</x:v>
      </x:c>
      <x:c r="L2316" s="2" t="str">
        <x:v>area_recovered_from_price_text;property_type_inferred_from_title</x:v>
      </x:c>
      <x:c r="M2316" s="10" t="n">
        <x:v>0</x:v>
      </x:c>
      <x:c r="N2316" s="10" t="n">
        <x:v>0</x:v>
      </x:c>
      <x:c r="O2316" s="2" t="str">
        <x:v>Bình Dương|land</x:v>
      </x:c>
      <x:c r="P2316" s="10" t="n">
        <x:v>2</x:v>
      </x:c>
      <x:c r="Q2316" s="13" t="n">
        <x:f>IF(H2316="","",H2316/1000000000)</x:f>
        <x:v>1.35</x:v>
      </x:c>
      <x:c r="R2316" s="13" t="n">
        <x:f>IF(I2316="","",I2316/1000000)</x:f>
        <x:v>18</x:v>
      </x:c>
    </x:row>
    <x:row r="2317" ht="21" customHeight="1">
      <x:c r="A2317" s="10" t="n">
        <x:v>3283</x:v>
      </x:c>
      <x:c r="B2317" s="2" t="str">
        <x:v>5b8cf0ba252be5901f0f</x:v>
      </x:c>
      <x:c r="C2317" s="2" t="str">
        <x:v>Tp Hồ Chí Minh</x:v>
      </x:c>
      <x:c r="D2317" s="2" t="str">
        <x:v>Quận 7</x:v>
      </x:c>
      <x:c r="E2317" s="2" t="str">
        <x:v>house</x:v>
      </x:c>
      <x:c r="F2317" s="2" t="str">
        <x:v>sale</x:v>
      </x:c>
      <x:c r="G2317" s="11" t="n">
        <x:v>80</x:v>
      </x:c>
      <x:c r="H2317" s="12" t="n">
        <x:v>980000000</x:v>
      </x:c>
      <x:c r="I2317" s="12" t="n">
        <x:v>12250000</x:v>
      </x:c>
      <x:c r="J2317" s="2" t="str">
        <x:v>total</x:v>
      </x:c>
      <x:c r="K2317" s="2" t="str">
        <x:v>top_level_area</x:v>
      </x:c>
      <x:c r="L2317" s="2" t="str">
        <x:v>property_type_inferred_from_title</x:v>
      </x:c>
      <x:c r="M2317" s="10" t="n">
        <x:v>0</x:v>
      </x:c>
      <x:c r="N2317" s="10" t="n">
        <x:v>0</x:v>
      </x:c>
      <x:c r="O2317" s="2" t="str">
        <x:v>Tp Hồ Chí Minh|house</x:v>
      </x:c>
      <x:c r="P2317" s="10" t="n">
        <x:v>2</x:v>
      </x:c>
      <x:c r="Q2317" s="13" t="n">
        <x:f>IF(H2317="","",H2317/1000000000)</x:f>
        <x:v>0.98</x:v>
      </x:c>
      <x:c r="R2317" s="13" t="n">
        <x:f>IF(I2317="","",I2317/1000000)</x:f>
        <x:v>12.25</x:v>
      </x:c>
    </x:row>
    <x:row r="2318" ht="21" customHeight="1">
      <x:c r="A2318" s="10" t="n">
        <x:v>3284</x:v>
      </x:c>
      <x:c r="B2318" s="2" t="str">
        <x:v>233c30e0267e728f1989</x:v>
      </x:c>
      <x:c r="C2318" s="2" t="str">
        <x:v>Bình Dương</x:v>
      </x:c>
      <x:c r="D2318" s="2" t="str">
        <x:v>Thị xã Tân Uyên</x:v>
      </x:c>
      <x:c r="E2318" s="2" t="str">
        <x:v>land</x:v>
      </x:c>
      <x:c r="F2318" s="2" t="str">
        <x:v>sale_assumed</x:v>
      </x:c>
      <x:c r="G2318" s="11" t="n">
        <x:v>500</x:v>
      </x:c>
      <x:c r="H2318" s="12" t="n">
        <x:v>690000000</x:v>
      </x:c>
      <x:c r="I2318" s="12" t="n">
        <x:v>1380000</x:v>
      </x:c>
      <x:c r="J2318" s="2" t="str">
        <x:v>total</x:v>
      </x:c>
      <x:c r="K2318" s="2" t="str">
        <x:v>top_level_area</x:v>
      </x:c>
      <x:c r="L2318" s="2" t="str">
        <x:v>property_type_inferred_from_title;transaction_assumed_sale_from_dataset_context</x:v>
      </x:c>
      <x:c r="M2318" s="10" t="n">
        <x:v>0</x:v>
      </x:c>
      <x:c r="N2318" s="10" t="n">
        <x:v>0</x:v>
      </x:c>
      <x:c r="O2318" s="2" t="str">
        <x:v>Bình Dương|land</x:v>
      </x:c>
      <x:c r="P2318" s="10" t="n">
        <x:v>1</x:v>
      </x:c>
      <x:c r="Q2318" s="13" t="n">
        <x:f>IF(H2318="","",H2318/1000000000)</x:f>
        <x:v>0.69</x:v>
      </x:c>
      <x:c r="R2318" s="13" t="n">
        <x:f>IF(I2318="","",I2318/1000000)</x:f>
        <x:v>1.38</x:v>
      </x:c>
    </x:row>
    <x:row r="2319" ht="21" customHeight="1">
      <x:c r="A2319" s="10" t="n">
        <x:v>3285</x:v>
      </x:c>
      <x:c r="B2319" s="2" t="str">
        <x:v>8e741984946ad65b5b5d</x:v>
      </x:c>
      <x:c r="C2319" s="2" t="str">
        <x:v>Bình Dương</x:v>
      </x:c>
      <x:c r="D2319" s="2" t="str">
        <x:v>Thị xã Dĩ An</x:v>
      </x:c>
      <x:c r="E2319" s="2" t="str">
        <x:v>apartment</x:v>
      </x:c>
      <x:c r="F2319" s="2" t="str">
        <x:v>sale_assumed</x:v>
      </x:c>
      <x:c r="G2319" s="11" t="n">
        <x:v>44</x:v>
      </x:c>
      <x:c r="H2319" s="12" t="n">
        <x:v>1420000000</x:v>
      </x:c>
      <x:c r="I2319" s="12" t="n">
        <x:v>32272727.272727273</x:v>
      </x:c>
      <x:c r="J2319" s="2" t="str">
        <x:v>total</x:v>
      </x:c>
      <x:c r="K2319" s="2" t="str">
        <x:v>top_level_area</x:v>
      </x:c>
      <x:c r="L2319" s="2" t="str">
        <x:v>property_type_inferred_from_title;transaction_assumed_sale_from_dataset_context</x:v>
      </x:c>
      <x:c r="M2319" s="10" t="n">
        <x:v>0</x:v>
      </x:c>
      <x:c r="N2319" s="10" t="n">
        <x:v>0</x:v>
      </x:c>
      <x:c r="O2319" s="2" t="str">
        <x:v>Bình Dương|apartment</x:v>
      </x:c>
      <x:c r="P2319" s="10" t="n">
        <x:v>2</x:v>
      </x:c>
      <x:c r="Q2319" s="13" t="n">
        <x:f>IF(H2319="","",H2319/1000000000)</x:f>
        <x:v>1.42</x:v>
      </x:c>
      <x:c r="R2319" s="13" t="n">
        <x:f>IF(I2319="","",I2319/1000000)</x:f>
        <x:v>32.27272727272727</x:v>
      </x:c>
    </x:row>
    <x:row r="2320" ht="21" customHeight="1">
      <x:c r="A2320" s="10" t="n">
        <x:v>3286</x:v>
      </x:c>
      <x:c r="B2320" s="2" t="str">
        <x:v>805b0e29fb2b442dac1d</x:v>
      </x:c>
      <x:c r="C2320" s="2" t="str">
        <x:v>Tp Hồ Chí Minh</x:v>
      </x:c>
      <x:c r="D2320" s="2" t="str">
        <x:v>Huyện Bình Chánh</x:v>
      </x:c>
      <x:c r="E2320" s="2" t="str">
        <x:v>other_unknown</x:v>
      </x:c>
      <x:c r="F2320" s="2" t="str">
        <x:v>sale_assumed</x:v>
      </x:c>
      <x:c r="G2320" s="11" t="n">
        <x:v>34</x:v>
      </x:c>
      <x:c r="H2320" s="12" t="n">
        <x:v>250000000</x:v>
      </x:c>
      <x:c r="I2320" s="12" t="n">
        <x:v>7352941.176470588</x:v>
      </x:c>
      <x:c r="J2320" s="2" t="str">
        <x:v>total</x:v>
      </x:c>
      <x:c r="K2320" s="2" t="str">
        <x:v>top_level_area</x:v>
      </x:c>
      <x:c r="L2320" s="2" t="str">
        <x:v>property_type_inferred_from_title;transaction_assumed_sale_from_dataset_context;unknown_property_type</x:v>
      </x:c>
      <x:c r="M2320" s="10" t="n">
        <x:v>0</x:v>
      </x:c>
      <x:c r="N2320" s="10" t="n">
        <x:v>0</x:v>
      </x:c>
      <x:c r="O2320" s="2" t="str">
        <x:v>Tp Hồ Chí Minh|other_unknown</x:v>
      </x:c>
      <x:c r="P2320" s="10" t="n">
        <x:v>2</x:v>
      </x:c>
      <x:c r="Q2320" s="13" t="n">
        <x:f>IF(H2320="","",H2320/1000000000)</x:f>
        <x:v>0.25</x:v>
      </x:c>
      <x:c r="R2320" s="13" t="n">
        <x:f>IF(I2320="","",I2320/1000000)</x:f>
        <x:v>7.352941176470588</x:v>
      </x:c>
    </x:row>
    <x:row r="2321" ht="21" customHeight="1">
      <x:c r="A2321" s="10" t="n">
        <x:v>3287</x:v>
      </x:c>
      <x:c r="B2321" s="2" t="str">
        <x:v>8fa52120bfb3efb27cff</x:v>
      </x:c>
      <x:c r="C2321" s="2" t="str">
        <x:v>Tp Hồ Chí Minh</x:v>
      </x:c>
      <x:c r="D2321" s="2" t="str">
        <x:v>Quận 10</x:v>
      </x:c>
      <x:c r="E2321" s="2" t="str">
        <x:v>house</x:v>
      </x:c>
      <x:c r="F2321" s="2" t="str">
        <x:v>sale</x:v>
      </x:c>
      <x:c r="G2321" s="11" t="n">
        <x:v>35</x:v>
      </x:c>
      <x:c r="H2321" s="12" t="n">
        <x:v>4000000000</x:v>
      </x:c>
      <x:c r="I2321" s="12" t="n">
        <x:v>114285714.28571428</x:v>
      </x:c>
      <x:c r="J2321" s="2" t="str">
        <x:v>total</x:v>
      </x:c>
      <x:c r="K2321" s="2" t="str">
        <x:v>top_level_price_embedded_area</x:v>
      </x:c>
      <x:c r="L2321" s="2" t="str">
        <x:v>area_recovered_from_price_text;property_type_inferred_from_title</x:v>
      </x:c>
      <x:c r="M2321" s="10" t="n">
        <x:v>0</x:v>
      </x:c>
      <x:c r="N2321" s="10" t="n">
        <x:v>0</x:v>
      </x:c>
      <x:c r="O2321" s="2" t="str">
        <x:v>Tp Hồ Chí Minh|house</x:v>
      </x:c>
      <x:c r="P2321" s="10" t="n">
        <x:v>2</x:v>
      </x:c>
      <x:c r="Q2321" s="13" t="n">
        <x:f>IF(H2321="","",H2321/1000000000)</x:f>
        <x:v>4</x:v>
      </x:c>
      <x:c r="R2321" s="13" t="n">
        <x:f>IF(I2321="","",I2321/1000000)</x:f>
        <x:v>114.28571428571428</x:v>
      </x:c>
    </x:row>
    <x:row r="2322" ht="21" customHeight="1">
      <x:c r="A2322" s="10" t="n">
        <x:v>3288</x:v>
      </x:c>
      <x:c r="B2322" s="2" t="str">
        <x:v>40f316a1b48ad1915790</x:v>
      </x:c>
      <x:c r="C2322" s="2" t="str">
        <x:v>Bình Định</x:v>
      </x:c>
      <x:c r="D2322" s="2" t="str">
        <x:v>Thành phố Qui Nhơn</x:v>
      </x:c>
      <x:c r="E2322" s="2" t="str">
        <x:v>other_unknown</x:v>
      </x:c>
      <x:c r="F2322" s="2" t="str">
        <x:v>sale_assumed</x:v>
      </x:c>
      <x:c r="G2322" s="11" t="n">
        <x:v>44</x:v>
      </x:c>
      <x:c r="H2322" s="12" t="n">
        <x:v>1750000000</x:v>
      </x:c>
      <x:c r="I2322" s="12" t="n">
        <x:v>39772727.27272727</x:v>
      </x:c>
      <x:c r="J2322" s="2" t="str">
        <x:v>total</x:v>
      </x:c>
      <x:c r="K2322" s="2" t="str">
        <x:v>top_level_area</x:v>
      </x:c>
      <x:c r="L2322" s="2" t="str">
        <x:v>property_type_inferred_from_title;transaction_assumed_sale_from_dataset_context;unknown_property_type</x:v>
      </x:c>
      <x:c r="M2322" s="10" t="n">
        <x:v>0</x:v>
      </x:c>
      <x:c r="N2322" s="10" t="n">
        <x:v>0</x:v>
      </x:c>
      <x:c r="O2322" s="2" t="str">
        <x:v>other_unknown</x:v>
      </x:c>
      <x:c r="P2322" s="10" t="n">
        <x:v>2</x:v>
      </x:c>
      <x:c r="Q2322" s="13" t="n">
        <x:f>IF(H2322="","",H2322/1000000000)</x:f>
        <x:v>1.75</x:v>
      </x:c>
      <x:c r="R2322" s="13" t="n">
        <x:f>IF(I2322="","",I2322/1000000)</x:f>
        <x:v>39.77272727272727</x:v>
      </x:c>
    </x:row>
    <x:row r="2323" ht="21" customHeight="1">
      <x:c r="A2323" s="10" t="n">
        <x:v>3289</x:v>
      </x:c>
      <x:c r="B2323" s="2" t="str">
        <x:v>eb98e930fc3c32b5dbf8</x:v>
      </x:c>
      <x:c r="C2323" s="2" t="str">
        <x:v>Bình Dương</x:v>
      </x:c>
      <x:c r="D2323" s="2" t="str">
        <x:v>Huyện Bắc Tân Uyên</x:v>
      </x:c>
      <x:c r="E2323" s="2" t="str">
        <x:v>land</x:v>
      </x:c>
      <x:c r="F2323" s="2" t="str">
        <x:v>sale_assumed</x:v>
      </x:c>
      <x:c r="G2323" s="11" t="n">
        <x:v>116</x:v>
      </x:c>
      <x:c r="H2323" s="12" t="n">
        <x:v>1300000000</x:v>
      </x:c>
      <x:c r="I2323" s="12" t="n">
        <x:v>11206896.551724138</x:v>
      </x:c>
      <x:c r="J2323" s="2" t="str">
        <x:v>total</x:v>
      </x:c>
      <x:c r="K2323" s="2" t="str">
        <x:v>top_level_area</x:v>
      </x:c>
      <x:c r="L2323" s="2" t="str">
        <x:v>property_type_inferred_from_title;transaction_assumed_sale_from_dataset_context</x:v>
      </x:c>
      <x:c r="M2323" s="10" t="n">
        <x:v>0</x:v>
      </x:c>
      <x:c r="N2323" s="10" t="n">
        <x:v>0</x:v>
      </x:c>
      <x:c r="O2323" s="2" t="str">
        <x:v>Bình Dương|land</x:v>
      </x:c>
      <x:c r="P2323" s="10" t="n">
        <x:v>2</x:v>
      </x:c>
      <x:c r="Q2323" s="13" t="n">
        <x:f>IF(H2323="","",H2323/1000000000)</x:f>
        <x:v>1.3</x:v>
      </x:c>
      <x:c r="R2323" s="13" t="n">
        <x:f>IF(I2323="","",I2323/1000000)</x:f>
        <x:v>11.206896551724137</x:v>
      </x:c>
    </x:row>
    <x:row r="2324" ht="21" customHeight="1">
      <x:c r="A2324" s="10" t="n">
        <x:v>3290</x:v>
      </x:c>
      <x:c r="B2324" s="2" t="str">
        <x:v>790c0a0bd1b5d6d226ff</x:v>
      </x:c>
      <x:c r="C2324" s="2" t="str">
        <x:v>Bà Rịa - Vũng Tàu</x:v>
      </x:c>
      <x:c r="D2324" s="2" t="str">
        <x:v>Thị xã Phú Mỹ</x:v>
      </x:c>
      <x:c r="E2324" s="2" t="str">
        <x:v>other_unknown</x:v>
      </x:c>
      <x:c r="F2324" s="2" t="str">
        <x:v>sale_assumed</x:v>
      </x:c>
      <x:c r="G2324" s="11" t="n">
        <x:v>156</x:v>
      </x:c>
      <x:c r="H2324" s="12" t="n">
        <x:v>390000000</x:v>
      </x:c>
      <x:c r="I2324" s="12" t="n">
        <x:v>2500000</x:v>
      </x:c>
      <x:c r="J2324" s="2" t="str">
        <x:v>total</x:v>
      </x:c>
      <x:c r="K2324" s="2" t="str">
        <x:v>top_level_area</x:v>
      </x:c>
      <x:c r="L2324" s="2" t="str">
        <x:v>property_type_inferred_from_title;transaction_assumed_sale_from_dataset_context;unknown_property_type</x:v>
      </x:c>
      <x:c r="M2324" s="10" t="n">
        <x:v>0</x:v>
      </x:c>
      <x:c r="N2324" s="10" t="n">
        <x:v>0</x:v>
      </x:c>
      <x:c r="O2324" s="2" t="str">
        <x:v>other_unknown</x:v>
      </x:c>
      <x:c r="P2324" s="10" t="n">
        <x:v>1</x:v>
      </x:c>
      <x:c r="Q2324" s="13" t="n">
        <x:f>IF(H2324="","",H2324/1000000000)</x:f>
        <x:v>0.39</x:v>
      </x:c>
      <x:c r="R2324" s="13" t="n">
        <x:f>IF(I2324="","",I2324/1000000)</x:f>
        <x:v>2.5</x:v>
      </x:c>
    </x:row>
    <x:row r="2325" ht="21" customHeight="1">
      <x:c r="A2325" s="10" t="n">
        <x:v>3291</x:v>
      </x:c>
      <x:c r="B2325" s="2" t="str">
        <x:v>f698de8c055558ec9634</x:v>
      </x:c>
      <x:c r="C2325" s="2" t="str">
        <x:v>Tây Ninh</x:v>
      </x:c>
      <x:c r="D2325" s="2" t="str">
        <x:v>Thành phố Tây Ninh</x:v>
      </x:c>
      <x:c r="E2325" s="2" t="str">
        <x:v>land</x:v>
      </x:c>
      <x:c r="F2325" s="2" t="str">
        <x:v>sale_assumed</x:v>
      </x:c>
      <x:c r="G2325" s="11" t="n">
        <x:v>100</x:v>
      </x:c>
      <x:c r="H2325" s="12" t="n">
        <x:v>649000000</x:v>
      </x:c>
      <x:c r="I2325" s="12" t="n">
        <x:v>6490000</x:v>
      </x:c>
      <x:c r="J2325" s="2" t="str">
        <x:v>total</x:v>
      </x:c>
      <x:c r="K2325" s="2" t="str">
        <x:v>top_level_area</x:v>
      </x:c>
      <x:c r="L2325" s="2" t="str">
        <x:v>property_type_inferred_from_title;transaction_assumed_sale_from_dataset_context</x:v>
      </x:c>
      <x:c r="M2325" s="10" t="n">
        <x:v>0</x:v>
      </x:c>
      <x:c r="N2325" s="10" t="n">
        <x:v>0</x:v>
      </x:c>
      <x:c r="O2325" s="2" t="str">
        <x:v>land</x:v>
      </x:c>
      <x:c r="P2325" s="10" t="n">
        <x:v>2</x:v>
      </x:c>
      <x:c r="Q2325" s="13" t="n">
        <x:f>IF(H2325="","",H2325/1000000000)</x:f>
        <x:v>0.649</x:v>
      </x:c>
      <x:c r="R2325" s="13" t="n">
        <x:f>IF(I2325="","",I2325/1000000)</x:f>
        <x:v>6.49</x:v>
      </x:c>
    </x:row>
    <x:row r="2326" ht="21" customHeight="1">
      <x:c r="A2326" s="10" t="n">
        <x:v>3292</x:v>
      </x:c>
      <x:c r="B2326" s="2" t="str">
        <x:v>d094b34a01d437f479e1</x:v>
      </x:c>
      <x:c r="C2326" s="2" t="str">
        <x:v>Đắk Lắk</x:v>
      </x:c>
      <x:c r="D2326" s="2" t="str">
        <x:v>Thành phố Buôn Ma Thuột</x:v>
      </x:c>
      <x:c r="E2326" s="2" t="str">
        <x:v>house</x:v>
      </x:c>
      <x:c r="F2326" s="2" t="str">
        <x:v>sale_assumed</x:v>
      </x:c>
      <x:c r="G2326" s="11" t="n">
        <x:v>100</x:v>
      </x:c>
      <x:c r="H2326" s="12" t="n">
        <x:v>2450000000</x:v>
      </x:c>
      <x:c r="I2326" s="12" t="n">
        <x:v>24500000</x:v>
      </x:c>
      <x:c r="J2326" s="2" t="str">
        <x:v>total</x:v>
      </x:c>
      <x:c r="K2326" s="2" t="str">
        <x:v>top_level_area</x:v>
      </x:c>
      <x:c r="L2326" s="2" t="str">
        <x:v>property_type_inferred_from_title;transaction_assumed_sale_from_dataset_context</x:v>
      </x:c>
      <x:c r="M2326" s="10" t="n">
        <x:v>0</x:v>
      </x:c>
      <x:c r="N2326" s="10" t="n">
        <x:v>0</x:v>
      </x:c>
      <x:c r="O2326" s="2" t="str">
        <x:v>Đắk Lắk|house</x:v>
      </x:c>
      <x:c r="P2326" s="10" t="n">
        <x:v>2</x:v>
      </x:c>
      <x:c r="Q2326" s="13" t="n">
        <x:f>IF(H2326="","",H2326/1000000000)</x:f>
        <x:v>2.45</x:v>
      </x:c>
      <x:c r="R2326" s="13" t="n">
        <x:f>IF(I2326="","",I2326/1000000)</x:f>
        <x:v>24.5</x:v>
      </x:c>
    </x:row>
    <x:row r="2327" ht="21" customHeight="1">
      <x:c r="A2327" s="10" t="n">
        <x:v>3293</x:v>
      </x:c>
      <x:c r="B2327" s="2" t="str">
        <x:v>896fd3a454d740c35107</x:v>
      </x:c>
      <x:c r="C2327" s="2" t="str">
        <x:v>Tp Hồ Chí Minh</x:v>
      </x:c>
      <x:c r="D2327" s="2" t="str">
        <x:v>Quận Tân Bình</x:v>
      </x:c>
      <x:c r="E2327" s="2" t="str">
        <x:v>house</x:v>
      </x:c>
      <x:c r="F2327" s="2" t="str">
        <x:v>sale</x:v>
      </x:c>
      <x:c r="G2327" s="11" t="n">
        <x:v>78</x:v>
      </x:c>
      <x:c r="H2327" s="12" t="n">
        <x:v>4900000000</x:v>
      </x:c>
      <x:c r="I2327" s="12" t="n">
        <x:v>62820512.820512824</x:v>
      </x:c>
      <x:c r="J2327" s="2" t="str">
        <x:v>total</x:v>
      </x:c>
      <x:c r="K2327" s="2" t="str">
        <x:v>top_level_area</x:v>
      </x:c>
      <x:c r="L2327" s="2" t="str">
        <x:v>property_type_inferred_from_title</x:v>
      </x:c>
      <x:c r="M2327" s="10" t="n">
        <x:v>0</x:v>
      </x:c>
      <x:c r="N2327" s="10" t="n">
        <x:v>0</x:v>
      </x:c>
      <x:c r="O2327" s="2" t="str">
        <x:v>Tp Hồ Chí Minh|house</x:v>
      </x:c>
      <x:c r="P2327" s="10" t="n">
        <x:v>2</x:v>
      </x:c>
      <x:c r="Q2327" s="13" t="n">
        <x:f>IF(H2327="","",H2327/1000000000)</x:f>
        <x:v>4.9</x:v>
      </x:c>
      <x:c r="R2327" s="13" t="n">
        <x:f>IF(I2327="","",I2327/1000000)</x:f>
        <x:v>62.820512820512825</x:v>
      </x:c>
    </x:row>
    <x:row r="2328" ht="21" customHeight="1">
      <x:c r="A2328" s="10" t="n">
        <x:v>3294</x:v>
      </x:c>
      <x:c r="B2328" s="2" t="str">
        <x:v>ae0bb18f33eb367a272f</x:v>
      </x:c>
      <x:c r="C2328" s="2" t="str">
        <x:v>Tp Hồ Chí Minh</x:v>
      </x:c>
      <x:c r="D2328" s="2" t="str">
        <x:v>Huyện Hóc Môn</x:v>
      </x:c>
      <x:c r="E2328" s="2" t="str">
        <x:v>house</x:v>
      </x:c>
      <x:c r="F2328" s="2" t="str">
        <x:v>sale_assumed</x:v>
      </x:c>
      <x:c r="G2328" s="11" t="n">
        <x:v>85</x:v>
      </x:c>
      <x:c r="H2328" s="12" t="n">
        <x:v>320000000</x:v>
      </x:c>
      <x:c r="I2328" s="12" t="n">
        <x:v>3764705.882352941</x:v>
      </x:c>
      <x:c r="J2328" s="2" t="str">
        <x:v>total</x:v>
      </x:c>
      <x:c r="K2328" s="2" t="str">
        <x:v>top_level_area</x:v>
      </x:c>
      <x:c r="L2328" s="2" t="str">
        <x:v>property_type_inferred_from_title;transaction_assumed_sale_from_dataset_context</x:v>
      </x:c>
      <x:c r="M2328" s="10" t="n">
        <x:v>0</x:v>
      </x:c>
      <x:c r="N2328" s="10" t="n">
        <x:v>0</x:v>
      </x:c>
      <x:c r="O2328" s="2" t="str">
        <x:v>Tp Hồ Chí Minh|house</x:v>
      </x:c>
      <x:c r="P2328" s="10" t="n">
        <x:v>2</x:v>
      </x:c>
      <x:c r="Q2328" s="13" t="n">
        <x:f>IF(H2328="","",H2328/1000000000)</x:f>
        <x:v>0.32</x:v>
      </x:c>
      <x:c r="R2328" s="13" t="n">
        <x:f>IF(I2328="","",I2328/1000000)</x:f>
        <x:v>3.764705882352941</x:v>
      </x:c>
    </x:row>
    <x:row r="2329" ht="21" customHeight="1">
      <x:c r="A2329" s="10" t="n">
        <x:v>3295</x:v>
      </x:c>
      <x:c r="B2329" s="2" t="str">
        <x:v>3a11fdda9c38457f7fe9</x:v>
      </x:c>
      <x:c r="C2329" s="2" t="str">
        <x:v>Tp Hồ Chí Minh</x:v>
      </x:c>
      <x:c r="D2329" s="2" t="str">
        <x:v>Quận 10</x:v>
      </x:c>
      <x:c r="E2329" s="2" t="str">
        <x:v>other_unknown</x:v>
      </x:c>
      <x:c r="F2329" s="2" t="str">
        <x:v>sale_assumed</x:v>
      </x:c>
      <x:c r="G2329" s="11" t="n">
        <x:v>44</x:v>
      </x:c>
      <x:c r="H2329" s="12" t="n">
        <x:v>5000000000</x:v>
      </x:c>
      <x:c r="I2329" s="12" t="n">
        <x:v>113636363.63636364</x:v>
      </x:c>
      <x:c r="J2329" s="2" t="str">
        <x:v>total</x:v>
      </x:c>
      <x:c r="K2329" s="2" t="str">
        <x:v>top_level_area</x:v>
      </x:c>
      <x:c r="L2329" s="2" t="str">
        <x:v>property_type_inferred_from_title;transaction_assumed_sale_from_dataset_context;unknown_property_type</x:v>
      </x:c>
      <x:c r="M2329" s="10" t="n">
        <x:v>0</x:v>
      </x:c>
      <x:c r="N2329" s="10" t="n">
        <x:v>0</x:v>
      </x:c>
      <x:c r="O2329" s="2" t="str">
        <x:v>Tp Hồ Chí Minh|other_unknown</x:v>
      </x:c>
      <x:c r="P2329" s="10" t="n">
        <x:v>2</x:v>
      </x:c>
      <x:c r="Q2329" s="13" t="n">
        <x:f>IF(H2329="","",H2329/1000000000)</x:f>
        <x:v>5</x:v>
      </x:c>
      <x:c r="R2329" s="13" t="n">
        <x:f>IF(I2329="","",I2329/1000000)</x:f>
        <x:v>113.63636363636364</x:v>
      </x:c>
    </x:row>
    <x:row r="2330" ht="21" customHeight="1">
      <x:c r="A2330" s="10" t="n">
        <x:v>3296</x:v>
      </x:c>
      <x:c r="B2330" s="2" t="str">
        <x:v>290083c567e2424e41a4</x:v>
      </x:c>
      <x:c r="C2330" s="2" t="str">
        <x:v>Tp Hồ Chí Minh</x:v>
      </x:c>
      <x:c r="D2330" s="2" t="str">
        <x:v>Quận Tân Bình</x:v>
      </x:c>
      <x:c r="E2330" s="2" t="str">
        <x:v>house</x:v>
      </x:c>
      <x:c r="F2330" s="2" t="str">
        <x:v>sale</x:v>
      </x:c>
      <x:c r="G2330" s="11" t="n">
        <x:v>50</x:v>
      </x:c>
      <x:c r="H2330" s="12" t="n">
        <x:v>860000000</x:v>
      </x:c>
      <x:c r="I2330" s="12" t="n">
        <x:v>17200000</x:v>
      </x:c>
      <x:c r="J2330" s="2" t="str">
        <x:v>total</x:v>
      </x:c>
      <x:c r="K2330" s="2" t="str">
        <x:v>top_level_area</x:v>
      </x:c>
      <x:c r="L2330" s="2" t="str">
        <x:v>property_type_inferred_from_title</x:v>
      </x:c>
      <x:c r="M2330" s="10" t="n">
        <x:v>0</x:v>
      </x:c>
      <x:c r="N2330" s="10" t="n">
        <x:v>0</x:v>
      </x:c>
      <x:c r="O2330" s="2" t="str">
        <x:v>Tp Hồ Chí Minh|house</x:v>
      </x:c>
      <x:c r="P2330" s="10" t="n">
        <x:v>2</x:v>
      </x:c>
      <x:c r="Q2330" s="13" t="n">
        <x:f>IF(H2330="","",H2330/1000000000)</x:f>
        <x:v>0.86</x:v>
      </x:c>
      <x:c r="R2330" s="13" t="n">
        <x:f>IF(I2330="","",I2330/1000000)</x:f>
        <x:v>17.2</x:v>
      </x:c>
    </x:row>
    <x:row r="2331" ht="21" customHeight="1">
      <x:c r="A2331" s="10" t="n">
        <x:v>3297</x:v>
      </x:c>
      <x:c r="B2331" s="2" t="str">
        <x:v>78dc7dab7b0230192a29</x:v>
      </x:c>
      <x:c r="C2331" s="2" t="str">
        <x:v>Long An</x:v>
      </x:c>
      <x:c r="D2331" s="2" t="str">
        <x:v>Huyện Bến Lức</x:v>
      </x:c>
      <x:c r="E2331" s="2" t="str">
        <x:v>other_unknown</x:v>
      </x:c>
      <x:c r="F2331" s="2" t="str">
        <x:v>sale</x:v>
      </x:c>
      <x:c r="G2331" s="11" t="n">
        <x:v>60</x:v>
      </x:c>
      <x:c r="H2331" s="12" t="n">
        <x:v>860000000</x:v>
      </x:c>
      <x:c r="I2331" s="12" t="n">
        <x:v>14333333.333333334</x:v>
      </x:c>
      <x:c r="J2331" s="2" t="str">
        <x:v>total</x:v>
      </x:c>
      <x:c r="K2331" s="2" t="str">
        <x:v>top_level_price_embedded_area</x:v>
      </x:c>
      <x:c r="L2331" s="2" t="str">
        <x:v>area_recovered_from_price_text;property_type_inferred_from_title;unknown_property_type</x:v>
      </x:c>
      <x:c r="M2331" s="10" t="n">
        <x:v>0</x:v>
      </x:c>
      <x:c r="N2331" s="10" t="n">
        <x:v>0</x:v>
      </x:c>
      <x:c r="O2331" s="2" t="str">
        <x:v>Long An|other_unknown</x:v>
      </x:c>
      <x:c r="P2331" s="10" t="n">
        <x:v>2</x:v>
      </x:c>
      <x:c r="Q2331" s="13" t="n">
        <x:f>IF(H2331="","",H2331/1000000000)</x:f>
        <x:v>0.86</x:v>
      </x:c>
      <x:c r="R2331" s="13" t="n">
        <x:f>IF(I2331="","",I2331/1000000)</x:f>
        <x:v>14.333333333333334</x:v>
      </x:c>
    </x:row>
    <x:row r="2332" ht="21" customHeight="1">
      <x:c r="A2332" s="10" t="n">
        <x:v>3298</x:v>
      </x:c>
      <x:c r="B2332" s="2" t="str">
        <x:v>62c39fea77ab87bc01be</x:v>
      </x:c>
      <x:c r="C2332" s="2" t="str">
        <x:v>Tp Hồ Chí Minh</x:v>
      </x:c>
      <x:c r="D2332" s="2" t="str">
        <x:v>Quận Thủ Đức</x:v>
      </x:c>
      <x:c r="E2332" s="2" t="str">
        <x:v>land</x:v>
      </x:c>
      <x:c r="F2332" s="2" t="str">
        <x:v>sale</x:v>
      </x:c>
      <x:c r="G2332" s="11" t="n">
        <x:v>60</x:v>
      </x:c>
      <x:c r="H2332" s="12" t="n">
        <x:v>735000000</x:v>
      </x:c>
      <x:c r="I2332" s="12" t="n">
        <x:v>12250000</x:v>
      </x:c>
      <x:c r="J2332" s="2" t="str">
        <x:v>total</x:v>
      </x:c>
      <x:c r="K2332" s="2" t="str">
        <x:v>top_level_area</x:v>
      </x:c>
      <x:c r="L2332" s="2" t="str">
        <x:v>property_type_inferred_from_title</x:v>
      </x:c>
      <x:c r="M2332" s="10" t="n">
        <x:v>0</x:v>
      </x:c>
      <x:c r="N2332" s="10" t="n">
        <x:v>0</x:v>
      </x:c>
      <x:c r="O2332" s="2" t="str">
        <x:v>Tp Hồ Chí Minh|land</x:v>
      </x:c>
      <x:c r="P2332" s="10" t="n">
        <x:v>2</x:v>
      </x:c>
      <x:c r="Q2332" s="13" t="n">
        <x:f>IF(H2332="","",H2332/1000000000)</x:f>
        <x:v>0.735</x:v>
      </x:c>
      <x:c r="R2332" s="13" t="n">
        <x:f>IF(I2332="","",I2332/1000000)</x:f>
        <x:v>12.25</x:v>
      </x:c>
    </x:row>
    <x:row r="2333" ht="21" customHeight="1">
      <x:c r="A2333" s="10" t="n">
        <x:v>3299</x:v>
      </x:c>
      <x:c r="B2333" s="2" t="str">
        <x:v>75ab40ad9a1c7d1de5a2</x:v>
      </x:c>
      <x:c r="C2333" s="2" t="str">
        <x:v>Tp Hồ Chí Minh</x:v>
      </x:c>
      <x:c r="D2333" s="2" t="str">
        <x:v>Quận 2</x:v>
      </x:c>
      <x:c r="E2333" s="2" t="str">
        <x:v>house</x:v>
      </x:c>
      <x:c r="F2333" s="2" t="str">
        <x:v>sale</x:v>
      </x:c>
      <x:c r="G2333" s="11" t="n">
        <x:v>74</x:v>
      </x:c>
      <x:c r="H2333" s="12" t="n">
        <x:v>1100000000</x:v>
      </x:c>
      <x:c r="I2333" s="12" t="n">
        <x:v>14864864.864864865</x:v>
      </x:c>
      <x:c r="J2333" s="2" t="str">
        <x:v>total</x:v>
      </x:c>
      <x:c r="K2333" s="2" t="str">
        <x:v>top_level_area</x:v>
      </x:c>
      <x:c r="L2333" s="2" t="str">
        <x:v>property_type_inferred_from_title</x:v>
      </x:c>
      <x:c r="M2333" s="10" t="n">
        <x:v>0</x:v>
      </x:c>
      <x:c r="N2333" s="10" t="n">
        <x:v>0</x:v>
      </x:c>
      <x:c r="O2333" s="2" t="str">
        <x:v>Tp Hồ Chí Minh|house</x:v>
      </x:c>
      <x:c r="P2333" s="10" t="n">
        <x:v>2</x:v>
      </x:c>
      <x:c r="Q2333" s="13" t="n">
        <x:f>IF(H2333="","",H2333/1000000000)</x:f>
        <x:v>1.1</x:v>
      </x:c>
      <x:c r="R2333" s="13" t="n">
        <x:f>IF(I2333="","",I2333/1000000)</x:f>
        <x:v>14.864864864864865</x:v>
      </x:c>
    </x:row>
    <x:row r="2334" ht="21" customHeight="1">
      <x:c r="A2334" s="10" t="n">
        <x:v>3324</x:v>
      </x:c>
      <x:c r="B2334" s="2" t="str">
        <x:v>7f4b651136ad3186b76c</x:v>
      </x:c>
      <x:c r="C2334" s="2" t="str">
        <x:v>Bình Dương</x:v>
      </x:c>
      <x:c r="D2334" s="2" t="str">
        <x:v>Thị xã Tân Uyên</x:v>
      </x:c>
      <x:c r="E2334" s="2" t="str">
        <x:v>land</x:v>
      </x:c>
      <x:c r="F2334" s="2" t="str">
        <x:v>sale</x:v>
      </x:c>
      <x:c r="G2334" s="11" t="n">
        <x:v>1207</x:v>
      </x:c>
      <x:c r="H2334" s="12" t="n">
        <x:v>349000000</x:v>
      </x:c>
      <x:c r="I2334" s="12" t="n">
        <x:v>289146.64457332226</x:v>
      </x:c>
      <x:c r="J2334" s="2" t="str">
        <x:v>total</x:v>
      </x:c>
      <x:c r="K2334" s="2" t="str">
        <x:v>top_level_area</x:v>
      </x:c>
      <x:c r="L2334" s="2" t="str">
        <x:v>dot_thousands_convention;property_type_inferred_from_title</x:v>
      </x:c>
      <x:c r="M2334" s="10" t="n">
        <x:v>0</x:v>
      </x:c>
      <x:c r="N2334" s="10" t="n">
        <x:v>0</x:v>
      </x:c>
      <x:c r="O2334" s="2" t="str">
        <x:v>Bình Dương|land</x:v>
      </x:c>
      <x:c r="P2334" s="10" t="n">
        <x:v>1</x:v>
      </x:c>
      <x:c r="Q2334" s="13" t="n">
        <x:f>IF(H2334="","",H2334/1000000000)</x:f>
        <x:v>0.349</x:v>
      </x:c>
      <x:c r="R2334" s="13" t="n">
        <x:f>IF(I2334="","",I2334/1000000)</x:f>
        <x:v>0.2891466445733223</x:v>
      </x:c>
    </x:row>
    <x:row r="2335" ht="21" customHeight="1">
      <x:c r="A2335" s="10" t="n">
        <x:v>3325</x:v>
      </x:c>
      <x:c r="B2335" s="2" t="str">
        <x:v>68d30496d657aa901071</x:v>
      </x:c>
      <x:c r="C2335" s="2" t="str">
        <x:v>Đồng Nai</x:v>
      </x:c>
      <x:c r="D2335" s="2" t="str">
        <x:v>Huyện Trảng Bom</x:v>
      </x:c>
      <x:c r="E2335" s="2" t="str">
        <x:v>land</x:v>
      </x:c>
      <x:c r="F2335" s="2" t="str">
        <x:v>sale</x:v>
      </x:c>
      <x:c r="G2335" s="11" t="n">
        <x:v>101.8</x:v>
      </x:c>
      <x:c r="H2335" s="12" t="n">
        <x:v>950000000</x:v>
      </x:c>
      <x:c r="I2335" s="12" t="n">
        <x:v>9332023.575638507</x:v>
      </x:c>
      <x:c r="J2335" s="2" t="str">
        <x:v>total</x:v>
      </x:c>
      <x:c r="K2335" s="2" t="str">
        <x:v>top_level_area</x:v>
      </x:c>
      <x:c r="L2335" s="2" t="str">
        <x:v>property_type_inferred_from_title</x:v>
      </x:c>
      <x:c r="M2335" s="10" t="n">
        <x:v>0</x:v>
      </x:c>
      <x:c r="N2335" s="10" t="n">
        <x:v>0</x:v>
      </x:c>
      <x:c r="O2335" s="2" t="str">
        <x:v>Đồng Nai|land</x:v>
      </x:c>
      <x:c r="P2335" s="10" t="n">
        <x:v>2</x:v>
      </x:c>
      <x:c r="Q2335" s="13" t="n">
        <x:f>IF(H2335="","",H2335/1000000000)</x:f>
        <x:v>0.95</x:v>
      </x:c>
      <x:c r="R2335" s="13" t="n">
        <x:f>IF(I2335="","",I2335/1000000)</x:f>
        <x:v>9.332023575638507</x:v>
      </x:c>
    </x:row>
    <x:row r="2336" ht="21" customHeight="1">
      <x:c r="A2336" s="10" t="n">
        <x:v>3326</x:v>
      </x:c>
      <x:c r="B2336" s="2" t="str">
        <x:v>b86242226679d4140334</x:v>
      </x:c>
      <x:c r="C2336" s="2" t="str">
        <x:v>Cần Thơ</x:v>
      </x:c>
      <x:c r="D2336" s="2" t="str">
        <x:v>Quận Cái Răng</x:v>
      </x:c>
      <x:c r="E2336" s="2" t="str">
        <x:v>land</x:v>
      </x:c>
      <x:c r="F2336" s="2" t="str">
        <x:v>sale_assumed</x:v>
      </x:c>
      <x:c r="G2336" s="11" t="n">
        <x:v>620</x:v>
      </x:c>
      <x:c r="H2336" s="12" t="n">
        <x:v>1299000000</x:v>
      </x:c>
      <x:c r="I2336" s="12" t="n">
        <x:v>2095161.2903225806</x:v>
      </x:c>
      <x:c r="J2336" s="2" t="str">
        <x:v>total</x:v>
      </x:c>
      <x:c r="K2336" s="2" t="str">
        <x:v>top_level_area</x:v>
      </x:c>
      <x:c r="L2336" s="2" t="str">
        <x:v>property_type_inferred_from_title;transaction_assumed_sale_from_dataset_context</x:v>
      </x:c>
      <x:c r="M2336" s="10" t="n">
        <x:v>0</x:v>
      </x:c>
      <x:c r="N2336" s="10" t="n">
        <x:v>0</x:v>
      </x:c>
      <x:c r="O2336" s="2" t="str">
        <x:v>Cần Thơ|land</x:v>
      </x:c>
      <x:c r="P2336" s="10" t="n">
        <x:v>1</x:v>
      </x:c>
      <x:c r="Q2336" s="13" t="n">
        <x:f>IF(H2336="","",H2336/1000000000)</x:f>
        <x:v>1.299</x:v>
      </x:c>
      <x:c r="R2336" s="13" t="n">
        <x:f>IF(I2336="","",I2336/1000000)</x:f>
        <x:v>2.0951612903225807</x:v>
      </x:c>
    </x:row>
    <x:row r="2337" ht="21" customHeight="1">
      <x:c r="A2337" s="10" t="n">
        <x:v>3327</x:v>
      </x:c>
      <x:c r="B2337" s="2" t="str">
        <x:v>425034c577b59451beb1</x:v>
      </x:c>
      <x:c r="C2337" s="2" t="str">
        <x:v>Tp Hồ Chí Minh</x:v>
      </x:c>
      <x:c r="D2337" s="2" t="str">
        <x:v>Huyện Hóc Môn</x:v>
      </x:c>
      <x:c r="E2337" s="2" t="str">
        <x:v>other_unknown</x:v>
      </x:c>
      <x:c r="F2337" s="2" t="str">
        <x:v>sale</x:v>
      </x:c>
      <x:c r="G2337" s="11" t="n">
        <x:v>76</x:v>
      </x:c>
      <x:c r="H2337" s="12" t="n">
        <x:v>280000000</x:v>
      </x:c>
      <x:c r="I2337" s="12" t="n">
        <x:v>3684210.5263157897</x:v>
      </x:c>
      <x:c r="J2337" s="2" t="str">
        <x:v>total</x:v>
      </x:c>
      <x:c r="K2337" s="2" t="str">
        <x:v>top_level_area</x:v>
      </x:c>
      <x:c r="L2337" s="2" t="str">
        <x:v>property_type_inferred_from_title;unknown_property_type</x:v>
      </x:c>
      <x:c r="M2337" s="10" t="n">
        <x:v>0</x:v>
      </x:c>
      <x:c r="N2337" s="10" t="n">
        <x:v>0</x:v>
      </x:c>
      <x:c r="O2337" s="2" t="str">
        <x:v>Tp Hồ Chí Minh|other_unknown</x:v>
      </x:c>
      <x:c r="P2337" s="10" t="n">
        <x:v>2</x:v>
      </x:c>
      <x:c r="Q2337" s="13" t="n">
        <x:f>IF(H2337="","",H2337/1000000000)</x:f>
        <x:v>0.28</x:v>
      </x:c>
      <x:c r="R2337" s="13" t="n">
        <x:f>IF(I2337="","",I2337/1000000)</x:f>
        <x:v>3.68421052631579</x:v>
      </x:c>
    </x:row>
    <x:row r="2338" ht="21" customHeight="1">
      <x:c r="A2338" s="10" t="n">
        <x:v>3328</x:v>
      </x:c>
      <x:c r="B2338" s="2" t="str">
        <x:v>8f805ecdc50158af0c77</x:v>
      </x:c>
      <x:c r="C2338" s="2" t="str">
        <x:v>Tp Hồ Chí Minh</x:v>
      </x:c>
      <x:c r="D2338" s="2" t="str">
        <x:v>Quận Bình Tân</x:v>
      </x:c>
      <x:c r="E2338" s="2" t="str">
        <x:v>land</x:v>
      </x:c>
      <x:c r="F2338" s="2" t="str">
        <x:v>sale_assumed</x:v>
      </x:c>
      <x:c r="G2338" s="11" t="n">
        <x:v>88</x:v>
      </x:c>
      <x:c r="H2338" s="12" t="n">
        <x:v>2850000000</x:v>
      </x:c>
      <x:c r="I2338" s="12" t="n">
        <x:v>32386363.636363637</x:v>
      </x:c>
      <x:c r="J2338" s="2" t="str">
        <x:v>total</x:v>
      </x:c>
      <x:c r="K2338" s="2" t="str">
        <x:v>top_level_area</x:v>
      </x:c>
      <x:c r="L2338" s="2" t="str">
        <x:v>property_type_inferred_from_title;transaction_assumed_sale_from_dataset_context</x:v>
      </x:c>
      <x:c r="M2338" s="10" t="n">
        <x:v>0</x:v>
      </x:c>
      <x:c r="N2338" s="10" t="n">
        <x:v>0</x:v>
      </x:c>
      <x:c r="O2338" s="2" t="str">
        <x:v>Tp Hồ Chí Minh|land</x:v>
      </x:c>
      <x:c r="P2338" s="10" t="n">
        <x:v>2</x:v>
      </x:c>
      <x:c r="Q2338" s="13" t="n">
        <x:f>IF(H2338="","",H2338/1000000000)</x:f>
        <x:v>2.85</x:v>
      </x:c>
      <x:c r="R2338" s="13" t="n">
        <x:f>IF(I2338="","",I2338/1000000)</x:f>
        <x:v>32.38636363636364</x:v>
      </x:c>
    </x:row>
    <x:row r="2339" ht="21" customHeight="1">
      <x:c r="A2339" s="10" t="n">
        <x:v>3329</x:v>
      </x:c>
      <x:c r="B2339" s="2" t="str">
        <x:v>6b8bdb81c186921e7310</x:v>
      </x:c>
      <x:c r="C2339" s="2" t="str">
        <x:v>Bình Phước</x:v>
      </x:c>
      <x:c r="D2339" s="2" t="str">
        <x:v>Thành phố Đồng Xoài</x:v>
      </x:c>
      <x:c r="E2339" s="2" t="str">
        <x:v>house</x:v>
      </x:c>
      <x:c r="F2339" s="2" t="str">
        <x:v>sale_assumed</x:v>
      </x:c>
      <x:c r="G2339" s="11" t="n">
        <x:v>1000</x:v>
      </x:c>
      <x:c r="H2339" s="12" t="n">
        <x:v>260000000</x:v>
      </x:c>
      <x:c r="I2339" s="12" t="n">
        <x:v>260000</x:v>
      </x:c>
      <x:c r="J2339" s="2" t="str">
        <x:v>total</x:v>
      </x:c>
      <x:c r="K2339" s="2" t="str">
        <x:v>top_level_area</x:v>
      </x:c>
      <x:c r="L2339" s="2" t="str">
        <x:v>dot_thousands_convention;property_type_inferred_from_title;transaction_assumed_sale_from_dataset_context</x:v>
      </x:c>
      <x:c r="M2339" s="10" t="n">
        <x:v>0</x:v>
      </x:c>
      <x:c r="N2339" s="10" t="n">
        <x:v>0</x:v>
      </x:c>
      <x:c r="O2339" s="2" t="str">
        <x:v>house</x:v>
      </x:c>
      <x:c r="P2339" s="10" t="n">
        <x:v>1</x:v>
      </x:c>
      <x:c r="Q2339" s="13" t="n">
        <x:f>IF(H2339="","",H2339/1000000000)</x:f>
        <x:v>0.26</x:v>
      </x:c>
      <x:c r="R2339" s="13" t="n">
        <x:f>IF(I2339="","",I2339/1000000)</x:f>
        <x:v>0.26</x:v>
      </x:c>
    </x:row>
    <x:row r="2340" ht="21" customHeight="1">
      <x:c r="A2340" s="10" t="n">
        <x:v>3330</x:v>
      </x:c>
      <x:c r="B2340" s="2" t="str">
        <x:v>56ddc8ea3e0cc6c62758</x:v>
      </x:c>
      <x:c r="C2340" s="2" t="str">
        <x:v>Tp Hồ Chí Minh</x:v>
      </x:c>
      <x:c r="D2340" s="2" t="str">
        <x:v>Huyện Hóc Môn</x:v>
      </x:c>
      <x:c r="E2340" s="2" t="str">
        <x:v>house</x:v>
      </x:c>
      <x:c r="F2340" s="2" t="str">
        <x:v>sale</x:v>
      </x:c>
      <x:c r="G2340" s="11" t="n">
        <x:v>48</x:v>
      </x:c>
      <x:c r="H2340" s="12" t="n">
        <x:v>148000000</x:v>
      </x:c>
      <x:c r="I2340" s="12" t="n">
        <x:v>3083333.3333333335</x:v>
      </x:c>
      <x:c r="J2340" s="2" t="str">
        <x:v>total</x:v>
      </x:c>
      <x:c r="K2340" s="2" t="str">
        <x:v>top_level_area</x:v>
      </x:c>
      <x:c r="L2340" s="2" t="str">
        <x:v>property_type_inferred_from_title</x:v>
      </x:c>
      <x:c r="M2340" s="10" t="n">
        <x:v>0</x:v>
      </x:c>
      <x:c r="N2340" s="10" t="n">
        <x:v>0</x:v>
      </x:c>
      <x:c r="O2340" s="2" t="str">
        <x:v>Tp Hồ Chí Minh|house</x:v>
      </x:c>
      <x:c r="P2340" s="10" t="n">
        <x:v>2</x:v>
      </x:c>
      <x:c r="Q2340" s="13" t="n">
        <x:f>IF(H2340="","",H2340/1000000000)</x:f>
        <x:v>0.148</x:v>
      </x:c>
      <x:c r="R2340" s="13" t="n">
        <x:f>IF(I2340="","",I2340/1000000)</x:f>
        <x:v>3.0833333333333335</x:v>
      </x:c>
    </x:row>
    <x:row r="2341" ht="21" customHeight="1">
      <x:c r="A2341" s="10" t="n">
        <x:v>3331</x:v>
      </x:c>
      <x:c r="B2341" s="2" t="str">
        <x:v>982dd36763b214874926</x:v>
      </x:c>
      <x:c r="C2341" s="2" t="str">
        <x:v>Tp Hồ Chí Minh</x:v>
      </x:c>
      <x:c r="D2341" s="2" t="str">
        <x:v>Quận Phú Nhuận</x:v>
      </x:c>
      <x:c r="E2341" s="2" t="str">
        <x:v>house</x:v>
      </x:c>
      <x:c r="F2341" s="2" t="str">
        <x:v>sale</x:v>
      </x:c>
      <x:c r="G2341" s="11" t="n">
        <x:v>72</x:v>
      </x:c>
      <x:c r="H2341" s="12" t="n">
        <x:v>1700000000</x:v>
      </x:c>
      <x:c r="I2341" s="12" t="n">
        <x:v>23611111.111111112</x:v>
      </x:c>
      <x:c r="J2341" s="2" t="str">
        <x:v>total</x:v>
      </x:c>
      <x:c r="K2341" s="2" t="str">
        <x:v>top_level_area</x:v>
      </x:c>
      <x:c r="L2341" s="2" t="str">
        <x:v>property_type_inferred_from_title</x:v>
      </x:c>
      <x:c r="M2341" s="10" t="n">
        <x:v>0</x:v>
      </x:c>
      <x:c r="N2341" s="10" t="n">
        <x:v>0</x:v>
      </x:c>
      <x:c r="O2341" s="2" t="str">
        <x:v>Tp Hồ Chí Minh|house</x:v>
      </x:c>
      <x:c r="P2341" s="10" t="n">
        <x:v>2</x:v>
      </x:c>
      <x:c r="Q2341" s="13" t="n">
        <x:f>IF(H2341="","",H2341/1000000000)</x:f>
        <x:v>1.7</x:v>
      </x:c>
      <x:c r="R2341" s="13" t="n">
        <x:f>IF(I2341="","",I2341/1000000)</x:f>
        <x:v>23.61111111111111</x:v>
      </x:c>
    </x:row>
    <x:row r="2342" ht="21" customHeight="1">
      <x:c r="A2342" s="10" t="n">
        <x:v>3332</x:v>
      </x:c>
      <x:c r="B2342" s="2" t="str">
        <x:v>2285052f1f191b8306b9</x:v>
      </x:c>
      <x:c r="C2342" s="2" t="str">
        <x:v>Tp Hồ Chí Minh</x:v>
      </x:c>
      <x:c r="D2342" s="2" t="str">
        <x:v>Quận 9</x:v>
      </x:c>
      <x:c r="E2342" s="2" t="str">
        <x:v>land</x:v>
      </x:c>
      <x:c r="F2342" s="2" t="str">
        <x:v>sale_assumed</x:v>
      </x:c>
      <x:c r="G2342" s="11" t="n">
        <x:v>62</x:v>
      </x:c>
      <x:c r="H2342" s="12" t="n">
        <x:v>955000000</x:v>
      </x:c>
      <x:c r="I2342" s="12" t="n">
        <x:v>15403225.806451613</x:v>
      </x:c>
      <x:c r="J2342" s="2" t="str">
        <x:v>total</x:v>
      </x:c>
      <x:c r="K2342" s="2" t="str">
        <x:v>top_level_area</x:v>
      </x:c>
      <x:c r="L2342" s="2" t="str">
        <x:v>property_type_inferred_from_title;transaction_assumed_sale_from_dataset_context</x:v>
      </x:c>
      <x:c r="M2342" s="10" t="n">
        <x:v>0</x:v>
      </x:c>
      <x:c r="N2342" s="10" t="n">
        <x:v>0</x:v>
      </x:c>
      <x:c r="O2342" s="2" t="str">
        <x:v>Tp Hồ Chí Minh|land</x:v>
      </x:c>
      <x:c r="P2342" s="10" t="n">
        <x:v>2</x:v>
      </x:c>
      <x:c r="Q2342" s="13" t="n">
        <x:f>IF(H2342="","",H2342/1000000000)</x:f>
        <x:v>0.955</x:v>
      </x:c>
      <x:c r="R2342" s="13" t="n">
        <x:f>IF(I2342="","",I2342/1000000)</x:f>
        <x:v>15.403225806451614</x:v>
      </x:c>
    </x:row>
    <x:row r="2343" ht="21" customHeight="1">
      <x:c r="A2343" s="10" t="n">
        <x:v>3333</x:v>
      </x:c>
      <x:c r="B2343" s="2" t="str">
        <x:v>8ea4a75c955b369a1a64</x:v>
      </x:c>
      <x:c r="C2343" s="2" t="str">
        <x:v>Tp Hồ Chí Minh</x:v>
      </x:c>
      <x:c r="D2343" s="2" t="str">
        <x:v>Quận Gò Vấp</x:v>
      </x:c>
      <x:c r="E2343" s="2" t="str">
        <x:v>house</x:v>
      </x:c>
      <x:c r="F2343" s="2" t="str">
        <x:v>sale</x:v>
      </x:c>
      <x:c r="G2343" s="11" t="n">
        <x:v>40</x:v>
      </x:c>
      <x:c r="H2343" s="12" t="n">
        <x:v>1250000000</x:v>
      </x:c>
      <x:c r="I2343" s="12" t="n">
        <x:v>31250000</x:v>
      </x:c>
      <x:c r="J2343" s="2" t="str">
        <x:v>total</x:v>
      </x:c>
      <x:c r="K2343" s="2" t="str">
        <x:v>top_level_area</x:v>
      </x:c>
      <x:c r="L2343" s="2" t="str">
        <x:v>property_type_inferred_from_title</x:v>
      </x:c>
      <x:c r="M2343" s="10" t="n">
        <x:v>0</x:v>
      </x:c>
      <x:c r="N2343" s="10" t="n">
        <x:v>0</x:v>
      </x:c>
      <x:c r="O2343" s="2" t="str">
        <x:v>Tp Hồ Chí Minh|house</x:v>
      </x:c>
      <x:c r="P2343" s="10" t="n">
        <x:v>2</x:v>
      </x:c>
      <x:c r="Q2343" s="13" t="n">
        <x:f>IF(H2343="","",H2343/1000000000)</x:f>
        <x:v>1.25</x:v>
      </x:c>
      <x:c r="R2343" s="13" t="n">
        <x:f>IF(I2343="","",I2343/1000000)</x:f>
        <x:v>31.25</x:v>
      </x:c>
    </x:row>
    <x:row r="2344" ht="21" customHeight="1">
      <x:c r="A2344" s="10" t="n">
        <x:v>3334</x:v>
      </x:c>
      <x:c r="B2344" s="2" t="str">
        <x:v>7fc380e9d9379bda567f</x:v>
      </x:c>
      <x:c r="C2344" s="2" t="str">
        <x:v>Tp Hồ Chí Minh</x:v>
      </x:c>
      <x:c r="D2344" s="2" t="str">
        <x:v>Huyện Hóc Môn</x:v>
      </x:c>
      <x:c r="E2344" s="2" t="str">
        <x:v>other_unknown</x:v>
      </x:c>
      <x:c r="F2344" s="2" t="str">
        <x:v>sale_assumed</x:v>
      </x:c>
      <x:c r="G2344" s="11" t="n">
        <x:v>225</x:v>
      </x:c>
      <x:c r="H2344" s="12" t="n">
        <x:v>380000000</x:v>
      </x:c>
      <x:c r="I2344" s="12" t="n">
        <x:v>1688888.888888889</x:v>
      </x:c>
      <x:c r="J2344" s="2" t="str">
        <x:v>total</x:v>
      </x:c>
      <x:c r="K2344" s="2" t="str">
        <x:v>top_level_area</x:v>
      </x:c>
      <x:c r="L2344" s="2" t="str">
        <x:v>property_type_inferred_from_title;transaction_assumed_sale_from_dataset_context;unknown_property_type</x:v>
      </x:c>
      <x:c r="M2344" s="10" t="n">
        <x:v>0</x:v>
      </x:c>
      <x:c r="N2344" s="10" t="n">
        <x:v>0</x:v>
      </x:c>
      <x:c r="O2344" s="2" t="str">
        <x:v>Tp Hồ Chí Minh|other_unknown</x:v>
      </x:c>
      <x:c r="P2344" s="10" t="n">
        <x:v>1</x:v>
      </x:c>
      <x:c r="Q2344" s="13" t="n">
        <x:f>IF(H2344="","",H2344/1000000000)</x:f>
        <x:v>0.38</x:v>
      </x:c>
      <x:c r="R2344" s="13" t="n">
        <x:f>IF(I2344="","",I2344/1000000)</x:f>
        <x:v>1.6888888888888889</x:v>
      </x:c>
    </x:row>
    <x:row r="2345" ht="21" customHeight="1">
      <x:c r="A2345" s="10" t="n">
        <x:v>3335</x:v>
      </x:c>
      <x:c r="B2345" s="2" t="str">
        <x:v>568444a90600f7cb08cb</x:v>
      </x:c>
      <x:c r="C2345" s="2" t="str">
        <x:v>Đắk Lắk</x:v>
      </x:c>
      <x:c r="D2345" s="2" t="str">
        <x:v>Thành phố Buôn Ma Thuột</x:v>
      </x:c>
      <x:c r="E2345" s="2" t="str">
        <x:v>land</x:v>
      </x:c>
      <x:c r="F2345" s="2" t="str">
        <x:v>sale_assumed</x:v>
      </x:c>
      <x:c r="G2345" s="11" t="n">
        <x:v>101</x:v>
      </x:c>
      <x:c r="H2345" s="12" t="n">
        <x:v>1530000000</x:v>
      </x:c>
      <x:c r="I2345" s="12" t="n">
        <x:v>15148514.851485148</x:v>
      </x:c>
      <x:c r="J2345" s="2" t="str">
        <x:v>total</x:v>
      </x:c>
      <x:c r="K2345" s="2" t="str">
        <x:v>top_level_area</x:v>
      </x:c>
      <x:c r="L2345" s="2" t="str">
        <x:v>property_type_inferred_from_title;transaction_assumed_sale_from_dataset_context</x:v>
      </x:c>
      <x:c r="M2345" s="10" t="n">
        <x:v>0</x:v>
      </x:c>
      <x:c r="N2345" s="10" t="n">
        <x:v>0</x:v>
      </x:c>
      <x:c r="O2345" s="2" t="str">
        <x:v>Đắk Lắk|land</x:v>
      </x:c>
      <x:c r="P2345" s="10" t="n">
        <x:v>2</x:v>
      </x:c>
      <x:c r="Q2345" s="13" t="n">
        <x:f>IF(H2345="","",H2345/1000000000)</x:f>
        <x:v>1.53</x:v>
      </x:c>
      <x:c r="R2345" s="13" t="n">
        <x:f>IF(I2345="","",I2345/1000000)</x:f>
        <x:v>15.148514851485148</x:v>
      </x:c>
    </x:row>
    <x:row r="2346" ht="21" customHeight="1">
      <x:c r="A2346" s="10" t="n">
        <x:v>3336</x:v>
      </x:c>
      <x:c r="B2346" s="2" t="str">
        <x:v>e479e57a847e4674274f</x:v>
      </x:c>
      <x:c r="C2346" s="2" t="str">
        <x:v>Tp Hồ Chí Minh</x:v>
      </x:c>
      <x:c r="D2346" s="2" t="str">
        <x:v>Huyện Củ Chi</x:v>
      </x:c>
      <x:c r="E2346" s="2" t="str">
        <x:v>other_unknown</x:v>
      </x:c>
      <x:c r="F2346" s="2" t="str">
        <x:v>sale_assumed</x:v>
      </x:c>
      <x:c r="G2346" s="11" t="n">
        <x:v>500</x:v>
      </x:c>
      <x:c r="H2346" s="12" t="n">
        <x:v>2100000000</x:v>
      </x:c>
      <x:c r="I2346" s="12" t="n">
        <x:v>4200000</x:v>
      </x:c>
      <x:c r="J2346" s="2" t="str">
        <x:v>total</x:v>
      </x:c>
      <x:c r="K2346" s="2" t="str">
        <x:v>top_level_area</x:v>
      </x:c>
      <x:c r="L2346" s="2" t="str">
        <x:v>property_type_inferred_from_title;transaction_assumed_sale_from_dataset_context;unknown_property_type</x:v>
      </x:c>
      <x:c r="M2346" s="10" t="n">
        <x:v>0</x:v>
      </x:c>
      <x:c r="N2346" s="10" t="n">
        <x:v>0</x:v>
      </x:c>
      <x:c r="O2346" s="2" t="str">
        <x:v>Tp Hồ Chí Minh|other_unknown</x:v>
      </x:c>
      <x:c r="P2346" s="10" t="n">
        <x:v>1</x:v>
      </x:c>
      <x:c r="Q2346" s="13" t="n">
        <x:f>IF(H2346="","",H2346/1000000000)</x:f>
        <x:v>2.1</x:v>
      </x:c>
      <x:c r="R2346" s="13" t="n">
        <x:f>IF(I2346="","",I2346/1000000)</x:f>
        <x:v>4.2</x:v>
      </x:c>
    </x:row>
    <x:row r="2347" ht="21" customHeight="1">
      <x:c r="A2347" s="10" t="n">
        <x:v>3337</x:v>
      </x:c>
      <x:c r="B2347" s="2" t="str">
        <x:v>2dcf3c21462bb2fdc06b</x:v>
      </x:c>
      <x:c r="C2347" s="2" t="str">
        <x:v>Tp Hồ Chí Minh</x:v>
      </x:c>
      <x:c r="D2347" s="2" t="str">
        <x:v>Quận 9</x:v>
      </x:c>
      <x:c r="E2347" s="2" t="str">
        <x:v>land</x:v>
      </x:c>
      <x:c r="F2347" s="2" t="str">
        <x:v>sale_assumed</x:v>
      </x:c>
      <x:c r="G2347" s="11" t="n">
        <x:v>74</x:v>
      </x:c>
      <x:c r="H2347" s="12" t="n">
        <x:v>895000000</x:v>
      </x:c>
      <x:c r="I2347" s="12" t="n">
        <x:v>12094594.594594594</x:v>
      </x:c>
      <x:c r="J2347" s="2" t="str">
        <x:v>total</x:v>
      </x:c>
      <x:c r="K2347" s="2" t="str">
        <x:v>top_level_area</x:v>
      </x:c>
      <x:c r="L2347" s="2" t="str">
        <x:v>property_type_inferred_from_title;transaction_assumed_sale_from_dataset_context</x:v>
      </x:c>
      <x:c r="M2347" s="10" t="n">
        <x:v>0</x:v>
      </x:c>
      <x:c r="N2347" s="10" t="n">
        <x:v>0</x:v>
      </x:c>
      <x:c r="O2347" s="2" t="str">
        <x:v>Tp Hồ Chí Minh|land</x:v>
      </x:c>
      <x:c r="P2347" s="10" t="n">
        <x:v>2</x:v>
      </x:c>
      <x:c r="Q2347" s="13" t="n">
        <x:f>IF(H2347="","",H2347/1000000000)</x:f>
        <x:v>0.895</x:v>
      </x:c>
      <x:c r="R2347" s="13" t="n">
        <x:f>IF(I2347="","",I2347/1000000)</x:f>
        <x:v>12.094594594594595</x:v>
      </x:c>
    </x:row>
    <x:row r="2348" ht="21" customHeight="1">
      <x:c r="A2348" s="10" t="n">
        <x:v>3338</x:v>
      </x:c>
      <x:c r="B2348" s="2" t="str">
        <x:v>fbba081f72ef16d8c667</x:v>
      </x:c>
      <x:c r="C2348" s="2" t="str">
        <x:v>Tp Hồ Chí Minh</x:v>
      </x:c>
      <x:c r="D2348" s="2" t="str">
        <x:v>Quận 7</x:v>
      </x:c>
      <x:c r="E2348" s="2" t="str">
        <x:v>house</x:v>
      </x:c>
      <x:c r="F2348" s="2" t="str">
        <x:v>sale_assumed</x:v>
      </x:c>
      <x:c r="G2348" s="11" t="n">
        <x:v>24</x:v>
      </x:c>
      <x:c r="H2348" s="12" t="n">
        <x:v>1480000000</x:v>
      </x:c>
      <x:c r="I2348" s="12" t="n">
        <x:v>61666666.666666664</x:v>
      </x:c>
      <x:c r="J2348" s="2" t="str">
        <x:v>total</x:v>
      </x:c>
      <x:c r="K2348" s="2" t="str">
        <x:v>top_level_area</x:v>
      </x:c>
      <x:c r="L2348" s="2" t="str">
        <x:v>property_type_inferred_from_title;transaction_assumed_sale_from_dataset_context</x:v>
      </x:c>
      <x:c r="M2348" s="10" t="n">
        <x:v>0</x:v>
      </x:c>
      <x:c r="N2348" s="10" t="n">
        <x:v>0</x:v>
      </x:c>
      <x:c r="O2348" s="2" t="str">
        <x:v>Tp Hồ Chí Minh|house</x:v>
      </x:c>
      <x:c r="P2348" s="10" t="n">
        <x:v>2</x:v>
      </x:c>
      <x:c r="Q2348" s="13" t="n">
        <x:f>IF(H2348="","",H2348/1000000000)</x:f>
        <x:v>1.48</x:v>
      </x:c>
      <x:c r="R2348" s="13" t="n">
        <x:f>IF(I2348="","",I2348/1000000)</x:f>
        <x:v>61.666666666666664</x:v>
      </x:c>
    </x:row>
    <x:row r="2349" ht="21" customHeight="1">
      <x:c r="A2349" s="10" t="n">
        <x:v>3339</x:v>
      </x:c>
      <x:c r="B2349" s="2" t="str">
        <x:v>d63705448763d1204f6a</x:v>
      </x:c>
      <x:c r="C2349" s="2" t="str">
        <x:v>Tp Hồ Chí Minh</x:v>
      </x:c>
      <x:c r="D2349" s="2" t="str">
        <x:v>Quận Tân Bình</x:v>
      </x:c>
      <x:c r="E2349" s="2" t="str">
        <x:v>other_unknown</x:v>
      </x:c>
      <x:c r="F2349" s="2" t="str">
        <x:v>sale_assumed</x:v>
      </x:c>
      <x:c r="G2349" s="11" t="n">
        <x:v>50</x:v>
      </x:c>
      <x:c r="H2349" s="12" t="n">
        <x:v>7300000000</x:v>
      </x:c>
      <x:c r="I2349" s="12" t="n">
        <x:v>146000000</x:v>
      </x:c>
      <x:c r="J2349" s="2" t="str">
        <x:v>total</x:v>
      </x:c>
      <x:c r="K2349" s="2" t="str">
        <x:v>top_level_area</x:v>
      </x:c>
      <x:c r="L2349" s="2" t="str">
        <x:v>property_type_inferred_from_title;transaction_assumed_sale_from_dataset_context;unknown_property_type</x:v>
      </x:c>
      <x:c r="M2349" s="10" t="n">
        <x:v>0</x:v>
      </x:c>
      <x:c r="N2349" s="10" t="n">
        <x:v>0</x:v>
      </x:c>
      <x:c r="O2349" s="2" t="str">
        <x:v>Tp Hồ Chí Minh|other_unknown</x:v>
      </x:c>
      <x:c r="P2349" s="10" t="n">
        <x:v>2</x:v>
      </x:c>
      <x:c r="Q2349" s="13" t="n">
        <x:f>IF(H2349="","",H2349/1000000000)</x:f>
        <x:v>7.3</x:v>
      </x:c>
      <x:c r="R2349" s="13" t="n">
        <x:f>IF(I2349="","",I2349/1000000)</x:f>
        <x:v>146</x:v>
      </x:c>
    </x:row>
    <x:row r="2350" ht="21" customHeight="1">
      <x:c r="A2350" s="10" t="n">
        <x:v>3340</x:v>
      </x:c>
      <x:c r="B2350" s="2" t="str">
        <x:v>4f9fb30c991d3baa277a</x:v>
      </x:c>
      <x:c r="C2350" s="2" t="str">
        <x:v>Bình Dương</x:v>
      </x:c>
      <x:c r="D2350" s="2" t="str">
        <x:v>Thị xã Bến Cát</x:v>
      </x:c>
      <x:c r="E2350" s="2" t="str">
        <x:v>land</x:v>
      </x:c>
      <x:c r="F2350" s="2" t="str">
        <x:v>sale_assumed</x:v>
      </x:c>
      <x:c r="G2350" s="11" t="n">
        <x:v>150</x:v>
      </x:c>
      <x:c r="H2350" s="12" t="n">
        <x:v>600000000</x:v>
      </x:c>
      <x:c r="I2350" s="12" t="n">
        <x:v>4000000</x:v>
      </x:c>
      <x:c r="J2350" s="2" t="str">
        <x:v>total</x:v>
      </x:c>
      <x:c r="K2350" s="2" t="str">
        <x:v>top_level_area</x:v>
      </x:c>
      <x:c r="L2350" s="2" t="str">
        <x:v>property_type_inferred_from_title;transaction_assumed_sale_from_dataset_context</x:v>
      </x:c>
      <x:c r="M2350" s="10" t="n">
        <x:v>0</x:v>
      </x:c>
      <x:c r="N2350" s="10" t="n">
        <x:v>0</x:v>
      </x:c>
      <x:c r="O2350" s="2" t="str">
        <x:v>Bình Dương|land</x:v>
      </x:c>
      <x:c r="P2350" s="10" t="n">
        <x:v>1</x:v>
      </x:c>
      <x:c r="Q2350" s="13" t="n">
        <x:f>IF(H2350="","",H2350/1000000000)</x:f>
        <x:v>0.6</x:v>
      </x:c>
      <x:c r="R2350" s="13" t="n">
        <x:f>IF(I2350="","",I2350/1000000)</x:f>
        <x:v>4</x:v>
      </x:c>
    </x:row>
    <x:row r="2351" ht="21" customHeight="1">
      <x:c r="A2351" s="10" t="n">
        <x:v>3341</x:v>
      </x:c>
      <x:c r="B2351" s="2" t="str">
        <x:v>236441810797c8c685e4</x:v>
      </x:c>
      <x:c r="C2351" s="2" t="str">
        <x:v>Bình Dương</x:v>
      </x:c>
      <x:c r="D2351" s="2" t="str">
        <x:v>Thị xã Dĩ An</x:v>
      </x:c>
      <x:c r="E2351" s="2" t="str">
        <x:v>apartment</x:v>
      </x:c>
      <x:c r="F2351" s="2" t="str">
        <x:v>sale_assumed</x:v>
      </x:c>
      <x:c r="G2351" s="11" t="n">
        <x:v>51</x:v>
      </x:c>
      <x:c r="H2351" s="12" t="n">
        <x:v>1680000000</x:v>
      </x:c>
      <x:c r="I2351" s="12" t="n">
        <x:v>32941176.470588237</x:v>
      </x:c>
      <x:c r="J2351" s="2" t="str">
        <x:v>total</x:v>
      </x:c>
      <x:c r="K2351" s="2" t="str">
        <x:v>top_level_area</x:v>
      </x:c>
      <x:c r="L2351" s="2" t="str">
        <x:v>property_type_inferred_from_title;transaction_assumed_sale_from_dataset_context</x:v>
      </x:c>
      <x:c r="M2351" s="10" t="n">
        <x:v>0</x:v>
      </x:c>
      <x:c r="N2351" s="10" t="n">
        <x:v>0</x:v>
      </x:c>
      <x:c r="O2351" s="2" t="str">
        <x:v>Bình Dương|apartment</x:v>
      </x:c>
      <x:c r="P2351" s="10" t="n">
        <x:v>2</x:v>
      </x:c>
      <x:c r="Q2351" s="13" t="n">
        <x:f>IF(H2351="","",H2351/1000000000)</x:f>
        <x:v>1.68</x:v>
      </x:c>
      <x:c r="R2351" s="13" t="n">
        <x:f>IF(I2351="","",I2351/1000000)</x:f>
        <x:v>32.94117647058824</x:v>
      </x:c>
    </x:row>
    <x:row r="2352" ht="21" customHeight="1">
      <x:c r="A2352" s="10" t="n">
        <x:v>3342</x:v>
      </x:c>
      <x:c r="B2352" s="2" t="str">
        <x:v>020e23d1afd39046e0ed</x:v>
      </x:c>
      <x:c r="C2352" s="2" t="str">
        <x:v>Tp Hồ Chí Minh</x:v>
      </x:c>
      <x:c r="D2352" s="2" t="str">
        <x:v>Quận Tân Bình</x:v>
      </x:c>
      <x:c r="E2352" s="2" t="str">
        <x:v>other_unknown</x:v>
      </x:c>
      <x:c r="F2352" s="2" t="str">
        <x:v>sale</x:v>
      </x:c>
      <x:c r="G2352" s="11" t="n">
        <x:v>70</x:v>
      </x:c>
      <x:c r="H2352" s="12" t="n">
        <x:v>3600000000</x:v>
      </x:c>
      <x:c r="I2352" s="12" t="n">
        <x:v>51428571.428571425</x:v>
      </x:c>
      <x:c r="J2352" s="2" t="str">
        <x:v>total</x:v>
      </x:c>
      <x:c r="K2352" s="2" t="str">
        <x:v>top_level_area</x:v>
      </x:c>
      <x:c r="L2352" s="2" t="str">
        <x:v>property_type_inferred_from_title;unknown_property_type</x:v>
      </x:c>
      <x:c r="M2352" s="10" t="n">
        <x:v>0</x:v>
      </x:c>
      <x:c r="N2352" s="10" t="n">
        <x:v>0</x:v>
      </x:c>
      <x:c r="O2352" s="2" t="str">
        <x:v>Tp Hồ Chí Minh|other_unknown</x:v>
      </x:c>
      <x:c r="P2352" s="10" t="n">
        <x:v>2</x:v>
      </x:c>
      <x:c r="Q2352" s="13" t="n">
        <x:f>IF(H2352="","",H2352/1000000000)</x:f>
        <x:v>3.6</x:v>
      </x:c>
      <x:c r="R2352" s="13" t="n">
        <x:f>IF(I2352="","",I2352/1000000)</x:f>
        <x:v>51.42857142857142</x:v>
      </x:c>
    </x:row>
    <x:row r="2353" ht="21" customHeight="1">
      <x:c r="A2353" s="10" t="n">
        <x:v>3343</x:v>
      </x:c>
      <x:c r="B2353" s="2" t="str">
        <x:v>40e5129baa2bedd44b82</x:v>
      </x:c>
      <x:c r="C2353" s="2" t="str">
        <x:v>Tp Hồ Chí Minh</x:v>
      </x:c>
      <x:c r="D2353" s="2" t="str">
        <x:v>Quận Phú Nhuận</x:v>
      </x:c>
      <x:c r="E2353" s="2" t="str">
        <x:v>house</x:v>
      </x:c>
      <x:c r="F2353" s="2" t="str">
        <x:v>sale</x:v>
      </x:c>
      <x:c r="G2353" s="11" t="n">
        <x:v>58</x:v>
      </x:c>
      <x:c r="H2353" s="12" t="n">
        <x:v>990000000</x:v>
      </x:c>
      <x:c r="I2353" s="12" t="n">
        <x:v>17068965.51724138</x:v>
      </x:c>
      <x:c r="J2353" s="2" t="str">
        <x:v>total</x:v>
      </x:c>
      <x:c r="K2353" s="2" t="str">
        <x:v>top_level_area</x:v>
      </x:c>
      <x:c r="L2353" s="2" t="str">
        <x:v>property_type_inferred_from_title</x:v>
      </x:c>
      <x:c r="M2353" s="10" t="n">
        <x:v>0</x:v>
      </x:c>
      <x:c r="N2353" s="10" t="n">
        <x:v>0</x:v>
      </x:c>
      <x:c r="O2353" s="2" t="str">
        <x:v>Tp Hồ Chí Minh|house</x:v>
      </x:c>
      <x:c r="P2353" s="10" t="n">
        <x:v>2</x:v>
      </x:c>
      <x:c r="Q2353" s="13" t="n">
        <x:f>IF(H2353="","",H2353/1000000000)</x:f>
        <x:v>0.99</x:v>
      </x:c>
      <x:c r="R2353" s="13" t="n">
        <x:f>IF(I2353="","",I2353/1000000)</x:f>
        <x:v>17.06896551724138</x:v>
      </x:c>
    </x:row>
    <x:row r="2354" ht="21" customHeight="1">
      <x:c r="A2354" s="10" t="n">
        <x:v>3346</x:v>
      </x:c>
      <x:c r="B2354" s="2" t="str">
        <x:v>51694fa745025873c1f5</x:v>
      </x:c>
      <x:c r="C2354" s="2" t="str">
        <x:v>Tp Hồ Chí Minh</x:v>
      </x:c>
      <x:c r="D2354" s="2" t="str">
        <x:v>Quận 9</x:v>
      </x:c>
      <x:c r="E2354" s="2" t="str">
        <x:v>house</x:v>
      </x:c>
      <x:c r="F2354" s="2" t="str">
        <x:v>sale</x:v>
      </x:c>
      <x:c r="G2354" s="11" t="n">
        <x:v>6</x:v>
      </x:c>
      <x:c r="H2354" s="12" t="n">
        <x:v>1250000000</x:v>
      </x:c>
      <x:c r="I2354" s="12" t="n">
        <x:v>208333333.33333334</x:v>
      </x:c>
      <x:c r="J2354" s="2" t="str">
        <x:v>total</x:v>
      </x:c>
      <x:c r="K2354" s="2" t="str">
        <x:v>top_level_area</x:v>
      </x:c>
      <x:c r="L2354" s="2" t="str">
        <x:v>property_type_inferred_from_title</x:v>
      </x:c>
      <x:c r="M2354" s="10" t="n">
        <x:v>1</x:v>
      </x:c>
      <x:c r="N2354" s="10" t="n">
        <x:v>1</x:v>
      </x:c>
      <x:c r="O2354" s="2" t="str">
        <x:v>Tp Hồ Chí Minh|house</x:v>
      </x:c>
      <x:c r="P2354" s="10" t="n">
        <x:v>-1</x:v>
      </x:c>
      <x:c r="Q2354" s="13" t="n">
        <x:f>IF(H2354="","",H2354/1000000000)</x:f>
        <x:v>1.25</x:v>
      </x:c>
      <x:c r="R2354" s="13" t="n">
        <x:f>IF(I2354="","",I2354/1000000)</x:f>
        <x:v>208.33333333333334</x:v>
      </x:c>
    </x:row>
    <x:row r="2355" ht="21" customHeight="1">
      <x:c r="A2355" s="10" t="n">
        <x:v>3347</x:v>
      </x:c>
      <x:c r="B2355" s="2" t="str">
        <x:v>dbd6ceae73edf8812f7a</x:v>
      </x:c>
      <x:c r="C2355" s="2" t="str">
        <x:v>Tp Hồ Chí Minh</x:v>
      </x:c>
      <x:c r="D2355" s="2" t="str">
        <x:v>Quận 9</x:v>
      </x:c>
      <x:c r="E2355" s="2" t="str">
        <x:v>land</x:v>
      </x:c>
      <x:c r="F2355" s="2" t="str">
        <x:v>sale</x:v>
      </x:c>
      <x:c r="G2355" s="11" t="n">
        <x:v>55</x:v>
      </x:c>
      <x:c r="H2355" s="12" t="n">
        <x:v>645000000</x:v>
      </x:c>
      <x:c r="I2355" s="12" t="n">
        <x:v>11727272.727272727</x:v>
      </x:c>
      <x:c r="J2355" s="2" t="str">
        <x:v>total</x:v>
      </x:c>
      <x:c r="K2355" s="2" t="str">
        <x:v>top_level_area</x:v>
      </x:c>
      <x:c r="L2355" s="2" t="str">
        <x:v>property_type_inferred_from_title</x:v>
      </x:c>
      <x:c r="M2355" s="10" t="n">
        <x:v>0</x:v>
      </x:c>
      <x:c r="N2355" s="10" t="n">
        <x:v>0</x:v>
      </x:c>
      <x:c r="O2355" s="2" t="str">
        <x:v>Tp Hồ Chí Minh|land</x:v>
      </x:c>
      <x:c r="P2355" s="10" t="n">
        <x:v>2</x:v>
      </x:c>
      <x:c r="Q2355" s="13" t="n">
        <x:f>IF(H2355="","",H2355/1000000000)</x:f>
        <x:v>0.645</x:v>
      </x:c>
      <x:c r="R2355" s="13" t="n">
        <x:f>IF(I2355="","",I2355/1000000)</x:f>
        <x:v>11.727272727272727</x:v>
      </x:c>
    </x:row>
    <x:row r="2356" ht="21" customHeight="1">
      <x:c r="A2356" s="10" t="n">
        <x:v>3348</x:v>
      </x:c>
      <x:c r="B2356" s="2" t="str">
        <x:v>1681a92a213e508ff11d</x:v>
      </x:c>
      <x:c r="C2356" s="2" t="str">
        <x:v>Cần Thơ</x:v>
      </x:c>
      <x:c r="D2356" s="2" t="str">
        <x:v>Quận Cái Răng</x:v>
      </x:c>
      <x:c r="E2356" s="2" t="str">
        <x:v>house</x:v>
      </x:c>
      <x:c r="F2356" s="2" t="str">
        <x:v>sale</x:v>
      </x:c>
      <x:c r="G2356" s="11" t="n">
        <x:v>125</x:v>
      </x:c>
      <x:c r="H2356" s="12" t="n">
        <x:v>7490000000</x:v>
      </x:c>
      <x:c r="I2356" s="12" t="n">
        <x:v>59920000</x:v>
      </x:c>
      <x:c r="J2356" s="2" t="str">
        <x:v>total</x:v>
      </x:c>
      <x:c r="K2356" s="2" t="str">
        <x:v>top_level_area</x:v>
      </x:c>
      <x:c r="L2356" s="2" t="str">
        <x:v>property_type_inferred_from_title</x:v>
      </x:c>
      <x:c r="M2356" s="10" t="n">
        <x:v>0</x:v>
      </x:c>
      <x:c r="N2356" s="10" t="n">
        <x:v>0</x:v>
      </x:c>
      <x:c r="O2356" s="2" t="str">
        <x:v>Cần Thơ|house</x:v>
      </x:c>
      <x:c r="P2356" s="10" t="n">
        <x:v>2</x:v>
      </x:c>
      <x:c r="Q2356" s="13" t="n">
        <x:f>IF(H2356="","",H2356/1000000000)</x:f>
        <x:v>7.49</x:v>
      </x:c>
      <x:c r="R2356" s="13" t="n">
        <x:f>IF(I2356="","",I2356/1000000)</x:f>
        <x:v>59.92</x:v>
      </x:c>
    </x:row>
    <x:row r="2357" ht="21" customHeight="1">
      <x:c r="A2357" s="10" t="n">
        <x:v>3349</x:v>
      </x:c>
      <x:c r="B2357" s="2" t="str">
        <x:v>d2a510faf16ddb75b3ce</x:v>
      </x:c>
      <x:c r="C2357" s="2" t="str">
        <x:v>Tp Hồ Chí Minh</x:v>
      </x:c>
      <x:c r="D2357" s="2" t="str">
        <x:v>Huyện Hóc Môn</x:v>
      </x:c>
      <x:c r="E2357" s="2" t="str">
        <x:v>house</x:v>
      </x:c>
      <x:c r="F2357" s="2" t="str">
        <x:v>sale_assumed</x:v>
      </x:c>
      <x:c r="G2357" s="11" t="n">
        <x:v>36</x:v>
      </x:c>
      <x:c r="H2357" s="12" t="n">
        <x:v>1250000000</x:v>
      </x:c>
      <x:c r="I2357" s="12" t="n">
        <x:v>34722222.222222224</x:v>
      </x:c>
      <x:c r="J2357" s="2" t="str">
        <x:v>total</x:v>
      </x:c>
      <x:c r="K2357" s="2" t="str">
        <x:v>top_level_price_embedded_area</x:v>
      </x:c>
      <x:c r="L2357" s="2" t="str">
        <x:v>area_recovered_from_price_text;property_type_inferred_from_title;transaction_assumed_sale_from_dataset_context</x:v>
      </x:c>
      <x:c r="M2357" s="10" t="n">
        <x:v>0</x:v>
      </x:c>
      <x:c r="N2357" s="10" t="n">
        <x:v>0</x:v>
      </x:c>
      <x:c r="O2357" s="2" t="str">
        <x:v>Tp Hồ Chí Minh|house</x:v>
      </x:c>
      <x:c r="P2357" s="10" t="n">
        <x:v>2</x:v>
      </x:c>
      <x:c r="Q2357" s="13" t="n">
        <x:f>IF(H2357="","",H2357/1000000000)</x:f>
        <x:v>1.25</x:v>
      </x:c>
      <x:c r="R2357" s="13" t="n">
        <x:f>IF(I2357="","",I2357/1000000)</x:f>
        <x:v>34.72222222222222</x:v>
      </x:c>
    </x:row>
    <x:row r="2358" ht="21" customHeight="1">
      <x:c r="A2358" s="10" t="n">
        <x:v>3350</x:v>
      </x:c>
      <x:c r="B2358" s="2" t="str">
        <x:v>8a145caef3e08c075a24</x:v>
      </x:c>
      <x:c r="C2358" s="2" t="str">
        <x:v>Tp Hồ Chí Minh</x:v>
      </x:c>
      <x:c r="D2358" s="2" t="str">
        <x:v>Huyện Hóc Môn</x:v>
      </x:c>
      <x:c r="E2358" s="2" t="str">
        <x:v>house</x:v>
      </x:c>
      <x:c r="F2358" s="2" t="str">
        <x:v>sale</x:v>
      </x:c>
      <x:c r="G2358" s="11" t="n">
        <x:v>64</x:v>
      </x:c>
      <x:c r="H2358" s="12" t="n">
        <x:v>1250000000</x:v>
      </x:c>
      <x:c r="I2358" s="12" t="n">
        <x:v>19531250</x:v>
      </x:c>
      <x:c r="J2358" s="2" t="str">
        <x:v>total</x:v>
      </x:c>
      <x:c r="K2358" s="2" t="str">
        <x:v>top_level_area</x:v>
      </x:c>
      <x:c r="L2358" s="2" t="str">
        <x:v>property_type_inferred_from_title</x:v>
      </x:c>
      <x:c r="M2358" s="10" t="n">
        <x:v>0</x:v>
      </x:c>
      <x:c r="N2358" s="10" t="n">
        <x:v>0</x:v>
      </x:c>
      <x:c r="O2358" s="2" t="str">
        <x:v>Tp Hồ Chí Minh|house</x:v>
      </x:c>
      <x:c r="P2358" s="10" t="n">
        <x:v>2</x:v>
      </x:c>
      <x:c r="Q2358" s="13" t="n">
        <x:f>IF(H2358="","",H2358/1000000000)</x:f>
        <x:v>1.25</x:v>
      </x:c>
      <x:c r="R2358" s="13" t="n">
        <x:f>IF(I2358="","",I2358/1000000)</x:f>
        <x:v>19.53125</x:v>
      </x:c>
    </x:row>
    <x:row r="2359" ht="21" customHeight="1">
      <x:c r="A2359" s="10" t="n">
        <x:v>3351</x:v>
      </x:c>
      <x:c r="B2359" s="2" t="str">
        <x:v>1e3ca9dad31cb498c221</x:v>
      </x:c>
      <x:c r="C2359" s="2" t="str">
        <x:v>Tp Hồ Chí Minh</x:v>
      </x:c>
      <x:c r="D2359" s="2" t="str">
        <x:v>Huyện Bình Chánh</x:v>
      </x:c>
      <x:c r="E2359" s="2" t="str">
        <x:v>house</x:v>
      </x:c>
      <x:c r="F2359" s="2" t="str">
        <x:v>sale</x:v>
      </x:c>
      <x:c r="G2359" s="11" t="n">
        <x:v>35</x:v>
      </x:c>
      <x:c r="H2359" s="12" t="n">
        <x:v>400000000</x:v>
      </x:c>
      <x:c r="I2359" s="12" t="n">
        <x:v>11428571.42857143</x:v>
      </x:c>
      <x:c r="J2359" s="2" t="str">
        <x:v>total</x:v>
      </x:c>
      <x:c r="K2359" s="2" t="str">
        <x:v>top_level_area</x:v>
      </x:c>
      <x:c r="L2359" s="2" t="str">
        <x:v>property_type_inferred_from_title</x:v>
      </x:c>
      <x:c r="M2359" s="10" t="n">
        <x:v>0</x:v>
      </x:c>
      <x:c r="N2359" s="10" t="n">
        <x:v>0</x:v>
      </x:c>
      <x:c r="O2359" s="2" t="str">
        <x:v>Tp Hồ Chí Minh|house</x:v>
      </x:c>
      <x:c r="P2359" s="10" t="n">
        <x:v>2</x:v>
      </x:c>
      <x:c r="Q2359" s="13" t="n">
        <x:f>IF(H2359="","",H2359/1000000000)</x:f>
        <x:v>0.4</x:v>
      </x:c>
      <x:c r="R2359" s="13" t="n">
        <x:f>IF(I2359="","",I2359/1000000)</x:f>
        <x:v>11.428571428571429</x:v>
      </x:c>
    </x:row>
    <x:row r="2360" ht="21" customHeight="1">
      <x:c r="A2360" s="10" t="n">
        <x:v>3352</x:v>
      </x:c>
      <x:c r="B2360" s="2" t="str">
        <x:v>c1d58b17c57fd6b18c1c</x:v>
      </x:c>
      <x:c r="C2360" s="2" t="str">
        <x:v>Tp Hồ Chí Minh</x:v>
      </x:c>
      <x:c r="D2360" s="2" t="str">
        <x:v>Quận 2</x:v>
      </x:c>
      <x:c r="E2360" s="2" t="str">
        <x:v>house</x:v>
      </x:c>
      <x:c r="F2360" s="2" t="str">
        <x:v>sale</x:v>
      </x:c>
      <x:c r="G2360" s="11" t="n">
        <x:v>47</x:v>
      </x:c>
      <x:c r="H2360" s="12" t="n">
        <x:v>1455555000</x:v>
      </x:c>
      <x:c r="I2360" s="12" t="n">
        <x:v>30969255.319148935</x:v>
      </x:c>
      <x:c r="J2360" s="2" t="str">
        <x:v>total</x:v>
      </x:c>
      <x:c r="K2360" s="2" t="str">
        <x:v>top_level_area</x:v>
      </x:c>
      <x:c r="L2360" s="2" t="str">
        <x:v>property_type_inferred_from_title</x:v>
      </x:c>
      <x:c r="M2360" s="10" t="n">
        <x:v>0</x:v>
      </x:c>
      <x:c r="N2360" s="10" t="n">
        <x:v>0</x:v>
      </x:c>
      <x:c r="O2360" s="2" t="str">
        <x:v>Tp Hồ Chí Minh|house</x:v>
      </x:c>
      <x:c r="P2360" s="10" t="n">
        <x:v>2</x:v>
      </x:c>
      <x:c r="Q2360" s="13" t="n">
        <x:f>IF(H2360="","",H2360/1000000000)</x:f>
        <x:v>1.455555</x:v>
      </x:c>
      <x:c r="R2360" s="13" t="n">
        <x:f>IF(I2360="","",I2360/1000000)</x:f>
        <x:v>30.969255319148935</x:v>
      </x:c>
    </x:row>
    <x:row r="2361" ht="21" customHeight="1">
      <x:c r="A2361" s="10" t="n">
        <x:v>3355</x:v>
      </x:c>
      <x:c r="B2361" s="2" t="str">
        <x:v>0b43f74d9257d9aaa69e</x:v>
      </x:c>
      <x:c r="C2361" s="2" t="str">
        <x:v>Tp Hồ Chí Minh</x:v>
      </x:c>
      <x:c r="D2361" s="2" t="str">
        <x:v>Huyện Hóc Môn</x:v>
      </x:c>
      <x:c r="E2361" s="2" t="str">
        <x:v>house</x:v>
      </x:c>
      <x:c r="F2361" s="2" t="str">
        <x:v>sale_assumed</x:v>
      </x:c>
      <x:c r="G2361" s="11" t="n">
        <x:v>80</x:v>
      </x:c>
      <x:c r="H2361" s="12" t="n">
        <x:v>590000000</x:v>
      </x:c>
      <x:c r="I2361" s="12" t="n">
        <x:v>7375000</x:v>
      </x:c>
      <x:c r="J2361" s="2" t="str">
        <x:v>total</x:v>
      </x:c>
      <x:c r="K2361" s="2" t="str">
        <x:v>top_level_area</x:v>
      </x:c>
      <x:c r="L2361" s="2" t="str">
        <x:v>property_type_inferred_from_title;transaction_assumed_sale_from_dataset_context</x:v>
      </x:c>
      <x:c r="M2361" s="10" t="n">
        <x:v>0</x:v>
      </x:c>
      <x:c r="N2361" s="10" t="n">
        <x:v>0</x:v>
      </x:c>
      <x:c r="O2361" s="2" t="str">
        <x:v>Tp Hồ Chí Minh|house</x:v>
      </x:c>
      <x:c r="P2361" s="10" t="n">
        <x:v>2</x:v>
      </x:c>
      <x:c r="Q2361" s="13" t="n">
        <x:f>IF(H2361="","",H2361/1000000000)</x:f>
        <x:v>0.59</x:v>
      </x:c>
      <x:c r="R2361" s="13" t="n">
        <x:f>IF(I2361="","",I2361/1000000)</x:f>
        <x:v>7.375</x:v>
      </x:c>
    </x:row>
    <x:row r="2362" ht="21" customHeight="1">
      <x:c r="A2362" s="10" t="n">
        <x:v>3356</x:v>
      </x:c>
      <x:c r="B2362" s="2" t="str">
        <x:v>3b6bbac1ffb40415ce18</x:v>
      </x:c>
      <x:c r="C2362" s="2" t="str">
        <x:v>Tp Hồ Chí Minh</x:v>
      </x:c>
      <x:c r="D2362" s="2" t="str">
        <x:v>Quận Tân Bình</x:v>
      </x:c>
      <x:c r="E2362" s="2" t="str">
        <x:v>apartment</x:v>
      </x:c>
      <x:c r="F2362" s="2" t="str">
        <x:v>sale_assumed</x:v>
      </x:c>
      <x:c r="G2362" s="11" t="n">
        <x:v>65</x:v>
      </x:c>
      <x:c r="H2362" s="12" t="n">
        <x:v>2900000000</x:v>
      </x:c>
      <x:c r="I2362" s="12" t="n">
        <x:v>44615384.615384616</x:v>
      </x:c>
      <x:c r="J2362" s="2" t="str">
        <x:v>total</x:v>
      </x:c>
      <x:c r="K2362" s="2" t="str">
        <x:v>top_level_area</x:v>
      </x:c>
      <x:c r="L2362" s="2" t="str">
        <x:v>property_type_inferred_from_title;transaction_assumed_sale_from_dataset_context</x:v>
      </x:c>
      <x:c r="M2362" s="10" t="n">
        <x:v>0</x:v>
      </x:c>
      <x:c r="N2362" s="10" t="n">
        <x:v>0</x:v>
      </x:c>
      <x:c r="O2362" s="2" t="str">
        <x:v>Tp Hồ Chí Minh|apartment</x:v>
      </x:c>
      <x:c r="P2362" s="10" t="n">
        <x:v>2</x:v>
      </x:c>
      <x:c r="Q2362" s="13" t="n">
        <x:f>IF(H2362="","",H2362/1000000000)</x:f>
        <x:v>2.9</x:v>
      </x:c>
      <x:c r="R2362" s="13" t="n">
        <x:f>IF(I2362="","",I2362/1000000)</x:f>
        <x:v>44.61538461538461</x:v>
      </x:c>
    </x:row>
    <x:row r="2363" ht="21" customHeight="1">
      <x:c r="A2363" s="10" t="n">
        <x:v>3357</x:v>
      </x:c>
      <x:c r="B2363" s="2" t="str">
        <x:v>bdc03f73d20d2ced9a2a</x:v>
      </x:c>
      <x:c r="C2363" s="2" t="str">
        <x:v>Cần Thơ</x:v>
      </x:c>
      <x:c r="D2363" s="2" t="str">
        <x:v>Quận Cái Răng</x:v>
      </x:c>
      <x:c r="E2363" s="2" t="str">
        <x:v>house</x:v>
      </x:c>
      <x:c r="F2363" s="2" t="str">
        <x:v>sale_assumed</x:v>
      </x:c>
      <x:c r="G2363" s="11" t="n">
        <x:v>80</x:v>
      </x:c>
      <x:c r="H2363" s="12" t="n">
        <x:v>2280000000</x:v>
      </x:c>
      <x:c r="I2363" s="12" t="n">
        <x:v>28500000</x:v>
      </x:c>
      <x:c r="J2363" s="2" t="str">
        <x:v>total</x:v>
      </x:c>
      <x:c r="K2363" s="2" t="str">
        <x:v>top_level_area</x:v>
      </x:c>
      <x:c r="L2363" s="2" t="str">
        <x:v>property_type_inferred_from_title;transaction_assumed_sale_from_dataset_context</x:v>
      </x:c>
      <x:c r="M2363" s="10" t="n">
        <x:v>0</x:v>
      </x:c>
      <x:c r="N2363" s="10" t="n">
        <x:v>0</x:v>
      </x:c>
      <x:c r="O2363" s="2" t="str">
        <x:v>Cần Thơ|house</x:v>
      </x:c>
      <x:c r="P2363" s="10" t="n">
        <x:v>2</x:v>
      </x:c>
      <x:c r="Q2363" s="13" t="n">
        <x:f>IF(H2363="","",H2363/1000000000)</x:f>
        <x:v>2.28</x:v>
      </x:c>
      <x:c r="R2363" s="13" t="n">
        <x:f>IF(I2363="","",I2363/1000000)</x:f>
        <x:v>28.5</x:v>
      </x:c>
    </x:row>
    <x:row r="2364" ht="21" customHeight="1">
      <x:c r="A2364" s="10" t="n">
        <x:v>3358</x:v>
      </x:c>
      <x:c r="B2364" s="2" t="str">
        <x:v>c479c56950b55f3c41f1</x:v>
      </x:c>
      <x:c r="C2364" s="2" t="str">
        <x:v>Tp Hồ Chí Minh</x:v>
      </x:c>
      <x:c r="D2364" s="2" t="str">
        <x:v>Quận 9</x:v>
      </x:c>
      <x:c r="E2364" s="2" t="str">
        <x:v>house</x:v>
      </x:c>
      <x:c r="F2364" s="2" t="str">
        <x:v>sale_assumed</x:v>
      </x:c>
      <x:c r="G2364" s="11" t="n">
        <x:v>68</x:v>
      </x:c>
      <x:c r="H2364" s="12" t="n">
        <x:v>1600000000</x:v>
      </x:c>
      <x:c r="I2364" s="12" t="n">
        <x:v>23529411.76470588</x:v>
      </x:c>
      <x:c r="J2364" s="2" t="str">
        <x:v>total</x:v>
      </x:c>
      <x:c r="K2364" s="2" t="str">
        <x:v>top_level_area</x:v>
      </x:c>
      <x:c r="L2364" s="2" t="str">
        <x:v>property_type_inferred_from_title;transaction_assumed_sale_from_dataset_context</x:v>
      </x:c>
      <x:c r="M2364" s="10" t="n">
        <x:v>0</x:v>
      </x:c>
      <x:c r="N2364" s="10" t="n">
        <x:v>0</x:v>
      </x:c>
      <x:c r="O2364" s="2" t="str">
        <x:v>Tp Hồ Chí Minh|house</x:v>
      </x:c>
      <x:c r="P2364" s="10" t="n">
        <x:v>2</x:v>
      </x:c>
      <x:c r="Q2364" s="13" t="n">
        <x:f>IF(H2364="","",H2364/1000000000)</x:f>
        <x:v>1.6</x:v>
      </x:c>
      <x:c r="R2364" s="13" t="n">
        <x:f>IF(I2364="","",I2364/1000000)</x:f>
        <x:v>23.52941176470588</x:v>
      </x:c>
    </x:row>
    <x:row r="2365" ht="21" customHeight="1">
      <x:c r="A2365" s="10" t="n">
        <x:v>3359</x:v>
      </x:c>
      <x:c r="B2365" s="2" t="str">
        <x:v>16e1b1ed6d79a2751d6b</x:v>
      </x:c>
      <x:c r="C2365" s="2" t="str">
        <x:v>Tp Hồ Chí Minh</x:v>
      </x:c>
      <x:c r="D2365" s="2" t="str">
        <x:v>Quận Tân Bình</x:v>
      </x:c>
      <x:c r="E2365" s="2" t="str">
        <x:v>house</x:v>
      </x:c>
      <x:c r="F2365" s="2" t="str">
        <x:v>sale</x:v>
      </x:c>
      <x:c r="G2365" s="11" t="n">
        <x:v>64</x:v>
      </x:c>
      <x:c r="H2365" s="12" t="n">
        <x:v>16500000000</x:v>
      </x:c>
      <x:c r="I2365" s="12" t="n">
        <x:v>257812500</x:v>
      </x:c>
      <x:c r="J2365" s="2" t="str">
        <x:v>total</x:v>
      </x:c>
      <x:c r="K2365" s="2" t="str">
        <x:v>top_level_area</x:v>
      </x:c>
      <x:c r="L2365" s="2" t="str">
        <x:v>property_type_inferred_from_title</x:v>
      </x:c>
      <x:c r="M2365" s="10" t="n">
        <x:v>1</x:v>
      </x:c>
      <x:c r="N2365" s="10" t="n">
        <x:v>1</x:v>
      </x:c>
      <x:c r="O2365" s="2" t="str">
        <x:v>Tp Hồ Chí Minh|house</x:v>
      </x:c>
      <x:c r="P2365" s="10" t="n">
        <x:v>-1</x:v>
      </x:c>
      <x:c r="Q2365" s="13" t="n">
        <x:f>IF(H2365="","",H2365/1000000000)</x:f>
        <x:v>16.5</x:v>
      </x:c>
      <x:c r="R2365" s="13" t="n">
        <x:f>IF(I2365="","",I2365/1000000)</x:f>
        <x:v>257.8125</x:v>
      </x:c>
    </x:row>
    <x:row r="2366" ht="21" customHeight="1">
      <x:c r="A2366" s="10" t="n">
        <x:v>3360</x:v>
      </x:c>
      <x:c r="B2366" s="2" t="str">
        <x:v>16269bd954ba5085b2ad</x:v>
      </x:c>
      <x:c r="C2366" s="2" t="str">
        <x:v>Tp Hồ Chí Minh</x:v>
      </x:c>
      <x:c r="D2366" s="2" t="str">
        <x:v>Quận 10</x:v>
      </x:c>
      <x:c r="E2366" s="2" t="str">
        <x:v>house</x:v>
      </x:c>
      <x:c r="F2366" s="2" t="str">
        <x:v>sale</x:v>
      </x:c>
      <x:c r="G2366" s="11" t="n">
        <x:v>70</x:v>
      </x:c>
      <x:c r="H2366" s="12" t="n">
        <x:v>1220000000</x:v>
      </x:c>
      <x:c r="I2366" s="12" t="n">
        <x:v>17428571.42857143</x:v>
      </x:c>
      <x:c r="J2366" s="2" t="str">
        <x:v>total</x:v>
      </x:c>
      <x:c r="K2366" s="2" t="str">
        <x:v>top_level_area</x:v>
      </x:c>
      <x:c r="L2366" s="2" t="str">
        <x:v>property_type_inferred_from_title</x:v>
      </x:c>
      <x:c r="M2366" s="10" t="n">
        <x:v>0</x:v>
      </x:c>
      <x:c r="N2366" s="10" t="n">
        <x:v>0</x:v>
      </x:c>
      <x:c r="O2366" s="2" t="str">
        <x:v>Tp Hồ Chí Minh|house</x:v>
      </x:c>
      <x:c r="P2366" s="10" t="n">
        <x:v>2</x:v>
      </x:c>
      <x:c r="Q2366" s="13" t="n">
        <x:f>IF(H2366="","",H2366/1000000000)</x:f>
        <x:v>1.22</x:v>
      </x:c>
      <x:c r="R2366" s="13" t="n">
        <x:f>IF(I2366="","",I2366/1000000)</x:f>
        <x:v>17.42857142857143</x:v>
      </x:c>
    </x:row>
    <x:row r="2367" ht="21" customHeight="1">
      <x:c r="A2367" s="10" t="n">
        <x:v>3361</x:v>
      </x:c>
      <x:c r="B2367" s="2" t="str">
        <x:v>feeafed6af1de940cf5f</x:v>
      </x:c>
      <x:c r="C2367" s="2" t="str">
        <x:v>Tp Hồ Chí Minh</x:v>
      </x:c>
      <x:c r="D2367" s="2" t="str">
        <x:v>Quận Thủ Đức</x:v>
      </x:c>
      <x:c r="E2367" s="2" t="str">
        <x:v>house</x:v>
      </x:c>
      <x:c r="F2367" s="2" t="str">
        <x:v>sale</x:v>
      </x:c>
      <x:c r="G2367" s="11" t="n">
        <x:v>60</x:v>
      </x:c>
      <x:c r="H2367" s="12" t="n">
        <x:v>1200000000</x:v>
      </x:c>
      <x:c r="I2367" s="12" t="n">
        <x:v>20000000</x:v>
      </x:c>
      <x:c r="J2367" s="2" t="str">
        <x:v>total</x:v>
      </x:c>
      <x:c r="K2367" s="2" t="str">
        <x:v>top_level_area</x:v>
      </x:c>
      <x:c r="L2367" s="2" t="str">
        <x:v>property_type_inferred_from_title</x:v>
      </x:c>
      <x:c r="M2367" s="10" t="n">
        <x:v>0</x:v>
      </x:c>
      <x:c r="N2367" s="10" t="n">
        <x:v>0</x:v>
      </x:c>
      <x:c r="O2367" s="2" t="str">
        <x:v>Tp Hồ Chí Minh|house</x:v>
      </x:c>
      <x:c r="P2367" s="10" t="n">
        <x:v>2</x:v>
      </x:c>
      <x:c r="Q2367" s="13" t="n">
        <x:f>IF(H2367="","",H2367/1000000000)</x:f>
        <x:v>1.2</x:v>
      </x:c>
      <x:c r="R2367" s="13" t="n">
        <x:f>IF(I2367="","",I2367/1000000)</x:f>
        <x:v>20</x:v>
      </x:c>
    </x:row>
    <x:row r="2368" ht="21" customHeight="1">
      <x:c r="A2368" s="10" t="n">
        <x:v>3362</x:v>
      </x:c>
      <x:c r="B2368" s="2" t="str">
        <x:v>d011a47e7005258c311e</x:v>
      </x:c>
      <x:c r="C2368" s="2" t="str">
        <x:v>Cần Thơ</x:v>
      </x:c>
      <x:c r="D2368" s="2" t="str">
        <x:v>Quận Cái Răng</x:v>
      </x:c>
      <x:c r="E2368" s="2" t="str">
        <x:v>other_unknown</x:v>
      </x:c>
      <x:c r="F2368" s="2" t="str">
        <x:v>sale_assumed</x:v>
      </x:c>
      <x:c r="G2368" s="11" t="n">
        <x:v>76</x:v>
      </x:c>
      <x:c r="H2368" s="12" t="n">
        <x:v>2950000000</x:v>
      </x:c>
      <x:c r="I2368" s="12" t="n">
        <x:v>38815789.473684214</x:v>
      </x:c>
      <x:c r="J2368" s="2" t="str">
        <x:v>total</x:v>
      </x:c>
      <x:c r="K2368" s="2" t="str">
        <x:v>top_level_area</x:v>
      </x:c>
      <x:c r="L2368" s="2" t="str">
        <x:v>property_type_inferred_from_title;transaction_assumed_sale_from_dataset_context;unknown_property_type</x:v>
      </x:c>
      <x:c r="M2368" s="10" t="n">
        <x:v>0</x:v>
      </x:c>
      <x:c r="N2368" s="10" t="n">
        <x:v>0</x:v>
      </x:c>
      <x:c r="O2368" s="2" t="str">
        <x:v>other_unknown</x:v>
      </x:c>
      <x:c r="P2368" s="10" t="n">
        <x:v>2</x:v>
      </x:c>
      <x:c r="Q2368" s="13" t="n">
        <x:f>IF(H2368="","",H2368/1000000000)</x:f>
        <x:v>2.95</x:v>
      </x:c>
      <x:c r="R2368" s="13" t="n">
        <x:f>IF(I2368="","",I2368/1000000)</x:f>
        <x:v>38.81578947368421</x:v>
      </x:c>
    </x:row>
    <x:row r="2369" ht="21" customHeight="1">
      <x:c r="A2369" s="10" t="n">
        <x:v>3363</x:v>
      </x:c>
      <x:c r="B2369" s="2" t="str">
        <x:v>53236ac5ed33e435c026</x:v>
      </x:c>
      <x:c r="C2369" s="2" t="str">
        <x:v>Đồng Nai</x:v>
      </x:c>
      <x:c r="D2369" s="2" t="str">
        <x:v>Huyện Long Thành</x:v>
      </x:c>
      <x:c r="E2369" s="2" t="str">
        <x:v>land</x:v>
      </x:c>
      <x:c r="F2369" s="2" t="str">
        <x:v>sale</x:v>
      </x:c>
      <x:c r="G2369" s="11" t="n">
        <x:v>149</x:v>
      </x:c>
      <x:c r="H2369" s="12" t="n">
        <x:v>1398000000</x:v>
      </x:c>
      <x:c r="I2369" s="12" t="n">
        <x:v>9382550.33557047</x:v>
      </x:c>
      <x:c r="J2369" s="2" t="str">
        <x:v>total</x:v>
      </x:c>
      <x:c r="K2369" s="2" t="str">
        <x:v>top_level_area</x:v>
      </x:c>
      <x:c r="L2369" s="2" t="str">
        <x:v>property_type_inferred_from_title</x:v>
      </x:c>
      <x:c r="M2369" s="10" t="n">
        <x:v>0</x:v>
      </x:c>
      <x:c r="N2369" s="10" t="n">
        <x:v>0</x:v>
      </x:c>
      <x:c r="O2369" s="2" t="str">
        <x:v>Đồng Nai|land</x:v>
      </x:c>
      <x:c r="P2369" s="10" t="n">
        <x:v>2</x:v>
      </x:c>
      <x:c r="Q2369" s="13" t="n">
        <x:f>IF(H2369="","",H2369/1000000000)</x:f>
        <x:v>1.398</x:v>
      </x:c>
      <x:c r="R2369" s="13" t="n">
        <x:f>IF(I2369="","",I2369/1000000)</x:f>
        <x:v>9.38255033557047</x:v>
      </x:c>
    </x:row>
    <x:row r="2370" ht="21" customHeight="1">
      <x:c r="A2370" s="10" t="n">
        <x:v>3364</x:v>
      </x:c>
      <x:c r="B2370" s="2" t="str">
        <x:v>97cc9c931991b07a9c63</x:v>
      </x:c>
      <x:c r="C2370" s="2" t="str">
        <x:v>Tp Hồ Chí Minh</x:v>
      </x:c>
      <x:c r="D2370" s="2" t="str">
        <x:v>Huyện Bình Chánh</x:v>
      </x:c>
      <x:c r="E2370" s="2" t="str">
        <x:v>land</x:v>
      </x:c>
      <x:c r="F2370" s="2" t="str">
        <x:v>sale</x:v>
      </x:c>
      <x:c r="G2370" s="11" t="n">
        <x:v>48</x:v>
      </x:c>
      <x:c r="H2370" s="12" t="n">
        <x:v>479000000</x:v>
      </x:c>
      <x:c r="I2370" s="12" t="n">
        <x:v>9979166.666666666</x:v>
      </x:c>
      <x:c r="J2370" s="2" t="str">
        <x:v>total</x:v>
      </x:c>
      <x:c r="K2370" s="2" t="str">
        <x:v>top_level_area</x:v>
      </x:c>
      <x:c r="L2370" s="2" t="str">
        <x:v>property_type_inferred_from_title</x:v>
      </x:c>
      <x:c r="M2370" s="10" t="n">
        <x:v>0</x:v>
      </x:c>
      <x:c r="N2370" s="10" t="n">
        <x:v>0</x:v>
      </x:c>
      <x:c r="O2370" s="2" t="str">
        <x:v>Tp Hồ Chí Minh|land</x:v>
      </x:c>
      <x:c r="P2370" s="10" t="n">
        <x:v>2</x:v>
      </x:c>
      <x:c r="Q2370" s="13" t="n">
        <x:f>IF(H2370="","",H2370/1000000000)</x:f>
        <x:v>0.479</x:v>
      </x:c>
      <x:c r="R2370" s="13" t="n">
        <x:f>IF(I2370="","",I2370/1000000)</x:f>
        <x:v>9.979166666666666</x:v>
      </x:c>
    </x:row>
    <x:row r="2371" ht="21" customHeight="1">
      <x:c r="A2371" s="10" t="n">
        <x:v>3365</x:v>
      </x:c>
      <x:c r="B2371" s="2" t="str">
        <x:v>892404b3075fb975bf32</x:v>
      </x:c>
      <x:c r="C2371" s="2" t="str">
        <x:v>Bình Dương</x:v>
      </x:c>
      <x:c r="D2371" s="2" t="str">
        <x:v>Thị xã Thuận An</x:v>
      </x:c>
      <x:c r="E2371" s="2" t="str">
        <x:v>land</x:v>
      </x:c>
      <x:c r="F2371" s="2" t="str">
        <x:v>sale_assumed</x:v>
      </x:c>
      <x:c r="G2371" s="11" t="n">
        <x:v>81</x:v>
      </x:c>
      <x:c r="H2371" s="12" t="n">
        <x:v>810000000</x:v>
      </x:c>
      <x:c r="I2371" s="12" t="n">
        <x:v>10000000</x:v>
      </x:c>
      <x:c r="J2371" s="2" t="str">
        <x:v>total</x:v>
      </x:c>
      <x:c r="K2371" s="2" t="str">
        <x:v>top_level_area</x:v>
      </x:c>
      <x:c r="L2371" s="2" t="str">
        <x:v>property_type_inferred_from_title;transaction_assumed_sale_from_dataset_context</x:v>
      </x:c>
      <x:c r="M2371" s="10" t="n">
        <x:v>0</x:v>
      </x:c>
      <x:c r="N2371" s="10" t="n">
        <x:v>0</x:v>
      </x:c>
      <x:c r="O2371" s="2" t="str">
        <x:v>Bình Dương|land</x:v>
      </x:c>
      <x:c r="P2371" s="10" t="n">
        <x:v>2</x:v>
      </x:c>
      <x:c r="Q2371" s="13" t="n">
        <x:f>IF(H2371="","",H2371/1000000000)</x:f>
        <x:v>0.81</x:v>
      </x:c>
      <x:c r="R2371" s="13" t="n">
        <x:f>IF(I2371="","",I2371/1000000)</x:f>
        <x:v>10</x:v>
      </x:c>
    </x:row>
    <x:row r="2372" ht="21" customHeight="1">
      <x:c r="A2372" s="10" t="n">
        <x:v>3367</x:v>
      </x:c>
      <x:c r="B2372" s="2" t="str">
        <x:v>d3125f0824f7f0ded1f2</x:v>
      </x:c>
      <x:c r="C2372" s="2" t="str">
        <x:v>Đà Nẵng</x:v>
      </x:c>
      <x:c r="D2372" s="2" t="str">
        <x:v>Quận Thanh Khê</x:v>
      </x:c>
      <x:c r="E2372" s="2" t="str">
        <x:v>house</x:v>
      </x:c>
      <x:c r="F2372" s="2" t="str">
        <x:v>sale_assumed</x:v>
      </x:c>
      <x:c r="G2372" s="11" t="n">
        <x:v>31</x:v>
      </x:c>
      <x:c r="H2372" s="12" t="n">
        <x:v>1850000000</x:v>
      </x:c>
      <x:c r="I2372" s="12" t="n">
        <x:v>59677419.35483871</x:v>
      </x:c>
      <x:c r="J2372" s="2" t="str">
        <x:v>total</x:v>
      </x:c>
      <x:c r="K2372" s="2" t="str">
        <x:v>top_level_area</x:v>
      </x:c>
      <x:c r="L2372" s="2" t="str">
        <x:v>property_type_inferred_from_title;transaction_assumed_sale_from_dataset_context</x:v>
      </x:c>
      <x:c r="M2372" s="10" t="n">
        <x:v>0</x:v>
      </x:c>
      <x:c r="N2372" s="10" t="n">
        <x:v>0</x:v>
      </x:c>
      <x:c r="O2372" s="2" t="str">
        <x:v>Đà Nẵng|house</x:v>
      </x:c>
      <x:c r="P2372" s="10" t="n">
        <x:v>2</x:v>
      </x:c>
      <x:c r="Q2372" s="13" t="n">
        <x:f>IF(H2372="","",H2372/1000000000)</x:f>
        <x:v>1.85</x:v>
      </x:c>
      <x:c r="R2372" s="13" t="n">
        <x:f>IF(I2372="","",I2372/1000000)</x:f>
        <x:v>59.677419354838705</x:v>
      </x:c>
    </x:row>
    <x:row r="2373" ht="21" customHeight="1">
      <x:c r="A2373" s="10" t="n">
        <x:v>3369</x:v>
      </x:c>
      <x:c r="B2373" s="2" t="str">
        <x:v>a4c786fb413dd0e49add</x:v>
      </x:c>
      <x:c r="C2373" s="2" t="str">
        <x:v>Đồng Nai</x:v>
      </x:c>
      <x:c r="D2373" s="2" t="str">
        <x:v>Thành phố Biên Hòa</x:v>
      </x:c>
      <x:c r="E2373" s="2" t="str">
        <x:v>house</x:v>
      </x:c>
      <x:c r="F2373" s="2" t="str">
        <x:v>sale_assumed</x:v>
      </x:c>
      <x:c r="G2373" s="11" t="n">
        <x:v>95</x:v>
      </x:c>
      <x:c r="H2373" s="12" t="n">
        <x:v>1720000000</x:v>
      </x:c>
      <x:c r="I2373" s="12" t="n">
        <x:v>18105263.157894738</x:v>
      </x:c>
      <x:c r="J2373" s="2" t="str">
        <x:v>total</x:v>
      </x:c>
      <x:c r="K2373" s="2" t="str">
        <x:v>top_level_area</x:v>
      </x:c>
      <x:c r="L2373" s="2" t="str">
        <x:v>property_type_inferred_from_title;transaction_assumed_sale_from_dataset_context</x:v>
      </x:c>
      <x:c r="M2373" s="10" t="n">
        <x:v>0</x:v>
      </x:c>
      <x:c r="N2373" s="10" t="n">
        <x:v>0</x:v>
      </x:c>
      <x:c r="O2373" s="2" t="str">
        <x:v>Đồng Nai|house</x:v>
      </x:c>
      <x:c r="P2373" s="10" t="n">
        <x:v>2</x:v>
      </x:c>
      <x:c r="Q2373" s="13" t="n">
        <x:f>IF(H2373="","",H2373/1000000000)</x:f>
        <x:v>1.72</x:v>
      </x:c>
      <x:c r="R2373" s="13" t="n">
        <x:f>IF(I2373="","",I2373/1000000)</x:f>
        <x:v>18.105263157894736</x:v>
      </x:c>
    </x:row>
    <x:row r="2374" ht="21" customHeight="1">
      <x:c r="A2374" s="10" t="n">
        <x:v>3371</x:v>
      </x:c>
      <x:c r="B2374" s="2" t="str">
        <x:v>a7471c8ed121e2efe46e</x:v>
      </x:c>
      <x:c r="C2374" s="2" t="str">
        <x:v>Bình Dương</x:v>
      </x:c>
      <x:c r="D2374" s="2" t="str">
        <x:v>Thị xã Thuận An</x:v>
      </x:c>
      <x:c r="E2374" s="2" t="str">
        <x:v>land</x:v>
      </x:c>
      <x:c r="F2374" s="2" t="str">
        <x:v>sale</x:v>
      </x:c>
      <x:c r="G2374" s="11" t="n">
        <x:v>150</x:v>
      </x:c>
      <x:c r="H2374" s="12" t="n">
        <x:v>800000000</x:v>
      </x:c>
      <x:c r="I2374" s="12" t="n">
        <x:v>5333333.333333333</x:v>
      </x:c>
      <x:c r="J2374" s="2" t="str">
        <x:v>total</x:v>
      </x:c>
      <x:c r="K2374" s="2" t="str">
        <x:v>top_level_area</x:v>
      </x:c>
      <x:c r="L2374" s="2" t="str">
        <x:v>property_type_inferred_from_title</x:v>
      </x:c>
      <x:c r="M2374" s="10" t="n">
        <x:v>0</x:v>
      </x:c>
      <x:c r="N2374" s="10" t="n">
        <x:v>0</x:v>
      </x:c>
      <x:c r="O2374" s="2" t="str">
        <x:v>Bình Dương|land</x:v>
      </x:c>
      <x:c r="P2374" s="10" t="n">
        <x:v>2</x:v>
      </x:c>
      <x:c r="Q2374" s="13" t="n">
        <x:f>IF(H2374="","",H2374/1000000000)</x:f>
        <x:v>0.8</x:v>
      </x:c>
      <x:c r="R2374" s="13" t="n">
        <x:f>IF(I2374="","",I2374/1000000)</x:f>
        <x:v>5.333333333333333</x:v>
      </x:c>
    </x:row>
    <x:row r="2375" ht="21" customHeight="1">
      <x:c r="A2375" s="10" t="n">
        <x:v>3372</x:v>
      </x:c>
      <x:c r="B2375" s="2" t="str">
        <x:v>a28956e1f3260d2b2f5c</x:v>
      </x:c>
      <x:c r="C2375" s="2" t="str">
        <x:v>Bình Dương</x:v>
      </x:c>
      <x:c r="D2375" s="2" t="str">
        <x:v>Thị xã Thuận An</x:v>
      </x:c>
      <x:c r="E2375" s="2" t="str">
        <x:v>land</x:v>
      </x:c>
      <x:c r="F2375" s="2" t="str">
        <x:v>sale</x:v>
      </x:c>
      <x:c r="G2375" s="11" t="n">
        <x:v>319</x:v>
      </x:c>
      <x:c r="H2375" s="12" t="n">
        <x:v>2950000000</x:v>
      </x:c>
      <x:c r="I2375" s="12" t="n">
        <x:v>9247648.902821317</x:v>
      </x:c>
      <x:c r="J2375" s="2" t="str">
        <x:v>total</x:v>
      </x:c>
      <x:c r="K2375" s="2" t="str">
        <x:v>top_level_area</x:v>
      </x:c>
      <x:c r="L2375" s="2" t="str">
        <x:v>property_type_inferred_from_title</x:v>
      </x:c>
      <x:c r="M2375" s="10" t="n">
        <x:v>0</x:v>
      </x:c>
      <x:c r="N2375" s="10" t="n">
        <x:v>0</x:v>
      </x:c>
      <x:c r="O2375" s="2" t="str">
        <x:v>Bình Dương|land</x:v>
      </x:c>
      <x:c r="P2375" s="10" t="n">
        <x:v>1</x:v>
      </x:c>
      <x:c r="Q2375" s="13" t="n">
        <x:f>IF(H2375="","",H2375/1000000000)</x:f>
        <x:v>2.95</x:v>
      </x:c>
      <x:c r="R2375" s="13" t="n">
        <x:f>IF(I2375="","",I2375/1000000)</x:f>
        <x:v>9.247648902821318</x:v>
      </x:c>
    </x:row>
    <x:row r="2376" ht="21" customHeight="1">
      <x:c r="A2376" s="10" t="n">
        <x:v>3373</x:v>
      </x:c>
      <x:c r="B2376" s="2" t="str">
        <x:v>36938289055407d881d8</x:v>
      </x:c>
      <x:c r="C2376" s="2" t="str">
        <x:v>Tp Hồ Chí Minh</x:v>
      </x:c>
      <x:c r="D2376" s="2" t="str">
        <x:v>Quận Gò Vấp</x:v>
      </x:c>
      <x:c r="E2376" s="2" t="str">
        <x:v>house</x:v>
      </x:c>
      <x:c r="F2376" s="2" t="str">
        <x:v>sale</x:v>
      </x:c>
      <x:c r="G2376" s="11" t="n">
        <x:v>90</x:v>
      </x:c>
      <x:c r="H2376" s="12" t="n">
        <x:v>5750000000</x:v>
      </x:c>
      <x:c r="I2376" s="12" t="n">
        <x:v>63888888.88888889</x:v>
      </x:c>
      <x:c r="J2376" s="2" t="str">
        <x:v>total</x:v>
      </x:c>
      <x:c r="K2376" s="2" t="str">
        <x:v>top_level_area</x:v>
      </x:c>
      <x:c r="L2376" s="2" t="str">
        <x:v>property_type_inferred_from_title</x:v>
      </x:c>
      <x:c r="M2376" s="10" t="n">
        <x:v>0</x:v>
      </x:c>
      <x:c r="N2376" s="10" t="n">
        <x:v>0</x:v>
      </x:c>
      <x:c r="O2376" s="2" t="str">
        <x:v>Tp Hồ Chí Minh|house</x:v>
      </x:c>
      <x:c r="P2376" s="10" t="n">
        <x:v>2</x:v>
      </x:c>
      <x:c r="Q2376" s="13" t="n">
        <x:f>IF(H2376="","",H2376/1000000000)</x:f>
        <x:v>5.75</x:v>
      </x:c>
      <x:c r="R2376" s="13" t="n">
        <x:f>IF(I2376="","",I2376/1000000)</x:f>
        <x:v>63.888888888888886</x:v>
      </x:c>
    </x:row>
    <x:row r="2377" ht="21" customHeight="1">
      <x:c r="A2377" s="10" t="n">
        <x:v>3374</x:v>
      </x:c>
      <x:c r="B2377" s="2" t="str">
        <x:v>b65bad54353c86bf4471</x:v>
      </x:c>
      <x:c r="C2377" s="2" t="str">
        <x:v>Tp Hồ Chí Minh</x:v>
      </x:c>
      <x:c r="D2377" s="2" t="str">
        <x:v>Quận 7</x:v>
      </x:c>
      <x:c r="E2377" s="2" t="str">
        <x:v>house</x:v>
      </x:c>
      <x:c r="F2377" s="2" t="str">
        <x:v>sale_assumed</x:v>
      </x:c>
      <x:c r="G2377" s="11" t="n">
        <x:v>70</x:v>
      </x:c>
      <x:c r="H2377" s="12" t="n">
        <x:v>995000000</x:v>
      </x:c>
      <x:c r="I2377" s="12" t="n">
        <x:v>14214285.714285715</x:v>
      </x:c>
      <x:c r="J2377" s="2" t="str">
        <x:v>total</x:v>
      </x:c>
      <x:c r="K2377" s="2" t="str">
        <x:v>top_level_area</x:v>
      </x:c>
      <x:c r="L2377" s="2" t="str">
        <x:v>property_type_inferred_from_title;transaction_assumed_sale_from_dataset_context</x:v>
      </x:c>
      <x:c r="M2377" s="10" t="n">
        <x:v>0</x:v>
      </x:c>
      <x:c r="N2377" s="10" t="n">
        <x:v>0</x:v>
      </x:c>
      <x:c r="O2377" s="2" t="str">
        <x:v>Tp Hồ Chí Minh|house</x:v>
      </x:c>
      <x:c r="P2377" s="10" t="n">
        <x:v>2</x:v>
      </x:c>
      <x:c r="Q2377" s="13" t="n">
        <x:f>IF(H2377="","",H2377/1000000000)</x:f>
        <x:v>0.995</x:v>
      </x:c>
      <x:c r="R2377" s="13" t="n">
        <x:f>IF(I2377="","",I2377/1000000)</x:f>
        <x:v>14.214285714285715</x:v>
      </x:c>
    </x:row>
    <x:row r="2378" ht="21" customHeight="1">
      <x:c r="A2378" s="10" t="n">
        <x:v>3375</x:v>
      </x:c>
      <x:c r="B2378" s="2" t="str">
        <x:v>c05fe78475e9badf72cf</x:v>
      </x:c>
      <x:c r="C2378" s="2" t="str">
        <x:v>Tp Hồ Chí Minh</x:v>
      </x:c>
      <x:c r="D2378" s="2" t="str">
        <x:v>Quận 2</x:v>
      </x:c>
      <x:c r="E2378" s="2" t="str">
        <x:v>land</x:v>
      </x:c>
      <x:c r="F2378" s="2" t="str">
        <x:v>sale_assumed</x:v>
      </x:c>
      <x:c r="G2378" s="11" t="n">
        <x:v>70</x:v>
      </x:c>
      <x:c r="H2378" s="12" t="n">
        <x:v>830000000</x:v>
      </x:c>
      <x:c r="I2378" s="12" t="n">
        <x:v>11857142.857142856</x:v>
      </x:c>
      <x:c r="J2378" s="2" t="str">
        <x:v>total</x:v>
      </x:c>
      <x:c r="K2378" s="2" t="str">
        <x:v>top_level_area</x:v>
      </x:c>
      <x:c r="L2378" s="2" t="str">
        <x:v>property_type_inferred_from_title;transaction_assumed_sale_from_dataset_context</x:v>
      </x:c>
      <x:c r="M2378" s="10" t="n">
        <x:v>0</x:v>
      </x:c>
      <x:c r="N2378" s="10" t="n">
        <x:v>0</x:v>
      </x:c>
      <x:c r="O2378" s="2" t="str">
        <x:v>Tp Hồ Chí Minh|land</x:v>
      </x:c>
      <x:c r="P2378" s="10" t="n">
        <x:v>2</x:v>
      </x:c>
      <x:c r="Q2378" s="13" t="n">
        <x:f>IF(H2378="","",H2378/1000000000)</x:f>
        <x:v>0.83</x:v>
      </x:c>
      <x:c r="R2378" s="13" t="n">
        <x:f>IF(I2378="","",I2378/1000000)</x:f>
        <x:v>11.857142857142856</x:v>
      </x:c>
    </x:row>
    <x:row r="2379" ht="21" customHeight="1">
      <x:c r="A2379" s="10" t="n">
        <x:v>3376</x:v>
      </x:c>
      <x:c r="B2379" s="2" t="str">
        <x:v>6d6f58dcaf2604ea7cf7</x:v>
      </x:c>
      <x:c r="C2379" s="2" t="str">
        <x:v>Tp Hồ Chí Minh</x:v>
      </x:c>
      <x:c r="D2379" s="2" t="str">
        <x:v>Quận 4</x:v>
      </x:c>
      <x:c r="E2379" s="2" t="str">
        <x:v>house</x:v>
      </x:c>
      <x:c r="F2379" s="2" t="str">
        <x:v>sale</x:v>
      </x:c>
      <x:c r="G2379" s="11" t="n">
        <x:v>82.3</x:v>
      </x:c>
      <x:c r="H2379" s="12" t="n">
        <x:v>6100000000</x:v>
      </x:c>
      <x:c r="I2379" s="12" t="n">
        <x:v>74119076.5492102</x:v>
      </x:c>
      <x:c r="J2379" s="2" t="str">
        <x:v>total</x:v>
      </x:c>
      <x:c r="K2379" s="2" t="str">
        <x:v>top_level_area</x:v>
      </x:c>
      <x:c r="L2379" s="2" t="str">
        <x:v>property_type_inferred_from_title</x:v>
      </x:c>
      <x:c r="M2379" s="10" t="n">
        <x:v>0</x:v>
      </x:c>
      <x:c r="N2379" s="10" t="n">
        <x:v>0</x:v>
      </x:c>
      <x:c r="O2379" s="2" t="str">
        <x:v>Tp Hồ Chí Minh|house</x:v>
      </x:c>
      <x:c r="P2379" s="10" t="n">
        <x:v>2</x:v>
      </x:c>
      <x:c r="Q2379" s="13" t="n">
        <x:f>IF(H2379="","",H2379/1000000000)</x:f>
        <x:v>6.1</x:v>
      </x:c>
      <x:c r="R2379" s="13" t="n">
        <x:f>IF(I2379="","",I2379/1000000)</x:f>
        <x:v>74.1190765492102</x:v>
      </x:c>
    </x:row>
    <x:row r="2380" ht="21" customHeight="1">
      <x:c r="A2380" s="10" t="n">
        <x:v>3377</x:v>
      </x:c>
      <x:c r="B2380" s="2" t="str">
        <x:v>620ed8e12d68e7bc973b</x:v>
      </x:c>
      <x:c r="C2380" s="2" t="str">
        <x:v>Tp Hồ Chí Minh</x:v>
      </x:c>
      <x:c r="D2380" s="2" t="str">
        <x:v>Quận Thủ Đức</x:v>
      </x:c>
      <x:c r="E2380" s="2" t="str">
        <x:v>land</x:v>
      </x:c>
      <x:c r="F2380" s="2" t="str">
        <x:v>sale_assumed</x:v>
      </x:c>
      <x:c r="G2380" s="11" t="n">
        <x:v>922</x:v>
      </x:c>
      <x:c r="H2380" s="12" t="n">
        <x:v>46655000000</x:v>
      </x:c>
      <x:c r="I2380" s="12" t="n">
        <x:v>50601952.27765727</x:v>
      </x:c>
      <x:c r="J2380" s="2" t="str">
        <x:v>total</x:v>
      </x:c>
      <x:c r="K2380" s="2" t="str">
        <x:v>top_level_price_embedded_area</x:v>
      </x:c>
      <x:c r="L2380" s="2" t="str">
        <x:v>area_recovered_from_price_text;property_type_inferred_from_title;transaction_assumed_sale_from_dataset_context</x:v>
      </x:c>
      <x:c r="M2380" s="10" t="n">
        <x:v>0</x:v>
      </x:c>
      <x:c r="N2380" s="10" t="n">
        <x:v>0</x:v>
      </x:c>
      <x:c r="O2380" s="2" t="str">
        <x:v>Tp Hồ Chí Minh|land</x:v>
      </x:c>
      <x:c r="P2380" s="10" t="n">
        <x:v>1</x:v>
      </x:c>
      <x:c r="Q2380" s="13" t="n">
        <x:f>IF(H2380="","",H2380/1000000000)</x:f>
        <x:v>46.655</x:v>
      </x:c>
      <x:c r="R2380" s="13" t="n">
        <x:f>IF(I2380="","",I2380/1000000)</x:f>
        <x:v>50.60195227765727</x:v>
      </x:c>
    </x:row>
    <x:row r="2381" ht="21" customHeight="1">
      <x:c r="A2381" s="10" t="n">
        <x:v>3378</x:v>
      </x:c>
      <x:c r="B2381" s="2" t="str">
        <x:v>22f4cb16e4bfbf148803</x:v>
      </x:c>
      <x:c r="C2381" s="2" t="str">
        <x:v>Tp Hồ Chí Minh</x:v>
      </x:c>
      <x:c r="D2381" s="2" t="str">
        <x:v>Quận 10</x:v>
      </x:c>
      <x:c r="E2381" s="2" t="str">
        <x:v>house</x:v>
      </x:c>
      <x:c r="F2381" s="2" t="str">
        <x:v>sale_assumed</x:v>
      </x:c>
      <x:c r="G2381" s="11" t="n">
        <x:v>39</x:v>
      </x:c>
      <x:c r="H2381" s="12" t="n">
        <x:v>5100000000</x:v>
      </x:c>
      <x:c r="I2381" s="12" t="n">
        <x:v>130769230.76923077</x:v>
      </x:c>
      <x:c r="J2381" s="2" t="str">
        <x:v>total</x:v>
      </x:c>
      <x:c r="K2381" s="2" t="str">
        <x:v>top_level_area</x:v>
      </x:c>
      <x:c r="L2381" s="2" t="str">
        <x:v>property_type_inferred_from_title;transaction_assumed_sale_from_dataset_context</x:v>
      </x:c>
      <x:c r="M2381" s="10" t="n">
        <x:v>0</x:v>
      </x:c>
      <x:c r="N2381" s="10" t="n">
        <x:v>0</x:v>
      </x:c>
      <x:c r="O2381" s="2" t="str">
        <x:v>Tp Hồ Chí Minh|house</x:v>
      </x:c>
      <x:c r="P2381" s="10" t="n">
        <x:v>2</x:v>
      </x:c>
      <x:c r="Q2381" s="13" t="n">
        <x:f>IF(H2381="","",H2381/1000000000)</x:f>
        <x:v>5.1</x:v>
      </x:c>
      <x:c r="R2381" s="13" t="n">
        <x:f>IF(I2381="","",I2381/1000000)</x:f>
        <x:v>130.76923076923077</x:v>
      </x:c>
    </x:row>
    <x:row r="2382" ht="21" customHeight="1">
      <x:c r="A2382" s="10" t="n">
        <x:v>3379</x:v>
      </x:c>
      <x:c r="B2382" s="2" t="str">
        <x:v>0c84d23652efe69f6dd6</x:v>
      </x:c>
      <x:c r="C2382" s="2" t="str">
        <x:v>Cần Thơ</x:v>
      </x:c>
      <x:c r="D2382" s="2" t="str">
        <x:v>Quận Cái Răng</x:v>
      </x:c>
      <x:c r="E2382" s="2" t="str">
        <x:v>other_unknown</x:v>
      </x:c>
      <x:c r="F2382" s="2" t="str">
        <x:v>sale</x:v>
      </x:c>
      <x:c r="G2382" s="11" t="n">
        <x:v>90</x:v>
      </x:c>
      <x:c r="H2382" s="12" t="n">
        <x:v>1980000000</x:v>
      </x:c>
      <x:c r="I2382" s="12" t="n">
        <x:v>22000000</x:v>
      </x:c>
      <x:c r="J2382" s="2" t="str">
        <x:v>total</x:v>
      </x:c>
      <x:c r="K2382" s="2" t="str">
        <x:v>top_level_area</x:v>
      </x:c>
      <x:c r="L2382" s="2" t="str">
        <x:v>property_type_inferred_from_title;unknown_property_type</x:v>
      </x:c>
      <x:c r="M2382" s="10" t="n">
        <x:v>0</x:v>
      </x:c>
      <x:c r="N2382" s="10" t="n">
        <x:v>0</x:v>
      </x:c>
      <x:c r="O2382" s="2" t="str">
        <x:v>other_unknown</x:v>
      </x:c>
      <x:c r="P2382" s="10" t="n">
        <x:v>2</x:v>
      </x:c>
      <x:c r="Q2382" s="13" t="n">
        <x:f>IF(H2382="","",H2382/1000000000)</x:f>
        <x:v>1.98</x:v>
      </x:c>
      <x:c r="R2382" s="13" t="n">
        <x:f>IF(I2382="","",I2382/1000000)</x:f>
        <x:v>22</x:v>
      </x:c>
    </x:row>
    <x:row r="2383" ht="21" customHeight="1">
      <x:c r="A2383" s="10" t="n">
        <x:v>3381</x:v>
      </x:c>
      <x:c r="B2383" s="2" t="str">
        <x:v>affac99095c0a4ea705f</x:v>
      </x:c>
      <x:c r="C2383" s="2" t="str">
        <x:v>Tp Hồ Chí Minh</x:v>
      </x:c>
      <x:c r="D2383" s="2" t="str">
        <x:v>Quận 7</x:v>
      </x:c>
      <x:c r="E2383" s="2" t="str">
        <x:v>house</x:v>
      </x:c>
      <x:c r="F2383" s="2" t="str">
        <x:v>sale_assumed</x:v>
      </x:c>
      <x:c r="G2383" s="11" t="n">
        <x:v>65</x:v>
      </x:c>
      <x:c r="H2383" s="12" t="n">
        <x:v>7500000000</x:v>
      </x:c>
      <x:c r="I2383" s="12" t="n">
        <x:v>115384615.38461539</x:v>
      </x:c>
      <x:c r="J2383" s="2" t="str">
        <x:v>total</x:v>
      </x:c>
      <x:c r="K2383" s="2" t="str">
        <x:v>top_level_area</x:v>
      </x:c>
      <x:c r="L2383" s="2" t="str">
        <x:v>property_type_inferred_from_title;transaction_assumed_sale_from_dataset_context</x:v>
      </x:c>
      <x:c r="M2383" s="10" t="n">
        <x:v>0</x:v>
      </x:c>
      <x:c r="N2383" s="10" t="n">
        <x:v>0</x:v>
      </x:c>
      <x:c r="O2383" s="2" t="str">
        <x:v>Tp Hồ Chí Minh|house</x:v>
      </x:c>
      <x:c r="P2383" s="10" t="n">
        <x:v>2</x:v>
      </x:c>
      <x:c r="Q2383" s="13" t="n">
        <x:f>IF(H2383="","",H2383/1000000000)</x:f>
        <x:v>7.5</x:v>
      </x:c>
      <x:c r="R2383" s="13" t="n">
        <x:f>IF(I2383="","",I2383/1000000)</x:f>
        <x:v>115.38461538461539</x:v>
      </x:c>
    </x:row>
    <x:row r="2384" ht="21" customHeight="1">
      <x:c r="A2384" s="10" t="n">
        <x:v>3382</x:v>
      </x:c>
      <x:c r="B2384" s="2" t="str">
        <x:v>9782e693071d81d79d8f</x:v>
      </x:c>
      <x:c r="C2384" s="2" t="str">
        <x:v>Tp Hồ Chí Minh</x:v>
      </x:c>
      <x:c r="D2384" s="2" t="str">
        <x:v>Quận Bình Thạnh</x:v>
      </x:c>
      <x:c r="E2384" s="2" t="str">
        <x:v>house</x:v>
      </x:c>
      <x:c r="F2384" s="2" t="str">
        <x:v>sale_assumed</x:v>
      </x:c>
      <x:c r="G2384" s="11" t="n">
        <x:v>65</x:v>
      </x:c>
      <x:c r="H2384" s="12" t="n">
        <x:v>960000000</x:v>
      </x:c>
      <x:c r="I2384" s="12" t="n">
        <x:v>14769230.76923077</x:v>
      </x:c>
      <x:c r="J2384" s="2" t="str">
        <x:v>total</x:v>
      </x:c>
      <x:c r="K2384" s="2" t="str">
        <x:v>top_level_area</x:v>
      </x:c>
      <x:c r="L2384" s="2" t="str">
        <x:v>property_type_inferred_from_title;transaction_assumed_sale_from_dataset_context</x:v>
      </x:c>
      <x:c r="M2384" s="10" t="n">
        <x:v>0</x:v>
      </x:c>
      <x:c r="N2384" s="10" t="n">
        <x:v>0</x:v>
      </x:c>
      <x:c r="O2384" s="2" t="str">
        <x:v>Tp Hồ Chí Minh|house</x:v>
      </x:c>
      <x:c r="P2384" s="10" t="n">
        <x:v>2</x:v>
      </x:c>
      <x:c r="Q2384" s="13" t="n">
        <x:f>IF(H2384="","",H2384/1000000000)</x:f>
        <x:v>0.96</x:v>
      </x:c>
      <x:c r="R2384" s="13" t="n">
        <x:f>IF(I2384="","",I2384/1000000)</x:f>
        <x:v>14.76923076923077</x:v>
      </x:c>
    </x:row>
    <x:row r="2385" ht="21" customHeight="1">
      <x:c r="A2385" s="10" t="n">
        <x:v>3383</x:v>
      </x:c>
      <x:c r="B2385" s="2" t="str">
        <x:v>1c640e7ea73f6fde4d3d</x:v>
      </x:c>
      <x:c r="C2385" s="2" t="str">
        <x:v>Long An</x:v>
      </x:c>
      <x:c r="D2385" s="2" t="str">
        <x:v>Thành phố Tân An</x:v>
      </x:c>
      <x:c r="E2385" s="2" t="str">
        <x:v>house</x:v>
      </x:c>
      <x:c r="F2385" s="2" t="str">
        <x:v>sale_assumed</x:v>
      </x:c>
      <x:c r="G2385" s="11" t="n">
        <x:v>144</x:v>
      </x:c>
      <x:c r="H2385" s="12" t="n">
        <x:v>3500000000</x:v>
      </x:c>
      <x:c r="I2385" s="12" t="n">
        <x:v>24305555.555555556</x:v>
      </x:c>
      <x:c r="J2385" s="2" t="str">
        <x:v>total</x:v>
      </x:c>
      <x:c r="K2385" s="2" t="str">
        <x:v>top_level_area</x:v>
      </x:c>
      <x:c r="L2385" s="2" t="str">
        <x:v>property_type_inferred_from_title;transaction_assumed_sale_from_dataset_context</x:v>
      </x:c>
      <x:c r="M2385" s="10" t="n">
        <x:v>0</x:v>
      </x:c>
      <x:c r="N2385" s="10" t="n">
        <x:v>0</x:v>
      </x:c>
      <x:c r="O2385" s="2" t="str">
        <x:v>Long An|house</x:v>
      </x:c>
      <x:c r="P2385" s="10" t="n">
        <x:v>2</x:v>
      </x:c>
      <x:c r="Q2385" s="13" t="n">
        <x:f>IF(H2385="","",H2385/1000000000)</x:f>
        <x:v>3.5</x:v>
      </x:c>
      <x:c r="R2385" s="13" t="n">
        <x:f>IF(I2385="","",I2385/1000000)</x:f>
        <x:v>24.305555555555557</x:v>
      </x:c>
    </x:row>
    <x:row r="2386" ht="21" customHeight="1">
      <x:c r="A2386" s="10" t="n">
        <x:v>3384</x:v>
      </x:c>
      <x:c r="B2386" s="2" t="str">
        <x:v>7b7990de918c8a5f6bf4</x:v>
      </x:c>
      <x:c r="C2386" s="2" t="str">
        <x:v>Tp Hồ Chí Minh</x:v>
      </x:c>
      <x:c r="D2386" s="2" t="str">
        <x:v>Quận Phú Nhuận</x:v>
      </x:c>
      <x:c r="E2386" s="2" t="str">
        <x:v>house</x:v>
      </x:c>
      <x:c r="F2386" s="2" t="str">
        <x:v>sale_assumed</x:v>
      </x:c>
      <x:c r="G2386" s="11" t="n">
        <x:v>35</x:v>
      </x:c>
      <x:c r="H2386" s="12" t="n">
        <x:v>4500000000</x:v>
      </x:c>
      <x:c r="I2386" s="12" t="n">
        <x:v>128571428.57142857</x:v>
      </x:c>
      <x:c r="J2386" s="2" t="str">
        <x:v>total</x:v>
      </x:c>
      <x:c r="K2386" s="2" t="str">
        <x:v>top_level_area</x:v>
      </x:c>
      <x:c r="L2386" s="2" t="str">
        <x:v>property_type_inferred_from_title;transaction_assumed_sale_from_dataset_context</x:v>
      </x:c>
      <x:c r="M2386" s="10" t="n">
        <x:v>0</x:v>
      </x:c>
      <x:c r="N2386" s="10" t="n">
        <x:v>0</x:v>
      </x:c>
      <x:c r="O2386" s="2" t="str">
        <x:v>Tp Hồ Chí Minh|house</x:v>
      </x:c>
      <x:c r="P2386" s="10" t="n">
        <x:v>2</x:v>
      </x:c>
      <x:c r="Q2386" s="13" t="n">
        <x:f>IF(H2386="","",H2386/1000000000)</x:f>
        <x:v>4.5</x:v>
      </x:c>
      <x:c r="R2386" s="13" t="n">
        <x:f>IF(I2386="","",I2386/1000000)</x:f>
        <x:v>128.57142857142856</x:v>
      </x:c>
    </x:row>
    <x:row r="2387" ht="21" customHeight="1">
      <x:c r="A2387" s="10" t="n">
        <x:v>3386</x:v>
      </x:c>
      <x:c r="B2387" s="2" t="str">
        <x:v>da28dbbd5deeb9e80a1e</x:v>
      </x:c>
      <x:c r="C2387" s="2" t="str">
        <x:v>Thừa Thiên Huế</x:v>
      </x:c>
      <x:c r="D2387" s="2" t="str">
        <x:v>Thành phố Huế</x:v>
      </x:c>
      <x:c r="E2387" s="2" t="str">
        <x:v>house</x:v>
      </x:c>
      <x:c r="F2387" s="2" t="str">
        <x:v>sale_assumed</x:v>
      </x:c>
      <x:c r="G2387" s="11" t="n">
        <x:v>101</x:v>
      </x:c>
      <x:c r="H2387" s="12" t="n">
        <x:v>1370000000</x:v>
      </x:c>
      <x:c r="I2387" s="12" t="n">
        <x:v>13564356.435643565</x:v>
      </x:c>
      <x:c r="J2387" s="2" t="str">
        <x:v>total</x:v>
      </x:c>
      <x:c r="K2387" s="2" t="str">
        <x:v>top_level_area</x:v>
      </x:c>
      <x:c r="L2387" s="2" t="str">
        <x:v>property_type_inferred_from_title;transaction_assumed_sale_from_dataset_context</x:v>
      </x:c>
      <x:c r="M2387" s="10" t="n">
        <x:v>0</x:v>
      </x:c>
      <x:c r="N2387" s="10" t="n">
        <x:v>0</x:v>
      </x:c>
      <x:c r="O2387" s="2" t="str">
        <x:v>house</x:v>
      </x:c>
      <x:c r="P2387" s="10" t="n">
        <x:v>2</x:v>
      </x:c>
      <x:c r="Q2387" s="13" t="n">
        <x:f>IF(H2387="","",H2387/1000000000)</x:f>
        <x:v>1.37</x:v>
      </x:c>
      <x:c r="R2387" s="13" t="n">
        <x:f>IF(I2387="","",I2387/1000000)</x:f>
        <x:v>13.564356435643566</x:v>
      </x:c>
    </x:row>
    <x:row r="2388" ht="21" customHeight="1">
      <x:c r="A2388" s="10" t="n">
        <x:v>3387</x:v>
      </x:c>
      <x:c r="B2388" s="2" t="str">
        <x:v>c379908184c1d37c6718</x:v>
      </x:c>
      <x:c r="C2388" s="2" t="str">
        <x:v>Bà Rịa - Vũng Tàu</x:v>
      </x:c>
      <x:c r="D2388" s="2" t="str">
        <x:v>Huyện Đất Đỏ</x:v>
      </x:c>
      <x:c r="E2388" s="2" t="str">
        <x:v>land</x:v>
      </x:c>
      <x:c r="F2388" s="2" t="str">
        <x:v>sale</x:v>
      </x:c>
      <x:c r="G2388" s="11" t="n">
        <x:v>919</x:v>
      </x:c>
      <x:c r="H2388" s="12" t="n">
        <x:v>3000000000</x:v>
      </x:c>
      <x:c r="I2388" s="12" t="n">
        <x:v>3264417.845484222</x:v>
      </x:c>
      <x:c r="J2388" s="2" t="str">
        <x:v>total</x:v>
      </x:c>
      <x:c r="K2388" s="2" t="str">
        <x:v>top_level_area</x:v>
      </x:c>
      <x:c r="L2388" s="2" t="str">
        <x:v>property_type_inferred_from_title</x:v>
      </x:c>
      <x:c r="M2388" s="10" t="n">
        <x:v>0</x:v>
      </x:c>
      <x:c r="N2388" s="10" t="n">
        <x:v>0</x:v>
      </x:c>
      <x:c r="O2388" s="2" t="str">
        <x:v>Bà Rịa - Vũng Tàu|land</x:v>
      </x:c>
      <x:c r="P2388" s="10" t="n">
        <x:v>1</x:v>
      </x:c>
      <x:c r="Q2388" s="13" t="n">
        <x:f>IF(H2388="","",H2388/1000000000)</x:f>
        <x:v>3</x:v>
      </x:c>
      <x:c r="R2388" s="13" t="n">
        <x:f>IF(I2388="","",I2388/1000000)</x:f>
        <x:v>3.2644178454842216</x:v>
      </x:c>
    </x:row>
    <x:row r="2389" ht="21" customHeight="1">
      <x:c r="A2389" s="10" t="n">
        <x:v>3388</x:v>
      </x:c>
      <x:c r="B2389" s="2" t="str">
        <x:v>0ed6e04973a8d73f4635</x:v>
      </x:c>
      <x:c r="C2389" s="2" t="str">
        <x:v>Tp Hồ Chí Minh</x:v>
      </x:c>
      <x:c r="D2389" s="2" t="str">
        <x:v>Quận 9</x:v>
      </x:c>
      <x:c r="E2389" s="2" t="str">
        <x:v>land</x:v>
      </x:c>
      <x:c r="F2389" s="2" t="str">
        <x:v>sale</x:v>
      </x:c>
      <x:c r="G2389" s="11" t="n">
        <x:v>68</x:v>
      </x:c>
      <x:c r="H2389" s="12" t="n">
        <x:v>620000000</x:v>
      </x:c>
      <x:c r="I2389" s="12" t="n">
        <x:v>9117647.05882353</x:v>
      </x:c>
      <x:c r="J2389" s="2" t="str">
        <x:v>total</x:v>
      </x:c>
      <x:c r="K2389" s="2" t="str">
        <x:v>top_level_area</x:v>
      </x:c>
      <x:c r="L2389" s="2" t="str">
        <x:v>property_type_inferred_from_title</x:v>
      </x:c>
      <x:c r="M2389" s="10" t="n">
        <x:v>0</x:v>
      </x:c>
      <x:c r="N2389" s="10" t="n">
        <x:v>0</x:v>
      </x:c>
      <x:c r="O2389" s="2" t="str">
        <x:v>Tp Hồ Chí Minh|land</x:v>
      </x:c>
      <x:c r="P2389" s="10" t="n">
        <x:v>2</x:v>
      </x:c>
      <x:c r="Q2389" s="13" t="n">
        <x:f>IF(H2389="","",H2389/1000000000)</x:f>
        <x:v>0.62</x:v>
      </x:c>
      <x:c r="R2389" s="13" t="n">
        <x:f>IF(I2389="","",I2389/1000000)</x:f>
        <x:v>9.117647058823529</x:v>
      </x:c>
    </x:row>
    <x:row r="2390" ht="21" customHeight="1">
      <x:c r="A2390" s="10" t="n">
        <x:v>3392</x:v>
      </x:c>
      <x:c r="B2390" s="2" t="str">
        <x:v>ba0415c958528efac9c2</x:v>
      </x:c>
      <x:c r="C2390" s="2" t="str">
        <x:v>Tp Hồ Chí Minh</x:v>
      </x:c>
      <x:c r="D2390" s="2" t="str">
        <x:v>Quận Bình Thạnh</x:v>
      </x:c>
      <x:c r="E2390" s="2" t="str">
        <x:v>house</x:v>
      </x:c>
      <x:c r="F2390" s="2" t="str">
        <x:v>sale</x:v>
      </x:c>
      <x:c r="G2390" s="11" t="n">
        <x:v>74.6</x:v>
      </x:c>
      <x:c r="H2390" s="12" t="n">
        <x:v>996000000</x:v>
      </x:c>
      <x:c r="I2390" s="12" t="n">
        <x:v>13351206.434316356</x:v>
      </x:c>
      <x:c r="J2390" s="2" t="str">
        <x:v>total</x:v>
      </x:c>
      <x:c r="K2390" s="2" t="str">
        <x:v>top_level_area</x:v>
      </x:c>
      <x:c r="L2390" s="2" t="str">
        <x:v>property_type_inferred_from_title</x:v>
      </x:c>
      <x:c r="M2390" s="10" t="n">
        <x:v>0</x:v>
      </x:c>
      <x:c r="N2390" s="10" t="n">
        <x:v>0</x:v>
      </x:c>
      <x:c r="O2390" s="2" t="str">
        <x:v>Tp Hồ Chí Minh|house</x:v>
      </x:c>
      <x:c r="P2390" s="10" t="n">
        <x:v>2</x:v>
      </x:c>
      <x:c r="Q2390" s="13" t="n">
        <x:f>IF(H2390="","",H2390/1000000000)</x:f>
        <x:v>0.996</x:v>
      </x:c>
      <x:c r="R2390" s="13" t="n">
        <x:f>IF(I2390="","",I2390/1000000)</x:f>
        <x:v>13.351206434316357</x:v>
      </x:c>
    </x:row>
    <x:row r="2391" ht="21" customHeight="1">
      <x:c r="A2391" s="10" t="n">
        <x:v>3393</x:v>
      </x:c>
      <x:c r="B2391" s="2" t="str">
        <x:v>232af17d31b4c80c3cda</x:v>
      </x:c>
      <x:c r="C2391" s="2" t="str">
        <x:v>Long An</x:v>
      </x:c>
      <x:c r="D2391" s="2" t="str">
        <x:v>Huyện Đức Hòa</x:v>
      </x:c>
      <x:c r="E2391" s="2" t="str">
        <x:v>land</x:v>
      </x:c>
      <x:c r="F2391" s="2" t="str">
        <x:v>sale</x:v>
      </x:c>
      <x:c r="G2391" s="11" t="n">
        <x:v>100</x:v>
      </x:c>
      <x:c r="H2391" s="12" t="n">
        <x:v>600000000</x:v>
      </x:c>
      <x:c r="I2391" s="12" t="n">
        <x:v>6000000</x:v>
      </x:c>
      <x:c r="J2391" s="2" t="str">
        <x:v>total</x:v>
      </x:c>
      <x:c r="K2391" s="2" t="str">
        <x:v>top_level_area</x:v>
      </x:c>
      <x:c r="L2391" s="2" t="str">
        <x:v>property_type_inferred_from_title</x:v>
      </x:c>
      <x:c r="M2391" s="10" t="n">
        <x:v>0</x:v>
      </x:c>
      <x:c r="N2391" s="10" t="n">
        <x:v>0</x:v>
      </x:c>
      <x:c r="O2391" s="2" t="str">
        <x:v>Long An|land</x:v>
      </x:c>
      <x:c r="P2391" s="10" t="n">
        <x:v>2</x:v>
      </x:c>
      <x:c r="Q2391" s="13" t="n">
        <x:f>IF(H2391="","",H2391/1000000000)</x:f>
        <x:v>0.6</x:v>
      </x:c>
      <x:c r="R2391" s="13" t="n">
        <x:f>IF(I2391="","",I2391/1000000)</x:f>
        <x:v>6</x:v>
      </x:c>
    </x:row>
    <x:row r="2392" ht="21" customHeight="1">
      <x:c r="A2392" s="10" t="n">
        <x:v>3394</x:v>
      </x:c>
      <x:c r="B2392" s="2" t="str">
        <x:v>13dd3d9f70fef37c65d1</x:v>
      </x:c>
      <x:c r="C2392" s="2" t="str">
        <x:v>Bình Dương</x:v>
      </x:c>
      <x:c r="D2392" s="2" t="str">
        <x:v>Thị xã Thuận An</x:v>
      </x:c>
      <x:c r="E2392" s="2" t="str">
        <x:v>house</x:v>
      </x:c>
      <x:c r="F2392" s="2" t="str">
        <x:v>sale</x:v>
      </x:c>
      <x:c r="G2392" s="11" t="n">
        <x:v>147</x:v>
      </x:c>
      <x:c r="H2392" s="12" t="n">
        <x:v>3600000000</x:v>
      </x:c>
      <x:c r="I2392" s="12" t="n">
        <x:v>24489795.91836735</x:v>
      </x:c>
      <x:c r="J2392" s="2" t="str">
        <x:v>total</x:v>
      </x:c>
      <x:c r="K2392" s="2" t="str">
        <x:v>top_level_area</x:v>
      </x:c>
      <x:c r="L2392" s="2" t="str">
        <x:v>property_type_inferred_from_title</x:v>
      </x:c>
      <x:c r="M2392" s="10" t="n">
        <x:v>0</x:v>
      </x:c>
      <x:c r="N2392" s="10" t="n">
        <x:v>0</x:v>
      </x:c>
      <x:c r="O2392" s="2" t="str">
        <x:v>Bình Dương|house</x:v>
      </x:c>
      <x:c r="P2392" s="10" t="n">
        <x:v>2</x:v>
      </x:c>
      <x:c r="Q2392" s="13" t="n">
        <x:f>IF(H2392="","",H2392/1000000000)</x:f>
        <x:v>3.6</x:v>
      </x:c>
      <x:c r="R2392" s="13" t="n">
        <x:f>IF(I2392="","",I2392/1000000)</x:f>
        <x:v>24.48979591836735</x:v>
      </x:c>
    </x:row>
    <x:row r="2393" ht="21" customHeight="1">
      <x:c r="A2393" s="10" t="n">
        <x:v>3395</x:v>
      </x:c>
      <x:c r="B2393" s="2" t="str">
        <x:v>6421d1e7a641a7b79dbc</x:v>
      </x:c>
      <x:c r="C2393" s="2" t="str">
        <x:v>Long An</x:v>
      </x:c>
      <x:c r="D2393" s="2" t="str">
        <x:v>Huyện Đức Hòa</x:v>
      </x:c>
      <x:c r="E2393" s="2" t="str">
        <x:v>land</x:v>
      </x:c>
      <x:c r="F2393" s="2" t="str">
        <x:v>sale</x:v>
      </x:c>
      <x:c r="G2393" s="11" t="n">
        <x:v>81</x:v>
      </x:c>
      <x:c r="H2393" s="12" t="n">
        <x:v>420000000</x:v>
      </x:c>
      <x:c r="I2393" s="12" t="n">
        <x:v>5185185.185185186</x:v>
      </x:c>
      <x:c r="J2393" s="2" t="str">
        <x:v>total</x:v>
      </x:c>
      <x:c r="K2393" s="2" t="str">
        <x:v>top_level_area</x:v>
      </x:c>
      <x:c r="L2393" s="2" t="str">
        <x:v>property_type_inferred_from_title</x:v>
      </x:c>
      <x:c r="M2393" s="10" t="n">
        <x:v>0</x:v>
      </x:c>
      <x:c r="N2393" s="10" t="n">
        <x:v>0</x:v>
      </x:c>
      <x:c r="O2393" s="2" t="str">
        <x:v>Long An|land</x:v>
      </x:c>
      <x:c r="P2393" s="10" t="n">
        <x:v>2</x:v>
      </x:c>
      <x:c r="Q2393" s="13" t="n">
        <x:f>IF(H2393="","",H2393/1000000000)</x:f>
        <x:v>0.42</x:v>
      </x:c>
      <x:c r="R2393" s="13" t="n">
        <x:f>IF(I2393="","",I2393/1000000)</x:f>
        <x:v>5.185185185185186</x:v>
      </x:c>
    </x:row>
    <x:row r="2394" ht="21" customHeight="1">
      <x:c r="A2394" s="10" t="n">
        <x:v>3396</x:v>
      </x:c>
      <x:c r="B2394" s="2" t="str">
        <x:v>7f970869c51e44968ee3</x:v>
      </x:c>
      <x:c r="C2394" s="2" t="str">
        <x:v>Đà Nẵng</x:v>
      </x:c>
      <x:c r="D2394" s="2" t="str">
        <x:v>Quận Cẩm Lệ</x:v>
      </x:c>
      <x:c r="E2394" s="2" t="str">
        <x:v>land</x:v>
      </x:c>
      <x:c r="F2394" s="2" t="str">
        <x:v>sale</x:v>
      </x:c>
      <x:c r="G2394" s="11" t="n">
        <x:v>100</x:v>
      </x:c>
      <x:c r="H2394" s="12" t="n">
        <x:v>2650000000</x:v>
      </x:c>
      <x:c r="I2394" s="12" t="n">
        <x:v>26500000</x:v>
      </x:c>
      <x:c r="J2394" s="2" t="str">
        <x:v>total</x:v>
      </x:c>
      <x:c r="K2394" s="2" t="str">
        <x:v>top_level_area</x:v>
      </x:c>
      <x:c r="L2394" s="2" t="str">
        <x:v>property_type_inferred_from_title</x:v>
      </x:c>
      <x:c r="M2394" s="10" t="n">
        <x:v>0</x:v>
      </x:c>
      <x:c r="N2394" s="10" t="n">
        <x:v>0</x:v>
      </x:c>
      <x:c r="O2394" s="2" t="str">
        <x:v>Đà Nẵng|land</x:v>
      </x:c>
      <x:c r="P2394" s="10" t="n">
        <x:v>2</x:v>
      </x:c>
      <x:c r="Q2394" s="13" t="n">
        <x:f>IF(H2394="","",H2394/1000000000)</x:f>
        <x:v>2.65</x:v>
      </x:c>
      <x:c r="R2394" s="13" t="n">
        <x:f>IF(I2394="","",I2394/1000000)</x:f>
        <x:v>26.5</x:v>
      </x:c>
    </x:row>
    <x:row r="2395" ht="21" customHeight="1">
      <x:c r="A2395" s="10" t="n">
        <x:v>3397</x:v>
      </x:c>
      <x:c r="B2395" s="2" t="str">
        <x:v>effcc652355ec70d4e29</x:v>
      </x:c>
      <x:c r="C2395" s="2" t="str">
        <x:v>Tp Hồ Chí Minh</x:v>
      </x:c>
      <x:c r="D2395" s="2" t="str">
        <x:v>Quận Bình Tân</x:v>
      </x:c>
      <x:c r="E2395" s="2" t="str">
        <x:v>land</x:v>
      </x:c>
      <x:c r="F2395" s="2" t="str">
        <x:v>sale_assumed</x:v>
      </x:c>
      <x:c r="G2395" s="11" t="n">
        <x:v>84</x:v>
      </x:c>
      <x:c r="H2395" s="12" t="n">
        <x:v>2690000000</x:v>
      </x:c>
      <x:c r="I2395" s="12" t="n">
        <x:v>32023809.523809522</x:v>
      </x:c>
      <x:c r="J2395" s="2" t="str">
        <x:v>total</x:v>
      </x:c>
      <x:c r="K2395" s="2" t="str">
        <x:v>top_level_area</x:v>
      </x:c>
      <x:c r="L2395" s="2" t="str">
        <x:v>property_type_inferred_from_title;transaction_assumed_sale_from_dataset_context</x:v>
      </x:c>
      <x:c r="M2395" s="10" t="n">
        <x:v>0</x:v>
      </x:c>
      <x:c r="N2395" s="10" t="n">
        <x:v>0</x:v>
      </x:c>
      <x:c r="O2395" s="2" t="str">
        <x:v>Tp Hồ Chí Minh|land</x:v>
      </x:c>
      <x:c r="P2395" s="10" t="n">
        <x:v>2</x:v>
      </x:c>
      <x:c r="Q2395" s="13" t="n">
        <x:f>IF(H2395="","",H2395/1000000000)</x:f>
        <x:v>2.69</x:v>
      </x:c>
      <x:c r="R2395" s="13" t="n">
        <x:f>IF(I2395="","",I2395/1000000)</x:f>
        <x:v>32.023809523809526</x:v>
      </x:c>
    </x:row>
    <x:row r="2396" ht="21" customHeight="1">
      <x:c r="A2396" s="10" t="n">
        <x:v>3398</x:v>
      </x:c>
      <x:c r="B2396" s="2" t="str">
        <x:v>4ae152536c22621ca5ae</x:v>
      </x:c>
      <x:c r="C2396" s="2" t="str">
        <x:v>Tp Hồ Chí Minh</x:v>
      </x:c>
      <x:c r="D2396" s="2" t="str">
        <x:v>Huyện Bình Chánh</x:v>
      </x:c>
      <x:c r="E2396" s="2" t="str">
        <x:v>land</x:v>
      </x:c>
      <x:c r="F2396" s="2" t="str">
        <x:v>sale</x:v>
      </x:c>
      <x:c r="G2396" s="11" t="n">
        <x:v>130</x:v>
      </x:c>
      <x:c r="H2396" s="12" t="n">
        <x:v>1890000000</x:v>
      </x:c>
      <x:c r="I2396" s="12" t="n">
        <x:v>14538461.538461538</x:v>
      </x:c>
      <x:c r="J2396" s="2" t="str">
        <x:v>total</x:v>
      </x:c>
      <x:c r="K2396" s="2" t="str">
        <x:v>top_level_area</x:v>
      </x:c>
      <x:c r="L2396" s="2" t="str">
        <x:v>property_type_inferred_from_title</x:v>
      </x:c>
      <x:c r="M2396" s="10" t="n">
        <x:v>0</x:v>
      </x:c>
      <x:c r="N2396" s="10" t="n">
        <x:v>0</x:v>
      </x:c>
      <x:c r="O2396" s="2" t="str">
        <x:v>Tp Hồ Chí Minh|land</x:v>
      </x:c>
      <x:c r="P2396" s="10" t="n">
        <x:v>2</x:v>
      </x:c>
      <x:c r="Q2396" s="13" t="n">
        <x:f>IF(H2396="","",H2396/1000000000)</x:f>
        <x:v>1.89</x:v>
      </x:c>
      <x:c r="R2396" s="13" t="n">
        <x:f>IF(I2396="","",I2396/1000000)</x:f>
        <x:v>14.538461538461538</x:v>
      </x:c>
    </x:row>
    <x:row r="2397" ht="21" customHeight="1">
      <x:c r="A2397" s="10" t="n">
        <x:v>3399</x:v>
      </x:c>
      <x:c r="B2397" s="2" t="str">
        <x:v>7040e413bd61d7117972</x:v>
      </x:c>
      <x:c r="C2397" s="2" t="str">
        <x:v>Đồng Nai</x:v>
      </x:c>
      <x:c r="D2397" s="2" t="str">
        <x:v>Thành phố Biên Hòa</x:v>
      </x:c>
      <x:c r="E2397" s="2" t="str">
        <x:v>land</x:v>
      </x:c>
      <x:c r="F2397" s="2" t="str">
        <x:v>sale</x:v>
      </x:c>
      <x:c r="G2397" s="11" t="n">
        <x:v>100</x:v>
      </x:c>
      <x:c r="H2397" s="12" t="n">
        <x:v>370000000</x:v>
      </x:c>
      <x:c r="I2397" s="12" t="n">
        <x:v>3700000</x:v>
      </x:c>
      <x:c r="J2397" s="2" t="str">
        <x:v>total</x:v>
      </x:c>
      <x:c r="K2397" s="2" t="str">
        <x:v>top_level_area</x:v>
      </x:c>
      <x:c r="L2397" s="2" t="str">
        <x:v>property_type_inferred_from_title</x:v>
      </x:c>
      <x:c r="M2397" s="10" t="n">
        <x:v>0</x:v>
      </x:c>
      <x:c r="N2397" s="10" t="n">
        <x:v>0</x:v>
      </x:c>
      <x:c r="O2397" s="2" t="str">
        <x:v>Đồng Nai|land</x:v>
      </x:c>
      <x:c r="P2397" s="10" t="n">
        <x:v>2</x:v>
      </x:c>
      <x:c r="Q2397" s="13" t="n">
        <x:f>IF(H2397="","",H2397/1000000000)</x:f>
        <x:v>0.37</x:v>
      </x:c>
      <x:c r="R2397" s="13" t="n">
        <x:f>IF(I2397="","",I2397/1000000)</x:f>
        <x:v>3.7</x:v>
      </x:c>
    </x:row>
    <x:row r="2398" ht="21" customHeight="1">
      <x:c r="A2398" s="10" t="n">
        <x:v>3400</x:v>
      </x:c>
      <x:c r="B2398" s="2" t="str">
        <x:v>8a3af4ca098e59be400f</x:v>
      </x:c>
      <x:c r="C2398" s="2" t="str">
        <x:v>Tp Hồ Chí Minh</x:v>
      </x:c>
      <x:c r="D2398" s="2" t="str">
        <x:v>Quận Phú Nhuận</x:v>
      </x:c>
      <x:c r="E2398" s="2" t="str">
        <x:v>house</x:v>
      </x:c>
      <x:c r="F2398" s="2" t="str">
        <x:v>sale</x:v>
      </x:c>
      <x:c r="G2398" s="11" t="n">
        <x:v>88</x:v>
      </x:c>
      <x:c r="H2398" s="12" t="n">
        <x:v>1800000000</x:v>
      </x:c>
      <x:c r="I2398" s="12" t="n">
        <x:v>20454545.454545453</x:v>
      </x:c>
      <x:c r="J2398" s="2" t="str">
        <x:v>total</x:v>
      </x:c>
      <x:c r="K2398" s="2" t="str">
        <x:v>top_level_area</x:v>
      </x:c>
      <x:c r="L2398" s="2" t="str">
        <x:v>property_type_inferred_from_title</x:v>
      </x:c>
      <x:c r="M2398" s="10" t="n">
        <x:v>0</x:v>
      </x:c>
      <x:c r="N2398" s="10" t="n">
        <x:v>0</x:v>
      </x:c>
      <x:c r="O2398" s="2" t="str">
        <x:v>Tp Hồ Chí Minh|house</x:v>
      </x:c>
      <x:c r="P2398" s="10" t="n">
        <x:v>2</x:v>
      </x:c>
      <x:c r="Q2398" s="13" t="n">
        <x:f>IF(H2398="","",H2398/1000000000)</x:f>
        <x:v>1.8</x:v>
      </x:c>
      <x:c r="R2398" s="13" t="n">
        <x:f>IF(I2398="","",I2398/1000000)</x:f>
        <x:v>20.454545454545453</x:v>
      </x:c>
    </x:row>
    <x:row r="2399" ht="21" customHeight="1">
      <x:c r="A2399" s="10" t="n">
        <x:v>3401</x:v>
      </x:c>
      <x:c r="B2399" s="2" t="str">
        <x:v>f5c52a50626a7b15c000</x:v>
      </x:c>
      <x:c r="C2399" s="2" t="str">
        <x:v>Tp Hồ Chí Minh</x:v>
      </x:c>
      <x:c r="D2399" s="2" t="str">
        <x:v>Huyện Hóc Môn</x:v>
      </x:c>
      <x:c r="E2399" s="2" t="str">
        <x:v>land</x:v>
      </x:c>
      <x:c r="F2399" s="2" t="str">
        <x:v>sale_assumed</x:v>
      </x:c>
      <x:c r="G2399" s="11" t="n">
        <x:v>100</x:v>
      </x:c>
      <x:c r="H2399" s="12" t="n">
        <x:v>450000000</x:v>
      </x:c>
      <x:c r="I2399" s="12" t="n">
        <x:v>4500000</x:v>
      </x:c>
      <x:c r="J2399" s="2" t="str">
        <x:v>total</x:v>
      </x:c>
      <x:c r="K2399" s="2" t="str">
        <x:v>top_level_area</x:v>
      </x:c>
      <x:c r="L2399" s="2" t="str">
        <x:v>property_type_inferred_from_title;transaction_assumed_sale_from_dataset_context</x:v>
      </x:c>
      <x:c r="M2399" s="10" t="n">
        <x:v>0</x:v>
      </x:c>
      <x:c r="N2399" s="10" t="n">
        <x:v>0</x:v>
      </x:c>
      <x:c r="O2399" s="2" t="str">
        <x:v>Tp Hồ Chí Minh|land</x:v>
      </x:c>
      <x:c r="P2399" s="10" t="n">
        <x:v>2</x:v>
      </x:c>
      <x:c r="Q2399" s="13" t="n">
        <x:f>IF(H2399="","",H2399/1000000000)</x:f>
        <x:v>0.45</x:v>
      </x:c>
      <x:c r="R2399" s="13" t="n">
        <x:f>IF(I2399="","",I2399/1000000)</x:f>
        <x:v>4.5</x:v>
      </x:c>
    </x:row>
    <x:row r="2400" ht="21" customHeight="1">
      <x:c r="A2400" s="10" t="n">
        <x:v>3402</x:v>
      </x:c>
      <x:c r="B2400" s="2" t="str">
        <x:v>2b7e14efa683cbd4e99a</x:v>
      </x:c>
      <x:c r="C2400" s="2" t="str">
        <x:v>Cần Thơ</x:v>
      </x:c>
      <x:c r="D2400" s="2" t="str">
        <x:v>Quận Cái Răng</x:v>
      </x:c>
      <x:c r="E2400" s="2" t="str">
        <x:v>land</x:v>
      </x:c>
      <x:c r="F2400" s="2" t="str">
        <x:v>sale_assumed</x:v>
      </x:c>
      <x:c r="G2400" s="11" t="n">
        <x:v>80</x:v>
      </x:c>
      <x:c r="H2400" s="12" t="n">
        <x:v>568000000</x:v>
      </x:c>
      <x:c r="I2400" s="12" t="n">
        <x:v>7100000</x:v>
      </x:c>
      <x:c r="J2400" s="2" t="str">
        <x:v>total</x:v>
      </x:c>
      <x:c r="K2400" s="2" t="str">
        <x:v>top_level_area</x:v>
      </x:c>
      <x:c r="L2400" s="2" t="str">
        <x:v>property_type_inferred_from_title;transaction_assumed_sale_from_dataset_context</x:v>
      </x:c>
      <x:c r="M2400" s="10" t="n">
        <x:v>0</x:v>
      </x:c>
      <x:c r="N2400" s="10" t="n">
        <x:v>0</x:v>
      </x:c>
      <x:c r="O2400" s="2" t="str">
        <x:v>Cần Thơ|land</x:v>
      </x:c>
      <x:c r="P2400" s="10" t="n">
        <x:v>2</x:v>
      </x:c>
      <x:c r="Q2400" s="13" t="n">
        <x:f>IF(H2400="","",H2400/1000000000)</x:f>
        <x:v>0.568</x:v>
      </x:c>
      <x:c r="R2400" s="13" t="n">
        <x:f>IF(I2400="","",I2400/1000000)</x:f>
        <x:v>7.1</x:v>
      </x:c>
    </x:row>
    <x:row r="2401" ht="21" customHeight="1">
      <x:c r="A2401" s="10" t="n">
        <x:v>3403</x:v>
      </x:c>
      <x:c r="B2401" s="2" t="str">
        <x:v>375f56e2cc529f5aa8e8</x:v>
      </x:c>
      <x:c r="C2401" s="2" t="str">
        <x:v>Tp Hồ Chí Minh</x:v>
      </x:c>
      <x:c r="D2401" s="2" t="str">
        <x:v>Quận Thủ Đức</x:v>
      </x:c>
      <x:c r="E2401" s="2" t="str">
        <x:v>house</x:v>
      </x:c>
      <x:c r="F2401" s="2" t="str">
        <x:v>sale</x:v>
      </x:c>
      <x:c r="G2401" s="11" t="n">
        <x:v>36</x:v>
      </x:c>
      <x:c r="H2401" s="12" t="n">
        <x:v>1500000000</x:v>
      </x:c>
      <x:c r="I2401" s="12" t="n">
        <x:v>41666666.666666664</x:v>
      </x:c>
      <x:c r="J2401" s="2" t="str">
        <x:v>total</x:v>
      </x:c>
      <x:c r="K2401" s="2" t="str">
        <x:v>top_level_area</x:v>
      </x:c>
      <x:c r="L2401" s="2" t="str">
        <x:v>property_type_inferred_from_title</x:v>
      </x:c>
      <x:c r="M2401" s="10" t="n">
        <x:v>0</x:v>
      </x:c>
      <x:c r="N2401" s="10" t="n">
        <x:v>0</x:v>
      </x:c>
      <x:c r="O2401" s="2" t="str">
        <x:v>Tp Hồ Chí Minh|house</x:v>
      </x:c>
      <x:c r="P2401" s="10" t="n">
        <x:v>2</x:v>
      </x:c>
      <x:c r="Q2401" s="13" t="n">
        <x:f>IF(H2401="","",H2401/1000000000)</x:f>
        <x:v>1.5</x:v>
      </x:c>
      <x:c r="R2401" s="13" t="n">
        <x:f>IF(I2401="","",I2401/1000000)</x:f>
        <x:v>41.666666666666664</x:v>
      </x:c>
    </x:row>
    <x:row r="2402" ht="21" customHeight="1">
      <x:c r="A2402" s="10" t="n">
        <x:v>3404</x:v>
      </x:c>
      <x:c r="B2402" s="2" t="str">
        <x:v>1e856f9577efaeaade66</x:v>
      </x:c>
      <x:c r="C2402" s="2" t="str">
        <x:v>Cần Thơ</x:v>
      </x:c>
      <x:c r="D2402" s="2" t="str">
        <x:v>Quận Ninh Kiều</x:v>
      </x:c>
      <x:c r="E2402" s="2" t="str">
        <x:v>house</x:v>
      </x:c>
      <x:c r="F2402" s="2" t="str">
        <x:v>sale_assumed</x:v>
      </x:c>
      <x:c r="G2402" s="11" t="n">
        <x:v>95</x:v>
      </x:c>
      <x:c r="H2402" s="12" t="n">
        <x:v>3190000000</x:v>
      </x:c>
      <x:c r="I2402" s="12" t="n">
        <x:v>33578947.368421055</x:v>
      </x:c>
      <x:c r="J2402" s="2" t="str">
        <x:v>total</x:v>
      </x:c>
      <x:c r="K2402" s="2" t="str">
        <x:v>top_level_area</x:v>
      </x:c>
      <x:c r="L2402" s="2" t="str">
        <x:v>property_type_inferred_from_title;transaction_assumed_sale_from_dataset_context</x:v>
      </x:c>
      <x:c r="M2402" s="10" t="n">
        <x:v>0</x:v>
      </x:c>
      <x:c r="N2402" s="10" t="n">
        <x:v>0</x:v>
      </x:c>
      <x:c r="O2402" s="2" t="str">
        <x:v>Cần Thơ|house</x:v>
      </x:c>
      <x:c r="P2402" s="10" t="n">
        <x:v>2</x:v>
      </x:c>
      <x:c r="Q2402" s="13" t="n">
        <x:f>IF(H2402="","",H2402/1000000000)</x:f>
        <x:v>3.19</x:v>
      </x:c>
      <x:c r="R2402" s="13" t="n">
        <x:f>IF(I2402="","",I2402/1000000)</x:f>
        <x:v>33.578947368421055</x:v>
      </x:c>
    </x:row>
    <x:row r="2403" ht="21" customHeight="1">
      <x:c r="A2403" s="10" t="n">
        <x:v>3405</x:v>
      </x:c>
      <x:c r="B2403" s="2" t="str">
        <x:v>71be75d1fcaf1ef1c239</x:v>
      </x:c>
      <x:c r="C2403" s="2" t="str">
        <x:v>Tp Hồ Chí Minh</x:v>
      </x:c>
      <x:c r="D2403" s="2" t="str">
        <x:v>Huyện Hóc Môn</x:v>
      </x:c>
      <x:c r="E2403" s="2" t="str">
        <x:v>house</x:v>
      </x:c>
      <x:c r="F2403" s="2" t="str">
        <x:v>sale</x:v>
      </x:c>
      <x:c r="G2403" s="11" t="n">
        <x:v>21</x:v>
      </x:c>
      <x:c r="H2403" s="12" t="n">
        <x:v>789000000</x:v>
      </x:c>
      <x:c r="I2403" s="12" t="n">
        <x:v>37571428.571428575</x:v>
      </x:c>
      <x:c r="J2403" s="2" t="str">
        <x:v>total</x:v>
      </x:c>
      <x:c r="K2403" s="2" t="str">
        <x:v>top_level_area</x:v>
      </x:c>
      <x:c r="L2403" s="2" t="str">
        <x:v>property_type_inferred_from_title</x:v>
      </x:c>
      <x:c r="M2403" s="10" t="n">
        <x:v>0</x:v>
      </x:c>
      <x:c r="N2403" s="10" t="n">
        <x:v>0</x:v>
      </x:c>
      <x:c r="O2403" s="2" t="str">
        <x:v>Tp Hồ Chí Minh|house</x:v>
      </x:c>
      <x:c r="P2403" s="10" t="n">
        <x:v>2</x:v>
      </x:c>
      <x:c r="Q2403" s="13" t="n">
        <x:f>IF(H2403="","",H2403/1000000000)</x:f>
        <x:v>0.789</x:v>
      </x:c>
      <x:c r="R2403" s="13" t="n">
        <x:f>IF(I2403="","",I2403/1000000)</x:f>
        <x:v>37.57142857142858</x:v>
      </x:c>
    </x:row>
    <x:row r="2404" ht="21" customHeight="1">
      <x:c r="A2404" s="10" t="n">
        <x:v>3406</x:v>
      </x:c>
      <x:c r="B2404" s="2" t="str">
        <x:v>fc0d255468a204aa6229</x:v>
      </x:c>
      <x:c r="C2404" s="2" t="str">
        <x:v>Tp Hồ Chí Minh</x:v>
      </x:c>
      <x:c r="D2404" s="2" t="str">
        <x:v>Huyện Hóc Môn</x:v>
      </x:c>
      <x:c r="E2404" s="2" t="str">
        <x:v>other_unknown</x:v>
      </x:c>
      <x:c r="F2404" s="2" t="str">
        <x:v>sale_assumed</x:v>
      </x:c>
      <x:c r="G2404" s="11" t="n">
        <x:v>72</x:v>
      </x:c>
      <x:c r="H2404" s="12" t="n">
        <x:v>4300000000</x:v>
      </x:c>
      <x:c r="I2404" s="12" t="n">
        <x:v>59722222.222222224</x:v>
      </x:c>
      <x:c r="J2404" s="2" t="str">
        <x:v>total</x:v>
      </x:c>
      <x:c r="K2404" s="2" t="str">
        <x:v>top_level_area</x:v>
      </x:c>
      <x:c r="L2404" s="2" t="str">
        <x:v>property_type_inferred_from_title;transaction_assumed_sale_from_dataset_context;unknown_property_type</x:v>
      </x:c>
      <x:c r="M2404" s="10" t="n">
        <x:v>0</x:v>
      </x:c>
      <x:c r="N2404" s="10" t="n">
        <x:v>0</x:v>
      </x:c>
      <x:c r="O2404" s="2" t="str">
        <x:v>Tp Hồ Chí Minh|other_unknown</x:v>
      </x:c>
      <x:c r="P2404" s="10" t="n">
        <x:v>2</x:v>
      </x:c>
      <x:c r="Q2404" s="13" t="n">
        <x:f>IF(H2404="","",H2404/1000000000)</x:f>
        <x:v>4.3</x:v>
      </x:c>
      <x:c r="R2404" s="13" t="n">
        <x:f>IF(I2404="","",I2404/1000000)</x:f>
        <x:v>59.72222222222222</x:v>
      </x:c>
    </x:row>
    <x:row r="2405" ht="21" customHeight="1">
      <x:c r="A2405" s="10" t="n">
        <x:v>3407</x:v>
      </x:c>
      <x:c r="B2405" s="2" t="str">
        <x:v>2ab71ee065207363297c</x:v>
      </x:c>
      <x:c r="C2405" s="2" t="str">
        <x:v>Tp Hồ Chí Minh</x:v>
      </x:c>
      <x:c r="D2405" s="2" t="str">
        <x:v>Quận Gò Vấp</x:v>
      </x:c>
      <x:c r="E2405" s="2" t="str">
        <x:v>house</x:v>
      </x:c>
      <x:c r="F2405" s="2" t="str">
        <x:v>sale_assumed</x:v>
      </x:c>
      <x:c r="G2405" s="11" t="n">
        <x:v>55</x:v>
      </x:c>
      <x:c r="H2405" s="12" t="n">
        <x:v>835000000</x:v>
      </x:c>
      <x:c r="I2405" s="12" t="n">
        <x:v>15181818.181818182</x:v>
      </x:c>
      <x:c r="J2405" s="2" t="str">
        <x:v>total</x:v>
      </x:c>
      <x:c r="K2405" s="2" t="str">
        <x:v>top_level_area</x:v>
      </x:c>
      <x:c r="L2405" s="2" t="str">
        <x:v>property_type_inferred_from_title;transaction_assumed_sale_from_dataset_context</x:v>
      </x:c>
      <x:c r="M2405" s="10" t="n">
        <x:v>0</x:v>
      </x:c>
      <x:c r="N2405" s="10" t="n">
        <x:v>0</x:v>
      </x:c>
      <x:c r="O2405" s="2" t="str">
        <x:v>Tp Hồ Chí Minh|house</x:v>
      </x:c>
      <x:c r="P2405" s="10" t="n">
        <x:v>2</x:v>
      </x:c>
      <x:c r="Q2405" s="13" t="n">
        <x:f>IF(H2405="","",H2405/1000000000)</x:f>
        <x:v>0.835</x:v>
      </x:c>
      <x:c r="R2405" s="13" t="n">
        <x:f>IF(I2405="","",I2405/1000000)</x:f>
        <x:v>15.181818181818182</x:v>
      </x:c>
    </x:row>
    <x:row r="2406" ht="21" customHeight="1">
      <x:c r="A2406" s="10" t="n">
        <x:v>3408</x:v>
      </x:c>
      <x:c r="B2406" s="2" t="str">
        <x:v>5338e2183eff671bcf94</x:v>
      </x:c>
      <x:c r="C2406" s="2" t="str">
        <x:v>Tp Hồ Chí Minh</x:v>
      </x:c>
      <x:c r="D2406" s="2" t="str">
        <x:v>Huyện Hóc Môn</x:v>
      </x:c>
      <x:c r="E2406" s="2" t="str">
        <x:v>house</x:v>
      </x:c>
      <x:c r="F2406" s="2" t="str">
        <x:v>sale_assumed</x:v>
      </x:c>
      <x:c r="G2406" s="11" t="n">
        <x:v>125</x:v>
      </x:c>
      <x:c r="H2406" s="12" t="n">
        <x:v>3750000000</x:v>
      </x:c>
      <x:c r="I2406" s="12" t="n">
        <x:v>30000000</x:v>
      </x:c>
      <x:c r="J2406" s="2" t="str">
        <x:v>total</x:v>
      </x:c>
      <x:c r="K2406" s="2" t="str">
        <x:v>top_level_area</x:v>
      </x:c>
      <x:c r="L2406" s="2" t="str">
        <x:v>property_type_inferred_from_title;transaction_assumed_sale_from_dataset_context</x:v>
      </x:c>
      <x:c r="M2406" s="10" t="n">
        <x:v>0</x:v>
      </x:c>
      <x:c r="N2406" s="10" t="n">
        <x:v>0</x:v>
      </x:c>
      <x:c r="O2406" s="2" t="str">
        <x:v>Tp Hồ Chí Minh|house</x:v>
      </x:c>
      <x:c r="P2406" s="10" t="n">
        <x:v>2</x:v>
      </x:c>
      <x:c r="Q2406" s="13" t="n">
        <x:f>IF(H2406="","",H2406/1000000000)</x:f>
        <x:v>3.75</x:v>
      </x:c>
      <x:c r="R2406" s="13" t="n">
        <x:f>IF(I2406="","",I2406/1000000)</x:f>
        <x:v>30</x:v>
      </x:c>
    </x:row>
    <x:row r="2407" ht="21" customHeight="1">
      <x:c r="A2407" s="10" t="n">
        <x:v>3409</x:v>
      </x:c>
      <x:c r="B2407" s="2" t="str">
        <x:v>d0944a55b6699c45ad4c</x:v>
      </x:c>
      <x:c r="C2407" s="2" t="str">
        <x:v>Đắk Lắk</x:v>
      </x:c>
      <x:c r="D2407" s="2" t="str">
        <x:v>Thành phố Buôn Ma Thuột</x:v>
      </x:c>
      <x:c r="E2407" s="2" t="str">
        <x:v>house</x:v>
      </x:c>
      <x:c r="F2407" s="2" t="str">
        <x:v>sale</x:v>
      </x:c>
      <x:c r="G2407" s="11" t="n">
        <x:v>79.03</x:v>
      </x:c>
      <x:c r="H2407" s="12" t="n">
        <x:v>1800000000</x:v>
      </x:c>
      <x:c r="I2407" s="12" t="n">
        <x:v>22776160.95153739</x:v>
      </x:c>
      <x:c r="J2407" s="2" t="str">
        <x:v>total</x:v>
      </x:c>
      <x:c r="K2407" s="2" t="str">
        <x:v>top_level_area</x:v>
      </x:c>
      <x:c r="L2407" s="2" t="str">
        <x:v>property_type_inferred_from_title</x:v>
      </x:c>
      <x:c r="M2407" s="10" t="n">
        <x:v>0</x:v>
      </x:c>
      <x:c r="N2407" s="10" t="n">
        <x:v>0</x:v>
      </x:c>
      <x:c r="O2407" s="2" t="str">
        <x:v>Đắk Lắk|house</x:v>
      </x:c>
      <x:c r="P2407" s="10" t="n">
        <x:v>2</x:v>
      </x:c>
      <x:c r="Q2407" s="13" t="n">
        <x:f>IF(H2407="","",H2407/1000000000)</x:f>
        <x:v>1.8</x:v>
      </x:c>
      <x:c r="R2407" s="13" t="n">
        <x:f>IF(I2407="","",I2407/1000000)</x:f>
        <x:v>22.77616095153739</x:v>
      </x:c>
    </x:row>
    <x:row r="2408" ht="21" customHeight="1">
      <x:c r="A2408" s="10" t="n">
        <x:v>3410</x:v>
      </x:c>
      <x:c r="B2408" s="2" t="str">
        <x:v>6734609e02277e58ad21</x:v>
      </x:c>
      <x:c r="C2408" s="2" t="str">
        <x:v>Bình Dương</x:v>
      </x:c>
      <x:c r="D2408" s="2" t="str">
        <x:v>Huyện Phú Giáo</x:v>
      </x:c>
      <x:c r="E2408" s="2" t="str">
        <x:v>land</x:v>
      </x:c>
      <x:c r="F2408" s="2" t="str">
        <x:v>sale_assumed</x:v>
      </x:c>
      <x:c r="G2408" s="11" t="n">
        <x:v>3000</x:v>
      </x:c>
      <x:c r="H2408" s="12" t="n">
        <x:v>450000000</x:v>
      </x:c>
      <x:c r="I2408" s="12" t="n">
        <x:v>150000</x:v>
      </x:c>
      <x:c r="J2408" s="2" t="str">
        <x:v>total</x:v>
      </x:c>
      <x:c r="K2408" s="2" t="str">
        <x:v>top_level_area</x:v>
      </x:c>
      <x:c r="L2408" s="2" t="str">
        <x:v>dot_thousands_convention;property_type_inferred_from_title;transaction_assumed_sale_from_dataset_context</x:v>
      </x:c>
      <x:c r="M2408" s="10" t="n">
        <x:v>0</x:v>
      </x:c>
      <x:c r="N2408" s="10" t="n">
        <x:v>0</x:v>
      </x:c>
      <x:c r="O2408" s="2" t="str">
        <x:v>Bình Dương|land</x:v>
      </x:c>
      <x:c r="P2408" s="10" t="n">
        <x:v>1</x:v>
      </x:c>
      <x:c r="Q2408" s="13" t="n">
        <x:f>IF(H2408="","",H2408/1000000000)</x:f>
        <x:v>0.45</x:v>
      </x:c>
      <x:c r="R2408" s="13" t="n">
        <x:f>IF(I2408="","",I2408/1000000)</x:f>
        <x:v>0.15</x:v>
      </x:c>
    </x:row>
    <x:row r="2409" ht="21" customHeight="1">
      <x:c r="A2409" s="10" t="n">
        <x:v>3411</x:v>
      </x:c>
      <x:c r="B2409" s="2" t="str">
        <x:v>34c38a3b0dc1a101a0bf</x:v>
      </x:c>
      <x:c r="C2409" s="2" t="str">
        <x:v>Tp Hồ Chí Minh</x:v>
      </x:c>
      <x:c r="D2409" s="2" t="str">
        <x:v>Quận Bình Tân</x:v>
      </x:c>
      <x:c r="E2409" s="2" t="str">
        <x:v>house</x:v>
      </x:c>
      <x:c r="F2409" s="2" t="str">
        <x:v>sale_assumed</x:v>
      </x:c>
      <x:c r="G2409" s="11" t="n">
        <x:v>210</x:v>
      </x:c>
      <x:c r="H2409" s="12" t="n">
        <x:v>6950000000</x:v>
      </x:c>
      <x:c r="I2409" s="12" t="n">
        <x:v>33095238.095238097</x:v>
      </x:c>
      <x:c r="J2409" s="2" t="str">
        <x:v>total</x:v>
      </x:c>
      <x:c r="K2409" s="2" t="str">
        <x:v>top_level_area</x:v>
      </x:c>
      <x:c r="L2409" s="2" t="str">
        <x:v>property_type_inferred_from_title;transaction_assumed_sale_from_dataset_context</x:v>
      </x:c>
      <x:c r="M2409" s="10" t="n">
        <x:v>0</x:v>
      </x:c>
      <x:c r="N2409" s="10" t="n">
        <x:v>0</x:v>
      </x:c>
      <x:c r="O2409" s="2" t="str">
        <x:v>Tp Hồ Chí Minh|house</x:v>
      </x:c>
      <x:c r="P2409" s="10" t="n">
        <x:v>2</x:v>
      </x:c>
      <x:c r="Q2409" s="13" t="n">
        <x:f>IF(H2409="","",H2409/1000000000)</x:f>
        <x:v>6.95</x:v>
      </x:c>
      <x:c r="R2409" s="13" t="n">
        <x:f>IF(I2409="","",I2409/1000000)</x:f>
        <x:v>33.095238095238095</x:v>
      </x:c>
    </x:row>
    <x:row r="2410" ht="21" customHeight="1">
      <x:c r="A2410" s="10" t="n">
        <x:v>3414</x:v>
      </x:c>
      <x:c r="B2410" s="2" t="str">
        <x:v>70fbd24fca16e79e9f73</x:v>
      </x:c>
      <x:c r="C2410" s="2" t="str">
        <x:v>Tp Hồ Chí Minh</x:v>
      </x:c>
      <x:c r="D2410" s="2" t="str">
        <x:v>Quận 7</x:v>
      </x:c>
      <x:c r="E2410" s="2" t="str">
        <x:v>house</x:v>
      </x:c>
      <x:c r="F2410" s="2" t="str">
        <x:v>sale</x:v>
      </x:c>
      <x:c r="G2410" s="11" t="n">
        <x:v>72</x:v>
      </x:c>
      <x:c r="H2410" s="12" t="n">
        <x:v>1000000000</x:v>
      </x:c>
      <x:c r="I2410" s="12" t="n">
        <x:v>13888888.888888888</x:v>
      </x:c>
      <x:c r="J2410" s="2" t="str">
        <x:v>total</x:v>
      </x:c>
      <x:c r="K2410" s="2" t="str">
        <x:v>top_level_price_embedded_area</x:v>
      </x:c>
      <x:c r="L2410" s="2" t="str">
        <x:v>area_recovered_from_price_text;property_type_inferred_from_title</x:v>
      </x:c>
      <x:c r="M2410" s="10" t="n">
        <x:v>0</x:v>
      </x:c>
      <x:c r="N2410" s="10" t="n">
        <x:v>0</x:v>
      </x:c>
      <x:c r="O2410" s="2" t="str">
        <x:v>Tp Hồ Chí Minh|house</x:v>
      </x:c>
      <x:c r="P2410" s="10" t="n">
        <x:v>2</x:v>
      </x:c>
      <x:c r="Q2410" s="13" t="n">
        <x:f>IF(H2410="","",H2410/1000000000)</x:f>
        <x:v>1</x:v>
      </x:c>
      <x:c r="R2410" s="13" t="n">
        <x:f>IF(I2410="","",I2410/1000000)</x:f>
        <x:v>13.888888888888888</x:v>
      </x:c>
    </x:row>
    <x:row r="2411" ht="21" customHeight="1">
      <x:c r="A2411" s="10" t="n">
        <x:v>3415</x:v>
      </x:c>
      <x:c r="B2411" s="2" t="str">
        <x:v>89a5889ba824155d1786</x:v>
      </x:c>
      <x:c r="C2411" s="2" t="str">
        <x:v>Tp Hồ Chí Minh</x:v>
      </x:c>
      <x:c r="D2411" s="2" t="str">
        <x:v>Huyện Hóc Môn</x:v>
      </x:c>
      <x:c r="E2411" s="2" t="str">
        <x:v>house</x:v>
      </x:c>
      <x:c r="F2411" s="2" t="str">
        <x:v>sale</x:v>
      </x:c>
      <x:c r="G2411" s="11" t="n">
        <x:v>82</x:v>
      </x:c>
      <x:c r="H2411" s="12" t="n">
        <x:v>1550000000</x:v>
      </x:c>
      <x:c r="I2411" s="12" t="n">
        <x:v>18902439.024390243</x:v>
      </x:c>
      <x:c r="J2411" s="2" t="str">
        <x:v>total</x:v>
      </x:c>
      <x:c r="K2411" s="2" t="str">
        <x:v>top_level_area</x:v>
      </x:c>
      <x:c r="L2411" s="2" t="str">
        <x:v>property_type_inferred_from_title</x:v>
      </x:c>
      <x:c r="M2411" s="10" t="n">
        <x:v>0</x:v>
      </x:c>
      <x:c r="N2411" s="10" t="n">
        <x:v>0</x:v>
      </x:c>
      <x:c r="O2411" s="2" t="str">
        <x:v>Tp Hồ Chí Minh|house</x:v>
      </x:c>
      <x:c r="P2411" s="10" t="n">
        <x:v>2</x:v>
      </x:c>
      <x:c r="Q2411" s="13" t="n">
        <x:f>IF(H2411="","",H2411/1000000000)</x:f>
        <x:v>1.55</x:v>
      </x:c>
      <x:c r="R2411" s="13" t="n">
        <x:f>IF(I2411="","",I2411/1000000)</x:f>
        <x:v>18.902439024390244</x:v>
      </x:c>
    </x:row>
    <x:row r="2412" ht="21" customHeight="1">
      <x:c r="A2412" s="10" t="n">
        <x:v>3416</x:v>
      </x:c>
      <x:c r="B2412" s="2" t="str">
        <x:v>d4f9ade1e41c96ba9ea7</x:v>
      </x:c>
      <x:c r="C2412" s="2" t="str">
        <x:v>Tp Hồ Chí Minh</x:v>
      </x:c>
      <x:c r="D2412" s="2" t="str">
        <x:v>Quận Bình Thạnh</x:v>
      </x:c>
      <x:c r="E2412" s="2" t="str">
        <x:v>house</x:v>
      </x:c>
      <x:c r="F2412" s="2" t="str">
        <x:v>sale</x:v>
      </x:c>
      <x:c r="G2412" s="11" t="n">
        <x:v>64</x:v>
      </x:c>
      <x:c r="H2412" s="12" t="n">
        <x:v>4750000000</x:v>
      </x:c>
      <x:c r="I2412" s="12" t="n">
        <x:v>74218750</x:v>
      </x:c>
      <x:c r="J2412" s="2" t="str">
        <x:v>total</x:v>
      </x:c>
      <x:c r="K2412" s="2" t="str">
        <x:v>top_level_area</x:v>
      </x:c>
      <x:c r="L2412" s="2" t="str">
        <x:v>property_type_inferred_from_title</x:v>
      </x:c>
      <x:c r="M2412" s="10" t="n">
        <x:v>0</x:v>
      </x:c>
      <x:c r="N2412" s="10" t="n">
        <x:v>0</x:v>
      </x:c>
      <x:c r="O2412" s="2" t="str">
        <x:v>Tp Hồ Chí Minh|house</x:v>
      </x:c>
      <x:c r="P2412" s="10" t="n">
        <x:v>2</x:v>
      </x:c>
      <x:c r="Q2412" s="13" t="n">
        <x:f>IF(H2412="","",H2412/1000000000)</x:f>
        <x:v>4.75</x:v>
      </x:c>
      <x:c r="R2412" s="13" t="n">
        <x:f>IF(I2412="","",I2412/1000000)</x:f>
        <x:v>74.21875</x:v>
      </x:c>
    </x:row>
    <x:row r="2413" ht="21" customHeight="1">
      <x:c r="A2413" s="10" t="n">
        <x:v>3417</x:v>
      </x:c>
      <x:c r="B2413" s="2" t="str">
        <x:v>26760e8adbb8643230f9</x:v>
      </x:c>
      <x:c r="C2413" s="2" t="str">
        <x:v>Tp Hồ Chí Minh</x:v>
      </x:c>
      <x:c r="D2413" s="2" t="str">
        <x:v>Quận 9</x:v>
      </x:c>
      <x:c r="E2413" s="2" t="str">
        <x:v>land</x:v>
      </x:c>
      <x:c r="F2413" s="2" t="str">
        <x:v>sale_assumed</x:v>
      </x:c>
      <x:c r="G2413" s="11" t="n">
        <x:v>52</x:v>
      </x:c>
      <x:c r="H2413" s="12" t="n">
        <x:v>1440000000</x:v>
      </x:c>
      <x:c r="I2413" s="12" t="n">
        <x:v>27692307.692307692</x:v>
      </x:c>
      <x:c r="J2413" s="2" t="str">
        <x:v>total</x:v>
      </x:c>
      <x:c r="K2413" s="2" t="str">
        <x:v>top_level_price_embedded_area</x:v>
      </x:c>
      <x:c r="L2413" s="2" t="str">
        <x:v>area_recovered_from_price_text;property_type_inferred_from_title;transaction_assumed_sale_from_dataset_context</x:v>
      </x:c>
      <x:c r="M2413" s="10" t="n">
        <x:v>0</x:v>
      </x:c>
      <x:c r="N2413" s="10" t="n">
        <x:v>0</x:v>
      </x:c>
      <x:c r="O2413" s="2" t="str">
        <x:v>Tp Hồ Chí Minh|land</x:v>
      </x:c>
      <x:c r="P2413" s="10" t="n">
        <x:v>2</x:v>
      </x:c>
      <x:c r="Q2413" s="13" t="n">
        <x:f>IF(H2413="","",H2413/1000000000)</x:f>
        <x:v>1.44</x:v>
      </x:c>
      <x:c r="R2413" s="13" t="n">
        <x:f>IF(I2413="","",I2413/1000000)</x:f>
        <x:v>27.692307692307693</x:v>
      </x:c>
    </x:row>
    <x:row r="2414" ht="21" customHeight="1">
      <x:c r="A2414" s="10" t="n">
        <x:v>3418</x:v>
      </x:c>
      <x:c r="B2414" s="2" t="str">
        <x:v>033fb5f9e9257f70b1d4</x:v>
      </x:c>
      <x:c r="C2414" s="2" t="str">
        <x:v>Tp Hồ Chí Minh</x:v>
      </x:c>
      <x:c r="D2414" s="2" t="str">
        <x:v>Quận 10</x:v>
      </x:c>
      <x:c r="E2414" s="2" t="str">
        <x:v>other_unknown</x:v>
      </x:c>
      <x:c r="F2414" s="2" t="str">
        <x:v>sale_assumed</x:v>
      </x:c>
      <x:c r="G2414" s="11" t="n">
        <x:v>52</x:v>
      </x:c>
      <x:c r="H2414" s="12" t="n">
        <x:v>12000000000</x:v>
      </x:c>
      <x:c r="I2414" s="12" t="n">
        <x:v>230769230.76923078</x:v>
      </x:c>
      <x:c r="J2414" s="2" t="str">
        <x:v>total</x:v>
      </x:c>
      <x:c r="K2414" s="2" t="str">
        <x:v>top_level_area</x:v>
      </x:c>
      <x:c r="L2414" s="2" t="str">
        <x:v>property_type_inferred_from_title;transaction_assumed_sale_from_dataset_context;unknown_property_type</x:v>
      </x:c>
      <x:c r="M2414" s="10" t="n">
        <x:v>1</x:v>
      </x:c>
      <x:c r="N2414" s="10" t="n">
        <x:v>1</x:v>
      </x:c>
      <x:c r="O2414" s="2" t="str">
        <x:v>Tp Hồ Chí Minh|other_unknown</x:v>
      </x:c>
      <x:c r="P2414" s="10" t="n">
        <x:v>-1</x:v>
      </x:c>
      <x:c r="Q2414" s="13" t="n">
        <x:f>IF(H2414="","",H2414/1000000000)</x:f>
        <x:v>12</x:v>
      </x:c>
      <x:c r="R2414" s="13" t="n">
        <x:f>IF(I2414="","",I2414/1000000)</x:f>
        <x:v>230.76923076923077</x:v>
      </x:c>
    </x:row>
    <x:row r="2415" ht="21" customHeight="1">
      <x:c r="A2415" s="10" t="n">
        <x:v>3419</x:v>
      </x:c>
      <x:c r="B2415" s="2" t="str">
        <x:v>b8e4cded4d923da11d07</x:v>
      </x:c>
      <x:c r="C2415" s="2" t="str">
        <x:v>Chưa xác định</x:v>
      </x:c>
      <x:c r="D2415" s="2" t="str">
        <x:v>Chưa xác định</x:v>
      </x:c>
      <x:c r="E2415" s="2" t="str">
        <x:v>other_unknown</x:v>
      </x:c>
      <x:c r="F2415" s="2" t="str">
        <x:v>sale</x:v>
      </x:c>
      <x:c r="G2415" s="11" t="n">
        <x:v>235</x:v>
      </x:c>
      <x:c r="H2415" s="12" t="n">
        <x:v>79000000000</x:v>
      </x:c>
      <x:c r="I2415" s="12" t="n">
        <x:v>336170212.7659575</x:v>
      </x:c>
      <x:c r="J2415" s="2" t="str">
        <x:v>total</x:v>
      </x:c>
      <x:c r="K2415" s="2" t="str">
        <x:v>top_level_area</x:v>
      </x:c>
      <x:c r="L2415" s="2" t="str">
        <x:v>property_type_inferred_from_title;unknown_district;unknown_property_type;unknown_province</x:v>
      </x:c>
      <x:c r="M2415" s="10" t="n">
        <x:v>1</x:v>
      </x:c>
      <x:c r="N2415" s="10" t="n">
        <x:v>1</x:v>
      </x:c>
      <x:c r="O2415" s="2" t="str">
        <x:v>other_unknown</x:v>
      </x:c>
      <x:c r="P2415" s="10" t="n">
        <x:v>-1</x:v>
      </x:c>
      <x:c r="Q2415" s="13" t="n">
        <x:f>IF(H2415="","",H2415/1000000000)</x:f>
        <x:v>79</x:v>
      </x:c>
      <x:c r="R2415" s="13" t="n">
        <x:f>IF(I2415="","",I2415/1000000)</x:f>
        <x:v>336.1702127659575</x:v>
      </x:c>
    </x:row>
    <x:row r="2416" ht="21" customHeight="1">
      <x:c r="A2416" s="10" t="n">
        <x:v>3420</x:v>
      </x:c>
      <x:c r="B2416" s="2" t="str">
        <x:v>753f06982459edc7f414</x:v>
      </x:c>
      <x:c r="C2416" s="2" t="str">
        <x:v>Hà Nội</x:v>
      </x:c>
      <x:c r="D2416" s="2" t="str">
        <x:v>Quận Long Biên</x:v>
      </x:c>
      <x:c r="E2416" s="2" t="str">
        <x:v>house</x:v>
      </x:c>
      <x:c r="F2416" s="2" t="str">
        <x:v>sale_assumed</x:v>
      </x:c>
      <x:c r="G2416" s="11" t="n">
        <x:v>65</x:v>
      </x:c>
      <x:c r="H2416" s="12" t="n">
        <x:v>3800000000</x:v>
      </x:c>
      <x:c r="I2416" s="12" t="n">
        <x:v>58461538.461538464</x:v>
      </x:c>
      <x:c r="J2416" s="2" t="str">
        <x:v>total</x:v>
      </x:c>
      <x:c r="K2416" s="2" t="str">
        <x:v>top_level_area</x:v>
      </x:c>
      <x:c r="L2416" s="2" t="str">
        <x:v>property_type_inferred_from_title;transaction_assumed_sale_from_dataset_context</x:v>
      </x:c>
      <x:c r="M2416" s="10" t="n">
        <x:v>0</x:v>
      </x:c>
      <x:c r="N2416" s="10" t="n">
        <x:v>0</x:v>
      </x:c>
      <x:c r="O2416" s="2" t="str">
        <x:v>Hà Nội|house</x:v>
      </x:c>
      <x:c r="P2416" s="10" t="n">
        <x:v>2</x:v>
      </x:c>
      <x:c r="Q2416" s="13" t="n">
        <x:f>IF(H2416="","",H2416/1000000000)</x:f>
        <x:v>3.8</x:v>
      </x:c>
      <x:c r="R2416" s="13" t="n">
        <x:f>IF(I2416="","",I2416/1000000)</x:f>
        <x:v>58.46153846153847</x:v>
      </x:c>
    </x:row>
    <x:row r="2417" ht="21" customHeight="1">
      <x:c r="A2417" s="10" t="n">
        <x:v>3421</x:v>
      </x:c>
      <x:c r="B2417" s="2" t="str">
        <x:v>719ef7192d27bdc81cae</x:v>
      </x:c>
      <x:c r="C2417" s="2" t="str">
        <x:v>Hà Nội</x:v>
      </x:c>
      <x:c r="D2417" s="2" t="str">
        <x:v>Quận Hai Bà Trưng</x:v>
      </x:c>
      <x:c r="E2417" s="2" t="str">
        <x:v>house</x:v>
      </x:c>
      <x:c r="F2417" s="2" t="str">
        <x:v>sale</x:v>
      </x:c>
      <x:c r="G2417" s="11" t="n">
        <x:v>55</x:v>
      </x:c>
      <x:c r="H2417" s="12" t="n">
        <x:v>16500000000</x:v>
      </x:c>
      <x:c r="I2417" s="12" t="n">
        <x:v>300000000</x:v>
      </x:c>
      <x:c r="J2417" s="2" t="str">
        <x:v>total</x:v>
      </x:c>
      <x:c r="K2417" s="2" t="str">
        <x:v>top_level_price_embedded_area</x:v>
      </x:c>
      <x:c r="L2417" s="2" t="str">
        <x:v>area_recovered_from_price_text;property_type_inferred_from_title</x:v>
      </x:c>
      <x:c r="M2417" s="10" t="n">
        <x:v>1</x:v>
      </x:c>
      <x:c r="N2417" s="10" t="n">
        <x:v>1</x:v>
      </x:c>
      <x:c r="O2417" s="2" t="str">
        <x:v>Hà Nội|house</x:v>
      </x:c>
      <x:c r="P2417" s="10" t="n">
        <x:v>-1</x:v>
      </x:c>
      <x:c r="Q2417" s="13" t="n">
        <x:f>IF(H2417="","",H2417/1000000000)</x:f>
        <x:v>16.5</x:v>
      </x:c>
      <x:c r="R2417" s="13" t="n">
        <x:f>IF(I2417="","",I2417/1000000)</x:f>
        <x:v>300</x:v>
      </x:c>
    </x:row>
    <x:row r="2418" ht="21" customHeight="1">
      <x:c r="A2418" s="10" t="n">
        <x:v>3422</x:v>
      </x:c>
      <x:c r="B2418" s="2" t="str">
        <x:v>dd02fa5378173b53c4cf</x:v>
      </x:c>
      <x:c r="C2418" s="2" t="str">
        <x:v>Tp Hồ Chí Minh</x:v>
      </x:c>
      <x:c r="D2418" s="2" t="str">
        <x:v>Quận Thủ Đức</x:v>
      </x:c>
      <x:c r="E2418" s="2" t="str">
        <x:v>house</x:v>
      </x:c>
      <x:c r="F2418" s="2" t="str">
        <x:v>sale_assumed</x:v>
      </x:c>
      <x:c r="G2418" s="11" t="n">
        <x:v>72</x:v>
      </x:c>
      <x:c r="H2418" s="12" t="n">
        <x:v>5500000000</x:v>
      </x:c>
      <x:c r="I2418" s="12" t="n">
        <x:v>76388888.8888889</x:v>
      </x:c>
      <x:c r="J2418" s="2" t="str">
        <x:v>total</x:v>
      </x:c>
      <x:c r="K2418" s="2" t="str">
        <x:v>top_level_area</x:v>
      </x:c>
      <x:c r="L2418" s="2" t="str">
        <x:v>property_type_inferred_from_title;transaction_assumed_sale_from_dataset_context</x:v>
      </x:c>
      <x:c r="M2418" s="10" t="n">
        <x:v>0</x:v>
      </x:c>
      <x:c r="N2418" s="10" t="n">
        <x:v>0</x:v>
      </x:c>
      <x:c r="O2418" s="2" t="str">
        <x:v>Tp Hồ Chí Minh|house</x:v>
      </x:c>
      <x:c r="P2418" s="10" t="n">
        <x:v>2</x:v>
      </x:c>
      <x:c r="Q2418" s="13" t="n">
        <x:f>IF(H2418="","",H2418/1000000000)</x:f>
        <x:v>5.5</x:v>
      </x:c>
      <x:c r="R2418" s="13" t="n">
        <x:f>IF(I2418="","",I2418/1000000)</x:f>
        <x:v>76.3888888888889</x:v>
      </x:c>
    </x:row>
    <x:row r="2419" ht="21" customHeight="1">
      <x:c r="A2419" s="10" t="n">
        <x:v>3423</x:v>
      </x:c>
      <x:c r="B2419" s="2" t="str">
        <x:v>ac0fe91dea4838e99626</x:v>
      </x:c>
      <x:c r="C2419" s="2" t="str">
        <x:v>Tp Hồ Chí Minh</x:v>
      </x:c>
      <x:c r="D2419" s="2" t="str">
        <x:v>Quận 12</x:v>
      </x:c>
      <x:c r="E2419" s="2" t="str">
        <x:v>house</x:v>
      </x:c>
      <x:c r="F2419" s="2" t="str">
        <x:v>sale</x:v>
      </x:c>
      <x:c r="G2419" s="11" t="n">
        <x:v>40</x:v>
      </x:c>
      <x:c r="H2419" s="12" t="n">
        <x:v>810000000</x:v>
      </x:c>
      <x:c r="I2419" s="12" t="n">
        <x:v>20250000</x:v>
      </x:c>
      <x:c r="J2419" s="2" t="str">
        <x:v>total</x:v>
      </x:c>
      <x:c r="K2419" s="2" t="str">
        <x:v>top_level_area</x:v>
      </x:c>
      <x:c r="L2419" s="2" t="str">
        <x:v>property_type_inferred_from_title</x:v>
      </x:c>
      <x:c r="M2419" s="10" t="n">
        <x:v>0</x:v>
      </x:c>
      <x:c r="N2419" s="10" t="n">
        <x:v>0</x:v>
      </x:c>
      <x:c r="O2419" s="2" t="str">
        <x:v>Tp Hồ Chí Minh|house</x:v>
      </x:c>
      <x:c r="P2419" s="10" t="n">
        <x:v>2</x:v>
      </x:c>
      <x:c r="Q2419" s="13" t="n">
        <x:f>IF(H2419="","",H2419/1000000000)</x:f>
        <x:v>0.81</x:v>
      </x:c>
      <x:c r="R2419" s="13" t="n">
        <x:f>IF(I2419="","",I2419/1000000)</x:f>
        <x:v>20.25</x:v>
      </x:c>
    </x:row>
    <x:row r="2420" ht="21" customHeight="1">
      <x:c r="A2420" s="10" t="n">
        <x:v>3424</x:v>
      </x:c>
      <x:c r="B2420" s="2" t="str">
        <x:v>42d9850c4ffb18ade4e7</x:v>
      </x:c>
      <x:c r="C2420" s="2" t="str">
        <x:v>Long An</x:v>
      </x:c>
      <x:c r="D2420" s="2" t="str">
        <x:v>Huyện Cần Đước</x:v>
      </x:c>
      <x:c r="E2420" s="2" t="str">
        <x:v>house</x:v>
      </x:c>
      <x:c r="F2420" s="2" t="str">
        <x:v>sale_assumed</x:v>
      </x:c>
      <x:c r="G2420" s="11" t="n">
        <x:v>115</x:v>
      </x:c>
      <x:c r="H2420" s="12" t="n">
        <x:v>1630000000</x:v>
      </x:c>
      <x:c r="I2420" s="12" t="n">
        <x:v>14173913.043478262</x:v>
      </x:c>
      <x:c r="J2420" s="2" t="str">
        <x:v>total</x:v>
      </x:c>
      <x:c r="K2420" s="2" t="str">
        <x:v>top_level_area</x:v>
      </x:c>
      <x:c r="L2420" s="2" t="str">
        <x:v>property_type_inferred_from_title;transaction_assumed_sale_from_dataset_context</x:v>
      </x:c>
      <x:c r="M2420" s="10" t="n">
        <x:v>0</x:v>
      </x:c>
      <x:c r="N2420" s="10" t="n">
        <x:v>0</x:v>
      </x:c>
      <x:c r="O2420" s="2" t="str">
        <x:v>Long An|house</x:v>
      </x:c>
      <x:c r="P2420" s="10" t="n">
        <x:v>2</x:v>
      </x:c>
      <x:c r="Q2420" s="13" t="n">
        <x:f>IF(H2420="","",H2420/1000000000)</x:f>
        <x:v>1.63</x:v>
      </x:c>
      <x:c r="R2420" s="13" t="n">
        <x:f>IF(I2420="","",I2420/1000000)</x:f>
        <x:v>14.173913043478262</x:v>
      </x:c>
    </x:row>
    <x:row r="2421" ht="21" customHeight="1">
      <x:c r="A2421" s="10" t="n">
        <x:v>3425</x:v>
      </x:c>
      <x:c r="B2421" s="2" t="str">
        <x:v>c1042d2232077a5e341a</x:v>
      </x:c>
      <x:c r="C2421" s="2" t="str">
        <x:v>Tp Hồ Chí Minh</x:v>
      </x:c>
      <x:c r="D2421" s="2" t="str">
        <x:v>Quận 7</x:v>
      </x:c>
      <x:c r="E2421" s="2" t="str">
        <x:v>house</x:v>
      </x:c>
      <x:c r="F2421" s="2" t="str">
        <x:v>sale</x:v>
      </x:c>
      <x:c r="G2421" s="11" t="n">
        <x:v>63</x:v>
      </x:c>
      <x:c r="H2421" s="12" t="n">
        <x:v>1320000000</x:v>
      </x:c>
      <x:c r="I2421" s="12" t="n">
        <x:v>20952380.95238095</x:v>
      </x:c>
      <x:c r="J2421" s="2" t="str">
        <x:v>total</x:v>
      </x:c>
      <x:c r="K2421" s="2" t="str">
        <x:v>top_level_area</x:v>
      </x:c>
      <x:c r="L2421" s="2" t="str">
        <x:v>property_type_inferred_from_title</x:v>
      </x:c>
      <x:c r="M2421" s="10" t="n">
        <x:v>0</x:v>
      </x:c>
      <x:c r="N2421" s="10" t="n">
        <x:v>0</x:v>
      </x:c>
      <x:c r="O2421" s="2" t="str">
        <x:v>Tp Hồ Chí Minh|house</x:v>
      </x:c>
      <x:c r="P2421" s="10" t="n">
        <x:v>2</x:v>
      </x:c>
      <x:c r="Q2421" s="13" t="n">
        <x:f>IF(H2421="","",H2421/1000000000)</x:f>
        <x:v>1.32</x:v>
      </x:c>
      <x:c r="R2421" s="13" t="n">
        <x:f>IF(I2421="","",I2421/1000000)</x:f>
        <x:v>20.952380952380953</x:v>
      </x:c>
    </x:row>
    <x:row r="2422" ht="21" customHeight="1">
      <x:c r="A2422" s="10" t="n">
        <x:v>3426</x:v>
      </x:c>
      <x:c r="B2422" s="2" t="str">
        <x:v>98fbb4c5ab132a7111b3</x:v>
      </x:c>
      <x:c r="C2422" s="2" t="str">
        <x:v>Gia Lai</x:v>
      </x:c>
      <x:c r="D2422" s="2" t="str">
        <x:v>Thành phố Pleiku</x:v>
      </x:c>
      <x:c r="E2422" s="2" t="str">
        <x:v>house</x:v>
      </x:c>
      <x:c r="F2422" s="2" t="str">
        <x:v>sale_assumed</x:v>
      </x:c>
      <x:c r="G2422" s="11" t="n">
        <x:v>389</x:v>
      </x:c>
      <x:c r="H2422" s="12" t="n">
        <x:v>2300000000</x:v>
      </x:c>
      <x:c r="I2422" s="12" t="n">
        <x:v>5912596.401028277</x:v>
      </x:c>
      <x:c r="J2422" s="2" t="str">
        <x:v>total</x:v>
      </x:c>
      <x:c r="K2422" s="2" t="str">
        <x:v>top_level_area</x:v>
      </x:c>
      <x:c r="L2422" s="2" t="str">
        <x:v>property_type_inferred_from_title;transaction_assumed_sale_from_dataset_context</x:v>
      </x:c>
      <x:c r="M2422" s="10" t="n">
        <x:v>0</x:v>
      </x:c>
      <x:c r="N2422" s="10" t="n">
        <x:v>0</x:v>
      </x:c>
      <x:c r="O2422" s="2" t="str">
        <x:v>house</x:v>
      </x:c>
      <x:c r="P2422" s="10" t="n">
        <x:v>1</x:v>
      </x:c>
      <x:c r="Q2422" s="13" t="n">
        <x:f>IF(H2422="","",H2422/1000000000)</x:f>
        <x:v>2.3</x:v>
      </x:c>
      <x:c r="R2422" s="13" t="n">
        <x:f>IF(I2422="","",I2422/1000000)</x:f>
        <x:v>5.912596401028277</x:v>
      </x:c>
    </x:row>
    <x:row r="2423" ht="21" customHeight="1">
      <x:c r="A2423" s="10" t="n">
        <x:v>3427</x:v>
      </x:c>
      <x:c r="B2423" s="2" t="str">
        <x:v>de6d504a37dac928c7b9</x:v>
      </x:c>
      <x:c r="C2423" s="2" t="str">
        <x:v>Tp Hồ Chí Minh</x:v>
      </x:c>
      <x:c r="D2423" s="2" t="str">
        <x:v>Huyện Củ Chi</x:v>
      </x:c>
      <x:c r="E2423" s="2" t="str">
        <x:v>land</x:v>
      </x:c>
      <x:c r="F2423" s="2" t="str">
        <x:v>sale_assumed</x:v>
      </x:c>
      <x:c r="G2423" s="11" t="n">
        <x:v>1000</x:v>
      </x:c>
      <x:c r="H2423" s="12" t="n">
        <x:v>3100000000</x:v>
      </x:c>
      <x:c r="I2423" s="12" t="n">
        <x:v>3100000</x:v>
      </x:c>
      <x:c r="J2423" s="2" t="str">
        <x:v>total</x:v>
      </x:c>
      <x:c r="K2423" s="2" t="str">
        <x:v>top_level_area</x:v>
      </x:c>
      <x:c r="L2423" s="2" t="str">
        <x:v>dot_thousands_convention;property_type_inferred_from_title;transaction_assumed_sale_from_dataset_context</x:v>
      </x:c>
      <x:c r="M2423" s="10" t="n">
        <x:v>0</x:v>
      </x:c>
      <x:c r="N2423" s="10" t="n">
        <x:v>0</x:v>
      </x:c>
      <x:c r="O2423" s="2" t="str">
        <x:v>Tp Hồ Chí Minh|land</x:v>
      </x:c>
      <x:c r="P2423" s="10" t="n">
        <x:v>1</x:v>
      </x:c>
      <x:c r="Q2423" s="13" t="n">
        <x:f>IF(H2423="","",H2423/1000000000)</x:f>
        <x:v>3.1</x:v>
      </x:c>
      <x:c r="R2423" s="13" t="n">
        <x:f>IF(I2423="","",I2423/1000000)</x:f>
        <x:v>3.1</x:v>
      </x:c>
    </x:row>
    <x:row r="2424" ht="21" customHeight="1">
      <x:c r="A2424" s="10" t="n">
        <x:v>3428</x:v>
      </x:c>
      <x:c r="B2424" s="2" t="str">
        <x:v>252e85cc7b3863ebd7e4</x:v>
      </x:c>
      <x:c r="C2424" s="2" t="str">
        <x:v>Đồng Nai</x:v>
      </x:c>
      <x:c r="D2424" s="2" t="str">
        <x:v>Huyện Trảng Bom</x:v>
      </x:c>
      <x:c r="E2424" s="2" t="str">
        <x:v>other_unknown</x:v>
      </x:c>
      <x:c r="F2424" s="2" t="str">
        <x:v>sale_assumed</x:v>
      </x:c>
      <x:c r="G2424" s="11" t="n">
        <x:v>100</x:v>
      </x:c>
      <x:c r="H2424" s="12" t="n">
        <x:v>200000000</x:v>
      </x:c>
      <x:c r="I2424" s="12" t="n">
        <x:v>2000000</x:v>
      </x:c>
      <x:c r="J2424" s="2" t="str">
        <x:v>total</x:v>
      </x:c>
      <x:c r="K2424" s="2" t="str">
        <x:v>top_level_area</x:v>
      </x:c>
      <x:c r="L2424" s="2" t="str">
        <x:v>property_type_inferred_from_title;transaction_assumed_sale_from_dataset_context;unknown_property_type</x:v>
      </x:c>
      <x:c r="M2424" s="10" t="n">
        <x:v>0</x:v>
      </x:c>
      <x:c r="N2424" s="10" t="n">
        <x:v>0</x:v>
      </x:c>
      <x:c r="O2424" s="2" t="str">
        <x:v>Đồng Nai|other_unknown</x:v>
      </x:c>
      <x:c r="P2424" s="10" t="n">
        <x:v>1</x:v>
      </x:c>
      <x:c r="Q2424" s="13" t="n">
        <x:f>IF(H2424="","",H2424/1000000000)</x:f>
        <x:v>0.2</x:v>
      </x:c>
      <x:c r="R2424" s="13" t="n">
        <x:f>IF(I2424="","",I2424/1000000)</x:f>
        <x:v>2</x:v>
      </x:c>
    </x:row>
    <x:row r="2425" ht="21" customHeight="1">
      <x:c r="A2425" s="10" t="n">
        <x:v>3429</x:v>
      </x:c>
      <x:c r="B2425" s="2" t="str">
        <x:v>06d451da62ffab01c846</x:v>
      </x:c>
      <x:c r="C2425" s="2" t="str">
        <x:v>Tp Hồ Chí Minh</x:v>
      </x:c>
      <x:c r="D2425" s="2" t="str">
        <x:v>Quận 9</x:v>
      </x:c>
      <x:c r="E2425" s="2" t="str">
        <x:v>land</x:v>
      </x:c>
      <x:c r="F2425" s="2" t="str">
        <x:v>sale_assumed</x:v>
      </x:c>
      <x:c r="G2425" s="11" t="n">
        <x:v>66</x:v>
      </x:c>
      <x:c r="H2425" s="12" t="n">
        <x:v>1250000000</x:v>
      </x:c>
      <x:c r="I2425" s="12" t="n">
        <x:v>18939393.939393938</x:v>
      </x:c>
      <x:c r="J2425" s="2" t="str">
        <x:v>total</x:v>
      </x:c>
      <x:c r="K2425" s="2" t="str">
        <x:v>top_level_area</x:v>
      </x:c>
      <x:c r="L2425" s="2" t="str">
        <x:v>property_type_inferred_from_title;transaction_assumed_sale_from_dataset_context</x:v>
      </x:c>
      <x:c r="M2425" s="10" t="n">
        <x:v>0</x:v>
      </x:c>
      <x:c r="N2425" s="10" t="n">
        <x:v>0</x:v>
      </x:c>
      <x:c r="O2425" s="2" t="str">
        <x:v>Tp Hồ Chí Minh|land</x:v>
      </x:c>
      <x:c r="P2425" s="10" t="n">
        <x:v>2</x:v>
      </x:c>
      <x:c r="Q2425" s="13" t="n">
        <x:f>IF(H2425="","",H2425/1000000000)</x:f>
        <x:v>1.25</x:v>
      </x:c>
      <x:c r="R2425" s="13" t="n">
        <x:f>IF(I2425="","",I2425/1000000)</x:f>
        <x:v>18.939393939393938</x:v>
      </x:c>
    </x:row>
    <x:row r="2426" ht="21" customHeight="1">
      <x:c r="A2426" s="10" t="n">
        <x:v>3430</x:v>
      </x:c>
      <x:c r="B2426" s="2" t="str">
        <x:v>be1295caee576b1984cf</x:v>
      </x:c>
      <x:c r="C2426" s="2" t="str">
        <x:v>Tp Hồ Chí Minh</x:v>
      </x:c>
      <x:c r="D2426" s="2" t="str">
        <x:v>Quận 9</x:v>
      </x:c>
      <x:c r="E2426" s="2" t="str">
        <x:v>house</x:v>
      </x:c>
      <x:c r="F2426" s="2" t="str">
        <x:v>sale</x:v>
      </x:c>
      <x:c r="G2426" s="11" t="n">
        <x:v>55</x:v>
      </x:c>
      <x:c r="H2426" s="12" t="n">
        <x:v>3850000000</x:v>
      </x:c>
      <x:c r="I2426" s="12" t="n">
        <x:v>70000000</x:v>
      </x:c>
      <x:c r="J2426" s="2" t="str">
        <x:v>total</x:v>
      </x:c>
      <x:c r="K2426" s="2" t="str">
        <x:v>top_level_area</x:v>
      </x:c>
      <x:c r="L2426" s="2" t="str">
        <x:v>property_type_inferred_from_title</x:v>
      </x:c>
      <x:c r="M2426" s="10" t="n">
        <x:v>0</x:v>
      </x:c>
      <x:c r="N2426" s="10" t="n">
        <x:v>0</x:v>
      </x:c>
      <x:c r="O2426" s="2" t="str">
        <x:v>Tp Hồ Chí Minh|house</x:v>
      </x:c>
      <x:c r="P2426" s="10" t="n">
        <x:v>2</x:v>
      </x:c>
      <x:c r="Q2426" s="13" t="n">
        <x:f>IF(H2426="","",H2426/1000000000)</x:f>
        <x:v>3.85</x:v>
      </x:c>
      <x:c r="R2426" s="13" t="n">
        <x:f>IF(I2426="","",I2426/1000000)</x:f>
        <x:v>70</x:v>
      </x:c>
    </x:row>
    <x:row r="2427" ht="21" customHeight="1">
      <x:c r="A2427" s="10" t="n">
        <x:v>3431</x:v>
      </x:c>
      <x:c r="B2427" s="2" t="str">
        <x:v>3cac64e0a0586f86462f</x:v>
      </x:c>
      <x:c r="C2427" s="2" t="str">
        <x:v>Tp Hồ Chí Minh</x:v>
      </x:c>
      <x:c r="D2427" s="2" t="str">
        <x:v>Quận 7</x:v>
      </x:c>
      <x:c r="E2427" s="2" t="str">
        <x:v>house</x:v>
      </x:c>
      <x:c r="F2427" s="2" t="str">
        <x:v>sale</x:v>
      </x:c>
      <x:c r="G2427" s="11" t="n">
        <x:v>73</x:v>
      </x:c>
      <x:c r="H2427" s="12" t="n">
        <x:v>1600000000</x:v>
      </x:c>
      <x:c r="I2427" s="12" t="n">
        <x:v>21917808.21917808</x:v>
      </x:c>
      <x:c r="J2427" s="2" t="str">
        <x:v>total</x:v>
      </x:c>
      <x:c r="K2427" s="2" t="str">
        <x:v>top_level_area</x:v>
      </x:c>
      <x:c r="L2427" s="2" t="str">
        <x:v>property_type_inferred_from_title</x:v>
      </x:c>
      <x:c r="M2427" s="10" t="n">
        <x:v>0</x:v>
      </x:c>
      <x:c r="N2427" s="10" t="n">
        <x:v>0</x:v>
      </x:c>
      <x:c r="O2427" s="2" t="str">
        <x:v>Tp Hồ Chí Minh|house</x:v>
      </x:c>
      <x:c r="P2427" s="10" t="n">
        <x:v>2</x:v>
      </x:c>
      <x:c r="Q2427" s="13" t="n">
        <x:f>IF(H2427="","",H2427/1000000000)</x:f>
        <x:v>1.6</x:v>
      </x:c>
      <x:c r="R2427" s="13" t="n">
        <x:f>IF(I2427="","",I2427/1000000)</x:f>
        <x:v>21.91780821917808</x:v>
      </x:c>
    </x:row>
    <x:row r="2428" ht="21" customHeight="1">
      <x:c r="A2428" s="10" t="n">
        <x:v>3432</x:v>
      </x:c>
      <x:c r="B2428" s="2" t="str">
        <x:v>f36d5a9d7cf9ad1b297f</x:v>
      </x:c>
      <x:c r="C2428" s="2" t="str">
        <x:v>Tp Hồ Chí Minh</x:v>
      </x:c>
      <x:c r="D2428" s="2" t="str">
        <x:v>Quận Bình Tân</x:v>
      </x:c>
      <x:c r="E2428" s="2" t="str">
        <x:v>house</x:v>
      </x:c>
      <x:c r="F2428" s="2" t="str">
        <x:v>sale_assumed</x:v>
      </x:c>
      <x:c r="G2428" s="11" t="n">
        <x:v>32</x:v>
      </x:c>
      <x:c r="H2428" s="12" t="n">
        <x:v>2130000000</x:v>
      </x:c>
      <x:c r="I2428" s="12" t="n">
        <x:v>66562500</x:v>
      </x:c>
      <x:c r="J2428" s="2" t="str">
        <x:v>total</x:v>
      </x:c>
      <x:c r="K2428" s="2" t="str">
        <x:v>top_level_area</x:v>
      </x:c>
      <x:c r="L2428" s="2" t="str">
        <x:v>property_type_inferred_from_title;transaction_assumed_sale_from_dataset_context</x:v>
      </x:c>
      <x:c r="M2428" s="10" t="n">
        <x:v>0</x:v>
      </x:c>
      <x:c r="N2428" s="10" t="n">
        <x:v>0</x:v>
      </x:c>
      <x:c r="O2428" s="2" t="str">
        <x:v>Tp Hồ Chí Minh|house</x:v>
      </x:c>
      <x:c r="P2428" s="10" t="n">
        <x:v>2</x:v>
      </x:c>
      <x:c r="Q2428" s="13" t="n">
        <x:f>IF(H2428="","",H2428/1000000000)</x:f>
        <x:v>2.13</x:v>
      </x:c>
      <x:c r="R2428" s="13" t="n">
        <x:f>IF(I2428="","",I2428/1000000)</x:f>
        <x:v>66.5625</x:v>
      </x:c>
    </x:row>
    <x:row r="2429" ht="21" customHeight="1">
      <x:c r="A2429" s="10" t="n">
        <x:v>3433</x:v>
      </x:c>
      <x:c r="B2429" s="2" t="str">
        <x:v>52edcea6547e16385091</x:v>
      </x:c>
      <x:c r="C2429" s="2" t="str">
        <x:v>Cần Thơ</x:v>
      </x:c>
      <x:c r="D2429" s="2" t="str">
        <x:v>Quận Ninh Kiều</x:v>
      </x:c>
      <x:c r="E2429" s="2" t="str">
        <x:v>house</x:v>
      </x:c>
      <x:c r="F2429" s="2" t="str">
        <x:v>sale_assumed</x:v>
      </x:c>
      <x:c r="G2429" s="11" t="n">
        <x:v>76</x:v>
      </x:c>
      <x:c r="H2429" s="12" t="n">
        <x:v>2350000000</x:v>
      </x:c>
      <x:c r="I2429" s="12" t="n">
        <x:v>30921052.63157895</x:v>
      </x:c>
      <x:c r="J2429" s="2" t="str">
        <x:v>total</x:v>
      </x:c>
      <x:c r="K2429" s="2" t="str">
        <x:v>top_level_area</x:v>
      </x:c>
      <x:c r="L2429" s="2" t="str">
        <x:v>property_type_inferred_from_title;transaction_assumed_sale_from_dataset_context</x:v>
      </x:c>
      <x:c r="M2429" s="10" t="n">
        <x:v>0</x:v>
      </x:c>
      <x:c r="N2429" s="10" t="n">
        <x:v>0</x:v>
      </x:c>
      <x:c r="O2429" s="2" t="str">
        <x:v>Cần Thơ|house</x:v>
      </x:c>
      <x:c r="P2429" s="10" t="n">
        <x:v>2</x:v>
      </x:c>
      <x:c r="Q2429" s="13" t="n">
        <x:f>IF(H2429="","",H2429/1000000000)</x:f>
        <x:v>2.35</x:v>
      </x:c>
      <x:c r="R2429" s="13" t="n">
        <x:f>IF(I2429="","",I2429/1000000)</x:f>
        <x:v>30.92105263157895</x:v>
      </x:c>
    </x:row>
    <x:row r="2430" ht="21" customHeight="1">
      <x:c r="A2430" s="10" t="n">
        <x:v>3436</x:v>
      </x:c>
      <x:c r="B2430" s="2" t="str">
        <x:v>b0b8f64ddfc3d7a7db6e</x:v>
      </x:c>
      <x:c r="C2430" s="2" t="str">
        <x:v>Hà Nội</x:v>
      </x:c>
      <x:c r="D2430" s="2" t="str">
        <x:v>Quận Thanh Xuân</x:v>
      </x:c>
      <x:c r="E2430" s="2" t="str">
        <x:v>house</x:v>
      </x:c>
      <x:c r="F2430" s="2" t="str">
        <x:v>sale_assumed</x:v>
      </x:c>
      <x:c r="G2430" s="11" t="n">
        <x:v>43</x:v>
      </x:c>
      <x:c r="H2430" s="12" t="n">
        <x:v>4350000000</x:v>
      </x:c>
      <x:c r="I2430" s="12" t="n">
        <x:v>101162790.69767442</x:v>
      </x:c>
      <x:c r="J2430" s="2" t="str">
        <x:v>total</x:v>
      </x:c>
      <x:c r="K2430" s="2" t="str">
        <x:v>top_level_area</x:v>
      </x:c>
      <x:c r="L2430" s="2" t="str">
        <x:v>property_type_inferred_from_title;transaction_assumed_sale_from_dataset_context</x:v>
      </x:c>
      <x:c r="M2430" s="10" t="n">
        <x:v>0</x:v>
      </x:c>
      <x:c r="N2430" s="10" t="n">
        <x:v>0</x:v>
      </x:c>
      <x:c r="O2430" s="2" t="str">
        <x:v>Hà Nội|house</x:v>
      </x:c>
      <x:c r="P2430" s="10" t="n">
        <x:v>2</x:v>
      </x:c>
      <x:c r="Q2430" s="13" t="n">
        <x:f>IF(H2430="","",H2430/1000000000)</x:f>
        <x:v>4.35</x:v>
      </x:c>
      <x:c r="R2430" s="13" t="n">
        <x:f>IF(I2430="","",I2430/1000000)</x:f>
        <x:v>101.16279069767442</x:v>
      </x:c>
    </x:row>
    <x:row r="2431" ht="21" customHeight="1">
      <x:c r="A2431" s="10" t="n">
        <x:v>3437</x:v>
      </x:c>
      <x:c r="B2431" s="2" t="str">
        <x:v>307e04f0fafaa17820b9</x:v>
      </x:c>
      <x:c r="C2431" s="2" t="str">
        <x:v>Tp Hồ Chí Minh</x:v>
      </x:c>
      <x:c r="D2431" s="2" t="str">
        <x:v>Quận 10</x:v>
      </x:c>
      <x:c r="E2431" s="2" t="str">
        <x:v>house</x:v>
      </x:c>
      <x:c r="F2431" s="2" t="str">
        <x:v>sale_assumed</x:v>
      </x:c>
      <x:c r="G2431" s="11" t="n">
        <x:v>34</x:v>
      </x:c>
      <x:c r="H2431" s="12" t="n">
        <x:v>4300000000</x:v>
      </x:c>
      <x:c r="I2431" s="12" t="n">
        <x:v>126470588.23529412</x:v>
      </x:c>
      <x:c r="J2431" s="2" t="str">
        <x:v>total</x:v>
      </x:c>
      <x:c r="K2431" s="2" t="str">
        <x:v>top_level_area</x:v>
      </x:c>
      <x:c r="L2431" s="2" t="str">
        <x:v>property_type_inferred_from_title;transaction_assumed_sale_from_dataset_context</x:v>
      </x:c>
      <x:c r="M2431" s="10" t="n">
        <x:v>0</x:v>
      </x:c>
      <x:c r="N2431" s="10" t="n">
        <x:v>0</x:v>
      </x:c>
      <x:c r="O2431" s="2" t="str">
        <x:v>Tp Hồ Chí Minh|house</x:v>
      </x:c>
      <x:c r="P2431" s="10" t="n">
        <x:v>2</x:v>
      </x:c>
      <x:c r="Q2431" s="13" t="n">
        <x:f>IF(H2431="","",H2431/1000000000)</x:f>
        <x:v>4.3</x:v>
      </x:c>
      <x:c r="R2431" s="13" t="n">
        <x:f>IF(I2431="","",I2431/1000000)</x:f>
        <x:v>126.47058823529412</x:v>
      </x:c>
    </x:row>
    <x:row r="2432" ht="21" customHeight="1">
      <x:c r="A2432" s="10" t="n">
        <x:v>3438</x:v>
      </x:c>
      <x:c r="B2432" s="2" t="str">
        <x:v>5fcf562fa955296029f6</x:v>
      </x:c>
      <x:c r="C2432" s="2" t="str">
        <x:v>Tp Hồ Chí Minh</x:v>
      </x:c>
      <x:c r="D2432" s="2" t="str">
        <x:v>Quận 7</x:v>
      </x:c>
      <x:c r="E2432" s="2" t="str">
        <x:v>house</x:v>
      </x:c>
      <x:c r="F2432" s="2" t="str">
        <x:v>sale_assumed</x:v>
      </x:c>
      <x:c r="G2432" s="11" t="n">
        <x:v>85</x:v>
      </x:c>
      <x:c r="H2432" s="12" t="n">
        <x:v>11600000000</x:v>
      </x:c>
      <x:c r="I2432" s="12" t="n">
        <x:v>136470588.2352941</x:v>
      </x:c>
      <x:c r="J2432" s="2" t="str">
        <x:v>total</x:v>
      </x:c>
      <x:c r="K2432" s="2" t="str">
        <x:v>top_level_area</x:v>
      </x:c>
      <x:c r="L2432" s="2" t="str">
        <x:v>property_type_inferred_from_title;transaction_assumed_sale_from_dataset_context</x:v>
      </x:c>
      <x:c r="M2432" s="10" t="n">
        <x:v>0</x:v>
      </x:c>
      <x:c r="N2432" s="10" t="n">
        <x:v>0</x:v>
      </x:c>
      <x:c r="O2432" s="2" t="str">
        <x:v>Tp Hồ Chí Minh|house</x:v>
      </x:c>
      <x:c r="P2432" s="10" t="n">
        <x:v>2</x:v>
      </x:c>
      <x:c r="Q2432" s="13" t="n">
        <x:f>IF(H2432="","",H2432/1000000000)</x:f>
        <x:v>11.6</x:v>
      </x:c>
      <x:c r="R2432" s="13" t="n">
        <x:f>IF(I2432="","",I2432/1000000)</x:f>
        <x:v>136.47058823529412</x:v>
      </x:c>
    </x:row>
    <x:row r="2433" ht="21" customHeight="1">
      <x:c r="A2433" s="10" t="n">
        <x:v>3439</x:v>
      </x:c>
      <x:c r="B2433" s="2" t="str">
        <x:v>2607a30bef024e71813e</x:v>
      </x:c>
      <x:c r="C2433" s="2" t="str">
        <x:v>Tp Hồ Chí Minh</x:v>
      </x:c>
      <x:c r="D2433" s="2" t="str">
        <x:v>Quận Bình Thạnh</x:v>
      </x:c>
      <x:c r="E2433" s="2" t="str">
        <x:v>house</x:v>
      </x:c>
      <x:c r="F2433" s="2" t="str">
        <x:v>sale</x:v>
      </x:c>
      <x:c r="G2433" s="11" t="n">
        <x:v>62</x:v>
      </x:c>
      <x:c r="H2433" s="12" t="n">
        <x:v>960000000</x:v>
      </x:c>
      <x:c r="I2433" s="12" t="n">
        <x:v>15483870.967741935</x:v>
      </x:c>
      <x:c r="J2433" s="2" t="str">
        <x:v>total</x:v>
      </x:c>
      <x:c r="K2433" s="2" t="str">
        <x:v>top_level_area</x:v>
      </x:c>
      <x:c r="L2433" s="2" t="str">
        <x:v>property_type_inferred_from_title</x:v>
      </x:c>
      <x:c r="M2433" s="10" t="n">
        <x:v>0</x:v>
      </x:c>
      <x:c r="N2433" s="10" t="n">
        <x:v>0</x:v>
      </x:c>
      <x:c r="O2433" s="2" t="str">
        <x:v>Tp Hồ Chí Minh|house</x:v>
      </x:c>
      <x:c r="P2433" s="10" t="n">
        <x:v>2</x:v>
      </x:c>
      <x:c r="Q2433" s="13" t="n">
        <x:f>IF(H2433="","",H2433/1000000000)</x:f>
        <x:v>0.96</x:v>
      </x:c>
      <x:c r="R2433" s="13" t="n">
        <x:f>IF(I2433="","",I2433/1000000)</x:f>
        <x:v>15.483870967741934</x:v>
      </x:c>
    </x:row>
    <x:row r="2434" ht="21" customHeight="1">
      <x:c r="A2434" s="10" t="n">
        <x:v>3440</x:v>
      </x:c>
      <x:c r="B2434" s="2" t="str">
        <x:v>9d1ed2bc80dcc9f30360</x:v>
      </x:c>
      <x:c r="C2434" s="2" t="str">
        <x:v>Tp Hồ Chí Minh</x:v>
      </x:c>
      <x:c r="D2434" s="2" t="str">
        <x:v>Quận 12</x:v>
      </x:c>
      <x:c r="E2434" s="2" t="str">
        <x:v>house</x:v>
      </x:c>
      <x:c r="F2434" s="2" t="str">
        <x:v>sale_assumed</x:v>
      </x:c>
      <x:c r="G2434" s="11" t="n">
        <x:v>51</x:v>
      </x:c>
      <x:c r="H2434" s="12" t="n">
        <x:v>3200000000</x:v>
      </x:c>
      <x:c r="I2434" s="12" t="n">
        <x:v>62745098.039215684</x:v>
      </x:c>
      <x:c r="J2434" s="2" t="str">
        <x:v>total</x:v>
      </x:c>
      <x:c r="K2434" s="2" t="str">
        <x:v>top_level_area</x:v>
      </x:c>
      <x:c r="L2434" s="2" t="str">
        <x:v>property_type_inferred_from_title;transaction_assumed_sale_from_dataset_context</x:v>
      </x:c>
      <x:c r="M2434" s="10" t="n">
        <x:v>0</x:v>
      </x:c>
      <x:c r="N2434" s="10" t="n">
        <x:v>0</x:v>
      </x:c>
      <x:c r="O2434" s="2" t="str">
        <x:v>Tp Hồ Chí Minh|house</x:v>
      </x:c>
      <x:c r="P2434" s="10" t="n">
        <x:v>2</x:v>
      </x:c>
      <x:c r="Q2434" s="13" t="n">
        <x:f>IF(H2434="","",H2434/1000000000)</x:f>
        <x:v>3.2</x:v>
      </x:c>
      <x:c r="R2434" s="13" t="n">
        <x:f>IF(I2434="","",I2434/1000000)</x:f>
        <x:v>62.745098039215684</x:v>
      </x:c>
    </x:row>
    <x:row r="2435" ht="21" customHeight="1">
      <x:c r="A2435" s="10" t="n">
        <x:v>3441</x:v>
      </x:c>
      <x:c r="B2435" s="2" t="str">
        <x:v>a77b7f85a2c5cb306e47</x:v>
      </x:c>
      <x:c r="C2435" s="2" t="str">
        <x:v>Tp Hồ Chí Minh</x:v>
      </x:c>
      <x:c r="D2435" s="2" t="str">
        <x:v>Quận 7</x:v>
      </x:c>
      <x:c r="E2435" s="2" t="str">
        <x:v>house</x:v>
      </x:c>
      <x:c r="F2435" s="2" t="str">
        <x:v>sale</x:v>
      </x:c>
      <x:c r="G2435" s="11" t="n">
        <x:v>62</x:v>
      </x:c>
      <x:c r="H2435" s="12" t="n">
        <x:v>1350000000</x:v>
      </x:c>
      <x:c r="I2435" s="12" t="n">
        <x:v>21774193.548387095</x:v>
      </x:c>
      <x:c r="J2435" s="2" t="str">
        <x:v>total</x:v>
      </x:c>
      <x:c r="K2435" s="2" t="str">
        <x:v>top_level_area</x:v>
      </x:c>
      <x:c r="L2435" s="2" t="str">
        <x:v>property_type_inferred_from_title</x:v>
      </x:c>
      <x:c r="M2435" s="10" t="n">
        <x:v>0</x:v>
      </x:c>
      <x:c r="N2435" s="10" t="n">
        <x:v>0</x:v>
      </x:c>
      <x:c r="O2435" s="2" t="str">
        <x:v>Tp Hồ Chí Minh|house</x:v>
      </x:c>
      <x:c r="P2435" s="10" t="n">
        <x:v>2</x:v>
      </x:c>
      <x:c r="Q2435" s="13" t="n">
        <x:f>IF(H2435="","",H2435/1000000000)</x:f>
        <x:v>1.35</x:v>
      </x:c>
      <x:c r="R2435" s="13" t="n">
        <x:f>IF(I2435="","",I2435/1000000)</x:f>
        <x:v>21.774193548387096</x:v>
      </x:c>
    </x:row>
    <x:row r="2436" ht="21" customHeight="1">
      <x:c r="A2436" s="10" t="n">
        <x:v>3442</x:v>
      </x:c>
      <x:c r="B2436" s="2" t="str">
        <x:v>8733f027289916a1e66a</x:v>
      </x:c>
      <x:c r="C2436" s="2" t="str">
        <x:v>Tp Hồ Chí Minh</x:v>
      </x:c>
      <x:c r="D2436" s="2" t="str">
        <x:v>Quận Bình Tân</x:v>
      </x:c>
      <x:c r="E2436" s="2" t="str">
        <x:v>house</x:v>
      </x:c>
      <x:c r="F2436" s="2" t="str">
        <x:v>sale_assumed</x:v>
      </x:c>
      <x:c r="G2436" s="11" t="n">
        <x:v>32</x:v>
      </x:c>
      <x:c r="H2436" s="12" t="n">
        <x:v>4099999999.9999995</x:v>
      </x:c>
      <x:c r="I2436" s="12" t="n">
        <x:v>128124999.99999999</x:v>
      </x:c>
      <x:c r="J2436" s="2" t="str">
        <x:v>total</x:v>
      </x:c>
      <x:c r="K2436" s="2" t="str">
        <x:v>top_level_area</x:v>
      </x:c>
      <x:c r="L2436" s="2" t="str">
        <x:v>property_type_inferred_from_title;transaction_assumed_sale_from_dataset_context</x:v>
      </x:c>
      <x:c r="M2436" s="10" t="n">
        <x:v>0</x:v>
      </x:c>
      <x:c r="N2436" s="10" t="n">
        <x:v>0</x:v>
      </x:c>
      <x:c r="O2436" s="2" t="str">
        <x:v>Tp Hồ Chí Minh|house</x:v>
      </x:c>
      <x:c r="P2436" s="10" t="n">
        <x:v>2</x:v>
      </x:c>
      <x:c r="Q2436" s="13" t="n">
        <x:f>IF(H2436="","",H2436/1000000000)</x:f>
        <x:v>4.1</x:v>
      </x:c>
      <x:c r="R2436" s="13" t="n">
        <x:f>IF(I2436="","",I2436/1000000)</x:f>
        <x:v>128.12499999999997</x:v>
      </x:c>
    </x:row>
    <x:row r="2437" ht="21" customHeight="1">
      <x:c r="A2437" s="10" t="n">
        <x:v>3443</x:v>
      </x:c>
      <x:c r="B2437" s="2" t="str">
        <x:v>ff1b0701ebfe0245f6a1</x:v>
      </x:c>
      <x:c r="C2437" s="2" t="str">
        <x:v>Cần Thơ</x:v>
      </x:c>
      <x:c r="D2437" s="2" t="str">
        <x:v>Quận Bình Thuỷ</x:v>
      </x:c>
      <x:c r="E2437" s="2" t="str">
        <x:v>land</x:v>
      </x:c>
      <x:c r="F2437" s="2" t="str">
        <x:v>sale_assumed</x:v>
      </x:c>
      <x:c r="G2437" s="11" t="n">
        <x:v>122</x:v>
      </x:c>
      <x:c r="H2437" s="12" t="n">
        <x:v>2700000000</x:v>
      </x:c>
      <x:c r="I2437" s="12" t="n">
        <x:v>22131147.540983606</x:v>
      </x:c>
      <x:c r="J2437" s="2" t="str">
        <x:v>total</x:v>
      </x:c>
      <x:c r="K2437" s="2" t="str">
        <x:v>top_level_area</x:v>
      </x:c>
      <x:c r="L2437" s="2" t="str">
        <x:v>property_type_inferred_from_title;transaction_assumed_sale_from_dataset_context</x:v>
      </x:c>
      <x:c r="M2437" s="10" t="n">
        <x:v>0</x:v>
      </x:c>
      <x:c r="N2437" s="10" t="n">
        <x:v>0</x:v>
      </x:c>
      <x:c r="O2437" s="2" t="str">
        <x:v>Cần Thơ|land</x:v>
      </x:c>
      <x:c r="P2437" s="10" t="n">
        <x:v>2</x:v>
      </x:c>
      <x:c r="Q2437" s="13" t="n">
        <x:f>IF(H2437="","",H2437/1000000000)</x:f>
        <x:v>2.7</x:v>
      </x:c>
      <x:c r="R2437" s="13" t="n">
        <x:f>IF(I2437="","",I2437/1000000)</x:f>
        <x:v>22.131147540983605</x:v>
      </x:c>
    </x:row>
    <x:row r="2438" ht="21" customHeight="1">
      <x:c r="A2438" s="10" t="n">
        <x:v>3444</x:v>
      </x:c>
      <x:c r="B2438" s="2" t="str">
        <x:v>a6ba77fa5d0da41ec9b2</x:v>
      </x:c>
      <x:c r="C2438" s="2" t="str">
        <x:v>Tp Hồ Chí Minh</x:v>
      </x:c>
      <x:c r="D2438" s="2" t="str">
        <x:v>Quận 12</x:v>
      </x:c>
      <x:c r="E2438" s="2" t="str">
        <x:v>house</x:v>
      </x:c>
      <x:c r="F2438" s="2" t="str">
        <x:v>sale</x:v>
      </x:c>
      <x:c r="G2438" s="11" t="n">
        <x:v>40</x:v>
      </x:c>
      <x:c r="H2438" s="12" t="n">
        <x:v>1500000000</x:v>
      </x:c>
      <x:c r="I2438" s="12" t="n">
        <x:v>37500000</x:v>
      </x:c>
      <x:c r="J2438" s="2" t="str">
        <x:v>total</x:v>
      </x:c>
      <x:c r="K2438" s="2" t="str">
        <x:v>top_level_area</x:v>
      </x:c>
      <x:c r="L2438" s="2" t="str">
        <x:v>property_type_inferred_from_title</x:v>
      </x:c>
      <x:c r="M2438" s="10" t="n">
        <x:v>0</x:v>
      </x:c>
      <x:c r="N2438" s="10" t="n">
        <x:v>0</x:v>
      </x:c>
      <x:c r="O2438" s="2" t="str">
        <x:v>Tp Hồ Chí Minh|house</x:v>
      </x:c>
      <x:c r="P2438" s="10" t="n">
        <x:v>2</x:v>
      </x:c>
      <x:c r="Q2438" s="13" t="n">
        <x:f>IF(H2438="","",H2438/1000000000)</x:f>
        <x:v>1.5</x:v>
      </x:c>
      <x:c r="R2438" s="13" t="n">
        <x:f>IF(I2438="","",I2438/1000000)</x:f>
        <x:v>37.5</x:v>
      </x:c>
    </x:row>
    <x:row r="2439" ht="21" customHeight="1">
      <x:c r="A2439" s="10" t="n">
        <x:v>3445</x:v>
      </x:c>
      <x:c r="B2439" s="2" t="str">
        <x:v>cbb10f678f27d7aed57d</x:v>
      </x:c>
      <x:c r="C2439" s="2" t="str">
        <x:v>Tp Hồ Chí Minh</x:v>
      </x:c>
      <x:c r="D2439" s="2" t="str">
        <x:v>Huyện Củ Chi</x:v>
      </x:c>
      <x:c r="E2439" s="2" t="str">
        <x:v>house</x:v>
      </x:c>
      <x:c r="F2439" s="2" t="str">
        <x:v>sale_assumed</x:v>
      </x:c>
      <x:c r="G2439" s="11" t="n">
        <x:v>48</x:v>
      </x:c>
      <x:c r="H2439" s="12" t="n">
        <x:v>950000000</x:v>
      </x:c>
      <x:c r="I2439" s="12" t="n">
        <x:v>19791666.666666668</x:v>
      </x:c>
      <x:c r="J2439" s="2" t="str">
        <x:v>total</x:v>
      </x:c>
      <x:c r="K2439" s="2" t="str">
        <x:v>top_level_area</x:v>
      </x:c>
      <x:c r="L2439" s="2" t="str">
        <x:v>property_type_inferred_from_title;transaction_assumed_sale_from_dataset_context</x:v>
      </x:c>
      <x:c r="M2439" s="10" t="n">
        <x:v>0</x:v>
      </x:c>
      <x:c r="N2439" s="10" t="n">
        <x:v>0</x:v>
      </x:c>
      <x:c r="O2439" s="2" t="str">
        <x:v>Tp Hồ Chí Minh|house</x:v>
      </x:c>
      <x:c r="P2439" s="10" t="n">
        <x:v>2</x:v>
      </x:c>
      <x:c r="Q2439" s="13" t="n">
        <x:f>IF(H2439="","",H2439/1000000000)</x:f>
        <x:v>0.95</x:v>
      </x:c>
      <x:c r="R2439" s="13" t="n">
        <x:f>IF(I2439="","",I2439/1000000)</x:f>
        <x:v>19.791666666666668</x:v>
      </x:c>
    </x:row>
    <x:row r="2440" ht="21" customHeight="1">
      <x:c r="A2440" s="10" t="n">
        <x:v>3446</x:v>
      </x:c>
      <x:c r="B2440" s="2" t="str">
        <x:v>d4bc972b822f16370fbe</x:v>
      </x:c>
      <x:c r="C2440" s="2" t="str">
        <x:v>Tp Hồ Chí Minh</x:v>
      </x:c>
      <x:c r="D2440" s="2" t="str">
        <x:v>Huyện Củ Chi</x:v>
      </x:c>
      <x:c r="E2440" s="2" t="str">
        <x:v>land</x:v>
      </x:c>
      <x:c r="F2440" s="2" t="str">
        <x:v>sale_assumed</x:v>
      </x:c>
      <x:c r="G2440" s="11" t="n">
        <x:v>90</x:v>
      </x:c>
      <x:c r="H2440" s="12" t="n">
        <x:v>1650000000</x:v>
      </x:c>
      <x:c r="I2440" s="12" t="n">
        <x:v>18333333.333333332</x:v>
      </x:c>
      <x:c r="J2440" s="2" t="str">
        <x:v>total</x:v>
      </x:c>
      <x:c r="K2440" s="2" t="str">
        <x:v>top_level_area</x:v>
      </x:c>
      <x:c r="L2440" s="2" t="str">
        <x:v>property_type_inferred_from_title;transaction_assumed_sale_from_dataset_context</x:v>
      </x:c>
      <x:c r="M2440" s="10" t="n">
        <x:v>0</x:v>
      </x:c>
      <x:c r="N2440" s="10" t="n">
        <x:v>0</x:v>
      </x:c>
      <x:c r="O2440" s="2" t="str">
        <x:v>Tp Hồ Chí Minh|land</x:v>
      </x:c>
      <x:c r="P2440" s="10" t="n">
        <x:v>2</x:v>
      </x:c>
      <x:c r="Q2440" s="13" t="n">
        <x:f>IF(H2440="","",H2440/1000000000)</x:f>
        <x:v>1.65</x:v>
      </x:c>
      <x:c r="R2440" s="13" t="n">
        <x:f>IF(I2440="","",I2440/1000000)</x:f>
        <x:v>18.333333333333332</x:v>
      </x:c>
    </x:row>
    <x:row r="2441" ht="21" customHeight="1">
      <x:c r="A2441" s="10" t="n">
        <x:v>3447</x:v>
      </x:c>
      <x:c r="B2441" s="2" t="str">
        <x:v>05134fc4ed8c24aaf89b</x:v>
      </x:c>
      <x:c r="C2441" s="2" t="str">
        <x:v>Tp Hồ Chí Minh</x:v>
      </x:c>
      <x:c r="D2441" s="2" t="str">
        <x:v>Quận 9</x:v>
      </x:c>
      <x:c r="E2441" s="2" t="str">
        <x:v>house</x:v>
      </x:c>
      <x:c r="F2441" s="2" t="str">
        <x:v>sale</x:v>
      </x:c>
      <x:c r="G2441" s="11" t="n">
        <x:v>60</x:v>
      </x:c>
      <x:c r="H2441" s="12" t="n">
        <x:v>890000000</x:v>
      </x:c>
      <x:c r="I2441" s="12" t="n">
        <x:v>14833333.333333334</x:v>
      </x:c>
      <x:c r="J2441" s="2" t="str">
        <x:v>total</x:v>
      </x:c>
      <x:c r="K2441" s="2" t="str">
        <x:v>top_level_price_embedded_area</x:v>
      </x:c>
      <x:c r="L2441" s="2" t="str">
        <x:v>area_recovered_from_price_text;property_type_inferred_from_title</x:v>
      </x:c>
      <x:c r="M2441" s="10" t="n">
        <x:v>0</x:v>
      </x:c>
      <x:c r="N2441" s="10" t="n">
        <x:v>0</x:v>
      </x:c>
      <x:c r="O2441" s="2" t="str">
        <x:v>Tp Hồ Chí Minh|house</x:v>
      </x:c>
      <x:c r="P2441" s="10" t="n">
        <x:v>2</x:v>
      </x:c>
      <x:c r="Q2441" s="13" t="n">
        <x:f>IF(H2441="","",H2441/1000000000)</x:f>
        <x:v>0.89</x:v>
      </x:c>
      <x:c r="R2441" s="13" t="n">
        <x:f>IF(I2441="","",I2441/1000000)</x:f>
        <x:v>14.833333333333334</x:v>
      </x:c>
    </x:row>
    <x:row r="2442" ht="21" customHeight="1">
      <x:c r="A2442" s="10" t="n">
        <x:v>3448</x:v>
      </x:c>
      <x:c r="B2442" s="2" t="str">
        <x:v>1d06e20fbec5f3623c40</x:v>
      </x:c>
      <x:c r="C2442" s="2" t="str">
        <x:v>Tp Hồ Chí Minh</x:v>
      </x:c>
      <x:c r="D2442" s="2" t="str">
        <x:v>Quận Thủ Đức</x:v>
      </x:c>
      <x:c r="E2442" s="2" t="str">
        <x:v>house</x:v>
      </x:c>
      <x:c r="F2442" s="2" t="str">
        <x:v>sale</x:v>
      </x:c>
      <x:c r="G2442" s="11" t="n">
        <x:v>64</x:v>
      </x:c>
      <x:c r="H2442" s="12" t="n">
        <x:v>1800000000</x:v>
      </x:c>
      <x:c r="I2442" s="12" t="n">
        <x:v>28125000</x:v>
      </x:c>
      <x:c r="J2442" s="2" t="str">
        <x:v>total</x:v>
      </x:c>
      <x:c r="K2442" s="2" t="str">
        <x:v>top_level_area</x:v>
      </x:c>
      <x:c r="L2442" s="2" t="str">
        <x:v>property_type_inferred_from_title</x:v>
      </x:c>
      <x:c r="M2442" s="10" t="n">
        <x:v>0</x:v>
      </x:c>
      <x:c r="N2442" s="10" t="n">
        <x:v>0</x:v>
      </x:c>
      <x:c r="O2442" s="2" t="str">
        <x:v>Tp Hồ Chí Minh|house</x:v>
      </x:c>
      <x:c r="P2442" s="10" t="n">
        <x:v>2</x:v>
      </x:c>
      <x:c r="Q2442" s="13" t="n">
        <x:f>IF(H2442="","",H2442/1000000000)</x:f>
        <x:v>1.8</x:v>
      </x:c>
      <x:c r="R2442" s="13" t="n">
        <x:f>IF(I2442="","",I2442/1000000)</x:f>
        <x:v>28.125</x:v>
      </x:c>
    </x:row>
    <x:row r="2443" ht="21" customHeight="1">
      <x:c r="A2443" s="10" t="n">
        <x:v>3449</x:v>
      </x:c>
      <x:c r="B2443" s="2" t="str">
        <x:v>7bdd02578dc6c622c7ab</x:v>
      </x:c>
      <x:c r="C2443" s="2" t="str">
        <x:v>Tp Hồ Chí Minh</x:v>
      </x:c>
      <x:c r="D2443" s="2" t="str">
        <x:v>Quận 9</x:v>
      </x:c>
      <x:c r="E2443" s="2" t="str">
        <x:v>land</x:v>
      </x:c>
      <x:c r="F2443" s="2" t="str">
        <x:v>sale</x:v>
      </x:c>
      <x:c r="G2443" s="11" t="n">
        <x:v>60</x:v>
      </x:c>
      <x:c r="H2443" s="12" t="n">
        <x:v>840000000</x:v>
      </x:c>
      <x:c r="I2443" s="12" t="n">
        <x:v>14000000</x:v>
      </x:c>
      <x:c r="J2443" s="2" t="str">
        <x:v>total</x:v>
      </x:c>
      <x:c r="K2443" s="2" t="str">
        <x:v>top_level_area</x:v>
      </x:c>
      <x:c r="L2443" s="2" t="str">
        <x:v>property_type_inferred_from_title</x:v>
      </x:c>
      <x:c r="M2443" s="10" t="n">
        <x:v>0</x:v>
      </x:c>
      <x:c r="N2443" s="10" t="n">
        <x:v>0</x:v>
      </x:c>
      <x:c r="O2443" s="2" t="str">
        <x:v>Tp Hồ Chí Minh|land</x:v>
      </x:c>
      <x:c r="P2443" s="10" t="n">
        <x:v>2</x:v>
      </x:c>
      <x:c r="Q2443" s="13" t="n">
        <x:f>IF(H2443="","",H2443/1000000000)</x:f>
        <x:v>0.84</x:v>
      </x:c>
      <x:c r="R2443" s="13" t="n">
        <x:f>IF(I2443="","",I2443/1000000)</x:f>
        <x:v>14</x:v>
      </x:c>
    </x:row>
    <x:row r="2444" ht="21" customHeight="1">
      <x:c r="A2444" s="10" t="n">
        <x:v>3450</x:v>
      </x:c>
      <x:c r="B2444" s="2" t="str">
        <x:v>318b9918dbf5c573938d</x:v>
      </x:c>
      <x:c r="C2444" s="2" t="str">
        <x:v>Tp Hồ Chí Minh</x:v>
      </x:c>
      <x:c r="D2444" s="2" t="str">
        <x:v>Quận 5</x:v>
      </x:c>
      <x:c r="E2444" s="2" t="str">
        <x:v>house</x:v>
      </x:c>
      <x:c r="F2444" s="2" t="str">
        <x:v>sale</x:v>
      </x:c>
      <x:c r="G2444" s="11" t="n">
        <x:v>42</x:v>
      </x:c>
      <x:c r="H2444" s="12" t="n">
        <x:v>7600000000</x:v>
      </x:c>
      <x:c r="I2444" s="12" t="n">
        <x:v>180952380.95238096</x:v>
      </x:c>
      <x:c r="J2444" s="2" t="str">
        <x:v>total</x:v>
      </x:c>
      <x:c r="K2444" s="2" t="str">
        <x:v>top_level_area</x:v>
      </x:c>
      <x:c r="L2444" s="2" t="str">
        <x:v>property_type_inferred_from_title</x:v>
      </x:c>
      <x:c r="M2444" s="10" t="n">
        <x:v>1</x:v>
      </x:c>
      <x:c r="N2444" s="10" t="n">
        <x:v>0</x:v>
      </x:c>
      <x:c r="O2444" s="2" t="str">
        <x:v>Tp Hồ Chí Minh|house</x:v>
      </x:c>
      <x:c r="P2444" s="10" t="n">
        <x:v>2</x:v>
      </x:c>
      <x:c r="Q2444" s="13" t="n">
        <x:f>IF(H2444="","",H2444/1000000000)</x:f>
        <x:v>7.6</x:v>
      </x:c>
      <x:c r="R2444" s="13" t="n">
        <x:f>IF(I2444="","",I2444/1000000)</x:f>
        <x:v>180.95238095238096</x:v>
      </x:c>
    </x:row>
    <x:row r="2445" ht="21" customHeight="1">
      <x:c r="A2445" s="10" t="n">
        <x:v>3451</x:v>
      </x:c>
      <x:c r="B2445" s="2" t="str">
        <x:v>e428701b9665c756eeab</x:v>
      </x:c>
      <x:c r="C2445" s="2" t="str">
        <x:v>Tp Hồ Chí Minh</x:v>
      </x:c>
      <x:c r="D2445" s="2" t="str">
        <x:v>Quận 9</x:v>
      </x:c>
      <x:c r="E2445" s="2" t="str">
        <x:v>other_unknown</x:v>
      </x:c>
      <x:c r="F2445" s="2" t="str">
        <x:v>sale</x:v>
      </x:c>
      <x:c r="G2445" s="11" t="n">
        <x:v>144</x:v>
      </x:c>
      <x:c r="H2445" s="12" t="n">
        <x:v>6300000000</x:v>
      </x:c>
      <x:c r="I2445" s="12" t="n">
        <x:v>43750000</x:v>
      </x:c>
      <x:c r="J2445" s="2" t="str">
        <x:v>total</x:v>
      </x:c>
      <x:c r="K2445" s="2" t="str">
        <x:v>top_level_area</x:v>
      </x:c>
      <x:c r="L2445" s="2" t="str">
        <x:v>property_type_inferred_from_title;unknown_property_type</x:v>
      </x:c>
      <x:c r="M2445" s="10" t="n">
        <x:v>0</x:v>
      </x:c>
      <x:c r="N2445" s="10" t="n">
        <x:v>0</x:v>
      </x:c>
      <x:c r="O2445" s="2" t="str">
        <x:v>Tp Hồ Chí Minh|other_unknown</x:v>
      </x:c>
      <x:c r="P2445" s="10" t="n">
        <x:v>2</x:v>
      </x:c>
      <x:c r="Q2445" s="13" t="n">
        <x:f>IF(H2445="","",H2445/1000000000)</x:f>
        <x:v>6.3</x:v>
      </x:c>
      <x:c r="R2445" s="13" t="n">
        <x:f>IF(I2445="","",I2445/1000000)</x:f>
        <x:v>43.75</x:v>
      </x:c>
    </x:row>
    <x:row r="2446" ht="21" customHeight="1">
      <x:c r="A2446" s="10" t="n">
        <x:v>3452</x:v>
      </x:c>
      <x:c r="B2446" s="2" t="str">
        <x:v>c8b6a9a9ff5580c2ab4d</x:v>
      </x:c>
      <x:c r="C2446" s="2" t="str">
        <x:v>Tp Hồ Chí Minh</x:v>
      </x:c>
      <x:c r="D2446" s="2" t="str">
        <x:v>Quận 12</x:v>
      </x:c>
      <x:c r="E2446" s="2" t="str">
        <x:v>house</x:v>
      </x:c>
      <x:c r="F2446" s="2" t="str">
        <x:v>sale</x:v>
      </x:c>
      <x:c r="G2446" s="11" t="n">
        <x:v>98</x:v>
      </x:c>
      <x:c r="H2446" s="12" t="n">
        <x:v>4960000000</x:v>
      </x:c>
      <x:c r="I2446" s="12" t="n">
        <x:v>50612244.89795918</x:v>
      </x:c>
      <x:c r="J2446" s="2" t="str">
        <x:v>total</x:v>
      </x:c>
      <x:c r="K2446" s="2" t="str">
        <x:v>top_level_area</x:v>
      </x:c>
      <x:c r="L2446" s="2" t="str">
        <x:v>property_type_inferred_from_title</x:v>
      </x:c>
      <x:c r="M2446" s="10" t="n">
        <x:v>0</x:v>
      </x:c>
      <x:c r="N2446" s="10" t="n">
        <x:v>0</x:v>
      </x:c>
      <x:c r="O2446" s="2" t="str">
        <x:v>Tp Hồ Chí Minh|house</x:v>
      </x:c>
      <x:c r="P2446" s="10" t="n">
        <x:v>2</x:v>
      </x:c>
      <x:c r="Q2446" s="13" t="n">
        <x:f>IF(H2446="","",H2446/1000000000)</x:f>
        <x:v>4.96</x:v>
      </x:c>
      <x:c r="R2446" s="13" t="n">
        <x:f>IF(I2446="","",I2446/1000000)</x:f>
        <x:v>50.61224489795918</x:v>
      </x:c>
    </x:row>
    <x:row r="2447" ht="21" customHeight="1">
      <x:c r="A2447" s="10" t="n">
        <x:v>3453</x:v>
      </x:c>
      <x:c r="B2447" s="2" t="str">
        <x:v>f268a640c5bc67574713</x:v>
      </x:c>
      <x:c r="C2447" s="2" t="str">
        <x:v>Long An</x:v>
      </x:c>
      <x:c r="D2447" s="2" t="str">
        <x:v>Huyện Đức Hòa</x:v>
      </x:c>
      <x:c r="E2447" s="2" t="str">
        <x:v>land</x:v>
      </x:c>
      <x:c r="F2447" s="2" t="str">
        <x:v>sale</x:v>
      </x:c>
      <x:c r="G2447" s="11" t="n">
        <x:v>220</x:v>
      </x:c>
      <x:c r="H2447" s="12" t="n">
        <x:v>700000000</x:v>
      </x:c>
      <x:c r="I2447" s="12" t="n">
        <x:v>3181818.1818181816</x:v>
      </x:c>
      <x:c r="J2447" s="2" t="str">
        <x:v>total</x:v>
      </x:c>
      <x:c r="K2447" s="2" t="str">
        <x:v>top_level_area</x:v>
      </x:c>
      <x:c r="L2447" s="2" t="str">
        <x:v>property_type_inferred_from_title</x:v>
      </x:c>
      <x:c r="M2447" s="10" t="n">
        <x:v>0</x:v>
      </x:c>
      <x:c r="N2447" s="10" t="n">
        <x:v>0</x:v>
      </x:c>
      <x:c r="O2447" s="2" t="str">
        <x:v>Long An|land</x:v>
      </x:c>
      <x:c r="P2447" s="10" t="n">
        <x:v>1</x:v>
      </x:c>
      <x:c r="Q2447" s="13" t="n">
        <x:f>IF(H2447="","",H2447/1000000000)</x:f>
        <x:v>0.7</x:v>
      </x:c>
      <x:c r="R2447" s="13" t="n">
        <x:f>IF(I2447="","",I2447/1000000)</x:f>
        <x:v>3.1818181818181817</x:v>
      </x:c>
    </x:row>
    <x:row r="2448" ht="21" customHeight="1">
      <x:c r="A2448" s="10" t="n">
        <x:v>3454</x:v>
      </x:c>
      <x:c r="B2448" s="2" t="str">
        <x:v>7e2df921cd270fff46c1</x:v>
      </x:c>
      <x:c r="C2448" s="2" t="str">
        <x:v>Đồng Nai</x:v>
      </x:c>
      <x:c r="D2448" s="2" t="str">
        <x:v>Huyện Trảng Bom</x:v>
      </x:c>
      <x:c r="E2448" s="2" t="str">
        <x:v>house</x:v>
      </x:c>
      <x:c r="F2448" s="2" t="str">
        <x:v>sale</x:v>
      </x:c>
      <x:c r="G2448" s="11" t="n">
        <x:v>100</x:v>
      </x:c>
      <x:c r="H2448" s="12" t="n">
        <x:v>3200000000</x:v>
      </x:c>
      <x:c r="I2448" s="12" t="n">
        <x:v>32000000</x:v>
      </x:c>
      <x:c r="J2448" s="2" t="str">
        <x:v>total</x:v>
      </x:c>
      <x:c r="K2448" s="2" t="str">
        <x:v>top_level_area</x:v>
      </x:c>
      <x:c r="L2448" s="2" t="str">
        <x:v>property_type_inferred_from_title</x:v>
      </x:c>
      <x:c r="M2448" s="10" t="n">
        <x:v>0</x:v>
      </x:c>
      <x:c r="N2448" s="10" t="n">
        <x:v>0</x:v>
      </x:c>
      <x:c r="O2448" s="2" t="str">
        <x:v>Đồng Nai|house</x:v>
      </x:c>
      <x:c r="P2448" s="10" t="n">
        <x:v>2</x:v>
      </x:c>
      <x:c r="Q2448" s="13" t="n">
        <x:f>IF(H2448="","",H2448/1000000000)</x:f>
        <x:v>3.2</x:v>
      </x:c>
      <x:c r="R2448" s="13" t="n">
        <x:f>IF(I2448="","",I2448/1000000)</x:f>
        <x:v>32</x:v>
      </x:c>
    </x:row>
    <x:row r="2449" ht="21" customHeight="1">
      <x:c r="A2449" s="10" t="n">
        <x:v>3455</x:v>
      </x:c>
      <x:c r="B2449" s="2" t="str">
        <x:v>fe6eeb6c2096485b292c</x:v>
      </x:c>
      <x:c r="C2449" s="2" t="str">
        <x:v>Đồng Nai</x:v>
      </x:c>
      <x:c r="D2449" s="2" t="str">
        <x:v>Huyện Trảng Bom</x:v>
      </x:c>
      <x:c r="E2449" s="2" t="str">
        <x:v>land</x:v>
      </x:c>
      <x:c r="F2449" s="2" t="str">
        <x:v>sale_assumed</x:v>
      </x:c>
      <x:c r="G2449" s="11" t="n">
        <x:v>105</x:v>
      </x:c>
      <x:c r="H2449" s="12" t="n">
        <x:v>179000000</x:v>
      </x:c>
      <x:c r="I2449" s="12" t="n">
        <x:v>1704761.9047619049</x:v>
      </x:c>
      <x:c r="J2449" s="2" t="str">
        <x:v>total</x:v>
      </x:c>
      <x:c r="K2449" s="2" t="str">
        <x:v>top_level_area</x:v>
      </x:c>
      <x:c r="L2449" s="2" t="str">
        <x:v>property_type_inferred_from_title;transaction_assumed_sale_from_dataset_context</x:v>
      </x:c>
      <x:c r="M2449" s="10" t="n">
        <x:v>0</x:v>
      </x:c>
      <x:c r="N2449" s="10" t="n">
        <x:v>0</x:v>
      </x:c>
      <x:c r="O2449" s="2" t="str">
        <x:v>Đồng Nai|land</x:v>
      </x:c>
      <x:c r="P2449" s="10" t="n">
        <x:v>1</x:v>
      </x:c>
      <x:c r="Q2449" s="13" t="n">
        <x:f>IF(H2449="","",H2449/1000000000)</x:f>
        <x:v>0.179</x:v>
      </x:c>
      <x:c r="R2449" s="13" t="n">
        <x:f>IF(I2449="","",I2449/1000000)</x:f>
        <x:v>1.704761904761905</x:v>
      </x:c>
    </x:row>
    <x:row r="2450" ht="21" customHeight="1">
      <x:c r="A2450" s="10" t="n">
        <x:v>3458</x:v>
      </x:c>
      <x:c r="B2450" s="2" t="str">
        <x:v>1412abac6a5a1b37ae5d</x:v>
      </x:c>
      <x:c r="C2450" s="2" t="str">
        <x:v>Đồng Nai</x:v>
      </x:c>
      <x:c r="D2450" s="2" t="str">
        <x:v>Thành phố Biên Hòa</x:v>
      </x:c>
      <x:c r="E2450" s="2" t="str">
        <x:v>other_unknown</x:v>
      </x:c>
      <x:c r="F2450" s="2" t="str">
        <x:v>sale_assumed</x:v>
      </x:c>
      <x:c r="G2450" s="11" t="n">
        <x:v>90</x:v>
      </x:c>
      <x:c r="H2450" s="12" t="n">
        <x:v>5000000000</x:v>
      </x:c>
      <x:c r="I2450" s="12" t="n">
        <x:v>55555555.55555555</x:v>
      </x:c>
      <x:c r="J2450" s="2" t="str">
        <x:v>total</x:v>
      </x:c>
      <x:c r="K2450" s="2" t="str">
        <x:v>top_level_area</x:v>
      </x:c>
      <x:c r="L2450" s="2" t="str">
        <x:v>property_type_inferred_from_title;transaction_assumed_sale_from_dataset_context;unknown_property_type</x:v>
      </x:c>
      <x:c r="M2450" s="10" t="n">
        <x:v>0</x:v>
      </x:c>
      <x:c r="N2450" s="10" t="n">
        <x:v>1</x:v>
      </x:c>
      <x:c r="O2450" s="2" t="str">
        <x:v>Đồng Nai|other_unknown</x:v>
      </x:c>
      <x:c r="P2450" s="10" t="n">
        <x:v>-1</x:v>
      </x:c>
      <x:c r="Q2450" s="13" t="n">
        <x:f>IF(H2450="","",H2450/1000000000)</x:f>
        <x:v>5</x:v>
      </x:c>
      <x:c r="R2450" s="13" t="n">
        <x:f>IF(I2450="","",I2450/1000000)</x:f>
        <x:v>55.55555555555555</x:v>
      </x:c>
    </x:row>
    <x:row r="2451" ht="21" customHeight="1">
      <x:c r="A2451" s="10" t="n">
        <x:v>3459</x:v>
      </x:c>
      <x:c r="B2451" s="2" t="str">
        <x:v>67ebefe939391a5ef4b1</x:v>
      </x:c>
      <x:c r="C2451" s="2" t="str">
        <x:v>Bến Tre</x:v>
      </x:c>
      <x:c r="D2451" s="2" t="str">
        <x:v>Thành phố Bến Tre</x:v>
      </x:c>
      <x:c r="E2451" s="2" t="str">
        <x:v>land</x:v>
      </x:c>
      <x:c r="F2451" s="2" t="str">
        <x:v>sale_assumed</x:v>
      </x:c>
      <x:c r="G2451" s="11" t="n">
        <x:v>150</x:v>
      </x:c>
      <x:c r="H2451" s="12" t="n">
        <x:v>1500000000</x:v>
      </x:c>
      <x:c r="I2451" s="12" t="n">
        <x:v>10000000</x:v>
      </x:c>
      <x:c r="J2451" s="2" t="str">
        <x:v>total</x:v>
      </x:c>
      <x:c r="K2451" s="2" t="str">
        <x:v>top_level_area</x:v>
      </x:c>
      <x:c r="L2451" s="2" t="str">
        <x:v>property_type_inferred_from_title;transaction_assumed_sale_from_dataset_context</x:v>
      </x:c>
      <x:c r="M2451" s="10" t="n">
        <x:v>0</x:v>
      </x:c>
      <x:c r="N2451" s="10" t="n">
        <x:v>0</x:v>
      </x:c>
      <x:c r="O2451" s="2" t="str">
        <x:v>Bến Tre|land</x:v>
      </x:c>
      <x:c r="P2451" s="10" t="n">
        <x:v>2</x:v>
      </x:c>
      <x:c r="Q2451" s="13" t="n">
        <x:f>IF(H2451="","",H2451/1000000000)</x:f>
        <x:v>1.5</x:v>
      </x:c>
      <x:c r="R2451" s="13" t="n">
        <x:f>IF(I2451="","",I2451/1000000)</x:f>
        <x:v>10</x:v>
      </x:c>
    </x:row>
    <x:row r="2452" ht="21" customHeight="1">
      <x:c r="A2452" s="10" t="n">
        <x:v>3460</x:v>
      </x:c>
      <x:c r="B2452" s="2" t="str">
        <x:v>f1d7ec3c62fa5ca0f0ff</x:v>
      </x:c>
      <x:c r="C2452" s="2" t="str">
        <x:v>Lâm Đồng</x:v>
      </x:c>
      <x:c r="D2452" s="2" t="str">
        <x:v>Thành phố Bảo Lộc</x:v>
      </x:c>
      <x:c r="E2452" s="2" t="str">
        <x:v>land</x:v>
      </x:c>
      <x:c r="F2452" s="2" t="str">
        <x:v>sale_assumed</x:v>
      </x:c>
      <x:c r="G2452" s="11" t="n">
        <x:v>150</x:v>
      </x:c>
      <x:c r="H2452" s="12" t="n">
        <x:v>400000000</x:v>
      </x:c>
      <x:c r="I2452" s="12" t="n">
        <x:v>2666666.6666666665</x:v>
      </x:c>
      <x:c r="J2452" s="2" t="str">
        <x:v>total</x:v>
      </x:c>
      <x:c r="K2452" s="2" t="str">
        <x:v>top_level_area</x:v>
      </x:c>
      <x:c r="L2452" s="2" t="str">
        <x:v>property_type_inferred_from_title;transaction_assumed_sale_from_dataset_context</x:v>
      </x:c>
      <x:c r="M2452" s="10" t="n">
        <x:v>0</x:v>
      </x:c>
      <x:c r="N2452" s="10" t="n">
        <x:v>0</x:v>
      </x:c>
      <x:c r="O2452" s="2" t="str">
        <x:v>Lâm Đồng|land</x:v>
      </x:c>
      <x:c r="P2452" s="10" t="n">
        <x:v>1</x:v>
      </x:c>
      <x:c r="Q2452" s="13" t="n">
        <x:f>IF(H2452="","",H2452/1000000000)</x:f>
        <x:v>0.4</x:v>
      </x:c>
      <x:c r="R2452" s="13" t="n">
        <x:f>IF(I2452="","",I2452/1000000)</x:f>
        <x:v>2.6666666666666665</x:v>
      </x:c>
    </x:row>
    <x:row r="2453" ht="21" customHeight="1">
      <x:c r="A2453" s="10" t="n">
        <x:v>3461</x:v>
      </x:c>
      <x:c r="B2453" s="2" t="str">
        <x:v>38224c1009a6c341706a</x:v>
      </x:c>
      <x:c r="C2453" s="2" t="str">
        <x:v>Lâm Đồng</x:v>
      </x:c>
      <x:c r="D2453" s="2" t="str">
        <x:v>Thành phố Bảo Lộc</x:v>
      </x:c>
      <x:c r="E2453" s="2" t="str">
        <x:v>land</x:v>
      </x:c>
      <x:c r="F2453" s="2" t="str">
        <x:v>sale_assumed</x:v>
      </x:c>
      <x:c r="G2453" s="11" t="n">
        <x:v>175</x:v>
      </x:c>
      <x:c r="H2453" s="12" t="n">
        <x:v>439000000</x:v>
      </x:c>
      <x:c r="I2453" s="12" t="n">
        <x:v>2508571.4285714286</x:v>
      </x:c>
      <x:c r="J2453" s="2" t="str">
        <x:v>total</x:v>
      </x:c>
      <x:c r="K2453" s="2" t="str">
        <x:v>top_level_area</x:v>
      </x:c>
      <x:c r="L2453" s="2" t="str">
        <x:v>property_type_inferred_from_title;transaction_assumed_sale_from_dataset_context</x:v>
      </x:c>
      <x:c r="M2453" s="10" t="n">
        <x:v>0</x:v>
      </x:c>
      <x:c r="N2453" s="10" t="n">
        <x:v>0</x:v>
      </x:c>
      <x:c r="O2453" s="2" t="str">
        <x:v>Lâm Đồng|land</x:v>
      </x:c>
      <x:c r="P2453" s="10" t="n">
        <x:v>1</x:v>
      </x:c>
      <x:c r="Q2453" s="13" t="n">
        <x:f>IF(H2453="","",H2453/1000000000)</x:f>
        <x:v>0.439</x:v>
      </x:c>
      <x:c r="R2453" s="13" t="n">
        <x:f>IF(I2453="","",I2453/1000000)</x:f>
        <x:v>2.5085714285714285</x:v>
      </x:c>
    </x:row>
    <x:row r="2454" ht="21" customHeight="1">
      <x:c r="A2454" s="10" t="n">
        <x:v>3462</x:v>
      </x:c>
      <x:c r="B2454" s="2" t="str">
        <x:v>f8b3479177db62ea7aae</x:v>
      </x:c>
      <x:c r="C2454" s="2" t="str">
        <x:v>Tp Hồ Chí Minh</x:v>
      </x:c>
      <x:c r="D2454" s="2" t="str">
        <x:v>Quận Tân Phú</x:v>
      </x:c>
      <x:c r="E2454" s="2" t="str">
        <x:v>house</x:v>
      </x:c>
      <x:c r="F2454" s="2" t="str">
        <x:v>sale_assumed</x:v>
      </x:c>
      <x:c r="G2454" s="11" t="n">
        <x:v>41</x:v>
      </x:c>
      <x:c r="H2454" s="12" t="n">
        <x:v>3650000000</x:v>
      </x:c>
      <x:c r="I2454" s="12" t="n">
        <x:v>89024390.24390244</x:v>
      </x:c>
      <x:c r="J2454" s="2" t="str">
        <x:v>total</x:v>
      </x:c>
      <x:c r="K2454" s="2" t="str">
        <x:v>top_level_area</x:v>
      </x:c>
      <x:c r="L2454" s="2" t="str">
        <x:v>property_type_inferred_from_title;transaction_assumed_sale_from_dataset_context</x:v>
      </x:c>
      <x:c r="M2454" s="10" t="n">
        <x:v>0</x:v>
      </x:c>
      <x:c r="N2454" s="10" t="n">
        <x:v>0</x:v>
      </x:c>
      <x:c r="O2454" s="2" t="str">
        <x:v>Tp Hồ Chí Minh|house</x:v>
      </x:c>
      <x:c r="P2454" s="10" t="n">
        <x:v>2</x:v>
      </x:c>
      <x:c r="Q2454" s="13" t="n">
        <x:f>IF(H2454="","",H2454/1000000000)</x:f>
        <x:v>3.65</x:v>
      </x:c>
      <x:c r="R2454" s="13" t="n">
        <x:f>IF(I2454="","",I2454/1000000)</x:f>
        <x:v>89.02439024390245</x:v>
      </x:c>
    </x:row>
    <x:row r="2455" ht="21" customHeight="1">
      <x:c r="A2455" s="10" t="n">
        <x:v>3463</x:v>
      </x:c>
      <x:c r="B2455" s="2" t="str">
        <x:v>ff51b453760265c8dffb</x:v>
      </x:c>
      <x:c r="C2455" s="2" t="str">
        <x:v>Bình Phước</x:v>
      </x:c>
      <x:c r="D2455" s="2" t="str">
        <x:v>Huyện Đồng Phú</x:v>
      </x:c>
      <x:c r="E2455" s="2" t="str">
        <x:v>house</x:v>
      </x:c>
      <x:c r="F2455" s="2" t="str">
        <x:v>sale</x:v>
      </x:c>
      <x:c r="G2455" s="11" t="n">
        <x:v>500</x:v>
      </x:c>
      <x:c r="H2455" s="12" t="n">
        <x:v>500000000</x:v>
      </x:c>
      <x:c r="I2455" s="12" t="n">
        <x:v>1000000</x:v>
      </x:c>
      <x:c r="J2455" s="2" t="str">
        <x:v>total</x:v>
      </x:c>
      <x:c r="K2455" s="2" t="str">
        <x:v>top_level_area</x:v>
      </x:c>
      <x:c r="L2455" s="2" t="str">
        <x:v>property_type_inferred_from_title</x:v>
      </x:c>
      <x:c r="M2455" s="10" t="n">
        <x:v>0</x:v>
      </x:c>
      <x:c r="N2455" s="10" t="n">
        <x:v>0</x:v>
      </x:c>
      <x:c r="O2455" s="2" t="str">
        <x:v>house</x:v>
      </x:c>
      <x:c r="P2455" s="10" t="n">
        <x:v>1</x:v>
      </x:c>
      <x:c r="Q2455" s="13" t="n">
        <x:f>IF(H2455="","",H2455/1000000000)</x:f>
        <x:v>0.5</x:v>
      </x:c>
      <x:c r="R2455" s="13" t="n">
        <x:f>IF(I2455="","",I2455/1000000)</x:f>
        <x:v>1</x:v>
      </x:c>
    </x:row>
    <x:row r="2456" ht="21" customHeight="1">
      <x:c r="A2456" s="10" t="n">
        <x:v>3464</x:v>
      </x:c>
      <x:c r="B2456" s="2" t="str">
        <x:v>211fbe98c246a7db1227</x:v>
      </x:c>
      <x:c r="C2456" s="2" t="str">
        <x:v>Bình Dương</x:v>
      </x:c>
      <x:c r="D2456" s="2" t="str">
        <x:v>Thành phố Thủ Dầu Một</x:v>
      </x:c>
      <x:c r="E2456" s="2" t="str">
        <x:v>land</x:v>
      </x:c>
      <x:c r="F2456" s="2" t="str">
        <x:v>sale_assumed</x:v>
      </x:c>
      <x:c r="G2456" s="11" t="n">
        <x:v>185</x:v>
      </x:c>
      <x:c r="H2456" s="12" t="n">
        <x:v>910000000</x:v>
      </x:c>
      <x:c r="I2456" s="12" t="n">
        <x:v>4918918.918918919</x:v>
      </x:c>
      <x:c r="J2456" s="2" t="str">
        <x:v>total</x:v>
      </x:c>
      <x:c r="K2456" s="2" t="str">
        <x:v>top_level_area</x:v>
      </x:c>
      <x:c r="L2456" s="2" t="str">
        <x:v>property_type_inferred_from_title;transaction_assumed_sale_from_dataset_context</x:v>
      </x:c>
      <x:c r="M2456" s="10" t="n">
        <x:v>0</x:v>
      </x:c>
      <x:c r="N2456" s="10" t="n">
        <x:v>0</x:v>
      </x:c>
      <x:c r="O2456" s="2" t="str">
        <x:v>Bình Dương|land</x:v>
      </x:c>
      <x:c r="P2456" s="10" t="n">
        <x:v>1</x:v>
      </x:c>
      <x:c r="Q2456" s="13" t="n">
        <x:f>IF(H2456="","",H2456/1000000000)</x:f>
        <x:v>0.91</x:v>
      </x:c>
      <x:c r="R2456" s="13" t="n">
        <x:f>IF(I2456="","",I2456/1000000)</x:f>
        <x:v>4.918918918918918</x:v>
      </x:c>
    </x:row>
    <x:row r="2457" ht="21" customHeight="1">
      <x:c r="A2457" s="10" t="n">
        <x:v>3465</x:v>
      </x:c>
      <x:c r="B2457" s="2" t="str">
        <x:v>87a330e3e947830d2c60</x:v>
      </x:c>
      <x:c r="C2457" s="2" t="str">
        <x:v>Đồng Nai</x:v>
      </x:c>
      <x:c r="D2457" s="2" t="str">
        <x:v>Thành phố Biên Hòa</x:v>
      </x:c>
      <x:c r="E2457" s="2" t="str">
        <x:v>land</x:v>
      </x:c>
      <x:c r="F2457" s="2" t="str">
        <x:v>sale_assumed</x:v>
      </x:c>
      <x:c r="G2457" s="11" t="n">
        <x:v>100</x:v>
      </x:c>
      <x:c r="H2457" s="12" t="n">
        <x:v>1500000000</x:v>
      </x:c>
      <x:c r="I2457" s="12" t="n">
        <x:v>15000000</x:v>
      </x:c>
      <x:c r="J2457" s="2" t="str">
        <x:v>total</x:v>
      </x:c>
      <x:c r="K2457" s="2" t="str">
        <x:v>top_level_area</x:v>
      </x:c>
      <x:c r="L2457" s="2" t="str">
        <x:v>property_type_inferred_from_title;transaction_assumed_sale_from_dataset_context</x:v>
      </x:c>
      <x:c r="M2457" s="10" t="n">
        <x:v>0</x:v>
      </x:c>
      <x:c r="N2457" s="10" t="n">
        <x:v>0</x:v>
      </x:c>
      <x:c r="O2457" s="2" t="str">
        <x:v>Đồng Nai|land</x:v>
      </x:c>
      <x:c r="P2457" s="10" t="n">
        <x:v>2</x:v>
      </x:c>
      <x:c r="Q2457" s="13" t="n">
        <x:f>IF(H2457="","",H2457/1000000000)</x:f>
        <x:v>1.5</x:v>
      </x:c>
      <x:c r="R2457" s="13" t="n">
        <x:f>IF(I2457="","",I2457/1000000)</x:f>
        <x:v>15</x:v>
      </x:c>
    </x:row>
    <x:row r="2458" ht="21" customHeight="1">
      <x:c r="A2458" s="10" t="n">
        <x:v>3466</x:v>
      </x:c>
      <x:c r="B2458" s="2" t="str">
        <x:v>cf043cbbd7d8ccde444e</x:v>
      </x:c>
      <x:c r="C2458" s="2" t="str">
        <x:v>Quảng Nam</x:v>
      </x:c>
      <x:c r="D2458" s="2" t="str">
        <x:v>Thị xã Điện Bàn</x:v>
      </x:c>
      <x:c r="E2458" s="2" t="str">
        <x:v>house</x:v>
      </x:c>
      <x:c r="F2458" s="2" t="str">
        <x:v>sale_assumed</x:v>
      </x:c>
      <x:c r="G2458" s="11" t="n">
        <x:v>250</x:v>
      </x:c>
      <x:c r="H2458" s="12" t="n">
        <x:v>5362000000</x:v>
      </x:c>
      <x:c r="I2458" s="12" t="n">
        <x:v>21448000</x:v>
      </x:c>
      <x:c r="J2458" s="2" t="str">
        <x:v>total</x:v>
      </x:c>
      <x:c r="K2458" s="2" t="str">
        <x:v>top_level_area</x:v>
      </x:c>
      <x:c r="L2458" s="2" t="str">
        <x:v>property_type_inferred_from_title;transaction_assumed_sale_from_dataset_context</x:v>
      </x:c>
      <x:c r="M2458" s="10" t="n">
        <x:v>0</x:v>
      </x:c>
      <x:c r="N2458" s="10" t="n">
        <x:v>0</x:v>
      </x:c>
      <x:c r="O2458" s="2" t="str">
        <x:v>house</x:v>
      </x:c>
      <x:c r="P2458" s="10" t="n">
        <x:v>2</x:v>
      </x:c>
      <x:c r="Q2458" s="13" t="n">
        <x:f>IF(H2458="","",H2458/1000000000)</x:f>
        <x:v>5.362</x:v>
      </x:c>
      <x:c r="R2458" s="13" t="n">
        <x:f>IF(I2458="","",I2458/1000000)</x:f>
        <x:v>21.448</x:v>
      </x:c>
    </x:row>
    <x:row r="2459" ht="21" customHeight="1">
      <x:c r="A2459" s="10" t="n">
        <x:v>3467</x:v>
      </x:c>
      <x:c r="B2459" s="2" t="str">
        <x:v>249d314d623ae5092993</x:v>
      </x:c>
      <x:c r="C2459" s="2" t="str">
        <x:v>Đồng Nai</x:v>
      </x:c>
      <x:c r="D2459" s="2" t="str">
        <x:v>Huyện Long Thành</x:v>
      </x:c>
      <x:c r="E2459" s="2" t="str">
        <x:v>land</x:v>
      </x:c>
      <x:c r="F2459" s="2" t="str">
        <x:v>sale_assumed</x:v>
      </x:c>
      <x:c r="G2459" s="11" t="n">
        <x:v>100</x:v>
      </x:c>
      <x:c r="H2459" s="12" t="n">
        <x:v>900000000</x:v>
      </x:c>
      <x:c r="I2459" s="12" t="n">
        <x:v>9000000</x:v>
      </x:c>
      <x:c r="J2459" s="2" t="str">
        <x:v>total</x:v>
      </x:c>
      <x:c r="K2459" s="2" t="str">
        <x:v>top_level_area</x:v>
      </x:c>
      <x:c r="L2459" s="2" t="str">
        <x:v>property_type_inferred_from_title;transaction_assumed_sale_from_dataset_context</x:v>
      </x:c>
      <x:c r="M2459" s="10" t="n">
        <x:v>0</x:v>
      </x:c>
      <x:c r="N2459" s="10" t="n">
        <x:v>0</x:v>
      </x:c>
      <x:c r="O2459" s="2" t="str">
        <x:v>Đồng Nai|land</x:v>
      </x:c>
      <x:c r="P2459" s="10" t="n">
        <x:v>2</x:v>
      </x:c>
      <x:c r="Q2459" s="13" t="n">
        <x:f>IF(H2459="","",H2459/1000000000)</x:f>
        <x:v>0.9</x:v>
      </x:c>
      <x:c r="R2459" s="13" t="n">
        <x:f>IF(I2459="","",I2459/1000000)</x:f>
        <x:v>9</x:v>
      </x:c>
    </x:row>
    <x:row r="2460" ht="21" customHeight="1">
      <x:c r="A2460" s="10" t="n">
        <x:v>3468</x:v>
      </x:c>
      <x:c r="B2460" s="2" t="str">
        <x:v>103080d08e277eb85d3d</x:v>
      </x:c>
      <x:c r="C2460" s="2" t="str">
        <x:v>Lâm Đồng</x:v>
      </x:c>
      <x:c r="D2460" s="2" t="str">
        <x:v>Thành phố Bảo Lộc</x:v>
      </x:c>
      <x:c r="E2460" s="2" t="str">
        <x:v>land</x:v>
      </x:c>
      <x:c r="F2460" s="2" t="str">
        <x:v>sale_assumed</x:v>
      </x:c>
      <x:c r="G2460" s="11" t="n">
        <x:v>250</x:v>
      </x:c>
      <x:c r="H2460" s="12" t="n">
        <x:v>390000000</x:v>
      </x:c>
      <x:c r="I2460" s="12" t="n">
        <x:v>1560000</x:v>
      </x:c>
      <x:c r="J2460" s="2" t="str">
        <x:v>total</x:v>
      </x:c>
      <x:c r="K2460" s="2" t="str">
        <x:v>top_level_area</x:v>
      </x:c>
      <x:c r="L2460" s="2" t="str">
        <x:v>property_type_inferred_from_title;transaction_assumed_sale_from_dataset_context</x:v>
      </x:c>
      <x:c r="M2460" s="10" t="n">
        <x:v>0</x:v>
      </x:c>
      <x:c r="N2460" s="10" t="n">
        <x:v>0</x:v>
      </x:c>
      <x:c r="O2460" s="2" t="str">
        <x:v>Lâm Đồng|land</x:v>
      </x:c>
      <x:c r="P2460" s="10" t="n">
        <x:v>1</x:v>
      </x:c>
      <x:c r="Q2460" s="13" t="n">
        <x:f>IF(H2460="","",H2460/1000000000)</x:f>
        <x:v>0.39</x:v>
      </x:c>
      <x:c r="R2460" s="13" t="n">
        <x:f>IF(I2460="","",I2460/1000000)</x:f>
        <x:v>1.56</x:v>
      </x:c>
    </x:row>
    <x:row r="2461" ht="21" customHeight="1">
      <x:c r="A2461" s="10" t="n">
        <x:v>3469</x:v>
      </x:c>
      <x:c r="B2461" s="2" t="str">
        <x:v>e8e8039886f88dc8d4a5</x:v>
      </x:c>
      <x:c r="C2461" s="2" t="str">
        <x:v>Lâm Đồng</x:v>
      </x:c>
      <x:c r="D2461" s="2" t="str">
        <x:v>Thành phố Bảo Lộc</x:v>
      </x:c>
      <x:c r="E2461" s="2" t="str">
        <x:v>land</x:v>
      </x:c>
      <x:c r="F2461" s="2" t="str">
        <x:v>sale</x:v>
      </x:c>
      <x:c r="G2461" s="11" t="n">
        <x:v>200</x:v>
      </x:c>
      <x:c r="H2461" s="12" t="n">
        <x:v>600000000</x:v>
      </x:c>
      <x:c r="I2461" s="12" t="n">
        <x:v>3000000</x:v>
      </x:c>
      <x:c r="J2461" s="2" t="str">
        <x:v>total</x:v>
      </x:c>
      <x:c r="K2461" s="2" t="str">
        <x:v>top_level_area</x:v>
      </x:c>
      <x:c r="L2461" s="2" t="str">
        <x:v>property_type_inferred_from_title</x:v>
      </x:c>
      <x:c r="M2461" s="10" t="n">
        <x:v>0</x:v>
      </x:c>
      <x:c r="N2461" s="10" t="n">
        <x:v>0</x:v>
      </x:c>
      <x:c r="O2461" s="2" t="str">
        <x:v>Lâm Đồng|land</x:v>
      </x:c>
      <x:c r="P2461" s="10" t="n">
        <x:v>1</x:v>
      </x:c>
      <x:c r="Q2461" s="13" t="n">
        <x:f>IF(H2461="","",H2461/1000000000)</x:f>
        <x:v>0.6</x:v>
      </x:c>
      <x:c r="R2461" s="13" t="n">
        <x:f>IF(I2461="","",I2461/1000000)</x:f>
        <x:v>3</x:v>
      </x:c>
    </x:row>
    <x:row r="2462" ht="21" customHeight="1">
      <x:c r="A2462" s="10" t="n">
        <x:v>3470</x:v>
      </x:c>
      <x:c r="B2462" s="2" t="str">
        <x:v>bcf099b6e7297409ab8f</x:v>
      </x:c>
      <x:c r="C2462" s="2" t="str">
        <x:v>Tp Hồ Chí Minh</x:v>
      </x:c>
      <x:c r="D2462" s="2" t="str">
        <x:v>Quận 1</x:v>
      </x:c>
      <x:c r="E2462" s="2" t="str">
        <x:v>house</x:v>
      </x:c>
      <x:c r="F2462" s="2" t="str">
        <x:v>sale_assumed</x:v>
      </x:c>
      <x:c r="G2462" s="11" t="n">
        <x:v>226</x:v>
      </x:c>
      <x:c r="H2462" s="12" t="n">
        <x:v>30000000000</x:v>
      </x:c>
      <x:c r="I2462" s="12" t="n">
        <x:v>132743362.83185841</x:v>
      </x:c>
      <x:c r="J2462" s="2" t="str">
        <x:v>total</x:v>
      </x:c>
      <x:c r="K2462" s="2" t="str">
        <x:v>top_level_area</x:v>
      </x:c>
      <x:c r="L2462" s="2" t="str">
        <x:v>property_type_inferred_from_title;transaction_assumed_sale_from_dataset_context</x:v>
      </x:c>
      <x:c r="M2462" s="10" t="n">
        <x:v>0</x:v>
      </x:c>
      <x:c r="N2462" s="10" t="n">
        <x:v>0</x:v>
      </x:c>
      <x:c r="O2462" s="2" t="str">
        <x:v>Tp Hồ Chí Minh|house</x:v>
      </x:c>
      <x:c r="P2462" s="10" t="n">
        <x:v>2</x:v>
      </x:c>
      <x:c r="Q2462" s="13" t="n">
        <x:f>IF(H2462="","",H2462/1000000000)</x:f>
        <x:v>30</x:v>
      </x:c>
      <x:c r="R2462" s="13" t="n">
        <x:f>IF(I2462="","",I2462/1000000)</x:f>
        <x:v>132.7433628318584</x:v>
      </x:c>
    </x:row>
    <x:row r="2463" ht="21" customHeight="1">
      <x:c r="A2463" s="10" t="n">
        <x:v>3471</x:v>
      </x:c>
      <x:c r="B2463" s="2" t="str">
        <x:v>f058a90e0a64de5c1d99</x:v>
      </x:c>
      <x:c r="C2463" s="2" t="str">
        <x:v>Tp Hồ Chí Minh</x:v>
      </x:c>
      <x:c r="D2463" s="2" t="str">
        <x:v>Huyện Hóc Môn</x:v>
      </x:c>
      <x:c r="E2463" s="2" t="str">
        <x:v>house</x:v>
      </x:c>
      <x:c r="F2463" s="2" t="str">
        <x:v>sale_assumed</x:v>
      </x:c>
      <x:c r="G2463" s="11" t="n">
        <x:v>38</x:v>
      </x:c>
      <x:c r="H2463" s="12" t="n">
        <x:v>880000000</x:v>
      </x:c>
      <x:c r="I2463" s="12" t="n">
        <x:v>23157894.736842107</x:v>
      </x:c>
      <x:c r="J2463" s="2" t="str">
        <x:v>total</x:v>
      </x:c>
      <x:c r="K2463" s="2" t="str">
        <x:v>top_level_area</x:v>
      </x:c>
      <x:c r="L2463" s="2" t="str">
        <x:v>property_type_inferred_from_title;transaction_assumed_sale_from_dataset_context</x:v>
      </x:c>
      <x:c r="M2463" s="10" t="n">
        <x:v>0</x:v>
      </x:c>
      <x:c r="N2463" s="10" t="n">
        <x:v>0</x:v>
      </x:c>
      <x:c r="O2463" s="2" t="str">
        <x:v>Tp Hồ Chí Minh|house</x:v>
      </x:c>
      <x:c r="P2463" s="10" t="n">
        <x:v>2</x:v>
      </x:c>
      <x:c r="Q2463" s="13" t="n">
        <x:f>IF(H2463="","",H2463/1000000000)</x:f>
        <x:v>0.88</x:v>
      </x:c>
      <x:c r="R2463" s="13" t="n">
        <x:f>IF(I2463="","",I2463/1000000)</x:f>
        <x:v>23.157894736842106</x:v>
      </x:c>
    </x:row>
    <x:row r="2464" ht="21" customHeight="1">
      <x:c r="A2464" s="10" t="n">
        <x:v>3472</x:v>
      </x:c>
      <x:c r="B2464" s="2" t="str">
        <x:v>0fdbac0e8f2d60d692cf</x:v>
      </x:c>
      <x:c r="C2464" s="2" t="str">
        <x:v>Bình Phước</x:v>
      </x:c>
      <x:c r="D2464" s="2" t="str">
        <x:v>Huyện Hớn Quản</x:v>
      </x:c>
      <x:c r="E2464" s="2" t="str">
        <x:v>land</x:v>
      </x:c>
      <x:c r="F2464" s="2" t="str">
        <x:v>sale_assumed</x:v>
      </x:c>
      <x:c r="G2464" s="11" t="n">
        <x:v>600</x:v>
      </x:c>
      <x:c r="H2464" s="12" t="n">
        <x:v>550000000</x:v>
      </x:c>
      <x:c r="I2464" s="12" t="n">
        <x:v>916666.6666666666</x:v>
      </x:c>
      <x:c r="J2464" s="2" t="str">
        <x:v>total</x:v>
      </x:c>
      <x:c r="K2464" s="2" t="str">
        <x:v>top_level_area</x:v>
      </x:c>
      <x:c r="L2464" s="2" t="str">
        <x:v>property_type_inferred_from_title;transaction_assumed_sale_from_dataset_context</x:v>
      </x:c>
      <x:c r="M2464" s="10" t="n">
        <x:v>0</x:v>
      </x:c>
      <x:c r="N2464" s="10" t="n">
        <x:v>0</x:v>
      </x:c>
      <x:c r="O2464" s="2" t="str">
        <x:v>Bình Phước|land</x:v>
      </x:c>
      <x:c r="P2464" s="10" t="n">
        <x:v>1</x:v>
      </x:c>
      <x:c r="Q2464" s="13" t="n">
        <x:f>IF(H2464="","",H2464/1000000000)</x:f>
        <x:v>0.55</x:v>
      </x:c>
      <x:c r="R2464" s="13" t="n">
        <x:f>IF(I2464="","",I2464/1000000)</x:f>
        <x:v>0.9166666666666666</x:v>
      </x:c>
    </x:row>
    <x:row r="2465" ht="21" customHeight="1">
      <x:c r="A2465" s="10" t="n">
        <x:v>3473</x:v>
      </x:c>
      <x:c r="B2465" s="2" t="str">
        <x:v>6308b873059b580b2be7</x:v>
      </x:c>
      <x:c r="C2465" s="2" t="str">
        <x:v>Tp Hồ Chí Minh</x:v>
      </x:c>
      <x:c r="D2465" s="2" t="str">
        <x:v>Quận 10</x:v>
      </x:c>
      <x:c r="E2465" s="2" t="str">
        <x:v>other_unknown</x:v>
      </x:c>
      <x:c r="F2465" s="2" t="str">
        <x:v>sale_assumed</x:v>
      </x:c>
      <x:c r="G2465" s="11" t="n">
        <x:v>30</x:v>
      </x:c>
      <x:c r="H2465" s="12" t="n">
        <x:v>3600000000</x:v>
      </x:c>
      <x:c r="I2465" s="12" t="n">
        <x:v>120000000</x:v>
      </x:c>
      <x:c r="J2465" s="2" t="str">
        <x:v>total</x:v>
      </x:c>
      <x:c r="K2465" s="2" t="str">
        <x:v>top_level_area</x:v>
      </x:c>
      <x:c r="L2465" s="2" t="str">
        <x:v>property_type_inferred_from_title;transaction_assumed_sale_from_dataset_context;unknown_property_type</x:v>
      </x:c>
      <x:c r="M2465" s="10" t="n">
        <x:v>0</x:v>
      </x:c>
      <x:c r="N2465" s="10" t="n">
        <x:v>0</x:v>
      </x:c>
      <x:c r="O2465" s="2" t="str">
        <x:v>Tp Hồ Chí Minh|other_unknown</x:v>
      </x:c>
      <x:c r="P2465" s="10" t="n">
        <x:v>2</x:v>
      </x:c>
      <x:c r="Q2465" s="13" t="n">
        <x:f>IF(H2465="","",H2465/1000000000)</x:f>
        <x:v>3.6</x:v>
      </x:c>
      <x:c r="R2465" s="13" t="n">
        <x:f>IF(I2465="","",I2465/1000000)</x:f>
        <x:v>120</x:v>
      </x:c>
    </x:row>
    <x:row r="2466" ht="21" customHeight="1">
      <x:c r="A2466" s="10" t="n">
        <x:v>3474</x:v>
      </x:c>
      <x:c r="B2466" s="2" t="str">
        <x:v>bc2be34afb722ec35470</x:v>
      </x:c>
      <x:c r="C2466" s="2" t="str">
        <x:v>Tp Hồ Chí Minh</x:v>
      </x:c>
      <x:c r="D2466" s="2" t="str">
        <x:v>Quận Thủ Đức</x:v>
      </x:c>
      <x:c r="E2466" s="2" t="str">
        <x:v>house</x:v>
      </x:c>
      <x:c r="F2466" s="2" t="str">
        <x:v>sale_assumed</x:v>
      </x:c>
      <x:c r="G2466" s="11" t="n">
        <x:v>144</x:v>
      </x:c>
      <x:c r="H2466" s="12" t="n">
        <x:v>2500000000</x:v>
      </x:c>
      <x:c r="I2466" s="12" t="n">
        <x:v>17361111.111111112</x:v>
      </x:c>
      <x:c r="J2466" s="2" t="str">
        <x:v>total</x:v>
      </x:c>
      <x:c r="K2466" s="2" t="str">
        <x:v>top_level_price_embedded_area</x:v>
      </x:c>
      <x:c r="L2466" s="2" t="str">
        <x:v>area_recovered_from_price_text;property_type_inferred_from_title;transaction_assumed_sale_from_dataset_context</x:v>
      </x:c>
      <x:c r="M2466" s="10" t="n">
        <x:v>0</x:v>
      </x:c>
      <x:c r="N2466" s="10" t="n">
        <x:v>0</x:v>
      </x:c>
      <x:c r="O2466" s="2" t="str">
        <x:v>Tp Hồ Chí Minh|house</x:v>
      </x:c>
      <x:c r="P2466" s="10" t="n">
        <x:v>2</x:v>
      </x:c>
      <x:c r="Q2466" s="13" t="n">
        <x:f>IF(H2466="","",H2466/1000000000)</x:f>
        <x:v>2.5</x:v>
      </x:c>
      <x:c r="R2466" s="13" t="n">
        <x:f>IF(I2466="","",I2466/1000000)</x:f>
        <x:v>17.36111111111111</x:v>
      </x:c>
    </x:row>
    <x:row r="2467" ht="21" customHeight="1">
      <x:c r="A2467" s="10" t="n">
        <x:v>3475</x:v>
      </x:c>
      <x:c r="B2467" s="2" t="str">
        <x:v>c783bc6a51e7a8ce9ef1</x:v>
      </x:c>
      <x:c r="C2467" s="2" t="str">
        <x:v>Đồng Nai</x:v>
      </x:c>
      <x:c r="D2467" s="2" t="str">
        <x:v>Huyện Long Thành</x:v>
      </x:c>
      <x:c r="E2467" s="2" t="str">
        <x:v>land</x:v>
      </x:c>
      <x:c r="F2467" s="2" t="str">
        <x:v>sale_assumed</x:v>
      </x:c>
      <x:c r="G2467" s="11" t="n">
        <x:v>100</x:v>
      </x:c>
      <x:c r="H2467" s="12" t="n">
        <x:v>1700000000</x:v>
      </x:c>
      <x:c r="I2467" s="12" t="n">
        <x:v>17000000</x:v>
      </x:c>
      <x:c r="J2467" s="2" t="str">
        <x:v>total</x:v>
      </x:c>
      <x:c r="K2467" s="2" t="str">
        <x:v>top_level_area</x:v>
      </x:c>
      <x:c r="L2467" s="2" t="str">
        <x:v>property_type_inferred_from_title;transaction_assumed_sale_from_dataset_context</x:v>
      </x:c>
      <x:c r="M2467" s="10" t="n">
        <x:v>0</x:v>
      </x:c>
      <x:c r="N2467" s="10" t="n">
        <x:v>0</x:v>
      </x:c>
      <x:c r="O2467" s="2" t="str">
        <x:v>Đồng Nai|land</x:v>
      </x:c>
      <x:c r="P2467" s="10" t="n">
        <x:v>2</x:v>
      </x:c>
      <x:c r="Q2467" s="13" t="n">
        <x:f>IF(H2467="","",H2467/1000000000)</x:f>
        <x:v>1.7</x:v>
      </x:c>
      <x:c r="R2467" s="13" t="n">
        <x:f>IF(I2467="","",I2467/1000000)</x:f>
        <x:v>17</x:v>
      </x:c>
    </x:row>
    <x:row r="2468" ht="21" customHeight="1">
      <x:c r="A2468" s="10" t="n">
        <x:v>3476</x:v>
      </x:c>
      <x:c r="B2468" s="2" t="str">
        <x:v>b85ff8558aefca9ee3ea</x:v>
      </x:c>
      <x:c r="C2468" s="2" t="str">
        <x:v>Tp Hồ Chí Minh</x:v>
      </x:c>
      <x:c r="D2468" s="2" t="str">
        <x:v>Huyện Nhà Bè</x:v>
      </x:c>
      <x:c r="E2468" s="2" t="str">
        <x:v>house</x:v>
      </x:c>
      <x:c r="F2468" s="2" t="str">
        <x:v>sale</x:v>
      </x:c>
      <x:c r="G2468" s="11" t="n">
        <x:v>80</x:v>
      </x:c>
      <x:c r="H2468" s="12" t="n">
        <x:v>6500000000</x:v>
      </x:c>
      <x:c r="I2468" s="12" t="n">
        <x:v>81250000</x:v>
      </x:c>
      <x:c r="J2468" s="2" t="str">
        <x:v>total</x:v>
      </x:c>
      <x:c r="K2468" s="2" t="str">
        <x:v>top_level_area</x:v>
      </x:c>
      <x:c r="L2468" s="2" t="str">
        <x:v>property_type_inferred_from_title</x:v>
      </x:c>
      <x:c r="M2468" s="10" t="n">
        <x:v>0</x:v>
      </x:c>
      <x:c r="N2468" s="10" t="n">
        <x:v>0</x:v>
      </x:c>
      <x:c r="O2468" s="2" t="str">
        <x:v>Tp Hồ Chí Minh|house</x:v>
      </x:c>
      <x:c r="P2468" s="10" t="n">
        <x:v>2</x:v>
      </x:c>
      <x:c r="Q2468" s="13" t="n">
        <x:f>IF(H2468="","",H2468/1000000000)</x:f>
        <x:v>6.5</x:v>
      </x:c>
      <x:c r="R2468" s="13" t="n">
        <x:f>IF(I2468="","",I2468/1000000)</x:f>
        <x:v>81.25</x:v>
      </x:c>
    </x:row>
    <x:row r="2469" ht="21" customHeight="1">
      <x:c r="A2469" s="10" t="n">
        <x:v>3477</x:v>
      </x:c>
      <x:c r="B2469" s="2" t="str">
        <x:v>6431f375abd4196c0b56</x:v>
      </x:c>
      <x:c r="C2469" s="2" t="str">
        <x:v>Bình Định</x:v>
      </x:c>
      <x:c r="D2469" s="2" t="str">
        <x:v>Thành phố Qui Nhơn</x:v>
      </x:c>
      <x:c r="E2469" s="2" t="str">
        <x:v>other_unknown</x:v>
      </x:c>
      <x:c r="F2469" s="2" t="str">
        <x:v>sale_assumed</x:v>
      </x:c>
      <x:c r="G2469" s="11" t="n">
        <x:v>260</x:v>
      </x:c>
      <x:c r="H2469" s="12" t="n">
        <x:v>1790000000</x:v>
      </x:c>
      <x:c r="I2469" s="12" t="n">
        <x:v>6884615.384615385</x:v>
      </x:c>
      <x:c r="J2469" s="2" t="str">
        <x:v>total</x:v>
      </x:c>
      <x:c r="K2469" s="2" t="str">
        <x:v>top_level_area</x:v>
      </x:c>
      <x:c r="L2469" s="2" t="str">
        <x:v>property_type_inferred_from_title;transaction_assumed_sale_from_dataset_context;unknown_property_type</x:v>
      </x:c>
      <x:c r="M2469" s="10" t="n">
        <x:v>0</x:v>
      </x:c>
      <x:c r="N2469" s="10" t="n">
        <x:v>0</x:v>
      </x:c>
      <x:c r="O2469" s="2" t="str">
        <x:v>other_unknown</x:v>
      </x:c>
      <x:c r="P2469" s="10" t="n">
        <x:v>1</x:v>
      </x:c>
      <x:c r="Q2469" s="13" t="n">
        <x:f>IF(H2469="","",H2469/1000000000)</x:f>
        <x:v>1.79</x:v>
      </x:c>
      <x:c r="R2469" s="13" t="n">
        <x:f>IF(I2469="","",I2469/1000000)</x:f>
        <x:v>6.884615384615385</x:v>
      </x:c>
    </x:row>
    <x:row r="2470" ht="21" customHeight="1">
      <x:c r="A2470" s="10" t="n">
        <x:v>3478</x:v>
      </x:c>
      <x:c r="B2470" s="2" t="str">
        <x:v>e71d4e5478fd90b53a88</x:v>
      </x:c>
      <x:c r="C2470" s="2" t="str">
        <x:v>Tp Hồ Chí Minh</x:v>
      </x:c>
      <x:c r="D2470" s="2" t="str">
        <x:v>Huyện Bình Chánh</x:v>
      </x:c>
      <x:c r="E2470" s="2" t="str">
        <x:v>house</x:v>
      </x:c>
      <x:c r="F2470" s="2" t="str">
        <x:v>sale_assumed</x:v>
      </x:c>
      <x:c r="G2470" s="11" t="n">
        <x:v>100</x:v>
      </x:c>
      <x:c r="H2470" s="12" t="n">
        <x:v>1950000000</x:v>
      </x:c>
      <x:c r="I2470" s="12" t="n">
        <x:v>19500000</x:v>
      </x:c>
      <x:c r="J2470" s="2" t="str">
        <x:v>total</x:v>
      </x:c>
      <x:c r="K2470" s="2" t="str">
        <x:v>top_level_area</x:v>
      </x:c>
      <x:c r="L2470" s="2" t="str">
        <x:v>property_type_inferred_from_title;transaction_assumed_sale_from_dataset_context</x:v>
      </x:c>
      <x:c r="M2470" s="10" t="n">
        <x:v>0</x:v>
      </x:c>
      <x:c r="N2470" s="10" t="n">
        <x:v>0</x:v>
      </x:c>
      <x:c r="O2470" s="2" t="str">
        <x:v>Tp Hồ Chí Minh|house</x:v>
      </x:c>
      <x:c r="P2470" s="10" t="n">
        <x:v>2</x:v>
      </x:c>
      <x:c r="Q2470" s="13" t="n">
        <x:f>IF(H2470="","",H2470/1000000000)</x:f>
        <x:v>1.95</x:v>
      </x:c>
      <x:c r="R2470" s="13" t="n">
        <x:f>IF(I2470="","",I2470/1000000)</x:f>
        <x:v>19.5</x:v>
      </x:c>
    </x:row>
    <x:row r="2471" ht="21" customHeight="1">
      <x:c r="A2471" s="10" t="n">
        <x:v>3479</x:v>
      </x:c>
      <x:c r="B2471" s="2" t="str">
        <x:v>b4fb880dceb28fa835f7</x:v>
      </x:c>
      <x:c r="C2471" s="2" t="str">
        <x:v>Tp Hồ Chí Minh</x:v>
      </x:c>
      <x:c r="D2471" s="2" t="str">
        <x:v>Quận 9</x:v>
      </x:c>
      <x:c r="E2471" s="2" t="str">
        <x:v>house</x:v>
      </x:c>
      <x:c r="F2471" s="2" t="str">
        <x:v>sale_assumed</x:v>
      </x:c>
      <x:c r="G2471" s="11" t="n">
        <x:v>57.7</x:v>
      </x:c>
      <x:c r="H2471" s="12" t="n">
        <x:v>2870000000</x:v>
      </x:c>
      <x:c r="I2471" s="12" t="n">
        <x:v>49740034.66204506</x:v>
      </x:c>
      <x:c r="J2471" s="2" t="str">
        <x:v>total</x:v>
      </x:c>
      <x:c r="K2471" s="2" t="str">
        <x:v>top_level_area</x:v>
      </x:c>
      <x:c r="L2471" s="2" t="str">
        <x:v>property_type_inferred_from_title;transaction_assumed_sale_from_dataset_context</x:v>
      </x:c>
      <x:c r="M2471" s="10" t="n">
        <x:v>0</x:v>
      </x:c>
      <x:c r="N2471" s="10" t="n">
        <x:v>0</x:v>
      </x:c>
      <x:c r="O2471" s="2" t="str">
        <x:v>Tp Hồ Chí Minh|house</x:v>
      </x:c>
      <x:c r="P2471" s="10" t="n">
        <x:v>2</x:v>
      </x:c>
      <x:c r="Q2471" s="13" t="n">
        <x:f>IF(H2471="","",H2471/1000000000)</x:f>
        <x:v>2.87</x:v>
      </x:c>
      <x:c r="R2471" s="13" t="n">
        <x:f>IF(I2471="","",I2471/1000000)</x:f>
        <x:v>49.74003466204506</x:v>
      </x:c>
    </x:row>
    <x:row r="2472" ht="21" customHeight="1">
      <x:c r="A2472" s="10" t="n">
        <x:v>3482</x:v>
      </x:c>
      <x:c r="B2472" s="2" t="str">
        <x:v>2a77d0c5a9f1acb07e9d</x:v>
      </x:c>
      <x:c r="C2472" s="2" t="str">
        <x:v>Bình Dương</x:v>
      </x:c>
      <x:c r="D2472" s="2" t="str">
        <x:v>Thị xã Bến Cát</x:v>
      </x:c>
      <x:c r="E2472" s="2" t="str">
        <x:v>house</x:v>
      </x:c>
      <x:c r="F2472" s="2" t="str">
        <x:v>sale_assumed</x:v>
      </x:c>
      <x:c r="G2472" s="11" t="n">
        <x:v>100</x:v>
      </x:c>
      <x:c r="H2472" s="12" t="n">
        <x:v>1960000000</x:v>
      </x:c>
      <x:c r="I2472" s="12" t="n">
        <x:v>19600000</x:v>
      </x:c>
      <x:c r="J2472" s="2" t="str">
        <x:v>total</x:v>
      </x:c>
      <x:c r="K2472" s="2" t="str">
        <x:v>top_level_area</x:v>
      </x:c>
      <x:c r="L2472" s="2" t="str">
        <x:v>property_type_inferred_from_title;transaction_assumed_sale_from_dataset_context</x:v>
      </x:c>
      <x:c r="M2472" s="10" t="n">
        <x:v>0</x:v>
      </x:c>
      <x:c r="N2472" s="10" t="n">
        <x:v>0</x:v>
      </x:c>
      <x:c r="O2472" s="2" t="str">
        <x:v>Bình Dương|house</x:v>
      </x:c>
      <x:c r="P2472" s="10" t="n">
        <x:v>2</x:v>
      </x:c>
      <x:c r="Q2472" s="13" t="n">
        <x:f>IF(H2472="","",H2472/1000000000)</x:f>
        <x:v>1.96</x:v>
      </x:c>
      <x:c r="R2472" s="13" t="n">
        <x:f>IF(I2472="","",I2472/1000000)</x:f>
        <x:v>19.6</x:v>
      </x:c>
    </x:row>
    <x:row r="2473" ht="21" customHeight="1">
      <x:c r="A2473" s="10" t="n">
        <x:v>3483</x:v>
      </x:c>
      <x:c r="B2473" s="2" t="str">
        <x:v>ead043384f1837b183a7</x:v>
      </x:c>
      <x:c r="C2473" s="2" t="str">
        <x:v>Đồng Nai</x:v>
      </x:c>
      <x:c r="D2473" s="2" t="str">
        <x:v>Huyện Trảng Bom</x:v>
      </x:c>
      <x:c r="E2473" s="2" t="str">
        <x:v>land</x:v>
      </x:c>
      <x:c r="F2473" s="2" t="str">
        <x:v>sale_assumed</x:v>
      </x:c>
      <x:c r="G2473" s="11" t="n">
        <x:v>1000</x:v>
      </x:c>
      <x:c r="H2473" s="12" t="n">
        <x:v>999000000</x:v>
      </x:c>
      <x:c r="I2473" s="12" t="n">
        <x:v>999000</x:v>
      </x:c>
      <x:c r="J2473" s="2" t="str">
        <x:v>total</x:v>
      </x:c>
      <x:c r="K2473" s="2" t="str">
        <x:v>top_level_area</x:v>
      </x:c>
      <x:c r="L2473" s="2" t="str">
        <x:v>dot_thousands_convention;property_type_inferred_from_title;transaction_assumed_sale_from_dataset_context</x:v>
      </x:c>
      <x:c r="M2473" s="10" t="n">
        <x:v>0</x:v>
      </x:c>
      <x:c r="N2473" s="10" t="n">
        <x:v>0</x:v>
      </x:c>
      <x:c r="O2473" s="2" t="str">
        <x:v>Đồng Nai|land</x:v>
      </x:c>
      <x:c r="P2473" s="10" t="n">
        <x:v>1</x:v>
      </x:c>
      <x:c r="Q2473" s="13" t="n">
        <x:f>IF(H2473="","",H2473/1000000000)</x:f>
        <x:v>0.999</x:v>
      </x:c>
      <x:c r="R2473" s="13" t="n">
        <x:f>IF(I2473="","",I2473/1000000)</x:f>
        <x:v>0.999</x:v>
      </x:c>
    </x:row>
    <x:row r="2474" ht="21" customHeight="1">
      <x:c r="A2474" s="10" t="n">
        <x:v>3484</x:v>
      </x:c>
      <x:c r="B2474" s="2" t="str">
        <x:v>4da482faed54980b24e6</x:v>
      </x:c>
      <x:c r="C2474" s="2" t="str">
        <x:v>Tp Hồ Chí Minh</x:v>
      </x:c>
      <x:c r="D2474" s="2" t="str">
        <x:v>Huyện Bình Chánh</x:v>
      </x:c>
      <x:c r="E2474" s="2" t="str">
        <x:v>house</x:v>
      </x:c>
      <x:c r="F2474" s="2" t="str">
        <x:v>sale_assumed</x:v>
      </x:c>
      <x:c r="G2474" s="11" t="n">
        <x:v>100</x:v>
      </x:c>
      <x:c r="H2474" s="12" t="n">
        <x:v>1450000000</x:v>
      </x:c>
      <x:c r="I2474" s="12" t="n">
        <x:v>14500000</x:v>
      </x:c>
      <x:c r="J2474" s="2" t="str">
        <x:v>total</x:v>
      </x:c>
      <x:c r="K2474" s="2" t="str">
        <x:v>top_level_area</x:v>
      </x:c>
      <x:c r="L2474" s="2" t="str">
        <x:v>property_type_inferred_from_title;transaction_assumed_sale_from_dataset_context</x:v>
      </x:c>
      <x:c r="M2474" s="10" t="n">
        <x:v>0</x:v>
      </x:c>
      <x:c r="N2474" s="10" t="n">
        <x:v>0</x:v>
      </x:c>
      <x:c r="O2474" s="2" t="str">
        <x:v>Tp Hồ Chí Minh|house</x:v>
      </x:c>
      <x:c r="P2474" s="10" t="n">
        <x:v>2</x:v>
      </x:c>
      <x:c r="Q2474" s="13" t="n">
        <x:f>IF(H2474="","",H2474/1000000000)</x:f>
        <x:v>1.45</x:v>
      </x:c>
      <x:c r="R2474" s="13" t="n">
        <x:f>IF(I2474="","",I2474/1000000)</x:f>
        <x:v>14.5</x:v>
      </x:c>
    </x:row>
    <x:row r="2475" ht="21" customHeight="1">
      <x:c r="A2475" s="10" t="n">
        <x:v>3485</x:v>
      </x:c>
      <x:c r="B2475" s="2" t="str">
        <x:v>a3eefe3c0a7fa32fd7fb</x:v>
      </x:c>
      <x:c r="C2475" s="2" t="str">
        <x:v>Tp Hồ Chí Minh</x:v>
      </x:c>
      <x:c r="D2475" s="2" t="str">
        <x:v>Quận Thủ Đức</x:v>
      </x:c>
      <x:c r="E2475" s="2" t="str">
        <x:v>house</x:v>
      </x:c>
      <x:c r="F2475" s="2" t="str">
        <x:v>sale</x:v>
      </x:c>
      <x:c r="G2475" s="11" t="n">
        <x:v>40</x:v>
      </x:c>
      <x:c r="H2475" s="12" t="n">
        <x:v>2450000000</x:v>
      </x:c>
      <x:c r="I2475" s="12" t="n">
        <x:v>61250000</x:v>
      </x:c>
      <x:c r="J2475" s="2" t="str">
        <x:v>total</x:v>
      </x:c>
      <x:c r="K2475" s="2" t="str">
        <x:v>top_level_area</x:v>
      </x:c>
      <x:c r="L2475" s="2" t="str">
        <x:v>property_type_inferred_from_title</x:v>
      </x:c>
      <x:c r="M2475" s="10" t="n">
        <x:v>0</x:v>
      </x:c>
      <x:c r="N2475" s="10" t="n">
        <x:v>0</x:v>
      </x:c>
      <x:c r="O2475" s="2" t="str">
        <x:v>Tp Hồ Chí Minh|house</x:v>
      </x:c>
      <x:c r="P2475" s="10" t="n">
        <x:v>2</x:v>
      </x:c>
      <x:c r="Q2475" s="13" t="n">
        <x:f>IF(H2475="","",H2475/1000000000)</x:f>
        <x:v>2.45</x:v>
      </x:c>
      <x:c r="R2475" s="13" t="n">
        <x:f>IF(I2475="","",I2475/1000000)</x:f>
        <x:v>61.25</x:v>
      </x:c>
    </x:row>
    <x:row r="2476" ht="21" customHeight="1">
      <x:c r="A2476" s="10" t="n">
        <x:v>3486</x:v>
      </x:c>
      <x:c r="B2476" s="2" t="str">
        <x:v>b65f1c16da36866a2ff5</x:v>
      </x:c>
      <x:c r="C2476" s="2" t="str">
        <x:v>Đồng Nai</x:v>
      </x:c>
      <x:c r="D2476" s="2" t="str">
        <x:v>Huyện Long Thành</x:v>
      </x:c>
      <x:c r="E2476" s="2" t="str">
        <x:v>land</x:v>
      </x:c>
      <x:c r="F2476" s="2" t="str">
        <x:v>sale_assumed</x:v>
      </x:c>
      <x:c r="G2476" s="11" t="n">
        <x:v>100</x:v>
      </x:c>
      <x:c r="H2476" s="12" t="n">
        <x:v>1700000000</x:v>
      </x:c>
      <x:c r="I2476" s="12" t="n">
        <x:v>17000000</x:v>
      </x:c>
      <x:c r="J2476" s="2" t="str">
        <x:v>total</x:v>
      </x:c>
      <x:c r="K2476" s="2" t="str">
        <x:v>top_level_area</x:v>
      </x:c>
      <x:c r="L2476" s="2" t="str">
        <x:v>property_type_inferred_from_title;transaction_assumed_sale_from_dataset_context</x:v>
      </x:c>
      <x:c r="M2476" s="10" t="n">
        <x:v>0</x:v>
      </x:c>
      <x:c r="N2476" s="10" t="n">
        <x:v>0</x:v>
      </x:c>
      <x:c r="O2476" s="2" t="str">
        <x:v>Đồng Nai|land</x:v>
      </x:c>
      <x:c r="P2476" s="10" t="n">
        <x:v>2</x:v>
      </x:c>
      <x:c r="Q2476" s="13" t="n">
        <x:f>IF(H2476="","",H2476/1000000000)</x:f>
        <x:v>1.7</x:v>
      </x:c>
      <x:c r="R2476" s="13" t="n">
        <x:f>IF(I2476="","",I2476/1000000)</x:f>
        <x:v>17</x:v>
      </x:c>
    </x:row>
    <x:row r="2477" ht="21" customHeight="1">
      <x:c r="A2477" s="10" t="n">
        <x:v>3487</x:v>
      </x:c>
      <x:c r="B2477" s="2" t="str">
        <x:v>f2dd3f534fe1ac034708</x:v>
      </x:c>
      <x:c r="C2477" s="2" t="str">
        <x:v>Đồng Nai</x:v>
      </x:c>
      <x:c r="D2477" s="2" t="str">
        <x:v>Huyện Long Thành</x:v>
      </x:c>
      <x:c r="E2477" s="2" t="str">
        <x:v>land</x:v>
      </x:c>
      <x:c r="F2477" s="2" t="str">
        <x:v>sale_assumed</x:v>
      </x:c>
      <x:c r="G2477" s="11" t="n">
        <x:v>110</x:v>
      </x:c>
      <x:c r="H2477" s="12" t="n">
        <x:v>980000000</x:v>
      </x:c>
      <x:c r="I2477" s="12" t="n">
        <x:v>8909090.909090908</x:v>
      </x:c>
      <x:c r="J2477" s="2" t="str">
        <x:v>total</x:v>
      </x:c>
      <x:c r="K2477" s="2" t="str">
        <x:v>top_level_area</x:v>
      </x:c>
      <x:c r="L2477" s="2" t="str">
        <x:v>property_type_inferred_from_title;transaction_assumed_sale_from_dataset_context</x:v>
      </x:c>
      <x:c r="M2477" s="10" t="n">
        <x:v>0</x:v>
      </x:c>
      <x:c r="N2477" s="10" t="n">
        <x:v>0</x:v>
      </x:c>
      <x:c r="O2477" s="2" t="str">
        <x:v>Đồng Nai|land</x:v>
      </x:c>
      <x:c r="P2477" s="10" t="n">
        <x:v>2</x:v>
      </x:c>
      <x:c r="Q2477" s="13" t="n">
        <x:f>IF(H2477="","",H2477/1000000000)</x:f>
        <x:v>0.98</x:v>
      </x:c>
      <x:c r="R2477" s="13" t="n">
        <x:f>IF(I2477="","",I2477/1000000)</x:f>
        <x:v>8.909090909090908</x:v>
      </x:c>
    </x:row>
    <x:row r="2478" ht="21" customHeight="1">
      <x:c r="A2478" s="10" t="n">
        <x:v>3488</x:v>
      </x:c>
      <x:c r="B2478" s="2" t="str">
        <x:v>78d5c8d0629c96aedf17</x:v>
      </x:c>
      <x:c r="C2478" s="2" t="str">
        <x:v>Tp Hồ Chí Minh</x:v>
      </x:c>
      <x:c r="D2478" s="2" t="str">
        <x:v>Quận Bình Tân</x:v>
      </x:c>
      <x:c r="E2478" s="2" t="str">
        <x:v>land</x:v>
      </x:c>
      <x:c r="F2478" s="2" t="str">
        <x:v>sale_assumed</x:v>
      </x:c>
      <x:c r="G2478" s="11" t="n">
        <x:v>90</x:v>
      </x:c>
      <x:c r="H2478" s="12" t="n">
        <x:v>2350000000</x:v>
      </x:c>
      <x:c r="I2478" s="12" t="n">
        <x:v>26111111.111111112</x:v>
      </x:c>
      <x:c r="J2478" s="2" t="str">
        <x:v>total</x:v>
      </x:c>
      <x:c r="K2478" s="2" t="str">
        <x:v>top_level_area</x:v>
      </x:c>
      <x:c r="L2478" s="2" t="str">
        <x:v>property_type_inferred_from_title;transaction_assumed_sale_from_dataset_context</x:v>
      </x:c>
      <x:c r="M2478" s="10" t="n">
        <x:v>0</x:v>
      </x:c>
      <x:c r="N2478" s="10" t="n">
        <x:v>0</x:v>
      </x:c>
      <x:c r="O2478" s="2" t="str">
        <x:v>Tp Hồ Chí Minh|land</x:v>
      </x:c>
      <x:c r="P2478" s="10" t="n">
        <x:v>2</x:v>
      </x:c>
      <x:c r="Q2478" s="13" t="n">
        <x:f>IF(H2478="","",H2478/1000000000)</x:f>
        <x:v>2.35</x:v>
      </x:c>
      <x:c r="R2478" s="13" t="n">
        <x:f>IF(I2478="","",I2478/1000000)</x:f>
        <x:v>26.11111111111111</x:v>
      </x:c>
    </x:row>
    <x:row r="2479" ht="21" customHeight="1">
      <x:c r="A2479" s="10" t="n">
        <x:v>3489</x:v>
      </x:c>
      <x:c r="B2479" s="2" t="str">
        <x:v>e13ff861fae743889ad8</x:v>
      </x:c>
      <x:c r="C2479" s="2" t="str">
        <x:v>Lâm Đồng</x:v>
      </x:c>
      <x:c r="D2479" s="2" t="str">
        <x:v>Thành phố Bảo Lộc</x:v>
      </x:c>
      <x:c r="E2479" s="2" t="str">
        <x:v>land</x:v>
      </x:c>
      <x:c r="F2479" s="2" t="str">
        <x:v>sale</x:v>
      </x:c>
      <x:c r="G2479" s="11" t="n">
        <x:v>100</x:v>
      </x:c>
      <x:c r="H2479" s="12" t="n">
        <x:v>600000000</x:v>
      </x:c>
      <x:c r="I2479" s="12" t="n">
        <x:v>6000000</x:v>
      </x:c>
      <x:c r="J2479" s="2" t="str">
        <x:v>total</x:v>
      </x:c>
      <x:c r="K2479" s="2" t="str">
        <x:v>top_level_area</x:v>
      </x:c>
      <x:c r="L2479" s="2" t="str">
        <x:v>property_type_inferred_from_title</x:v>
      </x:c>
      <x:c r="M2479" s="10" t="n">
        <x:v>0</x:v>
      </x:c>
      <x:c r="N2479" s="10" t="n">
        <x:v>0</x:v>
      </x:c>
      <x:c r="O2479" s="2" t="str">
        <x:v>Lâm Đồng|land</x:v>
      </x:c>
      <x:c r="P2479" s="10" t="n">
        <x:v>2</x:v>
      </x:c>
      <x:c r="Q2479" s="13" t="n">
        <x:f>IF(H2479="","",H2479/1000000000)</x:f>
        <x:v>0.6</x:v>
      </x:c>
      <x:c r="R2479" s="13" t="n">
        <x:f>IF(I2479="","",I2479/1000000)</x:f>
        <x:v>6</x:v>
      </x:c>
    </x:row>
    <x:row r="2480" ht="21" customHeight="1">
      <x:c r="A2480" s="10" t="n">
        <x:v>3490</x:v>
      </x:c>
      <x:c r="B2480" s="2" t="str">
        <x:v>86f50d219dcb00876749</x:v>
      </x:c>
      <x:c r="C2480" s="2" t="str">
        <x:v>Bình Dương</x:v>
      </x:c>
      <x:c r="D2480" s="2" t="str">
        <x:v>Thị xã Dĩ An</x:v>
      </x:c>
      <x:c r="E2480" s="2" t="str">
        <x:v>apartment</x:v>
      </x:c>
      <x:c r="F2480" s="2" t="str">
        <x:v>sale_assumed</x:v>
      </x:c>
      <x:c r="G2480" s="11" t="n">
        <x:v>60</x:v>
      </x:c>
      <x:c r="H2480" s="12" t="n">
        <x:v>2000000000</x:v>
      </x:c>
      <x:c r="I2480" s="12" t="n">
        <x:v>33333333.333333332</x:v>
      </x:c>
      <x:c r="J2480" s="2" t="str">
        <x:v>total</x:v>
      </x:c>
      <x:c r="K2480" s="2" t="str">
        <x:v>top_level_area</x:v>
      </x:c>
      <x:c r="L2480" s="2" t="str">
        <x:v>property_type_inferred_from_title;transaction_assumed_sale_from_dataset_context</x:v>
      </x:c>
      <x:c r="M2480" s="10" t="n">
        <x:v>0</x:v>
      </x:c>
      <x:c r="N2480" s="10" t="n">
        <x:v>0</x:v>
      </x:c>
      <x:c r="O2480" s="2" t="str">
        <x:v>Bình Dương|apartment</x:v>
      </x:c>
      <x:c r="P2480" s="10" t="n">
        <x:v>2</x:v>
      </x:c>
      <x:c r="Q2480" s="13" t="n">
        <x:f>IF(H2480="","",H2480/1000000000)</x:f>
        <x:v>2</x:v>
      </x:c>
      <x:c r="R2480" s="13" t="n">
        <x:f>IF(I2480="","",I2480/1000000)</x:f>
        <x:v>33.33333333333333</x:v>
      </x:c>
    </x:row>
    <x:row r="2481" ht="21" customHeight="1">
      <x:c r="A2481" s="10" t="n">
        <x:v>3491</x:v>
      </x:c>
      <x:c r="B2481" s="2" t="str">
        <x:v>ecef25ebeef0ed653de4</x:v>
      </x:c>
      <x:c r="C2481" s="2" t="str">
        <x:v>Tp Hồ Chí Minh</x:v>
      </x:c>
      <x:c r="D2481" s="2" t="str">
        <x:v>Huyện Hóc Môn</x:v>
      </x:c>
      <x:c r="E2481" s="2" t="str">
        <x:v>house</x:v>
      </x:c>
      <x:c r="F2481" s="2" t="str">
        <x:v>sale</x:v>
      </x:c>
      <x:c r="G2481" s="11" t="n">
        <x:v>54</x:v>
      </x:c>
      <x:c r="H2481" s="12" t="n">
        <x:v>100000000</x:v>
      </x:c>
      <x:c r="I2481" s="12" t="n">
        <x:v>1851851.851851852</x:v>
      </x:c>
      <x:c r="J2481" s="2" t="str">
        <x:v>total</x:v>
      </x:c>
      <x:c r="K2481" s="2" t="str">
        <x:v>top_level_area</x:v>
      </x:c>
      <x:c r="L2481" s="2" t="str">
        <x:v>property_type_inferred_from_title</x:v>
      </x:c>
      <x:c r="M2481" s="10" t="n">
        <x:v>0</x:v>
      </x:c>
      <x:c r="N2481" s="10" t="n">
        <x:v>0</x:v>
      </x:c>
      <x:c r="O2481" s="2" t="str">
        <x:v>Tp Hồ Chí Minh|house</x:v>
      </x:c>
      <x:c r="P2481" s="10" t="n">
        <x:v>2</x:v>
      </x:c>
      <x:c r="Q2481" s="13" t="n">
        <x:f>IF(H2481="","",H2481/1000000000)</x:f>
        <x:v>0.1</x:v>
      </x:c>
      <x:c r="R2481" s="13" t="n">
        <x:f>IF(I2481="","",I2481/1000000)</x:f>
        <x:v>1.8518518518518519</x:v>
      </x:c>
    </x:row>
    <x:row r="2482" ht="21" customHeight="1">
      <x:c r="A2482" s="10" t="n">
        <x:v>3492</x:v>
      </x:c>
      <x:c r="B2482" s="2" t="str">
        <x:v>979a748069d54c460b99</x:v>
      </x:c>
      <x:c r="C2482" s="2" t="str">
        <x:v>Đồng Nai</x:v>
      </x:c>
      <x:c r="D2482" s="2" t="str">
        <x:v>Huyện Long Thành</x:v>
      </x:c>
      <x:c r="E2482" s="2" t="str">
        <x:v>land</x:v>
      </x:c>
      <x:c r="F2482" s="2" t="str">
        <x:v>sale</x:v>
      </x:c>
      <x:c r="G2482" s="11" t="n">
        <x:v>150</x:v>
      </x:c>
      <x:c r="H2482" s="12" t="n">
        <x:v>650000000</x:v>
      </x:c>
      <x:c r="I2482" s="12" t="n">
        <x:v>4333333.333333333</x:v>
      </x:c>
      <x:c r="J2482" s="2" t="str">
        <x:v>total</x:v>
      </x:c>
      <x:c r="K2482" s="2" t="str">
        <x:v>top_level_area</x:v>
      </x:c>
      <x:c r="L2482" s="2" t="str">
        <x:v>property_type_inferred_from_title</x:v>
      </x:c>
      <x:c r="M2482" s="10" t="n">
        <x:v>0</x:v>
      </x:c>
      <x:c r="N2482" s="10" t="n">
        <x:v>0</x:v>
      </x:c>
      <x:c r="O2482" s="2" t="str">
        <x:v>Đồng Nai|land</x:v>
      </x:c>
      <x:c r="P2482" s="10" t="n">
        <x:v>1</x:v>
      </x:c>
      <x:c r="Q2482" s="13" t="n">
        <x:f>IF(H2482="","",H2482/1000000000)</x:f>
        <x:v>0.65</x:v>
      </x:c>
      <x:c r="R2482" s="13" t="n">
        <x:f>IF(I2482="","",I2482/1000000)</x:f>
        <x:v>4.333333333333333</x:v>
      </x:c>
    </x:row>
    <x:row r="2483" ht="21" customHeight="1">
      <x:c r="A2483" s="10" t="n">
        <x:v>3493</x:v>
      </x:c>
      <x:c r="B2483" s="2" t="str">
        <x:v>bf7138d609fda3a58d55</x:v>
      </x:c>
      <x:c r="C2483" s="2" t="str">
        <x:v>Tp Hồ Chí Minh</x:v>
      </x:c>
      <x:c r="D2483" s="2" t="str">
        <x:v>Huyện Bình Chánh</x:v>
      </x:c>
      <x:c r="E2483" s="2" t="str">
        <x:v>house</x:v>
      </x:c>
      <x:c r="F2483" s="2" t="str">
        <x:v>sale_with_rental_income</x:v>
      </x:c>
      <x:c r="G2483" s="11" t="n">
        <x:v>40</x:v>
      </x:c>
      <x:c r="H2483" s="12" t="n">
        <x:v>400000000</x:v>
      </x:c>
      <x:c r="I2483" s="12" t="n">
        <x:v>10000000</x:v>
      </x:c>
      <x:c r="J2483" s="2" t="str">
        <x:v>total</x:v>
      </x:c>
      <x:c r="K2483" s="2" t="str">
        <x:v>top_level_area</x:v>
      </x:c>
      <x:c r="L2483" s="2" t="str">
        <x:v>property_type_inferred_from_title;rental_income_mentioned</x:v>
      </x:c>
      <x:c r="M2483" s="10" t="n">
        <x:v>0</x:v>
      </x:c>
      <x:c r="N2483" s="10" t="n">
        <x:v>0</x:v>
      </x:c>
      <x:c r="O2483" s="2" t="str">
        <x:v>Tp Hồ Chí Minh|house</x:v>
      </x:c>
      <x:c r="P2483" s="10" t="n">
        <x:v>2</x:v>
      </x:c>
      <x:c r="Q2483" s="13" t="n">
        <x:f>IF(H2483="","",H2483/1000000000)</x:f>
        <x:v>0.4</x:v>
      </x:c>
      <x:c r="R2483" s="13" t="n">
        <x:f>IF(I2483="","",I2483/1000000)</x:f>
        <x:v>10</x:v>
      </x:c>
    </x:row>
    <x:row r="2484" ht="21" customHeight="1">
      <x:c r="A2484" s="10" t="n">
        <x:v>3494</x:v>
      </x:c>
      <x:c r="B2484" s="2" t="str">
        <x:v>c7a259a8ff0a07a585b9</x:v>
      </x:c>
      <x:c r="C2484" s="2" t="str">
        <x:v>Long An</x:v>
      </x:c>
      <x:c r="D2484" s="2" t="str">
        <x:v>Huyện Cần Giuộc</x:v>
      </x:c>
      <x:c r="E2484" s="2" t="str">
        <x:v>house</x:v>
      </x:c>
      <x:c r="F2484" s="2" t="str">
        <x:v>sale_assumed</x:v>
      </x:c>
      <x:c r="G2484" s="11" t="n">
        <x:v>8</x:v>
      </x:c>
      <x:c r="H2484" s="12" t="n">
        <x:v>1690000000</x:v>
      </x:c>
      <x:c r="I2484" s="12" t="n">
        <x:v>211250000</x:v>
      </x:c>
      <x:c r="J2484" s="2" t="str">
        <x:v>total</x:v>
      </x:c>
      <x:c r="K2484" s="2" t="str">
        <x:v>top_level_area</x:v>
      </x:c>
      <x:c r="L2484" s="2" t="str">
        <x:v>property_type_inferred_from_title;transaction_assumed_sale_from_dataset_context</x:v>
      </x:c>
      <x:c r="M2484" s="10" t="n">
        <x:v>1</x:v>
      </x:c>
      <x:c r="N2484" s="10" t="n">
        <x:v>1</x:v>
      </x:c>
      <x:c r="O2484" s="2" t="str">
        <x:v>Long An|house</x:v>
      </x:c>
      <x:c r="P2484" s="10" t="n">
        <x:v>-1</x:v>
      </x:c>
      <x:c r="Q2484" s="13" t="n">
        <x:f>IF(H2484="","",H2484/1000000000)</x:f>
        <x:v>1.69</x:v>
      </x:c>
      <x:c r="R2484" s="13" t="n">
        <x:f>IF(I2484="","",I2484/1000000)</x:f>
        <x:v>211.25</x:v>
      </x:c>
    </x:row>
    <x:row r="2485" ht="21" customHeight="1">
      <x:c r="A2485" s="10" t="n">
        <x:v>3495</x:v>
      </x:c>
      <x:c r="B2485" s="2" t="str">
        <x:v>3ef63ba494228eaa85eb</x:v>
      </x:c>
      <x:c r="C2485" s="2" t="str">
        <x:v>Bà Rịa - Vũng Tàu</x:v>
      </x:c>
      <x:c r="D2485" s="2" t="str">
        <x:v>Huyện Châu Đức</x:v>
      </x:c>
      <x:c r="E2485" s="2" t="str">
        <x:v>other_unknown</x:v>
      </x:c>
      <x:c r="F2485" s="2" t="str">
        <x:v>sale_assumed</x:v>
      </x:c>
      <x:c r="G2485" s="11" t="n">
        <x:v>100</x:v>
      </x:c>
      <x:c r="H2485" s="12" t="n">
        <x:v>730000000</x:v>
      </x:c>
      <x:c r="I2485" s="12" t="n">
        <x:v>7300000</x:v>
      </x:c>
      <x:c r="J2485" s="2" t="str">
        <x:v>total</x:v>
      </x:c>
      <x:c r="K2485" s="2" t="str">
        <x:v>top_level_area</x:v>
      </x:c>
      <x:c r="L2485" s="2" t="str">
        <x:v>property_type_inferred_from_title;transaction_assumed_sale_from_dataset_context;unknown_property_type</x:v>
      </x:c>
      <x:c r="M2485" s="10" t="n">
        <x:v>0</x:v>
      </x:c>
      <x:c r="N2485" s="10" t="n">
        <x:v>0</x:v>
      </x:c>
      <x:c r="O2485" s="2" t="str">
        <x:v>other_unknown</x:v>
      </x:c>
      <x:c r="P2485" s="10" t="n">
        <x:v>2</x:v>
      </x:c>
      <x:c r="Q2485" s="13" t="n">
        <x:f>IF(H2485="","",H2485/1000000000)</x:f>
        <x:v>0.73</x:v>
      </x:c>
      <x:c r="R2485" s="13" t="n">
        <x:f>IF(I2485="","",I2485/1000000)</x:f>
        <x:v>7.3</x:v>
      </x:c>
    </x:row>
    <x:row r="2486" ht="21" customHeight="1">
      <x:c r="A2486" s="10" t="n">
        <x:v>3496</x:v>
      </x:c>
      <x:c r="B2486" s="2" t="str">
        <x:v>c437bee801969d04c539</x:v>
      </x:c>
      <x:c r="C2486" s="2" t="str">
        <x:v>Tp Hồ Chí Minh</x:v>
      </x:c>
      <x:c r="D2486" s="2" t="str">
        <x:v>Quận Tân Phú</x:v>
      </x:c>
      <x:c r="E2486" s="2" t="str">
        <x:v>apartment</x:v>
      </x:c>
      <x:c r="F2486" s="2" t="str">
        <x:v>sale_assumed</x:v>
      </x:c>
      <x:c r="G2486" s="11" t="n">
        <x:v>36</x:v>
      </x:c>
      <x:c r="H2486" s="12" t="n">
        <x:v>1300000000</x:v>
      </x:c>
      <x:c r="I2486" s="12" t="n">
        <x:v>36111111.11111111</x:v>
      </x:c>
      <x:c r="J2486" s="2" t="str">
        <x:v>total</x:v>
      </x:c>
      <x:c r="K2486" s="2" t="str">
        <x:v>top_level_area</x:v>
      </x:c>
      <x:c r="L2486" s="2" t="str">
        <x:v>property_type_inferred_from_title;transaction_assumed_sale_from_dataset_context</x:v>
      </x:c>
      <x:c r="M2486" s="10" t="n">
        <x:v>0</x:v>
      </x:c>
      <x:c r="N2486" s="10" t="n">
        <x:v>0</x:v>
      </x:c>
      <x:c r="O2486" s="2" t="str">
        <x:v>Tp Hồ Chí Minh|apartment</x:v>
      </x:c>
      <x:c r="P2486" s="10" t="n">
        <x:v>2</x:v>
      </x:c>
      <x:c r="Q2486" s="13" t="n">
        <x:f>IF(H2486="","",H2486/1000000000)</x:f>
        <x:v>1.3</x:v>
      </x:c>
      <x:c r="R2486" s="13" t="n">
        <x:f>IF(I2486="","",I2486/1000000)</x:f>
        <x:v>36.111111111111114</x:v>
      </x:c>
    </x:row>
    <x:row r="2487" ht="21" customHeight="1">
      <x:c r="A2487" s="10" t="n">
        <x:v>3497</x:v>
      </x:c>
      <x:c r="B2487" s="2" t="str">
        <x:v>e2299dc8c928a22de338</x:v>
      </x:c>
      <x:c r="C2487" s="2" t="str">
        <x:v>Khánh Hòa</x:v>
      </x:c>
      <x:c r="D2487" s="2" t="str">
        <x:v>Thành phố Nha Trang</x:v>
      </x:c>
      <x:c r="E2487" s="2" t="str">
        <x:v>other_unknown</x:v>
      </x:c>
      <x:c r="F2487" s="2" t="str">
        <x:v>sale</x:v>
      </x:c>
      <x:c r="G2487" s="11" t="n">
        <x:v>100</x:v>
      </x:c>
      <x:c r="H2487" s="12" t="n">
        <x:v>1600000000</x:v>
      </x:c>
      <x:c r="I2487" s="12" t="n">
        <x:v>16000000</x:v>
      </x:c>
      <x:c r="J2487" s="2" t="str">
        <x:v>total</x:v>
      </x:c>
      <x:c r="K2487" s="2" t="str">
        <x:v>top_level_area</x:v>
      </x:c>
      <x:c r="L2487" s="2" t="str">
        <x:v>property_type_inferred_from_title;unknown_property_type</x:v>
      </x:c>
      <x:c r="M2487" s="10" t="n">
        <x:v>0</x:v>
      </x:c>
      <x:c r="N2487" s="10" t="n">
        <x:v>0</x:v>
      </x:c>
      <x:c r="O2487" s="2" t="str">
        <x:v>other_unknown</x:v>
      </x:c>
      <x:c r="P2487" s="10" t="n">
        <x:v>2</x:v>
      </x:c>
      <x:c r="Q2487" s="13" t="n">
        <x:f>IF(H2487="","",H2487/1000000000)</x:f>
        <x:v>1.6</x:v>
      </x:c>
      <x:c r="R2487" s="13" t="n">
        <x:f>IF(I2487="","",I2487/1000000)</x:f>
        <x:v>16</x:v>
      </x:c>
    </x:row>
    <x:row r="2488" ht="21" customHeight="1">
      <x:c r="A2488" s="10" t="n">
        <x:v>3498</x:v>
      </x:c>
      <x:c r="B2488" s="2" t="str">
        <x:v>869b094144bebcd49318</x:v>
      </x:c>
      <x:c r="C2488" s="2" t="str">
        <x:v>Tp Hồ Chí Minh</x:v>
      </x:c>
      <x:c r="D2488" s="2" t="str">
        <x:v>Quận 7</x:v>
      </x:c>
      <x:c r="E2488" s="2" t="str">
        <x:v>other_unknown</x:v>
      </x:c>
      <x:c r="F2488" s="2" t="str">
        <x:v>sale_assumed</x:v>
      </x:c>
      <x:c r="G2488" s="11" t="n">
        <x:v>122</x:v>
      </x:c>
      <x:c r="H2488" s="12" t="n">
        <x:v>25500000000</x:v>
      </x:c>
      <x:c r="I2488" s="12" t="n">
        <x:v>209016393.44262296</x:v>
      </x:c>
      <x:c r="J2488" s="2" t="str">
        <x:v>total</x:v>
      </x:c>
      <x:c r="K2488" s="2" t="str">
        <x:v>top_level_area</x:v>
      </x:c>
      <x:c r="L2488" s="2" t="str">
        <x:v>property_type_inferred_from_title;transaction_assumed_sale_from_dataset_context;unknown_property_type</x:v>
      </x:c>
      <x:c r="M2488" s="10" t="n">
        <x:v>1</x:v>
      </x:c>
      <x:c r="N2488" s="10" t="n">
        <x:v>1</x:v>
      </x:c>
      <x:c r="O2488" s="2" t="str">
        <x:v>Tp Hồ Chí Minh|other_unknown</x:v>
      </x:c>
      <x:c r="P2488" s="10" t="n">
        <x:v>-1</x:v>
      </x:c>
      <x:c r="Q2488" s="13" t="n">
        <x:f>IF(H2488="","",H2488/1000000000)</x:f>
        <x:v>25.5</x:v>
      </x:c>
      <x:c r="R2488" s="13" t="n">
        <x:f>IF(I2488="","",I2488/1000000)</x:f>
        <x:v>209.01639344262296</x:v>
      </x:c>
    </x:row>
    <x:row r="2489" ht="21" customHeight="1">
      <x:c r="A2489" s="10" t="n">
        <x:v>3499</x:v>
      </x:c>
      <x:c r="B2489" s="2" t="str">
        <x:v>823420553c6ca1eee6f4</x:v>
      </x:c>
      <x:c r="C2489" s="2" t="str">
        <x:v>Đồng Nai</x:v>
      </x:c>
      <x:c r="D2489" s="2" t="str">
        <x:v>Thành phố Biên Hòa</x:v>
      </x:c>
      <x:c r="E2489" s="2" t="str">
        <x:v>apartment</x:v>
      </x:c>
      <x:c r="F2489" s="2" t="str">
        <x:v>sale_assumed</x:v>
      </x:c>
      <x:c r="G2489" s="11" t="n">
        <x:v>84</x:v>
      </x:c>
      <x:c r="H2489" s="12" t="n">
        <x:v>2500000000</x:v>
      </x:c>
      <x:c r="I2489" s="12" t="n">
        <x:v>29761904.76190476</x:v>
      </x:c>
      <x:c r="J2489" s="2" t="str">
        <x:v>total</x:v>
      </x:c>
      <x:c r="K2489" s="2" t="str">
        <x:v>top_level_area</x:v>
      </x:c>
      <x:c r="L2489" s="2" t="str">
        <x:v>property_type_inferred_from_title;transaction_assumed_sale_from_dataset_context</x:v>
      </x:c>
      <x:c r="M2489" s="10" t="n">
        <x:v>0</x:v>
      </x:c>
      <x:c r="N2489" s="10" t="n">
        <x:v>0</x:v>
      </x:c>
      <x:c r="O2489" s="2" t="str">
        <x:v>apartment</x:v>
      </x:c>
      <x:c r="P2489" s="10" t="n">
        <x:v>2</x:v>
      </x:c>
      <x:c r="Q2489" s="13" t="n">
        <x:f>IF(H2489="","",H2489/1000000000)</x:f>
        <x:v>2.5</x:v>
      </x:c>
      <x:c r="R2489" s="13" t="n">
        <x:f>IF(I2489="","",I2489/1000000)</x:f>
        <x:v>29.761904761904763</x:v>
      </x:c>
    </x:row>
    <x:row r="2490" ht="21" customHeight="1">
      <x:c r="A2490" s="10" t="n">
        <x:v>3500</x:v>
      </x:c>
      <x:c r="B2490" s="2" t="str">
        <x:v>493e3b131a029077844c</x:v>
      </x:c>
      <x:c r="C2490" s="2" t="str">
        <x:v>Tp Hồ Chí Minh</x:v>
      </x:c>
      <x:c r="D2490" s="2" t="str">
        <x:v>Huyện Củ Chi</x:v>
      </x:c>
      <x:c r="E2490" s="2" t="str">
        <x:v>house</x:v>
      </x:c>
      <x:c r="F2490" s="2" t="str">
        <x:v>sale</x:v>
      </x:c>
      <x:c r="G2490" s="11" t="n">
        <x:v>1019</x:v>
      </x:c>
      <x:c r="H2490" s="12" t="n">
        <x:v>5000000000</x:v>
      </x:c>
      <x:c r="I2490" s="12" t="n">
        <x:v>4906771.344455348</x:v>
      </x:c>
      <x:c r="J2490" s="2" t="str">
        <x:v>total</x:v>
      </x:c>
      <x:c r="K2490" s="2" t="str">
        <x:v>top_level_price_embedded_area</x:v>
      </x:c>
      <x:c r="L2490" s="2" t="str">
        <x:v>area_recovered_from_price_text;dot_thousands_convention;property_type_inferred_from_title</x:v>
      </x:c>
      <x:c r="M2490" s="10" t="n">
        <x:v>0</x:v>
      </x:c>
      <x:c r="N2490" s="10" t="n">
        <x:v>0</x:v>
      </x:c>
      <x:c r="O2490" s="2" t="str">
        <x:v>Tp Hồ Chí Minh|house</x:v>
      </x:c>
      <x:c r="P2490" s="10" t="n">
        <x:v>1</x:v>
      </x:c>
      <x:c r="Q2490" s="13" t="n">
        <x:f>IF(H2490="","",H2490/1000000000)</x:f>
        <x:v>5</x:v>
      </x:c>
      <x:c r="R2490" s="13" t="n">
        <x:f>IF(I2490="","",I2490/1000000)</x:f>
        <x:v>4.906771344455349</x:v>
      </x:c>
    </x:row>
    <x:row r="2491" ht="21" customHeight="1">
      <x:c r="A2491" s="10" t="n">
        <x:v>3501</x:v>
      </x:c>
      <x:c r="B2491" s="2" t="str">
        <x:v>3a81ea7b1f0ba0af15ff</x:v>
      </x:c>
      <x:c r="C2491" s="2" t="str">
        <x:v>Tây Ninh</x:v>
      </x:c>
      <x:c r="D2491" s="2" t="str">
        <x:v>Huyện Hòa Thành</x:v>
      </x:c>
      <x:c r="E2491" s="2" t="str">
        <x:v>land</x:v>
      </x:c>
      <x:c r="F2491" s="2" t="str">
        <x:v>sale</x:v>
      </x:c>
      <x:c r="G2491" s="11" t="n">
        <x:v>218</x:v>
      </x:c>
      <x:c r="H2491" s="12" t="n">
        <x:v>425000000</x:v>
      </x:c>
      <x:c r="I2491" s="12" t="n">
        <x:v>1949541.2844036696</x:v>
      </x:c>
      <x:c r="J2491" s="2" t="str">
        <x:v>total</x:v>
      </x:c>
      <x:c r="K2491" s="2" t="str">
        <x:v>top_level_area</x:v>
      </x:c>
      <x:c r="L2491" s="2" t="str">
        <x:v>property_type_inferred_from_title</x:v>
      </x:c>
      <x:c r="M2491" s="10" t="n">
        <x:v>0</x:v>
      </x:c>
      <x:c r="N2491" s="10" t="n">
        <x:v>0</x:v>
      </x:c>
      <x:c r="O2491" s="2" t="str">
        <x:v>land</x:v>
      </x:c>
      <x:c r="P2491" s="10" t="n">
        <x:v>1</x:v>
      </x:c>
      <x:c r="Q2491" s="13" t="n">
        <x:f>IF(H2491="","",H2491/1000000000)</x:f>
        <x:v>0.425</x:v>
      </x:c>
      <x:c r="R2491" s="13" t="n">
        <x:f>IF(I2491="","",I2491/1000000)</x:f>
        <x:v>1.9495412844036697</x:v>
      </x:c>
    </x:row>
    <x:row r="2492" ht="21" customHeight="1">
      <x:c r="A2492" s="10" t="n">
        <x:v>3505</x:v>
      </x:c>
      <x:c r="B2492" s="2" t="str">
        <x:v>80184f7210ad52471ed8</x:v>
      </x:c>
      <x:c r="C2492" s="2" t="str">
        <x:v>Bình Dương</x:v>
      </x:c>
      <x:c r="D2492" s="2" t="str">
        <x:v>Thị xã Dĩ An</x:v>
      </x:c>
      <x:c r="E2492" s="2" t="str">
        <x:v>other_unknown</x:v>
      </x:c>
      <x:c r="F2492" s="2" t="str">
        <x:v>sale_assumed</x:v>
      </x:c>
      <x:c r="G2492" s="11" t="n">
        <x:v>300</x:v>
      </x:c>
      <x:c r="H2492" s="12" t="n">
        <x:v>1450000000</x:v>
      </x:c>
      <x:c r="I2492" s="12" t="n">
        <x:v>4833333.333333333</x:v>
      </x:c>
      <x:c r="J2492" s="2" t="str">
        <x:v>total</x:v>
      </x:c>
      <x:c r="K2492" s="2" t="str">
        <x:v>top_level_area</x:v>
      </x:c>
      <x:c r="L2492" s="2" t="str">
        <x:v>property_type_inferred_from_title;transaction_assumed_sale_from_dataset_context;unknown_property_type</x:v>
      </x:c>
      <x:c r="M2492" s="10" t="n">
        <x:v>0</x:v>
      </x:c>
      <x:c r="N2492" s="10" t="n">
        <x:v>0</x:v>
      </x:c>
      <x:c r="O2492" s="2" t="str">
        <x:v>Bình Dương|other_unknown</x:v>
      </x:c>
      <x:c r="P2492" s="10" t="n">
        <x:v>1</x:v>
      </x:c>
      <x:c r="Q2492" s="13" t="n">
        <x:f>IF(H2492="","",H2492/1000000000)</x:f>
        <x:v>1.45</x:v>
      </x:c>
      <x:c r="R2492" s="13" t="n">
        <x:f>IF(I2492="","",I2492/1000000)</x:f>
        <x:v>4.833333333333333</x:v>
      </x:c>
    </x:row>
    <x:row r="2493" ht="21" customHeight="1">
      <x:c r="A2493" s="10" t="n">
        <x:v>3506</x:v>
      </x:c>
      <x:c r="B2493" s="2" t="str">
        <x:v>d7de4241eccf23fb3c42</x:v>
      </x:c>
      <x:c r="C2493" s="2" t="str">
        <x:v>Long An</x:v>
      </x:c>
      <x:c r="D2493" s="2" t="str">
        <x:v>Huyện Cần Đước</x:v>
      </x:c>
      <x:c r="E2493" s="2" t="str">
        <x:v>land</x:v>
      </x:c>
      <x:c r="F2493" s="2" t="str">
        <x:v>sale</x:v>
      </x:c>
      <x:c r="G2493" s="11" t="n">
        <x:v>117</x:v>
      </x:c>
      <x:c r="H2493" s="12" t="n">
        <x:v>450000000</x:v>
      </x:c>
      <x:c r="I2493" s="12" t="n">
        <x:v>3846153.846153846</x:v>
      </x:c>
      <x:c r="J2493" s="2" t="str">
        <x:v>total</x:v>
      </x:c>
      <x:c r="K2493" s="2" t="str">
        <x:v>top_level_area</x:v>
      </x:c>
      <x:c r="L2493" s="2" t="str">
        <x:v>property_type_inferred_from_title</x:v>
      </x:c>
      <x:c r="M2493" s="10" t="n">
        <x:v>0</x:v>
      </x:c>
      <x:c r="N2493" s="10" t="n">
        <x:v>0</x:v>
      </x:c>
      <x:c r="O2493" s="2" t="str">
        <x:v>Long An|land</x:v>
      </x:c>
      <x:c r="P2493" s="10" t="n">
        <x:v>2</x:v>
      </x:c>
      <x:c r="Q2493" s="13" t="n">
        <x:f>IF(H2493="","",H2493/1000000000)</x:f>
        <x:v>0.45</x:v>
      </x:c>
      <x:c r="R2493" s="13" t="n">
        <x:f>IF(I2493="","",I2493/1000000)</x:f>
        <x:v>3.846153846153846</x:v>
      </x:c>
    </x:row>
    <x:row r="2494" ht="21" customHeight="1">
      <x:c r="A2494" s="10" t="n">
        <x:v>3507</x:v>
      </x:c>
      <x:c r="B2494" s="2" t="str">
        <x:v>4c9b2b97484c3d0dc946</x:v>
      </x:c>
      <x:c r="C2494" s="2" t="str">
        <x:v>Tp Hồ Chí Minh</x:v>
      </x:c>
      <x:c r="D2494" s="2" t="str">
        <x:v>Huyện Củ Chi</x:v>
      </x:c>
      <x:c r="E2494" s="2" t="str">
        <x:v>land</x:v>
      </x:c>
      <x:c r="F2494" s="2" t="str">
        <x:v>sale</x:v>
      </x:c>
      <x:c r="G2494" s="11" t="n">
        <x:v>500</x:v>
      </x:c>
      <x:c r="H2494" s="12" t="n">
        <x:v>750000000</x:v>
      </x:c>
      <x:c r="I2494" s="12" t="n">
        <x:v>1500000</x:v>
      </x:c>
      <x:c r="J2494" s="2" t="str">
        <x:v>total</x:v>
      </x:c>
      <x:c r="K2494" s="2" t="str">
        <x:v>top_level_area</x:v>
      </x:c>
      <x:c r="L2494" s="2" t="str">
        <x:v>property_type_inferred_from_title</x:v>
      </x:c>
      <x:c r="M2494" s="10" t="n">
        <x:v>0</x:v>
      </x:c>
      <x:c r="N2494" s="10" t="n">
        <x:v>0</x:v>
      </x:c>
      <x:c r="O2494" s="2" t="str">
        <x:v>Tp Hồ Chí Minh|land</x:v>
      </x:c>
      <x:c r="P2494" s="10" t="n">
        <x:v>1</x:v>
      </x:c>
      <x:c r="Q2494" s="13" t="n">
        <x:f>IF(H2494="","",H2494/1000000000)</x:f>
        <x:v>0.75</x:v>
      </x:c>
      <x:c r="R2494" s="13" t="n">
        <x:f>IF(I2494="","",I2494/1000000)</x:f>
        <x:v>1.5</x:v>
      </x:c>
    </x:row>
    <x:row r="2495" ht="21" customHeight="1">
      <x:c r="A2495" s="10" t="n">
        <x:v>3508</x:v>
      </x:c>
      <x:c r="B2495" s="2" t="str">
        <x:v>a24d830aefe2c5a38ed4</x:v>
      </x:c>
      <x:c r="C2495" s="2" t="str">
        <x:v>Tp Hồ Chí Minh</x:v>
      </x:c>
      <x:c r="D2495" s="2" t="str">
        <x:v>Quận 7</x:v>
      </x:c>
      <x:c r="E2495" s="2" t="str">
        <x:v>house</x:v>
      </x:c>
      <x:c r="F2495" s="2" t="str">
        <x:v>sale_assumed</x:v>
      </x:c>
      <x:c r="G2495" s="11" t="n">
        <x:v>71</x:v>
      </x:c>
      <x:c r="H2495" s="12" t="n">
        <x:v>7300000000</x:v>
      </x:c>
      <x:c r="I2495" s="12" t="n">
        <x:v>102816901.40845071</x:v>
      </x:c>
      <x:c r="J2495" s="2" t="str">
        <x:v>total</x:v>
      </x:c>
      <x:c r="K2495" s="2" t="str">
        <x:v>top_level_price_embedded_area</x:v>
      </x:c>
      <x:c r="L2495" s="2" t="str">
        <x:v>area_recovered_from_price_text;property_type_inferred_from_title;transaction_assumed_sale_from_dataset_context</x:v>
      </x:c>
      <x:c r="M2495" s="10" t="n">
        <x:v>0</x:v>
      </x:c>
      <x:c r="N2495" s="10" t="n">
        <x:v>0</x:v>
      </x:c>
      <x:c r="O2495" s="2" t="str">
        <x:v>Tp Hồ Chí Minh|house</x:v>
      </x:c>
      <x:c r="P2495" s="10" t="n">
        <x:v>2</x:v>
      </x:c>
      <x:c r="Q2495" s="13" t="n">
        <x:f>IF(H2495="","",H2495/1000000000)</x:f>
        <x:v>7.3</x:v>
      </x:c>
      <x:c r="R2495" s="13" t="n">
        <x:f>IF(I2495="","",I2495/1000000)</x:f>
        <x:v>102.8169014084507</x:v>
      </x:c>
    </x:row>
    <x:row r="2496" ht="21" customHeight="1">
      <x:c r="A2496" s="10" t="n">
        <x:v>3509</x:v>
      </x:c>
      <x:c r="B2496" s="2" t="str">
        <x:v>78628f151078e2390c5e</x:v>
      </x:c>
      <x:c r="C2496" s="2" t="str">
        <x:v>Bình Dương</x:v>
      </x:c>
      <x:c r="D2496" s="2" t="str">
        <x:v>Thị xã Bến Cát</x:v>
      </x:c>
      <x:c r="E2496" s="2" t="str">
        <x:v>land</x:v>
      </x:c>
      <x:c r="F2496" s="2" t="str">
        <x:v>sale_assumed</x:v>
      </x:c>
      <x:c r="G2496" s="11" t="n">
        <x:v>136</x:v>
      </x:c>
      <x:c r="H2496" s="12" t="n">
        <x:v>1480000000</x:v>
      </x:c>
      <x:c r="I2496" s="12" t="n">
        <x:v>10882352.94117647</x:v>
      </x:c>
      <x:c r="J2496" s="2" t="str">
        <x:v>total</x:v>
      </x:c>
      <x:c r="K2496" s="2" t="str">
        <x:v>top_level_price_embedded_area</x:v>
      </x:c>
      <x:c r="L2496" s="2" t="str">
        <x:v>area_recovered_from_price_text;property_type_inferred_from_title;transaction_assumed_sale_from_dataset_context</x:v>
      </x:c>
      <x:c r="M2496" s="10" t="n">
        <x:v>0</x:v>
      </x:c>
      <x:c r="N2496" s="10" t="n">
        <x:v>0</x:v>
      </x:c>
      <x:c r="O2496" s="2" t="str">
        <x:v>Bình Dương|land</x:v>
      </x:c>
      <x:c r="P2496" s="10" t="n">
        <x:v>2</x:v>
      </x:c>
      <x:c r="Q2496" s="13" t="n">
        <x:f>IF(H2496="","",H2496/1000000000)</x:f>
        <x:v>1.48</x:v>
      </x:c>
      <x:c r="R2496" s="13" t="n">
        <x:f>IF(I2496="","",I2496/1000000)</x:f>
        <x:v>10.882352941176471</x:v>
      </x:c>
    </x:row>
    <x:row r="2497" ht="21" customHeight="1">
      <x:c r="A2497" s="10" t="n">
        <x:v>3510</x:v>
      </x:c>
      <x:c r="B2497" s="2" t="str">
        <x:v>d6c17c774c14e538f277</x:v>
      </x:c>
      <x:c r="C2497" s="2" t="str">
        <x:v>Tp Hồ Chí Minh</x:v>
      </x:c>
      <x:c r="D2497" s="2" t="str">
        <x:v>Quận Gò Vấp</x:v>
      </x:c>
      <x:c r="E2497" s="2" t="str">
        <x:v>house</x:v>
      </x:c>
      <x:c r="F2497" s="2" t="str">
        <x:v>sale_assumed</x:v>
      </x:c>
      <x:c r="G2497" s="11" t="n">
        <x:v>62.9</x:v>
      </x:c>
      <x:c r="H2497" s="12" t="n">
        <x:v>27000000000</x:v>
      </x:c>
      <x:c r="I2497" s="12" t="n">
        <x:v>429252782.1939587</x:v>
      </x:c>
      <x:c r="J2497" s="2" t="str">
        <x:v>total</x:v>
      </x:c>
      <x:c r="K2497" s="2" t="str">
        <x:v>top_level_area</x:v>
      </x:c>
      <x:c r="L2497" s="2" t="str">
        <x:v>property_type_inferred_from_title;transaction_assumed_sale_from_dataset_context</x:v>
      </x:c>
      <x:c r="M2497" s="10" t="n">
        <x:v>1</x:v>
      </x:c>
      <x:c r="N2497" s="10" t="n">
        <x:v>1</x:v>
      </x:c>
      <x:c r="O2497" s="2" t="str">
        <x:v>Tp Hồ Chí Minh|house</x:v>
      </x:c>
      <x:c r="P2497" s="10" t="n">
        <x:v>-1</x:v>
      </x:c>
      <x:c r="Q2497" s="13" t="n">
        <x:f>IF(H2497="","",H2497/1000000000)</x:f>
        <x:v>27</x:v>
      </x:c>
      <x:c r="R2497" s="13" t="n">
        <x:f>IF(I2497="","",I2497/1000000)</x:f>
        <x:v>429.2527821939587</x:v>
      </x:c>
    </x:row>
    <x:row r="2498" ht="21" customHeight="1">
      <x:c r="A2498" s="10" t="n">
        <x:v>3511</x:v>
      </x:c>
      <x:c r="B2498" s="2" t="str">
        <x:v>f8902ca805d259d5bb62</x:v>
      </x:c>
      <x:c r="C2498" s="2" t="str">
        <x:v>Lâm Đồng</x:v>
      </x:c>
      <x:c r="D2498" s="2" t="str">
        <x:v>Thành phố Bảo Lộc</x:v>
      </x:c>
      <x:c r="E2498" s="2" t="str">
        <x:v>land</x:v>
      </x:c>
      <x:c r="F2498" s="2" t="str">
        <x:v>sale_assumed</x:v>
      </x:c>
      <x:c r="G2498" s="11" t="n">
        <x:v>125</x:v>
      </x:c>
      <x:c r="H2498" s="12" t="n">
        <x:v>239000000</x:v>
      </x:c>
      <x:c r="I2498" s="12" t="n">
        <x:v>1912000</x:v>
      </x:c>
      <x:c r="J2498" s="2" t="str">
        <x:v>total</x:v>
      </x:c>
      <x:c r="K2498" s="2" t="str">
        <x:v>top_level_area</x:v>
      </x:c>
      <x:c r="L2498" s="2" t="str">
        <x:v>property_type_inferred_from_title;transaction_assumed_sale_from_dataset_context</x:v>
      </x:c>
      <x:c r="M2498" s="10" t="n">
        <x:v>0</x:v>
      </x:c>
      <x:c r="N2498" s="10" t="n">
        <x:v>0</x:v>
      </x:c>
      <x:c r="O2498" s="2" t="str">
        <x:v>Lâm Đồng|land</x:v>
      </x:c>
      <x:c r="P2498" s="10" t="n">
        <x:v>1</x:v>
      </x:c>
      <x:c r="Q2498" s="13" t="n">
        <x:f>IF(H2498="","",H2498/1000000000)</x:f>
        <x:v>0.239</x:v>
      </x:c>
      <x:c r="R2498" s="13" t="n">
        <x:f>IF(I2498="","",I2498/1000000)</x:f>
        <x:v>1.912</x:v>
      </x:c>
    </x:row>
    <x:row r="2499" ht="21" customHeight="1">
      <x:c r="A2499" s="10" t="n">
        <x:v>3512</x:v>
      </x:c>
      <x:c r="B2499" s="2" t="str">
        <x:v>99135207a535e718d4d8</x:v>
      </x:c>
      <x:c r="C2499" s="2" t="str">
        <x:v>Đồng Nai</x:v>
      </x:c>
      <x:c r="D2499" s="2" t="str">
        <x:v>Thành phố Biên Hòa</x:v>
      </x:c>
      <x:c r="E2499" s="2" t="str">
        <x:v>house</x:v>
      </x:c>
      <x:c r="F2499" s="2" t="str">
        <x:v>sale_assumed</x:v>
      </x:c>
      <x:c r="G2499" s="11" t="n">
        <x:v>70</x:v>
      </x:c>
      <x:c r="H2499" s="12" t="n">
        <x:v>690000000</x:v>
      </x:c>
      <x:c r="I2499" s="12" t="n">
        <x:v>9857142.857142856</x:v>
      </x:c>
      <x:c r="J2499" s="2" t="str">
        <x:v>total</x:v>
      </x:c>
      <x:c r="K2499" s="2" t="str">
        <x:v>top_level_area</x:v>
      </x:c>
      <x:c r="L2499" s="2" t="str">
        <x:v>property_type_inferred_from_title;transaction_assumed_sale_from_dataset_context</x:v>
      </x:c>
      <x:c r="M2499" s="10" t="n">
        <x:v>0</x:v>
      </x:c>
      <x:c r="N2499" s="10" t="n">
        <x:v>0</x:v>
      </x:c>
      <x:c r="O2499" s="2" t="str">
        <x:v>Đồng Nai|house</x:v>
      </x:c>
      <x:c r="P2499" s="10" t="n">
        <x:v>2</x:v>
      </x:c>
      <x:c r="Q2499" s="13" t="n">
        <x:f>IF(H2499="","",H2499/1000000000)</x:f>
        <x:v>0.69</x:v>
      </x:c>
      <x:c r="R2499" s="13" t="n">
        <x:f>IF(I2499="","",I2499/1000000)</x:f>
        <x:v>9.857142857142856</x:v>
      </x:c>
    </x:row>
    <x:row r="2500" ht="21" customHeight="1">
      <x:c r="A2500" s="10" t="n">
        <x:v>3513</x:v>
      </x:c>
      <x:c r="B2500" s="2" t="str">
        <x:v>150ae8011d8bc541fd2a</x:v>
      </x:c>
      <x:c r="C2500" s="2" t="str">
        <x:v>Tp Hồ Chí Minh</x:v>
      </x:c>
      <x:c r="D2500" s="2" t="str">
        <x:v>Quận 8</x:v>
      </x:c>
      <x:c r="E2500" s="2" t="str">
        <x:v>other_unknown</x:v>
      </x:c>
      <x:c r="F2500" s="2" t="str">
        <x:v>sale</x:v>
      </x:c>
      <x:c r="G2500" s="11" t="n">
        <x:v>69</x:v>
      </x:c>
      <x:c r="H2500" s="12" t="n">
        <x:v>2550000000</x:v>
      </x:c>
      <x:c r="I2500" s="12" t="n">
        <x:v>36956521.73913044</x:v>
      </x:c>
      <x:c r="J2500" s="2" t="str">
        <x:v>total</x:v>
      </x:c>
      <x:c r="K2500" s="2" t="str">
        <x:v>top_level_area</x:v>
      </x:c>
      <x:c r="L2500" s="2" t="str">
        <x:v>property_type_inferred_from_title;unknown_property_type</x:v>
      </x:c>
      <x:c r="M2500" s="10" t="n">
        <x:v>0</x:v>
      </x:c>
      <x:c r="N2500" s="10" t="n">
        <x:v>0</x:v>
      </x:c>
      <x:c r="O2500" s="2" t="str">
        <x:v>Tp Hồ Chí Minh|other_unknown</x:v>
      </x:c>
      <x:c r="P2500" s="10" t="n">
        <x:v>2</x:v>
      </x:c>
      <x:c r="Q2500" s="13" t="n">
        <x:f>IF(H2500="","",H2500/1000000000)</x:f>
        <x:v>2.55</x:v>
      </x:c>
      <x:c r="R2500" s="13" t="n">
        <x:f>IF(I2500="","",I2500/1000000)</x:f>
        <x:v>36.95652173913044</x:v>
      </x:c>
    </x:row>
    <x:row r="2501" ht="21" customHeight="1">
      <x:c r="A2501" s="10" t="n">
        <x:v>3514</x:v>
      </x:c>
      <x:c r="B2501" s="2" t="str">
        <x:v>bc11285dc4079b94570a</x:v>
      </x:c>
      <x:c r="C2501" s="2" t="str">
        <x:v>Tp Hồ Chí Minh</x:v>
      </x:c>
      <x:c r="D2501" s="2" t="str">
        <x:v>Quận Bình Tân</x:v>
      </x:c>
      <x:c r="E2501" s="2" t="str">
        <x:v>land</x:v>
      </x:c>
      <x:c r="F2501" s="2" t="str">
        <x:v>sale_assumed</x:v>
      </x:c>
      <x:c r="G2501" s="11" t="n">
        <x:v>84</x:v>
      </x:c>
      <x:c r="H2501" s="12" t="n">
        <x:v>2688000000</x:v>
      </x:c>
      <x:c r="I2501" s="12" t="n">
        <x:v>32000000</x:v>
      </x:c>
      <x:c r="J2501" s="2" t="str">
        <x:v>total</x:v>
      </x:c>
      <x:c r="K2501" s="2" t="str">
        <x:v>top_level_area</x:v>
      </x:c>
      <x:c r="L2501" s="2" t="str">
        <x:v>property_type_inferred_from_title;transaction_assumed_sale_from_dataset_context</x:v>
      </x:c>
      <x:c r="M2501" s="10" t="n">
        <x:v>0</x:v>
      </x:c>
      <x:c r="N2501" s="10" t="n">
        <x:v>0</x:v>
      </x:c>
      <x:c r="O2501" s="2" t="str">
        <x:v>Tp Hồ Chí Minh|land</x:v>
      </x:c>
      <x:c r="P2501" s="10" t="n">
        <x:v>2</x:v>
      </x:c>
      <x:c r="Q2501" s="13" t="n">
        <x:f>IF(H2501="","",H2501/1000000000)</x:f>
        <x:v>2.688</x:v>
      </x:c>
      <x:c r="R2501" s="13" t="n">
        <x:f>IF(I2501="","",I2501/1000000)</x:f>
        <x:v>32</x:v>
      </x:c>
    </x:row>
    <x:row r="2502" ht="21" customHeight="1">
      <x:c r="A2502" s="10" t="n">
        <x:v>3515</x:v>
      </x:c>
      <x:c r="B2502" s="2" t="str">
        <x:v>770607838c13c17d41cd</x:v>
      </x:c>
      <x:c r="C2502" s="2" t="str">
        <x:v>Tây Ninh</x:v>
      </x:c>
      <x:c r="D2502" s="2" t="str">
        <x:v>Huyện Gò Dầu</x:v>
      </x:c>
      <x:c r="E2502" s="2" t="str">
        <x:v>land</x:v>
      </x:c>
      <x:c r="F2502" s="2" t="str">
        <x:v>sale</x:v>
      </x:c>
      <x:c r="G2502" s="11" t="n">
        <x:v>300</x:v>
      </x:c>
      <x:c r="H2502" s="12" t="n">
        <x:v>305000000</x:v>
      </x:c>
      <x:c r="I2502" s="12" t="n">
        <x:v>1016666.6666666666</x:v>
      </x:c>
      <x:c r="J2502" s="2" t="str">
        <x:v>total</x:v>
      </x:c>
      <x:c r="K2502" s="2" t="str">
        <x:v>top_level_area</x:v>
      </x:c>
      <x:c r="L2502" s="2" t="str">
        <x:v>property_type_inferred_from_title</x:v>
      </x:c>
      <x:c r="M2502" s="10" t="n">
        <x:v>0</x:v>
      </x:c>
      <x:c r="N2502" s="10" t="n">
        <x:v>0</x:v>
      </x:c>
      <x:c r="O2502" s="2" t="str">
        <x:v>land</x:v>
      </x:c>
      <x:c r="P2502" s="10" t="n">
        <x:v>1</x:v>
      </x:c>
      <x:c r="Q2502" s="13" t="n">
        <x:f>IF(H2502="","",H2502/1000000000)</x:f>
        <x:v>0.305</x:v>
      </x:c>
      <x:c r="R2502" s="13" t="n">
        <x:f>IF(I2502="","",I2502/1000000)</x:f>
        <x:v>1.0166666666666666</x:v>
      </x:c>
    </x:row>
    <x:row r="2503" ht="21" customHeight="1">
      <x:c r="A2503" s="10" t="n">
        <x:v>3516</x:v>
      </x:c>
      <x:c r="B2503" s="2" t="str">
        <x:v>5c2536b19137ec3128a2</x:v>
      </x:c>
      <x:c r="C2503" s="2" t="str">
        <x:v>Bình Dương</x:v>
      </x:c>
      <x:c r="D2503" s="2" t="str">
        <x:v>Thành phố Thủ Dầu Một</x:v>
      </x:c>
      <x:c r="E2503" s="2" t="str">
        <x:v>other_unknown</x:v>
      </x:c>
      <x:c r="F2503" s="2" t="str">
        <x:v>sale</x:v>
      </x:c>
      <x:c r="G2503" s="11" t="n">
        <x:v>60</x:v>
      </x:c>
      <x:c r="H2503" s="12" t="n">
        <x:v>400000000</x:v>
      </x:c>
      <x:c r="I2503" s="12" t="n">
        <x:v>6666666.666666667</x:v>
      </x:c>
      <x:c r="J2503" s="2" t="str">
        <x:v>total</x:v>
      </x:c>
      <x:c r="K2503" s="2" t="str">
        <x:v>top_level_area</x:v>
      </x:c>
      <x:c r="L2503" s="2" t="str">
        <x:v>property_type_inferred_from_title;unknown_property_type</x:v>
      </x:c>
      <x:c r="M2503" s="10" t="n">
        <x:v>0</x:v>
      </x:c>
      <x:c r="N2503" s="10" t="n">
        <x:v>0</x:v>
      </x:c>
      <x:c r="O2503" s="2" t="str">
        <x:v>Bình Dương|other_unknown</x:v>
      </x:c>
      <x:c r="P2503" s="10" t="n">
        <x:v>2</x:v>
      </x:c>
      <x:c r="Q2503" s="13" t="n">
        <x:f>IF(H2503="","",H2503/1000000000)</x:f>
        <x:v>0.4</x:v>
      </x:c>
      <x:c r="R2503" s="13" t="n">
        <x:f>IF(I2503="","",I2503/1000000)</x:f>
        <x:v>6.666666666666667</x:v>
      </x:c>
    </x:row>
    <x:row r="2504" ht="21" customHeight="1">
      <x:c r="A2504" s="10" t="n">
        <x:v>3517</x:v>
      </x:c>
      <x:c r="B2504" s="2" t="str">
        <x:v>f57aca4e4ec2a1549108</x:v>
      </x:c>
      <x:c r="C2504" s="2" t="str">
        <x:v>Tp Hồ Chí Minh</x:v>
      </x:c>
      <x:c r="D2504" s="2" t="str">
        <x:v>Huyện Bình Chánh</x:v>
      </x:c>
      <x:c r="E2504" s="2" t="str">
        <x:v>land</x:v>
      </x:c>
      <x:c r="F2504" s="2" t="str">
        <x:v>sale</x:v>
      </x:c>
      <x:c r="G2504" s="11" t="n">
        <x:v>120</x:v>
      </x:c>
      <x:c r="H2504" s="12" t="n">
        <x:v>1750000000</x:v>
      </x:c>
      <x:c r="I2504" s="12" t="n">
        <x:v>14583333.333333334</x:v>
      </x:c>
      <x:c r="J2504" s="2" t="str">
        <x:v>total</x:v>
      </x:c>
      <x:c r="K2504" s="2" t="str">
        <x:v>top_level_area</x:v>
      </x:c>
      <x:c r="L2504" s="2" t="str">
        <x:v>property_type_inferred_from_title</x:v>
      </x:c>
      <x:c r="M2504" s="10" t="n">
        <x:v>0</x:v>
      </x:c>
      <x:c r="N2504" s="10" t="n">
        <x:v>0</x:v>
      </x:c>
      <x:c r="O2504" s="2" t="str">
        <x:v>Tp Hồ Chí Minh|land</x:v>
      </x:c>
      <x:c r="P2504" s="10" t="n">
        <x:v>2</x:v>
      </x:c>
      <x:c r="Q2504" s="13" t="n">
        <x:f>IF(H2504="","",H2504/1000000000)</x:f>
        <x:v>1.75</x:v>
      </x:c>
      <x:c r="R2504" s="13" t="n">
        <x:f>IF(I2504="","",I2504/1000000)</x:f>
        <x:v>14.583333333333334</x:v>
      </x:c>
    </x:row>
    <x:row r="2505" ht="21" customHeight="1">
      <x:c r="A2505" s="10" t="n">
        <x:v>3518</x:v>
      </x:c>
      <x:c r="B2505" s="2" t="str">
        <x:v>ad4daa8ce61bfe3bed0e</x:v>
      </x:c>
      <x:c r="C2505" s="2" t="str">
        <x:v>Tp Hồ Chí Minh</x:v>
      </x:c>
      <x:c r="D2505" s="2" t="str">
        <x:v>Quận Tân Phú</x:v>
      </x:c>
      <x:c r="E2505" s="2" t="str">
        <x:v>house</x:v>
      </x:c>
      <x:c r="F2505" s="2" t="str">
        <x:v>sale_assumed</x:v>
      </x:c>
      <x:c r="G2505" s="11" t="n">
        <x:v>84</x:v>
      </x:c>
      <x:c r="H2505" s="12" t="n">
        <x:v>7200000000</x:v>
      </x:c>
      <x:c r="I2505" s="12" t="n">
        <x:v>85714285.71428572</x:v>
      </x:c>
      <x:c r="J2505" s="2" t="str">
        <x:v>total</x:v>
      </x:c>
      <x:c r="K2505" s="2" t="str">
        <x:v>top_level_area</x:v>
      </x:c>
      <x:c r="L2505" s="2" t="str">
        <x:v>property_type_inferred_from_title;transaction_assumed_sale_from_dataset_context</x:v>
      </x:c>
      <x:c r="M2505" s="10" t="n">
        <x:v>0</x:v>
      </x:c>
      <x:c r="N2505" s="10" t="n">
        <x:v>0</x:v>
      </x:c>
      <x:c r="O2505" s="2" t="str">
        <x:v>Tp Hồ Chí Minh|house</x:v>
      </x:c>
      <x:c r="P2505" s="10" t="n">
        <x:v>2</x:v>
      </x:c>
      <x:c r="Q2505" s="13" t="n">
        <x:f>IF(H2505="","",H2505/1000000000)</x:f>
        <x:v>7.2</x:v>
      </x:c>
      <x:c r="R2505" s="13" t="n">
        <x:f>IF(I2505="","",I2505/1000000)</x:f>
        <x:v>85.71428571428572</x:v>
      </x:c>
    </x:row>
    <x:row r="2506" ht="21" customHeight="1">
      <x:c r="A2506" s="10" t="n">
        <x:v>3519</x:v>
      </x:c>
      <x:c r="B2506" s="2" t="str">
        <x:v>3d4a61736c28bfa811cb</x:v>
      </x:c>
      <x:c r="C2506" s="2" t="str">
        <x:v>Tp Hồ Chí Minh</x:v>
      </x:c>
      <x:c r="D2506" s="2" t="str">
        <x:v>Quận Thủ Đức</x:v>
      </x:c>
      <x:c r="E2506" s="2" t="str">
        <x:v>house</x:v>
      </x:c>
      <x:c r="F2506" s="2" t="str">
        <x:v>sale_assumed</x:v>
      </x:c>
      <x:c r="G2506" s="11" t="n">
        <x:v>64</x:v>
      </x:c>
      <x:c r="H2506" s="12" t="n">
        <x:v>4579000000</x:v>
      </x:c>
      <x:c r="I2506" s="12" t="n">
        <x:v>71546875</x:v>
      </x:c>
      <x:c r="J2506" s="2" t="str">
        <x:v>total</x:v>
      </x:c>
      <x:c r="K2506" s="2" t="str">
        <x:v>top_level_area</x:v>
      </x:c>
      <x:c r="L2506" s="2" t="str">
        <x:v>property_type_inferred_from_title;transaction_assumed_sale_from_dataset_context</x:v>
      </x:c>
      <x:c r="M2506" s="10" t="n">
        <x:v>0</x:v>
      </x:c>
      <x:c r="N2506" s="10" t="n">
        <x:v>0</x:v>
      </x:c>
      <x:c r="O2506" s="2" t="str">
        <x:v>Tp Hồ Chí Minh|house</x:v>
      </x:c>
      <x:c r="P2506" s="10" t="n">
        <x:v>2</x:v>
      </x:c>
      <x:c r="Q2506" s="13" t="n">
        <x:f>IF(H2506="","",H2506/1000000000)</x:f>
        <x:v>4.579</x:v>
      </x:c>
      <x:c r="R2506" s="13" t="n">
        <x:f>IF(I2506="","",I2506/1000000)</x:f>
        <x:v>71.546875</x:v>
      </x:c>
    </x:row>
    <x:row r="2507" ht="21" customHeight="1">
      <x:c r="A2507" s="10" t="n">
        <x:v>3520</x:v>
      </x:c>
      <x:c r="B2507" s="2" t="str">
        <x:v>c21ba0eba0ffeac10748</x:v>
      </x:c>
      <x:c r="C2507" s="2" t="str">
        <x:v>Cần Thơ</x:v>
      </x:c>
      <x:c r="D2507" s="2" t="str">
        <x:v>Quận Ninh Kiều</x:v>
      </x:c>
      <x:c r="E2507" s="2" t="str">
        <x:v>land</x:v>
      </x:c>
      <x:c r="F2507" s="2" t="str">
        <x:v>sale_assumed</x:v>
      </x:c>
      <x:c r="G2507" s="11" t="n">
        <x:v>80</x:v>
      </x:c>
      <x:c r="H2507" s="12" t="n">
        <x:v>561000000</x:v>
      </x:c>
      <x:c r="I2507" s="12" t="n">
        <x:v>7012500</x:v>
      </x:c>
      <x:c r="J2507" s="2" t="str">
        <x:v>total</x:v>
      </x:c>
      <x:c r="K2507" s="2" t="str">
        <x:v>top_level_area</x:v>
      </x:c>
      <x:c r="L2507" s="2" t="str">
        <x:v>property_type_inferred_from_title;transaction_assumed_sale_from_dataset_context</x:v>
      </x:c>
      <x:c r="M2507" s="10" t="n">
        <x:v>0</x:v>
      </x:c>
      <x:c r="N2507" s="10" t="n">
        <x:v>0</x:v>
      </x:c>
      <x:c r="O2507" s="2" t="str">
        <x:v>Cần Thơ|land</x:v>
      </x:c>
      <x:c r="P2507" s="10" t="n">
        <x:v>2</x:v>
      </x:c>
      <x:c r="Q2507" s="13" t="n">
        <x:f>IF(H2507="","",H2507/1000000000)</x:f>
        <x:v>0.561</x:v>
      </x:c>
      <x:c r="R2507" s="13" t="n">
        <x:f>IF(I2507="","",I2507/1000000)</x:f>
        <x:v>7.0125</x:v>
      </x:c>
    </x:row>
    <x:row r="2508" ht="21" customHeight="1">
      <x:c r="A2508" s="10" t="n">
        <x:v>3521</x:v>
      </x:c>
      <x:c r="B2508" s="2" t="str">
        <x:v>2aeaed8b7c3f8a741a21</x:v>
      </x:c>
      <x:c r="C2508" s="2" t="str">
        <x:v>Tp Hồ Chí Minh</x:v>
      </x:c>
      <x:c r="D2508" s="2" t="str">
        <x:v>Quận Gò Vấp</x:v>
      </x:c>
      <x:c r="E2508" s="2" t="str">
        <x:v>house</x:v>
      </x:c>
      <x:c r="F2508" s="2" t="str">
        <x:v>sale</x:v>
      </x:c>
      <x:c r="G2508" s="11" t="n">
        <x:v>30</x:v>
      </x:c>
      <x:c r="H2508" s="12" t="n">
        <x:v>1700000000</x:v>
      </x:c>
      <x:c r="I2508" s="12" t="n">
        <x:v>56666666.666666664</x:v>
      </x:c>
      <x:c r="J2508" s="2" t="str">
        <x:v>total</x:v>
      </x:c>
      <x:c r="K2508" s="2" t="str">
        <x:v>top_level_area</x:v>
      </x:c>
      <x:c r="L2508" s="2" t="str">
        <x:v>property_type_inferred_from_title</x:v>
      </x:c>
      <x:c r="M2508" s="10" t="n">
        <x:v>0</x:v>
      </x:c>
      <x:c r="N2508" s="10" t="n">
        <x:v>0</x:v>
      </x:c>
      <x:c r="O2508" s="2" t="str">
        <x:v>Tp Hồ Chí Minh|house</x:v>
      </x:c>
      <x:c r="P2508" s="10" t="n">
        <x:v>2</x:v>
      </x:c>
      <x:c r="Q2508" s="13" t="n">
        <x:f>IF(H2508="","",H2508/1000000000)</x:f>
        <x:v>1.7</x:v>
      </x:c>
      <x:c r="R2508" s="13" t="n">
        <x:f>IF(I2508="","",I2508/1000000)</x:f>
        <x:v>56.666666666666664</x:v>
      </x:c>
    </x:row>
    <x:row r="2509" ht="21" customHeight="1">
      <x:c r="A2509" s="10" t="n">
        <x:v>3522</x:v>
      </x:c>
      <x:c r="B2509" s="2" t="str">
        <x:v>5c2b1e18d3cb4e134850</x:v>
      </x:c>
      <x:c r="C2509" s="2" t="str">
        <x:v>Bình Dương</x:v>
      </x:c>
      <x:c r="D2509" s="2" t="str">
        <x:v>Thị xã Dĩ An</x:v>
      </x:c>
      <x:c r="E2509" s="2" t="str">
        <x:v>house</x:v>
      </x:c>
      <x:c r="F2509" s="2" t="str">
        <x:v>sale</x:v>
      </x:c>
      <x:c r="G2509" s="11" t="n">
        <x:v>32</x:v>
      </x:c>
      <x:c r="H2509" s="12" t="n">
        <x:v>1150000000</x:v>
      </x:c>
      <x:c r="I2509" s="12" t="n">
        <x:v>35937500</x:v>
      </x:c>
      <x:c r="J2509" s="2" t="str">
        <x:v>total</x:v>
      </x:c>
      <x:c r="K2509" s="2" t="str">
        <x:v>top_level_area</x:v>
      </x:c>
      <x:c r="L2509" s="2" t="str">
        <x:v>property_type_inferred_from_title</x:v>
      </x:c>
      <x:c r="M2509" s="10" t="n">
        <x:v>0</x:v>
      </x:c>
      <x:c r="N2509" s="10" t="n">
        <x:v>0</x:v>
      </x:c>
      <x:c r="O2509" s="2" t="str">
        <x:v>Bình Dương|house</x:v>
      </x:c>
      <x:c r="P2509" s="10" t="n">
        <x:v>2</x:v>
      </x:c>
      <x:c r="Q2509" s="13" t="n">
        <x:f>IF(H2509="","",H2509/1000000000)</x:f>
        <x:v>1.15</x:v>
      </x:c>
      <x:c r="R2509" s="13" t="n">
        <x:f>IF(I2509="","",I2509/1000000)</x:f>
        <x:v>35.9375</x:v>
      </x:c>
    </x:row>
    <x:row r="2510" ht="21" customHeight="1">
      <x:c r="A2510" s="10" t="n">
        <x:v>3523</x:v>
      </x:c>
      <x:c r="B2510" s="2" t="str">
        <x:v>33aa0626a1599269964f</x:v>
      </x:c>
      <x:c r="C2510" s="2" t="str">
        <x:v>Đà Nẵng</x:v>
      </x:c>
      <x:c r="D2510" s="2" t="str">
        <x:v>Quận Liên Chiểu</x:v>
      </x:c>
      <x:c r="E2510" s="2" t="str">
        <x:v>house</x:v>
      </x:c>
      <x:c r="F2510" s="2" t="str">
        <x:v>sale</x:v>
      </x:c>
      <x:c r="G2510" s="11" t="n">
        <x:v>61</x:v>
      </x:c>
      <x:c r="H2510" s="12" t="n">
        <x:v>2250000000</x:v>
      </x:c>
      <x:c r="I2510" s="12" t="n">
        <x:v>36885245.90163934</x:v>
      </x:c>
      <x:c r="J2510" s="2" t="str">
        <x:v>total</x:v>
      </x:c>
      <x:c r="K2510" s="2" t="str">
        <x:v>top_level_area</x:v>
      </x:c>
      <x:c r="L2510" s="2" t="str">
        <x:v>property_type_inferred_from_title</x:v>
      </x:c>
      <x:c r="M2510" s="10" t="n">
        <x:v>0</x:v>
      </x:c>
      <x:c r="N2510" s="10" t="n">
        <x:v>0</x:v>
      </x:c>
      <x:c r="O2510" s="2" t="str">
        <x:v>Đà Nẵng|house</x:v>
      </x:c>
      <x:c r="P2510" s="10" t="n">
        <x:v>2</x:v>
      </x:c>
      <x:c r="Q2510" s="13" t="n">
        <x:f>IF(H2510="","",H2510/1000000000)</x:f>
        <x:v>2.25</x:v>
      </x:c>
      <x:c r="R2510" s="13" t="n">
        <x:f>IF(I2510="","",I2510/1000000)</x:f>
        <x:v>36.885245901639344</x:v>
      </x:c>
    </x:row>
    <x:row r="2511" ht="21" customHeight="1">
      <x:c r="A2511" s="10" t="n">
        <x:v>3524</x:v>
      </x:c>
      <x:c r="B2511" s="2" t="str">
        <x:v>ac45de6f2a2768c06d4d</x:v>
      </x:c>
      <x:c r="C2511" s="2" t="str">
        <x:v>Bình Dương</x:v>
      </x:c>
      <x:c r="D2511" s="2" t="str">
        <x:v>Huyện Bàu Bàng</x:v>
      </x:c>
      <x:c r="E2511" s="2" t="str">
        <x:v>other_unknown</x:v>
      </x:c>
      <x:c r="F2511" s="2" t="str">
        <x:v>sale_with_rental_income</x:v>
      </x:c>
      <x:c r="G2511" s="11" t="n">
        <x:v>150</x:v>
      </x:c>
      <x:c r="H2511" s="12" t="n">
        <x:v>1550000000</x:v>
      </x:c>
      <x:c r="I2511" s="12" t="n">
        <x:v>10333333.333333334</x:v>
      </x:c>
      <x:c r="J2511" s="2" t="str">
        <x:v>total</x:v>
      </x:c>
      <x:c r="K2511" s="2" t="str">
        <x:v>top_level_area</x:v>
      </x:c>
      <x:c r="L2511" s="2" t="str">
        <x:v>property_type_inferred_from_title;rental_income_mentioned;unknown_property_type</x:v>
      </x:c>
      <x:c r="M2511" s="10" t="n">
        <x:v>0</x:v>
      </x:c>
      <x:c r="N2511" s="10" t="n">
        <x:v>0</x:v>
      </x:c>
      <x:c r="O2511" s="2" t="str">
        <x:v>Bình Dương|other_unknown</x:v>
      </x:c>
      <x:c r="P2511" s="10" t="n">
        <x:v>2</x:v>
      </x:c>
      <x:c r="Q2511" s="13" t="n">
        <x:f>IF(H2511="","",H2511/1000000000)</x:f>
        <x:v>1.55</x:v>
      </x:c>
      <x:c r="R2511" s="13" t="n">
        <x:f>IF(I2511="","",I2511/1000000)</x:f>
        <x:v>10.333333333333334</x:v>
      </x:c>
    </x:row>
    <x:row r="2512" ht="21" customHeight="1">
      <x:c r="A2512" s="10" t="n">
        <x:v>3527</x:v>
      </x:c>
      <x:c r="B2512" s="2" t="str">
        <x:v>81fd51c29701ef2abec9</x:v>
      </x:c>
      <x:c r="C2512" s="2" t="str">
        <x:v>Tp Hồ Chí Minh</x:v>
      </x:c>
      <x:c r="D2512" s="2" t="str">
        <x:v>Quận Tân Phú</x:v>
      </x:c>
      <x:c r="E2512" s="2" t="str">
        <x:v>other_unknown</x:v>
      </x:c>
      <x:c r="F2512" s="2" t="str">
        <x:v>sale</x:v>
      </x:c>
      <x:c r="G2512" s="11" t="n">
        <x:v>40</x:v>
      </x:c>
      <x:c r="H2512" s="12" t="n">
        <x:v>3550000000</x:v>
      </x:c>
      <x:c r="I2512" s="12" t="n">
        <x:v>88750000</x:v>
      </x:c>
      <x:c r="J2512" s="2" t="str">
        <x:v>total</x:v>
      </x:c>
      <x:c r="K2512" s="2" t="str">
        <x:v>top_level_area</x:v>
      </x:c>
      <x:c r="L2512" s="2" t="str">
        <x:v>property_type_inferred_from_title;unknown_property_type</x:v>
      </x:c>
      <x:c r="M2512" s="10" t="n">
        <x:v>0</x:v>
      </x:c>
      <x:c r="N2512" s="10" t="n">
        <x:v>0</x:v>
      </x:c>
      <x:c r="O2512" s="2" t="str">
        <x:v>Tp Hồ Chí Minh|other_unknown</x:v>
      </x:c>
      <x:c r="P2512" s="10" t="n">
        <x:v>2</x:v>
      </x:c>
      <x:c r="Q2512" s="13" t="n">
        <x:f>IF(H2512="","",H2512/1000000000)</x:f>
        <x:v>3.55</x:v>
      </x:c>
      <x:c r="R2512" s="13" t="n">
        <x:f>IF(I2512="","",I2512/1000000)</x:f>
        <x:v>88.75</x:v>
      </x:c>
    </x:row>
    <x:row r="2513" ht="21" customHeight="1">
      <x:c r="A2513" s="10" t="n">
        <x:v>3528</x:v>
      </x:c>
      <x:c r="B2513" s="2" t="str">
        <x:v>530b487adb851a3c23d1</x:v>
      </x:c>
      <x:c r="C2513" s="2" t="str">
        <x:v>Tp Hồ Chí Minh</x:v>
      </x:c>
      <x:c r="D2513" s="2" t="str">
        <x:v>Quận Thủ Đức</x:v>
      </x:c>
      <x:c r="E2513" s="2" t="str">
        <x:v>apartment</x:v>
      </x:c>
      <x:c r="F2513" s="2" t="str">
        <x:v>sale_assumed</x:v>
      </x:c>
      <x:c r="G2513" s="11" t="n">
        <x:v>56</x:v>
      </x:c>
      <x:c r="H2513" s="12" t="n">
        <x:v>1300000000</x:v>
      </x:c>
      <x:c r="I2513" s="12" t="n">
        <x:v>23214285.714285713</x:v>
      </x:c>
      <x:c r="J2513" s="2" t="str">
        <x:v>total</x:v>
      </x:c>
      <x:c r="K2513" s="2" t="str">
        <x:v>top_level_price_embedded_area</x:v>
      </x:c>
      <x:c r="L2513" s="2" t="str">
        <x:v>area_recovered_from_price_text;property_type_inferred_from_title;transaction_assumed_sale_from_dataset_context</x:v>
      </x:c>
      <x:c r="M2513" s="10" t="n">
        <x:v>0</x:v>
      </x:c>
      <x:c r="N2513" s="10" t="n">
        <x:v>0</x:v>
      </x:c>
      <x:c r="O2513" s="2" t="str">
        <x:v>Tp Hồ Chí Minh|apartment</x:v>
      </x:c>
      <x:c r="P2513" s="10" t="n">
        <x:v>2</x:v>
      </x:c>
      <x:c r="Q2513" s="13" t="n">
        <x:f>IF(H2513="","",H2513/1000000000)</x:f>
        <x:v>1.3</x:v>
      </x:c>
      <x:c r="R2513" s="13" t="n">
        <x:f>IF(I2513="","",I2513/1000000)</x:f>
        <x:v>23.21428571428571</x:v>
      </x:c>
    </x:row>
    <x:row r="2514" ht="21" customHeight="1">
      <x:c r="A2514" s="10" t="n">
        <x:v>3529</x:v>
      </x:c>
      <x:c r="B2514" s="2" t="str">
        <x:v>34f2b6846dc6502afb68</x:v>
      </x:c>
      <x:c r="C2514" s="2" t="str">
        <x:v>Tp Hồ Chí Minh</x:v>
      </x:c>
      <x:c r="D2514" s="2" t="str">
        <x:v>Quận Tân Phú</x:v>
      </x:c>
      <x:c r="E2514" s="2" t="str">
        <x:v>house</x:v>
      </x:c>
      <x:c r="F2514" s="2" t="str">
        <x:v>sale</x:v>
      </x:c>
      <x:c r="G2514" s="11" t="n">
        <x:v>52</x:v>
      </x:c>
      <x:c r="H2514" s="12" t="n">
        <x:v>4500000000</x:v>
      </x:c>
      <x:c r="I2514" s="12" t="n">
        <x:v>86538461.53846154</x:v>
      </x:c>
      <x:c r="J2514" s="2" t="str">
        <x:v>total</x:v>
      </x:c>
      <x:c r="K2514" s="2" t="str">
        <x:v>top_level_area</x:v>
      </x:c>
      <x:c r="L2514" s="2" t="str">
        <x:v>property_type_inferred_from_title</x:v>
      </x:c>
      <x:c r="M2514" s="10" t="n">
        <x:v>0</x:v>
      </x:c>
      <x:c r="N2514" s="10" t="n">
        <x:v>0</x:v>
      </x:c>
      <x:c r="O2514" s="2" t="str">
        <x:v>Tp Hồ Chí Minh|house</x:v>
      </x:c>
      <x:c r="P2514" s="10" t="n">
        <x:v>2</x:v>
      </x:c>
      <x:c r="Q2514" s="13" t="n">
        <x:f>IF(H2514="","",H2514/1000000000)</x:f>
        <x:v>4.5</x:v>
      </x:c>
      <x:c r="R2514" s="13" t="n">
        <x:f>IF(I2514="","",I2514/1000000)</x:f>
        <x:v>86.53846153846153</x:v>
      </x:c>
    </x:row>
    <x:row r="2515" ht="21" customHeight="1">
      <x:c r="A2515" s="10" t="n">
        <x:v>3530</x:v>
      </x:c>
      <x:c r="B2515" s="2" t="str">
        <x:v>a829d8c4bbc12fdbfdfe</x:v>
      </x:c>
      <x:c r="C2515" s="2" t="str">
        <x:v>Tp Hồ Chí Minh</x:v>
      </x:c>
      <x:c r="D2515" s="2" t="str">
        <x:v>Quận Thủ Đức</x:v>
      </x:c>
      <x:c r="E2515" s="2" t="str">
        <x:v>house</x:v>
      </x:c>
      <x:c r="F2515" s="2" t="str">
        <x:v>sale_assumed</x:v>
      </x:c>
      <x:c r="G2515" s="11" t="n">
        <x:v>72.6</x:v>
      </x:c>
      <x:c r="H2515" s="12" t="n">
        <x:v>7353000000</x:v>
      </x:c>
      <x:c r="I2515" s="12" t="n">
        <x:v>101280991.7355372</x:v>
      </x:c>
      <x:c r="J2515" s="2" t="str">
        <x:v>total</x:v>
      </x:c>
      <x:c r="K2515" s="2" t="str">
        <x:v>top_level_area</x:v>
      </x:c>
      <x:c r="L2515" s="2" t="str">
        <x:v>property_type_inferred_from_title;transaction_assumed_sale_from_dataset_context</x:v>
      </x:c>
      <x:c r="M2515" s="10" t="n">
        <x:v>0</x:v>
      </x:c>
      <x:c r="N2515" s="10" t="n">
        <x:v>0</x:v>
      </x:c>
      <x:c r="O2515" s="2" t="str">
        <x:v>Tp Hồ Chí Minh|house</x:v>
      </x:c>
      <x:c r="P2515" s="10" t="n">
        <x:v>2</x:v>
      </x:c>
      <x:c r="Q2515" s="13" t="n">
        <x:f>IF(H2515="","",H2515/1000000000)</x:f>
        <x:v>7.353</x:v>
      </x:c>
      <x:c r="R2515" s="13" t="n">
        <x:f>IF(I2515="","",I2515/1000000)</x:f>
        <x:v>101.2809917355372</x:v>
      </x:c>
    </x:row>
    <x:row r="2516" ht="21" customHeight="1">
      <x:c r="A2516" s="10" t="n">
        <x:v>3531</x:v>
      </x:c>
      <x:c r="B2516" s="2" t="str">
        <x:v>4d44c17893e241bffd84</x:v>
      </x:c>
      <x:c r="C2516" s="2" t="str">
        <x:v>Hà Nội</x:v>
      </x:c>
      <x:c r="D2516" s="2" t="str">
        <x:v>Quận Long Biên</x:v>
      </x:c>
      <x:c r="E2516" s="2" t="str">
        <x:v>house</x:v>
      </x:c>
      <x:c r="F2516" s="2" t="str">
        <x:v>sale_assumed</x:v>
      </x:c>
      <x:c r="G2516" s="11" t="n">
        <x:v>45</x:v>
      </x:c>
      <x:c r="H2516" s="12" t="n">
        <x:v>3900000000</x:v>
      </x:c>
      <x:c r="I2516" s="12" t="n">
        <x:v>86666666.66666667</x:v>
      </x:c>
      <x:c r="J2516" s="2" t="str">
        <x:v>total</x:v>
      </x:c>
      <x:c r="K2516" s="2" t="str">
        <x:v>top_level_area</x:v>
      </x:c>
      <x:c r="L2516" s="2" t="str">
        <x:v>property_type_inferred_from_title;transaction_assumed_sale_from_dataset_context</x:v>
      </x:c>
      <x:c r="M2516" s="10" t="n">
        <x:v>0</x:v>
      </x:c>
      <x:c r="N2516" s="10" t="n">
        <x:v>0</x:v>
      </x:c>
      <x:c r="O2516" s="2" t="str">
        <x:v>Hà Nội|house</x:v>
      </x:c>
      <x:c r="P2516" s="10" t="n">
        <x:v>2</x:v>
      </x:c>
      <x:c r="Q2516" s="13" t="n">
        <x:f>IF(H2516="","",H2516/1000000000)</x:f>
        <x:v>3.9</x:v>
      </x:c>
      <x:c r="R2516" s="13" t="n">
        <x:f>IF(I2516="","",I2516/1000000)</x:f>
        <x:v>86.66666666666667</x:v>
      </x:c>
    </x:row>
    <x:row r="2517" ht="21" customHeight="1">
      <x:c r="A2517" s="10" t="n">
        <x:v>3532</x:v>
      </x:c>
      <x:c r="B2517" s="2" t="str">
        <x:v>ce1441390c6b2ef23170</x:v>
      </x:c>
      <x:c r="C2517" s="2" t="str">
        <x:v>Bình Dương</x:v>
      </x:c>
      <x:c r="D2517" s="2" t="str">
        <x:v>Huyện Bàu Bàng</x:v>
      </x:c>
      <x:c r="E2517" s="2" t="str">
        <x:v>land</x:v>
      </x:c>
      <x:c r="F2517" s="2" t="str">
        <x:v>sale_assumed</x:v>
      </x:c>
      <x:c r="G2517" s="11" t="n">
        <x:v>1350</x:v>
      </x:c>
      <x:c r="H2517" s="12" t="n">
        <x:v>1100000000</x:v>
      </x:c>
      <x:c r="I2517" s="12" t="n">
        <x:v>814814.8148148148</x:v>
      </x:c>
      <x:c r="J2517" s="2" t="str">
        <x:v>total</x:v>
      </x:c>
      <x:c r="K2517" s="2" t="str">
        <x:v>top_level_area</x:v>
      </x:c>
      <x:c r="L2517" s="2" t="str">
        <x:v>dot_thousands_convention;property_type_inferred_from_title;transaction_assumed_sale_from_dataset_context</x:v>
      </x:c>
      <x:c r="M2517" s="10" t="n">
        <x:v>0</x:v>
      </x:c>
      <x:c r="N2517" s="10" t="n">
        <x:v>0</x:v>
      </x:c>
      <x:c r="O2517" s="2" t="str">
        <x:v>Bình Dương|land</x:v>
      </x:c>
      <x:c r="P2517" s="10" t="n">
        <x:v>1</x:v>
      </x:c>
      <x:c r="Q2517" s="13" t="n">
        <x:f>IF(H2517="","",H2517/1000000000)</x:f>
        <x:v>1.1</x:v>
      </x:c>
      <x:c r="R2517" s="13" t="n">
        <x:f>IF(I2517="","",I2517/1000000)</x:f>
        <x:v>0.8148148148148149</x:v>
      </x:c>
    </x:row>
    <x:row r="2518" ht="21" customHeight="1">
      <x:c r="A2518" s="10" t="n">
        <x:v>3533</x:v>
      </x:c>
      <x:c r="B2518" s="2" t="str">
        <x:v>f55764708a2daf915a4d</x:v>
      </x:c>
      <x:c r="C2518" s="2" t="str">
        <x:v>Đồng Nai</x:v>
      </x:c>
      <x:c r="D2518" s="2" t="str">
        <x:v>Thành phố Biên Hòa</x:v>
      </x:c>
      <x:c r="E2518" s="2" t="str">
        <x:v>house</x:v>
      </x:c>
      <x:c r="F2518" s="2" t="str">
        <x:v>sale_assumed</x:v>
      </x:c>
      <x:c r="G2518" s="11" t="n">
        <x:v>40</x:v>
      </x:c>
      <x:c r="H2518" s="12" t="n">
        <x:v>795000000</x:v>
      </x:c>
      <x:c r="I2518" s="12" t="n">
        <x:v>19875000</x:v>
      </x:c>
      <x:c r="J2518" s="2" t="str">
        <x:v>total</x:v>
      </x:c>
      <x:c r="K2518" s="2" t="str">
        <x:v>top_level_area</x:v>
      </x:c>
      <x:c r="L2518" s="2" t="str">
        <x:v>property_type_inferred_from_title;transaction_assumed_sale_from_dataset_context</x:v>
      </x:c>
      <x:c r="M2518" s="10" t="n">
        <x:v>0</x:v>
      </x:c>
      <x:c r="N2518" s="10" t="n">
        <x:v>0</x:v>
      </x:c>
      <x:c r="O2518" s="2" t="str">
        <x:v>Đồng Nai|house</x:v>
      </x:c>
      <x:c r="P2518" s="10" t="n">
        <x:v>2</x:v>
      </x:c>
      <x:c r="Q2518" s="13" t="n">
        <x:f>IF(H2518="","",H2518/1000000000)</x:f>
        <x:v>0.795</x:v>
      </x:c>
      <x:c r="R2518" s="13" t="n">
        <x:f>IF(I2518="","",I2518/1000000)</x:f>
        <x:v>19.875</x:v>
      </x:c>
    </x:row>
    <x:row r="2519" ht="21" customHeight="1">
      <x:c r="A2519" s="10" t="n">
        <x:v>3534</x:v>
      </x:c>
      <x:c r="B2519" s="2" t="str">
        <x:v>0229464c457523230114</x:v>
      </x:c>
      <x:c r="C2519" s="2" t="str">
        <x:v>Tp Hồ Chí Minh</x:v>
      </x:c>
      <x:c r="D2519" s="2" t="str">
        <x:v>Huyện Hóc Môn</x:v>
      </x:c>
      <x:c r="E2519" s="2" t="str">
        <x:v>land</x:v>
      </x:c>
      <x:c r="F2519" s="2" t="str">
        <x:v>sale_assumed</x:v>
      </x:c>
      <x:c r="G2519" s="11" t="n">
        <x:v>100</x:v>
      </x:c>
      <x:c r="H2519" s="12" t="n">
        <x:v>350000000</x:v>
      </x:c>
      <x:c r="I2519" s="12" t="n">
        <x:v>3500000</x:v>
      </x:c>
      <x:c r="J2519" s="2" t="str">
        <x:v>total</x:v>
      </x:c>
      <x:c r="K2519" s="2" t="str">
        <x:v>top_level_area</x:v>
      </x:c>
      <x:c r="L2519" s="2" t="str">
        <x:v>property_type_inferred_from_title;transaction_assumed_sale_from_dataset_context</x:v>
      </x:c>
      <x:c r="M2519" s="10" t="n">
        <x:v>0</x:v>
      </x:c>
      <x:c r="N2519" s="10" t="n">
        <x:v>0</x:v>
      </x:c>
      <x:c r="O2519" s="2" t="str">
        <x:v>Tp Hồ Chí Minh|land</x:v>
      </x:c>
      <x:c r="P2519" s="10" t="n">
        <x:v>2</x:v>
      </x:c>
      <x:c r="Q2519" s="13" t="n">
        <x:f>IF(H2519="","",H2519/1000000000)</x:f>
        <x:v>0.35</x:v>
      </x:c>
      <x:c r="R2519" s="13" t="n">
        <x:f>IF(I2519="","",I2519/1000000)</x:f>
        <x:v>3.5</x:v>
      </x:c>
    </x:row>
    <x:row r="2520" ht="21" customHeight="1">
      <x:c r="A2520" s="10" t="n">
        <x:v>3535</x:v>
      </x:c>
      <x:c r="B2520" s="2" t="str">
        <x:v>2cd5fa442946751a9546</x:v>
      </x:c>
      <x:c r="C2520" s="2" t="str">
        <x:v>Bình Phước</x:v>
      </x:c>
      <x:c r="D2520" s="2" t="str">
        <x:v>Huyện Đồng Phú</x:v>
      </x:c>
      <x:c r="E2520" s="2" t="str">
        <x:v>land</x:v>
      </x:c>
      <x:c r="F2520" s="2" t="str">
        <x:v>sale_assumed</x:v>
      </x:c>
      <x:c r="G2520" s="11" t="n">
        <x:v>1051</x:v>
      </x:c>
      <x:c r="H2520" s="12" t="n">
        <x:v>300000000</x:v>
      </x:c>
      <x:c r="I2520" s="12" t="n">
        <x:v>285442.43577545194</x:v>
      </x:c>
      <x:c r="J2520" s="2" t="str">
        <x:v>total</x:v>
      </x:c>
      <x:c r="K2520" s="2" t="str">
        <x:v>top_level_area</x:v>
      </x:c>
      <x:c r="L2520" s="2" t="str">
        <x:v>dot_thousands_convention;property_type_inferred_from_title;transaction_assumed_sale_from_dataset_context</x:v>
      </x:c>
      <x:c r="M2520" s="10" t="n">
        <x:v>0</x:v>
      </x:c>
      <x:c r="N2520" s="10" t="n">
        <x:v>0</x:v>
      </x:c>
      <x:c r="O2520" s="2" t="str">
        <x:v>Bình Phước|land</x:v>
      </x:c>
      <x:c r="P2520" s="10" t="n">
        <x:v>1</x:v>
      </x:c>
      <x:c r="Q2520" s="13" t="n">
        <x:f>IF(H2520="","",H2520/1000000000)</x:f>
        <x:v>0.3</x:v>
      </x:c>
      <x:c r="R2520" s="13" t="n">
        <x:f>IF(I2520="","",I2520/1000000)</x:f>
        <x:v>0.2854424357754519</x:v>
      </x:c>
    </x:row>
    <x:row r="2521" ht="21" customHeight="1">
      <x:c r="A2521" s="10" t="n">
        <x:v>3536</x:v>
      </x:c>
      <x:c r="B2521" s="2" t="str">
        <x:v>00660151c72a4c03f382</x:v>
      </x:c>
      <x:c r="C2521" s="2" t="str">
        <x:v>Bình Dương</x:v>
      </x:c>
      <x:c r="D2521" s="2" t="str">
        <x:v>Thị xã Thuận An</x:v>
      </x:c>
      <x:c r="E2521" s="2" t="str">
        <x:v>land</x:v>
      </x:c>
      <x:c r="F2521" s="2" t="str">
        <x:v>sale</x:v>
      </x:c>
      <x:c r="G2521" s="11" t="n">
        <x:v>67</x:v>
      </x:c>
      <x:c r="H2521" s="12" t="n">
        <x:v>750000000</x:v>
      </x:c>
      <x:c r="I2521" s="12" t="n">
        <x:v>11194029.850746268</x:v>
      </x:c>
      <x:c r="J2521" s="2" t="str">
        <x:v>total</x:v>
      </x:c>
      <x:c r="K2521" s="2" t="str">
        <x:v>top_level_area</x:v>
      </x:c>
      <x:c r="L2521" s="2" t="str">
        <x:v>property_type_inferred_from_title</x:v>
      </x:c>
      <x:c r="M2521" s="10" t="n">
        <x:v>0</x:v>
      </x:c>
      <x:c r="N2521" s="10" t="n">
        <x:v>0</x:v>
      </x:c>
      <x:c r="O2521" s="2" t="str">
        <x:v>Bình Dương|land</x:v>
      </x:c>
      <x:c r="P2521" s="10" t="n">
        <x:v>2</x:v>
      </x:c>
      <x:c r="Q2521" s="13" t="n">
        <x:f>IF(H2521="","",H2521/1000000000)</x:f>
        <x:v>0.75</x:v>
      </x:c>
      <x:c r="R2521" s="13" t="n">
        <x:f>IF(I2521="","",I2521/1000000)</x:f>
        <x:v>11.194029850746269</x:v>
      </x:c>
    </x:row>
    <x:row r="2522" ht="21" customHeight="1">
      <x:c r="A2522" s="10" t="n">
        <x:v>3537</x:v>
      </x:c>
      <x:c r="B2522" s="2" t="str">
        <x:v>680331b4b38060fc3728</x:v>
      </x:c>
      <x:c r="C2522" s="2" t="str">
        <x:v>Tp Hồ Chí Minh</x:v>
      </x:c>
      <x:c r="D2522" s="2" t="str">
        <x:v>Quận Bình Tân</x:v>
      </x:c>
      <x:c r="E2522" s="2" t="str">
        <x:v>house</x:v>
      </x:c>
      <x:c r="F2522" s="2" t="str">
        <x:v>sale</x:v>
      </x:c>
      <x:c r="G2522" s="11" t="n">
        <x:v>64</x:v>
      </x:c>
      <x:c r="H2522" s="12" t="n">
        <x:v>1680000000</x:v>
      </x:c>
      <x:c r="I2522" s="12" t="n">
        <x:v>26250000</x:v>
      </x:c>
      <x:c r="J2522" s="2" t="str">
        <x:v>total</x:v>
      </x:c>
      <x:c r="K2522" s="2" t="str">
        <x:v>top_level_area</x:v>
      </x:c>
      <x:c r="L2522" s="2" t="str">
        <x:v>property_type_inferred_from_title</x:v>
      </x:c>
      <x:c r="M2522" s="10" t="n">
        <x:v>0</x:v>
      </x:c>
      <x:c r="N2522" s="10" t="n">
        <x:v>0</x:v>
      </x:c>
      <x:c r="O2522" s="2" t="str">
        <x:v>Tp Hồ Chí Minh|house</x:v>
      </x:c>
      <x:c r="P2522" s="10" t="n">
        <x:v>2</x:v>
      </x:c>
      <x:c r="Q2522" s="13" t="n">
        <x:f>IF(H2522="","",H2522/1000000000)</x:f>
        <x:v>1.68</x:v>
      </x:c>
      <x:c r="R2522" s="13" t="n">
        <x:f>IF(I2522="","",I2522/1000000)</x:f>
        <x:v>26.25</x:v>
      </x:c>
    </x:row>
    <x:row r="2523" ht="21" customHeight="1">
      <x:c r="A2523" s="10" t="n">
        <x:v>3538</x:v>
      </x:c>
      <x:c r="B2523" s="2" t="str">
        <x:v>35cedb6b9ec1491d0580</x:v>
      </x:c>
      <x:c r="C2523" s="2" t="str">
        <x:v>Đồng Nai</x:v>
      </x:c>
      <x:c r="D2523" s="2" t="str">
        <x:v>Huyện Trảng Bom</x:v>
      </x:c>
      <x:c r="E2523" s="2" t="str">
        <x:v>other_unknown</x:v>
      </x:c>
      <x:c r="F2523" s="2" t="str">
        <x:v>sale</x:v>
      </x:c>
      <x:c r="G2523" s="11" t="n">
        <x:v>110</x:v>
      </x:c>
      <x:c r="H2523" s="12" t="n">
        <x:v>162000000</x:v>
      </x:c>
      <x:c r="I2523" s="12" t="n">
        <x:v>1472727.2727272727</x:v>
      </x:c>
      <x:c r="J2523" s="2" t="str">
        <x:v>total</x:v>
      </x:c>
      <x:c r="K2523" s="2" t="str">
        <x:v>top_level_area</x:v>
      </x:c>
      <x:c r="L2523" s="2" t="str">
        <x:v>property_type_inferred_from_title;unknown_property_type</x:v>
      </x:c>
      <x:c r="M2523" s="10" t="n">
        <x:v>0</x:v>
      </x:c>
      <x:c r="N2523" s="10" t="n">
        <x:v>0</x:v>
      </x:c>
      <x:c r="O2523" s="2" t="str">
        <x:v>Đồng Nai|other_unknown</x:v>
      </x:c>
      <x:c r="P2523" s="10" t="n">
        <x:v>1</x:v>
      </x:c>
      <x:c r="Q2523" s="13" t="n">
        <x:f>IF(H2523="","",H2523/1000000000)</x:f>
        <x:v>0.162</x:v>
      </x:c>
      <x:c r="R2523" s="13" t="n">
        <x:f>IF(I2523="","",I2523/1000000)</x:f>
        <x:v>1.4727272727272727</x:v>
      </x:c>
    </x:row>
    <x:row r="2524" ht="21" customHeight="1">
      <x:c r="A2524" s="10" t="n">
        <x:v>3539</x:v>
      </x:c>
      <x:c r="B2524" s="2" t="str">
        <x:v>1743af861e33deba3142</x:v>
      </x:c>
      <x:c r="C2524" s="2" t="str">
        <x:v>Bến Tre</x:v>
      </x:c>
      <x:c r="D2524" s="2" t="str">
        <x:v>Huyện Mỏ Cày Bắc</x:v>
      </x:c>
      <x:c r="E2524" s="2" t="str">
        <x:v>land</x:v>
      </x:c>
      <x:c r="F2524" s="2" t="str">
        <x:v>sale_assumed</x:v>
      </x:c>
      <x:c r="G2524" s="11" t="n">
        <x:v>3000</x:v>
      </x:c>
      <x:c r="H2524" s="12" t="n">
        <x:v>900000000</x:v>
      </x:c>
      <x:c r="I2524" s="12" t="n">
        <x:v>300000</x:v>
      </x:c>
      <x:c r="J2524" s="2" t="str">
        <x:v>total</x:v>
      </x:c>
      <x:c r="K2524" s="2" t="str">
        <x:v>top_level_area</x:v>
      </x:c>
      <x:c r="L2524" s="2" t="str">
        <x:v>dot_thousands_convention;property_type_inferred_from_title;transaction_assumed_sale_from_dataset_context</x:v>
      </x:c>
      <x:c r="M2524" s="10" t="n">
        <x:v>0</x:v>
      </x:c>
      <x:c r="N2524" s="10" t="n">
        <x:v>0</x:v>
      </x:c>
      <x:c r="O2524" s="2" t="str">
        <x:v>Bến Tre|land</x:v>
      </x:c>
      <x:c r="P2524" s="10" t="n">
        <x:v>1</x:v>
      </x:c>
      <x:c r="Q2524" s="13" t="n">
        <x:f>IF(H2524="","",H2524/1000000000)</x:f>
        <x:v>0.9</x:v>
      </x:c>
      <x:c r="R2524" s="13" t="n">
        <x:f>IF(I2524="","",I2524/1000000)</x:f>
        <x:v>0.3</x:v>
      </x:c>
    </x:row>
    <x:row r="2525" ht="21" customHeight="1">
      <x:c r="A2525" s="10" t="n">
        <x:v>3540</x:v>
      </x:c>
      <x:c r="B2525" s="2" t="str">
        <x:v>2b7e4557a4915d748245</x:v>
      </x:c>
      <x:c r="C2525" s="2" t="str">
        <x:v>Tp Hồ Chí Minh</x:v>
      </x:c>
      <x:c r="D2525" s="2" t="str">
        <x:v>Quận 6</x:v>
      </x:c>
      <x:c r="E2525" s="2" t="str">
        <x:v>house</x:v>
      </x:c>
      <x:c r="F2525" s="2" t="str">
        <x:v>sale_assumed</x:v>
      </x:c>
      <x:c r="G2525" s="11" t="n">
        <x:v>25</x:v>
      </x:c>
      <x:c r="H2525" s="12" t="n">
        <x:v>3300000000</x:v>
      </x:c>
      <x:c r="I2525" s="12" t="n">
        <x:v>132000000</x:v>
      </x:c>
      <x:c r="J2525" s="2" t="str">
        <x:v>total</x:v>
      </x:c>
      <x:c r="K2525" s="2" t="str">
        <x:v>top_level_area</x:v>
      </x:c>
      <x:c r="L2525" s="2" t="str">
        <x:v>property_type_inferred_from_title;transaction_assumed_sale_from_dataset_context</x:v>
      </x:c>
      <x:c r="M2525" s="10" t="n">
        <x:v>0</x:v>
      </x:c>
      <x:c r="N2525" s="10" t="n">
        <x:v>0</x:v>
      </x:c>
      <x:c r="O2525" s="2" t="str">
        <x:v>Tp Hồ Chí Minh|house</x:v>
      </x:c>
      <x:c r="P2525" s="10" t="n">
        <x:v>2</x:v>
      </x:c>
      <x:c r="Q2525" s="13" t="n">
        <x:f>IF(H2525="","",H2525/1000000000)</x:f>
        <x:v>3.3</x:v>
      </x:c>
      <x:c r="R2525" s="13" t="n">
        <x:f>IF(I2525="","",I2525/1000000)</x:f>
        <x:v>132</x:v>
      </x:c>
    </x:row>
    <x:row r="2526" ht="21" customHeight="1">
      <x:c r="A2526" s="10" t="n">
        <x:v>3541</x:v>
      </x:c>
      <x:c r="B2526" s="2" t="str">
        <x:v>6c989b6d5919871e474b</x:v>
      </x:c>
      <x:c r="C2526" s="2" t="str">
        <x:v>Bình Dương</x:v>
      </x:c>
      <x:c r="D2526" s="2" t="str">
        <x:v>Thành phố Thủ Dầu Một</x:v>
      </x:c>
      <x:c r="E2526" s="2" t="str">
        <x:v>land</x:v>
      </x:c>
      <x:c r="F2526" s="2" t="str">
        <x:v>sale</x:v>
      </x:c>
      <x:c r="G2526" s="11" t="n">
        <x:v>110</x:v>
      </x:c>
      <x:c r="H2526" s="12" t="n">
        <x:v>35000000</x:v>
      </x:c>
      <x:c r="I2526" s="12" t="n">
        <x:v>318181.8181818182</x:v>
      </x:c>
      <x:c r="J2526" s="2" t="str">
        <x:v>total</x:v>
      </x:c>
      <x:c r="K2526" s="2" t="str">
        <x:v>top_level_area</x:v>
      </x:c>
      <x:c r="L2526" s="2" t="str">
        <x:v>property_type_inferred_from_title</x:v>
      </x:c>
      <x:c r="M2526" s="10" t="n">
        <x:v>0</x:v>
      </x:c>
      <x:c r="N2526" s="10" t="n">
        <x:v>0</x:v>
      </x:c>
      <x:c r="O2526" s="2" t="str">
        <x:v>Bình Dương|land</x:v>
      </x:c>
      <x:c r="P2526" s="10" t="n">
        <x:v>1</x:v>
      </x:c>
      <x:c r="Q2526" s="13" t="n">
        <x:f>IF(H2526="","",H2526/1000000000)</x:f>
        <x:v>0.035</x:v>
      </x:c>
      <x:c r="R2526" s="13" t="n">
        <x:f>IF(I2526="","",I2526/1000000)</x:f>
        <x:v>0.3181818181818182</x:v>
      </x:c>
    </x:row>
    <x:row r="2527" ht="21" customHeight="1">
      <x:c r="A2527" s="10" t="n">
        <x:v>3542</x:v>
      </x:c>
      <x:c r="B2527" s="2" t="str">
        <x:v>589eb2f748b74f7eed7d</x:v>
      </x:c>
      <x:c r="C2527" s="2" t="str">
        <x:v>Tp Hồ Chí Minh</x:v>
      </x:c>
      <x:c r="D2527" s="2" t="str">
        <x:v>Huyện Hóc Môn</x:v>
      </x:c>
      <x:c r="E2527" s="2" t="str">
        <x:v>land</x:v>
      </x:c>
      <x:c r="F2527" s="2" t="str">
        <x:v>sale</x:v>
      </x:c>
      <x:c r="G2527" s="11" t="n">
        <x:v>699</x:v>
      </x:c>
      <x:c r="H2527" s="12" t="n">
        <x:v>8000000000</x:v>
      </x:c>
      <x:c r="I2527" s="12" t="n">
        <x:v>11444921.316165952</x:v>
      </x:c>
      <x:c r="J2527" s="2" t="str">
        <x:v>total</x:v>
      </x:c>
      <x:c r="K2527" s="2" t="str">
        <x:v>top_level_area</x:v>
      </x:c>
      <x:c r="L2527" s="2" t="str">
        <x:v>property_type_inferred_from_title</x:v>
      </x:c>
      <x:c r="M2527" s="10" t="n">
        <x:v>0</x:v>
      </x:c>
      <x:c r="N2527" s="10" t="n">
        <x:v>0</x:v>
      </x:c>
      <x:c r="O2527" s="2" t="str">
        <x:v>Tp Hồ Chí Minh|land</x:v>
      </x:c>
      <x:c r="P2527" s="10" t="n">
        <x:v>1</x:v>
      </x:c>
      <x:c r="Q2527" s="13" t="n">
        <x:f>IF(H2527="","",H2527/1000000000)</x:f>
        <x:v>8</x:v>
      </x:c>
      <x:c r="R2527" s="13" t="n">
        <x:f>IF(I2527="","",I2527/1000000)</x:f>
        <x:v>11.444921316165953</x:v>
      </x:c>
    </x:row>
    <x:row r="2528" ht="21" customHeight="1">
      <x:c r="A2528" s="10" t="n">
        <x:v>3543</x:v>
      </x:c>
      <x:c r="B2528" s="2" t="str">
        <x:v>45dd103134a24643b4ee</x:v>
      </x:c>
      <x:c r="C2528" s="2" t="str">
        <x:v>Hải Phòng</x:v>
      </x:c>
      <x:c r="D2528" s="2" t="str">
        <x:v>Quận Hải An</x:v>
      </x:c>
      <x:c r="E2528" s="2" t="str">
        <x:v>land</x:v>
      </x:c>
      <x:c r="F2528" s="2" t="str">
        <x:v>sale</x:v>
      </x:c>
      <x:c r="G2528" s="11" t="n">
        <x:v>54</x:v>
      </x:c>
      <x:c r="H2528" s="12" t="n">
        <x:v>21000000</x:v>
      </x:c>
      <x:c r="I2528" s="12" t="n">
        <x:v>388888.8888888889</x:v>
      </x:c>
      <x:c r="J2528" s="2" t="str">
        <x:v>total</x:v>
      </x:c>
      <x:c r="K2528" s="2" t="str">
        <x:v>top_level_area</x:v>
      </x:c>
      <x:c r="L2528" s="2" t="str">
        <x:v>property_type_inferred_from_title</x:v>
      </x:c>
      <x:c r="M2528" s="10" t="n">
        <x:v>0</x:v>
      </x:c>
      <x:c r="N2528" s="10" t="n">
        <x:v>0</x:v>
      </x:c>
      <x:c r="O2528" s="2" t="str">
        <x:v>land</x:v>
      </x:c>
      <x:c r="P2528" s="10" t="n">
        <x:v>1</x:v>
      </x:c>
      <x:c r="Q2528" s="13" t="n">
        <x:f>IF(H2528="","",H2528/1000000000)</x:f>
        <x:v>0.021</x:v>
      </x:c>
      <x:c r="R2528" s="13" t="n">
        <x:f>IF(I2528="","",I2528/1000000)</x:f>
        <x:v>0.3888888888888889</x:v>
      </x:c>
    </x:row>
    <x:row r="2529" ht="21" customHeight="1">
      <x:c r="A2529" s="10" t="n">
        <x:v>3544</x:v>
      </x:c>
      <x:c r="B2529" s="2" t="str">
        <x:v>cd3a2aae92ad6896fd5f</x:v>
      </x:c>
      <x:c r="C2529" s="2" t="str">
        <x:v>Tp Hồ Chí Minh</x:v>
      </x:c>
      <x:c r="D2529" s="2" t="str">
        <x:v>Huyện Hóc Môn</x:v>
      </x:c>
      <x:c r="E2529" s="2" t="str">
        <x:v>house</x:v>
      </x:c>
      <x:c r="F2529" s="2" t="str">
        <x:v>sale</x:v>
      </x:c>
      <x:c r="G2529" s="11" t="n">
        <x:v>42</x:v>
      </x:c>
      <x:c r="H2529" s="12" t="n">
        <x:v>2550000000</x:v>
      </x:c>
      <x:c r="I2529" s="12" t="n">
        <x:v>60714285.71428572</x:v>
      </x:c>
      <x:c r="J2529" s="2" t="str">
        <x:v>total</x:v>
      </x:c>
      <x:c r="K2529" s="2" t="str">
        <x:v>top_level_area</x:v>
      </x:c>
      <x:c r="L2529" s="2" t="str">
        <x:v>property_type_inferred_from_title</x:v>
      </x:c>
      <x:c r="M2529" s="10" t="n">
        <x:v>0</x:v>
      </x:c>
      <x:c r="N2529" s="10" t="n">
        <x:v>0</x:v>
      </x:c>
      <x:c r="O2529" s="2" t="str">
        <x:v>Tp Hồ Chí Minh|house</x:v>
      </x:c>
      <x:c r="P2529" s="10" t="n">
        <x:v>2</x:v>
      </x:c>
      <x:c r="Q2529" s="13" t="n">
        <x:f>IF(H2529="","",H2529/1000000000)</x:f>
        <x:v>2.55</x:v>
      </x:c>
      <x:c r="R2529" s="13" t="n">
        <x:f>IF(I2529="","",I2529/1000000)</x:f>
        <x:v>60.714285714285715</x:v>
      </x:c>
    </x:row>
    <x:row r="2530" ht="21" customHeight="1">
      <x:c r="A2530" s="10" t="n">
        <x:v>3545</x:v>
      </x:c>
      <x:c r="B2530" s="2" t="str">
        <x:v>159311cae91b10abccf1</x:v>
      </x:c>
      <x:c r="C2530" s="2" t="str">
        <x:v>Đồng Nai</x:v>
      </x:c>
      <x:c r="D2530" s="2" t="str">
        <x:v>Thành phố Biên Hòa</x:v>
      </x:c>
      <x:c r="E2530" s="2" t="str">
        <x:v>house</x:v>
      </x:c>
      <x:c r="F2530" s="2" t="str">
        <x:v>sale</x:v>
      </x:c>
      <x:c r="G2530" s="11" t="n">
        <x:v>79</x:v>
      </x:c>
      <x:c r="H2530" s="12" t="n">
        <x:v>890000000</x:v>
      </x:c>
      <x:c r="I2530" s="12" t="n">
        <x:v>11265822.784810126</x:v>
      </x:c>
      <x:c r="J2530" s="2" t="str">
        <x:v>total</x:v>
      </x:c>
      <x:c r="K2530" s="2" t="str">
        <x:v>top_level_area</x:v>
      </x:c>
      <x:c r="L2530" s="2" t="str">
        <x:v>property_type_inferred_from_title</x:v>
      </x:c>
      <x:c r="M2530" s="10" t="n">
        <x:v>0</x:v>
      </x:c>
      <x:c r="N2530" s="10" t="n">
        <x:v>0</x:v>
      </x:c>
      <x:c r="O2530" s="2" t="str">
        <x:v>Đồng Nai|house</x:v>
      </x:c>
      <x:c r="P2530" s="10" t="n">
        <x:v>2</x:v>
      </x:c>
      <x:c r="Q2530" s="13" t="n">
        <x:f>IF(H2530="","",H2530/1000000000)</x:f>
        <x:v>0.89</x:v>
      </x:c>
      <x:c r="R2530" s="13" t="n">
        <x:f>IF(I2530="","",I2530/1000000)</x:f>
        <x:v>11.265822784810126</x:v>
      </x:c>
    </x:row>
    <x:row r="2531" ht="21" customHeight="1">
      <x:c r="A2531" s="10" t="n">
        <x:v>3546</x:v>
      </x:c>
      <x:c r="B2531" s="2" t="str">
        <x:v>20f41ca58a4f402083c0</x:v>
      </x:c>
      <x:c r="C2531" s="2" t="str">
        <x:v>Hà Nội</x:v>
      </x:c>
      <x:c r="D2531" s="2" t="str">
        <x:v>Quận Hà Đông</x:v>
      </x:c>
      <x:c r="E2531" s="2" t="str">
        <x:v>other_unknown</x:v>
      </x:c>
      <x:c r="F2531" s="2" t="str">
        <x:v>sale_assumed</x:v>
      </x:c>
      <x:c r="G2531" s="11" t="n">
        <x:v>78</x:v>
      </x:c>
      <x:c r="H2531" s="12" t="n">
        <x:v>9500000000</x:v>
      </x:c>
      <x:c r="I2531" s="12" t="n">
        <x:v>121794871.79487179</x:v>
      </x:c>
      <x:c r="J2531" s="2" t="str">
        <x:v>total</x:v>
      </x:c>
      <x:c r="K2531" s="2" t="str">
        <x:v>top_level_area</x:v>
      </x:c>
      <x:c r="L2531" s="2" t="str">
        <x:v>property_type_inferred_from_title;transaction_assumed_sale_from_dataset_context;unknown_property_type</x:v>
      </x:c>
      <x:c r="M2531" s="10" t="n">
        <x:v>0</x:v>
      </x:c>
      <x:c r="N2531" s="10" t="n">
        <x:v>0</x:v>
      </x:c>
      <x:c r="O2531" s="2" t="str">
        <x:v>Hà Nội|other_unknown</x:v>
      </x:c>
      <x:c r="P2531" s="10" t="n">
        <x:v>2</x:v>
      </x:c>
      <x:c r="Q2531" s="13" t="n">
        <x:f>IF(H2531="","",H2531/1000000000)</x:f>
        <x:v>9.5</x:v>
      </x:c>
      <x:c r="R2531" s="13" t="n">
        <x:f>IF(I2531="","",I2531/1000000)</x:f>
        <x:v>121.7948717948718</x:v>
      </x:c>
    </x:row>
    <x:row r="2532" ht="21" customHeight="1">
      <x:c r="A2532" s="10" t="n">
        <x:v>3550</x:v>
      </x:c>
      <x:c r="B2532" s="2" t="str">
        <x:v>96745a5f9f5083130f58</x:v>
      </x:c>
      <x:c r="C2532" s="2" t="str">
        <x:v>Đồng Nai</x:v>
      </x:c>
      <x:c r="D2532" s="2" t="str">
        <x:v>Thành phố Long Khánh</x:v>
      </x:c>
      <x:c r="E2532" s="2" t="str">
        <x:v>other_unknown</x:v>
      </x:c>
      <x:c r="F2532" s="2" t="str">
        <x:v>sale</x:v>
      </x:c>
      <x:c r="G2532" s="11" t="n">
        <x:v>3000</x:v>
      </x:c>
      <x:c r="H2532" s="12" t="n">
        <x:v>3000000000</x:v>
      </x:c>
      <x:c r="I2532" s="12" t="n">
        <x:v>1000000</x:v>
      </x:c>
      <x:c r="J2532" s="2" t="str">
        <x:v>total</x:v>
      </x:c>
      <x:c r="K2532" s="2" t="str">
        <x:v>top_level_area</x:v>
      </x:c>
      <x:c r="L2532" s="2" t="str">
        <x:v>dot_thousands_convention;property_type_inferred_from_title;unknown_property_type</x:v>
      </x:c>
      <x:c r="M2532" s="10" t="n">
        <x:v>0</x:v>
      </x:c>
      <x:c r="N2532" s="10" t="n">
        <x:v>0</x:v>
      </x:c>
      <x:c r="O2532" s="2" t="str">
        <x:v>Đồng Nai|other_unknown</x:v>
      </x:c>
      <x:c r="P2532" s="10" t="n">
        <x:v>1</x:v>
      </x:c>
      <x:c r="Q2532" s="13" t="n">
        <x:f>IF(H2532="","",H2532/1000000000)</x:f>
        <x:v>3</x:v>
      </x:c>
      <x:c r="R2532" s="13" t="n">
        <x:f>IF(I2532="","",I2532/1000000)</x:f>
        <x:v>1</x:v>
      </x:c>
    </x:row>
    <x:row r="2533" ht="21" customHeight="1">
      <x:c r="A2533" s="10" t="n">
        <x:v>3551</x:v>
      </x:c>
      <x:c r="B2533" s="2" t="str">
        <x:v>a4cdf4e377521d11d420</x:v>
      </x:c>
      <x:c r="C2533" s="2" t="str">
        <x:v>Đà Nẵng</x:v>
      </x:c>
      <x:c r="D2533" s="2" t="str">
        <x:v>Quận Hải Châu</x:v>
      </x:c>
      <x:c r="E2533" s="2" t="str">
        <x:v>house</x:v>
      </x:c>
      <x:c r="F2533" s="2" t="str">
        <x:v>sale</x:v>
      </x:c>
      <x:c r="G2533" s="11" t="n">
        <x:v>105</x:v>
      </x:c>
      <x:c r="H2533" s="12" t="n">
        <x:v>7450000000</x:v>
      </x:c>
      <x:c r="I2533" s="12" t="n">
        <x:v>70952380.95238096</x:v>
      </x:c>
      <x:c r="J2533" s="2" t="str">
        <x:v>total</x:v>
      </x:c>
      <x:c r="K2533" s="2" t="str">
        <x:v>top_level_area</x:v>
      </x:c>
      <x:c r="L2533" s="2" t="str">
        <x:v>property_type_inferred_from_title</x:v>
      </x:c>
      <x:c r="M2533" s="10" t="n">
        <x:v>0</x:v>
      </x:c>
      <x:c r="N2533" s="10" t="n">
        <x:v>0</x:v>
      </x:c>
      <x:c r="O2533" s="2" t="str">
        <x:v>Đà Nẵng|house</x:v>
      </x:c>
      <x:c r="P2533" s="10" t="n">
        <x:v>2</x:v>
      </x:c>
      <x:c r="Q2533" s="13" t="n">
        <x:f>IF(H2533="","",H2533/1000000000)</x:f>
        <x:v>7.45</x:v>
      </x:c>
      <x:c r="R2533" s="13" t="n">
        <x:f>IF(I2533="","",I2533/1000000)</x:f>
        <x:v>70.95238095238095</x:v>
      </x:c>
    </x:row>
    <x:row r="2534" ht="21" customHeight="1">
      <x:c r="A2534" s="10" t="n">
        <x:v>3552</x:v>
      </x:c>
      <x:c r="B2534" s="2" t="str">
        <x:v>97f4b61d124dff29bb1c</x:v>
      </x:c>
      <x:c r="C2534" s="2" t="str">
        <x:v>Bình Dương</x:v>
      </x:c>
      <x:c r="D2534" s="2" t="str">
        <x:v>thành phố Thuận An</x:v>
      </x:c>
      <x:c r="E2534" s="2" t="str">
        <x:v>apartment</x:v>
      </x:c>
      <x:c r="F2534" s="2" t="str">
        <x:v>sale_assumed</x:v>
      </x:c>
      <x:c r="G2534" s="11" t="n">
        <x:v>45</x:v>
      </x:c>
      <x:c r="H2534" s="12" t="n">
        <x:v>1650000000</x:v>
      </x:c>
      <x:c r="I2534" s="12" t="n">
        <x:v>36666666.666666664</x:v>
      </x:c>
      <x:c r="J2534" s="2" t="str">
        <x:v>total</x:v>
      </x:c>
      <x:c r="K2534" s="2" t="str">
        <x:v>top_level_area</x:v>
      </x:c>
      <x:c r="L2534" s="2" t="str">
        <x:v>property_type_inferred_from_title;province_alias_normalized;transaction_assumed_sale_from_dataset_context</x:v>
      </x:c>
      <x:c r="M2534" s="10" t="n">
        <x:v>0</x:v>
      </x:c>
      <x:c r="N2534" s="10" t="n">
        <x:v>0</x:v>
      </x:c>
      <x:c r="O2534" s="2" t="str">
        <x:v>Bình Dương|apartment</x:v>
      </x:c>
      <x:c r="P2534" s="10" t="n">
        <x:v>2</x:v>
      </x:c>
      <x:c r="Q2534" s="13" t="n">
        <x:f>IF(H2534="","",H2534/1000000000)</x:f>
        <x:v>1.65</x:v>
      </x:c>
      <x:c r="R2534" s="13" t="n">
        <x:f>IF(I2534="","",I2534/1000000)</x:f>
        <x:v>36.666666666666664</x:v>
      </x:c>
    </x:row>
    <x:row r="2535" ht="21" customHeight="1">
      <x:c r="A2535" s="10" t="n">
        <x:v>3553</x:v>
      </x:c>
      <x:c r="B2535" s="2" t="str">
        <x:v>58420c449dd538aa0b2e</x:v>
      </x:c>
      <x:c r="C2535" s="2" t="str">
        <x:v>Tp Hồ Chí Minh</x:v>
      </x:c>
      <x:c r="D2535" s="2" t="str">
        <x:v>Quận 8</x:v>
      </x:c>
      <x:c r="E2535" s="2" t="str">
        <x:v>house</x:v>
      </x:c>
      <x:c r="F2535" s="2" t="str">
        <x:v>sale_assumed</x:v>
      </x:c>
      <x:c r="G2535" s="11" t="n">
        <x:v>52</x:v>
      </x:c>
      <x:c r="H2535" s="12" t="n">
        <x:v>3700000000</x:v>
      </x:c>
      <x:c r="I2535" s="12" t="n">
        <x:v>71153846.15384616</x:v>
      </x:c>
      <x:c r="J2535" s="2" t="str">
        <x:v>total</x:v>
      </x:c>
      <x:c r="K2535" s="2" t="str">
        <x:v>top_level_area</x:v>
      </x:c>
      <x:c r="L2535" s="2" t="str">
        <x:v>property_type_inferred_from_title;transaction_assumed_sale_from_dataset_context</x:v>
      </x:c>
      <x:c r="M2535" s="10" t="n">
        <x:v>0</x:v>
      </x:c>
      <x:c r="N2535" s="10" t="n">
        <x:v>0</x:v>
      </x:c>
      <x:c r="O2535" s="2" t="str">
        <x:v>Tp Hồ Chí Minh|house</x:v>
      </x:c>
      <x:c r="P2535" s="10" t="n">
        <x:v>2</x:v>
      </x:c>
      <x:c r="Q2535" s="13" t="n">
        <x:f>IF(H2535="","",H2535/1000000000)</x:f>
        <x:v>3.7</x:v>
      </x:c>
      <x:c r="R2535" s="13" t="n">
        <x:f>IF(I2535="","",I2535/1000000)</x:f>
        <x:v>71.15384615384616</x:v>
      </x:c>
    </x:row>
    <x:row r="2536" ht="21" customHeight="1">
      <x:c r="A2536" s="10" t="n">
        <x:v>3554</x:v>
      </x:c>
      <x:c r="B2536" s="2" t="str">
        <x:v>58d9bc53b2605386e59d</x:v>
      </x:c>
      <x:c r="C2536" s="2" t="str">
        <x:v>Tp Hồ Chí Minh</x:v>
      </x:c>
      <x:c r="D2536" s="2" t="str">
        <x:v>Quận Gò Vấp</x:v>
      </x:c>
      <x:c r="E2536" s="2" t="str">
        <x:v>house</x:v>
      </x:c>
      <x:c r="F2536" s="2" t="str">
        <x:v>sale_assumed</x:v>
      </x:c>
      <x:c r="G2536" s="11" t="n">
        <x:v>100</x:v>
      </x:c>
      <x:c r="H2536" s="12" t="n">
        <x:v>17000000000</x:v>
      </x:c>
      <x:c r="I2536" s="12" t="n">
        <x:v>170000000</x:v>
      </x:c>
      <x:c r="J2536" s="2" t="str">
        <x:v>total</x:v>
      </x:c>
      <x:c r="K2536" s="2" t="str">
        <x:v>top_level_area</x:v>
      </x:c>
      <x:c r="L2536" s="2" t="str">
        <x:v>property_type_inferred_from_title;transaction_assumed_sale_from_dataset_context</x:v>
      </x:c>
      <x:c r="M2536" s="10" t="n">
        <x:v>1</x:v>
      </x:c>
      <x:c r="N2536" s="10" t="n">
        <x:v>0</x:v>
      </x:c>
      <x:c r="O2536" s="2" t="str">
        <x:v>Tp Hồ Chí Minh|house</x:v>
      </x:c>
      <x:c r="P2536" s="10" t="n">
        <x:v>2</x:v>
      </x:c>
      <x:c r="Q2536" s="13" t="n">
        <x:f>IF(H2536="","",H2536/1000000000)</x:f>
        <x:v>17</x:v>
      </x:c>
      <x:c r="R2536" s="13" t="n">
        <x:f>IF(I2536="","",I2536/1000000)</x:f>
        <x:v>170</x:v>
      </x:c>
    </x:row>
    <x:row r="2537" ht="21" customHeight="1">
      <x:c r="A2537" s="10" t="n">
        <x:v>3555</x:v>
      </x:c>
      <x:c r="B2537" s="2" t="str">
        <x:v>645aa7fbf7f83bb3f09d</x:v>
      </x:c>
      <x:c r="C2537" s="2" t="str">
        <x:v>Hà Nội</x:v>
      </x:c>
      <x:c r="D2537" s="2" t="str">
        <x:v>Quận Tây Hồ</x:v>
      </x:c>
      <x:c r="E2537" s="2" t="str">
        <x:v>apartment</x:v>
      </x:c>
      <x:c r="F2537" s="2" t="str">
        <x:v>sale_assumed</x:v>
      </x:c>
      <x:c r="G2537" s="11" t="n">
        <x:v>89.6</x:v>
      </x:c>
      <x:c r="H2537" s="12" t="n">
        <x:v>4000000000</x:v>
      </x:c>
      <x:c r="I2537" s="12" t="n">
        <x:v>44642857.14285715</x:v>
      </x:c>
      <x:c r="J2537" s="2" t="str">
        <x:v>total</x:v>
      </x:c>
      <x:c r="K2537" s="2" t="str">
        <x:v>top_level_area</x:v>
      </x:c>
      <x:c r="L2537" s="2" t="str">
        <x:v>property_type_inferred_from_title;transaction_assumed_sale_from_dataset_context</x:v>
      </x:c>
      <x:c r="M2537" s="10" t="n">
        <x:v>0</x:v>
      </x:c>
      <x:c r="N2537" s="10" t="n">
        <x:v>0</x:v>
      </x:c>
      <x:c r="O2537" s="2" t="str">
        <x:v>Hà Nội|apartment</x:v>
      </x:c>
      <x:c r="P2537" s="10" t="n">
        <x:v>2</x:v>
      </x:c>
      <x:c r="Q2537" s="13" t="n">
        <x:f>IF(H2537="","",H2537/1000000000)</x:f>
        <x:v>4</x:v>
      </x:c>
      <x:c r="R2537" s="13" t="n">
        <x:f>IF(I2537="","",I2537/1000000)</x:f>
        <x:v>44.642857142857146</x:v>
      </x:c>
    </x:row>
    <x:row r="2538" ht="21" customHeight="1">
      <x:c r="A2538" s="10" t="n">
        <x:v>3556</x:v>
      </x:c>
      <x:c r="B2538" s="2" t="str">
        <x:v>6050a42fa7277ef5cbaf</x:v>
      </x:c>
      <x:c r="C2538" s="2" t="str">
        <x:v>Bình Dương</x:v>
      </x:c>
      <x:c r="D2538" s="2" t="str">
        <x:v>Thị xã Dĩ An</x:v>
      </x:c>
      <x:c r="E2538" s="2" t="str">
        <x:v>house</x:v>
      </x:c>
      <x:c r="F2538" s="2" t="str">
        <x:v>sale_assumed</x:v>
      </x:c>
      <x:c r="G2538" s="11" t="n">
        <x:v>55</x:v>
      </x:c>
      <x:c r="H2538" s="12" t="n">
        <x:v>2550000000</x:v>
      </x:c>
      <x:c r="I2538" s="12" t="n">
        <x:v>46363636.36363637</x:v>
      </x:c>
      <x:c r="J2538" s="2" t="str">
        <x:v>total</x:v>
      </x:c>
      <x:c r="K2538" s="2" t="str">
        <x:v>top_level_area</x:v>
      </x:c>
      <x:c r="L2538" s="2" t="str">
        <x:v>property_type_inferred_from_title;transaction_assumed_sale_from_dataset_context</x:v>
      </x:c>
      <x:c r="M2538" s="10" t="n">
        <x:v>0</x:v>
      </x:c>
      <x:c r="N2538" s="10" t="n">
        <x:v>0</x:v>
      </x:c>
      <x:c r="O2538" s="2" t="str">
        <x:v>Bình Dương|house</x:v>
      </x:c>
      <x:c r="P2538" s="10" t="n">
        <x:v>2</x:v>
      </x:c>
      <x:c r="Q2538" s="13" t="n">
        <x:f>IF(H2538="","",H2538/1000000000)</x:f>
        <x:v>2.55</x:v>
      </x:c>
      <x:c r="R2538" s="13" t="n">
        <x:f>IF(I2538="","",I2538/1000000)</x:f>
        <x:v>46.36363636363637</x:v>
      </x:c>
    </x:row>
    <x:row r="2539" ht="21" customHeight="1">
      <x:c r="A2539" s="10" t="n">
        <x:v>3557</x:v>
      </x:c>
      <x:c r="B2539" s="2" t="str">
        <x:v>5f8d81e32dbd953f0903</x:v>
      </x:c>
      <x:c r="C2539" s="2" t="str">
        <x:v>Tp Hồ Chí Minh</x:v>
      </x:c>
      <x:c r="D2539" s="2" t="str">
        <x:v>Quận 2</x:v>
      </x:c>
      <x:c r="E2539" s="2" t="str">
        <x:v>house</x:v>
      </x:c>
      <x:c r="F2539" s="2" t="str">
        <x:v>sale</x:v>
      </x:c>
      <x:c r="G2539" s="11" t="n">
        <x:v>60.4</x:v>
      </x:c>
      <x:c r="H2539" s="12" t="n">
        <x:v>1230000000</x:v>
      </x:c>
      <x:c r="I2539" s="12" t="n">
        <x:v>20364238.410596028</x:v>
      </x:c>
      <x:c r="J2539" s="2" t="str">
        <x:v>total</x:v>
      </x:c>
      <x:c r="K2539" s="2" t="str">
        <x:v>top_level_area</x:v>
      </x:c>
      <x:c r="L2539" s="2" t="str">
        <x:v>property_type_inferred_from_title</x:v>
      </x:c>
      <x:c r="M2539" s="10" t="n">
        <x:v>0</x:v>
      </x:c>
      <x:c r="N2539" s="10" t="n">
        <x:v>0</x:v>
      </x:c>
      <x:c r="O2539" s="2" t="str">
        <x:v>Tp Hồ Chí Minh|house</x:v>
      </x:c>
      <x:c r="P2539" s="10" t="n">
        <x:v>2</x:v>
      </x:c>
      <x:c r="Q2539" s="13" t="n">
        <x:f>IF(H2539="","",H2539/1000000000)</x:f>
        <x:v>1.23</x:v>
      </x:c>
      <x:c r="R2539" s="13" t="n">
        <x:f>IF(I2539="","",I2539/1000000)</x:f>
        <x:v>20.364238410596027</x:v>
      </x:c>
    </x:row>
    <x:row r="2540" ht="21" customHeight="1">
      <x:c r="A2540" s="10" t="n">
        <x:v>3558</x:v>
      </x:c>
      <x:c r="B2540" s="2" t="str">
        <x:v>015e2d86bc540ead677a</x:v>
      </x:c>
      <x:c r="C2540" s="2" t="str">
        <x:v>Tp Hồ Chí Minh</x:v>
      </x:c>
      <x:c r="D2540" s="2" t="str">
        <x:v>Quận Bình Thạnh</x:v>
      </x:c>
      <x:c r="E2540" s="2" t="str">
        <x:v>house</x:v>
      </x:c>
      <x:c r="F2540" s="2" t="str">
        <x:v>sale_assumed</x:v>
      </x:c>
      <x:c r="G2540" s="11" t="n">
        <x:v>72</x:v>
      </x:c>
      <x:c r="H2540" s="12" t="n">
        <x:v>1320000000</x:v>
      </x:c>
      <x:c r="I2540" s="12" t="n">
        <x:v>18333333.333333332</x:v>
      </x:c>
      <x:c r="J2540" s="2" t="str">
        <x:v>total</x:v>
      </x:c>
      <x:c r="K2540" s="2" t="str">
        <x:v>top_level_area</x:v>
      </x:c>
      <x:c r="L2540" s="2" t="str">
        <x:v>property_type_inferred_from_title;transaction_assumed_sale_from_dataset_context</x:v>
      </x:c>
      <x:c r="M2540" s="10" t="n">
        <x:v>0</x:v>
      </x:c>
      <x:c r="N2540" s="10" t="n">
        <x:v>0</x:v>
      </x:c>
      <x:c r="O2540" s="2" t="str">
        <x:v>Tp Hồ Chí Minh|house</x:v>
      </x:c>
      <x:c r="P2540" s="10" t="n">
        <x:v>2</x:v>
      </x:c>
      <x:c r="Q2540" s="13" t="n">
        <x:f>IF(H2540="","",H2540/1000000000)</x:f>
        <x:v>1.32</x:v>
      </x:c>
      <x:c r="R2540" s="13" t="n">
        <x:f>IF(I2540="","",I2540/1000000)</x:f>
        <x:v>18.333333333333332</x:v>
      </x:c>
    </x:row>
    <x:row r="2541" ht="21" customHeight="1">
      <x:c r="A2541" s="10" t="n">
        <x:v>3559</x:v>
      </x:c>
      <x:c r="B2541" s="2" t="str">
        <x:v>672bb4ce4bb9bdfbd5ca</x:v>
      </x:c>
      <x:c r="C2541" s="2" t="str">
        <x:v>Tp Hồ Chí Minh</x:v>
      </x:c>
      <x:c r="D2541" s="2" t="str">
        <x:v>Quận Thủ Đức</x:v>
      </x:c>
      <x:c r="E2541" s="2" t="str">
        <x:v>house</x:v>
      </x:c>
      <x:c r="F2541" s="2" t="str">
        <x:v>sale</x:v>
      </x:c>
      <x:c r="G2541" s="11" t="n">
        <x:v>55</x:v>
      </x:c>
      <x:c r="H2541" s="12" t="n">
        <x:v>1240000000</x:v>
      </x:c>
      <x:c r="I2541" s="12" t="n">
        <x:v>22545454.545454547</x:v>
      </x:c>
      <x:c r="J2541" s="2" t="str">
        <x:v>total</x:v>
      </x:c>
      <x:c r="K2541" s="2" t="str">
        <x:v>top_level_area</x:v>
      </x:c>
      <x:c r="L2541" s="2" t="str">
        <x:v>property_type_inferred_from_title</x:v>
      </x:c>
      <x:c r="M2541" s="10" t="n">
        <x:v>0</x:v>
      </x:c>
      <x:c r="N2541" s="10" t="n">
        <x:v>0</x:v>
      </x:c>
      <x:c r="O2541" s="2" t="str">
        <x:v>Tp Hồ Chí Minh|house</x:v>
      </x:c>
      <x:c r="P2541" s="10" t="n">
        <x:v>2</x:v>
      </x:c>
      <x:c r="Q2541" s="13" t="n">
        <x:f>IF(H2541="","",H2541/1000000000)</x:f>
        <x:v>1.24</x:v>
      </x:c>
      <x:c r="R2541" s="13" t="n">
        <x:f>IF(I2541="","",I2541/1000000)</x:f>
        <x:v>22.545454545454547</x:v>
      </x:c>
    </x:row>
    <x:row r="2542" ht="21" customHeight="1">
      <x:c r="A2542" s="10" t="n">
        <x:v>3560</x:v>
      </x:c>
      <x:c r="B2542" s="2" t="str">
        <x:v>53d32163a7db23d36927</x:v>
      </x:c>
      <x:c r="C2542" s="2" t="str">
        <x:v>Cần Thơ</x:v>
      </x:c>
      <x:c r="D2542" s="2" t="str">
        <x:v>Quận Ô Môn</x:v>
      </x:c>
      <x:c r="E2542" s="2" t="str">
        <x:v>land</x:v>
      </x:c>
      <x:c r="F2542" s="2" t="str">
        <x:v>sale_assumed</x:v>
      </x:c>
      <x:c r="G2542" s="11" t="n">
        <x:v>180</x:v>
      </x:c>
      <x:c r="H2542" s="12" t="n">
        <x:v>220000000</x:v>
      </x:c>
      <x:c r="I2542" s="12" t="n">
        <x:v>1222222.2222222222</x:v>
      </x:c>
      <x:c r="J2542" s="2" t="str">
        <x:v>total</x:v>
      </x:c>
      <x:c r="K2542" s="2" t="str">
        <x:v>top_level_area</x:v>
      </x:c>
      <x:c r="L2542" s="2" t="str">
        <x:v>property_type_inferred_from_title;transaction_assumed_sale_from_dataset_context</x:v>
      </x:c>
      <x:c r="M2542" s="10" t="n">
        <x:v>0</x:v>
      </x:c>
      <x:c r="N2542" s="10" t="n">
        <x:v>0</x:v>
      </x:c>
      <x:c r="O2542" s="2" t="str">
        <x:v>Cần Thơ|land</x:v>
      </x:c>
      <x:c r="P2542" s="10" t="n">
        <x:v>1</x:v>
      </x:c>
      <x:c r="Q2542" s="13" t="n">
        <x:f>IF(H2542="","",H2542/1000000000)</x:f>
        <x:v>0.22</x:v>
      </x:c>
      <x:c r="R2542" s="13" t="n">
        <x:f>IF(I2542="","",I2542/1000000)</x:f>
        <x:v>1.2222222222222223</x:v>
      </x:c>
    </x:row>
    <x:row r="2543" ht="21" customHeight="1">
      <x:c r="A2543" s="10" t="n">
        <x:v>3561</x:v>
      </x:c>
      <x:c r="B2543" s="2" t="str">
        <x:v>4a5e0b19053b3ddb48fa</x:v>
      </x:c>
      <x:c r="C2543" s="2" t="str">
        <x:v>Tp Hồ Chí Minh</x:v>
      </x:c>
      <x:c r="D2543" s="2" t="str">
        <x:v>Huyện Bình Chánh</x:v>
      </x:c>
      <x:c r="E2543" s="2" t="str">
        <x:v>other_unknown</x:v>
      </x:c>
      <x:c r="F2543" s="2" t="str">
        <x:v>sale</x:v>
      </x:c>
      <x:c r="G2543" s="11" t="n">
        <x:v>40</x:v>
      </x:c>
      <x:c r="H2543" s="12" t="n">
        <x:v>740000000</x:v>
      </x:c>
      <x:c r="I2543" s="12" t="n">
        <x:v>18500000</x:v>
      </x:c>
      <x:c r="J2543" s="2" t="str">
        <x:v>total</x:v>
      </x:c>
      <x:c r="K2543" s="2" t="str">
        <x:v>top_level_area</x:v>
      </x:c>
      <x:c r="L2543" s="2" t="str">
        <x:v>property_type_inferred_from_title;unknown_property_type</x:v>
      </x:c>
      <x:c r="M2543" s="10" t="n">
        <x:v>0</x:v>
      </x:c>
      <x:c r="N2543" s="10" t="n">
        <x:v>0</x:v>
      </x:c>
      <x:c r="O2543" s="2" t="str">
        <x:v>Tp Hồ Chí Minh|other_unknown</x:v>
      </x:c>
      <x:c r="P2543" s="10" t="n">
        <x:v>2</x:v>
      </x:c>
      <x:c r="Q2543" s="13" t="n">
        <x:f>IF(H2543="","",H2543/1000000000)</x:f>
        <x:v>0.74</x:v>
      </x:c>
      <x:c r="R2543" s="13" t="n">
        <x:f>IF(I2543="","",I2543/1000000)</x:f>
        <x:v>18.5</x:v>
      </x:c>
    </x:row>
    <x:row r="2544" ht="21" customHeight="1">
      <x:c r="A2544" s="10" t="n">
        <x:v>3562</x:v>
      </x:c>
      <x:c r="B2544" s="2" t="str">
        <x:v>30687d60972aed4eed4d</x:v>
      </x:c>
      <x:c r="C2544" s="2" t="str">
        <x:v>Tp Hồ Chí Minh</x:v>
      </x:c>
      <x:c r="D2544" s="2" t="str">
        <x:v>Quận Thủ Đức</x:v>
      </x:c>
      <x:c r="E2544" s="2" t="str">
        <x:v>house</x:v>
      </x:c>
      <x:c r="F2544" s="2" t="str">
        <x:v>sale_assumed</x:v>
      </x:c>
      <x:c r="G2544" s="11" t="n">
        <x:v>21</x:v>
      </x:c>
      <x:c r="H2544" s="12" t="n">
        <x:v>2000000000</x:v>
      </x:c>
      <x:c r="I2544" s="12" t="n">
        <x:v>95238095.23809524</x:v>
      </x:c>
      <x:c r="J2544" s="2" t="str">
        <x:v>total</x:v>
      </x:c>
      <x:c r="K2544" s="2" t="str">
        <x:v>top_level_area</x:v>
      </x:c>
      <x:c r="L2544" s="2" t="str">
        <x:v>property_type_inferred_from_title;transaction_assumed_sale_from_dataset_context</x:v>
      </x:c>
      <x:c r="M2544" s="10" t="n">
        <x:v>0</x:v>
      </x:c>
      <x:c r="N2544" s="10" t="n">
        <x:v>0</x:v>
      </x:c>
      <x:c r="O2544" s="2" t="str">
        <x:v>Tp Hồ Chí Minh|house</x:v>
      </x:c>
      <x:c r="P2544" s="10" t="n">
        <x:v>2</x:v>
      </x:c>
      <x:c r="Q2544" s="13" t="n">
        <x:f>IF(H2544="","",H2544/1000000000)</x:f>
        <x:v>2</x:v>
      </x:c>
      <x:c r="R2544" s="13" t="n">
        <x:f>IF(I2544="","",I2544/1000000)</x:f>
        <x:v>95.23809523809524</x:v>
      </x:c>
    </x:row>
    <x:row r="2545" ht="21" customHeight="1">
      <x:c r="A2545" s="10" t="n">
        <x:v>3563</x:v>
      </x:c>
      <x:c r="B2545" s="2" t="str">
        <x:v>692fd7de300eb8280c69</x:v>
      </x:c>
      <x:c r="C2545" s="2" t="str">
        <x:v>Hà Nội</x:v>
      </x:c>
      <x:c r="D2545" s="2" t="str">
        <x:v>Quận Ba Đình</x:v>
      </x:c>
      <x:c r="E2545" s="2" t="str">
        <x:v>house</x:v>
      </x:c>
      <x:c r="F2545" s="2" t="str">
        <x:v>sale_assumed</x:v>
      </x:c>
      <x:c r="G2545" s="11" t="n">
        <x:v>30</x:v>
      </x:c>
      <x:c r="H2545" s="12" t="n">
        <x:v>2650000000</x:v>
      </x:c>
      <x:c r="I2545" s="12" t="n">
        <x:v>88333333.33333333</x:v>
      </x:c>
      <x:c r="J2545" s="2" t="str">
        <x:v>total</x:v>
      </x:c>
      <x:c r="K2545" s="2" t="str">
        <x:v>top_level_area</x:v>
      </x:c>
      <x:c r="L2545" s="2" t="str">
        <x:v>property_type_inferred_from_title;transaction_assumed_sale_from_dataset_context</x:v>
      </x:c>
      <x:c r="M2545" s="10" t="n">
        <x:v>0</x:v>
      </x:c>
      <x:c r="N2545" s="10" t="n">
        <x:v>0</x:v>
      </x:c>
      <x:c r="O2545" s="2" t="str">
        <x:v>Hà Nội|house</x:v>
      </x:c>
      <x:c r="P2545" s="10" t="n">
        <x:v>2</x:v>
      </x:c>
      <x:c r="Q2545" s="13" t="n">
        <x:f>IF(H2545="","",H2545/1000000000)</x:f>
        <x:v>2.65</x:v>
      </x:c>
      <x:c r="R2545" s="13" t="n">
        <x:f>IF(I2545="","",I2545/1000000)</x:f>
        <x:v>88.33333333333333</x:v>
      </x:c>
    </x:row>
    <x:row r="2546" ht="21" customHeight="1">
      <x:c r="A2546" s="10" t="n">
        <x:v>3564</x:v>
      </x:c>
      <x:c r="B2546" s="2" t="str">
        <x:v>c63945507a152c8e311b</x:v>
      </x:c>
      <x:c r="C2546" s="2" t="str">
        <x:v>Hải Phòng</x:v>
      </x:c>
      <x:c r="D2546" s="2" t="str">
        <x:v>Huyện An Dương</x:v>
      </x:c>
      <x:c r="E2546" s="2" t="str">
        <x:v>house</x:v>
      </x:c>
      <x:c r="F2546" s="2" t="str">
        <x:v>sale_assumed</x:v>
      </x:c>
      <x:c r="G2546" s="11" t="n">
        <x:v>53.3</x:v>
      </x:c>
      <x:c r="H2546" s="12" t="n">
        <x:v>2600000000</x:v>
      </x:c>
      <x:c r="I2546" s="12" t="n">
        <x:v>48780487.80487805</x:v>
      </x:c>
      <x:c r="J2546" s="2" t="str">
        <x:v>total</x:v>
      </x:c>
      <x:c r="K2546" s="2" t="str">
        <x:v>top_level_area</x:v>
      </x:c>
      <x:c r="L2546" s="2" t="str">
        <x:v>property_type_inferred_from_title;transaction_assumed_sale_from_dataset_context</x:v>
      </x:c>
      <x:c r="M2546" s="10" t="n">
        <x:v>0</x:v>
      </x:c>
      <x:c r="N2546" s="10" t="n">
        <x:v>0</x:v>
      </x:c>
      <x:c r="O2546" s="2" t="str">
        <x:v>house</x:v>
      </x:c>
      <x:c r="P2546" s="10" t="n">
        <x:v>2</x:v>
      </x:c>
      <x:c r="Q2546" s="13" t="n">
        <x:f>IF(H2546="","",H2546/1000000000)</x:f>
        <x:v>2.6</x:v>
      </x:c>
      <x:c r="R2546" s="13" t="n">
        <x:f>IF(I2546="","",I2546/1000000)</x:f>
        <x:v>48.78048780487805</x:v>
      </x:c>
    </x:row>
    <x:row r="2547" ht="21" customHeight="1">
      <x:c r="A2547" s="10" t="n">
        <x:v>3565</x:v>
      </x:c>
      <x:c r="B2547" s="2" t="str">
        <x:v>49e0f7adc3aa169e2512</x:v>
      </x:c>
      <x:c r="C2547" s="2" t="str">
        <x:v>Tp Hồ Chí Minh</x:v>
      </x:c>
      <x:c r="D2547" s="2" t="str">
        <x:v>Quận Gò Vấp</x:v>
      </x:c>
      <x:c r="E2547" s="2" t="str">
        <x:v>house</x:v>
      </x:c>
      <x:c r="F2547" s="2" t="str">
        <x:v>sale_assumed</x:v>
      </x:c>
      <x:c r="G2547" s="11" t="n">
        <x:v>80</x:v>
      </x:c>
      <x:c r="H2547" s="12" t="n">
        <x:v>7680000000</x:v>
      </x:c>
      <x:c r="I2547" s="12" t="n">
        <x:v>96000000</x:v>
      </x:c>
      <x:c r="J2547" s="2" t="str">
        <x:v>total</x:v>
      </x:c>
      <x:c r="K2547" s="2" t="str">
        <x:v>top_level_area</x:v>
      </x:c>
      <x:c r="L2547" s="2" t="str">
        <x:v>property_type_inferred_from_title;transaction_assumed_sale_from_dataset_context</x:v>
      </x:c>
      <x:c r="M2547" s="10" t="n">
        <x:v>0</x:v>
      </x:c>
      <x:c r="N2547" s="10" t="n">
        <x:v>0</x:v>
      </x:c>
      <x:c r="O2547" s="2" t="str">
        <x:v>Tp Hồ Chí Minh|house</x:v>
      </x:c>
      <x:c r="P2547" s="10" t="n">
        <x:v>2</x:v>
      </x:c>
      <x:c r="Q2547" s="13" t="n">
        <x:f>IF(H2547="","",H2547/1000000000)</x:f>
        <x:v>7.68</x:v>
      </x:c>
      <x:c r="R2547" s="13" t="n">
        <x:f>IF(I2547="","",I2547/1000000)</x:f>
        <x:v>96</x:v>
      </x:c>
    </x:row>
    <x:row r="2548" ht="21" customHeight="1">
      <x:c r="A2548" s="10" t="n">
        <x:v>3566</x:v>
      </x:c>
      <x:c r="B2548" s="2" t="str">
        <x:v>2be2e860f507a980b065</x:v>
      </x:c>
      <x:c r="C2548" s="2" t="str">
        <x:v>Tp Hồ Chí Minh</x:v>
      </x:c>
      <x:c r="D2548" s="2" t="str">
        <x:v>Quận Gò Vấp</x:v>
      </x:c>
      <x:c r="E2548" s="2" t="str">
        <x:v>house</x:v>
      </x:c>
      <x:c r="F2548" s="2" t="str">
        <x:v>sale</x:v>
      </x:c>
      <x:c r="G2548" s="11" t="n">
        <x:v>70</x:v>
      </x:c>
      <x:c r="H2548" s="12" t="n">
        <x:v>850000000</x:v>
      </x:c>
      <x:c r="I2548" s="12" t="n">
        <x:v>12142857.142857144</x:v>
      </x:c>
      <x:c r="J2548" s="2" t="str">
        <x:v>total</x:v>
      </x:c>
      <x:c r="K2548" s="2" t="str">
        <x:v>top_level_area</x:v>
      </x:c>
      <x:c r="L2548" s="2" t="str">
        <x:v>property_type_inferred_from_title</x:v>
      </x:c>
      <x:c r="M2548" s="10" t="n">
        <x:v>0</x:v>
      </x:c>
      <x:c r="N2548" s="10" t="n">
        <x:v>0</x:v>
      </x:c>
      <x:c r="O2548" s="2" t="str">
        <x:v>Tp Hồ Chí Minh|house</x:v>
      </x:c>
      <x:c r="P2548" s="10" t="n">
        <x:v>2</x:v>
      </x:c>
      <x:c r="Q2548" s="13" t="n">
        <x:f>IF(H2548="","",H2548/1000000000)</x:f>
        <x:v>0.85</x:v>
      </x:c>
      <x:c r="R2548" s="13" t="n">
        <x:f>IF(I2548="","",I2548/1000000)</x:f>
        <x:v>12.142857142857144</x:v>
      </x:c>
    </x:row>
    <x:row r="2549" ht="21" customHeight="1">
      <x:c r="A2549" s="10" t="n">
        <x:v>3567</x:v>
      </x:c>
      <x:c r="B2549" s="2" t="str">
        <x:v>d410a5ca7cf30ef8d8cd</x:v>
      </x:c>
      <x:c r="C2549" s="2" t="str">
        <x:v>Cần Thơ</x:v>
      </x:c>
      <x:c r="D2549" s="2" t="str">
        <x:v>Quận Cái Răng</x:v>
      </x:c>
      <x:c r="E2549" s="2" t="str">
        <x:v>other_unknown</x:v>
      </x:c>
      <x:c r="F2549" s="2" t="str">
        <x:v>sale_assumed</x:v>
      </x:c>
      <x:c r="G2549" s="11" t="n">
        <x:v>80</x:v>
      </x:c>
      <x:c r="H2549" s="12" t="n">
        <x:v>660000000</x:v>
      </x:c>
      <x:c r="I2549" s="12" t="n">
        <x:v>8250000</x:v>
      </x:c>
      <x:c r="J2549" s="2" t="str">
        <x:v>total</x:v>
      </x:c>
      <x:c r="K2549" s="2" t="str">
        <x:v>top_level_area</x:v>
      </x:c>
      <x:c r="L2549" s="2" t="str">
        <x:v>property_type_inferred_from_title;transaction_assumed_sale_from_dataset_context;unknown_property_type</x:v>
      </x:c>
      <x:c r="M2549" s="10" t="n">
        <x:v>0</x:v>
      </x:c>
      <x:c r="N2549" s="10" t="n">
        <x:v>0</x:v>
      </x:c>
      <x:c r="O2549" s="2" t="str">
        <x:v>other_unknown</x:v>
      </x:c>
      <x:c r="P2549" s="10" t="n">
        <x:v>2</x:v>
      </x:c>
      <x:c r="Q2549" s="13" t="n">
        <x:f>IF(H2549="","",H2549/1000000000)</x:f>
        <x:v>0.66</x:v>
      </x:c>
      <x:c r="R2549" s="13" t="n">
        <x:f>IF(I2549="","",I2549/1000000)</x:f>
        <x:v>8.25</x:v>
      </x:c>
    </x:row>
    <x:row r="2550" ht="21" customHeight="1">
      <x:c r="A2550" s="10" t="n">
        <x:v>3568</x:v>
      </x:c>
      <x:c r="B2550" s="2" t="str">
        <x:v>b33f0c705324efebeb54</x:v>
      </x:c>
      <x:c r="C2550" s="2" t="str">
        <x:v>Tp Hồ Chí Minh</x:v>
      </x:c>
      <x:c r="D2550" s="2" t="str">
        <x:v>Quận Thủ Đức</x:v>
      </x:c>
      <x:c r="E2550" s="2" t="str">
        <x:v>house</x:v>
      </x:c>
      <x:c r="F2550" s="2" t="str">
        <x:v>sale</x:v>
      </x:c>
      <x:c r="G2550" s="11" t="n">
        <x:v>36</x:v>
      </x:c>
      <x:c r="H2550" s="12" t="n">
        <x:v>3150000000</x:v>
      </x:c>
      <x:c r="I2550" s="12" t="n">
        <x:v>87500000</x:v>
      </x:c>
      <x:c r="J2550" s="2" t="str">
        <x:v>total</x:v>
      </x:c>
      <x:c r="K2550" s="2" t="str">
        <x:v>top_level_area</x:v>
      </x:c>
      <x:c r="L2550" s="2" t="str">
        <x:v>property_type_inferred_from_title</x:v>
      </x:c>
      <x:c r="M2550" s="10" t="n">
        <x:v>0</x:v>
      </x:c>
      <x:c r="N2550" s="10" t="n">
        <x:v>0</x:v>
      </x:c>
      <x:c r="O2550" s="2" t="str">
        <x:v>Tp Hồ Chí Minh|house</x:v>
      </x:c>
      <x:c r="P2550" s="10" t="n">
        <x:v>2</x:v>
      </x:c>
      <x:c r="Q2550" s="13" t="n">
        <x:f>IF(H2550="","",H2550/1000000000)</x:f>
        <x:v>3.15</x:v>
      </x:c>
      <x:c r="R2550" s="13" t="n">
        <x:f>IF(I2550="","",I2550/1000000)</x:f>
        <x:v>87.5</x:v>
      </x:c>
    </x:row>
    <x:row r="2551" ht="21" customHeight="1">
      <x:c r="A2551" s="10" t="n">
        <x:v>3569</x:v>
      </x:c>
      <x:c r="B2551" s="2" t="str">
        <x:v>dad3360c682ceaff5bfb</x:v>
      </x:c>
      <x:c r="C2551" s="2" t="str">
        <x:v>Đồng Nai</x:v>
      </x:c>
      <x:c r="D2551" s="2" t="str">
        <x:v>Thành phố Biên Hòa</x:v>
      </x:c>
      <x:c r="E2551" s="2" t="str">
        <x:v>land</x:v>
      </x:c>
      <x:c r="F2551" s="2" t="str">
        <x:v>sale_assumed</x:v>
      </x:c>
      <x:c r="G2551" s="11" t="n">
        <x:v>66</x:v>
      </x:c>
      <x:c r="H2551" s="12" t="n">
        <x:v>1400000000</x:v>
      </x:c>
      <x:c r="I2551" s="12" t="n">
        <x:v>21212121.21212121</x:v>
      </x:c>
      <x:c r="J2551" s="2" t="str">
        <x:v>total</x:v>
      </x:c>
      <x:c r="K2551" s="2" t="str">
        <x:v>top_level_area</x:v>
      </x:c>
      <x:c r="L2551" s="2" t="str">
        <x:v>property_type_inferred_from_title;transaction_assumed_sale_from_dataset_context</x:v>
      </x:c>
      <x:c r="M2551" s="10" t="n">
        <x:v>0</x:v>
      </x:c>
      <x:c r="N2551" s="10" t="n">
        <x:v>1</x:v>
      </x:c>
      <x:c r="O2551" s="2" t="str">
        <x:v>Đồng Nai|land</x:v>
      </x:c>
      <x:c r="P2551" s="10" t="n">
        <x:v>-1</x:v>
      </x:c>
      <x:c r="Q2551" s="13" t="n">
        <x:f>IF(H2551="","",H2551/1000000000)</x:f>
        <x:v>1.4</x:v>
      </x:c>
      <x:c r="R2551" s="13" t="n">
        <x:f>IF(I2551="","",I2551/1000000)</x:f>
        <x:v>21.21212121212121</x:v>
      </x:c>
    </x:row>
    <x:row r="2552" ht="21" customHeight="1">
      <x:c r="A2552" s="10" t="n">
        <x:v>3572</x:v>
      </x:c>
      <x:c r="B2552" s="2" t="str">
        <x:v>551548a4c56151cdef33</x:v>
      </x:c>
      <x:c r="C2552" s="2" t="str">
        <x:v>Đà Nẵng</x:v>
      </x:c>
      <x:c r="D2552" s="2" t="str">
        <x:v>Quận Ngũ Hành Sơn</x:v>
      </x:c>
      <x:c r="E2552" s="2" t="str">
        <x:v>land</x:v>
      </x:c>
      <x:c r="F2552" s="2" t="str">
        <x:v>sale</x:v>
      </x:c>
      <x:c r="G2552" s="11" t="n">
        <x:v>108</x:v>
      </x:c>
      <x:c r="H2552" s="12" t="n">
        <x:v>1900000000</x:v>
      </x:c>
      <x:c r="I2552" s="12" t="n">
        <x:v>17592592.592592593</x:v>
      </x:c>
      <x:c r="J2552" s="2" t="str">
        <x:v>total</x:v>
      </x:c>
      <x:c r="K2552" s="2" t="str">
        <x:v>top_level_area</x:v>
      </x:c>
      <x:c r="L2552" s="2" t="str">
        <x:v>property_type_inferred_from_title</x:v>
      </x:c>
      <x:c r="M2552" s="10" t="n">
        <x:v>0</x:v>
      </x:c>
      <x:c r="N2552" s="10" t="n">
        <x:v>0</x:v>
      </x:c>
      <x:c r="O2552" s="2" t="str">
        <x:v>Đà Nẵng|land</x:v>
      </x:c>
      <x:c r="P2552" s="10" t="n">
        <x:v>2</x:v>
      </x:c>
      <x:c r="Q2552" s="13" t="n">
        <x:f>IF(H2552="","",H2552/1000000000)</x:f>
        <x:v>1.9</x:v>
      </x:c>
      <x:c r="R2552" s="13" t="n">
        <x:f>IF(I2552="","",I2552/1000000)</x:f>
        <x:v>17.59259259259259</x:v>
      </x:c>
    </x:row>
    <x:row r="2553" ht="21" customHeight="1">
      <x:c r="A2553" s="10" t="n">
        <x:v>3573</x:v>
      </x:c>
      <x:c r="B2553" s="2" t="str">
        <x:v>1ae0276b9bd1cd7f43a0</x:v>
      </x:c>
      <x:c r="C2553" s="2" t="str">
        <x:v>Tp Hồ Chí Minh</x:v>
      </x:c>
      <x:c r="D2553" s="2" t="str">
        <x:v>Huyện Bình Chánh</x:v>
      </x:c>
      <x:c r="E2553" s="2" t="str">
        <x:v>house</x:v>
      </x:c>
      <x:c r="F2553" s="2" t="str">
        <x:v>sale_with_rental_income</x:v>
      </x:c>
      <x:c r="G2553" s="11" t="n">
        <x:v>48</x:v>
      </x:c>
      <x:c r="H2553" s="12" t="n">
        <x:v>540000000</x:v>
      </x:c>
      <x:c r="I2553" s="12" t="n">
        <x:v>11250000</x:v>
      </x:c>
      <x:c r="J2553" s="2" t="str">
        <x:v>total</x:v>
      </x:c>
      <x:c r="K2553" s="2" t="str">
        <x:v>top_level_area</x:v>
      </x:c>
      <x:c r="L2553" s="2" t="str">
        <x:v>property_type_inferred_from_title;rental_income_mentioned</x:v>
      </x:c>
      <x:c r="M2553" s="10" t="n">
        <x:v>0</x:v>
      </x:c>
      <x:c r="N2553" s="10" t="n">
        <x:v>0</x:v>
      </x:c>
      <x:c r="O2553" s="2" t="str">
        <x:v>Tp Hồ Chí Minh|house</x:v>
      </x:c>
      <x:c r="P2553" s="10" t="n">
        <x:v>2</x:v>
      </x:c>
      <x:c r="Q2553" s="13" t="n">
        <x:f>IF(H2553="","",H2553/1000000000)</x:f>
        <x:v>0.54</x:v>
      </x:c>
      <x:c r="R2553" s="13" t="n">
        <x:f>IF(I2553="","",I2553/1000000)</x:f>
        <x:v>11.25</x:v>
      </x:c>
    </x:row>
    <x:row r="2554" ht="21" customHeight="1">
      <x:c r="A2554" s="10" t="n">
        <x:v>3574</x:v>
      </x:c>
      <x:c r="B2554" s="2" t="str">
        <x:v>fd10187c167e9c1fa93b</x:v>
      </x:c>
      <x:c r="C2554" s="2" t="str">
        <x:v>Tp Hồ Chí Minh</x:v>
      </x:c>
      <x:c r="D2554" s="2" t="str">
        <x:v>Quận Gò Vấp</x:v>
      </x:c>
      <x:c r="E2554" s="2" t="str">
        <x:v>house</x:v>
      </x:c>
      <x:c r="F2554" s="2" t="str">
        <x:v>sale_assumed</x:v>
      </x:c>
      <x:c r="G2554" s="11" t="n">
        <x:v>50</x:v>
      </x:c>
      <x:c r="H2554" s="12" t="n">
        <x:v>5300000000</x:v>
      </x:c>
      <x:c r="I2554" s="12" t="n">
        <x:v>106000000</x:v>
      </x:c>
      <x:c r="J2554" s="2" t="str">
        <x:v>total</x:v>
      </x:c>
      <x:c r="K2554" s="2" t="str">
        <x:v>top_level_area</x:v>
      </x:c>
      <x:c r="L2554" s="2" t="str">
        <x:v>property_type_inferred_from_title;transaction_assumed_sale_from_dataset_context</x:v>
      </x:c>
      <x:c r="M2554" s="10" t="n">
        <x:v>0</x:v>
      </x:c>
      <x:c r="N2554" s="10" t="n">
        <x:v>0</x:v>
      </x:c>
      <x:c r="O2554" s="2" t="str">
        <x:v>Tp Hồ Chí Minh|house</x:v>
      </x:c>
      <x:c r="P2554" s="10" t="n">
        <x:v>2</x:v>
      </x:c>
      <x:c r="Q2554" s="13" t="n">
        <x:f>IF(H2554="","",H2554/1000000000)</x:f>
        <x:v>5.3</x:v>
      </x:c>
      <x:c r="R2554" s="13" t="n">
        <x:f>IF(I2554="","",I2554/1000000)</x:f>
        <x:v>106</x:v>
      </x:c>
    </x:row>
    <x:row r="2555" ht="21" customHeight="1">
      <x:c r="A2555" s="10" t="n">
        <x:v>3575</x:v>
      </x:c>
      <x:c r="B2555" s="2" t="str">
        <x:v>24615eecbc9fc09f664b</x:v>
      </x:c>
      <x:c r="C2555" s="2" t="str">
        <x:v>Đà Nẵng</x:v>
      </x:c>
      <x:c r="D2555" s="2" t="str">
        <x:v>Quận Ngũ Hành Sơn</x:v>
      </x:c>
      <x:c r="E2555" s="2" t="str">
        <x:v>land</x:v>
      </x:c>
      <x:c r="F2555" s="2" t="str">
        <x:v>sale_assumed</x:v>
      </x:c>
      <x:c r="G2555" s="11" t="n">
        <x:v>111</x:v>
      </x:c>
      <x:c r="H2555" s="12" t="n">
        <x:v>2250000000</x:v>
      </x:c>
      <x:c r="I2555" s="12" t="n">
        <x:v>20270270.27027027</x:v>
      </x:c>
      <x:c r="J2555" s="2" t="str">
        <x:v>total</x:v>
      </x:c>
      <x:c r="K2555" s="2" t="str">
        <x:v>top_level_area</x:v>
      </x:c>
      <x:c r="L2555" s="2" t="str">
        <x:v>property_type_inferred_from_title;transaction_assumed_sale_from_dataset_context</x:v>
      </x:c>
      <x:c r="M2555" s="10" t="n">
        <x:v>0</x:v>
      </x:c>
      <x:c r="N2555" s="10" t="n">
        <x:v>0</x:v>
      </x:c>
      <x:c r="O2555" s="2" t="str">
        <x:v>Đà Nẵng|land</x:v>
      </x:c>
      <x:c r="P2555" s="10" t="n">
        <x:v>2</x:v>
      </x:c>
      <x:c r="Q2555" s="13" t="n">
        <x:f>IF(H2555="","",H2555/1000000000)</x:f>
        <x:v>2.25</x:v>
      </x:c>
      <x:c r="R2555" s="13" t="n">
        <x:f>IF(I2555="","",I2555/1000000)</x:f>
        <x:v>20.27027027027027</x:v>
      </x:c>
    </x:row>
    <x:row r="2556" ht="21" customHeight="1">
      <x:c r="A2556" s="10" t="n">
        <x:v>3576</x:v>
      </x:c>
      <x:c r="B2556" s="2" t="str">
        <x:v>a09910866ea31b50db02</x:v>
      </x:c>
      <x:c r="C2556" s="2" t="str">
        <x:v>Tp Hồ Chí Minh</x:v>
      </x:c>
      <x:c r="D2556" s="2" t="str">
        <x:v>Huyện Bình Chánh</x:v>
      </x:c>
      <x:c r="E2556" s="2" t="str">
        <x:v>other_unknown</x:v>
      </x:c>
      <x:c r="F2556" s="2" t="str">
        <x:v>sale_assumed</x:v>
      </x:c>
      <x:c r="G2556" s="11" t="n">
        <x:v>90</x:v>
      </x:c>
      <x:c r="H2556" s="12" t="n">
        <x:v>1900000000</x:v>
      </x:c>
      <x:c r="I2556" s="12" t="n">
        <x:v>21111111.111111112</x:v>
      </x:c>
      <x:c r="J2556" s="2" t="str">
        <x:v>total</x:v>
      </x:c>
      <x:c r="K2556" s="2" t="str">
        <x:v>top_level_area</x:v>
      </x:c>
      <x:c r="L2556" s="2" t="str">
        <x:v>property_type_inferred_from_title;transaction_assumed_sale_from_dataset_context;unknown_property_type</x:v>
      </x:c>
      <x:c r="M2556" s="10" t="n">
        <x:v>0</x:v>
      </x:c>
      <x:c r="N2556" s="10" t="n">
        <x:v>0</x:v>
      </x:c>
      <x:c r="O2556" s="2" t="str">
        <x:v>Tp Hồ Chí Minh|other_unknown</x:v>
      </x:c>
      <x:c r="P2556" s="10" t="n">
        <x:v>2</x:v>
      </x:c>
      <x:c r="Q2556" s="13" t="n">
        <x:f>IF(H2556="","",H2556/1000000000)</x:f>
        <x:v>1.9</x:v>
      </x:c>
      <x:c r="R2556" s="13" t="n">
        <x:f>IF(I2556="","",I2556/1000000)</x:f>
        <x:v>21.11111111111111</x:v>
      </x:c>
    </x:row>
    <x:row r="2557" ht="21" customHeight="1">
      <x:c r="A2557" s="10" t="n">
        <x:v>3577</x:v>
      </x:c>
      <x:c r="B2557" s="2" t="str">
        <x:v>470ada5937beb4525fb4</x:v>
      </x:c>
      <x:c r="C2557" s="2" t="str">
        <x:v>Tp Hồ Chí Minh</x:v>
      </x:c>
      <x:c r="D2557" s="2" t="str">
        <x:v>Quận Thủ Đức</x:v>
      </x:c>
      <x:c r="E2557" s="2" t="str">
        <x:v>house</x:v>
      </x:c>
      <x:c r="F2557" s="2" t="str">
        <x:v>sale_assumed</x:v>
      </x:c>
      <x:c r="G2557" s="11" t="n">
        <x:v>64</x:v>
      </x:c>
      <x:c r="H2557" s="12" t="n">
        <x:v>5300000000</x:v>
      </x:c>
      <x:c r="I2557" s="12" t="n">
        <x:v>82812500</x:v>
      </x:c>
      <x:c r="J2557" s="2" t="str">
        <x:v>total</x:v>
      </x:c>
      <x:c r="K2557" s="2" t="str">
        <x:v>top_level_area</x:v>
      </x:c>
      <x:c r="L2557" s="2" t="str">
        <x:v>property_type_inferred_from_title;transaction_assumed_sale_from_dataset_context</x:v>
      </x:c>
      <x:c r="M2557" s="10" t="n">
        <x:v>0</x:v>
      </x:c>
      <x:c r="N2557" s="10" t="n">
        <x:v>0</x:v>
      </x:c>
      <x:c r="O2557" s="2" t="str">
        <x:v>Tp Hồ Chí Minh|house</x:v>
      </x:c>
      <x:c r="P2557" s="10" t="n">
        <x:v>2</x:v>
      </x:c>
      <x:c r="Q2557" s="13" t="n">
        <x:f>IF(H2557="","",H2557/1000000000)</x:f>
        <x:v>5.3</x:v>
      </x:c>
      <x:c r="R2557" s="13" t="n">
        <x:f>IF(I2557="","",I2557/1000000)</x:f>
        <x:v>82.8125</x:v>
      </x:c>
    </x:row>
    <x:row r="2558" ht="21" customHeight="1">
      <x:c r="A2558" s="10" t="n">
        <x:v>3578</x:v>
      </x:c>
      <x:c r="B2558" s="2" t="str">
        <x:v>c6b7dc727a1bcfd1938a</x:v>
      </x:c>
      <x:c r="C2558" s="2" t="str">
        <x:v>Tp Hồ Chí Minh</x:v>
      </x:c>
      <x:c r="D2558" s="2" t="str">
        <x:v>Quận 11</x:v>
      </x:c>
      <x:c r="E2558" s="2" t="str">
        <x:v>other_unknown</x:v>
      </x:c>
      <x:c r="F2558" s="2" t="str">
        <x:v>sale_assumed</x:v>
      </x:c>
      <x:c r="G2558" s="11" t="n">
        <x:v>52</x:v>
      </x:c>
      <x:c r="H2558" s="12" t="n">
        <x:v>10000000000</x:v>
      </x:c>
      <x:c r="I2558" s="12" t="n">
        <x:v>192307692.30769232</x:v>
      </x:c>
      <x:c r="J2558" s="2" t="str">
        <x:v>total</x:v>
      </x:c>
      <x:c r="K2558" s="2" t="str">
        <x:v>top_level_area</x:v>
      </x:c>
      <x:c r="L2558" s="2" t="str">
        <x:v>property_type_inferred_from_title;transaction_assumed_sale_from_dataset_context;unknown_property_type</x:v>
      </x:c>
      <x:c r="M2558" s="10" t="n">
        <x:v>1</x:v>
      </x:c>
      <x:c r="N2558" s="10" t="n">
        <x:v>0</x:v>
      </x:c>
      <x:c r="O2558" s="2" t="str">
        <x:v>Tp Hồ Chí Minh|other_unknown</x:v>
      </x:c>
      <x:c r="P2558" s="10" t="n">
        <x:v>2</x:v>
      </x:c>
      <x:c r="Q2558" s="13" t="n">
        <x:f>IF(H2558="","",H2558/1000000000)</x:f>
        <x:v>10</x:v>
      </x:c>
      <x:c r="R2558" s="13" t="n">
        <x:f>IF(I2558="","",I2558/1000000)</x:f>
        <x:v>192.30769230769232</x:v>
      </x:c>
    </x:row>
    <x:row r="2559" ht="21" customHeight="1">
      <x:c r="A2559" s="10" t="n">
        <x:v>3579</x:v>
      </x:c>
      <x:c r="B2559" s="2" t="str">
        <x:v>2fbf406d83a61d803827</x:v>
      </x:c>
      <x:c r="C2559" s="2" t="str">
        <x:v>Tp Hồ Chí Minh</x:v>
      </x:c>
      <x:c r="D2559" s="2" t="str">
        <x:v>Quận 10</x:v>
      </x:c>
      <x:c r="E2559" s="2" t="str">
        <x:v>house</x:v>
      </x:c>
      <x:c r="F2559" s="2" t="str">
        <x:v>sale</x:v>
      </x:c>
      <x:c r="G2559" s="11" t="n">
        <x:v>75</x:v>
      </x:c>
      <x:c r="H2559" s="12" t="n">
        <x:v>1150000000</x:v>
      </x:c>
      <x:c r="I2559" s="12" t="n">
        <x:v>15333333.333333334</x:v>
      </x:c>
      <x:c r="J2559" s="2" t="str">
        <x:v>total</x:v>
      </x:c>
      <x:c r="K2559" s="2" t="str">
        <x:v>top_level_area</x:v>
      </x:c>
      <x:c r="L2559" s="2" t="str">
        <x:v>property_type_inferred_from_title</x:v>
      </x:c>
      <x:c r="M2559" s="10" t="n">
        <x:v>0</x:v>
      </x:c>
      <x:c r="N2559" s="10" t="n">
        <x:v>0</x:v>
      </x:c>
      <x:c r="O2559" s="2" t="str">
        <x:v>Tp Hồ Chí Minh|house</x:v>
      </x:c>
      <x:c r="P2559" s="10" t="n">
        <x:v>2</x:v>
      </x:c>
      <x:c r="Q2559" s="13" t="n">
        <x:f>IF(H2559="","",H2559/1000000000)</x:f>
        <x:v>1.15</x:v>
      </x:c>
      <x:c r="R2559" s="13" t="n">
        <x:f>IF(I2559="","",I2559/1000000)</x:f>
        <x:v>15.333333333333334</x:v>
      </x:c>
    </x:row>
    <x:row r="2560" ht="21" customHeight="1">
      <x:c r="A2560" s="10" t="n">
        <x:v>3580</x:v>
      </x:c>
      <x:c r="B2560" s="2" t="str">
        <x:v>0eea23093a2741d7454e</x:v>
      </x:c>
      <x:c r="C2560" s="2" t="str">
        <x:v>Hải Phòng</x:v>
      </x:c>
      <x:c r="D2560" s="2" t="str">
        <x:v>Huyện An Dương</x:v>
      </x:c>
      <x:c r="E2560" s="2" t="str">
        <x:v>other_unknown</x:v>
      </x:c>
      <x:c r="F2560" s="2" t="str">
        <x:v>sale_assumed</x:v>
      </x:c>
      <x:c r="G2560" s="11" t="n">
        <x:v>99</x:v>
      </x:c>
      <x:c r="H2560" s="12" t="n">
        <x:v>1010000000</x:v>
      </x:c>
      <x:c r="I2560" s="12" t="n">
        <x:v>10202020.202020202</x:v>
      </x:c>
      <x:c r="J2560" s="2" t="str">
        <x:v>total</x:v>
      </x:c>
      <x:c r="K2560" s="2" t="str">
        <x:v>top_level_area</x:v>
      </x:c>
      <x:c r="L2560" s="2" t="str">
        <x:v>property_type_inferred_from_title;transaction_assumed_sale_from_dataset_context;unknown_property_type</x:v>
      </x:c>
      <x:c r="M2560" s="10" t="n">
        <x:v>0</x:v>
      </x:c>
      <x:c r="N2560" s="10" t="n">
        <x:v>0</x:v>
      </x:c>
      <x:c r="O2560" s="2" t="str">
        <x:v>other_unknown</x:v>
      </x:c>
      <x:c r="P2560" s="10" t="n">
        <x:v>2</x:v>
      </x:c>
      <x:c r="Q2560" s="13" t="n">
        <x:f>IF(H2560="","",H2560/1000000000)</x:f>
        <x:v>1.01</x:v>
      </x:c>
      <x:c r="R2560" s="13" t="n">
        <x:f>IF(I2560="","",I2560/1000000)</x:f>
        <x:v>10.202020202020202</x:v>
      </x:c>
    </x:row>
    <x:row r="2561" ht="21" customHeight="1">
      <x:c r="A2561" s="10" t="n">
        <x:v>3581</x:v>
      </x:c>
      <x:c r="B2561" s="2" t="str">
        <x:v>703ec3882e383dea49aa</x:v>
      </x:c>
      <x:c r="C2561" s="2" t="str">
        <x:v>An Giang</x:v>
      </x:c>
      <x:c r="D2561" s="2" t="str">
        <x:v>Huyện Thoại Sơn</x:v>
      </x:c>
      <x:c r="E2561" s="2" t="str">
        <x:v>land</x:v>
      </x:c>
      <x:c r="F2561" s="2" t="str">
        <x:v>sale</x:v>
      </x:c>
      <x:c r="G2561" s="11" t="n">
        <x:v>600</x:v>
      </x:c>
      <x:c r="H2561" s="12" t="n">
        <x:v>2200000000</x:v>
      </x:c>
      <x:c r="I2561" s="12" t="n">
        <x:v>3666666.6666666665</x:v>
      </x:c>
      <x:c r="J2561" s="2" t="str">
        <x:v>total</x:v>
      </x:c>
      <x:c r="K2561" s="2" t="str">
        <x:v>top_level_area</x:v>
      </x:c>
      <x:c r="L2561" s="2" t="str">
        <x:v>property_type_inferred_from_title</x:v>
      </x:c>
      <x:c r="M2561" s="10" t="n">
        <x:v>0</x:v>
      </x:c>
      <x:c r="N2561" s="10" t="n">
        <x:v>0</x:v>
      </x:c>
      <x:c r="O2561" s="2" t="str">
        <x:v>land</x:v>
      </x:c>
      <x:c r="P2561" s="10" t="n">
        <x:v>1</x:v>
      </x:c>
      <x:c r="Q2561" s="13" t="n">
        <x:f>IF(H2561="","",H2561/1000000000)</x:f>
        <x:v>2.2</x:v>
      </x:c>
      <x:c r="R2561" s="13" t="n">
        <x:f>IF(I2561="","",I2561/1000000)</x:f>
        <x:v>3.6666666666666665</x:v>
      </x:c>
    </x:row>
    <x:row r="2562" ht="21" customHeight="1">
      <x:c r="A2562" s="10" t="n">
        <x:v>3582</x:v>
      </x:c>
      <x:c r="B2562" s="2" t="str">
        <x:v>52a79ca37773bae17878</x:v>
      </x:c>
      <x:c r="C2562" s="2" t="str">
        <x:v>Hà Nội</x:v>
      </x:c>
      <x:c r="D2562" s="2" t="str">
        <x:v>Quận Nam Từ Liêm</x:v>
      </x:c>
      <x:c r="E2562" s="2" t="str">
        <x:v>other_unknown</x:v>
      </x:c>
      <x:c r="F2562" s="2" t="str">
        <x:v>sale_assumed</x:v>
      </x:c>
      <x:c r="G2562" s="11" t="n">
        <x:v>24</x:v>
      </x:c>
      <x:c r="H2562" s="12" t="n">
        <x:v>3200000000</x:v>
      </x:c>
      <x:c r="I2562" s="12" t="n">
        <x:v>133333333.33333333</x:v>
      </x:c>
      <x:c r="J2562" s="2" t="str">
        <x:v>total</x:v>
      </x:c>
      <x:c r="K2562" s="2" t="str">
        <x:v>top_level_area</x:v>
      </x:c>
      <x:c r="L2562" s="2" t="str">
        <x:v>property_type_inferred_from_title;transaction_assumed_sale_from_dataset_context;unknown_property_type</x:v>
      </x:c>
      <x:c r="M2562" s="10" t="n">
        <x:v>0</x:v>
      </x:c>
      <x:c r="N2562" s="10" t="n">
        <x:v>0</x:v>
      </x:c>
      <x:c r="O2562" s="2" t="str">
        <x:v>Hà Nội|other_unknown</x:v>
      </x:c>
      <x:c r="P2562" s="10" t="n">
        <x:v>2</x:v>
      </x:c>
      <x:c r="Q2562" s="13" t="n">
        <x:f>IF(H2562="","",H2562/1000000000)</x:f>
        <x:v>3.2</x:v>
      </x:c>
      <x:c r="R2562" s="13" t="n">
        <x:f>IF(I2562="","",I2562/1000000)</x:f>
        <x:v>133.33333333333331</x:v>
      </x:c>
    </x:row>
    <x:row r="2563" ht="21" customHeight="1">
      <x:c r="A2563" s="10" t="n">
        <x:v>3583</x:v>
      </x:c>
      <x:c r="B2563" s="2" t="str">
        <x:v>074c32a8da802414ba59</x:v>
      </x:c>
      <x:c r="C2563" s="2" t="str">
        <x:v>Đà Nẵng</x:v>
      </x:c>
      <x:c r="D2563" s="2" t="str">
        <x:v>Quận Ngũ Hành Sơn</x:v>
      </x:c>
      <x:c r="E2563" s="2" t="str">
        <x:v>other_unknown</x:v>
      </x:c>
      <x:c r="F2563" s="2" t="str">
        <x:v>sale_assumed</x:v>
      </x:c>
      <x:c r="G2563" s="11" t="n">
        <x:v>108</x:v>
      </x:c>
      <x:c r="H2563" s="12" t="n">
        <x:v>2500000000</x:v>
      </x:c>
      <x:c r="I2563" s="12" t="n">
        <x:v>23148148.14814815</x:v>
      </x:c>
      <x:c r="J2563" s="2" t="str">
        <x:v>total</x:v>
      </x:c>
      <x:c r="K2563" s="2" t="str">
        <x:v>top_level_area</x:v>
      </x:c>
      <x:c r="L2563" s="2" t="str">
        <x:v>property_type_inferred_from_title;transaction_assumed_sale_from_dataset_context;unknown_property_type</x:v>
      </x:c>
      <x:c r="M2563" s="10" t="n">
        <x:v>0</x:v>
      </x:c>
      <x:c r="N2563" s="10" t="n">
        <x:v>0</x:v>
      </x:c>
      <x:c r="O2563" s="2" t="str">
        <x:v>Đà Nẵng|other_unknown</x:v>
      </x:c>
      <x:c r="P2563" s="10" t="n">
        <x:v>2</x:v>
      </x:c>
      <x:c r="Q2563" s="13" t="n">
        <x:f>IF(H2563="","",H2563/1000000000)</x:f>
        <x:v>2.5</x:v>
      </x:c>
      <x:c r="R2563" s="13" t="n">
        <x:f>IF(I2563="","",I2563/1000000)</x:f>
        <x:v>23.14814814814815</x:v>
      </x:c>
    </x:row>
    <x:row r="2564" ht="21" customHeight="1">
      <x:c r="A2564" s="10" t="n">
        <x:v>3584</x:v>
      </x:c>
      <x:c r="B2564" s="2" t="str">
        <x:v>392316d4becd12fc77aa</x:v>
      </x:c>
      <x:c r="C2564" s="2" t="str">
        <x:v>Khánh Hòa</x:v>
      </x:c>
      <x:c r="D2564" s="2" t="str">
        <x:v>Huyện Diên Khánh</x:v>
      </x:c>
      <x:c r="E2564" s="2" t="str">
        <x:v>house</x:v>
      </x:c>
      <x:c r="F2564" s="2" t="str">
        <x:v>sale</x:v>
      </x:c>
      <x:c r="G2564" s="11" t="n">
        <x:v>167.8</x:v>
      </x:c>
      <x:c r="H2564" s="12" t="n">
        <x:v>488000000</x:v>
      </x:c>
      <x:c r="I2564" s="12" t="n">
        <x:v>2908224.0762812872</x:v>
      </x:c>
      <x:c r="J2564" s="2" t="str">
        <x:v>total</x:v>
      </x:c>
      <x:c r="K2564" s="2" t="str">
        <x:v>top_level_area</x:v>
      </x:c>
      <x:c r="L2564" s="2" t="str">
        <x:v>property_type_inferred_from_title</x:v>
      </x:c>
      <x:c r="M2564" s="10" t="n">
        <x:v>0</x:v>
      </x:c>
      <x:c r="N2564" s="10" t="n">
        <x:v>0</x:v>
      </x:c>
      <x:c r="O2564" s="2" t="str">
        <x:v>Khánh Hòa|house</x:v>
      </x:c>
      <x:c r="P2564" s="10" t="n">
        <x:v>1</x:v>
      </x:c>
      <x:c r="Q2564" s="13" t="n">
        <x:f>IF(H2564="","",H2564/1000000000)</x:f>
        <x:v>0.488</x:v>
      </x:c>
      <x:c r="R2564" s="13" t="n">
        <x:f>IF(I2564="","",I2564/1000000)</x:f>
        <x:v>2.908224076281287</x:v>
      </x:c>
    </x:row>
    <x:row r="2565" ht="21" customHeight="1">
      <x:c r="A2565" s="10" t="n">
        <x:v>3585</x:v>
      </x:c>
      <x:c r="B2565" s="2" t="str">
        <x:v>aa1f413820ea995a1b12</x:v>
      </x:c>
      <x:c r="C2565" s="2" t="str">
        <x:v>Hải Phòng</x:v>
      </x:c>
      <x:c r="D2565" s="2" t="str">
        <x:v>Huyện An Dương</x:v>
      </x:c>
      <x:c r="E2565" s="2" t="str">
        <x:v>other_unknown</x:v>
      </x:c>
      <x:c r="F2565" s="2" t="str">
        <x:v>sale_assumed</x:v>
      </x:c>
      <x:c r="G2565" s="11" t="n">
        <x:v>80</x:v>
      </x:c>
      <x:c r="H2565" s="12" t="n">
        <x:v>910000000</x:v>
      </x:c>
      <x:c r="I2565" s="12" t="n">
        <x:v>11375000</x:v>
      </x:c>
      <x:c r="J2565" s="2" t="str">
        <x:v>total</x:v>
      </x:c>
      <x:c r="K2565" s="2" t="str">
        <x:v>top_level_area</x:v>
      </x:c>
      <x:c r="L2565" s="2" t="str">
        <x:v>property_type_inferred_from_title;transaction_assumed_sale_from_dataset_context;unknown_property_type</x:v>
      </x:c>
      <x:c r="M2565" s="10" t="n">
        <x:v>0</x:v>
      </x:c>
      <x:c r="N2565" s="10" t="n">
        <x:v>0</x:v>
      </x:c>
      <x:c r="O2565" s="2" t="str">
        <x:v>other_unknown</x:v>
      </x:c>
      <x:c r="P2565" s="10" t="n">
        <x:v>2</x:v>
      </x:c>
      <x:c r="Q2565" s="13" t="n">
        <x:f>IF(H2565="","",H2565/1000000000)</x:f>
        <x:v>0.91</x:v>
      </x:c>
      <x:c r="R2565" s="13" t="n">
        <x:f>IF(I2565="","",I2565/1000000)</x:f>
        <x:v>11.375</x:v>
      </x:c>
    </x:row>
    <x:row r="2566" ht="21" customHeight="1">
      <x:c r="A2566" s="10" t="n">
        <x:v>3586</x:v>
      </x:c>
      <x:c r="B2566" s="2" t="str">
        <x:v>bac377138ce12fc72cc5</x:v>
      </x:c>
      <x:c r="C2566" s="2" t="str">
        <x:v>Tp Hồ Chí Minh</x:v>
      </x:c>
      <x:c r="D2566" s="2" t="str">
        <x:v>Quận 9</x:v>
      </x:c>
      <x:c r="E2566" s="2" t="str">
        <x:v>other_unknown</x:v>
      </x:c>
      <x:c r="F2566" s="2" t="str">
        <x:v>sale_assumed</x:v>
      </x:c>
      <x:c r="G2566" s="11" t="n">
        <x:v>72.53</x:v>
      </x:c>
      <x:c r="H2566" s="12" t="n">
        <x:v>3400000000</x:v>
      </x:c>
      <x:c r="I2566" s="12" t="n">
        <x:v>46877154.28098717</x:v>
      </x:c>
      <x:c r="J2566" s="2" t="str">
        <x:v>total</x:v>
      </x:c>
      <x:c r="K2566" s="2" t="str">
        <x:v>top_level_area</x:v>
      </x:c>
      <x:c r="L2566" s="2" t="str">
        <x:v>property_type_inferred_from_title;transaction_assumed_sale_from_dataset_context;unknown_property_type</x:v>
      </x:c>
      <x:c r="M2566" s="10" t="n">
        <x:v>0</x:v>
      </x:c>
      <x:c r="N2566" s="10" t="n">
        <x:v>0</x:v>
      </x:c>
      <x:c r="O2566" s="2" t="str">
        <x:v>Tp Hồ Chí Minh|other_unknown</x:v>
      </x:c>
      <x:c r="P2566" s="10" t="n">
        <x:v>2</x:v>
      </x:c>
      <x:c r="Q2566" s="13" t="n">
        <x:f>IF(H2566="","",H2566/1000000000)</x:f>
        <x:v>3.4</x:v>
      </x:c>
      <x:c r="R2566" s="13" t="n">
        <x:f>IF(I2566="","",I2566/1000000)</x:f>
        <x:v>46.87715428098717</x:v>
      </x:c>
    </x:row>
    <x:row r="2567" ht="21" customHeight="1">
      <x:c r="A2567" s="10" t="n">
        <x:v>3587</x:v>
      </x:c>
      <x:c r="B2567" s="2" t="str">
        <x:v>6804370d8defc954b310</x:v>
      </x:c>
      <x:c r="C2567" s="2" t="str">
        <x:v>Hải Phòng</x:v>
      </x:c>
      <x:c r="D2567" s="2" t="str">
        <x:v>Huyện An Dương</x:v>
      </x:c>
      <x:c r="E2567" s="2" t="str">
        <x:v>other_unknown</x:v>
      </x:c>
      <x:c r="F2567" s="2" t="str">
        <x:v>sale_assumed</x:v>
      </x:c>
      <x:c r="G2567" s="11" t="n">
        <x:v>50</x:v>
      </x:c>
      <x:c r="H2567" s="12" t="n">
        <x:v>600000000</x:v>
      </x:c>
      <x:c r="I2567" s="12" t="n">
        <x:v>12000000</x:v>
      </x:c>
      <x:c r="J2567" s="2" t="str">
        <x:v>total</x:v>
      </x:c>
      <x:c r="K2567" s="2" t="str">
        <x:v>top_level_area</x:v>
      </x:c>
      <x:c r="L2567" s="2" t="str">
        <x:v>property_type_inferred_from_title;transaction_assumed_sale_from_dataset_context;unknown_property_type</x:v>
      </x:c>
      <x:c r="M2567" s="10" t="n">
        <x:v>0</x:v>
      </x:c>
      <x:c r="N2567" s="10" t="n">
        <x:v>0</x:v>
      </x:c>
      <x:c r="O2567" s="2" t="str">
        <x:v>other_unknown</x:v>
      </x:c>
      <x:c r="P2567" s="10" t="n">
        <x:v>2</x:v>
      </x:c>
      <x:c r="Q2567" s="13" t="n">
        <x:f>IF(H2567="","",H2567/1000000000)</x:f>
        <x:v>0.6</x:v>
      </x:c>
      <x:c r="R2567" s="13" t="n">
        <x:f>IF(I2567="","",I2567/1000000)</x:f>
        <x:v>12</x:v>
      </x:c>
    </x:row>
    <x:row r="2568" ht="21" customHeight="1">
      <x:c r="A2568" s="10" t="n">
        <x:v>3588</x:v>
      </x:c>
      <x:c r="B2568" s="2" t="str">
        <x:v>3a23df5c6c0af9ac2a46</x:v>
      </x:c>
      <x:c r="C2568" s="2" t="str">
        <x:v>Hải Phòng</x:v>
      </x:c>
      <x:c r="D2568" s="2" t="str">
        <x:v>Huyện An Dương</x:v>
      </x:c>
      <x:c r="E2568" s="2" t="str">
        <x:v>land</x:v>
      </x:c>
      <x:c r="F2568" s="2" t="str">
        <x:v>sale</x:v>
      </x:c>
      <x:c r="G2568" s="11" t="n">
        <x:v>48.4</x:v>
      </x:c>
      <x:c r="H2568" s="12" t="n">
        <x:v>650000000</x:v>
      </x:c>
      <x:c r="I2568" s="12" t="n">
        <x:v>13429752.066115703</x:v>
      </x:c>
      <x:c r="J2568" s="2" t="str">
        <x:v>total</x:v>
      </x:c>
      <x:c r="K2568" s="2" t="str">
        <x:v>top_level_area</x:v>
      </x:c>
      <x:c r="L2568" s="2" t="str">
        <x:v>property_type_inferred_from_title</x:v>
      </x:c>
      <x:c r="M2568" s="10" t="n">
        <x:v>0</x:v>
      </x:c>
      <x:c r="N2568" s="10" t="n">
        <x:v>0</x:v>
      </x:c>
      <x:c r="O2568" s="2" t="str">
        <x:v>land</x:v>
      </x:c>
      <x:c r="P2568" s="10" t="n">
        <x:v>2</x:v>
      </x:c>
      <x:c r="Q2568" s="13" t="n">
        <x:f>IF(H2568="","",H2568/1000000000)</x:f>
        <x:v>0.65</x:v>
      </x:c>
      <x:c r="R2568" s="13" t="n">
        <x:f>IF(I2568="","",I2568/1000000)</x:f>
        <x:v>13.429752066115704</x:v>
      </x:c>
    </x:row>
    <x:row r="2569" ht="21" customHeight="1">
      <x:c r="A2569" s="10" t="n">
        <x:v>3589</x:v>
      </x:c>
      <x:c r="B2569" s="2" t="str">
        <x:v>1193c8e36caecee88b26</x:v>
      </x:c>
      <x:c r="C2569" s="2" t="str">
        <x:v>Hà Nội</x:v>
      </x:c>
      <x:c r="D2569" s="2" t="str">
        <x:v>Quận Tây Hồ</x:v>
      </x:c>
      <x:c r="E2569" s="2" t="str">
        <x:v>house</x:v>
      </x:c>
      <x:c r="F2569" s="2" t="str">
        <x:v>sale_assumed</x:v>
      </x:c>
      <x:c r="G2569" s="11" t="n">
        <x:v>45</x:v>
      </x:c>
      <x:c r="H2569" s="12" t="n">
        <x:v>3950000000</x:v>
      </x:c>
      <x:c r="I2569" s="12" t="n">
        <x:v>87777777.77777778</x:v>
      </x:c>
      <x:c r="J2569" s="2" t="str">
        <x:v>total</x:v>
      </x:c>
      <x:c r="K2569" s="2" t="str">
        <x:v>top_level_area</x:v>
      </x:c>
      <x:c r="L2569" s="2" t="str">
        <x:v>property_type_inferred_from_title;transaction_assumed_sale_from_dataset_context</x:v>
      </x:c>
      <x:c r="M2569" s="10" t="n">
        <x:v>0</x:v>
      </x:c>
      <x:c r="N2569" s="10" t="n">
        <x:v>0</x:v>
      </x:c>
      <x:c r="O2569" s="2" t="str">
        <x:v>Hà Nội|house</x:v>
      </x:c>
      <x:c r="P2569" s="10" t="n">
        <x:v>2</x:v>
      </x:c>
      <x:c r="Q2569" s="13" t="n">
        <x:f>IF(H2569="","",H2569/1000000000)</x:f>
        <x:v>3.95</x:v>
      </x:c>
      <x:c r="R2569" s="13" t="n">
        <x:f>IF(I2569="","",I2569/1000000)</x:f>
        <x:v>87.77777777777777</x:v>
      </x:c>
    </x:row>
    <x:row r="2570" ht="21" customHeight="1">
      <x:c r="A2570" s="10" t="n">
        <x:v>3590</x:v>
      </x:c>
      <x:c r="B2570" s="2" t="str">
        <x:v>f743e23d7d80fd3483c0</x:v>
      </x:c>
      <x:c r="C2570" s="2" t="str">
        <x:v>Long An</x:v>
      </x:c>
      <x:c r="D2570" s="2" t="str">
        <x:v>Huyện Cần Giuộc</x:v>
      </x:c>
      <x:c r="E2570" s="2" t="str">
        <x:v>land</x:v>
      </x:c>
      <x:c r="F2570" s="2" t="str">
        <x:v>sale_assumed</x:v>
      </x:c>
      <x:c r="G2570" s="11" t="n">
        <x:v>587</x:v>
      </x:c>
      <x:c r="H2570" s="12" t="n">
        <x:v>3200000000</x:v>
      </x:c>
      <x:c r="I2570" s="12" t="n">
        <x:v>5451448.04088586</x:v>
      </x:c>
      <x:c r="J2570" s="2" t="str">
        <x:v>total</x:v>
      </x:c>
      <x:c r="K2570" s="2" t="str">
        <x:v>top_level_area</x:v>
      </x:c>
      <x:c r="L2570" s="2" t="str">
        <x:v>property_type_inferred_from_title;transaction_assumed_sale_from_dataset_context</x:v>
      </x:c>
      <x:c r="M2570" s="10" t="n">
        <x:v>0</x:v>
      </x:c>
      <x:c r="N2570" s="10" t="n">
        <x:v>0</x:v>
      </x:c>
      <x:c r="O2570" s="2" t="str">
        <x:v>Long An|land</x:v>
      </x:c>
      <x:c r="P2570" s="10" t="n">
        <x:v>1</x:v>
      </x:c>
      <x:c r="Q2570" s="13" t="n">
        <x:f>IF(H2570="","",H2570/1000000000)</x:f>
        <x:v>3.2</x:v>
      </x:c>
      <x:c r="R2570" s="13" t="n">
        <x:f>IF(I2570="","",I2570/1000000)</x:f>
        <x:v>5.45144804088586</x:v>
      </x:c>
    </x:row>
    <x:row r="2571" ht="21" customHeight="1">
      <x:c r="A2571" s="10" t="n">
        <x:v>3591</x:v>
      </x:c>
      <x:c r="B2571" s="2" t="str">
        <x:v>7a5cc074ecba6892eaa2</x:v>
      </x:c>
      <x:c r="C2571" s="2" t="str">
        <x:v>Đà Nẵng</x:v>
      </x:c>
      <x:c r="D2571" s="2" t="str">
        <x:v>Quận Ngũ Hành Sơn</x:v>
      </x:c>
      <x:c r="E2571" s="2" t="str">
        <x:v>other_unknown</x:v>
      </x:c>
      <x:c r="F2571" s="2" t="str">
        <x:v>sale_assumed</x:v>
      </x:c>
      <x:c r="G2571" s="11" t="n">
        <x:v>102</x:v>
      </x:c>
      <x:c r="H2571" s="12" t="n">
        <x:v>1500000000</x:v>
      </x:c>
      <x:c r="I2571" s="12" t="n">
        <x:v>14705882.352941176</x:v>
      </x:c>
      <x:c r="J2571" s="2" t="str">
        <x:v>total</x:v>
      </x:c>
      <x:c r="K2571" s="2" t="str">
        <x:v>top_level_area</x:v>
      </x:c>
      <x:c r="L2571" s="2" t="str">
        <x:v>property_type_inferred_from_title;transaction_assumed_sale_from_dataset_context;unknown_property_type</x:v>
      </x:c>
      <x:c r="M2571" s="10" t="n">
        <x:v>0</x:v>
      </x:c>
      <x:c r="N2571" s="10" t="n">
        <x:v>0</x:v>
      </x:c>
      <x:c r="O2571" s="2" t="str">
        <x:v>Đà Nẵng|other_unknown</x:v>
      </x:c>
      <x:c r="P2571" s="10" t="n">
        <x:v>2</x:v>
      </x:c>
      <x:c r="Q2571" s="13" t="n">
        <x:f>IF(H2571="","",H2571/1000000000)</x:f>
        <x:v>1.5</x:v>
      </x:c>
      <x:c r="R2571" s="13" t="n">
        <x:f>IF(I2571="","",I2571/1000000)</x:f>
        <x:v>14.705882352941176</x:v>
      </x:c>
    </x:row>
    <x:row r="2572" ht="21" customHeight="1">
      <x:c r="A2572" s="10" t="n">
        <x:v>3595</x:v>
      </x:c>
      <x:c r="B2572" s="2" t="str">
        <x:v>1a6d2f702e16b963cce6</x:v>
      </x:c>
      <x:c r="C2572" s="2" t="str">
        <x:v>Lâm Đồng</x:v>
      </x:c>
      <x:c r="D2572" s="2" t="str">
        <x:v>Thành phố Đà Lạt</x:v>
      </x:c>
      <x:c r="E2572" s="2" t="str">
        <x:v>house</x:v>
      </x:c>
      <x:c r="F2572" s="2" t="str">
        <x:v>sale</x:v>
      </x:c>
      <x:c r="G2572" s="11" t="n">
        <x:v>90</x:v>
      </x:c>
      <x:c r="H2572" s="12" t="n">
        <x:v>5150000000</x:v>
      </x:c>
      <x:c r="I2572" s="12" t="n">
        <x:v>57222222.222222224</x:v>
      </x:c>
      <x:c r="J2572" s="2" t="str">
        <x:v>total</x:v>
      </x:c>
      <x:c r="K2572" s="2" t="str">
        <x:v>top_level_area</x:v>
      </x:c>
      <x:c r="L2572" s="2" t="str">
        <x:v>property_type_inferred_from_title</x:v>
      </x:c>
      <x:c r="M2572" s="10" t="n">
        <x:v>0</x:v>
      </x:c>
      <x:c r="N2572" s="10" t="n">
        <x:v>0</x:v>
      </x:c>
      <x:c r="O2572" s="2" t="str">
        <x:v>house</x:v>
      </x:c>
      <x:c r="P2572" s="10" t="n">
        <x:v>2</x:v>
      </x:c>
      <x:c r="Q2572" s="13" t="n">
        <x:f>IF(H2572="","",H2572/1000000000)</x:f>
        <x:v>5.15</x:v>
      </x:c>
      <x:c r="R2572" s="13" t="n">
        <x:f>IF(I2572="","",I2572/1000000)</x:f>
        <x:v>57.22222222222222</x:v>
      </x:c>
    </x:row>
    <x:row r="2573" ht="21" customHeight="1">
      <x:c r="A2573" s="10" t="n">
        <x:v>3596</x:v>
      </x:c>
      <x:c r="B2573" s="2" t="str">
        <x:v>e51f28de8c665bda64ea</x:v>
      </x:c>
      <x:c r="C2573" s="2" t="str">
        <x:v>Tp Hồ Chí Minh</x:v>
      </x:c>
      <x:c r="D2573" s="2" t="str">
        <x:v>Huyện Hóc Môn</x:v>
      </x:c>
      <x:c r="E2573" s="2" t="str">
        <x:v>house</x:v>
      </x:c>
      <x:c r="F2573" s="2" t="str">
        <x:v>sale_assumed</x:v>
      </x:c>
      <x:c r="G2573" s="11" t="n">
        <x:v>75</x:v>
      </x:c>
      <x:c r="H2573" s="12" t="n">
        <x:v>1150000000</x:v>
      </x:c>
      <x:c r="I2573" s="12" t="n">
        <x:v>15333333.333333334</x:v>
      </x:c>
      <x:c r="J2573" s="2" t="str">
        <x:v>total</x:v>
      </x:c>
      <x:c r="K2573" s="2" t="str">
        <x:v>top_level_area</x:v>
      </x:c>
      <x:c r="L2573" s="2" t="str">
        <x:v>property_type_inferred_from_title;transaction_assumed_sale_from_dataset_context</x:v>
      </x:c>
      <x:c r="M2573" s="10" t="n">
        <x:v>0</x:v>
      </x:c>
      <x:c r="N2573" s="10" t="n">
        <x:v>0</x:v>
      </x:c>
      <x:c r="O2573" s="2" t="str">
        <x:v>Tp Hồ Chí Minh|house</x:v>
      </x:c>
      <x:c r="P2573" s="10" t="n">
        <x:v>2</x:v>
      </x:c>
      <x:c r="Q2573" s="13" t="n">
        <x:f>IF(H2573="","",H2573/1000000000)</x:f>
        <x:v>1.15</x:v>
      </x:c>
      <x:c r="R2573" s="13" t="n">
        <x:f>IF(I2573="","",I2573/1000000)</x:f>
        <x:v>15.333333333333334</x:v>
      </x:c>
    </x:row>
    <x:row r="2574" ht="21" customHeight="1">
      <x:c r="A2574" s="10" t="n">
        <x:v>3597</x:v>
      </x:c>
      <x:c r="B2574" s="2" t="str">
        <x:v>4c309dfadcb2f76f4961</x:v>
      </x:c>
      <x:c r="C2574" s="2" t="str">
        <x:v>Tp Hồ Chí Minh</x:v>
      </x:c>
      <x:c r="D2574" s="2" t="str">
        <x:v>Quận Tân Phú</x:v>
      </x:c>
      <x:c r="E2574" s="2" t="str">
        <x:v>house</x:v>
      </x:c>
      <x:c r="F2574" s="2" t="str">
        <x:v>sale_assumed</x:v>
      </x:c>
      <x:c r="G2574" s="11" t="n">
        <x:v>78</x:v>
      </x:c>
      <x:c r="H2574" s="12" t="n">
        <x:v>5200000000</x:v>
      </x:c>
      <x:c r="I2574" s="12" t="n">
        <x:v>66666666.666666664</x:v>
      </x:c>
      <x:c r="J2574" s="2" t="str">
        <x:v>total</x:v>
      </x:c>
      <x:c r="K2574" s="2" t="str">
        <x:v>top_level_area</x:v>
      </x:c>
      <x:c r="L2574" s="2" t="str">
        <x:v>property_type_inferred_from_title;transaction_assumed_sale_from_dataset_context</x:v>
      </x:c>
      <x:c r="M2574" s="10" t="n">
        <x:v>0</x:v>
      </x:c>
      <x:c r="N2574" s="10" t="n">
        <x:v>0</x:v>
      </x:c>
      <x:c r="O2574" s="2" t="str">
        <x:v>Tp Hồ Chí Minh|house</x:v>
      </x:c>
      <x:c r="P2574" s="10" t="n">
        <x:v>2</x:v>
      </x:c>
      <x:c r="Q2574" s="13" t="n">
        <x:f>IF(H2574="","",H2574/1000000000)</x:f>
        <x:v>5.2</x:v>
      </x:c>
      <x:c r="R2574" s="13" t="n">
        <x:f>IF(I2574="","",I2574/1000000)</x:f>
        <x:v>66.66666666666666</x:v>
      </x:c>
    </x:row>
    <x:row r="2575" ht="21" customHeight="1">
      <x:c r="A2575" s="10" t="n">
        <x:v>3598</x:v>
      </x:c>
      <x:c r="B2575" s="2" t="str">
        <x:v>689374d3a7edabd45f7c</x:v>
      </x:c>
      <x:c r="C2575" s="2" t="str">
        <x:v>Đà Nẵng</x:v>
      </x:c>
      <x:c r="D2575" s="2" t="str">
        <x:v>Quận Ngũ Hành Sơn</x:v>
      </x:c>
      <x:c r="E2575" s="2" t="str">
        <x:v>land</x:v>
      </x:c>
      <x:c r="F2575" s="2" t="str">
        <x:v>sale</x:v>
      </x:c>
      <x:c r="G2575" s="11" t="n">
        <x:v>109</x:v>
      </x:c>
      <x:c r="H2575" s="12" t="n">
        <x:v>1500000000</x:v>
      </x:c>
      <x:c r="I2575" s="12" t="n">
        <x:v>13761467.889908256</x:v>
      </x:c>
      <x:c r="J2575" s="2" t="str">
        <x:v>total</x:v>
      </x:c>
      <x:c r="K2575" s="2" t="str">
        <x:v>top_level_area</x:v>
      </x:c>
      <x:c r="L2575" s="2" t="str">
        <x:v>property_type_inferred_from_title</x:v>
      </x:c>
      <x:c r="M2575" s="10" t="n">
        <x:v>0</x:v>
      </x:c>
      <x:c r="N2575" s="10" t="n">
        <x:v>0</x:v>
      </x:c>
      <x:c r="O2575" s="2" t="str">
        <x:v>Đà Nẵng|land</x:v>
      </x:c>
      <x:c r="P2575" s="10" t="n">
        <x:v>2</x:v>
      </x:c>
      <x:c r="Q2575" s="13" t="n">
        <x:f>IF(H2575="","",H2575/1000000000)</x:f>
        <x:v>1.5</x:v>
      </x:c>
      <x:c r="R2575" s="13" t="n">
        <x:f>IF(I2575="","",I2575/1000000)</x:f>
        <x:v>13.761467889908255</x:v>
      </x:c>
    </x:row>
    <x:row r="2576" ht="21" customHeight="1">
      <x:c r="A2576" s="10" t="n">
        <x:v>3599</x:v>
      </x:c>
      <x:c r="B2576" s="2" t="str">
        <x:v>ceb576b293bb547eb604</x:v>
      </x:c>
      <x:c r="C2576" s="2" t="str">
        <x:v>Đà Nẵng</x:v>
      </x:c>
      <x:c r="D2576" s="2" t="str">
        <x:v>Quận Ngũ Hành Sơn</x:v>
      </x:c>
      <x:c r="E2576" s="2" t="str">
        <x:v>land</x:v>
      </x:c>
      <x:c r="F2576" s="2" t="str">
        <x:v>sale</x:v>
      </x:c>
      <x:c r="G2576" s="11" t="n">
        <x:v>111</x:v>
      </x:c>
      <x:c r="H2576" s="12" t="n">
        <x:v>2250000000</x:v>
      </x:c>
      <x:c r="I2576" s="12" t="n">
        <x:v>20270270.27027027</x:v>
      </x:c>
      <x:c r="J2576" s="2" t="str">
        <x:v>total</x:v>
      </x:c>
      <x:c r="K2576" s="2" t="str">
        <x:v>top_level_area</x:v>
      </x:c>
      <x:c r="L2576" s="2" t="str">
        <x:v>property_type_inferred_from_title</x:v>
      </x:c>
      <x:c r="M2576" s="10" t="n">
        <x:v>0</x:v>
      </x:c>
      <x:c r="N2576" s="10" t="n">
        <x:v>0</x:v>
      </x:c>
      <x:c r="O2576" s="2" t="str">
        <x:v>Đà Nẵng|land</x:v>
      </x:c>
      <x:c r="P2576" s="10" t="n">
        <x:v>2</x:v>
      </x:c>
      <x:c r="Q2576" s="13" t="n">
        <x:f>IF(H2576="","",H2576/1000000000)</x:f>
        <x:v>2.25</x:v>
      </x:c>
      <x:c r="R2576" s="13" t="n">
        <x:f>IF(I2576="","",I2576/1000000)</x:f>
        <x:v>20.27027027027027</x:v>
      </x:c>
    </x:row>
    <x:row r="2577" ht="21" customHeight="1">
      <x:c r="A2577" s="10" t="n">
        <x:v>3600</x:v>
      </x:c>
      <x:c r="B2577" s="2" t="str">
        <x:v>69ff3bad82944602556f</x:v>
      </x:c>
      <x:c r="C2577" s="2" t="str">
        <x:v>Đà Nẵng</x:v>
      </x:c>
      <x:c r="D2577" s="2" t="str">
        <x:v>Quận Ngũ Hành Sơn</x:v>
      </x:c>
      <x:c r="E2577" s="2" t="str">
        <x:v>land</x:v>
      </x:c>
      <x:c r="F2577" s="2" t="str">
        <x:v>sale</x:v>
      </x:c>
      <x:c r="G2577" s="11" t="n">
        <x:v>102</x:v>
      </x:c>
      <x:c r="H2577" s="12" t="n">
        <x:v>1500000000</x:v>
      </x:c>
      <x:c r="I2577" s="12" t="n">
        <x:v>14705882.352941176</x:v>
      </x:c>
      <x:c r="J2577" s="2" t="str">
        <x:v>total</x:v>
      </x:c>
      <x:c r="K2577" s="2" t="str">
        <x:v>top_level_area</x:v>
      </x:c>
      <x:c r="L2577" s="2" t="str">
        <x:v>property_type_inferred_from_title</x:v>
      </x:c>
      <x:c r="M2577" s="10" t="n">
        <x:v>0</x:v>
      </x:c>
      <x:c r="N2577" s="10" t="n">
        <x:v>0</x:v>
      </x:c>
      <x:c r="O2577" s="2" t="str">
        <x:v>Đà Nẵng|land</x:v>
      </x:c>
      <x:c r="P2577" s="10" t="n">
        <x:v>2</x:v>
      </x:c>
      <x:c r="Q2577" s="13" t="n">
        <x:f>IF(H2577="","",H2577/1000000000)</x:f>
        <x:v>1.5</x:v>
      </x:c>
      <x:c r="R2577" s="13" t="n">
        <x:f>IF(I2577="","",I2577/1000000)</x:f>
        <x:v>14.705882352941176</x:v>
      </x:c>
    </x:row>
    <x:row r="2578" ht="21" customHeight="1">
      <x:c r="A2578" s="10" t="n">
        <x:v>3601</x:v>
      </x:c>
      <x:c r="B2578" s="2" t="str">
        <x:v>ad781642f0593f139acf</x:v>
      </x:c>
      <x:c r="C2578" s="2" t="str">
        <x:v>Đà Nẵng</x:v>
      </x:c>
      <x:c r="D2578" s="2" t="str">
        <x:v>Quận Liên Chiểu</x:v>
      </x:c>
      <x:c r="E2578" s="2" t="str">
        <x:v>land</x:v>
      </x:c>
      <x:c r="F2578" s="2" t="str">
        <x:v>sale</x:v>
      </x:c>
      <x:c r="G2578" s="11" t="n">
        <x:v>70</x:v>
      </x:c>
      <x:c r="H2578" s="12" t="n">
        <x:v>2990000000</x:v>
      </x:c>
      <x:c r="I2578" s="12" t="n">
        <x:v>42714285.71428572</x:v>
      </x:c>
      <x:c r="J2578" s="2" t="str">
        <x:v>total</x:v>
      </x:c>
      <x:c r="K2578" s="2" t="str">
        <x:v>top_level_area</x:v>
      </x:c>
      <x:c r="L2578" s="2" t="str">
        <x:v>property_type_inferred_from_title</x:v>
      </x:c>
      <x:c r="M2578" s="10" t="n">
        <x:v>0</x:v>
      </x:c>
      <x:c r="N2578" s="10" t="n">
        <x:v>0</x:v>
      </x:c>
      <x:c r="O2578" s="2" t="str">
        <x:v>Đà Nẵng|land</x:v>
      </x:c>
      <x:c r="P2578" s="10" t="n">
        <x:v>2</x:v>
      </x:c>
      <x:c r="Q2578" s="13" t="n">
        <x:f>IF(H2578="","",H2578/1000000000)</x:f>
        <x:v>2.99</x:v>
      </x:c>
      <x:c r="R2578" s="13" t="n">
        <x:f>IF(I2578="","",I2578/1000000)</x:f>
        <x:v>42.714285714285715</x:v>
      </x:c>
    </x:row>
    <x:row r="2579" ht="21" customHeight="1">
      <x:c r="A2579" s="10" t="n">
        <x:v>3602</x:v>
      </x:c>
      <x:c r="B2579" s="2" t="str">
        <x:v>149825708f85f60c7030</x:v>
      </x:c>
      <x:c r="C2579" s="2" t="str">
        <x:v>Tp Hồ Chí Minh</x:v>
      </x:c>
      <x:c r="D2579" s="2" t="str">
        <x:v>Quận 12</x:v>
      </x:c>
      <x:c r="E2579" s="2" t="str">
        <x:v>house</x:v>
      </x:c>
      <x:c r="F2579" s="2" t="str">
        <x:v>sale</x:v>
      </x:c>
      <x:c r="G2579" s="11" t="n">
        <x:v>50</x:v>
      </x:c>
      <x:c r="H2579" s="12" t="n">
        <x:v>2750000000</x:v>
      </x:c>
      <x:c r="I2579" s="12" t="n">
        <x:v>55000000</x:v>
      </x:c>
      <x:c r="J2579" s="2" t="str">
        <x:v>total</x:v>
      </x:c>
      <x:c r="K2579" s="2" t="str">
        <x:v>top_level_area</x:v>
      </x:c>
      <x:c r="L2579" s="2" t="str">
        <x:v>property_type_inferred_from_title</x:v>
      </x:c>
      <x:c r="M2579" s="10" t="n">
        <x:v>0</x:v>
      </x:c>
      <x:c r="N2579" s="10" t="n">
        <x:v>0</x:v>
      </x:c>
      <x:c r="O2579" s="2" t="str">
        <x:v>Tp Hồ Chí Minh|house</x:v>
      </x:c>
      <x:c r="P2579" s="10" t="n">
        <x:v>2</x:v>
      </x:c>
      <x:c r="Q2579" s="13" t="n">
        <x:f>IF(H2579="","",H2579/1000000000)</x:f>
        <x:v>2.75</x:v>
      </x:c>
      <x:c r="R2579" s="13" t="n">
        <x:f>IF(I2579="","",I2579/1000000)</x:f>
        <x:v>55</x:v>
      </x:c>
    </x:row>
    <x:row r="2580" ht="21" customHeight="1">
      <x:c r="A2580" s="10" t="n">
        <x:v>3603</x:v>
      </x:c>
      <x:c r="B2580" s="2" t="str">
        <x:v>7a5ced635ccc49e1c023</x:v>
      </x:c>
      <x:c r="C2580" s="2" t="str">
        <x:v>Long An</x:v>
      </x:c>
      <x:c r="D2580" s="2" t="str">
        <x:v>Huyện Cần Đước</x:v>
      </x:c>
      <x:c r="E2580" s="2" t="str">
        <x:v>land</x:v>
      </x:c>
      <x:c r="F2580" s="2" t="str">
        <x:v>sale_assumed</x:v>
      </x:c>
      <x:c r="G2580" s="11" t="n">
        <x:v>404</x:v>
      </x:c>
      <x:c r="H2580" s="12" t="n">
        <x:v>2100000000</x:v>
      </x:c>
      <x:c r="I2580" s="12" t="n">
        <x:v>5198019.801980198</x:v>
      </x:c>
      <x:c r="J2580" s="2" t="str">
        <x:v>total</x:v>
      </x:c>
      <x:c r="K2580" s="2" t="str">
        <x:v>top_level_area</x:v>
      </x:c>
      <x:c r="L2580" s="2" t="str">
        <x:v>property_type_inferred_from_title;transaction_assumed_sale_from_dataset_context</x:v>
      </x:c>
      <x:c r="M2580" s="10" t="n">
        <x:v>0</x:v>
      </x:c>
      <x:c r="N2580" s="10" t="n">
        <x:v>0</x:v>
      </x:c>
      <x:c r="O2580" s="2" t="str">
        <x:v>Long An|land</x:v>
      </x:c>
      <x:c r="P2580" s="10" t="n">
        <x:v>1</x:v>
      </x:c>
      <x:c r="Q2580" s="13" t="n">
        <x:f>IF(H2580="","",H2580/1000000000)</x:f>
        <x:v>2.1</x:v>
      </x:c>
      <x:c r="R2580" s="13" t="n">
        <x:f>IF(I2580="","",I2580/1000000)</x:f>
        <x:v>5.198019801980198</x:v>
      </x:c>
    </x:row>
    <x:row r="2581" ht="21" customHeight="1">
      <x:c r="A2581" s="10" t="n">
        <x:v>3604</x:v>
      </x:c>
      <x:c r="B2581" s="2" t="str">
        <x:v>a0012b0084fbbe74c5b6</x:v>
      </x:c>
      <x:c r="C2581" s="2" t="str">
        <x:v>Đà Nẵng</x:v>
      </x:c>
      <x:c r="D2581" s="2" t="str">
        <x:v>Quận Ngũ Hành Sơn</x:v>
      </x:c>
      <x:c r="E2581" s="2" t="str">
        <x:v>other_unknown</x:v>
      </x:c>
      <x:c r="F2581" s="2" t="str">
        <x:v>sale_assumed</x:v>
      </x:c>
      <x:c r="G2581" s="11" t="n">
        <x:v>102</x:v>
      </x:c>
      <x:c r="H2581" s="12" t="n">
        <x:v>1270000000</x:v>
      </x:c>
      <x:c r="I2581" s="12" t="n">
        <x:v>12450980.392156864</x:v>
      </x:c>
      <x:c r="J2581" s="2" t="str">
        <x:v>total</x:v>
      </x:c>
      <x:c r="K2581" s="2" t="str">
        <x:v>top_level_area</x:v>
      </x:c>
      <x:c r="L2581" s="2" t="str">
        <x:v>property_type_inferred_from_title;transaction_assumed_sale_from_dataset_context;unknown_property_type</x:v>
      </x:c>
      <x:c r="M2581" s="10" t="n">
        <x:v>0</x:v>
      </x:c>
      <x:c r="N2581" s="10" t="n">
        <x:v>0</x:v>
      </x:c>
      <x:c r="O2581" s="2" t="str">
        <x:v>Đà Nẵng|other_unknown</x:v>
      </x:c>
      <x:c r="P2581" s="10" t="n">
        <x:v>2</x:v>
      </x:c>
      <x:c r="Q2581" s="13" t="n">
        <x:f>IF(H2581="","",H2581/1000000000)</x:f>
        <x:v>1.27</x:v>
      </x:c>
      <x:c r="R2581" s="13" t="n">
        <x:f>IF(I2581="","",I2581/1000000)</x:f>
        <x:v>12.450980392156863</x:v>
      </x:c>
    </x:row>
    <x:row r="2582" ht="21" customHeight="1">
      <x:c r="A2582" s="10" t="n">
        <x:v>3605</x:v>
      </x:c>
      <x:c r="B2582" s="2" t="str">
        <x:v>323713db41a24697d9f1</x:v>
      </x:c>
      <x:c r="C2582" s="2" t="str">
        <x:v>Tp Hồ Chí Minh</x:v>
      </x:c>
      <x:c r="D2582" s="2" t="str">
        <x:v>Quận 12</x:v>
      </x:c>
      <x:c r="E2582" s="2" t="str">
        <x:v>land</x:v>
      </x:c>
      <x:c r="F2582" s="2" t="str">
        <x:v>sale</x:v>
      </x:c>
      <x:c r="G2582" s="11" t="n">
        <x:v>1450</x:v>
      </x:c>
      <x:c r="H2582" s="12" t="n">
        <x:v>35500000000</x:v>
      </x:c>
      <x:c r="I2582" s="12" t="n">
        <x:v>24482758.620689657</x:v>
      </x:c>
      <x:c r="J2582" s="2" t="str">
        <x:v>total</x:v>
      </x:c>
      <x:c r="K2582" s="2" t="str">
        <x:v>top_level_area</x:v>
      </x:c>
      <x:c r="L2582" s="2" t="str">
        <x:v>dot_thousands_convention;property_type_inferred_from_title</x:v>
      </x:c>
      <x:c r="M2582" s="10" t="n">
        <x:v>0</x:v>
      </x:c>
      <x:c r="N2582" s="10" t="n">
        <x:v>0</x:v>
      </x:c>
      <x:c r="O2582" s="2" t="str">
        <x:v>Tp Hồ Chí Minh|land</x:v>
      </x:c>
      <x:c r="P2582" s="10" t="n">
        <x:v>1</x:v>
      </x:c>
      <x:c r="Q2582" s="13" t="n">
        <x:f>IF(H2582="","",H2582/1000000000)</x:f>
        <x:v>35.5</x:v>
      </x:c>
      <x:c r="R2582" s="13" t="n">
        <x:f>IF(I2582="","",I2582/1000000)</x:f>
        <x:v>24.48275862068966</x:v>
      </x:c>
    </x:row>
    <x:row r="2583" ht="21" customHeight="1">
      <x:c r="A2583" s="10" t="n">
        <x:v>3606</x:v>
      </x:c>
      <x:c r="B2583" s="2" t="str">
        <x:v>efb1cda95a171b57faf0</x:v>
      </x:c>
      <x:c r="C2583" s="2" t="str">
        <x:v>Thừa Thiên Huế</x:v>
      </x:c>
      <x:c r="D2583" s="2" t="str">
        <x:v>Thành phố Huế</x:v>
      </x:c>
      <x:c r="E2583" s="2" t="str">
        <x:v>house</x:v>
      </x:c>
      <x:c r="F2583" s="2" t="str">
        <x:v>sale_assumed</x:v>
      </x:c>
      <x:c r="G2583" s="11" t="n">
        <x:v>126</x:v>
      </x:c>
      <x:c r="H2583" s="12" t="n">
        <x:v>1680000000</x:v>
      </x:c>
      <x:c r="I2583" s="12" t="n">
        <x:v>13333333.333333334</x:v>
      </x:c>
      <x:c r="J2583" s="2" t="str">
        <x:v>total</x:v>
      </x:c>
      <x:c r="K2583" s="2" t="str">
        <x:v>top_level_area</x:v>
      </x:c>
      <x:c r="L2583" s="2" t="str">
        <x:v>property_type_inferred_from_title;transaction_assumed_sale_from_dataset_context</x:v>
      </x:c>
      <x:c r="M2583" s="10" t="n">
        <x:v>0</x:v>
      </x:c>
      <x:c r="N2583" s="10" t="n">
        <x:v>0</x:v>
      </x:c>
      <x:c r="O2583" s="2" t="str">
        <x:v>house</x:v>
      </x:c>
      <x:c r="P2583" s="10" t="n">
        <x:v>2</x:v>
      </x:c>
      <x:c r="Q2583" s="13" t="n">
        <x:f>IF(H2583="","",H2583/1000000000)</x:f>
        <x:v>1.68</x:v>
      </x:c>
      <x:c r="R2583" s="13" t="n">
        <x:f>IF(I2583="","",I2583/1000000)</x:f>
        <x:v>13.333333333333334</x:v>
      </x:c>
    </x:row>
    <x:row r="2584" ht="21" customHeight="1">
      <x:c r="A2584" s="10" t="n">
        <x:v>3607</x:v>
      </x:c>
      <x:c r="B2584" s="2" t="str">
        <x:v>55dd6420c3b546fdb573</x:v>
      </x:c>
      <x:c r="C2584" s="2" t="str">
        <x:v>Bà Rịa - Vũng Tàu</x:v>
      </x:c>
      <x:c r="D2584" s="2" t="str">
        <x:v>Thành phố Vũng Tàu</x:v>
      </x:c>
      <x:c r="E2584" s="2" t="str">
        <x:v>apartment</x:v>
      </x:c>
      <x:c r="F2584" s="2" t="str">
        <x:v>sale</x:v>
      </x:c>
      <x:c r="G2584" s="11" t="n">
        <x:v>85</x:v>
      </x:c>
      <x:c r="H2584" s="12" t="n">
        <x:v>2800000000</x:v>
      </x:c>
      <x:c r="I2584" s="12" t="n">
        <x:v>32941176.470588237</x:v>
      </x:c>
      <x:c r="J2584" s="2" t="str">
        <x:v>total</x:v>
      </x:c>
      <x:c r="K2584" s="2" t="str">
        <x:v>top_level_area</x:v>
      </x:c>
      <x:c r="L2584" s="2" t="str">
        <x:v>property_type_inferred_from_title</x:v>
      </x:c>
      <x:c r="M2584" s="10" t="n">
        <x:v>0</x:v>
      </x:c>
      <x:c r="N2584" s="10" t="n">
        <x:v>0</x:v>
      </x:c>
      <x:c r="O2584" s="2" t="str">
        <x:v>apartment</x:v>
      </x:c>
      <x:c r="P2584" s="10" t="n">
        <x:v>2</x:v>
      </x:c>
      <x:c r="Q2584" s="13" t="n">
        <x:f>IF(H2584="","",H2584/1000000000)</x:f>
        <x:v>2.8</x:v>
      </x:c>
      <x:c r="R2584" s="13" t="n">
        <x:f>IF(I2584="","",I2584/1000000)</x:f>
        <x:v>32.94117647058824</x:v>
      </x:c>
    </x:row>
    <x:row r="2585" ht="21" customHeight="1">
      <x:c r="A2585" s="10" t="n">
        <x:v>3608</x:v>
      </x:c>
      <x:c r="B2585" s="2" t="str">
        <x:v>b6eba9d788c785e9c2c8</x:v>
      </x:c>
      <x:c r="C2585" s="2" t="str">
        <x:v>Bà Rịa - Vũng Tàu</x:v>
      </x:c>
      <x:c r="D2585" s="2" t="str">
        <x:v>Thị xã Phú Mỹ</x:v>
      </x:c>
      <x:c r="E2585" s="2" t="str">
        <x:v>other_unknown</x:v>
      </x:c>
      <x:c r="F2585" s="2" t="str">
        <x:v>sale_assumed</x:v>
      </x:c>
      <x:c r="G2585" s="11" t="n">
        <x:v>150</x:v>
      </x:c>
      <x:c r="H2585" s="12" t="n">
        <x:v>839000000</x:v>
      </x:c>
      <x:c r="I2585" s="12" t="n">
        <x:v>5593333.333333333</x:v>
      </x:c>
      <x:c r="J2585" s="2" t="str">
        <x:v>total</x:v>
      </x:c>
      <x:c r="K2585" s="2" t="str">
        <x:v>top_level_area</x:v>
      </x:c>
      <x:c r="L2585" s="2" t="str">
        <x:v>property_type_inferred_from_title;transaction_assumed_sale_from_dataset_context;unknown_property_type</x:v>
      </x:c>
      <x:c r="M2585" s="10" t="n">
        <x:v>0</x:v>
      </x:c>
      <x:c r="N2585" s="10" t="n">
        <x:v>0</x:v>
      </x:c>
      <x:c r="O2585" s="2" t="str">
        <x:v>other_unknown</x:v>
      </x:c>
      <x:c r="P2585" s="10" t="n">
        <x:v>2</x:v>
      </x:c>
      <x:c r="Q2585" s="13" t="n">
        <x:f>IF(H2585="","",H2585/1000000000)</x:f>
        <x:v>0.839</x:v>
      </x:c>
      <x:c r="R2585" s="13" t="n">
        <x:f>IF(I2585="","",I2585/1000000)</x:f>
        <x:v>5.593333333333333</x:v>
      </x:c>
    </x:row>
    <x:row r="2586" ht="21" customHeight="1">
      <x:c r="A2586" s="10" t="n">
        <x:v>3609</x:v>
      </x:c>
      <x:c r="B2586" s="2" t="str">
        <x:v>c3fc294374d6a126ce02</x:v>
      </x:c>
      <x:c r="C2586" s="2" t="str">
        <x:v>Lâm Đồng</x:v>
      </x:c>
      <x:c r="D2586" s="2" t="str">
        <x:v>Huyện Bảo Lâm</x:v>
      </x:c>
      <x:c r="E2586" s="2" t="str">
        <x:v>land</x:v>
      </x:c>
      <x:c r="F2586" s="2" t="str">
        <x:v>sale_assumed</x:v>
      </x:c>
      <x:c r="G2586" s="11" t="n">
        <x:v>150</x:v>
      </x:c>
      <x:c r="H2586" s="12" t="n">
        <x:v>435000000</x:v>
      </x:c>
      <x:c r="I2586" s="12" t="n">
        <x:v>2900000</x:v>
      </x:c>
      <x:c r="J2586" s="2" t="str">
        <x:v>total</x:v>
      </x:c>
      <x:c r="K2586" s="2" t="str">
        <x:v>top_level_area</x:v>
      </x:c>
      <x:c r="L2586" s="2" t="str">
        <x:v>property_type_inferred_from_title;transaction_assumed_sale_from_dataset_context</x:v>
      </x:c>
      <x:c r="M2586" s="10" t="n">
        <x:v>0</x:v>
      </x:c>
      <x:c r="N2586" s="10" t="n">
        <x:v>0</x:v>
      </x:c>
      <x:c r="O2586" s="2" t="str">
        <x:v>Lâm Đồng|land</x:v>
      </x:c>
      <x:c r="P2586" s="10" t="n">
        <x:v>1</x:v>
      </x:c>
      <x:c r="Q2586" s="13" t="n">
        <x:f>IF(H2586="","",H2586/1000000000)</x:f>
        <x:v>0.435</x:v>
      </x:c>
      <x:c r="R2586" s="13" t="n">
        <x:f>IF(I2586="","",I2586/1000000)</x:f>
        <x:v>2.9</x:v>
      </x:c>
    </x:row>
    <x:row r="2587" ht="21" customHeight="1">
      <x:c r="A2587" s="10" t="n">
        <x:v>3610</x:v>
      </x:c>
      <x:c r="B2587" s="2" t="str">
        <x:v>67d6dc1113b10581a1e6</x:v>
      </x:c>
      <x:c r="C2587" s="2" t="str">
        <x:v>Bình Dương</x:v>
      </x:c>
      <x:c r="D2587" s="2" t="str">
        <x:v>Thị xã Tân Uyên</x:v>
      </x:c>
      <x:c r="E2587" s="2" t="str">
        <x:v>land</x:v>
      </x:c>
      <x:c r="F2587" s="2" t="str">
        <x:v>sale</x:v>
      </x:c>
      <x:c r="G2587" s="11" t="n">
        <x:v>70</x:v>
      </x:c>
      <x:c r="H2587" s="12" t="n">
        <x:v>735000000</x:v>
      </x:c>
      <x:c r="I2587" s="12" t="n">
        <x:v>10500000</x:v>
      </x:c>
      <x:c r="J2587" s="2" t="str">
        <x:v>total</x:v>
      </x:c>
      <x:c r="K2587" s="2" t="str">
        <x:v>top_level_area</x:v>
      </x:c>
      <x:c r="L2587" s="2" t="str">
        <x:v>property_type_inferred_from_title</x:v>
      </x:c>
      <x:c r="M2587" s="10" t="n">
        <x:v>0</x:v>
      </x:c>
      <x:c r="N2587" s="10" t="n">
        <x:v>0</x:v>
      </x:c>
      <x:c r="O2587" s="2" t="str">
        <x:v>Bình Dương|land</x:v>
      </x:c>
      <x:c r="P2587" s="10" t="n">
        <x:v>2</x:v>
      </x:c>
      <x:c r="Q2587" s="13" t="n">
        <x:f>IF(H2587="","",H2587/1000000000)</x:f>
        <x:v>0.735</x:v>
      </x:c>
      <x:c r="R2587" s="13" t="n">
        <x:f>IF(I2587="","",I2587/1000000)</x:f>
        <x:v>10.5</x:v>
      </x:c>
    </x:row>
    <x:row r="2588" ht="21" customHeight="1">
      <x:c r="A2588" s="10" t="n">
        <x:v>3611</x:v>
      </x:c>
      <x:c r="B2588" s="2" t="str">
        <x:v>d8be1a675375b810751d</x:v>
      </x:c>
      <x:c r="C2588" s="2" t="str">
        <x:v>Bình Dương</x:v>
      </x:c>
      <x:c r="D2588" s="2" t="str">
        <x:v>Thị xã Dĩ An</x:v>
      </x:c>
      <x:c r="E2588" s="2" t="str">
        <x:v>house</x:v>
      </x:c>
      <x:c r="F2588" s="2" t="str">
        <x:v>sale_assumed</x:v>
      </x:c>
      <x:c r="G2588" s="11" t="n">
        <x:v>147</x:v>
      </x:c>
      <x:c r="H2588" s="12" t="n">
        <x:v>3850000000</x:v>
      </x:c>
      <x:c r="I2588" s="12" t="n">
        <x:v>26190476.19047619</x:v>
      </x:c>
      <x:c r="J2588" s="2" t="str">
        <x:v>total</x:v>
      </x:c>
      <x:c r="K2588" s="2" t="str">
        <x:v>top_level_area</x:v>
      </x:c>
      <x:c r="L2588" s="2" t="str">
        <x:v>property_type_inferred_from_title;transaction_assumed_sale_from_dataset_context</x:v>
      </x:c>
      <x:c r="M2588" s="10" t="n">
        <x:v>0</x:v>
      </x:c>
      <x:c r="N2588" s="10" t="n">
        <x:v>0</x:v>
      </x:c>
      <x:c r="O2588" s="2" t="str">
        <x:v>Bình Dương|house</x:v>
      </x:c>
      <x:c r="P2588" s="10" t="n">
        <x:v>2</x:v>
      </x:c>
      <x:c r="Q2588" s="13" t="n">
        <x:f>IF(H2588="","",H2588/1000000000)</x:f>
        <x:v>3.85</x:v>
      </x:c>
      <x:c r="R2588" s="13" t="n">
        <x:f>IF(I2588="","",I2588/1000000)</x:f>
        <x:v>26.19047619047619</x:v>
      </x:c>
    </x:row>
    <x:row r="2589" ht="21" customHeight="1">
      <x:c r="A2589" s="10" t="n">
        <x:v>3612</x:v>
      </x:c>
      <x:c r="B2589" s="2" t="str">
        <x:v>2b9c454592138aac8617</x:v>
      </x:c>
      <x:c r="C2589" s="2" t="str">
        <x:v>Tp Hồ Chí Minh</x:v>
      </x:c>
      <x:c r="D2589" s="2" t="str">
        <x:v>Quận 3</x:v>
      </x:c>
      <x:c r="E2589" s="2" t="str">
        <x:v>other_unknown</x:v>
      </x:c>
      <x:c r="F2589" s="2" t="str">
        <x:v>sale_assumed</x:v>
      </x:c>
      <x:c r="G2589" s="11" t="n">
        <x:v>20</x:v>
      </x:c>
      <x:c r="H2589" s="12" t="n">
        <x:v>400000000</x:v>
      </x:c>
      <x:c r="I2589" s="12" t="n">
        <x:v>20000000</x:v>
      </x:c>
      <x:c r="J2589" s="2" t="str">
        <x:v>total</x:v>
      </x:c>
      <x:c r="K2589" s="2" t="str">
        <x:v>top_level_area</x:v>
      </x:c>
      <x:c r="L2589" s="2" t="str">
        <x:v>property_type_inferred_from_title;transaction_assumed_sale_from_dataset_context;unknown_property_type</x:v>
      </x:c>
      <x:c r="M2589" s="10" t="n">
        <x:v>0</x:v>
      </x:c>
      <x:c r="N2589" s="10" t="n">
        <x:v>0</x:v>
      </x:c>
      <x:c r="O2589" s="2" t="str">
        <x:v>Tp Hồ Chí Minh|other_unknown</x:v>
      </x:c>
      <x:c r="P2589" s="10" t="n">
        <x:v>2</x:v>
      </x:c>
      <x:c r="Q2589" s="13" t="n">
        <x:f>IF(H2589="","",H2589/1000000000)</x:f>
        <x:v>0.4</x:v>
      </x:c>
      <x:c r="R2589" s="13" t="n">
        <x:f>IF(I2589="","",I2589/1000000)</x:f>
        <x:v>20</x:v>
      </x:c>
    </x:row>
    <x:row r="2590" ht="21" customHeight="1">
      <x:c r="A2590" s="10" t="n">
        <x:v>3613</x:v>
      </x:c>
      <x:c r="B2590" s="2" t="str">
        <x:v>ea1de1e7ccd114780245</x:v>
      </x:c>
      <x:c r="C2590" s="2" t="str">
        <x:v>Tp Hồ Chí Minh</x:v>
      </x:c>
      <x:c r="D2590" s="2" t="str">
        <x:v>Quận 9</x:v>
      </x:c>
      <x:c r="E2590" s="2" t="str">
        <x:v>other_unknown</x:v>
      </x:c>
      <x:c r="F2590" s="2" t="str">
        <x:v>sale_assumed</x:v>
      </x:c>
      <x:c r="G2590" s="11" t="n">
        <x:v>51</x:v>
      </x:c>
      <x:c r="H2590" s="12" t="n">
        <x:v>2000000000</x:v>
      </x:c>
      <x:c r="I2590" s="12" t="n">
        <x:v>39215686.2745098</x:v>
      </x:c>
      <x:c r="J2590" s="2" t="str">
        <x:v>total</x:v>
      </x:c>
      <x:c r="K2590" s="2" t="str">
        <x:v>top_level_area</x:v>
      </x:c>
      <x:c r="L2590" s="2" t="str">
        <x:v>property_type_inferred_from_title;transaction_assumed_sale_from_dataset_context;unknown_property_type</x:v>
      </x:c>
      <x:c r="M2590" s="10" t="n">
        <x:v>0</x:v>
      </x:c>
      <x:c r="N2590" s="10" t="n">
        <x:v>0</x:v>
      </x:c>
      <x:c r="O2590" s="2" t="str">
        <x:v>Tp Hồ Chí Minh|other_unknown</x:v>
      </x:c>
      <x:c r="P2590" s="10" t="n">
        <x:v>2</x:v>
      </x:c>
      <x:c r="Q2590" s="13" t="n">
        <x:f>IF(H2590="","",H2590/1000000000)</x:f>
        <x:v>2</x:v>
      </x:c>
      <x:c r="R2590" s="13" t="n">
        <x:f>IF(I2590="","",I2590/1000000)</x:f>
        <x:v>39.2156862745098</x:v>
      </x:c>
    </x:row>
    <x:row r="2591" ht="21" customHeight="1">
      <x:c r="A2591" s="10" t="n">
        <x:v>3614</x:v>
      </x:c>
      <x:c r="B2591" s="2" t="str">
        <x:v>cae82bd85e23a49d6d12</x:v>
      </x:c>
      <x:c r="C2591" s="2" t="str">
        <x:v>Cần Thơ</x:v>
      </x:c>
      <x:c r="D2591" s="2" t="str">
        <x:v>Quận Ninh Kiều</x:v>
      </x:c>
      <x:c r="E2591" s="2" t="str">
        <x:v>house</x:v>
      </x:c>
      <x:c r="F2591" s="2" t="str">
        <x:v>sale_assumed</x:v>
      </x:c>
      <x:c r="G2591" s="11" t="n">
        <x:v>30</x:v>
      </x:c>
      <x:c r="H2591" s="12" t="n">
        <x:v>890000000</x:v>
      </x:c>
      <x:c r="I2591" s="12" t="n">
        <x:v>29666666.666666668</x:v>
      </x:c>
      <x:c r="J2591" s="2" t="str">
        <x:v>total</x:v>
      </x:c>
      <x:c r="K2591" s="2" t="str">
        <x:v>top_level_area</x:v>
      </x:c>
      <x:c r="L2591" s="2" t="str">
        <x:v>property_type_inferred_from_title;transaction_assumed_sale_from_dataset_context</x:v>
      </x:c>
      <x:c r="M2591" s="10" t="n">
        <x:v>0</x:v>
      </x:c>
      <x:c r="N2591" s="10" t="n">
        <x:v>0</x:v>
      </x:c>
      <x:c r="O2591" s="2" t="str">
        <x:v>Cần Thơ|house</x:v>
      </x:c>
      <x:c r="P2591" s="10" t="n">
        <x:v>2</x:v>
      </x:c>
      <x:c r="Q2591" s="13" t="n">
        <x:f>IF(H2591="","",H2591/1000000000)</x:f>
        <x:v>0.89</x:v>
      </x:c>
      <x:c r="R2591" s="13" t="n">
        <x:f>IF(I2591="","",I2591/1000000)</x:f>
        <x:v>29.666666666666668</x:v>
      </x:c>
    </x:row>
    <x:row r="2592" ht="21" customHeight="1">
      <x:c r="A2592" s="10" t="n">
        <x:v>3615</x:v>
      </x:c>
      <x:c r="B2592" s="2" t="str">
        <x:v>5891900a9833970e4d91</x:v>
      </x:c>
      <x:c r="C2592" s="2" t="str">
        <x:v>Hà Nội</x:v>
      </x:c>
      <x:c r="D2592" s="2" t="str">
        <x:v>Quận Đống Đa</x:v>
      </x:c>
      <x:c r="E2592" s="2" t="str">
        <x:v>other_unknown</x:v>
      </x:c>
      <x:c r="F2592" s="2" t="str">
        <x:v>sale_assumed</x:v>
      </x:c>
      <x:c r="G2592" s="11" t="n">
        <x:v>14</x:v>
      </x:c>
      <x:c r="H2592" s="12" t="n">
        <x:v>1270000000</x:v>
      </x:c>
      <x:c r="I2592" s="12" t="n">
        <x:v>90714285.71428572</x:v>
      </x:c>
      <x:c r="J2592" s="2" t="str">
        <x:v>total</x:v>
      </x:c>
      <x:c r="K2592" s="2" t="str">
        <x:v>top_level_area</x:v>
      </x:c>
      <x:c r="L2592" s="2" t="str">
        <x:v>property_type_inferred_from_title;transaction_assumed_sale_from_dataset_context;unknown_property_type</x:v>
      </x:c>
      <x:c r="M2592" s="10" t="n">
        <x:v>0</x:v>
      </x:c>
      <x:c r="N2592" s="10" t="n">
        <x:v>0</x:v>
      </x:c>
      <x:c r="O2592" s="2" t="str">
        <x:v>Hà Nội|other_unknown</x:v>
      </x:c>
      <x:c r="P2592" s="10" t="n">
        <x:v>2</x:v>
      </x:c>
      <x:c r="Q2592" s="13" t="n">
        <x:f>IF(H2592="","",H2592/1000000000)</x:f>
        <x:v>1.27</x:v>
      </x:c>
      <x:c r="R2592" s="13" t="n">
        <x:f>IF(I2592="","",I2592/1000000)</x:f>
        <x:v>90.71428571428572</x:v>
      </x:c>
    </x:row>
    <x:row r="2593" ht="21" customHeight="1">
      <x:c r="A2593" s="10" t="n">
        <x:v>3618</x:v>
      </x:c>
      <x:c r="B2593" s="2" t="str">
        <x:v>f8767010c5691b324d73</x:v>
      </x:c>
      <x:c r="C2593" s="2" t="str">
        <x:v>Tp Hồ Chí Minh</x:v>
      </x:c>
      <x:c r="D2593" s="2" t="str">
        <x:v>Quận Bình Tân</x:v>
      </x:c>
      <x:c r="E2593" s="2" t="str">
        <x:v>land</x:v>
      </x:c>
      <x:c r="F2593" s="2" t="str">
        <x:v>sale_assumed</x:v>
      </x:c>
      <x:c r="G2593" s="11" t="n">
        <x:v>934</x:v>
      </x:c>
      <x:c r="H2593" s="12" t="n">
        <x:v>29500000000</x:v>
      </x:c>
      <x:c r="I2593" s="12" t="n">
        <x:v>31584582.44111349</x:v>
      </x:c>
      <x:c r="J2593" s="2" t="str">
        <x:v>total</x:v>
      </x:c>
      <x:c r="K2593" s="2" t="str">
        <x:v>top_level_price_embedded_area</x:v>
      </x:c>
      <x:c r="L2593" s="2" t="str">
        <x:v>area_recovered_from_price_text;property_type_inferred_from_title;transaction_assumed_sale_from_dataset_context</x:v>
      </x:c>
      <x:c r="M2593" s="10" t="n">
        <x:v>0</x:v>
      </x:c>
      <x:c r="N2593" s="10" t="n">
        <x:v>0</x:v>
      </x:c>
      <x:c r="O2593" s="2" t="str">
        <x:v>Tp Hồ Chí Minh|land</x:v>
      </x:c>
      <x:c r="P2593" s="10" t="n">
        <x:v>1</x:v>
      </x:c>
      <x:c r="Q2593" s="13" t="n">
        <x:f>IF(H2593="","",H2593/1000000000)</x:f>
        <x:v>29.5</x:v>
      </x:c>
      <x:c r="R2593" s="13" t="n">
        <x:f>IF(I2593="","",I2593/1000000)</x:f>
        <x:v>31.58458244111349</x:v>
      </x:c>
    </x:row>
    <x:row r="2594" ht="21" customHeight="1">
      <x:c r="A2594" s="10" t="n">
        <x:v>3619</x:v>
      </x:c>
      <x:c r="B2594" s="2" t="str">
        <x:v>f07bc31e00b76f35fdc8</x:v>
      </x:c>
      <x:c r="C2594" s="2" t="str">
        <x:v>Tp Hồ Chí Minh</x:v>
      </x:c>
      <x:c r="D2594" s="2" t="str">
        <x:v>Quận Tân Bình</x:v>
      </x:c>
      <x:c r="E2594" s="2" t="str">
        <x:v>other_unknown</x:v>
      </x:c>
      <x:c r="F2594" s="2" t="str">
        <x:v>sale_assumed</x:v>
      </x:c>
      <x:c r="G2594" s="11" t="n">
        <x:v>54</x:v>
      </x:c>
      <x:c r="H2594" s="12" t="n">
        <x:v>7100000000</x:v>
      </x:c>
      <x:c r="I2594" s="12" t="n">
        <x:v>131481481.48148148</x:v>
      </x:c>
      <x:c r="J2594" s="2" t="str">
        <x:v>total</x:v>
      </x:c>
      <x:c r="K2594" s="2" t="str">
        <x:v>top_level_price_embedded_area</x:v>
      </x:c>
      <x:c r="L2594" s="2" t="str">
        <x:v>area_recovered_from_price_text;property_type_inferred_from_title;transaction_assumed_sale_from_dataset_context;unknown_property_type</x:v>
      </x:c>
      <x:c r="M2594" s="10" t="n">
        <x:v>0</x:v>
      </x:c>
      <x:c r="N2594" s="10" t="n">
        <x:v>0</x:v>
      </x:c>
      <x:c r="O2594" s="2" t="str">
        <x:v>Tp Hồ Chí Minh|other_unknown</x:v>
      </x:c>
      <x:c r="P2594" s="10" t="n">
        <x:v>2</x:v>
      </x:c>
      <x:c r="Q2594" s="13" t="n">
        <x:f>IF(H2594="","",H2594/1000000000)</x:f>
        <x:v>7.1</x:v>
      </x:c>
      <x:c r="R2594" s="13" t="n">
        <x:f>IF(I2594="","",I2594/1000000)</x:f>
        <x:v>131.48148148148147</x:v>
      </x:c>
    </x:row>
    <x:row r="2595" ht="21" customHeight="1">
      <x:c r="A2595" s="10" t="n">
        <x:v>3620</x:v>
      </x:c>
      <x:c r="B2595" s="2" t="str">
        <x:v>1ba85ad01db5973a406f</x:v>
      </x:c>
      <x:c r="C2595" s="2" t="str">
        <x:v>Bình Dương</x:v>
      </x:c>
      <x:c r="D2595" s="2" t="str">
        <x:v>Thị xã Bến Cát</x:v>
      </x:c>
      <x:c r="E2595" s="2" t="str">
        <x:v>land</x:v>
      </x:c>
      <x:c r="F2595" s="2" t="str">
        <x:v>sale</x:v>
      </x:c>
      <x:c r="G2595" s="11" t="n">
        <x:v>115</x:v>
      </x:c>
      <x:c r="H2595" s="12" t="n">
        <x:v>800000000</x:v>
      </x:c>
      <x:c r="I2595" s="12" t="n">
        <x:v>6956521.739130435</x:v>
      </x:c>
      <x:c r="J2595" s="2" t="str">
        <x:v>total</x:v>
      </x:c>
      <x:c r="K2595" s="2" t="str">
        <x:v>top_level_area</x:v>
      </x:c>
      <x:c r="L2595" s="2" t="str">
        <x:v>property_type_inferred_from_title</x:v>
      </x:c>
      <x:c r="M2595" s="10" t="n">
        <x:v>0</x:v>
      </x:c>
      <x:c r="N2595" s="10" t="n">
        <x:v>0</x:v>
      </x:c>
      <x:c r="O2595" s="2" t="str">
        <x:v>Bình Dương|land</x:v>
      </x:c>
      <x:c r="P2595" s="10" t="n">
        <x:v>2</x:v>
      </x:c>
      <x:c r="Q2595" s="13" t="n">
        <x:f>IF(H2595="","",H2595/1000000000)</x:f>
        <x:v>0.8</x:v>
      </x:c>
      <x:c r="R2595" s="13" t="n">
        <x:f>IF(I2595="","",I2595/1000000)</x:f>
        <x:v>6.956521739130435</x:v>
      </x:c>
    </x:row>
    <x:row r="2596" ht="21" customHeight="1">
      <x:c r="A2596" s="10" t="n">
        <x:v>3621</x:v>
      </x:c>
      <x:c r="B2596" s="2" t="str">
        <x:v>31f68a373ee6aee20f6b</x:v>
      </x:c>
      <x:c r="C2596" s="2" t="str">
        <x:v>Cần Thơ</x:v>
      </x:c>
      <x:c r="D2596" s="2" t="str">
        <x:v>Quận Bình Thuỷ</x:v>
      </x:c>
      <x:c r="E2596" s="2" t="str">
        <x:v>land</x:v>
      </x:c>
      <x:c r="F2596" s="2" t="str">
        <x:v>sale_assumed</x:v>
      </x:c>
      <x:c r="G2596" s="11" t="n">
        <x:v>110</x:v>
      </x:c>
      <x:c r="H2596" s="12" t="n">
        <x:v>2530000000</x:v>
      </x:c>
      <x:c r="I2596" s="12" t="n">
        <x:v>23000000</x:v>
      </x:c>
      <x:c r="J2596" s="2" t="str">
        <x:v>total</x:v>
      </x:c>
      <x:c r="K2596" s="2" t="str">
        <x:v>top_level_area</x:v>
      </x:c>
      <x:c r="L2596" s="2" t="str">
        <x:v>property_type_inferred_from_title;transaction_assumed_sale_from_dataset_context</x:v>
      </x:c>
      <x:c r="M2596" s="10" t="n">
        <x:v>0</x:v>
      </x:c>
      <x:c r="N2596" s="10" t="n">
        <x:v>0</x:v>
      </x:c>
      <x:c r="O2596" s="2" t="str">
        <x:v>Cần Thơ|land</x:v>
      </x:c>
      <x:c r="P2596" s="10" t="n">
        <x:v>2</x:v>
      </x:c>
      <x:c r="Q2596" s="13" t="n">
        <x:f>IF(H2596="","",H2596/1000000000)</x:f>
        <x:v>2.53</x:v>
      </x:c>
      <x:c r="R2596" s="13" t="n">
        <x:f>IF(I2596="","",I2596/1000000)</x:f>
        <x:v>23</x:v>
      </x:c>
    </x:row>
    <x:row r="2597" ht="21" customHeight="1">
      <x:c r="A2597" s="10" t="n">
        <x:v>3622</x:v>
      </x:c>
      <x:c r="B2597" s="2" t="str">
        <x:v>ae6a65dd5e4eb8871ade</x:v>
      </x:c>
      <x:c r="C2597" s="2" t="str">
        <x:v>Đà Nẵng</x:v>
      </x:c>
      <x:c r="D2597" s="2" t="str">
        <x:v>Quận Liên Chiểu</x:v>
      </x:c>
      <x:c r="E2597" s="2" t="str">
        <x:v>house</x:v>
      </x:c>
      <x:c r="F2597" s="2" t="str">
        <x:v>sale_assumed</x:v>
      </x:c>
      <x:c r="G2597" s="11" t="n">
        <x:v>67</x:v>
      </x:c>
      <x:c r="H2597" s="12" t="n">
        <x:v>3150000000</x:v>
      </x:c>
      <x:c r="I2597" s="12" t="n">
        <x:v>47014925.37313433</x:v>
      </x:c>
      <x:c r="J2597" s="2" t="str">
        <x:v>total</x:v>
      </x:c>
      <x:c r="K2597" s="2" t="str">
        <x:v>top_level_area</x:v>
      </x:c>
      <x:c r="L2597" s="2" t="str">
        <x:v>property_type_inferred_from_title;transaction_assumed_sale_from_dataset_context</x:v>
      </x:c>
      <x:c r="M2597" s="10" t="n">
        <x:v>0</x:v>
      </x:c>
      <x:c r="N2597" s="10" t="n">
        <x:v>0</x:v>
      </x:c>
      <x:c r="O2597" s="2" t="str">
        <x:v>Đà Nẵng|house</x:v>
      </x:c>
      <x:c r="P2597" s="10" t="n">
        <x:v>2</x:v>
      </x:c>
      <x:c r="Q2597" s="13" t="n">
        <x:f>IF(H2597="","",H2597/1000000000)</x:f>
        <x:v>3.15</x:v>
      </x:c>
      <x:c r="R2597" s="13" t="n">
        <x:f>IF(I2597="","",I2597/1000000)</x:f>
        <x:v>47.01492537313433</x:v>
      </x:c>
    </x:row>
    <x:row r="2598" ht="21" customHeight="1">
      <x:c r="A2598" s="10" t="n">
        <x:v>3623</x:v>
      </x:c>
      <x:c r="B2598" s="2" t="str">
        <x:v>b0063c152e2d643544e9</x:v>
      </x:c>
      <x:c r="C2598" s="2" t="str">
        <x:v>Tp Hồ Chí Minh</x:v>
      </x:c>
      <x:c r="D2598" s="2" t="str">
        <x:v>Quận 9</x:v>
      </x:c>
      <x:c r="E2598" s="2" t="str">
        <x:v>land</x:v>
      </x:c>
      <x:c r="F2598" s="2" t="str">
        <x:v>sale</x:v>
      </x:c>
      <x:c r="G2598" s="11" t="n">
        <x:v>63.6</x:v>
      </x:c>
      <x:c r="H2598" s="12" t="n">
        <x:v>1560000000</x:v>
      </x:c>
      <x:c r="I2598" s="12" t="n">
        <x:v>24528301.88679245</x:v>
      </x:c>
      <x:c r="J2598" s="2" t="str">
        <x:v>total</x:v>
      </x:c>
      <x:c r="K2598" s="2" t="str">
        <x:v>top_level_area</x:v>
      </x:c>
      <x:c r="L2598" s="2" t="str">
        <x:v>property_type_inferred_from_title</x:v>
      </x:c>
      <x:c r="M2598" s="10" t="n">
        <x:v>0</x:v>
      </x:c>
      <x:c r="N2598" s="10" t="n">
        <x:v>0</x:v>
      </x:c>
      <x:c r="O2598" s="2" t="str">
        <x:v>Tp Hồ Chí Minh|land</x:v>
      </x:c>
      <x:c r="P2598" s="10" t="n">
        <x:v>2</x:v>
      </x:c>
      <x:c r="Q2598" s="13" t="n">
        <x:f>IF(H2598="","",H2598/1000000000)</x:f>
        <x:v>1.56</x:v>
      </x:c>
      <x:c r="R2598" s="13" t="n">
        <x:f>IF(I2598="","",I2598/1000000)</x:f>
        <x:v>24.528301886792452</x:v>
      </x:c>
    </x:row>
    <x:row r="2599" ht="21" customHeight="1">
      <x:c r="A2599" s="10" t="n">
        <x:v>3625</x:v>
      </x:c>
      <x:c r="B2599" s="2" t="str">
        <x:v>83ffa72a0f9777a11c59</x:v>
      </x:c>
      <x:c r="C2599" s="2" t="str">
        <x:v>Quảng Ngãi</x:v>
      </x:c>
      <x:c r="D2599" s="2" t="str">
        <x:v>Thành phố Quảng Ngãi</x:v>
      </x:c>
      <x:c r="E2599" s="2" t="str">
        <x:v>land</x:v>
      </x:c>
      <x:c r="F2599" s="2" t="str">
        <x:v>sale</x:v>
      </x:c>
      <x:c r="G2599" s="11" t="n">
        <x:v>100</x:v>
      </x:c>
      <x:c r="H2599" s="12" t="n">
        <x:v>1150000000</x:v>
      </x:c>
      <x:c r="I2599" s="12" t="n">
        <x:v>11500000</x:v>
      </x:c>
      <x:c r="J2599" s="2" t="str">
        <x:v>total</x:v>
      </x:c>
      <x:c r="K2599" s="2" t="str">
        <x:v>top_level_area</x:v>
      </x:c>
      <x:c r="L2599" s="2" t="str">
        <x:v>property_type_inferred_from_title</x:v>
      </x:c>
      <x:c r="M2599" s="10" t="n">
        <x:v>0</x:v>
      </x:c>
      <x:c r="N2599" s="10" t="n">
        <x:v>0</x:v>
      </x:c>
      <x:c r="O2599" s="2" t="str">
        <x:v>land</x:v>
      </x:c>
      <x:c r="P2599" s="10" t="n">
        <x:v>2</x:v>
      </x:c>
      <x:c r="Q2599" s="13" t="n">
        <x:f>IF(H2599="","",H2599/1000000000)</x:f>
        <x:v>1.15</x:v>
      </x:c>
      <x:c r="R2599" s="13" t="n">
        <x:f>IF(I2599="","",I2599/1000000)</x:f>
        <x:v>11.5</x:v>
      </x:c>
    </x:row>
    <x:row r="2600" ht="21" customHeight="1">
      <x:c r="A2600" s="10" t="n">
        <x:v>3626</x:v>
      </x:c>
      <x:c r="B2600" s="2" t="str">
        <x:v>f7dacdf20104517eaf51</x:v>
      </x:c>
      <x:c r="C2600" s="2" t="str">
        <x:v>Tp Hồ Chí Minh</x:v>
      </x:c>
      <x:c r="D2600" s="2" t="str">
        <x:v>Quận Bình Thạnh</x:v>
      </x:c>
      <x:c r="E2600" s="2" t="str">
        <x:v>house</x:v>
      </x:c>
      <x:c r="F2600" s="2" t="str">
        <x:v>sale</x:v>
      </x:c>
      <x:c r="G2600" s="11" t="n">
        <x:v>56</x:v>
      </x:c>
      <x:c r="H2600" s="12" t="n">
        <x:v>3240000000</x:v>
      </x:c>
      <x:c r="I2600" s="12" t="n">
        <x:v>57857142.85714286</x:v>
      </x:c>
      <x:c r="J2600" s="2" t="str">
        <x:v>total</x:v>
      </x:c>
      <x:c r="K2600" s="2" t="str">
        <x:v>top_level_area</x:v>
      </x:c>
      <x:c r="L2600" s="2" t="str">
        <x:v>property_type_inferred_from_title</x:v>
      </x:c>
      <x:c r="M2600" s="10" t="n">
        <x:v>0</x:v>
      </x:c>
      <x:c r="N2600" s="10" t="n">
        <x:v>0</x:v>
      </x:c>
      <x:c r="O2600" s="2" t="str">
        <x:v>Tp Hồ Chí Minh|house</x:v>
      </x:c>
      <x:c r="P2600" s="10" t="n">
        <x:v>2</x:v>
      </x:c>
      <x:c r="Q2600" s="13" t="n">
        <x:f>IF(H2600="","",H2600/1000000000)</x:f>
        <x:v>3.24</x:v>
      </x:c>
      <x:c r="R2600" s="13" t="n">
        <x:f>IF(I2600="","",I2600/1000000)</x:f>
        <x:v>57.85714285714286</x:v>
      </x:c>
    </x:row>
    <x:row r="2601" ht="21" customHeight="1">
      <x:c r="A2601" s="10" t="n">
        <x:v>3627</x:v>
      </x:c>
      <x:c r="B2601" s="2" t="str">
        <x:v>9837515624183433ce34</x:v>
      </x:c>
      <x:c r="C2601" s="2" t="str">
        <x:v>Quảng Ngãi</x:v>
      </x:c>
      <x:c r="D2601" s="2" t="str">
        <x:v>Thành phố Quảng Ngãi</x:v>
      </x:c>
      <x:c r="E2601" s="2" t="str">
        <x:v>land</x:v>
      </x:c>
      <x:c r="F2601" s="2" t="str">
        <x:v>sale_assumed</x:v>
      </x:c>
      <x:c r="G2601" s="11" t="n">
        <x:v>60</x:v>
      </x:c>
      <x:c r="H2601" s="12" t="n">
        <x:v>860000000</x:v>
      </x:c>
      <x:c r="I2601" s="12" t="n">
        <x:v>14333333.333333334</x:v>
      </x:c>
      <x:c r="J2601" s="2" t="str">
        <x:v>total</x:v>
      </x:c>
      <x:c r="K2601" s="2" t="str">
        <x:v>top_level_area</x:v>
      </x:c>
      <x:c r="L2601" s="2" t="str">
        <x:v>property_type_inferred_from_title;transaction_assumed_sale_from_dataset_context</x:v>
      </x:c>
      <x:c r="M2601" s="10" t="n">
        <x:v>0</x:v>
      </x:c>
      <x:c r="N2601" s="10" t="n">
        <x:v>0</x:v>
      </x:c>
      <x:c r="O2601" s="2" t="str">
        <x:v>land</x:v>
      </x:c>
      <x:c r="P2601" s="10" t="n">
        <x:v>2</x:v>
      </x:c>
      <x:c r="Q2601" s="13" t="n">
        <x:f>IF(H2601="","",H2601/1000000000)</x:f>
        <x:v>0.86</x:v>
      </x:c>
      <x:c r="R2601" s="13" t="n">
        <x:f>IF(I2601="","",I2601/1000000)</x:f>
        <x:v>14.333333333333334</x:v>
      </x:c>
    </x:row>
    <x:row r="2602" ht="21" customHeight="1">
      <x:c r="A2602" s="10" t="n">
        <x:v>3628</x:v>
      </x:c>
      <x:c r="B2602" s="2" t="str">
        <x:v>efead6dcd4a76ebfd277</x:v>
      </x:c>
      <x:c r="C2602" s="2" t="str">
        <x:v>Tp Hồ Chí Minh</x:v>
      </x:c>
      <x:c r="D2602" s="2" t="str">
        <x:v>Quận 9</x:v>
      </x:c>
      <x:c r="E2602" s="2" t="str">
        <x:v>land</x:v>
      </x:c>
      <x:c r="F2602" s="2" t="str">
        <x:v>sale</x:v>
      </x:c>
      <x:c r="G2602" s="11" t="n">
        <x:v>88</x:v>
      </x:c>
      <x:c r="H2602" s="12" t="n">
        <x:v>1950000000</x:v>
      </x:c>
      <x:c r="I2602" s="12" t="n">
        <x:v>22159090.90909091</x:v>
      </x:c>
      <x:c r="J2602" s="2" t="str">
        <x:v>total</x:v>
      </x:c>
      <x:c r="K2602" s="2" t="str">
        <x:v>top_level_area</x:v>
      </x:c>
      <x:c r="L2602" s="2" t="str">
        <x:v>property_type_inferred_from_title</x:v>
      </x:c>
      <x:c r="M2602" s="10" t="n">
        <x:v>0</x:v>
      </x:c>
      <x:c r="N2602" s="10" t="n">
        <x:v>0</x:v>
      </x:c>
      <x:c r="O2602" s="2" t="str">
        <x:v>Tp Hồ Chí Minh|land</x:v>
      </x:c>
      <x:c r="P2602" s="10" t="n">
        <x:v>2</x:v>
      </x:c>
      <x:c r="Q2602" s="13" t="n">
        <x:f>IF(H2602="","",H2602/1000000000)</x:f>
        <x:v>1.95</x:v>
      </x:c>
      <x:c r="R2602" s="13" t="n">
        <x:f>IF(I2602="","",I2602/1000000)</x:f>
        <x:v>22.15909090909091</x:v>
      </x:c>
    </x:row>
    <x:row r="2603" ht="21" customHeight="1">
      <x:c r="A2603" s="10" t="n">
        <x:v>3629</x:v>
      </x:c>
      <x:c r="B2603" s="2" t="str">
        <x:v>b4fbb8335d111a7143e3</x:v>
      </x:c>
      <x:c r="C2603" s="2" t="str">
        <x:v>Tp Hồ Chí Minh</x:v>
      </x:c>
      <x:c r="D2603" s="2" t="str">
        <x:v>Quận Bình Thạnh</x:v>
      </x:c>
      <x:c r="E2603" s="2" t="str">
        <x:v>house</x:v>
      </x:c>
      <x:c r="F2603" s="2" t="str">
        <x:v>sale</x:v>
      </x:c>
      <x:c r="G2603" s="11" t="n">
        <x:v>52</x:v>
      </x:c>
      <x:c r="H2603" s="12" t="n">
        <x:v>1780000000</x:v>
      </x:c>
      <x:c r="I2603" s="12" t="n">
        <x:v>34230769.23076923</x:v>
      </x:c>
      <x:c r="J2603" s="2" t="str">
        <x:v>total</x:v>
      </x:c>
      <x:c r="K2603" s="2" t="str">
        <x:v>top_level_area</x:v>
      </x:c>
      <x:c r="L2603" s="2" t="str">
        <x:v>property_type_inferred_from_title</x:v>
      </x:c>
      <x:c r="M2603" s="10" t="n">
        <x:v>0</x:v>
      </x:c>
      <x:c r="N2603" s="10" t="n">
        <x:v>0</x:v>
      </x:c>
      <x:c r="O2603" s="2" t="str">
        <x:v>Tp Hồ Chí Minh|house</x:v>
      </x:c>
      <x:c r="P2603" s="10" t="n">
        <x:v>2</x:v>
      </x:c>
      <x:c r="Q2603" s="13" t="n">
        <x:f>IF(H2603="","",H2603/1000000000)</x:f>
        <x:v>1.78</x:v>
      </x:c>
      <x:c r="R2603" s="13" t="n">
        <x:f>IF(I2603="","",I2603/1000000)</x:f>
        <x:v>34.23076923076923</x:v>
      </x:c>
    </x:row>
    <x:row r="2604" ht="21" customHeight="1">
      <x:c r="A2604" s="10" t="n">
        <x:v>3630</x:v>
      </x:c>
      <x:c r="B2604" s="2" t="str">
        <x:v>c04a2a7a4ec6729e6ac2</x:v>
      </x:c>
      <x:c r="C2604" s="2" t="str">
        <x:v>Vĩnh Long</x:v>
      </x:c>
      <x:c r="D2604" s="2" t="str">
        <x:v>Huyện Tam Bình</x:v>
      </x:c>
      <x:c r="E2604" s="2" t="str">
        <x:v>house</x:v>
      </x:c>
      <x:c r="F2604" s="2" t="str">
        <x:v>sale</x:v>
      </x:c>
      <x:c r="G2604" s="11" t="n">
        <x:v>153.8</x:v>
      </x:c>
      <x:c r="H2604" s="12" t="n">
        <x:v>1600000000</x:v>
      </x:c>
      <x:c r="I2604" s="12" t="n">
        <x:v>10403120.936280884</x:v>
      </x:c>
      <x:c r="J2604" s="2" t="str">
        <x:v>total</x:v>
      </x:c>
      <x:c r="K2604" s="2" t="str">
        <x:v>top_level_area</x:v>
      </x:c>
      <x:c r="L2604" s="2" t="str">
        <x:v>property_type_inferred_from_title</x:v>
      </x:c>
      <x:c r="M2604" s="10" t="n">
        <x:v>0</x:v>
      </x:c>
      <x:c r="N2604" s="10" t="n">
        <x:v>0</x:v>
      </x:c>
      <x:c r="O2604" s="2" t="str">
        <x:v>house</x:v>
      </x:c>
      <x:c r="P2604" s="10" t="n">
        <x:v>2</x:v>
      </x:c>
      <x:c r="Q2604" s="13" t="n">
        <x:f>IF(H2604="","",H2604/1000000000)</x:f>
        <x:v>1.6</x:v>
      </x:c>
      <x:c r="R2604" s="13" t="n">
        <x:f>IF(I2604="","",I2604/1000000)</x:f>
        <x:v>10.403120936280883</x:v>
      </x:c>
    </x:row>
    <x:row r="2605" ht="21" customHeight="1">
      <x:c r="A2605" s="10" t="n">
        <x:v>3631</x:v>
      </x:c>
      <x:c r="B2605" s="2" t="str">
        <x:v>8235917c87476ce7029a</x:v>
      </x:c>
      <x:c r="C2605" s="2" t="str">
        <x:v>Hà Nội</x:v>
      </x:c>
      <x:c r="D2605" s="2" t="str">
        <x:v>Quận Thanh Xuân</x:v>
      </x:c>
      <x:c r="E2605" s="2" t="str">
        <x:v>house</x:v>
      </x:c>
      <x:c r="F2605" s="2" t="str">
        <x:v>sale</x:v>
      </x:c>
      <x:c r="G2605" s="11" t="n">
        <x:v>34</x:v>
      </x:c>
      <x:c r="H2605" s="12" t="n">
        <x:v>4500000000</x:v>
      </x:c>
      <x:c r="I2605" s="12" t="n">
        <x:v>132352941.1764706</x:v>
      </x:c>
      <x:c r="J2605" s="2" t="str">
        <x:v>total</x:v>
      </x:c>
      <x:c r="K2605" s="2" t="str">
        <x:v>top_level_area</x:v>
      </x:c>
      <x:c r="L2605" s="2" t="str">
        <x:v>property_type_inferred_from_title</x:v>
      </x:c>
      <x:c r="M2605" s="10" t="n">
        <x:v>0</x:v>
      </x:c>
      <x:c r="N2605" s="10" t="n">
        <x:v>0</x:v>
      </x:c>
      <x:c r="O2605" s="2" t="str">
        <x:v>Hà Nội|house</x:v>
      </x:c>
      <x:c r="P2605" s="10" t="n">
        <x:v>2</x:v>
      </x:c>
      <x:c r="Q2605" s="13" t="n">
        <x:f>IF(H2605="","",H2605/1000000000)</x:f>
        <x:v>4.5</x:v>
      </x:c>
      <x:c r="R2605" s="13" t="n">
        <x:f>IF(I2605="","",I2605/1000000)</x:f>
        <x:v>132.35294117647058</x:v>
      </x:c>
    </x:row>
    <x:row r="2606" ht="21" customHeight="1">
      <x:c r="A2606" s="10" t="n">
        <x:v>3632</x:v>
      </x:c>
      <x:c r="B2606" s="2" t="str">
        <x:v>459b6041f385fe65af67</x:v>
      </x:c>
      <x:c r="C2606" s="2" t="str">
        <x:v>Tp Hồ Chí Minh</x:v>
      </x:c>
      <x:c r="D2606" s="2" t="str">
        <x:v>Quận 9</x:v>
      </x:c>
      <x:c r="E2606" s="2" t="str">
        <x:v>house</x:v>
      </x:c>
      <x:c r="F2606" s="2" t="str">
        <x:v>sale</x:v>
      </x:c>
      <x:c r="G2606" s="11" t="n">
        <x:v>305</x:v>
      </x:c>
      <x:c r="H2606" s="12" t="n">
        <x:v>602000000</x:v>
      </x:c>
      <x:c r="I2606" s="12" t="n">
        <x:v>1973770.4918032787</x:v>
      </x:c>
      <x:c r="J2606" s="2" t="str">
        <x:v>total</x:v>
      </x:c>
      <x:c r="K2606" s="2" t="str">
        <x:v>top_level_area</x:v>
      </x:c>
      <x:c r="L2606" s="2" t="str">
        <x:v>property_type_inferred_from_title</x:v>
      </x:c>
      <x:c r="M2606" s="10" t="n">
        <x:v>0</x:v>
      </x:c>
      <x:c r="N2606" s="10" t="n">
        <x:v>0</x:v>
      </x:c>
      <x:c r="O2606" s="2" t="str">
        <x:v>Tp Hồ Chí Minh|house</x:v>
      </x:c>
      <x:c r="P2606" s="10" t="n">
        <x:v>1</x:v>
      </x:c>
      <x:c r="Q2606" s="13" t="n">
        <x:f>IF(H2606="","",H2606/1000000000)</x:f>
        <x:v>0.602</x:v>
      </x:c>
      <x:c r="R2606" s="13" t="n">
        <x:f>IF(I2606="","",I2606/1000000)</x:f>
        <x:v>1.9737704918032786</x:v>
      </x:c>
    </x:row>
    <x:row r="2607" ht="21" customHeight="1">
      <x:c r="A2607" s="10" t="n">
        <x:v>3633</x:v>
      </x:c>
      <x:c r="B2607" s="2" t="str">
        <x:v>34dc39bf6dbb8e5be225</x:v>
      </x:c>
      <x:c r="C2607" s="2" t="str">
        <x:v>Thanh Hóa</x:v>
      </x:c>
      <x:c r="D2607" s="2" t="str">
        <x:v>Huyện Quảng Xương</x:v>
      </x:c>
      <x:c r="E2607" s="2" t="str">
        <x:v>other_unknown</x:v>
      </x:c>
      <x:c r="F2607" s="2" t="str">
        <x:v>sale_assumed</x:v>
      </x:c>
      <x:c r="G2607" s="11" t="n">
        <x:v>120</x:v>
      </x:c>
      <x:c r="H2607" s="12" t="n">
        <x:v>285000000</x:v>
      </x:c>
      <x:c r="I2607" s="12" t="n">
        <x:v>2375000</x:v>
      </x:c>
      <x:c r="J2607" s="2" t="str">
        <x:v>total</x:v>
      </x:c>
      <x:c r="K2607" s="2" t="str">
        <x:v>top_level_area</x:v>
      </x:c>
      <x:c r="L2607" s="2" t="str">
        <x:v>property_type_inferred_from_title;transaction_assumed_sale_from_dataset_context;unknown_property_type</x:v>
      </x:c>
      <x:c r="M2607" s="10" t="n">
        <x:v>0</x:v>
      </x:c>
      <x:c r="N2607" s="10" t="n">
        <x:v>0</x:v>
      </x:c>
      <x:c r="O2607" s="2" t="str">
        <x:v>other_unknown</x:v>
      </x:c>
      <x:c r="P2607" s="10" t="n">
        <x:v>1</x:v>
      </x:c>
      <x:c r="Q2607" s="13" t="n">
        <x:f>IF(H2607="","",H2607/1000000000)</x:f>
        <x:v>0.285</x:v>
      </x:c>
      <x:c r="R2607" s="13" t="n">
        <x:f>IF(I2607="","",I2607/1000000)</x:f>
        <x:v>2.375</x:v>
      </x:c>
    </x:row>
    <x:row r="2608" ht="21" customHeight="1">
      <x:c r="A2608" s="10" t="n">
        <x:v>3634</x:v>
      </x:c>
      <x:c r="B2608" s="2" t="str">
        <x:v>c4599575d197cc2f1019</x:v>
      </x:c>
      <x:c r="C2608" s="2" t="str">
        <x:v>Đồng Nai</x:v>
      </x:c>
      <x:c r="D2608" s="2" t="str">
        <x:v>Thành phố Biên Hòa</x:v>
      </x:c>
      <x:c r="E2608" s="2" t="str">
        <x:v>land</x:v>
      </x:c>
      <x:c r="F2608" s="2" t="str">
        <x:v>sale_assumed</x:v>
      </x:c>
      <x:c r="G2608" s="11" t="n">
        <x:v>74</x:v>
      </x:c>
      <x:c r="H2608" s="12" t="n">
        <x:v>1600000000</x:v>
      </x:c>
      <x:c r="I2608" s="12" t="n">
        <x:v>21621621.62162162</x:v>
      </x:c>
      <x:c r="J2608" s="2" t="str">
        <x:v>total</x:v>
      </x:c>
      <x:c r="K2608" s="2" t="str">
        <x:v>top_level_area</x:v>
      </x:c>
      <x:c r="L2608" s="2" t="str">
        <x:v>property_type_inferred_from_title;transaction_assumed_sale_from_dataset_context</x:v>
      </x:c>
      <x:c r="M2608" s="10" t="n">
        <x:v>0</x:v>
      </x:c>
      <x:c r="N2608" s="10" t="n">
        <x:v>1</x:v>
      </x:c>
      <x:c r="O2608" s="2" t="str">
        <x:v>Đồng Nai|land</x:v>
      </x:c>
      <x:c r="P2608" s="10" t="n">
        <x:v>-1</x:v>
      </x:c>
      <x:c r="Q2608" s="13" t="n">
        <x:f>IF(H2608="","",H2608/1000000000)</x:f>
        <x:v>1.6</x:v>
      </x:c>
      <x:c r="R2608" s="13" t="n">
        <x:f>IF(I2608="","",I2608/1000000)</x:f>
        <x:v>21.62162162162162</x:v>
      </x:c>
    </x:row>
    <x:row r="2609" ht="21" customHeight="1">
      <x:c r="A2609" s="10" t="n">
        <x:v>3635</x:v>
      </x:c>
      <x:c r="B2609" s="2" t="str">
        <x:v>83a553ce3686ae12de89</x:v>
      </x:c>
      <x:c r="C2609" s="2" t="str">
        <x:v>Tp Hồ Chí Minh</x:v>
      </x:c>
      <x:c r="D2609" s="2" t="str">
        <x:v>Quận Thủ Đức</x:v>
      </x:c>
      <x:c r="E2609" s="2" t="str">
        <x:v>house</x:v>
      </x:c>
      <x:c r="F2609" s="2" t="str">
        <x:v>sale</x:v>
      </x:c>
      <x:c r="G2609" s="11" t="n">
        <x:v>156.7</x:v>
      </x:c>
      <x:c r="H2609" s="12" t="n">
        <x:v>4500000000</x:v>
      </x:c>
      <x:c r="I2609" s="12" t="n">
        <x:v>28717294.192724954</x:v>
      </x:c>
      <x:c r="J2609" s="2" t="str">
        <x:v>total</x:v>
      </x:c>
      <x:c r="K2609" s="2" t="str">
        <x:v>top_level_price_embedded_area</x:v>
      </x:c>
      <x:c r="L2609" s="2" t="str">
        <x:v>area_recovered_from_price_text;property_type_inferred_from_title</x:v>
      </x:c>
      <x:c r="M2609" s="10" t="n">
        <x:v>0</x:v>
      </x:c>
      <x:c r="N2609" s="10" t="n">
        <x:v>0</x:v>
      </x:c>
      <x:c r="O2609" s="2" t="str">
        <x:v>Tp Hồ Chí Minh|house</x:v>
      </x:c>
      <x:c r="P2609" s="10" t="n">
        <x:v>2</x:v>
      </x:c>
      <x:c r="Q2609" s="13" t="n">
        <x:f>IF(H2609="","",H2609/1000000000)</x:f>
        <x:v>4.5</x:v>
      </x:c>
      <x:c r="R2609" s="13" t="n">
        <x:f>IF(I2609="","",I2609/1000000)</x:f>
        <x:v>28.717294192724953</x:v>
      </x:c>
    </x:row>
    <x:row r="2610" ht="21" customHeight="1">
      <x:c r="A2610" s="10" t="n">
        <x:v>3636</x:v>
      </x:c>
      <x:c r="B2610" s="2" t="str">
        <x:v>354519fc202abe811b25</x:v>
      </x:c>
      <x:c r="C2610" s="2" t="str">
        <x:v>Tp Hồ Chí Minh</x:v>
      </x:c>
      <x:c r="D2610" s="2" t="str">
        <x:v>Quận 9</x:v>
      </x:c>
      <x:c r="E2610" s="2" t="str">
        <x:v>land</x:v>
      </x:c>
      <x:c r="F2610" s="2" t="str">
        <x:v>sale</x:v>
      </x:c>
      <x:c r="G2610" s="11" t="n">
        <x:v>90</x:v>
      </x:c>
      <x:c r="H2610" s="12" t="n">
        <x:v>1760000000</x:v>
      </x:c>
      <x:c r="I2610" s="12" t="n">
        <x:v>19555555.555555556</x:v>
      </x:c>
      <x:c r="J2610" s="2" t="str">
        <x:v>total</x:v>
      </x:c>
      <x:c r="K2610" s="2" t="str">
        <x:v>top_level_price_embedded_area</x:v>
      </x:c>
      <x:c r="L2610" s="2" t="str">
        <x:v>area_recovered_from_price_text;property_type_inferred_from_title</x:v>
      </x:c>
      <x:c r="M2610" s="10" t="n">
        <x:v>0</x:v>
      </x:c>
      <x:c r="N2610" s="10" t="n">
        <x:v>0</x:v>
      </x:c>
      <x:c r="O2610" s="2" t="str">
        <x:v>Tp Hồ Chí Minh|land</x:v>
      </x:c>
      <x:c r="P2610" s="10" t="n">
        <x:v>2</x:v>
      </x:c>
      <x:c r="Q2610" s="13" t="n">
        <x:f>IF(H2610="","",H2610/1000000000)</x:f>
        <x:v>1.76</x:v>
      </x:c>
      <x:c r="R2610" s="13" t="n">
        <x:f>IF(I2610="","",I2610/1000000)</x:f>
        <x:v>19.555555555555557</x:v>
      </x:c>
    </x:row>
    <x:row r="2611" ht="21" customHeight="1">
      <x:c r="A2611" s="10" t="n">
        <x:v>3641</x:v>
      </x:c>
      <x:c r="B2611" s="2" t="str">
        <x:v>e5ba1f00c2c93d249eb8</x:v>
      </x:c>
      <x:c r="C2611" s="2" t="str">
        <x:v>An Giang</x:v>
      </x:c>
      <x:c r="D2611" s="2" t="str">
        <x:v>Thành phố Long Xuyên</x:v>
      </x:c>
      <x:c r="E2611" s="2" t="str">
        <x:v>land</x:v>
      </x:c>
      <x:c r="F2611" s="2" t="str">
        <x:v>sale_assumed</x:v>
      </x:c>
      <x:c r="G2611" s="11" t="n">
        <x:v>42</x:v>
      </x:c>
      <x:c r="H2611" s="12" t="n">
        <x:v>610000000</x:v>
      </x:c>
      <x:c r="I2611" s="12" t="n">
        <x:v>14523809.523809524</x:v>
      </x:c>
      <x:c r="J2611" s="2" t="str">
        <x:v>total</x:v>
      </x:c>
      <x:c r="K2611" s="2" t="str">
        <x:v>top_level_area</x:v>
      </x:c>
      <x:c r="L2611" s="2" t="str">
        <x:v>property_type_inferred_from_title;transaction_assumed_sale_from_dataset_context</x:v>
      </x:c>
      <x:c r="M2611" s="10" t="n">
        <x:v>0</x:v>
      </x:c>
      <x:c r="N2611" s="10" t="n">
        <x:v>0</x:v>
      </x:c>
      <x:c r="O2611" s="2" t="str">
        <x:v>land</x:v>
      </x:c>
      <x:c r="P2611" s="10" t="n">
        <x:v>2</x:v>
      </x:c>
      <x:c r="Q2611" s="13" t="n">
        <x:f>IF(H2611="","",H2611/1000000000)</x:f>
        <x:v>0.61</x:v>
      </x:c>
      <x:c r="R2611" s="13" t="n">
        <x:f>IF(I2611="","",I2611/1000000)</x:f>
        <x:v>14.523809523809524</x:v>
      </x:c>
    </x:row>
    <x:row r="2612" ht="21" customHeight="1">
      <x:c r="A2612" s="10" t="n">
        <x:v>3642</x:v>
      </x:c>
      <x:c r="B2612" s="2" t="str">
        <x:v>6e24392755b8d2231d30</x:v>
      </x:c>
      <x:c r="C2612" s="2" t="str">
        <x:v>Tp Hồ Chí Minh</x:v>
      </x:c>
      <x:c r="D2612" s="2" t="str">
        <x:v>Quận 9</x:v>
      </x:c>
      <x:c r="E2612" s="2" t="str">
        <x:v>apartment</x:v>
      </x:c>
      <x:c r="F2612" s="2" t="str">
        <x:v>sale_assumed</x:v>
      </x:c>
      <x:c r="G2612" s="11" t="n">
        <x:v>70.17</x:v>
      </x:c>
      <x:c r="H2612" s="12" t="n">
        <x:v>4320000000</x:v>
      </x:c>
      <x:c r="I2612" s="12" t="n">
        <x:v>61564771.26977341</x:v>
      </x:c>
      <x:c r="J2612" s="2" t="str">
        <x:v>total</x:v>
      </x:c>
      <x:c r="K2612" s="2" t="str">
        <x:v>top_level_price_embedded_area</x:v>
      </x:c>
      <x:c r="L2612" s="2" t="str">
        <x:v>area_recovered_from_price_text;property_type_inferred_from_title;transaction_assumed_sale_from_dataset_context</x:v>
      </x:c>
      <x:c r="M2612" s="10" t="n">
        <x:v>0</x:v>
      </x:c>
      <x:c r="N2612" s="10" t="n">
        <x:v>0</x:v>
      </x:c>
      <x:c r="O2612" s="2" t="str">
        <x:v>Tp Hồ Chí Minh|apartment</x:v>
      </x:c>
      <x:c r="P2612" s="10" t="n">
        <x:v>2</x:v>
      </x:c>
      <x:c r="Q2612" s="13" t="n">
        <x:f>IF(H2612="","",H2612/1000000000)</x:f>
        <x:v>4.32</x:v>
      </x:c>
      <x:c r="R2612" s="13" t="n">
        <x:f>IF(I2612="","",I2612/1000000)</x:f>
        <x:v>61.56477126977341</x:v>
      </x:c>
    </x:row>
    <x:row r="2613" ht="21" customHeight="1">
      <x:c r="A2613" s="10" t="n">
        <x:v>3643</x:v>
      </x:c>
      <x:c r="B2613" s="2" t="str">
        <x:v>776080f94cad59f5eb81</x:v>
      </x:c>
      <x:c r="C2613" s="2" t="str">
        <x:v>Tp Hồ Chí Minh</x:v>
      </x:c>
      <x:c r="D2613" s="2" t="str">
        <x:v>Quận Bình Thạnh</x:v>
      </x:c>
      <x:c r="E2613" s="2" t="str">
        <x:v>house</x:v>
      </x:c>
      <x:c r="F2613" s="2" t="str">
        <x:v>sale</x:v>
      </x:c>
      <x:c r="G2613" s="11" t="n">
        <x:v>35</x:v>
      </x:c>
      <x:c r="H2613" s="12" t="n">
        <x:v>1480000000</x:v>
      </x:c>
      <x:c r="I2613" s="12" t="n">
        <x:v>42285714.28571428</x:v>
      </x:c>
      <x:c r="J2613" s="2" t="str">
        <x:v>total</x:v>
      </x:c>
      <x:c r="K2613" s="2" t="str">
        <x:v>top_level_area</x:v>
      </x:c>
      <x:c r="L2613" s="2" t="str">
        <x:v>property_type_inferred_from_title</x:v>
      </x:c>
      <x:c r="M2613" s="10" t="n">
        <x:v>0</x:v>
      </x:c>
      <x:c r="N2613" s="10" t="n">
        <x:v>0</x:v>
      </x:c>
      <x:c r="O2613" s="2" t="str">
        <x:v>Tp Hồ Chí Minh|house</x:v>
      </x:c>
      <x:c r="P2613" s="10" t="n">
        <x:v>2</x:v>
      </x:c>
      <x:c r="Q2613" s="13" t="n">
        <x:f>IF(H2613="","",H2613/1000000000)</x:f>
        <x:v>1.48</x:v>
      </x:c>
      <x:c r="R2613" s="13" t="n">
        <x:f>IF(I2613="","",I2613/1000000)</x:f>
        <x:v>42.285714285714285</x:v>
      </x:c>
    </x:row>
    <x:row r="2614" ht="21" customHeight="1">
      <x:c r="A2614" s="10" t="n">
        <x:v>3644</x:v>
      </x:c>
      <x:c r="B2614" s="2" t="str">
        <x:v>9727acdc224cf0557f86</x:v>
      </x:c>
      <x:c r="C2614" s="2" t="str">
        <x:v>Đồng Nai</x:v>
      </x:c>
      <x:c r="D2614" s="2" t="str">
        <x:v>Huyện Long Thành</x:v>
      </x:c>
      <x:c r="E2614" s="2" t="str">
        <x:v>land</x:v>
      </x:c>
      <x:c r="F2614" s="2" t="str">
        <x:v>sale_assumed</x:v>
      </x:c>
      <x:c r="G2614" s="11" t="n">
        <x:v>100</x:v>
      </x:c>
      <x:c r="H2614" s="12" t="n">
        <x:v>1550000000</x:v>
      </x:c>
      <x:c r="I2614" s="12" t="n">
        <x:v>15500000</x:v>
      </x:c>
      <x:c r="J2614" s="2" t="str">
        <x:v>total</x:v>
      </x:c>
      <x:c r="K2614" s="2" t="str">
        <x:v>top_level_area</x:v>
      </x:c>
      <x:c r="L2614" s="2" t="str">
        <x:v>property_type_inferred_from_title;transaction_assumed_sale_from_dataset_context</x:v>
      </x:c>
      <x:c r="M2614" s="10" t="n">
        <x:v>0</x:v>
      </x:c>
      <x:c r="N2614" s="10" t="n">
        <x:v>0</x:v>
      </x:c>
      <x:c r="O2614" s="2" t="str">
        <x:v>Đồng Nai|land</x:v>
      </x:c>
      <x:c r="P2614" s="10" t="n">
        <x:v>2</x:v>
      </x:c>
      <x:c r="Q2614" s="13" t="n">
        <x:f>IF(H2614="","",H2614/1000000000)</x:f>
        <x:v>1.55</x:v>
      </x:c>
      <x:c r="R2614" s="13" t="n">
        <x:f>IF(I2614="","",I2614/1000000)</x:f>
        <x:v>15.5</x:v>
      </x:c>
    </x:row>
    <x:row r="2615" ht="21" customHeight="1">
      <x:c r="A2615" s="10" t="n">
        <x:v>3645</x:v>
      </x:c>
      <x:c r="B2615" s="2" t="str">
        <x:v>39f46f9c02c85a6af74b</x:v>
      </x:c>
      <x:c r="C2615" s="2" t="str">
        <x:v>Bình Dương</x:v>
      </x:c>
      <x:c r="D2615" s="2" t="str">
        <x:v>Thị xã Dĩ An</x:v>
      </x:c>
      <x:c r="E2615" s="2" t="str">
        <x:v>house</x:v>
      </x:c>
      <x:c r="F2615" s="2" t="str">
        <x:v>sale_assumed</x:v>
      </x:c>
      <x:c r="G2615" s="11" t="n">
        <x:v>100</x:v>
      </x:c>
      <x:c r="H2615" s="12" t="n">
        <x:v>2150000000</x:v>
      </x:c>
      <x:c r="I2615" s="12" t="n">
        <x:v>21500000</x:v>
      </x:c>
      <x:c r="J2615" s="2" t="str">
        <x:v>total</x:v>
      </x:c>
      <x:c r="K2615" s="2" t="str">
        <x:v>top_level_area</x:v>
      </x:c>
      <x:c r="L2615" s="2" t="str">
        <x:v>property_type_inferred_from_title;transaction_assumed_sale_from_dataset_context</x:v>
      </x:c>
      <x:c r="M2615" s="10" t="n">
        <x:v>0</x:v>
      </x:c>
      <x:c r="N2615" s="10" t="n">
        <x:v>0</x:v>
      </x:c>
      <x:c r="O2615" s="2" t="str">
        <x:v>Bình Dương|house</x:v>
      </x:c>
      <x:c r="P2615" s="10" t="n">
        <x:v>2</x:v>
      </x:c>
      <x:c r="Q2615" s="13" t="n">
        <x:f>IF(H2615="","",H2615/1000000000)</x:f>
        <x:v>2.15</x:v>
      </x:c>
      <x:c r="R2615" s="13" t="n">
        <x:f>IF(I2615="","",I2615/1000000)</x:f>
        <x:v>21.5</x:v>
      </x:c>
    </x:row>
    <x:row r="2616" ht="21" customHeight="1">
      <x:c r="A2616" s="10" t="n">
        <x:v>3646</x:v>
      </x:c>
      <x:c r="B2616" s="2" t="str">
        <x:v>5fb733b41953f6f11741</x:v>
      </x:c>
      <x:c r="C2616" s="2" t="str">
        <x:v>Tp Hồ Chí Minh</x:v>
      </x:c>
      <x:c r="D2616" s="2" t="str">
        <x:v>Quận 9</x:v>
      </x:c>
      <x:c r="E2616" s="2" t="str">
        <x:v>land</x:v>
      </x:c>
      <x:c r="F2616" s="2" t="str">
        <x:v>sale</x:v>
      </x:c>
      <x:c r="G2616" s="11" t="n">
        <x:v>98.4</x:v>
      </x:c>
      <x:c r="H2616" s="12" t="n">
        <x:v>1800000000</x:v>
      </x:c>
      <x:c r="I2616" s="12" t="n">
        <x:v>18292682.926829267</x:v>
      </x:c>
      <x:c r="J2616" s="2" t="str">
        <x:v>total</x:v>
      </x:c>
      <x:c r="K2616" s="2" t="str">
        <x:v>top_level_area</x:v>
      </x:c>
      <x:c r="L2616" s="2" t="str">
        <x:v>property_type_inferred_from_title</x:v>
      </x:c>
      <x:c r="M2616" s="10" t="n">
        <x:v>0</x:v>
      </x:c>
      <x:c r="N2616" s="10" t="n">
        <x:v>0</x:v>
      </x:c>
      <x:c r="O2616" s="2" t="str">
        <x:v>Tp Hồ Chí Minh|land</x:v>
      </x:c>
      <x:c r="P2616" s="10" t="n">
        <x:v>2</x:v>
      </x:c>
      <x:c r="Q2616" s="13" t="n">
        <x:f>IF(H2616="","",H2616/1000000000)</x:f>
        <x:v>1.8</x:v>
      </x:c>
      <x:c r="R2616" s="13" t="n">
        <x:f>IF(I2616="","",I2616/1000000)</x:f>
        <x:v>18.29268292682927</x:v>
      </x:c>
    </x:row>
    <x:row r="2617" ht="21" customHeight="1">
      <x:c r="A2617" s="10" t="n">
        <x:v>3647</x:v>
      </x:c>
      <x:c r="B2617" s="2" t="str">
        <x:v>3a0a838fd616b54a5781</x:v>
      </x:c>
      <x:c r="C2617" s="2" t="str">
        <x:v>Hà Nội</x:v>
      </x:c>
      <x:c r="D2617" s="2" t="str">
        <x:v>Quận Hà Đông</x:v>
      </x:c>
      <x:c r="E2617" s="2" t="str">
        <x:v>land</x:v>
      </x:c>
      <x:c r="F2617" s="2" t="str">
        <x:v>sale_assumed</x:v>
      </x:c>
      <x:c r="G2617" s="11" t="n">
        <x:v>30</x:v>
      </x:c>
      <x:c r="H2617" s="12" t="n">
        <x:v>1300000000</x:v>
      </x:c>
      <x:c r="I2617" s="12" t="n">
        <x:v>43333333.333333336</x:v>
      </x:c>
      <x:c r="J2617" s="2" t="str">
        <x:v>total</x:v>
      </x:c>
      <x:c r="K2617" s="2" t="str">
        <x:v>top_level_area</x:v>
      </x:c>
      <x:c r="L2617" s="2" t="str">
        <x:v>property_type_inferred_from_title;transaction_assumed_sale_from_dataset_context</x:v>
      </x:c>
      <x:c r="M2617" s="10" t="n">
        <x:v>0</x:v>
      </x:c>
      <x:c r="N2617" s="10" t="n">
        <x:v>0</x:v>
      </x:c>
      <x:c r="O2617" s="2" t="str">
        <x:v>Hà Nội|land</x:v>
      </x:c>
      <x:c r="P2617" s="10" t="n">
        <x:v>2</x:v>
      </x:c>
      <x:c r="Q2617" s="13" t="n">
        <x:f>IF(H2617="","",H2617/1000000000)</x:f>
        <x:v>1.3</x:v>
      </x:c>
      <x:c r="R2617" s="13" t="n">
        <x:f>IF(I2617="","",I2617/1000000)</x:f>
        <x:v>43.333333333333336</x:v>
      </x:c>
    </x:row>
    <x:row r="2618" ht="21" customHeight="1">
      <x:c r="A2618" s="10" t="n">
        <x:v>3648</x:v>
      </x:c>
      <x:c r="B2618" s="2" t="str">
        <x:v>f6b1526442f3ed8de1c7</x:v>
      </x:c>
      <x:c r="C2618" s="2" t="str">
        <x:v>Tp Hồ Chí Minh</x:v>
      </x:c>
      <x:c r="D2618" s="2" t="str">
        <x:v>Quận 7</x:v>
      </x:c>
      <x:c r="E2618" s="2" t="str">
        <x:v>house</x:v>
      </x:c>
      <x:c r="F2618" s="2" t="str">
        <x:v>sale</x:v>
      </x:c>
      <x:c r="G2618" s="11" t="n">
        <x:v>72</x:v>
      </x:c>
      <x:c r="H2618" s="12" t="n">
        <x:v>15500000</x:v>
      </x:c>
      <x:c r="I2618" s="12" t="n">
        <x:v>215277.77777777778</x:v>
      </x:c>
      <x:c r="J2618" s="2" t="str">
        <x:v>total</x:v>
      </x:c>
      <x:c r="K2618" s="2" t="str">
        <x:v>top_level_area</x:v>
      </x:c>
      <x:c r="L2618" s="2" t="str">
        <x:v>property_type_inferred_from_title</x:v>
      </x:c>
      <x:c r="M2618" s="10" t="n">
        <x:v>0</x:v>
      </x:c>
      <x:c r="N2618" s="10" t="n">
        <x:v>0</x:v>
      </x:c>
      <x:c r="O2618" s="2" t="str">
        <x:v>Tp Hồ Chí Minh|house</x:v>
      </x:c>
      <x:c r="P2618" s="10" t="n">
        <x:v>1</x:v>
      </x:c>
      <x:c r="Q2618" s="13" t="n">
        <x:f>IF(H2618="","",H2618/1000000000)</x:f>
        <x:v>0.0155</x:v>
      </x:c>
      <x:c r="R2618" s="13" t="n">
        <x:f>IF(I2618="","",I2618/1000000)</x:f>
        <x:v>0.2152777777777778</x:v>
      </x:c>
    </x:row>
    <x:row r="2619" ht="21" customHeight="1">
      <x:c r="A2619" s="10" t="n">
        <x:v>3649</x:v>
      </x:c>
      <x:c r="B2619" s="2" t="str">
        <x:v>bc5eeafcdf1be235c6df</x:v>
      </x:c>
      <x:c r="C2619" s="2" t="str">
        <x:v>Tp Hồ Chí Minh</x:v>
      </x:c>
      <x:c r="D2619" s="2" t="str">
        <x:v>Huyện Nhà Bè</x:v>
      </x:c>
      <x:c r="E2619" s="2" t="str">
        <x:v>house</x:v>
      </x:c>
      <x:c r="F2619" s="2" t="str">
        <x:v>sale_assumed</x:v>
      </x:c>
      <x:c r="G2619" s="11" t="n">
        <x:v>50</x:v>
      </x:c>
      <x:c r="H2619" s="12" t="n">
        <x:v>1950000000</x:v>
      </x:c>
      <x:c r="I2619" s="12" t="n">
        <x:v>39000000</x:v>
      </x:c>
      <x:c r="J2619" s="2" t="str">
        <x:v>total</x:v>
      </x:c>
      <x:c r="K2619" s="2" t="str">
        <x:v>top_level_area</x:v>
      </x:c>
      <x:c r="L2619" s="2" t="str">
        <x:v>property_type_inferred_from_title;transaction_assumed_sale_from_dataset_context</x:v>
      </x:c>
      <x:c r="M2619" s="10" t="n">
        <x:v>0</x:v>
      </x:c>
      <x:c r="N2619" s="10" t="n">
        <x:v>0</x:v>
      </x:c>
      <x:c r="O2619" s="2" t="str">
        <x:v>Tp Hồ Chí Minh|house</x:v>
      </x:c>
      <x:c r="P2619" s="10" t="n">
        <x:v>2</x:v>
      </x:c>
      <x:c r="Q2619" s="13" t="n">
        <x:f>IF(H2619="","",H2619/1000000000)</x:f>
        <x:v>1.95</x:v>
      </x:c>
      <x:c r="R2619" s="13" t="n">
        <x:f>IF(I2619="","",I2619/1000000)</x:f>
        <x:v>39</x:v>
      </x:c>
    </x:row>
    <x:row r="2620" ht="21" customHeight="1">
      <x:c r="A2620" s="10" t="n">
        <x:v>3650</x:v>
      </x:c>
      <x:c r="B2620" s="2" t="str">
        <x:v>851d44bc608d2722b287</x:v>
      </x:c>
      <x:c r="C2620" s="2" t="str">
        <x:v>Tp Hồ Chí Minh</x:v>
      </x:c>
      <x:c r="D2620" s="2" t="str">
        <x:v>Quận Thủ Đức</x:v>
      </x:c>
      <x:c r="E2620" s="2" t="str">
        <x:v>house</x:v>
      </x:c>
      <x:c r="F2620" s="2" t="str">
        <x:v>sale</x:v>
      </x:c>
      <x:c r="G2620" s="11" t="n">
        <x:v>210</x:v>
      </x:c>
      <x:c r="H2620" s="12" t="n">
        <x:v>1110000000</x:v>
      </x:c>
      <x:c r="I2620" s="12" t="n">
        <x:v>5285714.285714285</x:v>
      </x:c>
      <x:c r="J2620" s="2" t="str">
        <x:v>total</x:v>
      </x:c>
      <x:c r="K2620" s="2" t="str">
        <x:v>top_level_area</x:v>
      </x:c>
      <x:c r="L2620" s="2" t="str">
        <x:v>property_type_inferred_from_title</x:v>
      </x:c>
      <x:c r="M2620" s="10" t="n">
        <x:v>0</x:v>
      </x:c>
      <x:c r="N2620" s="10" t="n">
        <x:v>0</x:v>
      </x:c>
      <x:c r="O2620" s="2" t="str">
        <x:v>Tp Hồ Chí Minh|house</x:v>
      </x:c>
      <x:c r="P2620" s="10" t="n">
        <x:v>1</x:v>
      </x:c>
      <x:c r="Q2620" s="13" t="n">
        <x:f>IF(H2620="","",H2620/1000000000)</x:f>
        <x:v>1.11</x:v>
      </x:c>
      <x:c r="R2620" s="13" t="n">
        <x:f>IF(I2620="","",I2620/1000000)</x:f>
        <x:v>5.285714285714286</x:v>
      </x:c>
    </x:row>
    <x:row r="2621" ht="21" customHeight="1">
      <x:c r="A2621" s="10" t="n">
        <x:v>3651</x:v>
      </x:c>
      <x:c r="B2621" s="2" t="str">
        <x:v>825355a43609c749070e</x:v>
      </x:c>
      <x:c r="C2621" s="2" t="str">
        <x:v>Tp Hồ Chí Minh</x:v>
      </x:c>
      <x:c r="D2621" s="2" t="str">
        <x:v>Quận Bình Thạnh</x:v>
      </x:c>
      <x:c r="E2621" s="2" t="str">
        <x:v>house</x:v>
      </x:c>
      <x:c r="F2621" s="2" t="str">
        <x:v>sale</x:v>
      </x:c>
      <x:c r="G2621" s="11" t="n">
        <x:v>35</x:v>
      </x:c>
      <x:c r="H2621" s="12" t="n">
        <x:v>1190000000</x:v>
      </x:c>
      <x:c r="I2621" s="12" t="n">
        <x:v>34000000</x:v>
      </x:c>
      <x:c r="J2621" s="2" t="str">
        <x:v>total</x:v>
      </x:c>
      <x:c r="K2621" s="2" t="str">
        <x:v>top_level_price_embedded_area</x:v>
      </x:c>
      <x:c r="L2621" s="2" t="str">
        <x:v>area_recovered_from_price_text;property_type_inferred_from_title</x:v>
      </x:c>
      <x:c r="M2621" s="10" t="n">
        <x:v>0</x:v>
      </x:c>
      <x:c r="N2621" s="10" t="n">
        <x:v>0</x:v>
      </x:c>
      <x:c r="O2621" s="2" t="str">
        <x:v>Tp Hồ Chí Minh|house</x:v>
      </x:c>
      <x:c r="P2621" s="10" t="n">
        <x:v>2</x:v>
      </x:c>
      <x:c r="Q2621" s="13" t="n">
        <x:f>IF(H2621="","",H2621/1000000000)</x:f>
        <x:v>1.19</x:v>
      </x:c>
      <x:c r="R2621" s="13" t="n">
        <x:f>IF(I2621="","",I2621/1000000)</x:f>
        <x:v>34</x:v>
      </x:c>
    </x:row>
    <x:row r="2622" ht="21" customHeight="1">
      <x:c r="A2622" s="10" t="n">
        <x:v>3652</x:v>
      </x:c>
      <x:c r="B2622" s="2" t="str">
        <x:v>5e7a7929452aafb2c461</x:v>
      </x:c>
      <x:c r="C2622" s="2" t="str">
        <x:v>Hà Nội</x:v>
      </x:c>
      <x:c r="D2622" s="2" t="str">
        <x:v>Quận Hai Bà Trưng</x:v>
      </x:c>
      <x:c r="E2622" s="2" t="str">
        <x:v>house</x:v>
      </x:c>
      <x:c r="F2622" s="2" t="str">
        <x:v>sale_assumed</x:v>
      </x:c>
      <x:c r="G2622" s="11" t="n">
        <x:v>42</x:v>
      </x:c>
      <x:c r="H2622" s="12" t="n">
        <x:v>3450000000</x:v>
      </x:c>
      <x:c r="I2622" s="12" t="n">
        <x:v>82142857.14285715</x:v>
      </x:c>
      <x:c r="J2622" s="2" t="str">
        <x:v>total</x:v>
      </x:c>
      <x:c r="K2622" s="2" t="str">
        <x:v>top_level_area</x:v>
      </x:c>
      <x:c r="L2622" s="2" t="str">
        <x:v>property_type_inferred_from_title;transaction_assumed_sale_from_dataset_context</x:v>
      </x:c>
      <x:c r="M2622" s="10" t="n">
        <x:v>0</x:v>
      </x:c>
      <x:c r="N2622" s="10" t="n">
        <x:v>0</x:v>
      </x:c>
      <x:c r="O2622" s="2" t="str">
        <x:v>Hà Nội|house</x:v>
      </x:c>
      <x:c r="P2622" s="10" t="n">
        <x:v>2</x:v>
      </x:c>
      <x:c r="Q2622" s="13" t="n">
        <x:f>IF(H2622="","",H2622/1000000000)</x:f>
        <x:v>3.45</x:v>
      </x:c>
      <x:c r="R2622" s="13" t="n">
        <x:f>IF(I2622="","",I2622/1000000)</x:f>
        <x:v>82.14285714285715</x:v>
      </x:c>
    </x:row>
    <x:row r="2623" ht="21" customHeight="1">
      <x:c r="A2623" s="10" t="n">
        <x:v>3653</x:v>
      </x:c>
      <x:c r="B2623" s="2" t="str">
        <x:v>53f52906e5a5ea0d99e2</x:v>
      </x:c>
      <x:c r="C2623" s="2" t="str">
        <x:v>Tp Hồ Chí Minh</x:v>
      </x:c>
      <x:c r="D2623" s="2" t="str">
        <x:v>Quận 7</x:v>
      </x:c>
      <x:c r="E2623" s="2" t="str">
        <x:v>other_unknown</x:v>
      </x:c>
      <x:c r="F2623" s="2" t="str">
        <x:v>sale_assumed</x:v>
      </x:c>
      <x:c r="G2623" s="11" t="n">
        <x:v>29</x:v>
      </x:c>
      <x:c r="H2623" s="12" t="n">
        <x:v>1050000000</x:v>
      </x:c>
      <x:c r="I2623" s="12" t="n">
        <x:v>36206896.551724136</x:v>
      </x:c>
      <x:c r="J2623" s="2" t="str">
        <x:v>total</x:v>
      </x:c>
      <x:c r="K2623" s="2" t="str">
        <x:v>top_level_area</x:v>
      </x:c>
      <x:c r="L2623" s="2" t="str">
        <x:v>property_type_inferred_from_title;transaction_assumed_sale_from_dataset_context;unknown_property_type</x:v>
      </x:c>
      <x:c r="M2623" s="10" t="n">
        <x:v>0</x:v>
      </x:c>
      <x:c r="N2623" s="10" t="n">
        <x:v>0</x:v>
      </x:c>
      <x:c r="O2623" s="2" t="str">
        <x:v>Tp Hồ Chí Minh|other_unknown</x:v>
      </x:c>
      <x:c r="P2623" s="10" t="n">
        <x:v>2</x:v>
      </x:c>
      <x:c r="Q2623" s="13" t="n">
        <x:f>IF(H2623="","",H2623/1000000000)</x:f>
        <x:v>1.05</x:v>
      </x:c>
      <x:c r="R2623" s="13" t="n">
        <x:f>IF(I2623="","",I2623/1000000)</x:f>
        <x:v>36.206896551724135</x:v>
      </x:c>
    </x:row>
    <x:row r="2624" ht="21" customHeight="1">
      <x:c r="A2624" s="10" t="n">
        <x:v>3654</x:v>
      </x:c>
      <x:c r="B2624" s="2" t="str">
        <x:v>b1eab4be984f58863d09</x:v>
      </x:c>
      <x:c r="C2624" s="2" t="str">
        <x:v>Tp Hồ Chí Minh</x:v>
      </x:c>
      <x:c r="D2624" s="2" t="str">
        <x:v>Quận 9</x:v>
      </x:c>
      <x:c r="E2624" s="2" t="str">
        <x:v>land</x:v>
      </x:c>
      <x:c r="F2624" s="2" t="str">
        <x:v>sale</x:v>
      </x:c>
      <x:c r="G2624" s="11" t="n">
        <x:v>119.2</x:v>
      </x:c>
      <x:c r="H2624" s="12" t="n">
        <x:v>1820000000</x:v>
      </x:c>
      <x:c r="I2624" s="12" t="n">
        <x:v>15268456.375838926</x:v>
      </x:c>
      <x:c r="J2624" s="2" t="str">
        <x:v>total</x:v>
      </x:c>
      <x:c r="K2624" s="2" t="str">
        <x:v>top_level_price_embedded_area</x:v>
      </x:c>
      <x:c r="L2624" s="2" t="str">
        <x:v>area_recovered_from_price_text;property_type_inferred_from_title</x:v>
      </x:c>
      <x:c r="M2624" s="10" t="n">
        <x:v>0</x:v>
      </x:c>
      <x:c r="N2624" s="10" t="n">
        <x:v>0</x:v>
      </x:c>
      <x:c r="O2624" s="2" t="str">
        <x:v>Tp Hồ Chí Minh|land</x:v>
      </x:c>
      <x:c r="P2624" s="10" t="n">
        <x:v>2</x:v>
      </x:c>
      <x:c r="Q2624" s="13" t="n">
        <x:f>IF(H2624="","",H2624/1000000000)</x:f>
        <x:v>1.82</x:v>
      </x:c>
      <x:c r="R2624" s="13" t="n">
        <x:f>IF(I2624="","",I2624/1000000)</x:f>
        <x:v>15.268456375838927</x:v>
      </x:c>
    </x:row>
    <x:row r="2625" ht="21" customHeight="1">
      <x:c r="A2625" s="10" t="n">
        <x:v>3655</x:v>
      </x:c>
      <x:c r="B2625" s="2" t="str">
        <x:v>6cefe448983601580e32</x:v>
      </x:c>
      <x:c r="C2625" s="2" t="str">
        <x:v>Tp Hồ Chí Minh</x:v>
      </x:c>
      <x:c r="D2625" s="2" t="str">
        <x:v>Quận Bình Thạnh</x:v>
      </x:c>
      <x:c r="E2625" s="2" t="str">
        <x:v>house</x:v>
      </x:c>
      <x:c r="F2625" s="2" t="str">
        <x:v>sale</x:v>
      </x:c>
      <x:c r="G2625" s="11" t="n">
        <x:v>49</x:v>
      </x:c>
      <x:c r="H2625" s="12" t="n">
        <x:v>5500000000</x:v>
      </x:c>
      <x:c r="I2625" s="12" t="n">
        <x:v>112244897.95918368</x:v>
      </x:c>
      <x:c r="J2625" s="2" t="str">
        <x:v>total</x:v>
      </x:c>
      <x:c r="K2625" s="2" t="str">
        <x:v>top_level_price_embedded_area</x:v>
      </x:c>
      <x:c r="L2625" s="2" t="str">
        <x:v>area_recovered_from_price_text;property_type_inferred_from_title</x:v>
      </x:c>
      <x:c r="M2625" s="10" t="n">
        <x:v>0</x:v>
      </x:c>
      <x:c r="N2625" s="10" t="n">
        <x:v>0</x:v>
      </x:c>
      <x:c r="O2625" s="2" t="str">
        <x:v>Tp Hồ Chí Minh|house</x:v>
      </x:c>
      <x:c r="P2625" s="10" t="n">
        <x:v>2</x:v>
      </x:c>
      <x:c r="Q2625" s="13" t="n">
        <x:f>IF(H2625="","",H2625/1000000000)</x:f>
        <x:v>5.5</x:v>
      </x:c>
      <x:c r="R2625" s="13" t="n">
        <x:f>IF(I2625="","",I2625/1000000)</x:f>
        <x:v>112.24489795918367</x:v>
      </x:c>
    </x:row>
    <x:row r="2626" ht="21" customHeight="1">
      <x:c r="A2626" s="10" t="n">
        <x:v>3656</x:v>
      </x:c>
      <x:c r="B2626" s="2" t="str">
        <x:v>f654a66cf2cc3bb7076a</x:v>
      </x:c>
      <x:c r="C2626" s="2" t="str">
        <x:v>Tp Hồ Chí Minh</x:v>
      </x:c>
      <x:c r="D2626" s="2" t="str">
        <x:v>Quận Bình Thạnh</x:v>
      </x:c>
      <x:c r="E2626" s="2" t="str">
        <x:v>house</x:v>
      </x:c>
      <x:c r="F2626" s="2" t="str">
        <x:v>sale</x:v>
      </x:c>
      <x:c r="G2626" s="11" t="n">
        <x:v>40</x:v>
      </x:c>
      <x:c r="H2626" s="12" t="n">
        <x:v>1590000000</x:v>
      </x:c>
      <x:c r="I2626" s="12" t="n">
        <x:v>39750000</x:v>
      </x:c>
      <x:c r="J2626" s="2" t="str">
        <x:v>total</x:v>
      </x:c>
      <x:c r="K2626" s="2" t="str">
        <x:v>top_level_area</x:v>
      </x:c>
      <x:c r="L2626" s="2" t="str">
        <x:v>property_type_inferred_from_title</x:v>
      </x:c>
      <x:c r="M2626" s="10" t="n">
        <x:v>0</x:v>
      </x:c>
      <x:c r="N2626" s="10" t="n">
        <x:v>0</x:v>
      </x:c>
      <x:c r="O2626" s="2" t="str">
        <x:v>Tp Hồ Chí Minh|house</x:v>
      </x:c>
      <x:c r="P2626" s="10" t="n">
        <x:v>2</x:v>
      </x:c>
      <x:c r="Q2626" s="13" t="n">
        <x:f>IF(H2626="","",H2626/1000000000)</x:f>
        <x:v>1.59</x:v>
      </x:c>
      <x:c r="R2626" s="13" t="n">
        <x:f>IF(I2626="","",I2626/1000000)</x:f>
        <x:v>39.75</x:v>
      </x:c>
    </x:row>
    <x:row r="2627" ht="21" customHeight="1">
      <x:c r="A2627" s="10" t="n">
        <x:v>3658</x:v>
      </x:c>
      <x:c r="B2627" s="2" t="str">
        <x:v>c4774172e1b09eefb70c</x:v>
      </x:c>
      <x:c r="C2627" s="2" t="str">
        <x:v>Tp Hồ Chí Minh</x:v>
      </x:c>
      <x:c r="D2627" s="2" t="str">
        <x:v>Quận 10</x:v>
      </x:c>
      <x:c r="E2627" s="2" t="str">
        <x:v>other_unknown</x:v>
      </x:c>
      <x:c r="F2627" s="2" t="str">
        <x:v>sale_assumed</x:v>
      </x:c>
      <x:c r="G2627" s="11" t="n">
        <x:v>23</x:v>
      </x:c>
      <x:c r="H2627" s="12" t="n">
        <x:v>4700000000</x:v>
      </x:c>
      <x:c r="I2627" s="12" t="n">
        <x:v>204347826.08695653</x:v>
      </x:c>
      <x:c r="J2627" s="2" t="str">
        <x:v>total</x:v>
      </x:c>
      <x:c r="K2627" s="2" t="str">
        <x:v>top_level_area</x:v>
      </x:c>
      <x:c r="L2627" s="2" t="str">
        <x:v>property_type_inferred_from_title;transaction_assumed_sale_from_dataset_context;unknown_property_type</x:v>
      </x:c>
      <x:c r="M2627" s="10" t="n">
        <x:v>1</x:v>
      </x:c>
      <x:c r="N2627" s="10" t="n">
        <x:v>1</x:v>
      </x:c>
      <x:c r="O2627" s="2" t="str">
        <x:v>Tp Hồ Chí Minh|other_unknown</x:v>
      </x:c>
      <x:c r="P2627" s="10" t="n">
        <x:v>-1</x:v>
      </x:c>
      <x:c r="Q2627" s="13" t="n">
        <x:f>IF(H2627="","",H2627/1000000000)</x:f>
        <x:v>4.7</x:v>
      </x:c>
      <x:c r="R2627" s="13" t="n">
        <x:f>IF(I2627="","",I2627/1000000)</x:f>
        <x:v>204.34782608695653</x:v>
      </x:c>
    </x:row>
    <x:row r="2628" ht="21" customHeight="1">
      <x:c r="A2628" s="10" t="n">
        <x:v>3659</x:v>
      </x:c>
      <x:c r="B2628" s="2" t="str">
        <x:v>b118af4cd345933f8352</x:v>
      </x:c>
      <x:c r="C2628" s="2" t="str">
        <x:v>Tp Hồ Chí Minh</x:v>
      </x:c>
      <x:c r="D2628" s="2" t="str">
        <x:v>Quận 8</x:v>
      </x:c>
      <x:c r="E2628" s="2" t="str">
        <x:v>house</x:v>
      </x:c>
      <x:c r="F2628" s="2" t="str">
        <x:v>sale</x:v>
      </x:c>
      <x:c r="G2628" s="11" t="n">
        <x:v>49.2</x:v>
      </x:c>
      <x:c r="H2628" s="12" t="n">
        <x:v>4800000000</x:v>
      </x:c>
      <x:c r="I2628" s="12" t="n">
        <x:v>97560975.6097561</x:v>
      </x:c>
      <x:c r="J2628" s="2" t="str">
        <x:v>total</x:v>
      </x:c>
      <x:c r="K2628" s="2" t="str">
        <x:v>top_level_area</x:v>
      </x:c>
      <x:c r="L2628" s="2" t="str">
        <x:v>property_type_inferred_from_title</x:v>
      </x:c>
      <x:c r="M2628" s="10" t="n">
        <x:v>0</x:v>
      </x:c>
      <x:c r="N2628" s="10" t="n">
        <x:v>0</x:v>
      </x:c>
      <x:c r="O2628" s="2" t="str">
        <x:v>Tp Hồ Chí Minh|house</x:v>
      </x:c>
      <x:c r="P2628" s="10" t="n">
        <x:v>2</x:v>
      </x:c>
      <x:c r="Q2628" s="13" t="n">
        <x:f>IF(H2628="","",H2628/1000000000)</x:f>
        <x:v>4.8</x:v>
      </x:c>
      <x:c r="R2628" s="13" t="n">
        <x:f>IF(I2628="","",I2628/1000000)</x:f>
        <x:v>97.5609756097561</x:v>
      </x:c>
    </x:row>
    <x:row r="2629" ht="21" customHeight="1">
      <x:c r="A2629" s="10" t="n">
        <x:v>3660</x:v>
      </x:c>
      <x:c r="B2629" s="2" t="str">
        <x:v>7ee0dd1e249728326966</x:v>
      </x:c>
      <x:c r="C2629" s="2" t="str">
        <x:v>Tp Hồ Chí Minh</x:v>
      </x:c>
      <x:c r="D2629" s="2" t="str">
        <x:v>Quận 2</x:v>
      </x:c>
      <x:c r="E2629" s="2" t="str">
        <x:v>land</x:v>
      </x:c>
      <x:c r="F2629" s="2" t="str">
        <x:v>sale</x:v>
      </x:c>
      <x:c r="G2629" s="11" t="n">
        <x:v>101</x:v>
      </x:c>
      <x:c r="H2629" s="12" t="n">
        <x:v>5100000000</x:v>
      </x:c>
      <x:c r="I2629" s="12" t="n">
        <x:v>50495049.50495049</x:v>
      </x:c>
      <x:c r="J2629" s="2" t="str">
        <x:v>total</x:v>
      </x:c>
      <x:c r="K2629" s="2" t="str">
        <x:v>top_level_area</x:v>
      </x:c>
      <x:c r="L2629" s="2" t="str">
        <x:v>property_type_inferred_from_title</x:v>
      </x:c>
      <x:c r="M2629" s="10" t="n">
        <x:v>0</x:v>
      </x:c>
      <x:c r="N2629" s="10" t="n">
        <x:v>0</x:v>
      </x:c>
      <x:c r="O2629" s="2" t="str">
        <x:v>Tp Hồ Chí Minh|land</x:v>
      </x:c>
      <x:c r="P2629" s="10" t="n">
        <x:v>2</x:v>
      </x:c>
      <x:c r="Q2629" s="13" t="n">
        <x:f>IF(H2629="","",H2629/1000000000)</x:f>
        <x:v>5.1</x:v>
      </x:c>
      <x:c r="R2629" s="13" t="n">
        <x:f>IF(I2629="","",I2629/1000000)</x:f>
        <x:v>50.495049504950494</x:v>
      </x:c>
    </x:row>
    <x:row r="2630" ht="21" customHeight="1">
      <x:c r="A2630" s="10" t="n">
        <x:v>3663</x:v>
      </x:c>
      <x:c r="B2630" s="2" t="str">
        <x:v>6c7d6cd1966e29ea8485</x:v>
      </x:c>
      <x:c r="C2630" s="2" t="str">
        <x:v>Tp Hồ Chí Minh</x:v>
      </x:c>
      <x:c r="D2630" s="2" t="str">
        <x:v>Quận 2</x:v>
      </x:c>
      <x:c r="E2630" s="2" t="str">
        <x:v>house</x:v>
      </x:c>
      <x:c r="F2630" s="2" t="str">
        <x:v>sale</x:v>
      </x:c>
      <x:c r="G2630" s="11" t="n">
        <x:v>100</x:v>
      </x:c>
      <x:c r="H2630" s="12" t="n">
        <x:v>10000000000</x:v>
      </x:c>
      <x:c r="I2630" s="12" t="n">
        <x:v>100000000</x:v>
      </x:c>
      <x:c r="J2630" s="2" t="str">
        <x:v>total</x:v>
      </x:c>
      <x:c r="K2630" s="2" t="str">
        <x:v>top_level_area</x:v>
      </x:c>
      <x:c r="L2630" s="2" t="str">
        <x:v>property_type_inferred_from_title</x:v>
      </x:c>
      <x:c r="M2630" s="10" t="n">
        <x:v>0</x:v>
      </x:c>
      <x:c r="N2630" s="10" t="n">
        <x:v>0</x:v>
      </x:c>
      <x:c r="O2630" s="2" t="str">
        <x:v>Tp Hồ Chí Minh|house</x:v>
      </x:c>
      <x:c r="P2630" s="10" t="n">
        <x:v>2</x:v>
      </x:c>
      <x:c r="Q2630" s="13" t="n">
        <x:f>IF(H2630="","",H2630/1000000000)</x:f>
        <x:v>10</x:v>
      </x:c>
      <x:c r="R2630" s="13" t="n">
        <x:f>IF(I2630="","",I2630/1000000)</x:f>
        <x:v>100</x:v>
      </x:c>
    </x:row>
    <x:row r="2631" ht="21" customHeight="1">
      <x:c r="A2631" s="10" t="n">
        <x:v>3664</x:v>
      </x:c>
      <x:c r="B2631" s="2" t="str">
        <x:v>8beb12bf1673823bc901</x:v>
      </x:c>
      <x:c r="C2631" s="2" t="str">
        <x:v>Hà Nội</x:v>
      </x:c>
      <x:c r="D2631" s="2" t="str">
        <x:v>Huyện Hoài Đức</x:v>
      </x:c>
      <x:c r="E2631" s="2" t="str">
        <x:v>land</x:v>
      </x:c>
      <x:c r="F2631" s="2" t="str">
        <x:v>sale_assumed</x:v>
      </x:c>
      <x:c r="G2631" s="11" t="n">
        <x:v>40</x:v>
      </x:c>
      <x:c r="H2631" s="12" t="n">
        <x:v>1700000000</x:v>
      </x:c>
      <x:c r="I2631" s="12" t="n">
        <x:v>42500000</x:v>
      </x:c>
      <x:c r="J2631" s="2" t="str">
        <x:v>total</x:v>
      </x:c>
      <x:c r="K2631" s="2" t="str">
        <x:v>top_level_area</x:v>
      </x:c>
      <x:c r="L2631" s="2" t="str">
        <x:v>property_type_inferred_from_title;transaction_assumed_sale_from_dataset_context</x:v>
      </x:c>
      <x:c r="M2631" s="10" t="n">
        <x:v>0</x:v>
      </x:c>
      <x:c r="N2631" s="10" t="n">
        <x:v>0</x:v>
      </x:c>
      <x:c r="O2631" s="2" t="str">
        <x:v>Hà Nội|land</x:v>
      </x:c>
      <x:c r="P2631" s="10" t="n">
        <x:v>2</x:v>
      </x:c>
      <x:c r="Q2631" s="13" t="n">
        <x:f>IF(H2631="","",H2631/1000000000)</x:f>
        <x:v>1.7</x:v>
      </x:c>
      <x:c r="R2631" s="13" t="n">
        <x:f>IF(I2631="","",I2631/1000000)</x:f>
        <x:v>42.5</x:v>
      </x:c>
    </x:row>
    <x:row r="2632" ht="21" customHeight="1">
      <x:c r="A2632" s="10" t="n">
        <x:v>3665</x:v>
      </x:c>
      <x:c r="B2632" s="2" t="str">
        <x:v>bca54154a687e08b9592</x:v>
      </x:c>
      <x:c r="C2632" s="2" t="str">
        <x:v>Tp Hồ Chí Minh</x:v>
      </x:c>
      <x:c r="D2632" s="2" t="str">
        <x:v>Quận 2</x:v>
      </x:c>
      <x:c r="E2632" s="2" t="str">
        <x:v>apartment</x:v>
      </x:c>
      <x:c r="F2632" s="2" t="str">
        <x:v>sale_assumed</x:v>
      </x:c>
      <x:c r="G2632" s="11" t="n">
        <x:v>84.95</x:v>
      </x:c>
      <x:c r="H2632" s="12" t="n">
        <x:v>3800000000</x:v>
      </x:c>
      <x:c r="I2632" s="12" t="n">
        <x:v>44732195.40906415</x:v>
      </x:c>
      <x:c r="J2632" s="2" t="str">
        <x:v>total</x:v>
      </x:c>
      <x:c r="K2632" s="2" t="str">
        <x:v>top_level_area</x:v>
      </x:c>
      <x:c r="L2632" s="2" t="str">
        <x:v>property_type_inferred_from_title;transaction_assumed_sale_from_dataset_context</x:v>
      </x:c>
      <x:c r="M2632" s="10" t="n">
        <x:v>0</x:v>
      </x:c>
      <x:c r="N2632" s="10" t="n">
        <x:v>0</x:v>
      </x:c>
      <x:c r="O2632" s="2" t="str">
        <x:v>Tp Hồ Chí Minh|apartment</x:v>
      </x:c>
      <x:c r="P2632" s="10" t="n">
        <x:v>2</x:v>
      </x:c>
      <x:c r="Q2632" s="13" t="n">
        <x:f>IF(H2632="","",H2632/1000000000)</x:f>
        <x:v>3.8</x:v>
      </x:c>
      <x:c r="R2632" s="13" t="n">
        <x:f>IF(I2632="","",I2632/1000000)</x:f>
        <x:v>44.732195409064154</x:v>
      </x:c>
    </x:row>
    <x:row r="2633" ht="21" customHeight="1">
      <x:c r="A2633" s="10" t="n">
        <x:v>3666</x:v>
      </x:c>
      <x:c r="B2633" s="2" t="str">
        <x:v>9c3244e4aa6f4fbd511b</x:v>
      </x:c>
      <x:c r="C2633" s="2" t="str">
        <x:v>Tp Hồ Chí Minh</x:v>
      </x:c>
      <x:c r="D2633" s="2" t="str">
        <x:v>Quận Bình Thạnh</x:v>
      </x:c>
      <x:c r="E2633" s="2" t="str">
        <x:v>house</x:v>
      </x:c>
      <x:c r="F2633" s="2" t="str">
        <x:v>sale_assumed</x:v>
      </x:c>
      <x:c r="G2633" s="11" t="n">
        <x:v>56</x:v>
      </x:c>
      <x:c r="H2633" s="12" t="n">
        <x:v>1900000000</x:v>
      </x:c>
      <x:c r="I2633" s="12" t="n">
        <x:v>33928571.428571425</x:v>
      </x:c>
      <x:c r="J2633" s="2" t="str">
        <x:v>total</x:v>
      </x:c>
      <x:c r="K2633" s="2" t="str">
        <x:v>top_level_area</x:v>
      </x:c>
      <x:c r="L2633" s="2" t="str">
        <x:v>property_type_inferred_from_title;transaction_assumed_sale_from_dataset_context</x:v>
      </x:c>
      <x:c r="M2633" s="10" t="n">
        <x:v>0</x:v>
      </x:c>
      <x:c r="N2633" s="10" t="n">
        <x:v>0</x:v>
      </x:c>
      <x:c r="O2633" s="2" t="str">
        <x:v>Tp Hồ Chí Minh|house</x:v>
      </x:c>
      <x:c r="P2633" s="10" t="n">
        <x:v>2</x:v>
      </x:c>
      <x:c r="Q2633" s="13" t="n">
        <x:f>IF(H2633="","",H2633/1000000000)</x:f>
        <x:v>1.9</x:v>
      </x:c>
      <x:c r="R2633" s="13" t="n">
        <x:f>IF(I2633="","",I2633/1000000)</x:f>
        <x:v>33.92857142857142</x:v>
      </x:c>
    </x:row>
    <x:row r="2634" ht="21" customHeight="1">
      <x:c r="A2634" s="10" t="n">
        <x:v>3667</x:v>
      </x:c>
      <x:c r="B2634" s="2" t="str">
        <x:v>d7b0d13b53e8f4740151</x:v>
      </x:c>
      <x:c r="C2634" s="2" t="str">
        <x:v>Tp Hồ Chí Minh</x:v>
      </x:c>
      <x:c r="D2634" s="2" t="str">
        <x:v>Quận 9</x:v>
      </x:c>
      <x:c r="E2634" s="2" t="str">
        <x:v>land</x:v>
      </x:c>
      <x:c r="F2634" s="2" t="str">
        <x:v>sale</x:v>
      </x:c>
      <x:c r="G2634" s="11" t="n">
        <x:v>86</x:v>
      </x:c>
      <x:c r="H2634" s="12" t="n">
        <x:v>2049999999.9999998</x:v>
      </x:c>
      <x:c r="I2634" s="12" t="n">
        <x:v>23837209.30232558</x:v>
      </x:c>
      <x:c r="J2634" s="2" t="str">
        <x:v>total</x:v>
      </x:c>
      <x:c r="K2634" s="2" t="str">
        <x:v>top_level_price_embedded_area</x:v>
      </x:c>
      <x:c r="L2634" s="2" t="str">
        <x:v>area_recovered_from_price_text;property_type_inferred_from_title</x:v>
      </x:c>
      <x:c r="M2634" s="10" t="n">
        <x:v>0</x:v>
      </x:c>
      <x:c r="N2634" s="10" t="n">
        <x:v>0</x:v>
      </x:c>
      <x:c r="O2634" s="2" t="str">
        <x:v>Tp Hồ Chí Minh|land</x:v>
      </x:c>
      <x:c r="P2634" s="10" t="n">
        <x:v>2</x:v>
      </x:c>
      <x:c r="Q2634" s="13" t="n">
        <x:f>IF(H2634="","",H2634/1000000000)</x:f>
        <x:v>2.05</x:v>
      </x:c>
      <x:c r="R2634" s="13" t="n">
        <x:f>IF(I2634="","",I2634/1000000)</x:f>
        <x:v>23.83720930232558</x:v>
      </x:c>
    </x:row>
    <x:row r="2635" ht="21" customHeight="1">
      <x:c r="A2635" s="10" t="n">
        <x:v>3668</x:v>
      </x:c>
      <x:c r="B2635" s="2" t="str">
        <x:v>fad0f1d8d17631b850a7</x:v>
      </x:c>
      <x:c r="C2635" s="2" t="str">
        <x:v>Tp Hồ Chí Minh</x:v>
      </x:c>
      <x:c r="D2635" s="2" t="str">
        <x:v>Quận 7</x:v>
      </x:c>
      <x:c r="E2635" s="2" t="str">
        <x:v>other_unknown</x:v>
      </x:c>
      <x:c r="F2635" s="2" t="str">
        <x:v>sale</x:v>
      </x:c>
      <x:c r="G2635" s="11" t="n">
        <x:v>97</x:v>
      </x:c>
      <x:c r="H2635" s="12" t="n">
        <x:v>4200000000</x:v>
      </x:c>
      <x:c r="I2635" s="12" t="n">
        <x:v>43298969.072164945</x:v>
      </x:c>
      <x:c r="J2635" s="2" t="str">
        <x:v>total</x:v>
      </x:c>
      <x:c r="K2635" s="2" t="str">
        <x:v>top_level_area</x:v>
      </x:c>
      <x:c r="L2635" s="2" t="str">
        <x:v>property_type_inferred_from_title;unknown_property_type</x:v>
      </x:c>
      <x:c r="M2635" s="10" t="n">
        <x:v>0</x:v>
      </x:c>
      <x:c r="N2635" s="10" t="n">
        <x:v>0</x:v>
      </x:c>
      <x:c r="O2635" s="2" t="str">
        <x:v>Tp Hồ Chí Minh|other_unknown</x:v>
      </x:c>
      <x:c r="P2635" s="10" t="n">
        <x:v>2</x:v>
      </x:c>
      <x:c r="Q2635" s="13" t="n">
        <x:f>IF(H2635="","",H2635/1000000000)</x:f>
        <x:v>4.2</x:v>
      </x:c>
      <x:c r="R2635" s="13" t="n">
        <x:f>IF(I2635="","",I2635/1000000)</x:f>
        <x:v>43.298969072164944</x:v>
      </x:c>
    </x:row>
    <x:row r="2636" ht="21" customHeight="1">
      <x:c r="A2636" s="10" t="n">
        <x:v>3669</x:v>
      </x:c>
      <x:c r="B2636" s="2" t="str">
        <x:v>5039dd955c027dccfb9d</x:v>
      </x:c>
      <x:c r="C2636" s="2" t="str">
        <x:v>Đồng Nai</x:v>
      </x:c>
      <x:c r="D2636" s="2" t="str">
        <x:v>Huyện Long Thành</x:v>
      </x:c>
      <x:c r="E2636" s="2" t="str">
        <x:v>land</x:v>
      </x:c>
      <x:c r="F2636" s="2" t="str">
        <x:v>sale_assumed</x:v>
      </x:c>
      <x:c r="G2636" s="11" t="n">
        <x:v>110</x:v>
      </x:c>
      <x:c r="H2636" s="12" t="n">
        <x:v>1060000000</x:v>
      </x:c>
      <x:c r="I2636" s="12" t="n">
        <x:v>9636363.636363637</x:v>
      </x:c>
      <x:c r="J2636" s="2" t="str">
        <x:v>total</x:v>
      </x:c>
      <x:c r="K2636" s="2" t="str">
        <x:v>top_level_area</x:v>
      </x:c>
      <x:c r="L2636" s="2" t="str">
        <x:v>property_type_inferred_from_title;transaction_assumed_sale_from_dataset_context</x:v>
      </x:c>
      <x:c r="M2636" s="10" t="n">
        <x:v>0</x:v>
      </x:c>
      <x:c r="N2636" s="10" t="n">
        <x:v>0</x:v>
      </x:c>
      <x:c r="O2636" s="2" t="str">
        <x:v>Đồng Nai|land</x:v>
      </x:c>
      <x:c r="P2636" s="10" t="n">
        <x:v>2</x:v>
      </x:c>
      <x:c r="Q2636" s="13" t="n">
        <x:f>IF(H2636="","",H2636/1000000000)</x:f>
        <x:v>1.06</x:v>
      </x:c>
      <x:c r="R2636" s="13" t="n">
        <x:f>IF(I2636="","",I2636/1000000)</x:f>
        <x:v>9.636363636363637</x:v>
      </x:c>
    </x:row>
    <x:row r="2637" ht="21" customHeight="1">
      <x:c r="A2637" s="10" t="n">
        <x:v>3670</x:v>
      </x:c>
      <x:c r="B2637" s="2" t="str">
        <x:v>52f8f44a459282b8552c</x:v>
      </x:c>
      <x:c r="C2637" s="2" t="str">
        <x:v>Tp Hồ Chí Minh</x:v>
      </x:c>
      <x:c r="D2637" s="2" t="str">
        <x:v>Quận 8</x:v>
      </x:c>
      <x:c r="E2637" s="2" t="str">
        <x:v>house</x:v>
      </x:c>
      <x:c r="F2637" s="2" t="str">
        <x:v>sale_assumed</x:v>
      </x:c>
      <x:c r="G2637" s="11" t="n">
        <x:v>22</x:v>
      </x:c>
      <x:c r="H2637" s="12" t="n">
        <x:v>1900000000</x:v>
      </x:c>
      <x:c r="I2637" s="12" t="n">
        <x:v>86363636.36363636</x:v>
      </x:c>
      <x:c r="J2637" s="2" t="str">
        <x:v>total</x:v>
      </x:c>
      <x:c r="K2637" s="2" t="str">
        <x:v>top_level_area</x:v>
      </x:c>
      <x:c r="L2637" s="2" t="str">
        <x:v>property_type_inferred_from_title;transaction_assumed_sale_from_dataset_context</x:v>
      </x:c>
      <x:c r="M2637" s="10" t="n">
        <x:v>0</x:v>
      </x:c>
      <x:c r="N2637" s="10" t="n">
        <x:v>0</x:v>
      </x:c>
      <x:c r="O2637" s="2" t="str">
        <x:v>Tp Hồ Chí Minh|house</x:v>
      </x:c>
      <x:c r="P2637" s="10" t="n">
        <x:v>2</x:v>
      </x:c>
      <x:c r="Q2637" s="13" t="n">
        <x:f>IF(H2637="","",H2637/1000000000)</x:f>
        <x:v>1.9</x:v>
      </x:c>
      <x:c r="R2637" s="13" t="n">
        <x:f>IF(I2637="","",I2637/1000000)</x:f>
        <x:v>86.36363636363636</x:v>
      </x:c>
    </x:row>
    <x:row r="2638" ht="21" customHeight="1">
      <x:c r="A2638" s="10" t="n">
        <x:v>3671</x:v>
      </x:c>
      <x:c r="B2638" s="2" t="str">
        <x:v>ec620fb4c81428df5494</x:v>
      </x:c>
      <x:c r="C2638" s="2" t="str">
        <x:v>Đồng Nai</x:v>
      </x:c>
      <x:c r="D2638" s="2" t="str">
        <x:v>Thành phố Biên Hòa</x:v>
      </x:c>
      <x:c r="E2638" s="2" t="str">
        <x:v>land</x:v>
      </x:c>
      <x:c r="F2638" s="2" t="str">
        <x:v>sale</x:v>
      </x:c>
      <x:c r="G2638" s="11" t="n">
        <x:v>144</x:v>
      </x:c>
      <x:c r="H2638" s="12" t="n">
        <x:v>570000000</x:v>
      </x:c>
      <x:c r="I2638" s="12" t="n">
        <x:v>3958333.3333333335</x:v>
      </x:c>
      <x:c r="J2638" s="2" t="str">
        <x:v>total</x:v>
      </x:c>
      <x:c r="K2638" s="2" t="str">
        <x:v>top_level_area</x:v>
      </x:c>
      <x:c r="L2638" s="2" t="str">
        <x:v>property_type_inferred_from_title</x:v>
      </x:c>
      <x:c r="M2638" s="10" t="n">
        <x:v>0</x:v>
      </x:c>
      <x:c r="N2638" s="10" t="n">
        <x:v>0</x:v>
      </x:c>
      <x:c r="O2638" s="2" t="str">
        <x:v>Đồng Nai|land</x:v>
      </x:c>
      <x:c r="P2638" s="10" t="n">
        <x:v>1</x:v>
      </x:c>
      <x:c r="Q2638" s="13" t="n">
        <x:f>IF(H2638="","",H2638/1000000000)</x:f>
        <x:v>0.57</x:v>
      </x:c>
      <x:c r="R2638" s="13" t="n">
        <x:f>IF(I2638="","",I2638/1000000)</x:f>
        <x:v>3.9583333333333335</x:v>
      </x:c>
    </x:row>
    <x:row r="2639" ht="21" customHeight="1">
      <x:c r="A2639" s="10" t="n">
        <x:v>3672</x:v>
      </x:c>
      <x:c r="B2639" s="2" t="str">
        <x:v>948ef621226384b0f539</x:v>
      </x:c>
      <x:c r="C2639" s="2" t="str">
        <x:v>Hà Nội</x:v>
      </x:c>
      <x:c r="D2639" s="2" t="str">
        <x:v>Huyện Hoài Đức</x:v>
      </x:c>
      <x:c r="E2639" s="2" t="str">
        <x:v>land</x:v>
      </x:c>
      <x:c r="F2639" s="2" t="str">
        <x:v>sale</x:v>
      </x:c>
      <x:c r="G2639" s="11" t="n">
        <x:v>40</x:v>
      </x:c>
      <x:c r="H2639" s="12" t="n">
        <x:v>28000000</x:v>
      </x:c>
      <x:c r="I2639" s="12" t="n">
        <x:v>700000</x:v>
      </x:c>
      <x:c r="J2639" s="2" t="str">
        <x:v>total</x:v>
      </x:c>
      <x:c r="K2639" s="2" t="str">
        <x:v>top_level_area</x:v>
      </x:c>
      <x:c r="L2639" s="2" t="str">
        <x:v>property_type_inferred_from_title</x:v>
      </x:c>
      <x:c r="M2639" s="10" t="n">
        <x:v>0</x:v>
      </x:c>
      <x:c r="N2639" s="10" t="n">
        <x:v>0</x:v>
      </x:c>
      <x:c r="O2639" s="2" t="str">
        <x:v>Hà Nội|land</x:v>
      </x:c>
      <x:c r="P2639" s="10" t="n">
        <x:v>1</x:v>
      </x:c>
      <x:c r="Q2639" s="13" t="n">
        <x:f>IF(H2639="","",H2639/1000000000)</x:f>
        <x:v>0.028</x:v>
      </x:c>
      <x:c r="R2639" s="13" t="n">
        <x:f>IF(I2639="","",I2639/1000000)</x:f>
        <x:v>0.7</x:v>
      </x:c>
    </x:row>
    <x:row r="2640" ht="21" customHeight="1">
      <x:c r="A2640" s="10" t="n">
        <x:v>3673</x:v>
      </x:c>
      <x:c r="B2640" s="2" t="str">
        <x:v>8c6e5949424090bc5cb2</x:v>
      </x:c>
      <x:c r="C2640" s="2" t="str">
        <x:v>Tp Hồ Chí Minh</x:v>
      </x:c>
      <x:c r="D2640" s="2" t="str">
        <x:v>Quận 8</x:v>
      </x:c>
      <x:c r="E2640" s="2" t="str">
        <x:v>house</x:v>
      </x:c>
      <x:c r="F2640" s="2" t="str">
        <x:v>sale</x:v>
      </x:c>
      <x:c r="G2640" s="11" t="n">
        <x:v>30</x:v>
      </x:c>
      <x:c r="H2640" s="12" t="n">
        <x:v>2900000000</x:v>
      </x:c>
      <x:c r="I2640" s="12" t="n">
        <x:v>96666666.66666667</x:v>
      </x:c>
      <x:c r="J2640" s="2" t="str">
        <x:v>total</x:v>
      </x:c>
      <x:c r="K2640" s="2" t="str">
        <x:v>top_level_area</x:v>
      </x:c>
      <x:c r="L2640" s="2" t="str">
        <x:v>property_type_inferred_from_title</x:v>
      </x:c>
      <x:c r="M2640" s="10" t="n">
        <x:v>0</x:v>
      </x:c>
      <x:c r="N2640" s="10" t="n">
        <x:v>0</x:v>
      </x:c>
      <x:c r="O2640" s="2" t="str">
        <x:v>Tp Hồ Chí Minh|house</x:v>
      </x:c>
      <x:c r="P2640" s="10" t="n">
        <x:v>2</x:v>
      </x:c>
      <x:c r="Q2640" s="13" t="n">
        <x:f>IF(H2640="","",H2640/1000000000)</x:f>
        <x:v>2.9</x:v>
      </x:c>
      <x:c r="R2640" s="13" t="n">
        <x:f>IF(I2640="","",I2640/1000000)</x:f>
        <x:v>96.66666666666667</x:v>
      </x:c>
    </x:row>
    <x:row r="2641" ht="21" customHeight="1">
      <x:c r="A2641" s="10" t="n">
        <x:v>3674</x:v>
      </x:c>
      <x:c r="B2641" s="2" t="str">
        <x:v>b1272e4528b529c4d758</x:v>
      </x:c>
      <x:c r="C2641" s="2" t="str">
        <x:v>Tp Hồ Chí Minh</x:v>
      </x:c>
      <x:c r="D2641" s="2" t="str">
        <x:v>Quận Tân Bình</x:v>
      </x:c>
      <x:c r="E2641" s="2" t="str">
        <x:v>house</x:v>
      </x:c>
      <x:c r="F2641" s="2" t="str">
        <x:v>sale</x:v>
      </x:c>
      <x:c r="G2641" s="11" t="n">
        <x:v>27</x:v>
      </x:c>
      <x:c r="H2641" s="12" t="n">
        <x:v>2700000000</x:v>
      </x:c>
      <x:c r="I2641" s="12" t="n">
        <x:v>100000000</x:v>
      </x:c>
      <x:c r="J2641" s="2" t="str">
        <x:v>total</x:v>
      </x:c>
      <x:c r="K2641" s="2" t="str">
        <x:v>top_level_area</x:v>
      </x:c>
      <x:c r="L2641" s="2" t="str">
        <x:v>property_type_inferred_from_title</x:v>
      </x:c>
      <x:c r="M2641" s="10" t="n">
        <x:v>0</x:v>
      </x:c>
      <x:c r="N2641" s="10" t="n">
        <x:v>0</x:v>
      </x:c>
      <x:c r="O2641" s="2" t="str">
        <x:v>Tp Hồ Chí Minh|house</x:v>
      </x:c>
      <x:c r="P2641" s="10" t="n">
        <x:v>2</x:v>
      </x:c>
      <x:c r="Q2641" s="13" t="n">
        <x:f>IF(H2641="","",H2641/1000000000)</x:f>
        <x:v>2.7</x:v>
      </x:c>
      <x:c r="R2641" s="13" t="n">
        <x:f>IF(I2641="","",I2641/1000000)</x:f>
        <x:v>100</x:v>
      </x:c>
    </x:row>
    <x:row r="2642" ht="21" customHeight="1">
      <x:c r="A2642" s="10" t="n">
        <x:v>3675</x:v>
      </x:c>
      <x:c r="B2642" s="2" t="str">
        <x:v>ff0e559f4993cc554ee2</x:v>
      </x:c>
      <x:c r="C2642" s="2" t="str">
        <x:v>Tp Hồ Chí Minh</x:v>
      </x:c>
      <x:c r="D2642" s="2" t="str">
        <x:v>Quận Bình Thạnh</x:v>
      </x:c>
      <x:c r="E2642" s="2" t="str">
        <x:v>other_unknown</x:v>
      </x:c>
      <x:c r="F2642" s="2" t="str">
        <x:v>sale</x:v>
      </x:c>
      <x:c r="G2642" s="11" t="n">
        <x:v>60</x:v>
      </x:c>
      <x:c r="H2642" s="12" t="n">
        <x:v>2980000000</x:v>
      </x:c>
      <x:c r="I2642" s="12" t="n">
        <x:v>49666666.666666664</x:v>
      </x:c>
      <x:c r="J2642" s="2" t="str">
        <x:v>total</x:v>
      </x:c>
      <x:c r="K2642" s="2" t="str">
        <x:v>top_level_area</x:v>
      </x:c>
      <x:c r="L2642" s="2" t="str">
        <x:v>property_type_inferred_from_title;unknown_property_type</x:v>
      </x:c>
      <x:c r="M2642" s="10" t="n">
        <x:v>0</x:v>
      </x:c>
      <x:c r="N2642" s="10" t="n">
        <x:v>0</x:v>
      </x:c>
      <x:c r="O2642" s="2" t="str">
        <x:v>Tp Hồ Chí Minh|other_unknown</x:v>
      </x:c>
      <x:c r="P2642" s="10" t="n">
        <x:v>2</x:v>
      </x:c>
      <x:c r="Q2642" s="13" t="n">
        <x:f>IF(H2642="","",H2642/1000000000)</x:f>
        <x:v>2.98</x:v>
      </x:c>
      <x:c r="R2642" s="13" t="n">
        <x:f>IF(I2642="","",I2642/1000000)</x:f>
        <x:v>49.666666666666664</x:v>
      </x:c>
    </x:row>
    <x:row r="2643" ht="21" customHeight="1">
      <x:c r="A2643" s="10" t="n">
        <x:v>3676</x:v>
      </x:c>
      <x:c r="B2643" s="2" t="str">
        <x:v>729f47a2b826db0319b1</x:v>
      </x:c>
      <x:c r="C2643" s="2" t="str">
        <x:v>Tp Hồ Chí Minh</x:v>
      </x:c>
      <x:c r="D2643" s="2" t="str">
        <x:v>Quận 4</x:v>
      </x:c>
      <x:c r="E2643" s="2" t="str">
        <x:v>house</x:v>
      </x:c>
      <x:c r="F2643" s="2" t="str">
        <x:v>sale</x:v>
      </x:c>
      <x:c r="G2643" s="11" t="n">
        <x:v>41</x:v>
      </x:c>
      <x:c r="H2643" s="12" t="n">
        <x:v>2450000000</x:v>
      </x:c>
      <x:c r="I2643" s="12" t="n">
        <x:v>59756097.56097561</x:v>
      </x:c>
      <x:c r="J2643" s="2" t="str">
        <x:v>total</x:v>
      </x:c>
      <x:c r="K2643" s="2" t="str">
        <x:v>top_level_price_embedded_area</x:v>
      </x:c>
      <x:c r="L2643" s="2" t="str">
        <x:v>area_recovered_from_price_text;property_type_inferred_from_title</x:v>
      </x:c>
      <x:c r="M2643" s="10" t="n">
        <x:v>0</x:v>
      </x:c>
      <x:c r="N2643" s="10" t="n">
        <x:v>0</x:v>
      </x:c>
      <x:c r="O2643" s="2" t="str">
        <x:v>Tp Hồ Chí Minh|house</x:v>
      </x:c>
      <x:c r="P2643" s="10" t="n">
        <x:v>2</x:v>
      </x:c>
      <x:c r="Q2643" s="13" t="n">
        <x:f>IF(H2643="","",H2643/1000000000)</x:f>
        <x:v>2.45</x:v>
      </x:c>
      <x:c r="R2643" s="13" t="n">
        <x:f>IF(I2643="","",I2643/1000000)</x:f>
        <x:v>59.75609756097561</x:v>
      </x:c>
    </x:row>
    <x:row r="2644" ht="21" customHeight="1">
      <x:c r="A2644" s="10" t="n">
        <x:v>3677</x:v>
      </x:c>
      <x:c r="B2644" s="2" t="str">
        <x:v>f9d66e73e21184b7b62c</x:v>
      </x:c>
      <x:c r="C2644" s="2" t="str">
        <x:v>Hà Nội</x:v>
      </x:c>
      <x:c r="D2644" s="2" t="str">
        <x:v>Huyện Thanh Trì</x:v>
      </x:c>
      <x:c r="E2644" s="2" t="str">
        <x:v>other_unknown</x:v>
      </x:c>
      <x:c r="F2644" s="2" t="str">
        <x:v>sale_assumed</x:v>
      </x:c>
      <x:c r="G2644" s="11" t="n">
        <x:v>40</x:v>
      </x:c>
      <x:c r="H2644" s="12" t="n">
        <x:v>3200000000</x:v>
      </x:c>
      <x:c r="I2644" s="12" t="n">
        <x:v>80000000</x:v>
      </x:c>
      <x:c r="J2644" s="2" t="str">
        <x:v>total</x:v>
      </x:c>
      <x:c r="K2644" s="2" t="str">
        <x:v>top_level_area</x:v>
      </x:c>
      <x:c r="L2644" s="2" t="str">
        <x:v>property_type_inferred_from_title;transaction_assumed_sale_from_dataset_context;unknown_property_type</x:v>
      </x:c>
      <x:c r="M2644" s="10" t="n">
        <x:v>0</x:v>
      </x:c>
      <x:c r="N2644" s="10" t="n">
        <x:v>0</x:v>
      </x:c>
      <x:c r="O2644" s="2" t="str">
        <x:v>Hà Nội|other_unknown</x:v>
      </x:c>
      <x:c r="P2644" s="10" t="n">
        <x:v>2</x:v>
      </x:c>
      <x:c r="Q2644" s="13" t="n">
        <x:f>IF(H2644="","",H2644/1000000000)</x:f>
        <x:v>3.2</x:v>
      </x:c>
      <x:c r="R2644" s="13" t="n">
        <x:f>IF(I2644="","",I2644/1000000)</x:f>
        <x:v>80</x:v>
      </x:c>
    </x:row>
    <x:row r="2645" ht="21" customHeight="1">
      <x:c r="A2645" s="10" t="n">
        <x:v>3678</x:v>
      </x:c>
      <x:c r="B2645" s="2" t="str">
        <x:v>77a525c0a15e7f66b33d</x:v>
      </x:c>
      <x:c r="C2645" s="2" t="str">
        <x:v>Tp Hồ Chí Minh</x:v>
      </x:c>
      <x:c r="D2645" s="2" t="str">
        <x:v>Quận 8</x:v>
      </x:c>
      <x:c r="E2645" s="2" t="str">
        <x:v>other_unknown</x:v>
      </x:c>
      <x:c r="F2645" s="2" t="str">
        <x:v>sale_assumed</x:v>
      </x:c>
      <x:c r="G2645" s="11" t="n">
        <x:v>38</x:v>
      </x:c>
      <x:c r="H2645" s="12" t="n">
        <x:v>3400000000</x:v>
      </x:c>
      <x:c r="I2645" s="12" t="n">
        <x:v>89473684.21052632</x:v>
      </x:c>
      <x:c r="J2645" s="2" t="str">
        <x:v>total</x:v>
      </x:c>
      <x:c r="K2645" s="2" t="str">
        <x:v>top_level_area</x:v>
      </x:c>
      <x:c r="L2645" s="2" t="str">
        <x:v>property_type_inferred_from_title;transaction_assumed_sale_from_dataset_context;unknown_property_type</x:v>
      </x:c>
      <x:c r="M2645" s="10" t="n">
        <x:v>0</x:v>
      </x:c>
      <x:c r="N2645" s="10" t="n">
        <x:v>0</x:v>
      </x:c>
      <x:c r="O2645" s="2" t="str">
        <x:v>Tp Hồ Chí Minh|other_unknown</x:v>
      </x:c>
      <x:c r="P2645" s="10" t="n">
        <x:v>2</x:v>
      </x:c>
      <x:c r="Q2645" s="13" t="n">
        <x:f>IF(H2645="","",H2645/1000000000)</x:f>
        <x:v>3.4</x:v>
      </x:c>
      <x:c r="R2645" s="13" t="n">
        <x:f>IF(I2645="","",I2645/1000000)</x:f>
        <x:v>89.47368421052632</x:v>
      </x:c>
    </x:row>
    <x:row r="2646" ht="21" customHeight="1">
      <x:c r="A2646" s="10" t="n">
        <x:v>3679</x:v>
      </x:c>
      <x:c r="B2646" s="2" t="str">
        <x:v>6b6eaa1daef0814ffea3</x:v>
      </x:c>
      <x:c r="C2646" s="2" t="str">
        <x:v>Tp Hồ Chí Minh</x:v>
      </x:c>
      <x:c r="D2646" s="2" t="str">
        <x:v>Quận 9</x:v>
      </x:c>
      <x:c r="E2646" s="2" t="str">
        <x:v>land</x:v>
      </x:c>
      <x:c r="F2646" s="2" t="str">
        <x:v>sale_assumed</x:v>
      </x:c>
      <x:c r="G2646" s="11" t="n">
        <x:v>100</x:v>
      </x:c>
      <x:c r="H2646" s="12" t="n">
        <x:v>1640000000</x:v>
      </x:c>
      <x:c r="I2646" s="12" t="n">
        <x:v>16400000</x:v>
      </x:c>
      <x:c r="J2646" s="2" t="str">
        <x:v>total</x:v>
      </x:c>
      <x:c r="K2646" s="2" t="str">
        <x:v>top_level_area</x:v>
      </x:c>
      <x:c r="L2646" s="2" t="str">
        <x:v>property_type_inferred_from_title;transaction_assumed_sale_from_dataset_context</x:v>
      </x:c>
      <x:c r="M2646" s="10" t="n">
        <x:v>0</x:v>
      </x:c>
      <x:c r="N2646" s="10" t="n">
        <x:v>0</x:v>
      </x:c>
      <x:c r="O2646" s="2" t="str">
        <x:v>Tp Hồ Chí Minh|land</x:v>
      </x:c>
      <x:c r="P2646" s="10" t="n">
        <x:v>2</x:v>
      </x:c>
      <x:c r="Q2646" s="13" t="n">
        <x:f>IF(H2646="","",H2646/1000000000)</x:f>
        <x:v>1.64</x:v>
      </x:c>
      <x:c r="R2646" s="13" t="n">
        <x:f>IF(I2646="","",I2646/1000000)</x:f>
        <x:v>16.4</x:v>
      </x:c>
    </x:row>
    <x:row r="2647" ht="21" customHeight="1">
      <x:c r="A2647" s="10" t="n">
        <x:v>3680</x:v>
      </x:c>
      <x:c r="B2647" s="2" t="str">
        <x:v>ce533f474e39efa39712</x:v>
      </x:c>
      <x:c r="C2647" s="2" t="str">
        <x:v>Hà Nội</x:v>
      </x:c>
      <x:c r="D2647" s="2" t="str">
        <x:v>Huyện Thanh Trì</x:v>
      </x:c>
      <x:c r="E2647" s="2" t="str">
        <x:v>house</x:v>
      </x:c>
      <x:c r="F2647" s="2" t="str">
        <x:v>sale</x:v>
      </x:c>
      <x:c r="G2647" s="11" t="n">
        <x:v>38</x:v>
      </x:c>
      <x:c r="H2647" s="12" t="n">
        <x:v>2550000000</x:v>
      </x:c>
      <x:c r="I2647" s="12" t="n">
        <x:v>67105263.15789474</x:v>
      </x:c>
      <x:c r="J2647" s="2" t="str">
        <x:v>total</x:v>
      </x:c>
      <x:c r="K2647" s="2" t="str">
        <x:v>top_level_area</x:v>
      </x:c>
      <x:c r="L2647" s="2" t="str">
        <x:v>property_type_inferred_from_title</x:v>
      </x:c>
      <x:c r="M2647" s="10" t="n">
        <x:v>0</x:v>
      </x:c>
      <x:c r="N2647" s="10" t="n">
        <x:v>0</x:v>
      </x:c>
      <x:c r="O2647" s="2" t="str">
        <x:v>Hà Nội|house</x:v>
      </x:c>
      <x:c r="P2647" s="10" t="n">
        <x:v>2</x:v>
      </x:c>
      <x:c r="Q2647" s="13" t="n">
        <x:f>IF(H2647="","",H2647/1000000000)</x:f>
        <x:v>2.55</x:v>
      </x:c>
      <x:c r="R2647" s="13" t="n">
        <x:f>IF(I2647="","",I2647/1000000)</x:f>
        <x:v>67.10526315789474</x:v>
      </x:c>
    </x:row>
    <x:row r="2648" ht="21" customHeight="1">
      <x:c r="A2648" s="10" t="n">
        <x:v>3681</x:v>
      </x:c>
      <x:c r="B2648" s="2" t="str">
        <x:v>05b44826480087a291be</x:v>
      </x:c>
      <x:c r="C2648" s="2" t="str">
        <x:v>Bình Dương</x:v>
      </x:c>
      <x:c r="D2648" s="2" t="str">
        <x:v>Thị xã Tân Uyên</x:v>
      </x:c>
      <x:c r="E2648" s="2" t="str">
        <x:v>land</x:v>
      </x:c>
      <x:c r="F2648" s="2" t="str">
        <x:v>sale_assumed</x:v>
      </x:c>
      <x:c r="G2648" s="11" t="n">
        <x:v>300</x:v>
      </x:c>
      <x:c r="H2648" s="12" t="n">
        <x:v>800000000</x:v>
      </x:c>
      <x:c r="I2648" s="12" t="n">
        <x:v>2666666.6666666665</x:v>
      </x:c>
      <x:c r="J2648" s="2" t="str">
        <x:v>total</x:v>
      </x:c>
      <x:c r="K2648" s="2" t="str">
        <x:v>top_level_area</x:v>
      </x:c>
      <x:c r="L2648" s="2" t="str">
        <x:v>property_type_inferred_from_title;transaction_assumed_sale_from_dataset_context</x:v>
      </x:c>
      <x:c r="M2648" s="10" t="n">
        <x:v>0</x:v>
      </x:c>
      <x:c r="N2648" s="10" t="n">
        <x:v>0</x:v>
      </x:c>
      <x:c r="O2648" s="2" t="str">
        <x:v>Bình Dương|land</x:v>
      </x:c>
      <x:c r="P2648" s="10" t="n">
        <x:v>1</x:v>
      </x:c>
      <x:c r="Q2648" s="13" t="n">
        <x:f>IF(H2648="","",H2648/1000000000)</x:f>
        <x:v>0.8</x:v>
      </x:c>
      <x:c r="R2648" s="13" t="n">
        <x:f>IF(I2648="","",I2648/1000000)</x:f>
        <x:v>2.6666666666666665</x:v>
      </x:c>
    </x:row>
    <x:row r="2649" ht="21" customHeight="1">
      <x:c r="A2649" s="10" t="n">
        <x:v>3682</x:v>
      </x:c>
      <x:c r="B2649" s="2" t="str">
        <x:v>04161dbbd9e800f151ee</x:v>
      </x:c>
      <x:c r="C2649" s="2" t="str">
        <x:v>Tp Hồ Chí Minh</x:v>
      </x:c>
      <x:c r="D2649" s="2" t="str">
        <x:v>Quận Thủ Đức</x:v>
      </x:c>
      <x:c r="E2649" s="2" t="str">
        <x:v>land</x:v>
      </x:c>
      <x:c r="F2649" s="2" t="str">
        <x:v>sale_assumed</x:v>
      </x:c>
      <x:c r="G2649" s="11" t="n">
        <x:v>66</x:v>
      </x:c>
      <x:c r="H2649" s="12" t="n">
        <x:v>6700000000</x:v>
      </x:c>
      <x:c r="I2649" s="12" t="n">
        <x:v>101515151.51515152</x:v>
      </x:c>
      <x:c r="J2649" s="2" t="str">
        <x:v>total</x:v>
      </x:c>
      <x:c r="K2649" s="2" t="str">
        <x:v>top_level_area</x:v>
      </x:c>
      <x:c r="L2649" s="2" t="str">
        <x:v>property_type_inferred_from_title;transaction_assumed_sale_from_dataset_context</x:v>
      </x:c>
      <x:c r="M2649" s="10" t="n">
        <x:v>0</x:v>
      </x:c>
      <x:c r="N2649" s="10" t="n">
        <x:v>1</x:v>
      </x:c>
      <x:c r="O2649" s="2" t="str">
        <x:v>Tp Hồ Chí Minh|land</x:v>
      </x:c>
      <x:c r="P2649" s="10" t="n">
        <x:v>-1</x:v>
      </x:c>
      <x:c r="Q2649" s="13" t="n">
        <x:f>IF(H2649="","",H2649/1000000000)</x:f>
        <x:v>6.7</x:v>
      </x:c>
      <x:c r="R2649" s="13" t="n">
        <x:f>IF(I2649="","",I2649/1000000)</x:f>
        <x:v>101.51515151515152</x:v>
      </x:c>
    </x:row>
    <x:row r="2650" ht="21" customHeight="1">
      <x:c r="A2650" s="10" t="n">
        <x:v>3686</x:v>
      </x:c>
      <x:c r="B2650" s="2" t="str">
        <x:v>bd8e0e702c3befa015d6</x:v>
      </x:c>
      <x:c r="C2650" s="2" t="str">
        <x:v>Tp Hồ Chí Minh</x:v>
      </x:c>
      <x:c r="D2650" s="2" t="str">
        <x:v>Quận Bình Tân</x:v>
      </x:c>
      <x:c r="E2650" s="2" t="str">
        <x:v>land</x:v>
      </x:c>
      <x:c r="F2650" s="2" t="str">
        <x:v>sale</x:v>
      </x:c>
      <x:c r="G2650" s="11" t="n">
        <x:v>90</x:v>
      </x:c>
      <x:c r="H2650" s="12" t="n">
        <x:v>3600000000</x:v>
      </x:c>
      <x:c r="I2650" s="12" t="n">
        <x:v>40000000</x:v>
      </x:c>
      <x:c r="J2650" s="2" t="str">
        <x:v>total</x:v>
      </x:c>
      <x:c r="K2650" s="2" t="str">
        <x:v>top_level_price_embedded_area</x:v>
      </x:c>
      <x:c r="L2650" s="2" t="str">
        <x:v>area_recovered_from_price_text;property_type_inferred_from_title</x:v>
      </x:c>
      <x:c r="M2650" s="10" t="n">
        <x:v>0</x:v>
      </x:c>
      <x:c r="N2650" s="10" t="n">
        <x:v>0</x:v>
      </x:c>
      <x:c r="O2650" s="2" t="str">
        <x:v>Tp Hồ Chí Minh|land</x:v>
      </x:c>
      <x:c r="P2650" s="10" t="n">
        <x:v>2</x:v>
      </x:c>
      <x:c r="Q2650" s="13" t="n">
        <x:f>IF(H2650="","",H2650/1000000000)</x:f>
        <x:v>3.6</x:v>
      </x:c>
      <x:c r="R2650" s="13" t="n">
        <x:f>IF(I2650="","",I2650/1000000)</x:f>
        <x:v>40</x:v>
      </x:c>
    </x:row>
    <x:row r="2651" ht="21" customHeight="1">
      <x:c r="A2651" s="10" t="n">
        <x:v>3687</x:v>
      </x:c>
      <x:c r="B2651" s="2" t="str">
        <x:v>5c47af492b3327171e76</x:v>
      </x:c>
      <x:c r="C2651" s="2" t="str">
        <x:v>Tp Hồ Chí Minh</x:v>
      </x:c>
      <x:c r="D2651" s="2" t="str">
        <x:v>Quận 12</x:v>
      </x:c>
      <x:c r="E2651" s="2" t="str">
        <x:v>apartment</x:v>
      </x:c>
      <x:c r="F2651" s="2" t="str">
        <x:v>sale</x:v>
      </x:c>
      <x:c r="G2651" s="11" t="n">
        <x:v>65</x:v>
      </x:c>
      <x:c r="H2651" s="12" t="n">
        <x:v>2000000000</x:v>
      </x:c>
      <x:c r="I2651" s="12" t="n">
        <x:v>30769230.769230768</x:v>
      </x:c>
      <x:c r="J2651" s="2" t="str">
        <x:v>total</x:v>
      </x:c>
      <x:c r="K2651" s="2" t="str">
        <x:v>top_level_price_embedded_area</x:v>
      </x:c>
      <x:c r="L2651" s="2" t="str">
        <x:v>area_recovered_from_price_text;property_type_inferred_from_title</x:v>
      </x:c>
      <x:c r="M2651" s="10" t="n">
        <x:v>0</x:v>
      </x:c>
      <x:c r="N2651" s="10" t="n">
        <x:v>0</x:v>
      </x:c>
      <x:c r="O2651" s="2" t="str">
        <x:v>Tp Hồ Chí Minh|apartment</x:v>
      </x:c>
      <x:c r="P2651" s="10" t="n">
        <x:v>2</x:v>
      </x:c>
      <x:c r="Q2651" s="13" t="n">
        <x:f>IF(H2651="","",H2651/1000000000)</x:f>
        <x:v>2</x:v>
      </x:c>
      <x:c r="R2651" s="13" t="n">
        <x:f>IF(I2651="","",I2651/1000000)</x:f>
        <x:v>30.769230769230766</x:v>
      </x:c>
    </x:row>
    <x:row r="2652" ht="21" customHeight="1">
      <x:c r="A2652" s="10" t="n">
        <x:v>3688</x:v>
      </x:c>
      <x:c r="B2652" s="2" t="str">
        <x:v>8506890a20db3b670e82</x:v>
      </x:c>
      <x:c r="C2652" s="2" t="str">
        <x:v>Hà Nội</x:v>
      </x:c>
      <x:c r="D2652" s="2" t="str">
        <x:v>Quận Cầu Giấy</x:v>
      </x:c>
      <x:c r="E2652" s="2" t="str">
        <x:v>land</x:v>
      </x:c>
      <x:c r="F2652" s="2" t="str">
        <x:v>sale_assumed</x:v>
      </x:c>
      <x:c r="G2652" s="11" t="n">
        <x:v>100</x:v>
      </x:c>
      <x:c r="H2652" s="12" t="n">
        <x:v>16000000</x:v>
      </x:c>
      <x:c r="I2652" s="12" t="n">
        <x:v>160000</x:v>
      </x:c>
      <x:c r="J2652" s="2" t="str">
        <x:v>total</x:v>
      </x:c>
      <x:c r="K2652" s="2" t="str">
        <x:v>top_level_area</x:v>
      </x:c>
      <x:c r="L2652" s="2" t="str">
        <x:v>property_type_inferred_from_title;transaction_assumed_sale_from_dataset_context</x:v>
      </x:c>
      <x:c r="M2652" s="10" t="n">
        <x:v>0</x:v>
      </x:c>
      <x:c r="N2652" s="10" t="n">
        <x:v>0</x:v>
      </x:c>
      <x:c r="O2652" s="2" t="str">
        <x:v>Hà Nội|land</x:v>
      </x:c>
      <x:c r="P2652" s="10" t="n">
        <x:v>1</x:v>
      </x:c>
      <x:c r="Q2652" s="13" t="n">
        <x:f>IF(H2652="","",H2652/1000000000)</x:f>
        <x:v>0.016</x:v>
      </x:c>
      <x:c r="R2652" s="13" t="n">
        <x:f>IF(I2652="","",I2652/1000000)</x:f>
        <x:v>0.16</x:v>
      </x:c>
    </x:row>
    <x:row r="2653" ht="21" customHeight="1">
      <x:c r="A2653" s="10" t="n">
        <x:v>3689</x:v>
      </x:c>
      <x:c r="B2653" s="2" t="str">
        <x:v>a35f4ec7ba24ed50f95a</x:v>
      </x:c>
      <x:c r="C2653" s="2" t="str">
        <x:v>Tp Hồ Chí Minh</x:v>
      </x:c>
      <x:c r="D2653" s="2" t="str">
        <x:v>Quận 6</x:v>
      </x:c>
      <x:c r="E2653" s="2" t="str">
        <x:v>apartment</x:v>
      </x:c>
      <x:c r="F2653" s="2" t="str">
        <x:v>sale_assumed</x:v>
      </x:c>
      <x:c r="G2653" s="11" t="n">
        <x:v>70</x:v>
      </x:c>
      <x:c r="H2653" s="12" t="n">
        <x:v>650000000</x:v>
      </x:c>
      <x:c r="I2653" s="12" t="n">
        <x:v>9285714.285714285</x:v>
      </x:c>
      <x:c r="J2653" s="2" t="str">
        <x:v>total</x:v>
      </x:c>
      <x:c r="K2653" s="2" t="str">
        <x:v>top_level_area</x:v>
      </x:c>
      <x:c r="L2653" s="2" t="str">
        <x:v>property_type_inferred_from_title;transaction_assumed_sale_from_dataset_context</x:v>
      </x:c>
      <x:c r="M2653" s="10" t="n">
        <x:v>0</x:v>
      </x:c>
      <x:c r="N2653" s="10" t="n">
        <x:v>0</x:v>
      </x:c>
      <x:c r="O2653" s="2" t="str">
        <x:v>Tp Hồ Chí Minh|apartment</x:v>
      </x:c>
      <x:c r="P2653" s="10" t="n">
        <x:v>2</x:v>
      </x:c>
      <x:c r="Q2653" s="13" t="n">
        <x:f>IF(H2653="","",H2653/1000000000)</x:f>
        <x:v>0.65</x:v>
      </x:c>
      <x:c r="R2653" s="13" t="n">
        <x:f>IF(I2653="","",I2653/1000000)</x:f>
        <x:v>9.285714285714285</x:v>
      </x:c>
    </x:row>
    <x:row r="2654" ht="21" customHeight="1">
      <x:c r="A2654" s="10" t="n">
        <x:v>3690</x:v>
      </x:c>
      <x:c r="B2654" s="2" t="str">
        <x:v>fc8e8821085ad07a5071</x:v>
      </x:c>
      <x:c r="C2654" s="2" t="str">
        <x:v>Đà Nẵng</x:v>
      </x:c>
      <x:c r="D2654" s="2" t="str">
        <x:v>Quận Liên Chiểu</x:v>
      </x:c>
      <x:c r="E2654" s="2" t="str">
        <x:v>house</x:v>
      </x:c>
      <x:c r="F2654" s="2" t="str">
        <x:v>sale</x:v>
      </x:c>
      <x:c r="G2654" s="11" t="n">
        <x:v>9</x:v>
      </x:c>
      <x:c r="H2654" s="12" t="n">
        <x:v>3500000000</x:v>
      </x:c>
      <x:c r="I2654" s="12" t="n">
        <x:v>388888888.8888889</x:v>
      </x:c>
      <x:c r="J2654" s="2" t="str">
        <x:v>total</x:v>
      </x:c>
      <x:c r="K2654" s="2" t="str">
        <x:v>top_level_area</x:v>
      </x:c>
      <x:c r="L2654" s="2" t="str">
        <x:v>property_type_inferred_from_title</x:v>
      </x:c>
      <x:c r="M2654" s="10" t="n">
        <x:v>1</x:v>
      </x:c>
      <x:c r="N2654" s="10" t="n">
        <x:v>1</x:v>
      </x:c>
      <x:c r="O2654" s="2" t="str">
        <x:v>Đà Nẵng|house</x:v>
      </x:c>
      <x:c r="P2654" s="10" t="n">
        <x:v>-1</x:v>
      </x:c>
      <x:c r="Q2654" s="13" t="n">
        <x:f>IF(H2654="","",H2654/1000000000)</x:f>
        <x:v>3.5</x:v>
      </x:c>
      <x:c r="R2654" s="13" t="n">
        <x:f>IF(I2654="","",I2654/1000000)</x:f>
        <x:v>388.8888888888889</x:v>
      </x:c>
    </x:row>
    <x:row r="2655" ht="21" customHeight="1">
      <x:c r="A2655" s="10" t="n">
        <x:v>3691</x:v>
      </x:c>
      <x:c r="B2655" s="2" t="str">
        <x:v>502f29ef29f7cad28c14</x:v>
      </x:c>
      <x:c r="C2655" s="2" t="str">
        <x:v>Hà Nội</x:v>
      </x:c>
      <x:c r="D2655" s="2" t="str">
        <x:v>Quận Hoàng Mai</x:v>
      </x:c>
      <x:c r="E2655" s="2" t="str">
        <x:v>land</x:v>
      </x:c>
      <x:c r="F2655" s="2" t="str">
        <x:v>sale</x:v>
      </x:c>
      <x:c r="G2655" s="11" t="n">
        <x:v>45</x:v>
      </x:c>
      <x:c r="H2655" s="12" t="n">
        <x:v>200000000</x:v>
      </x:c>
      <x:c r="I2655" s="12" t="n">
        <x:v>4444444.444444444</x:v>
      </x:c>
      <x:c r="J2655" s="2" t="str">
        <x:v>total</x:v>
      </x:c>
      <x:c r="K2655" s="2" t="str">
        <x:v>top_level_area</x:v>
      </x:c>
      <x:c r="L2655" s="2" t="str">
        <x:v>property_type_inferred_from_title</x:v>
      </x:c>
      <x:c r="M2655" s="10" t="n">
        <x:v>0</x:v>
      </x:c>
      <x:c r="N2655" s="10" t="n">
        <x:v>0</x:v>
      </x:c>
      <x:c r="O2655" s="2" t="str">
        <x:v>Hà Nội|land</x:v>
      </x:c>
      <x:c r="P2655" s="10" t="n">
        <x:v>2</x:v>
      </x:c>
      <x:c r="Q2655" s="13" t="n">
        <x:f>IF(H2655="","",H2655/1000000000)</x:f>
        <x:v>0.2</x:v>
      </x:c>
      <x:c r="R2655" s="13" t="n">
        <x:f>IF(I2655="","",I2655/1000000)</x:f>
        <x:v>4.444444444444444</x:v>
      </x:c>
    </x:row>
    <x:row r="2656" ht="21" customHeight="1">
      <x:c r="A2656" s="10" t="n">
        <x:v>3692</x:v>
      </x:c>
      <x:c r="B2656" s="2" t="str">
        <x:v>c38270347865cd8a2a49</x:v>
      </x:c>
      <x:c r="C2656" s="2" t="str">
        <x:v>Tp Hồ Chí Minh</x:v>
      </x:c>
      <x:c r="D2656" s="2" t="str">
        <x:v>Quận Bình Thạnh</x:v>
      </x:c>
      <x:c r="E2656" s="2" t="str">
        <x:v>house</x:v>
      </x:c>
      <x:c r="F2656" s="2" t="str">
        <x:v>sale</x:v>
      </x:c>
      <x:c r="G2656" s="11" t="n">
        <x:v>64</x:v>
      </x:c>
      <x:c r="H2656" s="12" t="n">
        <x:v>2150000000</x:v>
      </x:c>
      <x:c r="I2656" s="12" t="n">
        <x:v>33593750</x:v>
      </x:c>
      <x:c r="J2656" s="2" t="str">
        <x:v>total</x:v>
      </x:c>
      <x:c r="K2656" s="2" t="str">
        <x:v>top_level_area</x:v>
      </x:c>
      <x:c r="L2656" s="2" t="str">
        <x:v>property_type_inferred_from_title</x:v>
      </x:c>
      <x:c r="M2656" s="10" t="n">
        <x:v>0</x:v>
      </x:c>
      <x:c r="N2656" s="10" t="n">
        <x:v>0</x:v>
      </x:c>
      <x:c r="O2656" s="2" t="str">
        <x:v>Tp Hồ Chí Minh|house</x:v>
      </x:c>
      <x:c r="P2656" s="10" t="n">
        <x:v>2</x:v>
      </x:c>
      <x:c r="Q2656" s="13" t="n">
        <x:f>IF(H2656="","",H2656/1000000000)</x:f>
        <x:v>2.15</x:v>
      </x:c>
      <x:c r="R2656" s="13" t="n">
        <x:f>IF(I2656="","",I2656/1000000)</x:f>
        <x:v>33.59375</x:v>
      </x:c>
    </x:row>
    <x:row r="2657" ht="21" customHeight="1">
      <x:c r="A2657" s="10" t="n">
        <x:v>3693</x:v>
      </x:c>
      <x:c r="B2657" s="2" t="str">
        <x:v>b2c004c2ddb317554714</x:v>
      </x:c>
      <x:c r="C2657" s="2" t="str">
        <x:v>Tp Hồ Chí Minh</x:v>
      </x:c>
      <x:c r="D2657" s="2" t="str">
        <x:v>Quận Phú Nhuận</x:v>
      </x:c>
      <x:c r="E2657" s="2" t="str">
        <x:v>other_unknown</x:v>
      </x:c>
      <x:c r="F2657" s="2" t="str">
        <x:v>sale</x:v>
      </x:c>
      <x:c r="G2657" s="11" t="n">
        <x:v>88</x:v>
      </x:c>
      <x:c r="H2657" s="12" t="n">
        <x:v>5600000000</x:v>
      </x:c>
      <x:c r="I2657" s="12" t="n">
        <x:v>63636363.63636363</x:v>
      </x:c>
      <x:c r="J2657" s="2" t="str">
        <x:v>total</x:v>
      </x:c>
      <x:c r="K2657" s="2" t="str">
        <x:v>top_level_area</x:v>
      </x:c>
      <x:c r="L2657" s="2" t="str">
        <x:v>property_type_inferred_from_title;unknown_property_type</x:v>
      </x:c>
      <x:c r="M2657" s="10" t="n">
        <x:v>0</x:v>
      </x:c>
      <x:c r="N2657" s="10" t="n">
        <x:v>0</x:v>
      </x:c>
      <x:c r="O2657" s="2" t="str">
        <x:v>Tp Hồ Chí Minh|other_unknown</x:v>
      </x:c>
      <x:c r="P2657" s="10" t="n">
        <x:v>2</x:v>
      </x:c>
      <x:c r="Q2657" s="13" t="n">
        <x:f>IF(H2657="","",H2657/1000000000)</x:f>
        <x:v>5.6</x:v>
      </x:c>
      <x:c r="R2657" s="13" t="n">
        <x:f>IF(I2657="","",I2657/1000000)</x:f>
        <x:v>63.63636363636363</x:v>
      </x:c>
    </x:row>
    <x:row r="2658" ht="21" customHeight="1">
      <x:c r="A2658" s="10" t="n">
        <x:v>3694</x:v>
      </x:c>
      <x:c r="B2658" s="2" t="str">
        <x:v>f2c9ef102a8fb8ebce52</x:v>
      </x:c>
      <x:c r="C2658" s="2" t="str">
        <x:v>Đồng Nai</x:v>
      </x:c>
      <x:c r="D2658" s="2" t="str">
        <x:v>Huyện Long Thành</x:v>
      </x:c>
      <x:c r="E2658" s="2" t="str">
        <x:v>house</x:v>
      </x:c>
      <x:c r="F2658" s="2" t="str">
        <x:v>sale</x:v>
      </x:c>
      <x:c r="G2658" s="11" t="n">
        <x:v>97</x:v>
      </x:c>
      <x:c r="H2658" s="12" t="n">
        <x:v>2300000000</x:v>
      </x:c>
      <x:c r="I2658" s="12" t="n">
        <x:v>23711340.206185568</x:v>
      </x:c>
      <x:c r="J2658" s="2" t="str">
        <x:v>total</x:v>
      </x:c>
      <x:c r="K2658" s="2" t="str">
        <x:v>top_level_area</x:v>
      </x:c>
      <x:c r="L2658" s="2" t="str">
        <x:v>property_type_inferred_from_title</x:v>
      </x:c>
      <x:c r="M2658" s="10" t="n">
        <x:v>0</x:v>
      </x:c>
      <x:c r="N2658" s="10" t="n">
        <x:v>0</x:v>
      </x:c>
      <x:c r="O2658" s="2" t="str">
        <x:v>Đồng Nai|house</x:v>
      </x:c>
      <x:c r="P2658" s="10" t="n">
        <x:v>2</x:v>
      </x:c>
      <x:c r="Q2658" s="13" t="n">
        <x:f>IF(H2658="","",H2658/1000000000)</x:f>
        <x:v>2.3</x:v>
      </x:c>
      <x:c r="R2658" s="13" t="n">
        <x:f>IF(I2658="","",I2658/1000000)</x:f>
        <x:v>23.711340206185568</x:v>
      </x:c>
    </x:row>
    <x:row r="2659" ht="21" customHeight="1">
      <x:c r="A2659" s="10" t="n">
        <x:v>3695</x:v>
      </x:c>
      <x:c r="B2659" s="2" t="str">
        <x:v>3cf40a3cfeae973a9cf4</x:v>
      </x:c>
      <x:c r="C2659" s="2" t="str">
        <x:v>Đồng Nai</x:v>
      </x:c>
      <x:c r="D2659" s="2" t="str">
        <x:v>Huyện Long Thành</x:v>
      </x:c>
      <x:c r="E2659" s="2" t="str">
        <x:v>land</x:v>
      </x:c>
      <x:c r="F2659" s="2" t="str">
        <x:v>sale</x:v>
      </x:c>
      <x:c r="G2659" s="11" t="n">
        <x:v>107</x:v>
      </x:c>
      <x:c r="H2659" s="12" t="n">
        <x:v>1020000000</x:v>
      </x:c>
      <x:c r="I2659" s="12" t="n">
        <x:v>9532710.280373832</x:v>
      </x:c>
      <x:c r="J2659" s="2" t="str">
        <x:v>total</x:v>
      </x:c>
      <x:c r="K2659" s="2" t="str">
        <x:v>top_level_area</x:v>
      </x:c>
      <x:c r="L2659" s="2" t="str">
        <x:v>property_type_inferred_from_title</x:v>
      </x:c>
      <x:c r="M2659" s="10" t="n">
        <x:v>0</x:v>
      </x:c>
      <x:c r="N2659" s="10" t="n">
        <x:v>0</x:v>
      </x:c>
      <x:c r="O2659" s="2" t="str">
        <x:v>Đồng Nai|land</x:v>
      </x:c>
      <x:c r="P2659" s="10" t="n">
        <x:v>2</x:v>
      </x:c>
      <x:c r="Q2659" s="13" t="n">
        <x:f>IF(H2659="","",H2659/1000000000)</x:f>
        <x:v>1.02</x:v>
      </x:c>
      <x:c r="R2659" s="13" t="n">
        <x:f>IF(I2659="","",I2659/1000000)</x:f>
        <x:v>9.532710280373832</x:v>
      </x:c>
    </x:row>
    <x:row r="2660" ht="21" customHeight="1">
      <x:c r="A2660" s="10" t="n">
        <x:v>3696</x:v>
      </x:c>
      <x:c r="B2660" s="2" t="str">
        <x:v>e1f8a7a2c4cb17e29969</x:v>
      </x:c>
      <x:c r="C2660" s="2" t="str">
        <x:v>Tp Hồ Chí Minh</x:v>
      </x:c>
      <x:c r="D2660" s="2" t="str">
        <x:v>Quận 12</x:v>
      </x:c>
      <x:c r="E2660" s="2" t="str">
        <x:v>other_unknown</x:v>
      </x:c>
      <x:c r="F2660" s="2" t="str">
        <x:v>sale_assumed</x:v>
      </x:c>
      <x:c r="G2660" s="11" t="n">
        <x:v>55.5</x:v>
      </x:c>
      <x:c r="H2660" s="12" t="n">
        <x:v>3600000000</x:v>
      </x:c>
      <x:c r="I2660" s="12" t="n">
        <x:v>64864864.86486486</x:v>
      </x:c>
      <x:c r="J2660" s="2" t="str">
        <x:v>total</x:v>
      </x:c>
      <x:c r="K2660" s="2" t="str">
        <x:v>top_level_area</x:v>
      </x:c>
      <x:c r="L2660" s="2" t="str">
        <x:v>property_type_inferred_from_title;transaction_assumed_sale_from_dataset_context;unknown_property_type</x:v>
      </x:c>
      <x:c r="M2660" s="10" t="n">
        <x:v>0</x:v>
      </x:c>
      <x:c r="N2660" s="10" t="n">
        <x:v>0</x:v>
      </x:c>
      <x:c r="O2660" s="2" t="str">
        <x:v>Tp Hồ Chí Minh|other_unknown</x:v>
      </x:c>
      <x:c r="P2660" s="10" t="n">
        <x:v>2</x:v>
      </x:c>
      <x:c r="Q2660" s="13" t="n">
        <x:f>IF(H2660="","",H2660/1000000000)</x:f>
        <x:v>3.6</x:v>
      </x:c>
      <x:c r="R2660" s="13" t="n">
        <x:f>IF(I2660="","",I2660/1000000)</x:f>
        <x:v>64.86486486486487</x:v>
      </x:c>
    </x:row>
    <x:row r="2661" ht="21" customHeight="1">
      <x:c r="A2661" s="10" t="n">
        <x:v>3697</x:v>
      </x:c>
      <x:c r="B2661" s="2" t="str">
        <x:v>119766641ce15df8fe3d</x:v>
      </x:c>
      <x:c r="C2661" s="2" t="str">
        <x:v>Đắk Lắk</x:v>
      </x:c>
      <x:c r="D2661" s="2" t="str">
        <x:v>Thành phố Buôn Ma Thuột</x:v>
      </x:c>
      <x:c r="E2661" s="2" t="str">
        <x:v>house</x:v>
      </x:c>
      <x:c r="F2661" s="2" t="str">
        <x:v>sale_assumed</x:v>
      </x:c>
      <x:c r="G2661" s="11" t="n">
        <x:v>175</x:v>
      </x:c>
      <x:c r="H2661" s="12" t="n">
        <x:v>1250000000</x:v>
      </x:c>
      <x:c r="I2661" s="12" t="n">
        <x:v>7142857.142857143</x:v>
      </x:c>
      <x:c r="J2661" s="2" t="str">
        <x:v>total</x:v>
      </x:c>
      <x:c r="K2661" s="2" t="str">
        <x:v>top_level_area</x:v>
      </x:c>
      <x:c r="L2661" s="2" t="str">
        <x:v>property_type_inferred_from_title;transaction_assumed_sale_from_dataset_context</x:v>
      </x:c>
      <x:c r="M2661" s="10" t="n">
        <x:v>0</x:v>
      </x:c>
      <x:c r="N2661" s="10" t="n">
        <x:v>0</x:v>
      </x:c>
      <x:c r="O2661" s="2" t="str">
        <x:v>Đắk Lắk|house</x:v>
      </x:c>
      <x:c r="P2661" s="10" t="n">
        <x:v>2</x:v>
      </x:c>
      <x:c r="Q2661" s="13" t="n">
        <x:f>IF(H2661="","",H2661/1000000000)</x:f>
        <x:v>1.25</x:v>
      </x:c>
      <x:c r="R2661" s="13" t="n">
        <x:f>IF(I2661="","",I2661/1000000)</x:f>
        <x:v>7.142857142857142</x:v>
      </x:c>
    </x:row>
    <x:row r="2662" ht="21" customHeight="1">
      <x:c r="A2662" s="10" t="n">
        <x:v>3698</x:v>
      </x:c>
      <x:c r="B2662" s="2" t="str">
        <x:v>d3891c98ef81d90b698b</x:v>
      </x:c>
      <x:c r="C2662" s="2" t="str">
        <x:v>Hà Nội</x:v>
      </x:c>
      <x:c r="D2662" s="2" t="str">
        <x:v>Quận Hà Đông</x:v>
      </x:c>
      <x:c r="E2662" s="2" t="str">
        <x:v>land</x:v>
      </x:c>
      <x:c r="F2662" s="2" t="str">
        <x:v>sale</x:v>
      </x:c>
      <x:c r="G2662" s="11" t="n">
        <x:v>55</x:v>
      </x:c>
      <x:c r="H2662" s="12" t="n">
        <x:v>2650000000</x:v>
      </x:c>
      <x:c r="I2662" s="12" t="n">
        <x:v>48181818.18181818</x:v>
      </x:c>
      <x:c r="J2662" s="2" t="str">
        <x:v>total</x:v>
      </x:c>
      <x:c r="K2662" s="2" t="str">
        <x:v>top_level_area</x:v>
      </x:c>
      <x:c r="L2662" s="2" t="str">
        <x:v>property_type_inferred_from_title</x:v>
      </x:c>
      <x:c r="M2662" s="10" t="n">
        <x:v>0</x:v>
      </x:c>
      <x:c r="N2662" s="10" t="n">
        <x:v>0</x:v>
      </x:c>
      <x:c r="O2662" s="2" t="str">
        <x:v>Hà Nội|land</x:v>
      </x:c>
      <x:c r="P2662" s="10" t="n">
        <x:v>2</x:v>
      </x:c>
      <x:c r="Q2662" s="13" t="n">
        <x:f>IF(H2662="","",H2662/1000000000)</x:f>
        <x:v>2.65</x:v>
      </x:c>
      <x:c r="R2662" s="13" t="n">
        <x:f>IF(I2662="","",I2662/1000000)</x:f>
        <x:v>48.18181818181818</x:v>
      </x:c>
    </x:row>
    <x:row r="2663" ht="21" customHeight="1">
      <x:c r="A2663" s="10" t="n">
        <x:v>3699</x:v>
      </x:c>
      <x:c r="B2663" s="2" t="str">
        <x:v>de93e72313c32766fc35</x:v>
      </x:c>
      <x:c r="C2663" s="2" t="str">
        <x:v>Tp Hồ Chí Minh</x:v>
      </x:c>
      <x:c r="D2663" s="2" t="str">
        <x:v>Quận 11</x:v>
      </x:c>
      <x:c r="E2663" s="2" t="str">
        <x:v>other_unknown</x:v>
      </x:c>
      <x:c r="F2663" s="2" t="str">
        <x:v>sale_assumed</x:v>
      </x:c>
      <x:c r="G2663" s="11" t="n">
        <x:v>72.3</x:v>
      </x:c>
      <x:c r="H2663" s="12" t="n">
        <x:v>23000000000</x:v>
      </x:c>
      <x:c r="I2663" s="12" t="n">
        <x:v>318118948.824343</x:v>
      </x:c>
      <x:c r="J2663" s="2" t="str">
        <x:v>total</x:v>
      </x:c>
      <x:c r="K2663" s="2" t="str">
        <x:v>top_level_area</x:v>
      </x:c>
      <x:c r="L2663" s="2" t="str">
        <x:v>property_type_inferred_from_title;transaction_assumed_sale_from_dataset_context;unknown_property_type</x:v>
      </x:c>
      <x:c r="M2663" s="10" t="n">
        <x:v>1</x:v>
      </x:c>
      <x:c r="N2663" s="10" t="n">
        <x:v>1</x:v>
      </x:c>
      <x:c r="O2663" s="2" t="str">
        <x:v>Tp Hồ Chí Minh|other_unknown</x:v>
      </x:c>
      <x:c r="P2663" s="10" t="n">
        <x:v>-1</x:v>
      </x:c>
      <x:c r="Q2663" s="13" t="n">
        <x:f>IF(H2663="","",H2663/1000000000)</x:f>
        <x:v>23</x:v>
      </x:c>
      <x:c r="R2663" s="13" t="n">
        <x:f>IF(I2663="","",I2663/1000000)</x:f>
        <x:v>318.118948824343</x:v>
      </x:c>
    </x:row>
    <x:row r="2664" ht="21" customHeight="1">
      <x:c r="A2664" s="10" t="n">
        <x:v>3700</x:v>
      </x:c>
      <x:c r="B2664" s="2" t="str">
        <x:v>b2a7893098d671a40e8e</x:v>
      </x:c>
      <x:c r="C2664" s="2" t="str">
        <x:v>Tp Hồ Chí Minh</x:v>
      </x:c>
      <x:c r="D2664" s="2" t="str">
        <x:v>Quận 9</x:v>
      </x:c>
      <x:c r="E2664" s="2" t="str">
        <x:v>land</x:v>
      </x:c>
      <x:c r="F2664" s="2" t="str">
        <x:v>sale</x:v>
      </x:c>
      <x:c r="G2664" s="11" t="n">
        <x:v>90</x:v>
      </x:c>
      <x:c r="H2664" s="12" t="n">
        <x:v>1690000000</x:v>
      </x:c>
      <x:c r="I2664" s="12" t="n">
        <x:v>18777777.777777776</x:v>
      </x:c>
      <x:c r="J2664" s="2" t="str">
        <x:v>total</x:v>
      </x:c>
      <x:c r="K2664" s="2" t="str">
        <x:v>top_level_area</x:v>
      </x:c>
      <x:c r="L2664" s="2" t="str">
        <x:v>property_type_inferred_from_title</x:v>
      </x:c>
      <x:c r="M2664" s="10" t="n">
        <x:v>0</x:v>
      </x:c>
      <x:c r="N2664" s="10" t="n">
        <x:v>0</x:v>
      </x:c>
      <x:c r="O2664" s="2" t="str">
        <x:v>Tp Hồ Chí Minh|land</x:v>
      </x:c>
      <x:c r="P2664" s="10" t="n">
        <x:v>2</x:v>
      </x:c>
      <x:c r="Q2664" s="13" t="n">
        <x:f>IF(H2664="","",H2664/1000000000)</x:f>
        <x:v>1.69</x:v>
      </x:c>
      <x:c r="R2664" s="13" t="n">
        <x:f>IF(I2664="","",I2664/1000000)</x:f>
        <x:v>18.777777777777775</x:v>
      </x:c>
    </x:row>
    <x:row r="2665" ht="21" customHeight="1">
      <x:c r="A2665" s="10" t="n">
        <x:v>3701</x:v>
      </x:c>
      <x:c r="B2665" s="2" t="str">
        <x:v>b747316570ea95462f46</x:v>
      </x:c>
      <x:c r="C2665" s="2" t="str">
        <x:v>Bình Dương</x:v>
      </x:c>
      <x:c r="D2665" s="2" t="str">
        <x:v>Thị xã Dĩ An</x:v>
      </x:c>
      <x:c r="E2665" s="2" t="str">
        <x:v>land</x:v>
      </x:c>
      <x:c r="F2665" s="2" t="str">
        <x:v>sale_assumed</x:v>
      </x:c>
      <x:c r="G2665" s="11" t="n">
        <x:v>800</x:v>
      </x:c>
      <x:c r="H2665" s="12" t="n">
        <x:v>1200000000</x:v>
      </x:c>
      <x:c r="I2665" s="12" t="n">
        <x:v>1500000</x:v>
      </x:c>
      <x:c r="J2665" s="2" t="str">
        <x:v>total</x:v>
      </x:c>
      <x:c r="K2665" s="2" t="str">
        <x:v>top_level_area</x:v>
      </x:c>
      <x:c r="L2665" s="2" t="str">
        <x:v>property_type_inferred_from_title;transaction_assumed_sale_from_dataset_context</x:v>
      </x:c>
      <x:c r="M2665" s="10" t="n">
        <x:v>0</x:v>
      </x:c>
      <x:c r="N2665" s="10" t="n">
        <x:v>0</x:v>
      </x:c>
      <x:c r="O2665" s="2" t="str">
        <x:v>Bình Dương|land</x:v>
      </x:c>
      <x:c r="P2665" s="10" t="n">
        <x:v>1</x:v>
      </x:c>
      <x:c r="Q2665" s="13" t="n">
        <x:f>IF(H2665="","",H2665/1000000000)</x:f>
        <x:v>1.2</x:v>
      </x:c>
      <x:c r="R2665" s="13" t="n">
        <x:f>IF(I2665="","",I2665/1000000)</x:f>
        <x:v>1.5</x:v>
      </x:c>
    </x:row>
    <x:row r="2666" ht="21" customHeight="1">
      <x:c r="A2666" s="10" t="n">
        <x:v>3702</x:v>
      </x:c>
      <x:c r="B2666" s="2" t="str">
        <x:v>77df038ba9488776577f</x:v>
      </x:c>
      <x:c r="C2666" s="2" t="str">
        <x:v>Bình Dương</x:v>
      </x:c>
      <x:c r="D2666" s="2" t="str">
        <x:v>Thị xã Thuận An</x:v>
      </x:c>
      <x:c r="E2666" s="2" t="str">
        <x:v>apartment</x:v>
      </x:c>
      <x:c r="F2666" s="2" t="str">
        <x:v>sale_assumed</x:v>
      </x:c>
      <x:c r="G2666" s="11" t="n">
        <x:v>60</x:v>
      </x:c>
      <x:c r="H2666" s="12" t="n">
        <x:v>50000000</x:v>
      </x:c>
      <x:c r="I2666" s="12" t="n">
        <x:v>833333.3333333334</x:v>
      </x:c>
      <x:c r="J2666" s="2" t="str">
        <x:v>total</x:v>
      </x:c>
      <x:c r="K2666" s="2" t="str">
        <x:v>top_level_area</x:v>
      </x:c>
      <x:c r="L2666" s="2" t="str">
        <x:v>property_type_inferred_from_title;transaction_assumed_sale_from_dataset_context</x:v>
      </x:c>
      <x:c r="M2666" s="10" t="n">
        <x:v>0</x:v>
      </x:c>
      <x:c r="N2666" s="10" t="n">
        <x:v>0</x:v>
      </x:c>
      <x:c r="O2666" s="2" t="str">
        <x:v>Bình Dương|apartment</x:v>
      </x:c>
      <x:c r="P2666" s="10" t="n">
        <x:v>1</x:v>
      </x:c>
      <x:c r="Q2666" s="13" t="n">
        <x:f>IF(H2666="","",H2666/1000000000)</x:f>
        <x:v>0.05</x:v>
      </x:c>
      <x:c r="R2666" s="13" t="n">
        <x:f>IF(I2666="","",I2666/1000000)</x:f>
        <x:v>0.8333333333333334</x:v>
      </x:c>
    </x:row>
    <x:row r="2667" ht="21" customHeight="1">
      <x:c r="A2667" s="10" t="n">
        <x:v>3703</x:v>
      </x:c>
      <x:c r="B2667" s="2" t="str">
        <x:v>c59bb1c5660633ab40b9</x:v>
      </x:c>
      <x:c r="C2667" s="2" t="str">
        <x:v>Chưa xác định</x:v>
      </x:c>
      <x:c r="D2667" s="2" t="str">
        <x:v>Chưa xác định</x:v>
      </x:c>
      <x:c r="E2667" s="2" t="str">
        <x:v>land</x:v>
      </x:c>
      <x:c r="F2667" s="2" t="str">
        <x:v>sale_assumed</x:v>
      </x:c>
      <x:c r="G2667" s="11" t="n">
        <x:v>1000</x:v>
      </x:c>
      <x:c r="H2667" s="12" t="n">
        <x:v>720000000</x:v>
      </x:c>
      <x:c r="I2667" s="12" t="n">
        <x:v>720000</x:v>
      </x:c>
      <x:c r="J2667" s="2" t="str">
        <x:v>total</x:v>
      </x:c>
      <x:c r="K2667" s="2" t="str">
        <x:v>top_level_price_embedded_area</x:v>
      </x:c>
      <x:c r="L2667" s="2" t="str">
        <x:v>area_recovered_from_price_text;dot_thousands_convention;property_type_inferred_from_title;transaction_assumed_sale_from_dataset_context;unknown_district;unknown_province</x:v>
      </x:c>
      <x:c r="M2667" s="10" t="n">
        <x:v>0</x:v>
      </x:c>
      <x:c r="N2667" s="10" t="n">
        <x:v>0</x:v>
      </x:c>
      <x:c r="O2667" s="2" t="str">
        <x:v>land</x:v>
      </x:c>
      <x:c r="P2667" s="10" t="n">
        <x:v>1</x:v>
      </x:c>
      <x:c r="Q2667" s="13" t="n">
        <x:f>IF(H2667="","",H2667/1000000000)</x:f>
        <x:v>0.72</x:v>
      </x:c>
      <x:c r="R2667" s="13" t="n">
        <x:f>IF(I2667="","",I2667/1000000)</x:f>
        <x:v>0.72</x:v>
      </x:c>
    </x:row>
    <x:row r="2668" ht="21" customHeight="1">
      <x:c r="A2668" s="10" t="n">
        <x:v>3704</x:v>
      </x:c>
      <x:c r="B2668" s="2" t="str">
        <x:v>24f0ee78b42b98fa1175</x:v>
      </x:c>
      <x:c r="C2668" s="2" t="str">
        <x:v>Tp Hồ Chí Minh</x:v>
      </x:c>
      <x:c r="D2668" s="2" t="str">
        <x:v>Quận 12</x:v>
      </x:c>
      <x:c r="E2668" s="2" t="str">
        <x:v>land</x:v>
      </x:c>
      <x:c r="F2668" s="2" t="str">
        <x:v>sale</x:v>
      </x:c>
      <x:c r="G2668" s="11" t="n">
        <x:v>50</x:v>
      </x:c>
      <x:c r="H2668" s="12" t="n">
        <x:v>2850000000</x:v>
      </x:c>
      <x:c r="I2668" s="12" t="n">
        <x:v>57000000</x:v>
      </x:c>
      <x:c r="J2668" s="2" t="str">
        <x:v>total</x:v>
      </x:c>
      <x:c r="K2668" s="2" t="str">
        <x:v>top_level_area</x:v>
      </x:c>
      <x:c r="L2668" s="2" t="str">
        <x:v>property_type_inferred_from_title</x:v>
      </x:c>
      <x:c r="M2668" s="10" t="n">
        <x:v>0</x:v>
      </x:c>
      <x:c r="N2668" s="10" t="n">
        <x:v>0</x:v>
      </x:c>
      <x:c r="O2668" s="2" t="str">
        <x:v>Tp Hồ Chí Minh|land</x:v>
      </x:c>
      <x:c r="P2668" s="10" t="n">
        <x:v>2</x:v>
      </x:c>
      <x:c r="Q2668" s="13" t="n">
        <x:f>IF(H2668="","",H2668/1000000000)</x:f>
        <x:v>2.85</x:v>
      </x:c>
      <x:c r="R2668" s="13" t="n">
        <x:f>IF(I2668="","",I2668/1000000)</x:f>
        <x:v>57</x:v>
      </x:c>
    </x:row>
    <x:row r="2669" ht="21" customHeight="1">
      <x:c r="A2669" s="10" t="n">
        <x:v>3705</x:v>
      </x:c>
      <x:c r="B2669" s="2" t="str">
        <x:v>9f8a4aee6ce065331b53</x:v>
      </x:c>
      <x:c r="C2669" s="2" t="str">
        <x:v>Tp Hồ Chí Minh</x:v>
      </x:c>
      <x:c r="D2669" s="2" t="str">
        <x:v>Quận Bình Thạnh</x:v>
      </x:c>
      <x:c r="E2669" s="2" t="str">
        <x:v>house</x:v>
      </x:c>
      <x:c r="F2669" s="2" t="str">
        <x:v>sale</x:v>
      </x:c>
      <x:c r="G2669" s="11" t="n">
        <x:v>48</x:v>
      </x:c>
      <x:c r="H2669" s="12" t="n">
        <x:v>1920000000</x:v>
      </x:c>
      <x:c r="I2669" s="12" t="n">
        <x:v>40000000</x:v>
      </x:c>
      <x:c r="J2669" s="2" t="str">
        <x:v>total</x:v>
      </x:c>
      <x:c r="K2669" s="2" t="str">
        <x:v>top_level_price_embedded_area</x:v>
      </x:c>
      <x:c r="L2669" s="2" t="str">
        <x:v>area_recovered_from_price_text;property_type_inferred_from_title</x:v>
      </x:c>
      <x:c r="M2669" s="10" t="n">
        <x:v>0</x:v>
      </x:c>
      <x:c r="N2669" s="10" t="n">
        <x:v>0</x:v>
      </x:c>
      <x:c r="O2669" s="2" t="str">
        <x:v>Tp Hồ Chí Minh|house</x:v>
      </x:c>
      <x:c r="P2669" s="10" t="n">
        <x:v>2</x:v>
      </x:c>
      <x:c r="Q2669" s="13" t="n">
        <x:f>IF(H2669="","",H2669/1000000000)</x:f>
        <x:v>1.92</x:v>
      </x:c>
      <x:c r="R2669" s="13" t="n">
        <x:f>IF(I2669="","",I2669/1000000)</x:f>
        <x:v>40</x:v>
      </x:c>
    </x:row>
    <x:row r="2670" ht="21" customHeight="1">
      <x:c r="A2670" s="10" t="n">
        <x:v>3708</x:v>
      </x:c>
      <x:c r="B2670" s="2" t="str">
        <x:v>6c1e3d1b5f21fa415f20</x:v>
      </x:c>
      <x:c r="C2670" s="2" t="str">
        <x:v>Đồng Nai</x:v>
      </x:c>
      <x:c r="D2670" s="2" t="str">
        <x:v>Huyện Nhơn Trạch</x:v>
      </x:c>
      <x:c r="E2670" s="2" t="str">
        <x:v>land</x:v>
      </x:c>
      <x:c r="F2670" s="2" t="str">
        <x:v>sale_assumed</x:v>
      </x:c>
      <x:c r="G2670" s="11" t="n">
        <x:v>1000</x:v>
      </x:c>
      <x:c r="H2670" s="12" t="n">
        <x:v>830000000</x:v>
      </x:c>
      <x:c r="I2670" s="12" t="n">
        <x:v>830000</x:v>
      </x:c>
      <x:c r="J2670" s="2" t="str">
        <x:v>total</x:v>
      </x:c>
      <x:c r="K2670" s="2" t="str">
        <x:v>top_level_area</x:v>
      </x:c>
      <x:c r="L2670" s="2" t="str">
        <x:v>dot_thousands_convention;property_type_inferred_from_title;transaction_assumed_sale_from_dataset_context</x:v>
      </x:c>
      <x:c r="M2670" s="10" t="n">
        <x:v>0</x:v>
      </x:c>
      <x:c r="N2670" s="10" t="n">
        <x:v>0</x:v>
      </x:c>
      <x:c r="O2670" s="2" t="str">
        <x:v>Đồng Nai|land</x:v>
      </x:c>
      <x:c r="P2670" s="10" t="n">
        <x:v>1</x:v>
      </x:c>
      <x:c r="Q2670" s="13" t="n">
        <x:f>IF(H2670="","",H2670/1000000000)</x:f>
        <x:v>0.83</x:v>
      </x:c>
      <x:c r="R2670" s="13" t="n">
        <x:f>IF(I2670="","",I2670/1000000)</x:f>
        <x:v>0.83</x:v>
      </x:c>
    </x:row>
    <x:row r="2671" ht="21" customHeight="1">
      <x:c r="A2671" s="10" t="n">
        <x:v>3709</x:v>
      </x:c>
      <x:c r="B2671" s="2" t="str">
        <x:v>333d7ba44ea4770e1863</x:v>
      </x:c>
      <x:c r="C2671" s="2" t="str">
        <x:v>Long An</x:v>
      </x:c>
      <x:c r="D2671" s="2" t="str">
        <x:v>Huyện Đức Hòa</x:v>
      </x:c>
      <x:c r="E2671" s="2" t="str">
        <x:v>house</x:v>
      </x:c>
      <x:c r="F2671" s="2" t="str">
        <x:v>sale_assumed</x:v>
      </x:c>
      <x:c r="G2671" s="11" t="n">
        <x:v>76</x:v>
      </x:c>
      <x:c r="H2671" s="12" t="n">
        <x:v>650000000</x:v>
      </x:c>
      <x:c r="I2671" s="12" t="n">
        <x:v>8552631.578947369</x:v>
      </x:c>
      <x:c r="J2671" s="2" t="str">
        <x:v>total</x:v>
      </x:c>
      <x:c r="K2671" s="2" t="str">
        <x:v>top_level_area</x:v>
      </x:c>
      <x:c r="L2671" s="2" t="str">
        <x:v>property_type_inferred_from_title;transaction_assumed_sale_from_dataset_context</x:v>
      </x:c>
      <x:c r="M2671" s="10" t="n">
        <x:v>0</x:v>
      </x:c>
      <x:c r="N2671" s="10" t="n">
        <x:v>0</x:v>
      </x:c>
      <x:c r="O2671" s="2" t="str">
        <x:v>Long An|house</x:v>
      </x:c>
      <x:c r="P2671" s="10" t="n">
        <x:v>2</x:v>
      </x:c>
      <x:c r="Q2671" s="13" t="n">
        <x:f>IF(H2671="","",H2671/1000000000)</x:f>
        <x:v>0.65</x:v>
      </x:c>
      <x:c r="R2671" s="13" t="n">
        <x:f>IF(I2671="","",I2671/1000000)</x:f>
        <x:v>8.552631578947368</x:v>
      </x:c>
    </x:row>
    <x:row r="2672" ht="21" customHeight="1">
      <x:c r="A2672" s="10" t="n">
        <x:v>3710</x:v>
      </x:c>
      <x:c r="B2672" s="2" t="str">
        <x:v>7127ddefd21e8f111adb</x:v>
      </x:c>
      <x:c r="C2672" s="2" t="str">
        <x:v>Tp Hồ Chí Minh</x:v>
      </x:c>
      <x:c r="D2672" s="2" t="str">
        <x:v>Quận 7</x:v>
      </x:c>
      <x:c r="E2672" s="2" t="str">
        <x:v>house</x:v>
      </x:c>
      <x:c r="F2672" s="2" t="str">
        <x:v>sale</x:v>
      </x:c>
      <x:c r="G2672" s="11" t="n">
        <x:v>33</x:v>
      </x:c>
      <x:c r="H2672" s="12" t="n">
        <x:v>1050000000</x:v>
      </x:c>
      <x:c r="I2672" s="12" t="n">
        <x:v>31818181.818181816</x:v>
      </x:c>
      <x:c r="J2672" s="2" t="str">
        <x:v>total</x:v>
      </x:c>
      <x:c r="K2672" s="2" t="str">
        <x:v>top_level_area</x:v>
      </x:c>
      <x:c r="L2672" s="2" t="str">
        <x:v>property_type_inferred_from_title</x:v>
      </x:c>
      <x:c r="M2672" s="10" t="n">
        <x:v>0</x:v>
      </x:c>
      <x:c r="N2672" s="10" t="n">
        <x:v>0</x:v>
      </x:c>
      <x:c r="O2672" s="2" t="str">
        <x:v>Tp Hồ Chí Minh|house</x:v>
      </x:c>
      <x:c r="P2672" s="10" t="n">
        <x:v>2</x:v>
      </x:c>
      <x:c r="Q2672" s="13" t="n">
        <x:f>IF(H2672="","",H2672/1000000000)</x:f>
        <x:v>1.05</x:v>
      </x:c>
      <x:c r="R2672" s="13" t="n">
        <x:f>IF(I2672="","",I2672/1000000)</x:f>
        <x:v>31.818181818181817</x:v>
      </x:c>
    </x:row>
    <x:row r="2673" ht="21" customHeight="1">
      <x:c r="A2673" s="10" t="n">
        <x:v>3711</x:v>
      </x:c>
      <x:c r="B2673" s="2" t="str">
        <x:v>a6db3a7800ec821e4e8c</x:v>
      </x:c>
      <x:c r="C2673" s="2" t="str">
        <x:v>Thanh Hóa</x:v>
      </x:c>
      <x:c r="D2673" s="2" t="str">
        <x:v>Thành phố Thanh Hóa</x:v>
      </x:c>
      <x:c r="E2673" s="2" t="str">
        <x:v>land</x:v>
      </x:c>
      <x:c r="F2673" s="2" t="str">
        <x:v>sale_assumed</x:v>
      </x:c>
      <x:c r="G2673" s="11" t="n">
        <x:v>4327</x:v>
      </x:c>
      <x:c r="H2673" s="12" t="n">
        <x:v>7200000000</x:v>
      </x:c>
      <x:c r="I2673" s="12" t="n">
        <x:v>1663970.4183036746</x:v>
      </x:c>
      <x:c r="J2673" s="2" t="str">
        <x:v>total</x:v>
      </x:c>
      <x:c r="K2673" s="2" t="str">
        <x:v>top_level_price_embedded_area</x:v>
      </x:c>
      <x:c r="L2673" s="2" t="str">
        <x:v>area_recovered_from_price_text;dot_thousands_convention;property_type_inferred_from_title;transaction_assumed_sale_from_dataset_context</x:v>
      </x:c>
      <x:c r="M2673" s="10" t="n">
        <x:v>0</x:v>
      </x:c>
      <x:c r="N2673" s="10" t="n">
        <x:v>0</x:v>
      </x:c>
      <x:c r="O2673" s="2" t="str">
        <x:v>land</x:v>
      </x:c>
      <x:c r="P2673" s="10" t="n">
        <x:v>1</x:v>
      </x:c>
      <x:c r="Q2673" s="13" t="n">
        <x:f>IF(H2673="","",H2673/1000000000)</x:f>
        <x:v>7.2</x:v>
      </x:c>
      <x:c r="R2673" s="13" t="n">
        <x:f>IF(I2673="","",I2673/1000000)</x:f>
        <x:v>1.6639704183036745</x:v>
      </x:c>
    </x:row>
    <x:row r="2674" ht="21" customHeight="1">
      <x:c r="A2674" s="10" t="n">
        <x:v>3712</x:v>
      </x:c>
      <x:c r="B2674" s="2" t="str">
        <x:v>74d0fd78bf7c477cbcd8</x:v>
      </x:c>
      <x:c r="C2674" s="2" t="str">
        <x:v>Đà Nẵng</x:v>
      </x:c>
      <x:c r="D2674" s="2" t="str">
        <x:v>Quận Liên Chiểu</x:v>
      </x:c>
      <x:c r="E2674" s="2" t="str">
        <x:v>house</x:v>
      </x:c>
      <x:c r="F2674" s="2" t="str">
        <x:v>sale</x:v>
      </x:c>
      <x:c r="G2674" s="11" t="n">
        <x:v>106.6</x:v>
      </x:c>
      <x:c r="H2674" s="12" t="n">
        <x:v>3360000000</x:v>
      </x:c>
      <x:c r="I2674" s="12" t="n">
        <x:v>31519699.81238274</x:v>
      </x:c>
      <x:c r="J2674" s="2" t="str">
        <x:v>total</x:v>
      </x:c>
      <x:c r="K2674" s="2" t="str">
        <x:v>top_level_area</x:v>
      </x:c>
      <x:c r="L2674" s="2" t="str">
        <x:v>property_type_inferred_from_title</x:v>
      </x:c>
      <x:c r="M2674" s="10" t="n">
        <x:v>0</x:v>
      </x:c>
      <x:c r="N2674" s="10" t="n">
        <x:v>0</x:v>
      </x:c>
      <x:c r="O2674" s="2" t="str">
        <x:v>Đà Nẵng|house</x:v>
      </x:c>
      <x:c r="P2674" s="10" t="n">
        <x:v>2</x:v>
      </x:c>
      <x:c r="Q2674" s="13" t="n">
        <x:f>IF(H2674="","",H2674/1000000000)</x:f>
        <x:v>3.36</x:v>
      </x:c>
      <x:c r="R2674" s="13" t="n">
        <x:f>IF(I2674="","",I2674/1000000)</x:f>
        <x:v>31.51969981238274</x:v>
      </x:c>
    </x:row>
    <x:row r="2675" ht="21" customHeight="1">
      <x:c r="A2675" s="10" t="n">
        <x:v>3713</x:v>
      </x:c>
      <x:c r="B2675" s="2" t="str">
        <x:v>5884a58b830da9997c67</x:v>
      </x:c>
      <x:c r="C2675" s="2" t="str">
        <x:v>Tp Hồ Chí Minh</x:v>
      </x:c>
      <x:c r="D2675" s="2" t="str">
        <x:v>Quận 8</x:v>
      </x:c>
      <x:c r="E2675" s="2" t="str">
        <x:v>house</x:v>
      </x:c>
      <x:c r="F2675" s="2" t="str">
        <x:v>sale</x:v>
      </x:c>
      <x:c r="G2675" s="11" t="n">
        <x:v>84</x:v>
      </x:c>
      <x:c r="H2675" s="12" t="n">
        <x:v>5400000000</x:v>
      </x:c>
      <x:c r="I2675" s="12" t="n">
        <x:v>64285714.28571428</x:v>
      </x:c>
      <x:c r="J2675" s="2" t="str">
        <x:v>total</x:v>
      </x:c>
      <x:c r="K2675" s="2" t="str">
        <x:v>top_level_area</x:v>
      </x:c>
      <x:c r="L2675" s="2" t="str">
        <x:v>property_type_inferred_from_title</x:v>
      </x:c>
      <x:c r="M2675" s="10" t="n">
        <x:v>0</x:v>
      </x:c>
      <x:c r="N2675" s="10" t="n">
        <x:v>0</x:v>
      </x:c>
      <x:c r="O2675" s="2" t="str">
        <x:v>Tp Hồ Chí Minh|house</x:v>
      </x:c>
      <x:c r="P2675" s="10" t="n">
        <x:v>2</x:v>
      </x:c>
      <x:c r="Q2675" s="13" t="n">
        <x:f>IF(H2675="","",H2675/1000000000)</x:f>
        <x:v>5.4</x:v>
      </x:c>
      <x:c r="R2675" s="13" t="n">
        <x:f>IF(I2675="","",I2675/1000000)</x:f>
        <x:v>64.28571428571428</x:v>
      </x:c>
    </x:row>
    <x:row r="2676" ht="21" customHeight="1">
      <x:c r="A2676" s="10" t="n">
        <x:v>3714</x:v>
      </x:c>
      <x:c r="B2676" s="2" t="str">
        <x:v>7567f7f8d6c45e820707</x:v>
      </x:c>
      <x:c r="C2676" s="2" t="str">
        <x:v>Hà Nội</x:v>
      </x:c>
      <x:c r="D2676" s="2" t="str">
        <x:v>Quận Thanh Xuân</x:v>
      </x:c>
      <x:c r="E2676" s="2" t="str">
        <x:v>house</x:v>
      </x:c>
      <x:c r="F2676" s="2" t="str">
        <x:v>sale</x:v>
      </x:c>
      <x:c r="G2676" s="11" t="n">
        <x:v>36</x:v>
      </x:c>
      <x:c r="H2676" s="12" t="n">
        <x:v>2700000000</x:v>
      </x:c>
      <x:c r="I2676" s="12" t="n">
        <x:v>75000000</x:v>
      </x:c>
      <x:c r="J2676" s="2" t="str">
        <x:v>total</x:v>
      </x:c>
      <x:c r="K2676" s="2" t="str">
        <x:v>top_level_area</x:v>
      </x:c>
      <x:c r="L2676" s="2" t="str">
        <x:v>property_type_inferred_from_title</x:v>
      </x:c>
      <x:c r="M2676" s="10" t="n">
        <x:v>0</x:v>
      </x:c>
      <x:c r="N2676" s="10" t="n">
        <x:v>0</x:v>
      </x:c>
      <x:c r="O2676" s="2" t="str">
        <x:v>Hà Nội|house</x:v>
      </x:c>
      <x:c r="P2676" s="10" t="n">
        <x:v>2</x:v>
      </x:c>
      <x:c r="Q2676" s="13" t="n">
        <x:f>IF(H2676="","",H2676/1000000000)</x:f>
        <x:v>2.7</x:v>
      </x:c>
      <x:c r="R2676" s="13" t="n">
        <x:f>IF(I2676="","",I2676/1000000)</x:f>
        <x:v>75</x:v>
      </x:c>
    </x:row>
    <x:row r="2677" ht="21" customHeight="1">
      <x:c r="A2677" s="10" t="n">
        <x:v>3715</x:v>
      </x:c>
      <x:c r="B2677" s="2" t="str">
        <x:v>2fe60123bfd479f6ecf5</x:v>
      </x:c>
      <x:c r="C2677" s="2" t="str">
        <x:v>Tp Hồ Chí Minh</x:v>
      </x:c>
      <x:c r="D2677" s="2" t="str">
        <x:v>Quận Tân Phú</x:v>
      </x:c>
      <x:c r="E2677" s="2" t="str">
        <x:v>house</x:v>
      </x:c>
      <x:c r="F2677" s="2" t="str">
        <x:v>sale</x:v>
      </x:c>
      <x:c r="G2677" s="11" t="n">
        <x:v>50</x:v>
      </x:c>
      <x:c r="H2677" s="12" t="n">
        <x:v>4500000000</x:v>
      </x:c>
      <x:c r="I2677" s="12" t="n">
        <x:v>90000000</x:v>
      </x:c>
      <x:c r="J2677" s="2" t="str">
        <x:v>total</x:v>
      </x:c>
      <x:c r="K2677" s="2" t="str">
        <x:v>top_level_price_embedded_area</x:v>
      </x:c>
      <x:c r="L2677" s="2" t="str">
        <x:v>area_recovered_from_price_text;property_type_inferred_from_title</x:v>
      </x:c>
      <x:c r="M2677" s="10" t="n">
        <x:v>0</x:v>
      </x:c>
      <x:c r="N2677" s="10" t="n">
        <x:v>0</x:v>
      </x:c>
      <x:c r="O2677" s="2" t="str">
        <x:v>Tp Hồ Chí Minh|house</x:v>
      </x:c>
      <x:c r="P2677" s="10" t="n">
        <x:v>2</x:v>
      </x:c>
      <x:c r="Q2677" s="13" t="n">
        <x:f>IF(H2677="","",H2677/1000000000)</x:f>
        <x:v>4.5</x:v>
      </x:c>
      <x:c r="R2677" s="13" t="n">
        <x:f>IF(I2677="","",I2677/1000000)</x:f>
        <x:v>90</x:v>
      </x:c>
    </x:row>
    <x:row r="2678" ht="21" customHeight="1">
      <x:c r="A2678" s="10" t="n">
        <x:v>3716</x:v>
      </x:c>
      <x:c r="B2678" s="2" t="str">
        <x:v>0d239d4c685d4d2fab63</x:v>
      </x:c>
      <x:c r="C2678" s="2" t="str">
        <x:v>Tp Hồ Chí Minh</x:v>
      </x:c>
      <x:c r="D2678" s="2" t="str">
        <x:v>Quận 9</x:v>
      </x:c>
      <x:c r="E2678" s="2" t="str">
        <x:v>house</x:v>
      </x:c>
      <x:c r="F2678" s="2" t="str">
        <x:v>sale_assumed</x:v>
      </x:c>
      <x:c r="G2678" s="11" t="n">
        <x:v>60</x:v>
      </x:c>
      <x:c r="H2678" s="12" t="n">
        <x:v>2260000000</x:v>
      </x:c>
      <x:c r="I2678" s="12" t="n">
        <x:v>37666666.666666664</x:v>
      </x:c>
      <x:c r="J2678" s="2" t="str">
        <x:v>total</x:v>
      </x:c>
      <x:c r="K2678" s="2" t="str">
        <x:v>top_level_area</x:v>
      </x:c>
      <x:c r="L2678" s="2" t="str">
        <x:v>property_type_inferred_from_title;transaction_assumed_sale_from_dataset_context</x:v>
      </x:c>
      <x:c r="M2678" s="10" t="n">
        <x:v>0</x:v>
      </x:c>
      <x:c r="N2678" s="10" t="n">
        <x:v>0</x:v>
      </x:c>
      <x:c r="O2678" s="2" t="str">
        <x:v>Tp Hồ Chí Minh|house</x:v>
      </x:c>
      <x:c r="P2678" s="10" t="n">
        <x:v>2</x:v>
      </x:c>
      <x:c r="Q2678" s="13" t="n">
        <x:f>IF(H2678="","",H2678/1000000000)</x:f>
        <x:v>2.26</x:v>
      </x:c>
      <x:c r="R2678" s="13" t="n">
        <x:f>IF(I2678="","",I2678/1000000)</x:f>
        <x:v>37.666666666666664</x:v>
      </x:c>
    </x:row>
    <x:row r="2679" ht="21" customHeight="1">
      <x:c r="A2679" s="10" t="n">
        <x:v>3717</x:v>
      </x:c>
      <x:c r="B2679" s="2" t="str">
        <x:v>5153e64b33918ec0cf3a</x:v>
      </x:c>
      <x:c r="C2679" s="2" t="str">
        <x:v>Tp Hồ Chí Minh</x:v>
      </x:c>
      <x:c r="D2679" s="2" t="str">
        <x:v>Quận Bình Thạnh</x:v>
      </x:c>
      <x:c r="E2679" s="2" t="str">
        <x:v>house</x:v>
      </x:c>
      <x:c r="F2679" s="2" t="str">
        <x:v>sale</x:v>
      </x:c>
      <x:c r="G2679" s="11" t="n">
        <x:v>30</x:v>
      </x:c>
      <x:c r="H2679" s="12" t="n">
        <x:v>2800000000</x:v>
      </x:c>
      <x:c r="I2679" s="12" t="n">
        <x:v>93333333.33333333</x:v>
      </x:c>
      <x:c r="J2679" s="2" t="str">
        <x:v>total</x:v>
      </x:c>
      <x:c r="K2679" s="2" t="str">
        <x:v>top_level_area</x:v>
      </x:c>
      <x:c r="L2679" s="2" t="str">
        <x:v>property_type_inferred_from_title</x:v>
      </x:c>
      <x:c r="M2679" s="10" t="n">
        <x:v>0</x:v>
      </x:c>
      <x:c r="N2679" s="10" t="n">
        <x:v>0</x:v>
      </x:c>
      <x:c r="O2679" s="2" t="str">
        <x:v>Tp Hồ Chí Minh|house</x:v>
      </x:c>
      <x:c r="P2679" s="10" t="n">
        <x:v>2</x:v>
      </x:c>
      <x:c r="Q2679" s="13" t="n">
        <x:f>IF(H2679="","",H2679/1000000000)</x:f>
        <x:v>2.8</x:v>
      </x:c>
      <x:c r="R2679" s="13" t="n">
        <x:f>IF(I2679="","",I2679/1000000)</x:f>
        <x:v>93.33333333333333</x:v>
      </x:c>
    </x:row>
    <x:row r="2680" ht="21" customHeight="1">
      <x:c r="A2680" s="10" t="n">
        <x:v>3718</x:v>
      </x:c>
      <x:c r="B2680" s="2" t="str">
        <x:v>2af4b022e36431a7fd3d</x:v>
      </x:c>
      <x:c r="C2680" s="2" t="str">
        <x:v>Hà Nội</x:v>
      </x:c>
      <x:c r="D2680" s="2" t="str">
        <x:v>Quận Tây Hồ</x:v>
      </x:c>
      <x:c r="E2680" s="2" t="str">
        <x:v>apartment</x:v>
      </x:c>
      <x:c r="F2680" s="2" t="str">
        <x:v>sale_assumed</x:v>
      </x:c>
      <x:c r="G2680" s="11" t="n">
        <x:v>45</x:v>
      </x:c>
      <x:c r="H2680" s="12" t="n">
        <x:v>1200000000</x:v>
      </x:c>
      <x:c r="I2680" s="12" t="n">
        <x:v>26666666.666666668</x:v>
      </x:c>
      <x:c r="J2680" s="2" t="str">
        <x:v>total</x:v>
      </x:c>
      <x:c r="K2680" s="2" t="str">
        <x:v>top_level_area</x:v>
      </x:c>
      <x:c r="L2680" s="2" t="str">
        <x:v>property_type_inferred_from_title;transaction_assumed_sale_from_dataset_context</x:v>
      </x:c>
      <x:c r="M2680" s="10" t="n">
        <x:v>0</x:v>
      </x:c>
      <x:c r="N2680" s="10" t="n">
        <x:v>0</x:v>
      </x:c>
      <x:c r="O2680" s="2" t="str">
        <x:v>Hà Nội|apartment</x:v>
      </x:c>
      <x:c r="P2680" s="10" t="n">
        <x:v>2</x:v>
      </x:c>
      <x:c r="Q2680" s="13" t="n">
        <x:f>IF(H2680="","",H2680/1000000000)</x:f>
        <x:v>1.2</x:v>
      </x:c>
      <x:c r="R2680" s="13" t="n">
        <x:f>IF(I2680="","",I2680/1000000)</x:f>
        <x:v>26.666666666666668</x:v>
      </x:c>
    </x:row>
    <x:row r="2681" ht="21" customHeight="1">
      <x:c r="A2681" s="10" t="n">
        <x:v>3719</x:v>
      </x:c>
      <x:c r="B2681" s="2" t="str">
        <x:v>535bb52d8ba727aff600</x:v>
      </x:c>
      <x:c r="C2681" s="2" t="str">
        <x:v>Sóc Trăng</x:v>
      </x:c>
      <x:c r="D2681" s="2" t="str">
        <x:v>Thành phố Sóc Trăng</x:v>
      </x:c>
      <x:c r="E2681" s="2" t="str">
        <x:v>land</x:v>
      </x:c>
      <x:c r="F2681" s="2" t="str">
        <x:v>sale</x:v>
      </x:c>
      <x:c r="G2681" s="11" t="n">
        <x:v>72</x:v>
      </x:c>
      <x:c r="H2681" s="12" t="n">
        <x:v>350000000</x:v>
      </x:c>
      <x:c r="I2681" s="12" t="n">
        <x:v>4861111.111111111</x:v>
      </x:c>
      <x:c r="J2681" s="2" t="str">
        <x:v>total</x:v>
      </x:c>
      <x:c r="K2681" s="2" t="str">
        <x:v>top_level_area</x:v>
      </x:c>
      <x:c r="L2681" s="2" t="str">
        <x:v>property_type_inferred_from_title</x:v>
      </x:c>
      <x:c r="M2681" s="10" t="n">
        <x:v>0</x:v>
      </x:c>
      <x:c r="N2681" s="10" t="n">
        <x:v>0</x:v>
      </x:c>
      <x:c r="O2681" s="2" t="str">
        <x:v>land</x:v>
      </x:c>
      <x:c r="P2681" s="10" t="n">
        <x:v>2</x:v>
      </x:c>
      <x:c r="Q2681" s="13" t="n">
        <x:f>IF(H2681="","",H2681/1000000000)</x:f>
        <x:v>0.35</x:v>
      </x:c>
      <x:c r="R2681" s="13" t="n">
        <x:f>IF(I2681="","",I2681/1000000)</x:f>
        <x:v>4.861111111111111</x:v>
      </x:c>
    </x:row>
    <x:row r="2682" ht="21" customHeight="1">
      <x:c r="A2682" s="10" t="n">
        <x:v>3720</x:v>
      </x:c>
      <x:c r="B2682" s="2" t="str">
        <x:v>db9fa5fab3c43d8af7ff</x:v>
      </x:c>
      <x:c r="C2682" s="2" t="str">
        <x:v>Tiền Giang</x:v>
      </x:c>
      <x:c r="D2682" s="2" t="str">
        <x:v>Thành phố Mỹ Tho</x:v>
      </x:c>
      <x:c r="E2682" s="2" t="str">
        <x:v>house</x:v>
      </x:c>
      <x:c r="F2682" s="2" t="str">
        <x:v>sale</x:v>
      </x:c>
      <x:c r="G2682" s="11" t="n">
        <x:v>32</x:v>
      </x:c>
      <x:c r="H2682" s="12" t="n">
        <x:v>690000000</x:v>
      </x:c>
      <x:c r="I2682" s="12" t="n">
        <x:v>21562500</x:v>
      </x:c>
      <x:c r="J2682" s="2" t="str">
        <x:v>total</x:v>
      </x:c>
      <x:c r="K2682" s="2" t="str">
        <x:v>top_level_area</x:v>
      </x:c>
      <x:c r="L2682" s="2" t="str">
        <x:v>property_type_inferred_from_title</x:v>
      </x:c>
      <x:c r="M2682" s="10" t="n">
        <x:v>0</x:v>
      </x:c>
      <x:c r="N2682" s="10" t="n">
        <x:v>0</x:v>
      </x:c>
      <x:c r="O2682" s="2" t="str">
        <x:v>house</x:v>
      </x:c>
      <x:c r="P2682" s="10" t="n">
        <x:v>2</x:v>
      </x:c>
      <x:c r="Q2682" s="13" t="n">
        <x:f>IF(H2682="","",H2682/1000000000)</x:f>
        <x:v>0.69</x:v>
      </x:c>
      <x:c r="R2682" s="13" t="n">
        <x:f>IF(I2682="","",I2682/1000000)</x:f>
        <x:v>21.5625</x:v>
      </x:c>
    </x:row>
    <x:row r="2683" ht="21" customHeight="1">
      <x:c r="A2683" s="10" t="n">
        <x:v>3721</x:v>
      </x:c>
      <x:c r="B2683" s="2" t="str">
        <x:v>a71be60ebb8fc44f1408</x:v>
      </x:c>
      <x:c r="C2683" s="2" t="str">
        <x:v>Tp Hồ Chí Minh</x:v>
      </x:c>
      <x:c r="D2683" s="2" t="str">
        <x:v>Quận Thủ Đức</x:v>
      </x:c>
      <x:c r="E2683" s="2" t="str">
        <x:v>house</x:v>
      </x:c>
      <x:c r="F2683" s="2" t="str">
        <x:v>sale_assumed</x:v>
      </x:c>
      <x:c r="G2683" s="11" t="n">
        <x:v>52</x:v>
      </x:c>
      <x:c r="H2683" s="12" t="n">
        <x:v>4900000000</x:v>
      </x:c>
      <x:c r="I2683" s="12" t="n">
        <x:v>94230769.23076923</x:v>
      </x:c>
      <x:c r="J2683" s="2" t="str">
        <x:v>total</x:v>
      </x:c>
      <x:c r="K2683" s="2" t="str">
        <x:v>top_level_area</x:v>
      </x:c>
      <x:c r="L2683" s="2" t="str">
        <x:v>property_type_inferred_from_title;transaction_assumed_sale_from_dataset_context</x:v>
      </x:c>
      <x:c r="M2683" s="10" t="n">
        <x:v>0</x:v>
      </x:c>
      <x:c r="N2683" s="10" t="n">
        <x:v>0</x:v>
      </x:c>
      <x:c r="O2683" s="2" t="str">
        <x:v>Tp Hồ Chí Minh|house</x:v>
      </x:c>
      <x:c r="P2683" s="10" t="n">
        <x:v>2</x:v>
      </x:c>
      <x:c r="Q2683" s="13" t="n">
        <x:f>IF(H2683="","",H2683/1000000000)</x:f>
        <x:v>4.9</x:v>
      </x:c>
      <x:c r="R2683" s="13" t="n">
        <x:f>IF(I2683="","",I2683/1000000)</x:f>
        <x:v>94.23076923076923</x:v>
      </x:c>
    </x:row>
    <x:row r="2684" ht="21" customHeight="1">
      <x:c r="A2684" s="10" t="n">
        <x:v>3722</x:v>
      </x:c>
      <x:c r="B2684" s="2" t="str">
        <x:v>b28b3f523512d6162950</x:v>
      </x:c>
      <x:c r="C2684" s="2" t="str">
        <x:v>Bình Dương</x:v>
      </x:c>
      <x:c r="D2684" s="2" t="str">
        <x:v>Thị xã Bến Cát</x:v>
      </x:c>
      <x:c r="E2684" s="2" t="str">
        <x:v>land</x:v>
      </x:c>
      <x:c r="F2684" s="2" t="str">
        <x:v>sale</x:v>
      </x:c>
      <x:c r="G2684" s="11" t="n">
        <x:v>125</x:v>
      </x:c>
      <x:c r="H2684" s="12" t="n">
        <x:v>800000000</x:v>
      </x:c>
      <x:c r="I2684" s="12" t="n">
        <x:v>6400000</x:v>
      </x:c>
      <x:c r="J2684" s="2" t="str">
        <x:v>total</x:v>
      </x:c>
      <x:c r="K2684" s="2" t="str">
        <x:v>top_level_area</x:v>
      </x:c>
      <x:c r="L2684" s="2" t="str">
        <x:v>property_type_inferred_from_title</x:v>
      </x:c>
      <x:c r="M2684" s="10" t="n">
        <x:v>0</x:v>
      </x:c>
      <x:c r="N2684" s="10" t="n">
        <x:v>0</x:v>
      </x:c>
      <x:c r="O2684" s="2" t="str">
        <x:v>Bình Dương|land</x:v>
      </x:c>
      <x:c r="P2684" s="10" t="n">
        <x:v>2</x:v>
      </x:c>
      <x:c r="Q2684" s="13" t="n">
        <x:f>IF(H2684="","",H2684/1000000000)</x:f>
        <x:v>0.8</x:v>
      </x:c>
      <x:c r="R2684" s="13" t="n">
        <x:f>IF(I2684="","",I2684/1000000)</x:f>
        <x:v>6.4</x:v>
      </x:c>
    </x:row>
    <x:row r="2685" ht="21" customHeight="1">
      <x:c r="A2685" s="10" t="n">
        <x:v>3723</x:v>
      </x:c>
      <x:c r="B2685" s="2" t="str">
        <x:v>ca39046d314cdf0c9c7b</x:v>
      </x:c>
      <x:c r="C2685" s="2" t="str">
        <x:v>Tp Hồ Chí Minh</x:v>
      </x:c>
      <x:c r="D2685" s="2" t="str">
        <x:v>Quận Tân Phú</x:v>
      </x:c>
      <x:c r="E2685" s="2" t="str">
        <x:v>house</x:v>
      </x:c>
      <x:c r="F2685" s="2" t="str">
        <x:v>sale</x:v>
      </x:c>
      <x:c r="G2685" s="11" t="n">
        <x:v>40</x:v>
      </x:c>
      <x:c r="H2685" s="12" t="n">
        <x:v>3800000000</x:v>
      </x:c>
      <x:c r="I2685" s="12" t="n">
        <x:v>95000000</x:v>
      </x:c>
      <x:c r="J2685" s="2" t="str">
        <x:v>total</x:v>
      </x:c>
      <x:c r="K2685" s="2" t="str">
        <x:v>top_level_area</x:v>
      </x:c>
      <x:c r="L2685" s="2" t="str">
        <x:v>property_type_inferred_from_title</x:v>
      </x:c>
      <x:c r="M2685" s="10" t="n">
        <x:v>0</x:v>
      </x:c>
      <x:c r="N2685" s="10" t="n">
        <x:v>0</x:v>
      </x:c>
      <x:c r="O2685" s="2" t="str">
        <x:v>Tp Hồ Chí Minh|house</x:v>
      </x:c>
      <x:c r="P2685" s="10" t="n">
        <x:v>2</x:v>
      </x:c>
      <x:c r="Q2685" s="13" t="n">
        <x:f>IF(H2685="","",H2685/1000000000)</x:f>
        <x:v>3.8</x:v>
      </x:c>
      <x:c r="R2685" s="13" t="n">
        <x:f>IF(I2685="","",I2685/1000000)</x:f>
        <x:v>95</x:v>
      </x:c>
    </x:row>
    <x:row r="2686" ht="21" customHeight="1">
      <x:c r="A2686" s="10" t="n">
        <x:v>3724</x:v>
      </x:c>
      <x:c r="B2686" s="2" t="str">
        <x:v>b58b5501c3433056d583</x:v>
      </x:c>
      <x:c r="C2686" s="2" t="str">
        <x:v>Tp Hồ Chí Minh</x:v>
      </x:c>
      <x:c r="D2686" s="2" t="str">
        <x:v>Quận Bình Thạnh</x:v>
      </x:c>
      <x:c r="E2686" s="2" t="str">
        <x:v>apartment</x:v>
      </x:c>
      <x:c r="F2686" s="2" t="str">
        <x:v>sale_assumed</x:v>
      </x:c>
      <x:c r="G2686" s="11" t="n">
        <x:v>140</x:v>
      </x:c>
      <x:c r="H2686" s="12" t="n">
        <x:v>2950000000</x:v>
      </x:c>
      <x:c r="I2686" s="12" t="n">
        <x:v>21071428.57142857</x:v>
      </x:c>
      <x:c r="J2686" s="2" t="str">
        <x:v>total</x:v>
      </x:c>
      <x:c r="K2686" s="2" t="str">
        <x:v>top_level_area</x:v>
      </x:c>
      <x:c r="L2686" s="2" t="str">
        <x:v>property_type_inferred_from_title;transaction_assumed_sale_from_dataset_context</x:v>
      </x:c>
      <x:c r="M2686" s="10" t="n">
        <x:v>0</x:v>
      </x:c>
      <x:c r="N2686" s="10" t="n">
        <x:v>0</x:v>
      </x:c>
      <x:c r="O2686" s="2" t="str">
        <x:v>Tp Hồ Chí Minh|apartment</x:v>
      </x:c>
      <x:c r="P2686" s="10" t="n">
        <x:v>2</x:v>
      </x:c>
      <x:c r="Q2686" s="13" t="n">
        <x:f>IF(H2686="","",H2686/1000000000)</x:f>
        <x:v>2.95</x:v>
      </x:c>
      <x:c r="R2686" s="13" t="n">
        <x:f>IF(I2686="","",I2686/1000000)</x:f>
        <x:v>21.07142857142857</x:v>
      </x:c>
    </x:row>
    <x:row r="2687" ht="21" customHeight="1">
      <x:c r="A2687" s="10" t="n">
        <x:v>3725</x:v>
      </x:c>
      <x:c r="B2687" s="2" t="str">
        <x:v>c4c0c60b9e5da38a48ac</x:v>
      </x:c>
      <x:c r="C2687" s="2" t="str">
        <x:v>Tp Hồ Chí Minh</x:v>
      </x:c>
      <x:c r="D2687" s="2" t="str">
        <x:v>Quận 12</x:v>
      </x:c>
      <x:c r="E2687" s="2" t="str">
        <x:v>house</x:v>
      </x:c>
      <x:c r="F2687" s="2" t="str">
        <x:v>sale_assumed</x:v>
      </x:c>
      <x:c r="G2687" s="11" t="n">
        <x:v>105</x:v>
      </x:c>
      <x:c r="H2687" s="12" t="n">
        <x:v>1550000000</x:v>
      </x:c>
      <x:c r="I2687" s="12" t="n">
        <x:v>14761904.761904761</x:v>
      </x:c>
      <x:c r="J2687" s="2" t="str">
        <x:v>total</x:v>
      </x:c>
      <x:c r="K2687" s="2" t="str">
        <x:v>top_level_area</x:v>
      </x:c>
      <x:c r="L2687" s="2" t="str">
        <x:v>property_type_inferred_from_title;transaction_assumed_sale_from_dataset_context</x:v>
      </x:c>
      <x:c r="M2687" s="10" t="n">
        <x:v>0</x:v>
      </x:c>
      <x:c r="N2687" s="10" t="n">
        <x:v>0</x:v>
      </x:c>
      <x:c r="O2687" s="2" t="str">
        <x:v>Tp Hồ Chí Minh|house</x:v>
      </x:c>
      <x:c r="P2687" s="10" t="n">
        <x:v>2</x:v>
      </x:c>
      <x:c r="Q2687" s="13" t="n">
        <x:f>IF(H2687="","",H2687/1000000000)</x:f>
        <x:v>1.55</x:v>
      </x:c>
      <x:c r="R2687" s="13" t="n">
        <x:f>IF(I2687="","",I2687/1000000)</x:f>
        <x:v>14.761904761904761</x:v>
      </x:c>
    </x:row>
    <x:row r="2688" ht="21" customHeight="1">
      <x:c r="A2688" s="10" t="n">
        <x:v>3726</x:v>
      </x:c>
      <x:c r="B2688" s="2" t="str">
        <x:v>e3d97cab1f1f024917d3</x:v>
      </x:c>
      <x:c r="C2688" s="2" t="str">
        <x:v>Hòa Bình</x:v>
      </x:c>
      <x:c r="D2688" s="2" t="str">
        <x:v>Huyện Kỳ Sơn</x:v>
      </x:c>
      <x:c r="E2688" s="2" t="str">
        <x:v>land</x:v>
      </x:c>
      <x:c r="F2688" s="2" t="str">
        <x:v>sale_assumed</x:v>
      </x:c>
      <x:c r="G2688" s="11" t="n">
        <x:v>92</x:v>
      </x:c>
      <x:c r="H2688" s="12" t="n">
        <x:v>1380000000</x:v>
      </x:c>
      <x:c r="I2688" s="12" t="n">
        <x:v>15000000</x:v>
      </x:c>
      <x:c r="J2688" s="2" t="str">
        <x:v>total</x:v>
      </x:c>
      <x:c r="K2688" s="2" t="str">
        <x:v>top_level_area</x:v>
      </x:c>
      <x:c r="L2688" s="2" t="str">
        <x:v>property_type_inferred_from_title;transaction_assumed_sale_from_dataset_context</x:v>
      </x:c>
      <x:c r="M2688" s="10" t="n">
        <x:v>0</x:v>
      </x:c>
      <x:c r="N2688" s="10" t="n">
        <x:v>0</x:v>
      </x:c>
      <x:c r="O2688" s="2" t="str">
        <x:v>land</x:v>
      </x:c>
      <x:c r="P2688" s="10" t="n">
        <x:v>2</x:v>
      </x:c>
      <x:c r="Q2688" s="13" t="n">
        <x:f>IF(H2688="","",H2688/1000000000)</x:f>
        <x:v>1.38</x:v>
      </x:c>
      <x:c r="R2688" s="13" t="n">
        <x:f>IF(I2688="","",I2688/1000000)</x:f>
        <x:v>15</x:v>
      </x:c>
    </x:row>
    <x:row r="2689" ht="21" customHeight="1">
      <x:c r="A2689" s="10" t="n">
        <x:v>3727</x:v>
      </x:c>
      <x:c r="B2689" s="2" t="str">
        <x:v>2d6eb0c3ee6443e91046</x:v>
      </x:c>
      <x:c r="C2689" s="2" t="str">
        <x:v>Bình Thuận</x:v>
      </x:c>
      <x:c r="D2689" s="2" t="str">
        <x:v>Huyện Tuy Phong</x:v>
      </x:c>
      <x:c r="E2689" s="2" t="str">
        <x:v>land</x:v>
      </x:c>
      <x:c r="F2689" s="2" t="str">
        <x:v>sale_assumed</x:v>
      </x:c>
      <x:c r="G2689" s="11" t="n">
        <x:v>4130</x:v>
      </x:c>
      <x:c r="H2689" s="12" t="n">
        <x:v>20000000000</x:v>
      </x:c>
      <x:c r="I2689" s="12" t="n">
        <x:v>4842615.012106538</x:v>
      </x:c>
      <x:c r="J2689" s="2" t="str">
        <x:v>total</x:v>
      </x:c>
      <x:c r="K2689" s="2" t="str">
        <x:v>top_level_area</x:v>
      </x:c>
      <x:c r="L2689" s="2" t="str">
        <x:v>dot_thousands_convention;property_type_inferred_from_title;transaction_assumed_sale_from_dataset_context</x:v>
      </x:c>
      <x:c r="M2689" s="10" t="n">
        <x:v>0</x:v>
      </x:c>
      <x:c r="N2689" s="10" t="n">
        <x:v>0</x:v>
      </x:c>
      <x:c r="O2689" s="2" t="str">
        <x:v>land</x:v>
      </x:c>
      <x:c r="P2689" s="10" t="n">
        <x:v>1</x:v>
      </x:c>
      <x:c r="Q2689" s="13" t="n">
        <x:f>IF(H2689="","",H2689/1000000000)</x:f>
        <x:v>20</x:v>
      </x:c>
      <x:c r="R2689" s="13" t="n">
        <x:f>IF(I2689="","",I2689/1000000)</x:f>
        <x:v>4.842615012106537</x:v>
      </x:c>
    </x:row>
    <x:row r="2690" ht="21" customHeight="1">
      <x:c r="A2690" s="10" t="n">
        <x:v>3728</x:v>
      </x:c>
      <x:c r="B2690" s="2" t="str">
        <x:v>7ec901e2100c10a3c30c</x:v>
      </x:c>
      <x:c r="C2690" s="2" t="str">
        <x:v>Hà Nội</x:v>
      </x:c>
      <x:c r="D2690" s="2" t="str">
        <x:v>Huyện Thanh Trì</x:v>
      </x:c>
      <x:c r="E2690" s="2" t="str">
        <x:v>land</x:v>
      </x:c>
      <x:c r="F2690" s="2" t="str">
        <x:v>sale_assumed</x:v>
      </x:c>
      <x:c r="G2690" s="11" t="n">
        <x:v>34</x:v>
      </x:c>
      <x:c r="H2690" s="12" t="n">
        <x:v>697000000</x:v>
      </x:c>
      <x:c r="I2690" s="12" t="n">
        <x:v>20500000</x:v>
      </x:c>
      <x:c r="J2690" s="2" t="str">
        <x:v>total</x:v>
      </x:c>
      <x:c r="K2690" s="2" t="str">
        <x:v>top_level_area</x:v>
      </x:c>
      <x:c r="L2690" s="2" t="str">
        <x:v>property_type_inferred_from_title;transaction_assumed_sale_from_dataset_context</x:v>
      </x:c>
      <x:c r="M2690" s="10" t="n">
        <x:v>0</x:v>
      </x:c>
      <x:c r="N2690" s="10" t="n">
        <x:v>0</x:v>
      </x:c>
      <x:c r="O2690" s="2" t="str">
        <x:v>Hà Nội|land</x:v>
      </x:c>
      <x:c r="P2690" s="10" t="n">
        <x:v>2</x:v>
      </x:c>
      <x:c r="Q2690" s="13" t="n">
        <x:f>IF(H2690="","",H2690/1000000000)</x:f>
        <x:v>0.697</x:v>
      </x:c>
      <x:c r="R2690" s="13" t="n">
        <x:f>IF(I2690="","",I2690/1000000)</x:f>
        <x:v>20.5</x:v>
      </x:c>
    </x:row>
    <x:row r="2691" ht="21" customHeight="1">
      <x:c r="A2691" s="10" t="n">
        <x:v>3729</x:v>
      </x:c>
      <x:c r="B2691" s="2" t="str">
        <x:v>1638d576f0ae6d484ea4</x:v>
      </x:c>
      <x:c r="C2691" s="2" t="str">
        <x:v>Chưa xác định</x:v>
      </x:c>
      <x:c r="D2691" s="2" t="str">
        <x:v>Chưa xác định</x:v>
      </x:c>
      <x:c r="E2691" s="2" t="str">
        <x:v>land</x:v>
      </x:c>
      <x:c r="F2691" s="2" t="str">
        <x:v>sale_assumed</x:v>
      </x:c>
      <x:c r="G2691" s="11" t="n">
        <x:v>1000</x:v>
      </x:c>
      <x:c r="H2691" s="12" t="n">
        <x:v>880000000</x:v>
      </x:c>
      <x:c r="I2691" s="12" t="n">
        <x:v>880000</x:v>
      </x:c>
      <x:c r="J2691" s="2" t="str">
        <x:v>total</x:v>
      </x:c>
      <x:c r="K2691" s="2" t="str">
        <x:v>top_level_price_embedded_area</x:v>
      </x:c>
      <x:c r="L2691" s="2" t="str">
        <x:v>area_recovered_from_price_text;dot_thousands_convention;property_type_inferred_from_title;transaction_assumed_sale_from_dataset_context;unknown_district;unknown_province</x:v>
      </x:c>
      <x:c r="M2691" s="10" t="n">
        <x:v>0</x:v>
      </x:c>
      <x:c r="N2691" s="10" t="n">
        <x:v>0</x:v>
      </x:c>
      <x:c r="O2691" s="2" t="str">
        <x:v>land</x:v>
      </x:c>
      <x:c r="P2691" s="10" t="n">
        <x:v>1</x:v>
      </x:c>
      <x:c r="Q2691" s="13" t="n">
        <x:f>IF(H2691="","",H2691/1000000000)</x:f>
        <x:v>0.88</x:v>
      </x:c>
      <x:c r="R2691" s="13" t="n">
        <x:f>IF(I2691="","",I2691/1000000)</x:f>
        <x:v>0.88</x:v>
      </x:c>
    </x:row>
    <x:row r="2692" ht="21" customHeight="1">
      <x:c r="A2692" s="10" t="n">
        <x:v>3732</x:v>
      </x:c>
      <x:c r="B2692" s="2" t="str">
        <x:v>5cd752d3466ba1fa11ff</x:v>
      </x:c>
      <x:c r="C2692" s="2" t="str">
        <x:v>Long An</x:v>
      </x:c>
      <x:c r="D2692" s="2" t="str">
        <x:v>Huyện Đức Hòa</x:v>
      </x:c>
      <x:c r="E2692" s="2" t="str">
        <x:v>house</x:v>
      </x:c>
      <x:c r="F2692" s="2" t="str">
        <x:v>sale_assumed</x:v>
      </x:c>
      <x:c r="G2692" s="11" t="n">
        <x:v>135</x:v>
      </x:c>
      <x:c r="H2692" s="12" t="n">
        <x:v>1500000000</x:v>
      </x:c>
      <x:c r="I2692" s="12" t="n">
        <x:v>11111111.111111112</x:v>
      </x:c>
      <x:c r="J2692" s="2" t="str">
        <x:v>total</x:v>
      </x:c>
      <x:c r="K2692" s="2" t="str">
        <x:v>top_level_area</x:v>
      </x:c>
      <x:c r="L2692" s="2" t="str">
        <x:v>property_type_inferred_from_title;transaction_assumed_sale_from_dataset_context</x:v>
      </x:c>
      <x:c r="M2692" s="10" t="n">
        <x:v>0</x:v>
      </x:c>
      <x:c r="N2692" s="10" t="n">
        <x:v>0</x:v>
      </x:c>
      <x:c r="O2692" s="2" t="str">
        <x:v>Long An|house</x:v>
      </x:c>
      <x:c r="P2692" s="10" t="n">
        <x:v>2</x:v>
      </x:c>
      <x:c r="Q2692" s="13" t="n">
        <x:f>IF(H2692="","",H2692/1000000000)</x:f>
        <x:v>1.5</x:v>
      </x:c>
      <x:c r="R2692" s="13" t="n">
        <x:f>IF(I2692="","",I2692/1000000)</x:f>
        <x:v>11.111111111111112</x:v>
      </x:c>
    </x:row>
    <x:row r="2693" ht="21" customHeight="1">
      <x:c r="A2693" s="10" t="n">
        <x:v>3734</x:v>
      </x:c>
      <x:c r="B2693" s="2" t="str">
        <x:v>e6025d162c98b253cc4e</x:v>
      </x:c>
      <x:c r="C2693" s="2" t="str">
        <x:v>Tp Hồ Chí Minh</x:v>
      </x:c>
      <x:c r="D2693" s="2" t="str">
        <x:v>Huyện Hóc Môn</x:v>
      </x:c>
      <x:c r="E2693" s="2" t="str">
        <x:v>apartment</x:v>
      </x:c>
      <x:c r="F2693" s="2" t="str">
        <x:v>sale_assumed</x:v>
      </x:c>
      <x:c r="G2693" s="11" t="n">
        <x:v>42</x:v>
      </x:c>
      <x:c r="H2693" s="12" t="n">
        <x:v>245000000</x:v>
      </x:c>
      <x:c r="I2693" s="12" t="n">
        <x:v>5833333.333333333</x:v>
      </x:c>
      <x:c r="J2693" s="2" t="str">
        <x:v>total</x:v>
      </x:c>
      <x:c r="K2693" s="2" t="str">
        <x:v>top_level_area</x:v>
      </x:c>
      <x:c r="L2693" s="2" t="str">
        <x:v>property_type_inferred_from_title;transaction_assumed_sale_from_dataset_context</x:v>
      </x:c>
      <x:c r="M2693" s="10" t="n">
        <x:v>0</x:v>
      </x:c>
      <x:c r="N2693" s="10" t="n">
        <x:v>0</x:v>
      </x:c>
      <x:c r="O2693" s="2" t="str">
        <x:v>Tp Hồ Chí Minh|apartment</x:v>
      </x:c>
      <x:c r="P2693" s="10" t="n">
        <x:v>2</x:v>
      </x:c>
      <x:c r="Q2693" s="13" t="n">
        <x:f>IF(H2693="","",H2693/1000000000)</x:f>
        <x:v>0.245</x:v>
      </x:c>
      <x:c r="R2693" s="13" t="n">
        <x:f>IF(I2693="","",I2693/1000000)</x:f>
        <x:v>5.833333333333333</x:v>
      </x:c>
    </x:row>
    <x:row r="2694" ht="21" customHeight="1">
      <x:c r="A2694" s="10" t="n">
        <x:v>3735</x:v>
      </x:c>
      <x:c r="B2694" s="2" t="str">
        <x:v>fbc7ec790ad36223b4f7</x:v>
      </x:c>
      <x:c r="C2694" s="2" t="str">
        <x:v>Tp Hồ Chí Minh</x:v>
      </x:c>
      <x:c r="D2694" s="2" t="str">
        <x:v>Huyện Hóc Môn</x:v>
      </x:c>
      <x:c r="E2694" s="2" t="str">
        <x:v>house</x:v>
      </x:c>
      <x:c r="F2694" s="2" t="str">
        <x:v>sale_assumed</x:v>
      </x:c>
      <x:c r="G2694" s="11" t="n">
        <x:v>100</x:v>
      </x:c>
      <x:c r="H2694" s="12" t="n">
        <x:v>185000000</x:v>
      </x:c>
      <x:c r="I2694" s="12" t="n">
        <x:v>1850000</x:v>
      </x:c>
      <x:c r="J2694" s="2" t="str">
        <x:v>total</x:v>
      </x:c>
      <x:c r="K2694" s="2" t="str">
        <x:v>top_level_area</x:v>
      </x:c>
      <x:c r="L2694" s="2" t="str">
        <x:v>property_type_inferred_from_title;transaction_assumed_sale_from_dataset_context</x:v>
      </x:c>
      <x:c r="M2694" s="10" t="n">
        <x:v>0</x:v>
      </x:c>
      <x:c r="N2694" s="10" t="n">
        <x:v>0</x:v>
      </x:c>
      <x:c r="O2694" s="2" t="str">
        <x:v>Tp Hồ Chí Minh|house</x:v>
      </x:c>
      <x:c r="P2694" s="10" t="n">
        <x:v>1</x:v>
      </x:c>
      <x:c r="Q2694" s="13" t="n">
        <x:f>IF(H2694="","",H2694/1000000000)</x:f>
        <x:v>0.185</x:v>
      </x:c>
      <x:c r="R2694" s="13" t="n">
        <x:f>IF(I2694="","",I2694/1000000)</x:f>
        <x:v>1.85</x:v>
      </x:c>
    </x:row>
    <x:row r="2695" ht="21" customHeight="1">
      <x:c r="A2695" s="10" t="n">
        <x:v>3736</x:v>
      </x:c>
      <x:c r="B2695" s="2" t="str">
        <x:v>6a6be6f61ab6d187272e</x:v>
      </x:c>
      <x:c r="C2695" s="2" t="str">
        <x:v>Tp Hồ Chí Minh</x:v>
      </x:c>
      <x:c r="D2695" s="2" t="str">
        <x:v>Quận Bình Tân</x:v>
      </x:c>
      <x:c r="E2695" s="2" t="str">
        <x:v>land</x:v>
      </x:c>
      <x:c r="F2695" s="2" t="str">
        <x:v>sale</x:v>
      </x:c>
      <x:c r="G2695" s="11" t="n">
        <x:v>105</x:v>
      </x:c>
      <x:c r="H2695" s="12" t="n">
        <x:v>3450000000</x:v>
      </x:c>
      <x:c r="I2695" s="12" t="n">
        <x:v>32857142.85714286</x:v>
      </x:c>
      <x:c r="J2695" s="2" t="str">
        <x:v>total</x:v>
      </x:c>
      <x:c r="K2695" s="2" t="str">
        <x:v>top_level_area</x:v>
      </x:c>
      <x:c r="L2695" s="2" t="str">
        <x:v>property_type_inferred_from_title</x:v>
      </x:c>
      <x:c r="M2695" s="10" t="n">
        <x:v>0</x:v>
      </x:c>
      <x:c r="N2695" s="10" t="n">
        <x:v>0</x:v>
      </x:c>
      <x:c r="O2695" s="2" t="str">
        <x:v>Tp Hồ Chí Minh|land</x:v>
      </x:c>
      <x:c r="P2695" s="10" t="n">
        <x:v>2</x:v>
      </x:c>
      <x:c r="Q2695" s="13" t="n">
        <x:f>IF(H2695="","",H2695/1000000000)</x:f>
        <x:v>3.45</x:v>
      </x:c>
      <x:c r="R2695" s="13" t="n">
        <x:f>IF(I2695="","",I2695/1000000)</x:f>
        <x:v>32.85714285714286</x:v>
      </x:c>
    </x:row>
    <x:row r="2696" ht="21" customHeight="1">
      <x:c r="A2696" s="10" t="n">
        <x:v>3737</x:v>
      </x:c>
      <x:c r="B2696" s="2" t="str">
        <x:v>fccf251df297bdf13918</x:v>
      </x:c>
      <x:c r="C2696" s="2" t="str">
        <x:v>Tp Hồ Chí Minh</x:v>
      </x:c>
      <x:c r="D2696" s="2" t="str">
        <x:v>Quận Bình Tân</x:v>
      </x:c>
      <x:c r="E2696" s="2" t="str">
        <x:v>other_unknown</x:v>
      </x:c>
      <x:c r="F2696" s="2" t="str">
        <x:v>sale_assumed</x:v>
      </x:c>
      <x:c r="G2696" s="11" t="n">
        <x:v>85</x:v>
      </x:c>
      <x:c r="H2696" s="12" t="n">
        <x:v>2750000000</x:v>
      </x:c>
      <x:c r="I2696" s="12" t="n">
        <x:v>32352941.17647059</x:v>
      </x:c>
      <x:c r="J2696" s="2" t="str">
        <x:v>total</x:v>
      </x:c>
      <x:c r="K2696" s="2" t="str">
        <x:v>top_level_area</x:v>
      </x:c>
      <x:c r="L2696" s="2" t="str">
        <x:v>property_type_inferred_from_title;transaction_assumed_sale_from_dataset_context;unknown_property_type</x:v>
      </x:c>
      <x:c r="M2696" s="10" t="n">
        <x:v>0</x:v>
      </x:c>
      <x:c r="N2696" s="10" t="n">
        <x:v>0</x:v>
      </x:c>
      <x:c r="O2696" s="2" t="str">
        <x:v>Tp Hồ Chí Minh|other_unknown</x:v>
      </x:c>
      <x:c r="P2696" s="10" t="n">
        <x:v>2</x:v>
      </x:c>
      <x:c r="Q2696" s="13" t="n">
        <x:f>IF(H2696="","",H2696/1000000000)</x:f>
        <x:v>2.75</x:v>
      </x:c>
      <x:c r="R2696" s="13" t="n">
        <x:f>IF(I2696="","",I2696/1000000)</x:f>
        <x:v>32.35294117647059</x:v>
      </x:c>
    </x:row>
    <x:row r="2697" ht="21" customHeight="1">
      <x:c r="A2697" s="10" t="n">
        <x:v>3738</x:v>
      </x:c>
      <x:c r="B2697" s="2" t="str">
        <x:v>6011fa5d167a87836b26</x:v>
      </x:c>
      <x:c r="C2697" s="2" t="str">
        <x:v>Tp Hồ Chí Minh</x:v>
      </x:c>
      <x:c r="D2697" s="2" t="str">
        <x:v>Quận 8</x:v>
      </x:c>
      <x:c r="E2697" s="2" t="str">
        <x:v>other_unknown</x:v>
      </x:c>
      <x:c r="F2697" s="2" t="str">
        <x:v>sale</x:v>
      </x:c>
      <x:c r="G2697" s="11" t="n">
        <x:v>68</x:v>
      </x:c>
      <x:c r="H2697" s="12" t="n">
        <x:v>2590000000</x:v>
      </x:c>
      <x:c r="I2697" s="12" t="n">
        <x:v>38088235.294117644</x:v>
      </x:c>
      <x:c r="J2697" s="2" t="str">
        <x:v>total</x:v>
      </x:c>
      <x:c r="K2697" s="2" t="str">
        <x:v>top_level_area</x:v>
      </x:c>
      <x:c r="L2697" s="2" t="str">
        <x:v>property_type_inferred_from_title;unknown_property_type</x:v>
      </x:c>
      <x:c r="M2697" s="10" t="n">
        <x:v>0</x:v>
      </x:c>
      <x:c r="N2697" s="10" t="n">
        <x:v>0</x:v>
      </x:c>
      <x:c r="O2697" s="2" t="str">
        <x:v>Tp Hồ Chí Minh|other_unknown</x:v>
      </x:c>
      <x:c r="P2697" s="10" t="n">
        <x:v>2</x:v>
      </x:c>
      <x:c r="Q2697" s="13" t="n">
        <x:f>IF(H2697="","",H2697/1000000000)</x:f>
        <x:v>2.59</x:v>
      </x:c>
      <x:c r="R2697" s="13" t="n">
        <x:f>IF(I2697="","",I2697/1000000)</x:f>
        <x:v>38.088235294117645</x:v>
      </x:c>
    </x:row>
    <x:row r="2698" ht="21" customHeight="1">
      <x:c r="A2698" s="10" t="n">
        <x:v>3739</x:v>
      </x:c>
      <x:c r="B2698" s="2" t="str">
        <x:v>1503cfba1f05f7a35295</x:v>
      </x:c>
      <x:c r="C2698" s="2" t="str">
        <x:v>Hà Nội</x:v>
      </x:c>
      <x:c r="D2698" s="2" t="str">
        <x:v>Quận Bắc Từ Liêm</x:v>
      </x:c>
      <x:c r="E2698" s="2" t="str">
        <x:v>apartment</x:v>
      </x:c>
      <x:c r="F2698" s="2" t="str">
        <x:v>sale_assumed</x:v>
      </x:c>
      <x:c r="G2698" s="11" t="n">
        <x:v>92</x:v>
      </x:c>
      <x:c r="H2698" s="12" t="n">
        <x:v>16800000</x:v>
      </x:c>
      <x:c r="I2698" s="12" t="n">
        <x:v>182608.69565217392</x:v>
      </x:c>
      <x:c r="J2698" s="2" t="str">
        <x:v>total</x:v>
      </x:c>
      <x:c r="K2698" s="2" t="str">
        <x:v>top_level_area</x:v>
      </x:c>
      <x:c r="L2698" s="2" t="str">
        <x:v>property_type_inferred_from_title;transaction_assumed_sale_from_dataset_context</x:v>
      </x:c>
      <x:c r="M2698" s="10" t="n">
        <x:v>0</x:v>
      </x:c>
      <x:c r="N2698" s="10" t="n">
        <x:v>0</x:v>
      </x:c>
      <x:c r="O2698" s="2" t="str">
        <x:v>Hà Nội|apartment</x:v>
      </x:c>
      <x:c r="P2698" s="10" t="n">
        <x:v>1</x:v>
      </x:c>
      <x:c r="Q2698" s="13" t="n">
        <x:f>IF(H2698="","",H2698/1000000000)</x:f>
        <x:v>0.0168</x:v>
      </x:c>
      <x:c r="R2698" s="13" t="n">
        <x:f>IF(I2698="","",I2698/1000000)</x:f>
        <x:v>0.1826086956521739</x:v>
      </x:c>
    </x:row>
    <x:row r="2699" ht="21" customHeight="1">
      <x:c r="A2699" s="10" t="n">
        <x:v>3740</x:v>
      </x:c>
      <x:c r="B2699" s="2" t="str">
        <x:v>4eb3b27f51a4333a5e9f</x:v>
      </x:c>
      <x:c r="C2699" s="2" t="str">
        <x:v>Hà Nội</x:v>
      </x:c>
      <x:c r="D2699" s="2" t="str">
        <x:v>Quận Bắc Từ Liêm</x:v>
      </x:c>
      <x:c r="E2699" s="2" t="str">
        <x:v>other_unknown</x:v>
      </x:c>
      <x:c r="F2699" s="2" t="str">
        <x:v>sale_assumed</x:v>
      </x:c>
      <x:c r="G2699" s="11" t="n">
        <x:v>120</x:v>
      </x:c>
      <x:c r="H2699" s="12" t="n">
        <x:v>85000000</x:v>
      </x:c>
      <x:c r="I2699" s="12" t="n">
        <x:v>708333.3333333334</x:v>
      </x:c>
      <x:c r="J2699" s="2" t="str">
        <x:v>total</x:v>
      </x:c>
      <x:c r="K2699" s="2" t="str">
        <x:v>top_level_area</x:v>
      </x:c>
      <x:c r="L2699" s="2" t="str">
        <x:v>property_type_inferred_from_title;transaction_assumed_sale_from_dataset_context;unknown_property_type</x:v>
      </x:c>
      <x:c r="M2699" s="10" t="n">
        <x:v>0</x:v>
      </x:c>
      <x:c r="N2699" s="10" t="n">
        <x:v>0</x:v>
      </x:c>
      <x:c r="O2699" s="2" t="str">
        <x:v>Hà Nội|other_unknown</x:v>
      </x:c>
      <x:c r="P2699" s="10" t="n">
        <x:v>1</x:v>
      </x:c>
      <x:c r="Q2699" s="13" t="n">
        <x:f>IF(H2699="","",H2699/1000000000)</x:f>
        <x:v>0.085</x:v>
      </x:c>
      <x:c r="R2699" s="13" t="n">
        <x:f>IF(I2699="","",I2699/1000000)</x:f>
        <x:v>0.7083333333333334</x:v>
      </x:c>
    </x:row>
    <x:row r="2700" ht="21" customHeight="1">
      <x:c r="A2700" s="10" t="n">
        <x:v>3742</x:v>
      </x:c>
      <x:c r="B2700" s="2" t="str">
        <x:v>36863f65f4a1b5ee9952</x:v>
      </x:c>
      <x:c r="C2700" s="2" t="str">
        <x:v>Kiên Giang</x:v>
      </x:c>
      <x:c r="D2700" s="2" t="str">
        <x:v>Huyện Châu Thành</x:v>
      </x:c>
      <x:c r="E2700" s="2" t="str">
        <x:v>land</x:v>
      </x:c>
      <x:c r="F2700" s="2" t="str">
        <x:v>sale</x:v>
      </x:c>
      <x:c r="G2700" s="11" t="n">
        <x:v>618</x:v>
      </x:c>
      <x:c r="H2700" s="12" t="n">
        <x:v>8000000000</x:v>
      </x:c>
      <x:c r="I2700" s="12" t="n">
        <x:v>12944983.818770226</x:v>
      </x:c>
      <x:c r="J2700" s="2" t="str">
        <x:v>total</x:v>
      </x:c>
      <x:c r="K2700" s="2" t="str">
        <x:v>top_level_area</x:v>
      </x:c>
      <x:c r="L2700" s="2" t="str">
        <x:v>property_type_inferred_from_title</x:v>
      </x:c>
      <x:c r="M2700" s="10" t="n">
        <x:v>0</x:v>
      </x:c>
      <x:c r="N2700" s="10" t="n">
        <x:v>0</x:v>
      </x:c>
      <x:c r="O2700" s="2" t="str">
        <x:v>land</x:v>
      </x:c>
      <x:c r="P2700" s="10" t="n">
        <x:v>1</x:v>
      </x:c>
      <x:c r="Q2700" s="13" t="n">
        <x:f>IF(H2700="","",H2700/1000000000)</x:f>
        <x:v>8</x:v>
      </x:c>
      <x:c r="R2700" s="13" t="n">
        <x:f>IF(I2700="","",I2700/1000000)</x:f>
        <x:v>12.944983818770226</x:v>
      </x:c>
    </x:row>
    <x:row r="2701" ht="21" customHeight="1">
      <x:c r="A2701" s="10" t="n">
        <x:v>3743</x:v>
      </x:c>
      <x:c r="B2701" s="2" t="str">
        <x:v>b5537d8838236271280e</x:v>
      </x:c>
      <x:c r="C2701" s="2" t="str">
        <x:v>Hà Nội</x:v>
      </x:c>
      <x:c r="D2701" s="2" t="str">
        <x:v>Huyện Thanh Trì</x:v>
      </x:c>
      <x:c r="E2701" s="2" t="str">
        <x:v>house</x:v>
      </x:c>
      <x:c r="F2701" s="2" t="str">
        <x:v>sale</x:v>
      </x:c>
      <x:c r="G2701" s="11" t="n">
        <x:v>35</x:v>
      </x:c>
      <x:c r="H2701" s="12" t="n">
        <x:v>2550000000</x:v>
      </x:c>
      <x:c r="I2701" s="12" t="n">
        <x:v>72857142.85714285</x:v>
      </x:c>
      <x:c r="J2701" s="2" t="str">
        <x:v>total</x:v>
      </x:c>
      <x:c r="K2701" s="2" t="str">
        <x:v>top_level_area</x:v>
      </x:c>
      <x:c r="L2701" s="2" t="str">
        <x:v>property_type_inferred_from_title</x:v>
      </x:c>
      <x:c r="M2701" s="10" t="n">
        <x:v>0</x:v>
      </x:c>
      <x:c r="N2701" s="10" t="n">
        <x:v>0</x:v>
      </x:c>
      <x:c r="O2701" s="2" t="str">
        <x:v>Hà Nội|house</x:v>
      </x:c>
      <x:c r="P2701" s="10" t="n">
        <x:v>2</x:v>
      </x:c>
      <x:c r="Q2701" s="13" t="n">
        <x:f>IF(H2701="","",H2701/1000000000)</x:f>
        <x:v>2.55</x:v>
      </x:c>
      <x:c r="R2701" s="13" t="n">
        <x:f>IF(I2701="","",I2701/1000000)</x:f>
        <x:v>72.85714285714285</x:v>
      </x:c>
    </x:row>
    <x:row r="2702" ht="21" customHeight="1">
      <x:c r="A2702" s="10" t="n">
        <x:v>3744</x:v>
      </x:c>
      <x:c r="B2702" s="2" t="str">
        <x:v>e2d1cbd765858c6e772d</x:v>
      </x:c>
      <x:c r="C2702" s="2" t="str">
        <x:v>Hà Nội</x:v>
      </x:c>
      <x:c r="D2702" s="2" t="str">
        <x:v>Quận Ba Đình</x:v>
      </x:c>
      <x:c r="E2702" s="2" t="str">
        <x:v>other_unknown</x:v>
      </x:c>
      <x:c r="F2702" s="2" t="str">
        <x:v>sale_assumed</x:v>
      </x:c>
      <x:c r="G2702" s="11" t="n">
        <x:v>37</x:v>
      </x:c>
      <x:c r="H2702" s="12" t="n">
        <x:v>3350000000</x:v>
      </x:c>
      <x:c r="I2702" s="12" t="n">
        <x:v>90540540.54054055</x:v>
      </x:c>
      <x:c r="J2702" s="2" t="str">
        <x:v>total</x:v>
      </x:c>
      <x:c r="K2702" s="2" t="str">
        <x:v>top_level_area</x:v>
      </x:c>
      <x:c r="L2702" s="2" t="str">
        <x:v>property_type_inferred_from_title;transaction_assumed_sale_from_dataset_context;unknown_property_type</x:v>
      </x:c>
      <x:c r="M2702" s="10" t="n">
        <x:v>0</x:v>
      </x:c>
      <x:c r="N2702" s="10" t="n">
        <x:v>0</x:v>
      </x:c>
      <x:c r="O2702" s="2" t="str">
        <x:v>Hà Nội|other_unknown</x:v>
      </x:c>
      <x:c r="P2702" s="10" t="n">
        <x:v>2</x:v>
      </x:c>
      <x:c r="Q2702" s="13" t="n">
        <x:f>IF(H2702="","",H2702/1000000000)</x:f>
        <x:v>3.35</x:v>
      </x:c>
      <x:c r="R2702" s="13" t="n">
        <x:f>IF(I2702="","",I2702/1000000)</x:f>
        <x:v>90.54054054054055</x:v>
      </x:c>
    </x:row>
    <x:row r="2703" ht="21" customHeight="1">
      <x:c r="A2703" s="10" t="n">
        <x:v>3745</x:v>
      </x:c>
      <x:c r="B2703" s="2" t="str">
        <x:v>29eac6dbddf0ff1b9870</x:v>
      </x:c>
      <x:c r="C2703" s="2" t="str">
        <x:v>Hà Nội</x:v>
      </x:c>
      <x:c r="D2703" s="2" t="str">
        <x:v>Quận Bắc Từ Liêm</x:v>
      </x:c>
      <x:c r="E2703" s="2" t="str">
        <x:v>house</x:v>
      </x:c>
      <x:c r="F2703" s="2" t="str">
        <x:v>sale_assumed</x:v>
      </x:c>
      <x:c r="G2703" s="11" t="n">
        <x:v>35</x:v>
      </x:c>
      <x:c r="H2703" s="12" t="n">
        <x:v>3800000000</x:v>
      </x:c>
      <x:c r="I2703" s="12" t="n">
        <x:v>108571428.57142857</x:v>
      </x:c>
      <x:c r="J2703" s="2" t="str">
        <x:v>total</x:v>
      </x:c>
      <x:c r="K2703" s="2" t="str">
        <x:v>top_level_area</x:v>
      </x:c>
      <x:c r="L2703" s="2" t="str">
        <x:v>property_type_inferred_from_title;transaction_assumed_sale_from_dataset_context</x:v>
      </x:c>
      <x:c r="M2703" s="10" t="n">
        <x:v>0</x:v>
      </x:c>
      <x:c r="N2703" s="10" t="n">
        <x:v>0</x:v>
      </x:c>
      <x:c r="O2703" s="2" t="str">
        <x:v>Hà Nội|house</x:v>
      </x:c>
      <x:c r="P2703" s="10" t="n">
        <x:v>2</x:v>
      </x:c>
      <x:c r="Q2703" s="13" t="n">
        <x:f>IF(H2703="","",H2703/1000000000)</x:f>
        <x:v>3.8</x:v>
      </x:c>
      <x:c r="R2703" s="13" t="n">
        <x:f>IF(I2703="","",I2703/1000000)</x:f>
        <x:v>108.57142857142857</x:v>
      </x:c>
    </x:row>
    <x:row r="2704" ht="21" customHeight="1">
      <x:c r="A2704" s="10" t="n">
        <x:v>3746</x:v>
      </x:c>
      <x:c r="B2704" s="2" t="str">
        <x:v>86d5fb9d0e1a447de637</x:v>
      </x:c>
      <x:c r="C2704" s="2" t="str">
        <x:v>Hà Nội</x:v>
      </x:c>
      <x:c r="D2704" s="2" t="str">
        <x:v>Huyện Thanh Trì</x:v>
      </x:c>
      <x:c r="E2704" s="2" t="str">
        <x:v>land</x:v>
      </x:c>
      <x:c r="F2704" s="2" t="str">
        <x:v>sale</x:v>
      </x:c>
      <x:c r="G2704" s="11" t="n">
        <x:v>45</x:v>
      </x:c>
      <x:c r="H2704" s="12" t="n">
        <x:v>1300000000</x:v>
      </x:c>
      <x:c r="I2704" s="12" t="n">
        <x:v>28888888.888888888</x:v>
      </x:c>
      <x:c r="J2704" s="2" t="str">
        <x:v>total</x:v>
      </x:c>
      <x:c r="K2704" s="2" t="str">
        <x:v>top_level_area</x:v>
      </x:c>
      <x:c r="L2704" s="2" t="str">
        <x:v>property_type_inferred_from_title</x:v>
      </x:c>
      <x:c r="M2704" s="10" t="n">
        <x:v>0</x:v>
      </x:c>
      <x:c r="N2704" s="10" t="n">
        <x:v>0</x:v>
      </x:c>
      <x:c r="O2704" s="2" t="str">
        <x:v>Hà Nội|land</x:v>
      </x:c>
      <x:c r="P2704" s="10" t="n">
        <x:v>2</x:v>
      </x:c>
      <x:c r="Q2704" s="13" t="n">
        <x:f>IF(H2704="","",H2704/1000000000)</x:f>
        <x:v>1.3</x:v>
      </x:c>
      <x:c r="R2704" s="13" t="n">
        <x:f>IF(I2704="","",I2704/1000000)</x:f>
        <x:v>28.88888888888889</x:v>
      </x:c>
    </x:row>
    <x:row r="2705" ht="21" customHeight="1">
      <x:c r="A2705" s="10" t="n">
        <x:v>3747</x:v>
      </x:c>
      <x:c r="B2705" s="2" t="str">
        <x:v>d8a3010e0280e99c4dbe</x:v>
      </x:c>
      <x:c r="C2705" s="2" t="str">
        <x:v>Cần Thơ</x:v>
      </x:c>
      <x:c r="D2705" s="2" t="str">
        <x:v>Quận Ô Môn</x:v>
      </x:c>
      <x:c r="E2705" s="2" t="str">
        <x:v>land</x:v>
      </x:c>
      <x:c r="F2705" s="2" t="str">
        <x:v>sale</x:v>
      </x:c>
      <x:c r="G2705" s="11" t="n">
        <x:v>1315</x:v>
      </x:c>
      <x:c r="H2705" s="12" t="n">
        <x:v>3150000000</x:v>
      </x:c>
      <x:c r="I2705" s="12" t="n">
        <x:v>2395437.2623574142</x:v>
      </x:c>
      <x:c r="J2705" s="2" t="str">
        <x:v>total</x:v>
      </x:c>
      <x:c r="K2705" s="2" t="str">
        <x:v>top_level_area</x:v>
      </x:c>
      <x:c r="L2705" s="2" t="str">
        <x:v>dot_thousands_convention;property_type_inferred_from_title</x:v>
      </x:c>
      <x:c r="M2705" s="10" t="n">
        <x:v>0</x:v>
      </x:c>
      <x:c r="N2705" s="10" t="n">
        <x:v>0</x:v>
      </x:c>
      <x:c r="O2705" s="2" t="str">
        <x:v>Cần Thơ|land</x:v>
      </x:c>
      <x:c r="P2705" s="10" t="n">
        <x:v>1</x:v>
      </x:c>
      <x:c r="Q2705" s="13" t="n">
        <x:f>IF(H2705="","",H2705/1000000000)</x:f>
        <x:v>3.15</x:v>
      </x:c>
      <x:c r="R2705" s="13" t="n">
        <x:f>IF(I2705="","",I2705/1000000)</x:f>
        <x:v>2.3954372623574143</x:v>
      </x:c>
    </x:row>
    <x:row r="2706" ht="21" customHeight="1">
      <x:c r="A2706" s="10" t="n">
        <x:v>3748</x:v>
      </x:c>
      <x:c r="B2706" s="2" t="str">
        <x:v>10b058c181833e0da7a2</x:v>
      </x:c>
      <x:c r="C2706" s="2" t="str">
        <x:v>Tp Hồ Chí Minh</x:v>
      </x:c>
      <x:c r="D2706" s="2" t="str">
        <x:v>Quận Thủ Đức</x:v>
      </x:c>
      <x:c r="E2706" s="2" t="str">
        <x:v>other_unknown</x:v>
      </x:c>
      <x:c r="F2706" s="2" t="str">
        <x:v>sale</x:v>
      </x:c>
      <x:c r="G2706" s="11" t="n">
        <x:v>68</x:v>
      </x:c>
      <x:c r="H2706" s="12" t="n">
        <x:v>160000000</x:v>
      </x:c>
      <x:c r="I2706" s="12" t="n">
        <x:v>2352941.1764705884</x:v>
      </x:c>
      <x:c r="J2706" s="2" t="str">
        <x:v>total</x:v>
      </x:c>
      <x:c r="K2706" s="2" t="str">
        <x:v>top_level_area</x:v>
      </x:c>
      <x:c r="L2706" s="2" t="str">
        <x:v>property_type_inferred_from_title;unknown_property_type</x:v>
      </x:c>
      <x:c r="M2706" s="10" t="n">
        <x:v>0</x:v>
      </x:c>
      <x:c r="N2706" s="10" t="n">
        <x:v>0</x:v>
      </x:c>
      <x:c r="O2706" s="2" t="str">
        <x:v>Tp Hồ Chí Minh|other_unknown</x:v>
      </x:c>
      <x:c r="P2706" s="10" t="n">
        <x:v>2</x:v>
      </x:c>
      <x:c r="Q2706" s="13" t="n">
        <x:f>IF(H2706="","",H2706/1000000000)</x:f>
        <x:v>0.16</x:v>
      </x:c>
      <x:c r="R2706" s="13" t="n">
        <x:f>IF(I2706="","",I2706/1000000)</x:f>
        <x:v>2.3529411764705883</x:v>
      </x:c>
    </x:row>
    <x:row r="2707" ht="21" customHeight="1">
      <x:c r="A2707" s="10" t="n">
        <x:v>3750</x:v>
      </x:c>
      <x:c r="B2707" s="2" t="str">
        <x:v>30f2bcc4d7c3b0bf5aef</x:v>
      </x:c>
      <x:c r="C2707" s="2" t="str">
        <x:v>Bình Dương</x:v>
      </x:c>
      <x:c r="D2707" s="2" t="str">
        <x:v>Thị xã Thuận An</x:v>
      </x:c>
      <x:c r="E2707" s="2" t="str">
        <x:v>other_unknown</x:v>
      </x:c>
      <x:c r="F2707" s="2" t="str">
        <x:v>sale_assumed</x:v>
      </x:c>
      <x:c r="G2707" s="11" t="n">
        <x:v>72</x:v>
      </x:c>
      <x:c r="H2707" s="12" t="n">
        <x:v>160000000</x:v>
      </x:c>
      <x:c r="I2707" s="12" t="n">
        <x:v>2222222.222222222</x:v>
      </x:c>
      <x:c r="J2707" s="2" t="str">
        <x:v>total</x:v>
      </x:c>
      <x:c r="K2707" s="2" t="str">
        <x:v>top_level_area</x:v>
      </x:c>
      <x:c r="L2707" s="2" t="str">
        <x:v>property_type_inferred_from_title;transaction_assumed_sale_from_dataset_context;unknown_property_type</x:v>
      </x:c>
      <x:c r="M2707" s="10" t="n">
        <x:v>0</x:v>
      </x:c>
      <x:c r="N2707" s="10" t="n">
        <x:v>0</x:v>
      </x:c>
      <x:c r="O2707" s="2" t="str">
        <x:v>Bình Dương|other_unknown</x:v>
      </x:c>
      <x:c r="P2707" s="10" t="n">
        <x:v>2</x:v>
      </x:c>
      <x:c r="Q2707" s="13" t="n">
        <x:f>IF(H2707="","",H2707/1000000000)</x:f>
        <x:v>0.16</x:v>
      </x:c>
      <x:c r="R2707" s="13" t="n">
        <x:f>IF(I2707="","",I2707/1000000)</x:f>
        <x:v>2.222222222222222</x:v>
      </x:c>
    </x:row>
    <x:row r="2708" ht="21" customHeight="1">
      <x:c r="A2708" s="10" t="n">
        <x:v>3752</x:v>
      </x:c>
      <x:c r="B2708" s="2" t="str">
        <x:v>9213082f9ea19bafebf5</x:v>
      </x:c>
      <x:c r="C2708" s="2" t="str">
        <x:v>Hà Nội</x:v>
      </x:c>
      <x:c r="D2708" s="2" t="str">
        <x:v>Quận Hà Đông</x:v>
      </x:c>
      <x:c r="E2708" s="2" t="str">
        <x:v>house</x:v>
      </x:c>
      <x:c r="F2708" s="2" t="str">
        <x:v>sale</x:v>
      </x:c>
      <x:c r="G2708" s="11" t="n">
        <x:v>34</x:v>
      </x:c>
      <x:c r="H2708" s="12" t="n">
        <x:v>1950000000</x:v>
      </x:c>
      <x:c r="I2708" s="12" t="n">
        <x:v>57352941.176470585</x:v>
      </x:c>
      <x:c r="J2708" s="2" t="str">
        <x:v>total</x:v>
      </x:c>
      <x:c r="K2708" s="2" t="str">
        <x:v>top_level_area</x:v>
      </x:c>
      <x:c r="L2708" s="2" t="str">
        <x:v>property_type_inferred_from_title</x:v>
      </x:c>
      <x:c r="M2708" s="10" t="n">
        <x:v>0</x:v>
      </x:c>
      <x:c r="N2708" s="10" t="n">
        <x:v>0</x:v>
      </x:c>
      <x:c r="O2708" s="2" t="str">
        <x:v>Hà Nội|house</x:v>
      </x:c>
      <x:c r="P2708" s="10" t="n">
        <x:v>2</x:v>
      </x:c>
      <x:c r="Q2708" s="13" t="n">
        <x:f>IF(H2708="","",H2708/1000000000)</x:f>
        <x:v>1.95</x:v>
      </x:c>
      <x:c r="R2708" s="13" t="n">
        <x:f>IF(I2708="","",I2708/1000000)</x:f>
        <x:v>57.35294117647059</x:v>
      </x:c>
    </x:row>
    <x:row r="2709" ht="21" customHeight="1">
      <x:c r="A2709" s="10" t="n">
        <x:v>3757</x:v>
      </x:c>
      <x:c r="B2709" s="2" t="str">
        <x:v>b9960a65991cc729eb93</x:v>
      </x:c>
      <x:c r="C2709" s="2" t="str">
        <x:v>Hà Nội</x:v>
      </x:c>
      <x:c r="D2709" s="2" t="str">
        <x:v>Quận Hà Đông</x:v>
      </x:c>
      <x:c r="E2709" s="2" t="str">
        <x:v>land</x:v>
      </x:c>
      <x:c r="F2709" s="2" t="str">
        <x:v>sale_assumed</x:v>
      </x:c>
      <x:c r="G2709" s="11" t="n">
        <x:v>50</x:v>
      </x:c>
      <x:c r="H2709" s="12" t="n">
        <x:v>900000000</x:v>
      </x:c>
      <x:c r="I2709" s="12" t="n">
        <x:v>18000000</x:v>
      </x:c>
      <x:c r="J2709" s="2" t="str">
        <x:v>total</x:v>
      </x:c>
      <x:c r="K2709" s="2" t="str">
        <x:v>top_level_area</x:v>
      </x:c>
      <x:c r="L2709" s="2" t="str">
        <x:v>property_type_inferred_from_title;transaction_assumed_sale_from_dataset_context</x:v>
      </x:c>
      <x:c r="M2709" s="10" t="n">
        <x:v>0</x:v>
      </x:c>
      <x:c r="N2709" s="10" t="n">
        <x:v>0</x:v>
      </x:c>
      <x:c r="O2709" s="2" t="str">
        <x:v>Hà Nội|land</x:v>
      </x:c>
      <x:c r="P2709" s="10" t="n">
        <x:v>2</x:v>
      </x:c>
      <x:c r="Q2709" s="13" t="n">
        <x:f>IF(H2709="","",H2709/1000000000)</x:f>
        <x:v>0.9</x:v>
      </x:c>
      <x:c r="R2709" s="13" t="n">
        <x:f>IF(I2709="","",I2709/1000000)</x:f>
        <x:v>18</x:v>
      </x:c>
    </x:row>
    <x:row r="2710" ht="21" customHeight="1">
      <x:c r="A2710" s="10" t="n">
        <x:v>3758</x:v>
      </x:c>
      <x:c r="B2710" s="2" t="str">
        <x:v>d7c9d2815fefe68a432b</x:v>
      </x:c>
      <x:c r="C2710" s="2" t="str">
        <x:v>Hà Nội</x:v>
      </x:c>
      <x:c r="D2710" s="2" t="str">
        <x:v>Quận Ba Đình</x:v>
      </x:c>
      <x:c r="E2710" s="2" t="str">
        <x:v>house</x:v>
      </x:c>
      <x:c r="F2710" s="2" t="str">
        <x:v>sale_assumed</x:v>
      </x:c>
      <x:c r="G2710" s="11" t="n">
        <x:v>35</x:v>
      </x:c>
      <x:c r="H2710" s="12" t="n">
        <x:v>2500000000</x:v>
      </x:c>
      <x:c r="I2710" s="12" t="n">
        <x:v>71428571.42857143</x:v>
      </x:c>
      <x:c r="J2710" s="2" t="str">
        <x:v>total</x:v>
      </x:c>
      <x:c r="K2710" s="2" t="str">
        <x:v>top_level_area</x:v>
      </x:c>
      <x:c r="L2710" s="2" t="str">
        <x:v>property_type_inferred_from_title;transaction_assumed_sale_from_dataset_context</x:v>
      </x:c>
      <x:c r="M2710" s="10" t="n">
        <x:v>0</x:v>
      </x:c>
      <x:c r="N2710" s="10" t="n">
        <x:v>0</x:v>
      </x:c>
      <x:c r="O2710" s="2" t="str">
        <x:v>Hà Nội|house</x:v>
      </x:c>
      <x:c r="P2710" s="10" t="n">
        <x:v>2</x:v>
      </x:c>
      <x:c r="Q2710" s="13" t="n">
        <x:f>IF(H2710="","",H2710/1000000000)</x:f>
        <x:v>2.5</x:v>
      </x:c>
      <x:c r="R2710" s="13" t="n">
        <x:f>IF(I2710="","",I2710/1000000)</x:f>
        <x:v>71.42857142857143</x:v>
      </x:c>
    </x:row>
    <x:row r="2711" ht="21" customHeight="1">
      <x:c r="A2711" s="10" t="n">
        <x:v>3759</x:v>
      </x:c>
      <x:c r="B2711" s="2" t="str">
        <x:v>66b72e8e5d94881c22f9</x:v>
      </x:c>
      <x:c r="C2711" s="2" t="str">
        <x:v>Tp Hồ Chí Minh</x:v>
      </x:c>
      <x:c r="D2711" s="2" t="str">
        <x:v>Quận Bình Thạnh</x:v>
      </x:c>
      <x:c r="E2711" s="2" t="str">
        <x:v>house</x:v>
      </x:c>
      <x:c r="F2711" s="2" t="str">
        <x:v>sale_assumed</x:v>
      </x:c>
      <x:c r="G2711" s="11" t="n">
        <x:v>37</x:v>
      </x:c>
      <x:c r="H2711" s="12" t="n">
        <x:v>3850000000</x:v>
      </x:c>
      <x:c r="I2711" s="12" t="n">
        <x:v>104054054.05405405</x:v>
      </x:c>
      <x:c r="J2711" s="2" t="str">
        <x:v>total</x:v>
      </x:c>
      <x:c r="K2711" s="2" t="str">
        <x:v>top_level_area</x:v>
      </x:c>
      <x:c r="L2711" s="2" t="str">
        <x:v>property_type_inferred_from_title;transaction_assumed_sale_from_dataset_context</x:v>
      </x:c>
      <x:c r="M2711" s="10" t="n">
        <x:v>0</x:v>
      </x:c>
      <x:c r="N2711" s="10" t="n">
        <x:v>0</x:v>
      </x:c>
      <x:c r="O2711" s="2" t="str">
        <x:v>Tp Hồ Chí Minh|house</x:v>
      </x:c>
      <x:c r="P2711" s="10" t="n">
        <x:v>2</x:v>
      </x:c>
      <x:c r="Q2711" s="13" t="n">
        <x:f>IF(H2711="","",H2711/1000000000)</x:f>
        <x:v>3.85</x:v>
      </x:c>
      <x:c r="R2711" s="13" t="n">
        <x:f>IF(I2711="","",I2711/1000000)</x:f>
        <x:v>104.05405405405405</x:v>
      </x:c>
    </x:row>
    <x:row r="2712" ht="21" customHeight="1">
      <x:c r="A2712" s="10" t="n">
        <x:v>3760</x:v>
      </x:c>
      <x:c r="B2712" s="2" t="str">
        <x:v>e875834cac8fcfbbdc65</x:v>
      </x:c>
      <x:c r="C2712" s="2" t="str">
        <x:v>Hải Phòng</x:v>
      </x:c>
      <x:c r="D2712" s="2" t="str">
        <x:v>Quận Dương Kinh</x:v>
      </x:c>
      <x:c r="E2712" s="2" t="str">
        <x:v>land</x:v>
      </x:c>
      <x:c r="F2712" s="2" t="str">
        <x:v>sale_assumed</x:v>
      </x:c>
      <x:c r="G2712" s="11" t="n">
        <x:v>57</x:v>
      </x:c>
      <x:c r="H2712" s="12" t="n">
        <x:v>360000000</x:v>
      </x:c>
      <x:c r="I2712" s="12" t="n">
        <x:v>6315789.47368421</x:v>
      </x:c>
      <x:c r="J2712" s="2" t="str">
        <x:v>total</x:v>
      </x:c>
      <x:c r="K2712" s="2" t="str">
        <x:v>top_level_area</x:v>
      </x:c>
      <x:c r="L2712" s="2" t="str">
        <x:v>property_type_inferred_from_title;transaction_assumed_sale_from_dataset_context</x:v>
      </x:c>
      <x:c r="M2712" s="10" t="n">
        <x:v>0</x:v>
      </x:c>
      <x:c r="N2712" s="10" t="n">
        <x:v>0</x:v>
      </x:c>
      <x:c r="O2712" s="2" t="str">
        <x:v>land</x:v>
      </x:c>
      <x:c r="P2712" s="10" t="n">
        <x:v>2</x:v>
      </x:c>
      <x:c r="Q2712" s="13" t="n">
        <x:f>IF(H2712="","",H2712/1000000000)</x:f>
        <x:v>0.36</x:v>
      </x:c>
      <x:c r="R2712" s="13" t="n">
        <x:f>IF(I2712="","",I2712/1000000)</x:f>
        <x:v>6.315789473684211</x:v>
      </x:c>
    </x:row>
    <x:row r="2713" ht="21" customHeight="1">
      <x:c r="A2713" s="10" t="n">
        <x:v>3761</x:v>
      </x:c>
      <x:c r="B2713" s="2" t="str">
        <x:v>9b288a38c0d56ce124ed</x:v>
      </x:c>
      <x:c r="C2713" s="2" t="str">
        <x:v>Tp Hồ Chí Minh</x:v>
      </x:c>
      <x:c r="D2713" s="2" t="str">
        <x:v>Quận Bình Tân</x:v>
      </x:c>
      <x:c r="E2713" s="2" t="str">
        <x:v>house</x:v>
      </x:c>
      <x:c r="F2713" s="2" t="str">
        <x:v>sale</x:v>
      </x:c>
      <x:c r="G2713" s="11" t="n">
        <x:v>27</x:v>
      </x:c>
      <x:c r="H2713" s="12" t="n">
        <x:v>1490000000</x:v>
      </x:c>
      <x:c r="I2713" s="12" t="n">
        <x:v>55185185.18518519</x:v>
      </x:c>
      <x:c r="J2713" s="2" t="str">
        <x:v>total</x:v>
      </x:c>
      <x:c r="K2713" s="2" t="str">
        <x:v>top_level_area</x:v>
      </x:c>
      <x:c r="L2713" s="2" t="str">
        <x:v>property_type_inferred_from_title</x:v>
      </x:c>
      <x:c r="M2713" s="10" t="n">
        <x:v>0</x:v>
      </x:c>
      <x:c r="N2713" s="10" t="n">
        <x:v>0</x:v>
      </x:c>
      <x:c r="O2713" s="2" t="str">
        <x:v>Tp Hồ Chí Minh|house</x:v>
      </x:c>
      <x:c r="P2713" s="10" t="n">
        <x:v>2</x:v>
      </x:c>
      <x:c r="Q2713" s="13" t="n">
        <x:f>IF(H2713="","",H2713/1000000000)</x:f>
        <x:v>1.49</x:v>
      </x:c>
      <x:c r="R2713" s="13" t="n">
        <x:f>IF(I2713="","",I2713/1000000)</x:f>
        <x:v>55.18518518518518</x:v>
      </x:c>
    </x:row>
    <x:row r="2714" ht="21" customHeight="1">
      <x:c r="A2714" s="10" t="n">
        <x:v>3762</x:v>
      </x:c>
      <x:c r="B2714" s="2" t="str">
        <x:v>b45dd7be9efe9720aa9c</x:v>
      </x:c>
      <x:c r="C2714" s="2" t="str">
        <x:v>Hà Nội</x:v>
      </x:c>
      <x:c r="D2714" s="2" t="str">
        <x:v>Quận Bắc Từ Liêm</x:v>
      </x:c>
      <x:c r="E2714" s="2" t="str">
        <x:v>land</x:v>
      </x:c>
      <x:c r="F2714" s="2" t="str">
        <x:v>sale</x:v>
      </x:c>
      <x:c r="G2714" s="11" t="n">
        <x:v>50</x:v>
      </x:c>
      <x:c r="H2714" s="12" t="n">
        <x:v>3000000000</x:v>
      </x:c>
      <x:c r="I2714" s="12" t="n">
        <x:v>60000000</x:v>
      </x:c>
      <x:c r="J2714" s="2" t="str">
        <x:v>total</x:v>
      </x:c>
      <x:c r="K2714" s="2" t="str">
        <x:v>top_level_area</x:v>
      </x:c>
      <x:c r="L2714" s="2" t="str">
        <x:v>property_type_inferred_from_title</x:v>
      </x:c>
      <x:c r="M2714" s="10" t="n">
        <x:v>0</x:v>
      </x:c>
      <x:c r="N2714" s="10" t="n">
        <x:v>0</x:v>
      </x:c>
      <x:c r="O2714" s="2" t="str">
        <x:v>Hà Nội|land</x:v>
      </x:c>
      <x:c r="P2714" s="10" t="n">
        <x:v>2</x:v>
      </x:c>
      <x:c r="Q2714" s="13" t="n">
        <x:f>IF(H2714="","",H2714/1000000000)</x:f>
        <x:v>3</x:v>
      </x:c>
      <x:c r="R2714" s="13" t="n">
        <x:f>IF(I2714="","",I2714/1000000)</x:f>
        <x:v>60</x:v>
      </x:c>
    </x:row>
    <x:row r="2715" ht="21" customHeight="1">
      <x:c r="A2715" s="10" t="n">
        <x:v>3763</x:v>
      </x:c>
      <x:c r="B2715" s="2" t="str">
        <x:v>7bd3ac476eb711b44db5</x:v>
      </x:c>
      <x:c r="C2715" s="2" t="str">
        <x:v>Hà Nội</x:v>
      </x:c>
      <x:c r="D2715" s="2" t="str">
        <x:v>Huyện Gia Lâm</x:v>
      </x:c>
      <x:c r="E2715" s="2" t="str">
        <x:v>apartment</x:v>
      </x:c>
      <x:c r="F2715" s="2" t="str">
        <x:v>sale</x:v>
      </x:c>
      <x:c r="G2715" s="11" t="n">
        <x:v>59</x:v>
      </x:c>
      <x:c r="H2715" s="12" t="n">
        <x:v>2077000000</x:v>
      </x:c>
      <x:c r="I2715" s="12" t="n">
        <x:v>35203389.83050848</x:v>
      </x:c>
      <x:c r="J2715" s="2" t="str">
        <x:v>total</x:v>
      </x:c>
      <x:c r="K2715" s="2" t="str">
        <x:v>top_level_area</x:v>
      </x:c>
      <x:c r="L2715" s="2" t="str">
        <x:v>property_type_inferred_from_title</x:v>
      </x:c>
      <x:c r="M2715" s="10" t="n">
        <x:v>0</x:v>
      </x:c>
      <x:c r="N2715" s="10" t="n">
        <x:v>0</x:v>
      </x:c>
      <x:c r="O2715" s="2" t="str">
        <x:v>Hà Nội|apartment</x:v>
      </x:c>
      <x:c r="P2715" s="10" t="n">
        <x:v>2</x:v>
      </x:c>
      <x:c r="Q2715" s="13" t="n">
        <x:f>IF(H2715="","",H2715/1000000000)</x:f>
        <x:v>2.077</x:v>
      </x:c>
      <x:c r="R2715" s="13" t="n">
        <x:f>IF(I2715="","",I2715/1000000)</x:f>
        <x:v>35.20338983050848</x:v>
      </x:c>
    </x:row>
    <x:row r="2716" ht="21" customHeight="1">
      <x:c r="A2716" s="10" t="n">
        <x:v>3764</x:v>
      </x:c>
      <x:c r="B2716" s="2" t="str">
        <x:v>fcb8e6e978891bacfb2f</x:v>
      </x:c>
      <x:c r="C2716" s="2" t="str">
        <x:v>Cần Thơ</x:v>
      </x:c>
      <x:c r="D2716" s="2" t="str">
        <x:v>Quận Ô Môn</x:v>
      </x:c>
      <x:c r="E2716" s="2" t="str">
        <x:v>land</x:v>
      </x:c>
      <x:c r="F2716" s="2" t="str">
        <x:v>sale</x:v>
      </x:c>
      <x:c r="G2716" s="11" t="n">
        <x:v>1624</x:v>
      </x:c>
      <x:c r="H2716" s="12" t="n">
        <x:v>4050000000</x:v>
      </x:c>
      <x:c r="I2716" s="12" t="n">
        <x:v>2493842.3645320195</x:v>
      </x:c>
      <x:c r="J2716" s="2" t="str">
        <x:v>total</x:v>
      </x:c>
      <x:c r="K2716" s="2" t="str">
        <x:v>top_level_area</x:v>
      </x:c>
      <x:c r="L2716" s="2" t="str">
        <x:v>dot_thousands_convention;property_type_inferred_from_title</x:v>
      </x:c>
      <x:c r="M2716" s="10" t="n">
        <x:v>0</x:v>
      </x:c>
      <x:c r="N2716" s="10" t="n">
        <x:v>0</x:v>
      </x:c>
      <x:c r="O2716" s="2" t="str">
        <x:v>Cần Thơ|land</x:v>
      </x:c>
      <x:c r="P2716" s="10" t="n">
        <x:v>1</x:v>
      </x:c>
      <x:c r="Q2716" s="13" t="n">
        <x:f>IF(H2716="","",H2716/1000000000)</x:f>
        <x:v>4.05</x:v>
      </x:c>
      <x:c r="R2716" s="13" t="n">
        <x:f>IF(I2716="","",I2716/1000000)</x:f>
        <x:v>2.4938423645320196</x:v>
      </x:c>
    </x:row>
    <x:row r="2717" ht="21" customHeight="1">
      <x:c r="A2717" s="10" t="n">
        <x:v>3765</x:v>
      </x:c>
      <x:c r="B2717" s="2" t="str">
        <x:v>7ab67361e96c381b83d8</x:v>
      </x:c>
      <x:c r="C2717" s="2" t="str">
        <x:v>Tp Hồ Chí Minh</x:v>
      </x:c>
      <x:c r="D2717" s="2" t="str">
        <x:v>Quận 4</x:v>
      </x:c>
      <x:c r="E2717" s="2" t="str">
        <x:v>house</x:v>
      </x:c>
      <x:c r="F2717" s="2" t="str">
        <x:v>sale</x:v>
      </x:c>
      <x:c r="G2717" s="11" t="n">
        <x:v>57</x:v>
      </x:c>
      <x:c r="H2717" s="12" t="n">
        <x:v>3800000000</x:v>
      </x:c>
      <x:c r="I2717" s="12" t="n">
        <x:v>66666666.666666664</x:v>
      </x:c>
      <x:c r="J2717" s="2" t="str">
        <x:v>total</x:v>
      </x:c>
      <x:c r="K2717" s="2" t="str">
        <x:v>top_level_area</x:v>
      </x:c>
      <x:c r="L2717" s="2" t="str">
        <x:v>property_type_inferred_from_title</x:v>
      </x:c>
      <x:c r="M2717" s="10" t="n">
        <x:v>0</x:v>
      </x:c>
      <x:c r="N2717" s="10" t="n">
        <x:v>0</x:v>
      </x:c>
      <x:c r="O2717" s="2" t="str">
        <x:v>Tp Hồ Chí Minh|house</x:v>
      </x:c>
      <x:c r="P2717" s="10" t="n">
        <x:v>2</x:v>
      </x:c>
      <x:c r="Q2717" s="13" t="n">
        <x:f>IF(H2717="","",H2717/1000000000)</x:f>
        <x:v>3.8</x:v>
      </x:c>
      <x:c r="R2717" s="13" t="n">
        <x:f>IF(I2717="","",I2717/1000000)</x:f>
        <x:v>66.66666666666666</x:v>
      </x:c>
    </x:row>
    <x:row r="2718" ht="21" customHeight="1">
      <x:c r="A2718" s="10" t="n">
        <x:v>3766</x:v>
      </x:c>
      <x:c r="B2718" s="2" t="str">
        <x:v>5005ccdebf90ac6ab04b</x:v>
      </x:c>
      <x:c r="C2718" s="2" t="str">
        <x:v>Tp Hồ Chí Minh</x:v>
      </x:c>
      <x:c r="D2718" s="2" t="str">
        <x:v>Quận Gò Vấp</x:v>
      </x:c>
      <x:c r="E2718" s="2" t="str">
        <x:v>house</x:v>
      </x:c>
      <x:c r="F2718" s="2" t="str">
        <x:v>sale</x:v>
      </x:c>
      <x:c r="G2718" s="11" t="n">
        <x:v>43</x:v>
      </x:c>
      <x:c r="H2718" s="12" t="n">
        <x:v>3000000000</x:v>
      </x:c>
      <x:c r="I2718" s="12" t="n">
        <x:v>69767441.86046511</x:v>
      </x:c>
      <x:c r="J2718" s="2" t="str">
        <x:v>total</x:v>
      </x:c>
      <x:c r="K2718" s="2" t="str">
        <x:v>top_level_area</x:v>
      </x:c>
      <x:c r="L2718" s="2" t="str">
        <x:v>property_type_inferred_from_title</x:v>
      </x:c>
      <x:c r="M2718" s="10" t="n">
        <x:v>0</x:v>
      </x:c>
      <x:c r="N2718" s="10" t="n">
        <x:v>0</x:v>
      </x:c>
      <x:c r="O2718" s="2" t="str">
        <x:v>Tp Hồ Chí Minh|house</x:v>
      </x:c>
      <x:c r="P2718" s="10" t="n">
        <x:v>2</x:v>
      </x:c>
      <x:c r="Q2718" s="13" t="n">
        <x:f>IF(H2718="","",H2718/1000000000)</x:f>
        <x:v>3</x:v>
      </x:c>
      <x:c r="R2718" s="13" t="n">
        <x:f>IF(I2718="","",I2718/1000000)</x:f>
        <x:v>69.76744186046511</x:v>
      </x:c>
    </x:row>
    <x:row r="2719" ht="21" customHeight="1">
      <x:c r="A2719" s="10" t="n">
        <x:v>3767</x:v>
      </x:c>
      <x:c r="B2719" s="2" t="str">
        <x:v>366c8d67d21dc982c8ce</x:v>
      </x:c>
      <x:c r="C2719" s="2" t="str">
        <x:v>Tiền Giang</x:v>
      </x:c>
      <x:c r="D2719" s="2" t="str">
        <x:v>Thành phố Mỹ Tho</x:v>
      </x:c>
      <x:c r="E2719" s="2" t="str">
        <x:v>land</x:v>
      </x:c>
      <x:c r="F2719" s="2" t="str">
        <x:v>sale_assumed</x:v>
      </x:c>
      <x:c r="G2719" s="11" t="n">
        <x:v>129</x:v>
      </x:c>
      <x:c r="H2719" s="12" t="n">
        <x:v>320000000</x:v>
      </x:c>
      <x:c r="I2719" s="12" t="n">
        <x:v>2480620.1550387596</x:v>
      </x:c>
      <x:c r="J2719" s="2" t="str">
        <x:v>total</x:v>
      </x:c>
      <x:c r="K2719" s="2" t="str">
        <x:v>top_level_area</x:v>
      </x:c>
      <x:c r="L2719" s="2" t="str">
        <x:v>property_type_inferred_from_title;transaction_assumed_sale_from_dataset_context</x:v>
      </x:c>
      <x:c r="M2719" s="10" t="n">
        <x:v>0</x:v>
      </x:c>
      <x:c r="N2719" s="10" t="n">
        <x:v>0</x:v>
      </x:c>
      <x:c r="O2719" s="2" t="str">
        <x:v>land</x:v>
      </x:c>
      <x:c r="P2719" s="10" t="n">
        <x:v>1</x:v>
      </x:c>
      <x:c r="Q2719" s="13" t="n">
        <x:f>IF(H2719="","",H2719/1000000000)</x:f>
        <x:v>0.32</x:v>
      </x:c>
      <x:c r="R2719" s="13" t="n">
        <x:f>IF(I2719="","",I2719/1000000)</x:f>
        <x:v>2.4806201550387597</x:v>
      </x:c>
    </x:row>
    <x:row r="2720" ht="21" customHeight="1">
      <x:c r="A2720" s="10" t="n">
        <x:v>3768</x:v>
      </x:c>
      <x:c r="B2720" s="2" t="str">
        <x:v>62a44d6895e759b45d16</x:v>
      </x:c>
      <x:c r="C2720" s="2" t="str">
        <x:v>Hà Nội</x:v>
      </x:c>
      <x:c r="D2720" s="2" t="str">
        <x:v>Quận Hai Bà Trưng</x:v>
      </x:c>
      <x:c r="E2720" s="2" t="str">
        <x:v>house</x:v>
      </x:c>
      <x:c r="F2720" s="2" t="str">
        <x:v>sale_assumed</x:v>
      </x:c>
      <x:c r="G2720" s="11" t="n">
        <x:v>54</x:v>
      </x:c>
      <x:c r="H2720" s="12" t="n">
        <x:v>4850000000</x:v>
      </x:c>
      <x:c r="I2720" s="12" t="n">
        <x:v>89814814.81481482</x:v>
      </x:c>
      <x:c r="J2720" s="2" t="str">
        <x:v>total</x:v>
      </x:c>
      <x:c r="K2720" s="2" t="str">
        <x:v>top_level_area</x:v>
      </x:c>
      <x:c r="L2720" s="2" t="str">
        <x:v>property_type_inferred_from_title;transaction_assumed_sale_from_dataset_context</x:v>
      </x:c>
      <x:c r="M2720" s="10" t="n">
        <x:v>0</x:v>
      </x:c>
      <x:c r="N2720" s="10" t="n">
        <x:v>0</x:v>
      </x:c>
      <x:c r="O2720" s="2" t="str">
        <x:v>Hà Nội|house</x:v>
      </x:c>
      <x:c r="P2720" s="10" t="n">
        <x:v>2</x:v>
      </x:c>
      <x:c r="Q2720" s="13" t="n">
        <x:f>IF(H2720="","",H2720/1000000000)</x:f>
        <x:v>4.85</x:v>
      </x:c>
      <x:c r="R2720" s="13" t="n">
        <x:f>IF(I2720="","",I2720/1000000)</x:f>
        <x:v>89.81481481481482</x:v>
      </x:c>
    </x:row>
    <x:row r="2721" ht="21" customHeight="1">
      <x:c r="A2721" s="10" t="n">
        <x:v>3769</x:v>
      </x:c>
      <x:c r="B2721" s="2" t="str">
        <x:v>e6ac158ed3d4f1bddc70</x:v>
      </x:c>
      <x:c r="C2721" s="2" t="str">
        <x:v>Long An</x:v>
      </x:c>
      <x:c r="D2721" s="2" t="str">
        <x:v>Huyện Bến Lức</x:v>
      </x:c>
      <x:c r="E2721" s="2" t="str">
        <x:v>land</x:v>
      </x:c>
      <x:c r="F2721" s="2" t="str">
        <x:v>sale_assumed</x:v>
      </x:c>
      <x:c r="G2721" s="11" t="n">
        <x:v>100</x:v>
      </x:c>
      <x:c r="H2721" s="12" t="n">
        <x:v>609000000</x:v>
      </x:c>
      <x:c r="I2721" s="12" t="n">
        <x:v>6090000</x:v>
      </x:c>
      <x:c r="J2721" s="2" t="str">
        <x:v>total</x:v>
      </x:c>
      <x:c r="K2721" s="2" t="str">
        <x:v>top_level_area</x:v>
      </x:c>
      <x:c r="L2721" s="2" t="str">
        <x:v>property_type_inferred_from_title;transaction_assumed_sale_from_dataset_context</x:v>
      </x:c>
      <x:c r="M2721" s="10" t="n">
        <x:v>0</x:v>
      </x:c>
      <x:c r="N2721" s="10" t="n">
        <x:v>0</x:v>
      </x:c>
      <x:c r="O2721" s="2" t="str">
        <x:v>Long An|land</x:v>
      </x:c>
      <x:c r="P2721" s="10" t="n">
        <x:v>2</x:v>
      </x:c>
      <x:c r="Q2721" s="13" t="n">
        <x:f>IF(H2721="","",H2721/1000000000)</x:f>
        <x:v>0.609</x:v>
      </x:c>
      <x:c r="R2721" s="13" t="n">
        <x:f>IF(I2721="","",I2721/1000000)</x:f>
        <x:v>6.09</x:v>
      </x:c>
    </x:row>
    <x:row r="2722" ht="21" customHeight="1">
      <x:c r="A2722" s="10" t="n">
        <x:v>3770</x:v>
      </x:c>
      <x:c r="B2722" s="2" t="str">
        <x:v>47adea37687bfeaca2c4</x:v>
      </x:c>
      <x:c r="C2722" s="2" t="str">
        <x:v>Hà Nội</x:v>
      </x:c>
      <x:c r="D2722" s="2" t="str">
        <x:v>Quận Hai Bà Trưng</x:v>
      </x:c>
      <x:c r="E2722" s="2" t="str">
        <x:v>apartment</x:v>
      </x:c>
      <x:c r="F2722" s="2" t="str">
        <x:v>sale_assumed</x:v>
      </x:c>
      <x:c r="G2722" s="11" t="n">
        <x:v>86.32</x:v>
      </x:c>
      <x:c r="H2722" s="12" t="n">
        <x:v>3600000000</x:v>
      </x:c>
      <x:c r="I2722" s="12" t="n">
        <x:v>41705282.669138096</x:v>
      </x:c>
      <x:c r="J2722" s="2" t="str">
        <x:v>total</x:v>
      </x:c>
      <x:c r="K2722" s="2" t="str">
        <x:v>top_level_area</x:v>
      </x:c>
      <x:c r="L2722" s="2" t="str">
        <x:v>property_type_inferred_from_title;transaction_assumed_sale_from_dataset_context</x:v>
      </x:c>
      <x:c r="M2722" s="10" t="n">
        <x:v>0</x:v>
      </x:c>
      <x:c r="N2722" s="10" t="n">
        <x:v>0</x:v>
      </x:c>
      <x:c r="O2722" s="2" t="str">
        <x:v>Hà Nội|apartment</x:v>
      </x:c>
      <x:c r="P2722" s="10" t="n">
        <x:v>2</x:v>
      </x:c>
      <x:c r="Q2722" s="13" t="n">
        <x:f>IF(H2722="","",H2722/1000000000)</x:f>
        <x:v>3.6</x:v>
      </x:c>
      <x:c r="R2722" s="13" t="n">
        <x:f>IF(I2722="","",I2722/1000000)</x:f>
        <x:v>41.70528266913809</x:v>
      </x:c>
    </x:row>
    <x:row r="2723" ht="21" customHeight="1">
      <x:c r="A2723" s="10" t="n">
        <x:v>3771</x:v>
      </x:c>
      <x:c r="B2723" s="2" t="str">
        <x:v>840794146f4c3d8430a9</x:v>
      </x:c>
      <x:c r="C2723" s="2" t="str">
        <x:v>Cần Thơ</x:v>
      </x:c>
      <x:c r="D2723" s="2" t="str">
        <x:v>Quận Cái Răng</x:v>
      </x:c>
      <x:c r="E2723" s="2" t="str">
        <x:v>house</x:v>
      </x:c>
      <x:c r="F2723" s="2" t="str">
        <x:v>sale_assumed</x:v>
      </x:c>
      <x:c r="G2723" s="11" t="n">
        <x:v>120</x:v>
      </x:c>
      <x:c r="H2723" s="12" t="n">
        <x:v>650000000</x:v>
      </x:c>
      <x:c r="I2723" s="12" t="n">
        <x:v>5416666.666666667</x:v>
      </x:c>
      <x:c r="J2723" s="2" t="str">
        <x:v>total</x:v>
      </x:c>
      <x:c r="K2723" s="2" t="str">
        <x:v>top_level_area</x:v>
      </x:c>
      <x:c r="L2723" s="2" t="str">
        <x:v>property_type_inferred_from_title;transaction_assumed_sale_from_dataset_context</x:v>
      </x:c>
      <x:c r="M2723" s="10" t="n">
        <x:v>0</x:v>
      </x:c>
      <x:c r="N2723" s="10" t="n">
        <x:v>0</x:v>
      </x:c>
      <x:c r="O2723" s="2" t="str">
        <x:v>Cần Thơ|house</x:v>
      </x:c>
      <x:c r="P2723" s="10" t="n">
        <x:v>2</x:v>
      </x:c>
      <x:c r="Q2723" s="13" t="n">
        <x:f>IF(H2723="","",H2723/1000000000)</x:f>
        <x:v>0.65</x:v>
      </x:c>
      <x:c r="R2723" s="13" t="n">
        <x:f>IF(I2723="","",I2723/1000000)</x:f>
        <x:v>5.416666666666667</x:v>
      </x:c>
    </x:row>
    <x:row r="2724" ht="21" customHeight="1">
      <x:c r="A2724" s="10" t="n">
        <x:v>3772</x:v>
      </x:c>
      <x:c r="B2724" s="2" t="str">
        <x:v>6b4140602faeb81d5097</x:v>
      </x:c>
      <x:c r="C2724" s="2" t="str">
        <x:v>Hà Nội</x:v>
      </x:c>
      <x:c r="D2724" s="2" t="str">
        <x:v>Quận Nam Từ Liêm</x:v>
      </x:c>
      <x:c r="E2724" s="2" t="str">
        <x:v>land</x:v>
      </x:c>
      <x:c r="F2724" s="2" t="str">
        <x:v>sale</x:v>
      </x:c>
      <x:c r="G2724" s="11" t="n">
        <x:v>76</x:v>
      </x:c>
      <x:c r="H2724" s="12" t="n">
        <x:v>6200000000</x:v>
      </x:c>
      <x:c r="I2724" s="12" t="n">
        <x:v>81578947.36842105</x:v>
      </x:c>
      <x:c r="J2724" s="2" t="str">
        <x:v>total</x:v>
      </x:c>
      <x:c r="K2724" s="2" t="str">
        <x:v>top_level_area</x:v>
      </x:c>
      <x:c r="L2724" s="2" t="str">
        <x:v>property_type_inferred_from_title</x:v>
      </x:c>
      <x:c r="M2724" s="10" t="n">
        <x:v>0</x:v>
      </x:c>
      <x:c r="N2724" s="10" t="n">
        <x:v>0</x:v>
      </x:c>
      <x:c r="O2724" s="2" t="str">
        <x:v>Hà Nội|land</x:v>
      </x:c>
      <x:c r="P2724" s="10" t="n">
        <x:v>2</x:v>
      </x:c>
      <x:c r="Q2724" s="13" t="n">
        <x:f>IF(H2724="","",H2724/1000000000)</x:f>
        <x:v>6.2</x:v>
      </x:c>
      <x:c r="R2724" s="13" t="n">
        <x:f>IF(I2724="","",I2724/1000000)</x:f>
        <x:v>81.57894736842105</x:v>
      </x:c>
    </x:row>
    <x:row r="2725" ht="21" customHeight="1">
      <x:c r="A2725" s="10" t="n">
        <x:v>3773</x:v>
      </x:c>
      <x:c r="B2725" s="2" t="str">
        <x:v>497d3aa708444cd0f649</x:v>
      </x:c>
      <x:c r="C2725" s="2" t="str">
        <x:v>Tp Hồ Chí Minh</x:v>
      </x:c>
      <x:c r="D2725" s="2" t="str">
        <x:v>Quận Tân Phú</x:v>
      </x:c>
      <x:c r="E2725" s="2" t="str">
        <x:v>land</x:v>
      </x:c>
      <x:c r="F2725" s="2" t="str">
        <x:v>sale_assumed</x:v>
      </x:c>
      <x:c r="G2725" s="11" t="n">
        <x:v>100</x:v>
      </x:c>
      <x:c r="H2725" s="12" t="n">
        <x:v>3400000000</x:v>
      </x:c>
      <x:c r="I2725" s="12" t="n">
        <x:v>34000000</x:v>
      </x:c>
      <x:c r="J2725" s="2" t="str">
        <x:v>total</x:v>
      </x:c>
      <x:c r="K2725" s="2" t="str">
        <x:v>top_level_area</x:v>
      </x:c>
      <x:c r="L2725" s="2" t="str">
        <x:v>property_type_inferred_from_title;transaction_assumed_sale_from_dataset_context</x:v>
      </x:c>
      <x:c r="M2725" s="10" t="n">
        <x:v>0</x:v>
      </x:c>
      <x:c r="N2725" s="10" t="n">
        <x:v>0</x:v>
      </x:c>
      <x:c r="O2725" s="2" t="str">
        <x:v>Tp Hồ Chí Minh|land</x:v>
      </x:c>
      <x:c r="P2725" s="10" t="n">
        <x:v>2</x:v>
      </x:c>
      <x:c r="Q2725" s="13" t="n">
        <x:f>IF(H2725="","",H2725/1000000000)</x:f>
        <x:v>3.4</x:v>
      </x:c>
      <x:c r="R2725" s="13" t="n">
        <x:f>IF(I2725="","",I2725/1000000)</x:f>
        <x:v>34</x:v>
      </x:c>
    </x:row>
    <x:row r="2726" ht="21" customHeight="1">
      <x:c r="A2726" s="10" t="n">
        <x:v>3774</x:v>
      </x:c>
      <x:c r="B2726" s="2" t="str">
        <x:v>3a4aba1d4391e398557a</x:v>
      </x:c>
      <x:c r="C2726" s="2" t="str">
        <x:v>Cần Thơ</x:v>
      </x:c>
      <x:c r="D2726" s="2" t="str">
        <x:v>Quận Cái Răng</x:v>
      </x:c>
      <x:c r="E2726" s="2" t="str">
        <x:v>house</x:v>
      </x:c>
      <x:c r="F2726" s="2" t="str">
        <x:v>sale_assumed</x:v>
      </x:c>
      <x:c r="G2726" s="11" t="n">
        <x:v>70</x:v>
      </x:c>
      <x:c r="H2726" s="12" t="n">
        <x:v>350000000</x:v>
      </x:c>
      <x:c r="I2726" s="12" t="n">
        <x:v>5000000</x:v>
      </x:c>
      <x:c r="J2726" s="2" t="str">
        <x:v>total</x:v>
      </x:c>
      <x:c r="K2726" s="2" t="str">
        <x:v>top_level_area</x:v>
      </x:c>
      <x:c r="L2726" s="2" t="str">
        <x:v>property_type_inferred_from_title;transaction_assumed_sale_from_dataset_context</x:v>
      </x:c>
      <x:c r="M2726" s="10" t="n">
        <x:v>0</x:v>
      </x:c>
      <x:c r="N2726" s="10" t="n">
        <x:v>0</x:v>
      </x:c>
      <x:c r="O2726" s="2" t="str">
        <x:v>Cần Thơ|house</x:v>
      </x:c>
      <x:c r="P2726" s="10" t="n">
        <x:v>2</x:v>
      </x:c>
      <x:c r="Q2726" s="13" t="n">
        <x:f>IF(H2726="","",H2726/1000000000)</x:f>
        <x:v>0.35</x:v>
      </x:c>
      <x:c r="R2726" s="13" t="n">
        <x:f>IF(I2726="","",I2726/1000000)</x:f>
        <x:v>5</x:v>
      </x:c>
    </x:row>
    <x:row r="2727" ht="21" customHeight="1">
      <x:c r="A2727" s="10" t="n">
        <x:v>3775</x:v>
      </x:c>
      <x:c r="B2727" s="2" t="str">
        <x:v>c97dc367ee537ef0a4a9</x:v>
      </x:c>
      <x:c r="C2727" s="2" t="str">
        <x:v>Tp Hồ Chí Minh</x:v>
      </x:c>
      <x:c r="D2727" s="2" t="str">
        <x:v>Quận Bình Thạnh</x:v>
      </x:c>
      <x:c r="E2727" s="2" t="str">
        <x:v>house</x:v>
      </x:c>
      <x:c r="F2727" s="2" t="str">
        <x:v>sale_assumed</x:v>
      </x:c>
      <x:c r="G2727" s="11" t="n">
        <x:v>55</x:v>
      </x:c>
      <x:c r="H2727" s="12" t="n">
        <x:v>1000000000</x:v>
      </x:c>
      <x:c r="I2727" s="12" t="n">
        <x:v>18181818.181818184</x:v>
      </x:c>
      <x:c r="J2727" s="2" t="str">
        <x:v>total</x:v>
      </x:c>
      <x:c r="K2727" s="2" t="str">
        <x:v>top_level_area</x:v>
      </x:c>
      <x:c r="L2727" s="2" t="str">
        <x:v>property_type_inferred_from_title;transaction_assumed_sale_from_dataset_context</x:v>
      </x:c>
      <x:c r="M2727" s="10" t="n">
        <x:v>0</x:v>
      </x:c>
      <x:c r="N2727" s="10" t="n">
        <x:v>0</x:v>
      </x:c>
      <x:c r="O2727" s="2" t="str">
        <x:v>Tp Hồ Chí Minh|house</x:v>
      </x:c>
      <x:c r="P2727" s="10" t="n">
        <x:v>2</x:v>
      </x:c>
      <x:c r="Q2727" s="13" t="n">
        <x:f>IF(H2727="","",H2727/1000000000)</x:f>
        <x:v>1</x:v>
      </x:c>
      <x:c r="R2727" s="13" t="n">
        <x:f>IF(I2727="","",I2727/1000000)</x:f>
        <x:v>18.181818181818183</x:v>
      </x:c>
    </x:row>
    <x:row r="2728" ht="21" customHeight="1">
      <x:c r="A2728" s="10" t="n">
        <x:v>3776</x:v>
      </x:c>
      <x:c r="B2728" s="2" t="str">
        <x:v>9df6a08485cd1be8a479</x:v>
      </x:c>
      <x:c r="C2728" s="2" t="str">
        <x:v>Hà Nội</x:v>
      </x:c>
      <x:c r="D2728" s="2" t="str">
        <x:v>Quận Bắc Từ Liêm</x:v>
      </x:c>
      <x:c r="E2728" s="2" t="str">
        <x:v>other_unknown</x:v>
      </x:c>
      <x:c r="F2728" s="2" t="str">
        <x:v>sale_assumed</x:v>
      </x:c>
      <x:c r="G2728" s="11" t="n">
        <x:v>40</x:v>
      </x:c>
      <x:c r="H2728" s="12" t="n">
        <x:v>3500000000</x:v>
      </x:c>
      <x:c r="I2728" s="12" t="n">
        <x:v>87500000</x:v>
      </x:c>
      <x:c r="J2728" s="2" t="str">
        <x:v>total</x:v>
      </x:c>
      <x:c r="K2728" s="2" t="str">
        <x:v>top_level_area</x:v>
      </x:c>
      <x:c r="L2728" s="2" t="str">
        <x:v>property_type_inferred_from_title;transaction_assumed_sale_from_dataset_context;unknown_property_type</x:v>
      </x:c>
      <x:c r="M2728" s="10" t="n">
        <x:v>0</x:v>
      </x:c>
      <x:c r="N2728" s="10" t="n">
        <x:v>0</x:v>
      </x:c>
      <x:c r="O2728" s="2" t="str">
        <x:v>Hà Nội|other_unknown</x:v>
      </x:c>
      <x:c r="P2728" s="10" t="n">
        <x:v>2</x:v>
      </x:c>
      <x:c r="Q2728" s="13" t="n">
        <x:f>IF(H2728="","",H2728/1000000000)</x:f>
        <x:v>3.5</x:v>
      </x:c>
      <x:c r="R2728" s="13" t="n">
        <x:f>IF(I2728="","",I2728/1000000)</x:f>
        <x:v>87.5</x:v>
      </x:c>
    </x:row>
    <x:row r="2729" ht="21" customHeight="1">
      <x:c r="A2729" s="10" t="n">
        <x:v>3777</x:v>
      </x:c>
      <x:c r="B2729" s="2" t="str">
        <x:v>24235492fdc0eb3dfa35</x:v>
      </x:c>
      <x:c r="C2729" s="2" t="str">
        <x:v>Cần Thơ</x:v>
      </x:c>
      <x:c r="D2729" s="2" t="str">
        <x:v>Quận Ninh Kiều</x:v>
      </x:c>
      <x:c r="E2729" s="2" t="str">
        <x:v>land</x:v>
      </x:c>
      <x:c r="F2729" s="2" t="str">
        <x:v>sale_assumed</x:v>
      </x:c>
      <x:c r="G2729" s="11" t="n">
        <x:v>100</x:v>
      </x:c>
      <x:c r="H2729" s="12" t="n">
        <x:v>1900000000</x:v>
      </x:c>
      <x:c r="I2729" s="12" t="n">
        <x:v>19000000</x:v>
      </x:c>
      <x:c r="J2729" s="2" t="str">
        <x:v>total</x:v>
      </x:c>
      <x:c r="K2729" s="2" t="str">
        <x:v>top_level_area</x:v>
      </x:c>
      <x:c r="L2729" s="2" t="str">
        <x:v>property_type_inferred_from_title;transaction_assumed_sale_from_dataset_context</x:v>
      </x:c>
      <x:c r="M2729" s="10" t="n">
        <x:v>0</x:v>
      </x:c>
      <x:c r="N2729" s="10" t="n">
        <x:v>0</x:v>
      </x:c>
      <x:c r="O2729" s="2" t="str">
        <x:v>Cần Thơ|land</x:v>
      </x:c>
      <x:c r="P2729" s="10" t="n">
        <x:v>2</x:v>
      </x:c>
      <x:c r="Q2729" s="13" t="n">
        <x:f>IF(H2729="","",H2729/1000000000)</x:f>
        <x:v>1.9</x:v>
      </x:c>
      <x:c r="R2729" s="13" t="n">
        <x:f>IF(I2729="","",I2729/1000000)</x:f>
        <x:v>19</x:v>
      </x:c>
    </x:row>
    <x:row r="2730" ht="21" customHeight="1">
      <x:c r="A2730" s="10" t="n">
        <x:v>3779</x:v>
      </x:c>
      <x:c r="B2730" s="2" t="str">
        <x:v>8c8ad3ce0dfe259a815d</x:v>
      </x:c>
      <x:c r="C2730" s="2" t="str">
        <x:v>Hà Nội</x:v>
      </x:c>
      <x:c r="D2730" s="2" t="str">
        <x:v>Quận Hà Đông</x:v>
      </x:c>
      <x:c r="E2730" s="2" t="str">
        <x:v>house</x:v>
      </x:c>
      <x:c r="F2730" s="2" t="str">
        <x:v>sale</x:v>
      </x:c>
      <x:c r="G2730" s="11" t="n">
        <x:v>94</x:v>
      </x:c>
      <x:c r="H2730" s="12" t="n">
        <x:v>1400000000</x:v>
      </x:c>
      <x:c r="I2730" s="12" t="n">
        <x:v>14893617.021276595</x:v>
      </x:c>
      <x:c r="J2730" s="2" t="str">
        <x:v>total</x:v>
      </x:c>
      <x:c r="K2730" s="2" t="str">
        <x:v>top_level_area</x:v>
      </x:c>
      <x:c r="L2730" s="2" t="str">
        <x:v>property_type_inferred_from_title</x:v>
      </x:c>
      <x:c r="M2730" s="10" t="n">
        <x:v>0</x:v>
      </x:c>
      <x:c r="N2730" s="10" t="n">
        <x:v>0</x:v>
      </x:c>
      <x:c r="O2730" s="2" t="str">
        <x:v>Hà Nội|house</x:v>
      </x:c>
      <x:c r="P2730" s="10" t="n">
        <x:v>2</x:v>
      </x:c>
      <x:c r="Q2730" s="13" t="n">
        <x:f>IF(H2730="","",H2730/1000000000)</x:f>
        <x:v>1.4</x:v>
      </x:c>
      <x:c r="R2730" s="13" t="n">
        <x:f>IF(I2730="","",I2730/1000000)</x:f>
        <x:v>14.893617021276595</x:v>
      </x:c>
    </x:row>
    <x:row r="2731" ht="21" customHeight="1">
      <x:c r="A2731" s="10" t="n">
        <x:v>3780</x:v>
      </x:c>
      <x:c r="B2731" s="2" t="str">
        <x:v>6494bb48871031a66b0a</x:v>
      </x:c>
      <x:c r="C2731" s="2" t="str">
        <x:v>Tp Hồ Chí Minh</x:v>
      </x:c>
      <x:c r="D2731" s="2" t="str">
        <x:v>Quận Thủ Đức</x:v>
      </x:c>
      <x:c r="E2731" s="2" t="str">
        <x:v>house</x:v>
      </x:c>
      <x:c r="F2731" s="2" t="str">
        <x:v>sale_assumed</x:v>
      </x:c>
      <x:c r="G2731" s="11" t="n">
        <x:v>69</x:v>
      </x:c>
      <x:c r="H2731" s="12" t="n">
        <x:v>5550000000</x:v>
      </x:c>
      <x:c r="I2731" s="12" t="n">
        <x:v>80434782.60869566</x:v>
      </x:c>
      <x:c r="J2731" s="2" t="str">
        <x:v>total</x:v>
      </x:c>
      <x:c r="K2731" s="2" t="str">
        <x:v>top_level_area</x:v>
      </x:c>
      <x:c r="L2731" s="2" t="str">
        <x:v>property_type_inferred_from_title;transaction_assumed_sale_from_dataset_context</x:v>
      </x:c>
      <x:c r="M2731" s="10" t="n">
        <x:v>0</x:v>
      </x:c>
      <x:c r="N2731" s="10" t="n">
        <x:v>0</x:v>
      </x:c>
      <x:c r="O2731" s="2" t="str">
        <x:v>Tp Hồ Chí Minh|house</x:v>
      </x:c>
      <x:c r="P2731" s="10" t="n">
        <x:v>2</x:v>
      </x:c>
      <x:c r="Q2731" s="13" t="n">
        <x:f>IF(H2731="","",H2731/1000000000)</x:f>
        <x:v>5.55</x:v>
      </x:c>
      <x:c r="R2731" s="13" t="n">
        <x:f>IF(I2731="","",I2731/1000000)</x:f>
        <x:v>80.43478260869566</x:v>
      </x:c>
    </x:row>
    <x:row r="2732" ht="21" customHeight="1">
      <x:c r="A2732" s="10" t="n">
        <x:v>3781</x:v>
      </x:c>
      <x:c r="B2732" s="2" t="str">
        <x:v>dfbfb8098369482cb818</x:v>
      </x:c>
      <x:c r="C2732" s="2" t="str">
        <x:v>Tp Hồ Chí Minh</x:v>
      </x:c>
      <x:c r="D2732" s="2" t="str">
        <x:v>Quận Bình Thạnh</x:v>
      </x:c>
      <x:c r="E2732" s="2" t="str">
        <x:v>house</x:v>
      </x:c>
      <x:c r="F2732" s="2" t="str">
        <x:v>sale</x:v>
      </x:c>
      <x:c r="G2732" s="11" t="n">
        <x:v>45</x:v>
      </x:c>
      <x:c r="H2732" s="12" t="n">
        <x:v>6300000000</x:v>
      </x:c>
      <x:c r="I2732" s="12" t="n">
        <x:v>140000000</x:v>
      </x:c>
      <x:c r="J2732" s="2" t="str">
        <x:v>total</x:v>
      </x:c>
      <x:c r="K2732" s="2" t="str">
        <x:v>top_level_area</x:v>
      </x:c>
      <x:c r="L2732" s="2" t="str">
        <x:v>property_type_inferred_from_title</x:v>
      </x:c>
      <x:c r="M2732" s="10" t="n">
        <x:v>0</x:v>
      </x:c>
      <x:c r="N2732" s="10" t="n">
        <x:v>0</x:v>
      </x:c>
      <x:c r="O2732" s="2" t="str">
        <x:v>Tp Hồ Chí Minh|house</x:v>
      </x:c>
      <x:c r="P2732" s="10" t="n">
        <x:v>2</x:v>
      </x:c>
      <x:c r="Q2732" s="13" t="n">
        <x:f>IF(H2732="","",H2732/1000000000)</x:f>
        <x:v>6.3</x:v>
      </x:c>
      <x:c r="R2732" s="13" t="n">
        <x:f>IF(I2732="","",I2732/1000000)</x:f>
        <x:v>140</x:v>
      </x:c>
    </x:row>
    <x:row r="2733" ht="21" customHeight="1">
      <x:c r="A2733" s="10" t="n">
        <x:v>3782</x:v>
      </x:c>
      <x:c r="B2733" s="2" t="str">
        <x:v>b3dbf0d180e42b61b606</x:v>
      </x:c>
      <x:c r="C2733" s="2" t="str">
        <x:v>Bình Dương</x:v>
      </x:c>
      <x:c r="D2733" s="2" t="str">
        <x:v>Thị xã Bến Cát</x:v>
      </x:c>
      <x:c r="E2733" s="2" t="str">
        <x:v>house</x:v>
      </x:c>
      <x:c r="F2733" s="2" t="str">
        <x:v>sale_assumed</x:v>
      </x:c>
      <x:c r="G2733" s="11" t="n">
        <x:v>78</x:v>
      </x:c>
      <x:c r="H2733" s="12" t="n">
        <x:v>1000000000</x:v>
      </x:c>
      <x:c r="I2733" s="12" t="n">
        <x:v>12820512.82051282</x:v>
      </x:c>
      <x:c r="J2733" s="2" t="str">
        <x:v>total</x:v>
      </x:c>
      <x:c r="K2733" s="2" t="str">
        <x:v>top_level_area</x:v>
      </x:c>
      <x:c r="L2733" s="2" t="str">
        <x:v>property_type_inferred_from_title;transaction_assumed_sale_from_dataset_context</x:v>
      </x:c>
      <x:c r="M2733" s="10" t="n">
        <x:v>0</x:v>
      </x:c>
      <x:c r="N2733" s="10" t="n">
        <x:v>0</x:v>
      </x:c>
      <x:c r="O2733" s="2" t="str">
        <x:v>Bình Dương|house</x:v>
      </x:c>
      <x:c r="P2733" s="10" t="n">
        <x:v>2</x:v>
      </x:c>
      <x:c r="Q2733" s="13" t="n">
        <x:f>IF(H2733="","",H2733/1000000000)</x:f>
        <x:v>1</x:v>
      </x:c>
      <x:c r="R2733" s="13" t="n">
        <x:f>IF(I2733="","",I2733/1000000)</x:f>
        <x:v>12.82051282051282</x:v>
      </x:c>
    </x:row>
    <x:row r="2734" ht="21" customHeight="1">
      <x:c r="A2734" s="10" t="n">
        <x:v>3783</x:v>
      </x:c>
      <x:c r="B2734" s="2" t="str">
        <x:v>bacbab9c8b14c0af003f</x:v>
      </x:c>
      <x:c r="C2734" s="2" t="str">
        <x:v>Bắc Ninh</x:v>
      </x:c>
      <x:c r="D2734" s="2" t="str">
        <x:v>Huyện Gia Bình</x:v>
      </x:c>
      <x:c r="E2734" s="2" t="str">
        <x:v>other_unknown</x:v>
      </x:c>
      <x:c r="F2734" s="2" t="str">
        <x:v>sale_assumed</x:v>
      </x:c>
      <x:c r="G2734" s="11" t="n">
        <x:v>66664</x:v>
      </x:c>
      <x:c r="H2734" s="12" t="n">
        <x:v>96000000000</x:v>
      </x:c>
      <x:c r="I2734" s="12" t="n">
        <x:v>1440057.6023040921</x:v>
      </x:c>
      <x:c r="J2734" s="2" t="str">
        <x:v>total</x:v>
      </x:c>
      <x:c r="K2734" s="2" t="str">
        <x:v>top_level_area</x:v>
      </x:c>
      <x:c r="L2734" s="2" t="str">
        <x:v>dot_thousands_convention;property_type_inferred_from_title;transaction_assumed_sale_from_dataset_context;unknown_property_type</x:v>
      </x:c>
      <x:c r="M2734" s="10" t="n">
        <x:v>0</x:v>
      </x:c>
      <x:c r="N2734" s="10" t="n">
        <x:v>0</x:v>
      </x:c>
      <x:c r="O2734" s="2" t="str">
        <x:v>other_unknown</x:v>
      </x:c>
      <x:c r="P2734" s="10" t="n">
        <x:v>1</x:v>
      </x:c>
      <x:c r="Q2734" s="13" t="n">
        <x:f>IF(H2734="","",H2734/1000000000)</x:f>
        <x:v>96</x:v>
      </x:c>
      <x:c r="R2734" s="13" t="n">
        <x:f>IF(I2734="","",I2734/1000000)</x:f>
        <x:v>1.440057602304092</x:v>
      </x:c>
    </x:row>
    <x:row r="2735" ht="21" customHeight="1">
      <x:c r="A2735" s="10" t="n">
        <x:v>3785</x:v>
      </x:c>
      <x:c r="B2735" s="2" t="str">
        <x:v>6ba3c7c4b7b5259934c3</x:v>
      </x:c>
      <x:c r="C2735" s="2" t="str">
        <x:v>Gia Lai</x:v>
      </x:c>
      <x:c r="D2735" s="2" t="str">
        <x:v>Huyện Chư Sê</x:v>
      </x:c>
      <x:c r="E2735" s="2" t="str">
        <x:v>other_unknown</x:v>
      </x:c>
      <x:c r="F2735" s="2" t="str">
        <x:v>sale</x:v>
      </x:c>
      <x:c r="G2735" s="11" t="n">
        <x:v>600</x:v>
      </x:c>
      <x:c r="H2735" s="12" t="n">
        <x:v>700000000</x:v>
      </x:c>
      <x:c r="I2735" s="12" t="n">
        <x:v>1166666.6666666667</x:v>
      </x:c>
      <x:c r="J2735" s="2" t="str">
        <x:v>total</x:v>
      </x:c>
      <x:c r="K2735" s="2" t="str">
        <x:v>top_level_area</x:v>
      </x:c>
      <x:c r="L2735" s="2" t="str">
        <x:v>property_type_inferred_from_title;unknown_property_type</x:v>
      </x:c>
      <x:c r="M2735" s="10" t="n">
        <x:v>0</x:v>
      </x:c>
      <x:c r="N2735" s="10" t="n">
        <x:v>0</x:v>
      </x:c>
      <x:c r="O2735" s="2" t="str">
        <x:v>other_unknown</x:v>
      </x:c>
      <x:c r="P2735" s="10" t="n">
        <x:v>1</x:v>
      </x:c>
      <x:c r="Q2735" s="13" t="n">
        <x:f>IF(H2735="","",H2735/1000000000)</x:f>
        <x:v>0.7</x:v>
      </x:c>
      <x:c r="R2735" s="13" t="n">
        <x:f>IF(I2735="","",I2735/1000000)</x:f>
        <x:v>1.1666666666666667</x:v>
      </x:c>
    </x:row>
    <x:row r="2736" ht="21" customHeight="1">
      <x:c r="A2736" s="10" t="n">
        <x:v>3786</x:v>
      </x:c>
      <x:c r="B2736" s="2" t="str">
        <x:v>658ceb5149297730c250</x:v>
      </x:c>
      <x:c r="C2736" s="2" t="str">
        <x:v>Tp Hồ Chí Minh</x:v>
      </x:c>
      <x:c r="D2736" s="2" t="str">
        <x:v>Quận Tân Phú</x:v>
      </x:c>
      <x:c r="E2736" s="2" t="str">
        <x:v>house</x:v>
      </x:c>
      <x:c r="F2736" s="2" t="str">
        <x:v>sale</x:v>
      </x:c>
      <x:c r="G2736" s="11" t="n">
        <x:v>140</x:v>
      </x:c>
      <x:c r="H2736" s="12" t="n">
        <x:v>4300000000</x:v>
      </x:c>
      <x:c r="I2736" s="12" t="n">
        <x:v>30714285.714285713</x:v>
      </x:c>
      <x:c r="J2736" s="2" t="str">
        <x:v>total</x:v>
      </x:c>
      <x:c r="K2736" s="2" t="str">
        <x:v>top_level_area</x:v>
      </x:c>
      <x:c r="L2736" s="2" t="str">
        <x:v>property_type_inferred_from_title</x:v>
      </x:c>
      <x:c r="M2736" s="10" t="n">
        <x:v>0</x:v>
      </x:c>
      <x:c r="N2736" s="10" t="n">
        <x:v>0</x:v>
      </x:c>
      <x:c r="O2736" s="2" t="str">
        <x:v>Tp Hồ Chí Minh|house</x:v>
      </x:c>
      <x:c r="P2736" s="10" t="n">
        <x:v>2</x:v>
      </x:c>
      <x:c r="Q2736" s="13" t="n">
        <x:f>IF(H2736="","",H2736/1000000000)</x:f>
        <x:v>4.3</x:v>
      </x:c>
      <x:c r="R2736" s="13" t="n">
        <x:f>IF(I2736="","",I2736/1000000)</x:f>
        <x:v>30.71428571428571</x:v>
      </x:c>
    </x:row>
    <x:row r="2737" ht="21" customHeight="1">
      <x:c r="A2737" s="10" t="n">
        <x:v>3787</x:v>
      </x:c>
      <x:c r="B2737" s="2" t="str">
        <x:v>7c01fb256b0b2540d3da</x:v>
      </x:c>
      <x:c r="C2737" s="2" t="str">
        <x:v>Hải Phòng</x:v>
      </x:c>
      <x:c r="D2737" s="2" t="str">
        <x:v>Quận Dương Kinh</x:v>
      </x:c>
      <x:c r="E2737" s="2" t="str">
        <x:v>land</x:v>
      </x:c>
      <x:c r="F2737" s="2" t="str">
        <x:v>sale_assumed</x:v>
      </x:c>
      <x:c r="G2737" s="11" t="n">
        <x:v>77.8</x:v>
      </x:c>
      <x:c r="H2737" s="12" t="n">
        <x:v>750000000</x:v>
      </x:c>
      <x:c r="I2737" s="12" t="n">
        <x:v>9640102.827763496</x:v>
      </x:c>
      <x:c r="J2737" s="2" t="str">
        <x:v>total</x:v>
      </x:c>
      <x:c r="K2737" s="2" t="str">
        <x:v>top_level_area</x:v>
      </x:c>
      <x:c r="L2737" s="2" t="str">
        <x:v>property_type_inferred_from_title;transaction_assumed_sale_from_dataset_context</x:v>
      </x:c>
      <x:c r="M2737" s="10" t="n">
        <x:v>0</x:v>
      </x:c>
      <x:c r="N2737" s="10" t="n">
        <x:v>0</x:v>
      </x:c>
      <x:c r="O2737" s="2" t="str">
        <x:v>land</x:v>
      </x:c>
      <x:c r="P2737" s="10" t="n">
        <x:v>2</x:v>
      </x:c>
      <x:c r="Q2737" s="13" t="n">
        <x:f>IF(H2737="","",H2737/1000000000)</x:f>
        <x:v>0.75</x:v>
      </x:c>
      <x:c r="R2737" s="13" t="n">
        <x:f>IF(I2737="","",I2737/1000000)</x:f>
        <x:v>9.640102827763496</x:v>
      </x:c>
    </x:row>
    <x:row r="2738" ht="21" customHeight="1">
      <x:c r="A2738" s="10" t="n">
        <x:v>3788</x:v>
      </x:c>
      <x:c r="B2738" s="2" t="str">
        <x:v>f974dfc6aa47400dd531</x:v>
      </x:c>
      <x:c r="C2738" s="2" t="str">
        <x:v>Quảng Nam</x:v>
      </x:c>
      <x:c r="D2738" s="2" t="str">
        <x:v>Thành phố Hội An</x:v>
      </x:c>
      <x:c r="E2738" s="2" t="str">
        <x:v>land</x:v>
      </x:c>
      <x:c r="F2738" s="2" t="str">
        <x:v>sale_assumed</x:v>
      </x:c>
      <x:c r="G2738" s="11" t="n">
        <x:v>1000</x:v>
      </x:c>
      <x:c r="H2738" s="12" t="n">
        <x:v>19500000000</x:v>
      </x:c>
      <x:c r="I2738" s="12" t="n">
        <x:v>19500000</x:v>
      </x:c>
      <x:c r="J2738" s="2" t="str">
        <x:v>total</x:v>
      </x:c>
      <x:c r="K2738" s="2" t="str">
        <x:v>top_level_area</x:v>
      </x:c>
      <x:c r="L2738" s="2" t="str">
        <x:v>dot_thousands_convention;property_type_inferred_from_title;transaction_assumed_sale_from_dataset_context</x:v>
      </x:c>
      <x:c r="M2738" s="10" t="n">
        <x:v>0</x:v>
      </x:c>
      <x:c r="N2738" s="10" t="n">
        <x:v>0</x:v>
      </x:c>
      <x:c r="O2738" s="2" t="str">
        <x:v>land</x:v>
      </x:c>
      <x:c r="P2738" s="10" t="n">
        <x:v>1</x:v>
      </x:c>
      <x:c r="Q2738" s="13" t="n">
        <x:f>IF(H2738="","",H2738/1000000000)</x:f>
        <x:v>19.5</x:v>
      </x:c>
      <x:c r="R2738" s="13" t="n">
        <x:f>IF(I2738="","",I2738/1000000)</x:f>
        <x:v>19.5</x:v>
      </x:c>
    </x:row>
    <x:row r="2739" ht="21" customHeight="1">
      <x:c r="A2739" s="10" t="n">
        <x:v>3789</x:v>
      </x:c>
      <x:c r="B2739" s="2" t="str">
        <x:v>aed01262c0449fdfea99</x:v>
      </x:c>
      <x:c r="C2739" s="2" t="str">
        <x:v>Cần Thơ</x:v>
      </x:c>
      <x:c r="D2739" s="2" t="str">
        <x:v>Quận Cái Răng</x:v>
      </x:c>
      <x:c r="E2739" s="2" t="str">
        <x:v>house</x:v>
      </x:c>
      <x:c r="F2739" s="2" t="str">
        <x:v>sale_assumed</x:v>
      </x:c>
      <x:c r="G2739" s="11" t="n">
        <x:v>80</x:v>
      </x:c>
      <x:c r="H2739" s="12" t="n">
        <x:v>400000000</x:v>
      </x:c>
      <x:c r="I2739" s="12" t="n">
        <x:v>5000000</x:v>
      </x:c>
      <x:c r="J2739" s="2" t="str">
        <x:v>total</x:v>
      </x:c>
      <x:c r="K2739" s="2" t="str">
        <x:v>top_level_area</x:v>
      </x:c>
      <x:c r="L2739" s="2" t="str">
        <x:v>property_type_inferred_from_title;transaction_assumed_sale_from_dataset_context</x:v>
      </x:c>
      <x:c r="M2739" s="10" t="n">
        <x:v>0</x:v>
      </x:c>
      <x:c r="N2739" s="10" t="n">
        <x:v>0</x:v>
      </x:c>
      <x:c r="O2739" s="2" t="str">
        <x:v>Cần Thơ|house</x:v>
      </x:c>
      <x:c r="P2739" s="10" t="n">
        <x:v>2</x:v>
      </x:c>
      <x:c r="Q2739" s="13" t="n">
        <x:f>IF(H2739="","",H2739/1000000000)</x:f>
        <x:v>0.4</x:v>
      </x:c>
      <x:c r="R2739" s="13" t="n">
        <x:f>IF(I2739="","",I2739/1000000)</x:f>
        <x:v>5</x:v>
      </x:c>
    </x:row>
    <x:row r="2740" ht="21" customHeight="1">
      <x:c r="A2740" s="10" t="n">
        <x:v>3790</x:v>
      </x:c>
      <x:c r="B2740" s="2" t="str">
        <x:v>95683437b084f053934d</x:v>
      </x:c>
      <x:c r="C2740" s="2" t="str">
        <x:v>Tp Hồ Chí Minh</x:v>
      </x:c>
      <x:c r="D2740" s="2" t="str">
        <x:v>Quận Bình Tân</x:v>
      </x:c>
      <x:c r="E2740" s="2" t="str">
        <x:v>other_unknown</x:v>
      </x:c>
      <x:c r="F2740" s="2" t="str">
        <x:v>sale</x:v>
      </x:c>
      <x:c r="G2740" s="11" t="n">
        <x:v>55</x:v>
      </x:c>
      <x:c r="H2740" s="12" t="n">
        <x:v>4400000000</x:v>
      </x:c>
      <x:c r="I2740" s="12" t="n">
        <x:v>80000000</x:v>
      </x:c>
      <x:c r="J2740" s="2" t="str">
        <x:v>total</x:v>
      </x:c>
      <x:c r="K2740" s="2" t="str">
        <x:v>top_level_area</x:v>
      </x:c>
      <x:c r="L2740" s="2" t="str">
        <x:v>property_type_inferred_from_title;unknown_property_type</x:v>
      </x:c>
      <x:c r="M2740" s="10" t="n">
        <x:v>0</x:v>
      </x:c>
      <x:c r="N2740" s="10" t="n">
        <x:v>0</x:v>
      </x:c>
      <x:c r="O2740" s="2" t="str">
        <x:v>Tp Hồ Chí Minh|other_unknown</x:v>
      </x:c>
      <x:c r="P2740" s="10" t="n">
        <x:v>2</x:v>
      </x:c>
      <x:c r="Q2740" s="13" t="n">
        <x:f>IF(H2740="","",H2740/1000000000)</x:f>
        <x:v>4.4</x:v>
      </x:c>
      <x:c r="R2740" s="13" t="n">
        <x:f>IF(I2740="","",I2740/1000000)</x:f>
        <x:v>80</x:v>
      </x:c>
    </x:row>
    <x:row r="2741" ht="21" customHeight="1">
      <x:c r="A2741" s="10" t="n">
        <x:v>3791</x:v>
      </x:c>
      <x:c r="B2741" s="2" t="str">
        <x:v>125edaba1c60b27b0a6b</x:v>
      </x:c>
      <x:c r="C2741" s="2" t="str">
        <x:v>Bình Dương</x:v>
      </x:c>
      <x:c r="D2741" s="2" t="str">
        <x:v>Thị xã Tân Uyên</x:v>
      </x:c>
      <x:c r="E2741" s="2" t="str">
        <x:v>other_unknown</x:v>
      </x:c>
      <x:c r="F2741" s="2" t="str">
        <x:v>sale_assumed</x:v>
      </x:c>
      <x:c r="G2741" s="11" t="n">
        <x:v>100</x:v>
      </x:c>
      <x:c r="H2741" s="12" t="n">
        <x:v>2300000000</x:v>
      </x:c>
      <x:c r="I2741" s="12" t="n">
        <x:v>23000000</x:v>
      </x:c>
      <x:c r="J2741" s="2" t="str">
        <x:v>total</x:v>
      </x:c>
      <x:c r="K2741" s="2" t="str">
        <x:v>top_level_area</x:v>
      </x:c>
      <x:c r="L2741" s="2" t="str">
        <x:v>property_type_inferred_from_title;transaction_assumed_sale_from_dataset_context;unknown_property_type</x:v>
      </x:c>
      <x:c r="M2741" s="10" t="n">
        <x:v>0</x:v>
      </x:c>
      <x:c r="N2741" s="10" t="n">
        <x:v>0</x:v>
      </x:c>
      <x:c r="O2741" s="2" t="str">
        <x:v>Bình Dương|other_unknown</x:v>
      </x:c>
      <x:c r="P2741" s="10" t="n">
        <x:v>2</x:v>
      </x:c>
      <x:c r="Q2741" s="13" t="n">
        <x:f>IF(H2741="","",H2741/1000000000)</x:f>
        <x:v>2.3</x:v>
      </x:c>
      <x:c r="R2741" s="13" t="n">
        <x:f>IF(I2741="","",I2741/1000000)</x:f>
        <x:v>23</x:v>
      </x:c>
    </x:row>
    <x:row r="2742" ht="21" customHeight="1">
      <x:c r="A2742" s="10" t="n">
        <x:v>3792</x:v>
      </x:c>
      <x:c r="B2742" s="2" t="str">
        <x:v>d8a44b0158cdded574f7</x:v>
      </x:c>
      <x:c r="C2742" s="2" t="str">
        <x:v>Đà Nẵng</x:v>
      </x:c>
      <x:c r="D2742" s="2" t="str">
        <x:v>Quận Cẩm Lệ</x:v>
      </x:c>
      <x:c r="E2742" s="2" t="str">
        <x:v>land</x:v>
      </x:c>
      <x:c r="F2742" s="2" t="str">
        <x:v>sale</x:v>
      </x:c>
      <x:c r="G2742" s="11" t="n">
        <x:v>70.2</x:v>
      </x:c>
      <x:c r="H2742" s="12" t="n">
        <x:v>1670000000</x:v>
      </x:c>
      <x:c r="I2742" s="12" t="n">
        <x:v>23789173.78917379</x:v>
      </x:c>
      <x:c r="J2742" s="2" t="str">
        <x:v>total</x:v>
      </x:c>
      <x:c r="K2742" s="2" t="str">
        <x:v>top_level_area</x:v>
      </x:c>
      <x:c r="L2742" s="2" t="str">
        <x:v>property_type_inferred_from_title</x:v>
      </x:c>
      <x:c r="M2742" s="10" t="n">
        <x:v>0</x:v>
      </x:c>
      <x:c r="N2742" s="10" t="n">
        <x:v>0</x:v>
      </x:c>
      <x:c r="O2742" s="2" t="str">
        <x:v>Đà Nẵng|land</x:v>
      </x:c>
      <x:c r="P2742" s="10" t="n">
        <x:v>2</x:v>
      </x:c>
      <x:c r="Q2742" s="13" t="n">
        <x:f>IF(H2742="","",H2742/1000000000)</x:f>
        <x:v>1.67</x:v>
      </x:c>
      <x:c r="R2742" s="13" t="n">
        <x:f>IF(I2742="","",I2742/1000000)</x:f>
        <x:v>23.789173789173788</x:v>
      </x:c>
    </x:row>
    <x:row r="2743" ht="21" customHeight="1">
      <x:c r="A2743" s="10" t="n">
        <x:v>3794</x:v>
      </x:c>
      <x:c r="B2743" s="2" t="str">
        <x:v>22ff70d939655f6cbbf1</x:v>
      </x:c>
      <x:c r="C2743" s="2" t="str">
        <x:v>Tp Hồ Chí Minh</x:v>
      </x:c>
      <x:c r="D2743" s="2" t="str">
        <x:v>Huyện Bình Chánh</x:v>
      </x:c>
      <x:c r="E2743" s="2" t="str">
        <x:v>house</x:v>
      </x:c>
      <x:c r="F2743" s="2" t="str">
        <x:v>sale</x:v>
      </x:c>
      <x:c r="G2743" s="11" t="n">
        <x:v>100</x:v>
      </x:c>
      <x:c r="H2743" s="12" t="n">
        <x:v>1295000000</x:v>
      </x:c>
      <x:c r="I2743" s="12" t="n">
        <x:v>12950000</x:v>
      </x:c>
      <x:c r="J2743" s="2" t="str">
        <x:v>total</x:v>
      </x:c>
      <x:c r="K2743" s="2" t="str">
        <x:v>top_level_area</x:v>
      </x:c>
      <x:c r="L2743" s="2" t="str">
        <x:v>property_type_inferred_from_title</x:v>
      </x:c>
      <x:c r="M2743" s="10" t="n">
        <x:v>0</x:v>
      </x:c>
      <x:c r="N2743" s="10" t="n">
        <x:v>0</x:v>
      </x:c>
      <x:c r="O2743" s="2" t="str">
        <x:v>Tp Hồ Chí Minh|house</x:v>
      </x:c>
      <x:c r="P2743" s="10" t="n">
        <x:v>2</x:v>
      </x:c>
      <x:c r="Q2743" s="13" t="n">
        <x:f>IF(H2743="","",H2743/1000000000)</x:f>
        <x:v>1.295</x:v>
      </x:c>
      <x:c r="R2743" s="13" t="n">
        <x:f>IF(I2743="","",I2743/1000000)</x:f>
        <x:v>12.95</x:v>
      </x:c>
    </x:row>
    <x:row r="2744" ht="21" customHeight="1">
      <x:c r="A2744" s="10" t="n">
        <x:v>3795</x:v>
      </x:c>
      <x:c r="B2744" s="2" t="str">
        <x:v>f6d25c632360846be3ae</x:v>
      </x:c>
      <x:c r="C2744" s="2" t="str">
        <x:v>Hà Nội</x:v>
      </x:c>
      <x:c r="D2744" s="2" t="str">
        <x:v>Quận Thanh Xuân</x:v>
      </x:c>
      <x:c r="E2744" s="2" t="str">
        <x:v>other_unknown</x:v>
      </x:c>
      <x:c r="F2744" s="2" t="str">
        <x:v>sale_assumed</x:v>
      </x:c>
      <x:c r="G2744" s="11" t="n">
        <x:v>25</x:v>
      </x:c>
      <x:c r="H2744" s="12" t="n">
        <x:v>2500000000</x:v>
      </x:c>
      <x:c r="I2744" s="12" t="n">
        <x:v>100000000</x:v>
      </x:c>
      <x:c r="J2744" s="2" t="str">
        <x:v>total</x:v>
      </x:c>
      <x:c r="K2744" s="2" t="str">
        <x:v>top_level_area</x:v>
      </x:c>
      <x:c r="L2744" s="2" t="str">
        <x:v>property_type_inferred_from_title;transaction_assumed_sale_from_dataset_context;unknown_property_type</x:v>
      </x:c>
      <x:c r="M2744" s="10" t="n">
        <x:v>0</x:v>
      </x:c>
      <x:c r="N2744" s="10" t="n">
        <x:v>0</x:v>
      </x:c>
      <x:c r="O2744" s="2" t="str">
        <x:v>Hà Nội|other_unknown</x:v>
      </x:c>
      <x:c r="P2744" s="10" t="n">
        <x:v>2</x:v>
      </x:c>
      <x:c r="Q2744" s="13" t="n">
        <x:f>IF(H2744="","",H2744/1000000000)</x:f>
        <x:v>2.5</x:v>
      </x:c>
      <x:c r="R2744" s="13" t="n">
        <x:f>IF(I2744="","",I2744/1000000)</x:f>
        <x:v>100</x:v>
      </x:c>
    </x:row>
    <x:row r="2745" ht="21" customHeight="1">
      <x:c r="A2745" s="10" t="n">
        <x:v>3796</x:v>
      </x:c>
      <x:c r="B2745" s="2" t="str">
        <x:v>c535f6fd8590da28cf1c</x:v>
      </x:c>
      <x:c r="C2745" s="2" t="str">
        <x:v>Tp Hồ Chí Minh</x:v>
      </x:c>
      <x:c r="D2745" s="2" t="str">
        <x:v>Quận 4</x:v>
      </x:c>
      <x:c r="E2745" s="2" t="str">
        <x:v>house</x:v>
      </x:c>
      <x:c r="F2745" s="2" t="str">
        <x:v>sale</x:v>
      </x:c>
      <x:c r="G2745" s="11" t="n">
        <x:v>20</x:v>
      </x:c>
      <x:c r="H2745" s="12" t="n">
        <x:v>2000000000</x:v>
      </x:c>
      <x:c r="I2745" s="12" t="n">
        <x:v>100000000</x:v>
      </x:c>
      <x:c r="J2745" s="2" t="str">
        <x:v>total</x:v>
      </x:c>
      <x:c r="K2745" s="2" t="str">
        <x:v>top_level_area</x:v>
      </x:c>
      <x:c r="L2745" s="2" t="str">
        <x:v>property_type_inferred_from_title</x:v>
      </x:c>
      <x:c r="M2745" s="10" t="n">
        <x:v>0</x:v>
      </x:c>
      <x:c r="N2745" s="10" t="n">
        <x:v>0</x:v>
      </x:c>
      <x:c r="O2745" s="2" t="str">
        <x:v>Tp Hồ Chí Minh|house</x:v>
      </x:c>
      <x:c r="P2745" s="10" t="n">
        <x:v>2</x:v>
      </x:c>
      <x:c r="Q2745" s="13" t="n">
        <x:f>IF(H2745="","",H2745/1000000000)</x:f>
        <x:v>2</x:v>
      </x:c>
      <x:c r="R2745" s="13" t="n">
        <x:f>IF(I2745="","",I2745/1000000)</x:f>
        <x:v>100</x:v>
      </x:c>
    </x:row>
    <x:row r="2746" ht="21" customHeight="1">
      <x:c r="A2746" s="10" t="n">
        <x:v>3798</x:v>
      </x:c>
      <x:c r="B2746" s="2" t="str">
        <x:v>509b763cff51882f10f4</x:v>
      </x:c>
      <x:c r="C2746" s="2" t="str">
        <x:v>An Giang</x:v>
      </x:c>
      <x:c r="D2746" s="2" t="str">
        <x:v>Thành phố Long Xuyên</x:v>
      </x:c>
      <x:c r="E2746" s="2" t="str">
        <x:v>house</x:v>
      </x:c>
      <x:c r="F2746" s="2" t="str">
        <x:v>sale</x:v>
      </x:c>
      <x:c r="G2746" s="11" t="n">
        <x:v>40</x:v>
      </x:c>
      <x:c r="H2746" s="12" t="n">
        <x:v>730000000</x:v>
      </x:c>
      <x:c r="I2746" s="12" t="n">
        <x:v>18250000</x:v>
      </x:c>
      <x:c r="J2746" s="2" t="str">
        <x:v>total</x:v>
      </x:c>
      <x:c r="K2746" s="2" t="str">
        <x:v>top_level_area</x:v>
      </x:c>
      <x:c r="L2746" s="2" t="str">
        <x:v>property_type_inferred_from_title</x:v>
      </x:c>
      <x:c r="M2746" s="10" t="n">
        <x:v>0</x:v>
      </x:c>
      <x:c r="N2746" s="10" t="n">
        <x:v>0</x:v>
      </x:c>
      <x:c r="O2746" s="2" t="str">
        <x:v>house</x:v>
      </x:c>
      <x:c r="P2746" s="10" t="n">
        <x:v>2</x:v>
      </x:c>
      <x:c r="Q2746" s="13" t="n">
        <x:f>IF(H2746="","",H2746/1000000000)</x:f>
        <x:v>0.73</x:v>
      </x:c>
      <x:c r="R2746" s="13" t="n">
        <x:f>IF(I2746="","",I2746/1000000)</x:f>
        <x:v>18.25</x:v>
      </x:c>
    </x:row>
    <x:row r="2747" ht="21" customHeight="1">
      <x:c r="A2747" s="10" t="n">
        <x:v>3799</x:v>
      </x:c>
      <x:c r="B2747" s="2" t="str">
        <x:v>6dac98893a352d5165bf</x:v>
      </x:c>
      <x:c r="C2747" s="2" t="str">
        <x:v>Đắk Nông</x:v>
      </x:c>
      <x:c r="D2747" s="2" t="str">
        <x:v>Huyện Đắk R'Lấp</x:v>
      </x:c>
      <x:c r="E2747" s="2" t="str">
        <x:v>other_unknown</x:v>
      </x:c>
      <x:c r="F2747" s="2" t="str">
        <x:v>sale</x:v>
      </x:c>
      <x:c r="G2747" s="11" t="n">
        <x:v>55000</x:v>
      </x:c>
      <x:c r="H2747" s="12" t="n">
        <x:v>5700000000</x:v>
      </x:c>
      <x:c r="I2747" s="12" t="n">
        <x:v>103636.36363636363</x:v>
      </x:c>
      <x:c r="J2747" s="2" t="str">
        <x:v>total</x:v>
      </x:c>
      <x:c r="K2747" s="2" t="str">
        <x:v>top_level_area</x:v>
      </x:c>
      <x:c r="L2747" s="2" t="str">
        <x:v>dot_thousands_convention;property_type_inferred_from_title;unknown_property_type</x:v>
      </x:c>
      <x:c r="M2747" s="10" t="n">
        <x:v>0</x:v>
      </x:c>
      <x:c r="N2747" s="10" t="n">
        <x:v>0</x:v>
      </x:c>
      <x:c r="O2747" s="2" t="str">
        <x:v>other_unknown</x:v>
      </x:c>
      <x:c r="P2747" s="10" t="n">
        <x:v>1</x:v>
      </x:c>
      <x:c r="Q2747" s="13" t="n">
        <x:f>IF(H2747="","",H2747/1000000000)</x:f>
        <x:v>5.7</x:v>
      </x:c>
      <x:c r="R2747" s="13" t="n">
        <x:f>IF(I2747="","",I2747/1000000)</x:f>
        <x:v>0.10363636363636364</x:v>
      </x:c>
    </x:row>
    <x:row r="2748" ht="21" customHeight="1">
      <x:c r="A2748" s="10" t="n">
        <x:v>3802</x:v>
      </x:c>
      <x:c r="B2748" s="2" t="str">
        <x:v>fe7e2dc2fc1f28ca614c</x:v>
      </x:c>
      <x:c r="C2748" s="2" t="str">
        <x:v>Tp Hồ Chí Minh</x:v>
      </x:c>
      <x:c r="D2748" s="2" t="str">
        <x:v>Quận 3</x:v>
      </x:c>
      <x:c r="E2748" s="2" t="str">
        <x:v>house</x:v>
      </x:c>
      <x:c r="F2748" s="2" t="str">
        <x:v>sale_assumed</x:v>
      </x:c>
      <x:c r="G2748" s="11" t="n">
        <x:v>55</x:v>
      </x:c>
      <x:c r="H2748" s="12" t="n">
        <x:v>5300000000</x:v>
      </x:c>
      <x:c r="I2748" s="12" t="n">
        <x:v>96363636.36363636</x:v>
      </x:c>
      <x:c r="J2748" s="2" t="str">
        <x:v>total</x:v>
      </x:c>
      <x:c r="K2748" s="2" t="str">
        <x:v>top_level_area</x:v>
      </x:c>
      <x:c r="L2748" s="2" t="str">
        <x:v>property_type_inferred_from_title;transaction_assumed_sale_from_dataset_context</x:v>
      </x:c>
      <x:c r="M2748" s="10" t="n">
        <x:v>0</x:v>
      </x:c>
      <x:c r="N2748" s="10" t="n">
        <x:v>0</x:v>
      </x:c>
      <x:c r="O2748" s="2" t="str">
        <x:v>Tp Hồ Chí Minh|house</x:v>
      </x:c>
      <x:c r="P2748" s="10" t="n">
        <x:v>2</x:v>
      </x:c>
      <x:c r="Q2748" s="13" t="n">
        <x:f>IF(H2748="","",H2748/1000000000)</x:f>
        <x:v>5.3</x:v>
      </x:c>
      <x:c r="R2748" s="13" t="n">
        <x:f>IF(I2748="","",I2748/1000000)</x:f>
        <x:v>96.36363636363636</x:v>
      </x:c>
    </x:row>
    <x:row r="2749" ht="21" customHeight="1">
      <x:c r="A2749" s="10" t="n">
        <x:v>3803</x:v>
      </x:c>
      <x:c r="B2749" s="2" t="str">
        <x:v>6885e50eb0fb06fe56a7</x:v>
      </x:c>
      <x:c r="C2749" s="2" t="str">
        <x:v>Cần Thơ</x:v>
      </x:c>
      <x:c r="D2749" s="2" t="str">
        <x:v>Quận Bình Thuỷ</x:v>
      </x:c>
      <x:c r="E2749" s="2" t="str">
        <x:v>house</x:v>
      </x:c>
      <x:c r="F2749" s="2" t="str">
        <x:v>sale_assumed</x:v>
      </x:c>
      <x:c r="G2749" s="11" t="n">
        <x:v>120</x:v>
      </x:c>
      <x:c r="H2749" s="12" t="n">
        <x:v>620000000</x:v>
      </x:c>
      <x:c r="I2749" s="12" t="n">
        <x:v>5166666.666666667</x:v>
      </x:c>
      <x:c r="J2749" s="2" t="str">
        <x:v>total</x:v>
      </x:c>
      <x:c r="K2749" s="2" t="str">
        <x:v>top_level_area</x:v>
      </x:c>
      <x:c r="L2749" s="2" t="str">
        <x:v>property_type_inferred_from_title;transaction_assumed_sale_from_dataset_context</x:v>
      </x:c>
      <x:c r="M2749" s="10" t="n">
        <x:v>0</x:v>
      </x:c>
      <x:c r="N2749" s="10" t="n">
        <x:v>0</x:v>
      </x:c>
      <x:c r="O2749" s="2" t="str">
        <x:v>Cần Thơ|house</x:v>
      </x:c>
      <x:c r="P2749" s="10" t="n">
        <x:v>2</x:v>
      </x:c>
      <x:c r="Q2749" s="13" t="n">
        <x:f>IF(H2749="","",H2749/1000000000)</x:f>
        <x:v>0.62</x:v>
      </x:c>
      <x:c r="R2749" s="13" t="n">
        <x:f>IF(I2749="","",I2749/1000000)</x:f>
        <x:v>5.166666666666667</x:v>
      </x:c>
    </x:row>
    <x:row r="2750" ht="21" customHeight="1">
      <x:c r="A2750" s="10" t="n">
        <x:v>3804</x:v>
      </x:c>
      <x:c r="B2750" s="2" t="str">
        <x:v>2c9a3760596e827fd11f</x:v>
      </x:c>
      <x:c r="C2750" s="2" t="str">
        <x:v>Tp Hồ Chí Minh</x:v>
      </x:c>
      <x:c r="D2750" s="2" t="str">
        <x:v>Quận 7</x:v>
      </x:c>
      <x:c r="E2750" s="2" t="str">
        <x:v>house</x:v>
      </x:c>
      <x:c r="F2750" s="2" t="str">
        <x:v>sale_assumed</x:v>
      </x:c>
      <x:c r="G2750" s="11" t="n">
        <x:v>26</x:v>
      </x:c>
      <x:c r="H2750" s="12" t="n">
        <x:v>1300000000</x:v>
      </x:c>
      <x:c r="I2750" s="12" t="n">
        <x:v>50000000</x:v>
      </x:c>
      <x:c r="J2750" s="2" t="str">
        <x:v>total</x:v>
      </x:c>
      <x:c r="K2750" s="2" t="str">
        <x:v>top_level_area</x:v>
      </x:c>
      <x:c r="L2750" s="2" t="str">
        <x:v>property_type_inferred_from_title;transaction_assumed_sale_from_dataset_context</x:v>
      </x:c>
      <x:c r="M2750" s="10" t="n">
        <x:v>0</x:v>
      </x:c>
      <x:c r="N2750" s="10" t="n">
        <x:v>0</x:v>
      </x:c>
      <x:c r="O2750" s="2" t="str">
        <x:v>Tp Hồ Chí Minh|house</x:v>
      </x:c>
      <x:c r="P2750" s="10" t="n">
        <x:v>2</x:v>
      </x:c>
      <x:c r="Q2750" s="13" t="n">
        <x:f>IF(H2750="","",H2750/1000000000)</x:f>
        <x:v>1.3</x:v>
      </x:c>
      <x:c r="R2750" s="13" t="n">
        <x:f>IF(I2750="","",I2750/1000000)</x:f>
        <x:v>50</x:v>
      </x:c>
    </x:row>
    <x:row r="2751" ht="21" customHeight="1">
      <x:c r="A2751" s="10" t="n">
        <x:v>3805</x:v>
      </x:c>
      <x:c r="B2751" s="2" t="str">
        <x:v>3dd4e10c53f09a4eb1b8</x:v>
      </x:c>
      <x:c r="C2751" s="2" t="str">
        <x:v>Tp Hồ Chí Minh</x:v>
      </x:c>
      <x:c r="D2751" s="2" t="str">
        <x:v>Quận Bình Tân</x:v>
      </x:c>
      <x:c r="E2751" s="2" t="str">
        <x:v>house</x:v>
      </x:c>
      <x:c r="F2751" s="2" t="str">
        <x:v>sale_assumed</x:v>
      </x:c>
      <x:c r="G2751" s="11" t="n">
        <x:v>35</x:v>
      </x:c>
      <x:c r="H2751" s="12" t="n">
        <x:v>1650000000</x:v>
      </x:c>
      <x:c r="I2751" s="12" t="n">
        <x:v>47142857.14285714</x:v>
      </x:c>
      <x:c r="J2751" s="2" t="str">
        <x:v>total</x:v>
      </x:c>
      <x:c r="K2751" s="2" t="str">
        <x:v>top_level_area</x:v>
      </x:c>
      <x:c r="L2751" s="2" t="str">
        <x:v>property_type_inferred_from_title;transaction_assumed_sale_from_dataset_context</x:v>
      </x:c>
      <x:c r="M2751" s="10" t="n">
        <x:v>0</x:v>
      </x:c>
      <x:c r="N2751" s="10" t="n">
        <x:v>0</x:v>
      </x:c>
      <x:c r="O2751" s="2" t="str">
        <x:v>Tp Hồ Chí Minh|house</x:v>
      </x:c>
      <x:c r="P2751" s="10" t="n">
        <x:v>2</x:v>
      </x:c>
      <x:c r="Q2751" s="13" t="n">
        <x:f>IF(H2751="","",H2751/1000000000)</x:f>
        <x:v>1.65</x:v>
      </x:c>
      <x:c r="R2751" s="13" t="n">
        <x:f>IF(I2751="","",I2751/1000000)</x:f>
        <x:v>47.14285714285714</x:v>
      </x:c>
    </x:row>
    <x:row r="2752" ht="21" customHeight="1">
      <x:c r="A2752" s="10" t="n">
        <x:v>3806</x:v>
      </x:c>
      <x:c r="B2752" s="2" t="str">
        <x:v>9ee55800452b5ccdea8f</x:v>
      </x:c>
      <x:c r="C2752" s="2" t="str">
        <x:v>Long An</x:v>
      </x:c>
      <x:c r="D2752" s="2" t="str">
        <x:v>Thành phố Tân An</x:v>
      </x:c>
      <x:c r="E2752" s="2" t="str">
        <x:v>land</x:v>
      </x:c>
      <x:c r="F2752" s="2" t="str">
        <x:v>sale_assumed</x:v>
      </x:c>
      <x:c r="G2752" s="11" t="n">
        <x:v>3000</x:v>
      </x:c>
      <x:c r="H2752" s="12" t="n">
        <x:v>2000000000</x:v>
      </x:c>
      <x:c r="I2752" s="12" t="n">
        <x:v>666666.6666666666</x:v>
      </x:c>
      <x:c r="J2752" s="2" t="str">
        <x:v>total</x:v>
      </x:c>
      <x:c r="K2752" s="2" t="str">
        <x:v>top_level_area</x:v>
      </x:c>
      <x:c r="L2752" s="2" t="str">
        <x:v>dot_thousands_convention;property_type_inferred_from_title;transaction_assumed_sale_from_dataset_context</x:v>
      </x:c>
      <x:c r="M2752" s="10" t="n">
        <x:v>0</x:v>
      </x:c>
      <x:c r="N2752" s="10" t="n">
        <x:v>0</x:v>
      </x:c>
      <x:c r="O2752" s="2" t="str">
        <x:v>Long An|land</x:v>
      </x:c>
      <x:c r="P2752" s="10" t="n">
        <x:v>1</x:v>
      </x:c>
      <x:c r="Q2752" s="13" t="n">
        <x:f>IF(H2752="","",H2752/1000000000)</x:f>
        <x:v>2</x:v>
      </x:c>
      <x:c r="R2752" s="13" t="n">
        <x:f>IF(I2752="","",I2752/1000000)</x:f>
        <x:v>0.6666666666666666</x:v>
      </x:c>
    </x:row>
    <x:row r="2753" ht="21" customHeight="1">
      <x:c r="A2753" s="10" t="n">
        <x:v>3807</x:v>
      </x:c>
      <x:c r="B2753" s="2" t="str">
        <x:v>23d482d1188c058b3782</x:v>
      </x:c>
      <x:c r="C2753" s="2" t="str">
        <x:v>Tp Hồ Chí Minh</x:v>
      </x:c>
      <x:c r="D2753" s="2" t="str">
        <x:v>Quận Phú Nhuận</x:v>
      </x:c>
      <x:c r="E2753" s="2" t="str">
        <x:v>house</x:v>
      </x:c>
      <x:c r="F2753" s="2" t="str">
        <x:v>sale</x:v>
      </x:c>
      <x:c r="G2753" s="11" t="n">
        <x:v>68</x:v>
      </x:c>
      <x:c r="H2753" s="12" t="n">
        <x:v>1750000000</x:v>
      </x:c>
      <x:c r="I2753" s="12" t="n">
        <x:v>25735294.11764706</x:v>
      </x:c>
      <x:c r="J2753" s="2" t="str">
        <x:v>total</x:v>
      </x:c>
      <x:c r="K2753" s="2" t="str">
        <x:v>top_level_area</x:v>
      </x:c>
      <x:c r="L2753" s="2" t="str">
        <x:v>property_type_inferred_from_title</x:v>
      </x:c>
      <x:c r="M2753" s="10" t="n">
        <x:v>0</x:v>
      </x:c>
      <x:c r="N2753" s="10" t="n">
        <x:v>0</x:v>
      </x:c>
      <x:c r="O2753" s="2" t="str">
        <x:v>Tp Hồ Chí Minh|house</x:v>
      </x:c>
      <x:c r="P2753" s="10" t="n">
        <x:v>2</x:v>
      </x:c>
      <x:c r="Q2753" s="13" t="n">
        <x:f>IF(H2753="","",H2753/1000000000)</x:f>
        <x:v>1.75</x:v>
      </x:c>
      <x:c r="R2753" s="13" t="n">
        <x:f>IF(I2753="","",I2753/1000000)</x:f>
        <x:v>25.735294117647058</x:v>
      </x:c>
    </x:row>
    <x:row r="2754" ht="21" customHeight="1">
      <x:c r="A2754" s="10" t="n">
        <x:v>3808</x:v>
      </x:c>
      <x:c r="B2754" s="2" t="str">
        <x:v>21a7d7c37943c212368f</x:v>
      </x:c>
      <x:c r="C2754" s="2" t="str">
        <x:v>Kiên Giang</x:v>
      </x:c>
      <x:c r="D2754" s="2" t="str">
        <x:v>Huyện Châu Thành</x:v>
      </x:c>
      <x:c r="E2754" s="2" t="str">
        <x:v>land</x:v>
      </x:c>
      <x:c r="F2754" s="2" t="str">
        <x:v>sale</x:v>
      </x:c>
      <x:c r="G2754" s="11" t="n">
        <x:v>851.5</x:v>
      </x:c>
      <x:c r="H2754" s="12" t="n">
        <x:v>2400000000</x:v>
      </x:c>
      <x:c r="I2754" s="12" t="n">
        <x:v>2818555.4903112156</x:v>
      </x:c>
      <x:c r="J2754" s="2" t="str">
        <x:v>total</x:v>
      </x:c>
      <x:c r="K2754" s="2" t="str">
        <x:v>top_level_area</x:v>
      </x:c>
      <x:c r="L2754" s="2" t="str">
        <x:v>property_type_inferred_from_title</x:v>
      </x:c>
      <x:c r="M2754" s="10" t="n">
        <x:v>0</x:v>
      </x:c>
      <x:c r="N2754" s="10" t="n">
        <x:v>0</x:v>
      </x:c>
      <x:c r="O2754" s="2" t="str">
        <x:v>land</x:v>
      </x:c>
      <x:c r="P2754" s="10" t="n">
        <x:v>1</x:v>
      </x:c>
      <x:c r="Q2754" s="13" t="n">
        <x:f>IF(H2754="","",H2754/1000000000)</x:f>
        <x:v>2.4</x:v>
      </x:c>
      <x:c r="R2754" s="13" t="n">
        <x:f>IF(I2754="","",I2754/1000000)</x:f>
        <x:v>2.8185554903112156</x:v>
      </x:c>
    </x:row>
    <x:row r="2755" ht="21" customHeight="1">
      <x:c r="A2755" s="10" t="n">
        <x:v>3809</x:v>
      </x:c>
      <x:c r="B2755" s="2" t="str">
        <x:v>b2e4ea935561634f79b1</x:v>
      </x:c>
      <x:c r="C2755" s="2" t="str">
        <x:v>Bến Tre</x:v>
      </x:c>
      <x:c r="D2755" s="2" t="str">
        <x:v>Thành phố Bến Tre</x:v>
      </x:c>
      <x:c r="E2755" s="2" t="str">
        <x:v>house</x:v>
      </x:c>
      <x:c r="F2755" s="2" t="str">
        <x:v>sale_assumed</x:v>
      </x:c>
      <x:c r="G2755" s="11" t="n">
        <x:v>97</x:v>
      </x:c>
      <x:c r="H2755" s="12" t="n">
        <x:v>1350000000</x:v>
      </x:c>
      <x:c r="I2755" s="12" t="n">
        <x:v>13917525.773195876</x:v>
      </x:c>
      <x:c r="J2755" s="2" t="str">
        <x:v>total</x:v>
      </x:c>
      <x:c r="K2755" s="2" t="str">
        <x:v>top_level_area</x:v>
      </x:c>
      <x:c r="L2755" s="2" t="str">
        <x:v>property_type_inferred_from_title;transaction_assumed_sale_from_dataset_context</x:v>
      </x:c>
      <x:c r="M2755" s="10" t="n">
        <x:v>0</x:v>
      </x:c>
      <x:c r="N2755" s="10" t="n">
        <x:v>0</x:v>
      </x:c>
      <x:c r="O2755" s="2" t="str">
        <x:v>house</x:v>
      </x:c>
      <x:c r="P2755" s="10" t="n">
        <x:v>2</x:v>
      </x:c>
      <x:c r="Q2755" s="13" t="n">
        <x:f>IF(H2755="","",H2755/1000000000)</x:f>
        <x:v>1.35</x:v>
      </x:c>
      <x:c r="R2755" s="13" t="n">
        <x:f>IF(I2755="","",I2755/1000000)</x:f>
        <x:v>13.917525773195877</x:v>
      </x:c>
    </x:row>
    <x:row r="2756" ht="21" customHeight="1">
      <x:c r="A2756" s="10" t="n">
        <x:v>3810</x:v>
      </x:c>
      <x:c r="B2756" s="2" t="str">
        <x:v>6e1a2b519b9cabce1c8e</x:v>
      </x:c>
      <x:c r="C2756" s="2" t="str">
        <x:v>Tp Hồ Chí Minh</x:v>
      </x:c>
      <x:c r="D2756" s="2" t="str">
        <x:v>Quận 9</x:v>
      </x:c>
      <x:c r="E2756" s="2" t="str">
        <x:v>house</x:v>
      </x:c>
      <x:c r="F2756" s="2" t="str">
        <x:v>sale</x:v>
      </x:c>
      <x:c r="G2756" s="11" t="n">
        <x:v>68</x:v>
      </x:c>
      <x:c r="H2756" s="12" t="n">
        <x:v>5500000000</x:v>
      </x:c>
      <x:c r="I2756" s="12" t="n">
        <x:v>80882352.94117647</x:v>
      </x:c>
      <x:c r="J2756" s="2" t="str">
        <x:v>total</x:v>
      </x:c>
      <x:c r="K2756" s="2" t="str">
        <x:v>top_level_area</x:v>
      </x:c>
      <x:c r="L2756" s="2" t="str">
        <x:v>property_type_inferred_from_title</x:v>
      </x:c>
      <x:c r="M2756" s="10" t="n">
        <x:v>0</x:v>
      </x:c>
      <x:c r="N2756" s="10" t="n">
        <x:v>0</x:v>
      </x:c>
      <x:c r="O2756" s="2" t="str">
        <x:v>Tp Hồ Chí Minh|house</x:v>
      </x:c>
      <x:c r="P2756" s="10" t="n">
        <x:v>2</x:v>
      </x:c>
      <x:c r="Q2756" s="13" t="n">
        <x:f>IF(H2756="","",H2756/1000000000)</x:f>
        <x:v>5.5</x:v>
      </x:c>
      <x:c r="R2756" s="13" t="n">
        <x:f>IF(I2756="","",I2756/1000000)</x:f>
        <x:v>80.88235294117648</x:v>
      </x:c>
    </x:row>
    <x:row r="2757" ht="21" customHeight="1">
      <x:c r="A2757" s="10" t="n">
        <x:v>3811</x:v>
      </x:c>
      <x:c r="B2757" s="2" t="str">
        <x:v>658ba1847fa355be0d64</x:v>
      </x:c>
      <x:c r="C2757" s="2" t="str">
        <x:v>Đà Nẵng</x:v>
      </x:c>
      <x:c r="D2757" s="2" t="str">
        <x:v>Quận Cẩm Lệ</x:v>
      </x:c>
      <x:c r="E2757" s="2" t="str">
        <x:v>other_unknown</x:v>
      </x:c>
      <x:c r="F2757" s="2" t="str">
        <x:v>sale</x:v>
      </x:c>
      <x:c r="G2757" s="11" t="n">
        <x:v>100</x:v>
      </x:c>
      <x:c r="H2757" s="12" t="n">
        <x:v>3800000000</x:v>
      </x:c>
      <x:c r="I2757" s="12" t="n">
        <x:v>38000000</x:v>
      </x:c>
      <x:c r="J2757" s="2" t="str">
        <x:v>total</x:v>
      </x:c>
      <x:c r="K2757" s="2" t="str">
        <x:v>top_level_area</x:v>
      </x:c>
      <x:c r="L2757" s="2" t="str">
        <x:v>property_type_inferred_from_title;unknown_property_type</x:v>
      </x:c>
      <x:c r="M2757" s="10" t="n">
        <x:v>0</x:v>
      </x:c>
      <x:c r="N2757" s="10" t="n">
        <x:v>0</x:v>
      </x:c>
      <x:c r="O2757" s="2" t="str">
        <x:v>Đà Nẵng|other_unknown</x:v>
      </x:c>
      <x:c r="P2757" s="10" t="n">
        <x:v>2</x:v>
      </x:c>
      <x:c r="Q2757" s="13" t="n">
        <x:f>IF(H2757="","",H2757/1000000000)</x:f>
        <x:v>3.8</x:v>
      </x:c>
      <x:c r="R2757" s="13" t="n">
        <x:f>IF(I2757="","",I2757/1000000)</x:f>
        <x:v>38</x:v>
      </x:c>
    </x:row>
    <x:row r="2758" ht="21" customHeight="1">
      <x:c r="A2758" s="10" t="n">
        <x:v>3812</x:v>
      </x:c>
      <x:c r="B2758" s="2" t="str">
        <x:v>347adb1b3089b4b7b30f</x:v>
      </x:c>
      <x:c r="C2758" s="2" t="str">
        <x:v>Hà Nội</x:v>
      </x:c>
      <x:c r="D2758" s="2" t="str">
        <x:v>Quận Ba Đình</x:v>
      </x:c>
      <x:c r="E2758" s="2" t="str">
        <x:v>house</x:v>
      </x:c>
      <x:c r="F2758" s="2" t="str">
        <x:v>sale_assumed</x:v>
      </x:c>
      <x:c r="G2758" s="11" t="n">
        <x:v>25</x:v>
      </x:c>
      <x:c r="H2758" s="12" t="n">
        <x:v>2500000000</x:v>
      </x:c>
      <x:c r="I2758" s="12" t="n">
        <x:v>100000000</x:v>
      </x:c>
      <x:c r="J2758" s="2" t="str">
        <x:v>total</x:v>
      </x:c>
      <x:c r="K2758" s="2" t="str">
        <x:v>top_level_area</x:v>
      </x:c>
      <x:c r="L2758" s="2" t="str">
        <x:v>property_type_inferred_from_title;transaction_assumed_sale_from_dataset_context</x:v>
      </x:c>
      <x:c r="M2758" s="10" t="n">
        <x:v>0</x:v>
      </x:c>
      <x:c r="N2758" s="10" t="n">
        <x:v>0</x:v>
      </x:c>
      <x:c r="O2758" s="2" t="str">
        <x:v>Hà Nội|house</x:v>
      </x:c>
      <x:c r="P2758" s="10" t="n">
        <x:v>2</x:v>
      </x:c>
      <x:c r="Q2758" s="13" t="n">
        <x:f>IF(H2758="","",H2758/1000000000)</x:f>
        <x:v>2.5</x:v>
      </x:c>
      <x:c r="R2758" s="13" t="n">
        <x:f>IF(I2758="","",I2758/1000000)</x:f>
        <x:v>100</x:v>
      </x:c>
    </x:row>
    <x:row r="2759" ht="21" customHeight="1">
      <x:c r="A2759" s="10" t="n">
        <x:v>3813</x:v>
      </x:c>
      <x:c r="B2759" s="2" t="str">
        <x:v>4496779119d15e1977dc</x:v>
      </x:c>
      <x:c r="C2759" s="2" t="str">
        <x:v>Hà Nội</x:v>
      </x:c>
      <x:c r="D2759" s="2" t="str">
        <x:v>Quận Bắc Từ Liêm</x:v>
      </x:c>
      <x:c r="E2759" s="2" t="str">
        <x:v>other_unknown</x:v>
      </x:c>
      <x:c r="F2759" s="2" t="str">
        <x:v>sale_assumed</x:v>
      </x:c>
      <x:c r="G2759" s="11" t="n">
        <x:v>54</x:v>
      </x:c>
      <x:c r="H2759" s="12" t="n">
        <x:v>3800000000</x:v>
      </x:c>
      <x:c r="I2759" s="12" t="n">
        <x:v>70370370.37037037</x:v>
      </x:c>
      <x:c r="J2759" s="2" t="str">
        <x:v>total</x:v>
      </x:c>
      <x:c r="K2759" s="2" t="str">
        <x:v>top_level_area</x:v>
      </x:c>
      <x:c r="L2759" s="2" t="str">
        <x:v>property_type_inferred_from_title;transaction_assumed_sale_from_dataset_context;unknown_property_type</x:v>
      </x:c>
      <x:c r="M2759" s="10" t="n">
        <x:v>0</x:v>
      </x:c>
      <x:c r="N2759" s="10" t="n">
        <x:v>0</x:v>
      </x:c>
      <x:c r="O2759" s="2" t="str">
        <x:v>Hà Nội|other_unknown</x:v>
      </x:c>
      <x:c r="P2759" s="10" t="n">
        <x:v>2</x:v>
      </x:c>
      <x:c r="Q2759" s="13" t="n">
        <x:f>IF(H2759="","",H2759/1000000000)</x:f>
        <x:v>3.8</x:v>
      </x:c>
      <x:c r="R2759" s="13" t="n">
        <x:f>IF(I2759="","",I2759/1000000)</x:f>
        <x:v>70.37037037037037</x:v>
      </x:c>
    </x:row>
    <x:row r="2760" ht="21" customHeight="1">
      <x:c r="A2760" s="10" t="n">
        <x:v>3814</x:v>
      </x:c>
      <x:c r="B2760" s="2" t="str">
        <x:v>44264ddf99b9af5119f0</x:v>
      </x:c>
      <x:c r="C2760" s="2" t="str">
        <x:v>Cần Thơ</x:v>
      </x:c>
      <x:c r="D2760" s="2" t="str">
        <x:v>Quận Ninh Kiều</x:v>
      </x:c>
      <x:c r="E2760" s="2" t="str">
        <x:v>house</x:v>
      </x:c>
      <x:c r="F2760" s="2" t="str">
        <x:v>sale_assumed</x:v>
      </x:c>
      <x:c r="G2760" s="11" t="n">
        <x:v>120</x:v>
      </x:c>
      <x:c r="H2760" s="12" t="n">
        <x:v>650000000</x:v>
      </x:c>
      <x:c r="I2760" s="12" t="n">
        <x:v>5416666.666666667</x:v>
      </x:c>
      <x:c r="J2760" s="2" t="str">
        <x:v>total</x:v>
      </x:c>
      <x:c r="K2760" s="2" t="str">
        <x:v>top_level_area</x:v>
      </x:c>
      <x:c r="L2760" s="2" t="str">
        <x:v>property_type_inferred_from_title;transaction_assumed_sale_from_dataset_context</x:v>
      </x:c>
      <x:c r="M2760" s="10" t="n">
        <x:v>0</x:v>
      </x:c>
      <x:c r="N2760" s="10" t="n">
        <x:v>0</x:v>
      </x:c>
      <x:c r="O2760" s="2" t="str">
        <x:v>Cần Thơ|house</x:v>
      </x:c>
      <x:c r="P2760" s="10" t="n">
        <x:v>2</x:v>
      </x:c>
      <x:c r="Q2760" s="13" t="n">
        <x:f>IF(H2760="","",H2760/1000000000)</x:f>
        <x:v>0.65</x:v>
      </x:c>
      <x:c r="R2760" s="13" t="n">
        <x:f>IF(I2760="","",I2760/1000000)</x:f>
        <x:v>5.416666666666667</x:v>
      </x:c>
    </x:row>
    <x:row r="2761" ht="21" customHeight="1">
      <x:c r="A2761" s="10" t="n">
        <x:v>3815</x:v>
      </x:c>
      <x:c r="B2761" s="2" t="str">
        <x:v>0bdd837d46a5a73ee2f0</x:v>
      </x:c>
      <x:c r="C2761" s="2" t="str">
        <x:v>Long An</x:v>
      </x:c>
      <x:c r="D2761" s="2" t="str">
        <x:v>Huyện Thủ Thừa</x:v>
      </x:c>
      <x:c r="E2761" s="2" t="str">
        <x:v>other_unknown</x:v>
      </x:c>
      <x:c r="F2761" s="2" t="str">
        <x:v>sale</x:v>
      </x:c>
      <x:c r="G2761" s="11" t="n">
        <x:v>1000</x:v>
      </x:c>
      <x:c r="H2761" s="12" t="n">
        <x:v>510000000</x:v>
      </x:c>
      <x:c r="I2761" s="12" t="n">
        <x:v>510000</x:v>
      </x:c>
      <x:c r="J2761" s="2" t="str">
        <x:v>total</x:v>
      </x:c>
      <x:c r="K2761" s="2" t="str">
        <x:v>top_level_area</x:v>
      </x:c>
      <x:c r="L2761" s="2" t="str">
        <x:v>dot_thousands_convention;property_type_inferred_from_title;unknown_property_type</x:v>
      </x:c>
      <x:c r="M2761" s="10" t="n">
        <x:v>0</x:v>
      </x:c>
      <x:c r="N2761" s="10" t="n">
        <x:v>0</x:v>
      </x:c>
      <x:c r="O2761" s="2" t="str">
        <x:v>Long An|other_unknown</x:v>
      </x:c>
      <x:c r="P2761" s="10" t="n">
        <x:v>1</x:v>
      </x:c>
      <x:c r="Q2761" s="13" t="n">
        <x:f>IF(H2761="","",H2761/1000000000)</x:f>
        <x:v>0.51</x:v>
      </x:c>
      <x:c r="R2761" s="13" t="n">
        <x:f>IF(I2761="","",I2761/1000000)</x:f>
        <x:v>0.51</x:v>
      </x:c>
    </x:row>
    <x:row r="2762" ht="21" customHeight="1">
      <x:c r="A2762" s="10" t="n">
        <x:v>3816</x:v>
      </x:c>
      <x:c r="B2762" s="2" t="str">
        <x:v>760603f08a7796c5e752</x:v>
      </x:c>
      <x:c r="C2762" s="2" t="str">
        <x:v>Hà Nội</x:v>
      </x:c>
      <x:c r="D2762" s="2" t="str">
        <x:v>Quận Hoàng Mai</x:v>
      </x:c>
      <x:c r="E2762" s="2" t="str">
        <x:v>other_unknown</x:v>
      </x:c>
      <x:c r="F2762" s="2" t="str">
        <x:v>sale_assumed</x:v>
      </x:c>
      <x:c r="G2762" s="11" t="n">
        <x:v>67</x:v>
      </x:c>
      <x:c r="H2762" s="12" t="n">
        <x:v>1200000000</x:v>
      </x:c>
      <x:c r="I2762" s="12" t="n">
        <x:v>17910447.76119403</x:v>
      </x:c>
      <x:c r="J2762" s="2" t="str">
        <x:v>total</x:v>
      </x:c>
      <x:c r="K2762" s="2" t="str">
        <x:v>top_level_area</x:v>
      </x:c>
      <x:c r="L2762" s="2" t="str">
        <x:v>property_type_inferred_from_title;transaction_assumed_sale_from_dataset_context;unknown_property_type</x:v>
      </x:c>
      <x:c r="M2762" s="10" t="n">
        <x:v>0</x:v>
      </x:c>
      <x:c r="N2762" s="10" t="n">
        <x:v>0</x:v>
      </x:c>
      <x:c r="O2762" s="2" t="str">
        <x:v>Hà Nội|other_unknown</x:v>
      </x:c>
      <x:c r="P2762" s="10" t="n">
        <x:v>2</x:v>
      </x:c>
      <x:c r="Q2762" s="13" t="n">
        <x:f>IF(H2762="","",H2762/1000000000)</x:f>
        <x:v>1.2</x:v>
      </x:c>
      <x:c r="R2762" s="13" t="n">
        <x:f>IF(I2762="","",I2762/1000000)</x:f>
        <x:v>17.910447761194032</x:v>
      </x:c>
    </x:row>
    <x:row r="2763" ht="21" customHeight="1">
      <x:c r="A2763" s="10" t="n">
        <x:v>3817</x:v>
      </x:c>
      <x:c r="B2763" s="2" t="str">
        <x:v>a601b1d629f8d1f94cb6</x:v>
      </x:c>
      <x:c r="C2763" s="2" t="str">
        <x:v>An Giang</x:v>
      </x:c>
      <x:c r="D2763" s="2" t="str">
        <x:v>Thành phố Long Xuyên</x:v>
      </x:c>
      <x:c r="E2763" s="2" t="str">
        <x:v>land</x:v>
      </x:c>
      <x:c r="F2763" s="2" t="str">
        <x:v>sale</x:v>
      </x:c>
      <x:c r="G2763" s="11" t="n">
        <x:v>51.4</x:v>
      </x:c>
      <x:c r="H2763" s="12" t="n">
        <x:v>650000000</x:v>
      </x:c>
      <x:c r="I2763" s="12" t="n">
        <x:v>12645914.396887159</x:v>
      </x:c>
      <x:c r="J2763" s="2" t="str">
        <x:v>total</x:v>
      </x:c>
      <x:c r="K2763" s="2" t="str">
        <x:v>top_level_area</x:v>
      </x:c>
      <x:c r="L2763" s="2" t="str">
        <x:v>property_type_inferred_from_title</x:v>
      </x:c>
      <x:c r="M2763" s="10" t="n">
        <x:v>0</x:v>
      </x:c>
      <x:c r="N2763" s="10" t="n">
        <x:v>0</x:v>
      </x:c>
      <x:c r="O2763" s="2" t="str">
        <x:v>land</x:v>
      </x:c>
      <x:c r="P2763" s="10" t="n">
        <x:v>2</x:v>
      </x:c>
      <x:c r="Q2763" s="13" t="n">
        <x:f>IF(H2763="","",H2763/1000000000)</x:f>
        <x:v>0.65</x:v>
      </x:c>
      <x:c r="R2763" s="13" t="n">
        <x:f>IF(I2763="","",I2763/1000000)</x:f>
        <x:v>12.645914396887159</x:v>
      </x:c>
    </x:row>
    <x:row r="2764" ht="21" customHeight="1">
      <x:c r="A2764" s="10" t="n">
        <x:v>3818</x:v>
      </x:c>
      <x:c r="B2764" s="2" t="str">
        <x:v>4ae1c11e6b068af1570c</x:v>
      </x:c>
      <x:c r="C2764" s="2" t="str">
        <x:v>Tp Hồ Chí Minh</x:v>
      </x:c>
      <x:c r="D2764" s="2" t="str">
        <x:v>Quận Thủ Đức</x:v>
      </x:c>
      <x:c r="E2764" s="2" t="str">
        <x:v>house</x:v>
      </x:c>
      <x:c r="F2764" s="2" t="str">
        <x:v>sale_assumed</x:v>
      </x:c>
      <x:c r="G2764" s="11" t="n">
        <x:v>50.2</x:v>
      </x:c>
      <x:c r="H2764" s="12" t="n">
        <x:v>4850000000</x:v>
      </x:c>
      <x:c r="I2764" s="12" t="n">
        <x:v>96613545.81673306</x:v>
      </x:c>
      <x:c r="J2764" s="2" t="str">
        <x:v>total</x:v>
      </x:c>
      <x:c r="K2764" s="2" t="str">
        <x:v>top_level_area</x:v>
      </x:c>
      <x:c r="L2764" s="2" t="str">
        <x:v>property_type_inferred_from_title;transaction_assumed_sale_from_dataset_context</x:v>
      </x:c>
      <x:c r="M2764" s="10" t="n">
        <x:v>0</x:v>
      </x:c>
      <x:c r="N2764" s="10" t="n">
        <x:v>0</x:v>
      </x:c>
      <x:c r="O2764" s="2" t="str">
        <x:v>Tp Hồ Chí Minh|house</x:v>
      </x:c>
      <x:c r="P2764" s="10" t="n">
        <x:v>2</x:v>
      </x:c>
      <x:c r="Q2764" s="13" t="n">
        <x:f>IF(H2764="","",H2764/1000000000)</x:f>
        <x:v>4.85</x:v>
      </x:c>
      <x:c r="R2764" s="13" t="n">
        <x:f>IF(I2764="","",I2764/1000000)</x:f>
        <x:v>96.61354581673307</x:v>
      </x:c>
    </x:row>
    <x:row r="2765" ht="21" customHeight="1">
      <x:c r="A2765" s="10" t="n">
        <x:v>3819</x:v>
      </x:c>
      <x:c r="B2765" s="2" t="str">
        <x:v>58db216547bb9e0fb100</x:v>
      </x:c>
      <x:c r="C2765" s="2" t="str">
        <x:v>Kiên Giang</x:v>
      </x:c>
      <x:c r="D2765" s="2" t="str">
        <x:v>Huyện Châu Thành</x:v>
      </x:c>
      <x:c r="E2765" s="2" t="str">
        <x:v>land</x:v>
      </x:c>
      <x:c r="F2765" s="2" t="str">
        <x:v>sale</x:v>
      </x:c>
      <x:c r="G2765" s="11" t="n">
        <x:v>851.5</x:v>
      </x:c>
      <x:c r="H2765" s="12" t="n">
        <x:v>2400000000</x:v>
      </x:c>
      <x:c r="I2765" s="12" t="n">
        <x:v>2818555.4903112156</x:v>
      </x:c>
      <x:c r="J2765" s="2" t="str">
        <x:v>total</x:v>
      </x:c>
      <x:c r="K2765" s="2" t="str">
        <x:v>top_level_area</x:v>
      </x:c>
      <x:c r="L2765" s="2" t="str">
        <x:v>property_type_inferred_from_title</x:v>
      </x:c>
      <x:c r="M2765" s="10" t="n">
        <x:v>0</x:v>
      </x:c>
      <x:c r="N2765" s="10" t="n">
        <x:v>0</x:v>
      </x:c>
      <x:c r="O2765" s="2" t="str">
        <x:v>land</x:v>
      </x:c>
      <x:c r="P2765" s="10" t="n">
        <x:v>1</x:v>
      </x:c>
      <x:c r="Q2765" s="13" t="n">
        <x:f>IF(H2765="","",H2765/1000000000)</x:f>
        <x:v>2.4</x:v>
      </x:c>
      <x:c r="R2765" s="13" t="n">
        <x:f>IF(I2765="","",I2765/1000000)</x:f>
        <x:v>2.8185554903112156</x:v>
      </x:c>
    </x:row>
    <x:row r="2766" ht="21" customHeight="1">
      <x:c r="A2766" s="10" t="n">
        <x:v>3820</x:v>
      </x:c>
      <x:c r="B2766" s="2" t="str">
        <x:v>654a26bd085c5960950a</x:v>
      </x:c>
      <x:c r="C2766" s="2" t="str">
        <x:v>Bình Dương</x:v>
      </x:c>
      <x:c r="D2766" s="2" t="str">
        <x:v>Thị xã Thuận An</x:v>
      </x:c>
      <x:c r="E2766" s="2" t="str">
        <x:v>house</x:v>
      </x:c>
      <x:c r="F2766" s="2" t="str">
        <x:v>sale_assumed</x:v>
      </x:c>
      <x:c r="G2766" s="11" t="n">
        <x:v>100</x:v>
      </x:c>
      <x:c r="H2766" s="12" t="n">
        <x:v>1700000000</x:v>
      </x:c>
      <x:c r="I2766" s="12" t="n">
        <x:v>17000000</x:v>
      </x:c>
      <x:c r="J2766" s="2" t="str">
        <x:v>total</x:v>
      </x:c>
      <x:c r="K2766" s="2" t="str">
        <x:v>top_level_area</x:v>
      </x:c>
      <x:c r="L2766" s="2" t="str">
        <x:v>property_type_inferred_from_title;transaction_assumed_sale_from_dataset_context</x:v>
      </x:c>
      <x:c r="M2766" s="10" t="n">
        <x:v>0</x:v>
      </x:c>
      <x:c r="N2766" s="10" t="n">
        <x:v>0</x:v>
      </x:c>
      <x:c r="O2766" s="2" t="str">
        <x:v>Bình Dương|house</x:v>
      </x:c>
      <x:c r="P2766" s="10" t="n">
        <x:v>2</x:v>
      </x:c>
      <x:c r="Q2766" s="13" t="n">
        <x:f>IF(H2766="","",H2766/1000000000)</x:f>
        <x:v>1.7</x:v>
      </x:c>
      <x:c r="R2766" s="13" t="n">
        <x:f>IF(I2766="","",I2766/1000000)</x:f>
        <x:v>17</x:v>
      </x:c>
    </x:row>
    <x:row r="2767" ht="21" customHeight="1">
      <x:c r="A2767" s="10" t="n">
        <x:v>3821</x:v>
      </x:c>
      <x:c r="B2767" s="2" t="str">
        <x:v>02eb12e77cc4909b5cfc</x:v>
      </x:c>
      <x:c r="C2767" s="2" t="str">
        <x:v>Tp Hồ Chí Minh</x:v>
      </x:c>
      <x:c r="D2767" s="2" t="str">
        <x:v>Huyện Củ Chi</x:v>
      </x:c>
      <x:c r="E2767" s="2" t="str">
        <x:v>other_unknown</x:v>
      </x:c>
      <x:c r="F2767" s="2" t="str">
        <x:v>sale_assumed</x:v>
      </x:c>
      <x:c r="G2767" s="11" t="n">
        <x:v>816</x:v>
      </x:c>
      <x:c r="H2767" s="12" t="n">
        <x:v>4000000000</x:v>
      </x:c>
      <x:c r="I2767" s="12" t="n">
        <x:v>4901960.784313725</x:v>
      </x:c>
      <x:c r="J2767" s="2" t="str">
        <x:v>total</x:v>
      </x:c>
      <x:c r="K2767" s="2" t="str">
        <x:v>top_level_area</x:v>
      </x:c>
      <x:c r="L2767" s="2" t="str">
        <x:v>property_type_inferred_from_title;transaction_assumed_sale_from_dataset_context;unknown_property_type</x:v>
      </x:c>
      <x:c r="M2767" s="10" t="n">
        <x:v>0</x:v>
      </x:c>
      <x:c r="N2767" s="10" t="n">
        <x:v>0</x:v>
      </x:c>
      <x:c r="O2767" s="2" t="str">
        <x:v>Tp Hồ Chí Minh|other_unknown</x:v>
      </x:c>
      <x:c r="P2767" s="10" t="n">
        <x:v>1</x:v>
      </x:c>
      <x:c r="Q2767" s="13" t="n">
        <x:f>IF(H2767="","",H2767/1000000000)</x:f>
        <x:v>4</x:v>
      </x:c>
      <x:c r="R2767" s="13" t="n">
        <x:f>IF(I2767="","",I2767/1000000)</x:f>
        <x:v>4.901960784313725</x:v>
      </x:c>
    </x:row>
    <x:row r="2768" ht="21" customHeight="1">
      <x:c r="A2768" s="10" t="n">
        <x:v>3825</x:v>
      </x:c>
      <x:c r="B2768" s="2" t="str">
        <x:v>0543e432b1a6870b9b45</x:v>
      </x:c>
      <x:c r="C2768" s="2" t="str">
        <x:v>Đà Nẵng</x:v>
      </x:c>
      <x:c r="D2768" s="2" t="str">
        <x:v>Quận Cẩm Lệ</x:v>
      </x:c>
      <x:c r="E2768" s="2" t="str">
        <x:v>other_unknown</x:v>
      </x:c>
      <x:c r="F2768" s="2" t="str">
        <x:v>sale_assumed</x:v>
      </x:c>
      <x:c r="G2768" s="11" t="n">
        <x:v>105</x:v>
      </x:c>
      <x:c r="H2768" s="12" t="n">
        <x:v>3300000000</x:v>
      </x:c>
      <x:c r="I2768" s="12" t="n">
        <x:v>31428571.42857143</x:v>
      </x:c>
      <x:c r="J2768" s="2" t="str">
        <x:v>total</x:v>
      </x:c>
      <x:c r="K2768" s="2" t="str">
        <x:v>top_level_area</x:v>
      </x:c>
      <x:c r="L2768" s="2" t="str">
        <x:v>property_type_inferred_from_title;transaction_assumed_sale_from_dataset_context;unknown_property_type</x:v>
      </x:c>
      <x:c r="M2768" s="10" t="n">
        <x:v>0</x:v>
      </x:c>
      <x:c r="N2768" s="10" t="n">
        <x:v>0</x:v>
      </x:c>
      <x:c r="O2768" s="2" t="str">
        <x:v>Đà Nẵng|other_unknown</x:v>
      </x:c>
      <x:c r="P2768" s="10" t="n">
        <x:v>2</x:v>
      </x:c>
      <x:c r="Q2768" s="13" t="n">
        <x:f>IF(H2768="","",H2768/1000000000)</x:f>
        <x:v>3.3</x:v>
      </x:c>
      <x:c r="R2768" s="13" t="n">
        <x:f>IF(I2768="","",I2768/1000000)</x:f>
        <x:v>31.42857142857143</x:v>
      </x:c>
    </x:row>
    <x:row r="2769" ht="21" customHeight="1">
      <x:c r="A2769" s="10" t="n">
        <x:v>3826</x:v>
      </x:c>
      <x:c r="B2769" s="2" t="str">
        <x:v>f02500e3ee19e04ec904</x:v>
      </x:c>
      <x:c r="C2769" s="2" t="str">
        <x:v>Trà Vinh</x:v>
      </x:c>
      <x:c r="D2769" s="2" t="str">
        <x:v>Huyện Châu Thành</x:v>
      </x:c>
      <x:c r="E2769" s="2" t="str">
        <x:v>house</x:v>
      </x:c>
      <x:c r="F2769" s="2" t="str">
        <x:v>sale_assumed</x:v>
      </x:c>
      <x:c r="G2769" s="11" t="n">
        <x:v>84</x:v>
      </x:c>
      <x:c r="H2769" s="12" t="n">
        <x:v>530000000</x:v>
      </x:c>
      <x:c r="I2769" s="12" t="n">
        <x:v>6309523.80952381</x:v>
      </x:c>
      <x:c r="J2769" s="2" t="str">
        <x:v>total</x:v>
      </x:c>
      <x:c r="K2769" s="2" t="str">
        <x:v>top_level_area</x:v>
      </x:c>
      <x:c r="L2769" s="2" t="str">
        <x:v>property_type_inferred_from_title;transaction_assumed_sale_from_dataset_context</x:v>
      </x:c>
      <x:c r="M2769" s="10" t="n">
        <x:v>0</x:v>
      </x:c>
      <x:c r="N2769" s="10" t="n">
        <x:v>0</x:v>
      </x:c>
      <x:c r="O2769" s="2" t="str">
        <x:v>house</x:v>
      </x:c>
      <x:c r="P2769" s="10" t="n">
        <x:v>2</x:v>
      </x:c>
      <x:c r="Q2769" s="13" t="n">
        <x:f>IF(H2769="","",H2769/1000000000)</x:f>
        <x:v>0.53</x:v>
      </x:c>
      <x:c r="R2769" s="13" t="n">
        <x:f>IF(I2769="","",I2769/1000000)</x:f>
        <x:v>6.309523809523809</x:v>
      </x:c>
    </x:row>
    <x:row r="2770" ht="21" customHeight="1">
      <x:c r="A2770" s="10" t="n">
        <x:v>3827</x:v>
      </x:c>
      <x:c r="B2770" s="2" t="str">
        <x:v>8ad3c15293a7246a54ea</x:v>
      </x:c>
      <x:c r="C2770" s="2" t="str">
        <x:v>Bến Tre</x:v>
      </x:c>
      <x:c r="D2770" s="2" t="str">
        <x:v>Thành phố Bến Tre</x:v>
      </x:c>
      <x:c r="E2770" s="2" t="str">
        <x:v>house</x:v>
      </x:c>
      <x:c r="F2770" s="2" t="str">
        <x:v>sale_assumed</x:v>
      </x:c>
      <x:c r="G2770" s="11" t="n">
        <x:v>12</x:v>
      </x:c>
      <x:c r="H2770" s="12" t="n">
        <x:v>1799000000</x:v>
      </x:c>
      <x:c r="I2770" s="12" t="n">
        <x:v>149916666.66666666</x:v>
      </x:c>
      <x:c r="J2770" s="2" t="str">
        <x:v>total</x:v>
      </x:c>
      <x:c r="K2770" s="2" t="str">
        <x:v>top_level_area</x:v>
      </x:c>
      <x:c r="L2770" s="2" t="str">
        <x:v>property_type_inferred_from_title;transaction_assumed_sale_from_dataset_context</x:v>
      </x:c>
      <x:c r="M2770" s="10" t="n">
        <x:v>0</x:v>
      </x:c>
      <x:c r="N2770" s="10" t="n">
        <x:v>0</x:v>
      </x:c>
      <x:c r="O2770" s="2" t="str">
        <x:v>house</x:v>
      </x:c>
      <x:c r="P2770" s="10" t="n">
        <x:v>2</x:v>
      </x:c>
      <x:c r="Q2770" s="13" t="n">
        <x:f>IF(H2770="","",H2770/1000000000)</x:f>
        <x:v>1.799</x:v>
      </x:c>
      <x:c r="R2770" s="13" t="n">
        <x:f>IF(I2770="","",I2770/1000000)</x:f>
        <x:v>149.91666666666666</x:v>
      </x:c>
    </x:row>
    <x:row r="2771" ht="21" customHeight="1">
      <x:c r="A2771" s="10" t="n">
        <x:v>3828</x:v>
      </x:c>
      <x:c r="B2771" s="2" t="str">
        <x:v>f7facc2d323743efa7e8</x:v>
      </x:c>
      <x:c r="C2771" s="2" t="str">
        <x:v>Tp Hồ Chí Minh</x:v>
      </x:c>
      <x:c r="D2771" s="2" t="str">
        <x:v>Quận Tân Bình</x:v>
      </x:c>
      <x:c r="E2771" s="2" t="str">
        <x:v>house</x:v>
      </x:c>
      <x:c r="F2771" s="2" t="str">
        <x:v>sale_assumed</x:v>
      </x:c>
      <x:c r="G2771" s="11" t="n">
        <x:v>25</x:v>
      </x:c>
      <x:c r="H2771" s="12" t="n">
        <x:v>3200000000</x:v>
      </x:c>
      <x:c r="I2771" s="12" t="n">
        <x:v>128000000</x:v>
      </x:c>
      <x:c r="J2771" s="2" t="str">
        <x:v>total</x:v>
      </x:c>
      <x:c r="K2771" s="2" t="str">
        <x:v>top_level_area</x:v>
      </x:c>
      <x:c r="L2771" s="2" t="str">
        <x:v>property_type_inferred_from_title;transaction_assumed_sale_from_dataset_context</x:v>
      </x:c>
      <x:c r="M2771" s="10" t="n">
        <x:v>0</x:v>
      </x:c>
      <x:c r="N2771" s="10" t="n">
        <x:v>0</x:v>
      </x:c>
      <x:c r="O2771" s="2" t="str">
        <x:v>Tp Hồ Chí Minh|house</x:v>
      </x:c>
      <x:c r="P2771" s="10" t="n">
        <x:v>2</x:v>
      </x:c>
      <x:c r="Q2771" s="13" t="n">
        <x:f>IF(H2771="","",H2771/1000000000)</x:f>
        <x:v>3.2</x:v>
      </x:c>
      <x:c r="R2771" s="13" t="n">
        <x:f>IF(I2771="","",I2771/1000000)</x:f>
        <x:v>128</x:v>
      </x:c>
    </x:row>
    <x:row r="2772" ht="21" customHeight="1">
      <x:c r="A2772" s="10" t="n">
        <x:v>3829</x:v>
      </x:c>
      <x:c r="B2772" s="2" t="str">
        <x:v>f40799fa6274f37bcc2d</x:v>
      </x:c>
      <x:c r="C2772" s="2" t="str">
        <x:v>Tp Hồ Chí Minh</x:v>
      </x:c>
      <x:c r="D2772" s="2" t="str">
        <x:v>Quận Gò Vấp</x:v>
      </x:c>
      <x:c r="E2772" s="2" t="str">
        <x:v>house</x:v>
      </x:c>
      <x:c r="F2772" s="2" t="str">
        <x:v>sale_assumed</x:v>
      </x:c>
      <x:c r="G2772" s="11" t="n">
        <x:v>40</x:v>
      </x:c>
      <x:c r="H2772" s="12" t="n">
        <x:v>3280000000</x:v>
      </x:c>
      <x:c r="I2772" s="12" t="n">
        <x:v>82000000</x:v>
      </x:c>
      <x:c r="J2772" s="2" t="str">
        <x:v>total</x:v>
      </x:c>
      <x:c r="K2772" s="2" t="str">
        <x:v>top_level_area</x:v>
      </x:c>
      <x:c r="L2772" s="2" t="str">
        <x:v>property_type_inferred_from_title;transaction_assumed_sale_from_dataset_context</x:v>
      </x:c>
      <x:c r="M2772" s="10" t="n">
        <x:v>0</x:v>
      </x:c>
      <x:c r="N2772" s="10" t="n">
        <x:v>0</x:v>
      </x:c>
      <x:c r="O2772" s="2" t="str">
        <x:v>Tp Hồ Chí Minh|house</x:v>
      </x:c>
      <x:c r="P2772" s="10" t="n">
        <x:v>2</x:v>
      </x:c>
      <x:c r="Q2772" s="13" t="n">
        <x:f>IF(H2772="","",H2772/1000000000)</x:f>
        <x:v>3.28</x:v>
      </x:c>
      <x:c r="R2772" s="13" t="n">
        <x:f>IF(I2772="","",I2772/1000000)</x:f>
        <x:v>82</x:v>
      </x:c>
    </x:row>
    <x:row r="2773" ht="21" customHeight="1">
      <x:c r="A2773" s="10" t="n">
        <x:v>3830</x:v>
      </x:c>
      <x:c r="B2773" s="2" t="str">
        <x:v>6f35dde494ee359c26d7</x:v>
      </x:c>
      <x:c r="C2773" s="2" t="str">
        <x:v>Tp Hồ Chí Minh</x:v>
      </x:c>
      <x:c r="D2773" s="2" t="str">
        <x:v>Quận Tân Bình</x:v>
      </x:c>
      <x:c r="E2773" s="2" t="str">
        <x:v>house</x:v>
      </x:c>
      <x:c r="F2773" s="2" t="str">
        <x:v>sale_assumed</x:v>
      </x:c>
      <x:c r="G2773" s="11" t="n">
        <x:v>25</x:v>
      </x:c>
      <x:c r="H2773" s="12" t="n">
        <x:v>3200000000</x:v>
      </x:c>
      <x:c r="I2773" s="12" t="n">
        <x:v>128000000</x:v>
      </x:c>
      <x:c r="J2773" s="2" t="str">
        <x:v>total</x:v>
      </x:c>
      <x:c r="K2773" s="2" t="str">
        <x:v>top_level_area</x:v>
      </x:c>
      <x:c r="L2773" s="2" t="str">
        <x:v>property_type_inferred_from_title;transaction_assumed_sale_from_dataset_context</x:v>
      </x:c>
      <x:c r="M2773" s="10" t="n">
        <x:v>0</x:v>
      </x:c>
      <x:c r="N2773" s="10" t="n">
        <x:v>0</x:v>
      </x:c>
      <x:c r="O2773" s="2" t="str">
        <x:v>Tp Hồ Chí Minh|house</x:v>
      </x:c>
      <x:c r="P2773" s="10" t="n">
        <x:v>2</x:v>
      </x:c>
      <x:c r="Q2773" s="13" t="n">
        <x:f>IF(H2773="","",H2773/1000000000)</x:f>
        <x:v>3.2</x:v>
      </x:c>
      <x:c r="R2773" s="13" t="n">
        <x:f>IF(I2773="","",I2773/1000000)</x:f>
        <x:v>128</x:v>
      </x:c>
    </x:row>
    <x:row r="2774" ht="21" customHeight="1">
      <x:c r="A2774" s="10" t="n">
        <x:v>3831</x:v>
      </x:c>
      <x:c r="B2774" s="2" t="str">
        <x:v>7495499400f2e3b86d55</x:v>
      </x:c>
      <x:c r="C2774" s="2" t="str">
        <x:v>Tp Hồ Chí Minh</x:v>
      </x:c>
      <x:c r="D2774" s="2" t="str">
        <x:v>Quận Tân Bình</x:v>
      </x:c>
      <x:c r="E2774" s="2" t="str">
        <x:v>house</x:v>
      </x:c>
      <x:c r="F2774" s="2" t="str">
        <x:v>sale_assumed</x:v>
      </x:c>
      <x:c r="G2774" s="11" t="n">
        <x:v>33</x:v>
      </x:c>
      <x:c r="H2774" s="12" t="n">
        <x:v>4200000000</x:v>
      </x:c>
      <x:c r="I2774" s="12" t="n">
        <x:v>127272727.27272727</x:v>
      </x:c>
      <x:c r="J2774" s="2" t="str">
        <x:v>total</x:v>
      </x:c>
      <x:c r="K2774" s="2" t="str">
        <x:v>top_level_area</x:v>
      </x:c>
      <x:c r="L2774" s="2" t="str">
        <x:v>property_type_inferred_from_title;transaction_assumed_sale_from_dataset_context</x:v>
      </x:c>
      <x:c r="M2774" s="10" t="n">
        <x:v>0</x:v>
      </x:c>
      <x:c r="N2774" s="10" t="n">
        <x:v>0</x:v>
      </x:c>
      <x:c r="O2774" s="2" t="str">
        <x:v>Tp Hồ Chí Minh|house</x:v>
      </x:c>
      <x:c r="P2774" s="10" t="n">
        <x:v>2</x:v>
      </x:c>
      <x:c r="Q2774" s="13" t="n">
        <x:f>IF(H2774="","",H2774/1000000000)</x:f>
        <x:v>4.2</x:v>
      </x:c>
      <x:c r="R2774" s="13" t="n">
        <x:f>IF(I2774="","",I2774/1000000)</x:f>
        <x:v>127.27272727272727</x:v>
      </x:c>
    </x:row>
    <x:row r="2775" ht="21" customHeight="1">
      <x:c r="A2775" s="10" t="n">
        <x:v>3832</x:v>
      </x:c>
      <x:c r="B2775" s="2" t="str">
        <x:v>bf980d1661ccad7fa4a0</x:v>
      </x:c>
      <x:c r="C2775" s="2" t="str">
        <x:v>Chưa xác định</x:v>
      </x:c>
      <x:c r="D2775" s="2" t="str">
        <x:v>Chưa xác định</x:v>
      </x:c>
      <x:c r="E2775" s="2" t="str">
        <x:v>house</x:v>
      </x:c>
      <x:c r="F2775" s="2" t="str">
        <x:v>sale</x:v>
      </x:c>
      <x:c r="G2775" s="11" t="n">
        <x:v>125</x:v>
      </x:c>
      <x:c r="H2775" s="12" t="n">
        <x:v>950000000</x:v>
      </x:c>
      <x:c r="I2775" s="12" t="n">
        <x:v>7600000</x:v>
      </x:c>
      <x:c r="J2775" s="2" t="str">
        <x:v>total</x:v>
      </x:c>
      <x:c r="K2775" s="2" t="str">
        <x:v>top_level_area</x:v>
      </x:c>
      <x:c r="L2775" s="2" t="str">
        <x:v>property_type_inferred_from_title;unknown_district;unknown_province</x:v>
      </x:c>
      <x:c r="M2775" s="10" t="n">
        <x:v>0</x:v>
      </x:c>
      <x:c r="N2775" s="10" t="n">
        <x:v>0</x:v>
      </x:c>
      <x:c r="O2775" s="2" t="str">
        <x:v>house</x:v>
      </x:c>
      <x:c r="P2775" s="10" t="n">
        <x:v>2</x:v>
      </x:c>
      <x:c r="Q2775" s="13" t="n">
        <x:f>IF(H2775="","",H2775/1000000000)</x:f>
        <x:v>0.95</x:v>
      </x:c>
      <x:c r="R2775" s="13" t="n">
        <x:f>IF(I2775="","",I2775/1000000)</x:f>
        <x:v>7.6</x:v>
      </x:c>
    </x:row>
    <x:row r="2776" ht="21" customHeight="1">
      <x:c r="A2776" s="10" t="n">
        <x:v>3833</x:v>
      </x:c>
      <x:c r="B2776" s="2" t="str">
        <x:v>e5ab158e00d757937efe</x:v>
      </x:c>
      <x:c r="C2776" s="2" t="str">
        <x:v>Tp Hồ Chí Minh</x:v>
      </x:c>
      <x:c r="D2776" s="2" t="str">
        <x:v>Quận 4</x:v>
      </x:c>
      <x:c r="E2776" s="2" t="str">
        <x:v>house</x:v>
      </x:c>
      <x:c r="F2776" s="2" t="str">
        <x:v>sale</x:v>
      </x:c>
      <x:c r="G2776" s="11" t="n">
        <x:v>33</x:v>
      </x:c>
      <x:c r="H2776" s="12" t="n">
        <x:v>2750000000</x:v>
      </x:c>
      <x:c r="I2776" s="12" t="n">
        <x:v>83333333.33333333</x:v>
      </x:c>
      <x:c r="J2776" s="2" t="str">
        <x:v>total</x:v>
      </x:c>
      <x:c r="K2776" s="2" t="str">
        <x:v>top_level_area</x:v>
      </x:c>
      <x:c r="L2776" s="2" t="str">
        <x:v>property_type_inferred_from_title</x:v>
      </x:c>
      <x:c r="M2776" s="10" t="n">
        <x:v>0</x:v>
      </x:c>
      <x:c r="N2776" s="10" t="n">
        <x:v>0</x:v>
      </x:c>
      <x:c r="O2776" s="2" t="str">
        <x:v>Tp Hồ Chí Minh|house</x:v>
      </x:c>
      <x:c r="P2776" s="10" t="n">
        <x:v>2</x:v>
      </x:c>
      <x:c r="Q2776" s="13" t="n">
        <x:f>IF(H2776="","",H2776/1000000000)</x:f>
        <x:v>2.75</x:v>
      </x:c>
      <x:c r="R2776" s="13" t="n">
        <x:f>IF(I2776="","",I2776/1000000)</x:f>
        <x:v>83.33333333333333</x:v>
      </x:c>
    </x:row>
    <x:row r="2777" ht="21" customHeight="1">
      <x:c r="A2777" s="10" t="n">
        <x:v>3834</x:v>
      </x:c>
      <x:c r="B2777" s="2" t="str">
        <x:v>0cf679bbf313c7c2d550</x:v>
      </x:c>
      <x:c r="C2777" s="2" t="str">
        <x:v>Hà Nội</x:v>
      </x:c>
      <x:c r="D2777" s="2" t="str">
        <x:v>Quận Ba Đình</x:v>
      </x:c>
      <x:c r="E2777" s="2" t="str">
        <x:v>house</x:v>
      </x:c>
      <x:c r="F2777" s="2" t="str">
        <x:v>sale</x:v>
      </x:c>
      <x:c r="G2777" s="11" t="n">
        <x:v>40</x:v>
      </x:c>
      <x:c r="H2777" s="12" t="n">
        <x:v>6000000000</x:v>
      </x:c>
      <x:c r="I2777" s="12" t="n">
        <x:v>150000000</x:v>
      </x:c>
      <x:c r="J2777" s="2" t="str">
        <x:v>total</x:v>
      </x:c>
      <x:c r="K2777" s="2" t="str">
        <x:v>top_level_area</x:v>
      </x:c>
      <x:c r="L2777" s="2" t="str">
        <x:v>property_type_inferred_from_title</x:v>
      </x:c>
      <x:c r="M2777" s="10" t="n">
        <x:v>0</x:v>
      </x:c>
      <x:c r="N2777" s="10" t="n">
        <x:v>0</x:v>
      </x:c>
      <x:c r="O2777" s="2" t="str">
        <x:v>Hà Nội|house</x:v>
      </x:c>
      <x:c r="P2777" s="10" t="n">
        <x:v>2</x:v>
      </x:c>
      <x:c r="Q2777" s="13" t="n">
        <x:f>IF(H2777="","",H2777/1000000000)</x:f>
        <x:v>6</x:v>
      </x:c>
      <x:c r="R2777" s="13" t="n">
        <x:f>IF(I2777="","",I2777/1000000)</x:f>
        <x:v>150</x:v>
      </x:c>
    </x:row>
    <x:row r="2778" ht="21" customHeight="1">
      <x:c r="A2778" s="10" t="n">
        <x:v>3835</x:v>
      </x:c>
      <x:c r="B2778" s="2" t="str">
        <x:v>e09408cf976a6d1f3a59</x:v>
      </x:c>
      <x:c r="C2778" s="2" t="str">
        <x:v>Khánh Hòa</x:v>
      </x:c>
      <x:c r="D2778" s="2" t="str">
        <x:v>Huyện Diên Khánh</x:v>
      </x:c>
      <x:c r="E2778" s="2" t="str">
        <x:v>other_unknown</x:v>
      </x:c>
      <x:c r="F2778" s="2" t="str">
        <x:v>sale_assumed</x:v>
      </x:c>
      <x:c r="G2778" s="11" t="n">
        <x:v>71</x:v>
      </x:c>
      <x:c r="H2778" s="12" t="n">
        <x:v>370000000</x:v>
      </x:c>
      <x:c r="I2778" s="12" t="n">
        <x:v>5211267.605633803</x:v>
      </x:c>
      <x:c r="J2778" s="2" t="str">
        <x:v>total</x:v>
      </x:c>
      <x:c r="K2778" s="2" t="str">
        <x:v>top_level_area</x:v>
      </x:c>
      <x:c r="L2778" s="2" t="str">
        <x:v>property_type_inferred_from_title;transaction_assumed_sale_from_dataset_context;unknown_property_type</x:v>
      </x:c>
      <x:c r="M2778" s="10" t="n">
        <x:v>0</x:v>
      </x:c>
      <x:c r="N2778" s="10" t="n">
        <x:v>0</x:v>
      </x:c>
      <x:c r="O2778" s="2" t="str">
        <x:v>other_unknown</x:v>
      </x:c>
      <x:c r="P2778" s="10" t="n">
        <x:v>2</x:v>
      </x:c>
      <x:c r="Q2778" s="13" t="n">
        <x:f>IF(H2778="","",H2778/1000000000)</x:f>
        <x:v>0.37</x:v>
      </x:c>
      <x:c r="R2778" s="13" t="n">
        <x:f>IF(I2778="","",I2778/1000000)</x:f>
        <x:v>5.211267605633803</x:v>
      </x:c>
    </x:row>
    <x:row r="2779" ht="21" customHeight="1">
      <x:c r="A2779" s="10" t="n">
        <x:v>3836</x:v>
      </x:c>
      <x:c r="B2779" s="2" t="str">
        <x:v>b512471e527cba8a1a8c</x:v>
      </x:c>
      <x:c r="C2779" s="2" t="str">
        <x:v>Tp Hồ Chí Minh</x:v>
      </x:c>
      <x:c r="D2779" s="2" t="str">
        <x:v>Quận Gò Vấp</x:v>
      </x:c>
      <x:c r="E2779" s="2" t="str">
        <x:v>house</x:v>
      </x:c>
      <x:c r="F2779" s="2" t="str">
        <x:v>sale</x:v>
      </x:c>
      <x:c r="G2779" s="11" t="n">
        <x:v>27</x:v>
      </x:c>
      <x:c r="H2779" s="12" t="n">
        <x:v>3100000000</x:v>
      </x:c>
      <x:c r="I2779" s="12" t="n">
        <x:v>114814814.81481482</x:v>
      </x:c>
      <x:c r="J2779" s="2" t="str">
        <x:v>total</x:v>
      </x:c>
      <x:c r="K2779" s="2" t="str">
        <x:v>top_level_area</x:v>
      </x:c>
      <x:c r="L2779" s="2" t="str">
        <x:v>property_type_inferred_from_title</x:v>
      </x:c>
      <x:c r="M2779" s="10" t="n">
        <x:v>0</x:v>
      </x:c>
      <x:c r="N2779" s="10" t="n">
        <x:v>0</x:v>
      </x:c>
      <x:c r="O2779" s="2" t="str">
        <x:v>Tp Hồ Chí Minh|house</x:v>
      </x:c>
      <x:c r="P2779" s="10" t="n">
        <x:v>2</x:v>
      </x:c>
      <x:c r="Q2779" s="13" t="n">
        <x:f>IF(H2779="","",H2779/1000000000)</x:f>
        <x:v>3.1</x:v>
      </x:c>
      <x:c r="R2779" s="13" t="n">
        <x:f>IF(I2779="","",I2779/1000000)</x:f>
        <x:v>114.81481481481482</x:v>
      </x:c>
    </x:row>
    <x:row r="2780" ht="21" customHeight="1">
      <x:c r="A2780" s="10" t="n">
        <x:v>3837</x:v>
      </x:c>
      <x:c r="B2780" s="2" t="str">
        <x:v>62310e47b6f60e7f7f3b</x:v>
      </x:c>
      <x:c r="C2780" s="2" t="str">
        <x:v>Thừa Thiên Huế</x:v>
      </x:c>
      <x:c r="D2780" s="2" t="str">
        <x:v>Thành phố Huế</x:v>
      </x:c>
      <x:c r="E2780" s="2" t="str">
        <x:v>other_unknown</x:v>
      </x:c>
      <x:c r="F2780" s="2" t="str">
        <x:v>sale_assumed</x:v>
      </x:c>
      <x:c r="G2780" s="11" t="n">
        <x:v>69</x:v>
      </x:c>
      <x:c r="H2780" s="12" t="n">
        <x:v>1168888880</x:v>
      </x:c>
      <x:c r="I2780" s="12" t="n">
        <x:v>16940418.550724637</x:v>
      </x:c>
      <x:c r="J2780" s="2" t="str">
        <x:v>total</x:v>
      </x:c>
      <x:c r="K2780" s="2" t="str">
        <x:v>top_level_area</x:v>
      </x:c>
      <x:c r="L2780" s="2" t="str">
        <x:v>property_type_inferred_from_title;transaction_assumed_sale_from_dataset_context;unknown_property_type</x:v>
      </x:c>
      <x:c r="M2780" s="10" t="n">
        <x:v>0</x:v>
      </x:c>
      <x:c r="N2780" s="10" t="n">
        <x:v>0</x:v>
      </x:c>
      <x:c r="O2780" s="2" t="str">
        <x:v>other_unknown</x:v>
      </x:c>
      <x:c r="P2780" s="10" t="n">
        <x:v>2</x:v>
      </x:c>
      <x:c r="Q2780" s="13" t="n">
        <x:f>IF(H2780="","",H2780/1000000000)</x:f>
        <x:v>1.16888888</x:v>
      </x:c>
      <x:c r="R2780" s="13" t="n">
        <x:f>IF(I2780="","",I2780/1000000)</x:f>
        <x:v>16.940418550724637</x:v>
      </x:c>
    </x:row>
    <x:row r="2781" ht="21" customHeight="1">
      <x:c r="A2781" s="10" t="n">
        <x:v>3838</x:v>
      </x:c>
      <x:c r="B2781" s="2" t="str">
        <x:v>b85350521909c1b005ac</x:v>
      </x:c>
      <x:c r="C2781" s="2" t="str">
        <x:v>Cần Thơ</x:v>
      </x:c>
      <x:c r="D2781" s="2" t="str">
        <x:v>Quận Ninh Kiều</x:v>
      </x:c>
      <x:c r="E2781" s="2" t="str">
        <x:v>house</x:v>
      </x:c>
      <x:c r="F2781" s="2" t="str">
        <x:v>sale_assumed</x:v>
      </x:c>
      <x:c r="G2781" s="11" t="n">
        <x:v>70</x:v>
      </x:c>
      <x:c r="H2781" s="12" t="n">
        <x:v>350000000</x:v>
      </x:c>
      <x:c r="I2781" s="12" t="n">
        <x:v>5000000</x:v>
      </x:c>
      <x:c r="J2781" s="2" t="str">
        <x:v>total</x:v>
      </x:c>
      <x:c r="K2781" s="2" t="str">
        <x:v>top_level_area</x:v>
      </x:c>
      <x:c r="L2781" s="2" t="str">
        <x:v>property_type_inferred_from_title;transaction_assumed_sale_from_dataset_context</x:v>
      </x:c>
      <x:c r="M2781" s="10" t="n">
        <x:v>0</x:v>
      </x:c>
      <x:c r="N2781" s="10" t="n">
        <x:v>0</x:v>
      </x:c>
      <x:c r="O2781" s="2" t="str">
        <x:v>Cần Thơ|house</x:v>
      </x:c>
      <x:c r="P2781" s="10" t="n">
        <x:v>2</x:v>
      </x:c>
      <x:c r="Q2781" s="13" t="n">
        <x:f>IF(H2781="","",H2781/1000000000)</x:f>
        <x:v>0.35</x:v>
      </x:c>
      <x:c r="R2781" s="13" t="n">
        <x:f>IF(I2781="","",I2781/1000000)</x:f>
        <x:v>5</x:v>
      </x:c>
    </x:row>
    <x:row r="2782" ht="21" customHeight="1">
      <x:c r="A2782" s="10" t="n">
        <x:v>3839</x:v>
      </x:c>
      <x:c r="B2782" s="2" t="str">
        <x:v>c5f8a66ae5661d521084</x:v>
      </x:c>
      <x:c r="C2782" s="2" t="str">
        <x:v>Tp Hồ Chí Minh</x:v>
      </x:c>
      <x:c r="D2782" s="2" t="str">
        <x:v>Huyện Bình Chánh</x:v>
      </x:c>
      <x:c r="E2782" s="2" t="str">
        <x:v>land</x:v>
      </x:c>
      <x:c r="F2782" s="2" t="str">
        <x:v>sale_assumed</x:v>
      </x:c>
      <x:c r="G2782" s="11" t="n">
        <x:v>56</x:v>
      </x:c>
      <x:c r="H2782" s="12" t="n">
        <x:v>700000000</x:v>
      </x:c>
      <x:c r="I2782" s="12" t="n">
        <x:v>12500000</x:v>
      </x:c>
      <x:c r="J2782" s="2" t="str">
        <x:v>total</x:v>
      </x:c>
      <x:c r="K2782" s="2" t="str">
        <x:v>top_level_area</x:v>
      </x:c>
      <x:c r="L2782" s="2" t="str">
        <x:v>property_type_inferred_from_title;transaction_assumed_sale_from_dataset_context</x:v>
      </x:c>
      <x:c r="M2782" s="10" t="n">
        <x:v>0</x:v>
      </x:c>
      <x:c r="N2782" s="10" t="n">
        <x:v>0</x:v>
      </x:c>
      <x:c r="O2782" s="2" t="str">
        <x:v>Tp Hồ Chí Minh|land</x:v>
      </x:c>
      <x:c r="P2782" s="10" t="n">
        <x:v>2</x:v>
      </x:c>
      <x:c r="Q2782" s="13" t="n">
        <x:f>IF(H2782="","",H2782/1000000000)</x:f>
        <x:v>0.7</x:v>
      </x:c>
      <x:c r="R2782" s="13" t="n">
        <x:f>IF(I2782="","",I2782/1000000)</x:f>
        <x:v>12.5</x:v>
      </x:c>
    </x:row>
    <x:row r="2783" ht="21" customHeight="1">
      <x:c r="A2783" s="10" t="n">
        <x:v>3840</x:v>
      </x:c>
      <x:c r="B2783" s="2" t="str">
        <x:v>278d785251d6765c6326</x:v>
      </x:c>
      <x:c r="C2783" s="2" t="str">
        <x:v>Bến Tre</x:v>
      </x:c>
      <x:c r="D2783" s="2" t="str">
        <x:v>Thành phố Bến Tre</x:v>
      </x:c>
      <x:c r="E2783" s="2" t="str">
        <x:v>house</x:v>
      </x:c>
      <x:c r="F2783" s="2" t="str">
        <x:v>sale_assumed</x:v>
      </x:c>
      <x:c r="G2783" s="11" t="n">
        <x:v>112</x:v>
      </x:c>
      <x:c r="H2783" s="12" t="n">
        <x:v>1800000000</x:v>
      </x:c>
      <x:c r="I2783" s="12" t="n">
        <x:v>16071428.57142857</x:v>
      </x:c>
      <x:c r="J2783" s="2" t="str">
        <x:v>total</x:v>
      </x:c>
      <x:c r="K2783" s="2" t="str">
        <x:v>top_level_area</x:v>
      </x:c>
      <x:c r="L2783" s="2" t="str">
        <x:v>property_type_inferred_from_title;transaction_assumed_sale_from_dataset_context</x:v>
      </x:c>
      <x:c r="M2783" s="10" t="n">
        <x:v>0</x:v>
      </x:c>
      <x:c r="N2783" s="10" t="n">
        <x:v>0</x:v>
      </x:c>
      <x:c r="O2783" s="2" t="str">
        <x:v>house</x:v>
      </x:c>
      <x:c r="P2783" s="10" t="n">
        <x:v>2</x:v>
      </x:c>
      <x:c r="Q2783" s="13" t="n">
        <x:f>IF(H2783="","",H2783/1000000000)</x:f>
        <x:v>1.8</x:v>
      </x:c>
      <x:c r="R2783" s="13" t="n">
        <x:f>IF(I2783="","",I2783/1000000)</x:f>
        <x:v>16.07142857142857</x:v>
      </x:c>
    </x:row>
    <x:row r="2784" ht="21" customHeight="1">
      <x:c r="A2784" s="10" t="n">
        <x:v>3841</x:v>
      </x:c>
      <x:c r="B2784" s="2" t="str">
        <x:v>79547d180dc25721c8aa</x:v>
      </x:c>
      <x:c r="C2784" s="2" t="str">
        <x:v>Hà Nội</x:v>
      </x:c>
      <x:c r="D2784" s="2" t="str">
        <x:v>Quận Ba Đình</x:v>
      </x:c>
      <x:c r="E2784" s="2" t="str">
        <x:v>house</x:v>
      </x:c>
      <x:c r="F2784" s="2" t="str">
        <x:v>sale_assumed</x:v>
      </x:c>
      <x:c r="G2784" s="11" t="n">
        <x:v>48</x:v>
      </x:c>
      <x:c r="H2784" s="12" t="n">
        <x:v>5000000000</x:v>
      </x:c>
      <x:c r="I2784" s="12" t="n">
        <x:v>104166666.66666667</x:v>
      </x:c>
      <x:c r="J2784" s="2" t="str">
        <x:v>total</x:v>
      </x:c>
      <x:c r="K2784" s="2" t="str">
        <x:v>top_level_area</x:v>
      </x:c>
      <x:c r="L2784" s="2" t="str">
        <x:v>property_type_inferred_from_title;transaction_assumed_sale_from_dataset_context</x:v>
      </x:c>
      <x:c r="M2784" s="10" t="n">
        <x:v>0</x:v>
      </x:c>
      <x:c r="N2784" s="10" t="n">
        <x:v>0</x:v>
      </x:c>
      <x:c r="O2784" s="2" t="str">
        <x:v>Hà Nội|house</x:v>
      </x:c>
      <x:c r="P2784" s="10" t="n">
        <x:v>2</x:v>
      </x:c>
      <x:c r="Q2784" s="13" t="n">
        <x:f>IF(H2784="","",H2784/1000000000)</x:f>
        <x:v>5</x:v>
      </x:c>
      <x:c r="R2784" s="13" t="n">
        <x:f>IF(I2784="","",I2784/1000000)</x:f>
        <x:v>104.16666666666667</x:v>
      </x:c>
    </x:row>
    <x:row r="2785" ht="21" customHeight="1">
      <x:c r="A2785" s="10" t="n">
        <x:v>3842</x:v>
      </x:c>
      <x:c r="B2785" s="2" t="str">
        <x:v>5b94a00f80bf86960881</x:v>
      </x:c>
      <x:c r="C2785" s="2" t="str">
        <x:v>Kiên Giang</x:v>
      </x:c>
      <x:c r="D2785" s="2" t="str">
        <x:v>Thành phố Rạch Giá</x:v>
      </x:c>
      <x:c r="E2785" s="2" t="str">
        <x:v>land</x:v>
      </x:c>
      <x:c r="F2785" s="2" t="str">
        <x:v>sale</x:v>
      </x:c>
      <x:c r="G2785" s="11" t="n">
        <x:v>560</x:v>
      </x:c>
      <x:c r="H2785" s="12" t="n">
        <x:v>630000000</x:v>
      </x:c>
      <x:c r="I2785" s="12" t="n">
        <x:v>1125000</x:v>
      </x:c>
      <x:c r="J2785" s="2" t="str">
        <x:v>total</x:v>
      </x:c>
      <x:c r="K2785" s="2" t="str">
        <x:v>top_level_area</x:v>
      </x:c>
      <x:c r="L2785" s="2" t="str">
        <x:v>property_type_inferred_from_title</x:v>
      </x:c>
      <x:c r="M2785" s="10" t="n">
        <x:v>0</x:v>
      </x:c>
      <x:c r="N2785" s="10" t="n">
        <x:v>0</x:v>
      </x:c>
      <x:c r="O2785" s="2" t="str">
        <x:v>land</x:v>
      </x:c>
      <x:c r="P2785" s="10" t="n">
        <x:v>1</x:v>
      </x:c>
      <x:c r="Q2785" s="13" t="n">
        <x:f>IF(H2785="","",H2785/1000000000)</x:f>
        <x:v>0.63</x:v>
      </x:c>
      <x:c r="R2785" s="13" t="n">
        <x:f>IF(I2785="","",I2785/1000000)</x:f>
        <x:v>1.125</x:v>
      </x:c>
    </x:row>
    <x:row r="2786" ht="21" customHeight="1">
      <x:c r="A2786" s="10" t="n">
        <x:v>3843</x:v>
      </x:c>
      <x:c r="B2786" s="2" t="str">
        <x:v>f717609664ac28362a94</x:v>
      </x:c>
      <x:c r="C2786" s="2" t="str">
        <x:v>Tp Hồ Chí Minh</x:v>
      </x:c>
      <x:c r="D2786" s="2" t="str">
        <x:v>Quận Bình Tân</x:v>
      </x:c>
      <x:c r="E2786" s="2" t="str">
        <x:v>house</x:v>
      </x:c>
      <x:c r="F2786" s="2" t="str">
        <x:v>sale</x:v>
      </x:c>
      <x:c r="G2786" s="11" t="n">
        <x:v>36</x:v>
      </x:c>
      <x:c r="H2786" s="12" t="n">
        <x:v>1600000000</x:v>
      </x:c>
      <x:c r="I2786" s="12" t="n">
        <x:v>44444444.44444445</x:v>
      </x:c>
      <x:c r="J2786" s="2" t="str">
        <x:v>total</x:v>
      </x:c>
      <x:c r="K2786" s="2" t="str">
        <x:v>top_level_area</x:v>
      </x:c>
      <x:c r="L2786" s="2" t="str">
        <x:v>property_type_inferred_from_title</x:v>
      </x:c>
      <x:c r="M2786" s="10" t="n">
        <x:v>0</x:v>
      </x:c>
      <x:c r="N2786" s="10" t="n">
        <x:v>0</x:v>
      </x:c>
      <x:c r="O2786" s="2" t="str">
        <x:v>Tp Hồ Chí Minh|house</x:v>
      </x:c>
      <x:c r="P2786" s="10" t="n">
        <x:v>2</x:v>
      </x:c>
      <x:c r="Q2786" s="13" t="n">
        <x:f>IF(H2786="","",H2786/1000000000)</x:f>
        <x:v>1.6</x:v>
      </x:c>
      <x:c r="R2786" s="13" t="n">
        <x:f>IF(I2786="","",I2786/1000000)</x:f>
        <x:v>44.44444444444445</x:v>
      </x:c>
    </x:row>
    <x:row r="2787" ht="21" customHeight="1">
      <x:c r="A2787" s="10" t="n">
        <x:v>3844</x:v>
      </x:c>
      <x:c r="B2787" s="2" t="str">
        <x:v>390d6e3a917227c3fe6c</x:v>
      </x:c>
      <x:c r="C2787" s="2" t="str">
        <x:v>Bình Dương</x:v>
      </x:c>
      <x:c r="D2787" s="2" t="str">
        <x:v>Thị xã Tân Uyên</x:v>
      </x:c>
      <x:c r="E2787" s="2" t="str">
        <x:v>other_unknown</x:v>
      </x:c>
      <x:c r="F2787" s="2" t="str">
        <x:v>sale</x:v>
      </x:c>
      <x:c r="G2787" s="11" t="n">
        <x:v>769</x:v>
      </x:c>
      <x:c r="H2787" s="12" t="n">
        <x:v>360000000</x:v>
      </x:c>
      <x:c r="I2787" s="12" t="n">
        <x:v>468140.4421326398</x:v>
      </x:c>
      <x:c r="J2787" s="2" t="str">
        <x:v>total</x:v>
      </x:c>
      <x:c r="K2787" s="2" t="str">
        <x:v>top_level_area</x:v>
      </x:c>
      <x:c r="L2787" s="2" t="str">
        <x:v>property_type_inferred_from_title;unknown_property_type</x:v>
      </x:c>
      <x:c r="M2787" s="10" t="n">
        <x:v>0</x:v>
      </x:c>
      <x:c r="N2787" s="10" t="n">
        <x:v>0</x:v>
      </x:c>
      <x:c r="O2787" s="2" t="str">
        <x:v>Bình Dương|other_unknown</x:v>
      </x:c>
      <x:c r="P2787" s="10" t="n">
        <x:v>1</x:v>
      </x:c>
      <x:c r="Q2787" s="13" t="n">
        <x:f>IF(H2787="","",H2787/1000000000)</x:f>
        <x:v>0.36</x:v>
      </x:c>
      <x:c r="R2787" s="13" t="n">
        <x:f>IF(I2787="","",I2787/1000000)</x:f>
        <x:v>0.46814044213263983</x:v>
      </x:c>
    </x:row>
    <x:row r="2788" ht="21" customHeight="1">
      <x:c r="A2788" s="10" t="n">
        <x:v>3845</x:v>
      </x:c>
      <x:c r="B2788" s="2" t="str">
        <x:v>787989892b79f1b08c53</x:v>
      </x:c>
      <x:c r="C2788" s="2" t="str">
        <x:v>Cần Thơ</x:v>
      </x:c>
      <x:c r="D2788" s="2" t="str">
        <x:v>Quận Bình Thuỷ</x:v>
      </x:c>
      <x:c r="E2788" s="2" t="str">
        <x:v>land</x:v>
      </x:c>
      <x:c r="F2788" s="2" t="str">
        <x:v>sale_assumed</x:v>
      </x:c>
      <x:c r="G2788" s="11" t="n">
        <x:v>73.8</x:v>
      </x:c>
      <x:c r="H2788" s="12" t="n">
        <x:v>1630000000</x:v>
      </x:c>
      <x:c r="I2788" s="12" t="n">
        <x:v>22086720.867208675</x:v>
      </x:c>
      <x:c r="J2788" s="2" t="str">
        <x:v>total</x:v>
      </x:c>
      <x:c r="K2788" s="2" t="str">
        <x:v>top_level_area</x:v>
      </x:c>
      <x:c r="L2788" s="2" t="str">
        <x:v>property_type_inferred_from_title;transaction_assumed_sale_from_dataset_context</x:v>
      </x:c>
      <x:c r="M2788" s="10" t="n">
        <x:v>0</x:v>
      </x:c>
      <x:c r="N2788" s="10" t="n">
        <x:v>0</x:v>
      </x:c>
      <x:c r="O2788" s="2" t="str">
        <x:v>Cần Thơ|land</x:v>
      </x:c>
      <x:c r="P2788" s="10" t="n">
        <x:v>2</x:v>
      </x:c>
      <x:c r="Q2788" s="13" t="n">
        <x:f>IF(H2788="","",H2788/1000000000)</x:f>
        <x:v>1.63</x:v>
      </x:c>
      <x:c r="R2788" s="13" t="n">
        <x:f>IF(I2788="","",I2788/1000000)</x:f>
        <x:v>22.086720867208676</x:v>
      </x:c>
    </x:row>
    <x:row r="2789" ht="21" customHeight="1">
      <x:c r="A2789" s="10" t="n">
        <x:v>3859</x:v>
      </x:c>
      <x:c r="B2789" s="2" t="str">
        <x:v>4fd79b3faf6dafc5b85a</x:v>
      </x:c>
      <x:c r="C2789" s="2" t="str">
        <x:v>Tp Hồ Chí Minh</x:v>
      </x:c>
      <x:c r="D2789" s="2" t="str">
        <x:v>Quận Tân Phú</x:v>
      </x:c>
      <x:c r="E2789" s="2" t="str">
        <x:v>other_unknown</x:v>
      </x:c>
      <x:c r="F2789" s="2" t="str">
        <x:v>sale_assumed</x:v>
      </x:c>
      <x:c r="G2789" s="11" t="n">
        <x:v>85</x:v>
      </x:c>
      <x:c r="H2789" s="12" t="n">
        <x:v>6300000000</x:v>
      </x:c>
      <x:c r="I2789" s="12" t="n">
        <x:v>74117647.05882353</x:v>
      </x:c>
      <x:c r="J2789" s="2" t="str">
        <x:v>total</x:v>
      </x:c>
      <x:c r="K2789" s="2" t="str">
        <x:v>top_level_area</x:v>
      </x:c>
      <x:c r="L2789" s="2" t="str">
        <x:v>property_type_inferred_from_title;transaction_assumed_sale_from_dataset_context;unknown_property_type</x:v>
      </x:c>
      <x:c r="M2789" s="10" t="n">
        <x:v>0</x:v>
      </x:c>
      <x:c r="N2789" s="10" t="n">
        <x:v>0</x:v>
      </x:c>
      <x:c r="O2789" s="2" t="str">
        <x:v>Tp Hồ Chí Minh|other_unknown</x:v>
      </x:c>
      <x:c r="P2789" s="10" t="n">
        <x:v>2</x:v>
      </x:c>
      <x:c r="Q2789" s="13" t="n">
        <x:f>IF(H2789="","",H2789/1000000000)</x:f>
        <x:v>6.3</x:v>
      </x:c>
      <x:c r="R2789" s="13" t="n">
        <x:f>IF(I2789="","",I2789/1000000)</x:f>
        <x:v>74.11764705882352</x:v>
      </x:c>
    </x:row>
    <x:row r="2790" ht="21" customHeight="1">
      <x:c r="A2790" s="10" t="n">
        <x:v>3860</x:v>
      </x:c>
      <x:c r="B2790" s="2" t="str">
        <x:v>9988086c32044b5aa9be</x:v>
      </x:c>
      <x:c r="C2790" s="2" t="str">
        <x:v>Hà Nội</x:v>
      </x:c>
      <x:c r="D2790" s="2" t="str">
        <x:v>Quận Hà Đông</x:v>
      </x:c>
      <x:c r="E2790" s="2" t="str">
        <x:v>other_unknown</x:v>
      </x:c>
      <x:c r="F2790" s="2" t="str">
        <x:v>sale_assumed</x:v>
      </x:c>
      <x:c r="G2790" s="11" t="n">
        <x:v>30</x:v>
      </x:c>
      <x:c r="H2790" s="12" t="n">
        <x:v>1300000000</x:v>
      </x:c>
      <x:c r="I2790" s="12" t="n">
        <x:v>43333333.333333336</x:v>
      </x:c>
      <x:c r="J2790" s="2" t="str">
        <x:v>total</x:v>
      </x:c>
      <x:c r="K2790" s="2" t="str">
        <x:v>top_level_area</x:v>
      </x:c>
      <x:c r="L2790" s="2" t="str">
        <x:v>property_type_inferred_from_title;transaction_assumed_sale_from_dataset_context;unknown_property_type</x:v>
      </x:c>
      <x:c r="M2790" s="10" t="n">
        <x:v>0</x:v>
      </x:c>
      <x:c r="N2790" s="10" t="n">
        <x:v>0</x:v>
      </x:c>
      <x:c r="O2790" s="2" t="str">
        <x:v>Hà Nội|other_unknown</x:v>
      </x:c>
      <x:c r="P2790" s="10" t="n">
        <x:v>2</x:v>
      </x:c>
      <x:c r="Q2790" s="13" t="n">
        <x:f>IF(H2790="","",H2790/1000000000)</x:f>
        <x:v>1.3</x:v>
      </x:c>
      <x:c r="R2790" s="13" t="n">
        <x:f>IF(I2790="","",I2790/1000000)</x:f>
        <x:v>43.333333333333336</x:v>
      </x:c>
    </x:row>
    <x:row r="2791" ht="21" customHeight="1">
      <x:c r="A2791" s="10" t="n">
        <x:v>3861</x:v>
      </x:c>
      <x:c r="B2791" s="2" t="str">
        <x:v>910563ec05bbd45e7ea3</x:v>
      </x:c>
      <x:c r="C2791" s="2" t="str">
        <x:v>Hà Nội</x:v>
      </x:c>
      <x:c r="D2791" s="2" t="str">
        <x:v>Quận Hà Đông</x:v>
      </x:c>
      <x:c r="E2791" s="2" t="str">
        <x:v>house</x:v>
      </x:c>
      <x:c r="F2791" s="2" t="str">
        <x:v>sale</x:v>
      </x:c>
      <x:c r="G2791" s="11" t="n">
        <x:v>30</x:v>
      </x:c>
      <x:c r="H2791" s="12" t="n">
        <x:v>3000000000</x:v>
      </x:c>
      <x:c r="I2791" s="12" t="n">
        <x:v>100000000</x:v>
      </x:c>
      <x:c r="J2791" s="2" t="str">
        <x:v>total</x:v>
      </x:c>
      <x:c r="K2791" s="2" t="str">
        <x:v>top_level_area</x:v>
      </x:c>
      <x:c r="L2791" s="2" t="str">
        <x:v>property_type_inferred_from_title</x:v>
      </x:c>
      <x:c r="M2791" s="10" t="n">
        <x:v>0</x:v>
      </x:c>
      <x:c r="N2791" s="10" t="n">
        <x:v>0</x:v>
      </x:c>
      <x:c r="O2791" s="2" t="str">
        <x:v>Hà Nội|house</x:v>
      </x:c>
      <x:c r="P2791" s="10" t="n">
        <x:v>2</x:v>
      </x:c>
      <x:c r="Q2791" s="13" t="n">
        <x:f>IF(H2791="","",H2791/1000000000)</x:f>
        <x:v>3</x:v>
      </x:c>
      <x:c r="R2791" s="13" t="n">
        <x:f>IF(I2791="","",I2791/1000000)</x:f>
        <x:v>100</x:v>
      </x:c>
    </x:row>
    <x:row r="2792" ht="21" customHeight="1">
      <x:c r="A2792" s="10" t="n">
        <x:v>3863</x:v>
      </x:c>
      <x:c r="B2792" s="2" t="str">
        <x:v>6992a13426c3f0a50bd6</x:v>
      </x:c>
      <x:c r="C2792" s="2" t="str">
        <x:v>Tây Ninh</x:v>
      </x:c>
      <x:c r="D2792" s="2" t="str">
        <x:v>Huyện Trảng Bàng</x:v>
      </x:c>
      <x:c r="E2792" s="2" t="str">
        <x:v>land</x:v>
      </x:c>
      <x:c r="F2792" s="2" t="str">
        <x:v>sale_assumed</x:v>
      </x:c>
      <x:c r="G2792" s="11" t="n">
        <x:v>150</x:v>
      </x:c>
      <x:c r="H2792" s="12" t="n">
        <x:v>240000000</x:v>
      </x:c>
      <x:c r="I2792" s="12" t="n">
        <x:v>1600000</x:v>
      </x:c>
      <x:c r="J2792" s="2" t="str">
        <x:v>total</x:v>
      </x:c>
      <x:c r="K2792" s="2" t="str">
        <x:v>top_level_price_embedded_area</x:v>
      </x:c>
      <x:c r="L2792" s="2" t="str">
        <x:v>area_recovered_from_price_text;property_type_inferred_from_title;transaction_assumed_sale_from_dataset_context</x:v>
      </x:c>
      <x:c r="M2792" s="10" t="n">
        <x:v>0</x:v>
      </x:c>
      <x:c r="N2792" s="10" t="n">
        <x:v>0</x:v>
      </x:c>
      <x:c r="O2792" s="2" t="str">
        <x:v>land</x:v>
      </x:c>
      <x:c r="P2792" s="10" t="n">
        <x:v>1</x:v>
      </x:c>
      <x:c r="Q2792" s="13" t="n">
        <x:f>IF(H2792="","",H2792/1000000000)</x:f>
        <x:v>0.24</x:v>
      </x:c>
      <x:c r="R2792" s="13" t="n">
        <x:f>IF(I2792="","",I2792/1000000)</x:f>
        <x:v>1.6</x:v>
      </x:c>
    </x:row>
    <x:row r="2793" ht="21" customHeight="1">
      <x:c r="A2793" s="10" t="n">
        <x:v>3864</x:v>
      </x:c>
      <x:c r="B2793" s="2" t="str">
        <x:v>4f338a880a8e6286f13c</x:v>
      </x:c>
      <x:c r="C2793" s="2" t="str">
        <x:v>Đà Nẵng</x:v>
      </x:c>
      <x:c r="D2793" s="2" t="str">
        <x:v>Quận Liên Chiểu</x:v>
      </x:c>
      <x:c r="E2793" s="2" t="str">
        <x:v>land</x:v>
      </x:c>
      <x:c r="F2793" s="2" t="str">
        <x:v>sale</x:v>
      </x:c>
      <x:c r="G2793" s="11" t="n">
        <x:v>100</x:v>
      </x:c>
      <x:c r="H2793" s="12" t="n">
        <x:v>1790000000</x:v>
      </x:c>
      <x:c r="I2793" s="12" t="n">
        <x:v>17900000</x:v>
      </x:c>
      <x:c r="J2793" s="2" t="str">
        <x:v>total</x:v>
      </x:c>
      <x:c r="K2793" s="2" t="str">
        <x:v>top_level_area</x:v>
      </x:c>
      <x:c r="L2793" s="2" t="str">
        <x:v>property_type_inferred_from_title</x:v>
      </x:c>
      <x:c r="M2793" s="10" t="n">
        <x:v>0</x:v>
      </x:c>
      <x:c r="N2793" s="10" t="n">
        <x:v>0</x:v>
      </x:c>
      <x:c r="O2793" s="2" t="str">
        <x:v>Đà Nẵng|land</x:v>
      </x:c>
      <x:c r="P2793" s="10" t="n">
        <x:v>2</x:v>
      </x:c>
      <x:c r="Q2793" s="13" t="n">
        <x:f>IF(H2793="","",H2793/1000000000)</x:f>
        <x:v>1.79</x:v>
      </x:c>
      <x:c r="R2793" s="13" t="n">
        <x:f>IF(I2793="","",I2793/1000000)</x:f>
        <x:v>17.9</x:v>
      </x:c>
    </x:row>
    <x:row r="2794" ht="21" customHeight="1">
      <x:c r="A2794" s="10" t="n">
        <x:v>3865</x:v>
      </x:c>
      <x:c r="B2794" s="2" t="str">
        <x:v>5c2e7b6bd76880cd6193</x:v>
      </x:c>
      <x:c r="C2794" s="2" t="str">
        <x:v>Kiên Giang</x:v>
      </x:c>
      <x:c r="D2794" s="2" t="str">
        <x:v>Thành phố Rạch Giá</x:v>
      </x:c>
      <x:c r="E2794" s="2" t="str">
        <x:v>land</x:v>
      </x:c>
      <x:c r="F2794" s="2" t="str">
        <x:v>sale</x:v>
      </x:c>
      <x:c r="G2794" s="11" t="n">
        <x:v>560</x:v>
      </x:c>
      <x:c r="H2794" s="12" t="n">
        <x:v>850000000</x:v>
      </x:c>
      <x:c r="I2794" s="12" t="n">
        <x:v>1517857.142857143</x:v>
      </x:c>
      <x:c r="J2794" s="2" t="str">
        <x:v>total</x:v>
      </x:c>
      <x:c r="K2794" s="2" t="str">
        <x:v>top_level_area</x:v>
      </x:c>
      <x:c r="L2794" s="2" t="str">
        <x:v>property_type_inferred_from_title</x:v>
      </x:c>
      <x:c r="M2794" s="10" t="n">
        <x:v>0</x:v>
      </x:c>
      <x:c r="N2794" s="10" t="n">
        <x:v>0</x:v>
      </x:c>
      <x:c r="O2794" s="2" t="str">
        <x:v>land</x:v>
      </x:c>
      <x:c r="P2794" s="10" t="n">
        <x:v>1</x:v>
      </x:c>
      <x:c r="Q2794" s="13" t="n">
        <x:f>IF(H2794="","",H2794/1000000000)</x:f>
        <x:v>0.85</x:v>
      </x:c>
      <x:c r="R2794" s="13" t="n">
        <x:f>IF(I2794="","",I2794/1000000)</x:f>
        <x:v>1.517857142857143</x:v>
      </x:c>
    </x:row>
    <x:row r="2795" ht="21" customHeight="1">
      <x:c r="A2795" s="10" t="n">
        <x:v>3866</x:v>
      </x:c>
      <x:c r="B2795" s="2" t="str">
        <x:v>6f3410ada9f5a7d3cd4c</x:v>
      </x:c>
      <x:c r="C2795" s="2" t="str">
        <x:v>Đà Nẵng</x:v>
      </x:c>
      <x:c r="D2795" s="2" t="str">
        <x:v>Quận Hải Châu</x:v>
      </x:c>
      <x:c r="E2795" s="2" t="str">
        <x:v>house</x:v>
      </x:c>
      <x:c r="F2795" s="2" t="str">
        <x:v>sale</x:v>
      </x:c>
      <x:c r="G2795" s="11" t="n">
        <x:v>50</x:v>
      </x:c>
      <x:c r="H2795" s="12" t="n">
        <x:v>2900000000</x:v>
      </x:c>
      <x:c r="I2795" s="12" t="n">
        <x:v>58000000</x:v>
      </x:c>
      <x:c r="J2795" s="2" t="str">
        <x:v>total</x:v>
      </x:c>
      <x:c r="K2795" s="2" t="str">
        <x:v>top_level_area</x:v>
      </x:c>
      <x:c r="L2795" s="2" t="str">
        <x:v>property_type_inferred_from_title</x:v>
      </x:c>
      <x:c r="M2795" s="10" t="n">
        <x:v>0</x:v>
      </x:c>
      <x:c r="N2795" s="10" t="n">
        <x:v>0</x:v>
      </x:c>
      <x:c r="O2795" s="2" t="str">
        <x:v>Đà Nẵng|house</x:v>
      </x:c>
      <x:c r="P2795" s="10" t="n">
        <x:v>2</x:v>
      </x:c>
      <x:c r="Q2795" s="13" t="n">
        <x:f>IF(H2795="","",H2795/1000000000)</x:f>
        <x:v>2.9</x:v>
      </x:c>
      <x:c r="R2795" s="13" t="n">
        <x:f>IF(I2795="","",I2795/1000000)</x:f>
        <x:v>58</x:v>
      </x:c>
    </x:row>
    <x:row r="2796" ht="21" customHeight="1">
      <x:c r="A2796" s="10" t="n">
        <x:v>3870</x:v>
      </x:c>
      <x:c r="B2796" s="2" t="str">
        <x:v>56d4a59c7907e2208631</x:v>
      </x:c>
      <x:c r="C2796" s="2" t="str">
        <x:v>Tp Hồ Chí Minh</x:v>
      </x:c>
      <x:c r="D2796" s="2" t="str">
        <x:v>Quận 8</x:v>
      </x:c>
      <x:c r="E2796" s="2" t="str">
        <x:v>other_unknown</x:v>
      </x:c>
      <x:c r="F2796" s="2" t="str">
        <x:v>sale_assumed</x:v>
      </x:c>
      <x:c r="G2796" s="11" t="n">
        <x:v>55</x:v>
      </x:c>
      <x:c r="H2796" s="12" t="n">
        <x:v>1450000000</x:v>
      </x:c>
      <x:c r="I2796" s="12" t="n">
        <x:v>26363636.363636363</x:v>
      </x:c>
      <x:c r="J2796" s="2" t="str">
        <x:v>total</x:v>
      </x:c>
      <x:c r="K2796" s="2" t="str">
        <x:v>top_level_area</x:v>
      </x:c>
      <x:c r="L2796" s="2" t="str">
        <x:v>property_type_inferred_from_title;transaction_assumed_sale_from_dataset_context;unknown_property_type</x:v>
      </x:c>
      <x:c r="M2796" s="10" t="n">
        <x:v>0</x:v>
      </x:c>
      <x:c r="N2796" s="10" t="n">
        <x:v>0</x:v>
      </x:c>
      <x:c r="O2796" s="2" t="str">
        <x:v>Tp Hồ Chí Minh|other_unknown</x:v>
      </x:c>
      <x:c r="P2796" s="10" t="n">
        <x:v>2</x:v>
      </x:c>
      <x:c r="Q2796" s="13" t="n">
        <x:f>IF(H2796="","",H2796/1000000000)</x:f>
        <x:v>1.45</x:v>
      </x:c>
      <x:c r="R2796" s="13" t="n">
        <x:f>IF(I2796="","",I2796/1000000)</x:f>
        <x:v>26.363636363636363</x:v>
      </x:c>
    </x:row>
    <x:row r="2797" ht="21" customHeight="1">
      <x:c r="A2797" s="10" t="n">
        <x:v>3871</x:v>
      </x:c>
      <x:c r="B2797" s="2" t="str">
        <x:v>52531c124041a4c5966a</x:v>
      </x:c>
      <x:c r="C2797" s="2" t="str">
        <x:v>Cần Thơ</x:v>
      </x:c>
      <x:c r="D2797" s="2" t="str">
        <x:v>Quận Ninh Kiều</x:v>
      </x:c>
      <x:c r="E2797" s="2" t="str">
        <x:v>house</x:v>
      </x:c>
      <x:c r="F2797" s="2" t="str">
        <x:v>sale_assumed</x:v>
      </x:c>
      <x:c r="G2797" s="11" t="n">
        <x:v>120</x:v>
      </x:c>
      <x:c r="H2797" s="12" t="n">
        <x:v>650000000</x:v>
      </x:c>
      <x:c r="I2797" s="12" t="n">
        <x:v>5416666.666666667</x:v>
      </x:c>
      <x:c r="J2797" s="2" t="str">
        <x:v>total</x:v>
      </x:c>
      <x:c r="K2797" s="2" t="str">
        <x:v>top_level_area</x:v>
      </x:c>
      <x:c r="L2797" s="2" t="str">
        <x:v>property_type_inferred_from_title;transaction_assumed_sale_from_dataset_context</x:v>
      </x:c>
      <x:c r="M2797" s="10" t="n">
        <x:v>0</x:v>
      </x:c>
      <x:c r="N2797" s="10" t="n">
        <x:v>0</x:v>
      </x:c>
      <x:c r="O2797" s="2" t="str">
        <x:v>Cần Thơ|house</x:v>
      </x:c>
      <x:c r="P2797" s="10" t="n">
        <x:v>2</x:v>
      </x:c>
      <x:c r="Q2797" s="13" t="n">
        <x:f>IF(H2797="","",H2797/1000000000)</x:f>
        <x:v>0.65</x:v>
      </x:c>
      <x:c r="R2797" s="13" t="n">
        <x:f>IF(I2797="","",I2797/1000000)</x:f>
        <x:v>5.416666666666667</x:v>
      </x:c>
    </x:row>
    <x:row r="2798" ht="21" customHeight="1">
      <x:c r="A2798" s="10" t="n">
        <x:v>3872</x:v>
      </x:c>
      <x:c r="B2798" s="2" t="str">
        <x:v>fad00eb1b1831b6f51bf</x:v>
      </x:c>
      <x:c r="C2798" s="2" t="str">
        <x:v>Lâm Đồng</x:v>
      </x:c>
      <x:c r="D2798" s="2" t="str">
        <x:v>Thành phố Đà Lạt</x:v>
      </x:c>
      <x:c r="E2798" s="2" t="str">
        <x:v>land</x:v>
      </x:c>
      <x:c r="F2798" s="2" t="str">
        <x:v>sale_assumed</x:v>
      </x:c>
      <x:c r="G2798" s="11" t="n">
        <x:v>16201</x:v>
      </x:c>
      <x:c r="H2798" s="12" t="n">
        <x:v>6000000000</x:v>
      </x:c>
      <x:c r="I2798" s="12" t="n">
        <x:v>370347.5094129992</x:v>
      </x:c>
      <x:c r="J2798" s="2" t="str">
        <x:v>total</x:v>
      </x:c>
      <x:c r="K2798" s="2" t="str">
        <x:v>top_level_area</x:v>
      </x:c>
      <x:c r="L2798" s="2" t="str">
        <x:v>dot_thousands_convention;property_type_inferred_from_title;transaction_assumed_sale_from_dataset_context</x:v>
      </x:c>
      <x:c r="M2798" s="10" t="n">
        <x:v>0</x:v>
      </x:c>
      <x:c r="N2798" s="10" t="n">
        <x:v>0</x:v>
      </x:c>
      <x:c r="O2798" s="2" t="str">
        <x:v>Lâm Đồng|land</x:v>
      </x:c>
      <x:c r="P2798" s="10" t="n">
        <x:v>1</x:v>
      </x:c>
      <x:c r="Q2798" s="13" t="n">
        <x:f>IF(H2798="","",H2798/1000000000)</x:f>
        <x:v>6</x:v>
      </x:c>
      <x:c r="R2798" s="13" t="n">
        <x:f>IF(I2798="","",I2798/1000000)</x:f>
        <x:v>0.3703475094129992</x:v>
      </x:c>
    </x:row>
    <x:row r="2799" ht="21" customHeight="1">
      <x:c r="A2799" s="10" t="n">
        <x:v>3873</x:v>
      </x:c>
      <x:c r="B2799" s="2" t="str">
        <x:v>e47b65c6cc0efe5ca91b</x:v>
      </x:c>
      <x:c r="C2799" s="2" t="str">
        <x:v>Hà Nội</x:v>
      </x:c>
      <x:c r="D2799" s="2" t="str">
        <x:v>Quận Hà Đông</x:v>
      </x:c>
      <x:c r="E2799" s="2" t="str">
        <x:v>other_unknown</x:v>
      </x:c>
      <x:c r="F2799" s="2" t="str">
        <x:v>sale_assumed</x:v>
      </x:c>
      <x:c r="G2799" s="11" t="n">
        <x:v>60</x:v>
      </x:c>
      <x:c r="H2799" s="12" t="n">
        <x:v>6750000000</x:v>
      </x:c>
      <x:c r="I2799" s="12" t="n">
        <x:v>112500000</x:v>
      </x:c>
      <x:c r="J2799" s="2" t="str">
        <x:v>total</x:v>
      </x:c>
      <x:c r="K2799" s="2" t="str">
        <x:v>top_level_area</x:v>
      </x:c>
      <x:c r="L2799" s="2" t="str">
        <x:v>property_type_inferred_from_title;transaction_assumed_sale_from_dataset_context;unknown_property_type</x:v>
      </x:c>
      <x:c r="M2799" s="10" t="n">
        <x:v>0</x:v>
      </x:c>
      <x:c r="N2799" s="10" t="n">
        <x:v>0</x:v>
      </x:c>
      <x:c r="O2799" s="2" t="str">
        <x:v>Hà Nội|other_unknown</x:v>
      </x:c>
      <x:c r="P2799" s="10" t="n">
        <x:v>2</x:v>
      </x:c>
      <x:c r="Q2799" s="13" t="n">
        <x:f>IF(H2799="","",H2799/1000000000)</x:f>
        <x:v>6.75</x:v>
      </x:c>
      <x:c r="R2799" s="13" t="n">
        <x:f>IF(I2799="","",I2799/1000000)</x:f>
        <x:v>112.5</x:v>
      </x:c>
    </x:row>
    <x:row r="2800" ht="21" customHeight="1">
      <x:c r="A2800" s="10" t="n">
        <x:v>3874</x:v>
      </x:c>
      <x:c r="B2800" s="2" t="str">
        <x:v>85ae821c36333f4c592d</x:v>
      </x:c>
      <x:c r="C2800" s="2" t="str">
        <x:v>Khánh Hòa</x:v>
      </x:c>
      <x:c r="D2800" s="2" t="str">
        <x:v>Thành phố Nha Trang</x:v>
      </x:c>
      <x:c r="E2800" s="2" t="str">
        <x:v>house</x:v>
      </x:c>
      <x:c r="F2800" s="2" t="str">
        <x:v>sale</x:v>
      </x:c>
      <x:c r="G2800" s="11" t="n">
        <x:v>100</x:v>
      </x:c>
      <x:c r="H2800" s="12" t="n">
        <x:v>1650000000</x:v>
      </x:c>
      <x:c r="I2800" s="12" t="n">
        <x:v>16500000</x:v>
      </x:c>
      <x:c r="J2800" s="2" t="str">
        <x:v>total</x:v>
      </x:c>
      <x:c r="K2800" s="2" t="str">
        <x:v>top_level_area</x:v>
      </x:c>
      <x:c r="L2800" s="2" t="str">
        <x:v>property_type_inferred_from_title</x:v>
      </x:c>
      <x:c r="M2800" s="10" t="n">
        <x:v>0</x:v>
      </x:c>
      <x:c r="N2800" s="10" t="n">
        <x:v>0</x:v>
      </x:c>
      <x:c r="O2800" s="2" t="str">
        <x:v>Khánh Hòa|house</x:v>
      </x:c>
      <x:c r="P2800" s="10" t="n">
        <x:v>2</x:v>
      </x:c>
      <x:c r="Q2800" s="13" t="n">
        <x:f>IF(H2800="","",H2800/1000000000)</x:f>
        <x:v>1.65</x:v>
      </x:c>
      <x:c r="R2800" s="13" t="n">
        <x:f>IF(I2800="","",I2800/1000000)</x:f>
        <x:v>16.5</x:v>
      </x:c>
    </x:row>
    <x:row r="2801" ht="21" customHeight="1">
      <x:c r="A2801" s="10" t="n">
        <x:v>3875</x:v>
      </x:c>
      <x:c r="B2801" s="2" t="str">
        <x:v>e64e0ac1fd9ca715445b</x:v>
      </x:c>
      <x:c r="C2801" s="2" t="str">
        <x:v>Tp Hồ Chí Minh</x:v>
      </x:c>
      <x:c r="D2801" s="2" t="str">
        <x:v>Quận Thủ Đức</x:v>
      </x:c>
      <x:c r="E2801" s="2" t="str">
        <x:v>other_unknown</x:v>
      </x:c>
      <x:c r="F2801" s="2" t="str">
        <x:v>sale_assumed</x:v>
      </x:c>
      <x:c r="G2801" s="11" t="n">
        <x:v>106</x:v>
      </x:c>
      <x:c r="H2801" s="12" t="n">
        <x:v>8500000000</x:v>
      </x:c>
      <x:c r="I2801" s="12" t="n">
        <x:v>80188679.24528302</x:v>
      </x:c>
      <x:c r="J2801" s="2" t="str">
        <x:v>total</x:v>
      </x:c>
      <x:c r="K2801" s="2" t="str">
        <x:v>top_level_area</x:v>
      </x:c>
      <x:c r="L2801" s="2" t="str">
        <x:v>property_type_inferred_from_title;transaction_assumed_sale_from_dataset_context;unknown_property_type</x:v>
      </x:c>
      <x:c r="M2801" s="10" t="n">
        <x:v>0</x:v>
      </x:c>
      <x:c r="N2801" s="10" t="n">
        <x:v>0</x:v>
      </x:c>
      <x:c r="O2801" s="2" t="str">
        <x:v>Tp Hồ Chí Minh|other_unknown</x:v>
      </x:c>
      <x:c r="P2801" s="10" t="n">
        <x:v>2</x:v>
      </x:c>
      <x:c r="Q2801" s="13" t="n">
        <x:f>IF(H2801="","",H2801/1000000000)</x:f>
        <x:v>8.5</x:v>
      </x:c>
      <x:c r="R2801" s="13" t="n">
        <x:f>IF(I2801="","",I2801/1000000)</x:f>
        <x:v>80.18867924528303</x:v>
      </x:c>
    </x:row>
    <x:row r="2802" ht="21" customHeight="1">
      <x:c r="A2802" s="10" t="n">
        <x:v>3876</x:v>
      </x:c>
      <x:c r="B2802" s="2" t="str">
        <x:v>4982e247db5fe088f5af</x:v>
      </x:c>
      <x:c r="C2802" s="2" t="str">
        <x:v>Tp Hồ Chí Minh</x:v>
      </x:c>
      <x:c r="D2802" s="2" t="str">
        <x:v>Huyện Nhà Bè</x:v>
      </x:c>
      <x:c r="E2802" s="2" t="str">
        <x:v>house</x:v>
      </x:c>
      <x:c r="F2802" s="2" t="str">
        <x:v>sale</x:v>
      </x:c>
      <x:c r="G2802" s="11" t="n">
        <x:v>20</x:v>
      </x:c>
      <x:c r="H2802" s="12" t="n">
        <x:v>1420000000</x:v>
      </x:c>
      <x:c r="I2802" s="12" t="n">
        <x:v>71000000</x:v>
      </x:c>
      <x:c r="J2802" s="2" t="str">
        <x:v>total</x:v>
      </x:c>
      <x:c r="K2802" s="2" t="str">
        <x:v>top_level_area</x:v>
      </x:c>
      <x:c r="L2802" s="2" t="str">
        <x:v>property_type_inferred_from_title</x:v>
      </x:c>
      <x:c r="M2802" s="10" t="n">
        <x:v>0</x:v>
      </x:c>
      <x:c r="N2802" s="10" t="n">
        <x:v>0</x:v>
      </x:c>
      <x:c r="O2802" s="2" t="str">
        <x:v>Tp Hồ Chí Minh|house</x:v>
      </x:c>
      <x:c r="P2802" s="10" t="n">
        <x:v>2</x:v>
      </x:c>
      <x:c r="Q2802" s="13" t="n">
        <x:f>IF(H2802="","",H2802/1000000000)</x:f>
        <x:v>1.42</x:v>
      </x:c>
      <x:c r="R2802" s="13" t="n">
        <x:f>IF(I2802="","",I2802/1000000)</x:f>
        <x:v>71</x:v>
      </x:c>
    </x:row>
    <x:row r="2803" ht="21" customHeight="1">
      <x:c r="A2803" s="10" t="n">
        <x:v>3877</x:v>
      </x:c>
      <x:c r="B2803" s="2" t="str">
        <x:v>4f7b9235c5079777ef12</x:v>
      </x:c>
      <x:c r="C2803" s="2" t="str">
        <x:v>Tp Hồ Chí Minh</x:v>
      </x:c>
      <x:c r="D2803" s="2" t="str">
        <x:v>Quận 4</x:v>
      </x:c>
      <x:c r="E2803" s="2" t="str">
        <x:v>other_unknown</x:v>
      </x:c>
      <x:c r="F2803" s="2" t="str">
        <x:v>sale_assumed</x:v>
      </x:c>
      <x:c r="G2803" s="11" t="n">
        <x:v>60</x:v>
      </x:c>
      <x:c r="H2803" s="12" t="n">
        <x:v>3400000000</x:v>
      </x:c>
      <x:c r="I2803" s="12" t="n">
        <x:v>56666666.666666664</x:v>
      </x:c>
      <x:c r="J2803" s="2" t="str">
        <x:v>total</x:v>
      </x:c>
      <x:c r="K2803" s="2" t="str">
        <x:v>top_level_area</x:v>
      </x:c>
      <x:c r="L2803" s="2" t="str">
        <x:v>property_type_inferred_from_title;transaction_assumed_sale_from_dataset_context;unknown_property_type</x:v>
      </x:c>
      <x:c r="M2803" s="10" t="n">
        <x:v>0</x:v>
      </x:c>
      <x:c r="N2803" s="10" t="n">
        <x:v>0</x:v>
      </x:c>
      <x:c r="O2803" s="2" t="str">
        <x:v>Tp Hồ Chí Minh|other_unknown</x:v>
      </x:c>
      <x:c r="P2803" s="10" t="n">
        <x:v>2</x:v>
      </x:c>
      <x:c r="Q2803" s="13" t="n">
        <x:f>IF(H2803="","",H2803/1000000000)</x:f>
        <x:v>3.4</x:v>
      </x:c>
      <x:c r="R2803" s="13" t="n">
        <x:f>IF(I2803="","",I2803/1000000)</x:f>
        <x:v>56.666666666666664</x:v>
      </x:c>
    </x:row>
    <x:row r="2804" ht="21" customHeight="1">
      <x:c r="A2804" s="10" t="n">
        <x:v>3878</x:v>
      </x:c>
      <x:c r="B2804" s="2" t="str">
        <x:v>4afeacc8076e4d81f35f</x:v>
      </x:c>
      <x:c r="C2804" s="2" t="str">
        <x:v>Bình Dương</x:v>
      </x:c>
      <x:c r="D2804" s="2" t="str">
        <x:v>Thị xã Thuận An</x:v>
      </x:c>
      <x:c r="E2804" s="2" t="str">
        <x:v>other_unknown</x:v>
      </x:c>
      <x:c r="F2804" s="2" t="str">
        <x:v>sale</x:v>
      </x:c>
      <x:c r="G2804" s="11" t="n">
        <x:v>3500</x:v>
      </x:c>
      <x:c r="H2804" s="12" t="n">
        <x:v>45000000000</x:v>
      </x:c>
      <x:c r="I2804" s="12" t="n">
        <x:v>12857142.857142856</x:v>
      </x:c>
      <x:c r="J2804" s="2" t="str">
        <x:v>total</x:v>
      </x:c>
      <x:c r="K2804" s="2" t="str">
        <x:v>top_level_area</x:v>
      </x:c>
      <x:c r="L2804" s="2" t="str">
        <x:v>dot_thousands_convention;property_type_inferred_from_title;unknown_property_type</x:v>
      </x:c>
      <x:c r="M2804" s="10" t="n">
        <x:v>0</x:v>
      </x:c>
      <x:c r="N2804" s="10" t="n">
        <x:v>0</x:v>
      </x:c>
      <x:c r="O2804" s="2" t="str">
        <x:v>Bình Dương|other_unknown</x:v>
      </x:c>
      <x:c r="P2804" s="10" t="n">
        <x:v>1</x:v>
      </x:c>
      <x:c r="Q2804" s="13" t="n">
        <x:f>IF(H2804="","",H2804/1000000000)</x:f>
        <x:v>45</x:v>
      </x:c>
      <x:c r="R2804" s="13" t="n">
        <x:f>IF(I2804="","",I2804/1000000)</x:f>
        <x:v>12.857142857142856</x:v>
      </x:c>
    </x:row>
    <x:row r="2805" ht="21" customHeight="1">
      <x:c r="A2805" s="10" t="n">
        <x:v>3879</x:v>
      </x:c>
      <x:c r="B2805" s="2" t="str">
        <x:v>45cbc483d53d771cc34d</x:v>
      </x:c>
      <x:c r="C2805" s="2" t="str">
        <x:v>Tp Hồ Chí Minh</x:v>
      </x:c>
      <x:c r="D2805" s="2" t="str">
        <x:v>Quận 9</x:v>
      </x:c>
      <x:c r="E2805" s="2" t="str">
        <x:v>land</x:v>
      </x:c>
      <x:c r="F2805" s="2" t="str">
        <x:v>sale_assumed</x:v>
      </x:c>
      <x:c r="G2805" s="11" t="n">
        <x:v>50</x:v>
      </x:c>
      <x:c r="H2805" s="12" t="n">
        <x:v>3000000000</x:v>
      </x:c>
      <x:c r="I2805" s="12" t="n">
        <x:v>60000000</x:v>
      </x:c>
      <x:c r="J2805" s="2" t="str">
        <x:v>total</x:v>
      </x:c>
      <x:c r="K2805" s="2" t="str">
        <x:v>top_level_price_embedded_area</x:v>
      </x:c>
      <x:c r="L2805" s="2" t="str">
        <x:v>area_recovered_from_price_text;property_type_inferred_from_title;transaction_assumed_sale_from_dataset_context</x:v>
      </x:c>
      <x:c r="M2805" s="10" t="n">
        <x:v>0</x:v>
      </x:c>
      <x:c r="N2805" s="10" t="n">
        <x:v>0</x:v>
      </x:c>
      <x:c r="O2805" s="2" t="str">
        <x:v>Tp Hồ Chí Minh|land</x:v>
      </x:c>
      <x:c r="P2805" s="10" t="n">
        <x:v>2</x:v>
      </x:c>
      <x:c r="Q2805" s="13" t="n">
        <x:f>IF(H2805="","",H2805/1000000000)</x:f>
        <x:v>3</x:v>
      </x:c>
      <x:c r="R2805" s="13" t="n">
        <x:f>IF(I2805="","",I2805/1000000)</x:f>
        <x:v>60</x:v>
      </x:c>
    </x:row>
    <x:row r="2806" ht="21" customHeight="1">
      <x:c r="A2806" s="10" t="n">
        <x:v>3880</x:v>
      </x:c>
      <x:c r="B2806" s="2" t="str">
        <x:v>d1b7eb550d665f1796de</x:v>
      </x:c>
      <x:c r="C2806" s="2" t="str">
        <x:v>Khánh Hòa</x:v>
      </x:c>
      <x:c r="D2806" s="2" t="str">
        <x:v>Thành phố Nha Trang</x:v>
      </x:c>
      <x:c r="E2806" s="2" t="str">
        <x:v>house</x:v>
      </x:c>
      <x:c r="F2806" s="2" t="str">
        <x:v>sale</x:v>
      </x:c>
      <x:c r="G2806" s="11" t="n">
        <x:v>60</x:v>
      </x:c>
      <x:c r="H2806" s="12" t="n">
        <x:v>3900000000</x:v>
      </x:c>
      <x:c r="I2806" s="12" t="n">
        <x:v>65000000</x:v>
      </x:c>
      <x:c r="J2806" s="2" t="str">
        <x:v>total</x:v>
      </x:c>
      <x:c r="K2806" s="2" t="str">
        <x:v>top_level_area</x:v>
      </x:c>
      <x:c r="L2806" s="2" t="str">
        <x:v>property_type_inferred_from_title</x:v>
      </x:c>
      <x:c r="M2806" s="10" t="n">
        <x:v>0</x:v>
      </x:c>
      <x:c r="N2806" s="10" t="n">
        <x:v>0</x:v>
      </x:c>
      <x:c r="O2806" s="2" t="str">
        <x:v>Khánh Hòa|house</x:v>
      </x:c>
      <x:c r="P2806" s="10" t="n">
        <x:v>2</x:v>
      </x:c>
      <x:c r="Q2806" s="13" t="n">
        <x:f>IF(H2806="","",H2806/1000000000)</x:f>
        <x:v>3.9</x:v>
      </x:c>
      <x:c r="R2806" s="13" t="n">
        <x:f>IF(I2806="","",I2806/1000000)</x:f>
        <x:v>65</x:v>
      </x:c>
    </x:row>
    <x:row r="2807" ht="21" customHeight="1">
      <x:c r="A2807" s="10" t="n">
        <x:v>3881</x:v>
      </x:c>
      <x:c r="B2807" s="2" t="str">
        <x:v>46a9c24412bf4806d97f</x:v>
      </x:c>
      <x:c r="C2807" s="2" t="str">
        <x:v>Tp Hồ Chí Minh</x:v>
      </x:c>
      <x:c r="D2807" s="2" t="str">
        <x:v>Quận Thủ Đức</x:v>
      </x:c>
      <x:c r="E2807" s="2" t="str">
        <x:v>house</x:v>
      </x:c>
      <x:c r="F2807" s="2" t="str">
        <x:v>sale</x:v>
      </x:c>
      <x:c r="G2807" s="11" t="n">
        <x:v>139</x:v>
      </x:c>
      <x:c r="H2807" s="12" t="n">
        <x:v>4990000000</x:v>
      </x:c>
      <x:c r="I2807" s="12" t="n">
        <x:v>35899280.57553957</x:v>
      </x:c>
      <x:c r="J2807" s="2" t="str">
        <x:v>total</x:v>
      </x:c>
      <x:c r="K2807" s="2" t="str">
        <x:v>top_level_price_embedded_area</x:v>
      </x:c>
      <x:c r="L2807" s="2" t="str">
        <x:v>area_recovered_from_price_text;property_type_inferred_from_title</x:v>
      </x:c>
      <x:c r="M2807" s="10" t="n">
        <x:v>0</x:v>
      </x:c>
      <x:c r="N2807" s="10" t="n">
        <x:v>0</x:v>
      </x:c>
      <x:c r="O2807" s="2" t="str">
        <x:v>Tp Hồ Chí Minh|house</x:v>
      </x:c>
      <x:c r="P2807" s="10" t="n">
        <x:v>2</x:v>
      </x:c>
      <x:c r="Q2807" s="13" t="n">
        <x:f>IF(H2807="","",H2807/1000000000)</x:f>
        <x:v>4.99</x:v>
      </x:c>
      <x:c r="R2807" s="13" t="n">
        <x:f>IF(I2807="","",I2807/1000000)</x:f>
        <x:v>35.899280575539564</x:v>
      </x:c>
    </x:row>
    <x:row r="2808" ht="21" customHeight="1">
      <x:c r="A2808" s="10" t="n">
        <x:v>3882</x:v>
      </x:c>
      <x:c r="B2808" s="2" t="str">
        <x:v>aba6c8a7dfdc18ba59e6</x:v>
      </x:c>
      <x:c r="C2808" s="2" t="str">
        <x:v>Đắk Lắk</x:v>
      </x:c>
      <x:c r="D2808" s="2" t="str">
        <x:v>Thành phố Buôn Ma Thuột</x:v>
      </x:c>
      <x:c r="E2808" s="2" t="str">
        <x:v>house</x:v>
      </x:c>
      <x:c r="F2808" s="2" t="str">
        <x:v>sale</x:v>
      </x:c>
      <x:c r="G2808" s="11" t="n">
        <x:v>101</x:v>
      </x:c>
      <x:c r="H2808" s="12" t="n">
        <x:v>13000000000</x:v>
      </x:c>
      <x:c r="I2808" s="12" t="n">
        <x:v>128712871.28712872</x:v>
      </x:c>
      <x:c r="J2808" s="2" t="str">
        <x:v>total</x:v>
      </x:c>
      <x:c r="K2808" s="2" t="str">
        <x:v>top_level_area</x:v>
      </x:c>
      <x:c r="L2808" s="2" t="str">
        <x:v>property_type_inferred_from_title</x:v>
      </x:c>
      <x:c r="M2808" s="10" t="n">
        <x:v>0</x:v>
      </x:c>
      <x:c r="N2808" s="10" t="n">
        <x:v>1</x:v>
      </x:c>
      <x:c r="O2808" s="2" t="str">
        <x:v>Đắk Lắk|house</x:v>
      </x:c>
      <x:c r="P2808" s="10" t="n">
        <x:v>-1</x:v>
      </x:c>
      <x:c r="Q2808" s="13" t="n">
        <x:f>IF(H2808="","",H2808/1000000000)</x:f>
        <x:v>13</x:v>
      </x:c>
      <x:c r="R2808" s="13" t="n">
        <x:f>IF(I2808="","",I2808/1000000)</x:f>
        <x:v>128.7128712871287</x:v>
      </x:c>
    </x:row>
    <x:row r="2809" ht="21" customHeight="1">
      <x:c r="A2809" s="10" t="n">
        <x:v>3883</x:v>
      </x:c>
      <x:c r="B2809" s="2" t="str">
        <x:v>1db034c0a5726aea94c8</x:v>
      </x:c>
      <x:c r="C2809" s="2" t="str">
        <x:v>Long An</x:v>
      </x:c>
      <x:c r="D2809" s="2" t="str">
        <x:v>Thành phố Tân An</x:v>
      </x:c>
      <x:c r="E2809" s="2" t="str">
        <x:v>land</x:v>
      </x:c>
      <x:c r="F2809" s="2" t="str">
        <x:v>sale_assumed</x:v>
      </x:c>
      <x:c r="G2809" s="11" t="n">
        <x:v>1000</x:v>
      </x:c>
      <x:c r="H2809" s="12" t="n">
        <x:v>550000000</x:v>
      </x:c>
      <x:c r="I2809" s="12" t="n">
        <x:v>550000</x:v>
      </x:c>
      <x:c r="J2809" s="2" t="str">
        <x:v>total</x:v>
      </x:c>
      <x:c r="K2809" s="2" t="str">
        <x:v>top_level_area</x:v>
      </x:c>
      <x:c r="L2809" s="2" t="str">
        <x:v>dot_thousands_convention;property_type_inferred_from_title;transaction_assumed_sale_from_dataset_context</x:v>
      </x:c>
      <x:c r="M2809" s="10" t="n">
        <x:v>0</x:v>
      </x:c>
      <x:c r="N2809" s="10" t="n">
        <x:v>0</x:v>
      </x:c>
      <x:c r="O2809" s="2" t="str">
        <x:v>Long An|land</x:v>
      </x:c>
      <x:c r="P2809" s="10" t="n">
        <x:v>1</x:v>
      </x:c>
      <x:c r="Q2809" s="13" t="n">
        <x:f>IF(H2809="","",H2809/1000000000)</x:f>
        <x:v>0.55</x:v>
      </x:c>
      <x:c r="R2809" s="13" t="n">
        <x:f>IF(I2809="","",I2809/1000000)</x:f>
        <x:v>0.55</x:v>
      </x:c>
    </x:row>
    <x:row r="2810" ht="21" customHeight="1">
      <x:c r="A2810" s="10" t="n">
        <x:v>3884</x:v>
      </x:c>
      <x:c r="B2810" s="2" t="str">
        <x:v>bf3bd64fccdc6496b296</x:v>
      </x:c>
      <x:c r="C2810" s="2" t="str">
        <x:v>Tp Hồ Chí Minh</x:v>
      </x:c>
      <x:c r="D2810" s="2" t="str">
        <x:v>Quận 4</x:v>
      </x:c>
      <x:c r="E2810" s="2" t="str">
        <x:v>house</x:v>
      </x:c>
      <x:c r="F2810" s="2" t="str">
        <x:v>sale</x:v>
      </x:c>
      <x:c r="G2810" s="11" t="n">
        <x:v>62</x:v>
      </x:c>
      <x:c r="H2810" s="12" t="n">
        <x:v>8199999999.999999</x:v>
      </x:c>
      <x:c r="I2810" s="12" t="n">
        <x:v>132258064.51612902</x:v>
      </x:c>
      <x:c r="J2810" s="2" t="str">
        <x:v>total</x:v>
      </x:c>
      <x:c r="K2810" s="2" t="str">
        <x:v>top_level_area</x:v>
      </x:c>
      <x:c r="L2810" s="2" t="str">
        <x:v>property_type_inferred_from_title</x:v>
      </x:c>
      <x:c r="M2810" s="10" t="n">
        <x:v>0</x:v>
      </x:c>
      <x:c r="N2810" s="10" t="n">
        <x:v>0</x:v>
      </x:c>
      <x:c r="O2810" s="2" t="str">
        <x:v>Tp Hồ Chí Minh|house</x:v>
      </x:c>
      <x:c r="P2810" s="10" t="n">
        <x:v>2</x:v>
      </x:c>
      <x:c r="Q2810" s="13" t="n">
        <x:f>IF(H2810="","",H2810/1000000000)</x:f>
        <x:v>8.2</x:v>
      </x:c>
      <x:c r="R2810" s="13" t="n">
        <x:f>IF(I2810="","",I2810/1000000)</x:f>
        <x:v>132.25806451612902</x:v>
      </x:c>
    </x:row>
    <x:row r="2811" ht="21" customHeight="1">
      <x:c r="A2811" s="10" t="n">
        <x:v>3885</x:v>
      </x:c>
      <x:c r="B2811" s="2" t="str">
        <x:v>c54b50f97d0de8e21abf</x:v>
      </x:c>
      <x:c r="C2811" s="2" t="str">
        <x:v>Hà Nội</x:v>
      </x:c>
      <x:c r="D2811" s="2" t="str">
        <x:v>Quận Hoàng Mai</x:v>
      </x:c>
      <x:c r="E2811" s="2" t="str">
        <x:v>house</x:v>
      </x:c>
      <x:c r="F2811" s="2" t="str">
        <x:v>sale</x:v>
      </x:c>
      <x:c r="G2811" s="11" t="n">
        <x:v>33</x:v>
      </x:c>
      <x:c r="H2811" s="12" t="n">
        <x:v>2000000000</x:v>
      </x:c>
      <x:c r="I2811" s="12" t="n">
        <x:v>60606060.60606061</x:v>
      </x:c>
      <x:c r="J2811" s="2" t="str">
        <x:v>total</x:v>
      </x:c>
      <x:c r="K2811" s="2" t="str">
        <x:v>top_level_area</x:v>
      </x:c>
      <x:c r="L2811" s="2" t="str">
        <x:v>property_type_inferred_from_title</x:v>
      </x:c>
      <x:c r="M2811" s="10" t="n">
        <x:v>0</x:v>
      </x:c>
      <x:c r="N2811" s="10" t="n">
        <x:v>0</x:v>
      </x:c>
      <x:c r="O2811" s="2" t="str">
        <x:v>Hà Nội|house</x:v>
      </x:c>
      <x:c r="P2811" s="10" t="n">
        <x:v>2</x:v>
      </x:c>
      <x:c r="Q2811" s="13" t="n">
        <x:f>IF(H2811="","",H2811/1000000000)</x:f>
        <x:v>2</x:v>
      </x:c>
      <x:c r="R2811" s="13" t="n">
        <x:f>IF(I2811="","",I2811/1000000)</x:f>
        <x:v>60.60606060606061</x:v>
      </x:c>
    </x:row>
    <x:row r="2812" ht="21" customHeight="1">
      <x:c r="A2812" s="10" t="n">
        <x:v>3886</x:v>
      </x:c>
      <x:c r="B2812" s="2" t="str">
        <x:v>94ccad3a933e2e8195ba</x:v>
      </x:c>
      <x:c r="C2812" s="2" t="str">
        <x:v>Đồng Nai</x:v>
      </x:c>
      <x:c r="D2812" s="2" t="str">
        <x:v>Thành phố Biên Hòa</x:v>
      </x:c>
      <x:c r="E2812" s="2" t="str">
        <x:v>apartment</x:v>
      </x:c>
      <x:c r="F2812" s="2" t="str">
        <x:v>sale</x:v>
      </x:c>
      <x:c r="G2812" s="11" t="n">
        <x:v>73</x:v>
      </x:c>
      <x:c r="H2812" s="12" t="n">
        <x:v>1950000000</x:v>
      </x:c>
      <x:c r="I2812" s="12" t="n">
        <x:v>26712328.76712329</x:v>
      </x:c>
      <x:c r="J2812" s="2" t="str">
        <x:v>total</x:v>
      </x:c>
      <x:c r="K2812" s="2" t="str">
        <x:v>top_level_area</x:v>
      </x:c>
      <x:c r="L2812" s="2" t="str">
        <x:v>property_type_inferred_from_title</x:v>
      </x:c>
      <x:c r="M2812" s="10" t="n">
        <x:v>0</x:v>
      </x:c>
      <x:c r="N2812" s="10" t="n">
        <x:v>0</x:v>
      </x:c>
      <x:c r="O2812" s="2" t="str">
        <x:v>apartment</x:v>
      </x:c>
      <x:c r="P2812" s="10" t="n">
        <x:v>2</x:v>
      </x:c>
      <x:c r="Q2812" s="13" t="n">
        <x:f>IF(H2812="","",H2812/1000000000)</x:f>
        <x:v>1.95</x:v>
      </x:c>
      <x:c r="R2812" s="13" t="n">
        <x:f>IF(I2812="","",I2812/1000000)</x:f>
        <x:v>26.71232876712329</x:v>
      </x:c>
    </x:row>
    <x:row r="2813" ht="21" customHeight="1">
      <x:c r="A2813" s="10" t="n">
        <x:v>3887</x:v>
      </x:c>
      <x:c r="B2813" s="2" t="str">
        <x:v>592a0fb2e7b8010c6632</x:v>
      </x:c>
      <x:c r="C2813" s="2" t="str">
        <x:v>Hà Nội</x:v>
      </x:c>
      <x:c r="D2813" s="2" t="str">
        <x:v>Quận Hà Đông</x:v>
      </x:c>
      <x:c r="E2813" s="2" t="str">
        <x:v>house</x:v>
      </x:c>
      <x:c r="F2813" s="2" t="str">
        <x:v>sale</x:v>
      </x:c>
      <x:c r="G2813" s="11" t="n">
        <x:v>41</x:v>
      </x:c>
      <x:c r="H2813" s="12" t="n">
        <x:v>3750000000</x:v>
      </x:c>
      <x:c r="I2813" s="12" t="n">
        <x:v>91463414.63414635</x:v>
      </x:c>
      <x:c r="J2813" s="2" t="str">
        <x:v>total</x:v>
      </x:c>
      <x:c r="K2813" s="2" t="str">
        <x:v>top_level_area</x:v>
      </x:c>
      <x:c r="L2813" s="2" t="str">
        <x:v>property_type_inferred_from_title</x:v>
      </x:c>
      <x:c r="M2813" s="10" t="n">
        <x:v>0</x:v>
      </x:c>
      <x:c r="N2813" s="10" t="n">
        <x:v>0</x:v>
      </x:c>
      <x:c r="O2813" s="2" t="str">
        <x:v>Hà Nội|house</x:v>
      </x:c>
      <x:c r="P2813" s="10" t="n">
        <x:v>2</x:v>
      </x:c>
      <x:c r="Q2813" s="13" t="n">
        <x:f>IF(H2813="","",H2813/1000000000)</x:f>
        <x:v>3.75</x:v>
      </x:c>
      <x:c r="R2813" s="13" t="n">
        <x:f>IF(I2813="","",I2813/1000000)</x:f>
        <x:v>91.46341463414635</x:v>
      </x:c>
    </x:row>
    <x:row r="2814" ht="21" customHeight="1">
      <x:c r="A2814" s="10" t="n">
        <x:v>3888</x:v>
      </x:c>
      <x:c r="B2814" s="2" t="str">
        <x:v>cdf10099c0dae1e82a99</x:v>
      </x:c>
      <x:c r="C2814" s="2" t="str">
        <x:v>Tp Hồ Chí Minh</x:v>
      </x:c>
      <x:c r="D2814" s="2" t="str">
        <x:v>Quận Bình Tân</x:v>
      </x:c>
      <x:c r="E2814" s="2" t="str">
        <x:v>house</x:v>
      </x:c>
      <x:c r="F2814" s="2" t="str">
        <x:v>sale</x:v>
      </x:c>
      <x:c r="G2814" s="11" t="n">
        <x:v>36</x:v>
      </x:c>
      <x:c r="H2814" s="12" t="n">
        <x:v>1460000000</x:v>
      </x:c>
      <x:c r="I2814" s="12" t="n">
        <x:v>40555555.55555555</x:v>
      </x:c>
      <x:c r="J2814" s="2" t="str">
        <x:v>total</x:v>
      </x:c>
      <x:c r="K2814" s="2" t="str">
        <x:v>top_level_area</x:v>
      </x:c>
      <x:c r="L2814" s="2" t="str">
        <x:v>property_type_inferred_from_title</x:v>
      </x:c>
      <x:c r="M2814" s="10" t="n">
        <x:v>0</x:v>
      </x:c>
      <x:c r="N2814" s="10" t="n">
        <x:v>0</x:v>
      </x:c>
      <x:c r="O2814" s="2" t="str">
        <x:v>Tp Hồ Chí Minh|house</x:v>
      </x:c>
      <x:c r="P2814" s="10" t="n">
        <x:v>2</x:v>
      </x:c>
      <x:c r="Q2814" s="13" t="n">
        <x:f>IF(H2814="","",H2814/1000000000)</x:f>
        <x:v>1.46</x:v>
      </x:c>
      <x:c r="R2814" s="13" t="n">
        <x:f>IF(I2814="","",I2814/1000000)</x:f>
        <x:v>40.55555555555555</x:v>
      </x:c>
    </x:row>
    <x:row r="2815" ht="21" customHeight="1">
      <x:c r="A2815" s="10" t="n">
        <x:v>3889</x:v>
      </x:c>
      <x:c r="B2815" s="2" t="str">
        <x:v>995bd10f3e1b659eaaaf</x:v>
      </x:c>
      <x:c r="C2815" s="2" t="str">
        <x:v>Cần Thơ</x:v>
      </x:c>
      <x:c r="D2815" s="2" t="str">
        <x:v>Quận Cái Răng</x:v>
      </x:c>
      <x:c r="E2815" s="2" t="str">
        <x:v>land</x:v>
      </x:c>
      <x:c r="F2815" s="2" t="str">
        <x:v>sale_assumed</x:v>
      </x:c>
      <x:c r="G2815" s="11" t="n">
        <x:v>112</x:v>
      </x:c>
      <x:c r="H2815" s="12" t="n">
        <x:v>2700000000</x:v>
      </x:c>
      <x:c r="I2815" s="12" t="n">
        <x:v>24107142.85714286</x:v>
      </x:c>
      <x:c r="J2815" s="2" t="str">
        <x:v>total</x:v>
      </x:c>
      <x:c r="K2815" s="2" t="str">
        <x:v>top_level_area</x:v>
      </x:c>
      <x:c r="L2815" s="2" t="str">
        <x:v>property_type_inferred_from_title;transaction_assumed_sale_from_dataset_context</x:v>
      </x:c>
      <x:c r="M2815" s="10" t="n">
        <x:v>0</x:v>
      </x:c>
      <x:c r="N2815" s="10" t="n">
        <x:v>0</x:v>
      </x:c>
      <x:c r="O2815" s="2" t="str">
        <x:v>Cần Thơ|land</x:v>
      </x:c>
      <x:c r="P2815" s="10" t="n">
        <x:v>2</x:v>
      </x:c>
      <x:c r="Q2815" s="13" t="n">
        <x:f>IF(H2815="","",H2815/1000000000)</x:f>
        <x:v>2.7</x:v>
      </x:c>
      <x:c r="R2815" s="13" t="n">
        <x:f>IF(I2815="","",I2815/1000000)</x:f>
        <x:v>24.107142857142858</x:v>
      </x:c>
    </x:row>
    <x:row r="2816" ht="21" customHeight="1">
      <x:c r="A2816" s="10" t="n">
        <x:v>3892</x:v>
      </x:c>
      <x:c r="B2816" s="2" t="str">
        <x:v>7b91b4e6f5ca8f471531</x:v>
      </x:c>
      <x:c r="C2816" s="2" t="str">
        <x:v>Cần Thơ</x:v>
      </x:c>
      <x:c r="D2816" s="2" t="str">
        <x:v>Huyện Phong Điền</x:v>
      </x:c>
      <x:c r="E2816" s="2" t="str">
        <x:v>house</x:v>
      </x:c>
      <x:c r="F2816" s="2" t="str">
        <x:v>sale_assumed</x:v>
      </x:c>
      <x:c r="G2816" s="11" t="n">
        <x:v>100</x:v>
      </x:c>
      <x:c r="H2816" s="12" t="n">
        <x:v>550000000</x:v>
      </x:c>
      <x:c r="I2816" s="12" t="n">
        <x:v>5500000</x:v>
      </x:c>
      <x:c r="J2816" s="2" t="str">
        <x:v>total</x:v>
      </x:c>
      <x:c r="K2816" s="2" t="str">
        <x:v>top_level_area</x:v>
      </x:c>
      <x:c r="L2816" s="2" t="str">
        <x:v>property_type_inferred_from_title;transaction_assumed_sale_from_dataset_context</x:v>
      </x:c>
      <x:c r="M2816" s="10" t="n">
        <x:v>0</x:v>
      </x:c>
      <x:c r="N2816" s="10" t="n">
        <x:v>0</x:v>
      </x:c>
      <x:c r="O2816" s="2" t="str">
        <x:v>Cần Thơ|house</x:v>
      </x:c>
      <x:c r="P2816" s="10" t="n">
        <x:v>2</x:v>
      </x:c>
      <x:c r="Q2816" s="13" t="n">
        <x:f>IF(H2816="","",H2816/1000000000)</x:f>
        <x:v>0.55</x:v>
      </x:c>
      <x:c r="R2816" s="13" t="n">
        <x:f>IF(I2816="","",I2816/1000000)</x:f>
        <x:v>5.5</x:v>
      </x:c>
    </x:row>
    <x:row r="2817" ht="21" customHeight="1">
      <x:c r="A2817" s="10" t="n">
        <x:v>3893</x:v>
      </x:c>
      <x:c r="B2817" s="2" t="str">
        <x:v>146d25fbe954eb679803</x:v>
      </x:c>
      <x:c r="C2817" s="2" t="str">
        <x:v>Hà Nội</x:v>
      </x:c>
      <x:c r="D2817" s="2" t="str">
        <x:v>Quận Nam Từ Liêm</x:v>
      </x:c>
      <x:c r="E2817" s="2" t="str">
        <x:v>house</x:v>
      </x:c>
      <x:c r="F2817" s="2" t="str">
        <x:v>sale_assumed</x:v>
      </x:c>
      <x:c r="G2817" s="11" t="n">
        <x:v>55</x:v>
      </x:c>
      <x:c r="H2817" s="12" t="n">
        <x:v>3750000000</x:v>
      </x:c>
      <x:c r="I2817" s="12" t="n">
        <x:v>68181818.18181819</x:v>
      </x:c>
      <x:c r="J2817" s="2" t="str">
        <x:v>total</x:v>
      </x:c>
      <x:c r="K2817" s="2" t="str">
        <x:v>top_level_area</x:v>
      </x:c>
      <x:c r="L2817" s="2" t="str">
        <x:v>property_type_inferred_from_title;transaction_assumed_sale_from_dataset_context</x:v>
      </x:c>
      <x:c r="M2817" s="10" t="n">
        <x:v>0</x:v>
      </x:c>
      <x:c r="N2817" s="10" t="n">
        <x:v>0</x:v>
      </x:c>
      <x:c r="O2817" s="2" t="str">
        <x:v>Hà Nội|house</x:v>
      </x:c>
      <x:c r="P2817" s="10" t="n">
        <x:v>2</x:v>
      </x:c>
      <x:c r="Q2817" s="13" t="n">
        <x:f>IF(H2817="","",H2817/1000000000)</x:f>
        <x:v>3.75</x:v>
      </x:c>
      <x:c r="R2817" s="13" t="n">
        <x:f>IF(I2817="","",I2817/1000000)</x:f>
        <x:v>68.18181818181819</x:v>
      </x:c>
    </x:row>
    <x:row r="2818" ht="21" customHeight="1">
      <x:c r="A2818" s="10" t="n">
        <x:v>3894</x:v>
      </x:c>
      <x:c r="B2818" s="2" t="str">
        <x:v>2e5c817b679f221a9023</x:v>
      </x:c>
      <x:c r="C2818" s="2" t="str">
        <x:v>Đà Nẵng</x:v>
      </x:c>
      <x:c r="D2818" s="2" t="str">
        <x:v>Quận Sơn Trà</x:v>
      </x:c>
      <x:c r="E2818" s="2" t="str">
        <x:v>house</x:v>
      </x:c>
      <x:c r="F2818" s="2" t="str">
        <x:v>sale_assumed</x:v>
      </x:c>
      <x:c r="G2818" s="11" t="n">
        <x:v>61</x:v>
      </x:c>
      <x:c r="H2818" s="12" t="n">
        <x:v>2450000000</x:v>
      </x:c>
      <x:c r="I2818" s="12" t="n">
        <x:v>40163934.42622951</x:v>
      </x:c>
      <x:c r="J2818" s="2" t="str">
        <x:v>total</x:v>
      </x:c>
      <x:c r="K2818" s="2" t="str">
        <x:v>top_level_area</x:v>
      </x:c>
      <x:c r="L2818" s="2" t="str">
        <x:v>property_type_inferred_from_title;transaction_assumed_sale_from_dataset_context</x:v>
      </x:c>
      <x:c r="M2818" s="10" t="n">
        <x:v>0</x:v>
      </x:c>
      <x:c r="N2818" s="10" t="n">
        <x:v>0</x:v>
      </x:c>
      <x:c r="O2818" s="2" t="str">
        <x:v>Đà Nẵng|house</x:v>
      </x:c>
      <x:c r="P2818" s="10" t="n">
        <x:v>2</x:v>
      </x:c>
      <x:c r="Q2818" s="13" t="n">
        <x:f>IF(H2818="","",H2818/1000000000)</x:f>
        <x:v>2.45</x:v>
      </x:c>
      <x:c r="R2818" s="13" t="n">
        <x:f>IF(I2818="","",I2818/1000000)</x:f>
        <x:v>40.16393442622951</x:v>
      </x:c>
    </x:row>
    <x:row r="2819" ht="21" customHeight="1">
      <x:c r="A2819" s="10" t="n">
        <x:v>3895</x:v>
      </x:c>
      <x:c r="B2819" s="2" t="str">
        <x:v>edad6b29ea8adc66a057</x:v>
      </x:c>
      <x:c r="C2819" s="2" t="str">
        <x:v>Tp Hồ Chí Minh</x:v>
      </x:c>
      <x:c r="D2819" s="2" t="str">
        <x:v>Quận Tân Phú</x:v>
      </x:c>
      <x:c r="E2819" s="2" t="str">
        <x:v>other_unknown</x:v>
      </x:c>
      <x:c r="F2819" s="2" t="str">
        <x:v>sale</x:v>
      </x:c>
      <x:c r="G2819" s="11" t="n">
        <x:v>84</x:v>
      </x:c>
      <x:c r="H2819" s="12" t="n">
        <x:v>6299000000</x:v>
      </x:c>
      <x:c r="I2819" s="12" t="n">
        <x:v>74988095.23809524</x:v>
      </x:c>
      <x:c r="J2819" s="2" t="str">
        <x:v>total</x:v>
      </x:c>
      <x:c r="K2819" s="2" t="str">
        <x:v>top_level_area</x:v>
      </x:c>
      <x:c r="L2819" s="2" t="str">
        <x:v>property_type_inferred_from_title;unknown_property_type</x:v>
      </x:c>
      <x:c r="M2819" s="10" t="n">
        <x:v>0</x:v>
      </x:c>
      <x:c r="N2819" s="10" t="n">
        <x:v>0</x:v>
      </x:c>
      <x:c r="O2819" s="2" t="str">
        <x:v>Tp Hồ Chí Minh|other_unknown</x:v>
      </x:c>
      <x:c r="P2819" s="10" t="n">
        <x:v>2</x:v>
      </x:c>
      <x:c r="Q2819" s="13" t="n">
        <x:f>IF(H2819="","",H2819/1000000000)</x:f>
        <x:v>6.299</x:v>
      </x:c>
      <x:c r="R2819" s="13" t="n">
        <x:f>IF(I2819="","",I2819/1000000)</x:f>
        <x:v>74.98809523809524</x:v>
      </x:c>
    </x:row>
    <x:row r="2820" ht="21" customHeight="1">
      <x:c r="A2820" s="10" t="n">
        <x:v>3896</x:v>
      </x:c>
      <x:c r="B2820" s="2" t="str">
        <x:v>656c82b31fa756bdffd2</x:v>
      </x:c>
      <x:c r="C2820" s="2" t="str">
        <x:v>Đà Nẵng</x:v>
      </x:c>
      <x:c r="D2820" s="2" t="str">
        <x:v>Quận Hải Châu</x:v>
      </x:c>
      <x:c r="E2820" s="2" t="str">
        <x:v>house</x:v>
      </x:c>
      <x:c r="F2820" s="2" t="str">
        <x:v>sale</x:v>
      </x:c>
      <x:c r="G2820" s="11" t="n">
        <x:v>62</x:v>
      </x:c>
      <x:c r="H2820" s="12" t="n">
        <x:v>2650999000</x:v>
      </x:c>
      <x:c r="I2820" s="12" t="n">
        <x:v>42758048.38709678</x:v>
      </x:c>
      <x:c r="J2820" s="2" t="str">
        <x:v>total</x:v>
      </x:c>
      <x:c r="K2820" s="2" t="str">
        <x:v>top_level_area</x:v>
      </x:c>
      <x:c r="L2820" s="2" t="str">
        <x:v>property_type_inferred_from_title</x:v>
      </x:c>
      <x:c r="M2820" s="10" t="n">
        <x:v>0</x:v>
      </x:c>
      <x:c r="N2820" s="10" t="n">
        <x:v>0</x:v>
      </x:c>
      <x:c r="O2820" s="2" t="str">
        <x:v>Đà Nẵng|house</x:v>
      </x:c>
      <x:c r="P2820" s="10" t="n">
        <x:v>2</x:v>
      </x:c>
      <x:c r="Q2820" s="13" t="n">
        <x:f>IF(H2820="","",H2820/1000000000)</x:f>
        <x:v>2.650999</x:v>
      </x:c>
      <x:c r="R2820" s="13" t="n">
        <x:f>IF(I2820="","",I2820/1000000)</x:f>
        <x:v>42.75804838709678</x:v>
      </x:c>
    </x:row>
    <x:row r="2821" ht="21" customHeight="1">
      <x:c r="A2821" s="10" t="n">
        <x:v>3898</x:v>
      </x:c>
      <x:c r="B2821" s="2" t="str">
        <x:v>8a24eb5318bafa8cd55c</x:v>
      </x:c>
      <x:c r="C2821" s="2" t="str">
        <x:v>Tp Hồ Chí Minh</x:v>
      </x:c>
      <x:c r="D2821" s="2" t="str">
        <x:v>Huyện Củ Chi</x:v>
      </x:c>
      <x:c r="E2821" s="2" t="str">
        <x:v>land</x:v>
      </x:c>
      <x:c r="F2821" s="2" t="str">
        <x:v>sale</x:v>
      </x:c>
      <x:c r="G2821" s="11" t="n">
        <x:v>205</x:v>
      </x:c>
      <x:c r="H2821" s="12" t="n">
        <x:v>2000000000</x:v>
      </x:c>
      <x:c r="I2821" s="12" t="n">
        <x:v>9756097.56097561</x:v>
      </x:c>
      <x:c r="J2821" s="2" t="str">
        <x:v>total</x:v>
      </x:c>
      <x:c r="K2821" s="2" t="str">
        <x:v>top_level_price_embedded_area</x:v>
      </x:c>
      <x:c r="L2821" s="2" t="str">
        <x:v>area_recovered_from_price_text;property_type_inferred_from_title</x:v>
      </x:c>
      <x:c r="M2821" s="10" t="n">
        <x:v>0</x:v>
      </x:c>
      <x:c r="N2821" s="10" t="n">
        <x:v>0</x:v>
      </x:c>
      <x:c r="O2821" s="2" t="str">
        <x:v>Tp Hồ Chí Minh|land</x:v>
      </x:c>
      <x:c r="P2821" s="10" t="n">
        <x:v>2</x:v>
      </x:c>
      <x:c r="Q2821" s="13" t="n">
        <x:f>IF(H2821="","",H2821/1000000000)</x:f>
        <x:v>2</x:v>
      </x:c>
      <x:c r="R2821" s="13" t="n">
        <x:f>IF(I2821="","",I2821/1000000)</x:f>
        <x:v>9.75609756097561</x:v>
      </x:c>
    </x:row>
    <x:row r="2822" ht="21" customHeight="1">
      <x:c r="A2822" s="10" t="n">
        <x:v>3899</x:v>
      </x:c>
      <x:c r="B2822" s="2" t="str">
        <x:v>2c99a93b672d5a654dae</x:v>
      </x:c>
      <x:c r="C2822" s="2" t="str">
        <x:v>Hà Nội</x:v>
      </x:c>
      <x:c r="D2822" s="2" t="str">
        <x:v>Quận Hà Đông</x:v>
      </x:c>
      <x:c r="E2822" s="2" t="str">
        <x:v>land</x:v>
      </x:c>
      <x:c r="F2822" s="2" t="str">
        <x:v>sale_assumed</x:v>
      </x:c>
      <x:c r="G2822" s="11" t="n">
        <x:v>50</x:v>
      </x:c>
      <x:c r="H2822" s="12" t="n">
        <x:v>4700000000</x:v>
      </x:c>
      <x:c r="I2822" s="12" t="n">
        <x:v>94000000</x:v>
      </x:c>
      <x:c r="J2822" s="2" t="str">
        <x:v>total</x:v>
      </x:c>
      <x:c r="K2822" s="2" t="str">
        <x:v>top_level_area</x:v>
      </x:c>
      <x:c r="L2822" s="2" t="str">
        <x:v>property_type_inferred_from_title;transaction_assumed_sale_from_dataset_context</x:v>
      </x:c>
      <x:c r="M2822" s="10" t="n">
        <x:v>0</x:v>
      </x:c>
      <x:c r="N2822" s="10" t="n">
        <x:v>0</x:v>
      </x:c>
      <x:c r="O2822" s="2" t="str">
        <x:v>Hà Nội|land</x:v>
      </x:c>
      <x:c r="P2822" s="10" t="n">
        <x:v>2</x:v>
      </x:c>
      <x:c r="Q2822" s="13" t="n">
        <x:f>IF(H2822="","",H2822/1000000000)</x:f>
        <x:v>4.7</x:v>
      </x:c>
      <x:c r="R2822" s="13" t="n">
        <x:f>IF(I2822="","",I2822/1000000)</x:f>
        <x:v>94</x:v>
      </x:c>
    </x:row>
    <x:row r="2823" ht="21" customHeight="1">
      <x:c r="A2823" s="10" t="n">
        <x:v>3900</x:v>
      </x:c>
      <x:c r="B2823" s="2" t="str">
        <x:v>d040b377b5e2c8208cb2</x:v>
      </x:c>
      <x:c r="C2823" s="2" t="str">
        <x:v>Hà Nội</x:v>
      </x:c>
      <x:c r="D2823" s="2" t="str">
        <x:v>Quận Tây Hồ</x:v>
      </x:c>
      <x:c r="E2823" s="2" t="str">
        <x:v>land</x:v>
      </x:c>
      <x:c r="F2823" s="2" t="str">
        <x:v>sale_assumed</x:v>
      </x:c>
      <x:c r="G2823" s="11" t="n">
        <x:v>86</x:v>
      </x:c>
      <x:c r="H2823" s="12" t="n">
        <x:v>6000000000</x:v>
      </x:c>
      <x:c r="I2823" s="12" t="n">
        <x:v>69767441.86046511</x:v>
      </x:c>
      <x:c r="J2823" s="2" t="str">
        <x:v>total</x:v>
      </x:c>
      <x:c r="K2823" s="2" t="str">
        <x:v>top_level_area</x:v>
      </x:c>
      <x:c r="L2823" s="2" t="str">
        <x:v>property_type_inferred_from_title;transaction_assumed_sale_from_dataset_context</x:v>
      </x:c>
      <x:c r="M2823" s="10" t="n">
        <x:v>0</x:v>
      </x:c>
      <x:c r="N2823" s="10" t="n">
        <x:v>0</x:v>
      </x:c>
      <x:c r="O2823" s="2" t="str">
        <x:v>Hà Nội|land</x:v>
      </x:c>
      <x:c r="P2823" s="10" t="n">
        <x:v>2</x:v>
      </x:c>
      <x:c r="Q2823" s="13" t="n">
        <x:f>IF(H2823="","",H2823/1000000000)</x:f>
        <x:v>6</x:v>
      </x:c>
      <x:c r="R2823" s="13" t="n">
        <x:f>IF(I2823="","",I2823/1000000)</x:f>
        <x:v>69.76744186046511</x:v>
      </x:c>
    </x:row>
    <x:row r="2824" ht="21" customHeight="1">
      <x:c r="A2824" s="10" t="n">
        <x:v>3901</x:v>
      </x:c>
      <x:c r="B2824" s="2" t="str">
        <x:v>3dd04034d7e4b10247bf</x:v>
      </x:c>
      <x:c r="C2824" s="2" t="str">
        <x:v>Tp Hồ Chí Minh</x:v>
      </x:c>
      <x:c r="D2824" s="2" t="str">
        <x:v>Quận Thủ Đức</x:v>
      </x:c>
      <x:c r="E2824" s="2" t="str">
        <x:v>house</x:v>
      </x:c>
      <x:c r="F2824" s="2" t="str">
        <x:v>sale</x:v>
      </x:c>
      <x:c r="G2824" s="11" t="n">
        <x:v>37</x:v>
      </x:c>
      <x:c r="H2824" s="12" t="n">
        <x:v>2750000000</x:v>
      </x:c>
      <x:c r="I2824" s="12" t="n">
        <x:v>74324324.32432432</x:v>
      </x:c>
      <x:c r="J2824" s="2" t="str">
        <x:v>total</x:v>
      </x:c>
      <x:c r="K2824" s="2" t="str">
        <x:v>top_level_area</x:v>
      </x:c>
      <x:c r="L2824" s="2" t="str">
        <x:v>property_type_inferred_from_title</x:v>
      </x:c>
      <x:c r="M2824" s="10" t="n">
        <x:v>0</x:v>
      </x:c>
      <x:c r="N2824" s="10" t="n">
        <x:v>0</x:v>
      </x:c>
      <x:c r="O2824" s="2" t="str">
        <x:v>Tp Hồ Chí Minh|house</x:v>
      </x:c>
      <x:c r="P2824" s="10" t="n">
        <x:v>2</x:v>
      </x:c>
      <x:c r="Q2824" s="13" t="n">
        <x:f>IF(H2824="","",H2824/1000000000)</x:f>
        <x:v>2.75</x:v>
      </x:c>
      <x:c r="R2824" s="13" t="n">
        <x:f>IF(I2824="","",I2824/1000000)</x:f>
        <x:v>74.32432432432432</x:v>
      </x:c>
    </x:row>
    <x:row r="2825" ht="21" customHeight="1">
      <x:c r="A2825" s="10" t="n">
        <x:v>3902</x:v>
      </x:c>
      <x:c r="B2825" s="2" t="str">
        <x:v>7cd909baac4e2c0f79eb</x:v>
      </x:c>
      <x:c r="C2825" s="2" t="str">
        <x:v>Hà Nội</x:v>
      </x:c>
      <x:c r="D2825" s="2" t="str">
        <x:v>Quận Ba Đình</x:v>
      </x:c>
      <x:c r="E2825" s="2" t="str">
        <x:v>house</x:v>
      </x:c>
      <x:c r="F2825" s="2" t="str">
        <x:v>sale_assumed</x:v>
      </x:c>
      <x:c r="G2825" s="11" t="n">
        <x:v>54</x:v>
      </x:c>
      <x:c r="H2825" s="12" t="n">
        <x:v>3500000000</x:v>
      </x:c>
      <x:c r="I2825" s="12" t="n">
        <x:v>64814814.81481481</x:v>
      </x:c>
      <x:c r="J2825" s="2" t="str">
        <x:v>total</x:v>
      </x:c>
      <x:c r="K2825" s="2" t="str">
        <x:v>top_level_area</x:v>
      </x:c>
      <x:c r="L2825" s="2" t="str">
        <x:v>property_type_inferred_from_title;transaction_assumed_sale_from_dataset_context</x:v>
      </x:c>
      <x:c r="M2825" s="10" t="n">
        <x:v>0</x:v>
      </x:c>
      <x:c r="N2825" s="10" t="n">
        <x:v>0</x:v>
      </x:c>
      <x:c r="O2825" s="2" t="str">
        <x:v>Hà Nội|house</x:v>
      </x:c>
      <x:c r="P2825" s="10" t="n">
        <x:v>2</x:v>
      </x:c>
      <x:c r="Q2825" s="13" t="n">
        <x:f>IF(H2825="","",H2825/1000000000)</x:f>
        <x:v>3.5</x:v>
      </x:c>
      <x:c r="R2825" s="13" t="n">
        <x:f>IF(I2825="","",I2825/1000000)</x:f>
        <x:v>64.81481481481481</x:v>
      </x:c>
    </x:row>
    <x:row r="2826" ht="21" customHeight="1">
      <x:c r="A2826" s="10" t="n">
        <x:v>3903</x:v>
      </x:c>
      <x:c r="B2826" s="2" t="str">
        <x:v>66ce90de6a43889489db</x:v>
      </x:c>
      <x:c r="C2826" s="2" t="str">
        <x:v>Bà Rịa - Vũng Tàu</x:v>
      </x:c>
      <x:c r="D2826" s="2" t="str">
        <x:v>Huyện Châu Đức</x:v>
      </x:c>
      <x:c r="E2826" s="2" t="str">
        <x:v>land</x:v>
      </x:c>
      <x:c r="F2826" s="2" t="str">
        <x:v>sale_assumed</x:v>
      </x:c>
      <x:c r="G2826" s="11" t="n">
        <x:v>5002</x:v>
      </x:c>
      <x:c r="H2826" s="12" t="n">
        <x:v>4000000000</x:v>
      </x:c>
      <x:c r="I2826" s="12" t="n">
        <x:v>799680.1279488205</x:v>
      </x:c>
      <x:c r="J2826" s="2" t="str">
        <x:v>total</x:v>
      </x:c>
      <x:c r="K2826" s="2" t="str">
        <x:v>top_level_area</x:v>
      </x:c>
      <x:c r="L2826" s="2" t="str">
        <x:v>dot_thousands_convention;property_type_inferred_from_title;transaction_assumed_sale_from_dataset_context</x:v>
      </x:c>
      <x:c r="M2826" s="10" t="n">
        <x:v>0</x:v>
      </x:c>
      <x:c r="N2826" s="10" t="n">
        <x:v>0</x:v>
      </x:c>
      <x:c r="O2826" s="2" t="str">
        <x:v>Bà Rịa - Vũng Tàu|land</x:v>
      </x:c>
      <x:c r="P2826" s="10" t="n">
        <x:v>1</x:v>
      </x:c>
      <x:c r="Q2826" s="13" t="n">
        <x:f>IF(H2826="","",H2826/1000000000)</x:f>
        <x:v>4</x:v>
      </x:c>
      <x:c r="R2826" s="13" t="n">
        <x:f>IF(I2826="","",I2826/1000000)</x:f>
        <x:v>0.7996801279488205</x:v>
      </x:c>
    </x:row>
    <x:row r="2827" ht="21" customHeight="1">
      <x:c r="A2827" s="10" t="n">
        <x:v>3904</x:v>
      </x:c>
      <x:c r="B2827" s="2" t="str">
        <x:v>c1bc5f0e8beee5e217cd</x:v>
      </x:c>
      <x:c r="C2827" s="2" t="str">
        <x:v>Đà Nẵng</x:v>
      </x:c>
      <x:c r="D2827" s="2" t="str">
        <x:v>Quận Thanh Khê</x:v>
      </x:c>
      <x:c r="E2827" s="2" t="str">
        <x:v>other_unknown</x:v>
      </x:c>
      <x:c r="F2827" s="2" t="str">
        <x:v>sale_assumed</x:v>
      </x:c>
      <x:c r="G2827" s="11" t="n">
        <x:v>67</x:v>
      </x:c>
      <x:c r="H2827" s="12" t="n">
        <x:v>3580000000</x:v>
      </x:c>
      <x:c r="I2827" s="12" t="n">
        <x:v>53432835.82089552</x:v>
      </x:c>
      <x:c r="J2827" s="2" t="str">
        <x:v>total</x:v>
      </x:c>
      <x:c r="K2827" s="2" t="str">
        <x:v>top_level_area</x:v>
      </x:c>
      <x:c r="L2827" s="2" t="str">
        <x:v>property_type_inferred_from_title;transaction_assumed_sale_from_dataset_context;unknown_property_type</x:v>
      </x:c>
      <x:c r="M2827" s="10" t="n">
        <x:v>0</x:v>
      </x:c>
      <x:c r="N2827" s="10" t="n">
        <x:v>0</x:v>
      </x:c>
      <x:c r="O2827" s="2" t="str">
        <x:v>Đà Nẵng|other_unknown</x:v>
      </x:c>
      <x:c r="P2827" s="10" t="n">
        <x:v>2</x:v>
      </x:c>
      <x:c r="Q2827" s="13" t="n">
        <x:f>IF(H2827="","",H2827/1000000000)</x:f>
        <x:v>3.58</x:v>
      </x:c>
      <x:c r="R2827" s="13" t="n">
        <x:f>IF(I2827="","",I2827/1000000)</x:f>
        <x:v>53.43283582089552</x:v>
      </x:c>
    </x:row>
    <x:row r="2828" ht="21" customHeight="1">
      <x:c r="A2828" s="10" t="n">
        <x:v>3905</x:v>
      </x:c>
      <x:c r="B2828" s="2" t="str">
        <x:v>09fdde313a629e664593</x:v>
      </x:c>
      <x:c r="C2828" s="2" t="str">
        <x:v>Khánh Hòa</x:v>
      </x:c>
      <x:c r="D2828" s="2" t="str">
        <x:v>Thành phố Nha Trang</x:v>
      </x:c>
      <x:c r="E2828" s="2" t="str">
        <x:v>house</x:v>
      </x:c>
      <x:c r="F2828" s="2" t="str">
        <x:v>sale</x:v>
      </x:c>
      <x:c r="G2828" s="11" t="n">
        <x:v>36</x:v>
      </x:c>
      <x:c r="H2828" s="12" t="n">
        <x:v>5800000000</x:v>
      </x:c>
      <x:c r="I2828" s="12" t="n">
        <x:v>161111111.1111111</x:v>
      </x:c>
      <x:c r="J2828" s="2" t="str">
        <x:v>total</x:v>
      </x:c>
      <x:c r="K2828" s="2" t="str">
        <x:v>top_level_area</x:v>
      </x:c>
      <x:c r="L2828" s="2" t="str">
        <x:v>property_type_inferred_from_title</x:v>
      </x:c>
      <x:c r="M2828" s="10" t="n">
        <x:v>0</x:v>
      </x:c>
      <x:c r="N2828" s="10" t="n">
        <x:v>1</x:v>
      </x:c>
      <x:c r="O2828" s="2" t="str">
        <x:v>Khánh Hòa|house</x:v>
      </x:c>
      <x:c r="P2828" s="10" t="n">
        <x:v>-1</x:v>
      </x:c>
      <x:c r="Q2828" s="13" t="n">
        <x:f>IF(H2828="","",H2828/1000000000)</x:f>
        <x:v>5.8</x:v>
      </x:c>
      <x:c r="R2828" s="13" t="n">
        <x:f>IF(I2828="","",I2828/1000000)</x:f>
        <x:v>161.11111111111111</x:v>
      </x:c>
    </x:row>
    <x:row r="2829" ht="21" customHeight="1">
      <x:c r="A2829" s="10" t="n">
        <x:v>3906</x:v>
      </x:c>
      <x:c r="B2829" s="2" t="str">
        <x:v>d28013b24236704a0365</x:v>
      </x:c>
      <x:c r="C2829" s="2" t="str">
        <x:v>Đắk Lắk</x:v>
      </x:c>
      <x:c r="D2829" s="2" t="str">
        <x:v>Thành phố Buôn Ma Thuột</x:v>
      </x:c>
      <x:c r="E2829" s="2" t="str">
        <x:v>land</x:v>
      </x:c>
      <x:c r="F2829" s="2" t="str">
        <x:v>sale_assumed</x:v>
      </x:c>
      <x:c r="G2829" s="11" t="n">
        <x:v>420</x:v>
      </x:c>
      <x:c r="H2829" s="12" t="n">
        <x:v>1150000000</x:v>
      </x:c>
      <x:c r="I2829" s="12" t="n">
        <x:v>2738095.238095238</x:v>
      </x:c>
      <x:c r="J2829" s="2" t="str">
        <x:v>total</x:v>
      </x:c>
      <x:c r="K2829" s="2" t="str">
        <x:v>top_level_area</x:v>
      </x:c>
      <x:c r="L2829" s="2" t="str">
        <x:v>property_type_inferred_from_title;transaction_assumed_sale_from_dataset_context</x:v>
      </x:c>
      <x:c r="M2829" s="10" t="n">
        <x:v>0</x:v>
      </x:c>
      <x:c r="N2829" s="10" t="n">
        <x:v>0</x:v>
      </x:c>
      <x:c r="O2829" s="2" t="str">
        <x:v>Đắk Lắk|land</x:v>
      </x:c>
      <x:c r="P2829" s="10" t="n">
        <x:v>1</x:v>
      </x:c>
      <x:c r="Q2829" s="13" t="n">
        <x:f>IF(H2829="","",H2829/1000000000)</x:f>
        <x:v>1.15</x:v>
      </x:c>
      <x:c r="R2829" s="13" t="n">
        <x:f>IF(I2829="","",I2829/1000000)</x:f>
        <x:v>2.7380952380952377</x:v>
      </x:c>
    </x:row>
    <x:row r="2830" ht="21" customHeight="1">
      <x:c r="A2830" s="10" t="n">
        <x:v>3907</x:v>
      </x:c>
      <x:c r="B2830" s="2" t="str">
        <x:v>088347c4f609c0b1fa10</x:v>
      </x:c>
      <x:c r="C2830" s="2" t="str">
        <x:v>Tp Hồ Chí Minh</x:v>
      </x:c>
      <x:c r="D2830" s="2" t="str">
        <x:v>Quận 4</x:v>
      </x:c>
      <x:c r="E2830" s="2" t="str">
        <x:v>house</x:v>
      </x:c>
      <x:c r="F2830" s="2" t="str">
        <x:v>sale</x:v>
      </x:c>
      <x:c r="G2830" s="11" t="n">
        <x:v>18</x:v>
      </x:c>
      <x:c r="H2830" s="12" t="n">
        <x:v>2200000000</x:v>
      </x:c>
      <x:c r="I2830" s="12" t="n">
        <x:v>122222222.22222222</x:v>
      </x:c>
      <x:c r="J2830" s="2" t="str">
        <x:v>total</x:v>
      </x:c>
      <x:c r="K2830" s="2" t="str">
        <x:v>top_level_area</x:v>
      </x:c>
      <x:c r="L2830" s="2" t="str">
        <x:v>property_type_inferred_from_title</x:v>
      </x:c>
      <x:c r="M2830" s="10" t="n">
        <x:v>0</x:v>
      </x:c>
      <x:c r="N2830" s="10" t="n">
        <x:v>0</x:v>
      </x:c>
      <x:c r="O2830" s="2" t="str">
        <x:v>Tp Hồ Chí Minh|house</x:v>
      </x:c>
      <x:c r="P2830" s="10" t="n">
        <x:v>2</x:v>
      </x:c>
      <x:c r="Q2830" s="13" t="n">
        <x:f>IF(H2830="","",H2830/1000000000)</x:f>
        <x:v>2.2</x:v>
      </x:c>
      <x:c r="R2830" s="13" t="n">
        <x:f>IF(I2830="","",I2830/1000000)</x:f>
        <x:v>122.22222222222223</x:v>
      </x:c>
    </x:row>
    <x:row r="2831" ht="21" customHeight="1">
      <x:c r="A2831" s="10" t="n">
        <x:v>3908</x:v>
      </x:c>
      <x:c r="B2831" s="2" t="str">
        <x:v>474638413c1a6319bdd8</x:v>
      </x:c>
      <x:c r="C2831" s="2" t="str">
        <x:v>Kiên Giang</x:v>
      </x:c>
      <x:c r="D2831" s="2" t="str">
        <x:v>Thành phố Rạch Giá</x:v>
      </x:c>
      <x:c r="E2831" s="2" t="str">
        <x:v>land</x:v>
      </x:c>
      <x:c r="F2831" s="2" t="str">
        <x:v>sale</x:v>
      </x:c>
      <x:c r="G2831" s="11" t="n">
        <x:v>71</x:v>
      </x:c>
      <x:c r="H2831" s="12" t="n">
        <x:v>630000000</x:v>
      </x:c>
      <x:c r="I2831" s="12" t="n">
        <x:v>8873239.436619718</x:v>
      </x:c>
      <x:c r="J2831" s="2" t="str">
        <x:v>total</x:v>
      </x:c>
      <x:c r="K2831" s="2" t="str">
        <x:v>top_level_area</x:v>
      </x:c>
      <x:c r="L2831" s="2" t="str">
        <x:v>property_type_inferred_from_title</x:v>
      </x:c>
      <x:c r="M2831" s="10" t="n">
        <x:v>0</x:v>
      </x:c>
      <x:c r="N2831" s="10" t="n">
        <x:v>0</x:v>
      </x:c>
      <x:c r="O2831" s="2" t="str">
        <x:v>land</x:v>
      </x:c>
      <x:c r="P2831" s="10" t="n">
        <x:v>2</x:v>
      </x:c>
      <x:c r="Q2831" s="13" t="n">
        <x:f>IF(H2831="","",H2831/1000000000)</x:f>
        <x:v>0.63</x:v>
      </x:c>
      <x:c r="R2831" s="13" t="n">
        <x:f>IF(I2831="","",I2831/1000000)</x:f>
        <x:v>8.873239436619718</x:v>
      </x:c>
    </x:row>
    <x:row r="2832" ht="21" customHeight="1">
      <x:c r="A2832" s="10" t="n">
        <x:v>3909</x:v>
      </x:c>
      <x:c r="B2832" s="2" t="str">
        <x:v>54ee88a715cc2a229754</x:v>
      </x:c>
      <x:c r="C2832" s="2" t="str">
        <x:v>Tp Hồ Chí Minh</x:v>
      </x:c>
      <x:c r="D2832" s="2" t="str">
        <x:v>Huyện Củ Chi</x:v>
      </x:c>
      <x:c r="E2832" s="2" t="str">
        <x:v>land</x:v>
      </x:c>
      <x:c r="F2832" s="2" t="str">
        <x:v>sale</x:v>
      </x:c>
      <x:c r="G2832" s="11" t="n">
        <x:v>106</x:v>
      </x:c>
      <x:c r="H2832" s="12" t="n">
        <x:v>1300000000</x:v>
      </x:c>
      <x:c r="I2832" s="12" t="n">
        <x:v>12264150.943396226</x:v>
      </x:c>
      <x:c r="J2832" s="2" t="str">
        <x:v>total</x:v>
      </x:c>
      <x:c r="K2832" s="2" t="str">
        <x:v>top_level_area</x:v>
      </x:c>
      <x:c r="L2832" s="2" t="str">
        <x:v>property_type_inferred_from_title</x:v>
      </x:c>
      <x:c r="M2832" s="10" t="n">
        <x:v>0</x:v>
      </x:c>
      <x:c r="N2832" s="10" t="n">
        <x:v>0</x:v>
      </x:c>
      <x:c r="O2832" s="2" t="str">
        <x:v>Tp Hồ Chí Minh|land</x:v>
      </x:c>
      <x:c r="P2832" s="10" t="n">
        <x:v>2</x:v>
      </x:c>
      <x:c r="Q2832" s="13" t="n">
        <x:f>IF(H2832="","",H2832/1000000000)</x:f>
        <x:v>1.3</x:v>
      </x:c>
      <x:c r="R2832" s="13" t="n">
        <x:f>IF(I2832="","",I2832/1000000)</x:f>
        <x:v>12.264150943396226</x:v>
      </x:c>
    </x:row>
    <x:row r="2833" ht="21" customHeight="1">
      <x:c r="A2833" s="10" t="n">
        <x:v>3910</x:v>
      </x:c>
      <x:c r="B2833" s="2" t="str">
        <x:v>7375001285770a359224</x:v>
      </x:c>
      <x:c r="C2833" s="2" t="str">
        <x:v>Quảng Nam</x:v>
      </x:c>
      <x:c r="D2833" s="2" t="str">
        <x:v>Thị xã Điện Bàn</x:v>
      </x:c>
      <x:c r="E2833" s="2" t="str">
        <x:v>land</x:v>
      </x:c>
      <x:c r="F2833" s="2" t="str">
        <x:v>sale</x:v>
      </x:c>
      <x:c r="G2833" s="11" t="n">
        <x:v>120</x:v>
      </x:c>
      <x:c r="H2833" s="12" t="n">
        <x:v>1620000000</x:v>
      </x:c>
      <x:c r="I2833" s="12" t="n">
        <x:v>13500000</x:v>
      </x:c>
      <x:c r="J2833" s="2" t="str">
        <x:v>total</x:v>
      </x:c>
      <x:c r="K2833" s="2" t="str">
        <x:v>top_level_area</x:v>
      </x:c>
      <x:c r="L2833" s="2" t="str">
        <x:v>property_type_inferred_from_title</x:v>
      </x:c>
      <x:c r="M2833" s="10" t="n">
        <x:v>0</x:v>
      </x:c>
      <x:c r="N2833" s="10" t="n">
        <x:v>0</x:v>
      </x:c>
      <x:c r="O2833" s="2" t="str">
        <x:v>land</x:v>
      </x:c>
      <x:c r="P2833" s="10" t="n">
        <x:v>2</x:v>
      </x:c>
      <x:c r="Q2833" s="13" t="n">
        <x:f>IF(H2833="","",H2833/1000000000)</x:f>
        <x:v>1.62</x:v>
      </x:c>
      <x:c r="R2833" s="13" t="n">
        <x:f>IF(I2833="","",I2833/1000000)</x:f>
        <x:v>13.5</x:v>
      </x:c>
    </x:row>
    <x:row r="2834" ht="21" customHeight="1">
      <x:c r="A2834" s="10" t="n">
        <x:v>3911</x:v>
      </x:c>
      <x:c r="B2834" s="2" t="str">
        <x:v>b636c4725e4d8300ff06</x:v>
      </x:c>
      <x:c r="C2834" s="2" t="str">
        <x:v>Tp Hồ Chí Minh</x:v>
      </x:c>
      <x:c r="D2834" s="2" t="str">
        <x:v>Quận Bình Thạnh</x:v>
      </x:c>
      <x:c r="E2834" s="2" t="str">
        <x:v>house</x:v>
      </x:c>
      <x:c r="F2834" s="2" t="str">
        <x:v>sale</x:v>
      </x:c>
      <x:c r="G2834" s="11" t="n">
        <x:v>165</x:v>
      </x:c>
      <x:c r="H2834" s="12" t="n">
        <x:v>15900000000</x:v>
      </x:c>
      <x:c r="I2834" s="12" t="n">
        <x:v>96363636.36363636</x:v>
      </x:c>
      <x:c r="J2834" s="2" t="str">
        <x:v>total</x:v>
      </x:c>
      <x:c r="K2834" s="2" t="str">
        <x:v>top_level_area</x:v>
      </x:c>
      <x:c r="L2834" s="2" t="str">
        <x:v>property_type_inferred_from_title</x:v>
      </x:c>
      <x:c r="M2834" s="10" t="n">
        <x:v>0</x:v>
      </x:c>
      <x:c r="N2834" s="10" t="n">
        <x:v>0</x:v>
      </x:c>
      <x:c r="O2834" s="2" t="str">
        <x:v>Tp Hồ Chí Minh|house</x:v>
      </x:c>
      <x:c r="P2834" s="10" t="n">
        <x:v>2</x:v>
      </x:c>
      <x:c r="Q2834" s="13" t="n">
        <x:f>IF(H2834="","",H2834/1000000000)</x:f>
        <x:v>15.9</x:v>
      </x:c>
      <x:c r="R2834" s="13" t="n">
        <x:f>IF(I2834="","",I2834/1000000)</x:f>
        <x:v>96.36363636363636</x:v>
      </x:c>
    </x:row>
    <x:row r="2835" ht="21" customHeight="1">
      <x:c r="A2835" s="10" t="n">
        <x:v>3915</x:v>
      </x:c>
      <x:c r="B2835" s="2" t="str">
        <x:v>fd0df3f1ee148488fe50</x:v>
      </x:c>
      <x:c r="C2835" s="2" t="str">
        <x:v>Đà Nẵng</x:v>
      </x:c>
      <x:c r="D2835" s="2" t="str">
        <x:v>Quận Thanh Khê</x:v>
      </x:c>
      <x:c r="E2835" s="2" t="str">
        <x:v>other_unknown</x:v>
      </x:c>
      <x:c r="F2835" s="2" t="str">
        <x:v>sale</x:v>
      </x:c>
      <x:c r="G2835" s="11" t="n">
        <x:v>86</x:v>
      </x:c>
      <x:c r="H2835" s="12" t="n">
        <x:v>4150000000.0000005</x:v>
      </x:c>
      <x:c r="I2835" s="12" t="n">
        <x:v>48255813.95348838</x:v>
      </x:c>
      <x:c r="J2835" s="2" t="str">
        <x:v>total</x:v>
      </x:c>
      <x:c r="K2835" s="2" t="str">
        <x:v>top_level_area</x:v>
      </x:c>
      <x:c r="L2835" s="2" t="str">
        <x:v>property_type_inferred_from_title;unknown_property_type</x:v>
      </x:c>
      <x:c r="M2835" s="10" t="n">
        <x:v>0</x:v>
      </x:c>
      <x:c r="N2835" s="10" t="n">
        <x:v>0</x:v>
      </x:c>
      <x:c r="O2835" s="2" t="str">
        <x:v>Đà Nẵng|other_unknown</x:v>
      </x:c>
      <x:c r="P2835" s="10" t="n">
        <x:v>2</x:v>
      </x:c>
      <x:c r="Q2835" s="13" t="n">
        <x:f>IF(H2835="","",H2835/1000000000)</x:f>
        <x:v>4.15</x:v>
      </x:c>
      <x:c r="R2835" s="13" t="n">
        <x:f>IF(I2835="","",I2835/1000000)</x:f>
        <x:v>48.25581395348838</x:v>
      </x:c>
    </x:row>
    <x:row r="2836" ht="21" customHeight="1">
      <x:c r="A2836" s="10" t="n">
        <x:v>3916</x:v>
      </x:c>
      <x:c r="B2836" s="2" t="str">
        <x:v>c585222a69390bba5638</x:v>
      </x:c>
      <x:c r="C2836" s="2" t="str">
        <x:v>Đắk Lắk</x:v>
      </x:c>
      <x:c r="D2836" s="2" t="str">
        <x:v>Thành phố Buôn Ma Thuột</x:v>
      </x:c>
      <x:c r="E2836" s="2" t="str">
        <x:v>house</x:v>
      </x:c>
      <x:c r="F2836" s="2" t="str">
        <x:v>sale</x:v>
      </x:c>
      <x:c r="G2836" s="11" t="n">
        <x:v>640000</x:v>
      </x:c>
      <x:c r="H2836" s="12" t="n">
        <x:v>4400000000</x:v>
      </x:c>
      <x:c r="I2836" s="12" t="n">
        <x:v>6875</x:v>
      </x:c>
      <x:c r="J2836" s="2" t="str">
        <x:v>total</x:v>
      </x:c>
      <x:c r="K2836" s="2" t="str">
        <x:v>top_level_area</x:v>
      </x:c>
      <x:c r="L2836" s="2" t="str">
        <x:v>dot_thousands_convention;property_type_inferred_from_title</x:v>
      </x:c>
      <x:c r="M2836" s="10" t="n">
        <x:v>0</x:v>
      </x:c>
      <x:c r="N2836" s="10" t="n">
        <x:v>0</x:v>
      </x:c>
      <x:c r="O2836" s="2" t="str">
        <x:v>Đắk Lắk|house</x:v>
      </x:c>
      <x:c r="P2836" s="10" t="n">
        <x:v>1</x:v>
      </x:c>
      <x:c r="Q2836" s="13" t="n">
        <x:f>IF(H2836="","",H2836/1000000000)</x:f>
        <x:v>4.4</x:v>
      </x:c>
      <x:c r="R2836" s="13" t="n">
        <x:f>IF(I2836="","",I2836/1000000)</x:f>
        <x:v>0.006875</x:v>
      </x:c>
    </x:row>
    <x:row r="2837" ht="21" customHeight="1">
      <x:c r="A2837" s="10" t="n">
        <x:v>3917</x:v>
      </x:c>
      <x:c r="B2837" s="2" t="str">
        <x:v>b63dcd6cc0b2b320ddb6</x:v>
      </x:c>
      <x:c r="C2837" s="2" t="str">
        <x:v>Kiên Giang</x:v>
      </x:c>
      <x:c r="D2837" s="2" t="str">
        <x:v>Thành phố Rạch Giá</x:v>
      </x:c>
      <x:c r="E2837" s="2" t="str">
        <x:v>land</x:v>
      </x:c>
      <x:c r="F2837" s="2" t="str">
        <x:v>sale</x:v>
      </x:c>
      <x:c r="G2837" s="11" t="n">
        <x:v>71</x:v>
      </x:c>
      <x:c r="H2837" s="12" t="n">
        <x:v>630000000</x:v>
      </x:c>
      <x:c r="I2837" s="12" t="n">
        <x:v>8873239.436619718</x:v>
      </x:c>
      <x:c r="J2837" s="2" t="str">
        <x:v>total</x:v>
      </x:c>
      <x:c r="K2837" s="2" t="str">
        <x:v>top_level_area</x:v>
      </x:c>
      <x:c r="L2837" s="2" t="str">
        <x:v>property_type_inferred_from_title</x:v>
      </x:c>
      <x:c r="M2837" s="10" t="n">
        <x:v>0</x:v>
      </x:c>
      <x:c r="N2837" s="10" t="n">
        <x:v>0</x:v>
      </x:c>
      <x:c r="O2837" s="2" t="str">
        <x:v>land</x:v>
      </x:c>
      <x:c r="P2837" s="10" t="n">
        <x:v>2</x:v>
      </x:c>
      <x:c r="Q2837" s="13" t="n">
        <x:f>IF(H2837="","",H2837/1000000000)</x:f>
        <x:v>0.63</x:v>
      </x:c>
      <x:c r="R2837" s="13" t="n">
        <x:f>IF(I2837="","",I2837/1000000)</x:f>
        <x:v>8.873239436619718</x:v>
      </x:c>
    </x:row>
    <x:row r="2838" ht="21" customHeight="1">
      <x:c r="A2838" s="10" t="n">
        <x:v>3918</x:v>
      </x:c>
      <x:c r="B2838" s="2" t="str">
        <x:v>277a9b60e3d00173f06f</x:v>
      </x:c>
      <x:c r="C2838" s="2" t="str">
        <x:v>Hà Nội</x:v>
      </x:c>
      <x:c r="D2838" s="2" t="str">
        <x:v>Quận Hoàng Mai</x:v>
      </x:c>
      <x:c r="E2838" s="2" t="str">
        <x:v>house</x:v>
      </x:c>
      <x:c r="F2838" s="2" t="str">
        <x:v>sale</x:v>
      </x:c>
      <x:c r="G2838" s="11" t="n">
        <x:v>28</x:v>
      </x:c>
      <x:c r="H2838" s="12" t="n">
        <x:v>2550000000</x:v>
      </x:c>
      <x:c r="I2838" s="12" t="n">
        <x:v>91071428.57142857</x:v>
      </x:c>
      <x:c r="J2838" s="2" t="str">
        <x:v>total</x:v>
      </x:c>
      <x:c r="K2838" s="2" t="str">
        <x:v>top_level_area</x:v>
      </x:c>
      <x:c r="L2838" s="2" t="str">
        <x:v>property_type_inferred_from_title</x:v>
      </x:c>
      <x:c r="M2838" s="10" t="n">
        <x:v>0</x:v>
      </x:c>
      <x:c r="N2838" s="10" t="n">
        <x:v>0</x:v>
      </x:c>
      <x:c r="O2838" s="2" t="str">
        <x:v>Hà Nội|house</x:v>
      </x:c>
      <x:c r="P2838" s="10" t="n">
        <x:v>2</x:v>
      </x:c>
      <x:c r="Q2838" s="13" t="n">
        <x:f>IF(H2838="","",H2838/1000000000)</x:f>
        <x:v>2.55</x:v>
      </x:c>
      <x:c r="R2838" s="13" t="n">
        <x:f>IF(I2838="","",I2838/1000000)</x:f>
        <x:v>91.07142857142857</x:v>
      </x:c>
    </x:row>
    <x:row r="2839" ht="21" customHeight="1">
      <x:c r="A2839" s="10" t="n">
        <x:v>3919</x:v>
      </x:c>
      <x:c r="B2839" s="2" t="str">
        <x:v>7403f8868ccbcc0b5f39</x:v>
      </x:c>
      <x:c r="C2839" s="2" t="str">
        <x:v>Tp Hồ Chí Minh</x:v>
      </x:c>
      <x:c r="D2839" s="2" t="str">
        <x:v>Quận 10</x:v>
      </x:c>
      <x:c r="E2839" s="2" t="str">
        <x:v>house</x:v>
      </x:c>
      <x:c r="F2839" s="2" t="str">
        <x:v>sale_assumed</x:v>
      </x:c>
      <x:c r="G2839" s="11" t="n">
        <x:v>80</x:v>
      </x:c>
      <x:c r="H2839" s="12" t="n">
        <x:v>20000000000</x:v>
      </x:c>
      <x:c r="I2839" s="12" t="n">
        <x:v>250000000</x:v>
      </x:c>
      <x:c r="J2839" s="2" t="str">
        <x:v>total</x:v>
      </x:c>
      <x:c r="K2839" s="2" t="str">
        <x:v>top_level_area</x:v>
      </x:c>
      <x:c r="L2839" s="2" t="str">
        <x:v>property_type_inferred_from_title;transaction_assumed_sale_from_dataset_context</x:v>
      </x:c>
      <x:c r="M2839" s="10" t="n">
        <x:v>1</x:v>
      </x:c>
      <x:c r="N2839" s="10" t="n">
        <x:v>1</x:v>
      </x:c>
      <x:c r="O2839" s="2" t="str">
        <x:v>Tp Hồ Chí Minh|house</x:v>
      </x:c>
      <x:c r="P2839" s="10" t="n">
        <x:v>-1</x:v>
      </x:c>
      <x:c r="Q2839" s="13" t="n">
        <x:f>IF(H2839="","",H2839/1000000000)</x:f>
        <x:v>20</x:v>
      </x:c>
      <x:c r="R2839" s="13" t="n">
        <x:f>IF(I2839="","",I2839/1000000)</x:f>
        <x:v>250</x:v>
      </x:c>
    </x:row>
    <x:row r="2840" ht="21" customHeight="1">
      <x:c r="A2840" s="10" t="n">
        <x:v>3920</x:v>
      </x:c>
      <x:c r="B2840" s="2" t="str">
        <x:v>7ad154faadd8d1cfbf4e</x:v>
      </x:c>
      <x:c r="C2840" s="2" t="str">
        <x:v>Hà Nội</x:v>
      </x:c>
      <x:c r="D2840" s="2" t="str">
        <x:v>Huyện Hoài Đức</x:v>
      </x:c>
      <x:c r="E2840" s="2" t="str">
        <x:v>apartment</x:v>
      </x:c>
      <x:c r="F2840" s="2" t="str">
        <x:v>sale_assumed</x:v>
      </x:c>
      <x:c r="G2840" s="11" t="n">
        <x:v>80.5</x:v>
      </x:c>
      <x:c r="H2840" s="12" t="n">
        <x:v>1220000000</x:v>
      </x:c>
      <x:c r="I2840" s="12" t="n">
        <x:v>15155279.50310559</x:v>
      </x:c>
      <x:c r="J2840" s="2" t="str">
        <x:v>total</x:v>
      </x:c>
      <x:c r="K2840" s="2" t="str">
        <x:v>top_level_area</x:v>
      </x:c>
      <x:c r="L2840" s="2" t="str">
        <x:v>property_type_inferred_from_title;transaction_assumed_sale_from_dataset_context</x:v>
      </x:c>
      <x:c r="M2840" s="10" t="n">
        <x:v>0</x:v>
      </x:c>
      <x:c r="N2840" s="10" t="n">
        <x:v>0</x:v>
      </x:c>
      <x:c r="O2840" s="2" t="str">
        <x:v>Hà Nội|apartment</x:v>
      </x:c>
      <x:c r="P2840" s="10" t="n">
        <x:v>2</x:v>
      </x:c>
      <x:c r="Q2840" s="13" t="n">
        <x:f>IF(H2840="","",H2840/1000000000)</x:f>
        <x:v>1.22</x:v>
      </x:c>
      <x:c r="R2840" s="13" t="n">
        <x:f>IF(I2840="","",I2840/1000000)</x:f>
        <x:v>15.15527950310559</x:v>
      </x:c>
    </x:row>
    <x:row r="2841" ht="21" customHeight="1">
      <x:c r="A2841" s="10" t="n">
        <x:v>3921</x:v>
      </x:c>
      <x:c r="B2841" s="2" t="str">
        <x:v>bd5b7f7f959fd38fc8e6</x:v>
      </x:c>
      <x:c r="C2841" s="2" t="str">
        <x:v>Tp Hồ Chí Minh</x:v>
      </x:c>
      <x:c r="D2841" s="2" t="str">
        <x:v>Quận Bình Tân</x:v>
      </x:c>
      <x:c r="E2841" s="2" t="str">
        <x:v>house</x:v>
      </x:c>
      <x:c r="F2841" s="2" t="str">
        <x:v>sale_assumed</x:v>
      </x:c>
      <x:c r="G2841" s="11" t="n">
        <x:v>35</x:v>
      </x:c>
      <x:c r="H2841" s="12" t="n">
        <x:v>1460000000</x:v>
      </x:c>
      <x:c r="I2841" s="12" t="n">
        <x:v>41714285.71428572</x:v>
      </x:c>
      <x:c r="J2841" s="2" t="str">
        <x:v>total</x:v>
      </x:c>
      <x:c r="K2841" s="2" t="str">
        <x:v>top_level_area</x:v>
      </x:c>
      <x:c r="L2841" s="2" t="str">
        <x:v>property_type_inferred_from_title;transaction_assumed_sale_from_dataset_context</x:v>
      </x:c>
      <x:c r="M2841" s="10" t="n">
        <x:v>0</x:v>
      </x:c>
      <x:c r="N2841" s="10" t="n">
        <x:v>0</x:v>
      </x:c>
      <x:c r="O2841" s="2" t="str">
        <x:v>Tp Hồ Chí Minh|house</x:v>
      </x:c>
      <x:c r="P2841" s="10" t="n">
        <x:v>2</x:v>
      </x:c>
      <x:c r="Q2841" s="13" t="n">
        <x:f>IF(H2841="","",H2841/1000000000)</x:f>
        <x:v>1.46</x:v>
      </x:c>
      <x:c r="R2841" s="13" t="n">
        <x:f>IF(I2841="","",I2841/1000000)</x:f>
        <x:v>41.714285714285715</x:v>
      </x:c>
    </x:row>
    <x:row r="2842" ht="21" customHeight="1">
      <x:c r="A2842" s="10" t="n">
        <x:v>3922</x:v>
      </x:c>
      <x:c r="B2842" s="2" t="str">
        <x:v>f80cc647d1d7111c47a6</x:v>
      </x:c>
      <x:c r="C2842" s="2" t="str">
        <x:v>Hà Nội</x:v>
      </x:c>
      <x:c r="D2842" s="2" t="str">
        <x:v>Quận Bắc Từ Liêm</x:v>
      </x:c>
      <x:c r="E2842" s="2" t="str">
        <x:v>other_unknown</x:v>
      </x:c>
      <x:c r="F2842" s="2" t="str">
        <x:v>sale_assumed</x:v>
      </x:c>
      <x:c r="G2842" s="11" t="n">
        <x:v>54</x:v>
      </x:c>
      <x:c r="H2842" s="12" t="n">
        <x:v>4680000000</x:v>
      </x:c>
      <x:c r="I2842" s="12" t="n">
        <x:v>86666666.66666667</x:v>
      </x:c>
      <x:c r="J2842" s="2" t="str">
        <x:v>total</x:v>
      </x:c>
      <x:c r="K2842" s="2" t="str">
        <x:v>top_level_area</x:v>
      </x:c>
      <x:c r="L2842" s="2" t="str">
        <x:v>property_type_inferred_from_title;transaction_assumed_sale_from_dataset_context;unknown_property_type</x:v>
      </x:c>
      <x:c r="M2842" s="10" t="n">
        <x:v>0</x:v>
      </x:c>
      <x:c r="N2842" s="10" t="n">
        <x:v>0</x:v>
      </x:c>
      <x:c r="O2842" s="2" t="str">
        <x:v>Hà Nội|other_unknown</x:v>
      </x:c>
      <x:c r="P2842" s="10" t="n">
        <x:v>2</x:v>
      </x:c>
      <x:c r="Q2842" s="13" t="n">
        <x:f>IF(H2842="","",H2842/1000000000)</x:f>
        <x:v>4.68</x:v>
      </x:c>
      <x:c r="R2842" s="13" t="n">
        <x:f>IF(I2842="","",I2842/1000000)</x:f>
        <x:v>86.66666666666667</x:v>
      </x:c>
    </x:row>
    <x:row r="2843" ht="21" customHeight="1">
      <x:c r="A2843" s="10" t="n">
        <x:v>3923</x:v>
      </x:c>
      <x:c r="B2843" s="2" t="str">
        <x:v>c3962c5528c1715a8c84</x:v>
      </x:c>
      <x:c r="C2843" s="2" t="str">
        <x:v>Tp Hồ Chí Minh</x:v>
      </x:c>
      <x:c r="D2843" s="2" t="str">
        <x:v>Quận 2</x:v>
      </x:c>
      <x:c r="E2843" s="2" t="str">
        <x:v>apartment</x:v>
      </x:c>
      <x:c r="F2843" s="2" t="str">
        <x:v>sale</x:v>
      </x:c>
      <x:c r="G2843" s="11" t="n">
        <x:v>88</x:v>
      </x:c>
      <x:c r="H2843" s="12" t="n">
        <x:v>3550000000</x:v>
      </x:c>
      <x:c r="I2843" s="12" t="n">
        <x:v>40340909.09090909</x:v>
      </x:c>
      <x:c r="J2843" s="2" t="str">
        <x:v>total</x:v>
      </x:c>
      <x:c r="K2843" s="2" t="str">
        <x:v>top_level_area</x:v>
      </x:c>
      <x:c r="L2843" s="2" t="str">
        <x:v>property_type_inferred_from_title</x:v>
      </x:c>
      <x:c r="M2843" s="10" t="n">
        <x:v>0</x:v>
      </x:c>
      <x:c r="N2843" s="10" t="n">
        <x:v>0</x:v>
      </x:c>
      <x:c r="O2843" s="2" t="str">
        <x:v>Tp Hồ Chí Minh|apartment</x:v>
      </x:c>
      <x:c r="P2843" s="10" t="n">
        <x:v>2</x:v>
      </x:c>
      <x:c r="Q2843" s="13" t="n">
        <x:f>IF(H2843="","",H2843/1000000000)</x:f>
        <x:v>3.55</x:v>
      </x:c>
      <x:c r="R2843" s="13" t="n">
        <x:f>IF(I2843="","",I2843/1000000)</x:f>
        <x:v>40.34090909090909</x:v>
      </x:c>
    </x:row>
    <x:row r="2844" ht="21" customHeight="1">
      <x:c r="A2844" s="10" t="n">
        <x:v>3924</x:v>
      </x:c>
      <x:c r="B2844" s="2" t="str">
        <x:v>197670618ed586604342</x:v>
      </x:c>
      <x:c r="C2844" s="2" t="str">
        <x:v>Tp Hồ Chí Minh</x:v>
      </x:c>
      <x:c r="D2844" s="2" t="str">
        <x:v>Quận Bình Tân</x:v>
      </x:c>
      <x:c r="E2844" s="2" t="str">
        <x:v>other_unknown</x:v>
      </x:c>
      <x:c r="F2844" s="2" t="str">
        <x:v>sale</x:v>
      </x:c>
      <x:c r="G2844" s="11" t="n">
        <x:v>48</x:v>
      </x:c>
      <x:c r="H2844" s="12" t="n">
        <x:v>3100000000</x:v>
      </x:c>
      <x:c r="I2844" s="12" t="n">
        <x:v>64583333.333333336</x:v>
      </x:c>
      <x:c r="J2844" s="2" t="str">
        <x:v>total</x:v>
      </x:c>
      <x:c r="K2844" s="2" t="str">
        <x:v>top_level_area</x:v>
      </x:c>
      <x:c r="L2844" s="2" t="str">
        <x:v>property_type_inferred_from_title;unknown_property_type</x:v>
      </x:c>
      <x:c r="M2844" s="10" t="n">
        <x:v>0</x:v>
      </x:c>
      <x:c r="N2844" s="10" t="n">
        <x:v>0</x:v>
      </x:c>
      <x:c r="O2844" s="2" t="str">
        <x:v>Tp Hồ Chí Minh|other_unknown</x:v>
      </x:c>
      <x:c r="P2844" s="10" t="n">
        <x:v>2</x:v>
      </x:c>
      <x:c r="Q2844" s="13" t="n">
        <x:f>IF(H2844="","",H2844/1000000000)</x:f>
        <x:v>3.1</x:v>
      </x:c>
      <x:c r="R2844" s="13" t="n">
        <x:f>IF(I2844="","",I2844/1000000)</x:f>
        <x:v>64.58333333333334</x:v>
      </x:c>
    </x:row>
    <x:row r="2845" ht="21" customHeight="1">
      <x:c r="A2845" s="10" t="n">
        <x:v>3925</x:v>
      </x:c>
      <x:c r="B2845" s="2" t="str">
        <x:v>0b9f6136d4bbdc5cc210</x:v>
      </x:c>
      <x:c r="C2845" s="2" t="str">
        <x:v>Kiên Giang</x:v>
      </x:c>
      <x:c r="D2845" s="2" t="str">
        <x:v>Huyện Phú Quốc</x:v>
      </x:c>
      <x:c r="E2845" s="2" t="str">
        <x:v>land</x:v>
      </x:c>
      <x:c r="F2845" s="2" t="str">
        <x:v>sale</x:v>
      </x:c>
      <x:c r="G2845" s="11" t="n">
        <x:v>639</x:v>
      </x:c>
      <x:c r="H2845" s="12" t="n">
        <x:v>80000000</x:v>
      </x:c>
      <x:c r="I2845" s="12" t="n">
        <x:v>125195.61815336463</x:v>
      </x:c>
      <x:c r="J2845" s="2" t="str">
        <x:v>total</x:v>
      </x:c>
      <x:c r="K2845" s="2" t="str">
        <x:v>top_level_area</x:v>
      </x:c>
      <x:c r="L2845" s="2" t="str">
        <x:v>property_type_inferred_from_title</x:v>
      </x:c>
      <x:c r="M2845" s="10" t="n">
        <x:v>0</x:v>
      </x:c>
      <x:c r="N2845" s="10" t="n">
        <x:v>0</x:v>
      </x:c>
      <x:c r="O2845" s="2" t="str">
        <x:v>land</x:v>
      </x:c>
      <x:c r="P2845" s="10" t="n">
        <x:v>1</x:v>
      </x:c>
      <x:c r="Q2845" s="13" t="n">
        <x:f>IF(H2845="","",H2845/1000000000)</x:f>
        <x:v>0.08</x:v>
      </x:c>
      <x:c r="R2845" s="13" t="n">
        <x:f>IF(I2845="","",I2845/1000000)</x:f>
        <x:v>0.12519561815336464</x:v>
      </x:c>
    </x:row>
    <x:row r="2846" ht="21" customHeight="1">
      <x:c r="A2846" s="10" t="n">
        <x:v>3926</x:v>
      </x:c>
      <x:c r="B2846" s="2" t="str">
        <x:v>481156b85f13a08cfd69</x:v>
      </x:c>
      <x:c r="C2846" s="2" t="str">
        <x:v>Hà Nội</x:v>
      </x:c>
      <x:c r="D2846" s="2" t="str">
        <x:v>Quận Hoàng Mai</x:v>
      </x:c>
      <x:c r="E2846" s="2" t="str">
        <x:v>other_unknown</x:v>
      </x:c>
      <x:c r="F2846" s="2" t="str">
        <x:v>sale_assumed</x:v>
      </x:c>
      <x:c r="G2846" s="11" t="n">
        <x:v>67</x:v>
      </x:c>
      <x:c r="H2846" s="12" t="n">
        <x:v>1075000000</x:v>
      </x:c>
      <x:c r="I2846" s="12" t="n">
        <x:v>16044776.119402984</x:v>
      </x:c>
      <x:c r="J2846" s="2" t="str">
        <x:v>total</x:v>
      </x:c>
      <x:c r="K2846" s="2" t="str">
        <x:v>top_level_area</x:v>
      </x:c>
      <x:c r="L2846" s="2" t="str">
        <x:v>property_type_inferred_from_title;transaction_assumed_sale_from_dataset_context;unknown_property_type</x:v>
      </x:c>
      <x:c r="M2846" s="10" t="n">
        <x:v>0</x:v>
      </x:c>
      <x:c r="N2846" s="10" t="n">
        <x:v>0</x:v>
      </x:c>
      <x:c r="O2846" s="2" t="str">
        <x:v>Hà Nội|other_unknown</x:v>
      </x:c>
      <x:c r="P2846" s="10" t="n">
        <x:v>2</x:v>
      </x:c>
      <x:c r="Q2846" s="13" t="n">
        <x:f>IF(H2846="","",H2846/1000000000)</x:f>
        <x:v>1.075</x:v>
      </x:c>
      <x:c r="R2846" s="13" t="n">
        <x:f>IF(I2846="","",I2846/1000000)</x:f>
        <x:v>16.044776119402986</x:v>
      </x:c>
    </x:row>
    <x:row r="2847" ht="21" customHeight="1">
      <x:c r="A2847" s="10" t="n">
        <x:v>3927</x:v>
      </x:c>
      <x:c r="B2847" s="2" t="str">
        <x:v>b83472e63a607b406ed6</x:v>
      </x:c>
      <x:c r="C2847" s="2" t="str">
        <x:v>Bình Dương</x:v>
      </x:c>
      <x:c r="D2847" s="2" t="str">
        <x:v>Thị xã Dĩ An</x:v>
      </x:c>
      <x:c r="E2847" s="2" t="str">
        <x:v>house</x:v>
      </x:c>
      <x:c r="F2847" s="2" t="str">
        <x:v>sale_assumed</x:v>
      </x:c>
      <x:c r="G2847" s="11" t="n">
        <x:v>100</x:v>
      </x:c>
      <x:c r="H2847" s="12" t="n">
        <x:v>3400000000</x:v>
      </x:c>
      <x:c r="I2847" s="12" t="n">
        <x:v>34000000</x:v>
      </x:c>
      <x:c r="J2847" s="2" t="str">
        <x:v>total</x:v>
      </x:c>
      <x:c r="K2847" s="2" t="str">
        <x:v>top_level_area</x:v>
      </x:c>
      <x:c r="L2847" s="2" t="str">
        <x:v>property_type_inferred_from_title;transaction_assumed_sale_from_dataset_context</x:v>
      </x:c>
      <x:c r="M2847" s="10" t="n">
        <x:v>0</x:v>
      </x:c>
      <x:c r="N2847" s="10" t="n">
        <x:v>0</x:v>
      </x:c>
      <x:c r="O2847" s="2" t="str">
        <x:v>Bình Dương|house</x:v>
      </x:c>
      <x:c r="P2847" s="10" t="n">
        <x:v>2</x:v>
      </x:c>
      <x:c r="Q2847" s="13" t="n">
        <x:f>IF(H2847="","",H2847/1000000000)</x:f>
        <x:v>3.4</x:v>
      </x:c>
      <x:c r="R2847" s="13" t="n">
        <x:f>IF(I2847="","",I2847/1000000)</x:f>
        <x:v>34</x:v>
      </x:c>
    </x:row>
    <x:row r="2848" ht="21" customHeight="1">
      <x:c r="A2848" s="10" t="n">
        <x:v>3928</x:v>
      </x:c>
      <x:c r="B2848" s="2" t="str">
        <x:v>8ffe3d807f306cf2d1cf</x:v>
      </x:c>
      <x:c r="C2848" s="2" t="str">
        <x:v>Khánh Hòa</x:v>
      </x:c>
      <x:c r="D2848" s="2" t="str">
        <x:v>Thành phố Nha Trang</x:v>
      </x:c>
      <x:c r="E2848" s="2" t="str">
        <x:v>house</x:v>
      </x:c>
      <x:c r="F2848" s="2" t="str">
        <x:v>sale_assumed</x:v>
      </x:c>
      <x:c r="G2848" s="11" t="n">
        <x:v>87</x:v>
      </x:c>
      <x:c r="H2848" s="12" t="n">
        <x:v>1590000000</x:v>
      </x:c>
      <x:c r="I2848" s="12" t="n">
        <x:v>18275862.068965517</x:v>
      </x:c>
      <x:c r="J2848" s="2" t="str">
        <x:v>total</x:v>
      </x:c>
      <x:c r="K2848" s="2" t="str">
        <x:v>top_level_area</x:v>
      </x:c>
      <x:c r="L2848" s="2" t="str">
        <x:v>property_type_inferred_from_title;transaction_assumed_sale_from_dataset_context</x:v>
      </x:c>
      <x:c r="M2848" s="10" t="n">
        <x:v>0</x:v>
      </x:c>
      <x:c r="N2848" s="10" t="n">
        <x:v>0</x:v>
      </x:c>
      <x:c r="O2848" s="2" t="str">
        <x:v>Khánh Hòa|house</x:v>
      </x:c>
      <x:c r="P2848" s="10" t="n">
        <x:v>2</x:v>
      </x:c>
      <x:c r="Q2848" s="13" t="n">
        <x:f>IF(H2848="","",H2848/1000000000)</x:f>
        <x:v>1.59</x:v>
      </x:c>
      <x:c r="R2848" s="13" t="n">
        <x:f>IF(I2848="","",I2848/1000000)</x:f>
        <x:v>18.275862068965516</x:v>
      </x:c>
    </x:row>
    <x:row r="2849" ht="21" customHeight="1">
      <x:c r="A2849" s="10" t="n">
        <x:v>3929</x:v>
      </x:c>
      <x:c r="B2849" s="2" t="str">
        <x:v>108b82b0003d3f9ea9ee</x:v>
      </x:c>
      <x:c r="C2849" s="2" t="str">
        <x:v>Đà Nẵng</x:v>
      </x:c>
      <x:c r="D2849" s="2" t="str">
        <x:v>Quận Thanh Khê</x:v>
      </x:c>
      <x:c r="E2849" s="2" t="str">
        <x:v>other_unknown</x:v>
      </x:c>
      <x:c r="F2849" s="2" t="str">
        <x:v>sale</x:v>
      </x:c>
      <x:c r="G2849" s="11" t="n">
        <x:v>71</x:v>
      </x:c>
      <x:c r="H2849" s="12" t="n">
        <x:v>3350000000</x:v>
      </x:c>
      <x:c r="I2849" s="12" t="n">
        <x:v>47183098.59154929</x:v>
      </x:c>
      <x:c r="J2849" s="2" t="str">
        <x:v>total</x:v>
      </x:c>
      <x:c r="K2849" s="2" t="str">
        <x:v>top_level_area</x:v>
      </x:c>
      <x:c r="L2849" s="2" t="str">
        <x:v>property_type_inferred_from_title;unknown_property_type</x:v>
      </x:c>
      <x:c r="M2849" s="10" t="n">
        <x:v>0</x:v>
      </x:c>
      <x:c r="N2849" s="10" t="n">
        <x:v>0</x:v>
      </x:c>
      <x:c r="O2849" s="2" t="str">
        <x:v>Đà Nẵng|other_unknown</x:v>
      </x:c>
      <x:c r="P2849" s="10" t="n">
        <x:v>2</x:v>
      </x:c>
      <x:c r="Q2849" s="13" t="n">
        <x:f>IF(H2849="","",H2849/1000000000)</x:f>
        <x:v>3.35</x:v>
      </x:c>
      <x:c r="R2849" s="13" t="n">
        <x:f>IF(I2849="","",I2849/1000000)</x:f>
        <x:v>47.18309859154929</x:v>
      </x:c>
    </x:row>
    <x:row r="2850" ht="21" customHeight="1">
      <x:c r="A2850" s="10" t="n">
        <x:v>3930</x:v>
      </x:c>
      <x:c r="B2850" s="2" t="str">
        <x:v>960ab4d555e643dbdf27</x:v>
      </x:c>
      <x:c r="C2850" s="2" t="str">
        <x:v>Tp Hồ Chí Minh</x:v>
      </x:c>
      <x:c r="D2850" s="2" t="str">
        <x:v>Quận 12</x:v>
      </x:c>
      <x:c r="E2850" s="2" t="str">
        <x:v>land</x:v>
      </x:c>
      <x:c r="F2850" s="2" t="str">
        <x:v>sale_assumed</x:v>
      </x:c>
      <x:c r="G2850" s="11" t="n">
        <x:v>50</x:v>
      </x:c>
      <x:c r="H2850" s="12" t="n">
        <x:v>2200000000</x:v>
      </x:c>
      <x:c r="I2850" s="12" t="n">
        <x:v>44000000</x:v>
      </x:c>
      <x:c r="J2850" s="2" t="str">
        <x:v>total</x:v>
      </x:c>
      <x:c r="K2850" s="2" t="str">
        <x:v>top_level_area</x:v>
      </x:c>
      <x:c r="L2850" s="2" t="str">
        <x:v>property_type_inferred_from_title;transaction_assumed_sale_from_dataset_context</x:v>
      </x:c>
      <x:c r="M2850" s="10" t="n">
        <x:v>0</x:v>
      </x:c>
      <x:c r="N2850" s="10" t="n">
        <x:v>0</x:v>
      </x:c>
      <x:c r="O2850" s="2" t="str">
        <x:v>Tp Hồ Chí Minh|land</x:v>
      </x:c>
      <x:c r="P2850" s="10" t="n">
        <x:v>2</x:v>
      </x:c>
      <x:c r="Q2850" s="13" t="n">
        <x:f>IF(H2850="","",H2850/1000000000)</x:f>
        <x:v>2.2</x:v>
      </x:c>
      <x:c r="R2850" s="13" t="n">
        <x:f>IF(I2850="","",I2850/1000000)</x:f>
        <x:v>44</x:v>
      </x:c>
    </x:row>
    <x:row r="2851" ht="21" customHeight="1">
      <x:c r="A2851" s="10" t="n">
        <x:v>3931</x:v>
      </x:c>
      <x:c r="B2851" s="2" t="str">
        <x:v>ac67042491f7f566f9c7</x:v>
      </x:c>
      <x:c r="C2851" s="2" t="str">
        <x:v>Long An</x:v>
      </x:c>
      <x:c r="D2851" s="2" t="str">
        <x:v>Huyện Đức Hòa</x:v>
      </x:c>
      <x:c r="E2851" s="2" t="str">
        <x:v>land</x:v>
      </x:c>
      <x:c r="F2851" s="2" t="str">
        <x:v>sale_assumed</x:v>
      </x:c>
      <x:c r="G2851" s="11" t="n">
        <x:v>75</x:v>
      </x:c>
      <x:c r="H2851" s="12" t="n">
        <x:v>1200000000</x:v>
      </x:c>
      <x:c r="I2851" s="12" t="n">
        <x:v>16000000</x:v>
      </x:c>
      <x:c r="J2851" s="2" t="str">
        <x:v>total</x:v>
      </x:c>
      <x:c r="K2851" s="2" t="str">
        <x:v>top_level_area</x:v>
      </x:c>
      <x:c r="L2851" s="2" t="str">
        <x:v>property_type_inferred_from_title;transaction_assumed_sale_from_dataset_context</x:v>
      </x:c>
      <x:c r="M2851" s="10" t="n">
        <x:v>0</x:v>
      </x:c>
      <x:c r="N2851" s="10" t="n">
        <x:v>0</x:v>
      </x:c>
      <x:c r="O2851" s="2" t="str">
        <x:v>Long An|land</x:v>
      </x:c>
      <x:c r="P2851" s="10" t="n">
        <x:v>2</x:v>
      </x:c>
      <x:c r="Q2851" s="13" t="n">
        <x:f>IF(H2851="","",H2851/1000000000)</x:f>
        <x:v>1.2</x:v>
      </x:c>
      <x:c r="R2851" s="13" t="n">
        <x:f>IF(I2851="","",I2851/1000000)</x:f>
        <x:v>16</x:v>
      </x:c>
    </x:row>
    <x:row r="2852" ht="21" customHeight="1">
      <x:c r="A2852" s="10" t="n">
        <x:v>3932</x:v>
      </x:c>
      <x:c r="B2852" s="2" t="str">
        <x:v>f53fa1d0be5f05bd2658</x:v>
      </x:c>
      <x:c r="C2852" s="2" t="str">
        <x:v>Tp Hồ Chí Minh</x:v>
      </x:c>
      <x:c r="D2852" s="2" t="str">
        <x:v>Quận Thủ Đức</x:v>
      </x:c>
      <x:c r="E2852" s="2" t="str">
        <x:v>land</x:v>
      </x:c>
      <x:c r="F2852" s="2" t="str">
        <x:v>sale_assumed</x:v>
      </x:c>
      <x:c r="G2852" s="11" t="n">
        <x:v>131.3</x:v>
      </x:c>
      <x:c r="H2852" s="12" t="n">
        <x:v>9000000000</x:v>
      </x:c>
      <x:c r="I2852" s="12" t="n">
        <x:v>68545316.07006854</x:v>
      </x:c>
      <x:c r="J2852" s="2" t="str">
        <x:v>total</x:v>
      </x:c>
      <x:c r="K2852" s="2" t="str">
        <x:v>top_level_area</x:v>
      </x:c>
      <x:c r="L2852" s="2" t="str">
        <x:v>property_type_inferred_from_title;transaction_assumed_sale_from_dataset_context</x:v>
      </x:c>
      <x:c r="M2852" s="10" t="n">
        <x:v>0</x:v>
      </x:c>
      <x:c r="N2852" s="10" t="n">
        <x:v>0</x:v>
      </x:c>
      <x:c r="O2852" s="2" t="str">
        <x:v>Tp Hồ Chí Minh|land</x:v>
      </x:c>
      <x:c r="P2852" s="10" t="n">
        <x:v>2</x:v>
      </x:c>
      <x:c r="Q2852" s="13" t="n">
        <x:f>IF(H2852="","",H2852/1000000000)</x:f>
        <x:v>9</x:v>
      </x:c>
      <x:c r="R2852" s="13" t="n">
        <x:f>IF(I2852="","",I2852/1000000)</x:f>
        <x:v>68.54531607006854</x:v>
      </x:c>
    </x:row>
    <x:row r="2853" ht="21" customHeight="1">
      <x:c r="A2853" s="10" t="n">
        <x:v>3933</x:v>
      </x:c>
      <x:c r="B2853" s="2" t="str">
        <x:v>af4cac5b3a46a8f1448d</x:v>
      </x:c>
      <x:c r="C2853" s="2" t="str">
        <x:v>Hà Nội</x:v>
      </x:c>
      <x:c r="D2853" s="2" t="str">
        <x:v>Quận Hoàng Mai</x:v>
      </x:c>
      <x:c r="E2853" s="2" t="str">
        <x:v>other_unknown</x:v>
      </x:c>
      <x:c r="F2853" s="2" t="str">
        <x:v>sale_assumed</x:v>
      </x:c>
      <x:c r="G2853" s="11" t="n">
        <x:v>67</x:v>
      </x:c>
      <x:c r="H2853" s="12" t="n">
        <x:v>1075000000</x:v>
      </x:c>
      <x:c r="I2853" s="12" t="n">
        <x:v>16044776.119402984</x:v>
      </x:c>
      <x:c r="J2853" s="2" t="str">
        <x:v>total</x:v>
      </x:c>
      <x:c r="K2853" s="2" t="str">
        <x:v>top_level_area</x:v>
      </x:c>
      <x:c r="L2853" s="2" t="str">
        <x:v>property_type_inferred_from_title;transaction_assumed_sale_from_dataset_context;unknown_property_type</x:v>
      </x:c>
      <x:c r="M2853" s="10" t="n">
        <x:v>0</x:v>
      </x:c>
      <x:c r="N2853" s="10" t="n">
        <x:v>0</x:v>
      </x:c>
      <x:c r="O2853" s="2" t="str">
        <x:v>Hà Nội|other_unknown</x:v>
      </x:c>
      <x:c r="P2853" s="10" t="n">
        <x:v>2</x:v>
      </x:c>
      <x:c r="Q2853" s="13" t="n">
        <x:f>IF(H2853="","",H2853/1000000000)</x:f>
        <x:v>1.075</x:v>
      </x:c>
      <x:c r="R2853" s="13" t="n">
        <x:f>IF(I2853="","",I2853/1000000)</x:f>
        <x:v>16.044776119402986</x:v>
      </x:c>
    </x:row>
    <x:row r="2854" ht="21" customHeight="1">
      <x:c r="A2854" s="10" t="n">
        <x:v>3934</x:v>
      </x:c>
      <x:c r="B2854" s="2" t="str">
        <x:v>53b1038c7b4f71c1730c</x:v>
      </x:c>
      <x:c r="C2854" s="2" t="str">
        <x:v>Tp Hồ Chí Minh</x:v>
      </x:c>
      <x:c r="D2854" s="2" t="str">
        <x:v>Quận Thủ Đức</x:v>
      </x:c>
      <x:c r="E2854" s="2" t="str">
        <x:v>other_unknown</x:v>
      </x:c>
      <x:c r="F2854" s="2" t="str">
        <x:v>sale_assumed</x:v>
      </x:c>
      <x:c r="G2854" s="11" t="n">
        <x:v>117.2</x:v>
      </x:c>
      <x:c r="H2854" s="12" t="n">
        <x:v>5350000000</x:v>
      </x:c>
      <x:c r="I2854" s="12" t="n">
        <x:v>45648464.163822524</x:v>
      </x:c>
      <x:c r="J2854" s="2" t="str">
        <x:v>total</x:v>
      </x:c>
      <x:c r="K2854" s="2" t="str">
        <x:v>top_level_area</x:v>
      </x:c>
      <x:c r="L2854" s="2" t="str">
        <x:v>property_type_inferred_from_title;transaction_assumed_sale_from_dataset_context;unknown_property_type</x:v>
      </x:c>
      <x:c r="M2854" s="10" t="n">
        <x:v>0</x:v>
      </x:c>
      <x:c r="N2854" s="10" t="n">
        <x:v>0</x:v>
      </x:c>
      <x:c r="O2854" s="2" t="str">
        <x:v>Tp Hồ Chí Minh|other_unknown</x:v>
      </x:c>
      <x:c r="P2854" s="10" t="n">
        <x:v>2</x:v>
      </x:c>
      <x:c r="Q2854" s="13" t="n">
        <x:f>IF(H2854="","",H2854/1000000000)</x:f>
        <x:v>5.35</x:v>
      </x:c>
      <x:c r="R2854" s="13" t="n">
        <x:f>IF(I2854="","",I2854/1000000)</x:f>
        <x:v>45.648464163822524</x:v>
      </x:c>
    </x:row>
    <x:row r="2855" ht="21" customHeight="1">
      <x:c r="A2855" s="10" t="n">
        <x:v>3937</x:v>
      </x:c>
      <x:c r="B2855" s="2" t="str">
        <x:v>82e5ae4f8eb5c5af5e60</x:v>
      </x:c>
      <x:c r="C2855" s="2" t="str">
        <x:v>Tp Hồ Chí Minh</x:v>
      </x:c>
      <x:c r="D2855" s="2" t="str">
        <x:v>Huyện Nhà Bè</x:v>
      </x:c>
      <x:c r="E2855" s="2" t="str">
        <x:v>house</x:v>
      </x:c>
      <x:c r="F2855" s="2" t="str">
        <x:v>sale</x:v>
      </x:c>
      <x:c r="G2855" s="11" t="n">
        <x:v>25</x:v>
      </x:c>
      <x:c r="H2855" s="12" t="n">
        <x:v>1550000000</x:v>
      </x:c>
      <x:c r="I2855" s="12" t="n">
        <x:v>62000000</x:v>
      </x:c>
      <x:c r="J2855" s="2" t="str">
        <x:v>total</x:v>
      </x:c>
      <x:c r="K2855" s="2" t="str">
        <x:v>top_level_price_embedded_area</x:v>
      </x:c>
      <x:c r="L2855" s="2" t="str">
        <x:v>area_recovered_from_price_text;property_type_inferred_from_title</x:v>
      </x:c>
      <x:c r="M2855" s="10" t="n">
        <x:v>0</x:v>
      </x:c>
      <x:c r="N2855" s="10" t="n">
        <x:v>0</x:v>
      </x:c>
      <x:c r="O2855" s="2" t="str">
        <x:v>Tp Hồ Chí Minh|house</x:v>
      </x:c>
      <x:c r="P2855" s="10" t="n">
        <x:v>2</x:v>
      </x:c>
      <x:c r="Q2855" s="13" t="n">
        <x:f>IF(H2855="","",H2855/1000000000)</x:f>
        <x:v>1.55</x:v>
      </x:c>
      <x:c r="R2855" s="13" t="n">
        <x:f>IF(I2855="","",I2855/1000000)</x:f>
        <x:v>62</x:v>
      </x:c>
    </x:row>
    <x:row r="2856" ht="21" customHeight="1">
      <x:c r="A2856" s="10" t="n">
        <x:v>3938</x:v>
      </x:c>
      <x:c r="B2856" s="2" t="str">
        <x:v>b4d7a5a14efcb6f6a763</x:v>
      </x:c>
      <x:c r="C2856" s="2" t="str">
        <x:v>Thừa Thiên Huế</x:v>
      </x:c>
      <x:c r="D2856" s="2" t="str">
        <x:v>Thị xã Hương Thủy</x:v>
      </x:c>
      <x:c r="E2856" s="2" t="str">
        <x:v>other_unknown</x:v>
      </x:c>
      <x:c r="F2856" s="2" t="str">
        <x:v>sale_assumed</x:v>
      </x:c>
      <x:c r="G2856" s="11" t="n">
        <x:v>221.8</x:v>
      </x:c>
      <x:c r="H2856" s="12" t="n">
        <x:v>620000000</x:v>
      </x:c>
      <x:c r="I2856" s="12" t="n">
        <x:v>2795311.0910730385</x:v>
      </x:c>
      <x:c r="J2856" s="2" t="str">
        <x:v>total</x:v>
      </x:c>
      <x:c r="K2856" s="2" t="str">
        <x:v>top_level_area</x:v>
      </x:c>
      <x:c r="L2856" s="2" t="str">
        <x:v>property_type_inferred_from_title;transaction_assumed_sale_from_dataset_context;unknown_property_type</x:v>
      </x:c>
      <x:c r="M2856" s="10" t="n">
        <x:v>0</x:v>
      </x:c>
      <x:c r="N2856" s="10" t="n">
        <x:v>0</x:v>
      </x:c>
      <x:c r="O2856" s="2" t="str">
        <x:v>other_unknown</x:v>
      </x:c>
      <x:c r="P2856" s="10" t="n">
        <x:v>1</x:v>
      </x:c>
      <x:c r="Q2856" s="13" t="n">
        <x:f>IF(H2856="","",H2856/1000000000)</x:f>
        <x:v>0.62</x:v>
      </x:c>
      <x:c r="R2856" s="13" t="n">
        <x:f>IF(I2856="","",I2856/1000000)</x:f>
        <x:v>2.7953110910730383</x:v>
      </x:c>
    </x:row>
    <x:row r="2857" ht="21" customHeight="1">
      <x:c r="A2857" s="10" t="n">
        <x:v>3939</x:v>
      </x:c>
      <x:c r="B2857" s="2" t="str">
        <x:v>0200a8bd9c582600245f</x:v>
      </x:c>
      <x:c r="C2857" s="2" t="str">
        <x:v>Hà Nội</x:v>
      </x:c>
      <x:c r="D2857" s="2" t="str">
        <x:v>Quận Hai Bà Trưng</x:v>
      </x:c>
      <x:c r="E2857" s="2" t="str">
        <x:v>house</x:v>
      </x:c>
      <x:c r="F2857" s="2" t="str">
        <x:v>sale_assumed</x:v>
      </x:c>
      <x:c r="G2857" s="11" t="n">
        <x:v>65</x:v>
      </x:c>
      <x:c r="H2857" s="12" t="n">
        <x:v>4850000000</x:v>
      </x:c>
      <x:c r="I2857" s="12" t="n">
        <x:v>74615384.61538461</x:v>
      </x:c>
      <x:c r="J2857" s="2" t="str">
        <x:v>total</x:v>
      </x:c>
      <x:c r="K2857" s="2" t="str">
        <x:v>top_level_area</x:v>
      </x:c>
      <x:c r="L2857" s="2" t="str">
        <x:v>property_type_inferred_from_title;transaction_assumed_sale_from_dataset_context</x:v>
      </x:c>
      <x:c r="M2857" s="10" t="n">
        <x:v>0</x:v>
      </x:c>
      <x:c r="N2857" s="10" t="n">
        <x:v>0</x:v>
      </x:c>
      <x:c r="O2857" s="2" t="str">
        <x:v>Hà Nội|house</x:v>
      </x:c>
      <x:c r="P2857" s="10" t="n">
        <x:v>2</x:v>
      </x:c>
      <x:c r="Q2857" s="13" t="n">
        <x:f>IF(H2857="","",H2857/1000000000)</x:f>
        <x:v>4.85</x:v>
      </x:c>
      <x:c r="R2857" s="13" t="n">
        <x:f>IF(I2857="","",I2857/1000000)</x:f>
        <x:v>74.61538461538461</x:v>
      </x:c>
    </x:row>
    <x:row r="2858" ht="21" customHeight="1">
      <x:c r="A2858" s="10" t="n">
        <x:v>3940</x:v>
      </x:c>
      <x:c r="B2858" s="2" t="str">
        <x:v>0258531fa50f59b1bb03</x:v>
      </x:c>
      <x:c r="C2858" s="2" t="str">
        <x:v>Đà Nẵng</x:v>
      </x:c>
      <x:c r="D2858" s="2" t="str">
        <x:v>Quận Hải Châu</x:v>
      </x:c>
      <x:c r="E2858" s="2" t="str">
        <x:v>house</x:v>
      </x:c>
      <x:c r="F2858" s="2" t="str">
        <x:v>sale_assumed</x:v>
      </x:c>
      <x:c r="G2858" s="11" t="n">
        <x:v>25</x:v>
      </x:c>
      <x:c r="H2858" s="12" t="n">
        <x:v>2700000000</x:v>
      </x:c>
      <x:c r="I2858" s="12" t="n">
        <x:v>108000000</x:v>
      </x:c>
      <x:c r="J2858" s="2" t="str">
        <x:v>total</x:v>
      </x:c>
      <x:c r="K2858" s="2" t="str">
        <x:v>top_level_area</x:v>
      </x:c>
      <x:c r="L2858" s="2" t="str">
        <x:v>property_type_inferred_from_title;transaction_assumed_sale_from_dataset_context</x:v>
      </x:c>
      <x:c r="M2858" s="10" t="n">
        <x:v>0</x:v>
      </x:c>
      <x:c r="N2858" s="10" t="n">
        <x:v>0</x:v>
      </x:c>
      <x:c r="O2858" s="2" t="str">
        <x:v>Đà Nẵng|house</x:v>
      </x:c>
      <x:c r="P2858" s="10" t="n">
        <x:v>2</x:v>
      </x:c>
      <x:c r="Q2858" s="13" t="n">
        <x:f>IF(H2858="","",H2858/1000000000)</x:f>
        <x:v>2.7</x:v>
      </x:c>
      <x:c r="R2858" s="13" t="n">
        <x:f>IF(I2858="","",I2858/1000000)</x:f>
        <x:v>108</x:v>
      </x:c>
    </x:row>
    <x:row r="2859" ht="21" customHeight="1">
      <x:c r="A2859" s="10" t="n">
        <x:v>3941</x:v>
      </x:c>
      <x:c r="B2859" s="2" t="str">
        <x:v>668028d3eb932e0bdde9</x:v>
      </x:c>
      <x:c r="C2859" s="2" t="str">
        <x:v>Hà Nội</x:v>
      </x:c>
      <x:c r="D2859" s="2" t="str">
        <x:v>Quận Hà Đông</x:v>
      </x:c>
      <x:c r="E2859" s="2" t="str">
        <x:v>other_unknown</x:v>
      </x:c>
      <x:c r="F2859" s="2" t="str">
        <x:v>sale_assumed</x:v>
      </x:c>
      <x:c r="G2859" s="11" t="n">
        <x:v>95</x:v>
      </x:c>
      <x:c r="H2859" s="12" t="n">
        <x:v>8199999999.999999</x:v>
      </x:c>
      <x:c r="I2859" s="12" t="n">
        <x:v>86315789.4736842</x:v>
      </x:c>
      <x:c r="J2859" s="2" t="str">
        <x:v>total</x:v>
      </x:c>
      <x:c r="K2859" s="2" t="str">
        <x:v>top_level_area</x:v>
      </x:c>
      <x:c r="L2859" s="2" t="str">
        <x:v>property_type_inferred_from_title;transaction_assumed_sale_from_dataset_context;unknown_property_type</x:v>
      </x:c>
      <x:c r="M2859" s="10" t="n">
        <x:v>0</x:v>
      </x:c>
      <x:c r="N2859" s="10" t="n">
        <x:v>0</x:v>
      </x:c>
      <x:c r="O2859" s="2" t="str">
        <x:v>Hà Nội|other_unknown</x:v>
      </x:c>
      <x:c r="P2859" s="10" t="n">
        <x:v>2</x:v>
      </x:c>
      <x:c r="Q2859" s="13" t="n">
        <x:f>IF(H2859="","",H2859/1000000000)</x:f>
        <x:v>8.2</x:v>
      </x:c>
      <x:c r="R2859" s="13" t="n">
        <x:f>IF(I2859="","",I2859/1000000)</x:f>
        <x:v>86.3157894736842</x:v>
      </x:c>
    </x:row>
    <x:row r="2860" ht="21" customHeight="1">
      <x:c r="A2860" s="10" t="n">
        <x:v>3942</x:v>
      </x:c>
      <x:c r="B2860" s="2" t="str">
        <x:v>57a60de0c8944eab13d7</x:v>
      </x:c>
      <x:c r="C2860" s="2" t="str">
        <x:v>Tp Hồ Chí Minh</x:v>
      </x:c>
      <x:c r="D2860" s="2" t="str">
        <x:v>Huyện Hóc Môn</x:v>
      </x:c>
      <x:c r="E2860" s="2" t="str">
        <x:v>other_unknown</x:v>
      </x:c>
      <x:c r="F2860" s="2" t="str">
        <x:v>sale</x:v>
      </x:c>
      <x:c r="G2860" s="11" t="n">
        <x:v>276</x:v>
      </x:c>
      <x:c r="H2860" s="12" t="n">
        <x:v>8000000000</x:v>
      </x:c>
      <x:c r="I2860" s="12" t="n">
        <x:v>28985507.246376812</x:v>
      </x:c>
      <x:c r="J2860" s="2" t="str">
        <x:v>total</x:v>
      </x:c>
      <x:c r="K2860" s="2" t="str">
        <x:v>top_level_area</x:v>
      </x:c>
      <x:c r="L2860" s="2" t="str">
        <x:v>property_type_inferred_from_title;unknown_property_type</x:v>
      </x:c>
      <x:c r="M2860" s="10" t="n">
        <x:v>0</x:v>
      </x:c>
      <x:c r="N2860" s="10" t="n">
        <x:v>0</x:v>
      </x:c>
      <x:c r="O2860" s="2" t="str">
        <x:v>Tp Hồ Chí Minh|other_unknown</x:v>
      </x:c>
      <x:c r="P2860" s="10" t="n">
        <x:v>2</x:v>
      </x:c>
      <x:c r="Q2860" s="13" t="n">
        <x:f>IF(H2860="","",H2860/1000000000)</x:f>
        <x:v>8</x:v>
      </x:c>
      <x:c r="R2860" s="13" t="n">
        <x:f>IF(I2860="","",I2860/1000000)</x:f>
        <x:v>28.985507246376812</x:v>
      </x:c>
    </x:row>
    <x:row r="2861" ht="21" customHeight="1">
      <x:c r="A2861" s="10" t="n">
        <x:v>3943</x:v>
      </x:c>
      <x:c r="B2861" s="2" t="str">
        <x:v>17f18a786f237110eaf3</x:v>
      </x:c>
      <x:c r="C2861" s="2" t="str">
        <x:v>Hà Nội</x:v>
      </x:c>
      <x:c r="D2861" s="2" t="str">
        <x:v>Quận Hoàng Mai</x:v>
      </x:c>
      <x:c r="E2861" s="2" t="str">
        <x:v>apartment</x:v>
      </x:c>
      <x:c r="F2861" s="2" t="str">
        <x:v>sale_assumed</x:v>
      </x:c>
      <x:c r="G2861" s="11" t="n">
        <x:v>67</x:v>
      </x:c>
      <x:c r="H2861" s="12" t="n">
        <x:v>1075000000</x:v>
      </x:c>
      <x:c r="I2861" s="12" t="n">
        <x:v>16044776.119402984</x:v>
      </x:c>
      <x:c r="J2861" s="2" t="str">
        <x:v>total</x:v>
      </x:c>
      <x:c r="K2861" s="2" t="str">
        <x:v>top_level_area</x:v>
      </x:c>
      <x:c r="L2861" s="2" t="str">
        <x:v>property_type_inferred_from_title;transaction_assumed_sale_from_dataset_context</x:v>
      </x:c>
      <x:c r="M2861" s="10" t="n">
        <x:v>0</x:v>
      </x:c>
      <x:c r="N2861" s="10" t="n">
        <x:v>0</x:v>
      </x:c>
      <x:c r="O2861" s="2" t="str">
        <x:v>Hà Nội|apartment</x:v>
      </x:c>
      <x:c r="P2861" s="10" t="n">
        <x:v>2</x:v>
      </x:c>
      <x:c r="Q2861" s="13" t="n">
        <x:f>IF(H2861="","",H2861/1000000000)</x:f>
        <x:v>1.075</x:v>
      </x:c>
      <x:c r="R2861" s="13" t="n">
        <x:f>IF(I2861="","",I2861/1000000)</x:f>
        <x:v>16.044776119402986</x:v>
      </x:c>
    </x:row>
    <x:row r="2862" ht="21" customHeight="1">
      <x:c r="A2862" s="10" t="n">
        <x:v>3944</x:v>
      </x:c>
      <x:c r="B2862" s="2" t="str">
        <x:v>d25e39a3ffa11214a4cb</x:v>
      </x:c>
      <x:c r="C2862" s="2" t="str">
        <x:v>Hà Nội</x:v>
      </x:c>
      <x:c r="D2862" s="2" t="str">
        <x:v>Quận Hà Đông</x:v>
      </x:c>
      <x:c r="E2862" s="2" t="str">
        <x:v>house</x:v>
      </x:c>
      <x:c r="F2862" s="2" t="str">
        <x:v>sale</x:v>
      </x:c>
      <x:c r="G2862" s="11" t="n">
        <x:v>45</x:v>
      </x:c>
      <x:c r="H2862" s="12" t="n">
        <x:v>6000000000</x:v>
      </x:c>
      <x:c r="I2862" s="12" t="n">
        <x:v>133333333.33333333</x:v>
      </x:c>
      <x:c r="J2862" s="2" t="str">
        <x:v>total</x:v>
      </x:c>
      <x:c r="K2862" s="2" t="str">
        <x:v>top_level_area</x:v>
      </x:c>
      <x:c r="L2862" s="2" t="str">
        <x:v>property_type_inferred_from_title</x:v>
      </x:c>
      <x:c r="M2862" s="10" t="n">
        <x:v>0</x:v>
      </x:c>
      <x:c r="N2862" s="10" t="n">
        <x:v>0</x:v>
      </x:c>
      <x:c r="O2862" s="2" t="str">
        <x:v>Hà Nội|house</x:v>
      </x:c>
      <x:c r="P2862" s="10" t="n">
        <x:v>2</x:v>
      </x:c>
      <x:c r="Q2862" s="13" t="n">
        <x:f>IF(H2862="","",H2862/1000000000)</x:f>
        <x:v>6</x:v>
      </x:c>
      <x:c r="R2862" s="13" t="n">
        <x:f>IF(I2862="","",I2862/1000000)</x:f>
        <x:v>133.33333333333331</x:v>
      </x:c>
    </x:row>
    <x:row r="2863" ht="21" customHeight="1">
      <x:c r="A2863" s="10" t="n">
        <x:v>3945</x:v>
      </x:c>
      <x:c r="B2863" s="2" t="str">
        <x:v>cdbbd46b4009fabfbb4b</x:v>
      </x:c>
      <x:c r="C2863" s="2" t="str">
        <x:v>Sóc Trăng</x:v>
      </x:c>
      <x:c r="D2863" s="2" t="str">
        <x:v>Thành phố Sóc Trăng</x:v>
      </x:c>
      <x:c r="E2863" s="2" t="str">
        <x:v>land</x:v>
      </x:c>
      <x:c r="F2863" s="2" t="str">
        <x:v>sale</x:v>
      </x:c>
      <x:c r="G2863" s="11" t="n">
        <x:v>110</x:v>
      </x:c>
      <x:c r="H2863" s="12" t="n">
        <x:v>125000000</x:v>
      </x:c>
      <x:c r="I2863" s="12" t="n">
        <x:v>1136363.6363636365</x:v>
      </x:c>
      <x:c r="J2863" s="2" t="str">
        <x:v>total</x:v>
      </x:c>
      <x:c r="K2863" s="2" t="str">
        <x:v>top_level_area</x:v>
      </x:c>
      <x:c r="L2863" s="2" t="str">
        <x:v>property_type_inferred_from_title</x:v>
      </x:c>
      <x:c r="M2863" s="10" t="n">
        <x:v>0</x:v>
      </x:c>
      <x:c r="N2863" s="10" t="n">
        <x:v>0</x:v>
      </x:c>
      <x:c r="O2863" s="2" t="str">
        <x:v>land</x:v>
      </x:c>
      <x:c r="P2863" s="10" t="n">
        <x:v>1</x:v>
      </x:c>
      <x:c r="Q2863" s="13" t="n">
        <x:f>IF(H2863="","",H2863/1000000000)</x:f>
        <x:v>0.125</x:v>
      </x:c>
      <x:c r="R2863" s="13" t="n">
        <x:f>IF(I2863="","",I2863/1000000)</x:f>
        <x:v>1.1363636363636365</x:v>
      </x:c>
    </x:row>
    <x:row r="2864" ht="21" customHeight="1">
      <x:c r="A2864" s="10" t="n">
        <x:v>3946</x:v>
      </x:c>
      <x:c r="B2864" s="2" t="str">
        <x:v>e1e3395f8fb7aeb816c1</x:v>
      </x:c>
      <x:c r="C2864" s="2" t="str">
        <x:v>Hà Nội</x:v>
      </x:c>
      <x:c r="D2864" s="2" t="str">
        <x:v>Quận Hà Đông</x:v>
      </x:c>
      <x:c r="E2864" s="2" t="str">
        <x:v>land</x:v>
      </x:c>
      <x:c r="F2864" s="2" t="str">
        <x:v>sale_assumed</x:v>
      </x:c>
      <x:c r="G2864" s="11" t="n">
        <x:v>38.4</x:v>
      </x:c>
      <x:c r="H2864" s="12" t="n">
        <x:v>1600000000</x:v>
      </x:c>
      <x:c r="I2864" s="12" t="n">
        <x:v>41666666.66666667</x:v>
      </x:c>
      <x:c r="J2864" s="2" t="str">
        <x:v>total</x:v>
      </x:c>
      <x:c r="K2864" s="2" t="str">
        <x:v>top_level_area</x:v>
      </x:c>
      <x:c r="L2864" s="2" t="str">
        <x:v>property_type_inferred_from_title;transaction_assumed_sale_from_dataset_context</x:v>
      </x:c>
      <x:c r="M2864" s="10" t="n">
        <x:v>0</x:v>
      </x:c>
      <x:c r="N2864" s="10" t="n">
        <x:v>0</x:v>
      </x:c>
      <x:c r="O2864" s="2" t="str">
        <x:v>Hà Nội|land</x:v>
      </x:c>
      <x:c r="P2864" s="10" t="n">
        <x:v>2</x:v>
      </x:c>
      <x:c r="Q2864" s="13" t="n">
        <x:f>IF(H2864="","",H2864/1000000000)</x:f>
        <x:v>1.6</x:v>
      </x:c>
      <x:c r="R2864" s="13" t="n">
        <x:f>IF(I2864="","",I2864/1000000)</x:f>
        <x:v>41.66666666666667</x:v>
      </x:c>
    </x:row>
    <x:row r="2865" ht="21" customHeight="1">
      <x:c r="A2865" s="10" t="n">
        <x:v>3947</x:v>
      </x:c>
      <x:c r="B2865" s="2" t="str">
        <x:v>75fdd1b26f950b3e861a</x:v>
      </x:c>
      <x:c r="C2865" s="2" t="str">
        <x:v>Hà Nội</x:v>
      </x:c>
      <x:c r="D2865" s="2" t="str">
        <x:v>Quận Hà Đông</x:v>
      </x:c>
      <x:c r="E2865" s="2" t="str">
        <x:v>land</x:v>
      </x:c>
      <x:c r="F2865" s="2" t="str">
        <x:v>sale_assumed</x:v>
      </x:c>
      <x:c r="G2865" s="11" t="n">
        <x:v>52</x:v>
      </x:c>
      <x:c r="H2865" s="12" t="n">
        <x:v>1500000000</x:v>
      </x:c>
      <x:c r="I2865" s="12" t="n">
        <x:v>28846153.846153848</x:v>
      </x:c>
      <x:c r="J2865" s="2" t="str">
        <x:v>total</x:v>
      </x:c>
      <x:c r="K2865" s="2" t="str">
        <x:v>top_level_area</x:v>
      </x:c>
      <x:c r="L2865" s="2" t="str">
        <x:v>property_type_inferred_from_title;transaction_assumed_sale_from_dataset_context</x:v>
      </x:c>
      <x:c r="M2865" s="10" t="n">
        <x:v>0</x:v>
      </x:c>
      <x:c r="N2865" s="10" t="n">
        <x:v>0</x:v>
      </x:c>
      <x:c r="O2865" s="2" t="str">
        <x:v>Hà Nội|land</x:v>
      </x:c>
      <x:c r="P2865" s="10" t="n">
        <x:v>2</x:v>
      </x:c>
      <x:c r="Q2865" s="13" t="n">
        <x:f>IF(H2865="","",H2865/1000000000)</x:f>
        <x:v>1.5</x:v>
      </x:c>
      <x:c r="R2865" s="13" t="n">
        <x:f>IF(I2865="","",I2865/1000000)</x:f>
        <x:v>28.846153846153847</x:v>
      </x:c>
    </x:row>
    <x:row r="2866" ht="21" customHeight="1">
      <x:c r="A2866" s="10" t="n">
        <x:v>3948</x:v>
      </x:c>
      <x:c r="B2866" s="2" t="str">
        <x:v>c6e1bfe4853c88960eed</x:v>
      </x:c>
      <x:c r="C2866" s="2" t="str">
        <x:v>Đồng Nai</x:v>
      </x:c>
      <x:c r="D2866" s="2" t="str">
        <x:v>Huyện Định Quán</x:v>
      </x:c>
      <x:c r="E2866" s="2" t="str">
        <x:v>other_unknown</x:v>
      </x:c>
      <x:c r="F2866" s="2" t="str">
        <x:v>sale</x:v>
      </x:c>
      <x:c r="G2866" s="11" t="n">
        <x:v>1000</x:v>
      </x:c>
      <x:c r="H2866" s="12" t="n">
        <x:v>600000000</x:v>
      </x:c>
      <x:c r="I2866" s="12" t="n">
        <x:v>600000</x:v>
      </x:c>
      <x:c r="J2866" s="2" t="str">
        <x:v>total</x:v>
      </x:c>
      <x:c r="K2866" s="2" t="str">
        <x:v>top_level_area</x:v>
      </x:c>
      <x:c r="L2866" s="2" t="str">
        <x:v>dot_thousands_convention;property_type_inferred_from_title;unknown_property_type</x:v>
      </x:c>
      <x:c r="M2866" s="10" t="n">
        <x:v>0</x:v>
      </x:c>
      <x:c r="N2866" s="10" t="n">
        <x:v>0</x:v>
      </x:c>
      <x:c r="O2866" s="2" t="str">
        <x:v>Đồng Nai|other_unknown</x:v>
      </x:c>
      <x:c r="P2866" s="10" t="n">
        <x:v>1</x:v>
      </x:c>
      <x:c r="Q2866" s="13" t="n">
        <x:f>IF(H2866="","",H2866/1000000000)</x:f>
        <x:v>0.6</x:v>
      </x:c>
      <x:c r="R2866" s="13" t="n">
        <x:f>IF(I2866="","",I2866/1000000)</x:f>
        <x:v>0.6</x:v>
      </x:c>
    </x:row>
    <x:row r="2867" ht="21" customHeight="1">
      <x:c r="A2867" s="10" t="n">
        <x:v>3949</x:v>
      </x:c>
      <x:c r="B2867" s="2" t="str">
        <x:v>1403b09bde65bb7e3de3</x:v>
      </x:c>
      <x:c r="C2867" s="2" t="str">
        <x:v>Cần Thơ</x:v>
      </x:c>
      <x:c r="D2867" s="2" t="str">
        <x:v>Quận Ninh Kiều</x:v>
      </x:c>
      <x:c r="E2867" s="2" t="str">
        <x:v>house</x:v>
      </x:c>
      <x:c r="F2867" s="2" t="str">
        <x:v>sale_assumed</x:v>
      </x:c>
      <x:c r="G2867" s="11" t="n">
        <x:v>89</x:v>
      </x:c>
      <x:c r="H2867" s="12" t="n">
        <x:v>13990000000</x:v>
      </x:c>
      <x:c r="I2867" s="12" t="n">
        <x:v>157191011.23595506</x:v>
      </x:c>
      <x:c r="J2867" s="2" t="str">
        <x:v>total</x:v>
      </x:c>
      <x:c r="K2867" s="2" t="str">
        <x:v>top_level_area</x:v>
      </x:c>
      <x:c r="L2867" s="2" t="str">
        <x:v>property_type_inferred_from_title;transaction_assumed_sale_from_dataset_context</x:v>
      </x:c>
      <x:c r="M2867" s="10" t="n">
        <x:v>0</x:v>
      </x:c>
      <x:c r="N2867" s="10" t="n">
        <x:v>1</x:v>
      </x:c>
      <x:c r="O2867" s="2" t="str">
        <x:v>Cần Thơ|house</x:v>
      </x:c>
      <x:c r="P2867" s="10" t="n">
        <x:v>-1</x:v>
      </x:c>
      <x:c r="Q2867" s="13" t="n">
        <x:f>IF(H2867="","",H2867/1000000000)</x:f>
        <x:v>13.99</x:v>
      </x:c>
      <x:c r="R2867" s="13" t="n">
        <x:f>IF(I2867="","",I2867/1000000)</x:f>
        <x:v>157.19101123595505</x:v>
      </x:c>
    </x:row>
    <x:row r="2868" ht="21" customHeight="1">
      <x:c r="A2868" s="10" t="n">
        <x:v>3950</x:v>
      </x:c>
      <x:c r="B2868" s="2" t="str">
        <x:v>5db2560b728fe9037f76</x:v>
      </x:c>
      <x:c r="C2868" s="2" t="str">
        <x:v>Tp Hồ Chí Minh</x:v>
      </x:c>
      <x:c r="D2868" s="2" t="str">
        <x:v>Huyện Bình Chánh</x:v>
      </x:c>
      <x:c r="E2868" s="2" t="str">
        <x:v>land</x:v>
      </x:c>
      <x:c r="F2868" s="2" t="str">
        <x:v>sale</x:v>
      </x:c>
      <x:c r="G2868" s="11" t="n">
        <x:v>174</x:v>
      </x:c>
      <x:c r="H2868" s="12" t="n">
        <x:v>1700000000</x:v>
      </x:c>
      <x:c r="I2868" s="12" t="n">
        <x:v>9770114.942528736</x:v>
      </x:c>
      <x:c r="J2868" s="2" t="str">
        <x:v>total</x:v>
      </x:c>
      <x:c r="K2868" s="2" t="str">
        <x:v>top_level_area</x:v>
      </x:c>
      <x:c r="L2868" s="2" t="str">
        <x:v>property_type_inferred_from_title</x:v>
      </x:c>
      <x:c r="M2868" s="10" t="n">
        <x:v>0</x:v>
      </x:c>
      <x:c r="N2868" s="10" t="n">
        <x:v>0</x:v>
      </x:c>
      <x:c r="O2868" s="2" t="str">
        <x:v>Tp Hồ Chí Minh|land</x:v>
      </x:c>
      <x:c r="P2868" s="10" t="n">
        <x:v>2</x:v>
      </x:c>
      <x:c r="Q2868" s="13" t="n">
        <x:f>IF(H2868="","",H2868/1000000000)</x:f>
        <x:v>1.7</x:v>
      </x:c>
      <x:c r="R2868" s="13" t="n">
        <x:f>IF(I2868="","",I2868/1000000)</x:f>
        <x:v>9.770114942528735</x:v>
      </x:c>
    </x:row>
    <x:row r="2869" ht="21" customHeight="1">
      <x:c r="A2869" s="10" t="n">
        <x:v>3951</x:v>
      </x:c>
      <x:c r="B2869" s="2" t="str">
        <x:v>0c347fc6a674495f6c3d</x:v>
      </x:c>
      <x:c r="C2869" s="2" t="str">
        <x:v>Lâm Đồng</x:v>
      </x:c>
      <x:c r="D2869" s="2" t="str">
        <x:v>Huyện Bảo Lâm</x:v>
      </x:c>
      <x:c r="E2869" s="2" t="str">
        <x:v>house</x:v>
      </x:c>
      <x:c r="F2869" s="2" t="str">
        <x:v>sale_assumed</x:v>
      </x:c>
      <x:c r="G2869" s="11" t="n">
        <x:v>230</x:v>
      </x:c>
      <x:c r="H2869" s="12" t="n">
        <x:v>900000000</x:v>
      </x:c>
      <x:c r="I2869" s="12" t="n">
        <x:v>3913043.4782608696</x:v>
      </x:c>
      <x:c r="J2869" s="2" t="str">
        <x:v>total</x:v>
      </x:c>
      <x:c r="K2869" s="2" t="str">
        <x:v>top_level_area</x:v>
      </x:c>
      <x:c r="L2869" s="2" t="str">
        <x:v>property_type_inferred_from_title;transaction_assumed_sale_from_dataset_context</x:v>
      </x:c>
      <x:c r="M2869" s="10" t="n">
        <x:v>0</x:v>
      </x:c>
      <x:c r="N2869" s="10" t="n">
        <x:v>0</x:v>
      </x:c>
      <x:c r="O2869" s="2" t="str">
        <x:v>house</x:v>
      </x:c>
      <x:c r="P2869" s="10" t="n">
        <x:v>1</x:v>
      </x:c>
      <x:c r="Q2869" s="13" t="n">
        <x:f>IF(H2869="","",H2869/1000000000)</x:f>
        <x:v>0.9</x:v>
      </x:c>
      <x:c r="R2869" s="13" t="n">
        <x:f>IF(I2869="","",I2869/1000000)</x:f>
        <x:v>3.9130434782608696</x:v>
      </x:c>
    </x:row>
    <x:row r="2870" ht="21" customHeight="1">
      <x:c r="A2870" s="10" t="n">
        <x:v>3952</x:v>
      </x:c>
      <x:c r="B2870" s="2" t="str">
        <x:v>c842579306a23ab60415</x:v>
      </x:c>
      <x:c r="C2870" s="2" t="str">
        <x:v>Cần Thơ</x:v>
      </x:c>
      <x:c r="D2870" s="2" t="str">
        <x:v>Quận Cái Răng</x:v>
      </x:c>
      <x:c r="E2870" s="2" t="str">
        <x:v>land</x:v>
      </x:c>
      <x:c r="F2870" s="2" t="str">
        <x:v>sale</x:v>
      </x:c>
      <x:c r="G2870" s="11" t="n">
        <x:v>142</x:v>
      </x:c>
      <x:c r="H2870" s="12" t="n">
        <x:v>6500000000</x:v>
      </x:c>
      <x:c r="I2870" s="12" t="n">
        <x:v>45774647.887323946</x:v>
      </x:c>
      <x:c r="J2870" s="2" t="str">
        <x:v>total</x:v>
      </x:c>
      <x:c r="K2870" s="2" t="str">
        <x:v>top_level_area</x:v>
      </x:c>
      <x:c r="L2870" s="2" t="str">
        <x:v>property_type_inferred_from_title</x:v>
      </x:c>
      <x:c r="M2870" s="10" t="n">
        <x:v>0</x:v>
      </x:c>
      <x:c r="N2870" s="10" t="n">
        <x:v>0</x:v>
      </x:c>
      <x:c r="O2870" s="2" t="str">
        <x:v>Cần Thơ|land</x:v>
      </x:c>
      <x:c r="P2870" s="10" t="n">
        <x:v>2</x:v>
      </x:c>
      <x:c r="Q2870" s="13" t="n">
        <x:f>IF(H2870="","",H2870/1000000000)</x:f>
        <x:v>6.5</x:v>
      </x:c>
      <x:c r="R2870" s="13" t="n">
        <x:f>IF(I2870="","",I2870/1000000)</x:f>
        <x:v>45.774647887323944</x:v>
      </x:c>
    </x:row>
    <x:row r="2871" ht="21" customHeight="1">
      <x:c r="A2871" s="10" t="n">
        <x:v>3953</x:v>
      </x:c>
      <x:c r="B2871" s="2" t="str">
        <x:v>e80f49e51127f146339a</x:v>
      </x:c>
      <x:c r="C2871" s="2" t="str">
        <x:v>Hà Nội</x:v>
      </x:c>
      <x:c r="D2871" s="2" t="str">
        <x:v>Huyện Mê Linh</x:v>
      </x:c>
      <x:c r="E2871" s="2" t="str">
        <x:v>other_unknown</x:v>
      </x:c>
      <x:c r="F2871" s="2" t="str">
        <x:v>sale</x:v>
      </x:c>
      <x:c r="G2871" s="11" t="n">
        <x:v>113</x:v>
      </x:c>
      <x:c r="H2871" s="12" t="n">
        <x:v>850000000</x:v>
      </x:c>
      <x:c r="I2871" s="12" t="n">
        <x:v>7522123.89380531</x:v>
      </x:c>
      <x:c r="J2871" s="2" t="str">
        <x:v>total</x:v>
      </x:c>
      <x:c r="K2871" s="2" t="str">
        <x:v>top_level_area</x:v>
      </x:c>
      <x:c r="L2871" s="2" t="str">
        <x:v>property_type_inferred_from_title;unknown_property_type</x:v>
      </x:c>
      <x:c r="M2871" s="10" t="n">
        <x:v>0</x:v>
      </x:c>
      <x:c r="N2871" s="10" t="n">
        <x:v>0</x:v>
      </x:c>
      <x:c r="O2871" s="2" t="str">
        <x:v>Hà Nội|other_unknown</x:v>
      </x:c>
      <x:c r="P2871" s="10" t="n">
        <x:v>2</x:v>
      </x:c>
      <x:c r="Q2871" s="13" t="n">
        <x:f>IF(H2871="","",H2871/1000000000)</x:f>
        <x:v>0.85</x:v>
      </x:c>
      <x:c r="R2871" s="13" t="n">
        <x:f>IF(I2871="","",I2871/1000000)</x:f>
        <x:v>7.52212389380531</x:v>
      </x:c>
    </x:row>
    <x:row r="2872" ht="21" customHeight="1">
      <x:c r="A2872" s="10" t="n">
        <x:v>3954</x:v>
      </x:c>
      <x:c r="B2872" s="2" t="str">
        <x:v>ac58cc79581a284d9853</x:v>
      </x:c>
      <x:c r="C2872" s="2" t="str">
        <x:v>Tp Hồ Chí Minh</x:v>
      </x:c>
      <x:c r="D2872" s="2" t="str">
        <x:v>Quận 8</x:v>
      </x:c>
      <x:c r="E2872" s="2" t="str">
        <x:v>apartment</x:v>
      </x:c>
      <x:c r="F2872" s="2" t="str">
        <x:v>sale_assumed</x:v>
      </x:c>
      <x:c r="G2872" s="11" t="n">
        <x:v>68</x:v>
      </x:c>
      <x:c r="H2872" s="12" t="n">
        <x:v>2400000000</x:v>
      </x:c>
      <x:c r="I2872" s="12" t="n">
        <x:v>35294117.64705882</x:v>
      </x:c>
      <x:c r="J2872" s="2" t="str">
        <x:v>total</x:v>
      </x:c>
      <x:c r="K2872" s="2" t="str">
        <x:v>top_level_area</x:v>
      </x:c>
      <x:c r="L2872" s="2" t="str">
        <x:v>property_type_inferred_from_title;transaction_assumed_sale_from_dataset_context</x:v>
      </x:c>
      <x:c r="M2872" s="10" t="n">
        <x:v>0</x:v>
      </x:c>
      <x:c r="N2872" s="10" t="n">
        <x:v>0</x:v>
      </x:c>
      <x:c r="O2872" s="2" t="str">
        <x:v>Tp Hồ Chí Minh|apartment</x:v>
      </x:c>
      <x:c r="P2872" s="10" t="n">
        <x:v>2</x:v>
      </x:c>
      <x:c r="Q2872" s="13" t="n">
        <x:f>IF(H2872="","",H2872/1000000000)</x:f>
        <x:v>2.4</x:v>
      </x:c>
      <x:c r="R2872" s="13" t="n">
        <x:f>IF(I2872="","",I2872/1000000)</x:f>
        <x:v>35.29411764705882</x:v>
      </x:c>
    </x:row>
    <x:row r="2873" ht="21" customHeight="1">
      <x:c r="A2873" s="10" t="n">
        <x:v>3955</x:v>
      </x:c>
      <x:c r="B2873" s="2" t="str">
        <x:v>ad8895e64769871a217a</x:v>
      </x:c>
      <x:c r="C2873" s="2" t="str">
        <x:v>Hà Nội</x:v>
      </x:c>
      <x:c r="D2873" s="2" t="str">
        <x:v>Quận Hai Bà Trưng</x:v>
      </x:c>
      <x:c r="E2873" s="2" t="str">
        <x:v>house</x:v>
      </x:c>
      <x:c r="F2873" s="2" t="str">
        <x:v>sale</x:v>
      </x:c>
      <x:c r="G2873" s="11" t="n">
        <x:v>40</x:v>
      </x:c>
      <x:c r="H2873" s="12" t="n">
        <x:v>3300000000</x:v>
      </x:c>
      <x:c r="I2873" s="12" t="n">
        <x:v>82500000</x:v>
      </x:c>
      <x:c r="J2873" s="2" t="str">
        <x:v>total</x:v>
      </x:c>
      <x:c r="K2873" s="2" t="str">
        <x:v>top_level_area</x:v>
      </x:c>
      <x:c r="L2873" s="2" t="str">
        <x:v>property_type_inferred_from_title</x:v>
      </x:c>
      <x:c r="M2873" s="10" t="n">
        <x:v>0</x:v>
      </x:c>
      <x:c r="N2873" s="10" t="n">
        <x:v>0</x:v>
      </x:c>
      <x:c r="O2873" s="2" t="str">
        <x:v>Hà Nội|house</x:v>
      </x:c>
      <x:c r="P2873" s="10" t="n">
        <x:v>2</x:v>
      </x:c>
      <x:c r="Q2873" s="13" t="n">
        <x:f>IF(H2873="","",H2873/1000000000)</x:f>
        <x:v>3.3</x:v>
      </x:c>
      <x:c r="R2873" s="13" t="n">
        <x:f>IF(I2873="","",I2873/1000000)</x:f>
        <x:v>82.5</x:v>
      </x:c>
    </x:row>
    <x:row r="2874" ht="21" customHeight="1">
      <x:c r="A2874" s="10" t="n">
        <x:v>3956</x:v>
      </x:c>
      <x:c r="B2874" s="2" t="str">
        <x:v>64e75c0c908e08fedf3f</x:v>
      </x:c>
      <x:c r="C2874" s="2" t="str">
        <x:v>Bình Phước</x:v>
      </x:c>
      <x:c r="D2874" s="2" t="str">
        <x:v>Huyện Lộc Ninh</x:v>
      </x:c>
      <x:c r="E2874" s="2" t="str">
        <x:v>other_unknown</x:v>
      </x:c>
      <x:c r="F2874" s="2" t="str">
        <x:v>sale</x:v>
      </x:c>
      <x:c r="G2874" s="11" t="n">
        <x:v>170000</x:v>
      </x:c>
      <x:c r="H2874" s="12" t="n">
        <x:v>1300000000</x:v>
      </x:c>
      <x:c r="I2874" s="12" t="n">
        <x:v>7647.058823529412</x:v>
      </x:c>
      <x:c r="J2874" s="2" t="str">
        <x:v>total</x:v>
      </x:c>
      <x:c r="K2874" s="2" t="str">
        <x:v>top_level_area</x:v>
      </x:c>
      <x:c r="L2874" s="2" t="str">
        <x:v>dot_thousands_convention;property_type_inferred_from_title;unknown_property_type</x:v>
      </x:c>
      <x:c r="M2874" s="10" t="n">
        <x:v>0</x:v>
      </x:c>
      <x:c r="N2874" s="10" t="n">
        <x:v>0</x:v>
      </x:c>
      <x:c r="O2874" s="2" t="str">
        <x:v>other_unknown</x:v>
      </x:c>
      <x:c r="P2874" s="10" t="n">
        <x:v>1</x:v>
      </x:c>
      <x:c r="Q2874" s="13" t="n">
        <x:f>IF(H2874="","",H2874/1000000000)</x:f>
        <x:v>1.3</x:v>
      </x:c>
      <x:c r="R2874" s="13" t="n">
        <x:f>IF(I2874="","",I2874/1000000)</x:f>
        <x:v>0.007647058823529411</x:v>
      </x:c>
    </x:row>
    <x:row r="2875" ht="21" customHeight="1">
      <x:c r="A2875" s="10" t="n">
        <x:v>3961</x:v>
      </x:c>
      <x:c r="B2875" s="2" t="str">
        <x:v>9cfdee7ab6fc3c3ad841</x:v>
      </x:c>
      <x:c r="C2875" s="2" t="str">
        <x:v>Hà Nội</x:v>
      </x:c>
      <x:c r="D2875" s="2" t="str">
        <x:v>Quận Hoàng Mai</x:v>
      </x:c>
      <x:c r="E2875" s="2" t="str">
        <x:v>other_unknown</x:v>
      </x:c>
      <x:c r="F2875" s="2" t="str">
        <x:v>sale_assumed</x:v>
      </x:c>
      <x:c r="G2875" s="11" t="n">
        <x:v>61</x:v>
      </x:c>
      <x:c r="H2875" s="12" t="n">
        <x:v>1150000000</x:v>
      </x:c>
      <x:c r="I2875" s="12" t="n">
        <x:v>18852459.01639344</x:v>
      </x:c>
      <x:c r="J2875" s="2" t="str">
        <x:v>total</x:v>
      </x:c>
      <x:c r="K2875" s="2" t="str">
        <x:v>top_level_area</x:v>
      </x:c>
      <x:c r="L2875" s="2" t="str">
        <x:v>property_type_inferred_from_title;transaction_assumed_sale_from_dataset_context;unknown_property_type</x:v>
      </x:c>
      <x:c r="M2875" s="10" t="n">
        <x:v>0</x:v>
      </x:c>
      <x:c r="N2875" s="10" t="n">
        <x:v>0</x:v>
      </x:c>
      <x:c r="O2875" s="2" t="str">
        <x:v>Hà Nội|other_unknown</x:v>
      </x:c>
      <x:c r="P2875" s="10" t="n">
        <x:v>2</x:v>
      </x:c>
      <x:c r="Q2875" s="13" t="n">
        <x:f>IF(H2875="","",H2875/1000000000)</x:f>
        <x:v>1.15</x:v>
      </x:c>
      <x:c r="R2875" s="13" t="n">
        <x:f>IF(I2875="","",I2875/1000000)</x:f>
        <x:v>18.852459016393443</x:v>
      </x:c>
    </x:row>
    <x:row r="2876" ht="21" customHeight="1">
      <x:c r="A2876" s="10" t="n">
        <x:v>3962</x:v>
      </x:c>
      <x:c r="B2876" s="2" t="str">
        <x:v>4060fa9712105a35a90f</x:v>
      </x:c>
      <x:c r="C2876" s="2" t="str">
        <x:v>An Giang</x:v>
      </x:c>
      <x:c r="D2876" s="2" t="str">
        <x:v>Thành phố Châu Đốc</x:v>
      </x:c>
      <x:c r="E2876" s="2" t="str">
        <x:v>land</x:v>
      </x:c>
      <x:c r="F2876" s="2" t="str">
        <x:v>sale_assumed</x:v>
      </x:c>
      <x:c r="G2876" s="11" t="n">
        <x:v>77.1</x:v>
      </x:c>
      <x:c r="H2876" s="12" t="n">
        <x:v>590000000</x:v>
      </x:c>
      <x:c r="I2876" s="12" t="n">
        <x:v>7652399.481193256</x:v>
      </x:c>
      <x:c r="J2876" s="2" t="str">
        <x:v>total</x:v>
      </x:c>
      <x:c r="K2876" s="2" t="str">
        <x:v>top_level_area</x:v>
      </x:c>
      <x:c r="L2876" s="2" t="str">
        <x:v>property_type_inferred_from_title;transaction_assumed_sale_from_dataset_context</x:v>
      </x:c>
      <x:c r="M2876" s="10" t="n">
        <x:v>0</x:v>
      </x:c>
      <x:c r="N2876" s="10" t="n">
        <x:v>0</x:v>
      </x:c>
      <x:c r="O2876" s="2" t="str">
        <x:v>land</x:v>
      </x:c>
      <x:c r="P2876" s="10" t="n">
        <x:v>2</x:v>
      </x:c>
      <x:c r="Q2876" s="13" t="n">
        <x:f>IF(H2876="","",H2876/1000000000)</x:f>
        <x:v>0.59</x:v>
      </x:c>
      <x:c r="R2876" s="13" t="n">
        <x:f>IF(I2876="","",I2876/1000000)</x:f>
        <x:v>7.652399481193256</x:v>
      </x:c>
    </x:row>
    <x:row r="2877" ht="21" customHeight="1">
      <x:c r="A2877" s="10" t="n">
        <x:v>3964</x:v>
      </x:c>
      <x:c r="B2877" s="2" t="str">
        <x:v>928384de27f2b0218875</x:v>
      </x:c>
      <x:c r="C2877" s="2" t="str">
        <x:v>Quảng Nam</x:v>
      </x:c>
      <x:c r="D2877" s="2" t="str">
        <x:v>Thành phố Tam Kỳ</x:v>
      </x:c>
      <x:c r="E2877" s="2" t="str">
        <x:v>land</x:v>
      </x:c>
      <x:c r="F2877" s="2" t="str">
        <x:v>sale_assumed</x:v>
      </x:c>
      <x:c r="G2877" s="11" t="n">
        <x:v>130</x:v>
      </x:c>
      <x:c r="H2877" s="12" t="n">
        <x:v>2400000000</x:v>
      </x:c>
      <x:c r="I2877" s="12" t="n">
        <x:v>18461538.46153846</x:v>
      </x:c>
      <x:c r="J2877" s="2" t="str">
        <x:v>total</x:v>
      </x:c>
      <x:c r="K2877" s="2" t="str">
        <x:v>top_level_area</x:v>
      </x:c>
      <x:c r="L2877" s="2" t="str">
        <x:v>property_type_inferred_from_title;transaction_assumed_sale_from_dataset_context</x:v>
      </x:c>
      <x:c r="M2877" s="10" t="n">
        <x:v>0</x:v>
      </x:c>
      <x:c r="N2877" s="10" t="n">
        <x:v>0</x:v>
      </x:c>
      <x:c r="O2877" s="2" t="str">
        <x:v>land</x:v>
      </x:c>
      <x:c r="P2877" s="10" t="n">
        <x:v>2</x:v>
      </x:c>
      <x:c r="Q2877" s="13" t="n">
        <x:f>IF(H2877="","",H2877/1000000000)</x:f>
        <x:v>2.4</x:v>
      </x:c>
      <x:c r="R2877" s="13" t="n">
        <x:f>IF(I2877="","",I2877/1000000)</x:f>
        <x:v>18.46153846153846</x:v>
      </x:c>
    </x:row>
    <x:row r="2878" ht="21" customHeight="1">
      <x:c r="A2878" s="10" t="n">
        <x:v>3965</x:v>
      </x:c>
      <x:c r="B2878" s="2" t="str">
        <x:v>14cb3da085bdf0ee7ea8</x:v>
      </x:c>
      <x:c r="C2878" s="2" t="str">
        <x:v>Hà Nội</x:v>
      </x:c>
      <x:c r="D2878" s="2" t="str">
        <x:v>Quận Nam Từ Liêm</x:v>
      </x:c>
      <x:c r="E2878" s="2" t="str">
        <x:v>apartment</x:v>
      </x:c>
      <x:c r="F2878" s="2" t="str">
        <x:v>sale_assumed</x:v>
      </x:c>
      <x:c r="G2878" s="11" t="n">
        <x:v>45</x:v>
      </x:c>
      <x:c r="H2878" s="12" t="n">
        <x:v>4400000000</x:v>
      </x:c>
      <x:c r="I2878" s="12" t="n">
        <x:v>97777777.77777778</x:v>
      </x:c>
      <x:c r="J2878" s="2" t="str">
        <x:v>total</x:v>
      </x:c>
      <x:c r="K2878" s="2" t="str">
        <x:v>top_level_area</x:v>
      </x:c>
      <x:c r="L2878" s="2" t="str">
        <x:v>property_type_inferred_from_title;transaction_assumed_sale_from_dataset_context</x:v>
      </x:c>
      <x:c r="M2878" s="10" t="n">
        <x:v>0</x:v>
      </x:c>
      <x:c r="N2878" s="10" t="n">
        <x:v>1</x:v>
      </x:c>
      <x:c r="O2878" s="2" t="str">
        <x:v>Hà Nội|apartment</x:v>
      </x:c>
      <x:c r="P2878" s="10" t="n">
        <x:v>-1</x:v>
      </x:c>
      <x:c r="Q2878" s="13" t="n">
        <x:f>IF(H2878="","",H2878/1000000000)</x:f>
        <x:v>4.4</x:v>
      </x:c>
      <x:c r="R2878" s="13" t="n">
        <x:f>IF(I2878="","",I2878/1000000)</x:f>
        <x:v>97.77777777777777</x:v>
      </x:c>
    </x:row>
    <x:row r="2879" ht="21" customHeight="1">
      <x:c r="A2879" s="10" t="n">
        <x:v>3966</x:v>
      </x:c>
      <x:c r="B2879" s="2" t="str">
        <x:v>4d00a632afc5b06512d5</x:v>
      </x:c>
      <x:c r="C2879" s="2" t="str">
        <x:v>Tp Hồ Chí Minh</x:v>
      </x:c>
      <x:c r="D2879" s="2" t="str">
        <x:v>Quận 4</x:v>
      </x:c>
      <x:c r="E2879" s="2" t="str">
        <x:v>house</x:v>
      </x:c>
      <x:c r="F2879" s="2" t="str">
        <x:v>sale</x:v>
      </x:c>
      <x:c r="G2879" s="11" t="n">
        <x:v>38</x:v>
      </x:c>
      <x:c r="H2879" s="12" t="n">
        <x:v>2800000000</x:v>
      </x:c>
      <x:c r="I2879" s="12" t="n">
        <x:v>73684210.5263158</x:v>
      </x:c>
      <x:c r="J2879" s="2" t="str">
        <x:v>total</x:v>
      </x:c>
      <x:c r="K2879" s="2" t="str">
        <x:v>top_level_area</x:v>
      </x:c>
      <x:c r="L2879" s="2" t="str">
        <x:v>property_type_inferred_from_title</x:v>
      </x:c>
      <x:c r="M2879" s="10" t="n">
        <x:v>0</x:v>
      </x:c>
      <x:c r="N2879" s="10" t="n">
        <x:v>0</x:v>
      </x:c>
      <x:c r="O2879" s="2" t="str">
        <x:v>Tp Hồ Chí Minh|house</x:v>
      </x:c>
      <x:c r="P2879" s="10" t="n">
        <x:v>2</x:v>
      </x:c>
      <x:c r="Q2879" s="13" t="n">
        <x:f>IF(H2879="","",H2879/1000000000)</x:f>
        <x:v>2.8</x:v>
      </x:c>
      <x:c r="R2879" s="13" t="n">
        <x:f>IF(I2879="","",I2879/1000000)</x:f>
        <x:v>73.6842105263158</x:v>
      </x:c>
    </x:row>
    <x:row r="2880" ht="21" customHeight="1">
      <x:c r="A2880" s="10" t="n">
        <x:v>3967</x:v>
      </x:c>
      <x:c r="B2880" s="2" t="str">
        <x:v>2a2a5a812423071aac02</x:v>
      </x:c>
      <x:c r="C2880" s="2" t="str">
        <x:v>Cà Mau</x:v>
      </x:c>
      <x:c r="D2880" s="2" t="str">
        <x:v>Thành phố Cà Mau</x:v>
      </x:c>
      <x:c r="E2880" s="2" t="str">
        <x:v>land</x:v>
      </x:c>
      <x:c r="F2880" s="2" t="str">
        <x:v>sale_assumed</x:v>
      </x:c>
      <x:c r="G2880" s="11" t="n">
        <x:v>1278</x:v>
      </x:c>
      <x:c r="H2880" s="12" t="n">
        <x:v>440000000</x:v>
      </x:c>
      <x:c r="I2880" s="12" t="n">
        <x:v>344287.94992175273</x:v>
      </x:c>
      <x:c r="J2880" s="2" t="str">
        <x:v>total</x:v>
      </x:c>
      <x:c r="K2880" s="2" t="str">
        <x:v>top_level_area</x:v>
      </x:c>
      <x:c r="L2880" s="2" t="str">
        <x:v>dot_thousands_convention;property_type_inferred_from_title;transaction_assumed_sale_from_dataset_context</x:v>
      </x:c>
      <x:c r="M2880" s="10" t="n">
        <x:v>0</x:v>
      </x:c>
      <x:c r="N2880" s="10" t="n">
        <x:v>0</x:v>
      </x:c>
      <x:c r="O2880" s="2" t="str">
        <x:v>land</x:v>
      </x:c>
      <x:c r="P2880" s="10" t="n">
        <x:v>1</x:v>
      </x:c>
      <x:c r="Q2880" s="13" t="n">
        <x:f>IF(H2880="","",H2880/1000000000)</x:f>
        <x:v>0.44</x:v>
      </x:c>
      <x:c r="R2880" s="13" t="n">
        <x:f>IF(I2880="","",I2880/1000000)</x:f>
        <x:v>0.3442879499217527</x:v>
      </x:c>
    </x:row>
    <x:row r="2881" ht="21" customHeight="1">
      <x:c r="A2881" s="10" t="n">
        <x:v>3968</x:v>
      </x:c>
      <x:c r="B2881" s="2" t="str">
        <x:v>3985b4bbef8697144800</x:v>
      </x:c>
      <x:c r="C2881" s="2" t="str">
        <x:v>Tp Hồ Chí Minh</x:v>
      </x:c>
      <x:c r="D2881" s="2" t="str">
        <x:v>Huyện Củ Chi</x:v>
      </x:c>
      <x:c r="E2881" s="2" t="str">
        <x:v>house</x:v>
      </x:c>
      <x:c r="F2881" s="2" t="str">
        <x:v>sale</x:v>
      </x:c>
      <x:c r="G2881" s="11" t="n">
        <x:v>2500</x:v>
      </x:c>
      <x:c r="H2881" s="12" t="n">
        <x:v>2500000000</x:v>
      </x:c>
      <x:c r="I2881" s="12" t="n">
        <x:v>1000000</x:v>
      </x:c>
      <x:c r="J2881" s="2" t="str">
        <x:v>total</x:v>
      </x:c>
      <x:c r="K2881" s="2" t="str">
        <x:v>top_level_area</x:v>
      </x:c>
      <x:c r="L2881" s="2" t="str">
        <x:v>dot_thousands_convention;property_type_inferred_from_title</x:v>
      </x:c>
      <x:c r="M2881" s="10" t="n">
        <x:v>0</x:v>
      </x:c>
      <x:c r="N2881" s="10" t="n">
        <x:v>0</x:v>
      </x:c>
      <x:c r="O2881" s="2" t="str">
        <x:v>Tp Hồ Chí Minh|house</x:v>
      </x:c>
      <x:c r="P2881" s="10" t="n">
        <x:v>1</x:v>
      </x:c>
      <x:c r="Q2881" s="13" t="n">
        <x:f>IF(H2881="","",H2881/1000000000)</x:f>
        <x:v>2.5</x:v>
      </x:c>
      <x:c r="R2881" s="13" t="n">
        <x:f>IF(I2881="","",I2881/1000000)</x:f>
        <x:v>1</x:v>
      </x:c>
    </x:row>
    <x:row r="2882" ht="21" customHeight="1">
      <x:c r="A2882" s="10" t="n">
        <x:v>3969</x:v>
      </x:c>
      <x:c r="B2882" s="2" t="str">
        <x:v>088f7e834d09d130f0f3</x:v>
      </x:c>
      <x:c r="C2882" s="2" t="str">
        <x:v>Bình Dương</x:v>
      </x:c>
      <x:c r="D2882" s="2" t="str">
        <x:v>Huyện Bàu Bàng</x:v>
      </x:c>
      <x:c r="E2882" s="2" t="str">
        <x:v>land</x:v>
      </x:c>
      <x:c r="F2882" s="2" t="str">
        <x:v>sale_assumed</x:v>
      </x:c>
      <x:c r="G2882" s="11" t="n">
        <x:v>80</x:v>
      </x:c>
      <x:c r="H2882" s="12" t="n">
        <x:v>590000000</x:v>
      </x:c>
      <x:c r="I2882" s="12" t="n">
        <x:v>7375000</x:v>
      </x:c>
      <x:c r="J2882" s="2" t="str">
        <x:v>total</x:v>
      </x:c>
      <x:c r="K2882" s="2" t="str">
        <x:v>top_level_area</x:v>
      </x:c>
      <x:c r="L2882" s="2" t="str">
        <x:v>property_type_inferred_from_title;transaction_assumed_sale_from_dataset_context</x:v>
      </x:c>
      <x:c r="M2882" s="10" t="n">
        <x:v>0</x:v>
      </x:c>
      <x:c r="N2882" s="10" t="n">
        <x:v>0</x:v>
      </x:c>
      <x:c r="O2882" s="2" t="str">
        <x:v>Bình Dương|land</x:v>
      </x:c>
      <x:c r="P2882" s="10" t="n">
        <x:v>2</x:v>
      </x:c>
      <x:c r="Q2882" s="13" t="n">
        <x:f>IF(H2882="","",H2882/1000000000)</x:f>
        <x:v>0.59</x:v>
      </x:c>
      <x:c r="R2882" s="13" t="n">
        <x:f>IF(I2882="","",I2882/1000000)</x:f>
        <x:v>7.375</x:v>
      </x:c>
    </x:row>
    <x:row r="2883" ht="21" customHeight="1">
      <x:c r="A2883" s="10" t="n">
        <x:v>3970</x:v>
      </x:c>
      <x:c r="B2883" s="2" t="str">
        <x:v>d03f3ef43314c2fb539f</x:v>
      </x:c>
      <x:c r="C2883" s="2" t="str">
        <x:v>Đồng Nai</x:v>
      </x:c>
      <x:c r="D2883" s="2" t="str">
        <x:v>Huyện Cẩm Mỹ</x:v>
      </x:c>
      <x:c r="E2883" s="2" t="str">
        <x:v>land</x:v>
      </x:c>
      <x:c r="F2883" s="2" t="str">
        <x:v>sale</x:v>
      </x:c>
      <x:c r="G2883" s="11" t="n">
        <x:v>1440</x:v>
      </x:c>
      <x:c r="H2883" s="12" t="n">
        <x:v>2880000000</x:v>
      </x:c>
      <x:c r="I2883" s="12" t="n">
        <x:v>2000000</x:v>
      </x:c>
      <x:c r="J2883" s="2" t="str">
        <x:v>total</x:v>
      </x:c>
      <x:c r="K2883" s="2" t="str">
        <x:v>top_level_price_embedded_area</x:v>
      </x:c>
      <x:c r="L2883" s="2" t="str">
        <x:v>area_recovered_from_price_text;dot_thousands_convention;property_type_inferred_from_title</x:v>
      </x:c>
      <x:c r="M2883" s="10" t="n">
        <x:v>0</x:v>
      </x:c>
      <x:c r="N2883" s="10" t="n">
        <x:v>0</x:v>
      </x:c>
      <x:c r="O2883" s="2" t="str">
        <x:v>Đồng Nai|land</x:v>
      </x:c>
      <x:c r="P2883" s="10" t="n">
        <x:v>1</x:v>
      </x:c>
      <x:c r="Q2883" s="13" t="n">
        <x:f>IF(H2883="","",H2883/1000000000)</x:f>
        <x:v>2.88</x:v>
      </x:c>
      <x:c r="R2883" s="13" t="n">
        <x:f>IF(I2883="","",I2883/1000000)</x:f>
        <x:v>2</x:v>
      </x:c>
    </x:row>
    <x:row r="2884" ht="21" customHeight="1">
      <x:c r="A2884" s="10" t="n">
        <x:v>3971</x:v>
      </x:c>
      <x:c r="B2884" s="2" t="str">
        <x:v>c27b256b5eeb331f9f42</x:v>
      </x:c>
      <x:c r="C2884" s="2" t="str">
        <x:v>Hà Nội</x:v>
      </x:c>
      <x:c r="D2884" s="2" t="str">
        <x:v>Quận Hoàng Mai</x:v>
      </x:c>
      <x:c r="E2884" s="2" t="str">
        <x:v>other_unknown</x:v>
      </x:c>
      <x:c r="F2884" s="2" t="str">
        <x:v>sale_assumed</x:v>
      </x:c>
      <x:c r="G2884" s="11" t="n">
        <x:v>46</x:v>
      </x:c>
      <x:c r="H2884" s="12" t="n">
        <x:v>900000000</x:v>
      </x:c>
      <x:c r="I2884" s="12" t="n">
        <x:v>19565217.391304348</x:v>
      </x:c>
      <x:c r="J2884" s="2" t="str">
        <x:v>total</x:v>
      </x:c>
      <x:c r="K2884" s="2" t="str">
        <x:v>top_level_area</x:v>
      </x:c>
      <x:c r="L2884" s="2" t="str">
        <x:v>property_type_inferred_from_title;transaction_assumed_sale_from_dataset_context;unknown_property_type</x:v>
      </x:c>
      <x:c r="M2884" s="10" t="n">
        <x:v>0</x:v>
      </x:c>
      <x:c r="N2884" s="10" t="n">
        <x:v>0</x:v>
      </x:c>
      <x:c r="O2884" s="2" t="str">
        <x:v>Hà Nội|other_unknown</x:v>
      </x:c>
      <x:c r="P2884" s="10" t="n">
        <x:v>2</x:v>
      </x:c>
      <x:c r="Q2884" s="13" t="n">
        <x:f>IF(H2884="","",H2884/1000000000)</x:f>
        <x:v>0.9</x:v>
      </x:c>
      <x:c r="R2884" s="13" t="n">
        <x:f>IF(I2884="","",I2884/1000000)</x:f>
        <x:v>19.565217391304348</x:v>
      </x:c>
    </x:row>
    <x:row r="2885" ht="21" customHeight="1">
      <x:c r="A2885" s="10" t="n">
        <x:v>3972</x:v>
      </x:c>
      <x:c r="B2885" s="2" t="str">
        <x:v>24a4915161c6b10bd24e</x:v>
      </x:c>
      <x:c r="C2885" s="2" t="str">
        <x:v>Tp Hồ Chí Minh</x:v>
      </x:c>
      <x:c r="D2885" s="2" t="str">
        <x:v>Quận 10</x:v>
      </x:c>
      <x:c r="E2885" s="2" t="str">
        <x:v>house</x:v>
      </x:c>
      <x:c r="F2885" s="2" t="str">
        <x:v>sale</x:v>
      </x:c>
      <x:c r="G2885" s="11" t="n">
        <x:v>46</x:v>
      </x:c>
      <x:c r="H2885" s="12" t="n">
        <x:v>13000000000</x:v>
      </x:c>
      <x:c r="I2885" s="12" t="n">
        <x:v>282608695.65217394</x:v>
      </x:c>
      <x:c r="J2885" s="2" t="str">
        <x:v>total</x:v>
      </x:c>
      <x:c r="K2885" s="2" t="str">
        <x:v>top_level_area</x:v>
      </x:c>
      <x:c r="L2885" s="2" t="str">
        <x:v>property_type_inferred_from_title</x:v>
      </x:c>
      <x:c r="M2885" s="10" t="n">
        <x:v>1</x:v>
      </x:c>
      <x:c r="N2885" s="10" t="n">
        <x:v>1</x:v>
      </x:c>
      <x:c r="O2885" s="2" t="str">
        <x:v>Tp Hồ Chí Minh|house</x:v>
      </x:c>
      <x:c r="P2885" s="10" t="n">
        <x:v>-1</x:v>
      </x:c>
      <x:c r="Q2885" s="13" t="n">
        <x:f>IF(H2885="","",H2885/1000000000)</x:f>
        <x:v>13</x:v>
      </x:c>
      <x:c r="R2885" s="13" t="n">
        <x:f>IF(I2885="","",I2885/1000000)</x:f>
        <x:v>282.60869565217394</x:v>
      </x:c>
    </x:row>
    <x:row r="2886" ht="21" customHeight="1">
      <x:c r="A2886" s="10" t="n">
        <x:v>3973</x:v>
      </x:c>
      <x:c r="B2886" s="2" t="str">
        <x:v>93af733a5cf8be110a19</x:v>
      </x:c>
      <x:c r="C2886" s="2" t="str">
        <x:v>Lâm Đồng</x:v>
      </x:c>
      <x:c r="D2886" s="2" t="str">
        <x:v>Thành phố Đà Lạt</x:v>
      </x:c>
      <x:c r="E2886" s="2" t="str">
        <x:v>land</x:v>
      </x:c>
      <x:c r="F2886" s="2" t="str">
        <x:v>sale</x:v>
      </x:c>
      <x:c r="G2886" s="11" t="n">
        <x:v>260</x:v>
      </x:c>
      <x:c r="H2886" s="12" t="n">
        <x:v>41000000000</x:v>
      </x:c>
      <x:c r="I2886" s="12" t="n">
        <x:v>157692307.69230768</x:v>
      </x:c>
      <x:c r="J2886" s="2" t="str">
        <x:v>total</x:v>
      </x:c>
      <x:c r="K2886" s="2" t="str">
        <x:v>top_level_area</x:v>
      </x:c>
      <x:c r="L2886" s="2" t="str">
        <x:v>property_type_inferred_from_title</x:v>
      </x:c>
      <x:c r="M2886" s="10" t="n">
        <x:v>0</x:v>
      </x:c>
      <x:c r="N2886" s="10" t="n">
        <x:v>1</x:v>
      </x:c>
      <x:c r="O2886" s="2" t="str">
        <x:v>Lâm Đồng|land</x:v>
      </x:c>
      <x:c r="P2886" s="10" t="n">
        <x:v>-1</x:v>
      </x:c>
      <x:c r="Q2886" s="13" t="n">
        <x:f>IF(H2886="","",H2886/1000000000)</x:f>
        <x:v>41</x:v>
      </x:c>
      <x:c r="R2886" s="13" t="n">
        <x:f>IF(I2886="","",I2886/1000000)</x:f>
        <x:v>157.69230769230768</x:v>
      </x:c>
    </x:row>
    <x:row r="2887" ht="21" customHeight="1">
      <x:c r="A2887" s="10" t="n">
        <x:v>3974</x:v>
      </x:c>
      <x:c r="B2887" s="2" t="str">
        <x:v>02dcab3ffd7f12d3a1f2</x:v>
      </x:c>
      <x:c r="C2887" s="2" t="str">
        <x:v>Hà Nội</x:v>
      </x:c>
      <x:c r="D2887" s="2" t="str">
        <x:v>Quận Cầu Giấy</x:v>
      </x:c>
      <x:c r="E2887" s="2" t="str">
        <x:v>house</x:v>
      </x:c>
      <x:c r="F2887" s="2" t="str">
        <x:v>sale_assumed</x:v>
      </x:c>
      <x:c r="G2887" s="11" t="n">
        <x:v>28</x:v>
      </x:c>
      <x:c r="H2887" s="12" t="n">
        <x:v>2500000000</x:v>
      </x:c>
      <x:c r="I2887" s="12" t="n">
        <x:v>89285714.28571428</x:v>
      </x:c>
      <x:c r="J2887" s="2" t="str">
        <x:v>total</x:v>
      </x:c>
      <x:c r="K2887" s="2" t="str">
        <x:v>top_level_area</x:v>
      </x:c>
      <x:c r="L2887" s="2" t="str">
        <x:v>property_type_inferred_from_title;transaction_assumed_sale_from_dataset_context</x:v>
      </x:c>
      <x:c r="M2887" s="10" t="n">
        <x:v>0</x:v>
      </x:c>
      <x:c r="N2887" s="10" t="n">
        <x:v>0</x:v>
      </x:c>
      <x:c r="O2887" s="2" t="str">
        <x:v>Hà Nội|house</x:v>
      </x:c>
      <x:c r="P2887" s="10" t="n">
        <x:v>2</x:v>
      </x:c>
      <x:c r="Q2887" s="13" t="n">
        <x:f>IF(H2887="","",H2887/1000000000)</x:f>
        <x:v>2.5</x:v>
      </x:c>
      <x:c r="R2887" s="13" t="n">
        <x:f>IF(I2887="","",I2887/1000000)</x:f>
        <x:v>89.28571428571428</x:v>
      </x:c>
    </x:row>
    <x:row r="2888" ht="21" customHeight="1">
      <x:c r="A2888" s="10" t="n">
        <x:v>3975</x:v>
      </x:c>
      <x:c r="B2888" s="2" t="str">
        <x:v>060bd2d28c294c785f96</x:v>
      </x:c>
      <x:c r="C2888" s="2" t="str">
        <x:v>Hà Nội</x:v>
      </x:c>
      <x:c r="D2888" s="2" t="str">
        <x:v>Quận Tây Hồ</x:v>
      </x:c>
      <x:c r="E2888" s="2" t="str">
        <x:v>house</x:v>
      </x:c>
      <x:c r="F2888" s="2" t="str">
        <x:v>sale_assumed</x:v>
      </x:c>
      <x:c r="G2888" s="11" t="n">
        <x:v>47</x:v>
      </x:c>
      <x:c r="H2888" s="12" t="n">
        <x:v>4600000000</x:v>
      </x:c>
      <x:c r="I2888" s="12" t="n">
        <x:v>97872340.42553191</x:v>
      </x:c>
      <x:c r="J2888" s="2" t="str">
        <x:v>total</x:v>
      </x:c>
      <x:c r="K2888" s="2" t="str">
        <x:v>top_level_area</x:v>
      </x:c>
      <x:c r="L2888" s="2" t="str">
        <x:v>property_type_inferred_from_title;transaction_assumed_sale_from_dataset_context</x:v>
      </x:c>
      <x:c r="M2888" s="10" t="n">
        <x:v>0</x:v>
      </x:c>
      <x:c r="N2888" s="10" t="n">
        <x:v>0</x:v>
      </x:c>
      <x:c r="O2888" s="2" t="str">
        <x:v>Hà Nội|house</x:v>
      </x:c>
      <x:c r="P2888" s="10" t="n">
        <x:v>2</x:v>
      </x:c>
      <x:c r="Q2888" s="13" t="n">
        <x:f>IF(H2888="","",H2888/1000000000)</x:f>
        <x:v>4.6</x:v>
      </x:c>
      <x:c r="R2888" s="13" t="n">
        <x:f>IF(I2888="","",I2888/1000000)</x:f>
        <x:v>97.8723404255319</x:v>
      </x:c>
    </x:row>
    <x:row r="2889" ht="21" customHeight="1">
      <x:c r="A2889" s="10" t="n">
        <x:v>3976</x:v>
      </x:c>
      <x:c r="B2889" s="2" t="str">
        <x:v>6090e5d557d1efa119b6</x:v>
      </x:c>
      <x:c r="C2889" s="2" t="str">
        <x:v>Hà Nội</x:v>
      </x:c>
      <x:c r="D2889" s="2" t="str">
        <x:v>Quận Hoàng Mai</x:v>
      </x:c>
      <x:c r="E2889" s="2" t="str">
        <x:v>house</x:v>
      </x:c>
      <x:c r="F2889" s="2" t="str">
        <x:v>sale_assumed</x:v>
      </x:c>
      <x:c r="G2889" s="11" t="n">
        <x:v>40</x:v>
      </x:c>
      <x:c r="H2889" s="12" t="n">
        <x:v>2000000000</x:v>
      </x:c>
      <x:c r="I2889" s="12" t="n">
        <x:v>50000000</x:v>
      </x:c>
      <x:c r="J2889" s="2" t="str">
        <x:v>total</x:v>
      </x:c>
      <x:c r="K2889" s="2" t="str">
        <x:v>top_level_area</x:v>
      </x:c>
      <x:c r="L2889" s="2" t="str">
        <x:v>property_type_inferred_from_title;transaction_assumed_sale_from_dataset_context</x:v>
      </x:c>
      <x:c r="M2889" s="10" t="n">
        <x:v>0</x:v>
      </x:c>
      <x:c r="N2889" s="10" t="n">
        <x:v>0</x:v>
      </x:c>
      <x:c r="O2889" s="2" t="str">
        <x:v>Hà Nội|house</x:v>
      </x:c>
      <x:c r="P2889" s="10" t="n">
        <x:v>2</x:v>
      </x:c>
      <x:c r="Q2889" s="13" t="n">
        <x:f>IF(H2889="","",H2889/1000000000)</x:f>
        <x:v>2</x:v>
      </x:c>
      <x:c r="R2889" s="13" t="n">
        <x:f>IF(I2889="","",I2889/1000000)</x:f>
        <x:v>50</x:v>
      </x:c>
    </x:row>
    <x:row r="2890" ht="21" customHeight="1">
      <x:c r="A2890" s="10" t="n">
        <x:v>3977</x:v>
      </x:c>
      <x:c r="B2890" s="2" t="str">
        <x:v>c7b2f0c608eb3424b7a3</x:v>
      </x:c>
      <x:c r="C2890" s="2" t="str">
        <x:v>Bình Dương</x:v>
      </x:c>
      <x:c r="D2890" s="2" t="str">
        <x:v>Thị xã Tân Uyên</x:v>
      </x:c>
      <x:c r="E2890" s="2" t="str">
        <x:v>house</x:v>
      </x:c>
      <x:c r="F2890" s="2" t="str">
        <x:v>sale_assumed</x:v>
      </x:c>
      <x:c r="G2890" s="11" t="n">
        <x:v>100</x:v>
      </x:c>
      <x:c r="H2890" s="12" t="n">
        <x:v>2200000000</x:v>
      </x:c>
      <x:c r="I2890" s="12" t="n">
        <x:v>22000000</x:v>
      </x:c>
      <x:c r="J2890" s="2" t="str">
        <x:v>total</x:v>
      </x:c>
      <x:c r="K2890" s="2" t="str">
        <x:v>top_level_area</x:v>
      </x:c>
      <x:c r="L2890" s="2" t="str">
        <x:v>property_type_inferred_from_title;transaction_assumed_sale_from_dataset_context</x:v>
      </x:c>
      <x:c r="M2890" s="10" t="n">
        <x:v>0</x:v>
      </x:c>
      <x:c r="N2890" s="10" t="n">
        <x:v>0</x:v>
      </x:c>
      <x:c r="O2890" s="2" t="str">
        <x:v>Bình Dương|house</x:v>
      </x:c>
      <x:c r="P2890" s="10" t="n">
        <x:v>2</x:v>
      </x:c>
      <x:c r="Q2890" s="13" t="n">
        <x:f>IF(H2890="","",H2890/1000000000)</x:f>
        <x:v>2.2</x:v>
      </x:c>
      <x:c r="R2890" s="13" t="n">
        <x:f>IF(I2890="","",I2890/1000000)</x:f>
        <x:v>22</x:v>
      </x:c>
    </x:row>
    <x:row r="2891" ht="21" customHeight="1">
      <x:c r="A2891" s="10" t="n">
        <x:v>3978</x:v>
      </x:c>
      <x:c r="B2891" s="2" t="str">
        <x:v>75f0a5c9ac6491c7a6c3</x:v>
      </x:c>
      <x:c r="C2891" s="2" t="str">
        <x:v>An Giang</x:v>
      </x:c>
      <x:c r="D2891" s="2" t="str">
        <x:v>Thành phố Long Xuyên</x:v>
      </x:c>
      <x:c r="E2891" s="2" t="str">
        <x:v>land</x:v>
      </x:c>
      <x:c r="F2891" s="2" t="str">
        <x:v>sale</x:v>
      </x:c>
      <x:c r="G2891" s="11" t="n">
        <x:v>59</x:v>
      </x:c>
      <x:c r="H2891" s="12" t="n">
        <x:v>420000000</x:v>
      </x:c>
      <x:c r="I2891" s="12" t="n">
        <x:v>7118644.06779661</x:v>
      </x:c>
      <x:c r="J2891" s="2" t="str">
        <x:v>total</x:v>
      </x:c>
      <x:c r="K2891" s="2" t="str">
        <x:v>top_level_area</x:v>
      </x:c>
      <x:c r="L2891" s="2" t="str">
        <x:v>property_type_inferred_from_title</x:v>
      </x:c>
      <x:c r="M2891" s="10" t="n">
        <x:v>0</x:v>
      </x:c>
      <x:c r="N2891" s="10" t="n">
        <x:v>0</x:v>
      </x:c>
      <x:c r="O2891" s="2" t="str">
        <x:v>land</x:v>
      </x:c>
      <x:c r="P2891" s="10" t="n">
        <x:v>2</x:v>
      </x:c>
      <x:c r="Q2891" s="13" t="n">
        <x:f>IF(H2891="","",H2891/1000000000)</x:f>
        <x:v>0.42</x:v>
      </x:c>
      <x:c r="R2891" s="13" t="n">
        <x:f>IF(I2891="","",I2891/1000000)</x:f>
        <x:v>7.11864406779661</x:v>
      </x:c>
    </x:row>
    <x:row r="2892" ht="21" customHeight="1">
      <x:c r="A2892" s="10" t="n">
        <x:v>3979</x:v>
      </x:c>
      <x:c r="B2892" s="2" t="str">
        <x:v>237ae35b8b49e71608b8</x:v>
      </x:c>
      <x:c r="C2892" s="2" t="str">
        <x:v>Tp Hồ Chí Minh</x:v>
      </x:c>
      <x:c r="D2892" s="2" t="str">
        <x:v>Quận Gò Vấp</x:v>
      </x:c>
      <x:c r="E2892" s="2" t="str">
        <x:v>house</x:v>
      </x:c>
      <x:c r="F2892" s="2" t="str">
        <x:v>sale</x:v>
      </x:c>
      <x:c r="G2892" s="11" t="n">
        <x:v>40</x:v>
      </x:c>
      <x:c r="H2892" s="12" t="n">
        <x:v>3380000000</x:v>
      </x:c>
      <x:c r="I2892" s="12" t="n">
        <x:v>84500000</x:v>
      </x:c>
      <x:c r="J2892" s="2" t="str">
        <x:v>total</x:v>
      </x:c>
      <x:c r="K2892" s="2" t="str">
        <x:v>top_level_area</x:v>
      </x:c>
      <x:c r="L2892" s="2" t="str">
        <x:v>property_type_inferred_from_title</x:v>
      </x:c>
      <x:c r="M2892" s="10" t="n">
        <x:v>0</x:v>
      </x:c>
      <x:c r="N2892" s="10" t="n">
        <x:v>0</x:v>
      </x:c>
      <x:c r="O2892" s="2" t="str">
        <x:v>Tp Hồ Chí Minh|house</x:v>
      </x:c>
      <x:c r="P2892" s="10" t="n">
        <x:v>2</x:v>
      </x:c>
      <x:c r="Q2892" s="13" t="n">
        <x:f>IF(H2892="","",H2892/1000000000)</x:f>
        <x:v>3.38</x:v>
      </x:c>
      <x:c r="R2892" s="13" t="n">
        <x:f>IF(I2892="","",I2892/1000000)</x:f>
        <x:v>84.5</x:v>
      </x:c>
    </x:row>
    <x:row r="2893" ht="21" customHeight="1">
      <x:c r="A2893" s="10" t="n">
        <x:v>3982</x:v>
      </x:c>
      <x:c r="B2893" s="2" t="str">
        <x:v>7cae6b0aca6aa137afc3</x:v>
      </x:c>
      <x:c r="C2893" s="2" t="str">
        <x:v>Hà Nội</x:v>
      </x:c>
      <x:c r="D2893" s="2" t="str">
        <x:v>Quận Hai Bà Trưng</x:v>
      </x:c>
      <x:c r="E2893" s="2" t="str">
        <x:v>house</x:v>
      </x:c>
      <x:c r="F2893" s="2" t="str">
        <x:v>sale_assumed</x:v>
      </x:c>
      <x:c r="G2893" s="11" t="n">
        <x:v>25</x:v>
      </x:c>
      <x:c r="H2893" s="12" t="n">
        <x:v>2000000000</x:v>
      </x:c>
      <x:c r="I2893" s="12" t="n">
        <x:v>80000000</x:v>
      </x:c>
      <x:c r="J2893" s="2" t="str">
        <x:v>total</x:v>
      </x:c>
      <x:c r="K2893" s="2" t="str">
        <x:v>top_level_area</x:v>
      </x:c>
      <x:c r="L2893" s="2" t="str">
        <x:v>property_type_inferred_from_title;transaction_assumed_sale_from_dataset_context</x:v>
      </x:c>
      <x:c r="M2893" s="10" t="n">
        <x:v>0</x:v>
      </x:c>
      <x:c r="N2893" s="10" t="n">
        <x:v>0</x:v>
      </x:c>
      <x:c r="O2893" s="2" t="str">
        <x:v>Hà Nội|house</x:v>
      </x:c>
      <x:c r="P2893" s="10" t="n">
        <x:v>2</x:v>
      </x:c>
      <x:c r="Q2893" s="13" t="n">
        <x:f>IF(H2893="","",H2893/1000000000)</x:f>
        <x:v>2</x:v>
      </x:c>
      <x:c r="R2893" s="13" t="n">
        <x:f>IF(I2893="","",I2893/1000000)</x:f>
        <x:v>80</x:v>
      </x:c>
    </x:row>
    <x:row r="2894" ht="21" customHeight="1">
      <x:c r="A2894" s="10" t="n">
        <x:v>3983</x:v>
      </x:c>
      <x:c r="B2894" s="2" t="str">
        <x:v>4857a01b0d8f5e4c2b20</x:v>
      </x:c>
      <x:c r="C2894" s="2" t="str">
        <x:v>Đà Nẵng</x:v>
      </x:c>
      <x:c r="D2894" s="2" t="str">
        <x:v>Huyện Hòa Vang</x:v>
      </x:c>
      <x:c r="E2894" s="2" t="str">
        <x:v>land</x:v>
      </x:c>
      <x:c r="F2894" s="2" t="str">
        <x:v>sale_assumed</x:v>
      </x:c>
      <x:c r="G2894" s="11" t="n">
        <x:v>100</x:v>
      </x:c>
      <x:c r="H2894" s="12" t="n">
        <x:v>710000000</x:v>
      </x:c>
      <x:c r="I2894" s="12" t="n">
        <x:v>7100000</x:v>
      </x:c>
      <x:c r="J2894" s="2" t="str">
        <x:v>total</x:v>
      </x:c>
      <x:c r="K2894" s="2" t="str">
        <x:v>top_level_area</x:v>
      </x:c>
      <x:c r="L2894" s="2" t="str">
        <x:v>property_type_inferred_from_title;transaction_assumed_sale_from_dataset_context</x:v>
      </x:c>
      <x:c r="M2894" s="10" t="n">
        <x:v>0</x:v>
      </x:c>
      <x:c r="N2894" s="10" t="n">
        <x:v>0</x:v>
      </x:c>
      <x:c r="O2894" s="2" t="str">
        <x:v>Đà Nẵng|land</x:v>
      </x:c>
      <x:c r="P2894" s="10" t="n">
        <x:v>2</x:v>
      </x:c>
      <x:c r="Q2894" s="13" t="n">
        <x:f>IF(H2894="","",H2894/1000000000)</x:f>
        <x:v>0.71</x:v>
      </x:c>
      <x:c r="R2894" s="13" t="n">
        <x:f>IF(I2894="","",I2894/1000000)</x:f>
        <x:v>7.1</x:v>
      </x:c>
    </x:row>
    <x:row r="2895" ht="21" customHeight="1">
      <x:c r="A2895" s="10" t="n">
        <x:v>3984</x:v>
      </x:c>
      <x:c r="B2895" s="2" t="str">
        <x:v>19fb0a290803f904b54d</x:v>
      </x:c>
      <x:c r="C2895" s="2" t="str">
        <x:v>Tp Hồ Chí Minh</x:v>
      </x:c>
      <x:c r="D2895" s="2" t="str">
        <x:v>Huyện Củ Chi</x:v>
      </x:c>
      <x:c r="E2895" s="2" t="str">
        <x:v>other_unknown</x:v>
      </x:c>
      <x:c r="F2895" s="2" t="str">
        <x:v>sale</x:v>
      </x:c>
      <x:c r="G2895" s="11" t="n">
        <x:v>618</x:v>
      </x:c>
      <x:c r="H2895" s="12" t="n">
        <x:v>1380000000</x:v>
      </x:c>
      <x:c r="I2895" s="12" t="n">
        <x:v>2233009.708737864</x:v>
      </x:c>
      <x:c r="J2895" s="2" t="str">
        <x:v>total</x:v>
      </x:c>
      <x:c r="K2895" s="2" t="str">
        <x:v>top_level_area</x:v>
      </x:c>
      <x:c r="L2895" s="2" t="str">
        <x:v>property_type_inferred_from_title;unknown_property_type</x:v>
      </x:c>
      <x:c r="M2895" s="10" t="n">
        <x:v>0</x:v>
      </x:c>
      <x:c r="N2895" s="10" t="n">
        <x:v>0</x:v>
      </x:c>
      <x:c r="O2895" s="2" t="str">
        <x:v>Tp Hồ Chí Minh|other_unknown</x:v>
      </x:c>
      <x:c r="P2895" s="10" t="n">
        <x:v>1</x:v>
      </x:c>
      <x:c r="Q2895" s="13" t="n">
        <x:f>IF(H2895="","",H2895/1000000000)</x:f>
        <x:v>1.38</x:v>
      </x:c>
      <x:c r="R2895" s="13" t="n">
        <x:f>IF(I2895="","",I2895/1000000)</x:f>
        <x:v>2.233009708737864</x:v>
      </x:c>
    </x:row>
    <x:row r="2896" ht="21" customHeight="1">
      <x:c r="A2896" s="10" t="n">
        <x:v>3985</x:v>
      </x:c>
      <x:c r="B2896" s="2" t="str">
        <x:v>e97dae2000a5e71f5903</x:v>
      </x:c>
      <x:c r="C2896" s="2" t="str">
        <x:v>Tp Hồ Chí Minh</x:v>
      </x:c>
      <x:c r="D2896" s="2" t="str">
        <x:v>Huyện Nhà Bè</x:v>
      </x:c>
      <x:c r="E2896" s="2" t="str">
        <x:v>house</x:v>
      </x:c>
      <x:c r="F2896" s="2" t="str">
        <x:v>sale_assumed</x:v>
      </x:c>
      <x:c r="G2896" s="11" t="n">
        <x:v>42</x:v>
      </x:c>
      <x:c r="H2896" s="12" t="n">
        <x:v>2089999999.9999998</x:v>
      </x:c>
      <x:c r="I2896" s="12" t="n">
        <x:v>49761904.761904754</x:v>
      </x:c>
      <x:c r="J2896" s="2" t="str">
        <x:v>total</x:v>
      </x:c>
      <x:c r="K2896" s="2" t="str">
        <x:v>top_level_area</x:v>
      </x:c>
      <x:c r="L2896" s="2" t="str">
        <x:v>property_type_inferred_from_title;transaction_assumed_sale_from_dataset_context</x:v>
      </x:c>
      <x:c r="M2896" s="10" t="n">
        <x:v>0</x:v>
      </x:c>
      <x:c r="N2896" s="10" t="n">
        <x:v>0</x:v>
      </x:c>
      <x:c r="O2896" s="2" t="str">
        <x:v>Tp Hồ Chí Minh|house</x:v>
      </x:c>
      <x:c r="P2896" s="10" t="n">
        <x:v>2</x:v>
      </x:c>
      <x:c r="Q2896" s="13" t="n">
        <x:f>IF(H2896="","",H2896/1000000000)</x:f>
        <x:v>2.09</x:v>
      </x:c>
      <x:c r="R2896" s="13" t="n">
        <x:f>IF(I2896="","",I2896/1000000)</x:f>
        <x:v>49.76190476190475</x:v>
      </x:c>
    </x:row>
    <x:row r="2897" ht="21" customHeight="1">
      <x:c r="A2897" s="10" t="n">
        <x:v>3986</x:v>
      </x:c>
      <x:c r="B2897" s="2" t="str">
        <x:v>d842c2ce4138f52821ad</x:v>
      </x:c>
      <x:c r="C2897" s="2" t="str">
        <x:v>Hà Nội</x:v>
      </x:c>
      <x:c r="D2897" s="2" t="str">
        <x:v>Quận Long Biên</x:v>
      </x:c>
      <x:c r="E2897" s="2" t="str">
        <x:v>land</x:v>
      </x:c>
      <x:c r="F2897" s="2" t="str">
        <x:v>sale_assumed</x:v>
      </x:c>
      <x:c r="G2897" s="11" t="n">
        <x:v>122</x:v>
      </x:c>
      <x:c r="H2897" s="12" t="n">
        <x:v>8650000000</x:v>
      </x:c>
      <x:c r="I2897" s="12" t="n">
        <x:v>70901639.3442623</x:v>
      </x:c>
      <x:c r="J2897" s="2" t="str">
        <x:v>total</x:v>
      </x:c>
      <x:c r="K2897" s="2" t="str">
        <x:v>top_level_area</x:v>
      </x:c>
      <x:c r="L2897" s="2" t="str">
        <x:v>property_type_inferred_from_title;transaction_assumed_sale_from_dataset_context</x:v>
      </x:c>
      <x:c r="M2897" s="10" t="n">
        <x:v>0</x:v>
      </x:c>
      <x:c r="N2897" s="10" t="n">
        <x:v>0</x:v>
      </x:c>
      <x:c r="O2897" s="2" t="str">
        <x:v>Hà Nội|land</x:v>
      </x:c>
      <x:c r="P2897" s="10" t="n">
        <x:v>2</x:v>
      </x:c>
      <x:c r="Q2897" s="13" t="n">
        <x:f>IF(H2897="","",H2897/1000000000)</x:f>
        <x:v>8.65</x:v>
      </x:c>
      <x:c r="R2897" s="13" t="n">
        <x:f>IF(I2897="","",I2897/1000000)</x:f>
        <x:v>70.9016393442623</x:v>
      </x:c>
    </x:row>
    <x:row r="2898" ht="21" customHeight="1">
      <x:c r="A2898" s="10" t="n">
        <x:v>3987</x:v>
      </x:c>
      <x:c r="B2898" s="2" t="str">
        <x:v>4b83c7b785c7ce4c7ee3</x:v>
      </x:c>
      <x:c r="C2898" s="2" t="str">
        <x:v>Tp Hồ Chí Minh</x:v>
      </x:c>
      <x:c r="D2898" s="2" t="str">
        <x:v>Huyện Nhà Bè</x:v>
      </x:c>
      <x:c r="E2898" s="2" t="str">
        <x:v>land</x:v>
      </x:c>
      <x:c r="F2898" s="2" t="str">
        <x:v>sale_assumed</x:v>
      </x:c>
      <x:c r="G2898" s="11" t="n">
        <x:v>1000</x:v>
      </x:c>
      <x:c r="H2898" s="12" t="n">
        <x:v>860000000</x:v>
      </x:c>
      <x:c r="I2898" s="12" t="n">
        <x:v>860000</x:v>
      </x:c>
      <x:c r="J2898" s="2" t="str">
        <x:v>total</x:v>
      </x:c>
      <x:c r="K2898" s="2" t="str">
        <x:v>top_level_area</x:v>
      </x:c>
      <x:c r="L2898" s="2" t="str">
        <x:v>dot_thousands_convention;property_type_inferred_from_title;transaction_assumed_sale_from_dataset_context</x:v>
      </x:c>
      <x:c r="M2898" s="10" t="n">
        <x:v>0</x:v>
      </x:c>
      <x:c r="N2898" s="10" t="n">
        <x:v>0</x:v>
      </x:c>
      <x:c r="O2898" s="2" t="str">
        <x:v>Tp Hồ Chí Minh|land</x:v>
      </x:c>
      <x:c r="P2898" s="10" t="n">
        <x:v>1</x:v>
      </x:c>
      <x:c r="Q2898" s="13" t="n">
        <x:f>IF(H2898="","",H2898/1000000000)</x:f>
        <x:v>0.86</x:v>
      </x:c>
      <x:c r="R2898" s="13" t="n">
        <x:f>IF(I2898="","",I2898/1000000)</x:f>
        <x:v>0.86</x:v>
      </x:c>
    </x:row>
    <x:row r="2899" ht="21" customHeight="1">
      <x:c r="A2899" s="10" t="n">
        <x:v>3988</x:v>
      </x:c>
      <x:c r="B2899" s="2" t="str">
        <x:v>9ca7d2798086134f77b5</x:v>
      </x:c>
      <x:c r="C2899" s="2" t="str">
        <x:v>Đà Nẵng</x:v>
      </x:c>
      <x:c r="D2899" s="2" t="str">
        <x:v>Quận Thanh Khê</x:v>
      </x:c>
      <x:c r="E2899" s="2" t="str">
        <x:v>house</x:v>
      </x:c>
      <x:c r="F2899" s="2" t="str">
        <x:v>sale_assumed</x:v>
      </x:c>
      <x:c r="G2899" s="11" t="n">
        <x:v>35</x:v>
      </x:c>
      <x:c r="H2899" s="12" t="n">
        <x:v>2200000000</x:v>
      </x:c>
      <x:c r="I2899" s="12" t="n">
        <x:v>62857142.85714286</x:v>
      </x:c>
      <x:c r="J2899" s="2" t="str">
        <x:v>total</x:v>
      </x:c>
      <x:c r="K2899" s="2" t="str">
        <x:v>top_level_area</x:v>
      </x:c>
      <x:c r="L2899" s="2" t="str">
        <x:v>property_type_inferred_from_title;transaction_assumed_sale_from_dataset_context</x:v>
      </x:c>
      <x:c r="M2899" s="10" t="n">
        <x:v>0</x:v>
      </x:c>
      <x:c r="N2899" s="10" t="n">
        <x:v>0</x:v>
      </x:c>
      <x:c r="O2899" s="2" t="str">
        <x:v>Đà Nẵng|house</x:v>
      </x:c>
      <x:c r="P2899" s="10" t="n">
        <x:v>2</x:v>
      </x:c>
      <x:c r="Q2899" s="13" t="n">
        <x:f>IF(H2899="","",H2899/1000000000)</x:f>
        <x:v>2.2</x:v>
      </x:c>
      <x:c r="R2899" s="13" t="n">
        <x:f>IF(I2899="","",I2899/1000000)</x:f>
        <x:v>62.85714285714286</x:v>
      </x:c>
    </x:row>
    <x:row r="2900" ht="21" customHeight="1">
      <x:c r="A2900" s="10" t="n">
        <x:v>3989</x:v>
      </x:c>
      <x:c r="B2900" s="2" t="str">
        <x:v>203dd8a3ed4b796c0aff</x:v>
      </x:c>
      <x:c r="C2900" s="2" t="str">
        <x:v>Thừa Thiên Huế</x:v>
      </x:c>
      <x:c r="D2900" s="2" t="str">
        <x:v>Thị xã Hương Thủy</x:v>
      </x:c>
      <x:c r="E2900" s="2" t="str">
        <x:v>land</x:v>
      </x:c>
      <x:c r="F2900" s="2" t="str">
        <x:v>sale_assumed</x:v>
      </x:c>
      <x:c r="G2900" s="11" t="n">
        <x:v>112</x:v>
      </x:c>
      <x:c r="H2900" s="12" t="n">
        <x:v>1819000000</x:v>
      </x:c>
      <x:c r="I2900" s="12" t="n">
        <x:v>16241071.42857143</x:v>
      </x:c>
      <x:c r="J2900" s="2" t="str">
        <x:v>total</x:v>
      </x:c>
      <x:c r="K2900" s="2" t="str">
        <x:v>top_level_area</x:v>
      </x:c>
      <x:c r="L2900" s="2" t="str">
        <x:v>property_type_inferred_from_title;transaction_assumed_sale_from_dataset_context</x:v>
      </x:c>
      <x:c r="M2900" s="10" t="n">
        <x:v>0</x:v>
      </x:c>
      <x:c r="N2900" s="10" t="n">
        <x:v>0</x:v>
      </x:c>
      <x:c r="O2900" s="2" t="str">
        <x:v>land</x:v>
      </x:c>
      <x:c r="P2900" s="10" t="n">
        <x:v>2</x:v>
      </x:c>
      <x:c r="Q2900" s="13" t="n">
        <x:f>IF(H2900="","",H2900/1000000000)</x:f>
        <x:v>1.819</x:v>
      </x:c>
      <x:c r="R2900" s="13" t="n">
        <x:f>IF(I2900="","",I2900/1000000)</x:f>
        <x:v>16.24107142857143</x:v>
      </x:c>
    </x:row>
    <x:row r="2901" ht="21" customHeight="1">
      <x:c r="A2901" s="10" t="n">
        <x:v>3990</x:v>
      </x:c>
      <x:c r="B2901" s="2" t="str">
        <x:v>4279b845afd13a08775a</x:v>
      </x:c>
      <x:c r="C2901" s="2" t="str">
        <x:v>Hà Nội</x:v>
      </x:c>
      <x:c r="D2901" s="2" t="str">
        <x:v>Quận Hoàng Mai</x:v>
      </x:c>
      <x:c r="E2901" s="2" t="str">
        <x:v>other_unknown</x:v>
      </x:c>
      <x:c r="F2901" s="2" t="str">
        <x:v>sale_assumed</x:v>
      </x:c>
      <x:c r="G2901" s="11" t="n">
        <x:v>46</x:v>
      </x:c>
      <x:c r="H2901" s="12" t="n">
        <x:v>900000000</x:v>
      </x:c>
      <x:c r="I2901" s="12" t="n">
        <x:v>19565217.391304348</x:v>
      </x:c>
      <x:c r="J2901" s="2" t="str">
        <x:v>total</x:v>
      </x:c>
      <x:c r="K2901" s="2" t="str">
        <x:v>top_level_area</x:v>
      </x:c>
      <x:c r="L2901" s="2" t="str">
        <x:v>property_type_inferred_from_title;transaction_assumed_sale_from_dataset_context;unknown_property_type</x:v>
      </x:c>
      <x:c r="M2901" s="10" t="n">
        <x:v>0</x:v>
      </x:c>
      <x:c r="N2901" s="10" t="n">
        <x:v>0</x:v>
      </x:c>
      <x:c r="O2901" s="2" t="str">
        <x:v>Hà Nội|other_unknown</x:v>
      </x:c>
      <x:c r="P2901" s="10" t="n">
        <x:v>2</x:v>
      </x:c>
      <x:c r="Q2901" s="13" t="n">
        <x:f>IF(H2901="","",H2901/1000000000)</x:f>
        <x:v>0.9</x:v>
      </x:c>
      <x:c r="R2901" s="13" t="n">
        <x:f>IF(I2901="","",I2901/1000000)</x:f>
        <x:v>19.565217391304348</x:v>
      </x:c>
    </x:row>
    <x:row r="2902" ht="21" customHeight="1">
      <x:c r="A2902" s="10" t="n">
        <x:v>3991</x:v>
      </x:c>
      <x:c r="B2902" s="2" t="str">
        <x:v>cc21b5944750b9f20160</x:v>
      </x:c>
      <x:c r="C2902" s="2" t="str">
        <x:v>Đồng Nai</x:v>
      </x:c>
      <x:c r="D2902" s="2" t="str">
        <x:v>Huyện Nhơn Trạch</x:v>
      </x:c>
      <x:c r="E2902" s="2" t="str">
        <x:v>land</x:v>
      </x:c>
      <x:c r="F2902" s="2" t="str">
        <x:v>sale</x:v>
      </x:c>
      <x:c r="G2902" s="11" t="n">
        <x:v>120</x:v>
      </x:c>
      <x:c r="H2902" s="12" t="n">
        <x:v>1360000000</x:v>
      </x:c>
      <x:c r="I2902" s="12" t="n">
        <x:v>11333333.333333334</x:v>
      </x:c>
      <x:c r="J2902" s="2" t="str">
        <x:v>total</x:v>
      </x:c>
      <x:c r="K2902" s="2" t="str">
        <x:v>top_level_area</x:v>
      </x:c>
      <x:c r="L2902" s="2" t="str">
        <x:v>property_type_inferred_from_title</x:v>
      </x:c>
      <x:c r="M2902" s="10" t="n">
        <x:v>0</x:v>
      </x:c>
      <x:c r="N2902" s="10" t="n">
        <x:v>0</x:v>
      </x:c>
      <x:c r="O2902" s="2" t="str">
        <x:v>Đồng Nai|land</x:v>
      </x:c>
      <x:c r="P2902" s="10" t="n">
        <x:v>2</x:v>
      </x:c>
      <x:c r="Q2902" s="13" t="n">
        <x:f>IF(H2902="","",H2902/1000000000)</x:f>
        <x:v>1.36</x:v>
      </x:c>
      <x:c r="R2902" s="13" t="n">
        <x:f>IF(I2902="","",I2902/1000000)</x:f>
        <x:v>11.333333333333334</x:v>
      </x:c>
    </x:row>
    <x:row r="2903" ht="21" customHeight="1">
      <x:c r="A2903" s="10" t="n">
        <x:v>3992</x:v>
      </x:c>
      <x:c r="B2903" s="2" t="str">
        <x:v>3e834dd83f037b3e812e</x:v>
      </x:c>
      <x:c r="C2903" s="2" t="str">
        <x:v>Tp Hồ Chí Minh</x:v>
      </x:c>
      <x:c r="D2903" s="2" t="str">
        <x:v>Quận Tân Bình</x:v>
      </x:c>
      <x:c r="E2903" s="2" t="str">
        <x:v>house</x:v>
      </x:c>
      <x:c r="F2903" s="2" t="str">
        <x:v>sale</x:v>
      </x:c>
      <x:c r="G2903" s="11" t="n">
        <x:v>37</x:v>
      </x:c>
      <x:c r="H2903" s="12" t="n">
        <x:v>5550000000</x:v>
      </x:c>
      <x:c r="I2903" s="12" t="n">
        <x:v>150000000</x:v>
      </x:c>
      <x:c r="J2903" s="2" t="str">
        <x:v>total</x:v>
      </x:c>
      <x:c r="K2903" s="2" t="str">
        <x:v>top_level_price_embedded_area</x:v>
      </x:c>
      <x:c r="L2903" s="2" t="str">
        <x:v>area_recovered_from_price_text;property_type_inferred_from_title</x:v>
      </x:c>
      <x:c r="M2903" s="10" t="n">
        <x:v>0</x:v>
      </x:c>
      <x:c r="N2903" s="10" t="n">
        <x:v>0</x:v>
      </x:c>
      <x:c r="O2903" s="2" t="str">
        <x:v>Tp Hồ Chí Minh|house</x:v>
      </x:c>
      <x:c r="P2903" s="10" t="n">
        <x:v>2</x:v>
      </x:c>
      <x:c r="Q2903" s="13" t="n">
        <x:f>IF(H2903="","",H2903/1000000000)</x:f>
        <x:v>5.55</x:v>
      </x:c>
      <x:c r="R2903" s="13" t="n">
        <x:f>IF(I2903="","",I2903/1000000)</x:f>
        <x:v>150</x:v>
      </x:c>
    </x:row>
    <x:row r="2904" ht="21" customHeight="1">
      <x:c r="A2904" s="10" t="n">
        <x:v>3993</x:v>
      </x:c>
      <x:c r="B2904" s="2" t="str">
        <x:v>fc741f6fd8061ac675b2</x:v>
      </x:c>
      <x:c r="C2904" s="2" t="str">
        <x:v>Tp Hồ Chí Minh</x:v>
      </x:c>
      <x:c r="D2904" s="2" t="str">
        <x:v>Huyện Nhà Bè</x:v>
      </x:c>
      <x:c r="E2904" s="2" t="str">
        <x:v>house</x:v>
      </x:c>
      <x:c r="F2904" s="2" t="str">
        <x:v>sale</x:v>
      </x:c>
      <x:c r="G2904" s="11" t="n">
        <x:v>21</x:v>
      </x:c>
      <x:c r="H2904" s="12" t="n">
        <x:v>1290000000</x:v>
      </x:c>
      <x:c r="I2904" s="12" t="n">
        <x:v>61428571.428571425</x:v>
      </x:c>
      <x:c r="J2904" s="2" t="str">
        <x:v>total</x:v>
      </x:c>
      <x:c r="K2904" s="2" t="str">
        <x:v>top_level_price_embedded_area</x:v>
      </x:c>
      <x:c r="L2904" s="2" t="str">
        <x:v>area_recovered_from_price_text;property_type_inferred_from_title</x:v>
      </x:c>
      <x:c r="M2904" s="10" t="n">
        <x:v>0</x:v>
      </x:c>
      <x:c r="N2904" s="10" t="n">
        <x:v>0</x:v>
      </x:c>
      <x:c r="O2904" s="2" t="str">
        <x:v>Tp Hồ Chí Minh|house</x:v>
      </x:c>
      <x:c r="P2904" s="10" t="n">
        <x:v>2</x:v>
      </x:c>
      <x:c r="Q2904" s="13" t="n">
        <x:f>IF(H2904="","",H2904/1000000000)</x:f>
        <x:v>1.29</x:v>
      </x:c>
      <x:c r="R2904" s="13" t="n">
        <x:f>IF(I2904="","",I2904/1000000)</x:f>
        <x:v>61.42857142857142</x:v>
      </x:c>
    </x:row>
    <x:row r="2905" ht="21" customHeight="1">
      <x:c r="A2905" s="10" t="n">
        <x:v>3994</x:v>
      </x:c>
      <x:c r="B2905" s="2" t="str">
        <x:v>aad5f64699ca65c5776a</x:v>
      </x:c>
      <x:c r="C2905" s="2" t="str">
        <x:v>Hậu Giang</x:v>
      </x:c>
      <x:c r="D2905" s="2" t="str">
        <x:v>Thành phố Vị Thanh</x:v>
      </x:c>
      <x:c r="E2905" s="2" t="str">
        <x:v>land</x:v>
      </x:c>
      <x:c r="F2905" s="2" t="str">
        <x:v>sale</x:v>
      </x:c>
      <x:c r="G2905" s="11" t="n">
        <x:v>100</x:v>
      </x:c>
      <x:c r="H2905" s="12" t="n">
        <x:v>690000000</x:v>
      </x:c>
      <x:c r="I2905" s="12" t="n">
        <x:v>6900000</x:v>
      </x:c>
      <x:c r="J2905" s="2" t="str">
        <x:v>total</x:v>
      </x:c>
      <x:c r="K2905" s="2" t="str">
        <x:v>top_level_area</x:v>
      </x:c>
      <x:c r="L2905" s="2" t="str">
        <x:v>property_type_inferred_from_title</x:v>
      </x:c>
      <x:c r="M2905" s="10" t="n">
        <x:v>0</x:v>
      </x:c>
      <x:c r="N2905" s="10" t="n">
        <x:v>0</x:v>
      </x:c>
      <x:c r="O2905" s="2" t="str">
        <x:v>land</x:v>
      </x:c>
      <x:c r="P2905" s="10" t="n">
        <x:v>2</x:v>
      </x:c>
      <x:c r="Q2905" s="13" t="n">
        <x:f>IF(H2905="","",H2905/1000000000)</x:f>
        <x:v>0.69</x:v>
      </x:c>
      <x:c r="R2905" s="13" t="n">
        <x:f>IF(I2905="","",I2905/1000000)</x:f>
        <x:v>6.9</x:v>
      </x:c>
    </x:row>
    <x:row r="2906" ht="21" customHeight="1">
      <x:c r="A2906" s="10" t="n">
        <x:v>3995</x:v>
      </x:c>
      <x:c r="B2906" s="2" t="str">
        <x:v>6e1b73798f8ef5fbe01a</x:v>
      </x:c>
      <x:c r="C2906" s="2" t="str">
        <x:v>Bà Rịa - Vũng Tàu</x:v>
      </x:c>
      <x:c r="D2906" s="2" t="str">
        <x:v>Thị xã Phú Mỹ</x:v>
      </x:c>
      <x:c r="E2906" s="2" t="str">
        <x:v>land</x:v>
      </x:c>
      <x:c r="F2906" s="2" t="str">
        <x:v>sale_assumed</x:v>
      </x:c>
      <x:c r="G2906" s="11" t="n">
        <x:v>500</x:v>
      </x:c>
      <x:c r="H2906" s="12" t="n">
        <x:v>830000000</x:v>
      </x:c>
      <x:c r="I2906" s="12" t="n">
        <x:v>1660000</x:v>
      </x:c>
      <x:c r="J2906" s="2" t="str">
        <x:v>total</x:v>
      </x:c>
      <x:c r="K2906" s="2" t="str">
        <x:v>top_level_area</x:v>
      </x:c>
      <x:c r="L2906" s="2" t="str">
        <x:v>property_type_inferred_from_title;transaction_assumed_sale_from_dataset_context</x:v>
      </x:c>
      <x:c r="M2906" s="10" t="n">
        <x:v>0</x:v>
      </x:c>
      <x:c r="N2906" s="10" t="n">
        <x:v>0</x:v>
      </x:c>
      <x:c r="O2906" s="2" t="str">
        <x:v>Bà Rịa - Vũng Tàu|land</x:v>
      </x:c>
      <x:c r="P2906" s="10" t="n">
        <x:v>1</x:v>
      </x:c>
      <x:c r="Q2906" s="13" t="n">
        <x:f>IF(H2906="","",H2906/1000000000)</x:f>
        <x:v>0.83</x:v>
      </x:c>
      <x:c r="R2906" s="13" t="n">
        <x:f>IF(I2906="","",I2906/1000000)</x:f>
        <x:v>1.66</x:v>
      </x:c>
    </x:row>
    <x:row r="2907" ht="21" customHeight="1">
      <x:c r="A2907" s="10" t="n">
        <x:v>3996</x:v>
      </x:c>
      <x:c r="B2907" s="2" t="str">
        <x:v>54aefc0cdecbcc14a251</x:v>
      </x:c>
      <x:c r="C2907" s="2" t="str">
        <x:v>Tp Hồ Chí Minh</x:v>
      </x:c>
      <x:c r="D2907" s="2" t="str">
        <x:v>Quận Tân Phú</x:v>
      </x:c>
      <x:c r="E2907" s="2" t="str">
        <x:v>house</x:v>
      </x:c>
      <x:c r="F2907" s="2" t="str">
        <x:v>sale_assumed</x:v>
      </x:c>
      <x:c r="G2907" s="11" t="n">
        <x:v>66.8</x:v>
      </x:c>
      <x:c r="H2907" s="12" t="n">
        <x:v>8500000000</x:v>
      </x:c>
      <x:c r="I2907" s="12" t="n">
        <x:v>127245508.98203593</x:v>
      </x:c>
      <x:c r="J2907" s="2" t="str">
        <x:v>total</x:v>
      </x:c>
      <x:c r="K2907" s="2" t="str">
        <x:v>top_level_area</x:v>
      </x:c>
      <x:c r="L2907" s="2" t="str">
        <x:v>property_type_inferred_from_title;transaction_assumed_sale_from_dataset_context</x:v>
      </x:c>
      <x:c r="M2907" s="10" t="n">
        <x:v>0</x:v>
      </x:c>
      <x:c r="N2907" s="10" t="n">
        <x:v>0</x:v>
      </x:c>
      <x:c r="O2907" s="2" t="str">
        <x:v>Tp Hồ Chí Minh|house</x:v>
      </x:c>
      <x:c r="P2907" s="10" t="n">
        <x:v>2</x:v>
      </x:c>
      <x:c r="Q2907" s="13" t="n">
        <x:f>IF(H2907="","",H2907/1000000000)</x:f>
        <x:v>8.5</x:v>
      </x:c>
      <x:c r="R2907" s="13" t="n">
        <x:f>IF(I2907="","",I2907/1000000)</x:f>
        <x:v>127.24550898203593</x:v>
      </x:c>
    </x:row>
    <x:row r="2908" ht="21" customHeight="1">
      <x:c r="A2908" s="10" t="n">
        <x:v>3997</x:v>
      </x:c>
      <x:c r="B2908" s="2" t="str">
        <x:v>789300268440705a18ec</x:v>
      </x:c>
      <x:c r="C2908" s="2" t="str">
        <x:v>Đồng Nai</x:v>
      </x:c>
      <x:c r="D2908" s="2" t="str">
        <x:v>Huyện Xuân Lộc</x:v>
      </x:c>
      <x:c r="E2908" s="2" t="str">
        <x:v>land</x:v>
      </x:c>
      <x:c r="F2908" s="2" t="str">
        <x:v>sale</x:v>
      </x:c>
      <x:c r="G2908" s="11" t="n">
        <x:v>500</x:v>
      </x:c>
      <x:c r="H2908" s="12" t="n">
        <x:v>4000000000</x:v>
      </x:c>
      <x:c r="I2908" s="12" t="n">
        <x:v>8000000</x:v>
      </x:c>
      <x:c r="J2908" s="2" t="str">
        <x:v>total</x:v>
      </x:c>
      <x:c r="K2908" s="2" t="str">
        <x:v>top_level_area</x:v>
      </x:c>
      <x:c r="L2908" s="2" t="str">
        <x:v>property_type_inferred_from_title</x:v>
      </x:c>
      <x:c r="M2908" s="10" t="n">
        <x:v>0</x:v>
      </x:c>
      <x:c r="N2908" s="10" t="n">
        <x:v>0</x:v>
      </x:c>
      <x:c r="O2908" s="2" t="str">
        <x:v>Đồng Nai|land</x:v>
      </x:c>
      <x:c r="P2908" s="10" t="n">
        <x:v>1</x:v>
      </x:c>
      <x:c r="Q2908" s="13" t="n">
        <x:f>IF(H2908="","",H2908/1000000000)</x:f>
        <x:v>4</x:v>
      </x:c>
      <x:c r="R2908" s="13" t="n">
        <x:f>IF(I2908="","",I2908/1000000)</x:f>
        <x:v>8</x:v>
      </x:c>
    </x:row>
    <x:row r="2909" ht="21" customHeight="1">
      <x:c r="A2909" s="10" t="n">
        <x:v>3998</x:v>
      </x:c>
      <x:c r="B2909" s="2" t="str">
        <x:v>2d5e6b9ffb26df7a2338</x:v>
      </x:c>
      <x:c r="C2909" s="2" t="str">
        <x:v>Đà Nẵng</x:v>
      </x:c>
      <x:c r="D2909" s="2" t="str">
        <x:v>Quận Thanh Khê</x:v>
      </x:c>
      <x:c r="E2909" s="2" t="str">
        <x:v>house</x:v>
      </x:c>
      <x:c r="F2909" s="2" t="str">
        <x:v>sale</x:v>
      </x:c>
      <x:c r="G2909" s="11" t="n">
        <x:v>52</x:v>
      </x:c>
      <x:c r="H2909" s="12" t="n">
        <x:v>4300000000</x:v>
      </x:c>
      <x:c r="I2909" s="12" t="n">
        <x:v>82692307.6923077</x:v>
      </x:c>
      <x:c r="J2909" s="2" t="str">
        <x:v>total</x:v>
      </x:c>
      <x:c r="K2909" s="2" t="str">
        <x:v>top_level_area</x:v>
      </x:c>
      <x:c r="L2909" s="2" t="str">
        <x:v>property_type_inferred_from_title</x:v>
      </x:c>
      <x:c r="M2909" s="10" t="n">
        <x:v>0</x:v>
      </x:c>
      <x:c r="N2909" s="10" t="n">
        <x:v>0</x:v>
      </x:c>
      <x:c r="O2909" s="2" t="str">
        <x:v>Đà Nẵng|house</x:v>
      </x:c>
      <x:c r="P2909" s="10" t="n">
        <x:v>2</x:v>
      </x:c>
      <x:c r="Q2909" s="13" t="n">
        <x:f>IF(H2909="","",H2909/1000000000)</x:f>
        <x:v>4.3</x:v>
      </x:c>
      <x:c r="R2909" s="13" t="n">
        <x:f>IF(I2909="","",I2909/1000000)</x:f>
        <x:v>82.6923076923077</x:v>
      </x:c>
    </x:row>
    <x:row r="2910" ht="21" customHeight="1">
      <x:c r="A2910" s="10" t="n">
        <x:v>3999</x:v>
      </x:c>
      <x:c r="B2910" s="2" t="str">
        <x:v>4b91394f10b22841b92d</x:v>
      </x:c>
      <x:c r="C2910" s="2" t="str">
        <x:v>Hải Phòng</x:v>
      </x:c>
      <x:c r="D2910" s="2" t="str">
        <x:v>Quận Lê Chân</x:v>
      </x:c>
      <x:c r="E2910" s="2" t="str">
        <x:v>house</x:v>
      </x:c>
      <x:c r="F2910" s="2" t="str">
        <x:v>sale</x:v>
      </x:c>
      <x:c r="G2910" s="11" t="n">
        <x:v>43</x:v>
      </x:c>
      <x:c r="H2910" s="12" t="n">
        <x:v>1700000000</x:v>
      </x:c>
      <x:c r="I2910" s="12" t="n">
        <x:v>39534883.72093023</x:v>
      </x:c>
      <x:c r="J2910" s="2" t="str">
        <x:v>total</x:v>
      </x:c>
      <x:c r="K2910" s="2" t="str">
        <x:v>top_level_area</x:v>
      </x:c>
      <x:c r="L2910" s="2" t="str">
        <x:v>property_type_inferred_from_title</x:v>
      </x:c>
      <x:c r="M2910" s="10" t="n">
        <x:v>0</x:v>
      </x:c>
      <x:c r="N2910" s="10" t="n">
        <x:v>0</x:v>
      </x:c>
      <x:c r="O2910" s="2" t="str">
        <x:v>house</x:v>
      </x:c>
      <x:c r="P2910" s="10" t="n">
        <x:v>2</x:v>
      </x:c>
      <x:c r="Q2910" s="13" t="n">
        <x:f>IF(H2910="","",H2910/1000000000)</x:f>
        <x:v>1.7</x:v>
      </x:c>
      <x:c r="R2910" s="13" t="n">
        <x:f>IF(I2910="","",I2910/1000000)</x:f>
        <x:v>39.53488372093023</x:v>
      </x:c>
    </x:row>
    <x:row r="2911" ht="21" customHeight="1">
      <x:c r="A2911" s="10" t="n">
        <x:v>4000</x:v>
      </x:c>
      <x:c r="B2911" s="2" t="str">
        <x:v>38658345c0a1828d1add</x:v>
      </x:c>
      <x:c r="C2911" s="2" t="str">
        <x:v>Hà Nội</x:v>
      </x:c>
      <x:c r="D2911" s="2" t="str">
        <x:v>Quận Hoàng Mai</x:v>
      </x:c>
      <x:c r="E2911" s="2" t="str">
        <x:v>other_unknown</x:v>
      </x:c>
      <x:c r="F2911" s="2" t="str">
        <x:v>sale_assumed</x:v>
      </x:c>
      <x:c r="G2911" s="11" t="n">
        <x:v>46</x:v>
      </x:c>
      <x:c r="H2911" s="12" t="n">
        <x:v>900000000</x:v>
      </x:c>
      <x:c r="I2911" s="12" t="n">
        <x:v>19565217.391304348</x:v>
      </x:c>
      <x:c r="J2911" s="2" t="str">
        <x:v>total</x:v>
      </x:c>
      <x:c r="K2911" s="2" t="str">
        <x:v>top_level_area</x:v>
      </x:c>
      <x:c r="L2911" s="2" t="str">
        <x:v>property_type_inferred_from_title;transaction_assumed_sale_from_dataset_context;unknown_property_type</x:v>
      </x:c>
      <x:c r="M2911" s="10" t="n">
        <x:v>0</x:v>
      </x:c>
      <x:c r="N2911" s="10" t="n">
        <x:v>0</x:v>
      </x:c>
      <x:c r="O2911" s="2" t="str">
        <x:v>Hà Nội|other_unknown</x:v>
      </x:c>
      <x:c r="P2911" s="10" t="n">
        <x:v>2</x:v>
      </x:c>
      <x:c r="Q2911" s="13" t="n">
        <x:f>IF(H2911="","",H2911/1000000000)</x:f>
        <x:v>0.9</x:v>
      </x:c>
      <x:c r="R2911" s="13" t="n">
        <x:f>IF(I2911="","",I2911/1000000)</x:f>
        <x:v>19.565217391304348</x:v>
      </x:c>
    </x:row>
    <x:row r="2912" ht="21" customHeight="1">
      <x:c r="A2912" s="10" t="n">
        <x:v>4003</x:v>
      </x:c>
      <x:c r="B2912" s="2" t="str">
        <x:v>f89a8266abf37c05da33</x:v>
      </x:c>
      <x:c r="C2912" s="2" t="str">
        <x:v>Đồng Nai</x:v>
      </x:c>
      <x:c r="D2912" s="2" t="str">
        <x:v>Huyện Nhơn Trạch</x:v>
      </x:c>
      <x:c r="E2912" s="2" t="str">
        <x:v>house</x:v>
      </x:c>
      <x:c r="F2912" s="2" t="str">
        <x:v>sale_assumed</x:v>
      </x:c>
      <x:c r="G2912" s="11" t="n">
        <x:v>1000</x:v>
      </x:c>
      <x:c r="H2912" s="12" t="n">
        <x:v>1600000000</x:v>
      </x:c>
      <x:c r="I2912" s="12" t="n">
        <x:v>1600000</x:v>
      </x:c>
      <x:c r="J2912" s="2" t="str">
        <x:v>total</x:v>
      </x:c>
      <x:c r="K2912" s="2" t="str">
        <x:v>top_level_area</x:v>
      </x:c>
      <x:c r="L2912" s="2" t="str">
        <x:v>dot_thousands_convention;property_type_inferred_from_title;transaction_assumed_sale_from_dataset_context</x:v>
      </x:c>
      <x:c r="M2912" s="10" t="n">
        <x:v>0</x:v>
      </x:c>
      <x:c r="N2912" s="10" t="n">
        <x:v>0</x:v>
      </x:c>
      <x:c r="O2912" s="2" t="str">
        <x:v>Đồng Nai|house</x:v>
      </x:c>
      <x:c r="P2912" s="10" t="n">
        <x:v>1</x:v>
      </x:c>
      <x:c r="Q2912" s="13" t="n">
        <x:f>IF(H2912="","",H2912/1000000000)</x:f>
        <x:v>1.6</x:v>
      </x:c>
      <x:c r="R2912" s="13" t="n">
        <x:f>IF(I2912="","",I2912/1000000)</x:f>
        <x:v>1.6</x:v>
      </x:c>
    </x:row>
    <x:row r="2913" ht="21" customHeight="1">
      <x:c r="A2913" s="10" t="n">
        <x:v>4004</x:v>
      </x:c>
      <x:c r="B2913" s="2" t="str">
        <x:v>c3136a6f100870627ca4</x:v>
      </x:c>
      <x:c r="C2913" s="2" t="str">
        <x:v>Tp Hồ Chí Minh</x:v>
      </x:c>
      <x:c r="D2913" s="2" t="str">
        <x:v>Quận Thủ Đức</x:v>
      </x:c>
      <x:c r="E2913" s="2" t="str">
        <x:v>house</x:v>
      </x:c>
      <x:c r="F2913" s="2" t="str">
        <x:v>sale</x:v>
      </x:c>
      <x:c r="G2913" s="11" t="n">
        <x:v>32</x:v>
      </x:c>
      <x:c r="H2913" s="12" t="n">
        <x:v>2950000000</x:v>
      </x:c>
      <x:c r="I2913" s="12" t="n">
        <x:v>92187500</x:v>
      </x:c>
      <x:c r="J2913" s="2" t="str">
        <x:v>total</x:v>
      </x:c>
      <x:c r="K2913" s="2" t="str">
        <x:v>top_level_area</x:v>
      </x:c>
      <x:c r="L2913" s="2" t="str">
        <x:v>property_type_inferred_from_title</x:v>
      </x:c>
      <x:c r="M2913" s="10" t="n">
        <x:v>0</x:v>
      </x:c>
      <x:c r="N2913" s="10" t="n">
        <x:v>0</x:v>
      </x:c>
      <x:c r="O2913" s="2" t="str">
        <x:v>Tp Hồ Chí Minh|house</x:v>
      </x:c>
      <x:c r="P2913" s="10" t="n">
        <x:v>2</x:v>
      </x:c>
      <x:c r="Q2913" s="13" t="n">
        <x:f>IF(H2913="","",H2913/1000000000)</x:f>
        <x:v>2.95</x:v>
      </x:c>
      <x:c r="R2913" s="13" t="n">
        <x:f>IF(I2913="","",I2913/1000000)</x:f>
        <x:v>92.1875</x:v>
      </x:c>
    </x:row>
    <x:row r="2914" ht="21" customHeight="1">
      <x:c r="A2914" s="10" t="n">
        <x:v>4005</x:v>
      </x:c>
      <x:c r="B2914" s="2" t="str">
        <x:v>1a7e83bbf0584694d176</x:v>
      </x:c>
      <x:c r="C2914" s="2" t="str">
        <x:v>Hà Nội</x:v>
      </x:c>
      <x:c r="D2914" s="2" t="str">
        <x:v>Quận Hà Đông</x:v>
      </x:c>
      <x:c r="E2914" s="2" t="str">
        <x:v>house</x:v>
      </x:c>
      <x:c r="F2914" s="2" t="str">
        <x:v>sale</x:v>
      </x:c>
      <x:c r="G2914" s="11" t="n">
        <x:v>38</x:v>
      </x:c>
      <x:c r="H2914" s="12" t="n">
        <x:v>3850000000</x:v>
      </x:c>
      <x:c r="I2914" s="12" t="n">
        <x:v>101315789.4736842</x:v>
      </x:c>
      <x:c r="J2914" s="2" t="str">
        <x:v>total</x:v>
      </x:c>
      <x:c r="K2914" s="2" t="str">
        <x:v>top_level_area</x:v>
      </x:c>
      <x:c r="L2914" s="2" t="str">
        <x:v>property_type_inferred_from_title</x:v>
      </x:c>
      <x:c r="M2914" s="10" t="n">
        <x:v>0</x:v>
      </x:c>
      <x:c r="N2914" s="10" t="n">
        <x:v>0</x:v>
      </x:c>
      <x:c r="O2914" s="2" t="str">
        <x:v>Hà Nội|house</x:v>
      </x:c>
      <x:c r="P2914" s="10" t="n">
        <x:v>2</x:v>
      </x:c>
      <x:c r="Q2914" s="13" t="n">
        <x:f>IF(H2914="","",H2914/1000000000)</x:f>
        <x:v>3.85</x:v>
      </x:c>
      <x:c r="R2914" s="13" t="n">
        <x:f>IF(I2914="","",I2914/1000000)</x:f>
        <x:v>101.3157894736842</x:v>
      </x:c>
    </x:row>
    <x:row r="2915" ht="21" customHeight="1">
      <x:c r="A2915" s="10" t="n">
        <x:v>4006</x:v>
      </x:c>
      <x:c r="B2915" s="2" t="str">
        <x:v>2f3bedc3d2ac23e7683a</x:v>
      </x:c>
      <x:c r="C2915" s="2" t="str">
        <x:v>Tp Hồ Chí Minh</x:v>
      </x:c>
      <x:c r="D2915" s="2" t="str">
        <x:v>Quận Thủ Đức</x:v>
      </x:c>
      <x:c r="E2915" s="2" t="str">
        <x:v>house</x:v>
      </x:c>
      <x:c r="F2915" s="2" t="str">
        <x:v>sale_assumed</x:v>
      </x:c>
      <x:c r="G2915" s="11" t="n">
        <x:v>25</x:v>
      </x:c>
      <x:c r="H2915" s="12" t="n">
        <x:v>1320000000</x:v>
      </x:c>
      <x:c r="I2915" s="12" t="n">
        <x:v>52800000</x:v>
      </x:c>
      <x:c r="J2915" s="2" t="str">
        <x:v>total</x:v>
      </x:c>
      <x:c r="K2915" s="2" t="str">
        <x:v>top_level_area</x:v>
      </x:c>
      <x:c r="L2915" s="2" t="str">
        <x:v>property_type_inferred_from_title;transaction_assumed_sale_from_dataset_context</x:v>
      </x:c>
      <x:c r="M2915" s="10" t="n">
        <x:v>0</x:v>
      </x:c>
      <x:c r="N2915" s="10" t="n">
        <x:v>0</x:v>
      </x:c>
      <x:c r="O2915" s="2" t="str">
        <x:v>Tp Hồ Chí Minh|house</x:v>
      </x:c>
      <x:c r="P2915" s="10" t="n">
        <x:v>2</x:v>
      </x:c>
      <x:c r="Q2915" s="13" t="n">
        <x:f>IF(H2915="","",H2915/1000000000)</x:f>
        <x:v>1.32</x:v>
      </x:c>
      <x:c r="R2915" s="13" t="n">
        <x:f>IF(I2915="","",I2915/1000000)</x:f>
        <x:v>52.8</x:v>
      </x:c>
    </x:row>
    <x:row r="2916" ht="21" customHeight="1">
      <x:c r="A2916" s="10" t="n">
        <x:v>4007</x:v>
      </x:c>
      <x:c r="B2916" s="2" t="str">
        <x:v>ddf6636bbc80fd3a7215</x:v>
      </x:c>
      <x:c r="C2916" s="2" t="str">
        <x:v>Hà Nội</x:v>
      </x:c>
      <x:c r="D2916" s="2" t="str">
        <x:v>Quận Hoàng Mai</x:v>
      </x:c>
      <x:c r="E2916" s="2" t="str">
        <x:v>house</x:v>
      </x:c>
      <x:c r="F2916" s="2" t="str">
        <x:v>sale</x:v>
      </x:c>
      <x:c r="G2916" s="11" t="n">
        <x:v>30</x:v>
      </x:c>
      <x:c r="H2916" s="12" t="n">
        <x:v>2850000000</x:v>
      </x:c>
      <x:c r="I2916" s="12" t="n">
        <x:v>95000000</x:v>
      </x:c>
      <x:c r="J2916" s="2" t="str">
        <x:v>total</x:v>
      </x:c>
      <x:c r="K2916" s="2" t="str">
        <x:v>top_level_area</x:v>
      </x:c>
      <x:c r="L2916" s="2" t="str">
        <x:v>property_type_inferred_from_title</x:v>
      </x:c>
      <x:c r="M2916" s="10" t="n">
        <x:v>0</x:v>
      </x:c>
      <x:c r="N2916" s="10" t="n">
        <x:v>0</x:v>
      </x:c>
      <x:c r="O2916" s="2" t="str">
        <x:v>Hà Nội|house</x:v>
      </x:c>
      <x:c r="P2916" s="10" t="n">
        <x:v>2</x:v>
      </x:c>
      <x:c r="Q2916" s="13" t="n">
        <x:f>IF(H2916="","",H2916/1000000000)</x:f>
        <x:v>2.85</x:v>
      </x:c>
      <x:c r="R2916" s="13" t="n">
        <x:f>IF(I2916="","",I2916/1000000)</x:f>
        <x:v>95</x:v>
      </x:c>
    </x:row>
    <x:row r="2917" ht="21" customHeight="1">
      <x:c r="A2917" s="10" t="n">
        <x:v>4008</x:v>
      </x:c>
      <x:c r="B2917" s="2" t="str">
        <x:v>a19be5fce0f106a61cc1</x:v>
      </x:c>
      <x:c r="C2917" s="2" t="str">
        <x:v>Đà Nẵng</x:v>
      </x:c>
      <x:c r="D2917" s="2" t="str">
        <x:v>Quận Thanh Khê</x:v>
      </x:c>
      <x:c r="E2917" s="2" t="str">
        <x:v>land</x:v>
      </x:c>
      <x:c r="F2917" s="2" t="str">
        <x:v>sale</x:v>
      </x:c>
      <x:c r="G2917" s="11" t="n">
        <x:v>102</x:v>
      </x:c>
      <x:c r="H2917" s="12" t="n">
        <x:v>3450000000</x:v>
      </x:c>
      <x:c r="I2917" s="12" t="n">
        <x:v>33823529.4117647</x:v>
      </x:c>
      <x:c r="J2917" s="2" t="str">
        <x:v>total</x:v>
      </x:c>
      <x:c r="K2917" s="2" t="str">
        <x:v>top_level_area</x:v>
      </x:c>
      <x:c r="L2917" s="2" t="str">
        <x:v>property_type_inferred_from_title</x:v>
      </x:c>
      <x:c r="M2917" s="10" t="n">
        <x:v>0</x:v>
      </x:c>
      <x:c r="N2917" s="10" t="n">
        <x:v>0</x:v>
      </x:c>
      <x:c r="O2917" s="2" t="str">
        <x:v>Đà Nẵng|land</x:v>
      </x:c>
      <x:c r="P2917" s="10" t="n">
        <x:v>2</x:v>
      </x:c>
      <x:c r="Q2917" s="13" t="n">
        <x:f>IF(H2917="","",H2917/1000000000)</x:f>
        <x:v>3.45</x:v>
      </x:c>
      <x:c r="R2917" s="13" t="n">
        <x:f>IF(I2917="","",I2917/1000000)</x:f>
        <x:v>33.8235294117647</x:v>
      </x:c>
    </x:row>
    <x:row r="2918" ht="21" customHeight="1">
      <x:c r="A2918" s="10" t="n">
        <x:v>4009</x:v>
      </x:c>
      <x:c r="B2918" s="2" t="str">
        <x:v>6f7a83317466bdf26b08</x:v>
      </x:c>
      <x:c r="C2918" s="2" t="str">
        <x:v>Hà Nội</x:v>
      </x:c>
      <x:c r="D2918" s="2" t="str">
        <x:v>Quận Thanh Xuân</x:v>
      </x:c>
      <x:c r="E2918" s="2" t="str">
        <x:v>house</x:v>
      </x:c>
      <x:c r="F2918" s="2" t="str">
        <x:v>sale_assumed</x:v>
      </x:c>
      <x:c r="G2918" s="11" t="n">
        <x:v>43</x:v>
      </x:c>
      <x:c r="H2918" s="12" t="n">
        <x:v>4350000000</x:v>
      </x:c>
      <x:c r="I2918" s="12" t="n">
        <x:v>101162790.69767442</x:v>
      </x:c>
      <x:c r="J2918" s="2" t="str">
        <x:v>total</x:v>
      </x:c>
      <x:c r="K2918" s="2" t="str">
        <x:v>top_level_area</x:v>
      </x:c>
      <x:c r="L2918" s="2" t="str">
        <x:v>property_type_inferred_from_title;transaction_assumed_sale_from_dataset_context</x:v>
      </x:c>
      <x:c r="M2918" s="10" t="n">
        <x:v>0</x:v>
      </x:c>
      <x:c r="N2918" s="10" t="n">
        <x:v>0</x:v>
      </x:c>
      <x:c r="O2918" s="2" t="str">
        <x:v>Hà Nội|house</x:v>
      </x:c>
      <x:c r="P2918" s="10" t="n">
        <x:v>2</x:v>
      </x:c>
      <x:c r="Q2918" s="13" t="n">
        <x:f>IF(H2918="","",H2918/1000000000)</x:f>
        <x:v>4.35</x:v>
      </x:c>
      <x:c r="R2918" s="13" t="n">
        <x:f>IF(I2918="","",I2918/1000000)</x:f>
        <x:v>101.16279069767442</x:v>
      </x:c>
    </x:row>
    <x:row r="2919" ht="21" customHeight="1">
      <x:c r="A2919" s="10" t="n">
        <x:v>4010</x:v>
      </x:c>
      <x:c r="B2919" s="2" t="str">
        <x:v>695dce9f4139e55804d3</x:v>
      </x:c>
      <x:c r="C2919" s="2" t="str">
        <x:v>Hà Nội</x:v>
      </x:c>
      <x:c r="D2919" s="2" t="str">
        <x:v>Quận Hai Bà Trưng</x:v>
      </x:c>
      <x:c r="E2919" s="2" t="str">
        <x:v>house</x:v>
      </x:c>
      <x:c r="F2919" s="2" t="str">
        <x:v>sale_assumed</x:v>
      </x:c>
      <x:c r="G2919" s="11" t="n">
        <x:v>54</x:v>
      </x:c>
      <x:c r="H2919" s="12" t="n">
        <x:v>4000000000</x:v>
      </x:c>
      <x:c r="I2919" s="12" t="n">
        <x:v>74074074.07407407</x:v>
      </x:c>
      <x:c r="J2919" s="2" t="str">
        <x:v>total</x:v>
      </x:c>
      <x:c r="K2919" s="2" t="str">
        <x:v>top_level_area</x:v>
      </x:c>
      <x:c r="L2919" s="2" t="str">
        <x:v>property_type_inferred_from_title;transaction_assumed_sale_from_dataset_context</x:v>
      </x:c>
      <x:c r="M2919" s="10" t="n">
        <x:v>0</x:v>
      </x:c>
      <x:c r="N2919" s="10" t="n">
        <x:v>0</x:v>
      </x:c>
      <x:c r="O2919" s="2" t="str">
        <x:v>Hà Nội|house</x:v>
      </x:c>
      <x:c r="P2919" s="10" t="n">
        <x:v>2</x:v>
      </x:c>
      <x:c r="Q2919" s="13" t="n">
        <x:f>IF(H2919="","",H2919/1000000000)</x:f>
        <x:v>4</x:v>
      </x:c>
      <x:c r="R2919" s="13" t="n">
        <x:f>IF(I2919="","",I2919/1000000)</x:f>
        <x:v>74.07407407407408</x:v>
      </x:c>
    </x:row>
    <x:row r="2920" ht="21" customHeight="1">
      <x:c r="A2920" s="10" t="n">
        <x:v>4011</x:v>
      </x:c>
      <x:c r="B2920" s="2" t="str">
        <x:v>0454e4b29352e442dfb6</x:v>
      </x:c>
      <x:c r="C2920" s="2" t="str">
        <x:v>Hà Nội</x:v>
      </x:c>
      <x:c r="D2920" s="2" t="str">
        <x:v>Quận Cầu Giấy</x:v>
      </x:c>
      <x:c r="E2920" s="2" t="str">
        <x:v>house</x:v>
      </x:c>
      <x:c r="F2920" s="2" t="str">
        <x:v>sale</x:v>
      </x:c>
      <x:c r="G2920" s="11" t="n">
        <x:v>35</x:v>
      </x:c>
      <x:c r="H2920" s="12" t="n">
        <x:v>5600000000</x:v>
      </x:c>
      <x:c r="I2920" s="12" t="n">
        <x:v>160000000</x:v>
      </x:c>
      <x:c r="J2920" s="2" t="str">
        <x:v>total</x:v>
      </x:c>
      <x:c r="K2920" s="2" t="str">
        <x:v>top_level_area</x:v>
      </x:c>
      <x:c r="L2920" s="2" t="str">
        <x:v>property_type_inferred_from_title</x:v>
      </x:c>
      <x:c r="M2920" s="10" t="n">
        <x:v>0</x:v>
      </x:c>
      <x:c r="N2920" s="10" t="n">
        <x:v>0</x:v>
      </x:c>
      <x:c r="O2920" s="2" t="str">
        <x:v>Hà Nội|house</x:v>
      </x:c>
      <x:c r="P2920" s="10" t="n">
        <x:v>2</x:v>
      </x:c>
      <x:c r="Q2920" s="13" t="n">
        <x:f>IF(H2920="","",H2920/1000000000)</x:f>
        <x:v>5.6</x:v>
      </x:c>
      <x:c r="R2920" s="13" t="n">
        <x:f>IF(I2920="","",I2920/1000000)</x:f>
        <x:v>160</x:v>
      </x:c>
    </x:row>
    <x:row r="2921" ht="21" customHeight="1">
      <x:c r="A2921" s="10" t="n">
        <x:v>4012</x:v>
      </x:c>
      <x:c r="B2921" s="2" t="str">
        <x:v>a5e5202aadb4cf50b903</x:v>
      </x:c>
      <x:c r="C2921" s="2" t="str">
        <x:v>Hà Nội</x:v>
      </x:c>
      <x:c r="D2921" s="2" t="str">
        <x:v>Quận Hà Đông</x:v>
      </x:c>
      <x:c r="E2921" s="2" t="str">
        <x:v>land</x:v>
      </x:c>
      <x:c r="F2921" s="2" t="str">
        <x:v>sale</x:v>
      </x:c>
      <x:c r="G2921" s="11" t="n">
        <x:v>58</x:v>
      </x:c>
      <x:c r="H2921" s="12" t="n">
        <x:v>1850000000</x:v>
      </x:c>
      <x:c r="I2921" s="12" t="n">
        <x:v>31896551.724137932</x:v>
      </x:c>
      <x:c r="J2921" s="2" t="str">
        <x:v>total</x:v>
      </x:c>
      <x:c r="K2921" s="2" t="str">
        <x:v>top_level_area</x:v>
      </x:c>
      <x:c r="L2921" s="2" t="str">
        <x:v>property_type_inferred_from_title</x:v>
      </x:c>
      <x:c r="M2921" s="10" t="n">
        <x:v>0</x:v>
      </x:c>
      <x:c r="N2921" s="10" t="n">
        <x:v>0</x:v>
      </x:c>
      <x:c r="O2921" s="2" t="str">
        <x:v>Hà Nội|land</x:v>
      </x:c>
      <x:c r="P2921" s="10" t="n">
        <x:v>2</x:v>
      </x:c>
      <x:c r="Q2921" s="13" t="n">
        <x:f>IF(H2921="","",H2921/1000000000)</x:f>
        <x:v>1.85</x:v>
      </x:c>
      <x:c r="R2921" s="13" t="n">
        <x:f>IF(I2921="","",I2921/1000000)</x:f>
        <x:v>31.896551724137932</x:v>
      </x:c>
    </x:row>
    <x:row r="2922" ht="21" customHeight="1">
      <x:c r="A2922" s="10" t="n">
        <x:v>4013</x:v>
      </x:c>
      <x:c r="B2922" s="2" t="str">
        <x:v>aabfe7e696095d688d90</x:v>
      </x:c>
      <x:c r="C2922" s="2" t="str">
        <x:v>Tp Hồ Chí Minh</x:v>
      </x:c>
      <x:c r="D2922" s="2" t="str">
        <x:v>Quận 12</x:v>
      </x:c>
      <x:c r="E2922" s="2" t="str">
        <x:v>land</x:v>
      </x:c>
      <x:c r="F2922" s="2" t="str">
        <x:v>sale</x:v>
      </x:c>
      <x:c r="G2922" s="11" t="n">
        <x:v>80</x:v>
      </x:c>
      <x:c r="H2922" s="12" t="n">
        <x:v>920000000</x:v>
      </x:c>
      <x:c r="I2922" s="12" t="n">
        <x:v>11500000</x:v>
      </x:c>
      <x:c r="J2922" s="2" t="str">
        <x:v>total</x:v>
      </x:c>
      <x:c r="K2922" s="2" t="str">
        <x:v>top_level_area</x:v>
      </x:c>
      <x:c r="L2922" s="2" t="str">
        <x:v>property_type_inferred_from_title</x:v>
      </x:c>
      <x:c r="M2922" s="10" t="n">
        <x:v>0</x:v>
      </x:c>
      <x:c r="N2922" s="10" t="n">
        <x:v>0</x:v>
      </x:c>
      <x:c r="O2922" s="2" t="str">
        <x:v>Tp Hồ Chí Minh|land</x:v>
      </x:c>
      <x:c r="P2922" s="10" t="n">
        <x:v>2</x:v>
      </x:c>
      <x:c r="Q2922" s="13" t="n">
        <x:f>IF(H2922="","",H2922/1000000000)</x:f>
        <x:v>0.92</x:v>
      </x:c>
      <x:c r="R2922" s="13" t="n">
        <x:f>IF(I2922="","",I2922/1000000)</x:f>
        <x:v>11.5</x:v>
      </x:c>
    </x:row>
    <x:row r="2923" ht="21" customHeight="1">
      <x:c r="A2923" s="10" t="n">
        <x:v>4014</x:v>
      </x:c>
      <x:c r="B2923" s="2" t="str">
        <x:v>77b965e0b1e9e82930bc</x:v>
      </x:c>
      <x:c r="C2923" s="2" t="str">
        <x:v>Bình Dương</x:v>
      </x:c>
      <x:c r="D2923" s="2" t="str">
        <x:v>Thị xã Thuận An</x:v>
      </x:c>
      <x:c r="E2923" s="2" t="str">
        <x:v>apartment</x:v>
      </x:c>
      <x:c r="F2923" s="2" t="str">
        <x:v>sale_assumed</x:v>
      </x:c>
      <x:c r="G2923" s="11" t="n">
        <x:v>52.24</x:v>
      </x:c>
      <x:c r="H2923" s="12" t="n">
        <x:v>1850000000</x:v>
      </x:c>
      <x:c r="I2923" s="12" t="n">
        <x:v>35413476.26339969</x:v>
      </x:c>
      <x:c r="J2923" s="2" t="str">
        <x:v>total</x:v>
      </x:c>
      <x:c r="K2923" s="2" t="str">
        <x:v>top_level_area</x:v>
      </x:c>
      <x:c r="L2923" s="2" t="str">
        <x:v>property_type_inferred_from_title;transaction_assumed_sale_from_dataset_context</x:v>
      </x:c>
      <x:c r="M2923" s="10" t="n">
        <x:v>0</x:v>
      </x:c>
      <x:c r="N2923" s="10" t="n">
        <x:v>0</x:v>
      </x:c>
      <x:c r="O2923" s="2" t="str">
        <x:v>Bình Dương|apartment</x:v>
      </x:c>
      <x:c r="P2923" s="10" t="n">
        <x:v>2</x:v>
      </x:c>
      <x:c r="Q2923" s="13" t="n">
        <x:f>IF(H2923="","",H2923/1000000000)</x:f>
        <x:v>1.85</x:v>
      </x:c>
      <x:c r="R2923" s="13" t="n">
        <x:f>IF(I2923="","",I2923/1000000)</x:f>
        <x:v>35.41347626339969</x:v>
      </x:c>
    </x:row>
    <x:row r="2924" ht="21" customHeight="1">
      <x:c r="A2924" s="10" t="n">
        <x:v>4015</x:v>
      </x:c>
      <x:c r="B2924" s="2" t="str">
        <x:v>43f3a4abe9005f653904</x:v>
      </x:c>
      <x:c r="C2924" s="2" t="str">
        <x:v>Hà Nội</x:v>
      </x:c>
      <x:c r="D2924" s="2" t="str">
        <x:v>Quận Long Biên</x:v>
      </x:c>
      <x:c r="E2924" s="2" t="str">
        <x:v>house</x:v>
      </x:c>
      <x:c r="F2924" s="2" t="str">
        <x:v>sale_assumed</x:v>
      </x:c>
      <x:c r="G2924" s="11" t="n">
        <x:v>55</x:v>
      </x:c>
      <x:c r="H2924" s="12" t="n">
        <x:v>5250000000</x:v>
      </x:c>
      <x:c r="I2924" s="12" t="n">
        <x:v>95454545.45454545</x:v>
      </x:c>
      <x:c r="J2924" s="2" t="str">
        <x:v>total</x:v>
      </x:c>
      <x:c r="K2924" s="2" t="str">
        <x:v>top_level_area</x:v>
      </x:c>
      <x:c r="L2924" s="2" t="str">
        <x:v>property_type_inferred_from_title;transaction_assumed_sale_from_dataset_context</x:v>
      </x:c>
      <x:c r="M2924" s="10" t="n">
        <x:v>0</x:v>
      </x:c>
      <x:c r="N2924" s="10" t="n">
        <x:v>0</x:v>
      </x:c>
      <x:c r="O2924" s="2" t="str">
        <x:v>Hà Nội|house</x:v>
      </x:c>
      <x:c r="P2924" s="10" t="n">
        <x:v>2</x:v>
      </x:c>
      <x:c r="Q2924" s="13" t="n">
        <x:f>IF(H2924="","",H2924/1000000000)</x:f>
        <x:v>5.25</x:v>
      </x:c>
      <x:c r="R2924" s="13" t="n">
        <x:f>IF(I2924="","",I2924/1000000)</x:f>
        <x:v>95.45454545454545</x:v>
      </x:c>
    </x:row>
    <x:row r="2925" ht="21" customHeight="1">
      <x:c r="A2925" s="10" t="n">
        <x:v>4016</x:v>
      </x:c>
      <x:c r="B2925" s="2" t="str">
        <x:v>d4d7db3bcce3fe353465</x:v>
      </x:c>
      <x:c r="C2925" s="2" t="str">
        <x:v>Hà Nội</x:v>
      </x:c>
      <x:c r="D2925" s="2" t="str">
        <x:v>Quận Hà Đông</x:v>
      </x:c>
      <x:c r="E2925" s="2" t="str">
        <x:v>house</x:v>
      </x:c>
      <x:c r="F2925" s="2" t="str">
        <x:v>sale</x:v>
      </x:c>
      <x:c r="G2925" s="11" t="n">
        <x:v>35</x:v>
      </x:c>
      <x:c r="H2925" s="12" t="n">
        <x:v>2800000000</x:v>
      </x:c>
      <x:c r="I2925" s="12" t="n">
        <x:v>80000000</x:v>
      </x:c>
      <x:c r="J2925" s="2" t="str">
        <x:v>total</x:v>
      </x:c>
      <x:c r="K2925" s="2" t="str">
        <x:v>top_level_area</x:v>
      </x:c>
      <x:c r="L2925" s="2" t="str">
        <x:v>property_type_inferred_from_title</x:v>
      </x:c>
      <x:c r="M2925" s="10" t="n">
        <x:v>0</x:v>
      </x:c>
      <x:c r="N2925" s="10" t="n">
        <x:v>0</x:v>
      </x:c>
      <x:c r="O2925" s="2" t="str">
        <x:v>Hà Nội|house</x:v>
      </x:c>
      <x:c r="P2925" s="10" t="n">
        <x:v>2</x:v>
      </x:c>
      <x:c r="Q2925" s="13" t="n">
        <x:f>IF(H2925="","",H2925/1000000000)</x:f>
        <x:v>2.8</x:v>
      </x:c>
      <x:c r="R2925" s="13" t="n">
        <x:f>IF(I2925="","",I2925/1000000)</x:f>
        <x:v>80</x:v>
      </x:c>
    </x:row>
    <x:row r="2926" ht="21" customHeight="1">
      <x:c r="A2926" s="10" t="n">
        <x:v>4017</x:v>
      </x:c>
      <x:c r="B2926" s="2" t="str">
        <x:v>eba0bbc3c7d71813058b</x:v>
      </x:c>
      <x:c r="C2926" s="2" t="str">
        <x:v>Đắk Lắk</x:v>
      </x:c>
      <x:c r="D2926" s="2" t="str">
        <x:v>Thành phố Buôn Ma Thuột</x:v>
      </x:c>
      <x:c r="E2926" s="2" t="str">
        <x:v>house</x:v>
      </x:c>
      <x:c r="F2926" s="2" t="str">
        <x:v>sale_assumed</x:v>
      </x:c>
      <x:c r="G2926" s="11" t="n">
        <x:v>178</x:v>
      </x:c>
      <x:c r="H2926" s="12" t="n">
        <x:v>1850000000</x:v>
      </x:c>
      <x:c r="I2926" s="12" t="n">
        <x:v>10393258.426966293</x:v>
      </x:c>
      <x:c r="J2926" s="2" t="str">
        <x:v>total</x:v>
      </x:c>
      <x:c r="K2926" s="2" t="str">
        <x:v>top_level_area</x:v>
      </x:c>
      <x:c r="L2926" s="2" t="str">
        <x:v>property_type_inferred_from_title;transaction_assumed_sale_from_dataset_context</x:v>
      </x:c>
      <x:c r="M2926" s="10" t="n">
        <x:v>0</x:v>
      </x:c>
      <x:c r="N2926" s="10" t="n">
        <x:v>0</x:v>
      </x:c>
      <x:c r="O2926" s="2" t="str">
        <x:v>Đắk Lắk|house</x:v>
      </x:c>
      <x:c r="P2926" s="10" t="n">
        <x:v>2</x:v>
      </x:c>
      <x:c r="Q2926" s="13" t="n">
        <x:f>IF(H2926="","",H2926/1000000000)</x:f>
        <x:v>1.85</x:v>
      </x:c>
      <x:c r="R2926" s="13" t="n">
        <x:f>IF(I2926="","",I2926/1000000)</x:f>
        <x:v>10.393258426966293</x:v>
      </x:c>
    </x:row>
    <x:row r="2927" ht="21" customHeight="1">
      <x:c r="A2927" s="10" t="n">
        <x:v>4018</x:v>
      </x:c>
      <x:c r="B2927" s="2" t="str">
        <x:v>627ca9c30fc476ba0c0d</x:v>
      </x:c>
      <x:c r="C2927" s="2" t="str">
        <x:v>Hà Nội</x:v>
      </x:c>
      <x:c r="D2927" s="2" t="str">
        <x:v>Huyện Quốc Oai</x:v>
      </x:c>
      <x:c r="E2927" s="2" t="str">
        <x:v>land</x:v>
      </x:c>
      <x:c r="F2927" s="2" t="str">
        <x:v>sale_assumed</x:v>
      </x:c>
      <x:c r="G2927" s="11" t="n">
        <x:v>100</x:v>
      </x:c>
      <x:c r="H2927" s="12" t="n">
        <x:v>1800000000</x:v>
      </x:c>
      <x:c r="I2927" s="12" t="n">
        <x:v>18000000</x:v>
      </x:c>
      <x:c r="J2927" s="2" t="str">
        <x:v>total</x:v>
      </x:c>
      <x:c r="K2927" s="2" t="str">
        <x:v>top_level_area</x:v>
      </x:c>
      <x:c r="L2927" s="2" t="str">
        <x:v>property_type_inferred_from_title;transaction_assumed_sale_from_dataset_context</x:v>
      </x:c>
      <x:c r="M2927" s="10" t="n">
        <x:v>0</x:v>
      </x:c>
      <x:c r="N2927" s="10" t="n">
        <x:v>0</x:v>
      </x:c>
      <x:c r="O2927" s="2" t="str">
        <x:v>Hà Nội|land</x:v>
      </x:c>
      <x:c r="P2927" s="10" t="n">
        <x:v>2</x:v>
      </x:c>
      <x:c r="Q2927" s="13" t="n">
        <x:f>IF(H2927="","",H2927/1000000000)</x:f>
        <x:v>1.8</x:v>
      </x:c>
      <x:c r="R2927" s="13" t="n">
        <x:f>IF(I2927="","",I2927/1000000)</x:f>
        <x:v>18</x:v>
      </x:c>
    </x:row>
    <x:row r="2928" ht="21" customHeight="1">
      <x:c r="A2928" s="10" t="n">
        <x:v>4019</x:v>
      </x:c>
      <x:c r="B2928" s="2" t="str">
        <x:v>ee9152fc0aa9ba49a16f</x:v>
      </x:c>
      <x:c r="C2928" s="2" t="str">
        <x:v>Long An</x:v>
      </x:c>
      <x:c r="D2928" s="2" t="str">
        <x:v>Huyện Bến Lức</x:v>
      </x:c>
      <x:c r="E2928" s="2" t="str">
        <x:v>land</x:v>
      </x:c>
      <x:c r="F2928" s="2" t="str">
        <x:v>sale_assumed</x:v>
      </x:c>
      <x:c r="G2928" s="11" t="n">
        <x:v>95</x:v>
      </x:c>
      <x:c r="H2928" s="12" t="n">
        <x:v>890000000</x:v>
      </x:c>
      <x:c r="I2928" s="12" t="n">
        <x:v>9368421.05263158</x:v>
      </x:c>
      <x:c r="J2928" s="2" t="str">
        <x:v>total</x:v>
      </x:c>
      <x:c r="K2928" s="2" t="str">
        <x:v>top_level_area</x:v>
      </x:c>
      <x:c r="L2928" s="2" t="str">
        <x:v>property_type_inferred_from_title;transaction_assumed_sale_from_dataset_context</x:v>
      </x:c>
      <x:c r="M2928" s="10" t="n">
        <x:v>0</x:v>
      </x:c>
      <x:c r="N2928" s="10" t="n">
        <x:v>0</x:v>
      </x:c>
      <x:c r="O2928" s="2" t="str">
        <x:v>Long An|land</x:v>
      </x:c>
      <x:c r="P2928" s="10" t="n">
        <x:v>2</x:v>
      </x:c>
      <x:c r="Q2928" s="13" t="n">
        <x:f>IF(H2928="","",H2928/1000000000)</x:f>
        <x:v>0.89</x:v>
      </x:c>
      <x:c r="R2928" s="13" t="n">
        <x:f>IF(I2928="","",I2928/1000000)</x:f>
        <x:v>9.368421052631579</x:v>
      </x:c>
    </x:row>
    <x:row r="2929" ht="21" customHeight="1">
      <x:c r="A2929" s="10" t="n">
        <x:v>4020</x:v>
      </x:c>
      <x:c r="B2929" s="2" t="str">
        <x:v>c3975c80c8d17e230c03</x:v>
      </x:c>
      <x:c r="C2929" s="2" t="str">
        <x:v>Quảng Nam</x:v>
      </x:c>
      <x:c r="D2929" s="2" t="str">
        <x:v>Thành phố Hội An</x:v>
      </x:c>
      <x:c r="E2929" s="2" t="str">
        <x:v>land</x:v>
      </x:c>
      <x:c r="F2929" s="2" t="str">
        <x:v>sale_assumed</x:v>
      </x:c>
      <x:c r="G2929" s="11" t="n">
        <x:v>167</x:v>
      </x:c>
      <x:c r="H2929" s="12" t="n">
        <x:v>14500000000</x:v>
      </x:c>
      <x:c r="I2929" s="12" t="n">
        <x:v>86826347.30538923</x:v>
      </x:c>
      <x:c r="J2929" s="2" t="str">
        <x:v>total</x:v>
      </x:c>
      <x:c r="K2929" s="2" t="str">
        <x:v>top_level_area</x:v>
      </x:c>
      <x:c r="L2929" s="2" t="str">
        <x:v>property_type_inferred_from_title;transaction_assumed_sale_from_dataset_context</x:v>
      </x:c>
      <x:c r="M2929" s="10" t="n">
        <x:v>0</x:v>
      </x:c>
      <x:c r="N2929" s="10" t="n">
        <x:v>1</x:v>
      </x:c>
      <x:c r="O2929" s="2" t="str">
        <x:v>land</x:v>
      </x:c>
      <x:c r="P2929" s="10" t="n">
        <x:v>-1</x:v>
      </x:c>
      <x:c r="Q2929" s="13" t="n">
        <x:f>IF(H2929="","",H2929/1000000000)</x:f>
        <x:v>14.5</x:v>
      </x:c>
      <x:c r="R2929" s="13" t="n">
        <x:f>IF(I2929="","",I2929/1000000)</x:f>
        <x:v>86.82634730538922</x:v>
      </x:c>
    </x:row>
    <x:row r="2930" ht="21" customHeight="1">
      <x:c r="A2930" s="10" t="n">
        <x:v>4021</x:v>
      </x:c>
      <x:c r="B2930" s="2" t="str">
        <x:v>1f51b46c64bbddd8c9d4</x:v>
      </x:c>
      <x:c r="C2930" s="2" t="str">
        <x:v>Tp Hồ Chí Minh</x:v>
      </x:c>
      <x:c r="D2930" s="2" t="str">
        <x:v>Quận Thủ Đức</x:v>
      </x:c>
      <x:c r="E2930" s="2" t="str">
        <x:v>house</x:v>
      </x:c>
      <x:c r="F2930" s="2" t="str">
        <x:v>sale</x:v>
      </x:c>
      <x:c r="G2930" s="11" t="n">
        <x:v>170</x:v>
      </x:c>
      <x:c r="H2930" s="12" t="n">
        <x:v>19000000000</x:v>
      </x:c>
      <x:c r="I2930" s="12" t="n">
        <x:v>111764705.88235295</x:v>
      </x:c>
      <x:c r="J2930" s="2" t="str">
        <x:v>total</x:v>
      </x:c>
      <x:c r="K2930" s="2" t="str">
        <x:v>top_level_area</x:v>
      </x:c>
      <x:c r="L2930" s="2" t="str">
        <x:v>property_type_inferred_from_title</x:v>
      </x:c>
      <x:c r="M2930" s="10" t="n">
        <x:v>0</x:v>
      </x:c>
      <x:c r="N2930" s="10" t="n">
        <x:v>0</x:v>
      </x:c>
      <x:c r="O2930" s="2" t="str">
        <x:v>Tp Hồ Chí Minh|house</x:v>
      </x:c>
      <x:c r="P2930" s="10" t="n">
        <x:v>2</x:v>
      </x:c>
      <x:c r="Q2930" s="13" t="n">
        <x:f>IF(H2930="","",H2930/1000000000)</x:f>
        <x:v>19</x:v>
      </x:c>
      <x:c r="R2930" s="13" t="n">
        <x:f>IF(I2930="","",I2930/1000000)</x:f>
        <x:v>111.76470588235294</x:v>
      </x:c>
    </x:row>
    <x:row r="2931" ht="21" customHeight="1">
      <x:c r="A2931" s="10" t="n">
        <x:v>4025</x:v>
      </x:c>
      <x:c r="B2931" s="2" t="str">
        <x:v>6c36af1777688f5ba64d</x:v>
      </x:c>
      <x:c r="C2931" s="2" t="str">
        <x:v>Lâm Đồng</x:v>
      </x:c>
      <x:c r="D2931" s="2" t="str">
        <x:v>Huyện Bảo Lâm</x:v>
      </x:c>
      <x:c r="E2931" s="2" t="str">
        <x:v>house</x:v>
      </x:c>
      <x:c r="F2931" s="2" t="str">
        <x:v>sale_assumed</x:v>
      </x:c>
      <x:c r="G2931" s="11" t="n">
        <x:v>262</x:v>
      </x:c>
      <x:c r="H2931" s="12" t="n">
        <x:v>900000000</x:v>
      </x:c>
      <x:c r="I2931" s="12" t="n">
        <x:v>3435114.5038167937</x:v>
      </x:c>
      <x:c r="J2931" s="2" t="str">
        <x:v>total</x:v>
      </x:c>
      <x:c r="K2931" s="2" t="str">
        <x:v>top_level_area</x:v>
      </x:c>
      <x:c r="L2931" s="2" t="str">
        <x:v>property_type_inferred_from_title;transaction_assumed_sale_from_dataset_context</x:v>
      </x:c>
      <x:c r="M2931" s="10" t="n">
        <x:v>0</x:v>
      </x:c>
      <x:c r="N2931" s="10" t="n">
        <x:v>0</x:v>
      </x:c>
      <x:c r="O2931" s="2" t="str">
        <x:v>house</x:v>
      </x:c>
      <x:c r="P2931" s="10" t="n">
        <x:v>1</x:v>
      </x:c>
      <x:c r="Q2931" s="13" t="n">
        <x:f>IF(H2931="","",H2931/1000000000)</x:f>
        <x:v>0.9</x:v>
      </x:c>
      <x:c r="R2931" s="13" t="n">
        <x:f>IF(I2931="","",I2931/1000000)</x:f>
        <x:v>3.4351145038167936</x:v>
      </x:c>
    </x:row>
    <x:row r="2932" ht="21" customHeight="1">
      <x:c r="A2932" s="10" t="n">
        <x:v>4026</x:v>
      </x:c>
      <x:c r="B2932" s="2" t="str">
        <x:v>5f80f839a1cc564b10ab</x:v>
      </x:c>
      <x:c r="C2932" s="2" t="str">
        <x:v>Hà Nội</x:v>
      </x:c>
      <x:c r="D2932" s="2" t="str">
        <x:v>Quận Ba Đình</x:v>
      </x:c>
      <x:c r="E2932" s="2" t="str">
        <x:v>house</x:v>
      </x:c>
      <x:c r="F2932" s="2" t="str">
        <x:v>sale_assumed</x:v>
      </x:c>
      <x:c r="G2932" s="11" t="n">
        <x:v>57</x:v>
      </x:c>
      <x:c r="H2932" s="12" t="n">
        <x:v>7400000000</x:v>
      </x:c>
      <x:c r="I2932" s="12" t="n">
        <x:v>129824561.40350877</x:v>
      </x:c>
      <x:c r="J2932" s="2" t="str">
        <x:v>total</x:v>
      </x:c>
      <x:c r="K2932" s="2" t="str">
        <x:v>top_level_area</x:v>
      </x:c>
      <x:c r="L2932" s="2" t="str">
        <x:v>property_type_inferred_from_title;transaction_assumed_sale_from_dataset_context</x:v>
      </x:c>
      <x:c r="M2932" s="10" t="n">
        <x:v>0</x:v>
      </x:c>
      <x:c r="N2932" s="10" t="n">
        <x:v>0</x:v>
      </x:c>
      <x:c r="O2932" s="2" t="str">
        <x:v>Hà Nội|house</x:v>
      </x:c>
      <x:c r="P2932" s="10" t="n">
        <x:v>2</x:v>
      </x:c>
      <x:c r="Q2932" s="13" t="n">
        <x:f>IF(H2932="","",H2932/1000000000)</x:f>
        <x:v>7.4</x:v>
      </x:c>
      <x:c r="R2932" s="13" t="n">
        <x:f>IF(I2932="","",I2932/1000000)</x:f>
        <x:v>129.82456140350877</x:v>
      </x:c>
    </x:row>
    <x:row r="2933" ht="21" customHeight="1">
      <x:c r="A2933" s="10" t="n">
        <x:v>4027</x:v>
      </x:c>
      <x:c r="B2933" s="2" t="str">
        <x:v>4503064ba30c0aee9d02</x:v>
      </x:c>
      <x:c r="C2933" s="2" t="str">
        <x:v>Cần Thơ</x:v>
      </x:c>
      <x:c r="D2933" s="2" t="str">
        <x:v>Quận Ninh Kiều</x:v>
      </x:c>
      <x:c r="E2933" s="2" t="str">
        <x:v>land</x:v>
      </x:c>
      <x:c r="F2933" s="2" t="str">
        <x:v>sale_assumed</x:v>
      </x:c>
      <x:c r="G2933" s="11" t="n">
        <x:v>100</x:v>
      </x:c>
      <x:c r="H2933" s="12" t="n">
        <x:v>18500000</x:v>
      </x:c>
      <x:c r="I2933" s="12" t="n">
        <x:v>185000</x:v>
      </x:c>
      <x:c r="J2933" s="2" t="str">
        <x:v>total</x:v>
      </x:c>
      <x:c r="K2933" s="2" t="str">
        <x:v>top_level_area</x:v>
      </x:c>
      <x:c r="L2933" s="2" t="str">
        <x:v>property_type_inferred_from_title;transaction_assumed_sale_from_dataset_context</x:v>
      </x:c>
      <x:c r="M2933" s="10" t="n">
        <x:v>0</x:v>
      </x:c>
      <x:c r="N2933" s="10" t="n">
        <x:v>0</x:v>
      </x:c>
      <x:c r="O2933" s="2" t="str">
        <x:v>Cần Thơ|land</x:v>
      </x:c>
      <x:c r="P2933" s="10" t="n">
        <x:v>1</x:v>
      </x:c>
      <x:c r="Q2933" s="13" t="n">
        <x:f>IF(H2933="","",H2933/1000000000)</x:f>
        <x:v>0.0185</x:v>
      </x:c>
      <x:c r="R2933" s="13" t="n">
        <x:f>IF(I2933="","",I2933/1000000)</x:f>
        <x:v>0.185</x:v>
      </x:c>
    </x:row>
    <x:row r="2934" ht="21" customHeight="1">
      <x:c r="A2934" s="10" t="n">
        <x:v>4028</x:v>
      </x:c>
      <x:c r="B2934" s="2" t="str">
        <x:v>5200275654249211ef9c</x:v>
      </x:c>
      <x:c r="C2934" s="2" t="str">
        <x:v>Bến Tre</x:v>
      </x:c>
      <x:c r="D2934" s="2" t="str">
        <x:v>Thành phố Bến Tre</x:v>
      </x:c>
      <x:c r="E2934" s="2" t="str">
        <x:v>house</x:v>
      </x:c>
      <x:c r="F2934" s="2" t="str">
        <x:v>sale_assumed</x:v>
      </x:c>
      <x:c r="G2934" s="11" t="n">
        <x:v>46.3</x:v>
      </x:c>
      <x:c r="H2934" s="12" t="n">
        <x:v>2300000000</x:v>
      </x:c>
      <x:c r="I2934" s="12" t="n">
        <x:v>49676025.91792657</x:v>
      </x:c>
      <x:c r="J2934" s="2" t="str">
        <x:v>total</x:v>
      </x:c>
      <x:c r="K2934" s="2" t="str">
        <x:v>top_level_area</x:v>
      </x:c>
      <x:c r="L2934" s="2" t="str">
        <x:v>property_type_inferred_from_title;transaction_assumed_sale_from_dataset_context</x:v>
      </x:c>
      <x:c r="M2934" s="10" t="n">
        <x:v>0</x:v>
      </x:c>
      <x:c r="N2934" s="10" t="n">
        <x:v>0</x:v>
      </x:c>
      <x:c r="O2934" s="2" t="str">
        <x:v>house</x:v>
      </x:c>
      <x:c r="P2934" s="10" t="n">
        <x:v>2</x:v>
      </x:c>
      <x:c r="Q2934" s="13" t="n">
        <x:f>IF(H2934="","",H2934/1000000000)</x:f>
        <x:v>2.3</x:v>
      </x:c>
      <x:c r="R2934" s="13" t="n">
        <x:f>IF(I2934="","",I2934/1000000)</x:f>
        <x:v>49.67602591792657</x:v>
      </x:c>
    </x:row>
    <x:row r="2935" ht="21" customHeight="1">
      <x:c r="A2935" s="10" t="n">
        <x:v>4029</x:v>
      </x:c>
      <x:c r="B2935" s="2" t="str">
        <x:v>914b6078fe397f144042</x:v>
      </x:c>
      <x:c r="C2935" s="2" t="str">
        <x:v>Cần Thơ</x:v>
      </x:c>
      <x:c r="D2935" s="2" t="str">
        <x:v>Quận Ninh Kiều</x:v>
      </x:c>
      <x:c r="E2935" s="2" t="str">
        <x:v>land</x:v>
      </x:c>
      <x:c r="F2935" s="2" t="str">
        <x:v>sale</x:v>
      </x:c>
      <x:c r="G2935" s="11" t="n">
        <x:v>162</x:v>
      </x:c>
      <x:c r="H2935" s="12" t="n">
        <x:v>6400000000</x:v>
      </x:c>
      <x:c r="I2935" s="12" t="n">
        <x:v>39506172.83950617</x:v>
      </x:c>
      <x:c r="J2935" s="2" t="str">
        <x:v>total</x:v>
      </x:c>
      <x:c r="K2935" s="2" t="str">
        <x:v>top_level_area</x:v>
      </x:c>
      <x:c r="L2935" s="2" t="str">
        <x:v>property_type_inferred_from_title</x:v>
      </x:c>
      <x:c r="M2935" s="10" t="n">
        <x:v>0</x:v>
      </x:c>
      <x:c r="N2935" s="10" t="n">
        <x:v>0</x:v>
      </x:c>
      <x:c r="O2935" s="2" t="str">
        <x:v>Cần Thơ|land</x:v>
      </x:c>
      <x:c r="P2935" s="10" t="n">
        <x:v>2</x:v>
      </x:c>
      <x:c r="Q2935" s="13" t="n">
        <x:f>IF(H2935="","",H2935/1000000000)</x:f>
        <x:v>6.4</x:v>
      </x:c>
      <x:c r="R2935" s="13" t="n">
        <x:f>IF(I2935="","",I2935/1000000)</x:f>
        <x:v>39.50617283950617</x:v>
      </x:c>
    </x:row>
    <x:row r="2936" ht="21" customHeight="1">
      <x:c r="A2936" s="10" t="n">
        <x:v>4030</x:v>
      </x:c>
      <x:c r="B2936" s="2" t="str">
        <x:v>3f8e76bd982ed28ba022</x:v>
      </x:c>
      <x:c r="C2936" s="2" t="str">
        <x:v>Bến Tre</x:v>
      </x:c>
      <x:c r="D2936" s="2" t="str">
        <x:v>Thành phố Bến Tre</x:v>
      </x:c>
      <x:c r="E2936" s="2" t="str">
        <x:v>house</x:v>
      </x:c>
      <x:c r="F2936" s="2" t="str">
        <x:v>sale</x:v>
      </x:c>
      <x:c r="G2936" s="11" t="n">
        <x:v>93.7</x:v>
      </x:c>
      <x:c r="H2936" s="12" t="n">
        <x:v>2600000000</x:v>
      </x:c>
      <x:c r="I2936" s="12" t="n">
        <x:v>27748132.33724653</x:v>
      </x:c>
      <x:c r="J2936" s="2" t="str">
        <x:v>total</x:v>
      </x:c>
      <x:c r="K2936" s="2" t="str">
        <x:v>top_level_area</x:v>
      </x:c>
      <x:c r="L2936" s="2" t="str">
        <x:v>property_type_inferred_from_title</x:v>
      </x:c>
      <x:c r="M2936" s="10" t="n">
        <x:v>0</x:v>
      </x:c>
      <x:c r="N2936" s="10" t="n">
        <x:v>0</x:v>
      </x:c>
      <x:c r="O2936" s="2" t="str">
        <x:v>house</x:v>
      </x:c>
      <x:c r="P2936" s="10" t="n">
        <x:v>2</x:v>
      </x:c>
      <x:c r="Q2936" s="13" t="n">
        <x:f>IF(H2936="","",H2936/1000000000)</x:f>
        <x:v>2.6</x:v>
      </x:c>
      <x:c r="R2936" s="13" t="n">
        <x:f>IF(I2936="","",I2936/1000000)</x:f>
        <x:v>27.74813233724653</x:v>
      </x:c>
    </x:row>
    <x:row r="2937" ht="21" customHeight="1">
      <x:c r="A2937" s="10" t="n">
        <x:v>4031</x:v>
      </x:c>
      <x:c r="B2937" s="2" t="str">
        <x:v>a044b5d68f831121d10e</x:v>
      </x:c>
      <x:c r="C2937" s="2" t="str">
        <x:v>Hà Nội</x:v>
      </x:c>
      <x:c r="D2937" s="2" t="str">
        <x:v>Quận Đống Đa</x:v>
      </x:c>
      <x:c r="E2937" s="2" t="str">
        <x:v>house</x:v>
      </x:c>
      <x:c r="F2937" s="2" t="str">
        <x:v>sale_assumed</x:v>
      </x:c>
      <x:c r="G2937" s="11" t="n">
        <x:v>70</x:v>
      </x:c>
      <x:c r="H2937" s="12" t="n">
        <x:v>10000000000</x:v>
      </x:c>
      <x:c r="I2937" s="12" t="n">
        <x:v>142857142.85714287</x:v>
      </x:c>
      <x:c r="J2937" s="2" t="str">
        <x:v>total</x:v>
      </x:c>
      <x:c r="K2937" s="2" t="str">
        <x:v>top_level_area</x:v>
      </x:c>
      <x:c r="L2937" s="2" t="str">
        <x:v>property_type_inferred_from_title;transaction_assumed_sale_from_dataset_context</x:v>
      </x:c>
      <x:c r="M2937" s="10" t="n">
        <x:v>0</x:v>
      </x:c>
      <x:c r="N2937" s="10" t="n">
        <x:v>0</x:v>
      </x:c>
      <x:c r="O2937" s="2" t="str">
        <x:v>Hà Nội|house</x:v>
      </x:c>
      <x:c r="P2937" s="10" t="n">
        <x:v>2</x:v>
      </x:c>
      <x:c r="Q2937" s="13" t="n">
        <x:f>IF(H2937="","",H2937/1000000000)</x:f>
        <x:v>10</x:v>
      </x:c>
      <x:c r="R2937" s="13" t="n">
        <x:f>IF(I2937="","",I2937/1000000)</x:f>
        <x:v>142.85714285714286</x:v>
      </x:c>
    </x:row>
    <x:row r="2938" ht="21" customHeight="1">
      <x:c r="A2938" s="10" t="n">
        <x:v>4032</x:v>
      </x:c>
      <x:c r="B2938" s="2" t="str">
        <x:v>7479afc5ae5320dcad0b</x:v>
      </x:c>
      <x:c r="C2938" s="2" t="str">
        <x:v>Đà Nẵng</x:v>
      </x:c>
      <x:c r="D2938" s="2" t="str">
        <x:v>Quận Hải Châu</x:v>
      </x:c>
      <x:c r="E2938" s="2" t="str">
        <x:v>house</x:v>
      </x:c>
      <x:c r="F2938" s="2" t="str">
        <x:v>sale</x:v>
      </x:c>
      <x:c r="G2938" s="11" t="n">
        <x:v>70</x:v>
      </x:c>
      <x:c r="H2938" s="12" t="n">
        <x:v>4950000000</x:v>
      </x:c>
      <x:c r="I2938" s="12" t="n">
        <x:v>70714285.71428572</x:v>
      </x:c>
      <x:c r="J2938" s="2" t="str">
        <x:v>total</x:v>
      </x:c>
      <x:c r="K2938" s="2" t="str">
        <x:v>top_level_area</x:v>
      </x:c>
      <x:c r="L2938" s="2" t="str">
        <x:v>property_type_inferred_from_title</x:v>
      </x:c>
      <x:c r="M2938" s="10" t="n">
        <x:v>0</x:v>
      </x:c>
      <x:c r="N2938" s="10" t="n">
        <x:v>0</x:v>
      </x:c>
      <x:c r="O2938" s="2" t="str">
        <x:v>Đà Nẵng|house</x:v>
      </x:c>
      <x:c r="P2938" s="10" t="n">
        <x:v>2</x:v>
      </x:c>
      <x:c r="Q2938" s="13" t="n">
        <x:f>IF(H2938="","",H2938/1000000000)</x:f>
        <x:v>4.95</x:v>
      </x:c>
      <x:c r="R2938" s="13" t="n">
        <x:f>IF(I2938="","",I2938/1000000)</x:f>
        <x:v>70.71428571428572</x:v>
      </x:c>
    </x:row>
    <x:row r="2939" ht="21" customHeight="1">
      <x:c r="A2939" s="10" t="n">
        <x:v>4033</x:v>
      </x:c>
      <x:c r="B2939" s="2" t="str">
        <x:v>cbcb97b882cbd8016f75</x:v>
      </x:c>
      <x:c r="C2939" s="2" t="str">
        <x:v>Tp Hồ Chí Minh</x:v>
      </x:c>
      <x:c r="D2939" s="2" t="str">
        <x:v>Quận Thủ Đức</x:v>
      </x:c>
      <x:c r="E2939" s="2" t="str">
        <x:v>house</x:v>
      </x:c>
      <x:c r="F2939" s="2" t="str">
        <x:v>sale_assumed</x:v>
      </x:c>
      <x:c r="G2939" s="11" t="n">
        <x:v>78.9</x:v>
      </x:c>
      <x:c r="H2939" s="12" t="n">
        <x:v>2650000000</x:v>
      </x:c>
      <x:c r="I2939" s="12" t="n">
        <x:v>33586818.75792142</x:v>
      </x:c>
      <x:c r="J2939" s="2" t="str">
        <x:v>total</x:v>
      </x:c>
      <x:c r="K2939" s="2" t="str">
        <x:v>top_level_area</x:v>
      </x:c>
      <x:c r="L2939" s="2" t="str">
        <x:v>property_type_inferred_from_title;transaction_assumed_sale_from_dataset_context</x:v>
      </x:c>
      <x:c r="M2939" s="10" t="n">
        <x:v>0</x:v>
      </x:c>
      <x:c r="N2939" s="10" t="n">
        <x:v>0</x:v>
      </x:c>
      <x:c r="O2939" s="2" t="str">
        <x:v>Tp Hồ Chí Minh|house</x:v>
      </x:c>
      <x:c r="P2939" s="10" t="n">
        <x:v>2</x:v>
      </x:c>
      <x:c r="Q2939" s="13" t="n">
        <x:f>IF(H2939="","",H2939/1000000000)</x:f>
        <x:v>2.65</x:v>
      </x:c>
      <x:c r="R2939" s="13" t="n">
        <x:f>IF(I2939="","",I2939/1000000)</x:f>
        <x:v>33.58681875792142</x:v>
      </x:c>
    </x:row>
    <x:row r="2940" ht="21" customHeight="1">
      <x:c r="A2940" s="10" t="n">
        <x:v>4034</x:v>
      </x:c>
      <x:c r="B2940" s="2" t="str">
        <x:v>99d9bba878fd9c47881b</x:v>
      </x:c>
      <x:c r="C2940" s="2" t="str">
        <x:v>Hà Nội</x:v>
      </x:c>
      <x:c r="D2940" s="2" t="str">
        <x:v>Quận Thanh Xuân</x:v>
      </x:c>
      <x:c r="E2940" s="2" t="str">
        <x:v>house</x:v>
      </x:c>
      <x:c r="F2940" s="2" t="str">
        <x:v>sale</x:v>
      </x:c>
      <x:c r="G2940" s="11" t="n">
        <x:v>45</x:v>
      </x:c>
      <x:c r="H2940" s="12" t="n">
        <x:v>3000000000</x:v>
      </x:c>
      <x:c r="I2940" s="12" t="n">
        <x:v>66666666.666666664</x:v>
      </x:c>
      <x:c r="J2940" s="2" t="str">
        <x:v>total</x:v>
      </x:c>
      <x:c r="K2940" s="2" t="str">
        <x:v>top_level_area</x:v>
      </x:c>
      <x:c r="L2940" s="2" t="str">
        <x:v>property_type_inferred_from_title</x:v>
      </x:c>
      <x:c r="M2940" s="10" t="n">
        <x:v>0</x:v>
      </x:c>
      <x:c r="N2940" s="10" t="n">
        <x:v>0</x:v>
      </x:c>
      <x:c r="O2940" s="2" t="str">
        <x:v>Hà Nội|house</x:v>
      </x:c>
      <x:c r="P2940" s="10" t="n">
        <x:v>2</x:v>
      </x:c>
      <x:c r="Q2940" s="13" t="n">
        <x:f>IF(H2940="","",H2940/1000000000)</x:f>
        <x:v>3</x:v>
      </x:c>
      <x:c r="R2940" s="13" t="n">
        <x:f>IF(I2940="","",I2940/1000000)</x:f>
        <x:v>66.66666666666666</x:v>
      </x:c>
    </x:row>
    <x:row r="2941" ht="21" customHeight="1">
      <x:c r="A2941" s="10" t="n">
        <x:v>4035</x:v>
      </x:c>
      <x:c r="B2941" s="2" t="str">
        <x:v>acaf1b2a714602bb8966</x:v>
      </x:c>
      <x:c r="C2941" s="2" t="str">
        <x:v>Tp Hồ Chí Minh</x:v>
      </x:c>
      <x:c r="D2941" s="2" t="str">
        <x:v>Quận Bình Thạnh</x:v>
      </x:c>
      <x:c r="E2941" s="2" t="str">
        <x:v>other_unknown</x:v>
      </x:c>
      <x:c r="F2941" s="2" t="str">
        <x:v>sale_assumed</x:v>
      </x:c>
      <x:c r="G2941" s="11" t="n">
        <x:v>26</x:v>
      </x:c>
      <x:c r="H2941" s="12" t="n">
        <x:v>6200000000</x:v>
      </x:c>
      <x:c r="I2941" s="12" t="n">
        <x:v>238461538.46153846</x:v>
      </x:c>
      <x:c r="J2941" s="2" t="str">
        <x:v>total</x:v>
      </x:c>
      <x:c r="K2941" s="2" t="str">
        <x:v>top_level_area</x:v>
      </x:c>
      <x:c r="L2941" s="2" t="str">
        <x:v>property_type_inferred_from_title;transaction_assumed_sale_from_dataset_context;unknown_property_type</x:v>
      </x:c>
      <x:c r="M2941" s="10" t="n">
        <x:v>1</x:v>
      </x:c>
      <x:c r="N2941" s="10" t="n">
        <x:v>1</x:v>
      </x:c>
      <x:c r="O2941" s="2" t="str">
        <x:v>Tp Hồ Chí Minh|other_unknown</x:v>
      </x:c>
      <x:c r="P2941" s="10" t="n">
        <x:v>-1</x:v>
      </x:c>
      <x:c r="Q2941" s="13" t="n">
        <x:f>IF(H2941="","",H2941/1000000000)</x:f>
        <x:v>6.2</x:v>
      </x:c>
      <x:c r="R2941" s="13" t="n">
        <x:f>IF(I2941="","",I2941/1000000)</x:f>
        <x:v>238.46153846153845</x:v>
      </x:c>
    </x:row>
    <x:row r="2942" ht="21" customHeight="1">
      <x:c r="A2942" s="10" t="n">
        <x:v>4036</x:v>
      </x:c>
      <x:c r="B2942" s="2" t="str">
        <x:v>30c4e7ee5057374a24e8</x:v>
      </x:c>
      <x:c r="C2942" s="2" t="str">
        <x:v>Hà Nội</x:v>
      </x:c>
      <x:c r="D2942" s="2" t="str">
        <x:v>Quận Đống Đa</x:v>
      </x:c>
      <x:c r="E2942" s="2" t="str">
        <x:v>house</x:v>
      </x:c>
      <x:c r="F2942" s="2" t="str">
        <x:v>sale</x:v>
      </x:c>
      <x:c r="G2942" s="11" t="n">
        <x:v>39</x:v>
      </x:c>
      <x:c r="H2942" s="12" t="n">
        <x:v>4400000000</x:v>
      </x:c>
      <x:c r="I2942" s="12" t="n">
        <x:v>112820512.82051282</x:v>
      </x:c>
      <x:c r="J2942" s="2" t="str">
        <x:v>total</x:v>
      </x:c>
      <x:c r="K2942" s="2" t="str">
        <x:v>top_level_area</x:v>
      </x:c>
      <x:c r="L2942" s="2" t="str">
        <x:v>property_type_inferred_from_title</x:v>
      </x:c>
      <x:c r="M2942" s="10" t="n">
        <x:v>0</x:v>
      </x:c>
      <x:c r="N2942" s="10" t="n">
        <x:v>0</x:v>
      </x:c>
      <x:c r="O2942" s="2" t="str">
        <x:v>Hà Nội|house</x:v>
      </x:c>
      <x:c r="P2942" s="10" t="n">
        <x:v>2</x:v>
      </x:c>
      <x:c r="Q2942" s="13" t="n">
        <x:f>IF(H2942="","",H2942/1000000000)</x:f>
        <x:v>4.4</x:v>
      </x:c>
      <x:c r="R2942" s="13" t="n">
        <x:f>IF(I2942="","",I2942/1000000)</x:f>
        <x:v>112.82051282051282</x:v>
      </x:c>
    </x:row>
    <x:row r="2943" ht="21" customHeight="1">
      <x:c r="A2943" s="10" t="n">
        <x:v>4037</x:v>
      </x:c>
      <x:c r="B2943" s="2" t="str">
        <x:v>a6b309c523e6f42bd060</x:v>
      </x:c>
      <x:c r="C2943" s="2" t="str">
        <x:v>Hà Nội</x:v>
      </x:c>
      <x:c r="D2943" s="2" t="str">
        <x:v>Quận Đống Đa</x:v>
      </x:c>
      <x:c r="E2943" s="2" t="str">
        <x:v>house</x:v>
      </x:c>
      <x:c r="F2943" s="2" t="str">
        <x:v>sale</x:v>
      </x:c>
      <x:c r="G2943" s="11" t="n">
        <x:v>38</x:v>
      </x:c>
      <x:c r="H2943" s="12" t="n">
        <x:v>2950000000</x:v>
      </x:c>
      <x:c r="I2943" s="12" t="n">
        <x:v>77631578.94736843</x:v>
      </x:c>
      <x:c r="J2943" s="2" t="str">
        <x:v>total</x:v>
      </x:c>
      <x:c r="K2943" s="2" t="str">
        <x:v>top_level_area</x:v>
      </x:c>
      <x:c r="L2943" s="2" t="str">
        <x:v>property_type_inferred_from_title</x:v>
      </x:c>
      <x:c r="M2943" s="10" t="n">
        <x:v>0</x:v>
      </x:c>
      <x:c r="N2943" s="10" t="n">
        <x:v>0</x:v>
      </x:c>
      <x:c r="O2943" s="2" t="str">
        <x:v>Hà Nội|house</x:v>
      </x:c>
      <x:c r="P2943" s="10" t="n">
        <x:v>2</x:v>
      </x:c>
      <x:c r="Q2943" s="13" t="n">
        <x:f>IF(H2943="","",H2943/1000000000)</x:f>
        <x:v>2.95</x:v>
      </x:c>
      <x:c r="R2943" s="13" t="n">
        <x:f>IF(I2943="","",I2943/1000000)</x:f>
        <x:v>77.63157894736842</x:v>
      </x:c>
    </x:row>
    <x:row r="2944" ht="21" customHeight="1">
      <x:c r="A2944" s="10" t="n">
        <x:v>4038</x:v>
      </x:c>
      <x:c r="B2944" s="2" t="str">
        <x:v>82ecab7a4fb9c5c3e806</x:v>
      </x:c>
      <x:c r="C2944" s="2" t="str">
        <x:v>Hà Nội</x:v>
      </x:c>
      <x:c r="D2944" s="2" t="str">
        <x:v>Quận Thanh Xuân</x:v>
      </x:c>
      <x:c r="E2944" s="2" t="str">
        <x:v>house</x:v>
      </x:c>
      <x:c r="F2944" s="2" t="str">
        <x:v>sale</x:v>
      </x:c>
      <x:c r="G2944" s="11" t="n">
        <x:v>33</x:v>
      </x:c>
      <x:c r="H2944" s="12" t="n">
        <x:v>3580000000</x:v>
      </x:c>
      <x:c r="I2944" s="12" t="n">
        <x:v>108484848.48484848</x:v>
      </x:c>
      <x:c r="J2944" s="2" t="str">
        <x:v>total</x:v>
      </x:c>
      <x:c r="K2944" s="2" t="str">
        <x:v>top_level_area</x:v>
      </x:c>
      <x:c r="L2944" s="2" t="str">
        <x:v>property_type_inferred_from_title</x:v>
      </x:c>
      <x:c r="M2944" s="10" t="n">
        <x:v>0</x:v>
      </x:c>
      <x:c r="N2944" s="10" t="n">
        <x:v>0</x:v>
      </x:c>
      <x:c r="O2944" s="2" t="str">
        <x:v>Hà Nội|house</x:v>
      </x:c>
      <x:c r="P2944" s="10" t="n">
        <x:v>2</x:v>
      </x:c>
      <x:c r="Q2944" s="13" t="n">
        <x:f>IF(H2944="","",H2944/1000000000)</x:f>
        <x:v>3.58</x:v>
      </x:c>
      <x:c r="R2944" s="13" t="n">
        <x:f>IF(I2944="","",I2944/1000000)</x:f>
        <x:v>108.48484848484848</x:v>
      </x:c>
    </x:row>
    <x:row r="2945" ht="21" customHeight="1">
      <x:c r="A2945" s="10" t="n">
        <x:v>4039</x:v>
      </x:c>
      <x:c r="B2945" s="2" t="str">
        <x:v>5c125ddf471014be4677</x:v>
      </x:c>
      <x:c r="C2945" s="2" t="str">
        <x:v>Tp Hồ Chí Minh</x:v>
      </x:c>
      <x:c r="D2945" s="2" t="str">
        <x:v>Quận Thủ Đức</x:v>
      </x:c>
      <x:c r="E2945" s="2" t="str">
        <x:v>land</x:v>
      </x:c>
      <x:c r="F2945" s="2" t="str">
        <x:v>sale_assumed</x:v>
      </x:c>
      <x:c r="G2945" s="11" t="n">
        <x:v>90</x:v>
      </x:c>
      <x:c r="H2945" s="12" t="n">
        <x:v>9270000000</x:v>
      </x:c>
      <x:c r="I2945" s="12" t="n">
        <x:v>103000000</x:v>
      </x:c>
      <x:c r="J2945" s="2" t="str">
        <x:v>total</x:v>
      </x:c>
      <x:c r="K2945" s="2" t="str">
        <x:v>top_level_area</x:v>
      </x:c>
      <x:c r="L2945" s="2" t="str">
        <x:v>property_type_inferred_from_title;transaction_assumed_sale_from_dataset_context</x:v>
      </x:c>
      <x:c r="M2945" s="10" t="n">
        <x:v>0</x:v>
      </x:c>
      <x:c r="N2945" s="10" t="n">
        <x:v>1</x:v>
      </x:c>
      <x:c r="O2945" s="2" t="str">
        <x:v>Tp Hồ Chí Minh|land</x:v>
      </x:c>
      <x:c r="P2945" s="10" t="n">
        <x:v>-1</x:v>
      </x:c>
      <x:c r="Q2945" s="13" t="n">
        <x:f>IF(H2945="","",H2945/1000000000)</x:f>
        <x:v>9.27</x:v>
      </x:c>
      <x:c r="R2945" s="13" t="n">
        <x:f>IF(I2945="","",I2945/1000000)</x:f>
        <x:v>103</x:v>
      </x:c>
    </x:row>
    <x:row r="2946" ht="21" customHeight="1">
      <x:c r="A2946" s="10" t="n">
        <x:v>4040</x:v>
      </x:c>
      <x:c r="B2946" s="2" t="str">
        <x:v>1dbd905931f1aba7af85</x:v>
      </x:c>
      <x:c r="C2946" s="2" t="str">
        <x:v>Hà Nội</x:v>
      </x:c>
      <x:c r="D2946" s="2" t="str">
        <x:v>Quận Cầu Giấy</x:v>
      </x:c>
      <x:c r="E2946" s="2" t="str">
        <x:v>house</x:v>
      </x:c>
      <x:c r="F2946" s="2" t="str">
        <x:v>sale</x:v>
      </x:c>
      <x:c r="G2946" s="11" t="n">
        <x:v>39</x:v>
      </x:c>
      <x:c r="H2946" s="12" t="n">
        <x:v>3130000000</x:v>
      </x:c>
      <x:c r="I2946" s="12" t="n">
        <x:v>80256410.25641026</x:v>
      </x:c>
      <x:c r="J2946" s="2" t="str">
        <x:v>total</x:v>
      </x:c>
      <x:c r="K2946" s="2" t="str">
        <x:v>top_level_area</x:v>
      </x:c>
      <x:c r="L2946" s="2" t="str">
        <x:v>property_type_inferred_from_title</x:v>
      </x:c>
      <x:c r="M2946" s="10" t="n">
        <x:v>0</x:v>
      </x:c>
      <x:c r="N2946" s="10" t="n">
        <x:v>0</x:v>
      </x:c>
      <x:c r="O2946" s="2" t="str">
        <x:v>Hà Nội|house</x:v>
      </x:c>
      <x:c r="P2946" s="10" t="n">
        <x:v>2</x:v>
      </x:c>
      <x:c r="Q2946" s="13" t="n">
        <x:f>IF(H2946="","",H2946/1000000000)</x:f>
        <x:v>3.13</x:v>
      </x:c>
      <x:c r="R2946" s="13" t="n">
        <x:f>IF(I2946="","",I2946/1000000)</x:f>
        <x:v>80.25641025641026</x:v>
      </x:c>
    </x:row>
    <x:row r="2947" ht="21" customHeight="1">
      <x:c r="A2947" s="10" t="n">
        <x:v>4041</x:v>
      </x:c>
      <x:c r="B2947" s="2" t="str">
        <x:v>61fda15614b7d054bac5</x:v>
      </x:c>
      <x:c r="C2947" s="2" t="str">
        <x:v>Đồng Nai</x:v>
      </x:c>
      <x:c r="D2947" s="2" t="str">
        <x:v>Huyện Long Thành</x:v>
      </x:c>
      <x:c r="E2947" s="2" t="str">
        <x:v>house</x:v>
      </x:c>
      <x:c r="F2947" s="2" t="str">
        <x:v>sale</x:v>
      </x:c>
      <x:c r="G2947" s="11" t="n">
        <x:v>136</x:v>
      </x:c>
      <x:c r="H2947" s="12" t="n">
        <x:v>1750000000</x:v>
      </x:c>
      <x:c r="I2947" s="12" t="n">
        <x:v>12867647.05882353</x:v>
      </x:c>
      <x:c r="J2947" s="2" t="str">
        <x:v>total</x:v>
      </x:c>
      <x:c r="K2947" s="2" t="str">
        <x:v>top_level_area</x:v>
      </x:c>
      <x:c r="L2947" s="2" t="str">
        <x:v>property_type_inferred_from_title</x:v>
      </x:c>
      <x:c r="M2947" s="10" t="n">
        <x:v>0</x:v>
      </x:c>
      <x:c r="N2947" s="10" t="n">
        <x:v>0</x:v>
      </x:c>
      <x:c r="O2947" s="2" t="str">
        <x:v>Đồng Nai|house</x:v>
      </x:c>
      <x:c r="P2947" s="10" t="n">
        <x:v>2</x:v>
      </x:c>
      <x:c r="Q2947" s="13" t="n">
        <x:f>IF(H2947="","",H2947/1000000000)</x:f>
        <x:v>1.75</x:v>
      </x:c>
      <x:c r="R2947" s="13" t="n">
        <x:f>IF(I2947="","",I2947/1000000)</x:f>
        <x:v>12.867647058823529</x:v>
      </x:c>
    </x:row>
    <x:row r="2948" ht="21" customHeight="1">
      <x:c r="A2948" s="10" t="n">
        <x:v>4042</x:v>
      </x:c>
      <x:c r="B2948" s="2" t="str">
        <x:v>eab022987802aa1e28a9</x:v>
      </x:c>
      <x:c r="C2948" s="2" t="str">
        <x:v>Hà Nội</x:v>
      </x:c>
      <x:c r="D2948" s="2" t="str">
        <x:v>Quận Ba Đình</x:v>
      </x:c>
      <x:c r="E2948" s="2" t="str">
        <x:v>house</x:v>
      </x:c>
      <x:c r="F2948" s="2" t="str">
        <x:v>sale</x:v>
      </x:c>
      <x:c r="G2948" s="11" t="n">
        <x:v>30</x:v>
      </x:c>
      <x:c r="H2948" s="12" t="n">
        <x:v>2600000000</x:v>
      </x:c>
      <x:c r="I2948" s="12" t="n">
        <x:v>86666666.66666667</x:v>
      </x:c>
      <x:c r="J2948" s="2" t="str">
        <x:v>total</x:v>
      </x:c>
      <x:c r="K2948" s="2" t="str">
        <x:v>top_level_area</x:v>
      </x:c>
      <x:c r="L2948" s="2" t="str">
        <x:v>property_type_inferred_from_title</x:v>
      </x:c>
      <x:c r="M2948" s="10" t="n">
        <x:v>0</x:v>
      </x:c>
      <x:c r="N2948" s="10" t="n">
        <x:v>0</x:v>
      </x:c>
      <x:c r="O2948" s="2" t="str">
        <x:v>Hà Nội|house</x:v>
      </x:c>
      <x:c r="P2948" s="10" t="n">
        <x:v>2</x:v>
      </x:c>
      <x:c r="Q2948" s="13" t="n">
        <x:f>IF(H2948="","",H2948/1000000000)</x:f>
        <x:v>2.6</x:v>
      </x:c>
      <x:c r="R2948" s="13" t="n">
        <x:f>IF(I2948="","",I2948/1000000)</x:f>
        <x:v>86.66666666666667</x:v>
      </x:c>
    </x:row>
    <x:row r="2949" ht="21" customHeight="1">
      <x:c r="A2949" s="10" t="n">
        <x:v>4043</x:v>
      </x:c>
      <x:c r="B2949" s="2" t="str">
        <x:v>8dbc9028cb82e1ac7353</x:v>
      </x:c>
      <x:c r="C2949" s="2" t="str">
        <x:v>Hà Nội</x:v>
      </x:c>
      <x:c r="D2949" s="2" t="str">
        <x:v>Quận Thanh Xuân</x:v>
      </x:c>
      <x:c r="E2949" s="2" t="str">
        <x:v>house</x:v>
      </x:c>
      <x:c r="F2949" s="2" t="str">
        <x:v>sale_assumed</x:v>
      </x:c>
      <x:c r="G2949" s="11" t="n">
        <x:v>46</x:v>
      </x:c>
      <x:c r="H2949" s="12" t="n">
        <x:v>2700000000</x:v>
      </x:c>
      <x:c r="I2949" s="12" t="n">
        <x:v>58695652.17391305</x:v>
      </x:c>
      <x:c r="J2949" s="2" t="str">
        <x:v>total</x:v>
      </x:c>
      <x:c r="K2949" s="2" t="str">
        <x:v>top_level_area</x:v>
      </x:c>
      <x:c r="L2949" s="2" t="str">
        <x:v>property_type_inferred_from_title;transaction_assumed_sale_from_dataset_context</x:v>
      </x:c>
      <x:c r="M2949" s="10" t="n">
        <x:v>0</x:v>
      </x:c>
      <x:c r="N2949" s="10" t="n">
        <x:v>0</x:v>
      </x:c>
      <x:c r="O2949" s="2" t="str">
        <x:v>Hà Nội|house</x:v>
      </x:c>
      <x:c r="P2949" s="10" t="n">
        <x:v>2</x:v>
      </x:c>
      <x:c r="Q2949" s="13" t="n">
        <x:f>IF(H2949="","",H2949/1000000000)</x:f>
        <x:v>2.7</x:v>
      </x:c>
      <x:c r="R2949" s="13" t="n">
        <x:f>IF(I2949="","",I2949/1000000)</x:f>
        <x:v>58.69565217391305</x:v>
      </x:c>
    </x:row>
    <x:row r="2950" ht="21" customHeight="1">
      <x:c r="A2950" s="10" t="n">
        <x:v>4045</x:v>
      </x:c>
      <x:c r="B2950" s="2" t="str">
        <x:v>d31bd6c876c039ae7a9d</x:v>
      </x:c>
      <x:c r="C2950" s="2" t="str">
        <x:v>Tp Hồ Chí Minh</x:v>
      </x:c>
      <x:c r="D2950" s="2" t="str">
        <x:v>Quận 8</x:v>
      </x:c>
      <x:c r="E2950" s="2" t="str">
        <x:v>house</x:v>
      </x:c>
      <x:c r="F2950" s="2" t="str">
        <x:v>sale_assumed</x:v>
      </x:c>
      <x:c r="G2950" s="11" t="n">
        <x:v>45</x:v>
      </x:c>
      <x:c r="H2950" s="12" t="n">
        <x:v>1900000000</x:v>
      </x:c>
      <x:c r="I2950" s="12" t="n">
        <x:v>42222222.222222224</x:v>
      </x:c>
      <x:c r="J2950" s="2" t="str">
        <x:v>total</x:v>
      </x:c>
      <x:c r="K2950" s="2" t="str">
        <x:v>top_level_area</x:v>
      </x:c>
      <x:c r="L2950" s="2" t="str">
        <x:v>property_type_inferred_from_title;transaction_assumed_sale_from_dataset_context</x:v>
      </x:c>
      <x:c r="M2950" s="10" t="n">
        <x:v>0</x:v>
      </x:c>
      <x:c r="N2950" s="10" t="n">
        <x:v>0</x:v>
      </x:c>
      <x:c r="O2950" s="2" t="str">
        <x:v>Tp Hồ Chí Minh|house</x:v>
      </x:c>
      <x:c r="P2950" s="10" t="n">
        <x:v>2</x:v>
      </x:c>
      <x:c r="Q2950" s="13" t="n">
        <x:f>IF(H2950="","",H2950/1000000000)</x:f>
        <x:v>1.9</x:v>
      </x:c>
      <x:c r="R2950" s="13" t="n">
        <x:f>IF(I2950="","",I2950/1000000)</x:f>
        <x:v>42.22222222222222</x:v>
      </x:c>
    </x:row>
    <x:row r="2951" ht="21" customHeight="1">
      <x:c r="A2951" s="10" t="n">
        <x:v>4049</x:v>
      </x:c>
      <x:c r="B2951" s="2" t="str">
        <x:v>c20cdb0683559c8a3cb5</x:v>
      </x:c>
      <x:c r="C2951" s="2" t="str">
        <x:v>Tp Hồ Chí Minh</x:v>
      </x:c>
      <x:c r="D2951" s="2" t="str">
        <x:v>Huyện Hóc Môn</x:v>
      </x:c>
      <x:c r="E2951" s="2" t="str">
        <x:v>other_unknown</x:v>
      </x:c>
      <x:c r="F2951" s="2" t="str">
        <x:v>sale_assumed</x:v>
      </x:c>
      <x:c r="G2951" s="11" t="n">
        <x:v>55</x:v>
      </x:c>
      <x:c r="H2951" s="12" t="n">
        <x:v>270000000</x:v>
      </x:c>
      <x:c r="I2951" s="12" t="n">
        <x:v>4909090.909090909</x:v>
      </x:c>
      <x:c r="J2951" s="2" t="str">
        <x:v>total</x:v>
      </x:c>
      <x:c r="K2951" s="2" t="str">
        <x:v>top_level_area</x:v>
      </x:c>
      <x:c r="L2951" s="2" t="str">
        <x:v>property_type_inferred_from_title;transaction_assumed_sale_from_dataset_context;unknown_property_type</x:v>
      </x:c>
      <x:c r="M2951" s="10" t="n">
        <x:v>0</x:v>
      </x:c>
      <x:c r="N2951" s="10" t="n">
        <x:v>0</x:v>
      </x:c>
      <x:c r="O2951" s="2" t="str">
        <x:v>Tp Hồ Chí Minh|other_unknown</x:v>
      </x:c>
      <x:c r="P2951" s="10" t="n">
        <x:v>2</x:v>
      </x:c>
      <x:c r="Q2951" s="13" t="n">
        <x:f>IF(H2951="","",H2951/1000000000)</x:f>
        <x:v>0.27</x:v>
      </x:c>
      <x:c r="R2951" s="13" t="n">
        <x:f>IF(I2951="","",I2951/1000000)</x:f>
        <x:v>4.909090909090909</x:v>
      </x:c>
    </x:row>
    <x:row r="2952" ht="21" customHeight="1">
      <x:c r="A2952" s="10" t="n">
        <x:v>4050</x:v>
      </x:c>
      <x:c r="B2952" s="2" t="str">
        <x:v>52ac014098d96c3dd137</x:v>
      </x:c>
      <x:c r="C2952" s="2" t="str">
        <x:v>Tp Hồ Chí Minh</x:v>
      </x:c>
      <x:c r="D2952" s="2" t="str">
        <x:v>Huyện Củ Chi</x:v>
      </x:c>
      <x:c r="E2952" s="2" t="str">
        <x:v>land</x:v>
      </x:c>
      <x:c r="F2952" s="2" t="str">
        <x:v>sale_assumed</x:v>
      </x:c>
      <x:c r="G2952" s="11" t="n">
        <x:v>158</x:v>
      </x:c>
      <x:c r="H2952" s="12" t="n">
        <x:v>1780000000</x:v>
      </x:c>
      <x:c r="I2952" s="12" t="n">
        <x:v>11265822.784810126</x:v>
      </x:c>
      <x:c r="J2952" s="2" t="str">
        <x:v>total</x:v>
      </x:c>
      <x:c r="K2952" s="2" t="str">
        <x:v>top_level_area</x:v>
      </x:c>
      <x:c r="L2952" s="2" t="str">
        <x:v>property_type_inferred_from_title;transaction_assumed_sale_from_dataset_context</x:v>
      </x:c>
      <x:c r="M2952" s="10" t="n">
        <x:v>0</x:v>
      </x:c>
      <x:c r="N2952" s="10" t="n">
        <x:v>0</x:v>
      </x:c>
      <x:c r="O2952" s="2" t="str">
        <x:v>Tp Hồ Chí Minh|land</x:v>
      </x:c>
      <x:c r="P2952" s="10" t="n">
        <x:v>2</x:v>
      </x:c>
      <x:c r="Q2952" s="13" t="n">
        <x:f>IF(H2952="","",H2952/1000000000)</x:f>
        <x:v>1.78</x:v>
      </x:c>
      <x:c r="R2952" s="13" t="n">
        <x:f>IF(I2952="","",I2952/1000000)</x:f>
        <x:v>11.265822784810126</x:v>
      </x:c>
    </x:row>
    <x:row r="2953" ht="21" customHeight="1">
      <x:c r="A2953" s="10" t="n">
        <x:v>4051</x:v>
      </x:c>
      <x:c r="B2953" s="2" t="str">
        <x:v>f75a9d0f7dee1fd9261e</x:v>
      </x:c>
      <x:c r="C2953" s="2" t="str">
        <x:v>Đắk Lắk</x:v>
      </x:c>
      <x:c r="D2953" s="2" t="str">
        <x:v>Thành phố Buôn Ma Thuột</x:v>
      </x:c>
      <x:c r="E2953" s="2" t="str">
        <x:v>house</x:v>
      </x:c>
      <x:c r="F2953" s="2" t="str">
        <x:v>sale_assumed</x:v>
      </x:c>
      <x:c r="G2953" s="11" t="n">
        <x:v>135</x:v>
      </x:c>
      <x:c r="H2953" s="12" t="n">
        <x:v>1180000000</x:v>
      </x:c>
      <x:c r="I2953" s="12" t="n">
        <x:v>8740740.74074074</x:v>
      </x:c>
      <x:c r="J2953" s="2" t="str">
        <x:v>total</x:v>
      </x:c>
      <x:c r="K2953" s="2" t="str">
        <x:v>top_level_area</x:v>
      </x:c>
      <x:c r="L2953" s="2" t="str">
        <x:v>property_type_inferred_from_title;transaction_assumed_sale_from_dataset_context</x:v>
      </x:c>
      <x:c r="M2953" s="10" t="n">
        <x:v>0</x:v>
      </x:c>
      <x:c r="N2953" s="10" t="n">
        <x:v>0</x:v>
      </x:c>
      <x:c r="O2953" s="2" t="str">
        <x:v>Đắk Lắk|house</x:v>
      </x:c>
      <x:c r="P2953" s="10" t="n">
        <x:v>2</x:v>
      </x:c>
      <x:c r="Q2953" s="13" t="n">
        <x:f>IF(H2953="","",H2953/1000000000)</x:f>
        <x:v>1.18</x:v>
      </x:c>
      <x:c r="R2953" s="13" t="n">
        <x:f>IF(I2953="","",I2953/1000000)</x:f>
        <x:v>8.74074074074074</x:v>
      </x:c>
    </x:row>
    <x:row r="2954" ht="21" customHeight="1">
      <x:c r="A2954" s="10" t="n">
        <x:v>4052</x:v>
      </x:c>
      <x:c r="B2954" s="2" t="str">
        <x:v>ef6643007a6434c0b2c1</x:v>
      </x:c>
      <x:c r="C2954" s="2" t="str">
        <x:v>Tp Hồ Chí Minh</x:v>
      </x:c>
      <x:c r="D2954" s="2" t="str">
        <x:v>Quận 7</x:v>
      </x:c>
      <x:c r="E2954" s="2" t="str">
        <x:v>house</x:v>
      </x:c>
      <x:c r="F2954" s="2" t="str">
        <x:v>sale_assumed</x:v>
      </x:c>
      <x:c r="G2954" s="11" t="n">
        <x:v>57</x:v>
      </x:c>
      <x:c r="H2954" s="12" t="n">
        <x:v>4000000000</x:v>
      </x:c>
      <x:c r="I2954" s="12" t="n">
        <x:v>70175438.59649123</x:v>
      </x:c>
      <x:c r="J2954" s="2" t="str">
        <x:v>total</x:v>
      </x:c>
      <x:c r="K2954" s="2" t="str">
        <x:v>top_level_area</x:v>
      </x:c>
      <x:c r="L2954" s="2" t="str">
        <x:v>property_type_inferred_from_title;transaction_assumed_sale_from_dataset_context</x:v>
      </x:c>
      <x:c r="M2954" s="10" t="n">
        <x:v>0</x:v>
      </x:c>
      <x:c r="N2954" s="10" t="n">
        <x:v>0</x:v>
      </x:c>
      <x:c r="O2954" s="2" t="str">
        <x:v>Tp Hồ Chí Minh|house</x:v>
      </x:c>
      <x:c r="P2954" s="10" t="n">
        <x:v>2</x:v>
      </x:c>
      <x:c r="Q2954" s="13" t="n">
        <x:f>IF(H2954="","",H2954/1000000000)</x:f>
        <x:v>4</x:v>
      </x:c>
      <x:c r="R2954" s="13" t="n">
        <x:f>IF(I2954="","",I2954/1000000)</x:f>
        <x:v>70.17543859649123</x:v>
      </x:c>
    </x:row>
    <x:row r="2955" ht="21" customHeight="1">
      <x:c r="A2955" s="10" t="n">
        <x:v>4053</x:v>
      </x:c>
      <x:c r="B2955" s="2" t="str">
        <x:v>6f06931d82b068a6a490</x:v>
      </x:c>
      <x:c r="C2955" s="2" t="str">
        <x:v>Hà Nội</x:v>
      </x:c>
      <x:c r="D2955" s="2" t="str">
        <x:v>Quận Nam Từ Liêm</x:v>
      </x:c>
      <x:c r="E2955" s="2" t="str">
        <x:v>house</x:v>
      </x:c>
      <x:c r="F2955" s="2" t="str">
        <x:v>sale</x:v>
      </x:c>
      <x:c r="G2955" s="11" t="n">
        <x:v>72</x:v>
      </x:c>
      <x:c r="H2955" s="12" t="n">
        <x:v>1000000000</x:v>
      </x:c>
      <x:c r="I2955" s="12" t="n">
        <x:v>13888888.888888888</x:v>
      </x:c>
      <x:c r="J2955" s="2" t="str">
        <x:v>total</x:v>
      </x:c>
      <x:c r="K2955" s="2" t="str">
        <x:v>top_level_area</x:v>
      </x:c>
      <x:c r="L2955" s="2" t="str">
        <x:v>property_type_inferred_from_title</x:v>
      </x:c>
      <x:c r="M2955" s="10" t="n">
        <x:v>0</x:v>
      </x:c>
      <x:c r="N2955" s="10" t="n">
        <x:v>0</x:v>
      </x:c>
      <x:c r="O2955" s="2" t="str">
        <x:v>Hà Nội|house</x:v>
      </x:c>
      <x:c r="P2955" s="10" t="n">
        <x:v>2</x:v>
      </x:c>
      <x:c r="Q2955" s="13" t="n">
        <x:f>IF(H2955="","",H2955/1000000000)</x:f>
        <x:v>1</x:v>
      </x:c>
      <x:c r="R2955" s="13" t="n">
        <x:f>IF(I2955="","",I2955/1000000)</x:f>
        <x:v>13.888888888888888</x:v>
      </x:c>
    </x:row>
    <x:row r="2956" ht="21" customHeight="1">
      <x:c r="A2956" s="10" t="n">
        <x:v>4054</x:v>
      </x:c>
      <x:c r="B2956" s="2" t="str">
        <x:v>6ef62ad84932f486685d</x:v>
      </x:c>
      <x:c r="C2956" s="2" t="str">
        <x:v>Tp Hồ Chí Minh</x:v>
      </x:c>
      <x:c r="D2956" s="2" t="str">
        <x:v>Quận 7</x:v>
      </x:c>
      <x:c r="E2956" s="2" t="str">
        <x:v>house</x:v>
      </x:c>
      <x:c r="F2956" s="2" t="str">
        <x:v>sale_assumed</x:v>
      </x:c>
      <x:c r="G2956" s="11" t="n">
        <x:v>493</x:v>
      </x:c>
      <x:c r="H2956" s="12" t="n">
        <x:v>44500000000</x:v>
      </x:c>
      <x:c r="I2956" s="12" t="n">
        <x:v>90263691.68356998</x:v>
      </x:c>
      <x:c r="J2956" s="2" t="str">
        <x:v>total</x:v>
      </x:c>
      <x:c r="K2956" s="2" t="str">
        <x:v>top_level_area</x:v>
      </x:c>
      <x:c r="L2956" s="2" t="str">
        <x:v>property_type_inferred_from_title;transaction_assumed_sale_from_dataset_context</x:v>
      </x:c>
      <x:c r="M2956" s="10" t="n">
        <x:v>0</x:v>
      </x:c>
      <x:c r="N2956" s="10" t="n">
        <x:v>0</x:v>
      </x:c>
      <x:c r="O2956" s="2" t="str">
        <x:v>Tp Hồ Chí Minh|house</x:v>
      </x:c>
      <x:c r="P2956" s="10" t="n">
        <x:v>2</x:v>
      </x:c>
      <x:c r="Q2956" s="13" t="n">
        <x:f>IF(H2956="","",H2956/1000000000)</x:f>
        <x:v>44.5</x:v>
      </x:c>
      <x:c r="R2956" s="13" t="n">
        <x:f>IF(I2956="","",I2956/1000000)</x:f>
        <x:v>90.26369168356999</x:v>
      </x:c>
    </x:row>
    <x:row r="2957" ht="21" customHeight="1">
      <x:c r="A2957" s="10" t="n">
        <x:v>4055</x:v>
      </x:c>
      <x:c r="B2957" s="2" t="str">
        <x:v>a38231d446f97c93afe7</x:v>
      </x:c>
      <x:c r="C2957" s="2" t="str">
        <x:v>Hà Nội</x:v>
      </x:c>
      <x:c r="D2957" s="2" t="str">
        <x:v>Quận Hà Đông</x:v>
      </x:c>
      <x:c r="E2957" s="2" t="str">
        <x:v>house</x:v>
      </x:c>
      <x:c r="F2957" s="2" t="str">
        <x:v>sale_assumed</x:v>
      </x:c>
      <x:c r="G2957" s="11" t="n">
        <x:v>38</x:v>
      </x:c>
      <x:c r="H2957" s="12" t="n">
        <x:v>2800000000</x:v>
      </x:c>
      <x:c r="I2957" s="12" t="n">
        <x:v>73684210.5263158</x:v>
      </x:c>
      <x:c r="J2957" s="2" t="str">
        <x:v>total</x:v>
      </x:c>
      <x:c r="K2957" s="2" t="str">
        <x:v>top_level_area</x:v>
      </x:c>
      <x:c r="L2957" s="2" t="str">
        <x:v>property_type_inferred_from_title;transaction_assumed_sale_from_dataset_context</x:v>
      </x:c>
      <x:c r="M2957" s="10" t="n">
        <x:v>0</x:v>
      </x:c>
      <x:c r="N2957" s="10" t="n">
        <x:v>0</x:v>
      </x:c>
      <x:c r="O2957" s="2" t="str">
        <x:v>Hà Nội|house</x:v>
      </x:c>
      <x:c r="P2957" s="10" t="n">
        <x:v>2</x:v>
      </x:c>
      <x:c r="Q2957" s="13" t="n">
        <x:f>IF(H2957="","",H2957/1000000000)</x:f>
        <x:v>2.8</x:v>
      </x:c>
      <x:c r="R2957" s="13" t="n">
        <x:f>IF(I2957="","",I2957/1000000)</x:f>
        <x:v>73.6842105263158</x:v>
      </x:c>
    </x:row>
    <x:row r="2958" ht="21" customHeight="1">
      <x:c r="A2958" s="10" t="n">
        <x:v>4056</x:v>
      </x:c>
      <x:c r="B2958" s="2" t="str">
        <x:v>ae7db58e92d60a693666</x:v>
      </x:c>
      <x:c r="C2958" s="2" t="str">
        <x:v>Tp Hồ Chí Minh</x:v>
      </x:c>
      <x:c r="D2958" s="2" t="str">
        <x:v>Quận 4</x:v>
      </x:c>
      <x:c r="E2958" s="2" t="str">
        <x:v>apartment</x:v>
      </x:c>
      <x:c r="F2958" s="2" t="str">
        <x:v>sale_assumed</x:v>
      </x:c>
      <x:c r="G2958" s="11" t="n">
        <x:v>62</x:v>
      </x:c>
      <x:c r="H2958" s="12" t="n">
        <x:v>3830000000</x:v>
      </x:c>
      <x:c r="I2958" s="12" t="n">
        <x:v>61774193.548387095</x:v>
      </x:c>
      <x:c r="J2958" s="2" t="str">
        <x:v>total</x:v>
      </x:c>
      <x:c r="K2958" s="2" t="str">
        <x:v>top_level_area</x:v>
      </x:c>
      <x:c r="L2958" s="2" t="str">
        <x:v>property_type_inferred_from_title;transaction_assumed_sale_from_dataset_context</x:v>
      </x:c>
      <x:c r="M2958" s="10" t="n">
        <x:v>0</x:v>
      </x:c>
      <x:c r="N2958" s="10" t="n">
        <x:v>0</x:v>
      </x:c>
      <x:c r="O2958" s="2" t="str">
        <x:v>Tp Hồ Chí Minh|apartment</x:v>
      </x:c>
      <x:c r="P2958" s="10" t="n">
        <x:v>2</x:v>
      </x:c>
      <x:c r="Q2958" s="13" t="n">
        <x:f>IF(H2958="","",H2958/1000000000)</x:f>
        <x:v>3.83</x:v>
      </x:c>
      <x:c r="R2958" s="13" t="n">
        <x:f>IF(I2958="","",I2958/1000000)</x:f>
        <x:v>61.774193548387096</x:v>
      </x:c>
    </x:row>
    <x:row r="2959" ht="21" customHeight="1">
      <x:c r="A2959" s="10" t="n">
        <x:v>4057</x:v>
      </x:c>
      <x:c r="B2959" s="2" t="str">
        <x:v>028fd122e235219caa1b</x:v>
      </x:c>
      <x:c r="C2959" s="2" t="str">
        <x:v>Đà Nẵng</x:v>
      </x:c>
      <x:c r="D2959" s="2" t="str">
        <x:v>Quận Cẩm Lệ</x:v>
      </x:c>
      <x:c r="E2959" s="2" t="str">
        <x:v>house</x:v>
      </x:c>
      <x:c r="F2959" s="2" t="str">
        <x:v>sale</x:v>
      </x:c>
      <x:c r="G2959" s="11" t="n">
        <x:v>125</x:v>
      </x:c>
      <x:c r="H2959" s="12" t="n">
        <x:v>6400000000</x:v>
      </x:c>
      <x:c r="I2959" s="12" t="n">
        <x:v>51200000</x:v>
      </x:c>
      <x:c r="J2959" s="2" t="str">
        <x:v>total</x:v>
      </x:c>
      <x:c r="K2959" s="2" t="str">
        <x:v>top_level_area</x:v>
      </x:c>
      <x:c r="L2959" s="2" t="str">
        <x:v>property_type_inferred_from_title</x:v>
      </x:c>
      <x:c r="M2959" s="10" t="n">
        <x:v>0</x:v>
      </x:c>
      <x:c r="N2959" s="10" t="n">
        <x:v>0</x:v>
      </x:c>
      <x:c r="O2959" s="2" t="str">
        <x:v>Đà Nẵng|house</x:v>
      </x:c>
      <x:c r="P2959" s="10" t="n">
        <x:v>2</x:v>
      </x:c>
      <x:c r="Q2959" s="13" t="n">
        <x:f>IF(H2959="","",H2959/1000000000)</x:f>
        <x:v>6.4</x:v>
      </x:c>
      <x:c r="R2959" s="13" t="n">
        <x:f>IF(I2959="","",I2959/1000000)</x:f>
        <x:v>51.2</x:v>
      </x:c>
    </x:row>
    <x:row r="2960" ht="21" customHeight="1">
      <x:c r="A2960" s="10" t="n">
        <x:v>4058</x:v>
      </x:c>
      <x:c r="B2960" s="2" t="str">
        <x:v>8a90c4263ce0dc027eb4</x:v>
      </x:c>
      <x:c r="C2960" s="2" t="str">
        <x:v>Tp Hồ Chí Minh</x:v>
      </x:c>
      <x:c r="D2960" s="2" t="str">
        <x:v>Quận Tân Phú</x:v>
      </x:c>
      <x:c r="E2960" s="2" t="str">
        <x:v>house</x:v>
      </x:c>
      <x:c r="F2960" s="2" t="str">
        <x:v>sale</x:v>
      </x:c>
      <x:c r="G2960" s="11" t="n">
        <x:v>34</x:v>
      </x:c>
      <x:c r="H2960" s="12" t="n">
        <x:v>2850000000</x:v>
      </x:c>
      <x:c r="I2960" s="12" t="n">
        <x:v>83823529.41176471</x:v>
      </x:c>
      <x:c r="J2960" s="2" t="str">
        <x:v>total</x:v>
      </x:c>
      <x:c r="K2960" s="2" t="str">
        <x:v>top_level_area</x:v>
      </x:c>
      <x:c r="L2960" s="2" t="str">
        <x:v>property_type_inferred_from_title</x:v>
      </x:c>
      <x:c r="M2960" s="10" t="n">
        <x:v>0</x:v>
      </x:c>
      <x:c r="N2960" s="10" t="n">
        <x:v>0</x:v>
      </x:c>
      <x:c r="O2960" s="2" t="str">
        <x:v>Tp Hồ Chí Minh|house</x:v>
      </x:c>
      <x:c r="P2960" s="10" t="n">
        <x:v>2</x:v>
      </x:c>
      <x:c r="Q2960" s="13" t="n">
        <x:f>IF(H2960="","",H2960/1000000000)</x:f>
        <x:v>2.85</x:v>
      </x:c>
      <x:c r="R2960" s="13" t="n">
        <x:f>IF(I2960="","",I2960/1000000)</x:f>
        <x:v>83.82352941176471</x:v>
      </x:c>
    </x:row>
    <x:row r="2961" ht="21" customHeight="1">
      <x:c r="A2961" s="10" t="n">
        <x:v>4059</x:v>
      </x:c>
      <x:c r="B2961" s="2" t="str">
        <x:v>931098d06b10f8a23e1d</x:v>
      </x:c>
      <x:c r="C2961" s="2" t="str">
        <x:v>Hà Nội</x:v>
      </x:c>
      <x:c r="D2961" s="2" t="str">
        <x:v>Quận Nam Từ Liêm</x:v>
      </x:c>
      <x:c r="E2961" s="2" t="str">
        <x:v>house</x:v>
      </x:c>
      <x:c r="F2961" s="2" t="str">
        <x:v>sale_assumed</x:v>
      </x:c>
      <x:c r="G2961" s="11" t="n">
        <x:v>31</x:v>
      </x:c>
      <x:c r="H2961" s="12" t="n">
        <x:v>1700000000</x:v>
      </x:c>
      <x:c r="I2961" s="12" t="n">
        <x:v>54838709.67741936</x:v>
      </x:c>
      <x:c r="J2961" s="2" t="str">
        <x:v>total</x:v>
      </x:c>
      <x:c r="K2961" s="2" t="str">
        <x:v>top_level_area</x:v>
      </x:c>
      <x:c r="L2961" s="2" t="str">
        <x:v>property_type_inferred_from_title;transaction_assumed_sale_from_dataset_context</x:v>
      </x:c>
      <x:c r="M2961" s="10" t="n">
        <x:v>0</x:v>
      </x:c>
      <x:c r="N2961" s="10" t="n">
        <x:v>0</x:v>
      </x:c>
      <x:c r="O2961" s="2" t="str">
        <x:v>Hà Nội|house</x:v>
      </x:c>
      <x:c r="P2961" s="10" t="n">
        <x:v>2</x:v>
      </x:c>
      <x:c r="Q2961" s="13" t="n">
        <x:f>IF(H2961="","",H2961/1000000000)</x:f>
        <x:v>1.7</x:v>
      </x:c>
      <x:c r="R2961" s="13" t="n">
        <x:f>IF(I2961="","",I2961/1000000)</x:f>
        <x:v>54.83870967741936</x:v>
      </x:c>
    </x:row>
    <x:row r="2962" ht="21" customHeight="1">
      <x:c r="A2962" s="10" t="n">
        <x:v>4060</x:v>
      </x:c>
      <x:c r="B2962" s="2" t="str">
        <x:v>f0ec97960d411678e295</x:v>
      </x:c>
      <x:c r="C2962" s="2" t="str">
        <x:v>Tp Hồ Chí Minh</x:v>
      </x:c>
      <x:c r="D2962" s="2" t="str">
        <x:v>Quận 9</x:v>
      </x:c>
      <x:c r="E2962" s="2" t="str">
        <x:v>land</x:v>
      </x:c>
      <x:c r="F2962" s="2" t="str">
        <x:v>sale</x:v>
      </x:c>
      <x:c r="G2962" s="11" t="n">
        <x:v>81</x:v>
      </x:c>
      <x:c r="H2962" s="12" t="n">
        <x:v>1500000000</x:v>
      </x:c>
      <x:c r="I2962" s="12" t="n">
        <x:v>18518518.51851852</x:v>
      </x:c>
      <x:c r="J2962" s="2" t="str">
        <x:v>total</x:v>
      </x:c>
      <x:c r="K2962" s="2" t="str">
        <x:v>top_level_area</x:v>
      </x:c>
      <x:c r="L2962" s="2" t="str">
        <x:v>property_type_inferred_from_title</x:v>
      </x:c>
      <x:c r="M2962" s="10" t="n">
        <x:v>0</x:v>
      </x:c>
      <x:c r="N2962" s="10" t="n">
        <x:v>0</x:v>
      </x:c>
      <x:c r="O2962" s="2" t="str">
        <x:v>Tp Hồ Chí Minh|land</x:v>
      </x:c>
      <x:c r="P2962" s="10" t="n">
        <x:v>2</x:v>
      </x:c>
      <x:c r="Q2962" s="13" t="n">
        <x:f>IF(H2962="","",H2962/1000000000)</x:f>
        <x:v>1.5</x:v>
      </x:c>
      <x:c r="R2962" s="13" t="n">
        <x:f>IF(I2962="","",I2962/1000000)</x:f>
        <x:v>18.51851851851852</x:v>
      </x:c>
    </x:row>
    <x:row r="2963" ht="21" customHeight="1">
      <x:c r="A2963" s="10" t="n">
        <x:v>4061</x:v>
      </x:c>
      <x:c r="B2963" s="2" t="str">
        <x:v>e700864be61ef632abe1</x:v>
      </x:c>
      <x:c r="C2963" s="2" t="str">
        <x:v>Hà Nội</x:v>
      </x:c>
      <x:c r="D2963" s="2" t="str">
        <x:v>Quận Đống Đa</x:v>
      </x:c>
      <x:c r="E2963" s="2" t="str">
        <x:v>house</x:v>
      </x:c>
      <x:c r="F2963" s="2" t="str">
        <x:v>sale</x:v>
      </x:c>
      <x:c r="G2963" s="11" t="n">
        <x:v>65</x:v>
      </x:c>
      <x:c r="H2963" s="12" t="n">
        <x:v>36000000000</x:v>
      </x:c>
      <x:c r="I2963" s="12" t="n">
        <x:v>553846153.8461539</x:v>
      </x:c>
      <x:c r="J2963" s="2" t="str">
        <x:v>total</x:v>
      </x:c>
      <x:c r="K2963" s="2" t="str">
        <x:v>top_level_area</x:v>
      </x:c>
      <x:c r="L2963" s="2" t="str">
        <x:v>property_type_inferred_from_title</x:v>
      </x:c>
      <x:c r="M2963" s="10" t="n">
        <x:v>1</x:v>
      </x:c>
      <x:c r="N2963" s="10" t="n">
        <x:v>1</x:v>
      </x:c>
      <x:c r="O2963" s="2" t="str">
        <x:v>Hà Nội|house</x:v>
      </x:c>
      <x:c r="P2963" s="10" t="n">
        <x:v>-1</x:v>
      </x:c>
      <x:c r="Q2963" s="13" t="n">
        <x:f>IF(H2963="","",H2963/1000000000)</x:f>
        <x:v>36</x:v>
      </x:c>
      <x:c r="R2963" s="13" t="n">
        <x:f>IF(I2963="","",I2963/1000000)</x:f>
        <x:v>553.8461538461538</x:v>
      </x:c>
    </x:row>
    <x:row r="2964" ht="21" customHeight="1">
      <x:c r="A2964" s="10" t="n">
        <x:v>4062</x:v>
      </x:c>
      <x:c r="B2964" s="2" t="str">
        <x:v>737c44675c5f5ebc5497</x:v>
      </x:c>
      <x:c r="C2964" s="2" t="str">
        <x:v>Tp Hồ Chí Minh</x:v>
      </x:c>
      <x:c r="D2964" s="2" t="str">
        <x:v>Quận Bình Tân</x:v>
      </x:c>
      <x:c r="E2964" s="2" t="str">
        <x:v>apartment</x:v>
      </x:c>
      <x:c r="F2964" s="2" t="str">
        <x:v>sale_assumed</x:v>
      </x:c>
      <x:c r="G2964" s="11" t="n">
        <x:v>52</x:v>
      </x:c>
      <x:c r="H2964" s="12" t="n">
        <x:v>1500000000</x:v>
      </x:c>
      <x:c r="I2964" s="12" t="n">
        <x:v>28846153.846153848</x:v>
      </x:c>
      <x:c r="J2964" s="2" t="str">
        <x:v>total</x:v>
      </x:c>
      <x:c r="K2964" s="2" t="str">
        <x:v>top_level_area</x:v>
      </x:c>
      <x:c r="L2964" s="2" t="str">
        <x:v>property_type_inferred_from_title;transaction_assumed_sale_from_dataset_context</x:v>
      </x:c>
      <x:c r="M2964" s="10" t="n">
        <x:v>0</x:v>
      </x:c>
      <x:c r="N2964" s="10" t="n">
        <x:v>0</x:v>
      </x:c>
      <x:c r="O2964" s="2" t="str">
        <x:v>Tp Hồ Chí Minh|apartment</x:v>
      </x:c>
      <x:c r="P2964" s="10" t="n">
        <x:v>2</x:v>
      </x:c>
      <x:c r="Q2964" s="13" t="n">
        <x:f>IF(H2964="","",H2964/1000000000)</x:f>
        <x:v>1.5</x:v>
      </x:c>
      <x:c r="R2964" s="13" t="n">
        <x:f>IF(I2964="","",I2964/1000000)</x:f>
        <x:v>28.846153846153847</x:v>
      </x:c>
    </x:row>
    <x:row r="2965" ht="21" customHeight="1">
      <x:c r="A2965" s="10" t="n">
        <x:v>4063</x:v>
      </x:c>
      <x:c r="B2965" s="2" t="str">
        <x:v>71da577ef0387b5a28a8</x:v>
      </x:c>
      <x:c r="C2965" s="2" t="str">
        <x:v>Tp Hồ Chí Minh</x:v>
      </x:c>
      <x:c r="D2965" s="2" t="str">
        <x:v>Quận Gò Vấp</x:v>
      </x:c>
      <x:c r="E2965" s="2" t="str">
        <x:v>house</x:v>
      </x:c>
      <x:c r="F2965" s="2" t="str">
        <x:v>sale_assumed</x:v>
      </x:c>
      <x:c r="G2965" s="11" t="n">
        <x:v>44</x:v>
      </x:c>
      <x:c r="H2965" s="12" t="n">
        <x:v>4400000000</x:v>
      </x:c>
      <x:c r="I2965" s="12" t="n">
        <x:v>100000000</x:v>
      </x:c>
      <x:c r="J2965" s="2" t="str">
        <x:v>total</x:v>
      </x:c>
      <x:c r="K2965" s="2" t="str">
        <x:v>top_level_area</x:v>
      </x:c>
      <x:c r="L2965" s="2" t="str">
        <x:v>property_type_inferred_from_title;transaction_assumed_sale_from_dataset_context</x:v>
      </x:c>
      <x:c r="M2965" s="10" t="n">
        <x:v>0</x:v>
      </x:c>
      <x:c r="N2965" s="10" t="n">
        <x:v>0</x:v>
      </x:c>
      <x:c r="O2965" s="2" t="str">
        <x:v>Tp Hồ Chí Minh|house</x:v>
      </x:c>
      <x:c r="P2965" s="10" t="n">
        <x:v>2</x:v>
      </x:c>
      <x:c r="Q2965" s="13" t="n">
        <x:f>IF(H2965="","",H2965/1000000000)</x:f>
        <x:v>4.4</x:v>
      </x:c>
      <x:c r="R2965" s="13" t="n">
        <x:f>IF(I2965="","",I2965/1000000)</x:f>
        <x:v>100</x:v>
      </x:c>
    </x:row>
    <x:row r="2966" ht="21" customHeight="1">
      <x:c r="A2966" s="10" t="n">
        <x:v>4064</x:v>
      </x:c>
      <x:c r="B2966" s="2" t="str">
        <x:v>ccbc92e3ec4fe4ee6efc</x:v>
      </x:c>
      <x:c r="C2966" s="2" t="str">
        <x:v>Tp Hồ Chí Minh</x:v>
      </x:c>
      <x:c r="D2966" s="2" t="str">
        <x:v>Quận 4</x:v>
      </x:c>
      <x:c r="E2966" s="2" t="str">
        <x:v>house</x:v>
      </x:c>
      <x:c r="F2966" s="2" t="str">
        <x:v>sale_assumed</x:v>
      </x:c>
      <x:c r="G2966" s="11" t="n">
        <x:v>21</x:v>
      </x:c>
      <x:c r="H2966" s="12" t="n">
        <x:v>4150000000.0000005</x:v>
      </x:c>
      <x:c r="I2966" s="12" t="n">
        <x:v>197619047.61904764</x:v>
      </x:c>
      <x:c r="J2966" s="2" t="str">
        <x:v>total</x:v>
      </x:c>
      <x:c r="K2966" s="2" t="str">
        <x:v>top_level_price_embedded_area</x:v>
      </x:c>
      <x:c r="L2966" s="2" t="str">
        <x:v>area_recovered_from_price_text;property_type_inferred_from_title;transaction_assumed_sale_from_dataset_context</x:v>
      </x:c>
      <x:c r="M2966" s="10" t="n">
        <x:v>1</x:v>
      </x:c>
      <x:c r="N2966" s="10" t="n">
        <x:v>0</x:v>
      </x:c>
      <x:c r="O2966" s="2" t="str">
        <x:v>Tp Hồ Chí Minh|house</x:v>
      </x:c>
      <x:c r="P2966" s="10" t="n">
        <x:v>2</x:v>
      </x:c>
      <x:c r="Q2966" s="13" t="n">
        <x:f>IF(H2966="","",H2966/1000000000)</x:f>
        <x:v>4.15</x:v>
      </x:c>
      <x:c r="R2966" s="13" t="n">
        <x:f>IF(I2966="","",I2966/1000000)</x:f>
        <x:v>197.61904761904765</x:v>
      </x:c>
    </x:row>
    <x:row r="2967" ht="21" customHeight="1">
      <x:c r="A2967" s="10" t="n">
        <x:v>4065</x:v>
      </x:c>
      <x:c r="B2967" s="2" t="str">
        <x:v>4b7c007c931e45e8f9a4</x:v>
      </x:c>
      <x:c r="C2967" s="2" t="str">
        <x:v>Đồng Nai</x:v>
      </x:c>
      <x:c r="D2967" s="2" t="str">
        <x:v>Huyện Long Thành</x:v>
      </x:c>
      <x:c r="E2967" s="2" t="str">
        <x:v>land</x:v>
      </x:c>
      <x:c r="F2967" s="2" t="str">
        <x:v>sale_assumed</x:v>
      </x:c>
      <x:c r="G2967" s="11" t="n">
        <x:v>65.2</x:v>
      </x:c>
      <x:c r="H2967" s="12" t="n">
        <x:v>275000000</x:v>
      </x:c>
      <x:c r="I2967" s="12" t="n">
        <x:v>4217791.4110429445</x:v>
      </x:c>
      <x:c r="J2967" s="2" t="str">
        <x:v>total</x:v>
      </x:c>
      <x:c r="K2967" s="2" t="str">
        <x:v>top_level_area</x:v>
      </x:c>
      <x:c r="L2967" s="2" t="str">
        <x:v>property_type_inferred_from_title;transaction_assumed_sale_from_dataset_context</x:v>
      </x:c>
      <x:c r="M2967" s="10" t="n">
        <x:v>0</x:v>
      </x:c>
      <x:c r="N2967" s="10" t="n">
        <x:v>0</x:v>
      </x:c>
      <x:c r="O2967" s="2" t="str">
        <x:v>Đồng Nai|land</x:v>
      </x:c>
      <x:c r="P2967" s="10" t="n">
        <x:v>2</x:v>
      </x:c>
      <x:c r="Q2967" s="13" t="n">
        <x:f>IF(H2967="","",H2967/1000000000)</x:f>
        <x:v>0.275</x:v>
      </x:c>
      <x:c r="R2967" s="13" t="n">
        <x:f>IF(I2967="","",I2967/1000000)</x:f>
        <x:v>4.217791411042945</x:v>
      </x:c>
    </x:row>
    <x:row r="2968" ht="21" customHeight="1">
      <x:c r="A2968" s="10" t="n">
        <x:v>4066</x:v>
      </x:c>
      <x:c r="B2968" s="2" t="str">
        <x:v>2fcc021d4e182a2a9235</x:v>
      </x:c>
      <x:c r="C2968" s="2" t="str">
        <x:v>Tp Hồ Chí Minh</x:v>
      </x:c>
      <x:c r="D2968" s="2" t="str">
        <x:v>Quận Gò Vấp</x:v>
      </x:c>
      <x:c r="E2968" s="2" t="str">
        <x:v>house</x:v>
      </x:c>
      <x:c r="F2968" s="2" t="str">
        <x:v>sale</x:v>
      </x:c>
      <x:c r="G2968" s="11" t="n">
        <x:v>82</x:v>
      </x:c>
      <x:c r="H2968" s="12" t="n">
        <x:v>5950000000</x:v>
      </x:c>
      <x:c r="I2968" s="12" t="n">
        <x:v>72560975.6097561</x:v>
      </x:c>
      <x:c r="J2968" s="2" t="str">
        <x:v>total</x:v>
      </x:c>
      <x:c r="K2968" s="2" t="str">
        <x:v>top_level_area</x:v>
      </x:c>
      <x:c r="L2968" s="2" t="str">
        <x:v>property_type_inferred_from_title</x:v>
      </x:c>
      <x:c r="M2968" s="10" t="n">
        <x:v>0</x:v>
      </x:c>
      <x:c r="N2968" s="10" t="n">
        <x:v>0</x:v>
      </x:c>
      <x:c r="O2968" s="2" t="str">
        <x:v>Tp Hồ Chí Minh|house</x:v>
      </x:c>
      <x:c r="P2968" s="10" t="n">
        <x:v>2</x:v>
      </x:c>
      <x:c r="Q2968" s="13" t="n">
        <x:f>IF(H2968="","",H2968/1000000000)</x:f>
        <x:v>5.95</x:v>
      </x:c>
      <x:c r="R2968" s="13" t="n">
        <x:f>IF(I2968="","",I2968/1000000)</x:f>
        <x:v>72.5609756097561</x:v>
      </x:c>
    </x:row>
    <x:row r="2969" ht="21" customHeight="1">
      <x:c r="A2969" s="10" t="n">
        <x:v>4067</x:v>
      </x:c>
      <x:c r="B2969" s="2" t="str">
        <x:v>b1f3f94f0ad053c7173e</x:v>
      </x:c>
      <x:c r="C2969" s="2" t="str">
        <x:v>Tp Hồ Chí Minh</x:v>
      </x:c>
      <x:c r="D2969" s="2" t="str">
        <x:v>Quận Gò Vấp</x:v>
      </x:c>
      <x:c r="E2969" s="2" t="str">
        <x:v>house</x:v>
      </x:c>
      <x:c r="F2969" s="2" t="str">
        <x:v>sale_assumed</x:v>
      </x:c>
      <x:c r="G2969" s="11" t="n">
        <x:v>40</x:v>
      </x:c>
      <x:c r="H2969" s="12" t="n">
        <x:v>3580000000</x:v>
      </x:c>
      <x:c r="I2969" s="12" t="n">
        <x:v>89500000</x:v>
      </x:c>
      <x:c r="J2969" s="2" t="str">
        <x:v>total</x:v>
      </x:c>
      <x:c r="K2969" s="2" t="str">
        <x:v>top_level_area</x:v>
      </x:c>
      <x:c r="L2969" s="2" t="str">
        <x:v>property_type_inferred_from_title;transaction_assumed_sale_from_dataset_context</x:v>
      </x:c>
      <x:c r="M2969" s="10" t="n">
        <x:v>0</x:v>
      </x:c>
      <x:c r="N2969" s="10" t="n">
        <x:v>0</x:v>
      </x:c>
      <x:c r="O2969" s="2" t="str">
        <x:v>Tp Hồ Chí Minh|house</x:v>
      </x:c>
      <x:c r="P2969" s="10" t="n">
        <x:v>2</x:v>
      </x:c>
      <x:c r="Q2969" s="13" t="n">
        <x:f>IF(H2969="","",H2969/1000000000)</x:f>
        <x:v>3.58</x:v>
      </x:c>
      <x:c r="R2969" s="13" t="n">
        <x:f>IF(I2969="","",I2969/1000000)</x:f>
        <x:v>89.5</x:v>
      </x:c>
    </x:row>
    <x:row r="2970" ht="21" customHeight="1">
      <x:c r="A2970" s="10" t="n">
        <x:v>4068</x:v>
      </x:c>
      <x:c r="B2970" s="2" t="str">
        <x:v>0b6e641a579939d39d3c</x:v>
      </x:c>
      <x:c r="C2970" s="2" t="str">
        <x:v>An Giang</x:v>
      </x:c>
      <x:c r="D2970" s="2" t="str">
        <x:v>Huyện Chợ Mới</x:v>
      </x:c>
      <x:c r="E2970" s="2" t="str">
        <x:v>land</x:v>
      </x:c>
      <x:c r="F2970" s="2" t="str">
        <x:v>sale</x:v>
      </x:c>
      <x:c r="G2970" s="11" t="n">
        <x:v>490</x:v>
      </x:c>
      <x:c r="H2970" s="12" t="n">
        <x:v>2800000000</x:v>
      </x:c>
      <x:c r="I2970" s="12" t="n">
        <x:v>5714285.714285715</x:v>
      </x:c>
      <x:c r="J2970" s="2" t="str">
        <x:v>total</x:v>
      </x:c>
      <x:c r="K2970" s="2" t="str">
        <x:v>top_level_area</x:v>
      </x:c>
      <x:c r="L2970" s="2" t="str">
        <x:v>property_type_inferred_from_title</x:v>
      </x:c>
      <x:c r="M2970" s="10" t="n">
        <x:v>0</x:v>
      </x:c>
      <x:c r="N2970" s="10" t="n">
        <x:v>0</x:v>
      </x:c>
      <x:c r="O2970" s="2" t="str">
        <x:v>land</x:v>
      </x:c>
      <x:c r="P2970" s="10" t="n">
        <x:v>1</x:v>
      </x:c>
      <x:c r="Q2970" s="13" t="n">
        <x:f>IF(H2970="","",H2970/1000000000)</x:f>
        <x:v>2.8</x:v>
      </x:c>
      <x:c r="R2970" s="13" t="n">
        <x:f>IF(I2970="","",I2970/1000000)</x:f>
        <x:v>5.714285714285714</x:v>
      </x:c>
    </x:row>
    <x:row r="2971" ht="21" customHeight="1">
      <x:c r="A2971" s="10" t="n">
        <x:v>4071</x:v>
      </x:c>
      <x:c r="B2971" s="2" t="str">
        <x:v>093c6050671251b9299f</x:v>
      </x:c>
      <x:c r="C2971" s="2" t="str">
        <x:v>Tp Hồ Chí Minh</x:v>
      </x:c>
      <x:c r="D2971" s="2" t="str">
        <x:v>Quận 12</x:v>
      </x:c>
      <x:c r="E2971" s="2" t="str">
        <x:v>house</x:v>
      </x:c>
      <x:c r="F2971" s="2" t="str">
        <x:v>sale_assumed</x:v>
      </x:c>
      <x:c r="G2971" s="11" t="n">
        <x:v>68</x:v>
      </x:c>
      <x:c r="H2971" s="12" t="n">
        <x:v>4300000000</x:v>
      </x:c>
      <x:c r="I2971" s="12" t="n">
        <x:v>63235294.11764706</x:v>
      </x:c>
      <x:c r="J2971" s="2" t="str">
        <x:v>total</x:v>
      </x:c>
      <x:c r="K2971" s="2" t="str">
        <x:v>top_level_area</x:v>
      </x:c>
      <x:c r="L2971" s="2" t="str">
        <x:v>property_type_inferred_from_title;transaction_assumed_sale_from_dataset_context</x:v>
      </x:c>
      <x:c r="M2971" s="10" t="n">
        <x:v>0</x:v>
      </x:c>
      <x:c r="N2971" s="10" t="n">
        <x:v>0</x:v>
      </x:c>
      <x:c r="O2971" s="2" t="str">
        <x:v>Tp Hồ Chí Minh|house</x:v>
      </x:c>
      <x:c r="P2971" s="10" t="n">
        <x:v>2</x:v>
      </x:c>
      <x:c r="Q2971" s="13" t="n">
        <x:f>IF(H2971="","",H2971/1000000000)</x:f>
        <x:v>4.3</x:v>
      </x:c>
      <x:c r="R2971" s="13" t="n">
        <x:f>IF(I2971="","",I2971/1000000)</x:f>
        <x:v>63.23529411764706</x:v>
      </x:c>
    </x:row>
    <x:row r="2972" ht="21" customHeight="1">
      <x:c r="A2972" s="10" t="n">
        <x:v>4072</x:v>
      </x:c>
      <x:c r="B2972" s="2" t="str">
        <x:v>657da0d2984fedb0940a</x:v>
      </x:c>
      <x:c r="C2972" s="2" t="str">
        <x:v>Tp Hồ Chí Minh</x:v>
      </x:c>
      <x:c r="D2972" s="2" t="str">
        <x:v>Huyện Bình Chánh</x:v>
      </x:c>
      <x:c r="E2972" s="2" t="str">
        <x:v>land</x:v>
      </x:c>
      <x:c r="F2972" s="2" t="str">
        <x:v>sale</x:v>
      </x:c>
      <x:c r="G2972" s="11" t="n">
        <x:v>200</x:v>
      </x:c>
      <x:c r="H2972" s="12" t="n">
        <x:v>650000000</x:v>
      </x:c>
      <x:c r="I2972" s="12" t="n">
        <x:v>3250000</x:v>
      </x:c>
      <x:c r="J2972" s="2" t="str">
        <x:v>total</x:v>
      </x:c>
      <x:c r="K2972" s="2" t="str">
        <x:v>top_level_area</x:v>
      </x:c>
      <x:c r="L2972" s="2" t="str">
        <x:v>property_type_inferred_from_title</x:v>
      </x:c>
      <x:c r="M2972" s="10" t="n">
        <x:v>0</x:v>
      </x:c>
      <x:c r="N2972" s="10" t="n">
        <x:v>0</x:v>
      </x:c>
      <x:c r="O2972" s="2" t="str">
        <x:v>Tp Hồ Chí Minh|land</x:v>
      </x:c>
      <x:c r="P2972" s="10" t="n">
        <x:v>1</x:v>
      </x:c>
      <x:c r="Q2972" s="13" t="n">
        <x:f>IF(H2972="","",H2972/1000000000)</x:f>
        <x:v>0.65</x:v>
      </x:c>
      <x:c r="R2972" s="13" t="n">
        <x:f>IF(I2972="","",I2972/1000000)</x:f>
        <x:v>3.25</x:v>
      </x:c>
    </x:row>
    <x:row r="2973" ht="21" customHeight="1">
      <x:c r="A2973" s="10" t="n">
        <x:v>4073</x:v>
      </x:c>
      <x:c r="B2973" s="2" t="str">
        <x:v>11b22c5f610ff5d822ea</x:v>
      </x:c>
      <x:c r="C2973" s="2" t="str">
        <x:v>Hà Nội</x:v>
      </x:c>
      <x:c r="D2973" s="2" t="str">
        <x:v>Quận Long Biên</x:v>
      </x:c>
      <x:c r="E2973" s="2" t="str">
        <x:v>house</x:v>
      </x:c>
      <x:c r="F2973" s="2" t="str">
        <x:v>sale_assumed</x:v>
      </x:c>
      <x:c r="G2973" s="11" t="n">
        <x:v>45</x:v>
      </x:c>
      <x:c r="H2973" s="12" t="n">
        <x:v>3450000000</x:v>
      </x:c>
      <x:c r="I2973" s="12" t="n">
        <x:v>76666666.66666667</x:v>
      </x:c>
      <x:c r="J2973" s="2" t="str">
        <x:v>total</x:v>
      </x:c>
      <x:c r="K2973" s="2" t="str">
        <x:v>top_level_area</x:v>
      </x:c>
      <x:c r="L2973" s="2" t="str">
        <x:v>property_type_inferred_from_title;transaction_assumed_sale_from_dataset_context</x:v>
      </x:c>
      <x:c r="M2973" s="10" t="n">
        <x:v>0</x:v>
      </x:c>
      <x:c r="N2973" s="10" t="n">
        <x:v>0</x:v>
      </x:c>
      <x:c r="O2973" s="2" t="str">
        <x:v>Hà Nội|house</x:v>
      </x:c>
      <x:c r="P2973" s="10" t="n">
        <x:v>2</x:v>
      </x:c>
      <x:c r="Q2973" s="13" t="n">
        <x:f>IF(H2973="","",H2973/1000000000)</x:f>
        <x:v>3.45</x:v>
      </x:c>
      <x:c r="R2973" s="13" t="n">
        <x:f>IF(I2973="","",I2973/1000000)</x:f>
        <x:v>76.66666666666667</x:v>
      </x:c>
    </x:row>
    <x:row r="2974" ht="21" customHeight="1">
      <x:c r="A2974" s="10" t="n">
        <x:v>4074</x:v>
      </x:c>
      <x:c r="B2974" s="2" t="str">
        <x:v>a943195325e229452af4</x:v>
      </x:c>
      <x:c r="C2974" s="2" t="str">
        <x:v>Hà Nội</x:v>
      </x:c>
      <x:c r="D2974" s="2" t="str">
        <x:v>Quận Hai Bà Trưng</x:v>
      </x:c>
      <x:c r="E2974" s="2" t="str">
        <x:v>house</x:v>
      </x:c>
      <x:c r="F2974" s="2" t="str">
        <x:v>sale_assumed</x:v>
      </x:c>
      <x:c r="G2974" s="11" t="n">
        <x:v>33</x:v>
      </x:c>
      <x:c r="H2974" s="12" t="n">
        <x:v>2750000000</x:v>
      </x:c>
      <x:c r="I2974" s="12" t="n">
        <x:v>83333333.33333333</x:v>
      </x:c>
      <x:c r="J2974" s="2" t="str">
        <x:v>total</x:v>
      </x:c>
      <x:c r="K2974" s="2" t="str">
        <x:v>top_level_area</x:v>
      </x:c>
      <x:c r="L2974" s="2" t="str">
        <x:v>property_type_inferred_from_title;transaction_assumed_sale_from_dataset_context</x:v>
      </x:c>
      <x:c r="M2974" s="10" t="n">
        <x:v>0</x:v>
      </x:c>
      <x:c r="N2974" s="10" t="n">
        <x:v>0</x:v>
      </x:c>
      <x:c r="O2974" s="2" t="str">
        <x:v>Hà Nội|house</x:v>
      </x:c>
      <x:c r="P2974" s="10" t="n">
        <x:v>2</x:v>
      </x:c>
      <x:c r="Q2974" s="13" t="n">
        <x:f>IF(H2974="","",H2974/1000000000)</x:f>
        <x:v>2.75</x:v>
      </x:c>
      <x:c r="R2974" s="13" t="n">
        <x:f>IF(I2974="","",I2974/1000000)</x:f>
        <x:v>83.33333333333333</x:v>
      </x:c>
    </x:row>
    <x:row r="2975" ht="21" customHeight="1">
      <x:c r="A2975" s="10" t="n">
        <x:v>4075</x:v>
      </x:c>
      <x:c r="B2975" s="2" t="str">
        <x:v>cfc92ff4d10b3fbbd4de</x:v>
      </x:c>
      <x:c r="C2975" s="2" t="str">
        <x:v>Tp Hồ Chí Minh</x:v>
      </x:c>
      <x:c r="D2975" s="2" t="str">
        <x:v>Quận 3</x:v>
      </x:c>
      <x:c r="E2975" s="2" t="str">
        <x:v>house</x:v>
      </x:c>
      <x:c r="F2975" s="2" t="str">
        <x:v>sale</x:v>
      </x:c>
      <x:c r="G2975" s="11" t="n">
        <x:v>170</x:v>
      </x:c>
      <x:c r="H2975" s="12" t="n">
        <x:v>29000000000</x:v>
      </x:c>
      <x:c r="I2975" s="12" t="n">
        <x:v>170588235.29411766</x:v>
      </x:c>
      <x:c r="J2975" s="2" t="str">
        <x:v>total</x:v>
      </x:c>
      <x:c r="K2975" s="2" t="str">
        <x:v>top_level_area</x:v>
      </x:c>
      <x:c r="L2975" s="2" t="str">
        <x:v>property_type_inferred_from_title</x:v>
      </x:c>
      <x:c r="M2975" s="10" t="n">
        <x:v>1</x:v>
      </x:c>
      <x:c r="N2975" s="10" t="n">
        <x:v>0</x:v>
      </x:c>
      <x:c r="O2975" s="2" t="str">
        <x:v>Tp Hồ Chí Minh|house</x:v>
      </x:c>
      <x:c r="P2975" s="10" t="n">
        <x:v>2</x:v>
      </x:c>
      <x:c r="Q2975" s="13" t="n">
        <x:f>IF(H2975="","",H2975/1000000000)</x:f>
        <x:v>29</x:v>
      </x:c>
      <x:c r="R2975" s="13" t="n">
        <x:f>IF(I2975="","",I2975/1000000)</x:f>
        <x:v>170.58823529411765</x:v>
      </x:c>
    </x:row>
    <x:row r="2976" ht="21" customHeight="1">
      <x:c r="A2976" s="10" t="n">
        <x:v>4076</x:v>
      </x:c>
      <x:c r="B2976" s="2" t="str">
        <x:v>6c58cf53aa1b783dfec4</x:v>
      </x:c>
      <x:c r="C2976" s="2" t="str">
        <x:v>Cần Thơ</x:v>
      </x:c>
      <x:c r="D2976" s="2" t="str">
        <x:v>Quận Cái Răng</x:v>
      </x:c>
      <x:c r="E2976" s="2" t="str">
        <x:v>house</x:v>
      </x:c>
      <x:c r="F2976" s="2" t="str">
        <x:v>sale</x:v>
      </x:c>
      <x:c r="G2976" s="11" t="n">
        <x:v>70</x:v>
      </x:c>
      <x:c r="H2976" s="12" t="n">
        <x:v>380000000</x:v>
      </x:c>
      <x:c r="I2976" s="12" t="n">
        <x:v>5428571.428571428</x:v>
      </x:c>
      <x:c r="J2976" s="2" t="str">
        <x:v>total</x:v>
      </x:c>
      <x:c r="K2976" s="2" t="str">
        <x:v>top_level_area</x:v>
      </x:c>
      <x:c r="L2976" s="2" t="str">
        <x:v>property_type_inferred_from_title</x:v>
      </x:c>
      <x:c r="M2976" s="10" t="n">
        <x:v>0</x:v>
      </x:c>
      <x:c r="N2976" s="10" t="n">
        <x:v>0</x:v>
      </x:c>
      <x:c r="O2976" s="2" t="str">
        <x:v>Cần Thơ|house</x:v>
      </x:c>
      <x:c r="P2976" s="10" t="n">
        <x:v>2</x:v>
      </x:c>
      <x:c r="Q2976" s="13" t="n">
        <x:f>IF(H2976="","",H2976/1000000000)</x:f>
        <x:v>0.38</x:v>
      </x:c>
      <x:c r="R2976" s="13" t="n">
        <x:f>IF(I2976="","",I2976/1000000)</x:f>
        <x:v>5.428571428571428</x:v>
      </x:c>
    </x:row>
    <x:row r="2977" ht="21" customHeight="1">
      <x:c r="A2977" s="10" t="n">
        <x:v>4077</x:v>
      </x:c>
      <x:c r="B2977" s="2" t="str">
        <x:v>d9f22d1f7fef2b387608</x:v>
      </x:c>
      <x:c r="C2977" s="2" t="str">
        <x:v>Hà Nội</x:v>
      </x:c>
      <x:c r="D2977" s="2" t="str">
        <x:v>Quận Hà Đông</x:v>
      </x:c>
      <x:c r="E2977" s="2" t="str">
        <x:v>house</x:v>
      </x:c>
      <x:c r="F2977" s="2" t="str">
        <x:v>sale</x:v>
      </x:c>
      <x:c r="G2977" s="11" t="n">
        <x:v>34</x:v>
      </x:c>
      <x:c r="H2977" s="12" t="n">
        <x:v>3100000000</x:v>
      </x:c>
      <x:c r="I2977" s="12" t="n">
        <x:v>91176470.58823529</x:v>
      </x:c>
      <x:c r="J2977" s="2" t="str">
        <x:v>total</x:v>
      </x:c>
      <x:c r="K2977" s="2" t="str">
        <x:v>top_level_area</x:v>
      </x:c>
      <x:c r="L2977" s="2" t="str">
        <x:v>property_type_inferred_from_title</x:v>
      </x:c>
      <x:c r="M2977" s="10" t="n">
        <x:v>0</x:v>
      </x:c>
      <x:c r="N2977" s="10" t="n">
        <x:v>0</x:v>
      </x:c>
      <x:c r="O2977" s="2" t="str">
        <x:v>Hà Nội|house</x:v>
      </x:c>
      <x:c r="P2977" s="10" t="n">
        <x:v>2</x:v>
      </x:c>
      <x:c r="Q2977" s="13" t="n">
        <x:f>IF(H2977="","",H2977/1000000000)</x:f>
        <x:v>3.1</x:v>
      </x:c>
      <x:c r="R2977" s="13" t="n">
        <x:f>IF(I2977="","",I2977/1000000)</x:f>
        <x:v>91.17647058823529</x:v>
      </x:c>
    </x:row>
    <x:row r="2978" ht="21" customHeight="1">
      <x:c r="A2978" s="10" t="n">
        <x:v>4078</x:v>
      </x:c>
      <x:c r="B2978" s="2" t="str">
        <x:v>49fab3e5e764f927faa7</x:v>
      </x:c>
      <x:c r="C2978" s="2" t="str">
        <x:v>Đồng Nai</x:v>
      </x:c>
      <x:c r="D2978" s="2" t="str">
        <x:v>Huyện Long Thành</x:v>
      </x:c>
      <x:c r="E2978" s="2" t="str">
        <x:v>house</x:v>
      </x:c>
      <x:c r="F2978" s="2" t="str">
        <x:v>sale_assumed</x:v>
      </x:c>
      <x:c r="G2978" s="11" t="n">
        <x:v>250</x:v>
      </x:c>
      <x:c r="H2978" s="12" t="n">
        <x:v>685000000</x:v>
      </x:c>
      <x:c r="I2978" s="12" t="n">
        <x:v>2740000</x:v>
      </x:c>
      <x:c r="J2978" s="2" t="str">
        <x:v>total</x:v>
      </x:c>
      <x:c r="K2978" s="2" t="str">
        <x:v>top_level_area</x:v>
      </x:c>
      <x:c r="L2978" s="2" t="str">
        <x:v>property_type_inferred_from_title;transaction_assumed_sale_from_dataset_context</x:v>
      </x:c>
      <x:c r="M2978" s="10" t="n">
        <x:v>0</x:v>
      </x:c>
      <x:c r="N2978" s="10" t="n">
        <x:v>0</x:v>
      </x:c>
      <x:c r="O2978" s="2" t="str">
        <x:v>Đồng Nai|house</x:v>
      </x:c>
      <x:c r="P2978" s="10" t="n">
        <x:v>1</x:v>
      </x:c>
      <x:c r="Q2978" s="13" t="n">
        <x:f>IF(H2978="","",H2978/1000000000)</x:f>
        <x:v>0.685</x:v>
      </x:c>
      <x:c r="R2978" s="13" t="n">
        <x:f>IF(I2978="","",I2978/1000000)</x:f>
        <x:v>2.74</x:v>
      </x:c>
    </x:row>
    <x:row r="2979" ht="21" customHeight="1">
      <x:c r="A2979" s="10" t="n">
        <x:v>4079</x:v>
      </x:c>
      <x:c r="B2979" s="2" t="str">
        <x:v>261464955c0512eb5bfb</x:v>
      </x:c>
      <x:c r="C2979" s="2" t="str">
        <x:v>Tp Hồ Chí Minh</x:v>
      </x:c>
      <x:c r="D2979" s="2" t="str">
        <x:v>Quận Gò Vấp</x:v>
      </x:c>
      <x:c r="E2979" s="2" t="str">
        <x:v>house</x:v>
      </x:c>
      <x:c r="F2979" s="2" t="str">
        <x:v>sale_assumed</x:v>
      </x:c>
      <x:c r="G2979" s="11" t="n">
        <x:v>32</x:v>
      </x:c>
      <x:c r="H2979" s="12" t="n">
        <x:v>3390000000</x:v>
      </x:c>
      <x:c r="I2979" s="12" t="n">
        <x:v>105937500</x:v>
      </x:c>
      <x:c r="J2979" s="2" t="str">
        <x:v>total</x:v>
      </x:c>
      <x:c r="K2979" s="2" t="str">
        <x:v>top_level_area</x:v>
      </x:c>
      <x:c r="L2979" s="2" t="str">
        <x:v>property_type_inferred_from_title;transaction_assumed_sale_from_dataset_context</x:v>
      </x:c>
      <x:c r="M2979" s="10" t="n">
        <x:v>0</x:v>
      </x:c>
      <x:c r="N2979" s="10" t="n">
        <x:v>0</x:v>
      </x:c>
      <x:c r="O2979" s="2" t="str">
        <x:v>Tp Hồ Chí Minh|house</x:v>
      </x:c>
      <x:c r="P2979" s="10" t="n">
        <x:v>2</x:v>
      </x:c>
      <x:c r="Q2979" s="13" t="n">
        <x:f>IF(H2979="","",H2979/1000000000)</x:f>
        <x:v>3.39</x:v>
      </x:c>
      <x:c r="R2979" s="13" t="n">
        <x:f>IF(I2979="","",I2979/1000000)</x:f>
        <x:v>105.9375</x:v>
      </x:c>
    </x:row>
    <x:row r="2980" ht="21" customHeight="1">
      <x:c r="A2980" s="10" t="n">
        <x:v>4080</x:v>
      </x:c>
      <x:c r="B2980" s="2" t="str">
        <x:v>593debd698d75d10c9ef</x:v>
      </x:c>
      <x:c r="C2980" s="2" t="str">
        <x:v>Tp Hồ Chí Minh</x:v>
      </x:c>
      <x:c r="D2980" s="2" t="str">
        <x:v>Quận 2</x:v>
      </x:c>
      <x:c r="E2980" s="2" t="str">
        <x:v>house</x:v>
      </x:c>
      <x:c r="F2980" s="2" t="str">
        <x:v>sale</x:v>
      </x:c>
      <x:c r="G2980" s="11" t="n">
        <x:v>300</x:v>
      </x:c>
      <x:c r="H2980" s="12" t="n">
        <x:v>17000000000</x:v>
      </x:c>
      <x:c r="I2980" s="12" t="n">
        <x:v>56666666.666666664</x:v>
      </x:c>
      <x:c r="J2980" s="2" t="str">
        <x:v>total</x:v>
      </x:c>
      <x:c r="K2980" s="2" t="str">
        <x:v>top_level_area</x:v>
      </x:c>
      <x:c r="L2980" s="2" t="str">
        <x:v>property_type_inferred_from_title</x:v>
      </x:c>
      <x:c r="M2980" s="10" t="n">
        <x:v>0</x:v>
      </x:c>
      <x:c r="N2980" s="10" t="n">
        <x:v>0</x:v>
      </x:c>
      <x:c r="O2980" s="2" t="str">
        <x:v>Tp Hồ Chí Minh|house</x:v>
      </x:c>
      <x:c r="P2980" s="10" t="n">
        <x:v>2</x:v>
      </x:c>
      <x:c r="Q2980" s="13" t="n">
        <x:f>IF(H2980="","",H2980/1000000000)</x:f>
        <x:v>17</x:v>
      </x:c>
      <x:c r="R2980" s="13" t="n">
        <x:f>IF(I2980="","",I2980/1000000)</x:f>
        <x:v>56.666666666666664</x:v>
      </x:c>
    </x:row>
    <x:row r="2981" ht="21" customHeight="1">
      <x:c r="A2981" s="10" t="n">
        <x:v>4082</x:v>
      </x:c>
      <x:c r="B2981" s="2" t="str">
        <x:v>013bd38b0cb6fdcafb09</x:v>
      </x:c>
      <x:c r="C2981" s="2" t="str">
        <x:v>Hà Nội</x:v>
      </x:c>
      <x:c r="D2981" s="2" t="str">
        <x:v>Quận Hà Đông</x:v>
      </x:c>
      <x:c r="E2981" s="2" t="str">
        <x:v>house</x:v>
      </x:c>
      <x:c r="F2981" s="2" t="str">
        <x:v>sale</x:v>
      </x:c>
      <x:c r="G2981" s="11" t="n">
        <x:v>40</x:v>
      </x:c>
      <x:c r="H2981" s="12" t="n">
        <x:v>2700000000</x:v>
      </x:c>
      <x:c r="I2981" s="12" t="n">
        <x:v>67500000</x:v>
      </x:c>
      <x:c r="J2981" s="2" t="str">
        <x:v>total</x:v>
      </x:c>
      <x:c r="K2981" s="2" t="str">
        <x:v>top_level_area</x:v>
      </x:c>
      <x:c r="L2981" s="2" t="str">
        <x:v>property_type_inferred_from_title</x:v>
      </x:c>
      <x:c r="M2981" s="10" t="n">
        <x:v>0</x:v>
      </x:c>
      <x:c r="N2981" s="10" t="n">
        <x:v>0</x:v>
      </x:c>
      <x:c r="O2981" s="2" t="str">
        <x:v>Hà Nội|house</x:v>
      </x:c>
      <x:c r="P2981" s="10" t="n">
        <x:v>2</x:v>
      </x:c>
      <x:c r="Q2981" s="13" t="n">
        <x:f>IF(H2981="","",H2981/1000000000)</x:f>
        <x:v>2.7</x:v>
      </x:c>
      <x:c r="R2981" s="13" t="n">
        <x:f>IF(I2981="","",I2981/1000000)</x:f>
        <x:v>67.5</x:v>
      </x:c>
    </x:row>
    <x:row r="2982" ht="21" customHeight="1">
      <x:c r="A2982" s="10" t="n">
        <x:v>4083</x:v>
      </x:c>
      <x:c r="B2982" s="2" t="str">
        <x:v>53d8e1cf26e3c2a006a0</x:v>
      </x:c>
      <x:c r="C2982" s="2" t="str">
        <x:v>Hà Nội</x:v>
      </x:c>
      <x:c r="D2982" s="2" t="str">
        <x:v>Quận Hà Đông</x:v>
      </x:c>
      <x:c r="E2982" s="2" t="str">
        <x:v>land</x:v>
      </x:c>
      <x:c r="F2982" s="2" t="str">
        <x:v>sale_assumed</x:v>
      </x:c>
      <x:c r="G2982" s="11" t="n">
        <x:v>30</x:v>
      </x:c>
      <x:c r="H2982" s="12" t="n">
        <x:v>1300000000</x:v>
      </x:c>
      <x:c r="I2982" s="12" t="n">
        <x:v>43333333.333333336</x:v>
      </x:c>
      <x:c r="J2982" s="2" t="str">
        <x:v>total</x:v>
      </x:c>
      <x:c r="K2982" s="2" t="str">
        <x:v>top_level_area</x:v>
      </x:c>
      <x:c r="L2982" s="2" t="str">
        <x:v>property_type_inferred_from_title;transaction_assumed_sale_from_dataset_context</x:v>
      </x:c>
      <x:c r="M2982" s="10" t="n">
        <x:v>0</x:v>
      </x:c>
      <x:c r="N2982" s="10" t="n">
        <x:v>0</x:v>
      </x:c>
      <x:c r="O2982" s="2" t="str">
        <x:v>Hà Nội|land</x:v>
      </x:c>
      <x:c r="P2982" s="10" t="n">
        <x:v>2</x:v>
      </x:c>
      <x:c r="Q2982" s="13" t="n">
        <x:f>IF(H2982="","",H2982/1000000000)</x:f>
        <x:v>1.3</x:v>
      </x:c>
      <x:c r="R2982" s="13" t="n">
        <x:f>IF(I2982="","",I2982/1000000)</x:f>
        <x:v>43.333333333333336</x:v>
      </x:c>
    </x:row>
    <x:row r="2983" ht="21" customHeight="1">
      <x:c r="A2983" s="10" t="n">
        <x:v>4084</x:v>
      </x:c>
      <x:c r="B2983" s="2" t="str">
        <x:v>7ebef450eb3f39abf459</x:v>
      </x:c>
      <x:c r="C2983" s="2" t="str">
        <x:v>Hà Nội</x:v>
      </x:c>
      <x:c r="D2983" s="2" t="str">
        <x:v>Quận Hai Bà Trưng</x:v>
      </x:c>
      <x:c r="E2983" s="2" t="str">
        <x:v>house</x:v>
      </x:c>
      <x:c r="F2983" s="2" t="str">
        <x:v>sale</x:v>
      </x:c>
      <x:c r="G2983" s="11" t="n">
        <x:v>38</x:v>
      </x:c>
      <x:c r="H2983" s="12" t="n">
        <x:v>3000000000</x:v>
      </x:c>
      <x:c r="I2983" s="12" t="n">
        <x:v>78947368.42105263</x:v>
      </x:c>
      <x:c r="J2983" s="2" t="str">
        <x:v>total</x:v>
      </x:c>
      <x:c r="K2983" s="2" t="str">
        <x:v>top_level_area</x:v>
      </x:c>
      <x:c r="L2983" s="2" t="str">
        <x:v>property_type_inferred_from_title</x:v>
      </x:c>
      <x:c r="M2983" s="10" t="n">
        <x:v>0</x:v>
      </x:c>
      <x:c r="N2983" s="10" t="n">
        <x:v>0</x:v>
      </x:c>
      <x:c r="O2983" s="2" t="str">
        <x:v>Hà Nội|house</x:v>
      </x:c>
      <x:c r="P2983" s="10" t="n">
        <x:v>2</x:v>
      </x:c>
      <x:c r="Q2983" s="13" t="n">
        <x:f>IF(H2983="","",H2983/1000000000)</x:f>
        <x:v>3</x:v>
      </x:c>
      <x:c r="R2983" s="13" t="n">
        <x:f>IF(I2983="","",I2983/1000000)</x:f>
        <x:v>78.94736842105263</x:v>
      </x:c>
    </x:row>
    <x:row r="2984" ht="21" customHeight="1">
      <x:c r="A2984" s="10" t="n">
        <x:v>4085</x:v>
      </x:c>
      <x:c r="B2984" s="2" t="str">
        <x:v>69af323c1f829be09ad1</x:v>
      </x:c>
      <x:c r="C2984" s="2" t="str">
        <x:v>Tp Hồ Chí Minh</x:v>
      </x:c>
      <x:c r="D2984" s="2" t="str">
        <x:v>Quận 12</x:v>
      </x:c>
      <x:c r="E2984" s="2" t="str">
        <x:v>house</x:v>
      </x:c>
      <x:c r="F2984" s="2" t="str">
        <x:v>sale</x:v>
      </x:c>
      <x:c r="G2984" s="11" t="n">
        <x:v>45</x:v>
      </x:c>
      <x:c r="H2984" s="12" t="n">
        <x:v>3050000000</x:v>
      </x:c>
      <x:c r="I2984" s="12" t="n">
        <x:v>67777777.77777778</x:v>
      </x:c>
      <x:c r="J2984" s="2" t="str">
        <x:v>total</x:v>
      </x:c>
      <x:c r="K2984" s="2" t="str">
        <x:v>top_level_price_embedded_area</x:v>
      </x:c>
      <x:c r="L2984" s="2" t="str">
        <x:v>area_recovered_from_price_text;property_type_inferred_from_title</x:v>
      </x:c>
      <x:c r="M2984" s="10" t="n">
        <x:v>0</x:v>
      </x:c>
      <x:c r="N2984" s="10" t="n">
        <x:v>0</x:v>
      </x:c>
      <x:c r="O2984" s="2" t="str">
        <x:v>Tp Hồ Chí Minh|house</x:v>
      </x:c>
      <x:c r="P2984" s="10" t="n">
        <x:v>2</x:v>
      </x:c>
      <x:c r="Q2984" s="13" t="n">
        <x:f>IF(H2984="","",H2984/1000000000)</x:f>
        <x:v>3.05</x:v>
      </x:c>
      <x:c r="R2984" s="13" t="n">
        <x:f>IF(I2984="","",I2984/1000000)</x:f>
        <x:v>67.77777777777777</x:v>
      </x:c>
    </x:row>
    <x:row r="2985" ht="21" customHeight="1">
      <x:c r="A2985" s="10" t="n">
        <x:v>4086</x:v>
      </x:c>
      <x:c r="B2985" s="2" t="str">
        <x:v>7ed02d6e1f08f67dcd36</x:v>
      </x:c>
      <x:c r="C2985" s="2" t="str">
        <x:v>Hà Nội</x:v>
      </x:c>
      <x:c r="D2985" s="2" t="str">
        <x:v>Quận Long Biên</x:v>
      </x:c>
      <x:c r="E2985" s="2" t="str">
        <x:v>house</x:v>
      </x:c>
      <x:c r="F2985" s="2" t="str">
        <x:v>sale</x:v>
      </x:c>
      <x:c r="G2985" s="11" t="n">
        <x:v>37</x:v>
      </x:c>
      <x:c r="H2985" s="12" t="n">
        <x:v>3050000000</x:v>
      </x:c>
      <x:c r="I2985" s="12" t="n">
        <x:v>82432432.43243243</x:v>
      </x:c>
      <x:c r="J2985" s="2" t="str">
        <x:v>total</x:v>
      </x:c>
      <x:c r="K2985" s="2" t="str">
        <x:v>top_level_area</x:v>
      </x:c>
      <x:c r="L2985" s="2" t="str">
        <x:v>property_type_inferred_from_title</x:v>
      </x:c>
      <x:c r="M2985" s="10" t="n">
        <x:v>0</x:v>
      </x:c>
      <x:c r="N2985" s="10" t="n">
        <x:v>0</x:v>
      </x:c>
      <x:c r="O2985" s="2" t="str">
        <x:v>Hà Nội|house</x:v>
      </x:c>
      <x:c r="P2985" s="10" t="n">
        <x:v>2</x:v>
      </x:c>
      <x:c r="Q2985" s="13" t="n">
        <x:f>IF(H2985="","",H2985/1000000000)</x:f>
        <x:v>3.05</x:v>
      </x:c>
      <x:c r="R2985" s="13" t="n">
        <x:f>IF(I2985="","",I2985/1000000)</x:f>
        <x:v>82.43243243243242</x:v>
      </x:c>
    </x:row>
    <x:row r="2986" ht="21" customHeight="1">
      <x:c r="A2986" s="10" t="n">
        <x:v>4087</x:v>
      </x:c>
      <x:c r="B2986" s="2" t="str">
        <x:v>388f8d295100875972e7</x:v>
      </x:c>
      <x:c r="C2986" s="2" t="str">
        <x:v>Đà Nẵng</x:v>
      </x:c>
      <x:c r="D2986" s="2" t="str">
        <x:v>Quận Cẩm Lệ</x:v>
      </x:c>
      <x:c r="E2986" s="2" t="str">
        <x:v>house</x:v>
      </x:c>
      <x:c r="F2986" s="2" t="str">
        <x:v>sale</x:v>
      </x:c>
      <x:c r="G2986" s="11" t="n">
        <x:v>76</x:v>
      </x:c>
      <x:c r="H2986" s="12" t="n">
        <x:v>2300000000</x:v>
      </x:c>
      <x:c r="I2986" s="12" t="n">
        <x:v>30263157.89473684</x:v>
      </x:c>
      <x:c r="J2986" s="2" t="str">
        <x:v>total</x:v>
      </x:c>
      <x:c r="K2986" s="2" t="str">
        <x:v>top_level_area</x:v>
      </x:c>
      <x:c r="L2986" s="2" t="str">
        <x:v>property_type_inferred_from_title</x:v>
      </x:c>
      <x:c r="M2986" s="10" t="n">
        <x:v>0</x:v>
      </x:c>
      <x:c r="N2986" s="10" t="n">
        <x:v>0</x:v>
      </x:c>
      <x:c r="O2986" s="2" t="str">
        <x:v>Đà Nẵng|house</x:v>
      </x:c>
      <x:c r="P2986" s="10" t="n">
        <x:v>2</x:v>
      </x:c>
      <x:c r="Q2986" s="13" t="n">
        <x:f>IF(H2986="","",H2986/1000000000)</x:f>
        <x:v>2.3</x:v>
      </x:c>
      <x:c r="R2986" s="13" t="n">
        <x:f>IF(I2986="","",I2986/1000000)</x:f>
        <x:v>30.263157894736842</x:v>
      </x:c>
    </x:row>
    <x:row r="2987" ht="21" customHeight="1">
      <x:c r="A2987" s="10" t="n">
        <x:v>4088</x:v>
      </x:c>
      <x:c r="B2987" s="2" t="str">
        <x:v>784af331cebc8ef2cabe</x:v>
      </x:c>
      <x:c r="C2987" s="2" t="str">
        <x:v>Tp Hồ Chí Minh</x:v>
      </x:c>
      <x:c r="D2987" s="2" t="str">
        <x:v>Quận Bình Thạnh</x:v>
      </x:c>
      <x:c r="E2987" s="2" t="str">
        <x:v>house</x:v>
      </x:c>
      <x:c r="F2987" s="2" t="str">
        <x:v>sale</x:v>
      </x:c>
      <x:c r="G2987" s="11" t="n">
        <x:v>9</x:v>
      </x:c>
      <x:c r="H2987" s="12" t="n">
        <x:v>1400000000</x:v>
      </x:c>
      <x:c r="I2987" s="12" t="n">
        <x:v>155555555.55555555</x:v>
      </x:c>
      <x:c r="J2987" s="2" t="str">
        <x:v>total</x:v>
      </x:c>
      <x:c r="K2987" s="2" t="str">
        <x:v>top_level_area</x:v>
      </x:c>
      <x:c r="L2987" s="2" t="str">
        <x:v>property_type_inferred_from_title</x:v>
      </x:c>
      <x:c r="M2987" s="10" t="n">
        <x:v>0</x:v>
      </x:c>
      <x:c r="N2987" s="10" t="n">
        <x:v>0</x:v>
      </x:c>
      <x:c r="O2987" s="2" t="str">
        <x:v>Tp Hồ Chí Minh|house</x:v>
      </x:c>
      <x:c r="P2987" s="10" t="n">
        <x:v>2</x:v>
      </x:c>
      <x:c r="Q2987" s="13" t="n">
        <x:f>IF(H2987="","",H2987/1000000000)</x:f>
        <x:v>1.4</x:v>
      </x:c>
      <x:c r="R2987" s="13" t="n">
        <x:f>IF(I2987="","",I2987/1000000)</x:f>
        <x:v>155.55555555555554</x:v>
      </x:c>
    </x:row>
    <x:row r="2988" ht="21" customHeight="1">
      <x:c r="A2988" s="10" t="n">
        <x:v>4089</x:v>
      </x:c>
      <x:c r="B2988" s="2" t="str">
        <x:v>345ca6a30001b51881da</x:v>
      </x:c>
      <x:c r="C2988" s="2" t="str">
        <x:v>Tp Hồ Chí Minh</x:v>
      </x:c>
      <x:c r="D2988" s="2" t="str">
        <x:v>Quận Gò Vấp</x:v>
      </x:c>
      <x:c r="E2988" s="2" t="str">
        <x:v>house</x:v>
      </x:c>
      <x:c r="F2988" s="2" t="str">
        <x:v>sale</x:v>
      </x:c>
      <x:c r="G2988" s="11" t="n">
        <x:v>30</x:v>
      </x:c>
      <x:c r="H2988" s="12" t="n">
        <x:v>2825000000</x:v>
      </x:c>
      <x:c r="I2988" s="12" t="n">
        <x:v>94166666.66666667</x:v>
      </x:c>
      <x:c r="J2988" s="2" t="str">
        <x:v>total</x:v>
      </x:c>
      <x:c r="K2988" s="2" t="str">
        <x:v>top_level_area</x:v>
      </x:c>
      <x:c r="L2988" s="2" t="str">
        <x:v>property_type_inferred_from_title</x:v>
      </x:c>
      <x:c r="M2988" s="10" t="n">
        <x:v>0</x:v>
      </x:c>
      <x:c r="N2988" s="10" t="n">
        <x:v>0</x:v>
      </x:c>
      <x:c r="O2988" s="2" t="str">
        <x:v>Tp Hồ Chí Minh|house</x:v>
      </x:c>
      <x:c r="P2988" s="10" t="n">
        <x:v>2</x:v>
      </x:c>
      <x:c r="Q2988" s="13" t="n">
        <x:f>IF(H2988="","",H2988/1000000000)</x:f>
        <x:v>2.825</x:v>
      </x:c>
      <x:c r="R2988" s="13" t="n">
        <x:f>IF(I2988="","",I2988/1000000)</x:f>
        <x:v>94.16666666666667</x:v>
      </x:c>
    </x:row>
    <x:row r="2989" ht="21" customHeight="1">
      <x:c r="A2989" s="10" t="n">
        <x:v>4092</x:v>
      </x:c>
      <x:c r="B2989" s="2" t="str">
        <x:v>381385298618193680b8</x:v>
      </x:c>
      <x:c r="C2989" s="2" t="str">
        <x:v>Yên Bái</x:v>
      </x:c>
      <x:c r="D2989" s="2" t="str">
        <x:v>Thành phố Yên Bái</x:v>
      </x:c>
      <x:c r="E2989" s="2" t="str">
        <x:v>land</x:v>
      </x:c>
      <x:c r="F2989" s="2" t="str">
        <x:v>sale_assumed</x:v>
      </x:c>
      <x:c r="G2989" s="11" t="n">
        <x:v>750</x:v>
      </x:c>
      <x:c r="H2989" s="12" t="n">
        <x:v>3000000000</x:v>
      </x:c>
      <x:c r="I2989" s="12" t="n">
        <x:v>4000000</x:v>
      </x:c>
      <x:c r="J2989" s="2" t="str">
        <x:v>total</x:v>
      </x:c>
      <x:c r="K2989" s="2" t="str">
        <x:v>top_level_area</x:v>
      </x:c>
      <x:c r="L2989" s="2" t="str">
        <x:v>property_type_inferred_from_title;transaction_assumed_sale_from_dataset_context</x:v>
      </x:c>
      <x:c r="M2989" s="10" t="n">
        <x:v>0</x:v>
      </x:c>
      <x:c r="N2989" s="10" t="n">
        <x:v>0</x:v>
      </x:c>
      <x:c r="O2989" s="2" t="str">
        <x:v>land</x:v>
      </x:c>
      <x:c r="P2989" s="10" t="n">
        <x:v>1</x:v>
      </x:c>
      <x:c r="Q2989" s="13" t="n">
        <x:f>IF(H2989="","",H2989/1000000000)</x:f>
        <x:v>3</x:v>
      </x:c>
      <x:c r="R2989" s="13" t="n">
        <x:f>IF(I2989="","",I2989/1000000)</x:f>
        <x:v>4</x:v>
      </x:c>
    </x:row>
    <x:row r="2990" ht="21" customHeight="1">
      <x:c r="A2990" s="10" t="n">
        <x:v>4093</x:v>
      </x:c>
      <x:c r="B2990" s="2" t="str">
        <x:v>cc287db501a9f93d2b23</x:v>
      </x:c>
      <x:c r="C2990" s="2" t="str">
        <x:v>Bình Dương</x:v>
      </x:c>
      <x:c r="D2990" s="2" t="str">
        <x:v>Thị xã Thuận An</x:v>
      </x:c>
      <x:c r="E2990" s="2" t="str">
        <x:v>apartment</x:v>
      </x:c>
      <x:c r="F2990" s="2" t="str">
        <x:v>sale</x:v>
      </x:c>
      <x:c r="G2990" s="11" t="n">
        <x:v>52</x:v>
      </x:c>
      <x:c r="H2990" s="12" t="n">
        <x:v>1150000000</x:v>
      </x:c>
      <x:c r="I2990" s="12" t="n">
        <x:v>22115384.615384616</x:v>
      </x:c>
      <x:c r="J2990" s="2" t="str">
        <x:v>total</x:v>
      </x:c>
      <x:c r="K2990" s="2" t="str">
        <x:v>top_level_area</x:v>
      </x:c>
      <x:c r="L2990" s="2" t="str">
        <x:v>property_type_inferred_from_title</x:v>
      </x:c>
      <x:c r="M2990" s="10" t="n">
        <x:v>0</x:v>
      </x:c>
      <x:c r="N2990" s="10" t="n">
        <x:v>0</x:v>
      </x:c>
      <x:c r="O2990" s="2" t="str">
        <x:v>Bình Dương|apartment</x:v>
      </x:c>
      <x:c r="P2990" s="10" t="n">
        <x:v>2</x:v>
      </x:c>
      <x:c r="Q2990" s="13" t="n">
        <x:f>IF(H2990="","",H2990/1000000000)</x:f>
        <x:v>1.15</x:v>
      </x:c>
      <x:c r="R2990" s="13" t="n">
        <x:f>IF(I2990="","",I2990/1000000)</x:f>
        <x:v>22.115384615384617</x:v>
      </x:c>
    </x:row>
    <x:row r="2991" ht="21" customHeight="1">
      <x:c r="A2991" s="10" t="n">
        <x:v>4094</x:v>
      </x:c>
      <x:c r="B2991" s="2" t="str">
        <x:v>f2bf3d868804ca5e865a</x:v>
      </x:c>
      <x:c r="C2991" s="2" t="str">
        <x:v>Đà Nẵng</x:v>
      </x:c>
      <x:c r="D2991" s="2" t="str">
        <x:v>Huyện Hòa Vang</x:v>
      </x:c>
      <x:c r="E2991" s="2" t="str">
        <x:v>other_unknown</x:v>
      </x:c>
      <x:c r="F2991" s="2" t="str">
        <x:v>sale_assumed</x:v>
      </x:c>
      <x:c r="G2991" s="11" t="n">
        <x:v>135</x:v>
      </x:c>
      <x:c r="H2991" s="12" t="n">
        <x:v>550000000</x:v>
      </x:c>
      <x:c r="I2991" s="12" t="n">
        <x:v>4074074.074074074</x:v>
      </x:c>
      <x:c r="J2991" s="2" t="str">
        <x:v>total</x:v>
      </x:c>
      <x:c r="K2991" s="2" t="str">
        <x:v>top_level_area</x:v>
      </x:c>
      <x:c r="L2991" s="2" t="str">
        <x:v>property_type_inferred_from_title;transaction_assumed_sale_from_dataset_context;unknown_property_type</x:v>
      </x:c>
      <x:c r="M2991" s="10" t="n">
        <x:v>0</x:v>
      </x:c>
      <x:c r="N2991" s="10" t="n">
        <x:v>0</x:v>
      </x:c>
      <x:c r="O2991" s="2" t="str">
        <x:v>Đà Nẵng|other_unknown</x:v>
      </x:c>
      <x:c r="P2991" s="10" t="n">
        <x:v>1</x:v>
      </x:c>
      <x:c r="Q2991" s="13" t="n">
        <x:f>IF(H2991="","",H2991/1000000000)</x:f>
        <x:v>0.55</x:v>
      </x:c>
      <x:c r="R2991" s="13" t="n">
        <x:f>IF(I2991="","",I2991/1000000)</x:f>
        <x:v>4.074074074074074</x:v>
      </x:c>
    </x:row>
    <x:row r="2992" ht="21" customHeight="1">
      <x:c r="A2992" s="10" t="n">
        <x:v>4095</x:v>
      </x:c>
      <x:c r="B2992" s="2" t="str">
        <x:v>c1b03c232aae216863b1</x:v>
      </x:c>
      <x:c r="C2992" s="2" t="str">
        <x:v>Bà Rịa - Vũng Tàu</x:v>
      </x:c>
      <x:c r="D2992" s="2" t="str">
        <x:v>Huyện Xuyên Mộc</x:v>
      </x:c>
      <x:c r="E2992" s="2" t="str">
        <x:v>land</x:v>
      </x:c>
      <x:c r="F2992" s="2" t="str">
        <x:v>sale</x:v>
      </x:c>
      <x:c r="G2992" s="11" t="n">
        <x:v>8160</x:v>
      </x:c>
      <x:c r="H2992" s="12" t="n">
        <x:v>6500000000</x:v>
      </x:c>
      <x:c r="I2992" s="12" t="n">
        <x:v>796568.6274509804</x:v>
      </x:c>
      <x:c r="J2992" s="2" t="str">
        <x:v>total</x:v>
      </x:c>
      <x:c r="K2992" s="2" t="str">
        <x:v>top_level_area</x:v>
      </x:c>
      <x:c r="L2992" s="2" t="str">
        <x:v>dot_thousands_convention;property_type_inferred_from_title</x:v>
      </x:c>
      <x:c r="M2992" s="10" t="n">
        <x:v>0</x:v>
      </x:c>
      <x:c r="N2992" s="10" t="n">
        <x:v>0</x:v>
      </x:c>
      <x:c r="O2992" s="2" t="str">
        <x:v>Bà Rịa - Vũng Tàu|land</x:v>
      </x:c>
      <x:c r="P2992" s="10" t="n">
        <x:v>1</x:v>
      </x:c>
      <x:c r="Q2992" s="13" t="n">
        <x:f>IF(H2992="","",H2992/1000000000)</x:f>
        <x:v>6.5</x:v>
      </x:c>
      <x:c r="R2992" s="13" t="n">
        <x:f>IF(I2992="","",I2992/1000000)</x:f>
        <x:v>0.7965686274509803</x:v>
      </x:c>
    </x:row>
    <x:row r="2993" ht="21" customHeight="1">
      <x:c r="A2993" s="10" t="n">
        <x:v>4096</x:v>
      </x:c>
      <x:c r="B2993" s="2" t="str">
        <x:v>730590fa38eaa0f1f4a5</x:v>
      </x:c>
      <x:c r="C2993" s="2" t="str">
        <x:v>Hà Nội</x:v>
      </x:c>
      <x:c r="D2993" s="2" t="str">
        <x:v>Quận Long Biên</x:v>
      </x:c>
      <x:c r="E2993" s="2" t="str">
        <x:v>house</x:v>
      </x:c>
      <x:c r="F2993" s="2" t="str">
        <x:v>sale</x:v>
      </x:c>
      <x:c r="G2993" s="11" t="n">
        <x:v>48</x:v>
      </x:c>
      <x:c r="H2993" s="12" t="n">
        <x:v>3300000000</x:v>
      </x:c>
      <x:c r="I2993" s="12" t="n">
        <x:v>68750000</x:v>
      </x:c>
      <x:c r="J2993" s="2" t="str">
        <x:v>total</x:v>
      </x:c>
      <x:c r="K2993" s="2" t="str">
        <x:v>top_level_area</x:v>
      </x:c>
      <x:c r="L2993" s="2" t="str">
        <x:v>property_type_inferred_from_title</x:v>
      </x:c>
      <x:c r="M2993" s="10" t="n">
        <x:v>0</x:v>
      </x:c>
      <x:c r="N2993" s="10" t="n">
        <x:v>0</x:v>
      </x:c>
      <x:c r="O2993" s="2" t="str">
        <x:v>Hà Nội|house</x:v>
      </x:c>
      <x:c r="P2993" s="10" t="n">
        <x:v>2</x:v>
      </x:c>
      <x:c r="Q2993" s="13" t="n">
        <x:f>IF(H2993="","",H2993/1000000000)</x:f>
        <x:v>3.3</x:v>
      </x:c>
      <x:c r="R2993" s="13" t="n">
        <x:f>IF(I2993="","",I2993/1000000)</x:f>
        <x:v>68.75</x:v>
      </x:c>
    </x:row>
    <x:row r="2994" ht="21" customHeight="1">
      <x:c r="A2994" s="10" t="n">
        <x:v>4097</x:v>
      </x:c>
      <x:c r="B2994" s="2" t="str">
        <x:v>bea4d8ce742803c06613</x:v>
      </x:c>
      <x:c r="C2994" s="2" t="str">
        <x:v>Hà Nội</x:v>
      </x:c>
      <x:c r="D2994" s="2" t="str">
        <x:v>Quận Đống Đa</x:v>
      </x:c>
      <x:c r="E2994" s="2" t="str">
        <x:v>other_unknown</x:v>
      </x:c>
      <x:c r="F2994" s="2" t="str">
        <x:v>sale_assumed</x:v>
      </x:c>
      <x:c r="G2994" s="11" t="n">
        <x:v>120</x:v>
      </x:c>
      <x:c r="H2994" s="12" t="n">
        <x:v>21800000000</x:v>
      </x:c>
      <x:c r="I2994" s="12" t="n">
        <x:v>181666666.66666666</x:v>
      </x:c>
      <x:c r="J2994" s="2" t="str">
        <x:v>total</x:v>
      </x:c>
      <x:c r="K2994" s="2" t="str">
        <x:v>top_level_area</x:v>
      </x:c>
      <x:c r="L2994" s="2" t="str">
        <x:v>property_type_inferred_from_title;transaction_assumed_sale_from_dataset_context;unknown_property_type</x:v>
      </x:c>
      <x:c r="M2994" s="10" t="n">
        <x:v>1</x:v>
      </x:c>
      <x:c r="N2994" s="10" t="n">
        <x:v>1</x:v>
      </x:c>
      <x:c r="O2994" s="2" t="str">
        <x:v>Hà Nội|other_unknown</x:v>
      </x:c>
      <x:c r="P2994" s="10" t="n">
        <x:v>-1</x:v>
      </x:c>
      <x:c r="Q2994" s="13" t="n">
        <x:f>IF(H2994="","",H2994/1000000000)</x:f>
        <x:v>21.8</x:v>
      </x:c>
      <x:c r="R2994" s="13" t="n">
        <x:f>IF(I2994="","",I2994/1000000)</x:f>
        <x:v>181.66666666666666</x:v>
      </x:c>
    </x:row>
    <x:row r="2995" ht="21" customHeight="1">
      <x:c r="A2995" s="10" t="n">
        <x:v>4098</x:v>
      </x:c>
      <x:c r="B2995" s="2" t="str">
        <x:v>da8cbfc8fce736a64f8d</x:v>
      </x:c>
      <x:c r="C2995" s="2" t="str">
        <x:v>Tp Hồ Chí Minh</x:v>
      </x:c>
      <x:c r="D2995" s="2" t="str">
        <x:v>Quận Thủ Đức</x:v>
      </x:c>
      <x:c r="E2995" s="2" t="str">
        <x:v>house</x:v>
      </x:c>
      <x:c r="F2995" s="2" t="str">
        <x:v>sale</x:v>
      </x:c>
      <x:c r="G2995" s="11" t="n">
        <x:v>85</x:v>
      </x:c>
      <x:c r="H2995" s="12" t="n">
        <x:v>4850000000</x:v>
      </x:c>
      <x:c r="I2995" s="12" t="n">
        <x:v>57058823.52941176</x:v>
      </x:c>
      <x:c r="J2995" s="2" t="str">
        <x:v>total</x:v>
      </x:c>
      <x:c r="K2995" s="2" t="str">
        <x:v>top_level_area</x:v>
      </x:c>
      <x:c r="L2995" s="2" t="str">
        <x:v>property_type_inferred_from_title</x:v>
      </x:c>
      <x:c r="M2995" s="10" t="n">
        <x:v>0</x:v>
      </x:c>
      <x:c r="N2995" s="10" t="n">
        <x:v>0</x:v>
      </x:c>
      <x:c r="O2995" s="2" t="str">
        <x:v>Tp Hồ Chí Minh|house</x:v>
      </x:c>
      <x:c r="P2995" s="10" t="n">
        <x:v>2</x:v>
      </x:c>
      <x:c r="Q2995" s="13" t="n">
        <x:f>IF(H2995="","",H2995/1000000000)</x:f>
        <x:v>4.85</x:v>
      </x:c>
      <x:c r="R2995" s="13" t="n">
        <x:f>IF(I2995="","",I2995/1000000)</x:f>
        <x:v>57.05882352941176</x:v>
      </x:c>
    </x:row>
    <x:row r="2996" ht="21" customHeight="1">
      <x:c r="A2996" s="10" t="n">
        <x:v>4099</x:v>
      </x:c>
      <x:c r="B2996" s="2" t="str">
        <x:v>5575d0523559e1488860</x:v>
      </x:c>
      <x:c r="C2996" s="2" t="str">
        <x:v>Hải Dương</x:v>
      </x:c>
      <x:c r="D2996" s="2" t="str">
        <x:v>Thành phố Hải Dương</x:v>
      </x:c>
      <x:c r="E2996" s="2" t="str">
        <x:v>apartment</x:v>
      </x:c>
      <x:c r="F2996" s="2" t="str">
        <x:v>sale_assumed</x:v>
      </x:c>
      <x:c r="G2996" s="11" t="n">
        <x:v>66.6</x:v>
      </x:c>
      <x:c r="H2996" s="12" t="n">
        <x:v>845000000</x:v>
      </x:c>
      <x:c r="I2996" s="12" t="n">
        <x:v>12687687.68768769</x:v>
      </x:c>
      <x:c r="J2996" s="2" t="str">
        <x:v>total</x:v>
      </x:c>
      <x:c r="K2996" s="2" t="str">
        <x:v>top_level_area</x:v>
      </x:c>
      <x:c r="L2996" s="2" t="str">
        <x:v>property_type_inferred_from_title;transaction_assumed_sale_from_dataset_context</x:v>
      </x:c>
      <x:c r="M2996" s="10" t="n">
        <x:v>0</x:v>
      </x:c>
      <x:c r="N2996" s="10" t="n">
        <x:v>0</x:v>
      </x:c>
      <x:c r="O2996" s="2" t="str">
        <x:v>apartment</x:v>
      </x:c>
      <x:c r="P2996" s="10" t="n">
        <x:v>2</x:v>
      </x:c>
      <x:c r="Q2996" s="13" t="n">
        <x:f>IF(H2996="","",H2996/1000000000)</x:f>
        <x:v>0.845</x:v>
      </x:c>
      <x:c r="R2996" s="13" t="n">
        <x:f>IF(I2996="","",I2996/1000000)</x:f>
        <x:v>12.68768768768769</x:v>
      </x:c>
    </x:row>
    <x:row r="2997" ht="21" customHeight="1">
      <x:c r="A2997" s="10" t="n">
        <x:v>4100</x:v>
      </x:c>
      <x:c r="B2997" s="2" t="str">
        <x:v>06740280063cb61232a6</x:v>
      </x:c>
      <x:c r="C2997" s="2" t="str">
        <x:v>Long An</x:v>
      </x:c>
      <x:c r="D2997" s="2" t="str">
        <x:v>Huyện Đức Hòa</x:v>
      </x:c>
      <x:c r="E2997" s="2" t="str">
        <x:v>land</x:v>
      </x:c>
      <x:c r="F2997" s="2" t="str">
        <x:v>sale_assumed</x:v>
      </x:c>
      <x:c r="G2997" s="11" t="n">
        <x:v>80</x:v>
      </x:c>
      <x:c r="H2997" s="12" t="n">
        <x:v>800000000</x:v>
      </x:c>
      <x:c r="I2997" s="12" t="n">
        <x:v>10000000</x:v>
      </x:c>
      <x:c r="J2997" s="2" t="str">
        <x:v>total</x:v>
      </x:c>
      <x:c r="K2997" s="2" t="str">
        <x:v>top_level_area</x:v>
      </x:c>
      <x:c r="L2997" s="2" t="str">
        <x:v>property_type_inferred_from_title;transaction_assumed_sale_from_dataset_context</x:v>
      </x:c>
      <x:c r="M2997" s="10" t="n">
        <x:v>0</x:v>
      </x:c>
      <x:c r="N2997" s="10" t="n">
        <x:v>0</x:v>
      </x:c>
      <x:c r="O2997" s="2" t="str">
        <x:v>Long An|land</x:v>
      </x:c>
      <x:c r="P2997" s="10" t="n">
        <x:v>2</x:v>
      </x:c>
      <x:c r="Q2997" s="13" t="n">
        <x:f>IF(H2997="","",H2997/1000000000)</x:f>
        <x:v>0.8</x:v>
      </x:c>
      <x:c r="R2997" s="13" t="n">
        <x:f>IF(I2997="","",I2997/1000000)</x:f>
        <x:v>10</x:v>
      </x:c>
    </x:row>
    <x:row r="2998" ht="21" customHeight="1">
      <x:c r="A2998" s="10" t="n">
        <x:v>4101</x:v>
      </x:c>
      <x:c r="B2998" s="2" t="str">
        <x:v>ccc6ac3334d62f9368e8</x:v>
      </x:c>
      <x:c r="C2998" s="2" t="str">
        <x:v>Tp Hồ Chí Minh</x:v>
      </x:c>
      <x:c r="D2998" s="2" t="str">
        <x:v>Quận Tân Bình</x:v>
      </x:c>
      <x:c r="E2998" s="2" t="str">
        <x:v>house</x:v>
      </x:c>
      <x:c r="F2998" s="2" t="str">
        <x:v>sale</x:v>
      </x:c>
      <x:c r="G2998" s="11" t="n">
        <x:v>36</x:v>
      </x:c>
      <x:c r="H2998" s="12" t="n">
        <x:v>5690000000</x:v>
      </x:c>
      <x:c r="I2998" s="12" t="n">
        <x:v>158055555.55555555</x:v>
      </x:c>
      <x:c r="J2998" s="2" t="str">
        <x:v>total</x:v>
      </x:c>
      <x:c r="K2998" s="2" t="str">
        <x:v>top_level_area</x:v>
      </x:c>
      <x:c r="L2998" s="2" t="str">
        <x:v>property_type_inferred_from_title</x:v>
      </x:c>
      <x:c r="M2998" s="10" t="n">
        <x:v>0</x:v>
      </x:c>
      <x:c r="N2998" s="10" t="n">
        <x:v>0</x:v>
      </x:c>
      <x:c r="O2998" s="2" t="str">
        <x:v>Tp Hồ Chí Minh|house</x:v>
      </x:c>
      <x:c r="P2998" s="10" t="n">
        <x:v>2</x:v>
      </x:c>
      <x:c r="Q2998" s="13" t="n">
        <x:f>IF(H2998="","",H2998/1000000000)</x:f>
        <x:v>5.69</x:v>
      </x:c>
      <x:c r="R2998" s="13" t="n">
        <x:f>IF(I2998="","",I2998/1000000)</x:f>
        <x:v>158.05555555555554</x:v>
      </x:c>
    </x:row>
    <x:row r="2999" ht="21" customHeight="1">
      <x:c r="A2999" s="10" t="n">
        <x:v>4102</x:v>
      </x:c>
      <x:c r="B2999" s="2" t="str">
        <x:v>1ac8f8cfd569e8cc637e</x:v>
      </x:c>
      <x:c r="C2999" s="2" t="str">
        <x:v>Bình Dương</x:v>
      </x:c>
      <x:c r="D2999" s="2" t="str">
        <x:v>Huyện Bàu Bàng</x:v>
      </x:c>
      <x:c r="E2999" s="2" t="str">
        <x:v>other_unknown</x:v>
      </x:c>
      <x:c r="F2999" s="2" t="str">
        <x:v>sale_assumed</x:v>
      </x:c>
      <x:c r="G2999" s="11" t="n">
        <x:v>137</x:v>
      </x:c>
      <x:c r="H2999" s="12" t="n">
        <x:v>590000000</x:v>
      </x:c>
      <x:c r="I2999" s="12" t="n">
        <x:v>4306569.343065693</x:v>
      </x:c>
      <x:c r="J2999" s="2" t="str">
        <x:v>total</x:v>
      </x:c>
      <x:c r="K2999" s="2" t="str">
        <x:v>top_level_area</x:v>
      </x:c>
      <x:c r="L2999" s="2" t="str">
        <x:v>property_type_inferred_from_title;transaction_assumed_sale_from_dataset_context;unknown_property_type</x:v>
      </x:c>
      <x:c r="M2999" s="10" t="n">
        <x:v>0</x:v>
      </x:c>
      <x:c r="N2999" s="10" t="n">
        <x:v>0</x:v>
      </x:c>
      <x:c r="O2999" s="2" t="str">
        <x:v>Bình Dương|other_unknown</x:v>
      </x:c>
      <x:c r="P2999" s="10" t="n">
        <x:v>2</x:v>
      </x:c>
      <x:c r="Q2999" s="13" t="n">
        <x:f>IF(H2999="","",H2999/1000000000)</x:f>
        <x:v>0.59</x:v>
      </x:c>
      <x:c r="R2999" s="13" t="n">
        <x:f>IF(I2999="","",I2999/1000000)</x:f>
        <x:v>4.306569343065693</x:v>
      </x:c>
    </x:row>
    <x:row r="3000" ht="21" customHeight="1">
      <x:c r="A3000" s="10" t="n">
        <x:v>4103</x:v>
      </x:c>
      <x:c r="B3000" s="2" t="str">
        <x:v>27696719984bf5be48d3</x:v>
      </x:c>
      <x:c r="C3000" s="2" t="str">
        <x:v>Bến Tre</x:v>
      </x:c>
      <x:c r="D3000" s="2" t="str">
        <x:v>Thành phố Bến Tre</x:v>
      </x:c>
      <x:c r="E3000" s="2" t="str">
        <x:v>land</x:v>
      </x:c>
      <x:c r="F3000" s="2" t="str">
        <x:v>sale_assumed</x:v>
      </x:c>
      <x:c r="G3000" s="11" t="n">
        <x:v>207.5</x:v>
      </x:c>
      <x:c r="H3000" s="12" t="n">
        <x:v>1710000000</x:v>
      </x:c>
      <x:c r="I3000" s="12" t="n">
        <x:v>8240963.855421687</x:v>
      </x:c>
      <x:c r="J3000" s="2" t="str">
        <x:v>total</x:v>
      </x:c>
      <x:c r="K3000" s="2" t="str">
        <x:v>top_level_area</x:v>
      </x:c>
      <x:c r="L3000" s="2" t="str">
        <x:v>property_type_inferred_from_title;transaction_assumed_sale_from_dataset_context</x:v>
      </x:c>
      <x:c r="M3000" s="10" t="n">
        <x:v>0</x:v>
      </x:c>
      <x:c r="N3000" s="10" t="n">
        <x:v>0</x:v>
      </x:c>
      <x:c r="O3000" s="2" t="str">
        <x:v>Bến Tre|land</x:v>
      </x:c>
      <x:c r="P3000" s="10" t="n">
        <x:v>2</x:v>
      </x:c>
      <x:c r="Q3000" s="13" t="n">
        <x:f>IF(H3000="","",H3000/1000000000)</x:f>
        <x:v>1.71</x:v>
      </x:c>
      <x:c r="R3000" s="13" t="n">
        <x:f>IF(I3000="","",I3000/1000000)</x:f>
        <x:v>8.240963855421686</x:v>
      </x:c>
    </x:row>
    <x:row r="3001" ht="21" customHeight="1">
      <x:c r="A3001" s="10" t="n">
        <x:v>4104</x:v>
      </x:c>
      <x:c r="B3001" s="2" t="str">
        <x:v>89f74ff8568912ad8b58</x:v>
      </x:c>
      <x:c r="C3001" s="2" t="str">
        <x:v>Đắk Lắk</x:v>
      </x:c>
      <x:c r="D3001" s="2" t="str">
        <x:v>Thành phố Buôn Ma Thuột</x:v>
      </x:c>
      <x:c r="E3001" s="2" t="str">
        <x:v>land</x:v>
      </x:c>
      <x:c r="F3001" s="2" t="str">
        <x:v>sale_assumed</x:v>
      </x:c>
      <x:c r="G3001" s="11" t="n">
        <x:v>145</x:v>
      </x:c>
      <x:c r="H3001" s="12" t="n">
        <x:v>240000000</x:v>
      </x:c>
      <x:c r="I3001" s="12" t="n">
        <x:v>1655172.4137931035</x:v>
      </x:c>
      <x:c r="J3001" s="2" t="str">
        <x:v>total</x:v>
      </x:c>
      <x:c r="K3001" s="2" t="str">
        <x:v>top_level_area</x:v>
      </x:c>
      <x:c r="L3001" s="2" t="str">
        <x:v>property_type_inferred_from_title;transaction_assumed_sale_from_dataset_context</x:v>
      </x:c>
      <x:c r="M3001" s="10" t="n">
        <x:v>0</x:v>
      </x:c>
      <x:c r="N3001" s="10" t="n">
        <x:v>0</x:v>
      </x:c>
      <x:c r="O3001" s="2" t="str">
        <x:v>Đắk Lắk|land</x:v>
      </x:c>
      <x:c r="P3001" s="10" t="n">
        <x:v>1</x:v>
      </x:c>
      <x:c r="Q3001" s="13" t="n">
        <x:f>IF(H3001="","",H3001/1000000000)</x:f>
        <x:v>0.24</x:v>
      </x:c>
      <x:c r="R3001" s="13" t="n">
        <x:f>IF(I3001="","",I3001/1000000)</x:f>
        <x:v>1.6551724137931036</x:v>
      </x:c>
    </x:row>
    <x:row r="3002" ht="21" customHeight="1">
      <x:c r="A3002" s="10" t="n">
        <x:v>4105</x:v>
      </x:c>
      <x:c r="B3002" s="2" t="str">
        <x:v>95948dd7e291bcfd44b1</x:v>
      </x:c>
      <x:c r="C3002" s="2" t="str">
        <x:v>Bình Phước</x:v>
      </x:c>
      <x:c r="D3002" s="2" t="str">
        <x:v>Huyện Đồng Phú</x:v>
      </x:c>
      <x:c r="E3002" s="2" t="str">
        <x:v>land</x:v>
      </x:c>
      <x:c r="F3002" s="2" t="str">
        <x:v>sale_assumed</x:v>
      </x:c>
      <x:c r="G3002" s="11" t="n">
        <x:v>1000</x:v>
      </x:c>
      <x:c r="H3002" s="12" t="n">
        <x:v>300000000</x:v>
      </x:c>
      <x:c r="I3002" s="12" t="n">
        <x:v>300000</x:v>
      </x:c>
      <x:c r="J3002" s="2" t="str">
        <x:v>total</x:v>
      </x:c>
      <x:c r="K3002" s="2" t="str">
        <x:v>top_level_area</x:v>
      </x:c>
      <x:c r="L3002" s="2" t="str">
        <x:v>dot_thousands_convention;property_type_inferred_from_title;transaction_assumed_sale_from_dataset_context</x:v>
      </x:c>
      <x:c r="M3002" s="10" t="n">
        <x:v>0</x:v>
      </x:c>
      <x:c r="N3002" s="10" t="n">
        <x:v>0</x:v>
      </x:c>
      <x:c r="O3002" s="2" t="str">
        <x:v>Bình Phước|land</x:v>
      </x:c>
      <x:c r="P3002" s="10" t="n">
        <x:v>1</x:v>
      </x:c>
      <x:c r="Q3002" s="13" t="n">
        <x:f>IF(H3002="","",H3002/1000000000)</x:f>
        <x:v>0.3</x:v>
      </x:c>
      <x:c r="R3002" s="13" t="n">
        <x:f>IF(I3002="","",I3002/1000000)</x:f>
        <x:v>0.3</x:v>
      </x:c>
    </x:row>
    <x:row r="3003" ht="21" customHeight="1">
      <x:c r="A3003" s="10" t="n">
        <x:v>4106</x:v>
      </x:c>
      <x:c r="B3003" s="2" t="str">
        <x:v>8c62f8f4e8defa90ac36</x:v>
      </x:c>
      <x:c r="C3003" s="2" t="str">
        <x:v>Hà Nội</x:v>
      </x:c>
      <x:c r="D3003" s="2" t="str">
        <x:v>Quận Hai Bà Trưng</x:v>
      </x:c>
      <x:c r="E3003" s="2" t="str">
        <x:v>house</x:v>
      </x:c>
      <x:c r="F3003" s="2" t="str">
        <x:v>sale</x:v>
      </x:c>
      <x:c r="G3003" s="11" t="n">
        <x:v>25</x:v>
      </x:c>
      <x:c r="H3003" s="12" t="n">
        <x:v>2100000000</x:v>
      </x:c>
      <x:c r="I3003" s="12" t="n">
        <x:v>84000000</x:v>
      </x:c>
      <x:c r="J3003" s="2" t="str">
        <x:v>total</x:v>
      </x:c>
      <x:c r="K3003" s="2" t="str">
        <x:v>top_level_area</x:v>
      </x:c>
      <x:c r="L3003" s="2" t="str">
        <x:v>property_type_inferred_from_title</x:v>
      </x:c>
      <x:c r="M3003" s="10" t="n">
        <x:v>0</x:v>
      </x:c>
      <x:c r="N3003" s="10" t="n">
        <x:v>0</x:v>
      </x:c>
      <x:c r="O3003" s="2" t="str">
        <x:v>Hà Nội|house</x:v>
      </x:c>
      <x:c r="P3003" s="10" t="n">
        <x:v>2</x:v>
      </x:c>
      <x:c r="Q3003" s="13" t="n">
        <x:f>IF(H3003="","",H3003/1000000000)</x:f>
        <x:v>2.1</x:v>
      </x:c>
      <x:c r="R3003" s="13" t="n">
        <x:f>IF(I3003="","",I3003/1000000)</x:f>
        <x:v>84</x:v>
      </x:c>
    </x:row>
    <x:row r="3004" ht="21" customHeight="1">
      <x:c r="A3004" s="10" t="n">
        <x:v>4107</x:v>
      </x:c>
      <x:c r="B3004" s="2" t="str">
        <x:v>843c3f507ba82046bdef</x:v>
      </x:c>
      <x:c r="C3004" s="2" t="str">
        <x:v>Bình Dương</x:v>
      </x:c>
      <x:c r="D3004" s="2" t="str">
        <x:v>Huyện Dầu Tiếng</x:v>
      </x:c>
      <x:c r="E3004" s="2" t="str">
        <x:v>land</x:v>
      </x:c>
      <x:c r="F3004" s="2" t="str">
        <x:v>sale_assumed</x:v>
      </x:c>
      <x:c r="G3004" s="11" t="n">
        <x:v>251.8</x:v>
      </x:c>
      <x:c r="H3004" s="12" t="n">
        <x:v>700000000</x:v>
      </x:c>
      <x:c r="I3004" s="12" t="n">
        <x:v>2779984.114376489</x:v>
      </x:c>
      <x:c r="J3004" s="2" t="str">
        <x:v>total</x:v>
      </x:c>
      <x:c r="K3004" s="2" t="str">
        <x:v>top_level_area</x:v>
      </x:c>
      <x:c r="L3004" s="2" t="str">
        <x:v>property_type_inferred_from_title;transaction_assumed_sale_from_dataset_context</x:v>
      </x:c>
      <x:c r="M3004" s="10" t="n">
        <x:v>0</x:v>
      </x:c>
      <x:c r="N3004" s="10" t="n">
        <x:v>0</x:v>
      </x:c>
      <x:c r="O3004" s="2" t="str">
        <x:v>Bình Dương|land</x:v>
      </x:c>
      <x:c r="P3004" s="10" t="n">
        <x:v>1</x:v>
      </x:c>
      <x:c r="Q3004" s="13" t="n">
        <x:f>IF(H3004="","",H3004/1000000000)</x:f>
        <x:v>0.7</x:v>
      </x:c>
      <x:c r="R3004" s="13" t="n">
        <x:f>IF(I3004="","",I3004/1000000)</x:f>
        <x:v>2.779984114376489</x:v>
      </x:c>
    </x:row>
    <x:row r="3005" ht="21" customHeight="1">
      <x:c r="A3005" s="10" t="n">
        <x:v>4108</x:v>
      </x:c>
      <x:c r="B3005" s="2" t="str">
        <x:v>f0fa8a91ce6fa6a9aa72</x:v>
      </x:c>
      <x:c r="C3005" s="2" t="str">
        <x:v>Hà Nội</x:v>
      </x:c>
      <x:c r="D3005" s="2" t="str">
        <x:v>Quận Hai Bà Trưng</x:v>
      </x:c>
      <x:c r="E3005" s="2" t="str">
        <x:v>other_unknown</x:v>
      </x:c>
      <x:c r="F3005" s="2" t="str">
        <x:v>sale_assumed</x:v>
      </x:c>
      <x:c r="G3005" s="11" t="n">
        <x:v>30</x:v>
      </x:c>
      <x:c r="H3005" s="12" t="n">
        <x:v>1850000000</x:v>
      </x:c>
      <x:c r="I3005" s="12" t="n">
        <x:v>61666666.666666664</x:v>
      </x:c>
      <x:c r="J3005" s="2" t="str">
        <x:v>total</x:v>
      </x:c>
      <x:c r="K3005" s="2" t="str">
        <x:v>top_level_area</x:v>
      </x:c>
      <x:c r="L3005" s="2" t="str">
        <x:v>property_type_inferred_from_title;transaction_assumed_sale_from_dataset_context;unknown_property_type</x:v>
      </x:c>
      <x:c r="M3005" s="10" t="n">
        <x:v>0</x:v>
      </x:c>
      <x:c r="N3005" s="10" t="n">
        <x:v>0</x:v>
      </x:c>
      <x:c r="O3005" s="2" t="str">
        <x:v>Hà Nội|other_unknown</x:v>
      </x:c>
      <x:c r="P3005" s="10" t="n">
        <x:v>2</x:v>
      </x:c>
      <x:c r="Q3005" s="13" t="n">
        <x:f>IF(H3005="","",H3005/1000000000)</x:f>
        <x:v>1.85</x:v>
      </x:c>
      <x:c r="R3005" s="13" t="n">
        <x:f>IF(I3005="","",I3005/1000000)</x:f>
        <x:v>61.666666666666664</x:v>
      </x:c>
    </x:row>
    <x:row r="3006" ht="21" customHeight="1">
      <x:c r="A3006" s="10" t="n">
        <x:v>4109</x:v>
      </x:c>
      <x:c r="B3006" s="2" t="str">
        <x:v>ff5f5180267a7712349a</x:v>
      </x:c>
      <x:c r="C3006" s="2" t="str">
        <x:v>Đồng Nai</x:v>
      </x:c>
      <x:c r="D3006" s="2" t="str">
        <x:v>Thành phố Biên Hòa</x:v>
      </x:c>
      <x:c r="E3006" s="2" t="str">
        <x:v>house</x:v>
      </x:c>
      <x:c r="F3006" s="2" t="str">
        <x:v>sale_assumed</x:v>
      </x:c>
      <x:c r="G3006" s="11" t="n">
        <x:v>110</x:v>
      </x:c>
      <x:c r="H3006" s="12" t="n">
        <x:v>6300000000</x:v>
      </x:c>
      <x:c r="I3006" s="12" t="n">
        <x:v>57272727.27272727</x:v>
      </x:c>
      <x:c r="J3006" s="2" t="str">
        <x:v>total</x:v>
      </x:c>
      <x:c r="K3006" s="2" t="str">
        <x:v>top_level_area</x:v>
      </x:c>
      <x:c r="L3006" s="2" t="str">
        <x:v>property_type_inferred_from_title;transaction_assumed_sale_from_dataset_context</x:v>
      </x:c>
      <x:c r="M3006" s="10" t="n">
        <x:v>0</x:v>
      </x:c>
      <x:c r="N3006" s="10" t="n">
        <x:v>0</x:v>
      </x:c>
      <x:c r="O3006" s="2" t="str">
        <x:v>Đồng Nai|house</x:v>
      </x:c>
      <x:c r="P3006" s="10" t="n">
        <x:v>2</x:v>
      </x:c>
      <x:c r="Q3006" s="13" t="n">
        <x:f>IF(H3006="","",H3006/1000000000)</x:f>
        <x:v>6.3</x:v>
      </x:c>
      <x:c r="R3006" s="13" t="n">
        <x:f>IF(I3006="","",I3006/1000000)</x:f>
        <x:v>57.27272727272727</x:v>
      </x:c>
    </x:row>
    <x:row r="3007" ht="21" customHeight="1">
      <x:c r="A3007" s="10" t="n">
        <x:v>4110</x:v>
      </x:c>
      <x:c r="B3007" s="2" t="str">
        <x:v>705dbc200d39f0a710bd</x:v>
      </x:c>
      <x:c r="C3007" s="2" t="str">
        <x:v>Bến Tre</x:v>
      </x:c>
      <x:c r="D3007" s="2" t="str">
        <x:v>Huyện Mỏ Cày Bắc</x:v>
      </x:c>
      <x:c r="E3007" s="2" t="str">
        <x:v>land</x:v>
      </x:c>
      <x:c r="F3007" s="2" t="str">
        <x:v>sale_assumed</x:v>
      </x:c>
      <x:c r="G3007" s="11" t="n">
        <x:v>11720</x:v>
      </x:c>
      <x:c r="H3007" s="12" t="n">
        <x:v>1100000000</x:v>
      </x:c>
      <x:c r="I3007" s="12" t="n">
        <x:v>93856.65529010238</x:v>
      </x:c>
      <x:c r="J3007" s="2" t="str">
        <x:v>total</x:v>
      </x:c>
      <x:c r="K3007" s="2" t="str">
        <x:v>top_level_area</x:v>
      </x:c>
      <x:c r="L3007" s="2" t="str">
        <x:v>dot_thousands_convention;property_type_inferred_from_title;transaction_assumed_sale_from_dataset_context</x:v>
      </x:c>
      <x:c r="M3007" s="10" t="n">
        <x:v>0</x:v>
      </x:c>
      <x:c r="N3007" s="10" t="n">
        <x:v>0</x:v>
      </x:c>
      <x:c r="O3007" s="2" t="str">
        <x:v>Bến Tre|land</x:v>
      </x:c>
      <x:c r="P3007" s="10" t="n">
        <x:v>1</x:v>
      </x:c>
      <x:c r="Q3007" s="13" t="n">
        <x:f>IF(H3007="","",H3007/1000000000)</x:f>
        <x:v>1.1</x:v>
      </x:c>
      <x:c r="R3007" s="13" t="n">
        <x:f>IF(I3007="","",I3007/1000000)</x:f>
        <x:v>0.09385665529010238</x:v>
      </x:c>
    </x:row>
    <x:row r="3008" ht="21" customHeight="1">
      <x:c r="A3008" s="10" t="n">
        <x:v>4111</x:v>
      </x:c>
      <x:c r="B3008" s="2" t="str">
        <x:v>7b4141eedc87f3bcf2f3</x:v>
      </x:c>
      <x:c r="C3008" s="2" t="str">
        <x:v>Hà Nội</x:v>
      </x:c>
      <x:c r="D3008" s="2" t="str">
        <x:v>Quận Thanh Xuân</x:v>
      </x:c>
      <x:c r="E3008" s="2" t="str">
        <x:v>other_unknown</x:v>
      </x:c>
      <x:c r="F3008" s="2" t="str">
        <x:v>sale</x:v>
      </x:c>
      <x:c r="G3008" s="11" t="n">
        <x:v>55</x:v>
      </x:c>
      <x:c r="H3008" s="12" t="n">
        <x:v>7600000000</x:v>
      </x:c>
      <x:c r="I3008" s="12" t="n">
        <x:v>138181818.1818182</x:v>
      </x:c>
      <x:c r="J3008" s="2" t="str">
        <x:v>total</x:v>
      </x:c>
      <x:c r="K3008" s="2" t="str">
        <x:v>top_level_area</x:v>
      </x:c>
      <x:c r="L3008" s="2" t="str">
        <x:v>property_type_inferred_from_title;unknown_property_type</x:v>
      </x:c>
      <x:c r="M3008" s="10" t="n">
        <x:v>0</x:v>
      </x:c>
      <x:c r="N3008" s="10" t="n">
        <x:v>0</x:v>
      </x:c>
      <x:c r="O3008" s="2" t="str">
        <x:v>Hà Nội|other_unknown</x:v>
      </x:c>
      <x:c r="P3008" s="10" t="n">
        <x:v>2</x:v>
      </x:c>
      <x:c r="Q3008" s="13" t="n">
        <x:f>IF(H3008="","",H3008/1000000000)</x:f>
        <x:v>7.6</x:v>
      </x:c>
      <x:c r="R3008" s="13" t="n">
        <x:f>IF(I3008="","",I3008/1000000)</x:f>
        <x:v>138.1818181818182</x:v>
      </x:c>
    </x:row>
    <x:row r="3009" ht="21" customHeight="1">
      <x:c r="A3009" s="10" t="n">
        <x:v>4114</x:v>
      </x:c>
      <x:c r="B3009" s="2" t="str">
        <x:v>c362bd46c5ee7d21b9dc</x:v>
      </x:c>
      <x:c r="C3009" s="2" t="str">
        <x:v>Hà Nội</x:v>
      </x:c>
      <x:c r="D3009" s="2" t="str">
        <x:v>Quận Tây Hồ</x:v>
      </x:c>
      <x:c r="E3009" s="2" t="str">
        <x:v>house</x:v>
      </x:c>
      <x:c r="F3009" s="2" t="str">
        <x:v>sale_assumed</x:v>
      </x:c>
      <x:c r="G3009" s="11" t="n">
        <x:v>70</x:v>
      </x:c>
      <x:c r="H3009" s="12" t="n">
        <x:v>4000000000</x:v>
      </x:c>
      <x:c r="I3009" s="12" t="n">
        <x:v>57142857.14285714</x:v>
      </x:c>
      <x:c r="J3009" s="2" t="str">
        <x:v>total</x:v>
      </x:c>
      <x:c r="K3009" s="2" t="str">
        <x:v>top_level_area</x:v>
      </x:c>
      <x:c r="L3009" s="2" t="str">
        <x:v>property_type_inferred_from_title;transaction_assumed_sale_from_dataset_context</x:v>
      </x:c>
      <x:c r="M3009" s="10" t="n">
        <x:v>0</x:v>
      </x:c>
      <x:c r="N3009" s="10" t="n">
        <x:v>0</x:v>
      </x:c>
      <x:c r="O3009" s="2" t="str">
        <x:v>Hà Nội|house</x:v>
      </x:c>
      <x:c r="P3009" s="10" t="n">
        <x:v>2</x:v>
      </x:c>
      <x:c r="Q3009" s="13" t="n">
        <x:f>IF(H3009="","",H3009/1000000000)</x:f>
        <x:v>4</x:v>
      </x:c>
      <x:c r="R3009" s="13" t="n">
        <x:f>IF(I3009="","",I3009/1000000)</x:f>
        <x:v>57.14285714285714</x:v>
      </x:c>
    </x:row>
    <x:row r="3010" ht="21" customHeight="1">
      <x:c r="A3010" s="10" t="n">
        <x:v>4115</x:v>
      </x:c>
      <x:c r="B3010" s="2" t="str">
        <x:v>9d58de8b348fcc0ca122</x:v>
      </x:c>
      <x:c r="C3010" s="2" t="str">
        <x:v>Hà Nội</x:v>
      </x:c>
      <x:c r="D3010" s="2" t="str">
        <x:v>Quận Hà Đông</x:v>
      </x:c>
      <x:c r="E3010" s="2" t="str">
        <x:v>other_unknown</x:v>
      </x:c>
      <x:c r="F3010" s="2" t="str">
        <x:v>sale_assumed</x:v>
      </x:c>
      <x:c r="G3010" s="11" t="n">
        <x:v>30</x:v>
      </x:c>
      <x:c r="H3010" s="12" t="n">
        <x:v>1300000000</x:v>
      </x:c>
      <x:c r="I3010" s="12" t="n">
        <x:v>43333333.333333336</x:v>
      </x:c>
      <x:c r="J3010" s="2" t="str">
        <x:v>total</x:v>
      </x:c>
      <x:c r="K3010" s="2" t="str">
        <x:v>top_level_area</x:v>
      </x:c>
      <x:c r="L3010" s="2" t="str">
        <x:v>property_type_inferred_from_title;transaction_assumed_sale_from_dataset_context;unknown_property_type</x:v>
      </x:c>
      <x:c r="M3010" s="10" t="n">
        <x:v>0</x:v>
      </x:c>
      <x:c r="N3010" s="10" t="n">
        <x:v>0</x:v>
      </x:c>
      <x:c r="O3010" s="2" t="str">
        <x:v>Hà Nội|other_unknown</x:v>
      </x:c>
      <x:c r="P3010" s="10" t="n">
        <x:v>2</x:v>
      </x:c>
      <x:c r="Q3010" s="13" t="n">
        <x:f>IF(H3010="","",H3010/1000000000)</x:f>
        <x:v>1.3</x:v>
      </x:c>
      <x:c r="R3010" s="13" t="n">
        <x:f>IF(I3010="","",I3010/1000000)</x:f>
        <x:v>43.333333333333336</x:v>
      </x:c>
    </x:row>
    <x:row r="3011" ht="21" customHeight="1">
      <x:c r="A3011" s="10" t="n">
        <x:v>4116</x:v>
      </x:c>
      <x:c r="B3011" s="2" t="str">
        <x:v>80409ac878148e86d7f0</x:v>
      </x:c>
      <x:c r="C3011" s="2" t="str">
        <x:v>Đà Nẵng</x:v>
      </x:c>
      <x:c r="D3011" s="2" t="str">
        <x:v>Quận Thanh Khê</x:v>
      </x:c>
      <x:c r="E3011" s="2" t="str">
        <x:v>house</x:v>
      </x:c>
      <x:c r="F3011" s="2" t="str">
        <x:v>sale</x:v>
      </x:c>
      <x:c r="G3011" s="11" t="n">
        <x:v>40</x:v>
      </x:c>
      <x:c r="H3011" s="12" t="n">
        <x:v>1870000000</x:v>
      </x:c>
      <x:c r="I3011" s="12" t="n">
        <x:v>46750000</x:v>
      </x:c>
      <x:c r="J3011" s="2" t="str">
        <x:v>total</x:v>
      </x:c>
      <x:c r="K3011" s="2" t="str">
        <x:v>top_level_area</x:v>
      </x:c>
      <x:c r="L3011" s="2" t="str">
        <x:v>property_type_inferred_from_title</x:v>
      </x:c>
      <x:c r="M3011" s="10" t="n">
        <x:v>0</x:v>
      </x:c>
      <x:c r="N3011" s="10" t="n">
        <x:v>0</x:v>
      </x:c>
      <x:c r="O3011" s="2" t="str">
        <x:v>Đà Nẵng|house</x:v>
      </x:c>
      <x:c r="P3011" s="10" t="n">
        <x:v>2</x:v>
      </x:c>
      <x:c r="Q3011" s="13" t="n">
        <x:f>IF(H3011="","",H3011/1000000000)</x:f>
        <x:v>1.87</x:v>
      </x:c>
      <x:c r="R3011" s="13" t="n">
        <x:f>IF(I3011="","",I3011/1000000)</x:f>
        <x:v>46.75</x:v>
      </x:c>
    </x:row>
    <x:row r="3012" ht="21" customHeight="1">
      <x:c r="A3012" s="10" t="n">
        <x:v>4117</x:v>
      </x:c>
      <x:c r="B3012" s="2" t="str">
        <x:v>80a7ad4a5747dc5ced70</x:v>
      </x:c>
      <x:c r="C3012" s="2" t="str">
        <x:v>Hải Phòng</x:v>
      </x:c>
      <x:c r="D3012" s="2" t="str">
        <x:v>Quận Lê Chân</x:v>
      </x:c>
      <x:c r="E3012" s="2" t="str">
        <x:v>land</x:v>
      </x:c>
      <x:c r="F3012" s="2" t="str">
        <x:v>sale</x:v>
      </x:c>
      <x:c r="G3012" s="11" t="n">
        <x:v>60</x:v>
      </x:c>
      <x:c r="H3012" s="12" t="n">
        <x:v>40000000</x:v>
      </x:c>
      <x:c r="I3012" s="12" t="n">
        <x:v>666666.6666666666</x:v>
      </x:c>
      <x:c r="J3012" s="2" t="str">
        <x:v>total</x:v>
      </x:c>
      <x:c r="K3012" s="2" t="str">
        <x:v>top_level_area</x:v>
      </x:c>
      <x:c r="L3012" s="2" t="str">
        <x:v>property_type_inferred_from_title</x:v>
      </x:c>
      <x:c r="M3012" s="10" t="n">
        <x:v>0</x:v>
      </x:c>
      <x:c r="N3012" s="10" t="n">
        <x:v>0</x:v>
      </x:c>
      <x:c r="O3012" s="2" t="str">
        <x:v>land</x:v>
      </x:c>
      <x:c r="P3012" s="10" t="n">
        <x:v>1</x:v>
      </x:c>
      <x:c r="Q3012" s="13" t="n">
        <x:f>IF(H3012="","",H3012/1000000000)</x:f>
        <x:v>0.04</x:v>
      </x:c>
      <x:c r="R3012" s="13" t="n">
        <x:f>IF(I3012="","",I3012/1000000)</x:f>
        <x:v>0.6666666666666666</x:v>
      </x:c>
    </x:row>
    <x:row r="3013" ht="21" customHeight="1">
      <x:c r="A3013" s="10" t="n">
        <x:v>4118</x:v>
      </x:c>
      <x:c r="B3013" s="2" t="str">
        <x:v>30944f47f58cd1e3eedf</x:v>
      </x:c>
      <x:c r="C3013" s="2" t="str">
        <x:v>Tp Hồ Chí Minh</x:v>
      </x:c>
      <x:c r="D3013" s="2" t="str">
        <x:v>Quận Bình Tân</x:v>
      </x:c>
      <x:c r="E3013" s="2" t="str">
        <x:v>house</x:v>
      </x:c>
      <x:c r="F3013" s="2" t="str">
        <x:v>sale</x:v>
      </x:c>
      <x:c r="G3013" s="11" t="n">
        <x:v>162</x:v>
      </x:c>
      <x:c r="H3013" s="12" t="n">
        <x:v>9000000000</x:v>
      </x:c>
      <x:c r="I3013" s="12" t="n">
        <x:v>55555555.55555555</x:v>
      </x:c>
      <x:c r="J3013" s="2" t="str">
        <x:v>total</x:v>
      </x:c>
      <x:c r="K3013" s="2" t="str">
        <x:v>top_level_area</x:v>
      </x:c>
      <x:c r="L3013" s="2" t="str">
        <x:v>property_type_inferred_from_title</x:v>
      </x:c>
      <x:c r="M3013" s="10" t="n">
        <x:v>0</x:v>
      </x:c>
      <x:c r="N3013" s="10" t="n">
        <x:v>0</x:v>
      </x:c>
      <x:c r="O3013" s="2" t="str">
        <x:v>Tp Hồ Chí Minh|house</x:v>
      </x:c>
      <x:c r="P3013" s="10" t="n">
        <x:v>2</x:v>
      </x:c>
      <x:c r="Q3013" s="13" t="n">
        <x:f>IF(H3013="","",H3013/1000000000)</x:f>
        <x:v>9</x:v>
      </x:c>
      <x:c r="R3013" s="13" t="n">
        <x:f>IF(I3013="","",I3013/1000000)</x:f>
        <x:v>55.55555555555555</x:v>
      </x:c>
    </x:row>
    <x:row r="3014" ht="21" customHeight="1">
      <x:c r="A3014" s="10" t="n">
        <x:v>4119</x:v>
      </x:c>
      <x:c r="B3014" s="2" t="str">
        <x:v>8ceb5f1b8c30f36bb65e</x:v>
      </x:c>
      <x:c r="C3014" s="2" t="str">
        <x:v>Chưa xác định</x:v>
      </x:c>
      <x:c r="D3014" s="2" t="str">
        <x:v>Chưa xác định</x:v>
      </x:c>
      <x:c r="E3014" s="2" t="str">
        <x:v>house</x:v>
      </x:c>
      <x:c r="F3014" s="2" t="str">
        <x:v>sale</x:v>
      </x:c>
      <x:c r="G3014" s="11" t="n">
        <x:v>25</x:v>
      </x:c>
      <x:c r="H3014" s="12" t="n">
        <x:v>520000000</x:v>
      </x:c>
      <x:c r="I3014" s="12" t="n">
        <x:v>20800000</x:v>
      </x:c>
      <x:c r="J3014" s="2" t="str">
        <x:v>total</x:v>
      </x:c>
      <x:c r="K3014" s="2" t="str">
        <x:v>top_level_area</x:v>
      </x:c>
      <x:c r="L3014" s="2" t="str">
        <x:v>property_type_inferred_from_title;unknown_district;unknown_province</x:v>
      </x:c>
      <x:c r="M3014" s="10" t="n">
        <x:v>0</x:v>
      </x:c>
      <x:c r="N3014" s="10" t="n">
        <x:v>0</x:v>
      </x:c>
      <x:c r="O3014" s="2" t="str">
        <x:v>house</x:v>
      </x:c>
      <x:c r="P3014" s="10" t="n">
        <x:v>2</x:v>
      </x:c>
      <x:c r="Q3014" s="13" t="n">
        <x:f>IF(H3014="","",H3014/1000000000)</x:f>
        <x:v>0.52</x:v>
      </x:c>
      <x:c r="R3014" s="13" t="n">
        <x:f>IF(I3014="","",I3014/1000000)</x:f>
        <x:v>20.8</x:v>
      </x:c>
    </x:row>
    <x:row r="3015" ht="21" customHeight="1">
      <x:c r="A3015" s="10" t="n">
        <x:v>4120</x:v>
      </x:c>
      <x:c r="B3015" s="2" t="str">
        <x:v>419392ccb45b75845a9f</x:v>
      </x:c>
      <x:c r="C3015" s="2" t="str">
        <x:v>Lâm Đồng</x:v>
      </x:c>
      <x:c r="D3015" s="2" t="str">
        <x:v>Huyện Bảo Lâm</x:v>
      </x:c>
      <x:c r="E3015" s="2" t="str">
        <x:v>land</x:v>
      </x:c>
      <x:c r="F3015" s="2" t="str">
        <x:v>sale</x:v>
      </x:c>
      <x:c r="G3015" s="11" t="n">
        <x:v>313</x:v>
      </x:c>
      <x:c r="H3015" s="12" t="n">
        <x:v>1900000000</x:v>
      </x:c>
      <x:c r="I3015" s="12" t="n">
        <x:v>6070287.539936102</x:v>
      </x:c>
      <x:c r="J3015" s="2" t="str">
        <x:v>total</x:v>
      </x:c>
      <x:c r="K3015" s="2" t="str">
        <x:v>top_level_area</x:v>
      </x:c>
      <x:c r="L3015" s="2" t="str">
        <x:v>property_type_inferred_from_title</x:v>
      </x:c>
      <x:c r="M3015" s="10" t="n">
        <x:v>0</x:v>
      </x:c>
      <x:c r="N3015" s="10" t="n">
        <x:v>0</x:v>
      </x:c>
      <x:c r="O3015" s="2" t="str">
        <x:v>Lâm Đồng|land</x:v>
      </x:c>
      <x:c r="P3015" s="10" t="n">
        <x:v>1</x:v>
      </x:c>
      <x:c r="Q3015" s="13" t="n">
        <x:f>IF(H3015="","",H3015/1000000000)</x:f>
        <x:v>1.9</x:v>
      </x:c>
      <x:c r="R3015" s="13" t="n">
        <x:f>IF(I3015="","",I3015/1000000)</x:f>
        <x:v>6.070287539936102</x:v>
      </x:c>
    </x:row>
    <x:row r="3016" ht="21" customHeight="1">
      <x:c r="A3016" s="10" t="n">
        <x:v>4121</x:v>
      </x:c>
      <x:c r="B3016" s="2" t="str">
        <x:v>985abfec68ac44069b69</x:v>
      </x:c>
      <x:c r="C3016" s="2" t="str">
        <x:v>Hà Nội</x:v>
      </x:c>
      <x:c r="D3016" s="2" t="str">
        <x:v>Quận Cầu Giấy</x:v>
      </x:c>
      <x:c r="E3016" s="2" t="str">
        <x:v>house</x:v>
      </x:c>
      <x:c r="F3016" s="2" t="str">
        <x:v>sale</x:v>
      </x:c>
      <x:c r="G3016" s="11" t="n">
        <x:v>39</x:v>
      </x:c>
      <x:c r="H3016" s="12" t="n">
        <x:v>3130000000</x:v>
      </x:c>
      <x:c r="I3016" s="12" t="n">
        <x:v>80256410.25641026</x:v>
      </x:c>
      <x:c r="J3016" s="2" t="str">
        <x:v>total</x:v>
      </x:c>
      <x:c r="K3016" s="2" t="str">
        <x:v>top_level_area</x:v>
      </x:c>
      <x:c r="L3016" s="2" t="str">
        <x:v>property_type_inferred_from_title</x:v>
      </x:c>
      <x:c r="M3016" s="10" t="n">
        <x:v>0</x:v>
      </x:c>
      <x:c r="N3016" s="10" t="n">
        <x:v>0</x:v>
      </x:c>
      <x:c r="O3016" s="2" t="str">
        <x:v>Hà Nội|house</x:v>
      </x:c>
      <x:c r="P3016" s="10" t="n">
        <x:v>2</x:v>
      </x:c>
      <x:c r="Q3016" s="13" t="n">
        <x:f>IF(H3016="","",H3016/1000000000)</x:f>
        <x:v>3.13</x:v>
      </x:c>
      <x:c r="R3016" s="13" t="n">
        <x:f>IF(I3016="","",I3016/1000000)</x:f>
        <x:v>80.25641025641026</x:v>
      </x:c>
    </x:row>
    <x:row r="3017" ht="21" customHeight="1">
      <x:c r="A3017" s="10" t="n">
        <x:v>4122</x:v>
      </x:c>
      <x:c r="B3017" s="2" t="str">
        <x:v>d5d8242ee86744f299b0</x:v>
      </x:c>
      <x:c r="C3017" s="2" t="str">
        <x:v>Đà Nẵng</x:v>
      </x:c>
      <x:c r="D3017" s="2" t="str">
        <x:v>Quận Sơn Trà</x:v>
      </x:c>
      <x:c r="E3017" s="2" t="str">
        <x:v>house</x:v>
      </x:c>
      <x:c r="F3017" s="2" t="str">
        <x:v>sale_assumed</x:v>
      </x:c>
      <x:c r="G3017" s="11" t="n">
        <x:v>115</x:v>
      </x:c>
      <x:c r="H3017" s="12" t="n">
        <x:v>4300000000</x:v>
      </x:c>
      <x:c r="I3017" s="12" t="n">
        <x:v>37391304.347826086</x:v>
      </x:c>
      <x:c r="J3017" s="2" t="str">
        <x:v>total</x:v>
      </x:c>
      <x:c r="K3017" s="2" t="str">
        <x:v>top_level_area</x:v>
      </x:c>
      <x:c r="L3017" s="2" t="str">
        <x:v>property_type_inferred_from_title;transaction_assumed_sale_from_dataset_context</x:v>
      </x:c>
      <x:c r="M3017" s="10" t="n">
        <x:v>0</x:v>
      </x:c>
      <x:c r="N3017" s="10" t="n">
        <x:v>0</x:v>
      </x:c>
      <x:c r="O3017" s="2" t="str">
        <x:v>Đà Nẵng|house</x:v>
      </x:c>
      <x:c r="P3017" s="10" t="n">
        <x:v>2</x:v>
      </x:c>
      <x:c r="Q3017" s="13" t="n">
        <x:f>IF(H3017="","",H3017/1000000000)</x:f>
        <x:v>4.3</x:v>
      </x:c>
      <x:c r="R3017" s="13" t="n">
        <x:f>IF(I3017="","",I3017/1000000)</x:f>
        <x:v>37.391304347826086</x:v>
      </x:c>
    </x:row>
    <x:row r="3018" ht="21" customHeight="1">
      <x:c r="A3018" s="10" t="n">
        <x:v>4123</x:v>
      </x:c>
      <x:c r="B3018" s="2" t="str">
        <x:v>2888392a63b2cedd3853</x:v>
      </x:c>
      <x:c r="C3018" s="2" t="str">
        <x:v>Bến Tre</x:v>
      </x:c>
      <x:c r="D3018" s="2" t="str">
        <x:v>Thành phố Bến Tre</x:v>
      </x:c>
      <x:c r="E3018" s="2" t="str">
        <x:v>land</x:v>
      </x:c>
      <x:c r="F3018" s="2" t="str">
        <x:v>sale_assumed</x:v>
      </x:c>
      <x:c r="G3018" s="11" t="n">
        <x:v>115</x:v>
      </x:c>
      <x:c r="H3018" s="12" t="n">
        <x:v>560000000</x:v>
      </x:c>
      <x:c r="I3018" s="12" t="n">
        <x:v>4869565.217391305</x:v>
      </x:c>
      <x:c r="J3018" s="2" t="str">
        <x:v>total</x:v>
      </x:c>
      <x:c r="K3018" s="2" t="str">
        <x:v>top_level_area</x:v>
      </x:c>
      <x:c r="L3018" s="2" t="str">
        <x:v>property_type_inferred_from_title;transaction_assumed_sale_from_dataset_context</x:v>
      </x:c>
      <x:c r="M3018" s="10" t="n">
        <x:v>0</x:v>
      </x:c>
      <x:c r="N3018" s="10" t="n">
        <x:v>0</x:v>
      </x:c>
      <x:c r="O3018" s="2" t="str">
        <x:v>Bến Tre|land</x:v>
      </x:c>
      <x:c r="P3018" s="10" t="n">
        <x:v>2</x:v>
      </x:c>
      <x:c r="Q3018" s="13" t="n">
        <x:f>IF(H3018="","",H3018/1000000000)</x:f>
        <x:v>0.56</x:v>
      </x:c>
      <x:c r="R3018" s="13" t="n">
        <x:f>IF(I3018="","",I3018/1000000)</x:f>
        <x:v>4.869565217391305</x:v>
      </x:c>
    </x:row>
    <x:row r="3019" ht="21" customHeight="1">
      <x:c r="A3019" s="10" t="n">
        <x:v>4124</x:v>
      </x:c>
      <x:c r="B3019" s="2" t="str">
        <x:v>4837c11238c39d621654</x:v>
      </x:c>
      <x:c r="C3019" s="2" t="str">
        <x:v>Tp Hồ Chí Minh</x:v>
      </x:c>
      <x:c r="D3019" s="2" t="str">
        <x:v>Quận Bình Tân</x:v>
      </x:c>
      <x:c r="E3019" s="2" t="str">
        <x:v>house</x:v>
      </x:c>
      <x:c r="F3019" s="2" t="str">
        <x:v>sale</x:v>
      </x:c>
      <x:c r="G3019" s="11" t="n">
        <x:v>80</x:v>
      </x:c>
      <x:c r="H3019" s="12" t="n">
        <x:v>4200000000</x:v>
      </x:c>
      <x:c r="I3019" s="12" t="n">
        <x:v>52500000</x:v>
      </x:c>
      <x:c r="J3019" s="2" t="str">
        <x:v>total</x:v>
      </x:c>
      <x:c r="K3019" s="2" t="str">
        <x:v>top_level_area</x:v>
      </x:c>
      <x:c r="L3019" s="2" t="str">
        <x:v>property_type_inferred_from_title</x:v>
      </x:c>
      <x:c r="M3019" s="10" t="n">
        <x:v>0</x:v>
      </x:c>
      <x:c r="N3019" s="10" t="n">
        <x:v>0</x:v>
      </x:c>
      <x:c r="O3019" s="2" t="str">
        <x:v>Tp Hồ Chí Minh|house</x:v>
      </x:c>
      <x:c r="P3019" s="10" t="n">
        <x:v>2</x:v>
      </x:c>
      <x:c r="Q3019" s="13" t="n">
        <x:f>IF(H3019="","",H3019/1000000000)</x:f>
        <x:v>4.2</x:v>
      </x:c>
      <x:c r="R3019" s="13" t="n">
        <x:f>IF(I3019="","",I3019/1000000)</x:f>
        <x:v>52.5</x:v>
      </x:c>
    </x:row>
    <x:row r="3020" ht="21" customHeight="1">
      <x:c r="A3020" s="10" t="n">
        <x:v>4125</x:v>
      </x:c>
      <x:c r="B3020" s="2" t="str">
        <x:v>d660f1c056e919364e0c</x:v>
      </x:c>
      <x:c r="C3020" s="2" t="str">
        <x:v>Hà Nội</x:v>
      </x:c>
      <x:c r="D3020" s="2" t="str">
        <x:v>Quận Long Biên</x:v>
      </x:c>
      <x:c r="E3020" s="2" t="str">
        <x:v>house</x:v>
      </x:c>
      <x:c r="F3020" s="2" t="str">
        <x:v>sale_assumed</x:v>
      </x:c>
      <x:c r="G3020" s="11" t="n">
        <x:v>34</x:v>
      </x:c>
      <x:c r="H3020" s="12" t="n">
        <x:v>2150000000</x:v>
      </x:c>
      <x:c r="I3020" s="12" t="n">
        <x:v>63235294.11764706</x:v>
      </x:c>
      <x:c r="J3020" s="2" t="str">
        <x:v>total</x:v>
      </x:c>
      <x:c r="K3020" s="2" t="str">
        <x:v>top_level_area</x:v>
      </x:c>
      <x:c r="L3020" s="2" t="str">
        <x:v>property_type_inferred_from_title;transaction_assumed_sale_from_dataset_context</x:v>
      </x:c>
      <x:c r="M3020" s="10" t="n">
        <x:v>0</x:v>
      </x:c>
      <x:c r="N3020" s="10" t="n">
        <x:v>0</x:v>
      </x:c>
      <x:c r="O3020" s="2" t="str">
        <x:v>Hà Nội|house</x:v>
      </x:c>
      <x:c r="P3020" s="10" t="n">
        <x:v>2</x:v>
      </x:c>
      <x:c r="Q3020" s="13" t="n">
        <x:f>IF(H3020="","",H3020/1000000000)</x:f>
        <x:v>2.15</x:v>
      </x:c>
      <x:c r="R3020" s="13" t="n">
        <x:f>IF(I3020="","",I3020/1000000)</x:f>
        <x:v>63.23529411764706</x:v>
      </x:c>
    </x:row>
    <x:row r="3021" ht="21" customHeight="1">
      <x:c r="A3021" s="10" t="n">
        <x:v>4126</x:v>
      </x:c>
      <x:c r="B3021" s="2" t="str">
        <x:v>540d01b48f7737ba056b</x:v>
      </x:c>
      <x:c r="C3021" s="2" t="str">
        <x:v>Long An</x:v>
      </x:c>
      <x:c r="D3021" s="2" t="str">
        <x:v>Huyện Đức Hòa</x:v>
      </x:c>
      <x:c r="E3021" s="2" t="str">
        <x:v>house</x:v>
      </x:c>
      <x:c r="F3021" s="2" t="str">
        <x:v>sale</x:v>
      </x:c>
      <x:c r="G3021" s="11" t="n">
        <x:v>40</x:v>
      </x:c>
      <x:c r="H3021" s="12" t="n">
        <x:v>320000000</x:v>
      </x:c>
      <x:c r="I3021" s="12" t="n">
        <x:v>8000000</x:v>
      </x:c>
      <x:c r="J3021" s="2" t="str">
        <x:v>total</x:v>
      </x:c>
      <x:c r="K3021" s="2" t="str">
        <x:v>top_level_area</x:v>
      </x:c>
      <x:c r="L3021" s="2" t="str">
        <x:v>property_type_inferred_from_title</x:v>
      </x:c>
      <x:c r="M3021" s="10" t="n">
        <x:v>0</x:v>
      </x:c>
      <x:c r="N3021" s="10" t="n">
        <x:v>0</x:v>
      </x:c>
      <x:c r="O3021" s="2" t="str">
        <x:v>Long An|house</x:v>
      </x:c>
      <x:c r="P3021" s="10" t="n">
        <x:v>2</x:v>
      </x:c>
      <x:c r="Q3021" s="13" t="n">
        <x:f>IF(H3021="","",H3021/1000000000)</x:f>
        <x:v>0.32</x:v>
      </x:c>
      <x:c r="R3021" s="13" t="n">
        <x:f>IF(I3021="","",I3021/1000000)</x:f>
        <x:v>8</x:v>
      </x:c>
    </x:row>
    <x:row r="3022" ht="21" customHeight="1">
      <x:c r="A3022" s="10" t="n">
        <x:v>4127</x:v>
      </x:c>
      <x:c r="B3022" s="2" t="str">
        <x:v>559eb8b292f8cbf3eff7</x:v>
      </x:c>
      <x:c r="C3022" s="2" t="str">
        <x:v>Khánh Hòa</x:v>
      </x:c>
      <x:c r="D3022" s="2" t="str">
        <x:v>Thành phố Nha Trang</x:v>
      </x:c>
      <x:c r="E3022" s="2" t="str">
        <x:v>house</x:v>
      </x:c>
      <x:c r="F3022" s="2" t="str">
        <x:v>sale</x:v>
      </x:c>
      <x:c r="G3022" s="11" t="n">
        <x:v>26</x:v>
      </x:c>
      <x:c r="H3022" s="12" t="n">
        <x:v>1450000000</x:v>
      </x:c>
      <x:c r="I3022" s="12" t="n">
        <x:v>55769230.76923077</x:v>
      </x:c>
      <x:c r="J3022" s="2" t="str">
        <x:v>total</x:v>
      </x:c>
      <x:c r="K3022" s="2" t="str">
        <x:v>top_level_area</x:v>
      </x:c>
      <x:c r="L3022" s="2" t="str">
        <x:v>property_type_inferred_from_title</x:v>
      </x:c>
      <x:c r="M3022" s="10" t="n">
        <x:v>0</x:v>
      </x:c>
      <x:c r="N3022" s="10" t="n">
        <x:v>0</x:v>
      </x:c>
      <x:c r="O3022" s="2" t="str">
        <x:v>Khánh Hòa|house</x:v>
      </x:c>
      <x:c r="P3022" s="10" t="n">
        <x:v>2</x:v>
      </x:c>
      <x:c r="Q3022" s="13" t="n">
        <x:f>IF(H3022="","",H3022/1000000000)</x:f>
        <x:v>1.45</x:v>
      </x:c>
      <x:c r="R3022" s="13" t="n">
        <x:f>IF(I3022="","",I3022/1000000)</x:f>
        <x:v>55.76923076923077</x:v>
      </x:c>
    </x:row>
    <x:row r="3023" ht="21" customHeight="1">
      <x:c r="A3023" s="10" t="n">
        <x:v>4128</x:v>
      </x:c>
      <x:c r="B3023" s="2" t="str">
        <x:v>a7c79d113b32f1ed6618</x:v>
      </x:c>
      <x:c r="C3023" s="2" t="str">
        <x:v>Hà Nội</x:v>
      </x:c>
      <x:c r="D3023" s="2" t="str">
        <x:v>Quận Nam Từ Liêm</x:v>
      </x:c>
      <x:c r="E3023" s="2" t="str">
        <x:v>other_unknown</x:v>
      </x:c>
      <x:c r="F3023" s="2" t="str">
        <x:v>sale_assumed</x:v>
      </x:c>
      <x:c r="G3023" s="11" t="n">
        <x:v>54.1</x:v>
      </x:c>
      <x:c r="H3023" s="12" t="n">
        <x:v>1583000000</x:v>
      </x:c>
      <x:c r="I3023" s="12" t="n">
        <x:v>29260628.465804067</x:v>
      </x:c>
      <x:c r="J3023" s="2" t="str">
        <x:v>total</x:v>
      </x:c>
      <x:c r="K3023" s="2" t="str">
        <x:v>top_level_area</x:v>
      </x:c>
      <x:c r="L3023" s="2" t="str">
        <x:v>property_type_inferred_from_title;transaction_assumed_sale_from_dataset_context;unknown_property_type</x:v>
      </x:c>
      <x:c r="M3023" s="10" t="n">
        <x:v>0</x:v>
      </x:c>
      <x:c r="N3023" s="10" t="n">
        <x:v>0</x:v>
      </x:c>
      <x:c r="O3023" s="2" t="str">
        <x:v>Hà Nội|other_unknown</x:v>
      </x:c>
      <x:c r="P3023" s="10" t="n">
        <x:v>2</x:v>
      </x:c>
      <x:c r="Q3023" s="13" t="n">
        <x:f>IF(H3023="","",H3023/1000000000)</x:f>
        <x:v>1.583</x:v>
      </x:c>
      <x:c r="R3023" s="13" t="n">
        <x:f>IF(I3023="","",I3023/1000000)</x:f>
        <x:v>29.260628465804068</x:v>
      </x:c>
    </x:row>
    <x:row r="3024" ht="21" customHeight="1">
      <x:c r="A3024" s="10" t="n">
        <x:v>4129</x:v>
      </x:c>
      <x:c r="B3024" s="2" t="str">
        <x:v>da87bec5314c058fa51a</x:v>
      </x:c>
      <x:c r="C3024" s="2" t="str">
        <x:v>Tp Hồ Chí Minh</x:v>
      </x:c>
      <x:c r="D3024" s="2" t="str">
        <x:v>Huyện Củ Chi</x:v>
      </x:c>
      <x:c r="E3024" s="2" t="str">
        <x:v>land</x:v>
      </x:c>
      <x:c r="F3024" s="2" t="str">
        <x:v>sale_assumed</x:v>
      </x:c>
      <x:c r="G3024" s="11" t="n">
        <x:v>3587</x:v>
      </x:c>
      <x:c r="H3024" s="12" t="n">
        <x:v>3800000000</x:v>
      </x:c>
      <x:c r="I3024" s="12" t="n">
        <x:v>1059381.0984109284</x:v>
      </x:c>
      <x:c r="J3024" s="2" t="str">
        <x:v>total</x:v>
      </x:c>
      <x:c r="K3024" s="2" t="str">
        <x:v>top_level_area</x:v>
      </x:c>
      <x:c r="L3024" s="2" t="str">
        <x:v>dot_thousands_convention;property_type_inferred_from_title;transaction_assumed_sale_from_dataset_context</x:v>
      </x:c>
      <x:c r="M3024" s="10" t="n">
        <x:v>0</x:v>
      </x:c>
      <x:c r="N3024" s="10" t="n">
        <x:v>0</x:v>
      </x:c>
      <x:c r="O3024" s="2" t="str">
        <x:v>Tp Hồ Chí Minh|land</x:v>
      </x:c>
      <x:c r="P3024" s="10" t="n">
        <x:v>1</x:v>
      </x:c>
      <x:c r="Q3024" s="13" t="n">
        <x:f>IF(H3024="","",H3024/1000000000)</x:f>
        <x:v>3.8</x:v>
      </x:c>
      <x:c r="R3024" s="13" t="n">
        <x:f>IF(I3024="","",I3024/1000000)</x:f>
        <x:v>1.0593810984109284</x:v>
      </x:c>
    </x:row>
    <x:row r="3025" ht="21" customHeight="1">
      <x:c r="A3025" s="10" t="n">
        <x:v>4130</x:v>
      </x:c>
      <x:c r="B3025" s="2" t="str">
        <x:v>59f5834206ffda54e12c</x:v>
      </x:c>
      <x:c r="C3025" s="2" t="str">
        <x:v>Hà Nội</x:v>
      </x:c>
      <x:c r="D3025" s="2" t="str">
        <x:v>Quận Hai Bà Trưng</x:v>
      </x:c>
      <x:c r="E3025" s="2" t="str">
        <x:v>house</x:v>
      </x:c>
      <x:c r="F3025" s="2" t="str">
        <x:v>sale</x:v>
      </x:c>
      <x:c r="G3025" s="11" t="n">
        <x:v>28</x:v>
      </x:c>
      <x:c r="H3025" s="12" t="n">
        <x:v>2150000000</x:v>
      </x:c>
      <x:c r="I3025" s="12" t="n">
        <x:v>76785714.28571428</x:v>
      </x:c>
      <x:c r="J3025" s="2" t="str">
        <x:v>total</x:v>
      </x:c>
      <x:c r="K3025" s="2" t="str">
        <x:v>top_level_area</x:v>
      </x:c>
      <x:c r="L3025" s="2" t="str">
        <x:v>property_type_inferred_from_title</x:v>
      </x:c>
      <x:c r="M3025" s="10" t="n">
        <x:v>0</x:v>
      </x:c>
      <x:c r="N3025" s="10" t="n">
        <x:v>0</x:v>
      </x:c>
      <x:c r="O3025" s="2" t="str">
        <x:v>Hà Nội|house</x:v>
      </x:c>
      <x:c r="P3025" s="10" t="n">
        <x:v>2</x:v>
      </x:c>
      <x:c r="Q3025" s="13" t="n">
        <x:f>IF(H3025="","",H3025/1000000000)</x:f>
        <x:v>2.15</x:v>
      </x:c>
      <x:c r="R3025" s="13" t="n">
        <x:f>IF(I3025="","",I3025/1000000)</x:f>
        <x:v>76.78571428571428</x:v>
      </x:c>
    </x:row>
    <x:row r="3026" ht="21" customHeight="1">
      <x:c r="A3026" s="10" t="n">
        <x:v>4131</x:v>
      </x:c>
      <x:c r="B3026" s="2" t="str">
        <x:v>469818944f946ac44e0c</x:v>
      </x:c>
      <x:c r="C3026" s="2" t="str">
        <x:v>Đà Nẵng</x:v>
      </x:c>
      <x:c r="D3026" s="2" t="str">
        <x:v>Quận Hải Châu</x:v>
      </x:c>
      <x:c r="E3026" s="2" t="str">
        <x:v>house</x:v>
      </x:c>
      <x:c r="F3026" s="2" t="str">
        <x:v>sale</x:v>
      </x:c>
      <x:c r="G3026" s="11" t="n">
        <x:v>60</x:v>
      </x:c>
      <x:c r="H3026" s="12" t="n">
        <x:v>5400000000</x:v>
      </x:c>
      <x:c r="I3026" s="12" t="n">
        <x:v>90000000</x:v>
      </x:c>
      <x:c r="J3026" s="2" t="str">
        <x:v>total</x:v>
      </x:c>
      <x:c r="K3026" s="2" t="str">
        <x:v>top_level_area</x:v>
      </x:c>
      <x:c r="L3026" s="2" t="str">
        <x:v>property_type_inferred_from_title</x:v>
      </x:c>
      <x:c r="M3026" s="10" t="n">
        <x:v>0</x:v>
      </x:c>
      <x:c r="N3026" s="10" t="n">
        <x:v>0</x:v>
      </x:c>
      <x:c r="O3026" s="2" t="str">
        <x:v>Đà Nẵng|house</x:v>
      </x:c>
      <x:c r="P3026" s="10" t="n">
        <x:v>2</x:v>
      </x:c>
      <x:c r="Q3026" s="13" t="n">
        <x:f>IF(H3026="","",H3026/1000000000)</x:f>
        <x:v>5.4</x:v>
      </x:c>
      <x:c r="R3026" s="13" t="n">
        <x:f>IF(I3026="","",I3026/1000000)</x:f>
        <x:v>90</x:v>
      </x:c>
    </x:row>
    <x:row r="3027" ht="21" customHeight="1">
      <x:c r="A3027" s="10" t="n">
        <x:v>4132</x:v>
      </x:c>
      <x:c r="B3027" s="2" t="str">
        <x:v>50d088befe54c313a5e9</x:v>
      </x:c>
      <x:c r="C3027" s="2" t="str">
        <x:v>Tp Hồ Chí Minh</x:v>
      </x:c>
      <x:c r="D3027" s="2" t="str">
        <x:v>Quận 9</x:v>
      </x:c>
      <x:c r="E3027" s="2" t="str">
        <x:v>land</x:v>
      </x:c>
      <x:c r="F3027" s="2" t="str">
        <x:v>sale</x:v>
      </x:c>
      <x:c r="G3027" s="11" t="n">
        <x:v>81</x:v>
      </x:c>
      <x:c r="H3027" s="12" t="n">
        <x:v>1500000000</x:v>
      </x:c>
      <x:c r="I3027" s="12" t="n">
        <x:v>18518518.51851852</x:v>
      </x:c>
      <x:c r="J3027" s="2" t="str">
        <x:v>total</x:v>
      </x:c>
      <x:c r="K3027" s="2" t="str">
        <x:v>top_level_area</x:v>
      </x:c>
      <x:c r="L3027" s="2" t="str">
        <x:v>property_type_inferred_from_title</x:v>
      </x:c>
      <x:c r="M3027" s="10" t="n">
        <x:v>0</x:v>
      </x:c>
      <x:c r="N3027" s="10" t="n">
        <x:v>0</x:v>
      </x:c>
      <x:c r="O3027" s="2" t="str">
        <x:v>Tp Hồ Chí Minh|land</x:v>
      </x:c>
      <x:c r="P3027" s="10" t="n">
        <x:v>2</x:v>
      </x:c>
      <x:c r="Q3027" s="13" t="n">
        <x:f>IF(H3027="","",H3027/1000000000)</x:f>
        <x:v>1.5</x:v>
      </x:c>
      <x:c r="R3027" s="13" t="n">
        <x:f>IF(I3027="","",I3027/1000000)</x:f>
        <x:v>18.51851851851852</x:v>
      </x:c>
    </x:row>
    <x:row r="3028" ht="21" customHeight="1">
      <x:c r="A3028" s="10" t="n">
        <x:v>4133</x:v>
      </x:c>
      <x:c r="B3028" s="2" t="str">
        <x:v>f7999d1ce50f3b68b17a</x:v>
      </x:c>
      <x:c r="C3028" s="2" t="str">
        <x:v>Hà Nội</x:v>
      </x:c>
      <x:c r="D3028" s="2" t="str">
        <x:v>Huyện Thanh Trì</x:v>
      </x:c>
      <x:c r="E3028" s="2" t="str">
        <x:v>house</x:v>
      </x:c>
      <x:c r="F3028" s="2" t="str">
        <x:v>sale</x:v>
      </x:c>
      <x:c r="G3028" s="11" t="n">
        <x:v>32</x:v>
      </x:c>
      <x:c r="H3028" s="12" t="n">
        <x:v>2750000000</x:v>
      </x:c>
      <x:c r="I3028" s="12" t="n">
        <x:v>85937500</x:v>
      </x:c>
      <x:c r="J3028" s="2" t="str">
        <x:v>total</x:v>
      </x:c>
      <x:c r="K3028" s="2" t="str">
        <x:v>top_level_area</x:v>
      </x:c>
      <x:c r="L3028" s="2" t="str">
        <x:v>property_type_inferred_from_title</x:v>
      </x:c>
      <x:c r="M3028" s="10" t="n">
        <x:v>0</x:v>
      </x:c>
      <x:c r="N3028" s="10" t="n">
        <x:v>0</x:v>
      </x:c>
      <x:c r="O3028" s="2" t="str">
        <x:v>Hà Nội|house</x:v>
      </x:c>
      <x:c r="P3028" s="10" t="n">
        <x:v>2</x:v>
      </x:c>
      <x:c r="Q3028" s="13" t="n">
        <x:f>IF(H3028="","",H3028/1000000000)</x:f>
        <x:v>2.75</x:v>
      </x:c>
      <x:c r="R3028" s="13" t="n">
        <x:f>IF(I3028="","",I3028/1000000)</x:f>
        <x:v>85.9375</x:v>
      </x:c>
    </x:row>
    <x:row r="3029" ht="21" customHeight="1">
      <x:c r="A3029" s="10" t="n">
        <x:v>4137</x:v>
      </x:c>
      <x:c r="B3029" s="2" t="str">
        <x:v>edb1ed78386339cf7f44</x:v>
      </x:c>
      <x:c r="C3029" s="2" t="str">
        <x:v>Đà Nẵng</x:v>
      </x:c>
      <x:c r="D3029" s="2" t="str">
        <x:v>Quận Ngũ Hành Sơn</x:v>
      </x:c>
      <x:c r="E3029" s="2" t="str">
        <x:v>other_unknown</x:v>
      </x:c>
      <x:c r="F3029" s="2" t="str">
        <x:v>sale_assumed</x:v>
      </x:c>
      <x:c r="G3029" s="11" t="n">
        <x:v>100</x:v>
      </x:c>
      <x:c r="H3029" s="12" t="n">
        <x:v>2450000000</x:v>
      </x:c>
      <x:c r="I3029" s="12" t="n">
        <x:v>24500000</x:v>
      </x:c>
      <x:c r="J3029" s="2" t="str">
        <x:v>total</x:v>
      </x:c>
      <x:c r="K3029" s="2" t="str">
        <x:v>top_level_area</x:v>
      </x:c>
      <x:c r="L3029" s="2" t="str">
        <x:v>property_type_inferred_from_title;transaction_assumed_sale_from_dataset_context;unknown_property_type</x:v>
      </x:c>
      <x:c r="M3029" s="10" t="n">
        <x:v>0</x:v>
      </x:c>
      <x:c r="N3029" s="10" t="n">
        <x:v>0</x:v>
      </x:c>
      <x:c r="O3029" s="2" t="str">
        <x:v>Đà Nẵng|other_unknown</x:v>
      </x:c>
      <x:c r="P3029" s="10" t="n">
        <x:v>2</x:v>
      </x:c>
      <x:c r="Q3029" s="13" t="n">
        <x:f>IF(H3029="","",H3029/1000000000)</x:f>
        <x:v>2.45</x:v>
      </x:c>
      <x:c r="R3029" s="13" t="n">
        <x:f>IF(I3029="","",I3029/1000000)</x:f>
        <x:v>24.5</x:v>
      </x:c>
    </x:row>
    <x:row r="3030" ht="21" customHeight="1">
      <x:c r="A3030" s="10" t="n">
        <x:v>4138</x:v>
      </x:c>
      <x:c r="B3030" s="2" t="str">
        <x:v>5292c8cfccbfa51d17d4</x:v>
      </x:c>
      <x:c r="C3030" s="2" t="str">
        <x:v>Hà Nội</x:v>
      </x:c>
      <x:c r="D3030" s="2" t="str">
        <x:v>Quận Tây Hồ</x:v>
      </x:c>
      <x:c r="E3030" s="2" t="str">
        <x:v>other_unknown</x:v>
      </x:c>
      <x:c r="F3030" s="2" t="str">
        <x:v>sale_assumed</x:v>
      </x:c>
      <x:c r="G3030" s="11" t="n">
        <x:v>50</x:v>
      </x:c>
      <x:c r="H3030" s="12" t="n">
        <x:v>5800000000</x:v>
      </x:c>
      <x:c r="I3030" s="12" t="n">
        <x:v>116000000</x:v>
      </x:c>
      <x:c r="J3030" s="2" t="str">
        <x:v>total</x:v>
      </x:c>
      <x:c r="K3030" s="2" t="str">
        <x:v>top_level_area</x:v>
      </x:c>
      <x:c r="L3030" s="2" t="str">
        <x:v>property_type_inferred_from_title;transaction_assumed_sale_from_dataset_context;unknown_property_type</x:v>
      </x:c>
      <x:c r="M3030" s="10" t="n">
        <x:v>0</x:v>
      </x:c>
      <x:c r="N3030" s="10" t="n">
        <x:v>0</x:v>
      </x:c>
      <x:c r="O3030" s="2" t="str">
        <x:v>Hà Nội|other_unknown</x:v>
      </x:c>
      <x:c r="P3030" s="10" t="n">
        <x:v>2</x:v>
      </x:c>
      <x:c r="Q3030" s="13" t="n">
        <x:f>IF(H3030="","",H3030/1000000000)</x:f>
        <x:v>5.8</x:v>
      </x:c>
      <x:c r="R3030" s="13" t="n">
        <x:f>IF(I3030="","",I3030/1000000)</x:f>
        <x:v>116</x:v>
      </x:c>
    </x:row>
    <x:row r="3031" ht="21" customHeight="1">
      <x:c r="A3031" s="10" t="n">
        <x:v>4139</x:v>
      </x:c>
      <x:c r="B3031" s="2" t="str">
        <x:v>2d26521ad0ddf8fc1c20</x:v>
      </x:c>
      <x:c r="C3031" s="2" t="str">
        <x:v>Cần Thơ</x:v>
      </x:c>
      <x:c r="D3031" s="2" t="str">
        <x:v>Quận Cái Răng</x:v>
      </x:c>
      <x:c r="E3031" s="2" t="str">
        <x:v>land</x:v>
      </x:c>
      <x:c r="F3031" s="2" t="str">
        <x:v>sale_assumed</x:v>
      </x:c>
      <x:c r="G3031" s="11" t="n">
        <x:v>165</x:v>
      </x:c>
      <x:c r="H3031" s="12" t="n">
        <x:v>1300000000</x:v>
      </x:c>
      <x:c r="I3031" s="12" t="n">
        <x:v>7878787.878787879</x:v>
      </x:c>
      <x:c r="J3031" s="2" t="str">
        <x:v>total</x:v>
      </x:c>
      <x:c r="K3031" s="2" t="str">
        <x:v>top_level_area</x:v>
      </x:c>
      <x:c r="L3031" s="2" t="str">
        <x:v>property_type_inferred_from_title;transaction_assumed_sale_from_dataset_context</x:v>
      </x:c>
      <x:c r="M3031" s="10" t="n">
        <x:v>0</x:v>
      </x:c>
      <x:c r="N3031" s="10" t="n">
        <x:v>0</x:v>
      </x:c>
      <x:c r="O3031" s="2" t="str">
        <x:v>Cần Thơ|land</x:v>
      </x:c>
      <x:c r="P3031" s="10" t="n">
        <x:v>2</x:v>
      </x:c>
      <x:c r="Q3031" s="13" t="n">
        <x:f>IF(H3031="","",H3031/1000000000)</x:f>
        <x:v>1.3</x:v>
      </x:c>
      <x:c r="R3031" s="13" t="n">
        <x:f>IF(I3031="","",I3031/1000000)</x:f>
        <x:v>7.878787878787879</x:v>
      </x:c>
    </x:row>
    <x:row r="3032" ht="21" customHeight="1">
      <x:c r="A3032" s="10" t="n">
        <x:v>4140</x:v>
      </x:c>
      <x:c r="B3032" s="2" t="str">
        <x:v>c6dca48bdf2422717b5a</x:v>
      </x:c>
      <x:c r="C3032" s="2" t="str">
        <x:v>Cà Mau</x:v>
      </x:c>
      <x:c r="D3032" s="2" t="str">
        <x:v>Huyện Thới Bình</x:v>
      </x:c>
      <x:c r="E3032" s="2" t="str">
        <x:v>land</x:v>
      </x:c>
      <x:c r="F3032" s="2" t="str">
        <x:v>sale_assumed</x:v>
      </x:c>
      <x:c r="G3032" s="11" t="n">
        <x:v>100</x:v>
      </x:c>
      <x:c r="H3032" s="12" t="n">
        <x:v>360000000</x:v>
      </x:c>
      <x:c r="I3032" s="12" t="n">
        <x:v>3600000</x:v>
      </x:c>
      <x:c r="J3032" s="2" t="str">
        <x:v>total</x:v>
      </x:c>
      <x:c r="K3032" s="2" t="str">
        <x:v>top_level_area</x:v>
      </x:c>
      <x:c r="L3032" s="2" t="str">
        <x:v>property_type_inferred_from_title;transaction_assumed_sale_from_dataset_context</x:v>
      </x:c>
      <x:c r="M3032" s="10" t="n">
        <x:v>0</x:v>
      </x:c>
      <x:c r="N3032" s="10" t="n">
        <x:v>0</x:v>
      </x:c>
      <x:c r="O3032" s="2" t="str">
        <x:v>land</x:v>
      </x:c>
      <x:c r="P3032" s="10" t="n">
        <x:v>2</x:v>
      </x:c>
      <x:c r="Q3032" s="13" t="n">
        <x:f>IF(H3032="","",H3032/1000000000)</x:f>
        <x:v>0.36</x:v>
      </x:c>
      <x:c r="R3032" s="13" t="n">
        <x:f>IF(I3032="","",I3032/1000000)</x:f>
        <x:v>3.6</x:v>
      </x:c>
    </x:row>
    <x:row r="3033" ht="21" customHeight="1">
      <x:c r="A3033" s="10" t="n">
        <x:v>4141</x:v>
      </x:c>
      <x:c r="B3033" s="2" t="str">
        <x:v>83f8e2c7c88af72376d1</x:v>
      </x:c>
      <x:c r="C3033" s="2" t="str">
        <x:v>Tp Hồ Chí Minh</x:v>
      </x:c>
      <x:c r="D3033" s="2" t="str">
        <x:v>Huyện Nhà Bè</x:v>
      </x:c>
      <x:c r="E3033" s="2" t="str">
        <x:v>house</x:v>
      </x:c>
      <x:c r="F3033" s="2" t="str">
        <x:v>sale_assumed</x:v>
      </x:c>
      <x:c r="G3033" s="11" t="n">
        <x:v>82</x:v>
      </x:c>
      <x:c r="H3033" s="12" t="n">
        <x:v>5750000000</x:v>
      </x:c>
      <x:c r="I3033" s="12" t="n">
        <x:v>70121951.2195122</x:v>
      </x:c>
      <x:c r="J3033" s="2" t="str">
        <x:v>total</x:v>
      </x:c>
      <x:c r="K3033" s="2" t="str">
        <x:v>top_level_area</x:v>
      </x:c>
      <x:c r="L3033" s="2" t="str">
        <x:v>property_type_inferred_from_title;transaction_assumed_sale_from_dataset_context</x:v>
      </x:c>
      <x:c r="M3033" s="10" t="n">
        <x:v>0</x:v>
      </x:c>
      <x:c r="N3033" s="10" t="n">
        <x:v>0</x:v>
      </x:c>
      <x:c r="O3033" s="2" t="str">
        <x:v>Tp Hồ Chí Minh|house</x:v>
      </x:c>
      <x:c r="P3033" s="10" t="n">
        <x:v>2</x:v>
      </x:c>
      <x:c r="Q3033" s="13" t="n">
        <x:f>IF(H3033="","",H3033/1000000000)</x:f>
        <x:v>5.75</x:v>
      </x:c>
      <x:c r="R3033" s="13" t="n">
        <x:f>IF(I3033="","",I3033/1000000)</x:f>
        <x:v>70.1219512195122</x:v>
      </x:c>
    </x:row>
    <x:row r="3034" ht="21" customHeight="1">
      <x:c r="A3034" s="10" t="n">
        <x:v>4142</x:v>
      </x:c>
      <x:c r="B3034" s="2" t="str">
        <x:v>0992c75e48916eab9c99</x:v>
      </x:c>
      <x:c r="C3034" s="2" t="str">
        <x:v>Đồng Nai</x:v>
      </x:c>
      <x:c r="D3034" s="2" t="str">
        <x:v>Huyện Vĩnh Cửu</x:v>
      </x:c>
      <x:c r="E3034" s="2" t="str">
        <x:v>house</x:v>
      </x:c>
      <x:c r="F3034" s="2" t="str">
        <x:v>sale_assumed</x:v>
      </x:c>
      <x:c r="G3034" s="11" t="n">
        <x:v>122</x:v>
      </x:c>
      <x:c r="H3034" s="12" t="n">
        <x:v>1650000000</x:v>
      </x:c>
      <x:c r="I3034" s="12" t="n">
        <x:v>13524590.163934426</x:v>
      </x:c>
      <x:c r="J3034" s="2" t="str">
        <x:v>total</x:v>
      </x:c>
      <x:c r="K3034" s="2" t="str">
        <x:v>top_level_area</x:v>
      </x:c>
      <x:c r="L3034" s="2" t="str">
        <x:v>property_type_inferred_from_title;transaction_assumed_sale_from_dataset_context</x:v>
      </x:c>
      <x:c r="M3034" s="10" t="n">
        <x:v>0</x:v>
      </x:c>
      <x:c r="N3034" s="10" t="n">
        <x:v>0</x:v>
      </x:c>
      <x:c r="O3034" s="2" t="str">
        <x:v>Đồng Nai|house</x:v>
      </x:c>
      <x:c r="P3034" s="10" t="n">
        <x:v>2</x:v>
      </x:c>
      <x:c r="Q3034" s="13" t="n">
        <x:f>IF(H3034="","",H3034/1000000000)</x:f>
        <x:v>1.65</x:v>
      </x:c>
      <x:c r="R3034" s="13" t="n">
        <x:f>IF(I3034="","",I3034/1000000)</x:f>
        <x:v>13.524590163934427</x:v>
      </x:c>
    </x:row>
    <x:row r="3035" ht="21" customHeight="1">
      <x:c r="A3035" s="10" t="n">
        <x:v>4143</x:v>
      </x:c>
      <x:c r="B3035" s="2" t="str">
        <x:v>fbff5aac23cf4daa9b13</x:v>
      </x:c>
      <x:c r="C3035" s="2" t="str">
        <x:v>Long An</x:v>
      </x:c>
      <x:c r="D3035" s="2" t="str">
        <x:v>Huyện Bến Lức</x:v>
      </x:c>
      <x:c r="E3035" s="2" t="str">
        <x:v>other_unknown</x:v>
      </x:c>
      <x:c r="F3035" s="2" t="str">
        <x:v>sale_assumed</x:v>
      </x:c>
      <x:c r="G3035" s="11" t="n">
        <x:v>5300</x:v>
      </x:c>
      <x:c r="H3035" s="12" t="n">
        <x:v>33000000000</x:v>
      </x:c>
      <x:c r="I3035" s="12" t="n">
        <x:v>6226415.094339622</x:v>
      </x:c>
      <x:c r="J3035" s="2" t="str">
        <x:v>total</x:v>
      </x:c>
      <x:c r="K3035" s="2" t="str">
        <x:v>top_level_area</x:v>
      </x:c>
      <x:c r="L3035" s="2" t="str">
        <x:v>dot_thousands_convention;property_type_inferred_from_title;transaction_assumed_sale_from_dataset_context;unknown_property_type</x:v>
      </x:c>
      <x:c r="M3035" s="10" t="n">
        <x:v>0</x:v>
      </x:c>
      <x:c r="N3035" s="10" t="n">
        <x:v>0</x:v>
      </x:c>
      <x:c r="O3035" s="2" t="str">
        <x:v>Long An|other_unknown</x:v>
      </x:c>
      <x:c r="P3035" s="10" t="n">
        <x:v>1</x:v>
      </x:c>
      <x:c r="Q3035" s="13" t="n">
        <x:f>IF(H3035="","",H3035/1000000000)</x:f>
        <x:v>33</x:v>
      </x:c>
      <x:c r="R3035" s="13" t="n">
        <x:f>IF(I3035="","",I3035/1000000)</x:f>
        <x:v>6.226415094339623</x:v>
      </x:c>
    </x:row>
    <x:row r="3036" ht="21" customHeight="1">
      <x:c r="A3036" s="10" t="n">
        <x:v>4144</x:v>
      </x:c>
      <x:c r="B3036" s="2" t="str">
        <x:v>6a61f7090c17a7b3c293</x:v>
      </x:c>
      <x:c r="C3036" s="2" t="str">
        <x:v>Cần Thơ</x:v>
      </x:c>
      <x:c r="D3036" s="2" t="str">
        <x:v>Quận Bình Thuỷ</x:v>
      </x:c>
      <x:c r="E3036" s="2" t="str">
        <x:v>land</x:v>
      </x:c>
      <x:c r="F3036" s="2" t="str">
        <x:v>sale</x:v>
      </x:c>
      <x:c r="G3036" s="11" t="n">
        <x:v>63</x:v>
      </x:c>
      <x:c r="H3036" s="12" t="n">
        <x:v>1300000000</x:v>
      </x:c>
      <x:c r="I3036" s="12" t="n">
        <x:v>20634920.634920634</x:v>
      </x:c>
      <x:c r="J3036" s="2" t="str">
        <x:v>total</x:v>
      </x:c>
      <x:c r="K3036" s="2" t="str">
        <x:v>top_level_area</x:v>
      </x:c>
      <x:c r="L3036" s="2" t="str">
        <x:v>property_type_inferred_from_title</x:v>
      </x:c>
      <x:c r="M3036" s="10" t="n">
        <x:v>0</x:v>
      </x:c>
      <x:c r="N3036" s="10" t="n">
        <x:v>0</x:v>
      </x:c>
      <x:c r="O3036" s="2" t="str">
        <x:v>Cần Thơ|land</x:v>
      </x:c>
      <x:c r="P3036" s="10" t="n">
        <x:v>2</x:v>
      </x:c>
      <x:c r="Q3036" s="13" t="n">
        <x:f>IF(H3036="","",H3036/1000000000)</x:f>
        <x:v>1.3</x:v>
      </x:c>
      <x:c r="R3036" s="13" t="n">
        <x:f>IF(I3036="","",I3036/1000000)</x:f>
        <x:v>20.634920634920633</x:v>
      </x:c>
    </x:row>
    <x:row r="3037" ht="21" customHeight="1">
      <x:c r="A3037" s="10" t="n">
        <x:v>4145</x:v>
      </x:c>
      <x:c r="B3037" s="2" t="str">
        <x:v>f4169f318f160a5449d7</x:v>
      </x:c>
      <x:c r="C3037" s="2" t="str">
        <x:v>Hà Nội</x:v>
      </x:c>
      <x:c r="D3037" s="2" t="str">
        <x:v>Quận Đống Đa</x:v>
      </x:c>
      <x:c r="E3037" s="2" t="str">
        <x:v>house</x:v>
      </x:c>
      <x:c r="F3037" s="2" t="str">
        <x:v>sale_assumed</x:v>
      </x:c>
      <x:c r="G3037" s="11" t="n">
        <x:v>35</x:v>
      </x:c>
      <x:c r="H3037" s="12" t="n">
        <x:v>3700000000</x:v>
      </x:c>
      <x:c r="I3037" s="12" t="n">
        <x:v>105714285.71428572</x:v>
      </x:c>
      <x:c r="J3037" s="2" t="str">
        <x:v>total</x:v>
      </x:c>
      <x:c r="K3037" s="2" t="str">
        <x:v>top_level_area</x:v>
      </x:c>
      <x:c r="L3037" s="2" t="str">
        <x:v>property_type_inferred_from_title;transaction_assumed_sale_from_dataset_context</x:v>
      </x:c>
      <x:c r="M3037" s="10" t="n">
        <x:v>0</x:v>
      </x:c>
      <x:c r="N3037" s="10" t="n">
        <x:v>0</x:v>
      </x:c>
      <x:c r="O3037" s="2" t="str">
        <x:v>Hà Nội|house</x:v>
      </x:c>
      <x:c r="P3037" s="10" t="n">
        <x:v>2</x:v>
      </x:c>
      <x:c r="Q3037" s="13" t="n">
        <x:f>IF(H3037="","",H3037/1000000000)</x:f>
        <x:v>3.7</x:v>
      </x:c>
      <x:c r="R3037" s="13" t="n">
        <x:f>IF(I3037="","",I3037/1000000)</x:f>
        <x:v>105.71428571428572</x:v>
      </x:c>
    </x:row>
    <x:row r="3038" ht="21" customHeight="1">
      <x:c r="A3038" s="10" t="n">
        <x:v>4146</x:v>
      </x:c>
      <x:c r="B3038" s="2" t="str">
        <x:v>37124245fe0d8d55581c</x:v>
      </x:c>
      <x:c r="C3038" s="2" t="str">
        <x:v>Hà Nội</x:v>
      </x:c>
      <x:c r="D3038" s="2" t="str">
        <x:v>Quận Hà Đông</x:v>
      </x:c>
      <x:c r="E3038" s="2" t="str">
        <x:v>apartment</x:v>
      </x:c>
      <x:c r="F3038" s="2" t="str">
        <x:v>sale_assumed</x:v>
      </x:c>
      <x:c r="G3038" s="11" t="n">
        <x:v>121</x:v>
      </x:c>
      <x:c r="H3038" s="12" t="n">
        <x:v>1550000000</x:v>
      </x:c>
      <x:c r="I3038" s="12" t="n">
        <x:v>12809917.3553719</x:v>
      </x:c>
      <x:c r="J3038" s="2" t="str">
        <x:v>total</x:v>
      </x:c>
      <x:c r="K3038" s="2" t="str">
        <x:v>top_level_area</x:v>
      </x:c>
      <x:c r="L3038" s="2" t="str">
        <x:v>property_type_inferred_from_title;transaction_assumed_sale_from_dataset_context</x:v>
      </x:c>
      <x:c r="M3038" s="10" t="n">
        <x:v>0</x:v>
      </x:c>
      <x:c r="N3038" s="10" t="n">
        <x:v>0</x:v>
      </x:c>
      <x:c r="O3038" s="2" t="str">
        <x:v>Hà Nội|apartment</x:v>
      </x:c>
      <x:c r="P3038" s="10" t="n">
        <x:v>2</x:v>
      </x:c>
      <x:c r="Q3038" s="13" t="n">
        <x:f>IF(H3038="","",H3038/1000000000)</x:f>
        <x:v>1.55</x:v>
      </x:c>
      <x:c r="R3038" s="13" t="n">
        <x:f>IF(I3038="","",I3038/1000000)</x:f>
        <x:v>12.8099173553719</x:v>
      </x:c>
    </x:row>
    <x:row r="3039" ht="21" customHeight="1">
      <x:c r="A3039" s="10" t="n">
        <x:v>4147</x:v>
      </x:c>
      <x:c r="B3039" s="2" t="str">
        <x:v>daa4ffc6ba3bc8707bf4</x:v>
      </x:c>
      <x:c r="C3039" s="2" t="str">
        <x:v>Hà Nội</x:v>
      </x:c>
      <x:c r="D3039" s="2" t="str">
        <x:v>Quận Nam Từ Liêm</x:v>
      </x:c>
      <x:c r="E3039" s="2" t="str">
        <x:v>other_unknown</x:v>
      </x:c>
      <x:c r="F3039" s="2" t="str">
        <x:v>sale_assumed</x:v>
      </x:c>
      <x:c r="G3039" s="11" t="n">
        <x:v>57</x:v>
      </x:c>
      <x:c r="H3039" s="12" t="n">
        <x:v>6200000000</x:v>
      </x:c>
      <x:c r="I3039" s="12" t="n">
        <x:v>108771929.8245614</x:v>
      </x:c>
      <x:c r="J3039" s="2" t="str">
        <x:v>total</x:v>
      </x:c>
      <x:c r="K3039" s="2" t="str">
        <x:v>top_level_area</x:v>
      </x:c>
      <x:c r="L3039" s="2" t="str">
        <x:v>property_type_inferred_from_title;transaction_assumed_sale_from_dataset_context;unknown_property_type</x:v>
      </x:c>
      <x:c r="M3039" s="10" t="n">
        <x:v>0</x:v>
      </x:c>
      <x:c r="N3039" s="10" t="n">
        <x:v>0</x:v>
      </x:c>
      <x:c r="O3039" s="2" t="str">
        <x:v>Hà Nội|other_unknown</x:v>
      </x:c>
      <x:c r="P3039" s="10" t="n">
        <x:v>2</x:v>
      </x:c>
      <x:c r="Q3039" s="13" t="n">
        <x:f>IF(H3039="","",H3039/1000000000)</x:f>
        <x:v>6.2</x:v>
      </x:c>
      <x:c r="R3039" s="13" t="n">
        <x:f>IF(I3039="","",I3039/1000000)</x:f>
        <x:v>108.7719298245614</x:v>
      </x:c>
    </x:row>
    <x:row r="3040" ht="21" customHeight="1">
      <x:c r="A3040" s="10" t="n">
        <x:v>4148</x:v>
      </x:c>
      <x:c r="B3040" s="2" t="str">
        <x:v>aade2868bc40a613e397</x:v>
      </x:c>
      <x:c r="C3040" s="2" t="str">
        <x:v>Tp Hồ Chí Minh</x:v>
      </x:c>
      <x:c r="D3040" s="2" t="str">
        <x:v>Quận Gò Vấp</x:v>
      </x:c>
      <x:c r="E3040" s="2" t="str">
        <x:v>house</x:v>
      </x:c>
      <x:c r="F3040" s="2" t="str">
        <x:v>sale</x:v>
      </x:c>
      <x:c r="G3040" s="11" t="n">
        <x:v>45</x:v>
      </x:c>
      <x:c r="H3040" s="12" t="n">
        <x:v>5750000000</x:v>
      </x:c>
      <x:c r="I3040" s="12" t="n">
        <x:v>127777777.77777778</x:v>
      </x:c>
      <x:c r="J3040" s="2" t="str">
        <x:v>total</x:v>
      </x:c>
      <x:c r="K3040" s="2" t="str">
        <x:v>top_level_area</x:v>
      </x:c>
      <x:c r="L3040" s="2" t="str">
        <x:v>property_type_inferred_from_title</x:v>
      </x:c>
      <x:c r="M3040" s="10" t="n">
        <x:v>0</x:v>
      </x:c>
      <x:c r="N3040" s="10" t="n">
        <x:v>0</x:v>
      </x:c>
      <x:c r="O3040" s="2" t="str">
        <x:v>Tp Hồ Chí Minh|house</x:v>
      </x:c>
      <x:c r="P3040" s="10" t="n">
        <x:v>2</x:v>
      </x:c>
      <x:c r="Q3040" s="13" t="n">
        <x:f>IF(H3040="","",H3040/1000000000)</x:f>
        <x:v>5.75</x:v>
      </x:c>
      <x:c r="R3040" s="13" t="n">
        <x:f>IF(I3040="","",I3040/1000000)</x:f>
        <x:v>127.77777777777777</x:v>
      </x:c>
    </x:row>
    <x:row r="3041" ht="21" customHeight="1">
      <x:c r="A3041" s="10" t="n">
        <x:v>4149</x:v>
      </x:c>
      <x:c r="B3041" s="2" t="str">
        <x:v>28c5b81a3e6b2fc307c7</x:v>
      </x:c>
      <x:c r="C3041" s="2" t="str">
        <x:v>Hà Nội</x:v>
      </x:c>
      <x:c r="D3041" s="2" t="str">
        <x:v>Quận Hai Bà Trưng</x:v>
      </x:c>
      <x:c r="E3041" s="2" t="str">
        <x:v>house</x:v>
      </x:c>
      <x:c r="F3041" s="2" t="str">
        <x:v>sale_assumed</x:v>
      </x:c>
      <x:c r="G3041" s="11" t="n">
        <x:v>25</x:v>
      </x:c>
      <x:c r="H3041" s="12" t="n">
        <x:v>3000000000</x:v>
      </x:c>
      <x:c r="I3041" s="12" t="n">
        <x:v>120000000</x:v>
      </x:c>
      <x:c r="J3041" s="2" t="str">
        <x:v>total</x:v>
      </x:c>
      <x:c r="K3041" s="2" t="str">
        <x:v>top_level_area</x:v>
      </x:c>
      <x:c r="L3041" s="2" t="str">
        <x:v>property_type_inferred_from_title;transaction_assumed_sale_from_dataset_context</x:v>
      </x:c>
      <x:c r="M3041" s="10" t="n">
        <x:v>0</x:v>
      </x:c>
      <x:c r="N3041" s="10" t="n">
        <x:v>0</x:v>
      </x:c>
      <x:c r="O3041" s="2" t="str">
        <x:v>Hà Nội|house</x:v>
      </x:c>
      <x:c r="P3041" s="10" t="n">
        <x:v>2</x:v>
      </x:c>
      <x:c r="Q3041" s="13" t="n">
        <x:f>IF(H3041="","",H3041/1000000000)</x:f>
        <x:v>3</x:v>
      </x:c>
      <x:c r="R3041" s="13" t="n">
        <x:f>IF(I3041="","",I3041/1000000)</x:f>
        <x:v>120</x:v>
      </x:c>
    </x:row>
    <x:row r="3042" ht="21" customHeight="1">
      <x:c r="A3042" s="10" t="n">
        <x:v>4150</x:v>
      </x:c>
      <x:c r="B3042" s="2" t="str">
        <x:v>301a914ac20350b60fea</x:v>
      </x:c>
      <x:c r="C3042" s="2" t="str">
        <x:v>Hải Phòng</x:v>
      </x:c>
      <x:c r="D3042" s="2" t="str">
        <x:v>Huyện An Dương</x:v>
      </x:c>
      <x:c r="E3042" s="2" t="str">
        <x:v>land</x:v>
      </x:c>
      <x:c r="F3042" s="2" t="str">
        <x:v>sale</x:v>
      </x:c>
      <x:c r="G3042" s="11" t="n">
        <x:v>125</x:v>
      </x:c>
      <x:c r="H3042" s="12" t="n">
        <x:v>1190000000</x:v>
      </x:c>
      <x:c r="I3042" s="12" t="n">
        <x:v>9520000</x:v>
      </x:c>
      <x:c r="J3042" s="2" t="str">
        <x:v>total</x:v>
      </x:c>
      <x:c r="K3042" s="2" t="str">
        <x:v>top_level_area</x:v>
      </x:c>
      <x:c r="L3042" s="2" t="str">
        <x:v>property_type_inferred_from_title</x:v>
      </x:c>
      <x:c r="M3042" s="10" t="n">
        <x:v>0</x:v>
      </x:c>
      <x:c r="N3042" s="10" t="n">
        <x:v>0</x:v>
      </x:c>
      <x:c r="O3042" s="2" t="str">
        <x:v>land</x:v>
      </x:c>
      <x:c r="P3042" s="10" t="n">
        <x:v>2</x:v>
      </x:c>
      <x:c r="Q3042" s="13" t="n">
        <x:f>IF(H3042="","",H3042/1000000000)</x:f>
        <x:v>1.19</x:v>
      </x:c>
      <x:c r="R3042" s="13" t="n">
        <x:f>IF(I3042="","",I3042/1000000)</x:f>
        <x:v>9.52</x:v>
      </x:c>
    </x:row>
    <x:row r="3043" ht="21" customHeight="1">
      <x:c r="A3043" s="10" t="n">
        <x:v>4151</x:v>
      </x:c>
      <x:c r="B3043" s="2" t="str">
        <x:v>8bbc93ed0a0245946859</x:v>
      </x:c>
      <x:c r="C3043" s="2" t="str">
        <x:v>Hà Nội</x:v>
      </x:c>
      <x:c r="D3043" s="2" t="str">
        <x:v>Quận Hà Đông</x:v>
      </x:c>
      <x:c r="E3043" s="2" t="str">
        <x:v>land</x:v>
      </x:c>
      <x:c r="F3043" s="2" t="str">
        <x:v>sale_assumed</x:v>
      </x:c>
      <x:c r="G3043" s="11" t="n">
        <x:v>60</x:v>
      </x:c>
      <x:c r="H3043" s="12" t="n">
        <x:v>1850000000</x:v>
      </x:c>
      <x:c r="I3043" s="12" t="n">
        <x:v>30833333.333333332</x:v>
      </x:c>
      <x:c r="J3043" s="2" t="str">
        <x:v>total</x:v>
      </x:c>
      <x:c r="K3043" s="2" t="str">
        <x:v>top_level_area</x:v>
      </x:c>
      <x:c r="L3043" s="2" t="str">
        <x:v>property_type_inferred_from_title;transaction_assumed_sale_from_dataset_context</x:v>
      </x:c>
      <x:c r="M3043" s="10" t="n">
        <x:v>0</x:v>
      </x:c>
      <x:c r="N3043" s="10" t="n">
        <x:v>0</x:v>
      </x:c>
      <x:c r="O3043" s="2" t="str">
        <x:v>Hà Nội|land</x:v>
      </x:c>
      <x:c r="P3043" s="10" t="n">
        <x:v>2</x:v>
      </x:c>
      <x:c r="Q3043" s="13" t="n">
        <x:f>IF(H3043="","",H3043/1000000000)</x:f>
        <x:v>1.85</x:v>
      </x:c>
      <x:c r="R3043" s="13" t="n">
        <x:f>IF(I3043="","",I3043/1000000)</x:f>
        <x:v>30.833333333333332</x:v>
      </x:c>
    </x:row>
    <x:row r="3044" ht="21" customHeight="1">
      <x:c r="A3044" s="10" t="n">
        <x:v>4152</x:v>
      </x:c>
      <x:c r="B3044" s="2" t="str">
        <x:v>4d1c1ca9308de351dd00</x:v>
      </x:c>
      <x:c r="C3044" s="2" t="str">
        <x:v>Đắk Lắk</x:v>
      </x:c>
      <x:c r="D3044" s="2" t="str">
        <x:v>Thành phố Buôn Ma Thuột</x:v>
      </x:c>
      <x:c r="E3044" s="2" t="str">
        <x:v>other_unknown</x:v>
      </x:c>
      <x:c r="F3044" s="2" t="str">
        <x:v>sale_assumed</x:v>
      </x:c>
      <x:c r="G3044" s="11" t="n">
        <x:v>128</x:v>
      </x:c>
      <x:c r="H3044" s="12" t="n">
        <x:v>2485000000</x:v>
      </x:c>
      <x:c r="I3044" s="12" t="n">
        <x:v>19414062.5</x:v>
      </x:c>
      <x:c r="J3044" s="2" t="str">
        <x:v>total</x:v>
      </x:c>
      <x:c r="K3044" s="2" t="str">
        <x:v>top_level_area</x:v>
      </x:c>
      <x:c r="L3044" s="2" t="str">
        <x:v>property_type_inferred_from_title;transaction_assumed_sale_from_dataset_context;unknown_property_type</x:v>
      </x:c>
      <x:c r="M3044" s="10" t="n">
        <x:v>0</x:v>
      </x:c>
      <x:c r="N3044" s="10" t="n">
        <x:v>0</x:v>
      </x:c>
      <x:c r="O3044" s="2" t="str">
        <x:v>other_unknown</x:v>
      </x:c>
      <x:c r="P3044" s="10" t="n">
        <x:v>2</x:v>
      </x:c>
      <x:c r="Q3044" s="13" t="n">
        <x:f>IF(H3044="","",H3044/1000000000)</x:f>
        <x:v>2.485</x:v>
      </x:c>
      <x:c r="R3044" s="13" t="n">
        <x:f>IF(I3044="","",I3044/1000000)</x:f>
        <x:v>19.4140625</x:v>
      </x:c>
    </x:row>
    <x:row r="3045" ht="21" customHeight="1">
      <x:c r="A3045" s="10" t="n">
        <x:v>4153</x:v>
      </x:c>
      <x:c r="B3045" s="2" t="str">
        <x:v>731e9ea691c19af17c27</x:v>
      </x:c>
      <x:c r="C3045" s="2" t="str">
        <x:v>Tp Hồ Chí Minh</x:v>
      </x:c>
      <x:c r="D3045" s="2" t="str">
        <x:v>Quận Bình Thạnh</x:v>
      </x:c>
      <x:c r="E3045" s="2" t="str">
        <x:v>house</x:v>
      </x:c>
      <x:c r="F3045" s="2" t="str">
        <x:v>sale_assumed</x:v>
      </x:c>
      <x:c r="G3045" s="11" t="n">
        <x:v>23.8</x:v>
      </x:c>
      <x:c r="H3045" s="12" t="n">
        <x:v>2750000000</x:v>
      </x:c>
      <x:c r="I3045" s="12" t="n">
        <x:v>115546218.48739496</x:v>
      </x:c>
      <x:c r="J3045" s="2" t="str">
        <x:v>total</x:v>
      </x:c>
      <x:c r="K3045" s="2" t="str">
        <x:v>top_level_area</x:v>
      </x:c>
      <x:c r="L3045" s="2" t="str">
        <x:v>property_type_inferred_from_title;transaction_assumed_sale_from_dataset_context</x:v>
      </x:c>
      <x:c r="M3045" s="10" t="n">
        <x:v>0</x:v>
      </x:c>
      <x:c r="N3045" s="10" t="n">
        <x:v>0</x:v>
      </x:c>
      <x:c r="O3045" s="2" t="str">
        <x:v>Tp Hồ Chí Minh|house</x:v>
      </x:c>
      <x:c r="P3045" s="10" t="n">
        <x:v>2</x:v>
      </x:c>
      <x:c r="Q3045" s="13" t="n">
        <x:f>IF(H3045="","",H3045/1000000000)</x:f>
        <x:v>2.75</x:v>
      </x:c>
      <x:c r="R3045" s="13" t="n">
        <x:f>IF(I3045="","",I3045/1000000)</x:f>
        <x:v>115.54621848739495</x:v>
      </x:c>
    </x:row>
    <x:row r="3046" ht="21" customHeight="1">
      <x:c r="A3046" s="10" t="n">
        <x:v>4154</x:v>
      </x:c>
      <x:c r="B3046" s="2" t="str">
        <x:v>c0c3adbfa4f3d5c453da</x:v>
      </x:c>
      <x:c r="C3046" s="2" t="str">
        <x:v>Sóc Trăng</x:v>
      </x:c>
      <x:c r="D3046" s="2" t="str">
        <x:v>Thành phố Sóc Trăng</x:v>
      </x:c>
      <x:c r="E3046" s="2" t="str">
        <x:v>land</x:v>
      </x:c>
      <x:c r="F3046" s="2" t="str">
        <x:v>sale</x:v>
      </x:c>
      <x:c r="G3046" s="11" t="n">
        <x:v>100</x:v>
      </x:c>
      <x:c r="H3046" s="12" t="n">
        <x:v>1400000000</x:v>
      </x:c>
      <x:c r="I3046" s="12" t="n">
        <x:v>14000000</x:v>
      </x:c>
      <x:c r="J3046" s="2" t="str">
        <x:v>total</x:v>
      </x:c>
      <x:c r="K3046" s="2" t="str">
        <x:v>top_level_area</x:v>
      </x:c>
      <x:c r="L3046" s="2" t="str">
        <x:v>property_type_inferred_from_title</x:v>
      </x:c>
      <x:c r="M3046" s="10" t="n">
        <x:v>0</x:v>
      </x:c>
      <x:c r="N3046" s="10" t="n">
        <x:v>0</x:v>
      </x:c>
      <x:c r="O3046" s="2" t="str">
        <x:v>land</x:v>
      </x:c>
      <x:c r="P3046" s="10" t="n">
        <x:v>2</x:v>
      </x:c>
      <x:c r="Q3046" s="13" t="n">
        <x:f>IF(H3046="","",H3046/1000000000)</x:f>
        <x:v>1.4</x:v>
      </x:c>
      <x:c r="R3046" s="13" t="n">
        <x:f>IF(I3046="","",I3046/1000000)</x:f>
        <x:v>14</x:v>
      </x:c>
    </x:row>
    <x:row r="3047" ht="21" customHeight="1">
      <x:c r="A3047" s="10" t="n">
        <x:v>4155</x:v>
      </x:c>
      <x:c r="B3047" s="2" t="str">
        <x:v>9c1d0c22e37eb3e6a641</x:v>
      </x:c>
      <x:c r="C3047" s="2" t="str">
        <x:v>Tp Hồ Chí Minh</x:v>
      </x:c>
      <x:c r="D3047" s="2" t="str">
        <x:v>Quận 9</x:v>
      </x:c>
      <x:c r="E3047" s="2" t="str">
        <x:v>land</x:v>
      </x:c>
      <x:c r="F3047" s="2" t="str">
        <x:v>sale_assumed</x:v>
      </x:c>
      <x:c r="G3047" s="11" t="n">
        <x:v>115</x:v>
      </x:c>
      <x:c r="H3047" s="12" t="n">
        <x:v>4800000000</x:v>
      </x:c>
      <x:c r="I3047" s="12" t="n">
        <x:v>41739130.43478261</x:v>
      </x:c>
      <x:c r="J3047" s="2" t="str">
        <x:v>total</x:v>
      </x:c>
      <x:c r="K3047" s="2" t="str">
        <x:v>top_level_area</x:v>
      </x:c>
      <x:c r="L3047" s="2" t="str">
        <x:v>property_type_inferred_from_title;transaction_assumed_sale_from_dataset_context</x:v>
      </x:c>
      <x:c r="M3047" s="10" t="n">
        <x:v>0</x:v>
      </x:c>
      <x:c r="N3047" s="10" t="n">
        <x:v>0</x:v>
      </x:c>
      <x:c r="O3047" s="2" t="str">
        <x:v>Tp Hồ Chí Minh|land</x:v>
      </x:c>
      <x:c r="P3047" s="10" t="n">
        <x:v>2</x:v>
      </x:c>
      <x:c r="Q3047" s="13" t="n">
        <x:f>IF(H3047="","",H3047/1000000000)</x:f>
        <x:v>4.8</x:v>
      </x:c>
      <x:c r="R3047" s="13" t="n">
        <x:f>IF(I3047="","",I3047/1000000)</x:f>
        <x:v>41.73913043478261</x:v>
      </x:c>
    </x:row>
    <x:row r="3048" ht="21" customHeight="1">
      <x:c r="A3048" s="10" t="n">
        <x:v>4156</x:v>
      </x:c>
      <x:c r="B3048" s="2" t="str">
        <x:v>06579e74956a639bd357</x:v>
      </x:c>
      <x:c r="C3048" s="2" t="str">
        <x:v>Tp Hồ Chí Minh</x:v>
      </x:c>
      <x:c r="D3048" s="2" t="str">
        <x:v>Quận 10</x:v>
      </x:c>
      <x:c r="E3048" s="2" t="str">
        <x:v>house</x:v>
      </x:c>
      <x:c r="F3048" s="2" t="str">
        <x:v>sale</x:v>
      </x:c>
      <x:c r="G3048" s="11" t="n">
        <x:v>36</x:v>
      </x:c>
      <x:c r="H3048" s="12" t="n">
        <x:v>4950000000</x:v>
      </x:c>
      <x:c r="I3048" s="12" t="n">
        <x:v>137500000</x:v>
      </x:c>
      <x:c r="J3048" s="2" t="str">
        <x:v>total</x:v>
      </x:c>
      <x:c r="K3048" s="2" t="str">
        <x:v>top_level_area</x:v>
      </x:c>
      <x:c r="L3048" s="2" t="str">
        <x:v>property_type_inferred_from_title</x:v>
      </x:c>
      <x:c r="M3048" s="10" t="n">
        <x:v>0</x:v>
      </x:c>
      <x:c r="N3048" s="10" t="n">
        <x:v>0</x:v>
      </x:c>
      <x:c r="O3048" s="2" t="str">
        <x:v>Tp Hồ Chí Minh|house</x:v>
      </x:c>
      <x:c r="P3048" s="10" t="n">
        <x:v>2</x:v>
      </x:c>
      <x:c r="Q3048" s="13" t="n">
        <x:f>IF(H3048="","",H3048/1000000000)</x:f>
        <x:v>4.95</x:v>
      </x:c>
      <x:c r="R3048" s="13" t="n">
        <x:f>IF(I3048="","",I3048/1000000)</x:f>
        <x:v>137.5</x:v>
      </x:c>
    </x:row>
    <x:row r="3049" ht="21" customHeight="1">
      <x:c r="A3049" s="10" t="n">
        <x:v>4159</x:v>
      </x:c>
      <x:c r="B3049" s="2" t="str">
        <x:v>b79cd6d93a3d6a756fa7</x:v>
      </x:c>
      <x:c r="C3049" s="2" t="str">
        <x:v>Bình Dương</x:v>
      </x:c>
      <x:c r="D3049" s="2" t="str">
        <x:v>Huyện Bàu Bàng</x:v>
      </x:c>
      <x:c r="E3049" s="2" t="str">
        <x:v>land</x:v>
      </x:c>
      <x:c r="F3049" s="2" t="str">
        <x:v>sale_assumed</x:v>
      </x:c>
      <x:c r="G3049" s="11" t="n">
        <x:v>150</x:v>
      </x:c>
      <x:c r="H3049" s="12" t="n">
        <x:v>650000000</x:v>
      </x:c>
      <x:c r="I3049" s="12" t="n">
        <x:v>4333333.333333333</x:v>
      </x:c>
      <x:c r="J3049" s="2" t="str">
        <x:v>total</x:v>
      </x:c>
      <x:c r="K3049" s="2" t="str">
        <x:v>top_level_area</x:v>
      </x:c>
      <x:c r="L3049" s="2" t="str">
        <x:v>property_type_inferred_from_title;transaction_assumed_sale_from_dataset_context</x:v>
      </x:c>
      <x:c r="M3049" s="10" t="n">
        <x:v>0</x:v>
      </x:c>
      <x:c r="N3049" s="10" t="n">
        <x:v>0</x:v>
      </x:c>
      <x:c r="O3049" s="2" t="str">
        <x:v>Bình Dương|land</x:v>
      </x:c>
      <x:c r="P3049" s="10" t="n">
        <x:v>1</x:v>
      </x:c>
      <x:c r="Q3049" s="13" t="n">
        <x:f>IF(H3049="","",H3049/1000000000)</x:f>
        <x:v>0.65</x:v>
      </x:c>
      <x:c r="R3049" s="13" t="n">
        <x:f>IF(I3049="","",I3049/1000000)</x:f>
        <x:v>4.333333333333333</x:v>
      </x:c>
    </x:row>
    <x:row r="3050" ht="21" customHeight="1">
      <x:c r="A3050" s="10" t="n">
        <x:v>4160</x:v>
      </x:c>
      <x:c r="B3050" s="2" t="str">
        <x:v>4da2e70418a1c6fea60d</x:v>
      </x:c>
      <x:c r="C3050" s="2" t="str">
        <x:v>Cần Thơ</x:v>
      </x:c>
      <x:c r="D3050" s="2" t="str">
        <x:v>Quận Cái Răng</x:v>
      </x:c>
      <x:c r="E3050" s="2" t="str">
        <x:v>other_unknown</x:v>
      </x:c>
      <x:c r="F3050" s="2" t="str">
        <x:v>sale_assumed</x:v>
      </x:c>
      <x:c r="G3050" s="11" t="n">
        <x:v>80</x:v>
      </x:c>
      <x:c r="H3050" s="12" t="n">
        <x:v>5190000000</x:v>
      </x:c>
      <x:c r="I3050" s="12" t="n">
        <x:v>64875000</x:v>
      </x:c>
      <x:c r="J3050" s="2" t="str">
        <x:v>total</x:v>
      </x:c>
      <x:c r="K3050" s="2" t="str">
        <x:v>top_level_area</x:v>
      </x:c>
      <x:c r="L3050" s="2" t="str">
        <x:v>property_type_inferred_from_title;transaction_assumed_sale_from_dataset_context;unknown_property_type</x:v>
      </x:c>
      <x:c r="M3050" s="10" t="n">
        <x:v>0</x:v>
      </x:c>
      <x:c r="N3050" s="10" t="n">
        <x:v>0</x:v>
      </x:c>
      <x:c r="O3050" s="2" t="str">
        <x:v>other_unknown</x:v>
      </x:c>
      <x:c r="P3050" s="10" t="n">
        <x:v>2</x:v>
      </x:c>
      <x:c r="Q3050" s="13" t="n">
        <x:f>IF(H3050="","",H3050/1000000000)</x:f>
        <x:v>5.19</x:v>
      </x:c>
      <x:c r="R3050" s="13" t="n">
        <x:f>IF(I3050="","",I3050/1000000)</x:f>
        <x:v>64.875</x:v>
      </x:c>
    </x:row>
    <x:row r="3051" ht="21" customHeight="1">
      <x:c r="A3051" s="10" t="n">
        <x:v>4161</x:v>
      </x:c>
      <x:c r="B3051" s="2" t="str">
        <x:v>4cd8c26da920f3f29a7f</x:v>
      </x:c>
      <x:c r="C3051" s="2" t="str">
        <x:v>Tp Hồ Chí Minh</x:v>
      </x:c>
      <x:c r="D3051" s="2" t="str">
        <x:v>Quận Tân Phú</x:v>
      </x:c>
      <x:c r="E3051" s="2" t="str">
        <x:v>land</x:v>
      </x:c>
      <x:c r="F3051" s="2" t="str">
        <x:v>sale_assumed</x:v>
      </x:c>
      <x:c r="G3051" s="11" t="n">
        <x:v>136</x:v>
      </x:c>
      <x:c r="H3051" s="12" t="n">
        <x:v>8500000000</x:v>
      </x:c>
      <x:c r="I3051" s="12" t="n">
        <x:v>62500000</x:v>
      </x:c>
      <x:c r="J3051" s="2" t="str">
        <x:v>total</x:v>
      </x:c>
      <x:c r="K3051" s="2" t="str">
        <x:v>top_level_area</x:v>
      </x:c>
      <x:c r="L3051" s="2" t="str">
        <x:v>property_type_inferred_from_title;transaction_assumed_sale_from_dataset_context</x:v>
      </x:c>
      <x:c r="M3051" s="10" t="n">
        <x:v>0</x:v>
      </x:c>
      <x:c r="N3051" s="10" t="n">
        <x:v>0</x:v>
      </x:c>
      <x:c r="O3051" s="2" t="str">
        <x:v>Tp Hồ Chí Minh|land</x:v>
      </x:c>
      <x:c r="P3051" s="10" t="n">
        <x:v>2</x:v>
      </x:c>
      <x:c r="Q3051" s="13" t="n">
        <x:f>IF(H3051="","",H3051/1000000000)</x:f>
        <x:v>8.5</x:v>
      </x:c>
      <x:c r="R3051" s="13" t="n">
        <x:f>IF(I3051="","",I3051/1000000)</x:f>
        <x:v>62.5</x:v>
      </x:c>
    </x:row>
    <x:row r="3052" ht="21" customHeight="1">
      <x:c r="A3052" s="10" t="n">
        <x:v>4162</x:v>
      </x:c>
      <x:c r="B3052" s="2" t="str">
        <x:v>46ee530889b29fdc5b75</x:v>
      </x:c>
      <x:c r="C3052" s="2" t="str">
        <x:v>Tp Hồ Chí Minh</x:v>
      </x:c>
      <x:c r="D3052" s="2" t="str">
        <x:v>Quận Thủ Đức</x:v>
      </x:c>
      <x:c r="E3052" s="2" t="str">
        <x:v>land</x:v>
      </x:c>
      <x:c r="F3052" s="2" t="str">
        <x:v>sale_assumed</x:v>
      </x:c>
      <x:c r="G3052" s="11" t="n">
        <x:v>100</x:v>
      </x:c>
      <x:c r="H3052" s="12" t="n">
        <x:v>6500000000</x:v>
      </x:c>
      <x:c r="I3052" s="12" t="n">
        <x:v>65000000</x:v>
      </x:c>
      <x:c r="J3052" s="2" t="str">
        <x:v>total</x:v>
      </x:c>
      <x:c r="K3052" s="2" t="str">
        <x:v>top_level_area</x:v>
      </x:c>
      <x:c r="L3052" s="2" t="str">
        <x:v>property_type_inferred_from_title;transaction_assumed_sale_from_dataset_context</x:v>
      </x:c>
      <x:c r="M3052" s="10" t="n">
        <x:v>0</x:v>
      </x:c>
      <x:c r="N3052" s="10" t="n">
        <x:v>0</x:v>
      </x:c>
      <x:c r="O3052" s="2" t="str">
        <x:v>Tp Hồ Chí Minh|land</x:v>
      </x:c>
      <x:c r="P3052" s="10" t="n">
        <x:v>2</x:v>
      </x:c>
      <x:c r="Q3052" s="13" t="n">
        <x:f>IF(H3052="","",H3052/1000000000)</x:f>
        <x:v>6.5</x:v>
      </x:c>
      <x:c r="R3052" s="13" t="n">
        <x:f>IF(I3052="","",I3052/1000000)</x:f>
        <x:v>65</x:v>
      </x:c>
    </x:row>
    <x:row r="3053" ht="21" customHeight="1">
      <x:c r="A3053" s="10" t="n">
        <x:v>4163</x:v>
      </x:c>
      <x:c r="B3053" s="2" t="str">
        <x:v>0f7525154967b1d62512</x:v>
      </x:c>
      <x:c r="C3053" s="2" t="str">
        <x:v>Hà Nội</x:v>
      </x:c>
      <x:c r="D3053" s="2" t="str">
        <x:v>Quận Hoàng Mai</x:v>
      </x:c>
      <x:c r="E3053" s="2" t="str">
        <x:v>house</x:v>
      </x:c>
      <x:c r="F3053" s="2" t="str">
        <x:v>sale</x:v>
      </x:c>
      <x:c r="G3053" s="11" t="n">
        <x:v>37.5</x:v>
      </x:c>
      <x:c r="H3053" s="12" t="n">
        <x:v>2750000000</x:v>
      </x:c>
      <x:c r="I3053" s="12" t="n">
        <x:v>73333333.33333333</x:v>
      </x:c>
      <x:c r="J3053" s="2" t="str">
        <x:v>total</x:v>
      </x:c>
      <x:c r="K3053" s="2" t="str">
        <x:v>top_level_area</x:v>
      </x:c>
      <x:c r="L3053" s="2" t="str">
        <x:v>property_type_inferred_from_title</x:v>
      </x:c>
      <x:c r="M3053" s="10" t="n">
        <x:v>0</x:v>
      </x:c>
      <x:c r="N3053" s="10" t="n">
        <x:v>0</x:v>
      </x:c>
      <x:c r="O3053" s="2" t="str">
        <x:v>Hà Nội|house</x:v>
      </x:c>
      <x:c r="P3053" s="10" t="n">
        <x:v>2</x:v>
      </x:c>
      <x:c r="Q3053" s="13" t="n">
        <x:f>IF(H3053="","",H3053/1000000000)</x:f>
        <x:v>2.75</x:v>
      </x:c>
      <x:c r="R3053" s="13" t="n">
        <x:f>IF(I3053="","",I3053/1000000)</x:f>
        <x:v>73.33333333333333</x:v>
      </x:c>
    </x:row>
    <x:row r="3054" ht="21" customHeight="1">
      <x:c r="A3054" s="10" t="n">
        <x:v>4164</x:v>
      </x:c>
      <x:c r="B3054" s="2" t="str">
        <x:v>a4e91c8f4daf9c006e87</x:v>
      </x:c>
      <x:c r="C3054" s="2" t="str">
        <x:v>Tp Hồ Chí Minh</x:v>
      </x:c>
      <x:c r="D3054" s="2" t="str">
        <x:v>Quận 7</x:v>
      </x:c>
      <x:c r="E3054" s="2" t="str">
        <x:v>other_unknown</x:v>
      </x:c>
      <x:c r="F3054" s="2" t="str">
        <x:v>sale_assumed</x:v>
      </x:c>
      <x:c r="G3054" s="11" t="n">
        <x:v>39</x:v>
      </x:c>
      <x:c r="H3054" s="12" t="n">
        <x:v>1650000000</x:v>
      </x:c>
      <x:c r="I3054" s="12" t="n">
        <x:v>42307692.307692304</x:v>
      </x:c>
      <x:c r="J3054" s="2" t="str">
        <x:v>total</x:v>
      </x:c>
      <x:c r="K3054" s="2" t="str">
        <x:v>top_level_area</x:v>
      </x:c>
      <x:c r="L3054" s="2" t="str">
        <x:v>property_type_inferred_from_title;transaction_assumed_sale_from_dataset_context;unknown_property_type</x:v>
      </x:c>
      <x:c r="M3054" s="10" t="n">
        <x:v>0</x:v>
      </x:c>
      <x:c r="N3054" s="10" t="n">
        <x:v>0</x:v>
      </x:c>
      <x:c r="O3054" s="2" t="str">
        <x:v>Tp Hồ Chí Minh|other_unknown</x:v>
      </x:c>
      <x:c r="P3054" s="10" t="n">
        <x:v>2</x:v>
      </x:c>
      <x:c r="Q3054" s="13" t="n">
        <x:f>IF(H3054="","",H3054/1000000000)</x:f>
        <x:v>1.65</x:v>
      </x:c>
      <x:c r="R3054" s="13" t="n">
        <x:f>IF(I3054="","",I3054/1000000)</x:f>
        <x:v>42.30769230769231</x:v>
      </x:c>
    </x:row>
    <x:row r="3055" ht="21" customHeight="1">
      <x:c r="A3055" s="10" t="n">
        <x:v>4165</x:v>
      </x:c>
      <x:c r="B3055" s="2" t="str">
        <x:v>f0bd6b43c5d0bfd511ca</x:v>
      </x:c>
      <x:c r="C3055" s="2" t="str">
        <x:v>Tp Hồ Chí Minh</x:v>
      </x:c>
      <x:c r="D3055" s="2" t="str">
        <x:v>Quận Gò Vấp</x:v>
      </x:c>
      <x:c r="E3055" s="2" t="str">
        <x:v>house</x:v>
      </x:c>
      <x:c r="F3055" s="2" t="str">
        <x:v>sale_assumed</x:v>
      </x:c>
      <x:c r="G3055" s="11" t="n">
        <x:v>23</x:v>
      </x:c>
      <x:c r="H3055" s="12" t="n">
        <x:v>2600000000</x:v>
      </x:c>
      <x:c r="I3055" s="12" t="n">
        <x:v>113043478.26086956</x:v>
      </x:c>
      <x:c r="J3055" s="2" t="str">
        <x:v>total</x:v>
      </x:c>
      <x:c r="K3055" s="2" t="str">
        <x:v>top_level_area</x:v>
      </x:c>
      <x:c r="L3055" s="2" t="str">
        <x:v>property_type_inferred_from_title;transaction_assumed_sale_from_dataset_context</x:v>
      </x:c>
      <x:c r="M3055" s="10" t="n">
        <x:v>0</x:v>
      </x:c>
      <x:c r="N3055" s="10" t="n">
        <x:v>0</x:v>
      </x:c>
      <x:c r="O3055" s="2" t="str">
        <x:v>Tp Hồ Chí Minh|house</x:v>
      </x:c>
      <x:c r="P3055" s="10" t="n">
        <x:v>2</x:v>
      </x:c>
      <x:c r="Q3055" s="13" t="n">
        <x:f>IF(H3055="","",H3055/1000000000)</x:f>
        <x:v>2.6</x:v>
      </x:c>
      <x:c r="R3055" s="13" t="n">
        <x:f>IF(I3055="","",I3055/1000000)</x:f>
        <x:v>113.04347826086956</x:v>
      </x:c>
    </x:row>
    <x:row r="3056" ht="21" customHeight="1">
      <x:c r="A3056" s="10" t="n">
        <x:v>4166</x:v>
      </x:c>
      <x:c r="B3056" s="2" t="str">
        <x:v>9b52095e53606b3f0432</x:v>
      </x:c>
      <x:c r="C3056" s="2" t="str">
        <x:v>Tp Hồ Chí Minh</x:v>
      </x:c>
      <x:c r="D3056" s="2" t="str">
        <x:v>Quận Tân Bình</x:v>
      </x:c>
      <x:c r="E3056" s="2" t="str">
        <x:v>house</x:v>
      </x:c>
      <x:c r="F3056" s="2" t="str">
        <x:v>sale_assumed</x:v>
      </x:c>
      <x:c r="G3056" s="11" t="n">
        <x:v>65</x:v>
      </x:c>
      <x:c r="H3056" s="12" t="n">
        <x:v>16300000000</x:v>
      </x:c>
      <x:c r="I3056" s="12" t="n">
        <x:v>250769230.76923078</x:v>
      </x:c>
      <x:c r="J3056" s="2" t="str">
        <x:v>total</x:v>
      </x:c>
      <x:c r="K3056" s="2" t="str">
        <x:v>top_level_area</x:v>
      </x:c>
      <x:c r="L3056" s="2" t="str">
        <x:v>property_type_inferred_from_title;transaction_assumed_sale_from_dataset_context</x:v>
      </x:c>
      <x:c r="M3056" s="10" t="n">
        <x:v>1</x:v>
      </x:c>
      <x:c r="N3056" s="10" t="n">
        <x:v>1</x:v>
      </x:c>
      <x:c r="O3056" s="2" t="str">
        <x:v>Tp Hồ Chí Minh|house</x:v>
      </x:c>
      <x:c r="P3056" s="10" t="n">
        <x:v>-1</x:v>
      </x:c>
      <x:c r="Q3056" s="13" t="n">
        <x:f>IF(H3056="","",H3056/1000000000)</x:f>
        <x:v>16.3</x:v>
      </x:c>
      <x:c r="R3056" s="13" t="n">
        <x:f>IF(I3056="","",I3056/1000000)</x:f>
        <x:v>250.76923076923077</x:v>
      </x:c>
    </x:row>
    <x:row r="3057" ht="21" customHeight="1">
      <x:c r="A3057" s="10" t="n">
        <x:v>4167</x:v>
      </x:c>
      <x:c r="B3057" s="2" t="str">
        <x:v>0cb238e85c90ee5262ac</x:v>
      </x:c>
      <x:c r="C3057" s="2" t="str">
        <x:v>An Giang</x:v>
      </x:c>
      <x:c r="D3057" s="2" t="str">
        <x:v>Huyện Thoại Sơn</x:v>
      </x:c>
      <x:c r="E3057" s="2" t="str">
        <x:v>land</x:v>
      </x:c>
      <x:c r="F3057" s="2" t="str">
        <x:v>sale</x:v>
      </x:c>
      <x:c r="G3057" s="11" t="n">
        <x:v>10000</x:v>
      </x:c>
      <x:c r="H3057" s="12" t="n">
        <x:v>1050000000</x:v>
      </x:c>
      <x:c r="I3057" s="12" t="n">
        <x:v>105000</x:v>
      </x:c>
      <x:c r="J3057" s="2" t="str">
        <x:v>total</x:v>
      </x:c>
      <x:c r="K3057" s="2" t="str">
        <x:v>top_level_area</x:v>
      </x:c>
      <x:c r="L3057" s="2" t="str">
        <x:v>dot_thousands_convention;property_type_inferred_from_title</x:v>
      </x:c>
      <x:c r="M3057" s="10" t="n">
        <x:v>0</x:v>
      </x:c>
      <x:c r="N3057" s="10" t="n">
        <x:v>0</x:v>
      </x:c>
      <x:c r="O3057" s="2" t="str">
        <x:v>land</x:v>
      </x:c>
      <x:c r="P3057" s="10" t="n">
        <x:v>1</x:v>
      </x:c>
      <x:c r="Q3057" s="13" t="n">
        <x:f>IF(H3057="","",H3057/1000000000)</x:f>
        <x:v>1.05</x:v>
      </x:c>
      <x:c r="R3057" s="13" t="n">
        <x:f>IF(I3057="","",I3057/1000000)</x:f>
        <x:v>0.105</x:v>
      </x:c>
    </x:row>
    <x:row r="3058" ht="21" customHeight="1">
      <x:c r="A3058" s="10" t="n">
        <x:v>4168</x:v>
      </x:c>
      <x:c r="B3058" s="2" t="str">
        <x:v>680d0fc70d6c1c82379b</x:v>
      </x:c>
      <x:c r="C3058" s="2" t="str">
        <x:v>Hà Nội</x:v>
      </x:c>
      <x:c r="D3058" s="2" t="str">
        <x:v>Quận Hà Đông</x:v>
      </x:c>
      <x:c r="E3058" s="2" t="str">
        <x:v>apartment</x:v>
      </x:c>
      <x:c r="F3058" s="2" t="str">
        <x:v>sale_assumed</x:v>
      </x:c>
      <x:c r="G3058" s="11" t="n">
        <x:v>121</x:v>
      </x:c>
      <x:c r="H3058" s="12" t="n">
        <x:v>1550000000</x:v>
      </x:c>
      <x:c r="I3058" s="12" t="n">
        <x:v>12809917.3553719</x:v>
      </x:c>
      <x:c r="J3058" s="2" t="str">
        <x:v>total</x:v>
      </x:c>
      <x:c r="K3058" s="2" t="str">
        <x:v>top_level_area</x:v>
      </x:c>
      <x:c r="L3058" s="2" t="str">
        <x:v>property_type_inferred_from_title;transaction_assumed_sale_from_dataset_context</x:v>
      </x:c>
      <x:c r="M3058" s="10" t="n">
        <x:v>0</x:v>
      </x:c>
      <x:c r="N3058" s="10" t="n">
        <x:v>0</x:v>
      </x:c>
      <x:c r="O3058" s="2" t="str">
        <x:v>Hà Nội|apartment</x:v>
      </x:c>
      <x:c r="P3058" s="10" t="n">
        <x:v>2</x:v>
      </x:c>
      <x:c r="Q3058" s="13" t="n">
        <x:f>IF(H3058="","",H3058/1000000000)</x:f>
        <x:v>1.55</x:v>
      </x:c>
      <x:c r="R3058" s="13" t="n">
        <x:f>IF(I3058="","",I3058/1000000)</x:f>
        <x:v>12.8099173553719</x:v>
      </x:c>
    </x:row>
    <x:row r="3059" ht="21" customHeight="1">
      <x:c r="A3059" s="10" t="n">
        <x:v>4169</x:v>
      </x:c>
      <x:c r="B3059" s="2" t="str">
        <x:v>afe99c2faf4ace5378b4</x:v>
      </x:c>
      <x:c r="C3059" s="2" t="str">
        <x:v>Kiên Giang</x:v>
      </x:c>
      <x:c r="D3059" s="2" t="str">
        <x:v>Thành phố Rạch Giá</x:v>
      </x:c>
      <x:c r="E3059" s="2" t="str">
        <x:v>land</x:v>
      </x:c>
      <x:c r="F3059" s="2" t="str">
        <x:v>sale_assumed</x:v>
      </x:c>
      <x:c r="G3059" s="11" t="n">
        <x:v>1002</x:v>
      </x:c>
      <x:c r="H3059" s="12" t="n">
        <x:v>2600000000</x:v>
      </x:c>
      <x:c r="I3059" s="12" t="n">
        <x:v>2594810.379241517</x:v>
      </x:c>
      <x:c r="J3059" s="2" t="str">
        <x:v>total</x:v>
      </x:c>
      <x:c r="K3059" s="2" t="str">
        <x:v>top_level_area</x:v>
      </x:c>
      <x:c r="L3059" s="2" t="str">
        <x:v>dot_thousands_convention;property_type_inferred_from_title;transaction_assumed_sale_from_dataset_context</x:v>
      </x:c>
      <x:c r="M3059" s="10" t="n">
        <x:v>0</x:v>
      </x:c>
      <x:c r="N3059" s="10" t="n">
        <x:v>0</x:v>
      </x:c>
      <x:c r="O3059" s="2" t="str">
        <x:v>land</x:v>
      </x:c>
      <x:c r="P3059" s="10" t="n">
        <x:v>1</x:v>
      </x:c>
      <x:c r="Q3059" s="13" t="n">
        <x:f>IF(H3059="","",H3059/1000000000)</x:f>
        <x:v>2.6</x:v>
      </x:c>
      <x:c r="R3059" s="13" t="n">
        <x:f>IF(I3059="","",I3059/1000000)</x:f>
        <x:v>2.5948103792415167</x:v>
      </x:c>
    </x:row>
    <x:row r="3060" ht="21" customHeight="1">
      <x:c r="A3060" s="10" t="n">
        <x:v>4170</x:v>
      </x:c>
      <x:c r="B3060" s="2" t="str">
        <x:v>1cfd84ebf4647b4a47de</x:v>
      </x:c>
      <x:c r="C3060" s="2" t="str">
        <x:v>Hà Nội</x:v>
      </x:c>
      <x:c r="D3060" s="2" t="str">
        <x:v>Quận Thanh Xuân</x:v>
      </x:c>
      <x:c r="E3060" s="2" t="str">
        <x:v>apartment</x:v>
      </x:c>
      <x:c r="F3060" s="2" t="str">
        <x:v>sale</x:v>
      </x:c>
      <x:c r="G3060" s="11" t="n">
        <x:v>100</x:v>
      </x:c>
      <x:c r="H3060" s="12" t="n">
        <x:v>3300000000</x:v>
      </x:c>
      <x:c r="I3060" s="12" t="n">
        <x:v>33000000</x:v>
      </x:c>
      <x:c r="J3060" s="2" t="str">
        <x:v>total</x:v>
      </x:c>
      <x:c r="K3060" s="2" t="str">
        <x:v>top_level_area</x:v>
      </x:c>
      <x:c r="L3060" s="2" t="str">
        <x:v>property_type_inferred_from_title</x:v>
      </x:c>
      <x:c r="M3060" s="10" t="n">
        <x:v>0</x:v>
      </x:c>
      <x:c r="N3060" s="10" t="n">
        <x:v>0</x:v>
      </x:c>
      <x:c r="O3060" s="2" t="str">
        <x:v>Hà Nội|apartment</x:v>
      </x:c>
      <x:c r="P3060" s="10" t="n">
        <x:v>2</x:v>
      </x:c>
      <x:c r="Q3060" s="13" t="n">
        <x:f>IF(H3060="","",H3060/1000000000)</x:f>
        <x:v>3.3</x:v>
      </x:c>
      <x:c r="R3060" s="13" t="n">
        <x:f>IF(I3060="","",I3060/1000000)</x:f>
        <x:v>33</x:v>
      </x:c>
    </x:row>
    <x:row r="3061" ht="21" customHeight="1">
      <x:c r="A3061" s="10" t="n">
        <x:v>4171</x:v>
      </x:c>
      <x:c r="B3061" s="2" t="str">
        <x:v>a45729eb5c187b047f43</x:v>
      </x:c>
      <x:c r="C3061" s="2" t="str">
        <x:v>Hà Nội</x:v>
      </x:c>
      <x:c r="D3061" s="2" t="str">
        <x:v>Quận Nam Từ Liêm</x:v>
      </x:c>
      <x:c r="E3061" s="2" t="str">
        <x:v>apartment</x:v>
      </x:c>
      <x:c r="F3061" s="2" t="str">
        <x:v>sale_assumed</x:v>
      </x:c>
      <x:c r="G3061" s="11" t="n">
        <x:v>51</x:v>
      </x:c>
      <x:c r="H3061" s="12" t="n">
        <x:v>4350000000</x:v>
      </x:c>
      <x:c r="I3061" s="12" t="n">
        <x:v>85294117.64705883</x:v>
      </x:c>
      <x:c r="J3061" s="2" t="str">
        <x:v>total</x:v>
      </x:c>
      <x:c r="K3061" s="2" t="str">
        <x:v>top_level_area</x:v>
      </x:c>
      <x:c r="L3061" s="2" t="str">
        <x:v>property_type_inferred_from_title;transaction_assumed_sale_from_dataset_context</x:v>
      </x:c>
      <x:c r="M3061" s="10" t="n">
        <x:v>0</x:v>
      </x:c>
      <x:c r="N3061" s="10" t="n">
        <x:v>1</x:v>
      </x:c>
      <x:c r="O3061" s="2" t="str">
        <x:v>Hà Nội|apartment</x:v>
      </x:c>
      <x:c r="P3061" s="10" t="n">
        <x:v>-1</x:v>
      </x:c>
      <x:c r="Q3061" s="13" t="n">
        <x:f>IF(H3061="","",H3061/1000000000)</x:f>
        <x:v>4.35</x:v>
      </x:c>
      <x:c r="R3061" s="13" t="n">
        <x:f>IF(I3061="","",I3061/1000000)</x:f>
        <x:v>85.29411764705883</x:v>
      </x:c>
    </x:row>
    <x:row r="3062" ht="21" customHeight="1">
      <x:c r="A3062" s="10" t="n">
        <x:v>4172</x:v>
      </x:c>
      <x:c r="B3062" s="2" t="str">
        <x:v>4d0808105a96a821fc96</x:v>
      </x:c>
      <x:c r="C3062" s="2" t="str">
        <x:v>Kiên Giang</x:v>
      </x:c>
      <x:c r="D3062" s="2" t="str">
        <x:v>Thành phố Hà Tiên</x:v>
      </x:c>
      <x:c r="E3062" s="2" t="str">
        <x:v>land</x:v>
      </x:c>
      <x:c r="F3062" s="2" t="str">
        <x:v>sale</x:v>
      </x:c>
      <x:c r="G3062" s="11" t="n">
        <x:v>66</x:v>
      </x:c>
      <x:c r="H3062" s="12" t="n">
        <x:v>580000000</x:v>
      </x:c>
      <x:c r="I3062" s="12" t="n">
        <x:v>8787878.787878787</x:v>
      </x:c>
      <x:c r="J3062" s="2" t="str">
        <x:v>total</x:v>
      </x:c>
      <x:c r="K3062" s="2" t="str">
        <x:v>top_level_area</x:v>
      </x:c>
      <x:c r="L3062" s="2" t="str">
        <x:v>property_type_inferred_from_title</x:v>
      </x:c>
      <x:c r="M3062" s="10" t="n">
        <x:v>0</x:v>
      </x:c>
      <x:c r="N3062" s="10" t="n">
        <x:v>0</x:v>
      </x:c>
      <x:c r="O3062" s="2" t="str">
        <x:v>land</x:v>
      </x:c>
      <x:c r="P3062" s="10" t="n">
        <x:v>2</x:v>
      </x:c>
      <x:c r="Q3062" s="13" t="n">
        <x:f>IF(H3062="","",H3062/1000000000)</x:f>
        <x:v>0.58</x:v>
      </x:c>
      <x:c r="R3062" s="13" t="n">
        <x:f>IF(I3062="","",I3062/1000000)</x:f>
        <x:v>8.787878787878787</x:v>
      </x:c>
    </x:row>
    <x:row r="3063" ht="21" customHeight="1">
      <x:c r="A3063" s="10" t="n">
        <x:v>4173</x:v>
      </x:c>
      <x:c r="B3063" s="2" t="str">
        <x:v>810c94ade9b0ddcaefd0</x:v>
      </x:c>
      <x:c r="C3063" s="2" t="str">
        <x:v>Tp Hồ Chí Minh</x:v>
      </x:c>
      <x:c r="D3063" s="2" t="str">
        <x:v>Huyện Bình Chánh</x:v>
      </x:c>
      <x:c r="E3063" s="2" t="str">
        <x:v>land</x:v>
      </x:c>
      <x:c r="F3063" s="2" t="str">
        <x:v>sale_assumed</x:v>
      </x:c>
      <x:c r="G3063" s="11" t="n">
        <x:v>280</x:v>
      </x:c>
      <x:c r="H3063" s="12" t="n">
        <x:v>1800000000</x:v>
      </x:c>
      <x:c r="I3063" s="12" t="n">
        <x:v>6428571.428571428</x:v>
      </x:c>
      <x:c r="J3063" s="2" t="str">
        <x:v>total</x:v>
      </x:c>
      <x:c r="K3063" s="2" t="str">
        <x:v>top_level_area</x:v>
      </x:c>
      <x:c r="L3063" s="2" t="str">
        <x:v>property_type_inferred_from_title;transaction_assumed_sale_from_dataset_context</x:v>
      </x:c>
      <x:c r="M3063" s="10" t="n">
        <x:v>0</x:v>
      </x:c>
      <x:c r="N3063" s="10" t="n">
        <x:v>0</x:v>
      </x:c>
      <x:c r="O3063" s="2" t="str">
        <x:v>Tp Hồ Chí Minh|land</x:v>
      </x:c>
      <x:c r="P3063" s="10" t="n">
        <x:v>1</x:v>
      </x:c>
      <x:c r="Q3063" s="13" t="n">
        <x:f>IF(H3063="","",H3063/1000000000)</x:f>
        <x:v>1.8</x:v>
      </x:c>
      <x:c r="R3063" s="13" t="n">
        <x:f>IF(I3063="","",I3063/1000000)</x:f>
        <x:v>6.428571428571428</x:v>
      </x:c>
    </x:row>
    <x:row r="3064" ht="21" customHeight="1">
      <x:c r="A3064" s="10" t="n">
        <x:v>4174</x:v>
      </x:c>
      <x:c r="B3064" s="2" t="str">
        <x:v>0f9ff22eb79c2545362d</x:v>
      </x:c>
      <x:c r="C3064" s="2" t="str">
        <x:v>Tp Hồ Chí Minh</x:v>
      </x:c>
      <x:c r="D3064" s="2" t="str">
        <x:v>Huyện Hóc Môn</x:v>
      </x:c>
      <x:c r="E3064" s="2" t="str">
        <x:v>other_unknown</x:v>
      </x:c>
      <x:c r="F3064" s="2" t="str">
        <x:v>sale</x:v>
      </x:c>
      <x:c r="G3064" s="11" t="n">
        <x:v>320</x:v>
      </x:c>
      <x:c r="H3064" s="12" t="n">
        <x:v>680000000</x:v>
      </x:c>
      <x:c r="I3064" s="12" t="n">
        <x:v>2125000</x:v>
      </x:c>
      <x:c r="J3064" s="2" t="str">
        <x:v>total</x:v>
      </x:c>
      <x:c r="K3064" s="2" t="str">
        <x:v>top_level_area</x:v>
      </x:c>
      <x:c r="L3064" s="2" t="str">
        <x:v>property_type_inferred_from_title;unknown_property_type</x:v>
      </x:c>
      <x:c r="M3064" s="10" t="n">
        <x:v>0</x:v>
      </x:c>
      <x:c r="N3064" s="10" t="n">
        <x:v>0</x:v>
      </x:c>
      <x:c r="O3064" s="2" t="str">
        <x:v>Tp Hồ Chí Minh|other_unknown</x:v>
      </x:c>
      <x:c r="P3064" s="10" t="n">
        <x:v>1</x:v>
      </x:c>
      <x:c r="Q3064" s="13" t="n">
        <x:f>IF(H3064="","",H3064/1000000000)</x:f>
        <x:v>0.68</x:v>
      </x:c>
      <x:c r="R3064" s="13" t="n">
        <x:f>IF(I3064="","",I3064/1000000)</x:f>
        <x:v>2.125</x:v>
      </x:c>
    </x:row>
    <x:row r="3065" ht="21" customHeight="1">
      <x:c r="A3065" s="10" t="n">
        <x:v>4175</x:v>
      </x:c>
      <x:c r="B3065" s="2" t="str">
        <x:v>d8c76ae831ba222d5509</x:v>
      </x:c>
      <x:c r="C3065" s="2" t="str">
        <x:v>Tp Hồ Chí Minh</x:v>
      </x:c>
      <x:c r="D3065" s="2" t="str">
        <x:v>Quận Tân Bình</x:v>
      </x:c>
      <x:c r="E3065" s="2" t="str">
        <x:v>house</x:v>
      </x:c>
      <x:c r="F3065" s="2" t="str">
        <x:v>sale_assumed</x:v>
      </x:c>
      <x:c r="G3065" s="11" t="n">
        <x:v>84</x:v>
      </x:c>
      <x:c r="H3065" s="12" t="n">
        <x:v>6500000000</x:v>
      </x:c>
      <x:c r="I3065" s="12" t="n">
        <x:v>77380952.38095239</x:v>
      </x:c>
      <x:c r="J3065" s="2" t="str">
        <x:v>total</x:v>
      </x:c>
      <x:c r="K3065" s="2" t="str">
        <x:v>top_level_area</x:v>
      </x:c>
      <x:c r="L3065" s="2" t="str">
        <x:v>property_type_inferred_from_title;transaction_assumed_sale_from_dataset_context</x:v>
      </x:c>
      <x:c r="M3065" s="10" t="n">
        <x:v>0</x:v>
      </x:c>
      <x:c r="N3065" s="10" t="n">
        <x:v>0</x:v>
      </x:c>
      <x:c r="O3065" s="2" t="str">
        <x:v>Tp Hồ Chí Minh|house</x:v>
      </x:c>
      <x:c r="P3065" s="10" t="n">
        <x:v>2</x:v>
      </x:c>
      <x:c r="Q3065" s="13" t="n">
        <x:f>IF(H3065="","",H3065/1000000000)</x:f>
        <x:v>6.5</x:v>
      </x:c>
      <x:c r="R3065" s="13" t="n">
        <x:f>IF(I3065="","",I3065/1000000)</x:f>
        <x:v>77.3809523809524</x:v>
      </x:c>
    </x:row>
    <x:row r="3066" ht="21" customHeight="1">
      <x:c r="A3066" s="10" t="n">
        <x:v>4176</x:v>
      </x:c>
      <x:c r="B3066" s="2" t="str">
        <x:v>ba8a069df1971d9bbd89</x:v>
      </x:c>
      <x:c r="C3066" s="2" t="str">
        <x:v>Đà Nẵng</x:v>
      </x:c>
      <x:c r="D3066" s="2" t="str">
        <x:v>Quận Thanh Khê</x:v>
      </x:c>
      <x:c r="E3066" s="2" t="str">
        <x:v>house</x:v>
      </x:c>
      <x:c r="F3066" s="2" t="str">
        <x:v>sale</x:v>
      </x:c>
      <x:c r="G3066" s="11" t="n">
        <x:v>43</x:v>
      </x:c>
      <x:c r="H3066" s="12" t="n">
        <x:v>1580000000</x:v>
      </x:c>
      <x:c r="I3066" s="12" t="n">
        <x:v>36744186.04651163</x:v>
      </x:c>
      <x:c r="J3066" s="2" t="str">
        <x:v>total</x:v>
      </x:c>
      <x:c r="K3066" s="2" t="str">
        <x:v>top_level_area</x:v>
      </x:c>
      <x:c r="L3066" s="2" t="str">
        <x:v>property_type_inferred_from_title</x:v>
      </x:c>
      <x:c r="M3066" s="10" t="n">
        <x:v>0</x:v>
      </x:c>
      <x:c r="N3066" s="10" t="n">
        <x:v>0</x:v>
      </x:c>
      <x:c r="O3066" s="2" t="str">
        <x:v>Đà Nẵng|house</x:v>
      </x:c>
      <x:c r="P3066" s="10" t="n">
        <x:v>2</x:v>
      </x:c>
      <x:c r="Q3066" s="13" t="n">
        <x:f>IF(H3066="","",H3066/1000000000)</x:f>
        <x:v>1.58</x:v>
      </x:c>
      <x:c r="R3066" s="13" t="n">
        <x:f>IF(I3066="","",I3066/1000000)</x:f>
        <x:v>36.74418604651163</x:v>
      </x:c>
    </x:row>
    <x:row r="3067" ht="21" customHeight="1">
      <x:c r="A3067" s="10" t="n">
        <x:v>4177</x:v>
      </x:c>
      <x:c r="B3067" s="2" t="str">
        <x:v>4ddf71c5882383948070</x:v>
      </x:c>
      <x:c r="C3067" s="2" t="str">
        <x:v>Đà Nẵng</x:v>
      </x:c>
      <x:c r="D3067" s="2" t="str">
        <x:v>Quận Cẩm Lệ</x:v>
      </x:c>
      <x:c r="E3067" s="2" t="str">
        <x:v>land</x:v>
      </x:c>
      <x:c r="F3067" s="2" t="str">
        <x:v>sale_assumed</x:v>
      </x:c>
      <x:c r="G3067" s="11" t="n">
        <x:v>100</x:v>
      </x:c>
      <x:c r="H3067" s="12" t="n">
        <x:v>1970000000</x:v>
      </x:c>
      <x:c r="I3067" s="12" t="n">
        <x:v>19700000</x:v>
      </x:c>
      <x:c r="J3067" s="2" t="str">
        <x:v>total</x:v>
      </x:c>
      <x:c r="K3067" s="2" t="str">
        <x:v>top_level_area</x:v>
      </x:c>
      <x:c r="L3067" s="2" t="str">
        <x:v>property_type_inferred_from_title;transaction_assumed_sale_from_dataset_context</x:v>
      </x:c>
      <x:c r="M3067" s="10" t="n">
        <x:v>0</x:v>
      </x:c>
      <x:c r="N3067" s="10" t="n">
        <x:v>0</x:v>
      </x:c>
      <x:c r="O3067" s="2" t="str">
        <x:v>Đà Nẵng|land</x:v>
      </x:c>
      <x:c r="P3067" s="10" t="n">
        <x:v>2</x:v>
      </x:c>
      <x:c r="Q3067" s="13" t="n">
        <x:f>IF(H3067="","",H3067/1000000000)</x:f>
        <x:v>1.97</x:v>
      </x:c>
      <x:c r="R3067" s="13" t="n">
        <x:f>IF(I3067="","",I3067/1000000)</x:f>
        <x:v>19.7</x:v>
      </x:c>
    </x:row>
    <x:row r="3068" ht="21" customHeight="1">
      <x:c r="A3068" s="10" t="n">
        <x:v>4178</x:v>
      </x:c>
      <x:c r="B3068" s="2" t="str">
        <x:v>cdb7dd355e2dd5d72aac</x:v>
      </x:c>
      <x:c r="C3068" s="2" t="str">
        <x:v>Hà Nội</x:v>
      </x:c>
      <x:c r="D3068" s="2" t="str">
        <x:v>Quận Cầu Giấy</x:v>
      </x:c>
      <x:c r="E3068" s="2" t="str">
        <x:v>house</x:v>
      </x:c>
      <x:c r="F3068" s="2" t="str">
        <x:v>sale</x:v>
      </x:c>
      <x:c r="G3068" s="11" t="n">
        <x:v>70</x:v>
      </x:c>
      <x:c r="H3068" s="12" t="n">
        <x:v>13000000000</x:v>
      </x:c>
      <x:c r="I3068" s="12" t="n">
        <x:v>185714285.7142857</x:v>
      </x:c>
      <x:c r="J3068" s="2" t="str">
        <x:v>total</x:v>
      </x:c>
      <x:c r="K3068" s="2" t="str">
        <x:v>top_level_area</x:v>
      </x:c>
      <x:c r="L3068" s="2" t="str">
        <x:v>property_type_inferred_from_title</x:v>
      </x:c>
      <x:c r="M3068" s="10" t="n">
        <x:v>1</x:v>
      </x:c>
      <x:c r="N3068" s="10" t="n">
        <x:v>1</x:v>
      </x:c>
      <x:c r="O3068" s="2" t="str">
        <x:v>Hà Nội|house</x:v>
      </x:c>
      <x:c r="P3068" s="10" t="n">
        <x:v>-1</x:v>
      </x:c>
      <x:c r="Q3068" s="13" t="n">
        <x:f>IF(H3068="","",H3068/1000000000)</x:f>
        <x:v>13</x:v>
      </x:c>
      <x:c r="R3068" s="13" t="n">
        <x:f>IF(I3068="","",I3068/1000000)</x:f>
        <x:v>185.7142857142857</x:v>
      </x:c>
    </x:row>
    <x:row r="3069" ht="21" customHeight="1">
      <x:c r="A3069" s="10" t="n">
        <x:v>4181</x:v>
      </x:c>
      <x:c r="B3069" s="2" t="str">
        <x:v>1d7d49aa935f27d93601</x:v>
      </x:c>
      <x:c r="C3069" s="2" t="str">
        <x:v>Tp Hồ Chí Minh</x:v>
      </x:c>
      <x:c r="D3069" s="2" t="str">
        <x:v>Quận 6</x:v>
      </x:c>
      <x:c r="E3069" s="2" t="str">
        <x:v>apartment</x:v>
      </x:c>
      <x:c r="F3069" s="2" t="str">
        <x:v>sale_assumed</x:v>
      </x:c>
      <x:c r="G3069" s="11" t="n">
        <x:v>52</x:v>
      </x:c>
      <x:c r="H3069" s="12" t="n">
        <x:v>3100000000</x:v>
      </x:c>
      <x:c r="I3069" s="12" t="n">
        <x:v>59615384.615384616</x:v>
      </x:c>
      <x:c r="J3069" s="2" t="str">
        <x:v>total</x:v>
      </x:c>
      <x:c r="K3069" s="2" t="str">
        <x:v>top_level_area</x:v>
      </x:c>
      <x:c r="L3069" s="2" t="str">
        <x:v>property_type_inferred_from_title;transaction_assumed_sale_from_dataset_context</x:v>
      </x:c>
      <x:c r="M3069" s="10" t="n">
        <x:v>0</x:v>
      </x:c>
      <x:c r="N3069" s="10" t="n">
        <x:v>0</x:v>
      </x:c>
      <x:c r="O3069" s="2" t="str">
        <x:v>Tp Hồ Chí Minh|apartment</x:v>
      </x:c>
      <x:c r="P3069" s="10" t="n">
        <x:v>2</x:v>
      </x:c>
      <x:c r="Q3069" s="13" t="n">
        <x:f>IF(H3069="","",H3069/1000000000)</x:f>
        <x:v>3.1</x:v>
      </x:c>
      <x:c r="R3069" s="13" t="n">
        <x:f>IF(I3069="","",I3069/1000000)</x:f>
        <x:v>59.61538461538461</x:v>
      </x:c>
    </x:row>
    <x:row r="3070" ht="21" customHeight="1">
      <x:c r="A3070" s="10" t="n">
        <x:v>4182</x:v>
      </x:c>
      <x:c r="B3070" s="2" t="str">
        <x:v>90220a4e9e3941f5b826</x:v>
      </x:c>
      <x:c r="C3070" s="2" t="str">
        <x:v>Tp Hồ Chí Minh</x:v>
      </x:c>
      <x:c r="D3070" s="2" t="str">
        <x:v>Quận 12</x:v>
      </x:c>
      <x:c r="E3070" s="2" t="str">
        <x:v>land</x:v>
      </x:c>
      <x:c r="F3070" s="2" t="str">
        <x:v>sale</x:v>
      </x:c>
      <x:c r="G3070" s="11" t="n">
        <x:v>64</x:v>
      </x:c>
      <x:c r="H3070" s="12" t="n">
        <x:v>2600000000</x:v>
      </x:c>
      <x:c r="I3070" s="12" t="n">
        <x:v>40625000</x:v>
      </x:c>
      <x:c r="J3070" s="2" t="str">
        <x:v>total</x:v>
      </x:c>
      <x:c r="K3070" s="2" t="str">
        <x:v>top_level_area</x:v>
      </x:c>
      <x:c r="L3070" s="2" t="str">
        <x:v>property_type_inferred_from_title</x:v>
      </x:c>
      <x:c r="M3070" s="10" t="n">
        <x:v>0</x:v>
      </x:c>
      <x:c r="N3070" s="10" t="n">
        <x:v>0</x:v>
      </x:c>
      <x:c r="O3070" s="2" t="str">
        <x:v>Tp Hồ Chí Minh|land</x:v>
      </x:c>
      <x:c r="P3070" s="10" t="n">
        <x:v>2</x:v>
      </x:c>
      <x:c r="Q3070" s="13" t="n">
        <x:f>IF(H3070="","",H3070/1000000000)</x:f>
        <x:v>2.6</x:v>
      </x:c>
      <x:c r="R3070" s="13" t="n">
        <x:f>IF(I3070="","",I3070/1000000)</x:f>
        <x:v>40.625</x:v>
      </x:c>
    </x:row>
    <x:row r="3071" ht="21" customHeight="1">
      <x:c r="A3071" s="10" t="n">
        <x:v>4183</x:v>
      </x:c>
      <x:c r="B3071" s="2" t="str">
        <x:v>5ef3853e2b7aab9b7f72</x:v>
      </x:c>
      <x:c r="C3071" s="2" t="str">
        <x:v>Long An</x:v>
      </x:c>
      <x:c r="D3071" s="2" t="str">
        <x:v>Huyện Đức Hòa</x:v>
      </x:c>
      <x:c r="E3071" s="2" t="str">
        <x:v>land</x:v>
      </x:c>
      <x:c r="F3071" s="2" t="str">
        <x:v>sale_assumed</x:v>
      </x:c>
      <x:c r="G3071" s="11" t="n">
        <x:v>100</x:v>
      </x:c>
      <x:c r="H3071" s="12" t="n">
        <x:v>390000000</x:v>
      </x:c>
      <x:c r="I3071" s="12" t="n">
        <x:v>3900000</x:v>
      </x:c>
      <x:c r="J3071" s="2" t="str">
        <x:v>total</x:v>
      </x:c>
      <x:c r="K3071" s="2" t="str">
        <x:v>top_level_area</x:v>
      </x:c>
      <x:c r="L3071" s="2" t="str">
        <x:v>property_type_inferred_from_title;transaction_assumed_sale_from_dataset_context</x:v>
      </x:c>
      <x:c r="M3071" s="10" t="n">
        <x:v>0</x:v>
      </x:c>
      <x:c r="N3071" s="10" t="n">
        <x:v>0</x:v>
      </x:c>
      <x:c r="O3071" s="2" t="str">
        <x:v>Long An|land</x:v>
      </x:c>
      <x:c r="P3071" s="10" t="n">
        <x:v>2</x:v>
      </x:c>
      <x:c r="Q3071" s="13" t="n">
        <x:f>IF(H3071="","",H3071/1000000000)</x:f>
        <x:v>0.39</x:v>
      </x:c>
      <x:c r="R3071" s="13" t="n">
        <x:f>IF(I3071="","",I3071/1000000)</x:f>
        <x:v>3.9</x:v>
      </x:c>
    </x:row>
    <x:row r="3072" ht="21" customHeight="1">
      <x:c r="A3072" s="10" t="n">
        <x:v>4184</x:v>
      </x:c>
      <x:c r="B3072" s="2" t="str">
        <x:v>833ffce5614fdcbf5630</x:v>
      </x:c>
      <x:c r="C3072" s="2" t="str">
        <x:v>Tp Hồ Chí Minh</x:v>
      </x:c>
      <x:c r="D3072" s="2" t="str">
        <x:v>Quận Tân Bình</x:v>
      </x:c>
      <x:c r="E3072" s="2" t="str">
        <x:v>other_unknown</x:v>
      </x:c>
      <x:c r="F3072" s="2" t="str">
        <x:v>sale_assumed</x:v>
      </x:c>
      <x:c r="G3072" s="11" t="n">
        <x:v>21</x:v>
      </x:c>
      <x:c r="H3072" s="12" t="n">
        <x:v>2500000000</x:v>
      </x:c>
      <x:c r="I3072" s="12" t="n">
        <x:v>119047619.04761904</x:v>
      </x:c>
      <x:c r="J3072" s="2" t="str">
        <x:v>total</x:v>
      </x:c>
      <x:c r="K3072" s="2" t="str">
        <x:v>top_level_area</x:v>
      </x:c>
      <x:c r="L3072" s="2" t="str">
        <x:v>property_type_inferred_from_title;transaction_assumed_sale_from_dataset_context;unknown_property_type</x:v>
      </x:c>
      <x:c r="M3072" s="10" t="n">
        <x:v>0</x:v>
      </x:c>
      <x:c r="N3072" s="10" t="n">
        <x:v>0</x:v>
      </x:c>
      <x:c r="O3072" s="2" t="str">
        <x:v>Tp Hồ Chí Minh|other_unknown</x:v>
      </x:c>
      <x:c r="P3072" s="10" t="n">
        <x:v>2</x:v>
      </x:c>
      <x:c r="Q3072" s="13" t="n">
        <x:f>IF(H3072="","",H3072/1000000000)</x:f>
        <x:v>2.5</x:v>
      </x:c>
      <x:c r="R3072" s="13" t="n">
        <x:f>IF(I3072="","",I3072/1000000)</x:f>
        <x:v>119.04761904761905</x:v>
      </x:c>
    </x:row>
    <x:row r="3073" ht="21" customHeight="1">
      <x:c r="A3073" s="10" t="n">
        <x:v>4185</x:v>
      </x:c>
      <x:c r="B3073" s="2" t="str">
        <x:v>d93250d8748e4583f152</x:v>
      </x:c>
      <x:c r="C3073" s="2" t="str">
        <x:v>Tp Hồ Chí Minh</x:v>
      </x:c>
      <x:c r="D3073" s="2" t="str">
        <x:v>Quận Bình Tân</x:v>
      </x:c>
      <x:c r="E3073" s="2" t="str">
        <x:v>house</x:v>
      </x:c>
      <x:c r="F3073" s="2" t="str">
        <x:v>sale</x:v>
      </x:c>
      <x:c r="G3073" s="11" t="n">
        <x:v>40</x:v>
      </x:c>
      <x:c r="H3073" s="12" t="n">
        <x:v>3250000000</x:v>
      </x:c>
      <x:c r="I3073" s="12" t="n">
        <x:v>81250000</x:v>
      </x:c>
      <x:c r="J3073" s="2" t="str">
        <x:v>total</x:v>
      </x:c>
      <x:c r="K3073" s="2" t="str">
        <x:v>top_level_area</x:v>
      </x:c>
      <x:c r="L3073" s="2" t="str">
        <x:v>property_type_inferred_from_title</x:v>
      </x:c>
      <x:c r="M3073" s="10" t="n">
        <x:v>0</x:v>
      </x:c>
      <x:c r="N3073" s="10" t="n">
        <x:v>0</x:v>
      </x:c>
      <x:c r="O3073" s="2" t="str">
        <x:v>Tp Hồ Chí Minh|house</x:v>
      </x:c>
      <x:c r="P3073" s="10" t="n">
        <x:v>2</x:v>
      </x:c>
      <x:c r="Q3073" s="13" t="n">
        <x:f>IF(H3073="","",H3073/1000000000)</x:f>
        <x:v>3.25</x:v>
      </x:c>
      <x:c r="R3073" s="13" t="n">
        <x:f>IF(I3073="","",I3073/1000000)</x:f>
        <x:v>81.25</x:v>
      </x:c>
    </x:row>
    <x:row r="3074" ht="21" customHeight="1">
      <x:c r="A3074" s="10" t="n">
        <x:v>4186</x:v>
      </x:c>
      <x:c r="B3074" s="2" t="str">
        <x:v>581a9ff93100afd01516</x:v>
      </x:c>
      <x:c r="C3074" s="2" t="str">
        <x:v>Tp Hồ Chí Minh</x:v>
      </x:c>
      <x:c r="D3074" s="2" t="str">
        <x:v>Quận Bình Tân</x:v>
      </x:c>
      <x:c r="E3074" s="2" t="str">
        <x:v>house</x:v>
      </x:c>
      <x:c r="F3074" s="2" t="str">
        <x:v>sale</x:v>
      </x:c>
      <x:c r="G3074" s="11" t="n">
        <x:v>51</x:v>
      </x:c>
      <x:c r="H3074" s="12" t="n">
        <x:v>1100000000</x:v>
      </x:c>
      <x:c r="I3074" s="12" t="n">
        <x:v>21568627.45098039</x:v>
      </x:c>
      <x:c r="J3074" s="2" t="str">
        <x:v>total</x:v>
      </x:c>
      <x:c r="K3074" s="2" t="str">
        <x:v>top_level_area</x:v>
      </x:c>
      <x:c r="L3074" s="2" t="str">
        <x:v>property_type_inferred_from_title</x:v>
      </x:c>
      <x:c r="M3074" s="10" t="n">
        <x:v>0</x:v>
      </x:c>
      <x:c r="N3074" s="10" t="n">
        <x:v>0</x:v>
      </x:c>
      <x:c r="O3074" s="2" t="str">
        <x:v>Tp Hồ Chí Minh|house</x:v>
      </x:c>
      <x:c r="P3074" s="10" t="n">
        <x:v>2</x:v>
      </x:c>
      <x:c r="Q3074" s="13" t="n">
        <x:f>IF(H3074="","",H3074/1000000000)</x:f>
        <x:v>1.1</x:v>
      </x:c>
      <x:c r="R3074" s="13" t="n">
        <x:f>IF(I3074="","",I3074/1000000)</x:f>
        <x:v>21.56862745098039</x:v>
      </x:c>
    </x:row>
    <x:row r="3075" ht="21" customHeight="1">
      <x:c r="A3075" s="10" t="n">
        <x:v>4187</x:v>
      </x:c>
      <x:c r="B3075" s="2" t="str">
        <x:v>f4b252cb1f67b3ca0edf</x:v>
      </x:c>
      <x:c r="C3075" s="2" t="str">
        <x:v>Hải Phòng</x:v>
      </x:c>
      <x:c r="D3075" s="2" t="str">
        <x:v>Quận Ngô Quyền</x:v>
      </x:c>
      <x:c r="E3075" s="2" t="str">
        <x:v>house</x:v>
      </x:c>
      <x:c r="F3075" s="2" t="str">
        <x:v>sale_assumed</x:v>
      </x:c>
      <x:c r="G3075" s="11" t="n">
        <x:v>80</x:v>
      </x:c>
      <x:c r="H3075" s="12" t="n">
        <x:v>3750000000</x:v>
      </x:c>
      <x:c r="I3075" s="12" t="n">
        <x:v>46875000</x:v>
      </x:c>
      <x:c r="J3075" s="2" t="str">
        <x:v>total</x:v>
      </x:c>
      <x:c r="K3075" s="2" t="str">
        <x:v>top_level_area</x:v>
      </x:c>
      <x:c r="L3075" s="2" t="str">
        <x:v>property_type_inferred_from_title;transaction_assumed_sale_from_dataset_context</x:v>
      </x:c>
      <x:c r="M3075" s="10" t="n">
        <x:v>0</x:v>
      </x:c>
      <x:c r="N3075" s="10" t="n">
        <x:v>0</x:v>
      </x:c>
      <x:c r="O3075" s="2" t="str">
        <x:v>house</x:v>
      </x:c>
      <x:c r="P3075" s="10" t="n">
        <x:v>2</x:v>
      </x:c>
      <x:c r="Q3075" s="13" t="n">
        <x:f>IF(H3075="","",H3075/1000000000)</x:f>
        <x:v>3.75</x:v>
      </x:c>
      <x:c r="R3075" s="13" t="n">
        <x:f>IF(I3075="","",I3075/1000000)</x:f>
        <x:v>46.875</x:v>
      </x:c>
    </x:row>
    <x:row r="3076" ht="21" customHeight="1">
      <x:c r="A3076" s="10" t="n">
        <x:v>4188</x:v>
      </x:c>
      <x:c r="B3076" s="2" t="str">
        <x:v>219ad206cf206f7514bd</x:v>
      </x:c>
      <x:c r="C3076" s="2" t="str">
        <x:v>Hà Nội</x:v>
      </x:c>
      <x:c r="D3076" s="2" t="str">
        <x:v>Huyện Thường Tín</x:v>
      </x:c>
      <x:c r="E3076" s="2" t="str">
        <x:v>land</x:v>
      </x:c>
      <x:c r="F3076" s="2" t="str">
        <x:v>sale</x:v>
      </x:c>
      <x:c r="G3076" s="11" t="n">
        <x:v>78.8</x:v>
      </x:c>
      <x:c r="H3076" s="12" t="n">
        <x:v>2285000000</x:v>
      </x:c>
      <x:c r="I3076" s="12" t="n">
        <x:v>28997461.92893401</x:v>
      </x:c>
      <x:c r="J3076" s="2" t="str">
        <x:v>total</x:v>
      </x:c>
      <x:c r="K3076" s="2" t="str">
        <x:v>top_level_area</x:v>
      </x:c>
      <x:c r="L3076" s="2" t="str">
        <x:v>property_type_inferred_from_title</x:v>
      </x:c>
      <x:c r="M3076" s="10" t="n">
        <x:v>0</x:v>
      </x:c>
      <x:c r="N3076" s="10" t="n">
        <x:v>0</x:v>
      </x:c>
      <x:c r="O3076" s="2" t="str">
        <x:v>Hà Nội|land</x:v>
      </x:c>
      <x:c r="P3076" s="10" t="n">
        <x:v>2</x:v>
      </x:c>
      <x:c r="Q3076" s="13" t="n">
        <x:f>IF(H3076="","",H3076/1000000000)</x:f>
        <x:v>2.285</x:v>
      </x:c>
      <x:c r="R3076" s="13" t="n">
        <x:f>IF(I3076="","",I3076/1000000)</x:f>
        <x:v>28.997461928934012</x:v>
      </x:c>
    </x:row>
    <x:row r="3077" ht="21" customHeight="1">
      <x:c r="A3077" s="10" t="n">
        <x:v>4189</x:v>
      </x:c>
      <x:c r="B3077" s="2" t="str">
        <x:v>006539c350b497345c9c</x:v>
      </x:c>
      <x:c r="C3077" s="2" t="str">
        <x:v>Khánh Hòa</x:v>
      </x:c>
      <x:c r="D3077" s="2" t="str">
        <x:v>Thành phố Nha Trang</x:v>
      </x:c>
      <x:c r="E3077" s="2" t="str">
        <x:v>house</x:v>
      </x:c>
      <x:c r="F3077" s="2" t="str">
        <x:v>sale</x:v>
      </x:c>
      <x:c r="G3077" s="11" t="n">
        <x:v>81</x:v>
      </x:c>
      <x:c r="H3077" s="12" t="n">
        <x:v>5500000000</x:v>
      </x:c>
      <x:c r="I3077" s="12" t="n">
        <x:v>67901234.56790124</x:v>
      </x:c>
      <x:c r="J3077" s="2" t="str">
        <x:v>total</x:v>
      </x:c>
      <x:c r="K3077" s="2" t="str">
        <x:v>top_level_area</x:v>
      </x:c>
      <x:c r="L3077" s="2" t="str">
        <x:v>property_type_inferred_from_title</x:v>
      </x:c>
      <x:c r="M3077" s="10" t="n">
        <x:v>0</x:v>
      </x:c>
      <x:c r="N3077" s="10" t="n">
        <x:v>0</x:v>
      </x:c>
      <x:c r="O3077" s="2" t="str">
        <x:v>Khánh Hòa|house</x:v>
      </x:c>
      <x:c r="P3077" s="10" t="n">
        <x:v>2</x:v>
      </x:c>
      <x:c r="Q3077" s="13" t="n">
        <x:f>IF(H3077="","",H3077/1000000000)</x:f>
        <x:v>5.5</x:v>
      </x:c>
      <x:c r="R3077" s="13" t="n">
        <x:f>IF(I3077="","",I3077/1000000)</x:f>
        <x:v>67.90123456790124</x:v>
      </x:c>
    </x:row>
    <x:row r="3078" ht="21" customHeight="1">
      <x:c r="A3078" s="10" t="n">
        <x:v>4190</x:v>
      </x:c>
      <x:c r="B3078" s="2" t="str">
        <x:v>7af3d87bfc64e6fff3aa</x:v>
      </x:c>
      <x:c r="C3078" s="2" t="str">
        <x:v>Tp Hồ Chí Minh</x:v>
      </x:c>
      <x:c r="D3078" s="2" t="str">
        <x:v>Huyện Bình Chánh</x:v>
      </x:c>
      <x:c r="E3078" s="2" t="str">
        <x:v>house</x:v>
      </x:c>
      <x:c r="F3078" s="2" t="str">
        <x:v>sale</x:v>
      </x:c>
      <x:c r="G3078" s="11" t="n">
        <x:v>54</x:v>
      </x:c>
      <x:c r="H3078" s="12" t="n">
        <x:v>855000000</x:v>
      </x:c>
      <x:c r="I3078" s="12" t="n">
        <x:v>15833333.333333334</x:v>
      </x:c>
      <x:c r="J3078" s="2" t="str">
        <x:v>total</x:v>
      </x:c>
      <x:c r="K3078" s="2" t="str">
        <x:v>top_level_area</x:v>
      </x:c>
      <x:c r="L3078" s="2" t="str">
        <x:v>property_type_inferred_from_title</x:v>
      </x:c>
      <x:c r="M3078" s="10" t="n">
        <x:v>0</x:v>
      </x:c>
      <x:c r="N3078" s="10" t="n">
        <x:v>0</x:v>
      </x:c>
      <x:c r="O3078" s="2" t="str">
        <x:v>Tp Hồ Chí Minh|house</x:v>
      </x:c>
      <x:c r="P3078" s="10" t="n">
        <x:v>2</x:v>
      </x:c>
      <x:c r="Q3078" s="13" t="n">
        <x:f>IF(H3078="","",H3078/1000000000)</x:f>
        <x:v>0.855</x:v>
      </x:c>
      <x:c r="R3078" s="13" t="n">
        <x:f>IF(I3078="","",I3078/1000000)</x:f>
        <x:v>15.833333333333334</x:v>
      </x:c>
    </x:row>
    <x:row r="3079" ht="21" customHeight="1">
      <x:c r="A3079" s="10" t="n">
        <x:v>4191</x:v>
      </x:c>
      <x:c r="B3079" s="2" t="str">
        <x:v>8d912a95574dffd83af2</x:v>
      </x:c>
      <x:c r="C3079" s="2" t="str">
        <x:v>Bến Tre</x:v>
      </x:c>
      <x:c r="D3079" s="2" t="str">
        <x:v>Huyện Châu Thành</x:v>
      </x:c>
      <x:c r="E3079" s="2" t="str">
        <x:v>land</x:v>
      </x:c>
      <x:c r="F3079" s="2" t="str">
        <x:v>sale_assumed</x:v>
      </x:c>
      <x:c r="G3079" s="11" t="n">
        <x:v>4700</x:v>
      </x:c>
      <x:c r="H3079" s="12" t="n">
        <x:v>5700000000</x:v>
      </x:c>
      <x:c r="I3079" s="12" t="n">
        <x:v>1212765.9574468085</x:v>
      </x:c>
      <x:c r="J3079" s="2" t="str">
        <x:v>total</x:v>
      </x:c>
      <x:c r="K3079" s="2" t="str">
        <x:v>top_level_area</x:v>
      </x:c>
      <x:c r="L3079" s="2" t="str">
        <x:v>dot_thousands_convention;property_type_inferred_from_title;transaction_assumed_sale_from_dataset_context</x:v>
      </x:c>
      <x:c r="M3079" s="10" t="n">
        <x:v>0</x:v>
      </x:c>
      <x:c r="N3079" s="10" t="n">
        <x:v>0</x:v>
      </x:c>
      <x:c r="O3079" s="2" t="str">
        <x:v>Bến Tre|land</x:v>
      </x:c>
      <x:c r="P3079" s="10" t="n">
        <x:v>1</x:v>
      </x:c>
      <x:c r="Q3079" s="13" t="n">
        <x:f>IF(H3079="","",H3079/1000000000)</x:f>
        <x:v>5.7</x:v>
      </x:c>
      <x:c r="R3079" s="13" t="n">
        <x:f>IF(I3079="","",I3079/1000000)</x:f>
        <x:v>1.2127659574468084</x:v>
      </x:c>
    </x:row>
    <x:row r="3080" ht="21" customHeight="1">
      <x:c r="A3080" s="10" t="n">
        <x:v>4192</x:v>
      </x:c>
      <x:c r="B3080" s="2" t="str">
        <x:v>dc9d9830ddde992c8930</x:v>
      </x:c>
      <x:c r="C3080" s="2" t="str">
        <x:v>Tp Hồ Chí Minh</x:v>
      </x:c>
      <x:c r="D3080" s="2" t="str">
        <x:v>Huyện Bình Chánh</x:v>
      </x:c>
      <x:c r="E3080" s="2" t="str">
        <x:v>house</x:v>
      </x:c>
      <x:c r="F3080" s="2" t="str">
        <x:v>sale_assumed</x:v>
      </x:c>
      <x:c r="G3080" s="11" t="n">
        <x:v>108</x:v>
      </x:c>
      <x:c r="H3080" s="12" t="n">
        <x:v>2000000000</x:v>
      </x:c>
      <x:c r="I3080" s="12" t="n">
        <x:v>18518518.51851852</x:v>
      </x:c>
      <x:c r="J3080" s="2" t="str">
        <x:v>total</x:v>
      </x:c>
      <x:c r="K3080" s="2" t="str">
        <x:v>top_level_area</x:v>
      </x:c>
      <x:c r="L3080" s="2" t="str">
        <x:v>property_type_inferred_from_title;transaction_assumed_sale_from_dataset_context</x:v>
      </x:c>
      <x:c r="M3080" s="10" t="n">
        <x:v>0</x:v>
      </x:c>
      <x:c r="N3080" s="10" t="n">
        <x:v>0</x:v>
      </x:c>
      <x:c r="O3080" s="2" t="str">
        <x:v>Tp Hồ Chí Minh|house</x:v>
      </x:c>
      <x:c r="P3080" s="10" t="n">
        <x:v>2</x:v>
      </x:c>
      <x:c r="Q3080" s="13" t="n">
        <x:f>IF(H3080="","",H3080/1000000000)</x:f>
        <x:v>2</x:v>
      </x:c>
      <x:c r="R3080" s="13" t="n">
        <x:f>IF(I3080="","",I3080/1000000)</x:f>
        <x:v>18.51851851851852</x:v>
      </x:c>
    </x:row>
    <x:row r="3081" ht="21" customHeight="1">
      <x:c r="A3081" s="10" t="n">
        <x:v>4193</x:v>
      </x:c>
      <x:c r="B3081" s="2" t="str">
        <x:v>aaab43f80350ccb7d6f6</x:v>
      </x:c>
      <x:c r="C3081" s="2" t="str">
        <x:v>Cần Thơ</x:v>
      </x:c>
      <x:c r="D3081" s="2" t="str">
        <x:v>Quận Cái Răng</x:v>
      </x:c>
      <x:c r="E3081" s="2" t="str">
        <x:v>land</x:v>
      </x:c>
      <x:c r="F3081" s="2" t="str">
        <x:v>sale</x:v>
      </x:c>
      <x:c r="G3081" s="11" t="n">
        <x:v>980</x:v>
      </x:c>
      <x:c r="H3081" s="12" t="n">
        <x:v>2600000000</x:v>
      </x:c>
      <x:c r="I3081" s="12" t="n">
        <x:v>2653061.224489796</x:v>
      </x:c>
      <x:c r="J3081" s="2" t="str">
        <x:v>total</x:v>
      </x:c>
      <x:c r="K3081" s="2" t="str">
        <x:v>top_level_area</x:v>
      </x:c>
      <x:c r="L3081" s="2" t="str">
        <x:v>property_type_inferred_from_title</x:v>
      </x:c>
      <x:c r="M3081" s="10" t="n">
        <x:v>0</x:v>
      </x:c>
      <x:c r="N3081" s="10" t="n">
        <x:v>0</x:v>
      </x:c>
      <x:c r="O3081" s="2" t="str">
        <x:v>Cần Thơ|land</x:v>
      </x:c>
      <x:c r="P3081" s="10" t="n">
        <x:v>1</x:v>
      </x:c>
      <x:c r="Q3081" s="13" t="n">
        <x:f>IF(H3081="","",H3081/1000000000)</x:f>
        <x:v>2.6</x:v>
      </x:c>
      <x:c r="R3081" s="13" t="n">
        <x:f>IF(I3081="","",I3081/1000000)</x:f>
        <x:v>2.6530612244897958</x:v>
      </x:c>
    </x:row>
    <x:row r="3082" ht="21" customHeight="1">
      <x:c r="A3082" s="10" t="n">
        <x:v>4194</x:v>
      </x:c>
      <x:c r="B3082" s="2" t="str">
        <x:v>e70ba407badf9e3b1fde</x:v>
      </x:c>
      <x:c r="C3082" s="2" t="str">
        <x:v>Hà Nội</x:v>
      </x:c>
      <x:c r="D3082" s="2" t="str">
        <x:v>Quận Long Biên</x:v>
      </x:c>
      <x:c r="E3082" s="2" t="str">
        <x:v>land</x:v>
      </x:c>
      <x:c r="F3082" s="2" t="str">
        <x:v>sale_assumed</x:v>
      </x:c>
      <x:c r="G3082" s="11" t="n">
        <x:v>178</x:v>
      </x:c>
      <x:c r="H3082" s="12" t="n">
        <x:v>13500000000</x:v>
      </x:c>
      <x:c r="I3082" s="12" t="n">
        <x:v>75842696.62921348</x:v>
      </x:c>
      <x:c r="J3082" s="2" t="str">
        <x:v>total</x:v>
      </x:c>
      <x:c r="K3082" s="2" t="str">
        <x:v>top_level_area</x:v>
      </x:c>
      <x:c r="L3082" s="2" t="str">
        <x:v>property_type_inferred_from_title;transaction_assumed_sale_from_dataset_context</x:v>
      </x:c>
      <x:c r="M3082" s="10" t="n">
        <x:v>0</x:v>
      </x:c>
      <x:c r="N3082" s="10" t="n">
        <x:v>0</x:v>
      </x:c>
      <x:c r="O3082" s="2" t="str">
        <x:v>Hà Nội|land</x:v>
      </x:c>
      <x:c r="P3082" s="10" t="n">
        <x:v>2</x:v>
      </x:c>
      <x:c r="Q3082" s="13" t="n">
        <x:f>IF(H3082="","",H3082/1000000000)</x:f>
        <x:v>13.5</x:v>
      </x:c>
      <x:c r="R3082" s="13" t="n">
        <x:f>IF(I3082="","",I3082/1000000)</x:f>
        <x:v>75.84269662921348</x:v>
      </x:c>
    </x:row>
    <x:row r="3083" ht="21" customHeight="1">
      <x:c r="A3083" s="10" t="n">
        <x:v>4195</x:v>
      </x:c>
      <x:c r="B3083" s="2" t="str">
        <x:v>878356417da3cf5149c6</x:v>
      </x:c>
      <x:c r="C3083" s="2" t="str">
        <x:v>Bình Dương</x:v>
      </x:c>
      <x:c r="D3083" s="2" t="str">
        <x:v>Thị xã Thuận An</x:v>
      </x:c>
      <x:c r="E3083" s="2" t="str">
        <x:v>house</x:v>
      </x:c>
      <x:c r="F3083" s="2" t="str">
        <x:v>sale_assumed</x:v>
      </x:c>
      <x:c r="G3083" s="11" t="n">
        <x:v>48</x:v>
      </x:c>
      <x:c r="H3083" s="12" t="n">
        <x:v>890000000</x:v>
      </x:c>
      <x:c r="I3083" s="12" t="n">
        <x:v>18541666.666666668</x:v>
      </x:c>
      <x:c r="J3083" s="2" t="str">
        <x:v>total</x:v>
      </x:c>
      <x:c r="K3083" s="2" t="str">
        <x:v>top_level_area</x:v>
      </x:c>
      <x:c r="L3083" s="2" t="str">
        <x:v>property_type_inferred_from_title;transaction_assumed_sale_from_dataset_context</x:v>
      </x:c>
      <x:c r="M3083" s="10" t="n">
        <x:v>0</x:v>
      </x:c>
      <x:c r="N3083" s="10" t="n">
        <x:v>0</x:v>
      </x:c>
      <x:c r="O3083" s="2" t="str">
        <x:v>Bình Dương|house</x:v>
      </x:c>
      <x:c r="P3083" s="10" t="n">
        <x:v>2</x:v>
      </x:c>
      <x:c r="Q3083" s="13" t="n">
        <x:f>IF(H3083="","",H3083/1000000000)</x:f>
        <x:v>0.89</x:v>
      </x:c>
      <x:c r="R3083" s="13" t="n">
        <x:f>IF(I3083="","",I3083/1000000)</x:f>
        <x:v>18.541666666666668</x:v>
      </x:c>
    </x:row>
    <x:row r="3084" ht="21" customHeight="1">
      <x:c r="A3084" s="10" t="n">
        <x:v>4196</x:v>
      </x:c>
      <x:c r="B3084" s="2" t="str">
        <x:v>df400b786c342c48412a</x:v>
      </x:c>
      <x:c r="C3084" s="2" t="str">
        <x:v>Hà Nội</x:v>
      </x:c>
      <x:c r="D3084" s="2" t="str">
        <x:v>Quận Thanh Xuân</x:v>
      </x:c>
      <x:c r="E3084" s="2" t="str">
        <x:v>other_unknown</x:v>
      </x:c>
      <x:c r="F3084" s="2" t="str">
        <x:v>sale_assumed</x:v>
      </x:c>
      <x:c r="G3084" s="11" t="n">
        <x:v>62</x:v>
      </x:c>
      <x:c r="H3084" s="12" t="n">
        <x:v>5200000000</x:v>
      </x:c>
      <x:c r="I3084" s="12" t="n">
        <x:v>83870967.74193548</x:v>
      </x:c>
      <x:c r="J3084" s="2" t="str">
        <x:v>total</x:v>
      </x:c>
      <x:c r="K3084" s="2" t="str">
        <x:v>top_level_area</x:v>
      </x:c>
      <x:c r="L3084" s="2" t="str">
        <x:v>property_type_inferred_from_title;transaction_assumed_sale_from_dataset_context;unknown_property_type</x:v>
      </x:c>
      <x:c r="M3084" s="10" t="n">
        <x:v>0</x:v>
      </x:c>
      <x:c r="N3084" s="10" t="n">
        <x:v>0</x:v>
      </x:c>
      <x:c r="O3084" s="2" t="str">
        <x:v>Hà Nội|other_unknown</x:v>
      </x:c>
      <x:c r="P3084" s="10" t="n">
        <x:v>2</x:v>
      </x:c>
      <x:c r="Q3084" s="13" t="n">
        <x:f>IF(H3084="","",H3084/1000000000)</x:f>
        <x:v>5.2</x:v>
      </x:c>
      <x:c r="R3084" s="13" t="n">
        <x:f>IF(I3084="","",I3084/1000000)</x:f>
        <x:v>83.87096774193547</x:v>
      </x:c>
    </x:row>
    <x:row r="3085" ht="21" customHeight="1">
      <x:c r="A3085" s="10" t="n">
        <x:v>4197</x:v>
      </x:c>
      <x:c r="B3085" s="2" t="str">
        <x:v>f15ae4a93430bec01833</x:v>
      </x:c>
      <x:c r="C3085" s="2" t="str">
        <x:v>Long An</x:v>
      </x:c>
      <x:c r="D3085" s="2" t="str">
        <x:v>Huyện Cần Đước</x:v>
      </x:c>
      <x:c r="E3085" s="2" t="str">
        <x:v>land</x:v>
      </x:c>
      <x:c r="F3085" s="2" t="str">
        <x:v>sale_assumed</x:v>
      </x:c>
      <x:c r="G3085" s="11" t="n">
        <x:v>100</x:v>
      </x:c>
      <x:c r="H3085" s="12" t="n">
        <x:v>500000000</x:v>
      </x:c>
      <x:c r="I3085" s="12" t="n">
        <x:v>5000000</x:v>
      </x:c>
      <x:c r="J3085" s="2" t="str">
        <x:v>total</x:v>
      </x:c>
      <x:c r="K3085" s="2" t="str">
        <x:v>top_level_area</x:v>
      </x:c>
      <x:c r="L3085" s="2" t="str">
        <x:v>property_type_inferred_from_title;transaction_assumed_sale_from_dataset_context</x:v>
      </x:c>
      <x:c r="M3085" s="10" t="n">
        <x:v>0</x:v>
      </x:c>
      <x:c r="N3085" s="10" t="n">
        <x:v>0</x:v>
      </x:c>
      <x:c r="O3085" s="2" t="str">
        <x:v>Long An|land</x:v>
      </x:c>
      <x:c r="P3085" s="10" t="n">
        <x:v>2</x:v>
      </x:c>
      <x:c r="Q3085" s="13" t="n">
        <x:f>IF(H3085="","",H3085/1000000000)</x:f>
        <x:v>0.5</x:v>
      </x:c>
      <x:c r="R3085" s="13" t="n">
        <x:f>IF(I3085="","",I3085/1000000)</x:f>
        <x:v>5</x:v>
      </x:c>
    </x:row>
    <x:row r="3086" ht="21" customHeight="1">
      <x:c r="A3086" s="10" t="n">
        <x:v>4198</x:v>
      </x:c>
      <x:c r="B3086" s="2" t="str">
        <x:v>18fc8cebb6e809787c34</x:v>
      </x:c>
      <x:c r="C3086" s="2" t="str">
        <x:v>Tp Hồ Chí Minh</x:v>
      </x:c>
      <x:c r="D3086" s="2" t="str">
        <x:v>Huyện Bình Chánh</x:v>
      </x:c>
      <x:c r="E3086" s="2" t="str">
        <x:v>house</x:v>
      </x:c>
      <x:c r="F3086" s="2" t="str">
        <x:v>sale_assumed</x:v>
      </x:c>
      <x:c r="G3086" s="11" t="n">
        <x:v>300000</x:v>
      </x:c>
      <x:c r="H3086" s="12" t="n">
        <x:v>1800000000</x:v>
      </x:c>
      <x:c r="I3086" s="12" t="n">
        <x:v>6000</x:v>
      </x:c>
      <x:c r="J3086" s="2" t="str">
        <x:v>total</x:v>
      </x:c>
      <x:c r="K3086" s="2" t="str">
        <x:v>top_level_area</x:v>
      </x:c>
      <x:c r="L3086" s="2" t="str">
        <x:v>dot_thousands_convention;property_type_inferred_from_title;transaction_assumed_sale_from_dataset_context</x:v>
      </x:c>
      <x:c r="M3086" s="10" t="n">
        <x:v>0</x:v>
      </x:c>
      <x:c r="N3086" s="10" t="n">
        <x:v>0</x:v>
      </x:c>
      <x:c r="O3086" s="2" t="str">
        <x:v>Tp Hồ Chí Minh|house</x:v>
      </x:c>
      <x:c r="P3086" s="10" t="n">
        <x:v>1</x:v>
      </x:c>
      <x:c r="Q3086" s="13" t="n">
        <x:f>IF(H3086="","",H3086/1000000000)</x:f>
        <x:v>1.8</x:v>
      </x:c>
      <x:c r="R3086" s="13" t="n">
        <x:f>IF(I3086="","",I3086/1000000)</x:f>
        <x:v>0.006</x:v>
      </x:c>
    </x:row>
    <x:row r="3087" ht="21" customHeight="1">
      <x:c r="A3087" s="10" t="n">
        <x:v>4199</x:v>
      </x:c>
      <x:c r="B3087" s="2" t="str">
        <x:v>9ab559d99cc91b1bffd0</x:v>
      </x:c>
      <x:c r="C3087" s="2" t="str">
        <x:v>Long An</x:v>
      </x:c>
      <x:c r="D3087" s="2" t="str">
        <x:v>Huyện Đức Hòa</x:v>
      </x:c>
      <x:c r="E3087" s="2" t="str">
        <x:v>land</x:v>
      </x:c>
      <x:c r="F3087" s="2" t="str">
        <x:v>sale_assumed</x:v>
      </x:c>
      <x:c r="G3087" s="11" t="n">
        <x:v>120</x:v>
      </x:c>
      <x:c r="H3087" s="12" t="n">
        <x:v>400000000</x:v>
      </x:c>
      <x:c r="I3087" s="12" t="n">
        <x:v>3333333.3333333335</x:v>
      </x:c>
      <x:c r="J3087" s="2" t="str">
        <x:v>total</x:v>
      </x:c>
      <x:c r="K3087" s="2" t="str">
        <x:v>top_level_area</x:v>
      </x:c>
      <x:c r="L3087" s="2" t="str">
        <x:v>property_type_inferred_from_title;transaction_assumed_sale_from_dataset_context</x:v>
      </x:c>
      <x:c r="M3087" s="10" t="n">
        <x:v>0</x:v>
      </x:c>
      <x:c r="N3087" s="10" t="n">
        <x:v>0</x:v>
      </x:c>
      <x:c r="O3087" s="2" t="str">
        <x:v>Long An|land</x:v>
      </x:c>
      <x:c r="P3087" s="10" t="n">
        <x:v>1</x:v>
      </x:c>
      <x:c r="Q3087" s="13" t="n">
        <x:f>IF(H3087="","",H3087/1000000000)</x:f>
        <x:v>0.4</x:v>
      </x:c>
      <x:c r="R3087" s="13" t="n">
        <x:f>IF(I3087="","",I3087/1000000)</x:f>
        <x:v>3.3333333333333335</x:v>
      </x:c>
    </x:row>
    <x:row r="3088" ht="21" customHeight="1">
      <x:c r="A3088" s="10" t="n">
        <x:v>4202</x:v>
      </x:c>
      <x:c r="B3088" s="2" t="str">
        <x:v>af01d1dadfa79ce558fa</x:v>
      </x:c>
      <x:c r="C3088" s="2" t="str">
        <x:v>Tp Hồ Chí Minh</x:v>
      </x:c>
      <x:c r="D3088" s="2" t="str">
        <x:v>Huyện Cần Giờ</x:v>
      </x:c>
      <x:c r="E3088" s="2" t="str">
        <x:v>land</x:v>
      </x:c>
      <x:c r="F3088" s="2" t="str">
        <x:v>sale</x:v>
      </x:c>
      <x:c r="G3088" s="11" t="n">
        <x:v>11105</x:v>
      </x:c>
      <x:c r="H3088" s="12" t="n">
        <x:v>650000000</x:v>
      </x:c>
      <x:c r="I3088" s="12" t="n">
        <x:v>58532.192705988295</x:v>
      </x:c>
      <x:c r="J3088" s="2" t="str">
        <x:v>total</x:v>
      </x:c>
      <x:c r="K3088" s="2" t="str">
        <x:v>top_level_area</x:v>
      </x:c>
      <x:c r="L3088" s="2" t="str">
        <x:v>dot_thousands_convention;property_type_inferred_from_title</x:v>
      </x:c>
      <x:c r="M3088" s="10" t="n">
        <x:v>0</x:v>
      </x:c>
      <x:c r="N3088" s="10" t="n">
        <x:v>0</x:v>
      </x:c>
      <x:c r="O3088" s="2" t="str">
        <x:v>Tp Hồ Chí Minh|land</x:v>
      </x:c>
      <x:c r="P3088" s="10" t="n">
        <x:v>1</x:v>
      </x:c>
      <x:c r="Q3088" s="13" t="n">
        <x:f>IF(H3088="","",H3088/1000000000)</x:f>
        <x:v>0.65</x:v>
      </x:c>
      <x:c r="R3088" s="13" t="n">
        <x:f>IF(I3088="","",I3088/1000000)</x:f>
        <x:v>0.05853219270598829</x:v>
      </x:c>
    </x:row>
    <x:row r="3089" ht="21" customHeight="1">
      <x:c r="A3089" s="10" t="n">
        <x:v>4203</x:v>
      </x:c>
      <x:c r="B3089" s="2" t="str">
        <x:v>8e4509609bd0341daba8</x:v>
      </x:c>
      <x:c r="C3089" s="2" t="str">
        <x:v>Đồng Nai</x:v>
      </x:c>
      <x:c r="D3089" s="2" t="str">
        <x:v>Huyện Định Quán</x:v>
      </x:c>
      <x:c r="E3089" s="2" t="str">
        <x:v>land</x:v>
      </x:c>
      <x:c r="F3089" s="2" t="str">
        <x:v>sale</x:v>
      </x:c>
      <x:c r="G3089" s="11" t="n">
        <x:v>241</x:v>
      </x:c>
      <x:c r="H3089" s="12" t="n">
        <x:v>2340000000</x:v>
      </x:c>
      <x:c r="I3089" s="12" t="n">
        <x:v>9709543.56846473</x:v>
      </x:c>
      <x:c r="J3089" s="2" t="str">
        <x:v>total</x:v>
      </x:c>
      <x:c r="K3089" s="2" t="str">
        <x:v>top_level_area</x:v>
      </x:c>
      <x:c r="L3089" s="2" t="str">
        <x:v>property_type_inferred_from_title</x:v>
      </x:c>
      <x:c r="M3089" s="10" t="n">
        <x:v>0</x:v>
      </x:c>
      <x:c r="N3089" s="10" t="n">
        <x:v>0</x:v>
      </x:c>
      <x:c r="O3089" s="2" t="str">
        <x:v>Đồng Nai|land</x:v>
      </x:c>
      <x:c r="P3089" s="10" t="n">
        <x:v>2</x:v>
      </x:c>
      <x:c r="Q3089" s="13" t="n">
        <x:f>IF(H3089="","",H3089/1000000000)</x:f>
        <x:v>2.34</x:v>
      </x:c>
      <x:c r="R3089" s="13" t="n">
        <x:f>IF(I3089="","",I3089/1000000)</x:f>
        <x:v>9.70954356846473</x:v>
      </x:c>
    </x:row>
    <x:row r="3090" ht="21" customHeight="1">
      <x:c r="A3090" s="10" t="n">
        <x:v>4204</x:v>
      </x:c>
      <x:c r="B3090" s="2" t="str">
        <x:v>ba0c66c45ad4ff6cd8be</x:v>
      </x:c>
      <x:c r="C3090" s="2" t="str">
        <x:v>Cần Thơ</x:v>
      </x:c>
      <x:c r="D3090" s="2" t="str">
        <x:v>Quận Cái Răng</x:v>
      </x:c>
      <x:c r="E3090" s="2" t="str">
        <x:v>house</x:v>
      </x:c>
      <x:c r="F3090" s="2" t="str">
        <x:v>sale</x:v>
      </x:c>
      <x:c r="G3090" s="11" t="n">
        <x:v>79</x:v>
      </x:c>
      <x:c r="H3090" s="12" t="n">
        <x:v>5100000000</x:v>
      </x:c>
      <x:c r="I3090" s="12" t="n">
        <x:v>64556962.025316454</x:v>
      </x:c>
      <x:c r="J3090" s="2" t="str">
        <x:v>total</x:v>
      </x:c>
      <x:c r="K3090" s="2" t="str">
        <x:v>top_level_area</x:v>
      </x:c>
      <x:c r="L3090" s="2" t="str">
        <x:v>property_type_inferred_from_title</x:v>
      </x:c>
      <x:c r="M3090" s="10" t="n">
        <x:v>0</x:v>
      </x:c>
      <x:c r="N3090" s="10" t="n">
        <x:v>0</x:v>
      </x:c>
      <x:c r="O3090" s="2" t="str">
        <x:v>Cần Thơ|house</x:v>
      </x:c>
      <x:c r="P3090" s="10" t="n">
        <x:v>2</x:v>
      </x:c>
      <x:c r="Q3090" s="13" t="n">
        <x:f>IF(H3090="","",H3090/1000000000)</x:f>
        <x:v>5.1</x:v>
      </x:c>
      <x:c r="R3090" s="13" t="n">
        <x:f>IF(I3090="","",I3090/1000000)</x:f>
        <x:v>64.55696202531645</x:v>
      </x:c>
    </x:row>
    <x:row r="3091" ht="21" customHeight="1">
      <x:c r="A3091" s="10" t="n">
        <x:v>4205</x:v>
      </x:c>
      <x:c r="B3091" s="2" t="str">
        <x:v>15266e7787ae832c5494</x:v>
      </x:c>
      <x:c r="C3091" s="2" t="str">
        <x:v>Hải Phòng</x:v>
      </x:c>
      <x:c r="D3091" s="2" t="str">
        <x:v>Quận Đồ Sơn</x:v>
      </x:c>
      <x:c r="E3091" s="2" t="str">
        <x:v>other_unknown</x:v>
      </x:c>
      <x:c r="F3091" s="2" t="str">
        <x:v>sale_assumed</x:v>
      </x:c>
      <x:c r="G3091" s="11" t="n">
        <x:v>100</x:v>
      </x:c>
      <x:c r="H3091" s="12" t="n">
        <x:v>1300000000</x:v>
      </x:c>
      <x:c r="I3091" s="12" t="n">
        <x:v>13000000</x:v>
      </x:c>
      <x:c r="J3091" s="2" t="str">
        <x:v>total</x:v>
      </x:c>
      <x:c r="K3091" s="2" t="str">
        <x:v>top_level_area</x:v>
      </x:c>
      <x:c r="L3091" s="2" t="str">
        <x:v>property_type_inferred_from_title;transaction_assumed_sale_from_dataset_context;unknown_property_type</x:v>
      </x:c>
      <x:c r="M3091" s="10" t="n">
        <x:v>0</x:v>
      </x:c>
      <x:c r="N3091" s="10" t="n">
        <x:v>0</x:v>
      </x:c>
      <x:c r="O3091" s="2" t="str">
        <x:v>other_unknown</x:v>
      </x:c>
      <x:c r="P3091" s="10" t="n">
        <x:v>2</x:v>
      </x:c>
      <x:c r="Q3091" s="13" t="n">
        <x:f>IF(H3091="","",H3091/1000000000)</x:f>
        <x:v>1.3</x:v>
      </x:c>
      <x:c r="R3091" s="13" t="n">
        <x:f>IF(I3091="","",I3091/1000000)</x:f>
        <x:v>13</x:v>
      </x:c>
    </x:row>
    <x:row r="3092" ht="21" customHeight="1">
      <x:c r="A3092" s="10" t="n">
        <x:v>4206</x:v>
      </x:c>
      <x:c r="B3092" s="2" t="str">
        <x:v>24164b2407b7428d940b</x:v>
      </x:c>
      <x:c r="C3092" s="2" t="str">
        <x:v>Hải Phòng</x:v>
      </x:c>
      <x:c r="D3092" s="2" t="str">
        <x:v>Quận Lê Chân</x:v>
      </x:c>
      <x:c r="E3092" s="2" t="str">
        <x:v>house</x:v>
      </x:c>
      <x:c r="F3092" s="2" t="str">
        <x:v>sale</x:v>
      </x:c>
      <x:c r="G3092" s="11" t="n">
        <x:v>175</x:v>
      </x:c>
      <x:c r="H3092" s="12" t="n">
        <x:v>6200000000</x:v>
      </x:c>
      <x:c r="I3092" s="12" t="n">
        <x:v>35428571.428571425</x:v>
      </x:c>
      <x:c r="J3092" s="2" t="str">
        <x:v>total</x:v>
      </x:c>
      <x:c r="K3092" s="2" t="str">
        <x:v>top_level_area</x:v>
      </x:c>
      <x:c r="L3092" s="2" t="str">
        <x:v>property_type_inferred_from_title</x:v>
      </x:c>
      <x:c r="M3092" s="10" t="n">
        <x:v>0</x:v>
      </x:c>
      <x:c r="N3092" s="10" t="n">
        <x:v>0</x:v>
      </x:c>
      <x:c r="O3092" s="2" t="str">
        <x:v>house</x:v>
      </x:c>
      <x:c r="P3092" s="10" t="n">
        <x:v>2</x:v>
      </x:c>
      <x:c r="Q3092" s="13" t="n">
        <x:f>IF(H3092="","",H3092/1000000000)</x:f>
        <x:v>6.2</x:v>
      </x:c>
      <x:c r="R3092" s="13" t="n">
        <x:f>IF(I3092="","",I3092/1000000)</x:f>
        <x:v>35.42857142857142</x:v>
      </x:c>
    </x:row>
    <x:row r="3093" ht="21" customHeight="1">
      <x:c r="A3093" s="10" t="n">
        <x:v>4207</x:v>
      </x:c>
      <x:c r="B3093" s="2" t="str">
        <x:v>7c82b1fbcf8c62ba07c2</x:v>
      </x:c>
      <x:c r="C3093" s="2" t="str">
        <x:v>Hà Nội</x:v>
      </x:c>
      <x:c r="D3093" s="2" t="str">
        <x:v>Quận Bắc Từ Liêm</x:v>
      </x:c>
      <x:c r="E3093" s="2" t="str">
        <x:v>house</x:v>
      </x:c>
      <x:c r="F3093" s="2" t="str">
        <x:v>sale</x:v>
      </x:c>
      <x:c r="G3093" s="11" t="n">
        <x:v>32</x:v>
      </x:c>
      <x:c r="H3093" s="12" t="n">
        <x:v>3800000000</x:v>
      </x:c>
      <x:c r="I3093" s="12" t="n">
        <x:v>118750000</x:v>
      </x:c>
      <x:c r="J3093" s="2" t="str">
        <x:v>total</x:v>
      </x:c>
      <x:c r="K3093" s="2" t="str">
        <x:v>top_level_area</x:v>
      </x:c>
      <x:c r="L3093" s="2" t="str">
        <x:v>property_type_inferred_from_title</x:v>
      </x:c>
      <x:c r="M3093" s="10" t="n">
        <x:v>0</x:v>
      </x:c>
      <x:c r="N3093" s="10" t="n">
        <x:v>0</x:v>
      </x:c>
      <x:c r="O3093" s="2" t="str">
        <x:v>Hà Nội|house</x:v>
      </x:c>
      <x:c r="P3093" s="10" t="n">
        <x:v>2</x:v>
      </x:c>
      <x:c r="Q3093" s="13" t="n">
        <x:f>IF(H3093="","",H3093/1000000000)</x:f>
        <x:v>3.8</x:v>
      </x:c>
      <x:c r="R3093" s="13" t="n">
        <x:f>IF(I3093="","",I3093/1000000)</x:f>
        <x:v>118.75</x:v>
      </x:c>
    </x:row>
    <x:row r="3094" ht="21" customHeight="1">
      <x:c r="A3094" s="10" t="n">
        <x:v>4208</x:v>
      </x:c>
      <x:c r="B3094" s="2" t="str">
        <x:v>620300e84bf6845e48b0</x:v>
      </x:c>
      <x:c r="C3094" s="2" t="str">
        <x:v>Hà Nội</x:v>
      </x:c>
      <x:c r="D3094" s="2" t="str">
        <x:v>Quận Đống Đa</x:v>
      </x:c>
      <x:c r="E3094" s="2" t="str">
        <x:v>house</x:v>
      </x:c>
      <x:c r="F3094" s="2" t="str">
        <x:v>sale</x:v>
      </x:c>
      <x:c r="G3094" s="11" t="n">
        <x:v>140</x:v>
      </x:c>
      <x:c r="H3094" s="12" t="n">
        <x:v>23850000000</x:v>
      </x:c>
      <x:c r="I3094" s="12" t="n">
        <x:v>170357142.85714287</x:v>
      </x:c>
      <x:c r="J3094" s="2" t="str">
        <x:v>total</x:v>
      </x:c>
      <x:c r="K3094" s="2" t="str">
        <x:v>top_level_area</x:v>
      </x:c>
      <x:c r="L3094" s="2" t="str">
        <x:v>property_type_inferred_from_title</x:v>
      </x:c>
      <x:c r="M3094" s="10" t="n">
        <x:v>1</x:v>
      </x:c>
      <x:c r="N3094" s="10" t="n">
        <x:v>1</x:v>
      </x:c>
      <x:c r="O3094" s="2" t="str">
        <x:v>Hà Nội|house</x:v>
      </x:c>
      <x:c r="P3094" s="10" t="n">
        <x:v>-1</x:v>
      </x:c>
      <x:c r="Q3094" s="13" t="n">
        <x:f>IF(H3094="","",H3094/1000000000)</x:f>
        <x:v>23.85</x:v>
      </x:c>
      <x:c r="R3094" s="13" t="n">
        <x:f>IF(I3094="","",I3094/1000000)</x:f>
        <x:v>170.35714285714286</x:v>
      </x:c>
    </x:row>
    <x:row r="3095" ht="21" customHeight="1">
      <x:c r="A3095" s="10" t="n">
        <x:v>4209</x:v>
      </x:c>
      <x:c r="B3095" s="2" t="str">
        <x:v>e69338014aa549be291a</x:v>
      </x:c>
      <x:c r="C3095" s="2" t="str">
        <x:v>Đà Nẵng</x:v>
      </x:c>
      <x:c r="D3095" s="2" t="str">
        <x:v>Quận Liên Chiểu</x:v>
      </x:c>
      <x:c r="E3095" s="2" t="str">
        <x:v>house</x:v>
      </x:c>
      <x:c r="F3095" s="2" t="str">
        <x:v>sale</x:v>
      </x:c>
      <x:c r="G3095" s="11" t="n">
        <x:v>75</x:v>
      </x:c>
      <x:c r="H3095" s="12" t="n">
        <x:v>2900000000</x:v>
      </x:c>
      <x:c r="I3095" s="12" t="n">
        <x:v>38666666.666666664</x:v>
      </x:c>
      <x:c r="J3095" s="2" t="str">
        <x:v>total</x:v>
      </x:c>
      <x:c r="K3095" s="2" t="str">
        <x:v>top_level_area</x:v>
      </x:c>
      <x:c r="L3095" s="2" t="str">
        <x:v>property_type_inferred_from_title</x:v>
      </x:c>
      <x:c r="M3095" s="10" t="n">
        <x:v>0</x:v>
      </x:c>
      <x:c r="N3095" s="10" t="n">
        <x:v>0</x:v>
      </x:c>
      <x:c r="O3095" s="2" t="str">
        <x:v>Đà Nẵng|house</x:v>
      </x:c>
      <x:c r="P3095" s="10" t="n">
        <x:v>2</x:v>
      </x:c>
      <x:c r="Q3095" s="13" t="n">
        <x:f>IF(H3095="","",H3095/1000000000)</x:f>
        <x:v>2.9</x:v>
      </x:c>
      <x:c r="R3095" s="13" t="n">
        <x:f>IF(I3095="","",I3095/1000000)</x:f>
        <x:v>38.666666666666664</x:v>
      </x:c>
    </x:row>
    <x:row r="3096" ht="21" customHeight="1">
      <x:c r="A3096" s="10" t="n">
        <x:v>4210</x:v>
      </x:c>
      <x:c r="B3096" s="2" t="str">
        <x:v>5237894a82cb850402e1</x:v>
      </x:c>
      <x:c r="C3096" s="2" t="str">
        <x:v>Cần Thơ</x:v>
      </x:c>
      <x:c r="D3096" s="2" t="str">
        <x:v>Quận Cái Răng</x:v>
      </x:c>
      <x:c r="E3096" s="2" t="str">
        <x:v>house</x:v>
      </x:c>
      <x:c r="F3096" s="2" t="str">
        <x:v>sale_assumed</x:v>
      </x:c>
      <x:c r="G3096" s="11" t="n">
        <x:v>85</x:v>
      </x:c>
      <x:c r="H3096" s="12" t="n">
        <x:v>4200000000</x:v>
      </x:c>
      <x:c r="I3096" s="12" t="n">
        <x:v>49411764.705882356</x:v>
      </x:c>
      <x:c r="J3096" s="2" t="str">
        <x:v>total</x:v>
      </x:c>
      <x:c r="K3096" s="2" t="str">
        <x:v>top_level_area</x:v>
      </x:c>
      <x:c r="L3096" s="2" t="str">
        <x:v>property_type_inferred_from_title;transaction_assumed_sale_from_dataset_context</x:v>
      </x:c>
      <x:c r="M3096" s="10" t="n">
        <x:v>0</x:v>
      </x:c>
      <x:c r="N3096" s="10" t="n">
        <x:v>0</x:v>
      </x:c>
      <x:c r="O3096" s="2" t="str">
        <x:v>Cần Thơ|house</x:v>
      </x:c>
      <x:c r="P3096" s="10" t="n">
        <x:v>2</x:v>
      </x:c>
      <x:c r="Q3096" s="13" t="n">
        <x:f>IF(H3096="","",H3096/1000000000)</x:f>
        <x:v>4.2</x:v>
      </x:c>
      <x:c r="R3096" s="13" t="n">
        <x:f>IF(I3096="","",I3096/1000000)</x:f>
        <x:v>49.411764705882355</x:v>
      </x:c>
    </x:row>
    <x:row r="3097" ht="21" customHeight="1">
      <x:c r="A3097" s="10" t="n">
        <x:v>4211</x:v>
      </x:c>
      <x:c r="B3097" s="2" t="str">
        <x:v>9036eca1061555e9536d</x:v>
      </x:c>
      <x:c r="C3097" s="2" t="str">
        <x:v>Vĩnh Long</x:v>
      </x:c>
      <x:c r="D3097" s="2" t="str">
        <x:v>Thành phố Vĩnh Long</x:v>
      </x:c>
      <x:c r="E3097" s="2" t="str">
        <x:v>land</x:v>
      </x:c>
      <x:c r="F3097" s="2" t="str">
        <x:v>sale_assumed</x:v>
      </x:c>
      <x:c r="G3097" s="11" t="n">
        <x:v>234.6</x:v>
      </x:c>
      <x:c r="H3097" s="12" t="n">
        <x:v>1459000000</x:v>
      </x:c>
      <x:c r="I3097" s="12" t="n">
        <x:v>6219096.334185848</x:v>
      </x:c>
      <x:c r="J3097" s="2" t="str">
        <x:v>total</x:v>
      </x:c>
      <x:c r="K3097" s="2" t="str">
        <x:v>top_level_area</x:v>
      </x:c>
      <x:c r="L3097" s="2" t="str">
        <x:v>property_type_inferred_from_title;transaction_assumed_sale_from_dataset_context</x:v>
      </x:c>
      <x:c r="M3097" s="10" t="n">
        <x:v>0</x:v>
      </x:c>
      <x:c r="N3097" s="10" t="n">
        <x:v>0</x:v>
      </x:c>
      <x:c r="O3097" s="2" t="str">
        <x:v>land</x:v>
      </x:c>
      <x:c r="P3097" s="10" t="n">
        <x:v>1</x:v>
      </x:c>
      <x:c r="Q3097" s="13" t="n">
        <x:f>IF(H3097="","",H3097/1000000000)</x:f>
        <x:v>1.459</x:v>
      </x:c>
      <x:c r="R3097" s="13" t="n">
        <x:f>IF(I3097="","",I3097/1000000)</x:f>
        <x:v>6.219096334185848</x:v>
      </x:c>
    </x:row>
    <x:row r="3098" ht="21" customHeight="1">
      <x:c r="A3098" s="10" t="n">
        <x:v>4212</x:v>
      </x:c>
      <x:c r="B3098" s="2" t="str">
        <x:v>8d35b123c15d3d2950d9</x:v>
      </x:c>
      <x:c r="C3098" s="2" t="str">
        <x:v>Tp Hồ Chí Minh</x:v>
      </x:c>
      <x:c r="D3098" s="2" t="str">
        <x:v>Huyện Bình Chánh</x:v>
      </x:c>
      <x:c r="E3098" s="2" t="str">
        <x:v>house</x:v>
      </x:c>
      <x:c r="F3098" s="2" t="str">
        <x:v>sale_assumed</x:v>
      </x:c>
      <x:c r="G3098" s="11" t="n">
        <x:v>100</x:v>
      </x:c>
      <x:c r="H3098" s="12" t="n">
        <x:v>2000000000</x:v>
      </x:c>
      <x:c r="I3098" s="12" t="n">
        <x:v>20000000</x:v>
      </x:c>
      <x:c r="J3098" s="2" t="str">
        <x:v>total</x:v>
      </x:c>
      <x:c r="K3098" s="2" t="str">
        <x:v>top_level_area</x:v>
      </x:c>
      <x:c r="L3098" s="2" t="str">
        <x:v>property_type_inferred_from_title;transaction_assumed_sale_from_dataset_context</x:v>
      </x:c>
      <x:c r="M3098" s="10" t="n">
        <x:v>0</x:v>
      </x:c>
      <x:c r="N3098" s="10" t="n">
        <x:v>0</x:v>
      </x:c>
      <x:c r="O3098" s="2" t="str">
        <x:v>Tp Hồ Chí Minh|house</x:v>
      </x:c>
      <x:c r="P3098" s="10" t="n">
        <x:v>2</x:v>
      </x:c>
      <x:c r="Q3098" s="13" t="n">
        <x:f>IF(H3098="","",H3098/1000000000)</x:f>
        <x:v>2</x:v>
      </x:c>
      <x:c r="R3098" s="13" t="n">
        <x:f>IF(I3098="","",I3098/1000000)</x:f>
        <x:v>20</x:v>
      </x:c>
    </x:row>
    <x:row r="3099" ht="21" customHeight="1">
      <x:c r="A3099" s="10" t="n">
        <x:v>4213</x:v>
      </x:c>
      <x:c r="B3099" s="2" t="str">
        <x:v>2a8af820010249ca76cc</x:v>
      </x:c>
      <x:c r="C3099" s="2" t="str">
        <x:v>Hà Nội</x:v>
      </x:c>
      <x:c r="D3099" s="2" t="str">
        <x:v>Quận Long Biên</x:v>
      </x:c>
      <x:c r="E3099" s="2" t="str">
        <x:v>house</x:v>
      </x:c>
      <x:c r="F3099" s="2" t="str">
        <x:v>sale</x:v>
      </x:c>
      <x:c r="G3099" s="11" t="n">
        <x:v>38</x:v>
      </x:c>
      <x:c r="H3099" s="12" t="n">
        <x:v>3250000000</x:v>
      </x:c>
      <x:c r="I3099" s="12" t="n">
        <x:v>85526315.78947368</x:v>
      </x:c>
      <x:c r="J3099" s="2" t="str">
        <x:v>total</x:v>
      </x:c>
      <x:c r="K3099" s="2" t="str">
        <x:v>top_level_area</x:v>
      </x:c>
      <x:c r="L3099" s="2" t="str">
        <x:v>property_type_inferred_from_title</x:v>
      </x:c>
      <x:c r="M3099" s="10" t="n">
        <x:v>0</x:v>
      </x:c>
      <x:c r="N3099" s="10" t="n">
        <x:v>0</x:v>
      </x:c>
      <x:c r="O3099" s="2" t="str">
        <x:v>Hà Nội|house</x:v>
      </x:c>
      <x:c r="P3099" s="10" t="n">
        <x:v>2</x:v>
      </x:c>
      <x:c r="Q3099" s="13" t="n">
        <x:f>IF(H3099="","",H3099/1000000000)</x:f>
        <x:v>3.25</x:v>
      </x:c>
      <x:c r="R3099" s="13" t="n">
        <x:f>IF(I3099="","",I3099/1000000)</x:f>
        <x:v>85.52631578947368</x:v>
      </x:c>
    </x:row>
    <x:row r="3100" ht="21" customHeight="1">
      <x:c r="A3100" s="10" t="n">
        <x:v>4214</x:v>
      </x:c>
      <x:c r="B3100" s="2" t="str">
        <x:v>43946424f3d8d5b811c7</x:v>
      </x:c>
      <x:c r="C3100" s="2" t="str">
        <x:v>Tp Hồ Chí Minh</x:v>
      </x:c>
      <x:c r="D3100" s="2" t="str">
        <x:v>Huyện Hóc Môn</x:v>
      </x:c>
      <x:c r="E3100" s="2" t="str">
        <x:v>apartment</x:v>
      </x:c>
      <x:c r="F3100" s="2" t="str">
        <x:v>sale_assumed</x:v>
      </x:c>
      <x:c r="G3100" s="11" t="n">
        <x:v>55</x:v>
      </x:c>
      <x:c r="H3100" s="12" t="n">
        <x:v>280000000</x:v>
      </x:c>
      <x:c r="I3100" s="12" t="n">
        <x:v>5090909.090909091</x:v>
      </x:c>
      <x:c r="J3100" s="2" t="str">
        <x:v>total</x:v>
      </x:c>
      <x:c r="K3100" s="2" t="str">
        <x:v>top_level_area</x:v>
      </x:c>
      <x:c r="L3100" s="2" t="str">
        <x:v>property_type_inferred_from_title;transaction_assumed_sale_from_dataset_context</x:v>
      </x:c>
      <x:c r="M3100" s="10" t="n">
        <x:v>0</x:v>
      </x:c>
      <x:c r="N3100" s="10" t="n">
        <x:v>0</x:v>
      </x:c>
      <x:c r="O3100" s="2" t="str">
        <x:v>Tp Hồ Chí Minh|apartment</x:v>
      </x:c>
      <x:c r="P3100" s="10" t="n">
        <x:v>2</x:v>
      </x:c>
      <x:c r="Q3100" s="13" t="n">
        <x:f>IF(H3100="","",H3100/1000000000)</x:f>
        <x:v>0.28</x:v>
      </x:c>
      <x:c r="R3100" s="13" t="n">
        <x:f>IF(I3100="","",I3100/1000000)</x:f>
        <x:v>5.090909090909091</x:v>
      </x:c>
    </x:row>
    <x:row r="3101" ht="21" customHeight="1">
      <x:c r="A3101" s="10" t="n">
        <x:v>4215</x:v>
      </x:c>
      <x:c r="B3101" s="2" t="str">
        <x:v>3c15c121f9845fbe588e</x:v>
      </x:c>
      <x:c r="C3101" s="2" t="str">
        <x:v>Hà Nội</x:v>
      </x:c>
      <x:c r="D3101" s="2" t="str">
        <x:v>Huyện Chương Mỹ</x:v>
      </x:c>
      <x:c r="E3101" s="2" t="str">
        <x:v>land</x:v>
      </x:c>
      <x:c r="F3101" s="2" t="str">
        <x:v>sale_assumed</x:v>
      </x:c>
      <x:c r="G3101" s="11" t="n">
        <x:v>312</x:v>
      </x:c>
      <x:c r="H3101" s="12" t="n">
        <x:v>3744000000</x:v>
      </x:c>
      <x:c r="I3101" s="12" t="n">
        <x:v>12000000</x:v>
      </x:c>
      <x:c r="J3101" s="2" t="str">
        <x:v>total</x:v>
      </x:c>
      <x:c r="K3101" s="2" t="str">
        <x:v>top_level_area</x:v>
      </x:c>
      <x:c r="L3101" s="2" t="str">
        <x:v>property_type_inferred_from_title;transaction_assumed_sale_from_dataset_context</x:v>
      </x:c>
      <x:c r="M3101" s="10" t="n">
        <x:v>0</x:v>
      </x:c>
      <x:c r="N3101" s="10" t="n">
        <x:v>0</x:v>
      </x:c>
      <x:c r="O3101" s="2" t="str">
        <x:v>Hà Nội|land</x:v>
      </x:c>
      <x:c r="P3101" s="10" t="n">
        <x:v>1</x:v>
      </x:c>
      <x:c r="Q3101" s="13" t="n">
        <x:f>IF(H3101="","",H3101/1000000000)</x:f>
        <x:v>3.744</x:v>
      </x:c>
      <x:c r="R3101" s="13" t="n">
        <x:f>IF(I3101="","",I3101/1000000)</x:f>
        <x:v>12</x:v>
      </x:c>
    </x:row>
    <x:row r="3102" ht="21" customHeight="1">
      <x:c r="A3102" s="10" t="n">
        <x:v>4216</x:v>
      </x:c>
      <x:c r="B3102" s="2" t="str">
        <x:v>fa860226262a95c8eb94</x:v>
      </x:c>
      <x:c r="C3102" s="2" t="str">
        <x:v>Tp Hồ Chí Minh</x:v>
      </x:c>
      <x:c r="D3102" s="2" t="str">
        <x:v>Huyện Hóc Môn</x:v>
      </x:c>
      <x:c r="E3102" s="2" t="str">
        <x:v>land</x:v>
      </x:c>
      <x:c r="F3102" s="2" t="str">
        <x:v>sale</x:v>
      </x:c>
      <x:c r="G3102" s="11" t="n">
        <x:v>90</x:v>
      </x:c>
      <x:c r="H3102" s="12" t="n">
        <x:v>1600000000</x:v>
      </x:c>
      <x:c r="I3102" s="12" t="n">
        <x:v>17777777.777777776</x:v>
      </x:c>
      <x:c r="J3102" s="2" t="str">
        <x:v>total</x:v>
      </x:c>
      <x:c r="K3102" s="2" t="str">
        <x:v>top_level_area</x:v>
      </x:c>
      <x:c r="L3102" s="2" t="str">
        <x:v>property_type_inferred_from_title</x:v>
      </x:c>
      <x:c r="M3102" s="10" t="n">
        <x:v>0</x:v>
      </x:c>
      <x:c r="N3102" s="10" t="n">
        <x:v>0</x:v>
      </x:c>
      <x:c r="O3102" s="2" t="str">
        <x:v>Tp Hồ Chí Minh|land</x:v>
      </x:c>
      <x:c r="P3102" s="10" t="n">
        <x:v>2</x:v>
      </x:c>
      <x:c r="Q3102" s="13" t="n">
        <x:f>IF(H3102="","",H3102/1000000000)</x:f>
        <x:v>1.6</x:v>
      </x:c>
      <x:c r="R3102" s="13" t="n">
        <x:f>IF(I3102="","",I3102/1000000)</x:f>
        <x:v>17.777777777777775</x:v>
      </x:c>
    </x:row>
    <x:row r="3103" ht="21" customHeight="1">
      <x:c r="A3103" s="10" t="n">
        <x:v>4217</x:v>
      </x:c>
      <x:c r="B3103" s="2" t="str">
        <x:v>46c309cbecbad7e7e4d1</x:v>
      </x:c>
      <x:c r="C3103" s="2" t="str">
        <x:v>Đắk Lắk</x:v>
      </x:c>
      <x:c r="D3103" s="2" t="str">
        <x:v>Thành phố Buôn Ma Thuột</x:v>
      </x:c>
      <x:c r="E3103" s="2" t="str">
        <x:v>house</x:v>
      </x:c>
      <x:c r="F3103" s="2" t="str">
        <x:v>sale_assumed</x:v>
      </x:c>
      <x:c r="G3103" s="11" t="n">
        <x:v>100</x:v>
      </x:c>
      <x:c r="H3103" s="12" t="n">
        <x:v>2650000000</x:v>
      </x:c>
      <x:c r="I3103" s="12" t="n">
        <x:v>26500000</x:v>
      </x:c>
      <x:c r="J3103" s="2" t="str">
        <x:v>total</x:v>
      </x:c>
      <x:c r="K3103" s="2" t="str">
        <x:v>top_level_area</x:v>
      </x:c>
      <x:c r="L3103" s="2" t="str">
        <x:v>property_type_inferred_from_title;transaction_assumed_sale_from_dataset_context</x:v>
      </x:c>
      <x:c r="M3103" s="10" t="n">
        <x:v>0</x:v>
      </x:c>
      <x:c r="N3103" s="10" t="n">
        <x:v>0</x:v>
      </x:c>
      <x:c r="O3103" s="2" t="str">
        <x:v>Đắk Lắk|house</x:v>
      </x:c>
      <x:c r="P3103" s="10" t="n">
        <x:v>2</x:v>
      </x:c>
      <x:c r="Q3103" s="13" t="n">
        <x:f>IF(H3103="","",H3103/1000000000)</x:f>
        <x:v>2.65</x:v>
      </x:c>
      <x:c r="R3103" s="13" t="n">
        <x:f>IF(I3103="","",I3103/1000000)</x:f>
        <x:v>26.5</x:v>
      </x:c>
    </x:row>
    <x:row r="3104" ht="21" customHeight="1">
      <x:c r="A3104" s="10" t="n">
        <x:v>4218</x:v>
      </x:c>
      <x:c r="B3104" s="2" t="str">
        <x:v>a97d860d66d2910b8bf7</x:v>
      </x:c>
      <x:c r="C3104" s="2" t="str">
        <x:v>Hà Nội</x:v>
      </x:c>
      <x:c r="D3104" s="2" t="str">
        <x:v>Quận Hai Bà Trưng</x:v>
      </x:c>
      <x:c r="E3104" s="2" t="str">
        <x:v>house</x:v>
      </x:c>
      <x:c r="F3104" s="2" t="str">
        <x:v>sale</x:v>
      </x:c>
      <x:c r="G3104" s="11" t="n">
        <x:v>50</x:v>
      </x:c>
      <x:c r="H3104" s="12" t="n">
        <x:v>6200000000</x:v>
      </x:c>
      <x:c r="I3104" s="12" t="n">
        <x:v>124000000</x:v>
      </x:c>
      <x:c r="J3104" s="2" t="str">
        <x:v>total</x:v>
      </x:c>
      <x:c r="K3104" s="2" t="str">
        <x:v>top_level_area</x:v>
      </x:c>
      <x:c r="L3104" s="2" t="str">
        <x:v>property_type_inferred_from_title</x:v>
      </x:c>
      <x:c r="M3104" s="10" t="n">
        <x:v>0</x:v>
      </x:c>
      <x:c r="N3104" s="10" t="n">
        <x:v>0</x:v>
      </x:c>
      <x:c r="O3104" s="2" t="str">
        <x:v>Hà Nội|house</x:v>
      </x:c>
      <x:c r="P3104" s="10" t="n">
        <x:v>2</x:v>
      </x:c>
      <x:c r="Q3104" s="13" t="n">
        <x:f>IF(H3104="","",H3104/1000000000)</x:f>
        <x:v>6.2</x:v>
      </x:c>
      <x:c r="R3104" s="13" t="n">
        <x:f>IF(I3104="","",I3104/1000000)</x:f>
        <x:v>124</x:v>
      </x:c>
    </x:row>
    <x:row r="3105" ht="21" customHeight="1">
      <x:c r="A3105" s="10" t="n">
        <x:v>4219</x:v>
      </x:c>
      <x:c r="B3105" s="2" t="str">
        <x:v>27ccbb454607086c656b</x:v>
      </x:c>
      <x:c r="C3105" s="2" t="str">
        <x:v>Hà Nội</x:v>
      </x:c>
      <x:c r="D3105" s="2" t="str">
        <x:v>Quận Hai Bà Trưng</x:v>
      </x:c>
      <x:c r="E3105" s="2" t="str">
        <x:v>house</x:v>
      </x:c>
      <x:c r="F3105" s="2" t="str">
        <x:v>sale</x:v>
      </x:c>
      <x:c r="G3105" s="11" t="n">
        <x:v>25</x:v>
      </x:c>
      <x:c r="H3105" s="12" t="n">
        <x:v>2100000000</x:v>
      </x:c>
      <x:c r="I3105" s="12" t="n">
        <x:v>84000000</x:v>
      </x:c>
      <x:c r="J3105" s="2" t="str">
        <x:v>total</x:v>
      </x:c>
      <x:c r="K3105" s="2" t="str">
        <x:v>top_level_area</x:v>
      </x:c>
      <x:c r="L3105" s="2" t="str">
        <x:v>property_type_inferred_from_title</x:v>
      </x:c>
      <x:c r="M3105" s="10" t="n">
        <x:v>0</x:v>
      </x:c>
      <x:c r="N3105" s="10" t="n">
        <x:v>0</x:v>
      </x:c>
      <x:c r="O3105" s="2" t="str">
        <x:v>Hà Nội|house</x:v>
      </x:c>
      <x:c r="P3105" s="10" t="n">
        <x:v>2</x:v>
      </x:c>
      <x:c r="Q3105" s="13" t="n">
        <x:f>IF(H3105="","",H3105/1000000000)</x:f>
        <x:v>2.1</x:v>
      </x:c>
      <x:c r="R3105" s="13" t="n">
        <x:f>IF(I3105="","",I3105/1000000)</x:f>
        <x:v>84</x:v>
      </x:c>
    </x:row>
    <x:row r="3106" ht="21" customHeight="1">
      <x:c r="A3106" s="10" t="n">
        <x:v>4220</x:v>
      </x:c>
      <x:c r="B3106" s="2" t="str">
        <x:v>43a473fa68d957ab01e4</x:v>
      </x:c>
      <x:c r="C3106" s="2" t="str">
        <x:v>Tp Hồ Chí Minh</x:v>
      </x:c>
      <x:c r="D3106" s="2" t="str">
        <x:v>Huyện Nhà Bè</x:v>
      </x:c>
      <x:c r="E3106" s="2" t="str">
        <x:v>house</x:v>
      </x:c>
      <x:c r="F3106" s="2" t="str">
        <x:v>sale</x:v>
      </x:c>
      <x:c r="G3106" s="11" t="n">
        <x:v>320</x:v>
      </x:c>
      <x:c r="H3106" s="12" t="n">
        <x:v>5500000000</x:v>
      </x:c>
      <x:c r="I3106" s="12" t="n">
        <x:v>17187500</x:v>
      </x:c>
      <x:c r="J3106" s="2" t="str">
        <x:v>total</x:v>
      </x:c>
      <x:c r="K3106" s="2" t="str">
        <x:v>top_level_area</x:v>
      </x:c>
      <x:c r="L3106" s="2" t="str">
        <x:v>property_type_inferred_from_title</x:v>
      </x:c>
      <x:c r="M3106" s="10" t="n">
        <x:v>0</x:v>
      </x:c>
      <x:c r="N3106" s="10" t="n">
        <x:v>0</x:v>
      </x:c>
      <x:c r="O3106" s="2" t="str">
        <x:v>Tp Hồ Chí Minh|house</x:v>
      </x:c>
      <x:c r="P3106" s="10" t="n">
        <x:v>2</x:v>
      </x:c>
      <x:c r="Q3106" s="13" t="n">
        <x:f>IF(H3106="","",H3106/1000000000)</x:f>
        <x:v>5.5</x:v>
      </x:c>
      <x:c r="R3106" s="13" t="n">
        <x:f>IF(I3106="","",I3106/1000000)</x:f>
        <x:v>17.1875</x:v>
      </x:c>
    </x:row>
    <x:row r="3107" ht="21" customHeight="1">
      <x:c r="A3107" s="10" t="n">
        <x:v>4221</x:v>
      </x:c>
      <x:c r="B3107" s="2" t="str">
        <x:v>69c9e49183520c349964</x:v>
      </x:c>
      <x:c r="C3107" s="2" t="str">
        <x:v>Tp Hồ Chí Minh</x:v>
      </x:c>
      <x:c r="D3107" s="2" t="str">
        <x:v>Huyện Bình Chánh</x:v>
      </x:c>
      <x:c r="E3107" s="2" t="str">
        <x:v>house</x:v>
      </x:c>
      <x:c r="F3107" s="2" t="str">
        <x:v>sale</x:v>
      </x:c>
      <x:c r="G3107" s="11" t="n">
        <x:v>120</x:v>
      </x:c>
      <x:c r="H3107" s="12" t="n">
        <x:v>1350000000</x:v>
      </x:c>
      <x:c r="I3107" s="12" t="n">
        <x:v>11250000</x:v>
      </x:c>
      <x:c r="J3107" s="2" t="str">
        <x:v>total</x:v>
      </x:c>
      <x:c r="K3107" s="2" t="str">
        <x:v>top_level_price_embedded_area</x:v>
      </x:c>
      <x:c r="L3107" s="2" t="str">
        <x:v>area_recovered_from_price_text;property_type_inferred_from_title</x:v>
      </x:c>
      <x:c r="M3107" s="10" t="n">
        <x:v>0</x:v>
      </x:c>
      <x:c r="N3107" s="10" t="n">
        <x:v>0</x:v>
      </x:c>
      <x:c r="O3107" s="2" t="str">
        <x:v>Tp Hồ Chí Minh|house</x:v>
      </x:c>
      <x:c r="P3107" s="10" t="n">
        <x:v>2</x:v>
      </x:c>
      <x:c r="Q3107" s="13" t="n">
        <x:f>IF(H3107="","",H3107/1000000000)</x:f>
        <x:v>1.35</x:v>
      </x:c>
      <x:c r="R3107" s="13" t="n">
        <x:f>IF(I3107="","",I3107/1000000)</x:f>
        <x:v>11.25</x:v>
      </x:c>
    </x:row>
    <x:row r="3108" ht="21" customHeight="1">
      <x:c r="A3108" s="10" t="n">
        <x:v>4226</x:v>
      </x:c>
      <x:c r="B3108" s="2" t="str">
        <x:v>9b7c886e1e16fd159018</x:v>
      </x:c>
      <x:c r="C3108" s="2" t="str">
        <x:v>Hà Nội</x:v>
      </x:c>
      <x:c r="D3108" s="2" t="str">
        <x:v>Huyện Thanh Trì</x:v>
      </x:c>
      <x:c r="E3108" s="2" t="str">
        <x:v>house</x:v>
      </x:c>
      <x:c r="F3108" s="2" t="str">
        <x:v>sale_assumed</x:v>
      </x:c>
      <x:c r="G3108" s="11" t="n">
        <x:v>73</x:v>
      </x:c>
      <x:c r="H3108" s="12" t="n">
        <x:v>5500000000</x:v>
      </x:c>
      <x:c r="I3108" s="12" t="n">
        <x:v>75342465.75342466</x:v>
      </x:c>
      <x:c r="J3108" s="2" t="str">
        <x:v>total</x:v>
      </x:c>
      <x:c r="K3108" s="2" t="str">
        <x:v>top_level_area</x:v>
      </x:c>
      <x:c r="L3108" s="2" t="str">
        <x:v>property_type_inferred_from_title;transaction_assumed_sale_from_dataset_context</x:v>
      </x:c>
      <x:c r="M3108" s="10" t="n">
        <x:v>0</x:v>
      </x:c>
      <x:c r="N3108" s="10" t="n">
        <x:v>0</x:v>
      </x:c>
      <x:c r="O3108" s="2" t="str">
        <x:v>Hà Nội|house</x:v>
      </x:c>
      <x:c r="P3108" s="10" t="n">
        <x:v>2</x:v>
      </x:c>
      <x:c r="Q3108" s="13" t="n">
        <x:f>IF(H3108="","",H3108/1000000000)</x:f>
        <x:v>5.5</x:v>
      </x:c>
      <x:c r="R3108" s="13" t="n">
        <x:f>IF(I3108="","",I3108/1000000)</x:f>
        <x:v>75.34246575342466</x:v>
      </x:c>
    </x:row>
    <x:row r="3109" ht="21" customHeight="1">
      <x:c r="A3109" s="10" t="n">
        <x:v>4227</x:v>
      </x:c>
      <x:c r="B3109" s="2" t="str">
        <x:v>d75800f6399fe42a4df1</x:v>
      </x:c>
      <x:c r="C3109" s="2" t="str">
        <x:v>Hà Nội</x:v>
      </x:c>
      <x:c r="D3109" s="2" t="str">
        <x:v>Quận Long Biên</x:v>
      </x:c>
      <x:c r="E3109" s="2" t="str">
        <x:v>other_unknown</x:v>
      </x:c>
      <x:c r="F3109" s="2" t="str">
        <x:v>sale_assumed</x:v>
      </x:c>
      <x:c r="G3109" s="11" t="n">
        <x:v>30</x:v>
      </x:c>
      <x:c r="H3109" s="12" t="n">
        <x:v>3050000000</x:v>
      </x:c>
      <x:c r="I3109" s="12" t="n">
        <x:v>101666666.66666667</x:v>
      </x:c>
      <x:c r="J3109" s="2" t="str">
        <x:v>total</x:v>
      </x:c>
      <x:c r="K3109" s="2" t="str">
        <x:v>top_level_area</x:v>
      </x:c>
      <x:c r="L3109" s="2" t="str">
        <x:v>property_type_inferred_from_title;transaction_assumed_sale_from_dataset_context;unknown_property_type</x:v>
      </x:c>
      <x:c r="M3109" s="10" t="n">
        <x:v>0</x:v>
      </x:c>
      <x:c r="N3109" s="10" t="n">
        <x:v>0</x:v>
      </x:c>
      <x:c r="O3109" s="2" t="str">
        <x:v>Hà Nội|other_unknown</x:v>
      </x:c>
      <x:c r="P3109" s="10" t="n">
        <x:v>2</x:v>
      </x:c>
      <x:c r="Q3109" s="13" t="n">
        <x:f>IF(H3109="","",H3109/1000000000)</x:f>
        <x:v>3.05</x:v>
      </x:c>
      <x:c r="R3109" s="13" t="n">
        <x:f>IF(I3109="","",I3109/1000000)</x:f>
        <x:v>101.66666666666667</x:v>
      </x:c>
    </x:row>
    <x:row r="3110" ht="21" customHeight="1">
      <x:c r="A3110" s="10" t="n">
        <x:v>4228</x:v>
      </x:c>
      <x:c r="B3110" s="2" t="str">
        <x:v>2a04edaa16cf984b449f</x:v>
      </x:c>
      <x:c r="C3110" s="2" t="str">
        <x:v>Hà Nội</x:v>
      </x:c>
      <x:c r="D3110" s="2" t="str">
        <x:v>Quận Đống Đa</x:v>
      </x:c>
      <x:c r="E3110" s="2" t="str">
        <x:v>house</x:v>
      </x:c>
      <x:c r="F3110" s="2" t="str">
        <x:v>sale</x:v>
      </x:c>
      <x:c r="G3110" s="11" t="n">
        <x:v>45</x:v>
      </x:c>
      <x:c r="H3110" s="12" t="n">
        <x:v>4050000000</x:v>
      </x:c>
      <x:c r="I3110" s="12" t="n">
        <x:v>90000000</x:v>
      </x:c>
      <x:c r="J3110" s="2" t="str">
        <x:v>total</x:v>
      </x:c>
      <x:c r="K3110" s="2" t="str">
        <x:v>top_level_area</x:v>
      </x:c>
      <x:c r="L3110" s="2" t="str">
        <x:v>property_type_inferred_from_title</x:v>
      </x:c>
      <x:c r="M3110" s="10" t="n">
        <x:v>0</x:v>
      </x:c>
      <x:c r="N3110" s="10" t="n">
        <x:v>0</x:v>
      </x:c>
      <x:c r="O3110" s="2" t="str">
        <x:v>Hà Nội|house</x:v>
      </x:c>
      <x:c r="P3110" s="10" t="n">
        <x:v>2</x:v>
      </x:c>
      <x:c r="Q3110" s="13" t="n">
        <x:f>IF(H3110="","",H3110/1000000000)</x:f>
        <x:v>4.05</x:v>
      </x:c>
      <x:c r="R3110" s="13" t="n">
        <x:f>IF(I3110="","",I3110/1000000)</x:f>
        <x:v>90</x:v>
      </x:c>
    </x:row>
    <x:row r="3111" ht="21" customHeight="1">
      <x:c r="A3111" s="10" t="n">
        <x:v>4229</x:v>
      </x:c>
      <x:c r="B3111" s="2" t="str">
        <x:v>ae85e7ab7fe3aea925f1</x:v>
      </x:c>
      <x:c r="C3111" s="2" t="str">
        <x:v>Bình Phước</x:v>
      </x:c>
      <x:c r="D3111" s="2" t="str">
        <x:v>Huyện Đồng Phú</x:v>
      </x:c>
      <x:c r="E3111" s="2" t="str">
        <x:v>other_unknown</x:v>
      </x:c>
      <x:c r="F3111" s="2" t="str">
        <x:v>sale_assumed</x:v>
      </x:c>
      <x:c r="G3111" s="11" t="n">
        <x:v>1000</x:v>
      </x:c>
      <x:c r="H3111" s="12" t="n">
        <x:v>550000000</x:v>
      </x:c>
      <x:c r="I3111" s="12" t="n">
        <x:v>550000</x:v>
      </x:c>
      <x:c r="J3111" s="2" t="str">
        <x:v>total</x:v>
      </x:c>
      <x:c r="K3111" s="2" t="str">
        <x:v>top_level_area</x:v>
      </x:c>
      <x:c r="L3111" s="2" t="str">
        <x:v>dot_thousands_convention;property_type_inferred_from_title;transaction_assumed_sale_from_dataset_context;unknown_property_type</x:v>
      </x:c>
      <x:c r="M3111" s="10" t="n">
        <x:v>0</x:v>
      </x:c>
      <x:c r="N3111" s="10" t="n">
        <x:v>0</x:v>
      </x:c>
      <x:c r="O3111" s="2" t="str">
        <x:v>other_unknown</x:v>
      </x:c>
      <x:c r="P3111" s="10" t="n">
        <x:v>1</x:v>
      </x:c>
      <x:c r="Q3111" s="13" t="n">
        <x:f>IF(H3111="","",H3111/1000000000)</x:f>
        <x:v>0.55</x:v>
      </x:c>
      <x:c r="R3111" s="13" t="n">
        <x:f>IF(I3111="","",I3111/1000000)</x:f>
        <x:v>0.55</x:v>
      </x:c>
    </x:row>
    <x:row r="3112" ht="21" customHeight="1">
      <x:c r="A3112" s="10" t="n">
        <x:v>4230</x:v>
      </x:c>
      <x:c r="B3112" s="2" t="str">
        <x:v>2c33103b5215c15591aa</x:v>
      </x:c>
      <x:c r="C3112" s="2" t="str">
        <x:v>Tp Hồ Chí Minh</x:v>
      </x:c>
      <x:c r="D3112" s="2" t="str">
        <x:v>Quận 7</x:v>
      </x:c>
      <x:c r="E3112" s="2" t="str">
        <x:v>other_unknown</x:v>
      </x:c>
      <x:c r="F3112" s="2" t="str">
        <x:v>sale_assumed</x:v>
      </x:c>
      <x:c r="G3112" s="11" t="n">
        <x:v>204</x:v>
      </x:c>
      <x:c r="H3112" s="12" t="n">
        <x:v>9500000000</x:v>
      </x:c>
      <x:c r="I3112" s="12" t="n">
        <x:v>46568627.450980395</x:v>
      </x:c>
      <x:c r="J3112" s="2" t="str">
        <x:v>total</x:v>
      </x:c>
      <x:c r="K3112" s="2" t="str">
        <x:v>top_level_area</x:v>
      </x:c>
      <x:c r="L3112" s="2" t="str">
        <x:v>property_type_inferred_from_title;transaction_assumed_sale_from_dataset_context;unknown_property_type</x:v>
      </x:c>
      <x:c r="M3112" s="10" t="n">
        <x:v>0</x:v>
      </x:c>
      <x:c r="N3112" s="10" t="n">
        <x:v>0</x:v>
      </x:c>
      <x:c r="O3112" s="2" t="str">
        <x:v>Tp Hồ Chí Minh|other_unknown</x:v>
      </x:c>
      <x:c r="P3112" s="10" t="n">
        <x:v>2</x:v>
      </x:c>
      <x:c r="Q3112" s="13" t="n">
        <x:f>IF(H3112="","",H3112/1000000000)</x:f>
        <x:v>9.5</x:v>
      </x:c>
      <x:c r="R3112" s="13" t="n">
        <x:f>IF(I3112="","",I3112/1000000)</x:f>
        <x:v>46.568627450980394</x:v>
      </x:c>
    </x:row>
    <x:row r="3113" ht="21" customHeight="1">
      <x:c r="A3113" s="10" t="n">
        <x:v>4231</x:v>
      </x:c>
      <x:c r="B3113" s="2" t="str">
        <x:v>1e9805181faf2ff5d503</x:v>
      </x:c>
      <x:c r="C3113" s="2" t="str">
        <x:v>Tp Hồ Chí Minh</x:v>
      </x:c>
      <x:c r="D3113" s="2" t="str">
        <x:v>Quận Bình Thạnh</x:v>
      </x:c>
      <x:c r="E3113" s="2" t="str">
        <x:v>house</x:v>
      </x:c>
      <x:c r="F3113" s="2" t="str">
        <x:v>sale_assumed</x:v>
      </x:c>
      <x:c r="G3113" s="11" t="n">
        <x:v>41</x:v>
      </x:c>
      <x:c r="H3113" s="12" t="n">
        <x:v>5890000000</x:v>
      </x:c>
      <x:c r="I3113" s="12" t="n">
        <x:v>143658536.58536586</x:v>
      </x:c>
      <x:c r="J3113" s="2" t="str">
        <x:v>total</x:v>
      </x:c>
      <x:c r="K3113" s="2" t="str">
        <x:v>top_level_area</x:v>
      </x:c>
      <x:c r="L3113" s="2" t="str">
        <x:v>property_type_inferred_from_title;transaction_assumed_sale_from_dataset_context</x:v>
      </x:c>
      <x:c r="M3113" s="10" t="n">
        <x:v>0</x:v>
      </x:c>
      <x:c r="N3113" s="10" t="n">
        <x:v>0</x:v>
      </x:c>
      <x:c r="O3113" s="2" t="str">
        <x:v>Tp Hồ Chí Minh|house</x:v>
      </x:c>
      <x:c r="P3113" s="10" t="n">
        <x:v>2</x:v>
      </x:c>
      <x:c r="Q3113" s="13" t="n">
        <x:f>IF(H3113="","",H3113/1000000000)</x:f>
        <x:v>5.89</x:v>
      </x:c>
      <x:c r="R3113" s="13" t="n">
        <x:f>IF(I3113="","",I3113/1000000)</x:f>
        <x:v>143.65853658536585</x:v>
      </x:c>
    </x:row>
    <x:row r="3114" ht="21" customHeight="1">
      <x:c r="A3114" s="10" t="n">
        <x:v>4232</x:v>
      </x:c>
      <x:c r="B3114" s="2" t="str">
        <x:v>cdb4f7688d141741fc41</x:v>
      </x:c>
      <x:c r="C3114" s="2" t="str">
        <x:v>Tp Hồ Chí Minh</x:v>
      </x:c>
      <x:c r="D3114" s="2" t="str">
        <x:v>Quận Tân Bình</x:v>
      </x:c>
      <x:c r="E3114" s="2" t="str">
        <x:v>other_unknown</x:v>
      </x:c>
      <x:c r="F3114" s="2" t="str">
        <x:v>sale_assumed</x:v>
      </x:c>
      <x:c r="G3114" s="11" t="n">
        <x:v>58</x:v>
      </x:c>
      <x:c r="H3114" s="12" t="n">
        <x:v>8800000000</x:v>
      </x:c>
      <x:c r="I3114" s="12" t="n">
        <x:v>151724137.93103448</x:v>
      </x:c>
      <x:c r="J3114" s="2" t="str">
        <x:v>total</x:v>
      </x:c>
      <x:c r="K3114" s="2" t="str">
        <x:v>top_level_area</x:v>
      </x:c>
      <x:c r="L3114" s="2" t="str">
        <x:v>property_type_inferred_from_title;transaction_assumed_sale_from_dataset_context;unknown_property_type</x:v>
      </x:c>
      <x:c r="M3114" s="10" t="n">
        <x:v>0</x:v>
      </x:c>
      <x:c r="N3114" s="10" t="n">
        <x:v>0</x:v>
      </x:c>
      <x:c r="O3114" s="2" t="str">
        <x:v>Tp Hồ Chí Minh|other_unknown</x:v>
      </x:c>
      <x:c r="P3114" s="10" t="n">
        <x:v>2</x:v>
      </x:c>
      <x:c r="Q3114" s="13" t="n">
        <x:f>IF(H3114="","",H3114/1000000000)</x:f>
        <x:v>8.8</x:v>
      </x:c>
      <x:c r="R3114" s="13" t="n">
        <x:f>IF(I3114="","",I3114/1000000)</x:f>
        <x:v>151.72413793103448</x:v>
      </x:c>
    </x:row>
    <x:row r="3115" ht="21" customHeight="1">
      <x:c r="A3115" s="10" t="n">
        <x:v>4233</x:v>
      </x:c>
      <x:c r="B3115" s="2" t="str">
        <x:v>104be365f8219df4cedd</x:v>
      </x:c>
      <x:c r="C3115" s="2" t="str">
        <x:v>Đắk Lắk</x:v>
      </x:c>
      <x:c r="D3115" s="2" t="str">
        <x:v>Thành phố Buôn Ma Thuột</x:v>
      </x:c>
      <x:c r="E3115" s="2" t="str">
        <x:v>house</x:v>
      </x:c>
      <x:c r="F3115" s="2" t="str">
        <x:v>sale_assumed</x:v>
      </x:c>
      <x:c r="G3115" s="11" t="n">
        <x:v>105</x:v>
      </x:c>
      <x:c r="H3115" s="12" t="n">
        <x:v>1600000000</x:v>
      </x:c>
      <x:c r="I3115" s="12" t="n">
        <x:v>15238095.238095239</x:v>
      </x:c>
      <x:c r="J3115" s="2" t="str">
        <x:v>total</x:v>
      </x:c>
      <x:c r="K3115" s="2" t="str">
        <x:v>top_level_area</x:v>
      </x:c>
      <x:c r="L3115" s="2" t="str">
        <x:v>property_type_inferred_from_title;transaction_assumed_sale_from_dataset_context</x:v>
      </x:c>
      <x:c r="M3115" s="10" t="n">
        <x:v>0</x:v>
      </x:c>
      <x:c r="N3115" s="10" t="n">
        <x:v>0</x:v>
      </x:c>
      <x:c r="O3115" s="2" t="str">
        <x:v>Đắk Lắk|house</x:v>
      </x:c>
      <x:c r="P3115" s="10" t="n">
        <x:v>2</x:v>
      </x:c>
      <x:c r="Q3115" s="13" t="n">
        <x:f>IF(H3115="","",H3115/1000000000)</x:f>
        <x:v>1.6</x:v>
      </x:c>
      <x:c r="R3115" s="13" t="n">
        <x:f>IF(I3115="","",I3115/1000000)</x:f>
        <x:v>15.238095238095239</x:v>
      </x:c>
    </x:row>
    <x:row r="3116" ht="21" customHeight="1">
      <x:c r="A3116" s="10" t="n">
        <x:v>4234</x:v>
      </x:c>
      <x:c r="B3116" s="2" t="str">
        <x:v>9fee1cc654eaf193221d</x:v>
      </x:c>
      <x:c r="C3116" s="2" t="str">
        <x:v>Đắk Lắk</x:v>
      </x:c>
      <x:c r="D3116" s="2" t="str">
        <x:v>Thành phố Buôn Ma Thuột</x:v>
      </x:c>
      <x:c r="E3116" s="2" t="str">
        <x:v>house</x:v>
      </x:c>
      <x:c r="F3116" s="2" t="str">
        <x:v>sale</x:v>
      </x:c>
      <x:c r="G3116" s="11" t="n">
        <x:v>96</x:v>
      </x:c>
      <x:c r="H3116" s="12" t="n">
        <x:v>965000000</x:v>
      </x:c>
      <x:c r="I3116" s="12" t="n">
        <x:v>10052083.333333334</x:v>
      </x:c>
      <x:c r="J3116" s="2" t="str">
        <x:v>total</x:v>
      </x:c>
      <x:c r="K3116" s="2" t="str">
        <x:v>top_level_area</x:v>
      </x:c>
      <x:c r="L3116" s="2" t="str">
        <x:v>property_type_inferred_from_title</x:v>
      </x:c>
      <x:c r="M3116" s="10" t="n">
        <x:v>0</x:v>
      </x:c>
      <x:c r="N3116" s="10" t="n">
        <x:v>0</x:v>
      </x:c>
      <x:c r="O3116" s="2" t="str">
        <x:v>Đắk Lắk|house</x:v>
      </x:c>
      <x:c r="P3116" s="10" t="n">
        <x:v>2</x:v>
      </x:c>
      <x:c r="Q3116" s="13" t="n">
        <x:f>IF(H3116="","",H3116/1000000000)</x:f>
        <x:v>0.965</x:v>
      </x:c>
      <x:c r="R3116" s="13" t="n">
        <x:f>IF(I3116="","",I3116/1000000)</x:f>
        <x:v>10.052083333333334</x:v>
      </x:c>
    </x:row>
    <x:row r="3117" ht="21" customHeight="1">
      <x:c r="A3117" s="10" t="n">
        <x:v>4235</x:v>
      </x:c>
      <x:c r="B3117" s="2" t="str">
        <x:v>697d77c9f71e9be3dccc</x:v>
      </x:c>
      <x:c r="C3117" s="2" t="str">
        <x:v>Tp Hồ Chí Minh</x:v>
      </x:c>
      <x:c r="D3117" s="2" t="str">
        <x:v>Huyện Hóc Môn</x:v>
      </x:c>
      <x:c r="E3117" s="2" t="str">
        <x:v>land</x:v>
      </x:c>
      <x:c r="F3117" s="2" t="str">
        <x:v>sale_assumed</x:v>
      </x:c>
      <x:c r="G3117" s="11" t="n">
        <x:v>40</x:v>
      </x:c>
      <x:c r="H3117" s="12" t="n">
        <x:v>290000000</x:v>
      </x:c>
      <x:c r="I3117" s="12" t="n">
        <x:v>7250000</x:v>
      </x:c>
      <x:c r="J3117" s="2" t="str">
        <x:v>total</x:v>
      </x:c>
      <x:c r="K3117" s="2" t="str">
        <x:v>top_level_area</x:v>
      </x:c>
      <x:c r="L3117" s="2" t="str">
        <x:v>property_type_inferred_from_title;transaction_assumed_sale_from_dataset_context</x:v>
      </x:c>
      <x:c r="M3117" s="10" t="n">
        <x:v>0</x:v>
      </x:c>
      <x:c r="N3117" s="10" t="n">
        <x:v>0</x:v>
      </x:c>
      <x:c r="O3117" s="2" t="str">
        <x:v>Tp Hồ Chí Minh|land</x:v>
      </x:c>
      <x:c r="P3117" s="10" t="n">
        <x:v>2</x:v>
      </x:c>
      <x:c r="Q3117" s="13" t="n">
        <x:f>IF(H3117="","",H3117/1000000000)</x:f>
        <x:v>0.29</x:v>
      </x:c>
      <x:c r="R3117" s="13" t="n">
        <x:f>IF(I3117="","",I3117/1000000)</x:f>
        <x:v>7.25</x:v>
      </x:c>
    </x:row>
    <x:row r="3118" ht="21" customHeight="1">
      <x:c r="A3118" s="10" t="n">
        <x:v>4236</x:v>
      </x:c>
      <x:c r="B3118" s="2" t="str">
        <x:v>47150bef9c1c9f3ba28b</x:v>
      </x:c>
      <x:c r="C3118" s="2" t="str">
        <x:v>Tp Hồ Chí Minh</x:v>
      </x:c>
      <x:c r="D3118" s="2" t="str">
        <x:v>Quận Tân Bình</x:v>
      </x:c>
      <x:c r="E3118" s="2" t="str">
        <x:v>house</x:v>
      </x:c>
      <x:c r="F3118" s="2" t="str">
        <x:v>sale</x:v>
      </x:c>
      <x:c r="G3118" s="11" t="n">
        <x:v>49.7</x:v>
      </x:c>
      <x:c r="H3118" s="12" t="n">
        <x:v>8600000000</x:v>
      </x:c>
      <x:c r="I3118" s="12" t="n">
        <x:v>173038229.37625754</x:v>
      </x:c>
      <x:c r="J3118" s="2" t="str">
        <x:v>total</x:v>
      </x:c>
      <x:c r="K3118" s="2" t="str">
        <x:v>top_level_area</x:v>
      </x:c>
      <x:c r="L3118" s="2" t="str">
        <x:v>property_type_inferred_from_title</x:v>
      </x:c>
      <x:c r="M3118" s="10" t="n">
        <x:v>1</x:v>
      </x:c>
      <x:c r="N3118" s="10" t="n">
        <x:v>0</x:v>
      </x:c>
      <x:c r="O3118" s="2" t="str">
        <x:v>Tp Hồ Chí Minh|house</x:v>
      </x:c>
      <x:c r="P3118" s="10" t="n">
        <x:v>2</x:v>
      </x:c>
      <x:c r="Q3118" s="13" t="n">
        <x:f>IF(H3118="","",H3118/1000000000)</x:f>
        <x:v>8.6</x:v>
      </x:c>
      <x:c r="R3118" s="13" t="n">
        <x:f>IF(I3118="","",I3118/1000000)</x:f>
        <x:v>173.03822937625753</x:v>
      </x:c>
    </x:row>
    <x:row r="3119" ht="21" customHeight="1">
      <x:c r="A3119" s="10" t="n">
        <x:v>4237</x:v>
      </x:c>
      <x:c r="B3119" s="2" t="str">
        <x:v>61f6b41c25b4921ca620</x:v>
      </x:c>
      <x:c r="C3119" s="2" t="str">
        <x:v>Cần Thơ</x:v>
      </x:c>
      <x:c r="D3119" s="2" t="str">
        <x:v>Quận Ninh Kiều</x:v>
      </x:c>
      <x:c r="E3119" s="2" t="str">
        <x:v>house</x:v>
      </x:c>
      <x:c r="F3119" s="2" t="str">
        <x:v>sale_assumed</x:v>
      </x:c>
      <x:c r="G3119" s="11" t="n">
        <x:v>40.5</x:v>
      </x:c>
      <x:c r="H3119" s="12" t="n">
        <x:v>1600000000</x:v>
      </x:c>
      <x:c r="I3119" s="12" t="n">
        <x:v>39506172.83950617</x:v>
      </x:c>
      <x:c r="J3119" s="2" t="str">
        <x:v>total</x:v>
      </x:c>
      <x:c r="K3119" s="2" t="str">
        <x:v>top_level_area</x:v>
      </x:c>
      <x:c r="L3119" s="2" t="str">
        <x:v>property_type_inferred_from_title;transaction_assumed_sale_from_dataset_context</x:v>
      </x:c>
      <x:c r="M3119" s="10" t="n">
        <x:v>0</x:v>
      </x:c>
      <x:c r="N3119" s="10" t="n">
        <x:v>0</x:v>
      </x:c>
      <x:c r="O3119" s="2" t="str">
        <x:v>Cần Thơ|house</x:v>
      </x:c>
      <x:c r="P3119" s="10" t="n">
        <x:v>2</x:v>
      </x:c>
      <x:c r="Q3119" s="13" t="n">
        <x:f>IF(H3119="","",H3119/1000000000)</x:f>
        <x:v>1.6</x:v>
      </x:c>
      <x:c r="R3119" s="13" t="n">
        <x:f>IF(I3119="","",I3119/1000000)</x:f>
        <x:v>39.50617283950617</x:v>
      </x:c>
    </x:row>
    <x:row r="3120" ht="21" customHeight="1">
      <x:c r="A3120" s="10" t="n">
        <x:v>4238</x:v>
      </x:c>
      <x:c r="B3120" s="2" t="str">
        <x:v>a0d834b85ff3c560a439</x:v>
      </x:c>
      <x:c r="C3120" s="2" t="str">
        <x:v>Bình Dương</x:v>
      </x:c>
      <x:c r="D3120" s="2" t="str">
        <x:v>Thị xã Dĩ An</x:v>
      </x:c>
      <x:c r="E3120" s="2" t="str">
        <x:v>land</x:v>
      </x:c>
      <x:c r="F3120" s="2" t="str">
        <x:v>sale</x:v>
      </x:c>
      <x:c r="G3120" s="11" t="n">
        <x:v>87</x:v>
      </x:c>
      <x:c r="H3120" s="12" t="n">
        <x:v>2650000000</x:v>
      </x:c>
      <x:c r="I3120" s="12" t="n">
        <x:v>30459770.11494253</x:v>
      </x:c>
      <x:c r="J3120" s="2" t="str">
        <x:v>total</x:v>
      </x:c>
      <x:c r="K3120" s="2" t="str">
        <x:v>top_level_area</x:v>
      </x:c>
      <x:c r="L3120" s="2" t="str">
        <x:v>property_type_inferred_from_title</x:v>
      </x:c>
      <x:c r="M3120" s="10" t="n">
        <x:v>0</x:v>
      </x:c>
      <x:c r="N3120" s="10" t="n">
        <x:v>1</x:v>
      </x:c>
      <x:c r="O3120" s="2" t="str">
        <x:v>Bình Dương|land</x:v>
      </x:c>
      <x:c r="P3120" s="10" t="n">
        <x:v>-1</x:v>
      </x:c>
      <x:c r="Q3120" s="13" t="n">
        <x:f>IF(H3120="","",H3120/1000000000)</x:f>
        <x:v>2.65</x:v>
      </x:c>
      <x:c r="R3120" s="13" t="n">
        <x:f>IF(I3120="","",I3120/1000000)</x:f>
        <x:v>30.45977011494253</x:v>
      </x:c>
    </x:row>
    <x:row r="3121" ht="21" customHeight="1">
      <x:c r="A3121" s="10" t="n">
        <x:v>4239</x:v>
      </x:c>
      <x:c r="B3121" s="2" t="str">
        <x:v>8a41df1eca42f07f512d</x:v>
      </x:c>
      <x:c r="C3121" s="2" t="str">
        <x:v>Sóc Trăng</x:v>
      </x:c>
      <x:c r="D3121" s="2" t="str">
        <x:v>Thành phố Sóc Trăng</x:v>
      </x:c>
      <x:c r="E3121" s="2" t="str">
        <x:v>house</x:v>
      </x:c>
      <x:c r="F3121" s="2" t="str">
        <x:v>sale</x:v>
      </x:c>
      <x:c r="G3121" s="11" t="n">
        <x:v>86</x:v>
      </x:c>
      <x:c r="H3121" s="12" t="n">
        <x:v>1300000000</x:v>
      </x:c>
      <x:c r="I3121" s="12" t="n">
        <x:v>15116279.069767442</x:v>
      </x:c>
      <x:c r="J3121" s="2" t="str">
        <x:v>total</x:v>
      </x:c>
      <x:c r="K3121" s="2" t="str">
        <x:v>top_level_area</x:v>
      </x:c>
      <x:c r="L3121" s="2" t="str">
        <x:v>property_type_inferred_from_title</x:v>
      </x:c>
      <x:c r="M3121" s="10" t="n">
        <x:v>0</x:v>
      </x:c>
      <x:c r="N3121" s="10" t="n">
        <x:v>0</x:v>
      </x:c>
      <x:c r="O3121" s="2" t="str">
        <x:v>house</x:v>
      </x:c>
      <x:c r="P3121" s="10" t="n">
        <x:v>2</x:v>
      </x:c>
      <x:c r="Q3121" s="13" t="n">
        <x:f>IF(H3121="","",H3121/1000000000)</x:f>
        <x:v>1.3</x:v>
      </x:c>
      <x:c r="R3121" s="13" t="n">
        <x:f>IF(I3121="","",I3121/1000000)</x:f>
        <x:v>15.116279069767442</x:v>
      </x:c>
    </x:row>
    <x:row r="3122" ht="21" customHeight="1">
      <x:c r="A3122" s="10" t="n">
        <x:v>4240</x:v>
      </x:c>
      <x:c r="B3122" s="2" t="str">
        <x:v>e439e3d91afb02d49e2c</x:v>
      </x:c>
      <x:c r="C3122" s="2" t="str">
        <x:v>Cần Thơ</x:v>
      </x:c>
      <x:c r="D3122" s="2" t="str">
        <x:v>Quận Cái Răng</x:v>
      </x:c>
      <x:c r="E3122" s="2" t="str">
        <x:v>land</x:v>
      </x:c>
      <x:c r="F3122" s="2" t="str">
        <x:v>sale</x:v>
      </x:c>
      <x:c r="G3122" s="11" t="n">
        <x:v>244</x:v>
      </x:c>
      <x:c r="H3122" s="12" t="n">
        <x:v>4650000000</x:v>
      </x:c>
      <x:c r="I3122" s="12" t="n">
        <x:v>19057377.04918033</x:v>
      </x:c>
      <x:c r="J3122" s="2" t="str">
        <x:v>total</x:v>
      </x:c>
      <x:c r="K3122" s="2" t="str">
        <x:v>top_level_area</x:v>
      </x:c>
      <x:c r="L3122" s="2" t="str">
        <x:v>property_type_inferred_from_title</x:v>
      </x:c>
      <x:c r="M3122" s="10" t="n">
        <x:v>0</x:v>
      </x:c>
      <x:c r="N3122" s="10" t="n">
        <x:v>0</x:v>
      </x:c>
      <x:c r="O3122" s="2" t="str">
        <x:v>Cần Thơ|land</x:v>
      </x:c>
      <x:c r="P3122" s="10" t="n">
        <x:v>2</x:v>
      </x:c>
      <x:c r="Q3122" s="13" t="n">
        <x:f>IF(H3122="","",H3122/1000000000)</x:f>
        <x:v>4.65</x:v>
      </x:c>
      <x:c r="R3122" s="13" t="n">
        <x:f>IF(I3122="","",I3122/1000000)</x:f>
        <x:v>19.057377049180328</x:v>
      </x:c>
    </x:row>
    <x:row r="3123" ht="21" customHeight="1">
      <x:c r="A3123" s="10" t="n">
        <x:v>4241</x:v>
      </x:c>
      <x:c r="B3123" s="2" t="str">
        <x:v>8866adb06987dfffe318</x:v>
      </x:c>
      <x:c r="C3123" s="2" t="str">
        <x:v>Tp Hồ Chí Minh</x:v>
      </x:c>
      <x:c r="D3123" s="2" t="str">
        <x:v>Huyện Củ Chi</x:v>
      </x:c>
      <x:c r="E3123" s="2" t="str">
        <x:v>other_unknown</x:v>
      </x:c>
      <x:c r="F3123" s="2" t="str">
        <x:v>sale_assumed</x:v>
      </x:c>
      <x:c r="G3123" s="11" t="n">
        <x:v>500</x:v>
      </x:c>
      <x:c r="H3123" s="12" t="n">
        <x:v>2300000000</x:v>
      </x:c>
      <x:c r="I3123" s="12" t="n">
        <x:v>4600000</x:v>
      </x:c>
      <x:c r="J3123" s="2" t="str">
        <x:v>total</x:v>
      </x:c>
      <x:c r="K3123" s="2" t="str">
        <x:v>top_level_area</x:v>
      </x:c>
      <x:c r="L3123" s="2" t="str">
        <x:v>property_type_inferred_from_title;transaction_assumed_sale_from_dataset_context;unknown_property_type</x:v>
      </x:c>
      <x:c r="M3123" s="10" t="n">
        <x:v>0</x:v>
      </x:c>
      <x:c r="N3123" s="10" t="n">
        <x:v>0</x:v>
      </x:c>
      <x:c r="O3123" s="2" t="str">
        <x:v>Tp Hồ Chí Minh|other_unknown</x:v>
      </x:c>
      <x:c r="P3123" s="10" t="n">
        <x:v>1</x:v>
      </x:c>
      <x:c r="Q3123" s="13" t="n">
        <x:f>IF(H3123="","",H3123/1000000000)</x:f>
        <x:v>2.3</x:v>
      </x:c>
      <x:c r="R3123" s="13" t="n">
        <x:f>IF(I3123="","",I3123/1000000)</x:f>
        <x:v>4.6</x:v>
      </x:c>
    </x:row>
    <x:row r="3124" ht="21" customHeight="1">
      <x:c r="A3124" s="10" t="n">
        <x:v>4242</x:v>
      </x:c>
      <x:c r="B3124" s="2" t="str">
        <x:v>5aead872c67d9248882c</x:v>
      </x:c>
      <x:c r="C3124" s="2" t="str">
        <x:v>Sóc Trăng</x:v>
      </x:c>
      <x:c r="D3124" s="2" t="str">
        <x:v>Thành phố Sóc Trăng</x:v>
      </x:c>
      <x:c r="E3124" s="2" t="str">
        <x:v>other_unknown</x:v>
      </x:c>
      <x:c r="F3124" s="2" t="str">
        <x:v>sale_assumed</x:v>
      </x:c>
      <x:c r="G3124" s="11" t="n">
        <x:v>660</x:v>
      </x:c>
      <x:c r="H3124" s="12" t="n">
        <x:v>170000000</x:v>
      </x:c>
      <x:c r="I3124" s="12" t="n">
        <x:v>257575.75757575757</x:v>
      </x:c>
      <x:c r="J3124" s="2" t="str">
        <x:v>total</x:v>
      </x:c>
      <x:c r="K3124" s="2" t="str">
        <x:v>top_level_area</x:v>
      </x:c>
      <x:c r="L3124" s="2" t="str">
        <x:v>property_type_inferred_from_title;transaction_assumed_sale_from_dataset_context;unknown_property_type</x:v>
      </x:c>
      <x:c r="M3124" s="10" t="n">
        <x:v>0</x:v>
      </x:c>
      <x:c r="N3124" s="10" t="n">
        <x:v>0</x:v>
      </x:c>
      <x:c r="O3124" s="2" t="str">
        <x:v>other_unknown</x:v>
      </x:c>
      <x:c r="P3124" s="10" t="n">
        <x:v>1</x:v>
      </x:c>
      <x:c r="Q3124" s="13" t="n">
        <x:f>IF(H3124="","",H3124/1000000000)</x:f>
        <x:v>0.17</x:v>
      </x:c>
      <x:c r="R3124" s="13" t="n">
        <x:f>IF(I3124="","",I3124/1000000)</x:f>
        <x:v>0.25757575757575757</x:v>
      </x:c>
    </x:row>
    <x:row r="3125" ht="21" customHeight="1">
      <x:c r="A3125" s="10" t="n">
        <x:v>4243</x:v>
      </x:c>
      <x:c r="B3125" s="2" t="str">
        <x:v>27816cd70d875a57f18e</x:v>
      </x:c>
      <x:c r="C3125" s="2" t="str">
        <x:v>Kiên Giang</x:v>
      </x:c>
      <x:c r="D3125" s="2" t="str">
        <x:v>Huyện Phú Quốc</x:v>
      </x:c>
      <x:c r="E3125" s="2" t="str">
        <x:v>land</x:v>
      </x:c>
      <x:c r="F3125" s="2" t="str">
        <x:v>sale</x:v>
      </x:c>
      <x:c r="G3125" s="11" t="n">
        <x:v>95.7</x:v>
      </x:c>
      <x:c r="H3125" s="12" t="n">
        <x:v>700000000</x:v>
      </x:c>
      <x:c r="I3125" s="12" t="n">
        <x:v>7314524.555903866</x:v>
      </x:c>
      <x:c r="J3125" s="2" t="str">
        <x:v>total</x:v>
      </x:c>
      <x:c r="K3125" s="2" t="str">
        <x:v>top_level_area</x:v>
      </x:c>
      <x:c r="L3125" s="2" t="str">
        <x:v>property_type_inferred_from_title</x:v>
      </x:c>
      <x:c r="M3125" s="10" t="n">
        <x:v>0</x:v>
      </x:c>
      <x:c r="N3125" s="10" t="n">
        <x:v>0</x:v>
      </x:c>
      <x:c r="O3125" s="2" t="str">
        <x:v>land</x:v>
      </x:c>
      <x:c r="P3125" s="10" t="n">
        <x:v>2</x:v>
      </x:c>
      <x:c r="Q3125" s="13" t="n">
        <x:f>IF(H3125="","",H3125/1000000000)</x:f>
        <x:v>0.7</x:v>
      </x:c>
      <x:c r="R3125" s="13" t="n">
        <x:f>IF(I3125="","",I3125/1000000)</x:f>
        <x:v>7.314524555903866</x:v>
      </x:c>
    </x:row>
    <x:row r="3126" ht="21" customHeight="1">
      <x:c r="A3126" s="10" t="n">
        <x:v>4245</x:v>
      </x:c>
      <x:c r="B3126" s="2" t="str">
        <x:v>fec1a26594c62f6c944c</x:v>
      </x:c>
      <x:c r="C3126" s="2" t="str">
        <x:v>Tp Hồ Chí Minh</x:v>
      </x:c>
      <x:c r="D3126" s="2" t="str">
        <x:v>Huyện Hóc Môn</x:v>
      </x:c>
      <x:c r="E3126" s="2" t="str">
        <x:v>house</x:v>
      </x:c>
      <x:c r="F3126" s="2" t="str">
        <x:v>sale_assumed</x:v>
      </x:c>
      <x:c r="G3126" s="11" t="n">
        <x:v>32</x:v>
      </x:c>
      <x:c r="H3126" s="12" t="n">
        <x:v>640000000</x:v>
      </x:c>
      <x:c r="I3126" s="12" t="n">
        <x:v>20000000</x:v>
      </x:c>
      <x:c r="J3126" s="2" t="str">
        <x:v>total</x:v>
      </x:c>
      <x:c r="K3126" s="2" t="str">
        <x:v>top_level_area</x:v>
      </x:c>
      <x:c r="L3126" s="2" t="str">
        <x:v>property_type_inferred_from_title;transaction_assumed_sale_from_dataset_context</x:v>
      </x:c>
      <x:c r="M3126" s="10" t="n">
        <x:v>0</x:v>
      </x:c>
      <x:c r="N3126" s="10" t="n">
        <x:v>0</x:v>
      </x:c>
      <x:c r="O3126" s="2" t="str">
        <x:v>Tp Hồ Chí Minh|house</x:v>
      </x:c>
      <x:c r="P3126" s="10" t="n">
        <x:v>2</x:v>
      </x:c>
      <x:c r="Q3126" s="13" t="n">
        <x:f>IF(H3126="","",H3126/1000000000)</x:f>
        <x:v>0.64</x:v>
      </x:c>
      <x:c r="R3126" s="13" t="n">
        <x:f>IF(I3126="","",I3126/1000000)</x:f>
        <x:v>20</x:v>
      </x:c>
    </x:row>
    <x:row r="3127" ht="21" customHeight="1">
      <x:c r="A3127" s="10" t="n">
        <x:v>4246</x:v>
      </x:c>
      <x:c r="B3127" s="2" t="str">
        <x:v>ee4c662621fbd3754b00</x:v>
      </x:c>
      <x:c r="C3127" s="2" t="str">
        <x:v>Đồng Nai</x:v>
      </x:c>
      <x:c r="D3127" s="2" t="str">
        <x:v>Huyện Định Quán</x:v>
      </x:c>
      <x:c r="E3127" s="2" t="str">
        <x:v>land</x:v>
      </x:c>
      <x:c r="F3127" s="2" t="str">
        <x:v>sale</x:v>
      </x:c>
      <x:c r="G3127" s="11" t="n">
        <x:v>1000</x:v>
      </x:c>
      <x:c r="H3127" s="12" t="n">
        <x:v>600000000</x:v>
      </x:c>
      <x:c r="I3127" s="12" t="n">
        <x:v>600000</x:v>
      </x:c>
      <x:c r="J3127" s="2" t="str">
        <x:v>total</x:v>
      </x:c>
      <x:c r="K3127" s="2" t="str">
        <x:v>top_level_area</x:v>
      </x:c>
      <x:c r="L3127" s="2" t="str">
        <x:v>dot_thousands_convention;property_type_inferred_from_title</x:v>
      </x:c>
      <x:c r="M3127" s="10" t="n">
        <x:v>0</x:v>
      </x:c>
      <x:c r="N3127" s="10" t="n">
        <x:v>0</x:v>
      </x:c>
      <x:c r="O3127" s="2" t="str">
        <x:v>Đồng Nai|land</x:v>
      </x:c>
      <x:c r="P3127" s="10" t="n">
        <x:v>1</x:v>
      </x:c>
      <x:c r="Q3127" s="13" t="n">
        <x:f>IF(H3127="","",H3127/1000000000)</x:f>
        <x:v>0.6</x:v>
      </x:c>
      <x:c r="R3127" s="13" t="n">
        <x:f>IF(I3127="","",I3127/1000000)</x:f>
        <x:v>0.6</x:v>
      </x:c>
    </x:row>
    <x:row r="3128" ht="21" customHeight="1">
      <x:c r="A3128" s="10" t="n">
        <x:v>4249</x:v>
      </x:c>
      <x:c r="B3128" s="2" t="str">
        <x:v>a95099af31751366dfb6</x:v>
      </x:c>
      <x:c r="C3128" s="2" t="str">
        <x:v>Tp Hồ Chí Minh</x:v>
      </x:c>
      <x:c r="D3128" s="2" t="str">
        <x:v>Quận Bình Tân</x:v>
      </x:c>
      <x:c r="E3128" s="2" t="str">
        <x:v>house</x:v>
      </x:c>
      <x:c r="F3128" s="2" t="str">
        <x:v>sale_assumed</x:v>
      </x:c>
      <x:c r="G3128" s="11" t="n">
        <x:v>36</x:v>
      </x:c>
      <x:c r="H3128" s="12" t="n">
        <x:v>3100000000</x:v>
      </x:c>
      <x:c r="I3128" s="12" t="n">
        <x:v>86111111.1111111</x:v>
      </x:c>
      <x:c r="J3128" s="2" t="str">
        <x:v>total</x:v>
      </x:c>
      <x:c r="K3128" s="2" t="str">
        <x:v>top_level_area</x:v>
      </x:c>
      <x:c r="L3128" s="2" t="str">
        <x:v>property_type_inferred_from_title;transaction_assumed_sale_from_dataset_context</x:v>
      </x:c>
      <x:c r="M3128" s="10" t="n">
        <x:v>0</x:v>
      </x:c>
      <x:c r="N3128" s="10" t="n">
        <x:v>0</x:v>
      </x:c>
      <x:c r="O3128" s="2" t="str">
        <x:v>Tp Hồ Chí Minh|house</x:v>
      </x:c>
      <x:c r="P3128" s="10" t="n">
        <x:v>2</x:v>
      </x:c>
      <x:c r="Q3128" s="13" t="n">
        <x:f>IF(H3128="","",H3128/1000000000)</x:f>
        <x:v>3.1</x:v>
      </x:c>
      <x:c r="R3128" s="13" t="n">
        <x:f>IF(I3128="","",I3128/1000000)</x:f>
        <x:v>86.1111111111111</x:v>
      </x:c>
    </x:row>
    <x:row r="3129" ht="21" customHeight="1">
      <x:c r="A3129" s="10" t="n">
        <x:v>4250</x:v>
      </x:c>
      <x:c r="B3129" s="2" t="str">
        <x:v>3ee0089ed649760d2bcb</x:v>
      </x:c>
      <x:c r="C3129" s="2" t="str">
        <x:v>Tp Hồ Chí Minh</x:v>
      </x:c>
      <x:c r="D3129" s="2" t="str">
        <x:v>Huyện Hóc Môn</x:v>
      </x:c>
      <x:c r="E3129" s="2" t="str">
        <x:v>house</x:v>
      </x:c>
      <x:c r="F3129" s="2" t="str">
        <x:v>sale_assumed</x:v>
      </x:c>
      <x:c r="G3129" s="11" t="n">
        <x:v>32</x:v>
      </x:c>
      <x:c r="H3129" s="12" t="n">
        <x:v>640000000</x:v>
      </x:c>
      <x:c r="I3129" s="12" t="n">
        <x:v>20000000</x:v>
      </x:c>
      <x:c r="J3129" s="2" t="str">
        <x:v>total</x:v>
      </x:c>
      <x:c r="K3129" s="2" t="str">
        <x:v>top_level_area</x:v>
      </x:c>
      <x:c r="L3129" s="2" t="str">
        <x:v>property_type_inferred_from_title;transaction_assumed_sale_from_dataset_context</x:v>
      </x:c>
      <x:c r="M3129" s="10" t="n">
        <x:v>0</x:v>
      </x:c>
      <x:c r="N3129" s="10" t="n">
        <x:v>0</x:v>
      </x:c>
      <x:c r="O3129" s="2" t="str">
        <x:v>Tp Hồ Chí Minh|house</x:v>
      </x:c>
      <x:c r="P3129" s="10" t="n">
        <x:v>2</x:v>
      </x:c>
      <x:c r="Q3129" s="13" t="n">
        <x:f>IF(H3129="","",H3129/1000000000)</x:f>
        <x:v>0.64</x:v>
      </x:c>
      <x:c r="R3129" s="13" t="n">
        <x:f>IF(I3129="","",I3129/1000000)</x:f>
        <x:v>20</x:v>
      </x:c>
    </x:row>
    <x:row r="3130" ht="21" customHeight="1">
      <x:c r="A3130" s="10" t="n">
        <x:v>4251</x:v>
      </x:c>
      <x:c r="B3130" s="2" t="str">
        <x:v>c98bb4c14616f4a2890b</x:v>
      </x:c>
      <x:c r="C3130" s="2" t="str">
        <x:v>Tp Hồ Chí Minh</x:v>
      </x:c>
      <x:c r="D3130" s="2" t="str">
        <x:v>Quận Tân Phú</x:v>
      </x:c>
      <x:c r="E3130" s="2" t="str">
        <x:v>house</x:v>
      </x:c>
      <x:c r="F3130" s="2" t="str">
        <x:v>sale_assumed</x:v>
      </x:c>
      <x:c r="G3130" s="11" t="n">
        <x:v>54</x:v>
      </x:c>
      <x:c r="H3130" s="12" t="n">
        <x:v>5000000000</x:v>
      </x:c>
      <x:c r="I3130" s="12" t="n">
        <x:v>92592592.5925926</x:v>
      </x:c>
      <x:c r="J3130" s="2" t="str">
        <x:v>total</x:v>
      </x:c>
      <x:c r="K3130" s="2" t="str">
        <x:v>top_level_area</x:v>
      </x:c>
      <x:c r="L3130" s="2" t="str">
        <x:v>property_type_inferred_from_title;transaction_assumed_sale_from_dataset_context</x:v>
      </x:c>
      <x:c r="M3130" s="10" t="n">
        <x:v>0</x:v>
      </x:c>
      <x:c r="N3130" s="10" t="n">
        <x:v>0</x:v>
      </x:c>
      <x:c r="O3130" s="2" t="str">
        <x:v>Tp Hồ Chí Minh|house</x:v>
      </x:c>
      <x:c r="P3130" s="10" t="n">
        <x:v>2</x:v>
      </x:c>
      <x:c r="Q3130" s="13" t="n">
        <x:f>IF(H3130="","",H3130/1000000000)</x:f>
        <x:v>5</x:v>
      </x:c>
      <x:c r="R3130" s="13" t="n">
        <x:f>IF(I3130="","",I3130/1000000)</x:f>
        <x:v>92.5925925925926</x:v>
      </x:c>
    </x:row>
    <x:row r="3131" ht="21" customHeight="1">
      <x:c r="A3131" s="10" t="n">
        <x:v>4252</x:v>
      </x:c>
      <x:c r="B3131" s="2" t="str">
        <x:v>5347d11ed1301654cdeb</x:v>
      </x:c>
      <x:c r="C3131" s="2" t="str">
        <x:v>Hà Nội</x:v>
      </x:c>
      <x:c r="D3131" s="2" t="str">
        <x:v>Quận Đống Đa</x:v>
      </x:c>
      <x:c r="E3131" s="2" t="str">
        <x:v>house</x:v>
      </x:c>
      <x:c r="F3131" s="2" t="str">
        <x:v>sale</x:v>
      </x:c>
      <x:c r="G3131" s="11" t="n">
        <x:v>45</x:v>
      </x:c>
      <x:c r="H3131" s="12" t="n">
        <x:v>4300000000</x:v>
      </x:c>
      <x:c r="I3131" s="12" t="n">
        <x:v>95555555.55555555</x:v>
      </x:c>
      <x:c r="J3131" s="2" t="str">
        <x:v>total</x:v>
      </x:c>
      <x:c r="K3131" s="2" t="str">
        <x:v>top_level_area</x:v>
      </x:c>
      <x:c r="L3131" s="2" t="str">
        <x:v>property_type_inferred_from_title</x:v>
      </x:c>
      <x:c r="M3131" s="10" t="n">
        <x:v>0</x:v>
      </x:c>
      <x:c r="N3131" s="10" t="n">
        <x:v>0</x:v>
      </x:c>
      <x:c r="O3131" s="2" t="str">
        <x:v>Hà Nội|house</x:v>
      </x:c>
      <x:c r="P3131" s="10" t="n">
        <x:v>2</x:v>
      </x:c>
      <x:c r="Q3131" s="13" t="n">
        <x:f>IF(H3131="","",H3131/1000000000)</x:f>
        <x:v>4.3</x:v>
      </x:c>
      <x:c r="R3131" s="13" t="n">
        <x:f>IF(I3131="","",I3131/1000000)</x:f>
        <x:v>95.55555555555556</x:v>
      </x:c>
    </x:row>
    <x:row r="3132" ht="21" customHeight="1">
      <x:c r="A3132" s="10" t="n">
        <x:v>4253</x:v>
      </x:c>
      <x:c r="B3132" s="2" t="str">
        <x:v>d80f1436b3e2016b8506</x:v>
      </x:c>
      <x:c r="C3132" s="2" t="str">
        <x:v>Hà Nội</x:v>
      </x:c>
      <x:c r="D3132" s="2" t="str">
        <x:v>Quận Cầu Giấy</x:v>
      </x:c>
      <x:c r="E3132" s="2" t="str">
        <x:v>house</x:v>
      </x:c>
      <x:c r="F3132" s="2" t="str">
        <x:v>sale</x:v>
      </x:c>
      <x:c r="G3132" s="11" t="n">
        <x:v>56</x:v>
      </x:c>
      <x:c r="H3132" s="12" t="n">
        <x:v>4600000000</x:v>
      </x:c>
      <x:c r="I3132" s="12" t="n">
        <x:v>82142857.14285715</x:v>
      </x:c>
      <x:c r="J3132" s="2" t="str">
        <x:v>total</x:v>
      </x:c>
      <x:c r="K3132" s="2" t="str">
        <x:v>top_level_area</x:v>
      </x:c>
      <x:c r="L3132" s="2" t="str">
        <x:v>property_type_inferred_from_title</x:v>
      </x:c>
      <x:c r="M3132" s="10" t="n">
        <x:v>0</x:v>
      </x:c>
      <x:c r="N3132" s="10" t="n">
        <x:v>0</x:v>
      </x:c>
      <x:c r="O3132" s="2" t="str">
        <x:v>Hà Nội|house</x:v>
      </x:c>
      <x:c r="P3132" s="10" t="n">
        <x:v>2</x:v>
      </x:c>
      <x:c r="Q3132" s="13" t="n">
        <x:f>IF(H3132="","",H3132/1000000000)</x:f>
        <x:v>4.6</x:v>
      </x:c>
      <x:c r="R3132" s="13" t="n">
        <x:f>IF(I3132="","",I3132/1000000)</x:f>
        <x:v>82.14285714285715</x:v>
      </x:c>
    </x:row>
    <x:row r="3133" ht="21" customHeight="1">
      <x:c r="A3133" s="10" t="n">
        <x:v>4254</x:v>
      </x:c>
      <x:c r="B3133" s="2" t="str">
        <x:v>33aa40058b517cb53bcc</x:v>
      </x:c>
      <x:c r="C3133" s="2" t="str">
        <x:v>Quảng Nam</x:v>
      </x:c>
      <x:c r="D3133" s="2" t="str">
        <x:v>Thành phố Hội An</x:v>
      </x:c>
      <x:c r="E3133" s="2" t="str">
        <x:v>house</x:v>
      </x:c>
      <x:c r="F3133" s="2" t="str">
        <x:v>sale</x:v>
      </x:c>
      <x:c r="G3133" s="11" t="n">
        <x:v>107</x:v>
      </x:c>
      <x:c r="H3133" s="12" t="n">
        <x:v>4200000000</x:v>
      </x:c>
      <x:c r="I3133" s="12" t="n">
        <x:v>39252336.44859813</x:v>
      </x:c>
      <x:c r="J3133" s="2" t="str">
        <x:v>total</x:v>
      </x:c>
      <x:c r="K3133" s="2" t="str">
        <x:v>top_level_area</x:v>
      </x:c>
      <x:c r="L3133" s="2" t="str">
        <x:v>property_type_inferred_from_title</x:v>
      </x:c>
      <x:c r="M3133" s="10" t="n">
        <x:v>0</x:v>
      </x:c>
      <x:c r="N3133" s="10" t="n">
        <x:v>0</x:v>
      </x:c>
      <x:c r="O3133" s="2" t="str">
        <x:v>house</x:v>
      </x:c>
      <x:c r="P3133" s="10" t="n">
        <x:v>2</x:v>
      </x:c>
      <x:c r="Q3133" s="13" t="n">
        <x:f>IF(H3133="","",H3133/1000000000)</x:f>
        <x:v>4.2</x:v>
      </x:c>
      <x:c r="R3133" s="13" t="n">
        <x:f>IF(I3133="","",I3133/1000000)</x:f>
        <x:v>39.25233644859813</x:v>
      </x:c>
    </x:row>
    <x:row r="3134" ht="21" customHeight="1">
      <x:c r="A3134" s="10" t="n">
        <x:v>4255</x:v>
      </x:c>
      <x:c r="B3134" s="2" t="str">
        <x:v>bd34637833d1b29da80a</x:v>
      </x:c>
      <x:c r="C3134" s="2" t="str">
        <x:v>Hà Nội</x:v>
      </x:c>
      <x:c r="D3134" s="2" t="str">
        <x:v>Huyện Đông Anh</x:v>
      </x:c>
      <x:c r="E3134" s="2" t="str">
        <x:v>other_unknown</x:v>
      </x:c>
      <x:c r="F3134" s="2" t="str">
        <x:v>sale_assumed</x:v>
      </x:c>
      <x:c r="G3134" s="11" t="n">
        <x:v>51</x:v>
      </x:c>
      <x:c r="H3134" s="12" t="n">
        <x:v>816000000</x:v>
      </x:c>
      <x:c r="I3134" s="12" t="n">
        <x:v>16000000</x:v>
      </x:c>
      <x:c r="J3134" s="2" t="str">
        <x:v>total</x:v>
      </x:c>
      <x:c r="K3134" s="2" t="str">
        <x:v>top_level_area</x:v>
      </x:c>
      <x:c r="L3134" s="2" t="str">
        <x:v>property_type_inferred_from_title;transaction_assumed_sale_from_dataset_context;unknown_property_type</x:v>
      </x:c>
      <x:c r="M3134" s="10" t="n">
        <x:v>0</x:v>
      </x:c>
      <x:c r="N3134" s="10" t="n">
        <x:v>0</x:v>
      </x:c>
      <x:c r="O3134" s="2" t="str">
        <x:v>Hà Nội|other_unknown</x:v>
      </x:c>
      <x:c r="P3134" s="10" t="n">
        <x:v>2</x:v>
      </x:c>
      <x:c r="Q3134" s="13" t="n">
        <x:f>IF(H3134="","",H3134/1000000000)</x:f>
        <x:v>0.816</x:v>
      </x:c>
      <x:c r="R3134" s="13" t="n">
        <x:f>IF(I3134="","",I3134/1000000)</x:f>
        <x:v>16</x:v>
      </x:c>
    </x:row>
    <x:row r="3135" ht="21" customHeight="1">
      <x:c r="A3135" s="10" t="n">
        <x:v>4256</x:v>
      </x:c>
      <x:c r="B3135" s="2" t="str">
        <x:v>29132f9115b8b1d1f80a</x:v>
      </x:c>
      <x:c r="C3135" s="2" t="str">
        <x:v>Trà Vinh</x:v>
      </x:c>
      <x:c r="D3135" s="2" t="str">
        <x:v>Huyện Châu Thành</x:v>
      </x:c>
      <x:c r="E3135" s="2" t="str">
        <x:v>land</x:v>
      </x:c>
      <x:c r="F3135" s="2" t="str">
        <x:v>sale_assumed</x:v>
      </x:c>
      <x:c r="G3135" s="11" t="n">
        <x:v>300</x:v>
      </x:c>
      <x:c r="H3135" s="12" t="n">
        <x:v>6400000000</x:v>
      </x:c>
      <x:c r="I3135" s="12" t="n">
        <x:v>21333333.333333332</x:v>
      </x:c>
      <x:c r="J3135" s="2" t="str">
        <x:v>total</x:v>
      </x:c>
      <x:c r="K3135" s="2" t="str">
        <x:v>top_level_area</x:v>
      </x:c>
      <x:c r="L3135" s="2" t="str">
        <x:v>property_type_inferred_from_title;transaction_assumed_sale_from_dataset_context</x:v>
      </x:c>
      <x:c r="M3135" s="10" t="n">
        <x:v>0</x:v>
      </x:c>
      <x:c r="N3135" s="10" t="n">
        <x:v>0</x:v>
      </x:c>
      <x:c r="O3135" s="2" t="str">
        <x:v>land</x:v>
      </x:c>
      <x:c r="P3135" s="10" t="n">
        <x:v>2</x:v>
      </x:c>
      <x:c r="Q3135" s="13" t="n">
        <x:f>IF(H3135="","",H3135/1000000000)</x:f>
        <x:v>6.4</x:v>
      </x:c>
      <x:c r="R3135" s="13" t="n">
        <x:f>IF(I3135="","",I3135/1000000)</x:f>
        <x:v>21.333333333333332</x:v>
      </x:c>
    </x:row>
    <x:row r="3136" ht="21" customHeight="1">
      <x:c r="A3136" s="10" t="n">
        <x:v>4257</x:v>
      </x:c>
      <x:c r="B3136" s="2" t="str">
        <x:v>637d7d30cbf1061ecb73</x:v>
      </x:c>
      <x:c r="C3136" s="2" t="str">
        <x:v>Hà Nội</x:v>
      </x:c>
      <x:c r="D3136" s="2" t="str">
        <x:v>Quận Bắc Từ Liêm</x:v>
      </x:c>
      <x:c r="E3136" s="2" t="str">
        <x:v>house</x:v>
      </x:c>
      <x:c r="F3136" s="2" t="str">
        <x:v>sale_assumed</x:v>
      </x:c>
      <x:c r="G3136" s="11" t="n">
        <x:v>31</x:v>
      </x:c>
      <x:c r="H3136" s="12" t="n">
        <x:v>1550000000</x:v>
      </x:c>
      <x:c r="I3136" s="12" t="n">
        <x:v>50000000</x:v>
      </x:c>
      <x:c r="J3136" s="2" t="str">
        <x:v>total</x:v>
      </x:c>
      <x:c r="K3136" s="2" t="str">
        <x:v>top_level_area</x:v>
      </x:c>
      <x:c r="L3136" s="2" t="str">
        <x:v>property_type_inferred_from_title;transaction_assumed_sale_from_dataset_context</x:v>
      </x:c>
      <x:c r="M3136" s="10" t="n">
        <x:v>0</x:v>
      </x:c>
      <x:c r="N3136" s="10" t="n">
        <x:v>0</x:v>
      </x:c>
      <x:c r="O3136" s="2" t="str">
        <x:v>Hà Nội|house</x:v>
      </x:c>
      <x:c r="P3136" s="10" t="n">
        <x:v>2</x:v>
      </x:c>
      <x:c r="Q3136" s="13" t="n">
        <x:f>IF(H3136="","",H3136/1000000000)</x:f>
        <x:v>1.55</x:v>
      </x:c>
      <x:c r="R3136" s="13" t="n">
        <x:f>IF(I3136="","",I3136/1000000)</x:f>
        <x:v>50</x:v>
      </x:c>
    </x:row>
    <x:row r="3137" ht="21" customHeight="1">
      <x:c r="A3137" s="10" t="n">
        <x:v>4258</x:v>
      </x:c>
      <x:c r="B3137" s="2" t="str">
        <x:v>5ab4e81b65342c3003cc</x:v>
      </x:c>
      <x:c r="C3137" s="2" t="str">
        <x:v>Long An</x:v>
      </x:c>
      <x:c r="D3137" s="2" t="str">
        <x:v>Huyện Cần Đước</x:v>
      </x:c>
      <x:c r="E3137" s="2" t="str">
        <x:v>land</x:v>
      </x:c>
      <x:c r="F3137" s="2" t="str">
        <x:v>sale</x:v>
      </x:c>
      <x:c r="G3137" s="11" t="n">
        <x:v>95</x:v>
      </x:c>
      <x:c r="H3137" s="12" t="n">
        <x:v>900000000</x:v>
      </x:c>
      <x:c r="I3137" s="12" t="n">
        <x:v>9473684.210526315</x:v>
      </x:c>
      <x:c r="J3137" s="2" t="str">
        <x:v>total</x:v>
      </x:c>
      <x:c r="K3137" s="2" t="str">
        <x:v>top_level_area</x:v>
      </x:c>
      <x:c r="L3137" s="2" t="str">
        <x:v>property_type_inferred_from_title</x:v>
      </x:c>
      <x:c r="M3137" s="10" t="n">
        <x:v>0</x:v>
      </x:c>
      <x:c r="N3137" s="10" t="n">
        <x:v>0</x:v>
      </x:c>
      <x:c r="O3137" s="2" t="str">
        <x:v>Long An|land</x:v>
      </x:c>
      <x:c r="P3137" s="10" t="n">
        <x:v>2</x:v>
      </x:c>
      <x:c r="Q3137" s="13" t="n">
        <x:f>IF(H3137="","",H3137/1000000000)</x:f>
        <x:v>0.9</x:v>
      </x:c>
      <x:c r="R3137" s="13" t="n">
        <x:f>IF(I3137="","",I3137/1000000)</x:f>
        <x:v>9.473684210526315</x:v>
      </x:c>
    </x:row>
    <x:row r="3138" ht="21" customHeight="1">
      <x:c r="A3138" s="10" t="n">
        <x:v>4259</x:v>
      </x:c>
      <x:c r="B3138" s="2" t="str">
        <x:v>ddaec8486180b6d11230</x:v>
      </x:c>
      <x:c r="C3138" s="2" t="str">
        <x:v>Tp Hồ Chí Minh</x:v>
      </x:c>
      <x:c r="D3138" s="2" t="str">
        <x:v>Quận Bình Tân</x:v>
      </x:c>
      <x:c r="E3138" s="2" t="str">
        <x:v>apartment</x:v>
      </x:c>
      <x:c r="F3138" s="2" t="str">
        <x:v>sale_assumed</x:v>
      </x:c>
      <x:c r="G3138" s="11" t="n">
        <x:v>49</x:v>
      </x:c>
      <x:c r="H3138" s="12" t="n">
        <x:v>1300000000</x:v>
      </x:c>
      <x:c r="I3138" s="12" t="n">
        <x:v>26530612.244897958</x:v>
      </x:c>
      <x:c r="J3138" s="2" t="str">
        <x:v>total</x:v>
      </x:c>
      <x:c r="K3138" s="2" t="str">
        <x:v>top_level_area</x:v>
      </x:c>
      <x:c r="L3138" s="2" t="str">
        <x:v>property_type_inferred_from_title;transaction_assumed_sale_from_dataset_context</x:v>
      </x:c>
      <x:c r="M3138" s="10" t="n">
        <x:v>0</x:v>
      </x:c>
      <x:c r="N3138" s="10" t="n">
        <x:v>0</x:v>
      </x:c>
      <x:c r="O3138" s="2" t="str">
        <x:v>Tp Hồ Chí Minh|apartment</x:v>
      </x:c>
      <x:c r="P3138" s="10" t="n">
        <x:v>2</x:v>
      </x:c>
      <x:c r="Q3138" s="13" t="n">
        <x:f>IF(H3138="","",H3138/1000000000)</x:f>
        <x:v>1.3</x:v>
      </x:c>
      <x:c r="R3138" s="13" t="n">
        <x:f>IF(I3138="","",I3138/1000000)</x:f>
        <x:v>26.53061224489796</x:v>
      </x:c>
    </x:row>
    <x:row r="3139" ht="21" customHeight="1">
      <x:c r="A3139" s="10" t="n">
        <x:v>4260</x:v>
      </x:c>
      <x:c r="B3139" s="2" t="str">
        <x:v>dc8aa0748921568e26ab</x:v>
      </x:c>
      <x:c r="C3139" s="2" t="str">
        <x:v>Tp Hồ Chí Minh</x:v>
      </x:c>
      <x:c r="D3139" s="2" t="str">
        <x:v>Quận 2</x:v>
      </x:c>
      <x:c r="E3139" s="2" t="str">
        <x:v>other_unknown</x:v>
      </x:c>
      <x:c r="F3139" s="2" t="str">
        <x:v>sale_assumed</x:v>
      </x:c>
      <x:c r="G3139" s="11" t="n">
        <x:v>48.2</x:v>
      </x:c>
      <x:c r="H3139" s="12" t="n">
        <x:v>4500000000</x:v>
      </x:c>
      <x:c r="I3139" s="12" t="n">
        <x:v>93360995.8506224</x:v>
      </x:c>
      <x:c r="J3139" s="2" t="str">
        <x:v>total</x:v>
      </x:c>
      <x:c r="K3139" s="2" t="str">
        <x:v>top_level_area</x:v>
      </x:c>
      <x:c r="L3139" s="2" t="str">
        <x:v>property_type_inferred_from_title;transaction_assumed_sale_from_dataset_context;unknown_property_type</x:v>
      </x:c>
      <x:c r="M3139" s="10" t="n">
        <x:v>0</x:v>
      </x:c>
      <x:c r="N3139" s="10" t="n">
        <x:v>0</x:v>
      </x:c>
      <x:c r="O3139" s="2" t="str">
        <x:v>Tp Hồ Chí Minh|other_unknown</x:v>
      </x:c>
      <x:c r="P3139" s="10" t="n">
        <x:v>2</x:v>
      </x:c>
      <x:c r="Q3139" s="13" t="n">
        <x:f>IF(H3139="","",H3139/1000000000)</x:f>
        <x:v>4.5</x:v>
      </x:c>
      <x:c r="R3139" s="13" t="n">
        <x:f>IF(I3139="","",I3139/1000000)</x:f>
        <x:v>93.3609958506224</x:v>
      </x:c>
    </x:row>
    <x:row r="3140" ht="21" customHeight="1">
      <x:c r="A3140" s="10" t="n">
        <x:v>4261</x:v>
      </x:c>
      <x:c r="B3140" s="2" t="str">
        <x:v>67afde3b41a04dc75d94</x:v>
      </x:c>
      <x:c r="C3140" s="2" t="str">
        <x:v>Cần Thơ</x:v>
      </x:c>
      <x:c r="D3140" s="2" t="str">
        <x:v>Quận Bình Thuỷ</x:v>
      </x:c>
      <x:c r="E3140" s="2" t="str">
        <x:v>land</x:v>
      </x:c>
      <x:c r="F3140" s="2" t="str">
        <x:v>sale</x:v>
      </x:c>
      <x:c r="G3140" s="11" t="n">
        <x:v>85</x:v>
      </x:c>
      <x:c r="H3140" s="12" t="n">
        <x:v>1880000000</x:v>
      </x:c>
      <x:c r="I3140" s="12" t="n">
        <x:v>22117647.05882353</x:v>
      </x:c>
      <x:c r="J3140" s="2" t="str">
        <x:v>total</x:v>
      </x:c>
      <x:c r="K3140" s="2" t="str">
        <x:v>top_level_area</x:v>
      </x:c>
      <x:c r="L3140" s="2" t="str">
        <x:v>property_type_inferred_from_title</x:v>
      </x:c>
      <x:c r="M3140" s="10" t="n">
        <x:v>0</x:v>
      </x:c>
      <x:c r="N3140" s="10" t="n">
        <x:v>0</x:v>
      </x:c>
      <x:c r="O3140" s="2" t="str">
        <x:v>Cần Thơ|land</x:v>
      </x:c>
      <x:c r="P3140" s="10" t="n">
        <x:v>2</x:v>
      </x:c>
      <x:c r="Q3140" s="13" t="n">
        <x:f>IF(H3140="","",H3140/1000000000)</x:f>
        <x:v>1.88</x:v>
      </x:c>
      <x:c r="R3140" s="13" t="n">
        <x:f>IF(I3140="","",I3140/1000000)</x:f>
        <x:v>22.11764705882353</x:v>
      </x:c>
    </x:row>
    <x:row r="3141" ht="21" customHeight="1">
      <x:c r="A3141" s="10" t="n">
        <x:v>4262</x:v>
      </x:c>
      <x:c r="B3141" s="2" t="str">
        <x:v>a92f5f61bcd8ff7503bc</x:v>
      </x:c>
      <x:c r="C3141" s="2" t="str">
        <x:v>Tp Hồ Chí Minh</x:v>
      </x:c>
      <x:c r="D3141" s="2" t="str">
        <x:v>Quận Bình Tân</x:v>
      </x:c>
      <x:c r="E3141" s="2" t="str">
        <x:v>house</x:v>
      </x:c>
      <x:c r="F3141" s="2" t="str">
        <x:v>sale</x:v>
      </x:c>
      <x:c r="G3141" s="11" t="n">
        <x:v>60</x:v>
      </x:c>
      <x:c r="H3141" s="12" t="n">
        <x:v>4600000000</x:v>
      </x:c>
      <x:c r="I3141" s="12" t="n">
        <x:v>76666666.66666667</x:v>
      </x:c>
      <x:c r="J3141" s="2" t="str">
        <x:v>total</x:v>
      </x:c>
      <x:c r="K3141" s="2" t="str">
        <x:v>top_level_area</x:v>
      </x:c>
      <x:c r="L3141" s="2" t="str">
        <x:v>property_type_inferred_from_title</x:v>
      </x:c>
      <x:c r="M3141" s="10" t="n">
        <x:v>0</x:v>
      </x:c>
      <x:c r="N3141" s="10" t="n">
        <x:v>0</x:v>
      </x:c>
      <x:c r="O3141" s="2" t="str">
        <x:v>Tp Hồ Chí Minh|house</x:v>
      </x:c>
      <x:c r="P3141" s="10" t="n">
        <x:v>2</x:v>
      </x:c>
      <x:c r="Q3141" s="13" t="n">
        <x:f>IF(H3141="","",H3141/1000000000)</x:f>
        <x:v>4.6</x:v>
      </x:c>
      <x:c r="R3141" s="13" t="n">
        <x:f>IF(I3141="","",I3141/1000000)</x:f>
        <x:v>76.66666666666667</x:v>
      </x:c>
    </x:row>
    <x:row r="3142" ht="21" customHeight="1">
      <x:c r="A3142" s="10" t="n">
        <x:v>4263</x:v>
      </x:c>
      <x:c r="B3142" s="2" t="str">
        <x:v>707835b6ef97966129e3</x:v>
      </x:c>
      <x:c r="C3142" s="2" t="str">
        <x:v>Bạc Liêu</x:v>
      </x:c>
      <x:c r="D3142" s="2" t="str">
        <x:v>Thị xã Giá Rai</x:v>
      </x:c>
      <x:c r="E3142" s="2" t="str">
        <x:v>land</x:v>
      </x:c>
      <x:c r="F3142" s="2" t="str">
        <x:v>sale_assumed</x:v>
      </x:c>
      <x:c r="G3142" s="11" t="n">
        <x:v>228</x:v>
      </x:c>
      <x:c r="H3142" s="12" t="n">
        <x:v>420000000</x:v>
      </x:c>
      <x:c r="I3142" s="12" t="n">
        <x:v>1842105.2631578948</x:v>
      </x:c>
      <x:c r="J3142" s="2" t="str">
        <x:v>total</x:v>
      </x:c>
      <x:c r="K3142" s="2" t="str">
        <x:v>top_level_area</x:v>
      </x:c>
      <x:c r="L3142" s="2" t="str">
        <x:v>property_type_inferred_from_title;transaction_assumed_sale_from_dataset_context</x:v>
      </x:c>
      <x:c r="M3142" s="10" t="n">
        <x:v>0</x:v>
      </x:c>
      <x:c r="N3142" s="10" t="n">
        <x:v>0</x:v>
      </x:c>
      <x:c r="O3142" s="2" t="str">
        <x:v>land</x:v>
      </x:c>
      <x:c r="P3142" s="10" t="n">
        <x:v>1</x:v>
      </x:c>
      <x:c r="Q3142" s="13" t="n">
        <x:f>IF(H3142="","",H3142/1000000000)</x:f>
        <x:v>0.42</x:v>
      </x:c>
      <x:c r="R3142" s="13" t="n">
        <x:f>IF(I3142="","",I3142/1000000)</x:f>
        <x:v>1.842105263157895</x:v>
      </x:c>
    </x:row>
    <x:row r="3143" ht="21" customHeight="1">
      <x:c r="A3143" s="10" t="n">
        <x:v>4264</x:v>
      </x:c>
      <x:c r="B3143" s="2" t="str">
        <x:v>31172faf62ee89712c63</x:v>
      </x:c>
      <x:c r="C3143" s="2" t="str">
        <x:v>Đắk Lắk</x:v>
      </x:c>
      <x:c r="D3143" s="2" t="str">
        <x:v>Thành phố Buôn Ma Thuột</x:v>
      </x:c>
      <x:c r="E3143" s="2" t="str">
        <x:v>house</x:v>
      </x:c>
      <x:c r="F3143" s="2" t="str">
        <x:v>sale_assumed</x:v>
      </x:c>
      <x:c r="G3143" s="11" t="n">
        <x:v>137</x:v>
      </x:c>
      <x:c r="H3143" s="12" t="n">
        <x:v>2399000000</x:v>
      </x:c>
      <x:c r="I3143" s="12" t="n">
        <x:v>17510948.905109487</x:v>
      </x:c>
      <x:c r="J3143" s="2" t="str">
        <x:v>total</x:v>
      </x:c>
      <x:c r="K3143" s="2" t="str">
        <x:v>top_level_area</x:v>
      </x:c>
      <x:c r="L3143" s="2" t="str">
        <x:v>property_type_inferred_from_title;transaction_assumed_sale_from_dataset_context</x:v>
      </x:c>
      <x:c r="M3143" s="10" t="n">
        <x:v>0</x:v>
      </x:c>
      <x:c r="N3143" s="10" t="n">
        <x:v>0</x:v>
      </x:c>
      <x:c r="O3143" s="2" t="str">
        <x:v>Đắk Lắk|house</x:v>
      </x:c>
      <x:c r="P3143" s="10" t="n">
        <x:v>2</x:v>
      </x:c>
      <x:c r="Q3143" s="13" t="n">
        <x:f>IF(H3143="","",H3143/1000000000)</x:f>
        <x:v>2.399</x:v>
      </x:c>
      <x:c r="R3143" s="13" t="n">
        <x:f>IF(I3143="","",I3143/1000000)</x:f>
        <x:v>17.510948905109487</x:v>
      </x:c>
    </x:row>
    <x:row r="3144" ht="21" customHeight="1">
      <x:c r="A3144" s="10" t="n">
        <x:v>4265</x:v>
      </x:c>
      <x:c r="B3144" s="2" t="str">
        <x:v>ca5aeeff9bd56ed13770</x:v>
      </x:c>
      <x:c r="C3144" s="2" t="str">
        <x:v>Bến Tre</x:v>
      </x:c>
      <x:c r="D3144" s="2" t="str">
        <x:v>Thành phố Bến Tre</x:v>
      </x:c>
      <x:c r="E3144" s="2" t="str">
        <x:v>land</x:v>
      </x:c>
      <x:c r="F3144" s="2" t="str">
        <x:v>sale</x:v>
      </x:c>
      <x:c r="G3144" s="11" t="n">
        <x:v>102</x:v>
      </x:c>
      <x:c r="H3144" s="12" t="n">
        <x:v>580000000</x:v>
      </x:c>
      <x:c r="I3144" s="12" t="n">
        <x:v>5686274.509803922</x:v>
      </x:c>
      <x:c r="J3144" s="2" t="str">
        <x:v>total</x:v>
      </x:c>
      <x:c r="K3144" s="2" t="str">
        <x:v>top_level_area</x:v>
      </x:c>
      <x:c r="L3144" s="2" t="str">
        <x:v>property_type_inferred_from_title</x:v>
      </x:c>
      <x:c r="M3144" s="10" t="n">
        <x:v>0</x:v>
      </x:c>
      <x:c r="N3144" s="10" t="n">
        <x:v>0</x:v>
      </x:c>
      <x:c r="O3144" s="2" t="str">
        <x:v>Bến Tre|land</x:v>
      </x:c>
      <x:c r="P3144" s="10" t="n">
        <x:v>2</x:v>
      </x:c>
      <x:c r="Q3144" s="13" t="n">
        <x:f>IF(H3144="","",H3144/1000000000)</x:f>
        <x:v>0.58</x:v>
      </x:c>
      <x:c r="R3144" s="13" t="n">
        <x:f>IF(I3144="","",I3144/1000000)</x:f>
        <x:v>5.686274509803922</x:v>
      </x:c>
    </x:row>
    <x:row r="3145" ht="21" customHeight="1">
      <x:c r="A3145" s="10" t="n">
        <x:v>4266</x:v>
      </x:c>
      <x:c r="B3145" s="2" t="str">
        <x:v>63e03aeeb50737778f11</x:v>
      </x:c>
      <x:c r="C3145" s="2" t="str">
        <x:v>Long An</x:v>
      </x:c>
      <x:c r="D3145" s="2" t="str">
        <x:v>Huyện Cần Giuộc</x:v>
      </x:c>
      <x:c r="E3145" s="2" t="str">
        <x:v>land</x:v>
      </x:c>
      <x:c r="F3145" s="2" t="str">
        <x:v>sale_assumed</x:v>
      </x:c>
      <x:c r="G3145" s="11" t="n">
        <x:v>500</x:v>
      </x:c>
      <x:c r="H3145" s="12" t="n">
        <x:v>2000000000</x:v>
      </x:c>
      <x:c r="I3145" s="12" t="n">
        <x:v>4000000</x:v>
      </x:c>
      <x:c r="J3145" s="2" t="str">
        <x:v>total</x:v>
      </x:c>
      <x:c r="K3145" s="2" t="str">
        <x:v>top_level_area</x:v>
      </x:c>
      <x:c r="L3145" s="2" t="str">
        <x:v>property_type_inferred_from_title;transaction_assumed_sale_from_dataset_context</x:v>
      </x:c>
      <x:c r="M3145" s="10" t="n">
        <x:v>0</x:v>
      </x:c>
      <x:c r="N3145" s="10" t="n">
        <x:v>0</x:v>
      </x:c>
      <x:c r="O3145" s="2" t="str">
        <x:v>Long An|land</x:v>
      </x:c>
      <x:c r="P3145" s="10" t="n">
        <x:v>1</x:v>
      </x:c>
      <x:c r="Q3145" s="13" t="n">
        <x:f>IF(H3145="","",H3145/1000000000)</x:f>
        <x:v>2</x:v>
      </x:c>
      <x:c r="R3145" s="13" t="n">
        <x:f>IF(I3145="","",I3145/1000000)</x:f>
        <x:v>4</x:v>
      </x:c>
    </x:row>
    <x:row r="3146" ht="21" customHeight="1">
      <x:c r="A3146" s="10" t="n">
        <x:v>4268</x:v>
      </x:c>
      <x:c r="B3146" s="2" t="str">
        <x:v>5172fdd3c15acf2772c0</x:v>
      </x:c>
      <x:c r="C3146" s="2" t="str">
        <x:v>Tp Hồ Chí Minh</x:v>
      </x:c>
      <x:c r="D3146" s="2" t="str">
        <x:v>Quận 9</x:v>
      </x:c>
      <x:c r="E3146" s="2" t="str">
        <x:v>house</x:v>
      </x:c>
      <x:c r="F3146" s="2" t="str">
        <x:v>sale</x:v>
      </x:c>
      <x:c r="G3146" s="11" t="n">
        <x:v>52</x:v>
      </x:c>
      <x:c r="H3146" s="12" t="n">
        <x:v>3300000000</x:v>
      </x:c>
      <x:c r="I3146" s="12" t="n">
        <x:v>63461538.461538464</x:v>
      </x:c>
      <x:c r="J3146" s="2" t="str">
        <x:v>total</x:v>
      </x:c>
      <x:c r="K3146" s="2" t="str">
        <x:v>top_level_area</x:v>
      </x:c>
      <x:c r="L3146" s="2" t="str">
        <x:v>property_type_inferred_from_title</x:v>
      </x:c>
      <x:c r="M3146" s="10" t="n">
        <x:v>0</x:v>
      </x:c>
      <x:c r="N3146" s="10" t="n">
        <x:v>0</x:v>
      </x:c>
      <x:c r="O3146" s="2" t="str">
        <x:v>Tp Hồ Chí Minh|house</x:v>
      </x:c>
      <x:c r="P3146" s="10" t="n">
        <x:v>2</x:v>
      </x:c>
      <x:c r="Q3146" s="13" t="n">
        <x:f>IF(H3146="","",H3146/1000000000)</x:f>
        <x:v>3.3</x:v>
      </x:c>
      <x:c r="R3146" s="13" t="n">
        <x:f>IF(I3146="","",I3146/1000000)</x:f>
        <x:v>63.46153846153847</x:v>
      </x:c>
    </x:row>
    <x:row r="3147" ht="21" customHeight="1">
      <x:c r="A3147" s="10" t="n">
        <x:v>4272</x:v>
      </x:c>
      <x:c r="B3147" s="2" t="str">
        <x:v>6aaa180b0289bf7c0d63</x:v>
      </x:c>
      <x:c r="C3147" s="2" t="str">
        <x:v>Tp Hồ Chí Minh</x:v>
      </x:c>
      <x:c r="D3147" s="2" t="str">
        <x:v>Quận Thủ Đức</x:v>
      </x:c>
      <x:c r="E3147" s="2" t="str">
        <x:v>house</x:v>
      </x:c>
      <x:c r="F3147" s="2" t="str">
        <x:v>sale</x:v>
      </x:c>
      <x:c r="G3147" s="11" t="n">
        <x:v>61</x:v>
      </x:c>
      <x:c r="H3147" s="12" t="n">
        <x:v>4850000000</x:v>
      </x:c>
      <x:c r="I3147" s="12" t="n">
        <x:v>79508196.72131148</x:v>
      </x:c>
      <x:c r="J3147" s="2" t="str">
        <x:v>total</x:v>
      </x:c>
      <x:c r="K3147" s="2" t="str">
        <x:v>top_level_area</x:v>
      </x:c>
      <x:c r="L3147" s="2" t="str">
        <x:v>property_type_inferred_from_title</x:v>
      </x:c>
      <x:c r="M3147" s="10" t="n">
        <x:v>0</x:v>
      </x:c>
      <x:c r="N3147" s="10" t="n">
        <x:v>0</x:v>
      </x:c>
      <x:c r="O3147" s="2" t="str">
        <x:v>Tp Hồ Chí Minh|house</x:v>
      </x:c>
      <x:c r="P3147" s="10" t="n">
        <x:v>2</x:v>
      </x:c>
      <x:c r="Q3147" s="13" t="n">
        <x:f>IF(H3147="","",H3147/1000000000)</x:f>
        <x:v>4.85</x:v>
      </x:c>
      <x:c r="R3147" s="13" t="n">
        <x:f>IF(I3147="","",I3147/1000000)</x:f>
        <x:v>79.50819672131148</x:v>
      </x:c>
    </x:row>
    <x:row r="3148" ht="21" customHeight="1">
      <x:c r="A3148" s="10" t="n">
        <x:v>4273</x:v>
      </x:c>
      <x:c r="B3148" s="2" t="str">
        <x:v>0ac2482d461ca22d03a1</x:v>
      </x:c>
      <x:c r="C3148" s="2" t="str">
        <x:v>Khánh Hòa</x:v>
      </x:c>
      <x:c r="D3148" s="2" t="str">
        <x:v>Thành phố Nha Trang</x:v>
      </x:c>
      <x:c r="E3148" s="2" t="str">
        <x:v>land</x:v>
      </x:c>
      <x:c r="F3148" s="2" t="str">
        <x:v>sale</x:v>
      </x:c>
      <x:c r="G3148" s="11" t="n">
        <x:v>91.7</x:v>
      </x:c>
      <x:c r="H3148" s="12" t="n">
        <x:v>1150000000</x:v>
      </x:c>
      <x:c r="I3148" s="12" t="n">
        <x:v>12540894.220283533</x:v>
      </x:c>
      <x:c r="J3148" s="2" t="str">
        <x:v>total</x:v>
      </x:c>
      <x:c r="K3148" s="2" t="str">
        <x:v>top_level_area</x:v>
      </x:c>
      <x:c r="L3148" s="2" t="str">
        <x:v>property_type_inferred_from_title</x:v>
      </x:c>
      <x:c r="M3148" s="10" t="n">
        <x:v>0</x:v>
      </x:c>
      <x:c r="N3148" s="10" t="n">
        <x:v>0</x:v>
      </x:c>
      <x:c r="O3148" s="2" t="str">
        <x:v>land</x:v>
      </x:c>
      <x:c r="P3148" s="10" t="n">
        <x:v>2</x:v>
      </x:c>
      <x:c r="Q3148" s="13" t="n">
        <x:f>IF(H3148="","",H3148/1000000000)</x:f>
        <x:v>1.15</x:v>
      </x:c>
      <x:c r="R3148" s="13" t="n">
        <x:f>IF(I3148="","",I3148/1000000)</x:f>
        <x:v>12.540894220283533</x:v>
      </x:c>
    </x:row>
    <x:row r="3149" ht="21" customHeight="1">
      <x:c r="A3149" s="10" t="n">
        <x:v>4274</x:v>
      </x:c>
      <x:c r="B3149" s="2" t="str">
        <x:v>b047be584cf031fca8c4</x:v>
      </x:c>
      <x:c r="C3149" s="2" t="str">
        <x:v>Bắc Ninh</x:v>
      </x:c>
      <x:c r="D3149" s="2" t="str">
        <x:v>Huyện Thuận Thành</x:v>
      </x:c>
      <x:c r="E3149" s="2" t="str">
        <x:v>other_unknown</x:v>
      </x:c>
      <x:c r="F3149" s="2" t="str">
        <x:v>sale_assumed</x:v>
      </x:c>
      <x:c r="G3149" s="11" t="n">
        <x:v>212</x:v>
      </x:c>
      <x:c r="H3149" s="12" t="n">
        <x:v>1878000000</x:v>
      </x:c>
      <x:c r="I3149" s="12" t="n">
        <x:v>8858490.566037735</x:v>
      </x:c>
      <x:c r="J3149" s="2" t="str">
        <x:v>total</x:v>
      </x:c>
      <x:c r="K3149" s="2" t="str">
        <x:v>top_level_area</x:v>
      </x:c>
      <x:c r="L3149" s="2" t="str">
        <x:v>property_type_inferred_from_title;transaction_assumed_sale_from_dataset_context;unknown_property_type</x:v>
      </x:c>
      <x:c r="M3149" s="10" t="n">
        <x:v>0</x:v>
      </x:c>
      <x:c r="N3149" s="10" t="n">
        <x:v>0</x:v>
      </x:c>
      <x:c r="O3149" s="2" t="str">
        <x:v>other_unknown</x:v>
      </x:c>
      <x:c r="P3149" s="10" t="n">
        <x:v>2</x:v>
      </x:c>
      <x:c r="Q3149" s="13" t="n">
        <x:f>IF(H3149="","",H3149/1000000000)</x:f>
        <x:v>1.878</x:v>
      </x:c>
      <x:c r="R3149" s="13" t="n">
        <x:f>IF(I3149="","",I3149/1000000)</x:f>
        <x:v>8.858490566037736</x:v>
      </x:c>
    </x:row>
    <x:row r="3150" ht="21" customHeight="1">
      <x:c r="A3150" s="10" t="n">
        <x:v>4275</x:v>
      </x:c>
      <x:c r="B3150" s="2" t="str">
        <x:v>9b8c03d29e1d6593b08d</x:v>
      </x:c>
      <x:c r="C3150" s="2" t="str">
        <x:v>Hải Phòng</x:v>
      </x:c>
      <x:c r="D3150" s="2" t="str">
        <x:v>Quận Dương Kinh</x:v>
      </x:c>
      <x:c r="E3150" s="2" t="str">
        <x:v>land</x:v>
      </x:c>
      <x:c r="F3150" s="2" t="str">
        <x:v>sale_assumed</x:v>
      </x:c>
      <x:c r="G3150" s="11" t="n">
        <x:v>376</x:v>
      </x:c>
      <x:c r="H3150" s="12" t="n">
        <x:v>2700000000</x:v>
      </x:c>
      <x:c r="I3150" s="12" t="n">
        <x:v>7180851.063829787</x:v>
      </x:c>
      <x:c r="J3150" s="2" t="str">
        <x:v>total</x:v>
      </x:c>
      <x:c r="K3150" s="2" t="str">
        <x:v>top_level_area</x:v>
      </x:c>
      <x:c r="L3150" s="2" t="str">
        <x:v>property_type_inferred_from_title;transaction_assumed_sale_from_dataset_context</x:v>
      </x:c>
      <x:c r="M3150" s="10" t="n">
        <x:v>0</x:v>
      </x:c>
      <x:c r="N3150" s="10" t="n">
        <x:v>0</x:v>
      </x:c>
      <x:c r="O3150" s="2" t="str">
        <x:v>land</x:v>
      </x:c>
      <x:c r="P3150" s="10" t="n">
        <x:v>1</x:v>
      </x:c>
      <x:c r="Q3150" s="13" t="n">
        <x:f>IF(H3150="","",H3150/1000000000)</x:f>
        <x:v>2.7</x:v>
      </x:c>
      <x:c r="R3150" s="13" t="n">
        <x:f>IF(I3150="","",I3150/1000000)</x:f>
        <x:v>7.180851063829787</x:v>
      </x:c>
    </x:row>
    <x:row r="3151" ht="21" customHeight="1">
      <x:c r="A3151" s="10" t="n">
        <x:v>4276</x:v>
      </x:c>
      <x:c r="B3151" s="2" t="str">
        <x:v>78e56a8034dd265665b7</x:v>
      </x:c>
      <x:c r="C3151" s="2" t="str">
        <x:v>Hà Nội</x:v>
      </x:c>
      <x:c r="D3151" s="2" t="str">
        <x:v>Quận Hai Bà Trưng</x:v>
      </x:c>
      <x:c r="E3151" s="2" t="str">
        <x:v>house</x:v>
      </x:c>
      <x:c r="F3151" s="2" t="str">
        <x:v>sale_assumed</x:v>
      </x:c>
      <x:c r="G3151" s="11" t="n">
        <x:v>24</x:v>
      </x:c>
      <x:c r="H3151" s="12" t="n">
        <x:v>2100000000</x:v>
      </x:c>
      <x:c r="I3151" s="12" t="n">
        <x:v>87500000</x:v>
      </x:c>
      <x:c r="J3151" s="2" t="str">
        <x:v>total</x:v>
      </x:c>
      <x:c r="K3151" s="2" t="str">
        <x:v>top_level_area</x:v>
      </x:c>
      <x:c r="L3151" s="2" t="str">
        <x:v>property_type_inferred_from_title;transaction_assumed_sale_from_dataset_context</x:v>
      </x:c>
      <x:c r="M3151" s="10" t="n">
        <x:v>0</x:v>
      </x:c>
      <x:c r="N3151" s="10" t="n">
        <x:v>0</x:v>
      </x:c>
      <x:c r="O3151" s="2" t="str">
        <x:v>Hà Nội|house</x:v>
      </x:c>
      <x:c r="P3151" s="10" t="n">
        <x:v>2</x:v>
      </x:c>
      <x:c r="Q3151" s="13" t="n">
        <x:f>IF(H3151="","",H3151/1000000000)</x:f>
        <x:v>2.1</x:v>
      </x:c>
      <x:c r="R3151" s="13" t="n">
        <x:f>IF(I3151="","",I3151/1000000)</x:f>
        <x:v>87.5</x:v>
      </x:c>
    </x:row>
    <x:row r="3152" ht="21" customHeight="1">
      <x:c r="A3152" s="10" t="n">
        <x:v>4277</x:v>
      </x:c>
      <x:c r="B3152" s="2" t="str">
        <x:v>69d7f1cd4eacd894c3da</x:v>
      </x:c>
      <x:c r="C3152" s="2" t="str">
        <x:v>Khánh Hòa</x:v>
      </x:c>
      <x:c r="D3152" s="2" t="str">
        <x:v>Thành phố Nha Trang</x:v>
      </x:c>
      <x:c r="E3152" s="2" t="str">
        <x:v>house</x:v>
      </x:c>
      <x:c r="F3152" s="2" t="str">
        <x:v>sale_assumed</x:v>
      </x:c>
      <x:c r="G3152" s="11" t="n">
        <x:v>123.5</x:v>
      </x:c>
      <x:c r="H3152" s="12" t="n">
        <x:v>1000000000</x:v>
      </x:c>
      <x:c r="I3152" s="12" t="n">
        <x:v>8097165.991902834</x:v>
      </x:c>
      <x:c r="J3152" s="2" t="str">
        <x:v>total</x:v>
      </x:c>
      <x:c r="K3152" s="2" t="str">
        <x:v>top_level_area</x:v>
      </x:c>
      <x:c r="L3152" s="2" t="str">
        <x:v>property_type_inferred_from_title;transaction_assumed_sale_from_dataset_context</x:v>
      </x:c>
      <x:c r="M3152" s="10" t="n">
        <x:v>0</x:v>
      </x:c>
      <x:c r="N3152" s="10" t="n">
        <x:v>0</x:v>
      </x:c>
      <x:c r="O3152" s="2" t="str">
        <x:v>Khánh Hòa|house</x:v>
      </x:c>
      <x:c r="P3152" s="10" t="n">
        <x:v>2</x:v>
      </x:c>
      <x:c r="Q3152" s="13" t="n">
        <x:f>IF(H3152="","",H3152/1000000000)</x:f>
        <x:v>1</x:v>
      </x:c>
      <x:c r="R3152" s="13" t="n">
        <x:f>IF(I3152="","",I3152/1000000)</x:f>
        <x:v>8.097165991902834</x:v>
      </x:c>
    </x:row>
    <x:row r="3153" ht="21" customHeight="1">
      <x:c r="A3153" s="10" t="n">
        <x:v>4278</x:v>
      </x:c>
      <x:c r="B3153" s="2" t="str">
        <x:v>4ce3a2b0a88592135903</x:v>
      </x:c>
      <x:c r="C3153" s="2" t="str">
        <x:v>Vĩnh Long</x:v>
      </x:c>
      <x:c r="D3153" s="2" t="str">
        <x:v>Thành phố Vĩnh Long</x:v>
      </x:c>
      <x:c r="E3153" s="2" t="str">
        <x:v>house</x:v>
      </x:c>
      <x:c r="F3153" s="2" t="str">
        <x:v>sale</x:v>
      </x:c>
      <x:c r="G3153" s="11" t="n">
        <x:v>83</x:v>
      </x:c>
      <x:c r="H3153" s="12" t="n">
        <x:v>799000000</x:v>
      </x:c>
      <x:c r="I3153" s="12" t="n">
        <x:v>9626506.024096385</x:v>
      </x:c>
      <x:c r="J3153" s="2" t="str">
        <x:v>total</x:v>
      </x:c>
      <x:c r="K3153" s="2" t="str">
        <x:v>top_level_area</x:v>
      </x:c>
      <x:c r="L3153" s="2" t="str">
        <x:v>property_type_inferred_from_title</x:v>
      </x:c>
      <x:c r="M3153" s="10" t="n">
        <x:v>0</x:v>
      </x:c>
      <x:c r="N3153" s="10" t="n">
        <x:v>0</x:v>
      </x:c>
      <x:c r="O3153" s="2" t="str">
        <x:v>house</x:v>
      </x:c>
      <x:c r="P3153" s="10" t="n">
        <x:v>2</x:v>
      </x:c>
      <x:c r="Q3153" s="13" t="n">
        <x:f>IF(H3153="","",H3153/1000000000)</x:f>
        <x:v>0.799</x:v>
      </x:c>
      <x:c r="R3153" s="13" t="n">
        <x:f>IF(I3153="","",I3153/1000000)</x:f>
        <x:v>9.626506024096384</x:v>
      </x:c>
    </x:row>
    <x:row r="3154" ht="21" customHeight="1">
      <x:c r="A3154" s="10" t="n">
        <x:v>4279</x:v>
      </x:c>
      <x:c r="B3154" s="2" t="str">
        <x:v>3b381861976d10922bb6</x:v>
      </x:c>
      <x:c r="C3154" s="2" t="str">
        <x:v>Tây Ninh</x:v>
      </x:c>
      <x:c r="D3154" s="2" t="str">
        <x:v>Thành phố Tây Ninh</x:v>
      </x:c>
      <x:c r="E3154" s="2" t="str">
        <x:v>land</x:v>
      </x:c>
      <x:c r="F3154" s="2" t="str">
        <x:v>sale_assumed</x:v>
      </x:c>
      <x:c r="G3154" s="11" t="n">
        <x:v>95</x:v>
      </x:c>
      <x:c r="H3154" s="12" t="n">
        <x:v>649000000</x:v>
      </x:c>
      <x:c r="I3154" s="12" t="n">
        <x:v>6831578.947368421</x:v>
      </x:c>
      <x:c r="J3154" s="2" t="str">
        <x:v>total</x:v>
      </x:c>
      <x:c r="K3154" s="2" t="str">
        <x:v>top_level_area</x:v>
      </x:c>
      <x:c r="L3154" s="2" t="str">
        <x:v>property_type_inferred_from_title;transaction_assumed_sale_from_dataset_context</x:v>
      </x:c>
      <x:c r="M3154" s="10" t="n">
        <x:v>0</x:v>
      </x:c>
      <x:c r="N3154" s="10" t="n">
        <x:v>0</x:v>
      </x:c>
      <x:c r="O3154" s="2" t="str">
        <x:v>land</x:v>
      </x:c>
      <x:c r="P3154" s="10" t="n">
        <x:v>2</x:v>
      </x:c>
      <x:c r="Q3154" s="13" t="n">
        <x:f>IF(H3154="","",H3154/1000000000)</x:f>
        <x:v>0.649</x:v>
      </x:c>
      <x:c r="R3154" s="13" t="n">
        <x:f>IF(I3154="","",I3154/1000000)</x:f>
        <x:v>6.8315789473684205</x:v>
      </x:c>
    </x:row>
    <x:row r="3155" ht="21" customHeight="1">
      <x:c r="A3155" s="10" t="n">
        <x:v>4280</x:v>
      </x:c>
      <x:c r="B3155" s="2" t="str">
        <x:v>c53ef32f6da42765ec32</x:v>
      </x:c>
      <x:c r="C3155" s="2" t="str">
        <x:v>Hải Phòng</x:v>
      </x:c>
      <x:c r="D3155" s="2" t="str">
        <x:v>Quận Ngô Quyền</x:v>
      </x:c>
      <x:c r="E3155" s="2" t="str">
        <x:v>house</x:v>
      </x:c>
      <x:c r="F3155" s="2" t="str">
        <x:v>sale_assumed</x:v>
      </x:c>
      <x:c r="G3155" s="11" t="n">
        <x:v>45</x:v>
      </x:c>
      <x:c r="H3155" s="12" t="n">
        <x:v>2850000000</x:v>
      </x:c>
      <x:c r="I3155" s="12" t="n">
        <x:v>63333333.333333336</x:v>
      </x:c>
      <x:c r="J3155" s="2" t="str">
        <x:v>total</x:v>
      </x:c>
      <x:c r="K3155" s="2" t="str">
        <x:v>top_level_area</x:v>
      </x:c>
      <x:c r="L3155" s="2" t="str">
        <x:v>property_type_inferred_from_title;transaction_assumed_sale_from_dataset_context</x:v>
      </x:c>
      <x:c r="M3155" s="10" t="n">
        <x:v>0</x:v>
      </x:c>
      <x:c r="N3155" s="10" t="n">
        <x:v>0</x:v>
      </x:c>
      <x:c r="O3155" s="2" t="str">
        <x:v>house</x:v>
      </x:c>
      <x:c r="P3155" s="10" t="n">
        <x:v>2</x:v>
      </x:c>
      <x:c r="Q3155" s="13" t="n">
        <x:f>IF(H3155="","",H3155/1000000000)</x:f>
        <x:v>2.85</x:v>
      </x:c>
      <x:c r="R3155" s="13" t="n">
        <x:f>IF(I3155="","",I3155/1000000)</x:f>
        <x:v>63.333333333333336</x:v>
      </x:c>
    </x:row>
    <x:row r="3156" ht="21" customHeight="1">
      <x:c r="A3156" s="10" t="n">
        <x:v>4281</x:v>
      </x:c>
      <x:c r="B3156" s="2" t="str">
        <x:v>9f15e48958bf7443dd0f</x:v>
      </x:c>
      <x:c r="C3156" s="2" t="str">
        <x:v>Hà Nội</x:v>
      </x:c>
      <x:c r="D3156" s="2" t="str">
        <x:v>Quận Bắc Từ Liêm</x:v>
      </x:c>
      <x:c r="E3156" s="2" t="str">
        <x:v>other_unknown</x:v>
      </x:c>
      <x:c r="F3156" s="2" t="str">
        <x:v>sale_assumed</x:v>
      </x:c>
      <x:c r="G3156" s="11" t="n">
        <x:v>80</x:v>
      </x:c>
      <x:c r="H3156" s="12" t="n">
        <x:v>5500000000</x:v>
      </x:c>
      <x:c r="I3156" s="12" t="n">
        <x:v>68750000</x:v>
      </x:c>
      <x:c r="J3156" s="2" t="str">
        <x:v>total</x:v>
      </x:c>
      <x:c r="K3156" s="2" t="str">
        <x:v>top_level_area</x:v>
      </x:c>
      <x:c r="L3156" s="2" t="str">
        <x:v>property_type_inferred_from_title;transaction_assumed_sale_from_dataset_context;unknown_property_type</x:v>
      </x:c>
      <x:c r="M3156" s="10" t="n">
        <x:v>0</x:v>
      </x:c>
      <x:c r="N3156" s="10" t="n">
        <x:v>0</x:v>
      </x:c>
      <x:c r="O3156" s="2" t="str">
        <x:v>Hà Nội|other_unknown</x:v>
      </x:c>
      <x:c r="P3156" s="10" t="n">
        <x:v>2</x:v>
      </x:c>
      <x:c r="Q3156" s="13" t="n">
        <x:f>IF(H3156="","",H3156/1000000000)</x:f>
        <x:v>5.5</x:v>
      </x:c>
      <x:c r="R3156" s="13" t="n">
        <x:f>IF(I3156="","",I3156/1000000)</x:f>
        <x:v>68.75</x:v>
      </x:c>
    </x:row>
    <x:row r="3157" ht="21" customHeight="1">
      <x:c r="A3157" s="10" t="n">
        <x:v>4282</x:v>
      </x:c>
      <x:c r="B3157" s="2" t="str">
        <x:v>43b1485822abcfbf53f3</x:v>
      </x:c>
      <x:c r="C3157" s="2" t="str">
        <x:v>Bến Tre</x:v>
      </x:c>
      <x:c r="D3157" s="2" t="str">
        <x:v>Huyện Giồng Trôm</x:v>
      </x:c>
      <x:c r="E3157" s="2" t="str">
        <x:v>land</x:v>
      </x:c>
      <x:c r="F3157" s="2" t="str">
        <x:v>sale_assumed</x:v>
      </x:c>
      <x:c r="G3157" s="11" t="n">
        <x:v>5400</x:v>
      </x:c>
      <x:c r="H3157" s="12" t="n">
        <x:v>6480000000</x:v>
      </x:c>
      <x:c r="I3157" s="12" t="n">
        <x:v>1200000</x:v>
      </x:c>
      <x:c r="J3157" s="2" t="str">
        <x:v>total</x:v>
      </x:c>
      <x:c r="K3157" s="2" t="str">
        <x:v>top_level_area</x:v>
      </x:c>
      <x:c r="L3157" s="2" t="str">
        <x:v>dot_thousands_convention;property_type_inferred_from_title;transaction_assumed_sale_from_dataset_context</x:v>
      </x:c>
      <x:c r="M3157" s="10" t="n">
        <x:v>0</x:v>
      </x:c>
      <x:c r="N3157" s="10" t="n">
        <x:v>0</x:v>
      </x:c>
      <x:c r="O3157" s="2" t="str">
        <x:v>Bến Tre|land</x:v>
      </x:c>
      <x:c r="P3157" s="10" t="n">
        <x:v>1</x:v>
      </x:c>
      <x:c r="Q3157" s="13" t="n">
        <x:f>IF(H3157="","",H3157/1000000000)</x:f>
        <x:v>6.48</x:v>
      </x:c>
      <x:c r="R3157" s="13" t="n">
        <x:f>IF(I3157="","",I3157/1000000)</x:f>
        <x:v>1.2</x:v>
      </x:c>
    </x:row>
    <x:row r="3158" ht="21" customHeight="1">
      <x:c r="A3158" s="10" t="n">
        <x:v>4283</x:v>
      </x:c>
      <x:c r="B3158" s="2" t="str">
        <x:v>3cc064049daffa4ff775</x:v>
      </x:c>
      <x:c r="C3158" s="2" t="str">
        <x:v>Đà Nẵng</x:v>
      </x:c>
      <x:c r="D3158" s="2" t="str">
        <x:v>Quận Liên Chiểu</x:v>
      </x:c>
      <x:c r="E3158" s="2" t="str">
        <x:v>house</x:v>
      </x:c>
      <x:c r="F3158" s="2" t="str">
        <x:v>sale</x:v>
      </x:c>
      <x:c r="G3158" s="11" t="n">
        <x:v>68</x:v>
      </x:c>
      <x:c r="H3158" s="12" t="n">
        <x:v>3150000000</x:v>
      </x:c>
      <x:c r="I3158" s="12" t="n">
        <x:v>46323529.4117647</x:v>
      </x:c>
      <x:c r="J3158" s="2" t="str">
        <x:v>total</x:v>
      </x:c>
      <x:c r="K3158" s="2" t="str">
        <x:v>top_level_area</x:v>
      </x:c>
      <x:c r="L3158" s="2" t="str">
        <x:v>property_type_inferred_from_title</x:v>
      </x:c>
      <x:c r="M3158" s="10" t="n">
        <x:v>0</x:v>
      </x:c>
      <x:c r="N3158" s="10" t="n">
        <x:v>0</x:v>
      </x:c>
      <x:c r="O3158" s="2" t="str">
        <x:v>Đà Nẵng|house</x:v>
      </x:c>
      <x:c r="P3158" s="10" t="n">
        <x:v>2</x:v>
      </x:c>
      <x:c r="Q3158" s="13" t="n">
        <x:f>IF(H3158="","",H3158/1000000000)</x:f>
        <x:v>3.15</x:v>
      </x:c>
      <x:c r="R3158" s="13" t="n">
        <x:f>IF(I3158="","",I3158/1000000)</x:f>
        <x:v>46.3235294117647</x:v>
      </x:c>
    </x:row>
    <x:row r="3159" ht="21" customHeight="1">
      <x:c r="A3159" s="10" t="n">
        <x:v>4284</x:v>
      </x:c>
      <x:c r="B3159" s="2" t="str">
        <x:v>2d80ffe7d482c08ec157</x:v>
      </x:c>
      <x:c r="C3159" s="2" t="str">
        <x:v>Tp Hồ Chí Minh</x:v>
      </x:c>
      <x:c r="D3159" s="2" t="str">
        <x:v>Quận Bình Tân</x:v>
      </x:c>
      <x:c r="E3159" s="2" t="str">
        <x:v>apartment</x:v>
      </x:c>
      <x:c r="F3159" s="2" t="str">
        <x:v>sale_assumed</x:v>
      </x:c>
      <x:c r="G3159" s="11" t="n">
        <x:v>35</x:v>
      </x:c>
      <x:c r="H3159" s="12" t="n">
        <x:v>875000000</x:v>
      </x:c>
      <x:c r="I3159" s="12" t="n">
        <x:v>25000000</x:v>
      </x:c>
      <x:c r="J3159" s="2" t="str">
        <x:v>total</x:v>
      </x:c>
      <x:c r="K3159" s="2" t="str">
        <x:v>top_level_area</x:v>
      </x:c>
      <x:c r="L3159" s="2" t="str">
        <x:v>property_type_inferred_from_title;transaction_assumed_sale_from_dataset_context</x:v>
      </x:c>
      <x:c r="M3159" s="10" t="n">
        <x:v>0</x:v>
      </x:c>
      <x:c r="N3159" s="10" t="n">
        <x:v>0</x:v>
      </x:c>
      <x:c r="O3159" s="2" t="str">
        <x:v>Tp Hồ Chí Minh|apartment</x:v>
      </x:c>
      <x:c r="P3159" s="10" t="n">
        <x:v>2</x:v>
      </x:c>
      <x:c r="Q3159" s="13" t="n">
        <x:f>IF(H3159="","",H3159/1000000000)</x:f>
        <x:v>0.875</x:v>
      </x:c>
      <x:c r="R3159" s="13" t="n">
        <x:f>IF(I3159="","",I3159/1000000)</x:f>
        <x:v>25</x:v>
      </x:c>
    </x:row>
    <x:row r="3160" ht="21" customHeight="1">
      <x:c r="A3160" s="10" t="n">
        <x:v>4285</x:v>
      </x:c>
      <x:c r="B3160" s="2" t="str">
        <x:v>c7b9c486d78aadb90304</x:v>
      </x:c>
      <x:c r="C3160" s="2" t="str">
        <x:v>Vĩnh Long</x:v>
      </x:c>
      <x:c r="D3160" s="2" t="str">
        <x:v>Thành phố Vĩnh Long</x:v>
      </x:c>
      <x:c r="E3160" s="2" t="str">
        <x:v>land</x:v>
      </x:c>
      <x:c r="F3160" s="2" t="str">
        <x:v>sale_assumed</x:v>
      </x:c>
      <x:c r="G3160" s="11" t="n">
        <x:v>137</x:v>
      </x:c>
      <x:c r="H3160" s="12" t="n">
        <x:v>1150000000</x:v>
      </x:c>
      <x:c r="I3160" s="12" t="n">
        <x:v>8394160.583941605</x:v>
      </x:c>
      <x:c r="J3160" s="2" t="str">
        <x:v>total</x:v>
      </x:c>
      <x:c r="K3160" s="2" t="str">
        <x:v>top_level_area</x:v>
      </x:c>
      <x:c r="L3160" s="2" t="str">
        <x:v>property_type_inferred_from_title;transaction_assumed_sale_from_dataset_context</x:v>
      </x:c>
      <x:c r="M3160" s="10" t="n">
        <x:v>0</x:v>
      </x:c>
      <x:c r="N3160" s="10" t="n">
        <x:v>0</x:v>
      </x:c>
      <x:c r="O3160" s="2" t="str">
        <x:v>land</x:v>
      </x:c>
      <x:c r="P3160" s="10" t="n">
        <x:v>2</x:v>
      </x:c>
      <x:c r="Q3160" s="13" t="n">
        <x:f>IF(H3160="","",H3160/1000000000)</x:f>
        <x:v>1.15</x:v>
      </x:c>
      <x:c r="R3160" s="13" t="n">
        <x:f>IF(I3160="","",I3160/1000000)</x:f>
        <x:v>8.394160583941606</x:v>
      </x:c>
    </x:row>
    <x:row r="3161" ht="21" customHeight="1">
      <x:c r="A3161" s="10" t="n">
        <x:v>4286</x:v>
      </x:c>
      <x:c r="B3161" s="2" t="str">
        <x:v>ec0503fc773cdea3f76a</x:v>
      </x:c>
      <x:c r="C3161" s="2" t="str">
        <x:v>Cần Thơ</x:v>
      </x:c>
      <x:c r="D3161" s="2" t="str">
        <x:v>Quận Ninh Kiều</x:v>
      </x:c>
      <x:c r="E3161" s="2" t="str">
        <x:v>house</x:v>
      </x:c>
      <x:c r="F3161" s="2" t="str">
        <x:v>sale</x:v>
      </x:c>
      <x:c r="G3161" s="11" t="n">
        <x:v>84</x:v>
      </x:c>
      <x:c r="H3161" s="12" t="n">
        <x:v>2850000000</x:v>
      </x:c>
      <x:c r="I3161" s="12" t="n">
        <x:v>33928571.428571425</x:v>
      </x:c>
      <x:c r="J3161" s="2" t="str">
        <x:v>total</x:v>
      </x:c>
      <x:c r="K3161" s="2" t="str">
        <x:v>top_level_area</x:v>
      </x:c>
      <x:c r="L3161" s="2" t="str">
        <x:v>property_type_inferred_from_title</x:v>
      </x:c>
      <x:c r="M3161" s="10" t="n">
        <x:v>0</x:v>
      </x:c>
      <x:c r="N3161" s="10" t="n">
        <x:v>0</x:v>
      </x:c>
      <x:c r="O3161" s="2" t="str">
        <x:v>Cần Thơ|house</x:v>
      </x:c>
      <x:c r="P3161" s="10" t="n">
        <x:v>2</x:v>
      </x:c>
      <x:c r="Q3161" s="13" t="n">
        <x:f>IF(H3161="","",H3161/1000000000)</x:f>
        <x:v>2.85</x:v>
      </x:c>
      <x:c r="R3161" s="13" t="n">
        <x:f>IF(I3161="","",I3161/1000000)</x:f>
        <x:v>33.92857142857142</x:v>
      </x:c>
    </x:row>
    <x:row r="3162" ht="21" customHeight="1">
      <x:c r="A3162" s="10" t="n">
        <x:v>4287</x:v>
      </x:c>
      <x:c r="B3162" s="2" t="str">
        <x:v>a14842567d16572cdcaa</x:v>
      </x:c>
      <x:c r="C3162" s="2" t="str">
        <x:v>Bà Rịa - Vũng Tàu</x:v>
      </x:c>
      <x:c r="D3162" s="2" t="str">
        <x:v>Thị xã Phú Mỹ</x:v>
      </x:c>
      <x:c r="E3162" s="2" t="str">
        <x:v>other_unknown</x:v>
      </x:c>
      <x:c r="F3162" s="2" t="str">
        <x:v>sale</x:v>
      </x:c>
      <x:c r="G3162" s="11" t="n">
        <x:v>313</x:v>
      </x:c>
      <x:c r="H3162" s="12" t="n">
        <x:v>110000000</x:v>
      </x:c>
      <x:c r="I3162" s="12" t="n">
        <x:v>351437.6996805112</x:v>
      </x:c>
      <x:c r="J3162" s="2" t="str">
        <x:v>total</x:v>
      </x:c>
      <x:c r="K3162" s="2" t="str">
        <x:v>top_level_area</x:v>
      </x:c>
      <x:c r="L3162" s="2" t="str">
        <x:v>property_type_inferred_from_title;unknown_property_type</x:v>
      </x:c>
      <x:c r="M3162" s="10" t="n">
        <x:v>0</x:v>
      </x:c>
      <x:c r="N3162" s="10" t="n">
        <x:v>0</x:v>
      </x:c>
      <x:c r="O3162" s="2" t="str">
        <x:v>other_unknown</x:v>
      </x:c>
      <x:c r="P3162" s="10" t="n">
        <x:v>1</x:v>
      </x:c>
      <x:c r="Q3162" s="13" t="n">
        <x:f>IF(H3162="","",H3162/1000000000)</x:f>
        <x:v>0.11</x:v>
      </x:c>
      <x:c r="R3162" s="13" t="n">
        <x:f>IF(I3162="","",I3162/1000000)</x:f>
        <x:v>0.3514376996805112</x:v>
      </x:c>
    </x:row>
    <x:row r="3163" ht="21" customHeight="1">
      <x:c r="A3163" s="10" t="n">
        <x:v>4288</x:v>
      </x:c>
      <x:c r="B3163" s="2" t="str">
        <x:v>f9752e0fe76a2ad61f53</x:v>
      </x:c>
      <x:c r="C3163" s="2" t="str">
        <x:v>Long An</x:v>
      </x:c>
      <x:c r="D3163" s="2" t="str">
        <x:v>Huyện Bến Lức</x:v>
      </x:c>
      <x:c r="E3163" s="2" t="str">
        <x:v>land</x:v>
      </x:c>
      <x:c r="F3163" s="2" t="str">
        <x:v>sale_assumed</x:v>
      </x:c>
      <x:c r="G3163" s="11" t="n">
        <x:v>1000</x:v>
      </x:c>
      <x:c r="H3163" s="12" t="n">
        <x:v>820000000</x:v>
      </x:c>
      <x:c r="I3163" s="12" t="n">
        <x:v>820000</x:v>
      </x:c>
      <x:c r="J3163" s="2" t="str">
        <x:v>total</x:v>
      </x:c>
      <x:c r="K3163" s="2" t="str">
        <x:v>top_level_area</x:v>
      </x:c>
      <x:c r="L3163" s="2" t="str">
        <x:v>dot_thousands_convention;property_type_inferred_from_title;transaction_assumed_sale_from_dataset_context</x:v>
      </x:c>
      <x:c r="M3163" s="10" t="n">
        <x:v>0</x:v>
      </x:c>
      <x:c r="N3163" s="10" t="n">
        <x:v>0</x:v>
      </x:c>
      <x:c r="O3163" s="2" t="str">
        <x:v>Long An|land</x:v>
      </x:c>
      <x:c r="P3163" s="10" t="n">
        <x:v>1</x:v>
      </x:c>
      <x:c r="Q3163" s="13" t="n">
        <x:f>IF(H3163="","",H3163/1000000000)</x:f>
        <x:v>0.82</x:v>
      </x:c>
      <x:c r="R3163" s="13" t="n">
        <x:f>IF(I3163="","",I3163/1000000)</x:f>
        <x:v>0.82</x:v>
      </x:c>
    </x:row>
    <x:row r="3164" ht="21" customHeight="1">
      <x:c r="A3164" s="10" t="n">
        <x:v>4289</x:v>
      </x:c>
      <x:c r="B3164" s="2" t="str">
        <x:v>a33872f52fce9fd0afa5</x:v>
      </x:c>
      <x:c r="C3164" s="2" t="str">
        <x:v>Hà Nội</x:v>
      </x:c>
      <x:c r="D3164" s="2" t="str">
        <x:v>Quận Nam Từ Liêm</x:v>
      </x:c>
      <x:c r="E3164" s="2" t="str">
        <x:v>house</x:v>
      </x:c>
      <x:c r="F3164" s="2" t="str">
        <x:v>sale</x:v>
      </x:c>
      <x:c r="G3164" s="11" t="n">
        <x:v>57</x:v>
      </x:c>
      <x:c r="H3164" s="12" t="n">
        <x:v>6200000000</x:v>
      </x:c>
      <x:c r="I3164" s="12" t="n">
        <x:v>108771929.8245614</x:v>
      </x:c>
      <x:c r="J3164" s="2" t="str">
        <x:v>total</x:v>
      </x:c>
      <x:c r="K3164" s="2" t="str">
        <x:v>top_level_area</x:v>
      </x:c>
      <x:c r="L3164" s="2" t="str">
        <x:v>property_type_inferred_from_title</x:v>
      </x:c>
      <x:c r="M3164" s="10" t="n">
        <x:v>0</x:v>
      </x:c>
      <x:c r="N3164" s="10" t="n">
        <x:v>0</x:v>
      </x:c>
      <x:c r="O3164" s="2" t="str">
        <x:v>Hà Nội|house</x:v>
      </x:c>
      <x:c r="P3164" s="10" t="n">
        <x:v>2</x:v>
      </x:c>
      <x:c r="Q3164" s="13" t="n">
        <x:f>IF(H3164="","",H3164/1000000000)</x:f>
        <x:v>6.2</x:v>
      </x:c>
      <x:c r="R3164" s="13" t="n">
        <x:f>IF(I3164="","",I3164/1000000)</x:f>
        <x:v>108.7719298245614</x:v>
      </x:c>
    </x:row>
    <x:row r="3165" ht="21" customHeight="1">
      <x:c r="A3165" s="10" t="n">
        <x:v>4290</x:v>
      </x:c>
      <x:c r="B3165" s="2" t="str">
        <x:v>1061c7e97929f8ed3aa0</x:v>
      </x:c>
      <x:c r="C3165" s="2" t="str">
        <x:v>Hà Nội</x:v>
      </x:c>
      <x:c r="D3165" s="2" t="str">
        <x:v>Quận Cầu Giấy</x:v>
      </x:c>
      <x:c r="E3165" s="2" t="str">
        <x:v>house</x:v>
      </x:c>
      <x:c r="F3165" s="2" t="str">
        <x:v>sale</x:v>
      </x:c>
      <x:c r="G3165" s="11" t="n">
        <x:v>90</x:v>
      </x:c>
      <x:c r="H3165" s="12" t="n">
        <x:v>28000000000</x:v>
      </x:c>
      <x:c r="I3165" s="12" t="n">
        <x:v>311111111.1111111</x:v>
      </x:c>
      <x:c r="J3165" s="2" t="str">
        <x:v>total</x:v>
      </x:c>
      <x:c r="K3165" s="2" t="str">
        <x:v>top_level_area</x:v>
      </x:c>
      <x:c r="L3165" s="2" t="str">
        <x:v>property_type_inferred_from_title</x:v>
      </x:c>
      <x:c r="M3165" s="10" t="n">
        <x:v>1</x:v>
      </x:c>
      <x:c r="N3165" s="10" t="n">
        <x:v>1</x:v>
      </x:c>
      <x:c r="O3165" s="2" t="str">
        <x:v>Hà Nội|house</x:v>
      </x:c>
      <x:c r="P3165" s="10" t="n">
        <x:v>-1</x:v>
      </x:c>
      <x:c r="Q3165" s="13" t="n">
        <x:f>IF(H3165="","",H3165/1000000000)</x:f>
        <x:v>28</x:v>
      </x:c>
      <x:c r="R3165" s="13" t="n">
        <x:f>IF(I3165="","",I3165/1000000)</x:f>
        <x:v>311.1111111111111</x:v>
      </x:c>
    </x:row>
    <x:row r="3166" ht="21" customHeight="1">
      <x:c r="A3166" s="10" t="n">
        <x:v>4291</x:v>
      </x:c>
      <x:c r="B3166" s="2" t="str">
        <x:v>2ea1aba01fdcdb2a00a0</x:v>
      </x:c>
      <x:c r="C3166" s="2" t="str">
        <x:v>Tp Hồ Chí Minh</x:v>
      </x:c>
      <x:c r="D3166" s="2" t="str">
        <x:v>Quận Bình Tân</x:v>
      </x:c>
      <x:c r="E3166" s="2" t="str">
        <x:v>house</x:v>
      </x:c>
      <x:c r="F3166" s="2" t="str">
        <x:v>sale_assumed</x:v>
      </x:c>
      <x:c r="G3166" s="11" t="n">
        <x:v>48</x:v>
      </x:c>
      <x:c r="H3166" s="12" t="n">
        <x:v>5400000000</x:v>
      </x:c>
      <x:c r="I3166" s="12" t="n">
        <x:v>112500000</x:v>
      </x:c>
      <x:c r="J3166" s="2" t="str">
        <x:v>total</x:v>
      </x:c>
      <x:c r="K3166" s="2" t="str">
        <x:v>top_level_price_embedded_area</x:v>
      </x:c>
      <x:c r="L3166" s="2" t="str">
        <x:v>area_recovered_from_price_text;property_type_inferred_from_title;transaction_assumed_sale_from_dataset_context</x:v>
      </x:c>
      <x:c r="M3166" s="10" t="n">
        <x:v>0</x:v>
      </x:c>
      <x:c r="N3166" s="10" t="n">
        <x:v>0</x:v>
      </x:c>
      <x:c r="O3166" s="2" t="str">
        <x:v>Tp Hồ Chí Minh|house</x:v>
      </x:c>
      <x:c r="P3166" s="10" t="n">
        <x:v>2</x:v>
      </x:c>
      <x:c r="Q3166" s="13" t="n">
        <x:f>IF(H3166="","",H3166/1000000000)</x:f>
        <x:v>5.4</x:v>
      </x:c>
      <x:c r="R3166" s="13" t="n">
        <x:f>IF(I3166="","",I3166/1000000)</x:f>
        <x:v>112.5</x:v>
      </x:c>
    </x:row>
    <x:row r="3167" ht="21" customHeight="1">
      <x:c r="A3167" s="10" t="n">
        <x:v>4295</x:v>
      </x:c>
      <x:c r="B3167" s="2" t="str">
        <x:v>e038e300ae89a3d39a23</x:v>
      </x:c>
      <x:c r="C3167" s="2" t="str">
        <x:v>Hà Nội</x:v>
      </x:c>
      <x:c r="D3167" s="2" t="str">
        <x:v>Quận Đống Đa</x:v>
      </x:c>
      <x:c r="E3167" s="2" t="str">
        <x:v>other_unknown</x:v>
      </x:c>
      <x:c r="F3167" s="2" t="str">
        <x:v>sale</x:v>
      </x:c>
      <x:c r="G3167" s="11" t="n">
        <x:v>50</x:v>
      </x:c>
      <x:c r="H3167" s="12" t="n">
        <x:v>6900000000</x:v>
      </x:c>
      <x:c r="I3167" s="12" t="n">
        <x:v>138000000</x:v>
      </x:c>
      <x:c r="J3167" s="2" t="str">
        <x:v>total</x:v>
      </x:c>
      <x:c r="K3167" s="2" t="str">
        <x:v>top_level_area</x:v>
      </x:c>
      <x:c r="L3167" s="2" t="str">
        <x:v>property_type_inferred_from_title;unknown_property_type</x:v>
      </x:c>
      <x:c r="M3167" s="10" t="n">
        <x:v>0</x:v>
      </x:c>
      <x:c r="N3167" s="10" t="n">
        <x:v>0</x:v>
      </x:c>
      <x:c r="O3167" s="2" t="str">
        <x:v>Hà Nội|other_unknown</x:v>
      </x:c>
      <x:c r="P3167" s="10" t="n">
        <x:v>2</x:v>
      </x:c>
      <x:c r="Q3167" s="13" t="n">
        <x:f>IF(H3167="","",H3167/1000000000)</x:f>
        <x:v>6.9</x:v>
      </x:c>
      <x:c r="R3167" s="13" t="n">
        <x:f>IF(I3167="","",I3167/1000000)</x:f>
        <x:v>138</x:v>
      </x:c>
    </x:row>
    <x:row r="3168" ht="21" customHeight="1">
      <x:c r="A3168" s="10" t="n">
        <x:v>4296</x:v>
      </x:c>
      <x:c r="B3168" s="2" t="str">
        <x:v>62090ea1e7df562a6d00</x:v>
      </x:c>
      <x:c r="C3168" s="2" t="str">
        <x:v>Hà Nội</x:v>
      </x:c>
      <x:c r="D3168" s="2" t="str">
        <x:v>Quận Hai Bà Trưng</x:v>
      </x:c>
      <x:c r="E3168" s="2" t="str">
        <x:v>other_unknown</x:v>
      </x:c>
      <x:c r="F3168" s="2" t="str">
        <x:v>sale_assumed</x:v>
      </x:c>
      <x:c r="G3168" s="11" t="n">
        <x:v>45</x:v>
      </x:c>
      <x:c r="H3168" s="12" t="n">
        <x:v>1780000000</x:v>
      </x:c>
      <x:c r="I3168" s="12" t="n">
        <x:v>39555555.55555555</x:v>
      </x:c>
      <x:c r="J3168" s="2" t="str">
        <x:v>total</x:v>
      </x:c>
      <x:c r="K3168" s="2" t="str">
        <x:v>top_level_area</x:v>
      </x:c>
      <x:c r="L3168" s="2" t="str">
        <x:v>property_type_inferred_from_title;transaction_assumed_sale_from_dataset_context;unknown_property_type</x:v>
      </x:c>
      <x:c r="M3168" s="10" t="n">
        <x:v>0</x:v>
      </x:c>
      <x:c r="N3168" s="10" t="n">
        <x:v>0</x:v>
      </x:c>
      <x:c r="O3168" s="2" t="str">
        <x:v>Hà Nội|other_unknown</x:v>
      </x:c>
      <x:c r="P3168" s="10" t="n">
        <x:v>2</x:v>
      </x:c>
      <x:c r="Q3168" s="13" t="n">
        <x:f>IF(H3168="","",H3168/1000000000)</x:f>
        <x:v>1.78</x:v>
      </x:c>
      <x:c r="R3168" s="13" t="n">
        <x:f>IF(I3168="","",I3168/1000000)</x:f>
        <x:v>39.55555555555555</x:v>
      </x:c>
    </x:row>
    <x:row r="3169" ht="21" customHeight="1">
      <x:c r="A3169" s="10" t="n">
        <x:v>4297</x:v>
      </x:c>
      <x:c r="B3169" s="2" t="str">
        <x:v>ae4b7805d696469dfb65</x:v>
      </x:c>
      <x:c r="C3169" s="2" t="str">
        <x:v>Tp Hồ Chí Minh</x:v>
      </x:c>
      <x:c r="D3169" s="2" t="str">
        <x:v>Huyện Bình Chánh</x:v>
      </x:c>
      <x:c r="E3169" s="2" t="str">
        <x:v>apartment</x:v>
      </x:c>
      <x:c r="F3169" s="2" t="str">
        <x:v>sale_assumed</x:v>
      </x:c>
      <x:c r="G3169" s="11" t="n">
        <x:v>59</x:v>
      </x:c>
      <x:c r="H3169" s="12" t="n">
        <x:v>660000000</x:v>
      </x:c>
      <x:c r="I3169" s="12" t="n">
        <x:v>11186440.677966101</x:v>
      </x:c>
      <x:c r="J3169" s="2" t="str">
        <x:v>total</x:v>
      </x:c>
      <x:c r="K3169" s="2" t="str">
        <x:v>top_level_area</x:v>
      </x:c>
      <x:c r="L3169" s="2" t="str">
        <x:v>property_type_inferred_from_title;transaction_assumed_sale_from_dataset_context</x:v>
      </x:c>
      <x:c r="M3169" s="10" t="n">
        <x:v>0</x:v>
      </x:c>
      <x:c r="N3169" s="10" t="n">
        <x:v>0</x:v>
      </x:c>
      <x:c r="O3169" s="2" t="str">
        <x:v>Tp Hồ Chí Minh|apartment</x:v>
      </x:c>
      <x:c r="P3169" s="10" t="n">
        <x:v>2</x:v>
      </x:c>
      <x:c r="Q3169" s="13" t="n">
        <x:f>IF(H3169="","",H3169/1000000000)</x:f>
        <x:v>0.66</x:v>
      </x:c>
      <x:c r="R3169" s="13" t="n">
        <x:f>IF(I3169="","",I3169/1000000)</x:f>
        <x:v>11.1864406779661</x:v>
      </x:c>
    </x:row>
    <x:row r="3170" ht="21" customHeight="1">
      <x:c r="A3170" s="10" t="n">
        <x:v>4298</x:v>
      </x:c>
      <x:c r="B3170" s="2" t="str">
        <x:v>73d634be180e1fc853f4</x:v>
      </x:c>
      <x:c r="C3170" s="2" t="str">
        <x:v>Hà Nội</x:v>
      </x:c>
      <x:c r="D3170" s="2" t="str">
        <x:v>Quận Long Biên</x:v>
      </x:c>
      <x:c r="E3170" s="2" t="str">
        <x:v>other_unknown</x:v>
      </x:c>
      <x:c r="F3170" s="2" t="str">
        <x:v>sale_assumed</x:v>
      </x:c>
      <x:c r="G3170" s="11" t="n">
        <x:v>90</x:v>
      </x:c>
      <x:c r="H3170" s="12" t="n">
        <x:v>6500000000</x:v>
      </x:c>
      <x:c r="I3170" s="12" t="n">
        <x:v>72222222.22222222</x:v>
      </x:c>
      <x:c r="J3170" s="2" t="str">
        <x:v>total</x:v>
      </x:c>
      <x:c r="K3170" s="2" t="str">
        <x:v>top_level_area</x:v>
      </x:c>
      <x:c r="L3170" s="2" t="str">
        <x:v>property_type_inferred_from_title;transaction_assumed_sale_from_dataset_context;unknown_property_type</x:v>
      </x:c>
      <x:c r="M3170" s="10" t="n">
        <x:v>0</x:v>
      </x:c>
      <x:c r="N3170" s="10" t="n">
        <x:v>0</x:v>
      </x:c>
      <x:c r="O3170" s="2" t="str">
        <x:v>Hà Nội|other_unknown</x:v>
      </x:c>
      <x:c r="P3170" s="10" t="n">
        <x:v>2</x:v>
      </x:c>
      <x:c r="Q3170" s="13" t="n">
        <x:f>IF(H3170="","",H3170/1000000000)</x:f>
        <x:v>6.5</x:v>
      </x:c>
      <x:c r="R3170" s="13" t="n">
        <x:f>IF(I3170="","",I3170/1000000)</x:f>
        <x:v>72.22222222222223</x:v>
      </x:c>
    </x:row>
    <x:row r="3171" ht="21" customHeight="1">
      <x:c r="A3171" s="10" t="n">
        <x:v>4299</x:v>
      </x:c>
      <x:c r="B3171" s="2" t="str">
        <x:v>e9adaa4c0f41c76dcca3</x:v>
      </x:c>
      <x:c r="C3171" s="2" t="str">
        <x:v>Long An</x:v>
      </x:c>
      <x:c r="D3171" s="2" t="str">
        <x:v>Huyện Cần Giuộc</x:v>
      </x:c>
      <x:c r="E3171" s="2" t="str">
        <x:v>land</x:v>
      </x:c>
      <x:c r="F3171" s="2" t="str">
        <x:v>sale_assumed</x:v>
      </x:c>
      <x:c r="G3171" s="11" t="n">
        <x:v>100</x:v>
      </x:c>
      <x:c r="H3171" s="12" t="n">
        <x:v>2700000000</x:v>
      </x:c>
      <x:c r="I3171" s="12" t="n">
        <x:v>27000000</x:v>
      </x:c>
      <x:c r="J3171" s="2" t="str">
        <x:v>total</x:v>
      </x:c>
      <x:c r="K3171" s="2" t="str">
        <x:v>top_level_area</x:v>
      </x:c>
      <x:c r="L3171" s="2" t="str">
        <x:v>property_type_inferred_from_title;transaction_assumed_sale_from_dataset_context</x:v>
      </x:c>
      <x:c r="M3171" s="10" t="n">
        <x:v>0</x:v>
      </x:c>
      <x:c r="N3171" s="10" t="n">
        <x:v>1</x:v>
      </x:c>
      <x:c r="O3171" s="2" t="str">
        <x:v>Long An|land</x:v>
      </x:c>
      <x:c r="P3171" s="10" t="n">
        <x:v>-1</x:v>
      </x:c>
      <x:c r="Q3171" s="13" t="n">
        <x:f>IF(H3171="","",H3171/1000000000)</x:f>
        <x:v>2.7</x:v>
      </x:c>
      <x:c r="R3171" s="13" t="n">
        <x:f>IF(I3171="","",I3171/1000000)</x:f>
        <x:v>27</x:v>
      </x:c>
    </x:row>
    <x:row r="3172" ht="21" customHeight="1">
      <x:c r="A3172" s="10" t="n">
        <x:v>4301</x:v>
      </x:c>
      <x:c r="B3172" s="2" t="str">
        <x:v>8e7eaae24065ea19bcd5</x:v>
      </x:c>
      <x:c r="C3172" s="2" t="str">
        <x:v>Hà Nội</x:v>
      </x:c>
      <x:c r="D3172" s="2" t="str">
        <x:v>Quận Đống Đa</x:v>
      </x:c>
      <x:c r="E3172" s="2" t="str">
        <x:v>house</x:v>
      </x:c>
      <x:c r="F3172" s="2" t="str">
        <x:v>sale_assumed</x:v>
      </x:c>
      <x:c r="G3172" s="11" t="n">
        <x:v>50</x:v>
      </x:c>
      <x:c r="H3172" s="12" t="n">
        <x:v>6900000000</x:v>
      </x:c>
      <x:c r="I3172" s="12" t="n">
        <x:v>138000000</x:v>
      </x:c>
      <x:c r="J3172" s="2" t="str">
        <x:v>total</x:v>
      </x:c>
      <x:c r="K3172" s="2" t="str">
        <x:v>top_level_area</x:v>
      </x:c>
      <x:c r="L3172" s="2" t="str">
        <x:v>property_type_inferred_from_title;transaction_assumed_sale_from_dataset_context</x:v>
      </x:c>
      <x:c r="M3172" s="10" t="n">
        <x:v>0</x:v>
      </x:c>
      <x:c r="N3172" s="10" t="n">
        <x:v>0</x:v>
      </x:c>
      <x:c r="O3172" s="2" t="str">
        <x:v>Hà Nội|house</x:v>
      </x:c>
      <x:c r="P3172" s="10" t="n">
        <x:v>2</x:v>
      </x:c>
      <x:c r="Q3172" s="13" t="n">
        <x:f>IF(H3172="","",H3172/1000000000)</x:f>
        <x:v>6.9</x:v>
      </x:c>
      <x:c r="R3172" s="13" t="n">
        <x:f>IF(I3172="","",I3172/1000000)</x:f>
        <x:v>138</x:v>
      </x:c>
    </x:row>
    <x:row r="3173" ht="21" customHeight="1">
      <x:c r="A3173" s="10" t="n">
        <x:v>4302</x:v>
      </x:c>
      <x:c r="B3173" s="2" t="str">
        <x:v>f64059bc9db866591524</x:v>
      </x:c>
      <x:c r="C3173" s="2" t="str">
        <x:v>Tp Hồ Chí Minh</x:v>
      </x:c>
      <x:c r="D3173" s="2" t="str">
        <x:v>Quận Phú Nhuận</x:v>
      </x:c>
      <x:c r="E3173" s="2" t="str">
        <x:v>house</x:v>
      </x:c>
      <x:c r="F3173" s="2" t="str">
        <x:v>sale</x:v>
      </x:c>
      <x:c r="G3173" s="11" t="n">
        <x:v>60</x:v>
      </x:c>
      <x:c r="H3173" s="12" t="n">
        <x:v>2680000000</x:v>
      </x:c>
      <x:c r="I3173" s="12" t="n">
        <x:v>44666666.666666664</x:v>
      </x:c>
      <x:c r="J3173" s="2" t="str">
        <x:v>total</x:v>
      </x:c>
      <x:c r="K3173" s="2" t="str">
        <x:v>top_level_area</x:v>
      </x:c>
      <x:c r="L3173" s="2" t="str">
        <x:v>property_type_inferred_from_title</x:v>
      </x:c>
      <x:c r="M3173" s="10" t="n">
        <x:v>0</x:v>
      </x:c>
      <x:c r="N3173" s="10" t="n">
        <x:v>0</x:v>
      </x:c>
      <x:c r="O3173" s="2" t="str">
        <x:v>Tp Hồ Chí Minh|house</x:v>
      </x:c>
      <x:c r="P3173" s="10" t="n">
        <x:v>2</x:v>
      </x:c>
      <x:c r="Q3173" s="13" t="n">
        <x:f>IF(H3173="","",H3173/1000000000)</x:f>
        <x:v>2.68</x:v>
      </x:c>
      <x:c r="R3173" s="13" t="n">
        <x:f>IF(I3173="","",I3173/1000000)</x:f>
        <x:v>44.666666666666664</x:v>
      </x:c>
    </x:row>
    <x:row r="3174" ht="21" customHeight="1">
      <x:c r="A3174" s="10" t="n">
        <x:v>4303</x:v>
      </x:c>
      <x:c r="B3174" s="2" t="str">
        <x:v>d63d638e7607e6586ce1</x:v>
      </x:c>
      <x:c r="C3174" s="2" t="str">
        <x:v>Hà Nội</x:v>
      </x:c>
      <x:c r="D3174" s="2" t="str">
        <x:v>Huyện Thanh Trì</x:v>
      </x:c>
      <x:c r="E3174" s="2" t="str">
        <x:v>land</x:v>
      </x:c>
      <x:c r="F3174" s="2" t="str">
        <x:v>sale</x:v>
      </x:c>
      <x:c r="G3174" s="11" t="n">
        <x:v>45</x:v>
      </x:c>
      <x:c r="H3174" s="12" t="n">
        <x:v>1450000000</x:v>
      </x:c>
      <x:c r="I3174" s="12" t="n">
        <x:v>32222222.222222224</x:v>
      </x:c>
      <x:c r="J3174" s="2" t="str">
        <x:v>total</x:v>
      </x:c>
      <x:c r="K3174" s="2" t="str">
        <x:v>top_level_area</x:v>
      </x:c>
      <x:c r="L3174" s="2" t="str">
        <x:v>property_type_inferred_from_title</x:v>
      </x:c>
      <x:c r="M3174" s="10" t="n">
        <x:v>0</x:v>
      </x:c>
      <x:c r="N3174" s="10" t="n">
        <x:v>0</x:v>
      </x:c>
      <x:c r="O3174" s="2" t="str">
        <x:v>Hà Nội|land</x:v>
      </x:c>
      <x:c r="P3174" s="10" t="n">
        <x:v>2</x:v>
      </x:c>
      <x:c r="Q3174" s="13" t="n">
        <x:f>IF(H3174="","",H3174/1000000000)</x:f>
        <x:v>1.45</x:v>
      </x:c>
      <x:c r="R3174" s="13" t="n">
        <x:f>IF(I3174="","",I3174/1000000)</x:f>
        <x:v>32.22222222222222</x:v>
      </x:c>
    </x:row>
    <x:row r="3175" ht="21" customHeight="1">
      <x:c r="A3175" s="10" t="n">
        <x:v>4304</x:v>
      </x:c>
      <x:c r="B3175" s="2" t="str">
        <x:v>67471582ba9c069cdd11</x:v>
      </x:c>
      <x:c r="C3175" s="2" t="str">
        <x:v>Tp Hồ Chí Minh</x:v>
      </x:c>
      <x:c r="D3175" s="2" t="str">
        <x:v>Huyện Bình Chánh</x:v>
      </x:c>
      <x:c r="E3175" s="2" t="str">
        <x:v>house</x:v>
      </x:c>
      <x:c r="F3175" s="2" t="str">
        <x:v>sale_assumed</x:v>
      </x:c>
      <x:c r="G3175" s="11" t="n">
        <x:v>64</x:v>
      </x:c>
      <x:c r="H3175" s="12" t="n">
        <x:v>448000000</x:v>
      </x:c>
      <x:c r="I3175" s="12" t="n">
        <x:v>7000000</x:v>
      </x:c>
      <x:c r="J3175" s="2" t="str">
        <x:v>total</x:v>
      </x:c>
      <x:c r="K3175" s="2" t="str">
        <x:v>top_level_price_embedded_area</x:v>
      </x:c>
      <x:c r="L3175" s="2" t="str">
        <x:v>area_recovered_from_price_text;property_type_inferred_from_title;transaction_assumed_sale_from_dataset_context</x:v>
      </x:c>
      <x:c r="M3175" s="10" t="n">
        <x:v>0</x:v>
      </x:c>
      <x:c r="N3175" s="10" t="n">
        <x:v>0</x:v>
      </x:c>
      <x:c r="O3175" s="2" t="str">
        <x:v>Tp Hồ Chí Minh|house</x:v>
      </x:c>
      <x:c r="P3175" s="10" t="n">
        <x:v>2</x:v>
      </x:c>
      <x:c r="Q3175" s="13" t="n">
        <x:f>IF(H3175="","",H3175/1000000000)</x:f>
        <x:v>0.448</x:v>
      </x:c>
      <x:c r="R3175" s="13" t="n">
        <x:f>IF(I3175="","",I3175/1000000)</x:f>
        <x:v>7</x:v>
      </x:c>
    </x:row>
    <x:row r="3176" ht="21" customHeight="1">
      <x:c r="A3176" s="10" t="n">
        <x:v>4305</x:v>
      </x:c>
      <x:c r="B3176" s="2" t="str">
        <x:v>80f06d13079520a8d5d8</x:v>
      </x:c>
      <x:c r="C3176" s="2" t="str">
        <x:v>Tp Hồ Chí Minh</x:v>
      </x:c>
      <x:c r="D3176" s="2" t="str">
        <x:v>Huyện Nhà Bè</x:v>
      </x:c>
      <x:c r="E3176" s="2" t="str">
        <x:v>house</x:v>
      </x:c>
      <x:c r="F3176" s="2" t="str">
        <x:v>sale_assumed</x:v>
      </x:c>
      <x:c r="G3176" s="11" t="n">
        <x:v>96.8</x:v>
      </x:c>
      <x:c r="H3176" s="12" t="n">
        <x:v>7850000000</x:v>
      </x:c>
      <x:c r="I3176" s="12" t="n">
        <x:v>81095041.32231405</x:v>
      </x:c>
      <x:c r="J3176" s="2" t="str">
        <x:v>total</x:v>
      </x:c>
      <x:c r="K3176" s="2" t="str">
        <x:v>top_level_area</x:v>
      </x:c>
      <x:c r="L3176" s="2" t="str">
        <x:v>property_type_inferred_from_title;transaction_assumed_sale_from_dataset_context</x:v>
      </x:c>
      <x:c r="M3176" s="10" t="n">
        <x:v>0</x:v>
      </x:c>
      <x:c r="N3176" s="10" t="n">
        <x:v>0</x:v>
      </x:c>
      <x:c r="O3176" s="2" t="str">
        <x:v>Tp Hồ Chí Minh|house</x:v>
      </x:c>
      <x:c r="P3176" s="10" t="n">
        <x:v>2</x:v>
      </x:c>
      <x:c r="Q3176" s="13" t="n">
        <x:f>IF(H3176="","",H3176/1000000000)</x:f>
        <x:v>7.85</x:v>
      </x:c>
      <x:c r="R3176" s="13" t="n">
        <x:f>IF(I3176="","",I3176/1000000)</x:f>
        <x:v>81.09504132231406</x:v>
      </x:c>
    </x:row>
    <x:row r="3177" ht="21" customHeight="1">
      <x:c r="A3177" s="10" t="n">
        <x:v>4306</x:v>
      </x:c>
      <x:c r="B3177" s="2" t="str">
        <x:v>320b2b59b2a29fdbdc1c</x:v>
      </x:c>
      <x:c r="C3177" s="2" t="str">
        <x:v>Bến Tre</x:v>
      </x:c>
      <x:c r="D3177" s="2" t="str">
        <x:v>Thành phố Bến Tre</x:v>
      </x:c>
      <x:c r="E3177" s="2" t="str">
        <x:v>land</x:v>
      </x:c>
      <x:c r="F3177" s="2" t="str">
        <x:v>sale_assumed</x:v>
      </x:c>
      <x:c r="G3177" s="11" t="n">
        <x:v>124</x:v>
      </x:c>
      <x:c r="H3177" s="12" t="n">
        <x:v>787000000</x:v>
      </x:c>
      <x:c r="I3177" s="12" t="n">
        <x:v>6346774.193548387</x:v>
      </x:c>
      <x:c r="J3177" s="2" t="str">
        <x:v>total</x:v>
      </x:c>
      <x:c r="K3177" s="2" t="str">
        <x:v>top_level_area</x:v>
      </x:c>
      <x:c r="L3177" s="2" t="str">
        <x:v>property_type_inferred_from_title;transaction_assumed_sale_from_dataset_context</x:v>
      </x:c>
      <x:c r="M3177" s="10" t="n">
        <x:v>0</x:v>
      </x:c>
      <x:c r="N3177" s="10" t="n">
        <x:v>0</x:v>
      </x:c>
      <x:c r="O3177" s="2" t="str">
        <x:v>Bến Tre|land</x:v>
      </x:c>
      <x:c r="P3177" s="10" t="n">
        <x:v>2</x:v>
      </x:c>
      <x:c r="Q3177" s="13" t="n">
        <x:f>IF(H3177="","",H3177/1000000000)</x:f>
        <x:v>0.787</x:v>
      </x:c>
      <x:c r="R3177" s="13" t="n">
        <x:f>IF(I3177="","",I3177/1000000)</x:f>
        <x:v>6.346774193548387</x:v>
      </x:c>
    </x:row>
    <x:row r="3178" ht="21" customHeight="1">
      <x:c r="A3178" s="10" t="n">
        <x:v>4307</x:v>
      </x:c>
      <x:c r="B3178" s="2" t="str">
        <x:v>0a7c2fa9c8039206fc5d</x:v>
      </x:c>
      <x:c r="C3178" s="2" t="str">
        <x:v>Cần Thơ</x:v>
      </x:c>
      <x:c r="D3178" s="2" t="str">
        <x:v>Quận Ninh Kiều</x:v>
      </x:c>
      <x:c r="E3178" s="2" t="str">
        <x:v>land</x:v>
      </x:c>
      <x:c r="F3178" s="2" t="str">
        <x:v>sale</x:v>
      </x:c>
      <x:c r="G3178" s="11" t="n">
        <x:v>100</x:v>
      </x:c>
      <x:c r="H3178" s="12" t="n">
        <x:v>1500000000</x:v>
      </x:c>
      <x:c r="I3178" s="12" t="n">
        <x:v>15000000</x:v>
      </x:c>
      <x:c r="J3178" s="2" t="str">
        <x:v>total</x:v>
      </x:c>
      <x:c r="K3178" s="2" t="str">
        <x:v>top_level_area</x:v>
      </x:c>
      <x:c r="L3178" s="2" t="str">
        <x:v>property_type_inferred_from_title</x:v>
      </x:c>
      <x:c r="M3178" s="10" t="n">
        <x:v>0</x:v>
      </x:c>
      <x:c r="N3178" s="10" t="n">
        <x:v>0</x:v>
      </x:c>
      <x:c r="O3178" s="2" t="str">
        <x:v>Cần Thơ|land</x:v>
      </x:c>
      <x:c r="P3178" s="10" t="n">
        <x:v>2</x:v>
      </x:c>
      <x:c r="Q3178" s="13" t="n">
        <x:f>IF(H3178="","",H3178/1000000000)</x:f>
        <x:v>1.5</x:v>
      </x:c>
      <x:c r="R3178" s="13" t="n">
        <x:f>IF(I3178="","",I3178/1000000)</x:f>
        <x:v>15</x:v>
      </x:c>
    </x:row>
    <x:row r="3179" ht="21" customHeight="1">
      <x:c r="A3179" s="10" t="n">
        <x:v>4308</x:v>
      </x:c>
      <x:c r="B3179" s="2" t="str">
        <x:v>ed7c81eccb22a425ecea</x:v>
      </x:c>
      <x:c r="C3179" s="2" t="str">
        <x:v>Hà Nội</x:v>
      </x:c>
      <x:c r="D3179" s="2" t="str">
        <x:v>Quận Hà Đông</x:v>
      </x:c>
      <x:c r="E3179" s="2" t="str">
        <x:v>land</x:v>
      </x:c>
      <x:c r="F3179" s="2" t="str">
        <x:v>sale_assumed</x:v>
      </x:c>
      <x:c r="G3179" s="11" t="n">
        <x:v>82</x:v>
      </x:c>
      <x:c r="H3179" s="12" t="n">
        <x:v>2000000000</x:v>
      </x:c>
      <x:c r="I3179" s="12" t="n">
        <x:v>24390243.902439024</x:v>
      </x:c>
      <x:c r="J3179" s="2" t="str">
        <x:v>total</x:v>
      </x:c>
      <x:c r="K3179" s="2" t="str">
        <x:v>top_level_area</x:v>
      </x:c>
      <x:c r="L3179" s="2" t="str">
        <x:v>property_type_inferred_from_title;transaction_assumed_sale_from_dataset_context</x:v>
      </x:c>
      <x:c r="M3179" s="10" t="n">
        <x:v>0</x:v>
      </x:c>
      <x:c r="N3179" s="10" t="n">
        <x:v>0</x:v>
      </x:c>
      <x:c r="O3179" s="2" t="str">
        <x:v>Hà Nội|land</x:v>
      </x:c>
      <x:c r="P3179" s="10" t="n">
        <x:v>2</x:v>
      </x:c>
      <x:c r="Q3179" s="13" t="n">
        <x:f>IF(H3179="","",H3179/1000000000)</x:f>
        <x:v>2</x:v>
      </x:c>
      <x:c r="R3179" s="13" t="n">
        <x:f>IF(I3179="","",I3179/1000000)</x:f>
        <x:v>24.390243902439025</x:v>
      </x:c>
    </x:row>
    <x:row r="3180" ht="21" customHeight="1">
      <x:c r="A3180" s="10" t="n">
        <x:v>4309</x:v>
      </x:c>
      <x:c r="B3180" s="2" t="str">
        <x:v>f7382a3d852751760c6a</x:v>
      </x:c>
      <x:c r="C3180" s="2" t="str">
        <x:v>Hà Nội</x:v>
      </x:c>
      <x:c r="D3180" s="2" t="str">
        <x:v>Quận Long Biên</x:v>
      </x:c>
      <x:c r="E3180" s="2" t="str">
        <x:v>house</x:v>
      </x:c>
      <x:c r="F3180" s="2" t="str">
        <x:v>sale</x:v>
      </x:c>
      <x:c r="G3180" s="11" t="n">
        <x:v>38</x:v>
      </x:c>
      <x:c r="H3180" s="12" t="n">
        <x:v>2260000000</x:v>
      </x:c>
      <x:c r="I3180" s="12" t="n">
        <x:v>59473684.21052632</x:v>
      </x:c>
      <x:c r="J3180" s="2" t="str">
        <x:v>total</x:v>
      </x:c>
      <x:c r="K3180" s="2" t="str">
        <x:v>top_level_area</x:v>
      </x:c>
      <x:c r="L3180" s="2" t="str">
        <x:v>property_type_inferred_from_title</x:v>
      </x:c>
      <x:c r="M3180" s="10" t="n">
        <x:v>0</x:v>
      </x:c>
      <x:c r="N3180" s="10" t="n">
        <x:v>0</x:v>
      </x:c>
      <x:c r="O3180" s="2" t="str">
        <x:v>Hà Nội|house</x:v>
      </x:c>
      <x:c r="P3180" s="10" t="n">
        <x:v>2</x:v>
      </x:c>
      <x:c r="Q3180" s="13" t="n">
        <x:f>IF(H3180="","",H3180/1000000000)</x:f>
        <x:v>2.26</x:v>
      </x:c>
      <x:c r="R3180" s="13" t="n">
        <x:f>IF(I3180="","",I3180/1000000)</x:f>
        <x:v>59.473684210526315</x:v>
      </x:c>
    </x:row>
    <x:row r="3181" ht="21" customHeight="1">
      <x:c r="A3181" s="10" t="n">
        <x:v>4310</x:v>
      </x:c>
      <x:c r="B3181" s="2" t="str">
        <x:v>df957a91018426d73a63</x:v>
      </x:c>
      <x:c r="C3181" s="2" t="str">
        <x:v>Tp Hồ Chí Minh</x:v>
      </x:c>
      <x:c r="D3181" s="2" t="str">
        <x:v>Huyện Nhà Bè</x:v>
      </x:c>
      <x:c r="E3181" s="2" t="str">
        <x:v>house</x:v>
      </x:c>
      <x:c r="F3181" s="2" t="str">
        <x:v>sale_assumed</x:v>
      </x:c>
      <x:c r="G3181" s="11" t="n">
        <x:v>80</x:v>
      </x:c>
      <x:c r="H3181" s="12" t="n">
        <x:v>5750000000</x:v>
      </x:c>
      <x:c r="I3181" s="12" t="n">
        <x:v>71875000</x:v>
      </x:c>
      <x:c r="J3181" s="2" t="str">
        <x:v>total</x:v>
      </x:c>
      <x:c r="K3181" s="2" t="str">
        <x:v>top_level_area</x:v>
      </x:c>
      <x:c r="L3181" s="2" t="str">
        <x:v>property_type_inferred_from_title;transaction_assumed_sale_from_dataset_context</x:v>
      </x:c>
      <x:c r="M3181" s="10" t="n">
        <x:v>0</x:v>
      </x:c>
      <x:c r="N3181" s="10" t="n">
        <x:v>0</x:v>
      </x:c>
      <x:c r="O3181" s="2" t="str">
        <x:v>Tp Hồ Chí Minh|house</x:v>
      </x:c>
      <x:c r="P3181" s="10" t="n">
        <x:v>2</x:v>
      </x:c>
      <x:c r="Q3181" s="13" t="n">
        <x:f>IF(H3181="","",H3181/1000000000)</x:f>
        <x:v>5.75</x:v>
      </x:c>
      <x:c r="R3181" s="13" t="n">
        <x:f>IF(I3181="","",I3181/1000000)</x:f>
        <x:v>71.875</x:v>
      </x:c>
    </x:row>
    <x:row r="3182" ht="21" customHeight="1">
      <x:c r="A3182" s="10" t="n">
        <x:v>4311</x:v>
      </x:c>
      <x:c r="B3182" s="2" t="str">
        <x:v>51a8c1305b8fd376044c</x:v>
      </x:c>
      <x:c r="C3182" s="2" t="str">
        <x:v>Tp Hồ Chí Minh</x:v>
      </x:c>
      <x:c r="D3182" s="2" t="str">
        <x:v>Quận Gò Vấp</x:v>
      </x:c>
      <x:c r="E3182" s="2" t="str">
        <x:v>house</x:v>
      </x:c>
      <x:c r="F3182" s="2" t="str">
        <x:v>sale_assumed</x:v>
      </x:c>
      <x:c r="G3182" s="11" t="n">
        <x:v>58</x:v>
      </x:c>
      <x:c r="H3182" s="12" t="n">
        <x:v>5900000000</x:v>
      </x:c>
      <x:c r="I3182" s="12" t="n">
        <x:v>101724137.93103448</x:v>
      </x:c>
      <x:c r="J3182" s="2" t="str">
        <x:v>total</x:v>
      </x:c>
      <x:c r="K3182" s="2" t="str">
        <x:v>top_level_area</x:v>
      </x:c>
      <x:c r="L3182" s="2" t="str">
        <x:v>property_type_inferred_from_title;transaction_assumed_sale_from_dataset_context</x:v>
      </x:c>
      <x:c r="M3182" s="10" t="n">
        <x:v>0</x:v>
      </x:c>
      <x:c r="N3182" s="10" t="n">
        <x:v>0</x:v>
      </x:c>
      <x:c r="O3182" s="2" t="str">
        <x:v>Tp Hồ Chí Minh|house</x:v>
      </x:c>
      <x:c r="P3182" s="10" t="n">
        <x:v>2</x:v>
      </x:c>
      <x:c r="Q3182" s="13" t="n">
        <x:f>IF(H3182="","",H3182/1000000000)</x:f>
        <x:v>5.9</x:v>
      </x:c>
      <x:c r="R3182" s="13" t="n">
        <x:f>IF(I3182="","",I3182/1000000)</x:f>
        <x:v>101.72413793103448</x:v>
      </x:c>
    </x:row>
    <x:row r="3183" ht="21" customHeight="1">
      <x:c r="A3183" s="10" t="n">
        <x:v>4312</x:v>
      </x:c>
      <x:c r="B3183" s="2" t="str">
        <x:v>754bd65863c217c32fd7</x:v>
      </x:c>
      <x:c r="C3183" s="2" t="str">
        <x:v>Long An</x:v>
      </x:c>
      <x:c r="D3183" s="2" t="str">
        <x:v>Huyện Bến Lức</x:v>
      </x:c>
      <x:c r="E3183" s="2" t="str">
        <x:v>land</x:v>
      </x:c>
      <x:c r="F3183" s="2" t="str">
        <x:v>sale_assumed</x:v>
      </x:c>
      <x:c r="G3183" s="11" t="n">
        <x:v>95</x:v>
      </x:c>
      <x:c r="H3183" s="12" t="n">
        <x:v>390000000</x:v>
      </x:c>
      <x:c r="I3183" s="12" t="n">
        <x:v>4105263.1578947366</x:v>
      </x:c>
      <x:c r="J3183" s="2" t="str">
        <x:v>total</x:v>
      </x:c>
      <x:c r="K3183" s="2" t="str">
        <x:v>top_level_area</x:v>
      </x:c>
      <x:c r="L3183" s="2" t="str">
        <x:v>property_type_inferred_from_title;transaction_assumed_sale_from_dataset_context</x:v>
      </x:c>
      <x:c r="M3183" s="10" t="n">
        <x:v>0</x:v>
      </x:c>
      <x:c r="N3183" s="10" t="n">
        <x:v>0</x:v>
      </x:c>
      <x:c r="O3183" s="2" t="str">
        <x:v>Long An|land</x:v>
      </x:c>
      <x:c r="P3183" s="10" t="n">
        <x:v>2</x:v>
      </x:c>
      <x:c r="Q3183" s="13" t="n">
        <x:f>IF(H3183="","",H3183/1000000000)</x:f>
        <x:v>0.39</x:v>
      </x:c>
      <x:c r="R3183" s="13" t="n">
        <x:f>IF(I3183="","",I3183/1000000)</x:f>
        <x:v>4.105263157894736</x:v>
      </x:c>
    </x:row>
    <x:row r="3184" ht="21" customHeight="1">
      <x:c r="A3184" s="10" t="n">
        <x:v>4313</x:v>
      </x:c>
      <x:c r="B3184" s="2" t="str">
        <x:v>61bf827940abd8f0bdbb</x:v>
      </x:c>
      <x:c r="C3184" s="2" t="str">
        <x:v>Hà Nội</x:v>
      </x:c>
      <x:c r="D3184" s="2" t="str">
        <x:v>Quận Bắc Từ Liêm</x:v>
      </x:c>
      <x:c r="E3184" s="2" t="str">
        <x:v>land</x:v>
      </x:c>
      <x:c r="F3184" s="2" t="str">
        <x:v>sale_assumed</x:v>
      </x:c>
      <x:c r="G3184" s="11" t="n">
        <x:v>82</x:v>
      </x:c>
      <x:c r="H3184" s="12" t="n">
        <x:v>4838000000</x:v>
      </x:c>
      <x:c r="I3184" s="12" t="n">
        <x:v>59000000</x:v>
      </x:c>
      <x:c r="J3184" s="2" t="str">
        <x:v>total</x:v>
      </x:c>
      <x:c r="K3184" s="2" t="str">
        <x:v>top_level_area</x:v>
      </x:c>
      <x:c r="L3184" s="2" t="str">
        <x:v>property_type_inferred_from_title;transaction_assumed_sale_from_dataset_context</x:v>
      </x:c>
      <x:c r="M3184" s="10" t="n">
        <x:v>0</x:v>
      </x:c>
      <x:c r="N3184" s="10" t="n">
        <x:v>0</x:v>
      </x:c>
      <x:c r="O3184" s="2" t="str">
        <x:v>Hà Nội|land</x:v>
      </x:c>
      <x:c r="P3184" s="10" t="n">
        <x:v>2</x:v>
      </x:c>
      <x:c r="Q3184" s="13" t="n">
        <x:f>IF(H3184="","",H3184/1000000000)</x:f>
        <x:v>4.838</x:v>
      </x:c>
      <x:c r="R3184" s="13" t="n">
        <x:f>IF(I3184="","",I3184/1000000)</x:f>
        <x:v>59</x:v>
      </x:c>
    </x:row>
    <x:row r="3185" ht="21" customHeight="1">
      <x:c r="A3185" s="10" t="n">
        <x:v>4318</x:v>
      </x:c>
      <x:c r="B3185" s="2" t="str">
        <x:v>fd342ead98b1436cdbb5</x:v>
      </x:c>
      <x:c r="C3185" s="2" t="str">
        <x:v>Bến Tre</x:v>
      </x:c>
      <x:c r="D3185" s="2" t="str">
        <x:v>Huyện Châu Thành</x:v>
      </x:c>
      <x:c r="E3185" s="2" t="str">
        <x:v>other_unknown</x:v>
      </x:c>
      <x:c r="F3185" s="2" t="str">
        <x:v>sale_assumed</x:v>
      </x:c>
      <x:c r="G3185" s="11" t="n">
        <x:v>389</x:v>
      </x:c>
      <x:c r="H3185" s="12" t="n">
        <x:v>11000000000</x:v>
      </x:c>
      <x:c r="I3185" s="12" t="n">
        <x:v>28277634.961439587</x:v>
      </x:c>
      <x:c r="J3185" s="2" t="str">
        <x:v>total</x:v>
      </x:c>
      <x:c r="K3185" s="2" t="str">
        <x:v>top_level_area</x:v>
      </x:c>
      <x:c r="L3185" s="2" t="str">
        <x:v>property_type_inferred_from_title;transaction_assumed_sale_from_dataset_context;unknown_property_type</x:v>
      </x:c>
      <x:c r="M3185" s="10" t="n">
        <x:v>0</x:v>
      </x:c>
      <x:c r="N3185" s="10" t="n">
        <x:v>0</x:v>
      </x:c>
      <x:c r="O3185" s="2" t="str">
        <x:v>other_unknown</x:v>
      </x:c>
      <x:c r="P3185" s="10" t="n">
        <x:v>2</x:v>
      </x:c>
      <x:c r="Q3185" s="13" t="n">
        <x:f>IF(H3185="","",H3185/1000000000)</x:f>
        <x:v>11</x:v>
      </x:c>
      <x:c r="R3185" s="13" t="n">
        <x:f>IF(I3185="","",I3185/1000000)</x:f>
        <x:v>28.27763496143959</x:v>
      </x:c>
    </x:row>
    <x:row r="3186" ht="21" customHeight="1">
      <x:c r="A3186" s="10" t="n">
        <x:v>4319</x:v>
      </x:c>
      <x:c r="B3186" s="2" t="str">
        <x:v>ce61f38ab3c0dc315124</x:v>
      </x:c>
      <x:c r="C3186" s="2" t="str">
        <x:v>Long An</x:v>
      </x:c>
      <x:c r="D3186" s="2" t="str">
        <x:v>Huyện Cần Đước</x:v>
      </x:c>
      <x:c r="E3186" s="2" t="str">
        <x:v>house</x:v>
      </x:c>
      <x:c r="F3186" s="2" t="str">
        <x:v>sale_assumed</x:v>
      </x:c>
      <x:c r="G3186" s="11" t="n">
        <x:v>90</x:v>
      </x:c>
      <x:c r="H3186" s="12" t="n">
        <x:v>950000000</x:v>
      </x:c>
      <x:c r="I3186" s="12" t="n">
        <x:v>10555555.555555556</x:v>
      </x:c>
      <x:c r="J3186" s="2" t="str">
        <x:v>total</x:v>
      </x:c>
      <x:c r="K3186" s="2" t="str">
        <x:v>top_level_area</x:v>
      </x:c>
      <x:c r="L3186" s="2" t="str">
        <x:v>property_type_inferred_from_title;transaction_assumed_sale_from_dataset_context</x:v>
      </x:c>
      <x:c r="M3186" s="10" t="n">
        <x:v>0</x:v>
      </x:c>
      <x:c r="N3186" s="10" t="n">
        <x:v>0</x:v>
      </x:c>
      <x:c r="O3186" s="2" t="str">
        <x:v>Long An|house</x:v>
      </x:c>
      <x:c r="P3186" s="10" t="n">
        <x:v>2</x:v>
      </x:c>
      <x:c r="Q3186" s="13" t="n">
        <x:f>IF(H3186="","",H3186/1000000000)</x:f>
        <x:v>0.95</x:v>
      </x:c>
      <x:c r="R3186" s="13" t="n">
        <x:f>IF(I3186="","",I3186/1000000)</x:f>
        <x:v>10.555555555555555</x:v>
      </x:c>
    </x:row>
    <x:row r="3187" ht="21" customHeight="1">
      <x:c r="A3187" s="10" t="n">
        <x:v>4320</x:v>
      </x:c>
      <x:c r="B3187" s="2" t="str">
        <x:v>5a49c15eba283fc99c61</x:v>
      </x:c>
      <x:c r="C3187" s="2" t="str">
        <x:v>Đà Nẵng</x:v>
      </x:c>
      <x:c r="D3187" s="2" t="str">
        <x:v>Quận Sơn Trà</x:v>
      </x:c>
      <x:c r="E3187" s="2" t="str">
        <x:v>land</x:v>
      </x:c>
      <x:c r="F3187" s="2" t="str">
        <x:v>sale_assumed</x:v>
      </x:c>
      <x:c r="G3187" s="11" t="n">
        <x:v>72</x:v>
      </x:c>
      <x:c r="H3187" s="12" t="n">
        <x:v>3000000000</x:v>
      </x:c>
      <x:c r="I3187" s="12" t="n">
        <x:v>41666666.666666664</x:v>
      </x:c>
      <x:c r="J3187" s="2" t="str">
        <x:v>total</x:v>
      </x:c>
      <x:c r="K3187" s="2" t="str">
        <x:v>top_level_area</x:v>
      </x:c>
      <x:c r="L3187" s="2" t="str">
        <x:v>property_type_inferred_from_title;transaction_assumed_sale_from_dataset_context</x:v>
      </x:c>
      <x:c r="M3187" s="10" t="n">
        <x:v>0</x:v>
      </x:c>
      <x:c r="N3187" s="10" t="n">
        <x:v>0</x:v>
      </x:c>
      <x:c r="O3187" s="2" t="str">
        <x:v>Đà Nẵng|land</x:v>
      </x:c>
      <x:c r="P3187" s="10" t="n">
        <x:v>2</x:v>
      </x:c>
      <x:c r="Q3187" s="13" t="n">
        <x:f>IF(H3187="","",H3187/1000000000)</x:f>
        <x:v>3</x:v>
      </x:c>
      <x:c r="R3187" s="13" t="n">
        <x:f>IF(I3187="","",I3187/1000000)</x:f>
        <x:v>41.666666666666664</x:v>
      </x:c>
    </x:row>
    <x:row r="3188" ht="21" customHeight="1">
      <x:c r="A3188" s="10" t="n">
        <x:v>4321</x:v>
      </x:c>
      <x:c r="B3188" s="2" t="str">
        <x:v>d7fb892ef01fec433972</x:v>
      </x:c>
      <x:c r="C3188" s="2" t="str">
        <x:v>Hà Nội</x:v>
      </x:c>
      <x:c r="D3188" s="2" t="str">
        <x:v>Quận Cầu Giấy</x:v>
      </x:c>
      <x:c r="E3188" s="2" t="str">
        <x:v>house</x:v>
      </x:c>
      <x:c r="F3188" s="2" t="str">
        <x:v>sale</x:v>
      </x:c>
      <x:c r="G3188" s="11" t="n">
        <x:v>42</x:v>
      </x:c>
      <x:c r="H3188" s="12" t="n">
        <x:v>2700000000</x:v>
      </x:c>
      <x:c r="I3188" s="12" t="n">
        <x:v>64285714.28571428</x:v>
      </x:c>
      <x:c r="J3188" s="2" t="str">
        <x:v>total</x:v>
      </x:c>
      <x:c r="K3188" s="2" t="str">
        <x:v>top_level_area</x:v>
      </x:c>
      <x:c r="L3188" s="2" t="str">
        <x:v>property_type_inferred_from_title</x:v>
      </x:c>
      <x:c r="M3188" s="10" t="n">
        <x:v>0</x:v>
      </x:c>
      <x:c r="N3188" s="10" t="n">
        <x:v>0</x:v>
      </x:c>
      <x:c r="O3188" s="2" t="str">
        <x:v>Hà Nội|house</x:v>
      </x:c>
      <x:c r="P3188" s="10" t="n">
        <x:v>2</x:v>
      </x:c>
      <x:c r="Q3188" s="13" t="n">
        <x:f>IF(H3188="","",H3188/1000000000)</x:f>
        <x:v>2.7</x:v>
      </x:c>
      <x:c r="R3188" s="13" t="n">
        <x:f>IF(I3188="","",I3188/1000000)</x:f>
        <x:v>64.28571428571428</x:v>
      </x:c>
    </x:row>
    <x:row r="3189" ht="21" customHeight="1">
      <x:c r="A3189" s="10" t="n">
        <x:v>4322</x:v>
      </x:c>
      <x:c r="B3189" s="2" t="str">
        <x:v>9c91305efc0388b103af</x:v>
      </x:c>
      <x:c r="C3189" s="2" t="str">
        <x:v>Hà Nội</x:v>
      </x:c>
      <x:c r="D3189" s="2" t="str">
        <x:v>Quận Đống Đa</x:v>
      </x:c>
      <x:c r="E3189" s="2" t="str">
        <x:v>house</x:v>
      </x:c>
      <x:c r="F3189" s="2" t="str">
        <x:v>sale</x:v>
      </x:c>
      <x:c r="G3189" s="11" t="n">
        <x:v>55</x:v>
      </x:c>
      <x:c r="H3189" s="12" t="n">
        <x:v>6800000000</x:v>
      </x:c>
      <x:c r="I3189" s="12" t="n">
        <x:v>123636363.63636364</x:v>
      </x:c>
      <x:c r="J3189" s="2" t="str">
        <x:v>total</x:v>
      </x:c>
      <x:c r="K3189" s="2" t="str">
        <x:v>top_level_area</x:v>
      </x:c>
      <x:c r="L3189" s="2" t="str">
        <x:v>property_type_inferred_from_title</x:v>
      </x:c>
      <x:c r="M3189" s="10" t="n">
        <x:v>0</x:v>
      </x:c>
      <x:c r="N3189" s="10" t="n">
        <x:v>0</x:v>
      </x:c>
      <x:c r="O3189" s="2" t="str">
        <x:v>Hà Nội|house</x:v>
      </x:c>
      <x:c r="P3189" s="10" t="n">
        <x:v>2</x:v>
      </x:c>
      <x:c r="Q3189" s="13" t="n">
        <x:f>IF(H3189="","",H3189/1000000000)</x:f>
        <x:v>6.8</x:v>
      </x:c>
      <x:c r="R3189" s="13" t="n">
        <x:f>IF(I3189="","",I3189/1000000)</x:f>
        <x:v>123.63636363636364</x:v>
      </x:c>
    </x:row>
    <x:row r="3190" ht="21" customHeight="1">
      <x:c r="A3190" s="10" t="n">
        <x:v>4323</x:v>
      </x:c>
      <x:c r="B3190" s="2" t="str">
        <x:v>68c5f729c01e314030ab</x:v>
      </x:c>
      <x:c r="C3190" s="2" t="str">
        <x:v>Tp Hồ Chí Minh</x:v>
      </x:c>
      <x:c r="D3190" s="2" t="str">
        <x:v>Quận 7</x:v>
      </x:c>
      <x:c r="E3190" s="2" t="str">
        <x:v>house</x:v>
      </x:c>
      <x:c r="F3190" s="2" t="str">
        <x:v>sale_assumed</x:v>
      </x:c>
      <x:c r="G3190" s="11" t="n">
        <x:v>50</x:v>
      </x:c>
      <x:c r="H3190" s="12" t="n">
        <x:v>4500000000</x:v>
      </x:c>
      <x:c r="I3190" s="12" t="n">
        <x:v>90000000</x:v>
      </x:c>
      <x:c r="J3190" s="2" t="str">
        <x:v>total</x:v>
      </x:c>
      <x:c r="K3190" s="2" t="str">
        <x:v>top_level_area</x:v>
      </x:c>
      <x:c r="L3190" s="2" t="str">
        <x:v>property_type_inferred_from_title;transaction_assumed_sale_from_dataset_context</x:v>
      </x:c>
      <x:c r="M3190" s="10" t="n">
        <x:v>0</x:v>
      </x:c>
      <x:c r="N3190" s="10" t="n">
        <x:v>0</x:v>
      </x:c>
      <x:c r="O3190" s="2" t="str">
        <x:v>Tp Hồ Chí Minh|house</x:v>
      </x:c>
      <x:c r="P3190" s="10" t="n">
        <x:v>2</x:v>
      </x:c>
      <x:c r="Q3190" s="13" t="n">
        <x:f>IF(H3190="","",H3190/1000000000)</x:f>
        <x:v>4.5</x:v>
      </x:c>
      <x:c r="R3190" s="13" t="n">
        <x:f>IF(I3190="","",I3190/1000000)</x:f>
        <x:v>90</x:v>
      </x:c>
    </x:row>
    <x:row r="3191" ht="21" customHeight="1">
      <x:c r="A3191" s="10" t="n">
        <x:v>4324</x:v>
      </x:c>
      <x:c r="B3191" s="2" t="str">
        <x:v>a490891e27d585c9ee8b</x:v>
      </x:c>
      <x:c r="C3191" s="2" t="str">
        <x:v>Hà Nội</x:v>
      </x:c>
      <x:c r="D3191" s="2" t="str">
        <x:v>Quận Nam Từ Liêm</x:v>
      </x:c>
      <x:c r="E3191" s="2" t="str">
        <x:v>house</x:v>
      </x:c>
      <x:c r="F3191" s="2" t="str">
        <x:v>sale</x:v>
      </x:c>
      <x:c r="G3191" s="11" t="n">
        <x:v>35</x:v>
      </x:c>
      <x:c r="H3191" s="12" t="n">
        <x:v>3700000000</x:v>
      </x:c>
      <x:c r="I3191" s="12" t="n">
        <x:v>105714285.71428572</x:v>
      </x:c>
      <x:c r="J3191" s="2" t="str">
        <x:v>total</x:v>
      </x:c>
      <x:c r="K3191" s="2" t="str">
        <x:v>top_level_area</x:v>
      </x:c>
      <x:c r="L3191" s="2" t="str">
        <x:v>property_type_inferred_from_title</x:v>
      </x:c>
      <x:c r="M3191" s="10" t="n">
        <x:v>0</x:v>
      </x:c>
      <x:c r="N3191" s="10" t="n">
        <x:v>0</x:v>
      </x:c>
      <x:c r="O3191" s="2" t="str">
        <x:v>Hà Nội|house</x:v>
      </x:c>
      <x:c r="P3191" s="10" t="n">
        <x:v>2</x:v>
      </x:c>
      <x:c r="Q3191" s="13" t="n">
        <x:f>IF(H3191="","",H3191/1000000000)</x:f>
        <x:v>3.7</x:v>
      </x:c>
      <x:c r="R3191" s="13" t="n">
        <x:f>IF(I3191="","",I3191/1000000)</x:f>
        <x:v>105.71428571428572</x:v>
      </x:c>
    </x:row>
    <x:row r="3192" ht="21" customHeight="1">
      <x:c r="A3192" s="10" t="n">
        <x:v>4325</x:v>
      </x:c>
      <x:c r="B3192" s="2" t="str">
        <x:v>df29ce7af8dc3f8b7215</x:v>
      </x:c>
      <x:c r="C3192" s="2" t="str">
        <x:v>Tp Hồ Chí Minh</x:v>
      </x:c>
      <x:c r="D3192" s="2" t="str">
        <x:v>Huyện Nhà Bè</x:v>
      </x:c>
      <x:c r="E3192" s="2" t="str">
        <x:v>land</x:v>
      </x:c>
      <x:c r="F3192" s="2" t="str">
        <x:v>sale</x:v>
      </x:c>
      <x:c r="G3192" s="11" t="n">
        <x:v>1000</x:v>
      </x:c>
      <x:c r="H3192" s="12" t="n">
        <x:v>8000000000</x:v>
      </x:c>
      <x:c r="I3192" s="12" t="n">
        <x:v>8000000</x:v>
      </x:c>
      <x:c r="J3192" s="2" t="str">
        <x:v>total</x:v>
      </x:c>
      <x:c r="K3192" s="2" t="str">
        <x:v>top_level_area</x:v>
      </x:c>
      <x:c r="L3192" s="2" t="str">
        <x:v>dot_thousands_convention;property_type_inferred_from_title</x:v>
      </x:c>
      <x:c r="M3192" s="10" t="n">
        <x:v>0</x:v>
      </x:c>
      <x:c r="N3192" s="10" t="n">
        <x:v>0</x:v>
      </x:c>
      <x:c r="O3192" s="2" t="str">
        <x:v>Tp Hồ Chí Minh|land</x:v>
      </x:c>
      <x:c r="P3192" s="10" t="n">
        <x:v>1</x:v>
      </x:c>
      <x:c r="Q3192" s="13" t="n">
        <x:f>IF(H3192="","",H3192/1000000000)</x:f>
        <x:v>8</x:v>
      </x:c>
      <x:c r="R3192" s="13" t="n">
        <x:f>IF(I3192="","",I3192/1000000)</x:f>
        <x:v>8</x:v>
      </x:c>
    </x:row>
    <x:row r="3193" ht="21" customHeight="1">
      <x:c r="A3193" s="10" t="n">
        <x:v>4326</x:v>
      </x:c>
      <x:c r="B3193" s="2" t="str">
        <x:v>f7f6189fcb26d659722f</x:v>
      </x:c>
      <x:c r="C3193" s="2" t="str">
        <x:v>Khánh Hòa</x:v>
      </x:c>
      <x:c r="D3193" s="2" t="str">
        <x:v>Huyện Cam Lâm</x:v>
      </x:c>
      <x:c r="E3193" s="2" t="str">
        <x:v>land</x:v>
      </x:c>
      <x:c r="F3193" s="2" t="str">
        <x:v>sale_assumed</x:v>
      </x:c>
      <x:c r="G3193" s="11" t="n">
        <x:v>120</x:v>
      </x:c>
      <x:c r="H3193" s="12" t="n">
        <x:v>750000000</x:v>
      </x:c>
      <x:c r="I3193" s="12" t="n">
        <x:v>6250000</x:v>
      </x:c>
      <x:c r="J3193" s="2" t="str">
        <x:v>total</x:v>
      </x:c>
      <x:c r="K3193" s="2" t="str">
        <x:v>top_level_area</x:v>
      </x:c>
      <x:c r="L3193" s="2" t="str">
        <x:v>property_type_inferred_from_title;transaction_assumed_sale_from_dataset_context</x:v>
      </x:c>
      <x:c r="M3193" s="10" t="n">
        <x:v>0</x:v>
      </x:c>
      <x:c r="N3193" s="10" t="n">
        <x:v>0</x:v>
      </x:c>
      <x:c r="O3193" s="2" t="str">
        <x:v>land</x:v>
      </x:c>
      <x:c r="P3193" s="10" t="n">
        <x:v>2</x:v>
      </x:c>
      <x:c r="Q3193" s="13" t="n">
        <x:f>IF(H3193="","",H3193/1000000000)</x:f>
        <x:v>0.75</x:v>
      </x:c>
      <x:c r="R3193" s="13" t="n">
        <x:f>IF(I3193="","",I3193/1000000)</x:f>
        <x:v>6.25</x:v>
      </x:c>
    </x:row>
    <x:row r="3194" ht="21" customHeight="1">
      <x:c r="A3194" s="10" t="n">
        <x:v>4327</x:v>
      </x:c>
      <x:c r="B3194" s="2" t="str">
        <x:v>e2d68fd74c87ce5f0075</x:v>
      </x:c>
      <x:c r="C3194" s="2" t="str">
        <x:v>Gia Lai</x:v>
      </x:c>
      <x:c r="D3194" s="2" t="str">
        <x:v>Huyện Chư Sê</x:v>
      </x:c>
      <x:c r="E3194" s="2" t="str">
        <x:v>other_unknown</x:v>
      </x:c>
      <x:c r="F3194" s="2" t="str">
        <x:v>sale_assumed</x:v>
      </x:c>
      <x:c r="G3194" s="11" t="n">
        <x:v>300</x:v>
      </x:c>
      <x:c r="H3194" s="12" t="n">
        <x:v>469000000</x:v>
      </x:c>
      <x:c r="I3194" s="12" t="n">
        <x:v>1563333.3333333333</x:v>
      </x:c>
      <x:c r="J3194" s="2" t="str">
        <x:v>total</x:v>
      </x:c>
      <x:c r="K3194" s="2" t="str">
        <x:v>top_level_area</x:v>
      </x:c>
      <x:c r="L3194" s="2" t="str">
        <x:v>property_type_inferred_from_title;transaction_assumed_sale_from_dataset_context;unknown_property_type</x:v>
      </x:c>
      <x:c r="M3194" s="10" t="n">
        <x:v>0</x:v>
      </x:c>
      <x:c r="N3194" s="10" t="n">
        <x:v>0</x:v>
      </x:c>
      <x:c r="O3194" s="2" t="str">
        <x:v>other_unknown</x:v>
      </x:c>
      <x:c r="P3194" s="10" t="n">
        <x:v>1</x:v>
      </x:c>
      <x:c r="Q3194" s="13" t="n">
        <x:f>IF(H3194="","",H3194/1000000000)</x:f>
        <x:v>0.469</x:v>
      </x:c>
      <x:c r="R3194" s="13" t="n">
        <x:f>IF(I3194="","",I3194/1000000)</x:f>
        <x:v>1.5633333333333332</x:v>
      </x:c>
    </x:row>
    <x:row r="3195" ht="21" customHeight="1">
      <x:c r="A3195" s="10" t="n">
        <x:v>4328</x:v>
      </x:c>
      <x:c r="B3195" s="2" t="str">
        <x:v>9386388bb15d0fa05943</x:v>
      </x:c>
      <x:c r="C3195" s="2" t="str">
        <x:v>Đắk Lắk</x:v>
      </x:c>
      <x:c r="D3195" s="2" t="str">
        <x:v>Thành phố Buôn Ma Thuột</x:v>
      </x:c>
      <x:c r="E3195" s="2" t="str">
        <x:v>house</x:v>
      </x:c>
      <x:c r="F3195" s="2" t="str">
        <x:v>sale_assumed</x:v>
      </x:c>
      <x:c r="G3195" s="11" t="n">
        <x:v>105</x:v>
      </x:c>
      <x:c r="H3195" s="12" t="n">
        <x:v>13500000</x:v>
      </x:c>
      <x:c r="I3195" s="12" t="n">
        <x:v>128571.42857142857</x:v>
      </x:c>
      <x:c r="J3195" s="2" t="str">
        <x:v>total</x:v>
      </x:c>
      <x:c r="K3195" s="2" t="str">
        <x:v>top_level_area</x:v>
      </x:c>
      <x:c r="L3195" s="2" t="str">
        <x:v>property_type_inferred_from_title;transaction_assumed_sale_from_dataset_context</x:v>
      </x:c>
      <x:c r="M3195" s="10" t="n">
        <x:v>0</x:v>
      </x:c>
      <x:c r="N3195" s="10" t="n">
        <x:v>0</x:v>
      </x:c>
      <x:c r="O3195" s="2" t="str">
        <x:v>Đắk Lắk|house</x:v>
      </x:c>
      <x:c r="P3195" s="10" t="n">
        <x:v>1</x:v>
      </x:c>
      <x:c r="Q3195" s="13" t="n">
        <x:f>IF(H3195="","",H3195/1000000000)</x:f>
        <x:v>0.0135</x:v>
      </x:c>
      <x:c r="R3195" s="13" t="n">
        <x:f>IF(I3195="","",I3195/1000000)</x:f>
        <x:v>0.12857142857142856</x:v>
      </x:c>
    </x:row>
    <x:row r="3196" ht="21" customHeight="1">
      <x:c r="A3196" s="10" t="n">
        <x:v>4329</x:v>
      </x:c>
      <x:c r="B3196" s="2" t="str">
        <x:v>bd352697fd49c6e371fb</x:v>
      </x:c>
      <x:c r="C3196" s="2" t="str">
        <x:v>Tp Hồ Chí Minh</x:v>
      </x:c>
      <x:c r="D3196" s="2" t="str">
        <x:v>Quận 7</x:v>
      </x:c>
      <x:c r="E3196" s="2" t="str">
        <x:v>house</x:v>
      </x:c>
      <x:c r="F3196" s="2" t="str">
        <x:v>sale</x:v>
      </x:c>
      <x:c r="G3196" s="11" t="n">
        <x:v>125</x:v>
      </x:c>
      <x:c r="H3196" s="12" t="n">
        <x:v>9200000000</x:v>
      </x:c>
      <x:c r="I3196" s="12" t="n">
        <x:v>73600000</x:v>
      </x:c>
      <x:c r="J3196" s="2" t="str">
        <x:v>total</x:v>
      </x:c>
      <x:c r="K3196" s="2" t="str">
        <x:v>top_level_area</x:v>
      </x:c>
      <x:c r="L3196" s="2" t="str">
        <x:v>property_type_inferred_from_title</x:v>
      </x:c>
      <x:c r="M3196" s="10" t="n">
        <x:v>0</x:v>
      </x:c>
      <x:c r="N3196" s="10" t="n">
        <x:v>0</x:v>
      </x:c>
      <x:c r="O3196" s="2" t="str">
        <x:v>Tp Hồ Chí Minh|house</x:v>
      </x:c>
      <x:c r="P3196" s="10" t="n">
        <x:v>2</x:v>
      </x:c>
      <x:c r="Q3196" s="13" t="n">
        <x:f>IF(H3196="","",H3196/1000000000)</x:f>
        <x:v>9.2</x:v>
      </x:c>
      <x:c r="R3196" s="13" t="n">
        <x:f>IF(I3196="","",I3196/1000000)</x:f>
        <x:v>73.6</x:v>
      </x:c>
    </x:row>
    <x:row r="3197" ht="21" customHeight="1">
      <x:c r="A3197" s="10" t="n">
        <x:v>4330</x:v>
      </x:c>
      <x:c r="B3197" s="2" t="str">
        <x:v>dcda7740146ece3dc930</x:v>
      </x:c>
      <x:c r="C3197" s="2" t="str">
        <x:v>Hà Nội</x:v>
      </x:c>
      <x:c r="D3197" s="2" t="str">
        <x:v>Quận Hoàng Mai</x:v>
      </x:c>
      <x:c r="E3197" s="2" t="str">
        <x:v>house</x:v>
      </x:c>
      <x:c r="F3197" s="2" t="str">
        <x:v>sale</x:v>
      </x:c>
      <x:c r="G3197" s="11" t="n">
        <x:v>40</x:v>
      </x:c>
      <x:c r="H3197" s="12" t="n">
        <x:v>2450000000</x:v>
      </x:c>
      <x:c r="I3197" s="12" t="n">
        <x:v>61250000</x:v>
      </x:c>
      <x:c r="J3197" s="2" t="str">
        <x:v>total</x:v>
      </x:c>
      <x:c r="K3197" s="2" t="str">
        <x:v>top_level_area</x:v>
      </x:c>
      <x:c r="L3197" s="2" t="str">
        <x:v>property_type_inferred_from_title</x:v>
      </x:c>
      <x:c r="M3197" s="10" t="n">
        <x:v>0</x:v>
      </x:c>
      <x:c r="N3197" s="10" t="n">
        <x:v>0</x:v>
      </x:c>
      <x:c r="O3197" s="2" t="str">
        <x:v>Hà Nội|house</x:v>
      </x:c>
      <x:c r="P3197" s="10" t="n">
        <x:v>2</x:v>
      </x:c>
      <x:c r="Q3197" s="13" t="n">
        <x:f>IF(H3197="","",H3197/1000000000)</x:f>
        <x:v>2.45</x:v>
      </x:c>
      <x:c r="R3197" s="13" t="n">
        <x:f>IF(I3197="","",I3197/1000000)</x:f>
        <x:v>61.25</x:v>
      </x:c>
    </x:row>
    <x:row r="3198" ht="21" customHeight="1">
      <x:c r="A3198" s="10" t="n">
        <x:v>4331</x:v>
      </x:c>
      <x:c r="B3198" s="2" t="str">
        <x:v>666caaa7e97020a82df8</x:v>
      </x:c>
      <x:c r="C3198" s="2" t="str">
        <x:v>Đà Nẵng</x:v>
      </x:c>
      <x:c r="D3198" s="2" t="str">
        <x:v>Quận Thanh Khê</x:v>
      </x:c>
      <x:c r="E3198" s="2" t="str">
        <x:v>house</x:v>
      </x:c>
      <x:c r="F3198" s="2" t="str">
        <x:v>sale_assumed</x:v>
      </x:c>
      <x:c r="G3198" s="11" t="n">
        <x:v>35</x:v>
      </x:c>
      <x:c r="H3198" s="12" t="n">
        <x:v>2200000000</x:v>
      </x:c>
      <x:c r="I3198" s="12" t="n">
        <x:v>62857142.85714286</x:v>
      </x:c>
      <x:c r="J3198" s="2" t="str">
        <x:v>total</x:v>
      </x:c>
      <x:c r="K3198" s="2" t="str">
        <x:v>top_level_area</x:v>
      </x:c>
      <x:c r="L3198" s="2" t="str">
        <x:v>property_type_inferred_from_title;transaction_assumed_sale_from_dataset_context</x:v>
      </x:c>
      <x:c r="M3198" s="10" t="n">
        <x:v>0</x:v>
      </x:c>
      <x:c r="N3198" s="10" t="n">
        <x:v>0</x:v>
      </x:c>
      <x:c r="O3198" s="2" t="str">
        <x:v>Đà Nẵng|house</x:v>
      </x:c>
      <x:c r="P3198" s="10" t="n">
        <x:v>2</x:v>
      </x:c>
      <x:c r="Q3198" s="13" t="n">
        <x:f>IF(H3198="","",H3198/1000000000)</x:f>
        <x:v>2.2</x:v>
      </x:c>
      <x:c r="R3198" s="13" t="n">
        <x:f>IF(I3198="","",I3198/1000000)</x:f>
        <x:v>62.85714285714286</x:v>
      </x:c>
    </x:row>
    <x:row r="3199" ht="21" customHeight="1">
      <x:c r="A3199" s="10" t="n">
        <x:v>4332</x:v>
      </x:c>
      <x:c r="B3199" s="2" t="str">
        <x:v>ddf7bc3774a17614677b</x:v>
      </x:c>
      <x:c r="C3199" s="2" t="str">
        <x:v>Hà Nội</x:v>
      </x:c>
      <x:c r="D3199" s="2" t="str">
        <x:v>Quận Thanh Xuân</x:v>
      </x:c>
      <x:c r="E3199" s="2" t="str">
        <x:v>house</x:v>
      </x:c>
      <x:c r="F3199" s="2" t="str">
        <x:v>sale_assumed</x:v>
      </x:c>
      <x:c r="G3199" s="11" t="n">
        <x:v>125</x:v>
      </x:c>
      <x:c r="H3199" s="12" t="n">
        <x:v>26000000000</x:v>
      </x:c>
      <x:c r="I3199" s="12" t="n">
        <x:v>208000000</x:v>
      </x:c>
      <x:c r="J3199" s="2" t="str">
        <x:v>total</x:v>
      </x:c>
      <x:c r="K3199" s="2" t="str">
        <x:v>top_level_area</x:v>
      </x:c>
      <x:c r="L3199" s="2" t="str">
        <x:v>property_type_inferred_from_title;transaction_assumed_sale_from_dataset_context</x:v>
      </x:c>
      <x:c r="M3199" s="10" t="n">
        <x:v>1</x:v>
      </x:c>
      <x:c r="N3199" s="10" t="n">
        <x:v>1</x:v>
      </x:c>
      <x:c r="O3199" s="2" t="str">
        <x:v>Hà Nội|house</x:v>
      </x:c>
      <x:c r="P3199" s="10" t="n">
        <x:v>-1</x:v>
      </x:c>
      <x:c r="Q3199" s="13" t="n">
        <x:f>IF(H3199="","",H3199/1000000000)</x:f>
        <x:v>26</x:v>
      </x:c>
      <x:c r="R3199" s="13" t="n">
        <x:f>IF(I3199="","",I3199/1000000)</x:f>
        <x:v>208</x:v>
      </x:c>
    </x:row>
    <x:row r="3200" ht="21" customHeight="1">
      <x:c r="A3200" s="10" t="n">
        <x:v>4333</x:v>
      </x:c>
      <x:c r="B3200" s="2" t="str">
        <x:v>350413e218469d8165cc</x:v>
      </x:c>
      <x:c r="C3200" s="2" t="str">
        <x:v>Nghệ An</x:v>
      </x:c>
      <x:c r="D3200" s="2" t="str">
        <x:v>Thành phố Vinh</x:v>
      </x:c>
      <x:c r="E3200" s="2" t="str">
        <x:v>other_unknown</x:v>
      </x:c>
      <x:c r="F3200" s="2" t="str">
        <x:v>sale_assumed</x:v>
      </x:c>
      <x:c r="G3200" s="11" t="n">
        <x:v>300</x:v>
      </x:c>
      <x:c r="H3200" s="12" t="n">
        <x:v>29000000000</x:v>
      </x:c>
      <x:c r="I3200" s="12" t="n">
        <x:v>96666666.66666667</x:v>
      </x:c>
      <x:c r="J3200" s="2" t="str">
        <x:v>total</x:v>
      </x:c>
      <x:c r="K3200" s="2" t="str">
        <x:v>top_level_area</x:v>
      </x:c>
      <x:c r="L3200" s="2" t="str">
        <x:v>property_type_inferred_from_title;transaction_assumed_sale_from_dataset_context;unknown_property_type</x:v>
      </x:c>
      <x:c r="M3200" s="10" t="n">
        <x:v>0</x:v>
      </x:c>
      <x:c r="N3200" s="10" t="n">
        <x:v>0</x:v>
      </x:c>
      <x:c r="O3200" s="2" t="str">
        <x:v>other_unknown</x:v>
      </x:c>
      <x:c r="P3200" s="10" t="n">
        <x:v>2</x:v>
      </x:c>
      <x:c r="Q3200" s="13" t="n">
        <x:f>IF(H3200="","",H3200/1000000000)</x:f>
        <x:v>29</x:v>
      </x:c>
      <x:c r="R3200" s="13" t="n">
        <x:f>IF(I3200="","",I3200/1000000)</x:f>
        <x:v>96.66666666666667</x:v>
      </x:c>
    </x:row>
    <x:row r="3201" ht="21" customHeight="1">
      <x:c r="A3201" s="10" t="n">
        <x:v>4335</x:v>
      </x:c>
      <x:c r="B3201" s="2" t="str">
        <x:v>dea48d1d079077dc0439</x:v>
      </x:c>
      <x:c r="C3201" s="2" t="str">
        <x:v>Long An</x:v>
      </x:c>
      <x:c r="D3201" s="2" t="str">
        <x:v>Huyện Cần Giuộc</x:v>
      </x:c>
      <x:c r="E3201" s="2" t="str">
        <x:v>house</x:v>
      </x:c>
      <x:c r="F3201" s="2" t="str">
        <x:v>sale_assumed</x:v>
      </x:c>
      <x:c r="G3201" s="11" t="n">
        <x:v>80</x:v>
      </x:c>
      <x:c r="H3201" s="12" t="n">
        <x:v>860000000</x:v>
      </x:c>
      <x:c r="I3201" s="12" t="n">
        <x:v>10750000</x:v>
      </x:c>
      <x:c r="J3201" s="2" t="str">
        <x:v>total</x:v>
      </x:c>
      <x:c r="K3201" s="2" t="str">
        <x:v>top_level_area</x:v>
      </x:c>
      <x:c r="L3201" s="2" t="str">
        <x:v>property_type_inferred_from_title;transaction_assumed_sale_from_dataset_context</x:v>
      </x:c>
      <x:c r="M3201" s="10" t="n">
        <x:v>0</x:v>
      </x:c>
      <x:c r="N3201" s="10" t="n">
        <x:v>0</x:v>
      </x:c>
      <x:c r="O3201" s="2" t="str">
        <x:v>Long An|house</x:v>
      </x:c>
      <x:c r="P3201" s="10" t="n">
        <x:v>2</x:v>
      </x:c>
      <x:c r="Q3201" s="13" t="n">
        <x:f>IF(H3201="","",H3201/1000000000)</x:f>
        <x:v>0.86</x:v>
      </x:c>
      <x:c r="R3201" s="13" t="n">
        <x:f>IF(I3201="","",I3201/1000000)</x:f>
        <x:v>10.75</x:v>
      </x:c>
    </x:row>
    <x:row r="3202" ht="21" customHeight="1">
      <x:c r="A3202" s="10" t="n">
        <x:v>4336</x:v>
      </x:c>
      <x:c r="B3202" s="2" t="str">
        <x:v>3a6515c4b867dd5c08f1</x:v>
      </x:c>
      <x:c r="C3202" s="2" t="str">
        <x:v>Đà Nẵng</x:v>
      </x:c>
      <x:c r="D3202" s="2" t="str">
        <x:v>Quận Hải Châu</x:v>
      </x:c>
      <x:c r="E3202" s="2" t="str">
        <x:v>house</x:v>
      </x:c>
      <x:c r="F3202" s="2" t="str">
        <x:v>sale</x:v>
      </x:c>
      <x:c r="G3202" s="11" t="n">
        <x:v>65</x:v>
      </x:c>
      <x:c r="H3202" s="12" t="n">
        <x:v>5500000000</x:v>
      </x:c>
      <x:c r="I3202" s="12" t="n">
        <x:v>84615384.61538461</x:v>
      </x:c>
      <x:c r="J3202" s="2" t="str">
        <x:v>total</x:v>
      </x:c>
      <x:c r="K3202" s="2" t="str">
        <x:v>top_level_area</x:v>
      </x:c>
      <x:c r="L3202" s="2" t="str">
        <x:v>property_type_inferred_from_title</x:v>
      </x:c>
      <x:c r="M3202" s="10" t="n">
        <x:v>0</x:v>
      </x:c>
      <x:c r="N3202" s="10" t="n">
        <x:v>0</x:v>
      </x:c>
      <x:c r="O3202" s="2" t="str">
        <x:v>Đà Nẵng|house</x:v>
      </x:c>
      <x:c r="P3202" s="10" t="n">
        <x:v>2</x:v>
      </x:c>
      <x:c r="Q3202" s="13" t="n">
        <x:f>IF(H3202="","",H3202/1000000000)</x:f>
        <x:v>5.5</x:v>
      </x:c>
      <x:c r="R3202" s="13" t="n">
        <x:f>IF(I3202="","",I3202/1000000)</x:f>
        <x:v>84.61538461538461</x:v>
      </x:c>
    </x:row>
    <x:row r="3203" ht="21" customHeight="1">
      <x:c r="A3203" s="10" t="n">
        <x:v>4337</x:v>
      </x:c>
      <x:c r="B3203" s="2" t="str">
        <x:v>fdf948414576debe4f35</x:v>
      </x:c>
      <x:c r="C3203" s="2" t="str">
        <x:v>Tp Hồ Chí Minh</x:v>
      </x:c>
      <x:c r="D3203" s="2" t="str">
        <x:v>Quận Thủ Đức</x:v>
      </x:c>
      <x:c r="E3203" s="2" t="str">
        <x:v>land</x:v>
      </x:c>
      <x:c r="F3203" s="2" t="str">
        <x:v>sale</x:v>
      </x:c>
      <x:c r="G3203" s="11" t="n">
        <x:v>53</x:v>
      </x:c>
      <x:c r="H3203" s="12" t="n">
        <x:v>4200000000</x:v>
      </x:c>
      <x:c r="I3203" s="12" t="n">
        <x:v>79245283.01886792</x:v>
      </x:c>
      <x:c r="J3203" s="2" t="str">
        <x:v>total</x:v>
      </x:c>
      <x:c r="K3203" s="2" t="str">
        <x:v>top_level_area</x:v>
      </x:c>
      <x:c r="L3203" s="2" t="str">
        <x:v>property_type_inferred_from_title</x:v>
      </x:c>
      <x:c r="M3203" s="10" t="n">
        <x:v>0</x:v>
      </x:c>
      <x:c r="N3203" s="10" t="n">
        <x:v>0</x:v>
      </x:c>
      <x:c r="O3203" s="2" t="str">
        <x:v>Tp Hồ Chí Minh|land</x:v>
      </x:c>
      <x:c r="P3203" s="10" t="n">
        <x:v>2</x:v>
      </x:c>
      <x:c r="Q3203" s="13" t="n">
        <x:f>IF(H3203="","",H3203/1000000000)</x:f>
        <x:v>4.2</x:v>
      </x:c>
      <x:c r="R3203" s="13" t="n">
        <x:f>IF(I3203="","",I3203/1000000)</x:f>
        <x:v>79.24528301886792</x:v>
      </x:c>
    </x:row>
    <x:row r="3204" ht="21" customHeight="1">
      <x:c r="A3204" s="10" t="n">
        <x:v>4340</x:v>
      </x:c>
      <x:c r="B3204" s="2" t="str">
        <x:v>eb7cb6ae7207e8038d08</x:v>
      </x:c>
      <x:c r="C3204" s="2" t="str">
        <x:v>Vĩnh Long</x:v>
      </x:c>
      <x:c r="D3204" s="2" t="str">
        <x:v>Thành phố Vĩnh Long</x:v>
      </x:c>
      <x:c r="E3204" s="2" t="str">
        <x:v>land</x:v>
      </x:c>
      <x:c r="F3204" s="2" t="str">
        <x:v>sale_assumed</x:v>
      </x:c>
      <x:c r="G3204" s="11" t="n">
        <x:v>134</x:v>
      </x:c>
      <x:c r="H3204" s="12" t="n">
        <x:v>871000000</x:v>
      </x:c>
      <x:c r="I3204" s="12" t="n">
        <x:v>6500000</x:v>
      </x:c>
      <x:c r="J3204" s="2" t="str">
        <x:v>total</x:v>
      </x:c>
      <x:c r="K3204" s="2" t="str">
        <x:v>top_level_area</x:v>
      </x:c>
      <x:c r="L3204" s="2" t="str">
        <x:v>property_type_inferred_from_title;transaction_assumed_sale_from_dataset_context</x:v>
      </x:c>
      <x:c r="M3204" s="10" t="n">
        <x:v>0</x:v>
      </x:c>
      <x:c r="N3204" s="10" t="n">
        <x:v>0</x:v>
      </x:c>
      <x:c r="O3204" s="2" t="str">
        <x:v>land</x:v>
      </x:c>
      <x:c r="P3204" s="10" t="n">
        <x:v>2</x:v>
      </x:c>
      <x:c r="Q3204" s="13" t="n">
        <x:f>IF(H3204="","",H3204/1000000000)</x:f>
        <x:v>0.871</x:v>
      </x:c>
      <x:c r="R3204" s="13" t="n">
        <x:f>IF(I3204="","",I3204/1000000)</x:f>
        <x:v>6.5</x:v>
      </x:c>
    </x:row>
    <x:row r="3205" ht="21" customHeight="1">
      <x:c r="A3205" s="10" t="n">
        <x:v>4341</x:v>
      </x:c>
      <x:c r="B3205" s="2" t="str">
        <x:v>7ec9e7a9f45ca7ee6823</x:v>
      </x:c>
      <x:c r="C3205" s="2" t="str">
        <x:v>Hà Nội</x:v>
      </x:c>
      <x:c r="D3205" s="2" t="str">
        <x:v>Quận Hoàng Mai</x:v>
      </x:c>
      <x:c r="E3205" s="2" t="str">
        <x:v>house</x:v>
      </x:c>
      <x:c r="F3205" s="2" t="str">
        <x:v>sale</x:v>
      </x:c>
      <x:c r="G3205" s="11" t="n">
        <x:v>57</x:v>
      </x:c>
      <x:c r="H3205" s="12" t="n">
        <x:v>3850000000</x:v>
      </x:c>
      <x:c r="I3205" s="12" t="n">
        <x:v>67543859.6491228</x:v>
      </x:c>
      <x:c r="J3205" s="2" t="str">
        <x:v>total</x:v>
      </x:c>
      <x:c r="K3205" s="2" t="str">
        <x:v>top_level_area</x:v>
      </x:c>
      <x:c r="L3205" s="2" t="str">
        <x:v>property_type_inferred_from_title</x:v>
      </x:c>
      <x:c r="M3205" s="10" t="n">
        <x:v>0</x:v>
      </x:c>
      <x:c r="N3205" s="10" t="n">
        <x:v>0</x:v>
      </x:c>
      <x:c r="O3205" s="2" t="str">
        <x:v>Hà Nội|house</x:v>
      </x:c>
      <x:c r="P3205" s="10" t="n">
        <x:v>2</x:v>
      </x:c>
      <x:c r="Q3205" s="13" t="n">
        <x:f>IF(H3205="","",H3205/1000000000)</x:f>
        <x:v>3.85</x:v>
      </x:c>
      <x:c r="R3205" s="13" t="n">
        <x:f>IF(I3205="","",I3205/1000000)</x:f>
        <x:v>67.54385964912281</x:v>
      </x:c>
    </x:row>
    <x:row r="3206" ht="21" customHeight="1">
      <x:c r="A3206" s="10" t="n">
        <x:v>4342</x:v>
      </x:c>
      <x:c r="B3206" s="2" t="str">
        <x:v>849d3975c0bcfe6572fa</x:v>
      </x:c>
      <x:c r="C3206" s="2" t="str">
        <x:v>Hà Nội</x:v>
      </x:c>
      <x:c r="D3206" s="2" t="str">
        <x:v>Quận Đống Đa</x:v>
      </x:c>
      <x:c r="E3206" s="2" t="str">
        <x:v>house</x:v>
      </x:c>
      <x:c r="F3206" s="2" t="str">
        <x:v>sale</x:v>
      </x:c>
      <x:c r="G3206" s="11" t="n">
        <x:v>45</x:v>
      </x:c>
      <x:c r="H3206" s="12" t="n">
        <x:v>5500000000</x:v>
      </x:c>
      <x:c r="I3206" s="12" t="n">
        <x:v>122222222.22222222</x:v>
      </x:c>
      <x:c r="J3206" s="2" t="str">
        <x:v>total</x:v>
      </x:c>
      <x:c r="K3206" s="2" t="str">
        <x:v>top_level_area</x:v>
      </x:c>
      <x:c r="L3206" s="2" t="str">
        <x:v>property_type_inferred_from_title</x:v>
      </x:c>
      <x:c r="M3206" s="10" t="n">
        <x:v>0</x:v>
      </x:c>
      <x:c r="N3206" s="10" t="n">
        <x:v>0</x:v>
      </x:c>
      <x:c r="O3206" s="2" t="str">
        <x:v>Hà Nội|house</x:v>
      </x:c>
      <x:c r="P3206" s="10" t="n">
        <x:v>2</x:v>
      </x:c>
      <x:c r="Q3206" s="13" t="n">
        <x:f>IF(H3206="","",H3206/1000000000)</x:f>
        <x:v>5.5</x:v>
      </x:c>
      <x:c r="R3206" s="13" t="n">
        <x:f>IF(I3206="","",I3206/1000000)</x:f>
        <x:v>122.22222222222223</x:v>
      </x:c>
    </x:row>
    <x:row r="3207" ht="21" customHeight="1">
      <x:c r="A3207" s="10" t="n">
        <x:v>4343</x:v>
      </x:c>
      <x:c r="B3207" s="2" t="str">
        <x:v>45cdcfbb389845546f50</x:v>
      </x:c>
      <x:c r="C3207" s="2" t="str">
        <x:v>Hải Phòng</x:v>
      </x:c>
      <x:c r="D3207" s="2" t="str">
        <x:v>Quận Dương Kinh</x:v>
      </x:c>
      <x:c r="E3207" s="2" t="str">
        <x:v>land</x:v>
      </x:c>
      <x:c r="F3207" s="2" t="str">
        <x:v>sale_assumed</x:v>
      </x:c>
      <x:c r="G3207" s="11" t="n">
        <x:v>99</x:v>
      </x:c>
      <x:c r="H3207" s="12" t="n">
        <x:v>900000000</x:v>
      </x:c>
      <x:c r="I3207" s="12" t="n">
        <x:v>9090909.090909092</x:v>
      </x:c>
      <x:c r="J3207" s="2" t="str">
        <x:v>total</x:v>
      </x:c>
      <x:c r="K3207" s="2" t="str">
        <x:v>top_level_area</x:v>
      </x:c>
      <x:c r="L3207" s="2" t="str">
        <x:v>property_type_inferred_from_title;transaction_assumed_sale_from_dataset_context</x:v>
      </x:c>
      <x:c r="M3207" s="10" t="n">
        <x:v>0</x:v>
      </x:c>
      <x:c r="N3207" s="10" t="n">
        <x:v>0</x:v>
      </x:c>
      <x:c r="O3207" s="2" t="str">
        <x:v>land</x:v>
      </x:c>
      <x:c r="P3207" s="10" t="n">
        <x:v>2</x:v>
      </x:c>
      <x:c r="Q3207" s="13" t="n">
        <x:f>IF(H3207="","",H3207/1000000000)</x:f>
        <x:v>0.9</x:v>
      </x:c>
      <x:c r="R3207" s="13" t="n">
        <x:f>IF(I3207="","",I3207/1000000)</x:f>
        <x:v>9.090909090909092</x:v>
      </x:c>
    </x:row>
    <x:row r="3208" ht="21" customHeight="1">
      <x:c r="A3208" s="10" t="n">
        <x:v>4344</x:v>
      </x:c>
      <x:c r="B3208" s="2" t="str">
        <x:v>ff6899e32576aaca6c6c</x:v>
      </x:c>
      <x:c r="C3208" s="2" t="str">
        <x:v>Đà Nẵng</x:v>
      </x:c>
      <x:c r="D3208" s="2" t="str">
        <x:v>Quận Hải Châu</x:v>
      </x:c>
      <x:c r="E3208" s="2" t="str">
        <x:v>house</x:v>
      </x:c>
      <x:c r="F3208" s="2" t="str">
        <x:v>sale</x:v>
      </x:c>
      <x:c r="G3208" s="11" t="n">
        <x:v>58</x:v>
      </x:c>
      <x:c r="H3208" s="12" t="n">
        <x:v>4600000000</x:v>
      </x:c>
      <x:c r="I3208" s="12" t="n">
        <x:v>79310344.8275862</x:v>
      </x:c>
      <x:c r="J3208" s="2" t="str">
        <x:v>total</x:v>
      </x:c>
      <x:c r="K3208" s="2" t="str">
        <x:v>top_level_area</x:v>
      </x:c>
      <x:c r="L3208" s="2" t="str">
        <x:v>property_type_inferred_from_title</x:v>
      </x:c>
      <x:c r="M3208" s="10" t="n">
        <x:v>0</x:v>
      </x:c>
      <x:c r="N3208" s="10" t="n">
        <x:v>0</x:v>
      </x:c>
      <x:c r="O3208" s="2" t="str">
        <x:v>Đà Nẵng|house</x:v>
      </x:c>
      <x:c r="P3208" s="10" t="n">
        <x:v>2</x:v>
      </x:c>
      <x:c r="Q3208" s="13" t="n">
        <x:f>IF(H3208="","",H3208/1000000000)</x:f>
        <x:v>4.6</x:v>
      </x:c>
      <x:c r="R3208" s="13" t="n">
        <x:f>IF(I3208="","",I3208/1000000)</x:f>
        <x:v>79.3103448275862</x:v>
      </x:c>
    </x:row>
    <x:row r="3209" ht="21" customHeight="1">
      <x:c r="A3209" s="10" t="n">
        <x:v>4345</x:v>
      </x:c>
      <x:c r="B3209" s="2" t="str">
        <x:v>81880219a5d29715724b</x:v>
      </x:c>
      <x:c r="C3209" s="2" t="str">
        <x:v>Hà Nội</x:v>
      </x:c>
      <x:c r="D3209" s="2" t="str">
        <x:v>Quận Long Biên</x:v>
      </x:c>
      <x:c r="E3209" s="2" t="str">
        <x:v>land</x:v>
      </x:c>
      <x:c r="F3209" s="2" t="str">
        <x:v>sale_assumed</x:v>
      </x:c>
      <x:c r="G3209" s="11" t="n">
        <x:v>46</x:v>
      </x:c>
      <x:c r="H3209" s="12" t="n">
        <x:v>2650000000</x:v>
      </x:c>
      <x:c r="I3209" s="12" t="n">
        <x:v>57608695.652173914</x:v>
      </x:c>
      <x:c r="J3209" s="2" t="str">
        <x:v>total</x:v>
      </x:c>
      <x:c r="K3209" s="2" t="str">
        <x:v>top_level_area</x:v>
      </x:c>
      <x:c r="L3209" s="2" t="str">
        <x:v>property_type_inferred_from_title;transaction_assumed_sale_from_dataset_context</x:v>
      </x:c>
      <x:c r="M3209" s="10" t="n">
        <x:v>0</x:v>
      </x:c>
      <x:c r="N3209" s="10" t="n">
        <x:v>0</x:v>
      </x:c>
      <x:c r="O3209" s="2" t="str">
        <x:v>Hà Nội|land</x:v>
      </x:c>
      <x:c r="P3209" s="10" t="n">
        <x:v>2</x:v>
      </x:c>
      <x:c r="Q3209" s="13" t="n">
        <x:f>IF(H3209="","",H3209/1000000000)</x:f>
        <x:v>2.65</x:v>
      </x:c>
      <x:c r="R3209" s="13" t="n">
        <x:f>IF(I3209="","",I3209/1000000)</x:f>
        <x:v>57.608695652173914</x:v>
      </x:c>
    </x:row>
    <x:row r="3210" ht="21" customHeight="1">
      <x:c r="A3210" s="10" t="n">
        <x:v>4346</x:v>
      </x:c>
      <x:c r="B3210" s="2" t="str">
        <x:v>cb8e2448c9375a46a6e1</x:v>
      </x:c>
      <x:c r="C3210" s="2" t="str">
        <x:v>Cần Thơ</x:v>
      </x:c>
      <x:c r="D3210" s="2" t="str">
        <x:v>Quận Bình Thuỷ</x:v>
      </x:c>
      <x:c r="E3210" s="2" t="str">
        <x:v>land</x:v>
      </x:c>
      <x:c r="F3210" s="2" t="str">
        <x:v>sale_assumed</x:v>
      </x:c>
      <x:c r="G3210" s="11" t="n">
        <x:v>77</x:v>
      </x:c>
      <x:c r="H3210" s="12" t="n">
        <x:v>1595000000</x:v>
      </x:c>
      <x:c r="I3210" s="12" t="n">
        <x:v>20714285.714285713</x:v>
      </x:c>
      <x:c r="J3210" s="2" t="str">
        <x:v>total</x:v>
      </x:c>
      <x:c r="K3210" s="2" t="str">
        <x:v>top_level_area</x:v>
      </x:c>
      <x:c r="L3210" s="2" t="str">
        <x:v>property_type_inferred_from_title;transaction_assumed_sale_from_dataset_context</x:v>
      </x:c>
      <x:c r="M3210" s="10" t="n">
        <x:v>0</x:v>
      </x:c>
      <x:c r="N3210" s="10" t="n">
        <x:v>0</x:v>
      </x:c>
      <x:c r="O3210" s="2" t="str">
        <x:v>Cần Thơ|land</x:v>
      </x:c>
      <x:c r="P3210" s="10" t="n">
        <x:v>2</x:v>
      </x:c>
      <x:c r="Q3210" s="13" t="n">
        <x:f>IF(H3210="","",H3210/1000000000)</x:f>
        <x:v>1.595</x:v>
      </x:c>
      <x:c r="R3210" s="13" t="n">
        <x:f>IF(I3210="","",I3210/1000000)</x:f>
        <x:v>20.71428571428571</x:v>
      </x:c>
    </x:row>
    <x:row r="3211" ht="21" customHeight="1">
      <x:c r="A3211" s="10" t="n">
        <x:v>4347</x:v>
      </x:c>
      <x:c r="B3211" s="2" t="str">
        <x:v>a85554c4b5064b83b085</x:v>
      </x:c>
      <x:c r="C3211" s="2" t="str">
        <x:v>Vĩnh Long</x:v>
      </x:c>
      <x:c r="D3211" s="2" t="str">
        <x:v>Huyện Long Hồ</x:v>
      </x:c>
      <x:c r="E3211" s="2" t="str">
        <x:v>land</x:v>
      </x:c>
      <x:c r="F3211" s="2" t="str">
        <x:v>sale_assumed</x:v>
      </x:c>
      <x:c r="G3211" s="11" t="n">
        <x:v>830</x:v>
      </x:c>
      <x:c r="H3211" s="12" t="n">
        <x:v>1700000000</x:v>
      </x:c>
      <x:c r="I3211" s="12" t="n">
        <x:v>2048192.7710843373</x:v>
      </x:c>
      <x:c r="J3211" s="2" t="str">
        <x:v>total</x:v>
      </x:c>
      <x:c r="K3211" s="2" t="str">
        <x:v>top_level_area</x:v>
      </x:c>
      <x:c r="L3211" s="2" t="str">
        <x:v>property_type_inferred_from_title;transaction_assumed_sale_from_dataset_context</x:v>
      </x:c>
      <x:c r="M3211" s="10" t="n">
        <x:v>0</x:v>
      </x:c>
      <x:c r="N3211" s="10" t="n">
        <x:v>0</x:v>
      </x:c>
      <x:c r="O3211" s="2" t="str">
        <x:v>land</x:v>
      </x:c>
      <x:c r="P3211" s="10" t="n">
        <x:v>1</x:v>
      </x:c>
      <x:c r="Q3211" s="13" t="n">
        <x:f>IF(H3211="","",H3211/1000000000)</x:f>
        <x:v>1.7</x:v>
      </x:c>
      <x:c r="R3211" s="13" t="n">
        <x:f>IF(I3211="","",I3211/1000000)</x:f>
        <x:v>2.048192771084337</x:v>
      </x:c>
    </x:row>
    <x:row r="3212" ht="21" customHeight="1">
      <x:c r="A3212" s="10" t="n">
        <x:v>4348</x:v>
      </x:c>
      <x:c r="B3212" s="2" t="str">
        <x:v>39e4305fe799c3951c3e</x:v>
      </x:c>
      <x:c r="C3212" s="2" t="str">
        <x:v>Kiên Giang</x:v>
      </x:c>
      <x:c r="D3212" s="2" t="str">
        <x:v>Huyện Châu Thành</x:v>
      </x:c>
      <x:c r="E3212" s="2" t="str">
        <x:v>house</x:v>
      </x:c>
      <x:c r="F3212" s="2" t="str">
        <x:v>sale</x:v>
      </x:c>
      <x:c r="G3212" s="11" t="n">
        <x:v>130</x:v>
      </x:c>
      <x:c r="H3212" s="12" t="n">
        <x:v>1100000000</x:v>
      </x:c>
      <x:c r="I3212" s="12" t="n">
        <x:v>8461538.461538462</x:v>
      </x:c>
      <x:c r="J3212" s="2" t="str">
        <x:v>total</x:v>
      </x:c>
      <x:c r="K3212" s="2" t="str">
        <x:v>top_level_area</x:v>
      </x:c>
      <x:c r="L3212" s="2" t="str">
        <x:v>property_type_inferred_from_title</x:v>
      </x:c>
      <x:c r="M3212" s="10" t="n">
        <x:v>0</x:v>
      </x:c>
      <x:c r="N3212" s="10" t="n">
        <x:v>0</x:v>
      </x:c>
      <x:c r="O3212" s="2" t="str">
        <x:v>house</x:v>
      </x:c>
      <x:c r="P3212" s="10" t="n">
        <x:v>2</x:v>
      </x:c>
      <x:c r="Q3212" s="13" t="n">
        <x:f>IF(H3212="","",H3212/1000000000)</x:f>
        <x:v>1.1</x:v>
      </x:c>
      <x:c r="R3212" s="13" t="n">
        <x:f>IF(I3212="","",I3212/1000000)</x:f>
        <x:v>8.461538461538462</x:v>
      </x:c>
    </x:row>
    <x:row r="3213" ht="21" customHeight="1">
      <x:c r="A3213" s="10" t="n">
        <x:v>4349</x:v>
      </x:c>
      <x:c r="B3213" s="2" t="str">
        <x:v>2ca78b918639d2996be9</x:v>
      </x:c>
      <x:c r="C3213" s="2" t="str">
        <x:v>Hà Nội</x:v>
      </x:c>
      <x:c r="D3213" s="2" t="str">
        <x:v>Quận Đống Đa</x:v>
      </x:c>
      <x:c r="E3213" s="2" t="str">
        <x:v>house</x:v>
      </x:c>
      <x:c r="F3213" s="2" t="str">
        <x:v>sale</x:v>
      </x:c>
      <x:c r="G3213" s="11" t="n">
        <x:v>78</x:v>
      </x:c>
      <x:c r="H3213" s="12" t="n">
        <x:v>11700000000</x:v>
      </x:c>
      <x:c r="I3213" s="12" t="n">
        <x:v>150000000</x:v>
      </x:c>
      <x:c r="J3213" s="2" t="str">
        <x:v>total</x:v>
      </x:c>
      <x:c r="K3213" s="2" t="str">
        <x:v>top_level_area</x:v>
      </x:c>
      <x:c r="L3213" s="2" t="str">
        <x:v>property_type_inferred_from_title</x:v>
      </x:c>
      <x:c r="M3213" s="10" t="n">
        <x:v>0</x:v>
      </x:c>
      <x:c r="N3213" s="10" t="n">
        <x:v>0</x:v>
      </x:c>
      <x:c r="O3213" s="2" t="str">
        <x:v>Hà Nội|house</x:v>
      </x:c>
      <x:c r="P3213" s="10" t="n">
        <x:v>2</x:v>
      </x:c>
      <x:c r="Q3213" s="13" t="n">
        <x:f>IF(H3213="","",H3213/1000000000)</x:f>
        <x:v>11.7</x:v>
      </x:c>
      <x:c r="R3213" s="13" t="n">
        <x:f>IF(I3213="","",I3213/1000000)</x:f>
        <x:v>150</x:v>
      </x:c>
    </x:row>
    <x:row r="3214" ht="21" customHeight="1">
      <x:c r="A3214" s="10" t="n">
        <x:v>4350</x:v>
      </x:c>
      <x:c r="B3214" s="2" t="str">
        <x:v>a626f2279fd72f486872</x:v>
      </x:c>
      <x:c r="C3214" s="2" t="str">
        <x:v>Hải Phòng</x:v>
      </x:c>
      <x:c r="D3214" s="2" t="str">
        <x:v>Huyện An Dương</x:v>
      </x:c>
      <x:c r="E3214" s="2" t="str">
        <x:v>land</x:v>
      </x:c>
      <x:c r="F3214" s="2" t="str">
        <x:v>sale</x:v>
      </x:c>
      <x:c r="G3214" s="11" t="n">
        <x:v>55</x:v>
      </x:c>
      <x:c r="H3214" s="12" t="n">
        <x:v>970000000</x:v>
      </x:c>
      <x:c r="I3214" s="12" t="n">
        <x:v>17636363.636363637</x:v>
      </x:c>
      <x:c r="J3214" s="2" t="str">
        <x:v>total</x:v>
      </x:c>
      <x:c r="K3214" s="2" t="str">
        <x:v>top_level_area</x:v>
      </x:c>
      <x:c r="L3214" s="2" t="str">
        <x:v>property_type_inferred_from_title</x:v>
      </x:c>
      <x:c r="M3214" s="10" t="n">
        <x:v>0</x:v>
      </x:c>
      <x:c r="N3214" s="10" t="n">
        <x:v>0</x:v>
      </x:c>
      <x:c r="O3214" s="2" t="str">
        <x:v>land</x:v>
      </x:c>
      <x:c r="P3214" s="10" t="n">
        <x:v>2</x:v>
      </x:c>
      <x:c r="Q3214" s="13" t="n">
        <x:f>IF(H3214="","",H3214/1000000000)</x:f>
        <x:v>0.97</x:v>
      </x:c>
      <x:c r="R3214" s="13" t="n">
        <x:f>IF(I3214="","",I3214/1000000)</x:f>
        <x:v>17.636363636363637</x:v>
      </x:c>
    </x:row>
    <x:row r="3215" ht="21" customHeight="1">
      <x:c r="A3215" s="10" t="n">
        <x:v>4351</x:v>
      </x:c>
      <x:c r="B3215" s="2" t="str">
        <x:v>fc43e0bd1c4e09f258de</x:v>
      </x:c>
      <x:c r="C3215" s="2" t="str">
        <x:v>Đồng Nai</x:v>
      </x:c>
      <x:c r="D3215" s="2" t="str">
        <x:v>Thành phố Biên Hòa</x:v>
      </x:c>
      <x:c r="E3215" s="2" t="str">
        <x:v>house</x:v>
      </x:c>
      <x:c r="F3215" s="2" t="str">
        <x:v>sale</x:v>
      </x:c>
      <x:c r="G3215" s="11" t="n">
        <x:v>105</x:v>
      </x:c>
      <x:c r="H3215" s="12" t="n">
        <x:v>1450000000</x:v>
      </x:c>
      <x:c r="I3215" s="12" t="n">
        <x:v>13809523.80952381</x:v>
      </x:c>
      <x:c r="J3215" s="2" t="str">
        <x:v>total</x:v>
      </x:c>
      <x:c r="K3215" s="2" t="str">
        <x:v>top_level_price_embedded_area</x:v>
      </x:c>
      <x:c r="L3215" s="2" t="str">
        <x:v>area_recovered_from_price_text;property_type_inferred_from_title</x:v>
      </x:c>
      <x:c r="M3215" s="10" t="n">
        <x:v>0</x:v>
      </x:c>
      <x:c r="N3215" s="10" t="n">
        <x:v>0</x:v>
      </x:c>
      <x:c r="O3215" s="2" t="str">
        <x:v>Đồng Nai|house</x:v>
      </x:c>
      <x:c r="P3215" s="10" t="n">
        <x:v>2</x:v>
      </x:c>
      <x:c r="Q3215" s="13" t="n">
        <x:f>IF(H3215="","",H3215/1000000000)</x:f>
        <x:v>1.45</x:v>
      </x:c>
      <x:c r="R3215" s="13" t="n">
        <x:f>IF(I3215="","",I3215/1000000)</x:f>
        <x:v>13.80952380952381</x:v>
      </x:c>
    </x:row>
    <x:row r="3216" ht="21" customHeight="1">
      <x:c r="A3216" s="10" t="n">
        <x:v>4352</x:v>
      </x:c>
      <x:c r="B3216" s="2" t="str">
        <x:v>cdf7fedc995e8330f1db</x:v>
      </x:c>
      <x:c r="C3216" s="2" t="str">
        <x:v>Tp Hồ Chí Minh</x:v>
      </x:c>
      <x:c r="D3216" s="2" t="str">
        <x:v>Quận Phú Nhuận</x:v>
      </x:c>
      <x:c r="E3216" s="2" t="str">
        <x:v>house</x:v>
      </x:c>
      <x:c r="F3216" s="2" t="str">
        <x:v>sale</x:v>
      </x:c>
      <x:c r="G3216" s="11" t="n">
        <x:v>45.6</x:v>
      </x:c>
      <x:c r="H3216" s="12" t="n">
        <x:v>2280000000</x:v>
      </x:c>
      <x:c r="I3216" s="12" t="n">
        <x:v>50000000</x:v>
      </x:c>
      <x:c r="J3216" s="2" t="str">
        <x:v>total</x:v>
      </x:c>
      <x:c r="K3216" s="2" t="str">
        <x:v>top_level_area</x:v>
      </x:c>
      <x:c r="L3216" s="2" t="str">
        <x:v>property_type_inferred_from_title</x:v>
      </x:c>
      <x:c r="M3216" s="10" t="n">
        <x:v>0</x:v>
      </x:c>
      <x:c r="N3216" s="10" t="n">
        <x:v>0</x:v>
      </x:c>
      <x:c r="O3216" s="2" t="str">
        <x:v>Tp Hồ Chí Minh|house</x:v>
      </x:c>
      <x:c r="P3216" s="10" t="n">
        <x:v>2</x:v>
      </x:c>
      <x:c r="Q3216" s="13" t="n">
        <x:f>IF(H3216="","",H3216/1000000000)</x:f>
        <x:v>2.28</x:v>
      </x:c>
      <x:c r="R3216" s="13" t="n">
        <x:f>IF(I3216="","",I3216/1000000)</x:f>
        <x:v>50</x:v>
      </x:c>
    </x:row>
    <x:row r="3217" ht="21" customHeight="1">
      <x:c r="A3217" s="10" t="n">
        <x:v>4353</x:v>
      </x:c>
      <x:c r="B3217" s="2" t="str">
        <x:v>2cf878955be25664c353</x:v>
      </x:c>
      <x:c r="C3217" s="2" t="str">
        <x:v>Tp Hồ Chí Minh</x:v>
      </x:c>
      <x:c r="D3217" s="2" t="str">
        <x:v>Quận Tân Bình</x:v>
      </x:c>
      <x:c r="E3217" s="2" t="str">
        <x:v>apartment</x:v>
      </x:c>
      <x:c r="F3217" s="2" t="str">
        <x:v>sale_assumed</x:v>
      </x:c>
      <x:c r="G3217" s="11" t="n">
        <x:v>81</x:v>
      </x:c>
      <x:c r="H3217" s="12" t="n">
        <x:v>3600000000</x:v>
      </x:c>
      <x:c r="I3217" s="12" t="n">
        <x:v>44444444.44444445</x:v>
      </x:c>
      <x:c r="J3217" s="2" t="str">
        <x:v>total</x:v>
      </x:c>
      <x:c r="K3217" s="2" t="str">
        <x:v>top_level_area</x:v>
      </x:c>
      <x:c r="L3217" s="2" t="str">
        <x:v>property_type_inferred_from_title;transaction_assumed_sale_from_dataset_context</x:v>
      </x:c>
      <x:c r="M3217" s="10" t="n">
        <x:v>0</x:v>
      </x:c>
      <x:c r="N3217" s="10" t="n">
        <x:v>0</x:v>
      </x:c>
      <x:c r="O3217" s="2" t="str">
        <x:v>Tp Hồ Chí Minh|apartment</x:v>
      </x:c>
      <x:c r="P3217" s="10" t="n">
        <x:v>2</x:v>
      </x:c>
      <x:c r="Q3217" s="13" t="n">
        <x:f>IF(H3217="","",H3217/1000000000)</x:f>
        <x:v>3.6</x:v>
      </x:c>
      <x:c r="R3217" s="13" t="n">
        <x:f>IF(I3217="","",I3217/1000000)</x:f>
        <x:v>44.44444444444445</x:v>
      </x:c>
    </x:row>
    <x:row r="3218" ht="21" customHeight="1">
      <x:c r="A3218" s="10" t="n">
        <x:v>4354</x:v>
      </x:c>
      <x:c r="B3218" s="2" t="str">
        <x:v>0b978097fb5b46decd3d</x:v>
      </x:c>
      <x:c r="C3218" s="2" t="str">
        <x:v>Hà Nội</x:v>
      </x:c>
      <x:c r="D3218" s="2" t="str">
        <x:v>Quận Hoàng Mai</x:v>
      </x:c>
      <x:c r="E3218" s="2" t="str">
        <x:v>other_unknown</x:v>
      </x:c>
      <x:c r="F3218" s="2" t="str">
        <x:v>sale_assumed</x:v>
      </x:c>
      <x:c r="G3218" s="11" t="n">
        <x:v>50</x:v>
      </x:c>
      <x:c r="H3218" s="12" t="n">
        <x:v>14900000000</x:v>
      </x:c>
      <x:c r="I3218" s="12" t="n">
        <x:v>298000000</x:v>
      </x:c>
      <x:c r="J3218" s="2" t="str">
        <x:v>total</x:v>
      </x:c>
      <x:c r="K3218" s="2" t="str">
        <x:v>top_level_area</x:v>
      </x:c>
      <x:c r="L3218" s="2" t="str">
        <x:v>property_type_inferred_from_title;transaction_assumed_sale_from_dataset_context;unknown_property_type</x:v>
      </x:c>
      <x:c r="M3218" s="10" t="n">
        <x:v>1</x:v>
      </x:c>
      <x:c r="N3218" s="10" t="n">
        <x:v>1</x:v>
      </x:c>
      <x:c r="O3218" s="2" t="str">
        <x:v>Hà Nội|other_unknown</x:v>
      </x:c>
      <x:c r="P3218" s="10" t="n">
        <x:v>-1</x:v>
      </x:c>
      <x:c r="Q3218" s="13" t="n">
        <x:f>IF(H3218="","",H3218/1000000000)</x:f>
        <x:v>14.9</x:v>
      </x:c>
      <x:c r="R3218" s="13" t="n">
        <x:f>IF(I3218="","",I3218/1000000)</x:f>
        <x:v>298</x:v>
      </x:c>
    </x:row>
    <x:row r="3219" ht="21" customHeight="1">
      <x:c r="A3219" s="10" t="n">
        <x:v>4355</x:v>
      </x:c>
      <x:c r="B3219" s="2" t="str">
        <x:v>ce31d4370720443b8129</x:v>
      </x:c>
      <x:c r="C3219" s="2" t="str">
        <x:v>Đà Nẵng</x:v>
      </x:c>
      <x:c r="D3219" s="2" t="str">
        <x:v>Quận Liên Chiểu</x:v>
      </x:c>
      <x:c r="E3219" s="2" t="str">
        <x:v>house</x:v>
      </x:c>
      <x:c r="F3219" s="2" t="str">
        <x:v>sale</x:v>
      </x:c>
      <x:c r="G3219" s="11" t="n">
        <x:v>100</x:v>
      </x:c>
      <x:c r="H3219" s="12" t="n">
        <x:v>5800000000</x:v>
      </x:c>
      <x:c r="I3219" s="12" t="n">
        <x:v>58000000</x:v>
      </x:c>
      <x:c r="J3219" s="2" t="str">
        <x:v>total</x:v>
      </x:c>
      <x:c r="K3219" s="2" t="str">
        <x:v>top_level_area</x:v>
      </x:c>
      <x:c r="L3219" s="2" t="str">
        <x:v>property_type_inferred_from_title</x:v>
      </x:c>
      <x:c r="M3219" s="10" t="n">
        <x:v>0</x:v>
      </x:c>
      <x:c r="N3219" s="10" t="n">
        <x:v>0</x:v>
      </x:c>
      <x:c r="O3219" s="2" t="str">
        <x:v>Đà Nẵng|house</x:v>
      </x:c>
      <x:c r="P3219" s="10" t="n">
        <x:v>2</x:v>
      </x:c>
      <x:c r="Q3219" s="13" t="n">
        <x:f>IF(H3219="","",H3219/1000000000)</x:f>
        <x:v>5.8</x:v>
      </x:c>
      <x:c r="R3219" s="13" t="n">
        <x:f>IF(I3219="","",I3219/1000000)</x:f>
        <x:v>58</x:v>
      </x:c>
    </x:row>
    <x:row r="3220" ht="21" customHeight="1">
      <x:c r="A3220" s="10" t="n">
        <x:v>4356</x:v>
      </x:c>
      <x:c r="B3220" s="2" t="str">
        <x:v>663830c595b50a6cf5cc</x:v>
      </x:c>
      <x:c r="C3220" s="2" t="str">
        <x:v>Tp Hồ Chí Minh</x:v>
      </x:c>
      <x:c r="D3220" s="2" t="str">
        <x:v>Quận 2</x:v>
      </x:c>
      <x:c r="E3220" s="2" t="str">
        <x:v>house</x:v>
      </x:c>
      <x:c r="F3220" s="2" t="str">
        <x:v>sale</x:v>
      </x:c>
      <x:c r="G3220" s="11" t="n">
        <x:v>60</x:v>
      </x:c>
      <x:c r="H3220" s="12" t="n">
        <x:v>1850000000</x:v>
      </x:c>
      <x:c r="I3220" s="12" t="n">
        <x:v>30833333.333333332</x:v>
      </x:c>
      <x:c r="J3220" s="2" t="str">
        <x:v>total</x:v>
      </x:c>
      <x:c r="K3220" s="2" t="str">
        <x:v>top_level_area</x:v>
      </x:c>
      <x:c r="L3220" s="2" t="str">
        <x:v>property_type_inferred_from_title</x:v>
      </x:c>
      <x:c r="M3220" s="10" t="n">
        <x:v>0</x:v>
      </x:c>
      <x:c r="N3220" s="10" t="n">
        <x:v>0</x:v>
      </x:c>
      <x:c r="O3220" s="2" t="str">
        <x:v>Tp Hồ Chí Minh|house</x:v>
      </x:c>
      <x:c r="P3220" s="10" t="n">
        <x:v>2</x:v>
      </x:c>
      <x:c r="Q3220" s="13" t="n">
        <x:f>IF(H3220="","",H3220/1000000000)</x:f>
        <x:v>1.85</x:v>
      </x:c>
      <x:c r="R3220" s="13" t="n">
        <x:f>IF(I3220="","",I3220/1000000)</x:f>
        <x:v>30.833333333333332</x:v>
      </x:c>
    </x:row>
    <x:row r="3221" ht="21" customHeight="1">
      <x:c r="A3221" s="10" t="n">
        <x:v>4357</x:v>
      </x:c>
      <x:c r="B3221" s="2" t="str">
        <x:v>f1358a6ec4da9417488a</x:v>
      </x:c>
      <x:c r="C3221" s="2" t="str">
        <x:v>Tp Hồ Chí Minh</x:v>
      </x:c>
      <x:c r="D3221" s="2" t="str">
        <x:v>Quận Bình Thạnh</x:v>
      </x:c>
      <x:c r="E3221" s="2" t="str">
        <x:v>land</x:v>
      </x:c>
      <x:c r="F3221" s="2" t="str">
        <x:v>sale_assumed</x:v>
      </x:c>
      <x:c r="G3221" s="11" t="n">
        <x:v>90</x:v>
      </x:c>
      <x:c r="H3221" s="12" t="n">
        <x:v>7700000000</x:v>
      </x:c>
      <x:c r="I3221" s="12" t="n">
        <x:v>85555555.55555555</x:v>
      </x:c>
      <x:c r="J3221" s="2" t="str">
        <x:v>total</x:v>
      </x:c>
      <x:c r="K3221" s="2" t="str">
        <x:v>top_level_area</x:v>
      </x:c>
      <x:c r="L3221" s="2" t="str">
        <x:v>property_type_inferred_from_title;transaction_assumed_sale_from_dataset_context</x:v>
      </x:c>
      <x:c r="M3221" s="10" t="n">
        <x:v>0</x:v>
      </x:c>
      <x:c r="N3221" s="10" t="n">
        <x:v>0</x:v>
      </x:c>
      <x:c r="O3221" s="2" t="str">
        <x:v>Tp Hồ Chí Minh|land</x:v>
      </x:c>
      <x:c r="P3221" s="10" t="n">
        <x:v>2</x:v>
      </x:c>
      <x:c r="Q3221" s="13" t="n">
        <x:f>IF(H3221="","",H3221/1000000000)</x:f>
        <x:v>7.7</x:v>
      </x:c>
      <x:c r="R3221" s="13" t="n">
        <x:f>IF(I3221="","",I3221/1000000)</x:f>
        <x:v>85.55555555555556</x:v>
      </x:c>
    </x:row>
    <x:row r="3222" ht="21" customHeight="1">
      <x:c r="A3222" s="10" t="n">
        <x:v>4359</x:v>
      </x:c>
      <x:c r="B3222" s="2" t="str">
        <x:v>c91d534f25d7a2add66e</x:v>
      </x:c>
      <x:c r="C3222" s="2" t="str">
        <x:v>Cần Thơ</x:v>
      </x:c>
      <x:c r="D3222" s="2" t="str">
        <x:v>Quận Ninh Kiều</x:v>
      </x:c>
      <x:c r="E3222" s="2" t="str">
        <x:v>house</x:v>
      </x:c>
      <x:c r="F3222" s="2" t="str">
        <x:v>sale_assumed</x:v>
      </x:c>
      <x:c r="G3222" s="11" t="n">
        <x:v>70</x:v>
      </x:c>
      <x:c r="H3222" s="12" t="n">
        <x:v>4090000000</x:v>
      </x:c>
      <x:c r="I3222" s="12" t="n">
        <x:v>58428571.428571425</x:v>
      </x:c>
      <x:c r="J3222" s="2" t="str">
        <x:v>total</x:v>
      </x:c>
      <x:c r="K3222" s="2" t="str">
        <x:v>top_level_area</x:v>
      </x:c>
      <x:c r="L3222" s="2" t="str">
        <x:v>property_type_inferred_from_title;transaction_assumed_sale_from_dataset_context</x:v>
      </x:c>
      <x:c r="M3222" s="10" t="n">
        <x:v>0</x:v>
      </x:c>
      <x:c r="N3222" s="10" t="n">
        <x:v>0</x:v>
      </x:c>
      <x:c r="O3222" s="2" t="str">
        <x:v>Cần Thơ|house</x:v>
      </x:c>
      <x:c r="P3222" s="10" t="n">
        <x:v>2</x:v>
      </x:c>
      <x:c r="Q3222" s="13" t="n">
        <x:f>IF(H3222="","",H3222/1000000000)</x:f>
        <x:v>4.09</x:v>
      </x:c>
      <x:c r="R3222" s="13" t="n">
        <x:f>IF(I3222="","",I3222/1000000)</x:f>
        <x:v>58.42857142857142</x:v>
      </x:c>
    </x:row>
    <x:row r="3223" ht="21" customHeight="1">
      <x:c r="A3223" s="10" t="n">
        <x:v>4363</x:v>
      </x:c>
      <x:c r="B3223" s="2" t="str">
        <x:v>33deb49e9787a8e8217e</x:v>
      </x:c>
      <x:c r="C3223" s="2" t="str">
        <x:v>Bình Dương</x:v>
      </x:c>
      <x:c r="D3223" s="2" t="str">
        <x:v>Huyện Bàu Bàng</x:v>
      </x:c>
      <x:c r="E3223" s="2" t="str">
        <x:v>land</x:v>
      </x:c>
      <x:c r="F3223" s="2" t="str">
        <x:v>sale_assumed</x:v>
      </x:c>
      <x:c r="G3223" s="11" t="n">
        <x:v>625</x:v>
      </x:c>
      <x:c r="H3223" s="12" t="n">
        <x:v>3100000000</x:v>
      </x:c>
      <x:c r="I3223" s="12" t="n">
        <x:v>4960000</x:v>
      </x:c>
      <x:c r="J3223" s="2" t="str">
        <x:v>total</x:v>
      </x:c>
      <x:c r="K3223" s="2" t="str">
        <x:v>top_level_area</x:v>
      </x:c>
      <x:c r="L3223" s="2" t="str">
        <x:v>property_type_inferred_from_title;transaction_assumed_sale_from_dataset_context</x:v>
      </x:c>
      <x:c r="M3223" s="10" t="n">
        <x:v>0</x:v>
      </x:c>
      <x:c r="N3223" s="10" t="n">
        <x:v>0</x:v>
      </x:c>
      <x:c r="O3223" s="2" t="str">
        <x:v>Bình Dương|land</x:v>
      </x:c>
      <x:c r="P3223" s="10" t="n">
        <x:v>1</x:v>
      </x:c>
      <x:c r="Q3223" s="13" t="n">
        <x:f>IF(H3223="","",H3223/1000000000)</x:f>
        <x:v>3.1</x:v>
      </x:c>
      <x:c r="R3223" s="13" t="n">
        <x:f>IF(I3223="","",I3223/1000000)</x:f>
        <x:v>4.96</x:v>
      </x:c>
    </x:row>
    <x:row r="3224" ht="21" customHeight="1">
      <x:c r="A3224" s="10" t="n">
        <x:v>4364</x:v>
      </x:c>
      <x:c r="B3224" s="2" t="str">
        <x:v>655aa0cc66ab85020355</x:v>
      </x:c>
      <x:c r="C3224" s="2" t="str">
        <x:v>Tp Hồ Chí Minh</x:v>
      </x:c>
      <x:c r="D3224" s="2" t="str">
        <x:v>Quận Bình Tân</x:v>
      </x:c>
      <x:c r="E3224" s="2" t="str">
        <x:v>house</x:v>
      </x:c>
      <x:c r="F3224" s="2" t="str">
        <x:v>sale_assumed</x:v>
      </x:c>
      <x:c r="G3224" s="11" t="n">
        <x:v>54</x:v>
      </x:c>
      <x:c r="H3224" s="12" t="n">
        <x:v>1450000000</x:v>
      </x:c>
      <x:c r="I3224" s="12" t="n">
        <x:v>26851851.85185185</x:v>
      </x:c>
      <x:c r="J3224" s="2" t="str">
        <x:v>total</x:v>
      </x:c>
      <x:c r="K3224" s="2" t="str">
        <x:v>top_level_area</x:v>
      </x:c>
      <x:c r="L3224" s="2" t="str">
        <x:v>property_type_inferred_from_title;transaction_assumed_sale_from_dataset_context</x:v>
      </x:c>
      <x:c r="M3224" s="10" t="n">
        <x:v>0</x:v>
      </x:c>
      <x:c r="N3224" s="10" t="n">
        <x:v>0</x:v>
      </x:c>
      <x:c r="O3224" s="2" t="str">
        <x:v>Tp Hồ Chí Minh|house</x:v>
      </x:c>
      <x:c r="P3224" s="10" t="n">
        <x:v>2</x:v>
      </x:c>
      <x:c r="Q3224" s="13" t="n">
        <x:f>IF(H3224="","",H3224/1000000000)</x:f>
        <x:v>1.45</x:v>
      </x:c>
      <x:c r="R3224" s="13" t="n">
        <x:f>IF(I3224="","",I3224/1000000)</x:f>
        <x:v>26.85185185185185</x:v>
      </x:c>
    </x:row>
    <x:row r="3225" ht="21" customHeight="1">
      <x:c r="A3225" s="10" t="n">
        <x:v>4365</x:v>
      </x:c>
      <x:c r="B3225" s="2" t="str">
        <x:v>5c5970cb1348f8abec2b</x:v>
      </x:c>
      <x:c r="C3225" s="2" t="str">
        <x:v>Tp Hồ Chí Minh</x:v>
      </x:c>
      <x:c r="D3225" s="2" t="str">
        <x:v>Huyện Cần Giờ</x:v>
      </x:c>
      <x:c r="E3225" s="2" t="str">
        <x:v>land</x:v>
      </x:c>
      <x:c r="F3225" s="2" t="str">
        <x:v>sale</x:v>
      </x:c>
      <x:c r="G3225" s="11" t="n">
        <x:v>1939</x:v>
      </x:c>
      <x:c r="H3225" s="12" t="n">
        <x:v>1700000000</x:v>
      </x:c>
      <x:c r="I3225" s="12" t="n">
        <x:v>876740.5879319237</x:v>
      </x:c>
      <x:c r="J3225" s="2" t="str">
        <x:v>total</x:v>
      </x:c>
      <x:c r="K3225" s="2" t="str">
        <x:v>top_level_area</x:v>
      </x:c>
      <x:c r="L3225" s="2" t="str">
        <x:v>dot_thousands_convention;property_type_inferred_from_title</x:v>
      </x:c>
      <x:c r="M3225" s="10" t="n">
        <x:v>0</x:v>
      </x:c>
      <x:c r="N3225" s="10" t="n">
        <x:v>0</x:v>
      </x:c>
      <x:c r="O3225" s="2" t="str">
        <x:v>Tp Hồ Chí Minh|land</x:v>
      </x:c>
      <x:c r="P3225" s="10" t="n">
        <x:v>1</x:v>
      </x:c>
      <x:c r="Q3225" s="13" t="n">
        <x:f>IF(H3225="","",H3225/1000000000)</x:f>
        <x:v>1.7</x:v>
      </x:c>
      <x:c r="R3225" s="13" t="n">
        <x:f>IF(I3225="","",I3225/1000000)</x:f>
        <x:v>0.8767405879319237</x:v>
      </x:c>
    </x:row>
    <x:row r="3226" ht="21" customHeight="1">
      <x:c r="A3226" s="10" t="n">
        <x:v>4366</x:v>
      </x:c>
      <x:c r="B3226" s="2" t="str">
        <x:v>656d8f9b4d38f981aee6</x:v>
      </x:c>
      <x:c r="C3226" s="2" t="str">
        <x:v>Khánh Hòa</x:v>
      </x:c>
      <x:c r="D3226" s="2" t="str">
        <x:v>Thành phố Nha Trang</x:v>
      </x:c>
      <x:c r="E3226" s="2" t="str">
        <x:v>house</x:v>
      </x:c>
      <x:c r="F3226" s="2" t="str">
        <x:v>sale_assumed</x:v>
      </x:c>
      <x:c r="G3226" s="11" t="n">
        <x:v>43</x:v>
      </x:c>
      <x:c r="H3226" s="12" t="n">
        <x:v>1400000000</x:v>
      </x:c>
      <x:c r="I3226" s="12" t="n">
        <x:v>32558139.534883723</x:v>
      </x:c>
      <x:c r="J3226" s="2" t="str">
        <x:v>total</x:v>
      </x:c>
      <x:c r="K3226" s="2" t="str">
        <x:v>top_level_area</x:v>
      </x:c>
      <x:c r="L3226" s="2" t="str">
        <x:v>property_type_inferred_from_title;transaction_assumed_sale_from_dataset_context</x:v>
      </x:c>
      <x:c r="M3226" s="10" t="n">
        <x:v>0</x:v>
      </x:c>
      <x:c r="N3226" s="10" t="n">
        <x:v>0</x:v>
      </x:c>
      <x:c r="O3226" s="2" t="str">
        <x:v>Khánh Hòa|house</x:v>
      </x:c>
      <x:c r="P3226" s="10" t="n">
        <x:v>2</x:v>
      </x:c>
      <x:c r="Q3226" s="13" t="n">
        <x:f>IF(H3226="","",H3226/1000000000)</x:f>
        <x:v>1.4</x:v>
      </x:c>
      <x:c r="R3226" s="13" t="n">
        <x:f>IF(I3226="","",I3226/1000000)</x:f>
        <x:v>32.55813953488372</x:v>
      </x:c>
    </x:row>
    <x:row r="3227" ht="21" customHeight="1">
      <x:c r="A3227" s="10" t="n">
        <x:v>4367</x:v>
      </x:c>
      <x:c r="B3227" s="2" t="str">
        <x:v>40f61da69d05ae45b48e</x:v>
      </x:c>
      <x:c r="C3227" s="2" t="str">
        <x:v>Tp Hồ Chí Minh</x:v>
      </x:c>
      <x:c r="D3227" s="2" t="str">
        <x:v>Quận 11</x:v>
      </x:c>
      <x:c r="E3227" s="2" t="str">
        <x:v>house</x:v>
      </x:c>
      <x:c r="F3227" s="2" t="str">
        <x:v>sale</x:v>
      </x:c>
      <x:c r="G3227" s="11" t="n">
        <x:v>70</x:v>
      </x:c>
      <x:c r="H3227" s="12" t="n">
        <x:v>6250000000</x:v>
      </x:c>
      <x:c r="I3227" s="12" t="n">
        <x:v>89285714.28571428</x:v>
      </x:c>
      <x:c r="J3227" s="2" t="str">
        <x:v>total</x:v>
      </x:c>
      <x:c r="K3227" s="2" t="str">
        <x:v>top_level_area</x:v>
      </x:c>
      <x:c r="L3227" s="2" t="str">
        <x:v>property_type_inferred_from_title</x:v>
      </x:c>
      <x:c r="M3227" s="10" t="n">
        <x:v>0</x:v>
      </x:c>
      <x:c r="N3227" s="10" t="n">
        <x:v>0</x:v>
      </x:c>
      <x:c r="O3227" s="2" t="str">
        <x:v>Tp Hồ Chí Minh|house</x:v>
      </x:c>
      <x:c r="P3227" s="10" t="n">
        <x:v>2</x:v>
      </x:c>
      <x:c r="Q3227" s="13" t="n">
        <x:f>IF(H3227="","",H3227/1000000000)</x:f>
        <x:v>6.25</x:v>
      </x:c>
      <x:c r="R3227" s="13" t="n">
        <x:f>IF(I3227="","",I3227/1000000)</x:f>
        <x:v>89.28571428571428</x:v>
      </x:c>
    </x:row>
    <x:row r="3228" ht="21" customHeight="1">
      <x:c r="A3228" s="10" t="n">
        <x:v>4368</x:v>
      </x:c>
      <x:c r="B3228" s="2" t="str">
        <x:v>885efae3726e04c66490</x:v>
      </x:c>
      <x:c r="C3228" s="2" t="str">
        <x:v>Hà Nội</x:v>
      </x:c>
      <x:c r="D3228" s="2" t="str">
        <x:v>Quận Cầu Giấy</x:v>
      </x:c>
      <x:c r="E3228" s="2" t="str">
        <x:v>house</x:v>
      </x:c>
      <x:c r="F3228" s="2" t="str">
        <x:v>sale</x:v>
      </x:c>
      <x:c r="G3228" s="11" t="n">
        <x:v>42</x:v>
      </x:c>
      <x:c r="H3228" s="12" t="n">
        <x:v>8300000000.000001</x:v>
      </x:c>
      <x:c r="I3228" s="12" t="n">
        <x:v>197619047.61904764</x:v>
      </x:c>
      <x:c r="J3228" s="2" t="str">
        <x:v>total</x:v>
      </x:c>
      <x:c r="K3228" s="2" t="str">
        <x:v>top_level_area</x:v>
      </x:c>
      <x:c r="L3228" s="2" t="str">
        <x:v>property_type_inferred_from_title</x:v>
      </x:c>
      <x:c r="M3228" s="10" t="n">
        <x:v>1</x:v>
      </x:c>
      <x:c r="N3228" s="10" t="n">
        <x:v>1</x:v>
      </x:c>
      <x:c r="O3228" s="2" t="str">
        <x:v>Hà Nội|house</x:v>
      </x:c>
      <x:c r="P3228" s="10" t="n">
        <x:v>-1</x:v>
      </x:c>
      <x:c r="Q3228" s="13" t="n">
        <x:f>IF(H3228="","",H3228/1000000000)</x:f>
        <x:v>8.3</x:v>
      </x:c>
      <x:c r="R3228" s="13" t="n">
        <x:f>IF(I3228="","",I3228/1000000)</x:f>
        <x:v>197.61904761904765</x:v>
      </x:c>
    </x:row>
    <x:row r="3229" ht="21" customHeight="1">
      <x:c r="A3229" s="10" t="n">
        <x:v>4369</x:v>
      </x:c>
      <x:c r="B3229" s="2" t="str">
        <x:v>5896d9ffb7aa4dfa9548</x:v>
      </x:c>
      <x:c r="C3229" s="2" t="str">
        <x:v>Hà Nội</x:v>
      </x:c>
      <x:c r="D3229" s="2" t="str">
        <x:v>Quận Hai Bà Trưng</x:v>
      </x:c>
      <x:c r="E3229" s="2" t="str">
        <x:v>house</x:v>
      </x:c>
      <x:c r="F3229" s="2" t="str">
        <x:v>sale_assumed</x:v>
      </x:c>
      <x:c r="G3229" s="11" t="n">
        <x:v>31</x:v>
      </x:c>
      <x:c r="H3229" s="12" t="n">
        <x:v>3350000000</x:v>
      </x:c>
      <x:c r="I3229" s="12" t="n">
        <x:v>108064516.12903225</x:v>
      </x:c>
      <x:c r="J3229" s="2" t="str">
        <x:v>total</x:v>
      </x:c>
      <x:c r="K3229" s="2" t="str">
        <x:v>top_level_area</x:v>
      </x:c>
      <x:c r="L3229" s="2" t="str">
        <x:v>property_type_inferred_from_title;transaction_assumed_sale_from_dataset_context</x:v>
      </x:c>
      <x:c r="M3229" s="10" t="n">
        <x:v>0</x:v>
      </x:c>
      <x:c r="N3229" s="10" t="n">
        <x:v>0</x:v>
      </x:c>
      <x:c r="O3229" s="2" t="str">
        <x:v>Hà Nội|house</x:v>
      </x:c>
      <x:c r="P3229" s="10" t="n">
        <x:v>2</x:v>
      </x:c>
      <x:c r="Q3229" s="13" t="n">
        <x:f>IF(H3229="","",H3229/1000000000)</x:f>
        <x:v>3.35</x:v>
      </x:c>
      <x:c r="R3229" s="13" t="n">
        <x:f>IF(I3229="","",I3229/1000000)</x:f>
        <x:v>108.06451612903226</x:v>
      </x:c>
    </x:row>
    <x:row r="3230" ht="21" customHeight="1">
      <x:c r="A3230" s="10" t="n">
        <x:v>4370</x:v>
      </x:c>
      <x:c r="B3230" s="2" t="str">
        <x:v>3db5f01f0a8c6138d8a9</x:v>
      </x:c>
      <x:c r="C3230" s="2" t="str">
        <x:v>Hà Nội</x:v>
      </x:c>
      <x:c r="D3230" s="2" t="str">
        <x:v>Quận Thanh Xuân</x:v>
      </x:c>
      <x:c r="E3230" s="2" t="str">
        <x:v>house</x:v>
      </x:c>
      <x:c r="F3230" s="2" t="str">
        <x:v>sale</x:v>
      </x:c>
      <x:c r="G3230" s="11" t="n">
        <x:v>60</x:v>
      </x:c>
      <x:c r="H3230" s="12" t="n">
        <x:v>7700000000</x:v>
      </x:c>
      <x:c r="I3230" s="12" t="n">
        <x:v>128333333.33333333</x:v>
      </x:c>
      <x:c r="J3230" s="2" t="str">
        <x:v>total</x:v>
      </x:c>
      <x:c r="K3230" s="2" t="str">
        <x:v>top_level_area</x:v>
      </x:c>
      <x:c r="L3230" s="2" t="str">
        <x:v>property_type_inferred_from_title</x:v>
      </x:c>
      <x:c r="M3230" s="10" t="n">
        <x:v>0</x:v>
      </x:c>
      <x:c r="N3230" s="10" t="n">
        <x:v>0</x:v>
      </x:c>
      <x:c r="O3230" s="2" t="str">
        <x:v>Hà Nội|house</x:v>
      </x:c>
      <x:c r="P3230" s="10" t="n">
        <x:v>2</x:v>
      </x:c>
      <x:c r="Q3230" s="13" t="n">
        <x:f>IF(H3230="","",H3230/1000000000)</x:f>
        <x:v>7.7</x:v>
      </x:c>
      <x:c r="R3230" s="13" t="n">
        <x:f>IF(I3230="","",I3230/1000000)</x:f>
        <x:v>128.33333333333331</x:v>
      </x:c>
    </x:row>
    <x:row r="3231" ht="21" customHeight="1">
      <x:c r="A3231" s="10" t="n">
        <x:v>4371</x:v>
      </x:c>
      <x:c r="B3231" s="2" t="str">
        <x:v>b0acc003a998d482062e</x:v>
      </x:c>
      <x:c r="C3231" s="2" t="str">
        <x:v>Tp Hồ Chí Minh</x:v>
      </x:c>
      <x:c r="D3231" s="2" t="str">
        <x:v>Huyện Củ Chi</x:v>
      </x:c>
      <x:c r="E3231" s="2" t="str">
        <x:v>house</x:v>
      </x:c>
      <x:c r="F3231" s="2" t="str">
        <x:v>sale_assumed</x:v>
      </x:c>
      <x:c r="G3231" s="11" t="n">
        <x:v>44</x:v>
      </x:c>
      <x:c r="H3231" s="12" t="n">
        <x:v>1250000000</x:v>
      </x:c>
      <x:c r="I3231" s="12" t="n">
        <x:v>28409090.90909091</x:v>
      </x:c>
      <x:c r="J3231" s="2" t="str">
        <x:v>total</x:v>
      </x:c>
      <x:c r="K3231" s="2" t="str">
        <x:v>top_level_area</x:v>
      </x:c>
      <x:c r="L3231" s="2" t="str">
        <x:v>property_type_inferred_from_title;transaction_assumed_sale_from_dataset_context</x:v>
      </x:c>
      <x:c r="M3231" s="10" t="n">
        <x:v>0</x:v>
      </x:c>
      <x:c r="N3231" s="10" t="n">
        <x:v>0</x:v>
      </x:c>
      <x:c r="O3231" s="2" t="str">
        <x:v>Tp Hồ Chí Minh|house</x:v>
      </x:c>
      <x:c r="P3231" s="10" t="n">
        <x:v>2</x:v>
      </x:c>
      <x:c r="Q3231" s="13" t="n">
        <x:f>IF(H3231="","",H3231/1000000000)</x:f>
        <x:v>1.25</x:v>
      </x:c>
      <x:c r="R3231" s="13" t="n">
        <x:f>IF(I3231="","",I3231/1000000)</x:f>
        <x:v>28.40909090909091</x:v>
      </x:c>
    </x:row>
    <x:row r="3232" ht="21" customHeight="1">
      <x:c r="A3232" s="10" t="n">
        <x:v>4372</x:v>
      </x:c>
      <x:c r="B3232" s="2" t="str">
        <x:v>3d06444720b2cac91a61</x:v>
      </x:c>
      <x:c r="C3232" s="2" t="str">
        <x:v>Tp Hồ Chí Minh</x:v>
      </x:c>
      <x:c r="D3232" s="2" t="str">
        <x:v>Quận Bình Tân</x:v>
      </x:c>
      <x:c r="E3232" s="2" t="str">
        <x:v>house</x:v>
      </x:c>
      <x:c r="F3232" s="2" t="str">
        <x:v>sale_assumed</x:v>
      </x:c>
      <x:c r="G3232" s="11" t="n">
        <x:v>64</x:v>
      </x:c>
      <x:c r="H3232" s="12" t="n">
        <x:v>1430000000</x:v>
      </x:c>
      <x:c r="I3232" s="12" t="n">
        <x:v>22343750</x:v>
      </x:c>
      <x:c r="J3232" s="2" t="str">
        <x:v>total</x:v>
      </x:c>
      <x:c r="K3232" s="2" t="str">
        <x:v>top_level_area</x:v>
      </x:c>
      <x:c r="L3232" s="2" t="str">
        <x:v>property_type_inferred_from_title;transaction_assumed_sale_from_dataset_context</x:v>
      </x:c>
      <x:c r="M3232" s="10" t="n">
        <x:v>0</x:v>
      </x:c>
      <x:c r="N3232" s="10" t="n">
        <x:v>0</x:v>
      </x:c>
      <x:c r="O3232" s="2" t="str">
        <x:v>Tp Hồ Chí Minh|house</x:v>
      </x:c>
      <x:c r="P3232" s="10" t="n">
        <x:v>2</x:v>
      </x:c>
      <x:c r="Q3232" s="13" t="n">
        <x:f>IF(H3232="","",H3232/1000000000)</x:f>
        <x:v>1.43</x:v>
      </x:c>
      <x:c r="R3232" s="13" t="n">
        <x:f>IF(I3232="","",I3232/1000000)</x:f>
        <x:v>22.34375</x:v>
      </x:c>
    </x:row>
    <x:row r="3233" ht="21" customHeight="1">
      <x:c r="A3233" s="10" t="n">
        <x:v>4373</x:v>
      </x:c>
      <x:c r="B3233" s="2" t="str">
        <x:v>37e836ddb86b63e0ab20</x:v>
      </x:c>
      <x:c r="C3233" s="2" t="str">
        <x:v>Hà Nội</x:v>
      </x:c>
      <x:c r="D3233" s="2" t="str">
        <x:v>Quận Hoàng Mai</x:v>
      </x:c>
      <x:c r="E3233" s="2" t="str">
        <x:v>house</x:v>
      </x:c>
      <x:c r="F3233" s="2" t="str">
        <x:v>sale</x:v>
      </x:c>
      <x:c r="G3233" s="11" t="n">
        <x:v>42</x:v>
      </x:c>
      <x:c r="H3233" s="12" t="n">
        <x:v>3000000000</x:v>
      </x:c>
      <x:c r="I3233" s="12" t="n">
        <x:v>71428571.42857143</x:v>
      </x:c>
      <x:c r="J3233" s="2" t="str">
        <x:v>total</x:v>
      </x:c>
      <x:c r="K3233" s="2" t="str">
        <x:v>top_level_area</x:v>
      </x:c>
      <x:c r="L3233" s="2" t="str">
        <x:v>property_type_inferred_from_title</x:v>
      </x:c>
      <x:c r="M3233" s="10" t="n">
        <x:v>0</x:v>
      </x:c>
      <x:c r="N3233" s="10" t="n">
        <x:v>0</x:v>
      </x:c>
      <x:c r="O3233" s="2" t="str">
        <x:v>Hà Nội|house</x:v>
      </x:c>
      <x:c r="P3233" s="10" t="n">
        <x:v>2</x:v>
      </x:c>
      <x:c r="Q3233" s="13" t="n">
        <x:f>IF(H3233="","",H3233/1000000000)</x:f>
        <x:v>3</x:v>
      </x:c>
      <x:c r="R3233" s="13" t="n">
        <x:f>IF(I3233="","",I3233/1000000)</x:f>
        <x:v>71.42857142857143</x:v>
      </x:c>
    </x:row>
    <x:row r="3234" ht="21" customHeight="1">
      <x:c r="A3234" s="10" t="n">
        <x:v>4374</x:v>
      </x:c>
      <x:c r="B3234" s="2" t="str">
        <x:v>fc3be0bd5436d561d60c</x:v>
      </x:c>
      <x:c r="C3234" s="2" t="str">
        <x:v>Hà Nội</x:v>
      </x:c>
      <x:c r="D3234" s="2" t="str">
        <x:v>Quận Long Biên</x:v>
      </x:c>
      <x:c r="E3234" s="2" t="str">
        <x:v>land</x:v>
      </x:c>
      <x:c r="F3234" s="2" t="str">
        <x:v>sale</x:v>
      </x:c>
      <x:c r="G3234" s="11" t="n">
        <x:v>31</x:v>
      </x:c>
      <x:c r="H3234" s="12" t="n">
        <x:v>1490000000</x:v>
      </x:c>
      <x:c r="I3234" s="12" t="n">
        <x:v>48064516.12903226</x:v>
      </x:c>
      <x:c r="J3234" s="2" t="str">
        <x:v>total</x:v>
      </x:c>
      <x:c r="K3234" s="2" t="str">
        <x:v>top_level_area</x:v>
      </x:c>
      <x:c r="L3234" s="2" t="str">
        <x:v>property_type_inferred_from_title</x:v>
      </x:c>
      <x:c r="M3234" s="10" t="n">
        <x:v>0</x:v>
      </x:c>
      <x:c r="N3234" s="10" t="n">
        <x:v>0</x:v>
      </x:c>
      <x:c r="O3234" s="2" t="str">
        <x:v>Hà Nội|land</x:v>
      </x:c>
      <x:c r="P3234" s="10" t="n">
        <x:v>2</x:v>
      </x:c>
      <x:c r="Q3234" s="13" t="n">
        <x:f>IF(H3234="","",H3234/1000000000)</x:f>
        <x:v>1.49</x:v>
      </x:c>
      <x:c r="R3234" s="13" t="n">
        <x:f>IF(I3234="","",I3234/1000000)</x:f>
        <x:v>48.06451612903226</x:v>
      </x:c>
    </x:row>
    <x:row r="3235" ht="21" customHeight="1">
      <x:c r="A3235" s="10" t="n">
        <x:v>4375</x:v>
      </x:c>
      <x:c r="B3235" s="2" t="str">
        <x:v>7fdf77f480e6108d3a9a</x:v>
      </x:c>
      <x:c r="C3235" s="2" t="str">
        <x:v>Hà Nội</x:v>
      </x:c>
      <x:c r="D3235" s="2" t="str">
        <x:v>Quận Long Biên</x:v>
      </x:c>
      <x:c r="E3235" s="2" t="str">
        <x:v>house</x:v>
      </x:c>
      <x:c r="F3235" s="2" t="str">
        <x:v>sale_assumed</x:v>
      </x:c>
      <x:c r="G3235" s="11" t="n">
        <x:v>52</x:v>
      </x:c>
      <x:c r="H3235" s="12" t="n">
        <x:v>6000000000</x:v>
      </x:c>
      <x:c r="I3235" s="12" t="n">
        <x:v>115384615.38461539</x:v>
      </x:c>
      <x:c r="J3235" s="2" t="str">
        <x:v>total</x:v>
      </x:c>
      <x:c r="K3235" s="2" t="str">
        <x:v>top_level_area</x:v>
      </x:c>
      <x:c r="L3235" s="2" t="str">
        <x:v>property_type_inferred_from_title;transaction_assumed_sale_from_dataset_context</x:v>
      </x:c>
      <x:c r="M3235" s="10" t="n">
        <x:v>0</x:v>
      </x:c>
      <x:c r="N3235" s="10" t="n">
        <x:v>0</x:v>
      </x:c>
      <x:c r="O3235" s="2" t="str">
        <x:v>Hà Nội|house</x:v>
      </x:c>
      <x:c r="P3235" s="10" t="n">
        <x:v>2</x:v>
      </x:c>
      <x:c r="Q3235" s="13" t="n">
        <x:f>IF(H3235="","",H3235/1000000000)</x:f>
        <x:v>6</x:v>
      </x:c>
      <x:c r="R3235" s="13" t="n">
        <x:f>IF(I3235="","",I3235/1000000)</x:f>
        <x:v>115.38461538461539</x:v>
      </x:c>
    </x:row>
    <x:row r="3236" ht="21" customHeight="1">
      <x:c r="A3236" s="10" t="n">
        <x:v>4376</x:v>
      </x:c>
      <x:c r="B3236" s="2" t="str">
        <x:v>f14523b3ef5f221fa121</x:v>
      </x:c>
      <x:c r="C3236" s="2" t="str">
        <x:v>Hà Nội</x:v>
      </x:c>
      <x:c r="D3236" s="2" t="str">
        <x:v>Quận Cầu Giấy</x:v>
      </x:c>
      <x:c r="E3236" s="2" t="str">
        <x:v>other_unknown</x:v>
      </x:c>
      <x:c r="F3236" s="2" t="str">
        <x:v>sale_assumed</x:v>
      </x:c>
      <x:c r="G3236" s="11" t="n">
        <x:v>146</x:v>
      </x:c>
      <x:c r="H3236" s="12" t="n">
        <x:v>29380000000</x:v>
      </x:c>
      <x:c r="I3236" s="12" t="n">
        <x:v>201232876.71232876</x:v>
      </x:c>
      <x:c r="J3236" s="2" t="str">
        <x:v>total</x:v>
      </x:c>
      <x:c r="K3236" s="2" t="str">
        <x:v>top_level_area</x:v>
      </x:c>
      <x:c r="L3236" s="2" t="str">
        <x:v>property_type_inferred_from_title;transaction_assumed_sale_from_dataset_context;unknown_property_type</x:v>
      </x:c>
      <x:c r="M3236" s="10" t="n">
        <x:v>1</x:v>
      </x:c>
      <x:c r="N3236" s="10" t="n">
        <x:v>1</x:v>
      </x:c>
      <x:c r="O3236" s="2" t="str">
        <x:v>Hà Nội|other_unknown</x:v>
      </x:c>
      <x:c r="P3236" s="10" t="n">
        <x:v>-1</x:v>
      </x:c>
      <x:c r="Q3236" s="13" t="n">
        <x:f>IF(H3236="","",H3236/1000000000)</x:f>
        <x:v>29.38</x:v>
      </x:c>
      <x:c r="R3236" s="13" t="n">
        <x:f>IF(I3236="","",I3236/1000000)</x:f>
        <x:v>201.23287671232876</x:v>
      </x:c>
    </x:row>
    <x:row r="3237" ht="21" customHeight="1">
      <x:c r="A3237" s="10" t="n">
        <x:v>4377</x:v>
      </x:c>
      <x:c r="B3237" s="2" t="str">
        <x:v>219913deb88c91296d23</x:v>
      </x:c>
      <x:c r="C3237" s="2" t="str">
        <x:v>Cần Thơ</x:v>
      </x:c>
      <x:c r="D3237" s="2" t="str">
        <x:v>Quận Bình Thuỷ</x:v>
      </x:c>
      <x:c r="E3237" s="2" t="str">
        <x:v>land</x:v>
      </x:c>
      <x:c r="F3237" s="2" t="str">
        <x:v>sale_assumed</x:v>
      </x:c>
      <x:c r="G3237" s="11" t="n">
        <x:v>78</x:v>
      </x:c>
      <x:c r="H3237" s="12" t="n">
        <x:v>1595000000</x:v>
      </x:c>
      <x:c r="I3237" s="12" t="n">
        <x:v>20448717.948717948</x:v>
      </x:c>
      <x:c r="J3237" s="2" t="str">
        <x:v>total</x:v>
      </x:c>
      <x:c r="K3237" s="2" t="str">
        <x:v>top_level_area</x:v>
      </x:c>
      <x:c r="L3237" s="2" t="str">
        <x:v>property_type_inferred_from_title;transaction_assumed_sale_from_dataset_context</x:v>
      </x:c>
      <x:c r="M3237" s="10" t="n">
        <x:v>0</x:v>
      </x:c>
      <x:c r="N3237" s="10" t="n">
        <x:v>0</x:v>
      </x:c>
      <x:c r="O3237" s="2" t="str">
        <x:v>Cần Thơ|land</x:v>
      </x:c>
      <x:c r="P3237" s="10" t="n">
        <x:v>2</x:v>
      </x:c>
      <x:c r="Q3237" s="13" t="n">
        <x:f>IF(H3237="","",H3237/1000000000)</x:f>
        <x:v>1.595</x:v>
      </x:c>
      <x:c r="R3237" s="13" t="n">
        <x:f>IF(I3237="","",I3237/1000000)</x:f>
        <x:v>20.44871794871795</x:v>
      </x:c>
    </x:row>
    <x:row r="3238" ht="21" customHeight="1">
      <x:c r="A3238" s="10" t="n">
        <x:v>4378</x:v>
      </x:c>
      <x:c r="B3238" s="2" t="str">
        <x:v>525c40bd76bfcc7e0f98</x:v>
      </x:c>
      <x:c r="C3238" s="2" t="str">
        <x:v>Tp Hồ Chí Minh</x:v>
      </x:c>
      <x:c r="D3238" s="2" t="str">
        <x:v>Huyện Hóc Môn</x:v>
      </x:c>
      <x:c r="E3238" s="2" t="str">
        <x:v>house</x:v>
      </x:c>
      <x:c r="F3238" s="2" t="str">
        <x:v>sale</x:v>
      </x:c>
      <x:c r="G3238" s="11" t="n">
        <x:v>60</x:v>
      </x:c>
      <x:c r="H3238" s="12" t="n">
        <x:v>1250000000</x:v>
      </x:c>
      <x:c r="I3238" s="12" t="n">
        <x:v>20833333.333333332</x:v>
      </x:c>
      <x:c r="J3238" s="2" t="str">
        <x:v>total</x:v>
      </x:c>
      <x:c r="K3238" s="2" t="str">
        <x:v>top_level_area</x:v>
      </x:c>
      <x:c r="L3238" s="2" t="str">
        <x:v>property_type_inferred_from_title</x:v>
      </x:c>
      <x:c r="M3238" s="10" t="n">
        <x:v>0</x:v>
      </x:c>
      <x:c r="N3238" s="10" t="n">
        <x:v>0</x:v>
      </x:c>
      <x:c r="O3238" s="2" t="str">
        <x:v>Tp Hồ Chí Minh|house</x:v>
      </x:c>
      <x:c r="P3238" s="10" t="n">
        <x:v>2</x:v>
      </x:c>
      <x:c r="Q3238" s="13" t="n">
        <x:f>IF(H3238="","",H3238/1000000000)</x:f>
        <x:v>1.25</x:v>
      </x:c>
      <x:c r="R3238" s="13" t="n">
        <x:f>IF(I3238="","",I3238/1000000)</x:f>
        <x:v>20.833333333333332</x:v>
      </x:c>
    </x:row>
    <x:row r="3239" ht="21" customHeight="1">
      <x:c r="A3239" s="10" t="n">
        <x:v>4379</x:v>
      </x:c>
      <x:c r="B3239" s="2" t="str">
        <x:v>374e1507b2ea4064de6b</x:v>
      </x:c>
      <x:c r="C3239" s="2" t="str">
        <x:v>Tp Hồ Chí Minh</x:v>
      </x:c>
      <x:c r="D3239" s="2" t="str">
        <x:v>Quận 9</x:v>
      </x:c>
      <x:c r="E3239" s="2" t="str">
        <x:v>other_unknown</x:v>
      </x:c>
      <x:c r="F3239" s="2" t="str">
        <x:v>sale</x:v>
      </x:c>
      <x:c r="G3239" s="11" t="n">
        <x:v>59</x:v>
      </x:c>
      <x:c r="H3239" s="12" t="n">
        <x:v>1778000000</x:v>
      </x:c>
      <x:c r="I3239" s="12" t="n">
        <x:v>30135593.22033898</x:v>
      </x:c>
      <x:c r="J3239" s="2" t="str">
        <x:v>total</x:v>
      </x:c>
      <x:c r="K3239" s="2" t="str">
        <x:v>top_level_area</x:v>
      </x:c>
      <x:c r="L3239" s="2" t="str">
        <x:v>property_type_inferred_from_title;unknown_property_type</x:v>
      </x:c>
      <x:c r="M3239" s="10" t="n">
        <x:v>0</x:v>
      </x:c>
      <x:c r="N3239" s="10" t="n">
        <x:v>0</x:v>
      </x:c>
      <x:c r="O3239" s="2" t="str">
        <x:v>Tp Hồ Chí Minh|other_unknown</x:v>
      </x:c>
      <x:c r="P3239" s="10" t="n">
        <x:v>2</x:v>
      </x:c>
      <x:c r="Q3239" s="13" t="n">
        <x:f>IF(H3239="","",H3239/1000000000)</x:f>
        <x:v>1.778</x:v>
      </x:c>
      <x:c r="R3239" s="13" t="n">
        <x:f>IF(I3239="","",I3239/1000000)</x:f>
        <x:v>30.135593220338983</x:v>
      </x:c>
    </x:row>
    <x:row r="3240" ht="21" customHeight="1">
      <x:c r="A3240" s="10" t="n">
        <x:v>4380</x:v>
      </x:c>
      <x:c r="B3240" s="2" t="str">
        <x:v>bbe66f6c28a61c2a159d</x:v>
      </x:c>
      <x:c r="C3240" s="2" t="str">
        <x:v>Hà Nội</x:v>
      </x:c>
      <x:c r="D3240" s="2" t="str">
        <x:v>Quận Long Biên</x:v>
      </x:c>
      <x:c r="E3240" s="2" t="str">
        <x:v>land</x:v>
      </x:c>
      <x:c r="F3240" s="2" t="str">
        <x:v>sale</x:v>
      </x:c>
      <x:c r="G3240" s="11" t="n">
        <x:v>60</x:v>
      </x:c>
      <x:c r="H3240" s="12" t="n">
        <x:v>5135000000</x:v>
      </x:c>
      <x:c r="I3240" s="12" t="n">
        <x:v>85583333.33333333</x:v>
      </x:c>
      <x:c r="J3240" s="2" t="str">
        <x:v>total</x:v>
      </x:c>
      <x:c r="K3240" s="2" t="str">
        <x:v>top_level_area</x:v>
      </x:c>
      <x:c r="L3240" s="2" t="str">
        <x:v>property_type_inferred_from_title</x:v>
      </x:c>
      <x:c r="M3240" s="10" t="n">
        <x:v>0</x:v>
      </x:c>
      <x:c r="N3240" s="10" t="n">
        <x:v>0</x:v>
      </x:c>
      <x:c r="O3240" s="2" t="str">
        <x:v>Hà Nội|land</x:v>
      </x:c>
      <x:c r="P3240" s="10" t="n">
        <x:v>2</x:v>
      </x:c>
      <x:c r="Q3240" s="13" t="n">
        <x:f>IF(H3240="","",H3240/1000000000)</x:f>
        <x:v>5.135</x:v>
      </x:c>
      <x:c r="R3240" s="13" t="n">
        <x:f>IF(I3240="","",I3240/1000000)</x:f>
        <x:v>85.58333333333333</x:v>
      </x:c>
    </x:row>
    <x:row r="3241" ht="21" customHeight="1">
      <x:c r="A3241" s="10" t="n">
        <x:v>4381</x:v>
      </x:c>
      <x:c r="B3241" s="2" t="str">
        <x:v>eea13d0ca29f851369ea</x:v>
      </x:c>
      <x:c r="C3241" s="2" t="str">
        <x:v>Hà Nội</x:v>
      </x:c>
      <x:c r="D3241" s="2" t="str">
        <x:v>Huyện Thanh Trì</x:v>
      </x:c>
      <x:c r="E3241" s="2" t="str">
        <x:v>house</x:v>
      </x:c>
      <x:c r="F3241" s="2" t="str">
        <x:v>sale</x:v>
      </x:c>
      <x:c r="G3241" s="11" t="n">
        <x:v>35</x:v>
      </x:c>
      <x:c r="H3241" s="12" t="n">
        <x:v>3180000000</x:v>
      </x:c>
      <x:c r="I3241" s="12" t="n">
        <x:v>90857142.85714285</x:v>
      </x:c>
      <x:c r="J3241" s="2" t="str">
        <x:v>total</x:v>
      </x:c>
      <x:c r="K3241" s="2" t="str">
        <x:v>top_level_area</x:v>
      </x:c>
      <x:c r="L3241" s="2" t="str">
        <x:v>property_type_inferred_from_title</x:v>
      </x:c>
      <x:c r="M3241" s="10" t="n">
        <x:v>0</x:v>
      </x:c>
      <x:c r="N3241" s="10" t="n">
        <x:v>0</x:v>
      </x:c>
      <x:c r="O3241" s="2" t="str">
        <x:v>Hà Nội|house</x:v>
      </x:c>
      <x:c r="P3241" s="10" t="n">
        <x:v>2</x:v>
      </x:c>
      <x:c r="Q3241" s="13" t="n">
        <x:f>IF(H3241="","",H3241/1000000000)</x:f>
        <x:v>3.18</x:v>
      </x:c>
      <x:c r="R3241" s="13" t="n">
        <x:f>IF(I3241="","",I3241/1000000)</x:f>
        <x:v>90.85714285714285</x:v>
      </x:c>
    </x:row>
    <x:row r="3242" ht="21" customHeight="1">
      <x:c r="A3242" s="10" t="n">
        <x:v>4382</x:v>
      </x:c>
      <x:c r="B3242" s="2" t="str">
        <x:v>fdcf3b5f69dc9ff80ea9</x:v>
      </x:c>
      <x:c r="C3242" s="2" t="str">
        <x:v>Tp Hồ Chí Minh</x:v>
      </x:c>
      <x:c r="D3242" s="2" t="str">
        <x:v>Quận 6</x:v>
      </x:c>
      <x:c r="E3242" s="2" t="str">
        <x:v>house</x:v>
      </x:c>
      <x:c r="F3242" s="2" t="str">
        <x:v>sale_assumed</x:v>
      </x:c>
      <x:c r="G3242" s="11" t="n">
        <x:v>64</x:v>
      </x:c>
      <x:c r="H3242" s="12" t="n">
        <x:v>10000000000</x:v>
      </x:c>
      <x:c r="I3242" s="12" t="n">
        <x:v>156250000</x:v>
      </x:c>
      <x:c r="J3242" s="2" t="str">
        <x:v>total</x:v>
      </x:c>
      <x:c r="K3242" s="2" t="str">
        <x:v>top_level_area</x:v>
      </x:c>
      <x:c r="L3242" s="2" t="str">
        <x:v>property_type_inferred_from_title;transaction_assumed_sale_from_dataset_context</x:v>
      </x:c>
      <x:c r="M3242" s="10" t="n">
        <x:v>0</x:v>
      </x:c>
      <x:c r="N3242" s="10" t="n">
        <x:v>0</x:v>
      </x:c>
      <x:c r="O3242" s="2" t="str">
        <x:v>Tp Hồ Chí Minh|house</x:v>
      </x:c>
      <x:c r="P3242" s="10" t="n">
        <x:v>2</x:v>
      </x:c>
      <x:c r="Q3242" s="13" t="n">
        <x:f>IF(H3242="","",H3242/1000000000)</x:f>
        <x:v>10</x:v>
      </x:c>
      <x:c r="R3242" s="13" t="n">
        <x:f>IF(I3242="","",I3242/1000000)</x:f>
        <x:v>156.25</x:v>
      </x:c>
    </x:row>
    <x:row r="3243" ht="21" customHeight="1">
      <x:c r="A3243" s="10" t="n">
        <x:v>4384</x:v>
      </x:c>
      <x:c r="B3243" s="2" t="str">
        <x:v>bf6d79fbec3c5beaf9f0</x:v>
      </x:c>
      <x:c r="C3243" s="2" t="str">
        <x:v>Bình Dương</x:v>
      </x:c>
      <x:c r="D3243" s="2" t="str">
        <x:v>Thị xã Dĩ An</x:v>
      </x:c>
      <x:c r="E3243" s="2" t="str">
        <x:v>land</x:v>
      </x:c>
      <x:c r="F3243" s="2" t="str">
        <x:v>sale</x:v>
      </x:c>
      <x:c r="G3243" s="11" t="n">
        <x:v>244</x:v>
      </x:c>
      <x:c r="H3243" s="12" t="n">
        <x:v>5810000000</x:v>
      </x:c>
      <x:c r="I3243" s="12" t="n">
        <x:v>23811475.409836065</x:v>
      </x:c>
      <x:c r="J3243" s="2" t="str">
        <x:v>total</x:v>
      </x:c>
      <x:c r="K3243" s="2" t="str">
        <x:v>top_level_area</x:v>
      </x:c>
      <x:c r="L3243" s="2" t="str">
        <x:v>property_type_inferred_from_title</x:v>
      </x:c>
      <x:c r="M3243" s="10" t="n">
        <x:v>0</x:v>
      </x:c>
      <x:c r="N3243" s="10" t="n">
        <x:v>0</x:v>
      </x:c>
      <x:c r="O3243" s="2" t="str">
        <x:v>Bình Dương|land</x:v>
      </x:c>
      <x:c r="P3243" s="10" t="n">
        <x:v>2</x:v>
      </x:c>
      <x:c r="Q3243" s="13" t="n">
        <x:f>IF(H3243="","",H3243/1000000000)</x:f>
        <x:v>5.81</x:v>
      </x:c>
      <x:c r="R3243" s="13" t="n">
        <x:f>IF(I3243="","",I3243/1000000)</x:f>
        <x:v>23.811475409836063</x:v>
      </x:c>
    </x:row>
    <x:row r="3244" ht="21" customHeight="1">
      <x:c r="A3244" s="10" t="n">
        <x:v>4402</x:v>
      </x:c>
      <x:c r="B3244" s="2" t="str">
        <x:v>16700df8df7f5faf1721</x:v>
      </x:c>
      <x:c r="C3244" s="2" t="str">
        <x:v>Tp Hồ Chí Minh</x:v>
      </x:c>
      <x:c r="D3244" s="2" t="str">
        <x:v>Quận Bình Tân</x:v>
      </x:c>
      <x:c r="E3244" s="2" t="str">
        <x:v>house</x:v>
      </x:c>
      <x:c r="F3244" s="2" t="str">
        <x:v>sale_assumed</x:v>
      </x:c>
      <x:c r="G3244" s="11" t="n">
        <x:v>32</x:v>
      </x:c>
      <x:c r="H3244" s="12" t="n">
        <x:v>900000000</x:v>
      </x:c>
      <x:c r="I3244" s="12" t="n">
        <x:v>28125000</x:v>
      </x:c>
      <x:c r="J3244" s="2" t="str">
        <x:v>total</x:v>
      </x:c>
      <x:c r="K3244" s="2" t="str">
        <x:v>top_level_area</x:v>
      </x:c>
      <x:c r="L3244" s="2" t="str">
        <x:v>property_type_inferred_from_title;transaction_assumed_sale_from_dataset_context</x:v>
      </x:c>
      <x:c r="M3244" s="10" t="n">
        <x:v>0</x:v>
      </x:c>
      <x:c r="N3244" s="10" t="n">
        <x:v>0</x:v>
      </x:c>
      <x:c r="O3244" s="2" t="str">
        <x:v>Tp Hồ Chí Minh|house</x:v>
      </x:c>
      <x:c r="P3244" s="10" t="n">
        <x:v>2</x:v>
      </x:c>
      <x:c r="Q3244" s="13" t="n">
        <x:f>IF(H3244="","",H3244/1000000000)</x:f>
        <x:v>0.9</x:v>
      </x:c>
      <x:c r="R3244" s="13" t="n">
        <x:f>IF(I3244="","",I3244/1000000)</x:f>
        <x:v>28.125</x:v>
      </x:c>
    </x:row>
    <x:row r="3245" ht="21" customHeight="1">
      <x:c r="A3245" s="10" t="n">
        <x:v>4403</x:v>
      </x:c>
      <x:c r="B3245" s="2" t="str">
        <x:v>d3582f7263c7fd961af9</x:v>
      </x:c>
      <x:c r="C3245" s="2" t="str">
        <x:v>Lâm Đồng</x:v>
      </x:c>
      <x:c r="D3245" s="2" t="str">
        <x:v>Huyện Đạ Tẻh</x:v>
      </x:c>
      <x:c r="E3245" s="2" t="str">
        <x:v>land</x:v>
      </x:c>
      <x:c r="F3245" s="2" t="str">
        <x:v>sale_assumed</x:v>
      </x:c>
      <x:c r="G3245" s="11" t="n">
        <x:v>11000</x:v>
      </x:c>
      <x:c r="H3245" s="12" t="n">
        <x:v>1100000000</x:v>
      </x:c>
      <x:c r="I3245" s="12" t="n">
        <x:v>100000</x:v>
      </x:c>
      <x:c r="J3245" s="2" t="str">
        <x:v>total</x:v>
      </x:c>
      <x:c r="K3245" s="2" t="str">
        <x:v>top_level_area</x:v>
      </x:c>
      <x:c r="L3245" s="2" t="str">
        <x:v>dot_thousands_convention;property_type_inferred_from_title;transaction_assumed_sale_from_dataset_context</x:v>
      </x:c>
      <x:c r="M3245" s="10" t="n">
        <x:v>0</x:v>
      </x:c>
      <x:c r="N3245" s="10" t="n">
        <x:v>0</x:v>
      </x:c>
      <x:c r="O3245" s="2" t="str">
        <x:v>Lâm Đồng|land</x:v>
      </x:c>
      <x:c r="P3245" s="10" t="n">
        <x:v>1</x:v>
      </x:c>
      <x:c r="Q3245" s="13" t="n">
        <x:f>IF(H3245="","",H3245/1000000000)</x:f>
        <x:v>1.1</x:v>
      </x:c>
      <x:c r="R3245" s="13" t="n">
        <x:f>IF(I3245="","",I3245/1000000)</x:f>
        <x:v>0.1</x:v>
      </x:c>
    </x:row>
    <x:row r="3246" ht="21" customHeight="1">
      <x:c r="A3246" s="10" t="n">
        <x:v>4404</x:v>
      </x:c>
      <x:c r="B3246" s="2" t="str">
        <x:v>08ecb5551355184c2519</x:v>
      </x:c>
      <x:c r="C3246" s="2" t="str">
        <x:v>Khánh Hòa</x:v>
      </x:c>
      <x:c r="D3246" s="2" t="str">
        <x:v>Thành phố Nha Trang</x:v>
      </x:c>
      <x:c r="E3246" s="2" t="str">
        <x:v>house</x:v>
      </x:c>
      <x:c r="F3246" s="2" t="str">
        <x:v>sale_assumed</x:v>
      </x:c>
      <x:c r="G3246" s="11" t="n">
        <x:v>58.4</x:v>
      </x:c>
      <x:c r="H3246" s="12" t="n">
        <x:v>3950000000</x:v>
      </x:c>
      <x:c r="I3246" s="12" t="n">
        <x:v>67636986.30136986</x:v>
      </x:c>
      <x:c r="J3246" s="2" t="str">
        <x:v>total</x:v>
      </x:c>
      <x:c r="K3246" s="2" t="str">
        <x:v>top_level_area</x:v>
      </x:c>
      <x:c r="L3246" s="2" t="str">
        <x:v>property_type_inferred_from_title;transaction_assumed_sale_from_dataset_context</x:v>
      </x:c>
      <x:c r="M3246" s="10" t="n">
        <x:v>0</x:v>
      </x:c>
      <x:c r="N3246" s="10" t="n">
        <x:v>0</x:v>
      </x:c>
      <x:c r="O3246" s="2" t="str">
        <x:v>Khánh Hòa|house</x:v>
      </x:c>
      <x:c r="P3246" s="10" t="n">
        <x:v>2</x:v>
      </x:c>
      <x:c r="Q3246" s="13" t="n">
        <x:f>IF(H3246="","",H3246/1000000000)</x:f>
        <x:v>3.95</x:v>
      </x:c>
      <x:c r="R3246" s="13" t="n">
        <x:f>IF(I3246="","",I3246/1000000)</x:f>
        <x:v>67.63698630136986</x:v>
      </x:c>
    </x:row>
    <x:row r="3247" ht="21" customHeight="1">
      <x:c r="A3247" s="10" t="n">
        <x:v>4408</x:v>
      </x:c>
      <x:c r="B3247" s="2" t="str">
        <x:v>d9e3cf2b3034d2df7dbb</x:v>
      </x:c>
      <x:c r="C3247" s="2" t="str">
        <x:v>Lâm Đồng</x:v>
      </x:c>
      <x:c r="D3247" s="2" t="str">
        <x:v>Thành phố Đà Lạt</x:v>
      </x:c>
      <x:c r="E3247" s="2" t="str">
        <x:v>land</x:v>
      </x:c>
      <x:c r="F3247" s="2" t="str">
        <x:v>sale_assumed</x:v>
      </x:c>
      <x:c r="G3247" s="11" t="n">
        <x:v>572</x:v>
      </x:c>
      <x:c r="H3247" s="12" t="n">
        <x:v>12000000000</x:v>
      </x:c>
      <x:c r="I3247" s="12" t="n">
        <x:v>20979020.97902098</x:v>
      </x:c>
      <x:c r="J3247" s="2" t="str">
        <x:v>total</x:v>
      </x:c>
      <x:c r="K3247" s="2" t="str">
        <x:v>top_level_area</x:v>
      </x:c>
      <x:c r="L3247" s="2" t="str">
        <x:v>property_type_inferred_from_title;transaction_assumed_sale_from_dataset_context</x:v>
      </x:c>
      <x:c r="M3247" s="10" t="n">
        <x:v>0</x:v>
      </x:c>
      <x:c r="N3247" s="10" t="n">
        <x:v>1</x:v>
      </x:c>
      <x:c r="O3247" s="2" t="str">
        <x:v>Lâm Đồng|land</x:v>
      </x:c>
      <x:c r="P3247" s="10" t="n">
        <x:v>-1</x:v>
      </x:c>
      <x:c r="Q3247" s="13" t="n">
        <x:f>IF(H3247="","",H3247/1000000000)</x:f>
        <x:v>12</x:v>
      </x:c>
      <x:c r="R3247" s="13" t="n">
        <x:f>IF(I3247="","",I3247/1000000)</x:f>
        <x:v>20.97902097902098</x:v>
      </x:c>
    </x:row>
    <x:row r="3248" ht="21" customHeight="1">
      <x:c r="A3248" s="10" t="n">
        <x:v>4409</x:v>
      </x:c>
      <x:c r="B3248" s="2" t="str">
        <x:v>6b7355e8ef50a58209a7</x:v>
      </x:c>
      <x:c r="C3248" s="2" t="str">
        <x:v>Cần Thơ</x:v>
      </x:c>
      <x:c r="D3248" s="2" t="str">
        <x:v>Quận Bình Thuỷ</x:v>
      </x:c>
      <x:c r="E3248" s="2" t="str">
        <x:v>house</x:v>
      </x:c>
      <x:c r="F3248" s="2" t="str">
        <x:v>sale_assumed</x:v>
      </x:c>
      <x:c r="G3248" s="11" t="n">
        <x:v>45</x:v>
      </x:c>
      <x:c r="H3248" s="12" t="n">
        <x:v>1700000000</x:v>
      </x:c>
      <x:c r="I3248" s="12" t="n">
        <x:v>37777777.777777776</x:v>
      </x:c>
      <x:c r="J3248" s="2" t="str">
        <x:v>total</x:v>
      </x:c>
      <x:c r="K3248" s="2" t="str">
        <x:v>top_level_area</x:v>
      </x:c>
      <x:c r="L3248" s="2" t="str">
        <x:v>property_type_inferred_from_title;transaction_assumed_sale_from_dataset_context</x:v>
      </x:c>
      <x:c r="M3248" s="10" t="n">
        <x:v>0</x:v>
      </x:c>
      <x:c r="N3248" s="10" t="n">
        <x:v>0</x:v>
      </x:c>
      <x:c r="O3248" s="2" t="str">
        <x:v>Cần Thơ|house</x:v>
      </x:c>
      <x:c r="P3248" s="10" t="n">
        <x:v>2</x:v>
      </x:c>
      <x:c r="Q3248" s="13" t="n">
        <x:f>IF(H3248="","",H3248/1000000000)</x:f>
        <x:v>1.7</x:v>
      </x:c>
      <x:c r="R3248" s="13" t="n">
        <x:f>IF(I3248="","",I3248/1000000)</x:f>
        <x:v>37.77777777777778</x:v>
      </x:c>
    </x:row>
    <x:row r="3249" ht="21" customHeight="1">
      <x:c r="A3249" s="10" t="n">
        <x:v>4410</x:v>
      </x:c>
      <x:c r="B3249" s="2" t="str">
        <x:v>0c6f86e79fd27f38a848</x:v>
      </x:c>
      <x:c r="C3249" s="2" t="str">
        <x:v>Đà Nẵng</x:v>
      </x:c>
      <x:c r="D3249" s="2" t="str">
        <x:v>Quận Cẩm Lệ</x:v>
      </x:c>
      <x:c r="E3249" s="2" t="str">
        <x:v>land</x:v>
      </x:c>
      <x:c r="F3249" s="2" t="str">
        <x:v>sale_assumed</x:v>
      </x:c>
      <x:c r="G3249" s="11" t="n">
        <x:v>100</x:v>
      </x:c>
      <x:c r="H3249" s="12" t="n">
        <x:v>3235100000</x:v>
      </x:c>
      <x:c r="I3249" s="12" t="n">
        <x:v>32351000</x:v>
      </x:c>
      <x:c r="J3249" s="2" t="str">
        <x:v>total</x:v>
      </x:c>
      <x:c r="K3249" s="2" t="str">
        <x:v>top_level_area</x:v>
      </x:c>
      <x:c r="L3249" s="2" t="str">
        <x:v>property_type_inferred_from_title;transaction_assumed_sale_from_dataset_context</x:v>
      </x:c>
      <x:c r="M3249" s="10" t="n">
        <x:v>0</x:v>
      </x:c>
      <x:c r="N3249" s="10" t="n">
        <x:v>0</x:v>
      </x:c>
      <x:c r="O3249" s="2" t="str">
        <x:v>Đà Nẵng|land</x:v>
      </x:c>
      <x:c r="P3249" s="10" t="n">
        <x:v>2</x:v>
      </x:c>
      <x:c r="Q3249" s="13" t="n">
        <x:f>IF(H3249="","",H3249/1000000000)</x:f>
        <x:v>3.2351</x:v>
      </x:c>
      <x:c r="R3249" s="13" t="n">
        <x:f>IF(I3249="","",I3249/1000000)</x:f>
        <x:v>32.351</x:v>
      </x:c>
    </x:row>
    <x:row r="3250" ht="21" customHeight="1">
      <x:c r="A3250" s="10" t="n">
        <x:v>4411</x:v>
      </x:c>
      <x:c r="B3250" s="2" t="str">
        <x:v>6a74a91d5fa9aa81a310</x:v>
      </x:c>
      <x:c r="C3250" s="2" t="str">
        <x:v>Tp Hồ Chí Minh</x:v>
      </x:c>
      <x:c r="D3250" s="2" t="str">
        <x:v>Huyện Nhà Bè</x:v>
      </x:c>
      <x:c r="E3250" s="2" t="str">
        <x:v>house</x:v>
      </x:c>
      <x:c r="F3250" s="2" t="str">
        <x:v>sale_assumed</x:v>
      </x:c>
      <x:c r="G3250" s="11" t="n">
        <x:v>56</x:v>
      </x:c>
      <x:c r="H3250" s="12" t="n">
        <x:v>1950000000</x:v>
      </x:c>
      <x:c r="I3250" s="12" t="n">
        <x:v>34821428.571428575</x:v>
      </x:c>
      <x:c r="J3250" s="2" t="str">
        <x:v>total</x:v>
      </x:c>
      <x:c r="K3250" s="2" t="str">
        <x:v>top_level_area</x:v>
      </x:c>
      <x:c r="L3250" s="2" t="str">
        <x:v>property_type_inferred_from_title;transaction_assumed_sale_from_dataset_context</x:v>
      </x:c>
      <x:c r="M3250" s="10" t="n">
        <x:v>0</x:v>
      </x:c>
      <x:c r="N3250" s="10" t="n">
        <x:v>0</x:v>
      </x:c>
      <x:c r="O3250" s="2" t="str">
        <x:v>Tp Hồ Chí Minh|house</x:v>
      </x:c>
      <x:c r="P3250" s="10" t="n">
        <x:v>2</x:v>
      </x:c>
      <x:c r="Q3250" s="13" t="n">
        <x:f>IF(H3250="","",H3250/1000000000)</x:f>
        <x:v>1.95</x:v>
      </x:c>
      <x:c r="R3250" s="13" t="n">
        <x:f>IF(I3250="","",I3250/1000000)</x:f>
        <x:v>34.82142857142858</x:v>
      </x:c>
    </x:row>
    <x:row r="3251" ht="21" customHeight="1">
      <x:c r="A3251" s="10" t="n">
        <x:v>4412</x:v>
      </x:c>
      <x:c r="B3251" s="2" t="str">
        <x:v>06dd90cc30ea7bbd854f</x:v>
      </x:c>
      <x:c r="C3251" s="2" t="str">
        <x:v>Tp Hồ Chí Minh</x:v>
      </x:c>
      <x:c r="D3251" s="2" t="str">
        <x:v>Huyện Hóc Môn</x:v>
      </x:c>
      <x:c r="E3251" s="2" t="str">
        <x:v>house</x:v>
      </x:c>
      <x:c r="F3251" s="2" t="str">
        <x:v>sale_assumed</x:v>
      </x:c>
      <x:c r="G3251" s="11" t="n">
        <x:v>32</x:v>
      </x:c>
      <x:c r="H3251" s="12" t="n">
        <x:v>640000000</x:v>
      </x:c>
      <x:c r="I3251" s="12" t="n">
        <x:v>20000000</x:v>
      </x:c>
      <x:c r="J3251" s="2" t="str">
        <x:v>total</x:v>
      </x:c>
      <x:c r="K3251" s="2" t="str">
        <x:v>top_level_area</x:v>
      </x:c>
      <x:c r="L3251" s="2" t="str">
        <x:v>property_type_inferred_from_title;transaction_assumed_sale_from_dataset_context</x:v>
      </x:c>
      <x:c r="M3251" s="10" t="n">
        <x:v>0</x:v>
      </x:c>
      <x:c r="N3251" s="10" t="n">
        <x:v>0</x:v>
      </x:c>
      <x:c r="O3251" s="2" t="str">
        <x:v>Tp Hồ Chí Minh|house</x:v>
      </x:c>
      <x:c r="P3251" s="10" t="n">
        <x:v>2</x:v>
      </x:c>
      <x:c r="Q3251" s="13" t="n">
        <x:f>IF(H3251="","",H3251/1000000000)</x:f>
        <x:v>0.64</x:v>
      </x:c>
      <x:c r="R3251" s="13" t="n">
        <x:f>IF(I3251="","",I3251/1000000)</x:f>
        <x:v>20</x:v>
      </x:c>
    </x:row>
    <x:row r="3252" ht="21" customHeight="1">
      <x:c r="A3252" s="10" t="n">
        <x:v>4413</x:v>
      </x:c>
      <x:c r="B3252" s="2" t="str">
        <x:v>e1a5f68a60c8c9e37098</x:v>
      </x:c>
      <x:c r="C3252" s="2" t="str">
        <x:v>Bến Tre</x:v>
      </x:c>
      <x:c r="D3252" s="2" t="str">
        <x:v>Thành phố Bến Tre</x:v>
      </x:c>
      <x:c r="E3252" s="2" t="str">
        <x:v>land</x:v>
      </x:c>
      <x:c r="F3252" s="2" t="str">
        <x:v>sale_assumed</x:v>
      </x:c>
      <x:c r="G3252" s="11" t="n">
        <x:v>103</x:v>
      </x:c>
      <x:c r="H3252" s="12" t="n">
        <x:v>1700000000</x:v>
      </x:c>
      <x:c r="I3252" s="12" t="n">
        <x:v>16504854.368932039</x:v>
      </x:c>
      <x:c r="J3252" s="2" t="str">
        <x:v>total</x:v>
      </x:c>
      <x:c r="K3252" s="2" t="str">
        <x:v>top_level_area</x:v>
      </x:c>
      <x:c r="L3252" s="2" t="str">
        <x:v>property_type_inferred_from_title;transaction_assumed_sale_from_dataset_context</x:v>
      </x:c>
      <x:c r="M3252" s="10" t="n">
        <x:v>0</x:v>
      </x:c>
      <x:c r="N3252" s="10" t="n">
        <x:v>0</x:v>
      </x:c>
      <x:c r="O3252" s="2" t="str">
        <x:v>Bến Tre|land</x:v>
      </x:c>
      <x:c r="P3252" s="10" t="n">
        <x:v>2</x:v>
      </x:c>
      <x:c r="Q3252" s="13" t="n">
        <x:f>IF(H3252="","",H3252/1000000000)</x:f>
        <x:v>1.7</x:v>
      </x:c>
      <x:c r="R3252" s="13" t="n">
        <x:f>IF(I3252="","",I3252/1000000)</x:f>
        <x:v>16.504854368932037</x:v>
      </x:c>
    </x:row>
    <x:row r="3253" ht="21" customHeight="1">
      <x:c r="A3253" s="10" t="n">
        <x:v>4414</x:v>
      </x:c>
      <x:c r="B3253" s="2" t="str">
        <x:v>abab83dafb7c2a7225df</x:v>
      </x:c>
      <x:c r="C3253" s="2" t="str">
        <x:v>Sóc Trăng</x:v>
      </x:c>
      <x:c r="D3253" s="2" t="str">
        <x:v>Thành phố Sóc Trăng</x:v>
      </x:c>
      <x:c r="E3253" s="2" t="str">
        <x:v>house</x:v>
      </x:c>
      <x:c r="F3253" s="2" t="str">
        <x:v>sale_assumed</x:v>
      </x:c>
      <x:c r="G3253" s="11" t="n">
        <x:v>62</x:v>
      </x:c>
      <x:c r="H3253" s="12" t="n">
        <x:v>1150000000</x:v>
      </x:c>
      <x:c r="I3253" s="12" t="n">
        <x:v>18548387.096774194</x:v>
      </x:c>
      <x:c r="J3253" s="2" t="str">
        <x:v>total</x:v>
      </x:c>
      <x:c r="K3253" s="2" t="str">
        <x:v>top_level_area</x:v>
      </x:c>
      <x:c r="L3253" s="2" t="str">
        <x:v>property_type_inferred_from_title;transaction_assumed_sale_from_dataset_context</x:v>
      </x:c>
      <x:c r="M3253" s="10" t="n">
        <x:v>0</x:v>
      </x:c>
      <x:c r="N3253" s="10" t="n">
        <x:v>0</x:v>
      </x:c>
      <x:c r="O3253" s="2" t="str">
        <x:v>house</x:v>
      </x:c>
      <x:c r="P3253" s="10" t="n">
        <x:v>2</x:v>
      </x:c>
      <x:c r="Q3253" s="13" t="n">
        <x:f>IF(H3253="","",H3253/1000000000)</x:f>
        <x:v>1.15</x:v>
      </x:c>
      <x:c r="R3253" s="13" t="n">
        <x:f>IF(I3253="","",I3253/1000000)</x:f>
        <x:v>18.548387096774196</x:v>
      </x:c>
    </x:row>
    <x:row r="3254" ht="21" customHeight="1">
      <x:c r="A3254" s="10" t="n">
        <x:v>4415</x:v>
      </x:c>
      <x:c r="B3254" s="2" t="str">
        <x:v>642c613c952ee32a2527</x:v>
      </x:c>
      <x:c r="C3254" s="2" t="str">
        <x:v>Đà Nẵng</x:v>
      </x:c>
      <x:c r="D3254" s="2" t="str">
        <x:v>Huyện Hòa Vang</x:v>
      </x:c>
      <x:c r="E3254" s="2" t="str">
        <x:v>other_unknown</x:v>
      </x:c>
      <x:c r="F3254" s="2" t="str">
        <x:v>sale_assumed</x:v>
      </x:c>
      <x:c r="G3254" s="11" t="n">
        <x:v>134</x:v>
      </x:c>
      <x:c r="H3254" s="12" t="n">
        <x:v>580000000</x:v>
      </x:c>
      <x:c r="I3254" s="12" t="n">
        <x:v>4328358.208955224</x:v>
      </x:c>
      <x:c r="J3254" s="2" t="str">
        <x:v>total</x:v>
      </x:c>
      <x:c r="K3254" s="2" t="str">
        <x:v>top_level_area</x:v>
      </x:c>
      <x:c r="L3254" s="2" t="str">
        <x:v>property_type_inferred_from_title;transaction_assumed_sale_from_dataset_context;unknown_property_type</x:v>
      </x:c>
      <x:c r="M3254" s="10" t="n">
        <x:v>0</x:v>
      </x:c>
      <x:c r="N3254" s="10" t="n">
        <x:v>0</x:v>
      </x:c>
      <x:c r="O3254" s="2" t="str">
        <x:v>Đà Nẵng|other_unknown</x:v>
      </x:c>
      <x:c r="P3254" s="10" t="n">
        <x:v>2</x:v>
      </x:c>
      <x:c r="Q3254" s="13" t="n">
        <x:f>IF(H3254="","",H3254/1000000000)</x:f>
        <x:v>0.58</x:v>
      </x:c>
      <x:c r="R3254" s="13" t="n">
        <x:f>IF(I3254="","",I3254/1000000)</x:f>
        <x:v>4.3283582089552235</x:v>
      </x:c>
    </x:row>
    <x:row r="3255" ht="21" customHeight="1">
      <x:c r="A3255" s="10" t="n">
        <x:v>4416</x:v>
      </x:c>
      <x:c r="B3255" s="2" t="str">
        <x:v>0a742139e12338f7ac4d</x:v>
      </x:c>
      <x:c r="C3255" s="2" t="str">
        <x:v>Tp Hồ Chí Minh</x:v>
      </x:c>
      <x:c r="D3255" s="2" t="str">
        <x:v>Quận Tân Phú</x:v>
      </x:c>
      <x:c r="E3255" s="2" t="str">
        <x:v>other_unknown</x:v>
      </x:c>
      <x:c r="F3255" s="2" t="str">
        <x:v>sale</x:v>
      </x:c>
      <x:c r="G3255" s="11" t="n">
        <x:v>65</x:v>
      </x:c>
      <x:c r="H3255" s="12" t="n">
        <x:v>2800000000</x:v>
      </x:c>
      <x:c r="I3255" s="12" t="n">
        <x:v>43076923.07692308</x:v>
      </x:c>
      <x:c r="J3255" s="2" t="str">
        <x:v>total</x:v>
      </x:c>
      <x:c r="K3255" s="2" t="str">
        <x:v>top_level_area</x:v>
      </x:c>
      <x:c r="L3255" s="2" t="str">
        <x:v>property_type_inferred_from_title;unknown_property_type</x:v>
      </x:c>
      <x:c r="M3255" s="10" t="n">
        <x:v>0</x:v>
      </x:c>
      <x:c r="N3255" s="10" t="n">
        <x:v>0</x:v>
      </x:c>
      <x:c r="O3255" s="2" t="str">
        <x:v>Tp Hồ Chí Minh|other_unknown</x:v>
      </x:c>
      <x:c r="P3255" s="10" t="n">
        <x:v>2</x:v>
      </x:c>
      <x:c r="Q3255" s="13" t="n">
        <x:f>IF(H3255="","",H3255/1000000000)</x:f>
        <x:v>2.8</x:v>
      </x:c>
      <x:c r="R3255" s="13" t="n">
        <x:f>IF(I3255="","",I3255/1000000)</x:f>
        <x:v>43.07692307692308</x:v>
      </x:c>
    </x:row>
    <x:row r="3256" ht="21" customHeight="1">
      <x:c r="A3256" s="10" t="n">
        <x:v>4417</x:v>
      </x:c>
      <x:c r="B3256" s="2" t="str">
        <x:v>961ef65f00e8311dc69d</x:v>
      </x:c>
      <x:c r="C3256" s="2" t="str">
        <x:v>Hà Nội</x:v>
      </x:c>
      <x:c r="D3256" s="2" t="str">
        <x:v>Quận Thanh Xuân</x:v>
      </x:c>
      <x:c r="E3256" s="2" t="str">
        <x:v>house</x:v>
      </x:c>
      <x:c r="F3256" s="2" t="str">
        <x:v>sale</x:v>
      </x:c>
      <x:c r="G3256" s="11" t="n">
        <x:v>50</x:v>
      </x:c>
      <x:c r="H3256" s="12" t="n">
        <x:v>7000000000</x:v>
      </x:c>
      <x:c r="I3256" s="12" t="n">
        <x:v>140000000</x:v>
      </x:c>
      <x:c r="J3256" s="2" t="str">
        <x:v>total</x:v>
      </x:c>
      <x:c r="K3256" s="2" t="str">
        <x:v>top_level_area</x:v>
      </x:c>
      <x:c r="L3256" s="2" t="str">
        <x:v>property_type_inferred_from_title</x:v>
      </x:c>
      <x:c r="M3256" s="10" t="n">
        <x:v>0</x:v>
      </x:c>
      <x:c r="N3256" s="10" t="n">
        <x:v>0</x:v>
      </x:c>
      <x:c r="O3256" s="2" t="str">
        <x:v>Hà Nội|house</x:v>
      </x:c>
      <x:c r="P3256" s="10" t="n">
        <x:v>2</x:v>
      </x:c>
      <x:c r="Q3256" s="13" t="n">
        <x:f>IF(H3256="","",H3256/1000000000)</x:f>
        <x:v>7</x:v>
      </x:c>
      <x:c r="R3256" s="13" t="n">
        <x:f>IF(I3256="","",I3256/1000000)</x:f>
        <x:v>140</x:v>
      </x:c>
    </x:row>
    <x:row r="3257" ht="21" customHeight="1">
      <x:c r="A3257" s="10" t="n">
        <x:v>4418</x:v>
      </x:c>
      <x:c r="B3257" s="2" t="str">
        <x:v>00a603d615fed3b46de2</x:v>
      </x:c>
      <x:c r="C3257" s="2" t="str">
        <x:v>Hà Nội</x:v>
      </x:c>
      <x:c r="D3257" s="2" t="str">
        <x:v>Quận Hà Đông</x:v>
      </x:c>
      <x:c r="E3257" s="2" t="str">
        <x:v>house</x:v>
      </x:c>
      <x:c r="F3257" s="2" t="str">
        <x:v>sale</x:v>
      </x:c>
      <x:c r="G3257" s="11" t="n">
        <x:v>34</x:v>
      </x:c>
      <x:c r="H3257" s="12" t="n">
        <x:v>2450000000</x:v>
      </x:c>
      <x:c r="I3257" s="12" t="n">
        <x:v>72058823.52941176</x:v>
      </x:c>
      <x:c r="J3257" s="2" t="str">
        <x:v>total</x:v>
      </x:c>
      <x:c r="K3257" s="2" t="str">
        <x:v>top_level_area</x:v>
      </x:c>
      <x:c r="L3257" s="2" t="str">
        <x:v>property_type_inferred_from_title</x:v>
      </x:c>
      <x:c r="M3257" s="10" t="n">
        <x:v>0</x:v>
      </x:c>
      <x:c r="N3257" s="10" t="n">
        <x:v>0</x:v>
      </x:c>
      <x:c r="O3257" s="2" t="str">
        <x:v>Hà Nội|house</x:v>
      </x:c>
      <x:c r="P3257" s="10" t="n">
        <x:v>2</x:v>
      </x:c>
      <x:c r="Q3257" s="13" t="n">
        <x:f>IF(H3257="","",H3257/1000000000)</x:f>
        <x:v>2.45</x:v>
      </x:c>
      <x:c r="R3257" s="13" t="n">
        <x:f>IF(I3257="","",I3257/1000000)</x:f>
        <x:v>72.05882352941177</x:v>
      </x:c>
    </x:row>
    <x:row r="3258" ht="21" customHeight="1">
      <x:c r="A3258" s="10" t="n">
        <x:v>4419</x:v>
      </x:c>
      <x:c r="B3258" s="2" t="str">
        <x:v>d4786af4daece71eec82</x:v>
      </x:c>
      <x:c r="C3258" s="2" t="str">
        <x:v>Tp Hồ Chí Minh</x:v>
      </x:c>
      <x:c r="D3258" s="2" t="str">
        <x:v>Quận Tân Bình</x:v>
      </x:c>
      <x:c r="E3258" s="2" t="str">
        <x:v>other_unknown</x:v>
      </x:c>
      <x:c r="F3258" s="2" t="str">
        <x:v>sale_assumed</x:v>
      </x:c>
      <x:c r="G3258" s="11" t="n">
        <x:v>69</x:v>
      </x:c>
      <x:c r="H3258" s="12" t="n">
        <x:v>6800000000</x:v>
      </x:c>
      <x:c r="I3258" s="12" t="n">
        <x:v>98550724.63768116</x:v>
      </x:c>
      <x:c r="J3258" s="2" t="str">
        <x:v>total</x:v>
      </x:c>
      <x:c r="K3258" s="2" t="str">
        <x:v>top_level_area</x:v>
      </x:c>
      <x:c r="L3258" s="2" t="str">
        <x:v>property_type_inferred_from_title;transaction_assumed_sale_from_dataset_context;unknown_property_type</x:v>
      </x:c>
      <x:c r="M3258" s="10" t="n">
        <x:v>0</x:v>
      </x:c>
      <x:c r="N3258" s="10" t="n">
        <x:v>0</x:v>
      </x:c>
      <x:c r="O3258" s="2" t="str">
        <x:v>Tp Hồ Chí Minh|other_unknown</x:v>
      </x:c>
      <x:c r="P3258" s="10" t="n">
        <x:v>2</x:v>
      </x:c>
      <x:c r="Q3258" s="13" t="n">
        <x:f>IF(H3258="","",H3258/1000000000)</x:f>
        <x:v>6.8</x:v>
      </x:c>
      <x:c r="R3258" s="13" t="n">
        <x:f>IF(I3258="","",I3258/1000000)</x:f>
        <x:v>98.55072463768116</x:v>
      </x:c>
    </x:row>
    <x:row r="3259" ht="21" customHeight="1">
      <x:c r="A3259" s="10" t="n">
        <x:v>4420</x:v>
      </x:c>
      <x:c r="B3259" s="2" t="str">
        <x:v>876198f67f63c7402c8a</x:v>
      </x:c>
      <x:c r="C3259" s="2" t="str">
        <x:v>Hà Nội</x:v>
      </x:c>
      <x:c r="D3259" s="2" t="str">
        <x:v>Huyện Thanh Trì</x:v>
      </x:c>
      <x:c r="E3259" s="2" t="str">
        <x:v>house</x:v>
      </x:c>
      <x:c r="F3259" s="2" t="str">
        <x:v>sale_assumed</x:v>
      </x:c>
      <x:c r="G3259" s="11" t="n">
        <x:v>40</x:v>
      </x:c>
      <x:c r="H3259" s="12" t="n">
        <x:v>1880000000</x:v>
      </x:c>
      <x:c r="I3259" s="12" t="n">
        <x:v>47000000</x:v>
      </x:c>
      <x:c r="J3259" s="2" t="str">
        <x:v>total</x:v>
      </x:c>
      <x:c r="K3259" s="2" t="str">
        <x:v>top_level_area</x:v>
      </x:c>
      <x:c r="L3259" s="2" t="str">
        <x:v>property_type_inferred_from_title;transaction_assumed_sale_from_dataset_context</x:v>
      </x:c>
      <x:c r="M3259" s="10" t="n">
        <x:v>0</x:v>
      </x:c>
      <x:c r="N3259" s="10" t="n">
        <x:v>0</x:v>
      </x:c>
      <x:c r="O3259" s="2" t="str">
        <x:v>Hà Nội|house</x:v>
      </x:c>
      <x:c r="P3259" s="10" t="n">
        <x:v>2</x:v>
      </x:c>
      <x:c r="Q3259" s="13" t="n">
        <x:f>IF(H3259="","",H3259/1000000000)</x:f>
        <x:v>1.88</x:v>
      </x:c>
      <x:c r="R3259" s="13" t="n">
        <x:f>IF(I3259="","",I3259/1000000)</x:f>
        <x:v>47</x:v>
      </x:c>
    </x:row>
    <x:row r="3260" ht="21" customHeight="1">
      <x:c r="A3260" s="10" t="n">
        <x:v>4421</x:v>
      </x:c>
      <x:c r="B3260" s="2" t="str">
        <x:v>28331e6f5ef92b590174</x:v>
      </x:c>
      <x:c r="C3260" s="2" t="str">
        <x:v>Bình Dương</x:v>
      </x:c>
      <x:c r="D3260" s="2" t="str">
        <x:v>Thị xã Tân Uyên</x:v>
      </x:c>
      <x:c r="E3260" s="2" t="str">
        <x:v>house</x:v>
      </x:c>
      <x:c r="F3260" s="2" t="str">
        <x:v>sale</x:v>
      </x:c>
      <x:c r="G3260" s="11" t="n">
        <x:v>110</x:v>
      </x:c>
      <x:c r="H3260" s="12" t="n">
        <x:v>2000000000</x:v>
      </x:c>
      <x:c r="I3260" s="12" t="n">
        <x:v>18181818.181818184</x:v>
      </x:c>
      <x:c r="J3260" s="2" t="str">
        <x:v>total</x:v>
      </x:c>
      <x:c r="K3260" s="2" t="str">
        <x:v>top_level_area</x:v>
      </x:c>
      <x:c r="L3260" s="2" t="str">
        <x:v>property_type_inferred_from_title</x:v>
      </x:c>
      <x:c r="M3260" s="10" t="n">
        <x:v>0</x:v>
      </x:c>
      <x:c r="N3260" s="10" t="n">
        <x:v>0</x:v>
      </x:c>
      <x:c r="O3260" s="2" t="str">
        <x:v>Bình Dương|house</x:v>
      </x:c>
      <x:c r="P3260" s="10" t="n">
        <x:v>2</x:v>
      </x:c>
      <x:c r="Q3260" s="13" t="n">
        <x:f>IF(H3260="","",H3260/1000000000)</x:f>
        <x:v>2</x:v>
      </x:c>
      <x:c r="R3260" s="13" t="n">
        <x:f>IF(I3260="","",I3260/1000000)</x:f>
        <x:v>18.181818181818183</x:v>
      </x:c>
    </x:row>
    <x:row r="3261" ht="21" customHeight="1">
      <x:c r="A3261" s="10" t="n">
        <x:v>4422</x:v>
      </x:c>
      <x:c r="B3261" s="2" t="str">
        <x:v>d00e1ebb09e31034cc18</x:v>
      </x:c>
      <x:c r="C3261" s="2" t="str">
        <x:v>Đà Nẵng</x:v>
      </x:c>
      <x:c r="D3261" s="2" t="str">
        <x:v>Quận Liên Chiểu</x:v>
      </x:c>
      <x:c r="E3261" s="2" t="str">
        <x:v>house</x:v>
      </x:c>
      <x:c r="F3261" s="2" t="str">
        <x:v>sale_assumed</x:v>
      </x:c>
      <x:c r="G3261" s="11" t="n">
        <x:v>74</x:v>
      </x:c>
      <x:c r="H3261" s="12" t="n">
        <x:v>3550000000</x:v>
      </x:c>
      <x:c r="I3261" s="12" t="n">
        <x:v>47972972.972972974</x:v>
      </x:c>
      <x:c r="J3261" s="2" t="str">
        <x:v>total</x:v>
      </x:c>
      <x:c r="K3261" s="2" t="str">
        <x:v>top_level_area</x:v>
      </x:c>
      <x:c r="L3261" s="2" t="str">
        <x:v>property_type_inferred_from_title;transaction_assumed_sale_from_dataset_context</x:v>
      </x:c>
      <x:c r="M3261" s="10" t="n">
        <x:v>0</x:v>
      </x:c>
      <x:c r="N3261" s="10" t="n">
        <x:v>0</x:v>
      </x:c>
      <x:c r="O3261" s="2" t="str">
        <x:v>Đà Nẵng|house</x:v>
      </x:c>
      <x:c r="P3261" s="10" t="n">
        <x:v>2</x:v>
      </x:c>
      <x:c r="Q3261" s="13" t="n">
        <x:f>IF(H3261="","",H3261/1000000000)</x:f>
        <x:v>3.55</x:v>
      </x:c>
      <x:c r="R3261" s="13" t="n">
        <x:f>IF(I3261="","",I3261/1000000)</x:f>
        <x:v>47.972972972972975</x:v>
      </x:c>
    </x:row>
    <x:row r="3262" ht="21" customHeight="1">
      <x:c r="A3262" s="10" t="n">
        <x:v>4423</x:v>
      </x:c>
      <x:c r="B3262" s="2" t="str">
        <x:v>aed29f356a845c67e67b</x:v>
      </x:c>
      <x:c r="C3262" s="2" t="str">
        <x:v>Hà Nội</x:v>
      </x:c>
      <x:c r="D3262" s="2" t="str">
        <x:v>Quận Cầu Giấy</x:v>
      </x:c>
      <x:c r="E3262" s="2" t="str">
        <x:v>house</x:v>
      </x:c>
      <x:c r="F3262" s="2" t="str">
        <x:v>sale_assumed</x:v>
      </x:c>
      <x:c r="G3262" s="11" t="n">
        <x:v>110.2</x:v>
      </x:c>
      <x:c r="H3262" s="12" t="n">
        <x:v>28000000000</x:v>
      </x:c>
      <x:c r="I3262" s="12" t="n">
        <x:v>254083484.57350272</x:v>
      </x:c>
      <x:c r="J3262" s="2" t="str">
        <x:v>total</x:v>
      </x:c>
      <x:c r="K3262" s="2" t="str">
        <x:v>top_level_area</x:v>
      </x:c>
      <x:c r="L3262" s="2" t="str">
        <x:v>property_type_inferred_from_title;transaction_assumed_sale_from_dataset_context</x:v>
      </x:c>
      <x:c r="M3262" s="10" t="n">
        <x:v>1</x:v>
      </x:c>
      <x:c r="N3262" s="10" t="n">
        <x:v>1</x:v>
      </x:c>
      <x:c r="O3262" s="2" t="str">
        <x:v>Hà Nội|house</x:v>
      </x:c>
      <x:c r="P3262" s="10" t="n">
        <x:v>-1</x:v>
      </x:c>
      <x:c r="Q3262" s="13" t="n">
        <x:f>IF(H3262="","",H3262/1000000000)</x:f>
        <x:v>28</x:v>
      </x:c>
      <x:c r="R3262" s="13" t="n">
        <x:f>IF(I3262="","",I3262/1000000)</x:f>
        <x:v>254.08348457350272</x:v>
      </x:c>
    </x:row>
    <x:row r="3263" ht="21" customHeight="1">
      <x:c r="A3263" s="10" t="n">
        <x:v>4424</x:v>
      </x:c>
      <x:c r="B3263" s="2" t="str">
        <x:v>c0be478e63d5fee48744</x:v>
      </x:c>
      <x:c r="C3263" s="2" t="str">
        <x:v>Tp Hồ Chí Minh</x:v>
      </x:c>
      <x:c r="D3263" s="2" t="str">
        <x:v>Quận Thủ Đức</x:v>
      </x:c>
      <x:c r="E3263" s="2" t="str">
        <x:v>house</x:v>
      </x:c>
      <x:c r="F3263" s="2" t="str">
        <x:v>sale</x:v>
      </x:c>
      <x:c r="G3263" s="11" t="n">
        <x:v>55</x:v>
      </x:c>
      <x:c r="H3263" s="12" t="n">
        <x:v>1400000000</x:v>
      </x:c>
      <x:c r="I3263" s="12" t="n">
        <x:v>25454545.454545453</x:v>
      </x:c>
      <x:c r="J3263" s="2" t="str">
        <x:v>total</x:v>
      </x:c>
      <x:c r="K3263" s="2" t="str">
        <x:v>top_level_area</x:v>
      </x:c>
      <x:c r="L3263" s="2" t="str">
        <x:v>property_type_inferred_from_title</x:v>
      </x:c>
      <x:c r="M3263" s="10" t="n">
        <x:v>0</x:v>
      </x:c>
      <x:c r="N3263" s="10" t="n">
        <x:v>0</x:v>
      </x:c>
      <x:c r="O3263" s="2" t="str">
        <x:v>Tp Hồ Chí Minh|house</x:v>
      </x:c>
      <x:c r="P3263" s="10" t="n">
        <x:v>2</x:v>
      </x:c>
      <x:c r="Q3263" s="13" t="n">
        <x:f>IF(H3263="","",H3263/1000000000)</x:f>
        <x:v>1.4</x:v>
      </x:c>
      <x:c r="R3263" s="13" t="n">
        <x:f>IF(I3263="","",I3263/1000000)</x:f>
        <x:v>25.454545454545453</x:v>
      </x:c>
    </x:row>
    <x:row r="3264" ht="21" customHeight="1">
      <x:c r="A3264" s="10" t="n">
        <x:v>4425</x:v>
      </x:c>
      <x:c r="B3264" s="2" t="str">
        <x:v>8d427d2c8f1a3c6ec56d</x:v>
      </x:c>
      <x:c r="C3264" s="2" t="str">
        <x:v>Tp Hồ Chí Minh</x:v>
      </x:c>
      <x:c r="D3264" s="2" t="str">
        <x:v>Quận Gò Vấp</x:v>
      </x:c>
      <x:c r="E3264" s="2" t="str">
        <x:v>house</x:v>
      </x:c>
      <x:c r="F3264" s="2" t="str">
        <x:v>sale</x:v>
      </x:c>
      <x:c r="G3264" s="11" t="n">
        <x:v>21</x:v>
      </x:c>
      <x:c r="H3264" s="12" t="n">
        <x:v>1000000000</x:v>
      </x:c>
      <x:c r="I3264" s="12" t="n">
        <x:v>47619047.61904762</x:v>
      </x:c>
      <x:c r="J3264" s="2" t="str">
        <x:v>total</x:v>
      </x:c>
      <x:c r="K3264" s="2" t="str">
        <x:v>top_level_area</x:v>
      </x:c>
      <x:c r="L3264" s="2" t="str">
        <x:v>property_type_inferred_from_title</x:v>
      </x:c>
      <x:c r="M3264" s="10" t="n">
        <x:v>0</x:v>
      </x:c>
      <x:c r="N3264" s="10" t="n">
        <x:v>0</x:v>
      </x:c>
      <x:c r="O3264" s="2" t="str">
        <x:v>Tp Hồ Chí Minh|house</x:v>
      </x:c>
      <x:c r="P3264" s="10" t="n">
        <x:v>2</x:v>
      </x:c>
      <x:c r="Q3264" s="13" t="n">
        <x:f>IF(H3264="","",H3264/1000000000)</x:f>
        <x:v>1</x:v>
      </x:c>
      <x:c r="R3264" s="13" t="n">
        <x:f>IF(I3264="","",I3264/1000000)</x:f>
        <x:v>47.61904761904762</x:v>
      </x:c>
    </x:row>
    <x:row r="3265" ht="21" customHeight="1">
      <x:c r="A3265" s="10" t="n">
        <x:v>4426</x:v>
      </x:c>
      <x:c r="B3265" s="2" t="str">
        <x:v>5839e757cd52f9e2f97d</x:v>
      </x:c>
      <x:c r="C3265" s="2" t="str">
        <x:v>Tp Hồ Chí Minh</x:v>
      </x:c>
      <x:c r="D3265" s="2" t="str">
        <x:v>Quận Thủ Đức</x:v>
      </x:c>
      <x:c r="E3265" s="2" t="str">
        <x:v>house</x:v>
      </x:c>
      <x:c r="F3265" s="2" t="str">
        <x:v>sale</x:v>
      </x:c>
      <x:c r="G3265" s="11" t="n">
        <x:v>40</x:v>
      </x:c>
      <x:c r="H3265" s="12" t="n">
        <x:v>1200000000</x:v>
      </x:c>
      <x:c r="I3265" s="12" t="n">
        <x:v>30000000</x:v>
      </x:c>
      <x:c r="J3265" s="2" t="str">
        <x:v>total</x:v>
      </x:c>
      <x:c r="K3265" s="2" t="str">
        <x:v>top_level_area</x:v>
      </x:c>
      <x:c r="L3265" s="2" t="str">
        <x:v>property_type_inferred_from_title</x:v>
      </x:c>
      <x:c r="M3265" s="10" t="n">
        <x:v>0</x:v>
      </x:c>
      <x:c r="N3265" s="10" t="n">
        <x:v>0</x:v>
      </x:c>
      <x:c r="O3265" s="2" t="str">
        <x:v>Tp Hồ Chí Minh|house</x:v>
      </x:c>
      <x:c r="P3265" s="10" t="n">
        <x:v>2</x:v>
      </x:c>
      <x:c r="Q3265" s="13" t="n">
        <x:f>IF(H3265="","",H3265/1000000000)</x:f>
        <x:v>1.2</x:v>
      </x:c>
      <x:c r="R3265" s="13" t="n">
        <x:f>IF(I3265="","",I3265/1000000)</x:f>
        <x:v>30</x:v>
      </x:c>
    </x:row>
    <x:row r="3266" ht="21" customHeight="1">
      <x:c r="A3266" s="10" t="n">
        <x:v>4429</x:v>
      </x:c>
      <x:c r="B3266" s="2" t="str">
        <x:v>37c892a3e902aa7df558</x:v>
      </x:c>
      <x:c r="C3266" s="2" t="str">
        <x:v>Trà Vinh</x:v>
      </x:c>
      <x:c r="D3266" s="2" t="str">
        <x:v>Thành phố Trà Vinh</x:v>
      </x:c>
      <x:c r="E3266" s="2" t="str">
        <x:v>house</x:v>
      </x:c>
      <x:c r="F3266" s="2" t="str">
        <x:v>sale_assumed</x:v>
      </x:c>
      <x:c r="G3266" s="11" t="n">
        <x:v>100</x:v>
      </x:c>
      <x:c r="H3266" s="12" t="n">
        <x:v>1400000000</x:v>
      </x:c>
      <x:c r="I3266" s="12" t="n">
        <x:v>14000000</x:v>
      </x:c>
      <x:c r="J3266" s="2" t="str">
        <x:v>total</x:v>
      </x:c>
      <x:c r="K3266" s="2" t="str">
        <x:v>top_level_area</x:v>
      </x:c>
      <x:c r="L3266" s="2" t="str">
        <x:v>property_type_inferred_from_title;transaction_assumed_sale_from_dataset_context</x:v>
      </x:c>
      <x:c r="M3266" s="10" t="n">
        <x:v>0</x:v>
      </x:c>
      <x:c r="N3266" s="10" t="n">
        <x:v>0</x:v>
      </x:c>
      <x:c r="O3266" s="2" t="str">
        <x:v>house</x:v>
      </x:c>
      <x:c r="P3266" s="10" t="n">
        <x:v>2</x:v>
      </x:c>
      <x:c r="Q3266" s="13" t="n">
        <x:f>IF(H3266="","",H3266/1000000000)</x:f>
        <x:v>1.4</x:v>
      </x:c>
      <x:c r="R3266" s="13" t="n">
        <x:f>IF(I3266="","",I3266/1000000)</x:f>
        <x:v>14</x:v>
      </x:c>
    </x:row>
    <x:row r="3267" ht="21" customHeight="1">
      <x:c r="A3267" s="10" t="n">
        <x:v>4430</x:v>
      </x:c>
      <x:c r="B3267" s="2" t="str">
        <x:v>a9ccefb4d58e988f936a</x:v>
      </x:c>
      <x:c r="C3267" s="2" t="str">
        <x:v>Tp Hồ Chí Minh</x:v>
      </x:c>
      <x:c r="D3267" s="2" t="str">
        <x:v>Huyện Nhà Bè</x:v>
      </x:c>
      <x:c r="E3267" s="2" t="str">
        <x:v>house</x:v>
      </x:c>
      <x:c r="F3267" s="2" t="str">
        <x:v>sale</x:v>
      </x:c>
      <x:c r="G3267" s="11" t="n">
        <x:v>33</x:v>
      </x:c>
      <x:c r="H3267" s="12" t="n">
        <x:v>990000000</x:v>
      </x:c>
      <x:c r="I3267" s="12" t="n">
        <x:v>30000000</x:v>
      </x:c>
      <x:c r="J3267" s="2" t="str">
        <x:v>total</x:v>
      </x:c>
      <x:c r="K3267" s="2" t="str">
        <x:v>top_level_area</x:v>
      </x:c>
      <x:c r="L3267" s="2" t="str">
        <x:v>property_type_inferred_from_title</x:v>
      </x:c>
      <x:c r="M3267" s="10" t="n">
        <x:v>0</x:v>
      </x:c>
      <x:c r="N3267" s="10" t="n">
        <x:v>0</x:v>
      </x:c>
      <x:c r="O3267" s="2" t="str">
        <x:v>Tp Hồ Chí Minh|house</x:v>
      </x:c>
      <x:c r="P3267" s="10" t="n">
        <x:v>2</x:v>
      </x:c>
      <x:c r="Q3267" s="13" t="n">
        <x:f>IF(H3267="","",H3267/1000000000)</x:f>
        <x:v>0.99</x:v>
      </x:c>
      <x:c r="R3267" s="13" t="n">
        <x:f>IF(I3267="","",I3267/1000000)</x:f>
        <x:v>30</x:v>
      </x:c>
    </x:row>
    <x:row r="3268" ht="21" customHeight="1">
      <x:c r="A3268" s="10" t="n">
        <x:v>4431</x:v>
      </x:c>
      <x:c r="B3268" s="2" t="str">
        <x:v>347bee835af502001833</x:v>
      </x:c>
      <x:c r="C3268" s="2" t="str">
        <x:v>Hải Phòng</x:v>
      </x:c>
      <x:c r="D3268" s="2" t="str">
        <x:v>Quận Ngô Quyền</x:v>
      </x:c>
      <x:c r="E3268" s="2" t="str">
        <x:v>house</x:v>
      </x:c>
      <x:c r="F3268" s="2" t="str">
        <x:v>sale_assumed</x:v>
      </x:c>
      <x:c r="G3268" s="11" t="n">
        <x:v>70</x:v>
      </x:c>
      <x:c r="H3268" s="12" t="n">
        <x:v>2500000000</x:v>
      </x:c>
      <x:c r="I3268" s="12" t="n">
        <x:v>35714285.71428572</x:v>
      </x:c>
      <x:c r="J3268" s="2" t="str">
        <x:v>total</x:v>
      </x:c>
      <x:c r="K3268" s="2" t="str">
        <x:v>top_level_area</x:v>
      </x:c>
      <x:c r="L3268" s="2" t="str">
        <x:v>property_type_inferred_from_title;transaction_assumed_sale_from_dataset_context</x:v>
      </x:c>
      <x:c r="M3268" s="10" t="n">
        <x:v>0</x:v>
      </x:c>
      <x:c r="N3268" s="10" t="n">
        <x:v>0</x:v>
      </x:c>
      <x:c r="O3268" s="2" t="str">
        <x:v>house</x:v>
      </x:c>
      <x:c r="P3268" s="10" t="n">
        <x:v>2</x:v>
      </x:c>
      <x:c r="Q3268" s="13" t="n">
        <x:f>IF(H3268="","",H3268/1000000000)</x:f>
        <x:v>2.5</x:v>
      </x:c>
      <x:c r="R3268" s="13" t="n">
        <x:f>IF(I3268="","",I3268/1000000)</x:f>
        <x:v>35.714285714285715</x:v>
      </x:c>
    </x:row>
    <x:row r="3269" ht="21" customHeight="1">
      <x:c r="A3269" s="10" t="n">
        <x:v>4432</x:v>
      </x:c>
      <x:c r="B3269" s="2" t="str">
        <x:v>f5d615311404a5fef67c</x:v>
      </x:c>
      <x:c r="C3269" s="2" t="str">
        <x:v>Tp Hồ Chí Minh</x:v>
      </x:c>
      <x:c r="D3269" s="2" t="str">
        <x:v>Quận Thủ Đức</x:v>
      </x:c>
      <x:c r="E3269" s="2" t="str">
        <x:v>house</x:v>
      </x:c>
      <x:c r="F3269" s="2" t="str">
        <x:v>sale</x:v>
      </x:c>
      <x:c r="G3269" s="11" t="n">
        <x:v>60</x:v>
      </x:c>
      <x:c r="H3269" s="12" t="n">
        <x:v>4579000000</x:v>
      </x:c>
      <x:c r="I3269" s="12" t="n">
        <x:v>76316666.66666667</x:v>
      </x:c>
      <x:c r="J3269" s="2" t="str">
        <x:v>total</x:v>
      </x:c>
      <x:c r="K3269" s="2" t="str">
        <x:v>top_level_area</x:v>
      </x:c>
      <x:c r="L3269" s="2" t="str">
        <x:v>property_type_inferred_from_title</x:v>
      </x:c>
      <x:c r="M3269" s="10" t="n">
        <x:v>0</x:v>
      </x:c>
      <x:c r="N3269" s="10" t="n">
        <x:v>0</x:v>
      </x:c>
      <x:c r="O3269" s="2" t="str">
        <x:v>Tp Hồ Chí Minh|house</x:v>
      </x:c>
      <x:c r="P3269" s="10" t="n">
        <x:v>2</x:v>
      </x:c>
      <x:c r="Q3269" s="13" t="n">
        <x:f>IF(H3269="","",H3269/1000000000)</x:f>
        <x:v>4.579</x:v>
      </x:c>
      <x:c r="R3269" s="13" t="n">
        <x:f>IF(I3269="","",I3269/1000000)</x:f>
        <x:v>76.31666666666668</x:v>
      </x:c>
    </x:row>
    <x:row r="3270" ht="21" customHeight="1">
      <x:c r="A3270" s="10" t="n">
        <x:v>4433</x:v>
      </x:c>
      <x:c r="B3270" s="2" t="str">
        <x:v>223e27dc84bd877a073f</x:v>
      </x:c>
      <x:c r="C3270" s="2" t="str">
        <x:v>Tp Hồ Chí Minh</x:v>
      </x:c>
      <x:c r="D3270" s="2" t="str">
        <x:v>Quận Tân Phú</x:v>
      </x:c>
      <x:c r="E3270" s="2" t="str">
        <x:v>apartment</x:v>
      </x:c>
      <x:c r="F3270" s="2" t="str">
        <x:v>sale_assumed</x:v>
      </x:c>
      <x:c r="G3270" s="11" t="n">
        <x:v>59</x:v>
      </x:c>
      <x:c r="H3270" s="12" t="n">
        <x:v>1650000000</x:v>
      </x:c>
      <x:c r="I3270" s="12" t="n">
        <x:v>27966101.694915254</x:v>
      </x:c>
      <x:c r="J3270" s="2" t="str">
        <x:v>total</x:v>
      </x:c>
      <x:c r="K3270" s="2" t="str">
        <x:v>top_level_area</x:v>
      </x:c>
      <x:c r="L3270" s="2" t="str">
        <x:v>property_type_inferred_from_title;transaction_assumed_sale_from_dataset_context</x:v>
      </x:c>
      <x:c r="M3270" s="10" t="n">
        <x:v>0</x:v>
      </x:c>
      <x:c r="N3270" s="10" t="n">
        <x:v>0</x:v>
      </x:c>
      <x:c r="O3270" s="2" t="str">
        <x:v>Tp Hồ Chí Minh|apartment</x:v>
      </x:c>
      <x:c r="P3270" s="10" t="n">
        <x:v>2</x:v>
      </x:c>
      <x:c r="Q3270" s="13" t="n">
        <x:f>IF(H3270="","",H3270/1000000000)</x:f>
        <x:v>1.65</x:v>
      </x:c>
      <x:c r="R3270" s="13" t="n">
        <x:f>IF(I3270="","",I3270/1000000)</x:f>
        <x:v>27.966101694915253</x:v>
      </x:c>
    </x:row>
    <x:row r="3271" ht="21" customHeight="1">
      <x:c r="A3271" s="10" t="n">
        <x:v>4434</x:v>
      </x:c>
      <x:c r="B3271" s="2" t="str">
        <x:v>8036dca479d24720f898</x:v>
      </x:c>
      <x:c r="C3271" s="2" t="str">
        <x:v>Tp Hồ Chí Minh</x:v>
      </x:c>
      <x:c r="D3271" s="2" t="str">
        <x:v>Quận 12</x:v>
      </x:c>
      <x:c r="E3271" s="2" t="str">
        <x:v>land</x:v>
      </x:c>
      <x:c r="F3271" s="2" t="str">
        <x:v>sale_assumed</x:v>
      </x:c>
      <x:c r="G3271" s="11" t="n">
        <x:v>115</x:v>
      </x:c>
      <x:c r="H3271" s="12" t="n">
        <x:v>2850000000</x:v>
      </x:c>
      <x:c r="I3271" s="12" t="n">
        <x:v>24782608.695652176</x:v>
      </x:c>
      <x:c r="J3271" s="2" t="str">
        <x:v>total</x:v>
      </x:c>
      <x:c r="K3271" s="2" t="str">
        <x:v>top_level_area</x:v>
      </x:c>
      <x:c r="L3271" s="2" t="str">
        <x:v>property_type_inferred_from_title;transaction_assumed_sale_from_dataset_context</x:v>
      </x:c>
      <x:c r="M3271" s="10" t="n">
        <x:v>0</x:v>
      </x:c>
      <x:c r="N3271" s="10" t="n">
        <x:v>0</x:v>
      </x:c>
      <x:c r="O3271" s="2" t="str">
        <x:v>Tp Hồ Chí Minh|land</x:v>
      </x:c>
      <x:c r="P3271" s="10" t="n">
        <x:v>2</x:v>
      </x:c>
      <x:c r="Q3271" s="13" t="n">
        <x:f>IF(H3271="","",H3271/1000000000)</x:f>
        <x:v>2.85</x:v>
      </x:c>
      <x:c r="R3271" s="13" t="n">
        <x:f>IF(I3271="","",I3271/1000000)</x:f>
        <x:v>24.782608695652176</x:v>
      </x:c>
    </x:row>
    <x:row r="3272" ht="21" customHeight="1">
      <x:c r="A3272" s="10" t="n">
        <x:v>4435</x:v>
      </x:c>
      <x:c r="B3272" s="2" t="str">
        <x:v>389a24980624415aeb00</x:v>
      </x:c>
      <x:c r="C3272" s="2" t="str">
        <x:v>Tp Hồ Chí Minh</x:v>
      </x:c>
      <x:c r="D3272" s="2" t="str">
        <x:v>Quận 9</x:v>
      </x:c>
      <x:c r="E3272" s="2" t="str">
        <x:v>other_unknown</x:v>
      </x:c>
      <x:c r="F3272" s="2" t="str">
        <x:v>sale</x:v>
      </x:c>
      <x:c r="G3272" s="11" t="n">
        <x:v>56</x:v>
      </x:c>
      <x:c r="H3272" s="12" t="n">
        <x:v>2400000000</x:v>
      </x:c>
      <x:c r="I3272" s="12" t="n">
        <x:v>42857142.85714286</x:v>
      </x:c>
      <x:c r="J3272" s="2" t="str">
        <x:v>total</x:v>
      </x:c>
      <x:c r="K3272" s="2" t="str">
        <x:v>top_level_area</x:v>
      </x:c>
      <x:c r="L3272" s="2" t="str">
        <x:v>property_type_inferred_from_title;unknown_property_type</x:v>
      </x:c>
      <x:c r="M3272" s="10" t="n">
        <x:v>0</x:v>
      </x:c>
      <x:c r="N3272" s="10" t="n">
        <x:v>0</x:v>
      </x:c>
      <x:c r="O3272" s="2" t="str">
        <x:v>Tp Hồ Chí Minh|other_unknown</x:v>
      </x:c>
      <x:c r="P3272" s="10" t="n">
        <x:v>2</x:v>
      </x:c>
      <x:c r="Q3272" s="13" t="n">
        <x:f>IF(H3272="","",H3272/1000000000)</x:f>
        <x:v>2.4</x:v>
      </x:c>
      <x:c r="R3272" s="13" t="n">
        <x:f>IF(I3272="","",I3272/1000000)</x:f>
        <x:v>42.85714285714286</x:v>
      </x:c>
    </x:row>
    <x:row r="3273" ht="21" customHeight="1">
      <x:c r="A3273" s="10" t="n">
        <x:v>4436</x:v>
      </x:c>
      <x:c r="B3273" s="2" t="str">
        <x:v>ac5ea03491fb52807c16</x:v>
      </x:c>
      <x:c r="C3273" s="2" t="str">
        <x:v>Đà Nẵng</x:v>
      </x:c>
      <x:c r="D3273" s="2" t="str">
        <x:v>Quận Liên Chiểu</x:v>
      </x:c>
      <x:c r="E3273" s="2" t="str">
        <x:v>other_unknown</x:v>
      </x:c>
      <x:c r="F3273" s="2" t="str">
        <x:v>sale_assumed</x:v>
      </x:c>
      <x:c r="G3273" s="11" t="n">
        <x:v>73</x:v>
      </x:c>
      <x:c r="H3273" s="12" t="n">
        <x:v>857000000</x:v>
      </x:c>
      <x:c r="I3273" s="12" t="n">
        <x:v>11739726.02739726</x:v>
      </x:c>
      <x:c r="J3273" s="2" t="str">
        <x:v>total</x:v>
      </x:c>
      <x:c r="K3273" s="2" t="str">
        <x:v>top_level_area</x:v>
      </x:c>
      <x:c r="L3273" s="2" t="str">
        <x:v>property_type_inferred_from_title;transaction_assumed_sale_from_dataset_context;unknown_property_type</x:v>
      </x:c>
      <x:c r="M3273" s="10" t="n">
        <x:v>0</x:v>
      </x:c>
      <x:c r="N3273" s="10" t="n">
        <x:v>0</x:v>
      </x:c>
      <x:c r="O3273" s="2" t="str">
        <x:v>Đà Nẵng|other_unknown</x:v>
      </x:c>
      <x:c r="P3273" s="10" t="n">
        <x:v>2</x:v>
      </x:c>
      <x:c r="Q3273" s="13" t="n">
        <x:f>IF(H3273="","",H3273/1000000000)</x:f>
        <x:v>0.857</x:v>
      </x:c>
      <x:c r="R3273" s="13" t="n">
        <x:f>IF(I3273="","",I3273/1000000)</x:f>
        <x:v>11.73972602739726</x:v>
      </x:c>
    </x:row>
    <x:row r="3274" ht="21" customHeight="1">
      <x:c r="A3274" s="10" t="n">
        <x:v>4437</x:v>
      </x:c>
      <x:c r="B3274" s="2" t="str">
        <x:v>25397a1cf8a3c3d1534d</x:v>
      </x:c>
      <x:c r="C3274" s="2" t="str">
        <x:v>Tp Hồ Chí Minh</x:v>
      </x:c>
      <x:c r="D3274" s="2" t="str">
        <x:v>Quận Bình Tân</x:v>
      </x:c>
      <x:c r="E3274" s="2" t="str">
        <x:v>house</x:v>
      </x:c>
      <x:c r="F3274" s="2" t="str">
        <x:v>sale_assumed</x:v>
      </x:c>
      <x:c r="G3274" s="11" t="n">
        <x:v>68</x:v>
      </x:c>
      <x:c r="H3274" s="12" t="n">
        <x:v>6550000000</x:v>
      </x:c>
      <x:c r="I3274" s="12" t="n">
        <x:v>96323529.41176471</x:v>
      </x:c>
      <x:c r="J3274" s="2" t="str">
        <x:v>total</x:v>
      </x:c>
      <x:c r="K3274" s="2" t="str">
        <x:v>top_level_area</x:v>
      </x:c>
      <x:c r="L3274" s="2" t="str">
        <x:v>property_type_inferred_from_title;transaction_assumed_sale_from_dataset_context</x:v>
      </x:c>
      <x:c r="M3274" s="10" t="n">
        <x:v>0</x:v>
      </x:c>
      <x:c r="N3274" s="10" t="n">
        <x:v>0</x:v>
      </x:c>
      <x:c r="O3274" s="2" t="str">
        <x:v>Tp Hồ Chí Minh|house</x:v>
      </x:c>
      <x:c r="P3274" s="10" t="n">
        <x:v>2</x:v>
      </x:c>
      <x:c r="Q3274" s="13" t="n">
        <x:f>IF(H3274="","",H3274/1000000000)</x:f>
        <x:v>6.55</x:v>
      </x:c>
      <x:c r="R3274" s="13" t="n">
        <x:f>IF(I3274="","",I3274/1000000)</x:f>
        <x:v>96.32352941176471</x:v>
      </x:c>
    </x:row>
    <x:row r="3275" ht="21" customHeight="1">
      <x:c r="A3275" s="10" t="n">
        <x:v>4438</x:v>
      </x:c>
      <x:c r="B3275" s="2" t="str">
        <x:v>6247462a6e323b71f428</x:v>
      </x:c>
      <x:c r="C3275" s="2" t="str">
        <x:v>Hà Nội</x:v>
      </x:c>
      <x:c r="D3275" s="2" t="str">
        <x:v>Quận Hai Bà Trưng</x:v>
      </x:c>
      <x:c r="E3275" s="2" t="str">
        <x:v>apartment</x:v>
      </x:c>
      <x:c r="F3275" s="2" t="str">
        <x:v>sale_assumed</x:v>
      </x:c>
      <x:c r="G3275" s="11" t="n">
        <x:v>43</x:v>
      </x:c>
      <x:c r="H3275" s="12" t="n">
        <x:v>660000000</x:v>
      </x:c>
      <x:c r="I3275" s="12" t="n">
        <x:v>15348837.209302325</x:v>
      </x:c>
      <x:c r="J3275" s="2" t="str">
        <x:v>total</x:v>
      </x:c>
      <x:c r="K3275" s="2" t="str">
        <x:v>top_level_area</x:v>
      </x:c>
      <x:c r="L3275" s="2" t="str">
        <x:v>property_type_inferred_from_title;transaction_assumed_sale_from_dataset_context</x:v>
      </x:c>
      <x:c r="M3275" s="10" t="n">
        <x:v>0</x:v>
      </x:c>
      <x:c r="N3275" s="10" t="n">
        <x:v>0</x:v>
      </x:c>
      <x:c r="O3275" s="2" t="str">
        <x:v>Hà Nội|apartment</x:v>
      </x:c>
      <x:c r="P3275" s="10" t="n">
        <x:v>2</x:v>
      </x:c>
      <x:c r="Q3275" s="13" t="n">
        <x:f>IF(H3275="","",H3275/1000000000)</x:f>
        <x:v>0.66</x:v>
      </x:c>
      <x:c r="R3275" s="13" t="n">
        <x:f>IF(I3275="","",I3275/1000000)</x:f>
        <x:v>15.348837209302324</x:v>
      </x:c>
    </x:row>
    <x:row r="3276" ht="21" customHeight="1">
      <x:c r="A3276" s="10" t="n">
        <x:v>4439</x:v>
      </x:c>
      <x:c r="B3276" s="2" t="str">
        <x:v>ce0d669125f5416edd37</x:v>
      </x:c>
      <x:c r="C3276" s="2" t="str">
        <x:v>Tp Hồ Chí Minh</x:v>
      </x:c>
      <x:c r="D3276" s="2" t="str">
        <x:v>Huyện Nhà Bè</x:v>
      </x:c>
      <x:c r="E3276" s="2" t="str">
        <x:v>house</x:v>
      </x:c>
      <x:c r="F3276" s="2" t="str">
        <x:v>sale</x:v>
      </x:c>
      <x:c r="G3276" s="11" t="n">
        <x:v>30</x:v>
      </x:c>
      <x:c r="H3276" s="12" t="n">
        <x:v>1980000000</x:v>
      </x:c>
      <x:c r="I3276" s="12" t="n">
        <x:v>66000000</x:v>
      </x:c>
      <x:c r="J3276" s="2" t="str">
        <x:v>total</x:v>
      </x:c>
      <x:c r="K3276" s="2" t="str">
        <x:v>top_level_area</x:v>
      </x:c>
      <x:c r="L3276" s="2" t="str">
        <x:v>property_type_inferred_from_title</x:v>
      </x:c>
      <x:c r="M3276" s="10" t="n">
        <x:v>0</x:v>
      </x:c>
      <x:c r="N3276" s="10" t="n">
        <x:v>0</x:v>
      </x:c>
      <x:c r="O3276" s="2" t="str">
        <x:v>Tp Hồ Chí Minh|house</x:v>
      </x:c>
      <x:c r="P3276" s="10" t="n">
        <x:v>2</x:v>
      </x:c>
      <x:c r="Q3276" s="13" t="n">
        <x:f>IF(H3276="","",H3276/1000000000)</x:f>
        <x:v>1.98</x:v>
      </x:c>
      <x:c r="R3276" s="13" t="n">
        <x:f>IF(I3276="","",I3276/1000000)</x:f>
        <x:v>66</x:v>
      </x:c>
    </x:row>
    <x:row r="3277" ht="21" customHeight="1">
      <x:c r="A3277" s="10" t="n">
        <x:v>4440</x:v>
      </x:c>
      <x:c r="B3277" s="2" t="str">
        <x:v>b8d850f8bbb8b843b5ba</x:v>
      </x:c>
      <x:c r="C3277" s="2" t="str">
        <x:v>Đà Nẵng</x:v>
      </x:c>
      <x:c r="D3277" s="2" t="str">
        <x:v>Quận Ngũ Hành Sơn</x:v>
      </x:c>
      <x:c r="E3277" s="2" t="str">
        <x:v>house</x:v>
      </x:c>
      <x:c r="F3277" s="2" t="str">
        <x:v>sale_assumed</x:v>
      </x:c>
      <x:c r="G3277" s="11" t="n">
        <x:v>417</x:v>
      </x:c>
      <x:c r="H3277" s="12" t="n">
        <x:v>10000000000</x:v>
      </x:c>
      <x:c r="I3277" s="12" t="n">
        <x:v>23980815.347721823</x:v>
      </x:c>
      <x:c r="J3277" s="2" t="str">
        <x:v>total</x:v>
      </x:c>
      <x:c r="K3277" s="2" t="str">
        <x:v>top_level_area</x:v>
      </x:c>
      <x:c r="L3277" s="2" t="str">
        <x:v>property_type_inferred_from_title;transaction_assumed_sale_from_dataset_context</x:v>
      </x:c>
      <x:c r="M3277" s="10" t="n">
        <x:v>0</x:v>
      </x:c>
      <x:c r="N3277" s="10" t="n">
        <x:v>0</x:v>
      </x:c>
      <x:c r="O3277" s="2" t="str">
        <x:v>Đà Nẵng|house</x:v>
      </x:c>
      <x:c r="P3277" s="10" t="n">
        <x:v>2</x:v>
      </x:c>
      <x:c r="Q3277" s="13" t="n">
        <x:f>IF(H3277="","",H3277/1000000000)</x:f>
        <x:v>10</x:v>
      </x:c>
      <x:c r="R3277" s="13" t="n">
        <x:f>IF(I3277="","",I3277/1000000)</x:f>
        <x:v>23.980815347721823</x:v>
      </x:c>
    </x:row>
    <x:row r="3278" ht="21" customHeight="1">
      <x:c r="A3278" s="10" t="n">
        <x:v>4441</x:v>
      </x:c>
      <x:c r="B3278" s="2" t="str">
        <x:v>4a331be025f6c687aea6</x:v>
      </x:c>
      <x:c r="C3278" s="2" t="str">
        <x:v>Hà Nội</x:v>
      </x:c>
      <x:c r="D3278" s="2" t="str">
        <x:v>Quận Hà Đông</x:v>
      </x:c>
      <x:c r="E3278" s="2" t="str">
        <x:v>house</x:v>
      </x:c>
      <x:c r="F3278" s="2" t="str">
        <x:v>sale_assumed</x:v>
      </x:c>
      <x:c r="G3278" s="11" t="n">
        <x:v>34</x:v>
      </x:c>
      <x:c r="H3278" s="12" t="n">
        <x:v>1500000000</x:v>
      </x:c>
      <x:c r="I3278" s="12" t="n">
        <x:v>44117647.058823526</x:v>
      </x:c>
      <x:c r="J3278" s="2" t="str">
        <x:v>total</x:v>
      </x:c>
      <x:c r="K3278" s="2" t="str">
        <x:v>top_level_area</x:v>
      </x:c>
      <x:c r="L3278" s="2" t="str">
        <x:v>property_type_inferred_from_title;transaction_assumed_sale_from_dataset_context</x:v>
      </x:c>
      <x:c r="M3278" s="10" t="n">
        <x:v>0</x:v>
      </x:c>
      <x:c r="N3278" s="10" t="n">
        <x:v>0</x:v>
      </x:c>
      <x:c r="O3278" s="2" t="str">
        <x:v>Hà Nội|house</x:v>
      </x:c>
      <x:c r="P3278" s="10" t="n">
        <x:v>2</x:v>
      </x:c>
      <x:c r="Q3278" s="13" t="n">
        <x:f>IF(H3278="","",H3278/1000000000)</x:f>
        <x:v>1.5</x:v>
      </x:c>
      <x:c r="R3278" s="13" t="n">
        <x:f>IF(I3278="","",I3278/1000000)</x:f>
        <x:v>44.11764705882353</x:v>
      </x:c>
    </x:row>
    <x:row r="3279" ht="21" customHeight="1">
      <x:c r="A3279" s="10" t="n">
        <x:v>4442</x:v>
      </x:c>
      <x:c r="B3279" s="2" t="str">
        <x:v>ca51d2dd171cffe13c24</x:v>
      </x:c>
      <x:c r="C3279" s="2" t="str">
        <x:v>Cần Thơ</x:v>
      </x:c>
      <x:c r="D3279" s="2" t="str">
        <x:v>Quận Bình Thuỷ</x:v>
      </x:c>
      <x:c r="E3279" s="2" t="str">
        <x:v>house</x:v>
      </x:c>
      <x:c r="F3279" s="2" t="str">
        <x:v>sale</x:v>
      </x:c>
      <x:c r="G3279" s="11" t="n">
        <x:v>117</x:v>
      </x:c>
      <x:c r="H3279" s="12" t="n">
        <x:v>2990000000</x:v>
      </x:c>
      <x:c r="I3279" s="12" t="n">
        <x:v>25555555.555555556</x:v>
      </x:c>
      <x:c r="J3279" s="2" t="str">
        <x:v>total</x:v>
      </x:c>
      <x:c r="K3279" s="2" t="str">
        <x:v>top_level_area</x:v>
      </x:c>
      <x:c r="L3279" s="2" t="str">
        <x:v>property_type_inferred_from_title</x:v>
      </x:c>
      <x:c r="M3279" s="10" t="n">
        <x:v>0</x:v>
      </x:c>
      <x:c r="N3279" s="10" t="n">
        <x:v>0</x:v>
      </x:c>
      <x:c r="O3279" s="2" t="str">
        <x:v>Cần Thơ|house</x:v>
      </x:c>
      <x:c r="P3279" s="10" t="n">
        <x:v>2</x:v>
      </x:c>
      <x:c r="Q3279" s="13" t="n">
        <x:f>IF(H3279="","",H3279/1000000000)</x:f>
        <x:v>2.99</x:v>
      </x:c>
      <x:c r="R3279" s="13" t="n">
        <x:f>IF(I3279="","",I3279/1000000)</x:f>
        <x:v>25.555555555555557</x:v>
      </x:c>
    </x:row>
    <x:row r="3280" ht="21" customHeight="1">
      <x:c r="A3280" s="10" t="n">
        <x:v>4443</x:v>
      </x:c>
      <x:c r="B3280" s="2" t="str">
        <x:v>b90f613c63a448254eba</x:v>
      </x:c>
      <x:c r="C3280" s="2" t="str">
        <x:v>Hà Nội</x:v>
      </x:c>
      <x:c r="D3280" s="2" t="str">
        <x:v>Quận Nam Từ Liêm</x:v>
      </x:c>
      <x:c r="E3280" s="2" t="str">
        <x:v>house</x:v>
      </x:c>
      <x:c r="F3280" s="2" t="str">
        <x:v>sale_assumed</x:v>
      </x:c>
      <x:c r="G3280" s="11" t="n">
        <x:v>32</x:v>
      </x:c>
      <x:c r="H3280" s="12" t="n">
        <x:v>5400000000</x:v>
      </x:c>
      <x:c r="I3280" s="12" t="n">
        <x:v>168750000</x:v>
      </x:c>
      <x:c r="J3280" s="2" t="str">
        <x:v>total</x:v>
      </x:c>
      <x:c r="K3280" s="2" t="str">
        <x:v>top_level_area</x:v>
      </x:c>
      <x:c r="L3280" s="2" t="str">
        <x:v>property_type_inferred_from_title;transaction_assumed_sale_from_dataset_context</x:v>
      </x:c>
      <x:c r="M3280" s="10" t="n">
        <x:v>1</x:v>
      </x:c>
      <x:c r="N3280" s="10" t="n">
        <x:v>0</x:v>
      </x:c>
      <x:c r="O3280" s="2" t="str">
        <x:v>Hà Nội|house</x:v>
      </x:c>
      <x:c r="P3280" s="10" t="n">
        <x:v>2</x:v>
      </x:c>
      <x:c r="Q3280" s="13" t="n">
        <x:f>IF(H3280="","",H3280/1000000000)</x:f>
        <x:v>5.4</x:v>
      </x:c>
      <x:c r="R3280" s="13" t="n">
        <x:f>IF(I3280="","",I3280/1000000)</x:f>
        <x:v>168.75</x:v>
      </x:c>
    </x:row>
    <x:row r="3281" ht="21" customHeight="1">
      <x:c r="A3281" s="10" t="n">
        <x:v>4444</x:v>
      </x:c>
      <x:c r="B3281" s="2" t="str">
        <x:v>9cea9b48809bb83d7a7e</x:v>
      </x:c>
      <x:c r="C3281" s="2" t="str">
        <x:v>Cần Thơ</x:v>
      </x:c>
      <x:c r="D3281" s="2" t="str">
        <x:v>Quận Ninh Kiều</x:v>
      </x:c>
      <x:c r="E3281" s="2" t="str">
        <x:v>house</x:v>
      </x:c>
      <x:c r="F3281" s="2" t="str">
        <x:v>sale_assumed</x:v>
      </x:c>
      <x:c r="G3281" s="11" t="n">
        <x:v>80</x:v>
      </x:c>
      <x:c r="H3281" s="12" t="n">
        <x:v>4500000000</x:v>
      </x:c>
      <x:c r="I3281" s="12" t="n">
        <x:v>56250000</x:v>
      </x:c>
      <x:c r="J3281" s="2" t="str">
        <x:v>total</x:v>
      </x:c>
      <x:c r="K3281" s="2" t="str">
        <x:v>top_level_area</x:v>
      </x:c>
      <x:c r="L3281" s="2" t="str">
        <x:v>property_type_inferred_from_title;transaction_assumed_sale_from_dataset_context</x:v>
      </x:c>
      <x:c r="M3281" s="10" t="n">
        <x:v>0</x:v>
      </x:c>
      <x:c r="N3281" s="10" t="n">
        <x:v>0</x:v>
      </x:c>
      <x:c r="O3281" s="2" t="str">
        <x:v>Cần Thơ|house</x:v>
      </x:c>
      <x:c r="P3281" s="10" t="n">
        <x:v>2</x:v>
      </x:c>
      <x:c r="Q3281" s="13" t="n">
        <x:f>IF(H3281="","",H3281/1000000000)</x:f>
        <x:v>4.5</x:v>
      </x:c>
      <x:c r="R3281" s="13" t="n">
        <x:f>IF(I3281="","",I3281/1000000)</x:f>
        <x:v>56.25</x:v>
      </x:c>
    </x:row>
    <x:row r="3282" ht="21" customHeight="1">
      <x:c r="A3282" s="10" t="n">
        <x:v>4445</x:v>
      </x:c>
      <x:c r="B3282" s="2" t="str">
        <x:v>ee024bea503cc4f5c3e8</x:v>
      </x:c>
      <x:c r="C3282" s="2" t="str">
        <x:v>Long An</x:v>
      </x:c>
      <x:c r="D3282" s="2" t="str">
        <x:v>Huyện Đức Hòa</x:v>
      </x:c>
      <x:c r="E3282" s="2" t="str">
        <x:v>house</x:v>
      </x:c>
      <x:c r="F3282" s="2" t="str">
        <x:v>sale_assumed</x:v>
      </x:c>
      <x:c r="G3282" s="11" t="n">
        <x:v>28.86</x:v>
      </x:c>
      <x:c r="H3282" s="12" t="n">
        <x:v>930000000</x:v>
      </x:c>
      <x:c r="I3282" s="12" t="n">
        <x:v>32224532.224532224</x:v>
      </x:c>
      <x:c r="J3282" s="2" t="str">
        <x:v>total</x:v>
      </x:c>
      <x:c r="K3282" s="2" t="str">
        <x:v>top_level_area</x:v>
      </x:c>
      <x:c r="L3282" s="2" t="str">
        <x:v>property_type_inferred_from_title;transaction_assumed_sale_from_dataset_context</x:v>
      </x:c>
      <x:c r="M3282" s="10" t="n">
        <x:v>0</x:v>
      </x:c>
      <x:c r="N3282" s="10" t="n">
        <x:v>0</x:v>
      </x:c>
      <x:c r="O3282" s="2" t="str">
        <x:v>Long An|house</x:v>
      </x:c>
      <x:c r="P3282" s="10" t="n">
        <x:v>2</x:v>
      </x:c>
      <x:c r="Q3282" s="13" t="n">
        <x:f>IF(H3282="","",H3282/1000000000)</x:f>
        <x:v>0.93</x:v>
      </x:c>
      <x:c r="R3282" s="13" t="n">
        <x:f>IF(I3282="","",I3282/1000000)</x:f>
        <x:v>32.224532224532226</x:v>
      </x:c>
    </x:row>
    <x:row r="3283" ht="21" customHeight="1">
      <x:c r="A3283" s="10" t="n">
        <x:v>4446</x:v>
      </x:c>
      <x:c r="B3283" s="2" t="str">
        <x:v>b46c52ce7ba8c78e82b6</x:v>
      </x:c>
      <x:c r="C3283" s="2" t="str">
        <x:v>Tp Hồ Chí Minh</x:v>
      </x:c>
      <x:c r="D3283" s="2" t="str">
        <x:v>Quận 10</x:v>
      </x:c>
      <x:c r="E3283" s="2" t="str">
        <x:v>house</x:v>
      </x:c>
      <x:c r="F3283" s="2" t="str">
        <x:v>sale_assumed</x:v>
      </x:c>
      <x:c r="G3283" s="11" t="n">
        <x:v>149</x:v>
      </x:c>
      <x:c r="H3283" s="12" t="n">
        <x:v>13000000000</x:v>
      </x:c>
      <x:c r="I3283" s="12" t="n">
        <x:v>87248322.147651</x:v>
      </x:c>
      <x:c r="J3283" s="2" t="str">
        <x:v>total</x:v>
      </x:c>
      <x:c r="K3283" s="2" t="str">
        <x:v>top_level_area</x:v>
      </x:c>
      <x:c r="L3283" s="2" t="str">
        <x:v>property_type_inferred_from_title;transaction_assumed_sale_from_dataset_context</x:v>
      </x:c>
      <x:c r="M3283" s="10" t="n">
        <x:v>0</x:v>
      </x:c>
      <x:c r="N3283" s="10" t="n">
        <x:v>0</x:v>
      </x:c>
      <x:c r="O3283" s="2" t="str">
        <x:v>Tp Hồ Chí Minh|house</x:v>
      </x:c>
      <x:c r="P3283" s="10" t="n">
        <x:v>2</x:v>
      </x:c>
      <x:c r="Q3283" s="13" t="n">
        <x:f>IF(H3283="","",H3283/1000000000)</x:f>
        <x:v>13</x:v>
      </x:c>
      <x:c r="R3283" s="13" t="n">
        <x:f>IF(I3283="","",I3283/1000000)</x:f>
        <x:v>87.248322147651</x:v>
      </x:c>
    </x:row>
    <x:row r="3284" ht="21" customHeight="1">
      <x:c r="A3284" s="10" t="n">
        <x:v>4447</x:v>
      </x:c>
      <x:c r="B3284" s="2" t="str">
        <x:v>1afdd61f091e5cf1e05c</x:v>
      </x:c>
      <x:c r="C3284" s="2" t="str">
        <x:v>Tp Hồ Chí Minh</x:v>
      </x:c>
      <x:c r="D3284" s="2" t="str">
        <x:v>Quận Thủ Đức</x:v>
      </x:c>
      <x:c r="E3284" s="2" t="str">
        <x:v>land</x:v>
      </x:c>
      <x:c r="F3284" s="2" t="str">
        <x:v>sale</x:v>
      </x:c>
      <x:c r="G3284" s="11" t="n">
        <x:v>80</x:v>
      </x:c>
      <x:c r="H3284" s="12" t="n">
        <x:v>540000000</x:v>
      </x:c>
      <x:c r="I3284" s="12" t="n">
        <x:v>6750000</x:v>
      </x:c>
      <x:c r="J3284" s="2" t="str">
        <x:v>total</x:v>
      </x:c>
      <x:c r="K3284" s="2" t="str">
        <x:v>top_level_area</x:v>
      </x:c>
      <x:c r="L3284" s="2" t="str">
        <x:v>property_type_inferred_from_title</x:v>
      </x:c>
      <x:c r="M3284" s="10" t="n">
        <x:v>0</x:v>
      </x:c>
      <x:c r="N3284" s="10" t="n">
        <x:v>0</x:v>
      </x:c>
      <x:c r="O3284" s="2" t="str">
        <x:v>Tp Hồ Chí Minh|land</x:v>
      </x:c>
      <x:c r="P3284" s="10" t="n">
        <x:v>2</x:v>
      </x:c>
      <x:c r="Q3284" s="13" t="n">
        <x:f>IF(H3284="","",H3284/1000000000)</x:f>
        <x:v>0.54</x:v>
      </x:c>
      <x:c r="R3284" s="13" t="n">
        <x:f>IF(I3284="","",I3284/1000000)</x:f>
        <x:v>6.75</x:v>
      </x:c>
    </x:row>
    <x:row r="3285" ht="21" customHeight="1">
      <x:c r="A3285" s="10" t="n">
        <x:v>4448</x:v>
      </x:c>
      <x:c r="B3285" s="2" t="str">
        <x:v>11a448f657cfe2719f3d</x:v>
      </x:c>
      <x:c r="C3285" s="2" t="str">
        <x:v>Tp Hồ Chí Minh</x:v>
      </x:c>
      <x:c r="D3285" s="2" t="str">
        <x:v>Quận 7</x:v>
      </x:c>
      <x:c r="E3285" s="2" t="str">
        <x:v>house</x:v>
      </x:c>
      <x:c r="F3285" s="2" t="str">
        <x:v>sale_assumed</x:v>
      </x:c>
      <x:c r="G3285" s="11" t="n">
        <x:v>50</x:v>
      </x:c>
      <x:c r="H3285" s="12" t="n">
        <x:v>790000000</x:v>
      </x:c>
      <x:c r="I3285" s="12" t="n">
        <x:v>15800000</x:v>
      </x:c>
      <x:c r="J3285" s="2" t="str">
        <x:v>total</x:v>
      </x:c>
      <x:c r="K3285" s="2" t="str">
        <x:v>top_level_area</x:v>
      </x:c>
      <x:c r="L3285" s="2" t="str">
        <x:v>property_type_inferred_from_title;transaction_assumed_sale_from_dataset_context</x:v>
      </x:c>
      <x:c r="M3285" s="10" t="n">
        <x:v>0</x:v>
      </x:c>
      <x:c r="N3285" s="10" t="n">
        <x:v>0</x:v>
      </x:c>
      <x:c r="O3285" s="2" t="str">
        <x:v>Tp Hồ Chí Minh|house</x:v>
      </x:c>
      <x:c r="P3285" s="10" t="n">
        <x:v>2</x:v>
      </x:c>
      <x:c r="Q3285" s="13" t="n">
        <x:f>IF(H3285="","",H3285/1000000000)</x:f>
        <x:v>0.79</x:v>
      </x:c>
      <x:c r="R3285" s="13" t="n">
        <x:f>IF(I3285="","",I3285/1000000)</x:f>
        <x:v>15.8</x:v>
      </x:c>
    </x:row>
    <x:row r="3286" ht="21" customHeight="1">
      <x:c r="A3286" s="10" t="n">
        <x:v>4452</x:v>
      </x:c>
      <x:c r="B3286" s="2" t="str">
        <x:v>927b931b9d8e94e61243</x:v>
      </x:c>
      <x:c r="C3286" s="2" t="str">
        <x:v>Long An</x:v>
      </x:c>
      <x:c r="D3286" s="2" t="str">
        <x:v>Huyện Đức Hòa</x:v>
      </x:c>
      <x:c r="E3286" s="2" t="str">
        <x:v>other_unknown</x:v>
      </x:c>
      <x:c r="F3286" s="2" t="str">
        <x:v>sale</x:v>
      </x:c>
      <x:c r="G3286" s="11" t="n">
        <x:v>135</x:v>
      </x:c>
      <x:c r="H3286" s="12" t="n">
        <x:v>1100000000</x:v>
      </x:c>
      <x:c r="I3286" s="12" t="n">
        <x:v>8148148.148148148</x:v>
      </x:c>
      <x:c r="J3286" s="2" t="str">
        <x:v>total</x:v>
      </x:c>
      <x:c r="K3286" s="2" t="str">
        <x:v>top_level_area</x:v>
      </x:c>
      <x:c r="L3286" s="2" t="str">
        <x:v>property_type_inferred_from_title;unknown_property_type</x:v>
      </x:c>
      <x:c r="M3286" s="10" t="n">
        <x:v>0</x:v>
      </x:c>
      <x:c r="N3286" s="10" t="n">
        <x:v>0</x:v>
      </x:c>
      <x:c r="O3286" s="2" t="str">
        <x:v>Long An|other_unknown</x:v>
      </x:c>
      <x:c r="P3286" s="10" t="n">
        <x:v>2</x:v>
      </x:c>
      <x:c r="Q3286" s="13" t="n">
        <x:f>IF(H3286="","",H3286/1000000000)</x:f>
        <x:v>1.1</x:v>
      </x:c>
      <x:c r="R3286" s="13" t="n">
        <x:f>IF(I3286="","",I3286/1000000)</x:f>
        <x:v>8.148148148148149</x:v>
      </x:c>
    </x:row>
    <x:row r="3287" ht="21" customHeight="1">
      <x:c r="A3287" s="10" t="n">
        <x:v>4453</x:v>
      </x:c>
      <x:c r="B3287" s="2" t="str">
        <x:v>70fe32434dc768ae2741</x:v>
      </x:c>
      <x:c r="C3287" s="2" t="str">
        <x:v>Bình Dương</x:v>
      </x:c>
      <x:c r="D3287" s="2" t="str">
        <x:v>Thị xã Dĩ An</x:v>
      </x:c>
      <x:c r="E3287" s="2" t="str">
        <x:v>apartment</x:v>
      </x:c>
      <x:c r="F3287" s="2" t="str">
        <x:v>sale_assumed</x:v>
      </x:c>
      <x:c r="G3287" s="11" t="n">
        <x:v>58</x:v>
      </x:c>
      <x:c r="H3287" s="12" t="n">
        <x:v>1285000000</x:v>
      </x:c>
      <x:c r="I3287" s="12" t="n">
        <x:v>22155172.413793102</x:v>
      </x:c>
      <x:c r="J3287" s="2" t="str">
        <x:v>total</x:v>
      </x:c>
      <x:c r="K3287" s="2" t="str">
        <x:v>top_level_price_embedded_area</x:v>
      </x:c>
      <x:c r="L3287" s="2" t="str">
        <x:v>area_recovered_from_price_text;property_type_inferred_from_title;transaction_assumed_sale_from_dataset_context</x:v>
      </x:c>
      <x:c r="M3287" s="10" t="n">
        <x:v>0</x:v>
      </x:c>
      <x:c r="N3287" s="10" t="n">
        <x:v>0</x:v>
      </x:c>
      <x:c r="O3287" s="2" t="str">
        <x:v>Bình Dương|apartment</x:v>
      </x:c>
      <x:c r="P3287" s="10" t="n">
        <x:v>2</x:v>
      </x:c>
      <x:c r="Q3287" s="13" t="n">
        <x:f>IF(H3287="","",H3287/1000000000)</x:f>
        <x:v>1.285</x:v>
      </x:c>
      <x:c r="R3287" s="13" t="n">
        <x:f>IF(I3287="","",I3287/1000000)</x:f>
        <x:v>22.155172413793103</x:v>
      </x:c>
    </x:row>
    <x:row r="3288" ht="21" customHeight="1">
      <x:c r="A3288" s="10" t="n">
        <x:v>4454</x:v>
      </x:c>
      <x:c r="B3288" s="2" t="str">
        <x:v>36869e26fab642a20936</x:v>
      </x:c>
      <x:c r="C3288" s="2" t="str">
        <x:v>Hà Nội</x:v>
      </x:c>
      <x:c r="D3288" s="2" t="str">
        <x:v>Quận Tây Hồ</x:v>
      </x:c>
      <x:c r="E3288" s="2" t="str">
        <x:v>house</x:v>
      </x:c>
      <x:c r="F3288" s="2" t="str">
        <x:v>sale</x:v>
      </x:c>
      <x:c r="G3288" s="11" t="n">
        <x:v>20</x:v>
      </x:c>
      <x:c r="H3288" s="12" t="n">
        <x:v>2300000000</x:v>
      </x:c>
      <x:c r="I3288" s="12" t="n">
        <x:v>115000000</x:v>
      </x:c>
      <x:c r="J3288" s="2" t="str">
        <x:v>total</x:v>
      </x:c>
      <x:c r="K3288" s="2" t="str">
        <x:v>top_level_area</x:v>
      </x:c>
      <x:c r="L3288" s="2" t="str">
        <x:v>property_type_inferred_from_title</x:v>
      </x:c>
      <x:c r="M3288" s="10" t="n">
        <x:v>0</x:v>
      </x:c>
      <x:c r="N3288" s="10" t="n">
        <x:v>0</x:v>
      </x:c>
      <x:c r="O3288" s="2" t="str">
        <x:v>Hà Nội|house</x:v>
      </x:c>
      <x:c r="P3288" s="10" t="n">
        <x:v>2</x:v>
      </x:c>
      <x:c r="Q3288" s="13" t="n">
        <x:f>IF(H3288="","",H3288/1000000000)</x:f>
        <x:v>2.3</x:v>
      </x:c>
      <x:c r="R3288" s="13" t="n">
        <x:f>IF(I3288="","",I3288/1000000)</x:f>
        <x:v>115</x:v>
      </x:c>
    </x:row>
    <x:row r="3289" ht="21" customHeight="1">
      <x:c r="A3289" s="10" t="n">
        <x:v>4455</x:v>
      </x:c>
      <x:c r="B3289" s="2" t="str">
        <x:v>14e4379ef4a894f8f516</x:v>
      </x:c>
      <x:c r="C3289" s="2" t="str">
        <x:v>Đắk Lắk</x:v>
      </x:c>
      <x:c r="D3289" s="2" t="str">
        <x:v>Thành phố Buôn Ma Thuột</x:v>
      </x:c>
      <x:c r="E3289" s="2" t="str">
        <x:v>house</x:v>
      </x:c>
      <x:c r="F3289" s="2" t="str">
        <x:v>sale_assumed</x:v>
      </x:c>
      <x:c r="G3289" s="11" t="n">
        <x:v>75</x:v>
      </x:c>
      <x:c r="H3289" s="12" t="n">
        <x:v>2700000000</x:v>
      </x:c>
      <x:c r="I3289" s="12" t="n">
        <x:v>36000000</x:v>
      </x:c>
      <x:c r="J3289" s="2" t="str">
        <x:v>total</x:v>
      </x:c>
      <x:c r="K3289" s="2" t="str">
        <x:v>top_level_area</x:v>
      </x:c>
      <x:c r="L3289" s="2" t="str">
        <x:v>property_type_inferred_from_title;transaction_assumed_sale_from_dataset_context</x:v>
      </x:c>
      <x:c r="M3289" s="10" t="n">
        <x:v>0</x:v>
      </x:c>
      <x:c r="N3289" s="10" t="n">
        <x:v>0</x:v>
      </x:c>
      <x:c r="O3289" s="2" t="str">
        <x:v>Đắk Lắk|house</x:v>
      </x:c>
      <x:c r="P3289" s="10" t="n">
        <x:v>2</x:v>
      </x:c>
      <x:c r="Q3289" s="13" t="n">
        <x:f>IF(H3289="","",H3289/1000000000)</x:f>
        <x:v>2.7</x:v>
      </x:c>
      <x:c r="R3289" s="13" t="n">
        <x:f>IF(I3289="","",I3289/1000000)</x:f>
        <x:v>36</x:v>
      </x:c>
    </x:row>
    <x:row r="3290" ht="21" customHeight="1">
      <x:c r="A3290" s="10" t="n">
        <x:v>4456</x:v>
      </x:c>
      <x:c r="B3290" s="2" t="str">
        <x:v>89f4417dc6bc76001631</x:v>
      </x:c>
      <x:c r="C3290" s="2" t="str">
        <x:v>Hà Nội</x:v>
      </x:c>
      <x:c r="D3290" s="2" t="str">
        <x:v>Quận Tây Hồ</x:v>
      </x:c>
      <x:c r="E3290" s="2" t="str">
        <x:v>land</x:v>
      </x:c>
      <x:c r="F3290" s="2" t="str">
        <x:v>sale</x:v>
      </x:c>
      <x:c r="G3290" s="11" t="n">
        <x:v>150</x:v>
      </x:c>
      <x:c r="H3290" s="12" t="n">
        <x:v>5700000000</x:v>
      </x:c>
      <x:c r="I3290" s="12" t="n">
        <x:v>38000000</x:v>
      </x:c>
      <x:c r="J3290" s="2" t="str">
        <x:v>total</x:v>
      </x:c>
      <x:c r="K3290" s="2" t="str">
        <x:v>top_level_area</x:v>
      </x:c>
      <x:c r="L3290" s="2" t="str">
        <x:v>property_type_inferred_from_title</x:v>
      </x:c>
      <x:c r="M3290" s="10" t="n">
        <x:v>0</x:v>
      </x:c>
      <x:c r="N3290" s="10" t="n">
        <x:v>0</x:v>
      </x:c>
      <x:c r="O3290" s="2" t="str">
        <x:v>Hà Nội|land</x:v>
      </x:c>
      <x:c r="P3290" s="10" t="n">
        <x:v>2</x:v>
      </x:c>
      <x:c r="Q3290" s="13" t="n">
        <x:f>IF(H3290="","",H3290/1000000000)</x:f>
        <x:v>5.7</x:v>
      </x:c>
      <x:c r="R3290" s="13" t="n">
        <x:f>IF(I3290="","",I3290/1000000)</x:f>
        <x:v>38</x:v>
      </x:c>
    </x:row>
    <x:row r="3291" ht="21" customHeight="1">
      <x:c r="A3291" s="10" t="n">
        <x:v>4457</x:v>
      </x:c>
      <x:c r="B3291" s="2" t="str">
        <x:v>cd37c64103e87f0efcd6</x:v>
      </x:c>
      <x:c r="C3291" s="2" t="str">
        <x:v>Tp Hồ Chí Minh</x:v>
      </x:c>
      <x:c r="D3291" s="2" t="str">
        <x:v>Huyện Củ Chi</x:v>
      </x:c>
      <x:c r="E3291" s="2" t="str">
        <x:v>other_unknown</x:v>
      </x:c>
      <x:c r="F3291" s="2" t="str">
        <x:v>sale_assumed</x:v>
      </x:c>
      <x:c r="G3291" s="11" t="n">
        <x:v>125</x:v>
      </x:c>
      <x:c r="H3291" s="12" t="n">
        <x:v>1200000000</x:v>
      </x:c>
      <x:c r="I3291" s="12" t="n">
        <x:v>9600000</x:v>
      </x:c>
      <x:c r="J3291" s="2" t="str">
        <x:v>total</x:v>
      </x:c>
      <x:c r="K3291" s="2" t="str">
        <x:v>top_level_area</x:v>
      </x:c>
      <x:c r="L3291" s="2" t="str">
        <x:v>property_type_inferred_from_title;transaction_assumed_sale_from_dataset_context;unknown_property_type</x:v>
      </x:c>
      <x:c r="M3291" s="10" t="n">
        <x:v>0</x:v>
      </x:c>
      <x:c r="N3291" s="10" t="n">
        <x:v>0</x:v>
      </x:c>
      <x:c r="O3291" s="2" t="str">
        <x:v>Tp Hồ Chí Minh|other_unknown</x:v>
      </x:c>
      <x:c r="P3291" s="10" t="n">
        <x:v>2</x:v>
      </x:c>
      <x:c r="Q3291" s="13" t="n">
        <x:f>IF(H3291="","",H3291/1000000000)</x:f>
        <x:v>1.2</x:v>
      </x:c>
      <x:c r="R3291" s="13" t="n">
        <x:f>IF(I3291="","",I3291/1000000)</x:f>
        <x:v>9.6</x:v>
      </x:c>
    </x:row>
    <x:row r="3292" ht="21" customHeight="1">
      <x:c r="A3292" s="10" t="n">
        <x:v>4458</x:v>
      </x:c>
      <x:c r="B3292" s="2" t="str">
        <x:v>b9e278871aa6785e9a11</x:v>
      </x:c>
      <x:c r="C3292" s="2" t="str">
        <x:v>Hải Phòng</x:v>
      </x:c>
      <x:c r="D3292" s="2" t="str">
        <x:v>Quận Hải An</x:v>
      </x:c>
      <x:c r="E3292" s="2" t="str">
        <x:v>house</x:v>
      </x:c>
      <x:c r="F3292" s="2" t="str">
        <x:v>sale_assumed</x:v>
      </x:c>
      <x:c r="G3292" s="11" t="n">
        <x:v>36</x:v>
      </x:c>
      <x:c r="H3292" s="12" t="n">
        <x:v>1450000000</x:v>
      </x:c>
      <x:c r="I3292" s="12" t="n">
        <x:v>40277777.777777776</x:v>
      </x:c>
      <x:c r="J3292" s="2" t="str">
        <x:v>total</x:v>
      </x:c>
      <x:c r="K3292" s="2" t="str">
        <x:v>top_level_area</x:v>
      </x:c>
      <x:c r="L3292" s="2" t="str">
        <x:v>property_type_inferred_from_title;transaction_assumed_sale_from_dataset_context</x:v>
      </x:c>
      <x:c r="M3292" s="10" t="n">
        <x:v>0</x:v>
      </x:c>
      <x:c r="N3292" s="10" t="n">
        <x:v>0</x:v>
      </x:c>
      <x:c r="O3292" s="2" t="str">
        <x:v>house</x:v>
      </x:c>
      <x:c r="P3292" s="10" t="n">
        <x:v>2</x:v>
      </x:c>
      <x:c r="Q3292" s="13" t="n">
        <x:f>IF(H3292="","",H3292/1000000000)</x:f>
        <x:v>1.45</x:v>
      </x:c>
      <x:c r="R3292" s="13" t="n">
        <x:f>IF(I3292="","",I3292/1000000)</x:f>
        <x:v>40.27777777777778</x:v>
      </x:c>
    </x:row>
    <x:row r="3293" ht="21" customHeight="1">
      <x:c r="A3293" s="10" t="n">
        <x:v>4459</x:v>
      </x:c>
      <x:c r="B3293" s="2" t="str">
        <x:v>87ba698902d1297bb80c</x:v>
      </x:c>
      <x:c r="C3293" s="2" t="str">
        <x:v>Bình Dương</x:v>
      </x:c>
      <x:c r="D3293" s="2" t="str">
        <x:v>Thị xã Thuận An</x:v>
      </x:c>
      <x:c r="E3293" s="2" t="str">
        <x:v>house</x:v>
      </x:c>
      <x:c r="F3293" s="2" t="str">
        <x:v>sale_assumed</x:v>
      </x:c>
      <x:c r="G3293" s="11" t="n">
        <x:v>79</x:v>
      </x:c>
      <x:c r="H3293" s="12" t="n">
        <x:v>1950000000</x:v>
      </x:c>
      <x:c r="I3293" s="12" t="n">
        <x:v>24683544.30379747</x:v>
      </x:c>
      <x:c r="J3293" s="2" t="str">
        <x:v>total</x:v>
      </x:c>
      <x:c r="K3293" s="2" t="str">
        <x:v>top_level_area</x:v>
      </x:c>
      <x:c r="L3293" s="2" t="str">
        <x:v>property_type_inferred_from_title;transaction_assumed_sale_from_dataset_context</x:v>
      </x:c>
      <x:c r="M3293" s="10" t="n">
        <x:v>0</x:v>
      </x:c>
      <x:c r="N3293" s="10" t="n">
        <x:v>0</x:v>
      </x:c>
      <x:c r="O3293" s="2" t="str">
        <x:v>Bình Dương|house</x:v>
      </x:c>
      <x:c r="P3293" s="10" t="n">
        <x:v>2</x:v>
      </x:c>
      <x:c r="Q3293" s="13" t="n">
        <x:f>IF(H3293="","",H3293/1000000000)</x:f>
        <x:v>1.95</x:v>
      </x:c>
      <x:c r="R3293" s="13" t="n">
        <x:f>IF(I3293="","",I3293/1000000)</x:f>
        <x:v>24.68354430379747</x:v>
      </x:c>
    </x:row>
    <x:row r="3294" ht="21" customHeight="1">
      <x:c r="A3294" s="10" t="n">
        <x:v>4460</x:v>
      </x:c>
      <x:c r="B3294" s="2" t="str">
        <x:v>58a093c5dfdd7d8323fa</x:v>
      </x:c>
      <x:c r="C3294" s="2" t="str">
        <x:v>Tp Hồ Chí Minh</x:v>
      </x:c>
      <x:c r="D3294" s="2" t="str">
        <x:v>Quận 9</x:v>
      </x:c>
      <x:c r="E3294" s="2" t="str">
        <x:v>other_unknown</x:v>
      </x:c>
      <x:c r="F3294" s="2" t="str">
        <x:v>sale_assumed</x:v>
      </x:c>
      <x:c r="G3294" s="11" t="n">
        <x:v>68</x:v>
      </x:c>
      <x:c r="H3294" s="12" t="n">
        <x:v>2400000000</x:v>
      </x:c>
      <x:c r="I3294" s="12" t="n">
        <x:v>35294117.64705882</x:v>
      </x:c>
      <x:c r="J3294" s="2" t="str">
        <x:v>total</x:v>
      </x:c>
      <x:c r="K3294" s="2" t="str">
        <x:v>top_level_area</x:v>
      </x:c>
      <x:c r="L3294" s="2" t="str">
        <x:v>property_type_inferred_from_title;transaction_assumed_sale_from_dataset_context;unknown_property_type</x:v>
      </x:c>
      <x:c r="M3294" s="10" t="n">
        <x:v>0</x:v>
      </x:c>
      <x:c r="N3294" s="10" t="n">
        <x:v>0</x:v>
      </x:c>
      <x:c r="O3294" s="2" t="str">
        <x:v>Tp Hồ Chí Minh|other_unknown</x:v>
      </x:c>
      <x:c r="P3294" s="10" t="n">
        <x:v>2</x:v>
      </x:c>
      <x:c r="Q3294" s="13" t="n">
        <x:f>IF(H3294="","",H3294/1000000000)</x:f>
        <x:v>2.4</x:v>
      </x:c>
      <x:c r="R3294" s="13" t="n">
        <x:f>IF(I3294="","",I3294/1000000)</x:f>
        <x:v>35.29411764705882</x:v>
      </x:c>
    </x:row>
    <x:row r="3295" ht="21" customHeight="1">
      <x:c r="A3295" s="10" t="n">
        <x:v>4461</x:v>
      </x:c>
      <x:c r="B3295" s="2" t="str">
        <x:v>77fa1418fe612f7d86fb</x:v>
      </x:c>
      <x:c r="C3295" s="2" t="str">
        <x:v>Đắk Lắk</x:v>
      </x:c>
      <x:c r="D3295" s="2" t="str">
        <x:v>Thành phố Buôn Ma Thuột</x:v>
      </x:c>
      <x:c r="E3295" s="2" t="str">
        <x:v>house</x:v>
      </x:c>
      <x:c r="F3295" s="2" t="str">
        <x:v>sale_assumed</x:v>
      </x:c>
      <x:c r="G3295" s="11" t="n">
        <x:v>178</x:v>
      </x:c>
      <x:c r="H3295" s="12" t="n">
        <x:v>1850000000</x:v>
      </x:c>
      <x:c r="I3295" s="12" t="n">
        <x:v>10393258.426966293</x:v>
      </x:c>
      <x:c r="J3295" s="2" t="str">
        <x:v>total</x:v>
      </x:c>
      <x:c r="K3295" s="2" t="str">
        <x:v>top_level_area</x:v>
      </x:c>
      <x:c r="L3295" s="2" t="str">
        <x:v>property_type_inferred_from_title;transaction_assumed_sale_from_dataset_context</x:v>
      </x:c>
      <x:c r="M3295" s="10" t="n">
        <x:v>0</x:v>
      </x:c>
      <x:c r="N3295" s="10" t="n">
        <x:v>0</x:v>
      </x:c>
      <x:c r="O3295" s="2" t="str">
        <x:v>Đắk Lắk|house</x:v>
      </x:c>
      <x:c r="P3295" s="10" t="n">
        <x:v>2</x:v>
      </x:c>
      <x:c r="Q3295" s="13" t="n">
        <x:f>IF(H3295="","",H3295/1000000000)</x:f>
        <x:v>1.85</x:v>
      </x:c>
      <x:c r="R3295" s="13" t="n">
        <x:f>IF(I3295="","",I3295/1000000)</x:f>
        <x:v>10.393258426966293</x:v>
      </x:c>
    </x:row>
    <x:row r="3296" ht="21" customHeight="1">
      <x:c r="A3296" s="10" t="n">
        <x:v>4462</x:v>
      </x:c>
      <x:c r="B3296" s="2" t="str">
        <x:v>576dfcb4f41f3145ee31</x:v>
      </x:c>
      <x:c r="C3296" s="2" t="str">
        <x:v>Hà Nội</x:v>
      </x:c>
      <x:c r="D3296" s="2" t="str">
        <x:v>Quận Hà Đông</x:v>
      </x:c>
      <x:c r="E3296" s="2" t="str">
        <x:v>other_unknown</x:v>
      </x:c>
      <x:c r="F3296" s="2" t="str">
        <x:v>sale</x:v>
      </x:c>
      <x:c r="G3296" s="11" t="n">
        <x:v>80</x:v>
      </x:c>
      <x:c r="H3296" s="12" t="n">
        <x:v>1300000000</x:v>
      </x:c>
      <x:c r="I3296" s="12" t="n">
        <x:v>16250000</x:v>
      </x:c>
      <x:c r="J3296" s="2" t="str">
        <x:v>total</x:v>
      </x:c>
      <x:c r="K3296" s="2" t="str">
        <x:v>top_level_area</x:v>
      </x:c>
      <x:c r="L3296" s="2" t="str">
        <x:v>property_type_inferred_from_title;unknown_property_type</x:v>
      </x:c>
      <x:c r="M3296" s="10" t="n">
        <x:v>0</x:v>
      </x:c>
      <x:c r="N3296" s="10" t="n">
        <x:v>0</x:v>
      </x:c>
      <x:c r="O3296" s="2" t="str">
        <x:v>Hà Nội|other_unknown</x:v>
      </x:c>
      <x:c r="P3296" s="10" t="n">
        <x:v>2</x:v>
      </x:c>
      <x:c r="Q3296" s="13" t="n">
        <x:f>IF(H3296="","",H3296/1000000000)</x:f>
        <x:v>1.3</x:v>
      </x:c>
      <x:c r="R3296" s="13" t="n">
        <x:f>IF(I3296="","",I3296/1000000)</x:f>
        <x:v>16.25</x:v>
      </x:c>
    </x:row>
    <x:row r="3297" ht="21" customHeight="1">
      <x:c r="A3297" s="10" t="n">
        <x:v>4463</x:v>
      </x:c>
      <x:c r="B3297" s="2" t="str">
        <x:v>a42897aed02b08c39699</x:v>
      </x:c>
      <x:c r="C3297" s="2" t="str">
        <x:v>Bến Tre</x:v>
      </x:c>
      <x:c r="D3297" s="2" t="str">
        <x:v>Thành phố Bến Tre</x:v>
      </x:c>
      <x:c r="E3297" s="2" t="str">
        <x:v>land</x:v>
      </x:c>
      <x:c r="F3297" s="2" t="str">
        <x:v>sale_assumed</x:v>
      </x:c>
      <x:c r="G3297" s="11" t="n">
        <x:v>214.21</x:v>
      </x:c>
      <x:c r="H3297" s="12" t="n">
        <x:v>1250000000</x:v>
      </x:c>
      <x:c r="I3297" s="12" t="n">
        <x:v>5835395.172961113</x:v>
      </x:c>
      <x:c r="J3297" s="2" t="str">
        <x:v>total</x:v>
      </x:c>
      <x:c r="K3297" s="2" t="str">
        <x:v>top_level_area</x:v>
      </x:c>
      <x:c r="L3297" s="2" t="str">
        <x:v>property_type_inferred_from_title;transaction_assumed_sale_from_dataset_context</x:v>
      </x:c>
      <x:c r="M3297" s="10" t="n">
        <x:v>0</x:v>
      </x:c>
      <x:c r="N3297" s="10" t="n">
        <x:v>0</x:v>
      </x:c>
      <x:c r="O3297" s="2" t="str">
        <x:v>Bến Tre|land</x:v>
      </x:c>
      <x:c r="P3297" s="10" t="n">
        <x:v>1</x:v>
      </x:c>
      <x:c r="Q3297" s="13" t="n">
        <x:f>IF(H3297="","",H3297/1000000000)</x:f>
        <x:v>1.25</x:v>
      </x:c>
      <x:c r="R3297" s="13" t="n">
        <x:f>IF(I3297="","",I3297/1000000)</x:f>
        <x:v>5.835395172961113</x:v>
      </x:c>
    </x:row>
    <x:row r="3298" ht="21" customHeight="1">
      <x:c r="A3298" s="10" t="n">
        <x:v>4464</x:v>
      </x:c>
      <x:c r="B3298" s="2" t="str">
        <x:v>5cf77c70d543376b59fd</x:v>
      </x:c>
      <x:c r="C3298" s="2" t="str">
        <x:v>Hà Nội</x:v>
      </x:c>
      <x:c r="D3298" s="2" t="str">
        <x:v>Quận Long Biên</x:v>
      </x:c>
      <x:c r="E3298" s="2" t="str">
        <x:v>house</x:v>
      </x:c>
      <x:c r="F3298" s="2" t="str">
        <x:v>sale_assumed</x:v>
      </x:c>
      <x:c r="G3298" s="11" t="n">
        <x:v>38</x:v>
      </x:c>
      <x:c r="H3298" s="12" t="n">
        <x:v>3800000000</x:v>
      </x:c>
      <x:c r="I3298" s="12" t="n">
        <x:v>100000000</x:v>
      </x:c>
      <x:c r="J3298" s="2" t="str">
        <x:v>total</x:v>
      </x:c>
      <x:c r="K3298" s="2" t="str">
        <x:v>top_level_area</x:v>
      </x:c>
      <x:c r="L3298" s="2" t="str">
        <x:v>property_type_inferred_from_title;transaction_assumed_sale_from_dataset_context</x:v>
      </x:c>
      <x:c r="M3298" s="10" t="n">
        <x:v>0</x:v>
      </x:c>
      <x:c r="N3298" s="10" t="n">
        <x:v>0</x:v>
      </x:c>
      <x:c r="O3298" s="2" t="str">
        <x:v>Hà Nội|house</x:v>
      </x:c>
      <x:c r="P3298" s="10" t="n">
        <x:v>2</x:v>
      </x:c>
      <x:c r="Q3298" s="13" t="n">
        <x:f>IF(H3298="","",H3298/1000000000)</x:f>
        <x:v>3.8</x:v>
      </x:c>
      <x:c r="R3298" s="13" t="n">
        <x:f>IF(I3298="","",I3298/1000000)</x:f>
        <x:v>100</x:v>
      </x:c>
    </x:row>
    <x:row r="3299" ht="21" customHeight="1">
      <x:c r="A3299" s="10" t="n">
        <x:v>4465</x:v>
      </x:c>
      <x:c r="B3299" s="2" t="str">
        <x:v>c5e1ae1877f8fc317deb</x:v>
      </x:c>
      <x:c r="C3299" s="2" t="str">
        <x:v>Khánh Hòa</x:v>
      </x:c>
      <x:c r="D3299" s="2" t="str">
        <x:v>Thành phố Nha Trang</x:v>
      </x:c>
      <x:c r="E3299" s="2" t="str">
        <x:v>house</x:v>
      </x:c>
      <x:c r="F3299" s="2" t="str">
        <x:v>sale</x:v>
      </x:c>
      <x:c r="G3299" s="11" t="n">
        <x:v>66</x:v>
      </x:c>
      <x:c r="H3299" s="12" t="n">
        <x:v>2250000000</x:v>
      </x:c>
      <x:c r="I3299" s="12" t="n">
        <x:v>34090909.09090909</x:v>
      </x:c>
      <x:c r="J3299" s="2" t="str">
        <x:v>total</x:v>
      </x:c>
      <x:c r="K3299" s="2" t="str">
        <x:v>top_level_area</x:v>
      </x:c>
      <x:c r="L3299" s="2" t="str">
        <x:v>property_type_inferred_from_title</x:v>
      </x:c>
      <x:c r="M3299" s="10" t="n">
        <x:v>0</x:v>
      </x:c>
      <x:c r="N3299" s="10" t="n">
        <x:v>0</x:v>
      </x:c>
      <x:c r="O3299" s="2" t="str">
        <x:v>Khánh Hòa|house</x:v>
      </x:c>
      <x:c r="P3299" s="10" t="n">
        <x:v>2</x:v>
      </x:c>
      <x:c r="Q3299" s="13" t="n">
        <x:f>IF(H3299="","",H3299/1000000000)</x:f>
        <x:v>2.25</x:v>
      </x:c>
      <x:c r="R3299" s="13" t="n">
        <x:f>IF(I3299="","",I3299/1000000)</x:f>
        <x:v>34.09090909090909</x:v>
      </x:c>
    </x:row>
    <x:row r="3300" ht="21" customHeight="1">
      <x:c r="A3300" s="10" t="n">
        <x:v>4467</x:v>
      </x:c>
      <x:c r="B3300" s="2" t="str">
        <x:v>752281be256e246f4114</x:v>
      </x:c>
      <x:c r="C3300" s="2" t="str">
        <x:v>Tp Hồ Chí Minh</x:v>
      </x:c>
      <x:c r="D3300" s="2" t="str">
        <x:v>Quận Phú Nhuận</x:v>
      </x:c>
      <x:c r="E3300" s="2" t="str">
        <x:v>house</x:v>
      </x:c>
      <x:c r="F3300" s="2" t="str">
        <x:v>sale_assumed</x:v>
      </x:c>
      <x:c r="G3300" s="11" t="n">
        <x:v>35</x:v>
      </x:c>
      <x:c r="H3300" s="12" t="n">
        <x:v>4500000000</x:v>
      </x:c>
      <x:c r="I3300" s="12" t="n">
        <x:v>128571428.57142857</x:v>
      </x:c>
      <x:c r="J3300" s="2" t="str">
        <x:v>total</x:v>
      </x:c>
      <x:c r="K3300" s="2" t="str">
        <x:v>top_level_area</x:v>
      </x:c>
      <x:c r="L3300" s="2" t="str">
        <x:v>property_type_inferred_from_title;transaction_assumed_sale_from_dataset_context</x:v>
      </x:c>
      <x:c r="M3300" s="10" t="n">
        <x:v>0</x:v>
      </x:c>
      <x:c r="N3300" s="10" t="n">
        <x:v>0</x:v>
      </x:c>
      <x:c r="O3300" s="2" t="str">
        <x:v>Tp Hồ Chí Minh|house</x:v>
      </x:c>
      <x:c r="P3300" s="10" t="n">
        <x:v>2</x:v>
      </x:c>
      <x:c r="Q3300" s="13" t="n">
        <x:f>IF(H3300="","",H3300/1000000000)</x:f>
        <x:v>4.5</x:v>
      </x:c>
      <x:c r="R3300" s="13" t="n">
        <x:f>IF(I3300="","",I3300/1000000)</x:f>
        <x:v>128.57142857142856</x:v>
      </x:c>
    </x:row>
    <x:row r="3301" ht="21" customHeight="1">
      <x:c r="A3301" s="10" t="n">
        <x:v>4468</x:v>
      </x:c>
      <x:c r="B3301" s="2" t="str">
        <x:v>f2b6ddac03c58336f226</x:v>
      </x:c>
      <x:c r="C3301" s="2" t="str">
        <x:v>Hải Phòng</x:v>
      </x:c>
      <x:c r="D3301" s="2" t="str">
        <x:v>Quận Lê Chân</x:v>
      </x:c>
      <x:c r="E3301" s="2" t="str">
        <x:v>house</x:v>
      </x:c>
      <x:c r="F3301" s="2" t="str">
        <x:v>sale_assumed</x:v>
      </x:c>
      <x:c r="G3301" s="11" t="n">
        <x:v>30</x:v>
      </x:c>
      <x:c r="H3301" s="12" t="n">
        <x:v>1950000000</x:v>
      </x:c>
      <x:c r="I3301" s="12" t="n">
        <x:v>65000000</x:v>
      </x:c>
      <x:c r="J3301" s="2" t="str">
        <x:v>total</x:v>
      </x:c>
      <x:c r="K3301" s="2" t="str">
        <x:v>top_level_area</x:v>
      </x:c>
      <x:c r="L3301" s="2" t="str">
        <x:v>property_type_inferred_from_title;transaction_assumed_sale_from_dataset_context</x:v>
      </x:c>
      <x:c r="M3301" s="10" t="n">
        <x:v>0</x:v>
      </x:c>
      <x:c r="N3301" s="10" t="n">
        <x:v>0</x:v>
      </x:c>
      <x:c r="O3301" s="2" t="str">
        <x:v>house</x:v>
      </x:c>
      <x:c r="P3301" s="10" t="n">
        <x:v>2</x:v>
      </x:c>
      <x:c r="Q3301" s="13" t="n">
        <x:f>IF(H3301="","",H3301/1000000000)</x:f>
        <x:v>1.95</x:v>
      </x:c>
      <x:c r="R3301" s="13" t="n">
        <x:f>IF(I3301="","",I3301/1000000)</x:f>
        <x:v>65</x:v>
      </x:c>
    </x:row>
    <x:row r="3302" ht="21" customHeight="1">
      <x:c r="A3302" s="10" t="n">
        <x:v>4469</x:v>
      </x:c>
      <x:c r="B3302" s="2" t="str">
        <x:v>b68f9a47ca31a930afc5</x:v>
      </x:c>
      <x:c r="C3302" s="2" t="str">
        <x:v>Tp Hồ Chí Minh</x:v>
      </x:c>
      <x:c r="D3302" s="2" t="str">
        <x:v>Quận 12</x:v>
      </x:c>
      <x:c r="E3302" s="2" t="str">
        <x:v>apartment</x:v>
      </x:c>
      <x:c r="F3302" s="2" t="str">
        <x:v>sale_assumed</x:v>
      </x:c>
      <x:c r="G3302" s="11" t="n">
        <x:v>61</x:v>
      </x:c>
      <x:c r="H3302" s="12" t="n">
        <x:v>1770000000</x:v>
      </x:c>
      <x:c r="I3302" s="12" t="n">
        <x:v>29016393.442622952</x:v>
      </x:c>
      <x:c r="J3302" s="2" t="str">
        <x:v>total</x:v>
      </x:c>
      <x:c r="K3302" s="2" t="str">
        <x:v>top_level_area</x:v>
      </x:c>
      <x:c r="L3302" s="2" t="str">
        <x:v>property_type_inferred_from_title;transaction_assumed_sale_from_dataset_context</x:v>
      </x:c>
      <x:c r="M3302" s="10" t="n">
        <x:v>0</x:v>
      </x:c>
      <x:c r="N3302" s="10" t="n">
        <x:v>0</x:v>
      </x:c>
      <x:c r="O3302" s="2" t="str">
        <x:v>Tp Hồ Chí Minh|apartment</x:v>
      </x:c>
      <x:c r="P3302" s="10" t="n">
        <x:v>2</x:v>
      </x:c>
      <x:c r="Q3302" s="13" t="n">
        <x:f>IF(H3302="","",H3302/1000000000)</x:f>
        <x:v>1.77</x:v>
      </x:c>
      <x:c r="R3302" s="13" t="n">
        <x:f>IF(I3302="","",I3302/1000000)</x:f>
        <x:v>29.016393442622952</x:v>
      </x:c>
    </x:row>
    <x:row r="3303" ht="21" customHeight="1">
      <x:c r="A3303" s="10" t="n">
        <x:v>4470</x:v>
      </x:c>
      <x:c r="B3303" s="2" t="str">
        <x:v>d331ea38060fb6010a27</x:v>
      </x:c>
      <x:c r="C3303" s="2" t="str">
        <x:v>Long An</x:v>
      </x:c>
      <x:c r="D3303" s="2" t="str">
        <x:v>Huyện Cần Đước</x:v>
      </x:c>
      <x:c r="E3303" s="2" t="str">
        <x:v>land</x:v>
      </x:c>
      <x:c r="F3303" s="2" t="str">
        <x:v>sale</x:v>
      </x:c>
      <x:c r="G3303" s="11" t="n">
        <x:v>100</x:v>
      </x:c>
      <x:c r="H3303" s="12" t="n">
        <x:v>650000000</x:v>
      </x:c>
      <x:c r="I3303" s="12" t="n">
        <x:v>6500000</x:v>
      </x:c>
      <x:c r="J3303" s="2" t="str">
        <x:v>total</x:v>
      </x:c>
      <x:c r="K3303" s="2" t="str">
        <x:v>top_level_area</x:v>
      </x:c>
      <x:c r="L3303" s="2" t="str">
        <x:v>property_type_inferred_from_title</x:v>
      </x:c>
      <x:c r="M3303" s="10" t="n">
        <x:v>0</x:v>
      </x:c>
      <x:c r="N3303" s="10" t="n">
        <x:v>0</x:v>
      </x:c>
      <x:c r="O3303" s="2" t="str">
        <x:v>Long An|land</x:v>
      </x:c>
      <x:c r="P3303" s="10" t="n">
        <x:v>2</x:v>
      </x:c>
      <x:c r="Q3303" s="13" t="n">
        <x:f>IF(H3303="","",H3303/1000000000)</x:f>
        <x:v>0.65</x:v>
      </x:c>
      <x:c r="R3303" s="13" t="n">
        <x:f>IF(I3303="","",I3303/1000000)</x:f>
        <x:v>6.5</x:v>
      </x:c>
    </x:row>
    <x:row r="3304" ht="21" customHeight="1">
      <x:c r="A3304" s="10" t="n">
        <x:v>4471</x:v>
      </x:c>
      <x:c r="B3304" s="2" t="str">
        <x:v>a167209700e2f580e566</x:v>
      </x:c>
      <x:c r="C3304" s="2" t="str">
        <x:v>Bình Dương</x:v>
      </x:c>
      <x:c r="D3304" s="2" t="str">
        <x:v>Thị xã Thuận An</x:v>
      </x:c>
      <x:c r="E3304" s="2" t="str">
        <x:v>other_unknown</x:v>
      </x:c>
      <x:c r="F3304" s="2" t="str">
        <x:v>sale_assumed</x:v>
      </x:c>
      <x:c r="G3304" s="11" t="n">
        <x:v>71</x:v>
      </x:c>
      <x:c r="H3304" s="12" t="n">
        <x:v>850000000</x:v>
      </x:c>
      <x:c r="I3304" s="12" t="n">
        <x:v>11971830.985915493</x:v>
      </x:c>
      <x:c r="J3304" s="2" t="str">
        <x:v>total</x:v>
      </x:c>
      <x:c r="K3304" s="2" t="str">
        <x:v>top_level_area</x:v>
      </x:c>
      <x:c r="L3304" s="2" t="str">
        <x:v>property_type_inferred_from_title;transaction_assumed_sale_from_dataset_context;unknown_property_type</x:v>
      </x:c>
      <x:c r="M3304" s="10" t="n">
        <x:v>0</x:v>
      </x:c>
      <x:c r="N3304" s="10" t="n">
        <x:v>0</x:v>
      </x:c>
      <x:c r="O3304" s="2" t="str">
        <x:v>Bình Dương|other_unknown</x:v>
      </x:c>
      <x:c r="P3304" s="10" t="n">
        <x:v>2</x:v>
      </x:c>
      <x:c r="Q3304" s="13" t="n">
        <x:f>IF(H3304="","",H3304/1000000000)</x:f>
        <x:v>0.85</x:v>
      </x:c>
      <x:c r="R3304" s="13" t="n">
        <x:f>IF(I3304="","",I3304/1000000)</x:f>
        <x:v>11.971830985915494</x:v>
      </x:c>
    </x:row>
    <x:row r="3305" ht="21" customHeight="1">
      <x:c r="A3305" s="10" t="n">
        <x:v>4473</x:v>
      </x:c>
      <x:c r="B3305" s="2" t="str">
        <x:v>4be4a3ed309255d702d0</x:v>
      </x:c>
      <x:c r="C3305" s="2" t="str">
        <x:v>Hà Nội</x:v>
      </x:c>
      <x:c r="D3305" s="2" t="str">
        <x:v>Huyện Thạch Thất</x:v>
      </x:c>
      <x:c r="E3305" s="2" t="str">
        <x:v>land</x:v>
      </x:c>
      <x:c r="F3305" s="2" t="str">
        <x:v>sale</x:v>
      </x:c>
      <x:c r="G3305" s="11" t="n">
        <x:v>50</x:v>
      </x:c>
      <x:c r="H3305" s="12" t="n">
        <x:v>1200000000</x:v>
      </x:c>
      <x:c r="I3305" s="12" t="n">
        <x:v>24000000</x:v>
      </x:c>
      <x:c r="J3305" s="2" t="str">
        <x:v>total</x:v>
      </x:c>
      <x:c r="K3305" s="2" t="str">
        <x:v>top_level_area</x:v>
      </x:c>
      <x:c r="L3305" s="2" t="str">
        <x:v>property_type_inferred_from_title</x:v>
      </x:c>
      <x:c r="M3305" s="10" t="n">
        <x:v>0</x:v>
      </x:c>
      <x:c r="N3305" s="10" t="n">
        <x:v>0</x:v>
      </x:c>
      <x:c r="O3305" s="2" t="str">
        <x:v>Hà Nội|land</x:v>
      </x:c>
      <x:c r="P3305" s="10" t="n">
        <x:v>2</x:v>
      </x:c>
      <x:c r="Q3305" s="13" t="n">
        <x:f>IF(H3305="","",H3305/1000000000)</x:f>
        <x:v>1.2</x:v>
      </x:c>
      <x:c r="R3305" s="13" t="n">
        <x:f>IF(I3305="","",I3305/1000000)</x:f>
        <x:v>24</x:v>
      </x:c>
    </x:row>
    <x:row r="3306" ht="21" customHeight="1">
      <x:c r="A3306" s="10" t="n">
        <x:v>4475</x:v>
      </x:c>
      <x:c r="B3306" s="2" t="str">
        <x:v>fe109e820b756adbbe41</x:v>
      </x:c>
      <x:c r="C3306" s="2" t="str">
        <x:v>Đồng Nai</x:v>
      </x:c>
      <x:c r="D3306" s="2" t="str">
        <x:v>Huyện Nhơn Trạch</x:v>
      </x:c>
      <x:c r="E3306" s="2" t="str">
        <x:v>land</x:v>
      </x:c>
      <x:c r="F3306" s="2" t="str">
        <x:v>sale_assumed</x:v>
      </x:c>
      <x:c r="G3306" s="11" t="n">
        <x:v>1000</x:v>
      </x:c>
      <x:c r="H3306" s="12" t="n">
        <x:v>550000000</x:v>
      </x:c>
      <x:c r="I3306" s="12" t="n">
        <x:v>550000</x:v>
      </x:c>
      <x:c r="J3306" s="2" t="str">
        <x:v>total</x:v>
      </x:c>
      <x:c r="K3306" s="2" t="str">
        <x:v>top_level_area</x:v>
      </x:c>
      <x:c r="L3306" s="2" t="str">
        <x:v>dot_thousands_convention;property_type_inferred_from_title;transaction_assumed_sale_from_dataset_context</x:v>
      </x:c>
      <x:c r="M3306" s="10" t="n">
        <x:v>0</x:v>
      </x:c>
      <x:c r="N3306" s="10" t="n">
        <x:v>0</x:v>
      </x:c>
      <x:c r="O3306" s="2" t="str">
        <x:v>Đồng Nai|land</x:v>
      </x:c>
      <x:c r="P3306" s="10" t="n">
        <x:v>1</x:v>
      </x:c>
      <x:c r="Q3306" s="13" t="n">
        <x:f>IF(H3306="","",H3306/1000000000)</x:f>
        <x:v>0.55</x:v>
      </x:c>
      <x:c r="R3306" s="13" t="n">
        <x:f>IF(I3306="","",I3306/1000000)</x:f>
        <x:v>0.55</x:v>
      </x:c>
    </x:row>
    <x:row r="3307" ht="21" customHeight="1">
      <x:c r="A3307" s="10" t="n">
        <x:v>4476</x:v>
      </x:c>
      <x:c r="B3307" s="2" t="str">
        <x:v>f4beee538a4e942714d8</x:v>
      </x:c>
      <x:c r="C3307" s="2" t="str">
        <x:v>Hà Nội</x:v>
      </x:c>
      <x:c r="D3307" s="2" t="str">
        <x:v>Quận Hà Đông</x:v>
      </x:c>
      <x:c r="E3307" s="2" t="str">
        <x:v>other_unknown</x:v>
      </x:c>
      <x:c r="F3307" s="2" t="str">
        <x:v>sale_assumed</x:v>
      </x:c>
      <x:c r="G3307" s="11" t="n">
        <x:v>55</x:v>
      </x:c>
      <x:c r="H3307" s="12" t="n">
        <x:v>6200000000</x:v>
      </x:c>
      <x:c r="I3307" s="12" t="n">
        <x:v>112727272.72727273</x:v>
      </x:c>
      <x:c r="J3307" s="2" t="str">
        <x:v>total</x:v>
      </x:c>
      <x:c r="K3307" s="2" t="str">
        <x:v>top_level_area</x:v>
      </x:c>
      <x:c r="L3307" s="2" t="str">
        <x:v>property_type_inferred_from_title;transaction_assumed_sale_from_dataset_context;unknown_property_type</x:v>
      </x:c>
      <x:c r="M3307" s="10" t="n">
        <x:v>0</x:v>
      </x:c>
      <x:c r="N3307" s="10" t="n">
        <x:v>0</x:v>
      </x:c>
      <x:c r="O3307" s="2" t="str">
        <x:v>Hà Nội|other_unknown</x:v>
      </x:c>
      <x:c r="P3307" s="10" t="n">
        <x:v>2</x:v>
      </x:c>
      <x:c r="Q3307" s="13" t="n">
        <x:f>IF(H3307="","",H3307/1000000000)</x:f>
        <x:v>6.2</x:v>
      </x:c>
      <x:c r="R3307" s="13" t="n">
        <x:f>IF(I3307="","",I3307/1000000)</x:f>
        <x:v>112.72727272727273</x:v>
      </x:c>
    </x:row>
    <x:row r="3308" ht="21" customHeight="1">
      <x:c r="A3308" s="10" t="n">
        <x:v>4477</x:v>
      </x:c>
      <x:c r="B3308" s="2" t="str">
        <x:v>873cedf5893a0c3889d7</x:v>
      </x:c>
      <x:c r="C3308" s="2" t="str">
        <x:v>Hà Nội</x:v>
      </x:c>
      <x:c r="D3308" s="2" t="str">
        <x:v>Quận Hà Đông</x:v>
      </x:c>
      <x:c r="E3308" s="2" t="str">
        <x:v>house</x:v>
      </x:c>
      <x:c r="F3308" s="2" t="str">
        <x:v>sale_assumed</x:v>
      </x:c>
      <x:c r="G3308" s="11" t="n">
        <x:v>26</x:v>
      </x:c>
      <x:c r="H3308" s="12" t="n">
        <x:v>1890000000</x:v>
      </x:c>
      <x:c r="I3308" s="12" t="n">
        <x:v>72692307.6923077</x:v>
      </x:c>
      <x:c r="J3308" s="2" t="str">
        <x:v>total</x:v>
      </x:c>
      <x:c r="K3308" s="2" t="str">
        <x:v>top_level_area</x:v>
      </x:c>
      <x:c r="L3308" s="2" t="str">
        <x:v>property_type_inferred_from_title;transaction_assumed_sale_from_dataset_context</x:v>
      </x:c>
      <x:c r="M3308" s="10" t="n">
        <x:v>0</x:v>
      </x:c>
      <x:c r="N3308" s="10" t="n">
        <x:v>0</x:v>
      </x:c>
      <x:c r="O3308" s="2" t="str">
        <x:v>Hà Nội|house</x:v>
      </x:c>
      <x:c r="P3308" s="10" t="n">
        <x:v>2</x:v>
      </x:c>
      <x:c r="Q3308" s="13" t="n">
        <x:f>IF(H3308="","",H3308/1000000000)</x:f>
        <x:v>1.89</x:v>
      </x:c>
      <x:c r="R3308" s="13" t="n">
        <x:f>IF(I3308="","",I3308/1000000)</x:f>
        <x:v>72.6923076923077</x:v>
      </x:c>
    </x:row>
    <x:row r="3309" ht="21" customHeight="1">
      <x:c r="A3309" s="10" t="n">
        <x:v>4478</x:v>
      </x:c>
      <x:c r="B3309" s="2" t="str">
        <x:v>bb94bb7fcd1c22ceee23</x:v>
      </x:c>
      <x:c r="C3309" s="2" t="str">
        <x:v>Hà Nội</x:v>
      </x:c>
      <x:c r="D3309" s="2" t="str">
        <x:v>Quận Hà Đông</x:v>
      </x:c>
      <x:c r="E3309" s="2" t="str">
        <x:v>house</x:v>
      </x:c>
      <x:c r="F3309" s="2" t="str">
        <x:v>sale</x:v>
      </x:c>
      <x:c r="G3309" s="11" t="n">
        <x:v>140</x:v>
      </x:c>
      <x:c r="H3309" s="12" t="n">
        <x:v>19500000000</x:v>
      </x:c>
      <x:c r="I3309" s="12" t="n">
        <x:v>139285714.2857143</x:v>
      </x:c>
      <x:c r="J3309" s="2" t="str">
        <x:v>total</x:v>
      </x:c>
      <x:c r="K3309" s="2" t="str">
        <x:v>top_level_area</x:v>
      </x:c>
      <x:c r="L3309" s="2" t="str">
        <x:v>property_type_inferred_from_title</x:v>
      </x:c>
      <x:c r="M3309" s="10" t="n">
        <x:v>0</x:v>
      </x:c>
      <x:c r="N3309" s="10" t="n">
        <x:v>0</x:v>
      </x:c>
      <x:c r="O3309" s="2" t="str">
        <x:v>Hà Nội|house</x:v>
      </x:c>
      <x:c r="P3309" s="10" t="n">
        <x:v>2</x:v>
      </x:c>
      <x:c r="Q3309" s="13" t="n">
        <x:f>IF(H3309="","",H3309/1000000000)</x:f>
        <x:v>19.5</x:v>
      </x:c>
      <x:c r="R3309" s="13" t="n">
        <x:f>IF(I3309="","",I3309/1000000)</x:f>
        <x:v>139.2857142857143</x:v>
      </x:c>
    </x:row>
    <x:row r="3310" ht="21" customHeight="1">
      <x:c r="A3310" s="10" t="n">
        <x:v>4479</x:v>
      </x:c>
      <x:c r="B3310" s="2" t="str">
        <x:v>0ea5fc2cd52f35ab301a</x:v>
      </x:c>
      <x:c r="C3310" s="2" t="str">
        <x:v>Hà Nội</x:v>
      </x:c>
      <x:c r="D3310" s="2" t="str">
        <x:v>Quận Thanh Xuân</x:v>
      </x:c>
      <x:c r="E3310" s="2" t="str">
        <x:v>house</x:v>
      </x:c>
      <x:c r="F3310" s="2" t="str">
        <x:v>sale_assumed</x:v>
      </x:c>
      <x:c r="G3310" s="11" t="n">
        <x:v>45</x:v>
      </x:c>
      <x:c r="H3310" s="12" t="n">
        <x:v>3350000000</x:v>
      </x:c>
      <x:c r="I3310" s="12" t="n">
        <x:v>74444444.44444445</x:v>
      </x:c>
      <x:c r="J3310" s="2" t="str">
        <x:v>total</x:v>
      </x:c>
      <x:c r="K3310" s="2" t="str">
        <x:v>top_level_area</x:v>
      </x:c>
      <x:c r="L3310" s="2" t="str">
        <x:v>property_type_inferred_from_title;transaction_assumed_sale_from_dataset_context</x:v>
      </x:c>
      <x:c r="M3310" s="10" t="n">
        <x:v>0</x:v>
      </x:c>
      <x:c r="N3310" s="10" t="n">
        <x:v>0</x:v>
      </x:c>
      <x:c r="O3310" s="2" t="str">
        <x:v>Hà Nội|house</x:v>
      </x:c>
      <x:c r="P3310" s="10" t="n">
        <x:v>2</x:v>
      </x:c>
      <x:c r="Q3310" s="13" t="n">
        <x:f>IF(H3310="","",H3310/1000000000)</x:f>
        <x:v>3.35</x:v>
      </x:c>
      <x:c r="R3310" s="13" t="n">
        <x:f>IF(I3310="","",I3310/1000000)</x:f>
        <x:v>74.44444444444444</x:v>
      </x:c>
    </x:row>
    <x:row r="3311" ht="21" customHeight="1">
      <x:c r="A3311" s="10" t="n">
        <x:v>4480</x:v>
      </x:c>
      <x:c r="B3311" s="2" t="str">
        <x:v>939f163d89f0046043e5</x:v>
      </x:c>
      <x:c r="C3311" s="2" t="str">
        <x:v>Tp Hồ Chí Minh</x:v>
      </x:c>
      <x:c r="D3311" s="2" t="str">
        <x:v>Huyện Củ Chi</x:v>
      </x:c>
      <x:c r="E3311" s="2" t="str">
        <x:v>house</x:v>
      </x:c>
      <x:c r="F3311" s="2" t="str">
        <x:v>sale_assumed</x:v>
      </x:c>
      <x:c r="G3311" s="11" t="n">
        <x:v>328</x:v>
      </x:c>
      <x:c r="H3311" s="12" t="n">
        <x:v>1700000000</x:v>
      </x:c>
      <x:c r="I3311" s="12" t="n">
        <x:v>5182926.8292682925</x:v>
      </x:c>
      <x:c r="J3311" s="2" t="str">
        <x:v>total</x:v>
      </x:c>
      <x:c r="K3311" s="2" t="str">
        <x:v>top_level_area</x:v>
      </x:c>
      <x:c r="L3311" s="2" t="str">
        <x:v>property_type_inferred_from_title;transaction_assumed_sale_from_dataset_context</x:v>
      </x:c>
      <x:c r="M3311" s="10" t="n">
        <x:v>0</x:v>
      </x:c>
      <x:c r="N3311" s="10" t="n">
        <x:v>0</x:v>
      </x:c>
      <x:c r="O3311" s="2" t="str">
        <x:v>Tp Hồ Chí Minh|house</x:v>
      </x:c>
      <x:c r="P3311" s="10" t="n">
        <x:v>1</x:v>
      </x:c>
      <x:c r="Q3311" s="13" t="n">
        <x:f>IF(H3311="","",H3311/1000000000)</x:f>
        <x:v>1.7</x:v>
      </x:c>
      <x:c r="R3311" s="13" t="n">
        <x:f>IF(I3311="","",I3311/1000000)</x:f>
        <x:v>5.182926829268292</x:v>
      </x:c>
    </x:row>
    <x:row r="3312" ht="21" customHeight="1">
      <x:c r="A3312" s="10" t="n">
        <x:v>4481</x:v>
      </x:c>
      <x:c r="B3312" s="2" t="str">
        <x:v>ee8ddcdd4a6a8b4a685b</x:v>
      </x:c>
      <x:c r="C3312" s="2" t="str">
        <x:v>Hà Nội</x:v>
      </x:c>
      <x:c r="D3312" s="2" t="str">
        <x:v>Huyện Hoài Đức</x:v>
      </x:c>
      <x:c r="E3312" s="2" t="str">
        <x:v>land</x:v>
      </x:c>
      <x:c r="F3312" s="2" t="str">
        <x:v>sale</x:v>
      </x:c>
      <x:c r="G3312" s="11" t="n">
        <x:v>72</x:v>
      </x:c>
      <x:c r="H3312" s="12" t="n">
        <x:v>2160000000</x:v>
      </x:c>
      <x:c r="I3312" s="12" t="n">
        <x:v>30000000</x:v>
      </x:c>
      <x:c r="J3312" s="2" t="str">
        <x:v>total</x:v>
      </x:c>
      <x:c r="K3312" s="2" t="str">
        <x:v>top_level_area</x:v>
      </x:c>
      <x:c r="L3312" s="2" t="str">
        <x:v>property_type_inferred_from_title</x:v>
      </x:c>
      <x:c r="M3312" s="10" t="n">
        <x:v>0</x:v>
      </x:c>
      <x:c r="N3312" s="10" t="n">
        <x:v>0</x:v>
      </x:c>
      <x:c r="O3312" s="2" t="str">
        <x:v>Hà Nội|land</x:v>
      </x:c>
      <x:c r="P3312" s="10" t="n">
        <x:v>2</x:v>
      </x:c>
      <x:c r="Q3312" s="13" t="n">
        <x:f>IF(H3312="","",H3312/1000000000)</x:f>
        <x:v>2.16</x:v>
      </x:c>
      <x:c r="R3312" s="13" t="n">
        <x:f>IF(I3312="","",I3312/1000000)</x:f>
        <x:v>30</x:v>
      </x:c>
    </x:row>
    <x:row r="3313" ht="21" customHeight="1">
      <x:c r="A3313" s="10" t="n">
        <x:v>4482</x:v>
      </x:c>
      <x:c r="B3313" s="2" t="str">
        <x:v>2a3ce193d1ac9b39e9e3</x:v>
      </x:c>
      <x:c r="C3313" s="2" t="str">
        <x:v>Đà Nẵng</x:v>
      </x:c>
      <x:c r="D3313" s="2" t="str">
        <x:v>Quận Ngũ Hành Sơn</x:v>
      </x:c>
      <x:c r="E3313" s="2" t="str">
        <x:v>apartment</x:v>
      </x:c>
      <x:c r="F3313" s="2" t="str">
        <x:v>sale_assumed</x:v>
      </x:c>
      <x:c r="G3313" s="11" t="n">
        <x:v>47</x:v>
      </x:c>
      <x:c r="H3313" s="12" t="n">
        <x:v>1900000000</x:v>
      </x:c>
      <x:c r="I3313" s="12" t="n">
        <x:v>40425531.91489362</x:v>
      </x:c>
      <x:c r="J3313" s="2" t="str">
        <x:v>total</x:v>
      </x:c>
      <x:c r="K3313" s="2" t="str">
        <x:v>top_level_area</x:v>
      </x:c>
      <x:c r="L3313" s="2" t="str">
        <x:v>property_type_inferred_from_title;transaction_assumed_sale_from_dataset_context</x:v>
      </x:c>
      <x:c r="M3313" s="10" t="n">
        <x:v>0</x:v>
      </x:c>
      <x:c r="N3313" s="10" t="n">
        <x:v>0</x:v>
      </x:c>
      <x:c r="O3313" s="2" t="str">
        <x:v>apartment</x:v>
      </x:c>
      <x:c r="P3313" s="10" t="n">
        <x:v>2</x:v>
      </x:c>
      <x:c r="Q3313" s="13" t="n">
        <x:f>IF(H3313="","",H3313/1000000000)</x:f>
        <x:v>1.9</x:v>
      </x:c>
      <x:c r="R3313" s="13" t="n">
        <x:f>IF(I3313="","",I3313/1000000)</x:f>
        <x:v>40.42553191489362</x:v>
      </x:c>
    </x:row>
    <x:row r="3314" ht="21" customHeight="1">
      <x:c r="A3314" s="10" t="n">
        <x:v>4483</x:v>
      </x:c>
      <x:c r="B3314" s="2" t="str">
        <x:v>9a91942185750e068770</x:v>
      </x:c>
      <x:c r="C3314" s="2" t="str">
        <x:v>Hà Nội</x:v>
      </x:c>
      <x:c r="D3314" s="2" t="str">
        <x:v>Quận Bắc Từ Liêm</x:v>
      </x:c>
      <x:c r="E3314" s="2" t="str">
        <x:v>other_unknown</x:v>
      </x:c>
      <x:c r="F3314" s="2" t="str">
        <x:v>sale_assumed</x:v>
      </x:c>
      <x:c r="G3314" s="11" t="n">
        <x:v>35</x:v>
      </x:c>
      <x:c r="H3314" s="12" t="n">
        <x:v>3900000000</x:v>
      </x:c>
      <x:c r="I3314" s="12" t="n">
        <x:v>111428571.42857143</x:v>
      </x:c>
      <x:c r="J3314" s="2" t="str">
        <x:v>total</x:v>
      </x:c>
      <x:c r="K3314" s="2" t="str">
        <x:v>top_level_area</x:v>
      </x:c>
      <x:c r="L3314" s="2" t="str">
        <x:v>property_type_inferred_from_title;transaction_assumed_sale_from_dataset_context;unknown_property_type</x:v>
      </x:c>
      <x:c r="M3314" s="10" t="n">
        <x:v>0</x:v>
      </x:c>
      <x:c r="N3314" s="10" t="n">
        <x:v>0</x:v>
      </x:c>
      <x:c r="O3314" s="2" t="str">
        <x:v>Hà Nội|other_unknown</x:v>
      </x:c>
      <x:c r="P3314" s="10" t="n">
        <x:v>2</x:v>
      </x:c>
      <x:c r="Q3314" s="13" t="n">
        <x:f>IF(H3314="","",H3314/1000000000)</x:f>
        <x:v>3.9</x:v>
      </x:c>
      <x:c r="R3314" s="13" t="n">
        <x:f>IF(I3314="","",I3314/1000000)</x:f>
        <x:v>111.42857142857143</x:v>
      </x:c>
    </x:row>
    <x:row r="3315" ht="21" customHeight="1">
      <x:c r="A3315" s="10" t="n">
        <x:v>4484</x:v>
      </x:c>
      <x:c r="B3315" s="2" t="str">
        <x:v>3cff22b0550fdd95bd34</x:v>
      </x:c>
      <x:c r="C3315" s="2" t="str">
        <x:v>Bình Thuận</x:v>
      </x:c>
      <x:c r="D3315" s="2" t="str">
        <x:v>Thị xã La Gi</x:v>
      </x:c>
      <x:c r="E3315" s="2" t="str">
        <x:v>land</x:v>
      </x:c>
      <x:c r="F3315" s="2" t="str">
        <x:v>sale_assumed</x:v>
      </x:c>
      <x:c r="G3315" s="11" t="n">
        <x:v>5800</x:v>
      </x:c>
      <x:c r="H3315" s="12" t="n">
        <x:v>12000000000</x:v>
      </x:c>
      <x:c r="I3315" s="12" t="n">
        <x:v>2068965.5172413792</x:v>
      </x:c>
      <x:c r="J3315" s="2" t="str">
        <x:v>total</x:v>
      </x:c>
      <x:c r="K3315" s="2" t="str">
        <x:v>top_level_area</x:v>
      </x:c>
      <x:c r="L3315" s="2" t="str">
        <x:v>dot_thousands_convention;property_type_inferred_from_title;transaction_assumed_sale_from_dataset_context</x:v>
      </x:c>
      <x:c r="M3315" s="10" t="n">
        <x:v>0</x:v>
      </x:c>
      <x:c r="N3315" s="10" t="n">
        <x:v>0</x:v>
      </x:c>
      <x:c r="O3315" s="2" t="str">
        <x:v>land</x:v>
      </x:c>
      <x:c r="P3315" s="10" t="n">
        <x:v>1</x:v>
      </x:c>
      <x:c r="Q3315" s="13" t="n">
        <x:f>IF(H3315="","",H3315/1000000000)</x:f>
        <x:v>12</x:v>
      </x:c>
      <x:c r="R3315" s="13" t="n">
        <x:f>IF(I3315="","",I3315/1000000)</x:f>
        <x:v>2.0689655172413794</x:v>
      </x:c>
    </x:row>
    <x:row r="3316" ht="21" customHeight="1">
      <x:c r="A3316" s="10" t="n">
        <x:v>4485</x:v>
      </x:c>
      <x:c r="B3316" s="2" t="str">
        <x:v>de6dab1f053417a36027</x:v>
      </x:c>
      <x:c r="C3316" s="2" t="str">
        <x:v>Thừa Thiên Huế</x:v>
      </x:c>
      <x:c r="D3316" s="2" t="str">
        <x:v>Thành phố Huế</x:v>
      </x:c>
      <x:c r="E3316" s="2" t="str">
        <x:v>land</x:v>
      </x:c>
      <x:c r="F3316" s="2" t="str">
        <x:v>sale_assumed</x:v>
      </x:c>
      <x:c r="G3316" s="11" t="n">
        <x:v>85</x:v>
      </x:c>
      <x:c r="H3316" s="12" t="n">
        <x:v>910000000</x:v>
      </x:c>
      <x:c r="I3316" s="12" t="n">
        <x:v>10705882.352941176</x:v>
      </x:c>
      <x:c r="J3316" s="2" t="str">
        <x:v>total</x:v>
      </x:c>
      <x:c r="K3316" s="2" t="str">
        <x:v>top_level_area</x:v>
      </x:c>
      <x:c r="L3316" s="2" t="str">
        <x:v>property_type_inferred_from_title;transaction_assumed_sale_from_dataset_context</x:v>
      </x:c>
      <x:c r="M3316" s="10" t="n">
        <x:v>0</x:v>
      </x:c>
      <x:c r="N3316" s="10" t="n">
        <x:v>0</x:v>
      </x:c>
      <x:c r="O3316" s="2" t="str">
        <x:v>land</x:v>
      </x:c>
      <x:c r="P3316" s="10" t="n">
        <x:v>2</x:v>
      </x:c>
      <x:c r="Q3316" s="13" t="n">
        <x:f>IF(H3316="","",H3316/1000000000)</x:f>
        <x:v>0.91</x:v>
      </x:c>
      <x:c r="R3316" s="13" t="n">
        <x:f>IF(I3316="","",I3316/1000000)</x:f>
        <x:v>10.705882352941176</x:v>
      </x:c>
    </x:row>
    <x:row r="3317" ht="21" customHeight="1">
      <x:c r="A3317" s="10" t="n">
        <x:v>4486</x:v>
      </x:c>
      <x:c r="B3317" s="2" t="str">
        <x:v>686d0deffc5664994702</x:v>
      </x:c>
      <x:c r="C3317" s="2" t="str">
        <x:v>Cần Thơ</x:v>
      </x:c>
      <x:c r="D3317" s="2" t="str">
        <x:v>Quận Cái Răng</x:v>
      </x:c>
      <x:c r="E3317" s="2" t="str">
        <x:v>house</x:v>
      </x:c>
      <x:c r="F3317" s="2" t="str">
        <x:v>sale</x:v>
      </x:c>
      <x:c r="G3317" s="11" t="n">
        <x:v>100</x:v>
      </x:c>
      <x:c r="H3317" s="12" t="n">
        <x:v>5850000000</x:v>
      </x:c>
      <x:c r="I3317" s="12" t="n">
        <x:v>58500000</x:v>
      </x:c>
      <x:c r="J3317" s="2" t="str">
        <x:v>total</x:v>
      </x:c>
      <x:c r="K3317" s="2" t="str">
        <x:v>top_level_area</x:v>
      </x:c>
      <x:c r="L3317" s="2" t="str">
        <x:v>property_type_inferred_from_title</x:v>
      </x:c>
      <x:c r="M3317" s="10" t="n">
        <x:v>0</x:v>
      </x:c>
      <x:c r="N3317" s="10" t="n">
        <x:v>0</x:v>
      </x:c>
      <x:c r="O3317" s="2" t="str">
        <x:v>Cần Thơ|house</x:v>
      </x:c>
      <x:c r="P3317" s="10" t="n">
        <x:v>2</x:v>
      </x:c>
      <x:c r="Q3317" s="13" t="n">
        <x:f>IF(H3317="","",H3317/1000000000)</x:f>
        <x:v>5.85</x:v>
      </x:c>
      <x:c r="R3317" s="13" t="n">
        <x:f>IF(I3317="","",I3317/1000000)</x:f>
        <x:v>58.5</x:v>
      </x:c>
    </x:row>
    <x:row r="3318" ht="21" customHeight="1">
      <x:c r="A3318" s="10" t="n">
        <x:v>4487</x:v>
      </x:c>
      <x:c r="B3318" s="2" t="str">
        <x:v>153b596401ee2c481e32</x:v>
      </x:c>
      <x:c r="C3318" s="2" t="str">
        <x:v>Hà Nội</x:v>
      </x:c>
      <x:c r="D3318" s="2" t="str">
        <x:v>Quận Đống Đa</x:v>
      </x:c>
      <x:c r="E3318" s="2" t="str">
        <x:v>land</x:v>
      </x:c>
      <x:c r="F3318" s="2" t="str">
        <x:v>sale_assumed</x:v>
      </x:c>
      <x:c r="G3318" s="11" t="n">
        <x:v>86</x:v>
      </x:c>
      <x:c r="H3318" s="12" t="n">
        <x:v>24500000000</x:v>
      </x:c>
      <x:c r="I3318" s="12" t="n">
        <x:v>284883720.9302326</x:v>
      </x:c>
      <x:c r="J3318" s="2" t="str">
        <x:v>total</x:v>
      </x:c>
      <x:c r="K3318" s="2" t="str">
        <x:v>top_level_area</x:v>
      </x:c>
      <x:c r="L3318" s="2" t="str">
        <x:v>property_type_inferred_from_title;transaction_assumed_sale_from_dataset_context</x:v>
      </x:c>
      <x:c r="M3318" s="10" t="n">
        <x:v>1</x:v>
      </x:c>
      <x:c r="N3318" s="10" t="n">
        <x:v>1</x:v>
      </x:c>
      <x:c r="O3318" s="2" t="str">
        <x:v>Hà Nội|land</x:v>
      </x:c>
      <x:c r="P3318" s="10" t="n">
        <x:v>-1</x:v>
      </x:c>
      <x:c r="Q3318" s="13" t="n">
        <x:f>IF(H3318="","",H3318/1000000000)</x:f>
        <x:v>24.5</x:v>
      </x:c>
      <x:c r="R3318" s="13" t="n">
        <x:f>IF(I3318="","",I3318/1000000)</x:f>
        <x:v>284.8837209302326</x:v>
      </x:c>
    </x:row>
    <x:row r="3319" ht="21" customHeight="1">
      <x:c r="A3319" s="10" t="n">
        <x:v>4488</x:v>
      </x:c>
      <x:c r="B3319" s="2" t="str">
        <x:v>4726c7a0803743c193e0</x:v>
      </x:c>
      <x:c r="C3319" s="2" t="str">
        <x:v>Tp Hồ Chí Minh</x:v>
      </x:c>
      <x:c r="D3319" s="2" t="str">
        <x:v>Huyện Củ Chi</x:v>
      </x:c>
      <x:c r="E3319" s="2" t="str">
        <x:v>house</x:v>
      </x:c>
      <x:c r="F3319" s="2" t="str">
        <x:v>sale_assumed</x:v>
      </x:c>
      <x:c r="G3319" s="11" t="n">
        <x:v>2406</x:v>
      </x:c>
      <x:c r="H3319" s="12" t="n">
        <x:v>1380000000</x:v>
      </x:c>
      <x:c r="I3319" s="12" t="n">
        <x:v>573566.0847880299</x:v>
      </x:c>
      <x:c r="J3319" s="2" t="str">
        <x:v>total</x:v>
      </x:c>
      <x:c r="K3319" s="2" t="str">
        <x:v>top_level_area</x:v>
      </x:c>
      <x:c r="L3319" s="2" t="str">
        <x:v>dot_thousands_convention;property_type_inferred_from_title;transaction_assumed_sale_from_dataset_context</x:v>
      </x:c>
      <x:c r="M3319" s="10" t="n">
        <x:v>0</x:v>
      </x:c>
      <x:c r="N3319" s="10" t="n">
        <x:v>0</x:v>
      </x:c>
      <x:c r="O3319" s="2" t="str">
        <x:v>Tp Hồ Chí Minh|house</x:v>
      </x:c>
      <x:c r="P3319" s="10" t="n">
        <x:v>1</x:v>
      </x:c>
      <x:c r="Q3319" s="13" t="n">
        <x:f>IF(H3319="","",H3319/1000000000)</x:f>
        <x:v>1.38</x:v>
      </x:c>
      <x:c r="R3319" s="13" t="n">
        <x:f>IF(I3319="","",I3319/1000000)</x:f>
        <x:v>0.57356608478803</x:v>
      </x:c>
    </x:row>
    <x:row r="3320" ht="21" customHeight="1">
      <x:c r="A3320" s="10" t="n">
        <x:v>4489</x:v>
      </x:c>
      <x:c r="B3320" s="2" t="str">
        <x:v>02bb76c7564e2f32e0b2</x:v>
      </x:c>
      <x:c r="C3320" s="2" t="str">
        <x:v>Long An</x:v>
      </x:c>
      <x:c r="D3320" s="2" t="str">
        <x:v>Huyện Đức Hòa</x:v>
      </x:c>
      <x:c r="E3320" s="2" t="str">
        <x:v>house</x:v>
      </x:c>
      <x:c r="F3320" s="2" t="str">
        <x:v>sale</x:v>
      </x:c>
      <x:c r="G3320" s="11" t="n">
        <x:v>1200</x:v>
      </x:c>
      <x:c r="H3320" s="12" t="n">
        <x:v>12900000000</x:v>
      </x:c>
      <x:c r="I3320" s="12" t="n">
        <x:v>10750000</x:v>
      </x:c>
      <x:c r="J3320" s="2" t="str">
        <x:v>total</x:v>
      </x:c>
      <x:c r="K3320" s="2" t="str">
        <x:v>top_level_area</x:v>
      </x:c>
      <x:c r="L3320" s="2" t="str">
        <x:v>dot_thousands_convention;property_type_inferred_from_title</x:v>
      </x:c>
      <x:c r="M3320" s="10" t="n">
        <x:v>0</x:v>
      </x:c>
      <x:c r="N3320" s="10" t="n">
        <x:v>0</x:v>
      </x:c>
      <x:c r="O3320" s="2" t="str">
        <x:v>Long An|house</x:v>
      </x:c>
      <x:c r="P3320" s="10" t="n">
        <x:v>1</x:v>
      </x:c>
      <x:c r="Q3320" s="13" t="n">
        <x:f>IF(H3320="","",H3320/1000000000)</x:f>
        <x:v>12.9</x:v>
      </x:c>
      <x:c r="R3320" s="13" t="n">
        <x:f>IF(I3320="","",I3320/1000000)</x:f>
        <x:v>10.75</x:v>
      </x:c>
    </x:row>
    <x:row r="3321" ht="21" customHeight="1">
      <x:c r="A3321" s="10" t="n">
        <x:v>4490</x:v>
      </x:c>
      <x:c r="B3321" s="2" t="str">
        <x:v>be3e6901c402cfbf89f7</x:v>
      </x:c>
      <x:c r="C3321" s="2" t="str">
        <x:v>Hà Nội</x:v>
      </x:c>
      <x:c r="D3321" s="2" t="str">
        <x:v>Quận Hai Bà Trưng</x:v>
      </x:c>
      <x:c r="E3321" s="2" t="str">
        <x:v>other_unknown</x:v>
      </x:c>
      <x:c r="F3321" s="2" t="str">
        <x:v>sale_assumed</x:v>
      </x:c>
      <x:c r="G3321" s="11" t="n">
        <x:v>28</x:v>
      </x:c>
      <x:c r="H3321" s="12" t="n">
        <x:v>195000000</x:v>
      </x:c>
      <x:c r="I3321" s="12" t="n">
        <x:v>6964285.714285715</x:v>
      </x:c>
      <x:c r="J3321" s="2" t="str">
        <x:v>total</x:v>
      </x:c>
      <x:c r="K3321" s="2" t="str">
        <x:v>top_level_area</x:v>
      </x:c>
      <x:c r="L3321" s="2" t="str">
        <x:v>property_type_inferred_from_title;transaction_assumed_sale_from_dataset_context;unknown_property_type</x:v>
      </x:c>
      <x:c r="M3321" s="10" t="n">
        <x:v>0</x:v>
      </x:c>
      <x:c r="N3321" s="10" t="n">
        <x:v>0</x:v>
      </x:c>
      <x:c r="O3321" s="2" t="str">
        <x:v>Hà Nội|other_unknown</x:v>
      </x:c>
      <x:c r="P3321" s="10" t="n">
        <x:v>2</x:v>
      </x:c>
      <x:c r="Q3321" s="13" t="n">
        <x:f>IF(H3321="","",H3321/1000000000)</x:f>
        <x:v>0.195</x:v>
      </x:c>
      <x:c r="R3321" s="13" t="n">
        <x:f>IF(I3321="","",I3321/1000000)</x:f>
        <x:v>6.964285714285714</x:v>
      </x:c>
    </x:row>
    <x:row r="3322" ht="21" customHeight="1">
      <x:c r="A3322" s="10" t="n">
        <x:v>4491</x:v>
      </x:c>
      <x:c r="B3322" s="2" t="str">
        <x:v>637a1a58c6e733ec5d02</x:v>
      </x:c>
      <x:c r="C3322" s="2" t="str">
        <x:v>Tp Hồ Chí Minh</x:v>
      </x:c>
      <x:c r="D3322" s="2" t="str">
        <x:v>Huyện Nhà Bè</x:v>
      </x:c>
      <x:c r="E3322" s="2" t="str">
        <x:v>house</x:v>
      </x:c>
      <x:c r="F3322" s="2" t="str">
        <x:v>sale_assumed</x:v>
      </x:c>
      <x:c r="G3322" s="11" t="n">
        <x:v>140</x:v>
      </x:c>
      <x:c r="H3322" s="12" t="n">
        <x:v>12500000000</x:v>
      </x:c>
      <x:c r="I3322" s="12" t="n">
        <x:v>89285714.28571428</x:v>
      </x:c>
      <x:c r="J3322" s="2" t="str">
        <x:v>total</x:v>
      </x:c>
      <x:c r="K3322" s="2" t="str">
        <x:v>top_level_area</x:v>
      </x:c>
      <x:c r="L3322" s="2" t="str">
        <x:v>property_type_inferred_from_title;transaction_assumed_sale_from_dataset_context</x:v>
      </x:c>
      <x:c r="M3322" s="10" t="n">
        <x:v>0</x:v>
      </x:c>
      <x:c r="N3322" s="10" t="n">
        <x:v>0</x:v>
      </x:c>
      <x:c r="O3322" s="2" t="str">
        <x:v>Tp Hồ Chí Minh|house</x:v>
      </x:c>
      <x:c r="P3322" s="10" t="n">
        <x:v>2</x:v>
      </x:c>
      <x:c r="Q3322" s="13" t="n">
        <x:f>IF(H3322="","",H3322/1000000000)</x:f>
        <x:v>12.5</x:v>
      </x:c>
      <x:c r="R3322" s="13" t="n">
        <x:f>IF(I3322="","",I3322/1000000)</x:f>
        <x:v>89.28571428571428</x:v>
      </x:c>
    </x:row>
    <x:row r="3323" ht="21" customHeight="1">
      <x:c r="A3323" s="10" t="n">
        <x:v>4492</x:v>
      </x:c>
      <x:c r="B3323" s="2" t="str">
        <x:v>a1148f81afe8cd2e2ece</x:v>
      </x:c>
      <x:c r="C3323" s="2" t="str">
        <x:v>Hà Nội</x:v>
      </x:c>
      <x:c r="D3323" s="2" t="str">
        <x:v>Quận Thanh Xuân</x:v>
      </x:c>
      <x:c r="E3323" s="2" t="str">
        <x:v>house</x:v>
      </x:c>
      <x:c r="F3323" s="2" t="str">
        <x:v>sale_assumed</x:v>
      </x:c>
      <x:c r="G3323" s="11" t="n">
        <x:v>38</x:v>
      </x:c>
      <x:c r="H3323" s="12" t="n">
        <x:v>3700000000</x:v>
      </x:c>
      <x:c r="I3323" s="12" t="n">
        <x:v>97368421.05263157</x:v>
      </x:c>
      <x:c r="J3323" s="2" t="str">
        <x:v>total</x:v>
      </x:c>
      <x:c r="K3323" s="2" t="str">
        <x:v>top_level_area</x:v>
      </x:c>
      <x:c r="L3323" s="2" t="str">
        <x:v>property_type_inferred_from_title;transaction_assumed_sale_from_dataset_context</x:v>
      </x:c>
      <x:c r="M3323" s="10" t="n">
        <x:v>0</x:v>
      </x:c>
      <x:c r="N3323" s="10" t="n">
        <x:v>0</x:v>
      </x:c>
      <x:c r="O3323" s="2" t="str">
        <x:v>Hà Nội|house</x:v>
      </x:c>
      <x:c r="P3323" s="10" t="n">
        <x:v>2</x:v>
      </x:c>
      <x:c r="Q3323" s="13" t="n">
        <x:f>IF(H3323="","",H3323/1000000000)</x:f>
        <x:v>3.7</x:v>
      </x:c>
      <x:c r="R3323" s="13" t="n">
        <x:f>IF(I3323="","",I3323/1000000)</x:f>
        <x:v>97.36842105263158</x:v>
      </x:c>
    </x:row>
    <x:row r="3324" ht="21" customHeight="1">
      <x:c r="A3324" s="10" t="n">
        <x:v>4493</x:v>
      </x:c>
      <x:c r="B3324" s="2" t="str">
        <x:v>d277f847007adb3cf80d</x:v>
      </x:c>
      <x:c r="C3324" s="2" t="str">
        <x:v>Bình Dương</x:v>
      </x:c>
      <x:c r="D3324" s="2" t="str">
        <x:v>Thị xã Dĩ An</x:v>
      </x:c>
      <x:c r="E3324" s="2" t="str">
        <x:v>house</x:v>
      </x:c>
      <x:c r="F3324" s="2" t="str">
        <x:v>sale</x:v>
      </x:c>
      <x:c r="G3324" s="11" t="n">
        <x:v>42</x:v>
      </x:c>
      <x:c r="H3324" s="12" t="n">
        <x:v>1550000000</x:v>
      </x:c>
      <x:c r="I3324" s="12" t="n">
        <x:v>36904761.9047619</x:v>
      </x:c>
      <x:c r="J3324" s="2" t="str">
        <x:v>total</x:v>
      </x:c>
      <x:c r="K3324" s="2" t="str">
        <x:v>top_level_area</x:v>
      </x:c>
      <x:c r="L3324" s="2" t="str">
        <x:v>property_type_inferred_from_title</x:v>
      </x:c>
      <x:c r="M3324" s="10" t="n">
        <x:v>0</x:v>
      </x:c>
      <x:c r="N3324" s="10" t="n">
        <x:v>0</x:v>
      </x:c>
      <x:c r="O3324" s="2" t="str">
        <x:v>Bình Dương|house</x:v>
      </x:c>
      <x:c r="P3324" s="10" t="n">
        <x:v>2</x:v>
      </x:c>
      <x:c r="Q3324" s="13" t="n">
        <x:f>IF(H3324="","",H3324/1000000000)</x:f>
        <x:v>1.55</x:v>
      </x:c>
      <x:c r="R3324" s="13" t="n">
        <x:f>IF(I3324="","",I3324/1000000)</x:f>
        <x:v>36.904761904761905</x:v>
      </x:c>
    </x:row>
    <x:row r="3325" ht="21" customHeight="1">
      <x:c r="A3325" s="10" t="n">
        <x:v>4581</x:v>
      </x:c>
      <x:c r="B3325" s="2" t="str">
        <x:v>722aea1b79bada06f420</x:v>
      </x:c>
      <x:c r="C3325" s="2" t="str">
        <x:v>Đắk Lắk</x:v>
      </x:c>
      <x:c r="D3325" s="2" t="str">
        <x:v>Thành phố Buôn Ma Thuột</x:v>
      </x:c>
      <x:c r="E3325" s="2" t="str">
        <x:v>house</x:v>
      </x:c>
      <x:c r="F3325" s="2" t="str">
        <x:v>sale</x:v>
      </x:c>
      <x:c r="G3325" s="11" t="n">
        <x:v>112</x:v>
      </x:c>
      <x:c r="H3325" s="12" t="n">
        <x:v>2485000000</x:v>
      </x:c>
      <x:c r="I3325" s="12" t="n">
        <x:v>22187500</x:v>
      </x:c>
      <x:c r="J3325" s="2" t="str">
        <x:v>total</x:v>
      </x:c>
      <x:c r="K3325" s="2" t="str">
        <x:v>top_level_area</x:v>
      </x:c>
      <x:c r="L3325" s="2" t="str">
        <x:v>property_type_inferred_from_title</x:v>
      </x:c>
      <x:c r="M3325" s="10" t="n">
        <x:v>0</x:v>
      </x:c>
      <x:c r="N3325" s="10" t="n">
        <x:v>0</x:v>
      </x:c>
      <x:c r="O3325" s="2" t="str">
        <x:v>Đắk Lắk|house</x:v>
      </x:c>
      <x:c r="P3325" s="10" t="n">
        <x:v>2</x:v>
      </x:c>
      <x:c r="Q3325" s="13" t="n">
        <x:f>IF(H3325="","",H3325/1000000000)</x:f>
        <x:v>2.485</x:v>
      </x:c>
      <x:c r="R3325" s="13" t="n">
        <x:f>IF(I3325="","",I3325/1000000)</x:f>
        <x:v>22.1875</x:v>
      </x:c>
    </x:row>
    <x:row r="3326" ht="21" customHeight="1">
      <x:c r="A3326" s="10" t="n">
        <x:v>4582</x:v>
      </x:c>
      <x:c r="B3326" s="2" t="str">
        <x:v>661b3a8e96e0fc6d1a4b</x:v>
      </x:c>
      <x:c r="C3326" s="2" t="str">
        <x:v>Hà Nội</x:v>
      </x:c>
      <x:c r="D3326" s="2" t="str">
        <x:v>Quận Hai Bà Trưng</x:v>
      </x:c>
      <x:c r="E3326" s="2" t="str">
        <x:v>apartment</x:v>
      </x:c>
      <x:c r="F3326" s="2" t="str">
        <x:v>sale</x:v>
      </x:c>
      <x:c r="G3326" s="11" t="n">
        <x:v>43</x:v>
      </x:c>
      <x:c r="H3326" s="12" t="n">
        <x:v>600000000</x:v>
      </x:c>
      <x:c r="I3326" s="12" t="n">
        <x:v>13953488.372093024</x:v>
      </x:c>
      <x:c r="J3326" s="2" t="str">
        <x:v>total</x:v>
      </x:c>
      <x:c r="K3326" s="2" t="str">
        <x:v>top_level_area</x:v>
      </x:c>
      <x:c r="L3326" s="2" t="str">
        <x:v>property_type_inferred_from_title</x:v>
      </x:c>
      <x:c r="M3326" s="10" t="n">
        <x:v>0</x:v>
      </x:c>
      <x:c r="N3326" s="10" t="n">
        <x:v>0</x:v>
      </x:c>
      <x:c r="O3326" s="2" t="str">
        <x:v>Hà Nội|apartment</x:v>
      </x:c>
      <x:c r="P3326" s="10" t="n">
        <x:v>2</x:v>
      </x:c>
      <x:c r="Q3326" s="13" t="n">
        <x:f>IF(H3326="","",H3326/1000000000)</x:f>
        <x:v>0.6</x:v>
      </x:c>
      <x:c r="R3326" s="13" t="n">
        <x:f>IF(I3326="","",I3326/1000000)</x:f>
        <x:v>13.953488372093023</x:v>
      </x:c>
    </x:row>
    <x:row r="3327" ht="21" customHeight="1">
      <x:c r="A3327" s="10" t="n">
        <x:v>4585</x:v>
      </x:c>
      <x:c r="B3327" s="2" t="str">
        <x:v>2597963f9ed63419f154</x:v>
      </x:c>
      <x:c r="C3327" s="2" t="str">
        <x:v>Hà Nội</x:v>
      </x:c>
      <x:c r="D3327" s="2" t="str">
        <x:v>Huyện Đông Anh</x:v>
      </x:c>
      <x:c r="E3327" s="2" t="str">
        <x:v>land</x:v>
      </x:c>
      <x:c r="F3327" s="2" t="str">
        <x:v>sale</x:v>
      </x:c>
      <x:c r="G3327" s="11" t="n">
        <x:v>47</x:v>
      </x:c>
      <x:c r="H3327" s="12" t="n">
        <x:v>2120000000</x:v>
      </x:c>
      <x:c r="I3327" s="12" t="n">
        <x:v>45106382.97872341</x:v>
      </x:c>
      <x:c r="J3327" s="2" t="str">
        <x:v>total</x:v>
      </x:c>
      <x:c r="K3327" s="2" t="str">
        <x:v>top_level_area</x:v>
      </x:c>
      <x:c r="L3327" s="2" t="str">
        <x:v>property_type_inferred_from_title</x:v>
      </x:c>
      <x:c r="M3327" s="10" t="n">
        <x:v>0</x:v>
      </x:c>
      <x:c r="N3327" s="10" t="n">
        <x:v>0</x:v>
      </x:c>
      <x:c r="O3327" s="2" t="str">
        <x:v>Hà Nội|land</x:v>
      </x:c>
      <x:c r="P3327" s="10" t="n">
        <x:v>2</x:v>
      </x:c>
      <x:c r="Q3327" s="13" t="n">
        <x:f>IF(H3327="","",H3327/1000000000)</x:f>
        <x:v>2.12</x:v>
      </x:c>
      <x:c r="R3327" s="13" t="n">
        <x:f>IF(I3327="","",I3327/1000000)</x:f>
        <x:v>45.10638297872341</x:v>
      </x:c>
    </x:row>
    <x:row r="3328" ht="21" customHeight="1">
      <x:c r="A3328" s="10" t="n">
        <x:v>4586</x:v>
      </x:c>
      <x:c r="B3328" s="2" t="str">
        <x:v>effd0a0ec39e0322195e</x:v>
      </x:c>
      <x:c r="C3328" s="2" t="str">
        <x:v>Cần Thơ</x:v>
      </x:c>
      <x:c r="D3328" s="2" t="str">
        <x:v>Quận Ninh Kiều</x:v>
      </x:c>
      <x:c r="E3328" s="2" t="str">
        <x:v>house</x:v>
      </x:c>
      <x:c r="F3328" s="2" t="str">
        <x:v>sale_assumed</x:v>
      </x:c>
      <x:c r="G3328" s="11" t="n">
        <x:v>51</x:v>
      </x:c>
      <x:c r="H3328" s="12" t="n">
        <x:v>2190000000</x:v>
      </x:c>
      <x:c r="I3328" s="12" t="n">
        <x:v>42941176.47058824</x:v>
      </x:c>
      <x:c r="J3328" s="2" t="str">
        <x:v>total</x:v>
      </x:c>
      <x:c r="K3328" s="2" t="str">
        <x:v>top_level_area</x:v>
      </x:c>
      <x:c r="L3328" s="2" t="str">
        <x:v>property_type_inferred_from_title;transaction_assumed_sale_from_dataset_context</x:v>
      </x:c>
      <x:c r="M3328" s="10" t="n">
        <x:v>0</x:v>
      </x:c>
      <x:c r="N3328" s="10" t="n">
        <x:v>0</x:v>
      </x:c>
      <x:c r="O3328" s="2" t="str">
        <x:v>Cần Thơ|house</x:v>
      </x:c>
      <x:c r="P3328" s="10" t="n">
        <x:v>2</x:v>
      </x:c>
      <x:c r="Q3328" s="13" t="n">
        <x:f>IF(H3328="","",H3328/1000000000)</x:f>
        <x:v>2.19</x:v>
      </x:c>
      <x:c r="R3328" s="13" t="n">
        <x:f>IF(I3328="","",I3328/1000000)</x:f>
        <x:v>42.94117647058824</x:v>
      </x:c>
    </x:row>
    <x:row r="3329" ht="21" customHeight="1">
      <x:c r="A3329" s="10" t="n">
        <x:v>4587</x:v>
      </x:c>
      <x:c r="B3329" s="2" t="str">
        <x:v>69cfb30feb715c4e6cd7</x:v>
      </x:c>
      <x:c r="C3329" s="2" t="str">
        <x:v>Hà Nội</x:v>
      </x:c>
      <x:c r="D3329" s="2" t="str">
        <x:v>Quận Thanh Xuân</x:v>
      </x:c>
      <x:c r="E3329" s="2" t="str">
        <x:v>house</x:v>
      </x:c>
      <x:c r="F3329" s="2" t="str">
        <x:v>sale</x:v>
      </x:c>
      <x:c r="G3329" s="11" t="n">
        <x:v>60</x:v>
      </x:c>
      <x:c r="H3329" s="12" t="n">
        <x:v>5200000000</x:v>
      </x:c>
      <x:c r="I3329" s="12" t="n">
        <x:v>86666666.66666667</x:v>
      </x:c>
      <x:c r="J3329" s="2" t="str">
        <x:v>total</x:v>
      </x:c>
      <x:c r="K3329" s="2" t="str">
        <x:v>top_level_area</x:v>
      </x:c>
      <x:c r="L3329" s="2" t="str">
        <x:v>property_type_inferred_from_title</x:v>
      </x:c>
      <x:c r="M3329" s="10" t="n">
        <x:v>0</x:v>
      </x:c>
      <x:c r="N3329" s="10" t="n">
        <x:v>0</x:v>
      </x:c>
      <x:c r="O3329" s="2" t="str">
        <x:v>Hà Nội|house</x:v>
      </x:c>
      <x:c r="P3329" s="10" t="n">
        <x:v>2</x:v>
      </x:c>
      <x:c r="Q3329" s="13" t="n">
        <x:f>IF(H3329="","",H3329/1000000000)</x:f>
        <x:v>5.2</x:v>
      </x:c>
      <x:c r="R3329" s="13" t="n">
        <x:f>IF(I3329="","",I3329/1000000)</x:f>
        <x:v>86.66666666666667</x:v>
      </x:c>
    </x:row>
    <x:row r="3330" ht="21" customHeight="1">
      <x:c r="A3330" s="10" t="n">
        <x:v>4588</x:v>
      </x:c>
      <x:c r="B3330" s="2" t="str">
        <x:v>2bb56923c64e3c1bbc70</x:v>
      </x:c>
      <x:c r="C3330" s="2" t="str">
        <x:v>Tp Hồ Chí Minh</x:v>
      </x:c>
      <x:c r="D3330" s="2" t="str">
        <x:v>Quận Thủ Đức</x:v>
      </x:c>
      <x:c r="E3330" s="2" t="str">
        <x:v>other_unknown</x:v>
      </x:c>
      <x:c r="F3330" s="2" t="str">
        <x:v>sale_assumed</x:v>
      </x:c>
      <x:c r="G3330" s="11" t="n">
        <x:v>75</x:v>
      </x:c>
      <x:c r="H3330" s="12" t="n">
        <x:v>2650000000</x:v>
      </x:c>
      <x:c r="I3330" s="12" t="n">
        <x:v>35333333.333333336</x:v>
      </x:c>
      <x:c r="J3330" s="2" t="str">
        <x:v>total</x:v>
      </x:c>
      <x:c r="K3330" s="2" t="str">
        <x:v>top_level_area</x:v>
      </x:c>
      <x:c r="L3330" s="2" t="str">
        <x:v>property_type_inferred_from_title;transaction_assumed_sale_from_dataset_context;unknown_property_type</x:v>
      </x:c>
      <x:c r="M3330" s="10" t="n">
        <x:v>0</x:v>
      </x:c>
      <x:c r="N3330" s="10" t="n">
        <x:v>0</x:v>
      </x:c>
      <x:c r="O3330" s="2" t="str">
        <x:v>Tp Hồ Chí Minh|other_unknown</x:v>
      </x:c>
      <x:c r="P3330" s="10" t="n">
        <x:v>2</x:v>
      </x:c>
      <x:c r="Q3330" s="13" t="n">
        <x:f>IF(H3330="","",H3330/1000000000)</x:f>
        <x:v>2.65</x:v>
      </x:c>
      <x:c r="R3330" s="13" t="n">
        <x:f>IF(I3330="","",I3330/1000000)</x:f>
        <x:v>35.333333333333336</x:v>
      </x:c>
    </x:row>
    <x:row r="3331" ht="21" customHeight="1">
      <x:c r="A3331" s="10" t="n">
        <x:v>4589</x:v>
      </x:c>
      <x:c r="B3331" s="2" t="str">
        <x:v>636de14f22a9be432562</x:v>
      </x:c>
      <x:c r="C3331" s="2" t="str">
        <x:v>Hà Nội</x:v>
      </x:c>
      <x:c r="D3331" s="2" t="str">
        <x:v>Quận Đống Đa</x:v>
      </x:c>
      <x:c r="E3331" s="2" t="str">
        <x:v>house</x:v>
      </x:c>
      <x:c r="F3331" s="2" t="str">
        <x:v>sale</x:v>
      </x:c>
      <x:c r="G3331" s="11" t="n">
        <x:v>46</x:v>
      </x:c>
      <x:c r="H3331" s="12" t="n">
        <x:v>3700000000</x:v>
      </x:c>
      <x:c r="I3331" s="12" t="n">
        <x:v>80434782.60869566</x:v>
      </x:c>
      <x:c r="J3331" s="2" t="str">
        <x:v>total</x:v>
      </x:c>
      <x:c r="K3331" s="2" t="str">
        <x:v>top_level_area</x:v>
      </x:c>
      <x:c r="L3331" s="2" t="str">
        <x:v>property_type_inferred_from_title</x:v>
      </x:c>
      <x:c r="M3331" s="10" t="n">
        <x:v>0</x:v>
      </x:c>
      <x:c r="N3331" s="10" t="n">
        <x:v>0</x:v>
      </x:c>
      <x:c r="O3331" s="2" t="str">
        <x:v>Hà Nội|house</x:v>
      </x:c>
      <x:c r="P3331" s="10" t="n">
        <x:v>2</x:v>
      </x:c>
      <x:c r="Q3331" s="13" t="n">
        <x:f>IF(H3331="","",H3331/1000000000)</x:f>
        <x:v>3.7</x:v>
      </x:c>
      <x:c r="R3331" s="13" t="n">
        <x:f>IF(I3331="","",I3331/1000000)</x:f>
        <x:v>80.43478260869566</x:v>
      </x:c>
    </x:row>
    <x:row r="3332" ht="21" customHeight="1">
      <x:c r="A3332" s="10" t="n">
        <x:v>4590</x:v>
      </x:c>
      <x:c r="B3332" s="2" t="str">
        <x:v>dddd6efe0a3b2c4b3792</x:v>
      </x:c>
      <x:c r="C3332" s="2" t="str">
        <x:v>Đà Nẵng</x:v>
      </x:c>
      <x:c r="D3332" s="2" t="str">
        <x:v>Quận Liên Chiểu</x:v>
      </x:c>
      <x:c r="E3332" s="2" t="str">
        <x:v>house</x:v>
      </x:c>
      <x:c r="F3332" s="2" t="str">
        <x:v>sale_assumed</x:v>
      </x:c>
      <x:c r="G3332" s="11" t="n">
        <x:v>75</x:v>
      </x:c>
      <x:c r="H3332" s="12" t="n">
        <x:v>3550000000</x:v>
      </x:c>
      <x:c r="I3332" s="12" t="n">
        <x:v>47333333.333333336</x:v>
      </x:c>
      <x:c r="J3332" s="2" t="str">
        <x:v>total</x:v>
      </x:c>
      <x:c r="K3332" s="2" t="str">
        <x:v>top_level_area</x:v>
      </x:c>
      <x:c r="L3332" s="2" t="str">
        <x:v>property_type_inferred_from_title;transaction_assumed_sale_from_dataset_context</x:v>
      </x:c>
      <x:c r="M3332" s="10" t="n">
        <x:v>0</x:v>
      </x:c>
      <x:c r="N3332" s="10" t="n">
        <x:v>0</x:v>
      </x:c>
      <x:c r="O3332" s="2" t="str">
        <x:v>Đà Nẵng|house</x:v>
      </x:c>
      <x:c r="P3332" s="10" t="n">
        <x:v>2</x:v>
      </x:c>
      <x:c r="Q3332" s="13" t="n">
        <x:f>IF(H3332="","",H3332/1000000000)</x:f>
        <x:v>3.55</x:v>
      </x:c>
      <x:c r="R3332" s="13" t="n">
        <x:f>IF(I3332="","",I3332/1000000)</x:f>
        <x:v>47.333333333333336</x:v>
      </x:c>
    </x:row>
    <x:row r="3333" ht="21" customHeight="1">
      <x:c r="A3333" s="10" t="n">
        <x:v>4591</x:v>
      </x:c>
      <x:c r="B3333" s="2" t="str">
        <x:v>53e4c1f3f549c3beabac</x:v>
      </x:c>
      <x:c r="C3333" s="2" t="str">
        <x:v>Sóc Trăng</x:v>
      </x:c>
      <x:c r="D3333" s="2" t="str">
        <x:v>thành phố Sóc Trăng</x:v>
      </x:c>
      <x:c r="E3333" s="2" t="str">
        <x:v>house</x:v>
      </x:c>
      <x:c r="F3333" s="2" t="str">
        <x:v>sale</x:v>
      </x:c>
      <x:c r="G3333" s="11" t="n">
        <x:v>110</x:v>
      </x:c>
      <x:c r="H3333" s="12" t="n">
        <x:v>3650000000</x:v>
      </x:c>
      <x:c r="I3333" s="12" t="n">
        <x:v>33181818.181818184</x:v>
      </x:c>
      <x:c r="J3333" s="2" t="str">
        <x:v>total</x:v>
      </x:c>
      <x:c r="K3333" s="2" t="str">
        <x:v>top_level_area</x:v>
      </x:c>
      <x:c r="L3333" s="2" t="str">
        <x:v>property_type_inferred_from_title</x:v>
      </x:c>
      <x:c r="M3333" s="10" t="n">
        <x:v>0</x:v>
      </x:c>
      <x:c r="N3333" s="10" t="n">
        <x:v>0</x:v>
      </x:c>
      <x:c r="O3333" s="2" t="str">
        <x:v>house</x:v>
      </x:c>
      <x:c r="P3333" s="10" t="n">
        <x:v>2</x:v>
      </x:c>
      <x:c r="Q3333" s="13" t="n">
        <x:f>IF(H3333="","",H3333/1000000000)</x:f>
        <x:v>3.65</x:v>
      </x:c>
      <x:c r="R3333" s="13" t="n">
        <x:f>IF(I3333="","",I3333/1000000)</x:f>
        <x:v>33.18181818181819</x:v>
      </x:c>
    </x:row>
    <x:row r="3334" ht="21" customHeight="1">
      <x:c r="A3334" s="10" t="n">
        <x:v>4592</x:v>
      </x:c>
      <x:c r="B3334" s="2" t="str">
        <x:v>2cedbec00ca7b43b066b</x:v>
      </x:c>
      <x:c r="C3334" s="2" t="str">
        <x:v>Hà Nội</x:v>
      </x:c>
      <x:c r="D3334" s="2" t="str">
        <x:v>Quận Cầu Giấy</x:v>
      </x:c>
      <x:c r="E3334" s="2" t="str">
        <x:v>house</x:v>
      </x:c>
      <x:c r="F3334" s="2" t="str">
        <x:v>sale</x:v>
      </x:c>
      <x:c r="G3334" s="11" t="n">
        <x:v>30</x:v>
      </x:c>
      <x:c r="H3334" s="12" t="n">
        <x:v>1900000000</x:v>
      </x:c>
      <x:c r="I3334" s="12" t="n">
        <x:v>63333333.333333336</x:v>
      </x:c>
      <x:c r="J3334" s="2" t="str">
        <x:v>total</x:v>
      </x:c>
      <x:c r="K3334" s="2" t="str">
        <x:v>top_level_area</x:v>
      </x:c>
      <x:c r="L3334" s="2" t="str">
        <x:v>property_type_inferred_from_title</x:v>
      </x:c>
      <x:c r="M3334" s="10" t="n">
        <x:v>0</x:v>
      </x:c>
      <x:c r="N3334" s="10" t="n">
        <x:v>0</x:v>
      </x:c>
      <x:c r="O3334" s="2" t="str">
        <x:v>Hà Nội|house</x:v>
      </x:c>
      <x:c r="P3334" s="10" t="n">
        <x:v>2</x:v>
      </x:c>
      <x:c r="Q3334" s="13" t="n">
        <x:f>IF(H3334="","",H3334/1000000000)</x:f>
        <x:v>1.9</x:v>
      </x:c>
      <x:c r="R3334" s="13" t="n">
        <x:f>IF(I3334="","",I3334/1000000)</x:f>
        <x:v>63.333333333333336</x:v>
      </x:c>
    </x:row>
    <x:row r="3335" ht="21" customHeight="1">
      <x:c r="A3335" s="10" t="n">
        <x:v>4593</x:v>
      </x:c>
      <x:c r="B3335" s="2" t="str">
        <x:v>0bb7479161f6e593a71a</x:v>
      </x:c>
      <x:c r="C3335" s="2" t="str">
        <x:v>Tp Hồ Chí Minh</x:v>
      </x:c>
      <x:c r="D3335" s="2" t="str">
        <x:v>Huyện Nhà Bè</x:v>
      </x:c>
      <x:c r="E3335" s="2" t="str">
        <x:v>apartment</x:v>
      </x:c>
      <x:c r="F3335" s="2" t="str">
        <x:v>sale_assumed</x:v>
      </x:c>
      <x:c r="G3335" s="11" t="n">
        <x:v>84</x:v>
      </x:c>
      <x:c r="H3335" s="12" t="n">
        <x:v>2200000000</x:v>
      </x:c>
      <x:c r="I3335" s="12" t="n">
        <x:v>26190476.19047619</x:v>
      </x:c>
      <x:c r="J3335" s="2" t="str">
        <x:v>total</x:v>
      </x:c>
      <x:c r="K3335" s="2" t="str">
        <x:v>top_level_area</x:v>
      </x:c>
      <x:c r="L3335" s="2" t="str">
        <x:v>property_type_inferred_from_title;transaction_assumed_sale_from_dataset_context</x:v>
      </x:c>
      <x:c r="M3335" s="10" t="n">
        <x:v>0</x:v>
      </x:c>
      <x:c r="N3335" s="10" t="n">
        <x:v>0</x:v>
      </x:c>
      <x:c r="O3335" s="2" t="str">
        <x:v>Tp Hồ Chí Minh|apartment</x:v>
      </x:c>
      <x:c r="P3335" s="10" t="n">
        <x:v>2</x:v>
      </x:c>
      <x:c r="Q3335" s="13" t="n">
        <x:f>IF(H3335="","",H3335/1000000000)</x:f>
        <x:v>2.2</x:v>
      </x:c>
      <x:c r="R3335" s="13" t="n">
        <x:f>IF(I3335="","",I3335/1000000)</x:f>
        <x:v>26.19047619047619</x:v>
      </x:c>
    </x:row>
    <x:row r="3336" ht="21" customHeight="1">
      <x:c r="A3336" s="10" t="n">
        <x:v>4594</x:v>
      </x:c>
      <x:c r="B3336" s="2" t="str">
        <x:v>0b0b60d28321d9ceae02</x:v>
      </x:c>
      <x:c r="C3336" s="2" t="str">
        <x:v>Bình Phước</x:v>
      </x:c>
      <x:c r="D3336" s="2" t="str">
        <x:v>Thành phố Đồng Xoài</x:v>
      </x:c>
      <x:c r="E3336" s="2" t="str">
        <x:v>land</x:v>
      </x:c>
      <x:c r="F3336" s="2" t="str">
        <x:v>sale</x:v>
      </x:c>
      <x:c r="G3336" s="11" t="n">
        <x:v>1033</x:v>
      </x:c>
      <x:c r="H3336" s="12" t="n">
        <x:v>200000000</x:v>
      </x:c>
      <x:c r="I3336" s="12" t="n">
        <x:v>193610.8422071636</x:v>
      </x:c>
      <x:c r="J3336" s="2" t="str">
        <x:v>total</x:v>
      </x:c>
      <x:c r="K3336" s="2" t="str">
        <x:v>top_level_area</x:v>
      </x:c>
      <x:c r="L3336" s="2" t="str">
        <x:v>dot_thousands_convention;property_type_inferred_from_title</x:v>
      </x:c>
      <x:c r="M3336" s="10" t="n">
        <x:v>0</x:v>
      </x:c>
      <x:c r="N3336" s="10" t="n">
        <x:v>0</x:v>
      </x:c>
      <x:c r="O3336" s="2" t="str">
        <x:v>Bình Phước|land</x:v>
      </x:c>
      <x:c r="P3336" s="10" t="n">
        <x:v>1</x:v>
      </x:c>
      <x:c r="Q3336" s="13" t="n">
        <x:f>IF(H3336="","",H3336/1000000000)</x:f>
        <x:v>0.2</x:v>
      </x:c>
      <x:c r="R3336" s="13" t="n">
        <x:f>IF(I3336="","",I3336/1000000)</x:f>
        <x:v>0.1936108422071636</x:v>
      </x:c>
    </x:row>
    <x:row r="3337" ht="21" customHeight="1">
      <x:c r="A3337" s="10" t="n">
        <x:v>4595</x:v>
      </x:c>
      <x:c r="B3337" s="2" t="str">
        <x:v>5225e2514ace017e1502</x:v>
      </x:c>
      <x:c r="C3337" s="2" t="str">
        <x:v>Đắk Lắk</x:v>
      </x:c>
      <x:c r="D3337" s="2" t="str">
        <x:v>Huyện Cư M'gar</x:v>
      </x:c>
      <x:c r="E3337" s="2" t="str">
        <x:v>land</x:v>
      </x:c>
      <x:c r="F3337" s="2" t="str">
        <x:v>sale_assumed</x:v>
      </x:c>
      <x:c r="G3337" s="11" t="n">
        <x:v>6000</x:v>
      </x:c>
      <x:c r="H3337" s="12" t="n">
        <x:v>1540000000</x:v>
      </x:c>
      <x:c r="I3337" s="12" t="n">
        <x:v>256666.66666666666</x:v>
      </x:c>
      <x:c r="J3337" s="2" t="str">
        <x:v>total</x:v>
      </x:c>
      <x:c r="K3337" s="2" t="str">
        <x:v>top_level_area</x:v>
      </x:c>
      <x:c r="L3337" s="2" t="str">
        <x:v>dot_thousands_convention;property_type_inferred_from_title;transaction_assumed_sale_from_dataset_context</x:v>
      </x:c>
      <x:c r="M3337" s="10" t="n">
        <x:v>0</x:v>
      </x:c>
      <x:c r="N3337" s="10" t="n">
        <x:v>0</x:v>
      </x:c>
      <x:c r="O3337" s="2" t="str">
        <x:v>Đắk Lắk|land</x:v>
      </x:c>
      <x:c r="P3337" s="10" t="n">
        <x:v>1</x:v>
      </x:c>
      <x:c r="Q3337" s="13" t="n">
        <x:f>IF(H3337="","",H3337/1000000000)</x:f>
        <x:v>1.54</x:v>
      </x:c>
      <x:c r="R3337" s="13" t="n">
        <x:f>IF(I3337="","",I3337/1000000)</x:f>
        <x:v>0.25666666666666665</x:v>
      </x:c>
    </x:row>
    <x:row r="3338" ht="21" customHeight="1">
      <x:c r="A3338" s="10" t="n">
        <x:v>4596</x:v>
      </x:c>
      <x:c r="B3338" s="2" t="str">
        <x:v>27a38e9c85405b8cbd22</x:v>
      </x:c>
      <x:c r="C3338" s="2" t="str">
        <x:v>Nam Định</x:v>
      </x:c>
      <x:c r="D3338" s="2" t="str">
        <x:v>Thành phố Nam Định</x:v>
      </x:c>
      <x:c r="E3338" s="2" t="str">
        <x:v>house</x:v>
      </x:c>
      <x:c r="F3338" s="2" t="str">
        <x:v>sale</x:v>
      </x:c>
      <x:c r="G3338" s="11" t="n">
        <x:v>90</x:v>
      </x:c>
      <x:c r="H3338" s="12" t="n">
        <x:v>2500000000</x:v>
      </x:c>
      <x:c r="I3338" s="12" t="n">
        <x:v>27777777.777777776</x:v>
      </x:c>
      <x:c r="J3338" s="2" t="str">
        <x:v>total</x:v>
      </x:c>
      <x:c r="K3338" s="2" t="str">
        <x:v>top_level_area</x:v>
      </x:c>
      <x:c r="L3338" s="2" t="str">
        <x:v>property_type_inferred_from_title</x:v>
      </x:c>
      <x:c r="M3338" s="10" t="n">
        <x:v>0</x:v>
      </x:c>
      <x:c r="N3338" s="10" t="n">
        <x:v>0</x:v>
      </x:c>
      <x:c r="O3338" s="2" t="str">
        <x:v>house</x:v>
      </x:c>
      <x:c r="P3338" s="10" t="n">
        <x:v>2</x:v>
      </x:c>
      <x:c r="Q3338" s="13" t="n">
        <x:f>IF(H3338="","",H3338/1000000000)</x:f>
        <x:v>2.5</x:v>
      </x:c>
      <x:c r="R3338" s="13" t="n">
        <x:f>IF(I3338="","",I3338/1000000)</x:f>
        <x:v>27.777777777777775</x:v>
      </x:c>
    </x:row>
    <x:row r="3339" ht="21" customHeight="1">
      <x:c r="A3339" s="10" t="n">
        <x:v>4597</x:v>
      </x:c>
      <x:c r="B3339" s="2" t="str">
        <x:v>8888cfddb42f22595cbc</x:v>
      </x:c>
      <x:c r="C3339" s="2" t="str">
        <x:v>Tp Hồ Chí Minh</x:v>
      </x:c>
      <x:c r="D3339" s="2" t="str">
        <x:v>Huyện Hóc Môn</x:v>
      </x:c>
      <x:c r="E3339" s="2" t="str">
        <x:v>house</x:v>
      </x:c>
      <x:c r="F3339" s="2" t="str">
        <x:v>sale</x:v>
      </x:c>
      <x:c r="G3339" s="11" t="n">
        <x:v>60</x:v>
      </x:c>
      <x:c r="H3339" s="12" t="n">
        <x:v>168000000</x:v>
      </x:c>
      <x:c r="I3339" s="12" t="n">
        <x:v>2800000</x:v>
      </x:c>
      <x:c r="J3339" s="2" t="str">
        <x:v>total</x:v>
      </x:c>
      <x:c r="K3339" s="2" t="str">
        <x:v>top_level_area</x:v>
      </x:c>
      <x:c r="L3339" s="2" t="str">
        <x:v>property_type_inferred_from_title</x:v>
      </x:c>
      <x:c r="M3339" s="10" t="n">
        <x:v>0</x:v>
      </x:c>
      <x:c r="N3339" s="10" t="n">
        <x:v>0</x:v>
      </x:c>
      <x:c r="O3339" s="2" t="str">
        <x:v>Tp Hồ Chí Minh|house</x:v>
      </x:c>
      <x:c r="P3339" s="10" t="n">
        <x:v>2</x:v>
      </x:c>
      <x:c r="Q3339" s="13" t="n">
        <x:f>IF(H3339="","",H3339/1000000000)</x:f>
        <x:v>0.168</x:v>
      </x:c>
      <x:c r="R3339" s="13" t="n">
        <x:f>IF(I3339="","",I3339/1000000)</x:f>
        <x:v>2.8</x:v>
      </x:c>
    </x:row>
    <x:row r="3340" ht="21" customHeight="1">
      <x:c r="A3340" s="10" t="n">
        <x:v>4598</x:v>
      </x:c>
      <x:c r="B3340" s="2" t="str">
        <x:v>1d6e304a6dc99ce3bcf5</x:v>
      </x:c>
      <x:c r="C3340" s="2" t="str">
        <x:v>Long An</x:v>
      </x:c>
      <x:c r="D3340" s="2" t="str">
        <x:v>Huyện Thủ Thừa</x:v>
      </x:c>
      <x:c r="E3340" s="2" t="str">
        <x:v>land</x:v>
      </x:c>
      <x:c r="F3340" s="2" t="str">
        <x:v>sale_assumed</x:v>
      </x:c>
      <x:c r="G3340" s="11" t="n">
        <x:v>1000</x:v>
      </x:c>
      <x:c r="H3340" s="12" t="n">
        <x:v>450000000</x:v>
      </x:c>
      <x:c r="I3340" s="12" t="n">
        <x:v>450000</x:v>
      </x:c>
      <x:c r="J3340" s="2" t="str">
        <x:v>total</x:v>
      </x:c>
      <x:c r="K3340" s="2" t="str">
        <x:v>top_level_area</x:v>
      </x:c>
      <x:c r="L3340" s="2" t="str">
        <x:v>dot_thousands_convention;property_type_inferred_from_title;transaction_assumed_sale_from_dataset_context</x:v>
      </x:c>
      <x:c r="M3340" s="10" t="n">
        <x:v>0</x:v>
      </x:c>
      <x:c r="N3340" s="10" t="n">
        <x:v>0</x:v>
      </x:c>
      <x:c r="O3340" s="2" t="str">
        <x:v>Long An|land</x:v>
      </x:c>
      <x:c r="P3340" s="10" t="n">
        <x:v>1</x:v>
      </x:c>
      <x:c r="Q3340" s="13" t="n">
        <x:f>IF(H3340="","",H3340/1000000000)</x:f>
        <x:v>0.45</x:v>
      </x:c>
      <x:c r="R3340" s="13" t="n">
        <x:f>IF(I3340="","",I3340/1000000)</x:f>
        <x:v>0.45</x:v>
      </x:c>
    </x:row>
    <x:row r="3341" ht="21" customHeight="1">
      <x:c r="A3341" s="10" t="n">
        <x:v>4599</x:v>
      </x:c>
      <x:c r="B3341" s="2" t="str">
        <x:v>a8303b561d16cdde67a1</x:v>
      </x:c>
      <x:c r="C3341" s="2" t="str">
        <x:v>Hà Nội</x:v>
      </x:c>
      <x:c r="D3341" s="2" t="str">
        <x:v>Quận Cầu Giấy</x:v>
      </x:c>
      <x:c r="E3341" s="2" t="str">
        <x:v>other_unknown</x:v>
      </x:c>
      <x:c r="F3341" s="2" t="str">
        <x:v>sale_assumed</x:v>
      </x:c>
      <x:c r="G3341" s="11" t="n">
        <x:v>30</x:v>
      </x:c>
      <x:c r="H3341" s="12" t="n">
        <x:v>3150000000</x:v>
      </x:c>
      <x:c r="I3341" s="12" t="n">
        <x:v>105000000</x:v>
      </x:c>
      <x:c r="J3341" s="2" t="str">
        <x:v>total</x:v>
      </x:c>
      <x:c r="K3341" s="2" t="str">
        <x:v>top_level_area</x:v>
      </x:c>
      <x:c r="L3341" s="2" t="str">
        <x:v>property_type_inferred_from_title;transaction_assumed_sale_from_dataset_context;unknown_property_type</x:v>
      </x:c>
      <x:c r="M3341" s="10" t="n">
        <x:v>0</x:v>
      </x:c>
      <x:c r="N3341" s="10" t="n">
        <x:v>0</x:v>
      </x:c>
      <x:c r="O3341" s="2" t="str">
        <x:v>Hà Nội|other_unknown</x:v>
      </x:c>
      <x:c r="P3341" s="10" t="n">
        <x:v>2</x:v>
      </x:c>
      <x:c r="Q3341" s="13" t="n">
        <x:f>IF(H3341="","",H3341/1000000000)</x:f>
        <x:v>3.15</x:v>
      </x:c>
      <x:c r="R3341" s="13" t="n">
        <x:f>IF(I3341="","",I3341/1000000)</x:f>
        <x:v>105</x:v>
      </x:c>
    </x:row>
    <x:row r="3342" ht="21" customHeight="1">
      <x:c r="A3342" s="10" t="n">
        <x:v>4600</x:v>
      </x:c>
      <x:c r="B3342" s="2" t="str">
        <x:v>ad49f085bdb72546d42f</x:v>
      </x:c>
      <x:c r="C3342" s="2" t="str">
        <x:v>Vĩnh Long</x:v>
      </x:c>
      <x:c r="D3342" s="2" t="str">
        <x:v>Huyện Long Hồ</x:v>
      </x:c>
      <x:c r="E3342" s="2" t="str">
        <x:v>other_unknown</x:v>
      </x:c>
      <x:c r="F3342" s="2" t="str">
        <x:v>sale</x:v>
      </x:c>
      <x:c r="G3342" s="11" t="n">
        <x:v>105</x:v>
      </x:c>
      <x:c r="H3342" s="12" t="n">
        <x:v>680000000</x:v>
      </x:c>
      <x:c r="I3342" s="12" t="n">
        <x:v>6476190.476190476</x:v>
      </x:c>
      <x:c r="J3342" s="2" t="str">
        <x:v>total</x:v>
      </x:c>
      <x:c r="K3342" s="2" t="str">
        <x:v>top_level_area</x:v>
      </x:c>
      <x:c r="L3342" s="2" t="str">
        <x:v>property_type_inferred_from_title;unknown_property_type</x:v>
      </x:c>
      <x:c r="M3342" s="10" t="n">
        <x:v>0</x:v>
      </x:c>
      <x:c r="N3342" s="10" t="n">
        <x:v>0</x:v>
      </x:c>
      <x:c r="O3342" s="2" t="str">
        <x:v>other_unknown</x:v>
      </x:c>
      <x:c r="P3342" s="10" t="n">
        <x:v>2</x:v>
      </x:c>
      <x:c r="Q3342" s="13" t="n">
        <x:f>IF(H3342="","",H3342/1000000000)</x:f>
        <x:v>0.68</x:v>
      </x:c>
      <x:c r="R3342" s="13" t="n">
        <x:f>IF(I3342="","",I3342/1000000)</x:f>
        <x:v>6.476190476190475</x:v>
      </x:c>
    </x:row>
    <x:row r="3343" ht="21" customHeight="1">
      <x:c r="A3343" s="10" t="n">
        <x:v>4601</x:v>
      </x:c>
      <x:c r="B3343" s="2" t="str">
        <x:v>266861196e6ff3b9c5fa</x:v>
      </x:c>
      <x:c r="C3343" s="2" t="str">
        <x:v>Long An</x:v>
      </x:c>
      <x:c r="D3343" s="2" t="str">
        <x:v>Huyện Thủ Thừa</x:v>
      </x:c>
      <x:c r="E3343" s="2" t="str">
        <x:v>land</x:v>
      </x:c>
      <x:c r="F3343" s="2" t="str">
        <x:v>sale_assumed</x:v>
      </x:c>
      <x:c r="G3343" s="11" t="n">
        <x:v>106</x:v>
      </x:c>
      <x:c r="H3343" s="12" t="n">
        <x:v>400000000</x:v>
      </x:c>
      <x:c r="I3343" s="12" t="n">
        <x:v>3773584.9056603773</x:v>
      </x:c>
      <x:c r="J3343" s="2" t="str">
        <x:v>total</x:v>
      </x:c>
      <x:c r="K3343" s="2" t="str">
        <x:v>top_level_area</x:v>
      </x:c>
      <x:c r="L3343" s="2" t="str">
        <x:v>property_type_inferred_from_title;transaction_assumed_sale_from_dataset_context</x:v>
      </x:c>
      <x:c r="M3343" s="10" t="n">
        <x:v>0</x:v>
      </x:c>
      <x:c r="N3343" s="10" t="n">
        <x:v>0</x:v>
      </x:c>
      <x:c r="O3343" s="2" t="str">
        <x:v>Long An|land</x:v>
      </x:c>
      <x:c r="P3343" s="10" t="n">
        <x:v>2</x:v>
      </x:c>
      <x:c r="Q3343" s="13" t="n">
        <x:f>IF(H3343="","",H3343/1000000000)</x:f>
        <x:v>0.4</x:v>
      </x:c>
      <x:c r="R3343" s="13" t="n">
        <x:f>IF(I3343="","",I3343/1000000)</x:f>
        <x:v>3.7735849056603774</x:v>
      </x:c>
    </x:row>
    <x:row r="3344" ht="21" customHeight="1">
      <x:c r="A3344" s="10" t="n">
        <x:v>4602</x:v>
      </x:c>
      <x:c r="B3344" s="2" t="str">
        <x:v>b6614de80ab3b33ef9cf</x:v>
      </x:c>
      <x:c r="C3344" s="2" t="str">
        <x:v>Hà Nội</x:v>
      </x:c>
      <x:c r="D3344" s="2" t="str">
        <x:v>Quận Long Biên</x:v>
      </x:c>
      <x:c r="E3344" s="2" t="str">
        <x:v>land</x:v>
      </x:c>
      <x:c r="F3344" s="2" t="str">
        <x:v>sale_assumed</x:v>
      </x:c>
      <x:c r="G3344" s="11" t="n">
        <x:v>37</x:v>
      </x:c>
      <x:c r="H3344" s="12" t="n">
        <x:v>1700000000</x:v>
      </x:c>
      <x:c r="I3344" s="12" t="n">
        <x:v>45945945.94594595</x:v>
      </x:c>
      <x:c r="J3344" s="2" t="str">
        <x:v>total</x:v>
      </x:c>
      <x:c r="K3344" s="2" t="str">
        <x:v>top_level_area</x:v>
      </x:c>
      <x:c r="L3344" s="2" t="str">
        <x:v>property_type_inferred_from_title;transaction_assumed_sale_from_dataset_context</x:v>
      </x:c>
      <x:c r="M3344" s="10" t="n">
        <x:v>0</x:v>
      </x:c>
      <x:c r="N3344" s="10" t="n">
        <x:v>0</x:v>
      </x:c>
      <x:c r="O3344" s="2" t="str">
        <x:v>Hà Nội|land</x:v>
      </x:c>
      <x:c r="P3344" s="10" t="n">
        <x:v>2</x:v>
      </x:c>
      <x:c r="Q3344" s="13" t="n">
        <x:f>IF(H3344="","",H3344/1000000000)</x:f>
        <x:v>1.7</x:v>
      </x:c>
      <x:c r="R3344" s="13" t="n">
        <x:f>IF(I3344="","",I3344/1000000)</x:f>
        <x:v>45.94594594594595</x:v>
      </x:c>
    </x:row>
    <x:row r="3345" ht="21" customHeight="1">
      <x:c r="A3345" s="10" t="n">
        <x:v>4603</x:v>
      </x:c>
      <x:c r="B3345" s="2" t="str">
        <x:v>c1021808cfb63d0fa853</x:v>
      </x:c>
      <x:c r="C3345" s="2" t="str">
        <x:v>Tp Hồ Chí Minh</x:v>
      </x:c>
      <x:c r="D3345" s="2" t="str">
        <x:v>Huyện Nhà Bè</x:v>
      </x:c>
      <x:c r="E3345" s="2" t="str">
        <x:v>apartment</x:v>
      </x:c>
      <x:c r="F3345" s="2" t="str">
        <x:v>sale</x:v>
      </x:c>
      <x:c r="G3345" s="11" t="n">
        <x:v>65</x:v>
      </x:c>
      <x:c r="H3345" s="12" t="n">
        <x:v>2600000000</x:v>
      </x:c>
      <x:c r="I3345" s="12" t="n">
        <x:v>40000000</x:v>
      </x:c>
      <x:c r="J3345" s="2" t="str">
        <x:v>total</x:v>
      </x:c>
      <x:c r="K3345" s="2" t="str">
        <x:v>top_level_area</x:v>
      </x:c>
      <x:c r="L3345" s="2" t="str">
        <x:v>property_type_inferred_from_title</x:v>
      </x:c>
      <x:c r="M3345" s="10" t="n">
        <x:v>0</x:v>
      </x:c>
      <x:c r="N3345" s="10" t="n">
        <x:v>0</x:v>
      </x:c>
      <x:c r="O3345" s="2" t="str">
        <x:v>Tp Hồ Chí Minh|apartment</x:v>
      </x:c>
      <x:c r="P3345" s="10" t="n">
        <x:v>2</x:v>
      </x:c>
      <x:c r="Q3345" s="13" t="n">
        <x:f>IF(H3345="","",H3345/1000000000)</x:f>
        <x:v>2.6</x:v>
      </x:c>
      <x:c r="R3345" s="13" t="n">
        <x:f>IF(I3345="","",I3345/1000000)</x:f>
        <x:v>40</x:v>
      </x:c>
    </x:row>
    <x:row r="3346" ht="21" customHeight="1">
      <x:c r="A3346" s="10" t="n">
        <x:v>4604</x:v>
      </x:c>
      <x:c r="B3346" s="2" t="str">
        <x:v>d09452d691eef85b6848</x:v>
      </x:c>
      <x:c r="C3346" s="2" t="str">
        <x:v>Ninh Thuận</x:v>
      </x:c>
      <x:c r="D3346" s="2" t="str">
        <x:v>Thành phố Phan Rang-Tháp Chàm</x:v>
      </x:c>
      <x:c r="E3346" s="2" t="str">
        <x:v>land</x:v>
      </x:c>
      <x:c r="F3346" s="2" t="str">
        <x:v>sale_assumed</x:v>
      </x:c>
      <x:c r="G3346" s="11" t="n">
        <x:v>3913</x:v>
      </x:c>
      <x:c r="H3346" s="12" t="n">
        <x:v>2200000000</x:v>
      </x:c>
      <x:c r="I3346" s="12" t="n">
        <x:v>562228.4692052134</x:v>
      </x:c>
      <x:c r="J3346" s="2" t="str">
        <x:v>total</x:v>
      </x:c>
      <x:c r="K3346" s="2" t="str">
        <x:v>top_level_area</x:v>
      </x:c>
      <x:c r="L3346" s="2" t="str">
        <x:v>dot_thousands_convention;property_type_inferred_from_title;transaction_assumed_sale_from_dataset_context</x:v>
      </x:c>
      <x:c r="M3346" s="10" t="n">
        <x:v>0</x:v>
      </x:c>
      <x:c r="N3346" s="10" t="n">
        <x:v>0</x:v>
      </x:c>
      <x:c r="O3346" s="2" t="str">
        <x:v>land</x:v>
      </x:c>
      <x:c r="P3346" s="10" t="n">
        <x:v>1</x:v>
      </x:c>
      <x:c r="Q3346" s="13" t="n">
        <x:f>IF(H3346="","",H3346/1000000000)</x:f>
        <x:v>2.2</x:v>
      </x:c>
      <x:c r="R3346" s="13" t="n">
        <x:f>IF(I3346="","",I3346/1000000)</x:f>
        <x:v>0.5622284692052134</x:v>
      </x:c>
    </x:row>
    <x:row r="3347" ht="21" customHeight="1">
      <x:c r="A3347" s="10" t="n">
        <x:v>4629</x:v>
      </x:c>
      <x:c r="B3347" s="2" t="str">
        <x:v>3a42630f39af095289b7</x:v>
      </x:c>
      <x:c r="C3347" s="2" t="str">
        <x:v>Tp Hồ Chí Minh</x:v>
      </x:c>
      <x:c r="D3347" s="2" t="str">
        <x:v>Quận Tân Phú</x:v>
      </x:c>
      <x:c r="E3347" s="2" t="str">
        <x:v>apartment</x:v>
      </x:c>
      <x:c r="F3347" s="2" t="str">
        <x:v>sale_assumed</x:v>
      </x:c>
      <x:c r="G3347" s="11" t="n">
        <x:v>50</x:v>
      </x:c>
      <x:c r="H3347" s="12" t="n">
        <x:v>1800000000</x:v>
      </x:c>
      <x:c r="I3347" s="12" t="n">
        <x:v>36000000</x:v>
      </x:c>
      <x:c r="J3347" s="2" t="str">
        <x:v>total</x:v>
      </x:c>
      <x:c r="K3347" s="2" t="str">
        <x:v>top_level_area</x:v>
      </x:c>
      <x:c r="L3347" s="2" t="str">
        <x:v>property_type_inferred_from_title;transaction_assumed_sale_from_dataset_context</x:v>
      </x:c>
      <x:c r="M3347" s="10" t="n">
        <x:v>0</x:v>
      </x:c>
      <x:c r="N3347" s="10" t="n">
        <x:v>0</x:v>
      </x:c>
      <x:c r="O3347" s="2" t="str">
        <x:v>Tp Hồ Chí Minh|apartment</x:v>
      </x:c>
      <x:c r="P3347" s="10" t="n">
        <x:v>2</x:v>
      </x:c>
      <x:c r="Q3347" s="13" t="n">
        <x:f>IF(H3347="","",H3347/1000000000)</x:f>
        <x:v>1.8</x:v>
      </x:c>
      <x:c r="R3347" s="13" t="n">
        <x:f>IF(I3347="","",I3347/1000000)</x:f>
        <x:v>36</x:v>
      </x:c>
    </x:row>
    <x:row r="3348" ht="21" customHeight="1">
      <x:c r="A3348" s="10" t="n">
        <x:v>4634</x:v>
      </x:c>
      <x:c r="B3348" s="2" t="str">
        <x:v>e42972d2aae4382ac4cb</x:v>
      </x:c>
      <x:c r="C3348" s="2" t="str">
        <x:v>Tp Hồ Chí Minh</x:v>
      </x:c>
      <x:c r="D3348" s="2" t="str">
        <x:v>Quận 12</x:v>
      </x:c>
      <x:c r="E3348" s="2" t="str">
        <x:v>house</x:v>
      </x:c>
      <x:c r="F3348" s="2" t="str">
        <x:v>sale_assumed</x:v>
      </x:c>
      <x:c r="G3348" s="11" t="n">
        <x:v>53</x:v>
      </x:c>
      <x:c r="H3348" s="12" t="n">
        <x:v>2000000000</x:v>
      </x:c>
      <x:c r="I3348" s="12" t="n">
        <x:v>37735849.056603774</x:v>
      </x:c>
      <x:c r="J3348" s="2" t="str">
        <x:v>total</x:v>
      </x:c>
      <x:c r="K3348" s="2" t="str">
        <x:v>top_level_area</x:v>
      </x:c>
      <x:c r="L3348" s="2" t="str">
        <x:v>property_type_inferred_from_title;transaction_assumed_sale_from_dataset_context</x:v>
      </x:c>
      <x:c r="M3348" s="10" t="n">
        <x:v>0</x:v>
      </x:c>
      <x:c r="N3348" s="10" t="n">
        <x:v>0</x:v>
      </x:c>
      <x:c r="O3348" s="2" t="str">
        <x:v>Tp Hồ Chí Minh|house</x:v>
      </x:c>
      <x:c r="P3348" s="10" t="n">
        <x:v>2</x:v>
      </x:c>
      <x:c r="Q3348" s="13" t="n">
        <x:f>IF(H3348="","",H3348/1000000000)</x:f>
        <x:v>2</x:v>
      </x:c>
      <x:c r="R3348" s="13" t="n">
        <x:f>IF(I3348="","",I3348/1000000)</x:f>
        <x:v>37.735849056603776</x:v>
      </x:c>
    </x:row>
    <x:row r="3349" ht="21" customHeight="1">
      <x:c r="A3349" s="10" t="n">
        <x:v>4635</x:v>
      </x:c>
      <x:c r="B3349" s="2" t="str">
        <x:v>4d1252d196aac63f2393</x:v>
      </x:c>
      <x:c r="C3349" s="2" t="str">
        <x:v>Long An</x:v>
      </x:c>
      <x:c r="D3349" s="2" t="str">
        <x:v>Huyện Đức Hòa</x:v>
      </x:c>
      <x:c r="E3349" s="2" t="str">
        <x:v>land</x:v>
      </x:c>
      <x:c r="F3349" s="2" t="str">
        <x:v>sale_assumed</x:v>
      </x:c>
      <x:c r="G3349" s="11" t="n">
        <x:v>408</x:v>
      </x:c>
      <x:c r="H3349" s="12" t="n">
        <x:v>9000000000</x:v>
      </x:c>
      <x:c r="I3349" s="12" t="n">
        <x:v>22058823.529411763</x:v>
      </x:c>
      <x:c r="J3349" s="2" t="str">
        <x:v>total</x:v>
      </x:c>
      <x:c r="K3349" s="2" t="str">
        <x:v>top_level_area</x:v>
      </x:c>
      <x:c r="L3349" s="2" t="str">
        <x:v>property_type_inferred_from_title;transaction_assumed_sale_from_dataset_context</x:v>
      </x:c>
      <x:c r="M3349" s="10" t="n">
        <x:v>0</x:v>
      </x:c>
      <x:c r="N3349" s="10" t="n">
        <x:v>1</x:v>
      </x:c>
      <x:c r="O3349" s="2" t="str">
        <x:v>Long An|land</x:v>
      </x:c>
      <x:c r="P3349" s="10" t="n">
        <x:v>-1</x:v>
      </x:c>
      <x:c r="Q3349" s="13" t="n">
        <x:f>IF(H3349="","",H3349/1000000000)</x:f>
        <x:v>9</x:v>
      </x:c>
      <x:c r="R3349" s="13" t="n">
        <x:f>IF(I3349="","",I3349/1000000)</x:f>
        <x:v>22.058823529411764</x:v>
      </x:c>
    </x:row>
    <x:row r="3350" ht="21" customHeight="1">
      <x:c r="A3350" s="10" t="n">
        <x:v>4636</x:v>
      </x:c>
      <x:c r="B3350" s="2" t="str">
        <x:v>ec382e1bdf884583ae1b</x:v>
      </x:c>
      <x:c r="C3350" s="2" t="str">
        <x:v>Bình Dương</x:v>
      </x:c>
      <x:c r="D3350" s="2" t="str">
        <x:v>Thị xã Bến Cát</x:v>
      </x:c>
      <x:c r="E3350" s="2" t="str">
        <x:v>house</x:v>
      </x:c>
      <x:c r="F3350" s="2" t="str">
        <x:v>sale_assumed</x:v>
      </x:c>
      <x:c r="G3350" s="11" t="n">
        <x:v>78</x:v>
      </x:c>
      <x:c r="H3350" s="12" t="n">
        <x:v>1270000000</x:v>
      </x:c>
      <x:c r="I3350" s="12" t="n">
        <x:v>16282051.282051282</x:v>
      </x:c>
      <x:c r="J3350" s="2" t="str">
        <x:v>total</x:v>
      </x:c>
      <x:c r="K3350" s="2" t="str">
        <x:v>top_level_area</x:v>
      </x:c>
      <x:c r="L3350" s="2" t="str">
        <x:v>property_type_inferred_from_title;transaction_assumed_sale_from_dataset_context</x:v>
      </x:c>
      <x:c r="M3350" s="10" t="n">
        <x:v>0</x:v>
      </x:c>
      <x:c r="N3350" s="10" t="n">
        <x:v>0</x:v>
      </x:c>
      <x:c r="O3350" s="2" t="str">
        <x:v>Bình Dương|house</x:v>
      </x:c>
      <x:c r="P3350" s="10" t="n">
        <x:v>2</x:v>
      </x:c>
      <x:c r="Q3350" s="13" t="n">
        <x:f>IF(H3350="","",H3350/1000000000)</x:f>
        <x:v>1.27</x:v>
      </x:c>
      <x:c r="R3350" s="13" t="n">
        <x:f>IF(I3350="","",I3350/1000000)</x:f>
        <x:v>16.28205128205128</x:v>
      </x:c>
    </x:row>
    <x:row r="3351" ht="21" customHeight="1">
      <x:c r="A3351" s="10" t="n">
        <x:v>4637</x:v>
      </x:c>
      <x:c r="B3351" s="2" t="str">
        <x:v>1f196b328419bf286c82</x:v>
      </x:c>
      <x:c r="C3351" s="2" t="str">
        <x:v>Hà Nội</x:v>
      </x:c>
      <x:c r="D3351" s="2" t="str">
        <x:v>Quận Nam Từ Liêm</x:v>
      </x:c>
      <x:c r="E3351" s="2" t="str">
        <x:v>house</x:v>
      </x:c>
      <x:c r="F3351" s="2" t="str">
        <x:v>sale_assumed</x:v>
      </x:c>
      <x:c r="G3351" s="11" t="n">
        <x:v>136</x:v>
      </x:c>
      <x:c r="H3351" s="12" t="n">
        <x:v>16000000000</x:v>
      </x:c>
      <x:c r="I3351" s="12" t="n">
        <x:v>117647058.8235294</x:v>
      </x:c>
      <x:c r="J3351" s="2" t="str">
        <x:v>total</x:v>
      </x:c>
      <x:c r="K3351" s="2" t="str">
        <x:v>top_level_area</x:v>
      </x:c>
      <x:c r="L3351" s="2" t="str">
        <x:v>property_type_inferred_from_title;transaction_assumed_sale_from_dataset_context</x:v>
      </x:c>
      <x:c r="M3351" s="10" t="n">
        <x:v>0</x:v>
      </x:c>
      <x:c r="N3351" s="10" t="n">
        <x:v>0</x:v>
      </x:c>
      <x:c r="O3351" s="2" t="str">
        <x:v>Hà Nội|house</x:v>
      </x:c>
      <x:c r="P3351" s="10" t="n">
        <x:v>2</x:v>
      </x:c>
      <x:c r="Q3351" s="13" t="n">
        <x:f>IF(H3351="","",H3351/1000000000)</x:f>
        <x:v>16</x:v>
      </x:c>
      <x:c r="R3351" s="13" t="n">
        <x:f>IF(I3351="","",I3351/1000000)</x:f>
        <x:v>117.6470588235294</x:v>
      </x:c>
    </x:row>
    <x:row r="3352" ht="21" customHeight="1">
      <x:c r="A3352" s="10" t="n">
        <x:v>4638</x:v>
      </x:c>
      <x:c r="B3352" s="2" t="str">
        <x:v>1a5e66f8840525281d8d</x:v>
      </x:c>
      <x:c r="C3352" s="2" t="str">
        <x:v>Đà Nẵng</x:v>
      </x:c>
      <x:c r="D3352" s="2" t="str">
        <x:v>Quận Ngũ Hành Sơn</x:v>
      </x:c>
      <x:c r="E3352" s="2" t="str">
        <x:v>other_unknown</x:v>
      </x:c>
      <x:c r="F3352" s="2" t="str">
        <x:v>sale_assumed</x:v>
      </x:c>
      <x:c r="G3352" s="11" t="n">
        <x:v>108</x:v>
      </x:c>
      <x:c r="H3352" s="12" t="n">
        <x:v>2500000000</x:v>
      </x:c>
      <x:c r="I3352" s="12" t="n">
        <x:v>23148148.14814815</x:v>
      </x:c>
      <x:c r="J3352" s="2" t="str">
        <x:v>total</x:v>
      </x:c>
      <x:c r="K3352" s="2" t="str">
        <x:v>top_level_area</x:v>
      </x:c>
      <x:c r="L3352" s="2" t="str">
        <x:v>property_type_inferred_from_title;transaction_assumed_sale_from_dataset_context;unknown_property_type</x:v>
      </x:c>
      <x:c r="M3352" s="10" t="n">
        <x:v>0</x:v>
      </x:c>
      <x:c r="N3352" s="10" t="n">
        <x:v>0</x:v>
      </x:c>
      <x:c r="O3352" s="2" t="str">
        <x:v>Đà Nẵng|other_unknown</x:v>
      </x:c>
      <x:c r="P3352" s="10" t="n">
        <x:v>2</x:v>
      </x:c>
      <x:c r="Q3352" s="13" t="n">
        <x:f>IF(H3352="","",H3352/1000000000)</x:f>
        <x:v>2.5</x:v>
      </x:c>
      <x:c r="R3352" s="13" t="n">
        <x:f>IF(I3352="","",I3352/1000000)</x:f>
        <x:v>23.14814814814815</x:v>
      </x:c>
    </x:row>
    <x:row r="3353" ht="21" customHeight="1">
      <x:c r="A3353" s="10" t="n">
        <x:v>4639</x:v>
      </x:c>
      <x:c r="B3353" s="2" t="str">
        <x:v>921c173de6826141114d</x:v>
      </x:c>
      <x:c r="C3353" s="2" t="str">
        <x:v>Tp Hồ Chí Minh</x:v>
      </x:c>
      <x:c r="D3353" s="2" t="str">
        <x:v>Quận 7</x:v>
      </x:c>
      <x:c r="E3353" s="2" t="str">
        <x:v>house</x:v>
      </x:c>
      <x:c r="F3353" s="2" t="str">
        <x:v>sale</x:v>
      </x:c>
      <x:c r="G3353" s="11" t="n">
        <x:v>65</x:v>
      </x:c>
      <x:c r="H3353" s="12" t="n">
        <x:v>3800000000</x:v>
      </x:c>
      <x:c r="I3353" s="12" t="n">
        <x:v>58461538.461538464</x:v>
      </x:c>
      <x:c r="J3353" s="2" t="str">
        <x:v>total</x:v>
      </x:c>
      <x:c r="K3353" s="2" t="str">
        <x:v>top_level_area</x:v>
      </x:c>
      <x:c r="L3353" s="2" t="str">
        <x:v>property_type_inferred_from_title</x:v>
      </x:c>
      <x:c r="M3353" s="10" t="n">
        <x:v>0</x:v>
      </x:c>
      <x:c r="N3353" s="10" t="n">
        <x:v>0</x:v>
      </x:c>
      <x:c r="O3353" s="2" t="str">
        <x:v>Tp Hồ Chí Minh|house</x:v>
      </x:c>
      <x:c r="P3353" s="10" t="n">
        <x:v>2</x:v>
      </x:c>
      <x:c r="Q3353" s="13" t="n">
        <x:f>IF(H3353="","",H3353/1000000000)</x:f>
        <x:v>3.8</x:v>
      </x:c>
      <x:c r="R3353" s="13" t="n">
        <x:f>IF(I3353="","",I3353/1000000)</x:f>
        <x:v>58.46153846153847</x:v>
      </x:c>
    </x:row>
    <x:row r="3354" ht="21" customHeight="1">
      <x:c r="A3354" s="10" t="n">
        <x:v>4640</x:v>
      </x:c>
      <x:c r="B3354" s="2" t="str">
        <x:v>0d7af79a553073b4e00d</x:v>
      </x:c>
      <x:c r="C3354" s="2" t="str">
        <x:v>Đắk Lắk</x:v>
      </x:c>
      <x:c r="D3354" s="2" t="str">
        <x:v>Thành phố Buôn Ma Thuột</x:v>
      </x:c>
      <x:c r="E3354" s="2" t="str">
        <x:v>land</x:v>
      </x:c>
      <x:c r="F3354" s="2" t="str">
        <x:v>sale</x:v>
      </x:c>
      <x:c r="G3354" s="11" t="n">
        <x:v>990</x:v>
      </x:c>
      <x:c r="H3354" s="12" t="n">
        <x:v>990000000</x:v>
      </x:c>
      <x:c r="I3354" s="12" t="n">
        <x:v>1000000</x:v>
      </x:c>
      <x:c r="J3354" s="2" t="str">
        <x:v>total</x:v>
      </x:c>
      <x:c r="K3354" s="2" t="str">
        <x:v>top_level_area</x:v>
      </x:c>
      <x:c r="L3354" s="2" t="str">
        <x:v>property_type_inferred_from_title</x:v>
      </x:c>
      <x:c r="M3354" s="10" t="n">
        <x:v>0</x:v>
      </x:c>
      <x:c r="N3354" s="10" t="n">
        <x:v>0</x:v>
      </x:c>
      <x:c r="O3354" s="2" t="str">
        <x:v>Đắk Lắk|land</x:v>
      </x:c>
      <x:c r="P3354" s="10" t="n">
        <x:v>1</x:v>
      </x:c>
      <x:c r="Q3354" s="13" t="n">
        <x:f>IF(H3354="","",H3354/1000000000)</x:f>
        <x:v>0.99</x:v>
      </x:c>
      <x:c r="R3354" s="13" t="n">
        <x:f>IF(I3354="","",I3354/1000000)</x:f>
        <x:v>1</x:v>
      </x:c>
    </x:row>
    <x:row r="3355" ht="21" customHeight="1">
      <x:c r="A3355" s="10" t="n">
        <x:v>4641</x:v>
      </x:c>
      <x:c r="B3355" s="2" t="str">
        <x:v>b4ce16a21b1646acf2b4</x:v>
      </x:c>
      <x:c r="C3355" s="2" t="str">
        <x:v>Tp Hồ Chí Minh</x:v>
      </x:c>
      <x:c r="D3355" s="2" t="str">
        <x:v>Quận Bình Tân</x:v>
      </x:c>
      <x:c r="E3355" s="2" t="str">
        <x:v>house</x:v>
      </x:c>
      <x:c r="F3355" s="2" t="str">
        <x:v>sale_assumed</x:v>
      </x:c>
      <x:c r="G3355" s="11" t="n">
        <x:v>58</x:v>
      </x:c>
      <x:c r="H3355" s="12" t="n">
        <x:v>1580000000</x:v>
      </x:c>
      <x:c r="I3355" s="12" t="n">
        <x:v>27241379.310344826</x:v>
      </x:c>
      <x:c r="J3355" s="2" t="str">
        <x:v>total</x:v>
      </x:c>
      <x:c r="K3355" s="2" t="str">
        <x:v>top_level_area</x:v>
      </x:c>
      <x:c r="L3355" s="2" t="str">
        <x:v>property_type_inferred_from_title;transaction_assumed_sale_from_dataset_context</x:v>
      </x:c>
      <x:c r="M3355" s="10" t="n">
        <x:v>0</x:v>
      </x:c>
      <x:c r="N3355" s="10" t="n">
        <x:v>0</x:v>
      </x:c>
      <x:c r="O3355" s="2" t="str">
        <x:v>Tp Hồ Chí Minh|house</x:v>
      </x:c>
      <x:c r="P3355" s="10" t="n">
        <x:v>2</x:v>
      </x:c>
      <x:c r="Q3355" s="13" t="n">
        <x:f>IF(H3355="","",H3355/1000000000)</x:f>
        <x:v>1.58</x:v>
      </x:c>
      <x:c r="R3355" s="13" t="n">
        <x:f>IF(I3355="","",I3355/1000000)</x:f>
        <x:v>27.241379310344826</x:v>
      </x:c>
    </x:row>
    <x:row r="3356" ht="21" customHeight="1">
      <x:c r="A3356" s="10" t="n">
        <x:v>4642</x:v>
      </x:c>
      <x:c r="B3356" s="2" t="str">
        <x:v>b34f5c9ad80e0ca857f5</x:v>
      </x:c>
      <x:c r="C3356" s="2" t="str">
        <x:v>Tp Hồ Chí Minh</x:v>
      </x:c>
      <x:c r="D3356" s="2" t="str">
        <x:v>Huyện Cần Giờ</x:v>
      </x:c>
      <x:c r="E3356" s="2" t="str">
        <x:v>land</x:v>
      </x:c>
      <x:c r="F3356" s="2" t="str">
        <x:v>sale</x:v>
      </x:c>
      <x:c r="G3356" s="11" t="n">
        <x:v>150</x:v>
      </x:c>
      <x:c r="H3356" s="12" t="n">
        <x:v>2500000000</x:v>
      </x:c>
      <x:c r="I3356" s="12" t="n">
        <x:v>16666666.666666666</x:v>
      </x:c>
      <x:c r="J3356" s="2" t="str">
        <x:v>total</x:v>
      </x:c>
      <x:c r="K3356" s="2" t="str">
        <x:v>top_level_price_embedded_area</x:v>
      </x:c>
      <x:c r="L3356" s="2" t="str">
        <x:v>area_recovered_from_price_text;property_type_inferred_from_title</x:v>
      </x:c>
      <x:c r="M3356" s="10" t="n">
        <x:v>0</x:v>
      </x:c>
      <x:c r="N3356" s="10" t="n">
        <x:v>0</x:v>
      </x:c>
      <x:c r="O3356" s="2" t="str">
        <x:v>Tp Hồ Chí Minh|land</x:v>
      </x:c>
      <x:c r="P3356" s="10" t="n">
        <x:v>2</x:v>
      </x:c>
      <x:c r="Q3356" s="13" t="n">
        <x:f>IF(H3356="","",H3356/1000000000)</x:f>
        <x:v>2.5</x:v>
      </x:c>
      <x:c r="R3356" s="13" t="n">
        <x:f>IF(I3356="","",I3356/1000000)</x:f>
        <x:v>16.666666666666664</x:v>
      </x:c>
    </x:row>
    <x:row r="3357" ht="21" customHeight="1">
      <x:c r="A3357" s="10" t="n">
        <x:v>4643</x:v>
      </x:c>
      <x:c r="B3357" s="2" t="str">
        <x:v>e4723b66010098822c7c</x:v>
      </x:c>
      <x:c r="C3357" s="2" t="str">
        <x:v>Gia Lai</x:v>
      </x:c>
      <x:c r="D3357" s="2" t="str">
        <x:v>Thành phố Pleiku</x:v>
      </x:c>
      <x:c r="E3357" s="2" t="str">
        <x:v>land</x:v>
      </x:c>
      <x:c r="F3357" s="2" t="str">
        <x:v>sale</x:v>
      </x:c>
      <x:c r="G3357" s="11" t="n">
        <x:v>125</x:v>
      </x:c>
      <x:c r="H3357" s="12" t="n">
        <x:v>249000000</x:v>
      </x:c>
      <x:c r="I3357" s="12" t="n">
        <x:v>1992000</x:v>
      </x:c>
      <x:c r="J3357" s="2" t="str">
        <x:v>total</x:v>
      </x:c>
      <x:c r="K3357" s="2" t="str">
        <x:v>top_level_area</x:v>
      </x:c>
      <x:c r="L3357" s="2" t="str">
        <x:v>property_type_inferred_from_title</x:v>
      </x:c>
      <x:c r="M3357" s="10" t="n">
        <x:v>0</x:v>
      </x:c>
      <x:c r="N3357" s="10" t="n">
        <x:v>0</x:v>
      </x:c>
      <x:c r="O3357" s="2" t="str">
        <x:v>land</x:v>
      </x:c>
      <x:c r="P3357" s="10" t="n">
        <x:v>1</x:v>
      </x:c>
      <x:c r="Q3357" s="13" t="n">
        <x:f>IF(H3357="","",H3357/1000000000)</x:f>
        <x:v>0.249</x:v>
      </x:c>
      <x:c r="R3357" s="13" t="n">
        <x:f>IF(I3357="","",I3357/1000000)</x:f>
        <x:v>1.992</x:v>
      </x:c>
    </x:row>
    <x:row r="3358" ht="21" customHeight="1">
      <x:c r="A3358" s="10" t="n">
        <x:v>4644</x:v>
      </x:c>
      <x:c r="B3358" s="2" t="str">
        <x:v>a7b2cd8ad467d081b2a3</x:v>
      </x:c>
      <x:c r="C3358" s="2" t="str">
        <x:v>Hà Nội</x:v>
      </x:c>
      <x:c r="D3358" s="2" t="str">
        <x:v>Quận Hoàng Mai</x:v>
      </x:c>
      <x:c r="E3358" s="2" t="str">
        <x:v>house</x:v>
      </x:c>
      <x:c r="F3358" s="2" t="str">
        <x:v>sale_assumed</x:v>
      </x:c>
      <x:c r="G3358" s="11" t="n">
        <x:v>34</x:v>
      </x:c>
      <x:c r="H3358" s="12" t="n">
        <x:v>3100000000</x:v>
      </x:c>
      <x:c r="I3358" s="12" t="n">
        <x:v>91176470.58823529</x:v>
      </x:c>
      <x:c r="J3358" s="2" t="str">
        <x:v>total</x:v>
      </x:c>
      <x:c r="K3358" s="2" t="str">
        <x:v>top_level_area</x:v>
      </x:c>
      <x:c r="L3358" s="2" t="str">
        <x:v>property_type_inferred_from_title;transaction_assumed_sale_from_dataset_context</x:v>
      </x:c>
      <x:c r="M3358" s="10" t="n">
        <x:v>0</x:v>
      </x:c>
      <x:c r="N3358" s="10" t="n">
        <x:v>0</x:v>
      </x:c>
      <x:c r="O3358" s="2" t="str">
        <x:v>Hà Nội|house</x:v>
      </x:c>
      <x:c r="P3358" s="10" t="n">
        <x:v>2</x:v>
      </x:c>
      <x:c r="Q3358" s="13" t="n">
        <x:f>IF(H3358="","",H3358/1000000000)</x:f>
        <x:v>3.1</x:v>
      </x:c>
      <x:c r="R3358" s="13" t="n">
        <x:f>IF(I3358="","",I3358/1000000)</x:f>
        <x:v>91.17647058823529</x:v>
      </x:c>
    </x:row>
    <x:row r="3359" ht="21" customHeight="1">
      <x:c r="A3359" s="10" t="n">
        <x:v>4645</x:v>
      </x:c>
      <x:c r="B3359" s="2" t="str">
        <x:v>12501da467c933016089</x:v>
      </x:c>
      <x:c r="C3359" s="2" t="str">
        <x:v>Tp Hồ Chí Minh</x:v>
      </x:c>
      <x:c r="D3359" s="2" t="str">
        <x:v>Huyện Bình Chánh</x:v>
      </x:c>
      <x:c r="E3359" s="2" t="str">
        <x:v>land</x:v>
      </x:c>
      <x:c r="F3359" s="2" t="str">
        <x:v>sale_assumed</x:v>
      </x:c>
      <x:c r="G3359" s="11" t="n">
        <x:v>1000</x:v>
      </x:c>
      <x:c r="H3359" s="12" t="n">
        <x:v>1600000000</x:v>
      </x:c>
      <x:c r="I3359" s="12" t="n">
        <x:v>1600000</x:v>
      </x:c>
      <x:c r="J3359" s="2" t="str">
        <x:v>total</x:v>
      </x:c>
      <x:c r="K3359" s="2" t="str">
        <x:v>top_level_area</x:v>
      </x:c>
      <x:c r="L3359" s="2" t="str">
        <x:v>dot_thousands_convention;property_type_inferred_from_title;transaction_assumed_sale_from_dataset_context</x:v>
      </x:c>
      <x:c r="M3359" s="10" t="n">
        <x:v>0</x:v>
      </x:c>
      <x:c r="N3359" s="10" t="n">
        <x:v>0</x:v>
      </x:c>
      <x:c r="O3359" s="2" t="str">
        <x:v>Tp Hồ Chí Minh|land</x:v>
      </x:c>
      <x:c r="P3359" s="10" t="n">
        <x:v>1</x:v>
      </x:c>
      <x:c r="Q3359" s="13" t="n">
        <x:f>IF(H3359="","",H3359/1000000000)</x:f>
        <x:v>1.6</x:v>
      </x:c>
      <x:c r="R3359" s="13" t="n">
        <x:f>IF(I3359="","",I3359/1000000)</x:f>
        <x:v>1.6</x:v>
      </x:c>
    </x:row>
    <x:row r="3360" ht="21" customHeight="1">
      <x:c r="A3360" s="10" t="n">
        <x:v>4646</x:v>
      </x:c>
      <x:c r="B3360" s="2" t="str">
        <x:v>bc30dc33ba0db0d4081f</x:v>
      </x:c>
      <x:c r="C3360" s="2" t="str">
        <x:v>Tp Hồ Chí Minh</x:v>
      </x:c>
      <x:c r="D3360" s="2" t="str">
        <x:v>Quận Gò Vấp</x:v>
      </x:c>
      <x:c r="E3360" s="2" t="str">
        <x:v>house</x:v>
      </x:c>
      <x:c r="F3360" s="2" t="str">
        <x:v>sale_assumed</x:v>
      </x:c>
      <x:c r="G3360" s="11" t="n">
        <x:v>60</x:v>
      </x:c>
      <x:c r="H3360" s="12" t="n">
        <x:v>880000000</x:v>
      </x:c>
      <x:c r="I3360" s="12" t="n">
        <x:v>14666666.666666666</x:v>
      </x:c>
      <x:c r="J3360" s="2" t="str">
        <x:v>total</x:v>
      </x:c>
      <x:c r="K3360" s="2" t="str">
        <x:v>top_level_area</x:v>
      </x:c>
      <x:c r="L3360" s="2" t="str">
        <x:v>property_type_inferred_from_title;transaction_assumed_sale_from_dataset_context</x:v>
      </x:c>
      <x:c r="M3360" s="10" t="n">
        <x:v>0</x:v>
      </x:c>
      <x:c r="N3360" s="10" t="n">
        <x:v>0</x:v>
      </x:c>
      <x:c r="O3360" s="2" t="str">
        <x:v>Tp Hồ Chí Minh|house</x:v>
      </x:c>
      <x:c r="P3360" s="10" t="n">
        <x:v>2</x:v>
      </x:c>
      <x:c r="Q3360" s="13" t="n">
        <x:f>IF(H3360="","",H3360/1000000000)</x:f>
        <x:v>0.88</x:v>
      </x:c>
      <x:c r="R3360" s="13" t="n">
        <x:f>IF(I3360="","",I3360/1000000)</x:f>
        <x:v>14.666666666666666</x:v>
      </x:c>
    </x:row>
    <x:row r="3361" ht="21" customHeight="1">
      <x:c r="A3361" s="10" t="n">
        <x:v>4647</x:v>
      </x:c>
      <x:c r="B3361" s="2" t="str">
        <x:v>81ac8c6eb60ee63eb466</x:v>
      </x:c>
      <x:c r="C3361" s="2" t="str">
        <x:v>Tp Hồ Chí Minh</x:v>
      </x:c>
      <x:c r="D3361" s="2" t="str">
        <x:v>Quận Thủ Đức</x:v>
      </x:c>
      <x:c r="E3361" s="2" t="str">
        <x:v>land</x:v>
      </x:c>
      <x:c r="F3361" s="2" t="str">
        <x:v>sale</x:v>
      </x:c>
      <x:c r="G3361" s="11" t="n">
        <x:v>100</x:v>
      </x:c>
      <x:c r="H3361" s="12" t="n">
        <x:v>650000000</x:v>
      </x:c>
      <x:c r="I3361" s="12" t="n">
        <x:v>6500000</x:v>
      </x:c>
      <x:c r="J3361" s="2" t="str">
        <x:v>total</x:v>
      </x:c>
      <x:c r="K3361" s="2" t="str">
        <x:v>top_level_area</x:v>
      </x:c>
      <x:c r="L3361" s="2" t="str">
        <x:v>property_type_inferred_from_title</x:v>
      </x:c>
      <x:c r="M3361" s="10" t="n">
        <x:v>0</x:v>
      </x:c>
      <x:c r="N3361" s="10" t="n">
        <x:v>0</x:v>
      </x:c>
      <x:c r="O3361" s="2" t="str">
        <x:v>Tp Hồ Chí Minh|land</x:v>
      </x:c>
      <x:c r="P3361" s="10" t="n">
        <x:v>2</x:v>
      </x:c>
      <x:c r="Q3361" s="13" t="n">
        <x:f>IF(H3361="","",H3361/1000000000)</x:f>
        <x:v>0.65</x:v>
      </x:c>
      <x:c r="R3361" s="13" t="n">
        <x:f>IF(I3361="","",I3361/1000000)</x:f>
        <x:v>6.5</x:v>
      </x:c>
    </x:row>
    <x:row r="3362" ht="21" customHeight="1">
      <x:c r="A3362" s="10" t="n">
        <x:v>4648</x:v>
      </x:c>
      <x:c r="B3362" s="2" t="str">
        <x:v>987d270e6e69db8b59b8</x:v>
      </x:c>
      <x:c r="C3362" s="2" t="str">
        <x:v>Hà Nội</x:v>
      </x:c>
      <x:c r="D3362" s="2" t="str">
        <x:v>Quận Cầu Giấy</x:v>
      </x:c>
      <x:c r="E3362" s="2" t="str">
        <x:v>apartment</x:v>
      </x:c>
      <x:c r="F3362" s="2" t="str">
        <x:v>sale_assumed</x:v>
      </x:c>
      <x:c r="G3362" s="11" t="n">
        <x:v>34</x:v>
      </x:c>
      <x:c r="H3362" s="12" t="n">
        <x:v>600000000</x:v>
      </x:c>
      <x:c r="I3362" s="12" t="n">
        <x:v>17647058.82352941</x:v>
      </x:c>
      <x:c r="J3362" s="2" t="str">
        <x:v>total</x:v>
      </x:c>
      <x:c r="K3362" s="2" t="str">
        <x:v>top_level_area</x:v>
      </x:c>
      <x:c r="L3362" s="2" t="str">
        <x:v>property_type_inferred_from_title;transaction_assumed_sale_from_dataset_context</x:v>
      </x:c>
      <x:c r="M3362" s="10" t="n">
        <x:v>0</x:v>
      </x:c>
      <x:c r="N3362" s="10" t="n">
        <x:v>0</x:v>
      </x:c>
      <x:c r="O3362" s="2" t="str">
        <x:v>Hà Nội|apartment</x:v>
      </x:c>
      <x:c r="P3362" s="10" t="n">
        <x:v>2</x:v>
      </x:c>
      <x:c r="Q3362" s="13" t="n">
        <x:f>IF(H3362="","",H3362/1000000000)</x:f>
        <x:v>0.6</x:v>
      </x:c>
      <x:c r="R3362" s="13" t="n">
        <x:f>IF(I3362="","",I3362/1000000)</x:f>
        <x:v>17.64705882352941</x:v>
      </x:c>
    </x:row>
    <x:row r="3363" ht="21" customHeight="1">
      <x:c r="A3363" s="10" t="n">
        <x:v>4649</x:v>
      </x:c>
      <x:c r="B3363" s="2" t="str">
        <x:v>d399d32846c5a89401be</x:v>
      </x:c>
      <x:c r="C3363" s="2" t="str">
        <x:v>Sóc Trăng</x:v>
      </x:c>
      <x:c r="D3363" s="2" t="str">
        <x:v>Thành phố Sóc Trăng</x:v>
      </x:c>
      <x:c r="E3363" s="2" t="str">
        <x:v>land</x:v>
      </x:c>
      <x:c r="F3363" s="2" t="str">
        <x:v>sale_assumed</x:v>
      </x:c>
      <x:c r="G3363" s="11" t="n">
        <x:v>1300</x:v>
      </x:c>
      <x:c r="H3363" s="12" t="n">
        <x:v>7500000000</x:v>
      </x:c>
      <x:c r="I3363" s="12" t="n">
        <x:v>5769230.769230769</x:v>
      </x:c>
      <x:c r="J3363" s="2" t="str">
        <x:v>total</x:v>
      </x:c>
      <x:c r="K3363" s="2" t="str">
        <x:v>top_level_area</x:v>
      </x:c>
      <x:c r="L3363" s="2" t="str">
        <x:v>dot_thousands_convention;property_type_inferred_from_title;transaction_assumed_sale_from_dataset_context</x:v>
      </x:c>
      <x:c r="M3363" s="10" t="n">
        <x:v>0</x:v>
      </x:c>
      <x:c r="N3363" s="10" t="n">
        <x:v>0</x:v>
      </x:c>
      <x:c r="O3363" s="2" t="str">
        <x:v>land</x:v>
      </x:c>
      <x:c r="P3363" s="10" t="n">
        <x:v>1</x:v>
      </x:c>
      <x:c r="Q3363" s="13" t="n">
        <x:f>IF(H3363="","",H3363/1000000000)</x:f>
        <x:v>7.5</x:v>
      </x:c>
      <x:c r="R3363" s="13" t="n">
        <x:f>IF(I3363="","",I3363/1000000)</x:f>
        <x:v>5.769230769230769</x:v>
      </x:c>
    </x:row>
    <x:row r="3364" ht="21" customHeight="1">
      <x:c r="A3364" s="10" t="n">
        <x:v>4650</x:v>
      </x:c>
      <x:c r="B3364" s="2" t="str">
        <x:v>89bebabd4f41b6d8e50c</x:v>
      </x:c>
      <x:c r="C3364" s="2" t="str">
        <x:v>Tp Hồ Chí Minh</x:v>
      </x:c>
      <x:c r="D3364" s="2" t="str">
        <x:v>Quận 9</x:v>
      </x:c>
      <x:c r="E3364" s="2" t="str">
        <x:v>house</x:v>
      </x:c>
      <x:c r="F3364" s="2" t="str">
        <x:v>sale_assumed</x:v>
      </x:c>
      <x:c r="G3364" s="11" t="n">
        <x:v>90</x:v>
      </x:c>
      <x:c r="H3364" s="12" t="n">
        <x:v>9500000000</x:v>
      </x:c>
      <x:c r="I3364" s="12" t="n">
        <x:v>105555555.55555555</x:v>
      </x:c>
      <x:c r="J3364" s="2" t="str">
        <x:v>total</x:v>
      </x:c>
      <x:c r="K3364" s="2" t="str">
        <x:v>top_level_area</x:v>
      </x:c>
      <x:c r="L3364" s="2" t="str">
        <x:v>property_type_inferred_from_title;transaction_assumed_sale_from_dataset_context</x:v>
      </x:c>
      <x:c r="M3364" s="10" t="n">
        <x:v>0</x:v>
      </x:c>
      <x:c r="N3364" s="10" t="n">
        <x:v>0</x:v>
      </x:c>
      <x:c r="O3364" s="2" t="str">
        <x:v>Tp Hồ Chí Minh|house</x:v>
      </x:c>
      <x:c r="P3364" s="10" t="n">
        <x:v>2</x:v>
      </x:c>
      <x:c r="Q3364" s="13" t="n">
        <x:f>IF(H3364="","",H3364/1000000000)</x:f>
        <x:v>9.5</x:v>
      </x:c>
      <x:c r="R3364" s="13" t="n">
        <x:f>IF(I3364="","",I3364/1000000)</x:f>
        <x:v>105.55555555555556</x:v>
      </x:c>
    </x:row>
    <x:row r="3365" ht="21" customHeight="1">
      <x:c r="A3365" s="10" t="n">
        <x:v>4653</x:v>
      </x:c>
      <x:c r="B3365" s="2" t="str">
        <x:v>b2033e0e4f568ad9c3fe</x:v>
      </x:c>
      <x:c r="C3365" s="2" t="str">
        <x:v>Long An</x:v>
      </x:c>
      <x:c r="D3365" s="2" t="str">
        <x:v>Huyện Cần Giuộc</x:v>
      </x:c>
      <x:c r="E3365" s="2" t="str">
        <x:v>other_unknown</x:v>
      </x:c>
      <x:c r="F3365" s="2" t="str">
        <x:v>sale_assumed</x:v>
      </x:c>
      <x:c r="G3365" s="11" t="n">
        <x:v>100</x:v>
      </x:c>
      <x:c r="H3365" s="12" t="n">
        <x:v>21000000</x:v>
      </x:c>
      <x:c r="I3365" s="12" t="n">
        <x:v>210000</x:v>
      </x:c>
      <x:c r="J3365" s="2" t="str">
        <x:v>total</x:v>
      </x:c>
      <x:c r="K3365" s="2" t="str">
        <x:v>top_level_area</x:v>
      </x:c>
      <x:c r="L3365" s="2" t="str">
        <x:v>property_type_inferred_from_title;province_alias_normalized;transaction_assumed_sale_from_dataset_context;unknown_property_type</x:v>
      </x:c>
      <x:c r="M3365" s="10" t="n">
        <x:v>0</x:v>
      </x:c>
      <x:c r="N3365" s="10" t="n">
        <x:v>0</x:v>
      </x:c>
      <x:c r="O3365" s="2" t="str">
        <x:v>Long An|other_unknown</x:v>
      </x:c>
      <x:c r="P3365" s="10" t="n">
        <x:v>1</x:v>
      </x:c>
      <x:c r="Q3365" s="13" t="n">
        <x:f>IF(H3365="","",H3365/1000000000)</x:f>
        <x:v>0.021</x:v>
      </x:c>
      <x:c r="R3365" s="13" t="n">
        <x:f>IF(I3365="","",I3365/1000000)</x:f>
        <x:v>0.21</x:v>
      </x:c>
    </x:row>
    <x:row r="3366" ht="21" customHeight="1">
      <x:c r="A3366" s="10" t="n">
        <x:v>4654</x:v>
      </x:c>
      <x:c r="B3366" s="2" t="str">
        <x:v>e5aaad584261c26741bc</x:v>
      </x:c>
      <x:c r="C3366" s="2" t="str">
        <x:v>Tp Hồ Chí Minh</x:v>
      </x:c>
      <x:c r="D3366" s="2" t="str">
        <x:v>Quận 9</x:v>
      </x:c>
      <x:c r="E3366" s="2" t="str">
        <x:v>apartment</x:v>
      </x:c>
      <x:c r="F3366" s="2" t="str">
        <x:v>sale_assumed</x:v>
      </x:c>
      <x:c r="G3366" s="11" t="n">
        <x:v>62.38</x:v>
      </x:c>
      <x:c r="H3366" s="12" t="n">
        <x:v>1350000000</x:v>
      </x:c>
      <x:c r="I3366" s="12" t="n">
        <x:v>21641551.77941648</x:v>
      </x:c>
      <x:c r="J3366" s="2" t="str">
        <x:v>total</x:v>
      </x:c>
      <x:c r="K3366" s="2" t="str">
        <x:v>top_level_price_embedded_area</x:v>
      </x:c>
      <x:c r="L3366" s="2" t="str">
        <x:v>area_recovered_from_price_text;property_type_inferred_from_title;transaction_assumed_sale_from_dataset_context</x:v>
      </x:c>
      <x:c r="M3366" s="10" t="n">
        <x:v>0</x:v>
      </x:c>
      <x:c r="N3366" s="10" t="n">
        <x:v>0</x:v>
      </x:c>
      <x:c r="O3366" s="2" t="str">
        <x:v>Tp Hồ Chí Minh|apartment</x:v>
      </x:c>
      <x:c r="P3366" s="10" t="n">
        <x:v>2</x:v>
      </x:c>
      <x:c r="Q3366" s="13" t="n">
        <x:f>IF(H3366="","",H3366/1000000000)</x:f>
        <x:v>1.35</x:v>
      </x:c>
      <x:c r="R3366" s="13" t="n">
        <x:f>IF(I3366="","",I3366/1000000)</x:f>
        <x:v>21.641551779416478</x:v>
      </x:c>
    </x:row>
    <x:row r="3367" ht="21" customHeight="1">
      <x:c r="A3367" s="10" t="n">
        <x:v>4655</x:v>
      </x:c>
      <x:c r="B3367" s="2" t="str">
        <x:v>6f38ed7a05da6f2d89ac</x:v>
      </x:c>
      <x:c r="C3367" s="2" t="str">
        <x:v>Tp Hồ Chí Minh</x:v>
      </x:c>
      <x:c r="D3367" s="2" t="str">
        <x:v>Quận Bình Thạnh</x:v>
      </x:c>
      <x:c r="E3367" s="2" t="str">
        <x:v>apartment</x:v>
      </x:c>
      <x:c r="F3367" s="2" t="str">
        <x:v>sale_assumed</x:v>
      </x:c>
      <x:c r="G3367" s="11" t="n">
        <x:v>66</x:v>
      </x:c>
      <x:c r="H3367" s="12" t="n">
        <x:v>3450000000</x:v>
      </x:c>
      <x:c r="I3367" s="12" t="n">
        <x:v>52272727.27272727</x:v>
      </x:c>
      <x:c r="J3367" s="2" t="str">
        <x:v>total</x:v>
      </x:c>
      <x:c r="K3367" s="2" t="str">
        <x:v>top_level_area</x:v>
      </x:c>
      <x:c r="L3367" s="2" t="str">
        <x:v>property_type_inferred_from_title;transaction_assumed_sale_from_dataset_context</x:v>
      </x:c>
      <x:c r="M3367" s="10" t="n">
        <x:v>0</x:v>
      </x:c>
      <x:c r="N3367" s="10" t="n">
        <x:v>0</x:v>
      </x:c>
      <x:c r="O3367" s="2" t="str">
        <x:v>Tp Hồ Chí Minh|apartment</x:v>
      </x:c>
      <x:c r="P3367" s="10" t="n">
        <x:v>2</x:v>
      </x:c>
      <x:c r="Q3367" s="13" t="n">
        <x:f>IF(H3367="","",H3367/1000000000)</x:f>
        <x:v>3.45</x:v>
      </x:c>
      <x:c r="R3367" s="13" t="n">
        <x:f>IF(I3367="","",I3367/1000000)</x:f>
        <x:v>52.27272727272727</x:v>
      </x:c>
    </x:row>
    <x:row r="3368" ht="21" customHeight="1">
      <x:c r="A3368" s="10" t="n">
        <x:v>4656</x:v>
      </x:c>
      <x:c r="B3368" s="2" t="str">
        <x:v>574ee2129f011576bfae</x:v>
      </x:c>
      <x:c r="C3368" s="2" t="str">
        <x:v>Tp Hồ Chí Minh</x:v>
      </x:c>
      <x:c r="D3368" s="2" t="str">
        <x:v>Quận Bình Thạnh</x:v>
      </x:c>
      <x:c r="E3368" s="2" t="str">
        <x:v>house</x:v>
      </x:c>
      <x:c r="F3368" s="2" t="str">
        <x:v>sale_assumed</x:v>
      </x:c>
      <x:c r="G3368" s="11" t="n">
        <x:v>68</x:v>
      </x:c>
      <x:c r="H3368" s="12" t="n">
        <x:v>8000000000</x:v>
      </x:c>
      <x:c r="I3368" s="12" t="n">
        <x:v>117647058.8235294</x:v>
      </x:c>
      <x:c r="J3368" s="2" t="str">
        <x:v>total</x:v>
      </x:c>
      <x:c r="K3368" s="2" t="str">
        <x:v>top_level_area</x:v>
      </x:c>
      <x:c r="L3368" s="2" t="str">
        <x:v>property_type_inferred_from_title;transaction_assumed_sale_from_dataset_context</x:v>
      </x:c>
      <x:c r="M3368" s="10" t="n">
        <x:v>0</x:v>
      </x:c>
      <x:c r="N3368" s="10" t="n">
        <x:v>0</x:v>
      </x:c>
      <x:c r="O3368" s="2" t="str">
        <x:v>Tp Hồ Chí Minh|house</x:v>
      </x:c>
      <x:c r="P3368" s="10" t="n">
        <x:v>2</x:v>
      </x:c>
      <x:c r="Q3368" s="13" t="n">
        <x:f>IF(H3368="","",H3368/1000000000)</x:f>
        <x:v>8</x:v>
      </x:c>
      <x:c r="R3368" s="13" t="n">
        <x:f>IF(I3368="","",I3368/1000000)</x:f>
        <x:v>117.6470588235294</x:v>
      </x:c>
    </x:row>
    <x:row r="3369" ht="21" customHeight="1">
      <x:c r="A3369" s="10" t="n">
        <x:v>4657</x:v>
      </x:c>
      <x:c r="B3369" s="2" t="str">
        <x:v>749be14c60dd36bece98</x:v>
      </x:c>
      <x:c r="C3369" s="2" t="str">
        <x:v>Tp Hồ Chí Minh</x:v>
      </x:c>
      <x:c r="D3369" s="2" t="str">
        <x:v>Quận 12</x:v>
      </x:c>
      <x:c r="E3369" s="2" t="str">
        <x:v>house</x:v>
      </x:c>
      <x:c r="F3369" s="2" t="str">
        <x:v>sale_assumed</x:v>
      </x:c>
      <x:c r="G3369" s="11" t="n">
        <x:v>53</x:v>
      </x:c>
      <x:c r="H3369" s="12" t="n">
        <x:v>3800000000</x:v>
      </x:c>
      <x:c r="I3369" s="12" t="n">
        <x:v>71698113.20754717</x:v>
      </x:c>
      <x:c r="J3369" s="2" t="str">
        <x:v>total</x:v>
      </x:c>
      <x:c r="K3369" s="2" t="str">
        <x:v>top_level_area</x:v>
      </x:c>
      <x:c r="L3369" s="2" t="str">
        <x:v>property_type_inferred_from_title;transaction_assumed_sale_from_dataset_context</x:v>
      </x:c>
      <x:c r="M3369" s="10" t="n">
        <x:v>0</x:v>
      </x:c>
      <x:c r="N3369" s="10" t="n">
        <x:v>0</x:v>
      </x:c>
      <x:c r="O3369" s="2" t="str">
        <x:v>Tp Hồ Chí Minh|house</x:v>
      </x:c>
      <x:c r="P3369" s="10" t="n">
        <x:v>2</x:v>
      </x:c>
      <x:c r="Q3369" s="13" t="n">
        <x:f>IF(H3369="","",H3369/1000000000)</x:f>
        <x:v>3.8</x:v>
      </x:c>
      <x:c r="R3369" s="13" t="n">
        <x:f>IF(I3369="","",I3369/1000000)</x:f>
        <x:v>71.69811320754717</x:v>
      </x:c>
    </x:row>
    <x:row r="3370" ht="21" customHeight="1">
      <x:c r="A3370" s="10" t="n">
        <x:v>4658</x:v>
      </x:c>
      <x:c r="B3370" s="2" t="str">
        <x:v>4ef0546f993ce2d81764</x:v>
      </x:c>
      <x:c r="C3370" s="2" t="str">
        <x:v>Đà Nẵng</x:v>
      </x:c>
      <x:c r="D3370" s="2" t="str">
        <x:v>Quận Thanh Khê</x:v>
      </x:c>
      <x:c r="E3370" s="2" t="str">
        <x:v>house</x:v>
      </x:c>
      <x:c r="F3370" s="2" t="str">
        <x:v>sale_assumed</x:v>
      </x:c>
      <x:c r="G3370" s="11" t="n">
        <x:v>35</x:v>
      </x:c>
      <x:c r="H3370" s="12" t="n">
        <x:v>2200000000</x:v>
      </x:c>
      <x:c r="I3370" s="12" t="n">
        <x:v>62857142.85714286</x:v>
      </x:c>
      <x:c r="J3370" s="2" t="str">
        <x:v>total</x:v>
      </x:c>
      <x:c r="K3370" s="2" t="str">
        <x:v>top_level_area</x:v>
      </x:c>
      <x:c r="L3370" s="2" t="str">
        <x:v>property_type_inferred_from_title;transaction_assumed_sale_from_dataset_context</x:v>
      </x:c>
      <x:c r="M3370" s="10" t="n">
        <x:v>0</x:v>
      </x:c>
      <x:c r="N3370" s="10" t="n">
        <x:v>0</x:v>
      </x:c>
      <x:c r="O3370" s="2" t="str">
        <x:v>Đà Nẵng|house</x:v>
      </x:c>
      <x:c r="P3370" s="10" t="n">
        <x:v>2</x:v>
      </x:c>
      <x:c r="Q3370" s="13" t="n">
        <x:f>IF(H3370="","",H3370/1000000000)</x:f>
        <x:v>2.2</x:v>
      </x:c>
      <x:c r="R3370" s="13" t="n">
        <x:f>IF(I3370="","",I3370/1000000)</x:f>
        <x:v>62.85714285714286</x:v>
      </x:c>
    </x:row>
    <x:row r="3371" ht="21" customHeight="1">
      <x:c r="A3371" s="10" t="n">
        <x:v>4659</x:v>
      </x:c>
      <x:c r="B3371" s="2" t="str">
        <x:v>26c8ec361bcb1a81376b</x:v>
      </x:c>
      <x:c r="C3371" s="2" t="str">
        <x:v>Hà Nội</x:v>
      </x:c>
      <x:c r="D3371" s="2" t="str">
        <x:v>Quận Hà Đông</x:v>
      </x:c>
      <x:c r="E3371" s="2" t="str">
        <x:v>house</x:v>
      </x:c>
      <x:c r="F3371" s="2" t="str">
        <x:v>sale_assumed</x:v>
      </x:c>
      <x:c r="G3371" s="11" t="n">
        <x:v>35</x:v>
      </x:c>
      <x:c r="H3371" s="12" t="n">
        <x:v>1950000000</x:v>
      </x:c>
      <x:c r="I3371" s="12" t="n">
        <x:v>55714285.71428572</x:v>
      </x:c>
      <x:c r="J3371" s="2" t="str">
        <x:v>total</x:v>
      </x:c>
      <x:c r="K3371" s="2" t="str">
        <x:v>top_level_area</x:v>
      </x:c>
      <x:c r="L3371" s="2" t="str">
        <x:v>property_type_inferred_from_title;transaction_assumed_sale_from_dataset_context</x:v>
      </x:c>
      <x:c r="M3371" s="10" t="n">
        <x:v>0</x:v>
      </x:c>
      <x:c r="N3371" s="10" t="n">
        <x:v>0</x:v>
      </x:c>
      <x:c r="O3371" s="2" t="str">
        <x:v>Hà Nội|house</x:v>
      </x:c>
      <x:c r="P3371" s="10" t="n">
        <x:v>2</x:v>
      </x:c>
      <x:c r="Q3371" s="13" t="n">
        <x:f>IF(H3371="","",H3371/1000000000)</x:f>
        <x:v>1.95</x:v>
      </x:c>
      <x:c r="R3371" s="13" t="n">
        <x:f>IF(I3371="","",I3371/1000000)</x:f>
        <x:v>55.714285714285715</x:v>
      </x:c>
    </x:row>
    <x:row r="3372" ht="21" customHeight="1">
      <x:c r="A3372" s="10" t="n">
        <x:v>4660</x:v>
      </x:c>
      <x:c r="B3372" s="2" t="str">
        <x:v>a83a5aff4fc64e1d4e95</x:v>
      </x:c>
      <x:c r="C3372" s="2" t="str">
        <x:v>Hà Nội</x:v>
      </x:c>
      <x:c r="D3372" s="2" t="str">
        <x:v>Quận Hai Bà Trưng</x:v>
      </x:c>
      <x:c r="E3372" s="2" t="str">
        <x:v>house</x:v>
      </x:c>
      <x:c r="F3372" s="2" t="str">
        <x:v>sale_assumed</x:v>
      </x:c>
      <x:c r="G3372" s="11" t="n">
        <x:v>33</x:v>
      </x:c>
      <x:c r="H3372" s="12" t="n">
        <x:v>3300000000</x:v>
      </x:c>
      <x:c r="I3372" s="12" t="n">
        <x:v>100000000</x:v>
      </x:c>
      <x:c r="J3372" s="2" t="str">
        <x:v>total</x:v>
      </x:c>
      <x:c r="K3372" s="2" t="str">
        <x:v>top_level_area</x:v>
      </x:c>
      <x:c r="L3372" s="2" t="str">
        <x:v>property_type_inferred_from_title;transaction_assumed_sale_from_dataset_context</x:v>
      </x:c>
      <x:c r="M3372" s="10" t="n">
        <x:v>0</x:v>
      </x:c>
      <x:c r="N3372" s="10" t="n">
        <x:v>0</x:v>
      </x:c>
      <x:c r="O3372" s="2" t="str">
        <x:v>Hà Nội|house</x:v>
      </x:c>
      <x:c r="P3372" s="10" t="n">
        <x:v>2</x:v>
      </x:c>
      <x:c r="Q3372" s="13" t="n">
        <x:f>IF(H3372="","",H3372/1000000000)</x:f>
        <x:v>3.3</x:v>
      </x:c>
      <x:c r="R3372" s="13" t="n">
        <x:f>IF(I3372="","",I3372/1000000)</x:f>
        <x:v>100</x:v>
      </x:c>
    </x:row>
    <x:row r="3373" ht="21" customHeight="1">
      <x:c r="A3373" s="10" t="n">
        <x:v>4661</x:v>
      </x:c>
      <x:c r="B3373" s="2" t="str">
        <x:v>592bcd83987af72b98db</x:v>
      </x:c>
      <x:c r="C3373" s="2" t="str">
        <x:v>Long An</x:v>
      </x:c>
      <x:c r="D3373" s="2" t="str">
        <x:v>Huyện Tân Hưng</x:v>
      </x:c>
      <x:c r="E3373" s="2" t="str">
        <x:v>other_unknown</x:v>
      </x:c>
      <x:c r="F3373" s="2" t="str">
        <x:v>sale_assumed</x:v>
      </x:c>
      <x:c r="G3373" s="11" t="n">
        <x:v>699</x:v>
      </x:c>
      <x:c r="H3373" s="12" t="n">
        <x:v>1000000000</x:v>
      </x:c>
      <x:c r="I3373" s="12" t="n">
        <x:v>1430615.164520744</x:v>
      </x:c>
      <x:c r="J3373" s="2" t="str">
        <x:v>total</x:v>
      </x:c>
      <x:c r="K3373" s="2" t="str">
        <x:v>top_level_area</x:v>
      </x:c>
      <x:c r="L3373" s="2" t="str">
        <x:v>property_type_inferred_from_title;transaction_assumed_sale_from_dataset_context;unknown_property_type</x:v>
      </x:c>
      <x:c r="M3373" s="10" t="n">
        <x:v>0</x:v>
      </x:c>
      <x:c r="N3373" s="10" t="n">
        <x:v>0</x:v>
      </x:c>
      <x:c r="O3373" s="2" t="str">
        <x:v>Long An|other_unknown</x:v>
      </x:c>
      <x:c r="P3373" s="10" t="n">
        <x:v>1</x:v>
      </x:c>
      <x:c r="Q3373" s="13" t="n">
        <x:f>IF(H3373="","",H3373/1000000000)</x:f>
        <x:v>1</x:v>
      </x:c>
      <x:c r="R3373" s="13" t="n">
        <x:f>IF(I3373="","",I3373/1000000)</x:f>
        <x:v>1.430615164520744</x:v>
      </x:c>
    </x:row>
    <x:row r="3374" ht="21" customHeight="1">
      <x:c r="A3374" s="10" t="n">
        <x:v>4662</x:v>
      </x:c>
      <x:c r="B3374" s="2" t="str">
        <x:v>d6fcff349e198bd634da</x:v>
      </x:c>
      <x:c r="C3374" s="2" t="str">
        <x:v>Hà Nội</x:v>
      </x:c>
      <x:c r="D3374" s="2" t="str">
        <x:v>Quận Long Biên</x:v>
      </x:c>
      <x:c r="E3374" s="2" t="str">
        <x:v>house</x:v>
      </x:c>
      <x:c r="F3374" s="2" t="str">
        <x:v>sale_assumed</x:v>
      </x:c>
      <x:c r="G3374" s="11" t="n">
        <x:v>40</x:v>
      </x:c>
      <x:c r="H3374" s="12" t="n">
        <x:v>3500000000</x:v>
      </x:c>
      <x:c r="I3374" s="12" t="n">
        <x:v>87500000</x:v>
      </x:c>
      <x:c r="J3374" s="2" t="str">
        <x:v>total</x:v>
      </x:c>
      <x:c r="K3374" s="2" t="str">
        <x:v>top_level_price_embedded_area</x:v>
      </x:c>
      <x:c r="L3374" s="2" t="str">
        <x:v>area_recovered_from_price_text;property_type_inferred_from_title;transaction_assumed_sale_from_dataset_context</x:v>
      </x:c>
      <x:c r="M3374" s="10" t="n">
        <x:v>0</x:v>
      </x:c>
      <x:c r="N3374" s="10" t="n">
        <x:v>0</x:v>
      </x:c>
      <x:c r="O3374" s="2" t="str">
        <x:v>Hà Nội|house</x:v>
      </x:c>
      <x:c r="P3374" s="10" t="n">
        <x:v>2</x:v>
      </x:c>
      <x:c r="Q3374" s="13" t="n">
        <x:f>IF(H3374="","",H3374/1000000000)</x:f>
        <x:v>3.5</x:v>
      </x:c>
      <x:c r="R3374" s="13" t="n">
        <x:f>IF(I3374="","",I3374/1000000)</x:f>
        <x:v>87.5</x:v>
      </x:c>
    </x:row>
    <x:row r="3375" ht="21" customHeight="1">
      <x:c r="A3375" s="10" t="n">
        <x:v>4663</x:v>
      </x:c>
      <x:c r="B3375" s="2" t="str">
        <x:v>37d213e20ea88df69d9b</x:v>
      </x:c>
      <x:c r="C3375" s="2" t="str">
        <x:v>Vĩnh Long</x:v>
      </x:c>
      <x:c r="D3375" s="2" t="str">
        <x:v>Thành phố Vĩnh Long</x:v>
      </x:c>
      <x:c r="E3375" s="2" t="str">
        <x:v>house</x:v>
      </x:c>
      <x:c r="F3375" s="2" t="str">
        <x:v>sale_assumed</x:v>
      </x:c>
      <x:c r="G3375" s="11" t="n">
        <x:v>82</x:v>
      </x:c>
      <x:c r="H3375" s="12" t="n">
        <x:v>1050000000</x:v>
      </x:c>
      <x:c r="I3375" s="12" t="n">
        <x:v>12804878.048780488</x:v>
      </x:c>
      <x:c r="J3375" s="2" t="str">
        <x:v>total</x:v>
      </x:c>
      <x:c r="K3375" s="2" t="str">
        <x:v>top_level_area</x:v>
      </x:c>
      <x:c r="L3375" s="2" t="str">
        <x:v>property_type_inferred_from_title;transaction_assumed_sale_from_dataset_context</x:v>
      </x:c>
      <x:c r="M3375" s="10" t="n">
        <x:v>0</x:v>
      </x:c>
      <x:c r="N3375" s="10" t="n">
        <x:v>0</x:v>
      </x:c>
      <x:c r="O3375" s="2" t="str">
        <x:v>house</x:v>
      </x:c>
      <x:c r="P3375" s="10" t="n">
        <x:v>2</x:v>
      </x:c>
      <x:c r="Q3375" s="13" t="n">
        <x:f>IF(H3375="","",H3375/1000000000)</x:f>
        <x:v>1.05</x:v>
      </x:c>
      <x:c r="R3375" s="13" t="n">
        <x:f>IF(I3375="","",I3375/1000000)</x:f>
        <x:v>12.804878048780488</x:v>
      </x:c>
    </x:row>
    <x:row r="3376" ht="21" customHeight="1">
      <x:c r="A3376" s="10" t="n">
        <x:v>4664</x:v>
      </x:c>
      <x:c r="B3376" s="2" t="str">
        <x:v>9005981297c61316bb11</x:v>
      </x:c>
      <x:c r="C3376" s="2" t="str">
        <x:v>Tiền Giang</x:v>
      </x:c>
      <x:c r="D3376" s="2" t="str">
        <x:v>Huyện Chợ Gạo</x:v>
      </x:c>
      <x:c r="E3376" s="2" t="str">
        <x:v>house</x:v>
      </x:c>
      <x:c r="F3376" s="2" t="str">
        <x:v>sale</x:v>
      </x:c>
      <x:c r="G3376" s="11" t="n">
        <x:v>127</x:v>
      </x:c>
      <x:c r="H3376" s="12" t="n">
        <x:v>390000000</x:v>
      </x:c>
      <x:c r="I3376" s="12" t="n">
        <x:v>3070866.1417322834</x:v>
      </x:c>
      <x:c r="J3376" s="2" t="str">
        <x:v>total</x:v>
      </x:c>
      <x:c r="K3376" s="2" t="str">
        <x:v>top_level_area</x:v>
      </x:c>
      <x:c r="L3376" s="2" t="str">
        <x:v>property_type_inferred_from_title</x:v>
      </x:c>
      <x:c r="M3376" s="10" t="n">
        <x:v>0</x:v>
      </x:c>
      <x:c r="N3376" s="10" t="n">
        <x:v>0</x:v>
      </x:c>
      <x:c r="O3376" s="2" t="str">
        <x:v>house</x:v>
      </x:c>
      <x:c r="P3376" s="10" t="n">
        <x:v>1</x:v>
      </x:c>
      <x:c r="Q3376" s="13" t="n">
        <x:f>IF(H3376="","",H3376/1000000000)</x:f>
        <x:v>0.39</x:v>
      </x:c>
      <x:c r="R3376" s="13" t="n">
        <x:f>IF(I3376="","",I3376/1000000)</x:f>
        <x:v>3.0708661417322833</x:v>
      </x:c>
    </x:row>
    <x:row r="3377" ht="21" customHeight="1">
      <x:c r="A3377" s="10" t="n">
        <x:v>4665</x:v>
      </x:c>
      <x:c r="B3377" s="2" t="str">
        <x:v>3b39e9a1cfeed3d4025b</x:v>
      </x:c>
      <x:c r="C3377" s="2" t="str">
        <x:v>Đà Nẵng</x:v>
      </x:c>
      <x:c r="D3377" s="2" t="str">
        <x:v>Quận Liên Chiểu</x:v>
      </x:c>
      <x:c r="E3377" s="2" t="str">
        <x:v>house</x:v>
      </x:c>
      <x:c r="F3377" s="2" t="str">
        <x:v>sale</x:v>
      </x:c>
      <x:c r="G3377" s="11" t="n">
        <x:v>85</x:v>
      </x:c>
      <x:c r="H3377" s="12" t="n">
        <x:v>4850000000</x:v>
      </x:c>
      <x:c r="I3377" s="12" t="n">
        <x:v>57058823.52941176</x:v>
      </x:c>
      <x:c r="J3377" s="2" t="str">
        <x:v>total</x:v>
      </x:c>
      <x:c r="K3377" s="2" t="str">
        <x:v>top_level_area</x:v>
      </x:c>
      <x:c r="L3377" s="2" t="str">
        <x:v>property_type_inferred_from_title</x:v>
      </x:c>
      <x:c r="M3377" s="10" t="n">
        <x:v>0</x:v>
      </x:c>
      <x:c r="N3377" s="10" t="n">
        <x:v>0</x:v>
      </x:c>
      <x:c r="O3377" s="2" t="str">
        <x:v>Đà Nẵng|house</x:v>
      </x:c>
      <x:c r="P3377" s="10" t="n">
        <x:v>2</x:v>
      </x:c>
      <x:c r="Q3377" s="13" t="n">
        <x:f>IF(H3377="","",H3377/1000000000)</x:f>
        <x:v>4.85</x:v>
      </x:c>
      <x:c r="R3377" s="13" t="n">
        <x:f>IF(I3377="","",I3377/1000000)</x:f>
        <x:v>57.05882352941176</x:v>
      </x:c>
    </x:row>
    <x:row r="3378" ht="21" customHeight="1">
      <x:c r="A3378" s="10" t="n">
        <x:v>4666</x:v>
      </x:c>
      <x:c r="B3378" s="2" t="str">
        <x:v>796413fdcd9c65f10a27</x:v>
      </x:c>
      <x:c r="C3378" s="2" t="str">
        <x:v>Hà Nội</x:v>
      </x:c>
      <x:c r="D3378" s="2" t="str">
        <x:v>Quận Đống Đa</x:v>
      </x:c>
      <x:c r="E3378" s="2" t="str">
        <x:v>other_unknown</x:v>
      </x:c>
      <x:c r="F3378" s="2" t="str">
        <x:v>sale_assumed</x:v>
      </x:c>
      <x:c r="G3378" s="11" t="n">
        <x:v>50</x:v>
      </x:c>
      <x:c r="H3378" s="12" t="n">
        <x:v>6150000000</x:v>
      </x:c>
      <x:c r="I3378" s="12" t="n">
        <x:v>123000000</x:v>
      </x:c>
      <x:c r="J3378" s="2" t="str">
        <x:v>total</x:v>
      </x:c>
      <x:c r="K3378" s="2" t="str">
        <x:v>top_level_area</x:v>
      </x:c>
      <x:c r="L3378" s="2" t="str">
        <x:v>property_type_inferred_from_title;transaction_assumed_sale_from_dataset_context;unknown_property_type</x:v>
      </x:c>
      <x:c r="M3378" s="10" t="n">
        <x:v>0</x:v>
      </x:c>
      <x:c r="N3378" s="10" t="n">
        <x:v>0</x:v>
      </x:c>
      <x:c r="O3378" s="2" t="str">
        <x:v>Hà Nội|other_unknown</x:v>
      </x:c>
      <x:c r="P3378" s="10" t="n">
        <x:v>2</x:v>
      </x:c>
      <x:c r="Q3378" s="13" t="n">
        <x:f>IF(H3378="","",H3378/1000000000)</x:f>
        <x:v>6.15</x:v>
      </x:c>
      <x:c r="R3378" s="13" t="n">
        <x:f>IF(I3378="","",I3378/1000000)</x:f>
        <x:v>123</x:v>
      </x:c>
    </x:row>
    <x:row r="3379" ht="21" customHeight="1">
      <x:c r="A3379" s="10" t="n">
        <x:v>4667</x:v>
      </x:c>
      <x:c r="B3379" s="2" t="str">
        <x:v>f88cafdbdb7c8c6e492b</x:v>
      </x:c>
      <x:c r="C3379" s="2" t="str">
        <x:v>Hà Nội</x:v>
      </x:c>
      <x:c r="D3379" s="2" t="str">
        <x:v>Quận Hà Đông</x:v>
      </x:c>
      <x:c r="E3379" s="2" t="str">
        <x:v>house</x:v>
      </x:c>
      <x:c r="F3379" s="2" t="str">
        <x:v>sale_assumed</x:v>
      </x:c>
      <x:c r="G3379" s="11" t="n">
        <x:v>35</x:v>
      </x:c>
      <x:c r="H3379" s="12" t="n">
        <x:v>2900000000</x:v>
      </x:c>
      <x:c r="I3379" s="12" t="n">
        <x:v>82857142.85714285</x:v>
      </x:c>
      <x:c r="J3379" s="2" t="str">
        <x:v>total</x:v>
      </x:c>
      <x:c r="K3379" s="2" t="str">
        <x:v>top_level_area</x:v>
      </x:c>
      <x:c r="L3379" s="2" t="str">
        <x:v>property_type_inferred_from_title;transaction_assumed_sale_from_dataset_context</x:v>
      </x:c>
      <x:c r="M3379" s="10" t="n">
        <x:v>0</x:v>
      </x:c>
      <x:c r="N3379" s="10" t="n">
        <x:v>0</x:v>
      </x:c>
      <x:c r="O3379" s="2" t="str">
        <x:v>Hà Nội|house</x:v>
      </x:c>
      <x:c r="P3379" s="10" t="n">
        <x:v>2</x:v>
      </x:c>
      <x:c r="Q3379" s="13" t="n">
        <x:f>IF(H3379="","",H3379/1000000000)</x:f>
        <x:v>2.9</x:v>
      </x:c>
      <x:c r="R3379" s="13" t="n">
        <x:f>IF(I3379="","",I3379/1000000)</x:f>
        <x:v>82.85714285714285</x:v>
      </x:c>
    </x:row>
    <x:row r="3380" ht="21" customHeight="1">
      <x:c r="A3380" s="10" t="n">
        <x:v>4668</x:v>
      </x:c>
      <x:c r="B3380" s="2" t="str">
        <x:v>7f63041e0a3c6c3bffca</x:v>
      </x:c>
      <x:c r="C3380" s="2" t="str">
        <x:v>Hà Nội</x:v>
      </x:c>
      <x:c r="D3380" s="2" t="str">
        <x:v>Quận Hai Bà Trưng</x:v>
      </x:c>
      <x:c r="E3380" s="2" t="str">
        <x:v>house</x:v>
      </x:c>
      <x:c r="F3380" s="2" t="str">
        <x:v>sale_assumed</x:v>
      </x:c>
      <x:c r="G3380" s="11" t="n">
        <x:v>26</x:v>
      </x:c>
      <x:c r="H3380" s="12" t="n">
        <x:v>2250000000</x:v>
      </x:c>
      <x:c r="I3380" s="12" t="n">
        <x:v>86538461.53846154</x:v>
      </x:c>
      <x:c r="J3380" s="2" t="str">
        <x:v>total</x:v>
      </x:c>
      <x:c r="K3380" s="2" t="str">
        <x:v>top_level_area</x:v>
      </x:c>
      <x:c r="L3380" s="2" t="str">
        <x:v>property_type_inferred_from_title;transaction_assumed_sale_from_dataset_context</x:v>
      </x:c>
      <x:c r="M3380" s="10" t="n">
        <x:v>0</x:v>
      </x:c>
      <x:c r="N3380" s="10" t="n">
        <x:v>0</x:v>
      </x:c>
      <x:c r="O3380" s="2" t="str">
        <x:v>Hà Nội|house</x:v>
      </x:c>
      <x:c r="P3380" s="10" t="n">
        <x:v>2</x:v>
      </x:c>
      <x:c r="Q3380" s="13" t="n">
        <x:f>IF(H3380="","",H3380/1000000000)</x:f>
        <x:v>2.25</x:v>
      </x:c>
      <x:c r="R3380" s="13" t="n">
        <x:f>IF(I3380="","",I3380/1000000)</x:f>
        <x:v>86.53846153846153</x:v>
      </x:c>
    </x:row>
    <x:row r="3381" ht="21" customHeight="1">
      <x:c r="A3381" s="10" t="n">
        <x:v>4669</x:v>
      </x:c>
      <x:c r="B3381" s="2" t="str">
        <x:v>b1cfea43b5542d20cd3d</x:v>
      </x:c>
      <x:c r="C3381" s="2" t="str">
        <x:v>Tp Hồ Chí Minh</x:v>
      </x:c>
      <x:c r="D3381" s="2" t="str">
        <x:v>Quận 7</x:v>
      </x:c>
      <x:c r="E3381" s="2" t="str">
        <x:v>other_unknown</x:v>
      </x:c>
      <x:c r="F3381" s="2" t="str">
        <x:v>sale_assumed</x:v>
      </x:c>
      <x:c r="G3381" s="11" t="n">
        <x:v>57</x:v>
      </x:c>
      <x:c r="H3381" s="12" t="n">
        <x:v>2480000000</x:v>
      </x:c>
      <x:c r="I3381" s="12" t="n">
        <x:v>43508771.92982456</x:v>
      </x:c>
      <x:c r="J3381" s="2" t="str">
        <x:v>total</x:v>
      </x:c>
      <x:c r="K3381" s="2" t="str">
        <x:v>top_level_area</x:v>
      </x:c>
      <x:c r="L3381" s="2" t="str">
        <x:v>property_type_inferred_from_title;transaction_assumed_sale_from_dataset_context;unknown_property_type</x:v>
      </x:c>
      <x:c r="M3381" s="10" t="n">
        <x:v>0</x:v>
      </x:c>
      <x:c r="N3381" s="10" t="n">
        <x:v>0</x:v>
      </x:c>
      <x:c r="O3381" s="2" t="str">
        <x:v>Tp Hồ Chí Minh|other_unknown</x:v>
      </x:c>
      <x:c r="P3381" s="10" t="n">
        <x:v>2</x:v>
      </x:c>
      <x:c r="Q3381" s="13" t="n">
        <x:f>IF(H3381="","",H3381/1000000000)</x:f>
        <x:v>2.48</x:v>
      </x:c>
      <x:c r="R3381" s="13" t="n">
        <x:f>IF(I3381="","",I3381/1000000)</x:f>
        <x:v>43.50877192982456</x:v>
      </x:c>
    </x:row>
    <x:row r="3382" ht="21" customHeight="1">
      <x:c r="A3382" s="10" t="n">
        <x:v>4670</x:v>
      </x:c>
      <x:c r="B3382" s="2" t="str">
        <x:v>15943f0a3c06a25a812c</x:v>
      </x:c>
      <x:c r="C3382" s="2" t="str">
        <x:v>Cần Thơ</x:v>
      </x:c>
      <x:c r="D3382" s="2" t="str">
        <x:v>Quận Cái Răng</x:v>
      </x:c>
      <x:c r="E3382" s="2" t="str">
        <x:v>land</x:v>
      </x:c>
      <x:c r="F3382" s="2" t="str">
        <x:v>sale_assumed</x:v>
      </x:c>
      <x:c r="G3382" s="11" t="n">
        <x:v>115</x:v>
      </x:c>
      <x:c r="H3382" s="12" t="n">
        <x:v>1250000000</x:v>
      </x:c>
      <x:c r="I3382" s="12" t="n">
        <x:v>10869565.217391305</x:v>
      </x:c>
      <x:c r="J3382" s="2" t="str">
        <x:v>total</x:v>
      </x:c>
      <x:c r="K3382" s="2" t="str">
        <x:v>top_level_area</x:v>
      </x:c>
      <x:c r="L3382" s="2" t="str">
        <x:v>property_type_inferred_from_title;transaction_assumed_sale_from_dataset_context</x:v>
      </x:c>
      <x:c r="M3382" s="10" t="n">
        <x:v>0</x:v>
      </x:c>
      <x:c r="N3382" s="10" t="n">
        <x:v>0</x:v>
      </x:c>
      <x:c r="O3382" s="2" t="str">
        <x:v>Cần Thơ|land</x:v>
      </x:c>
      <x:c r="P3382" s="10" t="n">
        <x:v>2</x:v>
      </x:c>
      <x:c r="Q3382" s="13" t="n">
        <x:f>IF(H3382="","",H3382/1000000000)</x:f>
        <x:v>1.25</x:v>
      </x:c>
      <x:c r="R3382" s="13" t="n">
        <x:f>IF(I3382="","",I3382/1000000)</x:f>
        <x:v>10.869565217391305</x:v>
      </x:c>
    </x:row>
    <x:row r="3383" ht="21" customHeight="1">
      <x:c r="A3383" s="10" t="n">
        <x:v>4671</x:v>
      </x:c>
      <x:c r="B3383" s="2" t="str">
        <x:v>2ad73aa7f3e426a381dd</x:v>
      </x:c>
      <x:c r="C3383" s="2" t="str">
        <x:v>Bình Dương</x:v>
      </x:c>
      <x:c r="D3383" s="2" t="str">
        <x:v>Thị xã Bến Cát</x:v>
      </x:c>
      <x:c r="E3383" s="2" t="str">
        <x:v>land</x:v>
      </x:c>
      <x:c r="F3383" s="2" t="str">
        <x:v>sale_assumed</x:v>
      </x:c>
      <x:c r="G3383" s="11" t="n">
        <x:v>262</x:v>
      </x:c>
      <x:c r="H3383" s="12" t="n">
        <x:v>1370000000</x:v>
      </x:c>
      <x:c r="I3383" s="12" t="n">
        <x:v>5229007.633587786</x:v>
      </x:c>
      <x:c r="J3383" s="2" t="str">
        <x:v>total</x:v>
      </x:c>
      <x:c r="K3383" s="2" t="str">
        <x:v>top_level_area</x:v>
      </x:c>
      <x:c r="L3383" s="2" t="str">
        <x:v>property_type_inferred_from_title;transaction_assumed_sale_from_dataset_context</x:v>
      </x:c>
      <x:c r="M3383" s="10" t="n">
        <x:v>0</x:v>
      </x:c>
      <x:c r="N3383" s="10" t="n">
        <x:v>0</x:v>
      </x:c>
      <x:c r="O3383" s="2" t="str">
        <x:v>Bình Dương|land</x:v>
      </x:c>
      <x:c r="P3383" s="10" t="n">
        <x:v>1</x:v>
      </x:c>
      <x:c r="Q3383" s="13" t="n">
        <x:f>IF(H3383="","",H3383/1000000000)</x:f>
        <x:v>1.37</x:v>
      </x:c>
      <x:c r="R3383" s="13" t="n">
        <x:f>IF(I3383="","",I3383/1000000)</x:f>
        <x:v>5.229007633587786</x:v>
      </x:c>
    </x:row>
    <x:row r="3384" ht="21" customHeight="1">
      <x:c r="A3384" s="10" t="n">
        <x:v>4672</x:v>
      </x:c>
      <x:c r="B3384" s="2" t="str">
        <x:v>b4691053827a6ef32ca4</x:v>
      </x:c>
      <x:c r="C3384" s="2" t="str">
        <x:v>Hải Phòng</x:v>
      </x:c>
      <x:c r="D3384" s="2" t="str">
        <x:v>Quận Hồng Bàng</x:v>
      </x:c>
      <x:c r="E3384" s="2" t="str">
        <x:v>land</x:v>
      </x:c>
      <x:c r="F3384" s="2" t="str">
        <x:v>sale_assumed</x:v>
      </x:c>
      <x:c r="G3384" s="11" t="n">
        <x:v>65</x:v>
      </x:c>
      <x:c r="H3384" s="12" t="n">
        <x:v>720000000</x:v>
      </x:c>
      <x:c r="I3384" s="12" t="n">
        <x:v>11076923.076923076</x:v>
      </x:c>
      <x:c r="J3384" s="2" t="str">
        <x:v>total</x:v>
      </x:c>
      <x:c r="K3384" s="2" t="str">
        <x:v>top_level_area</x:v>
      </x:c>
      <x:c r="L3384" s="2" t="str">
        <x:v>property_type_inferred_from_title;transaction_assumed_sale_from_dataset_context</x:v>
      </x:c>
      <x:c r="M3384" s="10" t="n">
        <x:v>0</x:v>
      </x:c>
      <x:c r="N3384" s="10" t="n">
        <x:v>0</x:v>
      </x:c>
      <x:c r="O3384" s="2" t="str">
        <x:v>land</x:v>
      </x:c>
      <x:c r="P3384" s="10" t="n">
        <x:v>2</x:v>
      </x:c>
      <x:c r="Q3384" s="13" t="n">
        <x:f>IF(H3384="","",H3384/1000000000)</x:f>
        <x:v>0.72</x:v>
      </x:c>
      <x:c r="R3384" s="13" t="n">
        <x:f>IF(I3384="","",I3384/1000000)</x:f>
        <x:v>11.076923076923077</x:v>
      </x:c>
    </x:row>
    <x:row r="3385" ht="21" customHeight="1">
      <x:c r="A3385" s="10" t="n">
        <x:v>4678</x:v>
      </x:c>
      <x:c r="B3385" s="2" t="str">
        <x:v>1eceb63b201964e0f3f4</x:v>
      </x:c>
      <x:c r="C3385" s="2" t="str">
        <x:v>Tp Hồ Chí Minh</x:v>
      </x:c>
      <x:c r="D3385" s="2" t="str">
        <x:v>Quận 12</x:v>
      </x:c>
      <x:c r="E3385" s="2" t="str">
        <x:v>house</x:v>
      </x:c>
      <x:c r="F3385" s="2" t="str">
        <x:v>sale_assumed</x:v>
      </x:c>
      <x:c r="G3385" s="11" t="n">
        <x:v>48</x:v>
      </x:c>
      <x:c r="H3385" s="12" t="n">
        <x:v>3000000000</x:v>
      </x:c>
      <x:c r="I3385" s="12" t="n">
        <x:v>62500000</x:v>
      </x:c>
      <x:c r="J3385" s="2" t="str">
        <x:v>total</x:v>
      </x:c>
      <x:c r="K3385" s="2" t="str">
        <x:v>top_level_area</x:v>
      </x:c>
      <x:c r="L3385" s="2" t="str">
        <x:v>property_type_inferred_from_title;transaction_assumed_sale_from_dataset_context</x:v>
      </x:c>
      <x:c r="M3385" s="10" t="n">
        <x:v>0</x:v>
      </x:c>
      <x:c r="N3385" s="10" t="n">
        <x:v>0</x:v>
      </x:c>
      <x:c r="O3385" s="2" t="str">
        <x:v>Tp Hồ Chí Minh|house</x:v>
      </x:c>
      <x:c r="P3385" s="10" t="n">
        <x:v>2</x:v>
      </x:c>
      <x:c r="Q3385" s="13" t="n">
        <x:f>IF(H3385="","",H3385/1000000000)</x:f>
        <x:v>3</x:v>
      </x:c>
      <x:c r="R3385" s="13" t="n">
        <x:f>IF(I3385="","",I3385/1000000)</x:f>
        <x:v>62.5</x:v>
      </x:c>
    </x:row>
    <x:row r="3386" ht="21" customHeight="1">
      <x:c r="A3386" s="10" t="n">
        <x:v>4679</x:v>
      </x:c>
      <x:c r="B3386" s="2" t="str">
        <x:v>20d51a2d546620c0795f</x:v>
      </x:c>
      <x:c r="C3386" s="2" t="str">
        <x:v>Tp Hồ Chí Minh</x:v>
      </x:c>
      <x:c r="D3386" s="2" t="str">
        <x:v>Quận 10</x:v>
      </x:c>
      <x:c r="E3386" s="2" t="str">
        <x:v>house</x:v>
      </x:c>
      <x:c r="F3386" s="2" t="str">
        <x:v>sale</x:v>
      </x:c>
      <x:c r="G3386" s="11" t="n">
        <x:v>60</x:v>
      </x:c>
      <x:c r="H3386" s="12" t="n">
        <x:v>6700000000</x:v>
      </x:c>
      <x:c r="I3386" s="12" t="n">
        <x:v>111666666.66666667</x:v>
      </x:c>
      <x:c r="J3386" s="2" t="str">
        <x:v>total</x:v>
      </x:c>
      <x:c r="K3386" s="2" t="str">
        <x:v>top_level_area</x:v>
      </x:c>
      <x:c r="L3386" s="2" t="str">
        <x:v>property_type_inferred_from_title</x:v>
      </x:c>
      <x:c r="M3386" s="10" t="n">
        <x:v>0</x:v>
      </x:c>
      <x:c r="N3386" s="10" t="n">
        <x:v>0</x:v>
      </x:c>
      <x:c r="O3386" s="2" t="str">
        <x:v>Tp Hồ Chí Minh|house</x:v>
      </x:c>
      <x:c r="P3386" s="10" t="n">
        <x:v>2</x:v>
      </x:c>
      <x:c r="Q3386" s="13" t="n">
        <x:f>IF(H3386="","",H3386/1000000000)</x:f>
        <x:v>6.7</x:v>
      </x:c>
      <x:c r="R3386" s="13" t="n">
        <x:f>IF(I3386="","",I3386/1000000)</x:f>
        <x:v>111.66666666666667</x:v>
      </x:c>
    </x:row>
    <x:row r="3387" ht="21" customHeight="1">
      <x:c r="A3387" s="10" t="n">
        <x:v>4680</x:v>
      </x:c>
      <x:c r="B3387" s="2" t="str">
        <x:v>f1413fb6f94cbb1b735d</x:v>
      </x:c>
      <x:c r="C3387" s="2" t="str">
        <x:v>Hà Nội</x:v>
      </x:c>
      <x:c r="D3387" s="2" t="str">
        <x:v>Quận Long Biên</x:v>
      </x:c>
      <x:c r="E3387" s="2" t="str">
        <x:v>land</x:v>
      </x:c>
      <x:c r="F3387" s="2" t="str">
        <x:v>sale</x:v>
      </x:c>
      <x:c r="G3387" s="11" t="n">
        <x:v>82</x:v>
      </x:c>
      <x:c r="H3387" s="12" t="n">
        <x:v>120000000</x:v>
      </x:c>
      <x:c r="I3387" s="12" t="n">
        <x:v>1463414.6341463414</x:v>
      </x:c>
      <x:c r="J3387" s="2" t="str">
        <x:v>total</x:v>
      </x:c>
      <x:c r="K3387" s="2" t="str">
        <x:v>top_level_area</x:v>
      </x:c>
      <x:c r="L3387" s="2" t="str">
        <x:v>property_type_inferred_from_title</x:v>
      </x:c>
      <x:c r="M3387" s="10" t="n">
        <x:v>0</x:v>
      </x:c>
      <x:c r="N3387" s="10" t="n">
        <x:v>0</x:v>
      </x:c>
      <x:c r="O3387" s="2" t="str">
        <x:v>Hà Nội|land</x:v>
      </x:c>
      <x:c r="P3387" s="10" t="n">
        <x:v>1</x:v>
      </x:c>
      <x:c r="Q3387" s="13" t="n">
        <x:f>IF(H3387="","",H3387/1000000000)</x:f>
        <x:v>0.12</x:v>
      </x:c>
      <x:c r="R3387" s="13" t="n">
        <x:f>IF(I3387="","",I3387/1000000)</x:f>
        <x:v>1.4634146341463414</x:v>
      </x:c>
    </x:row>
    <x:row r="3388" ht="21" customHeight="1">
      <x:c r="A3388" s="10" t="n">
        <x:v>4681</x:v>
      </x:c>
      <x:c r="B3388" s="2" t="str">
        <x:v>bef9c39dfe5e8d70b5ae</x:v>
      </x:c>
      <x:c r="C3388" s="2" t="str">
        <x:v>Tp Hồ Chí Minh</x:v>
      </x:c>
      <x:c r="D3388" s="2" t="str">
        <x:v>Quận Bình Thạnh</x:v>
      </x:c>
      <x:c r="E3388" s="2" t="str">
        <x:v>apartment</x:v>
      </x:c>
      <x:c r="F3388" s="2" t="str">
        <x:v>sale_assumed</x:v>
      </x:c>
      <x:c r="G3388" s="11" t="n">
        <x:v>85</x:v>
      </x:c>
      <x:c r="H3388" s="12" t="n">
        <x:v>4680000000</x:v>
      </x:c>
      <x:c r="I3388" s="12" t="n">
        <x:v>55058823.52941176</x:v>
      </x:c>
      <x:c r="J3388" s="2" t="str">
        <x:v>total</x:v>
      </x:c>
      <x:c r="K3388" s="2" t="str">
        <x:v>top_level_area</x:v>
      </x:c>
      <x:c r="L3388" s="2" t="str">
        <x:v>property_type_inferred_from_title;transaction_assumed_sale_from_dataset_context</x:v>
      </x:c>
      <x:c r="M3388" s="10" t="n">
        <x:v>0</x:v>
      </x:c>
      <x:c r="N3388" s="10" t="n">
        <x:v>0</x:v>
      </x:c>
      <x:c r="O3388" s="2" t="str">
        <x:v>Tp Hồ Chí Minh|apartment</x:v>
      </x:c>
      <x:c r="P3388" s="10" t="n">
        <x:v>2</x:v>
      </x:c>
      <x:c r="Q3388" s="13" t="n">
        <x:f>IF(H3388="","",H3388/1000000000)</x:f>
        <x:v>4.68</x:v>
      </x:c>
      <x:c r="R3388" s="13" t="n">
        <x:f>IF(I3388="","",I3388/1000000)</x:f>
        <x:v>55.05882352941176</x:v>
      </x:c>
    </x:row>
    <x:row r="3389" ht="21" customHeight="1">
      <x:c r="A3389" s="10" t="n">
        <x:v>4682</x:v>
      </x:c>
      <x:c r="B3389" s="2" t="str">
        <x:v>609e939954ea60831ad8</x:v>
      </x:c>
      <x:c r="C3389" s="2" t="str">
        <x:v>Hà Nội</x:v>
      </x:c>
      <x:c r="D3389" s="2" t="str">
        <x:v>Quận Đống Đa</x:v>
      </x:c>
      <x:c r="E3389" s="2" t="str">
        <x:v>house</x:v>
      </x:c>
      <x:c r="F3389" s="2" t="str">
        <x:v>sale_assumed</x:v>
      </x:c>
      <x:c r="G3389" s="11" t="n">
        <x:v>24</x:v>
      </x:c>
      <x:c r="H3389" s="12" t="n">
        <x:v>2100000000</x:v>
      </x:c>
      <x:c r="I3389" s="12" t="n">
        <x:v>87500000</x:v>
      </x:c>
      <x:c r="J3389" s="2" t="str">
        <x:v>total</x:v>
      </x:c>
      <x:c r="K3389" s="2" t="str">
        <x:v>top_level_area</x:v>
      </x:c>
      <x:c r="L3389" s="2" t="str">
        <x:v>property_type_inferred_from_title;transaction_assumed_sale_from_dataset_context</x:v>
      </x:c>
      <x:c r="M3389" s="10" t="n">
        <x:v>0</x:v>
      </x:c>
      <x:c r="N3389" s="10" t="n">
        <x:v>0</x:v>
      </x:c>
      <x:c r="O3389" s="2" t="str">
        <x:v>Hà Nội|house</x:v>
      </x:c>
      <x:c r="P3389" s="10" t="n">
        <x:v>2</x:v>
      </x:c>
      <x:c r="Q3389" s="13" t="n">
        <x:f>IF(H3389="","",H3389/1000000000)</x:f>
        <x:v>2.1</x:v>
      </x:c>
      <x:c r="R3389" s="13" t="n">
        <x:f>IF(I3389="","",I3389/1000000)</x:f>
        <x:v>87.5</x:v>
      </x:c>
    </x:row>
    <x:row r="3390" ht="21" customHeight="1">
      <x:c r="A3390" s="10" t="n">
        <x:v>4683</x:v>
      </x:c>
      <x:c r="B3390" s="2" t="str">
        <x:v>7565d656bc1e3f246e7b</x:v>
      </x:c>
      <x:c r="C3390" s="2" t="str">
        <x:v>Đà Nẵng</x:v>
      </x:c>
      <x:c r="D3390" s="2" t="str">
        <x:v>Quận Liên Chiểu</x:v>
      </x:c>
      <x:c r="E3390" s="2" t="str">
        <x:v>house</x:v>
      </x:c>
      <x:c r="F3390" s="2" t="str">
        <x:v>sale_assumed</x:v>
      </x:c>
      <x:c r="G3390" s="11" t="n">
        <x:v>66.2</x:v>
      </x:c>
      <x:c r="H3390" s="12" t="n">
        <x:v>2000000000</x:v>
      </x:c>
      <x:c r="I3390" s="12" t="n">
        <x:v>30211480.362537764</x:v>
      </x:c>
      <x:c r="J3390" s="2" t="str">
        <x:v>total</x:v>
      </x:c>
      <x:c r="K3390" s="2" t="str">
        <x:v>top_level_area</x:v>
      </x:c>
      <x:c r="L3390" s="2" t="str">
        <x:v>property_type_inferred_from_title;transaction_assumed_sale_from_dataset_context</x:v>
      </x:c>
      <x:c r="M3390" s="10" t="n">
        <x:v>0</x:v>
      </x:c>
      <x:c r="N3390" s="10" t="n">
        <x:v>0</x:v>
      </x:c>
      <x:c r="O3390" s="2" t="str">
        <x:v>Đà Nẵng|house</x:v>
      </x:c>
      <x:c r="P3390" s="10" t="n">
        <x:v>2</x:v>
      </x:c>
      <x:c r="Q3390" s="13" t="n">
        <x:f>IF(H3390="","",H3390/1000000000)</x:f>
        <x:v>2</x:v>
      </x:c>
      <x:c r="R3390" s="13" t="n">
        <x:f>IF(I3390="","",I3390/1000000)</x:f>
        <x:v>30.211480362537763</x:v>
      </x:c>
    </x:row>
    <x:row r="3391" ht="21" customHeight="1">
      <x:c r="A3391" s="10" t="n">
        <x:v>4684</x:v>
      </x:c>
      <x:c r="B3391" s="2" t="str">
        <x:v>c2726f1f04cb346662ba</x:v>
      </x:c>
      <x:c r="C3391" s="2" t="str">
        <x:v>Hà Nội</x:v>
      </x:c>
      <x:c r="D3391" s="2" t="str">
        <x:v>Quận Thanh Xuân</x:v>
      </x:c>
      <x:c r="E3391" s="2" t="str">
        <x:v>house</x:v>
      </x:c>
      <x:c r="F3391" s="2" t="str">
        <x:v>sale_assumed</x:v>
      </x:c>
      <x:c r="G3391" s="11" t="n">
        <x:v>21</x:v>
      </x:c>
      <x:c r="H3391" s="12" t="n">
        <x:v>2600000000</x:v>
      </x:c>
      <x:c r="I3391" s="12" t="n">
        <x:v>123809523.8095238</x:v>
      </x:c>
      <x:c r="J3391" s="2" t="str">
        <x:v>total</x:v>
      </x:c>
      <x:c r="K3391" s="2" t="str">
        <x:v>top_level_area</x:v>
      </x:c>
      <x:c r="L3391" s="2" t="str">
        <x:v>property_type_inferred_from_title;transaction_assumed_sale_from_dataset_context</x:v>
      </x:c>
      <x:c r="M3391" s="10" t="n">
        <x:v>0</x:v>
      </x:c>
      <x:c r="N3391" s="10" t="n">
        <x:v>0</x:v>
      </x:c>
      <x:c r="O3391" s="2" t="str">
        <x:v>Hà Nội|house</x:v>
      </x:c>
      <x:c r="P3391" s="10" t="n">
        <x:v>2</x:v>
      </x:c>
      <x:c r="Q3391" s="13" t="n">
        <x:f>IF(H3391="","",H3391/1000000000)</x:f>
        <x:v>2.6</x:v>
      </x:c>
      <x:c r="R3391" s="13" t="n">
        <x:f>IF(I3391="","",I3391/1000000)</x:f>
        <x:v>123.80952380952381</x:v>
      </x:c>
    </x:row>
    <x:row r="3392" ht="21" customHeight="1">
      <x:c r="A3392" s="10" t="n">
        <x:v>4685</x:v>
      </x:c>
      <x:c r="B3392" s="2" t="str">
        <x:v>3b477e139111f7c4cb10</x:v>
      </x:c>
      <x:c r="C3392" s="2" t="str">
        <x:v>Đà Nẵng</x:v>
      </x:c>
      <x:c r="D3392" s="2" t="str">
        <x:v>Quận Sơn Trà</x:v>
      </x:c>
      <x:c r="E3392" s="2" t="str">
        <x:v>land</x:v>
      </x:c>
      <x:c r="F3392" s="2" t="str">
        <x:v>sale_assumed</x:v>
      </x:c>
      <x:c r="G3392" s="11" t="n">
        <x:v>160</x:v>
      </x:c>
      <x:c r="H3392" s="12" t="n">
        <x:v>11000000000</x:v>
      </x:c>
      <x:c r="I3392" s="12" t="n">
        <x:v>68750000</x:v>
      </x:c>
      <x:c r="J3392" s="2" t="str">
        <x:v>total</x:v>
      </x:c>
      <x:c r="K3392" s="2" t="str">
        <x:v>top_level_area</x:v>
      </x:c>
      <x:c r="L3392" s="2" t="str">
        <x:v>property_type_inferred_from_title;transaction_assumed_sale_from_dataset_context</x:v>
      </x:c>
      <x:c r="M3392" s="10" t="n">
        <x:v>0</x:v>
      </x:c>
      <x:c r="N3392" s="10" t="n">
        <x:v>1</x:v>
      </x:c>
      <x:c r="O3392" s="2" t="str">
        <x:v>Đà Nẵng|land</x:v>
      </x:c>
      <x:c r="P3392" s="10" t="n">
        <x:v>-1</x:v>
      </x:c>
      <x:c r="Q3392" s="13" t="n">
        <x:f>IF(H3392="","",H3392/1000000000)</x:f>
        <x:v>11</x:v>
      </x:c>
      <x:c r="R3392" s="13" t="n">
        <x:f>IF(I3392="","",I3392/1000000)</x:f>
        <x:v>68.75</x:v>
      </x:c>
    </x:row>
    <x:row r="3393" ht="21" customHeight="1">
      <x:c r="A3393" s="10" t="n">
        <x:v>4686</x:v>
      </x:c>
      <x:c r="B3393" s="2" t="str">
        <x:v>547594a952183589bfc5</x:v>
      </x:c>
      <x:c r="C3393" s="2" t="str">
        <x:v>Tp Hồ Chí Minh</x:v>
      </x:c>
      <x:c r="D3393" s="2" t="str">
        <x:v>Quận Gò Vấp</x:v>
      </x:c>
      <x:c r="E3393" s="2" t="str">
        <x:v>house</x:v>
      </x:c>
      <x:c r="F3393" s="2" t="str">
        <x:v>sale_assumed</x:v>
      </x:c>
      <x:c r="G3393" s="11" t="n">
        <x:v>60</x:v>
      </x:c>
      <x:c r="H3393" s="12" t="n">
        <x:v>6900000000</x:v>
      </x:c>
      <x:c r="I3393" s="12" t="n">
        <x:v>115000000</x:v>
      </x:c>
      <x:c r="J3393" s="2" t="str">
        <x:v>total</x:v>
      </x:c>
      <x:c r="K3393" s="2" t="str">
        <x:v>top_level_price_embedded_area</x:v>
      </x:c>
      <x:c r="L3393" s="2" t="str">
        <x:v>area_recovered_from_price_text;property_type_inferred_from_title;transaction_assumed_sale_from_dataset_context</x:v>
      </x:c>
      <x:c r="M3393" s="10" t="n">
        <x:v>0</x:v>
      </x:c>
      <x:c r="N3393" s="10" t="n">
        <x:v>0</x:v>
      </x:c>
      <x:c r="O3393" s="2" t="str">
        <x:v>Tp Hồ Chí Minh|house</x:v>
      </x:c>
      <x:c r="P3393" s="10" t="n">
        <x:v>2</x:v>
      </x:c>
      <x:c r="Q3393" s="13" t="n">
        <x:f>IF(H3393="","",H3393/1000000000)</x:f>
        <x:v>6.9</x:v>
      </x:c>
      <x:c r="R3393" s="13" t="n">
        <x:f>IF(I3393="","",I3393/1000000)</x:f>
        <x:v>115</x:v>
      </x:c>
    </x:row>
    <x:row r="3394" ht="21" customHeight="1">
      <x:c r="A3394" s="10" t="n">
        <x:v>4687</x:v>
      </x:c>
      <x:c r="B3394" s="2" t="str">
        <x:v>0a81c636c2599028a042</x:v>
      </x:c>
      <x:c r="C3394" s="2" t="str">
        <x:v>Hà Nội</x:v>
      </x:c>
      <x:c r="D3394" s="2" t="str">
        <x:v>Quận Cầu Giấy</x:v>
      </x:c>
      <x:c r="E3394" s="2" t="str">
        <x:v>house</x:v>
      </x:c>
      <x:c r="F3394" s="2" t="str">
        <x:v>sale_assumed</x:v>
      </x:c>
      <x:c r="G3394" s="11" t="n">
        <x:v>50</x:v>
      </x:c>
      <x:c r="H3394" s="12" t="n">
        <x:v>4500000000</x:v>
      </x:c>
      <x:c r="I3394" s="12" t="n">
        <x:v>90000000</x:v>
      </x:c>
      <x:c r="J3394" s="2" t="str">
        <x:v>total</x:v>
      </x:c>
      <x:c r="K3394" s="2" t="str">
        <x:v>top_level_area</x:v>
      </x:c>
      <x:c r="L3394" s="2" t="str">
        <x:v>property_type_inferred_from_title;transaction_assumed_sale_from_dataset_context</x:v>
      </x:c>
      <x:c r="M3394" s="10" t="n">
        <x:v>0</x:v>
      </x:c>
      <x:c r="N3394" s="10" t="n">
        <x:v>0</x:v>
      </x:c>
      <x:c r="O3394" s="2" t="str">
        <x:v>Hà Nội|house</x:v>
      </x:c>
      <x:c r="P3394" s="10" t="n">
        <x:v>2</x:v>
      </x:c>
      <x:c r="Q3394" s="13" t="n">
        <x:f>IF(H3394="","",H3394/1000000000)</x:f>
        <x:v>4.5</x:v>
      </x:c>
      <x:c r="R3394" s="13" t="n">
        <x:f>IF(I3394="","",I3394/1000000)</x:f>
        <x:v>90</x:v>
      </x:c>
    </x:row>
    <x:row r="3395" ht="21" customHeight="1">
      <x:c r="A3395" s="10" t="n">
        <x:v>4688</x:v>
      </x:c>
      <x:c r="B3395" s="2" t="str">
        <x:v>c5d5e3d6ae4c2551672d</x:v>
      </x:c>
      <x:c r="C3395" s="2" t="str">
        <x:v>Tp Hồ Chí Minh</x:v>
      </x:c>
      <x:c r="D3395" s="2" t="str">
        <x:v>Huyện Hóc Môn</x:v>
      </x:c>
      <x:c r="E3395" s="2" t="str">
        <x:v>apartment</x:v>
      </x:c>
      <x:c r="F3395" s="2" t="str">
        <x:v>sale_assumed</x:v>
      </x:c>
      <x:c r="G3395" s="11" t="n">
        <x:v>38</x:v>
      </x:c>
      <x:c r="H3395" s="12" t="n">
        <x:v>330000000</x:v>
      </x:c>
      <x:c r="I3395" s="12" t="n">
        <x:v>8684210.52631579</x:v>
      </x:c>
      <x:c r="J3395" s="2" t="str">
        <x:v>total</x:v>
      </x:c>
      <x:c r="K3395" s="2" t="str">
        <x:v>top_level_area</x:v>
      </x:c>
      <x:c r="L3395" s="2" t="str">
        <x:v>property_type_inferred_from_title;transaction_assumed_sale_from_dataset_context</x:v>
      </x:c>
      <x:c r="M3395" s="10" t="n">
        <x:v>0</x:v>
      </x:c>
      <x:c r="N3395" s="10" t="n">
        <x:v>0</x:v>
      </x:c>
      <x:c r="O3395" s="2" t="str">
        <x:v>Tp Hồ Chí Minh|apartment</x:v>
      </x:c>
      <x:c r="P3395" s="10" t="n">
        <x:v>2</x:v>
      </x:c>
      <x:c r="Q3395" s="13" t="n">
        <x:f>IF(H3395="","",H3395/1000000000)</x:f>
        <x:v>0.33</x:v>
      </x:c>
      <x:c r="R3395" s="13" t="n">
        <x:f>IF(I3395="","",I3395/1000000)</x:f>
        <x:v>8.68421052631579</x:v>
      </x:c>
    </x:row>
    <x:row r="3396" ht="21" customHeight="1">
      <x:c r="A3396" s="10" t="n">
        <x:v>4689</x:v>
      </x:c>
      <x:c r="B3396" s="2" t="str">
        <x:v>e24b9814cbfe5608b0fe</x:v>
      </x:c>
      <x:c r="C3396" s="2" t="str">
        <x:v>Tp Hồ Chí Minh</x:v>
      </x:c>
      <x:c r="D3396" s="2" t="str">
        <x:v>Quận Thủ Đức</x:v>
      </x:c>
      <x:c r="E3396" s="2" t="str">
        <x:v>house</x:v>
      </x:c>
      <x:c r="F3396" s="2" t="str">
        <x:v>sale_assumed</x:v>
      </x:c>
      <x:c r="G3396" s="11" t="n">
        <x:v>60</x:v>
      </x:c>
      <x:c r="H3396" s="12" t="n">
        <x:v>892000000</x:v>
      </x:c>
      <x:c r="I3396" s="12" t="n">
        <x:v>14866666.666666666</x:v>
      </x:c>
      <x:c r="J3396" s="2" t="str">
        <x:v>total</x:v>
      </x:c>
      <x:c r="K3396" s="2" t="str">
        <x:v>top_level_area</x:v>
      </x:c>
      <x:c r="L3396" s="2" t="str">
        <x:v>property_type_inferred_from_title;transaction_assumed_sale_from_dataset_context</x:v>
      </x:c>
      <x:c r="M3396" s="10" t="n">
        <x:v>0</x:v>
      </x:c>
      <x:c r="N3396" s="10" t="n">
        <x:v>0</x:v>
      </x:c>
      <x:c r="O3396" s="2" t="str">
        <x:v>Tp Hồ Chí Minh|house</x:v>
      </x:c>
      <x:c r="P3396" s="10" t="n">
        <x:v>2</x:v>
      </x:c>
      <x:c r="Q3396" s="13" t="n">
        <x:f>IF(H3396="","",H3396/1000000000)</x:f>
        <x:v>0.892</x:v>
      </x:c>
      <x:c r="R3396" s="13" t="n">
        <x:f>IF(I3396="","",I3396/1000000)</x:f>
        <x:v>14.866666666666665</x:v>
      </x:c>
    </x:row>
    <x:row r="3397" ht="21" customHeight="1">
      <x:c r="A3397" s="10" t="n">
        <x:v>4690</x:v>
      </x:c>
      <x:c r="B3397" s="2" t="str">
        <x:v>e8eda6aea6dee4b9bb4f</x:v>
      </x:c>
      <x:c r="C3397" s="2" t="str">
        <x:v>Hà Nội</x:v>
      </x:c>
      <x:c r="D3397" s="2" t="str">
        <x:v>Quận Đống Đa</x:v>
      </x:c>
      <x:c r="E3397" s="2" t="str">
        <x:v>house</x:v>
      </x:c>
      <x:c r="F3397" s="2" t="str">
        <x:v>sale</x:v>
      </x:c>
      <x:c r="G3397" s="11" t="n">
        <x:v>40</x:v>
      </x:c>
      <x:c r="H3397" s="12" t="n">
        <x:v>1000000000</x:v>
      </x:c>
      <x:c r="I3397" s="12" t="n">
        <x:v>25000000</x:v>
      </x:c>
      <x:c r="J3397" s="2" t="str">
        <x:v>total</x:v>
      </x:c>
      <x:c r="K3397" s="2" t="str">
        <x:v>top_level_area</x:v>
      </x:c>
      <x:c r="L3397" s="2" t="str">
        <x:v>property_type_inferred_from_title</x:v>
      </x:c>
      <x:c r="M3397" s="10" t="n">
        <x:v>0</x:v>
      </x:c>
      <x:c r="N3397" s="10" t="n">
        <x:v>0</x:v>
      </x:c>
      <x:c r="O3397" s="2" t="str">
        <x:v>Hà Nội|house</x:v>
      </x:c>
      <x:c r="P3397" s="10" t="n">
        <x:v>2</x:v>
      </x:c>
      <x:c r="Q3397" s="13" t="n">
        <x:f>IF(H3397="","",H3397/1000000000)</x:f>
        <x:v>1</x:v>
      </x:c>
      <x:c r="R3397" s="13" t="n">
        <x:f>IF(I3397="","",I3397/1000000)</x:f>
        <x:v>25</x:v>
      </x:c>
    </x:row>
    <x:row r="3398" ht="21" customHeight="1">
      <x:c r="A3398" s="10" t="n">
        <x:v>4691</x:v>
      </x:c>
      <x:c r="B3398" s="2" t="str">
        <x:v>fcc1d61f8b506e7702ba</x:v>
      </x:c>
      <x:c r="C3398" s="2" t="str">
        <x:v>Tp Hồ Chí Minh</x:v>
      </x:c>
      <x:c r="D3398" s="2" t="str">
        <x:v>Quận 6</x:v>
      </x:c>
      <x:c r="E3398" s="2" t="str">
        <x:v>house</x:v>
      </x:c>
      <x:c r="F3398" s="2" t="str">
        <x:v>sale_assumed</x:v>
      </x:c>
      <x:c r="G3398" s="11" t="n">
        <x:v>30</x:v>
      </x:c>
      <x:c r="H3398" s="12" t="n">
        <x:v>3500000000</x:v>
      </x:c>
      <x:c r="I3398" s="12" t="n">
        <x:v>116666666.66666667</x:v>
      </x:c>
      <x:c r="J3398" s="2" t="str">
        <x:v>total</x:v>
      </x:c>
      <x:c r="K3398" s="2" t="str">
        <x:v>top_level_area</x:v>
      </x:c>
      <x:c r="L3398" s="2" t="str">
        <x:v>property_type_inferred_from_title;transaction_assumed_sale_from_dataset_context</x:v>
      </x:c>
      <x:c r="M3398" s="10" t="n">
        <x:v>0</x:v>
      </x:c>
      <x:c r="N3398" s="10" t="n">
        <x:v>0</x:v>
      </x:c>
      <x:c r="O3398" s="2" t="str">
        <x:v>Tp Hồ Chí Minh|house</x:v>
      </x:c>
      <x:c r="P3398" s="10" t="n">
        <x:v>2</x:v>
      </x:c>
      <x:c r="Q3398" s="13" t="n">
        <x:f>IF(H3398="","",H3398/1000000000)</x:f>
        <x:v>3.5</x:v>
      </x:c>
      <x:c r="R3398" s="13" t="n">
        <x:f>IF(I3398="","",I3398/1000000)</x:f>
        <x:v>116.66666666666667</x:v>
      </x:c>
    </x:row>
    <x:row r="3399" ht="21" customHeight="1">
      <x:c r="A3399" s="10" t="n">
        <x:v>4692</x:v>
      </x:c>
      <x:c r="B3399" s="2" t="str">
        <x:v>5f8151c6f97227a3a419</x:v>
      </x:c>
      <x:c r="C3399" s="2" t="str">
        <x:v>Tp Hồ Chí Minh</x:v>
      </x:c>
      <x:c r="D3399" s="2" t="str">
        <x:v>Quận 12</x:v>
      </x:c>
      <x:c r="E3399" s="2" t="str">
        <x:v>house</x:v>
      </x:c>
      <x:c r="F3399" s="2" t="str">
        <x:v>sale</x:v>
      </x:c>
      <x:c r="G3399" s="11" t="n">
        <x:v>76</x:v>
      </x:c>
      <x:c r="H3399" s="12" t="n">
        <x:v>4600000000</x:v>
      </x:c>
      <x:c r="I3399" s="12" t="n">
        <x:v>60526315.78947368</x:v>
      </x:c>
      <x:c r="J3399" s="2" t="str">
        <x:v>total</x:v>
      </x:c>
      <x:c r="K3399" s="2" t="str">
        <x:v>top_level_area</x:v>
      </x:c>
      <x:c r="L3399" s="2" t="str">
        <x:v>property_type_inferred_from_title</x:v>
      </x:c>
      <x:c r="M3399" s="10" t="n">
        <x:v>0</x:v>
      </x:c>
      <x:c r="N3399" s="10" t="n">
        <x:v>0</x:v>
      </x:c>
      <x:c r="O3399" s="2" t="str">
        <x:v>Tp Hồ Chí Minh|house</x:v>
      </x:c>
      <x:c r="P3399" s="10" t="n">
        <x:v>2</x:v>
      </x:c>
      <x:c r="Q3399" s="13" t="n">
        <x:f>IF(H3399="","",H3399/1000000000)</x:f>
        <x:v>4.6</x:v>
      </x:c>
      <x:c r="R3399" s="13" t="n">
        <x:f>IF(I3399="","",I3399/1000000)</x:f>
        <x:v>60.526315789473685</x:v>
      </x:c>
    </x:row>
    <x:row r="3400" ht="21" customHeight="1">
      <x:c r="A3400" s="10" t="n">
        <x:v>4693</x:v>
      </x:c>
      <x:c r="B3400" s="2" t="str">
        <x:v>f8a71bea3e0bf5deb0b0</x:v>
      </x:c>
      <x:c r="C3400" s="2" t="str">
        <x:v>Hà Nội</x:v>
      </x:c>
      <x:c r="D3400" s="2" t="str">
        <x:v>Quận Cầu Giấy</x:v>
      </x:c>
      <x:c r="E3400" s="2" t="str">
        <x:v>house</x:v>
      </x:c>
      <x:c r="F3400" s="2" t="str">
        <x:v>sale_assumed</x:v>
      </x:c>
      <x:c r="G3400" s="11" t="n">
        <x:v>35</x:v>
      </x:c>
      <x:c r="H3400" s="12" t="n">
        <x:v>5600000000</x:v>
      </x:c>
      <x:c r="I3400" s="12" t="n">
        <x:v>160000000</x:v>
      </x:c>
      <x:c r="J3400" s="2" t="str">
        <x:v>total</x:v>
      </x:c>
      <x:c r="K3400" s="2" t="str">
        <x:v>top_level_area</x:v>
      </x:c>
      <x:c r="L3400" s="2" t="str">
        <x:v>property_type_inferred_from_title;transaction_assumed_sale_from_dataset_context</x:v>
      </x:c>
      <x:c r="M3400" s="10" t="n">
        <x:v>0</x:v>
      </x:c>
      <x:c r="N3400" s="10" t="n">
        <x:v>0</x:v>
      </x:c>
      <x:c r="O3400" s="2" t="str">
        <x:v>Hà Nội|house</x:v>
      </x:c>
      <x:c r="P3400" s="10" t="n">
        <x:v>2</x:v>
      </x:c>
      <x:c r="Q3400" s="13" t="n">
        <x:f>IF(H3400="","",H3400/1000000000)</x:f>
        <x:v>5.6</x:v>
      </x:c>
      <x:c r="R3400" s="13" t="n">
        <x:f>IF(I3400="","",I3400/1000000)</x:f>
        <x:v>160</x:v>
      </x:c>
    </x:row>
    <x:row r="3401" ht="21" customHeight="1">
      <x:c r="A3401" s="10" t="n">
        <x:v>4694</x:v>
      </x:c>
      <x:c r="B3401" s="2" t="str">
        <x:v>3e73e8281656c9652476</x:v>
      </x:c>
      <x:c r="C3401" s="2" t="str">
        <x:v>Hà Nội</x:v>
      </x:c>
      <x:c r="D3401" s="2" t="str">
        <x:v>Quận Đống Đa</x:v>
      </x:c>
      <x:c r="E3401" s="2" t="str">
        <x:v>other_unknown</x:v>
      </x:c>
      <x:c r="F3401" s="2" t="str">
        <x:v>sale_assumed</x:v>
      </x:c>
      <x:c r="G3401" s="11" t="n">
        <x:v>72</x:v>
      </x:c>
      <x:c r="H3401" s="12" t="n">
        <x:v>5650000000</x:v>
      </x:c>
      <x:c r="I3401" s="12" t="n">
        <x:v>78472222.22222222</x:v>
      </x:c>
      <x:c r="J3401" s="2" t="str">
        <x:v>total</x:v>
      </x:c>
      <x:c r="K3401" s="2" t="str">
        <x:v>top_level_area</x:v>
      </x:c>
      <x:c r="L3401" s="2" t="str">
        <x:v>property_type_inferred_from_title;transaction_assumed_sale_from_dataset_context;unknown_property_type</x:v>
      </x:c>
      <x:c r="M3401" s="10" t="n">
        <x:v>0</x:v>
      </x:c>
      <x:c r="N3401" s="10" t="n">
        <x:v>0</x:v>
      </x:c>
      <x:c r="O3401" s="2" t="str">
        <x:v>Hà Nội|other_unknown</x:v>
      </x:c>
      <x:c r="P3401" s="10" t="n">
        <x:v>2</x:v>
      </x:c>
      <x:c r="Q3401" s="13" t="n">
        <x:f>IF(H3401="","",H3401/1000000000)</x:f>
        <x:v>5.65</x:v>
      </x:c>
      <x:c r="R3401" s="13" t="n">
        <x:f>IF(I3401="","",I3401/1000000)</x:f>
        <x:v>78.47222222222223</x:v>
      </x:c>
    </x:row>
    <x:row r="3402" ht="21" customHeight="1">
      <x:c r="A3402" s="10" t="n">
        <x:v>4695</x:v>
      </x:c>
      <x:c r="B3402" s="2" t="str">
        <x:v>00b1a5e46853d5e8cd14</x:v>
      </x:c>
      <x:c r="C3402" s="2" t="str">
        <x:v>Bình Dương</x:v>
      </x:c>
      <x:c r="D3402" s="2" t="str">
        <x:v>Thành phố Thủ Dầu Một</x:v>
      </x:c>
      <x:c r="E3402" s="2" t="str">
        <x:v>house</x:v>
      </x:c>
      <x:c r="F3402" s="2" t="str">
        <x:v>sale</x:v>
      </x:c>
      <x:c r="G3402" s="11" t="n">
        <x:v>147</x:v>
      </x:c>
      <x:c r="H3402" s="12" t="n">
        <x:v>3450000000</x:v>
      </x:c>
      <x:c r="I3402" s="12" t="n">
        <x:v>23469387.755102042</x:v>
      </x:c>
      <x:c r="J3402" s="2" t="str">
        <x:v>total</x:v>
      </x:c>
      <x:c r="K3402" s="2" t="str">
        <x:v>top_level_area</x:v>
      </x:c>
      <x:c r="L3402" s="2" t="str">
        <x:v>property_type_inferred_from_title</x:v>
      </x:c>
      <x:c r="M3402" s="10" t="n">
        <x:v>0</x:v>
      </x:c>
      <x:c r="N3402" s="10" t="n">
        <x:v>0</x:v>
      </x:c>
      <x:c r="O3402" s="2" t="str">
        <x:v>Bình Dương|house</x:v>
      </x:c>
      <x:c r="P3402" s="10" t="n">
        <x:v>2</x:v>
      </x:c>
      <x:c r="Q3402" s="13" t="n">
        <x:f>IF(H3402="","",H3402/1000000000)</x:f>
        <x:v>3.45</x:v>
      </x:c>
      <x:c r="R3402" s="13" t="n">
        <x:f>IF(I3402="","",I3402/1000000)</x:f>
        <x:v>23.46938775510204</x:v>
      </x:c>
    </x:row>
    <x:row r="3403" ht="21" customHeight="1">
      <x:c r="A3403" s="10" t="n">
        <x:v>4696</x:v>
      </x:c>
      <x:c r="B3403" s="2" t="str">
        <x:v>ec4f774e4793759faca7</x:v>
      </x:c>
      <x:c r="C3403" s="2" t="str">
        <x:v>Hà Nội</x:v>
      </x:c>
      <x:c r="D3403" s="2" t="str">
        <x:v>Quận Tây Hồ</x:v>
      </x:c>
      <x:c r="E3403" s="2" t="str">
        <x:v>house</x:v>
      </x:c>
      <x:c r="F3403" s="2" t="str">
        <x:v>sale_assumed</x:v>
      </x:c>
      <x:c r="G3403" s="11" t="n">
        <x:v>28</x:v>
      </x:c>
      <x:c r="H3403" s="12" t="n">
        <x:v>7900000000</x:v>
      </x:c>
      <x:c r="I3403" s="12" t="n">
        <x:v>282142857.14285713</x:v>
      </x:c>
      <x:c r="J3403" s="2" t="str">
        <x:v>total</x:v>
      </x:c>
      <x:c r="K3403" s="2" t="str">
        <x:v>top_level_area</x:v>
      </x:c>
      <x:c r="L3403" s="2" t="str">
        <x:v>property_type_inferred_from_title;transaction_assumed_sale_from_dataset_context</x:v>
      </x:c>
      <x:c r="M3403" s="10" t="n">
        <x:v>1</x:v>
      </x:c>
      <x:c r="N3403" s="10" t="n">
        <x:v>1</x:v>
      </x:c>
      <x:c r="O3403" s="2" t="str">
        <x:v>Hà Nội|house</x:v>
      </x:c>
      <x:c r="P3403" s="10" t="n">
        <x:v>-1</x:v>
      </x:c>
      <x:c r="Q3403" s="13" t="n">
        <x:f>IF(H3403="","",H3403/1000000000)</x:f>
        <x:v>7.9</x:v>
      </x:c>
      <x:c r="R3403" s="13" t="n">
        <x:f>IF(I3403="","",I3403/1000000)</x:f>
        <x:v>282.1428571428571</x:v>
      </x:c>
    </x:row>
    <x:row r="3404" ht="21" customHeight="1">
      <x:c r="A3404" s="10" t="n">
        <x:v>4700</x:v>
      </x:c>
      <x:c r="B3404" s="2" t="str">
        <x:v>381460a94ac4e161a067</x:v>
      </x:c>
      <x:c r="C3404" s="2" t="str">
        <x:v>Hà Nội</x:v>
      </x:c>
      <x:c r="D3404" s="2" t="str">
        <x:v>Quận Bắc Từ Liêm</x:v>
      </x:c>
      <x:c r="E3404" s="2" t="str">
        <x:v>apartment</x:v>
      </x:c>
      <x:c r="F3404" s="2" t="str">
        <x:v>sale</x:v>
      </x:c>
      <x:c r="G3404" s="11" t="n">
        <x:v>34</x:v>
      </x:c>
      <x:c r="H3404" s="12" t="n">
        <x:v>560000000</x:v>
      </x:c>
      <x:c r="I3404" s="12" t="n">
        <x:v>16470588.235294119</x:v>
      </x:c>
      <x:c r="J3404" s="2" t="str">
        <x:v>total</x:v>
      </x:c>
      <x:c r="K3404" s="2" t="str">
        <x:v>top_level_area</x:v>
      </x:c>
      <x:c r="L3404" s="2" t="str">
        <x:v>property_type_inferred_from_title</x:v>
      </x:c>
      <x:c r="M3404" s="10" t="n">
        <x:v>0</x:v>
      </x:c>
      <x:c r="N3404" s="10" t="n">
        <x:v>0</x:v>
      </x:c>
      <x:c r="O3404" s="2" t="str">
        <x:v>Hà Nội|apartment</x:v>
      </x:c>
      <x:c r="P3404" s="10" t="n">
        <x:v>2</x:v>
      </x:c>
      <x:c r="Q3404" s="13" t="n">
        <x:f>IF(H3404="","",H3404/1000000000)</x:f>
        <x:v>0.56</x:v>
      </x:c>
      <x:c r="R3404" s="13" t="n">
        <x:f>IF(I3404="","",I3404/1000000)</x:f>
        <x:v>16.47058823529412</x:v>
      </x:c>
    </x:row>
    <x:row r="3405" ht="21" customHeight="1">
      <x:c r="A3405" s="10" t="n">
        <x:v>4701</x:v>
      </x:c>
      <x:c r="B3405" s="2" t="str">
        <x:v>d7a06e9c7765e4fe4d3f</x:v>
      </x:c>
      <x:c r="C3405" s="2" t="str">
        <x:v>Tp Hồ Chí Minh</x:v>
      </x:c>
      <x:c r="D3405" s="2" t="str">
        <x:v>Quận 4</x:v>
      </x:c>
      <x:c r="E3405" s="2" t="str">
        <x:v>house</x:v>
      </x:c>
      <x:c r="F3405" s="2" t="str">
        <x:v>sale</x:v>
      </x:c>
      <x:c r="G3405" s="11" t="n">
        <x:v>47</x:v>
      </x:c>
      <x:c r="H3405" s="12" t="n">
        <x:v>5150000000</x:v>
      </x:c>
      <x:c r="I3405" s="12" t="n">
        <x:v>109574468.08510639</x:v>
      </x:c>
      <x:c r="J3405" s="2" t="str">
        <x:v>total</x:v>
      </x:c>
      <x:c r="K3405" s="2" t="str">
        <x:v>top_level_area</x:v>
      </x:c>
      <x:c r="L3405" s="2" t="str">
        <x:v>property_type_inferred_from_title</x:v>
      </x:c>
      <x:c r="M3405" s="10" t="n">
        <x:v>0</x:v>
      </x:c>
      <x:c r="N3405" s="10" t="n">
        <x:v>0</x:v>
      </x:c>
      <x:c r="O3405" s="2" t="str">
        <x:v>Tp Hồ Chí Minh|house</x:v>
      </x:c>
      <x:c r="P3405" s="10" t="n">
        <x:v>2</x:v>
      </x:c>
      <x:c r="Q3405" s="13" t="n">
        <x:f>IF(H3405="","",H3405/1000000000)</x:f>
        <x:v>5.15</x:v>
      </x:c>
      <x:c r="R3405" s="13" t="n">
        <x:f>IF(I3405="","",I3405/1000000)</x:f>
        <x:v>109.57446808510639</x:v>
      </x:c>
    </x:row>
    <x:row r="3406" ht="21" customHeight="1">
      <x:c r="A3406" s="10" t="n">
        <x:v>4702</x:v>
      </x:c>
      <x:c r="B3406" s="2" t="str">
        <x:v>28899f3e2d8465a934f1</x:v>
      </x:c>
      <x:c r="C3406" s="2" t="str">
        <x:v>Hòa Bình</x:v>
      </x:c>
      <x:c r="D3406" s="2" t="str">
        <x:v>Huyện Lương Sơn</x:v>
      </x:c>
      <x:c r="E3406" s="2" t="str">
        <x:v>land</x:v>
      </x:c>
      <x:c r="F3406" s="2" t="str">
        <x:v>sale</x:v>
      </x:c>
      <x:c r="G3406" s="11" t="n">
        <x:v>5000</x:v>
      </x:c>
      <x:c r="H3406" s="12" t="n">
        <x:v>6000000000</x:v>
      </x:c>
      <x:c r="I3406" s="12" t="n">
        <x:v>1200000</x:v>
      </x:c>
      <x:c r="J3406" s="2" t="str">
        <x:v>total</x:v>
      </x:c>
      <x:c r="K3406" s="2" t="str">
        <x:v>top_level_area</x:v>
      </x:c>
      <x:c r="L3406" s="2" t="str">
        <x:v>dot_thousands_convention;property_type_inferred_from_title</x:v>
      </x:c>
      <x:c r="M3406" s="10" t="n">
        <x:v>0</x:v>
      </x:c>
      <x:c r="N3406" s="10" t="n">
        <x:v>0</x:v>
      </x:c>
      <x:c r="O3406" s="2" t="str">
        <x:v>land</x:v>
      </x:c>
      <x:c r="P3406" s="10" t="n">
        <x:v>1</x:v>
      </x:c>
      <x:c r="Q3406" s="13" t="n">
        <x:f>IF(H3406="","",H3406/1000000000)</x:f>
        <x:v>6</x:v>
      </x:c>
      <x:c r="R3406" s="13" t="n">
        <x:f>IF(I3406="","",I3406/1000000)</x:f>
        <x:v>1.2</x:v>
      </x:c>
    </x:row>
    <x:row r="3407" ht="21" customHeight="1">
      <x:c r="A3407" s="10" t="n">
        <x:v>4703</x:v>
      </x:c>
      <x:c r="B3407" s="2" t="str">
        <x:v>1d79ac6b19bf9e1d0b1b</x:v>
      </x:c>
      <x:c r="C3407" s="2" t="str">
        <x:v>Hà Nội</x:v>
      </x:c>
      <x:c r="D3407" s="2" t="str">
        <x:v>Quận Hà Đông</x:v>
      </x:c>
      <x:c r="E3407" s="2" t="str">
        <x:v>land</x:v>
      </x:c>
      <x:c r="F3407" s="2" t="str">
        <x:v>sale_assumed</x:v>
      </x:c>
      <x:c r="G3407" s="11" t="n">
        <x:v>30</x:v>
      </x:c>
      <x:c r="H3407" s="12" t="n">
        <x:v>1350000000</x:v>
      </x:c>
      <x:c r="I3407" s="12" t="n">
        <x:v>45000000</x:v>
      </x:c>
      <x:c r="J3407" s="2" t="str">
        <x:v>total</x:v>
      </x:c>
      <x:c r="K3407" s="2" t="str">
        <x:v>top_level_area</x:v>
      </x:c>
      <x:c r="L3407" s="2" t="str">
        <x:v>property_type_inferred_from_title;transaction_assumed_sale_from_dataset_context</x:v>
      </x:c>
      <x:c r="M3407" s="10" t="n">
        <x:v>0</x:v>
      </x:c>
      <x:c r="N3407" s="10" t="n">
        <x:v>0</x:v>
      </x:c>
      <x:c r="O3407" s="2" t="str">
        <x:v>Hà Nội|land</x:v>
      </x:c>
      <x:c r="P3407" s="10" t="n">
        <x:v>2</x:v>
      </x:c>
      <x:c r="Q3407" s="13" t="n">
        <x:f>IF(H3407="","",H3407/1000000000)</x:f>
        <x:v>1.35</x:v>
      </x:c>
      <x:c r="R3407" s="13" t="n">
        <x:f>IF(I3407="","",I3407/1000000)</x:f>
        <x:v>45</x:v>
      </x:c>
    </x:row>
    <x:row r="3408" ht="21" customHeight="1">
      <x:c r="A3408" s="10" t="n">
        <x:v>4704</x:v>
      </x:c>
      <x:c r="B3408" s="2" t="str">
        <x:v>40720d5db1000af4969b</x:v>
      </x:c>
      <x:c r="C3408" s="2" t="str">
        <x:v>An Giang</x:v>
      </x:c>
      <x:c r="D3408" s="2" t="str">
        <x:v>Huyện Chợ Mới</x:v>
      </x:c>
      <x:c r="E3408" s="2" t="str">
        <x:v>land</x:v>
      </x:c>
      <x:c r="F3408" s="2" t="str">
        <x:v>sale_assumed</x:v>
      </x:c>
      <x:c r="G3408" s="11" t="n">
        <x:v>699</x:v>
      </x:c>
      <x:c r="H3408" s="12" t="n">
        <x:v>1000000000</x:v>
      </x:c>
      <x:c r="I3408" s="12" t="n">
        <x:v>1430615.164520744</x:v>
      </x:c>
      <x:c r="J3408" s="2" t="str">
        <x:v>total</x:v>
      </x:c>
      <x:c r="K3408" s="2" t="str">
        <x:v>top_level_area</x:v>
      </x:c>
      <x:c r="L3408" s="2" t="str">
        <x:v>property_type_inferred_from_title;transaction_assumed_sale_from_dataset_context</x:v>
      </x:c>
      <x:c r="M3408" s="10" t="n">
        <x:v>0</x:v>
      </x:c>
      <x:c r="N3408" s="10" t="n">
        <x:v>0</x:v>
      </x:c>
      <x:c r="O3408" s="2" t="str">
        <x:v>land</x:v>
      </x:c>
      <x:c r="P3408" s="10" t="n">
        <x:v>1</x:v>
      </x:c>
      <x:c r="Q3408" s="13" t="n">
        <x:f>IF(H3408="","",H3408/1000000000)</x:f>
        <x:v>1</x:v>
      </x:c>
      <x:c r="R3408" s="13" t="n">
        <x:f>IF(I3408="","",I3408/1000000)</x:f>
        <x:v>1.430615164520744</x:v>
      </x:c>
    </x:row>
    <x:row r="3409" ht="21" customHeight="1">
      <x:c r="A3409" s="10" t="n">
        <x:v>4705</x:v>
      </x:c>
      <x:c r="B3409" s="2" t="str">
        <x:v>9b2525f652dad7c82e6a</x:v>
      </x:c>
      <x:c r="C3409" s="2" t="str">
        <x:v>Tiền Giang</x:v>
      </x:c>
      <x:c r="D3409" s="2" t="str">
        <x:v>Thành phố Mỹ Tho</x:v>
      </x:c>
      <x:c r="E3409" s="2" t="str">
        <x:v>land</x:v>
      </x:c>
      <x:c r="F3409" s="2" t="str">
        <x:v>sale_assumed</x:v>
      </x:c>
      <x:c r="G3409" s="11" t="n">
        <x:v>176</x:v>
      </x:c>
      <x:c r="H3409" s="12" t="n">
        <x:v>1050000000</x:v>
      </x:c>
      <x:c r="I3409" s="12" t="n">
        <x:v>5965909.090909091</x:v>
      </x:c>
      <x:c r="J3409" s="2" t="str">
        <x:v>total</x:v>
      </x:c>
      <x:c r="K3409" s="2" t="str">
        <x:v>top_level_area</x:v>
      </x:c>
      <x:c r="L3409" s="2" t="str">
        <x:v>property_type_inferred_from_title;transaction_assumed_sale_from_dataset_context</x:v>
      </x:c>
      <x:c r="M3409" s="10" t="n">
        <x:v>0</x:v>
      </x:c>
      <x:c r="N3409" s="10" t="n">
        <x:v>0</x:v>
      </x:c>
      <x:c r="O3409" s="2" t="str">
        <x:v>land</x:v>
      </x:c>
      <x:c r="P3409" s="10" t="n">
        <x:v>1</x:v>
      </x:c>
      <x:c r="Q3409" s="13" t="n">
        <x:f>IF(H3409="","",H3409/1000000000)</x:f>
        <x:v>1.05</x:v>
      </x:c>
      <x:c r="R3409" s="13" t="n">
        <x:f>IF(I3409="","",I3409/1000000)</x:f>
        <x:v>5.965909090909091</x:v>
      </x:c>
    </x:row>
    <x:row r="3410" ht="21" customHeight="1">
      <x:c r="A3410" s="10" t="n">
        <x:v>4706</x:v>
      </x:c>
      <x:c r="B3410" s="2" t="str">
        <x:v>421869e6314a486da282</x:v>
      </x:c>
      <x:c r="C3410" s="2" t="str">
        <x:v>Tp Hồ Chí Minh</x:v>
      </x:c>
      <x:c r="D3410" s="2" t="str">
        <x:v>Quận Thủ Đức</x:v>
      </x:c>
      <x:c r="E3410" s="2" t="str">
        <x:v>house</x:v>
      </x:c>
      <x:c r="F3410" s="2" t="str">
        <x:v>sale_assumed</x:v>
      </x:c>
      <x:c r="G3410" s="11" t="n">
        <x:v>46</x:v>
      </x:c>
      <x:c r="H3410" s="12" t="n">
        <x:v>3050000000</x:v>
      </x:c>
      <x:c r="I3410" s="12" t="n">
        <x:v>66304347.82608695</x:v>
      </x:c>
      <x:c r="J3410" s="2" t="str">
        <x:v>total</x:v>
      </x:c>
      <x:c r="K3410" s="2" t="str">
        <x:v>top_level_area</x:v>
      </x:c>
      <x:c r="L3410" s="2" t="str">
        <x:v>property_type_inferred_from_title;transaction_assumed_sale_from_dataset_context</x:v>
      </x:c>
      <x:c r="M3410" s="10" t="n">
        <x:v>0</x:v>
      </x:c>
      <x:c r="N3410" s="10" t="n">
        <x:v>0</x:v>
      </x:c>
      <x:c r="O3410" s="2" t="str">
        <x:v>Tp Hồ Chí Minh|house</x:v>
      </x:c>
      <x:c r="P3410" s="10" t="n">
        <x:v>2</x:v>
      </x:c>
      <x:c r="Q3410" s="13" t="n">
        <x:f>IF(H3410="","",H3410/1000000000)</x:f>
        <x:v>3.05</x:v>
      </x:c>
      <x:c r="R3410" s="13" t="n">
        <x:f>IF(I3410="","",I3410/1000000)</x:f>
        <x:v>66.30434782608695</x:v>
      </x:c>
    </x:row>
    <x:row r="3411" ht="21" customHeight="1">
      <x:c r="A3411" s="10" t="n">
        <x:v>4707</x:v>
      </x:c>
      <x:c r="B3411" s="2" t="str">
        <x:v>78d7acf5b316784bd7e3</x:v>
      </x:c>
      <x:c r="C3411" s="2" t="str">
        <x:v>Hà Nội</x:v>
      </x:c>
      <x:c r="D3411" s="2" t="str">
        <x:v>Quận Nam Từ Liêm</x:v>
      </x:c>
      <x:c r="E3411" s="2" t="str">
        <x:v>house</x:v>
      </x:c>
      <x:c r="F3411" s="2" t="str">
        <x:v>sale</x:v>
      </x:c>
      <x:c r="G3411" s="11" t="n">
        <x:v>34</x:v>
      </x:c>
      <x:c r="H3411" s="12" t="n">
        <x:v>2049999999.9999998</x:v>
      </x:c>
      <x:c r="I3411" s="12" t="n">
        <x:v>60294117.647058815</x:v>
      </x:c>
      <x:c r="J3411" s="2" t="str">
        <x:v>total</x:v>
      </x:c>
      <x:c r="K3411" s="2" t="str">
        <x:v>top_level_area</x:v>
      </x:c>
      <x:c r="L3411" s="2" t="str">
        <x:v>property_type_inferred_from_title</x:v>
      </x:c>
      <x:c r="M3411" s="10" t="n">
        <x:v>0</x:v>
      </x:c>
      <x:c r="N3411" s="10" t="n">
        <x:v>0</x:v>
      </x:c>
      <x:c r="O3411" s="2" t="str">
        <x:v>Hà Nội|house</x:v>
      </x:c>
      <x:c r="P3411" s="10" t="n">
        <x:v>2</x:v>
      </x:c>
      <x:c r="Q3411" s="13" t="n">
        <x:f>IF(H3411="","",H3411/1000000000)</x:f>
        <x:v>2.05</x:v>
      </x:c>
      <x:c r="R3411" s="13" t="n">
        <x:f>IF(I3411="","",I3411/1000000)</x:f>
        <x:v>60.29411764705881</x:v>
      </x:c>
    </x:row>
    <x:row r="3412" ht="21" customHeight="1">
      <x:c r="A3412" s="10" t="n">
        <x:v>4708</x:v>
      </x:c>
      <x:c r="B3412" s="2" t="str">
        <x:v>719413eb2f2f677a7861</x:v>
      </x:c>
      <x:c r="C3412" s="2" t="str">
        <x:v>Thừa Thiên Huế</x:v>
      </x:c>
      <x:c r="D3412" s="2" t="str">
        <x:v>Thành phố Huế</x:v>
      </x:c>
      <x:c r="E3412" s="2" t="str">
        <x:v>land</x:v>
      </x:c>
      <x:c r="F3412" s="2" t="str">
        <x:v>sale_assumed</x:v>
      </x:c>
      <x:c r="G3412" s="11" t="n">
        <x:v>180</x:v>
      </x:c>
      <x:c r="H3412" s="12" t="n">
        <x:v>1320000000</x:v>
      </x:c>
      <x:c r="I3412" s="12" t="n">
        <x:v>7333333.333333333</x:v>
      </x:c>
      <x:c r="J3412" s="2" t="str">
        <x:v>total</x:v>
      </x:c>
      <x:c r="K3412" s="2" t="str">
        <x:v>top_level_area</x:v>
      </x:c>
      <x:c r="L3412" s="2" t="str">
        <x:v>property_type_inferred_from_title;transaction_assumed_sale_from_dataset_context</x:v>
      </x:c>
      <x:c r="M3412" s="10" t="n">
        <x:v>0</x:v>
      </x:c>
      <x:c r="N3412" s="10" t="n">
        <x:v>0</x:v>
      </x:c>
      <x:c r="O3412" s="2" t="str">
        <x:v>land</x:v>
      </x:c>
      <x:c r="P3412" s="10" t="n">
        <x:v>2</x:v>
      </x:c>
      <x:c r="Q3412" s="13" t="n">
        <x:f>IF(H3412="","",H3412/1000000000)</x:f>
        <x:v>1.32</x:v>
      </x:c>
      <x:c r="R3412" s="13" t="n">
        <x:f>IF(I3412="","",I3412/1000000)</x:f>
        <x:v>7.333333333333333</x:v>
      </x:c>
    </x:row>
    <x:row r="3413" ht="21" customHeight="1">
      <x:c r="A3413" s="10" t="n">
        <x:v>4709</x:v>
      </x:c>
      <x:c r="B3413" s="2" t="str">
        <x:v>356e091b6dff646e9c2b</x:v>
      </x:c>
      <x:c r="C3413" s="2" t="str">
        <x:v>Hà Nội</x:v>
      </x:c>
      <x:c r="D3413" s="2" t="str">
        <x:v>Quận Hà Đông</x:v>
      </x:c>
      <x:c r="E3413" s="2" t="str">
        <x:v>house</x:v>
      </x:c>
      <x:c r="F3413" s="2" t="str">
        <x:v>sale_assumed</x:v>
      </x:c>
      <x:c r="G3413" s="11" t="n">
        <x:v>40</x:v>
      </x:c>
      <x:c r="H3413" s="12" t="n">
        <x:v>2800000000</x:v>
      </x:c>
      <x:c r="I3413" s="12" t="n">
        <x:v>70000000</x:v>
      </x:c>
      <x:c r="J3413" s="2" t="str">
        <x:v>total</x:v>
      </x:c>
      <x:c r="K3413" s="2" t="str">
        <x:v>top_level_area</x:v>
      </x:c>
      <x:c r="L3413" s="2" t="str">
        <x:v>property_type_inferred_from_title;transaction_assumed_sale_from_dataset_context</x:v>
      </x:c>
      <x:c r="M3413" s="10" t="n">
        <x:v>0</x:v>
      </x:c>
      <x:c r="N3413" s="10" t="n">
        <x:v>0</x:v>
      </x:c>
      <x:c r="O3413" s="2" t="str">
        <x:v>Hà Nội|house</x:v>
      </x:c>
      <x:c r="P3413" s="10" t="n">
        <x:v>2</x:v>
      </x:c>
      <x:c r="Q3413" s="13" t="n">
        <x:f>IF(H3413="","",H3413/1000000000)</x:f>
        <x:v>2.8</x:v>
      </x:c>
      <x:c r="R3413" s="13" t="n">
        <x:f>IF(I3413="","",I3413/1000000)</x:f>
        <x:v>70</x:v>
      </x:c>
    </x:row>
    <x:row r="3414" ht="21" customHeight="1">
      <x:c r="A3414" s="10" t="n">
        <x:v>4710</x:v>
      </x:c>
      <x:c r="B3414" s="2" t="str">
        <x:v>8e380d3706d007d663d9</x:v>
      </x:c>
      <x:c r="C3414" s="2" t="str">
        <x:v>Đồng Nai</x:v>
      </x:c>
      <x:c r="D3414" s="2" t="str">
        <x:v>Thành phố Biên Hòa</x:v>
      </x:c>
      <x:c r="E3414" s="2" t="str">
        <x:v>land</x:v>
      </x:c>
      <x:c r="F3414" s="2" t="str">
        <x:v>sale</x:v>
      </x:c>
      <x:c r="G3414" s="11" t="n">
        <x:v>388</x:v>
      </x:c>
      <x:c r="H3414" s="12" t="n">
        <x:v>16000000</x:v>
      </x:c>
      <x:c r="I3414" s="12" t="n">
        <x:v>41237.113402061856</x:v>
      </x:c>
      <x:c r="J3414" s="2" t="str">
        <x:v>total</x:v>
      </x:c>
      <x:c r="K3414" s="2" t="str">
        <x:v>top_level_area</x:v>
      </x:c>
      <x:c r="L3414" s="2" t="str">
        <x:v>property_type_inferred_from_title</x:v>
      </x:c>
      <x:c r="M3414" s="10" t="n">
        <x:v>0</x:v>
      </x:c>
      <x:c r="N3414" s="10" t="n">
        <x:v>0</x:v>
      </x:c>
      <x:c r="O3414" s="2" t="str">
        <x:v>Đồng Nai|land</x:v>
      </x:c>
      <x:c r="P3414" s="10" t="n">
        <x:v>1</x:v>
      </x:c>
      <x:c r="Q3414" s="13" t="n">
        <x:f>IF(H3414="","",H3414/1000000000)</x:f>
        <x:v>0.016</x:v>
      </x:c>
      <x:c r="R3414" s="13" t="n">
        <x:f>IF(I3414="","",I3414/1000000)</x:f>
        <x:v>0.041237113402061855</x:v>
      </x:c>
    </x:row>
    <x:row r="3415" ht="21" customHeight="1">
      <x:c r="A3415" s="10" t="n">
        <x:v>4711</x:v>
      </x:c>
      <x:c r="B3415" s="2" t="str">
        <x:v>1006dc79c057914b97d4</x:v>
      </x:c>
      <x:c r="C3415" s="2" t="str">
        <x:v>Cần Thơ</x:v>
      </x:c>
      <x:c r="D3415" s="2" t="str">
        <x:v>Quận Ninh Kiều</x:v>
      </x:c>
      <x:c r="E3415" s="2" t="str">
        <x:v>house</x:v>
      </x:c>
      <x:c r="F3415" s="2" t="str">
        <x:v>sale_assumed</x:v>
      </x:c>
      <x:c r="G3415" s="11" t="n">
        <x:v>64</x:v>
      </x:c>
      <x:c r="H3415" s="12" t="n">
        <x:v>4980000000</x:v>
      </x:c>
      <x:c r="I3415" s="12" t="n">
        <x:v>77812500</x:v>
      </x:c>
      <x:c r="J3415" s="2" t="str">
        <x:v>total</x:v>
      </x:c>
      <x:c r="K3415" s="2" t="str">
        <x:v>top_level_area</x:v>
      </x:c>
      <x:c r="L3415" s="2" t="str">
        <x:v>property_type_inferred_from_title;transaction_assumed_sale_from_dataset_context</x:v>
      </x:c>
      <x:c r="M3415" s="10" t="n">
        <x:v>0</x:v>
      </x:c>
      <x:c r="N3415" s="10" t="n">
        <x:v>0</x:v>
      </x:c>
      <x:c r="O3415" s="2" t="str">
        <x:v>Cần Thơ|house</x:v>
      </x:c>
      <x:c r="P3415" s="10" t="n">
        <x:v>2</x:v>
      </x:c>
      <x:c r="Q3415" s="13" t="n">
        <x:f>IF(H3415="","",H3415/1000000000)</x:f>
        <x:v>4.98</x:v>
      </x:c>
      <x:c r="R3415" s="13" t="n">
        <x:f>IF(I3415="","",I3415/1000000)</x:f>
        <x:v>77.8125</x:v>
      </x:c>
    </x:row>
    <x:row r="3416" ht="21" customHeight="1">
      <x:c r="A3416" s="10" t="n">
        <x:v>4712</x:v>
      </x:c>
      <x:c r="B3416" s="2" t="str">
        <x:v>115d4fbf22d4f1d6fe23</x:v>
      </x:c>
      <x:c r="C3416" s="2" t="str">
        <x:v>Tp Hồ Chí Minh</x:v>
      </x:c>
      <x:c r="D3416" s="2" t="str">
        <x:v>Huyện Nhà Bè</x:v>
      </x:c>
      <x:c r="E3416" s="2" t="str">
        <x:v>house</x:v>
      </x:c>
      <x:c r="F3416" s="2" t="str">
        <x:v>sale</x:v>
      </x:c>
      <x:c r="G3416" s="11" t="n">
        <x:v>50</x:v>
      </x:c>
      <x:c r="H3416" s="12" t="n">
        <x:v>4500000000</x:v>
      </x:c>
      <x:c r="I3416" s="12" t="n">
        <x:v>90000000</x:v>
      </x:c>
      <x:c r="J3416" s="2" t="str">
        <x:v>total</x:v>
      </x:c>
      <x:c r="K3416" s="2" t="str">
        <x:v>top_level_area</x:v>
      </x:c>
      <x:c r="L3416" s="2" t="str">
        <x:v>property_type_inferred_from_title</x:v>
      </x:c>
      <x:c r="M3416" s="10" t="n">
        <x:v>0</x:v>
      </x:c>
      <x:c r="N3416" s="10" t="n">
        <x:v>0</x:v>
      </x:c>
      <x:c r="O3416" s="2" t="str">
        <x:v>Tp Hồ Chí Minh|house</x:v>
      </x:c>
      <x:c r="P3416" s="10" t="n">
        <x:v>2</x:v>
      </x:c>
      <x:c r="Q3416" s="13" t="n">
        <x:f>IF(H3416="","",H3416/1000000000)</x:f>
        <x:v>4.5</x:v>
      </x:c>
      <x:c r="R3416" s="13" t="n">
        <x:f>IF(I3416="","",I3416/1000000)</x:f>
        <x:v>90</x:v>
      </x:c>
    </x:row>
    <x:row r="3417" ht="21" customHeight="1">
      <x:c r="A3417" s="10" t="n">
        <x:v>4713</x:v>
      </x:c>
      <x:c r="B3417" s="2" t="str">
        <x:v>301b6f963b80d0a3453d</x:v>
      </x:c>
      <x:c r="C3417" s="2" t="str">
        <x:v>Khánh Hòa</x:v>
      </x:c>
      <x:c r="D3417" s="2" t="str">
        <x:v>Thành phố Nha Trang</x:v>
      </x:c>
      <x:c r="E3417" s="2" t="str">
        <x:v>house</x:v>
      </x:c>
      <x:c r="F3417" s="2" t="str">
        <x:v>sale_assumed</x:v>
      </x:c>
      <x:c r="G3417" s="11" t="n">
        <x:v>85.6</x:v>
      </x:c>
      <x:c r="H3417" s="12" t="n">
        <x:v>6900000000</x:v>
      </x:c>
      <x:c r="I3417" s="12" t="n">
        <x:v>80607476.63551402</x:v>
      </x:c>
      <x:c r="J3417" s="2" t="str">
        <x:v>total</x:v>
      </x:c>
      <x:c r="K3417" s="2" t="str">
        <x:v>top_level_area</x:v>
      </x:c>
      <x:c r="L3417" s="2" t="str">
        <x:v>property_type_inferred_from_title;transaction_assumed_sale_from_dataset_context</x:v>
      </x:c>
      <x:c r="M3417" s="10" t="n">
        <x:v>0</x:v>
      </x:c>
      <x:c r="N3417" s="10" t="n">
        <x:v>0</x:v>
      </x:c>
      <x:c r="O3417" s="2" t="str">
        <x:v>Khánh Hòa|house</x:v>
      </x:c>
      <x:c r="P3417" s="10" t="n">
        <x:v>2</x:v>
      </x:c>
      <x:c r="Q3417" s="13" t="n">
        <x:f>IF(H3417="","",H3417/1000000000)</x:f>
        <x:v>6.9</x:v>
      </x:c>
      <x:c r="R3417" s="13" t="n">
        <x:f>IF(I3417="","",I3417/1000000)</x:f>
        <x:v>80.60747663551402</x:v>
      </x:c>
    </x:row>
    <x:row r="3418" ht="21" customHeight="1">
      <x:c r="A3418" s="10" t="n">
        <x:v>4714</x:v>
      </x:c>
      <x:c r="B3418" s="2" t="str">
        <x:v>aa620fbe05f9d1d5d5e1</x:v>
      </x:c>
      <x:c r="C3418" s="2" t="str">
        <x:v>Bến Tre</x:v>
      </x:c>
      <x:c r="D3418" s="2" t="str">
        <x:v>Huyện Châu Thành</x:v>
      </x:c>
      <x:c r="E3418" s="2" t="str">
        <x:v>land</x:v>
      </x:c>
      <x:c r="F3418" s="2" t="str">
        <x:v>sale_assumed</x:v>
      </x:c>
      <x:c r="G3418" s="11" t="n">
        <x:v>200</x:v>
      </x:c>
      <x:c r="H3418" s="12" t="n">
        <x:v>530000000</x:v>
      </x:c>
      <x:c r="I3418" s="12" t="n">
        <x:v>2650000</x:v>
      </x:c>
      <x:c r="J3418" s="2" t="str">
        <x:v>total</x:v>
      </x:c>
      <x:c r="K3418" s="2" t="str">
        <x:v>top_level_area</x:v>
      </x:c>
      <x:c r="L3418" s="2" t="str">
        <x:v>property_type_inferred_from_title;transaction_assumed_sale_from_dataset_context</x:v>
      </x:c>
      <x:c r="M3418" s="10" t="n">
        <x:v>0</x:v>
      </x:c>
      <x:c r="N3418" s="10" t="n">
        <x:v>0</x:v>
      </x:c>
      <x:c r="O3418" s="2" t="str">
        <x:v>Bến Tre|land</x:v>
      </x:c>
      <x:c r="P3418" s="10" t="n">
        <x:v>1</x:v>
      </x:c>
      <x:c r="Q3418" s="13" t="n">
        <x:f>IF(H3418="","",H3418/1000000000)</x:f>
        <x:v>0.53</x:v>
      </x:c>
      <x:c r="R3418" s="13" t="n">
        <x:f>IF(I3418="","",I3418/1000000)</x:f>
        <x:v>2.65</x:v>
      </x:c>
    </x:row>
    <x:row r="3419" ht="21" customHeight="1">
      <x:c r="A3419" s="10" t="n">
        <x:v>4715</x:v>
      </x:c>
      <x:c r="B3419" s="2" t="str">
        <x:v>c5775535734af920f9b8</x:v>
      </x:c>
      <x:c r="C3419" s="2" t="str">
        <x:v>Tiền Giang</x:v>
      </x:c>
      <x:c r="D3419" s="2" t="str">
        <x:v>Thị xã Cai Lậy</x:v>
      </x:c>
      <x:c r="E3419" s="2" t="str">
        <x:v>land</x:v>
      </x:c>
      <x:c r="F3419" s="2" t="str">
        <x:v>sale_assumed</x:v>
      </x:c>
      <x:c r="G3419" s="11" t="n">
        <x:v>2500</x:v>
      </x:c>
      <x:c r="H3419" s="12" t="n">
        <x:v>3100000000</x:v>
      </x:c>
      <x:c r="I3419" s="12" t="n">
        <x:v>1240000</x:v>
      </x:c>
      <x:c r="J3419" s="2" t="str">
        <x:v>total</x:v>
      </x:c>
      <x:c r="K3419" s="2" t="str">
        <x:v>top_level_area</x:v>
      </x:c>
      <x:c r="L3419" s="2" t="str">
        <x:v>dot_thousands_convention;property_type_inferred_from_title;transaction_assumed_sale_from_dataset_context</x:v>
      </x:c>
      <x:c r="M3419" s="10" t="n">
        <x:v>0</x:v>
      </x:c>
      <x:c r="N3419" s="10" t="n">
        <x:v>0</x:v>
      </x:c>
      <x:c r="O3419" s="2" t="str">
        <x:v>land</x:v>
      </x:c>
      <x:c r="P3419" s="10" t="n">
        <x:v>1</x:v>
      </x:c>
      <x:c r="Q3419" s="13" t="n">
        <x:f>IF(H3419="","",H3419/1000000000)</x:f>
        <x:v>3.1</x:v>
      </x:c>
      <x:c r="R3419" s="13" t="n">
        <x:f>IF(I3419="","",I3419/1000000)</x:f>
        <x:v>1.24</x:v>
      </x:c>
    </x:row>
    <x:row r="3420" ht="21" customHeight="1">
      <x:c r="A3420" s="10" t="n">
        <x:v>4716</x:v>
      </x:c>
      <x:c r="B3420" s="2" t="str">
        <x:v>60d2855d046d38cde9c0</x:v>
      </x:c>
      <x:c r="C3420" s="2" t="str">
        <x:v>Tp Hồ Chí Minh</x:v>
      </x:c>
      <x:c r="D3420" s="2" t="str">
        <x:v>Quận Thủ Đức</x:v>
      </x:c>
      <x:c r="E3420" s="2" t="str">
        <x:v>apartment</x:v>
      </x:c>
      <x:c r="F3420" s="2" t="str">
        <x:v>sale_assumed</x:v>
      </x:c>
      <x:c r="G3420" s="11" t="n">
        <x:v>69</x:v>
      </x:c>
      <x:c r="H3420" s="12" t="n">
        <x:v>2900000000</x:v>
      </x:c>
      <x:c r="I3420" s="12" t="n">
        <x:v>42028985.507246375</x:v>
      </x:c>
      <x:c r="J3420" s="2" t="str">
        <x:v>total</x:v>
      </x:c>
      <x:c r="K3420" s="2" t="str">
        <x:v>top_level_area</x:v>
      </x:c>
      <x:c r="L3420" s="2" t="str">
        <x:v>property_type_inferred_from_title;transaction_assumed_sale_from_dataset_context</x:v>
      </x:c>
      <x:c r="M3420" s="10" t="n">
        <x:v>0</x:v>
      </x:c>
      <x:c r="N3420" s="10" t="n">
        <x:v>0</x:v>
      </x:c>
      <x:c r="O3420" s="2" t="str">
        <x:v>Tp Hồ Chí Minh|apartment</x:v>
      </x:c>
      <x:c r="P3420" s="10" t="n">
        <x:v>2</x:v>
      </x:c>
      <x:c r="Q3420" s="13" t="n">
        <x:f>IF(H3420="","",H3420/1000000000)</x:f>
        <x:v>2.9</x:v>
      </x:c>
      <x:c r="R3420" s="13" t="n">
        <x:f>IF(I3420="","",I3420/1000000)</x:f>
        <x:v>42.028985507246375</x:v>
      </x:c>
    </x:row>
    <x:row r="3421" ht="21" customHeight="1">
      <x:c r="A3421" s="10" t="n">
        <x:v>4717</x:v>
      </x:c>
      <x:c r="B3421" s="2" t="str">
        <x:v>e1ab6dbcfa17ed608352</x:v>
      </x:c>
      <x:c r="C3421" s="2" t="str">
        <x:v>Hà Nội</x:v>
      </x:c>
      <x:c r="D3421" s="2" t="str">
        <x:v>Quận Hà Đông</x:v>
      </x:c>
      <x:c r="E3421" s="2" t="str">
        <x:v>house</x:v>
      </x:c>
      <x:c r="F3421" s="2" t="str">
        <x:v>sale</x:v>
      </x:c>
      <x:c r="G3421" s="11" t="n">
        <x:v>40</x:v>
      </x:c>
      <x:c r="H3421" s="12" t="n">
        <x:v>3850000000</x:v>
      </x:c>
      <x:c r="I3421" s="12" t="n">
        <x:v>96250000</x:v>
      </x:c>
      <x:c r="J3421" s="2" t="str">
        <x:v>total</x:v>
      </x:c>
      <x:c r="K3421" s="2" t="str">
        <x:v>top_level_area</x:v>
      </x:c>
      <x:c r="L3421" s="2" t="str">
        <x:v>property_type_inferred_from_title</x:v>
      </x:c>
      <x:c r="M3421" s="10" t="n">
        <x:v>0</x:v>
      </x:c>
      <x:c r="N3421" s="10" t="n">
        <x:v>0</x:v>
      </x:c>
      <x:c r="O3421" s="2" t="str">
        <x:v>Hà Nội|house</x:v>
      </x:c>
      <x:c r="P3421" s="10" t="n">
        <x:v>2</x:v>
      </x:c>
      <x:c r="Q3421" s="13" t="n">
        <x:f>IF(H3421="","",H3421/1000000000)</x:f>
        <x:v>3.85</x:v>
      </x:c>
      <x:c r="R3421" s="13" t="n">
        <x:f>IF(I3421="","",I3421/1000000)</x:f>
        <x:v>96.25</x:v>
      </x:c>
    </x:row>
    <x:row r="3422" ht="21" customHeight="1">
      <x:c r="A3422" s="10" t="n">
        <x:v>4718</x:v>
      </x:c>
      <x:c r="B3422" s="2" t="str">
        <x:v>fa2fcc97739ed09cc63b</x:v>
      </x:c>
      <x:c r="C3422" s="2" t="str">
        <x:v>Tp Hồ Chí Minh</x:v>
      </x:c>
      <x:c r="D3422" s="2" t="str">
        <x:v>Quận Thủ Đức</x:v>
      </x:c>
      <x:c r="E3422" s="2" t="str">
        <x:v>house</x:v>
      </x:c>
      <x:c r="F3422" s="2" t="str">
        <x:v>sale</x:v>
      </x:c>
      <x:c r="G3422" s="11" t="n">
        <x:v>52</x:v>
      </x:c>
      <x:c r="H3422" s="12" t="n">
        <x:v>5630000000</x:v>
      </x:c>
      <x:c r="I3422" s="12" t="n">
        <x:v>108269230.76923077</x:v>
      </x:c>
      <x:c r="J3422" s="2" t="str">
        <x:v>total</x:v>
      </x:c>
      <x:c r="K3422" s="2" t="str">
        <x:v>top_level_area</x:v>
      </x:c>
      <x:c r="L3422" s="2" t="str">
        <x:v>property_type_inferred_from_title</x:v>
      </x:c>
      <x:c r="M3422" s="10" t="n">
        <x:v>0</x:v>
      </x:c>
      <x:c r="N3422" s="10" t="n">
        <x:v>0</x:v>
      </x:c>
      <x:c r="O3422" s="2" t="str">
        <x:v>Tp Hồ Chí Minh|house</x:v>
      </x:c>
      <x:c r="P3422" s="10" t="n">
        <x:v>2</x:v>
      </x:c>
      <x:c r="Q3422" s="13" t="n">
        <x:f>IF(H3422="","",H3422/1000000000)</x:f>
        <x:v>5.63</x:v>
      </x:c>
      <x:c r="R3422" s="13" t="n">
        <x:f>IF(I3422="","",I3422/1000000)</x:f>
        <x:v>108.26923076923077</x:v>
      </x:c>
    </x:row>
    <x:row r="3423" ht="21" customHeight="1">
      <x:c r="A3423" s="10" t="n">
        <x:v>4721</x:v>
      </x:c>
      <x:c r="B3423" s="2" t="str">
        <x:v>5eb02a0ed582e0122f29</x:v>
      </x:c>
      <x:c r="C3423" s="2" t="str">
        <x:v>Hà Nội</x:v>
      </x:c>
      <x:c r="D3423" s="2" t="str">
        <x:v>Huyện Hoài Đức</x:v>
      </x:c>
      <x:c r="E3423" s="2" t="str">
        <x:v>land</x:v>
      </x:c>
      <x:c r="F3423" s="2" t="str">
        <x:v>sale</x:v>
      </x:c>
      <x:c r="G3423" s="11" t="n">
        <x:v>66</x:v>
      </x:c>
      <x:c r="H3423" s="12" t="n">
        <x:v>2500000000</x:v>
      </x:c>
      <x:c r="I3423" s="12" t="n">
        <x:v>37878787.878787875</x:v>
      </x:c>
      <x:c r="J3423" s="2" t="str">
        <x:v>total</x:v>
      </x:c>
      <x:c r="K3423" s="2" t="str">
        <x:v>top_level_area</x:v>
      </x:c>
      <x:c r="L3423" s="2" t="str">
        <x:v>property_type_inferred_from_title</x:v>
      </x:c>
      <x:c r="M3423" s="10" t="n">
        <x:v>0</x:v>
      </x:c>
      <x:c r="N3423" s="10" t="n">
        <x:v>0</x:v>
      </x:c>
      <x:c r="O3423" s="2" t="str">
        <x:v>Hà Nội|land</x:v>
      </x:c>
      <x:c r="P3423" s="10" t="n">
        <x:v>2</x:v>
      </x:c>
      <x:c r="Q3423" s="13" t="n">
        <x:f>IF(H3423="","",H3423/1000000000)</x:f>
        <x:v>2.5</x:v>
      </x:c>
      <x:c r="R3423" s="13" t="n">
        <x:f>IF(I3423="","",I3423/1000000)</x:f>
        <x:v>37.878787878787875</x:v>
      </x:c>
    </x:row>
    <x:row r="3424" ht="21" customHeight="1">
      <x:c r="A3424" s="10" t="n">
        <x:v>4722</x:v>
      </x:c>
      <x:c r="B3424" s="2" t="str">
        <x:v>79bc17c3f1b2268c4db6</x:v>
      </x:c>
      <x:c r="C3424" s="2" t="str">
        <x:v>Hà Nội</x:v>
      </x:c>
      <x:c r="D3424" s="2" t="str">
        <x:v>Quận Bắc Từ Liêm</x:v>
      </x:c>
      <x:c r="E3424" s="2" t="str">
        <x:v>other_unknown</x:v>
      </x:c>
      <x:c r="F3424" s="2" t="str">
        <x:v>sale_assumed</x:v>
      </x:c>
      <x:c r="G3424" s="11" t="n">
        <x:v>35</x:v>
      </x:c>
      <x:c r="H3424" s="12" t="n">
        <x:v>570000000</x:v>
      </x:c>
      <x:c r="I3424" s="12" t="n">
        <x:v>16285714.285714285</x:v>
      </x:c>
      <x:c r="J3424" s="2" t="str">
        <x:v>total</x:v>
      </x:c>
      <x:c r="K3424" s="2" t="str">
        <x:v>top_level_area</x:v>
      </x:c>
      <x:c r="L3424" s="2" t="str">
        <x:v>property_type_inferred_from_title;transaction_assumed_sale_from_dataset_context;unknown_property_type</x:v>
      </x:c>
      <x:c r="M3424" s="10" t="n">
        <x:v>0</x:v>
      </x:c>
      <x:c r="N3424" s="10" t="n">
        <x:v>0</x:v>
      </x:c>
      <x:c r="O3424" s="2" t="str">
        <x:v>Hà Nội|other_unknown</x:v>
      </x:c>
      <x:c r="P3424" s="10" t="n">
        <x:v>2</x:v>
      </x:c>
      <x:c r="Q3424" s="13" t="n">
        <x:f>IF(H3424="","",H3424/1000000000)</x:f>
        <x:v>0.57</x:v>
      </x:c>
      <x:c r="R3424" s="13" t="n">
        <x:f>IF(I3424="","",I3424/1000000)</x:f>
        <x:v>16.285714285714285</x:v>
      </x:c>
    </x:row>
    <x:row r="3425" ht="21" customHeight="1">
      <x:c r="A3425" s="10" t="n">
        <x:v>4723</x:v>
      </x:c>
      <x:c r="B3425" s="2" t="str">
        <x:v>a1b5688b996cafec3d89</x:v>
      </x:c>
      <x:c r="C3425" s="2" t="str">
        <x:v>Hà Nội</x:v>
      </x:c>
      <x:c r="D3425" s="2" t="str">
        <x:v>Huyện Quốc Oai</x:v>
      </x:c>
      <x:c r="E3425" s="2" t="str">
        <x:v>land</x:v>
      </x:c>
      <x:c r="F3425" s="2" t="str">
        <x:v>sale</x:v>
      </x:c>
      <x:c r="G3425" s="11" t="n">
        <x:v>130</x:v>
      </x:c>
      <x:c r="H3425" s="12" t="n">
        <x:v>2340000000</x:v>
      </x:c>
      <x:c r="I3425" s="12" t="n">
        <x:v>18000000</x:v>
      </x:c>
      <x:c r="J3425" s="2" t="str">
        <x:v>total</x:v>
      </x:c>
      <x:c r="K3425" s="2" t="str">
        <x:v>top_level_area</x:v>
      </x:c>
      <x:c r="L3425" s="2" t="str">
        <x:v>property_type_inferred_from_title</x:v>
      </x:c>
      <x:c r="M3425" s="10" t="n">
        <x:v>0</x:v>
      </x:c>
      <x:c r="N3425" s="10" t="n">
        <x:v>0</x:v>
      </x:c>
      <x:c r="O3425" s="2" t="str">
        <x:v>Hà Nội|land</x:v>
      </x:c>
      <x:c r="P3425" s="10" t="n">
        <x:v>2</x:v>
      </x:c>
      <x:c r="Q3425" s="13" t="n">
        <x:f>IF(H3425="","",H3425/1000000000)</x:f>
        <x:v>2.34</x:v>
      </x:c>
      <x:c r="R3425" s="13" t="n">
        <x:f>IF(I3425="","",I3425/1000000)</x:f>
        <x:v>18</x:v>
      </x:c>
    </x:row>
    <x:row r="3426" ht="21" customHeight="1">
      <x:c r="A3426" s="10" t="n">
        <x:v>4724</x:v>
      </x:c>
      <x:c r="B3426" s="2" t="str">
        <x:v>2c0bfdd421e158b44666</x:v>
      </x:c>
      <x:c r="C3426" s="2" t="str">
        <x:v>Vĩnh Long</x:v>
      </x:c>
      <x:c r="D3426" s="2" t="str">
        <x:v>Thành phố Vĩnh Long</x:v>
      </x:c>
      <x:c r="E3426" s="2" t="str">
        <x:v>house</x:v>
      </x:c>
      <x:c r="F3426" s="2" t="str">
        <x:v>sale_assumed</x:v>
      </x:c>
      <x:c r="G3426" s="11" t="n">
        <x:v>60</x:v>
      </x:c>
      <x:c r="H3426" s="12" t="n">
        <x:v>1750000000</x:v>
      </x:c>
      <x:c r="I3426" s="12" t="n">
        <x:v>29166666.666666668</x:v>
      </x:c>
      <x:c r="J3426" s="2" t="str">
        <x:v>total</x:v>
      </x:c>
      <x:c r="K3426" s="2" t="str">
        <x:v>top_level_area</x:v>
      </x:c>
      <x:c r="L3426" s="2" t="str">
        <x:v>property_type_inferred_from_title;transaction_assumed_sale_from_dataset_context</x:v>
      </x:c>
      <x:c r="M3426" s="10" t="n">
        <x:v>0</x:v>
      </x:c>
      <x:c r="N3426" s="10" t="n">
        <x:v>0</x:v>
      </x:c>
      <x:c r="O3426" s="2" t="str">
        <x:v>house</x:v>
      </x:c>
      <x:c r="P3426" s="10" t="n">
        <x:v>2</x:v>
      </x:c>
      <x:c r="Q3426" s="13" t="n">
        <x:f>IF(H3426="","",H3426/1000000000)</x:f>
        <x:v>1.75</x:v>
      </x:c>
      <x:c r="R3426" s="13" t="n">
        <x:f>IF(I3426="","",I3426/1000000)</x:f>
        <x:v>29.166666666666668</x:v>
      </x:c>
    </x:row>
    <x:row r="3427" ht="21" customHeight="1">
      <x:c r="A3427" s="10" t="n">
        <x:v>4725</x:v>
      </x:c>
      <x:c r="B3427" s="2" t="str">
        <x:v>1317144125212860e078</x:v>
      </x:c>
      <x:c r="C3427" s="2" t="str">
        <x:v>Hậu Giang</x:v>
      </x:c>
      <x:c r="D3427" s="2" t="str">
        <x:v>Thành phố Vị Thanh</x:v>
      </x:c>
      <x:c r="E3427" s="2" t="str">
        <x:v>house</x:v>
      </x:c>
      <x:c r="F3427" s="2" t="str">
        <x:v>sale</x:v>
      </x:c>
      <x:c r="G3427" s="11" t="n">
        <x:v>76</x:v>
      </x:c>
      <x:c r="H3427" s="12" t="n">
        <x:v>1350000000</x:v>
      </x:c>
      <x:c r="I3427" s="12" t="n">
        <x:v>17763157.89473684</x:v>
      </x:c>
      <x:c r="J3427" s="2" t="str">
        <x:v>total</x:v>
      </x:c>
      <x:c r="K3427" s="2" t="str">
        <x:v>top_level_area</x:v>
      </x:c>
      <x:c r="L3427" s="2" t="str">
        <x:v>property_type_inferred_from_title</x:v>
      </x:c>
      <x:c r="M3427" s="10" t="n">
        <x:v>0</x:v>
      </x:c>
      <x:c r="N3427" s="10" t="n">
        <x:v>0</x:v>
      </x:c>
      <x:c r="O3427" s="2" t="str">
        <x:v>house</x:v>
      </x:c>
      <x:c r="P3427" s="10" t="n">
        <x:v>2</x:v>
      </x:c>
      <x:c r="Q3427" s="13" t="n">
        <x:f>IF(H3427="","",H3427/1000000000)</x:f>
        <x:v>1.35</x:v>
      </x:c>
      <x:c r="R3427" s="13" t="n">
        <x:f>IF(I3427="","",I3427/1000000)</x:f>
        <x:v>17.763157894736842</x:v>
      </x:c>
    </x:row>
    <x:row r="3428" ht="21" customHeight="1">
      <x:c r="A3428" s="10" t="n">
        <x:v>4726</x:v>
      </x:c>
      <x:c r="B3428" s="2" t="str">
        <x:v>3961b05365fac9f49f30</x:v>
      </x:c>
      <x:c r="C3428" s="2" t="str">
        <x:v>Lâm Đồng</x:v>
      </x:c>
      <x:c r="D3428" s="2" t="str">
        <x:v>Thành phố Bảo Lộc</x:v>
      </x:c>
      <x:c r="E3428" s="2" t="str">
        <x:v>other_unknown</x:v>
      </x:c>
      <x:c r="F3428" s="2" t="str">
        <x:v>sale_assumed</x:v>
      </x:c>
      <x:c r="G3428" s="11" t="n">
        <x:v>660</x:v>
      </x:c>
      <x:c r="H3428" s="12" t="n">
        <x:v>650000000</x:v>
      </x:c>
      <x:c r="I3428" s="12" t="n">
        <x:v>984848.4848484849</x:v>
      </x:c>
      <x:c r="J3428" s="2" t="str">
        <x:v>total</x:v>
      </x:c>
      <x:c r="K3428" s="2" t="str">
        <x:v>top_level_area</x:v>
      </x:c>
      <x:c r="L3428" s="2" t="str">
        <x:v>property_type_inferred_from_title;transaction_assumed_sale_from_dataset_context;unknown_property_type</x:v>
      </x:c>
      <x:c r="M3428" s="10" t="n">
        <x:v>0</x:v>
      </x:c>
      <x:c r="N3428" s="10" t="n">
        <x:v>0</x:v>
      </x:c>
      <x:c r="O3428" s="2" t="str">
        <x:v>other_unknown</x:v>
      </x:c>
      <x:c r="P3428" s="10" t="n">
        <x:v>1</x:v>
      </x:c>
      <x:c r="Q3428" s="13" t="n">
        <x:f>IF(H3428="","",H3428/1000000000)</x:f>
        <x:v>0.65</x:v>
      </x:c>
      <x:c r="R3428" s="13" t="n">
        <x:f>IF(I3428="","",I3428/1000000)</x:f>
        <x:v>0.9848484848484849</x:v>
      </x:c>
    </x:row>
    <x:row r="3429" ht="21" customHeight="1">
      <x:c r="A3429" s="10" t="n">
        <x:v>4727</x:v>
      </x:c>
      <x:c r="B3429" s="2" t="str">
        <x:v>323bbfcb262208a292bf</x:v>
      </x:c>
      <x:c r="C3429" s="2" t="str">
        <x:v>Tp Hồ Chí Minh</x:v>
      </x:c>
      <x:c r="D3429" s="2" t="str">
        <x:v>Quận 7</x:v>
      </x:c>
      <x:c r="E3429" s="2" t="str">
        <x:v>house</x:v>
      </x:c>
      <x:c r="F3429" s="2" t="str">
        <x:v>sale</x:v>
      </x:c>
      <x:c r="G3429" s="11" t="n">
        <x:v>51</x:v>
      </x:c>
      <x:c r="H3429" s="12" t="n">
        <x:v>3750000000</x:v>
      </x:c>
      <x:c r="I3429" s="12" t="n">
        <x:v>73529411.76470588</x:v>
      </x:c>
      <x:c r="J3429" s="2" t="str">
        <x:v>total</x:v>
      </x:c>
      <x:c r="K3429" s="2" t="str">
        <x:v>top_level_area</x:v>
      </x:c>
      <x:c r="L3429" s="2" t="str">
        <x:v>property_type_inferred_from_title</x:v>
      </x:c>
      <x:c r="M3429" s="10" t="n">
        <x:v>0</x:v>
      </x:c>
      <x:c r="N3429" s="10" t="n">
        <x:v>0</x:v>
      </x:c>
      <x:c r="O3429" s="2" t="str">
        <x:v>Tp Hồ Chí Minh|house</x:v>
      </x:c>
      <x:c r="P3429" s="10" t="n">
        <x:v>2</x:v>
      </x:c>
      <x:c r="Q3429" s="13" t="n">
        <x:f>IF(H3429="","",H3429/1000000000)</x:f>
        <x:v>3.75</x:v>
      </x:c>
      <x:c r="R3429" s="13" t="n">
        <x:f>IF(I3429="","",I3429/1000000)</x:f>
        <x:v>73.52941176470588</x:v>
      </x:c>
    </x:row>
    <x:row r="3430" ht="21" customHeight="1">
      <x:c r="A3430" s="10" t="n">
        <x:v>4728</x:v>
      </x:c>
      <x:c r="B3430" s="2" t="str">
        <x:v>53084a1e37ff724f66aa</x:v>
      </x:c>
      <x:c r="C3430" s="2" t="str">
        <x:v>Hà Nội</x:v>
      </x:c>
      <x:c r="D3430" s="2" t="str">
        <x:v>Quận Hà Đông</x:v>
      </x:c>
      <x:c r="E3430" s="2" t="str">
        <x:v>other_unknown</x:v>
      </x:c>
      <x:c r="F3430" s="2" t="str">
        <x:v>sale_assumed</x:v>
      </x:c>
      <x:c r="G3430" s="11" t="n">
        <x:v>38</x:v>
      </x:c>
      <x:c r="H3430" s="12" t="n">
        <x:v>2800000000</x:v>
      </x:c>
      <x:c r="I3430" s="12" t="n">
        <x:v>73684210.5263158</x:v>
      </x:c>
      <x:c r="J3430" s="2" t="str">
        <x:v>total</x:v>
      </x:c>
      <x:c r="K3430" s="2" t="str">
        <x:v>top_level_area</x:v>
      </x:c>
      <x:c r="L3430" s="2" t="str">
        <x:v>property_type_inferred_from_title;transaction_assumed_sale_from_dataset_context;unknown_property_type</x:v>
      </x:c>
      <x:c r="M3430" s="10" t="n">
        <x:v>0</x:v>
      </x:c>
      <x:c r="N3430" s="10" t="n">
        <x:v>0</x:v>
      </x:c>
      <x:c r="O3430" s="2" t="str">
        <x:v>Hà Nội|other_unknown</x:v>
      </x:c>
      <x:c r="P3430" s="10" t="n">
        <x:v>2</x:v>
      </x:c>
      <x:c r="Q3430" s="13" t="n">
        <x:f>IF(H3430="","",H3430/1000000000)</x:f>
        <x:v>2.8</x:v>
      </x:c>
      <x:c r="R3430" s="13" t="n">
        <x:f>IF(I3430="","",I3430/1000000)</x:f>
        <x:v>73.6842105263158</x:v>
      </x:c>
    </x:row>
    <x:row r="3431" ht="21" customHeight="1">
      <x:c r="A3431" s="10" t="n">
        <x:v>4729</x:v>
      </x:c>
      <x:c r="B3431" s="2" t="str">
        <x:v>af4177c15a93f9dcd2f9</x:v>
      </x:c>
      <x:c r="C3431" s="2" t="str">
        <x:v>Đà Nẵng</x:v>
      </x:c>
      <x:c r="D3431" s="2" t="str">
        <x:v>Quận Thanh Khê</x:v>
      </x:c>
      <x:c r="E3431" s="2" t="str">
        <x:v>house</x:v>
      </x:c>
      <x:c r="F3431" s="2" t="str">
        <x:v>sale_assumed</x:v>
      </x:c>
      <x:c r="G3431" s="11" t="n">
        <x:v>40</x:v>
      </x:c>
      <x:c r="H3431" s="12" t="n">
        <x:v>2250000000</x:v>
      </x:c>
      <x:c r="I3431" s="12" t="n">
        <x:v>56250000</x:v>
      </x:c>
      <x:c r="J3431" s="2" t="str">
        <x:v>total</x:v>
      </x:c>
      <x:c r="K3431" s="2" t="str">
        <x:v>top_level_area</x:v>
      </x:c>
      <x:c r="L3431" s="2" t="str">
        <x:v>property_type_inferred_from_title;transaction_assumed_sale_from_dataset_context</x:v>
      </x:c>
      <x:c r="M3431" s="10" t="n">
        <x:v>0</x:v>
      </x:c>
      <x:c r="N3431" s="10" t="n">
        <x:v>0</x:v>
      </x:c>
      <x:c r="O3431" s="2" t="str">
        <x:v>Đà Nẵng|house</x:v>
      </x:c>
      <x:c r="P3431" s="10" t="n">
        <x:v>2</x:v>
      </x:c>
      <x:c r="Q3431" s="13" t="n">
        <x:f>IF(H3431="","",H3431/1000000000)</x:f>
        <x:v>2.25</x:v>
      </x:c>
      <x:c r="R3431" s="13" t="n">
        <x:f>IF(I3431="","",I3431/1000000)</x:f>
        <x:v>56.25</x:v>
      </x:c>
    </x:row>
    <x:row r="3432" ht="21" customHeight="1">
      <x:c r="A3432" s="10" t="n">
        <x:v>4731</x:v>
      </x:c>
      <x:c r="B3432" s="2" t="str">
        <x:v>a57d3809002c60aafea6</x:v>
      </x:c>
      <x:c r="C3432" s="2" t="str">
        <x:v>Tp Hồ Chí Minh</x:v>
      </x:c>
      <x:c r="D3432" s="2" t="str">
        <x:v>Quận Gò Vấp</x:v>
      </x:c>
      <x:c r="E3432" s="2" t="str">
        <x:v>house</x:v>
      </x:c>
      <x:c r="F3432" s="2" t="str">
        <x:v>sale_assumed</x:v>
      </x:c>
      <x:c r="G3432" s="11" t="n">
        <x:v>67</x:v>
      </x:c>
      <x:c r="H3432" s="12" t="n">
        <x:v>9000000000</x:v>
      </x:c>
      <x:c r="I3432" s="12" t="n">
        <x:v>134328358.20895523</x:v>
      </x:c>
      <x:c r="J3432" s="2" t="str">
        <x:v>total</x:v>
      </x:c>
      <x:c r="K3432" s="2" t="str">
        <x:v>top_level_area</x:v>
      </x:c>
      <x:c r="L3432" s="2" t="str">
        <x:v>property_type_inferred_from_title;transaction_assumed_sale_from_dataset_context</x:v>
      </x:c>
      <x:c r="M3432" s="10" t="n">
        <x:v>0</x:v>
      </x:c>
      <x:c r="N3432" s="10" t="n">
        <x:v>0</x:v>
      </x:c>
      <x:c r="O3432" s="2" t="str">
        <x:v>Tp Hồ Chí Minh|house</x:v>
      </x:c>
      <x:c r="P3432" s="10" t="n">
        <x:v>2</x:v>
      </x:c>
      <x:c r="Q3432" s="13" t="n">
        <x:f>IF(H3432="","",H3432/1000000000)</x:f>
        <x:v>9</x:v>
      </x:c>
      <x:c r="R3432" s="13" t="n">
        <x:f>IF(I3432="","",I3432/1000000)</x:f>
        <x:v>134.32835820895522</x:v>
      </x:c>
    </x:row>
    <x:row r="3433" ht="21" customHeight="1">
      <x:c r="A3433" s="10" t="n">
        <x:v>4732</x:v>
      </x:c>
      <x:c r="B3433" s="2" t="str">
        <x:v>e941af8416055ee61145</x:v>
      </x:c>
      <x:c r="C3433" s="2" t="str">
        <x:v>Hà Nội</x:v>
      </x:c>
      <x:c r="D3433" s="2" t="str">
        <x:v>Quận Thanh Xuân</x:v>
      </x:c>
      <x:c r="E3433" s="2" t="str">
        <x:v>other_unknown</x:v>
      </x:c>
      <x:c r="F3433" s="2" t="str">
        <x:v>sale_assumed</x:v>
      </x:c>
      <x:c r="G3433" s="11" t="n">
        <x:v>40</x:v>
      </x:c>
      <x:c r="H3433" s="12" t="n">
        <x:v>3500000000</x:v>
      </x:c>
      <x:c r="I3433" s="12" t="n">
        <x:v>87500000</x:v>
      </x:c>
      <x:c r="J3433" s="2" t="str">
        <x:v>total</x:v>
      </x:c>
      <x:c r="K3433" s="2" t="str">
        <x:v>top_level_area</x:v>
      </x:c>
      <x:c r="L3433" s="2" t="str">
        <x:v>property_type_inferred_from_title;transaction_assumed_sale_from_dataset_context;unknown_property_type</x:v>
      </x:c>
      <x:c r="M3433" s="10" t="n">
        <x:v>0</x:v>
      </x:c>
      <x:c r="N3433" s="10" t="n">
        <x:v>0</x:v>
      </x:c>
      <x:c r="O3433" s="2" t="str">
        <x:v>Hà Nội|other_unknown</x:v>
      </x:c>
      <x:c r="P3433" s="10" t="n">
        <x:v>2</x:v>
      </x:c>
      <x:c r="Q3433" s="13" t="n">
        <x:f>IF(H3433="","",H3433/1000000000)</x:f>
        <x:v>3.5</x:v>
      </x:c>
      <x:c r="R3433" s="13" t="n">
        <x:f>IF(I3433="","",I3433/1000000)</x:f>
        <x:v>87.5</x:v>
      </x:c>
    </x:row>
    <x:row r="3434" ht="21" customHeight="1">
      <x:c r="A3434" s="10" t="n">
        <x:v>4733</x:v>
      </x:c>
      <x:c r="B3434" s="2" t="str">
        <x:v>4854b7b97135fb81b2fc</x:v>
      </x:c>
      <x:c r="C3434" s="2" t="str">
        <x:v>Tp Hồ Chí Minh</x:v>
      </x:c>
      <x:c r="D3434" s="2" t="str">
        <x:v>Quận 2</x:v>
      </x:c>
      <x:c r="E3434" s="2" t="str">
        <x:v>land</x:v>
      </x:c>
      <x:c r="F3434" s="2" t="str">
        <x:v>sale_assumed</x:v>
      </x:c>
      <x:c r="G3434" s="11" t="n">
        <x:v>400</x:v>
      </x:c>
      <x:c r="H3434" s="12" t="n">
        <x:v>48000000000</x:v>
      </x:c>
      <x:c r="I3434" s="12" t="n">
        <x:v>120000000</x:v>
      </x:c>
      <x:c r="J3434" s="2" t="str">
        <x:v>total</x:v>
      </x:c>
      <x:c r="K3434" s="2" t="str">
        <x:v>top_level_price_embedded_area</x:v>
      </x:c>
      <x:c r="L3434" s="2" t="str">
        <x:v>area_recovered_from_price_text;property_type_inferred_from_title;transaction_assumed_sale_from_dataset_context</x:v>
      </x:c>
      <x:c r="M3434" s="10" t="n">
        <x:v>0</x:v>
      </x:c>
      <x:c r="N3434" s="10" t="n">
        <x:v>1</x:v>
      </x:c>
      <x:c r="O3434" s="2" t="str">
        <x:v>Tp Hồ Chí Minh|land</x:v>
      </x:c>
      <x:c r="P3434" s="10" t="n">
        <x:v>-1</x:v>
      </x:c>
      <x:c r="Q3434" s="13" t="n">
        <x:f>IF(H3434="","",H3434/1000000000)</x:f>
        <x:v>48</x:v>
      </x:c>
      <x:c r="R3434" s="13" t="n">
        <x:f>IF(I3434="","",I3434/1000000)</x:f>
        <x:v>120</x:v>
      </x:c>
    </x:row>
    <x:row r="3435" ht="21" customHeight="1">
      <x:c r="A3435" s="10" t="n">
        <x:v>4734</x:v>
      </x:c>
      <x:c r="B3435" s="2" t="str">
        <x:v>a7ae5457a4aa6d59fd46</x:v>
      </x:c>
      <x:c r="C3435" s="2" t="str">
        <x:v>Tp Hồ Chí Minh</x:v>
      </x:c>
      <x:c r="D3435" s="2" t="str">
        <x:v>Quận Bình Tân</x:v>
      </x:c>
      <x:c r="E3435" s="2" t="str">
        <x:v>house</x:v>
      </x:c>
      <x:c r="F3435" s="2" t="str">
        <x:v>sale</x:v>
      </x:c>
      <x:c r="G3435" s="11" t="n">
        <x:v>128</x:v>
      </x:c>
      <x:c r="H3435" s="12" t="n">
        <x:v>8800000000</x:v>
      </x:c>
      <x:c r="I3435" s="12" t="n">
        <x:v>68750000</x:v>
      </x:c>
      <x:c r="J3435" s="2" t="str">
        <x:v>total</x:v>
      </x:c>
      <x:c r="K3435" s="2" t="str">
        <x:v>top_level_area</x:v>
      </x:c>
      <x:c r="L3435" s="2" t="str">
        <x:v>property_type_inferred_from_title</x:v>
      </x:c>
      <x:c r="M3435" s="10" t="n">
        <x:v>0</x:v>
      </x:c>
      <x:c r="N3435" s="10" t="n">
        <x:v>0</x:v>
      </x:c>
      <x:c r="O3435" s="2" t="str">
        <x:v>Tp Hồ Chí Minh|house</x:v>
      </x:c>
      <x:c r="P3435" s="10" t="n">
        <x:v>2</x:v>
      </x:c>
      <x:c r="Q3435" s="13" t="n">
        <x:f>IF(H3435="","",H3435/1000000000)</x:f>
        <x:v>8.8</x:v>
      </x:c>
      <x:c r="R3435" s="13" t="n">
        <x:f>IF(I3435="","",I3435/1000000)</x:f>
        <x:v>68.75</x:v>
      </x:c>
    </x:row>
    <x:row r="3436" ht="21" customHeight="1">
      <x:c r="A3436" s="10" t="n">
        <x:v>4735</x:v>
      </x:c>
      <x:c r="B3436" s="2" t="str">
        <x:v>b21f05f85a81dc95e752</x:v>
      </x:c>
      <x:c r="C3436" s="2" t="str">
        <x:v>Tp Hồ Chí Minh</x:v>
      </x:c>
      <x:c r="D3436" s="2" t="str">
        <x:v>Quận 7</x:v>
      </x:c>
      <x:c r="E3436" s="2" t="str">
        <x:v>house</x:v>
      </x:c>
      <x:c r="F3436" s="2" t="str">
        <x:v>sale</x:v>
      </x:c>
      <x:c r="G3436" s="11" t="n">
        <x:v>50</x:v>
      </x:c>
      <x:c r="H3436" s="12" t="n">
        <x:v>1200000000</x:v>
      </x:c>
      <x:c r="I3436" s="12" t="n">
        <x:v>24000000</x:v>
      </x:c>
      <x:c r="J3436" s="2" t="str">
        <x:v>total</x:v>
      </x:c>
      <x:c r="K3436" s="2" t="str">
        <x:v>top_level_area</x:v>
      </x:c>
      <x:c r="L3436" s="2" t="str">
        <x:v>property_type_inferred_from_title</x:v>
      </x:c>
      <x:c r="M3436" s="10" t="n">
        <x:v>0</x:v>
      </x:c>
      <x:c r="N3436" s="10" t="n">
        <x:v>0</x:v>
      </x:c>
      <x:c r="O3436" s="2" t="str">
        <x:v>Tp Hồ Chí Minh|house</x:v>
      </x:c>
      <x:c r="P3436" s="10" t="n">
        <x:v>2</x:v>
      </x:c>
      <x:c r="Q3436" s="13" t="n">
        <x:f>IF(H3436="","",H3436/1000000000)</x:f>
        <x:v>1.2</x:v>
      </x:c>
      <x:c r="R3436" s="13" t="n">
        <x:f>IF(I3436="","",I3436/1000000)</x:f>
        <x:v>24</x:v>
      </x:c>
    </x:row>
    <x:row r="3437" ht="21" customHeight="1">
      <x:c r="A3437" s="10" t="n">
        <x:v>4736</x:v>
      </x:c>
      <x:c r="B3437" s="2" t="str">
        <x:v>9d51a4a336812b56fb3a</x:v>
      </x:c>
      <x:c r="C3437" s="2" t="str">
        <x:v>Cần Thơ</x:v>
      </x:c>
      <x:c r="D3437" s="2" t="str">
        <x:v>Quận Cái Răng</x:v>
      </x:c>
      <x:c r="E3437" s="2" t="str">
        <x:v>house</x:v>
      </x:c>
      <x:c r="F3437" s="2" t="str">
        <x:v>sale_assumed</x:v>
      </x:c>
      <x:c r="G3437" s="11" t="n">
        <x:v>80</x:v>
      </x:c>
      <x:c r="H3437" s="12" t="n">
        <x:v>3580000000</x:v>
      </x:c>
      <x:c r="I3437" s="12" t="n">
        <x:v>44750000</x:v>
      </x:c>
      <x:c r="J3437" s="2" t="str">
        <x:v>total</x:v>
      </x:c>
      <x:c r="K3437" s="2" t="str">
        <x:v>top_level_area</x:v>
      </x:c>
      <x:c r="L3437" s="2" t="str">
        <x:v>property_type_inferred_from_title;transaction_assumed_sale_from_dataset_context</x:v>
      </x:c>
      <x:c r="M3437" s="10" t="n">
        <x:v>0</x:v>
      </x:c>
      <x:c r="N3437" s="10" t="n">
        <x:v>0</x:v>
      </x:c>
      <x:c r="O3437" s="2" t="str">
        <x:v>Cần Thơ|house</x:v>
      </x:c>
      <x:c r="P3437" s="10" t="n">
        <x:v>2</x:v>
      </x:c>
      <x:c r="Q3437" s="13" t="n">
        <x:f>IF(H3437="","",H3437/1000000000)</x:f>
        <x:v>3.58</x:v>
      </x:c>
      <x:c r="R3437" s="13" t="n">
        <x:f>IF(I3437="","",I3437/1000000)</x:f>
        <x:v>44.75</x:v>
      </x:c>
    </x:row>
    <x:row r="3438" ht="21" customHeight="1">
      <x:c r="A3438" s="10" t="n">
        <x:v>4737</x:v>
      </x:c>
      <x:c r="B3438" s="2" t="str">
        <x:v>7761ac19fdb17e6140ad</x:v>
      </x:c>
      <x:c r="C3438" s="2" t="str">
        <x:v>Hà Nội</x:v>
      </x:c>
      <x:c r="D3438" s="2" t="str">
        <x:v>Quận Long Biên</x:v>
      </x:c>
      <x:c r="E3438" s="2" t="str">
        <x:v>other_unknown</x:v>
      </x:c>
      <x:c r="F3438" s="2" t="str">
        <x:v>sale_assumed</x:v>
      </x:c>
      <x:c r="G3438" s="11" t="n">
        <x:v>55</x:v>
      </x:c>
      <x:c r="H3438" s="12" t="n">
        <x:v>6450000000</x:v>
      </x:c>
      <x:c r="I3438" s="12" t="n">
        <x:v>117272727.27272727</x:v>
      </x:c>
      <x:c r="J3438" s="2" t="str">
        <x:v>total</x:v>
      </x:c>
      <x:c r="K3438" s="2" t="str">
        <x:v>top_level_area</x:v>
      </x:c>
      <x:c r="L3438" s="2" t="str">
        <x:v>property_type_inferred_from_title;transaction_assumed_sale_from_dataset_context;unknown_property_type</x:v>
      </x:c>
      <x:c r="M3438" s="10" t="n">
        <x:v>0</x:v>
      </x:c>
      <x:c r="N3438" s="10" t="n">
        <x:v>0</x:v>
      </x:c>
      <x:c r="O3438" s="2" t="str">
        <x:v>Hà Nội|other_unknown</x:v>
      </x:c>
      <x:c r="P3438" s="10" t="n">
        <x:v>2</x:v>
      </x:c>
      <x:c r="Q3438" s="13" t="n">
        <x:f>IF(H3438="","",H3438/1000000000)</x:f>
        <x:v>6.45</x:v>
      </x:c>
      <x:c r="R3438" s="13" t="n">
        <x:f>IF(I3438="","",I3438/1000000)</x:f>
        <x:v>117.27272727272727</x:v>
      </x:c>
    </x:row>
    <x:row r="3439" ht="21" customHeight="1">
      <x:c r="A3439" s="10" t="n">
        <x:v>4738</x:v>
      </x:c>
      <x:c r="B3439" s="2" t="str">
        <x:v>395fc5873e515e927324</x:v>
      </x:c>
      <x:c r="C3439" s="2" t="str">
        <x:v>Cần Thơ</x:v>
      </x:c>
      <x:c r="D3439" s="2" t="str">
        <x:v>Quận Ninh Kiều</x:v>
      </x:c>
      <x:c r="E3439" s="2" t="str">
        <x:v>house</x:v>
      </x:c>
      <x:c r="F3439" s="2" t="str">
        <x:v>sale_assumed</x:v>
      </x:c>
      <x:c r="G3439" s="11" t="n">
        <x:v>608</x:v>
      </x:c>
      <x:c r="H3439" s="12" t="n">
        <x:v>53000000000</x:v>
      </x:c>
      <x:c r="I3439" s="12" t="n">
        <x:v>87171052.63157895</x:v>
      </x:c>
      <x:c r="J3439" s="2" t="str">
        <x:v>total</x:v>
      </x:c>
      <x:c r="K3439" s="2" t="str">
        <x:v>top_level_area</x:v>
      </x:c>
      <x:c r="L3439" s="2" t="str">
        <x:v>property_type_inferred_from_title;transaction_assumed_sale_from_dataset_context</x:v>
      </x:c>
      <x:c r="M3439" s="10" t="n">
        <x:v>0</x:v>
      </x:c>
      <x:c r="N3439" s="10" t="n">
        <x:v>0</x:v>
      </x:c>
      <x:c r="O3439" s="2" t="str">
        <x:v>Cần Thơ|house</x:v>
      </x:c>
      <x:c r="P3439" s="10" t="n">
        <x:v>2</x:v>
      </x:c>
      <x:c r="Q3439" s="13" t="n">
        <x:f>IF(H3439="","",H3439/1000000000)</x:f>
        <x:v>53</x:v>
      </x:c>
      <x:c r="R3439" s="13" t="n">
        <x:f>IF(I3439="","",I3439/1000000)</x:f>
        <x:v>87.17105263157895</x:v>
      </x:c>
    </x:row>
    <x:row r="3440" ht="21" customHeight="1">
      <x:c r="A3440" s="10" t="n">
        <x:v>4739</x:v>
      </x:c>
      <x:c r="B3440" s="2" t="str">
        <x:v>434c6bdb836744f056f6</x:v>
      </x:c>
      <x:c r="C3440" s="2" t="str">
        <x:v>Tp Hồ Chí Minh</x:v>
      </x:c>
      <x:c r="D3440" s="2" t="str">
        <x:v>Quận Bình Tân</x:v>
      </x:c>
      <x:c r="E3440" s="2" t="str">
        <x:v>house</x:v>
      </x:c>
      <x:c r="F3440" s="2" t="str">
        <x:v>sale</x:v>
      </x:c>
      <x:c r="G3440" s="11" t="n">
        <x:v>54</x:v>
      </x:c>
      <x:c r="H3440" s="12" t="n">
        <x:v>945000000</x:v>
      </x:c>
      <x:c r="I3440" s="12" t="n">
        <x:v>17500000</x:v>
      </x:c>
      <x:c r="J3440" s="2" t="str">
        <x:v>total</x:v>
      </x:c>
      <x:c r="K3440" s="2" t="str">
        <x:v>top_level_area</x:v>
      </x:c>
      <x:c r="L3440" s="2" t="str">
        <x:v>property_type_inferred_from_title</x:v>
      </x:c>
      <x:c r="M3440" s="10" t="n">
        <x:v>0</x:v>
      </x:c>
      <x:c r="N3440" s="10" t="n">
        <x:v>0</x:v>
      </x:c>
      <x:c r="O3440" s="2" t="str">
        <x:v>Tp Hồ Chí Minh|house</x:v>
      </x:c>
      <x:c r="P3440" s="10" t="n">
        <x:v>2</x:v>
      </x:c>
      <x:c r="Q3440" s="13" t="n">
        <x:f>IF(H3440="","",H3440/1000000000)</x:f>
        <x:v>0.945</x:v>
      </x:c>
      <x:c r="R3440" s="13" t="n">
        <x:f>IF(I3440="","",I3440/1000000)</x:f>
        <x:v>17.5</x:v>
      </x:c>
    </x:row>
    <x:row r="3441" ht="21" customHeight="1">
      <x:c r="A3441" s="10" t="n">
        <x:v>4740</x:v>
      </x:c>
      <x:c r="B3441" s="2" t="str">
        <x:v>719b1f993bfacb3719ab</x:v>
      </x:c>
      <x:c r="C3441" s="2" t="str">
        <x:v>Tp Hồ Chí Minh</x:v>
      </x:c>
      <x:c r="D3441" s="2" t="str">
        <x:v>Huyện Nhà Bè</x:v>
      </x:c>
      <x:c r="E3441" s="2" t="str">
        <x:v>house</x:v>
      </x:c>
      <x:c r="F3441" s="2" t="str">
        <x:v>sale</x:v>
      </x:c>
      <x:c r="G3441" s="11" t="n">
        <x:v>52</x:v>
      </x:c>
      <x:c r="H3441" s="12" t="n">
        <x:v>3600000000</x:v>
      </x:c>
      <x:c r="I3441" s="12" t="n">
        <x:v>69230769.23076923</x:v>
      </x:c>
      <x:c r="J3441" s="2" t="str">
        <x:v>total</x:v>
      </x:c>
      <x:c r="K3441" s="2" t="str">
        <x:v>top_level_area</x:v>
      </x:c>
      <x:c r="L3441" s="2" t="str">
        <x:v>property_type_inferred_from_title</x:v>
      </x:c>
      <x:c r="M3441" s="10" t="n">
        <x:v>0</x:v>
      </x:c>
      <x:c r="N3441" s="10" t="n">
        <x:v>0</x:v>
      </x:c>
      <x:c r="O3441" s="2" t="str">
        <x:v>Tp Hồ Chí Minh|house</x:v>
      </x:c>
      <x:c r="P3441" s="10" t="n">
        <x:v>2</x:v>
      </x:c>
      <x:c r="Q3441" s="13" t="n">
        <x:f>IF(H3441="","",H3441/1000000000)</x:f>
        <x:v>3.6</x:v>
      </x:c>
      <x:c r="R3441" s="13" t="n">
        <x:f>IF(I3441="","",I3441/1000000)</x:f>
        <x:v>69.23076923076923</x:v>
      </x:c>
    </x:row>
    <x:row r="3442" ht="21" customHeight="1">
      <x:c r="A3442" s="10" t="n">
        <x:v>4743</x:v>
      </x:c>
      <x:c r="B3442" s="2" t="str">
        <x:v>c9216e86480d8ea9ff30</x:v>
      </x:c>
      <x:c r="C3442" s="2" t="str">
        <x:v>Hưng Yên</x:v>
      </x:c>
      <x:c r="D3442" s="2" t="str">
        <x:v>Thành phố Hưng Yên</x:v>
      </x:c>
      <x:c r="E3442" s="2" t="str">
        <x:v>land</x:v>
      </x:c>
      <x:c r="F3442" s="2" t="str">
        <x:v>sale_assumed</x:v>
      </x:c>
      <x:c r="G3442" s="11" t="n">
        <x:v>193</x:v>
      </x:c>
      <x:c r="H3442" s="12" t="n">
        <x:v>4200000000</x:v>
      </x:c>
      <x:c r="I3442" s="12" t="n">
        <x:v>21761658.031088084</x:v>
      </x:c>
      <x:c r="J3442" s="2" t="str">
        <x:v>total</x:v>
      </x:c>
      <x:c r="K3442" s="2" t="str">
        <x:v>top_level_area</x:v>
      </x:c>
      <x:c r="L3442" s="2" t="str">
        <x:v>property_type_inferred_from_title;transaction_assumed_sale_from_dataset_context</x:v>
      </x:c>
      <x:c r="M3442" s="10" t="n">
        <x:v>0</x:v>
      </x:c>
      <x:c r="N3442" s="10" t="n">
        <x:v>0</x:v>
      </x:c>
      <x:c r="O3442" s="2" t="str">
        <x:v>land</x:v>
      </x:c>
      <x:c r="P3442" s="10" t="n">
        <x:v>2</x:v>
      </x:c>
      <x:c r="Q3442" s="13" t="n">
        <x:f>IF(H3442="","",H3442/1000000000)</x:f>
        <x:v>4.2</x:v>
      </x:c>
      <x:c r="R3442" s="13" t="n">
        <x:f>IF(I3442="","",I3442/1000000)</x:f>
        <x:v>21.761658031088086</x:v>
      </x:c>
    </x:row>
    <x:row r="3443" ht="21" customHeight="1">
      <x:c r="A3443" s="10" t="n">
        <x:v>4744</x:v>
      </x:c>
      <x:c r="B3443" s="2" t="str">
        <x:v>7b05eb73707d52feb8fc</x:v>
      </x:c>
      <x:c r="C3443" s="2" t="str">
        <x:v>Bến Tre</x:v>
      </x:c>
      <x:c r="D3443" s="2" t="str">
        <x:v>Thành phố Bến Tre</x:v>
      </x:c>
      <x:c r="E3443" s="2" t="str">
        <x:v>land</x:v>
      </x:c>
      <x:c r="F3443" s="2" t="str">
        <x:v>sale_assumed</x:v>
      </x:c>
      <x:c r="G3443" s="11" t="n">
        <x:v>102</x:v>
      </x:c>
      <x:c r="H3443" s="12" t="n">
        <x:v>580000000</x:v>
      </x:c>
      <x:c r="I3443" s="12" t="n">
        <x:v>5686274.509803922</x:v>
      </x:c>
      <x:c r="J3443" s="2" t="str">
        <x:v>total</x:v>
      </x:c>
      <x:c r="K3443" s="2" t="str">
        <x:v>top_level_area</x:v>
      </x:c>
      <x:c r="L3443" s="2" t="str">
        <x:v>property_type_inferred_from_title;transaction_assumed_sale_from_dataset_context</x:v>
      </x:c>
      <x:c r="M3443" s="10" t="n">
        <x:v>0</x:v>
      </x:c>
      <x:c r="N3443" s="10" t="n">
        <x:v>0</x:v>
      </x:c>
      <x:c r="O3443" s="2" t="str">
        <x:v>Bến Tre|land</x:v>
      </x:c>
      <x:c r="P3443" s="10" t="n">
        <x:v>2</x:v>
      </x:c>
      <x:c r="Q3443" s="13" t="n">
        <x:f>IF(H3443="","",H3443/1000000000)</x:f>
        <x:v>0.58</x:v>
      </x:c>
      <x:c r="R3443" s="13" t="n">
        <x:f>IF(I3443="","",I3443/1000000)</x:f>
        <x:v>5.686274509803922</x:v>
      </x:c>
    </x:row>
    <x:row r="3444" ht="21" customHeight="1">
      <x:c r="A3444" s="10" t="n">
        <x:v>4745</x:v>
      </x:c>
      <x:c r="B3444" s="2" t="str">
        <x:v>8b9575d19b62dbbe76d6</x:v>
      </x:c>
      <x:c r="C3444" s="2" t="str">
        <x:v>Tp Hồ Chí Minh</x:v>
      </x:c>
      <x:c r="D3444" s="2" t="str">
        <x:v>Huyện Bình Chánh</x:v>
      </x:c>
      <x:c r="E3444" s="2" t="str">
        <x:v>house</x:v>
      </x:c>
      <x:c r="F3444" s="2" t="str">
        <x:v>sale_assumed</x:v>
      </x:c>
      <x:c r="G3444" s="11" t="n">
        <x:v>69</x:v>
      </x:c>
      <x:c r="H3444" s="12" t="n">
        <x:v>1750000000</x:v>
      </x:c>
      <x:c r="I3444" s="12" t="n">
        <x:v>25362318.84057971</x:v>
      </x:c>
      <x:c r="J3444" s="2" t="str">
        <x:v>total</x:v>
      </x:c>
      <x:c r="K3444" s="2" t="str">
        <x:v>top_level_area</x:v>
      </x:c>
      <x:c r="L3444" s="2" t="str">
        <x:v>property_type_inferred_from_title;transaction_assumed_sale_from_dataset_context</x:v>
      </x:c>
      <x:c r="M3444" s="10" t="n">
        <x:v>0</x:v>
      </x:c>
      <x:c r="N3444" s="10" t="n">
        <x:v>0</x:v>
      </x:c>
      <x:c r="O3444" s="2" t="str">
        <x:v>Tp Hồ Chí Minh|house</x:v>
      </x:c>
      <x:c r="P3444" s="10" t="n">
        <x:v>2</x:v>
      </x:c>
      <x:c r="Q3444" s="13" t="n">
        <x:f>IF(H3444="","",H3444/1000000000)</x:f>
        <x:v>1.75</x:v>
      </x:c>
      <x:c r="R3444" s="13" t="n">
        <x:f>IF(I3444="","",I3444/1000000)</x:f>
        <x:v>25.36231884057971</x:v>
      </x:c>
    </x:row>
    <x:row r="3445" ht="21" customHeight="1">
      <x:c r="A3445" s="10" t="n">
        <x:v>4746</x:v>
      </x:c>
      <x:c r="B3445" s="2" t="str">
        <x:v>1385796db706764768a0</x:v>
      </x:c>
      <x:c r="C3445" s="2" t="str">
        <x:v>Hà Nội</x:v>
      </x:c>
      <x:c r="D3445" s="2" t="str">
        <x:v>Quận Ba Đình</x:v>
      </x:c>
      <x:c r="E3445" s="2" t="str">
        <x:v>other_unknown</x:v>
      </x:c>
      <x:c r="F3445" s="2" t="str">
        <x:v>sale_assumed</x:v>
      </x:c>
      <x:c r="G3445" s="11" t="n">
        <x:v>51</x:v>
      </x:c>
      <x:c r="H3445" s="12" t="n">
        <x:v>3850000000</x:v>
      </x:c>
      <x:c r="I3445" s="12" t="n">
        <x:v>75490196.07843137</x:v>
      </x:c>
      <x:c r="J3445" s="2" t="str">
        <x:v>total</x:v>
      </x:c>
      <x:c r="K3445" s="2" t="str">
        <x:v>top_level_area</x:v>
      </x:c>
      <x:c r="L3445" s="2" t="str">
        <x:v>property_type_inferred_from_title;transaction_assumed_sale_from_dataset_context;unknown_property_type</x:v>
      </x:c>
      <x:c r="M3445" s="10" t="n">
        <x:v>0</x:v>
      </x:c>
      <x:c r="N3445" s="10" t="n">
        <x:v>0</x:v>
      </x:c>
      <x:c r="O3445" s="2" t="str">
        <x:v>Hà Nội|other_unknown</x:v>
      </x:c>
      <x:c r="P3445" s="10" t="n">
        <x:v>2</x:v>
      </x:c>
      <x:c r="Q3445" s="13" t="n">
        <x:f>IF(H3445="","",H3445/1000000000)</x:f>
        <x:v>3.85</x:v>
      </x:c>
      <x:c r="R3445" s="13" t="n">
        <x:f>IF(I3445="","",I3445/1000000)</x:f>
        <x:v>75.49019607843137</x:v>
      </x:c>
    </x:row>
    <x:row r="3446" ht="21" customHeight="1">
      <x:c r="A3446" s="10" t="n">
        <x:v>4747</x:v>
      </x:c>
      <x:c r="B3446" s="2" t="str">
        <x:v>9cd74b76a0738b6f6dee</x:v>
      </x:c>
      <x:c r="C3446" s="2" t="str">
        <x:v>Hải Phòng</x:v>
      </x:c>
      <x:c r="D3446" s="2" t="str">
        <x:v>Huyện An Dương</x:v>
      </x:c>
      <x:c r="E3446" s="2" t="str">
        <x:v>land</x:v>
      </x:c>
      <x:c r="F3446" s="2" t="str">
        <x:v>sale_assumed</x:v>
      </x:c>
      <x:c r="G3446" s="11" t="n">
        <x:v>90</x:v>
      </x:c>
      <x:c r="H3446" s="12" t="n">
        <x:v>3400000000</x:v>
      </x:c>
      <x:c r="I3446" s="12" t="n">
        <x:v>37777777.777777776</x:v>
      </x:c>
      <x:c r="J3446" s="2" t="str">
        <x:v>total</x:v>
      </x:c>
      <x:c r="K3446" s="2" t="str">
        <x:v>top_level_area</x:v>
      </x:c>
      <x:c r="L3446" s="2" t="str">
        <x:v>property_type_inferred_from_title;transaction_assumed_sale_from_dataset_context</x:v>
      </x:c>
      <x:c r="M3446" s="10" t="n">
        <x:v>0</x:v>
      </x:c>
      <x:c r="N3446" s="10" t="n">
        <x:v>0</x:v>
      </x:c>
      <x:c r="O3446" s="2" t="str">
        <x:v>land</x:v>
      </x:c>
      <x:c r="P3446" s="10" t="n">
        <x:v>2</x:v>
      </x:c>
      <x:c r="Q3446" s="13" t="n">
        <x:f>IF(H3446="","",H3446/1000000000)</x:f>
        <x:v>3.4</x:v>
      </x:c>
      <x:c r="R3446" s="13" t="n">
        <x:f>IF(I3446="","",I3446/1000000)</x:f>
        <x:v>37.77777777777778</x:v>
      </x:c>
    </x:row>
    <x:row r="3447" ht="21" customHeight="1">
      <x:c r="A3447" s="10" t="n">
        <x:v>4748</x:v>
      </x:c>
      <x:c r="B3447" s="2" t="str">
        <x:v>4e147eb56aa699538a3f</x:v>
      </x:c>
      <x:c r="C3447" s="2" t="str">
        <x:v>Tp Hồ Chí Minh</x:v>
      </x:c>
      <x:c r="D3447" s="2" t="str">
        <x:v>Quận Tân Bình</x:v>
      </x:c>
      <x:c r="E3447" s="2" t="str">
        <x:v>apartment</x:v>
      </x:c>
      <x:c r="F3447" s="2" t="str">
        <x:v>sale_assumed</x:v>
      </x:c>
      <x:c r="G3447" s="11" t="n">
        <x:v>33</x:v>
      </x:c>
      <x:c r="H3447" s="12" t="n">
        <x:v>861000000</x:v>
      </x:c>
      <x:c r="I3447" s="12" t="n">
        <x:v>26090909.09090909</x:v>
      </x:c>
      <x:c r="J3447" s="2" t="str">
        <x:v>total</x:v>
      </x:c>
      <x:c r="K3447" s="2" t="str">
        <x:v>top_level_area</x:v>
      </x:c>
      <x:c r="L3447" s="2" t="str">
        <x:v>property_type_inferred_from_title;transaction_assumed_sale_from_dataset_context</x:v>
      </x:c>
      <x:c r="M3447" s="10" t="n">
        <x:v>0</x:v>
      </x:c>
      <x:c r="N3447" s="10" t="n">
        <x:v>0</x:v>
      </x:c>
      <x:c r="O3447" s="2" t="str">
        <x:v>Tp Hồ Chí Minh|apartment</x:v>
      </x:c>
      <x:c r="P3447" s="10" t="n">
        <x:v>2</x:v>
      </x:c>
      <x:c r="Q3447" s="13" t="n">
        <x:f>IF(H3447="","",H3447/1000000000)</x:f>
        <x:v>0.861</x:v>
      </x:c>
      <x:c r="R3447" s="13" t="n">
        <x:f>IF(I3447="","",I3447/1000000)</x:f>
        <x:v>26.09090909090909</x:v>
      </x:c>
    </x:row>
    <x:row r="3448" ht="21" customHeight="1">
      <x:c r="A3448" s="10" t="n">
        <x:v>4749</x:v>
      </x:c>
      <x:c r="B3448" s="2" t="str">
        <x:v>c842344df2242f6b4f1d</x:v>
      </x:c>
      <x:c r="C3448" s="2" t="str">
        <x:v>Hà Nội</x:v>
      </x:c>
      <x:c r="D3448" s="2" t="str">
        <x:v>Quận Đống Đa</x:v>
      </x:c>
      <x:c r="E3448" s="2" t="str">
        <x:v>house</x:v>
      </x:c>
      <x:c r="F3448" s="2" t="str">
        <x:v>sale</x:v>
      </x:c>
      <x:c r="G3448" s="11" t="n">
        <x:v>68</x:v>
      </x:c>
      <x:c r="H3448" s="12" t="n">
        <x:v>5000000000</x:v>
      </x:c>
      <x:c r="I3448" s="12" t="n">
        <x:v>73529411.76470588</x:v>
      </x:c>
      <x:c r="J3448" s="2" t="str">
        <x:v>total</x:v>
      </x:c>
      <x:c r="K3448" s="2" t="str">
        <x:v>top_level_area</x:v>
      </x:c>
      <x:c r="L3448" s="2" t="str">
        <x:v>property_type_inferred_from_title</x:v>
      </x:c>
      <x:c r="M3448" s="10" t="n">
        <x:v>0</x:v>
      </x:c>
      <x:c r="N3448" s="10" t="n">
        <x:v>0</x:v>
      </x:c>
      <x:c r="O3448" s="2" t="str">
        <x:v>Hà Nội|house</x:v>
      </x:c>
      <x:c r="P3448" s="10" t="n">
        <x:v>2</x:v>
      </x:c>
      <x:c r="Q3448" s="13" t="n">
        <x:f>IF(H3448="","",H3448/1000000000)</x:f>
        <x:v>5</x:v>
      </x:c>
      <x:c r="R3448" s="13" t="n">
        <x:f>IF(I3448="","",I3448/1000000)</x:f>
        <x:v>73.52941176470588</x:v>
      </x:c>
    </x:row>
    <x:row r="3449" ht="21" customHeight="1">
      <x:c r="A3449" s="10" t="n">
        <x:v>4750</x:v>
      </x:c>
      <x:c r="B3449" s="2" t="str">
        <x:v>5580d5ab41a40ff626e9</x:v>
      </x:c>
      <x:c r="C3449" s="2" t="str">
        <x:v>Hà Nội</x:v>
      </x:c>
      <x:c r="D3449" s="2" t="str">
        <x:v>Huyện Hoài Đức</x:v>
      </x:c>
      <x:c r="E3449" s="2" t="str">
        <x:v>other_unknown</x:v>
      </x:c>
      <x:c r="F3449" s="2" t="str">
        <x:v>sale_assumed</x:v>
      </x:c>
      <x:c r="G3449" s="11" t="n">
        <x:v>61</x:v>
      </x:c>
      <x:c r="H3449" s="12" t="n">
        <x:v>2380000000</x:v>
      </x:c>
      <x:c r="I3449" s="12" t="n">
        <x:v>39016393.44262295</x:v>
      </x:c>
      <x:c r="J3449" s="2" t="str">
        <x:v>total</x:v>
      </x:c>
      <x:c r="K3449" s="2" t="str">
        <x:v>top_level_area</x:v>
      </x:c>
      <x:c r="L3449" s="2" t="str">
        <x:v>property_type_inferred_from_title;transaction_assumed_sale_from_dataset_context;unknown_property_type</x:v>
      </x:c>
      <x:c r="M3449" s="10" t="n">
        <x:v>0</x:v>
      </x:c>
      <x:c r="N3449" s="10" t="n">
        <x:v>0</x:v>
      </x:c>
      <x:c r="O3449" s="2" t="str">
        <x:v>Hà Nội|other_unknown</x:v>
      </x:c>
      <x:c r="P3449" s="10" t="n">
        <x:v>2</x:v>
      </x:c>
      <x:c r="Q3449" s="13" t="n">
        <x:f>IF(H3449="","",H3449/1000000000)</x:f>
        <x:v>2.38</x:v>
      </x:c>
      <x:c r="R3449" s="13" t="n">
        <x:f>IF(I3449="","",I3449/1000000)</x:f>
        <x:v>39.01639344262295</x:v>
      </x:c>
    </x:row>
    <x:row r="3450" ht="21" customHeight="1">
      <x:c r="A3450" s="10" t="n">
        <x:v>4751</x:v>
      </x:c>
      <x:c r="B3450" s="2" t="str">
        <x:v>88d84bf87e004ec9353b</x:v>
      </x:c>
      <x:c r="C3450" s="2" t="str">
        <x:v>Hà Nội</x:v>
      </x:c>
      <x:c r="D3450" s="2" t="str">
        <x:v>Quận Hà Đông</x:v>
      </x:c>
      <x:c r="E3450" s="2" t="str">
        <x:v>other_unknown</x:v>
      </x:c>
      <x:c r="F3450" s="2" t="str">
        <x:v>sale_assumed</x:v>
      </x:c>
      <x:c r="G3450" s="11" t="n">
        <x:v>68</x:v>
      </x:c>
      <x:c r="H3450" s="12" t="n">
        <x:v>4850000000</x:v>
      </x:c>
      <x:c r="I3450" s="12" t="n">
        <x:v>71323529.41176471</x:v>
      </x:c>
      <x:c r="J3450" s="2" t="str">
        <x:v>total</x:v>
      </x:c>
      <x:c r="K3450" s="2" t="str">
        <x:v>top_level_area</x:v>
      </x:c>
      <x:c r="L3450" s="2" t="str">
        <x:v>property_type_inferred_from_title;transaction_assumed_sale_from_dataset_context;unknown_property_type</x:v>
      </x:c>
      <x:c r="M3450" s="10" t="n">
        <x:v>0</x:v>
      </x:c>
      <x:c r="N3450" s="10" t="n">
        <x:v>0</x:v>
      </x:c>
      <x:c r="O3450" s="2" t="str">
        <x:v>Hà Nội|other_unknown</x:v>
      </x:c>
      <x:c r="P3450" s="10" t="n">
        <x:v>2</x:v>
      </x:c>
      <x:c r="Q3450" s="13" t="n">
        <x:f>IF(H3450="","",H3450/1000000000)</x:f>
        <x:v>4.85</x:v>
      </x:c>
      <x:c r="R3450" s="13" t="n">
        <x:f>IF(I3450="","",I3450/1000000)</x:f>
        <x:v>71.32352941176471</x:v>
      </x:c>
    </x:row>
    <x:row r="3451" ht="21" customHeight="1">
      <x:c r="A3451" s="10" t="n">
        <x:v>4752</x:v>
      </x:c>
      <x:c r="B3451" s="2" t="str">
        <x:v>084f778ad79121d2e6bd</x:v>
      </x:c>
      <x:c r="C3451" s="2" t="str">
        <x:v>Tp Hồ Chí Minh</x:v>
      </x:c>
      <x:c r="D3451" s="2" t="str">
        <x:v>Quận Bình Tân</x:v>
      </x:c>
      <x:c r="E3451" s="2" t="str">
        <x:v>house</x:v>
      </x:c>
      <x:c r="F3451" s="2" t="str">
        <x:v>sale</x:v>
      </x:c>
      <x:c r="G3451" s="11" t="n">
        <x:v>40</x:v>
      </x:c>
      <x:c r="H3451" s="12" t="n">
        <x:v>850000000</x:v>
      </x:c>
      <x:c r="I3451" s="12" t="n">
        <x:v>21250000</x:v>
      </x:c>
      <x:c r="J3451" s="2" t="str">
        <x:v>total</x:v>
      </x:c>
      <x:c r="K3451" s="2" t="str">
        <x:v>top_level_area</x:v>
      </x:c>
      <x:c r="L3451" s="2" t="str">
        <x:v>property_type_inferred_from_title</x:v>
      </x:c>
      <x:c r="M3451" s="10" t="n">
        <x:v>0</x:v>
      </x:c>
      <x:c r="N3451" s="10" t="n">
        <x:v>0</x:v>
      </x:c>
      <x:c r="O3451" s="2" t="str">
        <x:v>Tp Hồ Chí Minh|house</x:v>
      </x:c>
      <x:c r="P3451" s="10" t="n">
        <x:v>2</x:v>
      </x:c>
      <x:c r="Q3451" s="13" t="n">
        <x:f>IF(H3451="","",H3451/1000000000)</x:f>
        <x:v>0.85</x:v>
      </x:c>
      <x:c r="R3451" s="13" t="n">
        <x:f>IF(I3451="","",I3451/1000000)</x:f>
        <x:v>21.25</x:v>
      </x:c>
    </x:row>
    <x:row r="3452" ht="21" customHeight="1">
      <x:c r="A3452" s="10" t="n">
        <x:v>4753</x:v>
      </x:c>
      <x:c r="B3452" s="2" t="str">
        <x:v>6e524d2592df6dcce00f</x:v>
      </x:c>
      <x:c r="C3452" s="2" t="str">
        <x:v>Tiền Giang</x:v>
      </x:c>
      <x:c r="D3452" s="2" t="str">
        <x:v>Thành phố Mỹ Tho</x:v>
      </x:c>
      <x:c r="E3452" s="2" t="str">
        <x:v>house</x:v>
      </x:c>
      <x:c r="F3452" s="2" t="str">
        <x:v>sale</x:v>
      </x:c>
      <x:c r="G3452" s="11" t="n">
        <x:v>64</x:v>
      </x:c>
      <x:c r="H3452" s="12" t="n">
        <x:v>2150000000</x:v>
      </x:c>
      <x:c r="I3452" s="12" t="n">
        <x:v>33593750</x:v>
      </x:c>
      <x:c r="J3452" s="2" t="str">
        <x:v>total</x:v>
      </x:c>
      <x:c r="K3452" s="2" t="str">
        <x:v>top_level_area</x:v>
      </x:c>
      <x:c r="L3452" s="2" t="str">
        <x:v>property_type_inferred_from_title</x:v>
      </x:c>
      <x:c r="M3452" s="10" t="n">
        <x:v>0</x:v>
      </x:c>
      <x:c r="N3452" s="10" t="n">
        <x:v>0</x:v>
      </x:c>
      <x:c r="O3452" s="2" t="str">
        <x:v>house</x:v>
      </x:c>
      <x:c r="P3452" s="10" t="n">
        <x:v>2</x:v>
      </x:c>
      <x:c r="Q3452" s="13" t="n">
        <x:f>IF(H3452="","",H3452/1000000000)</x:f>
        <x:v>2.15</x:v>
      </x:c>
      <x:c r="R3452" s="13" t="n">
        <x:f>IF(I3452="","",I3452/1000000)</x:f>
        <x:v>33.59375</x:v>
      </x:c>
    </x:row>
    <x:row r="3453" ht="21" customHeight="1">
      <x:c r="A3453" s="10" t="n">
        <x:v>4754</x:v>
      </x:c>
      <x:c r="B3453" s="2" t="str">
        <x:v>1b2760240f45c6bca6c1</x:v>
      </x:c>
      <x:c r="C3453" s="2" t="str">
        <x:v>Trà Vinh</x:v>
      </x:c>
      <x:c r="D3453" s="2" t="str">
        <x:v>Thành phố Trà Vinh</x:v>
      </x:c>
      <x:c r="E3453" s="2" t="str">
        <x:v>land</x:v>
      </x:c>
      <x:c r="F3453" s="2" t="str">
        <x:v>sale</x:v>
      </x:c>
      <x:c r="G3453" s="11" t="n">
        <x:v>120</x:v>
      </x:c>
      <x:c r="H3453" s="12" t="n">
        <x:v>1000000000</x:v>
      </x:c>
      <x:c r="I3453" s="12" t="n">
        <x:v>8333333.333333333</x:v>
      </x:c>
      <x:c r="J3453" s="2" t="str">
        <x:v>total</x:v>
      </x:c>
      <x:c r="K3453" s="2" t="str">
        <x:v>top_level_area</x:v>
      </x:c>
      <x:c r="L3453" s="2" t="str">
        <x:v>property_type_inferred_from_title</x:v>
      </x:c>
      <x:c r="M3453" s="10" t="n">
        <x:v>0</x:v>
      </x:c>
      <x:c r="N3453" s="10" t="n">
        <x:v>0</x:v>
      </x:c>
      <x:c r="O3453" s="2" t="str">
        <x:v>land</x:v>
      </x:c>
      <x:c r="P3453" s="10" t="n">
        <x:v>2</x:v>
      </x:c>
      <x:c r="Q3453" s="13" t="n">
        <x:f>IF(H3453="","",H3453/1000000000)</x:f>
        <x:v>1</x:v>
      </x:c>
      <x:c r="R3453" s="13" t="n">
        <x:f>IF(I3453="","",I3453/1000000)</x:f>
        <x:v>8.333333333333332</x:v>
      </x:c>
    </x:row>
    <x:row r="3454" ht="21" customHeight="1">
      <x:c r="A3454" s="10" t="n">
        <x:v>4755</x:v>
      </x:c>
      <x:c r="B3454" s="2" t="str">
        <x:v>40da7a0710c5a6a4a718</x:v>
      </x:c>
      <x:c r="C3454" s="2" t="str">
        <x:v>Hà Nội</x:v>
      </x:c>
      <x:c r="D3454" s="2" t="str">
        <x:v>Quận Bắc Từ Liêm</x:v>
      </x:c>
      <x:c r="E3454" s="2" t="str">
        <x:v>apartment</x:v>
      </x:c>
      <x:c r="F3454" s="2" t="str">
        <x:v>sale_assumed</x:v>
      </x:c>
      <x:c r="G3454" s="11" t="n">
        <x:v>34</x:v>
      </x:c>
      <x:c r="H3454" s="12" t="n">
        <x:v>560000000</x:v>
      </x:c>
      <x:c r="I3454" s="12" t="n">
        <x:v>16470588.235294119</x:v>
      </x:c>
      <x:c r="J3454" s="2" t="str">
        <x:v>total</x:v>
      </x:c>
      <x:c r="K3454" s="2" t="str">
        <x:v>top_level_area</x:v>
      </x:c>
      <x:c r="L3454" s="2" t="str">
        <x:v>property_type_inferred_from_title;transaction_assumed_sale_from_dataset_context</x:v>
      </x:c>
      <x:c r="M3454" s="10" t="n">
        <x:v>0</x:v>
      </x:c>
      <x:c r="N3454" s="10" t="n">
        <x:v>0</x:v>
      </x:c>
      <x:c r="O3454" s="2" t="str">
        <x:v>Hà Nội|apartment</x:v>
      </x:c>
      <x:c r="P3454" s="10" t="n">
        <x:v>2</x:v>
      </x:c>
      <x:c r="Q3454" s="13" t="n">
        <x:f>IF(H3454="","",H3454/1000000000)</x:f>
        <x:v>0.56</x:v>
      </x:c>
      <x:c r="R3454" s="13" t="n">
        <x:f>IF(I3454="","",I3454/1000000)</x:f>
        <x:v>16.47058823529412</x:v>
      </x:c>
    </x:row>
    <x:row r="3455" ht="21" customHeight="1">
      <x:c r="A3455" s="10" t="n">
        <x:v>4756</x:v>
      </x:c>
      <x:c r="B3455" s="2" t="str">
        <x:v>3af4af5a0f0c43f58f46</x:v>
      </x:c>
      <x:c r="C3455" s="2" t="str">
        <x:v>Tp Hồ Chí Minh</x:v>
      </x:c>
      <x:c r="D3455" s="2" t="str">
        <x:v>Quận Gò Vấp</x:v>
      </x:c>
      <x:c r="E3455" s="2" t="str">
        <x:v>other_unknown</x:v>
      </x:c>
      <x:c r="F3455" s="2" t="str">
        <x:v>sale</x:v>
      </x:c>
      <x:c r="G3455" s="11" t="n">
        <x:v>100</x:v>
      </x:c>
      <x:c r="H3455" s="12" t="n">
        <x:v>4000000000</x:v>
      </x:c>
      <x:c r="I3455" s="12" t="n">
        <x:v>40000000</x:v>
      </x:c>
      <x:c r="J3455" s="2" t="str">
        <x:v>total</x:v>
      </x:c>
      <x:c r="K3455" s="2" t="str">
        <x:v>top_level_area</x:v>
      </x:c>
      <x:c r="L3455" s="2" t="str">
        <x:v>property_type_inferred_from_title;unknown_property_type</x:v>
      </x:c>
      <x:c r="M3455" s="10" t="n">
        <x:v>0</x:v>
      </x:c>
      <x:c r="N3455" s="10" t="n">
        <x:v>0</x:v>
      </x:c>
      <x:c r="O3455" s="2" t="str">
        <x:v>Tp Hồ Chí Minh|other_unknown</x:v>
      </x:c>
      <x:c r="P3455" s="10" t="n">
        <x:v>2</x:v>
      </x:c>
      <x:c r="Q3455" s="13" t="n">
        <x:f>IF(H3455="","",H3455/1000000000)</x:f>
        <x:v>4</x:v>
      </x:c>
      <x:c r="R3455" s="13" t="n">
        <x:f>IF(I3455="","",I3455/1000000)</x:f>
        <x:v>40</x:v>
      </x:c>
    </x:row>
    <x:row r="3456" ht="21" customHeight="1">
      <x:c r="A3456" s="10" t="n">
        <x:v>4757</x:v>
      </x:c>
      <x:c r="B3456" s="2" t="str">
        <x:v>2873f2b6cb03d7bf00a6</x:v>
      </x:c>
      <x:c r="C3456" s="2" t="str">
        <x:v>Hà Nội</x:v>
      </x:c>
      <x:c r="D3456" s="2" t="str">
        <x:v>Quận Hoàng Mai</x:v>
      </x:c>
      <x:c r="E3456" s="2" t="str">
        <x:v>house</x:v>
      </x:c>
      <x:c r="F3456" s="2" t="str">
        <x:v>sale</x:v>
      </x:c>
      <x:c r="G3456" s="11" t="n">
        <x:v>31</x:v>
      </x:c>
      <x:c r="H3456" s="12" t="n">
        <x:v>2900000000</x:v>
      </x:c>
      <x:c r="I3456" s="12" t="n">
        <x:v>93548387.09677419</x:v>
      </x:c>
      <x:c r="J3456" s="2" t="str">
        <x:v>total</x:v>
      </x:c>
      <x:c r="K3456" s="2" t="str">
        <x:v>top_level_area</x:v>
      </x:c>
      <x:c r="L3456" s="2" t="str">
        <x:v>property_type_inferred_from_title</x:v>
      </x:c>
      <x:c r="M3456" s="10" t="n">
        <x:v>0</x:v>
      </x:c>
      <x:c r="N3456" s="10" t="n">
        <x:v>0</x:v>
      </x:c>
      <x:c r="O3456" s="2" t="str">
        <x:v>Hà Nội|house</x:v>
      </x:c>
      <x:c r="P3456" s="10" t="n">
        <x:v>2</x:v>
      </x:c>
      <x:c r="Q3456" s="13" t="n">
        <x:f>IF(H3456="","",H3456/1000000000)</x:f>
        <x:v>2.9</x:v>
      </x:c>
      <x:c r="R3456" s="13" t="n">
        <x:f>IF(I3456="","",I3456/1000000)</x:f>
        <x:v>93.54838709677419</x:v>
      </x:c>
    </x:row>
    <x:row r="3457" ht="21" customHeight="1">
      <x:c r="A3457" s="10" t="n">
        <x:v>4758</x:v>
      </x:c>
      <x:c r="B3457" s="2" t="str">
        <x:v>19167008dc564602368e</x:v>
      </x:c>
      <x:c r="C3457" s="2" t="str">
        <x:v>Tp Hồ Chí Minh</x:v>
      </x:c>
      <x:c r="D3457" s="2" t="str">
        <x:v>Quận 9</x:v>
      </x:c>
      <x:c r="E3457" s="2" t="str">
        <x:v>house</x:v>
      </x:c>
      <x:c r="F3457" s="2" t="str">
        <x:v>sale</x:v>
      </x:c>
      <x:c r="G3457" s="11" t="n">
        <x:v>192</x:v>
      </x:c>
      <x:c r="H3457" s="12" t="n">
        <x:v>14500000000</x:v>
      </x:c>
      <x:c r="I3457" s="12" t="n">
        <x:v>75520833.33333333</x:v>
      </x:c>
      <x:c r="J3457" s="2" t="str">
        <x:v>total</x:v>
      </x:c>
      <x:c r="K3457" s="2" t="str">
        <x:v>top_level_area</x:v>
      </x:c>
      <x:c r="L3457" s="2" t="str">
        <x:v>property_type_inferred_from_title</x:v>
      </x:c>
      <x:c r="M3457" s="10" t="n">
        <x:v>0</x:v>
      </x:c>
      <x:c r="N3457" s="10" t="n">
        <x:v>0</x:v>
      </x:c>
      <x:c r="O3457" s="2" t="str">
        <x:v>Tp Hồ Chí Minh|house</x:v>
      </x:c>
      <x:c r="P3457" s="10" t="n">
        <x:v>2</x:v>
      </x:c>
      <x:c r="Q3457" s="13" t="n">
        <x:f>IF(H3457="","",H3457/1000000000)</x:f>
        <x:v>14.5</x:v>
      </x:c>
      <x:c r="R3457" s="13" t="n">
        <x:f>IF(I3457="","",I3457/1000000)</x:f>
        <x:v>75.52083333333333</x:v>
      </x:c>
    </x:row>
    <x:row r="3458" ht="21" customHeight="1">
      <x:c r="A3458" s="10" t="n">
        <x:v>4759</x:v>
      </x:c>
      <x:c r="B3458" s="2" t="str">
        <x:v>69c92bc775f93fd8b67f</x:v>
      </x:c>
      <x:c r="C3458" s="2" t="str">
        <x:v>Hải Phòng</x:v>
      </x:c>
      <x:c r="D3458" s="2" t="str">
        <x:v>Quận Lê Chân</x:v>
      </x:c>
      <x:c r="E3458" s="2" t="str">
        <x:v>other_unknown</x:v>
      </x:c>
      <x:c r="F3458" s="2" t="str">
        <x:v>sale_assumed</x:v>
      </x:c>
      <x:c r="G3458" s="11" t="n">
        <x:v>34</x:v>
      </x:c>
      <x:c r="H3458" s="12" t="n">
        <x:v>1520000000</x:v>
      </x:c>
      <x:c r="I3458" s="12" t="n">
        <x:v>44705882.35294118</x:v>
      </x:c>
      <x:c r="J3458" s="2" t="str">
        <x:v>total</x:v>
      </x:c>
      <x:c r="K3458" s="2" t="str">
        <x:v>top_level_area</x:v>
      </x:c>
      <x:c r="L3458" s="2" t="str">
        <x:v>property_type_inferred_from_title;transaction_assumed_sale_from_dataset_context;unknown_property_type</x:v>
      </x:c>
      <x:c r="M3458" s="10" t="n">
        <x:v>0</x:v>
      </x:c>
      <x:c r="N3458" s="10" t="n">
        <x:v>0</x:v>
      </x:c>
      <x:c r="O3458" s="2" t="str">
        <x:v>other_unknown</x:v>
      </x:c>
      <x:c r="P3458" s="10" t="n">
        <x:v>2</x:v>
      </x:c>
      <x:c r="Q3458" s="13" t="n">
        <x:f>IF(H3458="","",H3458/1000000000)</x:f>
        <x:v>1.52</x:v>
      </x:c>
      <x:c r="R3458" s="13" t="n">
        <x:f>IF(I3458="","",I3458/1000000)</x:f>
        <x:v>44.70588235294118</x:v>
      </x:c>
    </x:row>
    <x:row r="3459" ht="21" customHeight="1">
      <x:c r="A3459" s="10" t="n">
        <x:v>4760</x:v>
      </x:c>
      <x:c r="B3459" s="2" t="str">
        <x:v>6c84d8014a458aaa26c5</x:v>
      </x:c>
      <x:c r="C3459" s="2" t="str">
        <x:v>Lâm Đồng</x:v>
      </x:c>
      <x:c r="D3459" s="2" t="str">
        <x:v>Huyện Đạ Tẻh</x:v>
      </x:c>
      <x:c r="E3459" s="2" t="str">
        <x:v>house</x:v>
      </x:c>
      <x:c r="F3459" s="2" t="str">
        <x:v>sale_assumed</x:v>
      </x:c>
      <x:c r="G3459" s="11" t="n">
        <x:v>1000</x:v>
      </x:c>
      <x:c r="H3459" s="12" t="n">
        <x:v>650000000</x:v>
      </x:c>
      <x:c r="I3459" s="12" t="n">
        <x:v>650000</x:v>
      </x:c>
      <x:c r="J3459" s="2" t="str">
        <x:v>total</x:v>
      </x:c>
      <x:c r="K3459" s="2" t="str">
        <x:v>top_level_area</x:v>
      </x:c>
      <x:c r="L3459" s="2" t="str">
        <x:v>dot_thousands_convention;property_type_inferred_from_title;transaction_assumed_sale_from_dataset_context</x:v>
      </x:c>
      <x:c r="M3459" s="10" t="n">
        <x:v>0</x:v>
      </x:c>
      <x:c r="N3459" s="10" t="n">
        <x:v>0</x:v>
      </x:c>
      <x:c r="O3459" s="2" t="str">
        <x:v>house</x:v>
      </x:c>
      <x:c r="P3459" s="10" t="n">
        <x:v>1</x:v>
      </x:c>
      <x:c r="Q3459" s="13" t="n">
        <x:f>IF(H3459="","",H3459/1000000000)</x:f>
        <x:v>0.65</x:v>
      </x:c>
      <x:c r="R3459" s="13" t="n">
        <x:f>IF(I3459="","",I3459/1000000)</x:f>
        <x:v>0.65</x:v>
      </x:c>
    </x:row>
    <x:row r="3460" ht="21" customHeight="1">
      <x:c r="A3460" s="10" t="n">
        <x:v>4761</x:v>
      </x:c>
      <x:c r="B3460" s="2" t="str">
        <x:v>293a1ddcd517a58acb46</x:v>
      </x:c>
      <x:c r="C3460" s="2" t="str">
        <x:v>Hà Nội</x:v>
      </x:c>
      <x:c r="D3460" s="2" t="str">
        <x:v>Quận Ba Đình</x:v>
      </x:c>
      <x:c r="E3460" s="2" t="str">
        <x:v>house</x:v>
      </x:c>
      <x:c r="F3460" s="2" t="str">
        <x:v>sale_assumed</x:v>
      </x:c>
      <x:c r="G3460" s="11" t="n">
        <x:v>40</x:v>
      </x:c>
      <x:c r="H3460" s="12" t="n">
        <x:v>7500000000</x:v>
      </x:c>
      <x:c r="I3460" s="12" t="n">
        <x:v>187500000</x:v>
      </x:c>
      <x:c r="J3460" s="2" t="str">
        <x:v>total</x:v>
      </x:c>
      <x:c r="K3460" s="2" t="str">
        <x:v>top_level_area</x:v>
      </x:c>
      <x:c r="L3460" s="2" t="str">
        <x:v>property_type_inferred_from_title;transaction_assumed_sale_from_dataset_context</x:v>
      </x:c>
      <x:c r="M3460" s="10" t="n">
        <x:v>1</x:v>
      </x:c>
      <x:c r="N3460" s="10" t="n">
        <x:v>1</x:v>
      </x:c>
      <x:c r="O3460" s="2" t="str">
        <x:v>Hà Nội|house</x:v>
      </x:c>
      <x:c r="P3460" s="10" t="n">
        <x:v>-1</x:v>
      </x:c>
      <x:c r="Q3460" s="13" t="n">
        <x:f>IF(H3460="","",H3460/1000000000)</x:f>
        <x:v>7.5</x:v>
      </x:c>
      <x:c r="R3460" s="13" t="n">
        <x:f>IF(I3460="","",I3460/1000000)</x:f>
        <x:v>187.5</x:v>
      </x:c>
    </x:row>
    <x:row r="3461" ht="21" customHeight="1">
      <x:c r="A3461" s="10" t="n">
        <x:v>4762</x:v>
      </x:c>
      <x:c r="B3461" s="2" t="str">
        <x:v>402d474b853ad240f28c</x:v>
      </x:c>
      <x:c r="C3461" s="2" t="str">
        <x:v>Hà Nội</x:v>
      </x:c>
      <x:c r="D3461" s="2" t="str">
        <x:v>Quận Ba Đình</x:v>
      </x:c>
      <x:c r="E3461" s="2" t="str">
        <x:v>house</x:v>
      </x:c>
      <x:c r="F3461" s="2" t="str">
        <x:v>sale</x:v>
      </x:c>
      <x:c r="G3461" s="11" t="n">
        <x:v>40</x:v>
      </x:c>
      <x:c r="H3461" s="12" t="n">
        <x:v>5600000000</x:v>
      </x:c>
      <x:c r="I3461" s="12" t="n">
        <x:v>140000000</x:v>
      </x:c>
      <x:c r="J3461" s="2" t="str">
        <x:v>total</x:v>
      </x:c>
      <x:c r="K3461" s="2" t="str">
        <x:v>top_level_area</x:v>
      </x:c>
      <x:c r="L3461" s="2" t="str">
        <x:v>property_type_inferred_from_title</x:v>
      </x:c>
      <x:c r="M3461" s="10" t="n">
        <x:v>0</x:v>
      </x:c>
      <x:c r="N3461" s="10" t="n">
        <x:v>0</x:v>
      </x:c>
      <x:c r="O3461" s="2" t="str">
        <x:v>Hà Nội|house</x:v>
      </x:c>
      <x:c r="P3461" s="10" t="n">
        <x:v>2</x:v>
      </x:c>
      <x:c r="Q3461" s="13" t="n">
        <x:f>IF(H3461="","",H3461/1000000000)</x:f>
        <x:v>5.6</x:v>
      </x:c>
      <x:c r="R3461" s="13" t="n">
        <x:f>IF(I3461="","",I3461/1000000)</x:f>
        <x:v>140</x:v>
      </x:c>
    </x:row>
    <x:row r="3462" ht="21" customHeight="1">
      <x:c r="A3462" s="10" t="n">
        <x:v>4766</x:v>
      </x:c>
      <x:c r="B3462" s="2" t="str">
        <x:v>c47bc93fec4ace97674b</x:v>
      </x:c>
      <x:c r="C3462" s="2" t="str">
        <x:v>Hà Nội</x:v>
      </x:c>
      <x:c r="D3462" s="2" t="str">
        <x:v>Quận Thanh Xuân</x:v>
      </x:c>
      <x:c r="E3462" s="2" t="str">
        <x:v>other_unknown</x:v>
      </x:c>
      <x:c r="F3462" s="2" t="str">
        <x:v>sale_assumed</x:v>
      </x:c>
      <x:c r="G3462" s="11" t="n">
        <x:v>32</x:v>
      </x:c>
      <x:c r="H3462" s="12" t="n">
        <x:v>4500000000</x:v>
      </x:c>
      <x:c r="I3462" s="12" t="n">
        <x:v>140625000</x:v>
      </x:c>
      <x:c r="J3462" s="2" t="str">
        <x:v>total</x:v>
      </x:c>
      <x:c r="K3462" s="2" t="str">
        <x:v>top_level_area</x:v>
      </x:c>
      <x:c r="L3462" s="2" t="str">
        <x:v>property_type_inferred_from_title;transaction_assumed_sale_from_dataset_context;unknown_property_type</x:v>
      </x:c>
      <x:c r="M3462" s="10" t="n">
        <x:v>0</x:v>
      </x:c>
      <x:c r="N3462" s="10" t="n">
        <x:v>0</x:v>
      </x:c>
      <x:c r="O3462" s="2" t="str">
        <x:v>Hà Nội|other_unknown</x:v>
      </x:c>
      <x:c r="P3462" s="10" t="n">
        <x:v>2</x:v>
      </x:c>
      <x:c r="Q3462" s="13" t="n">
        <x:f>IF(H3462="","",H3462/1000000000)</x:f>
        <x:v>4.5</x:v>
      </x:c>
      <x:c r="R3462" s="13" t="n">
        <x:f>IF(I3462="","",I3462/1000000)</x:f>
        <x:v>140.625</x:v>
      </x:c>
    </x:row>
    <x:row r="3463" ht="21" customHeight="1">
      <x:c r="A3463" s="10" t="n">
        <x:v>4767</x:v>
      </x:c>
      <x:c r="B3463" s="2" t="str">
        <x:v>2551d3b3fa93a91b55ab</x:v>
      </x:c>
      <x:c r="C3463" s="2" t="str">
        <x:v>Đà Nẵng</x:v>
      </x:c>
      <x:c r="D3463" s="2" t="str">
        <x:v>Quận Liên Chiểu</x:v>
      </x:c>
      <x:c r="E3463" s="2" t="str">
        <x:v>land</x:v>
      </x:c>
      <x:c r="F3463" s="2" t="str">
        <x:v>sale</x:v>
      </x:c>
      <x:c r="G3463" s="11" t="n">
        <x:v>70</x:v>
      </x:c>
      <x:c r="H3463" s="12" t="n">
        <x:v>1500000000</x:v>
      </x:c>
      <x:c r="I3463" s="12" t="n">
        <x:v>21428571.42857143</x:v>
      </x:c>
      <x:c r="J3463" s="2" t="str">
        <x:v>total</x:v>
      </x:c>
      <x:c r="K3463" s="2" t="str">
        <x:v>top_level_area</x:v>
      </x:c>
      <x:c r="L3463" s="2" t="str">
        <x:v>property_type_inferred_from_title</x:v>
      </x:c>
      <x:c r="M3463" s="10" t="n">
        <x:v>0</x:v>
      </x:c>
      <x:c r="N3463" s="10" t="n">
        <x:v>0</x:v>
      </x:c>
      <x:c r="O3463" s="2" t="str">
        <x:v>Đà Nẵng|land</x:v>
      </x:c>
      <x:c r="P3463" s="10" t="n">
        <x:v>2</x:v>
      </x:c>
      <x:c r="Q3463" s="13" t="n">
        <x:f>IF(H3463="","",H3463/1000000000)</x:f>
        <x:v>1.5</x:v>
      </x:c>
      <x:c r="R3463" s="13" t="n">
        <x:f>IF(I3463="","",I3463/1000000)</x:f>
        <x:v>21.42857142857143</x:v>
      </x:c>
    </x:row>
    <x:row r="3464" ht="21" customHeight="1">
      <x:c r="A3464" s="10" t="n">
        <x:v>4768</x:v>
      </x:c>
      <x:c r="B3464" s="2" t="str">
        <x:v>25ce751d29a35b79e711</x:v>
      </x:c>
      <x:c r="C3464" s="2" t="str">
        <x:v>Tp Hồ Chí Minh</x:v>
      </x:c>
      <x:c r="D3464" s="2" t="str">
        <x:v>Quận 7</x:v>
      </x:c>
      <x:c r="E3464" s="2" t="str">
        <x:v>other_unknown</x:v>
      </x:c>
      <x:c r="F3464" s="2" t="str">
        <x:v>sale_assumed</x:v>
      </x:c>
      <x:c r="G3464" s="11" t="n">
        <x:v>153</x:v>
      </x:c>
      <x:c r="H3464" s="12" t="n">
        <x:v>14900000000</x:v>
      </x:c>
      <x:c r="I3464" s="12" t="n">
        <x:v>97385620.91503268</x:v>
      </x:c>
      <x:c r="J3464" s="2" t="str">
        <x:v>total</x:v>
      </x:c>
      <x:c r="K3464" s="2" t="str">
        <x:v>top_level_area</x:v>
      </x:c>
      <x:c r="L3464" s="2" t="str">
        <x:v>property_type_inferred_from_title;transaction_assumed_sale_from_dataset_context;unknown_property_type</x:v>
      </x:c>
      <x:c r="M3464" s="10" t="n">
        <x:v>0</x:v>
      </x:c>
      <x:c r="N3464" s="10" t="n">
        <x:v>0</x:v>
      </x:c>
      <x:c r="O3464" s="2" t="str">
        <x:v>Tp Hồ Chí Minh|other_unknown</x:v>
      </x:c>
      <x:c r="P3464" s="10" t="n">
        <x:v>2</x:v>
      </x:c>
      <x:c r="Q3464" s="13" t="n">
        <x:f>IF(H3464="","",H3464/1000000000)</x:f>
        <x:v>14.9</x:v>
      </x:c>
      <x:c r="R3464" s="13" t="n">
        <x:f>IF(I3464="","",I3464/1000000)</x:f>
        <x:v>97.38562091503269</x:v>
      </x:c>
    </x:row>
    <x:row r="3465" ht="21" customHeight="1">
      <x:c r="A3465" s="10" t="n">
        <x:v>4769</x:v>
      </x:c>
      <x:c r="B3465" s="2" t="str">
        <x:v>ea8dd76935cbcfc00f77</x:v>
      </x:c>
      <x:c r="C3465" s="2" t="str">
        <x:v>Hà Nội</x:v>
      </x:c>
      <x:c r="D3465" s="2" t="str">
        <x:v>Huyện Thanh Trì</x:v>
      </x:c>
      <x:c r="E3465" s="2" t="str">
        <x:v>house</x:v>
      </x:c>
      <x:c r="F3465" s="2" t="str">
        <x:v>sale</x:v>
      </x:c>
      <x:c r="G3465" s="11" t="n">
        <x:v>34</x:v>
      </x:c>
      <x:c r="H3465" s="12" t="n">
        <x:v>2049999999.9999998</x:v>
      </x:c>
      <x:c r="I3465" s="12" t="n">
        <x:v>60294117.647058815</x:v>
      </x:c>
      <x:c r="J3465" s="2" t="str">
        <x:v>total</x:v>
      </x:c>
      <x:c r="K3465" s="2" t="str">
        <x:v>top_level_area</x:v>
      </x:c>
      <x:c r="L3465" s="2" t="str">
        <x:v>property_type_inferred_from_title</x:v>
      </x:c>
      <x:c r="M3465" s="10" t="n">
        <x:v>0</x:v>
      </x:c>
      <x:c r="N3465" s="10" t="n">
        <x:v>0</x:v>
      </x:c>
      <x:c r="O3465" s="2" t="str">
        <x:v>Hà Nội|house</x:v>
      </x:c>
      <x:c r="P3465" s="10" t="n">
        <x:v>2</x:v>
      </x:c>
      <x:c r="Q3465" s="13" t="n">
        <x:f>IF(H3465="","",H3465/1000000000)</x:f>
        <x:v>2.05</x:v>
      </x:c>
      <x:c r="R3465" s="13" t="n">
        <x:f>IF(I3465="","",I3465/1000000)</x:f>
        <x:v>60.29411764705881</x:v>
      </x:c>
    </x:row>
    <x:row r="3466" ht="21" customHeight="1">
      <x:c r="A3466" s="10" t="n">
        <x:v>4770</x:v>
      </x:c>
      <x:c r="B3466" s="2" t="str">
        <x:v>1b02570b3e1b05c33ce3</x:v>
      </x:c>
      <x:c r="C3466" s="2" t="str">
        <x:v>Long An</x:v>
      </x:c>
      <x:c r="D3466" s="2" t="str">
        <x:v>Huyện Cần Giuộc</x:v>
      </x:c>
      <x:c r="E3466" s="2" t="str">
        <x:v>other_unknown</x:v>
      </x:c>
      <x:c r="F3466" s="2" t="str">
        <x:v>sale_assumed</x:v>
      </x:c>
      <x:c r="G3466" s="11" t="n">
        <x:v>1000</x:v>
      </x:c>
      <x:c r="H3466" s="12" t="n">
        <x:v>1700000000</x:v>
      </x:c>
      <x:c r="I3466" s="12" t="n">
        <x:v>1700000</x:v>
      </x:c>
      <x:c r="J3466" s="2" t="str">
        <x:v>total</x:v>
      </x:c>
      <x:c r="K3466" s="2" t="str">
        <x:v>top_level_area</x:v>
      </x:c>
      <x:c r="L3466" s="2" t="str">
        <x:v>dot_thousands_convention;property_type_inferred_from_title;transaction_assumed_sale_from_dataset_context;unknown_property_type</x:v>
      </x:c>
      <x:c r="M3466" s="10" t="n">
        <x:v>0</x:v>
      </x:c>
      <x:c r="N3466" s="10" t="n">
        <x:v>0</x:v>
      </x:c>
      <x:c r="O3466" s="2" t="str">
        <x:v>Long An|other_unknown</x:v>
      </x:c>
      <x:c r="P3466" s="10" t="n">
        <x:v>1</x:v>
      </x:c>
      <x:c r="Q3466" s="13" t="n">
        <x:f>IF(H3466="","",H3466/1000000000)</x:f>
        <x:v>1.7</x:v>
      </x:c>
      <x:c r="R3466" s="13" t="n">
        <x:f>IF(I3466="","",I3466/1000000)</x:f>
        <x:v>1.7</x:v>
      </x:c>
    </x:row>
    <x:row r="3467" ht="21" customHeight="1">
      <x:c r="A3467" s="10" t="n">
        <x:v>4771</x:v>
      </x:c>
      <x:c r="B3467" s="2" t="str">
        <x:v>21f89b77cd8e38f23272</x:v>
      </x:c>
      <x:c r="C3467" s="2" t="str">
        <x:v>Bình Dương</x:v>
      </x:c>
      <x:c r="D3467" s="2" t="str">
        <x:v>Thị xã Thuận An</x:v>
      </x:c>
      <x:c r="E3467" s="2" t="str">
        <x:v>other_unknown</x:v>
      </x:c>
      <x:c r="F3467" s="2" t="str">
        <x:v>sale</x:v>
      </x:c>
      <x:c r="G3467" s="11" t="n">
        <x:v>98</x:v>
      </x:c>
      <x:c r="H3467" s="12" t="n">
        <x:v>2350000000</x:v>
      </x:c>
      <x:c r="I3467" s="12" t="n">
        <x:v>23979591.836734693</x:v>
      </x:c>
      <x:c r="J3467" s="2" t="str">
        <x:v>total</x:v>
      </x:c>
      <x:c r="K3467" s="2" t="str">
        <x:v>top_level_area</x:v>
      </x:c>
      <x:c r="L3467" s="2" t="str">
        <x:v>property_type_inferred_from_title;unknown_property_type</x:v>
      </x:c>
      <x:c r="M3467" s="10" t="n">
        <x:v>0</x:v>
      </x:c>
      <x:c r="N3467" s="10" t="n">
        <x:v>0</x:v>
      </x:c>
      <x:c r="O3467" s="2" t="str">
        <x:v>Bình Dương|other_unknown</x:v>
      </x:c>
      <x:c r="P3467" s="10" t="n">
        <x:v>2</x:v>
      </x:c>
      <x:c r="Q3467" s="13" t="n">
        <x:f>IF(H3467="","",H3467/1000000000)</x:f>
        <x:v>2.35</x:v>
      </x:c>
      <x:c r="R3467" s="13" t="n">
        <x:f>IF(I3467="","",I3467/1000000)</x:f>
        <x:v>23.979591836734695</x:v>
      </x:c>
    </x:row>
    <x:row r="3468" ht="21" customHeight="1">
      <x:c r="A3468" s="10" t="n">
        <x:v>4772</x:v>
      </x:c>
      <x:c r="B3468" s="2" t="str">
        <x:v>c4d7470e97f302ab8d87</x:v>
      </x:c>
      <x:c r="C3468" s="2" t="str">
        <x:v>Cần Thơ</x:v>
      </x:c>
      <x:c r="D3468" s="2" t="str">
        <x:v>Huyện Vĩnh Thạnh</x:v>
      </x:c>
      <x:c r="E3468" s="2" t="str">
        <x:v>land</x:v>
      </x:c>
      <x:c r="F3468" s="2" t="str">
        <x:v>sale_assumed</x:v>
      </x:c>
      <x:c r="G3468" s="11" t="n">
        <x:v>699</x:v>
      </x:c>
      <x:c r="H3468" s="12" t="n">
        <x:v>1000000000</x:v>
      </x:c>
      <x:c r="I3468" s="12" t="n">
        <x:v>1430615.164520744</x:v>
      </x:c>
      <x:c r="J3468" s="2" t="str">
        <x:v>total</x:v>
      </x:c>
      <x:c r="K3468" s="2" t="str">
        <x:v>top_level_area</x:v>
      </x:c>
      <x:c r="L3468" s="2" t="str">
        <x:v>property_type_inferred_from_title;transaction_assumed_sale_from_dataset_context</x:v>
      </x:c>
      <x:c r="M3468" s="10" t="n">
        <x:v>0</x:v>
      </x:c>
      <x:c r="N3468" s="10" t="n">
        <x:v>0</x:v>
      </x:c>
      <x:c r="O3468" s="2" t="str">
        <x:v>Cần Thơ|land</x:v>
      </x:c>
      <x:c r="P3468" s="10" t="n">
        <x:v>1</x:v>
      </x:c>
      <x:c r="Q3468" s="13" t="n">
        <x:f>IF(H3468="","",H3468/1000000000)</x:f>
        <x:v>1</x:v>
      </x:c>
      <x:c r="R3468" s="13" t="n">
        <x:f>IF(I3468="","",I3468/1000000)</x:f>
        <x:v>1.430615164520744</x:v>
      </x:c>
    </x:row>
    <x:row r="3469" ht="21" customHeight="1">
      <x:c r="A3469" s="10" t="n">
        <x:v>4773</x:v>
      </x:c>
      <x:c r="B3469" s="2" t="str">
        <x:v>3fdfae3e7f3a6a40dbb2</x:v>
      </x:c>
      <x:c r="C3469" s="2" t="str">
        <x:v>Hà Nội</x:v>
      </x:c>
      <x:c r="D3469" s="2" t="str">
        <x:v>Quận Hoàng Mai</x:v>
      </x:c>
      <x:c r="E3469" s="2" t="str">
        <x:v>house</x:v>
      </x:c>
      <x:c r="F3469" s="2" t="str">
        <x:v>sale_assumed</x:v>
      </x:c>
      <x:c r="G3469" s="11" t="n">
        <x:v>32</x:v>
      </x:c>
      <x:c r="H3469" s="12" t="n">
        <x:v>2700000000</x:v>
      </x:c>
      <x:c r="I3469" s="12" t="n">
        <x:v>84375000</x:v>
      </x:c>
      <x:c r="J3469" s="2" t="str">
        <x:v>total</x:v>
      </x:c>
      <x:c r="K3469" s="2" t="str">
        <x:v>top_level_area</x:v>
      </x:c>
      <x:c r="L3469" s="2" t="str">
        <x:v>property_type_inferred_from_title;transaction_assumed_sale_from_dataset_context</x:v>
      </x:c>
      <x:c r="M3469" s="10" t="n">
        <x:v>0</x:v>
      </x:c>
      <x:c r="N3469" s="10" t="n">
        <x:v>0</x:v>
      </x:c>
      <x:c r="O3469" s="2" t="str">
        <x:v>Hà Nội|house</x:v>
      </x:c>
      <x:c r="P3469" s="10" t="n">
        <x:v>2</x:v>
      </x:c>
      <x:c r="Q3469" s="13" t="n">
        <x:f>IF(H3469="","",H3469/1000000000)</x:f>
        <x:v>2.7</x:v>
      </x:c>
      <x:c r="R3469" s="13" t="n">
        <x:f>IF(I3469="","",I3469/1000000)</x:f>
        <x:v>84.375</x:v>
      </x:c>
    </x:row>
    <x:row r="3470" ht="21" customHeight="1">
      <x:c r="A3470" s="10" t="n">
        <x:v>4774</x:v>
      </x:c>
      <x:c r="B3470" s="2" t="str">
        <x:v>a8b49ff382040f5c5948</x:v>
      </x:c>
      <x:c r="C3470" s="2" t="str">
        <x:v>Đắk Lắk</x:v>
      </x:c>
      <x:c r="D3470" s="2" t="str">
        <x:v>Thành phố Buôn Ma Thuột</x:v>
      </x:c>
      <x:c r="E3470" s="2" t="str">
        <x:v>land</x:v>
      </x:c>
      <x:c r="F3470" s="2" t="str">
        <x:v>sale_assumed</x:v>
      </x:c>
      <x:c r="G3470" s="11" t="n">
        <x:v>800</x:v>
      </x:c>
      <x:c r="H3470" s="12" t="n">
        <x:v>1900000000</x:v>
      </x:c>
      <x:c r="I3470" s="12" t="n">
        <x:v>2375000</x:v>
      </x:c>
      <x:c r="J3470" s="2" t="str">
        <x:v>total</x:v>
      </x:c>
      <x:c r="K3470" s="2" t="str">
        <x:v>top_level_area</x:v>
      </x:c>
      <x:c r="L3470" s="2" t="str">
        <x:v>property_type_inferred_from_title;transaction_assumed_sale_from_dataset_context</x:v>
      </x:c>
      <x:c r="M3470" s="10" t="n">
        <x:v>0</x:v>
      </x:c>
      <x:c r="N3470" s="10" t="n">
        <x:v>0</x:v>
      </x:c>
      <x:c r="O3470" s="2" t="str">
        <x:v>Đắk Lắk|land</x:v>
      </x:c>
      <x:c r="P3470" s="10" t="n">
        <x:v>1</x:v>
      </x:c>
      <x:c r="Q3470" s="13" t="n">
        <x:f>IF(H3470="","",H3470/1000000000)</x:f>
        <x:v>1.9</x:v>
      </x:c>
      <x:c r="R3470" s="13" t="n">
        <x:f>IF(I3470="","",I3470/1000000)</x:f>
        <x:v>2.375</x:v>
      </x:c>
    </x:row>
    <x:row r="3471" ht="21" customHeight="1">
      <x:c r="A3471" s="10" t="n">
        <x:v>4775</x:v>
      </x:c>
      <x:c r="B3471" s="2" t="str">
        <x:v>a9ca784e948f7a06fb83</x:v>
      </x:c>
      <x:c r="C3471" s="2" t="str">
        <x:v>Hà Nội</x:v>
      </x:c>
      <x:c r="D3471" s="2" t="str">
        <x:v>Quận Hoàng Mai</x:v>
      </x:c>
      <x:c r="E3471" s="2" t="str">
        <x:v>other_unknown</x:v>
      </x:c>
      <x:c r="F3471" s="2" t="str">
        <x:v>sale_assumed</x:v>
      </x:c>
      <x:c r="G3471" s="11" t="n">
        <x:v>40</x:v>
      </x:c>
      <x:c r="H3471" s="12" t="n">
        <x:v>2500000000</x:v>
      </x:c>
      <x:c r="I3471" s="12" t="n">
        <x:v>62500000</x:v>
      </x:c>
      <x:c r="J3471" s="2" t="str">
        <x:v>total</x:v>
      </x:c>
      <x:c r="K3471" s="2" t="str">
        <x:v>top_level_area</x:v>
      </x:c>
      <x:c r="L3471" s="2" t="str">
        <x:v>property_type_inferred_from_title;transaction_assumed_sale_from_dataset_context;unknown_property_type</x:v>
      </x:c>
      <x:c r="M3471" s="10" t="n">
        <x:v>0</x:v>
      </x:c>
      <x:c r="N3471" s="10" t="n">
        <x:v>0</x:v>
      </x:c>
      <x:c r="O3471" s="2" t="str">
        <x:v>Hà Nội|other_unknown</x:v>
      </x:c>
      <x:c r="P3471" s="10" t="n">
        <x:v>2</x:v>
      </x:c>
      <x:c r="Q3471" s="13" t="n">
        <x:f>IF(H3471="","",H3471/1000000000)</x:f>
        <x:v>2.5</x:v>
      </x:c>
      <x:c r="R3471" s="13" t="n">
        <x:f>IF(I3471="","",I3471/1000000)</x:f>
        <x:v>62.5</x:v>
      </x:c>
    </x:row>
    <x:row r="3472" ht="21" customHeight="1">
      <x:c r="A3472" s="10" t="n">
        <x:v>4776</x:v>
      </x:c>
      <x:c r="B3472" s="2" t="str">
        <x:v>8bff6823913aefa07dc8</x:v>
      </x:c>
      <x:c r="C3472" s="2" t="str">
        <x:v>Đà Nẵng</x:v>
      </x:c>
      <x:c r="D3472" s="2" t="str">
        <x:v>Quận Ngũ Hành Sơn</x:v>
      </x:c>
      <x:c r="E3472" s="2" t="str">
        <x:v>land</x:v>
      </x:c>
      <x:c r="F3472" s="2" t="str">
        <x:v>sale_assumed</x:v>
      </x:c>
      <x:c r="G3472" s="11" t="n">
        <x:v>83</x:v>
      </x:c>
      <x:c r="H3472" s="12" t="n">
        <x:v>9500000000</x:v>
      </x:c>
      <x:c r="I3472" s="12" t="n">
        <x:v>114457831.3253012</x:v>
      </x:c>
      <x:c r="J3472" s="2" t="str">
        <x:v>total</x:v>
      </x:c>
      <x:c r="K3472" s="2" t="str">
        <x:v>top_level_area</x:v>
      </x:c>
      <x:c r="L3472" s="2" t="str">
        <x:v>property_type_inferred_from_title;transaction_assumed_sale_from_dataset_context</x:v>
      </x:c>
      <x:c r="M3472" s="10" t="n">
        <x:v>0</x:v>
      </x:c>
      <x:c r="N3472" s="10" t="n">
        <x:v>1</x:v>
      </x:c>
      <x:c r="O3472" s="2" t="str">
        <x:v>Đà Nẵng|land</x:v>
      </x:c>
      <x:c r="P3472" s="10" t="n">
        <x:v>-1</x:v>
      </x:c>
      <x:c r="Q3472" s="13" t="n">
        <x:f>IF(H3472="","",H3472/1000000000)</x:f>
        <x:v>9.5</x:v>
      </x:c>
      <x:c r="R3472" s="13" t="n">
        <x:f>IF(I3472="","",I3472/1000000)</x:f>
        <x:v>114.4578313253012</x:v>
      </x:c>
    </x:row>
    <x:row r="3473" ht="21" customHeight="1">
      <x:c r="A3473" s="10" t="n">
        <x:v>4777</x:v>
      </x:c>
      <x:c r="B3473" s="2" t="str">
        <x:v>91c0fd0ec50a9d568c5b</x:v>
      </x:c>
      <x:c r="C3473" s="2" t="str">
        <x:v>Bình Dương</x:v>
      </x:c>
      <x:c r="D3473" s="2" t="str">
        <x:v>Thị xã Dĩ An</x:v>
      </x:c>
      <x:c r="E3473" s="2" t="str">
        <x:v>apartment</x:v>
      </x:c>
      <x:c r="F3473" s="2" t="str">
        <x:v>sale_assumed</x:v>
      </x:c>
      <x:c r="G3473" s="11" t="n">
        <x:v>75</x:v>
      </x:c>
      <x:c r="H3473" s="12" t="n">
        <x:v>1900000000</x:v>
      </x:c>
      <x:c r="I3473" s="12" t="n">
        <x:v>25333333.333333332</x:v>
      </x:c>
      <x:c r="J3473" s="2" t="str">
        <x:v>total</x:v>
      </x:c>
      <x:c r="K3473" s="2" t="str">
        <x:v>top_level_area</x:v>
      </x:c>
      <x:c r="L3473" s="2" t="str">
        <x:v>property_type_inferred_from_title;transaction_assumed_sale_from_dataset_context</x:v>
      </x:c>
      <x:c r="M3473" s="10" t="n">
        <x:v>0</x:v>
      </x:c>
      <x:c r="N3473" s="10" t="n">
        <x:v>0</x:v>
      </x:c>
      <x:c r="O3473" s="2" t="str">
        <x:v>Bình Dương|apartment</x:v>
      </x:c>
      <x:c r="P3473" s="10" t="n">
        <x:v>2</x:v>
      </x:c>
      <x:c r="Q3473" s="13" t="n">
        <x:f>IF(H3473="","",H3473/1000000000)</x:f>
        <x:v>1.9</x:v>
      </x:c>
      <x:c r="R3473" s="13" t="n">
        <x:f>IF(I3473="","",I3473/1000000)</x:f>
        <x:v>25.333333333333332</x:v>
      </x:c>
    </x:row>
    <x:row r="3474" ht="21" customHeight="1">
      <x:c r="A3474" s="10" t="n">
        <x:v>4778</x:v>
      </x:c>
      <x:c r="B3474" s="2" t="str">
        <x:v>214caf233746acabcb31</x:v>
      </x:c>
      <x:c r="C3474" s="2" t="str">
        <x:v>Sóc Trăng</x:v>
      </x:c>
      <x:c r="D3474" s="2" t="str">
        <x:v>Thành phố Sóc Trăng</x:v>
      </x:c>
      <x:c r="E3474" s="2" t="str">
        <x:v>land</x:v>
      </x:c>
      <x:c r="F3474" s="2" t="str">
        <x:v>sale_assumed</x:v>
      </x:c>
      <x:c r="G3474" s="11" t="n">
        <x:v>3236</x:v>
      </x:c>
      <x:c r="H3474" s="12" t="n">
        <x:v>2100000000</x:v>
      </x:c>
      <x:c r="I3474" s="12" t="n">
        <x:v>648949.3201483312</x:v>
      </x:c>
      <x:c r="J3474" s="2" t="str">
        <x:v>total</x:v>
      </x:c>
      <x:c r="K3474" s="2" t="str">
        <x:v>top_level_area</x:v>
      </x:c>
      <x:c r="L3474" s="2" t="str">
        <x:v>dot_thousands_convention;property_type_inferred_from_title;transaction_assumed_sale_from_dataset_context</x:v>
      </x:c>
      <x:c r="M3474" s="10" t="n">
        <x:v>0</x:v>
      </x:c>
      <x:c r="N3474" s="10" t="n">
        <x:v>0</x:v>
      </x:c>
      <x:c r="O3474" s="2" t="str">
        <x:v>land</x:v>
      </x:c>
      <x:c r="P3474" s="10" t="n">
        <x:v>1</x:v>
      </x:c>
      <x:c r="Q3474" s="13" t="n">
        <x:f>IF(H3474="","",H3474/1000000000)</x:f>
        <x:v>2.1</x:v>
      </x:c>
      <x:c r="R3474" s="13" t="n">
        <x:f>IF(I3474="","",I3474/1000000)</x:f>
        <x:v>0.6489493201483312</x:v>
      </x:c>
    </x:row>
    <x:row r="3475" ht="21" customHeight="1">
      <x:c r="A3475" s="10" t="n">
        <x:v>4779</x:v>
      </x:c>
      <x:c r="B3475" s="2" t="str">
        <x:v>851ecd0adccd032839b4</x:v>
      </x:c>
      <x:c r="C3475" s="2" t="str">
        <x:v>Khánh Hòa</x:v>
      </x:c>
      <x:c r="D3475" s="2" t="str">
        <x:v>Thị xã Ninh Hòa</x:v>
      </x:c>
      <x:c r="E3475" s="2" t="str">
        <x:v>land</x:v>
      </x:c>
      <x:c r="F3475" s="2" t="str">
        <x:v>sale_assumed</x:v>
      </x:c>
      <x:c r="G3475" s="11" t="n">
        <x:v>404</x:v>
      </x:c>
      <x:c r="H3475" s="12" t="n">
        <x:v>350000000</x:v>
      </x:c>
      <x:c r="I3475" s="12" t="n">
        <x:v>866336.6336633663</x:v>
      </x:c>
      <x:c r="J3475" s="2" t="str">
        <x:v>total</x:v>
      </x:c>
      <x:c r="K3475" s="2" t="str">
        <x:v>top_level_area</x:v>
      </x:c>
      <x:c r="L3475" s="2" t="str">
        <x:v>property_type_inferred_from_title;transaction_assumed_sale_from_dataset_context</x:v>
      </x:c>
      <x:c r="M3475" s="10" t="n">
        <x:v>0</x:v>
      </x:c>
      <x:c r="N3475" s="10" t="n">
        <x:v>0</x:v>
      </x:c>
      <x:c r="O3475" s="2" t="str">
        <x:v>land</x:v>
      </x:c>
      <x:c r="P3475" s="10" t="n">
        <x:v>1</x:v>
      </x:c>
      <x:c r="Q3475" s="13" t="n">
        <x:f>IF(H3475="","",H3475/1000000000)</x:f>
        <x:v>0.35</x:v>
      </x:c>
      <x:c r="R3475" s="13" t="n">
        <x:f>IF(I3475="","",I3475/1000000)</x:f>
        <x:v>0.8663366336633663</x:v>
      </x:c>
    </x:row>
    <x:row r="3476" ht="21" customHeight="1">
      <x:c r="A3476" s="10" t="n">
        <x:v>4780</x:v>
      </x:c>
      <x:c r="B3476" s="2" t="str">
        <x:v>d36003b3c5ca2c8ceed9</x:v>
      </x:c>
      <x:c r="C3476" s="2" t="str">
        <x:v>Đồng Nai</x:v>
      </x:c>
      <x:c r="D3476" s="2" t="str">
        <x:v>Huyện Trảng Bom</x:v>
      </x:c>
      <x:c r="E3476" s="2" t="str">
        <x:v>other_unknown</x:v>
      </x:c>
      <x:c r="F3476" s="2" t="str">
        <x:v>sale</x:v>
      </x:c>
      <x:c r="G3476" s="11" t="n">
        <x:v>117</x:v>
      </x:c>
      <x:c r="H3476" s="12" t="n">
        <x:v>480000000</x:v>
      </x:c>
      <x:c r="I3476" s="12" t="n">
        <x:v>4102564.1025641025</x:v>
      </x:c>
      <x:c r="J3476" s="2" t="str">
        <x:v>total</x:v>
      </x:c>
      <x:c r="K3476" s="2" t="str">
        <x:v>top_level_area</x:v>
      </x:c>
      <x:c r="L3476" s="2" t="str">
        <x:v>property_type_inferred_from_title;unknown_property_type</x:v>
      </x:c>
      <x:c r="M3476" s="10" t="n">
        <x:v>0</x:v>
      </x:c>
      <x:c r="N3476" s="10" t="n">
        <x:v>0</x:v>
      </x:c>
      <x:c r="O3476" s="2" t="str">
        <x:v>Đồng Nai|other_unknown</x:v>
      </x:c>
      <x:c r="P3476" s="10" t="n">
        <x:v>2</x:v>
      </x:c>
      <x:c r="Q3476" s="13" t="n">
        <x:f>IF(H3476="","",H3476/1000000000)</x:f>
        <x:v>0.48</x:v>
      </x:c>
      <x:c r="R3476" s="13" t="n">
        <x:f>IF(I3476="","",I3476/1000000)</x:f>
        <x:v>4.102564102564102</x:v>
      </x:c>
    </x:row>
    <x:row r="3477" ht="21" customHeight="1">
      <x:c r="A3477" s="10" t="n">
        <x:v>4781</x:v>
      </x:c>
      <x:c r="B3477" s="2" t="str">
        <x:v>4ef34507d6c41aa7cf0f</x:v>
      </x:c>
      <x:c r="C3477" s="2" t="str">
        <x:v>Đà Nẵng</x:v>
      </x:c>
      <x:c r="D3477" s="2" t="str">
        <x:v>Quận Ngũ Hành Sơn</x:v>
      </x:c>
      <x:c r="E3477" s="2" t="str">
        <x:v>land</x:v>
      </x:c>
      <x:c r="F3477" s="2" t="str">
        <x:v>sale</x:v>
      </x:c>
      <x:c r="G3477" s="11" t="n">
        <x:v>98</x:v>
      </x:c>
      <x:c r="H3477" s="12" t="n">
        <x:v>2950000000</x:v>
      </x:c>
      <x:c r="I3477" s="12" t="n">
        <x:v>30102040.81632653</x:v>
      </x:c>
      <x:c r="J3477" s="2" t="str">
        <x:v>total</x:v>
      </x:c>
      <x:c r="K3477" s="2" t="str">
        <x:v>top_level_area</x:v>
      </x:c>
      <x:c r="L3477" s="2" t="str">
        <x:v>property_type_inferred_from_title</x:v>
      </x:c>
      <x:c r="M3477" s="10" t="n">
        <x:v>0</x:v>
      </x:c>
      <x:c r="N3477" s="10" t="n">
        <x:v>0</x:v>
      </x:c>
      <x:c r="O3477" s="2" t="str">
        <x:v>Đà Nẵng|land</x:v>
      </x:c>
      <x:c r="P3477" s="10" t="n">
        <x:v>2</x:v>
      </x:c>
      <x:c r="Q3477" s="13" t="n">
        <x:f>IF(H3477="","",H3477/1000000000)</x:f>
        <x:v>2.95</x:v>
      </x:c>
      <x:c r="R3477" s="13" t="n">
        <x:f>IF(I3477="","",I3477/1000000)</x:f>
        <x:v>30.10204081632653</x:v>
      </x:c>
    </x:row>
    <x:row r="3478" ht="21" customHeight="1">
      <x:c r="A3478" s="10" t="n">
        <x:v>4782</x:v>
      </x:c>
      <x:c r="B3478" s="2" t="str">
        <x:v>153ebccd60304874c203</x:v>
      </x:c>
      <x:c r="C3478" s="2" t="str">
        <x:v>Tp Hồ Chí Minh</x:v>
      </x:c>
      <x:c r="D3478" s="2" t="str">
        <x:v>Huyện Củ Chi</x:v>
      </x:c>
      <x:c r="E3478" s="2" t="str">
        <x:v>other_unknown</x:v>
      </x:c>
      <x:c r="F3478" s="2" t="str">
        <x:v>sale_assumed</x:v>
      </x:c>
      <x:c r="G3478" s="11" t="n">
        <x:v>172</x:v>
      </x:c>
      <x:c r="H3478" s="12" t="n">
        <x:v>1800000000</x:v>
      </x:c>
      <x:c r="I3478" s="12" t="n">
        <x:v>10465116.279069768</x:v>
      </x:c>
      <x:c r="J3478" s="2" t="str">
        <x:v>total</x:v>
      </x:c>
      <x:c r="K3478" s="2" t="str">
        <x:v>top_level_area</x:v>
      </x:c>
      <x:c r="L3478" s="2" t="str">
        <x:v>property_type_inferred_from_title;transaction_assumed_sale_from_dataset_context;unknown_property_type</x:v>
      </x:c>
      <x:c r="M3478" s="10" t="n">
        <x:v>0</x:v>
      </x:c>
      <x:c r="N3478" s="10" t="n">
        <x:v>0</x:v>
      </x:c>
      <x:c r="O3478" s="2" t="str">
        <x:v>Tp Hồ Chí Minh|other_unknown</x:v>
      </x:c>
      <x:c r="P3478" s="10" t="n">
        <x:v>2</x:v>
      </x:c>
      <x:c r="Q3478" s="13" t="n">
        <x:f>IF(H3478="","",H3478/1000000000)</x:f>
        <x:v>1.8</x:v>
      </x:c>
      <x:c r="R3478" s="13" t="n">
        <x:f>IF(I3478="","",I3478/1000000)</x:f>
        <x:v>10.465116279069768</x:v>
      </x:c>
    </x:row>
    <x:row r="3479" ht="21" customHeight="1">
      <x:c r="A3479" s="10" t="n">
        <x:v>4783</x:v>
      </x:c>
      <x:c r="B3479" s="2" t="str">
        <x:v>299404ad1e5ebbece99a</x:v>
      </x:c>
      <x:c r="C3479" s="2" t="str">
        <x:v>Đồng Nai</x:v>
      </x:c>
      <x:c r="D3479" s="2" t="str">
        <x:v>Huyện Trảng Bom</x:v>
      </x:c>
      <x:c r="E3479" s="2" t="str">
        <x:v>other_unknown</x:v>
      </x:c>
      <x:c r="F3479" s="2" t="str">
        <x:v>sale</x:v>
      </x:c>
      <x:c r="G3479" s="11" t="n">
        <x:v>11700</x:v>
      </x:c>
      <x:c r="H3479" s="12" t="n">
        <x:v>15000000000</x:v>
      </x:c>
      <x:c r="I3479" s="12" t="n">
        <x:v>1282051.282051282</x:v>
      </x:c>
      <x:c r="J3479" s="2" t="str">
        <x:v>total</x:v>
      </x:c>
      <x:c r="K3479" s="2" t="str">
        <x:v>top_level_area</x:v>
      </x:c>
      <x:c r="L3479" s="2" t="str">
        <x:v>dot_thousands_convention;property_type_inferred_from_title;unknown_property_type</x:v>
      </x:c>
      <x:c r="M3479" s="10" t="n">
        <x:v>0</x:v>
      </x:c>
      <x:c r="N3479" s="10" t="n">
        <x:v>0</x:v>
      </x:c>
      <x:c r="O3479" s="2" t="str">
        <x:v>Đồng Nai|other_unknown</x:v>
      </x:c>
      <x:c r="P3479" s="10" t="n">
        <x:v>1</x:v>
      </x:c>
      <x:c r="Q3479" s="13" t="n">
        <x:f>IF(H3479="","",H3479/1000000000)</x:f>
        <x:v>15</x:v>
      </x:c>
      <x:c r="R3479" s="13" t="n">
        <x:f>IF(I3479="","",I3479/1000000)</x:f>
        <x:v>1.282051282051282</x:v>
      </x:c>
    </x:row>
    <x:row r="3480" ht="21" customHeight="1">
      <x:c r="A3480" s="10" t="n">
        <x:v>4784</x:v>
      </x:c>
      <x:c r="B3480" s="2" t="str">
        <x:v>d5aea758be2bd9333ef6</x:v>
      </x:c>
      <x:c r="C3480" s="2" t="str">
        <x:v>Hà Nội</x:v>
      </x:c>
      <x:c r="D3480" s="2" t="str">
        <x:v>Quận Đống Đa</x:v>
      </x:c>
      <x:c r="E3480" s="2" t="str">
        <x:v>apartment</x:v>
      </x:c>
      <x:c r="F3480" s="2" t="str">
        <x:v>sale_assumed</x:v>
      </x:c>
      <x:c r="G3480" s="11" t="n">
        <x:v>35</x:v>
      </x:c>
      <x:c r="H3480" s="12" t="n">
        <x:v>600000000</x:v>
      </x:c>
      <x:c r="I3480" s="12" t="n">
        <x:v>17142857.14285714</x:v>
      </x:c>
      <x:c r="J3480" s="2" t="str">
        <x:v>total</x:v>
      </x:c>
      <x:c r="K3480" s="2" t="str">
        <x:v>top_level_area</x:v>
      </x:c>
      <x:c r="L3480" s="2" t="str">
        <x:v>property_type_inferred_from_title;transaction_assumed_sale_from_dataset_context</x:v>
      </x:c>
      <x:c r="M3480" s="10" t="n">
        <x:v>0</x:v>
      </x:c>
      <x:c r="N3480" s="10" t="n">
        <x:v>0</x:v>
      </x:c>
      <x:c r="O3480" s="2" t="str">
        <x:v>Hà Nội|apartment</x:v>
      </x:c>
      <x:c r="P3480" s="10" t="n">
        <x:v>2</x:v>
      </x:c>
      <x:c r="Q3480" s="13" t="n">
        <x:f>IF(H3480="","",H3480/1000000000)</x:f>
        <x:v>0.6</x:v>
      </x:c>
      <x:c r="R3480" s="13" t="n">
        <x:f>IF(I3480="","",I3480/1000000)</x:f>
        <x:v>17.142857142857142</x:v>
      </x:c>
    </x:row>
    <x:row r="3481" ht="21" customHeight="1">
      <x:c r="A3481" s="10" t="n">
        <x:v>4785</x:v>
      </x:c>
      <x:c r="B3481" s="2" t="str">
        <x:v>c1a9b8ad53cc49e478c6</x:v>
      </x:c>
      <x:c r="C3481" s="2" t="str">
        <x:v>Hà Nội</x:v>
      </x:c>
      <x:c r="D3481" s="2" t="str">
        <x:v>Quận Hà Đông</x:v>
      </x:c>
      <x:c r="E3481" s="2" t="str">
        <x:v>house</x:v>
      </x:c>
      <x:c r="F3481" s="2" t="str">
        <x:v>sale_assumed</x:v>
      </x:c>
      <x:c r="G3481" s="11" t="n">
        <x:v>33</x:v>
      </x:c>
      <x:c r="H3481" s="12" t="n">
        <x:v>1820000000</x:v>
      </x:c>
      <x:c r="I3481" s="12" t="n">
        <x:v>55151515.15151515</x:v>
      </x:c>
      <x:c r="J3481" s="2" t="str">
        <x:v>total</x:v>
      </x:c>
      <x:c r="K3481" s="2" t="str">
        <x:v>top_level_area</x:v>
      </x:c>
      <x:c r="L3481" s="2" t="str">
        <x:v>property_type_inferred_from_title;transaction_assumed_sale_from_dataset_context</x:v>
      </x:c>
      <x:c r="M3481" s="10" t="n">
        <x:v>0</x:v>
      </x:c>
      <x:c r="N3481" s="10" t="n">
        <x:v>0</x:v>
      </x:c>
      <x:c r="O3481" s="2" t="str">
        <x:v>Hà Nội|house</x:v>
      </x:c>
      <x:c r="P3481" s="10" t="n">
        <x:v>2</x:v>
      </x:c>
      <x:c r="Q3481" s="13" t="n">
        <x:f>IF(H3481="","",H3481/1000000000)</x:f>
        <x:v>1.82</x:v>
      </x:c>
      <x:c r="R3481" s="13" t="n">
        <x:f>IF(I3481="","",I3481/1000000)</x:f>
        <x:v>55.15151515151515</x:v>
      </x:c>
    </x:row>
    <x:row r="3482" ht="21" customHeight="1">
      <x:c r="A3482" s="10" t="n">
        <x:v>4788</x:v>
      </x:c>
      <x:c r="B3482" s="2" t="str">
        <x:v>f7ef2e6dc1b3461025a3</x:v>
      </x:c>
      <x:c r="C3482" s="2" t="str">
        <x:v>Tp Hồ Chí Minh</x:v>
      </x:c>
      <x:c r="D3482" s="2" t="str">
        <x:v>Quận 2</x:v>
      </x:c>
      <x:c r="E3482" s="2" t="str">
        <x:v>land</x:v>
      </x:c>
      <x:c r="F3482" s="2" t="str">
        <x:v>sale_assumed</x:v>
      </x:c>
      <x:c r="G3482" s="11" t="n">
        <x:v>400</x:v>
      </x:c>
      <x:c r="H3482" s="12" t="n">
        <x:v>48000000000</x:v>
      </x:c>
      <x:c r="I3482" s="12" t="n">
        <x:v>120000000</x:v>
      </x:c>
      <x:c r="J3482" s="2" t="str">
        <x:v>total</x:v>
      </x:c>
      <x:c r="K3482" s="2" t="str">
        <x:v>top_level_area</x:v>
      </x:c>
      <x:c r="L3482" s="2" t="str">
        <x:v>property_type_inferred_from_title;transaction_assumed_sale_from_dataset_context</x:v>
      </x:c>
      <x:c r="M3482" s="10" t="n">
        <x:v>0</x:v>
      </x:c>
      <x:c r="N3482" s="10" t="n">
        <x:v>1</x:v>
      </x:c>
      <x:c r="O3482" s="2" t="str">
        <x:v>Tp Hồ Chí Minh|land</x:v>
      </x:c>
      <x:c r="P3482" s="10" t="n">
        <x:v>-1</x:v>
      </x:c>
      <x:c r="Q3482" s="13" t="n">
        <x:f>IF(H3482="","",H3482/1000000000)</x:f>
        <x:v>48</x:v>
      </x:c>
      <x:c r="R3482" s="13" t="n">
        <x:f>IF(I3482="","",I3482/1000000)</x:f>
        <x:v>120</x:v>
      </x:c>
    </x:row>
    <x:row r="3483" ht="21" customHeight="1">
      <x:c r="A3483" s="10" t="n">
        <x:v>4789</x:v>
      </x:c>
      <x:c r="B3483" s="2" t="str">
        <x:v>f3c635b63f709caa424b</x:v>
      </x:c>
      <x:c r="C3483" s="2" t="str">
        <x:v>Thanh Hóa</x:v>
      </x:c>
      <x:c r="D3483" s="2" t="str">
        <x:v>Huyện Hoằng Hóa</x:v>
      </x:c>
      <x:c r="E3483" s="2" t="str">
        <x:v>land</x:v>
      </x:c>
      <x:c r="F3483" s="2" t="str">
        <x:v>sale_assumed</x:v>
      </x:c>
      <x:c r="G3483" s="11" t="n">
        <x:v>326</x:v>
      </x:c>
      <x:c r="H3483" s="12" t="n">
        <x:v>3934555000</x:v>
      </x:c>
      <x:c r="I3483" s="12" t="n">
        <x:v>12069187.116564417</x:v>
      </x:c>
      <x:c r="J3483" s="2" t="str">
        <x:v>total</x:v>
      </x:c>
      <x:c r="K3483" s="2" t="str">
        <x:v>top_level_area</x:v>
      </x:c>
      <x:c r="L3483" s="2" t="str">
        <x:v>property_type_inferred_from_title;transaction_assumed_sale_from_dataset_context</x:v>
      </x:c>
      <x:c r="M3483" s="10" t="n">
        <x:v>0</x:v>
      </x:c>
      <x:c r="N3483" s="10" t="n">
        <x:v>0</x:v>
      </x:c>
      <x:c r="O3483" s="2" t="str">
        <x:v>land</x:v>
      </x:c>
      <x:c r="P3483" s="10" t="n">
        <x:v>1</x:v>
      </x:c>
      <x:c r="Q3483" s="13" t="n">
        <x:f>IF(H3483="","",H3483/1000000000)</x:f>
        <x:v>3.934555</x:v>
      </x:c>
      <x:c r="R3483" s="13" t="n">
        <x:f>IF(I3483="","",I3483/1000000)</x:f>
        <x:v>12.069187116564418</x:v>
      </x:c>
    </x:row>
    <x:row r="3484" ht="21" customHeight="1">
      <x:c r="A3484" s="10" t="n">
        <x:v>4790</x:v>
      </x:c>
      <x:c r="B3484" s="2" t="str">
        <x:v>364a896e395bea3b653a</x:v>
      </x:c>
      <x:c r="C3484" s="2" t="str">
        <x:v>Tp Hồ Chí Minh</x:v>
      </x:c>
      <x:c r="D3484" s="2" t="str">
        <x:v>Quận 12</x:v>
      </x:c>
      <x:c r="E3484" s="2" t="str">
        <x:v>other_unknown</x:v>
      </x:c>
      <x:c r="F3484" s="2" t="str">
        <x:v>sale_assumed</x:v>
      </x:c>
      <x:c r="G3484" s="11" t="n">
        <x:v>36</x:v>
      </x:c>
      <x:c r="H3484" s="12" t="n">
        <x:v>2250000000</x:v>
      </x:c>
      <x:c r="I3484" s="12" t="n">
        <x:v>62500000</x:v>
      </x:c>
      <x:c r="J3484" s="2" t="str">
        <x:v>total</x:v>
      </x:c>
      <x:c r="K3484" s="2" t="str">
        <x:v>top_level_price_embedded_area</x:v>
      </x:c>
      <x:c r="L3484" s="2" t="str">
        <x:v>area_recovered_from_price_text;property_type_inferred_from_title;transaction_assumed_sale_from_dataset_context;unknown_property_type</x:v>
      </x:c>
      <x:c r="M3484" s="10" t="n">
        <x:v>0</x:v>
      </x:c>
      <x:c r="N3484" s="10" t="n">
        <x:v>0</x:v>
      </x:c>
      <x:c r="O3484" s="2" t="str">
        <x:v>Tp Hồ Chí Minh|other_unknown</x:v>
      </x:c>
      <x:c r="P3484" s="10" t="n">
        <x:v>2</x:v>
      </x:c>
      <x:c r="Q3484" s="13" t="n">
        <x:f>IF(H3484="","",H3484/1000000000)</x:f>
        <x:v>2.25</x:v>
      </x:c>
      <x:c r="R3484" s="13" t="n">
        <x:f>IF(I3484="","",I3484/1000000)</x:f>
        <x:v>62.5</x:v>
      </x:c>
    </x:row>
    <x:row r="3485" ht="21" customHeight="1">
      <x:c r="A3485" s="10" t="n">
        <x:v>4791</x:v>
      </x:c>
      <x:c r="B3485" s="2" t="str">
        <x:v>5eb777ea70f2127fe217</x:v>
      </x:c>
      <x:c r="C3485" s="2" t="str">
        <x:v>Hà Nội</x:v>
      </x:c>
      <x:c r="D3485" s="2" t="str">
        <x:v>Quận Nam Từ Liêm</x:v>
      </x:c>
      <x:c r="E3485" s="2" t="str">
        <x:v>house</x:v>
      </x:c>
      <x:c r="F3485" s="2" t="str">
        <x:v>sale</x:v>
      </x:c>
      <x:c r="G3485" s="11" t="n">
        <x:v>50</x:v>
      </x:c>
      <x:c r="H3485" s="12" t="n">
        <x:v>6250000000</x:v>
      </x:c>
      <x:c r="I3485" s="12" t="n">
        <x:v>125000000</x:v>
      </x:c>
      <x:c r="J3485" s="2" t="str">
        <x:v>total</x:v>
      </x:c>
      <x:c r="K3485" s="2" t="str">
        <x:v>top_level_area</x:v>
      </x:c>
      <x:c r="L3485" s="2" t="str">
        <x:v>property_type_inferred_from_title</x:v>
      </x:c>
      <x:c r="M3485" s="10" t="n">
        <x:v>0</x:v>
      </x:c>
      <x:c r="N3485" s="10" t="n">
        <x:v>0</x:v>
      </x:c>
      <x:c r="O3485" s="2" t="str">
        <x:v>Hà Nội|house</x:v>
      </x:c>
      <x:c r="P3485" s="10" t="n">
        <x:v>2</x:v>
      </x:c>
      <x:c r="Q3485" s="13" t="n">
        <x:f>IF(H3485="","",H3485/1000000000)</x:f>
        <x:v>6.25</x:v>
      </x:c>
      <x:c r="R3485" s="13" t="n">
        <x:f>IF(I3485="","",I3485/1000000)</x:f>
        <x:v>125</x:v>
      </x:c>
    </x:row>
    <x:row r="3486" ht="21" customHeight="1">
      <x:c r="A3486" s="10" t="n">
        <x:v>4792</x:v>
      </x:c>
      <x:c r="B3486" s="2" t="str">
        <x:v>506409aefafea568b360</x:v>
      </x:c>
      <x:c r="C3486" s="2" t="str">
        <x:v>Hà Nội</x:v>
      </x:c>
      <x:c r="D3486" s="2" t="str">
        <x:v>Quận Thanh Xuân</x:v>
      </x:c>
      <x:c r="E3486" s="2" t="str">
        <x:v>house</x:v>
      </x:c>
      <x:c r="F3486" s="2" t="str">
        <x:v>sale</x:v>
      </x:c>
      <x:c r="G3486" s="11" t="n">
        <x:v>70</x:v>
      </x:c>
      <x:c r="H3486" s="12" t="n">
        <x:v>10350000000</x:v>
      </x:c>
      <x:c r="I3486" s="12" t="n">
        <x:v>147857142.85714287</x:v>
      </x:c>
      <x:c r="J3486" s="2" t="str">
        <x:v>total</x:v>
      </x:c>
      <x:c r="K3486" s="2" t="str">
        <x:v>top_level_area</x:v>
      </x:c>
      <x:c r="L3486" s="2" t="str">
        <x:v>property_type_inferred_from_title</x:v>
      </x:c>
      <x:c r="M3486" s="10" t="n">
        <x:v>0</x:v>
      </x:c>
      <x:c r="N3486" s="10" t="n">
        <x:v>0</x:v>
      </x:c>
      <x:c r="O3486" s="2" t="str">
        <x:v>Hà Nội|house</x:v>
      </x:c>
      <x:c r="P3486" s="10" t="n">
        <x:v>2</x:v>
      </x:c>
      <x:c r="Q3486" s="13" t="n">
        <x:f>IF(H3486="","",H3486/1000000000)</x:f>
        <x:v>10.35</x:v>
      </x:c>
      <x:c r="R3486" s="13" t="n">
        <x:f>IF(I3486="","",I3486/1000000)</x:f>
        <x:v>147.85714285714286</x:v>
      </x:c>
    </x:row>
    <x:row r="3487" ht="21" customHeight="1">
      <x:c r="A3487" s="10" t="n">
        <x:v>4793</x:v>
      </x:c>
      <x:c r="B3487" s="2" t="str">
        <x:v>bbfc27ad6dd4953a9879</x:v>
      </x:c>
      <x:c r="C3487" s="2" t="str">
        <x:v>Tp Hồ Chí Minh</x:v>
      </x:c>
      <x:c r="D3487" s="2" t="str">
        <x:v>Quận 10</x:v>
      </x:c>
      <x:c r="E3487" s="2" t="str">
        <x:v>other_unknown</x:v>
      </x:c>
      <x:c r="F3487" s="2" t="str">
        <x:v>sale</x:v>
      </x:c>
      <x:c r="G3487" s="11" t="n">
        <x:v>38</x:v>
      </x:c>
      <x:c r="H3487" s="12" t="n">
        <x:v>7600000000</x:v>
      </x:c>
      <x:c r="I3487" s="12" t="n">
        <x:v>200000000</x:v>
      </x:c>
      <x:c r="J3487" s="2" t="str">
        <x:v>total</x:v>
      </x:c>
      <x:c r="K3487" s="2" t="str">
        <x:v>top_level_area</x:v>
      </x:c>
      <x:c r="L3487" s="2" t="str">
        <x:v>property_type_inferred_from_title;unknown_property_type</x:v>
      </x:c>
      <x:c r="M3487" s="10" t="n">
        <x:v>1</x:v>
      </x:c>
      <x:c r="N3487" s="10" t="n">
        <x:v>0</x:v>
      </x:c>
      <x:c r="O3487" s="2" t="str">
        <x:v>Tp Hồ Chí Minh|other_unknown</x:v>
      </x:c>
      <x:c r="P3487" s="10" t="n">
        <x:v>2</x:v>
      </x:c>
      <x:c r="Q3487" s="13" t="n">
        <x:f>IF(H3487="","",H3487/1000000000)</x:f>
        <x:v>7.6</x:v>
      </x:c>
      <x:c r="R3487" s="13" t="n">
        <x:f>IF(I3487="","",I3487/1000000)</x:f>
        <x:v>200</x:v>
      </x:c>
    </x:row>
    <x:row r="3488" ht="21" customHeight="1">
      <x:c r="A3488" s="10" t="n">
        <x:v>4794</x:v>
      </x:c>
      <x:c r="B3488" s="2" t="str">
        <x:v>40dec338550b97efbc91</x:v>
      </x:c>
      <x:c r="C3488" s="2" t="str">
        <x:v>Tp Hồ Chí Minh</x:v>
      </x:c>
      <x:c r="D3488" s="2" t="str">
        <x:v>Quận Tân Bình</x:v>
      </x:c>
      <x:c r="E3488" s="2" t="str">
        <x:v>house</x:v>
      </x:c>
      <x:c r="F3488" s="2" t="str">
        <x:v>sale</x:v>
      </x:c>
      <x:c r="G3488" s="11" t="n">
        <x:v>93</x:v>
      </x:c>
      <x:c r="H3488" s="12" t="n">
        <x:v>11000000000</x:v>
      </x:c>
      <x:c r="I3488" s="12" t="n">
        <x:v>118279569.89247312</x:v>
      </x:c>
      <x:c r="J3488" s="2" t="str">
        <x:v>total</x:v>
      </x:c>
      <x:c r="K3488" s="2" t="str">
        <x:v>top_level_area</x:v>
      </x:c>
      <x:c r="L3488" s="2" t="str">
        <x:v>property_type_inferred_from_title</x:v>
      </x:c>
      <x:c r="M3488" s="10" t="n">
        <x:v>0</x:v>
      </x:c>
      <x:c r="N3488" s="10" t="n">
        <x:v>0</x:v>
      </x:c>
      <x:c r="O3488" s="2" t="str">
        <x:v>Tp Hồ Chí Minh|house</x:v>
      </x:c>
      <x:c r="P3488" s="10" t="n">
        <x:v>2</x:v>
      </x:c>
      <x:c r="Q3488" s="13" t="n">
        <x:f>IF(H3488="","",H3488/1000000000)</x:f>
        <x:v>11</x:v>
      </x:c>
      <x:c r="R3488" s="13" t="n">
        <x:f>IF(I3488="","",I3488/1000000)</x:f>
        <x:v>118.27956989247312</x:v>
      </x:c>
    </x:row>
    <x:row r="3489" ht="21" customHeight="1">
      <x:c r="A3489" s="10" t="n">
        <x:v>4795</x:v>
      </x:c>
      <x:c r="B3489" s="2" t="str">
        <x:v>fafcd46df89c3c5b2533</x:v>
      </x:c>
      <x:c r="C3489" s="2" t="str">
        <x:v>Hà Nội</x:v>
      </x:c>
      <x:c r="D3489" s="2" t="str">
        <x:v>Quận Hà Đông</x:v>
      </x:c>
      <x:c r="E3489" s="2" t="str">
        <x:v>house</x:v>
      </x:c>
      <x:c r="F3489" s="2" t="str">
        <x:v>sale_assumed</x:v>
      </x:c>
      <x:c r="G3489" s="11" t="n">
        <x:v>30</x:v>
      </x:c>
      <x:c r="H3489" s="12" t="n">
        <x:v>2400000000</x:v>
      </x:c>
      <x:c r="I3489" s="12" t="n">
        <x:v>80000000</x:v>
      </x:c>
      <x:c r="J3489" s="2" t="str">
        <x:v>total</x:v>
      </x:c>
      <x:c r="K3489" s="2" t="str">
        <x:v>top_level_area</x:v>
      </x:c>
      <x:c r="L3489" s="2" t="str">
        <x:v>property_type_inferred_from_title;transaction_assumed_sale_from_dataset_context</x:v>
      </x:c>
      <x:c r="M3489" s="10" t="n">
        <x:v>0</x:v>
      </x:c>
      <x:c r="N3489" s="10" t="n">
        <x:v>0</x:v>
      </x:c>
      <x:c r="O3489" s="2" t="str">
        <x:v>Hà Nội|house</x:v>
      </x:c>
      <x:c r="P3489" s="10" t="n">
        <x:v>2</x:v>
      </x:c>
      <x:c r="Q3489" s="13" t="n">
        <x:f>IF(H3489="","",H3489/1000000000)</x:f>
        <x:v>2.4</x:v>
      </x:c>
      <x:c r="R3489" s="13" t="n">
        <x:f>IF(I3489="","",I3489/1000000)</x:f>
        <x:v>80</x:v>
      </x:c>
    </x:row>
    <x:row r="3490" ht="21" customHeight="1">
      <x:c r="A3490" s="10" t="n">
        <x:v>4796</x:v>
      </x:c>
      <x:c r="B3490" s="2" t="str">
        <x:v>90829e52ec45b911d565</x:v>
      </x:c>
      <x:c r="C3490" s="2" t="str">
        <x:v>Bình Dương</x:v>
      </x:c>
      <x:c r="D3490" s="2" t="str">
        <x:v>Thị xã Dĩ An</x:v>
      </x:c>
      <x:c r="E3490" s="2" t="str">
        <x:v>other_unknown</x:v>
      </x:c>
      <x:c r="F3490" s="2" t="str">
        <x:v>sale</x:v>
      </x:c>
      <x:c r="G3490" s="11" t="n">
        <x:v>75</x:v>
      </x:c>
      <x:c r="H3490" s="12" t="n">
        <x:v>1950000000</x:v>
      </x:c>
      <x:c r="I3490" s="12" t="n">
        <x:v>26000000</x:v>
      </x:c>
      <x:c r="J3490" s="2" t="str">
        <x:v>total</x:v>
      </x:c>
      <x:c r="K3490" s="2" t="str">
        <x:v>top_level_area</x:v>
      </x:c>
      <x:c r="L3490" s="2" t="str">
        <x:v>property_type_inferred_from_title;unknown_property_type</x:v>
      </x:c>
      <x:c r="M3490" s="10" t="n">
        <x:v>0</x:v>
      </x:c>
      <x:c r="N3490" s="10" t="n">
        <x:v>0</x:v>
      </x:c>
      <x:c r="O3490" s="2" t="str">
        <x:v>Bình Dương|other_unknown</x:v>
      </x:c>
      <x:c r="P3490" s="10" t="n">
        <x:v>2</x:v>
      </x:c>
      <x:c r="Q3490" s="13" t="n">
        <x:f>IF(H3490="","",H3490/1000000000)</x:f>
        <x:v>1.95</x:v>
      </x:c>
      <x:c r="R3490" s="13" t="n">
        <x:f>IF(I3490="","",I3490/1000000)</x:f>
        <x:v>26</x:v>
      </x:c>
    </x:row>
    <x:row r="3491" ht="21" customHeight="1">
      <x:c r="A3491" s="10" t="n">
        <x:v>4798</x:v>
      </x:c>
      <x:c r="B3491" s="2" t="str">
        <x:v>bf17245e54352a218f6e</x:v>
      </x:c>
      <x:c r="C3491" s="2" t="str">
        <x:v>Hà Nội</x:v>
      </x:c>
      <x:c r="D3491" s="2" t="str">
        <x:v>Quận Long Biên</x:v>
      </x:c>
      <x:c r="E3491" s="2" t="str">
        <x:v>other_unknown</x:v>
      </x:c>
      <x:c r="F3491" s="2" t="str">
        <x:v>sale_assumed</x:v>
      </x:c>
      <x:c r="G3491" s="11" t="n">
        <x:v>30</x:v>
      </x:c>
      <x:c r="H3491" s="12" t="n">
        <x:v>1730000000</x:v>
      </x:c>
      <x:c r="I3491" s="12" t="n">
        <x:v>57666666.666666664</x:v>
      </x:c>
      <x:c r="J3491" s="2" t="str">
        <x:v>total</x:v>
      </x:c>
      <x:c r="K3491" s="2" t="str">
        <x:v>top_level_area</x:v>
      </x:c>
      <x:c r="L3491" s="2" t="str">
        <x:v>property_type_inferred_from_title;transaction_assumed_sale_from_dataset_context;unknown_property_type</x:v>
      </x:c>
      <x:c r="M3491" s="10" t="n">
        <x:v>0</x:v>
      </x:c>
      <x:c r="N3491" s="10" t="n">
        <x:v>0</x:v>
      </x:c>
      <x:c r="O3491" s="2" t="str">
        <x:v>Hà Nội|other_unknown</x:v>
      </x:c>
      <x:c r="P3491" s="10" t="n">
        <x:v>2</x:v>
      </x:c>
      <x:c r="Q3491" s="13" t="n">
        <x:f>IF(H3491="","",H3491/1000000000)</x:f>
        <x:v>1.73</x:v>
      </x:c>
      <x:c r="R3491" s="13" t="n">
        <x:f>IF(I3491="","",I3491/1000000)</x:f>
        <x:v>57.666666666666664</x:v>
      </x:c>
    </x:row>
    <x:row r="3492" ht="21" customHeight="1">
      <x:c r="A3492" s="10" t="n">
        <x:v>4799</x:v>
      </x:c>
      <x:c r="B3492" s="2" t="str">
        <x:v>037359c9c75fd5a09e9f</x:v>
      </x:c>
      <x:c r="C3492" s="2" t="str">
        <x:v>Hà Nội</x:v>
      </x:c>
      <x:c r="D3492" s="2" t="str">
        <x:v>Quận Hà Đông</x:v>
      </x:c>
      <x:c r="E3492" s="2" t="str">
        <x:v>house</x:v>
      </x:c>
      <x:c r="F3492" s="2" t="str">
        <x:v>sale</x:v>
      </x:c>
      <x:c r="G3492" s="11" t="n">
        <x:v>36</x:v>
      </x:c>
      <x:c r="H3492" s="12" t="n">
        <x:v>2150000000</x:v>
      </x:c>
      <x:c r="I3492" s="12" t="n">
        <x:v>59722222.222222224</x:v>
      </x:c>
      <x:c r="J3492" s="2" t="str">
        <x:v>total</x:v>
      </x:c>
      <x:c r="K3492" s="2" t="str">
        <x:v>top_level_area</x:v>
      </x:c>
      <x:c r="L3492" s="2" t="str">
        <x:v>property_type_inferred_from_title</x:v>
      </x:c>
      <x:c r="M3492" s="10" t="n">
        <x:v>0</x:v>
      </x:c>
      <x:c r="N3492" s="10" t="n">
        <x:v>0</x:v>
      </x:c>
      <x:c r="O3492" s="2" t="str">
        <x:v>Hà Nội|house</x:v>
      </x:c>
      <x:c r="P3492" s="10" t="n">
        <x:v>2</x:v>
      </x:c>
      <x:c r="Q3492" s="13" t="n">
        <x:f>IF(H3492="","",H3492/1000000000)</x:f>
        <x:v>2.15</x:v>
      </x:c>
      <x:c r="R3492" s="13" t="n">
        <x:f>IF(I3492="","",I3492/1000000)</x:f>
        <x:v>59.72222222222222</x:v>
      </x:c>
    </x:row>
    <x:row r="3493" ht="21" customHeight="1">
      <x:c r="A3493" s="10" t="n">
        <x:v>4800</x:v>
      </x:c>
      <x:c r="B3493" s="2" t="str">
        <x:v>267d9432a96ab180e8bd</x:v>
      </x:c>
      <x:c r="C3493" s="2" t="str">
        <x:v>Long An</x:v>
      </x:c>
      <x:c r="D3493" s="2" t="str">
        <x:v>Huyện Cần Đước</x:v>
      </x:c>
      <x:c r="E3493" s="2" t="str">
        <x:v>land</x:v>
      </x:c>
      <x:c r="F3493" s="2" t="str">
        <x:v>sale</x:v>
      </x:c>
      <x:c r="G3493" s="11" t="n">
        <x:v>90</x:v>
      </x:c>
      <x:c r="H3493" s="12" t="n">
        <x:v>500000000</x:v>
      </x:c>
      <x:c r="I3493" s="12" t="n">
        <x:v>5555555.555555556</x:v>
      </x:c>
      <x:c r="J3493" s="2" t="str">
        <x:v>total</x:v>
      </x:c>
      <x:c r="K3493" s="2" t="str">
        <x:v>top_level_area</x:v>
      </x:c>
      <x:c r="L3493" s="2" t="str">
        <x:v>property_type_inferred_from_title</x:v>
      </x:c>
      <x:c r="M3493" s="10" t="n">
        <x:v>0</x:v>
      </x:c>
      <x:c r="N3493" s="10" t="n">
        <x:v>0</x:v>
      </x:c>
      <x:c r="O3493" s="2" t="str">
        <x:v>Long An|land</x:v>
      </x:c>
      <x:c r="P3493" s="10" t="n">
        <x:v>2</x:v>
      </x:c>
      <x:c r="Q3493" s="13" t="n">
        <x:f>IF(H3493="","",H3493/1000000000)</x:f>
        <x:v>0.5</x:v>
      </x:c>
      <x:c r="R3493" s="13" t="n">
        <x:f>IF(I3493="","",I3493/1000000)</x:f>
        <x:v>5.555555555555556</x:v>
      </x:c>
    </x:row>
    <x:row r="3494" ht="21" customHeight="1">
      <x:c r="A3494" s="10" t="n">
        <x:v>4801</x:v>
      </x:c>
      <x:c r="B3494" s="2" t="str">
        <x:v>229c2b7a1e61e9b4a212</x:v>
      </x:c>
      <x:c r="C3494" s="2" t="str">
        <x:v>Hà Nội</x:v>
      </x:c>
      <x:c r="D3494" s="2" t="str">
        <x:v>Quận Tây Hồ</x:v>
      </x:c>
      <x:c r="E3494" s="2" t="str">
        <x:v>other_unknown</x:v>
      </x:c>
      <x:c r="F3494" s="2" t="str">
        <x:v>sale_assumed</x:v>
      </x:c>
      <x:c r="G3494" s="11" t="n">
        <x:v>51</x:v>
      </x:c>
      <x:c r="H3494" s="12" t="n">
        <x:v>3350000000</x:v>
      </x:c>
      <x:c r="I3494" s="12" t="n">
        <x:v>65686274.50980392</x:v>
      </x:c>
      <x:c r="J3494" s="2" t="str">
        <x:v>total</x:v>
      </x:c>
      <x:c r="K3494" s="2" t="str">
        <x:v>top_level_area</x:v>
      </x:c>
      <x:c r="L3494" s="2" t="str">
        <x:v>property_type_inferred_from_title;transaction_assumed_sale_from_dataset_context;unknown_property_type</x:v>
      </x:c>
      <x:c r="M3494" s="10" t="n">
        <x:v>0</x:v>
      </x:c>
      <x:c r="N3494" s="10" t="n">
        <x:v>0</x:v>
      </x:c>
      <x:c r="O3494" s="2" t="str">
        <x:v>Hà Nội|other_unknown</x:v>
      </x:c>
      <x:c r="P3494" s="10" t="n">
        <x:v>2</x:v>
      </x:c>
      <x:c r="Q3494" s="13" t="n">
        <x:f>IF(H3494="","",H3494/1000000000)</x:f>
        <x:v>3.35</x:v>
      </x:c>
      <x:c r="R3494" s="13" t="n">
        <x:f>IF(I3494="","",I3494/1000000)</x:f>
        <x:v>65.68627450980392</x:v>
      </x:c>
    </x:row>
    <x:row r="3495" ht="21" customHeight="1">
      <x:c r="A3495" s="10" t="n">
        <x:v>4802</x:v>
      </x:c>
      <x:c r="B3495" s="2" t="str">
        <x:v>4395333ce24c0040c750</x:v>
      </x:c>
      <x:c r="C3495" s="2" t="str">
        <x:v>Lâm Đồng</x:v>
      </x:c>
      <x:c r="D3495" s="2" t="str">
        <x:v>Thành phố Bảo Lộc</x:v>
      </x:c>
      <x:c r="E3495" s="2" t="str">
        <x:v>house</x:v>
      </x:c>
      <x:c r="F3495" s="2" t="str">
        <x:v>sale</x:v>
      </x:c>
      <x:c r="G3495" s="11" t="n">
        <x:v>1233</x:v>
      </x:c>
      <x:c r="H3495" s="12" t="n">
        <x:v>2850000000</x:v>
      </x:c>
      <x:c r="I3495" s="12" t="n">
        <x:v>2311435.5231143553</x:v>
      </x:c>
      <x:c r="J3495" s="2" t="str">
        <x:v>total</x:v>
      </x:c>
      <x:c r="K3495" s="2" t="str">
        <x:v>top_level_area</x:v>
      </x:c>
      <x:c r="L3495" s="2" t="str">
        <x:v>dot_thousands_convention;property_type_inferred_from_title</x:v>
      </x:c>
      <x:c r="M3495" s="10" t="n">
        <x:v>0</x:v>
      </x:c>
      <x:c r="N3495" s="10" t="n">
        <x:v>0</x:v>
      </x:c>
      <x:c r="O3495" s="2" t="str">
        <x:v>house</x:v>
      </x:c>
      <x:c r="P3495" s="10" t="n">
        <x:v>1</x:v>
      </x:c>
      <x:c r="Q3495" s="13" t="n">
        <x:f>IF(H3495="","",H3495/1000000000)</x:f>
        <x:v>2.85</x:v>
      </x:c>
      <x:c r="R3495" s="13" t="n">
        <x:f>IF(I3495="","",I3495/1000000)</x:f>
        <x:v>2.3114355231143553</x:v>
      </x:c>
    </x:row>
    <x:row r="3496" ht="21" customHeight="1">
      <x:c r="A3496" s="10" t="n">
        <x:v>4803</x:v>
      </x:c>
      <x:c r="B3496" s="2" t="str">
        <x:v>9f8f7dd3a39f8bec8a8b</x:v>
      </x:c>
      <x:c r="C3496" s="2" t="str">
        <x:v>Tp Hồ Chí Minh</x:v>
      </x:c>
      <x:c r="D3496" s="2" t="str">
        <x:v>Quận 5</x:v>
      </x:c>
      <x:c r="E3496" s="2" t="str">
        <x:v>house</x:v>
      </x:c>
      <x:c r="F3496" s="2" t="str">
        <x:v>sale</x:v>
      </x:c>
      <x:c r="G3496" s="11" t="n">
        <x:v>57</x:v>
      </x:c>
      <x:c r="H3496" s="12" t="n">
        <x:v>15200000000</x:v>
      </x:c>
      <x:c r="I3496" s="12" t="n">
        <x:v>266666666.66666666</x:v>
      </x:c>
      <x:c r="J3496" s="2" t="str">
        <x:v>total</x:v>
      </x:c>
      <x:c r="K3496" s="2" t="str">
        <x:v>top_level_area</x:v>
      </x:c>
      <x:c r="L3496" s="2" t="str">
        <x:v>property_type_inferred_from_title</x:v>
      </x:c>
      <x:c r="M3496" s="10" t="n">
        <x:v>1</x:v>
      </x:c>
      <x:c r="N3496" s="10" t="n">
        <x:v>1</x:v>
      </x:c>
      <x:c r="O3496" s="2" t="str">
        <x:v>Tp Hồ Chí Minh|house</x:v>
      </x:c>
      <x:c r="P3496" s="10" t="n">
        <x:v>-1</x:v>
      </x:c>
      <x:c r="Q3496" s="13" t="n">
        <x:f>IF(H3496="","",H3496/1000000000)</x:f>
        <x:v>15.2</x:v>
      </x:c>
      <x:c r="R3496" s="13" t="n">
        <x:f>IF(I3496="","",I3496/1000000)</x:f>
        <x:v>266.66666666666663</x:v>
      </x:c>
    </x:row>
    <x:row r="3497" ht="21" customHeight="1">
      <x:c r="A3497" s="10" t="n">
        <x:v>4804</x:v>
      </x:c>
      <x:c r="B3497" s="2" t="str">
        <x:v>b667efe8625996683eeb</x:v>
      </x:c>
      <x:c r="C3497" s="2" t="str">
        <x:v>Chưa xác định</x:v>
      </x:c>
      <x:c r="D3497" s="2" t="str">
        <x:v>Chưa xác định</x:v>
      </x:c>
      <x:c r="E3497" s="2" t="str">
        <x:v>apartment</x:v>
      </x:c>
      <x:c r="F3497" s="2" t="str">
        <x:v>sale_assumed</x:v>
      </x:c>
      <x:c r="G3497" s="11" t="n">
        <x:v>52</x:v>
      </x:c>
      <x:c r="H3497" s="12" t="n">
        <x:v>1850000000</x:v>
      </x:c>
      <x:c r="I3497" s="12" t="n">
        <x:v>35576923.07692308</x:v>
      </x:c>
      <x:c r="J3497" s="2" t="str">
        <x:v>total</x:v>
      </x:c>
      <x:c r="K3497" s="2" t="str">
        <x:v>top_level_area</x:v>
      </x:c>
      <x:c r="L3497" s="2" t="str">
        <x:v>property_type_inferred_from_title;transaction_assumed_sale_from_dataset_context;unknown_district;unknown_province</x:v>
      </x:c>
      <x:c r="M3497" s="10" t="n">
        <x:v>0</x:v>
      </x:c>
      <x:c r="N3497" s="10" t="n">
        <x:v>0</x:v>
      </x:c>
      <x:c r="O3497" s="2" t="str">
        <x:v>apartment</x:v>
      </x:c>
      <x:c r="P3497" s="10" t="n">
        <x:v>2</x:v>
      </x:c>
      <x:c r="Q3497" s="13" t="n">
        <x:f>IF(H3497="","",H3497/1000000000)</x:f>
        <x:v>1.85</x:v>
      </x:c>
      <x:c r="R3497" s="13" t="n">
        <x:f>IF(I3497="","",I3497/1000000)</x:f>
        <x:v>35.57692307692308</x:v>
      </x:c>
    </x:row>
    <x:row r="3498" ht="21" customHeight="1">
      <x:c r="A3498" s="10" t="n">
        <x:v>4805</x:v>
      </x:c>
      <x:c r="B3498" s="2" t="str">
        <x:v>05f21527ae85ebb7cffa</x:v>
      </x:c>
      <x:c r="C3498" s="2" t="str">
        <x:v>Tp Hồ Chí Minh</x:v>
      </x:c>
      <x:c r="D3498" s="2" t="str">
        <x:v>Quận Thủ Đức</x:v>
      </x:c>
      <x:c r="E3498" s="2" t="str">
        <x:v>house</x:v>
      </x:c>
      <x:c r="F3498" s="2" t="str">
        <x:v>sale_assumed</x:v>
      </x:c>
      <x:c r="G3498" s="11" t="n">
        <x:v>56</x:v>
      </x:c>
      <x:c r="H3498" s="12" t="n">
        <x:v>7900000000</x:v>
      </x:c>
      <x:c r="I3498" s="12" t="n">
        <x:v>141071428.57142857</x:v>
      </x:c>
      <x:c r="J3498" s="2" t="str">
        <x:v>total</x:v>
      </x:c>
      <x:c r="K3498" s="2" t="str">
        <x:v>top_level_area</x:v>
      </x:c>
      <x:c r="L3498" s="2" t="str">
        <x:v>property_type_inferred_from_title;transaction_assumed_sale_from_dataset_context</x:v>
      </x:c>
      <x:c r="M3498" s="10" t="n">
        <x:v>0</x:v>
      </x:c>
      <x:c r="N3498" s="10" t="n">
        <x:v>0</x:v>
      </x:c>
      <x:c r="O3498" s="2" t="str">
        <x:v>Tp Hồ Chí Minh|house</x:v>
      </x:c>
      <x:c r="P3498" s="10" t="n">
        <x:v>2</x:v>
      </x:c>
      <x:c r="Q3498" s="13" t="n">
        <x:f>IF(H3498="","",H3498/1000000000)</x:f>
        <x:v>7.9</x:v>
      </x:c>
      <x:c r="R3498" s="13" t="n">
        <x:f>IF(I3498="","",I3498/1000000)</x:f>
        <x:v>141.07142857142856</x:v>
      </x:c>
    </x:row>
    <x:row r="3499" ht="21" customHeight="1">
      <x:c r="A3499" s="10" t="n">
        <x:v>4806</x:v>
      </x:c>
      <x:c r="B3499" s="2" t="str">
        <x:v>bc661c5f55e9224c4273</x:v>
      </x:c>
      <x:c r="C3499" s="2" t="str">
        <x:v>Tp Hồ Chí Minh</x:v>
      </x:c>
      <x:c r="D3499" s="2" t="str">
        <x:v>Huyện Củ Chi</x:v>
      </x:c>
      <x:c r="E3499" s="2" t="str">
        <x:v>house</x:v>
      </x:c>
      <x:c r="F3499" s="2" t="str">
        <x:v>sale_assumed</x:v>
      </x:c>
      <x:c r="G3499" s="11" t="n">
        <x:v>72</x:v>
      </x:c>
      <x:c r="H3499" s="12" t="n">
        <x:v>1350000000</x:v>
      </x:c>
      <x:c r="I3499" s="12" t="n">
        <x:v>18750000</x:v>
      </x:c>
      <x:c r="J3499" s="2" t="str">
        <x:v>total</x:v>
      </x:c>
      <x:c r="K3499" s="2" t="str">
        <x:v>top_level_area</x:v>
      </x:c>
      <x:c r="L3499" s="2" t="str">
        <x:v>property_type_inferred_from_title;transaction_assumed_sale_from_dataset_context</x:v>
      </x:c>
      <x:c r="M3499" s="10" t="n">
        <x:v>0</x:v>
      </x:c>
      <x:c r="N3499" s="10" t="n">
        <x:v>0</x:v>
      </x:c>
      <x:c r="O3499" s="2" t="str">
        <x:v>Tp Hồ Chí Minh|house</x:v>
      </x:c>
      <x:c r="P3499" s="10" t="n">
        <x:v>2</x:v>
      </x:c>
      <x:c r="Q3499" s="13" t="n">
        <x:f>IF(H3499="","",H3499/1000000000)</x:f>
        <x:v>1.35</x:v>
      </x:c>
      <x:c r="R3499" s="13" t="n">
        <x:f>IF(I3499="","",I3499/1000000)</x:f>
        <x:v>18.75</x:v>
      </x:c>
    </x:row>
    <x:row r="3500" ht="21" customHeight="1">
      <x:c r="A3500" s="10" t="n">
        <x:v>4809</x:v>
      </x:c>
      <x:c r="B3500" s="2" t="str">
        <x:v>5b1840b8687f0baf09db</x:v>
      </x:c>
      <x:c r="C3500" s="2" t="str">
        <x:v>Tp Hồ Chí Minh</x:v>
      </x:c>
      <x:c r="D3500" s="2" t="str">
        <x:v>Quận Gò Vấp</x:v>
      </x:c>
      <x:c r="E3500" s="2" t="str">
        <x:v>house</x:v>
      </x:c>
      <x:c r="F3500" s="2" t="str">
        <x:v>sale_assumed</x:v>
      </x:c>
      <x:c r="G3500" s="11" t="n">
        <x:v>35</x:v>
      </x:c>
      <x:c r="H3500" s="12" t="n">
        <x:v>4500000000</x:v>
      </x:c>
      <x:c r="I3500" s="12" t="n">
        <x:v>128571428.57142857</x:v>
      </x:c>
      <x:c r="J3500" s="2" t="str">
        <x:v>total</x:v>
      </x:c>
      <x:c r="K3500" s="2" t="str">
        <x:v>top_level_area</x:v>
      </x:c>
      <x:c r="L3500" s="2" t="str">
        <x:v>property_type_inferred_from_title;transaction_assumed_sale_from_dataset_context</x:v>
      </x:c>
      <x:c r="M3500" s="10" t="n">
        <x:v>0</x:v>
      </x:c>
      <x:c r="N3500" s="10" t="n">
        <x:v>0</x:v>
      </x:c>
      <x:c r="O3500" s="2" t="str">
        <x:v>Tp Hồ Chí Minh|house</x:v>
      </x:c>
      <x:c r="P3500" s="10" t="n">
        <x:v>2</x:v>
      </x:c>
      <x:c r="Q3500" s="13" t="n">
        <x:f>IF(H3500="","",H3500/1000000000)</x:f>
        <x:v>4.5</x:v>
      </x:c>
      <x:c r="R3500" s="13" t="n">
        <x:f>IF(I3500="","",I3500/1000000)</x:f>
        <x:v>128.57142857142856</x:v>
      </x:c>
    </x:row>
    <x:row r="3501" ht="21" customHeight="1">
      <x:c r="A3501" s="10" t="n">
        <x:v>4810</x:v>
      </x:c>
      <x:c r="B3501" s="2" t="str">
        <x:v>256096cfef8a1fbea978</x:v>
      </x:c>
      <x:c r="C3501" s="2" t="str">
        <x:v>Tp Hồ Chí Minh</x:v>
      </x:c>
      <x:c r="D3501" s="2" t="str">
        <x:v>Quận 9</x:v>
      </x:c>
      <x:c r="E3501" s="2" t="str">
        <x:v>house</x:v>
      </x:c>
      <x:c r="F3501" s="2" t="str">
        <x:v>sale_assumed</x:v>
      </x:c>
      <x:c r="G3501" s="11" t="n">
        <x:v>154</x:v>
      </x:c>
      <x:c r="H3501" s="12" t="n">
        <x:v>14000000000</x:v>
      </x:c>
      <x:c r="I3501" s="12" t="n">
        <x:v>90909090.9090909</x:v>
      </x:c>
      <x:c r="J3501" s="2" t="str">
        <x:v>total</x:v>
      </x:c>
      <x:c r="K3501" s="2" t="str">
        <x:v>top_level_area</x:v>
      </x:c>
      <x:c r="L3501" s="2" t="str">
        <x:v>property_type_inferred_from_title;transaction_assumed_sale_from_dataset_context</x:v>
      </x:c>
      <x:c r="M3501" s="10" t="n">
        <x:v>0</x:v>
      </x:c>
      <x:c r="N3501" s="10" t="n">
        <x:v>0</x:v>
      </x:c>
      <x:c r="O3501" s="2" t="str">
        <x:v>Tp Hồ Chí Minh|house</x:v>
      </x:c>
      <x:c r="P3501" s="10" t="n">
        <x:v>2</x:v>
      </x:c>
      <x:c r="Q3501" s="13" t="n">
        <x:f>IF(H3501="","",H3501/1000000000)</x:f>
        <x:v>14</x:v>
      </x:c>
      <x:c r="R3501" s="13" t="n">
        <x:f>IF(I3501="","",I3501/1000000)</x:f>
        <x:v>90.9090909090909</x:v>
      </x:c>
    </x:row>
    <x:row r="3502" ht="21" customHeight="1">
      <x:c r="A3502" s="10" t="n">
        <x:v>4811</x:v>
      </x:c>
      <x:c r="B3502" s="2" t="str">
        <x:v>a9130c341e570f979a53</x:v>
      </x:c>
      <x:c r="C3502" s="2" t="str">
        <x:v>Tp Hồ Chí Minh</x:v>
      </x:c>
      <x:c r="D3502" s="2" t="str">
        <x:v>Quận Gò Vấp</x:v>
      </x:c>
      <x:c r="E3502" s="2" t="str">
        <x:v>house</x:v>
      </x:c>
      <x:c r="F3502" s="2" t="str">
        <x:v>sale_assumed</x:v>
      </x:c>
      <x:c r="G3502" s="11" t="n">
        <x:v>40</x:v>
      </x:c>
      <x:c r="H3502" s="12" t="n">
        <x:v>3200000000</x:v>
      </x:c>
      <x:c r="I3502" s="12" t="n">
        <x:v>80000000</x:v>
      </x:c>
      <x:c r="J3502" s="2" t="str">
        <x:v>total</x:v>
      </x:c>
      <x:c r="K3502" s="2" t="str">
        <x:v>top_level_area</x:v>
      </x:c>
      <x:c r="L3502" s="2" t="str">
        <x:v>property_type_inferred_from_title;transaction_assumed_sale_from_dataset_context</x:v>
      </x:c>
      <x:c r="M3502" s="10" t="n">
        <x:v>0</x:v>
      </x:c>
      <x:c r="N3502" s="10" t="n">
        <x:v>0</x:v>
      </x:c>
      <x:c r="O3502" s="2" t="str">
        <x:v>Tp Hồ Chí Minh|house</x:v>
      </x:c>
      <x:c r="P3502" s="10" t="n">
        <x:v>2</x:v>
      </x:c>
      <x:c r="Q3502" s="13" t="n">
        <x:f>IF(H3502="","",H3502/1000000000)</x:f>
        <x:v>3.2</x:v>
      </x:c>
      <x:c r="R3502" s="13" t="n">
        <x:f>IF(I3502="","",I3502/1000000)</x:f>
        <x:v>80</x:v>
      </x:c>
    </x:row>
    <x:row r="3503" ht="21" customHeight="1">
      <x:c r="A3503" s="10" t="n">
        <x:v>4812</x:v>
      </x:c>
      <x:c r="B3503" s="2" t="str">
        <x:v>9685e9b71df81db42802</x:v>
      </x:c>
      <x:c r="C3503" s="2" t="str">
        <x:v>Hà Nội</x:v>
      </x:c>
      <x:c r="D3503" s="2" t="str">
        <x:v>Quận Long Biên</x:v>
      </x:c>
      <x:c r="E3503" s="2" t="str">
        <x:v>house</x:v>
      </x:c>
      <x:c r="F3503" s="2" t="str">
        <x:v>sale</x:v>
      </x:c>
      <x:c r="G3503" s="11" t="n">
        <x:v>52</x:v>
      </x:c>
      <x:c r="H3503" s="12" t="n">
        <x:v>6000000000</x:v>
      </x:c>
      <x:c r="I3503" s="12" t="n">
        <x:v>115384615.38461539</x:v>
      </x:c>
      <x:c r="J3503" s="2" t="str">
        <x:v>total</x:v>
      </x:c>
      <x:c r="K3503" s="2" t="str">
        <x:v>top_level_price_embedded_area</x:v>
      </x:c>
      <x:c r="L3503" s="2" t="str">
        <x:v>area_recovered_from_price_text;property_type_inferred_from_title</x:v>
      </x:c>
      <x:c r="M3503" s="10" t="n">
        <x:v>0</x:v>
      </x:c>
      <x:c r="N3503" s="10" t="n">
        <x:v>0</x:v>
      </x:c>
      <x:c r="O3503" s="2" t="str">
        <x:v>Hà Nội|house</x:v>
      </x:c>
      <x:c r="P3503" s="10" t="n">
        <x:v>2</x:v>
      </x:c>
      <x:c r="Q3503" s="13" t="n">
        <x:f>IF(H3503="","",H3503/1000000000)</x:f>
        <x:v>6</x:v>
      </x:c>
      <x:c r="R3503" s="13" t="n">
        <x:f>IF(I3503="","",I3503/1000000)</x:f>
        <x:v>115.38461538461539</x:v>
      </x:c>
    </x:row>
    <x:row r="3504" ht="21" customHeight="1">
      <x:c r="A3504" s="10" t="n">
        <x:v>4813</x:v>
      </x:c>
      <x:c r="B3504" s="2" t="str">
        <x:v>d3d4c9d7b0792e26140e</x:v>
      </x:c>
      <x:c r="C3504" s="2" t="str">
        <x:v>Hà Nội</x:v>
      </x:c>
      <x:c r="D3504" s="2" t="str">
        <x:v>Quận Hà Đông</x:v>
      </x:c>
      <x:c r="E3504" s="2" t="str">
        <x:v>house</x:v>
      </x:c>
      <x:c r="F3504" s="2" t="str">
        <x:v>sale</x:v>
      </x:c>
      <x:c r="G3504" s="11" t="n">
        <x:v>32</x:v>
      </x:c>
      <x:c r="H3504" s="12" t="n">
        <x:v>2150000000</x:v>
      </x:c>
      <x:c r="I3504" s="12" t="n">
        <x:v>67187500</x:v>
      </x:c>
      <x:c r="J3504" s="2" t="str">
        <x:v>total</x:v>
      </x:c>
      <x:c r="K3504" s="2" t="str">
        <x:v>top_level_area</x:v>
      </x:c>
      <x:c r="L3504" s="2" t="str">
        <x:v>property_type_inferred_from_title</x:v>
      </x:c>
      <x:c r="M3504" s="10" t="n">
        <x:v>0</x:v>
      </x:c>
      <x:c r="N3504" s="10" t="n">
        <x:v>0</x:v>
      </x:c>
      <x:c r="O3504" s="2" t="str">
        <x:v>Hà Nội|house</x:v>
      </x:c>
      <x:c r="P3504" s="10" t="n">
        <x:v>2</x:v>
      </x:c>
      <x:c r="Q3504" s="13" t="n">
        <x:f>IF(H3504="","",H3504/1000000000)</x:f>
        <x:v>2.15</x:v>
      </x:c>
      <x:c r="R3504" s="13" t="n">
        <x:f>IF(I3504="","",I3504/1000000)</x:f>
        <x:v>67.1875</x:v>
      </x:c>
    </x:row>
    <x:row r="3505" ht="21" customHeight="1">
      <x:c r="A3505" s="10" t="n">
        <x:v>4814</x:v>
      </x:c>
      <x:c r="B3505" s="2" t="str">
        <x:v>66e155acd052a617c360</x:v>
      </x:c>
      <x:c r="C3505" s="2" t="str">
        <x:v>Bình Dương</x:v>
      </x:c>
      <x:c r="D3505" s="2" t="str">
        <x:v>Huyện Bàu Bàng</x:v>
      </x:c>
      <x:c r="E3505" s="2" t="str">
        <x:v>land</x:v>
      </x:c>
      <x:c r="F3505" s="2" t="str">
        <x:v>sale_assumed</x:v>
      </x:c>
      <x:c r="G3505" s="11" t="n">
        <x:v>1460</x:v>
      </x:c>
      <x:c r="H3505" s="12" t="n">
        <x:v>2000000000</x:v>
      </x:c>
      <x:c r="I3505" s="12" t="n">
        <x:v>1369863.01369863</x:v>
      </x:c>
      <x:c r="J3505" s="2" t="str">
        <x:v>total</x:v>
      </x:c>
      <x:c r="K3505" s="2" t="str">
        <x:v>top_level_area</x:v>
      </x:c>
      <x:c r="L3505" s="2" t="str">
        <x:v>dot_thousands_convention;property_type_inferred_from_title;transaction_assumed_sale_from_dataset_context</x:v>
      </x:c>
      <x:c r="M3505" s="10" t="n">
        <x:v>0</x:v>
      </x:c>
      <x:c r="N3505" s="10" t="n">
        <x:v>0</x:v>
      </x:c>
      <x:c r="O3505" s="2" t="str">
        <x:v>Bình Dương|land</x:v>
      </x:c>
      <x:c r="P3505" s="10" t="n">
        <x:v>1</x:v>
      </x:c>
      <x:c r="Q3505" s="13" t="n">
        <x:f>IF(H3505="","",H3505/1000000000)</x:f>
        <x:v>2</x:v>
      </x:c>
      <x:c r="R3505" s="13" t="n">
        <x:f>IF(I3505="","",I3505/1000000)</x:f>
        <x:v>1.36986301369863</x:v>
      </x:c>
    </x:row>
    <x:row r="3506" ht="21" customHeight="1">
      <x:c r="A3506" s="10" t="n">
        <x:v>4815</x:v>
      </x:c>
      <x:c r="B3506" s="2" t="str">
        <x:v>739b3af16c6f6d83bc57</x:v>
      </x:c>
      <x:c r="C3506" s="2" t="str">
        <x:v>Tp Hồ Chí Minh</x:v>
      </x:c>
      <x:c r="D3506" s="2" t="str">
        <x:v>Quận Thủ Đức</x:v>
      </x:c>
      <x:c r="E3506" s="2" t="str">
        <x:v>house</x:v>
      </x:c>
      <x:c r="F3506" s="2" t="str">
        <x:v>sale_assumed</x:v>
      </x:c>
      <x:c r="G3506" s="11" t="n">
        <x:v>70</x:v>
      </x:c>
      <x:c r="H3506" s="12" t="n">
        <x:v>6300000000</x:v>
      </x:c>
      <x:c r="I3506" s="12" t="n">
        <x:v>90000000</x:v>
      </x:c>
      <x:c r="J3506" s="2" t="str">
        <x:v>total</x:v>
      </x:c>
      <x:c r="K3506" s="2" t="str">
        <x:v>top_level_area</x:v>
      </x:c>
      <x:c r="L3506" s="2" t="str">
        <x:v>property_type_inferred_from_title;transaction_assumed_sale_from_dataset_context</x:v>
      </x:c>
      <x:c r="M3506" s="10" t="n">
        <x:v>0</x:v>
      </x:c>
      <x:c r="N3506" s="10" t="n">
        <x:v>0</x:v>
      </x:c>
      <x:c r="O3506" s="2" t="str">
        <x:v>Tp Hồ Chí Minh|house</x:v>
      </x:c>
      <x:c r="P3506" s="10" t="n">
        <x:v>2</x:v>
      </x:c>
      <x:c r="Q3506" s="13" t="n">
        <x:f>IF(H3506="","",H3506/1000000000)</x:f>
        <x:v>6.3</x:v>
      </x:c>
      <x:c r="R3506" s="13" t="n">
        <x:f>IF(I3506="","",I3506/1000000)</x:f>
        <x:v>90</x:v>
      </x:c>
    </x:row>
    <x:row r="3507" ht="21" customHeight="1">
      <x:c r="A3507" s="10" t="n">
        <x:v>4816</x:v>
      </x:c>
      <x:c r="B3507" s="2" t="str">
        <x:v>ee2a602cbd8a395f0e78</x:v>
      </x:c>
      <x:c r="C3507" s="2" t="str">
        <x:v>Bà Rịa - Vũng Tàu</x:v>
      </x:c>
      <x:c r="D3507" s="2" t="str">
        <x:v>Huyện Xuyên Mộc</x:v>
      </x:c>
      <x:c r="E3507" s="2" t="str">
        <x:v>land</x:v>
      </x:c>
      <x:c r="F3507" s="2" t="str">
        <x:v>sale_assumed</x:v>
      </x:c>
      <x:c r="G3507" s="11" t="n">
        <x:v>1000</x:v>
      </x:c>
      <x:c r="H3507" s="12" t="n">
        <x:v>1200000000</x:v>
      </x:c>
      <x:c r="I3507" s="12" t="n">
        <x:v>1200000</x:v>
      </x:c>
      <x:c r="J3507" s="2" t="str">
        <x:v>total</x:v>
      </x:c>
      <x:c r="K3507" s="2" t="str">
        <x:v>top_level_area</x:v>
      </x:c>
      <x:c r="L3507" s="2" t="str">
        <x:v>dot_thousands_convention;property_type_inferred_from_title;transaction_assumed_sale_from_dataset_context</x:v>
      </x:c>
      <x:c r="M3507" s="10" t="n">
        <x:v>0</x:v>
      </x:c>
      <x:c r="N3507" s="10" t="n">
        <x:v>0</x:v>
      </x:c>
      <x:c r="O3507" s="2" t="str">
        <x:v>Bà Rịa - Vũng Tàu|land</x:v>
      </x:c>
      <x:c r="P3507" s="10" t="n">
        <x:v>1</x:v>
      </x:c>
      <x:c r="Q3507" s="13" t="n">
        <x:f>IF(H3507="","",H3507/1000000000)</x:f>
        <x:v>1.2</x:v>
      </x:c>
      <x:c r="R3507" s="13" t="n">
        <x:f>IF(I3507="","",I3507/1000000)</x:f>
        <x:v>1.2</x:v>
      </x:c>
    </x:row>
    <x:row r="3508" ht="21" customHeight="1">
      <x:c r="A3508" s="10" t="n">
        <x:v>4817</x:v>
      </x:c>
      <x:c r="B3508" s="2" t="str">
        <x:v>3c072c957507ff5e26a6</x:v>
      </x:c>
      <x:c r="C3508" s="2" t="str">
        <x:v>Hà Nội</x:v>
      </x:c>
      <x:c r="D3508" s="2" t="str">
        <x:v>Quận Cầu Giấy</x:v>
      </x:c>
      <x:c r="E3508" s="2" t="str">
        <x:v>other_unknown</x:v>
      </x:c>
      <x:c r="F3508" s="2" t="str">
        <x:v>sale_assumed</x:v>
      </x:c>
      <x:c r="G3508" s="11" t="n">
        <x:v>65</x:v>
      </x:c>
      <x:c r="H3508" s="12" t="n">
        <x:v>13000000000</x:v>
      </x:c>
      <x:c r="I3508" s="12" t="n">
        <x:v>200000000</x:v>
      </x:c>
      <x:c r="J3508" s="2" t="str">
        <x:v>total</x:v>
      </x:c>
      <x:c r="K3508" s="2" t="str">
        <x:v>top_level_area</x:v>
      </x:c>
      <x:c r="L3508" s="2" t="str">
        <x:v>property_type_inferred_from_title;transaction_assumed_sale_from_dataset_context;unknown_property_type</x:v>
      </x:c>
      <x:c r="M3508" s="10" t="n">
        <x:v>1</x:v>
      </x:c>
      <x:c r="N3508" s="10" t="n">
        <x:v>1</x:v>
      </x:c>
      <x:c r="O3508" s="2" t="str">
        <x:v>Hà Nội|other_unknown</x:v>
      </x:c>
      <x:c r="P3508" s="10" t="n">
        <x:v>-1</x:v>
      </x:c>
      <x:c r="Q3508" s="13" t="n">
        <x:f>IF(H3508="","",H3508/1000000000)</x:f>
        <x:v>13</x:v>
      </x:c>
      <x:c r="R3508" s="13" t="n">
        <x:f>IF(I3508="","",I3508/1000000)</x:f>
        <x:v>200</x:v>
      </x:c>
    </x:row>
    <x:row r="3509" ht="21" customHeight="1">
      <x:c r="A3509" s="10" t="n">
        <x:v>4818</x:v>
      </x:c>
      <x:c r="B3509" s="2" t="str">
        <x:v>60e783e742194058d470</x:v>
      </x:c>
      <x:c r="C3509" s="2" t="str">
        <x:v>Tp Hồ Chí Minh</x:v>
      </x:c>
      <x:c r="D3509" s="2" t="str">
        <x:v>Quận 12</x:v>
      </x:c>
      <x:c r="E3509" s="2" t="str">
        <x:v>other_unknown</x:v>
      </x:c>
      <x:c r="F3509" s="2" t="str">
        <x:v>sale</x:v>
      </x:c>
      <x:c r="G3509" s="11" t="n">
        <x:v>65</x:v>
      </x:c>
      <x:c r="H3509" s="12" t="n">
        <x:v>2180000000</x:v>
      </x:c>
      <x:c r="I3509" s="12" t="n">
        <x:v>33538461.53846154</x:v>
      </x:c>
      <x:c r="J3509" s="2" t="str">
        <x:v>total</x:v>
      </x:c>
      <x:c r="K3509" s="2" t="str">
        <x:v>top_level_area</x:v>
      </x:c>
      <x:c r="L3509" s="2" t="str">
        <x:v>property_type_inferred_from_title;unknown_property_type</x:v>
      </x:c>
      <x:c r="M3509" s="10" t="n">
        <x:v>0</x:v>
      </x:c>
      <x:c r="N3509" s="10" t="n">
        <x:v>0</x:v>
      </x:c>
      <x:c r="O3509" s="2" t="str">
        <x:v>Tp Hồ Chí Minh|other_unknown</x:v>
      </x:c>
      <x:c r="P3509" s="10" t="n">
        <x:v>2</x:v>
      </x:c>
      <x:c r="Q3509" s="13" t="n">
        <x:f>IF(H3509="","",H3509/1000000000)</x:f>
        <x:v>2.18</x:v>
      </x:c>
      <x:c r="R3509" s="13" t="n">
        <x:f>IF(I3509="","",I3509/1000000)</x:f>
        <x:v>33.53846153846154</x:v>
      </x:c>
    </x:row>
    <x:row r="3510" ht="21" customHeight="1">
      <x:c r="A3510" s="10" t="n">
        <x:v>4819</x:v>
      </x:c>
      <x:c r="B3510" s="2" t="str">
        <x:v>be401623a8ec0559d1ae</x:v>
      </x:c>
      <x:c r="C3510" s="2" t="str">
        <x:v>Cà Mau</x:v>
      </x:c>
      <x:c r="D3510" s="2" t="str">
        <x:v>Thành phố Cà Mau</x:v>
      </x:c>
      <x:c r="E3510" s="2" t="str">
        <x:v>land</x:v>
      </x:c>
      <x:c r="F3510" s="2" t="str">
        <x:v>sale_assumed</x:v>
      </x:c>
      <x:c r="G3510" s="11" t="n">
        <x:v>100</x:v>
      </x:c>
      <x:c r="H3510" s="12" t="n">
        <x:v>1200000000</x:v>
      </x:c>
      <x:c r="I3510" s="12" t="n">
        <x:v>12000000</x:v>
      </x:c>
      <x:c r="J3510" s="2" t="str">
        <x:v>total</x:v>
      </x:c>
      <x:c r="K3510" s="2" t="str">
        <x:v>top_level_area</x:v>
      </x:c>
      <x:c r="L3510" s="2" t="str">
        <x:v>property_type_inferred_from_title;transaction_assumed_sale_from_dataset_context</x:v>
      </x:c>
      <x:c r="M3510" s="10" t="n">
        <x:v>0</x:v>
      </x:c>
      <x:c r="N3510" s="10" t="n">
        <x:v>0</x:v>
      </x:c>
      <x:c r="O3510" s="2" t="str">
        <x:v>land</x:v>
      </x:c>
      <x:c r="P3510" s="10" t="n">
        <x:v>2</x:v>
      </x:c>
      <x:c r="Q3510" s="13" t="n">
        <x:f>IF(H3510="","",H3510/1000000000)</x:f>
        <x:v>1.2</x:v>
      </x:c>
      <x:c r="R3510" s="13" t="n">
        <x:f>IF(I3510="","",I3510/1000000)</x:f>
        <x:v>12</x:v>
      </x:c>
    </x:row>
    <x:row r="3511" ht="21" customHeight="1">
      <x:c r="A3511" s="10" t="n">
        <x:v>4820</x:v>
      </x:c>
      <x:c r="B3511" s="2" t="str">
        <x:v>eb57e648548e1a23b1ed</x:v>
      </x:c>
      <x:c r="C3511" s="2" t="str">
        <x:v>Tp Hồ Chí Minh</x:v>
      </x:c>
      <x:c r="D3511" s="2" t="str">
        <x:v>Quận 10</x:v>
      </x:c>
      <x:c r="E3511" s="2" t="str">
        <x:v>house</x:v>
      </x:c>
      <x:c r="F3511" s="2" t="str">
        <x:v>sale_assumed</x:v>
      </x:c>
      <x:c r="G3511" s="11" t="n">
        <x:v>50</x:v>
      </x:c>
      <x:c r="H3511" s="12" t="n">
        <x:v>5500000000</x:v>
      </x:c>
      <x:c r="I3511" s="12" t="n">
        <x:v>110000000</x:v>
      </x:c>
      <x:c r="J3511" s="2" t="str">
        <x:v>total</x:v>
      </x:c>
      <x:c r="K3511" s="2" t="str">
        <x:v>top_level_area</x:v>
      </x:c>
      <x:c r="L3511" s="2" t="str">
        <x:v>property_type_inferred_from_title;transaction_assumed_sale_from_dataset_context</x:v>
      </x:c>
      <x:c r="M3511" s="10" t="n">
        <x:v>0</x:v>
      </x:c>
      <x:c r="N3511" s="10" t="n">
        <x:v>0</x:v>
      </x:c>
      <x:c r="O3511" s="2" t="str">
        <x:v>Tp Hồ Chí Minh|house</x:v>
      </x:c>
      <x:c r="P3511" s="10" t="n">
        <x:v>2</x:v>
      </x:c>
      <x:c r="Q3511" s="13" t="n">
        <x:f>IF(H3511="","",H3511/1000000000)</x:f>
        <x:v>5.5</x:v>
      </x:c>
      <x:c r="R3511" s="13" t="n">
        <x:f>IF(I3511="","",I3511/1000000)</x:f>
        <x:v>110</x:v>
      </x:c>
    </x:row>
    <x:row r="3512" ht="21" customHeight="1">
      <x:c r="A3512" s="10" t="n">
        <x:v>4821</x:v>
      </x:c>
      <x:c r="B3512" s="2" t="str">
        <x:v>323d7932a6a779a69dfe</x:v>
      </x:c>
      <x:c r="C3512" s="2" t="str">
        <x:v>Đồng Nai</x:v>
      </x:c>
      <x:c r="D3512" s="2" t="str">
        <x:v>Huyện Long Thành</x:v>
      </x:c>
      <x:c r="E3512" s="2" t="str">
        <x:v>land</x:v>
      </x:c>
      <x:c r="F3512" s="2" t="str">
        <x:v>sale_assumed</x:v>
      </x:c>
      <x:c r="G3512" s="11" t="n">
        <x:v>100</x:v>
      </x:c>
      <x:c r="H3512" s="12" t="n">
        <x:v>570000000</x:v>
      </x:c>
      <x:c r="I3512" s="12" t="n">
        <x:v>5700000</x:v>
      </x:c>
      <x:c r="J3512" s="2" t="str">
        <x:v>total</x:v>
      </x:c>
      <x:c r="K3512" s="2" t="str">
        <x:v>top_level_area</x:v>
      </x:c>
      <x:c r="L3512" s="2" t="str">
        <x:v>property_type_inferred_from_title;transaction_assumed_sale_from_dataset_context</x:v>
      </x:c>
      <x:c r="M3512" s="10" t="n">
        <x:v>0</x:v>
      </x:c>
      <x:c r="N3512" s="10" t="n">
        <x:v>0</x:v>
      </x:c>
      <x:c r="O3512" s="2" t="str">
        <x:v>Đồng Nai|land</x:v>
      </x:c>
      <x:c r="P3512" s="10" t="n">
        <x:v>2</x:v>
      </x:c>
      <x:c r="Q3512" s="13" t="n">
        <x:f>IF(H3512="","",H3512/1000000000)</x:f>
        <x:v>0.57</x:v>
      </x:c>
      <x:c r="R3512" s="13" t="n">
        <x:f>IF(I3512="","",I3512/1000000)</x:f>
        <x:v>5.7</x:v>
      </x:c>
    </x:row>
    <x:row r="3513" ht="21" customHeight="1">
      <x:c r="A3513" s="10" t="n">
        <x:v>4822</x:v>
      </x:c>
      <x:c r="B3513" s="2" t="str">
        <x:v>020e621b3dffa8b4bc33</x:v>
      </x:c>
      <x:c r="C3513" s="2" t="str">
        <x:v>Hà Nội</x:v>
      </x:c>
      <x:c r="D3513" s="2" t="str">
        <x:v>Quận Tây Hồ</x:v>
      </x:c>
      <x:c r="E3513" s="2" t="str">
        <x:v>house</x:v>
      </x:c>
      <x:c r="F3513" s="2" t="str">
        <x:v>sale</x:v>
      </x:c>
      <x:c r="G3513" s="11" t="n">
        <x:v>45</x:v>
      </x:c>
      <x:c r="H3513" s="12" t="n">
        <x:v>5100000000</x:v>
      </x:c>
      <x:c r="I3513" s="12" t="n">
        <x:v>113333333.33333333</x:v>
      </x:c>
      <x:c r="J3513" s="2" t="str">
        <x:v>total</x:v>
      </x:c>
      <x:c r="K3513" s="2" t="str">
        <x:v>top_level_area</x:v>
      </x:c>
      <x:c r="L3513" s="2" t="str">
        <x:v>property_type_inferred_from_title</x:v>
      </x:c>
      <x:c r="M3513" s="10" t="n">
        <x:v>0</x:v>
      </x:c>
      <x:c r="N3513" s="10" t="n">
        <x:v>0</x:v>
      </x:c>
      <x:c r="O3513" s="2" t="str">
        <x:v>Hà Nội|house</x:v>
      </x:c>
      <x:c r="P3513" s="10" t="n">
        <x:v>2</x:v>
      </x:c>
      <x:c r="Q3513" s="13" t="n">
        <x:f>IF(H3513="","",H3513/1000000000)</x:f>
        <x:v>5.1</x:v>
      </x:c>
      <x:c r="R3513" s="13" t="n">
        <x:f>IF(I3513="","",I3513/1000000)</x:f>
        <x:v>113.33333333333333</x:v>
      </x:c>
    </x:row>
    <x:row r="3514" ht="21" customHeight="1">
      <x:c r="A3514" s="10" t="n">
        <x:v>4823</x:v>
      </x:c>
      <x:c r="B3514" s="2" t="str">
        <x:v>4db52309c8896480faf6</x:v>
      </x:c>
      <x:c r="C3514" s="2" t="str">
        <x:v>Hà Nội</x:v>
      </x:c>
      <x:c r="D3514" s="2" t="str">
        <x:v>Quận Hai Bà Trưng</x:v>
      </x:c>
      <x:c r="E3514" s="2" t="str">
        <x:v>house</x:v>
      </x:c>
      <x:c r="F3514" s="2" t="str">
        <x:v>sale_assumed</x:v>
      </x:c>
      <x:c r="G3514" s="11" t="n">
        <x:v>41</x:v>
      </x:c>
      <x:c r="H3514" s="12" t="n">
        <x:v>3300000000</x:v>
      </x:c>
      <x:c r="I3514" s="12" t="n">
        <x:v>80487804.87804878</x:v>
      </x:c>
      <x:c r="J3514" s="2" t="str">
        <x:v>total</x:v>
      </x:c>
      <x:c r="K3514" s="2" t="str">
        <x:v>top_level_area</x:v>
      </x:c>
      <x:c r="L3514" s="2" t="str">
        <x:v>property_type_inferred_from_title;transaction_assumed_sale_from_dataset_context</x:v>
      </x:c>
      <x:c r="M3514" s="10" t="n">
        <x:v>0</x:v>
      </x:c>
      <x:c r="N3514" s="10" t="n">
        <x:v>0</x:v>
      </x:c>
      <x:c r="O3514" s="2" t="str">
        <x:v>Hà Nội|house</x:v>
      </x:c>
      <x:c r="P3514" s="10" t="n">
        <x:v>2</x:v>
      </x:c>
      <x:c r="Q3514" s="13" t="n">
        <x:f>IF(H3514="","",H3514/1000000000)</x:f>
        <x:v>3.3</x:v>
      </x:c>
      <x:c r="R3514" s="13" t="n">
        <x:f>IF(I3514="","",I3514/1000000)</x:f>
        <x:v>80.48780487804878</x:v>
      </x:c>
    </x:row>
    <x:row r="3515" ht="21" customHeight="1">
      <x:c r="A3515" s="10" t="n">
        <x:v>4824</x:v>
      </x:c>
      <x:c r="B3515" s="2" t="str">
        <x:v>1152320409537263b8a7</x:v>
      </x:c>
      <x:c r="C3515" s="2" t="str">
        <x:v>Thanh Hóa</x:v>
      </x:c>
      <x:c r="D3515" s="2" t="str">
        <x:v>Thành phố Thanh Hóa</x:v>
      </x:c>
      <x:c r="E3515" s="2" t="str">
        <x:v>apartment</x:v>
      </x:c>
      <x:c r="F3515" s="2" t="str">
        <x:v>sale_assumed</x:v>
      </x:c>
      <x:c r="G3515" s="11" t="n">
        <x:v>100</x:v>
      </x:c>
      <x:c r="H3515" s="12" t="n">
        <x:v>2300000000</x:v>
      </x:c>
      <x:c r="I3515" s="12" t="n">
        <x:v>23000000</x:v>
      </x:c>
      <x:c r="J3515" s="2" t="str">
        <x:v>total</x:v>
      </x:c>
      <x:c r="K3515" s="2" t="str">
        <x:v>top_level_area</x:v>
      </x:c>
      <x:c r="L3515" s="2" t="str">
        <x:v>property_type_inferred_from_title;transaction_assumed_sale_from_dataset_context</x:v>
      </x:c>
      <x:c r="M3515" s="10" t="n">
        <x:v>0</x:v>
      </x:c>
      <x:c r="N3515" s="10" t="n">
        <x:v>0</x:v>
      </x:c>
      <x:c r="O3515" s="2" t="str">
        <x:v>apartment</x:v>
      </x:c>
      <x:c r="P3515" s="10" t="n">
        <x:v>2</x:v>
      </x:c>
      <x:c r="Q3515" s="13" t="n">
        <x:f>IF(H3515="","",H3515/1000000000)</x:f>
        <x:v>2.3</x:v>
      </x:c>
      <x:c r="R3515" s="13" t="n">
        <x:f>IF(I3515="","",I3515/1000000)</x:f>
        <x:v>23</x:v>
      </x:c>
    </x:row>
    <x:row r="3516" ht="21" customHeight="1">
      <x:c r="A3516" s="10" t="n">
        <x:v>4825</x:v>
      </x:c>
      <x:c r="B3516" s="2" t="str">
        <x:v>b0d9dc55f7c11c76269c</x:v>
      </x:c>
      <x:c r="C3516" s="2" t="str">
        <x:v>Tp Hồ Chí Minh</x:v>
      </x:c>
      <x:c r="D3516" s="2" t="str">
        <x:v>Huyện Nhà Bè</x:v>
      </x:c>
      <x:c r="E3516" s="2" t="str">
        <x:v>house</x:v>
      </x:c>
      <x:c r="F3516" s="2" t="str">
        <x:v>sale</x:v>
      </x:c>
      <x:c r="G3516" s="11" t="n">
        <x:v>56</x:v>
      </x:c>
      <x:c r="H3516" s="12" t="n">
        <x:v>2450000000</x:v>
      </x:c>
      <x:c r="I3516" s="12" t="n">
        <x:v>43750000</x:v>
      </x:c>
      <x:c r="J3516" s="2" t="str">
        <x:v>total</x:v>
      </x:c>
      <x:c r="K3516" s="2" t="str">
        <x:v>top_level_area</x:v>
      </x:c>
      <x:c r="L3516" s="2" t="str">
        <x:v>property_type_inferred_from_title</x:v>
      </x:c>
      <x:c r="M3516" s="10" t="n">
        <x:v>0</x:v>
      </x:c>
      <x:c r="N3516" s="10" t="n">
        <x:v>0</x:v>
      </x:c>
      <x:c r="O3516" s="2" t="str">
        <x:v>Tp Hồ Chí Minh|house</x:v>
      </x:c>
      <x:c r="P3516" s="10" t="n">
        <x:v>2</x:v>
      </x:c>
      <x:c r="Q3516" s="13" t="n">
        <x:f>IF(H3516="","",H3516/1000000000)</x:f>
        <x:v>2.45</x:v>
      </x:c>
      <x:c r="R3516" s="13" t="n">
        <x:f>IF(I3516="","",I3516/1000000)</x:f>
        <x:v>43.75</x:v>
      </x:c>
    </x:row>
    <x:row r="3517" ht="21" customHeight="1">
      <x:c r="A3517" s="10" t="n">
        <x:v>4826</x:v>
      </x:c>
      <x:c r="B3517" s="2" t="str">
        <x:v>ee5dfcad4ffdfb93b86e</x:v>
      </x:c>
      <x:c r="C3517" s="2" t="str">
        <x:v>Tp Hồ Chí Minh</x:v>
      </x:c>
      <x:c r="D3517" s="2" t="str">
        <x:v>Huyện Nhà Bè</x:v>
      </x:c>
      <x:c r="E3517" s="2" t="str">
        <x:v>house</x:v>
      </x:c>
      <x:c r="F3517" s="2" t="str">
        <x:v>sale</x:v>
      </x:c>
      <x:c r="G3517" s="11" t="n">
        <x:v>33</x:v>
      </x:c>
      <x:c r="H3517" s="12" t="n">
        <x:v>2300000000</x:v>
      </x:c>
      <x:c r="I3517" s="12" t="n">
        <x:v>69696969.6969697</x:v>
      </x:c>
      <x:c r="J3517" s="2" t="str">
        <x:v>total</x:v>
      </x:c>
      <x:c r="K3517" s="2" t="str">
        <x:v>top_level_area</x:v>
      </x:c>
      <x:c r="L3517" s="2" t="str">
        <x:v>property_type_inferred_from_title</x:v>
      </x:c>
      <x:c r="M3517" s="10" t="n">
        <x:v>0</x:v>
      </x:c>
      <x:c r="N3517" s="10" t="n">
        <x:v>0</x:v>
      </x:c>
      <x:c r="O3517" s="2" t="str">
        <x:v>Tp Hồ Chí Minh|house</x:v>
      </x:c>
      <x:c r="P3517" s="10" t="n">
        <x:v>2</x:v>
      </x:c>
      <x:c r="Q3517" s="13" t="n">
        <x:f>IF(H3517="","",H3517/1000000000)</x:f>
        <x:v>2.3</x:v>
      </x:c>
      <x:c r="R3517" s="13" t="n">
        <x:f>IF(I3517="","",I3517/1000000)</x:f>
        <x:v>69.6969696969697</x:v>
      </x:c>
    </x:row>
    <x:row r="3518" ht="21" customHeight="1">
      <x:c r="A3518" s="10" t="n">
        <x:v>4827</x:v>
      </x:c>
      <x:c r="B3518" s="2" t="str">
        <x:v>b43da61f5a39195f87fb</x:v>
      </x:c>
      <x:c r="C3518" s="2" t="str">
        <x:v>Tp Hồ Chí Minh</x:v>
      </x:c>
      <x:c r="D3518" s="2" t="str">
        <x:v>Quận Bình Thạnh</x:v>
      </x:c>
      <x:c r="E3518" s="2" t="str">
        <x:v>apartment</x:v>
      </x:c>
      <x:c r="F3518" s="2" t="str">
        <x:v>sale</x:v>
      </x:c>
      <x:c r="G3518" s="11" t="n">
        <x:v>68</x:v>
      </x:c>
      <x:c r="H3518" s="12" t="n">
        <x:v>3200000000</x:v>
      </x:c>
      <x:c r="I3518" s="12" t="n">
        <x:v>47058823.52941176</x:v>
      </x:c>
      <x:c r="J3518" s="2" t="str">
        <x:v>total</x:v>
      </x:c>
      <x:c r="K3518" s="2" t="str">
        <x:v>top_level_area</x:v>
      </x:c>
      <x:c r="L3518" s="2" t="str">
        <x:v>property_type_inferred_from_title</x:v>
      </x:c>
      <x:c r="M3518" s="10" t="n">
        <x:v>0</x:v>
      </x:c>
      <x:c r="N3518" s="10" t="n">
        <x:v>0</x:v>
      </x:c>
      <x:c r="O3518" s="2" t="str">
        <x:v>Tp Hồ Chí Minh|apartment</x:v>
      </x:c>
      <x:c r="P3518" s="10" t="n">
        <x:v>2</x:v>
      </x:c>
      <x:c r="Q3518" s="13" t="n">
        <x:f>IF(H3518="","",H3518/1000000000)</x:f>
        <x:v>3.2</x:v>
      </x:c>
      <x:c r="R3518" s="13" t="n">
        <x:f>IF(I3518="","",I3518/1000000)</x:f>
        <x:v>47.05882352941176</x:v>
      </x:c>
    </x:row>
    <x:row r="3519" ht="21" customHeight="1">
      <x:c r="A3519" s="10" t="n">
        <x:v>4828</x:v>
      </x:c>
      <x:c r="B3519" s="2" t="str">
        <x:v>e7fe932f31c12a069449</x:v>
      </x:c>
      <x:c r="C3519" s="2" t="str">
        <x:v>Hà Nội</x:v>
      </x:c>
      <x:c r="D3519" s="2" t="str">
        <x:v>Quận Hai Bà Trưng</x:v>
      </x:c>
      <x:c r="E3519" s="2" t="str">
        <x:v>house</x:v>
      </x:c>
      <x:c r="F3519" s="2" t="str">
        <x:v>sale_assumed</x:v>
      </x:c>
      <x:c r="G3519" s="11" t="n">
        <x:v>42</x:v>
      </x:c>
      <x:c r="H3519" s="12" t="n">
        <x:v>3450000000</x:v>
      </x:c>
      <x:c r="I3519" s="12" t="n">
        <x:v>82142857.14285715</x:v>
      </x:c>
      <x:c r="J3519" s="2" t="str">
        <x:v>total</x:v>
      </x:c>
      <x:c r="K3519" s="2" t="str">
        <x:v>top_level_area</x:v>
      </x:c>
      <x:c r="L3519" s="2" t="str">
        <x:v>property_type_inferred_from_title;transaction_assumed_sale_from_dataset_context</x:v>
      </x:c>
      <x:c r="M3519" s="10" t="n">
        <x:v>0</x:v>
      </x:c>
      <x:c r="N3519" s="10" t="n">
        <x:v>0</x:v>
      </x:c>
      <x:c r="O3519" s="2" t="str">
        <x:v>Hà Nội|house</x:v>
      </x:c>
      <x:c r="P3519" s="10" t="n">
        <x:v>2</x:v>
      </x:c>
      <x:c r="Q3519" s="13" t="n">
        <x:f>IF(H3519="","",H3519/1000000000)</x:f>
        <x:v>3.45</x:v>
      </x:c>
      <x:c r="R3519" s="13" t="n">
        <x:f>IF(I3519="","",I3519/1000000)</x:f>
        <x:v>82.14285714285715</x:v>
      </x:c>
    </x:row>
    <x:row r="3520" ht="21" customHeight="1">
      <x:c r="A3520" s="10" t="n">
        <x:v>4832</x:v>
      </x:c>
      <x:c r="B3520" s="2" t="str">
        <x:v>4446c3a54da7dc152e15</x:v>
      </x:c>
      <x:c r="C3520" s="2" t="str">
        <x:v>Hà Nội</x:v>
      </x:c>
      <x:c r="D3520" s="2" t="str">
        <x:v>Quận Hoàng Mai</x:v>
      </x:c>
      <x:c r="E3520" s="2" t="str">
        <x:v>house</x:v>
      </x:c>
      <x:c r="F3520" s="2" t="str">
        <x:v>sale_assumed</x:v>
      </x:c>
      <x:c r="G3520" s="11" t="n">
        <x:v>36</x:v>
      </x:c>
      <x:c r="H3520" s="12" t="n">
        <x:v>3950000000</x:v>
      </x:c>
      <x:c r="I3520" s="12" t="n">
        <x:v>109722222.22222222</x:v>
      </x:c>
      <x:c r="J3520" s="2" t="str">
        <x:v>total</x:v>
      </x:c>
      <x:c r="K3520" s="2" t="str">
        <x:v>top_level_area</x:v>
      </x:c>
      <x:c r="L3520" s="2" t="str">
        <x:v>property_type_inferred_from_title;transaction_assumed_sale_from_dataset_context</x:v>
      </x:c>
      <x:c r="M3520" s="10" t="n">
        <x:v>0</x:v>
      </x:c>
      <x:c r="N3520" s="10" t="n">
        <x:v>0</x:v>
      </x:c>
      <x:c r="O3520" s="2" t="str">
        <x:v>Hà Nội|house</x:v>
      </x:c>
      <x:c r="P3520" s="10" t="n">
        <x:v>2</x:v>
      </x:c>
      <x:c r="Q3520" s="13" t="n">
        <x:f>IF(H3520="","",H3520/1000000000)</x:f>
        <x:v>3.95</x:v>
      </x:c>
      <x:c r="R3520" s="13" t="n">
        <x:f>IF(I3520="","",I3520/1000000)</x:f>
        <x:v>109.72222222222223</x:v>
      </x:c>
    </x:row>
    <x:row r="3521" ht="21" customHeight="1">
      <x:c r="A3521" s="10" t="n">
        <x:v>4833</x:v>
      </x:c>
      <x:c r="B3521" s="2" t="str">
        <x:v>3c3a55448063b8a22c31</x:v>
      </x:c>
      <x:c r="C3521" s="2" t="str">
        <x:v>Hà Nội</x:v>
      </x:c>
      <x:c r="D3521" s="2" t="str">
        <x:v>Quận Đống Đa</x:v>
      </x:c>
      <x:c r="E3521" s="2" t="str">
        <x:v>house</x:v>
      </x:c>
      <x:c r="F3521" s="2" t="str">
        <x:v>sale</x:v>
      </x:c>
      <x:c r="G3521" s="11" t="n">
        <x:v>40</x:v>
      </x:c>
      <x:c r="H3521" s="12" t="n">
        <x:v>4700000000</x:v>
      </x:c>
      <x:c r="I3521" s="12" t="n">
        <x:v>117500000</x:v>
      </x:c>
      <x:c r="J3521" s="2" t="str">
        <x:v>total</x:v>
      </x:c>
      <x:c r="K3521" s="2" t="str">
        <x:v>top_level_area</x:v>
      </x:c>
      <x:c r="L3521" s="2" t="str">
        <x:v>property_type_inferred_from_title</x:v>
      </x:c>
      <x:c r="M3521" s="10" t="n">
        <x:v>0</x:v>
      </x:c>
      <x:c r="N3521" s="10" t="n">
        <x:v>0</x:v>
      </x:c>
      <x:c r="O3521" s="2" t="str">
        <x:v>Hà Nội|house</x:v>
      </x:c>
      <x:c r="P3521" s="10" t="n">
        <x:v>2</x:v>
      </x:c>
      <x:c r="Q3521" s="13" t="n">
        <x:f>IF(H3521="","",H3521/1000000000)</x:f>
        <x:v>4.7</x:v>
      </x:c>
      <x:c r="R3521" s="13" t="n">
        <x:f>IF(I3521="","",I3521/1000000)</x:f>
        <x:v>117.5</x:v>
      </x:c>
    </x:row>
    <x:row r="3522" ht="21" customHeight="1">
      <x:c r="A3522" s="10" t="n">
        <x:v>4834</x:v>
      </x:c>
      <x:c r="B3522" s="2" t="str">
        <x:v>c9412bea0cf632f19867</x:v>
      </x:c>
      <x:c r="C3522" s="2" t="str">
        <x:v>Tp Hồ Chí Minh</x:v>
      </x:c>
      <x:c r="D3522" s="2" t="str">
        <x:v>Quận 3</x:v>
      </x:c>
      <x:c r="E3522" s="2" t="str">
        <x:v>house</x:v>
      </x:c>
      <x:c r="F3522" s="2" t="str">
        <x:v>sale_assumed</x:v>
      </x:c>
      <x:c r="G3522" s="11" t="n">
        <x:v>65</x:v>
      </x:c>
      <x:c r="H3522" s="12" t="n">
        <x:v>27500000000</x:v>
      </x:c>
      <x:c r="I3522" s="12" t="n">
        <x:v>423076923.0769231</x:v>
      </x:c>
      <x:c r="J3522" s="2" t="str">
        <x:v>total</x:v>
      </x:c>
      <x:c r="K3522" s="2" t="str">
        <x:v>top_level_area</x:v>
      </x:c>
      <x:c r="L3522" s="2" t="str">
        <x:v>property_type_inferred_from_title;transaction_assumed_sale_from_dataset_context</x:v>
      </x:c>
      <x:c r="M3522" s="10" t="n">
        <x:v>1</x:v>
      </x:c>
      <x:c r="N3522" s="10" t="n">
        <x:v>1</x:v>
      </x:c>
      <x:c r="O3522" s="2" t="str">
        <x:v>Tp Hồ Chí Minh|house</x:v>
      </x:c>
      <x:c r="P3522" s="10" t="n">
        <x:v>-1</x:v>
      </x:c>
      <x:c r="Q3522" s="13" t="n">
        <x:f>IF(H3522="","",H3522/1000000000)</x:f>
        <x:v>27.5</x:v>
      </x:c>
      <x:c r="R3522" s="13" t="n">
        <x:f>IF(I3522="","",I3522/1000000)</x:f>
        <x:v>423.0769230769231</x:v>
      </x:c>
    </x:row>
    <x:row r="3523" ht="21" customHeight="1">
      <x:c r="A3523" s="10" t="n">
        <x:v>4835</x:v>
      </x:c>
      <x:c r="B3523" s="2" t="str">
        <x:v>de89aa10d4f04e222b22</x:v>
      </x:c>
      <x:c r="C3523" s="2" t="str">
        <x:v>Tp Hồ Chí Minh</x:v>
      </x:c>
      <x:c r="D3523" s="2" t="str">
        <x:v>Quận 9</x:v>
      </x:c>
      <x:c r="E3523" s="2" t="str">
        <x:v>land</x:v>
      </x:c>
      <x:c r="F3523" s="2" t="str">
        <x:v>sale</x:v>
      </x:c>
      <x:c r="G3523" s="11" t="n">
        <x:v>108</x:v>
      </x:c>
      <x:c r="H3523" s="12" t="n">
        <x:v>4400000000</x:v>
      </x:c>
      <x:c r="I3523" s="12" t="n">
        <x:v>40740740.74074074</x:v>
      </x:c>
      <x:c r="J3523" s="2" t="str">
        <x:v>total</x:v>
      </x:c>
      <x:c r="K3523" s="2" t="str">
        <x:v>top_level_area</x:v>
      </x:c>
      <x:c r="L3523" s="2" t="str">
        <x:v>property_type_inferred_from_title</x:v>
      </x:c>
      <x:c r="M3523" s="10" t="n">
        <x:v>0</x:v>
      </x:c>
      <x:c r="N3523" s="10" t="n">
        <x:v>0</x:v>
      </x:c>
      <x:c r="O3523" s="2" t="str">
        <x:v>Tp Hồ Chí Minh|land</x:v>
      </x:c>
      <x:c r="P3523" s="10" t="n">
        <x:v>2</x:v>
      </x:c>
      <x:c r="Q3523" s="13" t="n">
        <x:f>IF(H3523="","",H3523/1000000000)</x:f>
        <x:v>4.4</x:v>
      </x:c>
      <x:c r="R3523" s="13" t="n">
        <x:f>IF(I3523="","",I3523/1000000)</x:f>
        <x:v>40.74074074074074</x:v>
      </x:c>
    </x:row>
    <x:row r="3524" ht="21" customHeight="1">
      <x:c r="A3524" s="10" t="n">
        <x:v>4836</x:v>
      </x:c>
      <x:c r="B3524" s="2" t="str">
        <x:v>841c5216eead334758c7</x:v>
      </x:c>
      <x:c r="C3524" s="2" t="str">
        <x:v>Bình Phước</x:v>
      </x:c>
      <x:c r="D3524" s="2" t="str">
        <x:v>Huyện Chơn Thành</x:v>
      </x:c>
      <x:c r="E3524" s="2" t="str">
        <x:v>other_unknown</x:v>
      </x:c>
      <x:c r="F3524" s="2" t="str">
        <x:v>sale</x:v>
      </x:c>
      <x:c r="G3524" s="11" t="n">
        <x:v>1050</x:v>
      </x:c>
      <x:c r="H3524" s="12" t="n">
        <x:v>450000000</x:v>
      </x:c>
      <x:c r="I3524" s="12" t="n">
        <x:v>428571.4285714286</x:v>
      </x:c>
      <x:c r="J3524" s="2" t="str">
        <x:v>total</x:v>
      </x:c>
      <x:c r="K3524" s="2" t="str">
        <x:v>top_level_area</x:v>
      </x:c>
      <x:c r="L3524" s="2" t="str">
        <x:v>dot_thousands_convention;property_type_inferred_from_title;unknown_property_type</x:v>
      </x:c>
      <x:c r="M3524" s="10" t="n">
        <x:v>0</x:v>
      </x:c>
      <x:c r="N3524" s="10" t="n">
        <x:v>0</x:v>
      </x:c>
      <x:c r="O3524" s="2" t="str">
        <x:v>other_unknown</x:v>
      </x:c>
      <x:c r="P3524" s="10" t="n">
        <x:v>1</x:v>
      </x:c>
      <x:c r="Q3524" s="13" t="n">
        <x:f>IF(H3524="","",H3524/1000000000)</x:f>
        <x:v>0.45</x:v>
      </x:c>
      <x:c r="R3524" s="13" t="n">
        <x:f>IF(I3524="","",I3524/1000000)</x:f>
        <x:v>0.4285714285714286</x:v>
      </x:c>
    </x:row>
    <x:row r="3525" ht="21" customHeight="1">
      <x:c r="A3525" s="10" t="n">
        <x:v>4837</x:v>
      </x:c>
      <x:c r="B3525" s="2" t="str">
        <x:v>b51a73b8aa8573467683</x:v>
      </x:c>
      <x:c r="C3525" s="2" t="str">
        <x:v>Hà Nội</x:v>
      </x:c>
      <x:c r="D3525" s="2" t="str">
        <x:v>Quận Long Biên</x:v>
      </x:c>
      <x:c r="E3525" s="2" t="str">
        <x:v>house</x:v>
      </x:c>
      <x:c r="F3525" s="2" t="str">
        <x:v>sale_assumed</x:v>
      </x:c>
      <x:c r="G3525" s="11" t="n">
        <x:v>55</x:v>
      </x:c>
      <x:c r="H3525" s="12" t="n">
        <x:v>3500000000</x:v>
      </x:c>
      <x:c r="I3525" s="12" t="n">
        <x:v>63636363.63636363</x:v>
      </x:c>
      <x:c r="J3525" s="2" t="str">
        <x:v>total</x:v>
      </x:c>
      <x:c r="K3525" s="2" t="str">
        <x:v>top_level_area</x:v>
      </x:c>
      <x:c r="L3525" s="2" t="str">
        <x:v>property_type_inferred_from_title;transaction_assumed_sale_from_dataset_context</x:v>
      </x:c>
      <x:c r="M3525" s="10" t="n">
        <x:v>0</x:v>
      </x:c>
      <x:c r="N3525" s="10" t="n">
        <x:v>0</x:v>
      </x:c>
      <x:c r="O3525" s="2" t="str">
        <x:v>Hà Nội|house</x:v>
      </x:c>
      <x:c r="P3525" s="10" t="n">
        <x:v>2</x:v>
      </x:c>
      <x:c r="Q3525" s="13" t="n">
        <x:f>IF(H3525="","",H3525/1000000000)</x:f>
        <x:v>3.5</x:v>
      </x:c>
      <x:c r="R3525" s="13" t="n">
        <x:f>IF(I3525="","",I3525/1000000)</x:f>
        <x:v>63.63636363636363</x:v>
      </x:c>
    </x:row>
    <x:row r="3526" ht="21" customHeight="1">
      <x:c r="A3526" s="10" t="n">
        <x:v>4838</x:v>
      </x:c>
      <x:c r="B3526" s="2" t="str">
        <x:v>488b1caa20afa2c17678</x:v>
      </x:c>
      <x:c r="C3526" s="2" t="str">
        <x:v>Tp Hồ Chí Minh</x:v>
      </x:c>
      <x:c r="D3526" s="2" t="str">
        <x:v>Huyện Bình Chánh</x:v>
      </x:c>
      <x:c r="E3526" s="2" t="str">
        <x:v>house</x:v>
      </x:c>
      <x:c r="F3526" s="2" t="str">
        <x:v>sale_assumed</x:v>
      </x:c>
      <x:c r="G3526" s="11" t="n">
        <x:v>60</x:v>
      </x:c>
      <x:c r="H3526" s="12" t="n">
        <x:v>890000000</x:v>
      </x:c>
      <x:c r="I3526" s="12" t="n">
        <x:v>14833333.333333334</x:v>
      </x:c>
      <x:c r="J3526" s="2" t="str">
        <x:v>total</x:v>
      </x:c>
      <x:c r="K3526" s="2" t="str">
        <x:v>top_level_area</x:v>
      </x:c>
      <x:c r="L3526" s="2" t="str">
        <x:v>property_type_inferred_from_title;transaction_assumed_sale_from_dataset_context</x:v>
      </x:c>
      <x:c r="M3526" s="10" t="n">
        <x:v>0</x:v>
      </x:c>
      <x:c r="N3526" s="10" t="n">
        <x:v>0</x:v>
      </x:c>
      <x:c r="O3526" s="2" t="str">
        <x:v>Tp Hồ Chí Minh|house</x:v>
      </x:c>
      <x:c r="P3526" s="10" t="n">
        <x:v>2</x:v>
      </x:c>
      <x:c r="Q3526" s="13" t="n">
        <x:f>IF(H3526="","",H3526/1000000000)</x:f>
        <x:v>0.89</x:v>
      </x:c>
      <x:c r="R3526" s="13" t="n">
        <x:f>IF(I3526="","",I3526/1000000)</x:f>
        <x:v>14.833333333333334</x:v>
      </x:c>
    </x:row>
    <x:row r="3527" ht="21" customHeight="1">
      <x:c r="A3527" s="10" t="n">
        <x:v>4839</x:v>
      </x:c>
      <x:c r="B3527" s="2" t="str">
        <x:v>30f6b698e2c1ada6146d</x:v>
      </x:c>
      <x:c r="C3527" s="2" t="str">
        <x:v>Hà Nội</x:v>
      </x:c>
      <x:c r="D3527" s="2" t="str">
        <x:v>Quận Đống Đa</x:v>
      </x:c>
      <x:c r="E3527" s="2" t="str">
        <x:v>apartment</x:v>
      </x:c>
      <x:c r="F3527" s="2" t="str">
        <x:v>sale_assumed</x:v>
      </x:c>
      <x:c r="G3527" s="11" t="n">
        <x:v>35</x:v>
      </x:c>
      <x:c r="H3527" s="12" t="n">
        <x:v>600000000</x:v>
      </x:c>
      <x:c r="I3527" s="12" t="n">
        <x:v>17142857.14285714</x:v>
      </x:c>
      <x:c r="J3527" s="2" t="str">
        <x:v>total</x:v>
      </x:c>
      <x:c r="K3527" s="2" t="str">
        <x:v>top_level_area</x:v>
      </x:c>
      <x:c r="L3527" s="2" t="str">
        <x:v>property_type_inferred_from_title;transaction_assumed_sale_from_dataset_context</x:v>
      </x:c>
      <x:c r="M3527" s="10" t="n">
        <x:v>0</x:v>
      </x:c>
      <x:c r="N3527" s="10" t="n">
        <x:v>0</x:v>
      </x:c>
      <x:c r="O3527" s="2" t="str">
        <x:v>Hà Nội|apartment</x:v>
      </x:c>
      <x:c r="P3527" s="10" t="n">
        <x:v>2</x:v>
      </x:c>
      <x:c r="Q3527" s="13" t="n">
        <x:f>IF(H3527="","",H3527/1000000000)</x:f>
        <x:v>0.6</x:v>
      </x:c>
      <x:c r="R3527" s="13" t="n">
        <x:f>IF(I3527="","",I3527/1000000)</x:f>
        <x:v>17.142857142857142</x:v>
      </x:c>
    </x:row>
    <x:row r="3528" ht="21" customHeight="1">
      <x:c r="A3528" s="10" t="n">
        <x:v>4840</x:v>
      </x:c>
      <x:c r="B3528" s="2" t="str">
        <x:v>0e610884dc7d487346e5</x:v>
      </x:c>
      <x:c r="C3528" s="2" t="str">
        <x:v>Vĩnh Long</x:v>
      </x:c>
      <x:c r="D3528" s="2" t="str">
        <x:v>Thị xã Bình Minh</x:v>
      </x:c>
      <x:c r="E3528" s="2" t="str">
        <x:v>land</x:v>
      </x:c>
      <x:c r="F3528" s="2" t="str">
        <x:v>sale</x:v>
      </x:c>
      <x:c r="G3528" s="11" t="n">
        <x:v>216</x:v>
      </x:c>
      <x:c r="H3528" s="12" t="n">
        <x:v>1620000000</x:v>
      </x:c>
      <x:c r="I3528" s="12" t="n">
        <x:v>7500000</x:v>
      </x:c>
      <x:c r="J3528" s="2" t="str">
        <x:v>total</x:v>
      </x:c>
      <x:c r="K3528" s="2" t="str">
        <x:v>top_level_area</x:v>
      </x:c>
      <x:c r="L3528" s="2" t="str">
        <x:v>property_type_inferred_from_title</x:v>
      </x:c>
      <x:c r="M3528" s="10" t="n">
        <x:v>0</x:v>
      </x:c>
      <x:c r="N3528" s="10" t="n">
        <x:v>0</x:v>
      </x:c>
      <x:c r="O3528" s="2" t="str">
        <x:v>land</x:v>
      </x:c>
      <x:c r="P3528" s="10" t="n">
        <x:v>1</x:v>
      </x:c>
      <x:c r="Q3528" s="13" t="n">
        <x:f>IF(H3528="","",H3528/1000000000)</x:f>
        <x:v>1.62</x:v>
      </x:c>
      <x:c r="R3528" s="13" t="n">
        <x:f>IF(I3528="","",I3528/1000000)</x:f>
        <x:v>7.5</x:v>
      </x:c>
    </x:row>
    <x:row r="3529" ht="21" customHeight="1">
      <x:c r="A3529" s="10" t="n">
        <x:v>4841</x:v>
      </x:c>
      <x:c r="B3529" s="2" t="str">
        <x:v>9fc91bcee9d16a918247</x:v>
      </x:c>
      <x:c r="C3529" s="2" t="str">
        <x:v>Tây Ninh</x:v>
      </x:c>
      <x:c r="D3529" s="2" t="str">
        <x:v>Huyện Gò Dầu</x:v>
      </x:c>
      <x:c r="E3529" s="2" t="str">
        <x:v>land</x:v>
      </x:c>
      <x:c r="F3529" s="2" t="str">
        <x:v>sale_assumed</x:v>
      </x:c>
      <x:c r="G3529" s="11" t="n">
        <x:v>140</x:v>
      </x:c>
      <x:c r="H3529" s="12" t="n">
        <x:v>780000000</x:v>
      </x:c>
      <x:c r="I3529" s="12" t="n">
        <x:v>5571428.571428572</x:v>
      </x:c>
      <x:c r="J3529" s="2" t="str">
        <x:v>total</x:v>
      </x:c>
      <x:c r="K3529" s="2" t="str">
        <x:v>top_level_area</x:v>
      </x:c>
      <x:c r="L3529" s="2" t="str">
        <x:v>property_type_inferred_from_title;transaction_assumed_sale_from_dataset_context</x:v>
      </x:c>
      <x:c r="M3529" s="10" t="n">
        <x:v>0</x:v>
      </x:c>
      <x:c r="N3529" s="10" t="n">
        <x:v>0</x:v>
      </x:c>
      <x:c r="O3529" s="2" t="str">
        <x:v>land</x:v>
      </x:c>
      <x:c r="P3529" s="10" t="n">
        <x:v>2</x:v>
      </x:c>
      <x:c r="Q3529" s="13" t="n">
        <x:f>IF(H3529="","",H3529/1000000000)</x:f>
        <x:v>0.78</x:v>
      </x:c>
      <x:c r="R3529" s="13" t="n">
        <x:f>IF(I3529="","",I3529/1000000)</x:f>
        <x:v>5.571428571428572</x:v>
      </x:c>
    </x:row>
    <x:row r="3530" ht="21" customHeight="1">
      <x:c r="A3530" s="10" t="n">
        <x:v>4842</x:v>
      </x:c>
      <x:c r="B3530" s="2" t="str">
        <x:v>64c19217fed9bb9606eb</x:v>
      </x:c>
      <x:c r="C3530" s="2" t="str">
        <x:v>Tp Hồ Chí Minh</x:v>
      </x:c>
      <x:c r="D3530" s="2" t="str">
        <x:v>Huyện Bình Chánh</x:v>
      </x:c>
      <x:c r="E3530" s="2" t="str">
        <x:v>land</x:v>
      </x:c>
      <x:c r="F3530" s="2" t="str">
        <x:v>sale</x:v>
      </x:c>
      <x:c r="G3530" s="11" t="n">
        <x:v>100</x:v>
      </x:c>
      <x:c r="H3530" s="12" t="n">
        <x:v>920000000</x:v>
      </x:c>
      <x:c r="I3530" s="12" t="n">
        <x:v>9200000</x:v>
      </x:c>
      <x:c r="J3530" s="2" t="str">
        <x:v>total</x:v>
      </x:c>
      <x:c r="K3530" s="2" t="str">
        <x:v>top_level_area</x:v>
      </x:c>
      <x:c r="L3530" s="2" t="str">
        <x:v>property_type_inferred_from_title</x:v>
      </x:c>
      <x:c r="M3530" s="10" t="n">
        <x:v>0</x:v>
      </x:c>
      <x:c r="N3530" s="10" t="n">
        <x:v>0</x:v>
      </x:c>
      <x:c r="O3530" s="2" t="str">
        <x:v>Tp Hồ Chí Minh|land</x:v>
      </x:c>
      <x:c r="P3530" s="10" t="n">
        <x:v>2</x:v>
      </x:c>
      <x:c r="Q3530" s="13" t="n">
        <x:f>IF(H3530="","",H3530/1000000000)</x:f>
        <x:v>0.92</x:v>
      </x:c>
      <x:c r="R3530" s="13" t="n">
        <x:f>IF(I3530="","",I3530/1000000)</x:f>
        <x:v>9.2</x:v>
      </x:c>
    </x:row>
    <x:row r="3531" ht="21" customHeight="1">
      <x:c r="A3531" s="10" t="n">
        <x:v>4843</x:v>
      </x:c>
      <x:c r="B3531" s="2" t="str">
        <x:v>643b918d3e09fa1a257a</x:v>
      </x:c>
      <x:c r="C3531" s="2" t="str">
        <x:v>Tp Hồ Chí Minh</x:v>
      </x:c>
      <x:c r="D3531" s="2" t="str">
        <x:v>Quận Tân Phú</x:v>
      </x:c>
      <x:c r="E3531" s="2" t="str">
        <x:v>other_unknown</x:v>
      </x:c>
      <x:c r="F3531" s="2" t="str">
        <x:v>sale</x:v>
      </x:c>
      <x:c r="G3531" s="11" t="n">
        <x:v>40</x:v>
      </x:c>
      <x:c r="H3531" s="12" t="n">
        <x:v>2000000000</x:v>
      </x:c>
      <x:c r="I3531" s="12" t="n">
        <x:v>50000000</x:v>
      </x:c>
      <x:c r="J3531" s="2" t="str">
        <x:v>total</x:v>
      </x:c>
      <x:c r="K3531" s="2" t="str">
        <x:v>top_level_area</x:v>
      </x:c>
      <x:c r="L3531" s="2" t="str">
        <x:v>property_type_inferred_from_title;unknown_property_type</x:v>
      </x:c>
      <x:c r="M3531" s="10" t="n">
        <x:v>0</x:v>
      </x:c>
      <x:c r="N3531" s="10" t="n">
        <x:v>0</x:v>
      </x:c>
      <x:c r="O3531" s="2" t="str">
        <x:v>Tp Hồ Chí Minh|other_unknown</x:v>
      </x:c>
      <x:c r="P3531" s="10" t="n">
        <x:v>2</x:v>
      </x:c>
      <x:c r="Q3531" s="13" t="n">
        <x:f>IF(H3531="","",H3531/1000000000)</x:f>
        <x:v>2</x:v>
      </x:c>
      <x:c r="R3531" s="13" t="n">
        <x:f>IF(I3531="","",I3531/1000000)</x:f>
        <x:v>50</x:v>
      </x:c>
    </x:row>
    <x:row r="3532" ht="21" customHeight="1">
      <x:c r="A3532" s="10" t="n">
        <x:v>4844</x:v>
      </x:c>
      <x:c r="B3532" s="2" t="str">
        <x:v>2790dc9c9f5b75d7a437</x:v>
      </x:c>
      <x:c r="C3532" s="2" t="str">
        <x:v>Hà Nội</x:v>
      </x:c>
      <x:c r="D3532" s="2" t="str">
        <x:v>Quận Hoàng Mai</x:v>
      </x:c>
      <x:c r="E3532" s="2" t="str">
        <x:v>house</x:v>
      </x:c>
      <x:c r="F3532" s="2" t="str">
        <x:v>sale_assumed</x:v>
      </x:c>
      <x:c r="G3532" s="11" t="n">
        <x:v>23</x:v>
      </x:c>
      <x:c r="H3532" s="12" t="n">
        <x:v>1950000000</x:v>
      </x:c>
      <x:c r="I3532" s="12" t="n">
        <x:v>84782608.69565217</x:v>
      </x:c>
      <x:c r="J3532" s="2" t="str">
        <x:v>total</x:v>
      </x:c>
      <x:c r="K3532" s="2" t="str">
        <x:v>top_level_area</x:v>
      </x:c>
      <x:c r="L3532" s="2" t="str">
        <x:v>property_type_inferred_from_title;transaction_assumed_sale_from_dataset_context</x:v>
      </x:c>
      <x:c r="M3532" s="10" t="n">
        <x:v>0</x:v>
      </x:c>
      <x:c r="N3532" s="10" t="n">
        <x:v>0</x:v>
      </x:c>
      <x:c r="O3532" s="2" t="str">
        <x:v>Hà Nội|house</x:v>
      </x:c>
      <x:c r="P3532" s="10" t="n">
        <x:v>2</x:v>
      </x:c>
      <x:c r="Q3532" s="13" t="n">
        <x:f>IF(H3532="","",H3532/1000000000)</x:f>
        <x:v>1.95</x:v>
      </x:c>
      <x:c r="R3532" s="13" t="n">
        <x:f>IF(I3532="","",I3532/1000000)</x:f>
        <x:v>84.78260869565217</x:v>
      </x:c>
    </x:row>
    <x:row r="3533" ht="21" customHeight="1">
      <x:c r="A3533" s="10" t="n">
        <x:v>4845</x:v>
      </x:c>
      <x:c r="B3533" s="2" t="str">
        <x:v>f54b954039ca3be9ebbc</x:v>
      </x:c>
      <x:c r="C3533" s="2" t="str">
        <x:v>Quảng Nam</x:v>
      </x:c>
      <x:c r="D3533" s="2" t="str">
        <x:v>Thị xã Điện Bàn</x:v>
      </x:c>
      <x:c r="E3533" s="2" t="str">
        <x:v>other_unknown</x:v>
      </x:c>
      <x:c r="F3533" s="2" t="str">
        <x:v>sale_assumed</x:v>
      </x:c>
      <x:c r="G3533" s="11" t="n">
        <x:v>100</x:v>
      </x:c>
      <x:c r="H3533" s="12" t="n">
        <x:v>750010000</x:v>
      </x:c>
      <x:c r="I3533" s="12" t="n">
        <x:v>7500100</x:v>
      </x:c>
      <x:c r="J3533" s="2" t="str">
        <x:v>total</x:v>
      </x:c>
      <x:c r="K3533" s="2" t="str">
        <x:v>top_level_area</x:v>
      </x:c>
      <x:c r="L3533" s="2" t="str">
        <x:v>property_type_inferred_from_title;transaction_assumed_sale_from_dataset_context;unknown_property_type</x:v>
      </x:c>
      <x:c r="M3533" s="10" t="n">
        <x:v>0</x:v>
      </x:c>
      <x:c r="N3533" s="10" t="n">
        <x:v>0</x:v>
      </x:c>
      <x:c r="O3533" s="2" t="str">
        <x:v>other_unknown</x:v>
      </x:c>
      <x:c r="P3533" s="10" t="n">
        <x:v>2</x:v>
      </x:c>
      <x:c r="Q3533" s="13" t="n">
        <x:f>IF(H3533="","",H3533/1000000000)</x:f>
        <x:v>0.75001</x:v>
      </x:c>
      <x:c r="R3533" s="13" t="n">
        <x:f>IF(I3533="","",I3533/1000000)</x:f>
        <x:v>7.5001</x:v>
      </x:c>
    </x:row>
    <x:row r="3534" ht="21" customHeight="1">
      <x:c r="A3534" s="10" t="n">
        <x:v>4846</x:v>
      </x:c>
      <x:c r="B3534" s="2" t="str">
        <x:v>4c807add2c32692cb96d</x:v>
      </x:c>
      <x:c r="C3534" s="2" t="str">
        <x:v>Tp Hồ Chí Minh</x:v>
      </x:c>
      <x:c r="D3534" s="2" t="str">
        <x:v>Quận Thủ Đức</x:v>
      </x:c>
      <x:c r="E3534" s="2" t="str">
        <x:v>house</x:v>
      </x:c>
      <x:c r="F3534" s="2" t="str">
        <x:v>sale</x:v>
      </x:c>
      <x:c r="G3534" s="11" t="n">
        <x:v>73.2</x:v>
      </x:c>
      <x:c r="H3534" s="12" t="n">
        <x:v>3700000000</x:v>
      </x:c>
      <x:c r="I3534" s="12" t="n">
        <x:v>50546448.08743169</x:v>
      </x:c>
      <x:c r="J3534" s="2" t="str">
        <x:v>total</x:v>
      </x:c>
      <x:c r="K3534" s="2" t="str">
        <x:v>top_level_area</x:v>
      </x:c>
      <x:c r="L3534" s="2" t="str">
        <x:v>property_type_inferred_from_title</x:v>
      </x:c>
      <x:c r="M3534" s="10" t="n">
        <x:v>0</x:v>
      </x:c>
      <x:c r="N3534" s="10" t="n">
        <x:v>0</x:v>
      </x:c>
      <x:c r="O3534" s="2" t="str">
        <x:v>Tp Hồ Chí Minh|house</x:v>
      </x:c>
      <x:c r="P3534" s="10" t="n">
        <x:v>2</x:v>
      </x:c>
      <x:c r="Q3534" s="13" t="n">
        <x:f>IF(H3534="","",H3534/1000000000)</x:f>
        <x:v>3.7</x:v>
      </x:c>
      <x:c r="R3534" s="13" t="n">
        <x:f>IF(I3534="","",I3534/1000000)</x:f>
        <x:v>50.54644808743169</x:v>
      </x:c>
    </x:row>
    <x:row r="3535" ht="21" customHeight="1">
      <x:c r="A3535" s="10" t="n">
        <x:v>4847</x:v>
      </x:c>
      <x:c r="B3535" s="2" t="str">
        <x:v>f8abdca7ef796a76bb73</x:v>
      </x:c>
      <x:c r="C3535" s="2" t="str">
        <x:v>Tp Hồ Chí Minh</x:v>
      </x:c>
      <x:c r="D3535" s="2" t="str">
        <x:v>Quận 12</x:v>
      </x:c>
      <x:c r="E3535" s="2" t="str">
        <x:v>house</x:v>
      </x:c>
      <x:c r="F3535" s="2" t="str">
        <x:v>sale_assumed</x:v>
      </x:c>
      <x:c r="G3535" s="11" t="n">
        <x:v>24</x:v>
      </x:c>
      <x:c r="H3535" s="12" t="n">
        <x:v>1680000000</x:v>
      </x:c>
      <x:c r="I3535" s="12" t="n">
        <x:v>70000000</x:v>
      </x:c>
      <x:c r="J3535" s="2" t="str">
        <x:v>total</x:v>
      </x:c>
      <x:c r="K3535" s="2" t="str">
        <x:v>top_level_area</x:v>
      </x:c>
      <x:c r="L3535" s="2" t="str">
        <x:v>property_type_inferred_from_title;transaction_assumed_sale_from_dataset_context</x:v>
      </x:c>
      <x:c r="M3535" s="10" t="n">
        <x:v>0</x:v>
      </x:c>
      <x:c r="N3535" s="10" t="n">
        <x:v>0</x:v>
      </x:c>
      <x:c r="O3535" s="2" t="str">
        <x:v>Tp Hồ Chí Minh|house</x:v>
      </x:c>
      <x:c r="P3535" s="10" t="n">
        <x:v>2</x:v>
      </x:c>
      <x:c r="Q3535" s="13" t="n">
        <x:f>IF(H3535="","",H3535/1000000000)</x:f>
        <x:v>1.68</x:v>
      </x:c>
      <x:c r="R3535" s="13" t="n">
        <x:f>IF(I3535="","",I3535/1000000)</x:f>
        <x:v>70</x:v>
      </x:c>
    </x:row>
    <x:row r="3536" ht="21" customHeight="1">
      <x:c r="A3536" s="10" t="n">
        <x:v>4848</x:v>
      </x:c>
      <x:c r="B3536" s="2" t="str">
        <x:v>4b8cfa72eaead1ccf557</x:v>
      </x:c>
      <x:c r="C3536" s="2" t="str">
        <x:v>Tp Hồ Chí Minh</x:v>
      </x:c>
      <x:c r="D3536" s="2" t="str">
        <x:v>Quận Tân Bình</x:v>
      </x:c>
      <x:c r="E3536" s="2" t="str">
        <x:v>house</x:v>
      </x:c>
      <x:c r="F3536" s="2" t="str">
        <x:v>sale</x:v>
      </x:c>
      <x:c r="G3536" s="11" t="n">
        <x:v>75</x:v>
      </x:c>
      <x:c r="H3536" s="12" t="n">
        <x:v>5200000000</x:v>
      </x:c>
      <x:c r="I3536" s="12" t="n">
        <x:v>69333333.33333333</x:v>
      </x:c>
      <x:c r="J3536" s="2" t="str">
        <x:v>total</x:v>
      </x:c>
      <x:c r="K3536" s="2" t="str">
        <x:v>top_level_area</x:v>
      </x:c>
      <x:c r="L3536" s="2" t="str">
        <x:v>property_type_inferred_from_title</x:v>
      </x:c>
      <x:c r="M3536" s="10" t="n">
        <x:v>0</x:v>
      </x:c>
      <x:c r="N3536" s="10" t="n">
        <x:v>0</x:v>
      </x:c>
      <x:c r="O3536" s="2" t="str">
        <x:v>Tp Hồ Chí Minh|house</x:v>
      </x:c>
      <x:c r="P3536" s="10" t="n">
        <x:v>2</x:v>
      </x:c>
      <x:c r="Q3536" s="13" t="n">
        <x:f>IF(H3536="","",H3536/1000000000)</x:f>
        <x:v>5.2</x:v>
      </x:c>
      <x:c r="R3536" s="13" t="n">
        <x:f>IF(I3536="","",I3536/1000000)</x:f>
        <x:v>69.33333333333333</x:v>
      </x:c>
    </x:row>
    <x:row r="3537" ht="21" customHeight="1">
      <x:c r="A3537" s="10" t="n">
        <x:v>4849</x:v>
      </x:c>
      <x:c r="B3537" s="2" t="str">
        <x:v>ef43502cfa73e1eb0c60</x:v>
      </x:c>
      <x:c r="C3537" s="2" t="str">
        <x:v>Tp Hồ Chí Minh</x:v>
      </x:c>
      <x:c r="D3537" s="2" t="str">
        <x:v>Quận Thủ Đức</x:v>
      </x:c>
      <x:c r="E3537" s="2" t="str">
        <x:v>land</x:v>
      </x:c>
      <x:c r="F3537" s="2" t="str">
        <x:v>sale_assumed</x:v>
      </x:c>
      <x:c r="G3537" s="11" t="n">
        <x:v>72</x:v>
      </x:c>
      <x:c r="H3537" s="12" t="n">
        <x:v>4500000000</x:v>
      </x:c>
      <x:c r="I3537" s="12" t="n">
        <x:v>62500000</x:v>
      </x:c>
      <x:c r="J3537" s="2" t="str">
        <x:v>total</x:v>
      </x:c>
      <x:c r="K3537" s="2" t="str">
        <x:v>top_level_area</x:v>
      </x:c>
      <x:c r="L3537" s="2" t="str">
        <x:v>property_type_inferred_from_title;transaction_assumed_sale_from_dataset_context</x:v>
      </x:c>
      <x:c r="M3537" s="10" t="n">
        <x:v>0</x:v>
      </x:c>
      <x:c r="N3537" s="10" t="n">
        <x:v>0</x:v>
      </x:c>
      <x:c r="O3537" s="2" t="str">
        <x:v>Tp Hồ Chí Minh|land</x:v>
      </x:c>
      <x:c r="P3537" s="10" t="n">
        <x:v>2</x:v>
      </x:c>
      <x:c r="Q3537" s="13" t="n">
        <x:f>IF(H3537="","",H3537/1000000000)</x:f>
        <x:v>4.5</x:v>
      </x:c>
      <x:c r="R3537" s="13" t="n">
        <x:f>IF(I3537="","",I3537/1000000)</x:f>
        <x:v>62.5</x:v>
      </x:c>
    </x:row>
    <x:row r="3538" ht="21" customHeight="1">
      <x:c r="A3538" s="10" t="n">
        <x:v>4850</x:v>
      </x:c>
      <x:c r="B3538" s="2" t="str">
        <x:v>ee37dca039a67493489f</x:v>
      </x:c>
      <x:c r="C3538" s="2" t="str">
        <x:v>Đà Nẵng</x:v>
      </x:c>
      <x:c r="D3538" s="2" t="str">
        <x:v>Quận Hải Châu</x:v>
      </x:c>
      <x:c r="E3538" s="2" t="str">
        <x:v>house</x:v>
      </x:c>
      <x:c r="F3538" s="2" t="str">
        <x:v>sale</x:v>
      </x:c>
      <x:c r="G3538" s="11" t="n">
        <x:v>45</x:v>
      </x:c>
      <x:c r="H3538" s="12" t="n">
        <x:v>5100000000</x:v>
      </x:c>
      <x:c r="I3538" s="12" t="n">
        <x:v>113333333.33333333</x:v>
      </x:c>
      <x:c r="J3538" s="2" t="str">
        <x:v>total</x:v>
      </x:c>
      <x:c r="K3538" s="2" t="str">
        <x:v>top_level_area</x:v>
      </x:c>
      <x:c r="L3538" s="2" t="str">
        <x:v>property_type_inferred_from_title</x:v>
      </x:c>
      <x:c r="M3538" s="10" t="n">
        <x:v>0</x:v>
      </x:c>
      <x:c r="N3538" s="10" t="n">
        <x:v>0</x:v>
      </x:c>
      <x:c r="O3538" s="2" t="str">
        <x:v>Đà Nẵng|house</x:v>
      </x:c>
      <x:c r="P3538" s="10" t="n">
        <x:v>2</x:v>
      </x:c>
      <x:c r="Q3538" s="13" t="n">
        <x:f>IF(H3538="","",H3538/1000000000)</x:f>
        <x:v>5.1</x:v>
      </x:c>
      <x:c r="R3538" s="13" t="n">
        <x:f>IF(I3538="","",I3538/1000000)</x:f>
        <x:v>113.33333333333333</x:v>
      </x:c>
    </x:row>
    <x:row r="3539" ht="21" customHeight="1">
      <x:c r="A3539" s="10" t="n">
        <x:v>4851</x:v>
      </x:c>
      <x:c r="B3539" s="2" t="str">
        <x:v>7e8d7f3ed07789349620</x:v>
      </x:c>
      <x:c r="C3539" s="2" t="str">
        <x:v>Hà Nội</x:v>
      </x:c>
      <x:c r="D3539" s="2" t="str">
        <x:v>Quận Nam Từ Liêm</x:v>
      </x:c>
      <x:c r="E3539" s="2" t="str">
        <x:v>house</x:v>
      </x:c>
      <x:c r="F3539" s="2" t="str">
        <x:v>sale</x:v>
      </x:c>
      <x:c r="G3539" s="11" t="n">
        <x:v>62</x:v>
      </x:c>
      <x:c r="H3539" s="12" t="n">
        <x:v>9500000000</x:v>
      </x:c>
      <x:c r="I3539" s="12" t="n">
        <x:v>153225806.4516129</x:v>
      </x:c>
      <x:c r="J3539" s="2" t="str">
        <x:v>total</x:v>
      </x:c>
      <x:c r="K3539" s="2" t="str">
        <x:v>top_level_area</x:v>
      </x:c>
      <x:c r="L3539" s="2" t="str">
        <x:v>property_type_inferred_from_title</x:v>
      </x:c>
      <x:c r="M3539" s="10" t="n">
        <x:v>0</x:v>
      </x:c>
      <x:c r="N3539" s="10" t="n">
        <x:v>0</x:v>
      </x:c>
      <x:c r="O3539" s="2" t="str">
        <x:v>Hà Nội|house</x:v>
      </x:c>
      <x:c r="P3539" s="10" t="n">
        <x:v>2</x:v>
      </x:c>
      <x:c r="Q3539" s="13" t="n">
        <x:f>IF(H3539="","",H3539/1000000000)</x:f>
        <x:v>9.5</x:v>
      </x:c>
      <x:c r="R3539" s="13" t="n">
        <x:f>IF(I3539="","",I3539/1000000)</x:f>
        <x:v>153.2258064516129</x:v>
      </x:c>
    </x:row>
    <x:row r="3540" ht="21" customHeight="1">
      <x:c r="A3540" s="10" t="n">
        <x:v>4854</x:v>
      </x:c>
      <x:c r="B3540" s="2" t="str">
        <x:v>565a93faa5fc00629ade</x:v>
      </x:c>
      <x:c r="C3540" s="2" t="str">
        <x:v>Tp Hồ Chí Minh</x:v>
      </x:c>
      <x:c r="D3540" s="2" t="str">
        <x:v>Quận 3</x:v>
      </x:c>
      <x:c r="E3540" s="2" t="str">
        <x:v>house</x:v>
      </x:c>
      <x:c r="F3540" s="2" t="str">
        <x:v>sale</x:v>
      </x:c>
      <x:c r="G3540" s="11" t="n">
        <x:v>55</x:v>
      </x:c>
      <x:c r="H3540" s="12" t="n">
        <x:v>948000000</x:v>
      </x:c>
      <x:c r="I3540" s="12" t="n">
        <x:v>17236363.636363637</x:v>
      </x:c>
      <x:c r="J3540" s="2" t="str">
        <x:v>total</x:v>
      </x:c>
      <x:c r="K3540" s="2" t="str">
        <x:v>top_level_area</x:v>
      </x:c>
      <x:c r="L3540" s="2" t="str">
        <x:v>property_type_inferred_from_title</x:v>
      </x:c>
      <x:c r="M3540" s="10" t="n">
        <x:v>0</x:v>
      </x:c>
      <x:c r="N3540" s="10" t="n">
        <x:v>0</x:v>
      </x:c>
      <x:c r="O3540" s="2" t="str">
        <x:v>Tp Hồ Chí Minh|house</x:v>
      </x:c>
      <x:c r="P3540" s="10" t="n">
        <x:v>2</x:v>
      </x:c>
      <x:c r="Q3540" s="13" t="n">
        <x:f>IF(H3540="","",H3540/1000000000)</x:f>
        <x:v>0.948</x:v>
      </x:c>
      <x:c r="R3540" s="13" t="n">
        <x:f>IF(I3540="","",I3540/1000000)</x:f>
        <x:v>17.236363636363638</x:v>
      </x:c>
    </x:row>
    <x:row r="3541" ht="21" customHeight="1">
      <x:c r="A3541" s="10" t="n">
        <x:v>4855</x:v>
      </x:c>
      <x:c r="B3541" s="2" t="str">
        <x:v>80a349e8823beb3d0cab</x:v>
      </x:c>
      <x:c r="C3541" s="2" t="str">
        <x:v>Cần Thơ</x:v>
      </x:c>
      <x:c r="D3541" s="2" t="str">
        <x:v>Quận Ninh Kiều</x:v>
      </x:c>
      <x:c r="E3541" s="2" t="str">
        <x:v>house</x:v>
      </x:c>
      <x:c r="F3541" s="2" t="str">
        <x:v>sale_assumed</x:v>
      </x:c>
      <x:c r="G3541" s="11" t="n">
        <x:v>70</x:v>
      </x:c>
      <x:c r="H3541" s="12" t="n">
        <x:v>4600000000</x:v>
      </x:c>
      <x:c r="I3541" s="12" t="n">
        <x:v>65714285.71428572</x:v>
      </x:c>
      <x:c r="J3541" s="2" t="str">
        <x:v>total</x:v>
      </x:c>
      <x:c r="K3541" s="2" t="str">
        <x:v>top_level_area</x:v>
      </x:c>
      <x:c r="L3541" s="2" t="str">
        <x:v>property_type_inferred_from_title;transaction_assumed_sale_from_dataset_context</x:v>
      </x:c>
      <x:c r="M3541" s="10" t="n">
        <x:v>0</x:v>
      </x:c>
      <x:c r="N3541" s="10" t="n">
        <x:v>0</x:v>
      </x:c>
      <x:c r="O3541" s="2" t="str">
        <x:v>Cần Thơ|house</x:v>
      </x:c>
      <x:c r="P3541" s="10" t="n">
        <x:v>2</x:v>
      </x:c>
      <x:c r="Q3541" s="13" t="n">
        <x:f>IF(H3541="","",H3541/1000000000)</x:f>
        <x:v>4.6</x:v>
      </x:c>
      <x:c r="R3541" s="13" t="n">
        <x:f>IF(I3541="","",I3541/1000000)</x:f>
        <x:v>65.71428571428572</x:v>
      </x:c>
    </x:row>
    <x:row r="3542" ht="21" customHeight="1">
      <x:c r="A3542" s="10" t="n">
        <x:v>4856</x:v>
      </x:c>
      <x:c r="B3542" s="2" t="str">
        <x:v>3ed8fbc1f322e70be522</x:v>
      </x:c>
      <x:c r="C3542" s="2" t="str">
        <x:v>Hà Nội</x:v>
      </x:c>
      <x:c r="D3542" s="2" t="str">
        <x:v>Quận Nam Từ Liêm</x:v>
      </x:c>
      <x:c r="E3542" s="2" t="str">
        <x:v>other_unknown</x:v>
      </x:c>
      <x:c r="F3542" s="2" t="str">
        <x:v>sale_assumed</x:v>
      </x:c>
      <x:c r="G3542" s="11" t="n">
        <x:v>45</x:v>
      </x:c>
      <x:c r="H3542" s="12" t="n">
        <x:v>8199999999.999999</x:v>
      </x:c>
      <x:c r="I3542" s="12" t="n">
        <x:v>182222222.2222222</x:v>
      </x:c>
      <x:c r="J3542" s="2" t="str">
        <x:v>total</x:v>
      </x:c>
      <x:c r="K3542" s="2" t="str">
        <x:v>top_level_area</x:v>
      </x:c>
      <x:c r="L3542" s="2" t="str">
        <x:v>property_type_inferred_from_title;transaction_assumed_sale_from_dataset_context;unknown_property_type</x:v>
      </x:c>
      <x:c r="M3542" s="10" t="n">
        <x:v>1</x:v>
      </x:c>
      <x:c r="N3542" s="10" t="n">
        <x:v>1</x:v>
      </x:c>
      <x:c r="O3542" s="2" t="str">
        <x:v>Hà Nội|other_unknown</x:v>
      </x:c>
      <x:c r="P3542" s="10" t="n">
        <x:v>-1</x:v>
      </x:c>
      <x:c r="Q3542" s="13" t="n">
        <x:f>IF(H3542="","",H3542/1000000000)</x:f>
        <x:v>8.2</x:v>
      </x:c>
      <x:c r="R3542" s="13" t="n">
        <x:f>IF(I3542="","",I3542/1000000)</x:f>
        <x:v>182.2222222222222</x:v>
      </x:c>
    </x:row>
    <x:row r="3543" ht="21" customHeight="1">
      <x:c r="A3543" s="10" t="n">
        <x:v>4857</x:v>
      </x:c>
      <x:c r="B3543" s="2" t="str">
        <x:v>bbf498c6f8d221458a2f</x:v>
      </x:c>
      <x:c r="C3543" s="2" t="str">
        <x:v>Hà Nội</x:v>
      </x:c>
      <x:c r="D3543" s="2" t="str">
        <x:v>Quận Nam Từ Liêm</x:v>
      </x:c>
      <x:c r="E3543" s="2" t="str">
        <x:v>house</x:v>
      </x:c>
      <x:c r="F3543" s="2" t="str">
        <x:v>sale_assumed</x:v>
      </x:c>
      <x:c r="G3543" s="11" t="n">
        <x:v>32</x:v>
      </x:c>
      <x:c r="H3543" s="12" t="n">
        <x:v>3500000000</x:v>
      </x:c>
      <x:c r="I3543" s="12" t="n">
        <x:v>109375000</x:v>
      </x:c>
      <x:c r="J3543" s="2" t="str">
        <x:v>total</x:v>
      </x:c>
      <x:c r="K3543" s="2" t="str">
        <x:v>top_level_area</x:v>
      </x:c>
      <x:c r="L3543" s="2" t="str">
        <x:v>property_type_inferred_from_title;transaction_assumed_sale_from_dataset_context</x:v>
      </x:c>
      <x:c r="M3543" s="10" t="n">
        <x:v>0</x:v>
      </x:c>
      <x:c r="N3543" s="10" t="n">
        <x:v>0</x:v>
      </x:c>
      <x:c r="O3543" s="2" t="str">
        <x:v>Hà Nội|house</x:v>
      </x:c>
      <x:c r="P3543" s="10" t="n">
        <x:v>2</x:v>
      </x:c>
      <x:c r="Q3543" s="13" t="n">
        <x:f>IF(H3543="","",H3543/1000000000)</x:f>
        <x:v>3.5</x:v>
      </x:c>
      <x:c r="R3543" s="13" t="n">
        <x:f>IF(I3543="","",I3543/1000000)</x:f>
        <x:v>109.375</x:v>
      </x:c>
    </x:row>
    <x:row r="3544" ht="21" customHeight="1">
      <x:c r="A3544" s="10" t="n">
        <x:v>4858</x:v>
      </x:c>
      <x:c r="B3544" s="2" t="str">
        <x:v>1ab8adfce9baffa4c111</x:v>
      </x:c>
      <x:c r="C3544" s="2" t="str">
        <x:v>Hà Nội</x:v>
      </x:c>
      <x:c r="D3544" s="2" t="str">
        <x:v>Thị xã Sơn Tây</x:v>
      </x:c>
      <x:c r="E3544" s="2" t="str">
        <x:v>land</x:v>
      </x:c>
      <x:c r="F3544" s="2" t="str">
        <x:v>sale_assumed</x:v>
      </x:c>
      <x:c r="G3544" s="11" t="n">
        <x:v>490</x:v>
      </x:c>
      <x:c r="H3544" s="12" t="n">
        <x:v>3000000000</x:v>
      </x:c>
      <x:c r="I3544" s="12" t="n">
        <x:v>6122448.979591837</x:v>
      </x:c>
      <x:c r="J3544" s="2" t="str">
        <x:v>total</x:v>
      </x:c>
      <x:c r="K3544" s="2" t="str">
        <x:v>top_level_area</x:v>
      </x:c>
      <x:c r="L3544" s="2" t="str">
        <x:v>property_type_inferred_from_title;transaction_assumed_sale_from_dataset_context</x:v>
      </x:c>
      <x:c r="M3544" s="10" t="n">
        <x:v>0</x:v>
      </x:c>
      <x:c r="N3544" s="10" t="n">
        <x:v>0</x:v>
      </x:c>
      <x:c r="O3544" s="2" t="str">
        <x:v>Hà Nội|land</x:v>
      </x:c>
      <x:c r="P3544" s="10" t="n">
        <x:v>1</x:v>
      </x:c>
      <x:c r="Q3544" s="13" t="n">
        <x:f>IF(H3544="","",H3544/1000000000)</x:f>
        <x:v>3</x:v>
      </x:c>
      <x:c r="R3544" s="13" t="n">
        <x:f>IF(I3544="","",I3544/1000000)</x:f>
        <x:v>6.122448979591837</x:v>
      </x:c>
    </x:row>
    <x:row r="3545" ht="21" customHeight="1">
      <x:c r="A3545" s="10" t="n">
        <x:v>4859</x:v>
      </x:c>
      <x:c r="B3545" s="2" t="str">
        <x:v>b1268ce9c1feaf1397da</x:v>
      </x:c>
      <x:c r="C3545" s="2" t="str">
        <x:v>Hà Nội</x:v>
      </x:c>
      <x:c r="D3545" s="2" t="str">
        <x:v>Quận Long Biên</x:v>
      </x:c>
      <x:c r="E3545" s="2" t="str">
        <x:v>other_unknown</x:v>
      </x:c>
      <x:c r="F3545" s="2" t="str">
        <x:v>sale</x:v>
      </x:c>
      <x:c r="G3545" s="11" t="n">
        <x:v>36</x:v>
      </x:c>
      <x:c r="H3545" s="12" t="n">
        <x:v>2650000000</x:v>
      </x:c>
      <x:c r="I3545" s="12" t="n">
        <x:v>73611111.1111111</x:v>
      </x:c>
      <x:c r="J3545" s="2" t="str">
        <x:v>total</x:v>
      </x:c>
      <x:c r="K3545" s="2" t="str">
        <x:v>top_level_area</x:v>
      </x:c>
      <x:c r="L3545" s="2" t="str">
        <x:v>property_type_inferred_from_title;unknown_property_type</x:v>
      </x:c>
      <x:c r="M3545" s="10" t="n">
        <x:v>0</x:v>
      </x:c>
      <x:c r="N3545" s="10" t="n">
        <x:v>0</x:v>
      </x:c>
      <x:c r="O3545" s="2" t="str">
        <x:v>Hà Nội|other_unknown</x:v>
      </x:c>
      <x:c r="P3545" s="10" t="n">
        <x:v>2</x:v>
      </x:c>
      <x:c r="Q3545" s="13" t="n">
        <x:f>IF(H3545="","",H3545/1000000000)</x:f>
        <x:v>2.65</x:v>
      </x:c>
      <x:c r="R3545" s="13" t="n">
        <x:f>IF(I3545="","",I3545/1000000)</x:f>
        <x:v>73.6111111111111</x:v>
      </x:c>
    </x:row>
    <x:row r="3546" ht="21" customHeight="1">
      <x:c r="A3546" s="10" t="n">
        <x:v>4860</x:v>
      </x:c>
      <x:c r="B3546" s="2" t="str">
        <x:v>4278336ef9b4b9e97952</x:v>
      </x:c>
      <x:c r="C3546" s="2" t="str">
        <x:v>Tp Hồ Chí Minh</x:v>
      </x:c>
      <x:c r="D3546" s="2" t="str">
        <x:v>Quận Thủ Đức</x:v>
      </x:c>
      <x:c r="E3546" s="2" t="str">
        <x:v>house</x:v>
      </x:c>
      <x:c r="F3546" s="2" t="str">
        <x:v>sale_assumed</x:v>
      </x:c>
      <x:c r="G3546" s="11" t="n">
        <x:v>20</x:v>
      </x:c>
      <x:c r="H3546" s="12" t="n">
        <x:v>2100000000</x:v>
      </x:c>
      <x:c r="I3546" s="12" t="n">
        <x:v>105000000</x:v>
      </x:c>
      <x:c r="J3546" s="2" t="str">
        <x:v>total</x:v>
      </x:c>
      <x:c r="K3546" s="2" t="str">
        <x:v>top_level_area</x:v>
      </x:c>
      <x:c r="L3546" s="2" t="str">
        <x:v>property_type_inferred_from_title;transaction_assumed_sale_from_dataset_context</x:v>
      </x:c>
      <x:c r="M3546" s="10" t="n">
        <x:v>0</x:v>
      </x:c>
      <x:c r="N3546" s="10" t="n">
        <x:v>0</x:v>
      </x:c>
      <x:c r="O3546" s="2" t="str">
        <x:v>Tp Hồ Chí Minh|house</x:v>
      </x:c>
      <x:c r="P3546" s="10" t="n">
        <x:v>2</x:v>
      </x:c>
      <x:c r="Q3546" s="13" t="n">
        <x:f>IF(H3546="","",H3546/1000000000)</x:f>
        <x:v>2.1</x:v>
      </x:c>
      <x:c r="R3546" s="13" t="n">
        <x:f>IF(I3546="","",I3546/1000000)</x:f>
        <x:v>105</x:v>
      </x:c>
    </x:row>
    <x:row r="3547" ht="21" customHeight="1">
      <x:c r="A3547" s="10" t="n">
        <x:v>4861</x:v>
      </x:c>
      <x:c r="B3547" s="2" t="str">
        <x:v>8a5c5d1d92f0a637d206</x:v>
      </x:c>
      <x:c r="C3547" s="2" t="str">
        <x:v>Tp Hồ Chí Minh</x:v>
      </x:c>
      <x:c r="D3547" s="2" t="str">
        <x:v>Quận 10</x:v>
      </x:c>
      <x:c r="E3547" s="2" t="str">
        <x:v>apartment</x:v>
      </x:c>
      <x:c r="F3547" s="2" t="str">
        <x:v>sale</x:v>
      </x:c>
      <x:c r="G3547" s="11" t="n">
        <x:v>56</x:v>
      </x:c>
      <x:c r="H3547" s="12" t="n">
        <x:v>4800000000</x:v>
      </x:c>
      <x:c r="I3547" s="12" t="n">
        <x:v>85714285.71428572</x:v>
      </x:c>
      <x:c r="J3547" s="2" t="str">
        <x:v>total</x:v>
      </x:c>
      <x:c r="K3547" s="2" t="str">
        <x:v>top_level_area</x:v>
      </x:c>
      <x:c r="L3547" s="2" t="str">
        <x:v>property_type_inferred_from_title</x:v>
      </x:c>
      <x:c r="M3547" s="10" t="n">
        <x:v>0</x:v>
      </x:c>
      <x:c r="N3547" s="10" t="n">
        <x:v>1</x:v>
      </x:c>
      <x:c r="O3547" s="2" t="str">
        <x:v>Tp Hồ Chí Minh|apartment</x:v>
      </x:c>
      <x:c r="P3547" s="10" t="n">
        <x:v>-1</x:v>
      </x:c>
      <x:c r="Q3547" s="13" t="n">
        <x:f>IF(H3547="","",H3547/1000000000)</x:f>
        <x:v>4.8</x:v>
      </x:c>
      <x:c r="R3547" s="13" t="n">
        <x:f>IF(I3547="","",I3547/1000000)</x:f>
        <x:v>85.71428571428572</x:v>
      </x:c>
    </x:row>
    <x:row r="3548" ht="21" customHeight="1">
      <x:c r="A3548" s="10" t="n">
        <x:v>4862</x:v>
      </x:c>
      <x:c r="B3548" s="2" t="str">
        <x:v>dedc725d8845102c7ebf</x:v>
      </x:c>
      <x:c r="C3548" s="2" t="str">
        <x:v>Đà Nẵng</x:v>
      </x:c>
      <x:c r="D3548" s="2" t="str">
        <x:v>Quận Ngũ Hành Sơn</x:v>
      </x:c>
      <x:c r="E3548" s="2" t="str">
        <x:v>house</x:v>
      </x:c>
      <x:c r="F3548" s="2" t="str">
        <x:v>sale</x:v>
      </x:c>
      <x:c r="G3548" s="11" t="n">
        <x:v>76</x:v>
      </x:c>
      <x:c r="H3548" s="12" t="n">
        <x:v>3090000000</x:v>
      </x:c>
      <x:c r="I3548" s="12" t="n">
        <x:v>40657894.7368421</x:v>
      </x:c>
      <x:c r="J3548" s="2" t="str">
        <x:v>total</x:v>
      </x:c>
      <x:c r="K3548" s="2" t="str">
        <x:v>top_level_area</x:v>
      </x:c>
      <x:c r="L3548" s="2" t="str">
        <x:v>property_type_inferred_from_title</x:v>
      </x:c>
      <x:c r="M3548" s="10" t="n">
        <x:v>0</x:v>
      </x:c>
      <x:c r="N3548" s="10" t="n">
        <x:v>0</x:v>
      </x:c>
      <x:c r="O3548" s="2" t="str">
        <x:v>Đà Nẵng|house</x:v>
      </x:c>
      <x:c r="P3548" s="10" t="n">
        <x:v>2</x:v>
      </x:c>
      <x:c r="Q3548" s="13" t="n">
        <x:f>IF(H3548="","",H3548/1000000000)</x:f>
        <x:v>3.09</x:v>
      </x:c>
      <x:c r="R3548" s="13" t="n">
        <x:f>IF(I3548="","",I3548/1000000)</x:f>
        <x:v>40.6578947368421</x:v>
      </x:c>
    </x:row>
    <x:row r="3549" ht="21" customHeight="1">
      <x:c r="A3549" s="10" t="n">
        <x:v>4863</x:v>
      </x:c>
      <x:c r="B3549" s="2" t="str">
        <x:v>80f11d07a439273ecbb4</x:v>
      </x:c>
      <x:c r="C3549" s="2" t="str">
        <x:v>Tp Hồ Chí Minh</x:v>
      </x:c>
      <x:c r="D3549" s="2" t="str">
        <x:v>Huyện Bình Chánh</x:v>
      </x:c>
      <x:c r="E3549" s="2" t="str">
        <x:v>house</x:v>
      </x:c>
      <x:c r="F3549" s="2" t="str">
        <x:v>sale</x:v>
      </x:c>
      <x:c r="G3549" s="11" t="n">
        <x:v>40</x:v>
      </x:c>
      <x:c r="H3549" s="12" t="n">
        <x:v>650000000</x:v>
      </x:c>
      <x:c r="I3549" s="12" t="n">
        <x:v>16250000</x:v>
      </x:c>
      <x:c r="J3549" s="2" t="str">
        <x:v>total</x:v>
      </x:c>
      <x:c r="K3549" s="2" t="str">
        <x:v>top_level_price_embedded_area</x:v>
      </x:c>
      <x:c r="L3549" s="2" t="str">
        <x:v>area_recovered_from_price_text;property_type_inferred_from_title</x:v>
      </x:c>
      <x:c r="M3549" s="10" t="n">
        <x:v>0</x:v>
      </x:c>
      <x:c r="N3549" s="10" t="n">
        <x:v>0</x:v>
      </x:c>
      <x:c r="O3549" s="2" t="str">
        <x:v>Tp Hồ Chí Minh|house</x:v>
      </x:c>
      <x:c r="P3549" s="10" t="n">
        <x:v>2</x:v>
      </x:c>
      <x:c r="Q3549" s="13" t="n">
        <x:f>IF(H3549="","",H3549/1000000000)</x:f>
        <x:v>0.65</x:v>
      </x:c>
      <x:c r="R3549" s="13" t="n">
        <x:f>IF(I3549="","",I3549/1000000)</x:f>
        <x:v>16.25</x:v>
      </x:c>
    </x:row>
    <x:row r="3550" ht="21" customHeight="1">
      <x:c r="A3550" s="10" t="n">
        <x:v>4864</x:v>
      </x:c>
      <x:c r="B3550" s="2" t="str">
        <x:v>b2ea9df7fb1850ecc293</x:v>
      </x:c>
      <x:c r="C3550" s="2" t="str">
        <x:v>Thừa Thiên Huế</x:v>
      </x:c>
      <x:c r="D3550" s="2" t="str">
        <x:v>Thị xã Hương Thủy</x:v>
      </x:c>
      <x:c r="E3550" s="2" t="str">
        <x:v>land</x:v>
      </x:c>
      <x:c r="F3550" s="2" t="str">
        <x:v>sale</x:v>
      </x:c>
      <x:c r="G3550" s="11" t="n">
        <x:v>176</x:v>
      </x:c>
      <x:c r="H3550" s="12" t="n">
        <x:v>1270000000</x:v>
      </x:c>
      <x:c r="I3550" s="12" t="n">
        <x:v>7215909.090909091</x:v>
      </x:c>
      <x:c r="J3550" s="2" t="str">
        <x:v>total</x:v>
      </x:c>
      <x:c r="K3550" s="2" t="str">
        <x:v>top_level_area</x:v>
      </x:c>
      <x:c r="L3550" s="2" t="str">
        <x:v>property_type_inferred_from_title</x:v>
      </x:c>
      <x:c r="M3550" s="10" t="n">
        <x:v>0</x:v>
      </x:c>
      <x:c r="N3550" s="10" t="n">
        <x:v>0</x:v>
      </x:c>
      <x:c r="O3550" s="2" t="str">
        <x:v>land</x:v>
      </x:c>
      <x:c r="P3550" s="10" t="n">
        <x:v>2</x:v>
      </x:c>
      <x:c r="Q3550" s="13" t="n">
        <x:f>IF(H3550="","",H3550/1000000000)</x:f>
        <x:v>1.27</x:v>
      </x:c>
      <x:c r="R3550" s="13" t="n">
        <x:f>IF(I3550="","",I3550/1000000)</x:f>
        <x:v>7.215909090909091</x:v>
      </x:c>
    </x:row>
    <x:row r="3551" ht="21" customHeight="1">
      <x:c r="A3551" s="10" t="n">
        <x:v>4865</x:v>
      </x:c>
      <x:c r="B3551" s="2" t="str">
        <x:v>521d936f72bc796307ae</x:v>
      </x:c>
      <x:c r="C3551" s="2" t="str">
        <x:v>Tp Hồ Chí Minh</x:v>
      </x:c>
      <x:c r="D3551" s="2" t="str">
        <x:v>Quận 9</x:v>
      </x:c>
      <x:c r="E3551" s="2" t="str">
        <x:v>land</x:v>
      </x:c>
      <x:c r="F3551" s="2" t="str">
        <x:v>sale</x:v>
      </x:c>
      <x:c r="G3551" s="11" t="n">
        <x:v>140</x:v>
      </x:c>
      <x:c r="H3551" s="12" t="n">
        <x:v>7200000000</x:v>
      </x:c>
      <x:c r="I3551" s="12" t="n">
        <x:v>51428571.428571425</x:v>
      </x:c>
      <x:c r="J3551" s="2" t="str">
        <x:v>total</x:v>
      </x:c>
      <x:c r="K3551" s="2" t="str">
        <x:v>top_level_area</x:v>
      </x:c>
      <x:c r="L3551" s="2" t="str">
        <x:v>property_type_inferred_from_title</x:v>
      </x:c>
      <x:c r="M3551" s="10" t="n">
        <x:v>0</x:v>
      </x:c>
      <x:c r="N3551" s="10" t="n">
        <x:v>0</x:v>
      </x:c>
      <x:c r="O3551" s="2" t="str">
        <x:v>Tp Hồ Chí Minh|land</x:v>
      </x:c>
      <x:c r="P3551" s="10" t="n">
        <x:v>2</x:v>
      </x:c>
      <x:c r="Q3551" s="13" t="n">
        <x:f>IF(H3551="","",H3551/1000000000)</x:f>
        <x:v>7.2</x:v>
      </x:c>
      <x:c r="R3551" s="13" t="n">
        <x:f>IF(I3551="","",I3551/1000000)</x:f>
        <x:v>51.42857142857142</x:v>
      </x:c>
    </x:row>
    <x:row r="3552" ht="21" customHeight="1">
      <x:c r="A3552" s="10" t="n">
        <x:v>4866</x:v>
      </x:c>
      <x:c r="B3552" s="2" t="str">
        <x:v>747104524670e8901327</x:v>
      </x:c>
      <x:c r="C3552" s="2" t="str">
        <x:v>Sóc Trăng</x:v>
      </x:c>
      <x:c r="D3552" s="2" t="str">
        <x:v>Thành phố Sóc Trăng</x:v>
      </x:c>
      <x:c r="E3552" s="2" t="str">
        <x:v>land</x:v>
      </x:c>
      <x:c r="F3552" s="2" t="str">
        <x:v>sale_assumed</x:v>
      </x:c>
      <x:c r="G3552" s="11" t="n">
        <x:v>84</x:v>
      </x:c>
      <x:c r="H3552" s="12" t="n">
        <x:v>1150000000</x:v>
      </x:c>
      <x:c r="I3552" s="12" t="n">
        <x:v>13690476.19047619</x:v>
      </x:c>
      <x:c r="J3552" s="2" t="str">
        <x:v>total</x:v>
      </x:c>
      <x:c r="K3552" s="2" t="str">
        <x:v>top_level_area</x:v>
      </x:c>
      <x:c r="L3552" s="2" t="str">
        <x:v>property_type_inferred_from_title;transaction_assumed_sale_from_dataset_context</x:v>
      </x:c>
      <x:c r="M3552" s="10" t="n">
        <x:v>0</x:v>
      </x:c>
      <x:c r="N3552" s="10" t="n">
        <x:v>0</x:v>
      </x:c>
      <x:c r="O3552" s="2" t="str">
        <x:v>land</x:v>
      </x:c>
      <x:c r="P3552" s="10" t="n">
        <x:v>2</x:v>
      </x:c>
      <x:c r="Q3552" s="13" t="n">
        <x:f>IF(H3552="","",H3552/1000000000)</x:f>
        <x:v>1.15</x:v>
      </x:c>
      <x:c r="R3552" s="13" t="n">
        <x:f>IF(I3552="","",I3552/1000000)</x:f>
        <x:v>13.69047619047619</x:v>
      </x:c>
    </x:row>
    <x:row r="3553" ht="21" customHeight="1">
      <x:c r="A3553" s="10" t="n">
        <x:v>4867</x:v>
      </x:c>
      <x:c r="B3553" s="2" t="str">
        <x:v>a0bf0a161ca39f18e5fc</x:v>
      </x:c>
      <x:c r="C3553" s="2" t="str">
        <x:v>Tp Hồ Chí Minh</x:v>
      </x:c>
      <x:c r="D3553" s="2" t="str">
        <x:v>Quận 9</x:v>
      </x:c>
      <x:c r="E3553" s="2" t="str">
        <x:v>house</x:v>
      </x:c>
      <x:c r="F3553" s="2" t="str">
        <x:v>sale_assumed</x:v>
      </x:c>
      <x:c r="G3553" s="11" t="n">
        <x:v>64</x:v>
      </x:c>
      <x:c r="H3553" s="12" t="n">
        <x:v>1600000000</x:v>
      </x:c>
      <x:c r="I3553" s="12" t="n">
        <x:v>25000000</x:v>
      </x:c>
      <x:c r="J3553" s="2" t="str">
        <x:v>total</x:v>
      </x:c>
      <x:c r="K3553" s="2" t="str">
        <x:v>top_level_area</x:v>
      </x:c>
      <x:c r="L3553" s="2" t="str">
        <x:v>property_type_inferred_from_title;transaction_assumed_sale_from_dataset_context</x:v>
      </x:c>
      <x:c r="M3553" s="10" t="n">
        <x:v>0</x:v>
      </x:c>
      <x:c r="N3553" s="10" t="n">
        <x:v>0</x:v>
      </x:c>
      <x:c r="O3553" s="2" t="str">
        <x:v>Tp Hồ Chí Minh|house</x:v>
      </x:c>
      <x:c r="P3553" s="10" t="n">
        <x:v>2</x:v>
      </x:c>
      <x:c r="Q3553" s="13" t="n">
        <x:f>IF(H3553="","",H3553/1000000000)</x:f>
        <x:v>1.6</x:v>
      </x:c>
      <x:c r="R3553" s="13" t="n">
        <x:f>IF(I3553="","",I3553/1000000)</x:f>
        <x:v>25</x:v>
      </x:c>
    </x:row>
    <x:row r="3554" ht="21" customHeight="1">
      <x:c r="A3554" s="10" t="n">
        <x:v>4868</x:v>
      </x:c>
      <x:c r="B3554" s="2" t="str">
        <x:v>447d30a62e0b94c4b9c7</x:v>
      </x:c>
      <x:c r="C3554" s="2" t="str">
        <x:v>Hà Nội</x:v>
      </x:c>
      <x:c r="D3554" s="2" t="str">
        <x:v>Quận Cầu Giấy</x:v>
      </x:c>
      <x:c r="E3554" s="2" t="str">
        <x:v>house</x:v>
      </x:c>
      <x:c r="F3554" s="2" t="str">
        <x:v>sale_assumed</x:v>
      </x:c>
      <x:c r="G3554" s="11" t="n">
        <x:v>32</x:v>
      </x:c>
      <x:c r="H3554" s="12" t="n">
        <x:v>3800000000</x:v>
      </x:c>
      <x:c r="I3554" s="12" t="n">
        <x:v>118750000</x:v>
      </x:c>
      <x:c r="J3554" s="2" t="str">
        <x:v>total</x:v>
      </x:c>
      <x:c r="K3554" s="2" t="str">
        <x:v>top_level_area</x:v>
      </x:c>
      <x:c r="L3554" s="2" t="str">
        <x:v>property_type_inferred_from_title;transaction_assumed_sale_from_dataset_context</x:v>
      </x:c>
      <x:c r="M3554" s="10" t="n">
        <x:v>0</x:v>
      </x:c>
      <x:c r="N3554" s="10" t="n">
        <x:v>0</x:v>
      </x:c>
      <x:c r="O3554" s="2" t="str">
        <x:v>Hà Nội|house</x:v>
      </x:c>
      <x:c r="P3554" s="10" t="n">
        <x:v>2</x:v>
      </x:c>
      <x:c r="Q3554" s="13" t="n">
        <x:f>IF(H3554="","",H3554/1000000000)</x:f>
        <x:v>3.8</x:v>
      </x:c>
      <x:c r="R3554" s="13" t="n">
        <x:f>IF(I3554="","",I3554/1000000)</x:f>
        <x:v>118.75</x:v>
      </x:c>
    </x:row>
    <x:row r="3555" ht="21" customHeight="1">
      <x:c r="A3555" s="10" t="n">
        <x:v>4869</x:v>
      </x:c>
      <x:c r="B3555" s="2" t="str">
        <x:v>7b85768801b278d75341</x:v>
      </x:c>
      <x:c r="C3555" s="2" t="str">
        <x:v>Đà Nẵng</x:v>
      </x:c>
      <x:c r="D3555" s="2" t="str">
        <x:v>Quận Ngũ Hành Sơn</x:v>
      </x:c>
      <x:c r="E3555" s="2" t="str">
        <x:v>house</x:v>
      </x:c>
      <x:c r="F3555" s="2" t="str">
        <x:v>sale_assumed</x:v>
      </x:c>
      <x:c r="G3555" s="11" t="n">
        <x:v>60</x:v>
      </x:c>
      <x:c r="H3555" s="12" t="n">
        <x:v>4900000000</x:v>
      </x:c>
      <x:c r="I3555" s="12" t="n">
        <x:v>81666666.66666667</x:v>
      </x:c>
      <x:c r="J3555" s="2" t="str">
        <x:v>total</x:v>
      </x:c>
      <x:c r="K3555" s="2" t="str">
        <x:v>top_level_area</x:v>
      </x:c>
      <x:c r="L3555" s="2" t="str">
        <x:v>property_type_inferred_from_title;transaction_assumed_sale_from_dataset_context</x:v>
      </x:c>
      <x:c r="M3555" s="10" t="n">
        <x:v>0</x:v>
      </x:c>
      <x:c r="N3555" s="10" t="n">
        <x:v>0</x:v>
      </x:c>
      <x:c r="O3555" s="2" t="str">
        <x:v>Đà Nẵng|house</x:v>
      </x:c>
      <x:c r="P3555" s="10" t="n">
        <x:v>2</x:v>
      </x:c>
      <x:c r="Q3555" s="13" t="n">
        <x:f>IF(H3555="","",H3555/1000000000)</x:f>
        <x:v>4.9</x:v>
      </x:c>
      <x:c r="R3555" s="13" t="n">
        <x:f>IF(I3555="","",I3555/1000000)</x:f>
        <x:v>81.66666666666667</x:v>
      </x:c>
    </x:row>
    <x:row r="3556" ht="21" customHeight="1">
      <x:c r="A3556" s="10" t="n">
        <x:v>4870</x:v>
      </x:c>
      <x:c r="B3556" s="2" t="str">
        <x:v>ba39088a2e427f815ab2</x:v>
      </x:c>
      <x:c r="C3556" s="2" t="str">
        <x:v>Hà Nội</x:v>
      </x:c>
      <x:c r="D3556" s="2" t="str">
        <x:v>Quận Hai Bà Trưng</x:v>
      </x:c>
      <x:c r="E3556" s="2" t="str">
        <x:v>house</x:v>
      </x:c>
      <x:c r="F3556" s="2" t="str">
        <x:v>sale_assumed</x:v>
      </x:c>
      <x:c r="G3556" s="11" t="n">
        <x:v>25</x:v>
      </x:c>
      <x:c r="H3556" s="12" t="n">
        <x:v>1900000000</x:v>
      </x:c>
      <x:c r="I3556" s="12" t="n">
        <x:v>76000000</x:v>
      </x:c>
      <x:c r="J3556" s="2" t="str">
        <x:v>total</x:v>
      </x:c>
      <x:c r="K3556" s="2" t="str">
        <x:v>top_level_area</x:v>
      </x:c>
      <x:c r="L3556" s="2" t="str">
        <x:v>property_type_inferred_from_title;transaction_assumed_sale_from_dataset_context</x:v>
      </x:c>
      <x:c r="M3556" s="10" t="n">
        <x:v>0</x:v>
      </x:c>
      <x:c r="N3556" s="10" t="n">
        <x:v>0</x:v>
      </x:c>
      <x:c r="O3556" s="2" t="str">
        <x:v>Hà Nội|house</x:v>
      </x:c>
      <x:c r="P3556" s="10" t="n">
        <x:v>2</x:v>
      </x:c>
      <x:c r="Q3556" s="13" t="n">
        <x:f>IF(H3556="","",H3556/1000000000)</x:f>
        <x:v>1.9</x:v>
      </x:c>
      <x:c r="R3556" s="13" t="n">
        <x:f>IF(I3556="","",I3556/1000000)</x:f>
        <x:v>76</x:v>
      </x:c>
    </x:row>
    <x:row r="3557" ht="21" customHeight="1">
      <x:c r="A3557" s="10" t="n">
        <x:v>4871</x:v>
      </x:c>
      <x:c r="B3557" s="2" t="str">
        <x:v>2ee757120754c459892a</x:v>
      </x:c>
      <x:c r="C3557" s="2" t="str">
        <x:v>Tp Hồ Chí Minh</x:v>
      </x:c>
      <x:c r="D3557" s="2" t="str">
        <x:v>Huyện Nhà Bè</x:v>
      </x:c>
      <x:c r="E3557" s="2" t="str">
        <x:v>house</x:v>
      </x:c>
      <x:c r="F3557" s="2" t="str">
        <x:v>sale</x:v>
      </x:c>
      <x:c r="G3557" s="11" t="n">
        <x:v>40</x:v>
      </x:c>
      <x:c r="H3557" s="12" t="n">
        <x:v>3700000000</x:v>
      </x:c>
      <x:c r="I3557" s="12" t="n">
        <x:v>92500000</x:v>
      </x:c>
      <x:c r="J3557" s="2" t="str">
        <x:v>total</x:v>
      </x:c>
      <x:c r="K3557" s="2" t="str">
        <x:v>top_level_area</x:v>
      </x:c>
      <x:c r="L3557" s="2" t="str">
        <x:v>property_type_inferred_from_title</x:v>
      </x:c>
      <x:c r="M3557" s="10" t="n">
        <x:v>0</x:v>
      </x:c>
      <x:c r="N3557" s="10" t="n">
        <x:v>0</x:v>
      </x:c>
      <x:c r="O3557" s="2" t="str">
        <x:v>Tp Hồ Chí Minh|house</x:v>
      </x:c>
      <x:c r="P3557" s="10" t="n">
        <x:v>2</x:v>
      </x:c>
      <x:c r="Q3557" s="13" t="n">
        <x:f>IF(H3557="","",H3557/1000000000)</x:f>
        <x:v>3.7</x:v>
      </x:c>
      <x:c r="R3557" s="13" t="n">
        <x:f>IF(I3557="","",I3557/1000000)</x:f>
        <x:v>92.5</x:v>
      </x:c>
    </x:row>
    <x:row r="3558" ht="21" customHeight="1">
      <x:c r="A3558" s="10" t="n">
        <x:v>4872</x:v>
      </x:c>
      <x:c r="B3558" s="2" t="str">
        <x:v>649afd118c8c07992d8b</x:v>
      </x:c>
      <x:c r="C3558" s="2" t="str">
        <x:v>Hà Nội</x:v>
      </x:c>
      <x:c r="D3558" s="2" t="str">
        <x:v>Quận Hà Đông</x:v>
      </x:c>
      <x:c r="E3558" s="2" t="str">
        <x:v>house</x:v>
      </x:c>
      <x:c r="F3558" s="2" t="str">
        <x:v>sale</x:v>
      </x:c>
      <x:c r="G3558" s="11" t="n">
        <x:v>36</x:v>
      </x:c>
      <x:c r="H3558" s="12" t="n">
        <x:v>3680000000</x:v>
      </x:c>
      <x:c r="I3558" s="12" t="n">
        <x:v>102222222.22222222</x:v>
      </x:c>
      <x:c r="J3558" s="2" t="str">
        <x:v>total</x:v>
      </x:c>
      <x:c r="K3558" s="2" t="str">
        <x:v>top_level_area</x:v>
      </x:c>
      <x:c r="L3558" s="2" t="str">
        <x:v>property_type_inferred_from_title</x:v>
      </x:c>
      <x:c r="M3558" s="10" t="n">
        <x:v>0</x:v>
      </x:c>
      <x:c r="N3558" s="10" t="n">
        <x:v>0</x:v>
      </x:c>
      <x:c r="O3558" s="2" t="str">
        <x:v>Hà Nội|house</x:v>
      </x:c>
      <x:c r="P3558" s="10" t="n">
        <x:v>2</x:v>
      </x:c>
      <x:c r="Q3558" s="13" t="n">
        <x:f>IF(H3558="","",H3558/1000000000)</x:f>
        <x:v>3.68</x:v>
      </x:c>
      <x:c r="R3558" s="13" t="n">
        <x:f>IF(I3558="","",I3558/1000000)</x:f>
        <x:v>102.22222222222223</x:v>
      </x:c>
    </x:row>
    <x:row r="3559" ht="21" customHeight="1">
      <x:c r="A3559" s="10" t="n">
        <x:v>4873</x:v>
      </x:c>
      <x:c r="B3559" s="2" t="str">
        <x:v>7cb27b3e465621939890</x:v>
      </x:c>
      <x:c r="C3559" s="2" t="str">
        <x:v>Tp Hồ Chí Minh</x:v>
      </x:c>
      <x:c r="D3559" s="2" t="str">
        <x:v>Quận 11</x:v>
      </x:c>
      <x:c r="E3559" s="2" t="str">
        <x:v>house</x:v>
      </x:c>
      <x:c r="F3559" s="2" t="str">
        <x:v>sale</x:v>
      </x:c>
      <x:c r="G3559" s="11" t="n">
        <x:v>64</x:v>
      </x:c>
      <x:c r="H3559" s="12" t="n">
        <x:v>9200000000</x:v>
      </x:c>
      <x:c r="I3559" s="12" t="n">
        <x:v>143750000</x:v>
      </x:c>
      <x:c r="J3559" s="2" t="str">
        <x:v>total</x:v>
      </x:c>
      <x:c r="K3559" s="2" t="str">
        <x:v>top_level_area</x:v>
      </x:c>
      <x:c r="L3559" s="2" t="str">
        <x:v>property_type_inferred_from_title</x:v>
      </x:c>
      <x:c r="M3559" s="10" t="n">
        <x:v>0</x:v>
      </x:c>
      <x:c r="N3559" s="10" t="n">
        <x:v>0</x:v>
      </x:c>
      <x:c r="O3559" s="2" t="str">
        <x:v>Tp Hồ Chí Minh|house</x:v>
      </x:c>
      <x:c r="P3559" s="10" t="n">
        <x:v>2</x:v>
      </x:c>
      <x:c r="Q3559" s="13" t="n">
        <x:f>IF(H3559="","",H3559/1000000000)</x:f>
        <x:v>9.2</x:v>
      </x:c>
      <x:c r="R3559" s="13" t="n">
        <x:f>IF(I3559="","",I3559/1000000)</x:f>
        <x:v>143.75</x:v>
      </x:c>
    </x:row>
    <x:row r="3560" ht="21" customHeight="1">
      <x:c r="A3560" s="10" t="n">
        <x:v>4876</x:v>
      </x:c>
      <x:c r="B3560" s="2" t="str">
        <x:v>867cbca835937d72135b</x:v>
      </x:c>
      <x:c r="C3560" s="2" t="str">
        <x:v>Tp Hồ Chí Minh</x:v>
      </x:c>
      <x:c r="D3560" s="2" t="str">
        <x:v>Quận Thủ Đức</x:v>
      </x:c>
      <x:c r="E3560" s="2" t="str">
        <x:v>house</x:v>
      </x:c>
      <x:c r="F3560" s="2" t="str">
        <x:v>sale</x:v>
      </x:c>
      <x:c r="G3560" s="11" t="n">
        <x:v>65</x:v>
      </x:c>
      <x:c r="H3560" s="12" t="n">
        <x:v>5500000000</x:v>
      </x:c>
      <x:c r="I3560" s="12" t="n">
        <x:v>84615384.61538461</x:v>
      </x:c>
      <x:c r="J3560" s="2" t="str">
        <x:v>total</x:v>
      </x:c>
      <x:c r="K3560" s="2" t="str">
        <x:v>top_level_area</x:v>
      </x:c>
      <x:c r="L3560" s="2" t="str">
        <x:v>property_type_inferred_from_title</x:v>
      </x:c>
      <x:c r="M3560" s="10" t="n">
        <x:v>0</x:v>
      </x:c>
      <x:c r="N3560" s="10" t="n">
        <x:v>0</x:v>
      </x:c>
      <x:c r="O3560" s="2" t="str">
        <x:v>Tp Hồ Chí Minh|house</x:v>
      </x:c>
      <x:c r="P3560" s="10" t="n">
        <x:v>2</x:v>
      </x:c>
      <x:c r="Q3560" s="13" t="n">
        <x:f>IF(H3560="","",H3560/1000000000)</x:f>
        <x:v>5.5</x:v>
      </x:c>
      <x:c r="R3560" s="13" t="n">
        <x:f>IF(I3560="","",I3560/1000000)</x:f>
        <x:v>84.61538461538461</x:v>
      </x:c>
    </x:row>
    <x:row r="3561" ht="21" customHeight="1">
      <x:c r="A3561" s="10" t="n">
        <x:v>4877</x:v>
      </x:c>
      <x:c r="B3561" s="2" t="str">
        <x:v>eb0ef01ec7468e2c89b0</x:v>
      </x:c>
      <x:c r="C3561" s="2" t="str">
        <x:v>Hà Nội</x:v>
      </x:c>
      <x:c r="D3561" s="2" t="str">
        <x:v>Quận Đống Đa</x:v>
      </x:c>
      <x:c r="E3561" s="2" t="str">
        <x:v>apartment</x:v>
      </x:c>
      <x:c r="F3561" s="2" t="str">
        <x:v>sale_assumed</x:v>
      </x:c>
      <x:c r="G3561" s="11" t="n">
        <x:v>34</x:v>
      </x:c>
      <x:c r="H3561" s="12" t="n">
        <x:v>600000000</x:v>
      </x:c>
      <x:c r="I3561" s="12" t="n">
        <x:v>17647058.82352941</x:v>
      </x:c>
      <x:c r="J3561" s="2" t="str">
        <x:v>total</x:v>
      </x:c>
      <x:c r="K3561" s="2" t="str">
        <x:v>top_level_area</x:v>
      </x:c>
      <x:c r="L3561" s="2" t="str">
        <x:v>property_type_inferred_from_title;transaction_assumed_sale_from_dataset_context</x:v>
      </x:c>
      <x:c r="M3561" s="10" t="n">
        <x:v>0</x:v>
      </x:c>
      <x:c r="N3561" s="10" t="n">
        <x:v>0</x:v>
      </x:c>
      <x:c r="O3561" s="2" t="str">
        <x:v>Hà Nội|apartment</x:v>
      </x:c>
      <x:c r="P3561" s="10" t="n">
        <x:v>2</x:v>
      </x:c>
      <x:c r="Q3561" s="13" t="n">
        <x:f>IF(H3561="","",H3561/1000000000)</x:f>
        <x:v>0.6</x:v>
      </x:c>
      <x:c r="R3561" s="13" t="n">
        <x:f>IF(I3561="","",I3561/1000000)</x:f>
        <x:v>17.64705882352941</x:v>
      </x:c>
    </x:row>
    <x:row r="3562" ht="21" customHeight="1">
      <x:c r="A3562" s="10" t="n">
        <x:v>4878</x:v>
      </x:c>
      <x:c r="B3562" s="2" t="str">
        <x:v>9cbdc9380a2d512a7c6d</x:v>
      </x:c>
      <x:c r="C3562" s="2" t="str">
        <x:v>Tp Hồ Chí Minh</x:v>
      </x:c>
      <x:c r="D3562" s="2" t="str">
        <x:v>Quận 2</x:v>
      </x:c>
      <x:c r="E3562" s="2" t="str">
        <x:v>house</x:v>
      </x:c>
      <x:c r="F3562" s="2" t="str">
        <x:v>sale_assumed</x:v>
      </x:c>
      <x:c r="G3562" s="11" t="n">
        <x:v>118</x:v>
      </x:c>
      <x:c r="H3562" s="12" t="n">
        <x:v>7400000000</x:v>
      </x:c>
      <x:c r="I3562" s="12" t="n">
        <x:v>62711864.40677966</x:v>
      </x:c>
      <x:c r="J3562" s="2" t="str">
        <x:v>total</x:v>
      </x:c>
      <x:c r="K3562" s="2" t="str">
        <x:v>top_level_area</x:v>
      </x:c>
      <x:c r="L3562" s="2" t="str">
        <x:v>property_type_inferred_from_title;transaction_assumed_sale_from_dataset_context</x:v>
      </x:c>
      <x:c r="M3562" s="10" t="n">
        <x:v>0</x:v>
      </x:c>
      <x:c r="N3562" s="10" t="n">
        <x:v>0</x:v>
      </x:c>
      <x:c r="O3562" s="2" t="str">
        <x:v>Tp Hồ Chí Minh|house</x:v>
      </x:c>
      <x:c r="P3562" s="10" t="n">
        <x:v>2</x:v>
      </x:c>
      <x:c r="Q3562" s="13" t="n">
        <x:f>IF(H3562="","",H3562/1000000000)</x:f>
        <x:v>7.4</x:v>
      </x:c>
      <x:c r="R3562" s="13" t="n">
        <x:f>IF(I3562="","",I3562/1000000)</x:f>
        <x:v>62.71186440677966</x:v>
      </x:c>
    </x:row>
    <x:row r="3563" ht="21" customHeight="1">
      <x:c r="A3563" s="10" t="n">
        <x:v>4879</x:v>
      </x:c>
      <x:c r="B3563" s="2" t="str">
        <x:v>1abb6ce2e54d02593e94</x:v>
      </x:c>
      <x:c r="C3563" s="2" t="str">
        <x:v>Tp Hồ Chí Minh</x:v>
      </x:c>
      <x:c r="D3563" s="2" t="str">
        <x:v>Quận Gò Vấp</x:v>
      </x:c>
      <x:c r="E3563" s="2" t="str">
        <x:v>house</x:v>
      </x:c>
      <x:c r="F3563" s="2" t="str">
        <x:v>sale_assumed</x:v>
      </x:c>
      <x:c r="G3563" s="11" t="n">
        <x:v>53</x:v>
      </x:c>
      <x:c r="H3563" s="12" t="n">
        <x:v>9200000000</x:v>
      </x:c>
      <x:c r="I3563" s="12" t="n">
        <x:v>173584905.66037735</x:v>
      </x:c>
      <x:c r="J3563" s="2" t="str">
        <x:v>total</x:v>
      </x:c>
      <x:c r="K3563" s="2" t="str">
        <x:v>top_level_area</x:v>
      </x:c>
      <x:c r="L3563" s="2" t="str">
        <x:v>property_type_inferred_from_title;transaction_assumed_sale_from_dataset_context</x:v>
      </x:c>
      <x:c r="M3563" s="10" t="n">
        <x:v>1</x:v>
      </x:c>
      <x:c r="N3563" s="10" t="n">
        <x:v>0</x:v>
      </x:c>
      <x:c r="O3563" s="2" t="str">
        <x:v>Tp Hồ Chí Minh|house</x:v>
      </x:c>
      <x:c r="P3563" s="10" t="n">
        <x:v>2</x:v>
      </x:c>
      <x:c r="Q3563" s="13" t="n">
        <x:f>IF(H3563="","",H3563/1000000000)</x:f>
        <x:v>9.2</x:v>
      </x:c>
      <x:c r="R3563" s="13" t="n">
        <x:f>IF(I3563="","",I3563/1000000)</x:f>
        <x:v>173.58490566037736</x:v>
      </x:c>
    </x:row>
    <x:row r="3564" ht="21" customHeight="1">
      <x:c r="A3564" s="10" t="n">
        <x:v>4880</x:v>
      </x:c>
      <x:c r="B3564" s="2" t="str">
        <x:v>18b44fd91fb882fa08d0</x:v>
      </x:c>
      <x:c r="C3564" s="2" t="str">
        <x:v>Hà Nội</x:v>
      </x:c>
      <x:c r="D3564" s="2" t="str">
        <x:v>Quận Hà Đông</x:v>
      </x:c>
      <x:c r="E3564" s="2" t="str">
        <x:v>house</x:v>
      </x:c>
      <x:c r="F3564" s="2" t="str">
        <x:v>sale_assumed</x:v>
      </x:c>
      <x:c r="G3564" s="11" t="n">
        <x:v>32</x:v>
      </x:c>
      <x:c r="H3564" s="12" t="n">
        <x:v>2600000000</x:v>
      </x:c>
      <x:c r="I3564" s="12" t="n">
        <x:v>81250000</x:v>
      </x:c>
      <x:c r="J3564" s="2" t="str">
        <x:v>total</x:v>
      </x:c>
      <x:c r="K3564" s="2" t="str">
        <x:v>top_level_area</x:v>
      </x:c>
      <x:c r="L3564" s="2" t="str">
        <x:v>property_type_inferred_from_title;transaction_assumed_sale_from_dataset_context</x:v>
      </x:c>
      <x:c r="M3564" s="10" t="n">
        <x:v>0</x:v>
      </x:c>
      <x:c r="N3564" s="10" t="n">
        <x:v>0</x:v>
      </x:c>
      <x:c r="O3564" s="2" t="str">
        <x:v>Hà Nội|house</x:v>
      </x:c>
      <x:c r="P3564" s="10" t="n">
        <x:v>2</x:v>
      </x:c>
      <x:c r="Q3564" s="13" t="n">
        <x:f>IF(H3564="","",H3564/1000000000)</x:f>
        <x:v>2.6</x:v>
      </x:c>
      <x:c r="R3564" s="13" t="n">
        <x:f>IF(I3564="","",I3564/1000000)</x:f>
        <x:v>81.25</x:v>
      </x:c>
    </x:row>
    <x:row r="3565" ht="21" customHeight="1">
      <x:c r="A3565" s="10" t="n">
        <x:v>4881</x:v>
      </x:c>
      <x:c r="B3565" s="2" t="str">
        <x:v>f5138d9dde8982d7c5ea</x:v>
      </x:c>
      <x:c r="C3565" s="2" t="str">
        <x:v>Cần Thơ</x:v>
      </x:c>
      <x:c r="D3565" s="2" t="str">
        <x:v>Quận Cái Răng</x:v>
      </x:c>
      <x:c r="E3565" s="2" t="str">
        <x:v>land</x:v>
      </x:c>
      <x:c r="F3565" s="2" t="str">
        <x:v>sale</x:v>
      </x:c>
      <x:c r="G3565" s="11" t="n">
        <x:v>72</x:v>
      </x:c>
      <x:c r="H3565" s="12" t="n">
        <x:v>770000000</x:v>
      </x:c>
      <x:c r="I3565" s="12" t="n">
        <x:v>10694444.444444444</x:v>
      </x:c>
      <x:c r="J3565" s="2" t="str">
        <x:v>total</x:v>
      </x:c>
      <x:c r="K3565" s="2" t="str">
        <x:v>top_level_area</x:v>
      </x:c>
      <x:c r="L3565" s="2" t="str">
        <x:v>property_type_inferred_from_title</x:v>
      </x:c>
      <x:c r="M3565" s="10" t="n">
        <x:v>0</x:v>
      </x:c>
      <x:c r="N3565" s="10" t="n">
        <x:v>0</x:v>
      </x:c>
      <x:c r="O3565" s="2" t="str">
        <x:v>Cần Thơ|land</x:v>
      </x:c>
      <x:c r="P3565" s="10" t="n">
        <x:v>2</x:v>
      </x:c>
      <x:c r="Q3565" s="13" t="n">
        <x:f>IF(H3565="","",H3565/1000000000)</x:f>
        <x:v>0.77</x:v>
      </x:c>
      <x:c r="R3565" s="13" t="n">
        <x:f>IF(I3565="","",I3565/1000000)</x:f>
        <x:v>10.694444444444445</x:v>
      </x:c>
    </x:row>
    <x:row r="3566" ht="21" customHeight="1">
      <x:c r="A3566" s="10" t="n">
        <x:v>4882</x:v>
      </x:c>
      <x:c r="B3566" s="2" t="str">
        <x:v>e357eddadbecca5d11a6</x:v>
      </x:c>
      <x:c r="C3566" s="2" t="str">
        <x:v>Hà Nội</x:v>
      </x:c>
      <x:c r="D3566" s="2" t="str">
        <x:v>Huyện Thường Tín</x:v>
      </x:c>
      <x:c r="E3566" s="2" t="str">
        <x:v>land</x:v>
      </x:c>
      <x:c r="F3566" s="2" t="str">
        <x:v>sale</x:v>
      </x:c>
      <x:c r="G3566" s="11" t="n">
        <x:v>112</x:v>
      </x:c>
      <x:c r="H3566" s="12" t="n">
        <x:v>1848000000</x:v>
      </x:c>
      <x:c r="I3566" s="12" t="n">
        <x:v>16500000</x:v>
      </x:c>
      <x:c r="J3566" s="2" t="str">
        <x:v>total</x:v>
      </x:c>
      <x:c r="K3566" s="2" t="str">
        <x:v>top_level_area</x:v>
      </x:c>
      <x:c r="L3566" s="2" t="str">
        <x:v>property_type_inferred_from_title</x:v>
      </x:c>
      <x:c r="M3566" s="10" t="n">
        <x:v>0</x:v>
      </x:c>
      <x:c r="N3566" s="10" t="n">
        <x:v>0</x:v>
      </x:c>
      <x:c r="O3566" s="2" t="str">
        <x:v>Hà Nội|land</x:v>
      </x:c>
      <x:c r="P3566" s="10" t="n">
        <x:v>2</x:v>
      </x:c>
      <x:c r="Q3566" s="13" t="n">
        <x:f>IF(H3566="","",H3566/1000000000)</x:f>
        <x:v>1.848</x:v>
      </x:c>
      <x:c r="R3566" s="13" t="n">
        <x:f>IF(I3566="","",I3566/1000000)</x:f>
        <x:v>16.5</x:v>
      </x:c>
    </x:row>
    <x:row r="3567" ht="21" customHeight="1">
      <x:c r="A3567" s="10" t="n">
        <x:v>4883</x:v>
      </x:c>
      <x:c r="B3567" s="2" t="str">
        <x:v>904fde41e242c7a2635d</x:v>
      </x:c>
      <x:c r="C3567" s="2" t="str">
        <x:v>Tp Hồ Chí Minh</x:v>
      </x:c>
      <x:c r="D3567" s="2" t="str">
        <x:v>Quận Gò Vấp</x:v>
      </x:c>
      <x:c r="E3567" s="2" t="str">
        <x:v>house</x:v>
      </x:c>
      <x:c r="F3567" s="2" t="str">
        <x:v>sale_assumed</x:v>
      </x:c>
      <x:c r="G3567" s="11" t="n">
        <x:v>51</x:v>
      </x:c>
      <x:c r="H3567" s="12" t="n">
        <x:v>5000000000</x:v>
      </x:c>
      <x:c r="I3567" s="12" t="n">
        <x:v>98039215.68627451</x:v>
      </x:c>
      <x:c r="J3567" s="2" t="str">
        <x:v>total</x:v>
      </x:c>
      <x:c r="K3567" s="2" t="str">
        <x:v>top_level_area</x:v>
      </x:c>
      <x:c r="L3567" s="2" t="str">
        <x:v>property_type_inferred_from_title;transaction_assumed_sale_from_dataset_context</x:v>
      </x:c>
      <x:c r="M3567" s="10" t="n">
        <x:v>0</x:v>
      </x:c>
      <x:c r="N3567" s="10" t="n">
        <x:v>0</x:v>
      </x:c>
      <x:c r="O3567" s="2" t="str">
        <x:v>Tp Hồ Chí Minh|house</x:v>
      </x:c>
      <x:c r="P3567" s="10" t="n">
        <x:v>2</x:v>
      </x:c>
      <x:c r="Q3567" s="13" t="n">
        <x:f>IF(H3567="","",H3567/1000000000)</x:f>
        <x:v>5</x:v>
      </x:c>
      <x:c r="R3567" s="13" t="n">
        <x:f>IF(I3567="","",I3567/1000000)</x:f>
        <x:v>98.03921568627452</x:v>
      </x:c>
    </x:row>
    <x:row r="3568" ht="21" customHeight="1">
      <x:c r="A3568" s="10" t="n">
        <x:v>4884</x:v>
      </x:c>
      <x:c r="B3568" s="2" t="str">
        <x:v>b050097ea709125cdbed</x:v>
      </x:c>
      <x:c r="C3568" s="2" t="str">
        <x:v>Tp Hồ Chí Minh</x:v>
      </x:c>
      <x:c r="D3568" s="2" t="str">
        <x:v>Quận Tân Phú</x:v>
      </x:c>
      <x:c r="E3568" s="2" t="str">
        <x:v>other_unknown</x:v>
      </x:c>
      <x:c r="F3568" s="2" t="str">
        <x:v>sale_assumed</x:v>
      </x:c>
      <x:c r="G3568" s="11" t="n">
        <x:v>60</x:v>
      </x:c>
      <x:c r="H3568" s="12" t="n">
        <x:v>6200000000</x:v>
      </x:c>
      <x:c r="I3568" s="12" t="n">
        <x:v>103333333.33333333</x:v>
      </x:c>
      <x:c r="J3568" s="2" t="str">
        <x:v>total</x:v>
      </x:c>
      <x:c r="K3568" s="2" t="str">
        <x:v>top_level_area</x:v>
      </x:c>
      <x:c r="L3568" s="2" t="str">
        <x:v>property_type_inferred_from_title;transaction_assumed_sale_from_dataset_context;unknown_property_type</x:v>
      </x:c>
      <x:c r="M3568" s="10" t="n">
        <x:v>0</x:v>
      </x:c>
      <x:c r="N3568" s="10" t="n">
        <x:v>0</x:v>
      </x:c>
      <x:c r="O3568" s="2" t="str">
        <x:v>Tp Hồ Chí Minh|other_unknown</x:v>
      </x:c>
      <x:c r="P3568" s="10" t="n">
        <x:v>2</x:v>
      </x:c>
      <x:c r="Q3568" s="13" t="n">
        <x:f>IF(H3568="","",H3568/1000000000)</x:f>
        <x:v>6.2</x:v>
      </x:c>
      <x:c r="R3568" s="13" t="n">
        <x:f>IF(I3568="","",I3568/1000000)</x:f>
        <x:v>103.33333333333333</x:v>
      </x:c>
    </x:row>
    <x:row r="3569" ht="21" customHeight="1">
      <x:c r="A3569" s="10" t="n">
        <x:v>4885</x:v>
      </x:c>
      <x:c r="B3569" s="2" t="str">
        <x:v>383454aec1ee17202992</x:v>
      </x:c>
      <x:c r="C3569" s="2" t="str">
        <x:v>Đà Nẵng</x:v>
      </x:c>
      <x:c r="D3569" s="2" t="str">
        <x:v>Quận Liên Chiểu</x:v>
      </x:c>
      <x:c r="E3569" s="2" t="str">
        <x:v>house</x:v>
      </x:c>
      <x:c r="F3569" s="2" t="str">
        <x:v>sale_assumed</x:v>
      </x:c>
      <x:c r="G3569" s="11" t="n">
        <x:v>375</x:v>
      </x:c>
      <x:c r="H3569" s="12" t="n">
        <x:v>12300000000</x:v>
      </x:c>
      <x:c r="I3569" s="12" t="n">
        <x:v>32800000</x:v>
      </x:c>
      <x:c r="J3569" s="2" t="str">
        <x:v>total</x:v>
      </x:c>
      <x:c r="K3569" s="2" t="str">
        <x:v>top_level_area</x:v>
      </x:c>
      <x:c r="L3569" s="2" t="str">
        <x:v>property_type_inferred_from_title;transaction_assumed_sale_from_dataset_context</x:v>
      </x:c>
      <x:c r="M3569" s="10" t="n">
        <x:v>0</x:v>
      </x:c>
      <x:c r="N3569" s="10" t="n">
        <x:v>0</x:v>
      </x:c>
      <x:c r="O3569" s="2" t="str">
        <x:v>Đà Nẵng|house</x:v>
      </x:c>
      <x:c r="P3569" s="10" t="n">
        <x:v>2</x:v>
      </x:c>
      <x:c r="Q3569" s="13" t="n">
        <x:f>IF(H3569="","",H3569/1000000000)</x:f>
        <x:v>12.3</x:v>
      </x:c>
      <x:c r="R3569" s="13" t="n">
        <x:f>IF(I3569="","",I3569/1000000)</x:f>
        <x:v>32.8</x:v>
      </x:c>
    </x:row>
    <x:row r="3570" ht="21" customHeight="1">
      <x:c r="A3570" s="10" t="n">
        <x:v>4886</x:v>
      </x:c>
      <x:c r="B3570" s="2" t="str">
        <x:v>eddae48be85e9f8434b7</x:v>
      </x:c>
      <x:c r="C3570" s="2" t="str">
        <x:v>Hà Nội</x:v>
      </x:c>
      <x:c r="D3570" s="2" t="str">
        <x:v>Quận Long Biên</x:v>
      </x:c>
      <x:c r="E3570" s="2" t="str">
        <x:v>house</x:v>
      </x:c>
      <x:c r="F3570" s="2" t="str">
        <x:v>sale_assumed</x:v>
      </x:c>
      <x:c r="G3570" s="11" t="n">
        <x:v>105</x:v>
      </x:c>
      <x:c r="H3570" s="12" t="n">
        <x:v>8100000000</x:v>
      </x:c>
      <x:c r="I3570" s="12" t="n">
        <x:v>77142857.14285715</x:v>
      </x:c>
      <x:c r="J3570" s="2" t="str">
        <x:v>total</x:v>
      </x:c>
      <x:c r="K3570" s="2" t="str">
        <x:v>top_level_area</x:v>
      </x:c>
      <x:c r="L3570" s="2" t="str">
        <x:v>property_type_inferred_from_title;transaction_assumed_sale_from_dataset_context</x:v>
      </x:c>
      <x:c r="M3570" s="10" t="n">
        <x:v>0</x:v>
      </x:c>
      <x:c r="N3570" s="10" t="n">
        <x:v>0</x:v>
      </x:c>
      <x:c r="O3570" s="2" t="str">
        <x:v>Hà Nội|house</x:v>
      </x:c>
      <x:c r="P3570" s="10" t="n">
        <x:v>2</x:v>
      </x:c>
      <x:c r="Q3570" s="13" t="n">
        <x:f>IF(H3570="","",H3570/1000000000)</x:f>
        <x:v>8.1</x:v>
      </x:c>
      <x:c r="R3570" s="13" t="n">
        <x:f>IF(I3570="","",I3570/1000000)</x:f>
        <x:v>77.14285714285715</x:v>
      </x:c>
    </x:row>
    <x:row r="3571" ht="21" customHeight="1">
      <x:c r="A3571" s="10" t="n">
        <x:v>4887</x:v>
      </x:c>
      <x:c r="B3571" s="2" t="str">
        <x:v>fc4c95186f880d8ef7fc</x:v>
      </x:c>
      <x:c r="C3571" s="2" t="str">
        <x:v>Hà Nội</x:v>
      </x:c>
      <x:c r="D3571" s="2" t="str">
        <x:v>Quận Đống Đa</x:v>
      </x:c>
      <x:c r="E3571" s="2" t="str">
        <x:v>other_unknown</x:v>
      </x:c>
      <x:c r="F3571" s="2" t="str">
        <x:v>sale_assumed</x:v>
      </x:c>
      <x:c r="G3571" s="11" t="n">
        <x:v>33</x:v>
      </x:c>
      <x:c r="H3571" s="12" t="n">
        <x:v>2900000000</x:v>
      </x:c>
      <x:c r="I3571" s="12" t="n">
        <x:v>87878787.87878788</x:v>
      </x:c>
      <x:c r="J3571" s="2" t="str">
        <x:v>total</x:v>
      </x:c>
      <x:c r="K3571" s="2" t="str">
        <x:v>top_level_area</x:v>
      </x:c>
      <x:c r="L3571" s="2" t="str">
        <x:v>property_type_inferred_from_title;transaction_assumed_sale_from_dataset_context;unknown_property_type</x:v>
      </x:c>
      <x:c r="M3571" s="10" t="n">
        <x:v>0</x:v>
      </x:c>
      <x:c r="N3571" s="10" t="n">
        <x:v>0</x:v>
      </x:c>
      <x:c r="O3571" s="2" t="str">
        <x:v>Hà Nội|other_unknown</x:v>
      </x:c>
      <x:c r="P3571" s="10" t="n">
        <x:v>2</x:v>
      </x:c>
      <x:c r="Q3571" s="13" t="n">
        <x:f>IF(H3571="","",H3571/1000000000)</x:f>
        <x:v>2.9</x:v>
      </x:c>
      <x:c r="R3571" s="13" t="n">
        <x:f>IF(I3571="","",I3571/1000000)</x:f>
        <x:v>87.87878787878788</x:v>
      </x:c>
    </x:row>
    <x:row r="3572" ht="21" customHeight="1">
      <x:c r="A3572" s="10" t="n">
        <x:v>4888</x:v>
      </x:c>
      <x:c r="B3572" s="2" t="str">
        <x:v>4a32b5dc51621ab40c21</x:v>
      </x:c>
      <x:c r="C3572" s="2" t="str">
        <x:v>Đồng Nai</x:v>
      </x:c>
      <x:c r="D3572" s="2" t="str">
        <x:v>Huyện Định Quán</x:v>
      </x:c>
      <x:c r="E3572" s="2" t="str">
        <x:v>land</x:v>
      </x:c>
      <x:c r="F3572" s="2" t="str">
        <x:v>sale</x:v>
      </x:c>
      <x:c r="G3572" s="11" t="n">
        <x:v>1000</x:v>
      </x:c>
      <x:c r="H3572" s="12" t="n">
        <x:v>360000000</x:v>
      </x:c>
      <x:c r="I3572" s="12" t="n">
        <x:v>360000</x:v>
      </x:c>
      <x:c r="J3572" s="2" t="str">
        <x:v>total</x:v>
      </x:c>
      <x:c r="K3572" s="2" t="str">
        <x:v>top_level_area</x:v>
      </x:c>
      <x:c r="L3572" s="2" t="str">
        <x:v>dot_thousands_convention;property_type_inferred_from_title</x:v>
      </x:c>
      <x:c r="M3572" s="10" t="n">
        <x:v>0</x:v>
      </x:c>
      <x:c r="N3572" s="10" t="n">
        <x:v>0</x:v>
      </x:c>
      <x:c r="O3572" s="2" t="str">
        <x:v>Đồng Nai|land</x:v>
      </x:c>
      <x:c r="P3572" s="10" t="n">
        <x:v>1</x:v>
      </x:c>
      <x:c r="Q3572" s="13" t="n">
        <x:f>IF(H3572="","",H3572/1000000000)</x:f>
        <x:v>0.36</x:v>
      </x:c>
      <x:c r="R3572" s="13" t="n">
        <x:f>IF(I3572="","",I3572/1000000)</x:f>
        <x:v>0.36</x:v>
      </x:c>
    </x:row>
    <x:row r="3573" ht="21" customHeight="1">
      <x:c r="A3573" s="10" t="n">
        <x:v>4889</x:v>
      </x:c>
      <x:c r="B3573" s="2" t="str">
        <x:v>f9db5e2e5cd028621bb3</x:v>
      </x:c>
      <x:c r="C3573" s="2" t="str">
        <x:v>Tp Hồ Chí Minh</x:v>
      </x:c>
      <x:c r="D3573" s="2" t="str">
        <x:v>Huyện Hóc Môn</x:v>
      </x:c>
      <x:c r="E3573" s="2" t="str">
        <x:v>house</x:v>
      </x:c>
      <x:c r="F3573" s="2" t="str">
        <x:v>sale_assumed</x:v>
      </x:c>
      <x:c r="G3573" s="11" t="n">
        <x:v>44</x:v>
      </x:c>
      <x:c r="H3573" s="12" t="n">
        <x:v>2350000000</x:v>
      </x:c>
      <x:c r="I3573" s="12" t="n">
        <x:v>53409090.90909091</x:v>
      </x:c>
      <x:c r="J3573" s="2" t="str">
        <x:v>total</x:v>
      </x:c>
      <x:c r="K3573" s="2" t="str">
        <x:v>top_level_area</x:v>
      </x:c>
      <x:c r="L3573" s="2" t="str">
        <x:v>property_type_inferred_from_title;transaction_assumed_sale_from_dataset_context</x:v>
      </x:c>
      <x:c r="M3573" s="10" t="n">
        <x:v>0</x:v>
      </x:c>
      <x:c r="N3573" s="10" t="n">
        <x:v>0</x:v>
      </x:c>
      <x:c r="O3573" s="2" t="str">
        <x:v>Tp Hồ Chí Minh|house</x:v>
      </x:c>
      <x:c r="P3573" s="10" t="n">
        <x:v>2</x:v>
      </x:c>
      <x:c r="Q3573" s="13" t="n">
        <x:f>IF(H3573="","",H3573/1000000000)</x:f>
        <x:v>2.35</x:v>
      </x:c>
      <x:c r="R3573" s="13" t="n">
        <x:f>IF(I3573="","",I3573/1000000)</x:f>
        <x:v>53.40909090909091</x:v>
      </x:c>
    </x:row>
    <x:row r="3574" ht="21" customHeight="1">
      <x:c r="A3574" s="10" t="n">
        <x:v>4890</x:v>
      </x:c>
      <x:c r="B3574" s="2" t="str">
        <x:v>5a1084e358e9a0a66e1f</x:v>
      </x:c>
      <x:c r="C3574" s="2" t="str">
        <x:v>Tp Hồ Chí Minh</x:v>
      </x:c>
      <x:c r="D3574" s="2" t="str">
        <x:v>Quận 5</x:v>
      </x:c>
      <x:c r="E3574" s="2" t="str">
        <x:v>house</x:v>
      </x:c>
      <x:c r="F3574" s="2" t="str">
        <x:v>sale_assumed</x:v>
      </x:c>
      <x:c r="G3574" s="11" t="n">
        <x:v>52</x:v>
      </x:c>
      <x:c r="H3574" s="12" t="n">
        <x:v>8449999999.999999</x:v>
      </x:c>
      <x:c r="I3574" s="12" t="n">
        <x:v>162499999.99999997</x:v>
      </x:c>
      <x:c r="J3574" s="2" t="str">
        <x:v>total</x:v>
      </x:c>
      <x:c r="K3574" s="2" t="str">
        <x:v>top_level_price_embedded_area</x:v>
      </x:c>
      <x:c r="L3574" s="2" t="str">
        <x:v>area_recovered_from_price_text;property_type_inferred_from_title;transaction_assumed_sale_from_dataset_context</x:v>
      </x:c>
      <x:c r="M3574" s="10" t="n">
        <x:v>0</x:v>
      </x:c>
      <x:c r="N3574" s="10" t="n">
        <x:v>0</x:v>
      </x:c>
      <x:c r="O3574" s="2" t="str">
        <x:v>Tp Hồ Chí Minh|house</x:v>
      </x:c>
      <x:c r="P3574" s="10" t="n">
        <x:v>2</x:v>
      </x:c>
      <x:c r="Q3574" s="13" t="n">
        <x:f>IF(H3574="","",H3574/1000000000)</x:f>
        <x:v>8.45</x:v>
      </x:c>
      <x:c r="R3574" s="13" t="n">
        <x:f>IF(I3574="","",I3574/1000000)</x:f>
        <x:v>162.49999999999997</x:v>
      </x:c>
    </x:row>
    <x:row r="3575" ht="21" customHeight="1">
      <x:c r="A3575" s="10" t="n">
        <x:v>4891</x:v>
      </x:c>
      <x:c r="B3575" s="2" t="str">
        <x:v>4b93e3f15938379c7349</x:v>
      </x:c>
      <x:c r="C3575" s="2" t="str">
        <x:v>Tp Hồ Chí Minh</x:v>
      </x:c>
      <x:c r="D3575" s="2" t="str">
        <x:v>Quận Phú Nhuận</x:v>
      </x:c>
      <x:c r="E3575" s="2" t="str">
        <x:v>house</x:v>
      </x:c>
      <x:c r="F3575" s="2" t="str">
        <x:v>sale</x:v>
      </x:c>
      <x:c r="G3575" s="11" t="n">
        <x:v>50</x:v>
      </x:c>
      <x:c r="H3575" s="12" t="n">
        <x:v>910000000</x:v>
      </x:c>
      <x:c r="I3575" s="12" t="n">
        <x:v>18200000</x:v>
      </x:c>
      <x:c r="J3575" s="2" t="str">
        <x:v>total</x:v>
      </x:c>
      <x:c r="K3575" s="2" t="str">
        <x:v>top_level_area</x:v>
      </x:c>
      <x:c r="L3575" s="2" t="str">
        <x:v>property_type_inferred_from_title</x:v>
      </x:c>
      <x:c r="M3575" s="10" t="n">
        <x:v>0</x:v>
      </x:c>
      <x:c r="N3575" s="10" t="n">
        <x:v>0</x:v>
      </x:c>
      <x:c r="O3575" s="2" t="str">
        <x:v>Tp Hồ Chí Minh|house</x:v>
      </x:c>
      <x:c r="P3575" s="10" t="n">
        <x:v>2</x:v>
      </x:c>
      <x:c r="Q3575" s="13" t="n">
        <x:f>IF(H3575="","",H3575/1000000000)</x:f>
        <x:v>0.91</x:v>
      </x:c>
      <x:c r="R3575" s="13" t="n">
        <x:f>IF(I3575="","",I3575/1000000)</x:f>
        <x:v>18.2</x:v>
      </x:c>
    </x:row>
    <x:row r="3576" ht="21" customHeight="1">
      <x:c r="A3576" s="10" t="n">
        <x:v>4892</x:v>
      </x:c>
      <x:c r="B3576" s="2" t="str">
        <x:v>80c4056077c54f7f8653</x:v>
      </x:c>
      <x:c r="C3576" s="2" t="str">
        <x:v>Tp Hồ Chí Minh</x:v>
      </x:c>
      <x:c r="D3576" s="2" t="str">
        <x:v>Quận Phú Nhuận</x:v>
      </x:c>
      <x:c r="E3576" s="2" t="str">
        <x:v>house</x:v>
      </x:c>
      <x:c r="F3576" s="2" t="str">
        <x:v>sale_assumed</x:v>
      </x:c>
      <x:c r="G3576" s="11" t="n">
        <x:v>48</x:v>
      </x:c>
      <x:c r="H3576" s="12" t="n">
        <x:v>1730000000</x:v>
      </x:c>
      <x:c r="I3576" s="12" t="n">
        <x:v>36041666.666666664</x:v>
      </x:c>
      <x:c r="J3576" s="2" t="str">
        <x:v>total</x:v>
      </x:c>
      <x:c r="K3576" s="2" t="str">
        <x:v>top_level_area</x:v>
      </x:c>
      <x:c r="L3576" s="2" t="str">
        <x:v>property_type_inferred_from_title;transaction_assumed_sale_from_dataset_context</x:v>
      </x:c>
      <x:c r="M3576" s="10" t="n">
        <x:v>0</x:v>
      </x:c>
      <x:c r="N3576" s="10" t="n">
        <x:v>0</x:v>
      </x:c>
      <x:c r="O3576" s="2" t="str">
        <x:v>Tp Hồ Chí Minh|house</x:v>
      </x:c>
      <x:c r="P3576" s="10" t="n">
        <x:v>2</x:v>
      </x:c>
      <x:c r="Q3576" s="13" t="n">
        <x:f>IF(H3576="","",H3576/1000000000)</x:f>
        <x:v>1.73</x:v>
      </x:c>
      <x:c r="R3576" s="13" t="n">
        <x:f>IF(I3576="","",I3576/1000000)</x:f>
        <x:v>36.041666666666664</x:v>
      </x:c>
    </x:row>
    <x:row r="3577" ht="21" customHeight="1">
      <x:c r="A3577" s="10" t="n">
        <x:v>4893</x:v>
      </x:c>
      <x:c r="B3577" s="2" t="str">
        <x:v>6d916426c3dfb75b99b4</x:v>
      </x:c>
      <x:c r="C3577" s="2" t="str">
        <x:v>Tp Hồ Chí Minh</x:v>
      </x:c>
      <x:c r="D3577" s="2" t="str">
        <x:v>Quận Bình Thạnh</x:v>
      </x:c>
      <x:c r="E3577" s="2" t="str">
        <x:v>land</x:v>
      </x:c>
      <x:c r="F3577" s="2" t="str">
        <x:v>sale</x:v>
      </x:c>
      <x:c r="G3577" s="11" t="n">
        <x:v>80</x:v>
      </x:c>
      <x:c r="H3577" s="12" t="n">
        <x:v>720000000</x:v>
      </x:c>
      <x:c r="I3577" s="12" t="n">
        <x:v>9000000</x:v>
      </x:c>
      <x:c r="J3577" s="2" t="str">
        <x:v>total</x:v>
      </x:c>
      <x:c r="K3577" s="2" t="str">
        <x:v>top_level_area</x:v>
      </x:c>
      <x:c r="L3577" s="2" t="str">
        <x:v>property_type_inferred_from_title</x:v>
      </x:c>
      <x:c r="M3577" s="10" t="n">
        <x:v>0</x:v>
      </x:c>
      <x:c r="N3577" s="10" t="n">
        <x:v>0</x:v>
      </x:c>
      <x:c r="O3577" s="2" t="str">
        <x:v>Tp Hồ Chí Minh|land</x:v>
      </x:c>
      <x:c r="P3577" s="10" t="n">
        <x:v>2</x:v>
      </x:c>
      <x:c r="Q3577" s="13" t="n">
        <x:f>IF(H3577="","",H3577/1000000000)</x:f>
        <x:v>0.72</x:v>
      </x:c>
      <x:c r="R3577" s="13" t="n">
        <x:f>IF(I3577="","",I3577/1000000)</x:f>
        <x:v>9</x:v>
      </x:c>
    </x:row>
    <x:row r="3578" ht="21" customHeight="1">
      <x:c r="A3578" s="10" t="n">
        <x:v>4894</x:v>
      </x:c>
      <x:c r="B3578" s="2" t="str">
        <x:v>37a46836ee18d8002f75</x:v>
      </x:c>
      <x:c r="C3578" s="2" t="str">
        <x:v>Tp Hồ Chí Minh</x:v>
      </x:c>
      <x:c r="D3578" s="2" t="str">
        <x:v>Huyện Bình Chánh</x:v>
      </x:c>
      <x:c r="E3578" s="2" t="str">
        <x:v>land</x:v>
      </x:c>
      <x:c r="F3578" s="2" t="str">
        <x:v>sale_assumed</x:v>
      </x:c>
      <x:c r="G3578" s="11" t="n">
        <x:v>662</x:v>
      </x:c>
      <x:c r="H3578" s="12" t="n">
        <x:v>600000000</x:v>
      </x:c>
      <x:c r="I3578" s="12" t="n">
        <x:v>906344.4108761329</x:v>
      </x:c>
      <x:c r="J3578" s="2" t="str">
        <x:v>total</x:v>
      </x:c>
      <x:c r="K3578" s="2" t="str">
        <x:v>top_level_area</x:v>
      </x:c>
      <x:c r="L3578" s="2" t="str">
        <x:v>property_type_inferred_from_title;transaction_assumed_sale_from_dataset_context</x:v>
      </x:c>
      <x:c r="M3578" s="10" t="n">
        <x:v>0</x:v>
      </x:c>
      <x:c r="N3578" s="10" t="n">
        <x:v>0</x:v>
      </x:c>
      <x:c r="O3578" s="2" t="str">
        <x:v>Tp Hồ Chí Minh|land</x:v>
      </x:c>
      <x:c r="P3578" s="10" t="n">
        <x:v>1</x:v>
      </x:c>
      <x:c r="Q3578" s="13" t="n">
        <x:f>IF(H3578="","",H3578/1000000000)</x:f>
        <x:v>0.6</x:v>
      </x:c>
      <x:c r="R3578" s="13" t="n">
        <x:f>IF(I3578="","",I3578/1000000)</x:f>
        <x:v>0.9063444108761329</x:v>
      </x:c>
    </x:row>
    <x:row r="3579" ht="21" customHeight="1">
      <x:c r="A3579" s="10" t="n">
        <x:v>4895</x:v>
      </x:c>
      <x:c r="B3579" s="2" t="str">
        <x:v>4e03e29376172d7e6c9a</x:v>
      </x:c>
      <x:c r="C3579" s="2" t="str">
        <x:v>Tp Hồ Chí Minh</x:v>
      </x:c>
      <x:c r="D3579" s="2" t="str">
        <x:v>Quận Bình Thạnh</x:v>
      </x:c>
      <x:c r="E3579" s="2" t="str">
        <x:v>house</x:v>
      </x:c>
      <x:c r="F3579" s="2" t="str">
        <x:v>sale_assumed</x:v>
      </x:c>
      <x:c r="G3579" s="11" t="n">
        <x:v>52</x:v>
      </x:c>
      <x:c r="H3579" s="12" t="n">
        <x:v>830000000</x:v>
      </x:c>
      <x:c r="I3579" s="12" t="n">
        <x:v>15961538.461538462</x:v>
      </x:c>
      <x:c r="J3579" s="2" t="str">
        <x:v>total</x:v>
      </x:c>
      <x:c r="K3579" s="2" t="str">
        <x:v>top_level_area</x:v>
      </x:c>
      <x:c r="L3579" s="2" t="str">
        <x:v>property_type_inferred_from_title;transaction_assumed_sale_from_dataset_context</x:v>
      </x:c>
      <x:c r="M3579" s="10" t="n">
        <x:v>0</x:v>
      </x:c>
      <x:c r="N3579" s="10" t="n">
        <x:v>0</x:v>
      </x:c>
      <x:c r="O3579" s="2" t="str">
        <x:v>Tp Hồ Chí Minh|house</x:v>
      </x:c>
      <x:c r="P3579" s="10" t="n">
        <x:v>2</x:v>
      </x:c>
      <x:c r="Q3579" s="13" t="n">
        <x:f>IF(H3579="","",H3579/1000000000)</x:f>
        <x:v>0.83</x:v>
      </x:c>
      <x:c r="R3579" s="13" t="n">
        <x:f>IF(I3579="","",I3579/1000000)</x:f>
        <x:v>15.961538461538462</x:v>
      </x:c>
    </x:row>
    <x:row r="3580" ht="21" customHeight="1">
      <x:c r="A3580" s="10" t="n">
        <x:v>4898</x:v>
      </x:c>
      <x:c r="B3580" s="2" t="str">
        <x:v>76b2be53b94ac7e34601</x:v>
      </x:c>
      <x:c r="C3580" s="2" t="str">
        <x:v>Tp Hồ Chí Minh</x:v>
      </x:c>
      <x:c r="D3580" s="2" t="str">
        <x:v>Quận 9</x:v>
      </x:c>
      <x:c r="E3580" s="2" t="str">
        <x:v>land</x:v>
      </x:c>
      <x:c r="F3580" s="2" t="str">
        <x:v>sale_assumed</x:v>
      </x:c>
      <x:c r="G3580" s="11" t="n">
        <x:v>70</x:v>
      </x:c>
      <x:c r="H3580" s="12" t="n">
        <x:v>560000000</x:v>
      </x:c>
      <x:c r="I3580" s="12" t="n">
        <x:v>8000000</x:v>
      </x:c>
      <x:c r="J3580" s="2" t="str">
        <x:v>total</x:v>
      </x:c>
      <x:c r="K3580" s="2" t="str">
        <x:v>top_level_area</x:v>
      </x:c>
      <x:c r="L3580" s="2" t="str">
        <x:v>property_type_inferred_from_title;transaction_assumed_sale_from_dataset_context</x:v>
      </x:c>
      <x:c r="M3580" s="10" t="n">
        <x:v>0</x:v>
      </x:c>
      <x:c r="N3580" s="10" t="n">
        <x:v>0</x:v>
      </x:c>
      <x:c r="O3580" s="2" t="str">
        <x:v>Tp Hồ Chí Minh|land</x:v>
      </x:c>
      <x:c r="P3580" s="10" t="n">
        <x:v>2</x:v>
      </x:c>
      <x:c r="Q3580" s="13" t="n">
        <x:f>IF(H3580="","",H3580/1000000000)</x:f>
        <x:v>0.56</x:v>
      </x:c>
      <x:c r="R3580" s="13" t="n">
        <x:f>IF(I3580="","",I3580/1000000)</x:f>
        <x:v>8</x:v>
      </x:c>
    </x:row>
    <x:row r="3581" ht="21" customHeight="1">
      <x:c r="A3581" s="10" t="n">
        <x:v>4899</x:v>
      </x:c>
      <x:c r="B3581" s="2" t="str">
        <x:v>ba0350b2ff8613ad6a15</x:v>
      </x:c>
      <x:c r="C3581" s="2" t="str">
        <x:v>Tp Hồ Chí Minh</x:v>
      </x:c>
      <x:c r="D3581" s="2" t="str">
        <x:v>Huyện Nhà Bè</x:v>
      </x:c>
      <x:c r="E3581" s="2" t="str">
        <x:v>other_unknown</x:v>
      </x:c>
      <x:c r="F3581" s="2" t="str">
        <x:v>sale</x:v>
      </x:c>
      <x:c r="G3581" s="11" t="n">
        <x:v>300</x:v>
      </x:c>
      <x:c r="H3581" s="12" t="n">
        <x:v>5200000000</x:v>
      </x:c>
      <x:c r="I3581" s="12" t="n">
        <x:v>17333333.333333332</x:v>
      </x:c>
      <x:c r="J3581" s="2" t="str">
        <x:v>total</x:v>
      </x:c>
      <x:c r="K3581" s="2" t="str">
        <x:v>top_level_area</x:v>
      </x:c>
      <x:c r="L3581" s="2" t="str">
        <x:v>property_type_inferred_from_title;unknown_property_type</x:v>
      </x:c>
      <x:c r="M3581" s="10" t="n">
        <x:v>0</x:v>
      </x:c>
      <x:c r="N3581" s="10" t="n">
        <x:v>0</x:v>
      </x:c>
      <x:c r="O3581" s="2" t="str">
        <x:v>Tp Hồ Chí Minh|other_unknown</x:v>
      </x:c>
      <x:c r="P3581" s="10" t="n">
        <x:v>2</x:v>
      </x:c>
      <x:c r="Q3581" s="13" t="n">
        <x:f>IF(H3581="","",H3581/1000000000)</x:f>
        <x:v>5.2</x:v>
      </x:c>
      <x:c r="R3581" s="13" t="n">
        <x:f>IF(I3581="","",I3581/1000000)</x:f>
        <x:v>17.333333333333332</x:v>
      </x:c>
    </x:row>
    <x:row r="3582" ht="21" customHeight="1">
      <x:c r="A3582" s="10" t="n">
        <x:v>4900</x:v>
      </x:c>
      <x:c r="B3582" s="2" t="str">
        <x:v>c66c44630804f2fcf0d7</x:v>
      </x:c>
      <x:c r="C3582" s="2" t="str">
        <x:v>Hà Nội</x:v>
      </x:c>
      <x:c r="D3582" s="2" t="str">
        <x:v>Quận Long Biên</x:v>
      </x:c>
      <x:c r="E3582" s="2" t="str">
        <x:v>house</x:v>
      </x:c>
      <x:c r="F3582" s="2" t="str">
        <x:v>sale</x:v>
      </x:c>
      <x:c r="G3582" s="11" t="n">
        <x:v>36</x:v>
      </x:c>
      <x:c r="H3582" s="12" t="n">
        <x:v>2300000000</x:v>
      </x:c>
      <x:c r="I3582" s="12" t="n">
        <x:v>63888888.88888889</x:v>
      </x:c>
      <x:c r="J3582" s="2" t="str">
        <x:v>total</x:v>
      </x:c>
      <x:c r="K3582" s="2" t="str">
        <x:v>top_level_area</x:v>
      </x:c>
      <x:c r="L3582" s="2" t="str">
        <x:v>property_type_inferred_from_title</x:v>
      </x:c>
      <x:c r="M3582" s="10" t="n">
        <x:v>0</x:v>
      </x:c>
      <x:c r="N3582" s="10" t="n">
        <x:v>0</x:v>
      </x:c>
      <x:c r="O3582" s="2" t="str">
        <x:v>Hà Nội|house</x:v>
      </x:c>
      <x:c r="P3582" s="10" t="n">
        <x:v>2</x:v>
      </x:c>
      <x:c r="Q3582" s="13" t="n">
        <x:f>IF(H3582="","",H3582/1000000000)</x:f>
        <x:v>2.3</x:v>
      </x:c>
      <x:c r="R3582" s="13" t="n">
        <x:f>IF(I3582="","",I3582/1000000)</x:f>
        <x:v>63.888888888888886</x:v>
      </x:c>
    </x:row>
    <x:row r="3583" ht="21" customHeight="1">
      <x:c r="A3583" s="10" t="n">
        <x:v>4901</x:v>
      </x:c>
      <x:c r="B3583" s="2" t="str">
        <x:v>63cc215af6081c8cbd72</x:v>
      </x:c>
      <x:c r="C3583" s="2" t="str">
        <x:v>Lâm Đồng</x:v>
      </x:c>
      <x:c r="D3583" s="2" t="str">
        <x:v>Thành phố Đà Lạt</x:v>
      </x:c>
      <x:c r="E3583" s="2" t="str">
        <x:v>house</x:v>
      </x:c>
      <x:c r="F3583" s="2" t="str">
        <x:v>sale_assumed</x:v>
      </x:c>
      <x:c r="G3583" s="11" t="n">
        <x:v>9000</x:v>
      </x:c>
      <x:c r="H3583" s="12" t="n">
        <x:v>88000000000</x:v>
      </x:c>
      <x:c r="I3583" s="12" t="n">
        <x:v>9777777.777777778</x:v>
      </x:c>
      <x:c r="J3583" s="2" t="str">
        <x:v>total</x:v>
      </x:c>
      <x:c r="K3583" s="2" t="str">
        <x:v>top_level_area</x:v>
      </x:c>
      <x:c r="L3583" s="2" t="str">
        <x:v>dot_thousands_convention;property_type_inferred_from_title;transaction_assumed_sale_from_dataset_context</x:v>
      </x:c>
      <x:c r="M3583" s="10" t="n">
        <x:v>0</x:v>
      </x:c>
      <x:c r="N3583" s="10" t="n">
        <x:v>0</x:v>
      </x:c>
      <x:c r="O3583" s="2" t="str">
        <x:v>house</x:v>
      </x:c>
      <x:c r="P3583" s="10" t="n">
        <x:v>1</x:v>
      </x:c>
      <x:c r="Q3583" s="13" t="n">
        <x:f>IF(H3583="","",H3583/1000000000)</x:f>
        <x:v>88</x:v>
      </x:c>
      <x:c r="R3583" s="13" t="n">
        <x:f>IF(I3583="","",I3583/1000000)</x:f>
        <x:v>9.777777777777779</x:v>
      </x:c>
    </x:row>
    <x:row r="3584" ht="21" customHeight="1">
      <x:c r="A3584" s="10" t="n">
        <x:v>4902</x:v>
      </x:c>
      <x:c r="B3584" s="2" t="str">
        <x:v>d5594736744e0201ea3e</x:v>
      </x:c>
      <x:c r="C3584" s="2" t="str">
        <x:v>Đồng Nai</x:v>
      </x:c>
      <x:c r="D3584" s="2" t="str">
        <x:v>Huyện Long Thành</x:v>
      </x:c>
      <x:c r="E3584" s="2" t="str">
        <x:v>land</x:v>
      </x:c>
      <x:c r="F3584" s="2" t="str">
        <x:v>sale</x:v>
      </x:c>
      <x:c r="G3584" s="11" t="n">
        <x:v>500</x:v>
      </x:c>
      <x:c r="H3584" s="12" t="n">
        <x:v>980000000</x:v>
      </x:c>
      <x:c r="I3584" s="12" t="n">
        <x:v>1960000</x:v>
      </x:c>
      <x:c r="J3584" s="2" t="str">
        <x:v>total</x:v>
      </x:c>
      <x:c r="K3584" s="2" t="str">
        <x:v>top_level_area</x:v>
      </x:c>
      <x:c r="L3584" s="2" t="str">
        <x:v>property_type_inferred_from_title</x:v>
      </x:c>
      <x:c r="M3584" s="10" t="n">
        <x:v>0</x:v>
      </x:c>
      <x:c r="N3584" s="10" t="n">
        <x:v>0</x:v>
      </x:c>
      <x:c r="O3584" s="2" t="str">
        <x:v>Đồng Nai|land</x:v>
      </x:c>
      <x:c r="P3584" s="10" t="n">
        <x:v>1</x:v>
      </x:c>
      <x:c r="Q3584" s="13" t="n">
        <x:f>IF(H3584="","",H3584/1000000000)</x:f>
        <x:v>0.98</x:v>
      </x:c>
      <x:c r="R3584" s="13" t="n">
        <x:f>IF(I3584="","",I3584/1000000)</x:f>
        <x:v>1.96</x:v>
      </x:c>
    </x:row>
    <x:row r="3585" ht="21" customHeight="1">
      <x:c r="A3585" s="10" t="n">
        <x:v>4903</x:v>
      </x:c>
      <x:c r="B3585" s="2" t="str">
        <x:v>a7d5a09bf8ffd97909be</x:v>
      </x:c>
      <x:c r="C3585" s="2" t="str">
        <x:v>Tp Hồ Chí Minh</x:v>
      </x:c>
      <x:c r="D3585" s="2" t="str">
        <x:v>Quận Tân Phú</x:v>
      </x:c>
      <x:c r="E3585" s="2" t="str">
        <x:v>house</x:v>
      </x:c>
      <x:c r="F3585" s="2" t="str">
        <x:v>sale_assumed</x:v>
      </x:c>
      <x:c r="G3585" s="11" t="n">
        <x:v>50</x:v>
      </x:c>
      <x:c r="H3585" s="12" t="n">
        <x:v>3600000000</x:v>
      </x:c>
      <x:c r="I3585" s="12" t="n">
        <x:v>72000000</x:v>
      </x:c>
      <x:c r="J3585" s="2" t="str">
        <x:v>total</x:v>
      </x:c>
      <x:c r="K3585" s="2" t="str">
        <x:v>top_level_area</x:v>
      </x:c>
      <x:c r="L3585" s="2" t="str">
        <x:v>property_type_inferred_from_title;transaction_assumed_sale_from_dataset_context</x:v>
      </x:c>
      <x:c r="M3585" s="10" t="n">
        <x:v>0</x:v>
      </x:c>
      <x:c r="N3585" s="10" t="n">
        <x:v>0</x:v>
      </x:c>
      <x:c r="O3585" s="2" t="str">
        <x:v>Tp Hồ Chí Minh|house</x:v>
      </x:c>
      <x:c r="P3585" s="10" t="n">
        <x:v>2</x:v>
      </x:c>
      <x:c r="Q3585" s="13" t="n">
        <x:f>IF(H3585="","",H3585/1000000000)</x:f>
        <x:v>3.6</x:v>
      </x:c>
      <x:c r="R3585" s="13" t="n">
        <x:f>IF(I3585="","",I3585/1000000)</x:f>
        <x:v>72</x:v>
      </x:c>
    </x:row>
    <x:row r="3586" ht="21" customHeight="1">
      <x:c r="A3586" s="10" t="n">
        <x:v>4904</x:v>
      </x:c>
      <x:c r="B3586" s="2" t="str">
        <x:v>baeb02b4eb18511e466e</x:v>
      </x:c>
      <x:c r="C3586" s="2" t="str">
        <x:v>Bình Dương</x:v>
      </x:c>
      <x:c r="D3586" s="2" t="str">
        <x:v>Thị xã Bến Cát</x:v>
      </x:c>
      <x:c r="E3586" s="2" t="str">
        <x:v>land</x:v>
      </x:c>
      <x:c r="F3586" s="2" t="str">
        <x:v>sale</x:v>
      </x:c>
      <x:c r="G3586" s="11" t="n">
        <x:v>300</x:v>
      </x:c>
      <x:c r="H3586" s="12" t="n">
        <x:v>1150000000</x:v>
      </x:c>
      <x:c r="I3586" s="12" t="n">
        <x:v>3833333.3333333335</x:v>
      </x:c>
      <x:c r="J3586" s="2" t="str">
        <x:v>total</x:v>
      </x:c>
      <x:c r="K3586" s="2" t="str">
        <x:v>top_level_area</x:v>
      </x:c>
      <x:c r="L3586" s="2" t="str">
        <x:v>property_type_inferred_from_title</x:v>
      </x:c>
      <x:c r="M3586" s="10" t="n">
        <x:v>0</x:v>
      </x:c>
      <x:c r="N3586" s="10" t="n">
        <x:v>0</x:v>
      </x:c>
      <x:c r="O3586" s="2" t="str">
        <x:v>Bình Dương|land</x:v>
      </x:c>
      <x:c r="P3586" s="10" t="n">
        <x:v>1</x:v>
      </x:c>
      <x:c r="Q3586" s="13" t="n">
        <x:f>IF(H3586="","",H3586/1000000000)</x:f>
        <x:v>1.15</x:v>
      </x:c>
      <x:c r="R3586" s="13" t="n">
        <x:f>IF(I3586="","",I3586/1000000)</x:f>
        <x:v>3.8333333333333335</x:v>
      </x:c>
    </x:row>
    <x:row r="3587" ht="21" customHeight="1">
      <x:c r="A3587" s="10" t="n">
        <x:v>4905</x:v>
      </x:c>
      <x:c r="B3587" s="2" t="str">
        <x:v>32de45fc6245d57d3cb7</x:v>
      </x:c>
      <x:c r="C3587" s="2" t="str">
        <x:v>Tp Hồ Chí Minh</x:v>
      </x:c>
      <x:c r="D3587" s="2" t="str">
        <x:v>Quận Tân Phú</x:v>
      </x:c>
      <x:c r="E3587" s="2" t="str">
        <x:v>apartment</x:v>
      </x:c>
      <x:c r="F3587" s="2" t="str">
        <x:v>sale_assumed</x:v>
      </x:c>
      <x:c r="G3587" s="11" t="n">
        <x:v>59</x:v>
      </x:c>
      <x:c r="H3587" s="12" t="n">
        <x:v>1650000000</x:v>
      </x:c>
      <x:c r="I3587" s="12" t="n">
        <x:v>27966101.694915254</x:v>
      </x:c>
      <x:c r="J3587" s="2" t="str">
        <x:v>total</x:v>
      </x:c>
      <x:c r="K3587" s="2" t="str">
        <x:v>top_level_area</x:v>
      </x:c>
      <x:c r="L3587" s="2" t="str">
        <x:v>property_type_inferred_from_title;transaction_assumed_sale_from_dataset_context</x:v>
      </x:c>
      <x:c r="M3587" s="10" t="n">
        <x:v>0</x:v>
      </x:c>
      <x:c r="N3587" s="10" t="n">
        <x:v>0</x:v>
      </x:c>
      <x:c r="O3587" s="2" t="str">
        <x:v>Tp Hồ Chí Minh|apartment</x:v>
      </x:c>
      <x:c r="P3587" s="10" t="n">
        <x:v>2</x:v>
      </x:c>
      <x:c r="Q3587" s="13" t="n">
        <x:f>IF(H3587="","",H3587/1000000000)</x:f>
        <x:v>1.65</x:v>
      </x:c>
      <x:c r="R3587" s="13" t="n">
        <x:f>IF(I3587="","",I3587/1000000)</x:f>
        <x:v>27.966101694915253</x:v>
      </x:c>
    </x:row>
    <x:row r="3588" ht="21" customHeight="1">
      <x:c r="A3588" s="10" t="n">
        <x:v>4906</x:v>
      </x:c>
      <x:c r="B3588" s="2" t="str">
        <x:v>543fe392c99e816c86ab</x:v>
      </x:c>
      <x:c r="C3588" s="2" t="str">
        <x:v>Tp Hồ Chí Minh</x:v>
      </x:c>
      <x:c r="D3588" s="2" t="str">
        <x:v>Quận 9</x:v>
      </x:c>
      <x:c r="E3588" s="2" t="str">
        <x:v>house</x:v>
      </x:c>
      <x:c r="F3588" s="2" t="str">
        <x:v>sale_assumed</x:v>
      </x:c>
      <x:c r="G3588" s="11" t="n">
        <x:v>1300</x:v>
      </x:c>
      <x:c r="H3588" s="12" t="n">
        <x:v>20000000000</x:v>
      </x:c>
      <x:c r="I3588" s="12" t="n">
        <x:v>15384615.384615384</x:v>
      </x:c>
      <x:c r="J3588" s="2" t="str">
        <x:v>total</x:v>
      </x:c>
      <x:c r="K3588" s="2" t="str">
        <x:v>top_level_area</x:v>
      </x:c>
      <x:c r="L3588" s="2" t="str">
        <x:v>dot_thousands_convention;property_type_inferred_from_title;transaction_assumed_sale_from_dataset_context</x:v>
      </x:c>
      <x:c r="M3588" s="10" t="n">
        <x:v>0</x:v>
      </x:c>
      <x:c r="N3588" s="10" t="n">
        <x:v>0</x:v>
      </x:c>
      <x:c r="O3588" s="2" t="str">
        <x:v>Tp Hồ Chí Minh|house</x:v>
      </x:c>
      <x:c r="P3588" s="10" t="n">
        <x:v>1</x:v>
      </x:c>
      <x:c r="Q3588" s="13" t="n">
        <x:f>IF(H3588="","",H3588/1000000000)</x:f>
        <x:v>20</x:v>
      </x:c>
      <x:c r="R3588" s="13" t="n">
        <x:f>IF(I3588="","",I3588/1000000)</x:f>
        <x:v>15.384615384615383</x:v>
      </x:c>
    </x:row>
    <x:row r="3589" ht="21" customHeight="1">
      <x:c r="A3589" s="10" t="n">
        <x:v>4907</x:v>
      </x:c>
      <x:c r="B3589" s="2" t="str">
        <x:v>23cd7c2ad507214fcec1</x:v>
      </x:c>
      <x:c r="C3589" s="2" t="str">
        <x:v>Hà Nội</x:v>
      </x:c>
      <x:c r="D3589" s="2" t="str">
        <x:v>Quận Hai Bà Trưng</x:v>
      </x:c>
      <x:c r="E3589" s="2" t="str">
        <x:v>house</x:v>
      </x:c>
      <x:c r="F3589" s="2" t="str">
        <x:v>sale</x:v>
      </x:c>
      <x:c r="G3589" s="11" t="n">
        <x:v>37</x:v>
      </x:c>
      <x:c r="H3589" s="12" t="n">
        <x:v>3500000000</x:v>
      </x:c>
      <x:c r="I3589" s="12" t="n">
        <x:v>94594594.5945946</x:v>
      </x:c>
      <x:c r="J3589" s="2" t="str">
        <x:v>total</x:v>
      </x:c>
      <x:c r="K3589" s="2" t="str">
        <x:v>top_level_area</x:v>
      </x:c>
      <x:c r="L3589" s="2" t="str">
        <x:v>property_type_inferred_from_title</x:v>
      </x:c>
      <x:c r="M3589" s="10" t="n">
        <x:v>0</x:v>
      </x:c>
      <x:c r="N3589" s="10" t="n">
        <x:v>0</x:v>
      </x:c>
      <x:c r="O3589" s="2" t="str">
        <x:v>Hà Nội|house</x:v>
      </x:c>
      <x:c r="P3589" s="10" t="n">
        <x:v>2</x:v>
      </x:c>
      <x:c r="Q3589" s="13" t="n">
        <x:f>IF(H3589="","",H3589/1000000000)</x:f>
        <x:v>3.5</x:v>
      </x:c>
      <x:c r="R3589" s="13" t="n">
        <x:f>IF(I3589="","",I3589/1000000)</x:f>
        <x:v>94.5945945945946</x:v>
      </x:c>
    </x:row>
    <x:row r="3590" ht="21" customHeight="1">
      <x:c r="A3590" s="10" t="n">
        <x:v>4908</x:v>
      </x:c>
      <x:c r="B3590" s="2" t="str">
        <x:v>020d69b990cc4e05c095</x:v>
      </x:c>
      <x:c r="C3590" s="2" t="str">
        <x:v>Bình Thuận</x:v>
      </x:c>
      <x:c r="D3590" s="2" t="str">
        <x:v>Huyện Bắc Bình</x:v>
      </x:c>
      <x:c r="E3590" s="2" t="str">
        <x:v>other_unknown</x:v>
      </x:c>
      <x:c r="F3590" s="2" t="str">
        <x:v>sale_assumed</x:v>
      </x:c>
      <x:c r="G3590" s="11" t="n">
        <x:v>11454</x:v>
      </x:c>
      <x:c r="H3590" s="12" t="n">
        <x:v>1030000000</x:v>
      </x:c>
      <x:c r="I3590" s="12" t="n">
        <x:v>89924.91705954252</x:v>
      </x:c>
      <x:c r="J3590" s="2" t="str">
        <x:v>total</x:v>
      </x:c>
      <x:c r="K3590" s="2" t="str">
        <x:v>top_level_area</x:v>
      </x:c>
      <x:c r="L3590" s="2" t="str">
        <x:v>dot_thousands_convention;property_type_inferred_from_title;transaction_assumed_sale_from_dataset_context;unknown_property_type</x:v>
      </x:c>
      <x:c r="M3590" s="10" t="n">
        <x:v>0</x:v>
      </x:c>
      <x:c r="N3590" s="10" t="n">
        <x:v>0</x:v>
      </x:c>
      <x:c r="O3590" s="2" t="str">
        <x:v>other_unknown</x:v>
      </x:c>
      <x:c r="P3590" s="10" t="n">
        <x:v>1</x:v>
      </x:c>
      <x:c r="Q3590" s="13" t="n">
        <x:f>IF(H3590="","",H3590/1000000000)</x:f>
        <x:v>1.03</x:v>
      </x:c>
      <x:c r="R3590" s="13" t="n">
        <x:f>IF(I3590="","",I3590/1000000)</x:f>
        <x:v>0.08992491705954253</x:v>
      </x:c>
    </x:row>
    <x:row r="3591" ht="21" customHeight="1">
      <x:c r="A3591" s="10" t="n">
        <x:v>4909</x:v>
      </x:c>
      <x:c r="B3591" s="2" t="str">
        <x:v>fa25d283a9b9c56cf930</x:v>
      </x:c>
      <x:c r="C3591" s="2" t="str">
        <x:v>Khánh Hòa</x:v>
      </x:c>
      <x:c r="D3591" s="2" t="str">
        <x:v>Huyện Diên Khánh</x:v>
      </x:c>
      <x:c r="E3591" s="2" t="str">
        <x:v>land</x:v>
      </x:c>
      <x:c r="F3591" s="2" t="str">
        <x:v>sale_assumed</x:v>
      </x:c>
      <x:c r="G3591" s="11" t="n">
        <x:v>173</x:v>
      </x:c>
      <x:c r="H3591" s="12" t="n">
        <x:v>1400000000</x:v>
      </x:c>
      <x:c r="I3591" s="12" t="n">
        <x:v>8092485.549132948</x:v>
      </x:c>
      <x:c r="J3591" s="2" t="str">
        <x:v>total</x:v>
      </x:c>
      <x:c r="K3591" s="2" t="str">
        <x:v>top_level_area</x:v>
      </x:c>
      <x:c r="L3591" s="2" t="str">
        <x:v>property_type_inferred_from_title;transaction_assumed_sale_from_dataset_context</x:v>
      </x:c>
      <x:c r="M3591" s="10" t="n">
        <x:v>0</x:v>
      </x:c>
      <x:c r="N3591" s="10" t="n">
        <x:v>0</x:v>
      </x:c>
      <x:c r="O3591" s="2" t="str">
        <x:v>land</x:v>
      </x:c>
      <x:c r="P3591" s="10" t="n">
        <x:v>2</x:v>
      </x:c>
      <x:c r="Q3591" s="13" t="n">
        <x:f>IF(H3591="","",H3591/1000000000)</x:f>
        <x:v>1.4</x:v>
      </x:c>
      <x:c r="R3591" s="13" t="n">
        <x:f>IF(I3591="","",I3591/1000000)</x:f>
        <x:v>8.092485549132947</x:v>
      </x:c>
    </x:row>
    <x:row r="3592" ht="21" customHeight="1">
      <x:c r="A3592" s="10" t="n">
        <x:v>4910</x:v>
      </x:c>
      <x:c r="B3592" s="2" t="str">
        <x:v>9e19673d7f2a431a7668</x:v>
      </x:c>
      <x:c r="C3592" s="2" t="str">
        <x:v>Tp Hồ Chí Minh</x:v>
      </x:c>
      <x:c r="D3592" s="2" t="str">
        <x:v>Quận 11</x:v>
      </x:c>
      <x:c r="E3592" s="2" t="str">
        <x:v>other_unknown</x:v>
      </x:c>
      <x:c r="F3592" s="2" t="str">
        <x:v>sale_assumed</x:v>
      </x:c>
      <x:c r="G3592" s="11" t="n">
        <x:v>51</x:v>
      </x:c>
      <x:c r="H3592" s="12" t="n">
        <x:v>7500000000</x:v>
      </x:c>
      <x:c r="I3592" s="12" t="n">
        <x:v>147058823.52941176</x:v>
      </x:c>
      <x:c r="J3592" s="2" t="str">
        <x:v>total</x:v>
      </x:c>
      <x:c r="K3592" s="2" t="str">
        <x:v>top_level_area</x:v>
      </x:c>
      <x:c r="L3592" s="2" t="str">
        <x:v>property_type_inferred_from_title;transaction_assumed_sale_from_dataset_context;unknown_property_type</x:v>
      </x:c>
      <x:c r="M3592" s="10" t="n">
        <x:v>0</x:v>
      </x:c>
      <x:c r="N3592" s="10" t="n">
        <x:v>0</x:v>
      </x:c>
      <x:c r="O3592" s="2" t="str">
        <x:v>Tp Hồ Chí Minh|other_unknown</x:v>
      </x:c>
      <x:c r="P3592" s="10" t="n">
        <x:v>2</x:v>
      </x:c>
      <x:c r="Q3592" s="13" t="n">
        <x:f>IF(H3592="","",H3592/1000000000)</x:f>
        <x:v>7.5</x:v>
      </x:c>
      <x:c r="R3592" s="13" t="n">
        <x:f>IF(I3592="","",I3592/1000000)</x:f>
        <x:v>147.05882352941177</x:v>
      </x:c>
    </x:row>
    <x:row r="3593" ht="21" customHeight="1">
      <x:c r="A3593" s="10" t="n">
        <x:v>4911</x:v>
      </x:c>
      <x:c r="B3593" s="2" t="str">
        <x:v>8862b9e4a79cbb444683</x:v>
      </x:c>
      <x:c r="C3593" s="2" t="str">
        <x:v>Bình Dương</x:v>
      </x:c>
      <x:c r="D3593" s="2" t="str">
        <x:v>Thành phố Thủ Dầu Một</x:v>
      </x:c>
      <x:c r="E3593" s="2" t="str">
        <x:v>other_unknown</x:v>
      </x:c>
      <x:c r="F3593" s="2" t="str">
        <x:v>sale_assumed</x:v>
      </x:c>
      <x:c r="G3593" s="11" t="n">
        <x:v>85</x:v>
      </x:c>
      <x:c r="H3593" s="12" t="n">
        <x:v>1600000000</x:v>
      </x:c>
      <x:c r="I3593" s="12" t="n">
        <x:v>18823529.411764707</x:v>
      </x:c>
      <x:c r="J3593" s="2" t="str">
        <x:v>total</x:v>
      </x:c>
      <x:c r="K3593" s="2" t="str">
        <x:v>top_level_area</x:v>
      </x:c>
      <x:c r="L3593" s="2" t="str">
        <x:v>property_type_inferred_from_title;transaction_assumed_sale_from_dataset_context;unknown_property_type</x:v>
      </x:c>
      <x:c r="M3593" s="10" t="n">
        <x:v>0</x:v>
      </x:c>
      <x:c r="N3593" s="10" t="n">
        <x:v>0</x:v>
      </x:c>
      <x:c r="O3593" s="2" t="str">
        <x:v>Bình Dương|other_unknown</x:v>
      </x:c>
      <x:c r="P3593" s="10" t="n">
        <x:v>2</x:v>
      </x:c>
      <x:c r="Q3593" s="13" t="n">
        <x:f>IF(H3593="","",H3593/1000000000)</x:f>
        <x:v>1.6</x:v>
      </x:c>
      <x:c r="R3593" s="13" t="n">
        <x:f>IF(I3593="","",I3593/1000000)</x:f>
        <x:v>18.823529411764707</x:v>
      </x:c>
    </x:row>
    <x:row r="3594" ht="21" customHeight="1">
      <x:c r="A3594" s="10" t="n">
        <x:v>4912</x:v>
      </x:c>
      <x:c r="B3594" s="2" t="str">
        <x:v>e2b53079c933e4174af8</x:v>
      </x:c>
      <x:c r="C3594" s="2" t="str">
        <x:v>Đà Nẵng</x:v>
      </x:c>
      <x:c r="D3594" s="2" t="str">
        <x:v>Huyện Hòa Vang</x:v>
      </x:c>
      <x:c r="E3594" s="2" t="str">
        <x:v>house</x:v>
      </x:c>
      <x:c r="F3594" s="2" t="str">
        <x:v>sale</x:v>
      </x:c>
      <x:c r="G3594" s="11" t="n">
        <x:v>630</x:v>
      </x:c>
      <x:c r="H3594" s="12" t="n">
        <x:v>2500000009</x:v>
      </x:c>
      <x:c r="I3594" s="12" t="n">
        <x:v>3968253.9825396826</x:v>
      </x:c>
      <x:c r="J3594" s="2" t="str">
        <x:v>total</x:v>
      </x:c>
      <x:c r="K3594" s="2" t="str">
        <x:v>top_level_area</x:v>
      </x:c>
      <x:c r="L3594" s="2" t="str">
        <x:v>property_type_inferred_from_title</x:v>
      </x:c>
      <x:c r="M3594" s="10" t="n">
        <x:v>0</x:v>
      </x:c>
      <x:c r="N3594" s="10" t="n">
        <x:v>0</x:v>
      </x:c>
      <x:c r="O3594" s="2" t="str">
        <x:v>Đà Nẵng|house</x:v>
      </x:c>
      <x:c r="P3594" s="10" t="n">
        <x:v>1</x:v>
      </x:c>
      <x:c r="Q3594" s="13" t="n">
        <x:f>IF(H3594="","",H3594/1000000000)</x:f>
        <x:v>2.500000009</x:v>
      </x:c>
      <x:c r="R3594" s="13" t="n">
        <x:f>IF(I3594="","",I3594/1000000)</x:f>
        <x:v>3.9682539825396828</x:v>
      </x:c>
    </x:row>
    <x:row r="3595" ht="21" customHeight="1">
      <x:c r="A3595" s="10" t="n">
        <x:v>4913</x:v>
      </x:c>
      <x:c r="B3595" s="2" t="str">
        <x:v>cb372655da35b77e3586</x:v>
      </x:c>
      <x:c r="C3595" s="2" t="str">
        <x:v>Hà Nội</x:v>
      </x:c>
      <x:c r="D3595" s="2" t="str">
        <x:v>Quận Đống Đa</x:v>
      </x:c>
      <x:c r="E3595" s="2" t="str">
        <x:v>apartment</x:v>
      </x:c>
      <x:c r="F3595" s="2" t="str">
        <x:v>sale</x:v>
      </x:c>
      <x:c r="G3595" s="11" t="n">
        <x:v>45</x:v>
      </x:c>
      <x:c r="H3595" s="12" t="n">
        <x:v>660000000</x:v>
      </x:c>
      <x:c r="I3595" s="12" t="n">
        <x:v>14666666.666666666</x:v>
      </x:c>
      <x:c r="J3595" s="2" t="str">
        <x:v>total</x:v>
      </x:c>
      <x:c r="K3595" s="2" t="str">
        <x:v>top_level_area</x:v>
      </x:c>
      <x:c r="L3595" s="2" t="str">
        <x:v>property_type_inferred_from_title</x:v>
      </x:c>
      <x:c r="M3595" s="10" t="n">
        <x:v>0</x:v>
      </x:c>
      <x:c r="N3595" s="10" t="n">
        <x:v>0</x:v>
      </x:c>
      <x:c r="O3595" s="2" t="str">
        <x:v>Hà Nội|apartment</x:v>
      </x:c>
      <x:c r="P3595" s="10" t="n">
        <x:v>2</x:v>
      </x:c>
      <x:c r="Q3595" s="13" t="n">
        <x:f>IF(H3595="","",H3595/1000000000)</x:f>
        <x:v>0.66</x:v>
      </x:c>
      <x:c r="R3595" s="13" t="n">
        <x:f>IF(I3595="","",I3595/1000000)</x:f>
        <x:v>14.666666666666666</x:v>
      </x:c>
    </x:row>
    <x:row r="3596" ht="21" customHeight="1">
      <x:c r="A3596" s="10" t="n">
        <x:v>4914</x:v>
      </x:c>
      <x:c r="B3596" s="2" t="str">
        <x:v>6784e6750c93c26b149c</x:v>
      </x:c>
      <x:c r="C3596" s="2" t="str">
        <x:v>Đà Nẵng</x:v>
      </x:c>
      <x:c r="D3596" s="2" t="str">
        <x:v>Quận Thanh Khê</x:v>
      </x:c>
      <x:c r="E3596" s="2" t="str">
        <x:v>house</x:v>
      </x:c>
      <x:c r="F3596" s="2" t="str">
        <x:v>sale_assumed</x:v>
      </x:c>
      <x:c r="G3596" s="11" t="n">
        <x:v>50</x:v>
      </x:c>
      <x:c r="H3596" s="12" t="n">
        <x:v>1950000000</x:v>
      </x:c>
      <x:c r="I3596" s="12" t="n">
        <x:v>39000000</x:v>
      </x:c>
      <x:c r="J3596" s="2" t="str">
        <x:v>total</x:v>
      </x:c>
      <x:c r="K3596" s="2" t="str">
        <x:v>top_level_area</x:v>
      </x:c>
      <x:c r="L3596" s="2" t="str">
        <x:v>property_type_inferred_from_title;transaction_assumed_sale_from_dataset_context</x:v>
      </x:c>
      <x:c r="M3596" s="10" t="n">
        <x:v>0</x:v>
      </x:c>
      <x:c r="N3596" s="10" t="n">
        <x:v>0</x:v>
      </x:c>
      <x:c r="O3596" s="2" t="str">
        <x:v>Đà Nẵng|house</x:v>
      </x:c>
      <x:c r="P3596" s="10" t="n">
        <x:v>2</x:v>
      </x:c>
      <x:c r="Q3596" s="13" t="n">
        <x:f>IF(H3596="","",H3596/1000000000)</x:f>
        <x:v>1.95</x:v>
      </x:c>
      <x:c r="R3596" s="13" t="n">
        <x:f>IF(I3596="","",I3596/1000000)</x:f>
        <x:v>39</x:v>
      </x:c>
    </x:row>
    <x:row r="3597" ht="21" customHeight="1">
      <x:c r="A3597" s="10" t="n">
        <x:v>4915</x:v>
      </x:c>
      <x:c r="B3597" s="2" t="str">
        <x:v>cc5d21f6e08c00c3080d</x:v>
      </x:c>
      <x:c r="C3597" s="2" t="str">
        <x:v>Tp Hồ Chí Minh</x:v>
      </x:c>
      <x:c r="D3597" s="2" t="str">
        <x:v>Quận 2</x:v>
      </x:c>
      <x:c r="E3597" s="2" t="str">
        <x:v>other_unknown</x:v>
      </x:c>
      <x:c r="F3597" s="2" t="str">
        <x:v>sale</x:v>
      </x:c>
      <x:c r="G3597" s="11" t="n">
        <x:v>50</x:v>
      </x:c>
      <x:c r="H3597" s="12" t="n">
        <x:v>2700000000</x:v>
      </x:c>
      <x:c r="I3597" s="12" t="n">
        <x:v>54000000</x:v>
      </x:c>
      <x:c r="J3597" s="2" t="str">
        <x:v>total</x:v>
      </x:c>
      <x:c r="K3597" s="2" t="str">
        <x:v>top_level_area</x:v>
      </x:c>
      <x:c r="L3597" s="2" t="str">
        <x:v>property_type_inferred_from_title;unknown_property_type</x:v>
      </x:c>
      <x:c r="M3597" s="10" t="n">
        <x:v>0</x:v>
      </x:c>
      <x:c r="N3597" s="10" t="n">
        <x:v>0</x:v>
      </x:c>
      <x:c r="O3597" s="2" t="str">
        <x:v>Tp Hồ Chí Minh|other_unknown</x:v>
      </x:c>
      <x:c r="P3597" s="10" t="n">
        <x:v>2</x:v>
      </x:c>
      <x:c r="Q3597" s="13" t="n">
        <x:f>IF(H3597="","",H3597/1000000000)</x:f>
        <x:v>2.7</x:v>
      </x:c>
      <x:c r="R3597" s="13" t="n">
        <x:f>IF(I3597="","",I3597/1000000)</x:f>
        <x:v>54</x:v>
      </x:c>
    </x:row>
    <x:row r="3598" ht="21" customHeight="1">
      <x:c r="A3598" s="10" t="n">
        <x:v>4917</x:v>
      </x:c>
      <x:c r="B3598" s="2" t="str">
        <x:v>b723fb84f7d2a87eb044</x:v>
      </x:c>
      <x:c r="C3598" s="2" t="str">
        <x:v>Tiền Giang</x:v>
      </x:c>
      <x:c r="D3598" s="2" t="str">
        <x:v>Thành phố Mỹ Tho</x:v>
      </x:c>
      <x:c r="E3598" s="2" t="str">
        <x:v>house</x:v>
      </x:c>
      <x:c r="F3598" s="2" t="str">
        <x:v>sale</x:v>
      </x:c>
      <x:c r="G3598" s="11" t="n">
        <x:v>50</x:v>
      </x:c>
      <x:c r="H3598" s="12" t="n">
        <x:v>670000000</x:v>
      </x:c>
      <x:c r="I3598" s="12" t="n">
        <x:v>13400000</x:v>
      </x:c>
      <x:c r="J3598" s="2" t="str">
        <x:v>total</x:v>
      </x:c>
      <x:c r="K3598" s="2" t="str">
        <x:v>top_level_area</x:v>
      </x:c>
      <x:c r="L3598" s="2" t="str">
        <x:v>property_type_inferred_from_title</x:v>
      </x:c>
      <x:c r="M3598" s="10" t="n">
        <x:v>0</x:v>
      </x:c>
      <x:c r="N3598" s="10" t="n">
        <x:v>0</x:v>
      </x:c>
      <x:c r="O3598" s="2" t="str">
        <x:v>house</x:v>
      </x:c>
      <x:c r="P3598" s="10" t="n">
        <x:v>2</x:v>
      </x:c>
      <x:c r="Q3598" s="13" t="n">
        <x:f>IF(H3598="","",H3598/1000000000)</x:f>
        <x:v>0.67</x:v>
      </x:c>
      <x:c r="R3598" s="13" t="n">
        <x:f>IF(I3598="","",I3598/1000000)</x:f>
        <x:v>13.4</x:v>
      </x:c>
    </x:row>
    <x:row r="3599" ht="21" customHeight="1">
      <x:c r="A3599" s="10" t="n">
        <x:v>4920</x:v>
      </x:c>
      <x:c r="B3599" s="2" t="str">
        <x:v>2fe178ce4fa12cbba6b4</x:v>
      </x:c>
      <x:c r="C3599" s="2" t="str">
        <x:v>Tp Hồ Chí Minh</x:v>
      </x:c>
      <x:c r="D3599" s="2" t="str">
        <x:v>Quận 6</x:v>
      </x:c>
      <x:c r="E3599" s="2" t="str">
        <x:v>house</x:v>
      </x:c>
      <x:c r="F3599" s="2" t="str">
        <x:v>sale_assumed</x:v>
      </x:c>
      <x:c r="G3599" s="11" t="n">
        <x:v>31.5</x:v>
      </x:c>
      <x:c r="H3599" s="12" t="n">
        <x:v>9200000000</x:v>
      </x:c>
      <x:c r="I3599" s="12" t="n">
        <x:v>292063492.06349206</x:v>
      </x:c>
      <x:c r="J3599" s="2" t="str">
        <x:v>total</x:v>
      </x:c>
      <x:c r="K3599" s="2" t="str">
        <x:v>top_level_area</x:v>
      </x:c>
      <x:c r="L3599" s="2" t="str">
        <x:v>property_type_inferred_from_title;transaction_assumed_sale_from_dataset_context</x:v>
      </x:c>
      <x:c r="M3599" s="10" t="n">
        <x:v>1</x:v>
      </x:c>
      <x:c r="N3599" s="10" t="n">
        <x:v>1</x:v>
      </x:c>
      <x:c r="O3599" s="2" t="str">
        <x:v>Tp Hồ Chí Minh|house</x:v>
      </x:c>
      <x:c r="P3599" s="10" t="n">
        <x:v>-1</x:v>
      </x:c>
      <x:c r="Q3599" s="13" t="n">
        <x:f>IF(H3599="","",H3599/1000000000)</x:f>
        <x:v>9.2</x:v>
      </x:c>
      <x:c r="R3599" s="13" t="n">
        <x:f>IF(I3599="","",I3599/1000000)</x:f>
        <x:v>292.06349206349205</x:v>
      </x:c>
    </x:row>
    <x:row r="3600" ht="21" customHeight="1">
      <x:c r="A3600" s="10" t="n">
        <x:v>4921</x:v>
      </x:c>
      <x:c r="B3600" s="2" t="str">
        <x:v>3c3719016591fa92f2e5</x:v>
      </x:c>
      <x:c r="C3600" s="2" t="str">
        <x:v>Tp Hồ Chí Minh</x:v>
      </x:c>
      <x:c r="D3600" s="2" t="str">
        <x:v>Quận 6</x:v>
      </x:c>
      <x:c r="E3600" s="2" t="str">
        <x:v>house</x:v>
      </x:c>
      <x:c r="F3600" s="2" t="str">
        <x:v>sale_assumed</x:v>
      </x:c>
      <x:c r="G3600" s="11" t="n">
        <x:v>28.8</x:v>
      </x:c>
      <x:c r="H3600" s="12" t="n">
        <x:v>6200000000</x:v>
      </x:c>
      <x:c r="I3600" s="12" t="n">
        <x:v>215277777.77777776</x:v>
      </x:c>
      <x:c r="J3600" s="2" t="str">
        <x:v>total</x:v>
      </x:c>
      <x:c r="K3600" s="2" t="str">
        <x:v>top_level_area</x:v>
      </x:c>
      <x:c r="L3600" s="2" t="str">
        <x:v>property_type_inferred_from_title;transaction_assumed_sale_from_dataset_context</x:v>
      </x:c>
      <x:c r="M3600" s="10" t="n">
        <x:v>1</x:v>
      </x:c>
      <x:c r="N3600" s="10" t="n">
        <x:v>1</x:v>
      </x:c>
      <x:c r="O3600" s="2" t="str">
        <x:v>Tp Hồ Chí Minh|house</x:v>
      </x:c>
      <x:c r="P3600" s="10" t="n">
        <x:v>-1</x:v>
      </x:c>
      <x:c r="Q3600" s="13" t="n">
        <x:f>IF(H3600="","",H3600/1000000000)</x:f>
        <x:v>6.2</x:v>
      </x:c>
      <x:c r="R3600" s="13" t="n">
        <x:f>IF(I3600="","",I3600/1000000)</x:f>
        <x:v>215.27777777777777</x:v>
      </x:c>
    </x:row>
    <x:row r="3601" ht="21" customHeight="1">
      <x:c r="A3601" s="10" t="n">
        <x:v>4922</x:v>
      </x:c>
      <x:c r="B3601" s="2" t="str">
        <x:v>86b344796d4c81601fc0</x:v>
      </x:c>
      <x:c r="C3601" s="2" t="str">
        <x:v>Tp Hồ Chí Minh</x:v>
      </x:c>
      <x:c r="D3601" s="2" t="str">
        <x:v>Quận 5</x:v>
      </x:c>
      <x:c r="E3601" s="2" t="str">
        <x:v>house</x:v>
      </x:c>
      <x:c r="F3601" s="2" t="str">
        <x:v>sale_assumed</x:v>
      </x:c>
      <x:c r="G3601" s="11" t="n">
        <x:v>21.1</x:v>
      </x:c>
      <x:c r="H3601" s="12" t="n">
        <x:v>4500000000</x:v>
      </x:c>
      <x:c r="I3601" s="12" t="n">
        <x:v>213270142.18009478</x:v>
      </x:c>
      <x:c r="J3601" s="2" t="str">
        <x:v>total</x:v>
      </x:c>
      <x:c r="K3601" s="2" t="str">
        <x:v>top_level_area</x:v>
      </x:c>
      <x:c r="L3601" s="2" t="str">
        <x:v>property_type_inferred_from_title;transaction_assumed_sale_from_dataset_context</x:v>
      </x:c>
      <x:c r="M3601" s="10" t="n">
        <x:v>1</x:v>
      </x:c>
      <x:c r="N3601" s="10" t="n">
        <x:v>1</x:v>
      </x:c>
      <x:c r="O3601" s="2" t="str">
        <x:v>Tp Hồ Chí Minh|house</x:v>
      </x:c>
      <x:c r="P3601" s="10" t="n">
        <x:v>-1</x:v>
      </x:c>
      <x:c r="Q3601" s="13" t="n">
        <x:f>IF(H3601="","",H3601/1000000000)</x:f>
        <x:v>4.5</x:v>
      </x:c>
      <x:c r="R3601" s="13" t="n">
        <x:f>IF(I3601="","",I3601/1000000)</x:f>
        <x:v>213.27014218009478</x:v>
      </x:c>
    </x:row>
    <x:row r="3602" ht="21" customHeight="1">
      <x:c r="A3602" s="10" t="n">
        <x:v>4923</x:v>
      </x:c>
      <x:c r="B3602" s="2" t="str">
        <x:v>d2090d672d9e98cd0012</x:v>
      </x:c>
      <x:c r="C3602" s="2" t="str">
        <x:v>Tp Hồ Chí Minh</x:v>
      </x:c>
      <x:c r="D3602" s="2" t="str">
        <x:v>Quận 5</x:v>
      </x:c>
      <x:c r="E3602" s="2" t="str">
        <x:v>other_unknown</x:v>
      </x:c>
      <x:c r="F3602" s="2" t="str">
        <x:v>sale_assumed</x:v>
      </x:c>
      <x:c r="G3602" s="11" t="n">
        <x:v>50</x:v>
      </x:c>
      <x:c r="H3602" s="12" t="n">
        <x:v>12500000000</x:v>
      </x:c>
      <x:c r="I3602" s="12" t="n">
        <x:v>250000000</x:v>
      </x:c>
      <x:c r="J3602" s="2" t="str">
        <x:v>total</x:v>
      </x:c>
      <x:c r="K3602" s="2" t="str">
        <x:v>top_level_area</x:v>
      </x:c>
      <x:c r="L3602" s="2" t="str">
        <x:v>property_type_inferred_from_title;transaction_assumed_sale_from_dataset_context;unknown_property_type</x:v>
      </x:c>
      <x:c r="M3602" s="10" t="n">
        <x:v>1</x:v>
      </x:c>
      <x:c r="N3602" s="10" t="n">
        <x:v>1</x:v>
      </x:c>
      <x:c r="O3602" s="2" t="str">
        <x:v>Tp Hồ Chí Minh|other_unknown</x:v>
      </x:c>
      <x:c r="P3602" s="10" t="n">
        <x:v>-1</x:v>
      </x:c>
      <x:c r="Q3602" s="13" t="n">
        <x:f>IF(H3602="","",H3602/1000000000)</x:f>
        <x:v>12.5</x:v>
      </x:c>
      <x:c r="R3602" s="13" t="n">
        <x:f>IF(I3602="","",I3602/1000000)</x:f>
        <x:v>250</x:v>
      </x:c>
    </x:row>
    <x:row r="3603" ht="21" customHeight="1">
      <x:c r="A3603" s="10" t="n">
        <x:v>4924</x:v>
      </x:c>
      <x:c r="B3603" s="2" t="str">
        <x:v>b00177c747fabe7e8311</x:v>
      </x:c>
      <x:c r="C3603" s="2" t="str">
        <x:v>Tp Hồ Chí Minh</x:v>
      </x:c>
      <x:c r="D3603" s="2" t="str">
        <x:v>Quận 5</x:v>
      </x:c>
      <x:c r="E3603" s="2" t="str">
        <x:v>house</x:v>
      </x:c>
      <x:c r="F3603" s="2" t="str">
        <x:v>sale_assumed</x:v>
      </x:c>
      <x:c r="G3603" s="11" t="n">
        <x:v>21</x:v>
      </x:c>
      <x:c r="H3603" s="12" t="n">
        <x:v>4500000000</x:v>
      </x:c>
      <x:c r="I3603" s="12" t="n">
        <x:v>214285714.2857143</x:v>
      </x:c>
      <x:c r="J3603" s="2" t="str">
        <x:v>total</x:v>
      </x:c>
      <x:c r="K3603" s="2" t="str">
        <x:v>top_level_area</x:v>
      </x:c>
      <x:c r="L3603" s="2" t="str">
        <x:v>property_type_inferred_from_title;transaction_assumed_sale_from_dataset_context</x:v>
      </x:c>
      <x:c r="M3603" s="10" t="n">
        <x:v>1</x:v>
      </x:c>
      <x:c r="N3603" s="10" t="n">
        <x:v>1</x:v>
      </x:c>
      <x:c r="O3603" s="2" t="str">
        <x:v>Tp Hồ Chí Minh|house</x:v>
      </x:c>
      <x:c r="P3603" s="10" t="n">
        <x:v>-1</x:v>
      </x:c>
      <x:c r="Q3603" s="13" t="n">
        <x:f>IF(H3603="","",H3603/1000000000)</x:f>
        <x:v>4.5</x:v>
      </x:c>
      <x:c r="R3603" s="13" t="n">
        <x:f>IF(I3603="","",I3603/1000000)</x:f>
        <x:v>214.2857142857143</x:v>
      </x:c>
    </x:row>
    <x:row r="3604" ht="21" customHeight="1">
      <x:c r="A3604" s="10" t="n">
        <x:v>4925</x:v>
      </x:c>
      <x:c r="B3604" s="2" t="str">
        <x:v>afa6f45c7e29a84a5ad3</x:v>
      </x:c>
      <x:c r="C3604" s="2" t="str">
        <x:v>Tp Hồ Chí Minh</x:v>
      </x:c>
      <x:c r="D3604" s="2" t="str">
        <x:v>Quận 5</x:v>
      </x:c>
      <x:c r="E3604" s="2" t="str">
        <x:v>house</x:v>
      </x:c>
      <x:c r="F3604" s="2" t="str">
        <x:v>sale_assumed</x:v>
      </x:c>
      <x:c r="G3604" s="11" t="n">
        <x:v>28.3</x:v>
      </x:c>
      <x:c r="H3604" s="12" t="n">
        <x:v>3390000000</x:v>
      </x:c>
      <x:c r="I3604" s="12" t="n">
        <x:v>119787985.86572438</x:v>
      </x:c>
      <x:c r="J3604" s="2" t="str">
        <x:v>total</x:v>
      </x:c>
      <x:c r="K3604" s="2" t="str">
        <x:v>top_level_area</x:v>
      </x:c>
      <x:c r="L3604" s="2" t="str">
        <x:v>property_type_inferred_from_title;transaction_assumed_sale_from_dataset_context</x:v>
      </x:c>
      <x:c r="M3604" s="10" t="n">
        <x:v>0</x:v>
      </x:c>
      <x:c r="N3604" s="10" t="n">
        <x:v>0</x:v>
      </x:c>
      <x:c r="O3604" s="2" t="str">
        <x:v>Tp Hồ Chí Minh|house</x:v>
      </x:c>
      <x:c r="P3604" s="10" t="n">
        <x:v>2</x:v>
      </x:c>
      <x:c r="Q3604" s="13" t="n">
        <x:f>IF(H3604="","",H3604/1000000000)</x:f>
        <x:v>3.39</x:v>
      </x:c>
      <x:c r="R3604" s="13" t="n">
        <x:f>IF(I3604="","",I3604/1000000)</x:f>
        <x:v>119.78798586572438</x:v>
      </x:c>
    </x:row>
    <x:row r="3605" ht="21" customHeight="1">
      <x:c r="A3605" s="10" t="n">
        <x:v>4926</x:v>
      </x:c>
      <x:c r="B3605" s="2" t="str">
        <x:v>4800468e3eb2c63a0dbb</x:v>
      </x:c>
      <x:c r="C3605" s="2" t="str">
        <x:v>Sóc Trăng</x:v>
      </x:c>
      <x:c r="D3605" s="2" t="str">
        <x:v>Thành phố Sóc Trăng</x:v>
      </x:c>
      <x:c r="E3605" s="2" t="str">
        <x:v>land</x:v>
      </x:c>
      <x:c r="F3605" s="2" t="str">
        <x:v>sale</x:v>
      </x:c>
      <x:c r="G3605" s="11" t="n">
        <x:v>100</x:v>
      </x:c>
      <x:c r="H3605" s="12" t="n">
        <x:v>780000000</x:v>
      </x:c>
      <x:c r="I3605" s="12" t="n">
        <x:v>7800000</x:v>
      </x:c>
      <x:c r="J3605" s="2" t="str">
        <x:v>total</x:v>
      </x:c>
      <x:c r="K3605" s="2" t="str">
        <x:v>top_level_area</x:v>
      </x:c>
      <x:c r="L3605" s="2" t="str">
        <x:v>property_type_inferred_from_title</x:v>
      </x:c>
      <x:c r="M3605" s="10" t="n">
        <x:v>0</x:v>
      </x:c>
      <x:c r="N3605" s="10" t="n">
        <x:v>0</x:v>
      </x:c>
      <x:c r="O3605" s="2" t="str">
        <x:v>land</x:v>
      </x:c>
      <x:c r="P3605" s="10" t="n">
        <x:v>2</x:v>
      </x:c>
      <x:c r="Q3605" s="13" t="n">
        <x:f>IF(H3605="","",H3605/1000000000)</x:f>
        <x:v>0.78</x:v>
      </x:c>
      <x:c r="R3605" s="13" t="n">
        <x:f>IF(I3605="","",I3605/1000000)</x:f>
        <x:v>7.8</x:v>
      </x:c>
    </x:row>
    <x:row r="3606" ht="21" customHeight="1">
      <x:c r="A3606" s="10" t="n">
        <x:v>4927</x:v>
      </x:c>
      <x:c r="B3606" s="2" t="str">
        <x:v>f80d244fdca41f5c6c0e</x:v>
      </x:c>
      <x:c r="C3606" s="2" t="str">
        <x:v>Hà Nội</x:v>
      </x:c>
      <x:c r="D3606" s="2" t="str">
        <x:v>Quận Ba Đình</x:v>
      </x:c>
      <x:c r="E3606" s="2" t="str">
        <x:v>house</x:v>
      </x:c>
      <x:c r="F3606" s="2" t="str">
        <x:v>sale_assumed</x:v>
      </x:c>
      <x:c r="G3606" s="11" t="n">
        <x:v>30</x:v>
      </x:c>
      <x:c r="H3606" s="12" t="n">
        <x:v>2800000000</x:v>
      </x:c>
      <x:c r="I3606" s="12" t="n">
        <x:v>93333333.33333333</x:v>
      </x:c>
      <x:c r="J3606" s="2" t="str">
        <x:v>total</x:v>
      </x:c>
      <x:c r="K3606" s="2" t="str">
        <x:v>top_level_area</x:v>
      </x:c>
      <x:c r="L3606" s="2" t="str">
        <x:v>property_type_inferred_from_title;transaction_assumed_sale_from_dataset_context</x:v>
      </x:c>
      <x:c r="M3606" s="10" t="n">
        <x:v>0</x:v>
      </x:c>
      <x:c r="N3606" s="10" t="n">
        <x:v>0</x:v>
      </x:c>
      <x:c r="O3606" s="2" t="str">
        <x:v>Hà Nội|house</x:v>
      </x:c>
      <x:c r="P3606" s="10" t="n">
        <x:v>2</x:v>
      </x:c>
      <x:c r="Q3606" s="13" t="n">
        <x:f>IF(H3606="","",H3606/1000000000)</x:f>
        <x:v>2.8</x:v>
      </x:c>
      <x:c r="R3606" s="13" t="n">
        <x:f>IF(I3606="","",I3606/1000000)</x:f>
        <x:v>93.33333333333333</x:v>
      </x:c>
    </x:row>
    <x:row r="3607" ht="21" customHeight="1">
      <x:c r="A3607" s="10" t="n">
        <x:v>4928</x:v>
      </x:c>
      <x:c r="B3607" s="2" t="str">
        <x:v>ff8510cee2962d0ddcd4</x:v>
      </x:c>
      <x:c r="C3607" s="2" t="str">
        <x:v>Tp Hồ Chí Minh</x:v>
      </x:c>
      <x:c r="D3607" s="2" t="str">
        <x:v>Quận Bình Thạnh</x:v>
      </x:c>
      <x:c r="E3607" s="2" t="str">
        <x:v>house</x:v>
      </x:c>
      <x:c r="F3607" s="2" t="str">
        <x:v>sale</x:v>
      </x:c>
      <x:c r="G3607" s="11" t="n">
        <x:v>28</x:v>
      </x:c>
      <x:c r="H3607" s="12" t="n">
        <x:v>2700000000</x:v>
      </x:c>
      <x:c r="I3607" s="12" t="n">
        <x:v>96428571.42857143</x:v>
      </x:c>
      <x:c r="J3607" s="2" t="str">
        <x:v>total</x:v>
      </x:c>
      <x:c r="K3607" s="2" t="str">
        <x:v>top_level_area</x:v>
      </x:c>
      <x:c r="L3607" s="2" t="str">
        <x:v>property_type_inferred_from_title</x:v>
      </x:c>
      <x:c r="M3607" s="10" t="n">
        <x:v>0</x:v>
      </x:c>
      <x:c r="N3607" s="10" t="n">
        <x:v>0</x:v>
      </x:c>
      <x:c r="O3607" s="2" t="str">
        <x:v>Tp Hồ Chí Minh|house</x:v>
      </x:c>
      <x:c r="P3607" s="10" t="n">
        <x:v>2</x:v>
      </x:c>
      <x:c r="Q3607" s="13" t="n">
        <x:f>IF(H3607="","",H3607/1000000000)</x:f>
        <x:v>2.7</x:v>
      </x:c>
      <x:c r="R3607" s="13" t="n">
        <x:f>IF(I3607="","",I3607/1000000)</x:f>
        <x:v>96.42857142857143</x:v>
      </x:c>
    </x:row>
    <x:row r="3608" ht="21" customHeight="1">
      <x:c r="A3608" s="10" t="n">
        <x:v>4929</x:v>
      </x:c>
      <x:c r="B3608" s="2" t="str">
        <x:v>6f0d42ff188d587fb865</x:v>
      </x:c>
      <x:c r="C3608" s="2" t="str">
        <x:v>Tp Hồ Chí Minh</x:v>
      </x:c>
      <x:c r="D3608" s="2" t="str">
        <x:v>Huyện Bình Chánh</x:v>
      </x:c>
      <x:c r="E3608" s="2" t="str">
        <x:v>house</x:v>
      </x:c>
      <x:c r="F3608" s="2" t="str">
        <x:v>sale</x:v>
      </x:c>
      <x:c r="G3608" s="11" t="n">
        <x:v>100</x:v>
      </x:c>
      <x:c r="H3608" s="12" t="n">
        <x:v>790000000</x:v>
      </x:c>
      <x:c r="I3608" s="12" t="n">
        <x:v>7900000</x:v>
      </x:c>
      <x:c r="J3608" s="2" t="str">
        <x:v>total</x:v>
      </x:c>
      <x:c r="K3608" s="2" t="str">
        <x:v>top_level_area</x:v>
      </x:c>
      <x:c r="L3608" s="2" t="str">
        <x:v>property_type_inferred_from_title</x:v>
      </x:c>
      <x:c r="M3608" s="10" t="n">
        <x:v>0</x:v>
      </x:c>
      <x:c r="N3608" s="10" t="n">
        <x:v>0</x:v>
      </x:c>
      <x:c r="O3608" s="2" t="str">
        <x:v>Tp Hồ Chí Minh|house</x:v>
      </x:c>
      <x:c r="P3608" s="10" t="n">
        <x:v>2</x:v>
      </x:c>
      <x:c r="Q3608" s="13" t="n">
        <x:f>IF(H3608="","",H3608/1000000000)</x:f>
        <x:v>0.79</x:v>
      </x:c>
      <x:c r="R3608" s="13" t="n">
        <x:f>IF(I3608="","",I3608/1000000)</x:f>
        <x:v>7.9</x:v>
      </x:c>
    </x:row>
    <x:row r="3609" ht="21" customHeight="1">
      <x:c r="A3609" s="10" t="n">
        <x:v>4930</x:v>
      </x:c>
      <x:c r="B3609" s="2" t="str">
        <x:v>6fb12e50a06ee876eb73</x:v>
      </x:c>
      <x:c r="C3609" s="2" t="str">
        <x:v>Tp Hồ Chí Minh</x:v>
      </x:c>
      <x:c r="D3609" s="2" t="str">
        <x:v>Quận Tân Bình</x:v>
      </x:c>
      <x:c r="E3609" s="2" t="str">
        <x:v>house</x:v>
      </x:c>
      <x:c r="F3609" s="2" t="str">
        <x:v>sale</x:v>
      </x:c>
      <x:c r="G3609" s="11" t="n">
        <x:v>65</x:v>
      </x:c>
      <x:c r="H3609" s="12" t="n">
        <x:v>16300000000</x:v>
      </x:c>
      <x:c r="I3609" s="12" t="n">
        <x:v>250769230.76923078</x:v>
      </x:c>
      <x:c r="J3609" s="2" t="str">
        <x:v>total</x:v>
      </x:c>
      <x:c r="K3609" s="2" t="str">
        <x:v>top_level_area</x:v>
      </x:c>
      <x:c r="L3609" s="2" t="str">
        <x:v>property_type_inferred_from_title</x:v>
      </x:c>
      <x:c r="M3609" s="10" t="n">
        <x:v>1</x:v>
      </x:c>
      <x:c r="N3609" s="10" t="n">
        <x:v>1</x:v>
      </x:c>
      <x:c r="O3609" s="2" t="str">
        <x:v>Tp Hồ Chí Minh|house</x:v>
      </x:c>
      <x:c r="P3609" s="10" t="n">
        <x:v>-1</x:v>
      </x:c>
      <x:c r="Q3609" s="13" t="n">
        <x:f>IF(H3609="","",H3609/1000000000)</x:f>
        <x:v>16.3</x:v>
      </x:c>
      <x:c r="R3609" s="13" t="n">
        <x:f>IF(I3609="","",I3609/1000000)</x:f>
        <x:v>250.76923076923077</x:v>
      </x:c>
    </x:row>
    <x:row r="3610" ht="21" customHeight="1">
      <x:c r="A3610" s="10" t="n">
        <x:v>4931</x:v>
      </x:c>
      <x:c r="B3610" s="2" t="str">
        <x:v>f8fa081670ea14aefa1b</x:v>
      </x:c>
      <x:c r="C3610" s="2" t="str">
        <x:v>Tp Hồ Chí Minh</x:v>
      </x:c>
      <x:c r="D3610" s="2" t="str">
        <x:v>Quận 9</x:v>
      </x:c>
      <x:c r="E3610" s="2" t="str">
        <x:v>land</x:v>
      </x:c>
      <x:c r="F3610" s="2" t="str">
        <x:v>sale</x:v>
      </x:c>
      <x:c r="G3610" s="11" t="n">
        <x:v>50</x:v>
      </x:c>
      <x:c r="H3610" s="12" t="n">
        <x:v>2100000000</x:v>
      </x:c>
      <x:c r="I3610" s="12" t="n">
        <x:v>42000000</x:v>
      </x:c>
      <x:c r="J3610" s="2" t="str">
        <x:v>total</x:v>
      </x:c>
      <x:c r="K3610" s="2" t="str">
        <x:v>top_level_area</x:v>
      </x:c>
      <x:c r="L3610" s="2" t="str">
        <x:v>property_type_inferred_from_title</x:v>
      </x:c>
      <x:c r="M3610" s="10" t="n">
        <x:v>0</x:v>
      </x:c>
      <x:c r="N3610" s="10" t="n">
        <x:v>0</x:v>
      </x:c>
      <x:c r="O3610" s="2" t="str">
        <x:v>Tp Hồ Chí Minh|land</x:v>
      </x:c>
      <x:c r="P3610" s="10" t="n">
        <x:v>2</x:v>
      </x:c>
      <x:c r="Q3610" s="13" t="n">
        <x:f>IF(H3610="","",H3610/1000000000)</x:f>
        <x:v>2.1</x:v>
      </x:c>
      <x:c r="R3610" s="13" t="n">
        <x:f>IF(I3610="","",I3610/1000000)</x:f>
        <x:v>42</x:v>
      </x:c>
    </x:row>
    <x:row r="3611" ht="21" customHeight="1">
      <x:c r="A3611" s="10" t="n">
        <x:v>4932</x:v>
      </x:c>
      <x:c r="B3611" s="2" t="str">
        <x:v>178e84129f0afa4dd66b</x:v>
      </x:c>
      <x:c r="C3611" s="2" t="str">
        <x:v>Bà Rịa - Vũng Tàu</x:v>
      </x:c>
      <x:c r="D3611" s="2" t="str">
        <x:v>Thành phố Bà Rịa</x:v>
      </x:c>
      <x:c r="E3611" s="2" t="str">
        <x:v>land</x:v>
      </x:c>
      <x:c r="F3611" s="2" t="str">
        <x:v>sale</x:v>
      </x:c>
      <x:c r="G3611" s="11" t="n">
        <x:v>90</x:v>
      </x:c>
      <x:c r="H3611" s="12" t="n">
        <x:v>670000000</x:v>
      </x:c>
      <x:c r="I3611" s="12" t="n">
        <x:v>7444444.444444444</x:v>
      </x:c>
      <x:c r="J3611" s="2" t="str">
        <x:v>total</x:v>
      </x:c>
      <x:c r="K3611" s="2" t="str">
        <x:v>top_level_area</x:v>
      </x:c>
      <x:c r="L3611" s="2" t="str">
        <x:v>property_type_inferred_from_title</x:v>
      </x:c>
      <x:c r="M3611" s="10" t="n">
        <x:v>0</x:v>
      </x:c>
      <x:c r="N3611" s="10" t="n">
        <x:v>0</x:v>
      </x:c>
      <x:c r="O3611" s="2" t="str">
        <x:v>Bà Rịa - Vũng Tàu|land</x:v>
      </x:c>
      <x:c r="P3611" s="10" t="n">
        <x:v>2</x:v>
      </x:c>
      <x:c r="Q3611" s="13" t="n">
        <x:f>IF(H3611="","",H3611/1000000000)</x:f>
        <x:v>0.67</x:v>
      </x:c>
      <x:c r="R3611" s="13" t="n">
        <x:f>IF(I3611="","",I3611/1000000)</x:f>
        <x:v>7.444444444444444</x:v>
      </x:c>
    </x:row>
    <x:row r="3612" ht="21" customHeight="1">
      <x:c r="A3612" s="10" t="n">
        <x:v>4933</x:v>
      </x:c>
      <x:c r="B3612" s="2" t="str">
        <x:v>d91a3c831de4cdb38547</x:v>
      </x:c>
      <x:c r="C3612" s="2" t="str">
        <x:v>Tp Hồ Chí Minh</x:v>
      </x:c>
      <x:c r="D3612" s="2" t="str">
        <x:v>Quận Gò Vấp</x:v>
      </x:c>
      <x:c r="E3612" s="2" t="str">
        <x:v>house</x:v>
      </x:c>
      <x:c r="F3612" s="2" t="str">
        <x:v>sale_assumed</x:v>
      </x:c>
      <x:c r="G3612" s="11" t="n">
        <x:v>40</x:v>
      </x:c>
      <x:c r="H3612" s="12" t="n">
        <x:v>3560000000</x:v>
      </x:c>
      <x:c r="I3612" s="12" t="n">
        <x:v>89000000</x:v>
      </x:c>
      <x:c r="J3612" s="2" t="str">
        <x:v>total</x:v>
      </x:c>
      <x:c r="K3612" s="2" t="str">
        <x:v>top_level_area</x:v>
      </x:c>
      <x:c r="L3612" s="2" t="str">
        <x:v>property_type_inferred_from_title;transaction_assumed_sale_from_dataset_context</x:v>
      </x:c>
      <x:c r="M3612" s="10" t="n">
        <x:v>0</x:v>
      </x:c>
      <x:c r="N3612" s="10" t="n">
        <x:v>0</x:v>
      </x:c>
      <x:c r="O3612" s="2" t="str">
        <x:v>Tp Hồ Chí Minh|house</x:v>
      </x:c>
      <x:c r="P3612" s="10" t="n">
        <x:v>2</x:v>
      </x:c>
      <x:c r="Q3612" s="13" t="n">
        <x:f>IF(H3612="","",H3612/1000000000)</x:f>
        <x:v>3.56</x:v>
      </x:c>
      <x:c r="R3612" s="13" t="n">
        <x:f>IF(I3612="","",I3612/1000000)</x:f>
        <x:v>89</x:v>
      </x:c>
    </x:row>
    <x:row r="3613" ht="21" customHeight="1">
      <x:c r="A3613" s="10" t="n">
        <x:v>4934</x:v>
      </x:c>
      <x:c r="B3613" s="2" t="str">
        <x:v>ca6d4759c2fece272dd1</x:v>
      </x:c>
      <x:c r="C3613" s="2" t="str">
        <x:v>Bà Rịa - Vũng Tàu</x:v>
      </x:c>
      <x:c r="D3613" s="2" t="str">
        <x:v>Thị xã Phú Mỹ</x:v>
      </x:c>
      <x:c r="E3613" s="2" t="str">
        <x:v>land</x:v>
      </x:c>
      <x:c r="F3613" s="2" t="str">
        <x:v>sale</x:v>
      </x:c>
      <x:c r="G3613" s="11" t="n">
        <x:v>130</x:v>
      </x:c>
      <x:c r="H3613" s="12" t="n">
        <x:v>650000000</x:v>
      </x:c>
      <x:c r="I3613" s="12" t="n">
        <x:v>5000000</x:v>
      </x:c>
      <x:c r="J3613" s="2" t="str">
        <x:v>total</x:v>
      </x:c>
      <x:c r="K3613" s="2" t="str">
        <x:v>top_level_area</x:v>
      </x:c>
      <x:c r="L3613" s="2" t="str">
        <x:v>property_type_inferred_from_title</x:v>
      </x:c>
      <x:c r="M3613" s="10" t="n">
        <x:v>0</x:v>
      </x:c>
      <x:c r="N3613" s="10" t="n">
        <x:v>0</x:v>
      </x:c>
      <x:c r="O3613" s="2" t="str">
        <x:v>Bà Rịa - Vũng Tàu|land</x:v>
      </x:c>
      <x:c r="P3613" s="10" t="n">
        <x:v>2</x:v>
      </x:c>
      <x:c r="Q3613" s="13" t="n">
        <x:f>IF(H3613="","",H3613/1000000000)</x:f>
        <x:v>0.65</x:v>
      </x:c>
      <x:c r="R3613" s="13" t="n">
        <x:f>IF(I3613="","",I3613/1000000)</x:f>
        <x:v>5</x:v>
      </x:c>
    </x:row>
    <x:row r="3614" ht="21" customHeight="1">
      <x:c r="A3614" s="10" t="n">
        <x:v>4935</x:v>
      </x:c>
      <x:c r="B3614" s="2" t="str">
        <x:v>4c5ee453d8888d3569a6</x:v>
      </x:c>
      <x:c r="C3614" s="2" t="str">
        <x:v>Hà Nội</x:v>
      </x:c>
      <x:c r="D3614" s="2" t="str">
        <x:v>Quận Hoàng Mai</x:v>
      </x:c>
      <x:c r="E3614" s="2" t="str">
        <x:v>house</x:v>
      </x:c>
      <x:c r="F3614" s="2" t="str">
        <x:v>sale_assumed</x:v>
      </x:c>
      <x:c r="G3614" s="11" t="n">
        <x:v>44</x:v>
      </x:c>
      <x:c r="H3614" s="12" t="n">
        <x:v>3600000000</x:v>
      </x:c>
      <x:c r="I3614" s="12" t="n">
        <x:v>81818181.81818181</x:v>
      </x:c>
      <x:c r="J3614" s="2" t="str">
        <x:v>total</x:v>
      </x:c>
      <x:c r="K3614" s="2" t="str">
        <x:v>top_level_area</x:v>
      </x:c>
      <x:c r="L3614" s="2" t="str">
        <x:v>property_type_inferred_from_title;transaction_assumed_sale_from_dataset_context</x:v>
      </x:c>
      <x:c r="M3614" s="10" t="n">
        <x:v>0</x:v>
      </x:c>
      <x:c r="N3614" s="10" t="n">
        <x:v>0</x:v>
      </x:c>
      <x:c r="O3614" s="2" t="str">
        <x:v>Hà Nội|house</x:v>
      </x:c>
      <x:c r="P3614" s="10" t="n">
        <x:v>2</x:v>
      </x:c>
      <x:c r="Q3614" s="13" t="n">
        <x:f>IF(H3614="","",H3614/1000000000)</x:f>
        <x:v>3.6</x:v>
      </x:c>
      <x:c r="R3614" s="13" t="n">
        <x:f>IF(I3614="","",I3614/1000000)</x:f>
        <x:v>81.81818181818181</x:v>
      </x:c>
    </x:row>
    <x:row r="3615" ht="21" customHeight="1">
      <x:c r="A3615" s="10" t="n">
        <x:v>4936</x:v>
      </x:c>
      <x:c r="B3615" s="2" t="str">
        <x:v>d6eaaf988feedf5f9468</x:v>
      </x:c>
      <x:c r="C3615" s="2" t="str">
        <x:v>Đà Nẵng</x:v>
      </x:c>
      <x:c r="D3615" s="2" t="str">
        <x:v>Quận Ngũ Hành Sơn</x:v>
      </x:c>
      <x:c r="E3615" s="2" t="str">
        <x:v>house</x:v>
      </x:c>
      <x:c r="F3615" s="2" t="str">
        <x:v>sale_assumed</x:v>
      </x:c>
      <x:c r="G3615" s="11" t="n">
        <x:v>95</x:v>
      </x:c>
      <x:c r="H3615" s="12" t="n">
        <x:v>4200000000</x:v>
      </x:c>
      <x:c r="I3615" s="12" t="n">
        <x:v>44210526.315789476</x:v>
      </x:c>
      <x:c r="J3615" s="2" t="str">
        <x:v>total</x:v>
      </x:c>
      <x:c r="K3615" s="2" t="str">
        <x:v>top_level_area</x:v>
      </x:c>
      <x:c r="L3615" s="2" t="str">
        <x:v>property_type_inferred_from_title;transaction_assumed_sale_from_dataset_context</x:v>
      </x:c>
      <x:c r="M3615" s="10" t="n">
        <x:v>0</x:v>
      </x:c>
      <x:c r="N3615" s="10" t="n">
        <x:v>0</x:v>
      </x:c>
      <x:c r="O3615" s="2" t="str">
        <x:v>Đà Nẵng|house</x:v>
      </x:c>
      <x:c r="P3615" s="10" t="n">
        <x:v>2</x:v>
      </x:c>
      <x:c r="Q3615" s="13" t="n">
        <x:f>IF(H3615="","",H3615/1000000000)</x:f>
        <x:v>4.2</x:v>
      </x:c>
      <x:c r="R3615" s="13" t="n">
        <x:f>IF(I3615="","",I3615/1000000)</x:f>
        <x:v>44.21052631578947</x:v>
      </x:c>
    </x:row>
    <x:row r="3616" ht="21" customHeight="1">
      <x:c r="A3616" s="10" t="n">
        <x:v>4937</x:v>
      </x:c>
      <x:c r="B3616" s="2" t="str">
        <x:v>06b511f6af241ab97caf</x:v>
      </x:c>
      <x:c r="C3616" s="2" t="str">
        <x:v>Cần Thơ</x:v>
      </x:c>
      <x:c r="D3616" s="2" t="str">
        <x:v>Quận Ninh Kiều</x:v>
      </x:c>
      <x:c r="E3616" s="2" t="str">
        <x:v>land</x:v>
      </x:c>
      <x:c r="F3616" s="2" t="str">
        <x:v>sale_assumed</x:v>
      </x:c>
      <x:c r="G3616" s="11" t="n">
        <x:v>83</x:v>
      </x:c>
      <x:c r="H3616" s="12" t="n">
        <x:v>1000000000</x:v>
      </x:c>
      <x:c r="I3616" s="12" t="n">
        <x:v>12048192.771084337</x:v>
      </x:c>
      <x:c r="J3616" s="2" t="str">
        <x:v>total</x:v>
      </x:c>
      <x:c r="K3616" s="2" t="str">
        <x:v>top_level_area</x:v>
      </x:c>
      <x:c r="L3616" s="2" t="str">
        <x:v>property_type_inferred_from_title;transaction_assumed_sale_from_dataset_context</x:v>
      </x:c>
      <x:c r="M3616" s="10" t="n">
        <x:v>0</x:v>
      </x:c>
      <x:c r="N3616" s="10" t="n">
        <x:v>0</x:v>
      </x:c>
      <x:c r="O3616" s="2" t="str">
        <x:v>Cần Thơ|land</x:v>
      </x:c>
      <x:c r="P3616" s="10" t="n">
        <x:v>2</x:v>
      </x:c>
      <x:c r="Q3616" s="13" t="n">
        <x:f>IF(H3616="","",H3616/1000000000)</x:f>
        <x:v>1</x:v>
      </x:c>
      <x:c r="R3616" s="13" t="n">
        <x:f>IF(I3616="","",I3616/1000000)</x:f>
        <x:v>12.048192771084336</x:v>
      </x:c>
    </x:row>
    <x:row r="3617" ht="21" customHeight="1">
      <x:c r="A3617" s="10" t="n">
        <x:v>4938</x:v>
      </x:c>
      <x:c r="B3617" s="2" t="str">
        <x:v>8d7f256eb71a367d741d</x:v>
      </x:c>
      <x:c r="C3617" s="2" t="str">
        <x:v>Tp Hồ Chí Minh</x:v>
      </x:c>
      <x:c r="D3617" s="2" t="str">
        <x:v>Quận 9</x:v>
      </x:c>
      <x:c r="E3617" s="2" t="str">
        <x:v>apartment</x:v>
      </x:c>
      <x:c r="F3617" s="2" t="str">
        <x:v>sale_assumed</x:v>
      </x:c>
      <x:c r="G3617" s="11" t="n">
        <x:v>58</x:v>
      </x:c>
      <x:c r="H3617" s="12" t="n">
        <x:v>1600000000</x:v>
      </x:c>
      <x:c r="I3617" s="12" t="n">
        <x:v>27586206.896551725</x:v>
      </x:c>
      <x:c r="J3617" s="2" t="str">
        <x:v>total</x:v>
      </x:c>
      <x:c r="K3617" s="2" t="str">
        <x:v>top_level_area</x:v>
      </x:c>
      <x:c r="L3617" s="2" t="str">
        <x:v>property_type_inferred_from_title;transaction_assumed_sale_from_dataset_context</x:v>
      </x:c>
      <x:c r="M3617" s="10" t="n">
        <x:v>0</x:v>
      </x:c>
      <x:c r="N3617" s="10" t="n">
        <x:v>0</x:v>
      </x:c>
      <x:c r="O3617" s="2" t="str">
        <x:v>Tp Hồ Chí Minh|apartment</x:v>
      </x:c>
      <x:c r="P3617" s="10" t="n">
        <x:v>2</x:v>
      </x:c>
      <x:c r="Q3617" s="13" t="n">
        <x:f>IF(H3617="","",H3617/1000000000)</x:f>
        <x:v>1.6</x:v>
      </x:c>
      <x:c r="R3617" s="13" t="n">
        <x:f>IF(I3617="","",I3617/1000000)</x:f>
        <x:v>27.586206896551726</x:v>
      </x:c>
    </x:row>
    <x:row r="3618" ht="21" customHeight="1">
      <x:c r="A3618" s="10" t="n">
        <x:v>4939</x:v>
      </x:c>
      <x:c r="B3618" s="2" t="str">
        <x:v>454408b0ef226f01382f</x:v>
      </x:c>
      <x:c r="C3618" s="2" t="str">
        <x:v>Tp Hồ Chí Minh</x:v>
      </x:c>
      <x:c r="D3618" s="2" t="str">
        <x:v>Quận Gò Vấp</x:v>
      </x:c>
      <x:c r="E3618" s="2" t="str">
        <x:v>house</x:v>
      </x:c>
      <x:c r="F3618" s="2" t="str">
        <x:v>sale</x:v>
      </x:c>
      <x:c r="G3618" s="11" t="n">
        <x:v>72</x:v>
      </x:c>
      <x:c r="H3618" s="12" t="n">
        <x:v>4780000000</x:v>
      </x:c>
      <x:c r="I3618" s="12" t="n">
        <x:v>66388888.88888889</x:v>
      </x:c>
      <x:c r="J3618" s="2" t="str">
        <x:v>total</x:v>
      </x:c>
      <x:c r="K3618" s="2" t="str">
        <x:v>top_level_area</x:v>
      </x:c>
      <x:c r="L3618" s="2" t="str">
        <x:v>property_type_inferred_from_title</x:v>
      </x:c>
      <x:c r="M3618" s="10" t="n">
        <x:v>0</x:v>
      </x:c>
      <x:c r="N3618" s="10" t="n">
        <x:v>0</x:v>
      </x:c>
      <x:c r="O3618" s="2" t="str">
        <x:v>Tp Hồ Chí Minh|house</x:v>
      </x:c>
      <x:c r="P3618" s="10" t="n">
        <x:v>2</x:v>
      </x:c>
      <x:c r="Q3618" s="13" t="n">
        <x:f>IF(H3618="","",H3618/1000000000)</x:f>
        <x:v>4.78</x:v>
      </x:c>
      <x:c r="R3618" s="13" t="n">
        <x:f>IF(I3618="","",I3618/1000000)</x:f>
        <x:v>66.38888888888889</x:v>
      </x:c>
    </x:row>
    <x:row r="3619" ht="21" customHeight="1">
      <x:c r="A3619" s="10" t="n">
        <x:v>4942</x:v>
      </x:c>
      <x:c r="B3619" s="2" t="str">
        <x:v>7fd1adb709bbd2d59f7a</x:v>
      </x:c>
      <x:c r="C3619" s="2" t="str">
        <x:v>Tp Hồ Chí Minh</x:v>
      </x:c>
      <x:c r="D3619" s="2" t="str">
        <x:v>Quận Tân Phú</x:v>
      </x:c>
      <x:c r="E3619" s="2" t="str">
        <x:v>house</x:v>
      </x:c>
      <x:c r="F3619" s="2" t="str">
        <x:v>sale_assumed</x:v>
      </x:c>
      <x:c r="G3619" s="11" t="n">
        <x:v>53</x:v>
      </x:c>
      <x:c r="H3619" s="12" t="n">
        <x:v>6200000000</x:v>
      </x:c>
      <x:c r="I3619" s="12" t="n">
        <x:v>116981132.0754717</x:v>
      </x:c>
      <x:c r="J3619" s="2" t="str">
        <x:v>total</x:v>
      </x:c>
      <x:c r="K3619" s="2" t="str">
        <x:v>top_level_area</x:v>
      </x:c>
      <x:c r="L3619" s="2" t="str">
        <x:v>property_type_inferred_from_title;transaction_assumed_sale_from_dataset_context</x:v>
      </x:c>
      <x:c r="M3619" s="10" t="n">
        <x:v>0</x:v>
      </x:c>
      <x:c r="N3619" s="10" t="n">
        <x:v>0</x:v>
      </x:c>
      <x:c r="O3619" s="2" t="str">
        <x:v>Tp Hồ Chí Minh|house</x:v>
      </x:c>
      <x:c r="P3619" s="10" t="n">
        <x:v>2</x:v>
      </x:c>
      <x:c r="Q3619" s="13" t="n">
        <x:f>IF(H3619="","",H3619/1000000000)</x:f>
        <x:v>6.2</x:v>
      </x:c>
      <x:c r="R3619" s="13" t="n">
        <x:f>IF(I3619="","",I3619/1000000)</x:f>
        <x:v>116.9811320754717</x:v>
      </x:c>
    </x:row>
    <x:row r="3620" ht="21" customHeight="1">
      <x:c r="A3620" s="10" t="n">
        <x:v>4944</x:v>
      </x:c>
      <x:c r="B3620" s="2" t="str">
        <x:v>0c0e26d6754c26f5f4a3</x:v>
      </x:c>
      <x:c r="C3620" s="2" t="str">
        <x:v>Hà Nội</x:v>
      </x:c>
      <x:c r="D3620" s="2" t="str">
        <x:v>Quận Long Biên</x:v>
      </x:c>
      <x:c r="E3620" s="2" t="str">
        <x:v>other_unknown</x:v>
      </x:c>
      <x:c r="F3620" s="2" t="str">
        <x:v>sale_assumed</x:v>
      </x:c>
      <x:c r="G3620" s="11" t="n">
        <x:v>40</x:v>
      </x:c>
      <x:c r="H3620" s="12" t="n">
        <x:v>2350000000</x:v>
      </x:c>
      <x:c r="I3620" s="12" t="n">
        <x:v>58750000</x:v>
      </x:c>
      <x:c r="J3620" s="2" t="str">
        <x:v>total</x:v>
      </x:c>
      <x:c r="K3620" s="2" t="str">
        <x:v>top_level_area</x:v>
      </x:c>
      <x:c r="L3620" s="2" t="str">
        <x:v>property_type_inferred_from_title;transaction_assumed_sale_from_dataset_context;unknown_property_type</x:v>
      </x:c>
      <x:c r="M3620" s="10" t="n">
        <x:v>0</x:v>
      </x:c>
      <x:c r="N3620" s="10" t="n">
        <x:v>0</x:v>
      </x:c>
      <x:c r="O3620" s="2" t="str">
        <x:v>Hà Nội|other_unknown</x:v>
      </x:c>
      <x:c r="P3620" s="10" t="n">
        <x:v>2</x:v>
      </x:c>
      <x:c r="Q3620" s="13" t="n">
        <x:f>IF(H3620="","",H3620/1000000000)</x:f>
        <x:v>2.35</x:v>
      </x:c>
      <x:c r="R3620" s="13" t="n">
        <x:f>IF(I3620="","",I3620/1000000)</x:f>
        <x:v>58.75</x:v>
      </x:c>
    </x:row>
    <x:row r="3621" ht="21" customHeight="1">
      <x:c r="A3621" s="10" t="n">
        <x:v>4945</x:v>
      </x:c>
      <x:c r="B3621" s="2" t="str">
        <x:v>f3f7886a016099d1a011</x:v>
      </x:c>
      <x:c r="C3621" s="2" t="str">
        <x:v>Sóc Trăng</x:v>
      </x:c>
      <x:c r="D3621" s="2" t="str">
        <x:v>Thành phố Sóc Trăng</x:v>
      </x:c>
      <x:c r="E3621" s="2" t="str">
        <x:v>land</x:v>
      </x:c>
      <x:c r="F3621" s="2" t="str">
        <x:v>sale</x:v>
      </x:c>
      <x:c r="G3621" s="11" t="n">
        <x:v>1265</x:v>
      </x:c>
      <x:c r="H3621" s="12" t="n">
        <x:v>350000000</x:v>
      </x:c>
      <x:c r="I3621" s="12" t="n">
        <x:v>276679.8418972332</x:v>
      </x:c>
      <x:c r="J3621" s="2" t="str">
        <x:v>total</x:v>
      </x:c>
      <x:c r="K3621" s="2" t="str">
        <x:v>top_level_area</x:v>
      </x:c>
      <x:c r="L3621" s="2" t="str">
        <x:v>dot_thousands_convention;property_type_inferred_from_title</x:v>
      </x:c>
      <x:c r="M3621" s="10" t="n">
        <x:v>0</x:v>
      </x:c>
      <x:c r="N3621" s="10" t="n">
        <x:v>0</x:v>
      </x:c>
      <x:c r="O3621" s="2" t="str">
        <x:v>land</x:v>
      </x:c>
      <x:c r="P3621" s="10" t="n">
        <x:v>1</x:v>
      </x:c>
      <x:c r="Q3621" s="13" t="n">
        <x:f>IF(H3621="","",H3621/1000000000)</x:f>
        <x:v>0.35</x:v>
      </x:c>
      <x:c r="R3621" s="13" t="n">
        <x:f>IF(I3621="","",I3621/1000000)</x:f>
        <x:v>0.2766798418972332</x:v>
      </x:c>
    </x:row>
    <x:row r="3622" ht="21" customHeight="1">
      <x:c r="A3622" s="10" t="n">
        <x:v>4947</x:v>
      </x:c>
      <x:c r="B3622" s="2" t="str">
        <x:v>5abc5d3cc357d400f8cd</x:v>
      </x:c>
      <x:c r="C3622" s="2" t="str">
        <x:v>Long An</x:v>
      </x:c>
      <x:c r="D3622" s="2" t="str">
        <x:v>Huyện Thủ Thừa</x:v>
      </x:c>
      <x:c r="E3622" s="2" t="str">
        <x:v>other_unknown</x:v>
      </x:c>
      <x:c r="F3622" s="2" t="str">
        <x:v>sale</x:v>
      </x:c>
      <x:c r="G3622" s="11" t="n">
        <x:v>190</x:v>
      </x:c>
      <x:c r="H3622" s="12" t="n">
        <x:v>1500000000</x:v>
      </x:c>
      <x:c r="I3622" s="12" t="n">
        <x:v>7894736.842105263</x:v>
      </x:c>
      <x:c r="J3622" s="2" t="str">
        <x:v>total</x:v>
      </x:c>
      <x:c r="K3622" s="2" t="str">
        <x:v>top_level_area</x:v>
      </x:c>
      <x:c r="L3622" s="2" t="str">
        <x:v>property_type_inferred_from_title;unknown_property_type</x:v>
      </x:c>
      <x:c r="M3622" s="10" t="n">
        <x:v>0</x:v>
      </x:c>
      <x:c r="N3622" s="10" t="n">
        <x:v>0</x:v>
      </x:c>
      <x:c r="O3622" s="2" t="str">
        <x:v>Long An|other_unknown</x:v>
      </x:c>
      <x:c r="P3622" s="10" t="n">
        <x:v>2</x:v>
      </x:c>
      <x:c r="Q3622" s="13" t="n">
        <x:f>IF(H3622="","",H3622/1000000000)</x:f>
        <x:v>1.5</x:v>
      </x:c>
      <x:c r="R3622" s="13" t="n">
        <x:f>IF(I3622="","",I3622/1000000)</x:f>
        <x:v>7.894736842105263</x:v>
      </x:c>
    </x:row>
    <x:row r="3623" ht="21" customHeight="1">
      <x:c r="A3623" s="10" t="n">
        <x:v>4948</x:v>
      </x:c>
      <x:c r="B3623" s="2" t="str">
        <x:v>a872bdc9804638200e50</x:v>
      </x:c>
      <x:c r="C3623" s="2" t="str">
        <x:v>Hải Phòng</x:v>
      </x:c>
      <x:c r="D3623" s="2" t="str">
        <x:v>Quận Hải An</x:v>
      </x:c>
      <x:c r="E3623" s="2" t="str">
        <x:v>land</x:v>
      </x:c>
      <x:c r="F3623" s="2" t="str">
        <x:v>sale</x:v>
      </x:c>
      <x:c r="G3623" s="11" t="n">
        <x:v>67</x:v>
      </x:c>
      <x:c r="H3623" s="12" t="n">
        <x:v>1900000000</x:v>
      </x:c>
      <x:c r="I3623" s="12" t="n">
        <x:v>28358208.95522388</x:v>
      </x:c>
      <x:c r="J3623" s="2" t="str">
        <x:v>total</x:v>
      </x:c>
      <x:c r="K3623" s="2" t="str">
        <x:v>top_level_area</x:v>
      </x:c>
      <x:c r="L3623" s="2" t="str">
        <x:v>property_type_inferred_from_title</x:v>
      </x:c>
      <x:c r="M3623" s="10" t="n">
        <x:v>0</x:v>
      </x:c>
      <x:c r="N3623" s="10" t="n">
        <x:v>0</x:v>
      </x:c>
      <x:c r="O3623" s="2" t="str">
        <x:v>land</x:v>
      </x:c>
      <x:c r="P3623" s="10" t="n">
        <x:v>2</x:v>
      </x:c>
      <x:c r="Q3623" s="13" t="n">
        <x:f>IF(H3623="","",H3623/1000000000)</x:f>
        <x:v>1.9</x:v>
      </x:c>
      <x:c r="R3623" s="13" t="n">
        <x:f>IF(I3623="","",I3623/1000000)</x:f>
        <x:v>28.35820895522388</x:v>
      </x:c>
    </x:row>
    <x:row r="3624" ht="21" customHeight="1">
      <x:c r="A3624" s="10" t="n">
        <x:v>4949</x:v>
      </x:c>
      <x:c r="B3624" s="2" t="str">
        <x:v>c8e2ce86d425fdbb498b</x:v>
      </x:c>
      <x:c r="C3624" s="2" t="str">
        <x:v>Cần Thơ</x:v>
      </x:c>
      <x:c r="D3624" s="2" t="str">
        <x:v>Quận Ninh Kiều</x:v>
      </x:c>
      <x:c r="E3624" s="2" t="str">
        <x:v>house</x:v>
      </x:c>
      <x:c r="F3624" s="2" t="str">
        <x:v>sale</x:v>
      </x:c>
      <x:c r="G3624" s="11" t="n">
        <x:v>360</x:v>
      </x:c>
      <x:c r="H3624" s="12" t="n">
        <x:v>16000000000</x:v>
      </x:c>
      <x:c r="I3624" s="12" t="n">
        <x:v>44444444.44444445</x:v>
      </x:c>
      <x:c r="J3624" s="2" t="str">
        <x:v>total</x:v>
      </x:c>
      <x:c r="K3624" s="2" t="str">
        <x:v>top_level_area</x:v>
      </x:c>
      <x:c r="L3624" s="2" t="str">
        <x:v>property_type_inferred_from_title</x:v>
      </x:c>
      <x:c r="M3624" s="10" t="n">
        <x:v>0</x:v>
      </x:c>
      <x:c r="N3624" s="10" t="n">
        <x:v>0</x:v>
      </x:c>
      <x:c r="O3624" s="2" t="str">
        <x:v>Cần Thơ|house</x:v>
      </x:c>
      <x:c r="P3624" s="10" t="n">
        <x:v>2</x:v>
      </x:c>
      <x:c r="Q3624" s="13" t="n">
        <x:f>IF(H3624="","",H3624/1000000000)</x:f>
        <x:v>16</x:v>
      </x:c>
      <x:c r="R3624" s="13" t="n">
        <x:f>IF(I3624="","",I3624/1000000)</x:f>
        <x:v>44.44444444444445</x:v>
      </x:c>
    </x:row>
    <x:row r="3625" ht="21" customHeight="1">
      <x:c r="A3625" s="10" t="n">
        <x:v>4950</x:v>
      </x:c>
      <x:c r="B3625" s="2" t="str">
        <x:v>0e76e73da3b91837b7d6</x:v>
      </x:c>
      <x:c r="C3625" s="2" t="str">
        <x:v>Bình Dương</x:v>
      </x:c>
      <x:c r="D3625" s="2" t="str">
        <x:v>Thị xã Thuận An</x:v>
      </x:c>
      <x:c r="E3625" s="2" t="str">
        <x:v>house</x:v>
      </x:c>
      <x:c r="F3625" s="2" t="str">
        <x:v>sale_assumed</x:v>
      </x:c>
      <x:c r="G3625" s="11" t="n">
        <x:v>95</x:v>
      </x:c>
      <x:c r="H3625" s="12" t="n">
        <x:v>3150000000</x:v>
      </x:c>
      <x:c r="I3625" s="12" t="n">
        <x:v>33157894.736842107</x:v>
      </x:c>
      <x:c r="J3625" s="2" t="str">
        <x:v>total</x:v>
      </x:c>
      <x:c r="K3625" s="2" t="str">
        <x:v>top_level_area</x:v>
      </x:c>
      <x:c r="L3625" s="2" t="str">
        <x:v>property_type_inferred_from_title;transaction_assumed_sale_from_dataset_context</x:v>
      </x:c>
      <x:c r="M3625" s="10" t="n">
        <x:v>0</x:v>
      </x:c>
      <x:c r="N3625" s="10" t="n">
        <x:v>0</x:v>
      </x:c>
      <x:c r="O3625" s="2" t="str">
        <x:v>Bình Dương|house</x:v>
      </x:c>
      <x:c r="P3625" s="10" t="n">
        <x:v>2</x:v>
      </x:c>
      <x:c r="Q3625" s="13" t="n">
        <x:f>IF(H3625="","",H3625/1000000000)</x:f>
        <x:v>3.15</x:v>
      </x:c>
      <x:c r="R3625" s="13" t="n">
        <x:f>IF(I3625="","",I3625/1000000)</x:f>
        <x:v>33.15789473684211</x:v>
      </x:c>
    </x:row>
    <x:row r="3626" ht="21" customHeight="1">
      <x:c r="A3626" s="10" t="n">
        <x:v>4951</x:v>
      </x:c>
      <x:c r="B3626" s="2" t="str">
        <x:v>1e101b1ddc08c0577484</x:v>
      </x:c>
      <x:c r="C3626" s="2" t="str">
        <x:v>Tp Hồ Chí Minh</x:v>
      </x:c>
      <x:c r="D3626" s="2" t="str">
        <x:v>Huyện Bình Chánh</x:v>
      </x:c>
      <x:c r="E3626" s="2" t="str">
        <x:v>house</x:v>
      </x:c>
      <x:c r="F3626" s="2" t="str">
        <x:v>sale_assumed</x:v>
      </x:c>
      <x:c r="G3626" s="11" t="n">
        <x:v>90</x:v>
      </x:c>
      <x:c r="H3626" s="12" t="n">
        <x:v>850000000</x:v>
      </x:c>
      <x:c r="I3626" s="12" t="n">
        <x:v>9444444.444444444</x:v>
      </x:c>
      <x:c r="J3626" s="2" t="str">
        <x:v>total</x:v>
      </x:c>
      <x:c r="K3626" s="2" t="str">
        <x:v>top_level_area</x:v>
      </x:c>
      <x:c r="L3626" s="2" t="str">
        <x:v>property_type_inferred_from_title;transaction_assumed_sale_from_dataset_context</x:v>
      </x:c>
      <x:c r="M3626" s="10" t="n">
        <x:v>0</x:v>
      </x:c>
      <x:c r="N3626" s="10" t="n">
        <x:v>0</x:v>
      </x:c>
      <x:c r="O3626" s="2" t="str">
        <x:v>Tp Hồ Chí Minh|house</x:v>
      </x:c>
      <x:c r="P3626" s="10" t="n">
        <x:v>2</x:v>
      </x:c>
      <x:c r="Q3626" s="13" t="n">
        <x:f>IF(H3626="","",H3626/1000000000)</x:f>
        <x:v>0.85</x:v>
      </x:c>
      <x:c r="R3626" s="13" t="n">
        <x:f>IF(I3626="","",I3626/1000000)</x:f>
        <x:v>9.444444444444445</x:v>
      </x:c>
    </x:row>
    <x:row r="3627" ht="21" customHeight="1">
      <x:c r="A3627" s="10" t="n">
        <x:v>4952</x:v>
      </x:c>
      <x:c r="B3627" s="2" t="str">
        <x:v>63c6d19cc66b182fa0b9</x:v>
      </x:c>
      <x:c r="C3627" s="2" t="str">
        <x:v>Hà Nội</x:v>
      </x:c>
      <x:c r="D3627" s="2" t="str">
        <x:v>Quận Hà Đông</x:v>
      </x:c>
      <x:c r="E3627" s="2" t="str">
        <x:v>house</x:v>
      </x:c>
      <x:c r="F3627" s="2" t="str">
        <x:v>sale_assumed</x:v>
      </x:c>
      <x:c r="G3627" s="11" t="n">
        <x:v>30</x:v>
      </x:c>
      <x:c r="H3627" s="12" t="n">
        <x:v>1400000000</x:v>
      </x:c>
      <x:c r="I3627" s="12" t="n">
        <x:v>46666666.666666664</x:v>
      </x:c>
      <x:c r="J3627" s="2" t="str">
        <x:v>total</x:v>
      </x:c>
      <x:c r="K3627" s="2" t="str">
        <x:v>top_level_area</x:v>
      </x:c>
      <x:c r="L3627" s="2" t="str">
        <x:v>property_type_inferred_from_title;transaction_assumed_sale_from_dataset_context</x:v>
      </x:c>
      <x:c r="M3627" s="10" t="n">
        <x:v>0</x:v>
      </x:c>
      <x:c r="N3627" s="10" t="n">
        <x:v>0</x:v>
      </x:c>
      <x:c r="O3627" s="2" t="str">
        <x:v>Hà Nội|house</x:v>
      </x:c>
      <x:c r="P3627" s="10" t="n">
        <x:v>2</x:v>
      </x:c>
      <x:c r="Q3627" s="13" t="n">
        <x:f>IF(H3627="","",H3627/1000000000)</x:f>
        <x:v>1.4</x:v>
      </x:c>
      <x:c r="R3627" s="13" t="n">
        <x:f>IF(I3627="","",I3627/1000000)</x:f>
        <x:v>46.666666666666664</x:v>
      </x:c>
    </x:row>
    <x:row r="3628" ht="21" customHeight="1">
      <x:c r="A3628" s="10" t="n">
        <x:v>4953</x:v>
      </x:c>
      <x:c r="B3628" s="2" t="str">
        <x:v>7aeacf658717043e740f</x:v>
      </x:c>
      <x:c r="C3628" s="2" t="str">
        <x:v>Hà Nội</x:v>
      </x:c>
      <x:c r="D3628" s="2" t="str">
        <x:v>Quận Hai Bà Trưng</x:v>
      </x:c>
      <x:c r="E3628" s="2" t="str">
        <x:v>house</x:v>
      </x:c>
      <x:c r="F3628" s="2" t="str">
        <x:v>sale_assumed</x:v>
      </x:c>
      <x:c r="G3628" s="11" t="n">
        <x:v>54</x:v>
      </x:c>
      <x:c r="H3628" s="12" t="n">
        <x:v>4800000000</x:v>
      </x:c>
      <x:c r="I3628" s="12" t="n">
        <x:v>88888888.8888889</x:v>
      </x:c>
      <x:c r="J3628" s="2" t="str">
        <x:v>total</x:v>
      </x:c>
      <x:c r="K3628" s="2" t="str">
        <x:v>top_level_area</x:v>
      </x:c>
      <x:c r="L3628" s="2" t="str">
        <x:v>property_type_inferred_from_title;transaction_assumed_sale_from_dataset_context</x:v>
      </x:c>
      <x:c r="M3628" s="10" t="n">
        <x:v>0</x:v>
      </x:c>
      <x:c r="N3628" s="10" t="n">
        <x:v>0</x:v>
      </x:c>
      <x:c r="O3628" s="2" t="str">
        <x:v>Hà Nội|house</x:v>
      </x:c>
      <x:c r="P3628" s="10" t="n">
        <x:v>2</x:v>
      </x:c>
      <x:c r="Q3628" s="13" t="n">
        <x:f>IF(H3628="","",H3628/1000000000)</x:f>
        <x:v>4.8</x:v>
      </x:c>
      <x:c r="R3628" s="13" t="n">
        <x:f>IF(I3628="","",I3628/1000000)</x:f>
        <x:v>88.8888888888889</x:v>
      </x:c>
    </x:row>
    <x:row r="3629" ht="21" customHeight="1">
      <x:c r="A3629" s="10" t="n">
        <x:v>4954</x:v>
      </x:c>
      <x:c r="B3629" s="2" t="str">
        <x:v>6b41947f73d8a72d33fe</x:v>
      </x:c>
      <x:c r="C3629" s="2" t="str">
        <x:v>Đà Nẵng</x:v>
      </x:c>
      <x:c r="D3629" s="2" t="str">
        <x:v>Quận Liên Chiểu</x:v>
      </x:c>
      <x:c r="E3629" s="2" t="str">
        <x:v>other_unknown</x:v>
      </x:c>
      <x:c r="F3629" s="2" t="str">
        <x:v>sale_assumed</x:v>
      </x:c>
      <x:c r="G3629" s="11" t="n">
        <x:v>100</x:v>
      </x:c>
      <x:c r="H3629" s="12" t="n">
        <x:v>4700010000</x:v>
      </x:c>
      <x:c r="I3629" s="12" t="n">
        <x:v>47000100</x:v>
      </x:c>
      <x:c r="J3629" s="2" t="str">
        <x:v>total</x:v>
      </x:c>
      <x:c r="K3629" s="2" t="str">
        <x:v>top_level_area</x:v>
      </x:c>
      <x:c r="L3629" s="2" t="str">
        <x:v>property_type_inferred_from_title;transaction_assumed_sale_from_dataset_context;unknown_property_type</x:v>
      </x:c>
      <x:c r="M3629" s="10" t="n">
        <x:v>0</x:v>
      </x:c>
      <x:c r="N3629" s="10" t="n">
        <x:v>0</x:v>
      </x:c>
      <x:c r="O3629" s="2" t="str">
        <x:v>Đà Nẵng|other_unknown</x:v>
      </x:c>
      <x:c r="P3629" s="10" t="n">
        <x:v>2</x:v>
      </x:c>
      <x:c r="Q3629" s="13" t="n">
        <x:f>IF(H3629="","",H3629/1000000000)</x:f>
        <x:v>4.70001</x:v>
      </x:c>
      <x:c r="R3629" s="13" t="n">
        <x:f>IF(I3629="","",I3629/1000000)</x:f>
        <x:v>47.0001</x:v>
      </x:c>
    </x:row>
    <x:row r="3630" ht="21" customHeight="1">
      <x:c r="A3630" s="10" t="n">
        <x:v>4955</x:v>
      </x:c>
      <x:c r="B3630" s="2" t="str">
        <x:v>0424b528e494119f569b</x:v>
      </x:c>
      <x:c r="C3630" s="2" t="str">
        <x:v>Tp Hồ Chí Minh</x:v>
      </x:c>
      <x:c r="D3630" s="2" t="str">
        <x:v>Quận 10</x:v>
      </x:c>
      <x:c r="E3630" s="2" t="str">
        <x:v>house</x:v>
      </x:c>
      <x:c r="F3630" s="2" t="str">
        <x:v>sale</x:v>
      </x:c>
      <x:c r="G3630" s="11" t="n">
        <x:v>50</x:v>
      </x:c>
      <x:c r="H3630" s="12" t="n">
        <x:v>12000000000</x:v>
      </x:c>
      <x:c r="I3630" s="12" t="n">
        <x:v>240000000</x:v>
      </x:c>
      <x:c r="J3630" s="2" t="str">
        <x:v>total</x:v>
      </x:c>
      <x:c r="K3630" s="2" t="str">
        <x:v>top_level_area</x:v>
      </x:c>
      <x:c r="L3630" s="2" t="str">
        <x:v>property_type_inferred_from_title</x:v>
      </x:c>
      <x:c r="M3630" s="10" t="n">
        <x:v>1</x:v>
      </x:c>
      <x:c r="N3630" s="10" t="n">
        <x:v>1</x:v>
      </x:c>
      <x:c r="O3630" s="2" t="str">
        <x:v>Tp Hồ Chí Minh|house</x:v>
      </x:c>
      <x:c r="P3630" s="10" t="n">
        <x:v>-1</x:v>
      </x:c>
      <x:c r="Q3630" s="13" t="n">
        <x:f>IF(H3630="","",H3630/1000000000)</x:f>
        <x:v>12</x:v>
      </x:c>
      <x:c r="R3630" s="13" t="n">
        <x:f>IF(I3630="","",I3630/1000000)</x:f>
        <x:v>240</x:v>
      </x:c>
    </x:row>
    <x:row r="3631" ht="21" customHeight="1">
      <x:c r="A3631" s="10" t="n">
        <x:v>4956</x:v>
      </x:c>
      <x:c r="B3631" s="2" t="str">
        <x:v>6f30c7129a23a4d740c3</x:v>
      </x:c>
      <x:c r="C3631" s="2" t="str">
        <x:v>Hà Nội</x:v>
      </x:c>
      <x:c r="D3631" s="2" t="str">
        <x:v>Quận Hai Bà Trưng</x:v>
      </x:c>
      <x:c r="E3631" s="2" t="str">
        <x:v>house</x:v>
      </x:c>
      <x:c r="F3631" s="2" t="str">
        <x:v>sale_assumed</x:v>
      </x:c>
      <x:c r="G3631" s="11" t="n">
        <x:v>36</x:v>
      </x:c>
      <x:c r="H3631" s="12" t="n">
        <x:v>3100000000</x:v>
      </x:c>
      <x:c r="I3631" s="12" t="n">
        <x:v>86111111.1111111</x:v>
      </x:c>
      <x:c r="J3631" s="2" t="str">
        <x:v>total</x:v>
      </x:c>
      <x:c r="K3631" s="2" t="str">
        <x:v>top_level_area</x:v>
      </x:c>
      <x:c r="L3631" s="2" t="str">
        <x:v>property_type_inferred_from_title;transaction_assumed_sale_from_dataset_context</x:v>
      </x:c>
      <x:c r="M3631" s="10" t="n">
        <x:v>0</x:v>
      </x:c>
      <x:c r="N3631" s="10" t="n">
        <x:v>0</x:v>
      </x:c>
      <x:c r="O3631" s="2" t="str">
        <x:v>Hà Nội|house</x:v>
      </x:c>
      <x:c r="P3631" s="10" t="n">
        <x:v>2</x:v>
      </x:c>
      <x:c r="Q3631" s="13" t="n">
        <x:f>IF(H3631="","",H3631/1000000000)</x:f>
        <x:v>3.1</x:v>
      </x:c>
      <x:c r="R3631" s="13" t="n">
        <x:f>IF(I3631="","",I3631/1000000)</x:f>
        <x:v>86.1111111111111</x:v>
      </x:c>
    </x:row>
    <x:row r="3632" ht="21" customHeight="1">
      <x:c r="A3632" s="10" t="n">
        <x:v>4957</x:v>
      </x:c>
      <x:c r="B3632" s="2" t="str">
        <x:v>f701f2ede3903404ced1</x:v>
      </x:c>
      <x:c r="C3632" s="2" t="str">
        <x:v>Tiền Giang</x:v>
      </x:c>
      <x:c r="D3632" s="2" t="str">
        <x:v>Thành phố Mỹ Tho</x:v>
      </x:c>
      <x:c r="E3632" s="2" t="str">
        <x:v>house</x:v>
      </x:c>
      <x:c r="F3632" s="2" t="str">
        <x:v>sale</x:v>
      </x:c>
      <x:c r="G3632" s="11" t="n">
        <x:v>30</x:v>
      </x:c>
      <x:c r="H3632" s="12" t="n">
        <x:v>590000000</x:v>
      </x:c>
      <x:c r="I3632" s="12" t="n">
        <x:v>19666666.666666668</x:v>
      </x:c>
      <x:c r="J3632" s="2" t="str">
        <x:v>total</x:v>
      </x:c>
      <x:c r="K3632" s="2" t="str">
        <x:v>top_level_area</x:v>
      </x:c>
      <x:c r="L3632" s="2" t="str">
        <x:v>property_type_inferred_from_title</x:v>
      </x:c>
      <x:c r="M3632" s="10" t="n">
        <x:v>0</x:v>
      </x:c>
      <x:c r="N3632" s="10" t="n">
        <x:v>0</x:v>
      </x:c>
      <x:c r="O3632" s="2" t="str">
        <x:v>house</x:v>
      </x:c>
      <x:c r="P3632" s="10" t="n">
        <x:v>2</x:v>
      </x:c>
      <x:c r="Q3632" s="13" t="n">
        <x:f>IF(H3632="","",H3632/1000000000)</x:f>
        <x:v>0.59</x:v>
      </x:c>
      <x:c r="R3632" s="13" t="n">
        <x:f>IF(I3632="","",I3632/1000000)</x:f>
        <x:v>19.666666666666668</x:v>
      </x:c>
    </x:row>
    <x:row r="3633" ht="21" customHeight="1">
      <x:c r="A3633" s="10" t="n">
        <x:v>4958</x:v>
      </x:c>
      <x:c r="B3633" s="2" t="str">
        <x:v>e62d2da84fb69eb579b4</x:v>
      </x:c>
      <x:c r="C3633" s="2" t="str">
        <x:v>Đắk Lắk</x:v>
      </x:c>
      <x:c r="D3633" s="2" t="str">
        <x:v>Thị Xã Buôn Hồ</x:v>
      </x:c>
      <x:c r="E3633" s="2" t="str">
        <x:v>land</x:v>
      </x:c>
      <x:c r="F3633" s="2" t="str">
        <x:v>sale_assumed</x:v>
      </x:c>
      <x:c r="G3633" s="11" t="n">
        <x:v>790</x:v>
      </x:c>
      <x:c r="H3633" s="12" t="n">
        <x:v>700000000</x:v>
      </x:c>
      <x:c r="I3633" s="12" t="n">
        <x:v>886075.9493670886</x:v>
      </x:c>
      <x:c r="J3633" s="2" t="str">
        <x:v>total</x:v>
      </x:c>
      <x:c r="K3633" s="2" t="str">
        <x:v>top_level_area</x:v>
      </x:c>
      <x:c r="L3633" s="2" t="str">
        <x:v>property_type_inferred_from_title;transaction_assumed_sale_from_dataset_context</x:v>
      </x:c>
      <x:c r="M3633" s="10" t="n">
        <x:v>0</x:v>
      </x:c>
      <x:c r="N3633" s="10" t="n">
        <x:v>0</x:v>
      </x:c>
      <x:c r="O3633" s="2" t="str">
        <x:v>Đắk Lắk|land</x:v>
      </x:c>
      <x:c r="P3633" s="10" t="n">
        <x:v>1</x:v>
      </x:c>
      <x:c r="Q3633" s="13" t="n">
        <x:f>IF(H3633="","",H3633/1000000000)</x:f>
        <x:v>0.7</x:v>
      </x:c>
      <x:c r="R3633" s="13" t="n">
        <x:f>IF(I3633="","",I3633/1000000)</x:f>
        <x:v>0.8860759493670887</x:v>
      </x:c>
    </x:row>
    <x:row r="3634" ht="21" customHeight="1">
      <x:c r="A3634" s="10" t="n">
        <x:v>4959</x:v>
      </x:c>
      <x:c r="B3634" s="2" t="str">
        <x:v>765fa0dba84bcead06fa</x:v>
      </x:c>
      <x:c r="C3634" s="2" t="str">
        <x:v>Bình Dương</x:v>
      </x:c>
      <x:c r="D3634" s="2" t="str">
        <x:v>Thị xã Dĩ An</x:v>
      </x:c>
      <x:c r="E3634" s="2" t="str">
        <x:v>land</x:v>
      </x:c>
      <x:c r="F3634" s="2" t="str">
        <x:v>sale_assumed</x:v>
      </x:c>
      <x:c r="G3634" s="11" t="n">
        <x:v>100</x:v>
      </x:c>
      <x:c r="H3634" s="12" t="n">
        <x:v>1950000000</x:v>
      </x:c>
      <x:c r="I3634" s="12" t="n">
        <x:v>19500000</x:v>
      </x:c>
      <x:c r="J3634" s="2" t="str">
        <x:v>total</x:v>
      </x:c>
      <x:c r="K3634" s="2" t="str">
        <x:v>top_level_area</x:v>
      </x:c>
      <x:c r="L3634" s="2" t="str">
        <x:v>property_type_inferred_from_title;transaction_assumed_sale_from_dataset_context</x:v>
      </x:c>
      <x:c r="M3634" s="10" t="n">
        <x:v>0</x:v>
      </x:c>
      <x:c r="N3634" s="10" t="n">
        <x:v>0</x:v>
      </x:c>
      <x:c r="O3634" s="2" t="str">
        <x:v>Bình Dương|land</x:v>
      </x:c>
      <x:c r="P3634" s="10" t="n">
        <x:v>2</x:v>
      </x:c>
      <x:c r="Q3634" s="13" t="n">
        <x:f>IF(H3634="","",H3634/1000000000)</x:f>
        <x:v>1.95</x:v>
      </x:c>
      <x:c r="R3634" s="13" t="n">
        <x:f>IF(I3634="","",I3634/1000000)</x:f>
        <x:v>19.5</x:v>
      </x:c>
    </x:row>
    <x:row r="3635" ht="21" customHeight="1">
      <x:c r="A3635" s="10" t="n">
        <x:v>4960</x:v>
      </x:c>
      <x:c r="B3635" s="2" t="str">
        <x:v>d2f714586d5b8ebc71c3</x:v>
      </x:c>
      <x:c r="C3635" s="2" t="str">
        <x:v>Tp Hồ Chí Minh</x:v>
      </x:c>
      <x:c r="D3635" s="2" t="str">
        <x:v>Quận Bình Thạnh</x:v>
      </x:c>
      <x:c r="E3635" s="2" t="str">
        <x:v>house</x:v>
      </x:c>
      <x:c r="F3635" s="2" t="str">
        <x:v>sale</x:v>
      </x:c>
      <x:c r="G3635" s="11" t="n">
        <x:v>92</x:v>
      </x:c>
      <x:c r="H3635" s="12" t="n">
        <x:v>15600000000</x:v>
      </x:c>
      <x:c r="I3635" s="12" t="n">
        <x:v>169565217.39130434</x:v>
      </x:c>
      <x:c r="J3635" s="2" t="str">
        <x:v>total</x:v>
      </x:c>
      <x:c r="K3635" s="2" t="str">
        <x:v>top_level_area</x:v>
      </x:c>
      <x:c r="L3635" s="2" t="str">
        <x:v>property_type_inferred_from_title</x:v>
      </x:c>
      <x:c r="M3635" s="10" t="n">
        <x:v>1</x:v>
      </x:c>
      <x:c r="N3635" s="10" t="n">
        <x:v>0</x:v>
      </x:c>
      <x:c r="O3635" s="2" t="str">
        <x:v>Tp Hồ Chí Minh|house</x:v>
      </x:c>
      <x:c r="P3635" s="10" t="n">
        <x:v>2</x:v>
      </x:c>
      <x:c r="Q3635" s="13" t="n">
        <x:f>IF(H3635="","",H3635/1000000000)</x:f>
        <x:v>15.6</x:v>
      </x:c>
      <x:c r="R3635" s="13" t="n">
        <x:f>IF(I3635="","",I3635/1000000)</x:f>
        <x:v>169.56521739130434</x:v>
      </x:c>
    </x:row>
    <x:row r="3636" ht="21" customHeight="1">
      <x:c r="A3636" s="10" t="n">
        <x:v>4961</x:v>
      </x:c>
      <x:c r="B3636" s="2" t="str">
        <x:v>2c9205fc7fc0e859a54e</x:v>
      </x:c>
      <x:c r="C3636" s="2" t="str">
        <x:v>Tp Hồ Chí Minh</x:v>
      </x:c>
      <x:c r="D3636" s="2" t="str">
        <x:v>Quận 12</x:v>
      </x:c>
      <x:c r="E3636" s="2" t="str">
        <x:v>apartment</x:v>
      </x:c>
      <x:c r="F3636" s="2" t="str">
        <x:v>sale_assumed</x:v>
      </x:c>
      <x:c r="G3636" s="11" t="n">
        <x:v>65</x:v>
      </x:c>
      <x:c r="H3636" s="12" t="n">
        <x:v>2280000000</x:v>
      </x:c>
      <x:c r="I3636" s="12" t="n">
        <x:v>35076923.07692308</x:v>
      </x:c>
      <x:c r="J3636" s="2" t="str">
        <x:v>total</x:v>
      </x:c>
      <x:c r="K3636" s="2" t="str">
        <x:v>top_level_area</x:v>
      </x:c>
      <x:c r="L3636" s="2" t="str">
        <x:v>property_type_inferred_from_title;transaction_assumed_sale_from_dataset_context</x:v>
      </x:c>
      <x:c r="M3636" s="10" t="n">
        <x:v>0</x:v>
      </x:c>
      <x:c r="N3636" s="10" t="n">
        <x:v>0</x:v>
      </x:c>
      <x:c r="O3636" s="2" t="str">
        <x:v>Tp Hồ Chí Minh|apartment</x:v>
      </x:c>
      <x:c r="P3636" s="10" t="n">
        <x:v>2</x:v>
      </x:c>
      <x:c r="Q3636" s="13" t="n">
        <x:f>IF(H3636="","",H3636/1000000000)</x:f>
        <x:v>2.28</x:v>
      </x:c>
      <x:c r="R3636" s="13" t="n">
        <x:f>IF(I3636="","",I3636/1000000)</x:f>
        <x:v>35.07692307692308</x:v>
      </x:c>
    </x:row>
    <x:row r="3637" ht="21" customHeight="1">
      <x:c r="A3637" s="10" t="n">
        <x:v>4962</x:v>
      </x:c>
      <x:c r="B3637" s="2" t="str">
        <x:v>7c8df92555fbcaa793b7</x:v>
      </x:c>
      <x:c r="C3637" s="2" t="str">
        <x:v>Đồng Nai</x:v>
      </x:c>
      <x:c r="D3637" s="2" t="str">
        <x:v>Huyện Trảng Bom</x:v>
      </x:c>
      <x:c r="E3637" s="2" t="str">
        <x:v>house</x:v>
      </x:c>
      <x:c r="F3637" s="2" t="str">
        <x:v>sale_assumed</x:v>
      </x:c>
      <x:c r="G3637" s="11" t="n">
        <x:v>144</x:v>
      </x:c>
      <x:c r="H3637" s="12" t="n">
        <x:v>1200000000</x:v>
      </x:c>
      <x:c r="I3637" s="12" t="n">
        <x:v>8333333.333333333</x:v>
      </x:c>
      <x:c r="J3637" s="2" t="str">
        <x:v>total</x:v>
      </x:c>
      <x:c r="K3637" s="2" t="str">
        <x:v>top_level_area</x:v>
      </x:c>
      <x:c r="L3637" s="2" t="str">
        <x:v>property_type_inferred_from_title;transaction_assumed_sale_from_dataset_context</x:v>
      </x:c>
      <x:c r="M3637" s="10" t="n">
        <x:v>0</x:v>
      </x:c>
      <x:c r="N3637" s="10" t="n">
        <x:v>0</x:v>
      </x:c>
      <x:c r="O3637" s="2" t="str">
        <x:v>Đồng Nai|house</x:v>
      </x:c>
      <x:c r="P3637" s="10" t="n">
        <x:v>2</x:v>
      </x:c>
      <x:c r="Q3637" s="13" t="n">
        <x:f>IF(H3637="","",H3637/1000000000)</x:f>
        <x:v>1.2</x:v>
      </x:c>
      <x:c r="R3637" s="13" t="n">
        <x:f>IF(I3637="","",I3637/1000000)</x:f>
        <x:v>8.333333333333332</x:v>
      </x:c>
    </x:row>
    <x:row r="3638" ht="21" customHeight="1">
      <x:c r="A3638" s="10" t="n">
        <x:v>4966</x:v>
      </x:c>
      <x:c r="B3638" s="2" t="str">
        <x:v>3bde3e55426af038e6d1</x:v>
      </x:c>
      <x:c r="C3638" s="2" t="str">
        <x:v>Hà Nội</x:v>
      </x:c>
      <x:c r="D3638" s="2" t="str">
        <x:v>Huyện Thanh Trì</x:v>
      </x:c>
      <x:c r="E3638" s="2" t="str">
        <x:v>land</x:v>
      </x:c>
      <x:c r="F3638" s="2" t="str">
        <x:v>sale_assumed</x:v>
      </x:c>
      <x:c r="G3638" s="11" t="n">
        <x:v>33</x:v>
      </x:c>
      <x:c r="H3638" s="12" t="n">
        <x:v>760000000</x:v>
      </x:c>
      <x:c r="I3638" s="12" t="n">
        <x:v>23030303.03030303</x:v>
      </x:c>
      <x:c r="J3638" s="2" t="str">
        <x:v>total</x:v>
      </x:c>
      <x:c r="K3638" s="2" t="str">
        <x:v>top_level_area</x:v>
      </x:c>
      <x:c r="L3638" s="2" t="str">
        <x:v>property_type_inferred_from_title;transaction_assumed_sale_from_dataset_context</x:v>
      </x:c>
      <x:c r="M3638" s="10" t="n">
        <x:v>0</x:v>
      </x:c>
      <x:c r="N3638" s="10" t="n">
        <x:v>0</x:v>
      </x:c>
      <x:c r="O3638" s="2" t="str">
        <x:v>Hà Nội|land</x:v>
      </x:c>
      <x:c r="P3638" s="10" t="n">
        <x:v>2</x:v>
      </x:c>
      <x:c r="Q3638" s="13" t="n">
        <x:f>IF(H3638="","",H3638/1000000000)</x:f>
        <x:v>0.76</x:v>
      </x:c>
      <x:c r="R3638" s="13" t="n">
        <x:f>IF(I3638="","",I3638/1000000)</x:f>
        <x:v>23.03030303030303</x:v>
      </x:c>
    </x:row>
    <x:row r="3639" ht="21" customHeight="1">
      <x:c r="A3639" s="10" t="n">
        <x:v>4967</x:v>
      </x:c>
      <x:c r="B3639" s="2" t="str">
        <x:v>830ae2ca90fa08a56303</x:v>
      </x:c>
      <x:c r="C3639" s="2" t="str">
        <x:v>Tp Hồ Chí Minh</x:v>
      </x:c>
      <x:c r="D3639" s="2" t="str">
        <x:v>Quận Tân Bình</x:v>
      </x:c>
      <x:c r="E3639" s="2" t="str">
        <x:v>house</x:v>
      </x:c>
      <x:c r="F3639" s="2" t="str">
        <x:v>sale</x:v>
      </x:c>
      <x:c r="G3639" s="11" t="n">
        <x:v>50</x:v>
      </x:c>
      <x:c r="H3639" s="12" t="n">
        <x:v>1280000000</x:v>
      </x:c>
      <x:c r="I3639" s="12" t="n">
        <x:v>25600000</x:v>
      </x:c>
      <x:c r="J3639" s="2" t="str">
        <x:v>total</x:v>
      </x:c>
      <x:c r="K3639" s="2" t="str">
        <x:v>top_level_area</x:v>
      </x:c>
      <x:c r="L3639" s="2" t="str">
        <x:v>property_type_inferred_from_title</x:v>
      </x:c>
      <x:c r="M3639" s="10" t="n">
        <x:v>0</x:v>
      </x:c>
      <x:c r="N3639" s="10" t="n">
        <x:v>0</x:v>
      </x:c>
      <x:c r="O3639" s="2" t="str">
        <x:v>Tp Hồ Chí Minh|house</x:v>
      </x:c>
      <x:c r="P3639" s="10" t="n">
        <x:v>2</x:v>
      </x:c>
      <x:c r="Q3639" s="13" t="n">
        <x:f>IF(H3639="","",H3639/1000000000)</x:f>
        <x:v>1.28</x:v>
      </x:c>
      <x:c r="R3639" s="13" t="n">
        <x:f>IF(I3639="","",I3639/1000000)</x:f>
        <x:v>25.6</x:v>
      </x:c>
    </x:row>
    <x:row r="3640" ht="21" customHeight="1">
      <x:c r="A3640" s="10" t="n">
        <x:v>4968</x:v>
      </x:c>
      <x:c r="B3640" s="2" t="str">
        <x:v>659db3e116078be7a09e</x:v>
      </x:c>
      <x:c r="C3640" s="2" t="str">
        <x:v>Hà Nội</x:v>
      </x:c>
      <x:c r="D3640" s="2" t="str">
        <x:v>Huyện Đông Anh</x:v>
      </x:c>
      <x:c r="E3640" s="2" t="str">
        <x:v>land</x:v>
      </x:c>
      <x:c r="F3640" s="2" t="str">
        <x:v>sale</x:v>
      </x:c>
      <x:c r="G3640" s="11" t="n">
        <x:v>82.8</x:v>
      </x:c>
      <x:c r="H3640" s="12" t="n">
        <x:v>5460000000</x:v>
      </x:c>
      <x:c r="I3640" s="12" t="n">
        <x:v>65942028.98550725</x:v>
      </x:c>
      <x:c r="J3640" s="2" t="str">
        <x:v>total</x:v>
      </x:c>
      <x:c r="K3640" s="2" t="str">
        <x:v>top_level_area</x:v>
      </x:c>
      <x:c r="L3640" s="2" t="str">
        <x:v>property_type_inferred_from_title</x:v>
      </x:c>
      <x:c r="M3640" s="10" t="n">
        <x:v>0</x:v>
      </x:c>
      <x:c r="N3640" s="10" t="n">
        <x:v>0</x:v>
      </x:c>
      <x:c r="O3640" s="2" t="str">
        <x:v>Hà Nội|land</x:v>
      </x:c>
      <x:c r="P3640" s="10" t="n">
        <x:v>2</x:v>
      </x:c>
      <x:c r="Q3640" s="13" t="n">
        <x:f>IF(H3640="","",H3640/1000000000)</x:f>
        <x:v>5.46</x:v>
      </x:c>
      <x:c r="R3640" s="13" t="n">
        <x:f>IF(I3640="","",I3640/1000000)</x:f>
        <x:v>65.94202898550725</x:v>
      </x:c>
    </x:row>
    <x:row r="3641" ht="21" customHeight="1">
      <x:c r="A3641" s="10" t="n">
        <x:v>4969</x:v>
      </x:c>
      <x:c r="B3641" s="2" t="str">
        <x:v>686bc14d60d716a30d01</x:v>
      </x:c>
      <x:c r="C3641" s="2" t="str">
        <x:v>Hà Nội</x:v>
      </x:c>
      <x:c r="D3641" s="2" t="str">
        <x:v>Quận Hà Đông</x:v>
      </x:c>
      <x:c r="E3641" s="2" t="str">
        <x:v>house</x:v>
      </x:c>
      <x:c r="F3641" s="2" t="str">
        <x:v>sale</x:v>
      </x:c>
      <x:c r="G3641" s="11" t="n">
        <x:v>36</x:v>
      </x:c>
      <x:c r="H3641" s="12" t="n">
        <x:v>4000000000</x:v>
      </x:c>
      <x:c r="I3641" s="12" t="n">
        <x:v>111111111.1111111</x:v>
      </x:c>
      <x:c r="J3641" s="2" t="str">
        <x:v>total</x:v>
      </x:c>
      <x:c r="K3641" s="2" t="str">
        <x:v>top_level_area</x:v>
      </x:c>
      <x:c r="L3641" s="2" t="str">
        <x:v>property_type_inferred_from_title</x:v>
      </x:c>
      <x:c r="M3641" s="10" t="n">
        <x:v>0</x:v>
      </x:c>
      <x:c r="N3641" s="10" t="n">
        <x:v>0</x:v>
      </x:c>
      <x:c r="O3641" s="2" t="str">
        <x:v>Hà Nội|house</x:v>
      </x:c>
      <x:c r="P3641" s="10" t="n">
        <x:v>2</x:v>
      </x:c>
      <x:c r="Q3641" s="13" t="n">
        <x:f>IF(H3641="","",H3641/1000000000)</x:f>
        <x:v>4</x:v>
      </x:c>
      <x:c r="R3641" s="13" t="n">
        <x:f>IF(I3641="","",I3641/1000000)</x:f>
        <x:v>111.1111111111111</x:v>
      </x:c>
    </x:row>
    <x:row r="3642" ht="21" customHeight="1">
      <x:c r="A3642" s="10" t="n">
        <x:v>4970</x:v>
      </x:c>
      <x:c r="B3642" s="2" t="str">
        <x:v>8a6f803d59ee2cf57510</x:v>
      </x:c>
      <x:c r="C3642" s="2" t="str">
        <x:v>Bình Dương</x:v>
      </x:c>
      <x:c r="D3642" s="2" t="str">
        <x:v>Thị xã Dĩ An</x:v>
      </x:c>
      <x:c r="E3642" s="2" t="str">
        <x:v>house</x:v>
      </x:c>
      <x:c r="F3642" s="2" t="str">
        <x:v>sale</x:v>
      </x:c>
      <x:c r="G3642" s="11" t="n">
        <x:v>72</x:v>
      </x:c>
      <x:c r="H3642" s="12" t="n">
        <x:v>2020000000</x:v>
      </x:c>
      <x:c r="I3642" s="12" t="n">
        <x:v>28055555.555555556</x:v>
      </x:c>
      <x:c r="J3642" s="2" t="str">
        <x:v>total</x:v>
      </x:c>
      <x:c r="K3642" s="2" t="str">
        <x:v>top_level_area</x:v>
      </x:c>
      <x:c r="L3642" s="2" t="str">
        <x:v>property_type_inferred_from_title</x:v>
      </x:c>
      <x:c r="M3642" s="10" t="n">
        <x:v>0</x:v>
      </x:c>
      <x:c r="N3642" s="10" t="n">
        <x:v>0</x:v>
      </x:c>
      <x:c r="O3642" s="2" t="str">
        <x:v>Bình Dương|house</x:v>
      </x:c>
      <x:c r="P3642" s="10" t="n">
        <x:v>2</x:v>
      </x:c>
      <x:c r="Q3642" s="13" t="n">
        <x:f>IF(H3642="","",H3642/1000000000)</x:f>
        <x:v>2.02</x:v>
      </x:c>
      <x:c r="R3642" s="13" t="n">
        <x:f>IF(I3642="","",I3642/1000000)</x:f>
        <x:v>28.055555555555557</x:v>
      </x:c>
    </x:row>
    <x:row r="3643" ht="21" customHeight="1">
      <x:c r="A3643" s="10" t="n">
        <x:v>4971</x:v>
      </x:c>
      <x:c r="B3643" s="2" t="str">
        <x:v>23dcf639850615c90507</x:v>
      </x:c>
      <x:c r="C3643" s="2" t="str">
        <x:v>An Giang</x:v>
      </x:c>
      <x:c r="D3643" s="2" t="str">
        <x:v>Thành phố Long Xuyên</x:v>
      </x:c>
      <x:c r="E3643" s="2" t="str">
        <x:v>house</x:v>
      </x:c>
      <x:c r="F3643" s="2" t="str">
        <x:v>sale</x:v>
      </x:c>
      <x:c r="G3643" s="11" t="n">
        <x:v>73</x:v>
      </x:c>
      <x:c r="H3643" s="12" t="n">
        <x:v>3900000000</x:v>
      </x:c>
      <x:c r="I3643" s="12" t="n">
        <x:v>53424657.53424658</x:v>
      </x:c>
      <x:c r="J3643" s="2" t="str">
        <x:v>total</x:v>
      </x:c>
      <x:c r="K3643" s="2" t="str">
        <x:v>top_level_area</x:v>
      </x:c>
      <x:c r="L3643" s="2" t="str">
        <x:v>property_type_inferred_from_title</x:v>
      </x:c>
      <x:c r="M3643" s="10" t="n">
        <x:v>0</x:v>
      </x:c>
      <x:c r="N3643" s="10" t="n">
        <x:v>0</x:v>
      </x:c>
      <x:c r="O3643" s="2" t="str">
        <x:v>house</x:v>
      </x:c>
      <x:c r="P3643" s="10" t="n">
        <x:v>2</x:v>
      </x:c>
      <x:c r="Q3643" s="13" t="n">
        <x:f>IF(H3643="","",H3643/1000000000)</x:f>
        <x:v>3.9</x:v>
      </x:c>
      <x:c r="R3643" s="13" t="n">
        <x:f>IF(I3643="","",I3643/1000000)</x:f>
        <x:v>53.42465753424658</x:v>
      </x:c>
    </x:row>
    <x:row r="3644" ht="21" customHeight="1">
      <x:c r="A3644" s="10" t="n">
        <x:v>4972</x:v>
      </x:c>
      <x:c r="B3644" s="2" t="str">
        <x:v>cc87d68d78ef13e6cd7f</x:v>
      </x:c>
      <x:c r="C3644" s="2" t="str">
        <x:v>Tp Hồ Chí Minh</x:v>
      </x:c>
      <x:c r="D3644" s="2" t="str">
        <x:v>Quận Bình Tân</x:v>
      </x:c>
      <x:c r="E3644" s="2" t="str">
        <x:v>land</x:v>
      </x:c>
      <x:c r="F3644" s="2" t="str">
        <x:v>sale</x:v>
      </x:c>
      <x:c r="G3644" s="11" t="n">
        <x:v>300</x:v>
      </x:c>
      <x:c r="H3644" s="12" t="n">
        <x:v>9600000000</x:v>
      </x:c>
      <x:c r="I3644" s="12" t="n">
        <x:v>32000000</x:v>
      </x:c>
      <x:c r="J3644" s="2" t="str">
        <x:v>total</x:v>
      </x:c>
      <x:c r="K3644" s="2" t="str">
        <x:v>top_level_area</x:v>
      </x:c>
      <x:c r="L3644" s="2" t="str">
        <x:v>property_type_inferred_from_title</x:v>
      </x:c>
      <x:c r="M3644" s="10" t="n">
        <x:v>0</x:v>
      </x:c>
      <x:c r="N3644" s="10" t="n">
        <x:v>0</x:v>
      </x:c>
      <x:c r="O3644" s="2" t="str">
        <x:v>Tp Hồ Chí Minh|land</x:v>
      </x:c>
      <x:c r="P3644" s="10" t="n">
        <x:v>2</x:v>
      </x:c>
      <x:c r="Q3644" s="13" t="n">
        <x:f>IF(H3644="","",H3644/1000000000)</x:f>
        <x:v>9.6</x:v>
      </x:c>
      <x:c r="R3644" s="13" t="n">
        <x:f>IF(I3644="","",I3644/1000000)</x:f>
        <x:v>32</x:v>
      </x:c>
    </x:row>
    <x:row r="3645" ht="21" customHeight="1">
      <x:c r="A3645" s="10" t="n">
        <x:v>4973</x:v>
      </x:c>
      <x:c r="B3645" s="2" t="str">
        <x:v>9164d468f4ee2cced464</x:v>
      </x:c>
      <x:c r="C3645" s="2" t="str">
        <x:v>Tp Hồ Chí Minh</x:v>
      </x:c>
      <x:c r="D3645" s="2" t="str">
        <x:v>Quận Tân Phú</x:v>
      </x:c>
      <x:c r="E3645" s="2" t="str">
        <x:v>house</x:v>
      </x:c>
      <x:c r="F3645" s="2" t="str">
        <x:v>sale</x:v>
      </x:c>
      <x:c r="G3645" s="11" t="n">
        <x:v>50</x:v>
      </x:c>
      <x:c r="H3645" s="12" t="n">
        <x:v>1150000000</x:v>
      </x:c>
      <x:c r="I3645" s="12" t="n">
        <x:v>23000000</x:v>
      </x:c>
      <x:c r="J3645" s="2" t="str">
        <x:v>total</x:v>
      </x:c>
      <x:c r="K3645" s="2" t="str">
        <x:v>top_level_area</x:v>
      </x:c>
      <x:c r="L3645" s="2" t="str">
        <x:v>property_type_inferred_from_title</x:v>
      </x:c>
      <x:c r="M3645" s="10" t="n">
        <x:v>0</x:v>
      </x:c>
      <x:c r="N3645" s="10" t="n">
        <x:v>0</x:v>
      </x:c>
      <x:c r="O3645" s="2" t="str">
        <x:v>Tp Hồ Chí Minh|house</x:v>
      </x:c>
      <x:c r="P3645" s="10" t="n">
        <x:v>2</x:v>
      </x:c>
      <x:c r="Q3645" s="13" t="n">
        <x:f>IF(H3645="","",H3645/1000000000)</x:f>
        <x:v>1.15</x:v>
      </x:c>
      <x:c r="R3645" s="13" t="n">
        <x:f>IF(I3645="","",I3645/1000000)</x:f>
        <x:v>23</x:v>
      </x:c>
    </x:row>
    <x:row r="3646" ht="21" customHeight="1">
      <x:c r="A3646" s="10" t="n">
        <x:v>4974</x:v>
      </x:c>
      <x:c r="B3646" s="2" t="str">
        <x:v>b3cca1973eac8512bd07</x:v>
      </x:c>
      <x:c r="C3646" s="2" t="str">
        <x:v>Long An</x:v>
      </x:c>
      <x:c r="D3646" s="2" t="str">
        <x:v>Huyện Đức Hòa</x:v>
      </x:c>
      <x:c r="E3646" s="2" t="str">
        <x:v>land</x:v>
      </x:c>
      <x:c r="F3646" s="2" t="str">
        <x:v>sale_assumed</x:v>
      </x:c>
      <x:c r="G3646" s="11" t="n">
        <x:v>300</x:v>
      </x:c>
      <x:c r="H3646" s="12" t="n">
        <x:v>520000000</x:v>
      </x:c>
      <x:c r="I3646" s="12" t="n">
        <x:v>1733333.3333333333</x:v>
      </x:c>
      <x:c r="J3646" s="2" t="str">
        <x:v>total</x:v>
      </x:c>
      <x:c r="K3646" s="2" t="str">
        <x:v>top_level_area</x:v>
      </x:c>
      <x:c r="L3646" s="2" t="str">
        <x:v>property_type_inferred_from_title;transaction_assumed_sale_from_dataset_context</x:v>
      </x:c>
      <x:c r="M3646" s="10" t="n">
        <x:v>0</x:v>
      </x:c>
      <x:c r="N3646" s="10" t="n">
        <x:v>0</x:v>
      </x:c>
      <x:c r="O3646" s="2" t="str">
        <x:v>Long An|land</x:v>
      </x:c>
      <x:c r="P3646" s="10" t="n">
        <x:v>1</x:v>
      </x:c>
      <x:c r="Q3646" s="13" t="n">
        <x:f>IF(H3646="","",H3646/1000000000)</x:f>
        <x:v>0.52</x:v>
      </x:c>
      <x:c r="R3646" s="13" t="n">
        <x:f>IF(I3646="","",I3646/1000000)</x:f>
        <x:v>1.7333333333333332</x:v>
      </x:c>
    </x:row>
    <x:row r="3647" ht="21" customHeight="1">
      <x:c r="A3647" s="10" t="n">
        <x:v>4975</x:v>
      </x:c>
      <x:c r="B3647" s="2" t="str">
        <x:v>a4e9dc7660bdd030dbeb</x:v>
      </x:c>
      <x:c r="C3647" s="2" t="str">
        <x:v>Tp Hồ Chí Minh</x:v>
      </x:c>
      <x:c r="D3647" s="2" t="str">
        <x:v>Quận 9</x:v>
      </x:c>
      <x:c r="E3647" s="2" t="str">
        <x:v>other_unknown</x:v>
      </x:c>
      <x:c r="F3647" s="2" t="str">
        <x:v>sale</x:v>
      </x:c>
      <x:c r="G3647" s="11" t="n">
        <x:v>48</x:v>
      </x:c>
      <x:c r="H3647" s="12" t="n">
        <x:v>1520000000</x:v>
      </x:c>
      <x:c r="I3647" s="12" t="n">
        <x:v>31666666.666666668</x:v>
      </x:c>
      <x:c r="J3647" s="2" t="str">
        <x:v>total</x:v>
      </x:c>
      <x:c r="K3647" s="2" t="str">
        <x:v>top_level_area</x:v>
      </x:c>
      <x:c r="L3647" s="2" t="str">
        <x:v>property_type_inferred_from_title;unknown_property_type</x:v>
      </x:c>
      <x:c r="M3647" s="10" t="n">
        <x:v>0</x:v>
      </x:c>
      <x:c r="N3647" s="10" t="n">
        <x:v>0</x:v>
      </x:c>
      <x:c r="O3647" s="2" t="str">
        <x:v>Tp Hồ Chí Minh|other_unknown</x:v>
      </x:c>
      <x:c r="P3647" s="10" t="n">
        <x:v>2</x:v>
      </x:c>
      <x:c r="Q3647" s="13" t="n">
        <x:f>IF(H3647="","",H3647/1000000000)</x:f>
        <x:v>1.52</x:v>
      </x:c>
      <x:c r="R3647" s="13" t="n">
        <x:f>IF(I3647="","",I3647/1000000)</x:f>
        <x:v>31.666666666666668</x:v>
      </x:c>
    </x:row>
    <x:row r="3648" ht="21" customHeight="1">
      <x:c r="A3648" s="10" t="n">
        <x:v>4976</x:v>
      </x:c>
      <x:c r="B3648" s="2" t="str">
        <x:v>9ccea59c99b46e2c04a8</x:v>
      </x:c>
      <x:c r="C3648" s="2" t="str">
        <x:v>Tp Hồ Chí Minh</x:v>
      </x:c>
      <x:c r="D3648" s="2" t="str">
        <x:v>Quận Bình Thạnh</x:v>
      </x:c>
      <x:c r="E3648" s="2" t="str">
        <x:v>house</x:v>
      </x:c>
      <x:c r="F3648" s="2" t="str">
        <x:v>sale</x:v>
      </x:c>
      <x:c r="G3648" s="11" t="n">
        <x:v>45</x:v>
      </x:c>
      <x:c r="H3648" s="12" t="n">
        <x:v>6500000000</x:v>
      </x:c>
      <x:c r="I3648" s="12" t="n">
        <x:v>144444444.44444445</x:v>
      </x:c>
      <x:c r="J3648" s="2" t="str">
        <x:v>total</x:v>
      </x:c>
      <x:c r="K3648" s="2" t="str">
        <x:v>top_level_price_embedded_area</x:v>
      </x:c>
      <x:c r="L3648" s="2" t="str">
        <x:v>area_recovered_from_price_text;property_type_inferred_from_title</x:v>
      </x:c>
      <x:c r="M3648" s="10" t="n">
        <x:v>0</x:v>
      </x:c>
      <x:c r="N3648" s="10" t="n">
        <x:v>0</x:v>
      </x:c>
      <x:c r="O3648" s="2" t="str">
        <x:v>Tp Hồ Chí Minh|house</x:v>
      </x:c>
      <x:c r="P3648" s="10" t="n">
        <x:v>2</x:v>
      </x:c>
      <x:c r="Q3648" s="13" t="n">
        <x:f>IF(H3648="","",H3648/1000000000)</x:f>
        <x:v>6.5</x:v>
      </x:c>
      <x:c r="R3648" s="13" t="n">
        <x:f>IF(I3648="","",I3648/1000000)</x:f>
        <x:v>144.44444444444446</x:v>
      </x:c>
    </x:row>
    <x:row r="3649" ht="21" customHeight="1">
      <x:c r="A3649" s="10" t="n">
        <x:v>4977</x:v>
      </x:c>
      <x:c r="B3649" s="2" t="str">
        <x:v>c14bccbfba8efdb27dd6</x:v>
      </x:c>
      <x:c r="C3649" s="2" t="str">
        <x:v>Tp Hồ Chí Minh</x:v>
      </x:c>
      <x:c r="D3649" s="2" t="str">
        <x:v>Quận Thủ Đức</x:v>
      </x:c>
      <x:c r="E3649" s="2" t="str">
        <x:v>house</x:v>
      </x:c>
      <x:c r="F3649" s="2" t="str">
        <x:v>sale_assumed</x:v>
      </x:c>
      <x:c r="G3649" s="11" t="n">
        <x:v>60</x:v>
      </x:c>
      <x:c r="H3649" s="12" t="n">
        <x:v>6000000000</x:v>
      </x:c>
      <x:c r="I3649" s="12" t="n">
        <x:v>100000000</x:v>
      </x:c>
      <x:c r="J3649" s="2" t="str">
        <x:v>total</x:v>
      </x:c>
      <x:c r="K3649" s="2" t="str">
        <x:v>top_level_area</x:v>
      </x:c>
      <x:c r="L3649" s="2" t="str">
        <x:v>property_type_inferred_from_title;transaction_assumed_sale_from_dataset_context</x:v>
      </x:c>
      <x:c r="M3649" s="10" t="n">
        <x:v>0</x:v>
      </x:c>
      <x:c r="N3649" s="10" t="n">
        <x:v>0</x:v>
      </x:c>
      <x:c r="O3649" s="2" t="str">
        <x:v>Tp Hồ Chí Minh|house</x:v>
      </x:c>
      <x:c r="P3649" s="10" t="n">
        <x:v>2</x:v>
      </x:c>
      <x:c r="Q3649" s="13" t="n">
        <x:f>IF(H3649="","",H3649/1000000000)</x:f>
        <x:v>6</x:v>
      </x:c>
      <x:c r="R3649" s="13" t="n">
        <x:f>IF(I3649="","",I3649/1000000)</x:f>
        <x:v>100</x:v>
      </x:c>
    </x:row>
    <x:row r="3650" ht="21" customHeight="1">
      <x:c r="A3650" s="10" t="n">
        <x:v>4978</x:v>
      </x:c>
      <x:c r="B3650" s="2" t="str">
        <x:v>840cd4835f4ab9e0883d</x:v>
      </x:c>
      <x:c r="C3650" s="2" t="str">
        <x:v>Tp Hồ Chí Minh</x:v>
      </x:c>
      <x:c r="D3650" s="2" t="str">
        <x:v>Quận Gò Vấp</x:v>
      </x:c>
      <x:c r="E3650" s="2" t="str">
        <x:v>house</x:v>
      </x:c>
      <x:c r="F3650" s="2" t="str">
        <x:v>sale_assumed</x:v>
      </x:c>
      <x:c r="G3650" s="11" t="n">
        <x:v>40</x:v>
      </x:c>
      <x:c r="H3650" s="12" t="n">
        <x:v>2750000000</x:v>
      </x:c>
      <x:c r="I3650" s="12" t="n">
        <x:v>68750000</x:v>
      </x:c>
      <x:c r="J3650" s="2" t="str">
        <x:v>total</x:v>
      </x:c>
      <x:c r="K3650" s="2" t="str">
        <x:v>top_level_price_embedded_area</x:v>
      </x:c>
      <x:c r="L3650" s="2" t="str">
        <x:v>area_recovered_from_price_text;property_type_inferred_from_title;transaction_assumed_sale_from_dataset_context</x:v>
      </x:c>
      <x:c r="M3650" s="10" t="n">
        <x:v>0</x:v>
      </x:c>
      <x:c r="N3650" s="10" t="n">
        <x:v>0</x:v>
      </x:c>
      <x:c r="O3650" s="2" t="str">
        <x:v>Tp Hồ Chí Minh|house</x:v>
      </x:c>
      <x:c r="P3650" s="10" t="n">
        <x:v>2</x:v>
      </x:c>
      <x:c r="Q3650" s="13" t="n">
        <x:f>IF(H3650="","",H3650/1000000000)</x:f>
        <x:v>2.75</x:v>
      </x:c>
      <x:c r="R3650" s="13" t="n">
        <x:f>IF(I3650="","",I3650/1000000)</x:f>
        <x:v>68.75</x:v>
      </x:c>
    </x:row>
    <x:row r="3651" ht="21" customHeight="1">
      <x:c r="A3651" s="10" t="n">
        <x:v>4979</x:v>
      </x:c>
      <x:c r="B3651" s="2" t="str">
        <x:v>e1d069e788610399f57d</x:v>
      </x:c>
      <x:c r="C3651" s="2" t="str">
        <x:v>Tp Hồ Chí Minh</x:v>
      </x:c>
      <x:c r="D3651" s="2" t="str">
        <x:v>Quận 12</x:v>
      </x:c>
      <x:c r="E3651" s="2" t="str">
        <x:v>house</x:v>
      </x:c>
      <x:c r="F3651" s="2" t="str">
        <x:v>sale_assumed</x:v>
      </x:c>
      <x:c r="G3651" s="11" t="n">
        <x:v>66</x:v>
      </x:c>
      <x:c r="H3651" s="12" t="n">
        <x:v>6350000000</x:v>
      </x:c>
      <x:c r="I3651" s="12" t="n">
        <x:v>96212121.21212122</x:v>
      </x:c>
      <x:c r="J3651" s="2" t="str">
        <x:v>total</x:v>
      </x:c>
      <x:c r="K3651" s="2" t="str">
        <x:v>top_level_area</x:v>
      </x:c>
      <x:c r="L3651" s="2" t="str">
        <x:v>property_type_inferred_from_title;transaction_assumed_sale_from_dataset_context</x:v>
      </x:c>
      <x:c r="M3651" s="10" t="n">
        <x:v>0</x:v>
      </x:c>
      <x:c r="N3651" s="10" t="n">
        <x:v>0</x:v>
      </x:c>
      <x:c r="O3651" s="2" t="str">
        <x:v>Tp Hồ Chí Minh|house</x:v>
      </x:c>
      <x:c r="P3651" s="10" t="n">
        <x:v>2</x:v>
      </x:c>
      <x:c r="Q3651" s="13" t="n">
        <x:f>IF(H3651="","",H3651/1000000000)</x:f>
        <x:v>6.35</x:v>
      </x:c>
      <x:c r="R3651" s="13" t="n">
        <x:f>IF(I3651="","",I3651/1000000)</x:f>
        <x:v>96.21212121212122</x:v>
      </x:c>
    </x:row>
    <x:row r="3652" ht="21" customHeight="1">
      <x:c r="A3652" s="10" t="n">
        <x:v>4980</x:v>
      </x:c>
      <x:c r="B3652" s="2" t="str">
        <x:v>3a26fb0000d8cefaef30</x:v>
      </x:c>
      <x:c r="C3652" s="2" t="str">
        <x:v>Hà Nội</x:v>
      </x:c>
      <x:c r="D3652" s="2" t="str">
        <x:v>Huyện Thanh Trì</x:v>
      </x:c>
      <x:c r="E3652" s="2" t="str">
        <x:v>house</x:v>
      </x:c>
      <x:c r="F3652" s="2" t="str">
        <x:v>sale_assumed</x:v>
      </x:c>
      <x:c r="G3652" s="11" t="n">
        <x:v>57</x:v>
      </x:c>
      <x:c r="H3652" s="12" t="n">
        <x:v>4250000000</x:v>
      </x:c>
      <x:c r="I3652" s="12" t="n">
        <x:v>74561403.50877193</x:v>
      </x:c>
      <x:c r="J3652" s="2" t="str">
        <x:v>total</x:v>
      </x:c>
      <x:c r="K3652" s="2" t="str">
        <x:v>top_level_area</x:v>
      </x:c>
      <x:c r="L3652" s="2" t="str">
        <x:v>property_type_inferred_from_title;transaction_assumed_sale_from_dataset_context</x:v>
      </x:c>
      <x:c r="M3652" s="10" t="n">
        <x:v>0</x:v>
      </x:c>
      <x:c r="N3652" s="10" t="n">
        <x:v>0</x:v>
      </x:c>
      <x:c r="O3652" s="2" t="str">
        <x:v>Hà Nội|house</x:v>
      </x:c>
      <x:c r="P3652" s="10" t="n">
        <x:v>2</x:v>
      </x:c>
      <x:c r="Q3652" s="13" t="n">
        <x:f>IF(H3652="","",H3652/1000000000)</x:f>
        <x:v>4.25</x:v>
      </x:c>
      <x:c r="R3652" s="13" t="n">
        <x:f>IF(I3652="","",I3652/1000000)</x:f>
        <x:v>74.56140350877193</x:v>
      </x:c>
    </x:row>
    <x:row r="3653" ht="21" customHeight="1">
      <x:c r="A3653" s="10" t="n">
        <x:v>4981</x:v>
      </x:c>
      <x:c r="B3653" s="2" t="str">
        <x:v>bd59262e4ba3a80125c5</x:v>
      </x:c>
      <x:c r="C3653" s="2" t="str">
        <x:v>Lâm Đồng</x:v>
      </x:c>
      <x:c r="D3653" s="2" t="str">
        <x:v>Thành phố Đà Lạt</x:v>
      </x:c>
      <x:c r="E3653" s="2" t="str">
        <x:v>land</x:v>
      </x:c>
      <x:c r="F3653" s="2" t="str">
        <x:v>sale_assumed</x:v>
      </x:c>
      <x:c r="G3653" s="11" t="n">
        <x:v>300</x:v>
      </x:c>
      <x:c r="H3653" s="12" t="n">
        <x:v>17000000000</x:v>
      </x:c>
      <x:c r="I3653" s="12" t="n">
        <x:v>56666666.666666664</x:v>
      </x:c>
      <x:c r="J3653" s="2" t="str">
        <x:v>total</x:v>
      </x:c>
      <x:c r="K3653" s="2" t="str">
        <x:v>top_level_area</x:v>
      </x:c>
      <x:c r="L3653" s="2" t="str">
        <x:v>property_type_inferred_from_title;transaction_assumed_sale_from_dataset_context</x:v>
      </x:c>
      <x:c r="M3653" s="10" t="n">
        <x:v>0</x:v>
      </x:c>
      <x:c r="N3653" s="10" t="n">
        <x:v>1</x:v>
      </x:c>
      <x:c r="O3653" s="2" t="str">
        <x:v>Lâm Đồng|land</x:v>
      </x:c>
      <x:c r="P3653" s="10" t="n">
        <x:v>-1</x:v>
      </x:c>
      <x:c r="Q3653" s="13" t="n">
        <x:f>IF(H3653="","",H3653/1000000000)</x:f>
        <x:v>17</x:v>
      </x:c>
      <x:c r="R3653" s="13" t="n">
        <x:f>IF(I3653="","",I3653/1000000)</x:f>
        <x:v>56.666666666666664</x:v>
      </x:c>
    </x:row>
    <x:row r="3654" ht="21" customHeight="1">
      <x:c r="A3654" s="10" t="n">
        <x:v>4982</x:v>
      </x:c>
      <x:c r="B3654" s="2" t="str">
        <x:v>8145a749e5af8a0a9d47</x:v>
      </x:c>
      <x:c r="C3654" s="2" t="str">
        <x:v>Đà Nẵng</x:v>
      </x:c>
      <x:c r="D3654" s="2" t="str">
        <x:v>Quận Thanh Khê</x:v>
      </x:c>
      <x:c r="E3654" s="2" t="str">
        <x:v>land</x:v>
      </x:c>
      <x:c r="F3654" s="2" t="str">
        <x:v>sale_assumed</x:v>
      </x:c>
      <x:c r="G3654" s="11" t="n">
        <x:v>78</x:v>
      </x:c>
      <x:c r="H3654" s="12" t="n">
        <x:v>2800000000</x:v>
      </x:c>
      <x:c r="I3654" s="12" t="n">
        <x:v>35897435.897435896</x:v>
      </x:c>
      <x:c r="J3654" s="2" t="str">
        <x:v>total</x:v>
      </x:c>
      <x:c r="K3654" s="2" t="str">
        <x:v>top_level_area</x:v>
      </x:c>
      <x:c r="L3654" s="2" t="str">
        <x:v>property_type_inferred_from_title;transaction_assumed_sale_from_dataset_context</x:v>
      </x:c>
      <x:c r="M3654" s="10" t="n">
        <x:v>0</x:v>
      </x:c>
      <x:c r="N3654" s="10" t="n">
        <x:v>0</x:v>
      </x:c>
      <x:c r="O3654" s="2" t="str">
        <x:v>Đà Nẵng|land</x:v>
      </x:c>
      <x:c r="P3654" s="10" t="n">
        <x:v>2</x:v>
      </x:c>
      <x:c r="Q3654" s="13" t="n">
        <x:f>IF(H3654="","",H3654/1000000000)</x:f>
        <x:v>2.8</x:v>
      </x:c>
      <x:c r="R3654" s="13" t="n">
        <x:f>IF(I3654="","",I3654/1000000)</x:f>
        <x:v>35.8974358974359</x:v>
      </x:c>
    </x:row>
    <x:row r="3655" ht="21" customHeight="1">
      <x:c r="A3655" s="10" t="n">
        <x:v>4983</x:v>
      </x:c>
      <x:c r="B3655" s="2" t="str">
        <x:v>050db5b205b783b75618</x:v>
      </x:c>
      <x:c r="C3655" s="2" t="str">
        <x:v>Cà Mau</x:v>
      </x:c>
      <x:c r="D3655" s="2" t="str">
        <x:v>Thành phố Cà Mau</x:v>
      </x:c>
      <x:c r="E3655" s="2" t="str">
        <x:v>house</x:v>
      </x:c>
      <x:c r="F3655" s="2" t="str">
        <x:v>sale</x:v>
      </x:c>
      <x:c r="G3655" s="11" t="n">
        <x:v>100</x:v>
      </x:c>
      <x:c r="H3655" s="12" t="n">
        <x:v>1200000000</x:v>
      </x:c>
      <x:c r="I3655" s="12" t="n">
        <x:v>12000000</x:v>
      </x:c>
      <x:c r="J3655" s="2" t="str">
        <x:v>total</x:v>
      </x:c>
      <x:c r="K3655" s="2" t="str">
        <x:v>top_level_area</x:v>
      </x:c>
      <x:c r="L3655" s="2" t="str">
        <x:v>property_type_inferred_from_title</x:v>
      </x:c>
      <x:c r="M3655" s="10" t="n">
        <x:v>0</x:v>
      </x:c>
      <x:c r="N3655" s="10" t="n">
        <x:v>0</x:v>
      </x:c>
      <x:c r="O3655" s="2" t="str">
        <x:v>house</x:v>
      </x:c>
      <x:c r="P3655" s="10" t="n">
        <x:v>2</x:v>
      </x:c>
      <x:c r="Q3655" s="13" t="n">
        <x:f>IF(H3655="","",H3655/1000000000)</x:f>
        <x:v>1.2</x:v>
      </x:c>
      <x:c r="R3655" s="13" t="n">
        <x:f>IF(I3655="","",I3655/1000000)</x:f>
        <x:v>12</x:v>
      </x:c>
    </x:row>
    <x:row r="3656" ht="21" customHeight="1">
      <x:c r="A3656" s="10" t="n">
        <x:v>4985</x:v>
      </x:c>
      <x:c r="B3656" s="2" t="str">
        <x:v>d5a38c3d0ee2864788d7</x:v>
      </x:c>
      <x:c r="C3656" s="2" t="str">
        <x:v>Tp Hồ Chí Minh</x:v>
      </x:c>
      <x:c r="D3656" s="2" t="str">
        <x:v>Quận 9</x:v>
      </x:c>
      <x:c r="E3656" s="2" t="str">
        <x:v>land</x:v>
      </x:c>
      <x:c r="F3656" s="2" t="str">
        <x:v>sale_assumed</x:v>
      </x:c>
      <x:c r="G3656" s="11" t="n">
        <x:v>80</x:v>
      </x:c>
      <x:c r="H3656" s="12" t="n">
        <x:v>850000000</x:v>
      </x:c>
      <x:c r="I3656" s="12" t="n">
        <x:v>10625000</x:v>
      </x:c>
      <x:c r="J3656" s="2" t="str">
        <x:v>total</x:v>
      </x:c>
      <x:c r="K3656" s="2" t="str">
        <x:v>top_level_area</x:v>
      </x:c>
      <x:c r="L3656" s="2" t="str">
        <x:v>property_type_inferred_from_title;transaction_assumed_sale_from_dataset_context</x:v>
      </x:c>
      <x:c r="M3656" s="10" t="n">
        <x:v>0</x:v>
      </x:c>
      <x:c r="N3656" s="10" t="n">
        <x:v>0</x:v>
      </x:c>
      <x:c r="O3656" s="2" t="str">
        <x:v>Tp Hồ Chí Minh|land</x:v>
      </x:c>
      <x:c r="P3656" s="10" t="n">
        <x:v>2</x:v>
      </x:c>
      <x:c r="Q3656" s="13" t="n">
        <x:f>IF(H3656="","",H3656/1000000000)</x:f>
        <x:v>0.85</x:v>
      </x:c>
      <x:c r="R3656" s="13" t="n">
        <x:f>IF(I3656="","",I3656/1000000)</x:f>
        <x:v>10.625</x:v>
      </x:c>
    </x:row>
    <x:row r="3657" ht="21" customHeight="1">
      <x:c r="A3657" s="10" t="n">
        <x:v>4988</x:v>
      </x:c>
      <x:c r="B3657" s="2" t="str">
        <x:v>d652bc53c7f4705d8349</x:v>
      </x:c>
      <x:c r="C3657" s="2" t="str">
        <x:v>Hà Nội</x:v>
      </x:c>
      <x:c r="D3657" s="2" t="str">
        <x:v>Huyện Thanh Trì</x:v>
      </x:c>
      <x:c r="E3657" s="2" t="str">
        <x:v>apartment</x:v>
      </x:c>
      <x:c r="F3657" s="2" t="str">
        <x:v>sale_assumed</x:v>
      </x:c>
      <x:c r="G3657" s="11" t="n">
        <x:v>70</x:v>
      </x:c>
      <x:c r="H3657" s="12" t="n">
        <x:v>15800000</x:v>
      </x:c>
      <x:c r="I3657" s="12" t="n">
        <x:v>225714.2857142857</x:v>
      </x:c>
      <x:c r="J3657" s="2" t="str">
        <x:v>total</x:v>
      </x:c>
      <x:c r="K3657" s="2" t="str">
        <x:v>top_level_area</x:v>
      </x:c>
      <x:c r="L3657" s="2" t="str">
        <x:v>property_type_inferred_from_title;transaction_assumed_sale_from_dataset_context</x:v>
      </x:c>
      <x:c r="M3657" s="10" t="n">
        <x:v>0</x:v>
      </x:c>
      <x:c r="N3657" s="10" t="n">
        <x:v>0</x:v>
      </x:c>
      <x:c r="O3657" s="2" t="str">
        <x:v>Hà Nội|apartment</x:v>
      </x:c>
      <x:c r="P3657" s="10" t="n">
        <x:v>1</x:v>
      </x:c>
      <x:c r="Q3657" s="13" t="n">
        <x:f>IF(H3657="","",H3657/1000000000)</x:f>
        <x:v>0.0158</x:v>
      </x:c>
      <x:c r="R3657" s="13" t="n">
        <x:f>IF(I3657="","",I3657/1000000)</x:f>
        <x:v>0.2257142857142857</x:v>
      </x:c>
    </x:row>
    <x:row r="3658" ht="21" customHeight="1">
      <x:c r="A3658" s="10" t="n">
        <x:v>4989</x:v>
      </x:c>
      <x:c r="B3658" s="2" t="str">
        <x:v>d579fd952bf6e68e6652</x:v>
      </x:c>
      <x:c r="C3658" s="2" t="str">
        <x:v>Hà Nội</x:v>
      </x:c>
      <x:c r="D3658" s="2" t="str">
        <x:v>Quận Long Biên</x:v>
      </x:c>
      <x:c r="E3658" s="2" t="str">
        <x:v>house</x:v>
      </x:c>
      <x:c r="F3658" s="2" t="str">
        <x:v>sale_assumed</x:v>
      </x:c>
      <x:c r="G3658" s="11" t="n">
        <x:v>40</x:v>
      </x:c>
      <x:c r="H3658" s="12" t="n">
        <x:v>3800000000</x:v>
      </x:c>
      <x:c r="I3658" s="12" t="n">
        <x:v>95000000</x:v>
      </x:c>
      <x:c r="J3658" s="2" t="str">
        <x:v>total</x:v>
      </x:c>
      <x:c r="K3658" s="2" t="str">
        <x:v>top_level_price_embedded_area</x:v>
      </x:c>
      <x:c r="L3658" s="2" t="str">
        <x:v>area_recovered_from_price_text;property_type_inferred_from_title;transaction_assumed_sale_from_dataset_context</x:v>
      </x:c>
      <x:c r="M3658" s="10" t="n">
        <x:v>0</x:v>
      </x:c>
      <x:c r="N3658" s="10" t="n">
        <x:v>0</x:v>
      </x:c>
      <x:c r="O3658" s="2" t="str">
        <x:v>Hà Nội|house</x:v>
      </x:c>
      <x:c r="P3658" s="10" t="n">
        <x:v>2</x:v>
      </x:c>
      <x:c r="Q3658" s="13" t="n">
        <x:f>IF(H3658="","",H3658/1000000000)</x:f>
        <x:v>3.8</x:v>
      </x:c>
      <x:c r="R3658" s="13" t="n">
        <x:f>IF(I3658="","",I3658/1000000)</x:f>
        <x:v>95</x:v>
      </x:c>
    </x:row>
    <x:row r="3659" ht="21" customHeight="1">
      <x:c r="A3659" s="10" t="n">
        <x:v>4990</x:v>
      </x:c>
      <x:c r="B3659" s="2" t="str">
        <x:v>593f9ee7da9e44ea50d9</x:v>
      </x:c>
      <x:c r="C3659" s="2" t="str">
        <x:v>Tp Hồ Chí Minh</x:v>
      </x:c>
      <x:c r="D3659" s="2" t="str">
        <x:v>Quận 12</x:v>
      </x:c>
      <x:c r="E3659" s="2" t="str">
        <x:v>house</x:v>
      </x:c>
      <x:c r="F3659" s="2" t="str">
        <x:v>sale_assumed</x:v>
      </x:c>
      <x:c r="G3659" s="11" t="n">
        <x:v>39</x:v>
      </x:c>
      <x:c r="H3659" s="12" t="n">
        <x:v>3450000000</x:v>
      </x:c>
      <x:c r="I3659" s="12" t="n">
        <x:v>88461538.46153846</x:v>
      </x:c>
      <x:c r="J3659" s="2" t="str">
        <x:v>total</x:v>
      </x:c>
      <x:c r="K3659" s="2" t="str">
        <x:v>top_level_price_embedded_area</x:v>
      </x:c>
      <x:c r="L3659" s="2" t="str">
        <x:v>area_recovered_from_price_text;property_type_inferred_from_title;transaction_assumed_sale_from_dataset_context</x:v>
      </x:c>
      <x:c r="M3659" s="10" t="n">
        <x:v>0</x:v>
      </x:c>
      <x:c r="N3659" s="10" t="n">
        <x:v>0</x:v>
      </x:c>
      <x:c r="O3659" s="2" t="str">
        <x:v>Tp Hồ Chí Minh|house</x:v>
      </x:c>
      <x:c r="P3659" s="10" t="n">
        <x:v>2</x:v>
      </x:c>
      <x:c r="Q3659" s="13" t="n">
        <x:f>IF(H3659="","",H3659/1000000000)</x:f>
        <x:v>3.45</x:v>
      </x:c>
      <x:c r="R3659" s="13" t="n">
        <x:f>IF(I3659="","",I3659/1000000)</x:f>
        <x:v>88.46153846153847</x:v>
      </x:c>
    </x:row>
    <x:row r="3660" ht="21" customHeight="1">
      <x:c r="A3660" s="10" t="n">
        <x:v>4991</x:v>
      </x:c>
      <x:c r="B3660" s="2" t="str">
        <x:v>d127e48c4db02533cfc6</x:v>
      </x:c>
      <x:c r="C3660" s="2" t="str">
        <x:v>Hà Nội</x:v>
      </x:c>
      <x:c r="D3660" s="2" t="str">
        <x:v>Quận Hai Bà Trưng</x:v>
      </x:c>
      <x:c r="E3660" s="2" t="str">
        <x:v>house</x:v>
      </x:c>
      <x:c r="F3660" s="2" t="str">
        <x:v>sale_assumed</x:v>
      </x:c>
      <x:c r="G3660" s="11" t="n">
        <x:v>38</x:v>
      </x:c>
      <x:c r="H3660" s="12" t="n">
        <x:v>2750000000</x:v>
      </x:c>
      <x:c r="I3660" s="12" t="n">
        <x:v>72368421.05263157</x:v>
      </x:c>
      <x:c r="J3660" s="2" t="str">
        <x:v>total</x:v>
      </x:c>
      <x:c r="K3660" s="2" t="str">
        <x:v>top_level_area</x:v>
      </x:c>
      <x:c r="L3660" s="2" t="str">
        <x:v>property_type_inferred_from_title;transaction_assumed_sale_from_dataset_context</x:v>
      </x:c>
      <x:c r="M3660" s="10" t="n">
        <x:v>0</x:v>
      </x:c>
      <x:c r="N3660" s="10" t="n">
        <x:v>0</x:v>
      </x:c>
      <x:c r="O3660" s="2" t="str">
        <x:v>Hà Nội|house</x:v>
      </x:c>
      <x:c r="P3660" s="10" t="n">
        <x:v>2</x:v>
      </x:c>
      <x:c r="Q3660" s="13" t="n">
        <x:f>IF(H3660="","",H3660/1000000000)</x:f>
        <x:v>2.75</x:v>
      </x:c>
      <x:c r="R3660" s="13" t="n">
        <x:f>IF(I3660="","",I3660/1000000)</x:f>
        <x:v>72.36842105263158</x:v>
      </x:c>
    </x:row>
    <x:row r="3661" ht="21" customHeight="1">
      <x:c r="A3661" s="10" t="n">
        <x:v>4992</x:v>
      </x:c>
      <x:c r="B3661" s="2" t="str">
        <x:v>2234a4623ec471911387</x:v>
      </x:c>
      <x:c r="C3661" s="2" t="str">
        <x:v>Hà Nội</x:v>
      </x:c>
      <x:c r="D3661" s="2" t="str">
        <x:v>Quận Nam Từ Liêm</x:v>
      </x:c>
      <x:c r="E3661" s="2" t="str">
        <x:v>house</x:v>
      </x:c>
      <x:c r="F3661" s="2" t="str">
        <x:v>sale_assumed</x:v>
      </x:c>
      <x:c r="G3661" s="11" t="n">
        <x:v>55</x:v>
      </x:c>
      <x:c r="H3661" s="12" t="n">
        <x:v>3800000000</x:v>
      </x:c>
      <x:c r="I3661" s="12" t="n">
        <x:v>69090909.0909091</x:v>
      </x:c>
      <x:c r="J3661" s="2" t="str">
        <x:v>total</x:v>
      </x:c>
      <x:c r="K3661" s="2" t="str">
        <x:v>top_level_area</x:v>
      </x:c>
      <x:c r="L3661" s="2" t="str">
        <x:v>property_type_inferred_from_title;transaction_assumed_sale_from_dataset_context</x:v>
      </x:c>
      <x:c r="M3661" s="10" t="n">
        <x:v>0</x:v>
      </x:c>
      <x:c r="N3661" s="10" t="n">
        <x:v>0</x:v>
      </x:c>
      <x:c r="O3661" s="2" t="str">
        <x:v>Hà Nội|house</x:v>
      </x:c>
      <x:c r="P3661" s="10" t="n">
        <x:v>2</x:v>
      </x:c>
      <x:c r="Q3661" s="13" t="n">
        <x:f>IF(H3661="","",H3661/1000000000)</x:f>
        <x:v>3.8</x:v>
      </x:c>
      <x:c r="R3661" s="13" t="n">
        <x:f>IF(I3661="","",I3661/1000000)</x:f>
        <x:v>69.0909090909091</x:v>
      </x:c>
    </x:row>
    <x:row r="3662" ht="21" customHeight="1">
      <x:c r="A3662" s="10" t="n">
        <x:v>4993</x:v>
      </x:c>
      <x:c r="B3662" s="2" t="str">
        <x:v>1b41a11489ab20e3d96d</x:v>
      </x:c>
      <x:c r="C3662" s="2" t="str">
        <x:v>Hà Nội</x:v>
      </x:c>
      <x:c r="D3662" s="2" t="str">
        <x:v>Huyện Thanh Trì</x:v>
      </x:c>
      <x:c r="E3662" s="2" t="str">
        <x:v>house</x:v>
      </x:c>
      <x:c r="F3662" s="2" t="str">
        <x:v>sale_assumed</x:v>
      </x:c>
      <x:c r="G3662" s="11" t="n">
        <x:v>51</x:v>
      </x:c>
      <x:c r="H3662" s="12" t="n">
        <x:v>5650000000</x:v>
      </x:c>
      <x:c r="I3662" s="12" t="n">
        <x:v>110784313.7254902</x:v>
      </x:c>
      <x:c r="J3662" s="2" t="str">
        <x:v>total</x:v>
      </x:c>
      <x:c r="K3662" s="2" t="str">
        <x:v>top_level_area</x:v>
      </x:c>
      <x:c r="L3662" s="2" t="str">
        <x:v>property_type_inferred_from_title;transaction_assumed_sale_from_dataset_context</x:v>
      </x:c>
      <x:c r="M3662" s="10" t="n">
        <x:v>0</x:v>
      </x:c>
      <x:c r="N3662" s="10" t="n">
        <x:v>0</x:v>
      </x:c>
      <x:c r="O3662" s="2" t="str">
        <x:v>Hà Nội|house</x:v>
      </x:c>
      <x:c r="P3662" s="10" t="n">
        <x:v>2</x:v>
      </x:c>
      <x:c r="Q3662" s="13" t="n">
        <x:f>IF(H3662="","",H3662/1000000000)</x:f>
        <x:v>5.65</x:v>
      </x:c>
      <x:c r="R3662" s="13" t="n">
        <x:f>IF(I3662="","",I3662/1000000)</x:f>
        <x:v>110.7843137254902</x:v>
      </x:c>
    </x:row>
    <x:row r="3663" ht="21" customHeight="1">
      <x:c r="A3663" s="10" t="n">
        <x:v>4994</x:v>
      </x:c>
      <x:c r="B3663" s="2" t="str">
        <x:v>d9dd715f6d509a60d05b</x:v>
      </x:c>
      <x:c r="C3663" s="2" t="str">
        <x:v>Đà Nẵng</x:v>
      </x:c>
      <x:c r="D3663" s="2" t="str">
        <x:v>Quận Ngũ Hành Sơn</x:v>
      </x:c>
      <x:c r="E3663" s="2" t="str">
        <x:v>other_unknown</x:v>
      </x:c>
      <x:c r="F3663" s="2" t="str">
        <x:v>sale_assumed</x:v>
      </x:c>
      <x:c r="G3663" s="11" t="n">
        <x:v>100</x:v>
      </x:c>
      <x:c r="H3663" s="12" t="n">
        <x:v>1870000000</x:v>
      </x:c>
      <x:c r="I3663" s="12" t="n">
        <x:v>18700000</x:v>
      </x:c>
      <x:c r="J3663" s="2" t="str">
        <x:v>total</x:v>
      </x:c>
      <x:c r="K3663" s="2" t="str">
        <x:v>top_level_area</x:v>
      </x:c>
      <x:c r="L3663" s="2" t="str">
        <x:v>property_type_inferred_from_title;transaction_assumed_sale_from_dataset_context;unknown_property_type</x:v>
      </x:c>
      <x:c r="M3663" s="10" t="n">
        <x:v>0</x:v>
      </x:c>
      <x:c r="N3663" s="10" t="n">
        <x:v>0</x:v>
      </x:c>
      <x:c r="O3663" s="2" t="str">
        <x:v>Đà Nẵng|other_unknown</x:v>
      </x:c>
      <x:c r="P3663" s="10" t="n">
        <x:v>2</x:v>
      </x:c>
      <x:c r="Q3663" s="13" t="n">
        <x:f>IF(H3663="","",H3663/1000000000)</x:f>
        <x:v>1.87</x:v>
      </x:c>
      <x:c r="R3663" s="13" t="n">
        <x:f>IF(I3663="","",I3663/1000000)</x:f>
        <x:v>18.7</x:v>
      </x:c>
    </x:row>
    <x:row r="3664" ht="21" customHeight="1">
      <x:c r="A3664" s="10" t="n">
        <x:v>4995</x:v>
      </x:c>
      <x:c r="B3664" s="2" t="str">
        <x:v>90b0bdeb1526d1806a9d</x:v>
      </x:c>
      <x:c r="C3664" s="2" t="str">
        <x:v>Hà Nội</x:v>
      </x:c>
      <x:c r="D3664" s="2" t="str">
        <x:v>Quận Hai Bà Trưng</x:v>
      </x:c>
      <x:c r="E3664" s="2" t="str">
        <x:v>house</x:v>
      </x:c>
      <x:c r="F3664" s="2" t="str">
        <x:v>sale_assumed</x:v>
      </x:c>
      <x:c r="G3664" s="11" t="n">
        <x:v>26</x:v>
      </x:c>
      <x:c r="H3664" s="12" t="n">
        <x:v>2000000000</x:v>
      </x:c>
      <x:c r="I3664" s="12" t="n">
        <x:v>76923076.92307693</x:v>
      </x:c>
      <x:c r="J3664" s="2" t="str">
        <x:v>total</x:v>
      </x:c>
      <x:c r="K3664" s="2" t="str">
        <x:v>top_level_area</x:v>
      </x:c>
      <x:c r="L3664" s="2" t="str">
        <x:v>property_type_inferred_from_title;transaction_assumed_sale_from_dataset_context</x:v>
      </x:c>
      <x:c r="M3664" s="10" t="n">
        <x:v>0</x:v>
      </x:c>
      <x:c r="N3664" s="10" t="n">
        <x:v>0</x:v>
      </x:c>
      <x:c r="O3664" s="2" t="str">
        <x:v>Hà Nội|house</x:v>
      </x:c>
      <x:c r="P3664" s="10" t="n">
        <x:v>2</x:v>
      </x:c>
      <x:c r="Q3664" s="13" t="n">
        <x:f>IF(H3664="","",H3664/1000000000)</x:f>
        <x:v>2</x:v>
      </x:c>
      <x:c r="R3664" s="13" t="n">
        <x:f>IF(I3664="","",I3664/1000000)</x:f>
        <x:v>76.92307692307693</x:v>
      </x:c>
    </x:row>
    <x:row r="3665" ht="21" customHeight="1">
      <x:c r="A3665" s="10" t="n">
        <x:v>4996</x:v>
      </x:c>
      <x:c r="B3665" s="2" t="str">
        <x:v>cd319d9cfa11dfb33329</x:v>
      </x:c>
      <x:c r="C3665" s="2" t="str">
        <x:v>Tp Hồ Chí Minh</x:v>
      </x:c>
      <x:c r="D3665" s="2" t="str">
        <x:v>Quận 3</x:v>
      </x:c>
      <x:c r="E3665" s="2" t="str">
        <x:v>house</x:v>
      </x:c>
      <x:c r="F3665" s="2" t="str">
        <x:v>sale_assumed</x:v>
      </x:c>
      <x:c r="G3665" s="11" t="n">
        <x:v>64</x:v>
      </x:c>
      <x:c r="H3665" s="12" t="n">
        <x:v>4650000000</x:v>
      </x:c>
      <x:c r="I3665" s="12" t="n">
        <x:v>72656250</x:v>
      </x:c>
      <x:c r="J3665" s="2" t="str">
        <x:v>total</x:v>
      </x:c>
      <x:c r="K3665" s="2" t="str">
        <x:v>top_level_area</x:v>
      </x:c>
      <x:c r="L3665" s="2" t="str">
        <x:v>property_type_inferred_from_title;transaction_assumed_sale_from_dataset_context</x:v>
      </x:c>
      <x:c r="M3665" s="10" t="n">
        <x:v>0</x:v>
      </x:c>
      <x:c r="N3665" s="10" t="n">
        <x:v>0</x:v>
      </x:c>
      <x:c r="O3665" s="2" t="str">
        <x:v>Tp Hồ Chí Minh|house</x:v>
      </x:c>
      <x:c r="P3665" s="10" t="n">
        <x:v>2</x:v>
      </x:c>
      <x:c r="Q3665" s="13" t="n">
        <x:f>IF(H3665="","",H3665/1000000000)</x:f>
        <x:v>4.65</x:v>
      </x:c>
      <x:c r="R3665" s="13" t="n">
        <x:f>IF(I3665="","",I3665/1000000)</x:f>
        <x:v>72.65625</x:v>
      </x:c>
    </x:row>
    <x:row r="3666" ht="21" customHeight="1">
      <x:c r="A3666" s="10" t="n">
        <x:v>4997</x:v>
      </x:c>
      <x:c r="B3666" s="2" t="str">
        <x:v>4e8f96ae7f230c0b0b80</x:v>
      </x:c>
      <x:c r="C3666" s="2" t="str">
        <x:v>Lâm Đồng</x:v>
      </x:c>
      <x:c r="D3666" s="2" t="str">
        <x:v>Thành phố Bảo Lộc</x:v>
      </x:c>
      <x:c r="E3666" s="2" t="str">
        <x:v>land</x:v>
      </x:c>
      <x:c r="F3666" s="2" t="str">
        <x:v>sale</x:v>
      </x:c>
      <x:c r="G3666" s="11" t="n">
        <x:v>143</x:v>
      </x:c>
      <x:c r="H3666" s="12" t="n">
        <x:v>550000000</x:v>
      </x:c>
      <x:c r="I3666" s="12" t="n">
        <x:v>3846153.846153846</x:v>
      </x:c>
      <x:c r="J3666" s="2" t="str">
        <x:v>total</x:v>
      </x:c>
      <x:c r="K3666" s="2" t="str">
        <x:v>top_level_area</x:v>
      </x:c>
      <x:c r="L3666" s="2" t="str">
        <x:v>property_type_inferred_from_title</x:v>
      </x:c>
      <x:c r="M3666" s="10" t="n">
        <x:v>0</x:v>
      </x:c>
      <x:c r="N3666" s="10" t="n">
        <x:v>0</x:v>
      </x:c>
      <x:c r="O3666" s="2" t="str">
        <x:v>Lâm Đồng|land</x:v>
      </x:c>
      <x:c r="P3666" s="10" t="n">
        <x:v>1</x:v>
      </x:c>
      <x:c r="Q3666" s="13" t="n">
        <x:f>IF(H3666="","",H3666/1000000000)</x:f>
        <x:v>0.55</x:v>
      </x:c>
      <x:c r="R3666" s="13" t="n">
        <x:f>IF(I3666="","",I3666/1000000)</x:f>
        <x:v>3.846153846153846</x:v>
      </x:c>
    </x:row>
    <x:row r="3667" ht="21" customHeight="1">
      <x:c r="A3667" s="10" t="n">
        <x:v>4998</x:v>
      </x:c>
      <x:c r="B3667" s="2" t="str">
        <x:v>2c742ef3ea4854891b46</x:v>
      </x:c>
      <x:c r="C3667" s="2" t="str">
        <x:v>Đắk Lắk</x:v>
      </x:c>
      <x:c r="D3667" s="2" t="str">
        <x:v>Thành phố Buôn Ma Thuột</x:v>
      </x:c>
      <x:c r="E3667" s="2" t="str">
        <x:v>house</x:v>
      </x:c>
      <x:c r="F3667" s="2" t="str">
        <x:v>sale_assumed</x:v>
      </x:c>
      <x:c r="G3667" s="11" t="n">
        <x:v>105</x:v>
      </x:c>
      <x:c r="H3667" s="12" t="n">
        <x:v>1350000000</x:v>
      </x:c>
      <x:c r="I3667" s="12" t="n">
        <x:v>12857142.857142856</x:v>
      </x:c>
      <x:c r="J3667" s="2" t="str">
        <x:v>total</x:v>
      </x:c>
      <x:c r="K3667" s="2" t="str">
        <x:v>top_level_area</x:v>
      </x:c>
      <x:c r="L3667" s="2" t="str">
        <x:v>property_type_inferred_from_title;transaction_assumed_sale_from_dataset_context</x:v>
      </x:c>
      <x:c r="M3667" s="10" t="n">
        <x:v>0</x:v>
      </x:c>
      <x:c r="N3667" s="10" t="n">
        <x:v>0</x:v>
      </x:c>
      <x:c r="O3667" s="2" t="str">
        <x:v>Đắk Lắk|house</x:v>
      </x:c>
      <x:c r="P3667" s="10" t="n">
        <x:v>2</x:v>
      </x:c>
      <x:c r="Q3667" s="13" t="n">
        <x:f>IF(H3667="","",H3667/1000000000)</x:f>
        <x:v>1.35</x:v>
      </x:c>
      <x:c r="R3667" s="13" t="n">
        <x:f>IF(I3667="","",I3667/1000000)</x:f>
        <x:v>12.857142857142856</x:v>
      </x:c>
    </x:row>
    <x:row r="3668" ht="21" customHeight="1">
      <x:c r="A3668" s="10" t="n">
        <x:v>4999</x:v>
      </x:c>
      <x:c r="B3668" s="2" t="str">
        <x:v>01dad1fd37de60f88506</x:v>
      </x:c>
      <x:c r="C3668" s="2" t="str">
        <x:v>Hà Nội</x:v>
      </x:c>
      <x:c r="D3668" s="2" t="str">
        <x:v>Quận Đống Đa</x:v>
      </x:c>
      <x:c r="E3668" s="2" t="str">
        <x:v>house</x:v>
      </x:c>
      <x:c r="F3668" s="2" t="str">
        <x:v>sale</x:v>
      </x:c>
      <x:c r="G3668" s="11" t="n">
        <x:v>40</x:v>
      </x:c>
      <x:c r="H3668" s="12" t="n">
        <x:v>4300000000</x:v>
      </x:c>
      <x:c r="I3668" s="12" t="n">
        <x:v>107500000</x:v>
      </x:c>
      <x:c r="J3668" s="2" t="str">
        <x:v>total</x:v>
      </x:c>
      <x:c r="K3668" s="2" t="str">
        <x:v>top_level_area</x:v>
      </x:c>
      <x:c r="L3668" s="2" t="str">
        <x:v>property_type_inferred_from_title</x:v>
      </x:c>
      <x:c r="M3668" s="10" t="n">
        <x:v>0</x:v>
      </x:c>
      <x:c r="N3668" s="10" t="n">
        <x:v>0</x:v>
      </x:c>
      <x:c r="O3668" s="2" t="str">
        <x:v>Hà Nội|house</x:v>
      </x:c>
      <x:c r="P3668" s="10" t="n">
        <x:v>2</x:v>
      </x:c>
      <x:c r="Q3668" s="13" t="n">
        <x:f>IF(H3668="","",H3668/1000000000)</x:f>
        <x:v>4.3</x:v>
      </x:c>
      <x:c r="R3668" s="13" t="n">
        <x:f>IF(I3668="","",I3668/1000000)</x:f>
        <x:v>107.5</x:v>
      </x:c>
    </x:row>
    <x:row r="3669" ht="21" customHeight="1">
      <x:c r="A3669" s="10" t="n">
        <x:v>5000</x:v>
      </x:c>
      <x:c r="B3669" s="2" t="str">
        <x:v>1fa813db3de90a400dd1</x:v>
      </x:c>
      <x:c r="C3669" s="2" t="str">
        <x:v>Hà Nội</x:v>
      </x:c>
      <x:c r="D3669" s="2" t="str">
        <x:v>Quận Hoàng Mai</x:v>
      </x:c>
      <x:c r="E3669" s="2" t="str">
        <x:v>house</x:v>
      </x:c>
      <x:c r="F3669" s="2" t="str">
        <x:v>sale_assumed</x:v>
      </x:c>
      <x:c r="G3669" s="11" t="n">
        <x:v>38</x:v>
      </x:c>
      <x:c r="H3669" s="12" t="n">
        <x:v>2750000000</x:v>
      </x:c>
      <x:c r="I3669" s="12" t="n">
        <x:v>72368421.05263157</x:v>
      </x:c>
      <x:c r="J3669" s="2" t="str">
        <x:v>total</x:v>
      </x:c>
      <x:c r="K3669" s="2" t="str">
        <x:v>top_level_area</x:v>
      </x:c>
      <x:c r="L3669" s="2" t="str">
        <x:v>property_type_inferred_from_title;transaction_assumed_sale_from_dataset_context</x:v>
      </x:c>
      <x:c r="M3669" s="10" t="n">
        <x:v>0</x:v>
      </x:c>
      <x:c r="N3669" s="10" t="n">
        <x:v>0</x:v>
      </x:c>
      <x:c r="O3669" s="2" t="str">
        <x:v>Hà Nội|house</x:v>
      </x:c>
      <x:c r="P3669" s="10" t="n">
        <x:v>2</x:v>
      </x:c>
      <x:c r="Q3669" s="13" t="n">
        <x:f>IF(H3669="","",H3669/1000000000)</x:f>
        <x:v>2.75</x:v>
      </x:c>
      <x:c r="R3669" s="13" t="n">
        <x:f>IF(I3669="","",I3669/1000000)</x:f>
        <x:v>72.36842105263158</x:v>
      </x:c>
    </x:row>
    <x:row r="3670" ht="21" customHeight="1">
      <x:c r="A3670" s="10" t="n">
        <x:v>5001</x:v>
      </x:c>
      <x:c r="B3670" s="2" t="str">
        <x:v>2c184b5f676727576d2d</x:v>
      </x:c>
      <x:c r="C3670" s="2" t="str">
        <x:v>Hà Nội</x:v>
      </x:c>
      <x:c r="D3670" s="2" t="str">
        <x:v>Quận Hai Bà Trưng</x:v>
      </x:c>
      <x:c r="E3670" s="2" t="str">
        <x:v>house</x:v>
      </x:c>
      <x:c r="F3670" s="2" t="str">
        <x:v>sale</x:v>
      </x:c>
      <x:c r="G3670" s="11" t="n">
        <x:v>40</x:v>
      </x:c>
      <x:c r="H3670" s="12" t="n">
        <x:v>3500000000</x:v>
      </x:c>
      <x:c r="I3670" s="12" t="n">
        <x:v>87500000</x:v>
      </x:c>
      <x:c r="J3670" s="2" t="str">
        <x:v>total</x:v>
      </x:c>
      <x:c r="K3670" s="2" t="str">
        <x:v>top_level_area</x:v>
      </x:c>
      <x:c r="L3670" s="2" t="str">
        <x:v>property_type_inferred_from_title</x:v>
      </x:c>
      <x:c r="M3670" s="10" t="n">
        <x:v>0</x:v>
      </x:c>
      <x:c r="N3670" s="10" t="n">
        <x:v>0</x:v>
      </x:c>
      <x:c r="O3670" s="2" t="str">
        <x:v>Hà Nội|house</x:v>
      </x:c>
      <x:c r="P3670" s="10" t="n">
        <x:v>2</x:v>
      </x:c>
      <x:c r="Q3670" s="13" t="n">
        <x:f>IF(H3670="","",H3670/1000000000)</x:f>
        <x:v>3.5</x:v>
      </x:c>
      <x:c r="R3670" s="13" t="n">
        <x:f>IF(I3670="","",I3670/1000000)</x:f>
        <x:v>87.5</x:v>
      </x:c>
    </x:row>
    <x:row r="3671" ht="21" customHeight="1">
      <x:c r="A3671" s="10" t="n">
        <x:v>5002</x:v>
      </x:c>
      <x:c r="B3671" s="2" t="str">
        <x:v>262ad8f44a7e402a2b38</x:v>
      </x:c>
      <x:c r="C3671" s="2" t="str">
        <x:v>Tp Hồ Chí Minh</x:v>
      </x:c>
      <x:c r="D3671" s="2" t="str">
        <x:v>Quận Bình Tân</x:v>
      </x:c>
      <x:c r="E3671" s="2" t="str">
        <x:v>land</x:v>
      </x:c>
      <x:c r="F3671" s="2" t="str">
        <x:v>sale</x:v>
      </x:c>
      <x:c r="G3671" s="11" t="n">
        <x:v>74</x:v>
      </x:c>
      <x:c r="H3671" s="12" t="n">
        <x:v>3280000000</x:v>
      </x:c>
      <x:c r="I3671" s="12" t="n">
        <x:v>44324324.324324325</x:v>
      </x:c>
      <x:c r="J3671" s="2" t="str">
        <x:v>total</x:v>
      </x:c>
      <x:c r="K3671" s="2" t="str">
        <x:v>top_level_area</x:v>
      </x:c>
      <x:c r="L3671" s="2" t="str">
        <x:v>property_type_inferred_from_title</x:v>
      </x:c>
      <x:c r="M3671" s="10" t="n">
        <x:v>0</x:v>
      </x:c>
      <x:c r="N3671" s="10" t="n">
        <x:v>0</x:v>
      </x:c>
      <x:c r="O3671" s="2" t="str">
        <x:v>Tp Hồ Chí Minh|land</x:v>
      </x:c>
      <x:c r="P3671" s="10" t="n">
        <x:v>2</x:v>
      </x:c>
      <x:c r="Q3671" s="13" t="n">
        <x:f>IF(H3671="","",H3671/1000000000)</x:f>
        <x:v>3.28</x:v>
      </x:c>
      <x:c r="R3671" s="13" t="n">
        <x:f>IF(I3671="","",I3671/1000000)</x:f>
        <x:v>44.32432432432432</x:v>
      </x:c>
    </x:row>
    <x:row r="3672" ht="21" customHeight="1">
      <x:c r="A3672" s="10" t="n">
        <x:v>5003</x:v>
      </x:c>
      <x:c r="B3672" s="2" t="str">
        <x:v>0865e0308e83a2ce1103</x:v>
      </x:c>
      <x:c r="C3672" s="2" t="str">
        <x:v>Tp Hồ Chí Minh</x:v>
      </x:c>
      <x:c r="D3672" s="2" t="str">
        <x:v>Huyện Bình Chánh</x:v>
      </x:c>
      <x:c r="E3672" s="2" t="str">
        <x:v>house</x:v>
      </x:c>
      <x:c r="F3672" s="2" t="str">
        <x:v>sale_assumed</x:v>
      </x:c>
      <x:c r="G3672" s="11" t="n">
        <x:v>200</x:v>
      </x:c>
      <x:c r="H3672" s="12" t="n">
        <x:v>16000000000</x:v>
      </x:c>
      <x:c r="I3672" s="12" t="n">
        <x:v>80000000</x:v>
      </x:c>
      <x:c r="J3672" s="2" t="str">
        <x:v>total</x:v>
      </x:c>
      <x:c r="K3672" s="2" t="str">
        <x:v>top_level_area</x:v>
      </x:c>
      <x:c r="L3672" s="2" t="str">
        <x:v>property_type_inferred_from_title;transaction_assumed_sale_from_dataset_context</x:v>
      </x:c>
      <x:c r="M3672" s="10" t="n">
        <x:v>0</x:v>
      </x:c>
      <x:c r="N3672" s="10" t="n">
        <x:v>0</x:v>
      </x:c>
      <x:c r="O3672" s="2" t="str">
        <x:v>Tp Hồ Chí Minh|house</x:v>
      </x:c>
      <x:c r="P3672" s="10" t="n">
        <x:v>2</x:v>
      </x:c>
      <x:c r="Q3672" s="13" t="n">
        <x:f>IF(H3672="","",H3672/1000000000)</x:f>
        <x:v>16</x:v>
      </x:c>
      <x:c r="R3672" s="13" t="n">
        <x:f>IF(I3672="","",I3672/1000000)</x:f>
        <x:v>80</x:v>
      </x:c>
    </x:row>
    <x:row r="3673" ht="21" customHeight="1">
      <x:c r="A3673" s="10" t="n">
        <x:v>5004</x:v>
      </x:c>
      <x:c r="B3673" s="2" t="str">
        <x:v>d50dc609bc176156e1f0</x:v>
      </x:c>
      <x:c r="C3673" s="2" t="str">
        <x:v>Long An</x:v>
      </x:c>
      <x:c r="D3673" s="2" t="str">
        <x:v>Huyện Cần Giuộc</x:v>
      </x:c>
      <x:c r="E3673" s="2" t="str">
        <x:v>house</x:v>
      </x:c>
      <x:c r="F3673" s="2" t="str">
        <x:v>sale_assumed</x:v>
      </x:c>
      <x:c r="G3673" s="11" t="n">
        <x:v>80</x:v>
      </x:c>
      <x:c r="H3673" s="12" t="n">
        <x:v>1050000000</x:v>
      </x:c>
      <x:c r="I3673" s="12" t="n">
        <x:v>13125000</x:v>
      </x:c>
      <x:c r="J3673" s="2" t="str">
        <x:v>total</x:v>
      </x:c>
      <x:c r="K3673" s="2" t="str">
        <x:v>top_level_area</x:v>
      </x:c>
      <x:c r="L3673" s="2" t="str">
        <x:v>property_type_inferred_from_title;transaction_assumed_sale_from_dataset_context</x:v>
      </x:c>
      <x:c r="M3673" s="10" t="n">
        <x:v>0</x:v>
      </x:c>
      <x:c r="N3673" s="10" t="n">
        <x:v>0</x:v>
      </x:c>
      <x:c r="O3673" s="2" t="str">
        <x:v>Long An|house</x:v>
      </x:c>
      <x:c r="P3673" s="10" t="n">
        <x:v>2</x:v>
      </x:c>
      <x:c r="Q3673" s="13" t="n">
        <x:f>IF(H3673="","",H3673/1000000000)</x:f>
        <x:v>1.05</x:v>
      </x:c>
      <x:c r="R3673" s="13" t="n">
        <x:f>IF(I3673="","",I3673/1000000)</x:f>
        <x:v>13.125</x:v>
      </x:c>
    </x:row>
    <x:row r="3674" ht="21" customHeight="1">
      <x:c r="A3674" s="10" t="n">
        <x:v>5005</x:v>
      </x:c>
      <x:c r="B3674" s="2" t="str">
        <x:v>7e3400cc0c01abe3f08b</x:v>
      </x:c>
      <x:c r="C3674" s="2" t="str">
        <x:v>Hà Nội</x:v>
      </x:c>
      <x:c r="D3674" s="2" t="str">
        <x:v>Quận Hoàng Mai</x:v>
      </x:c>
      <x:c r="E3674" s="2" t="str">
        <x:v>house</x:v>
      </x:c>
      <x:c r="F3674" s="2" t="str">
        <x:v>sale_assumed</x:v>
      </x:c>
      <x:c r="G3674" s="11" t="n">
        <x:v>35</x:v>
      </x:c>
      <x:c r="H3674" s="12" t="n">
        <x:v>2780000000</x:v>
      </x:c>
      <x:c r="I3674" s="12" t="n">
        <x:v>79428571.42857143</x:v>
      </x:c>
      <x:c r="J3674" s="2" t="str">
        <x:v>total</x:v>
      </x:c>
      <x:c r="K3674" s="2" t="str">
        <x:v>top_level_area</x:v>
      </x:c>
      <x:c r="L3674" s="2" t="str">
        <x:v>property_type_inferred_from_title;transaction_assumed_sale_from_dataset_context</x:v>
      </x:c>
      <x:c r="M3674" s="10" t="n">
        <x:v>0</x:v>
      </x:c>
      <x:c r="N3674" s="10" t="n">
        <x:v>0</x:v>
      </x:c>
      <x:c r="O3674" s="2" t="str">
        <x:v>Hà Nội|house</x:v>
      </x:c>
      <x:c r="P3674" s="10" t="n">
        <x:v>2</x:v>
      </x:c>
      <x:c r="Q3674" s="13" t="n">
        <x:f>IF(H3674="","",H3674/1000000000)</x:f>
        <x:v>2.78</x:v>
      </x:c>
      <x:c r="R3674" s="13" t="n">
        <x:f>IF(I3674="","",I3674/1000000)</x:f>
        <x:v>79.42857142857143</x:v>
      </x:c>
    </x:row>
    <x:row r="3675" ht="21" customHeight="1">
      <x:c r="A3675" s="10" t="n">
        <x:v>5007</x:v>
      </x:c>
      <x:c r="B3675" s="2" t="str">
        <x:v>60bceecd5f16391f647c</x:v>
      </x:c>
      <x:c r="C3675" s="2" t="str">
        <x:v>Hà Nội</x:v>
      </x:c>
      <x:c r="D3675" s="2" t="str">
        <x:v>Quận Thanh Xuân</x:v>
      </x:c>
      <x:c r="E3675" s="2" t="str">
        <x:v>house</x:v>
      </x:c>
      <x:c r="F3675" s="2" t="str">
        <x:v>sale</x:v>
      </x:c>
      <x:c r="G3675" s="11" t="n">
        <x:v>30</x:v>
      </x:c>
      <x:c r="H3675" s="12" t="n">
        <x:v>2750000000</x:v>
      </x:c>
      <x:c r="I3675" s="12" t="n">
        <x:v>91666666.66666667</x:v>
      </x:c>
      <x:c r="J3675" s="2" t="str">
        <x:v>total</x:v>
      </x:c>
      <x:c r="K3675" s="2" t="str">
        <x:v>top_level_area</x:v>
      </x:c>
      <x:c r="L3675" s="2" t="str">
        <x:v>property_type_inferred_from_title</x:v>
      </x:c>
      <x:c r="M3675" s="10" t="n">
        <x:v>0</x:v>
      </x:c>
      <x:c r="N3675" s="10" t="n">
        <x:v>0</x:v>
      </x:c>
      <x:c r="O3675" s="2" t="str">
        <x:v>Hà Nội|house</x:v>
      </x:c>
      <x:c r="P3675" s="10" t="n">
        <x:v>2</x:v>
      </x:c>
      <x:c r="Q3675" s="13" t="n">
        <x:f>IF(H3675="","",H3675/1000000000)</x:f>
        <x:v>2.75</x:v>
      </x:c>
      <x:c r="R3675" s="13" t="n">
        <x:f>IF(I3675="","",I3675/1000000)</x:f>
        <x:v>91.66666666666667</x:v>
      </x:c>
    </x:row>
    <x:row r="3676" ht="21" customHeight="1">
      <x:c r="A3676" s="10" t="n">
        <x:v>5008</x:v>
      </x:c>
      <x:c r="B3676" s="2" t="str">
        <x:v>d60594f98da5540c6e5a</x:v>
      </x:c>
      <x:c r="C3676" s="2" t="str">
        <x:v>Tp Hồ Chí Minh</x:v>
      </x:c>
      <x:c r="D3676" s="2" t="str">
        <x:v>Quận 9</x:v>
      </x:c>
      <x:c r="E3676" s="2" t="str">
        <x:v>land</x:v>
      </x:c>
      <x:c r="F3676" s="2" t="str">
        <x:v>sale</x:v>
      </x:c>
      <x:c r="G3676" s="11" t="n">
        <x:v>88.3</x:v>
      </x:c>
      <x:c r="H3676" s="12" t="n">
        <x:v>3550000000</x:v>
      </x:c>
      <x:c r="I3676" s="12" t="n">
        <x:v>40203850.50962628</x:v>
      </x:c>
      <x:c r="J3676" s="2" t="str">
        <x:v>total</x:v>
      </x:c>
      <x:c r="K3676" s="2" t="str">
        <x:v>top_level_area</x:v>
      </x:c>
      <x:c r="L3676" s="2" t="str">
        <x:v>property_type_inferred_from_title</x:v>
      </x:c>
      <x:c r="M3676" s="10" t="n">
        <x:v>0</x:v>
      </x:c>
      <x:c r="N3676" s="10" t="n">
        <x:v>0</x:v>
      </x:c>
      <x:c r="O3676" s="2" t="str">
        <x:v>Tp Hồ Chí Minh|land</x:v>
      </x:c>
      <x:c r="P3676" s="10" t="n">
        <x:v>2</x:v>
      </x:c>
      <x:c r="Q3676" s="13" t="n">
        <x:f>IF(H3676="","",H3676/1000000000)</x:f>
        <x:v>3.55</x:v>
      </x:c>
      <x:c r="R3676" s="13" t="n">
        <x:f>IF(I3676="","",I3676/1000000)</x:f>
        <x:v>40.20385050962628</x:v>
      </x:c>
    </x:row>
    <x:row r="3677" ht="21" customHeight="1">
      <x:c r="A3677" s="10" t="n">
        <x:v>5012</x:v>
      </x:c>
      <x:c r="B3677" s="2" t="str">
        <x:v>1d83367b7c9b5826a509</x:v>
      </x:c>
      <x:c r="C3677" s="2" t="str">
        <x:v>Tp Hồ Chí Minh</x:v>
      </x:c>
      <x:c r="D3677" s="2" t="str">
        <x:v>Quận Thủ Đức</x:v>
      </x:c>
      <x:c r="E3677" s="2" t="str">
        <x:v>house</x:v>
      </x:c>
      <x:c r="F3677" s="2" t="str">
        <x:v>sale_assumed</x:v>
      </x:c>
      <x:c r="G3677" s="11" t="n">
        <x:v>53.4</x:v>
      </x:c>
      <x:c r="H3677" s="12" t="n">
        <x:v>3100000000</x:v>
      </x:c>
      <x:c r="I3677" s="12" t="n">
        <x:v>58052434.45692884</x:v>
      </x:c>
      <x:c r="J3677" s="2" t="str">
        <x:v>total</x:v>
      </x:c>
      <x:c r="K3677" s="2" t="str">
        <x:v>top_level_area</x:v>
      </x:c>
      <x:c r="L3677" s="2" t="str">
        <x:v>property_type_inferred_from_title;transaction_assumed_sale_from_dataset_context</x:v>
      </x:c>
      <x:c r="M3677" s="10" t="n">
        <x:v>0</x:v>
      </x:c>
      <x:c r="N3677" s="10" t="n">
        <x:v>0</x:v>
      </x:c>
      <x:c r="O3677" s="2" t="str">
        <x:v>Tp Hồ Chí Minh|house</x:v>
      </x:c>
      <x:c r="P3677" s="10" t="n">
        <x:v>2</x:v>
      </x:c>
      <x:c r="Q3677" s="13" t="n">
        <x:f>IF(H3677="","",H3677/1000000000)</x:f>
        <x:v>3.1</x:v>
      </x:c>
      <x:c r="R3677" s="13" t="n">
        <x:f>IF(I3677="","",I3677/1000000)</x:f>
        <x:v>58.05243445692884</x:v>
      </x:c>
    </x:row>
    <x:row r="3678" ht="21" customHeight="1">
      <x:c r="A3678" s="10" t="n">
        <x:v>5013</x:v>
      </x:c>
      <x:c r="B3678" s="2" t="str">
        <x:v>d87278c900bf8570d054</x:v>
      </x:c>
      <x:c r="C3678" s="2" t="str">
        <x:v>Hà Nội</x:v>
      </x:c>
      <x:c r="D3678" s="2" t="str">
        <x:v>Quận Hai Bà Trưng</x:v>
      </x:c>
      <x:c r="E3678" s="2" t="str">
        <x:v>other_unknown</x:v>
      </x:c>
      <x:c r="F3678" s="2" t="str">
        <x:v>sale_assumed</x:v>
      </x:c>
      <x:c r="G3678" s="11" t="n">
        <x:v>50</x:v>
      </x:c>
      <x:c r="H3678" s="12" t="n">
        <x:v>5150000000</x:v>
      </x:c>
      <x:c r="I3678" s="12" t="n">
        <x:v>103000000</x:v>
      </x:c>
      <x:c r="J3678" s="2" t="str">
        <x:v>total</x:v>
      </x:c>
      <x:c r="K3678" s="2" t="str">
        <x:v>top_level_area</x:v>
      </x:c>
      <x:c r="L3678" s="2" t="str">
        <x:v>property_type_inferred_from_title;transaction_assumed_sale_from_dataset_context;unknown_property_type</x:v>
      </x:c>
      <x:c r="M3678" s="10" t="n">
        <x:v>0</x:v>
      </x:c>
      <x:c r="N3678" s="10" t="n">
        <x:v>0</x:v>
      </x:c>
      <x:c r="O3678" s="2" t="str">
        <x:v>Hà Nội|other_unknown</x:v>
      </x:c>
      <x:c r="P3678" s="10" t="n">
        <x:v>2</x:v>
      </x:c>
      <x:c r="Q3678" s="13" t="n">
        <x:f>IF(H3678="","",H3678/1000000000)</x:f>
        <x:v>5.15</x:v>
      </x:c>
      <x:c r="R3678" s="13" t="n">
        <x:f>IF(I3678="","",I3678/1000000)</x:f>
        <x:v>103</x:v>
      </x:c>
    </x:row>
    <x:row r="3679" ht="21" customHeight="1">
      <x:c r="A3679" s="10" t="n">
        <x:v>5014</x:v>
      </x:c>
      <x:c r="B3679" s="2" t="str">
        <x:v>9d8021a8029a0a7450ef</x:v>
      </x:c>
      <x:c r="C3679" s="2" t="str">
        <x:v>Vĩnh Phúc</x:v>
      </x:c>
      <x:c r="D3679" s="2" t="str">
        <x:v>Thành phố Phúc Yên</x:v>
      </x:c>
      <x:c r="E3679" s="2" t="str">
        <x:v>land</x:v>
      </x:c>
      <x:c r="F3679" s="2" t="str">
        <x:v>sale_assumed</x:v>
      </x:c>
      <x:c r="G3679" s="11" t="n">
        <x:v>131</x:v>
      </x:c>
      <x:c r="H3679" s="12" t="n">
        <x:v>1050000000</x:v>
      </x:c>
      <x:c r="I3679" s="12" t="n">
        <x:v>8015267.175572519</x:v>
      </x:c>
      <x:c r="J3679" s="2" t="str">
        <x:v>total</x:v>
      </x:c>
      <x:c r="K3679" s="2" t="str">
        <x:v>top_level_area</x:v>
      </x:c>
      <x:c r="L3679" s="2" t="str">
        <x:v>property_type_inferred_from_title;transaction_assumed_sale_from_dataset_context</x:v>
      </x:c>
      <x:c r="M3679" s="10" t="n">
        <x:v>0</x:v>
      </x:c>
      <x:c r="N3679" s="10" t="n">
        <x:v>0</x:v>
      </x:c>
      <x:c r="O3679" s="2" t="str">
        <x:v>land</x:v>
      </x:c>
      <x:c r="P3679" s="10" t="n">
        <x:v>2</x:v>
      </x:c>
      <x:c r="Q3679" s="13" t="n">
        <x:f>IF(H3679="","",H3679/1000000000)</x:f>
        <x:v>1.05</x:v>
      </x:c>
      <x:c r="R3679" s="13" t="n">
        <x:f>IF(I3679="","",I3679/1000000)</x:f>
        <x:v>8.01526717557252</x:v>
      </x:c>
    </x:row>
    <x:row r="3680" ht="21" customHeight="1">
      <x:c r="A3680" s="10" t="n">
        <x:v>5015</x:v>
      </x:c>
      <x:c r="B3680" s="2" t="str">
        <x:v>e538e0b72bf8024fdb92</x:v>
      </x:c>
      <x:c r="C3680" s="2" t="str">
        <x:v>Tp Hồ Chí Minh</x:v>
      </x:c>
      <x:c r="D3680" s="2" t="str">
        <x:v>Quận Thủ Đức</x:v>
      </x:c>
      <x:c r="E3680" s="2" t="str">
        <x:v>house</x:v>
      </x:c>
      <x:c r="F3680" s="2" t="str">
        <x:v>sale_assumed</x:v>
      </x:c>
      <x:c r="G3680" s="11" t="n">
        <x:v>60</x:v>
      </x:c>
      <x:c r="H3680" s="12" t="n">
        <x:v>3950000000</x:v>
      </x:c>
      <x:c r="I3680" s="12" t="n">
        <x:v>65833333.333333336</x:v>
      </x:c>
      <x:c r="J3680" s="2" t="str">
        <x:v>total</x:v>
      </x:c>
      <x:c r="K3680" s="2" t="str">
        <x:v>top_level_area</x:v>
      </x:c>
      <x:c r="L3680" s="2" t="str">
        <x:v>property_type_inferred_from_title;transaction_assumed_sale_from_dataset_context</x:v>
      </x:c>
      <x:c r="M3680" s="10" t="n">
        <x:v>0</x:v>
      </x:c>
      <x:c r="N3680" s="10" t="n">
        <x:v>0</x:v>
      </x:c>
      <x:c r="O3680" s="2" t="str">
        <x:v>Tp Hồ Chí Minh|house</x:v>
      </x:c>
      <x:c r="P3680" s="10" t="n">
        <x:v>2</x:v>
      </x:c>
      <x:c r="Q3680" s="13" t="n">
        <x:f>IF(H3680="","",H3680/1000000000)</x:f>
        <x:v>3.95</x:v>
      </x:c>
      <x:c r="R3680" s="13" t="n">
        <x:f>IF(I3680="","",I3680/1000000)</x:f>
        <x:v>65.83333333333334</x:v>
      </x:c>
    </x:row>
    <x:row r="3681" ht="21" customHeight="1">
      <x:c r="A3681" s="10" t="n">
        <x:v>5016</x:v>
      </x:c>
      <x:c r="B3681" s="2" t="str">
        <x:v>93f01ea2c0f5d0dfc468</x:v>
      </x:c>
      <x:c r="C3681" s="2" t="str">
        <x:v>Tp Hồ Chí Minh</x:v>
      </x:c>
      <x:c r="D3681" s="2" t="str">
        <x:v>Quận Gò Vấp</x:v>
      </x:c>
      <x:c r="E3681" s="2" t="str">
        <x:v>house</x:v>
      </x:c>
      <x:c r="F3681" s="2" t="str">
        <x:v>sale_assumed</x:v>
      </x:c>
      <x:c r="G3681" s="11" t="n">
        <x:v>57</x:v>
      </x:c>
      <x:c r="H3681" s="12" t="n">
        <x:v>5800000000</x:v>
      </x:c>
      <x:c r="I3681" s="12" t="n">
        <x:v>101754385.96491228</x:v>
      </x:c>
      <x:c r="J3681" s="2" t="str">
        <x:v>total</x:v>
      </x:c>
      <x:c r="K3681" s="2" t="str">
        <x:v>top_level_area</x:v>
      </x:c>
      <x:c r="L3681" s="2" t="str">
        <x:v>property_type_inferred_from_title;transaction_assumed_sale_from_dataset_context</x:v>
      </x:c>
      <x:c r="M3681" s="10" t="n">
        <x:v>0</x:v>
      </x:c>
      <x:c r="N3681" s="10" t="n">
        <x:v>0</x:v>
      </x:c>
      <x:c r="O3681" s="2" t="str">
        <x:v>Tp Hồ Chí Minh|house</x:v>
      </x:c>
      <x:c r="P3681" s="10" t="n">
        <x:v>2</x:v>
      </x:c>
      <x:c r="Q3681" s="13" t="n">
        <x:f>IF(H3681="","",H3681/1000000000)</x:f>
        <x:v>5.8</x:v>
      </x:c>
      <x:c r="R3681" s="13" t="n">
        <x:f>IF(I3681="","",I3681/1000000)</x:f>
        <x:v>101.75438596491227</x:v>
      </x:c>
    </x:row>
    <x:row r="3682" ht="21" customHeight="1">
      <x:c r="A3682" s="10" t="n">
        <x:v>5017</x:v>
      </x:c>
      <x:c r="B3682" s="2" t="str">
        <x:v>756b698470bd99dfa088</x:v>
      </x:c>
      <x:c r="C3682" s="2" t="str">
        <x:v>Tp Hồ Chí Minh</x:v>
      </x:c>
      <x:c r="D3682" s="2" t="str">
        <x:v>Quận Gò Vấp</x:v>
      </x:c>
      <x:c r="E3682" s="2" t="str">
        <x:v>other_unknown</x:v>
      </x:c>
      <x:c r="F3682" s="2" t="str">
        <x:v>sale</x:v>
      </x:c>
      <x:c r="G3682" s="11" t="n">
        <x:v>40</x:v>
      </x:c>
      <x:c r="H3682" s="12" t="n">
        <x:v>3380000000</x:v>
      </x:c>
      <x:c r="I3682" s="12" t="n">
        <x:v>84500000</x:v>
      </x:c>
      <x:c r="J3682" s="2" t="str">
        <x:v>total</x:v>
      </x:c>
      <x:c r="K3682" s="2" t="str">
        <x:v>top_level_price_embedded_area</x:v>
      </x:c>
      <x:c r="L3682" s="2" t="str">
        <x:v>area_recovered_from_price_text;property_type_inferred_from_title;unknown_property_type</x:v>
      </x:c>
      <x:c r="M3682" s="10" t="n">
        <x:v>0</x:v>
      </x:c>
      <x:c r="N3682" s="10" t="n">
        <x:v>0</x:v>
      </x:c>
      <x:c r="O3682" s="2" t="str">
        <x:v>Tp Hồ Chí Minh|other_unknown</x:v>
      </x:c>
      <x:c r="P3682" s="10" t="n">
        <x:v>2</x:v>
      </x:c>
      <x:c r="Q3682" s="13" t="n">
        <x:f>IF(H3682="","",H3682/1000000000)</x:f>
        <x:v>3.38</x:v>
      </x:c>
      <x:c r="R3682" s="13" t="n">
        <x:f>IF(I3682="","",I3682/1000000)</x:f>
        <x:v>84.5</x:v>
      </x:c>
    </x:row>
    <x:row r="3683" ht="21" customHeight="1">
      <x:c r="A3683" s="10" t="n">
        <x:v>5018</x:v>
      </x:c>
      <x:c r="B3683" s="2" t="str">
        <x:v>1432a596c86acbd7f224</x:v>
      </x:c>
      <x:c r="C3683" s="2" t="str">
        <x:v>Tp Hồ Chí Minh</x:v>
      </x:c>
      <x:c r="D3683" s="2" t="str">
        <x:v>Quận Bình Thạnh</x:v>
      </x:c>
      <x:c r="E3683" s="2" t="str">
        <x:v>house</x:v>
      </x:c>
      <x:c r="F3683" s="2" t="str">
        <x:v>sale_assumed</x:v>
      </x:c>
      <x:c r="G3683" s="11" t="n">
        <x:v>32</x:v>
      </x:c>
      <x:c r="H3683" s="12" t="n">
        <x:v>4099999999.9999995</x:v>
      </x:c>
      <x:c r="I3683" s="12" t="n">
        <x:v>128124999.99999999</x:v>
      </x:c>
      <x:c r="J3683" s="2" t="str">
        <x:v>total</x:v>
      </x:c>
      <x:c r="K3683" s="2" t="str">
        <x:v>top_level_area</x:v>
      </x:c>
      <x:c r="L3683" s="2" t="str">
        <x:v>property_type_inferred_from_title;transaction_assumed_sale_from_dataset_context</x:v>
      </x:c>
      <x:c r="M3683" s="10" t="n">
        <x:v>0</x:v>
      </x:c>
      <x:c r="N3683" s="10" t="n">
        <x:v>0</x:v>
      </x:c>
      <x:c r="O3683" s="2" t="str">
        <x:v>Tp Hồ Chí Minh|house</x:v>
      </x:c>
      <x:c r="P3683" s="10" t="n">
        <x:v>2</x:v>
      </x:c>
      <x:c r="Q3683" s="13" t="n">
        <x:f>IF(H3683="","",H3683/1000000000)</x:f>
        <x:v>4.1</x:v>
      </x:c>
      <x:c r="R3683" s="13" t="n">
        <x:f>IF(I3683="","",I3683/1000000)</x:f>
        <x:v>128.12499999999997</x:v>
      </x:c>
    </x:row>
    <x:row r="3684" ht="21" customHeight="1">
      <x:c r="A3684" s="10" t="n">
        <x:v>5019</x:v>
      </x:c>
      <x:c r="B3684" s="2" t="str">
        <x:v>184114f4569190e53372</x:v>
      </x:c>
      <x:c r="C3684" s="2" t="str">
        <x:v>Hà Nội</x:v>
      </x:c>
      <x:c r="D3684" s="2" t="str">
        <x:v>Quận Ba Đình</x:v>
      </x:c>
      <x:c r="E3684" s="2" t="str">
        <x:v>house</x:v>
      </x:c>
      <x:c r="F3684" s="2" t="str">
        <x:v>sale</x:v>
      </x:c>
      <x:c r="G3684" s="11" t="n">
        <x:v>110</x:v>
      </x:c>
      <x:c r="H3684" s="12" t="n">
        <x:v>10000000000</x:v>
      </x:c>
      <x:c r="I3684" s="12" t="n">
        <x:v>90909090.9090909</x:v>
      </x:c>
      <x:c r="J3684" s="2" t="str">
        <x:v>total</x:v>
      </x:c>
      <x:c r="K3684" s="2" t="str">
        <x:v>top_level_area</x:v>
      </x:c>
      <x:c r="L3684" s="2" t="str">
        <x:v>property_type_inferred_from_title</x:v>
      </x:c>
      <x:c r="M3684" s="10" t="n">
        <x:v>0</x:v>
      </x:c>
      <x:c r="N3684" s="10" t="n">
        <x:v>0</x:v>
      </x:c>
      <x:c r="O3684" s="2" t="str">
        <x:v>Hà Nội|house</x:v>
      </x:c>
      <x:c r="P3684" s="10" t="n">
        <x:v>2</x:v>
      </x:c>
      <x:c r="Q3684" s="13" t="n">
        <x:f>IF(H3684="","",H3684/1000000000)</x:f>
        <x:v>10</x:v>
      </x:c>
      <x:c r="R3684" s="13" t="n">
        <x:f>IF(I3684="","",I3684/1000000)</x:f>
        <x:v>90.9090909090909</x:v>
      </x:c>
    </x:row>
    <x:row r="3685" ht="21" customHeight="1">
      <x:c r="A3685" s="10" t="n">
        <x:v>5020</x:v>
      </x:c>
      <x:c r="B3685" s="2" t="str">
        <x:v>b32ffa37e84e15544a6b</x:v>
      </x:c>
      <x:c r="C3685" s="2" t="str">
        <x:v>Tp Hồ Chí Minh</x:v>
      </x:c>
      <x:c r="D3685" s="2" t="str">
        <x:v>Quận Bình Tân</x:v>
      </x:c>
      <x:c r="E3685" s="2" t="str">
        <x:v>land</x:v>
      </x:c>
      <x:c r="F3685" s="2" t="str">
        <x:v>sale_assumed</x:v>
      </x:c>
      <x:c r="G3685" s="11" t="n">
        <x:v>112</x:v>
      </x:c>
      <x:c r="H3685" s="12" t="n">
        <x:v>8500000000</x:v>
      </x:c>
      <x:c r="I3685" s="12" t="n">
        <x:v>75892857.14285715</x:v>
      </x:c>
      <x:c r="J3685" s="2" t="str">
        <x:v>total</x:v>
      </x:c>
      <x:c r="K3685" s="2" t="str">
        <x:v>top_level_area</x:v>
      </x:c>
      <x:c r="L3685" s="2" t="str">
        <x:v>property_type_inferred_from_title;transaction_assumed_sale_from_dataset_context</x:v>
      </x:c>
      <x:c r="M3685" s="10" t="n">
        <x:v>0</x:v>
      </x:c>
      <x:c r="N3685" s="10" t="n">
        <x:v>0</x:v>
      </x:c>
      <x:c r="O3685" s="2" t="str">
        <x:v>Tp Hồ Chí Minh|land</x:v>
      </x:c>
      <x:c r="P3685" s="10" t="n">
        <x:v>2</x:v>
      </x:c>
      <x:c r="Q3685" s="13" t="n">
        <x:f>IF(H3685="","",H3685/1000000000)</x:f>
        <x:v>8.5</x:v>
      </x:c>
      <x:c r="R3685" s="13" t="n">
        <x:f>IF(I3685="","",I3685/1000000)</x:f>
        <x:v>75.89285714285715</x:v>
      </x:c>
    </x:row>
    <x:row r="3686" ht="21" customHeight="1">
      <x:c r="A3686" s="10" t="n">
        <x:v>5021</x:v>
      </x:c>
      <x:c r="B3686" s="2" t="str">
        <x:v>61552fe1c13d354fbbc9</x:v>
      </x:c>
      <x:c r="C3686" s="2" t="str">
        <x:v>Hà Nội</x:v>
      </x:c>
      <x:c r="D3686" s="2" t="str">
        <x:v>Quận Hai Bà Trưng</x:v>
      </x:c>
      <x:c r="E3686" s="2" t="str">
        <x:v>house</x:v>
      </x:c>
      <x:c r="F3686" s="2" t="str">
        <x:v>sale</x:v>
      </x:c>
      <x:c r="G3686" s="11" t="n">
        <x:v>26</x:v>
      </x:c>
      <x:c r="H3686" s="12" t="n">
        <x:v>2580000000</x:v>
      </x:c>
      <x:c r="I3686" s="12" t="n">
        <x:v>99230769.23076923</x:v>
      </x:c>
      <x:c r="J3686" s="2" t="str">
        <x:v>total</x:v>
      </x:c>
      <x:c r="K3686" s="2" t="str">
        <x:v>top_level_area</x:v>
      </x:c>
      <x:c r="L3686" s="2" t="str">
        <x:v>property_type_inferred_from_title</x:v>
      </x:c>
      <x:c r="M3686" s="10" t="n">
        <x:v>0</x:v>
      </x:c>
      <x:c r="N3686" s="10" t="n">
        <x:v>0</x:v>
      </x:c>
      <x:c r="O3686" s="2" t="str">
        <x:v>Hà Nội|house</x:v>
      </x:c>
      <x:c r="P3686" s="10" t="n">
        <x:v>2</x:v>
      </x:c>
      <x:c r="Q3686" s="13" t="n">
        <x:f>IF(H3686="","",H3686/1000000000)</x:f>
        <x:v>2.58</x:v>
      </x:c>
      <x:c r="R3686" s="13" t="n">
        <x:f>IF(I3686="","",I3686/1000000)</x:f>
        <x:v>99.23076923076923</x:v>
      </x:c>
    </x:row>
    <x:row r="3687" ht="21" customHeight="1">
      <x:c r="A3687" s="10" t="n">
        <x:v>5022</x:v>
      </x:c>
      <x:c r="B3687" s="2" t="str">
        <x:v>aa76a64254b9b15de657</x:v>
      </x:c>
      <x:c r="C3687" s="2" t="str">
        <x:v>Khánh Hòa</x:v>
      </x:c>
      <x:c r="D3687" s="2" t="str">
        <x:v>Thành phố Nha Trang</x:v>
      </x:c>
      <x:c r="E3687" s="2" t="str">
        <x:v>land</x:v>
      </x:c>
      <x:c r="F3687" s="2" t="str">
        <x:v>sale_assumed</x:v>
      </x:c>
      <x:c r="G3687" s="11" t="n">
        <x:v>80</x:v>
      </x:c>
      <x:c r="H3687" s="12" t="n">
        <x:v>2650000000</x:v>
      </x:c>
      <x:c r="I3687" s="12" t="n">
        <x:v>33125000</x:v>
      </x:c>
      <x:c r="J3687" s="2" t="str">
        <x:v>total</x:v>
      </x:c>
      <x:c r="K3687" s="2" t="str">
        <x:v>top_level_area</x:v>
      </x:c>
      <x:c r="L3687" s="2" t="str">
        <x:v>property_type_inferred_from_title;transaction_assumed_sale_from_dataset_context</x:v>
      </x:c>
      <x:c r="M3687" s="10" t="n">
        <x:v>0</x:v>
      </x:c>
      <x:c r="N3687" s="10" t="n">
        <x:v>0</x:v>
      </x:c>
      <x:c r="O3687" s="2" t="str">
        <x:v>land</x:v>
      </x:c>
      <x:c r="P3687" s="10" t="n">
        <x:v>2</x:v>
      </x:c>
      <x:c r="Q3687" s="13" t="n">
        <x:f>IF(H3687="","",H3687/1000000000)</x:f>
        <x:v>2.65</x:v>
      </x:c>
      <x:c r="R3687" s="13" t="n">
        <x:f>IF(I3687="","",I3687/1000000)</x:f>
        <x:v>33.125</x:v>
      </x:c>
    </x:row>
    <x:row r="3688" ht="21" customHeight="1">
      <x:c r="A3688" s="10" t="n">
        <x:v>5023</x:v>
      </x:c>
      <x:c r="B3688" s="2" t="str">
        <x:v>9cd623e67d24b6882a74</x:v>
      </x:c>
      <x:c r="C3688" s="2" t="str">
        <x:v>Tp Hồ Chí Minh</x:v>
      </x:c>
      <x:c r="D3688" s="2" t="str">
        <x:v>Huyện Củ Chi</x:v>
      </x:c>
      <x:c r="E3688" s="2" t="str">
        <x:v>house</x:v>
      </x:c>
      <x:c r="F3688" s="2" t="str">
        <x:v>sale_assumed</x:v>
      </x:c>
      <x:c r="G3688" s="11" t="n">
        <x:v>48</x:v>
      </x:c>
      <x:c r="H3688" s="12" t="n">
        <x:v>750000000</x:v>
      </x:c>
      <x:c r="I3688" s="12" t="n">
        <x:v>15625000</x:v>
      </x:c>
      <x:c r="J3688" s="2" t="str">
        <x:v>total</x:v>
      </x:c>
      <x:c r="K3688" s="2" t="str">
        <x:v>top_level_area</x:v>
      </x:c>
      <x:c r="L3688" s="2" t="str">
        <x:v>property_type_inferred_from_title;transaction_assumed_sale_from_dataset_context</x:v>
      </x:c>
      <x:c r="M3688" s="10" t="n">
        <x:v>0</x:v>
      </x:c>
      <x:c r="N3688" s="10" t="n">
        <x:v>0</x:v>
      </x:c>
      <x:c r="O3688" s="2" t="str">
        <x:v>Tp Hồ Chí Minh|house</x:v>
      </x:c>
      <x:c r="P3688" s="10" t="n">
        <x:v>2</x:v>
      </x:c>
      <x:c r="Q3688" s="13" t="n">
        <x:f>IF(H3688="","",H3688/1000000000)</x:f>
        <x:v>0.75</x:v>
      </x:c>
      <x:c r="R3688" s="13" t="n">
        <x:f>IF(I3688="","",I3688/1000000)</x:f>
        <x:v>15.625</x:v>
      </x:c>
    </x:row>
    <x:row r="3689" ht="21" customHeight="1">
      <x:c r="A3689" s="10" t="n">
        <x:v>5024</x:v>
      </x:c>
      <x:c r="B3689" s="2" t="str">
        <x:v>ae8e27c9d05f475a3d07</x:v>
      </x:c>
      <x:c r="C3689" s="2" t="str">
        <x:v>Long An</x:v>
      </x:c>
      <x:c r="D3689" s="2" t="str">
        <x:v>Huyện Cần Đước</x:v>
      </x:c>
      <x:c r="E3689" s="2" t="str">
        <x:v>land</x:v>
      </x:c>
      <x:c r="F3689" s="2" t="str">
        <x:v>sale_assumed</x:v>
      </x:c>
      <x:c r="G3689" s="11" t="n">
        <x:v>394</x:v>
      </x:c>
      <x:c r="H3689" s="12" t="n">
        <x:v>1970000000</x:v>
      </x:c>
      <x:c r="I3689" s="12" t="n">
        <x:v>5000000</x:v>
      </x:c>
      <x:c r="J3689" s="2" t="str">
        <x:v>total</x:v>
      </x:c>
      <x:c r="K3689" s="2" t="str">
        <x:v>top_level_area</x:v>
      </x:c>
      <x:c r="L3689" s="2" t="str">
        <x:v>property_type_inferred_from_title;transaction_assumed_sale_from_dataset_context</x:v>
      </x:c>
      <x:c r="M3689" s="10" t="n">
        <x:v>0</x:v>
      </x:c>
      <x:c r="N3689" s="10" t="n">
        <x:v>0</x:v>
      </x:c>
      <x:c r="O3689" s="2" t="str">
        <x:v>Long An|land</x:v>
      </x:c>
      <x:c r="P3689" s="10" t="n">
        <x:v>1</x:v>
      </x:c>
      <x:c r="Q3689" s="13" t="n">
        <x:f>IF(H3689="","",H3689/1000000000)</x:f>
        <x:v>1.97</x:v>
      </x:c>
      <x:c r="R3689" s="13" t="n">
        <x:f>IF(I3689="","",I3689/1000000)</x:f>
        <x:v>5</x:v>
      </x:c>
    </x:row>
    <x:row r="3690" ht="21" customHeight="1">
      <x:c r="A3690" s="10" t="n">
        <x:v>5025</x:v>
      </x:c>
      <x:c r="B3690" s="2" t="str">
        <x:v>4ef614370845ec5c2d9d</x:v>
      </x:c>
      <x:c r="C3690" s="2" t="str">
        <x:v>Hà Nội</x:v>
      </x:c>
      <x:c r="D3690" s="2" t="str">
        <x:v>Huyện Thanh Trì</x:v>
      </x:c>
      <x:c r="E3690" s="2" t="str">
        <x:v>house</x:v>
      </x:c>
      <x:c r="F3690" s="2" t="str">
        <x:v>sale</x:v>
      </x:c>
      <x:c r="G3690" s="11" t="n">
        <x:v>38</x:v>
      </x:c>
      <x:c r="H3690" s="12" t="n">
        <x:v>3550000000</x:v>
      </x:c>
      <x:c r="I3690" s="12" t="n">
        <x:v>93421052.63157895</x:v>
      </x:c>
      <x:c r="J3690" s="2" t="str">
        <x:v>total</x:v>
      </x:c>
      <x:c r="K3690" s="2" t="str">
        <x:v>top_level_area</x:v>
      </x:c>
      <x:c r="L3690" s="2" t="str">
        <x:v>property_type_inferred_from_title</x:v>
      </x:c>
      <x:c r="M3690" s="10" t="n">
        <x:v>0</x:v>
      </x:c>
      <x:c r="N3690" s="10" t="n">
        <x:v>0</x:v>
      </x:c>
      <x:c r="O3690" s="2" t="str">
        <x:v>Hà Nội|house</x:v>
      </x:c>
      <x:c r="P3690" s="10" t="n">
        <x:v>2</x:v>
      </x:c>
      <x:c r="Q3690" s="13" t="n">
        <x:f>IF(H3690="","",H3690/1000000000)</x:f>
        <x:v>3.55</x:v>
      </x:c>
      <x:c r="R3690" s="13" t="n">
        <x:f>IF(I3690="","",I3690/1000000)</x:f>
        <x:v>93.42105263157895</x:v>
      </x:c>
    </x:row>
    <x:row r="3691" ht="21" customHeight="1">
      <x:c r="A3691" s="10" t="n">
        <x:v>5026</x:v>
      </x:c>
      <x:c r="B3691" s="2" t="str">
        <x:v>e4847eb27dc0c4c7dc46</x:v>
      </x:c>
      <x:c r="C3691" s="2" t="str">
        <x:v>Hà Nội</x:v>
      </x:c>
      <x:c r="D3691" s="2" t="str">
        <x:v>Quận Hà Đông</x:v>
      </x:c>
      <x:c r="E3691" s="2" t="str">
        <x:v>house</x:v>
      </x:c>
      <x:c r="F3691" s="2" t="str">
        <x:v>sale</x:v>
      </x:c>
      <x:c r="G3691" s="11" t="n">
        <x:v>34</x:v>
      </x:c>
      <x:c r="H3691" s="12" t="n">
        <x:v>2049999999.9999998</x:v>
      </x:c>
      <x:c r="I3691" s="12" t="n">
        <x:v>60294117.647058815</x:v>
      </x:c>
      <x:c r="J3691" s="2" t="str">
        <x:v>total</x:v>
      </x:c>
      <x:c r="K3691" s="2" t="str">
        <x:v>top_level_area</x:v>
      </x:c>
      <x:c r="L3691" s="2" t="str">
        <x:v>property_type_inferred_from_title</x:v>
      </x:c>
      <x:c r="M3691" s="10" t="n">
        <x:v>0</x:v>
      </x:c>
      <x:c r="N3691" s="10" t="n">
        <x:v>0</x:v>
      </x:c>
      <x:c r="O3691" s="2" t="str">
        <x:v>Hà Nội|house</x:v>
      </x:c>
      <x:c r="P3691" s="10" t="n">
        <x:v>2</x:v>
      </x:c>
      <x:c r="Q3691" s="13" t="n">
        <x:f>IF(H3691="","",H3691/1000000000)</x:f>
        <x:v>2.05</x:v>
      </x:c>
      <x:c r="R3691" s="13" t="n">
        <x:f>IF(I3691="","",I3691/1000000)</x:f>
        <x:v>60.29411764705881</x:v>
      </x:c>
    </x:row>
    <x:row r="3692" ht="21" customHeight="1">
      <x:c r="A3692" s="10" t="n">
        <x:v>5027</x:v>
      </x:c>
      <x:c r="B3692" s="2" t="str">
        <x:v>21cccedfa3cbe23c1d9e</x:v>
      </x:c>
      <x:c r="C3692" s="2" t="str">
        <x:v>Tp Hồ Chí Minh</x:v>
      </x:c>
      <x:c r="D3692" s="2" t="str">
        <x:v>Huyện Hóc Môn</x:v>
      </x:c>
      <x:c r="E3692" s="2" t="str">
        <x:v>other_unknown</x:v>
      </x:c>
      <x:c r="F3692" s="2" t="str">
        <x:v>sale_assumed</x:v>
      </x:c>
      <x:c r="G3692" s="11" t="n">
        <x:v>1500</x:v>
      </x:c>
      <x:c r="H3692" s="12" t="n">
        <x:v>38000000000</x:v>
      </x:c>
      <x:c r="I3692" s="12" t="n">
        <x:v>25333333.333333332</x:v>
      </x:c>
      <x:c r="J3692" s="2" t="str">
        <x:v>total</x:v>
      </x:c>
      <x:c r="K3692" s="2" t="str">
        <x:v>top_level_area</x:v>
      </x:c>
      <x:c r="L3692" s="2" t="str">
        <x:v>dot_thousands_convention;property_type_inferred_from_title;transaction_assumed_sale_from_dataset_context;unknown_property_type</x:v>
      </x:c>
      <x:c r="M3692" s="10" t="n">
        <x:v>0</x:v>
      </x:c>
      <x:c r="N3692" s="10" t="n">
        <x:v>0</x:v>
      </x:c>
      <x:c r="O3692" s="2" t="str">
        <x:v>Tp Hồ Chí Minh|other_unknown</x:v>
      </x:c>
      <x:c r="P3692" s="10" t="n">
        <x:v>1</x:v>
      </x:c>
      <x:c r="Q3692" s="13" t="n">
        <x:f>IF(H3692="","",H3692/1000000000)</x:f>
        <x:v>38</x:v>
      </x:c>
      <x:c r="R3692" s="13" t="n">
        <x:f>IF(I3692="","",I3692/1000000)</x:f>
        <x:v>25.333333333333332</x:v>
      </x:c>
    </x:row>
    <x:row r="3693" ht="21" customHeight="1">
      <x:c r="A3693" s="10" t="n">
        <x:v>5028</x:v>
      </x:c>
      <x:c r="B3693" s="2" t="str">
        <x:v>a41d374fdf810873ed25</x:v>
      </x:c>
      <x:c r="C3693" s="2" t="str">
        <x:v>Tp Hồ Chí Minh</x:v>
      </x:c>
      <x:c r="D3693" s="2" t="str">
        <x:v>Quận 7</x:v>
      </x:c>
      <x:c r="E3693" s="2" t="str">
        <x:v>other_unknown</x:v>
      </x:c>
      <x:c r="F3693" s="2" t="str">
        <x:v>sale_assumed</x:v>
      </x:c>
      <x:c r="G3693" s="11" t="n">
        <x:v>133</x:v>
      </x:c>
      <x:c r="H3693" s="12" t="n">
        <x:v>14300000000</x:v>
      </x:c>
      <x:c r="I3693" s="12" t="n">
        <x:v>107518796.9924812</x:v>
      </x:c>
      <x:c r="J3693" s="2" t="str">
        <x:v>total</x:v>
      </x:c>
      <x:c r="K3693" s="2" t="str">
        <x:v>top_level_area</x:v>
      </x:c>
      <x:c r="L3693" s="2" t="str">
        <x:v>property_type_inferred_from_title;transaction_assumed_sale_from_dataset_context;unknown_property_type</x:v>
      </x:c>
      <x:c r="M3693" s="10" t="n">
        <x:v>0</x:v>
      </x:c>
      <x:c r="N3693" s="10" t="n">
        <x:v>0</x:v>
      </x:c>
      <x:c r="O3693" s="2" t="str">
        <x:v>Tp Hồ Chí Minh|other_unknown</x:v>
      </x:c>
      <x:c r="P3693" s="10" t="n">
        <x:v>2</x:v>
      </x:c>
      <x:c r="Q3693" s="13" t="n">
        <x:f>IF(H3693="","",H3693/1000000000)</x:f>
        <x:v>14.3</x:v>
      </x:c>
      <x:c r="R3693" s="13" t="n">
        <x:f>IF(I3693="","",I3693/1000000)</x:f>
        <x:v>107.5187969924812</x:v>
      </x:c>
    </x:row>
    <x:row r="3694" ht="21" customHeight="1">
      <x:c r="A3694" s="10" t="n">
        <x:v>5029</x:v>
      </x:c>
      <x:c r="B3694" s="2" t="str">
        <x:v>08ca5d488b9d3ec51526</x:v>
      </x:c>
      <x:c r="C3694" s="2" t="str">
        <x:v>Long An</x:v>
      </x:c>
      <x:c r="D3694" s="2" t="str">
        <x:v>Thành phố Tân An</x:v>
      </x:c>
      <x:c r="E3694" s="2" t="str">
        <x:v>house</x:v>
      </x:c>
      <x:c r="F3694" s="2" t="str">
        <x:v>sale_assumed</x:v>
      </x:c>
      <x:c r="G3694" s="11" t="n">
        <x:v>164</x:v>
      </x:c>
      <x:c r="H3694" s="12" t="n">
        <x:v>400000000</x:v>
      </x:c>
      <x:c r="I3694" s="12" t="n">
        <x:v>2439024.3902439023</x:v>
      </x:c>
      <x:c r="J3694" s="2" t="str">
        <x:v>total</x:v>
      </x:c>
      <x:c r="K3694" s="2" t="str">
        <x:v>top_level_area</x:v>
      </x:c>
      <x:c r="L3694" s="2" t="str">
        <x:v>property_type_inferred_from_title;transaction_assumed_sale_from_dataset_context</x:v>
      </x:c>
      <x:c r="M3694" s="10" t="n">
        <x:v>0</x:v>
      </x:c>
      <x:c r="N3694" s="10" t="n">
        <x:v>0</x:v>
      </x:c>
      <x:c r="O3694" s="2" t="str">
        <x:v>Long An|house</x:v>
      </x:c>
      <x:c r="P3694" s="10" t="n">
        <x:v>1</x:v>
      </x:c>
      <x:c r="Q3694" s="13" t="n">
        <x:f>IF(H3694="","",H3694/1000000000)</x:f>
        <x:v>0.4</x:v>
      </x:c>
      <x:c r="R3694" s="13" t="n">
        <x:f>IF(I3694="","",I3694/1000000)</x:f>
        <x:v>2.4390243902439024</x:v>
      </x:c>
    </x:row>
    <x:row r="3695" ht="21" customHeight="1">
      <x:c r="A3695" s="10" t="n">
        <x:v>5030</x:v>
      </x:c>
      <x:c r="B3695" s="2" t="str">
        <x:v>6ef1e2dfdb11fb7017f1</x:v>
      </x:c>
      <x:c r="C3695" s="2" t="str">
        <x:v>Đà Nẵng</x:v>
      </x:c>
      <x:c r="D3695" s="2" t="str">
        <x:v>Quận Sơn Trà</x:v>
      </x:c>
      <x:c r="E3695" s="2" t="str">
        <x:v>house</x:v>
      </x:c>
      <x:c r="F3695" s="2" t="str">
        <x:v>sale_assumed</x:v>
      </x:c>
      <x:c r="G3695" s="11" t="n">
        <x:v>101</x:v>
      </x:c>
      <x:c r="H3695" s="12" t="n">
        <x:v>2400000000</x:v>
      </x:c>
      <x:c r="I3695" s="12" t="n">
        <x:v>23762376.237623762</x:v>
      </x:c>
      <x:c r="J3695" s="2" t="str">
        <x:v>total</x:v>
      </x:c>
      <x:c r="K3695" s="2" t="str">
        <x:v>top_level_area</x:v>
      </x:c>
      <x:c r="L3695" s="2" t="str">
        <x:v>property_type_inferred_from_title;transaction_assumed_sale_from_dataset_context</x:v>
      </x:c>
      <x:c r="M3695" s="10" t="n">
        <x:v>0</x:v>
      </x:c>
      <x:c r="N3695" s="10" t="n">
        <x:v>0</x:v>
      </x:c>
      <x:c r="O3695" s="2" t="str">
        <x:v>Đà Nẵng|house</x:v>
      </x:c>
      <x:c r="P3695" s="10" t="n">
        <x:v>2</x:v>
      </x:c>
      <x:c r="Q3695" s="13" t="n">
        <x:f>IF(H3695="","",H3695/1000000000)</x:f>
        <x:v>2.4</x:v>
      </x:c>
      <x:c r="R3695" s="13" t="n">
        <x:f>IF(I3695="","",I3695/1000000)</x:f>
        <x:v>23.762376237623762</x:v>
      </x:c>
    </x:row>
    <x:row r="3696" ht="21" customHeight="1">
      <x:c r="A3696" s="10" t="n">
        <x:v>5031</x:v>
      </x:c>
      <x:c r="B3696" s="2" t="str">
        <x:v>fa1f9ca2786387630aba</x:v>
      </x:c>
      <x:c r="C3696" s="2" t="str">
        <x:v>Tp Hồ Chí Minh</x:v>
      </x:c>
      <x:c r="D3696" s="2" t="str">
        <x:v>Quận 9</x:v>
      </x:c>
      <x:c r="E3696" s="2" t="str">
        <x:v>land</x:v>
      </x:c>
      <x:c r="F3696" s="2" t="str">
        <x:v>sale</x:v>
      </x:c>
      <x:c r="G3696" s="11" t="n">
        <x:v>63</x:v>
      </x:c>
      <x:c r="H3696" s="12" t="n">
        <x:v>3450000000</x:v>
      </x:c>
      <x:c r="I3696" s="12" t="n">
        <x:v>54761904.76190476</x:v>
      </x:c>
      <x:c r="J3696" s="2" t="str">
        <x:v>total</x:v>
      </x:c>
      <x:c r="K3696" s="2" t="str">
        <x:v>top_level_area</x:v>
      </x:c>
      <x:c r="L3696" s="2" t="str">
        <x:v>property_type_inferred_from_title</x:v>
      </x:c>
      <x:c r="M3696" s="10" t="n">
        <x:v>0</x:v>
      </x:c>
      <x:c r="N3696" s="10" t="n">
        <x:v>0</x:v>
      </x:c>
      <x:c r="O3696" s="2" t="str">
        <x:v>Tp Hồ Chí Minh|land</x:v>
      </x:c>
      <x:c r="P3696" s="10" t="n">
        <x:v>2</x:v>
      </x:c>
      <x:c r="Q3696" s="13" t="n">
        <x:f>IF(H3696="","",H3696/1000000000)</x:f>
        <x:v>3.45</x:v>
      </x:c>
      <x:c r="R3696" s="13" t="n">
        <x:f>IF(I3696="","",I3696/1000000)</x:f>
        <x:v>54.76190476190476</x:v>
      </x:c>
    </x:row>
    <x:row r="3697" ht="21" customHeight="1">
      <x:c r="A3697" s="10" t="n">
        <x:v>5035</x:v>
      </x:c>
      <x:c r="B3697" s="2" t="str">
        <x:v>bb07a8991ddae3ceaf03</x:v>
      </x:c>
      <x:c r="C3697" s="2" t="str">
        <x:v>Hà Nội</x:v>
      </x:c>
      <x:c r="D3697" s="2" t="str">
        <x:v>Quận Nam Từ Liêm</x:v>
      </x:c>
      <x:c r="E3697" s="2" t="str">
        <x:v>house</x:v>
      </x:c>
      <x:c r="F3697" s="2" t="str">
        <x:v>sale</x:v>
      </x:c>
      <x:c r="G3697" s="11" t="n">
        <x:v>50</x:v>
      </x:c>
      <x:c r="H3697" s="12" t="n">
        <x:v>6600000000</x:v>
      </x:c>
      <x:c r="I3697" s="12" t="n">
        <x:v>132000000</x:v>
      </x:c>
      <x:c r="J3697" s="2" t="str">
        <x:v>total</x:v>
      </x:c>
      <x:c r="K3697" s="2" t="str">
        <x:v>top_level_area</x:v>
      </x:c>
      <x:c r="L3697" s="2" t="str">
        <x:v>property_type_inferred_from_title</x:v>
      </x:c>
      <x:c r="M3697" s="10" t="n">
        <x:v>0</x:v>
      </x:c>
      <x:c r="N3697" s="10" t="n">
        <x:v>0</x:v>
      </x:c>
      <x:c r="O3697" s="2" t="str">
        <x:v>Hà Nội|house</x:v>
      </x:c>
      <x:c r="P3697" s="10" t="n">
        <x:v>2</x:v>
      </x:c>
      <x:c r="Q3697" s="13" t="n">
        <x:f>IF(H3697="","",H3697/1000000000)</x:f>
        <x:v>6.6</x:v>
      </x:c>
      <x:c r="R3697" s="13" t="n">
        <x:f>IF(I3697="","",I3697/1000000)</x:f>
        <x:v>132</x:v>
      </x:c>
    </x:row>
    <x:row r="3698" ht="21" customHeight="1">
      <x:c r="A3698" s="10" t="n">
        <x:v>5036</x:v>
      </x:c>
      <x:c r="B3698" s="2" t="str">
        <x:v>039391ed576d31fd1bac</x:v>
      </x:c>
      <x:c r="C3698" s="2" t="str">
        <x:v>Tp Hồ Chí Minh</x:v>
      </x:c>
      <x:c r="D3698" s="2" t="str">
        <x:v>Huyện Nhà Bè</x:v>
      </x:c>
      <x:c r="E3698" s="2" t="str">
        <x:v>house</x:v>
      </x:c>
      <x:c r="F3698" s="2" t="str">
        <x:v>sale</x:v>
      </x:c>
      <x:c r="G3698" s="11" t="n">
        <x:v>24</x:v>
      </x:c>
      <x:c r="H3698" s="12" t="n">
        <x:v>1350000000</x:v>
      </x:c>
      <x:c r="I3698" s="12" t="n">
        <x:v>56250000</x:v>
      </x:c>
      <x:c r="J3698" s="2" t="str">
        <x:v>total</x:v>
      </x:c>
      <x:c r="K3698" s="2" t="str">
        <x:v>top_level_area</x:v>
      </x:c>
      <x:c r="L3698" s="2" t="str">
        <x:v>property_type_inferred_from_title</x:v>
      </x:c>
      <x:c r="M3698" s="10" t="n">
        <x:v>0</x:v>
      </x:c>
      <x:c r="N3698" s="10" t="n">
        <x:v>0</x:v>
      </x:c>
      <x:c r="O3698" s="2" t="str">
        <x:v>Tp Hồ Chí Minh|house</x:v>
      </x:c>
      <x:c r="P3698" s="10" t="n">
        <x:v>2</x:v>
      </x:c>
      <x:c r="Q3698" s="13" t="n">
        <x:f>IF(H3698="","",H3698/1000000000)</x:f>
        <x:v>1.35</x:v>
      </x:c>
      <x:c r="R3698" s="13" t="n">
        <x:f>IF(I3698="","",I3698/1000000)</x:f>
        <x:v>56.25</x:v>
      </x:c>
    </x:row>
    <x:row r="3699" ht="21" customHeight="1">
      <x:c r="A3699" s="10" t="n">
        <x:v>5037</x:v>
      </x:c>
      <x:c r="B3699" s="2" t="str">
        <x:v>67c776b7663091b1581f</x:v>
      </x:c>
      <x:c r="C3699" s="2" t="str">
        <x:v>Hà Nội</x:v>
      </x:c>
      <x:c r="D3699" s="2" t="str">
        <x:v>Quận Tây Hồ</x:v>
      </x:c>
      <x:c r="E3699" s="2" t="str">
        <x:v>house</x:v>
      </x:c>
      <x:c r="F3699" s="2" t="str">
        <x:v>sale_assumed</x:v>
      </x:c>
      <x:c r="G3699" s="11" t="n">
        <x:v>45</x:v>
      </x:c>
      <x:c r="H3699" s="12" t="n">
        <x:v>5550000000</x:v>
      </x:c>
      <x:c r="I3699" s="12" t="n">
        <x:v>123333333.33333333</x:v>
      </x:c>
      <x:c r="J3699" s="2" t="str">
        <x:v>total</x:v>
      </x:c>
      <x:c r="K3699" s="2" t="str">
        <x:v>top_level_area</x:v>
      </x:c>
      <x:c r="L3699" s="2" t="str">
        <x:v>property_type_inferred_from_title;transaction_assumed_sale_from_dataset_context</x:v>
      </x:c>
      <x:c r="M3699" s="10" t="n">
        <x:v>0</x:v>
      </x:c>
      <x:c r="N3699" s="10" t="n">
        <x:v>0</x:v>
      </x:c>
      <x:c r="O3699" s="2" t="str">
        <x:v>Hà Nội|house</x:v>
      </x:c>
      <x:c r="P3699" s="10" t="n">
        <x:v>2</x:v>
      </x:c>
      <x:c r="Q3699" s="13" t="n">
        <x:f>IF(H3699="","",H3699/1000000000)</x:f>
        <x:v>5.55</x:v>
      </x:c>
      <x:c r="R3699" s="13" t="n">
        <x:f>IF(I3699="","",I3699/1000000)</x:f>
        <x:v>123.33333333333333</x:v>
      </x:c>
    </x:row>
    <x:row r="3700" ht="21" customHeight="1">
      <x:c r="A3700" s="10" t="n">
        <x:v>5038</x:v>
      </x:c>
      <x:c r="B3700" s="2" t="str">
        <x:v>6f951601af0dc40fb0b5</x:v>
      </x:c>
      <x:c r="C3700" s="2" t="str">
        <x:v>Bình Dương</x:v>
      </x:c>
      <x:c r="D3700" s="2" t="str">
        <x:v>Thị xã Dĩ An</x:v>
      </x:c>
      <x:c r="E3700" s="2" t="str">
        <x:v>land</x:v>
      </x:c>
      <x:c r="F3700" s="2" t="str">
        <x:v>sale_assumed</x:v>
      </x:c>
      <x:c r="G3700" s="11" t="n">
        <x:v>1000</x:v>
      </x:c>
      <x:c r="H3700" s="12" t="n">
        <x:v>500000000</x:v>
      </x:c>
      <x:c r="I3700" s="12" t="n">
        <x:v>500000</x:v>
      </x:c>
      <x:c r="J3700" s="2" t="str">
        <x:v>total</x:v>
      </x:c>
      <x:c r="K3700" s="2" t="str">
        <x:v>top_level_price_embedded_area</x:v>
      </x:c>
      <x:c r="L3700" s="2" t="str">
        <x:v>area_recovered_from_price_text;dot_thousands_convention;property_type_inferred_from_title;transaction_assumed_sale_from_dataset_context</x:v>
      </x:c>
      <x:c r="M3700" s="10" t="n">
        <x:v>0</x:v>
      </x:c>
      <x:c r="N3700" s="10" t="n">
        <x:v>0</x:v>
      </x:c>
      <x:c r="O3700" s="2" t="str">
        <x:v>Bình Dương|land</x:v>
      </x:c>
      <x:c r="P3700" s="10" t="n">
        <x:v>1</x:v>
      </x:c>
      <x:c r="Q3700" s="13" t="n">
        <x:f>IF(H3700="","",H3700/1000000000)</x:f>
        <x:v>0.5</x:v>
      </x:c>
      <x:c r="R3700" s="13" t="n">
        <x:f>IF(I3700="","",I3700/1000000)</x:f>
        <x:v>0.5</x:v>
      </x:c>
    </x:row>
    <x:row r="3701" ht="21" customHeight="1">
      <x:c r="A3701" s="10" t="n">
        <x:v>5039</x:v>
      </x:c>
      <x:c r="B3701" s="2" t="str">
        <x:v>31afc98d3dfdf102c9b5</x:v>
      </x:c>
      <x:c r="C3701" s="2" t="str">
        <x:v>Bến Tre</x:v>
      </x:c>
      <x:c r="D3701" s="2" t="str">
        <x:v>Thành phố Bến Tre</x:v>
      </x:c>
      <x:c r="E3701" s="2" t="str">
        <x:v>land</x:v>
      </x:c>
      <x:c r="F3701" s="2" t="str">
        <x:v>sale_assumed</x:v>
      </x:c>
      <x:c r="G3701" s="11" t="n">
        <x:v>100</x:v>
      </x:c>
      <x:c r="H3701" s="12" t="n">
        <x:v>400000000</x:v>
      </x:c>
      <x:c r="I3701" s="12" t="n">
        <x:v>4000000</x:v>
      </x:c>
      <x:c r="J3701" s="2" t="str">
        <x:v>total</x:v>
      </x:c>
      <x:c r="K3701" s="2" t="str">
        <x:v>top_level_area</x:v>
      </x:c>
      <x:c r="L3701" s="2" t="str">
        <x:v>property_type_inferred_from_title;transaction_assumed_sale_from_dataset_context</x:v>
      </x:c>
      <x:c r="M3701" s="10" t="n">
        <x:v>0</x:v>
      </x:c>
      <x:c r="N3701" s="10" t="n">
        <x:v>0</x:v>
      </x:c>
      <x:c r="O3701" s="2" t="str">
        <x:v>Bến Tre|land</x:v>
      </x:c>
      <x:c r="P3701" s="10" t="n">
        <x:v>2</x:v>
      </x:c>
      <x:c r="Q3701" s="13" t="n">
        <x:f>IF(H3701="","",H3701/1000000000)</x:f>
        <x:v>0.4</x:v>
      </x:c>
      <x:c r="R3701" s="13" t="n">
        <x:f>IF(I3701="","",I3701/1000000)</x:f>
        <x:v>4</x:v>
      </x:c>
    </x:row>
    <x:row r="3702" ht="21" customHeight="1">
      <x:c r="A3702" s="10" t="n">
        <x:v>5040</x:v>
      </x:c>
      <x:c r="B3702" s="2" t="str">
        <x:v>d92adeba83867510f615</x:v>
      </x:c>
      <x:c r="C3702" s="2" t="str">
        <x:v>Tp Hồ Chí Minh</x:v>
      </x:c>
      <x:c r="D3702" s="2" t="str">
        <x:v>Quận Thủ Đức</x:v>
      </x:c>
      <x:c r="E3702" s="2" t="str">
        <x:v>house</x:v>
      </x:c>
      <x:c r="F3702" s="2" t="str">
        <x:v>sale_assumed</x:v>
      </x:c>
      <x:c r="G3702" s="11" t="n">
        <x:v>72</x:v>
      </x:c>
      <x:c r="H3702" s="12" t="n">
        <x:v>5000000000</x:v>
      </x:c>
      <x:c r="I3702" s="12" t="n">
        <x:v>69444444.44444445</x:v>
      </x:c>
      <x:c r="J3702" s="2" t="str">
        <x:v>total</x:v>
      </x:c>
      <x:c r="K3702" s="2" t="str">
        <x:v>top_level_area</x:v>
      </x:c>
      <x:c r="L3702" s="2" t="str">
        <x:v>property_type_inferred_from_title;transaction_assumed_sale_from_dataset_context</x:v>
      </x:c>
      <x:c r="M3702" s="10" t="n">
        <x:v>0</x:v>
      </x:c>
      <x:c r="N3702" s="10" t="n">
        <x:v>0</x:v>
      </x:c>
      <x:c r="O3702" s="2" t="str">
        <x:v>Tp Hồ Chí Minh|house</x:v>
      </x:c>
      <x:c r="P3702" s="10" t="n">
        <x:v>2</x:v>
      </x:c>
      <x:c r="Q3702" s="13" t="n">
        <x:f>IF(H3702="","",H3702/1000000000)</x:f>
        <x:v>5</x:v>
      </x:c>
      <x:c r="R3702" s="13" t="n">
        <x:f>IF(I3702="","",I3702/1000000)</x:f>
        <x:v>69.44444444444444</x:v>
      </x:c>
    </x:row>
    <x:row r="3703" ht="21" customHeight="1">
      <x:c r="A3703" s="10" t="n">
        <x:v>5041</x:v>
      </x:c>
      <x:c r="B3703" s="2" t="str">
        <x:v>e5b6c945d91390ddda3d</x:v>
      </x:c>
      <x:c r="C3703" s="2" t="str">
        <x:v>Tp Hồ Chí Minh</x:v>
      </x:c>
      <x:c r="D3703" s="2" t="str">
        <x:v>Quận 12</x:v>
      </x:c>
      <x:c r="E3703" s="2" t="str">
        <x:v>other_unknown</x:v>
      </x:c>
      <x:c r="F3703" s="2" t="str">
        <x:v>sale_assumed</x:v>
      </x:c>
      <x:c r="G3703" s="11" t="n">
        <x:v>50</x:v>
      </x:c>
      <x:c r="H3703" s="12" t="n">
        <x:v>1870000000</x:v>
      </x:c>
      <x:c r="I3703" s="12" t="n">
        <x:v>37400000</x:v>
      </x:c>
      <x:c r="J3703" s="2" t="str">
        <x:v>total</x:v>
      </x:c>
      <x:c r="K3703" s="2" t="str">
        <x:v>top_level_area</x:v>
      </x:c>
      <x:c r="L3703" s="2" t="str">
        <x:v>property_type_inferred_from_title;transaction_assumed_sale_from_dataset_context;unknown_property_type</x:v>
      </x:c>
      <x:c r="M3703" s="10" t="n">
        <x:v>0</x:v>
      </x:c>
      <x:c r="N3703" s="10" t="n">
        <x:v>0</x:v>
      </x:c>
      <x:c r="O3703" s="2" t="str">
        <x:v>Tp Hồ Chí Minh|other_unknown</x:v>
      </x:c>
      <x:c r="P3703" s="10" t="n">
        <x:v>2</x:v>
      </x:c>
      <x:c r="Q3703" s="13" t="n">
        <x:f>IF(H3703="","",H3703/1000000000)</x:f>
        <x:v>1.87</x:v>
      </x:c>
      <x:c r="R3703" s="13" t="n">
        <x:f>IF(I3703="","",I3703/1000000)</x:f>
        <x:v>37.4</x:v>
      </x:c>
    </x:row>
    <x:row r="3704" ht="21" customHeight="1">
      <x:c r="A3704" s="10" t="n">
        <x:v>5042</x:v>
      </x:c>
      <x:c r="B3704" s="2" t="str">
        <x:v>9b22bc101b8f3067a405</x:v>
      </x:c>
      <x:c r="C3704" s="2" t="str">
        <x:v>Đà Nẵng</x:v>
      </x:c>
      <x:c r="D3704" s="2" t="str">
        <x:v>Quận Liên Chiểu</x:v>
      </x:c>
      <x:c r="E3704" s="2" t="str">
        <x:v>land</x:v>
      </x:c>
      <x:c r="F3704" s="2" t="str">
        <x:v>sale_assumed</x:v>
      </x:c>
      <x:c r="G3704" s="11" t="n">
        <x:v>100</x:v>
      </x:c>
      <x:c r="H3704" s="12" t="n">
        <x:v>2400000000</x:v>
      </x:c>
      <x:c r="I3704" s="12" t="n">
        <x:v>24000000</x:v>
      </x:c>
      <x:c r="J3704" s="2" t="str">
        <x:v>total</x:v>
      </x:c>
      <x:c r="K3704" s="2" t="str">
        <x:v>top_level_area</x:v>
      </x:c>
      <x:c r="L3704" s="2" t="str">
        <x:v>property_type_inferred_from_title;transaction_assumed_sale_from_dataset_context</x:v>
      </x:c>
      <x:c r="M3704" s="10" t="n">
        <x:v>0</x:v>
      </x:c>
      <x:c r="N3704" s="10" t="n">
        <x:v>0</x:v>
      </x:c>
      <x:c r="O3704" s="2" t="str">
        <x:v>Đà Nẵng|land</x:v>
      </x:c>
      <x:c r="P3704" s="10" t="n">
        <x:v>2</x:v>
      </x:c>
      <x:c r="Q3704" s="13" t="n">
        <x:f>IF(H3704="","",H3704/1000000000)</x:f>
        <x:v>2.4</x:v>
      </x:c>
      <x:c r="R3704" s="13" t="n">
        <x:f>IF(I3704="","",I3704/1000000)</x:f>
        <x:v>24</x:v>
      </x:c>
    </x:row>
    <x:row r="3705" ht="21" customHeight="1">
      <x:c r="A3705" s="10" t="n">
        <x:v>5043</x:v>
      </x:c>
      <x:c r="B3705" s="2" t="str">
        <x:v>f90f950041408966e372</x:v>
      </x:c>
      <x:c r="C3705" s="2" t="str">
        <x:v>Khánh Hòa</x:v>
      </x:c>
      <x:c r="D3705" s="2" t="str">
        <x:v>Thị xã Ninh Hòa</x:v>
      </x:c>
      <x:c r="E3705" s="2" t="str">
        <x:v>land</x:v>
      </x:c>
      <x:c r="F3705" s="2" t="str">
        <x:v>sale_assumed</x:v>
      </x:c>
      <x:c r="G3705" s="11" t="n">
        <x:v>337</x:v>
      </x:c>
      <x:c r="H3705" s="12" t="n">
        <x:v>390000000</x:v>
      </x:c>
      <x:c r="I3705" s="12" t="n">
        <x:v>1157270.0296735906</x:v>
      </x:c>
      <x:c r="J3705" s="2" t="str">
        <x:v>total</x:v>
      </x:c>
      <x:c r="K3705" s="2" t="str">
        <x:v>top_level_area</x:v>
      </x:c>
      <x:c r="L3705" s="2" t="str">
        <x:v>property_type_inferred_from_title;transaction_assumed_sale_from_dataset_context</x:v>
      </x:c>
      <x:c r="M3705" s="10" t="n">
        <x:v>0</x:v>
      </x:c>
      <x:c r="N3705" s="10" t="n">
        <x:v>0</x:v>
      </x:c>
      <x:c r="O3705" s="2" t="str">
        <x:v>land</x:v>
      </x:c>
      <x:c r="P3705" s="10" t="n">
        <x:v>1</x:v>
      </x:c>
      <x:c r="Q3705" s="13" t="n">
        <x:f>IF(H3705="","",H3705/1000000000)</x:f>
        <x:v>0.39</x:v>
      </x:c>
      <x:c r="R3705" s="13" t="n">
        <x:f>IF(I3705="","",I3705/1000000)</x:f>
        <x:v>1.1572700296735905</x:v>
      </x:c>
    </x:row>
    <x:row r="3706" ht="21" customHeight="1">
      <x:c r="A3706" s="10" t="n">
        <x:v>5044</x:v>
      </x:c>
      <x:c r="B3706" s="2" t="str">
        <x:v>19d3ab8add029ecb68eb</x:v>
      </x:c>
      <x:c r="C3706" s="2" t="str">
        <x:v>Bình Phước</x:v>
      </x:c>
      <x:c r="D3706" s="2" t="str">
        <x:v>Thành phố Đồng Xoài</x:v>
      </x:c>
      <x:c r="E3706" s="2" t="str">
        <x:v>land</x:v>
      </x:c>
      <x:c r="F3706" s="2" t="str">
        <x:v>sale_assumed</x:v>
      </x:c>
      <x:c r="G3706" s="11" t="n">
        <x:v>500</x:v>
      </x:c>
      <x:c r="H3706" s="12" t="n">
        <x:v>300000000</x:v>
      </x:c>
      <x:c r="I3706" s="12" t="n">
        <x:v>600000</x:v>
      </x:c>
      <x:c r="J3706" s="2" t="str">
        <x:v>total</x:v>
      </x:c>
      <x:c r="K3706" s="2" t="str">
        <x:v>top_level_area</x:v>
      </x:c>
      <x:c r="L3706" s="2" t="str">
        <x:v>property_type_inferred_from_title;transaction_assumed_sale_from_dataset_context</x:v>
      </x:c>
      <x:c r="M3706" s="10" t="n">
        <x:v>0</x:v>
      </x:c>
      <x:c r="N3706" s="10" t="n">
        <x:v>0</x:v>
      </x:c>
      <x:c r="O3706" s="2" t="str">
        <x:v>Bình Phước|land</x:v>
      </x:c>
      <x:c r="P3706" s="10" t="n">
        <x:v>1</x:v>
      </x:c>
      <x:c r="Q3706" s="13" t="n">
        <x:f>IF(H3706="","",H3706/1000000000)</x:f>
        <x:v>0.3</x:v>
      </x:c>
      <x:c r="R3706" s="13" t="n">
        <x:f>IF(I3706="","",I3706/1000000)</x:f>
        <x:v>0.6</x:v>
      </x:c>
    </x:row>
    <x:row r="3707" ht="21" customHeight="1">
      <x:c r="A3707" s="10" t="n">
        <x:v>5045</x:v>
      </x:c>
      <x:c r="B3707" s="2" t="str">
        <x:v>a71745983e093d39f9b5</x:v>
      </x:c>
      <x:c r="C3707" s="2" t="str">
        <x:v>Tp Hồ Chí Minh</x:v>
      </x:c>
      <x:c r="D3707" s="2" t="str">
        <x:v>Quận Tân Phú</x:v>
      </x:c>
      <x:c r="E3707" s="2" t="str">
        <x:v>other_unknown</x:v>
      </x:c>
      <x:c r="F3707" s="2" t="str">
        <x:v>sale_assumed</x:v>
      </x:c>
      <x:c r="G3707" s="11" t="n">
        <x:v>85</x:v>
      </x:c>
      <x:c r="H3707" s="12" t="n">
        <x:v>6600000000</x:v>
      </x:c>
      <x:c r="I3707" s="12" t="n">
        <x:v>77647058.8235294</x:v>
      </x:c>
      <x:c r="J3707" s="2" t="str">
        <x:v>total</x:v>
      </x:c>
      <x:c r="K3707" s="2" t="str">
        <x:v>top_level_area</x:v>
      </x:c>
      <x:c r="L3707" s="2" t="str">
        <x:v>property_type_inferred_from_title;transaction_assumed_sale_from_dataset_context;unknown_property_type</x:v>
      </x:c>
      <x:c r="M3707" s="10" t="n">
        <x:v>0</x:v>
      </x:c>
      <x:c r="N3707" s="10" t="n">
        <x:v>0</x:v>
      </x:c>
      <x:c r="O3707" s="2" t="str">
        <x:v>Tp Hồ Chí Minh|other_unknown</x:v>
      </x:c>
      <x:c r="P3707" s="10" t="n">
        <x:v>2</x:v>
      </x:c>
      <x:c r="Q3707" s="13" t="n">
        <x:f>IF(H3707="","",H3707/1000000000)</x:f>
        <x:v>6.6</x:v>
      </x:c>
      <x:c r="R3707" s="13" t="n">
        <x:f>IF(I3707="","",I3707/1000000)</x:f>
        <x:v>77.6470588235294</x:v>
      </x:c>
    </x:row>
    <x:row r="3708" ht="21" customHeight="1">
      <x:c r="A3708" s="10" t="n">
        <x:v>5046</x:v>
      </x:c>
      <x:c r="B3708" s="2" t="str">
        <x:v>2779b064937aa80c87e3</x:v>
      </x:c>
      <x:c r="C3708" s="2" t="str">
        <x:v>Hà Nội</x:v>
      </x:c>
      <x:c r="D3708" s="2" t="str">
        <x:v>Quận Đống Đa</x:v>
      </x:c>
      <x:c r="E3708" s="2" t="str">
        <x:v>house</x:v>
      </x:c>
      <x:c r="F3708" s="2" t="str">
        <x:v>sale</x:v>
      </x:c>
      <x:c r="G3708" s="11" t="n">
        <x:v>50</x:v>
      </x:c>
      <x:c r="H3708" s="12" t="n">
        <x:v>6900000000</x:v>
      </x:c>
      <x:c r="I3708" s="12" t="n">
        <x:v>138000000</x:v>
      </x:c>
      <x:c r="J3708" s="2" t="str">
        <x:v>total</x:v>
      </x:c>
      <x:c r="K3708" s="2" t="str">
        <x:v>top_level_area</x:v>
      </x:c>
      <x:c r="L3708" s="2" t="str">
        <x:v>property_type_inferred_from_title</x:v>
      </x:c>
      <x:c r="M3708" s="10" t="n">
        <x:v>0</x:v>
      </x:c>
      <x:c r="N3708" s="10" t="n">
        <x:v>0</x:v>
      </x:c>
      <x:c r="O3708" s="2" t="str">
        <x:v>Hà Nội|house</x:v>
      </x:c>
      <x:c r="P3708" s="10" t="n">
        <x:v>2</x:v>
      </x:c>
      <x:c r="Q3708" s="13" t="n">
        <x:f>IF(H3708="","",H3708/1000000000)</x:f>
        <x:v>6.9</x:v>
      </x:c>
      <x:c r="R3708" s="13" t="n">
        <x:f>IF(I3708="","",I3708/1000000)</x:f>
        <x:v>138</x:v>
      </x:c>
    </x:row>
    <x:row r="3709" ht="21" customHeight="1">
      <x:c r="A3709" s="10" t="n">
        <x:v>5047</x:v>
      </x:c>
      <x:c r="B3709" s="2" t="str">
        <x:v>7a37ae0ab0d5f67192c7</x:v>
      </x:c>
      <x:c r="C3709" s="2" t="str">
        <x:v>Bình Dương</x:v>
      </x:c>
      <x:c r="D3709" s="2" t="str">
        <x:v>Thị xã Bến Cát</x:v>
      </x:c>
      <x:c r="E3709" s="2" t="str">
        <x:v>land</x:v>
      </x:c>
      <x:c r="F3709" s="2" t="str">
        <x:v>sale_assumed</x:v>
      </x:c>
      <x:c r="G3709" s="11" t="n">
        <x:v>150</x:v>
      </x:c>
      <x:c r="H3709" s="12" t="n">
        <x:v>780000000</x:v>
      </x:c>
      <x:c r="I3709" s="12" t="n">
        <x:v>5200000</x:v>
      </x:c>
      <x:c r="J3709" s="2" t="str">
        <x:v>total</x:v>
      </x:c>
      <x:c r="K3709" s="2" t="str">
        <x:v>top_level_area</x:v>
      </x:c>
      <x:c r="L3709" s="2" t="str">
        <x:v>property_type_inferred_from_title;transaction_assumed_sale_from_dataset_context</x:v>
      </x:c>
      <x:c r="M3709" s="10" t="n">
        <x:v>0</x:v>
      </x:c>
      <x:c r="N3709" s="10" t="n">
        <x:v>0</x:v>
      </x:c>
      <x:c r="O3709" s="2" t="str">
        <x:v>Bình Dương|land</x:v>
      </x:c>
      <x:c r="P3709" s="10" t="n">
        <x:v>2</x:v>
      </x:c>
      <x:c r="Q3709" s="13" t="n">
        <x:f>IF(H3709="","",H3709/1000000000)</x:f>
        <x:v>0.78</x:v>
      </x:c>
      <x:c r="R3709" s="13" t="n">
        <x:f>IF(I3709="","",I3709/1000000)</x:f>
        <x:v>5.2</x:v>
      </x:c>
    </x:row>
    <x:row r="3710" ht="21" customHeight="1">
      <x:c r="A3710" s="10" t="n">
        <x:v>5048</x:v>
      </x:c>
      <x:c r="B3710" s="2" t="str">
        <x:v>6533a08380039c54a211</x:v>
      </x:c>
      <x:c r="C3710" s="2" t="str">
        <x:v>Tp Hồ Chí Minh</x:v>
      </x:c>
      <x:c r="D3710" s="2" t="str">
        <x:v>Quận 12</x:v>
      </x:c>
      <x:c r="E3710" s="2" t="str">
        <x:v>apartment</x:v>
      </x:c>
      <x:c r="F3710" s="2" t="str">
        <x:v>sale_assumed</x:v>
      </x:c>
      <x:c r="G3710" s="11" t="n">
        <x:v>65</x:v>
      </x:c>
      <x:c r="H3710" s="12" t="n">
        <x:v>2190000000</x:v>
      </x:c>
      <x:c r="I3710" s="12" t="n">
        <x:v>33692307.692307696</x:v>
      </x:c>
      <x:c r="J3710" s="2" t="str">
        <x:v>total</x:v>
      </x:c>
      <x:c r="K3710" s="2" t="str">
        <x:v>top_level_area</x:v>
      </x:c>
      <x:c r="L3710" s="2" t="str">
        <x:v>property_type_inferred_from_title;transaction_assumed_sale_from_dataset_context</x:v>
      </x:c>
      <x:c r="M3710" s="10" t="n">
        <x:v>0</x:v>
      </x:c>
      <x:c r="N3710" s="10" t="n">
        <x:v>0</x:v>
      </x:c>
      <x:c r="O3710" s="2" t="str">
        <x:v>Tp Hồ Chí Minh|apartment</x:v>
      </x:c>
      <x:c r="P3710" s="10" t="n">
        <x:v>2</x:v>
      </x:c>
      <x:c r="Q3710" s="13" t="n">
        <x:f>IF(H3710="","",H3710/1000000000)</x:f>
        <x:v>2.19</x:v>
      </x:c>
      <x:c r="R3710" s="13" t="n">
        <x:f>IF(I3710="","",I3710/1000000)</x:f>
        <x:v>33.69230769230769</x:v>
      </x:c>
    </x:row>
    <x:row r="3711" ht="21" customHeight="1">
      <x:c r="A3711" s="10" t="n">
        <x:v>5049</x:v>
      </x:c>
      <x:c r="B3711" s="2" t="str">
        <x:v>ef16bd790b0ddcdcbeed</x:v>
      </x:c>
      <x:c r="C3711" s="2" t="str">
        <x:v>Tp Hồ Chí Minh</x:v>
      </x:c>
      <x:c r="D3711" s="2" t="str">
        <x:v>Huyện Bình Chánh</x:v>
      </x:c>
      <x:c r="E3711" s="2" t="str">
        <x:v>house</x:v>
      </x:c>
      <x:c r="F3711" s="2" t="str">
        <x:v>sale</x:v>
      </x:c>
      <x:c r="G3711" s="11" t="n">
        <x:v>30</x:v>
      </x:c>
      <x:c r="H3711" s="12" t="n">
        <x:v>1000000000</x:v>
      </x:c>
      <x:c r="I3711" s="12" t="n">
        <x:v>33333333.333333332</x:v>
      </x:c>
      <x:c r="J3711" s="2" t="str">
        <x:v>total</x:v>
      </x:c>
      <x:c r="K3711" s="2" t="str">
        <x:v>top_level_area</x:v>
      </x:c>
      <x:c r="L3711" s="2" t="str">
        <x:v>property_type_inferred_from_title</x:v>
      </x:c>
      <x:c r="M3711" s="10" t="n">
        <x:v>0</x:v>
      </x:c>
      <x:c r="N3711" s="10" t="n">
        <x:v>0</x:v>
      </x:c>
      <x:c r="O3711" s="2" t="str">
        <x:v>Tp Hồ Chí Minh|house</x:v>
      </x:c>
      <x:c r="P3711" s="10" t="n">
        <x:v>2</x:v>
      </x:c>
      <x:c r="Q3711" s="13" t="n">
        <x:f>IF(H3711="","",H3711/1000000000)</x:f>
        <x:v>1</x:v>
      </x:c>
      <x:c r="R3711" s="13" t="n">
        <x:f>IF(I3711="","",I3711/1000000)</x:f>
        <x:v>33.33333333333333</x:v>
      </x:c>
    </x:row>
    <x:row r="3712" ht="21" customHeight="1">
      <x:c r="A3712" s="10" t="n">
        <x:v>5050</x:v>
      </x:c>
      <x:c r="B3712" s="2" t="str">
        <x:v>50107985e8e1300cfb9b</x:v>
      </x:c>
      <x:c r="C3712" s="2" t="str">
        <x:v>Hải Phòng</x:v>
      </x:c>
      <x:c r="D3712" s="2" t="str">
        <x:v>Huyện An Dương</x:v>
      </x:c>
      <x:c r="E3712" s="2" t="str">
        <x:v>house</x:v>
      </x:c>
      <x:c r="F3712" s="2" t="str">
        <x:v>sale</x:v>
      </x:c>
      <x:c r="G3712" s="11" t="n">
        <x:v>58</x:v>
      </x:c>
      <x:c r="H3712" s="12" t="n">
        <x:v>740000000</x:v>
      </x:c>
      <x:c r="I3712" s="12" t="n">
        <x:v>12758620.689655172</x:v>
      </x:c>
      <x:c r="J3712" s="2" t="str">
        <x:v>total</x:v>
      </x:c>
      <x:c r="K3712" s="2" t="str">
        <x:v>top_level_area</x:v>
      </x:c>
      <x:c r="L3712" s="2" t="str">
        <x:v>property_type_inferred_from_title</x:v>
      </x:c>
      <x:c r="M3712" s="10" t="n">
        <x:v>0</x:v>
      </x:c>
      <x:c r="N3712" s="10" t="n">
        <x:v>0</x:v>
      </x:c>
      <x:c r="O3712" s="2" t="str">
        <x:v>house</x:v>
      </x:c>
      <x:c r="P3712" s="10" t="n">
        <x:v>2</x:v>
      </x:c>
      <x:c r="Q3712" s="13" t="n">
        <x:f>IF(H3712="","",H3712/1000000000)</x:f>
        <x:v>0.74</x:v>
      </x:c>
      <x:c r="R3712" s="13" t="n">
        <x:f>IF(I3712="","",I3712/1000000)</x:f>
        <x:v>12.75862068965517</x:v>
      </x:c>
    </x:row>
    <x:row r="3713" ht="21" customHeight="1">
      <x:c r="A3713" s="10" t="n">
        <x:v>5051</x:v>
      </x:c>
      <x:c r="B3713" s="2" t="str">
        <x:v>fa8e5ee29b2ee13c6d64</x:v>
      </x:c>
      <x:c r="C3713" s="2" t="str">
        <x:v>Bà Rịa - Vũng Tàu</x:v>
      </x:c>
      <x:c r="D3713" s="2" t="str">
        <x:v>Thị xã Phú Mỹ</x:v>
      </x:c>
      <x:c r="E3713" s="2" t="str">
        <x:v>land</x:v>
      </x:c>
      <x:c r="F3713" s="2" t="str">
        <x:v>sale_assumed</x:v>
      </x:c>
      <x:c r="G3713" s="11" t="n">
        <x:v>300</x:v>
      </x:c>
      <x:c r="H3713" s="12" t="n">
        <x:v>560000000</x:v>
      </x:c>
      <x:c r="I3713" s="12" t="n">
        <x:v>1866666.6666666667</x:v>
      </x:c>
      <x:c r="J3713" s="2" t="str">
        <x:v>total</x:v>
      </x:c>
      <x:c r="K3713" s="2" t="str">
        <x:v>top_level_area</x:v>
      </x:c>
      <x:c r="L3713" s="2" t="str">
        <x:v>property_type_inferred_from_title;transaction_assumed_sale_from_dataset_context</x:v>
      </x:c>
      <x:c r="M3713" s="10" t="n">
        <x:v>0</x:v>
      </x:c>
      <x:c r="N3713" s="10" t="n">
        <x:v>0</x:v>
      </x:c>
      <x:c r="O3713" s="2" t="str">
        <x:v>Bà Rịa - Vũng Tàu|land</x:v>
      </x:c>
      <x:c r="P3713" s="10" t="n">
        <x:v>1</x:v>
      </x:c>
      <x:c r="Q3713" s="13" t="n">
        <x:f>IF(H3713="","",H3713/1000000000)</x:f>
        <x:v>0.56</x:v>
      </x:c>
      <x:c r="R3713" s="13" t="n">
        <x:f>IF(I3713="","",I3713/1000000)</x:f>
        <x:v>1.8666666666666667</x:v>
      </x:c>
    </x:row>
    <x:row r="3714" ht="21" customHeight="1">
      <x:c r="A3714" s="10" t="n">
        <x:v>5052</x:v>
      </x:c>
      <x:c r="B3714" s="2" t="str">
        <x:v>0fd808378287d3fba21c</x:v>
      </x:c>
      <x:c r="C3714" s="2" t="str">
        <x:v>Tp Hồ Chí Minh</x:v>
      </x:c>
      <x:c r="D3714" s="2" t="str">
        <x:v>Huyện Củ Chi</x:v>
      </x:c>
      <x:c r="E3714" s="2" t="str">
        <x:v>land</x:v>
      </x:c>
      <x:c r="F3714" s="2" t="str">
        <x:v>sale_assumed</x:v>
      </x:c>
      <x:c r="G3714" s="11" t="n">
        <x:v>531</x:v>
      </x:c>
      <x:c r="H3714" s="12" t="n">
        <x:v>790000000</x:v>
      </x:c>
      <x:c r="I3714" s="12" t="n">
        <x:v>1487758.945386064</x:v>
      </x:c>
      <x:c r="J3714" s="2" t="str">
        <x:v>total</x:v>
      </x:c>
      <x:c r="K3714" s="2" t="str">
        <x:v>top_level_area</x:v>
      </x:c>
      <x:c r="L3714" s="2" t="str">
        <x:v>property_type_inferred_from_title;transaction_assumed_sale_from_dataset_context</x:v>
      </x:c>
      <x:c r="M3714" s="10" t="n">
        <x:v>0</x:v>
      </x:c>
      <x:c r="N3714" s="10" t="n">
        <x:v>0</x:v>
      </x:c>
      <x:c r="O3714" s="2" t="str">
        <x:v>Tp Hồ Chí Minh|land</x:v>
      </x:c>
      <x:c r="P3714" s="10" t="n">
        <x:v>1</x:v>
      </x:c>
      <x:c r="Q3714" s="13" t="n">
        <x:f>IF(H3714="","",H3714/1000000000)</x:f>
        <x:v>0.79</x:v>
      </x:c>
      <x:c r="R3714" s="13" t="n">
        <x:f>IF(I3714="","",I3714/1000000)</x:f>
        <x:v>1.487758945386064</x:v>
      </x:c>
    </x:row>
    <x:row r="3715" ht="21" customHeight="1">
      <x:c r="A3715" s="10" t="n">
        <x:v>5053</x:v>
      </x:c>
      <x:c r="B3715" s="2" t="str">
        <x:v>be3a9db2f85b4727f72b</x:v>
      </x:c>
      <x:c r="C3715" s="2" t="str">
        <x:v>Hà Nội</x:v>
      </x:c>
      <x:c r="D3715" s="2" t="str">
        <x:v>Huyện Thường Tín</x:v>
      </x:c>
      <x:c r="E3715" s="2" t="str">
        <x:v>land</x:v>
      </x:c>
      <x:c r="F3715" s="2" t="str">
        <x:v>sale</x:v>
      </x:c>
      <x:c r="G3715" s="11" t="n">
        <x:v>100</x:v>
      </x:c>
      <x:c r="H3715" s="12" t="n">
        <x:v>850000000</x:v>
      </x:c>
      <x:c r="I3715" s="12" t="n">
        <x:v>8500000</x:v>
      </x:c>
      <x:c r="J3715" s="2" t="str">
        <x:v>total</x:v>
      </x:c>
      <x:c r="K3715" s="2" t="str">
        <x:v>top_level_area</x:v>
      </x:c>
      <x:c r="L3715" s="2" t="str">
        <x:v>property_type_inferred_from_title</x:v>
      </x:c>
      <x:c r="M3715" s="10" t="n">
        <x:v>0</x:v>
      </x:c>
      <x:c r="N3715" s="10" t="n">
        <x:v>0</x:v>
      </x:c>
      <x:c r="O3715" s="2" t="str">
        <x:v>Hà Nội|land</x:v>
      </x:c>
      <x:c r="P3715" s="10" t="n">
        <x:v>2</x:v>
      </x:c>
      <x:c r="Q3715" s="13" t="n">
        <x:f>IF(H3715="","",H3715/1000000000)</x:f>
        <x:v>0.85</x:v>
      </x:c>
      <x:c r="R3715" s="13" t="n">
        <x:f>IF(I3715="","",I3715/1000000)</x:f>
        <x:v>8.5</x:v>
      </x:c>
    </x:row>
    <x:row r="3716" ht="21" customHeight="1">
      <x:c r="A3716" s="10" t="n">
        <x:v>5054</x:v>
      </x:c>
      <x:c r="B3716" s="2" t="str">
        <x:v>e2622cae26bdc4f9b9fd</x:v>
      </x:c>
      <x:c r="C3716" s="2" t="str">
        <x:v>Đà Nẵng</x:v>
      </x:c>
      <x:c r="D3716" s="2" t="str">
        <x:v>Quận Ngũ Hành Sơn</x:v>
      </x:c>
      <x:c r="E3716" s="2" t="str">
        <x:v>land</x:v>
      </x:c>
      <x:c r="F3716" s="2" t="str">
        <x:v>sale_assumed</x:v>
      </x:c>
      <x:c r="G3716" s="11" t="n">
        <x:v>100</x:v>
      </x:c>
      <x:c r="H3716" s="12" t="n">
        <x:v>1950000000</x:v>
      </x:c>
      <x:c r="I3716" s="12" t="n">
        <x:v>19500000</x:v>
      </x:c>
      <x:c r="J3716" s="2" t="str">
        <x:v>total</x:v>
      </x:c>
      <x:c r="K3716" s="2" t="str">
        <x:v>top_level_area</x:v>
      </x:c>
      <x:c r="L3716" s="2" t="str">
        <x:v>property_type_inferred_from_title;transaction_assumed_sale_from_dataset_context</x:v>
      </x:c>
      <x:c r="M3716" s="10" t="n">
        <x:v>0</x:v>
      </x:c>
      <x:c r="N3716" s="10" t="n">
        <x:v>0</x:v>
      </x:c>
      <x:c r="O3716" s="2" t="str">
        <x:v>Đà Nẵng|land</x:v>
      </x:c>
      <x:c r="P3716" s="10" t="n">
        <x:v>2</x:v>
      </x:c>
      <x:c r="Q3716" s="13" t="n">
        <x:f>IF(H3716="","",H3716/1000000000)</x:f>
        <x:v>1.95</x:v>
      </x:c>
      <x:c r="R3716" s="13" t="n">
        <x:f>IF(I3716="","",I3716/1000000)</x:f>
        <x:v>19.5</x:v>
      </x:c>
    </x:row>
    <x:row r="3717" ht="21" customHeight="1">
      <x:c r="A3717" s="10" t="n">
        <x:v>5058</x:v>
      </x:c>
      <x:c r="B3717" s="2" t="str">
        <x:v>98ba2fd4ef1e02dfba8f</x:v>
      </x:c>
      <x:c r="C3717" s="2" t="str">
        <x:v>Bình Dương</x:v>
      </x:c>
      <x:c r="D3717" s="2" t="str">
        <x:v>Thị xã Dĩ An</x:v>
      </x:c>
      <x:c r="E3717" s="2" t="str">
        <x:v>house</x:v>
      </x:c>
      <x:c r="F3717" s="2" t="str">
        <x:v>sale_assumed</x:v>
      </x:c>
      <x:c r="G3717" s="11" t="n">
        <x:v>59</x:v>
      </x:c>
      <x:c r="H3717" s="12" t="n">
        <x:v>2150000000</x:v>
      </x:c>
      <x:c r="I3717" s="12" t="n">
        <x:v>36440677.9661017</x:v>
      </x:c>
      <x:c r="J3717" s="2" t="str">
        <x:v>total</x:v>
      </x:c>
      <x:c r="K3717" s="2" t="str">
        <x:v>top_level_area</x:v>
      </x:c>
      <x:c r="L3717" s="2" t="str">
        <x:v>property_type_inferred_from_title;transaction_assumed_sale_from_dataset_context</x:v>
      </x:c>
      <x:c r="M3717" s="10" t="n">
        <x:v>0</x:v>
      </x:c>
      <x:c r="N3717" s="10" t="n">
        <x:v>0</x:v>
      </x:c>
      <x:c r="O3717" s="2" t="str">
        <x:v>Bình Dương|house</x:v>
      </x:c>
      <x:c r="P3717" s="10" t="n">
        <x:v>2</x:v>
      </x:c>
      <x:c r="Q3717" s="13" t="n">
        <x:f>IF(H3717="","",H3717/1000000000)</x:f>
        <x:v>2.15</x:v>
      </x:c>
      <x:c r="R3717" s="13" t="n">
        <x:f>IF(I3717="","",I3717/1000000)</x:f>
        <x:v>36.440677966101696</x:v>
      </x:c>
    </x:row>
    <x:row r="3718" ht="21" customHeight="1">
      <x:c r="A3718" s="10" t="n">
        <x:v>5059</x:v>
      </x:c>
      <x:c r="B3718" s="2" t="str">
        <x:v>e01ad3db8f716bb1d3ca</x:v>
      </x:c>
      <x:c r="C3718" s="2" t="str">
        <x:v>Sóc Trăng</x:v>
      </x:c>
      <x:c r="D3718" s="2" t="str">
        <x:v>Thành phố Sóc Trăng</x:v>
      </x:c>
      <x:c r="E3718" s="2" t="str">
        <x:v>house</x:v>
      </x:c>
      <x:c r="F3718" s="2" t="str">
        <x:v>sale_assumed</x:v>
      </x:c>
      <x:c r="G3718" s="11" t="n">
        <x:v>84</x:v>
      </x:c>
      <x:c r="H3718" s="12" t="n">
        <x:v>1200000000</x:v>
      </x:c>
      <x:c r="I3718" s="12" t="n">
        <x:v>14285714.285714285</x:v>
      </x:c>
      <x:c r="J3718" s="2" t="str">
        <x:v>total</x:v>
      </x:c>
      <x:c r="K3718" s="2" t="str">
        <x:v>top_level_area</x:v>
      </x:c>
      <x:c r="L3718" s="2" t="str">
        <x:v>property_type_inferred_from_title;transaction_assumed_sale_from_dataset_context</x:v>
      </x:c>
      <x:c r="M3718" s="10" t="n">
        <x:v>0</x:v>
      </x:c>
      <x:c r="N3718" s="10" t="n">
        <x:v>0</x:v>
      </x:c>
      <x:c r="O3718" s="2" t="str">
        <x:v>house</x:v>
      </x:c>
      <x:c r="P3718" s="10" t="n">
        <x:v>2</x:v>
      </x:c>
      <x:c r="Q3718" s="13" t="n">
        <x:f>IF(H3718="","",H3718/1000000000)</x:f>
        <x:v>1.2</x:v>
      </x:c>
      <x:c r="R3718" s="13" t="n">
        <x:f>IF(I3718="","",I3718/1000000)</x:f>
        <x:v>14.285714285714285</x:v>
      </x:c>
    </x:row>
    <x:row r="3719" ht="21" customHeight="1">
      <x:c r="A3719" s="10" t="n">
        <x:v>5060</x:v>
      </x:c>
      <x:c r="B3719" s="2" t="str">
        <x:v>93d6e3aaaa890c091781</x:v>
      </x:c>
      <x:c r="C3719" s="2" t="str">
        <x:v>Tp Hồ Chí Minh</x:v>
      </x:c>
      <x:c r="D3719" s="2" t="str">
        <x:v>Huyện Bình Chánh</x:v>
      </x:c>
      <x:c r="E3719" s="2" t="str">
        <x:v>land</x:v>
      </x:c>
      <x:c r="F3719" s="2" t="str">
        <x:v>sale_assumed</x:v>
      </x:c>
      <x:c r="G3719" s="11" t="n">
        <x:v>36</x:v>
      </x:c>
      <x:c r="H3719" s="12" t="n">
        <x:v>480000000</x:v>
      </x:c>
      <x:c r="I3719" s="12" t="n">
        <x:v>13333333.333333334</x:v>
      </x:c>
      <x:c r="J3719" s="2" t="str">
        <x:v>total</x:v>
      </x:c>
      <x:c r="K3719" s="2" t="str">
        <x:v>top_level_area</x:v>
      </x:c>
      <x:c r="L3719" s="2" t="str">
        <x:v>property_type_inferred_from_title;transaction_assumed_sale_from_dataset_context</x:v>
      </x:c>
      <x:c r="M3719" s="10" t="n">
        <x:v>0</x:v>
      </x:c>
      <x:c r="N3719" s="10" t="n">
        <x:v>0</x:v>
      </x:c>
      <x:c r="O3719" s="2" t="str">
        <x:v>Tp Hồ Chí Minh|land</x:v>
      </x:c>
      <x:c r="P3719" s="10" t="n">
        <x:v>2</x:v>
      </x:c>
      <x:c r="Q3719" s="13" t="n">
        <x:f>IF(H3719="","",H3719/1000000000)</x:f>
        <x:v>0.48</x:v>
      </x:c>
      <x:c r="R3719" s="13" t="n">
        <x:f>IF(I3719="","",I3719/1000000)</x:f>
        <x:v>13.333333333333334</x:v>
      </x:c>
    </x:row>
    <x:row r="3720" ht="21" customHeight="1">
      <x:c r="A3720" s="10" t="n">
        <x:v>5061</x:v>
      </x:c>
      <x:c r="B3720" s="2" t="str">
        <x:v>0fd7138b867a94342f67</x:v>
      </x:c>
      <x:c r="C3720" s="2" t="str">
        <x:v>Tp Hồ Chí Minh</x:v>
      </x:c>
      <x:c r="D3720" s="2" t="str">
        <x:v>Quận 8</x:v>
      </x:c>
      <x:c r="E3720" s="2" t="str">
        <x:v>house</x:v>
      </x:c>
      <x:c r="F3720" s="2" t="str">
        <x:v>sale_assumed</x:v>
      </x:c>
      <x:c r="G3720" s="11" t="n">
        <x:v>120</x:v>
      </x:c>
      <x:c r="H3720" s="12" t="n">
        <x:v>5800000000</x:v>
      </x:c>
      <x:c r="I3720" s="12" t="n">
        <x:v>48333333.333333336</x:v>
      </x:c>
      <x:c r="J3720" s="2" t="str">
        <x:v>total</x:v>
      </x:c>
      <x:c r="K3720" s="2" t="str">
        <x:v>top_level_area</x:v>
      </x:c>
      <x:c r="L3720" s="2" t="str">
        <x:v>property_type_inferred_from_title;transaction_assumed_sale_from_dataset_context</x:v>
      </x:c>
      <x:c r="M3720" s="10" t="n">
        <x:v>0</x:v>
      </x:c>
      <x:c r="N3720" s="10" t="n">
        <x:v>0</x:v>
      </x:c>
      <x:c r="O3720" s="2" t="str">
        <x:v>Tp Hồ Chí Minh|house</x:v>
      </x:c>
      <x:c r="P3720" s="10" t="n">
        <x:v>2</x:v>
      </x:c>
      <x:c r="Q3720" s="13" t="n">
        <x:f>IF(H3720="","",H3720/1000000000)</x:f>
        <x:v>5.8</x:v>
      </x:c>
      <x:c r="R3720" s="13" t="n">
        <x:f>IF(I3720="","",I3720/1000000)</x:f>
        <x:v>48.333333333333336</x:v>
      </x:c>
    </x:row>
    <x:row r="3721" ht="21" customHeight="1">
      <x:c r="A3721" s="10" t="n">
        <x:v>5062</x:v>
      </x:c>
      <x:c r="B3721" s="2" t="str">
        <x:v>80e58d484cbda18aa801</x:v>
      </x:c>
      <x:c r="C3721" s="2" t="str">
        <x:v>Tp Hồ Chí Minh</x:v>
      </x:c>
      <x:c r="D3721" s="2" t="str">
        <x:v>Quận 8</x:v>
      </x:c>
      <x:c r="E3721" s="2" t="str">
        <x:v>house</x:v>
      </x:c>
      <x:c r="F3721" s="2" t="str">
        <x:v>sale_assumed</x:v>
      </x:c>
      <x:c r="G3721" s="11" t="n">
        <x:v>56.5</x:v>
      </x:c>
      <x:c r="H3721" s="12" t="n">
        <x:v>6400000000</x:v>
      </x:c>
      <x:c r="I3721" s="12" t="n">
        <x:v>113274336.28318584</x:v>
      </x:c>
      <x:c r="J3721" s="2" t="str">
        <x:v>total</x:v>
      </x:c>
      <x:c r="K3721" s="2" t="str">
        <x:v>top_level_area</x:v>
      </x:c>
      <x:c r="L3721" s="2" t="str">
        <x:v>property_type_inferred_from_title;transaction_assumed_sale_from_dataset_context</x:v>
      </x:c>
      <x:c r="M3721" s="10" t="n">
        <x:v>0</x:v>
      </x:c>
      <x:c r="N3721" s="10" t="n">
        <x:v>0</x:v>
      </x:c>
      <x:c r="O3721" s="2" t="str">
        <x:v>Tp Hồ Chí Minh|house</x:v>
      </x:c>
      <x:c r="P3721" s="10" t="n">
        <x:v>2</x:v>
      </x:c>
      <x:c r="Q3721" s="13" t="n">
        <x:f>IF(H3721="","",H3721/1000000000)</x:f>
        <x:v>6.4</x:v>
      </x:c>
      <x:c r="R3721" s="13" t="n">
        <x:f>IF(I3721="","",I3721/1000000)</x:f>
        <x:v>113.27433628318585</x:v>
      </x:c>
    </x:row>
    <x:row r="3722" ht="21" customHeight="1">
      <x:c r="A3722" s="10" t="n">
        <x:v>5063</x:v>
      </x:c>
      <x:c r="B3722" s="2" t="str">
        <x:v>3f7401587329b7289898</x:v>
      </x:c>
      <x:c r="C3722" s="2" t="str">
        <x:v>Tp Hồ Chí Minh</x:v>
      </x:c>
      <x:c r="D3722" s="2" t="str">
        <x:v>Quận 6</x:v>
      </x:c>
      <x:c r="E3722" s="2" t="str">
        <x:v>house</x:v>
      </x:c>
      <x:c r="F3722" s="2" t="str">
        <x:v>sale_assumed</x:v>
      </x:c>
      <x:c r="G3722" s="11" t="n">
        <x:v>57.1</x:v>
      </x:c>
      <x:c r="H3722" s="12" t="n">
        <x:v>8199999999.999999</x:v>
      </x:c>
      <x:c r="I3722" s="12" t="n">
        <x:v>143607705.7793345</x:v>
      </x:c>
      <x:c r="J3722" s="2" t="str">
        <x:v>total</x:v>
      </x:c>
      <x:c r="K3722" s="2" t="str">
        <x:v>top_level_area</x:v>
      </x:c>
      <x:c r="L3722" s="2" t="str">
        <x:v>property_type_inferred_from_title;transaction_assumed_sale_from_dataset_context</x:v>
      </x:c>
      <x:c r="M3722" s="10" t="n">
        <x:v>0</x:v>
      </x:c>
      <x:c r="N3722" s="10" t="n">
        <x:v>0</x:v>
      </x:c>
      <x:c r="O3722" s="2" t="str">
        <x:v>Tp Hồ Chí Minh|house</x:v>
      </x:c>
      <x:c r="P3722" s="10" t="n">
        <x:v>2</x:v>
      </x:c>
      <x:c r="Q3722" s="13" t="n">
        <x:f>IF(H3722="","",H3722/1000000000)</x:f>
        <x:v>8.2</x:v>
      </x:c>
      <x:c r="R3722" s="13" t="n">
        <x:f>IF(I3722="","",I3722/1000000)</x:f>
        <x:v>143.60770577933448</x:v>
      </x:c>
    </x:row>
    <x:row r="3723" ht="21" customHeight="1">
      <x:c r="A3723" s="10" t="n">
        <x:v>5064</x:v>
      </x:c>
      <x:c r="B3723" s="2" t="str">
        <x:v>805fbba6b0fdb80c3109</x:v>
      </x:c>
      <x:c r="C3723" s="2" t="str">
        <x:v>Tp Hồ Chí Minh</x:v>
      </x:c>
      <x:c r="D3723" s="2" t="str">
        <x:v>Huyện Bình Chánh</x:v>
      </x:c>
      <x:c r="E3723" s="2" t="str">
        <x:v>land</x:v>
      </x:c>
      <x:c r="F3723" s="2" t="str">
        <x:v>sale_assumed</x:v>
      </x:c>
      <x:c r="G3723" s="11" t="n">
        <x:v>1983</x:v>
      </x:c>
      <x:c r="H3723" s="12" t="n">
        <x:v>3950000000</x:v>
      </x:c>
      <x:c r="I3723" s="12" t="n">
        <x:v>1991931.4170448815</x:v>
      </x:c>
      <x:c r="J3723" s="2" t="str">
        <x:v>total</x:v>
      </x:c>
      <x:c r="K3723" s="2" t="str">
        <x:v>top_level_area</x:v>
      </x:c>
      <x:c r="L3723" s="2" t="str">
        <x:v>dot_thousands_convention;property_type_inferred_from_title;transaction_assumed_sale_from_dataset_context</x:v>
      </x:c>
      <x:c r="M3723" s="10" t="n">
        <x:v>0</x:v>
      </x:c>
      <x:c r="N3723" s="10" t="n">
        <x:v>0</x:v>
      </x:c>
      <x:c r="O3723" s="2" t="str">
        <x:v>Tp Hồ Chí Minh|land</x:v>
      </x:c>
      <x:c r="P3723" s="10" t="n">
        <x:v>1</x:v>
      </x:c>
      <x:c r="Q3723" s="13" t="n">
        <x:f>IF(H3723="","",H3723/1000000000)</x:f>
        <x:v>3.95</x:v>
      </x:c>
      <x:c r="R3723" s="13" t="n">
        <x:f>IF(I3723="","",I3723/1000000)</x:f>
        <x:v>1.9919314170448814</x:v>
      </x:c>
    </x:row>
    <x:row r="3724" ht="21" customHeight="1">
      <x:c r="A3724" s="10" t="n">
        <x:v>5065</x:v>
      </x:c>
      <x:c r="B3724" s="2" t="str">
        <x:v>74368c6eee80aca1b811</x:v>
      </x:c>
      <x:c r="C3724" s="2" t="str">
        <x:v>Tp Hồ Chí Minh</x:v>
      </x:c>
      <x:c r="D3724" s="2" t="str">
        <x:v>Quận 5</x:v>
      </x:c>
      <x:c r="E3724" s="2" t="str">
        <x:v>other_unknown</x:v>
      </x:c>
      <x:c r="F3724" s="2" t="str">
        <x:v>sale_assumed</x:v>
      </x:c>
      <x:c r="G3724" s="11" t="n">
        <x:v>48.8</x:v>
      </x:c>
      <x:c r="H3724" s="12" t="n">
        <x:v>7500000000</x:v>
      </x:c>
      <x:c r="I3724" s="12" t="n">
        <x:v>153688524.59016395</x:v>
      </x:c>
      <x:c r="J3724" s="2" t="str">
        <x:v>total</x:v>
      </x:c>
      <x:c r="K3724" s="2" t="str">
        <x:v>top_level_area</x:v>
      </x:c>
      <x:c r="L3724" s="2" t="str">
        <x:v>property_type_inferred_from_title;transaction_assumed_sale_from_dataset_context;unknown_property_type</x:v>
      </x:c>
      <x:c r="M3724" s="10" t="n">
        <x:v>0</x:v>
      </x:c>
      <x:c r="N3724" s="10" t="n">
        <x:v>0</x:v>
      </x:c>
      <x:c r="O3724" s="2" t="str">
        <x:v>Tp Hồ Chí Minh|other_unknown</x:v>
      </x:c>
      <x:c r="P3724" s="10" t="n">
        <x:v>2</x:v>
      </x:c>
      <x:c r="Q3724" s="13" t="n">
        <x:f>IF(H3724="","",H3724/1000000000)</x:f>
        <x:v>7.5</x:v>
      </x:c>
      <x:c r="R3724" s="13" t="n">
        <x:f>IF(I3724="","",I3724/1000000)</x:f>
        <x:v>153.68852459016395</x:v>
      </x:c>
    </x:row>
    <x:row r="3725" ht="21" customHeight="1">
      <x:c r="A3725" s="10" t="n">
        <x:v>5066</x:v>
      </x:c>
      <x:c r="B3725" s="2" t="str">
        <x:v>e6bfdbf52ef9a6180c69</x:v>
      </x:c>
      <x:c r="C3725" s="2" t="str">
        <x:v>Đà Nẵng</x:v>
      </x:c>
      <x:c r="D3725" s="2" t="str">
        <x:v>Quận Cẩm Lệ</x:v>
      </x:c>
      <x:c r="E3725" s="2" t="str">
        <x:v>land</x:v>
      </x:c>
      <x:c r="F3725" s="2" t="str">
        <x:v>sale_assumed</x:v>
      </x:c>
      <x:c r="G3725" s="11" t="n">
        <x:v>87.6</x:v>
      </x:c>
      <x:c r="H3725" s="12" t="n">
        <x:v>2650000000</x:v>
      </x:c>
      <x:c r="I3725" s="12" t="n">
        <x:v>30251141.552511416</x:v>
      </x:c>
      <x:c r="J3725" s="2" t="str">
        <x:v>total</x:v>
      </x:c>
      <x:c r="K3725" s="2" t="str">
        <x:v>top_level_area</x:v>
      </x:c>
      <x:c r="L3725" s="2" t="str">
        <x:v>property_type_inferred_from_title;transaction_assumed_sale_from_dataset_context</x:v>
      </x:c>
      <x:c r="M3725" s="10" t="n">
        <x:v>0</x:v>
      </x:c>
      <x:c r="N3725" s="10" t="n">
        <x:v>0</x:v>
      </x:c>
      <x:c r="O3725" s="2" t="str">
        <x:v>Đà Nẵng|land</x:v>
      </x:c>
      <x:c r="P3725" s="10" t="n">
        <x:v>2</x:v>
      </x:c>
      <x:c r="Q3725" s="13" t="n">
        <x:f>IF(H3725="","",H3725/1000000000)</x:f>
        <x:v>2.65</x:v>
      </x:c>
      <x:c r="R3725" s="13" t="n">
        <x:f>IF(I3725="","",I3725/1000000)</x:f>
        <x:v>30.251141552511417</x:v>
      </x:c>
    </x:row>
    <x:row r="3726" ht="21" customHeight="1">
      <x:c r="A3726" s="10" t="n">
        <x:v>5067</x:v>
      </x:c>
      <x:c r="B3726" s="2" t="str">
        <x:v>d56db3b8b7bd560781f2</x:v>
      </x:c>
      <x:c r="C3726" s="2" t="str">
        <x:v>Tp Hồ Chí Minh</x:v>
      </x:c>
      <x:c r="D3726" s="2" t="str">
        <x:v>Quận Bình Thạnh</x:v>
      </x:c>
      <x:c r="E3726" s="2" t="str">
        <x:v>house</x:v>
      </x:c>
      <x:c r="F3726" s="2" t="str">
        <x:v>sale</x:v>
      </x:c>
      <x:c r="G3726" s="11" t="n">
        <x:v>93</x:v>
      </x:c>
      <x:c r="H3726" s="12" t="n">
        <x:v>15700000000</x:v>
      </x:c>
      <x:c r="I3726" s="12" t="n">
        <x:v>168817204.30107528</x:v>
      </x:c>
      <x:c r="J3726" s="2" t="str">
        <x:v>total</x:v>
      </x:c>
      <x:c r="K3726" s="2" t="str">
        <x:v>top_level_area</x:v>
      </x:c>
      <x:c r="L3726" s="2" t="str">
        <x:v>property_type_inferred_from_title</x:v>
      </x:c>
      <x:c r="M3726" s="10" t="n">
        <x:v>1</x:v>
      </x:c>
      <x:c r="N3726" s="10" t="n">
        <x:v>0</x:v>
      </x:c>
      <x:c r="O3726" s="2" t="str">
        <x:v>Tp Hồ Chí Minh|house</x:v>
      </x:c>
      <x:c r="P3726" s="10" t="n">
        <x:v>2</x:v>
      </x:c>
      <x:c r="Q3726" s="13" t="n">
        <x:f>IF(H3726="","",H3726/1000000000)</x:f>
        <x:v>15.7</x:v>
      </x:c>
      <x:c r="R3726" s="13" t="n">
        <x:f>IF(I3726="","",I3726/1000000)</x:f>
        <x:v>168.8172043010753</x:v>
      </x:c>
    </x:row>
    <x:row r="3727" ht="21" customHeight="1">
      <x:c r="A3727" s="10" t="n">
        <x:v>5068</x:v>
      </x:c>
      <x:c r="B3727" s="2" t="str">
        <x:v>3d687352b45d543ece1d</x:v>
      </x:c>
      <x:c r="C3727" s="2" t="str">
        <x:v>Tp Hồ Chí Minh</x:v>
      </x:c>
      <x:c r="D3727" s="2" t="str">
        <x:v>Quận Bình Tân</x:v>
      </x:c>
      <x:c r="E3727" s="2" t="str">
        <x:v>house</x:v>
      </x:c>
      <x:c r="F3727" s="2" t="str">
        <x:v>sale_assumed</x:v>
      </x:c>
      <x:c r="G3727" s="11" t="n">
        <x:v>32</x:v>
      </x:c>
      <x:c r="H3727" s="12" t="n">
        <x:v>1050000000</x:v>
      </x:c>
      <x:c r="I3727" s="12" t="n">
        <x:v>32812500</x:v>
      </x:c>
      <x:c r="J3727" s="2" t="str">
        <x:v>total</x:v>
      </x:c>
      <x:c r="K3727" s="2" t="str">
        <x:v>top_level_area</x:v>
      </x:c>
      <x:c r="L3727" s="2" t="str">
        <x:v>property_type_inferred_from_title;transaction_assumed_sale_from_dataset_context</x:v>
      </x:c>
      <x:c r="M3727" s="10" t="n">
        <x:v>0</x:v>
      </x:c>
      <x:c r="N3727" s="10" t="n">
        <x:v>0</x:v>
      </x:c>
      <x:c r="O3727" s="2" t="str">
        <x:v>Tp Hồ Chí Minh|house</x:v>
      </x:c>
      <x:c r="P3727" s="10" t="n">
        <x:v>2</x:v>
      </x:c>
      <x:c r="Q3727" s="13" t="n">
        <x:f>IF(H3727="","",H3727/1000000000)</x:f>
        <x:v>1.05</x:v>
      </x:c>
      <x:c r="R3727" s="13" t="n">
        <x:f>IF(I3727="","",I3727/1000000)</x:f>
        <x:v>32.8125</x:v>
      </x:c>
    </x:row>
    <x:row r="3728" ht="21" customHeight="1">
      <x:c r="A3728" s="10" t="n">
        <x:v>5069</x:v>
      </x:c>
      <x:c r="B3728" s="2" t="str">
        <x:v>d71b1495814f25363204</x:v>
      </x:c>
      <x:c r="C3728" s="2" t="str">
        <x:v>Tp Hồ Chí Minh</x:v>
      </x:c>
      <x:c r="D3728" s="2" t="str">
        <x:v>Quận 7</x:v>
      </x:c>
      <x:c r="E3728" s="2" t="str">
        <x:v>house</x:v>
      </x:c>
      <x:c r="F3728" s="2" t="str">
        <x:v>sale</x:v>
      </x:c>
      <x:c r="G3728" s="11" t="n">
        <x:v>210</x:v>
      </x:c>
      <x:c r="H3728" s="12" t="n">
        <x:v>15000000000</x:v>
      </x:c>
      <x:c r="I3728" s="12" t="n">
        <x:v>71428571.42857143</x:v>
      </x:c>
      <x:c r="J3728" s="2" t="str">
        <x:v>total</x:v>
      </x:c>
      <x:c r="K3728" s="2" t="str">
        <x:v>top_level_area</x:v>
      </x:c>
      <x:c r="L3728" s="2" t="str">
        <x:v>property_type_inferred_from_title</x:v>
      </x:c>
      <x:c r="M3728" s="10" t="n">
        <x:v>0</x:v>
      </x:c>
      <x:c r="N3728" s="10" t="n">
        <x:v>0</x:v>
      </x:c>
      <x:c r="O3728" s="2" t="str">
        <x:v>Tp Hồ Chí Minh|house</x:v>
      </x:c>
      <x:c r="P3728" s="10" t="n">
        <x:v>2</x:v>
      </x:c>
      <x:c r="Q3728" s="13" t="n">
        <x:f>IF(H3728="","",H3728/1000000000)</x:f>
        <x:v>15</x:v>
      </x:c>
      <x:c r="R3728" s="13" t="n">
        <x:f>IF(I3728="","",I3728/1000000)</x:f>
        <x:v>71.42857142857143</x:v>
      </x:c>
    </x:row>
    <x:row r="3729" ht="21" customHeight="1">
      <x:c r="A3729" s="10" t="n">
        <x:v>5070</x:v>
      </x:c>
      <x:c r="B3729" s="2" t="str">
        <x:v>676d761745ca41ed7619</x:v>
      </x:c>
      <x:c r="C3729" s="2" t="str">
        <x:v>Đà Nẵng</x:v>
      </x:c>
      <x:c r="D3729" s="2" t="str">
        <x:v>Quận Thanh Khê</x:v>
      </x:c>
      <x:c r="E3729" s="2" t="str">
        <x:v>other_unknown</x:v>
      </x:c>
      <x:c r="F3729" s="2" t="str">
        <x:v>sale_assumed</x:v>
      </x:c>
      <x:c r="G3729" s="11" t="n">
        <x:v>125</x:v>
      </x:c>
      <x:c r="H3729" s="12" t="n">
        <x:v>8125000000</x:v>
      </x:c>
      <x:c r="I3729" s="12" t="n">
        <x:v>65000000</x:v>
      </x:c>
      <x:c r="J3729" s="2" t="str">
        <x:v>total</x:v>
      </x:c>
      <x:c r="K3729" s="2" t="str">
        <x:v>top_level_area</x:v>
      </x:c>
      <x:c r="L3729" s="2" t="str">
        <x:v>property_type_inferred_from_title;transaction_assumed_sale_from_dataset_context;unknown_property_type</x:v>
      </x:c>
      <x:c r="M3729" s="10" t="n">
        <x:v>0</x:v>
      </x:c>
      <x:c r="N3729" s="10" t="n">
        <x:v>0</x:v>
      </x:c>
      <x:c r="O3729" s="2" t="str">
        <x:v>Đà Nẵng|other_unknown</x:v>
      </x:c>
      <x:c r="P3729" s="10" t="n">
        <x:v>2</x:v>
      </x:c>
      <x:c r="Q3729" s="13" t="n">
        <x:f>IF(H3729="","",H3729/1000000000)</x:f>
        <x:v>8.125</x:v>
      </x:c>
      <x:c r="R3729" s="13" t="n">
        <x:f>IF(I3729="","",I3729/1000000)</x:f>
        <x:v>65</x:v>
      </x:c>
    </x:row>
    <x:row r="3730" ht="21" customHeight="1">
      <x:c r="A3730" s="10" t="n">
        <x:v>5071</x:v>
      </x:c>
      <x:c r="B3730" s="2" t="str">
        <x:v>4eac15c0051f6d7c0095</x:v>
      </x:c>
      <x:c r="C3730" s="2" t="str">
        <x:v>Đà Nẵng</x:v>
      </x:c>
      <x:c r="D3730" s="2" t="str">
        <x:v>Quận Thanh Khê</x:v>
      </x:c>
      <x:c r="E3730" s="2" t="str">
        <x:v>house</x:v>
      </x:c>
      <x:c r="F3730" s="2" t="str">
        <x:v>sale</x:v>
      </x:c>
      <x:c r="G3730" s="11" t="n">
        <x:v>81</x:v>
      </x:c>
      <x:c r="H3730" s="12" t="n">
        <x:v>2950000000</x:v>
      </x:c>
      <x:c r="I3730" s="12" t="n">
        <x:v>36419753.086419754</x:v>
      </x:c>
      <x:c r="J3730" s="2" t="str">
        <x:v>total</x:v>
      </x:c>
      <x:c r="K3730" s="2" t="str">
        <x:v>top_level_area</x:v>
      </x:c>
      <x:c r="L3730" s="2" t="str">
        <x:v>property_type_inferred_from_title</x:v>
      </x:c>
      <x:c r="M3730" s="10" t="n">
        <x:v>0</x:v>
      </x:c>
      <x:c r="N3730" s="10" t="n">
        <x:v>0</x:v>
      </x:c>
      <x:c r="O3730" s="2" t="str">
        <x:v>Đà Nẵng|house</x:v>
      </x:c>
      <x:c r="P3730" s="10" t="n">
        <x:v>2</x:v>
      </x:c>
      <x:c r="Q3730" s="13" t="n">
        <x:f>IF(H3730="","",H3730/1000000000)</x:f>
        <x:v>2.95</x:v>
      </x:c>
      <x:c r="R3730" s="13" t="n">
        <x:f>IF(I3730="","",I3730/1000000)</x:f>
        <x:v>36.41975308641975</x:v>
      </x:c>
    </x:row>
    <x:row r="3731" ht="21" customHeight="1">
      <x:c r="A3731" s="10" t="n">
        <x:v>5072</x:v>
      </x:c>
      <x:c r="B3731" s="2" t="str">
        <x:v>51a7dba4d67969674122</x:v>
      </x:c>
      <x:c r="C3731" s="2" t="str">
        <x:v>Đà Nẵng</x:v>
      </x:c>
      <x:c r="D3731" s="2" t="str">
        <x:v>Quận Liên Chiểu</x:v>
      </x:c>
      <x:c r="E3731" s="2" t="str">
        <x:v>house</x:v>
      </x:c>
      <x:c r="F3731" s="2" t="str">
        <x:v>sale</x:v>
      </x:c>
      <x:c r="G3731" s="11" t="n">
        <x:v>100</x:v>
      </x:c>
      <x:c r="H3731" s="12" t="n">
        <x:v>5800000000</x:v>
      </x:c>
      <x:c r="I3731" s="12" t="n">
        <x:v>58000000</x:v>
      </x:c>
      <x:c r="J3731" s="2" t="str">
        <x:v>total</x:v>
      </x:c>
      <x:c r="K3731" s="2" t="str">
        <x:v>top_level_area</x:v>
      </x:c>
      <x:c r="L3731" s="2" t="str">
        <x:v>property_type_inferred_from_title</x:v>
      </x:c>
      <x:c r="M3731" s="10" t="n">
        <x:v>0</x:v>
      </x:c>
      <x:c r="N3731" s="10" t="n">
        <x:v>0</x:v>
      </x:c>
      <x:c r="O3731" s="2" t="str">
        <x:v>Đà Nẵng|house</x:v>
      </x:c>
      <x:c r="P3731" s="10" t="n">
        <x:v>2</x:v>
      </x:c>
      <x:c r="Q3731" s="13" t="n">
        <x:f>IF(H3731="","",H3731/1000000000)</x:f>
        <x:v>5.8</x:v>
      </x:c>
      <x:c r="R3731" s="13" t="n">
        <x:f>IF(I3731="","",I3731/1000000)</x:f>
        <x:v>58</x:v>
      </x:c>
    </x:row>
    <x:row r="3732" ht="21" customHeight="1">
      <x:c r="A3732" s="10" t="n">
        <x:v>5073</x:v>
      </x:c>
      <x:c r="B3732" s="2" t="str">
        <x:v>115411eb43ca43baf867</x:v>
      </x:c>
      <x:c r="C3732" s="2" t="str">
        <x:v>Đà Nẵng</x:v>
      </x:c>
      <x:c r="D3732" s="2" t="str">
        <x:v>Quận Cẩm Lệ</x:v>
      </x:c>
      <x:c r="E3732" s="2" t="str">
        <x:v>other_unknown</x:v>
      </x:c>
      <x:c r="F3732" s="2" t="str">
        <x:v>sale_assumed</x:v>
      </x:c>
      <x:c r="G3732" s="11" t="n">
        <x:v>80</x:v>
      </x:c>
      <x:c r="H3732" s="12" t="n">
        <x:v>2799999000</x:v>
      </x:c>
      <x:c r="I3732" s="12" t="n">
        <x:v>34999987.5</x:v>
      </x:c>
      <x:c r="J3732" s="2" t="str">
        <x:v>total</x:v>
      </x:c>
      <x:c r="K3732" s="2" t="str">
        <x:v>top_level_area</x:v>
      </x:c>
      <x:c r="L3732" s="2" t="str">
        <x:v>property_type_inferred_from_title;transaction_assumed_sale_from_dataset_context;unknown_property_type</x:v>
      </x:c>
      <x:c r="M3732" s="10" t="n">
        <x:v>0</x:v>
      </x:c>
      <x:c r="N3732" s="10" t="n">
        <x:v>0</x:v>
      </x:c>
      <x:c r="O3732" s="2" t="str">
        <x:v>Đà Nẵng|other_unknown</x:v>
      </x:c>
      <x:c r="P3732" s="10" t="n">
        <x:v>2</x:v>
      </x:c>
      <x:c r="Q3732" s="13" t="n">
        <x:f>IF(H3732="","",H3732/1000000000)</x:f>
        <x:v>2.799999</x:v>
      </x:c>
      <x:c r="R3732" s="13" t="n">
        <x:f>IF(I3732="","",I3732/1000000)</x:f>
        <x:v>34.9999875</x:v>
      </x:c>
    </x:row>
    <x:row r="3733" ht="21" customHeight="1">
      <x:c r="A3733" s="10" t="n">
        <x:v>5074</x:v>
      </x:c>
      <x:c r="B3733" s="2" t="str">
        <x:v>6614fd77fda6cf411989</x:v>
      </x:c>
      <x:c r="C3733" s="2" t="str">
        <x:v>Tp Hồ Chí Minh</x:v>
      </x:c>
      <x:c r="D3733" s="2" t="str">
        <x:v>Quận 4</x:v>
      </x:c>
      <x:c r="E3733" s="2" t="str">
        <x:v>house</x:v>
      </x:c>
      <x:c r="F3733" s="2" t="str">
        <x:v>sale</x:v>
      </x:c>
      <x:c r="G3733" s="11" t="n">
        <x:v>21</x:v>
      </x:c>
      <x:c r="H3733" s="12" t="n">
        <x:v>3500000000</x:v>
      </x:c>
      <x:c r="I3733" s="12" t="n">
        <x:v>166666666.66666666</x:v>
      </x:c>
      <x:c r="J3733" s="2" t="str">
        <x:v>total</x:v>
      </x:c>
      <x:c r="K3733" s="2" t="str">
        <x:v>top_level_area</x:v>
      </x:c>
      <x:c r="L3733" s="2" t="str">
        <x:v>property_type_inferred_from_title</x:v>
      </x:c>
      <x:c r="M3733" s="10" t="n">
        <x:v>1</x:v>
      </x:c>
      <x:c r="N3733" s="10" t="n">
        <x:v>0</x:v>
      </x:c>
      <x:c r="O3733" s="2" t="str">
        <x:v>Tp Hồ Chí Minh|house</x:v>
      </x:c>
      <x:c r="P3733" s="10" t="n">
        <x:v>2</x:v>
      </x:c>
      <x:c r="Q3733" s="13" t="n">
        <x:f>IF(H3733="","",H3733/1000000000)</x:f>
        <x:v>3.5</x:v>
      </x:c>
      <x:c r="R3733" s="13" t="n">
        <x:f>IF(I3733="","",I3733/1000000)</x:f>
        <x:v>166.66666666666666</x:v>
      </x:c>
    </x:row>
    <x:row r="3734" ht="21" customHeight="1">
      <x:c r="A3734" s="10" t="n">
        <x:v>5075</x:v>
      </x:c>
      <x:c r="B3734" s="2" t="str">
        <x:v>7e38a47cf073ebef5996</x:v>
      </x:c>
      <x:c r="C3734" s="2" t="str">
        <x:v>Tp Hồ Chí Minh</x:v>
      </x:c>
      <x:c r="D3734" s="2" t="str">
        <x:v>Quận 8</x:v>
      </x:c>
      <x:c r="E3734" s="2" t="str">
        <x:v>house</x:v>
      </x:c>
      <x:c r="F3734" s="2" t="str">
        <x:v>sale</x:v>
      </x:c>
      <x:c r="G3734" s="11" t="n">
        <x:v>60</x:v>
      </x:c>
      <x:c r="H3734" s="12" t="n">
        <x:v>3290000000</x:v>
      </x:c>
      <x:c r="I3734" s="12" t="n">
        <x:v>54833333.333333336</x:v>
      </x:c>
      <x:c r="J3734" s="2" t="str">
        <x:v>total</x:v>
      </x:c>
      <x:c r="K3734" s="2" t="str">
        <x:v>top_level_area</x:v>
      </x:c>
      <x:c r="L3734" s="2" t="str">
        <x:v>property_type_inferred_from_title</x:v>
      </x:c>
      <x:c r="M3734" s="10" t="n">
        <x:v>0</x:v>
      </x:c>
      <x:c r="N3734" s="10" t="n">
        <x:v>0</x:v>
      </x:c>
      <x:c r="O3734" s="2" t="str">
        <x:v>Tp Hồ Chí Minh|house</x:v>
      </x:c>
      <x:c r="P3734" s="10" t="n">
        <x:v>2</x:v>
      </x:c>
      <x:c r="Q3734" s="13" t="n">
        <x:f>IF(H3734="","",H3734/1000000000)</x:f>
        <x:v>3.29</x:v>
      </x:c>
      <x:c r="R3734" s="13" t="n">
        <x:f>IF(I3734="","",I3734/1000000)</x:f>
        <x:v>54.833333333333336</x:v>
      </x:c>
    </x:row>
    <x:row r="3735" ht="21" customHeight="1">
      <x:c r="A3735" s="10" t="n">
        <x:v>5076</x:v>
      </x:c>
      <x:c r="B3735" s="2" t="str">
        <x:v>978a89e1b270302b2e86</x:v>
      </x:c>
      <x:c r="C3735" s="2" t="str">
        <x:v>Tp Hồ Chí Minh</x:v>
      </x:c>
      <x:c r="D3735" s="2" t="str">
        <x:v>Quận Thủ Đức</x:v>
      </x:c>
      <x:c r="E3735" s="2" t="str">
        <x:v>apartment</x:v>
      </x:c>
      <x:c r="F3735" s="2" t="str">
        <x:v>sale_assumed</x:v>
      </x:c>
      <x:c r="G3735" s="11" t="n">
        <x:v>38</x:v>
      </x:c>
      <x:c r="H3735" s="12" t="n">
        <x:v>959000000</x:v>
      </x:c>
      <x:c r="I3735" s="12" t="n">
        <x:v>25236842.10526316</x:v>
      </x:c>
      <x:c r="J3735" s="2" t="str">
        <x:v>total</x:v>
      </x:c>
      <x:c r="K3735" s="2" t="str">
        <x:v>top_level_area</x:v>
      </x:c>
      <x:c r="L3735" s="2" t="str">
        <x:v>property_type_inferred_from_title;transaction_assumed_sale_from_dataset_context</x:v>
      </x:c>
      <x:c r="M3735" s="10" t="n">
        <x:v>0</x:v>
      </x:c>
      <x:c r="N3735" s="10" t="n">
        <x:v>0</x:v>
      </x:c>
      <x:c r="O3735" s="2" t="str">
        <x:v>Tp Hồ Chí Minh|apartment</x:v>
      </x:c>
      <x:c r="P3735" s="10" t="n">
        <x:v>2</x:v>
      </x:c>
      <x:c r="Q3735" s="13" t="n">
        <x:f>IF(H3735="","",H3735/1000000000)</x:f>
        <x:v>0.959</x:v>
      </x:c>
      <x:c r="R3735" s="13" t="n">
        <x:f>IF(I3735="","",I3735/1000000)</x:f>
        <x:v>25.236842105263158</x:v>
      </x:c>
    </x:row>
    <x:row r="3736" ht="21" customHeight="1">
      <x:c r="A3736" s="10" t="n">
        <x:v>5077</x:v>
      </x:c>
      <x:c r="B3736" s="2" t="str">
        <x:v>3518619ed1f725bf19d1</x:v>
      </x:c>
      <x:c r="C3736" s="2" t="str">
        <x:v>Sóc Trăng</x:v>
      </x:c>
      <x:c r="D3736" s="2" t="str">
        <x:v>Thành phố Sóc Trăng</x:v>
      </x:c>
      <x:c r="E3736" s="2" t="str">
        <x:v>land</x:v>
      </x:c>
      <x:c r="F3736" s="2" t="str">
        <x:v>sale_assumed</x:v>
      </x:c>
      <x:c r="G3736" s="11" t="n">
        <x:v>100</x:v>
      </x:c>
      <x:c r="H3736" s="12" t="n">
        <x:v>760000000</x:v>
      </x:c>
      <x:c r="I3736" s="12" t="n">
        <x:v>7600000</x:v>
      </x:c>
      <x:c r="J3736" s="2" t="str">
        <x:v>total</x:v>
      </x:c>
      <x:c r="K3736" s="2" t="str">
        <x:v>top_level_area</x:v>
      </x:c>
      <x:c r="L3736" s="2" t="str">
        <x:v>property_type_inferred_from_title;transaction_assumed_sale_from_dataset_context</x:v>
      </x:c>
      <x:c r="M3736" s="10" t="n">
        <x:v>0</x:v>
      </x:c>
      <x:c r="N3736" s="10" t="n">
        <x:v>0</x:v>
      </x:c>
      <x:c r="O3736" s="2" t="str">
        <x:v>land</x:v>
      </x:c>
      <x:c r="P3736" s="10" t="n">
        <x:v>2</x:v>
      </x:c>
      <x:c r="Q3736" s="13" t="n">
        <x:f>IF(H3736="","",H3736/1000000000)</x:f>
        <x:v>0.76</x:v>
      </x:c>
      <x:c r="R3736" s="13" t="n">
        <x:f>IF(I3736="","",I3736/1000000)</x:f>
        <x:v>7.6</x:v>
      </x:c>
    </x:row>
    <x:row r="3737" ht="21" customHeight="1">
      <x:c r="A3737" s="10" t="n">
        <x:v>5082</x:v>
      </x:c>
      <x:c r="B3737" s="2" t="str">
        <x:v>4b865e76d0d89ddfec20</x:v>
      </x:c>
      <x:c r="C3737" s="2" t="str">
        <x:v>Bình Dương</x:v>
      </x:c>
      <x:c r="D3737" s="2" t="str">
        <x:v>Thị xã Dĩ An</x:v>
      </x:c>
      <x:c r="E3737" s="2" t="str">
        <x:v>house</x:v>
      </x:c>
      <x:c r="F3737" s="2" t="str">
        <x:v>sale_assumed</x:v>
      </x:c>
      <x:c r="G3737" s="11" t="n">
        <x:v>58</x:v>
      </x:c>
      <x:c r="H3737" s="12" t="n">
        <x:v>2750000000</x:v>
      </x:c>
      <x:c r="I3737" s="12" t="n">
        <x:v>47413793.10344828</x:v>
      </x:c>
      <x:c r="J3737" s="2" t="str">
        <x:v>total</x:v>
      </x:c>
      <x:c r="K3737" s="2" t="str">
        <x:v>top_level_area</x:v>
      </x:c>
      <x:c r="L3737" s="2" t="str">
        <x:v>property_type_inferred_from_title;transaction_assumed_sale_from_dataset_context</x:v>
      </x:c>
      <x:c r="M3737" s="10" t="n">
        <x:v>0</x:v>
      </x:c>
      <x:c r="N3737" s="10" t="n">
        <x:v>0</x:v>
      </x:c>
      <x:c r="O3737" s="2" t="str">
        <x:v>Bình Dương|house</x:v>
      </x:c>
      <x:c r="P3737" s="10" t="n">
        <x:v>2</x:v>
      </x:c>
      <x:c r="Q3737" s="13" t="n">
        <x:f>IF(H3737="","",H3737/1000000000)</x:f>
        <x:v>2.75</x:v>
      </x:c>
      <x:c r="R3737" s="13" t="n">
        <x:f>IF(I3737="","",I3737/1000000)</x:f>
        <x:v>47.41379310344828</x:v>
      </x:c>
    </x:row>
    <x:row r="3738" ht="21" customHeight="1">
      <x:c r="A3738" s="10" t="n">
        <x:v>5083</x:v>
      </x:c>
      <x:c r="B3738" s="2" t="str">
        <x:v>162c987e81dd79e8eea4</x:v>
      </x:c>
      <x:c r="C3738" s="2" t="str">
        <x:v>Tp Hồ Chí Minh</x:v>
      </x:c>
      <x:c r="D3738" s="2" t="str">
        <x:v>Huyện Củ Chi</x:v>
      </x:c>
      <x:c r="E3738" s="2" t="str">
        <x:v>land</x:v>
      </x:c>
      <x:c r="F3738" s="2" t="str">
        <x:v>sale_assumed</x:v>
      </x:c>
      <x:c r="G3738" s="11" t="n">
        <x:v>434</x:v>
      </x:c>
      <x:c r="H3738" s="12" t="n">
        <x:v>4250000000</x:v>
      </x:c>
      <x:c r="I3738" s="12" t="n">
        <x:v>9792626.728110598</x:v>
      </x:c>
      <x:c r="J3738" s="2" t="str">
        <x:v>total</x:v>
      </x:c>
      <x:c r="K3738" s="2" t="str">
        <x:v>top_level_price_embedded_area</x:v>
      </x:c>
      <x:c r="L3738" s="2" t="str">
        <x:v>area_recovered_from_price_text;property_type_inferred_from_title;transaction_assumed_sale_from_dataset_context</x:v>
      </x:c>
      <x:c r="M3738" s="10" t="n">
        <x:v>0</x:v>
      </x:c>
      <x:c r="N3738" s="10" t="n">
        <x:v>0</x:v>
      </x:c>
      <x:c r="O3738" s="2" t="str">
        <x:v>Tp Hồ Chí Minh|land</x:v>
      </x:c>
      <x:c r="P3738" s="10" t="n">
        <x:v>1</x:v>
      </x:c>
      <x:c r="Q3738" s="13" t="n">
        <x:f>IF(H3738="","",H3738/1000000000)</x:f>
        <x:v>4.25</x:v>
      </x:c>
      <x:c r="R3738" s="13" t="n">
        <x:f>IF(I3738="","",I3738/1000000)</x:f>
        <x:v>9.792626728110598</x:v>
      </x:c>
    </x:row>
    <x:row r="3739" ht="21" customHeight="1">
      <x:c r="A3739" s="10" t="n">
        <x:v>5084</x:v>
      </x:c>
      <x:c r="B3739" s="2" t="str">
        <x:v>199c15281b8c3fc0801b</x:v>
      </x:c>
      <x:c r="C3739" s="2" t="str">
        <x:v>Tp Hồ Chí Minh</x:v>
      </x:c>
      <x:c r="D3739" s="2" t="str">
        <x:v>Quận Bình Tân</x:v>
      </x:c>
      <x:c r="E3739" s="2" t="str">
        <x:v>house</x:v>
      </x:c>
      <x:c r="F3739" s="2" t="str">
        <x:v>sale_assumed</x:v>
      </x:c>
      <x:c r="G3739" s="11" t="n">
        <x:v>44</x:v>
      </x:c>
      <x:c r="H3739" s="12" t="n">
        <x:v>2250000000</x:v>
      </x:c>
      <x:c r="I3739" s="12" t="n">
        <x:v>51136363.63636363</x:v>
      </x:c>
      <x:c r="J3739" s="2" t="str">
        <x:v>total</x:v>
      </x:c>
      <x:c r="K3739" s="2" t="str">
        <x:v>top_level_area</x:v>
      </x:c>
      <x:c r="L3739" s="2" t="str">
        <x:v>property_type_inferred_from_title;transaction_assumed_sale_from_dataset_context</x:v>
      </x:c>
      <x:c r="M3739" s="10" t="n">
        <x:v>0</x:v>
      </x:c>
      <x:c r="N3739" s="10" t="n">
        <x:v>0</x:v>
      </x:c>
      <x:c r="O3739" s="2" t="str">
        <x:v>Tp Hồ Chí Minh|house</x:v>
      </x:c>
      <x:c r="P3739" s="10" t="n">
        <x:v>2</x:v>
      </x:c>
      <x:c r="Q3739" s="13" t="n">
        <x:f>IF(H3739="","",H3739/1000000000)</x:f>
        <x:v>2.25</x:v>
      </x:c>
      <x:c r="R3739" s="13" t="n">
        <x:f>IF(I3739="","",I3739/1000000)</x:f>
        <x:v>51.13636363636363</x:v>
      </x:c>
    </x:row>
    <x:row r="3740" ht="21" customHeight="1">
      <x:c r="A3740" s="10" t="n">
        <x:v>5085</x:v>
      </x:c>
      <x:c r="B3740" s="2" t="str">
        <x:v>ef871bb58a1e3cba4536</x:v>
      </x:c>
      <x:c r="C3740" s="2" t="str">
        <x:v>Gia Lai</x:v>
      </x:c>
      <x:c r="D3740" s="2" t="str">
        <x:v>Thành phố Pleiku</x:v>
      </x:c>
      <x:c r="E3740" s="2" t="str">
        <x:v>land</x:v>
      </x:c>
      <x:c r="F3740" s="2" t="str">
        <x:v>sale</x:v>
      </x:c>
      <x:c r="G3740" s="11" t="n">
        <x:v>100</x:v>
      </x:c>
      <x:c r="H3740" s="12" t="n">
        <x:v>1500000000</x:v>
      </x:c>
      <x:c r="I3740" s="12" t="n">
        <x:v>15000000</x:v>
      </x:c>
      <x:c r="J3740" s="2" t="str">
        <x:v>total</x:v>
      </x:c>
      <x:c r="K3740" s="2" t="str">
        <x:v>top_level_area</x:v>
      </x:c>
      <x:c r="L3740" s="2" t="str">
        <x:v>property_type_inferred_from_title</x:v>
      </x:c>
      <x:c r="M3740" s="10" t="n">
        <x:v>0</x:v>
      </x:c>
      <x:c r="N3740" s="10" t="n">
        <x:v>0</x:v>
      </x:c>
      <x:c r="O3740" s="2" t="str">
        <x:v>land</x:v>
      </x:c>
      <x:c r="P3740" s="10" t="n">
        <x:v>2</x:v>
      </x:c>
      <x:c r="Q3740" s="13" t="n">
        <x:f>IF(H3740="","",H3740/1000000000)</x:f>
        <x:v>1.5</x:v>
      </x:c>
      <x:c r="R3740" s="13" t="n">
        <x:f>IF(I3740="","",I3740/1000000)</x:f>
        <x:v>15</x:v>
      </x:c>
    </x:row>
    <x:row r="3741" ht="21" customHeight="1">
      <x:c r="A3741" s="10" t="n">
        <x:v>5086</x:v>
      </x:c>
      <x:c r="B3741" s="2" t="str">
        <x:v>fb258b1f1bc29a776673</x:v>
      </x:c>
      <x:c r="C3741" s="2" t="str">
        <x:v>Tp Hồ Chí Minh</x:v>
      </x:c>
      <x:c r="D3741" s="2" t="str">
        <x:v>Quận Thủ Đức</x:v>
      </x:c>
      <x:c r="E3741" s="2" t="str">
        <x:v>apartment</x:v>
      </x:c>
      <x:c r="F3741" s="2" t="str">
        <x:v>sale_assumed</x:v>
      </x:c>
      <x:c r="G3741" s="11" t="n">
        <x:v>75</x:v>
      </x:c>
      <x:c r="H3741" s="12" t="n">
        <x:v>2500000000</x:v>
      </x:c>
      <x:c r="I3741" s="12" t="n">
        <x:v>33333333.333333332</x:v>
      </x:c>
      <x:c r="J3741" s="2" t="str">
        <x:v>total</x:v>
      </x:c>
      <x:c r="K3741" s="2" t="str">
        <x:v>top_level_area</x:v>
      </x:c>
      <x:c r="L3741" s="2" t="str">
        <x:v>property_type_inferred_from_title;transaction_assumed_sale_from_dataset_context</x:v>
      </x:c>
      <x:c r="M3741" s="10" t="n">
        <x:v>0</x:v>
      </x:c>
      <x:c r="N3741" s="10" t="n">
        <x:v>0</x:v>
      </x:c>
      <x:c r="O3741" s="2" t="str">
        <x:v>Tp Hồ Chí Minh|apartment</x:v>
      </x:c>
      <x:c r="P3741" s="10" t="n">
        <x:v>2</x:v>
      </x:c>
      <x:c r="Q3741" s="13" t="n">
        <x:f>IF(H3741="","",H3741/1000000000)</x:f>
        <x:v>2.5</x:v>
      </x:c>
      <x:c r="R3741" s="13" t="n">
        <x:f>IF(I3741="","",I3741/1000000)</x:f>
        <x:v>33.33333333333333</x:v>
      </x:c>
    </x:row>
    <x:row r="3742" ht="21" customHeight="1">
      <x:c r="A3742" s="10" t="n">
        <x:v>5087</x:v>
      </x:c>
      <x:c r="B3742" s="2" t="str">
        <x:v>4b3c6a10e1b539e19e90</x:v>
      </x:c>
      <x:c r="C3742" s="2" t="str">
        <x:v>Tp Hồ Chí Minh</x:v>
      </x:c>
      <x:c r="D3742" s="2" t="str">
        <x:v>Quận 2</x:v>
      </x:c>
      <x:c r="E3742" s="2" t="str">
        <x:v>other_unknown</x:v>
      </x:c>
      <x:c r="F3742" s="2" t="str">
        <x:v>sale</x:v>
      </x:c>
      <x:c r="G3742" s="11" t="n">
        <x:v>81</x:v>
      </x:c>
      <x:c r="H3742" s="12" t="n">
        <x:v>5200000000</x:v>
      </x:c>
      <x:c r="I3742" s="12" t="n">
        <x:v>64197530.86419753</x:v>
      </x:c>
      <x:c r="J3742" s="2" t="str">
        <x:v>total</x:v>
      </x:c>
      <x:c r="K3742" s="2" t="str">
        <x:v>top_level_area</x:v>
      </x:c>
      <x:c r="L3742" s="2" t="str">
        <x:v>property_type_inferred_from_title;unknown_property_type</x:v>
      </x:c>
      <x:c r="M3742" s="10" t="n">
        <x:v>0</x:v>
      </x:c>
      <x:c r="N3742" s="10" t="n">
        <x:v>0</x:v>
      </x:c>
      <x:c r="O3742" s="2" t="str">
        <x:v>Tp Hồ Chí Minh|other_unknown</x:v>
      </x:c>
      <x:c r="P3742" s="10" t="n">
        <x:v>2</x:v>
      </x:c>
      <x:c r="Q3742" s="13" t="n">
        <x:f>IF(H3742="","",H3742/1000000000)</x:f>
        <x:v>5.2</x:v>
      </x:c>
      <x:c r="R3742" s="13" t="n">
        <x:f>IF(I3742="","",I3742/1000000)</x:f>
        <x:v>64.19753086419753</x:v>
      </x:c>
    </x:row>
    <x:row r="3743" ht="21" customHeight="1">
      <x:c r="A3743" s="10" t="n">
        <x:v>5088</x:v>
      </x:c>
      <x:c r="B3743" s="2" t="str">
        <x:v>58b7f85d245b4c871685</x:v>
      </x:c>
      <x:c r="C3743" s="2" t="str">
        <x:v>Tp Hồ Chí Minh</x:v>
      </x:c>
      <x:c r="D3743" s="2" t="str">
        <x:v>Quận Phú Nhuận</x:v>
      </x:c>
      <x:c r="E3743" s="2" t="str">
        <x:v>house</x:v>
      </x:c>
      <x:c r="F3743" s="2" t="str">
        <x:v>sale_assumed</x:v>
      </x:c>
      <x:c r="G3743" s="11" t="n">
        <x:v>75</x:v>
      </x:c>
      <x:c r="H3743" s="12" t="n">
        <x:v>4050000000</x:v>
      </x:c>
      <x:c r="I3743" s="12" t="n">
        <x:v>54000000</x:v>
      </x:c>
      <x:c r="J3743" s="2" t="str">
        <x:v>total</x:v>
      </x:c>
      <x:c r="K3743" s="2" t="str">
        <x:v>top_level_area</x:v>
      </x:c>
      <x:c r="L3743" s="2" t="str">
        <x:v>property_type_inferred_from_title;transaction_assumed_sale_from_dataset_context</x:v>
      </x:c>
      <x:c r="M3743" s="10" t="n">
        <x:v>0</x:v>
      </x:c>
      <x:c r="N3743" s="10" t="n">
        <x:v>0</x:v>
      </x:c>
      <x:c r="O3743" s="2" t="str">
        <x:v>Tp Hồ Chí Minh|house</x:v>
      </x:c>
      <x:c r="P3743" s="10" t="n">
        <x:v>2</x:v>
      </x:c>
      <x:c r="Q3743" s="13" t="n">
        <x:f>IF(H3743="","",H3743/1000000000)</x:f>
        <x:v>4.05</x:v>
      </x:c>
      <x:c r="R3743" s="13" t="n">
        <x:f>IF(I3743="","",I3743/1000000)</x:f>
        <x:v>54</x:v>
      </x:c>
    </x:row>
    <x:row r="3744" ht="21" customHeight="1">
      <x:c r="A3744" s="10" t="n">
        <x:v>5089</x:v>
      </x:c>
      <x:c r="B3744" s="2" t="str">
        <x:v>8cc40e0cbf0cff1f5a66</x:v>
      </x:c>
      <x:c r="C3744" s="2" t="str">
        <x:v>Đắk Lắk</x:v>
      </x:c>
      <x:c r="D3744" s="2" t="str">
        <x:v>Thành phố Buôn Ma Thuột</x:v>
      </x:c>
      <x:c r="E3744" s="2" t="str">
        <x:v>house</x:v>
      </x:c>
      <x:c r="F3744" s="2" t="str">
        <x:v>sale_assumed</x:v>
      </x:c>
      <x:c r="G3744" s="11" t="n">
        <x:v>106</x:v>
      </x:c>
      <x:c r="H3744" s="12" t="n">
        <x:v>1350000000</x:v>
      </x:c>
      <x:c r="I3744" s="12" t="n">
        <x:v>12735849.056603774</x:v>
      </x:c>
      <x:c r="J3744" s="2" t="str">
        <x:v>total</x:v>
      </x:c>
      <x:c r="K3744" s="2" t="str">
        <x:v>top_level_area</x:v>
      </x:c>
      <x:c r="L3744" s="2" t="str">
        <x:v>property_type_inferred_from_title;transaction_assumed_sale_from_dataset_context</x:v>
      </x:c>
      <x:c r="M3744" s="10" t="n">
        <x:v>0</x:v>
      </x:c>
      <x:c r="N3744" s="10" t="n">
        <x:v>0</x:v>
      </x:c>
      <x:c r="O3744" s="2" t="str">
        <x:v>Đắk Lắk|house</x:v>
      </x:c>
      <x:c r="P3744" s="10" t="n">
        <x:v>2</x:v>
      </x:c>
      <x:c r="Q3744" s="13" t="n">
        <x:f>IF(H3744="","",H3744/1000000000)</x:f>
        <x:v>1.35</x:v>
      </x:c>
      <x:c r="R3744" s="13" t="n">
        <x:f>IF(I3744="","",I3744/1000000)</x:f>
        <x:v>12.735849056603774</x:v>
      </x:c>
    </x:row>
    <x:row r="3745" ht="21" customHeight="1">
      <x:c r="A3745" s="10" t="n">
        <x:v>5090</x:v>
      </x:c>
      <x:c r="B3745" s="2" t="str">
        <x:v>fced56cca78b577bc349</x:v>
      </x:c>
      <x:c r="C3745" s="2" t="str">
        <x:v>Tp Hồ Chí Minh</x:v>
      </x:c>
      <x:c r="D3745" s="2" t="str">
        <x:v>Quận Phú Nhuận</x:v>
      </x:c>
      <x:c r="E3745" s="2" t="str">
        <x:v>other_unknown</x:v>
      </x:c>
      <x:c r="F3745" s="2" t="str">
        <x:v>sale</x:v>
      </x:c>
      <x:c r="G3745" s="11" t="n">
        <x:v>35</x:v>
      </x:c>
      <x:c r="H3745" s="12" t="n">
        <x:v>5300000000</x:v>
      </x:c>
      <x:c r="I3745" s="12" t="n">
        <x:v>151428571.42857143</x:v>
      </x:c>
      <x:c r="J3745" s="2" t="str">
        <x:v>total</x:v>
      </x:c>
      <x:c r="K3745" s="2" t="str">
        <x:v>top_level_area</x:v>
      </x:c>
      <x:c r="L3745" s="2" t="str">
        <x:v>property_type_inferred_from_title;unknown_property_type</x:v>
      </x:c>
      <x:c r="M3745" s="10" t="n">
        <x:v>0</x:v>
      </x:c>
      <x:c r="N3745" s="10" t="n">
        <x:v>0</x:v>
      </x:c>
      <x:c r="O3745" s="2" t="str">
        <x:v>Tp Hồ Chí Minh|other_unknown</x:v>
      </x:c>
      <x:c r="P3745" s="10" t="n">
        <x:v>2</x:v>
      </x:c>
      <x:c r="Q3745" s="13" t="n">
        <x:f>IF(H3745="","",H3745/1000000000)</x:f>
        <x:v>5.3</x:v>
      </x:c>
      <x:c r="R3745" s="13" t="n">
        <x:f>IF(I3745="","",I3745/1000000)</x:f>
        <x:v>151.42857142857144</x:v>
      </x:c>
    </x:row>
    <x:row r="3746" ht="21" customHeight="1">
      <x:c r="A3746" s="10" t="n">
        <x:v>5091</x:v>
      </x:c>
      <x:c r="B3746" s="2" t="str">
        <x:v>3b276f4efe51024de986</x:v>
      </x:c>
      <x:c r="C3746" s="2" t="str">
        <x:v>Đà Nẵng</x:v>
      </x:c>
      <x:c r="D3746" s="2" t="str">
        <x:v>Quận Cẩm Lệ</x:v>
      </x:c>
      <x:c r="E3746" s="2" t="str">
        <x:v>land</x:v>
      </x:c>
      <x:c r="F3746" s="2" t="str">
        <x:v>sale_assumed</x:v>
      </x:c>
      <x:c r="G3746" s="11" t="n">
        <x:v>107</x:v>
      </x:c>
      <x:c r="H3746" s="12" t="n">
        <x:v>4099999999.9999995</x:v>
      </x:c>
      <x:c r="I3746" s="12" t="n">
        <x:v>38317757.00934579</x:v>
      </x:c>
      <x:c r="J3746" s="2" t="str">
        <x:v>total</x:v>
      </x:c>
      <x:c r="K3746" s="2" t="str">
        <x:v>top_level_area</x:v>
      </x:c>
      <x:c r="L3746" s="2" t="str">
        <x:v>property_type_inferred_from_title;transaction_assumed_sale_from_dataset_context</x:v>
      </x:c>
      <x:c r="M3746" s="10" t="n">
        <x:v>0</x:v>
      </x:c>
      <x:c r="N3746" s="10" t="n">
        <x:v>0</x:v>
      </x:c>
      <x:c r="O3746" s="2" t="str">
        <x:v>Đà Nẵng|land</x:v>
      </x:c>
      <x:c r="P3746" s="10" t="n">
        <x:v>2</x:v>
      </x:c>
      <x:c r="Q3746" s="13" t="n">
        <x:f>IF(H3746="","",H3746/1000000000)</x:f>
        <x:v>4.1</x:v>
      </x:c>
      <x:c r="R3746" s="13" t="n">
        <x:f>IF(I3746="","",I3746/1000000)</x:f>
        <x:v>38.31775700934579</x:v>
      </x:c>
    </x:row>
    <x:row r="3747" ht="21" customHeight="1">
      <x:c r="A3747" s="10" t="n">
        <x:v>5092</x:v>
      </x:c>
      <x:c r="B3747" s="2" t="str">
        <x:v>f98e41ebcade57e1bbf9</x:v>
      </x:c>
      <x:c r="C3747" s="2" t="str">
        <x:v>Hà Nội</x:v>
      </x:c>
      <x:c r="D3747" s="2" t="str">
        <x:v>Quận Thanh Xuân</x:v>
      </x:c>
      <x:c r="E3747" s="2" t="str">
        <x:v>house</x:v>
      </x:c>
      <x:c r="F3747" s="2" t="str">
        <x:v>sale_assumed</x:v>
      </x:c>
      <x:c r="G3747" s="11" t="n">
        <x:v>48</x:v>
      </x:c>
      <x:c r="H3747" s="12" t="n">
        <x:v>5250000000</x:v>
      </x:c>
      <x:c r="I3747" s="12" t="n">
        <x:v>109375000</x:v>
      </x:c>
      <x:c r="J3747" s="2" t="str">
        <x:v>total</x:v>
      </x:c>
      <x:c r="K3747" s="2" t="str">
        <x:v>top_level_area</x:v>
      </x:c>
      <x:c r="L3747" s="2" t="str">
        <x:v>property_type_inferred_from_title;transaction_assumed_sale_from_dataset_context</x:v>
      </x:c>
      <x:c r="M3747" s="10" t="n">
        <x:v>0</x:v>
      </x:c>
      <x:c r="N3747" s="10" t="n">
        <x:v>0</x:v>
      </x:c>
      <x:c r="O3747" s="2" t="str">
        <x:v>Hà Nội|house</x:v>
      </x:c>
      <x:c r="P3747" s="10" t="n">
        <x:v>2</x:v>
      </x:c>
      <x:c r="Q3747" s="13" t="n">
        <x:f>IF(H3747="","",H3747/1000000000)</x:f>
        <x:v>5.25</x:v>
      </x:c>
      <x:c r="R3747" s="13" t="n">
        <x:f>IF(I3747="","",I3747/1000000)</x:f>
        <x:v>109.375</x:v>
      </x:c>
    </x:row>
    <x:row r="3748" ht="21" customHeight="1">
      <x:c r="A3748" s="10" t="n">
        <x:v>5093</x:v>
      </x:c>
      <x:c r="B3748" s="2" t="str">
        <x:v>dbd8208afc216cf0c7bf</x:v>
      </x:c>
      <x:c r="C3748" s="2" t="str">
        <x:v>Tp Hồ Chí Minh</x:v>
      </x:c>
      <x:c r="D3748" s="2" t="str">
        <x:v>Quận 7</x:v>
      </x:c>
      <x:c r="E3748" s="2" t="str">
        <x:v>house</x:v>
      </x:c>
      <x:c r="F3748" s="2" t="str">
        <x:v>sale_assumed</x:v>
      </x:c>
      <x:c r="G3748" s="11" t="n">
        <x:v>104</x:v>
      </x:c>
      <x:c r="H3748" s="12" t="n">
        <x:v>9700000000</x:v>
      </x:c>
      <x:c r="I3748" s="12" t="n">
        <x:v>93269230.76923077</x:v>
      </x:c>
      <x:c r="J3748" s="2" t="str">
        <x:v>total</x:v>
      </x:c>
      <x:c r="K3748" s="2" t="str">
        <x:v>top_level_area</x:v>
      </x:c>
      <x:c r="L3748" s="2" t="str">
        <x:v>property_type_inferred_from_title;transaction_assumed_sale_from_dataset_context</x:v>
      </x:c>
      <x:c r="M3748" s="10" t="n">
        <x:v>0</x:v>
      </x:c>
      <x:c r="N3748" s="10" t="n">
        <x:v>0</x:v>
      </x:c>
      <x:c r="O3748" s="2" t="str">
        <x:v>Tp Hồ Chí Minh|house</x:v>
      </x:c>
      <x:c r="P3748" s="10" t="n">
        <x:v>2</x:v>
      </x:c>
      <x:c r="Q3748" s="13" t="n">
        <x:f>IF(H3748="","",H3748/1000000000)</x:f>
        <x:v>9.7</x:v>
      </x:c>
      <x:c r="R3748" s="13" t="n">
        <x:f>IF(I3748="","",I3748/1000000)</x:f>
        <x:v>93.26923076923077</x:v>
      </x:c>
    </x:row>
    <x:row r="3749" ht="21" customHeight="1">
      <x:c r="A3749" s="10" t="n">
        <x:v>5094</x:v>
      </x:c>
      <x:c r="B3749" s="2" t="str">
        <x:v>91a7e8d077b7575afaeb</x:v>
      </x:c>
      <x:c r="C3749" s="2" t="str">
        <x:v>Tp Hồ Chí Minh</x:v>
      </x:c>
      <x:c r="D3749" s="2" t="str">
        <x:v>Quận 12</x:v>
      </x:c>
      <x:c r="E3749" s="2" t="str">
        <x:v>house</x:v>
      </x:c>
      <x:c r="F3749" s="2" t="str">
        <x:v>sale_assumed</x:v>
      </x:c>
      <x:c r="G3749" s="11" t="n">
        <x:v>70</x:v>
      </x:c>
      <x:c r="H3749" s="12" t="n">
        <x:v>4190000000.0000005</x:v>
      </x:c>
      <x:c r="I3749" s="12" t="n">
        <x:v>59857142.857142866</x:v>
      </x:c>
      <x:c r="J3749" s="2" t="str">
        <x:v>total</x:v>
      </x:c>
      <x:c r="K3749" s="2" t="str">
        <x:v>top_level_area</x:v>
      </x:c>
      <x:c r="L3749" s="2" t="str">
        <x:v>property_type_inferred_from_title;transaction_assumed_sale_from_dataset_context</x:v>
      </x:c>
      <x:c r="M3749" s="10" t="n">
        <x:v>0</x:v>
      </x:c>
      <x:c r="N3749" s="10" t="n">
        <x:v>0</x:v>
      </x:c>
      <x:c r="O3749" s="2" t="str">
        <x:v>Tp Hồ Chí Minh|house</x:v>
      </x:c>
      <x:c r="P3749" s="10" t="n">
        <x:v>2</x:v>
      </x:c>
      <x:c r="Q3749" s="13" t="n">
        <x:f>IF(H3749="","",H3749/1000000000)</x:f>
        <x:v>4.19</x:v>
      </x:c>
      <x:c r="R3749" s="13" t="n">
        <x:f>IF(I3749="","",I3749/1000000)</x:f>
        <x:v>59.85714285714287</x:v>
      </x:c>
    </x:row>
    <x:row r="3750" ht="21" customHeight="1">
      <x:c r="A3750" s="10" t="n">
        <x:v>5095</x:v>
      </x:c>
      <x:c r="B3750" s="2" t="str">
        <x:v>324972599b1d2c070b33</x:v>
      </x:c>
      <x:c r="C3750" s="2" t="str">
        <x:v>Hà Nội</x:v>
      </x:c>
      <x:c r="D3750" s="2" t="str">
        <x:v>Quận Hà Đông</x:v>
      </x:c>
      <x:c r="E3750" s="2" t="str">
        <x:v>house</x:v>
      </x:c>
      <x:c r="F3750" s="2" t="str">
        <x:v>sale_assumed</x:v>
      </x:c>
      <x:c r="G3750" s="11" t="n">
        <x:v>40</x:v>
      </x:c>
      <x:c r="H3750" s="12" t="n">
        <x:v>3150000000</x:v>
      </x:c>
      <x:c r="I3750" s="12" t="n">
        <x:v>78750000</x:v>
      </x:c>
      <x:c r="J3750" s="2" t="str">
        <x:v>total</x:v>
      </x:c>
      <x:c r="K3750" s="2" t="str">
        <x:v>top_level_area</x:v>
      </x:c>
      <x:c r="L3750" s="2" t="str">
        <x:v>property_type_inferred_from_title;transaction_assumed_sale_from_dataset_context</x:v>
      </x:c>
      <x:c r="M3750" s="10" t="n">
        <x:v>0</x:v>
      </x:c>
      <x:c r="N3750" s="10" t="n">
        <x:v>0</x:v>
      </x:c>
      <x:c r="O3750" s="2" t="str">
        <x:v>Hà Nội|house</x:v>
      </x:c>
      <x:c r="P3750" s="10" t="n">
        <x:v>2</x:v>
      </x:c>
      <x:c r="Q3750" s="13" t="n">
        <x:f>IF(H3750="","",H3750/1000000000)</x:f>
        <x:v>3.15</x:v>
      </x:c>
      <x:c r="R3750" s="13" t="n">
        <x:f>IF(I3750="","",I3750/1000000)</x:f>
        <x:v>78.75</x:v>
      </x:c>
    </x:row>
    <x:row r="3751" ht="21" customHeight="1">
      <x:c r="A3751" s="10" t="n">
        <x:v>5096</x:v>
      </x:c>
      <x:c r="B3751" s="2" t="str">
        <x:v>3f2897892fa169822fe4</x:v>
      </x:c>
      <x:c r="C3751" s="2" t="str">
        <x:v>Tp Hồ Chí Minh</x:v>
      </x:c>
      <x:c r="D3751" s="2" t="str">
        <x:v>Quận 9</x:v>
      </x:c>
      <x:c r="E3751" s="2" t="str">
        <x:v>land</x:v>
      </x:c>
      <x:c r="F3751" s="2" t="str">
        <x:v>sale</x:v>
      </x:c>
      <x:c r="G3751" s="11" t="n">
        <x:v>54</x:v>
      </x:c>
      <x:c r="H3751" s="12" t="n">
        <x:v>5600000000</x:v>
      </x:c>
      <x:c r="I3751" s="12" t="n">
        <x:v>103703703.7037037</x:v>
      </x:c>
      <x:c r="J3751" s="2" t="str">
        <x:v>total</x:v>
      </x:c>
      <x:c r="K3751" s="2" t="str">
        <x:v>top_level_area</x:v>
      </x:c>
      <x:c r="L3751" s="2" t="str">
        <x:v>property_type_inferred_from_title</x:v>
      </x:c>
      <x:c r="M3751" s="10" t="n">
        <x:v>0</x:v>
      </x:c>
      <x:c r="N3751" s="10" t="n">
        <x:v>1</x:v>
      </x:c>
      <x:c r="O3751" s="2" t="str">
        <x:v>Tp Hồ Chí Minh|land</x:v>
      </x:c>
      <x:c r="P3751" s="10" t="n">
        <x:v>-1</x:v>
      </x:c>
      <x:c r="Q3751" s="13" t="n">
        <x:f>IF(H3751="","",H3751/1000000000)</x:f>
        <x:v>5.6</x:v>
      </x:c>
      <x:c r="R3751" s="13" t="n">
        <x:f>IF(I3751="","",I3751/1000000)</x:f>
        <x:v>103.7037037037037</x:v>
      </x:c>
    </x:row>
    <x:row r="3752" ht="21" customHeight="1">
      <x:c r="A3752" s="10" t="n">
        <x:v>5097</x:v>
      </x:c>
      <x:c r="B3752" s="2" t="str">
        <x:v>bcca04c242b703cb4256</x:v>
      </x:c>
      <x:c r="C3752" s="2" t="str">
        <x:v>Bình Dương</x:v>
      </x:c>
      <x:c r="D3752" s="2" t="str">
        <x:v>Thị xã Thuận An</x:v>
      </x:c>
      <x:c r="E3752" s="2" t="str">
        <x:v>house</x:v>
      </x:c>
      <x:c r="F3752" s="2" t="str">
        <x:v>sale_assumed</x:v>
      </x:c>
      <x:c r="G3752" s="11" t="n">
        <x:v>65</x:v>
      </x:c>
      <x:c r="H3752" s="12" t="n">
        <x:v>3200000000</x:v>
      </x:c>
      <x:c r="I3752" s="12" t="n">
        <x:v>49230769.23076923</x:v>
      </x:c>
      <x:c r="J3752" s="2" t="str">
        <x:v>total</x:v>
      </x:c>
      <x:c r="K3752" s="2" t="str">
        <x:v>top_level_area</x:v>
      </x:c>
      <x:c r="L3752" s="2" t="str">
        <x:v>property_type_inferred_from_title;transaction_assumed_sale_from_dataset_context</x:v>
      </x:c>
      <x:c r="M3752" s="10" t="n">
        <x:v>0</x:v>
      </x:c>
      <x:c r="N3752" s="10" t="n">
        <x:v>0</x:v>
      </x:c>
      <x:c r="O3752" s="2" t="str">
        <x:v>Bình Dương|house</x:v>
      </x:c>
      <x:c r="P3752" s="10" t="n">
        <x:v>2</x:v>
      </x:c>
      <x:c r="Q3752" s="13" t="n">
        <x:f>IF(H3752="","",H3752/1000000000)</x:f>
        <x:v>3.2</x:v>
      </x:c>
      <x:c r="R3752" s="13" t="n">
        <x:f>IF(I3752="","",I3752/1000000)</x:f>
        <x:v>49.23076923076923</x:v>
      </x:c>
    </x:row>
    <x:row r="3753" ht="21" customHeight="1">
      <x:c r="A3753" s="10" t="n">
        <x:v>5098</x:v>
      </x:c>
      <x:c r="B3753" s="2" t="str">
        <x:v>a1ffb5aafc096d6a99f4</x:v>
      </x:c>
      <x:c r="C3753" s="2" t="str">
        <x:v>Hà Nội</x:v>
      </x:c>
      <x:c r="D3753" s="2" t="str">
        <x:v>Quận Hà Đông</x:v>
      </x:c>
      <x:c r="E3753" s="2" t="str">
        <x:v>house</x:v>
      </x:c>
      <x:c r="F3753" s="2" t="str">
        <x:v>sale</x:v>
      </x:c>
      <x:c r="G3753" s="11" t="n">
        <x:v>34</x:v>
      </x:c>
      <x:c r="H3753" s="12" t="n">
        <x:v>2400000000</x:v>
      </x:c>
      <x:c r="I3753" s="12" t="n">
        <x:v>70588235.29411764</x:v>
      </x:c>
      <x:c r="J3753" s="2" t="str">
        <x:v>total</x:v>
      </x:c>
      <x:c r="K3753" s="2" t="str">
        <x:v>top_level_area</x:v>
      </x:c>
      <x:c r="L3753" s="2" t="str">
        <x:v>property_type_inferred_from_title</x:v>
      </x:c>
      <x:c r="M3753" s="10" t="n">
        <x:v>0</x:v>
      </x:c>
      <x:c r="N3753" s="10" t="n">
        <x:v>0</x:v>
      </x:c>
      <x:c r="O3753" s="2" t="str">
        <x:v>Hà Nội|house</x:v>
      </x:c>
      <x:c r="P3753" s="10" t="n">
        <x:v>2</x:v>
      </x:c>
      <x:c r="Q3753" s="13" t="n">
        <x:f>IF(H3753="","",H3753/1000000000)</x:f>
        <x:v>2.4</x:v>
      </x:c>
      <x:c r="R3753" s="13" t="n">
        <x:f>IF(I3753="","",I3753/1000000)</x:f>
        <x:v>70.58823529411764</x:v>
      </x:c>
    </x:row>
    <x:row r="3754" ht="21" customHeight="1">
      <x:c r="A3754" s="10" t="n">
        <x:v>5099</x:v>
      </x:c>
      <x:c r="B3754" s="2" t="str">
        <x:v>1eddfdb57da7fa71b7c0</x:v>
      </x:c>
      <x:c r="C3754" s="2" t="str">
        <x:v>Đắk Lắk</x:v>
      </x:c>
      <x:c r="D3754" s="2" t="str">
        <x:v>Thành phố Buôn Ma Thuột</x:v>
      </x:c>
      <x:c r="E3754" s="2" t="str">
        <x:v>land</x:v>
      </x:c>
      <x:c r="F3754" s="2" t="str">
        <x:v>sale_assumed</x:v>
      </x:c>
      <x:c r="G3754" s="11" t="n">
        <x:v>1800</x:v>
      </x:c>
      <x:c r="H3754" s="12" t="n">
        <x:v>500000000</x:v>
      </x:c>
      <x:c r="I3754" s="12" t="n">
        <x:v>277777.77777777775</x:v>
      </x:c>
      <x:c r="J3754" s="2" t="str">
        <x:v>total</x:v>
      </x:c>
      <x:c r="K3754" s="2" t="str">
        <x:v>top_level_area</x:v>
      </x:c>
      <x:c r="L3754" s="2" t="str">
        <x:v>dot_thousands_convention;property_type_inferred_from_title;transaction_assumed_sale_from_dataset_context</x:v>
      </x:c>
      <x:c r="M3754" s="10" t="n">
        <x:v>0</x:v>
      </x:c>
      <x:c r="N3754" s="10" t="n">
        <x:v>0</x:v>
      </x:c>
      <x:c r="O3754" s="2" t="str">
        <x:v>Đắk Lắk|land</x:v>
      </x:c>
      <x:c r="P3754" s="10" t="n">
        <x:v>1</x:v>
      </x:c>
      <x:c r="Q3754" s="13" t="n">
        <x:f>IF(H3754="","",H3754/1000000000)</x:f>
        <x:v>0.5</x:v>
      </x:c>
      <x:c r="R3754" s="13" t="n">
        <x:f>IF(I3754="","",I3754/1000000)</x:f>
        <x:v>0.27777777777777773</x:v>
      </x:c>
    </x:row>
    <x:row r="3755" ht="21" customHeight="1">
      <x:c r="A3755" s="10" t="n">
        <x:v>5100</x:v>
      </x:c>
      <x:c r="B3755" s="2" t="str">
        <x:v>bcd2aa41a3e8b7dc34d2</x:v>
      </x:c>
      <x:c r="C3755" s="2" t="str">
        <x:v>Tp Hồ Chí Minh</x:v>
      </x:c>
      <x:c r="D3755" s="2" t="str">
        <x:v>Quận 1</x:v>
      </x:c>
      <x:c r="E3755" s="2" t="str">
        <x:v>house</x:v>
      </x:c>
      <x:c r="F3755" s="2" t="str">
        <x:v>sale</x:v>
      </x:c>
      <x:c r="G3755" s="11" t="n">
        <x:v>46</x:v>
      </x:c>
      <x:c r="H3755" s="12" t="n">
        <x:v>855000000</x:v>
      </x:c>
      <x:c r="I3755" s="12" t="n">
        <x:v>18586956.52173913</x:v>
      </x:c>
      <x:c r="J3755" s="2" t="str">
        <x:v>total</x:v>
      </x:c>
      <x:c r="K3755" s="2" t="str">
        <x:v>top_level_area</x:v>
      </x:c>
      <x:c r="L3755" s="2" t="str">
        <x:v>property_type_inferred_from_title</x:v>
      </x:c>
      <x:c r="M3755" s="10" t="n">
        <x:v>0</x:v>
      </x:c>
      <x:c r="N3755" s="10" t="n">
        <x:v>0</x:v>
      </x:c>
      <x:c r="O3755" s="2" t="str">
        <x:v>Tp Hồ Chí Minh|house</x:v>
      </x:c>
      <x:c r="P3755" s="10" t="n">
        <x:v>2</x:v>
      </x:c>
      <x:c r="Q3755" s="13" t="n">
        <x:f>IF(H3755="","",H3755/1000000000)</x:f>
        <x:v>0.855</x:v>
      </x:c>
      <x:c r="R3755" s="13" t="n">
        <x:f>IF(I3755="","",I3755/1000000)</x:f>
        <x:v>18.58695652173913</x:v>
      </x:c>
    </x:row>
    <x:row r="3756" ht="21" customHeight="1">
      <x:c r="A3756" s="10" t="n">
        <x:v>5101</x:v>
      </x:c>
      <x:c r="B3756" s="2" t="str">
        <x:v>0bdd9efbfc18c773ce66</x:v>
      </x:c>
      <x:c r="C3756" s="2" t="str">
        <x:v>Tp Hồ Chí Minh</x:v>
      </x:c>
      <x:c r="D3756" s="2" t="str">
        <x:v>Quận Tân Bình</x:v>
      </x:c>
      <x:c r="E3756" s="2" t="str">
        <x:v>house</x:v>
      </x:c>
      <x:c r="F3756" s="2" t="str">
        <x:v>sale_assumed</x:v>
      </x:c>
      <x:c r="G3756" s="11" t="n">
        <x:v>48</x:v>
      </x:c>
      <x:c r="H3756" s="12" t="n">
        <x:v>4700000000</x:v>
      </x:c>
      <x:c r="I3756" s="12" t="n">
        <x:v>97916666.66666667</x:v>
      </x:c>
      <x:c r="J3756" s="2" t="str">
        <x:v>total</x:v>
      </x:c>
      <x:c r="K3756" s="2" t="str">
        <x:v>top_level_area</x:v>
      </x:c>
      <x:c r="L3756" s="2" t="str">
        <x:v>property_type_inferred_from_title;transaction_assumed_sale_from_dataset_context</x:v>
      </x:c>
      <x:c r="M3756" s="10" t="n">
        <x:v>0</x:v>
      </x:c>
      <x:c r="N3756" s="10" t="n">
        <x:v>0</x:v>
      </x:c>
      <x:c r="O3756" s="2" t="str">
        <x:v>Tp Hồ Chí Minh|house</x:v>
      </x:c>
      <x:c r="P3756" s="10" t="n">
        <x:v>2</x:v>
      </x:c>
      <x:c r="Q3756" s="13" t="n">
        <x:f>IF(H3756="","",H3756/1000000000)</x:f>
        <x:v>4.7</x:v>
      </x:c>
      <x:c r="R3756" s="13" t="n">
        <x:f>IF(I3756="","",I3756/1000000)</x:f>
        <x:v>97.91666666666667</x:v>
      </x:c>
    </x:row>
    <x:row r="3757" ht="21" customHeight="1">
      <x:c r="A3757" s="10" t="n">
        <x:v>5105</x:v>
      </x:c>
      <x:c r="B3757" s="2" t="str">
        <x:v>8f708b2d78453453e143</x:v>
      </x:c>
      <x:c r="C3757" s="2" t="str">
        <x:v>Hà Nội</x:v>
      </x:c>
      <x:c r="D3757" s="2" t="str">
        <x:v>Quận Hà Đông</x:v>
      </x:c>
      <x:c r="E3757" s="2" t="str">
        <x:v>other_unknown</x:v>
      </x:c>
      <x:c r="F3757" s="2" t="str">
        <x:v>sale_assumed</x:v>
      </x:c>
      <x:c r="G3757" s="11" t="n">
        <x:v>126</x:v>
      </x:c>
      <x:c r="H3757" s="12" t="n">
        <x:v>28500000000</x:v>
      </x:c>
      <x:c r="I3757" s="12" t="n">
        <x:v>226190476.19047618</x:v>
      </x:c>
      <x:c r="J3757" s="2" t="str">
        <x:v>total</x:v>
      </x:c>
      <x:c r="K3757" s="2" t="str">
        <x:v>top_level_area</x:v>
      </x:c>
      <x:c r="L3757" s="2" t="str">
        <x:v>property_type_inferred_from_title;transaction_assumed_sale_from_dataset_context;unknown_property_type</x:v>
      </x:c>
      <x:c r="M3757" s="10" t="n">
        <x:v>1</x:v>
      </x:c>
      <x:c r="N3757" s="10" t="n">
        <x:v>1</x:v>
      </x:c>
      <x:c r="O3757" s="2" t="str">
        <x:v>Hà Nội|other_unknown</x:v>
      </x:c>
      <x:c r="P3757" s="10" t="n">
        <x:v>-1</x:v>
      </x:c>
      <x:c r="Q3757" s="13" t="n">
        <x:f>IF(H3757="","",H3757/1000000000)</x:f>
        <x:v>28.5</x:v>
      </x:c>
      <x:c r="R3757" s="13" t="n">
        <x:f>IF(I3757="","",I3757/1000000)</x:f>
        <x:v>226.19047619047618</x:v>
      </x:c>
    </x:row>
    <x:row r="3758" ht="21" customHeight="1">
      <x:c r="A3758" s="10" t="n">
        <x:v>5106</x:v>
      </x:c>
      <x:c r="B3758" s="2" t="str">
        <x:v>de55f135a64a385d01d2</x:v>
      </x:c>
      <x:c r="C3758" s="2" t="str">
        <x:v>Hà Nội</x:v>
      </x:c>
      <x:c r="D3758" s="2" t="str">
        <x:v>Quận Ba Đình</x:v>
      </x:c>
      <x:c r="E3758" s="2" t="str">
        <x:v>other_unknown</x:v>
      </x:c>
      <x:c r="F3758" s="2" t="str">
        <x:v>sale_assumed</x:v>
      </x:c>
      <x:c r="G3758" s="11" t="n">
        <x:v>35</x:v>
      </x:c>
      <x:c r="H3758" s="12" t="n">
        <x:v>3250000000</x:v>
      </x:c>
      <x:c r="I3758" s="12" t="n">
        <x:v>92857142.85714285</x:v>
      </x:c>
      <x:c r="J3758" s="2" t="str">
        <x:v>total</x:v>
      </x:c>
      <x:c r="K3758" s="2" t="str">
        <x:v>top_level_area</x:v>
      </x:c>
      <x:c r="L3758" s="2" t="str">
        <x:v>property_type_inferred_from_title;transaction_assumed_sale_from_dataset_context;unknown_property_type</x:v>
      </x:c>
      <x:c r="M3758" s="10" t="n">
        <x:v>0</x:v>
      </x:c>
      <x:c r="N3758" s="10" t="n">
        <x:v>0</x:v>
      </x:c>
      <x:c r="O3758" s="2" t="str">
        <x:v>Hà Nội|other_unknown</x:v>
      </x:c>
      <x:c r="P3758" s="10" t="n">
        <x:v>2</x:v>
      </x:c>
      <x:c r="Q3758" s="13" t="n">
        <x:f>IF(H3758="","",H3758/1000000000)</x:f>
        <x:v>3.25</x:v>
      </x:c>
      <x:c r="R3758" s="13" t="n">
        <x:f>IF(I3758="","",I3758/1000000)</x:f>
        <x:v>92.85714285714285</x:v>
      </x:c>
    </x:row>
    <x:row r="3759" ht="21" customHeight="1">
      <x:c r="A3759" s="10" t="n">
        <x:v>5107</x:v>
      </x:c>
      <x:c r="B3759" s="2" t="str">
        <x:v>6679b952b5ca7b2d0fc2</x:v>
      </x:c>
      <x:c r="C3759" s="2" t="str">
        <x:v>Đà Nẵng</x:v>
      </x:c>
      <x:c r="D3759" s="2" t="str">
        <x:v>Quận Ngũ Hành Sơn</x:v>
      </x:c>
      <x:c r="E3759" s="2" t="str">
        <x:v>other_unknown</x:v>
      </x:c>
      <x:c r="F3759" s="2" t="str">
        <x:v>sale</x:v>
      </x:c>
      <x:c r="G3759" s="11" t="n">
        <x:v>81</x:v>
      </x:c>
      <x:c r="H3759" s="12" t="n">
        <x:v>20000000000</x:v>
      </x:c>
      <x:c r="I3759" s="12" t="n">
        <x:v>246913580.24691358</x:v>
      </x:c>
      <x:c r="J3759" s="2" t="str">
        <x:v>total</x:v>
      </x:c>
      <x:c r="K3759" s="2" t="str">
        <x:v>top_level_area</x:v>
      </x:c>
      <x:c r="L3759" s="2" t="str">
        <x:v>property_type_inferred_from_title;unknown_property_type</x:v>
      </x:c>
      <x:c r="M3759" s="10" t="n">
        <x:v>1</x:v>
      </x:c>
      <x:c r="N3759" s="10" t="n">
        <x:v>1</x:v>
      </x:c>
      <x:c r="O3759" s="2" t="str">
        <x:v>Đà Nẵng|other_unknown</x:v>
      </x:c>
      <x:c r="P3759" s="10" t="n">
        <x:v>-1</x:v>
      </x:c>
      <x:c r="Q3759" s="13" t="n">
        <x:f>IF(H3759="","",H3759/1000000000)</x:f>
        <x:v>20</x:v>
      </x:c>
      <x:c r="R3759" s="13" t="n">
        <x:f>IF(I3759="","",I3759/1000000)</x:f>
        <x:v>246.91358024691357</x:v>
      </x:c>
    </x:row>
    <x:row r="3760" ht="21" customHeight="1">
      <x:c r="A3760" s="10" t="n">
        <x:v>5108</x:v>
      </x:c>
      <x:c r="B3760" s="2" t="str">
        <x:v>d2f7c006059498084542</x:v>
      </x:c>
      <x:c r="C3760" s="2" t="str">
        <x:v>Vĩnh Long</x:v>
      </x:c>
      <x:c r="D3760" s="2" t="str">
        <x:v>Huyện Long Hồ</x:v>
      </x:c>
      <x:c r="E3760" s="2" t="str">
        <x:v>land</x:v>
      </x:c>
      <x:c r="F3760" s="2" t="str">
        <x:v>sale</x:v>
      </x:c>
      <x:c r="G3760" s="11" t="n">
        <x:v>765</x:v>
      </x:c>
      <x:c r="H3760" s="12" t="n">
        <x:v>600000000</x:v>
      </x:c>
      <x:c r="I3760" s="12" t="n">
        <x:v>784313.725490196</x:v>
      </x:c>
      <x:c r="J3760" s="2" t="str">
        <x:v>total</x:v>
      </x:c>
      <x:c r="K3760" s="2" t="str">
        <x:v>top_level_area</x:v>
      </x:c>
      <x:c r="L3760" s="2" t="str">
        <x:v>property_type_inferred_from_title</x:v>
      </x:c>
      <x:c r="M3760" s="10" t="n">
        <x:v>0</x:v>
      </x:c>
      <x:c r="N3760" s="10" t="n">
        <x:v>0</x:v>
      </x:c>
      <x:c r="O3760" s="2" t="str">
        <x:v>land</x:v>
      </x:c>
      <x:c r="P3760" s="10" t="n">
        <x:v>1</x:v>
      </x:c>
      <x:c r="Q3760" s="13" t="n">
        <x:f>IF(H3760="","",H3760/1000000000)</x:f>
        <x:v>0.6</x:v>
      </x:c>
      <x:c r="R3760" s="13" t="n">
        <x:f>IF(I3760="","",I3760/1000000)</x:f>
        <x:v>0.7843137254901961</x:v>
      </x:c>
    </x:row>
    <x:row r="3761" ht="21" customHeight="1">
      <x:c r="A3761" s="10" t="n">
        <x:v>5109</x:v>
      </x:c>
      <x:c r="B3761" s="2" t="str">
        <x:v>1c078ecbcd98aebd6b0a</x:v>
      </x:c>
      <x:c r="C3761" s="2" t="str">
        <x:v>Tp Hồ Chí Minh</x:v>
      </x:c>
      <x:c r="D3761" s="2" t="str">
        <x:v>Huyện Bình Chánh</x:v>
      </x:c>
      <x:c r="E3761" s="2" t="str">
        <x:v>house</x:v>
      </x:c>
      <x:c r="F3761" s="2" t="str">
        <x:v>sale</x:v>
      </x:c>
      <x:c r="G3761" s="11" t="n">
        <x:v>80</x:v>
      </x:c>
      <x:c r="H3761" s="12" t="n">
        <x:v>890000000</x:v>
      </x:c>
      <x:c r="I3761" s="12" t="n">
        <x:v>11125000</x:v>
      </x:c>
      <x:c r="J3761" s="2" t="str">
        <x:v>total</x:v>
      </x:c>
      <x:c r="K3761" s="2" t="str">
        <x:v>top_level_area</x:v>
      </x:c>
      <x:c r="L3761" s="2" t="str">
        <x:v>property_type_inferred_from_title</x:v>
      </x:c>
      <x:c r="M3761" s="10" t="n">
        <x:v>0</x:v>
      </x:c>
      <x:c r="N3761" s="10" t="n">
        <x:v>0</x:v>
      </x:c>
      <x:c r="O3761" s="2" t="str">
        <x:v>Tp Hồ Chí Minh|house</x:v>
      </x:c>
      <x:c r="P3761" s="10" t="n">
        <x:v>2</x:v>
      </x:c>
      <x:c r="Q3761" s="13" t="n">
        <x:f>IF(H3761="","",H3761/1000000000)</x:f>
        <x:v>0.89</x:v>
      </x:c>
      <x:c r="R3761" s="13" t="n">
        <x:f>IF(I3761="","",I3761/1000000)</x:f>
        <x:v>11.125</x:v>
      </x:c>
    </x:row>
    <x:row r="3762" ht="21" customHeight="1">
      <x:c r="A3762" s="10" t="n">
        <x:v>5110</x:v>
      </x:c>
      <x:c r="B3762" s="2" t="str">
        <x:v>0ce137bd9a14c84c075e</x:v>
      </x:c>
      <x:c r="C3762" s="2" t="str">
        <x:v>Khánh Hòa</x:v>
      </x:c>
      <x:c r="D3762" s="2" t="str">
        <x:v>Huyện Diên Khánh</x:v>
      </x:c>
      <x:c r="E3762" s="2" t="str">
        <x:v>house</x:v>
      </x:c>
      <x:c r="F3762" s="2" t="str">
        <x:v>sale_assumed</x:v>
      </x:c>
      <x:c r="G3762" s="11" t="n">
        <x:v>81</x:v>
      </x:c>
      <x:c r="H3762" s="12" t="n">
        <x:v>560000000</x:v>
      </x:c>
      <x:c r="I3762" s="12" t="n">
        <x:v>6913580.24691358</x:v>
      </x:c>
      <x:c r="J3762" s="2" t="str">
        <x:v>total</x:v>
      </x:c>
      <x:c r="K3762" s="2" t="str">
        <x:v>top_level_area</x:v>
      </x:c>
      <x:c r="L3762" s="2" t="str">
        <x:v>property_type_inferred_from_title;transaction_assumed_sale_from_dataset_context</x:v>
      </x:c>
      <x:c r="M3762" s="10" t="n">
        <x:v>0</x:v>
      </x:c>
      <x:c r="N3762" s="10" t="n">
        <x:v>0</x:v>
      </x:c>
      <x:c r="O3762" s="2" t="str">
        <x:v>Khánh Hòa|house</x:v>
      </x:c>
      <x:c r="P3762" s="10" t="n">
        <x:v>2</x:v>
      </x:c>
      <x:c r="Q3762" s="13" t="n">
        <x:f>IF(H3762="","",H3762/1000000000)</x:f>
        <x:v>0.56</x:v>
      </x:c>
      <x:c r="R3762" s="13" t="n">
        <x:f>IF(I3762="","",I3762/1000000)</x:f>
        <x:v>6.91358024691358</x:v>
      </x:c>
    </x:row>
    <x:row r="3763" ht="21" customHeight="1">
      <x:c r="A3763" s="10" t="n">
        <x:v>5111</x:v>
      </x:c>
      <x:c r="B3763" s="2" t="str">
        <x:v>48c2f6d92257f09b4685</x:v>
      </x:c>
      <x:c r="C3763" s="2" t="str">
        <x:v>Tp Hồ Chí Minh</x:v>
      </x:c>
      <x:c r="D3763" s="2" t="str">
        <x:v>Huyện Nhà Bè</x:v>
      </x:c>
      <x:c r="E3763" s="2" t="str">
        <x:v>other_unknown</x:v>
      </x:c>
      <x:c r="F3763" s="2" t="str">
        <x:v>sale</x:v>
      </x:c>
      <x:c r="G3763" s="11" t="n">
        <x:v>258</x:v>
      </x:c>
      <x:c r="H3763" s="12" t="n">
        <x:v>3580000000</x:v>
      </x:c>
      <x:c r="I3763" s="12" t="n">
        <x:v>13875968.992248062</x:v>
      </x:c>
      <x:c r="J3763" s="2" t="str">
        <x:v>total</x:v>
      </x:c>
      <x:c r="K3763" s="2" t="str">
        <x:v>top_level_area</x:v>
      </x:c>
      <x:c r="L3763" s="2" t="str">
        <x:v>property_type_inferred_from_title;unknown_property_type</x:v>
      </x:c>
      <x:c r="M3763" s="10" t="n">
        <x:v>0</x:v>
      </x:c>
      <x:c r="N3763" s="10" t="n">
        <x:v>0</x:v>
      </x:c>
      <x:c r="O3763" s="2" t="str">
        <x:v>Tp Hồ Chí Minh|other_unknown</x:v>
      </x:c>
      <x:c r="P3763" s="10" t="n">
        <x:v>2</x:v>
      </x:c>
      <x:c r="Q3763" s="13" t="n">
        <x:f>IF(H3763="","",H3763/1000000000)</x:f>
        <x:v>3.58</x:v>
      </x:c>
      <x:c r="R3763" s="13" t="n">
        <x:f>IF(I3763="","",I3763/1000000)</x:f>
        <x:v>13.875968992248062</x:v>
      </x:c>
    </x:row>
    <x:row r="3764" ht="21" customHeight="1">
      <x:c r="A3764" s="10" t="n">
        <x:v>5112</x:v>
      </x:c>
      <x:c r="B3764" s="2" t="str">
        <x:v>31c537fb1e18450438f4</x:v>
      </x:c>
      <x:c r="C3764" s="2" t="str">
        <x:v>Hà Nội</x:v>
      </x:c>
      <x:c r="D3764" s="2" t="str">
        <x:v>Quận Hoàng Mai</x:v>
      </x:c>
      <x:c r="E3764" s="2" t="str">
        <x:v>house</x:v>
      </x:c>
      <x:c r="F3764" s="2" t="str">
        <x:v>sale</x:v>
      </x:c>
      <x:c r="G3764" s="11" t="n">
        <x:v>100</x:v>
      </x:c>
      <x:c r="H3764" s="12" t="n">
        <x:v>5300000000</x:v>
      </x:c>
      <x:c r="I3764" s="12" t="n">
        <x:v>53000000</x:v>
      </x:c>
      <x:c r="J3764" s="2" t="str">
        <x:v>total</x:v>
      </x:c>
      <x:c r="K3764" s="2" t="str">
        <x:v>top_level_area</x:v>
      </x:c>
      <x:c r="L3764" s="2" t="str">
        <x:v>property_type_inferred_from_title</x:v>
      </x:c>
      <x:c r="M3764" s="10" t="n">
        <x:v>0</x:v>
      </x:c>
      <x:c r="N3764" s="10" t="n">
        <x:v>0</x:v>
      </x:c>
      <x:c r="O3764" s="2" t="str">
        <x:v>Hà Nội|house</x:v>
      </x:c>
      <x:c r="P3764" s="10" t="n">
        <x:v>2</x:v>
      </x:c>
      <x:c r="Q3764" s="13" t="n">
        <x:f>IF(H3764="","",H3764/1000000000)</x:f>
        <x:v>5.3</x:v>
      </x:c>
      <x:c r="R3764" s="13" t="n">
        <x:f>IF(I3764="","",I3764/1000000)</x:f>
        <x:v>53</x:v>
      </x:c>
    </x:row>
    <x:row r="3765" ht="21" customHeight="1">
      <x:c r="A3765" s="10" t="n">
        <x:v>5113</x:v>
      </x:c>
      <x:c r="B3765" s="2" t="str">
        <x:v>a7d03f092a52202aa4c4</x:v>
      </x:c>
      <x:c r="C3765" s="2" t="str">
        <x:v>Tp Hồ Chí Minh</x:v>
      </x:c>
      <x:c r="D3765" s="2" t="str">
        <x:v>Quận 8</x:v>
      </x:c>
      <x:c r="E3765" s="2" t="str">
        <x:v>house</x:v>
      </x:c>
      <x:c r="F3765" s="2" t="str">
        <x:v>sale_assumed</x:v>
      </x:c>
      <x:c r="G3765" s="11" t="n">
        <x:v>52</x:v>
      </x:c>
      <x:c r="H3765" s="12" t="n">
        <x:v>3100000000</x:v>
      </x:c>
      <x:c r="I3765" s="12" t="n">
        <x:v>59615384.615384616</x:v>
      </x:c>
      <x:c r="J3765" s="2" t="str">
        <x:v>total</x:v>
      </x:c>
      <x:c r="K3765" s="2" t="str">
        <x:v>top_level_area</x:v>
      </x:c>
      <x:c r="L3765" s="2" t="str">
        <x:v>property_type_inferred_from_title;transaction_assumed_sale_from_dataset_context</x:v>
      </x:c>
      <x:c r="M3765" s="10" t="n">
        <x:v>0</x:v>
      </x:c>
      <x:c r="N3765" s="10" t="n">
        <x:v>0</x:v>
      </x:c>
      <x:c r="O3765" s="2" t="str">
        <x:v>Tp Hồ Chí Minh|house</x:v>
      </x:c>
      <x:c r="P3765" s="10" t="n">
        <x:v>2</x:v>
      </x:c>
      <x:c r="Q3765" s="13" t="n">
        <x:f>IF(H3765="","",H3765/1000000000)</x:f>
        <x:v>3.1</x:v>
      </x:c>
      <x:c r="R3765" s="13" t="n">
        <x:f>IF(I3765="","",I3765/1000000)</x:f>
        <x:v>59.61538461538461</x:v>
      </x:c>
    </x:row>
    <x:row r="3766" ht="21" customHeight="1">
      <x:c r="A3766" s="10" t="n">
        <x:v>5114</x:v>
      </x:c>
      <x:c r="B3766" s="2" t="str">
        <x:v>2924471150da300d6fa4</x:v>
      </x:c>
      <x:c r="C3766" s="2" t="str">
        <x:v>Long An</x:v>
      </x:c>
      <x:c r="D3766" s="2" t="str">
        <x:v>Huyện Đức Hòa</x:v>
      </x:c>
      <x:c r="E3766" s="2" t="str">
        <x:v>house</x:v>
      </x:c>
      <x:c r="F3766" s="2" t="str">
        <x:v>sale</x:v>
      </x:c>
      <x:c r="G3766" s="11" t="n">
        <x:v>80</x:v>
      </x:c>
      <x:c r="H3766" s="12" t="n">
        <x:v>700000000</x:v>
      </x:c>
      <x:c r="I3766" s="12" t="n">
        <x:v>8750000</x:v>
      </x:c>
      <x:c r="J3766" s="2" t="str">
        <x:v>total</x:v>
      </x:c>
      <x:c r="K3766" s="2" t="str">
        <x:v>top_level_area</x:v>
      </x:c>
      <x:c r="L3766" s="2" t="str">
        <x:v>property_type_inferred_from_title</x:v>
      </x:c>
      <x:c r="M3766" s="10" t="n">
        <x:v>0</x:v>
      </x:c>
      <x:c r="N3766" s="10" t="n">
        <x:v>0</x:v>
      </x:c>
      <x:c r="O3766" s="2" t="str">
        <x:v>Long An|house</x:v>
      </x:c>
      <x:c r="P3766" s="10" t="n">
        <x:v>2</x:v>
      </x:c>
      <x:c r="Q3766" s="13" t="n">
        <x:f>IF(H3766="","",H3766/1000000000)</x:f>
        <x:v>0.7</x:v>
      </x:c>
      <x:c r="R3766" s="13" t="n">
        <x:f>IF(I3766="","",I3766/1000000)</x:f>
        <x:v>8.75</x:v>
      </x:c>
    </x:row>
    <x:row r="3767" ht="21" customHeight="1">
      <x:c r="A3767" s="10" t="n">
        <x:v>5115</x:v>
      </x:c>
      <x:c r="B3767" s="2" t="str">
        <x:v>c2790d197d5c759bc1b5</x:v>
      </x:c>
      <x:c r="C3767" s="2" t="str">
        <x:v>Bình Dương</x:v>
      </x:c>
      <x:c r="D3767" s="2" t="str">
        <x:v>Huyện Phú Giáo</x:v>
      </x:c>
      <x:c r="E3767" s="2" t="str">
        <x:v>house</x:v>
      </x:c>
      <x:c r="F3767" s="2" t="str">
        <x:v>sale</x:v>
      </x:c>
      <x:c r="G3767" s="11" t="n">
        <x:v>1033</x:v>
      </x:c>
      <x:c r="H3767" s="12" t="n">
        <x:v>333000000</x:v>
      </x:c>
      <x:c r="I3767" s="12" t="n">
        <x:v>322362.0522749274</x:v>
      </x:c>
      <x:c r="J3767" s="2" t="str">
        <x:v>total</x:v>
      </x:c>
      <x:c r="K3767" s="2" t="str">
        <x:v>top_level_area</x:v>
      </x:c>
      <x:c r="L3767" s="2" t="str">
        <x:v>dot_thousands_convention;property_type_inferred_from_title</x:v>
      </x:c>
      <x:c r="M3767" s="10" t="n">
        <x:v>0</x:v>
      </x:c>
      <x:c r="N3767" s="10" t="n">
        <x:v>0</x:v>
      </x:c>
      <x:c r="O3767" s="2" t="str">
        <x:v>Bình Dương|house</x:v>
      </x:c>
      <x:c r="P3767" s="10" t="n">
        <x:v>1</x:v>
      </x:c>
      <x:c r="Q3767" s="13" t="n">
        <x:f>IF(H3767="","",H3767/1000000000)</x:f>
        <x:v>0.333</x:v>
      </x:c>
      <x:c r="R3767" s="13" t="n">
        <x:f>IF(I3767="","",I3767/1000000)</x:f>
        <x:v>0.32236205227492737</x:v>
      </x:c>
    </x:row>
    <x:row r="3768" ht="21" customHeight="1">
      <x:c r="A3768" s="10" t="n">
        <x:v>5116</x:v>
      </x:c>
      <x:c r="B3768" s="2" t="str">
        <x:v>cbc5636da4fdb0967441</x:v>
      </x:c>
      <x:c r="C3768" s="2" t="str">
        <x:v>Tp Hồ Chí Minh</x:v>
      </x:c>
      <x:c r="D3768" s="2" t="str">
        <x:v>Quận 11</x:v>
      </x:c>
      <x:c r="E3768" s="2" t="str">
        <x:v>house</x:v>
      </x:c>
      <x:c r="F3768" s="2" t="str">
        <x:v>sale</x:v>
      </x:c>
      <x:c r="G3768" s="11" t="n">
        <x:v>40</x:v>
      </x:c>
      <x:c r="H3768" s="12" t="n">
        <x:v>4880000000</x:v>
      </x:c>
      <x:c r="I3768" s="12" t="n">
        <x:v>122000000</x:v>
      </x:c>
      <x:c r="J3768" s="2" t="str">
        <x:v>total</x:v>
      </x:c>
      <x:c r="K3768" s="2" t="str">
        <x:v>top_level_area</x:v>
      </x:c>
      <x:c r="L3768" s="2" t="str">
        <x:v>property_type_inferred_from_title</x:v>
      </x:c>
      <x:c r="M3768" s="10" t="n">
        <x:v>0</x:v>
      </x:c>
      <x:c r="N3768" s="10" t="n">
        <x:v>0</x:v>
      </x:c>
      <x:c r="O3768" s="2" t="str">
        <x:v>Tp Hồ Chí Minh|house</x:v>
      </x:c>
      <x:c r="P3768" s="10" t="n">
        <x:v>2</x:v>
      </x:c>
      <x:c r="Q3768" s="13" t="n">
        <x:f>IF(H3768="","",H3768/1000000000)</x:f>
        <x:v>4.88</x:v>
      </x:c>
      <x:c r="R3768" s="13" t="n">
        <x:f>IF(I3768="","",I3768/1000000)</x:f>
        <x:v>122</x:v>
      </x:c>
    </x:row>
    <x:row r="3769" ht="21" customHeight="1">
      <x:c r="A3769" s="10" t="n">
        <x:v>5117</x:v>
      </x:c>
      <x:c r="B3769" s="2" t="str">
        <x:v>cbbd91c3910bdb9cd3d6</x:v>
      </x:c>
      <x:c r="C3769" s="2" t="str">
        <x:v>Bình Dương</x:v>
      </x:c>
      <x:c r="D3769" s="2" t="str">
        <x:v>Thành phố Thủ Dầu Một</x:v>
      </x:c>
      <x:c r="E3769" s="2" t="str">
        <x:v>house</x:v>
      </x:c>
      <x:c r="F3769" s="2" t="str">
        <x:v>sale_assumed</x:v>
      </x:c>
      <x:c r="G3769" s="11" t="n">
        <x:v>75</x:v>
      </x:c>
      <x:c r="H3769" s="12" t="n">
        <x:v>2500000000</x:v>
      </x:c>
      <x:c r="I3769" s="12" t="n">
        <x:v>33333333.333333332</x:v>
      </x:c>
      <x:c r="J3769" s="2" t="str">
        <x:v>total</x:v>
      </x:c>
      <x:c r="K3769" s="2" t="str">
        <x:v>top_level_area</x:v>
      </x:c>
      <x:c r="L3769" s="2" t="str">
        <x:v>property_type_inferred_from_title;transaction_assumed_sale_from_dataset_context</x:v>
      </x:c>
      <x:c r="M3769" s="10" t="n">
        <x:v>0</x:v>
      </x:c>
      <x:c r="N3769" s="10" t="n">
        <x:v>0</x:v>
      </x:c>
      <x:c r="O3769" s="2" t="str">
        <x:v>Bình Dương|house</x:v>
      </x:c>
      <x:c r="P3769" s="10" t="n">
        <x:v>2</x:v>
      </x:c>
      <x:c r="Q3769" s="13" t="n">
        <x:f>IF(H3769="","",H3769/1000000000)</x:f>
        <x:v>2.5</x:v>
      </x:c>
      <x:c r="R3769" s="13" t="n">
        <x:f>IF(I3769="","",I3769/1000000)</x:f>
        <x:v>33.33333333333333</x:v>
      </x:c>
    </x:row>
    <x:row r="3770" ht="21" customHeight="1">
      <x:c r="A3770" s="10" t="n">
        <x:v>5118</x:v>
      </x:c>
      <x:c r="B3770" s="2" t="str">
        <x:v>3d32198073bfacb064ad</x:v>
      </x:c>
      <x:c r="C3770" s="2" t="str">
        <x:v>Tp Hồ Chí Minh</x:v>
      </x:c>
      <x:c r="D3770" s="2" t="str">
        <x:v>Quận Tân Phú</x:v>
      </x:c>
      <x:c r="E3770" s="2" t="str">
        <x:v>house</x:v>
      </x:c>
      <x:c r="F3770" s="2" t="str">
        <x:v>sale_assumed</x:v>
      </x:c>
      <x:c r="G3770" s="11" t="n">
        <x:v>40</x:v>
      </x:c>
      <x:c r="H3770" s="12" t="n">
        <x:v>1450000000</x:v>
      </x:c>
      <x:c r="I3770" s="12" t="n">
        <x:v>36250000</x:v>
      </x:c>
      <x:c r="J3770" s="2" t="str">
        <x:v>total</x:v>
      </x:c>
      <x:c r="K3770" s="2" t="str">
        <x:v>top_level_area</x:v>
      </x:c>
      <x:c r="L3770" s="2" t="str">
        <x:v>property_type_inferred_from_title;transaction_assumed_sale_from_dataset_context</x:v>
      </x:c>
      <x:c r="M3770" s="10" t="n">
        <x:v>0</x:v>
      </x:c>
      <x:c r="N3770" s="10" t="n">
        <x:v>0</x:v>
      </x:c>
      <x:c r="O3770" s="2" t="str">
        <x:v>Tp Hồ Chí Minh|house</x:v>
      </x:c>
      <x:c r="P3770" s="10" t="n">
        <x:v>2</x:v>
      </x:c>
      <x:c r="Q3770" s="13" t="n">
        <x:f>IF(H3770="","",H3770/1000000000)</x:f>
        <x:v>1.45</x:v>
      </x:c>
      <x:c r="R3770" s="13" t="n">
        <x:f>IF(I3770="","",I3770/1000000)</x:f>
        <x:v>36.25</x:v>
      </x:c>
    </x:row>
    <x:row r="3771" ht="21" customHeight="1">
      <x:c r="A3771" s="10" t="n">
        <x:v>5119</x:v>
      </x:c>
      <x:c r="B3771" s="2" t="str">
        <x:v>e4c2829ea15a8569a57e</x:v>
      </x:c>
      <x:c r="C3771" s="2" t="str">
        <x:v>Bình Dương</x:v>
      </x:c>
      <x:c r="D3771" s="2" t="str">
        <x:v>Thành phố Thủ Dầu Một</x:v>
      </x:c>
      <x:c r="E3771" s="2" t="str">
        <x:v>land</x:v>
      </x:c>
      <x:c r="F3771" s="2" t="str">
        <x:v>sale_assumed</x:v>
      </x:c>
      <x:c r="G3771" s="11" t="n">
        <x:v>210</x:v>
      </x:c>
      <x:c r="H3771" s="12" t="n">
        <x:v>2500000000</x:v>
      </x:c>
      <x:c r="I3771" s="12" t="n">
        <x:v>11904761.904761905</x:v>
      </x:c>
      <x:c r="J3771" s="2" t="str">
        <x:v>total</x:v>
      </x:c>
      <x:c r="K3771" s="2" t="str">
        <x:v>top_level_area</x:v>
      </x:c>
      <x:c r="L3771" s="2" t="str">
        <x:v>property_type_inferred_from_title;transaction_assumed_sale_from_dataset_context</x:v>
      </x:c>
      <x:c r="M3771" s="10" t="n">
        <x:v>0</x:v>
      </x:c>
      <x:c r="N3771" s="10" t="n">
        <x:v>0</x:v>
      </x:c>
      <x:c r="O3771" s="2" t="str">
        <x:v>Bình Dương|land</x:v>
      </x:c>
      <x:c r="P3771" s="10" t="n">
        <x:v>2</x:v>
      </x:c>
      <x:c r="Q3771" s="13" t="n">
        <x:f>IF(H3771="","",H3771/1000000000)</x:f>
        <x:v>2.5</x:v>
      </x:c>
      <x:c r="R3771" s="13" t="n">
        <x:f>IF(I3771="","",I3771/1000000)</x:f>
        <x:v>11.904761904761905</x:v>
      </x:c>
    </x:row>
    <x:row r="3772" ht="21" customHeight="1">
      <x:c r="A3772" s="10" t="n">
        <x:v>5120</x:v>
      </x:c>
      <x:c r="B3772" s="2" t="str">
        <x:v>472acd563dfc6df9917f</x:v>
      </x:c>
      <x:c r="C3772" s="2" t="str">
        <x:v>Đắk Lắk</x:v>
      </x:c>
      <x:c r="D3772" s="2" t="str">
        <x:v>Thành phố Buôn Ma Thuột</x:v>
      </x:c>
      <x:c r="E3772" s="2" t="str">
        <x:v>land</x:v>
      </x:c>
      <x:c r="F3772" s="2" t="str">
        <x:v>sale</x:v>
      </x:c>
      <x:c r="G3772" s="11" t="n">
        <x:v>150</x:v>
      </x:c>
      <x:c r="H3772" s="12" t="n">
        <x:v>595000000</x:v>
      </x:c>
      <x:c r="I3772" s="12" t="n">
        <x:v>3966666.6666666665</x:v>
      </x:c>
      <x:c r="J3772" s="2" t="str">
        <x:v>total</x:v>
      </x:c>
      <x:c r="K3772" s="2" t="str">
        <x:v>top_level_area</x:v>
      </x:c>
      <x:c r="L3772" s="2" t="str">
        <x:v>property_type_inferred_from_title</x:v>
      </x:c>
      <x:c r="M3772" s="10" t="n">
        <x:v>0</x:v>
      </x:c>
      <x:c r="N3772" s="10" t="n">
        <x:v>0</x:v>
      </x:c>
      <x:c r="O3772" s="2" t="str">
        <x:v>Đắk Lắk|land</x:v>
      </x:c>
      <x:c r="P3772" s="10" t="n">
        <x:v>1</x:v>
      </x:c>
      <x:c r="Q3772" s="13" t="n">
        <x:f>IF(H3772="","",H3772/1000000000)</x:f>
        <x:v>0.595</x:v>
      </x:c>
      <x:c r="R3772" s="13" t="n">
        <x:f>IF(I3772="","",I3772/1000000)</x:f>
        <x:v>3.9666666666666663</x:v>
      </x:c>
    </x:row>
    <x:row r="3773" ht="21" customHeight="1">
      <x:c r="A3773" s="10" t="n">
        <x:v>5121</x:v>
      </x:c>
      <x:c r="B3773" s="2" t="str">
        <x:v>62570e4b5aa516e84f51</x:v>
      </x:c>
      <x:c r="C3773" s="2" t="str">
        <x:v>Tp Hồ Chí Minh</x:v>
      </x:c>
      <x:c r="D3773" s="2" t="str">
        <x:v>Quận Bình Thạnh</x:v>
      </x:c>
      <x:c r="E3773" s="2" t="str">
        <x:v>house</x:v>
      </x:c>
      <x:c r="F3773" s="2" t="str">
        <x:v>sale</x:v>
      </x:c>
      <x:c r="G3773" s="11" t="n">
        <x:v>50</x:v>
      </x:c>
      <x:c r="H3773" s="12" t="n">
        <x:v>1480000000</x:v>
      </x:c>
      <x:c r="I3773" s="12" t="n">
        <x:v>29600000</x:v>
      </x:c>
      <x:c r="J3773" s="2" t="str">
        <x:v>total</x:v>
      </x:c>
      <x:c r="K3773" s="2" t="str">
        <x:v>top_level_area</x:v>
      </x:c>
      <x:c r="L3773" s="2" t="str">
        <x:v>property_type_inferred_from_title</x:v>
      </x:c>
      <x:c r="M3773" s="10" t="n">
        <x:v>0</x:v>
      </x:c>
      <x:c r="N3773" s="10" t="n">
        <x:v>0</x:v>
      </x:c>
      <x:c r="O3773" s="2" t="str">
        <x:v>Tp Hồ Chí Minh|house</x:v>
      </x:c>
      <x:c r="P3773" s="10" t="n">
        <x:v>2</x:v>
      </x:c>
      <x:c r="Q3773" s="13" t="n">
        <x:f>IF(H3773="","",H3773/1000000000)</x:f>
        <x:v>1.48</x:v>
      </x:c>
      <x:c r="R3773" s="13" t="n">
        <x:f>IF(I3773="","",I3773/1000000)</x:f>
        <x:v>29.6</x:v>
      </x:c>
    </x:row>
    <x:row r="3774" ht="21" customHeight="1">
      <x:c r="A3774" s="10" t="n">
        <x:v>5123</x:v>
      </x:c>
      <x:c r="B3774" s="2" t="str">
        <x:v>b5ec3d112a6cb920f67f</x:v>
      </x:c>
      <x:c r="C3774" s="2" t="str">
        <x:v>Bình Dương</x:v>
      </x:c>
      <x:c r="D3774" s="2" t="str">
        <x:v>Thị xã Dĩ An</x:v>
      </x:c>
      <x:c r="E3774" s="2" t="str">
        <x:v>other_unknown</x:v>
      </x:c>
      <x:c r="F3774" s="2" t="str">
        <x:v>sale_assumed</x:v>
      </x:c>
      <x:c r="G3774" s="11" t="n">
        <x:v>35</x:v>
      </x:c>
      <x:c r="H3774" s="12" t="n">
        <x:v>1080000000</x:v>
      </x:c>
      <x:c r="I3774" s="12" t="n">
        <x:v>30857142.85714286</x:v>
      </x:c>
      <x:c r="J3774" s="2" t="str">
        <x:v>total</x:v>
      </x:c>
      <x:c r="K3774" s="2" t="str">
        <x:v>top_level_area</x:v>
      </x:c>
      <x:c r="L3774" s="2" t="str">
        <x:v>property_type_inferred_from_title;transaction_assumed_sale_from_dataset_context;unknown_property_type</x:v>
      </x:c>
      <x:c r="M3774" s="10" t="n">
        <x:v>0</x:v>
      </x:c>
      <x:c r="N3774" s="10" t="n">
        <x:v>0</x:v>
      </x:c>
      <x:c r="O3774" s="2" t="str">
        <x:v>Bình Dương|other_unknown</x:v>
      </x:c>
      <x:c r="P3774" s="10" t="n">
        <x:v>2</x:v>
      </x:c>
      <x:c r="Q3774" s="13" t="n">
        <x:f>IF(H3774="","",H3774/1000000000)</x:f>
        <x:v>1.08</x:v>
      </x:c>
      <x:c r="R3774" s="13" t="n">
        <x:f>IF(I3774="","",I3774/1000000)</x:f>
        <x:v>30.857142857142858</x:v>
      </x:c>
    </x:row>
    <x:row r="3775" ht="21" customHeight="1">
      <x:c r="A3775" s="10" t="n">
        <x:v>5124</x:v>
      </x:c>
      <x:c r="B3775" s="2" t="str">
        <x:v>c366aa1e0ca6ecf5a2e5</x:v>
      </x:c>
      <x:c r="C3775" s="2" t="str">
        <x:v>Cần Thơ</x:v>
      </x:c>
      <x:c r="D3775" s="2" t="str">
        <x:v>Quận Ninh Kiều</x:v>
      </x:c>
      <x:c r="E3775" s="2" t="str">
        <x:v>house</x:v>
      </x:c>
      <x:c r="F3775" s="2" t="str">
        <x:v>sale_assumed</x:v>
      </x:c>
      <x:c r="G3775" s="11" t="n">
        <x:v>100</x:v>
      </x:c>
      <x:c r="H3775" s="12" t="n">
        <x:v>5200000000</x:v>
      </x:c>
      <x:c r="I3775" s="12" t="n">
        <x:v>52000000</x:v>
      </x:c>
      <x:c r="J3775" s="2" t="str">
        <x:v>total</x:v>
      </x:c>
      <x:c r="K3775" s="2" t="str">
        <x:v>top_level_area</x:v>
      </x:c>
      <x:c r="L3775" s="2" t="str">
        <x:v>property_type_inferred_from_title;transaction_assumed_sale_from_dataset_context</x:v>
      </x:c>
      <x:c r="M3775" s="10" t="n">
        <x:v>0</x:v>
      </x:c>
      <x:c r="N3775" s="10" t="n">
        <x:v>0</x:v>
      </x:c>
      <x:c r="O3775" s="2" t="str">
        <x:v>Cần Thơ|house</x:v>
      </x:c>
      <x:c r="P3775" s="10" t="n">
        <x:v>2</x:v>
      </x:c>
      <x:c r="Q3775" s="13" t="n">
        <x:f>IF(H3775="","",H3775/1000000000)</x:f>
        <x:v>5.2</x:v>
      </x:c>
      <x:c r="R3775" s="13" t="n">
        <x:f>IF(I3775="","",I3775/1000000)</x:f>
        <x:v>52</x:v>
      </x:c>
    </x:row>
    <x:row r="3776" ht="21" customHeight="1">
      <x:c r="A3776" s="10" t="n">
        <x:v>5126</x:v>
      </x:c>
      <x:c r="B3776" s="2" t="str">
        <x:v>df3c733781b607a1e1ef</x:v>
      </x:c>
      <x:c r="C3776" s="2" t="str">
        <x:v>Bình Phước</x:v>
      </x:c>
      <x:c r="D3776" s="2" t="str">
        <x:v>Huyện Chơn Thành</x:v>
      </x:c>
      <x:c r="E3776" s="2" t="str">
        <x:v>land</x:v>
      </x:c>
      <x:c r="F3776" s="2" t="str">
        <x:v>sale_assumed</x:v>
      </x:c>
      <x:c r="G3776" s="11" t="n">
        <x:v>1100</x:v>
      </x:c>
      <x:c r="H3776" s="12" t="n">
        <x:v>390000000</x:v>
      </x:c>
      <x:c r="I3776" s="12" t="n">
        <x:v>354545.45454545453</x:v>
      </x:c>
      <x:c r="J3776" s="2" t="str">
        <x:v>total</x:v>
      </x:c>
      <x:c r="K3776" s="2" t="str">
        <x:v>top_level_area</x:v>
      </x:c>
      <x:c r="L3776" s="2" t="str">
        <x:v>dot_thousands_convention;property_type_inferred_from_title;transaction_assumed_sale_from_dataset_context</x:v>
      </x:c>
      <x:c r="M3776" s="10" t="n">
        <x:v>0</x:v>
      </x:c>
      <x:c r="N3776" s="10" t="n">
        <x:v>0</x:v>
      </x:c>
      <x:c r="O3776" s="2" t="str">
        <x:v>Bình Phước|land</x:v>
      </x:c>
      <x:c r="P3776" s="10" t="n">
        <x:v>1</x:v>
      </x:c>
      <x:c r="Q3776" s="13" t="n">
        <x:f>IF(H3776="","",H3776/1000000000)</x:f>
        <x:v>0.39</x:v>
      </x:c>
      <x:c r="R3776" s="13" t="n">
        <x:f>IF(I3776="","",I3776/1000000)</x:f>
        <x:v>0.35454545454545455</x:v>
      </x:c>
    </x:row>
    <x:row r="3777" ht="21" customHeight="1">
      <x:c r="A3777" s="10" t="n">
        <x:v>5127</x:v>
      </x:c>
      <x:c r="B3777" s="2" t="str">
        <x:v>353961330c2afecfecfb</x:v>
      </x:c>
      <x:c r="C3777" s="2" t="str">
        <x:v>Tp Hồ Chí Minh</x:v>
      </x:c>
      <x:c r="D3777" s="2" t="str">
        <x:v>Huyện Bình Chánh</x:v>
      </x:c>
      <x:c r="E3777" s="2" t="str">
        <x:v>house</x:v>
      </x:c>
      <x:c r="F3777" s="2" t="str">
        <x:v>sale</x:v>
      </x:c>
      <x:c r="G3777" s="11" t="n">
        <x:v>40</x:v>
      </x:c>
      <x:c r="H3777" s="12" t="n">
        <x:v>700000000</x:v>
      </x:c>
      <x:c r="I3777" s="12" t="n">
        <x:v>17500000</x:v>
      </x:c>
      <x:c r="J3777" s="2" t="str">
        <x:v>total</x:v>
      </x:c>
      <x:c r="K3777" s="2" t="str">
        <x:v>top_level_area</x:v>
      </x:c>
      <x:c r="L3777" s="2" t="str">
        <x:v>property_type_inferred_from_title</x:v>
      </x:c>
      <x:c r="M3777" s="10" t="n">
        <x:v>0</x:v>
      </x:c>
      <x:c r="N3777" s="10" t="n">
        <x:v>0</x:v>
      </x:c>
      <x:c r="O3777" s="2" t="str">
        <x:v>Tp Hồ Chí Minh|house</x:v>
      </x:c>
      <x:c r="P3777" s="10" t="n">
        <x:v>2</x:v>
      </x:c>
      <x:c r="Q3777" s="13" t="n">
        <x:f>IF(H3777="","",H3777/1000000000)</x:f>
        <x:v>0.7</x:v>
      </x:c>
      <x:c r="R3777" s="13" t="n">
        <x:f>IF(I3777="","",I3777/1000000)</x:f>
        <x:v>17.5</x:v>
      </x:c>
    </x:row>
    <x:row r="3778" ht="21" customHeight="1">
      <x:c r="A3778" s="10" t="n">
        <x:v>5128</x:v>
      </x:c>
      <x:c r="B3778" s="2" t="str">
        <x:v>006673bc638d2f3d250c</x:v>
      </x:c>
      <x:c r="C3778" s="2" t="str">
        <x:v>Bình Dương</x:v>
      </x:c>
      <x:c r="D3778" s="2" t="str">
        <x:v>Huyện Phú Giáo</x:v>
      </x:c>
      <x:c r="E3778" s="2" t="str">
        <x:v>land</x:v>
      </x:c>
      <x:c r="F3778" s="2" t="str">
        <x:v>sale_assumed</x:v>
      </x:c>
      <x:c r="G3778" s="11" t="n">
        <x:v>300</x:v>
      </x:c>
      <x:c r="H3778" s="12" t="n">
        <x:v>199000000</x:v>
      </x:c>
      <x:c r="I3778" s="12" t="n">
        <x:v>663333.3333333334</x:v>
      </x:c>
      <x:c r="J3778" s="2" t="str">
        <x:v>total</x:v>
      </x:c>
      <x:c r="K3778" s="2" t="str">
        <x:v>top_level_area</x:v>
      </x:c>
      <x:c r="L3778" s="2" t="str">
        <x:v>property_type_inferred_from_title;transaction_assumed_sale_from_dataset_context</x:v>
      </x:c>
      <x:c r="M3778" s="10" t="n">
        <x:v>0</x:v>
      </x:c>
      <x:c r="N3778" s="10" t="n">
        <x:v>0</x:v>
      </x:c>
      <x:c r="O3778" s="2" t="str">
        <x:v>Bình Dương|land</x:v>
      </x:c>
      <x:c r="P3778" s="10" t="n">
        <x:v>1</x:v>
      </x:c>
      <x:c r="Q3778" s="13" t="n">
        <x:f>IF(H3778="","",H3778/1000000000)</x:f>
        <x:v>0.199</x:v>
      </x:c>
      <x:c r="R3778" s="13" t="n">
        <x:f>IF(I3778="","",I3778/1000000)</x:f>
        <x:v>0.6633333333333333</x:v>
      </x:c>
    </x:row>
    <x:row r="3779" ht="21" customHeight="1">
      <x:c r="A3779" s="10" t="n">
        <x:v>5129</x:v>
      </x:c>
      <x:c r="B3779" s="2" t="str">
        <x:v>74912f9a0db0a1a0e743</x:v>
      </x:c>
      <x:c r="C3779" s="2" t="str">
        <x:v>Tp Hồ Chí Minh</x:v>
      </x:c>
      <x:c r="D3779" s="2" t="str">
        <x:v>Quận 12</x:v>
      </x:c>
      <x:c r="E3779" s="2" t="str">
        <x:v>house</x:v>
      </x:c>
      <x:c r="F3779" s="2" t="str">
        <x:v>sale_assumed</x:v>
      </x:c>
      <x:c r="G3779" s="11" t="n">
        <x:v>30</x:v>
      </x:c>
      <x:c r="H3779" s="12" t="n">
        <x:v>1270000000</x:v>
      </x:c>
      <x:c r="I3779" s="12" t="n">
        <x:v>42333333.333333336</x:v>
      </x:c>
      <x:c r="J3779" s="2" t="str">
        <x:v>total</x:v>
      </x:c>
      <x:c r="K3779" s="2" t="str">
        <x:v>top_level_area</x:v>
      </x:c>
      <x:c r="L3779" s="2" t="str">
        <x:v>property_type_inferred_from_title;transaction_assumed_sale_from_dataset_context</x:v>
      </x:c>
      <x:c r="M3779" s="10" t="n">
        <x:v>0</x:v>
      </x:c>
      <x:c r="N3779" s="10" t="n">
        <x:v>0</x:v>
      </x:c>
      <x:c r="O3779" s="2" t="str">
        <x:v>Tp Hồ Chí Minh|house</x:v>
      </x:c>
      <x:c r="P3779" s="10" t="n">
        <x:v>2</x:v>
      </x:c>
      <x:c r="Q3779" s="13" t="n">
        <x:f>IF(H3779="","",H3779/1000000000)</x:f>
        <x:v>1.27</x:v>
      </x:c>
      <x:c r="R3779" s="13" t="n">
        <x:f>IF(I3779="","",I3779/1000000)</x:f>
        <x:v>42.333333333333336</x:v>
      </x:c>
    </x:row>
    <x:row r="3780" ht="21" customHeight="1">
      <x:c r="A3780" s="10" t="n">
        <x:v>5130</x:v>
      </x:c>
      <x:c r="B3780" s="2" t="str">
        <x:v>b43e7a25372273ecdbff</x:v>
      </x:c>
      <x:c r="C3780" s="2" t="str">
        <x:v>Tp Hồ Chí Minh</x:v>
      </x:c>
      <x:c r="D3780" s="2" t="str">
        <x:v>Quận Thủ Đức</x:v>
      </x:c>
      <x:c r="E3780" s="2" t="str">
        <x:v>house</x:v>
      </x:c>
      <x:c r="F3780" s="2" t="str">
        <x:v>sale_assumed</x:v>
      </x:c>
      <x:c r="G3780" s="11" t="n">
        <x:v>65</x:v>
      </x:c>
      <x:c r="H3780" s="12" t="n">
        <x:v>4500000000</x:v>
      </x:c>
      <x:c r="I3780" s="12" t="n">
        <x:v>69230769.23076923</x:v>
      </x:c>
      <x:c r="J3780" s="2" t="str">
        <x:v>total</x:v>
      </x:c>
      <x:c r="K3780" s="2" t="str">
        <x:v>top_level_area</x:v>
      </x:c>
      <x:c r="L3780" s="2" t="str">
        <x:v>property_type_inferred_from_title;transaction_assumed_sale_from_dataset_context</x:v>
      </x:c>
      <x:c r="M3780" s="10" t="n">
        <x:v>0</x:v>
      </x:c>
      <x:c r="N3780" s="10" t="n">
        <x:v>0</x:v>
      </x:c>
      <x:c r="O3780" s="2" t="str">
        <x:v>Tp Hồ Chí Minh|house</x:v>
      </x:c>
      <x:c r="P3780" s="10" t="n">
        <x:v>2</x:v>
      </x:c>
      <x:c r="Q3780" s="13" t="n">
        <x:f>IF(H3780="","",H3780/1000000000)</x:f>
        <x:v>4.5</x:v>
      </x:c>
      <x:c r="R3780" s="13" t="n">
        <x:f>IF(I3780="","",I3780/1000000)</x:f>
        <x:v>69.23076923076923</x:v>
      </x:c>
    </x:row>
    <x:row r="3781" ht="21" customHeight="1">
      <x:c r="A3781" s="10" t="n">
        <x:v>5131</x:v>
      </x:c>
      <x:c r="B3781" s="2" t="str">
        <x:v>278316a7417a2adc6a3e</x:v>
      </x:c>
      <x:c r="C3781" s="2" t="str">
        <x:v>Tp Hồ Chí Minh</x:v>
      </x:c>
      <x:c r="D3781" s="2" t="str">
        <x:v>Quận 8</x:v>
      </x:c>
      <x:c r="E3781" s="2" t="str">
        <x:v>house</x:v>
      </x:c>
      <x:c r="F3781" s="2" t="str">
        <x:v>sale</x:v>
      </x:c>
      <x:c r="G3781" s="11" t="n">
        <x:v>46</x:v>
      </x:c>
      <x:c r="H3781" s="12" t="n">
        <x:v>3900000000</x:v>
      </x:c>
      <x:c r="I3781" s="12" t="n">
        <x:v>84782608.69565217</x:v>
      </x:c>
      <x:c r="J3781" s="2" t="str">
        <x:v>total</x:v>
      </x:c>
      <x:c r="K3781" s="2" t="str">
        <x:v>top_level_area</x:v>
      </x:c>
      <x:c r="L3781" s="2" t="str">
        <x:v>property_type_inferred_from_title</x:v>
      </x:c>
      <x:c r="M3781" s="10" t="n">
        <x:v>0</x:v>
      </x:c>
      <x:c r="N3781" s="10" t="n">
        <x:v>0</x:v>
      </x:c>
      <x:c r="O3781" s="2" t="str">
        <x:v>Tp Hồ Chí Minh|house</x:v>
      </x:c>
      <x:c r="P3781" s="10" t="n">
        <x:v>2</x:v>
      </x:c>
      <x:c r="Q3781" s="13" t="n">
        <x:f>IF(H3781="","",H3781/1000000000)</x:f>
        <x:v>3.9</x:v>
      </x:c>
      <x:c r="R3781" s="13" t="n">
        <x:f>IF(I3781="","",I3781/1000000)</x:f>
        <x:v>84.78260869565217</x:v>
      </x:c>
    </x:row>
    <x:row r="3782" ht="21" customHeight="1">
      <x:c r="A3782" s="10" t="n">
        <x:v>5132</x:v>
      </x:c>
      <x:c r="B3782" s="2" t="str">
        <x:v>6381973d3144ad806dfb</x:v>
      </x:c>
      <x:c r="C3782" s="2" t="str">
        <x:v>Tp Hồ Chí Minh</x:v>
      </x:c>
      <x:c r="D3782" s="2" t="str">
        <x:v>Quận Bình Tân</x:v>
      </x:c>
      <x:c r="E3782" s="2" t="str">
        <x:v>other_unknown</x:v>
      </x:c>
      <x:c r="F3782" s="2" t="str">
        <x:v>sale_assumed</x:v>
      </x:c>
      <x:c r="G3782" s="11" t="n">
        <x:v>48</x:v>
      </x:c>
      <x:c r="H3782" s="12" t="n">
        <x:v>4650000000</x:v>
      </x:c>
      <x:c r="I3782" s="12" t="n">
        <x:v>96875000</x:v>
      </x:c>
      <x:c r="J3782" s="2" t="str">
        <x:v>total</x:v>
      </x:c>
      <x:c r="K3782" s="2" t="str">
        <x:v>top_level_area</x:v>
      </x:c>
      <x:c r="L3782" s="2" t="str">
        <x:v>property_type_inferred_from_title;transaction_assumed_sale_from_dataset_context;unknown_property_type</x:v>
      </x:c>
      <x:c r="M3782" s="10" t="n">
        <x:v>0</x:v>
      </x:c>
      <x:c r="N3782" s="10" t="n">
        <x:v>0</x:v>
      </x:c>
      <x:c r="O3782" s="2" t="str">
        <x:v>Tp Hồ Chí Minh|other_unknown</x:v>
      </x:c>
      <x:c r="P3782" s="10" t="n">
        <x:v>2</x:v>
      </x:c>
      <x:c r="Q3782" s="13" t="n">
        <x:f>IF(H3782="","",H3782/1000000000)</x:f>
        <x:v>4.65</x:v>
      </x:c>
      <x:c r="R3782" s="13" t="n">
        <x:f>IF(I3782="","",I3782/1000000)</x:f>
        <x:v>96.875</x:v>
      </x:c>
    </x:row>
    <x:row r="3783" ht="21" customHeight="1">
      <x:c r="A3783" s="10" t="n">
        <x:v>5133</x:v>
      </x:c>
      <x:c r="B3783" s="2" t="str">
        <x:v>043346b4006e33920362</x:v>
      </x:c>
      <x:c r="C3783" s="2" t="str">
        <x:v>Sóc Trăng</x:v>
      </x:c>
      <x:c r="D3783" s="2" t="str">
        <x:v>Thành phố Sóc Trăng</x:v>
      </x:c>
      <x:c r="E3783" s="2" t="str">
        <x:v>land</x:v>
      </x:c>
      <x:c r="F3783" s="2" t="str">
        <x:v>sale_assumed</x:v>
      </x:c>
      <x:c r="G3783" s="11" t="n">
        <x:v>152</x:v>
      </x:c>
      <x:c r="H3783" s="12" t="n">
        <x:v>480000000</x:v>
      </x:c>
      <x:c r="I3783" s="12" t="n">
        <x:v>3157894.736842105</x:v>
      </x:c>
      <x:c r="J3783" s="2" t="str">
        <x:v>total</x:v>
      </x:c>
      <x:c r="K3783" s="2" t="str">
        <x:v>top_level_area</x:v>
      </x:c>
      <x:c r="L3783" s="2" t="str">
        <x:v>property_type_inferred_from_title;transaction_assumed_sale_from_dataset_context</x:v>
      </x:c>
      <x:c r="M3783" s="10" t="n">
        <x:v>0</x:v>
      </x:c>
      <x:c r="N3783" s="10" t="n">
        <x:v>0</x:v>
      </x:c>
      <x:c r="O3783" s="2" t="str">
        <x:v>land</x:v>
      </x:c>
      <x:c r="P3783" s="10" t="n">
        <x:v>1</x:v>
      </x:c>
      <x:c r="Q3783" s="13" t="n">
        <x:f>IF(H3783="","",H3783/1000000000)</x:f>
        <x:v>0.48</x:v>
      </x:c>
      <x:c r="R3783" s="13" t="n">
        <x:f>IF(I3783="","",I3783/1000000)</x:f>
        <x:v>3.1578947368421053</x:v>
      </x:c>
    </x:row>
    <x:row r="3784" ht="21" customHeight="1">
      <x:c r="A3784" s="10" t="n">
        <x:v>5134</x:v>
      </x:c>
      <x:c r="B3784" s="2" t="str">
        <x:v>e436c3353d1e441a41e1</x:v>
      </x:c>
      <x:c r="C3784" s="2" t="str">
        <x:v>Tp Hồ Chí Minh</x:v>
      </x:c>
      <x:c r="D3784" s="2" t="str">
        <x:v>Quận 7</x:v>
      </x:c>
      <x:c r="E3784" s="2" t="str">
        <x:v>apartment</x:v>
      </x:c>
      <x:c r="F3784" s="2" t="str">
        <x:v>sale</x:v>
      </x:c>
      <x:c r="G3784" s="11" t="n">
        <x:v>65</x:v>
      </x:c>
      <x:c r="H3784" s="12" t="n">
        <x:v>2000000000</x:v>
      </x:c>
      <x:c r="I3784" s="12" t="n">
        <x:v>30769230.769230768</x:v>
      </x:c>
      <x:c r="J3784" s="2" t="str">
        <x:v>total</x:v>
      </x:c>
      <x:c r="K3784" s="2" t="str">
        <x:v>top_level_area</x:v>
      </x:c>
      <x:c r="L3784" s="2" t="str">
        <x:v>property_type_inferred_from_title</x:v>
      </x:c>
      <x:c r="M3784" s="10" t="n">
        <x:v>0</x:v>
      </x:c>
      <x:c r="N3784" s="10" t="n">
        <x:v>0</x:v>
      </x:c>
      <x:c r="O3784" s="2" t="str">
        <x:v>Tp Hồ Chí Minh|apartment</x:v>
      </x:c>
      <x:c r="P3784" s="10" t="n">
        <x:v>2</x:v>
      </x:c>
      <x:c r="Q3784" s="13" t="n">
        <x:f>IF(H3784="","",H3784/1000000000)</x:f>
        <x:v>2</x:v>
      </x:c>
      <x:c r="R3784" s="13" t="n">
        <x:f>IF(I3784="","",I3784/1000000)</x:f>
        <x:v>30.769230769230766</x:v>
      </x:c>
    </x:row>
    <x:row r="3785" ht="21" customHeight="1">
      <x:c r="A3785" s="10" t="n">
        <x:v>5135</x:v>
      </x:c>
      <x:c r="B3785" s="2" t="str">
        <x:v>8e16395f58a35b9c6df6</x:v>
      </x:c>
      <x:c r="C3785" s="2" t="str">
        <x:v>Tp Hồ Chí Minh</x:v>
      </x:c>
      <x:c r="D3785" s="2" t="str">
        <x:v>Quận Tân Bình</x:v>
      </x:c>
      <x:c r="E3785" s="2" t="str">
        <x:v>house</x:v>
      </x:c>
      <x:c r="F3785" s="2" t="str">
        <x:v>sale_assumed</x:v>
      </x:c>
      <x:c r="G3785" s="11" t="n">
        <x:v>20</x:v>
      </x:c>
      <x:c r="H3785" s="12" t="n">
        <x:v>3900000000</x:v>
      </x:c>
      <x:c r="I3785" s="12" t="n">
        <x:v>195000000</x:v>
      </x:c>
      <x:c r="J3785" s="2" t="str">
        <x:v>total</x:v>
      </x:c>
      <x:c r="K3785" s="2" t="str">
        <x:v>top_level_area</x:v>
      </x:c>
      <x:c r="L3785" s="2" t="str">
        <x:v>property_type_inferred_from_title;transaction_assumed_sale_from_dataset_context</x:v>
      </x:c>
      <x:c r="M3785" s="10" t="n">
        <x:v>1</x:v>
      </x:c>
      <x:c r="N3785" s="10" t="n">
        <x:v>0</x:v>
      </x:c>
      <x:c r="O3785" s="2" t="str">
        <x:v>Tp Hồ Chí Minh|house</x:v>
      </x:c>
      <x:c r="P3785" s="10" t="n">
        <x:v>2</x:v>
      </x:c>
      <x:c r="Q3785" s="13" t="n">
        <x:f>IF(H3785="","",H3785/1000000000)</x:f>
        <x:v>3.9</x:v>
      </x:c>
      <x:c r="R3785" s="13" t="n">
        <x:f>IF(I3785="","",I3785/1000000)</x:f>
        <x:v>195</x:v>
      </x:c>
    </x:row>
    <x:row r="3786" ht="21" customHeight="1">
      <x:c r="A3786" s="10" t="n">
        <x:v>5136</x:v>
      </x:c>
      <x:c r="B3786" s="2" t="str">
        <x:v>659b4193571b163da1b2</x:v>
      </x:c>
      <x:c r="C3786" s="2" t="str">
        <x:v>Hà Nội</x:v>
      </x:c>
      <x:c r="D3786" s="2" t="str">
        <x:v>Quận Nam Từ Liêm</x:v>
      </x:c>
      <x:c r="E3786" s="2" t="str">
        <x:v>land</x:v>
      </x:c>
      <x:c r="F3786" s="2" t="str">
        <x:v>sale</x:v>
      </x:c>
      <x:c r="G3786" s="11" t="n">
        <x:v>175</x:v>
      </x:c>
      <x:c r="H3786" s="12" t="n">
        <x:v>14000000000</x:v>
      </x:c>
      <x:c r="I3786" s="12" t="n">
        <x:v>80000000</x:v>
      </x:c>
      <x:c r="J3786" s="2" t="str">
        <x:v>total</x:v>
      </x:c>
      <x:c r="K3786" s="2" t="str">
        <x:v>top_level_area</x:v>
      </x:c>
      <x:c r="L3786" s="2" t="str">
        <x:v>property_type_inferred_from_title</x:v>
      </x:c>
      <x:c r="M3786" s="10" t="n">
        <x:v>0</x:v>
      </x:c>
      <x:c r="N3786" s="10" t="n">
        <x:v>0</x:v>
      </x:c>
      <x:c r="O3786" s="2" t="str">
        <x:v>Hà Nội|land</x:v>
      </x:c>
      <x:c r="P3786" s="10" t="n">
        <x:v>2</x:v>
      </x:c>
      <x:c r="Q3786" s="13" t="n">
        <x:f>IF(H3786="","",H3786/1000000000)</x:f>
        <x:v>14</x:v>
      </x:c>
      <x:c r="R3786" s="13" t="n">
        <x:f>IF(I3786="","",I3786/1000000)</x:f>
        <x:v>80</x:v>
      </x:c>
    </x:row>
    <x:row r="3787" ht="21" customHeight="1">
      <x:c r="A3787" s="10" t="n">
        <x:v>5137</x:v>
      </x:c>
      <x:c r="B3787" s="2" t="str">
        <x:v>5e87554aaed436b3dbac</x:v>
      </x:c>
      <x:c r="C3787" s="2" t="str">
        <x:v>Hà Nội</x:v>
      </x:c>
      <x:c r="D3787" s="2" t="str">
        <x:v>Quận Hà Đông</x:v>
      </x:c>
      <x:c r="E3787" s="2" t="str">
        <x:v>house</x:v>
      </x:c>
      <x:c r="F3787" s="2" t="str">
        <x:v>sale_assumed</x:v>
      </x:c>
      <x:c r="G3787" s="11" t="n">
        <x:v>36</x:v>
      </x:c>
      <x:c r="H3787" s="12" t="n">
        <x:v>1350000000</x:v>
      </x:c>
      <x:c r="I3787" s="12" t="n">
        <x:v>37500000</x:v>
      </x:c>
      <x:c r="J3787" s="2" t="str">
        <x:v>total</x:v>
      </x:c>
      <x:c r="K3787" s="2" t="str">
        <x:v>top_level_area</x:v>
      </x:c>
      <x:c r="L3787" s="2" t="str">
        <x:v>property_type_inferred_from_title;transaction_assumed_sale_from_dataset_context</x:v>
      </x:c>
      <x:c r="M3787" s="10" t="n">
        <x:v>0</x:v>
      </x:c>
      <x:c r="N3787" s="10" t="n">
        <x:v>0</x:v>
      </x:c>
      <x:c r="O3787" s="2" t="str">
        <x:v>Hà Nội|house</x:v>
      </x:c>
      <x:c r="P3787" s="10" t="n">
        <x:v>2</x:v>
      </x:c>
      <x:c r="Q3787" s="13" t="n">
        <x:f>IF(H3787="","",H3787/1000000000)</x:f>
        <x:v>1.35</x:v>
      </x:c>
      <x:c r="R3787" s="13" t="n">
        <x:f>IF(I3787="","",I3787/1000000)</x:f>
        <x:v>37.5</x:v>
      </x:c>
    </x:row>
    <x:row r="3788" ht="21" customHeight="1">
      <x:c r="A3788" s="10" t="n">
        <x:v>5138</x:v>
      </x:c>
      <x:c r="B3788" s="2" t="str">
        <x:v>6e198acb76957fe47125</x:v>
      </x:c>
      <x:c r="C3788" s="2" t="str">
        <x:v>Tp Hồ Chí Minh</x:v>
      </x:c>
      <x:c r="D3788" s="2" t="str">
        <x:v>Quận Tân Phú</x:v>
      </x:c>
      <x:c r="E3788" s="2" t="str">
        <x:v>house</x:v>
      </x:c>
      <x:c r="F3788" s="2" t="str">
        <x:v>sale</x:v>
      </x:c>
      <x:c r="G3788" s="11" t="n">
        <x:v>56</x:v>
      </x:c>
      <x:c r="H3788" s="12" t="n">
        <x:v>4600000000</x:v>
      </x:c>
      <x:c r="I3788" s="12" t="n">
        <x:v>82142857.14285715</x:v>
      </x:c>
      <x:c r="J3788" s="2" t="str">
        <x:v>total</x:v>
      </x:c>
      <x:c r="K3788" s="2" t="str">
        <x:v>top_level_area</x:v>
      </x:c>
      <x:c r="L3788" s="2" t="str">
        <x:v>property_type_inferred_from_title</x:v>
      </x:c>
      <x:c r="M3788" s="10" t="n">
        <x:v>0</x:v>
      </x:c>
      <x:c r="N3788" s="10" t="n">
        <x:v>0</x:v>
      </x:c>
      <x:c r="O3788" s="2" t="str">
        <x:v>Tp Hồ Chí Minh|house</x:v>
      </x:c>
      <x:c r="P3788" s="10" t="n">
        <x:v>2</x:v>
      </x:c>
      <x:c r="Q3788" s="13" t="n">
        <x:f>IF(H3788="","",H3788/1000000000)</x:f>
        <x:v>4.6</x:v>
      </x:c>
      <x:c r="R3788" s="13" t="n">
        <x:f>IF(I3788="","",I3788/1000000)</x:f>
        <x:v>82.14285714285715</x:v>
      </x:c>
    </x:row>
    <x:row r="3789" ht="21" customHeight="1">
      <x:c r="A3789" s="10" t="n">
        <x:v>5139</x:v>
      </x:c>
      <x:c r="B3789" s="2" t="str">
        <x:v>fc461a43f547bfba961a</x:v>
      </x:c>
      <x:c r="C3789" s="2" t="str">
        <x:v>Tp Hồ Chí Minh</x:v>
      </x:c>
      <x:c r="D3789" s="2" t="str">
        <x:v>Huyện Hóc Môn</x:v>
      </x:c>
      <x:c r="E3789" s="2" t="str">
        <x:v>house</x:v>
      </x:c>
      <x:c r="F3789" s="2" t="str">
        <x:v>sale_assumed</x:v>
      </x:c>
      <x:c r="G3789" s="11" t="n">
        <x:v>100</x:v>
      </x:c>
      <x:c r="H3789" s="12" t="n">
        <x:v>4250000000</x:v>
      </x:c>
      <x:c r="I3789" s="12" t="n">
        <x:v>42500000</x:v>
      </x:c>
      <x:c r="J3789" s="2" t="str">
        <x:v>total</x:v>
      </x:c>
      <x:c r="K3789" s="2" t="str">
        <x:v>top_level_area</x:v>
      </x:c>
      <x:c r="L3789" s="2" t="str">
        <x:v>property_type_inferred_from_title;transaction_assumed_sale_from_dataset_context</x:v>
      </x:c>
      <x:c r="M3789" s="10" t="n">
        <x:v>0</x:v>
      </x:c>
      <x:c r="N3789" s="10" t="n">
        <x:v>0</x:v>
      </x:c>
      <x:c r="O3789" s="2" t="str">
        <x:v>Tp Hồ Chí Minh|house</x:v>
      </x:c>
      <x:c r="P3789" s="10" t="n">
        <x:v>2</x:v>
      </x:c>
      <x:c r="Q3789" s="13" t="n">
        <x:f>IF(H3789="","",H3789/1000000000)</x:f>
        <x:v>4.25</x:v>
      </x:c>
      <x:c r="R3789" s="13" t="n">
        <x:f>IF(I3789="","",I3789/1000000)</x:f>
        <x:v>42.5</x:v>
      </x:c>
    </x:row>
    <x:row r="3790" ht="21" customHeight="1">
      <x:c r="A3790" s="10" t="n">
        <x:v>5140</x:v>
      </x:c>
      <x:c r="B3790" s="2" t="str">
        <x:v>040b6a75069168b222f4</x:v>
      </x:c>
      <x:c r="C3790" s="2" t="str">
        <x:v>Tp Hồ Chí Minh</x:v>
      </x:c>
      <x:c r="D3790" s="2" t="str">
        <x:v>Quận Bình Tân</x:v>
      </x:c>
      <x:c r="E3790" s="2" t="str">
        <x:v>house</x:v>
      </x:c>
      <x:c r="F3790" s="2" t="str">
        <x:v>sale</x:v>
      </x:c>
      <x:c r="G3790" s="11" t="n">
        <x:v>50</x:v>
      </x:c>
      <x:c r="H3790" s="12" t="n">
        <x:v>855000000</x:v>
      </x:c>
      <x:c r="I3790" s="12" t="n">
        <x:v>17100000</x:v>
      </x:c>
      <x:c r="J3790" s="2" t="str">
        <x:v>total</x:v>
      </x:c>
      <x:c r="K3790" s="2" t="str">
        <x:v>top_level_area</x:v>
      </x:c>
      <x:c r="L3790" s="2" t="str">
        <x:v>property_type_inferred_from_title</x:v>
      </x:c>
      <x:c r="M3790" s="10" t="n">
        <x:v>0</x:v>
      </x:c>
      <x:c r="N3790" s="10" t="n">
        <x:v>0</x:v>
      </x:c>
      <x:c r="O3790" s="2" t="str">
        <x:v>Tp Hồ Chí Minh|house</x:v>
      </x:c>
      <x:c r="P3790" s="10" t="n">
        <x:v>2</x:v>
      </x:c>
      <x:c r="Q3790" s="13" t="n">
        <x:f>IF(H3790="","",H3790/1000000000)</x:f>
        <x:v>0.855</x:v>
      </x:c>
      <x:c r="R3790" s="13" t="n">
        <x:f>IF(I3790="","",I3790/1000000)</x:f>
        <x:v>17.1</x:v>
      </x:c>
    </x:row>
    <x:row r="3791" ht="21" customHeight="1">
      <x:c r="A3791" s="10" t="n">
        <x:v>5141</x:v>
      </x:c>
      <x:c r="B3791" s="2" t="str">
        <x:v>5b0d80cc88bc894d87b6</x:v>
      </x:c>
      <x:c r="C3791" s="2" t="str">
        <x:v>Long An</x:v>
      </x:c>
      <x:c r="D3791" s="2" t="str">
        <x:v>Huyện Đức Hòa</x:v>
      </x:c>
      <x:c r="E3791" s="2" t="str">
        <x:v>house</x:v>
      </x:c>
      <x:c r="F3791" s="2" t="str">
        <x:v>sale_assumed</x:v>
      </x:c>
      <x:c r="G3791" s="11" t="n">
        <x:v>125</x:v>
      </x:c>
      <x:c r="H3791" s="12" t="n">
        <x:v>900000000</x:v>
      </x:c>
      <x:c r="I3791" s="12" t="n">
        <x:v>7200000</x:v>
      </x:c>
      <x:c r="J3791" s="2" t="str">
        <x:v>total</x:v>
      </x:c>
      <x:c r="K3791" s="2" t="str">
        <x:v>top_level_area</x:v>
      </x:c>
      <x:c r="L3791" s="2" t="str">
        <x:v>property_type_inferred_from_title;transaction_assumed_sale_from_dataset_context</x:v>
      </x:c>
      <x:c r="M3791" s="10" t="n">
        <x:v>0</x:v>
      </x:c>
      <x:c r="N3791" s="10" t="n">
        <x:v>0</x:v>
      </x:c>
      <x:c r="O3791" s="2" t="str">
        <x:v>Long An|house</x:v>
      </x:c>
      <x:c r="P3791" s="10" t="n">
        <x:v>2</x:v>
      </x:c>
      <x:c r="Q3791" s="13" t="n">
        <x:f>IF(H3791="","",H3791/1000000000)</x:f>
        <x:v>0.9</x:v>
      </x:c>
      <x:c r="R3791" s="13" t="n">
        <x:f>IF(I3791="","",I3791/1000000)</x:f>
        <x:v>7.2</x:v>
      </x:c>
    </x:row>
    <x:row r="3792" ht="21" customHeight="1">
      <x:c r="A3792" s="10" t="n">
        <x:v>5142</x:v>
      </x:c>
      <x:c r="B3792" s="2" t="str">
        <x:v>c6ab5fe90eab3bc67c45</x:v>
      </x:c>
      <x:c r="C3792" s="2" t="str">
        <x:v>Hà Nội</x:v>
      </x:c>
      <x:c r="D3792" s="2" t="str">
        <x:v>Quận Long Biên</x:v>
      </x:c>
      <x:c r="E3792" s="2" t="str">
        <x:v>house</x:v>
      </x:c>
      <x:c r="F3792" s="2" t="str">
        <x:v>sale</x:v>
      </x:c>
      <x:c r="G3792" s="11" t="n">
        <x:v>42</x:v>
      </x:c>
      <x:c r="H3792" s="12" t="n">
        <x:v>4250000000</x:v>
      </x:c>
      <x:c r="I3792" s="12" t="n">
        <x:v>101190476.1904762</x:v>
      </x:c>
      <x:c r="J3792" s="2" t="str">
        <x:v>total</x:v>
      </x:c>
      <x:c r="K3792" s="2" t="str">
        <x:v>top_level_area</x:v>
      </x:c>
      <x:c r="L3792" s="2" t="str">
        <x:v>property_type_inferred_from_title</x:v>
      </x:c>
      <x:c r="M3792" s="10" t="n">
        <x:v>0</x:v>
      </x:c>
      <x:c r="N3792" s="10" t="n">
        <x:v>0</x:v>
      </x:c>
      <x:c r="O3792" s="2" t="str">
        <x:v>Hà Nội|house</x:v>
      </x:c>
      <x:c r="P3792" s="10" t="n">
        <x:v>2</x:v>
      </x:c>
      <x:c r="Q3792" s="13" t="n">
        <x:f>IF(H3792="","",H3792/1000000000)</x:f>
        <x:v>4.25</x:v>
      </x:c>
      <x:c r="R3792" s="13" t="n">
        <x:f>IF(I3792="","",I3792/1000000)</x:f>
        <x:v>101.19047619047619</x:v>
      </x:c>
    </x:row>
    <x:row r="3793" ht="21" customHeight="1">
      <x:c r="A3793" s="10" t="n">
        <x:v>5143</x:v>
      </x:c>
      <x:c r="B3793" s="2" t="str">
        <x:v>b82bb758aa75347d4d20</x:v>
      </x:c>
      <x:c r="C3793" s="2" t="str">
        <x:v>Đà Nẵng</x:v>
      </x:c>
      <x:c r="D3793" s="2" t="str">
        <x:v>Quận Thanh Khê</x:v>
      </x:c>
      <x:c r="E3793" s="2" t="str">
        <x:v>house</x:v>
      </x:c>
      <x:c r="F3793" s="2" t="str">
        <x:v>sale_assumed</x:v>
      </x:c>
      <x:c r="G3793" s="11" t="n">
        <x:v>81</x:v>
      </x:c>
      <x:c r="H3793" s="12" t="n">
        <x:v>2950000000</x:v>
      </x:c>
      <x:c r="I3793" s="12" t="n">
        <x:v>36419753.086419754</x:v>
      </x:c>
      <x:c r="J3793" s="2" t="str">
        <x:v>total</x:v>
      </x:c>
      <x:c r="K3793" s="2" t="str">
        <x:v>top_level_area</x:v>
      </x:c>
      <x:c r="L3793" s="2" t="str">
        <x:v>property_type_inferred_from_title;transaction_assumed_sale_from_dataset_context</x:v>
      </x:c>
      <x:c r="M3793" s="10" t="n">
        <x:v>0</x:v>
      </x:c>
      <x:c r="N3793" s="10" t="n">
        <x:v>0</x:v>
      </x:c>
      <x:c r="O3793" s="2" t="str">
        <x:v>Đà Nẵng|house</x:v>
      </x:c>
      <x:c r="P3793" s="10" t="n">
        <x:v>2</x:v>
      </x:c>
      <x:c r="Q3793" s="13" t="n">
        <x:f>IF(H3793="","",H3793/1000000000)</x:f>
        <x:v>2.95</x:v>
      </x:c>
      <x:c r="R3793" s="13" t="n">
        <x:f>IF(I3793="","",I3793/1000000)</x:f>
        <x:v>36.41975308641975</x:v>
      </x:c>
    </x:row>
    <x:row r="3794" ht="21" customHeight="1">
      <x:c r="A3794" s="10" t="n">
        <x:v>5144</x:v>
      </x:c>
      <x:c r="B3794" s="2" t="str">
        <x:v>59b71770a5216567a534</x:v>
      </x:c>
      <x:c r="C3794" s="2" t="str">
        <x:v>Tp Hồ Chí Minh</x:v>
      </x:c>
      <x:c r="D3794" s="2" t="str">
        <x:v>Quận Thủ Đức</x:v>
      </x:c>
      <x:c r="E3794" s="2" t="str">
        <x:v>house</x:v>
      </x:c>
      <x:c r="F3794" s="2" t="str">
        <x:v>sale_assumed</x:v>
      </x:c>
      <x:c r="G3794" s="11" t="n">
        <x:v>151</x:v>
      </x:c>
      <x:c r="H3794" s="12" t="n">
        <x:v>7500000000</x:v>
      </x:c>
      <x:c r="I3794" s="12" t="n">
        <x:v>49668874.17218543</x:v>
      </x:c>
      <x:c r="J3794" s="2" t="str">
        <x:v>total</x:v>
      </x:c>
      <x:c r="K3794" s="2" t="str">
        <x:v>top_level_area</x:v>
      </x:c>
      <x:c r="L3794" s="2" t="str">
        <x:v>property_type_inferred_from_title;transaction_assumed_sale_from_dataset_context</x:v>
      </x:c>
      <x:c r="M3794" s="10" t="n">
        <x:v>0</x:v>
      </x:c>
      <x:c r="N3794" s="10" t="n">
        <x:v>0</x:v>
      </x:c>
      <x:c r="O3794" s="2" t="str">
        <x:v>Tp Hồ Chí Minh|house</x:v>
      </x:c>
      <x:c r="P3794" s="10" t="n">
        <x:v>2</x:v>
      </x:c>
      <x:c r="Q3794" s="13" t="n">
        <x:f>IF(H3794="","",H3794/1000000000)</x:f>
        <x:v>7.5</x:v>
      </x:c>
      <x:c r="R3794" s="13" t="n">
        <x:f>IF(I3794="","",I3794/1000000)</x:f>
        <x:v>49.668874172185426</x:v>
      </x:c>
    </x:row>
    <x:row r="3795" ht="21" customHeight="1">
      <x:c r="A3795" s="10" t="n">
        <x:v>5145</x:v>
      </x:c>
      <x:c r="B3795" s="2" t="str">
        <x:v>0b65e7e8b3dd79427c6a</x:v>
      </x:c>
      <x:c r="C3795" s="2" t="str">
        <x:v>Hà Nội</x:v>
      </x:c>
      <x:c r="D3795" s="2" t="str">
        <x:v>Quận Hoàng Mai</x:v>
      </x:c>
      <x:c r="E3795" s="2" t="str">
        <x:v>other_unknown</x:v>
      </x:c>
      <x:c r="F3795" s="2" t="str">
        <x:v>sale_assumed</x:v>
      </x:c>
      <x:c r="G3795" s="11" t="n">
        <x:v>60</x:v>
      </x:c>
      <x:c r="H3795" s="12" t="n">
        <x:v>6880000000</x:v>
      </x:c>
      <x:c r="I3795" s="12" t="n">
        <x:v>114666666.66666667</x:v>
      </x:c>
      <x:c r="J3795" s="2" t="str">
        <x:v>total</x:v>
      </x:c>
      <x:c r="K3795" s="2" t="str">
        <x:v>top_level_area</x:v>
      </x:c>
      <x:c r="L3795" s="2" t="str">
        <x:v>property_type_inferred_from_title;transaction_assumed_sale_from_dataset_context;unknown_property_type</x:v>
      </x:c>
      <x:c r="M3795" s="10" t="n">
        <x:v>0</x:v>
      </x:c>
      <x:c r="N3795" s="10" t="n">
        <x:v>0</x:v>
      </x:c>
      <x:c r="O3795" s="2" t="str">
        <x:v>Hà Nội|other_unknown</x:v>
      </x:c>
      <x:c r="P3795" s="10" t="n">
        <x:v>2</x:v>
      </x:c>
      <x:c r="Q3795" s="13" t="n">
        <x:f>IF(H3795="","",H3795/1000000000)</x:f>
        <x:v>6.88</x:v>
      </x:c>
      <x:c r="R3795" s="13" t="n">
        <x:f>IF(I3795="","",I3795/1000000)</x:f>
        <x:v>114.66666666666667</x:v>
      </x:c>
    </x:row>
    <x:row r="3796" ht="21" customHeight="1">
      <x:c r="A3796" s="10" t="n">
        <x:v>5146</x:v>
      </x:c>
      <x:c r="B3796" s="2" t="str">
        <x:v>a2911be493444f513a60</x:v>
      </x:c>
      <x:c r="C3796" s="2" t="str">
        <x:v>Tp Hồ Chí Minh</x:v>
      </x:c>
      <x:c r="D3796" s="2" t="str">
        <x:v>Quận 10</x:v>
      </x:c>
      <x:c r="E3796" s="2" t="str">
        <x:v>house</x:v>
      </x:c>
      <x:c r="F3796" s="2" t="str">
        <x:v>sale</x:v>
      </x:c>
      <x:c r="G3796" s="11" t="n">
        <x:v>42</x:v>
      </x:c>
      <x:c r="H3796" s="12" t="n">
        <x:v>14999000000</x:v>
      </x:c>
      <x:c r="I3796" s="12" t="n">
        <x:v>357119047.61904764</x:v>
      </x:c>
      <x:c r="J3796" s="2" t="str">
        <x:v>total</x:v>
      </x:c>
      <x:c r="K3796" s="2" t="str">
        <x:v>top_level_area</x:v>
      </x:c>
      <x:c r="L3796" s="2" t="str">
        <x:v>property_type_inferred_from_title</x:v>
      </x:c>
      <x:c r="M3796" s="10" t="n">
        <x:v>1</x:v>
      </x:c>
      <x:c r="N3796" s="10" t="n">
        <x:v>1</x:v>
      </x:c>
      <x:c r="O3796" s="2" t="str">
        <x:v>Tp Hồ Chí Minh|house</x:v>
      </x:c>
      <x:c r="P3796" s="10" t="n">
        <x:v>-1</x:v>
      </x:c>
      <x:c r="Q3796" s="13" t="n">
        <x:f>IF(H3796="","",H3796/1000000000)</x:f>
        <x:v>14.999</x:v>
      </x:c>
      <x:c r="R3796" s="13" t="n">
        <x:f>IF(I3796="","",I3796/1000000)</x:f>
        <x:v>357.11904761904765</x:v>
      </x:c>
    </x:row>
    <x:row r="3797" ht="21" customHeight="1">
      <x:c r="A3797" s="10" t="n">
        <x:v>5147</x:v>
      </x:c>
      <x:c r="B3797" s="2" t="str">
        <x:v>587717a05ac7b117d3e6</x:v>
      </x:c>
      <x:c r="C3797" s="2" t="str">
        <x:v>Tp Hồ Chí Minh</x:v>
      </x:c>
      <x:c r="D3797" s="2" t="str">
        <x:v>Quận 8</x:v>
      </x:c>
      <x:c r="E3797" s="2" t="str">
        <x:v>apartment</x:v>
      </x:c>
      <x:c r="F3797" s="2" t="str">
        <x:v>sale_assumed</x:v>
      </x:c>
      <x:c r="G3797" s="11" t="n">
        <x:v>50</x:v>
      </x:c>
      <x:c r="H3797" s="12" t="n">
        <x:v>1400000000</x:v>
      </x:c>
      <x:c r="I3797" s="12" t="n">
        <x:v>28000000</x:v>
      </x:c>
      <x:c r="J3797" s="2" t="str">
        <x:v>total</x:v>
      </x:c>
      <x:c r="K3797" s="2" t="str">
        <x:v>top_level_area</x:v>
      </x:c>
      <x:c r="L3797" s="2" t="str">
        <x:v>property_type_inferred_from_title;transaction_assumed_sale_from_dataset_context</x:v>
      </x:c>
      <x:c r="M3797" s="10" t="n">
        <x:v>0</x:v>
      </x:c>
      <x:c r="N3797" s="10" t="n">
        <x:v>0</x:v>
      </x:c>
      <x:c r="O3797" s="2" t="str">
        <x:v>Tp Hồ Chí Minh|apartment</x:v>
      </x:c>
      <x:c r="P3797" s="10" t="n">
        <x:v>2</x:v>
      </x:c>
      <x:c r="Q3797" s="13" t="n">
        <x:f>IF(H3797="","",H3797/1000000000)</x:f>
        <x:v>1.4</x:v>
      </x:c>
      <x:c r="R3797" s="13" t="n">
        <x:f>IF(I3797="","",I3797/1000000)</x:f>
        <x:v>28</x:v>
      </x:c>
    </x:row>
    <x:row r="3798" ht="21" customHeight="1">
      <x:c r="A3798" s="10" t="n">
        <x:v>5176</x:v>
      </x:c>
      <x:c r="B3798" s="2" t="str">
        <x:v>c94d8ad1e4992ad50487</x:v>
      </x:c>
      <x:c r="C3798" s="2" t="str">
        <x:v>Tp Hồ Chí Minh</x:v>
      </x:c>
      <x:c r="D3798" s="2" t="str">
        <x:v>Quận Bình Thạnh</x:v>
      </x:c>
      <x:c r="E3798" s="2" t="str">
        <x:v>house</x:v>
      </x:c>
      <x:c r="F3798" s="2" t="str">
        <x:v>sale</x:v>
      </x:c>
      <x:c r="G3798" s="11" t="n">
        <x:v>100</x:v>
      </x:c>
      <x:c r="H3798" s="12" t="n">
        <x:v>7100000000</x:v>
      </x:c>
      <x:c r="I3798" s="12" t="n">
        <x:v>71000000</x:v>
      </x:c>
      <x:c r="J3798" s="2" t="str">
        <x:v>total</x:v>
      </x:c>
      <x:c r="K3798" s="2" t="str">
        <x:v>top_level_price_embedded_area</x:v>
      </x:c>
      <x:c r="L3798" s="2" t="str">
        <x:v>area_recovered_from_price_text;property_type_inferred_from_title</x:v>
      </x:c>
      <x:c r="M3798" s="10" t="n">
        <x:v>0</x:v>
      </x:c>
      <x:c r="N3798" s="10" t="n">
        <x:v>0</x:v>
      </x:c>
      <x:c r="O3798" s="2" t="str">
        <x:v>Tp Hồ Chí Minh|house</x:v>
      </x:c>
      <x:c r="P3798" s="10" t="n">
        <x:v>2</x:v>
      </x:c>
      <x:c r="Q3798" s="13" t="n">
        <x:f>IF(H3798="","",H3798/1000000000)</x:f>
        <x:v>7.1</x:v>
      </x:c>
      <x:c r="R3798" s="13" t="n">
        <x:f>IF(I3798="","",I3798/1000000)</x:f>
        <x:v>71</x:v>
      </x:c>
    </x:row>
    <x:row r="3799" ht="21" customHeight="1">
      <x:c r="A3799" s="10" t="n">
        <x:v>5177</x:v>
      </x:c>
      <x:c r="B3799" s="2" t="str">
        <x:v>3e5705c5cf638e11ca04</x:v>
      </x:c>
      <x:c r="C3799" s="2" t="str">
        <x:v>Hà Nội</x:v>
      </x:c>
      <x:c r="D3799" s="2" t="str">
        <x:v>Quận Ba Đình</x:v>
      </x:c>
      <x:c r="E3799" s="2" t="str">
        <x:v>house</x:v>
      </x:c>
      <x:c r="F3799" s="2" t="str">
        <x:v>sale_assumed</x:v>
      </x:c>
      <x:c r="G3799" s="11" t="n">
        <x:v>39</x:v>
      </x:c>
      <x:c r="H3799" s="12" t="n">
        <x:v>7690000000</x:v>
      </x:c>
      <x:c r="I3799" s="12" t="n">
        <x:v>197179487.17948717</x:v>
      </x:c>
      <x:c r="J3799" s="2" t="str">
        <x:v>total</x:v>
      </x:c>
      <x:c r="K3799" s="2" t="str">
        <x:v>top_level_area</x:v>
      </x:c>
      <x:c r="L3799" s="2" t="str">
        <x:v>property_type_inferred_from_title;transaction_assumed_sale_from_dataset_context</x:v>
      </x:c>
      <x:c r="M3799" s="10" t="n">
        <x:v>1</x:v>
      </x:c>
      <x:c r="N3799" s="10" t="n">
        <x:v>1</x:v>
      </x:c>
      <x:c r="O3799" s="2" t="str">
        <x:v>Hà Nội|house</x:v>
      </x:c>
      <x:c r="P3799" s="10" t="n">
        <x:v>-1</x:v>
      </x:c>
      <x:c r="Q3799" s="13" t="n">
        <x:f>IF(H3799="","",H3799/1000000000)</x:f>
        <x:v>7.69</x:v>
      </x:c>
      <x:c r="R3799" s="13" t="n">
        <x:f>IF(I3799="","",I3799/1000000)</x:f>
        <x:v>197.17948717948718</x:v>
      </x:c>
    </x:row>
    <x:row r="3800" ht="21" customHeight="1">
      <x:c r="A3800" s="10" t="n">
        <x:v>5178</x:v>
      </x:c>
      <x:c r="B3800" s="2" t="str">
        <x:v>50bcacd4e278154b9235</x:v>
      </x:c>
      <x:c r="C3800" s="2" t="str">
        <x:v>Tp Hồ Chí Minh</x:v>
      </x:c>
      <x:c r="D3800" s="2" t="str">
        <x:v>Huyện Bình Chánh</x:v>
      </x:c>
      <x:c r="E3800" s="2" t="str">
        <x:v>house</x:v>
      </x:c>
      <x:c r="F3800" s="2" t="str">
        <x:v>sale_assumed</x:v>
      </x:c>
      <x:c r="G3800" s="11" t="n">
        <x:v>100</x:v>
      </x:c>
      <x:c r="H3800" s="12" t="n">
        <x:v>7600000000</x:v>
      </x:c>
      <x:c r="I3800" s="12" t="n">
        <x:v>76000000</x:v>
      </x:c>
      <x:c r="J3800" s="2" t="str">
        <x:v>total</x:v>
      </x:c>
      <x:c r="K3800" s="2" t="str">
        <x:v>top_level_area</x:v>
      </x:c>
      <x:c r="L3800" s="2" t="str">
        <x:v>property_type_inferred_from_title;transaction_assumed_sale_from_dataset_context</x:v>
      </x:c>
      <x:c r="M3800" s="10" t="n">
        <x:v>0</x:v>
      </x:c>
      <x:c r="N3800" s="10" t="n">
        <x:v>0</x:v>
      </x:c>
      <x:c r="O3800" s="2" t="str">
        <x:v>Tp Hồ Chí Minh|house</x:v>
      </x:c>
      <x:c r="P3800" s="10" t="n">
        <x:v>2</x:v>
      </x:c>
      <x:c r="Q3800" s="13" t="n">
        <x:f>IF(H3800="","",H3800/1000000000)</x:f>
        <x:v>7.6</x:v>
      </x:c>
      <x:c r="R3800" s="13" t="n">
        <x:f>IF(I3800="","",I3800/1000000)</x:f>
        <x:v>76</x:v>
      </x:c>
    </x:row>
    <x:row r="3801" ht="21" customHeight="1">
      <x:c r="A3801" s="10" t="n">
        <x:v>5179</x:v>
      </x:c>
      <x:c r="B3801" s="2" t="str">
        <x:v>1c9603cf182fda06ae7a</x:v>
      </x:c>
      <x:c r="C3801" s="2" t="str">
        <x:v>Tp Hồ Chí Minh</x:v>
      </x:c>
      <x:c r="D3801" s="2" t="str">
        <x:v>Quận 9</x:v>
      </x:c>
      <x:c r="E3801" s="2" t="str">
        <x:v>land</x:v>
      </x:c>
      <x:c r="F3801" s="2" t="str">
        <x:v>sale</x:v>
      </x:c>
      <x:c r="G3801" s="11" t="n">
        <x:v>104</x:v>
      </x:c>
      <x:c r="H3801" s="12" t="n">
        <x:v>3600000000</x:v>
      </x:c>
      <x:c r="I3801" s="12" t="n">
        <x:v>34615384.615384616</x:v>
      </x:c>
      <x:c r="J3801" s="2" t="str">
        <x:v>total</x:v>
      </x:c>
      <x:c r="K3801" s="2" t="str">
        <x:v>top_level_area</x:v>
      </x:c>
      <x:c r="L3801" s="2" t="str">
        <x:v>property_type_inferred_from_title</x:v>
      </x:c>
      <x:c r="M3801" s="10" t="n">
        <x:v>0</x:v>
      </x:c>
      <x:c r="N3801" s="10" t="n">
        <x:v>0</x:v>
      </x:c>
      <x:c r="O3801" s="2" t="str">
        <x:v>Tp Hồ Chí Minh|land</x:v>
      </x:c>
      <x:c r="P3801" s="10" t="n">
        <x:v>2</x:v>
      </x:c>
      <x:c r="Q3801" s="13" t="n">
        <x:f>IF(H3801="","",H3801/1000000000)</x:f>
        <x:v>3.6</x:v>
      </x:c>
      <x:c r="R3801" s="13" t="n">
        <x:f>IF(I3801="","",I3801/1000000)</x:f>
        <x:v>34.61538461538461</x:v>
      </x:c>
    </x:row>
    <x:row r="3802" ht="21" customHeight="1">
      <x:c r="A3802" s="10" t="n">
        <x:v>5180</x:v>
      </x:c>
      <x:c r="B3802" s="2" t="str">
        <x:v>a787cc999f349c61eb9e</x:v>
      </x:c>
      <x:c r="C3802" s="2" t="str">
        <x:v>Tp Hồ Chí Minh</x:v>
      </x:c>
      <x:c r="D3802" s="2" t="str">
        <x:v>Huyện Bình Chánh</x:v>
      </x:c>
      <x:c r="E3802" s="2" t="str">
        <x:v>house</x:v>
      </x:c>
      <x:c r="F3802" s="2" t="str">
        <x:v>sale_assumed</x:v>
      </x:c>
      <x:c r="G3802" s="11" t="n">
        <x:v>48</x:v>
      </x:c>
      <x:c r="H3802" s="12" t="n">
        <x:v>780000000</x:v>
      </x:c>
      <x:c r="I3802" s="12" t="n">
        <x:v>16250000</x:v>
      </x:c>
      <x:c r="J3802" s="2" t="str">
        <x:v>total</x:v>
      </x:c>
      <x:c r="K3802" s="2" t="str">
        <x:v>top_level_area</x:v>
      </x:c>
      <x:c r="L3802" s="2" t="str">
        <x:v>property_type_inferred_from_title;transaction_assumed_sale_from_dataset_context</x:v>
      </x:c>
      <x:c r="M3802" s="10" t="n">
        <x:v>0</x:v>
      </x:c>
      <x:c r="N3802" s="10" t="n">
        <x:v>0</x:v>
      </x:c>
      <x:c r="O3802" s="2" t="str">
        <x:v>Tp Hồ Chí Minh|house</x:v>
      </x:c>
      <x:c r="P3802" s="10" t="n">
        <x:v>2</x:v>
      </x:c>
      <x:c r="Q3802" s="13" t="n">
        <x:f>IF(H3802="","",H3802/1000000000)</x:f>
        <x:v>0.78</x:v>
      </x:c>
      <x:c r="R3802" s="13" t="n">
        <x:f>IF(I3802="","",I3802/1000000)</x:f>
        <x:v>16.25</x:v>
      </x:c>
    </x:row>
    <x:row r="3803" ht="21" customHeight="1">
      <x:c r="A3803" s="10" t="n">
        <x:v>5181</x:v>
      </x:c>
      <x:c r="B3803" s="2" t="str">
        <x:v>3f36616ed98e1c2426b0</x:v>
      </x:c>
      <x:c r="C3803" s="2" t="str">
        <x:v>Đà Nẵng</x:v>
      </x:c>
      <x:c r="D3803" s="2" t="str">
        <x:v>Quận Thanh Khê</x:v>
      </x:c>
      <x:c r="E3803" s="2" t="str">
        <x:v>house</x:v>
      </x:c>
      <x:c r="F3803" s="2" t="str">
        <x:v>sale</x:v>
      </x:c>
      <x:c r="G3803" s="11" t="n">
        <x:v>70</x:v>
      </x:c>
      <x:c r="H3803" s="12" t="n">
        <x:v>5000000000</x:v>
      </x:c>
      <x:c r="I3803" s="12" t="n">
        <x:v>71428571.42857143</x:v>
      </x:c>
      <x:c r="J3803" s="2" t="str">
        <x:v>total</x:v>
      </x:c>
      <x:c r="K3803" s="2" t="str">
        <x:v>top_level_area</x:v>
      </x:c>
      <x:c r="L3803" s="2" t="str">
        <x:v>property_type_inferred_from_title</x:v>
      </x:c>
      <x:c r="M3803" s="10" t="n">
        <x:v>0</x:v>
      </x:c>
      <x:c r="N3803" s="10" t="n">
        <x:v>0</x:v>
      </x:c>
      <x:c r="O3803" s="2" t="str">
        <x:v>Đà Nẵng|house</x:v>
      </x:c>
      <x:c r="P3803" s="10" t="n">
        <x:v>2</x:v>
      </x:c>
      <x:c r="Q3803" s="13" t="n">
        <x:f>IF(H3803="","",H3803/1000000000)</x:f>
        <x:v>5</x:v>
      </x:c>
      <x:c r="R3803" s="13" t="n">
        <x:f>IF(I3803="","",I3803/1000000)</x:f>
        <x:v>71.42857142857143</x:v>
      </x:c>
    </x:row>
    <x:row r="3804" ht="21" customHeight="1">
      <x:c r="A3804" s="10" t="n">
        <x:v>5182</x:v>
      </x:c>
      <x:c r="B3804" s="2" t="str">
        <x:v>825e172beac3eff47f06</x:v>
      </x:c>
      <x:c r="C3804" s="2" t="str">
        <x:v>Tp Hồ Chí Minh</x:v>
      </x:c>
      <x:c r="D3804" s="2" t="str">
        <x:v>Quận Phú Nhuận</x:v>
      </x:c>
      <x:c r="E3804" s="2" t="str">
        <x:v>house</x:v>
      </x:c>
      <x:c r="F3804" s="2" t="str">
        <x:v>sale</x:v>
      </x:c>
      <x:c r="G3804" s="11" t="n">
        <x:v>52</x:v>
      </x:c>
      <x:c r="H3804" s="12" t="n">
        <x:v>860000000</x:v>
      </x:c>
      <x:c r="I3804" s="12" t="n">
        <x:v>16538461.538461538</x:v>
      </x:c>
      <x:c r="J3804" s="2" t="str">
        <x:v>total</x:v>
      </x:c>
      <x:c r="K3804" s="2" t="str">
        <x:v>top_level_area</x:v>
      </x:c>
      <x:c r="L3804" s="2" t="str">
        <x:v>property_type_inferred_from_title</x:v>
      </x:c>
      <x:c r="M3804" s="10" t="n">
        <x:v>0</x:v>
      </x:c>
      <x:c r="N3804" s="10" t="n">
        <x:v>0</x:v>
      </x:c>
      <x:c r="O3804" s="2" t="str">
        <x:v>Tp Hồ Chí Minh|house</x:v>
      </x:c>
      <x:c r="P3804" s="10" t="n">
        <x:v>2</x:v>
      </x:c>
      <x:c r="Q3804" s="13" t="n">
        <x:f>IF(H3804="","",H3804/1000000000)</x:f>
        <x:v>0.86</x:v>
      </x:c>
      <x:c r="R3804" s="13" t="n">
        <x:f>IF(I3804="","",I3804/1000000)</x:f>
        <x:v>16.538461538461537</x:v>
      </x:c>
    </x:row>
    <x:row r="3805" ht="21" customHeight="1">
      <x:c r="A3805" s="10" t="n">
        <x:v>5183</x:v>
      </x:c>
      <x:c r="B3805" s="2" t="str">
        <x:v>152a78b05fa6f86d6fce</x:v>
      </x:c>
      <x:c r="C3805" s="2" t="str">
        <x:v>Hà Nội</x:v>
      </x:c>
      <x:c r="D3805" s="2" t="str">
        <x:v>Quận Hai Bà Trưng</x:v>
      </x:c>
      <x:c r="E3805" s="2" t="str">
        <x:v>house</x:v>
      </x:c>
      <x:c r="F3805" s="2" t="str">
        <x:v>sale</x:v>
      </x:c>
      <x:c r="G3805" s="11" t="n">
        <x:v>23</x:v>
      </x:c>
      <x:c r="H3805" s="12" t="n">
        <x:v>2080000000</x:v>
      </x:c>
      <x:c r="I3805" s="12" t="n">
        <x:v>90434782.60869566</x:v>
      </x:c>
      <x:c r="J3805" s="2" t="str">
        <x:v>total</x:v>
      </x:c>
      <x:c r="K3805" s="2" t="str">
        <x:v>top_level_area</x:v>
      </x:c>
      <x:c r="L3805" s="2" t="str">
        <x:v>property_type_inferred_from_title</x:v>
      </x:c>
      <x:c r="M3805" s="10" t="n">
        <x:v>0</x:v>
      </x:c>
      <x:c r="N3805" s="10" t="n">
        <x:v>0</x:v>
      </x:c>
      <x:c r="O3805" s="2" t="str">
        <x:v>Hà Nội|house</x:v>
      </x:c>
      <x:c r="P3805" s="10" t="n">
        <x:v>2</x:v>
      </x:c>
      <x:c r="Q3805" s="13" t="n">
        <x:f>IF(H3805="","",H3805/1000000000)</x:f>
        <x:v>2.08</x:v>
      </x:c>
      <x:c r="R3805" s="13" t="n">
        <x:f>IF(I3805="","",I3805/1000000)</x:f>
        <x:v>90.43478260869566</x:v>
      </x:c>
    </x:row>
    <x:row r="3806" ht="21" customHeight="1">
      <x:c r="A3806" s="10" t="n">
        <x:v>5184</x:v>
      </x:c>
      <x:c r="B3806" s="2" t="str">
        <x:v>e9f7a8f091d27d137422</x:v>
      </x:c>
      <x:c r="C3806" s="2" t="str">
        <x:v>Bình Dương</x:v>
      </x:c>
      <x:c r="D3806" s="2" t="str">
        <x:v>Thị xã Thuận An</x:v>
      </x:c>
      <x:c r="E3806" s="2" t="str">
        <x:v>land</x:v>
      </x:c>
      <x:c r="F3806" s="2" t="str">
        <x:v>sale_assumed</x:v>
      </x:c>
      <x:c r="G3806" s="11" t="n">
        <x:v>85</x:v>
      </x:c>
      <x:c r="H3806" s="12" t="n">
        <x:v>850000000</x:v>
      </x:c>
      <x:c r="I3806" s="12" t="n">
        <x:v>10000000</x:v>
      </x:c>
      <x:c r="J3806" s="2" t="str">
        <x:v>total</x:v>
      </x:c>
      <x:c r="K3806" s="2" t="str">
        <x:v>top_level_area</x:v>
      </x:c>
      <x:c r="L3806" s="2" t="str">
        <x:v>property_type_inferred_from_title;transaction_assumed_sale_from_dataset_context</x:v>
      </x:c>
      <x:c r="M3806" s="10" t="n">
        <x:v>0</x:v>
      </x:c>
      <x:c r="N3806" s="10" t="n">
        <x:v>0</x:v>
      </x:c>
      <x:c r="O3806" s="2" t="str">
        <x:v>Bình Dương|land</x:v>
      </x:c>
      <x:c r="P3806" s="10" t="n">
        <x:v>2</x:v>
      </x:c>
      <x:c r="Q3806" s="13" t="n">
        <x:f>IF(H3806="","",H3806/1000000000)</x:f>
        <x:v>0.85</x:v>
      </x:c>
      <x:c r="R3806" s="13" t="n">
        <x:f>IF(I3806="","",I3806/1000000)</x:f>
        <x:v>10</x:v>
      </x:c>
    </x:row>
    <x:row r="3807" ht="21" customHeight="1">
      <x:c r="A3807" s="10" t="n">
        <x:v>5185</x:v>
      </x:c>
      <x:c r="B3807" s="2" t="str">
        <x:v>9b7bfd00148ced5244cc</x:v>
      </x:c>
      <x:c r="C3807" s="2" t="str">
        <x:v>Bình Dương</x:v>
      </x:c>
      <x:c r="D3807" s="2" t="str">
        <x:v>Thị xã Dĩ An</x:v>
      </x:c>
      <x:c r="E3807" s="2" t="str">
        <x:v>land</x:v>
      </x:c>
      <x:c r="F3807" s="2" t="str">
        <x:v>sale_assumed</x:v>
      </x:c>
      <x:c r="G3807" s="11" t="n">
        <x:v>64</x:v>
      </x:c>
      <x:c r="H3807" s="12" t="n">
        <x:v>1950000000</x:v>
      </x:c>
      <x:c r="I3807" s="12" t="n">
        <x:v>30468750</x:v>
      </x:c>
      <x:c r="J3807" s="2" t="str">
        <x:v>total</x:v>
      </x:c>
      <x:c r="K3807" s="2" t="str">
        <x:v>top_level_area</x:v>
      </x:c>
      <x:c r="L3807" s="2" t="str">
        <x:v>property_type_inferred_from_title;transaction_assumed_sale_from_dataset_context</x:v>
      </x:c>
      <x:c r="M3807" s="10" t="n">
        <x:v>0</x:v>
      </x:c>
      <x:c r="N3807" s="10" t="n">
        <x:v>1</x:v>
      </x:c>
      <x:c r="O3807" s="2" t="str">
        <x:v>Bình Dương|land</x:v>
      </x:c>
      <x:c r="P3807" s="10" t="n">
        <x:v>-1</x:v>
      </x:c>
      <x:c r="Q3807" s="13" t="n">
        <x:f>IF(H3807="","",H3807/1000000000)</x:f>
        <x:v>1.95</x:v>
      </x:c>
      <x:c r="R3807" s="13" t="n">
        <x:f>IF(I3807="","",I3807/1000000)</x:f>
        <x:v>30.46875</x:v>
      </x:c>
    </x:row>
    <x:row r="3808" ht="21" customHeight="1">
      <x:c r="A3808" s="10" t="n">
        <x:v>5186</x:v>
      </x:c>
      <x:c r="B3808" s="2" t="str">
        <x:v>0c5e8188c1a839f2ba93</x:v>
      </x:c>
      <x:c r="C3808" s="2" t="str">
        <x:v>Đà Nẵng</x:v>
      </x:c>
      <x:c r="D3808" s="2" t="str">
        <x:v>Quận Liên Chiểu</x:v>
      </x:c>
      <x:c r="E3808" s="2" t="str">
        <x:v>land</x:v>
      </x:c>
      <x:c r="F3808" s="2" t="str">
        <x:v>sale_assumed</x:v>
      </x:c>
      <x:c r="G3808" s="11" t="n">
        <x:v>100</x:v>
      </x:c>
      <x:c r="H3808" s="12" t="n">
        <x:v>1670000000</x:v>
      </x:c>
      <x:c r="I3808" s="12" t="n">
        <x:v>16700000</x:v>
      </x:c>
      <x:c r="J3808" s="2" t="str">
        <x:v>total</x:v>
      </x:c>
      <x:c r="K3808" s="2" t="str">
        <x:v>top_level_area</x:v>
      </x:c>
      <x:c r="L3808" s="2" t="str">
        <x:v>property_type_inferred_from_title;transaction_assumed_sale_from_dataset_context</x:v>
      </x:c>
      <x:c r="M3808" s="10" t="n">
        <x:v>0</x:v>
      </x:c>
      <x:c r="N3808" s="10" t="n">
        <x:v>0</x:v>
      </x:c>
      <x:c r="O3808" s="2" t="str">
        <x:v>Đà Nẵng|land</x:v>
      </x:c>
      <x:c r="P3808" s="10" t="n">
        <x:v>2</x:v>
      </x:c>
      <x:c r="Q3808" s="13" t="n">
        <x:f>IF(H3808="","",H3808/1000000000)</x:f>
        <x:v>1.67</x:v>
      </x:c>
      <x:c r="R3808" s="13" t="n">
        <x:f>IF(I3808="","",I3808/1000000)</x:f>
        <x:v>16.7</x:v>
      </x:c>
    </x:row>
    <x:row r="3809" ht="21" customHeight="1">
      <x:c r="A3809" s="10" t="n">
        <x:v>5187</x:v>
      </x:c>
      <x:c r="B3809" s="2" t="str">
        <x:v>bc4046340fa07c9423f1</x:v>
      </x:c>
      <x:c r="C3809" s="2" t="str">
        <x:v>Long An</x:v>
      </x:c>
      <x:c r="D3809" s="2" t="str">
        <x:v>Huyện Đức Hòa</x:v>
      </x:c>
      <x:c r="E3809" s="2" t="str">
        <x:v>house</x:v>
      </x:c>
      <x:c r="F3809" s="2" t="str">
        <x:v>sale</x:v>
      </x:c>
      <x:c r="G3809" s="11" t="n">
        <x:v>24</x:v>
      </x:c>
      <x:c r="H3809" s="12" t="n">
        <x:v>200000000</x:v>
      </x:c>
      <x:c r="I3809" s="12" t="n">
        <x:v>8333333.333333333</x:v>
      </x:c>
      <x:c r="J3809" s="2" t="str">
        <x:v>total</x:v>
      </x:c>
      <x:c r="K3809" s="2" t="str">
        <x:v>top_level_area</x:v>
      </x:c>
      <x:c r="L3809" s="2" t="str">
        <x:v>property_type_inferred_from_title</x:v>
      </x:c>
      <x:c r="M3809" s="10" t="n">
        <x:v>0</x:v>
      </x:c>
      <x:c r="N3809" s="10" t="n">
        <x:v>0</x:v>
      </x:c>
      <x:c r="O3809" s="2" t="str">
        <x:v>Long An|house</x:v>
      </x:c>
      <x:c r="P3809" s="10" t="n">
        <x:v>2</x:v>
      </x:c>
      <x:c r="Q3809" s="13" t="n">
        <x:f>IF(H3809="","",H3809/1000000000)</x:f>
        <x:v>0.2</x:v>
      </x:c>
      <x:c r="R3809" s="13" t="n">
        <x:f>IF(I3809="","",I3809/1000000)</x:f>
        <x:v>8.333333333333332</x:v>
      </x:c>
    </x:row>
    <x:row r="3810" ht="21" customHeight="1">
      <x:c r="A3810" s="10" t="n">
        <x:v>5188</x:v>
      </x:c>
      <x:c r="B3810" s="2" t="str">
        <x:v>9a99e84a3b18d6c8fb7d</x:v>
      </x:c>
      <x:c r="C3810" s="2" t="str">
        <x:v>Tp Hồ Chí Minh</x:v>
      </x:c>
      <x:c r="D3810" s="2" t="str">
        <x:v>Quận 5</x:v>
      </x:c>
      <x:c r="E3810" s="2" t="str">
        <x:v>house</x:v>
      </x:c>
      <x:c r="F3810" s="2" t="str">
        <x:v>sale</x:v>
      </x:c>
      <x:c r="G3810" s="11" t="n">
        <x:v>68</x:v>
      </x:c>
      <x:c r="H3810" s="12" t="n">
        <x:v>9700000000</x:v>
      </x:c>
      <x:c r="I3810" s="12" t="n">
        <x:v>142647058.82352942</x:v>
      </x:c>
      <x:c r="J3810" s="2" t="str">
        <x:v>total</x:v>
      </x:c>
      <x:c r="K3810" s="2" t="str">
        <x:v>top_level_area</x:v>
      </x:c>
      <x:c r="L3810" s="2" t="str">
        <x:v>property_type_inferred_from_title</x:v>
      </x:c>
      <x:c r="M3810" s="10" t="n">
        <x:v>0</x:v>
      </x:c>
      <x:c r="N3810" s="10" t="n">
        <x:v>0</x:v>
      </x:c>
      <x:c r="O3810" s="2" t="str">
        <x:v>Tp Hồ Chí Minh|house</x:v>
      </x:c>
      <x:c r="P3810" s="10" t="n">
        <x:v>2</x:v>
      </x:c>
      <x:c r="Q3810" s="13" t="n">
        <x:f>IF(H3810="","",H3810/1000000000)</x:f>
        <x:v>9.7</x:v>
      </x:c>
      <x:c r="R3810" s="13" t="n">
        <x:f>IF(I3810="","",I3810/1000000)</x:f>
        <x:v>142.64705882352942</x:v>
      </x:c>
    </x:row>
    <x:row r="3811" ht="21" customHeight="1">
      <x:c r="A3811" s="10" t="n">
        <x:v>5189</x:v>
      </x:c>
      <x:c r="B3811" s="2" t="str">
        <x:v>612841e22765c0c6537d</x:v>
      </x:c>
      <x:c r="C3811" s="2" t="str">
        <x:v>Tp Hồ Chí Minh</x:v>
      </x:c>
      <x:c r="D3811" s="2" t="str">
        <x:v>Quận Gò Vấp</x:v>
      </x:c>
      <x:c r="E3811" s="2" t="str">
        <x:v>house</x:v>
      </x:c>
      <x:c r="F3811" s="2" t="str">
        <x:v>sale</x:v>
      </x:c>
      <x:c r="G3811" s="11" t="n">
        <x:v>35</x:v>
      </x:c>
      <x:c r="H3811" s="12" t="n">
        <x:v>830000000</x:v>
      </x:c>
      <x:c r="I3811" s="12" t="n">
        <x:v>23714285.714285713</x:v>
      </x:c>
      <x:c r="J3811" s="2" t="str">
        <x:v>total</x:v>
      </x:c>
      <x:c r="K3811" s="2" t="str">
        <x:v>top_level_area</x:v>
      </x:c>
      <x:c r="L3811" s="2" t="str">
        <x:v>property_type_inferred_from_title</x:v>
      </x:c>
      <x:c r="M3811" s="10" t="n">
        <x:v>0</x:v>
      </x:c>
      <x:c r="N3811" s="10" t="n">
        <x:v>0</x:v>
      </x:c>
      <x:c r="O3811" s="2" t="str">
        <x:v>Tp Hồ Chí Minh|house</x:v>
      </x:c>
      <x:c r="P3811" s="10" t="n">
        <x:v>2</x:v>
      </x:c>
      <x:c r="Q3811" s="13" t="n">
        <x:f>IF(H3811="","",H3811/1000000000)</x:f>
        <x:v>0.83</x:v>
      </x:c>
      <x:c r="R3811" s="13" t="n">
        <x:f>IF(I3811="","",I3811/1000000)</x:f>
        <x:v>23.71428571428571</x:v>
      </x:c>
    </x:row>
    <x:row r="3812" ht="21" customHeight="1">
      <x:c r="A3812" s="10" t="n">
        <x:v>5190</x:v>
      </x:c>
      <x:c r="B3812" s="2" t="str">
        <x:v>dee58688338c84e94981</x:v>
      </x:c>
      <x:c r="C3812" s="2" t="str">
        <x:v>Tp Hồ Chí Minh</x:v>
      </x:c>
      <x:c r="D3812" s="2" t="str">
        <x:v>Huyện Bình Chánh</x:v>
      </x:c>
      <x:c r="E3812" s="2" t="str">
        <x:v>house</x:v>
      </x:c>
      <x:c r="F3812" s="2" t="str">
        <x:v>sale</x:v>
      </x:c>
      <x:c r="G3812" s="11" t="n">
        <x:v>81</x:v>
      </x:c>
      <x:c r="H3812" s="12" t="n">
        <x:v>600000000</x:v>
      </x:c>
      <x:c r="I3812" s="12" t="n">
        <x:v>7407407.407407408</x:v>
      </x:c>
      <x:c r="J3812" s="2" t="str">
        <x:v>total</x:v>
      </x:c>
      <x:c r="K3812" s="2" t="str">
        <x:v>top_level_price_embedded_area</x:v>
      </x:c>
      <x:c r="L3812" s="2" t="str">
        <x:v>area_recovered_from_price_text;property_type_inferred_from_title</x:v>
      </x:c>
      <x:c r="M3812" s="10" t="n">
        <x:v>0</x:v>
      </x:c>
      <x:c r="N3812" s="10" t="n">
        <x:v>0</x:v>
      </x:c>
      <x:c r="O3812" s="2" t="str">
        <x:v>Tp Hồ Chí Minh|house</x:v>
      </x:c>
      <x:c r="P3812" s="10" t="n">
        <x:v>2</x:v>
      </x:c>
      <x:c r="Q3812" s="13" t="n">
        <x:f>IF(H3812="","",H3812/1000000000)</x:f>
        <x:v>0.6</x:v>
      </x:c>
      <x:c r="R3812" s="13" t="n">
        <x:f>IF(I3812="","",I3812/1000000)</x:f>
        <x:v>7.407407407407407</x:v>
      </x:c>
    </x:row>
    <x:row r="3813" ht="21" customHeight="1">
      <x:c r="A3813" s="10" t="n">
        <x:v>5191</x:v>
      </x:c>
      <x:c r="B3813" s="2" t="str">
        <x:v>f1af3a4cd3d24986f5ce</x:v>
      </x:c>
      <x:c r="C3813" s="2" t="str">
        <x:v>Đà Nẵng</x:v>
      </x:c>
      <x:c r="D3813" s="2" t="str">
        <x:v>Quận Cẩm Lệ</x:v>
      </x:c>
      <x:c r="E3813" s="2" t="str">
        <x:v>other_unknown</x:v>
      </x:c>
      <x:c r="F3813" s="2" t="str">
        <x:v>sale</x:v>
      </x:c>
      <x:c r="G3813" s="11" t="n">
        <x:v>100</x:v>
      </x:c>
      <x:c r="H3813" s="12" t="n">
        <x:v>2900000000</x:v>
      </x:c>
      <x:c r="I3813" s="12" t="n">
        <x:v>29000000</x:v>
      </x:c>
      <x:c r="J3813" s="2" t="str">
        <x:v>total</x:v>
      </x:c>
      <x:c r="K3813" s="2" t="str">
        <x:v>top_level_area</x:v>
      </x:c>
      <x:c r="L3813" s="2" t="str">
        <x:v>property_type_inferred_from_title;unknown_property_type</x:v>
      </x:c>
      <x:c r="M3813" s="10" t="n">
        <x:v>0</x:v>
      </x:c>
      <x:c r="N3813" s="10" t="n">
        <x:v>0</x:v>
      </x:c>
      <x:c r="O3813" s="2" t="str">
        <x:v>Đà Nẵng|other_unknown</x:v>
      </x:c>
      <x:c r="P3813" s="10" t="n">
        <x:v>2</x:v>
      </x:c>
      <x:c r="Q3813" s="13" t="n">
        <x:f>IF(H3813="","",H3813/1000000000)</x:f>
        <x:v>2.9</x:v>
      </x:c>
      <x:c r="R3813" s="13" t="n">
        <x:f>IF(I3813="","",I3813/1000000)</x:f>
        <x:v>29</x:v>
      </x:c>
    </x:row>
    <x:row r="3814" ht="21" customHeight="1">
      <x:c r="A3814" s="10" t="n">
        <x:v>5192</x:v>
      </x:c>
      <x:c r="B3814" s="2" t="str">
        <x:v>8d5ed11e2aa006674031</x:v>
      </x:c>
      <x:c r="C3814" s="2" t="str">
        <x:v>Hà Nội</x:v>
      </x:c>
      <x:c r="D3814" s="2" t="str">
        <x:v>Quận Ba Đình</x:v>
      </x:c>
      <x:c r="E3814" s="2" t="str">
        <x:v>apartment</x:v>
      </x:c>
      <x:c r="F3814" s="2" t="str">
        <x:v>sale_assumed</x:v>
      </x:c>
      <x:c r="G3814" s="11" t="n">
        <x:v>50</x:v>
      </x:c>
      <x:c r="H3814" s="12" t="n">
        <x:v>780000000</x:v>
      </x:c>
      <x:c r="I3814" s="12" t="n">
        <x:v>15600000</x:v>
      </x:c>
      <x:c r="J3814" s="2" t="str">
        <x:v>total</x:v>
      </x:c>
      <x:c r="K3814" s="2" t="str">
        <x:v>top_level_area</x:v>
      </x:c>
      <x:c r="L3814" s="2" t="str">
        <x:v>property_type_inferred_from_title;transaction_assumed_sale_from_dataset_context</x:v>
      </x:c>
      <x:c r="M3814" s="10" t="n">
        <x:v>0</x:v>
      </x:c>
      <x:c r="N3814" s="10" t="n">
        <x:v>0</x:v>
      </x:c>
      <x:c r="O3814" s="2" t="str">
        <x:v>Hà Nội|apartment</x:v>
      </x:c>
      <x:c r="P3814" s="10" t="n">
        <x:v>2</x:v>
      </x:c>
      <x:c r="Q3814" s="13" t="n">
        <x:f>IF(H3814="","",H3814/1000000000)</x:f>
        <x:v>0.78</x:v>
      </x:c>
      <x:c r="R3814" s="13" t="n">
        <x:f>IF(I3814="","",I3814/1000000)</x:f>
        <x:v>15.6</x:v>
      </x:c>
    </x:row>
    <x:row r="3815" ht="21" customHeight="1">
      <x:c r="A3815" s="10" t="n">
        <x:v>5194</x:v>
      </x:c>
      <x:c r="B3815" s="2" t="str">
        <x:v>3507dc26cbcf58a53b70</x:v>
      </x:c>
      <x:c r="C3815" s="2" t="str">
        <x:v>Bình Dương</x:v>
      </x:c>
      <x:c r="D3815" s="2" t="str">
        <x:v>Thành phố Thủ Dầu Một</x:v>
      </x:c>
      <x:c r="E3815" s="2" t="str">
        <x:v>house</x:v>
      </x:c>
      <x:c r="F3815" s="2" t="str">
        <x:v>sale_assumed</x:v>
      </x:c>
      <x:c r="G3815" s="11" t="n">
        <x:v>174</x:v>
      </x:c>
      <x:c r="H3815" s="12" t="n">
        <x:v>2500000000</x:v>
      </x:c>
      <x:c r="I3815" s="12" t="n">
        <x:v>14367816.091954023</x:v>
      </x:c>
      <x:c r="J3815" s="2" t="str">
        <x:v>total</x:v>
      </x:c>
      <x:c r="K3815" s="2" t="str">
        <x:v>top_level_area</x:v>
      </x:c>
      <x:c r="L3815" s="2" t="str">
        <x:v>property_type_inferred_from_title;transaction_assumed_sale_from_dataset_context</x:v>
      </x:c>
      <x:c r="M3815" s="10" t="n">
        <x:v>0</x:v>
      </x:c>
      <x:c r="N3815" s="10" t="n">
        <x:v>0</x:v>
      </x:c>
      <x:c r="O3815" s="2" t="str">
        <x:v>Bình Dương|house</x:v>
      </x:c>
      <x:c r="P3815" s="10" t="n">
        <x:v>2</x:v>
      </x:c>
      <x:c r="Q3815" s="13" t="n">
        <x:f>IF(H3815="","",H3815/1000000000)</x:f>
        <x:v>2.5</x:v>
      </x:c>
      <x:c r="R3815" s="13" t="n">
        <x:f>IF(I3815="","",I3815/1000000)</x:f>
        <x:v>14.367816091954023</x:v>
      </x:c>
    </x:row>
    <x:row r="3816" ht="21" customHeight="1">
      <x:c r="A3816" s="10" t="n">
        <x:v>5195</x:v>
      </x:c>
      <x:c r="B3816" s="2" t="str">
        <x:v>379a8af30f52ddfc6310</x:v>
      </x:c>
      <x:c r="C3816" s="2" t="str">
        <x:v>Hà Nội</x:v>
      </x:c>
      <x:c r="D3816" s="2" t="str">
        <x:v>Quận Tây Hồ</x:v>
      </x:c>
      <x:c r="E3816" s="2" t="str">
        <x:v>house</x:v>
      </x:c>
      <x:c r="F3816" s="2" t="str">
        <x:v>sale</x:v>
      </x:c>
      <x:c r="G3816" s="11" t="n">
        <x:v>30</x:v>
      </x:c>
      <x:c r="H3816" s="12" t="n">
        <x:v>3000000000</x:v>
      </x:c>
      <x:c r="I3816" s="12" t="n">
        <x:v>100000000</x:v>
      </x:c>
      <x:c r="J3816" s="2" t="str">
        <x:v>total</x:v>
      </x:c>
      <x:c r="K3816" s="2" t="str">
        <x:v>top_level_area</x:v>
      </x:c>
      <x:c r="L3816" s="2" t="str">
        <x:v>property_type_inferred_from_title</x:v>
      </x:c>
      <x:c r="M3816" s="10" t="n">
        <x:v>0</x:v>
      </x:c>
      <x:c r="N3816" s="10" t="n">
        <x:v>0</x:v>
      </x:c>
      <x:c r="O3816" s="2" t="str">
        <x:v>Hà Nội|house</x:v>
      </x:c>
      <x:c r="P3816" s="10" t="n">
        <x:v>2</x:v>
      </x:c>
      <x:c r="Q3816" s="13" t="n">
        <x:f>IF(H3816="","",H3816/1000000000)</x:f>
        <x:v>3</x:v>
      </x:c>
      <x:c r="R3816" s="13" t="n">
        <x:f>IF(I3816="","",I3816/1000000)</x:f>
        <x:v>100</x:v>
      </x:c>
    </x:row>
    <x:row r="3817" ht="21" customHeight="1">
      <x:c r="A3817" s="10" t="n">
        <x:v>5196</x:v>
      </x:c>
      <x:c r="B3817" s="2" t="str">
        <x:v>8cb5a1ee6b04ac3abfce</x:v>
      </x:c>
      <x:c r="C3817" s="2" t="str">
        <x:v>Bình Dương</x:v>
      </x:c>
      <x:c r="D3817" s="2" t="str">
        <x:v>Thị xã Dĩ An</x:v>
      </x:c>
      <x:c r="E3817" s="2" t="str">
        <x:v>land</x:v>
      </x:c>
      <x:c r="F3817" s="2" t="str">
        <x:v>sale_assumed</x:v>
      </x:c>
      <x:c r="G3817" s="11" t="n">
        <x:v>208</x:v>
      </x:c>
      <x:c r="H3817" s="12" t="n">
        <x:v>3700000000</x:v>
      </x:c>
      <x:c r="I3817" s="12" t="n">
        <x:v>17788461.53846154</x:v>
      </x:c>
      <x:c r="J3817" s="2" t="str">
        <x:v>total</x:v>
      </x:c>
      <x:c r="K3817" s="2" t="str">
        <x:v>top_level_area</x:v>
      </x:c>
      <x:c r="L3817" s="2" t="str">
        <x:v>property_type_inferred_from_title;transaction_assumed_sale_from_dataset_context</x:v>
      </x:c>
      <x:c r="M3817" s="10" t="n">
        <x:v>0</x:v>
      </x:c>
      <x:c r="N3817" s="10" t="n">
        <x:v>0</x:v>
      </x:c>
      <x:c r="O3817" s="2" t="str">
        <x:v>Bình Dương|land</x:v>
      </x:c>
      <x:c r="P3817" s="10" t="n">
        <x:v>2</x:v>
      </x:c>
      <x:c r="Q3817" s="13" t="n">
        <x:f>IF(H3817="","",H3817/1000000000)</x:f>
        <x:v>3.7</x:v>
      </x:c>
      <x:c r="R3817" s="13" t="n">
        <x:f>IF(I3817="","",I3817/1000000)</x:f>
        <x:v>17.78846153846154</x:v>
      </x:c>
    </x:row>
    <x:row r="3818" ht="21" customHeight="1">
      <x:c r="A3818" s="10" t="n">
        <x:v>5197</x:v>
      </x:c>
      <x:c r="B3818" s="2" t="str">
        <x:v>f15d2f3cac989a58e45e</x:v>
      </x:c>
      <x:c r="C3818" s="2" t="str">
        <x:v>Hà Nội</x:v>
      </x:c>
      <x:c r="D3818" s="2" t="str">
        <x:v>Quận Nam Từ Liêm</x:v>
      </x:c>
      <x:c r="E3818" s="2" t="str">
        <x:v>house</x:v>
      </x:c>
      <x:c r="F3818" s="2" t="str">
        <x:v>sale_assumed</x:v>
      </x:c>
      <x:c r="G3818" s="11" t="n">
        <x:v>39</x:v>
      </x:c>
      <x:c r="H3818" s="12" t="n">
        <x:v>3850000000</x:v>
      </x:c>
      <x:c r="I3818" s="12" t="n">
        <x:v>98717948.71794872</x:v>
      </x:c>
      <x:c r="J3818" s="2" t="str">
        <x:v>total</x:v>
      </x:c>
      <x:c r="K3818" s="2" t="str">
        <x:v>top_level_area</x:v>
      </x:c>
      <x:c r="L3818" s="2" t="str">
        <x:v>property_type_inferred_from_title;transaction_assumed_sale_from_dataset_context</x:v>
      </x:c>
      <x:c r="M3818" s="10" t="n">
        <x:v>0</x:v>
      </x:c>
      <x:c r="N3818" s="10" t="n">
        <x:v>0</x:v>
      </x:c>
      <x:c r="O3818" s="2" t="str">
        <x:v>Hà Nội|house</x:v>
      </x:c>
      <x:c r="P3818" s="10" t="n">
        <x:v>2</x:v>
      </x:c>
      <x:c r="Q3818" s="13" t="n">
        <x:f>IF(H3818="","",H3818/1000000000)</x:f>
        <x:v>3.85</x:v>
      </x:c>
      <x:c r="R3818" s="13" t="n">
        <x:f>IF(I3818="","",I3818/1000000)</x:f>
        <x:v>98.71794871794872</x:v>
      </x:c>
    </x:row>
    <x:row r="3819" ht="21" customHeight="1">
      <x:c r="A3819" s="10" t="n">
        <x:v>5198</x:v>
      </x:c>
      <x:c r="B3819" s="2" t="str">
        <x:v>9873294339e39409324f</x:v>
      </x:c>
      <x:c r="C3819" s="2" t="str">
        <x:v>Tp Hồ Chí Minh</x:v>
      </x:c>
      <x:c r="D3819" s="2" t="str">
        <x:v>Quận Thủ Đức</x:v>
      </x:c>
      <x:c r="E3819" s="2" t="str">
        <x:v>house</x:v>
      </x:c>
      <x:c r="F3819" s="2" t="str">
        <x:v>sale_assumed</x:v>
      </x:c>
      <x:c r="G3819" s="11" t="n">
        <x:v>52</x:v>
      </x:c>
      <x:c r="H3819" s="12" t="n">
        <x:v>5300000000</x:v>
      </x:c>
      <x:c r="I3819" s="12" t="n">
        <x:v>101923076.92307693</x:v>
      </x:c>
      <x:c r="J3819" s="2" t="str">
        <x:v>total</x:v>
      </x:c>
      <x:c r="K3819" s="2" t="str">
        <x:v>top_level_area</x:v>
      </x:c>
      <x:c r="L3819" s="2" t="str">
        <x:v>property_type_inferred_from_title;transaction_assumed_sale_from_dataset_context</x:v>
      </x:c>
      <x:c r="M3819" s="10" t="n">
        <x:v>0</x:v>
      </x:c>
      <x:c r="N3819" s="10" t="n">
        <x:v>0</x:v>
      </x:c>
      <x:c r="O3819" s="2" t="str">
        <x:v>Tp Hồ Chí Minh|house</x:v>
      </x:c>
      <x:c r="P3819" s="10" t="n">
        <x:v>2</x:v>
      </x:c>
      <x:c r="Q3819" s="13" t="n">
        <x:f>IF(H3819="","",H3819/1000000000)</x:f>
        <x:v>5.3</x:v>
      </x:c>
      <x:c r="R3819" s="13" t="n">
        <x:f>IF(I3819="","",I3819/1000000)</x:f>
        <x:v>101.92307692307693</x:v>
      </x:c>
    </x:row>
    <x:row r="3820" ht="21" customHeight="1">
      <x:c r="A3820" s="10" t="n">
        <x:v>5199</x:v>
      </x:c>
      <x:c r="B3820" s="2" t="str">
        <x:v>9913d10d1278a1c2d96c</x:v>
      </x:c>
      <x:c r="C3820" s="2" t="str">
        <x:v>Tp Hồ Chí Minh</x:v>
      </x:c>
      <x:c r="D3820" s="2" t="str">
        <x:v>Huyện Bình Chánh</x:v>
      </x:c>
      <x:c r="E3820" s="2" t="str">
        <x:v>other_unknown</x:v>
      </x:c>
      <x:c r="F3820" s="2" t="str">
        <x:v>sale</x:v>
      </x:c>
      <x:c r="G3820" s="11" t="n">
        <x:v>200</x:v>
      </x:c>
      <x:c r="H3820" s="12" t="n">
        <x:v>6400000000</x:v>
      </x:c>
      <x:c r="I3820" s="12" t="n">
        <x:v>32000000</x:v>
      </x:c>
      <x:c r="J3820" s="2" t="str">
        <x:v>total</x:v>
      </x:c>
      <x:c r="K3820" s="2" t="str">
        <x:v>top_level_area</x:v>
      </x:c>
      <x:c r="L3820" s="2" t="str">
        <x:v>property_type_inferred_from_title;unknown_property_type</x:v>
      </x:c>
      <x:c r="M3820" s="10" t="n">
        <x:v>0</x:v>
      </x:c>
      <x:c r="N3820" s="10" t="n">
        <x:v>0</x:v>
      </x:c>
      <x:c r="O3820" s="2" t="str">
        <x:v>Tp Hồ Chí Minh|other_unknown</x:v>
      </x:c>
      <x:c r="P3820" s="10" t="n">
        <x:v>2</x:v>
      </x:c>
      <x:c r="Q3820" s="13" t="n">
        <x:f>IF(H3820="","",H3820/1000000000)</x:f>
        <x:v>6.4</x:v>
      </x:c>
      <x:c r="R3820" s="13" t="n">
        <x:f>IF(I3820="","",I3820/1000000)</x:f>
        <x:v>32</x:v>
      </x:c>
    </x:row>
    <x:row r="3821" ht="21" customHeight="1">
      <x:c r="A3821" s="10" t="n">
        <x:v>5200</x:v>
      </x:c>
      <x:c r="B3821" s="2" t="str">
        <x:v>8577a6b8250658b84218</x:v>
      </x:c>
      <x:c r="C3821" s="2" t="str">
        <x:v>Tp Hồ Chí Minh</x:v>
      </x:c>
      <x:c r="D3821" s="2" t="str">
        <x:v>Quận 12</x:v>
      </x:c>
      <x:c r="E3821" s="2" t="str">
        <x:v>land</x:v>
      </x:c>
      <x:c r="F3821" s="2" t="str">
        <x:v>sale_assumed</x:v>
      </x:c>
      <x:c r="G3821" s="11" t="n">
        <x:v>80.1</x:v>
      </x:c>
      <x:c r="H3821" s="12" t="n">
        <x:v>3300000000</x:v>
      </x:c>
      <x:c r="I3821" s="12" t="n">
        <x:v>41198501.87265918</x:v>
      </x:c>
      <x:c r="J3821" s="2" t="str">
        <x:v>total</x:v>
      </x:c>
      <x:c r="K3821" s="2" t="str">
        <x:v>top_level_price_embedded_area</x:v>
      </x:c>
      <x:c r="L3821" s="2" t="str">
        <x:v>area_recovered_from_price_text;property_type_inferred_from_title;transaction_assumed_sale_from_dataset_context</x:v>
      </x:c>
      <x:c r="M3821" s="10" t="n">
        <x:v>0</x:v>
      </x:c>
      <x:c r="N3821" s="10" t="n">
        <x:v>0</x:v>
      </x:c>
      <x:c r="O3821" s="2" t="str">
        <x:v>Tp Hồ Chí Minh|land</x:v>
      </x:c>
      <x:c r="P3821" s="10" t="n">
        <x:v>2</x:v>
      </x:c>
      <x:c r="Q3821" s="13" t="n">
        <x:f>IF(H3821="","",H3821/1000000000)</x:f>
        <x:v>3.3</x:v>
      </x:c>
      <x:c r="R3821" s="13" t="n">
        <x:f>IF(I3821="","",I3821/1000000)</x:f>
        <x:v>41.19850187265918</x:v>
      </x:c>
    </x:row>
    <x:row r="3822" ht="21" customHeight="1">
      <x:c r="A3822" s="10" t="n">
        <x:v>5201</x:v>
      </x:c>
      <x:c r="B3822" s="2" t="str">
        <x:v>ae07c61b442e37511da6</x:v>
      </x:c>
      <x:c r="C3822" s="2" t="str">
        <x:v>Bà Rịa - Vũng Tàu</x:v>
      </x:c>
      <x:c r="D3822" s="2" t="str">
        <x:v>Huyện Đất Đỏ</x:v>
      </x:c>
      <x:c r="E3822" s="2" t="str">
        <x:v>land</x:v>
      </x:c>
      <x:c r="F3822" s="2" t="str">
        <x:v>sale</x:v>
      </x:c>
      <x:c r="G3822" s="11" t="n">
        <x:v>200</x:v>
      </x:c>
      <x:c r="H3822" s="12" t="n">
        <x:v>1600000000</x:v>
      </x:c>
      <x:c r="I3822" s="12" t="n">
        <x:v>8000000</x:v>
      </x:c>
      <x:c r="J3822" s="2" t="str">
        <x:v>total</x:v>
      </x:c>
      <x:c r="K3822" s="2" t="str">
        <x:v>top_level_area</x:v>
      </x:c>
      <x:c r="L3822" s="2" t="str">
        <x:v>property_type_inferred_from_title</x:v>
      </x:c>
      <x:c r="M3822" s="10" t="n">
        <x:v>0</x:v>
      </x:c>
      <x:c r="N3822" s="10" t="n">
        <x:v>0</x:v>
      </x:c>
      <x:c r="O3822" s="2" t="str">
        <x:v>Bà Rịa - Vũng Tàu|land</x:v>
      </x:c>
      <x:c r="P3822" s="10" t="n">
        <x:v>2</x:v>
      </x:c>
      <x:c r="Q3822" s="13" t="n">
        <x:f>IF(H3822="","",H3822/1000000000)</x:f>
        <x:v>1.6</x:v>
      </x:c>
      <x:c r="R3822" s="13" t="n">
        <x:f>IF(I3822="","",I3822/1000000)</x:f>
        <x:v>8</x:v>
      </x:c>
    </x:row>
    <x:row r="3823" ht="21" customHeight="1">
      <x:c r="A3823" s="10" t="n">
        <x:v>5202</x:v>
      </x:c>
      <x:c r="B3823" s="2" t="str">
        <x:v>1d150a626662ba750c5e</x:v>
      </x:c>
      <x:c r="C3823" s="2" t="str">
        <x:v>Tp Hồ Chí Minh</x:v>
      </x:c>
      <x:c r="D3823" s="2" t="str">
        <x:v>Huyện Bình Chánh</x:v>
      </x:c>
      <x:c r="E3823" s="2" t="str">
        <x:v>house</x:v>
      </x:c>
      <x:c r="F3823" s="2" t="str">
        <x:v>sale_assumed</x:v>
      </x:c>
      <x:c r="G3823" s="11" t="n">
        <x:v>40</x:v>
      </x:c>
      <x:c r="H3823" s="12" t="n">
        <x:v>2190000000</x:v>
      </x:c>
      <x:c r="I3823" s="12" t="n">
        <x:v>54750000</x:v>
      </x:c>
      <x:c r="J3823" s="2" t="str">
        <x:v>total</x:v>
      </x:c>
      <x:c r="K3823" s="2" t="str">
        <x:v>top_level_price_embedded_area</x:v>
      </x:c>
      <x:c r="L3823" s="2" t="str">
        <x:v>area_recovered_from_price_text;property_type_inferred_from_title;transaction_assumed_sale_from_dataset_context</x:v>
      </x:c>
      <x:c r="M3823" s="10" t="n">
        <x:v>0</x:v>
      </x:c>
      <x:c r="N3823" s="10" t="n">
        <x:v>0</x:v>
      </x:c>
      <x:c r="O3823" s="2" t="str">
        <x:v>Tp Hồ Chí Minh|house</x:v>
      </x:c>
      <x:c r="P3823" s="10" t="n">
        <x:v>2</x:v>
      </x:c>
      <x:c r="Q3823" s="13" t="n">
        <x:f>IF(H3823="","",H3823/1000000000)</x:f>
        <x:v>2.19</x:v>
      </x:c>
      <x:c r="R3823" s="13" t="n">
        <x:f>IF(I3823="","",I3823/1000000)</x:f>
        <x:v>54.75</x:v>
      </x:c>
    </x:row>
    <x:row r="3824" ht="21" customHeight="1">
      <x:c r="A3824" s="10" t="n">
        <x:v>5203</x:v>
      </x:c>
      <x:c r="B3824" s="2" t="str">
        <x:v>e4aed32b504e9a88782f</x:v>
      </x:c>
      <x:c r="C3824" s="2" t="str">
        <x:v>Hà Nội</x:v>
      </x:c>
      <x:c r="D3824" s="2" t="str">
        <x:v>Quận Thanh Xuân</x:v>
      </x:c>
      <x:c r="E3824" s="2" t="str">
        <x:v>house</x:v>
      </x:c>
      <x:c r="F3824" s="2" t="str">
        <x:v>sale_assumed</x:v>
      </x:c>
      <x:c r="G3824" s="11" t="n">
        <x:v>32</x:v>
      </x:c>
      <x:c r="H3824" s="12" t="n">
        <x:v>4500000000</x:v>
      </x:c>
      <x:c r="I3824" s="12" t="n">
        <x:v>140625000</x:v>
      </x:c>
      <x:c r="J3824" s="2" t="str">
        <x:v>total</x:v>
      </x:c>
      <x:c r="K3824" s="2" t="str">
        <x:v>top_level_area</x:v>
      </x:c>
      <x:c r="L3824" s="2" t="str">
        <x:v>property_type_inferred_from_title;transaction_assumed_sale_from_dataset_context</x:v>
      </x:c>
      <x:c r="M3824" s="10" t="n">
        <x:v>0</x:v>
      </x:c>
      <x:c r="N3824" s="10" t="n">
        <x:v>0</x:v>
      </x:c>
      <x:c r="O3824" s="2" t="str">
        <x:v>Hà Nội|house</x:v>
      </x:c>
      <x:c r="P3824" s="10" t="n">
        <x:v>2</x:v>
      </x:c>
      <x:c r="Q3824" s="13" t="n">
        <x:f>IF(H3824="","",H3824/1000000000)</x:f>
        <x:v>4.5</x:v>
      </x:c>
      <x:c r="R3824" s="13" t="n">
        <x:f>IF(I3824="","",I3824/1000000)</x:f>
        <x:v>140.625</x:v>
      </x:c>
    </x:row>
    <x:row r="3825" ht="21" customHeight="1">
      <x:c r="A3825" s="10" t="n">
        <x:v>5204</x:v>
      </x:c>
      <x:c r="B3825" s="2" t="str">
        <x:v>df3e6c0304ef4a928fe6</x:v>
      </x:c>
      <x:c r="C3825" s="2" t="str">
        <x:v>Tp Hồ Chí Minh</x:v>
      </x:c>
      <x:c r="D3825" s="2" t="str">
        <x:v>Quận Gò Vấp</x:v>
      </x:c>
      <x:c r="E3825" s="2" t="str">
        <x:v>house</x:v>
      </x:c>
      <x:c r="F3825" s="2" t="str">
        <x:v>sale</x:v>
      </x:c>
      <x:c r="G3825" s="11" t="n">
        <x:v>37</x:v>
      </x:c>
      <x:c r="H3825" s="12" t="n">
        <x:v>5500000000</x:v>
      </x:c>
      <x:c r="I3825" s="12" t="n">
        <x:v>148648648.64864865</x:v>
      </x:c>
      <x:c r="J3825" s="2" t="str">
        <x:v>total</x:v>
      </x:c>
      <x:c r="K3825" s="2" t="str">
        <x:v>top_level_area</x:v>
      </x:c>
      <x:c r="L3825" s="2" t="str">
        <x:v>property_type_inferred_from_title</x:v>
      </x:c>
      <x:c r="M3825" s="10" t="n">
        <x:v>0</x:v>
      </x:c>
      <x:c r="N3825" s="10" t="n">
        <x:v>0</x:v>
      </x:c>
      <x:c r="O3825" s="2" t="str">
        <x:v>Tp Hồ Chí Minh|house</x:v>
      </x:c>
      <x:c r="P3825" s="10" t="n">
        <x:v>2</x:v>
      </x:c>
      <x:c r="Q3825" s="13" t="n">
        <x:f>IF(H3825="","",H3825/1000000000)</x:f>
        <x:v>5.5</x:v>
      </x:c>
      <x:c r="R3825" s="13" t="n">
        <x:f>IF(I3825="","",I3825/1000000)</x:f>
        <x:v>148.64864864864865</x:v>
      </x:c>
    </x:row>
    <x:row r="3826" ht="21" customHeight="1">
      <x:c r="A3826" s="10" t="n">
        <x:v>5205</x:v>
      </x:c>
      <x:c r="B3826" s="2" t="str">
        <x:v>b76f6e18879a0d289d09</x:v>
      </x:c>
      <x:c r="C3826" s="2" t="str">
        <x:v>Hà Nội</x:v>
      </x:c>
      <x:c r="D3826" s="2" t="str">
        <x:v>Quận Hà Đông</x:v>
      </x:c>
      <x:c r="E3826" s="2" t="str">
        <x:v>house</x:v>
      </x:c>
      <x:c r="F3826" s="2" t="str">
        <x:v>sale_assumed</x:v>
      </x:c>
      <x:c r="G3826" s="11" t="n">
        <x:v>47</x:v>
      </x:c>
      <x:c r="H3826" s="12" t="n">
        <x:v>2300000000</x:v>
      </x:c>
      <x:c r="I3826" s="12" t="n">
        <x:v>48936170.212765954</x:v>
      </x:c>
      <x:c r="J3826" s="2" t="str">
        <x:v>total</x:v>
      </x:c>
      <x:c r="K3826" s="2" t="str">
        <x:v>top_level_area</x:v>
      </x:c>
      <x:c r="L3826" s="2" t="str">
        <x:v>property_type_inferred_from_title;transaction_assumed_sale_from_dataset_context</x:v>
      </x:c>
      <x:c r="M3826" s="10" t="n">
        <x:v>0</x:v>
      </x:c>
      <x:c r="N3826" s="10" t="n">
        <x:v>0</x:v>
      </x:c>
      <x:c r="O3826" s="2" t="str">
        <x:v>Hà Nội|house</x:v>
      </x:c>
      <x:c r="P3826" s="10" t="n">
        <x:v>2</x:v>
      </x:c>
      <x:c r="Q3826" s="13" t="n">
        <x:f>IF(H3826="","",H3826/1000000000)</x:f>
        <x:v>2.3</x:v>
      </x:c>
      <x:c r="R3826" s="13" t="n">
        <x:f>IF(I3826="","",I3826/1000000)</x:f>
        <x:v>48.93617021276595</x:v>
      </x:c>
    </x:row>
    <x:row r="3827" ht="21" customHeight="1">
      <x:c r="A3827" s="10" t="n">
        <x:v>5206</x:v>
      </x:c>
      <x:c r="B3827" s="2" t="str">
        <x:v>3809a58959b7b186cc2b</x:v>
      </x:c>
      <x:c r="C3827" s="2" t="str">
        <x:v>Hà Nội</x:v>
      </x:c>
      <x:c r="D3827" s="2" t="str">
        <x:v>Huyện Thanh Trì</x:v>
      </x:c>
      <x:c r="E3827" s="2" t="str">
        <x:v>other_unknown</x:v>
      </x:c>
      <x:c r="F3827" s="2" t="str">
        <x:v>sale_assumed</x:v>
      </x:c>
      <x:c r="G3827" s="11" t="n">
        <x:v>70</x:v>
      </x:c>
      <x:c r="H3827" s="12" t="n">
        <x:v>300000000</x:v>
      </x:c>
      <x:c r="I3827" s="12" t="n">
        <x:v>4285714.285714285</x:v>
      </x:c>
      <x:c r="J3827" s="2" t="str">
        <x:v>total</x:v>
      </x:c>
      <x:c r="K3827" s="2" t="str">
        <x:v>top_level_area</x:v>
      </x:c>
      <x:c r="L3827" s="2" t="str">
        <x:v>property_type_inferred_from_title;transaction_assumed_sale_from_dataset_context;unknown_property_type</x:v>
      </x:c>
      <x:c r="M3827" s="10" t="n">
        <x:v>0</x:v>
      </x:c>
      <x:c r="N3827" s="10" t="n">
        <x:v>0</x:v>
      </x:c>
      <x:c r="O3827" s="2" t="str">
        <x:v>Hà Nội|other_unknown</x:v>
      </x:c>
      <x:c r="P3827" s="10" t="n">
        <x:v>2</x:v>
      </x:c>
      <x:c r="Q3827" s="13" t="n">
        <x:f>IF(H3827="","",H3827/1000000000)</x:f>
        <x:v>0.3</x:v>
      </x:c>
      <x:c r="R3827" s="13" t="n">
        <x:f>IF(I3827="","",I3827/1000000)</x:f>
        <x:v>4.285714285714286</x:v>
      </x:c>
    </x:row>
    <x:row r="3828" ht="21" customHeight="1">
      <x:c r="A3828" s="10" t="n">
        <x:v>5207</x:v>
      </x:c>
      <x:c r="B3828" s="2" t="str">
        <x:v>0298cc69acba9d2e967d</x:v>
      </x:c>
      <x:c r="C3828" s="2" t="str">
        <x:v>Tp Hồ Chí Minh</x:v>
      </x:c>
      <x:c r="D3828" s="2" t="str">
        <x:v>Quận 3</x:v>
      </x:c>
      <x:c r="E3828" s="2" t="str">
        <x:v>house</x:v>
      </x:c>
      <x:c r="F3828" s="2" t="str">
        <x:v>sale</x:v>
      </x:c>
      <x:c r="G3828" s="11" t="n">
        <x:v>55</x:v>
      </x:c>
      <x:c r="H3828" s="12" t="n">
        <x:v>2870000000</x:v>
      </x:c>
      <x:c r="I3828" s="12" t="n">
        <x:v>52181818.18181818</x:v>
      </x:c>
      <x:c r="J3828" s="2" t="str">
        <x:v>total</x:v>
      </x:c>
      <x:c r="K3828" s="2" t="str">
        <x:v>top_level_area</x:v>
      </x:c>
      <x:c r="L3828" s="2" t="str">
        <x:v>property_type_inferred_from_title</x:v>
      </x:c>
      <x:c r="M3828" s="10" t="n">
        <x:v>0</x:v>
      </x:c>
      <x:c r="N3828" s="10" t="n">
        <x:v>0</x:v>
      </x:c>
      <x:c r="O3828" s="2" t="str">
        <x:v>Tp Hồ Chí Minh|house</x:v>
      </x:c>
      <x:c r="P3828" s="10" t="n">
        <x:v>2</x:v>
      </x:c>
      <x:c r="Q3828" s="13" t="n">
        <x:f>IF(H3828="","",H3828/1000000000)</x:f>
        <x:v>2.87</x:v>
      </x:c>
      <x:c r="R3828" s="13" t="n">
        <x:f>IF(I3828="","",I3828/1000000)</x:f>
        <x:v>52.18181818181818</x:v>
      </x:c>
    </x:row>
    <x:row r="3829" ht="21" customHeight="1">
      <x:c r="A3829" s="10" t="n">
        <x:v>5208</x:v>
      </x:c>
      <x:c r="B3829" s="2" t="str">
        <x:v>18eb07146f89e7a8f750</x:v>
      </x:c>
      <x:c r="C3829" s="2" t="str">
        <x:v>Bình Phước</x:v>
      </x:c>
      <x:c r="D3829" s="2" t="str">
        <x:v>Huyện Đồng Phú</x:v>
      </x:c>
      <x:c r="E3829" s="2" t="str">
        <x:v>land</x:v>
      </x:c>
      <x:c r="F3829" s="2" t="str">
        <x:v>sale</x:v>
      </x:c>
      <x:c r="G3829" s="11" t="n">
        <x:v>1023</x:v>
      </x:c>
      <x:c r="H3829" s="12" t="n">
        <x:v>310000000</x:v>
      </x:c>
      <x:c r="I3829" s="12" t="n">
        <x:v>303030.30303030304</x:v>
      </x:c>
      <x:c r="J3829" s="2" t="str">
        <x:v>total</x:v>
      </x:c>
      <x:c r="K3829" s="2" t="str">
        <x:v>top_level_area</x:v>
      </x:c>
      <x:c r="L3829" s="2" t="str">
        <x:v>dot_thousands_convention;property_type_inferred_from_title</x:v>
      </x:c>
      <x:c r="M3829" s="10" t="n">
        <x:v>0</x:v>
      </x:c>
      <x:c r="N3829" s="10" t="n">
        <x:v>0</x:v>
      </x:c>
      <x:c r="O3829" s="2" t="str">
        <x:v>Bình Phước|land</x:v>
      </x:c>
      <x:c r="P3829" s="10" t="n">
        <x:v>1</x:v>
      </x:c>
      <x:c r="Q3829" s="13" t="n">
        <x:f>IF(H3829="","",H3829/1000000000)</x:f>
        <x:v>0.31</x:v>
      </x:c>
      <x:c r="R3829" s="13" t="n">
        <x:f>IF(I3829="","",I3829/1000000)</x:f>
        <x:v>0.30303030303030304</x:v>
      </x:c>
    </x:row>
    <x:row r="3830" ht="21" customHeight="1">
      <x:c r="A3830" s="10" t="n">
        <x:v>5209</x:v>
      </x:c>
      <x:c r="B3830" s="2" t="str">
        <x:v>eb3525fc49a74d65423c</x:v>
      </x:c>
      <x:c r="C3830" s="2" t="str">
        <x:v>Hà Nội</x:v>
      </x:c>
      <x:c r="D3830" s="2" t="str">
        <x:v>Quận Thanh Xuân</x:v>
      </x:c>
      <x:c r="E3830" s="2" t="str">
        <x:v>house</x:v>
      </x:c>
      <x:c r="F3830" s="2" t="str">
        <x:v>sale</x:v>
      </x:c>
      <x:c r="G3830" s="11" t="n">
        <x:v>45</x:v>
      </x:c>
      <x:c r="H3830" s="12" t="n">
        <x:v>3300000000</x:v>
      </x:c>
      <x:c r="I3830" s="12" t="n">
        <x:v>73333333.33333333</x:v>
      </x:c>
      <x:c r="J3830" s="2" t="str">
        <x:v>total</x:v>
      </x:c>
      <x:c r="K3830" s="2" t="str">
        <x:v>top_level_area</x:v>
      </x:c>
      <x:c r="L3830" s="2" t="str">
        <x:v>property_type_inferred_from_title</x:v>
      </x:c>
      <x:c r="M3830" s="10" t="n">
        <x:v>0</x:v>
      </x:c>
      <x:c r="N3830" s="10" t="n">
        <x:v>0</x:v>
      </x:c>
      <x:c r="O3830" s="2" t="str">
        <x:v>Hà Nội|house</x:v>
      </x:c>
      <x:c r="P3830" s="10" t="n">
        <x:v>2</x:v>
      </x:c>
      <x:c r="Q3830" s="13" t="n">
        <x:f>IF(H3830="","",H3830/1000000000)</x:f>
        <x:v>3.3</x:v>
      </x:c>
      <x:c r="R3830" s="13" t="n">
        <x:f>IF(I3830="","",I3830/1000000)</x:f>
        <x:v>73.33333333333333</x:v>
      </x:c>
    </x:row>
    <x:row r="3831" ht="21" customHeight="1">
      <x:c r="A3831" s="10" t="n">
        <x:v>5210</x:v>
      </x:c>
      <x:c r="B3831" s="2" t="str">
        <x:v>67d98375d437108dc8aa</x:v>
      </x:c>
      <x:c r="C3831" s="2" t="str">
        <x:v>Bến Tre</x:v>
      </x:c>
      <x:c r="D3831" s="2" t="str">
        <x:v>Thành phố Bến Tre</x:v>
      </x:c>
      <x:c r="E3831" s="2" t="str">
        <x:v>house</x:v>
      </x:c>
      <x:c r="F3831" s="2" t="str">
        <x:v>sale</x:v>
      </x:c>
      <x:c r="G3831" s="11" t="n">
        <x:v>119</x:v>
      </x:c>
      <x:c r="H3831" s="12" t="n">
        <x:v>1350000000</x:v>
      </x:c>
      <x:c r="I3831" s="12" t="n">
        <x:v>11344537.81512605</x:v>
      </x:c>
      <x:c r="J3831" s="2" t="str">
        <x:v>total</x:v>
      </x:c>
      <x:c r="K3831" s="2" t="str">
        <x:v>top_level_area</x:v>
      </x:c>
      <x:c r="L3831" s="2" t="str">
        <x:v>property_type_inferred_from_title</x:v>
      </x:c>
      <x:c r="M3831" s="10" t="n">
        <x:v>0</x:v>
      </x:c>
      <x:c r="N3831" s="10" t="n">
        <x:v>0</x:v>
      </x:c>
      <x:c r="O3831" s="2" t="str">
        <x:v>house</x:v>
      </x:c>
      <x:c r="P3831" s="10" t="n">
        <x:v>2</x:v>
      </x:c>
      <x:c r="Q3831" s="13" t="n">
        <x:f>IF(H3831="","",H3831/1000000000)</x:f>
        <x:v>1.35</x:v>
      </x:c>
      <x:c r="R3831" s="13" t="n">
        <x:f>IF(I3831="","",I3831/1000000)</x:f>
        <x:v>11.344537815126051</x:v>
      </x:c>
    </x:row>
    <x:row r="3832" ht="21" customHeight="1">
      <x:c r="A3832" s="10" t="n">
        <x:v>5211</x:v>
      </x:c>
      <x:c r="B3832" s="2" t="str">
        <x:v>7fcb74d5fcacbd53b6dd</x:v>
      </x:c>
      <x:c r="C3832" s="2" t="str">
        <x:v>Bình Thuận</x:v>
      </x:c>
      <x:c r="D3832" s="2" t="str">
        <x:v>Huyện Bắc Bình</x:v>
      </x:c>
      <x:c r="E3832" s="2" t="str">
        <x:v>land</x:v>
      </x:c>
      <x:c r="F3832" s="2" t="str">
        <x:v>sale_assumed</x:v>
      </x:c>
      <x:c r="G3832" s="11" t="n">
        <x:v>1200</x:v>
      </x:c>
      <x:c r="H3832" s="12" t="n">
        <x:v>102000000</x:v>
      </x:c>
      <x:c r="I3832" s="12" t="n">
        <x:v>85000</x:v>
      </x:c>
      <x:c r="J3832" s="2" t="str">
        <x:v>total</x:v>
      </x:c>
      <x:c r="K3832" s="2" t="str">
        <x:v>top_level_area</x:v>
      </x:c>
      <x:c r="L3832" s="2" t="str">
        <x:v>dot_thousands_convention;property_type_inferred_from_title;transaction_assumed_sale_from_dataset_context</x:v>
      </x:c>
      <x:c r="M3832" s="10" t="n">
        <x:v>0</x:v>
      </x:c>
      <x:c r="N3832" s="10" t="n">
        <x:v>0</x:v>
      </x:c>
      <x:c r="O3832" s="2" t="str">
        <x:v>land</x:v>
      </x:c>
      <x:c r="P3832" s="10" t="n">
        <x:v>1</x:v>
      </x:c>
      <x:c r="Q3832" s="13" t="n">
        <x:f>IF(H3832="","",H3832/1000000000)</x:f>
        <x:v>0.102</x:v>
      </x:c>
      <x:c r="R3832" s="13" t="n">
        <x:f>IF(I3832="","",I3832/1000000)</x:f>
        <x:v>0.085</x:v>
      </x:c>
    </x:row>
    <x:row r="3833" ht="21" customHeight="1">
      <x:c r="A3833" s="10" t="n">
        <x:v>5212</x:v>
      </x:c>
      <x:c r="B3833" s="2" t="str">
        <x:v>37296f90217bec1b0ca1</x:v>
      </x:c>
      <x:c r="C3833" s="2" t="str">
        <x:v>Long An</x:v>
      </x:c>
      <x:c r="D3833" s="2" t="str">
        <x:v>Huyện Cần Giuộc</x:v>
      </x:c>
      <x:c r="E3833" s="2" t="str">
        <x:v>land</x:v>
      </x:c>
      <x:c r="F3833" s="2" t="str">
        <x:v>sale_assumed</x:v>
      </x:c>
      <x:c r="G3833" s="11" t="n">
        <x:v>80</x:v>
      </x:c>
      <x:c r="H3833" s="12" t="n">
        <x:v>1190000000</x:v>
      </x:c>
      <x:c r="I3833" s="12" t="n">
        <x:v>14875000</x:v>
      </x:c>
      <x:c r="J3833" s="2" t="str">
        <x:v>total</x:v>
      </x:c>
      <x:c r="K3833" s="2" t="str">
        <x:v>top_level_area</x:v>
      </x:c>
      <x:c r="L3833" s="2" t="str">
        <x:v>property_type_inferred_from_title;transaction_assumed_sale_from_dataset_context</x:v>
      </x:c>
      <x:c r="M3833" s="10" t="n">
        <x:v>0</x:v>
      </x:c>
      <x:c r="N3833" s="10" t="n">
        <x:v>0</x:v>
      </x:c>
      <x:c r="O3833" s="2" t="str">
        <x:v>Long An|land</x:v>
      </x:c>
      <x:c r="P3833" s="10" t="n">
        <x:v>2</x:v>
      </x:c>
      <x:c r="Q3833" s="13" t="n">
        <x:f>IF(H3833="","",H3833/1000000000)</x:f>
        <x:v>1.19</x:v>
      </x:c>
      <x:c r="R3833" s="13" t="n">
        <x:f>IF(I3833="","",I3833/1000000)</x:f>
        <x:v>14.875</x:v>
      </x:c>
    </x:row>
    <x:row r="3834" ht="21" customHeight="1">
      <x:c r="A3834" s="10" t="n">
        <x:v>5213</x:v>
      </x:c>
      <x:c r="B3834" s="2" t="str">
        <x:v>81825115ead6e3a52f55</x:v>
      </x:c>
      <x:c r="C3834" s="2" t="str">
        <x:v>Hải Phòng</x:v>
      </x:c>
      <x:c r="D3834" s="2" t="str">
        <x:v>Quận Đồ Sơn</x:v>
      </x:c>
      <x:c r="E3834" s="2" t="str">
        <x:v>land</x:v>
      </x:c>
      <x:c r="F3834" s="2" t="str">
        <x:v>sale_assumed</x:v>
      </x:c>
      <x:c r="G3834" s="11" t="n">
        <x:v>130</x:v>
      </x:c>
      <x:c r="H3834" s="12" t="n">
        <x:v>936000000</x:v>
      </x:c>
      <x:c r="I3834" s="12" t="n">
        <x:v>7200000</x:v>
      </x:c>
      <x:c r="J3834" s="2" t="str">
        <x:v>total</x:v>
      </x:c>
      <x:c r="K3834" s="2" t="str">
        <x:v>top_level_area</x:v>
      </x:c>
      <x:c r="L3834" s="2" t="str">
        <x:v>property_type_inferred_from_title;transaction_assumed_sale_from_dataset_context</x:v>
      </x:c>
      <x:c r="M3834" s="10" t="n">
        <x:v>0</x:v>
      </x:c>
      <x:c r="N3834" s="10" t="n">
        <x:v>0</x:v>
      </x:c>
      <x:c r="O3834" s="2" t="str">
        <x:v>land</x:v>
      </x:c>
      <x:c r="P3834" s="10" t="n">
        <x:v>2</x:v>
      </x:c>
      <x:c r="Q3834" s="13" t="n">
        <x:f>IF(H3834="","",H3834/1000000000)</x:f>
        <x:v>0.936</x:v>
      </x:c>
      <x:c r="R3834" s="13" t="n">
        <x:f>IF(I3834="","",I3834/1000000)</x:f>
        <x:v>7.2</x:v>
      </x:c>
    </x:row>
    <x:row r="3835" ht="21" customHeight="1">
      <x:c r="A3835" s="10" t="n">
        <x:v>5214</x:v>
      </x:c>
      <x:c r="B3835" s="2" t="str">
        <x:v>f83cf6fcb5980ab39072</x:v>
      </x:c>
      <x:c r="C3835" s="2" t="str">
        <x:v>Cần Thơ</x:v>
      </x:c>
      <x:c r="D3835" s="2" t="str">
        <x:v>Quận Cái Răng</x:v>
      </x:c>
      <x:c r="E3835" s="2" t="str">
        <x:v>land</x:v>
      </x:c>
      <x:c r="F3835" s="2" t="str">
        <x:v>sale</x:v>
      </x:c>
      <x:c r="G3835" s="11" t="n">
        <x:v>100</x:v>
      </x:c>
      <x:c r="H3835" s="12" t="n">
        <x:v>1600000000</x:v>
      </x:c>
      <x:c r="I3835" s="12" t="n">
        <x:v>16000000</x:v>
      </x:c>
      <x:c r="J3835" s="2" t="str">
        <x:v>total</x:v>
      </x:c>
      <x:c r="K3835" s="2" t="str">
        <x:v>top_level_area</x:v>
      </x:c>
      <x:c r="L3835" s="2" t="str">
        <x:v>property_type_inferred_from_title</x:v>
      </x:c>
      <x:c r="M3835" s="10" t="n">
        <x:v>0</x:v>
      </x:c>
      <x:c r="N3835" s="10" t="n">
        <x:v>0</x:v>
      </x:c>
      <x:c r="O3835" s="2" t="str">
        <x:v>Cần Thơ|land</x:v>
      </x:c>
      <x:c r="P3835" s="10" t="n">
        <x:v>2</x:v>
      </x:c>
      <x:c r="Q3835" s="13" t="n">
        <x:f>IF(H3835="","",H3835/1000000000)</x:f>
        <x:v>1.6</x:v>
      </x:c>
      <x:c r="R3835" s="13" t="n">
        <x:f>IF(I3835="","",I3835/1000000)</x:f>
        <x:v>16</x:v>
      </x:c>
    </x:row>
    <x:row r="3836" ht="21" customHeight="1">
      <x:c r="A3836" s="10" t="n">
        <x:v>5217</x:v>
      </x:c>
      <x:c r="B3836" s="2" t="str">
        <x:v>3b221ab78623761cbcdd</x:v>
      </x:c>
      <x:c r="C3836" s="2" t="str">
        <x:v>Hà Nội</x:v>
      </x:c>
      <x:c r="D3836" s="2" t="str">
        <x:v>Quận Bắc Từ Liêm</x:v>
      </x:c>
      <x:c r="E3836" s="2" t="str">
        <x:v>house</x:v>
      </x:c>
      <x:c r="F3836" s="2" t="str">
        <x:v>sale</x:v>
      </x:c>
      <x:c r="G3836" s="11" t="n">
        <x:v>37</x:v>
      </x:c>
      <x:c r="H3836" s="12" t="n">
        <x:v>3550000000</x:v>
      </x:c>
      <x:c r="I3836" s="12" t="n">
        <x:v>95945945.94594595</x:v>
      </x:c>
      <x:c r="J3836" s="2" t="str">
        <x:v>total</x:v>
      </x:c>
      <x:c r="K3836" s="2" t="str">
        <x:v>top_level_area</x:v>
      </x:c>
      <x:c r="L3836" s="2" t="str">
        <x:v>property_type_inferred_from_title</x:v>
      </x:c>
      <x:c r="M3836" s="10" t="n">
        <x:v>0</x:v>
      </x:c>
      <x:c r="N3836" s="10" t="n">
        <x:v>0</x:v>
      </x:c>
      <x:c r="O3836" s="2" t="str">
        <x:v>Hà Nội|house</x:v>
      </x:c>
      <x:c r="P3836" s="10" t="n">
        <x:v>2</x:v>
      </x:c>
      <x:c r="Q3836" s="13" t="n">
        <x:f>IF(H3836="","",H3836/1000000000)</x:f>
        <x:v>3.55</x:v>
      </x:c>
      <x:c r="R3836" s="13" t="n">
        <x:f>IF(I3836="","",I3836/1000000)</x:f>
        <x:v>95.94594594594595</x:v>
      </x:c>
    </x:row>
    <x:row r="3837" ht="21" customHeight="1">
      <x:c r="A3837" s="10" t="n">
        <x:v>5218</x:v>
      </x:c>
      <x:c r="B3837" s="2" t="str">
        <x:v>c633c99fe98906d485d8</x:v>
      </x:c>
      <x:c r="C3837" s="2" t="str">
        <x:v>Tp Hồ Chí Minh</x:v>
      </x:c>
      <x:c r="D3837" s="2" t="str">
        <x:v>Huyện Nhà Bè</x:v>
      </x:c>
      <x:c r="E3837" s="2" t="str">
        <x:v>house</x:v>
      </x:c>
      <x:c r="F3837" s="2" t="str">
        <x:v>sale</x:v>
      </x:c>
      <x:c r="G3837" s="11" t="n">
        <x:v>80</x:v>
      </x:c>
      <x:c r="H3837" s="12" t="n">
        <x:v>5000000000</x:v>
      </x:c>
      <x:c r="I3837" s="12" t="n">
        <x:v>62500000</x:v>
      </x:c>
      <x:c r="J3837" s="2" t="str">
        <x:v>total</x:v>
      </x:c>
      <x:c r="K3837" s="2" t="str">
        <x:v>top_level_area</x:v>
      </x:c>
      <x:c r="L3837" s="2" t="str">
        <x:v>property_type_inferred_from_title</x:v>
      </x:c>
      <x:c r="M3837" s="10" t="n">
        <x:v>0</x:v>
      </x:c>
      <x:c r="N3837" s="10" t="n">
        <x:v>0</x:v>
      </x:c>
      <x:c r="O3837" s="2" t="str">
        <x:v>Tp Hồ Chí Minh|house</x:v>
      </x:c>
      <x:c r="P3837" s="10" t="n">
        <x:v>2</x:v>
      </x:c>
      <x:c r="Q3837" s="13" t="n">
        <x:f>IF(H3837="","",H3837/1000000000)</x:f>
        <x:v>5</x:v>
      </x:c>
      <x:c r="R3837" s="13" t="n">
        <x:f>IF(I3837="","",I3837/1000000)</x:f>
        <x:v>62.5</x:v>
      </x:c>
    </x:row>
    <x:row r="3838" ht="21" customHeight="1">
      <x:c r="A3838" s="10" t="n">
        <x:v>5219</x:v>
      </x:c>
      <x:c r="B3838" s="2" t="str">
        <x:v>884cfa184f7cd9f886a4</x:v>
      </x:c>
      <x:c r="C3838" s="2" t="str">
        <x:v>Bình Dương</x:v>
      </x:c>
      <x:c r="D3838" s="2" t="str">
        <x:v>Thị xã Bến Cát</x:v>
      </x:c>
      <x:c r="E3838" s="2" t="str">
        <x:v>land</x:v>
      </x:c>
      <x:c r="F3838" s="2" t="str">
        <x:v>sale</x:v>
      </x:c>
      <x:c r="G3838" s="11" t="n">
        <x:v>100</x:v>
      </x:c>
      <x:c r="H3838" s="12" t="n">
        <x:v>660000000</x:v>
      </x:c>
      <x:c r="I3838" s="12" t="n">
        <x:v>6600000</x:v>
      </x:c>
      <x:c r="J3838" s="2" t="str">
        <x:v>total</x:v>
      </x:c>
      <x:c r="K3838" s="2" t="str">
        <x:v>top_level_area</x:v>
      </x:c>
      <x:c r="L3838" s="2" t="str">
        <x:v>property_type_inferred_from_title</x:v>
      </x:c>
      <x:c r="M3838" s="10" t="n">
        <x:v>0</x:v>
      </x:c>
      <x:c r="N3838" s="10" t="n">
        <x:v>0</x:v>
      </x:c>
      <x:c r="O3838" s="2" t="str">
        <x:v>Bình Dương|land</x:v>
      </x:c>
      <x:c r="P3838" s="10" t="n">
        <x:v>2</x:v>
      </x:c>
      <x:c r="Q3838" s="13" t="n">
        <x:f>IF(H3838="","",H3838/1000000000)</x:f>
        <x:v>0.66</x:v>
      </x:c>
      <x:c r="R3838" s="13" t="n">
        <x:f>IF(I3838="","",I3838/1000000)</x:f>
        <x:v>6.6</x:v>
      </x:c>
    </x:row>
    <x:row r="3839" ht="21" customHeight="1">
      <x:c r="A3839" s="10" t="n">
        <x:v>5220</x:v>
      </x:c>
      <x:c r="B3839" s="2" t="str">
        <x:v>3a1d2fdfd8a5f650277f</x:v>
      </x:c>
      <x:c r="C3839" s="2" t="str">
        <x:v>Tp Hồ Chí Minh</x:v>
      </x:c>
      <x:c r="D3839" s="2" t="str">
        <x:v>Quận 12</x:v>
      </x:c>
      <x:c r="E3839" s="2" t="str">
        <x:v>house</x:v>
      </x:c>
      <x:c r="F3839" s="2" t="str">
        <x:v>sale</x:v>
      </x:c>
      <x:c r="G3839" s="11" t="n">
        <x:v>20</x:v>
      </x:c>
      <x:c r="H3839" s="12" t="n">
        <x:v>820000000</x:v>
      </x:c>
      <x:c r="I3839" s="12" t="n">
        <x:v>41000000</x:v>
      </x:c>
      <x:c r="J3839" s="2" t="str">
        <x:v>total</x:v>
      </x:c>
      <x:c r="K3839" s="2" t="str">
        <x:v>top_level_area</x:v>
      </x:c>
      <x:c r="L3839" s="2" t="str">
        <x:v>property_type_inferred_from_title</x:v>
      </x:c>
      <x:c r="M3839" s="10" t="n">
        <x:v>0</x:v>
      </x:c>
      <x:c r="N3839" s="10" t="n">
        <x:v>0</x:v>
      </x:c>
      <x:c r="O3839" s="2" t="str">
        <x:v>Tp Hồ Chí Minh|house</x:v>
      </x:c>
      <x:c r="P3839" s="10" t="n">
        <x:v>2</x:v>
      </x:c>
      <x:c r="Q3839" s="13" t="n">
        <x:f>IF(H3839="","",H3839/1000000000)</x:f>
        <x:v>0.82</x:v>
      </x:c>
      <x:c r="R3839" s="13" t="n">
        <x:f>IF(I3839="","",I3839/1000000)</x:f>
        <x:v>41</x:v>
      </x:c>
    </x:row>
    <x:row r="3840" ht="21" customHeight="1">
      <x:c r="A3840" s="10" t="n">
        <x:v>5221</x:v>
      </x:c>
      <x:c r="B3840" s="2" t="str">
        <x:v>0226490fae9c1ec4a47c</x:v>
      </x:c>
      <x:c r="C3840" s="2" t="str">
        <x:v>Tp Hồ Chí Minh</x:v>
      </x:c>
      <x:c r="D3840" s="2" t="str">
        <x:v>Quận 12</x:v>
      </x:c>
      <x:c r="E3840" s="2" t="str">
        <x:v>apartment</x:v>
      </x:c>
      <x:c r="F3840" s="2" t="str">
        <x:v>sale_assumed</x:v>
      </x:c>
      <x:c r="G3840" s="11" t="n">
        <x:v>34</x:v>
      </x:c>
      <x:c r="H3840" s="12" t="n">
        <x:v>320000000</x:v>
      </x:c>
      <x:c r="I3840" s="12" t="n">
        <x:v>9411764.705882354</x:v>
      </x:c>
      <x:c r="J3840" s="2" t="str">
        <x:v>total</x:v>
      </x:c>
      <x:c r="K3840" s="2" t="str">
        <x:v>top_level_area</x:v>
      </x:c>
      <x:c r="L3840" s="2" t="str">
        <x:v>property_type_inferred_from_title;transaction_assumed_sale_from_dataset_context</x:v>
      </x:c>
      <x:c r="M3840" s="10" t="n">
        <x:v>0</x:v>
      </x:c>
      <x:c r="N3840" s="10" t="n">
        <x:v>0</x:v>
      </x:c>
      <x:c r="O3840" s="2" t="str">
        <x:v>Tp Hồ Chí Minh|apartment</x:v>
      </x:c>
      <x:c r="P3840" s="10" t="n">
        <x:v>2</x:v>
      </x:c>
      <x:c r="Q3840" s="13" t="n">
        <x:f>IF(H3840="","",H3840/1000000000)</x:f>
        <x:v>0.32</x:v>
      </x:c>
      <x:c r="R3840" s="13" t="n">
        <x:f>IF(I3840="","",I3840/1000000)</x:f>
        <x:v>9.411764705882353</x:v>
      </x:c>
    </x:row>
    <x:row r="3841" ht="21" customHeight="1">
      <x:c r="A3841" s="10" t="n">
        <x:v>5222</x:v>
      </x:c>
      <x:c r="B3841" s="2" t="str">
        <x:v>4c9750ceed9dd514650b</x:v>
      </x:c>
      <x:c r="C3841" s="2" t="str">
        <x:v>Cà Mau</x:v>
      </x:c>
      <x:c r="D3841" s="2" t="str">
        <x:v>Thành phố Cà Mau</x:v>
      </x:c>
      <x:c r="E3841" s="2" t="str">
        <x:v>land</x:v>
      </x:c>
      <x:c r="F3841" s="2" t="str">
        <x:v>sale_assumed</x:v>
      </x:c>
      <x:c r="G3841" s="11" t="n">
        <x:v>102</x:v>
      </x:c>
      <x:c r="H3841" s="12" t="n">
        <x:v>275000000</x:v>
      </x:c>
      <x:c r="I3841" s="12" t="n">
        <x:v>2696078.431372549</x:v>
      </x:c>
      <x:c r="J3841" s="2" t="str">
        <x:v>total</x:v>
      </x:c>
      <x:c r="K3841" s="2" t="str">
        <x:v>top_level_area</x:v>
      </x:c>
      <x:c r="L3841" s="2" t="str">
        <x:v>property_type_inferred_from_title;transaction_assumed_sale_from_dataset_context</x:v>
      </x:c>
      <x:c r="M3841" s="10" t="n">
        <x:v>0</x:v>
      </x:c>
      <x:c r="N3841" s="10" t="n">
        <x:v>0</x:v>
      </x:c>
      <x:c r="O3841" s="2" t="str">
        <x:v>land</x:v>
      </x:c>
      <x:c r="P3841" s="10" t="n">
        <x:v>1</x:v>
      </x:c>
      <x:c r="Q3841" s="13" t="n">
        <x:f>IF(H3841="","",H3841/1000000000)</x:f>
        <x:v>0.275</x:v>
      </x:c>
      <x:c r="R3841" s="13" t="n">
        <x:f>IF(I3841="","",I3841/1000000)</x:f>
        <x:v>2.6960784313725488</x:v>
      </x:c>
    </x:row>
    <x:row r="3842" ht="21" customHeight="1">
      <x:c r="A3842" s="10" t="n">
        <x:v>5224</x:v>
      </x:c>
      <x:c r="B3842" s="2" t="str">
        <x:v>0b81f6cd1490ed9f5715</x:v>
      </x:c>
      <x:c r="C3842" s="2" t="str">
        <x:v>Tp Hồ Chí Minh</x:v>
      </x:c>
      <x:c r="D3842" s="2" t="str">
        <x:v>Quận Thủ Đức</x:v>
      </x:c>
      <x:c r="E3842" s="2" t="str">
        <x:v>house</x:v>
      </x:c>
      <x:c r="F3842" s="2" t="str">
        <x:v>sale_assumed</x:v>
      </x:c>
      <x:c r="G3842" s="11" t="n">
        <x:v>62</x:v>
      </x:c>
      <x:c r="H3842" s="12" t="n">
        <x:v>8000000000</x:v>
      </x:c>
      <x:c r="I3842" s="12" t="n">
        <x:v>129032258.06451613</x:v>
      </x:c>
      <x:c r="J3842" s="2" t="str">
        <x:v>total</x:v>
      </x:c>
      <x:c r="K3842" s="2" t="str">
        <x:v>top_level_area</x:v>
      </x:c>
      <x:c r="L3842" s="2" t="str">
        <x:v>property_type_inferred_from_title;transaction_assumed_sale_from_dataset_context</x:v>
      </x:c>
      <x:c r="M3842" s="10" t="n">
        <x:v>0</x:v>
      </x:c>
      <x:c r="N3842" s="10" t="n">
        <x:v>0</x:v>
      </x:c>
      <x:c r="O3842" s="2" t="str">
        <x:v>Tp Hồ Chí Minh|house</x:v>
      </x:c>
      <x:c r="P3842" s="10" t="n">
        <x:v>2</x:v>
      </x:c>
      <x:c r="Q3842" s="13" t="n">
        <x:f>IF(H3842="","",H3842/1000000000)</x:f>
        <x:v>8</x:v>
      </x:c>
      <x:c r="R3842" s="13" t="n">
        <x:f>IF(I3842="","",I3842/1000000)</x:f>
        <x:v>129.03225806451613</x:v>
      </x:c>
    </x:row>
    <x:row r="3843" ht="21" customHeight="1">
      <x:c r="A3843" s="10" t="n">
        <x:v>5225</x:v>
      </x:c>
      <x:c r="B3843" s="2" t="str">
        <x:v>e113006f1dbde0e0554c</x:v>
      </x:c>
      <x:c r="C3843" s="2" t="str">
        <x:v>Đà Nẵng</x:v>
      </x:c>
      <x:c r="D3843" s="2" t="str">
        <x:v>Quận Thanh Khê</x:v>
      </x:c>
      <x:c r="E3843" s="2" t="str">
        <x:v>house</x:v>
      </x:c>
      <x:c r="F3843" s="2" t="str">
        <x:v>sale</x:v>
      </x:c>
      <x:c r="G3843" s="11" t="n">
        <x:v>50</x:v>
      </x:c>
      <x:c r="H3843" s="12" t="n">
        <x:v>3300000000</x:v>
      </x:c>
      <x:c r="I3843" s="12" t="n">
        <x:v>66000000</x:v>
      </x:c>
      <x:c r="J3843" s="2" t="str">
        <x:v>total</x:v>
      </x:c>
      <x:c r="K3843" s="2" t="str">
        <x:v>top_level_area</x:v>
      </x:c>
      <x:c r="L3843" s="2" t="str">
        <x:v>property_type_inferred_from_title</x:v>
      </x:c>
      <x:c r="M3843" s="10" t="n">
        <x:v>0</x:v>
      </x:c>
      <x:c r="N3843" s="10" t="n">
        <x:v>0</x:v>
      </x:c>
      <x:c r="O3843" s="2" t="str">
        <x:v>Đà Nẵng|house</x:v>
      </x:c>
      <x:c r="P3843" s="10" t="n">
        <x:v>2</x:v>
      </x:c>
      <x:c r="Q3843" s="13" t="n">
        <x:f>IF(H3843="","",H3843/1000000000)</x:f>
        <x:v>3.3</x:v>
      </x:c>
      <x:c r="R3843" s="13" t="n">
        <x:f>IF(I3843="","",I3843/1000000)</x:f>
        <x:v>66</x:v>
      </x:c>
    </x:row>
    <x:row r="3844" ht="21" customHeight="1">
      <x:c r="A3844" s="10" t="n">
        <x:v>5226</x:v>
      </x:c>
      <x:c r="B3844" s="2" t="str">
        <x:v>1c78506e50fc6216d7a5</x:v>
      </x:c>
      <x:c r="C3844" s="2" t="str">
        <x:v>Tp Hồ Chí Minh</x:v>
      </x:c>
      <x:c r="D3844" s="2" t="str">
        <x:v>Quận 9</x:v>
      </x:c>
      <x:c r="E3844" s="2" t="str">
        <x:v>house</x:v>
      </x:c>
      <x:c r="F3844" s="2" t="str">
        <x:v>sale_assumed</x:v>
      </x:c>
      <x:c r="G3844" s="11" t="n">
        <x:v>600</x:v>
      </x:c>
      <x:c r="H3844" s="12" t="n">
        <x:v>5500000000</x:v>
      </x:c>
      <x:c r="I3844" s="12" t="n">
        <x:v>9166666.666666666</x:v>
      </x:c>
      <x:c r="J3844" s="2" t="str">
        <x:v>total</x:v>
      </x:c>
      <x:c r="K3844" s="2" t="str">
        <x:v>top_level_area</x:v>
      </x:c>
      <x:c r="L3844" s="2" t="str">
        <x:v>property_type_inferred_from_title;transaction_assumed_sale_from_dataset_context</x:v>
      </x:c>
      <x:c r="M3844" s="10" t="n">
        <x:v>0</x:v>
      </x:c>
      <x:c r="N3844" s="10" t="n">
        <x:v>0</x:v>
      </x:c>
      <x:c r="O3844" s="2" t="str">
        <x:v>Tp Hồ Chí Minh|house</x:v>
      </x:c>
      <x:c r="P3844" s="10" t="n">
        <x:v>1</x:v>
      </x:c>
      <x:c r="Q3844" s="13" t="n">
        <x:f>IF(H3844="","",H3844/1000000000)</x:f>
        <x:v>5.5</x:v>
      </x:c>
      <x:c r="R3844" s="13" t="n">
        <x:f>IF(I3844="","",I3844/1000000)</x:f>
        <x:v>9.166666666666666</x:v>
      </x:c>
    </x:row>
    <x:row r="3845" ht="21" customHeight="1">
      <x:c r="A3845" s="10" t="n">
        <x:v>5227</x:v>
      </x:c>
      <x:c r="B3845" s="2" t="str">
        <x:v>9d6b7b5fba651a14aab1</x:v>
      </x:c>
      <x:c r="C3845" s="2" t="str">
        <x:v>Cần Thơ</x:v>
      </x:c>
      <x:c r="D3845" s="2" t="str">
        <x:v>Quận Bình Thuỷ</x:v>
      </x:c>
      <x:c r="E3845" s="2" t="str">
        <x:v>other_unknown</x:v>
      </x:c>
      <x:c r="F3845" s="2" t="str">
        <x:v>sale</x:v>
      </x:c>
      <x:c r="G3845" s="11" t="n">
        <x:v>69.5</x:v>
      </x:c>
      <x:c r="H3845" s="12" t="n">
        <x:v>1250000000</x:v>
      </x:c>
      <x:c r="I3845" s="12" t="n">
        <x:v>17985611.510791365</x:v>
      </x:c>
      <x:c r="J3845" s="2" t="str">
        <x:v>total</x:v>
      </x:c>
      <x:c r="K3845" s="2" t="str">
        <x:v>top_level_area</x:v>
      </x:c>
      <x:c r="L3845" s="2" t="str">
        <x:v>property_type_inferred_from_title;unknown_property_type</x:v>
      </x:c>
      <x:c r="M3845" s="10" t="n">
        <x:v>0</x:v>
      </x:c>
      <x:c r="N3845" s="10" t="n">
        <x:v>0</x:v>
      </x:c>
      <x:c r="O3845" s="2" t="str">
        <x:v>other_unknown</x:v>
      </x:c>
      <x:c r="P3845" s="10" t="n">
        <x:v>2</x:v>
      </x:c>
      <x:c r="Q3845" s="13" t="n">
        <x:f>IF(H3845="","",H3845/1000000000)</x:f>
        <x:v>1.25</x:v>
      </x:c>
      <x:c r="R3845" s="13" t="n">
        <x:f>IF(I3845="","",I3845/1000000)</x:f>
        <x:v>17.985611510791365</x:v>
      </x:c>
    </x:row>
    <x:row r="3846" ht="21" customHeight="1">
      <x:c r="A3846" s="10" t="n">
        <x:v>5228</x:v>
      </x:c>
      <x:c r="B3846" s="2" t="str">
        <x:v>ab151c84979e60faeeab</x:v>
      </x:c>
      <x:c r="C3846" s="2" t="str">
        <x:v>Hà Nội</x:v>
      </x:c>
      <x:c r="D3846" s="2" t="str">
        <x:v>Quận Hoàng Mai</x:v>
      </x:c>
      <x:c r="E3846" s="2" t="str">
        <x:v>house</x:v>
      </x:c>
      <x:c r="F3846" s="2" t="str">
        <x:v>sale_assumed</x:v>
      </x:c>
      <x:c r="G3846" s="11" t="n">
        <x:v>32</x:v>
      </x:c>
      <x:c r="H3846" s="12" t="n">
        <x:v>3050000000</x:v>
      </x:c>
      <x:c r="I3846" s="12" t="n">
        <x:v>95312500</x:v>
      </x:c>
      <x:c r="J3846" s="2" t="str">
        <x:v>total</x:v>
      </x:c>
      <x:c r="K3846" s="2" t="str">
        <x:v>top_level_area</x:v>
      </x:c>
      <x:c r="L3846" s="2" t="str">
        <x:v>property_type_inferred_from_title;transaction_assumed_sale_from_dataset_context</x:v>
      </x:c>
      <x:c r="M3846" s="10" t="n">
        <x:v>0</x:v>
      </x:c>
      <x:c r="N3846" s="10" t="n">
        <x:v>0</x:v>
      </x:c>
      <x:c r="O3846" s="2" t="str">
        <x:v>Hà Nội|house</x:v>
      </x:c>
      <x:c r="P3846" s="10" t="n">
        <x:v>2</x:v>
      </x:c>
      <x:c r="Q3846" s="13" t="n">
        <x:f>IF(H3846="","",H3846/1000000000)</x:f>
        <x:v>3.05</x:v>
      </x:c>
      <x:c r="R3846" s="13" t="n">
        <x:f>IF(I3846="","",I3846/1000000)</x:f>
        <x:v>95.3125</x:v>
      </x:c>
    </x:row>
    <x:row r="3847" ht="21" customHeight="1">
      <x:c r="A3847" s="10" t="n">
        <x:v>5229</x:v>
      </x:c>
      <x:c r="B3847" s="2" t="str">
        <x:v>1b0888f7a6202b0fd597</x:v>
      </x:c>
      <x:c r="C3847" s="2" t="str">
        <x:v>Khánh Hòa</x:v>
      </x:c>
      <x:c r="D3847" s="2" t="str">
        <x:v>Thành phố Nha Trang</x:v>
      </x:c>
      <x:c r="E3847" s="2" t="str">
        <x:v>house</x:v>
      </x:c>
      <x:c r="F3847" s="2" t="str">
        <x:v>sale_assumed</x:v>
      </x:c>
      <x:c r="G3847" s="11" t="n">
        <x:v>38.3</x:v>
      </x:c>
      <x:c r="H3847" s="12" t="n">
        <x:v>1550000000</x:v>
      </x:c>
      <x:c r="I3847" s="12" t="n">
        <x:v>40469973.89033943</x:v>
      </x:c>
      <x:c r="J3847" s="2" t="str">
        <x:v>total</x:v>
      </x:c>
      <x:c r="K3847" s="2" t="str">
        <x:v>top_level_area</x:v>
      </x:c>
      <x:c r="L3847" s="2" t="str">
        <x:v>property_type_inferred_from_title;transaction_assumed_sale_from_dataset_context</x:v>
      </x:c>
      <x:c r="M3847" s="10" t="n">
        <x:v>0</x:v>
      </x:c>
      <x:c r="N3847" s="10" t="n">
        <x:v>0</x:v>
      </x:c>
      <x:c r="O3847" s="2" t="str">
        <x:v>Khánh Hòa|house</x:v>
      </x:c>
      <x:c r="P3847" s="10" t="n">
        <x:v>2</x:v>
      </x:c>
      <x:c r="Q3847" s="13" t="n">
        <x:f>IF(H3847="","",H3847/1000000000)</x:f>
        <x:v>1.55</x:v>
      </x:c>
      <x:c r="R3847" s="13" t="n">
        <x:f>IF(I3847="","",I3847/1000000)</x:f>
        <x:v>40.469973890339425</x:v>
      </x:c>
    </x:row>
    <x:row r="3848" ht="21" customHeight="1">
      <x:c r="A3848" s="10" t="n">
        <x:v>5230</x:v>
      </x:c>
      <x:c r="B3848" s="2" t="str">
        <x:v>e0def2d8e1a704f1ba47</x:v>
      </x:c>
      <x:c r="C3848" s="2" t="str">
        <x:v>Bà Rịa - Vũng Tàu</x:v>
      </x:c>
      <x:c r="D3848" s="2" t="str">
        <x:v>Thị xã Phú Mỹ</x:v>
      </x:c>
      <x:c r="E3848" s="2" t="str">
        <x:v>land</x:v>
      </x:c>
      <x:c r="F3848" s="2" t="str">
        <x:v>sale_assumed</x:v>
      </x:c>
      <x:c r="G3848" s="11" t="n">
        <x:v>140</x:v>
      </x:c>
      <x:c r="H3848" s="12" t="n">
        <x:v>650000000</x:v>
      </x:c>
      <x:c r="I3848" s="12" t="n">
        <x:v>4642857.142857143</x:v>
      </x:c>
      <x:c r="J3848" s="2" t="str">
        <x:v>total</x:v>
      </x:c>
      <x:c r="K3848" s="2" t="str">
        <x:v>top_level_price_embedded_area</x:v>
      </x:c>
      <x:c r="L3848" s="2" t="str">
        <x:v>area_recovered_from_price_text;property_type_inferred_from_title;transaction_assumed_sale_from_dataset_context</x:v>
      </x:c>
      <x:c r="M3848" s="10" t="n">
        <x:v>0</x:v>
      </x:c>
      <x:c r="N3848" s="10" t="n">
        <x:v>0</x:v>
      </x:c>
      <x:c r="O3848" s="2" t="str">
        <x:v>Bà Rịa - Vũng Tàu|land</x:v>
      </x:c>
      <x:c r="P3848" s="10" t="n">
        <x:v>2</x:v>
      </x:c>
      <x:c r="Q3848" s="13" t="n">
        <x:f>IF(H3848="","",H3848/1000000000)</x:f>
        <x:v>0.65</x:v>
      </x:c>
      <x:c r="R3848" s="13" t="n">
        <x:f>IF(I3848="","",I3848/1000000)</x:f>
        <x:v>4.642857142857142</x:v>
      </x:c>
    </x:row>
    <x:row r="3849" ht="21" customHeight="1">
      <x:c r="A3849" s="10" t="n">
        <x:v>5231</x:v>
      </x:c>
      <x:c r="B3849" s="2" t="str">
        <x:v>f5fc9fd2b6faa5b72677</x:v>
      </x:c>
      <x:c r="C3849" s="2" t="str">
        <x:v>Tp Hồ Chí Minh</x:v>
      </x:c>
      <x:c r="D3849" s="2" t="str">
        <x:v>Quận Tân Phú</x:v>
      </x:c>
      <x:c r="E3849" s="2" t="str">
        <x:v>other_unknown</x:v>
      </x:c>
      <x:c r="F3849" s="2" t="str">
        <x:v>sale_assumed</x:v>
      </x:c>
      <x:c r="G3849" s="11" t="n">
        <x:v>72</x:v>
      </x:c>
      <x:c r="H3849" s="12" t="n">
        <x:v>7200000000</x:v>
      </x:c>
      <x:c r="I3849" s="12" t="n">
        <x:v>100000000</x:v>
      </x:c>
      <x:c r="J3849" s="2" t="str">
        <x:v>total</x:v>
      </x:c>
      <x:c r="K3849" s="2" t="str">
        <x:v>top_level_area</x:v>
      </x:c>
      <x:c r="L3849" s="2" t="str">
        <x:v>property_type_inferred_from_title;transaction_assumed_sale_from_dataset_context;unknown_property_type</x:v>
      </x:c>
      <x:c r="M3849" s="10" t="n">
        <x:v>0</x:v>
      </x:c>
      <x:c r="N3849" s="10" t="n">
        <x:v>0</x:v>
      </x:c>
      <x:c r="O3849" s="2" t="str">
        <x:v>Tp Hồ Chí Minh|other_unknown</x:v>
      </x:c>
      <x:c r="P3849" s="10" t="n">
        <x:v>2</x:v>
      </x:c>
      <x:c r="Q3849" s="13" t="n">
        <x:f>IF(H3849="","",H3849/1000000000)</x:f>
        <x:v>7.2</x:v>
      </x:c>
      <x:c r="R3849" s="13" t="n">
        <x:f>IF(I3849="","",I3849/1000000)</x:f>
        <x:v>100</x:v>
      </x:c>
    </x:row>
    <x:row r="3850" ht="21" customHeight="1">
      <x:c r="A3850" s="10" t="n">
        <x:v>5232</x:v>
      </x:c>
      <x:c r="B3850" s="2" t="str">
        <x:v>6037f0c6ec84e078efb0</x:v>
      </x:c>
      <x:c r="C3850" s="2" t="str">
        <x:v>Hà Nội</x:v>
      </x:c>
      <x:c r="D3850" s="2" t="str">
        <x:v>Quận Hai Bà Trưng</x:v>
      </x:c>
      <x:c r="E3850" s="2" t="str">
        <x:v>house</x:v>
      </x:c>
      <x:c r="F3850" s="2" t="str">
        <x:v>sale</x:v>
      </x:c>
      <x:c r="G3850" s="11" t="n">
        <x:v>40</x:v>
      </x:c>
      <x:c r="H3850" s="12" t="n">
        <x:v>3800000000</x:v>
      </x:c>
      <x:c r="I3850" s="12" t="n">
        <x:v>95000000</x:v>
      </x:c>
      <x:c r="J3850" s="2" t="str">
        <x:v>total</x:v>
      </x:c>
      <x:c r="K3850" s="2" t="str">
        <x:v>top_level_area</x:v>
      </x:c>
      <x:c r="L3850" s="2" t="str">
        <x:v>property_type_inferred_from_title</x:v>
      </x:c>
      <x:c r="M3850" s="10" t="n">
        <x:v>0</x:v>
      </x:c>
      <x:c r="N3850" s="10" t="n">
        <x:v>0</x:v>
      </x:c>
      <x:c r="O3850" s="2" t="str">
        <x:v>Hà Nội|house</x:v>
      </x:c>
      <x:c r="P3850" s="10" t="n">
        <x:v>2</x:v>
      </x:c>
      <x:c r="Q3850" s="13" t="n">
        <x:f>IF(H3850="","",H3850/1000000000)</x:f>
        <x:v>3.8</x:v>
      </x:c>
      <x:c r="R3850" s="13" t="n">
        <x:f>IF(I3850="","",I3850/1000000)</x:f>
        <x:v>95</x:v>
      </x:c>
    </x:row>
    <x:row r="3851" ht="21" customHeight="1">
      <x:c r="A3851" s="10" t="n">
        <x:v>5233</x:v>
      </x:c>
      <x:c r="B3851" s="2" t="str">
        <x:v>9af890fe0fa2d955ea2f</x:v>
      </x:c>
      <x:c r="C3851" s="2" t="str">
        <x:v>Tp Hồ Chí Minh</x:v>
      </x:c>
      <x:c r="D3851" s="2" t="str">
        <x:v>Quận 6</x:v>
      </x:c>
      <x:c r="E3851" s="2" t="str">
        <x:v>house</x:v>
      </x:c>
      <x:c r="F3851" s="2" t="str">
        <x:v>sale</x:v>
      </x:c>
      <x:c r="G3851" s="11" t="n">
        <x:v>30</x:v>
      </x:c>
      <x:c r="H3851" s="12" t="n">
        <x:v>2350000000</x:v>
      </x:c>
      <x:c r="I3851" s="12" t="n">
        <x:v>78333333.33333333</x:v>
      </x:c>
      <x:c r="J3851" s="2" t="str">
        <x:v>total</x:v>
      </x:c>
      <x:c r="K3851" s="2" t="str">
        <x:v>top_level_area</x:v>
      </x:c>
      <x:c r="L3851" s="2" t="str">
        <x:v>property_type_inferred_from_title</x:v>
      </x:c>
      <x:c r="M3851" s="10" t="n">
        <x:v>0</x:v>
      </x:c>
      <x:c r="N3851" s="10" t="n">
        <x:v>0</x:v>
      </x:c>
      <x:c r="O3851" s="2" t="str">
        <x:v>Tp Hồ Chí Minh|house</x:v>
      </x:c>
      <x:c r="P3851" s="10" t="n">
        <x:v>2</x:v>
      </x:c>
      <x:c r="Q3851" s="13" t="n">
        <x:f>IF(H3851="","",H3851/1000000000)</x:f>
        <x:v>2.35</x:v>
      </x:c>
      <x:c r="R3851" s="13" t="n">
        <x:f>IF(I3851="","",I3851/1000000)</x:f>
        <x:v>78.33333333333333</x:v>
      </x:c>
    </x:row>
    <x:row r="3852" ht="21" customHeight="1">
      <x:c r="A3852" s="10" t="n">
        <x:v>5234</x:v>
      </x:c>
      <x:c r="B3852" s="2" t="str">
        <x:v>59a5afe5771fa8766325</x:v>
      </x:c>
      <x:c r="C3852" s="2" t="str">
        <x:v>Hậu Giang</x:v>
      </x:c>
      <x:c r="D3852" s="2" t="str">
        <x:v>Huyện Châu Thành</x:v>
      </x:c>
      <x:c r="E3852" s="2" t="str">
        <x:v>land</x:v>
      </x:c>
      <x:c r="F3852" s="2" t="str">
        <x:v>sale_assumed</x:v>
      </x:c>
      <x:c r="G3852" s="11" t="n">
        <x:v>100</x:v>
      </x:c>
      <x:c r="H3852" s="12" t="n">
        <x:v>690000000</x:v>
      </x:c>
      <x:c r="I3852" s="12" t="n">
        <x:v>6900000</x:v>
      </x:c>
      <x:c r="J3852" s="2" t="str">
        <x:v>total</x:v>
      </x:c>
      <x:c r="K3852" s="2" t="str">
        <x:v>top_level_area</x:v>
      </x:c>
      <x:c r="L3852" s="2" t="str">
        <x:v>property_type_inferred_from_title;transaction_assumed_sale_from_dataset_context</x:v>
      </x:c>
      <x:c r="M3852" s="10" t="n">
        <x:v>0</x:v>
      </x:c>
      <x:c r="N3852" s="10" t="n">
        <x:v>0</x:v>
      </x:c>
      <x:c r="O3852" s="2" t="str">
        <x:v>land</x:v>
      </x:c>
      <x:c r="P3852" s="10" t="n">
        <x:v>2</x:v>
      </x:c>
      <x:c r="Q3852" s="13" t="n">
        <x:f>IF(H3852="","",H3852/1000000000)</x:f>
        <x:v>0.69</x:v>
      </x:c>
      <x:c r="R3852" s="13" t="n">
        <x:f>IF(I3852="","",I3852/1000000)</x:f>
        <x:v>6.9</x:v>
      </x:c>
    </x:row>
    <x:row r="3853" ht="21" customHeight="1">
      <x:c r="A3853" s="10" t="n">
        <x:v>5235</x:v>
      </x:c>
      <x:c r="B3853" s="2" t="str">
        <x:v>14305e7a5448f93880bd</x:v>
      </x:c>
      <x:c r="C3853" s="2" t="str">
        <x:v>Tp Hồ Chí Minh</x:v>
      </x:c>
      <x:c r="D3853" s="2" t="str">
        <x:v>Huyện Bình Chánh</x:v>
      </x:c>
      <x:c r="E3853" s="2" t="str">
        <x:v>land</x:v>
      </x:c>
      <x:c r="F3853" s="2" t="str">
        <x:v>sale_assumed</x:v>
      </x:c>
      <x:c r="G3853" s="11" t="n">
        <x:v>96</x:v>
      </x:c>
      <x:c r="H3853" s="12" t="n">
        <x:v>1050000000</x:v>
      </x:c>
      <x:c r="I3853" s="12" t="n">
        <x:v>10937500</x:v>
      </x:c>
      <x:c r="J3853" s="2" t="str">
        <x:v>total</x:v>
      </x:c>
      <x:c r="K3853" s="2" t="str">
        <x:v>top_level_area</x:v>
      </x:c>
      <x:c r="L3853" s="2" t="str">
        <x:v>property_type_inferred_from_title;transaction_assumed_sale_from_dataset_context</x:v>
      </x:c>
      <x:c r="M3853" s="10" t="n">
        <x:v>0</x:v>
      </x:c>
      <x:c r="N3853" s="10" t="n">
        <x:v>0</x:v>
      </x:c>
      <x:c r="O3853" s="2" t="str">
        <x:v>Tp Hồ Chí Minh|land</x:v>
      </x:c>
      <x:c r="P3853" s="10" t="n">
        <x:v>2</x:v>
      </x:c>
      <x:c r="Q3853" s="13" t="n">
        <x:f>IF(H3853="","",H3853/1000000000)</x:f>
        <x:v>1.05</x:v>
      </x:c>
      <x:c r="R3853" s="13" t="n">
        <x:f>IF(I3853="","",I3853/1000000)</x:f>
        <x:v>10.9375</x:v>
      </x:c>
    </x:row>
    <x:row r="3854" ht="21" customHeight="1">
      <x:c r="A3854" s="10" t="n">
        <x:v>5236</x:v>
      </x:c>
      <x:c r="B3854" s="2" t="str">
        <x:v>bd1ec8d5717d87e9b1fe</x:v>
      </x:c>
      <x:c r="C3854" s="2" t="str">
        <x:v>Tiền Giang</x:v>
      </x:c>
      <x:c r="D3854" s="2" t="str">
        <x:v>Thành phố Mỹ Tho</x:v>
      </x:c>
      <x:c r="E3854" s="2" t="str">
        <x:v>land</x:v>
      </x:c>
      <x:c r="F3854" s="2" t="str">
        <x:v>sale</x:v>
      </x:c>
      <x:c r="G3854" s="11" t="n">
        <x:v>175</x:v>
      </x:c>
      <x:c r="H3854" s="12" t="n">
        <x:v>500000000</x:v>
      </x:c>
      <x:c r="I3854" s="12" t="n">
        <x:v>2857142.8571428573</x:v>
      </x:c>
      <x:c r="J3854" s="2" t="str">
        <x:v>total</x:v>
      </x:c>
      <x:c r="K3854" s="2" t="str">
        <x:v>top_level_area</x:v>
      </x:c>
      <x:c r="L3854" s="2" t="str">
        <x:v>property_type_inferred_from_title</x:v>
      </x:c>
      <x:c r="M3854" s="10" t="n">
        <x:v>0</x:v>
      </x:c>
      <x:c r="N3854" s="10" t="n">
        <x:v>0</x:v>
      </x:c>
      <x:c r="O3854" s="2" t="str">
        <x:v>land</x:v>
      </x:c>
      <x:c r="P3854" s="10" t="n">
        <x:v>1</x:v>
      </x:c>
      <x:c r="Q3854" s="13" t="n">
        <x:f>IF(H3854="","",H3854/1000000000)</x:f>
        <x:v>0.5</x:v>
      </x:c>
      <x:c r="R3854" s="13" t="n">
        <x:f>IF(I3854="","",I3854/1000000)</x:f>
        <x:v>2.857142857142857</x:v>
      </x:c>
    </x:row>
    <x:row r="3855" ht="21" customHeight="1">
      <x:c r="A3855" s="10" t="n">
        <x:v>5240</x:v>
      </x:c>
      <x:c r="B3855" s="2" t="str">
        <x:v>8c8dd047435a047c33a4</x:v>
      </x:c>
      <x:c r="C3855" s="2" t="str">
        <x:v>Tp Hồ Chí Minh</x:v>
      </x:c>
      <x:c r="D3855" s="2" t="str">
        <x:v>Quận 9</x:v>
      </x:c>
      <x:c r="E3855" s="2" t="str">
        <x:v>apartment</x:v>
      </x:c>
      <x:c r="F3855" s="2" t="str">
        <x:v>sale_assumed</x:v>
      </x:c>
      <x:c r="G3855" s="11" t="n">
        <x:v>35</x:v>
      </x:c>
      <x:c r="H3855" s="12" t="n">
        <x:v>1700000000</x:v>
      </x:c>
      <x:c r="I3855" s="12" t="n">
        <x:v>48571428.571428575</x:v>
      </x:c>
      <x:c r="J3855" s="2" t="str">
        <x:v>total</x:v>
      </x:c>
      <x:c r="K3855" s="2" t="str">
        <x:v>top_level_area</x:v>
      </x:c>
      <x:c r="L3855" s="2" t="str">
        <x:v>property_type_inferred_from_title;transaction_assumed_sale_from_dataset_context</x:v>
      </x:c>
      <x:c r="M3855" s="10" t="n">
        <x:v>0</x:v>
      </x:c>
      <x:c r="N3855" s="10" t="n">
        <x:v>0</x:v>
      </x:c>
      <x:c r="O3855" s="2" t="str">
        <x:v>Tp Hồ Chí Minh|apartment</x:v>
      </x:c>
      <x:c r="P3855" s="10" t="n">
        <x:v>2</x:v>
      </x:c>
      <x:c r="Q3855" s="13" t="n">
        <x:f>IF(H3855="","",H3855/1000000000)</x:f>
        <x:v>1.7</x:v>
      </x:c>
      <x:c r="R3855" s="13" t="n">
        <x:f>IF(I3855="","",I3855/1000000)</x:f>
        <x:v>48.57142857142858</x:v>
      </x:c>
    </x:row>
    <x:row r="3856" ht="21" customHeight="1">
      <x:c r="A3856" s="10" t="n">
        <x:v>5241</x:v>
      </x:c>
      <x:c r="B3856" s="2" t="str">
        <x:v>94ceb60413a11911965a</x:v>
      </x:c>
      <x:c r="C3856" s="2" t="str">
        <x:v>Bình Dương</x:v>
      </x:c>
      <x:c r="D3856" s="2" t="str">
        <x:v>Thị xã Bến Cát</x:v>
      </x:c>
      <x:c r="E3856" s="2" t="str">
        <x:v>house</x:v>
      </x:c>
      <x:c r="F3856" s="2" t="str">
        <x:v>sale_assumed</x:v>
      </x:c>
      <x:c r="G3856" s="11" t="n">
        <x:v>208</x:v>
      </x:c>
      <x:c r="H3856" s="12" t="n">
        <x:v>680000000</x:v>
      </x:c>
      <x:c r="I3856" s="12" t="n">
        <x:v>3269230.769230769</x:v>
      </x:c>
      <x:c r="J3856" s="2" t="str">
        <x:v>total</x:v>
      </x:c>
      <x:c r="K3856" s="2" t="str">
        <x:v>top_level_area</x:v>
      </x:c>
      <x:c r="L3856" s="2" t="str">
        <x:v>property_type_inferred_from_title;transaction_assumed_sale_from_dataset_context</x:v>
      </x:c>
      <x:c r="M3856" s="10" t="n">
        <x:v>0</x:v>
      </x:c>
      <x:c r="N3856" s="10" t="n">
        <x:v>0</x:v>
      </x:c>
      <x:c r="O3856" s="2" t="str">
        <x:v>Bình Dương|house</x:v>
      </x:c>
      <x:c r="P3856" s="10" t="n">
        <x:v>1</x:v>
      </x:c>
      <x:c r="Q3856" s="13" t="n">
        <x:f>IF(H3856="","",H3856/1000000000)</x:f>
        <x:v>0.68</x:v>
      </x:c>
      <x:c r="R3856" s="13" t="n">
        <x:f>IF(I3856="","",I3856/1000000)</x:f>
        <x:v>3.269230769230769</x:v>
      </x:c>
    </x:row>
    <x:row r="3857" ht="21" customHeight="1">
      <x:c r="A3857" s="10" t="n">
        <x:v>5242</x:v>
      </x:c>
      <x:c r="B3857" s="2" t="str">
        <x:v>4e9b06c8e22bada7a137</x:v>
      </x:c>
      <x:c r="C3857" s="2" t="str">
        <x:v>Tp Hồ Chí Minh</x:v>
      </x:c>
      <x:c r="D3857" s="2" t="str">
        <x:v>Quận Bình Tân</x:v>
      </x:c>
      <x:c r="E3857" s="2" t="str">
        <x:v>house</x:v>
      </x:c>
      <x:c r="F3857" s="2" t="str">
        <x:v>sale</x:v>
      </x:c>
      <x:c r="G3857" s="11" t="n">
        <x:v>76</x:v>
      </x:c>
      <x:c r="H3857" s="12" t="n">
        <x:v>4300000000</x:v>
      </x:c>
      <x:c r="I3857" s="12" t="n">
        <x:v>56578947.368421055</x:v>
      </x:c>
      <x:c r="J3857" s="2" t="str">
        <x:v>total</x:v>
      </x:c>
      <x:c r="K3857" s="2" t="str">
        <x:v>top_level_area</x:v>
      </x:c>
      <x:c r="L3857" s="2" t="str">
        <x:v>property_type_inferred_from_title</x:v>
      </x:c>
      <x:c r="M3857" s="10" t="n">
        <x:v>0</x:v>
      </x:c>
      <x:c r="N3857" s="10" t="n">
        <x:v>0</x:v>
      </x:c>
      <x:c r="O3857" s="2" t="str">
        <x:v>Tp Hồ Chí Minh|house</x:v>
      </x:c>
      <x:c r="P3857" s="10" t="n">
        <x:v>2</x:v>
      </x:c>
      <x:c r="Q3857" s="13" t="n">
        <x:f>IF(H3857="","",H3857/1000000000)</x:f>
        <x:v>4.3</x:v>
      </x:c>
      <x:c r="R3857" s="13" t="n">
        <x:f>IF(I3857="","",I3857/1000000)</x:f>
        <x:v>56.578947368421055</x:v>
      </x:c>
    </x:row>
    <x:row r="3858" ht="21" customHeight="1">
      <x:c r="A3858" s="10" t="n">
        <x:v>5243</x:v>
      </x:c>
      <x:c r="B3858" s="2" t="str">
        <x:v>874389f58a3bfebb92da</x:v>
      </x:c>
      <x:c r="C3858" s="2" t="str">
        <x:v>Bình Dương</x:v>
      </x:c>
      <x:c r="D3858" s="2" t="str">
        <x:v>Thị xã Bến Cát</x:v>
      </x:c>
      <x:c r="E3858" s="2" t="str">
        <x:v>house</x:v>
      </x:c>
      <x:c r="F3858" s="2" t="str">
        <x:v>sale_assumed</x:v>
      </x:c>
      <x:c r="G3858" s="11" t="n">
        <x:v>90</x:v>
      </x:c>
      <x:c r="H3858" s="12" t="n">
        <x:v>1270000000</x:v>
      </x:c>
      <x:c r="I3858" s="12" t="n">
        <x:v>14111111.111111112</x:v>
      </x:c>
      <x:c r="J3858" s="2" t="str">
        <x:v>total</x:v>
      </x:c>
      <x:c r="K3858" s="2" t="str">
        <x:v>top_level_area</x:v>
      </x:c>
      <x:c r="L3858" s="2" t="str">
        <x:v>property_type_inferred_from_title;transaction_assumed_sale_from_dataset_context</x:v>
      </x:c>
      <x:c r="M3858" s="10" t="n">
        <x:v>0</x:v>
      </x:c>
      <x:c r="N3858" s="10" t="n">
        <x:v>0</x:v>
      </x:c>
      <x:c r="O3858" s="2" t="str">
        <x:v>Bình Dương|house</x:v>
      </x:c>
      <x:c r="P3858" s="10" t="n">
        <x:v>2</x:v>
      </x:c>
      <x:c r="Q3858" s="13" t="n">
        <x:f>IF(H3858="","",H3858/1000000000)</x:f>
        <x:v>1.27</x:v>
      </x:c>
      <x:c r="R3858" s="13" t="n">
        <x:f>IF(I3858="","",I3858/1000000)</x:f>
        <x:v>14.111111111111112</x:v>
      </x:c>
    </x:row>
    <x:row r="3859" ht="21" customHeight="1">
      <x:c r="A3859" s="10" t="n">
        <x:v>5244</x:v>
      </x:c>
      <x:c r="B3859" s="2" t="str">
        <x:v>d5487449f68d088e6d11</x:v>
      </x:c>
      <x:c r="C3859" s="2" t="str">
        <x:v>Cần Thơ</x:v>
      </x:c>
      <x:c r="D3859" s="2" t="str">
        <x:v>Quận Bình Thuỷ</x:v>
      </x:c>
      <x:c r="E3859" s="2" t="str">
        <x:v>land</x:v>
      </x:c>
      <x:c r="F3859" s="2" t="str">
        <x:v>sale</x:v>
      </x:c>
      <x:c r="G3859" s="11" t="n">
        <x:v>78</x:v>
      </x:c>
      <x:c r="H3859" s="12" t="n">
        <x:v>1600000000</x:v>
      </x:c>
      <x:c r="I3859" s="12" t="n">
        <x:v>20512820.512820512</x:v>
      </x:c>
      <x:c r="J3859" s="2" t="str">
        <x:v>total</x:v>
      </x:c>
      <x:c r="K3859" s="2" t="str">
        <x:v>top_level_area</x:v>
      </x:c>
      <x:c r="L3859" s="2" t="str">
        <x:v>property_type_inferred_from_title</x:v>
      </x:c>
      <x:c r="M3859" s="10" t="n">
        <x:v>0</x:v>
      </x:c>
      <x:c r="N3859" s="10" t="n">
        <x:v>0</x:v>
      </x:c>
      <x:c r="O3859" s="2" t="str">
        <x:v>Cần Thơ|land</x:v>
      </x:c>
      <x:c r="P3859" s="10" t="n">
        <x:v>2</x:v>
      </x:c>
      <x:c r="Q3859" s="13" t="n">
        <x:f>IF(H3859="","",H3859/1000000000)</x:f>
        <x:v>1.6</x:v>
      </x:c>
      <x:c r="R3859" s="13" t="n">
        <x:f>IF(I3859="","",I3859/1000000)</x:f>
        <x:v>20.51282051282051</x:v>
      </x:c>
    </x:row>
    <x:row r="3860" ht="21" customHeight="1">
      <x:c r="A3860" s="10" t="n">
        <x:v>5245</x:v>
      </x:c>
      <x:c r="B3860" s="2" t="str">
        <x:v>c5b533cc3c2eb226a12a</x:v>
      </x:c>
      <x:c r="C3860" s="2" t="str">
        <x:v>Đà Nẵng</x:v>
      </x:c>
      <x:c r="D3860" s="2" t="str">
        <x:v>Quận Thanh Khê</x:v>
      </x:c>
      <x:c r="E3860" s="2" t="str">
        <x:v>house</x:v>
      </x:c>
      <x:c r="F3860" s="2" t="str">
        <x:v>sale</x:v>
      </x:c>
      <x:c r="G3860" s="11" t="n">
        <x:v>40</x:v>
      </x:c>
      <x:c r="H3860" s="12" t="n">
        <x:v>2290000000</x:v>
      </x:c>
      <x:c r="I3860" s="12" t="n">
        <x:v>57250000</x:v>
      </x:c>
      <x:c r="J3860" s="2" t="str">
        <x:v>total</x:v>
      </x:c>
      <x:c r="K3860" s="2" t="str">
        <x:v>top_level_area</x:v>
      </x:c>
      <x:c r="L3860" s="2" t="str">
        <x:v>property_type_inferred_from_title</x:v>
      </x:c>
      <x:c r="M3860" s="10" t="n">
        <x:v>0</x:v>
      </x:c>
      <x:c r="N3860" s="10" t="n">
        <x:v>0</x:v>
      </x:c>
      <x:c r="O3860" s="2" t="str">
        <x:v>Đà Nẵng|house</x:v>
      </x:c>
      <x:c r="P3860" s="10" t="n">
        <x:v>2</x:v>
      </x:c>
      <x:c r="Q3860" s="13" t="n">
        <x:f>IF(H3860="","",H3860/1000000000)</x:f>
        <x:v>2.29</x:v>
      </x:c>
      <x:c r="R3860" s="13" t="n">
        <x:f>IF(I3860="","",I3860/1000000)</x:f>
        <x:v>57.25</x:v>
      </x:c>
    </x:row>
    <x:row r="3861" ht="21" customHeight="1">
      <x:c r="A3861" s="10" t="n">
        <x:v>5246</x:v>
      </x:c>
      <x:c r="B3861" s="2" t="str">
        <x:v>bcfdd17a788182c7a21f</x:v>
      </x:c>
      <x:c r="C3861" s="2" t="str">
        <x:v>Hà Nội</x:v>
      </x:c>
      <x:c r="D3861" s="2" t="str">
        <x:v>Quận Đống Đa</x:v>
      </x:c>
      <x:c r="E3861" s="2" t="str">
        <x:v>house</x:v>
      </x:c>
      <x:c r="F3861" s="2" t="str">
        <x:v>sale</x:v>
      </x:c>
      <x:c r="G3861" s="11" t="n">
        <x:v>65</x:v>
      </x:c>
      <x:c r="H3861" s="12" t="n">
        <x:v>10200000000</x:v>
      </x:c>
      <x:c r="I3861" s="12" t="n">
        <x:v>156923076.92307693</x:v>
      </x:c>
      <x:c r="J3861" s="2" t="str">
        <x:v>total</x:v>
      </x:c>
      <x:c r="K3861" s="2" t="str">
        <x:v>top_level_area</x:v>
      </x:c>
      <x:c r="L3861" s="2" t="str">
        <x:v>property_type_inferred_from_title</x:v>
      </x:c>
      <x:c r="M3861" s="10" t="n">
        <x:v>0</x:v>
      </x:c>
      <x:c r="N3861" s="10" t="n">
        <x:v>0</x:v>
      </x:c>
      <x:c r="O3861" s="2" t="str">
        <x:v>Hà Nội|house</x:v>
      </x:c>
      <x:c r="P3861" s="10" t="n">
        <x:v>2</x:v>
      </x:c>
      <x:c r="Q3861" s="13" t="n">
        <x:f>IF(H3861="","",H3861/1000000000)</x:f>
        <x:v>10.2</x:v>
      </x:c>
      <x:c r="R3861" s="13" t="n">
        <x:f>IF(I3861="","",I3861/1000000)</x:f>
        <x:v>156.92307692307693</x:v>
      </x:c>
    </x:row>
    <x:row r="3862" ht="21" customHeight="1">
      <x:c r="A3862" s="10" t="n">
        <x:v>5247</x:v>
      </x:c>
      <x:c r="B3862" s="2" t="str">
        <x:v>e10c76883ed087697b97</x:v>
      </x:c>
      <x:c r="C3862" s="2" t="str">
        <x:v>Bình Dương</x:v>
      </x:c>
      <x:c r="D3862" s="2" t="str">
        <x:v>Thị xã Bến Cát</x:v>
      </x:c>
      <x:c r="E3862" s="2" t="str">
        <x:v>land</x:v>
      </x:c>
      <x:c r="F3862" s="2" t="str">
        <x:v>sale_assumed</x:v>
      </x:c>
      <x:c r="G3862" s="11" t="n">
        <x:v>300</x:v>
      </x:c>
      <x:c r="H3862" s="12" t="n">
        <x:v>980000000</x:v>
      </x:c>
      <x:c r="I3862" s="12" t="n">
        <x:v>3266666.6666666665</x:v>
      </x:c>
      <x:c r="J3862" s="2" t="str">
        <x:v>total</x:v>
      </x:c>
      <x:c r="K3862" s="2" t="str">
        <x:v>top_level_area</x:v>
      </x:c>
      <x:c r="L3862" s="2" t="str">
        <x:v>property_type_inferred_from_title;transaction_assumed_sale_from_dataset_context</x:v>
      </x:c>
      <x:c r="M3862" s="10" t="n">
        <x:v>0</x:v>
      </x:c>
      <x:c r="N3862" s="10" t="n">
        <x:v>0</x:v>
      </x:c>
      <x:c r="O3862" s="2" t="str">
        <x:v>Bình Dương|land</x:v>
      </x:c>
      <x:c r="P3862" s="10" t="n">
        <x:v>1</x:v>
      </x:c>
      <x:c r="Q3862" s="13" t="n">
        <x:f>IF(H3862="","",H3862/1000000000)</x:f>
        <x:v>0.98</x:v>
      </x:c>
      <x:c r="R3862" s="13" t="n">
        <x:f>IF(I3862="","",I3862/1000000)</x:f>
        <x:v>3.2666666666666666</x:v>
      </x:c>
    </x:row>
    <x:row r="3863" ht="21" customHeight="1">
      <x:c r="A3863" s="10" t="n">
        <x:v>5248</x:v>
      </x:c>
      <x:c r="B3863" s="2" t="str">
        <x:v>de423c1961f54bceed51</x:v>
      </x:c>
      <x:c r="C3863" s="2" t="str">
        <x:v>Tp Hồ Chí Minh</x:v>
      </x:c>
      <x:c r="D3863" s="2" t="str">
        <x:v>Quận Bình Tân</x:v>
      </x:c>
      <x:c r="E3863" s="2" t="str">
        <x:v>house</x:v>
      </x:c>
      <x:c r="F3863" s="2" t="str">
        <x:v>sale</x:v>
      </x:c>
      <x:c r="G3863" s="11" t="n">
        <x:v>50</x:v>
      </x:c>
      <x:c r="H3863" s="12" t="n">
        <x:v>868000000</x:v>
      </x:c>
      <x:c r="I3863" s="12" t="n">
        <x:v>17360000</x:v>
      </x:c>
      <x:c r="J3863" s="2" t="str">
        <x:v>total</x:v>
      </x:c>
      <x:c r="K3863" s="2" t="str">
        <x:v>top_level_area</x:v>
      </x:c>
      <x:c r="L3863" s="2" t="str">
        <x:v>property_type_inferred_from_title</x:v>
      </x:c>
      <x:c r="M3863" s="10" t="n">
        <x:v>0</x:v>
      </x:c>
      <x:c r="N3863" s="10" t="n">
        <x:v>0</x:v>
      </x:c>
      <x:c r="O3863" s="2" t="str">
        <x:v>Tp Hồ Chí Minh|house</x:v>
      </x:c>
      <x:c r="P3863" s="10" t="n">
        <x:v>2</x:v>
      </x:c>
      <x:c r="Q3863" s="13" t="n">
        <x:f>IF(H3863="","",H3863/1000000000)</x:f>
        <x:v>0.868</x:v>
      </x:c>
      <x:c r="R3863" s="13" t="n">
        <x:f>IF(I3863="","",I3863/1000000)</x:f>
        <x:v>17.36</x:v>
      </x:c>
    </x:row>
    <x:row r="3864" ht="21" customHeight="1">
      <x:c r="A3864" s="10" t="n">
        <x:v>5249</x:v>
      </x:c>
      <x:c r="B3864" s="2" t="str">
        <x:v>4a1bdb59a1613e181879</x:v>
      </x:c>
      <x:c r="C3864" s="2" t="str">
        <x:v>Tp Hồ Chí Minh</x:v>
      </x:c>
      <x:c r="D3864" s="2" t="str">
        <x:v>Quận Thủ Đức</x:v>
      </x:c>
      <x:c r="E3864" s="2" t="str">
        <x:v>house</x:v>
      </x:c>
      <x:c r="F3864" s="2" t="str">
        <x:v>sale_assumed</x:v>
      </x:c>
      <x:c r="G3864" s="11" t="n">
        <x:v>60</x:v>
      </x:c>
      <x:c r="H3864" s="12" t="n">
        <x:v>4000000000</x:v>
      </x:c>
      <x:c r="I3864" s="12" t="n">
        <x:v>66666666.666666664</x:v>
      </x:c>
      <x:c r="J3864" s="2" t="str">
        <x:v>total</x:v>
      </x:c>
      <x:c r="K3864" s="2" t="str">
        <x:v>top_level_area</x:v>
      </x:c>
      <x:c r="L3864" s="2" t="str">
        <x:v>property_type_inferred_from_title;transaction_assumed_sale_from_dataset_context</x:v>
      </x:c>
      <x:c r="M3864" s="10" t="n">
        <x:v>0</x:v>
      </x:c>
      <x:c r="N3864" s="10" t="n">
        <x:v>0</x:v>
      </x:c>
      <x:c r="O3864" s="2" t="str">
        <x:v>Tp Hồ Chí Minh|house</x:v>
      </x:c>
      <x:c r="P3864" s="10" t="n">
        <x:v>2</x:v>
      </x:c>
      <x:c r="Q3864" s="13" t="n">
        <x:f>IF(H3864="","",H3864/1000000000)</x:f>
        <x:v>4</x:v>
      </x:c>
      <x:c r="R3864" s="13" t="n">
        <x:f>IF(I3864="","",I3864/1000000)</x:f>
        <x:v>66.66666666666666</x:v>
      </x:c>
    </x:row>
    <x:row r="3865" ht="21" customHeight="1">
      <x:c r="A3865" s="10" t="n">
        <x:v>5250</x:v>
      </x:c>
      <x:c r="B3865" s="2" t="str">
        <x:v>aa62d146fe762a997c4a</x:v>
      </x:c>
      <x:c r="C3865" s="2" t="str">
        <x:v>Kiên Giang</x:v>
      </x:c>
      <x:c r="D3865" s="2" t="str">
        <x:v>Huyện Phú Quốc</x:v>
      </x:c>
      <x:c r="E3865" s="2" t="str">
        <x:v>house</x:v>
      </x:c>
      <x:c r="F3865" s="2" t="str">
        <x:v>sale_assumed</x:v>
      </x:c>
      <x:c r="G3865" s="11" t="n">
        <x:v>108</x:v>
      </x:c>
      <x:c r="H3865" s="12" t="n">
        <x:v>790000000</x:v>
      </x:c>
      <x:c r="I3865" s="12" t="n">
        <x:v>7314814.814814814</x:v>
      </x:c>
      <x:c r="J3865" s="2" t="str">
        <x:v>total</x:v>
      </x:c>
      <x:c r="K3865" s="2" t="str">
        <x:v>top_level_area</x:v>
      </x:c>
      <x:c r="L3865" s="2" t="str">
        <x:v>property_type_inferred_from_title;transaction_assumed_sale_from_dataset_context</x:v>
      </x:c>
      <x:c r="M3865" s="10" t="n">
        <x:v>0</x:v>
      </x:c>
      <x:c r="N3865" s="10" t="n">
        <x:v>0</x:v>
      </x:c>
      <x:c r="O3865" s="2" t="str">
        <x:v>house</x:v>
      </x:c>
      <x:c r="P3865" s="10" t="n">
        <x:v>2</x:v>
      </x:c>
      <x:c r="Q3865" s="13" t="n">
        <x:f>IF(H3865="","",H3865/1000000000)</x:f>
        <x:v>0.79</x:v>
      </x:c>
      <x:c r="R3865" s="13" t="n">
        <x:f>IF(I3865="","",I3865/1000000)</x:f>
        <x:v>7.314814814814814</x:v>
      </x:c>
    </x:row>
    <x:row r="3866" ht="21" customHeight="1">
      <x:c r="A3866" s="10" t="n">
        <x:v>5251</x:v>
      </x:c>
      <x:c r="B3866" s="2" t="str">
        <x:v>b18877481301eb7e3667</x:v>
      </x:c>
      <x:c r="C3866" s="2" t="str">
        <x:v>Hà Nội</x:v>
      </x:c>
      <x:c r="D3866" s="2" t="str">
        <x:v>Quận Ba Đình</x:v>
      </x:c>
      <x:c r="E3866" s="2" t="str">
        <x:v>apartment</x:v>
      </x:c>
      <x:c r="F3866" s="2" t="str">
        <x:v>sale_assumed</x:v>
      </x:c>
      <x:c r="G3866" s="11" t="n">
        <x:v>44</x:v>
      </x:c>
      <x:c r="H3866" s="12" t="n">
        <x:v>700000000</x:v>
      </x:c>
      <x:c r="I3866" s="12" t="n">
        <x:v>15909090.909090908</x:v>
      </x:c>
      <x:c r="J3866" s="2" t="str">
        <x:v>total</x:v>
      </x:c>
      <x:c r="K3866" s="2" t="str">
        <x:v>top_level_area</x:v>
      </x:c>
      <x:c r="L3866" s="2" t="str">
        <x:v>property_type_inferred_from_title;transaction_assumed_sale_from_dataset_context</x:v>
      </x:c>
      <x:c r="M3866" s="10" t="n">
        <x:v>0</x:v>
      </x:c>
      <x:c r="N3866" s="10" t="n">
        <x:v>0</x:v>
      </x:c>
      <x:c r="O3866" s="2" t="str">
        <x:v>Hà Nội|apartment</x:v>
      </x:c>
      <x:c r="P3866" s="10" t="n">
        <x:v>2</x:v>
      </x:c>
      <x:c r="Q3866" s="13" t="n">
        <x:f>IF(H3866="","",H3866/1000000000)</x:f>
        <x:v>0.7</x:v>
      </x:c>
      <x:c r="R3866" s="13" t="n">
        <x:f>IF(I3866="","",I3866/1000000)</x:f>
        <x:v>15.909090909090908</x:v>
      </x:c>
    </x:row>
    <x:row r="3867" ht="21" customHeight="1">
      <x:c r="A3867" s="10" t="n">
        <x:v>5252</x:v>
      </x:c>
      <x:c r="B3867" s="2" t="str">
        <x:v>59b36cd7acd4d08daaa1</x:v>
      </x:c>
      <x:c r="C3867" s="2" t="str">
        <x:v>Hà Nội</x:v>
      </x:c>
      <x:c r="D3867" s="2" t="str">
        <x:v>Quận Hai Bà Trưng</x:v>
      </x:c>
      <x:c r="E3867" s="2" t="str">
        <x:v>house</x:v>
      </x:c>
      <x:c r="F3867" s="2" t="str">
        <x:v>sale</x:v>
      </x:c>
      <x:c r="G3867" s="11" t="n">
        <x:v>50</x:v>
      </x:c>
      <x:c r="H3867" s="12" t="n">
        <x:v>3650000000</x:v>
      </x:c>
      <x:c r="I3867" s="12" t="n">
        <x:v>73000000</x:v>
      </x:c>
      <x:c r="J3867" s="2" t="str">
        <x:v>total</x:v>
      </x:c>
      <x:c r="K3867" s="2" t="str">
        <x:v>top_level_area</x:v>
      </x:c>
      <x:c r="L3867" s="2" t="str">
        <x:v>property_type_inferred_from_title</x:v>
      </x:c>
      <x:c r="M3867" s="10" t="n">
        <x:v>0</x:v>
      </x:c>
      <x:c r="N3867" s="10" t="n">
        <x:v>0</x:v>
      </x:c>
      <x:c r="O3867" s="2" t="str">
        <x:v>Hà Nội|house</x:v>
      </x:c>
      <x:c r="P3867" s="10" t="n">
        <x:v>2</x:v>
      </x:c>
      <x:c r="Q3867" s="13" t="n">
        <x:f>IF(H3867="","",H3867/1000000000)</x:f>
        <x:v>3.65</x:v>
      </x:c>
      <x:c r="R3867" s="13" t="n">
        <x:f>IF(I3867="","",I3867/1000000)</x:f>
        <x:v>73</x:v>
      </x:c>
    </x:row>
    <x:row r="3868" ht="21" customHeight="1">
      <x:c r="A3868" s="10" t="n">
        <x:v>5253</x:v>
      </x:c>
      <x:c r="B3868" s="2" t="str">
        <x:v>c331a35ff7b4201390b0</x:v>
      </x:c>
      <x:c r="C3868" s="2" t="str">
        <x:v>Tp Hồ Chí Minh</x:v>
      </x:c>
      <x:c r="D3868" s="2" t="str">
        <x:v>Quận 7</x:v>
      </x:c>
      <x:c r="E3868" s="2" t="str">
        <x:v>house</x:v>
      </x:c>
      <x:c r="F3868" s="2" t="str">
        <x:v>sale</x:v>
      </x:c>
      <x:c r="G3868" s="11" t="n">
        <x:v>105</x:v>
      </x:c>
      <x:c r="H3868" s="12" t="n">
        <x:v>6300000000</x:v>
      </x:c>
      <x:c r="I3868" s="12" t="n">
        <x:v>60000000</x:v>
      </x:c>
      <x:c r="J3868" s="2" t="str">
        <x:v>total</x:v>
      </x:c>
      <x:c r="K3868" s="2" t="str">
        <x:v>top_level_area</x:v>
      </x:c>
      <x:c r="L3868" s="2" t="str">
        <x:v>property_type_inferred_from_title</x:v>
      </x:c>
      <x:c r="M3868" s="10" t="n">
        <x:v>0</x:v>
      </x:c>
      <x:c r="N3868" s="10" t="n">
        <x:v>0</x:v>
      </x:c>
      <x:c r="O3868" s="2" t="str">
        <x:v>Tp Hồ Chí Minh|house</x:v>
      </x:c>
      <x:c r="P3868" s="10" t="n">
        <x:v>2</x:v>
      </x:c>
      <x:c r="Q3868" s="13" t="n">
        <x:f>IF(H3868="","",H3868/1000000000)</x:f>
        <x:v>6.3</x:v>
      </x:c>
      <x:c r="R3868" s="13" t="n">
        <x:f>IF(I3868="","",I3868/1000000)</x:f>
        <x:v>60</x:v>
      </x:c>
    </x:row>
    <x:row r="3869" ht="21" customHeight="1">
      <x:c r="A3869" s="10" t="n">
        <x:v>5254</x:v>
      </x:c>
      <x:c r="B3869" s="2" t="str">
        <x:v>e3fe2fbc916a2dc54603</x:v>
      </x:c>
      <x:c r="C3869" s="2" t="str">
        <x:v>Long An</x:v>
      </x:c>
      <x:c r="D3869" s="2" t="str">
        <x:v>Huyện Đức Hòa</x:v>
      </x:c>
      <x:c r="E3869" s="2" t="str">
        <x:v>house</x:v>
      </x:c>
      <x:c r="F3869" s="2" t="str">
        <x:v>sale</x:v>
      </x:c>
      <x:c r="G3869" s="11" t="n">
        <x:v>50</x:v>
      </x:c>
      <x:c r="H3869" s="12" t="n">
        <x:v>790000000</x:v>
      </x:c>
      <x:c r="I3869" s="12" t="n">
        <x:v>15800000</x:v>
      </x:c>
      <x:c r="J3869" s="2" t="str">
        <x:v>total</x:v>
      </x:c>
      <x:c r="K3869" s="2" t="str">
        <x:v>top_level_area</x:v>
      </x:c>
      <x:c r="L3869" s="2" t="str">
        <x:v>property_type_inferred_from_title</x:v>
      </x:c>
      <x:c r="M3869" s="10" t="n">
        <x:v>0</x:v>
      </x:c>
      <x:c r="N3869" s="10" t="n">
        <x:v>0</x:v>
      </x:c>
      <x:c r="O3869" s="2" t="str">
        <x:v>Long An|house</x:v>
      </x:c>
      <x:c r="P3869" s="10" t="n">
        <x:v>2</x:v>
      </x:c>
      <x:c r="Q3869" s="13" t="n">
        <x:f>IF(H3869="","",H3869/1000000000)</x:f>
        <x:v>0.79</x:v>
      </x:c>
      <x:c r="R3869" s="13" t="n">
        <x:f>IF(I3869="","",I3869/1000000)</x:f>
        <x:v>15.8</x:v>
      </x:c>
    </x:row>
    <x:row r="3870" ht="21" customHeight="1">
      <x:c r="A3870" s="10" t="n">
        <x:v>5255</x:v>
      </x:c>
      <x:c r="B3870" s="2" t="str">
        <x:v>4d775e09b04a07a82ab7</x:v>
      </x:c>
      <x:c r="C3870" s="2" t="str">
        <x:v>Hà Nội</x:v>
      </x:c>
      <x:c r="D3870" s="2" t="str">
        <x:v>Quận Thanh Xuân</x:v>
      </x:c>
      <x:c r="E3870" s="2" t="str">
        <x:v>house</x:v>
      </x:c>
      <x:c r="F3870" s="2" t="str">
        <x:v>sale_assumed</x:v>
      </x:c>
      <x:c r="G3870" s="11" t="n">
        <x:v>51</x:v>
      </x:c>
      <x:c r="H3870" s="12" t="n">
        <x:v>4250000000</x:v>
      </x:c>
      <x:c r="I3870" s="12" t="n">
        <x:v>83333333.33333333</x:v>
      </x:c>
      <x:c r="J3870" s="2" t="str">
        <x:v>total</x:v>
      </x:c>
      <x:c r="K3870" s="2" t="str">
        <x:v>top_level_area</x:v>
      </x:c>
      <x:c r="L3870" s="2" t="str">
        <x:v>property_type_inferred_from_title;transaction_assumed_sale_from_dataset_context</x:v>
      </x:c>
      <x:c r="M3870" s="10" t="n">
        <x:v>0</x:v>
      </x:c>
      <x:c r="N3870" s="10" t="n">
        <x:v>0</x:v>
      </x:c>
      <x:c r="O3870" s="2" t="str">
        <x:v>Hà Nội|house</x:v>
      </x:c>
      <x:c r="P3870" s="10" t="n">
        <x:v>2</x:v>
      </x:c>
      <x:c r="Q3870" s="13" t="n">
        <x:f>IF(H3870="","",H3870/1000000000)</x:f>
        <x:v>4.25</x:v>
      </x:c>
      <x:c r="R3870" s="13" t="n">
        <x:f>IF(I3870="","",I3870/1000000)</x:f>
        <x:v>83.33333333333333</x:v>
      </x:c>
    </x:row>
    <x:row r="3871" ht="21" customHeight="1">
      <x:c r="A3871" s="10" t="n">
        <x:v>5256</x:v>
      </x:c>
      <x:c r="B3871" s="2" t="str">
        <x:v>a4051a4d8eca7f67506c</x:v>
      </x:c>
      <x:c r="C3871" s="2" t="str">
        <x:v>Bình Định</x:v>
      </x:c>
      <x:c r="D3871" s="2" t="str">
        <x:v>Huyện Hoài Nhơn</x:v>
      </x:c>
      <x:c r="E3871" s="2" t="str">
        <x:v>house</x:v>
      </x:c>
      <x:c r="F3871" s="2" t="str">
        <x:v>sale</x:v>
      </x:c>
      <x:c r="G3871" s="11" t="n">
        <x:v>85</x:v>
      </x:c>
      <x:c r="H3871" s="12" t="n">
        <x:v>2700000000</x:v>
      </x:c>
      <x:c r="I3871" s="12" t="n">
        <x:v>31764705.88235294</x:v>
      </x:c>
      <x:c r="J3871" s="2" t="str">
        <x:v>total</x:v>
      </x:c>
      <x:c r="K3871" s="2" t="str">
        <x:v>top_level_area</x:v>
      </x:c>
      <x:c r="L3871" s="2" t="str">
        <x:v>property_type_inferred_from_title</x:v>
      </x:c>
      <x:c r="M3871" s="10" t="n">
        <x:v>0</x:v>
      </x:c>
      <x:c r="N3871" s="10" t="n">
        <x:v>0</x:v>
      </x:c>
      <x:c r="O3871" s="2" t="str">
        <x:v>house</x:v>
      </x:c>
      <x:c r="P3871" s="10" t="n">
        <x:v>2</x:v>
      </x:c>
      <x:c r="Q3871" s="13" t="n">
        <x:f>IF(H3871="","",H3871/1000000000)</x:f>
        <x:v>2.7</x:v>
      </x:c>
      <x:c r="R3871" s="13" t="n">
        <x:f>IF(I3871="","",I3871/1000000)</x:f>
        <x:v>31.764705882352942</x:v>
      </x:c>
    </x:row>
    <x:row r="3872" ht="21" customHeight="1">
      <x:c r="A3872" s="10" t="n">
        <x:v>5258</x:v>
      </x:c>
      <x:c r="B3872" s="2" t="str">
        <x:v>5a6e08ec2e56eeba328d</x:v>
      </x:c>
      <x:c r="C3872" s="2" t="str">
        <x:v>Hà Nội</x:v>
      </x:c>
      <x:c r="D3872" s="2" t="str">
        <x:v>Quận Hà Đông</x:v>
      </x:c>
      <x:c r="E3872" s="2" t="str">
        <x:v>house</x:v>
      </x:c>
      <x:c r="F3872" s="2" t="str">
        <x:v>sale_assumed</x:v>
      </x:c>
      <x:c r="G3872" s="11" t="n">
        <x:v>30</x:v>
      </x:c>
      <x:c r="H3872" s="12" t="n">
        <x:v>1620000000</x:v>
      </x:c>
      <x:c r="I3872" s="12" t="n">
        <x:v>54000000</x:v>
      </x:c>
      <x:c r="J3872" s="2" t="str">
        <x:v>total</x:v>
      </x:c>
      <x:c r="K3872" s="2" t="str">
        <x:v>top_level_area</x:v>
      </x:c>
      <x:c r="L3872" s="2" t="str">
        <x:v>property_type_inferred_from_title;transaction_assumed_sale_from_dataset_context</x:v>
      </x:c>
      <x:c r="M3872" s="10" t="n">
        <x:v>0</x:v>
      </x:c>
      <x:c r="N3872" s="10" t="n">
        <x:v>0</x:v>
      </x:c>
      <x:c r="O3872" s="2" t="str">
        <x:v>Hà Nội|house</x:v>
      </x:c>
      <x:c r="P3872" s="10" t="n">
        <x:v>2</x:v>
      </x:c>
      <x:c r="Q3872" s="13" t="n">
        <x:f>IF(H3872="","",H3872/1000000000)</x:f>
        <x:v>1.62</x:v>
      </x:c>
      <x:c r="R3872" s="13" t="n">
        <x:f>IF(I3872="","",I3872/1000000)</x:f>
        <x:v>54</x:v>
      </x:c>
    </x:row>
    <x:row r="3873" ht="21" customHeight="1">
      <x:c r="A3873" s="10" t="n">
        <x:v>5259</x:v>
      </x:c>
      <x:c r="B3873" s="2" t="str">
        <x:v>9a49c77754c74b05bbcc</x:v>
      </x:c>
      <x:c r="C3873" s="2" t="str">
        <x:v>Long An</x:v>
      </x:c>
      <x:c r="D3873" s="2" t="str">
        <x:v>Huyện Đức Hòa</x:v>
      </x:c>
      <x:c r="E3873" s="2" t="str">
        <x:v>land</x:v>
      </x:c>
      <x:c r="F3873" s="2" t="str">
        <x:v>sale</x:v>
      </x:c>
      <x:c r="G3873" s="11" t="n">
        <x:v>107</x:v>
      </x:c>
      <x:c r="H3873" s="12" t="n">
        <x:v>1250000000</x:v>
      </x:c>
      <x:c r="I3873" s="12" t="n">
        <x:v>11682242.990654206</x:v>
      </x:c>
      <x:c r="J3873" s="2" t="str">
        <x:v>total</x:v>
      </x:c>
      <x:c r="K3873" s="2" t="str">
        <x:v>top_level_area</x:v>
      </x:c>
      <x:c r="L3873" s="2" t="str">
        <x:v>property_type_inferred_from_title</x:v>
      </x:c>
      <x:c r="M3873" s="10" t="n">
        <x:v>0</x:v>
      </x:c>
      <x:c r="N3873" s="10" t="n">
        <x:v>0</x:v>
      </x:c>
      <x:c r="O3873" s="2" t="str">
        <x:v>Long An|land</x:v>
      </x:c>
      <x:c r="P3873" s="10" t="n">
        <x:v>2</x:v>
      </x:c>
      <x:c r="Q3873" s="13" t="n">
        <x:f>IF(H3873="","",H3873/1000000000)</x:f>
        <x:v>1.25</x:v>
      </x:c>
      <x:c r="R3873" s="13" t="n">
        <x:f>IF(I3873="","",I3873/1000000)</x:f>
        <x:v>11.682242990654206</x:v>
      </x:c>
    </x:row>
    <x:row r="3874" ht="21" customHeight="1">
      <x:c r="A3874" s="10" t="n">
        <x:v>5263</x:v>
      </x:c>
      <x:c r="B3874" s="2" t="str">
        <x:v>5d0fa1b46cdee044ff32</x:v>
      </x:c>
      <x:c r="C3874" s="2" t="str">
        <x:v>Hà Nội</x:v>
      </x:c>
      <x:c r="D3874" s="2" t="str">
        <x:v>Quận Long Biên</x:v>
      </x:c>
      <x:c r="E3874" s="2" t="str">
        <x:v>house</x:v>
      </x:c>
      <x:c r="F3874" s="2" t="str">
        <x:v>sale_assumed</x:v>
      </x:c>
      <x:c r="G3874" s="11" t="n">
        <x:v>56</x:v>
      </x:c>
      <x:c r="H3874" s="12" t="n">
        <x:v>6300000000</x:v>
      </x:c>
      <x:c r="I3874" s="12" t="n">
        <x:v>112500000</x:v>
      </x:c>
      <x:c r="J3874" s="2" t="str">
        <x:v>total</x:v>
      </x:c>
      <x:c r="K3874" s="2" t="str">
        <x:v>top_level_area</x:v>
      </x:c>
      <x:c r="L3874" s="2" t="str">
        <x:v>property_type_inferred_from_title;transaction_assumed_sale_from_dataset_context</x:v>
      </x:c>
      <x:c r="M3874" s="10" t="n">
        <x:v>0</x:v>
      </x:c>
      <x:c r="N3874" s="10" t="n">
        <x:v>0</x:v>
      </x:c>
      <x:c r="O3874" s="2" t="str">
        <x:v>Hà Nội|house</x:v>
      </x:c>
      <x:c r="P3874" s="10" t="n">
        <x:v>2</x:v>
      </x:c>
      <x:c r="Q3874" s="13" t="n">
        <x:f>IF(H3874="","",H3874/1000000000)</x:f>
        <x:v>6.3</x:v>
      </x:c>
      <x:c r="R3874" s="13" t="n">
        <x:f>IF(I3874="","",I3874/1000000)</x:f>
        <x:v>112.5</x:v>
      </x:c>
    </x:row>
    <x:row r="3875" ht="21" customHeight="1">
      <x:c r="A3875" s="10" t="n">
        <x:v>5264</x:v>
      </x:c>
      <x:c r="B3875" s="2" t="str">
        <x:v>aa8970ff48f409e10028</x:v>
      </x:c>
      <x:c r="C3875" s="2" t="str">
        <x:v>Tp Hồ Chí Minh</x:v>
      </x:c>
      <x:c r="D3875" s="2" t="str">
        <x:v>Quận Tân Phú</x:v>
      </x:c>
      <x:c r="E3875" s="2" t="str">
        <x:v>house</x:v>
      </x:c>
      <x:c r="F3875" s="2" t="str">
        <x:v>sale_assumed</x:v>
      </x:c>
      <x:c r="G3875" s="11" t="n">
        <x:v>100</x:v>
      </x:c>
      <x:c r="H3875" s="12" t="n">
        <x:v>6500000000</x:v>
      </x:c>
      <x:c r="I3875" s="12" t="n">
        <x:v>65000000</x:v>
      </x:c>
      <x:c r="J3875" s="2" t="str">
        <x:v>total</x:v>
      </x:c>
      <x:c r="K3875" s="2" t="str">
        <x:v>top_level_area</x:v>
      </x:c>
      <x:c r="L3875" s="2" t="str">
        <x:v>property_type_inferred_from_title;transaction_assumed_sale_from_dataset_context</x:v>
      </x:c>
      <x:c r="M3875" s="10" t="n">
        <x:v>0</x:v>
      </x:c>
      <x:c r="N3875" s="10" t="n">
        <x:v>0</x:v>
      </x:c>
      <x:c r="O3875" s="2" t="str">
        <x:v>Tp Hồ Chí Minh|house</x:v>
      </x:c>
      <x:c r="P3875" s="10" t="n">
        <x:v>2</x:v>
      </x:c>
      <x:c r="Q3875" s="13" t="n">
        <x:f>IF(H3875="","",H3875/1000000000)</x:f>
        <x:v>6.5</x:v>
      </x:c>
      <x:c r="R3875" s="13" t="n">
        <x:f>IF(I3875="","",I3875/1000000)</x:f>
        <x:v>65</x:v>
      </x:c>
    </x:row>
    <x:row r="3876" ht="21" customHeight="1">
      <x:c r="A3876" s="10" t="n">
        <x:v>5265</x:v>
      </x:c>
      <x:c r="B3876" s="2" t="str">
        <x:v>f6d42332e2364a7b2e0f</x:v>
      </x:c>
      <x:c r="C3876" s="2" t="str">
        <x:v>Bến Tre</x:v>
      </x:c>
      <x:c r="D3876" s="2" t="str">
        <x:v>Huyện Châu Thành</x:v>
      </x:c>
      <x:c r="E3876" s="2" t="str">
        <x:v>land</x:v>
      </x:c>
      <x:c r="F3876" s="2" t="str">
        <x:v>sale_assumed</x:v>
      </x:c>
      <x:c r="G3876" s="11" t="n">
        <x:v>128</x:v>
      </x:c>
      <x:c r="H3876" s="12" t="n">
        <x:v>370000000</x:v>
      </x:c>
      <x:c r="I3876" s="12" t="n">
        <x:v>2890625</x:v>
      </x:c>
      <x:c r="J3876" s="2" t="str">
        <x:v>total</x:v>
      </x:c>
      <x:c r="K3876" s="2" t="str">
        <x:v>top_level_area</x:v>
      </x:c>
      <x:c r="L3876" s="2" t="str">
        <x:v>property_type_inferred_from_title;transaction_assumed_sale_from_dataset_context</x:v>
      </x:c>
      <x:c r="M3876" s="10" t="n">
        <x:v>0</x:v>
      </x:c>
      <x:c r="N3876" s="10" t="n">
        <x:v>0</x:v>
      </x:c>
      <x:c r="O3876" s="2" t="str">
        <x:v>Bến Tre|land</x:v>
      </x:c>
      <x:c r="P3876" s="10" t="n">
        <x:v>1</x:v>
      </x:c>
      <x:c r="Q3876" s="13" t="n">
        <x:f>IF(H3876="","",H3876/1000000000)</x:f>
        <x:v>0.37</x:v>
      </x:c>
      <x:c r="R3876" s="13" t="n">
        <x:f>IF(I3876="","",I3876/1000000)</x:f>
        <x:v>2.890625</x:v>
      </x:c>
    </x:row>
    <x:row r="3877" ht="21" customHeight="1">
      <x:c r="A3877" s="10" t="n">
        <x:v>5266</x:v>
      </x:c>
      <x:c r="B3877" s="2" t="str">
        <x:v>f5fe7711ac8aeac3aaf4</x:v>
      </x:c>
      <x:c r="C3877" s="2" t="str">
        <x:v>Tp Hồ Chí Minh</x:v>
      </x:c>
      <x:c r="D3877" s="2" t="str">
        <x:v>Quận Bình Tân</x:v>
      </x:c>
      <x:c r="E3877" s="2" t="str">
        <x:v>land</x:v>
      </x:c>
      <x:c r="F3877" s="2" t="str">
        <x:v>sale_assumed</x:v>
      </x:c>
      <x:c r="G3877" s="11" t="n">
        <x:v>229</x:v>
      </x:c>
      <x:c r="H3877" s="12" t="n">
        <x:v>17000000000</x:v>
      </x:c>
      <x:c r="I3877" s="12" t="n">
        <x:v>74235807.860262</x:v>
      </x:c>
      <x:c r="J3877" s="2" t="str">
        <x:v>total</x:v>
      </x:c>
      <x:c r="K3877" s="2" t="str">
        <x:v>top_level_area</x:v>
      </x:c>
      <x:c r="L3877" s="2" t="str">
        <x:v>property_type_inferred_from_title;transaction_assumed_sale_from_dataset_context</x:v>
      </x:c>
      <x:c r="M3877" s="10" t="n">
        <x:v>0</x:v>
      </x:c>
      <x:c r="N3877" s="10" t="n">
        <x:v>0</x:v>
      </x:c>
      <x:c r="O3877" s="2" t="str">
        <x:v>Tp Hồ Chí Minh|land</x:v>
      </x:c>
      <x:c r="P3877" s="10" t="n">
        <x:v>2</x:v>
      </x:c>
      <x:c r="Q3877" s="13" t="n">
        <x:f>IF(H3877="","",H3877/1000000000)</x:f>
        <x:v>17</x:v>
      </x:c>
      <x:c r="R3877" s="13" t="n">
        <x:f>IF(I3877="","",I3877/1000000)</x:f>
        <x:v>74.235807860262</x:v>
      </x:c>
    </x:row>
    <x:row r="3878" ht="21" customHeight="1">
      <x:c r="A3878" s="10" t="n">
        <x:v>5267</x:v>
      </x:c>
      <x:c r="B3878" s="2" t="str">
        <x:v>98cfb459f65b9731c4e6</x:v>
      </x:c>
      <x:c r="C3878" s="2" t="str">
        <x:v>Hà Nội</x:v>
      </x:c>
      <x:c r="D3878" s="2" t="str">
        <x:v>Quận Đống Đa</x:v>
      </x:c>
      <x:c r="E3878" s="2" t="str">
        <x:v>house</x:v>
      </x:c>
      <x:c r="F3878" s="2" t="str">
        <x:v>sale_assumed</x:v>
      </x:c>
      <x:c r="G3878" s="11" t="n">
        <x:v>40</x:v>
      </x:c>
      <x:c r="H3878" s="12" t="n">
        <x:v>3000000000</x:v>
      </x:c>
      <x:c r="I3878" s="12" t="n">
        <x:v>75000000</x:v>
      </x:c>
      <x:c r="J3878" s="2" t="str">
        <x:v>total</x:v>
      </x:c>
      <x:c r="K3878" s="2" t="str">
        <x:v>top_level_area</x:v>
      </x:c>
      <x:c r="L3878" s="2" t="str">
        <x:v>property_type_inferred_from_title;transaction_assumed_sale_from_dataset_context</x:v>
      </x:c>
      <x:c r="M3878" s="10" t="n">
        <x:v>0</x:v>
      </x:c>
      <x:c r="N3878" s="10" t="n">
        <x:v>0</x:v>
      </x:c>
      <x:c r="O3878" s="2" t="str">
        <x:v>Hà Nội|house</x:v>
      </x:c>
      <x:c r="P3878" s="10" t="n">
        <x:v>2</x:v>
      </x:c>
      <x:c r="Q3878" s="13" t="n">
        <x:f>IF(H3878="","",H3878/1000000000)</x:f>
        <x:v>3</x:v>
      </x:c>
      <x:c r="R3878" s="13" t="n">
        <x:f>IF(I3878="","",I3878/1000000)</x:f>
        <x:v>75</x:v>
      </x:c>
    </x:row>
    <x:row r="3879" ht="21" customHeight="1">
      <x:c r="A3879" s="10" t="n">
        <x:v>5268</x:v>
      </x:c>
      <x:c r="B3879" s="2" t="str">
        <x:v>e36196b6cbd84dec0aa1</x:v>
      </x:c>
      <x:c r="C3879" s="2" t="str">
        <x:v>Hà Nội</x:v>
      </x:c>
      <x:c r="D3879" s="2" t="str">
        <x:v>Quận Cầu Giấy</x:v>
      </x:c>
      <x:c r="E3879" s="2" t="str">
        <x:v>house</x:v>
      </x:c>
      <x:c r="F3879" s="2" t="str">
        <x:v>sale_assumed</x:v>
      </x:c>
      <x:c r="G3879" s="11" t="n">
        <x:v>80</x:v>
      </x:c>
      <x:c r="H3879" s="12" t="n">
        <x:v>25000000000</x:v>
      </x:c>
      <x:c r="I3879" s="12" t="n">
        <x:v>312500000</x:v>
      </x:c>
      <x:c r="J3879" s="2" t="str">
        <x:v>total</x:v>
      </x:c>
      <x:c r="K3879" s="2" t="str">
        <x:v>top_level_area</x:v>
      </x:c>
      <x:c r="L3879" s="2" t="str">
        <x:v>property_type_inferred_from_title;transaction_assumed_sale_from_dataset_context</x:v>
      </x:c>
      <x:c r="M3879" s="10" t="n">
        <x:v>1</x:v>
      </x:c>
      <x:c r="N3879" s="10" t="n">
        <x:v>1</x:v>
      </x:c>
      <x:c r="O3879" s="2" t="str">
        <x:v>Hà Nội|house</x:v>
      </x:c>
      <x:c r="P3879" s="10" t="n">
        <x:v>-1</x:v>
      </x:c>
      <x:c r="Q3879" s="13" t="n">
        <x:f>IF(H3879="","",H3879/1000000000)</x:f>
        <x:v>25</x:v>
      </x:c>
      <x:c r="R3879" s="13" t="n">
        <x:f>IF(I3879="","",I3879/1000000)</x:f>
        <x:v>312.5</x:v>
      </x:c>
    </x:row>
    <x:row r="3880" ht="21" customHeight="1">
      <x:c r="A3880" s="10" t="n">
        <x:v>5269</x:v>
      </x:c>
      <x:c r="B3880" s="2" t="str">
        <x:v>c7567f9322ff5556ff88</x:v>
      </x:c>
      <x:c r="C3880" s="2" t="str">
        <x:v>Hà Nội</x:v>
      </x:c>
      <x:c r="D3880" s="2" t="str">
        <x:v>Quận Tây Hồ</x:v>
      </x:c>
      <x:c r="E3880" s="2" t="str">
        <x:v>house</x:v>
      </x:c>
      <x:c r="F3880" s="2" t="str">
        <x:v>sale</x:v>
      </x:c>
      <x:c r="G3880" s="11" t="n">
        <x:v>90</x:v>
      </x:c>
      <x:c r="H3880" s="12" t="n">
        <x:v>7400000000</x:v>
      </x:c>
      <x:c r="I3880" s="12" t="n">
        <x:v>82222222.22222222</x:v>
      </x:c>
      <x:c r="J3880" s="2" t="str">
        <x:v>total</x:v>
      </x:c>
      <x:c r="K3880" s="2" t="str">
        <x:v>top_level_area</x:v>
      </x:c>
      <x:c r="L3880" s="2" t="str">
        <x:v>property_type_inferred_from_title</x:v>
      </x:c>
      <x:c r="M3880" s="10" t="n">
        <x:v>0</x:v>
      </x:c>
      <x:c r="N3880" s="10" t="n">
        <x:v>0</x:v>
      </x:c>
      <x:c r="O3880" s="2" t="str">
        <x:v>Hà Nội|house</x:v>
      </x:c>
      <x:c r="P3880" s="10" t="n">
        <x:v>2</x:v>
      </x:c>
      <x:c r="Q3880" s="13" t="n">
        <x:f>IF(H3880="","",H3880/1000000000)</x:f>
        <x:v>7.4</x:v>
      </x:c>
      <x:c r="R3880" s="13" t="n">
        <x:f>IF(I3880="","",I3880/1000000)</x:f>
        <x:v>82.22222222222223</x:v>
      </x:c>
    </x:row>
    <x:row r="3881" ht="21" customHeight="1">
      <x:c r="A3881" s="10" t="n">
        <x:v>5270</x:v>
      </x:c>
      <x:c r="B3881" s="2" t="str">
        <x:v>98f1a4f664a3bf4be5a1</x:v>
      </x:c>
      <x:c r="C3881" s="2" t="str">
        <x:v>Tp Hồ Chí Minh</x:v>
      </x:c>
      <x:c r="D3881" s="2" t="str">
        <x:v>Quận Thủ Đức</x:v>
      </x:c>
      <x:c r="E3881" s="2" t="str">
        <x:v>land</x:v>
      </x:c>
      <x:c r="F3881" s="2" t="str">
        <x:v>sale_assumed</x:v>
      </x:c>
      <x:c r="G3881" s="11" t="n">
        <x:v>80</x:v>
      </x:c>
      <x:c r="H3881" s="12" t="n">
        <x:v>6000000000</x:v>
      </x:c>
      <x:c r="I3881" s="12" t="n">
        <x:v>75000000</x:v>
      </x:c>
      <x:c r="J3881" s="2" t="str">
        <x:v>total</x:v>
      </x:c>
      <x:c r="K3881" s="2" t="str">
        <x:v>top_level_area</x:v>
      </x:c>
      <x:c r="L3881" s="2" t="str">
        <x:v>property_type_inferred_from_title;transaction_assumed_sale_from_dataset_context</x:v>
      </x:c>
      <x:c r="M3881" s="10" t="n">
        <x:v>0</x:v>
      </x:c>
      <x:c r="N3881" s="10" t="n">
        <x:v>0</x:v>
      </x:c>
      <x:c r="O3881" s="2" t="str">
        <x:v>Tp Hồ Chí Minh|land</x:v>
      </x:c>
      <x:c r="P3881" s="10" t="n">
        <x:v>2</x:v>
      </x:c>
      <x:c r="Q3881" s="13" t="n">
        <x:f>IF(H3881="","",H3881/1000000000)</x:f>
        <x:v>6</x:v>
      </x:c>
      <x:c r="R3881" s="13" t="n">
        <x:f>IF(I3881="","",I3881/1000000)</x:f>
        <x:v>75</x:v>
      </x:c>
    </x:row>
    <x:row r="3882" ht="21" customHeight="1">
      <x:c r="A3882" s="10" t="n">
        <x:v>5271</x:v>
      </x:c>
      <x:c r="B3882" s="2" t="str">
        <x:v>b0c8cc75f845a6d6b825</x:v>
      </x:c>
      <x:c r="C3882" s="2" t="str">
        <x:v>Hà Nội</x:v>
      </x:c>
      <x:c r="D3882" s="2" t="str">
        <x:v>Huyện Gia Lâm</x:v>
      </x:c>
      <x:c r="E3882" s="2" t="str">
        <x:v>land</x:v>
      </x:c>
      <x:c r="F3882" s="2" t="str">
        <x:v>sale</x:v>
      </x:c>
      <x:c r="G3882" s="11" t="n">
        <x:v>47</x:v>
      </x:c>
      <x:c r="H3882" s="12" t="n">
        <x:v>790000000</x:v>
      </x:c>
      <x:c r="I3882" s="12" t="n">
        <x:v>16808510.63829787</x:v>
      </x:c>
      <x:c r="J3882" s="2" t="str">
        <x:v>total</x:v>
      </x:c>
      <x:c r="K3882" s="2" t="str">
        <x:v>top_level_area</x:v>
      </x:c>
      <x:c r="L3882" s="2" t="str">
        <x:v>property_type_inferred_from_title</x:v>
      </x:c>
      <x:c r="M3882" s="10" t="n">
        <x:v>0</x:v>
      </x:c>
      <x:c r="N3882" s="10" t="n">
        <x:v>0</x:v>
      </x:c>
      <x:c r="O3882" s="2" t="str">
        <x:v>Hà Nội|land</x:v>
      </x:c>
      <x:c r="P3882" s="10" t="n">
        <x:v>2</x:v>
      </x:c>
      <x:c r="Q3882" s="13" t="n">
        <x:f>IF(H3882="","",H3882/1000000000)</x:f>
        <x:v>0.79</x:v>
      </x:c>
      <x:c r="R3882" s="13" t="n">
        <x:f>IF(I3882="","",I3882/1000000)</x:f>
        <x:v>16.80851063829787</x:v>
      </x:c>
    </x:row>
    <x:row r="3883" ht="21" customHeight="1">
      <x:c r="A3883" s="10" t="n">
        <x:v>5272</x:v>
      </x:c>
      <x:c r="B3883" s="2" t="str">
        <x:v>9b12bd3ce79168f84f07</x:v>
      </x:c>
      <x:c r="C3883" s="2" t="str">
        <x:v>Tp Hồ Chí Minh</x:v>
      </x:c>
      <x:c r="D3883" s="2" t="str">
        <x:v>Quận 9</x:v>
      </x:c>
      <x:c r="E3883" s="2" t="str">
        <x:v>other_unknown</x:v>
      </x:c>
      <x:c r="F3883" s="2" t="str">
        <x:v>sale</x:v>
      </x:c>
      <x:c r="G3883" s="11" t="n">
        <x:v>53</x:v>
      </x:c>
      <x:c r="H3883" s="12" t="n">
        <x:v>1850000000</x:v>
      </x:c>
      <x:c r="I3883" s="12" t="n">
        <x:v>34905660.37735849</x:v>
      </x:c>
      <x:c r="J3883" s="2" t="str">
        <x:v>total</x:v>
      </x:c>
      <x:c r="K3883" s="2" t="str">
        <x:v>top_level_area</x:v>
      </x:c>
      <x:c r="L3883" s="2" t="str">
        <x:v>property_type_inferred_from_title;unknown_property_type</x:v>
      </x:c>
      <x:c r="M3883" s="10" t="n">
        <x:v>0</x:v>
      </x:c>
      <x:c r="N3883" s="10" t="n">
        <x:v>0</x:v>
      </x:c>
      <x:c r="O3883" s="2" t="str">
        <x:v>Tp Hồ Chí Minh|other_unknown</x:v>
      </x:c>
      <x:c r="P3883" s="10" t="n">
        <x:v>2</x:v>
      </x:c>
      <x:c r="Q3883" s="13" t="n">
        <x:f>IF(H3883="","",H3883/1000000000)</x:f>
        <x:v>1.85</x:v>
      </x:c>
      <x:c r="R3883" s="13" t="n">
        <x:f>IF(I3883="","",I3883/1000000)</x:f>
        <x:v>34.90566037735849</x:v>
      </x:c>
    </x:row>
    <x:row r="3884" ht="21" customHeight="1">
      <x:c r="A3884" s="10" t="n">
        <x:v>5273</x:v>
      </x:c>
      <x:c r="B3884" s="2" t="str">
        <x:v>c66689dd4afaeeec4fc4</x:v>
      </x:c>
      <x:c r="C3884" s="2" t="str">
        <x:v>Tp Hồ Chí Minh</x:v>
      </x:c>
      <x:c r="D3884" s="2" t="str">
        <x:v>Quận 9</x:v>
      </x:c>
      <x:c r="E3884" s="2" t="str">
        <x:v>house</x:v>
      </x:c>
      <x:c r="F3884" s="2" t="str">
        <x:v>sale_assumed</x:v>
      </x:c>
      <x:c r="G3884" s="11" t="n">
        <x:v>74</x:v>
      </x:c>
      <x:c r="H3884" s="12" t="n">
        <x:v>8500000000</x:v>
      </x:c>
      <x:c r="I3884" s="12" t="n">
        <x:v>114864864.86486487</x:v>
      </x:c>
      <x:c r="J3884" s="2" t="str">
        <x:v>total</x:v>
      </x:c>
      <x:c r="K3884" s="2" t="str">
        <x:v>top_level_area</x:v>
      </x:c>
      <x:c r="L3884" s="2" t="str">
        <x:v>property_type_inferred_from_title;transaction_assumed_sale_from_dataset_context</x:v>
      </x:c>
      <x:c r="M3884" s="10" t="n">
        <x:v>0</x:v>
      </x:c>
      <x:c r="N3884" s="10" t="n">
        <x:v>0</x:v>
      </x:c>
      <x:c r="O3884" s="2" t="str">
        <x:v>Tp Hồ Chí Minh|house</x:v>
      </x:c>
      <x:c r="P3884" s="10" t="n">
        <x:v>2</x:v>
      </x:c>
      <x:c r="Q3884" s="13" t="n">
        <x:f>IF(H3884="","",H3884/1000000000)</x:f>
        <x:v>8.5</x:v>
      </x:c>
      <x:c r="R3884" s="13" t="n">
        <x:f>IF(I3884="","",I3884/1000000)</x:f>
        <x:v>114.86486486486487</x:v>
      </x:c>
    </x:row>
    <x:row r="3885" ht="21" customHeight="1">
      <x:c r="A3885" s="10" t="n">
        <x:v>5274</x:v>
      </x:c>
      <x:c r="B3885" s="2" t="str">
        <x:v>b970e915680a8f955c66</x:v>
      </x:c>
      <x:c r="C3885" s="2" t="str">
        <x:v>Bình Dương</x:v>
      </x:c>
      <x:c r="D3885" s="2" t="str">
        <x:v>Thị xã Thuận An</x:v>
      </x:c>
      <x:c r="E3885" s="2" t="str">
        <x:v>apartment</x:v>
      </x:c>
      <x:c r="F3885" s="2" t="str">
        <x:v>sale_assumed</x:v>
      </x:c>
      <x:c r="G3885" s="11" t="n">
        <x:v>77.2</x:v>
      </x:c>
      <x:c r="H3885" s="12" t="n">
        <x:v>1990000000</x:v>
      </x:c>
      <x:c r="I3885" s="12" t="n">
        <x:v>25777202.07253886</x:v>
      </x:c>
      <x:c r="J3885" s="2" t="str">
        <x:v>total</x:v>
      </x:c>
      <x:c r="K3885" s="2" t="str">
        <x:v>top_level_area</x:v>
      </x:c>
      <x:c r="L3885" s="2" t="str">
        <x:v>property_type_inferred_from_title;transaction_assumed_sale_from_dataset_context</x:v>
      </x:c>
      <x:c r="M3885" s="10" t="n">
        <x:v>0</x:v>
      </x:c>
      <x:c r="N3885" s="10" t="n">
        <x:v>0</x:v>
      </x:c>
      <x:c r="O3885" s="2" t="str">
        <x:v>Bình Dương|apartment</x:v>
      </x:c>
      <x:c r="P3885" s="10" t="n">
        <x:v>2</x:v>
      </x:c>
      <x:c r="Q3885" s="13" t="n">
        <x:f>IF(H3885="","",H3885/1000000000)</x:f>
        <x:v>1.99</x:v>
      </x:c>
      <x:c r="R3885" s="13" t="n">
        <x:f>IF(I3885="","",I3885/1000000)</x:f>
        <x:v>25.77720207253886</x:v>
      </x:c>
    </x:row>
    <x:row r="3886" ht="21" customHeight="1">
      <x:c r="A3886" s="10" t="n">
        <x:v>5275</x:v>
      </x:c>
      <x:c r="B3886" s="2" t="str">
        <x:v>6b610a839935f712d4f3</x:v>
      </x:c>
      <x:c r="C3886" s="2" t="str">
        <x:v>Đà Nẵng</x:v>
      </x:c>
      <x:c r="D3886" s="2" t="str">
        <x:v>Quận Hải Châu</x:v>
      </x:c>
      <x:c r="E3886" s="2" t="str">
        <x:v>house</x:v>
      </x:c>
      <x:c r="F3886" s="2" t="str">
        <x:v>sale</x:v>
      </x:c>
      <x:c r="G3886" s="11" t="n">
        <x:v>60</x:v>
      </x:c>
      <x:c r="H3886" s="12" t="n">
        <x:v>5500000000</x:v>
      </x:c>
      <x:c r="I3886" s="12" t="n">
        <x:v>91666666.66666667</x:v>
      </x:c>
      <x:c r="J3886" s="2" t="str">
        <x:v>total</x:v>
      </x:c>
      <x:c r="K3886" s="2" t="str">
        <x:v>top_level_area</x:v>
      </x:c>
      <x:c r="L3886" s="2" t="str">
        <x:v>property_type_inferred_from_title</x:v>
      </x:c>
      <x:c r="M3886" s="10" t="n">
        <x:v>0</x:v>
      </x:c>
      <x:c r="N3886" s="10" t="n">
        <x:v>0</x:v>
      </x:c>
      <x:c r="O3886" s="2" t="str">
        <x:v>Đà Nẵng|house</x:v>
      </x:c>
      <x:c r="P3886" s="10" t="n">
        <x:v>2</x:v>
      </x:c>
      <x:c r="Q3886" s="13" t="n">
        <x:f>IF(H3886="","",H3886/1000000000)</x:f>
        <x:v>5.5</x:v>
      </x:c>
      <x:c r="R3886" s="13" t="n">
        <x:f>IF(I3886="","",I3886/1000000)</x:f>
        <x:v>91.66666666666667</x:v>
      </x:c>
    </x:row>
    <x:row r="3887" ht="21" customHeight="1">
      <x:c r="A3887" s="10" t="n">
        <x:v>5276</x:v>
      </x:c>
      <x:c r="B3887" s="2" t="str">
        <x:v>2c024db1765496e392c1</x:v>
      </x:c>
      <x:c r="C3887" s="2" t="str">
        <x:v>Bà Rịa - Vũng Tàu</x:v>
      </x:c>
      <x:c r="D3887" s="2" t="str">
        <x:v>Thị xã Phú Mỹ</x:v>
      </x:c>
      <x:c r="E3887" s="2" t="str">
        <x:v>land</x:v>
      </x:c>
      <x:c r="F3887" s="2" t="str">
        <x:v>sale_assumed</x:v>
      </x:c>
      <x:c r="G3887" s="11" t="n">
        <x:v>391</x:v>
      </x:c>
      <x:c r="H3887" s="12" t="n">
        <x:v>3300000000</x:v>
      </x:c>
      <x:c r="I3887" s="12" t="n">
        <x:v>8439897.698209718</x:v>
      </x:c>
      <x:c r="J3887" s="2" t="str">
        <x:v>total</x:v>
      </x:c>
      <x:c r="K3887" s="2" t="str">
        <x:v>top_level_price_embedded_area</x:v>
      </x:c>
      <x:c r="L3887" s="2" t="str">
        <x:v>area_recovered_from_price_text;property_type_inferred_from_title;transaction_assumed_sale_from_dataset_context</x:v>
      </x:c>
      <x:c r="M3887" s="10" t="n">
        <x:v>0</x:v>
      </x:c>
      <x:c r="N3887" s="10" t="n">
        <x:v>0</x:v>
      </x:c>
      <x:c r="O3887" s="2" t="str">
        <x:v>Bà Rịa - Vũng Tàu|land</x:v>
      </x:c>
      <x:c r="P3887" s="10" t="n">
        <x:v>1</x:v>
      </x:c>
      <x:c r="Q3887" s="13" t="n">
        <x:f>IF(H3887="","",H3887/1000000000)</x:f>
        <x:v>3.3</x:v>
      </x:c>
      <x:c r="R3887" s="13" t="n">
        <x:f>IF(I3887="","",I3887/1000000)</x:f>
        <x:v>8.439897698209718</x:v>
      </x:c>
    </x:row>
    <x:row r="3888" ht="21" customHeight="1">
      <x:c r="A3888" s="10" t="n">
        <x:v>5277</x:v>
      </x:c>
      <x:c r="B3888" s="2" t="str">
        <x:v>9f6d3ba5aa0c3d952af0</x:v>
      </x:c>
      <x:c r="C3888" s="2" t="str">
        <x:v>Hà Nội</x:v>
      </x:c>
      <x:c r="D3888" s="2" t="str">
        <x:v>Quận Đống Đa</x:v>
      </x:c>
      <x:c r="E3888" s="2" t="str">
        <x:v>house</x:v>
      </x:c>
      <x:c r="F3888" s="2" t="str">
        <x:v>sale_assumed</x:v>
      </x:c>
      <x:c r="G3888" s="11" t="n">
        <x:v>45</x:v>
      </x:c>
      <x:c r="H3888" s="12" t="n">
        <x:v>6300000000</x:v>
      </x:c>
      <x:c r="I3888" s="12" t="n">
        <x:v>140000000</x:v>
      </x:c>
      <x:c r="J3888" s="2" t="str">
        <x:v>total</x:v>
      </x:c>
      <x:c r="K3888" s="2" t="str">
        <x:v>top_level_area</x:v>
      </x:c>
      <x:c r="L3888" s="2" t="str">
        <x:v>property_type_inferred_from_title;transaction_assumed_sale_from_dataset_context</x:v>
      </x:c>
      <x:c r="M3888" s="10" t="n">
        <x:v>0</x:v>
      </x:c>
      <x:c r="N3888" s="10" t="n">
        <x:v>0</x:v>
      </x:c>
      <x:c r="O3888" s="2" t="str">
        <x:v>Hà Nội|house</x:v>
      </x:c>
      <x:c r="P3888" s="10" t="n">
        <x:v>2</x:v>
      </x:c>
      <x:c r="Q3888" s="13" t="n">
        <x:f>IF(H3888="","",H3888/1000000000)</x:f>
        <x:v>6.3</x:v>
      </x:c>
      <x:c r="R3888" s="13" t="n">
        <x:f>IF(I3888="","",I3888/1000000)</x:f>
        <x:v>140</x:v>
      </x:c>
    </x:row>
    <x:row r="3889" ht="21" customHeight="1">
      <x:c r="A3889" s="10" t="n">
        <x:v>5278</x:v>
      </x:c>
      <x:c r="B3889" s="2" t="str">
        <x:v>dfe49fb78158108273f3</x:v>
      </x:c>
      <x:c r="C3889" s="2" t="str">
        <x:v>Đà Nẵng</x:v>
      </x:c>
      <x:c r="D3889" s="2" t="str">
        <x:v>Quận Ngũ Hành Sơn</x:v>
      </x:c>
      <x:c r="E3889" s="2" t="str">
        <x:v>house</x:v>
      </x:c>
      <x:c r="F3889" s="2" t="str">
        <x:v>sale_assumed</x:v>
      </x:c>
      <x:c r="G3889" s="11" t="n">
        <x:v>60</x:v>
      </x:c>
      <x:c r="H3889" s="12" t="n">
        <x:v>4900000000</x:v>
      </x:c>
      <x:c r="I3889" s="12" t="n">
        <x:v>81666666.66666667</x:v>
      </x:c>
      <x:c r="J3889" s="2" t="str">
        <x:v>total</x:v>
      </x:c>
      <x:c r="K3889" s="2" t="str">
        <x:v>top_level_area</x:v>
      </x:c>
      <x:c r="L3889" s="2" t="str">
        <x:v>property_type_inferred_from_title;transaction_assumed_sale_from_dataset_context</x:v>
      </x:c>
      <x:c r="M3889" s="10" t="n">
        <x:v>0</x:v>
      </x:c>
      <x:c r="N3889" s="10" t="n">
        <x:v>0</x:v>
      </x:c>
      <x:c r="O3889" s="2" t="str">
        <x:v>Đà Nẵng|house</x:v>
      </x:c>
      <x:c r="P3889" s="10" t="n">
        <x:v>2</x:v>
      </x:c>
      <x:c r="Q3889" s="13" t="n">
        <x:f>IF(H3889="","",H3889/1000000000)</x:f>
        <x:v>4.9</x:v>
      </x:c>
      <x:c r="R3889" s="13" t="n">
        <x:f>IF(I3889="","",I3889/1000000)</x:f>
        <x:v>81.66666666666667</x:v>
      </x:c>
    </x:row>
    <x:row r="3890" ht="21" customHeight="1">
      <x:c r="A3890" s="10" t="n">
        <x:v>5279</x:v>
      </x:c>
      <x:c r="B3890" s="2" t="str">
        <x:v>d18eb7dcc9803458e398</x:v>
      </x:c>
      <x:c r="C3890" s="2" t="str">
        <x:v>Tp Hồ Chí Minh</x:v>
      </x:c>
      <x:c r="D3890" s="2" t="str">
        <x:v>Quận 7</x:v>
      </x:c>
      <x:c r="E3890" s="2" t="str">
        <x:v>land</x:v>
      </x:c>
      <x:c r="F3890" s="2" t="str">
        <x:v>sale_assumed</x:v>
      </x:c>
      <x:c r="G3890" s="11" t="n">
        <x:v>90</x:v>
      </x:c>
      <x:c r="H3890" s="12" t="n">
        <x:v>13500000000</x:v>
      </x:c>
      <x:c r="I3890" s="12" t="n">
        <x:v>150000000</x:v>
      </x:c>
      <x:c r="J3890" s="2" t="str">
        <x:v>total</x:v>
      </x:c>
      <x:c r="K3890" s="2" t="str">
        <x:v>top_level_area</x:v>
      </x:c>
      <x:c r="L3890" s="2" t="str">
        <x:v>property_type_inferred_from_title;transaction_assumed_sale_from_dataset_context</x:v>
      </x:c>
      <x:c r="M3890" s="10" t="n">
        <x:v>0</x:v>
      </x:c>
      <x:c r="N3890" s="10" t="n">
        <x:v>1</x:v>
      </x:c>
      <x:c r="O3890" s="2" t="str">
        <x:v>Tp Hồ Chí Minh|land</x:v>
      </x:c>
      <x:c r="P3890" s="10" t="n">
        <x:v>-1</x:v>
      </x:c>
      <x:c r="Q3890" s="13" t="n">
        <x:f>IF(H3890="","",H3890/1000000000)</x:f>
        <x:v>13.5</x:v>
      </x:c>
      <x:c r="R3890" s="13" t="n">
        <x:f>IF(I3890="","",I3890/1000000)</x:f>
        <x:v>150</x:v>
      </x:c>
    </x:row>
    <x:row r="3891" ht="21" customHeight="1">
      <x:c r="A3891" s="10" t="n">
        <x:v>5280</x:v>
      </x:c>
      <x:c r="B3891" s="2" t="str">
        <x:v>e99c51d14a0ebdf13b91</x:v>
      </x:c>
      <x:c r="C3891" s="2" t="str">
        <x:v>Hà Nội</x:v>
      </x:c>
      <x:c r="D3891" s="2" t="str">
        <x:v>Quận Hà Đông</x:v>
      </x:c>
      <x:c r="E3891" s="2" t="str">
        <x:v>house</x:v>
      </x:c>
      <x:c r="F3891" s="2" t="str">
        <x:v>sale</x:v>
      </x:c>
      <x:c r="G3891" s="11" t="n">
        <x:v>40</x:v>
      </x:c>
      <x:c r="H3891" s="12" t="n">
        <x:v>4800000000</x:v>
      </x:c>
      <x:c r="I3891" s="12" t="n">
        <x:v>120000000</x:v>
      </x:c>
      <x:c r="J3891" s="2" t="str">
        <x:v>total</x:v>
      </x:c>
      <x:c r="K3891" s="2" t="str">
        <x:v>top_level_area</x:v>
      </x:c>
      <x:c r="L3891" s="2" t="str">
        <x:v>property_type_inferred_from_title</x:v>
      </x:c>
      <x:c r="M3891" s="10" t="n">
        <x:v>0</x:v>
      </x:c>
      <x:c r="N3891" s="10" t="n">
        <x:v>0</x:v>
      </x:c>
      <x:c r="O3891" s="2" t="str">
        <x:v>Hà Nội|house</x:v>
      </x:c>
      <x:c r="P3891" s="10" t="n">
        <x:v>2</x:v>
      </x:c>
      <x:c r="Q3891" s="13" t="n">
        <x:f>IF(H3891="","",H3891/1000000000)</x:f>
        <x:v>4.8</x:v>
      </x:c>
      <x:c r="R3891" s="13" t="n">
        <x:f>IF(I3891="","",I3891/1000000)</x:f>
        <x:v>120</x:v>
      </x:c>
    </x:row>
    <x:row r="3892" ht="21" customHeight="1">
      <x:c r="A3892" s="10" t="n">
        <x:v>5281</x:v>
      </x:c>
      <x:c r="B3892" s="2" t="str">
        <x:v>02f21820ce91f24b6945</x:v>
      </x:c>
      <x:c r="C3892" s="2" t="str">
        <x:v>Tp Hồ Chí Minh</x:v>
      </x:c>
      <x:c r="D3892" s="2" t="str">
        <x:v>Quận 11</x:v>
      </x:c>
      <x:c r="E3892" s="2" t="str">
        <x:v>house</x:v>
      </x:c>
      <x:c r="F3892" s="2" t="str">
        <x:v>sale</x:v>
      </x:c>
      <x:c r="G3892" s="11" t="n">
        <x:v>51</x:v>
      </x:c>
      <x:c r="H3892" s="12" t="n">
        <x:v>1240000000</x:v>
      </x:c>
      <x:c r="I3892" s="12" t="n">
        <x:v>24313725.49019608</x:v>
      </x:c>
      <x:c r="J3892" s="2" t="str">
        <x:v>total</x:v>
      </x:c>
      <x:c r="K3892" s="2" t="str">
        <x:v>top_level_area</x:v>
      </x:c>
      <x:c r="L3892" s="2" t="str">
        <x:v>property_type_inferred_from_title</x:v>
      </x:c>
      <x:c r="M3892" s="10" t="n">
        <x:v>0</x:v>
      </x:c>
      <x:c r="N3892" s="10" t="n">
        <x:v>0</x:v>
      </x:c>
      <x:c r="O3892" s="2" t="str">
        <x:v>Tp Hồ Chí Minh|house</x:v>
      </x:c>
      <x:c r="P3892" s="10" t="n">
        <x:v>2</x:v>
      </x:c>
      <x:c r="Q3892" s="13" t="n">
        <x:f>IF(H3892="","",H3892/1000000000)</x:f>
        <x:v>1.24</x:v>
      </x:c>
      <x:c r="R3892" s="13" t="n">
        <x:f>IF(I3892="","",I3892/1000000)</x:f>
        <x:v>24.313725490196077</x:v>
      </x:c>
    </x:row>
    <x:row r="3893" ht="21" customHeight="1">
      <x:c r="A3893" s="10" t="n">
        <x:v>5282</x:v>
      </x:c>
      <x:c r="B3893" s="2" t="str">
        <x:v>86c9edca0962750532e0</x:v>
      </x:c>
      <x:c r="C3893" s="2" t="str">
        <x:v>Lâm Đồng</x:v>
      </x:c>
      <x:c r="D3893" s="2" t="str">
        <x:v>Thành phố Đà Lạt</x:v>
      </x:c>
      <x:c r="E3893" s="2" t="str">
        <x:v>land</x:v>
      </x:c>
      <x:c r="F3893" s="2" t="str">
        <x:v>sale</x:v>
      </x:c>
      <x:c r="G3893" s="11" t="n">
        <x:v>6180</x:v>
      </x:c>
      <x:c r="H3893" s="12" t="n">
        <x:v>9000000000</x:v>
      </x:c>
      <x:c r="I3893" s="12" t="n">
        <x:v>1456310.6796116505</x:v>
      </x:c>
      <x:c r="J3893" s="2" t="str">
        <x:v>total</x:v>
      </x:c>
      <x:c r="K3893" s="2" t="str">
        <x:v>top_level_area</x:v>
      </x:c>
      <x:c r="L3893" s="2" t="str">
        <x:v>dot_thousands_convention;property_type_inferred_from_title</x:v>
      </x:c>
      <x:c r="M3893" s="10" t="n">
        <x:v>0</x:v>
      </x:c>
      <x:c r="N3893" s="10" t="n">
        <x:v>0</x:v>
      </x:c>
      <x:c r="O3893" s="2" t="str">
        <x:v>Lâm Đồng|land</x:v>
      </x:c>
      <x:c r="P3893" s="10" t="n">
        <x:v>1</x:v>
      </x:c>
      <x:c r="Q3893" s="13" t="n">
        <x:f>IF(H3893="","",H3893/1000000000)</x:f>
        <x:v>9</x:v>
      </x:c>
      <x:c r="R3893" s="13" t="n">
        <x:f>IF(I3893="","",I3893/1000000)</x:f>
        <x:v>1.4563106796116505</x:v>
      </x:c>
    </x:row>
    <x:row r="3894" ht="21" customHeight="1">
      <x:c r="A3894" s="10" t="n">
        <x:v>5286</x:v>
      </x:c>
      <x:c r="B3894" s="2" t="str">
        <x:v>a28cf0c06afdd59519ad</x:v>
      </x:c>
      <x:c r="C3894" s="2" t="str">
        <x:v>Đắk Lắk</x:v>
      </x:c>
      <x:c r="D3894" s="2" t="str">
        <x:v>Thành phố Buôn Ma Thuột</x:v>
      </x:c>
      <x:c r="E3894" s="2" t="str">
        <x:v>other_unknown</x:v>
      </x:c>
      <x:c r="F3894" s="2" t="str">
        <x:v>sale_assumed</x:v>
      </x:c>
      <x:c r="G3894" s="11" t="n">
        <x:v>128</x:v>
      </x:c>
      <x:c r="H3894" s="12" t="n">
        <x:v>735000000</x:v>
      </x:c>
      <x:c r="I3894" s="12" t="n">
        <x:v>5742187.5</x:v>
      </x:c>
      <x:c r="J3894" s="2" t="str">
        <x:v>total</x:v>
      </x:c>
      <x:c r="K3894" s="2" t="str">
        <x:v>top_level_area</x:v>
      </x:c>
      <x:c r="L3894" s="2" t="str">
        <x:v>property_type_inferred_from_title;transaction_assumed_sale_from_dataset_context;unknown_property_type</x:v>
      </x:c>
      <x:c r="M3894" s="10" t="n">
        <x:v>0</x:v>
      </x:c>
      <x:c r="N3894" s="10" t="n">
        <x:v>0</x:v>
      </x:c>
      <x:c r="O3894" s="2" t="str">
        <x:v>other_unknown</x:v>
      </x:c>
      <x:c r="P3894" s="10" t="n">
        <x:v>2</x:v>
      </x:c>
      <x:c r="Q3894" s="13" t="n">
        <x:f>IF(H3894="","",H3894/1000000000)</x:f>
        <x:v>0.735</x:v>
      </x:c>
      <x:c r="R3894" s="13" t="n">
        <x:f>IF(I3894="","",I3894/1000000)</x:f>
        <x:v>5.7421875</x:v>
      </x:c>
    </x:row>
    <x:row r="3895" ht="21" customHeight="1">
      <x:c r="A3895" s="10" t="n">
        <x:v>5287</x:v>
      </x:c>
      <x:c r="B3895" s="2" t="str">
        <x:v>e8772434663189110c07</x:v>
      </x:c>
      <x:c r="C3895" s="2" t="str">
        <x:v>Đồng Nai</x:v>
      </x:c>
      <x:c r="D3895" s="2" t="str">
        <x:v>Huyện Trảng Bom</x:v>
      </x:c>
      <x:c r="E3895" s="2" t="str">
        <x:v>other_unknown</x:v>
      </x:c>
      <x:c r="F3895" s="2" t="str">
        <x:v>sale_assumed</x:v>
      </x:c>
      <x:c r="G3895" s="11" t="n">
        <x:v>100</x:v>
      </x:c>
      <x:c r="H3895" s="12" t="n">
        <x:v>165000000</x:v>
      </x:c>
      <x:c r="I3895" s="12" t="n">
        <x:v>1650000</x:v>
      </x:c>
      <x:c r="J3895" s="2" t="str">
        <x:v>total</x:v>
      </x:c>
      <x:c r="K3895" s="2" t="str">
        <x:v>top_level_area</x:v>
      </x:c>
      <x:c r="L3895" s="2" t="str">
        <x:v>property_type_inferred_from_title;transaction_assumed_sale_from_dataset_context;unknown_property_type</x:v>
      </x:c>
      <x:c r="M3895" s="10" t="n">
        <x:v>0</x:v>
      </x:c>
      <x:c r="N3895" s="10" t="n">
        <x:v>0</x:v>
      </x:c>
      <x:c r="O3895" s="2" t="str">
        <x:v>Đồng Nai|other_unknown</x:v>
      </x:c>
      <x:c r="P3895" s="10" t="n">
        <x:v>1</x:v>
      </x:c>
      <x:c r="Q3895" s="13" t="n">
        <x:f>IF(H3895="","",H3895/1000000000)</x:f>
        <x:v>0.165</x:v>
      </x:c>
      <x:c r="R3895" s="13" t="n">
        <x:f>IF(I3895="","",I3895/1000000)</x:f>
        <x:v>1.65</x:v>
      </x:c>
    </x:row>
    <x:row r="3896" ht="21" customHeight="1">
      <x:c r="A3896" s="10" t="n">
        <x:v>5288</x:v>
      </x:c>
      <x:c r="B3896" s="2" t="str">
        <x:v>0fad649d5edb7587f0ac</x:v>
      </x:c>
      <x:c r="C3896" s="2" t="str">
        <x:v>Bình Dương</x:v>
      </x:c>
      <x:c r="D3896" s="2" t="str">
        <x:v>Thị xã Thuận An</x:v>
      </x:c>
      <x:c r="E3896" s="2" t="str">
        <x:v>house</x:v>
      </x:c>
      <x:c r="F3896" s="2" t="str">
        <x:v>sale_assumed</x:v>
      </x:c>
      <x:c r="G3896" s="11" t="n">
        <x:v>165</x:v>
      </x:c>
      <x:c r="H3896" s="12" t="n">
        <x:v>3350000000</x:v>
      </x:c>
      <x:c r="I3896" s="12" t="n">
        <x:v>20303030.303030305</x:v>
      </x:c>
      <x:c r="J3896" s="2" t="str">
        <x:v>total</x:v>
      </x:c>
      <x:c r="K3896" s="2" t="str">
        <x:v>top_level_area</x:v>
      </x:c>
      <x:c r="L3896" s="2" t="str">
        <x:v>property_type_inferred_from_title;transaction_assumed_sale_from_dataset_context</x:v>
      </x:c>
      <x:c r="M3896" s="10" t="n">
        <x:v>0</x:v>
      </x:c>
      <x:c r="N3896" s="10" t="n">
        <x:v>0</x:v>
      </x:c>
      <x:c r="O3896" s="2" t="str">
        <x:v>Bình Dương|house</x:v>
      </x:c>
      <x:c r="P3896" s="10" t="n">
        <x:v>2</x:v>
      </x:c>
      <x:c r="Q3896" s="13" t="n">
        <x:f>IF(H3896="","",H3896/1000000000)</x:f>
        <x:v>3.35</x:v>
      </x:c>
      <x:c r="R3896" s="13" t="n">
        <x:f>IF(I3896="","",I3896/1000000)</x:f>
        <x:v>20.303030303030305</x:v>
      </x:c>
    </x:row>
    <x:row r="3897" ht="21" customHeight="1">
      <x:c r="A3897" s="10" t="n">
        <x:v>5289</x:v>
      </x:c>
      <x:c r="B3897" s="2" t="str">
        <x:v>3d2f84ffb255ee6577b6</x:v>
      </x:c>
      <x:c r="C3897" s="2" t="str">
        <x:v>Đà Nẵng</x:v>
      </x:c>
      <x:c r="D3897" s="2" t="str">
        <x:v>Quận Thanh Khê</x:v>
      </x:c>
      <x:c r="E3897" s="2" t="str">
        <x:v>house</x:v>
      </x:c>
      <x:c r="F3897" s="2" t="str">
        <x:v>sale</x:v>
      </x:c>
      <x:c r="G3897" s="11" t="n">
        <x:v>53</x:v>
      </x:c>
      <x:c r="H3897" s="12" t="n">
        <x:v>2950000000</x:v>
      </x:c>
      <x:c r="I3897" s="12" t="n">
        <x:v>55660377.358490564</x:v>
      </x:c>
      <x:c r="J3897" s="2" t="str">
        <x:v>total</x:v>
      </x:c>
      <x:c r="K3897" s="2" t="str">
        <x:v>top_level_area</x:v>
      </x:c>
      <x:c r="L3897" s="2" t="str">
        <x:v>property_type_inferred_from_title</x:v>
      </x:c>
      <x:c r="M3897" s="10" t="n">
        <x:v>0</x:v>
      </x:c>
      <x:c r="N3897" s="10" t="n">
        <x:v>0</x:v>
      </x:c>
      <x:c r="O3897" s="2" t="str">
        <x:v>Đà Nẵng|house</x:v>
      </x:c>
      <x:c r="P3897" s="10" t="n">
        <x:v>2</x:v>
      </x:c>
      <x:c r="Q3897" s="13" t="n">
        <x:f>IF(H3897="","",H3897/1000000000)</x:f>
        <x:v>2.95</x:v>
      </x:c>
      <x:c r="R3897" s="13" t="n">
        <x:f>IF(I3897="","",I3897/1000000)</x:f>
        <x:v>55.660377358490564</x:v>
      </x:c>
    </x:row>
    <x:row r="3898" ht="21" customHeight="1">
      <x:c r="A3898" s="10" t="n">
        <x:v>5290</x:v>
      </x:c>
      <x:c r="B3898" s="2" t="str">
        <x:v>e076e8f4d74cd551f6ec</x:v>
      </x:c>
      <x:c r="C3898" s="2" t="str">
        <x:v>Tp Hồ Chí Minh</x:v>
      </x:c>
      <x:c r="D3898" s="2" t="str">
        <x:v>Quận Phú Nhuận</x:v>
      </x:c>
      <x:c r="E3898" s="2" t="str">
        <x:v>house</x:v>
      </x:c>
      <x:c r="F3898" s="2" t="str">
        <x:v>sale</x:v>
      </x:c>
      <x:c r="G3898" s="11" t="n">
        <x:v>57</x:v>
      </x:c>
      <x:c r="H3898" s="12" t="n">
        <x:v>8000000000</x:v>
      </x:c>
      <x:c r="I3898" s="12" t="n">
        <x:v>140350877.19298247</x:v>
      </x:c>
      <x:c r="J3898" s="2" t="str">
        <x:v>total</x:v>
      </x:c>
      <x:c r="K3898" s="2" t="str">
        <x:v>top_level_area</x:v>
      </x:c>
      <x:c r="L3898" s="2" t="str">
        <x:v>property_type_inferred_from_title</x:v>
      </x:c>
      <x:c r="M3898" s="10" t="n">
        <x:v>0</x:v>
      </x:c>
      <x:c r="N3898" s="10" t="n">
        <x:v>0</x:v>
      </x:c>
      <x:c r="O3898" s="2" t="str">
        <x:v>Tp Hồ Chí Minh|house</x:v>
      </x:c>
      <x:c r="P3898" s="10" t="n">
        <x:v>2</x:v>
      </x:c>
      <x:c r="Q3898" s="13" t="n">
        <x:f>IF(H3898="","",H3898/1000000000)</x:f>
        <x:v>8</x:v>
      </x:c>
      <x:c r="R3898" s="13" t="n">
        <x:f>IF(I3898="","",I3898/1000000)</x:f>
        <x:v>140.35087719298247</x:v>
      </x:c>
    </x:row>
    <x:row r="3899" ht="21" customHeight="1">
      <x:c r="A3899" s="10" t="n">
        <x:v>5291</x:v>
      </x:c>
      <x:c r="B3899" s="2" t="str">
        <x:v>0e07fe9535997894fd43</x:v>
      </x:c>
      <x:c r="C3899" s="2" t="str">
        <x:v>Tp Hồ Chí Minh</x:v>
      </x:c>
      <x:c r="D3899" s="2" t="str">
        <x:v>Quận 10</x:v>
      </x:c>
      <x:c r="E3899" s="2" t="str">
        <x:v>house</x:v>
      </x:c>
      <x:c r="F3899" s="2" t="str">
        <x:v>sale</x:v>
      </x:c>
      <x:c r="G3899" s="11" t="n">
        <x:v>28</x:v>
      </x:c>
      <x:c r="H3899" s="12" t="n">
        <x:v>5000000000</x:v>
      </x:c>
      <x:c r="I3899" s="12" t="n">
        <x:v>178571428.57142857</x:v>
      </x:c>
      <x:c r="J3899" s="2" t="str">
        <x:v>total</x:v>
      </x:c>
      <x:c r="K3899" s="2" t="str">
        <x:v>top_level_area</x:v>
      </x:c>
      <x:c r="L3899" s="2" t="str">
        <x:v>property_type_inferred_from_title</x:v>
      </x:c>
      <x:c r="M3899" s="10" t="n">
        <x:v>1</x:v>
      </x:c>
      <x:c r="N3899" s="10" t="n">
        <x:v>0</x:v>
      </x:c>
      <x:c r="O3899" s="2" t="str">
        <x:v>Tp Hồ Chí Minh|house</x:v>
      </x:c>
      <x:c r="P3899" s="10" t="n">
        <x:v>2</x:v>
      </x:c>
      <x:c r="Q3899" s="13" t="n">
        <x:f>IF(H3899="","",H3899/1000000000)</x:f>
        <x:v>5</x:v>
      </x:c>
      <x:c r="R3899" s="13" t="n">
        <x:f>IF(I3899="","",I3899/1000000)</x:f>
        <x:v>178.57142857142856</x:v>
      </x:c>
    </x:row>
    <x:row r="3900" ht="21" customHeight="1">
      <x:c r="A3900" s="10" t="n">
        <x:v>5292</x:v>
      </x:c>
      <x:c r="B3900" s="2" t="str">
        <x:v>001a1e36f2ef45c082dc</x:v>
      </x:c>
      <x:c r="C3900" s="2" t="str">
        <x:v>Tp Hồ Chí Minh</x:v>
      </x:c>
      <x:c r="D3900" s="2" t="str">
        <x:v>Quận 1</x:v>
      </x:c>
      <x:c r="E3900" s="2" t="str">
        <x:v>house</x:v>
      </x:c>
      <x:c r="F3900" s="2" t="str">
        <x:v>sale</x:v>
      </x:c>
      <x:c r="G3900" s="11" t="n">
        <x:v>55</x:v>
      </x:c>
      <x:c r="H3900" s="12" t="n">
        <x:v>885000000</x:v>
      </x:c>
      <x:c r="I3900" s="12" t="n">
        <x:v>16090909.090909092</x:v>
      </x:c>
      <x:c r="J3900" s="2" t="str">
        <x:v>total</x:v>
      </x:c>
      <x:c r="K3900" s="2" t="str">
        <x:v>top_level_area</x:v>
      </x:c>
      <x:c r="L3900" s="2" t="str">
        <x:v>property_type_inferred_from_title</x:v>
      </x:c>
      <x:c r="M3900" s="10" t="n">
        <x:v>0</x:v>
      </x:c>
      <x:c r="N3900" s="10" t="n">
        <x:v>0</x:v>
      </x:c>
      <x:c r="O3900" s="2" t="str">
        <x:v>Tp Hồ Chí Minh|house</x:v>
      </x:c>
      <x:c r="P3900" s="10" t="n">
        <x:v>2</x:v>
      </x:c>
      <x:c r="Q3900" s="13" t="n">
        <x:f>IF(H3900="","",H3900/1000000000)</x:f>
        <x:v>0.885</x:v>
      </x:c>
      <x:c r="R3900" s="13" t="n">
        <x:f>IF(I3900="","",I3900/1000000)</x:f>
        <x:v>16.090909090909093</x:v>
      </x:c>
    </x:row>
    <x:row r="3901" ht="21" customHeight="1">
      <x:c r="A3901" s="10" t="n">
        <x:v>5293</x:v>
      </x:c>
      <x:c r="B3901" s="2" t="str">
        <x:v>d2888e80dd239f6b963b</x:v>
      </x:c>
      <x:c r="C3901" s="2" t="str">
        <x:v>Hà Nội</x:v>
      </x:c>
      <x:c r="D3901" s="2" t="str">
        <x:v>Quận Đống Đa</x:v>
      </x:c>
      <x:c r="E3901" s="2" t="str">
        <x:v>house</x:v>
      </x:c>
      <x:c r="F3901" s="2" t="str">
        <x:v>sale_assumed</x:v>
      </x:c>
      <x:c r="G3901" s="11" t="n">
        <x:v>50</x:v>
      </x:c>
      <x:c r="H3901" s="12" t="n">
        <x:v>4500000000</x:v>
      </x:c>
      <x:c r="I3901" s="12" t="n">
        <x:v>90000000</x:v>
      </x:c>
      <x:c r="J3901" s="2" t="str">
        <x:v>total</x:v>
      </x:c>
      <x:c r="K3901" s="2" t="str">
        <x:v>top_level_area</x:v>
      </x:c>
      <x:c r="L3901" s="2" t="str">
        <x:v>property_type_inferred_from_title;transaction_assumed_sale_from_dataset_context</x:v>
      </x:c>
      <x:c r="M3901" s="10" t="n">
        <x:v>0</x:v>
      </x:c>
      <x:c r="N3901" s="10" t="n">
        <x:v>0</x:v>
      </x:c>
      <x:c r="O3901" s="2" t="str">
        <x:v>Hà Nội|house</x:v>
      </x:c>
      <x:c r="P3901" s="10" t="n">
        <x:v>2</x:v>
      </x:c>
      <x:c r="Q3901" s="13" t="n">
        <x:f>IF(H3901="","",H3901/1000000000)</x:f>
        <x:v>4.5</x:v>
      </x:c>
      <x:c r="R3901" s="13" t="n">
        <x:f>IF(I3901="","",I3901/1000000)</x:f>
        <x:v>90</x:v>
      </x:c>
    </x:row>
    <x:row r="3902" ht="21" customHeight="1">
      <x:c r="A3902" s="10" t="n">
        <x:v>5294</x:v>
      </x:c>
      <x:c r="B3902" s="2" t="str">
        <x:v>3353802f9de68a289e07</x:v>
      </x:c>
      <x:c r="C3902" s="2" t="str">
        <x:v>Hà Nội</x:v>
      </x:c>
      <x:c r="D3902" s="2" t="str">
        <x:v>Quận Tây Hồ</x:v>
      </x:c>
      <x:c r="E3902" s="2" t="str">
        <x:v>house</x:v>
      </x:c>
      <x:c r="F3902" s="2" t="str">
        <x:v>sale</x:v>
      </x:c>
      <x:c r="G3902" s="11" t="n">
        <x:v>3</x:v>
      </x:c>
      <x:c r="H3902" s="12" t="n">
        <x:v>4650000000</x:v>
      </x:c>
      <x:c r="I3902" s="12" t="n">
        <x:v>1550000000</x:v>
      </x:c>
      <x:c r="J3902" s="2" t="str">
        <x:v>total</x:v>
      </x:c>
      <x:c r="K3902" s="2" t="str">
        <x:v>top_level_area</x:v>
      </x:c>
      <x:c r="L3902" s="2" t="str">
        <x:v>property_type_inferred_from_title</x:v>
      </x:c>
      <x:c r="M3902" s="10" t="n">
        <x:v>1</x:v>
      </x:c>
      <x:c r="N3902" s="10" t="n">
        <x:v>1</x:v>
      </x:c>
      <x:c r="O3902" s="2" t="str">
        <x:v>Hà Nội|house</x:v>
      </x:c>
      <x:c r="P3902" s="10" t="n">
        <x:v>-1</x:v>
      </x:c>
      <x:c r="Q3902" s="13" t="n">
        <x:f>IF(H3902="","",H3902/1000000000)</x:f>
        <x:v>4.65</x:v>
      </x:c>
      <x:c r="R3902" s="13" t="n">
        <x:f>IF(I3902="","",I3902/1000000)</x:f>
        <x:v>1550</x:v>
      </x:c>
    </x:row>
    <x:row r="3903" ht="21" customHeight="1">
      <x:c r="A3903" s="10" t="n">
        <x:v>5295</x:v>
      </x:c>
      <x:c r="B3903" s="2" t="str">
        <x:v>dfeed52218bca0b25ff6</x:v>
      </x:c>
      <x:c r="C3903" s="2" t="str">
        <x:v>Tp Hồ Chí Minh</x:v>
      </x:c>
      <x:c r="D3903" s="2" t="str">
        <x:v>Huyện Bình Chánh</x:v>
      </x:c>
      <x:c r="E3903" s="2" t="str">
        <x:v>land</x:v>
      </x:c>
      <x:c r="F3903" s="2" t="str">
        <x:v>sale_assumed</x:v>
      </x:c>
      <x:c r="G3903" s="11" t="n">
        <x:v>120</x:v>
      </x:c>
      <x:c r="H3903" s="12" t="n">
        <x:v>6060000000</x:v>
      </x:c>
      <x:c r="I3903" s="12" t="n">
        <x:v>50500000</x:v>
      </x:c>
      <x:c r="J3903" s="2" t="str">
        <x:v>total</x:v>
      </x:c>
      <x:c r="K3903" s="2" t="str">
        <x:v>top_level_area</x:v>
      </x:c>
      <x:c r="L3903" s="2" t="str">
        <x:v>property_type_inferred_from_title;transaction_assumed_sale_from_dataset_context</x:v>
      </x:c>
      <x:c r="M3903" s="10" t="n">
        <x:v>0</x:v>
      </x:c>
      <x:c r="N3903" s="10" t="n">
        <x:v>0</x:v>
      </x:c>
      <x:c r="O3903" s="2" t="str">
        <x:v>Tp Hồ Chí Minh|land</x:v>
      </x:c>
      <x:c r="P3903" s="10" t="n">
        <x:v>2</x:v>
      </x:c>
      <x:c r="Q3903" s="13" t="n">
        <x:f>IF(H3903="","",H3903/1000000000)</x:f>
        <x:v>6.06</x:v>
      </x:c>
      <x:c r="R3903" s="13" t="n">
        <x:f>IF(I3903="","",I3903/1000000)</x:f>
        <x:v>50.5</x:v>
      </x:c>
    </x:row>
    <x:row r="3904" ht="21" customHeight="1">
      <x:c r="A3904" s="10" t="n">
        <x:v>5296</x:v>
      </x:c>
      <x:c r="B3904" s="2" t="str">
        <x:v>25e35381872b17a8d654</x:v>
      </x:c>
      <x:c r="C3904" s="2" t="str">
        <x:v>Bình Dương</x:v>
      </x:c>
      <x:c r="D3904" s="2" t="str">
        <x:v>Thị xã Thuận An</x:v>
      </x:c>
      <x:c r="E3904" s="2" t="str">
        <x:v>apartment</x:v>
      </x:c>
      <x:c r="F3904" s="2" t="str">
        <x:v>sale_assumed</x:v>
      </x:c>
      <x:c r="G3904" s="11" t="n">
        <x:v>75</x:v>
      </x:c>
      <x:c r="H3904" s="12" t="n">
        <x:v>1950000000</x:v>
      </x:c>
      <x:c r="I3904" s="12" t="n">
        <x:v>26000000</x:v>
      </x:c>
      <x:c r="J3904" s="2" t="str">
        <x:v>total</x:v>
      </x:c>
      <x:c r="K3904" s="2" t="str">
        <x:v>top_level_area</x:v>
      </x:c>
      <x:c r="L3904" s="2" t="str">
        <x:v>property_type_inferred_from_title;transaction_assumed_sale_from_dataset_context</x:v>
      </x:c>
      <x:c r="M3904" s="10" t="n">
        <x:v>0</x:v>
      </x:c>
      <x:c r="N3904" s="10" t="n">
        <x:v>0</x:v>
      </x:c>
      <x:c r="O3904" s="2" t="str">
        <x:v>Bình Dương|apartment</x:v>
      </x:c>
      <x:c r="P3904" s="10" t="n">
        <x:v>2</x:v>
      </x:c>
      <x:c r="Q3904" s="13" t="n">
        <x:f>IF(H3904="","",H3904/1000000000)</x:f>
        <x:v>1.95</x:v>
      </x:c>
      <x:c r="R3904" s="13" t="n">
        <x:f>IF(I3904="","",I3904/1000000)</x:f>
        <x:v>26</x:v>
      </x:c>
    </x:row>
    <x:row r="3905" ht="21" customHeight="1">
      <x:c r="A3905" s="10" t="n">
        <x:v>5297</x:v>
      </x:c>
      <x:c r="B3905" s="2" t="str">
        <x:v>c70de2ee22894d5bf8ee</x:v>
      </x:c>
      <x:c r="C3905" s="2" t="str">
        <x:v>Hà Nội</x:v>
      </x:c>
      <x:c r="D3905" s="2" t="str">
        <x:v>Quận Hoàng Mai</x:v>
      </x:c>
      <x:c r="E3905" s="2" t="str">
        <x:v>other_unknown</x:v>
      </x:c>
      <x:c r="F3905" s="2" t="str">
        <x:v>sale_assumed</x:v>
      </x:c>
      <x:c r="G3905" s="11" t="n">
        <x:v>30</x:v>
      </x:c>
      <x:c r="H3905" s="12" t="n">
        <x:v>2000000000</x:v>
      </x:c>
      <x:c r="I3905" s="12" t="n">
        <x:v>66666666.666666664</x:v>
      </x:c>
      <x:c r="J3905" s="2" t="str">
        <x:v>total</x:v>
      </x:c>
      <x:c r="K3905" s="2" t="str">
        <x:v>top_level_area</x:v>
      </x:c>
      <x:c r="L3905" s="2" t="str">
        <x:v>property_type_inferred_from_title;transaction_assumed_sale_from_dataset_context;unknown_property_type</x:v>
      </x:c>
      <x:c r="M3905" s="10" t="n">
        <x:v>0</x:v>
      </x:c>
      <x:c r="N3905" s="10" t="n">
        <x:v>0</x:v>
      </x:c>
      <x:c r="O3905" s="2" t="str">
        <x:v>Hà Nội|other_unknown</x:v>
      </x:c>
      <x:c r="P3905" s="10" t="n">
        <x:v>2</x:v>
      </x:c>
      <x:c r="Q3905" s="13" t="n">
        <x:f>IF(H3905="","",H3905/1000000000)</x:f>
        <x:v>2</x:v>
      </x:c>
      <x:c r="R3905" s="13" t="n">
        <x:f>IF(I3905="","",I3905/1000000)</x:f>
        <x:v>66.66666666666666</x:v>
      </x:c>
    </x:row>
    <x:row r="3906" ht="21" customHeight="1">
      <x:c r="A3906" s="10" t="n">
        <x:v>5298</x:v>
      </x:c>
      <x:c r="B3906" s="2" t="str">
        <x:v>2d7bb2ebf36778b77caa</x:v>
      </x:c>
      <x:c r="C3906" s="2" t="str">
        <x:v>Bình Dương</x:v>
      </x:c>
      <x:c r="D3906" s="2" t="str">
        <x:v>Thị xã Thuận An</x:v>
      </x:c>
      <x:c r="E3906" s="2" t="str">
        <x:v>other_unknown</x:v>
      </x:c>
      <x:c r="F3906" s="2" t="str">
        <x:v>sale_assumed</x:v>
      </x:c>
      <x:c r="G3906" s="11" t="n">
        <x:v>45</x:v>
      </x:c>
      <x:c r="H3906" s="12" t="n">
        <x:v>1100000000</x:v>
      </x:c>
      <x:c r="I3906" s="12" t="n">
        <x:v>24444444.444444444</x:v>
      </x:c>
      <x:c r="J3906" s="2" t="str">
        <x:v>total</x:v>
      </x:c>
      <x:c r="K3906" s="2" t="str">
        <x:v>top_level_area</x:v>
      </x:c>
      <x:c r="L3906" s="2" t="str">
        <x:v>property_type_inferred_from_title;transaction_assumed_sale_from_dataset_context;unknown_property_type</x:v>
      </x:c>
      <x:c r="M3906" s="10" t="n">
        <x:v>0</x:v>
      </x:c>
      <x:c r="N3906" s="10" t="n">
        <x:v>0</x:v>
      </x:c>
      <x:c r="O3906" s="2" t="str">
        <x:v>Bình Dương|other_unknown</x:v>
      </x:c>
      <x:c r="P3906" s="10" t="n">
        <x:v>2</x:v>
      </x:c>
      <x:c r="Q3906" s="13" t="n">
        <x:f>IF(H3906="","",H3906/1000000000)</x:f>
        <x:v>1.1</x:v>
      </x:c>
      <x:c r="R3906" s="13" t="n">
        <x:f>IF(I3906="","",I3906/1000000)</x:f>
        <x:v>24.444444444444443</x:v>
      </x:c>
    </x:row>
    <x:row r="3907" ht="21" customHeight="1">
      <x:c r="A3907" s="10" t="n">
        <x:v>5299</x:v>
      </x:c>
      <x:c r="B3907" s="2" t="str">
        <x:v>4e165c5bece700e03e20</x:v>
      </x:c>
      <x:c r="C3907" s="2" t="str">
        <x:v>Hà Nội</x:v>
      </x:c>
      <x:c r="D3907" s="2" t="str">
        <x:v>Huyện Thanh Trì</x:v>
      </x:c>
      <x:c r="E3907" s="2" t="str">
        <x:v>house</x:v>
      </x:c>
      <x:c r="F3907" s="2" t="str">
        <x:v>sale</x:v>
      </x:c>
      <x:c r="G3907" s="11" t="n">
        <x:v>33</x:v>
      </x:c>
      <x:c r="H3907" s="12" t="n">
        <x:v>1980000000</x:v>
      </x:c>
      <x:c r="I3907" s="12" t="n">
        <x:v>60000000</x:v>
      </x:c>
      <x:c r="J3907" s="2" t="str">
        <x:v>total</x:v>
      </x:c>
      <x:c r="K3907" s="2" t="str">
        <x:v>top_level_area</x:v>
      </x:c>
      <x:c r="L3907" s="2" t="str">
        <x:v>property_type_inferred_from_title</x:v>
      </x:c>
      <x:c r="M3907" s="10" t="n">
        <x:v>0</x:v>
      </x:c>
      <x:c r="N3907" s="10" t="n">
        <x:v>0</x:v>
      </x:c>
      <x:c r="O3907" s="2" t="str">
        <x:v>Hà Nội|house</x:v>
      </x:c>
      <x:c r="P3907" s="10" t="n">
        <x:v>2</x:v>
      </x:c>
      <x:c r="Q3907" s="13" t="n">
        <x:f>IF(H3907="","",H3907/1000000000)</x:f>
        <x:v>1.98</x:v>
      </x:c>
      <x:c r="R3907" s="13" t="n">
        <x:f>IF(I3907="","",I3907/1000000)</x:f>
        <x:v>60</x:v>
      </x:c>
    </x:row>
    <x:row r="3908" ht="21" customHeight="1">
      <x:c r="A3908" s="10" t="n">
        <x:v>5300</x:v>
      </x:c>
      <x:c r="B3908" s="2" t="str">
        <x:v>607a29acdffc10342538</x:v>
      </x:c>
      <x:c r="C3908" s="2" t="str">
        <x:v>Hà Nội</x:v>
      </x:c>
      <x:c r="D3908" s="2" t="str">
        <x:v>Quận Hà Đông</x:v>
      </x:c>
      <x:c r="E3908" s="2" t="str">
        <x:v>land</x:v>
      </x:c>
      <x:c r="F3908" s="2" t="str">
        <x:v>sale_assumed</x:v>
      </x:c>
      <x:c r="G3908" s="11" t="n">
        <x:v>35</x:v>
      </x:c>
      <x:c r="H3908" s="12" t="n">
        <x:v>870000000</x:v>
      </x:c>
      <x:c r="I3908" s="12" t="n">
        <x:v>24857142.85714286</x:v>
      </x:c>
      <x:c r="J3908" s="2" t="str">
        <x:v>total</x:v>
      </x:c>
      <x:c r="K3908" s="2" t="str">
        <x:v>top_level_area</x:v>
      </x:c>
      <x:c r="L3908" s="2" t="str">
        <x:v>property_type_inferred_from_title;transaction_assumed_sale_from_dataset_context</x:v>
      </x:c>
      <x:c r="M3908" s="10" t="n">
        <x:v>0</x:v>
      </x:c>
      <x:c r="N3908" s="10" t="n">
        <x:v>0</x:v>
      </x:c>
      <x:c r="O3908" s="2" t="str">
        <x:v>Hà Nội|land</x:v>
      </x:c>
      <x:c r="P3908" s="10" t="n">
        <x:v>2</x:v>
      </x:c>
      <x:c r="Q3908" s="13" t="n">
        <x:f>IF(H3908="","",H3908/1000000000)</x:f>
        <x:v>0.87</x:v>
      </x:c>
      <x:c r="R3908" s="13" t="n">
        <x:f>IF(I3908="","",I3908/1000000)</x:f>
        <x:v>24.857142857142858</x:v>
      </x:c>
    </x:row>
    <x:row r="3909" ht="21" customHeight="1">
      <x:c r="A3909" s="10" t="n">
        <x:v>5301</x:v>
      </x:c>
      <x:c r="B3909" s="2" t="str">
        <x:v>90229c5cfdeeacbdfd94</x:v>
      </x:c>
      <x:c r="C3909" s="2" t="str">
        <x:v>Hà Nội</x:v>
      </x:c>
      <x:c r="D3909" s="2" t="str">
        <x:v>Quận Nam Từ Liêm</x:v>
      </x:c>
      <x:c r="E3909" s="2" t="str">
        <x:v>house</x:v>
      </x:c>
      <x:c r="F3909" s="2" t="str">
        <x:v>sale_assumed</x:v>
      </x:c>
      <x:c r="G3909" s="11" t="n">
        <x:v>70</x:v>
      </x:c>
      <x:c r="H3909" s="12" t="n">
        <x:v>8800000000</x:v>
      </x:c>
      <x:c r="I3909" s="12" t="n">
        <x:v>125714285.71428572</x:v>
      </x:c>
      <x:c r="J3909" s="2" t="str">
        <x:v>total</x:v>
      </x:c>
      <x:c r="K3909" s="2" t="str">
        <x:v>top_level_area</x:v>
      </x:c>
      <x:c r="L3909" s="2" t="str">
        <x:v>property_type_inferred_from_title;transaction_assumed_sale_from_dataset_context</x:v>
      </x:c>
      <x:c r="M3909" s="10" t="n">
        <x:v>0</x:v>
      </x:c>
      <x:c r="N3909" s="10" t="n">
        <x:v>0</x:v>
      </x:c>
      <x:c r="O3909" s="2" t="str">
        <x:v>Hà Nội|house</x:v>
      </x:c>
      <x:c r="P3909" s="10" t="n">
        <x:v>2</x:v>
      </x:c>
      <x:c r="Q3909" s="13" t="n">
        <x:f>IF(H3909="","",H3909/1000000000)</x:f>
        <x:v>8.8</x:v>
      </x:c>
      <x:c r="R3909" s="13" t="n">
        <x:f>IF(I3909="","",I3909/1000000)</x:f>
        <x:v>125.71428571428572</x:v>
      </x:c>
    </x:row>
    <x:row r="3910" ht="21" customHeight="1">
      <x:c r="A3910" s="10" t="n">
        <x:v>5302</x:v>
      </x:c>
      <x:c r="B3910" s="2" t="str">
        <x:v>52ade6af5b19bfbb4445</x:v>
      </x:c>
      <x:c r="C3910" s="2" t="str">
        <x:v>Bến Tre</x:v>
      </x:c>
      <x:c r="D3910" s="2" t="str">
        <x:v>Thành phố Bến Tre</x:v>
      </x:c>
      <x:c r="E3910" s="2" t="str">
        <x:v>house</x:v>
      </x:c>
      <x:c r="F3910" s="2" t="str">
        <x:v>sale</x:v>
      </x:c>
      <x:c r="G3910" s="11" t="n">
        <x:v>420</x:v>
      </x:c>
      <x:c r="H3910" s="12" t="n">
        <x:v>2000000000</x:v>
      </x:c>
      <x:c r="I3910" s="12" t="n">
        <x:v>4761904.761904762</x:v>
      </x:c>
      <x:c r="J3910" s="2" t="str">
        <x:v>total</x:v>
      </x:c>
      <x:c r="K3910" s="2" t="str">
        <x:v>top_level_area</x:v>
      </x:c>
      <x:c r="L3910" s="2" t="str">
        <x:v>property_type_inferred_from_title</x:v>
      </x:c>
      <x:c r="M3910" s="10" t="n">
        <x:v>0</x:v>
      </x:c>
      <x:c r="N3910" s="10" t="n">
        <x:v>0</x:v>
      </x:c>
      <x:c r="O3910" s="2" t="str">
        <x:v>house</x:v>
      </x:c>
      <x:c r="P3910" s="10" t="n">
        <x:v>1</x:v>
      </x:c>
      <x:c r="Q3910" s="13" t="n">
        <x:f>IF(H3910="","",H3910/1000000000)</x:f>
        <x:v>2</x:v>
      </x:c>
      <x:c r="R3910" s="13" t="n">
        <x:f>IF(I3910="","",I3910/1000000)</x:f>
        <x:v>4.761904761904762</x:v>
      </x:c>
    </x:row>
    <x:row r="3911" ht="21" customHeight="1">
      <x:c r="A3911" s="10" t="n">
        <x:v>5303</x:v>
      </x:c>
      <x:c r="B3911" s="2" t="str">
        <x:v>0ac0b8e0c510e798cc29</x:v>
      </x:c>
      <x:c r="C3911" s="2" t="str">
        <x:v>Tp Hồ Chí Minh</x:v>
      </x:c>
      <x:c r="D3911" s="2" t="str">
        <x:v>Huyện Bình Chánh</x:v>
      </x:c>
      <x:c r="E3911" s="2" t="str">
        <x:v>house</x:v>
      </x:c>
      <x:c r="F3911" s="2" t="str">
        <x:v>sale</x:v>
      </x:c>
      <x:c r="G3911" s="11" t="n">
        <x:v>40</x:v>
      </x:c>
      <x:c r="H3911" s="12" t="n">
        <x:v>7560000000</x:v>
      </x:c>
      <x:c r="I3911" s="12" t="n">
        <x:v>189000000</x:v>
      </x:c>
      <x:c r="J3911" s="2" t="str">
        <x:v>total</x:v>
      </x:c>
      <x:c r="K3911" s="2" t="str">
        <x:v>top_level_area</x:v>
      </x:c>
      <x:c r="L3911" s="2" t="str">
        <x:v>property_type_inferred_from_title</x:v>
      </x:c>
      <x:c r="M3911" s="10" t="n">
        <x:v>1</x:v>
      </x:c>
      <x:c r="N3911" s="10" t="n">
        <x:v>0</x:v>
      </x:c>
      <x:c r="O3911" s="2" t="str">
        <x:v>Tp Hồ Chí Minh|house</x:v>
      </x:c>
      <x:c r="P3911" s="10" t="n">
        <x:v>2</x:v>
      </x:c>
      <x:c r="Q3911" s="13" t="n">
        <x:f>IF(H3911="","",H3911/1000000000)</x:f>
        <x:v>7.56</x:v>
      </x:c>
      <x:c r="R3911" s="13" t="n">
        <x:f>IF(I3911="","",I3911/1000000)</x:f>
        <x:v>189</x:v>
      </x:c>
    </x:row>
    <x:row r="3912" ht="21" customHeight="1">
      <x:c r="A3912" s="10" t="n">
        <x:v>5304</x:v>
      </x:c>
      <x:c r="B3912" s="2" t="str">
        <x:v>11286838face8fd4952e</x:v>
      </x:c>
      <x:c r="C3912" s="2" t="str">
        <x:v>Tp Hồ Chí Minh</x:v>
      </x:c>
      <x:c r="D3912" s="2" t="str">
        <x:v>Quận 8</x:v>
      </x:c>
      <x:c r="E3912" s="2" t="str">
        <x:v>house</x:v>
      </x:c>
      <x:c r="F3912" s="2" t="str">
        <x:v>sale</x:v>
      </x:c>
      <x:c r="G3912" s="11" t="n">
        <x:v>304</x:v>
      </x:c>
      <x:c r="H3912" s="12" t="n">
        <x:v>650000000</x:v>
      </x:c>
      <x:c r="I3912" s="12" t="n">
        <x:v>2138157.8947368423</x:v>
      </x:c>
      <x:c r="J3912" s="2" t="str">
        <x:v>total</x:v>
      </x:c>
      <x:c r="K3912" s="2" t="str">
        <x:v>top_level_area</x:v>
      </x:c>
      <x:c r="L3912" s="2" t="str">
        <x:v>property_type_inferred_from_title</x:v>
      </x:c>
      <x:c r="M3912" s="10" t="n">
        <x:v>0</x:v>
      </x:c>
      <x:c r="N3912" s="10" t="n">
        <x:v>0</x:v>
      </x:c>
      <x:c r="O3912" s="2" t="str">
        <x:v>Tp Hồ Chí Minh|house</x:v>
      </x:c>
      <x:c r="P3912" s="10" t="n">
        <x:v>1</x:v>
      </x:c>
      <x:c r="Q3912" s="13" t="n">
        <x:f>IF(H3912="","",H3912/1000000000)</x:f>
        <x:v>0.65</x:v>
      </x:c>
      <x:c r="R3912" s="13" t="n">
        <x:f>IF(I3912="","",I3912/1000000)</x:f>
        <x:v>2.138157894736842</x:v>
      </x:c>
    </x:row>
    <x:row r="3913" ht="21" customHeight="1">
      <x:c r="A3913" s="10" t="n">
        <x:v>5305</x:v>
      </x:c>
      <x:c r="B3913" s="2" t="str">
        <x:v>a9faefaac91ff6b9cd72</x:v>
      </x:c>
      <x:c r="C3913" s="2" t="str">
        <x:v>Tiền Giang</x:v>
      </x:c>
      <x:c r="D3913" s="2" t="str">
        <x:v>Thành phố Mỹ Tho</x:v>
      </x:c>
      <x:c r="E3913" s="2" t="str">
        <x:v>house</x:v>
      </x:c>
      <x:c r="F3913" s="2" t="str">
        <x:v>sale_assumed</x:v>
      </x:c>
      <x:c r="G3913" s="11" t="n">
        <x:v>132.7</x:v>
      </x:c>
      <x:c r="H3913" s="12" t="n">
        <x:v>800000000</x:v>
      </x:c>
      <x:c r="I3913" s="12" t="n">
        <x:v>6028636.021100227</x:v>
      </x:c>
      <x:c r="J3913" s="2" t="str">
        <x:v>total</x:v>
      </x:c>
      <x:c r="K3913" s="2" t="str">
        <x:v>top_level_area</x:v>
      </x:c>
      <x:c r="L3913" s="2" t="str">
        <x:v>property_type_inferred_from_title;transaction_assumed_sale_from_dataset_context</x:v>
      </x:c>
      <x:c r="M3913" s="10" t="n">
        <x:v>0</x:v>
      </x:c>
      <x:c r="N3913" s="10" t="n">
        <x:v>0</x:v>
      </x:c>
      <x:c r="O3913" s="2" t="str">
        <x:v>house</x:v>
      </x:c>
      <x:c r="P3913" s="10" t="n">
        <x:v>2</x:v>
      </x:c>
      <x:c r="Q3913" s="13" t="n">
        <x:f>IF(H3913="","",H3913/1000000000)</x:f>
        <x:v>0.8</x:v>
      </x:c>
      <x:c r="R3913" s="13" t="n">
        <x:f>IF(I3913="","",I3913/1000000)</x:f>
        <x:v>6.028636021100227</x:v>
      </x:c>
    </x:row>
    <x:row r="3914" ht="21" customHeight="1">
      <x:c r="A3914" s="10" t="n">
        <x:v>5308</x:v>
      </x:c>
      <x:c r="B3914" s="2" t="str">
        <x:v>c07ea0ec30af941c60ba</x:v>
      </x:c>
      <x:c r="C3914" s="2" t="str">
        <x:v>Nghệ An</x:v>
      </x:c>
      <x:c r="D3914" s="2" t="str">
        <x:v>Thành phố Vinh</x:v>
      </x:c>
      <x:c r="E3914" s="2" t="str">
        <x:v>land</x:v>
      </x:c>
      <x:c r="F3914" s="2" t="str">
        <x:v>sale</x:v>
      </x:c>
      <x:c r="G3914" s="11" t="n">
        <x:v>151.3</x:v>
      </x:c>
      <x:c r="H3914" s="12" t="n">
        <x:v>2650000000</x:v>
      </x:c>
      <x:c r="I3914" s="12" t="n">
        <x:v>17514871.11698612</x:v>
      </x:c>
      <x:c r="J3914" s="2" t="str">
        <x:v>total</x:v>
      </x:c>
      <x:c r="K3914" s="2" t="str">
        <x:v>top_level_area</x:v>
      </x:c>
      <x:c r="L3914" s="2" t="str">
        <x:v>property_type_inferred_from_title</x:v>
      </x:c>
      <x:c r="M3914" s="10" t="n">
        <x:v>0</x:v>
      </x:c>
      <x:c r="N3914" s="10" t="n">
        <x:v>0</x:v>
      </x:c>
      <x:c r="O3914" s="2" t="str">
        <x:v>land</x:v>
      </x:c>
      <x:c r="P3914" s="10" t="n">
        <x:v>2</x:v>
      </x:c>
      <x:c r="Q3914" s="13" t="n">
        <x:f>IF(H3914="","",H3914/1000000000)</x:f>
        <x:v>2.65</x:v>
      </x:c>
      <x:c r="R3914" s="13" t="n">
        <x:f>IF(I3914="","",I3914/1000000)</x:f>
        <x:v>17.514871116986118</x:v>
      </x:c>
    </x:row>
    <x:row r="3915" ht="21" customHeight="1">
      <x:c r="A3915" s="10" t="n">
        <x:v>5310</x:v>
      </x:c>
      <x:c r="B3915" s="2" t="str">
        <x:v>3bbdb8222d2f0cd9fa3e</x:v>
      </x:c>
      <x:c r="C3915" s="2" t="str">
        <x:v>Đà Nẵng</x:v>
      </x:c>
      <x:c r="D3915" s="2" t="str">
        <x:v>Quận Hải Châu</x:v>
      </x:c>
      <x:c r="E3915" s="2" t="str">
        <x:v>house</x:v>
      </x:c>
      <x:c r="F3915" s="2" t="str">
        <x:v>sale</x:v>
      </x:c>
      <x:c r="G3915" s="11" t="n">
        <x:v>60</x:v>
      </x:c>
      <x:c r="H3915" s="12" t="n">
        <x:v>2650000000</x:v>
      </x:c>
      <x:c r="I3915" s="12" t="n">
        <x:v>44166666.666666664</x:v>
      </x:c>
      <x:c r="J3915" s="2" t="str">
        <x:v>total</x:v>
      </x:c>
      <x:c r="K3915" s="2" t="str">
        <x:v>top_level_area</x:v>
      </x:c>
      <x:c r="L3915" s="2" t="str">
        <x:v>property_type_inferred_from_title</x:v>
      </x:c>
      <x:c r="M3915" s="10" t="n">
        <x:v>0</x:v>
      </x:c>
      <x:c r="N3915" s="10" t="n">
        <x:v>0</x:v>
      </x:c>
      <x:c r="O3915" s="2" t="str">
        <x:v>Đà Nẵng|house</x:v>
      </x:c>
      <x:c r="P3915" s="10" t="n">
        <x:v>2</x:v>
      </x:c>
      <x:c r="Q3915" s="13" t="n">
        <x:f>IF(H3915="","",H3915/1000000000)</x:f>
        <x:v>2.65</x:v>
      </x:c>
      <x:c r="R3915" s="13" t="n">
        <x:f>IF(I3915="","",I3915/1000000)</x:f>
        <x:v>44.166666666666664</x:v>
      </x:c>
    </x:row>
    <x:row r="3916" ht="21" customHeight="1">
      <x:c r="A3916" s="10" t="n">
        <x:v>5311</x:v>
      </x:c>
      <x:c r="B3916" s="2" t="str">
        <x:v>1e3a43f814cc1038445a</x:v>
      </x:c>
      <x:c r="C3916" s="2" t="str">
        <x:v>Tp Hồ Chí Minh</x:v>
      </x:c>
      <x:c r="D3916" s="2" t="str">
        <x:v>Quận Thủ Đức</x:v>
      </x:c>
      <x:c r="E3916" s="2" t="str">
        <x:v>house</x:v>
      </x:c>
      <x:c r="F3916" s="2" t="str">
        <x:v>sale_assumed</x:v>
      </x:c>
      <x:c r="G3916" s="11" t="n">
        <x:v>50</x:v>
      </x:c>
      <x:c r="H3916" s="12" t="n">
        <x:v>2800000000</x:v>
      </x:c>
      <x:c r="I3916" s="12" t="n">
        <x:v>56000000</x:v>
      </x:c>
      <x:c r="J3916" s="2" t="str">
        <x:v>total</x:v>
      </x:c>
      <x:c r="K3916" s="2" t="str">
        <x:v>top_level_area</x:v>
      </x:c>
      <x:c r="L3916" s="2" t="str">
        <x:v>property_type_inferred_from_title;transaction_assumed_sale_from_dataset_context</x:v>
      </x:c>
      <x:c r="M3916" s="10" t="n">
        <x:v>0</x:v>
      </x:c>
      <x:c r="N3916" s="10" t="n">
        <x:v>0</x:v>
      </x:c>
      <x:c r="O3916" s="2" t="str">
        <x:v>Tp Hồ Chí Minh|house</x:v>
      </x:c>
      <x:c r="P3916" s="10" t="n">
        <x:v>2</x:v>
      </x:c>
      <x:c r="Q3916" s="13" t="n">
        <x:f>IF(H3916="","",H3916/1000000000)</x:f>
        <x:v>2.8</x:v>
      </x:c>
      <x:c r="R3916" s="13" t="n">
        <x:f>IF(I3916="","",I3916/1000000)</x:f>
        <x:v>56</x:v>
      </x:c>
    </x:row>
    <x:row r="3917" ht="21" customHeight="1">
      <x:c r="A3917" s="10" t="n">
        <x:v>5312</x:v>
      </x:c>
      <x:c r="B3917" s="2" t="str">
        <x:v>9b0251a5193de881306f</x:v>
      </x:c>
      <x:c r="C3917" s="2" t="str">
        <x:v>Tp Hồ Chí Minh</x:v>
      </x:c>
      <x:c r="D3917" s="2" t="str">
        <x:v>Quận Bình Tân</x:v>
      </x:c>
      <x:c r="E3917" s="2" t="str">
        <x:v>house</x:v>
      </x:c>
      <x:c r="F3917" s="2" t="str">
        <x:v>sale</x:v>
      </x:c>
      <x:c r="G3917" s="11" t="n">
        <x:v>56</x:v>
      </x:c>
      <x:c r="H3917" s="12" t="n">
        <x:v>980000000</x:v>
      </x:c>
      <x:c r="I3917" s="12" t="n">
        <x:v>17500000</x:v>
      </x:c>
      <x:c r="J3917" s="2" t="str">
        <x:v>total</x:v>
      </x:c>
      <x:c r="K3917" s="2" t="str">
        <x:v>top_level_area</x:v>
      </x:c>
      <x:c r="L3917" s="2" t="str">
        <x:v>property_type_inferred_from_title</x:v>
      </x:c>
      <x:c r="M3917" s="10" t="n">
        <x:v>0</x:v>
      </x:c>
      <x:c r="N3917" s="10" t="n">
        <x:v>0</x:v>
      </x:c>
      <x:c r="O3917" s="2" t="str">
        <x:v>Tp Hồ Chí Minh|house</x:v>
      </x:c>
      <x:c r="P3917" s="10" t="n">
        <x:v>2</x:v>
      </x:c>
      <x:c r="Q3917" s="13" t="n">
        <x:f>IF(H3917="","",H3917/1000000000)</x:f>
        <x:v>0.98</x:v>
      </x:c>
      <x:c r="R3917" s="13" t="n">
        <x:f>IF(I3917="","",I3917/1000000)</x:f>
        <x:v>17.5</x:v>
      </x:c>
    </x:row>
    <x:row r="3918" ht="21" customHeight="1">
      <x:c r="A3918" s="10" t="n">
        <x:v>5313</x:v>
      </x:c>
      <x:c r="B3918" s="2" t="str">
        <x:v>47a8c76e93a8afeb9f30</x:v>
      </x:c>
      <x:c r="C3918" s="2" t="str">
        <x:v>Tp Hồ Chí Minh</x:v>
      </x:c>
      <x:c r="D3918" s="2" t="str">
        <x:v>Huyện Bình Chánh</x:v>
      </x:c>
      <x:c r="E3918" s="2" t="str">
        <x:v>land</x:v>
      </x:c>
      <x:c r="F3918" s="2" t="str">
        <x:v>sale_assumed</x:v>
      </x:c>
      <x:c r="G3918" s="11" t="n">
        <x:v>2113</x:v>
      </x:c>
      <x:c r="H3918" s="12" t="n">
        <x:v>31900000000</x:v>
      </x:c>
      <x:c r="I3918" s="12" t="n">
        <x:v>15097018.4571699</x:v>
      </x:c>
      <x:c r="J3918" s="2" t="str">
        <x:v>total</x:v>
      </x:c>
      <x:c r="K3918" s="2" t="str">
        <x:v>top_level_area</x:v>
      </x:c>
      <x:c r="L3918" s="2" t="str">
        <x:v>dot_thousands_convention;property_type_inferred_from_title;transaction_assumed_sale_from_dataset_context</x:v>
      </x:c>
      <x:c r="M3918" s="10" t="n">
        <x:v>0</x:v>
      </x:c>
      <x:c r="N3918" s="10" t="n">
        <x:v>0</x:v>
      </x:c>
      <x:c r="O3918" s="2" t="str">
        <x:v>Tp Hồ Chí Minh|land</x:v>
      </x:c>
      <x:c r="P3918" s="10" t="n">
        <x:v>1</x:v>
      </x:c>
      <x:c r="Q3918" s="13" t="n">
        <x:f>IF(H3918="","",H3918/1000000000)</x:f>
        <x:v>31.9</x:v>
      </x:c>
      <x:c r="R3918" s="13" t="n">
        <x:f>IF(I3918="","",I3918/1000000)</x:f>
        <x:v>15.0970184571699</x:v>
      </x:c>
    </x:row>
    <x:row r="3919" ht="21" customHeight="1">
      <x:c r="A3919" s="10" t="n">
        <x:v>5314</x:v>
      </x:c>
      <x:c r="B3919" s="2" t="str">
        <x:v>28d27d0b79c3d026e3f4</x:v>
      </x:c>
      <x:c r="C3919" s="2" t="str">
        <x:v>Tp Hồ Chí Minh</x:v>
      </x:c>
      <x:c r="D3919" s="2" t="str">
        <x:v>Quận Bình Tân</x:v>
      </x:c>
      <x:c r="E3919" s="2" t="str">
        <x:v>house</x:v>
      </x:c>
      <x:c r="F3919" s="2" t="str">
        <x:v>sale_assumed</x:v>
      </x:c>
      <x:c r="G3919" s="11" t="n">
        <x:v>85</x:v>
      </x:c>
      <x:c r="H3919" s="12" t="n">
        <x:v>5800000000</x:v>
      </x:c>
      <x:c r="I3919" s="12" t="n">
        <x:v>68235294.11764705</x:v>
      </x:c>
      <x:c r="J3919" s="2" t="str">
        <x:v>total</x:v>
      </x:c>
      <x:c r="K3919" s="2" t="str">
        <x:v>top_level_area</x:v>
      </x:c>
      <x:c r="L3919" s="2" t="str">
        <x:v>property_type_inferred_from_title;transaction_assumed_sale_from_dataset_context</x:v>
      </x:c>
      <x:c r="M3919" s="10" t="n">
        <x:v>0</x:v>
      </x:c>
      <x:c r="N3919" s="10" t="n">
        <x:v>0</x:v>
      </x:c>
      <x:c r="O3919" s="2" t="str">
        <x:v>Tp Hồ Chí Minh|house</x:v>
      </x:c>
      <x:c r="P3919" s="10" t="n">
        <x:v>2</x:v>
      </x:c>
      <x:c r="Q3919" s="13" t="n">
        <x:f>IF(H3919="","",H3919/1000000000)</x:f>
        <x:v>5.8</x:v>
      </x:c>
      <x:c r="R3919" s="13" t="n">
        <x:f>IF(I3919="","",I3919/1000000)</x:f>
        <x:v>68.23529411764706</x:v>
      </x:c>
    </x:row>
    <x:row r="3920" ht="21" customHeight="1">
      <x:c r="A3920" s="10" t="n">
        <x:v>5315</x:v>
      </x:c>
      <x:c r="B3920" s="2" t="str">
        <x:v>33bb07bb426856a622c8</x:v>
      </x:c>
      <x:c r="C3920" s="2" t="str">
        <x:v>Tp Hồ Chí Minh</x:v>
      </x:c>
      <x:c r="D3920" s="2" t="str">
        <x:v>Huyện Bình Chánh</x:v>
      </x:c>
      <x:c r="E3920" s="2" t="str">
        <x:v>house</x:v>
      </x:c>
      <x:c r="F3920" s="2" t="str">
        <x:v>sale_assumed</x:v>
      </x:c>
      <x:c r="G3920" s="11" t="n">
        <x:v>100</x:v>
      </x:c>
      <x:c r="H3920" s="12" t="n">
        <x:v>1350000000</x:v>
      </x:c>
      <x:c r="I3920" s="12" t="n">
        <x:v>13500000</x:v>
      </x:c>
      <x:c r="J3920" s="2" t="str">
        <x:v>total</x:v>
      </x:c>
      <x:c r="K3920" s="2" t="str">
        <x:v>top_level_area</x:v>
      </x:c>
      <x:c r="L3920" s="2" t="str">
        <x:v>property_type_inferred_from_title;transaction_assumed_sale_from_dataset_context</x:v>
      </x:c>
      <x:c r="M3920" s="10" t="n">
        <x:v>0</x:v>
      </x:c>
      <x:c r="N3920" s="10" t="n">
        <x:v>0</x:v>
      </x:c>
      <x:c r="O3920" s="2" t="str">
        <x:v>Tp Hồ Chí Minh|house</x:v>
      </x:c>
      <x:c r="P3920" s="10" t="n">
        <x:v>2</x:v>
      </x:c>
      <x:c r="Q3920" s="13" t="n">
        <x:f>IF(H3920="","",H3920/1000000000)</x:f>
        <x:v>1.35</x:v>
      </x:c>
      <x:c r="R3920" s="13" t="n">
        <x:f>IF(I3920="","",I3920/1000000)</x:f>
        <x:v>13.5</x:v>
      </x:c>
    </x:row>
    <x:row r="3921" ht="21" customHeight="1">
      <x:c r="A3921" s="10" t="n">
        <x:v>5316</x:v>
      </x:c>
      <x:c r="B3921" s="2" t="str">
        <x:v>fc66af94181e79247644</x:v>
      </x:c>
      <x:c r="C3921" s="2" t="str">
        <x:v>Bình Dương</x:v>
      </x:c>
      <x:c r="D3921" s="2" t="str">
        <x:v>Thành phố Thủ Dầu Một</x:v>
      </x:c>
      <x:c r="E3921" s="2" t="str">
        <x:v>house</x:v>
      </x:c>
      <x:c r="F3921" s="2" t="str">
        <x:v>sale</x:v>
      </x:c>
      <x:c r="G3921" s="11" t="n">
        <x:v>104</x:v>
      </x:c>
      <x:c r="H3921" s="12" t="n">
        <x:v>7000000000</x:v>
      </x:c>
      <x:c r="I3921" s="12" t="n">
        <x:v>67307692.3076923</x:v>
      </x:c>
      <x:c r="J3921" s="2" t="str">
        <x:v>total</x:v>
      </x:c>
      <x:c r="K3921" s="2" t="str">
        <x:v>top_level_area</x:v>
      </x:c>
      <x:c r="L3921" s="2" t="str">
        <x:v>property_type_inferred_from_title</x:v>
      </x:c>
      <x:c r="M3921" s="10" t="n">
        <x:v>0</x:v>
      </x:c>
      <x:c r="N3921" s="10" t="n">
        <x:v>1</x:v>
      </x:c>
      <x:c r="O3921" s="2" t="str">
        <x:v>Bình Dương|house</x:v>
      </x:c>
      <x:c r="P3921" s="10" t="n">
        <x:v>-1</x:v>
      </x:c>
      <x:c r="Q3921" s="13" t="n">
        <x:f>IF(H3921="","",H3921/1000000000)</x:f>
        <x:v>7</x:v>
      </x:c>
      <x:c r="R3921" s="13" t="n">
        <x:f>IF(I3921="","",I3921/1000000)</x:f>
        <x:v>67.3076923076923</x:v>
      </x:c>
    </x:row>
    <x:row r="3922" ht="21" customHeight="1">
      <x:c r="A3922" s="10" t="n">
        <x:v>5317</x:v>
      </x:c>
      <x:c r="B3922" s="2" t="str">
        <x:v>05605fc5f092ce66f257</x:v>
      </x:c>
      <x:c r="C3922" s="2" t="str">
        <x:v>Đồng Nai</x:v>
      </x:c>
      <x:c r="D3922" s="2" t="str">
        <x:v>Huyện Long Thành</x:v>
      </x:c>
      <x:c r="E3922" s="2" t="str">
        <x:v>land</x:v>
      </x:c>
      <x:c r="F3922" s="2" t="str">
        <x:v>sale_assumed</x:v>
      </x:c>
      <x:c r="G3922" s="11" t="n">
        <x:v>100</x:v>
      </x:c>
      <x:c r="H3922" s="12" t="n">
        <x:v>1500000000</x:v>
      </x:c>
      <x:c r="I3922" s="12" t="n">
        <x:v>15000000</x:v>
      </x:c>
      <x:c r="J3922" s="2" t="str">
        <x:v>total</x:v>
      </x:c>
      <x:c r="K3922" s="2" t="str">
        <x:v>top_level_area</x:v>
      </x:c>
      <x:c r="L3922" s="2" t="str">
        <x:v>property_type_inferred_from_title;transaction_assumed_sale_from_dataset_context</x:v>
      </x:c>
      <x:c r="M3922" s="10" t="n">
        <x:v>0</x:v>
      </x:c>
      <x:c r="N3922" s="10" t="n">
        <x:v>0</x:v>
      </x:c>
      <x:c r="O3922" s="2" t="str">
        <x:v>Đồng Nai|land</x:v>
      </x:c>
      <x:c r="P3922" s="10" t="n">
        <x:v>2</x:v>
      </x:c>
      <x:c r="Q3922" s="13" t="n">
        <x:f>IF(H3922="","",H3922/1000000000)</x:f>
        <x:v>1.5</x:v>
      </x:c>
      <x:c r="R3922" s="13" t="n">
        <x:f>IF(I3922="","",I3922/1000000)</x:f>
        <x:v>15</x:v>
      </x:c>
    </x:row>
    <x:row r="3923" ht="21" customHeight="1">
      <x:c r="A3923" s="10" t="n">
        <x:v>5318</x:v>
      </x:c>
      <x:c r="B3923" s="2" t="str">
        <x:v>ad5642ab18681d619a31</x:v>
      </x:c>
      <x:c r="C3923" s="2" t="str">
        <x:v>Tp Hồ Chí Minh</x:v>
      </x:c>
      <x:c r="D3923" s="2" t="str">
        <x:v>Huyện Bình Chánh</x:v>
      </x:c>
      <x:c r="E3923" s="2" t="str">
        <x:v>house</x:v>
      </x:c>
      <x:c r="F3923" s="2" t="str">
        <x:v>sale</x:v>
      </x:c>
      <x:c r="G3923" s="11" t="n">
        <x:v>210</x:v>
      </x:c>
      <x:c r="H3923" s="12" t="n">
        <x:v>6750000000</x:v>
      </x:c>
      <x:c r="I3923" s="12" t="n">
        <x:v>32142857.14285714</x:v>
      </x:c>
      <x:c r="J3923" s="2" t="str">
        <x:v>total</x:v>
      </x:c>
      <x:c r="K3923" s="2" t="str">
        <x:v>top_level_area</x:v>
      </x:c>
      <x:c r="L3923" s="2" t="str">
        <x:v>property_type_inferred_from_title</x:v>
      </x:c>
      <x:c r="M3923" s="10" t="n">
        <x:v>0</x:v>
      </x:c>
      <x:c r="N3923" s="10" t="n">
        <x:v>0</x:v>
      </x:c>
      <x:c r="O3923" s="2" t="str">
        <x:v>Tp Hồ Chí Minh|house</x:v>
      </x:c>
      <x:c r="P3923" s="10" t="n">
        <x:v>2</x:v>
      </x:c>
      <x:c r="Q3923" s="13" t="n">
        <x:f>IF(H3923="","",H3923/1000000000)</x:f>
        <x:v>6.75</x:v>
      </x:c>
      <x:c r="R3923" s="13" t="n">
        <x:f>IF(I3923="","",I3923/1000000)</x:f>
        <x:v>32.14285714285714</x:v>
      </x:c>
    </x:row>
    <x:row r="3924" ht="21" customHeight="1">
      <x:c r="A3924" s="10" t="n">
        <x:v>5319</x:v>
      </x:c>
      <x:c r="B3924" s="2" t="str">
        <x:v>37c273b551ec5554ea27</x:v>
      </x:c>
      <x:c r="C3924" s="2" t="str">
        <x:v>Bà Rịa - Vũng Tàu</x:v>
      </x:c>
      <x:c r="D3924" s="2" t="str">
        <x:v>Thành phố Vũng Tàu</x:v>
      </x:c>
      <x:c r="E3924" s="2" t="str">
        <x:v>other_unknown</x:v>
      </x:c>
      <x:c r="F3924" s="2" t="str">
        <x:v>sale_assumed</x:v>
      </x:c>
      <x:c r="G3924" s="11" t="n">
        <x:v>100</x:v>
      </x:c>
      <x:c r="H3924" s="12" t="n">
        <x:v>550000000</x:v>
      </x:c>
      <x:c r="I3924" s="12" t="n">
        <x:v>5500000</x:v>
      </x:c>
      <x:c r="J3924" s="2" t="str">
        <x:v>total</x:v>
      </x:c>
      <x:c r="K3924" s="2" t="str">
        <x:v>top_level_area</x:v>
      </x:c>
      <x:c r="L3924" s="2" t="str">
        <x:v>property_type_inferred_from_title;transaction_assumed_sale_from_dataset_context;unknown_property_type</x:v>
      </x:c>
      <x:c r="M3924" s="10" t="n">
        <x:v>0</x:v>
      </x:c>
      <x:c r="N3924" s="10" t="n">
        <x:v>0</x:v>
      </x:c>
      <x:c r="O3924" s="2" t="str">
        <x:v>other_unknown</x:v>
      </x:c>
      <x:c r="P3924" s="10" t="n">
        <x:v>2</x:v>
      </x:c>
      <x:c r="Q3924" s="13" t="n">
        <x:f>IF(H3924="","",H3924/1000000000)</x:f>
        <x:v>0.55</x:v>
      </x:c>
      <x:c r="R3924" s="13" t="n">
        <x:f>IF(I3924="","",I3924/1000000)</x:f>
        <x:v>5.5</x:v>
      </x:c>
    </x:row>
    <x:row r="3925" ht="21" customHeight="1">
      <x:c r="A3925" s="10" t="n">
        <x:v>5320</x:v>
      </x:c>
      <x:c r="B3925" s="2" t="str">
        <x:v>f4a7e52f9997e0fdbb0a</x:v>
      </x:c>
      <x:c r="C3925" s="2" t="str">
        <x:v>Bến Tre</x:v>
      </x:c>
      <x:c r="D3925" s="2" t="str">
        <x:v>Thành phố Bến Tre</x:v>
      </x:c>
      <x:c r="E3925" s="2" t="str">
        <x:v>land</x:v>
      </x:c>
      <x:c r="F3925" s="2" t="str">
        <x:v>sale</x:v>
      </x:c>
      <x:c r="G3925" s="11" t="n">
        <x:v>112</x:v>
      </x:c>
      <x:c r="H3925" s="12" t="n">
        <x:v>2072000000</x:v>
      </x:c>
      <x:c r="I3925" s="12" t="n">
        <x:v>18500000</x:v>
      </x:c>
      <x:c r="J3925" s="2" t="str">
        <x:v>total</x:v>
      </x:c>
      <x:c r="K3925" s="2" t="str">
        <x:v>top_level_area</x:v>
      </x:c>
      <x:c r="L3925" s="2" t="str">
        <x:v>property_type_inferred_from_title</x:v>
      </x:c>
      <x:c r="M3925" s="10" t="n">
        <x:v>0</x:v>
      </x:c>
      <x:c r="N3925" s="10" t="n">
        <x:v>0</x:v>
      </x:c>
      <x:c r="O3925" s="2" t="str">
        <x:v>Bến Tre|land</x:v>
      </x:c>
      <x:c r="P3925" s="10" t="n">
        <x:v>2</x:v>
      </x:c>
      <x:c r="Q3925" s="13" t="n">
        <x:f>IF(H3925="","",H3925/1000000000)</x:f>
        <x:v>2.072</x:v>
      </x:c>
      <x:c r="R3925" s="13" t="n">
        <x:f>IF(I3925="","",I3925/1000000)</x:f>
        <x:v>18.5</x:v>
      </x:c>
    </x:row>
    <x:row r="3926" ht="21" customHeight="1">
      <x:c r="A3926" s="10" t="n">
        <x:v>5321</x:v>
      </x:c>
      <x:c r="B3926" s="2" t="str">
        <x:v>94ca078486c56e24a1af</x:v>
      </x:c>
      <x:c r="C3926" s="2" t="str">
        <x:v>Tp Hồ Chí Minh</x:v>
      </x:c>
      <x:c r="D3926" s="2" t="str">
        <x:v>Huyện Bình Chánh</x:v>
      </x:c>
      <x:c r="E3926" s="2" t="str">
        <x:v>house</x:v>
      </x:c>
      <x:c r="F3926" s="2" t="str">
        <x:v>sale_assumed</x:v>
      </x:c>
      <x:c r="G3926" s="11" t="n">
        <x:v>1200</x:v>
      </x:c>
      <x:c r="H3926" s="12" t="n">
        <x:v>25900000000</x:v>
      </x:c>
      <x:c r="I3926" s="12" t="n">
        <x:v>21583333.333333332</x:v>
      </x:c>
      <x:c r="J3926" s="2" t="str">
        <x:v>total</x:v>
      </x:c>
      <x:c r="K3926" s="2" t="str">
        <x:v>top_level_area</x:v>
      </x:c>
      <x:c r="L3926" s="2" t="str">
        <x:v>dot_thousands_convention;property_type_inferred_from_title;transaction_assumed_sale_from_dataset_context</x:v>
      </x:c>
      <x:c r="M3926" s="10" t="n">
        <x:v>0</x:v>
      </x:c>
      <x:c r="N3926" s="10" t="n">
        <x:v>0</x:v>
      </x:c>
      <x:c r="O3926" s="2" t="str">
        <x:v>Tp Hồ Chí Minh|house</x:v>
      </x:c>
      <x:c r="P3926" s="10" t="n">
        <x:v>1</x:v>
      </x:c>
      <x:c r="Q3926" s="13" t="n">
        <x:f>IF(H3926="","",H3926/1000000000)</x:f>
        <x:v>25.9</x:v>
      </x:c>
      <x:c r="R3926" s="13" t="n">
        <x:f>IF(I3926="","",I3926/1000000)</x:f>
        <x:v>21.583333333333332</x:v>
      </x:c>
    </x:row>
    <x:row r="3927" ht="21" customHeight="1">
      <x:c r="A3927" s="10" t="n">
        <x:v>5322</x:v>
      </x:c>
      <x:c r="B3927" s="2" t="str">
        <x:v>7e20d436a990d3d560f3</x:v>
      </x:c>
      <x:c r="C3927" s="2" t="str">
        <x:v>Tp Hồ Chí Minh</x:v>
      </x:c>
      <x:c r="D3927" s="2" t="str">
        <x:v>Quận Gò Vấp</x:v>
      </x:c>
      <x:c r="E3927" s="2" t="str">
        <x:v>house</x:v>
      </x:c>
      <x:c r="F3927" s="2" t="str">
        <x:v>sale_assumed</x:v>
      </x:c>
      <x:c r="G3927" s="11" t="n">
        <x:v>50</x:v>
      </x:c>
      <x:c r="H3927" s="12" t="n">
        <x:v>3680000000</x:v>
      </x:c>
      <x:c r="I3927" s="12" t="n">
        <x:v>73600000</x:v>
      </x:c>
      <x:c r="J3927" s="2" t="str">
        <x:v>total</x:v>
      </x:c>
      <x:c r="K3927" s="2" t="str">
        <x:v>top_level_area</x:v>
      </x:c>
      <x:c r="L3927" s="2" t="str">
        <x:v>property_type_inferred_from_title;transaction_assumed_sale_from_dataset_context</x:v>
      </x:c>
      <x:c r="M3927" s="10" t="n">
        <x:v>0</x:v>
      </x:c>
      <x:c r="N3927" s="10" t="n">
        <x:v>0</x:v>
      </x:c>
      <x:c r="O3927" s="2" t="str">
        <x:v>Tp Hồ Chí Minh|house</x:v>
      </x:c>
      <x:c r="P3927" s="10" t="n">
        <x:v>2</x:v>
      </x:c>
      <x:c r="Q3927" s="13" t="n">
        <x:f>IF(H3927="","",H3927/1000000000)</x:f>
        <x:v>3.68</x:v>
      </x:c>
      <x:c r="R3927" s="13" t="n">
        <x:f>IF(I3927="","",I3927/1000000)</x:f>
        <x:v>73.6</x:v>
      </x:c>
    </x:row>
    <x:row r="3928" ht="21" customHeight="1">
      <x:c r="A3928" s="10" t="n">
        <x:v>5323</x:v>
      </x:c>
      <x:c r="B3928" s="2" t="str">
        <x:v>e11d54c2944a4b275a54</x:v>
      </x:c>
      <x:c r="C3928" s="2" t="str">
        <x:v>Tp Hồ Chí Minh</x:v>
      </x:c>
      <x:c r="D3928" s="2" t="str">
        <x:v>Quận Bình Tân</x:v>
      </x:c>
      <x:c r="E3928" s="2" t="str">
        <x:v>house</x:v>
      </x:c>
      <x:c r="F3928" s="2" t="str">
        <x:v>sale</x:v>
      </x:c>
      <x:c r="G3928" s="11" t="n">
        <x:v>60</x:v>
      </x:c>
      <x:c r="H3928" s="12" t="n">
        <x:v>3900000000</x:v>
      </x:c>
      <x:c r="I3928" s="12" t="n">
        <x:v>65000000</x:v>
      </x:c>
      <x:c r="J3928" s="2" t="str">
        <x:v>total</x:v>
      </x:c>
      <x:c r="K3928" s="2" t="str">
        <x:v>top_level_area</x:v>
      </x:c>
      <x:c r="L3928" s="2" t="str">
        <x:v>property_type_inferred_from_title</x:v>
      </x:c>
      <x:c r="M3928" s="10" t="n">
        <x:v>0</x:v>
      </x:c>
      <x:c r="N3928" s="10" t="n">
        <x:v>0</x:v>
      </x:c>
      <x:c r="O3928" s="2" t="str">
        <x:v>Tp Hồ Chí Minh|house</x:v>
      </x:c>
      <x:c r="P3928" s="10" t="n">
        <x:v>2</x:v>
      </x:c>
      <x:c r="Q3928" s="13" t="n">
        <x:f>IF(H3928="","",H3928/1000000000)</x:f>
        <x:v>3.9</x:v>
      </x:c>
      <x:c r="R3928" s="13" t="n">
        <x:f>IF(I3928="","",I3928/1000000)</x:f>
        <x:v>65</x:v>
      </x:c>
    </x:row>
    <x:row r="3929" ht="21" customHeight="1">
      <x:c r="A3929" s="10" t="n">
        <x:v>5324</x:v>
      </x:c>
      <x:c r="B3929" s="2" t="str">
        <x:v>08f8d224af4d8284e0db</x:v>
      </x:c>
      <x:c r="C3929" s="2" t="str">
        <x:v>Tp Hồ Chí Minh</x:v>
      </x:c>
      <x:c r="D3929" s="2" t="str">
        <x:v>Huyện Củ Chi</x:v>
      </x:c>
      <x:c r="E3929" s="2" t="str">
        <x:v>land</x:v>
      </x:c>
      <x:c r="F3929" s="2" t="str">
        <x:v>sale_assumed</x:v>
      </x:c>
      <x:c r="G3929" s="11" t="n">
        <x:v>304.7</x:v>
      </x:c>
      <x:c r="H3929" s="12" t="n">
        <x:v>1350000000</x:v>
      </x:c>
      <x:c r="I3929" s="12" t="n">
        <x:v>4430587.463078438</x:v>
      </x:c>
      <x:c r="J3929" s="2" t="str">
        <x:v>total</x:v>
      </x:c>
      <x:c r="K3929" s="2" t="str">
        <x:v>top_level_area</x:v>
      </x:c>
      <x:c r="L3929" s="2" t="str">
        <x:v>property_type_inferred_from_title;transaction_assumed_sale_from_dataset_context</x:v>
      </x:c>
      <x:c r="M3929" s="10" t="n">
        <x:v>0</x:v>
      </x:c>
      <x:c r="N3929" s="10" t="n">
        <x:v>0</x:v>
      </x:c>
      <x:c r="O3929" s="2" t="str">
        <x:v>Tp Hồ Chí Minh|land</x:v>
      </x:c>
      <x:c r="P3929" s="10" t="n">
        <x:v>1</x:v>
      </x:c>
      <x:c r="Q3929" s="13" t="n">
        <x:f>IF(H3929="","",H3929/1000000000)</x:f>
        <x:v>1.35</x:v>
      </x:c>
      <x:c r="R3929" s="13" t="n">
        <x:f>IF(I3929="","",I3929/1000000)</x:f>
        <x:v>4.430587463078438</x:v>
      </x:c>
    </x:row>
    <x:row r="3930" ht="21" customHeight="1">
      <x:c r="A3930" s="10" t="n">
        <x:v>5325</x:v>
      </x:c>
      <x:c r="B3930" s="2" t="str">
        <x:v>0505d37a4c12ce045802</x:v>
      </x:c>
      <x:c r="C3930" s="2" t="str">
        <x:v>Tp Hồ Chí Minh</x:v>
      </x:c>
      <x:c r="D3930" s="2" t="str">
        <x:v>Quận 1</x:v>
      </x:c>
      <x:c r="E3930" s="2" t="str">
        <x:v>house</x:v>
      </x:c>
      <x:c r="F3930" s="2" t="str">
        <x:v>sale</x:v>
      </x:c>
      <x:c r="G3930" s="11" t="n">
        <x:v>30</x:v>
      </x:c>
      <x:c r="H3930" s="12" t="n">
        <x:v>5600000000</x:v>
      </x:c>
      <x:c r="I3930" s="12" t="n">
        <x:v>186666666.66666666</x:v>
      </x:c>
      <x:c r="J3930" s="2" t="str">
        <x:v>total</x:v>
      </x:c>
      <x:c r="K3930" s="2" t="str">
        <x:v>top_level_area</x:v>
      </x:c>
      <x:c r="L3930" s="2" t="str">
        <x:v>property_type_inferred_from_title</x:v>
      </x:c>
      <x:c r="M3930" s="10" t="n">
        <x:v>1</x:v>
      </x:c>
      <x:c r="N3930" s="10" t="n">
        <x:v>0</x:v>
      </x:c>
      <x:c r="O3930" s="2" t="str">
        <x:v>Tp Hồ Chí Minh|house</x:v>
      </x:c>
      <x:c r="P3930" s="10" t="n">
        <x:v>2</x:v>
      </x:c>
      <x:c r="Q3930" s="13" t="n">
        <x:f>IF(H3930="","",H3930/1000000000)</x:f>
        <x:v>5.6</x:v>
      </x:c>
      <x:c r="R3930" s="13" t="n">
        <x:f>IF(I3930="","",I3930/1000000)</x:f>
        <x:v>186.66666666666666</x:v>
      </x:c>
    </x:row>
    <x:row r="3931" ht="21" customHeight="1">
      <x:c r="A3931" s="10" t="n">
        <x:v>5326</x:v>
      </x:c>
      <x:c r="B3931" s="2" t="str">
        <x:v>b58aefb9e272d85f076b</x:v>
      </x:c>
      <x:c r="C3931" s="2" t="str">
        <x:v>Tp Hồ Chí Minh</x:v>
      </x:c>
      <x:c r="D3931" s="2" t="str">
        <x:v>Quận Thủ Đức</x:v>
      </x:c>
      <x:c r="E3931" s="2" t="str">
        <x:v>house</x:v>
      </x:c>
      <x:c r="F3931" s="2" t="str">
        <x:v>sale_assumed</x:v>
      </x:c>
      <x:c r="G3931" s="11" t="n">
        <x:v>65</x:v>
      </x:c>
      <x:c r="H3931" s="12" t="n">
        <x:v>5250000000</x:v>
      </x:c>
      <x:c r="I3931" s="12" t="n">
        <x:v>80769230.76923077</x:v>
      </x:c>
      <x:c r="J3931" s="2" t="str">
        <x:v>total</x:v>
      </x:c>
      <x:c r="K3931" s="2" t="str">
        <x:v>top_level_area</x:v>
      </x:c>
      <x:c r="L3931" s="2" t="str">
        <x:v>property_type_inferred_from_title;transaction_assumed_sale_from_dataset_context</x:v>
      </x:c>
      <x:c r="M3931" s="10" t="n">
        <x:v>0</x:v>
      </x:c>
      <x:c r="N3931" s="10" t="n">
        <x:v>0</x:v>
      </x:c>
      <x:c r="O3931" s="2" t="str">
        <x:v>Tp Hồ Chí Minh|house</x:v>
      </x:c>
      <x:c r="P3931" s="10" t="n">
        <x:v>2</x:v>
      </x:c>
      <x:c r="Q3931" s="13" t="n">
        <x:f>IF(H3931="","",H3931/1000000000)</x:f>
        <x:v>5.25</x:v>
      </x:c>
      <x:c r="R3931" s="13" t="n">
        <x:f>IF(I3931="","",I3931/1000000)</x:f>
        <x:v>80.76923076923077</x:v>
      </x:c>
    </x:row>
    <x:row r="3932" ht="21" customHeight="1">
      <x:c r="A3932" s="10" t="n">
        <x:v>5327</x:v>
      </x:c>
      <x:c r="B3932" s="2" t="str">
        <x:v>a48db57533a8e54bc5bf</x:v>
      </x:c>
      <x:c r="C3932" s="2" t="str">
        <x:v>Tp Hồ Chí Minh</x:v>
      </x:c>
      <x:c r="D3932" s="2" t="str">
        <x:v>Huyện Củ Chi</x:v>
      </x:c>
      <x:c r="E3932" s="2" t="str">
        <x:v>land</x:v>
      </x:c>
      <x:c r="F3932" s="2" t="str">
        <x:v>sale_assumed</x:v>
      </x:c>
      <x:c r="G3932" s="11" t="n">
        <x:v>833</x:v>
      </x:c>
      <x:c r="H3932" s="12" t="n">
        <x:v>3500000000</x:v>
      </x:c>
      <x:c r="I3932" s="12" t="n">
        <x:v>4201680.672268908</x:v>
      </x:c>
      <x:c r="J3932" s="2" t="str">
        <x:v>total</x:v>
      </x:c>
      <x:c r="K3932" s="2" t="str">
        <x:v>top_level_area</x:v>
      </x:c>
      <x:c r="L3932" s="2" t="str">
        <x:v>property_type_inferred_from_title;transaction_assumed_sale_from_dataset_context</x:v>
      </x:c>
      <x:c r="M3932" s="10" t="n">
        <x:v>0</x:v>
      </x:c>
      <x:c r="N3932" s="10" t="n">
        <x:v>0</x:v>
      </x:c>
      <x:c r="O3932" s="2" t="str">
        <x:v>Tp Hồ Chí Minh|land</x:v>
      </x:c>
      <x:c r="P3932" s="10" t="n">
        <x:v>1</x:v>
      </x:c>
      <x:c r="Q3932" s="13" t="n">
        <x:f>IF(H3932="","",H3932/1000000000)</x:f>
        <x:v>3.5</x:v>
      </x:c>
      <x:c r="R3932" s="13" t="n">
        <x:f>IF(I3932="","",I3932/1000000)</x:f>
        <x:v>4.201680672268908</x:v>
      </x:c>
    </x:row>
    <x:row r="3933" ht="21" customHeight="1">
      <x:c r="A3933" s="10" t="n">
        <x:v>5328</x:v>
      </x:c>
      <x:c r="B3933" s="2" t="str">
        <x:v>6c250223d6465778dc1b</x:v>
      </x:c>
      <x:c r="C3933" s="2" t="str">
        <x:v>Hà Nội</x:v>
      </x:c>
      <x:c r="D3933" s="2" t="str">
        <x:v>Quận Thanh Xuân</x:v>
      </x:c>
      <x:c r="E3933" s="2" t="str">
        <x:v>house</x:v>
      </x:c>
      <x:c r="F3933" s="2" t="str">
        <x:v>sale_assumed</x:v>
      </x:c>
      <x:c r="G3933" s="11" t="n">
        <x:v>25</x:v>
      </x:c>
      <x:c r="H3933" s="12" t="n">
        <x:v>2650000000</x:v>
      </x:c>
      <x:c r="I3933" s="12" t="n">
        <x:v>106000000</x:v>
      </x:c>
      <x:c r="J3933" s="2" t="str">
        <x:v>total</x:v>
      </x:c>
      <x:c r="K3933" s="2" t="str">
        <x:v>top_level_area</x:v>
      </x:c>
      <x:c r="L3933" s="2" t="str">
        <x:v>property_type_inferred_from_title;transaction_assumed_sale_from_dataset_context</x:v>
      </x:c>
      <x:c r="M3933" s="10" t="n">
        <x:v>0</x:v>
      </x:c>
      <x:c r="N3933" s="10" t="n">
        <x:v>0</x:v>
      </x:c>
      <x:c r="O3933" s="2" t="str">
        <x:v>Hà Nội|house</x:v>
      </x:c>
      <x:c r="P3933" s="10" t="n">
        <x:v>2</x:v>
      </x:c>
      <x:c r="Q3933" s="13" t="n">
        <x:f>IF(H3933="","",H3933/1000000000)</x:f>
        <x:v>2.65</x:v>
      </x:c>
      <x:c r="R3933" s="13" t="n">
        <x:f>IF(I3933="","",I3933/1000000)</x:f>
        <x:v>106</x:v>
      </x:c>
    </x:row>
    <x:row r="3934" ht="21" customHeight="1">
      <x:c r="A3934" s="10" t="n">
        <x:v>5329</x:v>
      </x:c>
      <x:c r="B3934" s="2" t="str">
        <x:v>497ce0303430a6877e6b</x:v>
      </x:c>
      <x:c r="C3934" s="2" t="str">
        <x:v>Tp Hồ Chí Minh</x:v>
      </x:c>
      <x:c r="D3934" s="2" t="str">
        <x:v>Quận 12</x:v>
      </x:c>
      <x:c r="E3934" s="2" t="str">
        <x:v>house</x:v>
      </x:c>
      <x:c r="F3934" s="2" t="str">
        <x:v>sale_assumed</x:v>
      </x:c>
      <x:c r="G3934" s="11" t="n">
        <x:v>50</x:v>
      </x:c>
      <x:c r="H3934" s="12" t="n">
        <x:v>2980000000</x:v>
      </x:c>
      <x:c r="I3934" s="12" t="n">
        <x:v>59600000</x:v>
      </x:c>
      <x:c r="J3934" s="2" t="str">
        <x:v>total</x:v>
      </x:c>
      <x:c r="K3934" s="2" t="str">
        <x:v>top_level_price_embedded_area</x:v>
      </x:c>
      <x:c r="L3934" s="2" t="str">
        <x:v>area_recovered_from_price_text;property_type_inferred_from_title;transaction_assumed_sale_from_dataset_context</x:v>
      </x:c>
      <x:c r="M3934" s="10" t="n">
        <x:v>0</x:v>
      </x:c>
      <x:c r="N3934" s="10" t="n">
        <x:v>0</x:v>
      </x:c>
      <x:c r="O3934" s="2" t="str">
        <x:v>Tp Hồ Chí Minh|house</x:v>
      </x:c>
      <x:c r="P3934" s="10" t="n">
        <x:v>2</x:v>
      </x:c>
      <x:c r="Q3934" s="13" t="n">
        <x:f>IF(H3934="","",H3934/1000000000)</x:f>
        <x:v>2.98</x:v>
      </x:c>
      <x:c r="R3934" s="13" t="n">
        <x:f>IF(I3934="","",I3934/1000000)</x:f>
        <x:v>59.6</x:v>
      </x:c>
    </x:row>
    <x:row r="3935" ht="21" customHeight="1">
      <x:c r="A3935" s="10" t="n">
        <x:v>5332</x:v>
      </x:c>
      <x:c r="B3935" s="2" t="str">
        <x:v>c07815e540b2b632c8f1</x:v>
      </x:c>
      <x:c r="C3935" s="2" t="str">
        <x:v>Hà Nội</x:v>
      </x:c>
      <x:c r="D3935" s="2" t="str">
        <x:v>Quận Long Biên</x:v>
      </x:c>
      <x:c r="E3935" s="2" t="str">
        <x:v>house</x:v>
      </x:c>
      <x:c r="F3935" s="2" t="str">
        <x:v>sale</x:v>
      </x:c>
      <x:c r="G3935" s="11" t="n">
        <x:v>62</x:v>
      </x:c>
      <x:c r="H3935" s="12" t="n">
        <x:v>4000000000</x:v>
      </x:c>
      <x:c r="I3935" s="12" t="n">
        <x:v>64516129.03225806</x:v>
      </x:c>
      <x:c r="J3935" s="2" t="str">
        <x:v>total</x:v>
      </x:c>
      <x:c r="K3935" s="2" t="str">
        <x:v>top_level_area</x:v>
      </x:c>
      <x:c r="L3935" s="2" t="str">
        <x:v>property_type_inferred_from_title</x:v>
      </x:c>
      <x:c r="M3935" s="10" t="n">
        <x:v>0</x:v>
      </x:c>
      <x:c r="N3935" s="10" t="n">
        <x:v>0</x:v>
      </x:c>
      <x:c r="O3935" s="2" t="str">
        <x:v>Hà Nội|house</x:v>
      </x:c>
      <x:c r="P3935" s="10" t="n">
        <x:v>2</x:v>
      </x:c>
      <x:c r="Q3935" s="13" t="n">
        <x:f>IF(H3935="","",H3935/1000000000)</x:f>
        <x:v>4</x:v>
      </x:c>
      <x:c r="R3935" s="13" t="n">
        <x:f>IF(I3935="","",I3935/1000000)</x:f>
        <x:v>64.51612903225806</x:v>
      </x:c>
    </x:row>
    <x:row r="3936" ht="21" customHeight="1">
      <x:c r="A3936" s="10" t="n">
        <x:v>5333</x:v>
      </x:c>
      <x:c r="B3936" s="2" t="str">
        <x:v>f11906385c37fdb78cc3</x:v>
      </x:c>
      <x:c r="C3936" s="2" t="str">
        <x:v>Tp Hồ Chí Minh</x:v>
      </x:c>
      <x:c r="D3936" s="2" t="str">
        <x:v>Quận Gò Vấp</x:v>
      </x:c>
      <x:c r="E3936" s="2" t="str">
        <x:v>house</x:v>
      </x:c>
      <x:c r="F3936" s="2" t="str">
        <x:v>sale_assumed</x:v>
      </x:c>
      <x:c r="G3936" s="11" t="n">
        <x:v>36</x:v>
      </x:c>
      <x:c r="H3936" s="12" t="n">
        <x:v>3200000000</x:v>
      </x:c>
      <x:c r="I3936" s="12" t="n">
        <x:v>88888888.8888889</x:v>
      </x:c>
      <x:c r="J3936" s="2" t="str">
        <x:v>total</x:v>
      </x:c>
      <x:c r="K3936" s="2" t="str">
        <x:v>top_level_area</x:v>
      </x:c>
      <x:c r="L3936" s="2" t="str">
        <x:v>property_type_inferred_from_title;transaction_assumed_sale_from_dataset_context</x:v>
      </x:c>
      <x:c r="M3936" s="10" t="n">
        <x:v>0</x:v>
      </x:c>
      <x:c r="N3936" s="10" t="n">
        <x:v>0</x:v>
      </x:c>
      <x:c r="O3936" s="2" t="str">
        <x:v>Tp Hồ Chí Minh|house</x:v>
      </x:c>
      <x:c r="P3936" s="10" t="n">
        <x:v>2</x:v>
      </x:c>
      <x:c r="Q3936" s="13" t="n">
        <x:f>IF(H3936="","",H3936/1000000000)</x:f>
        <x:v>3.2</x:v>
      </x:c>
      <x:c r="R3936" s="13" t="n">
        <x:f>IF(I3936="","",I3936/1000000)</x:f>
        <x:v>88.8888888888889</x:v>
      </x:c>
    </x:row>
    <x:row r="3937" ht="21" customHeight="1">
      <x:c r="A3937" s="10" t="n">
        <x:v>5334</x:v>
      </x:c>
      <x:c r="B3937" s="2" t="str">
        <x:v>ae568822f3932a531490</x:v>
      </x:c>
      <x:c r="C3937" s="2" t="str">
        <x:v>Đà Nẵng</x:v>
      </x:c>
      <x:c r="D3937" s="2" t="str">
        <x:v>Quận Liên Chiểu</x:v>
      </x:c>
      <x:c r="E3937" s="2" t="str">
        <x:v>house</x:v>
      </x:c>
      <x:c r="F3937" s="2" t="str">
        <x:v>sale_assumed</x:v>
      </x:c>
      <x:c r="G3937" s="11" t="n">
        <x:v>100</x:v>
      </x:c>
      <x:c r="H3937" s="12" t="n">
        <x:v>2100000000</x:v>
      </x:c>
      <x:c r="I3937" s="12" t="n">
        <x:v>21000000</x:v>
      </x:c>
      <x:c r="J3937" s="2" t="str">
        <x:v>total</x:v>
      </x:c>
      <x:c r="K3937" s="2" t="str">
        <x:v>top_level_area</x:v>
      </x:c>
      <x:c r="L3937" s="2" t="str">
        <x:v>property_type_inferred_from_title;transaction_assumed_sale_from_dataset_context</x:v>
      </x:c>
      <x:c r="M3937" s="10" t="n">
        <x:v>0</x:v>
      </x:c>
      <x:c r="N3937" s="10" t="n">
        <x:v>0</x:v>
      </x:c>
      <x:c r="O3937" s="2" t="str">
        <x:v>Đà Nẵng|house</x:v>
      </x:c>
      <x:c r="P3937" s="10" t="n">
        <x:v>2</x:v>
      </x:c>
      <x:c r="Q3937" s="13" t="n">
        <x:f>IF(H3937="","",H3937/1000000000)</x:f>
        <x:v>2.1</x:v>
      </x:c>
      <x:c r="R3937" s="13" t="n">
        <x:f>IF(I3937="","",I3937/1000000)</x:f>
        <x:v>21</x:v>
      </x:c>
    </x:row>
    <x:row r="3938" ht="21" customHeight="1">
      <x:c r="A3938" s="10" t="n">
        <x:v>5335</x:v>
      </x:c>
      <x:c r="B3938" s="2" t="str">
        <x:v>ab1d5368c35735122504</x:v>
      </x:c>
      <x:c r="C3938" s="2" t="str">
        <x:v>Tp Hồ Chí Minh</x:v>
      </x:c>
      <x:c r="D3938" s="2" t="str">
        <x:v>Quận 12</x:v>
      </x:c>
      <x:c r="E3938" s="2" t="str">
        <x:v>house</x:v>
      </x:c>
      <x:c r="F3938" s="2" t="str">
        <x:v>sale_assumed</x:v>
      </x:c>
      <x:c r="G3938" s="11" t="n">
        <x:v>81.4</x:v>
      </x:c>
      <x:c r="H3938" s="12" t="n">
        <x:v>3600000000</x:v>
      </x:c>
      <x:c r="I3938" s="12" t="n">
        <x:v>44226044.22604422</x:v>
      </x:c>
      <x:c r="J3938" s="2" t="str">
        <x:v>total</x:v>
      </x:c>
      <x:c r="K3938" s="2" t="str">
        <x:v>top_level_area</x:v>
      </x:c>
      <x:c r="L3938" s="2" t="str">
        <x:v>property_type_inferred_from_title;transaction_assumed_sale_from_dataset_context</x:v>
      </x:c>
      <x:c r="M3938" s="10" t="n">
        <x:v>0</x:v>
      </x:c>
      <x:c r="N3938" s="10" t="n">
        <x:v>0</x:v>
      </x:c>
      <x:c r="O3938" s="2" t="str">
        <x:v>Tp Hồ Chí Minh|house</x:v>
      </x:c>
      <x:c r="P3938" s="10" t="n">
        <x:v>2</x:v>
      </x:c>
      <x:c r="Q3938" s="13" t="n">
        <x:f>IF(H3938="","",H3938/1000000000)</x:f>
        <x:v>3.6</x:v>
      </x:c>
      <x:c r="R3938" s="13" t="n">
        <x:f>IF(I3938="","",I3938/1000000)</x:f>
        <x:v>44.22604422604422</x:v>
      </x:c>
    </x:row>
    <x:row r="3939" ht="21" customHeight="1">
      <x:c r="A3939" s="10" t="n">
        <x:v>5336</x:v>
      </x:c>
      <x:c r="B3939" s="2" t="str">
        <x:v>97c6b38aa18b033d730d</x:v>
      </x:c>
      <x:c r="C3939" s="2" t="str">
        <x:v>Đà Nẵng</x:v>
      </x:c>
      <x:c r="D3939" s="2" t="str">
        <x:v>Quận Thanh Khê</x:v>
      </x:c>
      <x:c r="E3939" s="2" t="str">
        <x:v>house</x:v>
      </x:c>
      <x:c r="F3939" s="2" t="str">
        <x:v>sale</x:v>
      </x:c>
      <x:c r="G3939" s="11" t="n">
        <x:v>68</x:v>
      </x:c>
      <x:c r="H3939" s="12" t="n">
        <x:v>4080000000</x:v>
      </x:c>
      <x:c r="I3939" s="12" t="n">
        <x:v>60000000</x:v>
      </x:c>
      <x:c r="J3939" s="2" t="str">
        <x:v>total</x:v>
      </x:c>
      <x:c r="K3939" s="2" t="str">
        <x:v>top_level_area</x:v>
      </x:c>
      <x:c r="L3939" s="2" t="str">
        <x:v>property_type_inferred_from_title</x:v>
      </x:c>
      <x:c r="M3939" s="10" t="n">
        <x:v>0</x:v>
      </x:c>
      <x:c r="N3939" s="10" t="n">
        <x:v>0</x:v>
      </x:c>
      <x:c r="O3939" s="2" t="str">
        <x:v>Đà Nẵng|house</x:v>
      </x:c>
      <x:c r="P3939" s="10" t="n">
        <x:v>2</x:v>
      </x:c>
      <x:c r="Q3939" s="13" t="n">
        <x:f>IF(H3939="","",H3939/1000000000)</x:f>
        <x:v>4.08</x:v>
      </x:c>
      <x:c r="R3939" s="13" t="n">
        <x:f>IF(I3939="","",I3939/1000000)</x:f>
        <x:v>60</x:v>
      </x:c>
    </x:row>
    <x:row r="3940" ht="21" customHeight="1">
      <x:c r="A3940" s="10" t="n">
        <x:v>5337</x:v>
      </x:c>
      <x:c r="B3940" s="2" t="str">
        <x:v>0dcfafc26c4597a53515</x:v>
      </x:c>
      <x:c r="C3940" s="2" t="str">
        <x:v>Hải Phòng</x:v>
      </x:c>
      <x:c r="D3940" s="2" t="str">
        <x:v>Huyện An Dương</x:v>
      </x:c>
      <x:c r="E3940" s="2" t="str">
        <x:v>other_unknown</x:v>
      </x:c>
      <x:c r="F3940" s="2" t="str">
        <x:v>sale</x:v>
      </x:c>
      <x:c r="G3940" s="11" t="n">
        <x:v>100</x:v>
      </x:c>
      <x:c r="H3940" s="12" t="n">
        <x:v>1150000000</x:v>
      </x:c>
      <x:c r="I3940" s="12" t="n">
        <x:v>11500000</x:v>
      </x:c>
      <x:c r="J3940" s="2" t="str">
        <x:v>total</x:v>
      </x:c>
      <x:c r="K3940" s="2" t="str">
        <x:v>top_level_area</x:v>
      </x:c>
      <x:c r="L3940" s="2" t="str">
        <x:v>property_type_inferred_from_title;unknown_property_type</x:v>
      </x:c>
      <x:c r="M3940" s="10" t="n">
        <x:v>0</x:v>
      </x:c>
      <x:c r="N3940" s="10" t="n">
        <x:v>0</x:v>
      </x:c>
      <x:c r="O3940" s="2" t="str">
        <x:v>other_unknown</x:v>
      </x:c>
      <x:c r="P3940" s="10" t="n">
        <x:v>2</x:v>
      </x:c>
      <x:c r="Q3940" s="13" t="n">
        <x:f>IF(H3940="","",H3940/1000000000)</x:f>
        <x:v>1.15</x:v>
      </x:c>
      <x:c r="R3940" s="13" t="n">
        <x:f>IF(I3940="","",I3940/1000000)</x:f>
        <x:v>11.5</x:v>
      </x:c>
    </x:row>
    <x:row r="3941" ht="21" customHeight="1">
      <x:c r="A3941" s="10" t="n">
        <x:v>5338</x:v>
      </x:c>
      <x:c r="B3941" s="2" t="str">
        <x:v>6d4533d2e80cd5f485c7</x:v>
      </x:c>
      <x:c r="C3941" s="2" t="str">
        <x:v>Tp Hồ Chí Minh</x:v>
      </x:c>
      <x:c r="D3941" s="2" t="str">
        <x:v>Quận Bình Tân</x:v>
      </x:c>
      <x:c r="E3941" s="2" t="str">
        <x:v>other_unknown</x:v>
      </x:c>
      <x:c r="F3941" s="2" t="str">
        <x:v>sale_assumed</x:v>
      </x:c>
      <x:c r="G3941" s="11" t="n">
        <x:v>98</x:v>
      </x:c>
      <x:c r="H3941" s="12" t="n">
        <x:v>12250000000</x:v>
      </x:c>
      <x:c r="I3941" s="12" t="n">
        <x:v>125000000</x:v>
      </x:c>
      <x:c r="J3941" s="2" t="str">
        <x:v>total</x:v>
      </x:c>
      <x:c r="K3941" s="2" t="str">
        <x:v>top_level_area</x:v>
      </x:c>
      <x:c r="L3941" s="2" t="str">
        <x:v>property_type_inferred_from_title;transaction_assumed_sale_from_dataset_context;unknown_property_type</x:v>
      </x:c>
      <x:c r="M3941" s="10" t="n">
        <x:v>0</x:v>
      </x:c>
      <x:c r="N3941" s="10" t="n">
        <x:v>0</x:v>
      </x:c>
      <x:c r="O3941" s="2" t="str">
        <x:v>Tp Hồ Chí Minh|other_unknown</x:v>
      </x:c>
      <x:c r="P3941" s="10" t="n">
        <x:v>2</x:v>
      </x:c>
      <x:c r="Q3941" s="13" t="n">
        <x:f>IF(H3941="","",H3941/1000000000)</x:f>
        <x:v>12.25</x:v>
      </x:c>
      <x:c r="R3941" s="13" t="n">
        <x:f>IF(I3941="","",I3941/1000000)</x:f>
        <x:v>125</x:v>
      </x:c>
    </x:row>
    <x:row r="3942" ht="21" customHeight="1">
      <x:c r="A3942" s="10" t="n">
        <x:v>5339</x:v>
      </x:c>
      <x:c r="B3942" s="2" t="str">
        <x:v>5a5860ee94c3f1295942</x:v>
      </x:c>
      <x:c r="C3942" s="2" t="str">
        <x:v>Đà Nẵng</x:v>
      </x:c>
      <x:c r="D3942" s="2" t="str">
        <x:v>Quận Cẩm Lệ</x:v>
      </x:c>
      <x:c r="E3942" s="2" t="str">
        <x:v>other_unknown</x:v>
      </x:c>
      <x:c r="F3942" s="2" t="str">
        <x:v>sale</x:v>
      </x:c>
      <x:c r="G3942" s="11" t="n">
        <x:v>100</x:v>
      </x:c>
      <x:c r="H3942" s="12" t="n">
        <x:v>3100000000</x:v>
      </x:c>
      <x:c r="I3942" s="12" t="n">
        <x:v>31000000</x:v>
      </x:c>
      <x:c r="J3942" s="2" t="str">
        <x:v>total</x:v>
      </x:c>
      <x:c r="K3942" s="2" t="str">
        <x:v>top_level_area</x:v>
      </x:c>
      <x:c r="L3942" s="2" t="str">
        <x:v>property_type_inferred_from_title;unknown_property_type</x:v>
      </x:c>
      <x:c r="M3942" s="10" t="n">
        <x:v>0</x:v>
      </x:c>
      <x:c r="N3942" s="10" t="n">
        <x:v>0</x:v>
      </x:c>
      <x:c r="O3942" s="2" t="str">
        <x:v>Đà Nẵng|other_unknown</x:v>
      </x:c>
      <x:c r="P3942" s="10" t="n">
        <x:v>2</x:v>
      </x:c>
      <x:c r="Q3942" s="13" t="n">
        <x:f>IF(H3942="","",H3942/1000000000)</x:f>
        <x:v>3.1</x:v>
      </x:c>
      <x:c r="R3942" s="13" t="n">
        <x:f>IF(I3942="","",I3942/1000000)</x:f>
        <x:v>31</x:v>
      </x:c>
    </x:row>
    <x:row r="3943" ht="21" customHeight="1">
      <x:c r="A3943" s="10" t="n">
        <x:v>5340</x:v>
      </x:c>
      <x:c r="B3943" s="2" t="str">
        <x:v>e834b97859ec004a590e</x:v>
      </x:c>
      <x:c r="C3943" s="2" t="str">
        <x:v>Bình Dương</x:v>
      </x:c>
      <x:c r="D3943" s="2" t="str">
        <x:v>Thị xã Bến Cát</x:v>
      </x:c>
      <x:c r="E3943" s="2" t="str">
        <x:v>land</x:v>
      </x:c>
      <x:c r="F3943" s="2" t="str">
        <x:v>sale</x:v>
      </x:c>
      <x:c r="G3943" s="11" t="n">
        <x:v>300</x:v>
      </x:c>
      <x:c r="H3943" s="12" t="n">
        <x:v>1200000000</x:v>
      </x:c>
      <x:c r="I3943" s="12" t="n">
        <x:v>4000000</x:v>
      </x:c>
      <x:c r="J3943" s="2" t="str">
        <x:v>total</x:v>
      </x:c>
      <x:c r="K3943" s="2" t="str">
        <x:v>top_level_area</x:v>
      </x:c>
      <x:c r="L3943" s="2" t="str">
        <x:v>property_type_inferred_from_title</x:v>
      </x:c>
      <x:c r="M3943" s="10" t="n">
        <x:v>0</x:v>
      </x:c>
      <x:c r="N3943" s="10" t="n">
        <x:v>0</x:v>
      </x:c>
      <x:c r="O3943" s="2" t="str">
        <x:v>Bình Dương|land</x:v>
      </x:c>
      <x:c r="P3943" s="10" t="n">
        <x:v>1</x:v>
      </x:c>
      <x:c r="Q3943" s="13" t="n">
        <x:f>IF(H3943="","",H3943/1000000000)</x:f>
        <x:v>1.2</x:v>
      </x:c>
      <x:c r="R3943" s="13" t="n">
        <x:f>IF(I3943="","",I3943/1000000)</x:f>
        <x:v>4</x:v>
      </x:c>
    </x:row>
    <x:row r="3944" ht="21" customHeight="1">
      <x:c r="A3944" s="10" t="n">
        <x:v>5341</x:v>
      </x:c>
      <x:c r="B3944" s="2" t="str">
        <x:v>73eeca4c98a9a0e6d8a7</x:v>
      </x:c>
      <x:c r="C3944" s="2" t="str">
        <x:v>Bà Rịa - Vũng Tàu</x:v>
      </x:c>
      <x:c r="D3944" s="2" t="str">
        <x:v>Thị xã Phú Mỹ</x:v>
      </x:c>
      <x:c r="E3944" s="2" t="str">
        <x:v>land</x:v>
      </x:c>
      <x:c r="F3944" s="2" t="str">
        <x:v>sale</x:v>
      </x:c>
      <x:c r="G3944" s="11" t="n">
        <x:v>675</x:v>
      </x:c>
      <x:c r="H3944" s="12" t="n">
        <x:v>550000000</x:v>
      </x:c>
      <x:c r="I3944" s="12" t="n">
        <x:v>814814.8148148148</x:v>
      </x:c>
      <x:c r="J3944" s="2" t="str">
        <x:v>total</x:v>
      </x:c>
      <x:c r="K3944" s="2" t="str">
        <x:v>top_level_area</x:v>
      </x:c>
      <x:c r="L3944" s="2" t="str">
        <x:v>property_type_inferred_from_title</x:v>
      </x:c>
      <x:c r="M3944" s="10" t="n">
        <x:v>0</x:v>
      </x:c>
      <x:c r="N3944" s="10" t="n">
        <x:v>0</x:v>
      </x:c>
      <x:c r="O3944" s="2" t="str">
        <x:v>Bà Rịa - Vũng Tàu|land</x:v>
      </x:c>
      <x:c r="P3944" s="10" t="n">
        <x:v>1</x:v>
      </x:c>
      <x:c r="Q3944" s="13" t="n">
        <x:f>IF(H3944="","",H3944/1000000000)</x:f>
        <x:v>0.55</x:v>
      </x:c>
      <x:c r="R3944" s="13" t="n">
        <x:f>IF(I3944="","",I3944/1000000)</x:f>
        <x:v>0.8148148148148149</x:v>
      </x:c>
    </x:row>
    <x:row r="3945" ht="21" customHeight="1">
      <x:c r="A3945" s="10" t="n">
        <x:v>5342</x:v>
      </x:c>
      <x:c r="B3945" s="2" t="str">
        <x:v>53ba3305e6ddd68b41aa</x:v>
      </x:c>
      <x:c r="C3945" s="2" t="str">
        <x:v>Hà Nội</x:v>
      </x:c>
      <x:c r="D3945" s="2" t="str">
        <x:v>Quận Hai Bà Trưng</x:v>
      </x:c>
      <x:c r="E3945" s="2" t="str">
        <x:v>other_unknown</x:v>
      </x:c>
      <x:c r="F3945" s="2" t="str">
        <x:v>sale_assumed</x:v>
      </x:c>
      <x:c r="G3945" s="11" t="n">
        <x:v>15</x:v>
      </x:c>
      <x:c r="H3945" s="12" t="n">
        <x:v>1250000000</x:v>
      </x:c>
      <x:c r="I3945" s="12" t="n">
        <x:v>83333333.33333333</x:v>
      </x:c>
      <x:c r="J3945" s="2" t="str">
        <x:v>total</x:v>
      </x:c>
      <x:c r="K3945" s="2" t="str">
        <x:v>top_level_area</x:v>
      </x:c>
      <x:c r="L3945" s="2" t="str">
        <x:v>property_type_inferred_from_title;transaction_assumed_sale_from_dataset_context;unknown_property_type</x:v>
      </x:c>
      <x:c r="M3945" s="10" t="n">
        <x:v>0</x:v>
      </x:c>
      <x:c r="N3945" s="10" t="n">
        <x:v>0</x:v>
      </x:c>
      <x:c r="O3945" s="2" t="str">
        <x:v>Hà Nội|other_unknown</x:v>
      </x:c>
      <x:c r="P3945" s="10" t="n">
        <x:v>2</x:v>
      </x:c>
      <x:c r="Q3945" s="13" t="n">
        <x:f>IF(H3945="","",H3945/1000000000)</x:f>
        <x:v>1.25</x:v>
      </x:c>
      <x:c r="R3945" s="13" t="n">
        <x:f>IF(I3945="","",I3945/1000000)</x:f>
        <x:v>83.33333333333333</x:v>
      </x:c>
    </x:row>
    <x:row r="3946" ht="21" customHeight="1">
      <x:c r="A3946" s="10" t="n">
        <x:v>5343</x:v>
      </x:c>
      <x:c r="B3946" s="2" t="str">
        <x:v>72752e80b33c77cd19b2</x:v>
      </x:c>
      <x:c r="C3946" s="2" t="str">
        <x:v>Hà Nội</x:v>
      </x:c>
      <x:c r="D3946" s="2" t="str">
        <x:v>Quận Hà Đông</x:v>
      </x:c>
      <x:c r="E3946" s="2" t="str">
        <x:v>other_unknown</x:v>
      </x:c>
      <x:c r="F3946" s="2" t="str">
        <x:v>sale_assumed</x:v>
      </x:c>
      <x:c r="G3946" s="11" t="n">
        <x:v>38</x:v>
      </x:c>
      <x:c r="H3946" s="12" t="n">
        <x:v>5100000000</x:v>
      </x:c>
      <x:c r="I3946" s="12" t="n">
        <x:v>134210526.31578948</x:v>
      </x:c>
      <x:c r="J3946" s="2" t="str">
        <x:v>total</x:v>
      </x:c>
      <x:c r="K3946" s="2" t="str">
        <x:v>top_level_area</x:v>
      </x:c>
      <x:c r="L3946" s="2" t="str">
        <x:v>property_type_inferred_from_title;transaction_assumed_sale_from_dataset_context;unknown_property_type</x:v>
      </x:c>
      <x:c r="M3946" s="10" t="n">
        <x:v>0</x:v>
      </x:c>
      <x:c r="N3946" s="10" t="n">
        <x:v>0</x:v>
      </x:c>
      <x:c r="O3946" s="2" t="str">
        <x:v>Hà Nội|other_unknown</x:v>
      </x:c>
      <x:c r="P3946" s="10" t="n">
        <x:v>2</x:v>
      </x:c>
      <x:c r="Q3946" s="13" t="n">
        <x:f>IF(H3946="","",H3946/1000000000)</x:f>
        <x:v>5.1</x:v>
      </x:c>
      <x:c r="R3946" s="13" t="n">
        <x:f>IF(I3946="","",I3946/1000000)</x:f>
        <x:v>134.21052631578948</x:v>
      </x:c>
    </x:row>
    <x:row r="3947" ht="21" customHeight="1">
      <x:c r="A3947" s="10" t="n">
        <x:v>5344</x:v>
      </x:c>
      <x:c r="B3947" s="2" t="str">
        <x:v>c2f1a2c0b07cbcd81c04</x:v>
      </x:c>
      <x:c r="C3947" s="2" t="str">
        <x:v>Bình Dương</x:v>
      </x:c>
      <x:c r="D3947" s="2" t="str">
        <x:v>Thị xã Dĩ An</x:v>
      </x:c>
      <x:c r="E3947" s="2" t="str">
        <x:v>land</x:v>
      </x:c>
      <x:c r="F3947" s="2" t="str">
        <x:v>sale_assumed</x:v>
      </x:c>
      <x:c r="G3947" s="11" t="n">
        <x:v>64</x:v>
      </x:c>
      <x:c r="H3947" s="12" t="n">
        <x:v>2100000000</x:v>
      </x:c>
      <x:c r="I3947" s="12" t="n">
        <x:v>32812500</x:v>
      </x:c>
      <x:c r="J3947" s="2" t="str">
        <x:v>total</x:v>
      </x:c>
      <x:c r="K3947" s="2" t="str">
        <x:v>top_level_area</x:v>
      </x:c>
      <x:c r="L3947" s="2" t="str">
        <x:v>property_type_inferred_from_title;transaction_assumed_sale_from_dataset_context</x:v>
      </x:c>
      <x:c r="M3947" s="10" t="n">
        <x:v>0</x:v>
      </x:c>
      <x:c r="N3947" s="10" t="n">
        <x:v>1</x:v>
      </x:c>
      <x:c r="O3947" s="2" t="str">
        <x:v>Bình Dương|land</x:v>
      </x:c>
      <x:c r="P3947" s="10" t="n">
        <x:v>-1</x:v>
      </x:c>
      <x:c r="Q3947" s="13" t="n">
        <x:f>IF(H3947="","",H3947/1000000000)</x:f>
        <x:v>2.1</x:v>
      </x:c>
      <x:c r="R3947" s="13" t="n">
        <x:f>IF(I3947="","",I3947/1000000)</x:f>
        <x:v>32.8125</x:v>
      </x:c>
    </x:row>
    <x:row r="3948" ht="21" customHeight="1">
      <x:c r="A3948" s="10" t="n">
        <x:v>5345</x:v>
      </x:c>
      <x:c r="B3948" s="2" t="str">
        <x:v>9900d6632a8ec5300e0c</x:v>
      </x:c>
      <x:c r="C3948" s="2" t="str">
        <x:v>Hà Nội</x:v>
      </x:c>
      <x:c r="D3948" s="2" t="str">
        <x:v>Quận Hà Đông</x:v>
      </x:c>
      <x:c r="E3948" s="2" t="str">
        <x:v>house</x:v>
      </x:c>
      <x:c r="F3948" s="2" t="str">
        <x:v>sale</x:v>
      </x:c>
      <x:c r="G3948" s="11" t="n">
        <x:v>34</x:v>
      </x:c>
      <x:c r="H3948" s="12" t="n">
        <x:v>2200000000</x:v>
      </x:c>
      <x:c r="I3948" s="12" t="n">
        <x:v>64705882.35294118</x:v>
      </x:c>
      <x:c r="J3948" s="2" t="str">
        <x:v>total</x:v>
      </x:c>
      <x:c r="K3948" s="2" t="str">
        <x:v>top_level_area</x:v>
      </x:c>
      <x:c r="L3948" s="2" t="str">
        <x:v>property_type_inferred_from_title</x:v>
      </x:c>
      <x:c r="M3948" s="10" t="n">
        <x:v>0</x:v>
      </x:c>
      <x:c r="N3948" s="10" t="n">
        <x:v>0</x:v>
      </x:c>
      <x:c r="O3948" s="2" t="str">
        <x:v>Hà Nội|house</x:v>
      </x:c>
      <x:c r="P3948" s="10" t="n">
        <x:v>2</x:v>
      </x:c>
      <x:c r="Q3948" s="13" t="n">
        <x:f>IF(H3948="","",H3948/1000000000)</x:f>
        <x:v>2.2</x:v>
      </x:c>
      <x:c r="R3948" s="13" t="n">
        <x:f>IF(I3948="","",I3948/1000000)</x:f>
        <x:v>64.70588235294117</x:v>
      </x:c>
    </x:row>
    <x:row r="3949" ht="21" customHeight="1">
      <x:c r="A3949" s="10" t="n">
        <x:v>5346</x:v>
      </x:c>
      <x:c r="B3949" s="2" t="str">
        <x:v>ffebc8ca4ba7e47062df</x:v>
      </x:c>
      <x:c r="C3949" s="2" t="str">
        <x:v>Bình Phước</x:v>
      </x:c>
      <x:c r="D3949" s="2" t="str">
        <x:v>Huyện Đồng Phú</x:v>
      </x:c>
      <x:c r="E3949" s="2" t="str">
        <x:v>house</x:v>
      </x:c>
      <x:c r="F3949" s="2" t="str">
        <x:v>sale</x:v>
      </x:c>
      <x:c r="G3949" s="11" t="n">
        <x:v>1200</x:v>
      </x:c>
      <x:c r="H3949" s="12" t="n">
        <x:v>650000000</x:v>
      </x:c>
      <x:c r="I3949" s="12" t="n">
        <x:v>541666.6666666666</x:v>
      </x:c>
      <x:c r="J3949" s="2" t="str">
        <x:v>total</x:v>
      </x:c>
      <x:c r="K3949" s="2" t="str">
        <x:v>top_level_area</x:v>
      </x:c>
      <x:c r="L3949" s="2" t="str">
        <x:v>dot_thousands_convention;property_type_inferred_from_title</x:v>
      </x:c>
      <x:c r="M3949" s="10" t="n">
        <x:v>0</x:v>
      </x:c>
      <x:c r="N3949" s="10" t="n">
        <x:v>0</x:v>
      </x:c>
      <x:c r="O3949" s="2" t="str">
        <x:v>house</x:v>
      </x:c>
      <x:c r="P3949" s="10" t="n">
        <x:v>1</x:v>
      </x:c>
      <x:c r="Q3949" s="13" t="n">
        <x:f>IF(H3949="","",H3949/1000000000)</x:f>
        <x:v>0.65</x:v>
      </x:c>
      <x:c r="R3949" s="13" t="n">
        <x:f>IF(I3949="","",I3949/1000000)</x:f>
        <x:v>0.5416666666666666</x:v>
      </x:c>
    </x:row>
    <x:row r="3950" ht="21" customHeight="1">
      <x:c r="A3950" s="10" t="n">
        <x:v>5347</x:v>
      </x:c>
      <x:c r="B3950" s="2" t="str">
        <x:v>dfc43c9fe26cb1eaf3d5</x:v>
      </x:c>
      <x:c r="C3950" s="2" t="str">
        <x:v>Tp Hồ Chí Minh</x:v>
      </x:c>
      <x:c r="D3950" s="2" t="str">
        <x:v>Huyện Hóc Môn</x:v>
      </x:c>
      <x:c r="E3950" s="2" t="str">
        <x:v>land</x:v>
      </x:c>
      <x:c r="F3950" s="2" t="str">
        <x:v>sale</x:v>
      </x:c>
      <x:c r="G3950" s="11" t="n">
        <x:v>2553</x:v>
      </x:c>
      <x:c r="H3950" s="12" t="n">
        <x:v>10000000</x:v>
      </x:c>
      <x:c r="I3950" s="12" t="n">
        <x:v>3916.9604386995693</x:v>
      </x:c>
      <x:c r="J3950" s="2" t="str">
        <x:v>total</x:v>
      </x:c>
      <x:c r="K3950" s="2" t="str">
        <x:v>top_level_area</x:v>
      </x:c>
      <x:c r="L3950" s="2" t="str">
        <x:v>dot_thousands_convention;property_type_inferred_from_title</x:v>
      </x:c>
      <x:c r="M3950" s="10" t="n">
        <x:v>0</x:v>
      </x:c>
      <x:c r="N3950" s="10" t="n">
        <x:v>0</x:v>
      </x:c>
      <x:c r="O3950" s="2" t="str">
        <x:v>Tp Hồ Chí Minh|land</x:v>
      </x:c>
      <x:c r="P3950" s="10" t="n">
        <x:v>1</x:v>
      </x:c>
      <x:c r="Q3950" s="13" t="n">
        <x:f>IF(H3950="","",H3950/1000000000)</x:f>
        <x:v>0.01</x:v>
      </x:c>
      <x:c r="R3950" s="13" t="n">
        <x:f>IF(I3950="","",I3950/1000000)</x:f>
        <x:v>0.0039169604386995694</x:v>
      </x:c>
    </x:row>
    <x:row r="3951" ht="21" customHeight="1">
      <x:c r="A3951" s="10" t="n">
        <x:v>5348</x:v>
      </x:c>
      <x:c r="B3951" s="2" t="str">
        <x:v>86ecdffd930bef4ae985</x:v>
      </x:c>
      <x:c r="C3951" s="2" t="str">
        <x:v>Tiền Giang</x:v>
      </x:c>
      <x:c r="D3951" s="2" t="str">
        <x:v>Thành phố Mỹ Tho</x:v>
      </x:c>
      <x:c r="E3951" s="2" t="str">
        <x:v>land</x:v>
      </x:c>
      <x:c r="F3951" s="2" t="str">
        <x:v>sale</x:v>
      </x:c>
      <x:c r="G3951" s="11" t="n">
        <x:v>107</x:v>
      </x:c>
      <x:c r="H3951" s="12" t="n">
        <x:v>3950000000</x:v>
      </x:c>
      <x:c r="I3951" s="12" t="n">
        <x:v>36915887.85046729</x:v>
      </x:c>
      <x:c r="J3951" s="2" t="str">
        <x:v>total</x:v>
      </x:c>
      <x:c r="K3951" s="2" t="str">
        <x:v>top_level_area</x:v>
      </x:c>
      <x:c r="L3951" s="2" t="str">
        <x:v>property_type_inferred_from_title</x:v>
      </x:c>
      <x:c r="M3951" s="10" t="n">
        <x:v>0</x:v>
      </x:c>
      <x:c r="N3951" s="10" t="n">
        <x:v>0</x:v>
      </x:c>
      <x:c r="O3951" s="2" t="str">
        <x:v>land</x:v>
      </x:c>
      <x:c r="P3951" s="10" t="n">
        <x:v>2</x:v>
      </x:c>
      <x:c r="Q3951" s="13" t="n">
        <x:f>IF(H3951="","",H3951/1000000000)</x:f>
        <x:v>3.95</x:v>
      </x:c>
      <x:c r="R3951" s="13" t="n">
        <x:f>IF(I3951="","",I3951/1000000)</x:f>
        <x:v>36.915887850467286</x:v>
      </x:c>
    </x:row>
    <x:row r="3952" ht="21" customHeight="1">
      <x:c r="A3952" s="10" t="n">
        <x:v>5349</x:v>
      </x:c>
      <x:c r="B3952" s="2" t="str">
        <x:v>bf94c7cef549dfd52283</x:v>
      </x:c>
      <x:c r="C3952" s="2" t="str">
        <x:v>Tp Hồ Chí Minh</x:v>
      </x:c>
      <x:c r="D3952" s="2" t="str">
        <x:v>Huyện Củ Chi</x:v>
      </x:c>
      <x:c r="E3952" s="2" t="str">
        <x:v>land</x:v>
      </x:c>
      <x:c r="F3952" s="2" t="str">
        <x:v>sale_assumed</x:v>
      </x:c>
      <x:c r="G3952" s="11" t="n">
        <x:v>1000</x:v>
      </x:c>
      <x:c r="H3952" s="12" t="n">
        <x:v>1700000000</x:v>
      </x:c>
      <x:c r="I3952" s="12" t="n">
        <x:v>1700000</x:v>
      </x:c>
      <x:c r="J3952" s="2" t="str">
        <x:v>total</x:v>
      </x:c>
      <x:c r="K3952" s="2" t="str">
        <x:v>top_level_area</x:v>
      </x:c>
      <x:c r="L3952" s="2" t="str">
        <x:v>dot_thousands_convention;property_type_inferred_from_title;transaction_assumed_sale_from_dataset_context</x:v>
      </x:c>
      <x:c r="M3952" s="10" t="n">
        <x:v>0</x:v>
      </x:c>
      <x:c r="N3952" s="10" t="n">
        <x:v>0</x:v>
      </x:c>
      <x:c r="O3952" s="2" t="str">
        <x:v>Tp Hồ Chí Minh|land</x:v>
      </x:c>
      <x:c r="P3952" s="10" t="n">
        <x:v>1</x:v>
      </x:c>
      <x:c r="Q3952" s="13" t="n">
        <x:f>IF(H3952="","",H3952/1000000000)</x:f>
        <x:v>1.7</x:v>
      </x:c>
      <x:c r="R3952" s="13" t="n">
        <x:f>IF(I3952="","",I3952/1000000)</x:f>
        <x:v>1.7</x:v>
      </x:c>
    </x:row>
    <x:row r="3953" ht="21" customHeight="1">
      <x:c r="A3953" s="10" t="n">
        <x:v>5350</x:v>
      </x:c>
      <x:c r="B3953" s="2" t="str">
        <x:v>037028a4991dad9c30d0</x:v>
      </x:c>
      <x:c r="C3953" s="2" t="str">
        <x:v>Tp Hồ Chí Minh</x:v>
      </x:c>
      <x:c r="D3953" s="2" t="str">
        <x:v>Huyện Bình Chánh</x:v>
      </x:c>
      <x:c r="E3953" s="2" t="str">
        <x:v>house</x:v>
      </x:c>
      <x:c r="F3953" s="2" t="str">
        <x:v>sale</x:v>
      </x:c>
      <x:c r="G3953" s="11" t="n">
        <x:v>70</x:v>
      </x:c>
      <x:c r="H3953" s="12" t="n">
        <x:v>1850000000</x:v>
      </x:c>
      <x:c r="I3953" s="12" t="n">
        <x:v>26428571.42857143</x:v>
      </x:c>
      <x:c r="J3953" s="2" t="str">
        <x:v>total</x:v>
      </x:c>
      <x:c r="K3953" s="2" t="str">
        <x:v>top_level_area</x:v>
      </x:c>
      <x:c r="L3953" s="2" t="str">
        <x:v>property_type_inferred_from_title</x:v>
      </x:c>
      <x:c r="M3953" s="10" t="n">
        <x:v>0</x:v>
      </x:c>
      <x:c r="N3953" s="10" t="n">
        <x:v>0</x:v>
      </x:c>
      <x:c r="O3953" s="2" t="str">
        <x:v>Tp Hồ Chí Minh|house</x:v>
      </x:c>
      <x:c r="P3953" s="10" t="n">
        <x:v>2</x:v>
      </x:c>
      <x:c r="Q3953" s="13" t="n">
        <x:f>IF(H3953="","",H3953/1000000000)</x:f>
        <x:v>1.85</x:v>
      </x:c>
      <x:c r="R3953" s="13" t="n">
        <x:f>IF(I3953="","",I3953/1000000)</x:f>
        <x:v>26.42857142857143</x:v>
      </x:c>
    </x:row>
    <x:row r="3954" ht="21" customHeight="1">
      <x:c r="A3954" s="10" t="n">
        <x:v>5351</x:v>
      </x:c>
      <x:c r="B3954" s="2" t="str">
        <x:v>ede570f42c8d7961a33d</x:v>
      </x:c>
      <x:c r="C3954" s="2" t="str">
        <x:v>Bình Dương</x:v>
      </x:c>
      <x:c r="D3954" s="2" t="str">
        <x:v>Thị xã Tân Uyên</x:v>
      </x:c>
      <x:c r="E3954" s="2" t="str">
        <x:v>house</x:v>
      </x:c>
      <x:c r="F3954" s="2" t="str">
        <x:v>sale</x:v>
      </x:c>
      <x:c r="G3954" s="11" t="n">
        <x:v>72</x:v>
      </x:c>
      <x:c r="H3954" s="12" t="n">
        <x:v>1600000000</x:v>
      </x:c>
      <x:c r="I3954" s="12" t="n">
        <x:v>22222222.222222224</x:v>
      </x:c>
      <x:c r="J3954" s="2" t="str">
        <x:v>total</x:v>
      </x:c>
      <x:c r="K3954" s="2" t="str">
        <x:v>top_level_area</x:v>
      </x:c>
      <x:c r="L3954" s="2" t="str">
        <x:v>property_type_inferred_from_title</x:v>
      </x:c>
      <x:c r="M3954" s="10" t="n">
        <x:v>0</x:v>
      </x:c>
      <x:c r="N3954" s="10" t="n">
        <x:v>0</x:v>
      </x:c>
      <x:c r="O3954" s="2" t="str">
        <x:v>Bình Dương|house</x:v>
      </x:c>
      <x:c r="P3954" s="10" t="n">
        <x:v>2</x:v>
      </x:c>
      <x:c r="Q3954" s="13" t="n">
        <x:f>IF(H3954="","",H3954/1000000000)</x:f>
        <x:v>1.6</x:v>
      </x:c>
      <x:c r="R3954" s="13" t="n">
        <x:f>IF(I3954="","",I3954/1000000)</x:f>
        <x:v>22.222222222222225</x:v>
      </x:c>
    </x:row>
    <x:row r="3955" ht="21" customHeight="1">
      <x:c r="A3955" s="10" t="n">
        <x:v>5354</x:v>
      </x:c>
      <x:c r="B3955" s="2" t="str">
        <x:v>0b4dd07abcd03c553b80</x:v>
      </x:c>
      <x:c r="C3955" s="2" t="str">
        <x:v>Tp Hồ Chí Minh</x:v>
      </x:c>
      <x:c r="D3955" s="2" t="str">
        <x:v>Quận 12</x:v>
      </x:c>
      <x:c r="E3955" s="2" t="str">
        <x:v>other_unknown</x:v>
      </x:c>
      <x:c r="F3955" s="2" t="str">
        <x:v>sale_assumed</x:v>
      </x:c>
      <x:c r="G3955" s="11" t="n">
        <x:v>30</x:v>
      </x:c>
      <x:c r="H3955" s="12" t="n">
        <x:v>2200000000</x:v>
      </x:c>
      <x:c r="I3955" s="12" t="n">
        <x:v>73333333.33333333</x:v>
      </x:c>
      <x:c r="J3955" s="2" t="str">
        <x:v>total</x:v>
      </x:c>
      <x:c r="K3955" s="2" t="str">
        <x:v>top_level_area</x:v>
      </x:c>
      <x:c r="L3955" s="2" t="str">
        <x:v>property_type_inferred_from_title;transaction_assumed_sale_from_dataset_context;unknown_property_type</x:v>
      </x:c>
      <x:c r="M3955" s="10" t="n">
        <x:v>0</x:v>
      </x:c>
      <x:c r="N3955" s="10" t="n">
        <x:v>0</x:v>
      </x:c>
      <x:c r="O3955" s="2" t="str">
        <x:v>Tp Hồ Chí Minh|other_unknown</x:v>
      </x:c>
      <x:c r="P3955" s="10" t="n">
        <x:v>2</x:v>
      </x:c>
      <x:c r="Q3955" s="13" t="n">
        <x:f>IF(H3955="","",H3955/1000000000)</x:f>
        <x:v>2.2</x:v>
      </x:c>
      <x:c r="R3955" s="13" t="n">
        <x:f>IF(I3955="","",I3955/1000000)</x:f>
        <x:v>73.33333333333333</x:v>
      </x:c>
    </x:row>
    <x:row r="3956" ht="21" customHeight="1">
      <x:c r="A3956" s="10" t="n">
        <x:v>5355</x:v>
      </x:c>
      <x:c r="B3956" s="2" t="str">
        <x:v>898d5db12556ec28d356</x:v>
      </x:c>
      <x:c r="C3956" s="2" t="str">
        <x:v>Tp Hồ Chí Minh</x:v>
      </x:c>
      <x:c r="D3956" s="2" t="str">
        <x:v>Huyện Bình Chánh</x:v>
      </x:c>
      <x:c r="E3956" s="2" t="str">
        <x:v>other_unknown</x:v>
      </x:c>
      <x:c r="F3956" s="2" t="str">
        <x:v>sale_assumed</x:v>
      </x:c>
      <x:c r="G3956" s="11" t="n">
        <x:v>100</x:v>
      </x:c>
      <x:c r="H3956" s="12" t="n">
        <x:v>14700000000</x:v>
      </x:c>
      <x:c r="I3956" s="12" t="n">
        <x:v>147000000</x:v>
      </x:c>
      <x:c r="J3956" s="2" t="str">
        <x:v>total</x:v>
      </x:c>
      <x:c r="K3956" s="2" t="str">
        <x:v>top_level_area</x:v>
      </x:c>
      <x:c r="L3956" s="2" t="str">
        <x:v>property_type_inferred_from_title;transaction_assumed_sale_from_dataset_context;unknown_property_type</x:v>
      </x:c>
      <x:c r="M3956" s="10" t="n">
        <x:v>0</x:v>
      </x:c>
      <x:c r="N3956" s="10" t="n">
        <x:v>0</x:v>
      </x:c>
      <x:c r="O3956" s="2" t="str">
        <x:v>Tp Hồ Chí Minh|other_unknown</x:v>
      </x:c>
      <x:c r="P3956" s="10" t="n">
        <x:v>2</x:v>
      </x:c>
      <x:c r="Q3956" s="13" t="n">
        <x:f>IF(H3956="","",H3956/1000000000)</x:f>
        <x:v>14.7</x:v>
      </x:c>
      <x:c r="R3956" s="13" t="n">
        <x:f>IF(I3956="","",I3956/1000000)</x:f>
        <x:v>147</x:v>
      </x:c>
    </x:row>
    <x:row r="3957" ht="21" customHeight="1">
      <x:c r="A3957" s="10" t="n">
        <x:v>5356</x:v>
      </x:c>
      <x:c r="B3957" s="2" t="str">
        <x:v>8c21e9e8c200f4f003a8</x:v>
      </x:c>
      <x:c r="C3957" s="2" t="str">
        <x:v>Bình Dương</x:v>
      </x:c>
      <x:c r="D3957" s="2" t="str">
        <x:v>Thị xã Bến Cát</x:v>
      </x:c>
      <x:c r="E3957" s="2" t="str">
        <x:v>land</x:v>
      </x:c>
      <x:c r="F3957" s="2" t="str">
        <x:v>sale</x:v>
      </x:c>
      <x:c r="G3957" s="11" t="n">
        <x:v>509</x:v>
      </x:c>
      <x:c r="H3957" s="12" t="n">
        <x:v>1550000000</x:v>
      </x:c>
      <x:c r="I3957" s="12" t="n">
        <x:v>3045186.640471513</x:v>
      </x:c>
      <x:c r="J3957" s="2" t="str">
        <x:v>total</x:v>
      </x:c>
      <x:c r="K3957" s="2" t="str">
        <x:v>top_level_area</x:v>
      </x:c>
      <x:c r="L3957" s="2" t="str">
        <x:v>property_type_inferred_from_title</x:v>
      </x:c>
      <x:c r="M3957" s="10" t="n">
        <x:v>0</x:v>
      </x:c>
      <x:c r="N3957" s="10" t="n">
        <x:v>0</x:v>
      </x:c>
      <x:c r="O3957" s="2" t="str">
        <x:v>Bình Dương|land</x:v>
      </x:c>
      <x:c r="P3957" s="10" t="n">
        <x:v>1</x:v>
      </x:c>
      <x:c r="Q3957" s="13" t="n">
        <x:f>IF(H3957="","",H3957/1000000000)</x:f>
        <x:v>1.55</x:v>
      </x:c>
      <x:c r="R3957" s="13" t="n">
        <x:f>IF(I3957="","",I3957/1000000)</x:f>
        <x:v>3.045186640471513</x:v>
      </x:c>
    </x:row>
    <x:row r="3958" ht="21" customHeight="1">
      <x:c r="A3958" s="10" t="n">
        <x:v>5357</x:v>
      </x:c>
      <x:c r="B3958" s="2" t="str">
        <x:v>eaae052595939b15c65b</x:v>
      </x:c>
      <x:c r="C3958" s="2" t="str">
        <x:v>Hà Nội</x:v>
      </x:c>
      <x:c r="D3958" s="2" t="str">
        <x:v>Quận Hoàng Mai</x:v>
      </x:c>
      <x:c r="E3958" s="2" t="str">
        <x:v>other_unknown</x:v>
      </x:c>
      <x:c r="F3958" s="2" t="str">
        <x:v>sale_assumed</x:v>
      </x:c>
      <x:c r="G3958" s="11" t="n">
        <x:v>42</x:v>
      </x:c>
      <x:c r="H3958" s="12" t="n">
        <x:v>5700000000</x:v>
      </x:c>
      <x:c r="I3958" s="12" t="n">
        <x:v>135714285.7142857</x:v>
      </x:c>
      <x:c r="J3958" s="2" t="str">
        <x:v>total</x:v>
      </x:c>
      <x:c r="K3958" s="2" t="str">
        <x:v>top_level_area</x:v>
      </x:c>
      <x:c r="L3958" s="2" t="str">
        <x:v>property_type_inferred_from_title;transaction_assumed_sale_from_dataset_context;unknown_property_type</x:v>
      </x:c>
      <x:c r="M3958" s="10" t="n">
        <x:v>0</x:v>
      </x:c>
      <x:c r="N3958" s="10" t="n">
        <x:v>0</x:v>
      </x:c>
      <x:c r="O3958" s="2" t="str">
        <x:v>Hà Nội|other_unknown</x:v>
      </x:c>
      <x:c r="P3958" s="10" t="n">
        <x:v>2</x:v>
      </x:c>
      <x:c r="Q3958" s="13" t="n">
        <x:f>IF(H3958="","",H3958/1000000000)</x:f>
        <x:v>5.7</x:v>
      </x:c>
      <x:c r="R3958" s="13" t="n">
        <x:f>IF(I3958="","",I3958/1000000)</x:f>
        <x:v>135.7142857142857</x:v>
      </x:c>
    </x:row>
    <x:row r="3959" ht="21" customHeight="1">
      <x:c r="A3959" s="10" t="n">
        <x:v>5358</x:v>
      </x:c>
      <x:c r="B3959" s="2" t="str">
        <x:v>b779c45c6d7d6b786b15</x:v>
      </x:c>
      <x:c r="C3959" s="2" t="str">
        <x:v>Đà Nẵng</x:v>
      </x:c>
      <x:c r="D3959" s="2" t="str">
        <x:v>Quận Thanh Khê</x:v>
      </x:c>
      <x:c r="E3959" s="2" t="str">
        <x:v>house</x:v>
      </x:c>
      <x:c r="F3959" s="2" t="str">
        <x:v>sale</x:v>
      </x:c>
      <x:c r="G3959" s="11" t="n">
        <x:v>105</x:v>
      </x:c>
      <x:c r="H3959" s="12" t="n">
        <x:v>27500000000</x:v>
      </x:c>
      <x:c r="I3959" s="12" t="n">
        <x:v>261904761.9047619</x:v>
      </x:c>
      <x:c r="J3959" s="2" t="str">
        <x:v>total</x:v>
      </x:c>
      <x:c r="K3959" s="2" t="str">
        <x:v>top_level_area</x:v>
      </x:c>
      <x:c r="L3959" s="2" t="str">
        <x:v>property_type_inferred_from_title</x:v>
      </x:c>
      <x:c r="M3959" s="10" t="n">
        <x:v>1</x:v>
      </x:c>
      <x:c r="N3959" s="10" t="n">
        <x:v>1</x:v>
      </x:c>
      <x:c r="O3959" s="2" t="str">
        <x:v>Đà Nẵng|house</x:v>
      </x:c>
      <x:c r="P3959" s="10" t="n">
        <x:v>-1</x:v>
      </x:c>
      <x:c r="Q3959" s="13" t="n">
        <x:f>IF(H3959="","",H3959/1000000000)</x:f>
        <x:v>27.5</x:v>
      </x:c>
      <x:c r="R3959" s="13" t="n">
        <x:f>IF(I3959="","",I3959/1000000)</x:f>
        <x:v>261.9047619047619</x:v>
      </x:c>
    </x:row>
    <x:row r="3960" ht="21" customHeight="1">
      <x:c r="A3960" s="10" t="n">
        <x:v>5359</x:v>
      </x:c>
      <x:c r="B3960" s="2" t="str">
        <x:v>f65e68acc1e1b85b3fd0</x:v>
      </x:c>
      <x:c r="C3960" s="2" t="str">
        <x:v>Tp Hồ Chí Minh</x:v>
      </x:c>
      <x:c r="D3960" s="2" t="str">
        <x:v>Quận Tân Bình</x:v>
      </x:c>
      <x:c r="E3960" s="2" t="str">
        <x:v>house</x:v>
      </x:c>
      <x:c r="F3960" s="2" t="str">
        <x:v>sale</x:v>
      </x:c>
      <x:c r="G3960" s="11" t="n">
        <x:v>52</x:v>
      </x:c>
      <x:c r="H3960" s="12" t="n">
        <x:v>890000000</x:v>
      </x:c>
      <x:c r="I3960" s="12" t="n">
        <x:v>17115384.615384616</x:v>
      </x:c>
      <x:c r="J3960" s="2" t="str">
        <x:v>total</x:v>
      </x:c>
      <x:c r="K3960" s="2" t="str">
        <x:v>top_level_area</x:v>
      </x:c>
      <x:c r="L3960" s="2" t="str">
        <x:v>property_type_inferred_from_title</x:v>
      </x:c>
      <x:c r="M3960" s="10" t="n">
        <x:v>0</x:v>
      </x:c>
      <x:c r="N3960" s="10" t="n">
        <x:v>0</x:v>
      </x:c>
      <x:c r="O3960" s="2" t="str">
        <x:v>Tp Hồ Chí Minh|house</x:v>
      </x:c>
      <x:c r="P3960" s="10" t="n">
        <x:v>2</x:v>
      </x:c>
      <x:c r="Q3960" s="13" t="n">
        <x:f>IF(H3960="","",H3960/1000000000)</x:f>
        <x:v>0.89</x:v>
      </x:c>
      <x:c r="R3960" s="13" t="n">
        <x:f>IF(I3960="","",I3960/1000000)</x:f>
        <x:v>17.115384615384617</x:v>
      </x:c>
    </x:row>
    <x:row r="3961" ht="21" customHeight="1">
      <x:c r="A3961" s="10" t="n">
        <x:v>5360</x:v>
      </x:c>
      <x:c r="B3961" s="2" t="str">
        <x:v>2a71195a858efc2a768b</x:v>
      </x:c>
      <x:c r="C3961" s="2" t="str">
        <x:v>Long An</x:v>
      </x:c>
      <x:c r="D3961" s="2" t="str">
        <x:v>Huyện Đức Hòa</x:v>
      </x:c>
      <x:c r="E3961" s="2" t="str">
        <x:v>house</x:v>
      </x:c>
      <x:c r="F3961" s="2" t="str">
        <x:v>sale</x:v>
      </x:c>
      <x:c r="G3961" s="11" t="n">
        <x:v>60</x:v>
      </x:c>
      <x:c r="H3961" s="12" t="n">
        <x:v>650000000</x:v>
      </x:c>
      <x:c r="I3961" s="12" t="n">
        <x:v>10833333.333333334</x:v>
      </x:c>
      <x:c r="J3961" s="2" t="str">
        <x:v>total</x:v>
      </x:c>
      <x:c r="K3961" s="2" t="str">
        <x:v>top_level_area</x:v>
      </x:c>
      <x:c r="L3961" s="2" t="str">
        <x:v>property_type_inferred_from_title</x:v>
      </x:c>
      <x:c r="M3961" s="10" t="n">
        <x:v>0</x:v>
      </x:c>
      <x:c r="N3961" s="10" t="n">
        <x:v>0</x:v>
      </x:c>
      <x:c r="O3961" s="2" t="str">
        <x:v>Long An|house</x:v>
      </x:c>
      <x:c r="P3961" s="10" t="n">
        <x:v>2</x:v>
      </x:c>
      <x:c r="Q3961" s="13" t="n">
        <x:f>IF(H3961="","",H3961/1000000000)</x:f>
        <x:v>0.65</x:v>
      </x:c>
      <x:c r="R3961" s="13" t="n">
        <x:f>IF(I3961="","",I3961/1000000)</x:f>
        <x:v>10.833333333333334</x:v>
      </x:c>
    </x:row>
    <x:row r="3962" ht="21" customHeight="1">
      <x:c r="A3962" s="10" t="n">
        <x:v>5361</x:v>
      </x:c>
      <x:c r="B3962" s="2" t="str">
        <x:v>b635cabe1e2d842a2dcc</x:v>
      </x:c>
      <x:c r="C3962" s="2" t="str">
        <x:v>Tp Hồ Chí Minh</x:v>
      </x:c>
      <x:c r="D3962" s="2" t="str">
        <x:v>Quận 8</x:v>
      </x:c>
      <x:c r="E3962" s="2" t="str">
        <x:v>house</x:v>
      </x:c>
      <x:c r="F3962" s="2" t="str">
        <x:v>sale</x:v>
      </x:c>
      <x:c r="G3962" s="11" t="n">
        <x:v>52</x:v>
      </x:c>
      <x:c r="H3962" s="12" t="n">
        <x:v>960000000</x:v>
      </x:c>
      <x:c r="I3962" s="12" t="n">
        <x:v>18461538.46153846</x:v>
      </x:c>
      <x:c r="J3962" s="2" t="str">
        <x:v>total</x:v>
      </x:c>
      <x:c r="K3962" s="2" t="str">
        <x:v>top_level_area</x:v>
      </x:c>
      <x:c r="L3962" s="2" t="str">
        <x:v>property_type_inferred_from_title</x:v>
      </x:c>
      <x:c r="M3962" s="10" t="n">
        <x:v>0</x:v>
      </x:c>
      <x:c r="N3962" s="10" t="n">
        <x:v>0</x:v>
      </x:c>
      <x:c r="O3962" s="2" t="str">
        <x:v>Tp Hồ Chí Minh|house</x:v>
      </x:c>
      <x:c r="P3962" s="10" t="n">
        <x:v>2</x:v>
      </x:c>
      <x:c r="Q3962" s="13" t="n">
        <x:f>IF(H3962="","",H3962/1000000000)</x:f>
        <x:v>0.96</x:v>
      </x:c>
      <x:c r="R3962" s="13" t="n">
        <x:f>IF(I3962="","",I3962/1000000)</x:f>
        <x:v>18.46153846153846</x:v>
      </x:c>
    </x:row>
    <x:row r="3963" ht="21" customHeight="1">
      <x:c r="A3963" s="10" t="n">
        <x:v>5362</x:v>
      </x:c>
      <x:c r="B3963" s="2" t="str">
        <x:v>a439b6d6a8924405c912</x:v>
      </x:c>
      <x:c r="C3963" s="2" t="str">
        <x:v>Hà Nội</x:v>
      </x:c>
      <x:c r="D3963" s="2" t="str">
        <x:v>Quận Cầu Giấy</x:v>
      </x:c>
      <x:c r="E3963" s="2" t="str">
        <x:v>house</x:v>
      </x:c>
      <x:c r="F3963" s="2" t="str">
        <x:v>sale</x:v>
      </x:c>
      <x:c r="G3963" s="11" t="n">
        <x:v>31</x:v>
      </x:c>
      <x:c r="H3963" s="12" t="n">
        <x:v>2850000000</x:v>
      </x:c>
      <x:c r="I3963" s="12" t="n">
        <x:v>91935483.87096775</x:v>
      </x:c>
      <x:c r="J3963" s="2" t="str">
        <x:v>total</x:v>
      </x:c>
      <x:c r="K3963" s="2" t="str">
        <x:v>top_level_area</x:v>
      </x:c>
      <x:c r="L3963" s="2" t="str">
        <x:v>property_type_inferred_from_title</x:v>
      </x:c>
      <x:c r="M3963" s="10" t="n">
        <x:v>0</x:v>
      </x:c>
      <x:c r="N3963" s="10" t="n">
        <x:v>0</x:v>
      </x:c>
      <x:c r="O3963" s="2" t="str">
        <x:v>Hà Nội|house</x:v>
      </x:c>
      <x:c r="P3963" s="10" t="n">
        <x:v>2</x:v>
      </x:c>
      <x:c r="Q3963" s="13" t="n">
        <x:f>IF(H3963="","",H3963/1000000000)</x:f>
        <x:v>2.85</x:v>
      </x:c>
      <x:c r="R3963" s="13" t="n">
        <x:f>IF(I3963="","",I3963/1000000)</x:f>
        <x:v>91.93548387096774</x:v>
      </x:c>
    </x:row>
    <x:row r="3964" ht="21" customHeight="1">
      <x:c r="A3964" s="10" t="n">
        <x:v>5363</x:v>
      </x:c>
      <x:c r="B3964" s="2" t="str">
        <x:v>1b5ab890c8ec660d292f</x:v>
      </x:c>
      <x:c r="C3964" s="2" t="str">
        <x:v>Hà Nội</x:v>
      </x:c>
      <x:c r="D3964" s="2" t="str">
        <x:v>Quận Cầu Giấy</x:v>
      </x:c>
      <x:c r="E3964" s="2" t="str">
        <x:v>house</x:v>
      </x:c>
      <x:c r="F3964" s="2" t="str">
        <x:v>sale</x:v>
      </x:c>
      <x:c r="G3964" s="11" t="n">
        <x:v>64</x:v>
      </x:c>
      <x:c r="H3964" s="12" t="n">
        <x:v>11300000000</x:v>
      </x:c>
      <x:c r="I3964" s="12" t="n">
        <x:v>176562500</x:v>
      </x:c>
      <x:c r="J3964" s="2" t="str">
        <x:v>total</x:v>
      </x:c>
      <x:c r="K3964" s="2" t="str">
        <x:v>top_level_area</x:v>
      </x:c>
      <x:c r="L3964" s="2" t="str">
        <x:v>property_type_inferred_from_title</x:v>
      </x:c>
      <x:c r="M3964" s="10" t="n">
        <x:v>1</x:v>
      </x:c>
      <x:c r="N3964" s="10" t="n">
        <x:v>1</x:v>
      </x:c>
      <x:c r="O3964" s="2" t="str">
        <x:v>Hà Nội|house</x:v>
      </x:c>
      <x:c r="P3964" s="10" t="n">
        <x:v>-1</x:v>
      </x:c>
      <x:c r="Q3964" s="13" t="n">
        <x:f>IF(H3964="","",H3964/1000000000)</x:f>
        <x:v>11.3</x:v>
      </x:c>
      <x:c r="R3964" s="13" t="n">
        <x:f>IF(I3964="","",I3964/1000000)</x:f>
        <x:v>176.5625</x:v>
      </x:c>
    </x:row>
    <x:row r="3965" ht="21" customHeight="1">
      <x:c r="A3965" s="10" t="n">
        <x:v>5364</x:v>
      </x:c>
      <x:c r="B3965" s="2" t="str">
        <x:v>0d3f52d4b21e30f3bc06</x:v>
      </x:c>
      <x:c r="C3965" s="2" t="str">
        <x:v>Hà Nội</x:v>
      </x:c>
      <x:c r="D3965" s="2" t="str">
        <x:v>Quận Cầu Giấy</x:v>
      </x:c>
      <x:c r="E3965" s="2" t="str">
        <x:v>apartment</x:v>
      </x:c>
      <x:c r="F3965" s="2" t="str">
        <x:v>sale</x:v>
      </x:c>
      <x:c r="G3965" s="11" t="n">
        <x:v>42</x:v>
      </x:c>
      <x:c r="H3965" s="12" t="n">
        <x:v>620000000</x:v>
      </x:c>
      <x:c r="I3965" s="12" t="n">
        <x:v>14761904.761904761</x:v>
      </x:c>
      <x:c r="J3965" s="2" t="str">
        <x:v>total</x:v>
      </x:c>
      <x:c r="K3965" s="2" t="str">
        <x:v>top_level_area</x:v>
      </x:c>
      <x:c r="L3965" s="2" t="str">
        <x:v>property_type_inferred_from_title</x:v>
      </x:c>
      <x:c r="M3965" s="10" t="n">
        <x:v>0</x:v>
      </x:c>
      <x:c r="N3965" s="10" t="n">
        <x:v>0</x:v>
      </x:c>
      <x:c r="O3965" s="2" t="str">
        <x:v>Hà Nội|apartment</x:v>
      </x:c>
      <x:c r="P3965" s="10" t="n">
        <x:v>2</x:v>
      </x:c>
      <x:c r="Q3965" s="13" t="n">
        <x:f>IF(H3965="","",H3965/1000000000)</x:f>
        <x:v>0.62</x:v>
      </x:c>
      <x:c r="R3965" s="13" t="n">
        <x:f>IF(I3965="","",I3965/1000000)</x:f>
        <x:v>14.761904761904761</x:v>
      </x:c>
    </x:row>
    <x:row r="3966" ht="21" customHeight="1">
      <x:c r="A3966" s="10" t="n">
        <x:v>5365</x:v>
      </x:c>
      <x:c r="B3966" s="2" t="str">
        <x:v>bded3eea07d380b8d7b2</x:v>
      </x:c>
      <x:c r="C3966" s="2" t="str">
        <x:v>Hà Nội</x:v>
      </x:c>
      <x:c r="D3966" s="2" t="str">
        <x:v>Quận Hà Đông</x:v>
      </x:c>
      <x:c r="E3966" s="2" t="str">
        <x:v>house</x:v>
      </x:c>
      <x:c r="F3966" s="2" t="str">
        <x:v>sale_assumed</x:v>
      </x:c>
      <x:c r="G3966" s="11" t="n">
        <x:v>41</x:v>
      </x:c>
      <x:c r="H3966" s="12" t="n">
        <x:v>3090000000</x:v>
      </x:c>
      <x:c r="I3966" s="12" t="n">
        <x:v>75365853.65853658</x:v>
      </x:c>
      <x:c r="J3966" s="2" t="str">
        <x:v>total</x:v>
      </x:c>
      <x:c r="K3966" s="2" t="str">
        <x:v>top_level_area</x:v>
      </x:c>
      <x:c r="L3966" s="2" t="str">
        <x:v>property_type_inferred_from_title;transaction_assumed_sale_from_dataset_context</x:v>
      </x:c>
      <x:c r="M3966" s="10" t="n">
        <x:v>0</x:v>
      </x:c>
      <x:c r="N3966" s="10" t="n">
        <x:v>0</x:v>
      </x:c>
      <x:c r="O3966" s="2" t="str">
        <x:v>Hà Nội|house</x:v>
      </x:c>
      <x:c r="P3966" s="10" t="n">
        <x:v>2</x:v>
      </x:c>
      <x:c r="Q3966" s="13" t="n">
        <x:f>IF(H3966="","",H3966/1000000000)</x:f>
        <x:v>3.09</x:v>
      </x:c>
      <x:c r="R3966" s="13" t="n">
        <x:f>IF(I3966="","",I3966/1000000)</x:f>
        <x:v>75.36585365853658</x:v>
      </x:c>
    </x:row>
    <x:row r="3967" ht="21" customHeight="1">
      <x:c r="A3967" s="10" t="n">
        <x:v>5366</x:v>
      </x:c>
      <x:c r="B3967" s="2" t="str">
        <x:v>d23564e25a08a7ec61a0</x:v>
      </x:c>
      <x:c r="C3967" s="2" t="str">
        <x:v>Tp Hồ Chí Minh</x:v>
      </x:c>
      <x:c r="D3967" s="2" t="str">
        <x:v>Quận 7</x:v>
      </x:c>
      <x:c r="E3967" s="2" t="str">
        <x:v>house</x:v>
      </x:c>
      <x:c r="F3967" s="2" t="str">
        <x:v>sale_assumed</x:v>
      </x:c>
      <x:c r="G3967" s="11" t="n">
        <x:v>80</x:v>
      </x:c>
      <x:c r="H3967" s="12" t="n">
        <x:v>5500000000</x:v>
      </x:c>
      <x:c r="I3967" s="12" t="n">
        <x:v>68750000</x:v>
      </x:c>
      <x:c r="J3967" s="2" t="str">
        <x:v>total</x:v>
      </x:c>
      <x:c r="K3967" s="2" t="str">
        <x:v>top_level_area</x:v>
      </x:c>
      <x:c r="L3967" s="2" t="str">
        <x:v>property_type_inferred_from_title;transaction_assumed_sale_from_dataset_context</x:v>
      </x:c>
      <x:c r="M3967" s="10" t="n">
        <x:v>0</x:v>
      </x:c>
      <x:c r="N3967" s="10" t="n">
        <x:v>0</x:v>
      </x:c>
      <x:c r="O3967" s="2" t="str">
        <x:v>Tp Hồ Chí Minh|house</x:v>
      </x:c>
      <x:c r="P3967" s="10" t="n">
        <x:v>2</x:v>
      </x:c>
      <x:c r="Q3967" s="13" t="n">
        <x:f>IF(H3967="","",H3967/1000000000)</x:f>
        <x:v>5.5</x:v>
      </x:c>
      <x:c r="R3967" s="13" t="n">
        <x:f>IF(I3967="","",I3967/1000000)</x:f>
        <x:v>68.75</x:v>
      </x:c>
    </x:row>
    <x:row r="3968" ht="21" customHeight="1">
      <x:c r="A3968" s="10" t="n">
        <x:v>5367</x:v>
      </x:c>
      <x:c r="B3968" s="2" t="str">
        <x:v>dcd907f89c64bf7ada5f</x:v>
      </x:c>
      <x:c r="C3968" s="2" t="str">
        <x:v>Bình Dương</x:v>
      </x:c>
      <x:c r="D3968" s="2" t="str">
        <x:v>Thị xã Tân Uyên</x:v>
      </x:c>
      <x:c r="E3968" s="2" t="str">
        <x:v>land</x:v>
      </x:c>
      <x:c r="F3968" s="2" t="str">
        <x:v>sale</x:v>
      </x:c>
      <x:c r="G3968" s="11" t="n">
        <x:v>85</x:v>
      </x:c>
      <x:c r="H3968" s="12" t="n">
        <x:v>970000000</x:v>
      </x:c>
      <x:c r="I3968" s="12" t="n">
        <x:v>11411764.705882354</x:v>
      </x:c>
      <x:c r="J3968" s="2" t="str">
        <x:v>total</x:v>
      </x:c>
      <x:c r="K3968" s="2" t="str">
        <x:v>top_level_area</x:v>
      </x:c>
      <x:c r="L3968" s="2" t="str">
        <x:v>property_type_inferred_from_title</x:v>
      </x:c>
      <x:c r="M3968" s="10" t="n">
        <x:v>0</x:v>
      </x:c>
      <x:c r="N3968" s="10" t="n">
        <x:v>0</x:v>
      </x:c>
      <x:c r="O3968" s="2" t="str">
        <x:v>Bình Dương|land</x:v>
      </x:c>
      <x:c r="P3968" s="10" t="n">
        <x:v>2</x:v>
      </x:c>
      <x:c r="Q3968" s="13" t="n">
        <x:f>IF(H3968="","",H3968/1000000000)</x:f>
        <x:v>0.97</x:v>
      </x:c>
      <x:c r="R3968" s="13" t="n">
        <x:f>IF(I3968="","",I3968/1000000)</x:f>
        <x:v>11.411764705882353</x:v>
      </x:c>
    </x:row>
    <x:row r="3969" ht="21" customHeight="1">
      <x:c r="A3969" s="10" t="n">
        <x:v>5368</x:v>
      </x:c>
      <x:c r="B3969" s="2" t="str">
        <x:v>9f2e15808f15b9dc2b2f</x:v>
      </x:c>
      <x:c r="C3969" s="2" t="str">
        <x:v>Bình Dương</x:v>
      </x:c>
      <x:c r="D3969" s="2" t="str">
        <x:v>Thị xã Thuận An</x:v>
      </x:c>
      <x:c r="E3969" s="2" t="str">
        <x:v>land</x:v>
      </x:c>
      <x:c r="F3969" s="2" t="str">
        <x:v>sale_assumed</x:v>
      </x:c>
      <x:c r="G3969" s="11" t="n">
        <x:v>80</x:v>
      </x:c>
      <x:c r="H3969" s="12" t="n">
        <x:v>970000000</x:v>
      </x:c>
      <x:c r="I3969" s="12" t="n">
        <x:v>12125000</x:v>
      </x:c>
      <x:c r="J3969" s="2" t="str">
        <x:v>total</x:v>
      </x:c>
      <x:c r="K3969" s="2" t="str">
        <x:v>top_level_area</x:v>
      </x:c>
      <x:c r="L3969" s="2" t="str">
        <x:v>property_type_inferred_from_title;transaction_assumed_sale_from_dataset_context</x:v>
      </x:c>
      <x:c r="M3969" s="10" t="n">
        <x:v>0</x:v>
      </x:c>
      <x:c r="N3969" s="10" t="n">
        <x:v>0</x:v>
      </x:c>
      <x:c r="O3969" s="2" t="str">
        <x:v>Bình Dương|land</x:v>
      </x:c>
      <x:c r="P3969" s="10" t="n">
        <x:v>2</x:v>
      </x:c>
      <x:c r="Q3969" s="13" t="n">
        <x:f>IF(H3969="","",H3969/1000000000)</x:f>
        <x:v>0.97</x:v>
      </x:c>
      <x:c r="R3969" s="13" t="n">
        <x:f>IF(I3969="","",I3969/1000000)</x:f>
        <x:v>12.125</x:v>
      </x:c>
    </x:row>
    <x:row r="3970" ht="21" customHeight="1">
      <x:c r="A3970" s="10" t="n">
        <x:v>5369</x:v>
      </x:c>
      <x:c r="B3970" s="2" t="str">
        <x:v>e937a7501828ca8719f1</x:v>
      </x:c>
      <x:c r="C3970" s="2" t="str">
        <x:v>Bình Phước</x:v>
      </x:c>
      <x:c r="D3970" s="2" t="str">
        <x:v>Thành phố Đồng Xoài</x:v>
      </x:c>
      <x:c r="E3970" s="2" t="str">
        <x:v>land</x:v>
      </x:c>
      <x:c r="F3970" s="2" t="str">
        <x:v>sale_assumed</x:v>
      </x:c>
      <x:c r="G3970" s="11" t="n">
        <x:v>185</x:v>
      </x:c>
      <x:c r="H3970" s="12" t="n">
        <x:v>790000000</x:v>
      </x:c>
      <x:c r="I3970" s="12" t="n">
        <x:v>4270270.27027027</x:v>
      </x:c>
      <x:c r="J3970" s="2" t="str">
        <x:v>total</x:v>
      </x:c>
      <x:c r="K3970" s="2" t="str">
        <x:v>top_level_area</x:v>
      </x:c>
      <x:c r="L3970" s="2" t="str">
        <x:v>property_type_inferred_from_title;transaction_assumed_sale_from_dataset_context</x:v>
      </x:c>
      <x:c r="M3970" s="10" t="n">
        <x:v>0</x:v>
      </x:c>
      <x:c r="N3970" s="10" t="n">
        <x:v>0</x:v>
      </x:c>
      <x:c r="O3970" s="2" t="str">
        <x:v>Bình Phước|land</x:v>
      </x:c>
      <x:c r="P3970" s="10" t="n">
        <x:v>1</x:v>
      </x:c>
      <x:c r="Q3970" s="13" t="n">
        <x:f>IF(H3970="","",H3970/1000000000)</x:f>
        <x:v>0.79</x:v>
      </x:c>
      <x:c r="R3970" s="13" t="n">
        <x:f>IF(I3970="","",I3970/1000000)</x:f>
        <x:v>4.27027027027027</x:v>
      </x:c>
    </x:row>
    <x:row r="3971" ht="21" customHeight="1">
      <x:c r="A3971" s="10" t="n">
        <x:v>5370</x:v>
      </x:c>
      <x:c r="B3971" s="2" t="str">
        <x:v>f376cd11e852d445205d</x:v>
      </x:c>
      <x:c r="C3971" s="2" t="str">
        <x:v>Tp Hồ Chí Minh</x:v>
      </x:c>
      <x:c r="D3971" s="2" t="str">
        <x:v>Quận Bình Thạnh</x:v>
      </x:c>
      <x:c r="E3971" s="2" t="str">
        <x:v>other_unknown</x:v>
      </x:c>
      <x:c r="F3971" s="2" t="str">
        <x:v>sale_assumed</x:v>
      </x:c>
      <x:c r="G3971" s="11" t="n">
        <x:v>36</x:v>
      </x:c>
      <x:c r="H3971" s="12" t="n">
        <x:v>5000000000</x:v>
      </x:c>
      <x:c r="I3971" s="12" t="n">
        <x:v>138888888.8888889</x:v>
      </x:c>
      <x:c r="J3971" s="2" t="str">
        <x:v>total</x:v>
      </x:c>
      <x:c r="K3971" s="2" t="str">
        <x:v>top_level_area</x:v>
      </x:c>
      <x:c r="L3971" s="2" t="str">
        <x:v>property_type_inferred_from_title;transaction_assumed_sale_from_dataset_context;unknown_property_type</x:v>
      </x:c>
      <x:c r="M3971" s="10" t="n">
        <x:v>0</x:v>
      </x:c>
      <x:c r="N3971" s="10" t="n">
        <x:v>0</x:v>
      </x:c>
      <x:c r="O3971" s="2" t="str">
        <x:v>Tp Hồ Chí Minh|other_unknown</x:v>
      </x:c>
      <x:c r="P3971" s="10" t="n">
        <x:v>2</x:v>
      </x:c>
      <x:c r="Q3971" s="13" t="n">
        <x:f>IF(H3971="","",H3971/1000000000)</x:f>
        <x:v>5</x:v>
      </x:c>
      <x:c r="R3971" s="13" t="n">
        <x:f>IF(I3971="","",I3971/1000000)</x:f>
        <x:v>138.88888888888889</x:v>
      </x:c>
    </x:row>
    <x:row r="3972" ht="21" customHeight="1">
      <x:c r="A3972" s="10" t="n">
        <x:v>5371</x:v>
      </x:c>
      <x:c r="B3972" s="2" t="str">
        <x:v>24963d9e6ca0feb15536</x:v>
      </x:c>
      <x:c r="C3972" s="2" t="str">
        <x:v>Tp Hồ Chí Minh</x:v>
      </x:c>
      <x:c r="D3972" s="2" t="str">
        <x:v>Quận 5</x:v>
      </x:c>
      <x:c r="E3972" s="2" t="str">
        <x:v>house</x:v>
      </x:c>
      <x:c r="F3972" s="2" t="str">
        <x:v>sale</x:v>
      </x:c>
      <x:c r="G3972" s="11" t="n">
        <x:v>72</x:v>
      </x:c>
      <x:c r="H3972" s="12" t="n">
        <x:v>10000000000</x:v>
      </x:c>
      <x:c r="I3972" s="12" t="n">
        <x:v>138888888.8888889</x:v>
      </x:c>
      <x:c r="J3972" s="2" t="str">
        <x:v>total</x:v>
      </x:c>
      <x:c r="K3972" s="2" t="str">
        <x:v>top_level_area</x:v>
      </x:c>
      <x:c r="L3972" s="2" t="str">
        <x:v>property_type_inferred_from_title</x:v>
      </x:c>
      <x:c r="M3972" s="10" t="n">
        <x:v>0</x:v>
      </x:c>
      <x:c r="N3972" s="10" t="n">
        <x:v>0</x:v>
      </x:c>
      <x:c r="O3972" s="2" t="str">
        <x:v>Tp Hồ Chí Minh|house</x:v>
      </x:c>
      <x:c r="P3972" s="10" t="n">
        <x:v>2</x:v>
      </x:c>
      <x:c r="Q3972" s="13" t="n">
        <x:f>IF(H3972="","",H3972/1000000000)</x:f>
        <x:v>10</x:v>
      </x:c>
      <x:c r="R3972" s="13" t="n">
        <x:f>IF(I3972="","",I3972/1000000)</x:f>
        <x:v>138.88888888888889</x:v>
      </x:c>
    </x:row>
    <x:row r="3973" ht="21" customHeight="1">
      <x:c r="A3973" s="10" t="n">
        <x:v>5372</x:v>
      </x:c>
      <x:c r="B3973" s="2" t="str">
        <x:v>42e7f3be89eb0603071f</x:v>
      </x:c>
      <x:c r="C3973" s="2" t="str">
        <x:v>Tp Hồ Chí Minh</x:v>
      </x:c>
      <x:c r="D3973" s="2" t="str">
        <x:v>Quận Thủ Đức</x:v>
      </x:c>
      <x:c r="E3973" s="2" t="str">
        <x:v>house</x:v>
      </x:c>
      <x:c r="F3973" s="2" t="str">
        <x:v>sale_assumed</x:v>
      </x:c>
      <x:c r="G3973" s="11" t="n">
        <x:v>180</x:v>
      </x:c>
      <x:c r="H3973" s="12" t="n">
        <x:v>26000000000</x:v>
      </x:c>
      <x:c r="I3973" s="12" t="n">
        <x:v>144444444.44444445</x:v>
      </x:c>
      <x:c r="J3973" s="2" t="str">
        <x:v>total</x:v>
      </x:c>
      <x:c r="K3973" s="2" t="str">
        <x:v>top_level_area</x:v>
      </x:c>
      <x:c r="L3973" s="2" t="str">
        <x:v>property_type_inferred_from_title;transaction_assumed_sale_from_dataset_context</x:v>
      </x:c>
      <x:c r="M3973" s="10" t="n">
        <x:v>0</x:v>
      </x:c>
      <x:c r="N3973" s="10" t="n">
        <x:v>0</x:v>
      </x:c>
      <x:c r="O3973" s="2" t="str">
        <x:v>Tp Hồ Chí Minh|house</x:v>
      </x:c>
      <x:c r="P3973" s="10" t="n">
        <x:v>2</x:v>
      </x:c>
      <x:c r="Q3973" s="13" t="n">
        <x:f>IF(H3973="","",H3973/1000000000)</x:f>
        <x:v>26</x:v>
      </x:c>
      <x:c r="R3973" s="13" t="n">
        <x:f>IF(I3973="","",I3973/1000000)</x:f>
        <x:v>144.44444444444446</x:v>
      </x:c>
    </x:row>
    <x:row r="3974" ht="21" customHeight="1">
      <x:c r="A3974" s="10" t="n">
        <x:v>5373</x:v>
      </x:c>
      <x:c r="B3974" s="2" t="str">
        <x:v>cf7705cddf93e63f6122</x:v>
      </x:c>
      <x:c r="C3974" s="2" t="str">
        <x:v>Tp Hồ Chí Minh</x:v>
      </x:c>
      <x:c r="D3974" s="2" t="str">
        <x:v>Huyện Củ Chi</x:v>
      </x:c>
      <x:c r="E3974" s="2" t="str">
        <x:v>land</x:v>
      </x:c>
      <x:c r="F3974" s="2" t="str">
        <x:v>sale</x:v>
      </x:c>
      <x:c r="G3974" s="11" t="n">
        <x:v>100</x:v>
      </x:c>
      <x:c r="H3974" s="12" t="n">
        <x:v>481500000</x:v>
      </x:c>
      <x:c r="I3974" s="12" t="n">
        <x:v>4815000</x:v>
      </x:c>
      <x:c r="J3974" s="2" t="str">
        <x:v>total</x:v>
      </x:c>
      <x:c r="K3974" s="2" t="str">
        <x:v>top_level_area</x:v>
      </x:c>
      <x:c r="L3974" s="2" t="str">
        <x:v>property_type_inferred_from_title</x:v>
      </x:c>
      <x:c r="M3974" s="10" t="n">
        <x:v>0</x:v>
      </x:c>
      <x:c r="N3974" s="10" t="n">
        <x:v>0</x:v>
      </x:c>
      <x:c r="O3974" s="2" t="str">
        <x:v>Tp Hồ Chí Minh|land</x:v>
      </x:c>
      <x:c r="P3974" s="10" t="n">
        <x:v>2</x:v>
      </x:c>
      <x:c r="Q3974" s="13" t="n">
        <x:f>IF(H3974="","",H3974/1000000000)</x:f>
        <x:v>0.4815</x:v>
      </x:c>
      <x:c r="R3974" s="13" t="n">
        <x:f>IF(I3974="","",I3974/1000000)</x:f>
        <x:v>4.815</x:v>
      </x:c>
    </x:row>
    <x:row r="3975" ht="21" customHeight="1">
      <x:c r="A3975" s="10" t="n">
        <x:v>5377</x:v>
      </x:c>
      <x:c r="B3975" s="2" t="str">
        <x:v>e47655eaaf46a5a50132</x:v>
      </x:c>
      <x:c r="C3975" s="2" t="str">
        <x:v>Hà Nội</x:v>
      </x:c>
      <x:c r="D3975" s="2" t="str">
        <x:v>Quận Hoàng Mai</x:v>
      </x:c>
      <x:c r="E3975" s="2" t="str">
        <x:v>house</x:v>
      </x:c>
      <x:c r="F3975" s="2" t="str">
        <x:v>sale_assumed</x:v>
      </x:c>
      <x:c r="G3975" s="11" t="n">
        <x:v>20</x:v>
      </x:c>
      <x:c r="H3975" s="12" t="n">
        <x:v>1900000000</x:v>
      </x:c>
      <x:c r="I3975" s="12" t="n">
        <x:v>95000000</x:v>
      </x:c>
      <x:c r="J3975" s="2" t="str">
        <x:v>total</x:v>
      </x:c>
      <x:c r="K3975" s="2" t="str">
        <x:v>top_level_area</x:v>
      </x:c>
      <x:c r="L3975" s="2" t="str">
        <x:v>property_type_inferred_from_title;transaction_assumed_sale_from_dataset_context</x:v>
      </x:c>
      <x:c r="M3975" s="10" t="n">
        <x:v>0</x:v>
      </x:c>
      <x:c r="N3975" s="10" t="n">
        <x:v>0</x:v>
      </x:c>
      <x:c r="O3975" s="2" t="str">
        <x:v>Hà Nội|house</x:v>
      </x:c>
      <x:c r="P3975" s="10" t="n">
        <x:v>2</x:v>
      </x:c>
      <x:c r="Q3975" s="13" t="n">
        <x:f>IF(H3975="","",H3975/1000000000)</x:f>
        <x:v>1.9</x:v>
      </x:c>
      <x:c r="R3975" s="13" t="n">
        <x:f>IF(I3975="","",I3975/1000000)</x:f>
        <x:v>95</x:v>
      </x:c>
    </x:row>
    <x:row r="3976" ht="21" customHeight="1">
      <x:c r="A3976" s="10" t="n">
        <x:v>5378</x:v>
      </x:c>
      <x:c r="B3976" s="2" t="str">
        <x:v>d6f5cfaac0dea377f2ca</x:v>
      </x:c>
      <x:c r="C3976" s="2" t="str">
        <x:v>Hà Nội</x:v>
      </x:c>
      <x:c r="D3976" s="2" t="str">
        <x:v>Quận Đống Đa</x:v>
      </x:c>
      <x:c r="E3976" s="2" t="str">
        <x:v>house</x:v>
      </x:c>
      <x:c r="F3976" s="2" t="str">
        <x:v>sale_assumed</x:v>
      </x:c>
      <x:c r="G3976" s="11" t="n">
        <x:v>38</x:v>
      </x:c>
      <x:c r="H3976" s="12" t="n">
        <x:v>3900000000</x:v>
      </x:c>
      <x:c r="I3976" s="12" t="n">
        <x:v>102631578.94736843</x:v>
      </x:c>
      <x:c r="J3976" s="2" t="str">
        <x:v>total</x:v>
      </x:c>
      <x:c r="K3976" s="2" t="str">
        <x:v>top_level_area</x:v>
      </x:c>
      <x:c r="L3976" s="2" t="str">
        <x:v>property_type_inferred_from_title;transaction_assumed_sale_from_dataset_context</x:v>
      </x:c>
      <x:c r="M3976" s="10" t="n">
        <x:v>0</x:v>
      </x:c>
      <x:c r="N3976" s="10" t="n">
        <x:v>0</x:v>
      </x:c>
      <x:c r="O3976" s="2" t="str">
        <x:v>Hà Nội|house</x:v>
      </x:c>
      <x:c r="P3976" s="10" t="n">
        <x:v>2</x:v>
      </x:c>
      <x:c r="Q3976" s="13" t="n">
        <x:f>IF(H3976="","",H3976/1000000000)</x:f>
        <x:v>3.9</x:v>
      </x:c>
      <x:c r="R3976" s="13" t="n">
        <x:f>IF(I3976="","",I3976/1000000)</x:f>
        <x:v>102.63157894736842</x:v>
      </x:c>
    </x:row>
    <x:row r="3977" ht="21" customHeight="1">
      <x:c r="A3977" s="10" t="n">
        <x:v>5379</x:v>
      </x:c>
      <x:c r="B3977" s="2" t="str">
        <x:v>cfc8ee7b1370dcf20bcf</x:v>
      </x:c>
      <x:c r="C3977" s="2" t="str">
        <x:v>Tp Hồ Chí Minh</x:v>
      </x:c>
      <x:c r="D3977" s="2" t="str">
        <x:v>Quận 12</x:v>
      </x:c>
      <x:c r="E3977" s="2" t="str">
        <x:v>apartment</x:v>
      </x:c>
      <x:c r="F3977" s="2" t="str">
        <x:v>sale_assumed</x:v>
      </x:c>
      <x:c r="G3977" s="11" t="n">
        <x:v>54</x:v>
      </x:c>
      <x:c r="H3977" s="12" t="n">
        <x:v>1470000000</x:v>
      </x:c>
      <x:c r="I3977" s="12" t="n">
        <x:v>27222222.222222224</x:v>
      </x:c>
      <x:c r="J3977" s="2" t="str">
        <x:v>total</x:v>
      </x:c>
      <x:c r="K3977" s="2" t="str">
        <x:v>top_level_area</x:v>
      </x:c>
      <x:c r="L3977" s="2" t="str">
        <x:v>property_type_inferred_from_title;transaction_assumed_sale_from_dataset_context</x:v>
      </x:c>
      <x:c r="M3977" s="10" t="n">
        <x:v>0</x:v>
      </x:c>
      <x:c r="N3977" s="10" t="n">
        <x:v>0</x:v>
      </x:c>
      <x:c r="O3977" s="2" t="str">
        <x:v>Tp Hồ Chí Minh|apartment</x:v>
      </x:c>
      <x:c r="P3977" s="10" t="n">
        <x:v>2</x:v>
      </x:c>
      <x:c r="Q3977" s="13" t="n">
        <x:f>IF(H3977="","",H3977/1000000000)</x:f>
        <x:v>1.47</x:v>
      </x:c>
      <x:c r="R3977" s="13" t="n">
        <x:f>IF(I3977="","",I3977/1000000)</x:f>
        <x:v>27.222222222222225</x:v>
      </x:c>
    </x:row>
    <x:row r="3978" ht="21" customHeight="1">
      <x:c r="A3978" s="10" t="n">
        <x:v>5380</x:v>
      </x:c>
      <x:c r="B3978" s="2" t="str">
        <x:v>b2468e304b30946dbbf0</x:v>
      </x:c>
      <x:c r="C3978" s="2" t="str">
        <x:v>Bình Thuận</x:v>
      </x:c>
      <x:c r="D3978" s="2" t="str">
        <x:v>Huyện Bắc Bình</x:v>
      </x:c>
      <x:c r="E3978" s="2" t="str">
        <x:v>land</x:v>
      </x:c>
      <x:c r="F3978" s="2" t="str">
        <x:v>sale_assumed</x:v>
      </x:c>
      <x:c r="G3978" s="11" t="n">
        <x:v>3258</x:v>
      </x:c>
      <x:c r="H3978" s="12" t="n">
        <x:v>276000000</x:v>
      </x:c>
      <x:c r="I3978" s="12" t="n">
        <x:v>84714.54880294659</x:v>
      </x:c>
      <x:c r="J3978" s="2" t="str">
        <x:v>total</x:v>
      </x:c>
      <x:c r="K3978" s="2" t="str">
        <x:v>top_level_area</x:v>
      </x:c>
      <x:c r="L3978" s="2" t="str">
        <x:v>dot_thousands_convention;property_type_inferred_from_title;transaction_assumed_sale_from_dataset_context</x:v>
      </x:c>
      <x:c r="M3978" s="10" t="n">
        <x:v>0</x:v>
      </x:c>
      <x:c r="N3978" s="10" t="n">
        <x:v>0</x:v>
      </x:c>
      <x:c r="O3978" s="2" t="str">
        <x:v>land</x:v>
      </x:c>
      <x:c r="P3978" s="10" t="n">
        <x:v>1</x:v>
      </x:c>
      <x:c r="Q3978" s="13" t="n">
        <x:f>IF(H3978="","",H3978/1000000000)</x:f>
        <x:v>0.276</x:v>
      </x:c>
      <x:c r="R3978" s="13" t="n">
        <x:f>IF(I3978="","",I3978/1000000)</x:f>
        <x:v>0.0847145488029466</x:v>
      </x:c>
    </x:row>
    <x:row r="3979" ht="21" customHeight="1">
      <x:c r="A3979" s="10" t="n">
        <x:v>5381</x:v>
      </x:c>
      <x:c r="B3979" s="2" t="str">
        <x:v>ce97f15edf4a5085dbb1</x:v>
      </x:c>
      <x:c r="C3979" s="2" t="str">
        <x:v>Tp Hồ Chí Minh</x:v>
      </x:c>
      <x:c r="D3979" s="2" t="str">
        <x:v>Quận Thủ Đức</x:v>
      </x:c>
      <x:c r="E3979" s="2" t="str">
        <x:v>house</x:v>
      </x:c>
      <x:c r="F3979" s="2" t="str">
        <x:v>sale_assumed</x:v>
      </x:c>
      <x:c r="G3979" s="11" t="n">
        <x:v>53</x:v>
      </x:c>
      <x:c r="H3979" s="12" t="n">
        <x:v>3650000000</x:v>
      </x:c>
      <x:c r="I3979" s="12" t="n">
        <x:v>68867924.52830188</x:v>
      </x:c>
      <x:c r="J3979" s="2" t="str">
        <x:v>total</x:v>
      </x:c>
      <x:c r="K3979" s="2" t="str">
        <x:v>top_level_area</x:v>
      </x:c>
      <x:c r="L3979" s="2" t="str">
        <x:v>property_type_inferred_from_title;transaction_assumed_sale_from_dataset_context</x:v>
      </x:c>
      <x:c r="M3979" s="10" t="n">
        <x:v>0</x:v>
      </x:c>
      <x:c r="N3979" s="10" t="n">
        <x:v>0</x:v>
      </x:c>
      <x:c r="O3979" s="2" t="str">
        <x:v>Tp Hồ Chí Minh|house</x:v>
      </x:c>
      <x:c r="P3979" s="10" t="n">
        <x:v>2</x:v>
      </x:c>
      <x:c r="Q3979" s="13" t="n">
        <x:f>IF(H3979="","",H3979/1000000000)</x:f>
        <x:v>3.65</x:v>
      </x:c>
      <x:c r="R3979" s="13" t="n">
        <x:f>IF(I3979="","",I3979/1000000)</x:f>
        <x:v>68.86792452830188</x:v>
      </x:c>
    </x:row>
    <x:row r="3980" ht="21" customHeight="1">
      <x:c r="A3980" s="10" t="n">
        <x:v>5382</x:v>
      </x:c>
      <x:c r="B3980" s="2" t="str">
        <x:v>d96d20dbc5e8d0b48d7e</x:v>
      </x:c>
      <x:c r="C3980" s="2" t="str">
        <x:v>Tp Hồ Chí Minh</x:v>
      </x:c>
      <x:c r="D3980" s="2" t="str">
        <x:v>Quận 7</x:v>
      </x:c>
      <x:c r="E3980" s="2" t="str">
        <x:v>house</x:v>
      </x:c>
      <x:c r="F3980" s="2" t="str">
        <x:v>sale_assumed</x:v>
      </x:c>
      <x:c r="G3980" s="11" t="n">
        <x:v>74.2</x:v>
      </x:c>
      <x:c r="H3980" s="12" t="n">
        <x:v>12500000000</x:v>
      </x:c>
      <x:c r="I3980" s="12" t="n">
        <x:v>168463611.85983828</x:v>
      </x:c>
      <x:c r="J3980" s="2" t="str">
        <x:v>total</x:v>
      </x:c>
      <x:c r="K3980" s="2" t="str">
        <x:v>top_level_area</x:v>
      </x:c>
      <x:c r="L3980" s="2" t="str">
        <x:v>property_type_inferred_from_title;transaction_assumed_sale_from_dataset_context</x:v>
      </x:c>
      <x:c r="M3980" s="10" t="n">
        <x:v>1</x:v>
      </x:c>
      <x:c r="N3980" s="10" t="n">
        <x:v>0</x:v>
      </x:c>
      <x:c r="O3980" s="2" t="str">
        <x:v>Tp Hồ Chí Minh|house</x:v>
      </x:c>
      <x:c r="P3980" s="10" t="n">
        <x:v>2</x:v>
      </x:c>
      <x:c r="Q3980" s="13" t="n">
        <x:f>IF(H3980="","",H3980/1000000000)</x:f>
        <x:v>12.5</x:v>
      </x:c>
      <x:c r="R3980" s="13" t="n">
        <x:f>IF(I3980="","",I3980/1000000)</x:f>
        <x:v>168.46361185983827</x:v>
      </x:c>
    </x:row>
    <x:row r="3981" ht="21" customHeight="1">
      <x:c r="A3981" s="10" t="n">
        <x:v>5383</x:v>
      </x:c>
      <x:c r="B3981" s="2" t="str">
        <x:v>5950e2388e14bb8e0e56</x:v>
      </x:c>
      <x:c r="C3981" s="2" t="str">
        <x:v>Đồng Nai</x:v>
      </x:c>
      <x:c r="D3981" s="2" t="str">
        <x:v>Huyện Trảng Bom</x:v>
      </x:c>
      <x:c r="E3981" s="2" t="str">
        <x:v>land</x:v>
      </x:c>
      <x:c r="F3981" s="2" t="str">
        <x:v>sale_assumed</x:v>
      </x:c>
      <x:c r="G3981" s="11" t="n">
        <x:v>100</x:v>
      </x:c>
      <x:c r="H3981" s="12" t="n">
        <x:v>625000000</x:v>
      </x:c>
      <x:c r="I3981" s="12" t="n">
        <x:v>6250000</x:v>
      </x:c>
      <x:c r="J3981" s="2" t="str">
        <x:v>total</x:v>
      </x:c>
      <x:c r="K3981" s="2" t="str">
        <x:v>top_level_area</x:v>
      </x:c>
      <x:c r="L3981" s="2" t="str">
        <x:v>property_type_inferred_from_title;transaction_assumed_sale_from_dataset_context</x:v>
      </x:c>
      <x:c r="M3981" s="10" t="n">
        <x:v>0</x:v>
      </x:c>
      <x:c r="N3981" s="10" t="n">
        <x:v>0</x:v>
      </x:c>
      <x:c r="O3981" s="2" t="str">
        <x:v>Đồng Nai|land</x:v>
      </x:c>
      <x:c r="P3981" s="10" t="n">
        <x:v>2</x:v>
      </x:c>
      <x:c r="Q3981" s="13" t="n">
        <x:f>IF(H3981="","",H3981/1000000000)</x:f>
        <x:v>0.625</x:v>
      </x:c>
      <x:c r="R3981" s="13" t="n">
        <x:f>IF(I3981="","",I3981/1000000)</x:f>
        <x:v>6.25</x:v>
      </x:c>
    </x:row>
    <x:row r="3982" ht="21" customHeight="1">
      <x:c r="A3982" s="10" t="n">
        <x:v>5384</x:v>
      </x:c>
      <x:c r="B3982" s="2" t="str">
        <x:v>abe7cc5bf10ad0b05bcc</x:v>
      </x:c>
      <x:c r="C3982" s="2" t="str">
        <x:v>Tp Hồ Chí Minh</x:v>
      </x:c>
      <x:c r="D3982" s="2" t="str">
        <x:v>Quận 11</x:v>
      </x:c>
      <x:c r="E3982" s="2" t="str">
        <x:v>house</x:v>
      </x:c>
      <x:c r="F3982" s="2" t="str">
        <x:v>sale</x:v>
      </x:c>
      <x:c r="G3982" s="11" t="n">
        <x:v>37</x:v>
      </x:c>
      <x:c r="H3982" s="12" t="n">
        <x:v>6500000000</x:v>
      </x:c>
      <x:c r="I3982" s="12" t="n">
        <x:v>175675675.6756757</x:v>
      </x:c>
      <x:c r="J3982" s="2" t="str">
        <x:v>total</x:v>
      </x:c>
      <x:c r="K3982" s="2" t="str">
        <x:v>top_level_area</x:v>
      </x:c>
      <x:c r="L3982" s="2" t="str">
        <x:v>property_type_inferred_from_title</x:v>
      </x:c>
      <x:c r="M3982" s="10" t="n">
        <x:v>1</x:v>
      </x:c>
      <x:c r="N3982" s="10" t="n">
        <x:v>0</x:v>
      </x:c>
      <x:c r="O3982" s="2" t="str">
        <x:v>Tp Hồ Chí Minh|house</x:v>
      </x:c>
      <x:c r="P3982" s="10" t="n">
        <x:v>2</x:v>
      </x:c>
      <x:c r="Q3982" s="13" t="n">
        <x:f>IF(H3982="","",H3982/1000000000)</x:f>
        <x:v>6.5</x:v>
      </x:c>
      <x:c r="R3982" s="13" t="n">
        <x:f>IF(I3982="","",I3982/1000000)</x:f>
        <x:v>175.67567567567568</x:v>
      </x:c>
    </x:row>
    <x:row r="3983" ht="21" customHeight="1">
      <x:c r="A3983" s="10" t="n">
        <x:v>5385</x:v>
      </x:c>
      <x:c r="B3983" s="2" t="str">
        <x:v>d716063ac1728571e264</x:v>
      </x:c>
      <x:c r="C3983" s="2" t="str">
        <x:v>Hà Nội</x:v>
      </x:c>
      <x:c r="D3983" s="2" t="str">
        <x:v>Huyện Thanh Trì</x:v>
      </x:c>
      <x:c r="E3983" s="2" t="str">
        <x:v>apartment</x:v>
      </x:c>
      <x:c r="F3983" s="2" t="str">
        <x:v>sale_assumed</x:v>
      </x:c>
      <x:c r="G3983" s="11" t="n">
        <x:v>70</x:v>
      </x:c>
      <x:c r="H3983" s="12" t="n">
        <x:v>330000000</x:v>
      </x:c>
      <x:c r="I3983" s="12" t="n">
        <x:v>4714285.714285715</x:v>
      </x:c>
      <x:c r="J3983" s="2" t="str">
        <x:v>total</x:v>
      </x:c>
      <x:c r="K3983" s="2" t="str">
        <x:v>top_level_area</x:v>
      </x:c>
      <x:c r="L3983" s="2" t="str">
        <x:v>property_type_inferred_from_title;transaction_assumed_sale_from_dataset_context</x:v>
      </x:c>
      <x:c r="M3983" s="10" t="n">
        <x:v>0</x:v>
      </x:c>
      <x:c r="N3983" s="10" t="n">
        <x:v>0</x:v>
      </x:c>
      <x:c r="O3983" s="2" t="str">
        <x:v>Hà Nội|apartment</x:v>
      </x:c>
      <x:c r="P3983" s="10" t="n">
        <x:v>2</x:v>
      </x:c>
      <x:c r="Q3983" s="13" t="n">
        <x:f>IF(H3983="","",H3983/1000000000)</x:f>
        <x:v>0.33</x:v>
      </x:c>
      <x:c r="R3983" s="13" t="n">
        <x:f>IF(I3983="","",I3983/1000000)</x:f>
        <x:v>4.714285714285714</x:v>
      </x:c>
    </x:row>
    <x:row r="3984" ht="21" customHeight="1">
      <x:c r="A3984" s="10" t="n">
        <x:v>5386</x:v>
      </x:c>
      <x:c r="B3984" s="2" t="str">
        <x:v>a04a1211198e9249141b</x:v>
      </x:c>
      <x:c r="C3984" s="2" t="str">
        <x:v>Tp Hồ Chí Minh</x:v>
      </x:c>
      <x:c r="D3984" s="2" t="str">
        <x:v>Quận 6</x:v>
      </x:c>
      <x:c r="E3984" s="2" t="str">
        <x:v>house</x:v>
      </x:c>
      <x:c r="F3984" s="2" t="str">
        <x:v>sale</x:v>
      </x:c>
      <x:c r="G3984" s="11" t="n">
        <x:v>64</x:v>
      </x:c>
      <x:c r="H3984" s="12" t="n">
        <x:v>3400000000</x:v>
      </x:c>
      <x:c r="I3984" s="12" t="n">
        <x:v>53125000</x:v>
      </x:c>
      <x:c r="J3984" s="2" t="str">
        <x:v>total</x:v>
      </x:c>
      <x:c r="K3984" s="2" t="str">
        <x:v>top_level_area</x:v>
      </x:c>
      <x:c r="L3984" s="2" t="str">
        <x:v>property_type_inferred_from_title</x:v>
      </x:c>
      <x:c r="M3984" s="10" t="n">
        <x:v>0</x:v>
      </x:c>
      <x:c r="N3984" s="10" t="n">
        <x:v>0</x:v>
      </x:c>
      <x:c r="O3984" s="2" t="str">
        <x:v>Tp Hồ Chí Minh|house</x:v>
      </x:c>
      <x:c r="P3984" s="10" t="n">
        <x:v>2</x:v>
      </x:c>
      <x:c r="Q3984" s="13" t="n">
        <x:f>IF(H3984="","",H3984/1000000000)</x:f>
        <x:v>3.4</x:v>
      </x:c>
      <x:c r="R3984" s="13" t="n">
        <x:f>IF(I3984="","",I3984/1000000)</x:f>
        <x:v>53.125</x:v>
      </x:c>
    </x:row>
    <x:row r="3985" ht="21" customHeight="1">
      <x:c r="A3985" s="10" t="n">
        <x:v>5387</x:v>
      </x:c>
      <x:c r="B3985" s="2" t="str">
        <x:v>adea7a368d0188c3acd0</x:v>
      </x:c>
      <x:c r="C3985" s="2" t="str">
        <x:v>Đà Nẵng</x:v>
      </x:c>
      <x:c r="D3985" s="2" t="str">
        <x:v>Quận Hải Châu</x:v>
      </x:c>
      <x:c r="E3985" s="2" t="str">
        <x:v>house</x:v>
      </x:c>
      <x:c r="F3985" s="2" t="str">
        <x:v>sale</x:v>
      </x:c>
      <x:c r="G3985" s="11" t="n">
        <x:v>50</x:v>
      </x:c>
      <x:c r="H3985" s="12" t="n">
        <x:v>2900000000</x:v>
      </x:c>
      <x:c r="I3985" s="12" t="n">
        <x:v>58000000</x:v>
      </x:c>
      <x:c r="J3985" s="2" t="str">
        <x:v>total</x:v>
      </x:c>
      <x:c r="K3985" s="2" t="str">
        <x:v>top_level_area</x:v>
      </x:c>
      <x:c r="L3985" s="2" t="str">
        <x:v>property_type_inferred_from_title</x:v>
      </x:c>
      <x:c r="M3985" s="10" t="n">
        <x:v>0</x:v>
      </x:c>
      <x:c r="N3985" s="10" t="n">
        <x:v>0</x:v>
      </x:c>
      <x:c r="O3985" s="2" t="str">
        <x:v>Đà Nẵng|house</x:v>
      </x:c>
      <x:c r="P3985" s="10" t="n">
        <x:v>2</x:v>
      </x:c>
      <x:c r="Q3985" s="13" t="n">
        <x:f>IF(H3985="","",H3985/1000000000)</x:f>
        <x:v>2.9</x:v>
      </x:c>
      <x:c r="R3985" s="13" t="n">
        <x:f>IF(I3985="","",I3985/1000000)</x:f>
        <x:v>58</x:v>
      </x:c>
    </x:row>
    <x:row r="3986" ht="21" customHeight="1">
      <x:c r="A3986" s="10" t="n">
        <x:v>5388</x:v>
      </x:c>
      <x:c r="B3986" s="2" t="str">
        <x:v>ed6be3436adad7cf4f10</x:v>
      </x:c>
      <x:c r="C3986" s="2" t="str">
        <x:v>Đồng Nai</x:v>
      </x:c>
      <x:c r="D3986" s="2" t="str">
        <x:v>Thành phố Biên Hòa</x:v>
      </x:c>
      <x:c r="E3986" s="2" t="str">
        <x:v>land</x:v>
      </x:c>
      <x:c r="F3986" s="2" t="str">
        <x:v>sale</x:v>
      </x:c>
      <x:c r="G3986" s="11" t="n">
        <x:v>90</x:v>
      </x:c>
      <x:c r="H3986" s="12" t="n">
        <x:v>490000000</x:v>
      </x:c>
      <x:c r="I3986" s="12" t="n">
        <x:v>5444444.444444444</x:v>
      </x:c>
      <x:c r="J3986" s="2" t="str">
        <x:v>total</x:v>
      </x:c>
      <x:c r="K3986" s="2" t="str">
        <x:v>top_level_area</x:v>
      </x:c>
      <x:c r="L3986" s="2" t="str">
        <x:v>property_type_inferred_from_title</x:v>
      </x:c>
      <x:c r="M3986" s="10" t="n">
        <x:v>0</x:v>
      </x:c>
      <x:c r="N3986" s="10" t="n">
        <x:v>0</x:v>
      </x:c>
      <x:c r="O3986" s="2" t="str">
        <x:v>Đồng Nai|land</x:v>
      </x:c>
      <x:c r="P3986" s="10" t="n">
        <x:v>2</x:v>
      </x:c>
      <x:c r="Q3986" s="13" t="n">
        <x:f>IF(H3986="","",H3986/1000000000)</x:f>
        <x:v>0.49</x:v>
      </x:c>
      <x:c r="R3986" s="13" t="n">
        <x:f>IF(I3986="","",I3986/1000000)</x:f>
        <x:v>5.444444444444444</x:v>
      </x:c>
    </x:row>
    <x:row r="3987" ht="21" customHeight="1">
      <x:c r="A3987" s="10" t="n">
        <x:v>5389</x:v>
      </x:c>
      <x:c r="B3987" s="2" t="str">
        <x:v>bf77d32748e1ec358cd2</x:v>
      </x:c>
      <x:c r="C3987" s="2" t="str">
        <x:v>Hà Nội</x:v>
      </x:c>
      <x:c r="D3987" s="2" t="str">
        <x:v>Quận Hai Bà Trưng</x:v>
      </x:c>
      <x:c r="E3987" s="2" t="str">
        <x:v>house</x:v>
      </x:c>
      <x:c r="F3987" s="2" t="str">
        <x:v>sale_assumed</x:v>
      </x:c>
      <x:c r="G3987" s="11" t="n">
        <x:v>42</x:v>
      </x:c>
      <x:c r="H3987" s="12" t="n">
        <x:v>3450000000</x:v>
      </x:c>
      <x:c r="I3987" s="12" t="n">
        <x:v>82142857.14285715</x:v>
      </x:c>
      <x:c r="J3987" s="2" t="str">
        <x:v>total</x:v>
      </x:c>
      <x:c r="K3987" s="2" t="str">
        <x:v>top_level_area</x:v>
      </x:c>
      <x:c r="L3987" s="2" t="str">
        <x:v>property_type_inferred_from_title;transaction_assumed_sale_from_dataset_context</x:v>
      </x:c>
      <x:c r="M3987" s="10" t="n">
        <x:v>0</x:v>
      </x:c>
      <x:c r="N3987" s="10" t="n">
        <x:v>0</x:v>
      </x:c>
      <x:c r="O3987" s="2" t="str">
        <x:v>Hà Nội|house</x:v>
      </x:c>
      <x:c r="P3987" s="10" t="n">
        <x:v>2</x:v>
      </x:c>
      <x:c r="Q3987" s="13" t="n">
        <x:f>IF(H3987="","",H3987/1000000000)</x:f>
        <x:v>3.45</x:v>
      </x:c>
      <x:c r="R3987" s="13" t="n">
        <x:f>IF(I3987="","",I3987/1000000)</x:f>
        <x:v>82.14285714285715</x:v>
      </x:c>
    </x:row>
    <x:row r="3988" ht="21" customHeight="1">
      <x:c r="A3988" s="10" t="n">
        <x:v>5390</x:v>
      </x:c>
      <x:c r="B3988" s="2" t="str">
        <x:v>6e2d419019aa9d6702d7</x:v>
      </x:c>
      <x:c r="C3988" s="2" t="str">
        <x:v>Hà Nội</x:v>
      </x:c>
      <x:c r="D3988" s="2" t="str">
        <x:v>Quận Cầu Giấy</x:v>
      </x:c>
      <x:c r="E3988" s="2" t="str">
        <x:v>house</x:v>
      </x:c>
      <x:c r="F3988" s="2" t="str">
        <x:v>sale_assumed</x:v>
      </x:c>
      <x:c r="G3988" s="11" t="n">
        <x:v>45</x:v>
      </x:c>
      <x:c r="H3988" s="12" t="n">
        <x:v>4800000000</x:v>
      </x:c>
      <x:c r="I3988" s="12" t="n">
        <x:v>106666666.66666667</x:v>
      </x:c>
      <x:c r="J3988" s="2" t="str">
        <x:v>total</x:v>
      </x:c>
      <x:c r="K3988" s="2" t="str">
        <x:v>top_level_area</x:v>
      </x:c>
      <x:c r="L3988" s="2" t="str">
        <x:v>property_type_inferred_from_title;transaction_assumed_sale_from_dataset_context</x:v>
      </x:c>
      <x:c r="M3988" s="10" t="n">
        <x:v>0</x:v>
      </x:c>
      <x:c r="N3988" s="10" t="n">
        <x:v>0</x:v>
      </x:c>
      <x:c r="O3988" s="2" t="str">
        <x:v>Hà Nội|house</x:v>
      </x:c>
      <x:c r="P3988" s="10" t="n">
        <x:v>2</x:v>
      </x:c>
      <x:c r="Q3988" s="13" t="n">
        <x:f>IF(H3988="","",H3988/1000000000)</x:f>
        <x:v>4.8</x:v>
      </x:c>
      <x:c r="R3988" s="13" t="n">
        <x:f>IF(I3988="","",I3988/1000000)</x:f>
        <x:v>106.66666666666667</x:v>
      </x:c>
    </x:row>
    <x:row r="3989" ht="21" customHeight="1">
      <x:c r="A3989" s="10" t="n">
        <x:v>5391</x:v>
      </x:c>
      <x:c r="B3989" s="2" t="str">
        <x:v>b5e4daa8fee03aa54fb1</x:v>
      </x:c>
      <x:c r="C3989" s="2" t="str">
        <x:v>Tp Hồ Chí Minh</x:v>
      </x:c>
      <x:c r="D3989" s="2" t="str">
        <x:v>Quận Thủ Đức</x:v>
      </x:c>
      <x:c r="E3989" s="2" t="str">
        <x:v>house</x:v>
      </x:c>
      <x:c r="F3989" s="2" t="str">
        <x:v>sale_assumed</x:v>
      </x:c>
      <x:c r="G3989" s="11" t="n">
        <x:v>51</x:v>
      </x:c>
      <x:c r="H3989" s="12" t="n">
        <x:v>4700000000</x:v>
      </x:c>
      <x:c r="I3989" s="12" t="n">
        <x:v>92156862.74509804</x:v>
      </x:c>
      <x:c r="J3989" s="2" t="str">
        <x:v>total</x:v>
      </x:c>
      <x:c r="K3989" s="2" t="str">
        <x:v>top_level_area</x:v>
      </x:c>
      <x:c r="L3989" s="2" t="str">
        <x:v>property_type_inferred_from_title;transaction_assumed_sale_from_dataset_context</x:v>
      </x:c>
      <x:c r="M3989" s="10" t="n">
        <x:v>0</x:v>
      </x:c>
      <x:c r="N3989" s="10" t="n">
        <x:v>0</x:v>
      </x:c>
      <x:c r="O3989" s="2" t="str">
        <x:v>Tp Hồ Chí Minh|house</x:v>
      </x:c>
      <x:c r="P3989" s="10" t="n">
        <x:v>2</x:v>
      </x:c>
      <x:c r="Q3989" s="13" t="n">
        <x:f>IF(H3989="","",H3989/1000000000)</x:f>
        <x:v>4.7</x:v>
      </x:c>
      <x:c r="R3989" s="13" t="n">
        <x:f>IF(I3989="","",I3989/1000000)</x:f>
        <x:v>92.15686274509804</x:v>
      </x:c>
    </x:row>
    <x:row r="3990" ht="21" customHeight="1">
      <x:c r="A3990" s="10" t="n">
        <x:v>5392</x:v>
      </x:c>
      <x:c r="B3990" s="2" t="str">
        <x:v>f48b375099024d15ebff</x:v>
      </x:c>
      <x:c r="C3990" s="2" t="str">
        <x:v>Hà Nội</x:v>
      </x:c>
      <x:c r="D3990" s="2" t="str">
        <x:v>Quận Hoàng Mai</x:v>
      </x:c>
      <x:c r="E3990" s="2" t="str">
        <x:v>house</x:v>
      </x:c>
      <x:c r="F3990" s="2" t="str">
        <x:v>sale</x:v>
      </x:c>
      <x:c r="G3990" s="11" t="n">
        <x:v>33</x:v>
      </x:c>
      <x:c r="H3990" s="12" t="n">
        <x:v>3150000000</x:v>
      </x:c>
      <x:c r="I3990" s="12" t="n">
        <x:v>95454545.45454545</x:v>
      </x:c>
      <x:c r="J3990" s="2" t="str">
        <x:v>total</x:v>
      </x:c>
      <x:c r="K3990" s="2" t="str">
        <x:v>top_level_area</x:v>
      </x:c>
      <x:c r="L3990" s="2" t="str">
        <x:v>property_type_inferred_from_title</x:v>
      </x:c>
      <x:c r="M3990" s="10" t="n">
        <x:v>0</x:v>
      </x:c>
      <x:c r="N3990" s="10" t="n">
        <x:v>0</x:v>
      </x:c>
      <x:c r="O3990" s="2" t="str">
        <x:v>Hà Nội|house</x:v>
      </x:c>
      <x:c r="P3990" s="10" t="n">
        <x:v>2</x:v>
      </x:c>
      <x:c r="Q3990" s="13" t="n">
        <x:f>IF(H3990="","",H3990/1000000000)</x:f>
        <x:v>3.15</x:v>
      </x:c>
      <x:c r="R3990" s="13" t="n">
        <x:f>IF(I3990="","",I3990/1000000)</x:f>
        <x:v>95.45454545454545</x:v>
      </x:c>
    </x:row>
    <x:row r="3991" ht="21" customHeight="1">
      <x:c r="A3991" s="10" t="n">
        <x:v>5393</x:v>
      </x:c>
      <x:c r="B3991" s="2" t="str">
        <x:v>f3b994803580174f27a1</x:v>
      </x:c>
      <x:c r="C3991" s="2" t="str">
        <x:v>Bến Tre</x:v>
      </x:c>
      <x:c r="D3991" s="2" t="str">
        <x:v>Huyện Châu Thành</x:v>
      </x:c>
      <x:c r="E3991" s="2" t="str">
        <x:v>land</x:v>
      </x:c>
      <x:c r="F3991" s="2" t="str">
        <x:v>sale_assumed</x:v>
      </x:c>
      <x:c r="G3991" s="11" t="n">
        <x:v>500</x:v>
      </x:c>
      <x:c r="H3991" s="12" t="n">
        <x:v>1100000000</x:v>
      </x:c>
      <x:c r="I3991" s="12" t="n">
        <x:v>2200000</x:v>
      </x:c>
      <x:c r="J3991" s="2" t="str">
        <x:v>total</x:v>
      </x:c>
      <x:c r="K3991" s="2" t="str">
        <x:v>top_level_area</x:v>
      </x:c>
      <x:c r="L3991" s="2" t="str">
        <x:v>property_type_inferred_from_title;transaction_assumed_sale_from_dataset_context</x:v>
      </x:c>
      <x:c r="M3991" s="10" t="n">
        <x:v>0</x:v>
      </x:c>
      <x:c r="N3991" s="10" t="n">
        <x:v>0</x:v>
      </x:c>
      <x:c r="O3991" s="2" t="str">
        <x:v>Bến Tre|land</x:v>
      </x:c>
      <x:c r="P3991" s="10" t="n">
        <x:v>1</x:v>
      </x:c>
      <x:c r="Q3991" s="13" t="n">
        <x:f>IF(H3991="","",H3991/1000000000)</x:f>
        <x:v>1.1</x:v>
      </x:c>
      <x:c r="R3991" s="13" t="n">
        <x:f>IF(I3991="","",I3991/1000000)</x:f>
        <x:v>2.2</x:v>
      </x:c>
    </x:row>
    <x:row r="3992" ht="21" customHeight="1">
      <x:c r="A3992" s="10" t="n">
        <x:v>5394</x:v>
      </x:c>
      <x:c r="B3992" s="2" t="str">
        <x:v>a412d551b57e30ec57db</x:v>
      </x:c>
      <x:c r="C3992" s="2" t="str">
        <x:v>Hà Nội</x:v>
      </x:c>
      <x:c r="D3992" s="2" t="str">
        <x:v>Quận Thanh Xuân</x:v>
      </x:c>
      <x:c r="E3992" s="2" t="str">
        <x:v>other_unknown</x:v>
      </x:c>
      <x:c r="F3992" s="2" t="str">
        <x:v>sale_assumed</x:v>
      </x:c>
      <x:c r="G3992" s="11" t="n">
        <x:v>40</x:v>
      </x:c>
      <x:c r="H3992" s="12" t="n">
        <x:v>3650000000</x:v>
      </x:c>
      <x:c r="I3992" s="12" t="n">
        <x:v>91250000</x:v>
      </x:c>
      <x:c r="J3992" s="2" t="str">
        <x:v>total</x:v>
      </x:c>
      <x:c r="K3992" s="2" t="str">
        <x:v>top_level_area</x:v>
      </x:c>
      <x:c r="L3992" s="2" t="str">
        <x:v>property_type_inferred_from_title;transaction_assumed_sale_from_dataset_context;unknown_property_type</x:v>
      </x:c>
      <x:c r="M3992" s="10" t="n">
        <x:v>0</x:v>
      </x:c>
      <x:c r="N3992" s="10" t="n">
        <x:v>0</x:v>
      </x:c>
      <x:c r="O3992" s="2" t="str">
        <x:v>Hà Nội|other_unknown</x:v>
      </x:c>
      <x:c r="P3992" s="10" t="n">
        <x:v>2</x:v>
      </x:c>
      <x:c r="Q3992" s="13" t="n">
        <x:f>IF(H3992="","",H3992/1000000000)</x:f>
        <x:v>3.65</x:v>
      </x:c>
      <x:c r="R3992" s="13" t="n">
        <x:f>IF(I3992="","",I3992/1000000)</x:f>
        <x:v>91.25</x:v>
      </x:c>
    </x:row>
    <x:row r="3993" ht="21" customHeight="1">
      <x:c r="A3993" s="10" t="n">
        <x:v>5395</x:v>
      </x:c>
      <x:c r="B3993" s="2" t="str">
        <x:v>4267c44f7b0e710135f0</x:v>
      </x:c>
      <x:c r="C3993" s="2" t="str">
        <x:v>Tp Hồ Chí Minh</x:v>
      </x:c>
      <x:c r="D3993" s="2" t="str">
        <x:v>Quận 2</x:v>
      </x:c>
      <x:c r="E3993" s="2" t="str">
        <x:v>land</x:v>
      </x:c>
      <x:c r="F3993" s="2" t="str">
        <x:v>sale_assumed</x:v>
      </x:c>
      <x:c r="G3993" s="11" t="n">
        <x:v>80</x:v>
      </x:c>
      <x:c r="H3993" s="12" t="n">
        <x:v>5300000000</x:v>
      </x:c>
      <x:c r="I3993" s="12" t="n">
        <x:v>66250000</x:v>
      </x:c>
      <x:c r="J3993" s="2" t="str">
        <x:v>total</x:v>
      </x:c>
      <x:c r="K3993" s="2" t="str">
        <x:v>top_level_area</x:v>
      </x:c>
      <x:c r="L3993" s="2" t="str">
        <x:v>property_type_inferred_from_title;transaction_assumed_sale_from_dataset_context</x:v>
      </x:c>
      <x:c r="M3993" s="10" t="n">
        <x:v>0</x:v>
      </x:c>
      <x:c r="N3993" s="10" t="n">
        <x:v>0</x:v>
      </x:c>
      <x:c r="O3993" s="2" t="str">
        <x:v>Tp Hồ Chí Minh|land</x:v>
      </x:c>
      <x:c r="P3993" s="10" t="n">
        <x:v>2</x:v>
      </x:c>
      <x:c r="Q3993" s="13" t="n">
        <x:f>IF(H3993="","",H3993/1000000000)</x:f>
        <x:v>5.3</x:v>
      </x:c>
      <x:c r="R3993" s="13" t="n">
        <x:f>IF(I3993="","",I3993/1000000)</x:f>
        <x:v>66.25</x:v>
      </x:c>
    </x:row>
    <x:row r="3994" ht="21" customHeight="1">
      <x:c r="A3994" s="10" t="n">
        <x:v>5399</x:v>
      </x:c>
      <x:c r="B3994" s="2" t="str">
        <x:v>e4494ac48294b0077b41</x:v>
      </x:c>
      <x:c r="C3994" s="2" t="str">
        <x:v>Hà Nội</x:v>
      </x:c>
      <x:c r="D3994" s="2" t="str">
        <x:v>Quận Đống Đa</x:v>
      </x:c>
      <x:c r="E3994" s="2" t="str">
        <x:v>house</x:v>
      </x:c>
      <x:c r="F3994" s="2" t="str">
        <x:v>sale</x:v>
      </x:c>
      <x:c r="G3994" s="11" t="n">
        <x:v>50</x:v>
      </x:c>
      <x:c r="H3994" s="12" t="n">
        <x:v>7300000000</x:v>
      </x:c>
      <x:c r="I3994" s="12" t="n">
        <x:v>146000000</x:v>
      </x:c>
      <x:c r="J3994" s="2" t="str">
        <x:v>total</x:v>
      </x:c>
      <x:c r="K3994" s="2" t="str">
        <x:v>top_level_area</x:v>
      </x:c>
      <x:c r="L3994" s="2" t="str">
        <x:v>property_type_inferred_from_title</x:v>
      </x:c>
      <x:c r="M3994" s="10" t="n">
        <x:v>0</x:v>
      </x:c>
      <x:c r="N3994" s="10" t="n">
        <x:v>0</x:v>
      </x:c>
      <x:c r="O3994" s="2" t="str">
        <x:v>Hà Nội|house</x:v>
      </x:c>
      <x:c r="P3994" s="10" t="n">
        <x:v>2</x:v>
      </x:c>
      <x:c r="Q3994" s="13" t="n">
        <x:f>IF(H3994="","",H3994/1000000000)</x:f>
        <x:v>7.3</x:v>
      </x:c>
      <x:c r="R3994" s="13" t="n">
        <x:f>IF(I3994="","",I3994/1000000)</x:f>
        <x:v>146</x:v>
      </x:c>
    </x:row>
    <x:row r="3995" ht="21" customHeight="1">
      <x:c r="A3995" s="10" t="n">
        <x:v>5400</x:v>
      </x:c>
      <x:c r="B3995" s="2" t="str">
        <x:v>48990fba826a74a45bcd</x:v>
      </x:c>
      <x:c r="C3995" s="2" t="str">
        <x:v>Bình Thuận</x:v>
      </x:c>
      <x:c r="D3995" s="2" t="str">
        <x:v>Huyện Hàm Thuận Nam</x:v>
      </x:c>
      <x:c r="E3995" s="2" t="str">
        <x:v>land</x:v>
      </x:c>
      <x:c r="F3995" s="2" t="str">
        <x:v>sale_assumed</x:v>
      </x:c>
      <x:c r="G3995" s="11" t="n">
        <x:v>290</x:v>
      </x:c>
      <x:c r="H3995" s="12" t="n">
        <x:v>1600000000</x:v>
      </x:c>
      <x:c r="I3995" s="12" t="n">
        <x:v>5517241.379310345</x:v>
      </x:c>
      <x:c r="J3995" s="2" t="str">
        <x:v>total</x:v>
      </x:c>
      <x:c r="K3995" s="2" t="str">
        <x:v>top_level_area</x:v>
      </x:c>
      <x:c r="L3995" s="2" t="str">
        <x:v>property_type_inferred_from_title;transaction_assumed_sale_from_dataset_context</x:v>
      </x:c>
      <x:c r="M3995" s="10" t="n">
        <x:v>0</x:v>
      </x:c>
      <x:c r="N3995" s="10" t="n">
        <x:v>0</x:v>
      </x:c>
      <x:c r="O3995" s="2" t="str">
        <x:v>land</x:v>
      </x:c>
      <x:c r="P3995" s="10" t="n">
        <x:v>1</x:v>
      </x:c>
      <x:c r="Q3995" s="13" t="n">
        <x:f>IF(H3995="","",H3995/1000000000)</x:f>
        <x:v>1.6</x:v>
      </x:c>
      <x:c r="R3995" s="13" t="n">
        <x:f>IF(I3995="","",I3995/1000000)</x:f>
        <x:v>5.517241379310345</x:v>
      </x:c>
    </x:row>
    <x:row r="3996" ht="21" customHeight="1">
      <x:c r="A3996" s="10" t="n">
        <x:v>5401</x:v>
      </x:c>
      <x:c r="B3996" s="2" t="str">
        <x:v>0f13080dadaa881db04f</x:v>
      </x:c>
      <x:c r="C3996" s="2" t="str">
        <x:v>Đồng Nai</x:v>
      </x:c>
      <x:c r="D3996" s="2" t="str">
        <x:v>Thành phố Biên Hòa</x:v>
      </x:c>
      <x:c r="E3996" s="2" t="str">
        <x:v>house</x:v>
      </x:c>
      <x:c r="F3996" s="2" t="str">
        <x:v>sale_assumed</x:v>
      </x:c>
      <x:c r="G3996" s="11" t="n">
        <x:v>37</x:v>
      </x:c>
      <x:c r="H3996" s="12" t="n">
        <x:v>525000000</x:v>
      </x:c>
      <x:c r="I3996" s="12" t="n">
        <x:v>14189189.18918919</x:v>
      </x:c>
      <x:c r="J3996" s="2" t="str">
        <x:v>total</x:v>
      </x:c>
      <x:c r="K3996" s="2" t="str">
        <x:v>top_level_area</x:v>
      </x:c>
      <x:c r="L3996" s="2" t="str">
        <x:v>property_type_inferred_from_title;transaction_assumed_sale_from_dataset_context</x:v>
      </x:c>
      <x:c r="M3996" s="10" t="n">
        <x:v>0</x:v>
      </x:c>
      <x:c r="N3996" s="10" t="n">
        <x:v>0</x:v>
      </x:c>
      <x:c r="O3996" s="2" t="str">
        <x:v>Đồng Nai|house</x:v>
      </x:c>
      <x:c r="P3996" s="10" t="n">
        <x:v>2</x:v>
      </x:c>
      <x:c r="Q3996" s="13" t="n">
        <x:f>IF(H3996="","",H3996/1000000000)</x:f>
        <x:v>0.525</x:v>
      </x:c>
      <x:c r="R3996" s="13" t="n">
        <x:f>IF(I3996="","",I3996/1000000)</x:f>
        <x:v>14.18918918918919</x:v>
      </x:c>
    </x:row>
    <x:row r="3997" ht="21" customHeight="1">
      <x:c r="A3997" s="10" t="n">
        <x:v>5402</x:v>
      </x:c>
      <x:c r="B3997" s="2" t="str">
        <x:v>76d7d4853794ae46f7ab</x:v>
      </x:c>
      <x:c r="C3997" s="2" t="str">
        <x:v>Vĩnh Long</x:v>
      </x:c>
      <x:c r="D3997" s="2" t="str">
        <x:v>Huyện Tam Bình</x:v>
      </x:c>
      <x:c r="E3997" s="2" t="str">
        <x:v>land</x:v>
      </x:c>
      <x:c r="F3997" s="2" t="str">
        <x:v>sale_assumed</x:v>
      </x:c>
      <x:c r="G3997" s="11" t="n">
        <x:v>886</x:v>
      </x:c>
      <x:c r="H3997" s="12" t="n">
        <x:v>500000000</x:v>
      </x:c>
      <x:c r="I3997" s="12" t="n">
        <x:v>564334.0857787811</x:v>
      </x:c>
      <x:c r="J3997" s="2" t="str">
        <x:v>total</x:v>
      </x:c>
      <x:c r="K3997" s="2" t="str">
        <x:v>top_level_area</x:v>
      </x:c>
      <x:c r="L3997" s="2" t="str">
        <x:v>property_type_inferred_from_title;transaction_assumed_sale_from_dataset_context</x:v>
      </x:c>
      <x:c r="M3997" s="10" t="n">
        <x:v>0</x:v>
      </x:c>
      <x:c r="N3997" s="10" t="n">
        <x:v>0</x:v>
      </x:c>
      <x:c r="O3997" s="2" t="str">
        <x:v>land</x:v>
      </x:c>
      <x:c r="P3997" s="10" t="n">
        <x:v>1</x:v>
      </x:c>
      <x:c r="Q3997" s="13" t="n">
        <x:f>IF(H3997="","",H3997/1000000000)</x:f>
        <x:v>0.5</x:v>
      </x:c>
      <x:c r="R3997" s="13" t="n">
        <x:f>IF(I3997="","",I3997/1000000)</x:f>
        <x:v>0.5643340857787811</x:v>
      </x:c>
    </x:row>
    <x:row r="3998" ht="21" customHeight="1">
      <x:c r="A3998" s="10" t="n">
        <x:v>5403</x:v>
      </x:c>
      <x:c r="B3998" s="2" t="str">
        <x:v>c4c236bba51d1bc61724</x:v>
      </x:c>
      <x:c r="C3998" s="2" t="str">
        <x:v>Bình Dương</x:v>
      </x:c>
      <x:c r="D3998" s="2" t="str">
        <x:v>Thị xã Dĩ An</x:v>
      </x:c>
      <x:c r="E3998" s="2" t="str">
        <x:v>other_unknown</x:v>
      </x:c>
      <x:c r="F3998" s="2" t="str">
        <x:v>sale_assumed</x:v>
      </x:c>
      <x:c r="G3998" s="11" t="n">
        <x:v>53.55</x:v>
      </x:c>
      <x:c r="H3998" s="12" t="n">
        <x:v>1580000000</x:v>
      </x:c>
      <x:c r="I3998" s="12" t="n">
        <x:v>29505135.38748833</x:v>
      </x:c>
      <x:c r="J3998" s="2" t="str">
        <x:v>total</x:v>
      </x:c>
      <x:c r="K3998" s="2" t="str">
        <x:v>top_level_area</x:v>
      </x:c>
      <x:c r="L3998" s="2" t="str">
        <x:v>property_type_inferred_from_title;transaction_assumed_sale_from_dataset_context;unknown_property_type</x:v>
      </x:c>
      <x:c r="M3998" s="10" t="n">
        <x:v>0</x:v>
      </x:c>
      <x:c r="N3998" s="10" t="n">
        <x:v>0</x:v>
      </x:c>
      <x:c r="O3998" s="2" t="str">
        <x:v>Bình Dương|other_unknown</x:v>
      </x:c>
      <x:c r="P3998" s="10" t="n">
        <x:v>2</x:v>
      </x:c>
      <x:c r="Q3998" s="13" t="n">
        <x:f>IF(H3998="","",H3998/1000000000)</x:f>
        <x:v>1.58</x:v>
      </x:c>
      <x:c r="R3998" s="13" t="n">
        <x:f>IF(I3998="","",I3998/1000000)</x:f>
        <x:v>29.50513538748833</x:v>
      </x:c>
    </x:row>
    <x:row r="3999" ht="21" customHeight="1">
      <x:c r="A3999" s="10" t="n">
        <x:v>5404</x:v>
      </x:c>
      <x:c r="B3999" s="2" t="str">
        <x:v>49879bcf84f56e6e0660</x:v>
      </x:c>
      <x:c r="C3999" s="2" t="str">
        <x:v>Tp Hồ Chí Minh</x:v>
      </x:c>
      <x:c r="D3999" s="2" t="str">
        <x:v>Quận 10</x:v>
      </x:c>
      <x:c r="E3999" s="2" t="str">
        <x:v>house</x:v>
      </x:c>
      <x:c r="F3999" s="2" t="str">
        <x:v>sale</x:v>
      </x:c>
      <x:c r="G3999" s="11" t="n">
        <x:v>40</x:v>
      </x:c>
      <x:c r="H3999" s="12" t="n">
        <x:v>6700000000</x:v>
      </x:c>
      <x:c r="I3999" s="12" t="n">
        <x:v>167500000</x:v>
      </x:c>
      <x:c r="J3999" s="2" t="str">
        <x:v>total</x:v>
      </x:c>
      <x:c r="K3999" s="2" t="str">
        <x:v>top_level_area</x:v>
      </x:c>
      <x:c r="L3999" s="2" t="str">
        <x:v>property_type_inferred_from_title</x:v>
      </x:c>
      <x:c r="M3999" s="10" t="n">
        <x:v>1</x:v>
      </x:c>
      <x:c r="N3999" s="10" t="n">
        <x:v>0</x:v>
      </x:c>
      <x:c r="O3999" s="2" t="str">
        <x:v>Tp Hồ Chí Minh|house</x:v>
      </x:c>
      <x:c r="P3999" s="10" t="n">
        <x:v>2</x:v>
      </x:c>
      <x:c r="Q3999" s="13" t="n">
        <x:f>IF(H3999="","",H3999/1000000000)</x:f>
        <x:v>6.7</x:v>
      </x:c>
      <x:c r="R3999" s="13" t="n">
        <x:f>IF(I3999="","",I3999/1000000)</x:f>
        <x:v>167.5</x:v>
      </x:c>
    </x:row>
    <x:row r="4000" ht="21" customHeight="1">
      <x:c r="A4000" s="10" t="n">
        <x:v>5405</x:v>
      </x:c>
      <x:c r="B4000" s="2" t="str">
        <x:v>19c04011f4761590ee9f</x:v>
      </x:c>
      <x:c r="C4000" s="2" t="str">
        <x:v>Đồng Nai</x:v>
      </x:c>
      <x:c r="D4000" s="2" t="str">
        <x:v>Thành phố Biên Hòa</x:v>
      </x:c>
      <x:c r="E4000" s="2" t="str">
        <x:v>house</x:v>
      </x:c>
      <x:c r="F4000" s="2" t="str">
        <x:v>sale_assumed</x:v>
      </x:c>
      <x:c r="G4000" s="11" t="n">
        <x:v>98</x:v>
      </x:c>
      <x:c r="H4000" s="12" t="n">
        <x:v>3000000000</x:v>
      </x:c>
      <x:c r="I4000" s="12" t="n">
        <x:v>30612244.897959184</x:v>
      </x:c>
      <x:c r="J4000" s="2" t="str">
        <x:v>total</x:v>
      </x:c>
      <x:c r="K4000" s="2" t="str">
        <x:v>top_level_area</x:v>
      </x:c>
      <x:c r="L4000" s="2" t="str">
        <x:v>property_type_inferred_from_title;transaction_assumed_sale_from_dataset_context</x:v>
      </x:c>
      <x:c r="M4000" s="10" t="n">
        <x:v>0</x:v>
      </x:c>
      <x:c r="N4000" s="10" t="n">
        <x:v>0</x:v>
      </x:c>
      <x:c r="O4000" s="2" t="str">
        <x:v>Đồng Nai|house</x:v>
      </x:c>
      <x:c r="P4000" s="10" t="n">
        <x:v>2</x:v>
      </x:c>
      <x:c r="Q4000" s="13" t="n">
        <x:f>IF(H4000="","",H4000/1000000000)</x:f>
        <x:v>3</x:v>
      </x:c>
      <x:c r="R4000" s="13" t="n">
        <x:f>IF(I4000="","",I4000/1000000)</x:f>
        <x:v>30.612244897959183</x:v>
      </x:c>
    </x:row>
    <x:row r="4001" ht="21" customHeight="1">
      <x:c r="A4001" s="10" t="n">
        <x:v>5406</x:v>
      </x:c>
      <x:c r="B4001" s="2" t="str">
        <x:v>c9b7646a88dbac2ca78d</x:v>
      </x:c>
      <x:c r="C4001" s="2" t="str">
        <x:v>Tp Hồ Chí Minh</x:v>
      </x:c>
      <x:c r="D4001" s="2" t="str">
        <x:v>Quận 10</x:v>
      </x:c>
      <x:c r="E4001" s="2" t="str">
        <x:v>house</x:v>
      </x:c>
      <x:c r="F4001" s="2" t="str">
        <x:v>sale</x:v>
      </x:c>
      <x:c r="G4001" s="11" t="n">
        <x:v>35</x:v>
      </x:c>
      <x:c r="H4001" s="12" t="n">
        <x:v>5400000000</x:v>
      </x:c>
      <x:c r="I4001" s="12" t="n">
        <x:v>154285714.2857143</x:v>
      </x:c>
      <x:c r="J4001" s="2" t="str">
        <x:v>total</x:v>
      </x:c>
      <x:c r="K4001" s="2" t="str">
        <x:v>top_level_area</x:v>
      </x:c>
      <x:c r="L4001" s="2" t="str">
        <x:v>property_type_inferred_from_title</x:v>
      </x:c>
      <x:c r="M4001" s="10" t="n">
        <x:v>0</x:v>
      </x:c>
      <x:c r="N4001" s="10" t="n">
        <x:v>0</x:v>
      </x:c>
      <x:c r="O4001" s="2" t="str">
        <x:v>Tp Hồ Chí Minh|house</x:v>
      </x:c>
      <x:c r="P4001" s="10" t="n">
        <x:v>2</x:v>
      </x:c>
      <x:c r="Q4001" s="13" t="n">
        <x:f>IF(H4001="","",H4001/1000000000)</x:f>
        <x:v>5.4</x:v>
      </x:c>
      <x:c r="R4001" s="13" t="n">
        <x:f>IF(I4001="","",I4001/1000000)</x:f>
        <x:v>154.2857142857143</x:v>
      </x:c>
    </x:row>
    <x:row r="4002" ht="21" customHeight="1">
      <x:c r="A4002" s="10" t="n">
        <x:v>5407</x:v>
      </x:c>
      <x:c r="B4002" s="2" t="str">
        <x:v>e40c5b6e38b7811705dc</x:v>
      </x:c>
      <x:c r="C4002" s="2" t="str">
        <x:v>Hà Nội</x:v>
      </x:c>
      <x:c r="D4002" s="2" t="str">
        <x:v>Quận Cầu Giấy</x:v>
      </x:c>
      <x:c r="E4002" s="2" t="str">
        <x:v>house</x:v>
      </x:c>
      <x:c r="F4002" s="2" t="str">
        <x:v>sale_assumed</x:v>
      </x:c>
      <x:c r="G4002" s="11" t="n">
        <x:v>40</x:v>
      </x:c>
      <x:c r="H4002" s="12" t="n">
        <x:v>6900000000</x:v>
      </x:c>
      <x:c r="I4002" s="12" t="n">
        <x:v>172500000</x:v>
      </x:c>
      <x:c r="J4002" s="2" t="str">
        <x:v>total</x:v>
      </x:c>
      <x:c r="K4002" s="2" t="str">
        <x:v>top_level_area</x:v>
      </x:c>
      <x:c r="L4002" s="2" t="str">
        <x:v>property_type_inferred_from_title;transaction_assumed_sale_from_dataset_context</x:v>
      </x:c>
      <x:c r="M4002" s="10" t="n">
        <x:v>1</x:v>
      </x:c>
      <x:c r="N4002" s="10" t="n">
        <x:v>1</x:v>
      </x:c>
      <x:c r="O4002" s="2" t="str">
        <x:v>Hà Nội|house</x:v>
      </x:c>
      <x:c r="P4002" s="10" t="n">
        <x:v>-1</x:v>
      </x:c>
      <x:c r="Q4002" s="13" t="n">
        <x:f>IF(H4002="","",H4002/1000000000)</x:f>
        <x:v>6.9</x:v>
      </x:c>
      <x:c r="R4002" s="13" t="n">
        <x:f>IF(I4002="","",I4002/1000000)</x:f>
        <x:v>172.5</x:v>
      </x:c>
    </x:row>
    <x:row r="4003" ht="21" customHeight="1">
      <x:c r="A4003" s="10" t="n">
        <x:v>5408</x:v>
      </x:c>
      <x:c r="B4003" s="2" t="str">
        <x:v>3a64f4e0c12ffd88e7de</x:v>
      </x:c>
      <x:c r="C4003" s="2" t="str">
        <x:v>Tp Hồ Chí Minh</x:v>
      </x:c>
      <x:c r="D4003" s="2" t="str">
        <x:v>Quận Bình Tân</x:v>
      </x:c>
      <x:c r="E4003" s="2" t="str">
        <x:v>house</x:v>
      </x:c>
      <x:c r="F4003" s="2" t="str">
        <x:v>sale</x:v>
      </x:c>
      <x:c r="G4003" s="11" t="n">
        <x:v>63</x:v>
      </x:c>
      <x:c r="H4003" s="12" t="n">
        <x:v>3800000000</x:v>
      </x:c>
      <x:c r="I4003" s="12" t="n">
        <x:v>60317460.31746032</x:v>
      </x:c>
      <x:c r="J4003" s="2" t="str">
        <x:v>total</x:v>
      </x:c>
      <x:c r="K4003" s="2" t="str">
        <x:v>top_level_area</x:v>
      </x:c>
      <x:c r="L4003" s="2" t="str">
        <x:v>property_type_inferred_from_title</x:v>
      </x:c>
      <x:c r="M4003" s="10" t="n">
        <x:v>0</x:v>
      </x:c>
      <x:c r="N4003" s="10" t="n">
        <x:v>0</x:v>
      </x:c>
      <x:c r="O4003" s="2" t="str">
        <x:v>Tp Hồ Chí Minh|house</x:v>
      </x:c>
      <x:c r="P4003" s="10" t="n">
        <x:v>2</x:v>
      </x:c>
      <x:c r="Q4003" s="13" t="n">
        <x:f>IF(H4003="","",H4003/1000000000)</x:f>
        <x:v>3.8</x:v>
      </x:c>
      <x:c r="R4003" s="13" t="n">
        <x:f>IF(I4003="","",I4003/1000000)</x:f>
        <x:v>60.31746031746032</x:v>
      </x:c>
    </x:row>
    <x:row r="4004" ht="21" customHeight="1">
      <x:c r="A4004" s="10" t="n">
        <x:v>5409</x:v>
      </x:c>
      <x:c r="B4004" s="2" t="str">
        <x:v>c3357f68795f83e6d75a</x:v>
      </x:c>
      <x:c r="C4004" s="2" t="str">
        <x:v>Hà Nội</x:v>
      </x:c>
      <x:c r="D4004" s="2" t="str">
        <x:v>Quận Cầu Giấy</x:v>
      </x:c>
      <x:c r="E4004" s="2" t="str">
        <x:v>other_unknown</x:v>
      </x:c>
      <x:c r="F4004" s="2" t="str">
        <x:v>sale_assumed</x:v>
      </x:c>
      <x:c r="G4004" s="11" t="n">
        <x:v>100</x:v>
      </x:c>
      <x:c r="H4004" s="12" t="n">
        <x:v>8100000000</x:v>
      </x:c>
      <x:c r="I4004" s="12" t="n">
        <x:v>81000000</x:v>
      </x:c>
      <x:c r="J4004" s="2" t="str">
        <x:v>total</x:v>
      </x:c>
      <x:c r="K4004" s="2" t="str">
        <x:v>top_level_price_embedded_area</x:v>
      </x:c>
      <x:c r="L4004" s="2" t="str">
        <x:v>area_recovered_from_price_text;property_type_inferred_from_title;transaction_assumed_sale_from_dataset_context;unknown_property_type</x:v>
      </x:c>
      <x:c r="M4004" s="10" t="n">
        <x:v>0</x:v>
      </x:c>
      <x:c r="N4004" s="10" t="n">
        <x:v>0</x:v>
      </x:c>
      <x:c r="O4004" s="2" t="str">
        <x:v>Hà Nội|other_unknown</x:v>
      </x:c>
      <x:c r="P4004" s="10" t="n">
        <x:v>2</x:v>
      </x:c>
      <x:c r="Q4004" s="13" t="n">
        <x:f>IF(H4004="","",H4004/1000000000)</x:f>
        <x:v>8.1</x:v>
      </x:c>
      <x:c r="R4004" s="13" t="n">
        <x:f>IF(I4004="","",I4004/1000000)</x:f>
        <x:v>81</x:v>
      </x:c>
    </x:row>
    <x:row r="4005" ht="21" customHeight="1">
      <x:c r="A4005" s="10" t="n">
        <x:v>5410</x:v>
      </x:c>
      <x:c r="B4005" s="2" t="str">
        <x:v>bbe1903e827df48b0d6b</x:v>
      </x:c>
      <x:c r="C4005" s="2" t="str">
        <x:v>Tp Hồ Chí Minh</x:v>
      </x:c>
      <x:c r="D4005" s="2" t="str">
        <x:v>Huyện Nhà Bè</x:v>
      </x:c>
      <x:c r="E4005" s="2" t="str">
        <x:v>house</x:v>
      </x:c>
      <x:c r="F4005" s="2" t="str">
        <x:v>sale</x:v>
      </x:c>
      <x:c r="G4005" s="11" t="n">
        <x:v>28</x:v>
      </x:c>
      <x:c r="H4005" s="12" t="n">
        <x:v>1350000000</x:v>
      </x:c>
      <x:c r="I4005" s="12" t="n">
        <x:v>48214285.71428572</x:v>
      </x:c>
      <x:c r="J4005" s="2" t="str">
        <x:v>total</x:v>
      </x:c>
      <x:c r="K4005" s="2" t="str">
        <x:v>top_level_area</x:v>
      </x:c>
      <x:c r="L4005" s="2" t="str">
        <x:v>property_type_inferred_from_title</x:v>
      </x:c>
      <x:c r="M4005" s="10" t="n">
        <x:v>0</x:v>
      </x:c>
      <x:c r="N4005" s="10" t="n">
        <x:v>0</x:v>
      </x:c>
      <x:c r="O4005" s="2" t="str">
        <x:v>Tp Hồ Chí Minh|house</x:v>
      </x:c>
      <x:c r="P4005" s="10" t="n">
        <x:v>2</x:v>
      </x:c>
      <x:c r="Q4005" s="13" t="n">
        <x:f>IF(H4005="","",H4005/1000000000)</x:f>
        <x:v>1.35</x:v>
      </x:c>
      <x:c r="R4005" s="13" t="n">
        <x:f>IF(I4005="","",I4005/1000000)</x:f>
        <x:v>48.214285714285715</x:v>
      </x:c>
    </x:row>
    <x:row r="4006" ht="21" customHeight="1">
      <x:c r="A4006" s="10" t="n">
        <x:v>5411</x:v>
      </x:c>
      <x:c r="B4006" s="2" t="str">
        <x:v>d3ac81db7818078a6579</x:v>
      </x:c>
      <x:c r="C4006" s="2" t="str">
        <x:v>Hà Nội</x:v>
      </x:c>
      <x:c r="D4006" s="2" t="str">
        <x:v>Quận Đống Đa</x:v>
      </x:c>
      <x:c r="E4006" s="2" t="str">
        <x:v>other_unknown</x:v>
      </x:c>
      <x:c r="F4006" s="2" t="str">
        <x:v>sale</x:v>
      </x:c>
      <x:c r="G4006" s="11" t="n">
        <x:v>43</x:v>
      </x:c>
      <x:c r="H4006" s="12" t="n">
        <x:v>9900000000</x:v>
      </x:c>
      <x:c r="I4006" s="12" t="n">
        <x:v>230232558.1395349</x:v>
      </x:c>
      <x:c r="J4006" s="2" t="str">
        <x:v>total</x:v>
      </x:c>
      <x:c r="K4006" s="2" t="str">
        <x:v>top_level_area</x:v>
      </x:c>
      <x:c r="L4006" s="2" t="str">
        <x:v>property_type_inferred_from_title;unknown_property_type</x:v>
      </x:c>
      <x:c r="M4006" s="10" t="n">
        <x:v>1</x:v>
      </x:c>
      <x:c r="N4006" s="10" t="n">
        <x:v>1</x:v>
      </x:c>
      <x:c r="O4006" s="2" t="str">
        <x:v>Hà Nội|other_unknown</x:v>
      </x:c>
      <x:c r="P4006" s="10" t="n">
        <x:v>-1</x:v>
      </x:c>
      <x:c r="Q4006" s="13" t="n">
        <x:f>IF(H4006="","",H4006/1000000000)</x:f>
        <x:v>9.9</x:v>
      </x:c>
      <x:c r="R4006" s="13" t="n">
        <x:f>IF(I4006="","",I4006/1000000)</x:f>
        <x:v>230.2325581395349</x:v>
      </x:c>
    </x:row>
    <x:row r="4007" ht="21" customHeight="1">
      <x:c r="A4007" s="10" t="n">
        <x:v>5412</x:v>
      </x:c>
      <x:c r="B4007" s="2" t="str">
        <x:v>d73400f79a714dc0d4e1</x:v>
      </x:c>
      <x:c r="C4007" s="2" t="str">
        <x:v>Long An</x:v>
      </x:c>
      <x:c r="D4007" s="2" t="str">
        <x:v>Huyện Cần Đước</x:v>
      </x:c>
      <x:c r="E4007" s="2" t="str">
        <x:v>house</x:v>
      </x:c>
      <x:c r="F4007" s="2" t="str">
        <x:v>sale</x:v>
      </x:c>
      <x:c r="G4007" s="11" t="n">
        <x:v>80</x:v>
      </x:c>
      <x:c r="H4007" s="12" t="n">
        <x:v>890000000</x:v>
      </x:c>
      <x:c r="I4007" s="12" t="n">
        <x:v>11125000</x:v>
      </x:c>
      <x:c r="J4007" s="2" t="str">
        <x:v>total</x:v>
      </x:c>
      <x:c r="K4007" s="2" t="str">
        <x:v>top_level_area</x:v>
      </x:c>
      <x:c r="L4007" s="2" t="str">
        <x:v>property_type_inferred_from_title</x:v>
      </x:c>
      <x:c r="M4007" s="10" t="n">
        <x:v>0</x:v>
      </x:c>
      <x:c r="N4007" s="10" t="n">
        <x:v>0</x:v>
      </x:c>
      <x:c r="O4007" s="2" t="str">
        <x:v>Long An|house</x:v>
      </x:c>
      <x:c r="P4007" s="10" t="n">
        <x:v>2</x:v>
      </x:c>
      <x:c r="Q4007" s="13" t="n">
        <x:f>IF(H4007="","",H4007/1000000000)</x:f>
        <x:v>0.89</x:v>
      </x:c>
      <x:c r="R4007" s="13" t="n">
        <x:f>IF(I4007="","",I4007/1000000)</x:f>
        <x:v>11.125</x:v>
      </x:c>
    </x:row>
    <x:row r="4008" ht="21" customHeight="1">
      <x:c r="A4008" s="10" t="n">
        <x:v>5413</x:v>
      </x:c>
      <x:c r="B4008" s="2" t="str">
        <x:v>b9d4266e69068d004d7d</x:v>
      </x:c>
      <x:c r="C4008" s="2" t="str">
        <x:v>Đà Nẵng</x:v>
      </x:c>
      <x:c r="D4008" s="2" t="str">
        <x:v>Quận Ngũ Hành Sơn</x:v>
      </x:c>
      <x:c r="E4008" s="2" t="str">
        <x:v>house</x:v>
      </x:c>
      <x:c r="F4008" s="2" t="str">
        <x:v>sale_assumed</x:v>
      </x:c>
      <x:c r="G4008" s="11" t="n">
        <x:v>85</x:v>
      </x:c>
      <x:c r="H4008" s="12" t="n">
        <x:v>5900000000</x:v>
      </x:c>
      <x:c r="I4008" s="12" t="n">
        <x:v>69411764.70588236</x:v>
      </x:c>
      <x:c r="J4008" s="2" t="str">
        <x:v>total</x:v>
      </x:c>
      <x:c r="K4008" s="2" t="str">
        <x:v>top_level_area</x:v>
      </x:c>
      <x:c r="L4008" s="2" t="str">
        <x:v>property_type_inferred_from_title;transaction_assumed_sale_from_dataset_context</x:v>
      </x:c>
      <x:c r="M4008" s="10" t="n">
        <x:v>0</x:v>
      </x:c>
      <x:c r="N4008" s="10" t="n">
        <x:v>0</x:v>
      </x:c>
      <x:c r="O4008" s="2" t="str">
        <x:v>Đà Nẵng|house</x:v>
      </x:c>
      <x:c r="P4008" s="10" t="n">
        <x:v>2</x:v>
      </x:c>
      <x:c r="Q4008" s="13" t="n">
        <x:f>IF(H4008="","",H4008/1000000000)</x:f>
        <x:v>5.9</x:v>
      </x:c>
      <x:c r="R4008" s="13" t="n">
        <x:f>IF(I4008="","",I4008/1000000)</x:f>
        <x:v>69.41176470588236</x:v>
      </x:c>
    </x:row>
    <x:row r="4009" ht="21" customHeight="1">
      <x:c r="A4009" s="10" t="n">
        <x:v>5414</x:v>
      </x:c>
      <x:c r="B4009" s="2" t="str">
        <x:v>06a43b30979ba17015f0</x:v>
      </x:c>
      <x:c r="C4009" s="2" t="str">
        <x:v>Cần Thơ</x:v>
      </x:c>
      <x:c r="D4009" s="2" t="str">
        <x:v>Quận Ninh Kiều</x:v>
      </x:c>
      <x:c r="E4009" s="2" t="str">
        <x:v>land</x:v>
      </x:c>
      <x:c r="F4009" s="2" t="str">
        <x:v>sale</x:v>
      </x:c>
      <x:c r="G4009" s="11" t="n">
        <x:v>240</x:v>
      </x:c>
      <x:c r="H4009" s="12" t="n">
        <x:v>8600000000</x:v>
      </x:c>
      <x:c r="I4009" s="12" t="n">
        <x:v>35833333.333333336</x:v>
      </x:c>
      <x:c r="J4009" s="2" t="str">
        <x:v>total</x:v>
      </x:c>
      <x:c r="K4009" s="2" t="str">
        <x:v>top_level_area</x:v>
      </x:c>
      <x:c r="L4009" s="2" t="str">
        <x:v>property_type_inferred_from_title</x:v>
      </x:c>
      <x:c r="M4009" s="10" t="n">
        <x:v>0</x:v>
      </x:c>
      <x:c r="N4009" s="10" t="n">
        <x:v>0</x:v>
      </x:c>
      <x:c r="O4009" s="2" t="str">
        <x:v>Cần Thơ|land</x:v>
      </x:c>
      <x:c r="P4009" s="10" t="n">
        <x:v>2</x:v>
      </x:c>
      <x:c r="Q4009" s="13" t="n">
        <x:f>IF(H4009="","",H4009/1000000000)</x:f>
        <x:v>8.6</x:v>
      </x:c>
      <x:c r="R4009" s="13" t="n">
        <x:f>IF(I4009="","",I4009/1000000)</x:f>
        <x:v>35.833333333333336</x:v>
      </x:c>
    </x:row>
    <x:row r="4010" ht="21" customHeight="1">
      <x:c r="A4010" s="10" t="n">
        <x:v>5415</x:v>
      </x:c>
      <x:c r="B4010" s="2" t="str">
        <x:v>67a353cf7a168c02a362</x:v>
      </x:c>
      <x:c r="C4010" s="2" t="str">
        <x:v>Hà Nội</x:v>
      </x:c>
      <x:c r="D4010" s="2" t="str">
        <x:v>Quận Đống Đa</x:v>
      </x:c>
      <x:c r="E4010" s="2" t="str">
        <x:v>apartment</x:v>
      </x:c>
      <x:c r="F4010" s="2" t="str">
        <x:v>sale_assumed</x:v>
      </x:c>
      <x:c r="G4010" s="11" t="n">
        <x:v>50</x:v>
      </x:c>
      <x:c r="H4010" s="12" t="n">
        <x:v>780000000</x:v>
      </x:c>
      <x:c r="I4010" s="12" t="n">
        <x:v>15600000</x:v>
      </x:c>
      <x:c r="J4010" s="2" t="str">
        <x:v>total</x:v>
      </x:c>
      <x:c r="K4010" s="2" t="str">
        <x:v>top_level_area</x:v>
      </x:c>
      <x:c r="L4010" s="2" t="str">
        <x:v>property_type_inferred_from_title;transaction_assumed_sale_from_dataset_context</x:v>
      </x:c>
      <x:c r="M4010" s="10" t="n">
        <x:v>0</x:v>
      </x:c>
      <x:c r="N4010" s="10" t="n">
        <x:v>0</x:v>
      </x:c>
      <x:c r="O4010" s="2" t="str">
        <x:v>Hà Nội|apartment</x:v>
      </x:c>
      <x:c r="P4010" s="10" t="n">
        <x:v>2</x:v>
      </x:c>
      <x:c r="Q4010" s="13" t="n">
        <x:f>IF(H4010="","",H4010/1000000000)</x:f>
        <x:v>0.78</x:v>
      </x:c>
      <x:c r="R4010" s="13" t="n">
        <x:f>IF(I4010="","",I4010/1000000)</x:f>
        <x:v>15.6</x:v>
      </x:c>
    </x:row>
    <x:row r="4011" ht="21" customHeight="1">
      <x:c r="A4011" s="10" t="n">
        <x:v>5416</x:v>
      </x:c>
      <x:c r="B4011" s="2" t="str">
        <x:v>defe5771387d2edb858d</x:v>
      </x:c>
      <x:c r="C4011" s="2" t="str">
        <x:v>Hà Nội</x:v>
      </x:c>
      <x:c r="D4011" s="2" t="str">
        <x:v>Quận Đống Đa</x:v>
      </x:c>
      <x:c r="E4011" s="2" t="str">
        <x:v>house</x:v>
      </x:c>
      <x:c r="F4011" s="2" t="str">
        <x:v>sale_assumed</x:v>
      </x:c>
      <x:c r="G4011" s="11" t="n">
        <x:v>45</x:v>
      </x:c>
      <x:c r="H4011" s="12" t="n">
        <x:v>4200000000</x:v>
      </x:c>
      <x:c r="I4011" s="12" t="n">
        <x:v>93333333.33333333</x:v>
      </x:c>
      <x:c r="J4011" s="2" t="str">
        <x:v>total</x:v>
      </x:c>
      <x:c r="K4011" s="2" t="str">
        <x:v>top_level_area</x:v>
      </x:c>
      <x:c r="L4011" s="2" t="str">
        <x:v>property_type_inferred_from_title;transaction_assumed_sale_from_dataset_context</x:v>
      </x:c>
      <x:c r="M4011" s="10" t="n">
        <x:v>0</x:v>
      </x:c>
      <x:c r="N4011" s="10" t="n">
        <x:v>0</x:v>
      </x:c>
      <x:c r="O4011" s="2" t="str">
        <x:v>Hà Nội|house</x:v>
      </x:c>
      <x:c r="P4011" s="10" t="n">
        <x:v>2</x:v>
      </x:c>
      <x:c r="Q4011" s="13" t="n">
        <x:f>IF(H4011="","",H4011/1000000000)</x:f>
        <x:v>4.2</x:v>
      </x:c>
      <x:c r="R4011" s="13" t="n">
        <x:f>IF(I4011="","",I4011/1000000)</x:f>
        <x:v>93.33333333333333</x:v>
      </x:c>
    </x:row>
    <x:row r="4012" ht="21" customHeight="1">
      <x:c r="A4012" s="10" t="n">
        <x:v>5417</x:v>
      </x:c>
      <x:c r="B4012" s="2" t="str">
        <x:v>020d56f32e0c11072343</x:v>
      </x:c>
      <x:c r="C4012" s="2" t="str">
        <x:v>Đà Nẵng</x:v>
      </x:c>
      <x:c r="D4012" s="2" t="str">
        <x:v>Quận Hải Châu</x:v>
      </x:c>
      <x:c r="E4012" s="2" t="str">
        <x:v>house</x:v>
      </x:c>
      <x:c r="F4012" s="2" t="str">
        <x:v>sale</x:v>
      </x:c>
      <x:c r="G4012" s="11" t="n">
        <x:v>218</x:v>
      </x:c>
      <x:c r="H4012" s="12" t="n">
        <x:v>17500000000</x:v>
      </x:c>
      <x:c r="I4012" s="12" t="n">
        <x:v>80275229.35779816</x:v>
      </x:c>
      <x:c r="J4012" s="2" t="str">
        <x:v>total</x:v>
      </x:c>
      <x:c r="K4012" s="2" t="str">
        <x:v>top_level_area</x:v>
      </x:c>
      <x:c r="L4012" s="2" t="str">
        <x:v>property_type_inferred_from_title</x:v>
      </x:c>
      <x:c r="M4012" s="10" t="n">
        <x:v>0</x:v>
      </x:c>
      <x:c r="N4012" s="10" t="n">
        <x:v>0</x:v>
      </x:c>
      <x:c r="O4012" s="2" t="str">
        <x:v>Đà Nẵng|house</x:v>
      </x:c>
      <x:c r="P4012" s="10" t="n">
        <x:v>2</x:v>
      </x:c>
      <x:c r="Q4012" s="13" t="n">
        <x:f>IF(H4012="","",H4012/1000000000)</x:f>
        <x:v>17.5</x:v>
      </x:c>
      <x:c r="R4012" s="13" t="n">
        <x:f>IF(I4012="","",I4012/1000000)</x:f>
        <x:v>80.27522935779815</x:v>
      </x:c>
    </x:row>
    <x:row r="4013" ht="21" customHeight="1">
      <x:c r="A4013" s="10" t="n">
        <x:v>5423</x:v>
      </x:c>
      <x:c r="B4013" s="2" t="str">
        <x:v>2e974f4c087d383829ef</x:v>
      </x:c>
      <x:c r="C4013" s="2" t="str">
        <x:v>Long An</x:v>
      </x:c>
      <x:c r="D4013" s="2" t="str">
        <x:v>Huyện Bến Lức</x:v>
      </x:c>
      <x:c r="E4013" s="2" t="str">
        <x:v>other_unknown</x:v>
      </x:c>
      <x:c r="F4013" s="2" t="str">
        <x:v>sale_assumed</x:v>
      </x:c>
      <x:c r="G4013" s="11" t="n">
        <x:v>80</x:v>
      </x:c>
      <x:c r="H4013" s="12" t="n">
        <x:v>959000000</x:v>
      </x:c>
      <x:c r="I4013" s="12" t="n">
        <x:v>11987500</x:v>
      </x:c>
      <x:c r="J4013" s="2" t="str">
        <x:v>total</x:v>
      </x:c>
      <x:c r="K4013" s="2" t="str">
        <x:v>top_level_area</x:v>
      </x:c>
      <x:c r="L4013" s="2" t="str">
        <x:v>property_type_inferred_from_title;transaction_assumed_sale_from_dataset_context;unknown_property_type</x:v>
      </x:c>
      <x:c r="M4013" s="10" t="n">
        <x:v>0</x:v>
      </x:c>
      <x:c r="N4013" s="10" t="n">
        <x:v>0</x:v>
      </x:c>
      <x:c r="O4013" s="2" t="str">
        <x:v>Long An|other_unknown</x:v>
      </x:c>
      <x:c r="P4013" s="10" t="n">
        <x:v>2</x:v>
      </x:c>
      <x:c r="Q4013" s="13" t="n">
        <x:f>IF(H4013="","",H4013/1000000000)</x:f>
        <x:v>0.959</x:v>
      </x:c>
      <x:c r="R4013" s="13" t="n">
        <x:f>IF(I4013="","",I4013/1000000)</x:f>
        <x:v>11.9875</x:v>
      </x:c>
    </x:row>
    <x:row r="4014" ht="21" customHeight="1">
      <x:c r="A4014" s="10" t="n">
        <x:v>5424</x:v>
      </x:c>
      <x:c r="B4014" s="2" t="str">
        <x:v>2c1bfb3db59f15d289b1</x:v>
      </x:c>
      <x:c r="C4014" s="2" t="str">
        <x:v>Hà Nội</x:v>
      </x:c>
      <x:c r="D4014" s="2" t="str">
        <x:v>Quận Đống Đa</x:v>
      </x:c>
      <x:c r="E4014" s="2" t="str">
        <x:v>house</x:v>
      </x:c>
      <x:c r="F4014" s="2" t="str">
        <x:v>sale_assumed</x:v>
      </x:c>
      <x:c r="G4014" s="11" t="n">
        <x:v>38</x:v>
      </x:c>
      <x:c r="H4014" s="12" t="n">
        <x:v>2950000000</x:v>
      </x:c>
      <x:c r="I4014" s="12" t="n">
        <x:v>77631578.94736843</x:v>
      </x:c>
      <x:c r="J4014" s="2" t="str">
        <x:v>total</x:v>
      </x:c>
      <x:c r="K4014" s="2" t="str">
        <x:v>top_level_area</x:v>
      </x:c>
      <x:c r="L4014" s="2" t="str">
        <x:v>property_type_inferred_from_title;transaction_assumed_sale_from_dataset_context</x:v>
      </x:c>
      <x:c r="M4014" s="10" t="n">
        <x:v>0</x:v>
      </x:c>
      <x:c r="N4014" s="10" t="n">
        <x:v>0</x:v>
      </x:c>
      <x:c r="O4014" s="2" t="str">
        <x:v>Hà Nội|house</x:v>
      </x:c>
      <x:c r="P4014" s="10" t="n">
        <x:v>2</x:v>
      </x:c>
      <x:c r="Q4014" s="13" t="n">
        <x:f>IF(H4014="","",H4014/1000000000)</x:f>
        <x:v>2.95</x:v>
      </x:c>
      <x:c r="R4014" s="13" t="n">
        <x:f>IF(I4014="","",I4014/1000000)</x:f>
        <x:v>77.63157894736842</x:v>
      </x:c>
    </x:row>
    <x:row r="4015" ht="21" customHeight="1">
      <x:c r="A4015" s="10" t="n">
        <x:v>5425</x:v>
      </x:c>
      <x:c r="B4015" s="2" t="str">
        <x:v>a024c0779d6ec3088660</x:v>
      </x:c>
      <x:c r="C4015" s="2" t="str">
        <x:v>Hà Nội</x:v>
      </x:c>
      <x:c r="D4015" s="2" t="str">
        <x:v>Quận Hà Đông</x:v>
      </x:c>
      <x:c r="E4015" s="2" t="str">
        <x:v>house</x:v>
      </x:c>
      <x:c r="F4015" s="2" t="str">
        <x:v>sale_assumed</x:v>
      </x:c>
      <x:c r="G4015" s="11" t="n">
        <x:v>34</x:v>
      </x:c>
      <x:c r="H4015" s="12" t="n">
        <x:v>3250000000</x:v>
      </x:c>
      <x:c r="I4015" s="12" t="n">
        <x:v>95588235.29411764</x:v>
      </x:c>
      <x:c r="J4015" s="2" t="str">
        <x:v>total</x:v>
      </x:c>
      <x:c r="K4015" s="2" t="str">
        <x:v>top_level_area</x:v>
      </x:c>
      <x:c r="L4015" s="2" t="str">
        <x:v>property_type_inferred_from_title;transaction_assumed_sale_from_dataset_context</x:v>
      </x:c>
      <x:c r="M4015" s="10" t="n">
        <x:v>0</x:v>
      </x:c>
      <x:c r="N4015" s="10" t="n">
        <x:v>0</x:v>
      </x:c>
      <x:c r="O4015" s="2" t="str">
        <x:v>Hà Nội|house</x:v>
      </x:c>
      <x:c r="P4015" s="10" t="n">
        <x:v>2</x:v>
      </x:c>
      <x:c r="Q4015" s="13" t="n">
        <x:f>IF(H4015="","",H4015/1000000000)</x:f>
        <x:v>3.25</x:v>
      </x:c>
      <x:c r="R4015" s="13" t="n">
        <x:f>IF(I4015="","",I4015/1000000)</x:f>
        <x:v>95.58823529411764</x:v>
      </x:c>
    </x:row>
    <x:row r="4016" ht="21" customHeight="1">
      <x:c r="A4016" s="10" t="n">
        <x:v>5426</x:v>
      </x:c>
      <x:c r="B4016" s="2" t="str">
        <x:v>3477f69ffeb0336dde5f</x:v>
      </x:c>
      <x:c r="C4016" s="2" t="str">
        <x:v>Tp Hồ Chí Minh</x:v>
      </x:c>
      <x:c r="D4016" s="2" t="str">
        <x:v>Quận 3</x:v>
      </x:c>
      <x:c r="E4016" s="2" t="str">
        <x:v>house</x:v>
      </x:c>
      <x:c r="F4016" s="2" t="str">
        <x:v>sale</x:v>
      </x:c>
      <x:c r="G4016" s="11" t="n">
        <x:v>95</x:v>
      </x:c>
      <x:c r="H4016" s="12" t="n">
        <x:v>5700000000</x:v>
      </x:c>
      <x:c r="I4016" s="12" t="n">
        <x:v>60000000</x:v>
      </x:c>
      <x:c r="J4016" s="2" t="str">
        <x:v>total</x:v>
      </x:c>
      <x:c r="K4016" s="2" t="str">
        <x:v>top_level_area</x:v>
      </x:c>
      <x:c r="L4016" s="2" t="str">
        <x:v>property_type_inferred_from_title</x:v>
      </x:c>
      <x:c r="M4016" s="10" t="n">
        <x:v>0</x:v>
      </x:c>
      <x:c r="N4016" s="10" t="n">
        <x:v>0</x:v>
      </x:c>
      <x:c r="O4016" s="2" t="str">
        <x:v>Tp Hồ Chí Minh|house</x:v>
      </x:c>
      <x:c r="P4016" s="10" t="n">
        <x:v>2</x:v>
      </x:c>
      <x:c r="Q4016" s="13" t="n">
        <x:f>IF(H4016="","",H4016/1000000000)</x:f>
        <x:v>5.7</x:v>
      </x:c>
      <x:c r="R4016" s="13" t="n">
        <x:f>IF(I4016="","",I4016/1000000)</x:f>
        <x:v>60</x:v>
      </x:c>
    </x:row>
    <x:row r="4017" ht="21" customHeight="1">
      <x:c r="A4017" s="10" t="n">
        <x:v>5427</x:v>
      </x:c>
      <x:c r="B4017" s="2" t="str">
        <x:v>5a52bcc15f20702ff7c0</x:v>
      </x:c>
      <x:c r="C4017" s="2" t="str">
        <x:v>Tp Hồ Chí Minh</x:v>
      </x:c>
      <x:c r="D4017" s="2" t="str">
        <x:v>Quận 6</x:v>
      </x:c>
      <x:c r="E4017" s="2" t="str">
        <x:v>other_unknown</x:v>
      </x:c>
      <x:c r="F4017" s="2" t="str">
        <x:v>sale_assumed</x:v>
      </x:c>
      <x:c r="G4017" s="11" t="n">
        <x:v>70</x:v>
      </x:c>
      <x:c r="H4017" s="12" t="n">
        <x:v>4200000000</x:v>
      </x:c>
      <x:c r="I4017" s="12" t="n">
        <x:v>60000000</x:v>
      </x:c>
      <x:c r="J4017" s="2" t="str">
        <x:v>total</x:v>
      </x:c>
      <x:c r="K4017" s="2" t="str">
        <x:v>top_level_area</x:v>
      </x:c>
      <x:c r="L4017" s="2" t="str">
        <x:v>property_type_inferred_from_title;transaction_assumed_sale_from_dataset_context;unknown_property_type</x:v>
      </x:c>
      <x:c r="M4017" s="10" t="n">
        <x:v>0</x:v>
      </x:c>
      <x:c r="N4017" s="10" t="n">
        <x:v>0</x:v>
      </x:c>
      <x:c r="O4017" s="2" t="str">
        <x:v>Tp Hồ Chí Minh|other_unknown</x:v>
      </x:c>
      <x:c r="P4017" s="10" t="n">
        <x:v>2</x:v>
      </x:c>
      <x:c r="Q4017" s="13" t="n">
        <x:f>IF(H4017="","",H4017/1000000000)</x:f>
        <x:v>4.2</x:v>
      </x:c>
      <x:c r="R4017" s="13" t="n">
        <x:f>IF(I4017="","",I4017/1000000)</x:f>
        <x:v>60</x:v>
      </x:c>
    </x:row>
    <x:row r="4018" ht="21" customHeight="1">
      <x:c r="A4018" s="10" t="n">
        <x:v>5428</x:v>
      </x:c>
      <x:c r="B4018" s="2" t="str">
        <x:v>8ab7f04f35469ca77f28</x:v>
      </x:c>
      <x:c r="C4018" s="2" t="str">
        <x:v>Tp Hồ Chí Minh</x:v>
      </x:c>
      <x:c r="D4018" s="2" t="str">
        <x:v>Quận Phú Nhuận</x:v>
      </x:c>
      <x:c r="E4018" s="2" t="str">
        <x:v>house</x:v>
      </x:c>
      <x:c r="F4018" s="2" t="str">
        <x:v>sale</x:v>
      </x:c>
      <x:c r="G4018" s="11" t="n">
        <x:v>94</x:v>
      </x:c>
      <x:c r="H4018" s="12" t="n">
        <x:v>21000000000</x:v>
      </x:c>
      <x:c r="I4018" s="12" t="n">
        <x:v>223404255.31914893</x:v>
      </x:c>
      <x:c r="J4018" s="2" t="str">
        <x:v>total</x:v>
      </x:c>
      <x:c r="K4018" s="2" t="str">
        <x:v>top_level_area</x:v>
      </x:c>
      <x:c r="L4018" s="2" t="str">
        <x:v>property_type_inferred_from_title</x:v>
      </x:c>
      <x:c r="M4018" s="10" t="n">
        <x:v>1</x:v>
      </x:c>
      <x:c r="N4018" s="10" t="n">
        <x:v>1</x:v>
      </x:c>
      <x:c r="O4018" s="2" t="str">
        <x:v>Tp Hồ Chí Minh|house</x:v>
      </x:c>
      <x:c r="P4018" s="10" t="n">
        <x:v>-1</x:v>
      </x:c>
      <x:c r="Q4018" s="13" t="n">
        <x:f>IF(H4018="","",H4018/1000000000)</x:f>
        <x:v>21</x:v>
      </x:c>
      <x:c r="R4018" s="13" t="n">
        <x:f>IF(I4018="","",I4018/1000000)</x:f>
        <x:v>223.40425531914892</x:v>
      </x:c>
    </x:row>
    <x:row r="4019" ht="21" customHeight="1">
      <x:c r="A4019" s="10" t="n">
        <x:v>5429</x:v>
      </x:c>
      <x:c r="B4019" s="2" t="str">
        <x:v>14b699856b8cc2ba8e2a</x:v>
      </x:c>
      <x:c r="C4019" s="2" t="str">
        <x:v>Bến Tre</x:v>
      </x:c>
      <x:c r="D4019" s="2" t="str">
        <x:v>Thành phố Bến Tre</x:v>
      </x:c>
      <x:c r="E4019" s="2" t="str">
        <x:v>land</x:v>
      </x:c>
      <x:c r="F4019" s="2" t="str">
        <x:v>sale_assumed</x:v>
      </x:c>
      <x:c r="G4019" s="11" t="n">
        <x:v>108</x:v>
      </x:c>
      <x:c r="H4019" s="12" t="n">
        <x:v>369000000</x:v>
      </x:c>
      <x:c r="I4019" s="12" t="n">
        <x:v>3416666.6666666665</x:v>
      </x:c>
      <x:c r="J4019" s="2" t="str">
        <x:v>total</x:v>
      </x:c>
      <x:c r="K4019" s="2" t="str">
        <x:v>top_level_area</x:v>
      </x:c>
      <x:c r="L4019" s="2" t="str">
        <x:v>property_type_inferred_from_title;transaction_assumed_sale_from_dataset_context</x:v>
      </x:c>
      <x:c r="M4019" s="10" t="n">
        <x:v>0</x:v>
      </x:c>
      <x:c r="N4019" s="10" t="n">
        <x:v>0</x:v>
      </x:c>
      <x:c r="O4019" s="2" t="str">
        <x:v>Bến Tre|land</x:v>
      </x:c>
      <x:c r="P4019" s="10" t="n">
        <x:v>2</x:v>
      </x:c>
      <x:c r="Q4019" s="13" t="n">
        <x:f>IF(H4019="","",H4019/1000000000)</x:f>
        <x:v>0.369</x:v>
      </x:c>
      <x:c r="R4019" s="13" t="n">
        <x:f>IF(I4019="","",I4019/1000000)</x:f>
        <x:v>3.4166666666666665</x:v>
      </x:c>
    </x:row>
    <x:row r="4020" ht="21" customHeight="1">
      <x:c r="A4020" s="10" t="n">
        <x:v>5430</x:v>
      </x:c>
      <x:c r="B4020" s="2" t="str">
        <x:v>2f10051b1318774d77d1</x:v>
      </x:c>
      <x:c r="C4020" s="2" t="str">
        <x:v>Đắk Lắk</x:v>
      </x:c>
      <x:c r="D4020" s="2" t="str">
        <x:v>Huyện Cư M'gar</x:v>
      </x:c>
      <x:c r="E4020" s="2" t="str">
        <x:v>land</x:v>
      </x:c>
      <x:c r="F4020" s="2" t="str">
        <x:v>sale_assumed</x:v>
      </x:c>
      <x:c r="G4020" s="11" t="n">
        <x:v>125</x:v>
      </x:c>
      <x:c r="H4020" s="12" t="n">
        <x:v>150000000</x:v>
      </x:c>
      <x:c r="I4020" s="12" t="n">
        <x:v>1200000</x:v>
      </x:c>
      <x:c r="J4020" s="2" t="str">
        <x:v>total</x:v>
      </x:c>
      <x:c r="K4020" s="2" t="str">
        <x:v>top_level_area</x:v>
      </x:c>
      <x:c r="L4020" s="2" t="str">
        <x:v>property_type_inferred_from_title;transaction_assumed_sale_from_dataset_context</x:v>
      </x:c>
      <x:c r="M4020" s="10" t="n">
        <x:v>0</x:v>
      </x:c>
      <x:c r="N4020" s="10" t="n">
        <x:v>0</x:v>
      </x:c>
      <x:c r="O4020" s="2" t="str">
        <x:v>Đắk Lắk|land</x:v>
      </x:c>
      <x:c r="P4020" s="10" t="n">
        <x:v>1</x:v>
      </x:c>
      <x:c r="Q4020" s="13" t="n">
        <x:f>IF(H4020="","",H4020/1000000000)</x:f>
        <x:v>0.15</x:v>
      </x:c>
      <x:c r="R4020" s="13" t="n">
        <x:f>IF(I4020="","",I4020/1000000)</x:f>
        <x:v>1.2</x:v>
      </x:c>
    </x:row>
    <x:row r="4021" ht="21" customHeight="1">
      <x:c r="A4021" s="10" t="n">
        <x:v>5431</x:v>
      </x:c>
      <x:c r="B4021" s="2" t="str">
        <x:v>d7494a80a4e7b26fb88d</x:v>
      </x:c>
      <x:c r="C4021" s="2" t="str">
        <x:v>Kiên Giang</x:v>
      </x:c>
      <x:c r="D4021" s="2" t="str">
        <x:v>Huyện Phú Quốc</x:v>
      </x:c>
      <x:c r="E4021" s="2" t="str">
        <x:v>house</x:v>
      </x:c>
      <x:c r="F4021" s="2" t="str">
        <x:v>sale_assumed</x:v>
      </x:c>
      <x:c r="G4021" s="11" t="n">
        <x:v>287</x:v>
      </x:c>
      <x:c r="H4021" s="12" t="n">
        <x:v>7000000000</x:v>
      </x:c>
      <x:c r="I4021" s="12" t="n">
        <x:v>24390243.902439024</x:v>
      </x:c>
      <x:c r="J4021" s="2" t="str">
        <x:v>total</x:v>
      </x:c>
      <x:c r="K4021" s="2" t="str">
        <x:v>top_level_area</x:v>
      </x:c>
      <x:c r="L4021" s="2" t="str">
        <x:v>property_type_inferred_from_title;transaction_assumed_sale_from_dataset_context</x:v>
      </x:c>
      <x:c r="M4021" s="10" t="n">
        <x:v>0</x:v>
      </x:c>
      <x:c r="N4021" s="10" t="n">
        <x:v>0</x:v>
      </x:c>
      <x:c r="O4021" s="2" t="str">
        <x:v>house</x:v>
      </x:c>
      <x:c r="P4021" s="10" t="n">
        <x:v>2</x:v>
      </x:c>
      <x:c r="Q4021" s="13" t="n">
        <x:f>IF(H4021="","",H4021/1000000000)</x:f>
        <x:v>7</x:v>
      </x:c>
      <x:c r="R4021" s="13" t="n">
        <x:f>IF(I4021="","",I4021/1000000)</x:f>
        <x:v>24.390243902439025</x:v>
      </x:c>
    </x:row>
    <x:row r="4022" ht="21" customHeight="1">
      <x:c r="A4022" s="10" t="n">
        <x:v>5432</x:v>
      </x:c>
      <x:c r="B4022" s="2" t="str">
        <x:v>5d25493b2e343f2d87a7</x:v>
      </x:c>
      <x:c r="C4022" s="2" t="str">
        <x:v>Hà Nội</x:v>
      </x:c>
      <x:c r="D4022" s="2" t="str">
        <x:v>Quận Hai Bà Trưng</x:v>
      </x:c>
      <x:c r="E4022" s="2" t="str">
        <x:v>other_unknown</x:v>
      </x:c>
      <x:c r="F4022" s="2" t="str">
        <x:v>sale</x:v>
      </x:c>
      <x:c r="G4022" s="11" t="n">
        <x:v>38</x:v>
      </x:c>
      <x:c r="H4022" s="12" t="n">
        <x:v>3000000000</x:v>
      </x:c>
      <x:c r="I4022" s="12" t="n">
        <x:v>78947368.42105263</x:v>
      </x:c>
      <x:c r="J4022" s="2" t="str">
        <x:v>total</x:v>
      </x:c>
      <x:c r="K4022" s="2" t="str">
        <x:v>top_level_area</x:v>
      </x:c>
      <x:c r="L4022" s="2" t="str">
        <x:v>property_type_inferred_from_title;unknown_property_type</x:v>
      </x:c>
      <x:c r="M4022" s="10" t="n">
        <x:v>0</x:v>
      </x:c>
      <x:c r="N4022" s="10" t="n">
        <x:v>0</x:v>
      </x:c>
      <x:c r="O4022" s="2" t="str">
        <x:v>Hà Nội|other_unknown</x:v>
      </x:c>
      <x:c r="P4022" s="10" t="n">
        <x:v>2</x:v>
      </x:c>
      <x:c r="Q4022" s="13" t="n">
        <x:f>IF(H4022="","",H4022/1000000000)</x:f>
        <x:v>3</x:v>
      </x:c>
      <x:c r="R4022" s="13" t="n">
        <x:f>IF(I4022="","",I4022/1000000)</x:f>
        <x:v>78.94736842105263</x:v>
      </x:c>
    </x:row>
    <x:row r="4023" ht="21" customHeight="1">
      <x:c r="A4023" s="10" t="n">
        <x:v>5433</x:v>
      </x:c>
      <x:c r="B4023" s="2" t="str">
        <x:v>8cf38cbaa3c80240ef54</x:v>
      </x:c>
      <x:c r="C4023" s="2" t="str">
        <x:v>Hà Nội</x:v>
      </x:c>
      <x:c r="D4023" s="2" t="str">
        <x:v>Quận Hoàng Mai</x:v>
      </x:c>
      <x:c r="E4023" s="2" t="str">
        <x:v>other_unknown</x:v>
      </x:c>
      <x:c r="F4023" s="2" t="str">
        <x:v>sale_assumed</x:v>
      </x:c>
      <x:c r="G4023" s="11" t="n">
        <x:v>28</x:v>
      </x:c>
      <x:c r="H4023" s="12" t="n">
        <x:v>2550000000</x:v>
      </x:c>
      <x:c r="I4023" s="12" t="n">
        <x:v>91071428.57142857</x:v>
      </x:c>
      <x:c r="J4023" s="2" t="str">
        <x:v>total</x:v>
      </x:c>
      <x:c r="K4023" s="2" t="str">
        <x:v>top_level_area</x:v>
      </x:c>
      <x:c r="L4023" s="2" t="str">
        <x:v>property_type_inferred_from_title;transaction_assumed_sale_from_dataset_context;unknown_property_type</x:v>
      </x:c>
      <x:c r="M4023" s="10" t="n">
        <x:v>0</x:v>
      </x:c>
      <x:c r="N4023" s="10" t="n">
        <x:v>0</x:v>
      </x:c>
      <x:c r="O4023" s="2" t="str">
        <x:v>Hà Nội|other_unknown</x:v>
      </x:c>
      <x:c r="P4023" s="10" t="n">
        <x:v>2</x:v>
      </x:c>
      <x:c r="Q4023" s="13" t="n">
        <x:f>IF(H4023="","",H4023/1000000000)</x:f>
        <x:v>2.55</x:v>
      </x:c>
      <x:c r="R4023" s="13" t="n">
        <x:f>IF(I4023="","",I4023/1000000)</x:f>
        <x:v>91.07142857142857</x:v>
      </x:c>
    </x:row>
    <x:row r="4024" ht="21" customHeight="1">
      <x:c r="A4024" s="10" t="n">
        <x:v>5434</x:v>
      </x:c>
      <x:c r="B4024" s="2" t="str">
        <x:v>120586677126a4ba1421</x:v>
      </x:c>
      <x:c r="C4024" s="2" t="str">
        <x:v>Hà Nội</x:v>
      </x:c>
      <x:c r="D4024" s="2" t="str">
        <x:v>Quận Long Biên</x:v>
      </x:c>
      <x:c r="E4024" s="2" t="str">
        <x:v>house</x:v>
      </x:c>
      <x:c r="F4024" s="2" t="str">
        <x:v>sale_assumed</x:v>
      </x:c>
      <x:c r="G4024" s="11" t="n">
        <x:v>30</x:v>
      </x:c>
      <x:c r="H4024" s="12" t="n">
        <x:v>1600000000</x:v>
      </x:c>
      <x:c r="I4024" s="12" t="n">
        <x:v>53333333.333333336</x:v>
      </x:c>
      <x:c r="J4024" s="2" t="str">
        <x:v>total</x:v>
      </x:c>
      <x:c r="K4024" s="2" t="str">
        <x:v>top_level_area</x:v>
      </x:c>
      <x:c r="L4024" s="2" t="str">
        <x:v>property_type_inferred_from_title;transaction_assumed_sale_from_dataset_context</x:v>
      </x:c>
      <x:c r="M4024" s="10" t="n">
        <x:v>0</x:v>
      </x:c>
      <x:c r="N4024" s="10" t="n">
        <x:v>0</x:v>
      </x:c>
      <x:c r="O4024" s="2" t="str">
        <x:v>Hà Nội|house</x:v>
      </x:c>
      <x:c r="P4024" s="10" t="n">
        <x:v>2</x:v>
      </x:c>
      <x:c r="Q4024" s="13" t="n">
        <x:f>IF(H4024="","",H4024/1000000000)</x:f>
        <x:v>1.6</x:v>
      </x:c>
      <x:c r="R4024" s="13" t="n">
        <x:f>IF(I4024="","",I4024/1000000)</x:f>
        <x:v>53.333333333333336</x:v>
      </x:c>
    </x:row>
    <x:row r="4025" ht="21" customHeight="1">
      <x:c r="A4025" s="10" t="n">
        <x:v>5435</x:v>
      </x:c>
      <x:c r="B4025" s="2" t="str">
        <x:v>fda3a8cb700d85bd1915</x:v>
      </x:c>
      <x:c r="C4025" s="2" t="str">
        <x:v>Đà Nẵng</x:v>
      </x:c>
      <x:c r="D4025" s="2" t="str">
        <x:v>Quận Liên Chiểu</x:v>
      </x:c>
      <x:c r="E4025" s="2" t="str">
        <x:v>other_unknown</x:v>
      </x:c>
      <x:c r="F4025" s="2" t="str">
        <x:v>sale_assumed</x:v>
      </x:c>
      <x:c r="G4025" s="11" t="n">
        <x:v>70.52</x:v>
      </x:c>
      <x:c r="H4025" s="12" t="n">
        <x:v>1350000000</x:v>
      </x:c>
      <x:c r="I4025" s="12" t="n">
        <x:v>19143505.388542257</x:v>
      </x:c>
      <x:c r="J4025" s="2" t="str">
        <x:v>total</x:v>
      </x:c>
      <x:c r="K4025" s="2" t="str">
        <x:v>top_level_area</x:v>
      </x:c>
      <x:c r="L4025" s="2" t="str">
        <x:v>property_type_inferred_from_title;transaction_assumed_sale_from_dataset_context;unknown_property_type</x:v>
      </x:c>
      <x:c r="M4025" s="10" t="n">
        <x:v>0</x:v>
      </x:c>
      <x:c r="N4025" s="10" t="n">
        <x:v>0</x:v>
      </x:c>
      <x:c r="O4025" s="2" t="str">
        <x:v>Đà Nẵng|other_unknown</x:v>
      </x:c>
      <x:c r="P4025" s="10" t="n">
        <x:v>2</x:v>
      </x:c>
      <x:c r="Q4025" s="13" t="n">
        <x:f>IF(H4025="","",H4025/1000000000)</x:f>
        <x:v>1.35</x:v>
      </x:c>
      <x:c r="R4025" s="13" t="n">
        <x:f>IF(I4025="","",I4025/1000000)</x:f>
        <x:v>19.143505388542255</x:v>
      </x:c>
    </x:row>
    <x:row r="4026" ht="21" customHeight="1">
      <x:c r="A4026" s="10" t="n">
        <x:v>5436</x:v>
      </x:c>
      <x:c r="B4026" s="2" t="str">
        <x:v>940587b967a3416b01eb</x:v>
      </x:c>
      <x:c r="C4026" s="2" t="str">
        <x:v>Tp Hồ Chí Minh</x:v>
      </x:c>
      <x:c r="D4026" s="2" t="str">
        <x:v>Quận 12</x:v>
      </x:c>
      <x:c r="E4026" s="2" t="str">
        <x:v>other_unknown</x:v>
      </x:c>
      <x:c r="F4026" s="2" t="str">
        <x:v>sale_assumed</x:v>
      </x:c>
      <x:c r="G4026" s="11" t="n">
        <x:v>44.39</x:v>
      </x:c>
      <x:c r="H4026" s="12" t="n">
        <x:v>2900000000</x:v>
      </x:c>
      <x:c r="I4026" s="12" t="n">
        <x:v>65330029.285875194</x:v>
      </x:c>
      <x:c r="J4026" s="2" t="str">
        <x:v>total</x:v>
      </x:c>
      <x:c r="K4026" s="2" t="str">
        <x:v>top_level_area</x:v>
      </x:c>
      <x:c r="L4026" s="2" t="str">
        <x:v>property_type_inferred_from_title;transaction_assumed_sale_from_dataset_context;unknown_property_type</x:v>
      </x:c>
      <x:c r="M4026" s="10" t="n">
        <x:v>0</x:v>
      </x:c>
      <x:c r="N4026" s="10" t="n">
        <x:v>0</x:v>
      </x:c>
      <x:c r="O4026" s="2" t="str">
        <x:v>Tp Hồ Chí Minh|other_unknown</x:v>
      </x:c>
      <x:c r="P4026" s="10" t="n">
        <x:v>2</x:v>
      </x:c>
      <x:c r="Q4026" s="13" t="n">
        <x:f>IF(H4026="","",H4026/1000000000)</x:f>
        <x:v>2.9</x:v>
      </x:c>
      <x:c r="R4026" s="13" t="n">
        <x:f>IF(I4026="","",I4026/1000000)</x:f>
        <x:v>65.3300292858752</x:v>
      </x:c>
    </x:row>
    <x:row r="4027" ht="21" customHeight="1">
      <x:c r="A4027" s="10" t="n">
        <x:v>5437</x:v>
      </x:c>
      <x:c r="B4027" s="2" t="str">
        <x:v>97adde5943ec1fd20100</x:v>
      </x:c>
      <x:c r="C4027" s="2" t="str">
        <x:v>Tp Hồ Chí Minh</x:v>
      </x:c>
      <x:c r="D4027" s="2" t="str">
        <x:v>Huyện Củ Chi</x:v>
      </x:c>
      <x:c r="E4027" s="2" t="str">
        <x:v>house</x:v>
      </x:c>
      <x:c r="F4027" s="2" t="str">
        <x:v>sale</x:v>
      </x:c>
      <x:c r="G4027" s="11" t="n">
        <x:v>250</x:v>
      </x:c>
      <x:c r="H4027" s="12" t="n">
        <x:v>2600000000</x:v>
      </x:c>
      <x:c r="I4027" s="12" t="n">
        <x:v>10400000</x:v>
      </x:c>
      <x:c r="J4027" s="2" t="str">
        <x:v>total</x:v>
      </x:c>
      <x:c r="K4027" s="2" t="str">
        <x:v>top_level_area</x:v>
      </x:c>
      <x:c r="L4027" s="2" t="str">
        <x:v>property_type_inferred_from_title</x:v>
      </x:c>
      <x:c r="M4027" s="10" t="n">
        <x:v>0</x:v>
      </x:c>
      <x:c r="N4027" s="10" t="n">
        <x:v>0</x:v>
      </x:c>
      <x:c r="O4027" s="2" t="str">
        <x:v>Tp Hồ Chí Minh|house</x:v>
      </x:c>
      <x:c r="P4027" s="10" t="n">
        <x:v>2</x:v>
      </x:c>
      <x:c r="Q4027" s="13" t="n">
        <x:f>IF(H4027="","",H4027/1000000000)</x:f>
        <x:v>2.6</x:v>
      </x:c>
      <x:c r="R4027" s="13" t="n">
        <x:f>IF(I4027="","",I4027/1000000)</x:f>
        <x:v>10.4</x:v>
      </x:c>
    </x:row>
    <x:row r="4028" ht="21" customHeight="1">
      <x:c r="A4028" s="10" t="n">
        <x:v>5438</x:v>
      </x:c>
      <x:c r="B4028" s="2" t="str">
        <x:v>65b78dcc186774a36534</x:v>
      </x:c>
      <x:c r="C4028" s="2" t="str">
        <x:v>Tp Hồ Chí Minh</x:v>
      </x:c>
      <x:c r="D4028" s="2" t="str">
        <x:v>Quận 9</x:v>
      </x:c>
      <x:c r="E4028" s="2" t="str">
        <x:v>house</x:v>
      </x:c>
      <x:c r="F4028" s="2" t="str">
        <x:v>sale_assumed</x:v>
      </x:c>
      <x:c r="G4028" s="11" t="n">
        <x:v>80</x:v>
      </x:c>
      <x:c r="H4028" s="12" t="n">
        <x:v>6000000000</x:v>
      </x:c>
      <x:c r="I4028" s="12" t="n">
        <x:v>75000000</x:v>
      </x:c>
      <x:c r="J4028" s="2" t="str">
        <x:v>total</x:v>
      </x:c>
      <x:c r="K4028" s="2" t="str">
        <x:v>top_level_area</x:v>
      </x:c>
      <x:c r="L4028" s="2" t="str">
        <x:v>property_type_inferred_from_title;transaction_assumed_sale_from_dataset_context</x:v>
      </x:c>
      <x:c r="M4028" s="10" t="n">
        <x:v>0</x:v>
      </x:c>
      <x:c r="N4028" s="10" t="n">
        <x:v>0</x:v>
      </x:c>
      <x:c r="O4028" s="2" t="str">
        <x:v>Tp Hồ Chí Minh|house</x:v>
      </x:c>
      <x:c r="P4028" s="10" t="n">
        <x:v>2</x:v>
      </x:c>
      <x:c r="Q4028" s="13" t="n">
        <x:f>IF(H4028="","",H4028/1000000000)</x:f>
        <x:v>6</x:v>
      </x:c>
      <x:c r="R4028" s="13" t="n">
        <x:f>IF(I4028="","",I4028/1000000)</x:f>
        <x:v>75</x:v>
      </x:c>
    </x:row>
    <x:row r="4029" ht="21" customHeight="1">
      <x:c r="A4029" s="10" t="n">
        <x:v>5439</x:v>
      </x:c>
      <x:c r="B4029" s="2" t="str">
        <x:v>d0757e1a5133d7012760</x:v>
      </x:c>
      <x:c r="C4029" s="2" t="str">
        <x:v>Tp Hồ Chí Minh</x:v>
      </x:c>
      <x:c r="D4029" s="2" t="str">
        <x:v>Quận Thủ Đức</x:v>
      </x:c>
      <x:c r="E4029" s="2" t="str">
        <x:v>house</x:v>
      </x:c>
      <x:c r="F4029" s="2" t="str">
        <x:v>sale</x:v>
      </x:c>
      <x:c r="G4029" s="11" t="n">
        <x:v>52</x:v>
      </x:c>
      <x:c r="H4029" s="12" t="n">
        <x:v>5350000000</x:v>
      </x:c>
      <x:c r="I4029" s="12" t="n">
        <x:v>102884615.38461539</x:v>
      </x:c>
      <x:c r="J4029" s="2" t="str">
        <x:v>total</x:v>
      </x:c>
      <x:c r="K4029" s="2" t="str">
        <x:v>top_level_area</x:v>
      </x:c>
      <x:c r="L4029" s="2" t="str">
        <x:v>property_type_inferred_from_title</x:v>
      </x:c>
      <x:c r="M4029" s="10" t="n">
        <x:v>0</x:v>
      </x:c>
      <x:c r="N4029" s="10" t="n">
        <x:v>0</x:v>
      </x:c>
      <x:c r="O4029" s="2" t="str">
        <x:v>Tp Hồ Chí Minh|house</x:v>
      </x:c>
      <x:c r="P4029" s="10" t="n">
        <x:v>2</x:v>
      </x:c>
      <x:c r="Q4029" s="13" t="n">
        <x:f>IF(H4029="","",H4029/1000000000)</x:f>
        <x:v>5.35</x:v>
      </x:c>
      <x:c r="R4029" s="13" t="n">
        <x:f>IF(I4029="","",I4029/1000000)</x:f>
        <x:v>102.88461538461539</x:v>
      </x:c>
    </x:row>
    <x:row r="4030" ht="21" customHeight="1">
      <x:c r="A4030" s="10" t="n">
        <x:v>5440</x:v>
      </x:c>
      <x:c r="B4030" s="2" t="str">
        <x:v>c561b004ff6aaa8243e4</x:v>
      </x:c>
      <x:c r="C4030" s="2" t="str">
        <x:v>Hà Nội</x:v>
      </x:c>
      <x:c r="D4030" s="2" t="str">
        <x:v>Quận Long Biên</x:v>
      </x:c>
      <x:c r="E4030" s="2" t="str">
        <x:v>house</x:v>
      </x:c>
      <x:c r="F4030" s="2" t="str">
        <x:v>sale</x:v>
      </x:c>
      <x:c r="G4030" s="11" t="n">
        <x:v>36</x:v>
      </x:c>
      <x:c r="H4030" s="12" t="n">
        <x:v>3150000000</x:v>
      </x:c>
      <x:c r="I4030" s="12" t="n">
        <x:v>87500000</x:v>
      </x:c>
      <x:c r="J4030" s="2" t="str">
        <x:v>total</x:v>
      </x:c>
      <x:c r="K4030" s="2" t="str">
        <x:v>top_level_area</x:v>
      </x:c>
      <x:c r="L4030" s="2" t="str">
        <x:v>property_type_inferred_from_title</x:v>
      </x:c>
      <x:c r="M4030" s="10" t="n">
        <x:v>0</x:v>
      </x:c>
      <x:c r="N4030" s="10" t="n">
        <x:v>0</x:v>
      </x:c>
      <x:c r="O4030" s="2" t="str">
        <x:v>Hà Nội|house</x:v>
      </x:c>
      <x:c r="P4030" s="10" t="n">
        <x:v>2</x:v>
      </x:c>
      <x:c r="Q4030" s="13" t="n">
        <x:f>IF(H4030="","",H4030/1000000000)</x:f>
        <x:v>3.15</x:v>
      </x:c>
      <x:c r="R4030" s="13" t="n">
        <x:f>IF(I4030="","",I4030/1000000)</x:f>
        <x:v>87.5</x:v>
      </x:c>
    </x:row>
    <x:row r="4031" ht="21" customHeight="1">
      <x:c r="A4031" s="10" t="n">
        <x:v>5441</x:v>
      </x:c>
      <x:c r="B4031" s="2" t="str">
        <x:v>1fd3c5a333126bba340c</x:v>
      </x:c>
      <x:c r="C4031" s="2" t="str">
        <x:v>Tp Hồ Chí Minh</x:v>
      </x:c>
      <x:c r="D4031" s="2" t="str">
        <x:v>Quận Thủ Đức</x:v>
      </x:c>
      <x:c r="E4031" s="2" t="str">
        <x:v>house</x:v>
      </x:c>
      <x:c r="F4031" s="2" t="str">
        <x:v>sale_assumed</x:v>
      </x:c>
      <x:c r="G4031" s="11" t="n">
        <x:v>80</x:v>
      </x:c>
      <x:c r="H4031" s="12" t="n">
        <x:v>7380000000</x:v>
      </x:c>
      <x:c r="I4031" s="12" t="n">
        <x:v>92250000</x:v>
      </x:c>
      <x:c r="J4031" s="2" t="str">
        <x:v>total</x:v>
      </x:c>
      <x:c r="K4031" s="2" t="str">
        <x:v>top_level_area</x:v>
      </x:c>
      <x:c r="L4031" s="2" t="str">
        <x:v>property_type_inferred_from_title;transaction_assumed_sale_from_dataset_context</x:v>
      </x:c>
      <x:c r="M4031" s="10" t="n">
        <x:v>0</x:v>
      </x:c>
      <x:c r="N4031" s="10" t="n">
        <x:v>0</x:v>
      </x:c>
      <x:c r="O4031" s="2" t="str">
        <x:v>Tp Hồ Chí Minh|house</x:v>
      </x:c>
      <x:c r="P4031" s="10" t="n">
        <x:v>2</x:v>
      </x:c>
      <x:c r="Q4031" s="13" t="n">
        <x:f>IF(H4031="","",H4031/1000000000)</x:f>
        <x:v>7.38</x:v>
      </x:c>
      <x:c r="R4031" s="13" t="n">
        <x:f>IF(I4031="","",I4031/1000000)</x:f>
        <x:v>92.25</x:v>
      </x:c>
    </x:row>
    <x:row r="4032" ht="21" customHeight="1">
      <x:c r="A4032" s="10" t="n">
        <x:v>5442</x:v>
      </x:c>
      <x:c r="B4032" s="2" t="str">
        <x:v>a1770d01992bb5cd2af1</x:v>
      </x:c>
      <x:c r="C4032" s="2" t="str">
        <x:v>Đà Nẵng</x:v>
      </x:c>
      <x:c r="D4032" s="2" t="str">
        <x:v>Quận Cẩm Lệ</x:v>
      </x:c>
      <x:c r="E4032" s="2" t="str">
        <x:v>land</x:v>
      </x:c>
      <x:c r="F4032" s="2" t="str">
        <x:v>sale_assumed</x:v>
      </x:c>
      <x:c r="G4032" s="11" t="n">
        <x:v>100</x:v>
      </x:c>
      <x:c r="H4032" s="12" t="n">
        <x:v>3350000000</x:v>
      </x:c>
      <x:c r="I4032" s="12" t="n">
        <x:v>33500000</x:v>
      </x:c>
      <x:c r="J4032" s="2" t="str">
        <x:v>total</x:v>
      </x:c>
      <x:c r="K4032" s="2" t="str">
        <x:v>top_level_area</x:v>
      </x:c>
      <x:c r="L4032" s="2" t="str">
        <x:v>property_type_inferred_from_title;transaction_assumed_sale_from_dataset_context</x:v>
      </x:c>
      <x:c r="M4032" s="10" t="n">
        <x:v>0</x:v>
      </x:c>
      <x:c r="N4032" s="10" t="n">
        <x:v>0</x:v>
      </x:c>
      <x:c r="O4032" s="2" t="str">
        <x:v>Đà Nẵng|land</x:v>
      </x:c>
      <x:c r="P4032" s="10" t="n">
        <x:v>2</x:v>
      </x:c>
      <x:c r="Q4032" s="13" t="n">
        <x:f>IF(H4032="","",H4032/1000000000)</x:f>
        <x:v>3.35</x:v>
      </x:c>
      <x:c r="R4032" s="13" t="n">
        <x:f>IF(I4032="","",I4032/1000000)</x:f>
        <x:v>33.5</x:v>
      </x:c>
    </x:row>
    <x:row r="4033" ht="21" customHeight="1">
      <x:c r="A4033" s="10" t="n">
        <x:v>5446</x:v>
      </x:c>
      <x:c r="B4033" s="2" t="str">
        <x:v>1bedf4bcbd33a2e7427a</x:v>
      </x:c>
      <x:c r="C4033" s="2" t="str">
        <x:v>Hà Nội</x:v>
      </x:c>
      <x:c r="D4033" s="2" t="str">
        <x:v>Quận Ba Đình</x:v>
      </x:c>
      <x:c r="E4033" s="2" t="str">
        <x:v>house</x:v>
      </x:c>
      <x:c r="F4033" s="2" t="str">
        <x:v>sale</x:v>
      </x:c>
      <x:c r="G4033" s="11" t="n">
        <x:v>30</x:v>
      </x:c>
      <x:c r="H4033" s="12" t="n">
        <x:v>3100000000</x:v>
      </x:c>
      <x:c r="I4033" s="12" t="n">
        <x:v>103333333.33333333</x:v>
      </x:c>
      <x:c r="J4033" s="2" t="str">
        <x:v>total</x:v>
      </x:c>
      <x:c r="K4033" s="2" t="str">
        <x:v>top_level_area</x:v>
      </x:c>
      <x:c r="L4033" s="2" t="str">
        <x:v>property_type_inferred_from_title</x:v>
      </x:c>
      <x:c r="M4033" s="10" t="n">
        <x:v>0</x:v>
      </x:c>
      <x:c r="N4033" s="10" t="n">
        <x:v>0</x:v>
      </x:c>
      <x:c r="O4033" s="2" t="str">
        <x:v>Hà Nội|house</x:v>
      </x:c>
      <x:c r="P4033" s="10" t="n">
        <x:v>2</x:v>
      </x:c>
      <x:c r="Q4033" s="13" t="n">
        <x:f>IF(H4033="","",H4033/1000000000)</x:f>
        <x:v>3.1</x:v>
      </x:c>
      <x:c r="R4033" s="13" t="n">
        <x:f>IF(I4033="","",I4033/1000000)</x:f>
        <x:v>103.33333333333333</x:v>
      </x:c>
    </x:row>
    <x:row r="4034" ht="21" customHeight="1">
      <x:c r="A4034" s="10" t="n">
        <x:v>5447</x:v>
      </x:c>
      <x:c r="B4034" s="2" t="str">
        <x:v>7d0ef10468afb9120b4a</x:v>
      </x:c>
      <x:c r="C4034" s="2" t="str">
        <x:v>Cần Thơ</x:v>
      </x:c>
      <x:c r="D4034" s="2" t="str">
        <x:v>Quận Bình Thuỷ</x:v>
      </x:c>
      <x:c r="E4034" s="2" t="str">
        <x:v>land</x:v>
      </x:c>
      <x:c r="F4034" s="2" t="str">
        <x:v>sale</x:v>
      </x:c>
      <x:c r="G4034" s="11" t="n">
        <x:v>85</x:v>
      </x:c>
      <x:c r="H4034" s="12" t="n">
        <x:v>420000000</x:v>
      </x:c>
      <x:c r="I4034" s="12" t="n">
        <x:v>4941176.470588235</x:v>
      </x:c>
      <x:c r="J4034" s="2" t="str">
        <x:v>total</x:v>
      </x:c>
      <x:c r="K4034" s="2" t="str">
        <x:v>top_level_area</x:v>
      </x:c>
      <x:c r="L4034" s="2" t="str">
        <x:v>property_type_inferred_from_title</x:v>
      </x:c>
      <x:c r="M4034" s="10" t="n">
        <x:v>0</x:v>
      </x:c>
      <x:c r="N4034" s="10" t="n">
        <x:v>0</x:v>
      </x:c>
      <x:c r="O4034" s="2" t="str">
        <x:v>Cần Thơ|land</x:v>
      </x:c>
      <x:c r="P4034" s="10" t="n">
        <x:v>2</x:v>
      </x:c>
      <x:c r="Q4034" s="13" t="n">
        <x:f>IF(H4034="","",H4034/1000000000)</x:f>
        <x:v>0.42</x:v>
      </x:c>
      <x:c r="R4034" s="13" t="n">
        <x:f>IF(I4034="","",I4034/1000000)</x:f>
        <x:v>4.9411764705882355</x:v>
      </x:c>
    </x:row>
    <x:row r="4035" ht="21" customHeight="1">
      <x:c r="A4035" s="10" t="n">
        <x:v>5448</x:v>
      </x:c>
      <x:c r="B4035" s="2" t="str">
        <x:v>9c65d24d9378624185aa</x:v>
      </x:c>
      <x:c r="C4035" s="2" t="str">
        <x:v>Vĩnh Long</x:v>
      </x:c>
      <x:c r="D4035" s="2" t="str">
        <x:v>Thành phố Vĩnh Long</x:v>
      </x:c>
      <x:c r="E4035" s="2" t="str">
        <x:v>house</x:v>
      </x:c>
      <x:c r="F4035" s="2" t="str">
        <x:v>sale_assumed</x:v>
      </x:c>
      <x:c r="G4035" s="11" t="n">
        <x:v>98</x:v>
      </x:c>
      <x:c r="H4035" s="12" t="n">
        <x:v>3800000000</x:v>
      </x:c>
      <x:c r="I4035" s="12" t="n">
        <x:v>38775510.20408163</x:v>
      </x:c>
      <x:c r="J4035" s="2" t="str">
        <x:v>total</x:v>
      </x:c>
      <x:c r="K4035" s="2" t="str">
        <x:v>top_level_area</x:v>
      </x:c>
      <x:c r="L4035" s="2" t="str">
        <x:v>property_type_inferred_from_title;transaction_assumed_sale_from_dataset_context</x:v>
      </x:c>
      <x:c r="M4035" s="10" t="n">
        <x:v>0</x:v>
      </x:c>
      <x:c r="N4035" s="10" t="n">
        <x:v>0</x:v>
      </x:c>
      <x:c r="O4035" s="2" t="str">
        <x:v>house</x:v>
      </x:c>
      <x:c r="P4035" s="10" t="n">
        <x:v>2</x:v>
      </x:c>
      <x:c r="Q4035" s="13" t="n">
        <x:f>IF(H4035="","",H4035/1000000000)</x:f>
        <x:v>3.8</x:v>
      </x:c>
      <x:c r="R4035" s="13" t="n">
        <x:f>IF(I4035="","",I4035/1000000)</x:f>
        <x:v>38.775510204081634</x:v>
      </x:c>
    </x:row>
    <x:row r="4036" ht="21" customHeight="1">
      <x:c r="A4036" s="10" t="n">
        <x:v>5449</x:v>
      </x:c>
      <x:c r="B4036" s="2" t="str">
        <x:v>db39bdae5f2ccdb28f65</x:v>
      </x:c>
      <x:c r="C4036" s="2" t="str">
        <x:v>Bình Dương</x:v>
      </x:c>
      <x:c r="D4036" s="2" t="str">
        <x:v>Thành phố Thủ Dầu Một</x:v>
      </x:c>
      <x:c r="E4036" s="2" t="str">
        <x:v>house</x:v>
      </x:c>
      <x:c r="F4036" s="2" t="str">
        <x:v>sale_assumed</x:v>
      </x:c>
      <x:c r="G4036" s="11" t="n">
        <x:v>136</x:v>
      </x:c>
      <x:c r="H4036" s="12" t="n">
        <x:v>5200000000</x:v>
      </x:c>
      <x:c r="I4036" s="12" t="n">
        <x:v>38235294.11764706</x:v>
      </x:c>
      <x:c r="J4036" s="2" t="str">
        <x:v>total</x:v>
      </x:c>
      <x:c r="K4036" s="2" t="str">
        <x:v>top_level_area</x:v>
      </x:c>
      <x:c r="L4036" s="2" t="str">
        <x:v>property_type_inferred_from_title;transaction_assumed_sale_from_dataset_context</x:v>
      </x:c>
      <x:c r="M4036" s="10" t="n">
        <x:v>0</x:v>
      </x:c>
      <x:c r="N4036" s="10" t="n">
        <x:v>0</x:v>
      </x:c>
      <x:c r="O4036" s="2" t="str">
        <x:v>Bình Dương|house</x:v>
      </x:c>
      <x:c r="P4036" s="10" t="n">
        <x:v>2</x:v>
      </x:c>
      <x:c r="Q4036" s="13" t="n">
        <x:f>IF(H4036="","",H4036/1000000000)</x:f>
        <x:v>5.2</x:v>
      </x:c>
      <x:c r="R4036" s="13" t="n">
        <x:f>IF(I4036="","",I4036/1000000)</x:f>
        <x:v>38.23529411764706</x:v>
      </x:c>
    </x:row>
    <x:row r="4037" ht="21" customHeight="1">
      <x:c r="A4037" s="10" t="n">
        <x:v>5450</x:v>
      </x:c>
      <x:c r="B4037" s="2" t="str">
        <x:v>e40d4f890be18f24701b</x:v>
      </x:c>
      <x:c r="C4037" s="2" t="str">
        <x:v>Tp Hồ Chí Minh</x:v>
      </x:c>
      <x:c r="D4037" s="2" t="str">
        <x:v>Huyện Hóc Môn</x:v>
      </x:c>
      <x:c r="E4037" s="2" t="str">
        <x:v>house</x:v>
      </x:c>
      <x:c r="F4037" s="2" t="str">
        <x:v>sale</x:v>
      </x:c>
      <x:c r="G4037" s="11" t="n">
        <x:v>76</x:v>
      </x:c>
      <x:c r="H4037" s="12" t="n">
        <x:v>5200000000</x:v>
      </x:c>
      <x:c r="I4037" s="12" t="n">
        <x:v>68421052.63157895</x:v>
      </x:c>
      <x:c r="J4037" s="2" t="str">
        <x:v>total</x:v>
      </x:c>
      <x:c r="K4037" s="2" t="str">
        <x:v>top_level_area</x:v>
      </x:c>
      <x:c r="L4037" s="2" t="str">
        <x:v>property_type_inferred_from_title</x:v>
      </x:c>
      <x:c r="M4037" s="10" t="n">
        <x:v>0</x:v>
      </x:c>
      <x:c r="N4037" s="10" t="n">
        <x:v>0</x:v>
      </x:c>
      <x:c r="O4037" s="2" t="str">
        <x:v>Tp Hồ Chí Minh|house</x:v>
      </x:c>
      <x:c r="P4037" s="10" t="n">
        <x:v>2</x:v>
      </x:c>
      <x:c r="Q4037" s="13" t="n">
        <x:f>IF(H4037="","",H4037/1000000000)</x:f>
        <x:v>5.2</x:v>
      </x:c>
      <x:c r="R4037" s="13" t="n">
        <x:f>IF(I4037="","",I4037/1000000)</x:f>
        <x:v>68.42105263157895</x:v>
      </x:c>
    </x:row>
    <x:row r="4038" ht="21" customHeight="1">
      <x:c r="A4038" s="10" t="n">
        <x:v>5451</x:v>
      </x:c>
      <x:c r="B4038" s="2" t="str">
        <x:v>931eb2a6ca222e72a28f</x:v>
      </x:c>
      <x:c r="C4038" s="2" t="str">
        <x:v>Tp Hồ Chí Minh</x:v>
      </x:c>
      <x:c r="D4038" s="2" t="str">
        <x:v>Quận Thủ Đức</x:v>
      </x:c>
      <x:c r="E4038" s="2" t="str">
        <x:v>house</x:v>
      </x:c>
      <x:c r="F4038" s="2" t="str">
        <x:v>sale_assumed</x:v>
      </x:c>
      <x:c r="G4038" s="11" t="n">
        <x:v>60</x:v>
      </x:c>
      <x:c r="H4038" s="12" t="n">
        <x:v>4579000000</x:v>
      </x:c>
      <x:c r="I4038" s="12" t="n">
        <x:v>76316666.66666667</x:v>
      </x:c>
      <x:c r="J4038" s="2" t="str">
        <x:v>total</x:v>
      </x:c>
      <x:c r="K4038" s="2" t="str">
        <x:v>top_level_area</x:v>
      </x:c>
      <x:c r="L4038" s="2" t="str">
        <x:v>property_type_inferred_from_title;transaction_assumed_sale_from_dataset_context</x:v>
      </x:c>
      <x:c r="M4038" s="10" t="n">
        <x:v>0</x:v>
      </x:c>
      <x:c r="N4038" s="10" t="n">
        <x:v>0</x:v>
      </x:c>
      <x:c r="O4038" s="2" t="str">
        <x:v>Tp Hồ Chí Minh|house</x:v>
      </x:c>
      <x:c r="P4038" s="10" t="n">
        <x:v>2</x:v>
      </x:c>
      <x:c r="Q4038" s="13" t="n">
        <x:f>IF(H4038="","",H4038/1000000000)</x:f>
        <x:v>4.579</x:v>
      </x:c>
      <x:c r="R4038" s="13" t="n">
        <x:f>IF(I4038="","",I4038/1000000)</x:f>
        <x:v>76.31666666666668</x:v>
      </x:c>
    </x:row>
    <x:row r="4039" ht="21" customHeight="1">
      <x:c r="A4039" s="10" t="n">
        <x:v>5452</x:v>
      </x:c>
      <x:c r="B4039" s="2" t="str">
        <x:v>ebcc4764c3b3f1cc2684</x:v>
      </x:c>
      <x:c r="C4039" s="2" t="str">
        <x:v>Cần Thơ</x:v>
      </x:c>
      <x:c r="D4039" s="2" t="str">
        <x:v>Quận Ninh Kiều</x:v>
      </x:c>
      <x:c r="E4039" s="2" t="str">
        <x:v>house</x:v>
      </x:c>
      <x:c r="F4039" s="2" t="str">
        <x:v>sale</x:v>
      </x:c>
      <x:c r="G4039" s="11" t="n">
        <x:v>40</x:v>
      </x:c>
      <x:c r="H4039" s="12" t="n">
        <x:v>2150000000</x:v>
      </x:c>
      <x:c r="I4039" s="12" t="n">
        <x:v>53750000</x:v>
      </x:c>
      <x:c r="J4039" s="2" t="str">
        <x:v>total</x:v>
      </x:c>
      <x:c r="K4039" s="2" t="str">
        <x:v>top_level_area</x:v>
      </x:c>
      <x:c r="L4039" s="2" t="str">
        <x:v>property_type_inferred_from_title</x:v>
      </x:c>
      <x:c r="M4039" s="10" t="n">
        <x:v>0</x:v>
      </x:c>
      <x:c r="N4039" s="10" t="n">
        <x:v>0</x:v>
      </x:c>
      <x:c r="O4039" s="2" t="str">
        <x:v>Cần Thơ|house</x:v>
      </x:c>
      <x:c r="P4039" s="10" t="n">
        <x:v>2</x:v>
      </x:c>
      <x:c r="Q4039" s="13" t="n">
        <x:f>IF(H4039="","",H4039/1000000000)</x:f>
        <x:v>2.15</x:v>
      </x:c>
      <x:c r="R4039" s="13" t="n">
        <x:f>IF(I4039="","",I4039/1000000)</x:f>
        <x:v>53.75</x:v>
      </x:c>
    </x:row>
    <x:row r="4040" ht="21" customHeight="1">
      <x:c r="A4040" s="10" t="n">
        <x:v>5453</x:v>
      </x:c>
      <x:c r="B4040" s="2" t="str">
        <x:v>6f03e74faf7371b3a6a8</x:v>
      </x:c>
      <x:c r="C4040" s="2" t="str">
        <x:v>Tp Hồ Chí Minh</x:v>
      </x:c>
      <x:c r="D4040" s="2" t="str">
        <x:v>Huyện Hóc Môn</x:v>
      </x:c>
      <x:c r="E4040" s="2" t="str">
        <x:v>house</x:v>
      </x:c>
      <x:c r="F4040" s="2" t="str">
        <x:v>sale</x:v>
      </x:c>
      <x:c r="G4040" s="11" t="n">
        <x:v>60</x:v>
      </x:c>
      <x:c r="H4040" s="12" t="n">
        <x:v>375000000</x:v>
      </x:c>
      <x:c r="I4040" s="12" t="n">
        <x:v>6250000</x:v>
      </x:c>
      <x:c r="J4040" s="2" t="str">
        <x:v>total</x:v>
      </x:c>
      <x:c r="K4040" s="2" t="str">
        <x:v>top_level_area</x:v>
      </x:c>
      <x:c r="L4040" s="2" t="str">
        <x:v>property_type_inferred_from_title</x:v>
      </x:c>
      <x:c r="M4040" s="10" t="n">
        <x:v>0</x:v>
      </x:c>
      <x:c r="N4040" s="10" t="n">
        <x:v>0</x:v>
      </x:c>
      <x:c r="O4040" s="2" t="str">
        <x:v>Tp Hồ Chí Minh|house</x:v>
      </x:c>
      <x:c r="P4040" s="10" t="n">
        <x:v>2</x:v>
      </x:c>
      <x:c r="Q4040" s="13" t="n">
        <x:f>IF(H4040="","",H4040/1000000000)</x:f>
        <x:v>0.375</x:v>
      </x:c>
      <x:c r="R4040" s="13" t="n">
        <x:f>IF(I4040="","",I4040/1000000)</x:f>
        <x:v>6.25</x:v>
      </x:c>
    </x:row>
    <x:row r="4041" ht="21" customHeight="1">
      <x:c r="A4041" s="10" t="n">
        <x:v>5454</x:v>
      </x:c>
      <x:c r="B4041" s="2" t="str">
        <x:v>fc43b6f0af9854d34e9b</x:v>
      </x:c>
      <x:c r="C4041" s="2" t="str">
        <x:v>Hà Nội</x:v>
      </x:c>
      <x:c r="D4041" s="2" t="str">
        <x:v>Quận Hai Bà Trưng</x:v>
      </x:c>
      <x:c r="E4041" s="2" t="str">
        <x:v>other_unknown</x:v>
      </x:c>
      <x:c r="F4041" s="2" t="str">
        <x:v>sale</x:v>
      </x:c>
      <x:c r="G4041" s="11" t="n">
        <x:v>40</x:v>
      </x:c>
      <x:c r="H4041" s="12" t="n">
        <x:v>3000000000</x:v>
      </x:c>
      <x:c r="I4041" s="12" t="n">
        <x:v>75000000</x:v>
      </x:c>
      <x:c r="J4041" s="2" t="str">
        <x:v>total</x:v>
      </x:c>
      <x:c r="K4041" s="2" t="str">
        <x:v>top_level_area</x:v>
      </x:c>
      <x:c r="L4041" s="2" t="str">
        <x:v>property_type_inferred_from_title;unknown_property_type</x:v>
      </x:c>
      <x:c r="M4041" s="10" t="n">
        <x:v>0</x:v>
      </x:c>
      <x:c r="N4041" s="10" t="n">
        <x:v>0</x:v>
      </x:c>
      <x:c r="O4041" s="2" t="str">
        <x:v>Hà Nội|other_unknown</x:v>
      </x:c>
      <x:c r="P4041" s="10" t="n">
        <x:v>2</x:v>
      </x:c>
      <x:c r="Q4041" s="13" t="n">
        <x:f>IF(H4041="","",H4041/1000000000)</x:f>
        <x:v>3</x:v>
      </x:c>
      <x:c r="R4041" s="13" t="n">
        <x:f>IF(I4041="","",I4041/1000000)</x:f>
        <x:v>75</x:v>
      </x:c>
    </x:row>
    <x:row r="4042" ht="21" customHeight="1">
      <x:c r="A4042" s="10" t="n">
        <x:v>5455</x:v>
      </x:c>
      <x:c r="B4042" s="2" t="str">
        <x:v>1899d6886614937bbd01</x:v>
      </x:c>
      <x:c r="C4042" s="2" t="str">
        <x:v>Hà Nội</x:v>
      </x:c>
      <x:c r="D4042" s="2" t="str">
        <x:v>Quận Đống Đa</x:v>
      </x:c>
      <x:c r="E4042" s="2" t="str">
        <x:v>other_unknown</x:v>
      </x:c>
      <x:c r="F4042" s="2" t="str">
        <x:v>sale_assumed</x:v>
      </x:c>
      <x:c r="G4042" s="11" t="n">
        <x:v>32</x:v>
      </x:c>
      <x:c r="H4042" s="12" t="n">
        <x:v>3050000000</x:v>
      </x:c>
      <x:c r="I4042" s="12" t="n">
        <x:v>95312500</x:v>
      </x:c>
      <x:c r="J4042" s="2" t="str">
        <x:v>total</x:v>
      </x:c>
      <x:c r="K4042" s="2" t="str">
        <x:v>top_level_area</x:v>
      </x:c>
      <x:c r="L4042" s="2" t="str">
        <x:v>property_type_inferred_from_title;transaction_assumed_sale_from_dataset_context;unknown_property_type</x:v>
      </x:c>
      <x:c r="M4042" s="10" t="n">
        <x:v>0</x:v>
      </x:c>
      <x:c r="N4042" s="10" t="n">
        <x:v>0</x:v>
      </x:c>
      <x:c r="O4042" s="2" t="str">
        <x:v>Hà Nội|other_unknown</x:v>
      </x:c>
      <x:c r="P4042" s="10" t="n">
        <x:v>2</x:v>
      </x:c>
      <x:c r="Q4042" s="13" t="n">
        <x:f>IF(H4042="","",H4042/1000000000)</x:f>
        <x:v>3.05</x:v>
      </x:c>
      <x:c r="R4042" s="13" t="n">
        <x:f>IF(I4042="","",I4042/1000000)</x:f>
        <x:v>95.3125</x:v>
      </x:c>
    </x:row>
    <x:row r="4043" ht="21" customHeight="1">
      <x:c r="A4043" s="10" t="n">
        <x:v>5456</x:v>
      </x:c>
      <x:c r="B4043" s="2" t="str">
        <x:v>d0f1c5ef04af14c9ae28</x:v>
      </x:c>
      <x:c r="C4043" s="2" t="str">
        <x:v>Cần Thơ</x:v>
      </x:c>
      <x:c r="D4043" s="2" t="str">
        <x:v>Quận Bình Thuỷ</x:v>
      </x:c>
      <x:c r="E4043" s="2" t="str">
        <x:v>land</x:v>
      </x:c>
      <x:c r="F4043" s="2" t="str">
        <x:v>sale</x:v>
      </x:c>
      <x:c r="G4043" s="11" t="n">
        <x:v>50</x:v>
      </x:c>
      <x:c r="H4043" s="12" t="n">
        <x:v>1850000000</x:v>
      </x:c>
      <x:c r="I4043" s="12" t="n">
        <x:v>37000000</x:v>
      </x:c>
      <x:c r="J4043" s="2" t="str">
        <x:v>total</x:v>
      </x:c>
      <x:c r="K4043" s="2" t="str">
        <x:v>top_level_area</x:v>
      </x:c>
      <x:c r="L4043" s="2" t="str">
        <x:v>property_type_inferred_from_title</x:v>
      </x:c>
      <x:c r="M4043" s="10" t="n">
        <x:v>0</x:v>
      </x:c>
      <x:c r="N4043" s="10" t="n">
        <x:v>0</x:v>
      </x:c>
      <x:c r="O4043" s="2" t="str">
        <x:v>Cần Thơ|land</x:v>
      </x:c>
      <x:c r="P4043" s="10" t="n">
        <x:v>2</x:v>
      </x:c>
      <x:c r="Q4043" s="13" t="n">
        <x:f>IF(H4043="","",H4043/1000000000)</x:f>
        <x:v>1.85</x:v>
      </x:c>
      <x:c r="R4043" s="13" t="n">
        <x:f>IF(I4043="","",I4043/1000000)</x:f>
        <x:v>37</x:v>
      </x:c>
    </x:row>
    <x:row r="4044" ht="21" customHeight="1">
      <x:c r="A4044" s="10" t="n">
        <x:v>5457</x:v>
      </x:c>
      <x:c r="B4044" s="2" t="str">
        <x:v>5db140d366087f62ce76</x:v>
      </x:c>
      <x:c r="C4044" s="2" t="str">
        <x:v>Tp Hồ Chí Minh</x:v>
      </x:c>
      <x:c r="D4044" s="2" t="str">
        <x:v>Quận Bình Tân</x:v>
      </x:c>
      <x:c r="E4044" s="2" t="str">
        <x:v>house</x:v>
      </x:c>
      <x:c r="F4044" s="2" t="str">
        <x:v>sale</x:v>
      </x:c>
      <x:c r="G4044" s="11" t="n">
        <x:v>52</x:v>
      </x:c>
      <x:c r="H4044" s="12" t="n">
        <x:v>945000000</x:v>
      </x:c>
      <x:c r="I4044" s="12" t="n">
        <x:v>18173076.923076924</x:v>
      </x:c>
      <x:c r="J4044" s="2" t="str">
        <x:v>total</x:v>
      </x:c>
      <x:c r="K4044" s="2" t="str">
        <x:v>top_level_area</x:v>
      </x:c>
      <x:c r="L4044" s="2" t="str">
        <x:v>property_type_inferred_from_title</x:v>
      </x:c>
      <x:c r="M4044" s="10" t="n">
        <x:v>0</x:v>
      </x:c>
      <x:c r="N4044" s="10" t="n">
        <x:v>0</x:v>
      </x:c>
      <x:c r="O4044" s="2" t="str">
        <x:v>Tp Hồ Chí Minh|house</x:v>
      </x:c>
      <x:c r="P4044" s="10" t="n">
        <x:v>2</x:v>
      </x:c>
      <x:c r="Q4044" s="13" t="n">
        <x:f>IF(H4044="","",H4044/1000000000)</x:f>
        <x:v>0.945</x:v>
      </x:c>
      <x:c r="R4044" s="13" t="n">
        <x:f>IF(I4044="","",I4044/1000000)</x:f>
        <x:v>18.173076923076923</x:v>
      </x:c>
    </x:row>
    <x:row r="4045" ht="21" customHeight="1">
      <x:c r="A4045" s="10" t="n">
        <x:v>5458</x:v>
      </x:c>
      <x:c r="B4045" s="2" t="str">
        <x:v>c3b97ca66604cb86d458</x:v>
      </x:c>
      <x:c r="C4045" s="2" t="str">
        <x:v>Tp Hồ Chí Minh</x:v>
      </x:c>
      <x:c r="D4045" s="2" t="str">
        <x:v>Quận Gò Vấp</x:v>
      </x:c>
      <x:c r="E4045" s="2" t="str">
        <x:v>house</x:v>
      </x:c>
      <x:c r="F4045" s="2" t="str">
        <x:v>sale_assumed</x:v>
      </x:c>
      <x:c r="G4045" s="11" t="n">
        <x:v>57</x:v>
      </x:c>
      <x:c r="H4045" s="12" t="n">
        <x:v>7000000000</x:v>
      </x:c>
      <x:c r="I4045" s="12" t="n">
        <x:v>122807017.54385965</x:v>
      </x:c>
      <x:c r="J4045" s="2" t="str">
        <x:v>total</x:v>
      </x:c>
      <x:c r="K4045" s="2" t="str">
        <x:v>top_level_area</x:v>
      </x:c>
      <x:c r="L4045" s="2" t="str">
        <x:v>property_type_inferred_from_title;transaction_assumed_sale_from_dataset_context</x:v>
      </x:c>
      <x:c r="M4045" s="10" t="n">
        <x:v>0</x:v>
      </x:c>
      <x:c r="N4045" s="10" t="n">
        <x:v>0</x:v>
      </x:c>
      <x:c r="O4045" s="2" t="str">
        <x:v>Tp Hồ Chí Minh|house</x:v>
      </x:c>
      <x:c r="P4045" s="10" t="n">
        <x:v>2</x:v>
      </x:c>
      <x:c r="Q4045" s="13" t="n">
        <x:f>IF(H4045="","",H4045/1000000000)</x:f>
        <x:v>7</x:v>
      </x:c>
      <x:c r="R4045" s="13" t="n">
        <x:f>IF(I4045="","",I4045/1000000)</x:f>
        <x:v>122.80701754385964</x:v>
      </x:c>
    </x:row>
    <x:row r="4046" ht="21" customHeight="1">
      <x:c r="A4046" s="10" t="n">
        <x:v>5459</x:v>
      </x:c>
      <x:c r="B4046" s="2" t="str">
        <x:v>010d2d1b75dd37f090b5</x:v>
      </x:c>
      <x:c r="C4046" s="2" t="str">
        <x:v>Bình Dương</x:v>
      </x:c>
      <x:c r="D4046" s="2" t="str">
        <x:v>Thị xã Dĩ An</x:v>
      </x:c>
      <x:c r="E4046" s="2" t="str">
        <x:v>land</x:v>
      </x:c>
      <x:c r="F4046" s="2" t="str">
        <x:v>sale_assumed</x:v>
      </x:c>
      <x:c r="G4046" s="11" t="n">
        <x:v>100</x:v>
      </x:c>
      <x:c r="H4046" s="12" t="n">
        <x:v>3250000000</x:v>
      </x:c>
      <x:c r="I4046" s="12" t="n">
        <x:v>32500000</x:v>
      </x:c>
      <x:c r="J4046" s="2" t="str">
        <x:v>total</x:v>
      </x:c>
      <x:c r="K4046" s="2" t="str">
        <x:v>top_level_area</x:v>
      </x:c>
      <x:c r="L4046" s="2" t="str">
        <x:v>property_type_inferred_from_title;transaction_assumed_sale_from_dataset_context</x:v>
      </x:c>
      <x:c r="M4046" s="10" t="n">
        <x:v>0</x:v>
      </x:c>
      <x:c r="N4046" s="10" t="n">
        <x:v>1</x:v>
      </x:c>
      <x:c r="O4046" s="2" t="str">
        <x:v>Bình Dương|land</x:v>
      </x:c>
      <x:c r="P4046" s="10" t="n">
        <x:v>-1</x:v>
      </x:c>
      <x:c r="Q4046" s="13" t="n">
        <x:f>IF(H4046="","",H4046/1000000000)</x:f>
        <x:v>3.25</x:v>
      </x:c>
      <x:c r="R4046" s="13" t="n">
        <x:f>IF(I4046="","",I4046/1000000)</x:f>
        <x:v>32.5</x:v>
      </x:c>
    </x:row>
    <x:row r="4047" ht="21" customHeight="1">
      <x:c r="A4047" s="10" t="n">
        <x:v>5460</x:v>
      </x:c>
      <x:c r="B4047" s="2" t="str">
        <x:v>90506d4d4e1c9d2798d3</x:v>
      </x:c>
      <x:c r="C4047" s="2" t="str">
        <x:v>Hà Nội</x:v>
      </x:c>
      <x:c r="D4047" s="2" t="str">
        <x:v>Quận Thanh Xuân</x:v>
      </x:c>
      <x:c r="E4047" s="2" t="str">
        <x:v>house</x:v>
      </x:c>
      <x:c r="F4047" s="2" t="str">
        <x:v>sale_assumed</x:v>
      </x:c>
      <x:c r="G4047" s="11" t="n">
        <x:v>36</x:v>
      </x:c>
      <x:c r="H4047" s="12" t="n">
        <x:v>3650000000</x:v>
      </x:c>
      <x:c r="I4047" s="12" t="n">
        <x:v>101388888.8888889</x:v>
      </x:c>
      <x:c r="J4047" s="2" t="str">
        <x:v>total</x:v>
      </x:c>
      <x:c r="K4047" s="2" t="str">
        <x:v>top_level_area</x:v>
      </x:c>
      <x:c r="L4047" s="2" t="str">
        <x:v>property_type_inferred_from_title;transaction_assumed_sale_from_dataset_context</x:v>
      </x:c>
      <x:c r="M4047" s="10" t="n">
        <x:v>0</x:v>
      </x:c>
      <x:c r="N4047" s="10" t="n">
        <x:v>0</x:v>
      </x:c>
      <x:c r="O4047" s="2" t="str">
        <x:v>Hà Nội|house</x:v>
      </x:c>
      <x:c r="P4047" s="10" t="n">
        <x:v>2</x:v>
      </x:c>
      <x:c r="Q4047" s="13" t="n">
        <x:f>IF(H4047="","",H4047/1000000000)</x:f>
        <x:v>3.65</x:v>
      </x:c>
      <x:c r="R4047" s="13" t="n">
        <x:f>IF(I4047="","",I4047/1000000)</x:f>
        <x:v>101.3888888888889</x:v>
      </x:c>
    </x:row>
    <x:row r="4048" ht="21" customHeight="1">
      <x:c r="A4048" s="10" t="n">
        <x:v>5461</x:v>
      </x:c>
      <x:c r="B4048" s="2" t="str">
        <x:v>15cfbf331908a390ca0c</x:v>
      </x:c>
      <x:c r="C4048" s="2" t="str">
        <x:v>Hà Nội</x:v>
      </x:c>
      <x:c r="D4048" s="2" t="str">
        <x:v>Quận Đống Đa</x:v>
      </x:c>
      <x:c r="E4048" s="2" t="str">
        <x:v>apartment</x:v>
      </x:c>
      <x:c r="F4048" s="2" t="str">
        <x:v>sale_assumed</x:v>
      </x:c>
      <x:c r="G4048" s="11" t="n">
        <x:v>50</x:v>
      </x:c>
      <x:c r="H4048" s="12" t="n">
        <x:v>780000000</x:v>
      </x:c>
      <x:c r="I4048" s="12" t="n">
        <x:v>15600000</x:v>
      </x:c>
      <x:c r="J4048" s="2" t="str">
        <x:v>total</x:v>
      </x:c>
      <x:c r="K4048" s="2" t="str">
        <x:v>top_level_area</x:v>
      </x:c>
      <x:c r="L4048" s="2" t="str">
        <x:v>property_type_inferred_from_title;transaction_assumed_sale_from_dataset_context</x:v>
      </x:c>
      <x:c r="M4048" s="10" t="n">
        <x:v>0</x:v>
      </x:c>
      <x:c r="N4048" s="10" t="n">
        <x:v>0</x:v>
      </x:c>
      <x:c r="O4048" s="2" t="str">
        <x:v>Hà Nội|apartment</x:v>
      </x:c>
      <x:c r="P4048" s="10" t="n">
        <x:v>2</x:v>
      </x:c>
      <x:c r="Q4048" s="13" t="n">
        <x:f>IF(H4048="","",H4048/1000000000)</x:f>
        <x:v>0.78</x:v>
      </x:c>
      <x:c r="R4048" s="13" t="n">
        <x:f>IF(I4048="","",I4048/1000000)</x:f>
        <x:v>15.6</x:v>
      </x:c>
    </x:row>
    <x:row r="4049" ht="21" customHeight="1">
      <x:c r="A4049" s="10" t="n">
        <x:v>5462</x:v>
      </x:c>
      <x:c r="B4049" s="2" t="str">
        <x:v>c3caaac28d9a24dde75a</x:v>
      </x:c>
      <x:c r="C4049" s="2" t="str">
        <x:v>Tp Hồ Chí Minh</x:v>
      </x:c>
      <x:c r="D4049" s="2" t="str">
        <x:v>Quận Tân Phú</x:v>
      </x:c>
      <x:c r="E4049" s="2" t="str">
        <x:v>house</x:v>
      </x:c>
      <x:c r="F4049" s="2" t="str">
        <x:v>sale</x:v>
      </x:c>
      <x:c r="G4049" s="11" t="n">
        <x:v>80</x:v>
      </x:c>
      <x:c r="H4049" s="12" t="n">
        <x:v>8800000000</x:v>
      </x:c>
      <x:c r="I4049" s="12" t="n">
        <x:v>110000000</x:v>
      </x:c>
      <x:c r="J4049" s="2" t="str">
        <x:v>total</x:v>
      </x:c>
      <x:c r="K4049" s="2" t="str">
        <x:v>top_level_area</x:v>
      </x:c>
      <x:c r="L4049" s="2" t="str">
        <x:v>property_type_inferred_from_title</x:v>
      </x:c>
      <x:c r="M4049" s="10" t="n">
        <x:v>0</x:v>
      </x:c>
      <x:c r="N4049" s="10" t="n">
        <x:v>0</x:v>
      </x:c>
      <x:c r="O4049" s="2" t="str">
        <x:v>Tp Hồ Chí Minh|house</x:v>
      </x:c>
      <x:c r="P4049" s="10" t="n">
        <x:v>2</x:v>
      </x:c>
      <x:c r="Q4049" s="13" t="n">
        <x:f>IF(H4049="","",H4049/1000000000)</x:f>
        <x:v>8.8</x:v>
      </x:c>
      <x:c r="R4049" s="13" t="n">
        <x:f>IF(I4049="","",I4049/1000000)</x:f>
        <x:v>110</x:v>
      </x:c>
    </x:row>
    <x:row r="4050" ht="21" customHeight="1">
      <x:c r="A4050" s="10" t="n">
        <x:v>5463</x:v>
      </x:c>
      <x:c r="B4050" s="2" t="str">
        <x:v>d89e0b0d2ae57c3a18dd</x:v>
      </x:c>
      <x:c r="C4050" s="2" t="str">
        <x:v>Tp Hồ Chí Minh</x:v>
      </x:c>
      <x:c r="D4050" s="2" t="str">
        <x:v>Quận Bình Tân</x:v>
      </x:c>
      <x:c r="E4050" s="2" t="str">
        <x:v>house</x:v>
      </x:c>
      <x:c r="F4050" s="2" t="str">
        <x:v>sale</x:v>
      </x:c>
      <x:c r="G4050" s="11" t="n">
        <x:v>52</x:v>
      </x:c>
      <x:c r="H4050" s="12" t="n">
        <x:v>3700000000</x:v>
      </x:c>
      <x:c r="I4050" s="12" t="n">
        <x:v>71153846.15384616</x:v>
      </x:c>
      <x:c r="J4050" s="2" t="str">
        <x:v>total</x:v>
      </x:c>
      <x:c r="K4050" s="2" t="str">
        <x:v>top_level_area</x:v>
      </x:c>
      <x:c r="L4050" s="2" t="str">
        <x:v>property_type_inferred_from_title</x:v>
      </x:c>
      <x:c r="M4050" s="10" t="n">
        <x:v>0</x:v>
      </x:c>
      <x:c r="N4050" s="10" t="n">
        <x:v>0</x:v>
      </x:c>
      <x:c r="O4050" s="2" t="str">
        <x:v>Tp Hồ Chí Minh|house</x:v>
      </x:c>
      <x:c r="P4050" s="10" t="n">
        <x:v>2</x:v>
      </x:c>
      <x:c r="Q4050" s="13" t="n">
        <x:f>IF(H4050="","",H4050/1000000000)</x:f>
        <x:v>3.7</x:v>
      </x:c>
      <x:c r="R4050" s="13" t="n">
        <x:f>IF(I4050="","",I4050/1000000)</x:f>
        <x:v>71.15384615384616</x:v>
      </x:c>
    </x:row>
    <x:row r="4051" ht="21" customHeight="1">
      <x:c r="A4051" s="10" t="n">
        <x:v>5464</x:v>
      </x:c>
      <x:c r="B4051" s="2" t="str">
        <x:v>63763cddf60ce87007f2</x:v>
      </x:c>
      <x:c r="C4051" s="2" t="str">
        <x:v>Long An</x:v>
      </x:c>
      <x:c r="D4051" s="2" t="str">
        <x:v>Huyện Đức Hòa</x:v>
      </x:c>
      <x:c r="E4051" s="2" t="str">
        <x:v>land</x:v>
      </x:c>
      <x:c r="F4051" s="2" t="str">
        <x:v>sale_assumed</x:v>
      </x:c>
      <x:c r="G4051" s="11" t="n">
        <x:v>250</x:v>
      </x:c>
      <x:c r="H4051" s="12" t="n">
        <x:v>3100000000</x:v>
      </x:c>
      <x:c r="I4051" s="12" t="n">
        <x:v>12400000</x:v>
      </x:c>
      <x:c r="J4051" s="2" t="str">
        <x:v>total</x:v>
      </x:c>
      <x:c r="K4051" s="2" t="str">
        <x:v>top_level_price_embedded_area</x:v>
      </x:c>
      <x:c r="L4051" s="2" t="str">
        <x:v>area_recovered_from_price_text;property_type_inferred_from_title;transaction_assumed_sale_from_dataset_context</x:v>
      </x:c>
      <x:c r="M4051" s="10" t="n">
        <x:v>0</x:v>
      </x:c>
      <x:c r="N4051" s="10" t="n">
        <x:v>0</x:v>
      </x:c>
      <x:c r="O4051" s="2" t="str">
        <x:v>Long An|land</x:v>
      </x:c>
      <x:c r="P4051" s="10" t="n">
        <x:v>2</x:v>
      </x:c>
      <x:c r="Q4051" s="13" t="n">
        <x:f>IF(H4051="","",H4051/1000000000)</x:f>
        <x:v>3.1</x:v>
      </x:c>
      <x:c r="R4051" s="13" t="n">
        <x:f>IF(I4051="","",I4051/1000000)</x:f>
        <x:v>12.4</x:v>
      </x:c>
    </x:row>
    <x:row r="4052" ht="21" customHeight="1">
      <x:c r="A4052" s="10" t="n">
        <x:v>5465</x:v>
      </x:c>
      <x:c r="B4052" s="2" t="str">
        <x:v>9b852b49d7241484228e</x:v>
      </x:c>
      <x:c r="C4052" s="2" t="str">
        <x:v>Bà Rịa - Vũng Tàu</x:v>
      </x:c>
      <x:c r="D4052" s="2" t="str">
        <x:v>Thị xã Phú Mỹ</x:v>
      </x:c>
      <x:c r="E4052" s="2" t="str">
        <x:v>land</x:v>
      </x:c>
      <x:c r="F4052" s="2" t="str">
        <x:v>sale</x:v>
      </x:c>
      <x:c r="G4052" s="11" t="n">
        <x:v>175</x:v>
      </x:c>
      <x:c r="H4052" s="12" t="n">
        <x:v>750000000</x:v>
      </x:c>
      <x:c r="I4052" s="12" t="n">
        <x:v>4285714.285714285</x:v>
      </x:c>
      <x:c r="J4052" s="2" t="str">
        <x:v>total</x:v>
      </x:c>
      <x:c r="K4052" s="2" t="str">
        <x:v>top_level_area</x:v>
      </x:c>
      <x:c r="L4052" s="2" t="str">
        <x:v>property_type_inferred_from_title</x:v>
      </x:c>
      <x:c r="M4052" s="10" t="n">
        <x:v>0</x:v>
      </x:c>
      <x:c r="N4052" s="10" t="n">
        <x:v>0</x:v>
      </x:c>
      <x:c r="O4052" s="2" t="str">
        <x:v>Bà Rịa - Vũng Tàu|land</x:v>
      </x:c>
      <x:c r="P4052" s="10" t="n">
        <x:v>1</x:v>
      </x:c>
      <x:c r="Q4052" s="13" t="n">
        <x:f>IF(H4052="","",H4052/1000000000)</x:f>
        <x:v>0.75</x:v>
      </x:c>
      <x:c r="R4052" s="13" t="n">
        <x:f>IF(I4052="","",I4052/1000000)</x:f>
        <x:v>4.285714285714286</x:v>
      </x:c>
    </x:row>
    <x:row r="4053" ht="21" customHeight="1">
      <x:c r="A4053" s="10" t="n">
        <x:v>5469</x:v>
      </x:c>
      <x:c r="B4053" s="2" t="str">
        <x:v>99b7dcfbdae36c710a4b</x:v>
      </x:c>
      <x:c r="C4053" s="2" t="str">
        <x:v>Tp Hồ Chí Minh</x:v>
      </x:c>
      <x:c r="D4053" s="2" t="str">
        <x:v>Quận 8</x:v>
      </x:c>
      <x:c r="E4053" s="2" t="str">
        <x:v>house</x:v>
      </x:c>
      <x:c r="F4053" s="2" t="str">
        <x:v>sale_assumed</x:v>
      </x:c>
      <x:c r="G4053" s="11" t="n">
        <x:v>49</x:v>
      </x:c>
      <x:c r="H4053" s="12" t="n">
        <x:v>5650000000</x:v>
      </x:c>
      <x:c r="I4053" s="12" t="n">
        <x:v>115306122.44897959</x:v>
      </x:c>
      <x:c r="J4053" s="2" t="str">
        <x:v>total</x:v>
      </x:c>
      <x:c r="K4053" s="2" t="str">
        <x:v>top_level_area</x:v>
      </x:c>
      <x:c r="L4053" s="2" t="str">
        <x:v>property_type_inferred_from_title;transaction_assumed_sale_from_dataset_context</x:v>
      </x:c>
      <x:c r="M4053" s="10" t="n">
        <x:v>0</x:v>
      </x:c>
      <x:c r="N4053" s="10" t="n">
        <x:v>0</x:v>
      </x:c>
      <x:c r="O4053" s="2" t="str">
        <x:v>Tp Hồ Chí Minh|house</x:v>
      </x:c>
      <x:c r="P4053" s="10" t="n">
        <x:v>2</x:v>
      </x:c>
      <x:c r="Q4053" s="13" t="n">
        <x:f>IF(H4053="","",H4053/1000000000)</x:f>
        <x:v>5.65</x:v>
      </x:c>
      <x:c r="R4053" s="13" t="n">
        <x:f>IF(I4053="","",I4053/1000000)</x:f>
        <x:v>115.3061224489796</x:v>
      </x:c>
    </x:row>
    <x:row r="4054" ht="21" customHeight="1">
      <x:c r="A4054" s="10" t="n">
        <x:v>5470</x:v>
      </x:c>
      <x:c r="B4054" s="2" t="str">
        <x:v>9edc3fb64915866f2665</x:v>
      </x:c>
      <x:c r="C4054" s="2" t="str">
        <x:v>Đắk Lắk</x:v>
      </x:c>
      <x:c r="D4054" s="2" t="str">
        <x:v>Thành phố Buôn Ma Thuột</x:v>
      </x:c>
      <x:c r="E4054" s="2" t="str">
        <x:v>house</x:v>
      </x:c>
      <x:c r="F4054" s="2" t="str">
        <x:v>sale_assumed</x:v>
      </x:c>
      <x:c r="G4054" s="11" t="n">
        <x:v>115</x:v>
      </x:c>
      <x:c r="H4054" s="12" t="n">
        <x:v>1780000000</x:v>
      </x:c>
      <x:c r="I4054" s="12" t="n">
        <x:v>15478260.869565217</x:v>
      </x:c>
      <x:c r="J4054" s="2" t="str">
        <x:v>total</x:v>
      </x:c>
      <x:c r="K4054" s="2" t="str">
        <x:v>top_level_area</x:v>
      </x:c>
      <x:c r="L4054" s="2" t="str">
        <x:v>property_type_inferred_from_title;transaction_assumed_sale_from_dataset_context</x:v>
      </x:c>
      <x:c r="M4054" s="10" t="n">
        <x:v>0</x:v>
      </x:c>
      <x:c r="N4054" s="10" t="n">
        <x:v>0</x:v>
      </x:c>
      <x:c r="O4054" s="2" t="str">
        <x:v>Đắk Lắk|house</x:v>
      </x:c>
      <x:c r="P4054" s="10" t="n">
        <x:v>2</x:v>
      </x:c>
      <x:c r="Q4054" s="13" t="n">
        <x:f>IF(H4054="","",H4054/1000000000)</x:f>
        <x:v>1.78</x:v>
      </x:c>
      <x:c r="R4054" s="13" t="n">
        <x:f>IF(I4054="","",I4054/1000000)</x:f>
        <x:v>15.478260869565217</x:v>
      </x:c>
    </x:row>
    <x:row r="4055" ht="21" customHeight="1">
      <x:c r="A4055" s="10" t="n">
        <x:v>5471</x:v>
      </x:c>
      <x:c r="B4055" s="2" t="str">
        <x:v>f9f05a006ffb3b8e3e3c</x:v>
      </x:c>
      <x:c r="C4055" s="2" t="str">
        <x:v>Tp Hồ Chí Minh</x:v>
      </x:c>
      <x:c r="D4055" s="2" t="str">
        <x:v>Quận 6</x:v>
      </x:c>
      <x:c r="E4055" s="2" t="str">
        <x:v>house</x:v>
      </x:c>
      <x:c r="F4055" s="2" t="str">
        <x:v>sale</x:v>
      </x:c>
      <x:c r="G4055" s="11" t="n">
        <x:v>105</x:v>
      </x:c>
      <x:c r="H4055" s="12" t="n">
        <x:v>5700000000</x:v>
      </x:c>
      <x:c r="I4055" s="12" t="n">
        <x:v>54285714.28571428</x:v>
      </x:c>
      <x:c r="J4055" s="2" t="str">
        <x:v>total</x:v>
      </x:c>
      <x:c r="K4055" s="2" t="str">
        <x:v>top_level_area</x:v>
      </x:c>
      <x:c r="L4055" s="2" t="str">
        <x:v>property_type_inferred_from_title</x:v>
      </x:c>
      <x:c r="M4055" s="10" t="n">
        <x:v>0</x:v>
      </x:c>
      <x:c r="N4055" s="10" t="n">
        <x:v>0</x:v>
      </x:c>
      <x:c r="O4055" s="2" t="str">
        <x:v>Tp Hồ Chí Minh|house</x:v>
      </x:c>
      <x:c r="P4055" s="10" t="n">
        <x:v>2</x:v>
      </x:c>
      <x:c r="Q4055" s="13" t="n">
        <x:f>IF(H4055="","",H4055/1000000000)</x:f>
        <x:v>5.7</x:v>
      </x:c>
      <x:c r="R4055" s="13" t="n">
        <x:f>IF(I4055="","",I4055/1000000)</x:f>
        <x:v>54.285714285714285</x:v>
      </x:c>
    </x:row>
    <x:row r="4056" ht="21" customHeight="1">
      <x:c r="A4056" s="10" t="n">
        <x:v>5472</x:v>
      </x:c>
      <x:c r="B4056" s="2" t="str">
        <x:v>dea1833768be75d74ca4</x:v>
      </x:c>
      <x:c r="C4056" s="2" t="str">
        <x:v>Tp Hồ Chí Minh</x:v>
      </x:c>
      <x:c r="D4056" s="2" t="str">
        <x:v>Quận Bình Tân</x:v>
      </x:c>
      <x:c r="E4056" s="2" t="str">
        <x:v>land</x:v>
      </x:c>
      <x:c r="F4056" s="2" t="str">
        <x:v>sale_assumed</x:v>
      </x:c>
      <x:c r="G4056" s="11" t="n">
        <x:v>126</x:v>
      </x:c>
      <x:c r="H4056" s="12" t="n">
        <x:v>3700000000</x:v>
      </x:c>
      <x:c r="I4056" s="12" t="n">
        <x:v>29365079.365079366</x:v>
      </x:c>
      <x:c r="J4056" s="2" t="str">
        <x:v>total</x:v>
      </x:c>
      <x:c r="K4056" s="2" t="str">
        <x:v>top_level_area</x:v>
      </x:c>
      <x:c r="L4056" s="2" t="str">
        <x:v>property_type_inferred_from_title;transaction_assumed_sale_from_dataset_context</x:v>
      </x:c>
      <x:c r="M4056" s="10" t="n">
        <x:v>0</x:v>
      </x:c>
      <x:c r="N4056" s="10" t="n">
        <x:v>0</x:v>
      </x:c>
      <x:c r="O4056" s="2" t="str">
        <x:v>Tp Hồ Chí Minh|land</x:v>
      </x:c>
      <x:c r="P4056" s="10" t="n">
        <x:v>2</x:v>
      </x:c>
      <x:c r="Q4056" s="13" t="n">
        <x:f>IF(H4056="","",H4056/1000000000)</x:f>
        <x:v>3.7</x:v>
      </x:c>
      <x:c r="R4056" s="13" t="n">
        <x:f>IF(I4056="","",I4056/1000000)</x:f>
        <x:v>29.365079365079367</x:v>
      </x:c>
    </x:row>
    <x:row r="4057" ht="21" customHeight="1">
      <x:c r="A4057" s="10" t="n">
        <x:v>5473</x:v>
      </x:c>
      <x:c r="B4057" s="2" t="str">
        <x:v>2c68ed2526f466b4edf0</x:v>
      </x:c>
      <x:c r="C4057" s="2" t="str">
        <x:v>Bình Dương</x:v>
      </x:c>
      <x:c r="D4057" s="2" t="str">
        <x:v>Thị xã Dĩ An</x:v>
      </x:c>
      <x:c r="E4057" s="2" t="str">
        <x:v>other_unknown</x:v>
      </x:c>
      <x:c r="F4057" s="2" t="str">
        <x:v>sale</x:v>
      </x:c>
      <x:c r="G4057" s="11" t="n">
        <x:v>56</x:v>
      </x:c>
      <x:c r="H4057" s="12" t="n">
        <x:v>1290000000</x:v>
      </x:c>
      <x:c r="I4057" s="12" t="n">
        <x:v>23035714.285714287</x:v>
      </x:c>
      <x:c r="J4057" s="2" t="str">
        <x:v>total</x:v>
      </x:c>
      <x:c r="K4057" s="2" t="str">
        <x:v>top_level_area</x:v>
      </x:c>
      <x:c r="L4057" s="2" t="str">
        <x:v>property_type_inferred_from_title;unknown_property_type</x:v>
      </x:c>
      <x:c r="M4057" s="10" t="n">
        <x:v>0</x:v>
      </x:c>
      <x:c r="N4057" s="10" t="n">
        <x:v>0</x:v>
      </x:c>
      <x:c r="O4057" s="2" t="str">
        <x:v>Bình Dương|other_unknown</x:v>
      </x:c>
      <x:c r="P4057" s="10" t="n">
        <x:v>2</x:v>
      </x:c>
      <x:c r="Q4057" s="13" t="n">
        <x:f>IF(H4057="","",H4057/1000000000)</x:f>
        <x:v>1.29</x:v>
      </x:c>
      <x:c r="R4057" s="13" t="n">
        <x:f>IF(I4057="","",I4057/1000000)</x:f>
        <x:v>23.03571428571429</x:v>
      </x:c>
    </x:row>
    <x:row r="4058" ht="21" customHeight="1">
      <x:c r="A4058" s="10" t="n">
        <x:v>5474</x:v>
      </x:c>
      <x:c r="B4058" s="2" t="str">
        <x:v>61bf69b6f9fb2799c3e4</x:v>
      </x:c>
      <x:c r="C4058" s="2" t="str">
        <x:v>Vĩnh Long</x:v>
      </x:c>
      <x:c r="D4058" s="2" t="str">
        <x:v>Huyện Trà Ôn</x:v>
      </x:c>
      <x:c r="E4058" s="2" t="str">
        <x:v>land</x:v>
      </x:c>
      <x:c r="F4058" s="2" t="str">
        <x:v>sale_assumed</x:v>
      </x:c>
      <x:c r="G4058" s="11" t="n">
        <x:v>133</x:v>
      </x:c>
      <x:c r="H4058" s="12" t="n">
        <x:v>330000000</x:v>
      </x:c>
      <x:c r="I4058" s="12" t="n">
        <x:v>2481203.007518797</x:v>
      </x:c>
      <x:c r="J4058" s="2" t="str">
        <x:v>total</x:v>
      </x:c>
      <x:c r="K4058" s="2" t="str">
        <x:v>top_level_area</x:v>
      </x:c>
      <x:c r="L4058" s="2" t="str">
        <x:v>property_type_inferred_from_title;transaction_assumed_sale_from_dataset_context</x:v>
      </x:c>
      <x:c r="M4058" s="10" t="n">
        <x:v>0</x:v>
      </x:c>
      <x:c r="N4058" s="10" t="n">
        <x:v>0</x:v>
      </x:c>
      <x:c r="O4058" s="2" t="str">
        <x:v>land</x:v>
      </x:c>
      <x:c r="P4058" s="10" t="n">
        <x:v>1</x:v>
      </x:c>
      <x:c r="Q4058" s="13" t="n">
        <x:f>IF(H4058="","",H4058/1000000000)</x:f>
        <x:v>0.33</x:v>
      </x:c>
      <x:c r="R4058" s="13" t="n">
        <x:f>IF(I4058="","",I4058/1000000)</x:f>
        <x:v>2.481203007518797</x:v>
      </x:c>
    </x:row>
    <x:row r="4059" ht="21" customHeight="1">
      <x:c r="A4059" s="10" t="n">
        <x:v>5475</x:v>
      </x:c>
      <x:c r="B4059" s="2" t="str">
        <x:v>33551481bc5508c256ff</x:v>
      </x:c>
      <x:c r="C4059" s="2" t="str">
        <x:v>Tp Hồ Chí Minh</x:v>
      </x:c>
      <x:c r="D4059" s="2" t="str">
        <x:v>Huyện Bình Chánh</x:v>
      </x:c>
      <x:c r="E4059" s="2" t="str">
        <x:v>house</x:v>
      </x:c>
      <x:c r="F4059" s="2" t="str">
        <x:v>sale_assumed</x:v>
      </x:c>
      <x:c r="G4059" s="11" t="n">
        <x:v>100</x:v>
      </x:c>
      <x:c r="H4059" s="12" t="n">
        <x:v>3100000000</x:v>
      </x:c>
      <x:c r="I4059" s="12" t="n">
        <x:v>31000000</x:v>
      </x:c>
      <x:c r="J4059" s="2" t="str">
        <x:v>total</x:v>
      </x:c>
      <x:c r="K4059" s="2" t="str">
        <x:v>top_level_area</x:v>
      </x:c>
      <x:c r="L4059" s="2" t="str">
        <x:v>property_type_inferred_from_title;transaction_assumed_sale_from_dataset_context</x:v>
      </x:c>
      <x:c r="M4059" s="10" t="n">
        <x:v>0</x:v>
      </x:c>
      <x:c r="N4059" s="10" t="n">
        <x:v>0</x:v>
      </x:c>
      <x:c r="O4059" s="2" t="str">
        <x:v>Tp Hồ Chí Minh|house</x:v>
      </x:c>
      <x:c r="P4059" s="10" t="n">
        <x:v>2</x:v>
      </x:c>
      <x:c r="Q4059" s="13" t="n">
        <x:f>IF(H4059="","",H4059/1000000000)</x:f>
        <x:v>3.1</x:v>
      </x:c>
      <x:c r="R4059" s="13" t="n">
        <x:f>IF(I4059="","",I4059/1000000)</x:f>
        <x:v>31</x:v>
      </x:c>
    </x:row>
    <x:row r="4060" ht="21" customHeight="1">
      <x:c r="A4060" s="10" t="n">
        <x:v>5476</x:v>
      </x:c>
      <x:c r="B4060" s="2" t="str">
        <x:v>674ba7db4b9b60b8378c</x:v>
      </x:c>
      <x:c r="C4060" s="2" t="str">
        <x:v>Tp Hồ Chí Minh</x:v>
      </x:c>
      <x:c r="D4060" s="2" t="str">
        <x:v>Quận 3</x:v>
      </x:c>
      <x:c r="E4060" s="2" t="str">
        <x:v>house</x:v>
      </x:c>
      <x:c r="F4060" s="2" t="str">
        <x:v>sale</x:v>
      </x:c>
      <x:c r="G4060" s="11" t="n">
        <x:v>80</x:v>
      </x:c>
      <x:c r="H4060" s="12" t="n">
        <x:v>12600000000</x:v>
      </x:c>
      <x:c r="I4060" s="12" t="n">
        <x:v>157500000</x:v>
      </x:c>
      <x:c r="J4060" s="2" t="str">
        <x:v>total</x:v>
      </x:c>
      <x:c r="K4060" s="2" t="str">
        <x:v>top_level_area</x:v>
      </x:c>
      <x:c r="L4060" s="2" t="str">
        <x:v>property_type_inferred_from_title</x:v>
      </x:c>
      <x:c r="M4060" s="10" t="n">
        <x:v>0</x:v>
      </x:c>
      <x:c r="N4060" s="10" t="n">
        <x:v>0</x:v>
      </x:c>
      <x:c r="O4060" s="2" t="str">
        <x:v>Tp Hồ Chí Minh|house</x:v>
      </x:c>
      <x:c r="P4060" s="10" t="n">
        <x:v>2</x:v>
      </x:c>
      <x:c r="Q4060" s="13" t="n">
        <x:f>IF(H4060="","",H4060/1000000000)</x:f>
        <x:v>12.6</x:v>
      </x:c>
      <x:c r="R4060" s="13" t="n">
        <x:f>IF(I4060="","",I4060/1000000)</x:f>
        <x:v>157.5</x:v>
      </x:c>
    </x:row>
    <x:row r="4061" ht="21" customHeight="1">
      <x:c r="A4061" s="10" t="n">
        <x:v>5477</x:v>
      </x:c>
      <x:c r="B4061" s="2" t="str">
        <x:v>47f594bc28ce1cd8f1b0</x:v>
      </x:c>
      <x:c r="C4061" s="2" t="str">
        <x:v>Tp Hồ Chí Minh</x:v>
      </x:c>
      <x:c r="D4061" s="2" t="str">
        <x:v>Quận Thủ Đức</x:v>
      </x:c>
      <x:c r="E4061" s="2" t="str">
        <x:v>apartment</x:v>
      </x:c>
      <x:c r="F4061" s="2" t="str">
        <x:v>sale_assumed</x:v>
      </x:c>
      <x:c r="G4061" s="11" t="n">
        <x:v>68</x:v>
      </x:c>
      <x:c r="H4061" s="12" t="n">
        <x:v>1970000000</x:v>
      </x:c>
      <x:c r="I4061" s="12" t="n">
        <x:v>28970588.23529412</x:v>
      </x:c>
      <x:c r="J4061" s="2" t="str">
        <x:v>total</x:v>
      </x:c>
      <x:c r="K4061" s="2" t="str">
        <x:v>top_level_area</x:v>
      </x:c>
      <x:c r="L4061" s="2" t="str">
        <x:v>property_type_inferred_from_title;transaction_assumed_sale_from_dataset_context</x:v>
      </x:c>
      <x:c r="M4061" s="10" t="n">
        <x:v>0</x:v>
      </x:c>
      <x:c r="N4061" s="10" t="n">
        <x:v>0</x:v>
      </x:c>
      <x:c r="O4061" s="2" t="str">
        <x:v>Tp Hồ Chí Minh|apartment</x:v>
      </x:c>
      <x:c r="P4061" s="10" t="n">
        <x:v>2</x:v>
      </x:c>
      <x:c r="Q4061" s="13" t="n">
        <x:f>IF(H4061="","",H4061/1000000000)</x:f>
        <x:v>1.97</x:v>
      </x:c>
      <x:c r="R4061" s="13" t="n">
        <x:f>IF(I4061="","",I4061/1000000)</x:f>
        <x:v>28.97058823529412</x:v>
      </x:c>
    </x:row>
    <x:row r="4062" ht="21" customHeight="1">
      <x:c r="A4062" s="10" t="n">
        <x:v>5478</x:v>
      </x:c>
      <x:c r="B4062" s="2" t="str">
        <x:v>65f588137a46af91d6c4</x:v>
      </x:c>
      <x:c r="C4062" s="2" t="str">
        <x:v>Hà Nội</x:v>
      </x:c>
      <x:c r="D4062" s="2" t="str">
        <x:v>Quận Hai Bà Trưng</x:v>
      </x:c>
      <x:c r="E4062" s="2" t="str">
        <x:v>other_unknown</x:v>
      </x:c>
      <x:c r="F4062" s="2" t="str">
        <x:v>sale</x:v>
      </x:c>
      <x:c r="G4062" s="11" t="n">
        <x:v>38</x:v>
      </x:c>
      <x:c r="H4062" s="12" t="n">
        <x:v>3000000000</x:v>
      </x:c>
      <x:c r="I4062" s="12" t="n">
        <x:v>78947368.42105263</x:v>
      </x:c>
      <x:c r="J4062" s="2" t="str">
        <x:v>total</x:v>
      </x:c>
      <x:c r="K4062" s="2" t="str">
        <x:v>top_level_area</x:v>
      </x:c>
      <x:c r="L4062" s="2" t="str">
        <x:v>property_type_inferred_from_title;unknown_property_type</x:v>
      </x:c>
      <x:c r="M4062" s="10" t="n">
        <x:v>0</x:v>
      </x:c>
      <x:c r="N4062" s="10" t="n">
        <x:v>0</x:v>
      </x:c>
      <x:c r="O4062" s="2" t="str">
        <x:v>Hà Nội|other_unknown</x:v>
      </x:c>
      <x:c r="P4062" s="10" t="n">
        <x:v>2</x:v>
      </x:c>
      <x:c r="Q4062" s="13" t="n">
        <x:f>IF(H4062="","",H4062/1000000000)</x:f>
        <x:v>3</x:v>
      </x:c>
      <x:c r="R4062" s="13" t="n">
        <x:f>IF(I4062="","",I4062/1000000)</x:f>
        <x:v>78.94736842105263</x:v>
      </x:c>
    </x:row>
    <x:row r="4063" ht="21" customHeight="1">
      <x:c r="A4063" s="10" t="n">
        <x:v>5479</x:v>
      </x:c>
      <x:c r="B4063" s="2" t="str">
        <x:v>8f9573849211e72573b2</x:v>
      </x:c>
      <x:c r="C4063" s="2" t="str">
        <x:v>Đà Nẵng</x:v>
      </x:c>
      <x:c r="D4063" s="2" t="str">
        <x:v>Quận Hải Châu</x:v>
      </x:c>
      <x:c r="E4063" s="2" t="str">
        <x:v>house</x:v>
      </x:c>
      <x:c r="F4063" s="2" t="str">
        <x:v>sale</x:v>
      </x:c>
      <x:c r="G4063" s="11" t="n">
        <x:v>60</x:v>
      </x:c>
      <x:c r="H4063" s="12" t="n">
        <x:v>5400000000</x:v>
      </x:c>
      <x:c r="I4063" s="12" t="n">
        <x:v>90000000</x:v>
      </x:c>
      <x:c r="J4063" s="2" t="str">
        <x:v>total</x:v>
      </x:c>
      <x:c r="K4063" s="2" t="str">
        <x:v>top_level_area</x:v>
      </x:c>
      <x:c r="L4063" s="2" t="str">
        <x:v>property_type_inferred_from_title</x:v>
      </x:c>
      <x:c r="M4063" s="10" t="n">
        <x:v>0</x:v>
      </x:c>
      <x:c r="N4063" s="10" t="n">
        <x:v>0</x:v>
      </x:c>
      <x:c r="O4063" s="2" t="str">
        <x:v>Đà Nẵng|house</x:v>
      </x:c>
      <x:c r="P4063" s="10" t="n">
        <x:v>2</x:v>
      </x:c>
      <x:c r="Q4063" s="13" t="n">
        <x:f>IF(H4063="","",H4063/1000000000)</x:f>
        <x:v>5.4</x:v>
      </x:c>
      <x:c r="R4063" s="13" t="n">
        <x:f>IF(I4063="","",I4063/1000000)</x:f>
        <x:v>90</x:v>
      </x:c>
    </x:row>
    <x:row r="4064" ht="21" customHeight="1">
      <x:c r="A4064" s="10" t="n">
        <x:v>5480</x:v>
      </x:c>
      <x:c r="B4064" s="2" t="str">
        <x:v>16ab5e17c868913f92a9</x:v>
      </x:c>
      <x:c r="C4064" s="2" t="str">
        <x:v>Bình Thuận</x:v>
      </x:c>
      <x:c r="D4064" s="2" t="str">
        <x:v>Huyện Bắc Bình</x:v>
      </x:c>
      <x:c r="E4064" s="2" t="str">
        <x:v>land</x:v>
      </x:c>
      <x:c r="F4064" s="2" t="str">
        <x:v>sale</x:v>
      </x:c>
      <x:c r="G4064" s="11" t="n">
        <x:v>3548</x:v>
      </x:c>
      <x:c r="H4064" s="12" t="n">
        <x:v>354000000</x:v>
      </x:c>
      <x:c r="I4064" s="12" t="n">
        <x:v>99774.52085682075</x:v>
      </x:c>
      <x:c r="J4064" s="2" t="str">
        <x:v>total</x:v>
      </x:c>
      <x:c r="K4064" s="2" t="str">
        <x:v>top_level_area</x:v>
      </x:c>
      <x:c r="L4064" s="2" t="str">
        <x:v>dot_thousands_convention;property_type_inferred_from_title</x:v>
      </x:c>
      <x:c r="M4064" s="10" t="n">
        <x:v>0</x:v>
      </x:c>
      <x:c r="N4064" s="10" t="n">
        <x:v>0</x:v>
      </x:c>
      <x:c r="O4064" s="2" t="str">
        <x:v>land</x:v>
      </x:c>
      <x:c r="P4064" s="10" t="n">
        <x:v>1</x:v>
      </x:c>
      <x:c r="Q4064" s="13" t="n">
        <x:f>IF(H4064="","",H4064/1000000000)</x:f>
        <x:v>0.354</x:v>
      </x:c>
      <x:c r="R4064" s="13" t="n">
        <x:f>IF(I4064="","",I4064/1000000)</x:f>
        <x:v>0.09977452085682074</x:v>
      </x:c>
    </x:row>
    <x:row r="4065" ht="21" customHeight="1">
      <x:c r="A4065" s="10" t="n">
        <x:v>5481</x:v>
      </x:c>
      <x:c r="B4065" s="2" t="str">
        <x:v>ea174f5dac1192d29993</x:v>
      </x:c>
      <x:c r="C4065" s="2" t="str">
        <x:v>Vĩnh Long</x:v>
      </x:c>
      <x:c r="D4065" s="2" t="str">
        <x:v>Thành phố Vĩnh Long</x:v>
      </x:c>
      <x:c r="E4065" s="2" t="str">
        <x:v>other_unknown</x:v>
      </x:c>
      <x:c r="F4065" s="2" t="str">
        <x:v>sale_assumed</x:v>
      </x:c>
      <x:c r="G4065" s="11" t="n">
        <x:v>101</x:v>
      </x:c>
      <x:c r="H4065" s="12" t="n">
        <x:v>4900000000</x:v>
      </x:c>
      <x:c r="I4065" s="12" t="n">
        <x:v>48514851.48514851</x:v>
      </x:c>
      <x:c r="J4065" s="2" t="str">
        <x:v>total</x:v>
      </x:c>
      <x:c r="K4065" s="2" t="str">
        <x:v>top_level_area</x:v>
      </x:c>
      <x:c r="L4065" s="2" t="str">
        <x:v>property_type_inferred_from_title;transaction_assumed_sale_from_dataset_context;unknown_property_type</x:v>
      </x:c>
      <x:c r="M4065" s="10" t="n">
        <x:v>0</x:v>
      </x:c>
      <x:c r="N4065" s="10" t="n">
        <x:v>0</x:v>
      </x:c>
      <x:c r="O4065" s="2" t="str">
        <x:v>other_unknown</x:v>
      </x:c>
      <x:c r="P4065" s="10" t="n">
        <x:v>2</x:v>
      </x:c>
      <x:c r="Q4065" s="13" t="n">
        <x:f>IF(H4065="","",H4065/1000000000)</x:f>
        <x:v>4.9</x:v>
      </x:c>
      <x:c r="R4065" s="13" t="n">
        <x:f>IF(I4065="","",I4065/1000000)</x:f>
        <x:v>48.51485148514851</x:v>
      </x:c>
    </x:row>
    <x:row r="4066" ht="21" customHeight="1">
      <x:c r="A4066" s="10" t="n">
        <x:v>5482</x:v>
      </x:c>
      <x:c r="B4066" s="2" t="str">
        <x:v>f8220034510cfe70763b</x:v>
      </x:c>
      <x:c r="C4066" s="2" t="str">
        <x:v>Tp Hồ Chí Minh</x:v>
      </x:c>
      <x:c r="D4066" s="2" t="str">
        <x:v>Quận Tân Bình</x:v>
      </x:c>
      <x:c r="E4066" s="2" t="str">
        <x:v>house</x:v>
      </x:c>
      <x:c r="F4066" s="2" t="str">
        <x:v>sale</x:v>
      </x:c>
      <x:c r="G4066" s="11" t="n">
        <x:v>76</x:v>
      </x:c>
      <x:c r="H4066" s="12" t="n">
        <x:v>11000000000</x:v>
      </x:c>
      <x:c r="I4066" s="12" t="n">
        <x:v>144736842.10526314</x:v>
      </x:c>
      <x:c r="J4066" s="2" t="str">
        <x:v>total</x:v>
      </x:c>
      <x:c r="K4066" s="2" t="str">
        <x:v>top_level_area</x:v>
      </x:c>
      <x:c r="L4066" s="2" t="str">
        <x:v>property_type_inferred_from_title</x:v>
      </x:c>
      <x:c r="M4066" s="10" t="n">
        <x:v>0</x:v>
      </x:c>
      <x:c r="N4066" s="10" t="n">
        <x:v>0</x:v>
      </x:c>
      <x:c r="O4066" s="2" t="str">
        <x:v>Tp Hồ Chí Minh|house</x:v>
      </x:c>
      <x:c r="P4066" s="10" t="n">
        <x:v>2</x:v>
      </x:c>
      <x:c r="Q4066" s="13" t="n">
        <x:f>IF(H4066="","",H4066/1000000000)</x:f>
        <x:v>11</x:v>
      </x:c>
      <x:c r="R4066" s="13" t="n">
        <x:f>IF(I4066="","",I4066/1000000)</x:f>
        <x:v>144.73684210526315</x:v>
      </x:c>
    </x:row>
    <x:row r="4067" ht="21" customHeight="1">
      <x:c r="A4067" s="10" t="n">
        <x:v>5483</x:v>
      </x:c>
      <x:c r="B4067" s="2" t="str">
        <x:v>f498c143d639e1f8de3f</x:v>
      </x:c>
      <x:c r="C4067" s="2" t="str">
        <x:v>Đà Nẵng</x:v>
      </x:c>
      <x:c r="D4067" s="2" t="str">
        <x:v>Quận Liên Chiểu</x:v>
      </x:c>
      <x:c r="E4067" s="2" t="str">
        <x:v>house</x:v>
      </x:c>
      <x:c r="F4067" s="2" t="str">
        <x:v>sale_assumed</x:v>
      </x:c>
      <x:c r="G4067" s="11" t="n">
        <x:v>67</x:v>
      </x:c>
      <x:c r="H4067" s="12" t="n">
        <x:v>3150000000</x:v>
      </x:c>
      <x:c r="I4067" s="12" t="n">
        <x:v>47014925.37313433</x:v>
      </x:c>
      <x:c r="J4067" s="2" t="str">
        <x:v>total</x:v>
      </x:c>
      <x:c r="K4067" s="2" t="str">
        <x:v>top_level_area</x:v>
      </x:c>
      <x:c r="L4067" s="2" t="str">
        <x:v>property_type_inferred_from_title;transaction_assumed_sale_from_dataset_context</x:v>
      </x:c>
      <x:c r="M4067" s="10" t="n">
        <x:v>0</x:v>
      </x:c>
      <x:c r="N4067" s="10" t="n">
        <x:v>0</x:v>
      </x:c>
      <x:c r="O4067" s="2" t="str">
        <x:v>Đà Nẵng|house</x:v>
      </x:c>
      <x:c r="P4067" s="10" t="n">
        <x:v>2</x:v>
      </x:c>
      <x:c r="Q4067" s="13" t="n">
        <x:f>IF(H4067="","",H4067/1000000000)</x:f>
        <x:v>3.15</x:v>
      </x:c>
      <x:c r="R4067" s="13" t="n">
        <x:f>IF(I4067="","",I4067/1000000)</x:f>
        <x:v>47.01492537313433</x:v>
      </x:c>
    </x:row>
    <x:row r="4068" ht="21" customHeight="1">
      <x:c r="A4068" s="10" t="n">
        <x:v>5484</x:v>
      </x:c>
      <x:c r="B4068" s="2" t="str">
        <x:v>a8a4307fc6e9acfce45f</x:v>
      </x:c>
      <x:c r="C4068" s="2" t="str">
        <x:v>Bình Dương</x:v>
      </x:c>
      <x:c r="D4068" s="2" t="str">
        <x:v>Thị xã Bến Cát</x:v>
      </x:c>
      <x:c r="E4068" s="2" t="str">
        <x:v>house</x:v>
      </x:c>
      <x:c r="F4068" s="2" t="str">
        <x:v>sale_with_rental_income</x:v>
      </x:c>
      <x:c r="G4068" s="11" t="n">
        <x:v>105</x:v>
      </x:c>
      <x:c r="H4068" s="12" t="n">
        <x:v>1200000000</x:v>
      </x:c>
      <x:c r="I4068" s="12" t="n">
        <x:v>11428571.42857143</x:v>
      </x:c>
      <x:c r="J4068" s="2" t="str">
        <x:v>total</x:v>
      </x:c>
      <x:c r="K4068" s="2" t="str">
        <x:v>top_level_area</x:v>
      </x:c>
      <x:c r="L4068" s="2" t="str">
        <x:v>property_type_inferred_from_title;rental_income_mentioned</x:v>
      </x:c>
      <x:c r="M4068" s="10" t="n">
        <x:v>0</x:v>
      </x:c>
      <x:c r="N4068" s="10" t="n">
        <x:v>0</x:v>
      </x:c>
      <x:c r="O4068" s="2" t="str">
        <x:v>Bình Dương|house</x:v>
      </x:c>
      <x:c r="P4068" s="10" t="n">
        <x:v>2</x:v>
      </x:c>
      <x:c r="Q4068" s="13" t="n">
        <x:f>IF(H4068="","",H4068/1000000000)</x:f>
        <x:v>1.2</x:v>
      </x:c>
      <x:c r="R4068" s="13" t="n">
        <x:f>IF(I4068="","",I4068/1000000)</x:f>
        <x:v>11.428571428571429</x:v>
      </x:c>
    </x:row>
    <x:row r="4069" ht="21" customHeight="1">
      <x:c r="A4069" s="10" t="n">
        <x:v>5485</x:v>
      </x:c>
      <x:c r="B4069" s="2" t="str">
        <x:v>ce9d4cf5bfe0d7eaea26</x:v>
      </x:c>
      <x:c r="C4069" s="2" t="str">
        <x:v>Tp Hồ Chí Minh</x:v>
      </x:c>
      <x:c r="D4069" s="2" t="str">
        <x:v>Huyện Củ Chi</x:v>
      </x:c>
      <x:c r="E4069" s="2" t="str">
        <x:v>land</x:v>
      </x:c>
      <x:c r="F4069" s="2" t="str">
        <x:v>sale_assumed</x:v>
      </x:c>
      <x:c r="G4069" s="11" t="n">
        <x:v>190</x:v>
      </x:c>
      <x:c r="H4069" s="12" t="n">
        <x:v>1300000000</x:v>
      </x:c>
      <x:c r="I4069" s="12" t="n">
        <x:v>6842105.263157895</x:v>
      </x:c>
      <x:c r="J4069" s="2" t="str">
        <x:v>total</x:v>
      </x:c>
      <x:c r="K4069" s="2" t="str">
        <x:v>top_level_area</x:v>
      </x:c>
      <x:c r="L4069" s="2" t="str">
        <x:v>property_type_inferred_from_title;transaction_assumed_sale_from_dataset_context</x:v>
      </x:c>
      <x:c r="M4069" s="10" t="n">
        <x:v>0</x:v>
      </x:c>
      <x:c r="N4069" s="10" t="n">
        <x:v>0</x:v>
      </x:c>
      <x:c r="O4069" s="2" t="str">
        <x:v>Tp Hồ Chí Minh|land</x:v>
      </x:c>
      <x:c r="P4069" s="10" t="n">
        <x:v>2</x:v>
      </x:c>
      <x:c r="Q4069" s="13" t="n">
        <x:f>IF(H4069="","",H4069/1000000000)</x:f>
        <x:v>1.3</x:v>
      </x:c>
      <x:c r="R4069" s="13" t="n">
        <x:f>IF(I4069="","",I4069/1000000)</x:f>
        <x:v>6.842105263157895</x:v>
      </x:c>
    </x:row>
    <x:row r="4070" ht="21" customHeight="1">
      <x:c r="A4070" s="10" t="n">
        <x:v>5486</x:v>
      </x:c>
      <x:c r="B4070" s="2" t="str">
        <x:v>7b510de30dc49ea3078c</x:v>
      </x:c>
      <x:c r="C4070" s="2" t="str">
        <x:v>Bình Dương</x:v>
      </x:c>
      <x:c r="D4070" s="2" t="str">
        <x:v>Thị xã Bến Cát</x:v>
      </x:c>
      <x:c r="E4070" s="2" t="str">
        <x:v>land</x:v>
      </x:c>
      <x:c r="F4070" s="2" t="str">
        <x:v>sale</x:v>
      </x:c>
      <x:c r="G4070" s="11" t="n">
        <x:v>150</x:v>
      </x:c>
      <x:c r="H4070" s="12" t="n">
        <x:v>1500000000</x:v>
      </x:c>
      <x:c r="I4070" s="12" t="n">
        <x:v>10000000</x:v>
      </x:c>
      <x:c r="J4070" s="2" t="str">
        <x:v>total</x:v>
      </x:c>
      <x:c r="K4070" s="2" t="str">
        <x:v>top_level_area</x:v>
      </x:c>
      <x:c r="L4070" s="2" t="str">
        <x:v>property_type_inferred_from_title</x:v>
      </x:c>
      <x:c r="M4070" s="10" t="n">
        <x:v>0</x:v>
      </x:c>
      <x:c r="N4070" s="10" t="n">
        <x:v>0</x:v>
      </x:c>
      <x:c r="O4070" s="2" t="str">
        <x:v>Bình Dương|land</x:v>
      </x:c>
      <x:c r="P4070" s="10" t="n">
        <x:v>2</x:v>
      </x:c>
      <x:c r="Q4070" s="13" t="n">
        <x:f>IF(H4070="","",H4070/1000000000)</x:f>
        <x:v>1.5</x:v>
      </x:c>
      <x:c r="R4070" s="13" t="n">
        <x:f>IF(I4070="","",I4070/1000000)</x:f>
        <x:v>10</x:v>
      </x:c>
    </x:row>
    <x:row r="4071" ht="21" customHeight="1">
      <x:c r="A4071" s="10" t="n">
        <x:v>5487</x:v>
      </x:c>
      <x:c r="B4071" s="2" t="str">
        <x:v>ae36f3f33d5442810d62</x:v>
      </x:c>
      <x:c r="C4071" s="2" t="str">
        <x:v>Tp Hồ Chí Minh</x:v>
      </x:c>
      <x:c r="D4071" s="2" t="str">
        <x:v>Quận Thủ Đức</x:v>
      </x:c>
      <x:c r="E4071" s="2" t="str">
        <x:v>house</x:v>
      </x:c>
      <x:c r="F4071" s="2" t="str">
        <x:v>sale_with_rental_income</x:v>
      </x:c>
      <x:c r="G4071" s="11" t="n">
        <x:v>70</x:v>
      </x:c>
      <x:c r="H4071" s="12" t="n">
        <x:v>4900000000</x:v>
      </x:c>
      <x:c r="I4071" s="12" t="n">
        <x:v>70000000</x:v>
      </x:c>
      <x:c r="J4071" s="2" t="str">
        <x:v>total</x:v>
      </x:c>
      <x:c r="K4071" s="2" t="str">
        <x:v>top_level_area</x:v>
      </x:c>
      <x:c r="L4071" s="2" t="str">
        <x:v>property_type_inferred_from_title;rental_income_mentioned</x:v>
      </x:c>
      <x:c r="M4071" s="10" t="n">
        <x:v>0</x:v>
      </x:c>
      <x:c r="N4071" s="10" t="n">
        <x:v>0</x:v>
      </x:c>
      <x:c r="O4071" s="2" t="str">
        <x:v>Tp Hồ Chí Minh|house</x:v>
      </x:c>
      <x:c r="P4071" s="10" t="n">
        <x:v>2</x:v>
      </x:c>
      <x:c r="Q4071" s="13" t="n">
        <x:f>IF(H4071="","",H4071/1000000000)</x:f>
        <x:v>4.9</x:v>
      </x:c>
      <x:c r="R4071" s="13" t="n">
        <x:f>IF(I4071="","",I4071/1000000)</x:f>
        <x:v>70</x:v>
      </x:c>
    </x:row>
    <x:row r="4072" ht="21" customHeight="1">
      <x:c r="A4072" s="10" t="n">
        <x:v>5488</x:v>
      </x:c>
      <x:c r="B4072" s="2" t="str">
        <x:v>aa814434b5b61d32bde1</x:v>
      </x:c>
      <x:c r="C4072" s="2" t="str">
        <x:v>Đà Nẵng</x:v>
      </x:c>
      <x:c r="D4072" s="2" t="str">
        <x:v>Quận Sơn Trà</x:v>
      </x:c>
      <x:c r="E4072" s="2" t="str">
        <x:v>apartment</x:v>
      </x:c>
      <x:c r="F4072" s="2" t="str">
        <x:v>sale_assumed</x:v>
      </x:c>
      <x:c r="G4072" s="11" t="n">
        <x:v>46</x:v>
      </x:c>
      <x:c r="H4072" s="12" t="n">
        <x:v>1692000000</x:v>
      </x:c>
      <x:c r="I4072" s="12" t="n">
        <x:v>36782608.69565217</x:v>
      </x:c>
      <x:c r="J4072" s="2" t="str">
        <x:v>total</x:v>
      </x:c>
      <x:c r="K4072" s="2" t="str">
        <x:v>top_level_area</x:v>
      </x:c>
      <x:c r="L4072" s="2" t="str">
        <x:v>property_type_inferred_from_title;transaction_assumed_sale_from_dataset_context</x:v>
      </x:c>
      <x:c r="M4072" s="10" t="n">
        <x:v>0</x:v>
      </x:c>
      <x:c r="N4072" s="10" t="n">
        <x:v>0</x:v>
      </x:c>
      <x:c r="O4072" s="2" t="str">
        <x:v>apartment</x:v>
      </x:c>
      <x:c r="P4072" s="10" t="n">
        <x:v>2</x:v>
      </x:c>
      <x:c r="Q4072" s="13" t="n">
        <x:f>IF(H4072="","",H4072/1000000000)</x:f>
        <x:v>1.692</x:v>
      </x:c>
      <x:c r="R4072" s="13" t="n">
        <x:f>IF(I4072="","",I4072/1000000)</x:f>
        <x:v>36.78260869565217</x:v>
      </x:c>
    </x:row>
    <x:row r="4073" ht="21" customHeight="1">
      <x:c r="A4073" s="10" t="n">
        <x:v>5493</x:v>
      </x:c>
      <x:c r="B4073" s="2" t="str">
        <x:v>d51ef846b1815722594a</x:v>
      </x:c>
      <x:c r="C4073" s="2" t="str">
        <x:v>Hà Nội</x:v>
      </x:c>
      <x:c r="D4073" s="2" t="str">
        <x:v>Quận Hai Bà Trưng</x:v>
      </x:c>
      <x:c r="E4073" s="2" t="str">
        <x:v>other_unknown</x:v>
      </x:c>
      <x:c r="F4073" s="2" t="str">
        <x:v>sale</x:v>
      </x:c>
      <x:c r="G4073" s="11" t="n">
        <x:v>40</x:v>
      </x:c>
      <x:c r="H4073" s="12" t="n">
        <x:v>3000000000</x:v>
      </x:c>
      <x:c r="I4073" s="12" t="n">
        <x:v>75000000</x:v>
      </x:c>
      <x:c r="J4073" s="2" t="str">
        <x:v>total</x:v>
      </x:c>
      <x:c r="K4073" s="2" t="str">
        <x:v>top_level_area</x:v>
      </x:c>
      <x:c r="L4073" s="2" t="str">
        <x:v>property_type_inferred_from_title;unknown_property_type</x:v>
      </x:c>
      <x:c r="M4073" s="10" t="n">
        <x:v>0</x:v>
      </x:c>
      <x:c r="N4073" s="10" t="n">
        <x:v>0</x:v>
      </x:c>
      <x:c r="O4073" s="2" t="str">
        <x:v>Hà Nội|other_unknown</x:v>
      </x:c>
      <x:c r="P4073" s="10" t="n">
        <x:v>2</x:v>
      </x:c>
      <x:c r="Q4073" s="13" t="n">
        <x:f>IF(H4073="","",H4073/1000000000)</x:f>
        <x:v>3</x:v>
      </x:c>
      <x:c r="R4073" s="13" t="n">
        <x:f>IF(I4073="","",I4073/1000000)</x:f>
        <x:v>75</x:v>
      </x:c>
    </x:row>
    <x:row r="4074" ht="21" customHeight="1">
      <x:c r="A4074" s="10" t="n">
        <x:v>5494</x:v>
      </x:c>
      <x:c r="B4074" s="2" t="str">
        <x:v>ec547f45f2add10af950</x:v>
      </x:c>
      <x:c r="C4074" s="2" t="str">
        <x:v>Đà Nẵng</x:v>
      </x:c>
      <x:c r="D4074" s="2" t="str">
        <x:v>Quận Hải Châu</x:v>
      </x:c>
      <x:c r="E4074" s="2" t="str">
        <x:v>other_unknown</x:v>
      </x:c>
      <x:c r="F4074" s="2" t="str">
        <x:v>sale</x:v>
      </x:c>
      <x:c r="G4074" s="11" t="n">
        <x:v>76.9</x:v>
      </x:c>
      <x:c r="H4074" s="12" t="n">
        <x:v>3600000000</x:v>
      </x:c>
      <x:c r="I4074" s="12" t="n">
        <x:v>46814044.21326397</x:v>
      </x:c>
      <x:c r="J4074" s="2" t="str">
        <x:v>total</x:v>
      </x:c>
      <x:c r="K4074" s="2" t="str">
        <x:v>top_level_area</x:v>
      </x:c>
      <x:c r="L4074" s="2" t="str">
        <x:v>property_type_inferred_from_title;unknown_property_type</x:v>
      </x:c>
      <x:c r="M4074" s="10" t="n">
        <x:v>0</x:v>
      </x:c>
      <x:c r="N4074" s="10" t="n">
        <x:v>0</x:v>
      </x:c>
      <x:c r="O4074" s="2" t="str">
        <x:v>Đà Nẵng|other_unknown</x:v>
      </x:c>
      <x:c r="P4074" s="10" t="n">
        <x:v>2</x:v>
      </x:c>
      <x:c r="Q4074" s="13" t="n">
        <x:f>IF(H4074="","",H4074/1000000000)</x:f>
        <x:v>3.6</x:v>
      </x:c>
      <x:c r="R4074" s="13" t="n">
        <x:f>IF(I4074="","",I4074/1000000)</x:f>
        <x:v>46.814044213263976</x:v>
      </x:c>
    </x:row>
    <x:row r="4075" ht="21" customHeight="1">
      <x:c r="A4075" s="10" t="n">
        <x:v>5495</x:v>
      </x:c>
      <x:c r="B4075" s="2" t="str">
        <x:v>2af0d62ae3f8b29f0345</x:v>
      </x:c>
      <x:c r="C4075" s="2" t="str">
        <x:v>Bình Dương</x:v>
      </x:c>
      <x:c r="D4075" s="2" t="str">
        <x:v>Thị xã Thuận An</x:v>
      </x:c>
      <x:c r="E4075" s="2" t="str">
        <x:v>land</x:v>
      </x:c>
      <x:c r="F4075" s="2" t="str">
        <x:v>sale_assumed</x:v>
      </x:c>
      <x:c r="G4075" s="11" t="n">
        <x:v>880</x:v>
      </x:c>
      <x:c r="H4075" s="12" t="n">
        <x:v>11000000000</x:v>
      </x:c>
      <x:c r="I4075" s="12" t="n">
        <x:v>12500000</x:v>
      </x:c>
      <x:c r="J4075" s="2" t="str">
        <x:v>total</x:v>
      </x:c>
      <x:c r="K4075" s="2" t="str">
        <x:v>top_level_area</x:v>
      </x:c>
      <x:c r="L4075" s="2" t="str">
        <x:v>property_type_inferred_from_title;transaction_assumed_sale_from_dataset_context</x:v>
      </x:c>
      <x:c r="M4075" s="10" t="n">
        <x:v>0</x:v>
      </x:c>
      <x:c r="N4075" s="10" t="n">
        <x:v>0</x:v>
      </x:c>
      <x:c r="O4075" s="2" t="str">
        <x:v>Bình Dương|land</x:v>
      </x:c>
      <x:c r="P4075" s="10" t="n">
        <x:v>1</x:v>
      </x:c>
      <x:c r="Q4075" s="13" t="n">
        <x:f>IF(H4075="","",H4075/1000000000)</x:f>
        <x:v>11</x:v>
      </x:c>
      <x:c r="R4075" s="13" t="n">
        <x:f>IF(I4075="","",I4075/1000000)</x:f>
        <x:v>12.5</x:v>
      </x:c>
    </x:row>
    <x:row r="4076" ht="21" customHeight="1">
      <x:c r="A4076" s="10" t="n">
        <x:v>5496</x:v>
      </x:c>
      <x:c r="B4076" s="2" t="str">
        <x:v>efa58c8f1ee96809ef2b</x:v>
      </x:c>
      <x:c r="C4076" s="2" t="str">
        <x:v>Bình Dương</x:v>
      </x:c>
      <x:c r="D4076" s="2" t="str">
        <x:v>Thị xã Thuận An</x:v>
      </x:c>
      <x:c r="E4076" s="2" t="str">
        <x:v>house</x:v>
      </x:c>
      <x:c r="F4076" s="2" t="str">
        <x:v>sale_assumed</x:v>
      </x:c>
      <x:c r="G4076" s="11" t="n">
        <x:v>109</x:v>
      </x:c>
      <x:c r="H4076" s="12" t="n">
        <x:v>2600000000</x:v>
      </x:c>
      <x:c r="I4076" s="12" t="n">
        <x:v>23853211.009174313</x:v>
      </x:c>
      <x:c r="J4076" s="2" t="str">
        <x:v>total</x:v>
      </x:c>
      <x:c r="K4076" s="2" t="str">
        <x:v>top_level_area</x:v>
      </x:c>
      <x:c r="L4076" s="2" t="str">
        <x:v>property_type_inferred_from_title;transaction_assumed_sale_from_dataset_context</x:v>
      </x:c>
      <x:c r="M4076" s="10" t="n">
        <x:v>0</x:v>
      </x:c>
      <x:c r="N4076" s="10" t="n">
        <x:v>0</x:v>
      </x:c>
      <x:c r="O4076" s="2" t="str">
        <x:v>Bình Dương|house</x:v>
      </x:c>
      <x:c r="P4076" s="10" t="n">
        <x:v>2</x:v>
      </x:c>
      <x:c r="Q4076" s="13" t="n">
        <x:f>IF(H4076="","",H4076/1000000000)</x:f>
        <x:v>2.6</x:v>
      </x:c>
      <x:c r="R4076" s="13" t="n">
        <x:f>IF(I4076="","",I4076/1000000)</x:f>
        <x:v>23.853211009174313</x:v>
      </x:c>
    </x:row>
    <x:row r="4077" ht="21" customHeight="1">
      <x:c r="A4077" s="10" t="n">
        <x:v>5497</x:v>
      </x:c>
      <x:c r="B4077" s="2" t="str">
        <x:v>9ee64bf1064bdbaa5e4d</x:v>
      </x:c>
      <x:c r="C4077" s="2" t="str">
        <x:v>Đà Nẵng</x:v>
      </x:c>
      <x:c r="D4077" s="2" t="str">
        <x:v>Quận Thanh Khê</x:v>
      </x:c>
      <x:c r="E4077" s="2" t="str">
        <x:v>other_unknown</x:v>
      </x:c>
      <x:c r="F4077" s="2" t="str">
        <x:v>sale_assumed</x:v>
      </x:c>
      <x:c r="G4077" s="11" t="n">
        <x:v>50</x:v>
      </x:c>
      <x:c r="H4077" s="12" t="n">
        <x:v>2150000000</x:v>
      </x:c>
      <x:c r="I4077" s="12" t="n">
        <x:v>43000000</x:v>
      </x:c>
      <x:c r="J4077" s="2" t="str">
        <x:v>total</x:v>
      </x:c>
      <x:c r="K4077" s="2" t="str">
        <x:v>top_level_area</x:v>
      </x:c>
      <x:c r="L4077" s="2" t="str">
        <x:v>property_type_inferred_from_title;transaction_assumed_sale_from_dataset_context;unknown_property_type</x:v>
      </x:c>
      <x:c r="M4077" s="10" t="n">
        <x:v>0</x:v>
      </x:c>
      <x:c r="N4077" s="10" t="n">
        <x:v>0</x:v>
      </x:c>
      <x:c r="O4077" s="2" t="str">
        <x:v>Đà Nẵng|other_unknown</x:v>
      </x:c>
      <x:c r="P4077" s="10" t="n">
        <x:v>2</x:v>
      </x:c>
      <x:c r="Q4077" s="13" t="n">
        <x:f>IF(H4077="","",H4077/1000000000)</x:f>
        <x:v>2.15</x:v>
      </x:c>
      <x:c r="R4077" s="13" t="n">
        <x:f>IF(I4077="","",I4077/1000000)</x:f>
        <x:v>43</x:v>
      </x:c>
    </x:row>
    <x:row r="4078" ht="21" customHeight="1">
      <x:c r="A4078" s="10" t="n">
        <x:v>5499</x:v>
      </x:c>
      <x:c r="B4078" s="2" t="str">
        <x:v>957d21ca4a08522abd1c</x:v>
      </x:c>
      <x:c r="C4078" s="2" t="str">
        <x:v>Tp Hồ Chí Minh</x:v>
      </x:c>
      <x:c r="D4078" s="2" t="str">
        <x:v>Huyện Hóc Môn</x:v>
      </x:c>
      <x:c r="E4078" s="2" t="str">
        <x:v>house</x:v>
      </x:c>
      <x:c r="F4078" s="2" t="str">
        <x:v>sale_assumed</x:v>
      </x:c>
      <x:c r="G4078" s="11" t="n">
        <x:v>85</x:v>
      </x:c>
      <x:c r="H4078" s="12" t="n">
        <x:v>900000000</x:v>
      </x:c>
      <x:c r="I4078" s="12" t="n">
        <x:v>10588235.294117646</x:v>
      </x:c>
      <x:c r="J4078" s="2" t="str">
        <x:v>total</x:v>
      </x:c>
      <x:c r="K4078" s="2" t="str">
        <x:v>top_level_area</x:v>
      </x:c>
      <x:c r="L4078" s="2" t="str">
        <x:v>property_type_inferred_from_title;transaction_assumed_sale_from_dataset_context</x:v>
      </x:c>
      <x:c r="M4078" s="10" t="n">
        <x:v>0</x:v>
      </x:c>
      <x:c r="N4078" s="10" t="n">
        <x:v>0</x:v>
      </x:c>
      <x:c r="O4078" s="2" t="str">
        <x:v>Tp Hồ Chí Minh|house</x:v>
      </x:c>
      <x:c r="P4078" s="10" t="n">
        <x:v>2</x:v>
      </x:c>
      <x:c r="Q4078" s="13" t="n">
        <x:f>IF(H4078="","",H4078/1000000000)</x:f>
        <x:v>0.9</x:v>
      </x:c>
      <x:c r="R4078" s="13" t="n">
        <x:f>IF(I4078="","",I4078/1000000)</x:f>
        <x:v>10.588235294117647</x:v>
      </x:c>
    </x:row>
    <x:row r="4079" ht="21" customHeight="1">
      <x:c r="A4079" s="10" t="n">
        <x:v>5500</x:v>
      </x:c>
      <x:c r="B4079" s="2" t="str">
        <x:v>eb653beb49dfe28f1d71</x:v>
      </x:c>
      <x:c r="C4079" s="2" t="str">
        <x:v>Tp Hồ Chí Minh</x:v>
      </x:c>
      <x:c r="D4079" s="2" t="str">
        <x:v>Quận 8</x:v>
      </x:c>
      <x:c r="E4079" s="2" t="str">
        <x:v>house</x:v>
      </x:c>
      <x:c r="F4079" s="2" t="str">
        <x:v>sale</x:v>
      </x:c>
      <x:c r="G4079" s="11" t="n">
        <x:v>48</x:v>
      </x:c>
      <x:c r="H4079" s="12" t="n">
        <x:v>1024999999.9999999</x:v>
      </x:c>
      <x:c r="I4079" s="12" t="n">
        <x:v>21354166.666666664</x:v>
      </x:c>
      <x:c r="J4079" s="2" t="str">
        <x:v>total</x:v>
      </x:c>
      <x:c r="K4079" s="2" t="str">
        <x:v>top_level_area</x:v>
      </x:c>
      <x:c r="L4079" s="2" t="str">
        <x:v>property_type_inferred_from_title</x:v>
      </x:c>
      <x:c r="M4079" s="10" t="n">
        <x:v>0</x:v>
      </x:c>
      <x:c r="N4079" s="10" t="n">
        <x:v>0</x:v>
      </x:c>
      <x:c r="O4079" s="2" t="str">
        <x:v>Tp Hồ Chí Minh|house</x:v>
      </x:c>
      <x:c r="P4079" s="10" t="n">
        <x:v>2</x:v>
      </x:c>
      <x:c r="Q4079" s="13" t="n">
        <x:f>IF(H4079="","",H4079/1000000000)</x:f>
        <x:v>1.025</x:v>
      </x:c>
      <x:c r="R4079" s="13" t="n">
        <x:f>IF(I4079="","",I4079/1000000)</x:f>
        <x:v>21.354166666666664</x:v>
      </x:c>
    </x:row>
    <x:row r="4080" ht="21" customHeight="1">
      <x:c r="A4080" s="10" t="n">
        <x:v>5501</x:v>
      </x:c>
      <x:c r="B4080" s="2" t="str">
        <x:v>195805b6c6a908825d05</x:v>
      </x:c>
      <x:c r="C4080" s="2" t="str">
        <x:v>Khánh Hòa</x:v>
      </x:c>
      <x:c r="D4080" s="2" t="str">
        <x:v>Huyện Diên Khánh</x:v>
      </x:c>
      <x:c r="E4080" s="2" t="str">
        <x:v>other_unknown</x:v>
      </x:c>
      <x:c r="F4080" s="2" t="str">
        <x:v>sale_assumed</x:v>
      </x:c>
      <x:c r="G4080" s="11" t="n">
        <x:v>169</x:v>
      </x:c>
      <x:c r="H4080" s="12" t="n">
        <x:v>929500000</x:v>
      </x:c>
      <x:c r="I4080" s="12" t="n">
        <x:v>5500000</x:v>
      </x:c>
      <x:c r="J4080" s="2" t="str">
        <x:v>total</x:v>
      </x:c>
      <x:c r="K4080" s="2" t="str">
        <x:v>top_level_area</x:v>
      </x:c>
      <x:c r="L4080" s="2" t="str">
        <x:v>property_type_inferred_from_title;transaction_assumed_sale_from_dataset_context;unknown_property_type</x:v>
      </x:c>
      <x:c r="M4080" s="10" t="n">
        <x:v>0</x:v>
      </x:c>
      <x:c r="N4080" s="10" t="n">
        <x:v>0</x:v>
      </x:c>
      <x:c r="O4080" s="2" t="str">
        <x:v>other_unknown</x:v>
      </x:c>
      <x:c r="P4080" s="10" t="n">
        <x:v>1</x:v>
      </x:c>
      <x:c r="Q4080" s="13" t="n">
        <x:f>IF(H4080="","",H4080/1000000000)</x:f>
        <x:v>0.9295</x:v>
      </x:c>
      <x:c r="R4080" s="13" t="n">
        <x:f>IF(I4080="","",I4080/1000000)</x:f>
        <x:v>5.5</x:v>
      </x:c>
    </x:row>
    <x:row r="4081" ht="21" customHeight="1">
      <x:c r="A4081" s="10" t="n">
        <x:v>5502</x:v>
      </x:c>
      <x:c r="B4081" s="2" t="str">
        <x:v>559ac9132200a3d08ce7</x:v>
      </x:c>
      <x:c r="C4081" s="2" t="str">
        <x:v>Tp Hồ Chí Minh</x:v>
      </x:c>
      <x:c r="D4081" s="2" t="str">
        <x:v>Quận Tân Bình</x:v>
      </x:c>
      <x:c r="E4081" s="2" t="str">
        <x:v>other_unknown</x:v>
      </x:c>
      <x:c r="F4081" s="2" t="str">
        <x:v>sale_assumed</x:v>
      </x:c>
      <x:c r="G4081" s="11" t="n">
        <x:v>100</x:v>
      </x:c>
      <x:c r="H4081" s="12" t="n">
        <x:v>7500000000</x:v>
      </x:c>
      <x:c r="I4081" s="12" t="n">
        <x:v>75000000</x:v>
      </x:c>
      <x:c r="J4081" s="2" t="str">
        <x:v>total</x:v>
      </x:c>
      <x:c r="K4081" s="2" t="str">
        <x:v>top_level_area</x:v>
      </x:c>
      <x:c r="L4081" s="2" t="str">
        <x:v>property_type_inferred_from_title;transaction_assumed_sale_from_dataset_context;unknown_property_type</x:v>
      </x:c>
      <x:c r="M4081" s="10" t="n">
        <x:v>0</x:v>
      </x:c>
      <x:c r="N4081" s="10" t="n">
        <x:v>0</x:v>
      </x:c>
      <x:c r="O4081" s="2" t="str">
        <x:v>Tp Hồ Chí Minh|other_unknown</x:v>
      </x:c>
      <x:c r="P4081" s="10" t="n">
        <x:v>2</x:v>
      </x:c>
      <x:c r="Q4081" s="13" t="n">
        <x:f>IF(H4081="","",H4081/1000000000)</x:f>
        <x:v>7.5</x:v>
      </x:c>
      <x:c r="R4081" s="13" t="n">
        <x:f>IF(I4081="","",I4081/1000000)</x:f>
        <x:v>75</x:v>
      </x:c>
    </x:row>
    <x:row r="4082" ht="21" customHeight="1">
      <x:c r="A4082" s="10" t="n">
        <x:v>5503</x:v>
      </x:c>
      <x:c r="B4082" s="2" t="str">
        <x:v>23d4079c9a416cca7e64</x:v>
      </x:c>
      <x:c r="C4082" s="2" t="str">
        <x:v>Đà Nẵng</x:v>
      </x:c>
      <x:c r="D4082" s="2" t="str">
        <x:v>Quận Hải Châu</x:v>
      </x:c>
      <x:c r="E4082" s="2" t="str">
        <x:v>house</x:v>
      </x:c>
      <x:c r="F4082" s="2" t="str">
        <x:v>sale</x:v>
      </x:c>
      <x:c r="G4082" s="11" t="n">
        <x:v>60</x:v>
      </x:c>
      <x:c r="H4082" s="12" t="n">
        <x:v>4590000000</x:v>
      </x:c>
      <x:c r="I4082" s="12" t="n">
        <x:v>76500000</x:v>
      </x:c>
      <x:c r="J4082" s="2" t="str">
        <x:v>total</x:v>
      </x:c>
      <x:c r="K4082" s="2" t="str">
        <x:v>top_level_area</x:v>
      </x:c>
      <x:c r="L4082" s="2" t="str">
        <x:v>property_type_inferred_from_title</x:v>
      </x:c>
      <x:c r="M4082" s="10" t="n">
        <x:v>0</x:v>
      </x:c>
      <x:c r="N4082" s="10" t="n">
        <x:v>0</x:v>
      </x:c>
      <x:c r="O4082" s="2" t="str">
        <x:v>Đà Nẵng|house</x:v>
      </x:c>
      <x:c r="P4082" s="10" t="n">
        <x:v>2</x:v>
      </x:c>
      <x:c r="Q4082" s="13" t="n">
        <x:f>IF(H4082="","",H4082/1000000000)</x:f>
        <x:v>4.59</x:v>
      </x:c>
      <x:c r="R4082" s="13" t="n">
        <x:f>IF(I4082="","",I4082/1000000)</x:f>
        <x:v>76.5</x:v>
      </x:c>
    </x:row>
    <x:row r="4083" ht="21" customHeight="1">
      <x:c r="A4083" s="10" t="n">
        <x:v>5504</x:v>
      </x:c>
      <x:c r="B4083" s="2" t="str">
        <x:v>31f92828c5b7cb04ed7f</x:v>
      </x:c>
      <x:c r="C4083" s="2" t="str">
        <x:v>Tp Hồ Chí Minh</x:v>
      </x:c>
      <x:c r="D4083" s="2" t="str">
        <x:v>Quận 12</x:v>
      </x:c>
      <x:c r="E4083" s="2" t="str">
        <x:v>land</x:v>
      </x:c>
      <x:c r="F4083" s="2" t="str">
        <x:v>sale</x:v>
      </x:c>
      <x:c r="G4083" s="11" t="n">
        <x:v>151</x:v>
      </x:c>
      <x:c r="H4083" s="12" t="n">
        <x:v>6200000000</x:v>
      </x:c>
      <x:c r="I4083" s="12" t="n">
        <x:v>41059602.64900662</x:v>
      </x:c>
      <x:c r="J4083" s="2" t="str">
        <x:v>total</x:v>
      </x:c>
      <x:c r="K4083" s="2" t="str">
        <x:v>top_level_area</x:v>
      </x:c>
      <x:c r="L4083" s="2" t="str">
        <x:v>property_type_inferred_from_title</x:v>
      </x:c>
      <x:c r="M4083" s="10" t="n">
        <x:v>0</x:v>
      </x:c>
      <x:c r="N4083" s="10" t="n">
        <x:v>0</x:v>
      </x:c>
      <x:c r="O4083" s="2" t="str">
        <x:v>Tp Hồ Chí Minh|land</x:v>
      </x:c>
      <x:c r="P4083" s="10" t="n">
        <x:v>2</x:v>
      </x:c>
      <x:c r="Q4083" s="13" t="n">
        <x:f>IF(H4083="","",H4083/1000000000)</x:f>
        <x:v>6.2</x:v>
      </x:c>
      <x:c r="R4083" s="13" t="n">
        <x:f>IF(I4083="","",I4083/1000000)</x:f>
        <x:v>41.05960264900662</x:v>
      </x:c>
    </x:row>
    <x:row r="4084" ht="21" customHeight="1">
      <x:c r="A4084" s="10" t="n">
        <x:v>5505</x:v>
      </x:c>
      <x:c r="B4084" s="2" t="str">
        <x:v>9ea4cfdbce35431655ca</x:v>
      </x:c>
      <x:c r="C4084" s="2" t="str">
        <x:v>Bình Dương</x:v>
      </x:c>
      <x:c r="D4084" s="2" t="str">
        <x:v>Thị xã Tân Uyên</x:v>
      </x:c>
      <x:c r="E4084" s="2" t="str">
        <x:v>house</x:v>
      </x:c>
      <x:c r="F4084" s="2" t="str">
        <x:v>sale_assumed</x:v>
      </x:c>
      <x:c r="G4084" s="11" t="n">
        <x:v>200</x:v>
      </x:c>
      <x:c r="H4084" s="12" t="n">
        <x:v>1800000000</x:v>
      </x:c>
      <x:c r="I4084" s="12" t="n">
        <x:v>9000000</x:v>
      </x:c>
      <x:c r="J4084" s="2" t="str">
        <x:v>total</x:v>
      </x:c>
      <x:c r="K4084" s="2" t="str">
        <x:v>top_level_area</x:v>
      </x:c>
      <x:c r="L4084" s="2" t="str">
        <x:v>property_type_inferred_from_title;transaction_assumed_sale_from_dataset_context</x:v>
      </x:c>
      <x:c r="M4084" s="10" t="n">
        <x:v>0</x:v>
      </x:c>
      <x:c r="N4084" s="10" t="n">
        <x:v>0</x:v>
      </x:c>
      <x:c r="O4084" s="2" t="str">
        <x:v>Bình Dương|house</x:v>
      </x:c>
      <x:c r="P4084" s="10" t="n">
        <x:v>2</x:v>
      </x:c>
      <x:c r="Q4084" s="13" t="n">
        <x:f>IF(H4084="","",H4084/1000000000)</x:f>
        <x:v>1.8</x:v>
      </x:c>
      <x:c r="R4084" s="13" t="n">
        <x:f>IF(I4084="","",I4084/1000000)</x:f>
        <x:v>9</x:v>
      </x:c>
    </x:row>
    <x:row r="4085" ht="21" customHeight="1">
      <x:c r="A4085" s="10" t="n">
        <x:v>5506</x:v>
      </x:c>
      <x:c r="B4085" s="2" t="str">
        <x:v>449ee32ac402944c9f78</x:v>
      </x:c>
      <x:c r="C4085" s="2" t="str">
        <x:v>Tp Hồ Chí Minh</x:v>
      </x:c>
      <x:c r="D4085" s="2" t="str">
        <x:v>Huyện Bình Chánh</x:v>
      </x:c>
      <x:c r="E4085" s="2" t="str">
        <x:v>house</x:v>
      </x:c>
      <x:c r="F4085" s="2" t="str">
        <x:v>sale_assumed</x:v>
      </x:c>
      <x:c r="G4085" s="11" t="n">
        <x:v>80</x:v>
      </x:c>
      <x:c r="H4085" s="12" t="n">
        <x:v>880000000</x:v>
      </x:c>
      <x:c r="I4085" s="12" t="n">
        <x:v>11000000</x:v>
      </x:c>
      <x:c r="J4085" s="2" t="str">
        <x:v>total</x:v>
      </x:c>
      <x:c r="K4085" s="2" t="str">
        <x:v>top_level_area</x:v>
      </x:c>
      <x:c r="L4085" s="2" t="str">
        <x:v>property_type_inferred_from_title;transaction_assumed_sale_from_dataset_context</x:v>
      </x:c>
      <x:c r="M4085" s="10" t="n">
        <x:v>0</x:v>
      </x:c>
      <x:c r="N4085" s="10" t="n">
        <x:v>0</x:v>
      </x:c>
      <x:c r="O4085" s="2" t="str">
        <x:v>Tp Hồ Chí Minh|house</x:v>
      </x:c>
      <x:c r="P4085" s="10" t="n">
        <x:v>2</x:v>
      </x:c>
      <x:c r="Q4085" s="13" t="n">
        <x:f>IF(H4085="","",H4085/1000000000)</x:f>
        <x:v>0.88</x:v>
      </x:c>
      <x:c r="R4085" s="13" t="n">
        <x:f>IF(I4085="","",I4085/1000000)</x:f>
        <x:v>11</x:v>
      </x:c>
    </x:row>
    <x:row r="4086" ht="21" customHeight="1">
      <x:c r="A4086" s="10" t="n">
        <x:v>5507</x:v>
      </x:c>
      <x:c r="B4086" s="2" t="str">
        <x:v>9d8e591196e88a14d288</x:v>
      </x:c>
      <x:c r="C4086" s="2" t="str">
        <x:v>Tp Hồ Chí Minh</x:v>
      </x:c>
      <x:c r="D4086" s="2" t="str">
        <x:v>Huyện Bình Chánh</x:v>
      </x:c>
      <x:c r="E4086" s="2" t="str">
        <x:v>land</x:v>
      </x:c>
      <x:c r="F4086" s="2" t="str">
        <x:v>sale</x:v>
      </x:c>
      <x:c r="G4086" s="11" t="n">
        <x:v>60</x:v>
      </x:c>
      <x:c r="H4086" s="12" t="n">
        <x:v>1700000000</x:v>
      </x:c>
      <x:c r="I4086" s="12" t="n">
        <x:v>28333333.333333332</x:v>
      </x:c>
      <x:c r="J4086" s="2" t="str">
        <x:v>total</x:v>
      </x:c>
      <x:c r="K4086" s="2" t="str">
        <x:v>top_level_area</x:v>
      </x:c>
      <x:c r="L4086" s="2" t="str">
        <x:v>property_type_inferred_from_title</x:v>
      </x:c>
      <x:c r="M4086" s="10" t="n">
        <x:v>0</x:v>
      </x:c>
      <x:c r="N4086" s="10" t="n">
        <x:v>0</x:v>
      </x:c>
      <x:c r="O4086" s="2" t="str">
        <x:v>Tp Hồ Chí Minh|land</x:v>
      </x:c>
      <x:c r="P4086" s="10" t="n">
        <x:v>2</x:v>
      </x:c>
      <x:c r="Q4086" s="13" t="n">
        <x:f>IF(H4086="","",H4086/1000000000)</x:f>
        <x:v>1.7</x:v>
      </x:c>
      <x:c r="R4086" s="13" t="n">
        <x:f>IF(I4086="","",I4086/1000000)</x:f>
        <x:v>28.333333333333332</x:v>
      </x:c>
    </x:row>
    <x:row r="4087" ht="21" customHeight="1">
      <x:c r="A4087" s="10" t="n">
        <x:v>5508</x:v>
      </x:c>
      <x:c r="B4087" s="2" t="str">
        <x:v>57db17b6d86fcc3cfaa8</x:v>
      </x:c>
      <x:c r="C4087" s="2" t="str">
        <x:v>Tp Hồ Chí Minh</x:v>
      </x:c>
      <x:c r="D4087" s="2" t="str">
        <x:v>Quận 7</x:v>
      </x:c>
      <x:c r="E4087" s="2" t="str">
        <x:v>other_unknown</x:v>
      </x:c>
      <x:c r="F4087" s="2" t="str">
        <x:v>sale</x:v>
      </x:c>
      <x:c r="G4087" s="11" t="n">
        <x:v>50</x:v>
      </x:c>
      <x:c r="H4087" s="12" t="n">
        <x:v>1175000000</x:v>
      </x:c>
      <x:c r="I4087" s="12" t="n">
        <x:v>23500000</x:v>
      </x:c>
      <x:c r="J4087" s="2" t="str">
        <x:v>total</x:v>
      </x:c>
      <x:c r="K4087" s="2" t="str">
        <x:v>top_level_area</x:v>
      </x:c>
      <x:c r="L4087" s="2" t="str">
        <x:v>property_type_inferred_from_title;unknown_property_type</x:v>
      </x:c>
      <x:c r="M4087" s="10" t="n">
        <x:v>0</x:v>
      </x:c>
      <x:c r="N4087" s="10" t="n">
        <x:v>0</x:v>
      </x:c>
      <x:c r="O4087" s="2" t="str">
        <x:v>Tp Hồ Chí Minh|other_unknown</x:v>
      </x:c>
      <x:c r="P4087" s="10" t="n">
        <x:v>2</x:v>
      </x:c>
      <x:c r="Q4087" s="13" t="n">
        <x:f>IF(H4087="","",H4087/1000000000)</x:f>
        <x:v>1.175</x:v>
      </x:c>
      <x:c r="R4087" s="13" t="n">
        <x:f>IF(I4087="","",I4087/1000000)</x:f>
        <x:v>23.5</x:v>
      </x:c>
    </x:row>
    <x:row r="4088" ht="21" customHeight="1">
      <x:c r="A4088" s="10" t="n">
        <x:v>5509</x:v>
      </x:c>
      <x:c r="B4088" s="2" t="str">
        <x:v>4fb96c810a591af57c70</x:v>
      </x:c>
      <x:c r="C4088" s="2" t="str">
        <x:v>Sóc Trăng</x:v>
      </x:c>
      <x:c r="D4088" s="2" t="str">
        <x:v>Thành phố Sóc Trăng</x:v>
      </x:c>
      <x:c r="E4088" s="2" t="str">
        <x:v>land</x:v>
      </x:c>
      <x:c r="F4088" s="2" t="str">
        <x:v>sale_assumed</x:v>
      </x:c>
      <x:c r="G4088" s="11" t="n">
        <x:v>100</x:v>
      </x:c>
      <x:c r="H4088" s="12" t="n">
        <x:v>780000000</x:v>
      </x:c>
      <x:c r="I4088" s="12" t="n">
        <x:v>7800000</x:v>
      </x:c>
      <x:c r="J4088" s="2" t="str">
        <x:v>total</x:v>
      </x:c>
      <x:c r="K4088" s="2" t="str">
        <x:v>top_level_area</x:v>
      </x:c>
      <x:c r="L4088" s="2" t="str">
        <x:v>property_type_inferred_from_title;transaction_assumed_sale_from_dataset_context</x:v>
      </x:c>
      <x:c r="M4088" s="10" t="n">
        <x:v>0</x:v>
      </x:c>
      <x:c r="N4088" s="10" t="n">
        <x:v>0</x:v>
      </x:c>
      <x:c r="O4088" s="2" t="str">
        <x:v>land</x:v>
      </x:c>
      <x:c r="P4088" s="10" t="n">
        <x:v>2</x:v>
      </x:c>
      <x:c r="Q4088" s="13" t="n">
        <x:f>IF(H4088="","",H4088/1000000000)</x:f>
        <x:v>0.78</x:v>
      </x:c>
      <x:c r="R4088" s="13" t="n">
        <x:f>IF(I4088="","",I4088/1000000)</x:f>
        <x:v>7.8</x:v>
      </x:c>
    </x:row>
    <x:row r="4089" ht="21" customHeight="1">
      <x:c r="A4089" s="10" t="n">
        <x:v>5510</x:v>
      </x:c>
      <x:c r="B4089" s="2" t="str">
        <x:v>4dd937db6508d7b99a53</x:v>
      </x:c>
      <x:c r="C4089" s="2" t="str">
        <x:v>Hà Nội</x:v>
      </x:c>
      <x:c r="D4089" s="2" t="str">
        <x:v>Quận Hà Đông</x:v>
      </x:c>
      <x:c r="E4089" s="2" t="str">
        <x:v>other_unknown</x:v>
      </x:c>
      <x:c r="F4089" s="2" t="str">
        <x:v>sale_assumed</x:v>
      </x:c>
      <x:c r="G4089" s="11" t="n">
        <x:v>35</x:v>
      </x:c>
      <x:c r="H4089" s="12" t="n">
        <x:v>2640000000</x:v>
      </x:c>
      <x:c r="I4089" s="12" t="n">
        <x:v>75428571.42857143</x:v>
      </x:c>
      <x:c r="J4089" s="2" t="str">
        <x:v>total</x:v>
      </x:c>
      <x:c r="K4089" s="2" t="str">
        <x:v>top_level_area</x:v>
      </x:c>
      <x:c r="L4089" s="2" t="str">
        <x:v>property_type_inferred_from_title;transaction_assumed_sale_from_dataset_context;unknown_property_type</x:v>
      </x:c>
      <x:c r="M4089" s="10" t="n">
        <x:v>0</x:v>
      </x:c>
      <x:c r="N4089" s="10" t="n">
        <x:v>0</x:v>
      </x:c>
      <x:c r="O4089" s="2" t="str">
        <x:v>Hà Nội|other_unknown</x:v>
      </x:c>
      <x:c r="P4089" s="10" t="n">
        <x:v>2</x:v>
      </x:c>
      <x:c r="Q4089" s="13" t="n">
        <x:f>IF(H4089="","",H4089/1000000000)</x:f>
        <x:v>2.64</x:v>
      </x:c>
      <x:c r="R4089" s="13" t="n">
        <x:f>IF(I4089="","",I4089/1000000)</x:f>
        <x:v>75.42857142857143</x:v>
      </x:c>
    </x:row>
    <x:row r="4090" ht="21" customHeight="1">
      <x:c r="A4090" s="10" t="n">
        <x:v>5511</x:v>
      </x:c>
      <x:c r="B4090" s="2" t="str">
        <x:v>17acdb97644c0f417b20</x:v>
      </x:c>
      <x:c r="C4090" s="2" t="str">
        <x:v>Bình Phước</x:v>
      </x:c>
      <x:c r="D4090" s="2" t="str">
        <x:v>Huyện Đồng Phú</x:v>
      </x:c>
      <x:c r="E4090" s="2" t="str">
        <x:v>land</x:v>
      </x:c>
      <x:c r="F4090" s="2" t="str">
        <x:v>sale</x:v>
      </x:c>
      <x:c r="G4090" s="11" t="n">
        <x:v>1173</x:v>
      </x:c>
      <x:c r="H4090" s="12" t="n">
        <x:v>440000000</x:v>
      </x:c>
      <x:c r="I4090" s="12" t="n">
        <x:v>375106.56436487637</x:v>
      </x:c>
      <x:c r="J4090" s="2" t="str">
        <x:v>total</x:v>
      </x:c>
      <x:c r="K4090" s="2" t="str">
        <x:v>top_level_area</x:v>
      </x:c>
      <x:c r="L4090" s="2" t="str">
        <x:v>dot_thousands_convention;property_type_inferred_from_title</x:v>
      </x:c>
      <x:c r="M4090" s="10" t="n">
        <x:v>0</x:v>
      </x:c>
      <x:c r="N4090" s="10" t="n">
        <x:v>0</x:v>
      </x:c>
      <x:c r="O4090" s="2" t="str">
        <x:v>Bình Phước|land</x:v>
      </x:c>
      <x:c r="P4090" s="10" t="n">
        <x:v>1</x:v>
      </x:c>
      <x:c r="Q4090" s="13" t="n">
        <x:f>IF(H4090="","",H4090/1000000000)</x:f>
        <x:v>0.44</x:v>
      </x:c>
      <x:c r="R4090" s="13" t="n">
        <x:f>IF(I4090="","",I4090/1000000)</x:f>
        <x:v>0.3751065643648764</x:v>
      </x:c>
    </x:row>
    <x:row r="4091" ht="21" customHeight="1">
      <x:c r="A4091" s="10" t="n">
        <x:v>5512</x:v>
      </x:c>
      <x:c r="B4091" s="2" t="str">
        <x:v>5c95bd1299acfa7649d6</x:v>
      </x:c>
      <x:c r="C4091" s="2" t="str">
        <x:v>Đà Nẵng</x:v>
      </x:c>
      <x:c r="D4091" s="2" t="str">
        <x:v>Quận Hải Châu</x:v>
      </x:c>
      <x:c r="E4091" s="2" t="str">
        <x:v>house</x:v>
      </x:c>
      <x:c r="F4091" s="2" t="str">
        <x:v>sale</x:v>
      </x:c>
      <x:c r="G4091" s="11" t="n">
        <x:v>218</x:v>
      </x:c>
      <x:c r="H4091" s="12" t="n">
        <x:v>17500000000</x:v>
      </x:c>
      <x:c r="I4091" s="12" t="n">
        <x:v>80275229.35779816</x:v>
      </x:c>
      <x:c r="J4091" s="2" t="str">
        <x:v>total</x:v>
      </x:c>
      <x:c r="K4091" s="2" t="str">
        <x:v>top_level_area</x:v>
      </x:c>
      <x:c r="L4091" s="2" t="str">
        <x:v>property_type_inferred_from_title</x:v>
      </x:c>
      <x:c r="M4091" s="10" t="n">
        <x:v>0</x:v>
      </x:c>
      <x:c r="N4091" s="10" t="n">
        <x:v>0</x:v>
      </x:c>
      <x:c r="O4091" s="2" t="str">
        <x:v>Đà Nẵng|house</x:v>
      </x:c>
      <x:c r="P4091" s="10" t="n">
        <x:v>2</x:v>
      </x:c>
      <x:c r="Q4091" s="13" t="n">
        <x:f>IF(H4091="","",H4091/1000000000)</x:f>
        <x:v>17.5</x:v>
      </x:c>
      <x:c r="R4091" s="13" t="n">
        <x:f>IF(I4091="","",I4091/1000000)</x:f>
        <x:v>80.27522935779815</x:v>
      </x:c>
    </x:row>
    <x:row r="4092" ht="21" customHeight="1">
      <x:c r="A4092" s="10" t="n">
        <x:v>5515</x:v>
      </x:c>
      <x:c r="B4092" s="2" t="str">
        <x:v>a9e99ab559aab67b7244</x:v>
      </x:c>
      <x:c r="C4092" s="2" t="str">
        <x:v>Tp Hồ Chí Minh</x:v>
      </x:c>
      <x:c r="D4092" s="2" t="str">
        <x:v>Quận 8</x:v>
      </x:c>
      <x:c r="E4092" s="2" t="str">
        <x:v>house</x:v>
      </x:c>
      <x:c r="F4092" s="2" t="str">
        <x:v>sale</x:v>
      </x:c>
      <x:c r="G4092" s="11" t="n">
        <x:v>36</x:v>
      </x:c>
      <x:c r="H4092" s="12" t="n">
        <x:v>1850000000</x:v>
      </x:c>
      <x:c r="I4092" s="12" t="n">
        <x:v>51388888.88888889</x:v>
      </x:c>
      <x:c r="J4092" s="2" t="str">
        <x:v>total</x:v>
      </x:c>
      <x:c r="K4092" s="2" t="str">
        <x:v>top_level_area</x:v>
      </x:c>
      <x:c r="L4092" s="2" t="str">
        <x:v>property_type_inferred_from_title</x:v>
      </x:c>
      <x:c r="M4092" s="10" t="n">
        <x:v>0</x:v>
      </x:c>
      <x:c r="N4092" s="10" t="n">
        <x:v>0</x:v>
      </x:c>
      <x:c r="O4092" s="2" t="str">
        <x:v>Tp Hồ Chí Minh|house</x:v>
      </x:c>
      <x:c r="P4092" s="10" t="n">
        <x:v>2</x:v>
      </x:c>
      <x:c r="Q4092" s="13" t="n">
        <x:f>IF(H4092="","",H4092/1000000000)</x:f>
        <x:v>1.85</x:v>
      </x:c>
      <x:c r="R4092" s="13" t="n">
        <x:f>IF(I4092="","",I4092/1000000)</x:f>
        <x:v>51.388888888888886</x:v>
      </x:c>
    </x:row>
    <x:row r="4093" ht="21" customHeight="1">
      <x:c r="A4093" s="10" t="n">
        <x:v>5516</x:v>
      </x:c>
      <x:c r="B4093" s="2" t="str">
        <x:v>eb6d1a04623b4a0d3f40</x:v>
      </x:c>
      <x:c r="C4093" s="2" t="str">
        <x:v>Đồng Nai</x:v>
      </x:c>
      <x:c r="D4093" s="2" t="str">
        <x:v>Thành phố Biên Hòa</x:v>
      </x:c>
      <x:c r="E4093" s="2" t="str">
        <x:v>land</x:v>
      </x:c>
      <x:c r="F4093" s="2" t="str">
        <x:v>sale_assumed</x:v>
      </x:c>
      <x:c r="G4093" s="11" t="n">
        <x:v>100</x:v>
      </x:c>
      <x:c r="H4093" s="12" t="n">
        <x:v>235000000</x:v>
      </x:c>
      <x:c r="I4093" s="12" t="n">
        <x:v>2350000</x:v>
      </x:c>
      <x:c r="J4093" s="2" t="str">
        <x:v>total</x:v>
      </x:c>
      <x:c r="K4093" s="2" t="str">
        <x:v>top_level_area</x:v>
      </x:c>
      <x:c r="L4093" s="2" t="str">
        <x:v>property_type_inferred_from_title;transaction_assumed_sale_from_dataset_context</x:v>
      </x:c>
      <x:c r="M4093" s="10" t="n">
        <x:v>0</x:v>
      </x:c>
      <x:c r="N4093" s="10" t="n">
        <x:v>0</x:v>
      </x:c>
      <x:c r="O4093" s="2" t="str">
        <x:v>Đồng Nai|land</x:v>
      </x:c>
      <x:c r="P4093" s="10" t="n">
        <x:v>1</x:v>
      </x:c>
      <x:c r="Q4093" s="13" t="n">
        <x:f>IF(H4093="","",H4093/1000000000)</x:f>
        <x:v>0.235</x:v>
      </x:c>
      <x:c r="R4093" s="13" t="n">
        <x:f>IF(I4093="","",I4093/1000000)</x:f>
        <x:v>2.35</x:v>
      </x:c>
    </x:row>
    <x:row r="4094" ht="21" customHeight="1">
      <x:c r="A4094" s="10" t="n">
        <x:v>5517</x:v>
      </x:c>
      <x:c r="B4094" s="2" t="str">
        <x:v>9e6ffdbe95505ce6692f</x:v>
      </x:c>
      <x:c r="C4094" s="2" t="str">
        <x:v>Hà Nội</x:v>
      </x:c>
      <x:c r="D4094" s="2" t="str">
        <x:v>Quận Hà Đông</x:v>
      </x:c>
      <x:c r="E4094" s="2" t="str">
        <x:v>land</x:v>
      </x:c>
      <x:c r="F4094" s="2" t="str">
        <x:v>sale_assumed</x:v>
      </x:c>
      <x:c r="G4094" s="11" t="n">
        <x:v>47</x:v>
      </x:c>
      <x:c r="H4094" s="12" t="n">
        <x:v>900000000</x:v>
      </x:c>
      <x:c r="I4094" s="12" t="n">
        <x:v>19148936.170212764</x:v>
      </x:c>
      <x:c r="J4094" s="2" t="str">
        <x:v>total</x:v>
      </x:c>
      <x:c r="K4094" s="2" t="str">
        <x:v>top_level_area</x:v>
      </x:c>
      <x:c r="L4094" s="2" t="str">
        <x:v>property_type_inferred_from_title;transaction_assumed_sale_from_dataset_context</x:v>
      </x:c>
      <x:c r="M4094" s="10" t="n">
        <x:v>0</x:v>
      </x:c>
      <x:c r="N4094" s="10" t="n">
        <x:v>0</x:v>
      </x:c>
      <x:c r="O4094" s="2" t="str">
        <x:v>Hà Nội|land</x:v>
      </x:c>
      <x:c r="P4094" s="10" t="n">
        <x:v>2</x:v>
      </x:c>
      <x:c r="Q4094" s="13" t="n">
        <x:f>IF(H4094="","",H4094/1000000000)</x:f>
        <x:v>0.9</x:v>
      </x:c>
      <x:c r="R4094" s="13" t="n">
        <x:f>IF(I4094="","",I4094/1000000)</x:f>
        <x:v>19.148936170212764</x:v>
      </x:c>
    </x:row>
    <x:row r="4095" ht="21" customHeight="1">
      <x:c r="A4095" s="10" t="n">
        <x:v>5518</x:v>
      </x:c>
      <x:c r="B4095" s="2" t="str">
        <x:v>fcbf43f29f033672bac7</x:v>
      </x:c>
      <x:c r="C4095" s="2" t="str">
        <x:v>Đà Nẵng</x:v>
      </x:c>
      <x:c r="D4095" s="2" t="str">
        <x:v>Quận Liên Chiểu</x:v>
      </x:c>
      <x:c r="E4095" s="2" t="str">
        <x:v>land</x:v>
      </x:c>
      <x:c r="F4095" s="2" t="str">
        <x:v>sale_assumed</x:v>
      </x:c>
      <x:c r="G4095" s="11" t="n">
        <x:v>70.68</x:v>
      </x:c>
      <x:c r="H4095" s="12" t="n">
        <x:v>1495000000</x:v>
      </x:c>
      <x:c r="I4095" s="12" t="n">
        <x:v>21151669.496321447</x:v>
      </x:c>
      <x:c r="J4095" s="2" t="str">
        <x:v>total</x:v>
      </x:c>
      <x:c r="K4095" s="2" t="str">
        <x:v>top_level_area</x:v>
      </x:c>
      <x:c r="L4095" s="2" t="str">
        <x:v>property_type_inferred_from_title;transaction_assumed_sale_from_dataset_context</x:v>
      </x:c>
      <x:c r="M4095" s="10" t="n">
        <x:v>0</x:v>
      </x:c>
      <x:c r="N4095" s="10" t="n">
        <x:v>0</x:v>
      </x:c>
      <x:c r="O4095" s="2" t="str">
        <x:v>Đà Nẵng|land</x:v>
      </x:c>
      <x:c r="P4095" s="10" t="n">
        <x:v>2</x:v>
      </x:c>
      <x:c r="Q4095" s="13" t="n">
        <x:f>IF(H4095="","",H4095/1000000000)</x:f>
        <x:v>1.495</x:v>
      </x:c>
      <x:c r="R4095" s="13" t="n">
        <x:f>IF(I4095="","",I4095/1000000)</x:f>
        <x:v>21.151669496321446</x:v>
      </x:c>
    </x:row>
    <x:row r="4096" ht="21" customHeight="1">
      <x:c r="A4096" s="10" t="n">
        <x:v>5519</x:v>
      </x:c>
      <x:c r="B4096" s="2" t="str">
        <x:v>aca585e889551d64c866</x:v>
      </x:c>
      <x:c r="C4096" s="2" t="str">
        <x:v>Đắk Lắk</x:v>
      </x:c>
      <x:c r="D4096" s="2" t="str">
        <x:v>Huyện Cư M'gar</x:v>
      </x:c>
      <x:c r="E4096" s="2" t="str">
        <x:v>land</x:v>
      </x:c>
      <x:c r="F4096" s="2" t="str">
        <x:v>sale_assumed</x:v>
      </x:c>
      <x:c r="G4096" s="11" t="n">
        <x:v>5510</x:v>
      </x:c>
      <x:c r="H4096" s="12" t="n">
        <x:v>1080000000</x:v>
      </x:c>
      <x:c r="I4096" s="12" t="n">
        <x:v>196007.25952813067</x:v>
      </x:c>
      <x:c r="J4096" s="2" t="str">
        <x:v>total</x:v>
      </x:c>
      <x:c r="K4096" s="2" t="str">
        <x:v>top_level_price_embedded_area</x:v>
      </x:c>
      <x:c r="L4096" s="2" t="str">
        <x:v>area_recovered_from_price_text;dot_thousands_convention;property_type_inferred_from_title;transaction_assumed_sale_from_dataset_context</x:v>
      </x:c>
      <x:c r="M4096" s="10" t="n">
        <x:v>0</x:v>
      </x:c>
      <x:c r="N4096" s="10" t="n">
        <x:v>0</x:v>
      </x:c>
      <x:c r="O4096" s="2" t="str">
        <x:v>Đắk Lắk|land</x:v>
      </x:c>
      <x:c r="P4096" s="10" t="n">
        <x:v>1</x:v>
      </x:c>
      <x:c r="Q4096" s="13" t="n">
        <x:f>IF(H4096="","",H4096/1000000000)</x:f>
        <x:v>1.08</x:v>
      </x:c>
      <x:c r="R4096" s="13" t="n">
        <x:f>IF(I4096="","",I4096/1000000)</x:f>
        <x:v>0.19600725952813067</x:v>
      </x:c>
    </x:row>
    <x:row r="4097" ht="21" customHeight="1">
      <x:c r="A4097" s="10" t="n">
        <x:v>5520</x:v>
      </x:c>
      <x:c r="B4097" s="2" t="str">
        <x:v>d73c978581ae98f1dc87</x:v>
      </x:c>
      <x:c r="C4097" s="2" t="str">
        <x:v>Đà Nẵng</x:v>
      </x:c>
      <x:c r="D4097" s="2" t="str">
        <x:v>Quận Ngũ Hành Sơn</x:v>
      </x:c>
      <x:c r="E4097" s="2" t="str">
        <x:v>other_unknown</x:v>
      </x:c>
      <x:c r="F4097" s="2" t="str">
        <x:v>sale_assumed</x:v>
      </x:c>
      <x:c r="G4097" s="11" t="n">
        <x:v>200</x:v>
      </x:c>
      <x:c r="H4097" s="12" t="n">
        <x:v>14000000000</x:v>
      </x:c>
      <x:c r="I4097" s="12" t="n">
        <x:v>70000000</x:v>
      </x:c>
      <x:c r="J4097" s="2" t="str">
        <x:v>total</x:v>
      </x:c>
      <x:c r="K4097" s="2" t="str">
        <x:v>top_level_area</x:v>
      </x:c>
      <x:c r="L4097" s="2" t="str">
        <x:v>property_type_inferred_from_title;transaction_assumed_sale_from_dataset_context;unknown_property_type</x:v>
      </x:c>
      <x:c r="M4097" s="10" t="n">
        <x:v>0</x:v>
      </x:c>
      <x:c r="N4097" s="10" t="n">
        <x:v>0</x:v>
      </x:c>
      <x:c r="O4097" s="2" t="str">
        <x:v>Đà Nẵng|other_unknown</x:v>
      </x:c>
      <x:c r="P4097" s="10" t="n">
        <x:v>2</x:v>
      </x:c>
      <x:c r="Q4097" s="13" t="n">
        <x:f>IF(H4097="","",H4097/1000000000)</x:f>
        <x:v>14</x:v>
      </x:c>
      <x:c r="R4097" s="13" t="n">
        <x:f>IF(I4097="","",I4097/1000000)</x:f>
        <x:v>70</x:v>
      </x:c>
    </x:row>
    <x:row r="4098" ht="21" customHeight="1">
      <x:c r="A4098" s="10" t="n">
        <x:v>5521</x:v>
      </x:c>
      <x:c r="B4098" s="2" t="str">
        <x:v>023608e437d4c3e45c46</x:v>
      </x:c>
      <x:c r="C4098" s="2" t="str">
        <x:v>Long An</x:v>
      </x:c>
      <x:c r="D4098" s="2" t="str">
        <x:v>Huyện Cần Đước</x:v>
      </x:c>
      <x:c r="E4098" s="2" t="str">
        <x:v>land</x:v>
      </x:c>
      <x:c r="F4098" s="2" t="str">
        <x:v>sale_assumed</x:v>
      </x:c>
      <x:c r="G4098" s="11" t="n">
        <x:v>82</x:v>
      </x:c>
      <x:c r="H4098" s="12" t="n">
        <x:v>520000000</x:v>
      </x:c>
      <x:c r="I4098" s="12" t="n">
        <x:v>6341463.414634147</x:v>
      </x:c>
      <x:c r="J4098" s="2" t="str">
        <x:v>total</x:v>
      </x:c>
      <x:c r="K4098" s="2" t="str">
        <x:v>top_level_area</x:v>
      </x:c>
      <x:c r="L4098" s="2" t="str">
        <x:v>property_type_inferred_from_title;transaction_assumed_sale_from_dataset_context</x:v>
      </x:c>
      <x:c r="M4098" s="10" t="n">
        <x:v>0</x:v>
      </x:c>
      <x:c r="N4098" s="10" t="n">
        <x:v>0</x:v>
      </x:c>
      <x:c r="O4098" s="2" t="str">
        <x:v>Long An|land</x:v>
      </x:c>
      <x:c r="P4098" s="10" t="n">
        <x:v>2</x:v>
      </x:c>
      <x:c r="Q4098" s="13" t="n">
        <x:f>IF(H4098="","",H4098/1000000000)</x:f>
        <x:v>0.52</x:v>
      </x:c>
      <x:c r="R4098" s="13" t="n">
        <x:f>IF(I4098="","",I4098/1000000)</x:f>
        <x:v>6.341463414634147</x:v>
      </x:c>
    </x:row>
    <x:row r="4099" ht="21" customHeight="1">
      <x:c r="A4099" s="10" t="n">
        <x:v>5522</x:v>
      </x:c>
      <x:c r="B4099" s="2" t="str">
        <x:v>6cee3fa5ef7cef42fbd1</x:v>
      </x:c>
      <x:c r="C4099" s="2" t="str">
        <x:v>Tây Ninh</x:v>
      </x:c>
      <x:c r="D4099" s="2" t="str">
        <x:v>Huyện Gò Dầu</x:v>
      </x:c>
      <x:c r="E4099" s="2" t="str">
        <x:v>land</x:v>
      </x:c>
      <x:c r="F4099" s="2" t="str">
        <x:v>sale_assumed</x:v>
      </x:c>
      <x:c r="G4099" s="11" t="n">
        <x:v>210</x:v>
      </x:c>
      <x:c r="H4099" s="12" t="n">
        <x:v>2660000000</x:v>
      </x:c>
      <x:c r="I4099" s="12" t="n">
        <x:v>12666666.666666666</x:v>
      </x:c>
      <x:c r="J4099" s="2" t="str">
        <x:v>total</x:v>
      </x:c>
      <x:c r="K4099" s="2" t="str">
        <x:v>top_level_area</x:v>
      </x:c>
      <x:c r="L4099" s="2" t="str">
        <x:v>property_type_inferred_from_title;transaction_assumed_sale_from_dataset_context</x:v>
      </x:c>
      <x:c r="M4099" s="10" t="n">
        <x:v>0</x:v>
      </x:c>
      <x:c r="N4099" s="10" t="n">
        <x:v>0</x:v>
      </x:c>
      <x:c r="O4099" s="2" t="str">
        <x:v>land</x:v>
      </x:c>
      <x:c r="P4099" s="10" t="n">
        <x:v>2</x:v>
      </x:c>
      <x:c r="Q4099" s="13" t="n">
        <x:f>IF(H4099="","",H4099/1000000000)</x:f>
        <x:v>2.66</x:v>
      </x:c>
      <x:c r="R4099" s="13" t="n">
        <x:f>IF(I4099="","",I4099/1000000)</x:f>
        <x:v>12.666666666666666</x:v>
      </x:c>
    </x:row>
    <x:row r="4100" ht="21" customHeight="1">
      <x:c r="A4100" s="10" t="n">
        <x:v>5523</x:v>
      </x:c>
      <x:c r="B4100" s="2" t="str">
        <x:v>7e7c7ec9d3b21f779e19</x:v>
      </x:c>
      <x:c r="C4100" s="2" t="str">
        <x:v>Hà Nội</x:v>
      </x:c>
      <x:c r="D4100" s="2" t="str">
        <x:v>Quận Hà Đông</x:v>
      </x:c>
      <x:c r="E4100" s="2" t="str">
        <x:v>other_unknown</x:v>
      </x:c>
      <x:c r="F4100" s="2" t="str">
        <x:v>sale_assumed</x:v>
      </x:c>
      <x:c r="G4100" s="11" t="n">
        <x:v>38</x:v>
      </x:c>
      <x:c r="H4100" s="12" t="n">
        <x:v>2350000000</x:v>
      </x:c>
      <x:c r="I4100" s="12" t="n">
        <x:v>61842105.2631579</x:v>
      </x:c>
      <x:c r="J4100" s="2" t="str">
        <x:v>total</x:v>
      </x:c>
      <x:c r="K4100" s="2" t="str">
        <x:v>top_level_area</x:v>
      </x:c>
      <x:c r="L4100" s="2" t="str">
        <x:v>property_type_inferred_from_title;transaction_assumed_sale_from_dataset_context;unknown_property_type</x:v>
      </x:c>
      <x:c r="M4100" s="10" t="n">
        <x:v>0</x:v>
      </x:c>
      <x:c r="N4100" s="10" t="n">
        <x:v>0</x:v>
      </x:c>
      <x:c r="O4100" s="2" t="str">
        <x:v>Hà Nội|other_unknown</x:v>
      </x:c>
      <x:c r="P4100" s="10" t="n">
        <x:v>2</x:v>
      </x:c>
      <x:c r="Q4100" s="13" t="n">
        <x:f>IF(H4100="","",H4100/1000000000)</x:f>
        <x:v>2.35</x:v>
      </x:c>
      <x:c r="R4100" s="13" t="n">
        <x:f>IF(I4100="","",I4100/1000000)</x:f>
        <x:v>61.8421052631579</x:v>
      </x:c>
    </x:row>
    <x:row r="4101" ht="21" customHeight="1">
      <x:c r="A4101" s="10" t="n">
        <x:v>5524</x:v>
      </x:c>
      <x:c r="B4101" s="2" t="str">
        <x:v>720bd43f20734efc0848</x:v>
      </x:c>
      <x:c r="C4101" s="2" t="str">
        <x:v>Tp Hồ Chí Minh</x:v>
      </x:c>
      <x:c r="D4101" s="2" t="str">
        <x:v>Quận Gò Vấp</x:v>
      </x:c>
      <x:c r="E4101" s="2" t="str">
        <x:v>house</x:v>
      </x:c>
      <x:c r="F4101" s="2" t="str">
        <x:v>sale</x:v>
      </x:c>
      <x:c r="G4101" s="11" t="n">
        <x:v>40</x:v>
      </x:c>
      <x:c r="H4101" s="12" t="n">
        <x:v>3150000000</x:v>
      </x:c>
      <x:c r="I4101" s="12" t="n">
        <x:v>78750000</x:v>
      </x:c>
      <x:c r="J4101" s="2" t="str">
        <x:v>total</x:v>
      </x:c>
      <x:c r="K4101" s="2" t="str">
        <x:v>top_level_area</x:v>
      </x:c>
      <x:c r="L4101" s="2" t="str">
        <x:v>property_type_inferred_from_title</x:v>
      </x:c>
      <x:c r="M4101" s="10" t="n">
        <x:v>0</x:v>
      </x:c>
      <x:c r="N4101" s="10" t="n">
        <x:v>0</x:v>
      </x:c>
      <x:c r="O4101" s="2" t="str">
        <x:v>Tp Hồ Chí Minh|house</x:v>
      </x:c>
      <x:c r="P4101" s="10" t="n">
        <x:v>2</x:v>
      </x:c>
      <x:c r="Q4101" s="13" t="n">
        <x:f>IF(H4101="","",H4101/1000000000)</x:f>
        <x:v>3.15</x:v>
      </x:c>
      <x:c r="R4101" s="13" t="n">
        <x:f>IF(I4101="","",I4101/1000000)</x:f>
        <x:v>78.75</x:v>
      </x:c>
    </x:row>
    <x:row r="4102" ht="21" customHeight="1">
      <x:c r="A4102" s="10" t="n">
        <x:v>5525</x:v>
      </x:c>
      <x:c r="B4102" s="2" t="str">
        <x:v>e6e676ea95e140956f96</x:v>
      </x:c>
      <x:c r="C4102" s="2" t="str">
        <x:v>Tp Hồ Chí Minh</x:v>
      </x:c>
      <x:c r="D4102" s="2" t="str">
        <x:v>Quận Tân Phú</x:v>
      </x:c>
      <x:c r="E4102" s="2" t="str">
        <x:v>house</x:v>
      </x:c>
      <x:c r="F4102" s="2" t="str">
        <x:v>sale</x:v>
      </x:c>
      <x:c r="G4102" s="11" t="n">
        <x:v>20</x:v>
      </x:c>
      <x:c r="H4102" s="12" t="n">
        <x:v>2400000000</x:v>
      </x:c>
      <x:c r="I4102" s="12" t="n">
        <x:v>120000000</x:v>
      </x:c>
      <x:c r="J4102" s="2" t="str">
        <x:v>total</x:v>
      </x:c>
      <x:c r="K4102" s="2" t="str">
        <x:v>top_level_area</x:v>
      </x:c>
      <x:c r="L4102" s="2" t="str">
        <x:v>property_type_inferred_from_title</x:v>
      </x:c>
      <x:c r="M4102" s="10" t="n">
        <x:v>0</x:v>
      </x:c>
      <x:c r="N4102" s="10" t="n">
        <x:v>0</x:v>
      </x:c>
      <x:c r="O4102" s="2" t="str">
        <x:v>Tp Hồ Chí Minh|house</x:v>
      </x:c>
      <x:c r="P4102" s="10" t="n">
        <x:v>2</x:v>
      </x:c>
      <x:c r="Q4102" s="13" t="n">
        <x:f>IF(H4102="","",H4102/1000000000)</x:f>
        <x:v>2.4</x:v>
      </x:c>
      <x:c r="R4102" s="13" t="n">
        <x:f>IF(I4102="","",I4102/1000000)</x:f>
        <x:v>120</x:v>
      </x:c>
    </x:row>
    <x:row r="4103" ht="21" customHeight="1">
      <x:c r="A4103" s="10" t="n">
        <x:v>5526</x:v>
      </x:c>
      <x:c r="B4103" s="2" t="str">
        <x:v>59ad11709a66b06d20a9</x:v>
      </x:c>
      <x:c r="C4103" s="2" t="str">
        <x:v>Hà Nội</x:v>
      </x:c>
      <x:c r="D4103" s="2" t="str">
        <x:v>Quận Đống Đa</x:v>
      </x:c>
      <x:c r="E4103" s="2" t="str">
        <x:v>house</x:v>
      </x:c>
      <x:c r="F4103" s="2" t="str">
        <x:v>sale_assumed</x:v>
      </x:c>
      <x:c r="G4103" s="11" t="n">
        <x:v>42</x:v>
      </x:c>
      <x:c r="H4103" s="12" t="n">
        <x:v>6100000000</x:v>
      </x:c>
      <x:c r="I4103" s="12" t="n">
        <x:v>145238095.23809522</x:v>
      </x:c>
      <x:c r="J4103" s="2" t="str">
        <x:v>total</x:v>
      </x:c>
      <x:c r="K4103" s="2" t="str">
        <x:v>top_level_area</x:v>
      </x:c>
      <x:c r="L4103" s="2" t="str">
        <x:v>property_type_inferred_from_title;transaction_assumed_sale_from_dataset_context</x:v>
      </x:c>
      <x:c r="M4103" s="10" t="n">
        <x:v>0</x:v>
      </x:c>
      <x:c r="N4103" s="10" t="n">
        <x:v>0</x:v>
      </x:c>
      <x:c r="O4103" s="2" t="str">
        <x:v>Hà Nội|house</x:v>
      </x:c>
      <x:c r="P4103" s="10" t="n">
        <x:v>2</x:v>
      </x:c>
      <x:c r="Q4103" s="13" t="n">
        <x:f>IF(H4103="","",H4103/1000000000)</x:f>
        <x:v>6.1</x:v>
      </x:c>
      <x:c r="R4103" s="13" t="n">
        <x:f>IF(I4103="","",I4103/1000000)</x:f>
        <x:v>145.2380952380952</x:v>
      </x:c>
    </x:row>
    <x:row r="4104" ht="21" customHeight="1">
      <x:c r="A4104" s="10" t="n">
        <x:v>5527</x:v>
      </x:c>
      <x:c r="B4104" s="2" t="str">
        <x:v>a25275672b934d3b5d54</x:v>
      </x:c>
      <x:c r="C4104" s="2" t="str">
        <x:v>Long An</x:v>
      </x:c>
      <x:c r="D4104" s="2" t="str">
        <x:v>Thành phố Tân An</x:v>
      </x:c>
      <x:c r="E4104" s="2" t="str">
        <x:v>other_unknown</x:v>
      </x:c>
      <x:c r="F4104" s="2" t="str">
        <x:v>sale_assumed</x:v>
      </x:c>
      <x:c r="G4104" s="11" t="n">
        <x:v>525</x:v>
      </x:c>
      <x:c r="H4104" s="12" t="n">
        <x:v>3300000000</x:v>
      </x:c>
      <x:c r="I4104" s="12" t="n">
        <x:v>6285714.285714285</x:v>
      </x:c>
      <x:c r="J4104" s="2" t="str">
        <x:v>total</x:v>
      </x:c>
      <x:c r="K4104" s="2" t="str">
        <x:v>top_level_area</x:v>
      </x:c>
      <x:c r="L4104" s="2" t="str">
        <x:v>property_type_inferred_from_title;transaction_assumed_sale_from_dataset_context;unknown_property_type</x:v>
      </x:c>
      <x:c r="M4104" s="10" t="n">
        <x:v>0</x:v>
      </x:c>
      <x:c r="N4104" s="10" t="n">
        <x:v>0</x:v>
      </x:c>
      <x:c r="O4104" s="2" t="str">
        <x:v>Long An|other_unknown</x:v>
      </x:c>
      <x:c r="P4104" s="10" t="n">
        <x:v>1</x:v>
      </x:c>
      <x:c r="Q4104" s="13" t="n">
        <x:f>IF(H4104="","",H4104/1000000000)</x:f>
        <x:v>3.3</x:v>
      </x:c>
      <x:c r="R4104" s="13" t="n">
        <x:f>IF(I4104="","",I4104/1000000)</x:f>
        <x:v>6.285714285714286</x:v>
      </x:c>
    </x:row>
    <x:row r="4105" ht="21" customHeight="1">
      <x:c r="A4105" s="10" t="n">
        <x:v>5528</x:v>
      </x:c>
      <x:c r="B4105" s="2" t="str">
        <x:v>da8805539ce5dc3974dd</x:v>
      </x:c>
      <x:c r="C4105" s="2" t="str">
        <x:v>Tp Hồ Chí Minh</x:v>
      </x:c>
      <x:c r="D4105" s="2" t="str">
        <x:v>Quận 3</x:v>
      </x:c>
      <x:c r="E4105" s="2" t="str">
        <x:v>house</x:v>
      </x:c>
      <x:c r="F4105" s="2" t="str">
        <x:v>sale</x:v>
      </x:c>
      <x:c r="G4105" s="11" t="n">
        <x:v>63</x:v>
      </x:c>
      <x:c r="H4105" s="12" t="n">
        <x:v>1360000000</x:v>
      </x:c>
      <x:c r="I4105" s="12" t="n">
        <x:v>21587301.587301586</x:v>
      </x:c>
      <x:c r="J4105" s="2" t="str">
        <x:v>total</x:v>
      </x:c>
      <x:c r="K4105" s="2" t="str">
        <x:v>top_level_area</x:v>
      </x:c>
      <x:c r="L4105" s="2" t="str">
        <x:v>property_type_inferred_from_title</x:v>
      </x:c>
      <x:c r="M4105" s="10" t="n">
        <x:v>0</x:v>
      </x:c>
      <x:c r="N4105" s="10" t="n">
        <x:v>0</x:v>
      </x:c>
      <x:c r="O4105" s="2" t="str">
        <x:v>Tp Hồ Chí Minh|house</x:v>
      </x:c>
      <x:c r="P4105" s="10" t="n">
        <x:v>2</x:v>
      </x:c>
      <x:c r="Q4105" s="13" t="n">
        <x:f>IF(H4105="","",H4105/1000000000)</x:f>
        <x:v>1.36</x:v>
      </x:c>
      <x:c r="R4105" s="13" t="n">
        <x:f>IF(I4105="","",I4105/1000000)</x:f>
        <x:v>21.587301587301585</x:v>
      </x:c>
    </x:row>
    <x:row r="4106" ht="21" customHeight="1">
      <x:c r="A4106" s="10" t="n">
        <x:v>5529</x:v>
      </x:c>
      <x:c r="B4106" s="2" t="str">
        <x:v>65e951f5646a729c3cdc</x:v>
      </x:c>
      <x:c r="C4106" s="2" t="str">
        <x:v>Cần Thơ</x:v>
      </x:c>
      <x:c r="D4106" s="2" t="str">
        <x:v>Quận Ninh Kiều</x:v>
      </x:c>
      <x:c r="E4106" s="2" t="str">
        <x:v>house</x:v>
      </x:c>
      <x:c r="F4106" s="2" t="str">
        <x:v>sale</x:v>
      </x:c>
      <x:c r="G4106" s="11" t="n">
        <x:v>60</x:v>
      </x:c>
      <x:c r="H4106" s="12" t="n">
        <x:v>2530000000</x:v>
      </x:c>
      <x:c r="I4106" s="12" t="n">
        <x:v>42166666.666666664</x:v>
      </x:c>
      <x:c r="J4106" s="2" t="str">
        <x:v>total</x:v>
      </x:c>
      <x:c r="K4106" s="2" t="str">
        <x:v>top_level_area</x:v>
      </x:c>
      <x:c r="L4106" s="2" t="str">
        <x:v>property_type_inferred_from_title</x:v>
      </x:c>
      <x:c r="M4106" s="10" t="n">
        <x:v>0</x:v>
      </x:c>
      <x:c r="N4106" s="10" t="n">
        <x:v>0</x:v>
      </x:c>
      <x:c r="O4106" s="2" t="str">
        <x:v>Cần Thơ|house</x:v>
      </x:c>
      <x:c r="P4106" s="10" t="n">
        <x:v>2</x:v>
      </x:c>
      <x:c r="Q4106" s="13" t="n">
        <x:f>IF(H4106="","",H4106/1000000000)</x:f>
        <x:v>2.53</x:v>
      </x:c>
      <x:c r="R4106" s="13" t="n">
        <x:f>IF(I4106="","",I4106/1000000)</x:f>
        <x:v>42.166666666666664</x:v>
      </x:c>
    </x:row>
    <x:row r="4107" ht="21" customHeight="1">
      <x:c r="A4107" s="10" t="n">
        <x:v>5530</x:v>
      </x:c>
      <x:c r="B4107" s="2" t="str">
        <x:v>f4a12b44109965c91c50</x:v>
      </x:c>
      <x:c r="C4107" s="2" t="str">
        <x:v>Hà Nội</x:v>
      </x:c>
      <x:c r="D4107" s="2" t="str">
        <x:v>Quận Hai Bà Trưng</x:v>
      </x:c>
      <x:c r="E4107" s="2" t="str">
        <x:v>other_unknown</x:v>
      </x:c>
      <x:c r="F4107" s="2" t="str">
        <x:v>sale_assumed</x:v>
      </x:c>
      <x:c r="G4107" s="11" t="n">
        <x:v>30</x:v>
      </x:c>
      <x:c r="H4107" s="12" t="n">
        <x:v>2400000000</x:v>
      </x:c>
      <x:c r="I4107" s="12" t="n">
        <x:v>80000000</x:v>
      </x:c>
      <x:c r="J4107" s="2" t="str">
        <x:v>total</x:v>
      </x:c>
      <x:c r="K4107" s="2" t="str">
        <x:v>top_level_area</x:v>
      </x:c>
      <x:c r="L4107" s="2" t="str">
        <x:v>property_type_inferred_from_title;transaction_assumed_sale_from_dataset_context;unknown_property_type</x:v>
      </x:c>
      <x:c r="M4107" s="10" t="n">
        <x:v>0</x:v>
      </x:c>
      <x:c r="N4107" s="10" t="n">
        <x:v>0</x:v>
      </x:c>
      <x:c r="O4107" s="2" t="str">
        <x:v>Hà Nội|other_unknown</x:v>
      </x:c>
      <x:c r="P4107" s="10" t="n">
        <x:v>2</x:v>
      </x:c>
      <x:c r="Q4107" s="13" t="n">
        <x:f>IF(H4107="","",H4107/1000000000)</x:f>
        <x:v>2.4</x:v>
      </x:c>
      <x:c r="R4107" s="13" t="n">
        <x:f>IF(I4107="","",I4107/1000000)</x:f>
        <x:v>80</x:v>
      </x:c>
    </x:row>
    <x:row r="4108" ht="21" customHeight="1">
      <x:c r="A4108" s="10" t="n">
        <x:v>5531</x:v>
      </x:c>
      <x:c r="B4108" s="2" t="str">
        <x:v>9f72f0d665a319fe68b8</x:v>
      </x:c>
      <x:c r="C4108" s="2" t="str">
        <x:v>Hà Nội</x:v>
      </x:c>
      <x:c r="D4108" s="2" t="str">
        <x:v>Quận Nam Từ Liêm</x:v>
      </x:c>
      <x:c r="E4108" s="2" t="str">
        <x:v>other_unknown</x:v>
      </x:c>
      <x:c r="F4108" s="2" t="str">
        <x:v>sale_assumed</x:v>
      </x:c>
      <x:c r="G4108" s="11" t="n">
        <x:v>155</x:v>
      </x:c>
      <x:c r="H4108" s="12" t="n">
        <x:v>8900000000</x:v>
      </x:c>
      <x:c r="I4108" s="12" t="n">
        <x:v>57419354.838709675</x:v>
      </x:c>
      <x:c r="J4108" s="2" t="str">
        <x:v>total</x:v>
      </x:c>
      <x:c r="K4108" s="2" t="str">
        <x:v>top_level_area</x:v>
      </x:c>
      <x:c r="L4108" s="2" t="str">
        <x:v>property_type_inferred_from_title;transaction_assumed_sale_from_dataset_context;unknown_property_type</x:v>
      </x:c>
      <x:c r="M4108" s="10" t="n">
        <x:v>0</x:v>
      </x:c>
      <x:c r="N4108" s="10" t="n">
        <x:v>0</x:v>
      </x:c>
      <x:c r="O4108" s="2" t="str">
        <x:v>Hà Nội|other_unknown</x:v>
      </x:c>
      <x:c r="P4108" s="10" t="n">
        <x:v>2</x:v>
      </x:c>
      <x:c r="Q4108" s="13" t="n">
        <x:f>IF(H4108="","",H4108/1000000000)</x:f>
        <x:v>8.9</x:v>
      </x:c>
      <x:c r="R4108" s="13" t="n">
        <x:f>IF(I4108="","",I4108/1000000)</x:f>
        <x:v>57.41935483870967</x:v>
      </x:c>
    </x:row>
    <x:row r="4109" ht="21" customHeight="1">
      <x:c r="A4109" s="10" t="n">
        <x:v>5532</x:v>
      </x:c>
      <x:c r="B4109" s="2" t="str">
        <x:v>fcaef86ad05f708da42e</x:v>
      </x:c>
      <x:c r="C4109" s="2" t="str">
        <x:v>Hà Nội</x:v>
      </x:c>
      <x:c r="D4109" s="2" t="str">
        <x:v>Quận Hà Đông</x:v>
      </x:c>
      <x:c r="E4109" s="2" t="str">
        <x:v>other_unknown</x:v>
      </x:c>
      <x:c r="F4109" s="2" t="str">
        <x:v>sale_assumed</x:v>
      </x:c>
      <x:c r="G4109" s="11" t="n">
        <x:v>35</x:v>
      </x:c>
      <x:c r="H4109" s="12" t="n">
        <x:v>2300000000</x:v>
      </x:c>
      <x:c r="I4109" s="12" t="n">
        <x:v>65714285.71428572</x:v>
      </x:c>
      <x:c r="J4109" s="2" t="str">
        <x:v>total</x:v>
      </x:c>
      <x:c r="K4109" s="2" t="str">
        <x:v>top_level_area</x:v>
      </x:c>
      <x:c r="L4109" s="2" t="str">
        <x:v>property_type_inferred_from_title;transaction_assumed_sale_from_dataset_context;unknown_property_type</x:v>
      </x:c>
      <x:c r="M4109" s="10" t="n">
        <x:v>0</x:v>
      </x:c>
      <x:c r="N4109" s="10" t="n">
        <x:v>0</x:v>
      </x:c>
      <x:c r="O4109" s="2" t="str">
        <x:v>Hà Nội|other_unknown</x:v>
      </x:c>
      <x:c r="P4109" s="10" t="n">
        <x:v>2</x:v>
      </x:c>
      <x:c r="Q4109" s="13" t="n">
        <x:f>IF(H4109="","",H4109/1000000000)</x:f>
        <x:v>2.3</x:v>
      </x:c>
      <x:c r="R4109" s="13" t="n">
        <x:f>IF(I4109="","",I4109/1000000)</x:f>
        <x:v>65.71428571428572</x:v>
      </x:c>
    </x:row>
    <x:row r="4110" ht="21" customHeight="1">
      <x:c r="A4110" s="10" t="n">
        <x:v>5533</x:v>
      </x:c>
      <x:c r="B4110" s="2" t="str">
        <x:v>79f3870b83e372bfda32</x:v>
      </x:c>
      <x:c r="C4110" s="2" t="str">
        <x:v>Hà Nội</x:v>
      </x:c>
      <x:c r="D4110" s="2" t="str">
        <x:v>Quận Hà Đông</x:v>
      </x:c>
      <x:c r="E4110" s="2" t="str">
        <x:v>house</x:v>
      </x:c>
      <x:c r="F4110" s="2" t="str">
        <x:v>sale_assumed</x:v>
      </x:c>
      <x:c r="G4110" s="11" t="n">
        <x:v>40</x:v>
      </x:c>
      <x:c r="H4110" s="12" t="n">
        <x:v>2750000000</x:v>
      </x:c>
      <x:c r="I4110" s="12" t="n">
        <x:v>68750000</x:v>
      </x:c>
      <x:c r="J4110" s="2" t="str">
        <x:v>total</x:v>
      </x:c>
      <x:c r="K4110" s="2" t="str">
        <x:v>top_level_area</x:v>
      </x:c>
      <x:c r="L4110" s="2" t="str">
        <x:v>property_type_inferred_from_title;transaction_assumed_sale_from_dataset_context</x:v>
      </x:c>
      <x:c r="M4110" s="10" t="n">
        <x:v>0</x:v>
      </x:c>
      <x:c r="N4110" s="10" t="n">
        <x:v>0</x:v>
      </x:c>
      <x:c r="O4110" s="2" t="str">
        <x:v>Hà Nội|house</x:v>
      </x:c>
      <x:c r="P4110" s="10" t="n">
        <x:v>2</x:v>
      </x:c>
      <x:c r="Q4110" s="13" t="n">
        <x:f>IF(H4110="","",H4110/1000000000)</x:f>
        <x:v>2.75</x:v>
      </x:c>
      <x:c r="R4110" s="13" t="n">
        <x:f>IF(I4110="","",I4110/1000000)</x:f>
        <x:v>68.75</x:v>
      </x:c>
    </x:row>
    <x:row r="4111" ht="21" customHeight="1">
      <x:c r="A4111" s="10" t="n">
        <x:v>5534</x:v>
      </x:c>
      <x:c r="B4111" s="2" t="str">
        <x:v>cf5048e99adfaab80d17</x:v>
      </x:c>
      <x:c r="C4111" s="2" t="str">
        <x:v>Đà Nẵng</x:v>
      </x:c>
      <x:c r="D4111" s="2" t="str">
        <x:v>Huyện Hòa Vang</x:v>
      </x:c>
      <x:c r="E4111" s="2" t="str">
        <x:v>land</x:v>
      </x:c>
      <x:c r="F4111" s="2" t="str">
        <x:v>sale_assumed</x:v>
      </x:c>
      <x:c r="G4111" s="11" t="n">
        <x:v>151</x:v>
      </x:c>
      <x:c r="H4111" s="12" t="n">
        <x:v>800000000</x:v>
      </x:c>
      <x:c r="I4111" s="12" t="n">
        <x:v>5298013.245033112</x:v>
      </x:c>
      <x:c r="J4111" s="2" t="str">
        <x:v>total</x:v>
      </x:c>
      <x:c r="K4111" s="2" t="str">
        <x:v>top_level_area</x:v>
      </x:c>
      <x:c r="L4111" s="2" t="str">
        <x:v>property_type_inferred_from_title;transaction_assumed_sale_from_dataset_context</x:v>
      </x:c>
      <x:c r="M4111" s="10" t="n">
        <x:v>0</x:v>
      </x:c>
      <x:c r="N4111" s="10" t="n">
        <x:v>0</x:v>
      </x:c>
      <x:c r="O4111" s="2" t="str">
        <x:v>Đà Nẵng|land</x:v>
      </x:c>
      <x:c r="P4111" s="10" t="n">
        <x:v>2</x:v>
      </x:c>
      <x:c r="Q4111" s="13" t="n">
        <x:f>IF(H4111="","",H4111/1000000000)</x:f>
        <x:v>0.8</x:v>
      </x:c>
      <x:c r="R4111" s="13" t="n">
        <x:f>IF(I4111="","",I4111/1000000)</x:f>
        <x:v>5.298013245033112</x:v>
      </x:c>
    </x:row>
    <x:row r="4112" ht="21" customHeight="1">
      <x:c r="A4112" s="10" t="n">
        <x:v>5537</x:v>
      </x:c>
      <x:c r="B4112" s="2" t="str">
        <x:v>c6d1e25874e868e9db8e</x:v>
      </x:c>
      <x:c r="C4112" s="2" t="str">
        <x:v>Đà Nẵng</x:v>
      </x:c>
      <x:c r="D4112" s="2" t="str">
        <x:v>Quận Liên Chiểu</x:v>
      </x:c>
      <x:c r="E4112" s="2" t="str">
        <x:v>other_unknown</x:v>
      </x:c>
      <x:c r="F4112" s="2" t="str">
        <x:v>sale_assumed</x:v>
      </x:c>
      <x:c r="G4112" s="11" t="n">
        <x:v>70.3</x:v>
      </x:c>
      <x:c r="H4112" s="12" t="n">
        <x:v>1500000000</x:v>
      </x:c>
      <x:c r="I4112" s="12" t="n">
        <x:v>21337126.600284494</x:v>
      </x:c>
      <x:c r="J4112" s="2" t="str">
        <x:v>total</x:v>
      </x:c>
      <x:c r="K4112" s="2" t="str">
        <x:v>top_level_area</x:v>
      </x:c>
      <x:c r="L4112" s="2" t="str">
        <x:v>property_type_inferred_from_title;transaction_assumed_sale_from_dataset_context;unknown_property_type</x:v>
      </x:c>
      <x:c r="M4112" s="10" t="n">
        <x:v>0</x:v>
      </x:c>
      <x:c r="N4112" s="10" t="n">
        <x:v>0</x:v>
      </x:c>
      <x:c r="O4112" s="2" t="str">
        <x:v>Đà Nẵng|other_unknown</x:v>
      </x:c>
      <x:c r="P4112" s="10" t="n">
        <x:v>2</x:v>
      </x:c>
      <x:c r="Q4112" s="13" t="n">
        <x:f>IF(H4112="","",H4112/1000000000)</x:f>
        <x:v>1.5</x:v>
      </x:c>
      <x:c r="R4112" s="13" t="n">
        <x:f>IF(I4112="","",I4112/1000000)</x:f>
        <x:v>21.337126600284495</x:v>
      </x:c>
    </x:row>
    <x:row r="4113" ht="21" customHeight="1">
      <x:c r="A4113" s="10" t="n">
        <x:v>5538</x:v>
      </x:c>
      <x:c r="B4113" s="2" t="str">
        <x:v>802ad9964e50cb73575b</x:v>
      </x:c>
      <x:c r="C4113" s="2" t="str">
        <x:v>Tp Hồ Chí Minh</x:v>
      </x:c>
      <x:c r="D4113" s="2" t="str">
        <x:v>Quận Thủ Đức</x:v>
      </x:c>
      <x:c r="E4113" s="2" t="str">
        <x:v>land</x:v>
      </x:c>
      <x:c r="F4113" s="2" t="str">
        <x:v>sale_assumed</x:v>
      </x:c>
      <x:c r="G4113" s="11" t="n">
        <x:v>76</x:v>
      </x:c>
      <x:c r="H4113" s="12" t="n">
        <x:v>3900000000</x:v>
      </x:c>
      <x:c r="I4113" s="12" t="n">
        <x:v>51315789.473684214</x:v>
      </x:c>
      <x:c r="J4113" s="2" t="str">
        <x:v>total</x:v>
      </x:c>
      <x:c r="K4113" s="2" t="str">
        <x:v>top_level_area</x:v>
      </x:c>
      <x:c r="L4113" s="2" t="str">
        <x:v>property_type_inferred_from_title;transaction_assumed_sale_from_dataset_context</x:v>
      </x:c>
      <x:c r="M4113" s="10" t="n">
        <x:v>0</x:v>
      </x:c>
      <x:c r="N4113" s="10" t="n">
        <x:v>0</x:v>
      </x:c>
      <x:c r="O4113" s="2" t="str">
        <x:v>Tp Hồ Chí Minh|land</x:v>
      </x:c>
      <x:c r="P4113" s="10" t="n">
        <x:v>2</x:v>
      </x:c>
      <x:c r="Q4113" s="13" t="n">
        <x:f>IF(H4113="","",H4113/1000000000)</x:f>
        <x:v>3.9</x:v>
      </x:c>
      <x:c r="R4113" s="13" t="n">
        <x:f>IF(I4113="","",I4113/1000000)</x:f>
        <x:v>51.31578947368421</x:v>
      </x:c>
    </x:row>
    <x:row r="4114" ht="21" customHeight="1">
      <x:c r="A4114" s="10" t="n">
        <x:v>5539</x:v>
      </x:c>
      <x:c r="B4114" s="2" t="str">
        <x:v>0d7cbc33236c8bf77185</x:v>
      </x:c>
      <x:c r="C4114" s="2" t="str">
        <x:v>Tp Hồ Chí Minh</x:v>
      </x:c>
      <x:c r="D4114" s="2" t="str">
        <x:v>Quận Bình Tân</x:v>
      </x:c>
      <x:c r="E4114" s="2" t="str">
        <x:v>house</x:v>
      </x:c>
      <x:c r="F4114" s="2" t="str">
        <x:v>sale_assumed</x:v>
      </x:c>
      <x:c r="G4114" s="11" t="n">
        <x:v>84</x:v>
      </x:c>
      <x:c r="H4114" s="12" t="n">
        <x:v>4099999999.9999995</x:v>
      </x:c>
      <x:c r="I4114" s="12" t="n">
        <x:v>48809523.809523806</x:v>
      </x:c>
      <x:c r="J4114" s="2" t="str">
        <x:v>total</x:v>
      </x:c>
      <x:c r="K4114" s="2" t="str">
        <x:v>top_level_area</x:v>
      </x:c>
      <x:c r="L4114" s="2" t="str">
        <x:v>property_type_inferred_from_title;transaction_assumed_sale_from_dataset_context</x:v>
      </x:c>
      <x:c r="M4114" s="10" t="n">
        <x:v>0</x:v>
      </x:c>
      <x:c r="N4114" s="10" t="n">
        <x:v>0</x:v>
      </x:c>
      <x:c r="O4114" s="2" t="str">
        <x:v>Tp Hồ Chí Minh|house</x:v>
      </x:c>
      <x:c r="P4114" s="10" t="n">
        <x:v>2</x:v>
      </x:c>
      <x:c r="Q4114" s="13" t="n">
        <x:f>IF(H4114="","",H4114/1000000000)</x:f>
        <x:v>4.1</x:v>
      </x:c>
      <x:c r="R4114" s="13" t="n">
        <x:f>IF(I4114="","",I4114/1000000)</x:f>
        <x:v>48.8095238095238</x:v>
      </x:c>
    </x:row>
    <x:row r="4115" ht="21" customHeight="1">
      <x:c r="A4115" s="10" t="n">
        <x:v>5540</x:v>
      </x:c>
      <x:c r="B4115" s="2" t="str">
        <x:v>46392c5af552069c378f</x:v>
      </x:c>
      <x:c r="C4115" s="2" t="str">
        <x:v>Tp Hồ Chí Minh</x:v>
      </x:c>
      <x:c r="D4115" s="2" t="str">
        <x:v>Quận 9</x:v>
      </x:c>
      <x:c r="E4115" s="2" t="str">
        <x:v>land</x:v>
      </x:c>
      <x:c r="F4115" s="2" t="str">
        <x:v>sale</x:v>
      </x:c>
      <x:c r="G4115" s="11" t="n">
        <x:v>120</x:v>
      </x:c>
      <x:c r="H4115" s="12" t="n">
        <x:v>4250000000</x:v>
      </x:c>
      <x:c r="I4115" s="12" t="n">
        <x:v>35416666.666666664</x:v>
      </x:c>
      <x:c r="J4115" s="2" t="str">
        <x:v>total</x:v>
      </x:c>
      <x:c r="K4115" s="2" t="str">
        <x:v>top_level_price_embedded_area</x:v>
      </x:c>
      <x:c r="L4115" s="2" t="str">
        <x:v>area_recovered_from_price_text;property_type_inferred_from_title</x:v>
      </x:c>
      <x:c r="M4115" s="10" t="n">
        <x:v>0</x:v>
      </x:c>
      <x:c r="N4115" s="10" t="n">
        <x:v>0</x:v>
      </x:c>
      <x:c r="O4115" s="2" t="str">
        <x:v>Tp Hồ Chí Minh|land</x:v>
      </x:c>
      <x:c r="P4115" s="10" t="n">
        <x:v>2</x:v>
      </x:c>
      <x:c r="Q4115" s="13" t="n">
        <x:f>IF(H4115="","",H4115/1000000000)</x:f>
        <x:v>4.25</x:v>
      </x:c>
      <x:c r="R4115" s="13" t="n">
        <x:f>IF(I4115="","",I4115/1000000)</x:f>
        <x:v>35.416666666666664</x:v>
      </x:c>
    </x:row>
    <x:row r="4116" ht="21" customHeight="1">
      <x:c r="A4116" s="10" t="n">
        <x:v>5541</x:v>
      </x:c>
      <x:c r="B4116" s="2" t="str">
        <x:v>6145003946eef662008b</x:v>
      </x:c>
      <x:c r="C4116" s="2" t="str">
        <x:v>Hà Nội</x:v>
      </x:c>
      <x:c r="D4116" s="2" t="str">
        <x:v>Huyện Đông Anh</x:v>
      </x:c>
      <x:c r="E4116" s="2" t="str">
        <x:v>land</x:v>
      </x:c>
      <x:c r="F4116" s="2" t="str">
        <x:v>sale</x:v>
      </x:c>
      <x:c r="G4116" s="11" t="n">
        <x:v>48</x:v>
      </x:c>
      <x:c r="H4116" s="12" t="n">
        <x:v>998000000</x:v>
      </x:c>
      <x:c r="I4116" s="12" t="n">
        <x:v>20791666.666666668</x:v>
      </x:c>
      <x:c r="J4116" s="2" t="str">
        <x:v>total</x:v>
      </x:c>
      <x:c r="K4116" s="2" t="str">
        <x:v>top_level_area</x:v>
      </x:c>
      <x:c r="L4116" s="2" t="str">
        <x:v>property_type_inferred_from_title</x:v>
      </x:c>
      <x:c r="M4116" s="10" t="n">
        <x:v>0</x:v>
      </x:c>
      <x:c r="N4116" s="10" t="n">
        <x:v>0</x:v>
      </x:c>
      <x:c r="O4116" s="2" t="str">
        <x:v>Hà Nội|land</x:v>
      </x:c>
      <x:c r="P4116" s="10" t="n">
        <x:v>2</x:v>
      </x:c>
      <x:c r="Q4116" s="13" t="n">
        <x:f>IF(H4116="","",H4116/1000000000)</x:f>
        <x:v>0.998</x:v>
      </x:c>
      <x:c r="R4116" s="13" t="n">
        <x:f>IF(I4116="","",I4116/1000000)</x:f>
        <x:v>20.791666666666668</x:v>
      </x:c>
    </x:row>
    <x:row r="4117" ht="21" customHeight="1">
      <x:c r="A4117" s="10" t="n">
        <x:v>5542</x:v>
      </x:c>
      <x:c r="B4117" s="2" t="str">
        <x:v>785a8aef23244d68e00a</x:v>
      </x:c>
      <x:c r="C4117" s="2" t="str">
        <x:v>Đà Nẵng</x:v>
      </x:c>
      <x:c r="D4117" s="2" t="str">
        <x:v>Quận Hải Châu</x:v>
      </x:c>
      <x:c r="E4117" s="2" t="str">
        <x:v>house</x:v>
      </x:c>
      <x:c r="F4117" s="2" t="str">
        <x:v>sale</x:v>
      </x:c>
      <x:c r="G4117" s="11" t="n">
        <x:v>50</x:v>
      </x:c>
      <x:c r="H4117" s="12" t="n">
        <x:v>3150000000</x:v>
      </x:c>
      <x:c r="I4117" s="12" t="n">
        <x:v>63000000</x:v>
      </x:c>
      <x:c r="J4117" s="2" t="str">
        <x:v>total</x:v>
      </x:c>
      <x:c r="K4117" s="2" t="str">
        <x:v>top_level_area</x:v>
      </x:c>
      <x:c r="L4117" s="2" t="str">
        <x:v>property_type_inferred_from_title</x:v>
      </x:c>
      <x:c r="M4117" s="10" t="n">
        <x:v>0</x:v>
      </x:c>
      <x:c r="N4117" s="10" t="n">
        <x:v>0</x:v>
      </x:c>
      <x:c r="O4117" s="2" t="str">
        <x:v>Đà Nẵng|house</x:v>
      </x:c>
      <x:c r="P4117" s="10" t="n">
        <x:v>2</x:v>
      </x:c>
      <x:c r="Q4117" s="13" t="n">
        <x:f>IF(H4117="","",H4117/1000000000)</x:f>
        <x:v>3.15</x:v>
      </x:c>
      <x:c r="R4117" s="13" t="n">
        <x:f>IF(I4117="","",I4117/1000000)</x:f>
        <x:v>63</x:v>
      </x:c>
    </x:row>
    <x:row r="4118" ht="21" customHeight="1">
      <x:c r="A4118" s="10" t="n">
        <x:v>5543</x:v>
      </x:c>
      <x:c r="B4118" s="2" t="str">
        <x:v>125668aae445e3479876</x:v>
      </x:c>
      <x:c r="C4118" s="2" t="str">
        <x:v>Hà Nội</x:v>
      </x:c>
      <x:c r="D4118" s="2" t="str">
        <x:v>Quận Long Biên</x:v>
      </x:c>
      <x:c r="E4118" s="2" t="str">
        <x:v>house</x:v>
      </x:c>
      <x:c r="F4118" s="2" t="str">
        <x:v>sale_assumed</x:v>
      </x:c>
      <x:c r="G4118" s="11" t="n">
        <x:v>44</x:v>
      </x:c>
      <x:c r="H4118" s="12" t="n">
        <x:v>2600000000</x:v>
      </x:c>
      <x:c r="I4118" s="12" t="n">
        <x:v>59090909.09090909</x:v>
      </x:c>
      <x:c r="J4118" s="2" t="str">
        <x:v>total</x:v>
      </x:c>
      <x:c r="K4118" s="2" t="str">
        <x:v>top_level_area</x:v>
      </x:c>
      <x:c r="L4118" s="2" t="str">
        <x:v>property_type_inferred_from_title;transaction_assumed_sale_from_dataset_context</x:v>
      </x:c>
      <x:c r="M4118" s="10" t="n">
        <x:v>0</x:v>
      </x:c>
      <x:c r="N4118" s="10" t="n">
        <x:v>0</x:v>
      </x:c>
      <x:c r="O4118" s="2" t="str">
        <x:v>Hà Nội|house</x:v>
      </x:c>
      <x:c r="P4118" s="10" t="n">
        <x:v>2</x:v>
      </x:c>
      <x:c r="Q4118" s="13" t="n">
        <x:f>IF(H4118="","",H4118/1000000000)</x:f>
        <x:v>2.6</x:v>
      </x:c>
      <x:c r="R4118" s="13" t="n">
        <x:f>IF(I4118="","",I4118/1000000)</x:f>
        <x:v>59.09090909090909</x:v>
      </x:c>
    </x:row>
    <x:row r="4119" ht="21" customHeight="1">
      <x:c r="A4119" s="10" t="n">
        <x:v>5544</x:v>
      </x:c>
      <x:c r="B4119" s="2" t="str">
        <x:v>f1ebc6257360665677c1</x:v>
      </x:c>
      <x:c r="C4119" s="2" t="str">
        <x:v>Tây Ninh</x:v>
      </x:c>
      <x:c r="D4119" s="2" t="str">
        <x:v>Huyện Gò Dầu</x:v>
      </x:c>
      <x:c r="E4119" s="2" t="str">
        <x:v>house</x:v>
      </x:c>
      <x:c r="F4119" s="2" t="str">
        <x:v>sale_assumed</x:v>
      </x:c>
      <x:c r="G4119" s="11" t="n">
        <x:v>220</x:v>
      </x:c>
      <x:c r="H4119" s="12" t="n">
        <x:v>830000000</x:v>
      </x:c>
      <x:c r="I4119" s="12" t="n">
        <x:v>3772727.272727273</x:v>
      </x:c>
      <x:c r="J4119" s="2" t="str">
        <x:v>total</x:v>
      </x:c>
      <x:c r="K4119" s="2" t="str">
        <x:v>top_level_area</x:v>
      </x:c>
      <x:c r="L4119" s="2" t="str">
        <x:v>property_type_inferred_from_title;transaction_assumed_sale_from_dataset_context</x:v>
      </x:c>
      <x:c r="M4119" s="10" t="n">
        <x:v>0</x:v>
      </x:c>
      <x:c r="N4119" s="10" t="n">
        <x:v>0</x:v>
      </x:c>
      <x:c r="O4119" s="2" t="str">
        <x:v>house</x:v>
      </x:c>
      <x:c r="P4119" s="10" t="n">
        <x:v>1</x:v>
      </x:c>
      <x:c r="Q4119" s="13" t="n">
        <x:f>IF(H4119="","",H4119/1000000000)</x:f>
        <x:v>0.83</x:v>
      </x:c>
      <x:c r="R4119" s="13" t="n">
        <x:f>IF(I4119="","",I4119/1000000)</x:f>
        <x:v>3.772727272727273</x:v>
      </x:c>
    </x:row>
    <x:row r="4120" ht="21" customHeight="1">
      <x:c r="A4120" s="10" t="n">
        <x:v>5545</x:v>
      </x:c>
      <x:c r="B4120" s="2" t="str">
        <x:v>48b347b54a506e9aecbe</x:v>
      </x:c>
      <x:c r="C4120" s="2" t="str">
        <x:v>Bình Dương</x:v>
      </x:c>
      <x:c r="D4120" s="2" t="str">
        <x:v>Thị xã Bến Cát</x:v>
      </x:c>
      <x:c r="E4120" s="2" t="str">
        <x:v>land</x:v>
      </x:c>
      <x:c r="F4120" s="2" t="str">
        <x:v>sale_assumed</x:v>
      </x:c>
      <x:c r="G4120" s="11" t="n">
        <x:v>400</x:v>
      </x:c>
      <x:c r="H4120" s="12" t="n">
        <x:v>2550000000</x:v>
      </x:c>
      <x:c r="I4120" s="12" t="n">
        <x:v>6375000</x:v>
      </x:c>
      <x:c r="J4120" s="2" t="str">
        <x:v>total</x:v>
      </x:c>
      <x:c r="K4120" s="2" t="str">
        <x:v>top_level_area</x:v>
      </x:c>
      <x:c r="L4120" s="2" t="str">
        <x:v>property_type_inferred_from_title;transaction_assumed_sale_from_dataset_context</x:v>
      </x:c>
      <x:c r="M4120" s="10" t="n">
        <x:v>0</x:v>
      </x:c>
      <x:c r="N4120" s="10" t="n">
        <x:v>0</x:v>
      </x:c>
      <x:c r="O4120" s="2" t="str">
        <x:v>Bình Dương|land</x:v>
      </x:c>
      <x:c r="P4120" s="10" t="n">
        <x:v>1</x:v>
      </x:c>
      <x:c r="Q4120" s="13" t="n">
        <x:f>IF(H4120="","",H4120/1000000000)</x:f>
        <x:v>2.55</x:v>
      </x:c>
      <x:c r="R4120" s="13" t="n">
        <x:f>IF(I4120="","",I4120/1000000)</x:f>
        <x:v>6.375</x:v>
      </x:c>
    </x:row>
    <x:row r="4121" ht="21" customHeight="1">
      <x:c r="A4121" s="10" t="n">
        <x:v>5546</x:v>
      </x:c>
      <x:c r="B4121" s="2" t="str">
        <x:v>38d93f1358eef72f86fb</x:v>
      </x:c>
      <x:c r="C4121" s="2" t="str">
        <x:v>Đắk Lắk</x:v>
      </x:c>
      <x:c r="D4121" s="2" t="str">
        <x:v>Thành phố Buôn Ma Thuột</x:v>
      </x:c>
      <x:c r="E4121" s="2" t="str">
        <x:v>house</x:v>
      </x:c>
      <x:c r="F4121" s="2" t="str">
        <x:v>sale</x:v>
      </x:c>
      <x:c r="G4121" s="11" t="n">
        <x:v>106</x:v>
      </x:c>
      <x:c r="H4121" s="12" t="n">
        <x:v>1350000000</x:v>
      </x:c>
      <x:c r="I4121" s="12" t="n">
        <x:v>12735849.056603774</x:v>
      </x:c>
      <x:c r="J4121" s="2" t="str">
        <x:v>total</x:v>
      </x:c>
      <x:c r="K4121" s="2" t="str">
        <x:v>top_level_area</x:v>
      </x:c>
      <x:c r="L4121" s="2" t="str">
        <x:v>property_type_inferred_from_title</x:v>
      </x:c>
      <x:c r="M4121" s="10" t="n">
        <x:v>0</x:v>
      </x:c>
      <x:c r="N4121" s="10" t="n">
        <x:v>0</x:v>
      </x:c>
      <x:c r="O4121" s="2" t="str">
        <x:v>Đắk Lắk|house</x:v>
      </x:c>
      <x:c r="P4121" s="10" t="n">
        <x:v>2</x:v>
      </x:c>
      <x:c r="Q4121" s="13" t="n">
        <x:f>IF(H4121="","",H4121/1000000000)</x:f>
        <x:v>1.35</x:v>
      </x:c>
      <x:c r="R4121" s="13" t="n">
        <x:f>IF(I4121="","",I4121/1000000)</x:f>
        <x:v>12.735849056603774</x:v>
      </x:c>
    </x:row>
    <x:row r="4122" ht="21" customHeight="1">
      <x:c r="A4122" s="10" t="n">
        <x:v>5547</x:v>
      </x:c>
      <x:c r="B4122" s="2" t="str">
        <x:v>c3862686eb08b0bc839a</x:v>
      </x:c>
      <x:c r="C4122" s="2" t="str">
        <x:v>Tp Hồ Chí Minh</x:v>
      </x:c>
      <x:c r="D4122" s="2" t="str">
        <x:v>Quận 7</x:v>
      </x:c>
      <x:c r="E4122" s="2" t="str">
        <x:v>apartment</x:v>
      </x:c>
      <x:c r="F4122" s="2" t="str">
        <x:v>sale_assumed</x:v>
      </x:c>
      <x:c r="G4122" s="11" t="n">
        <x:v>76</x:v>
      </x:c>
      <x:c r="H4122" s="12" t="n">
        <x:v>2150000000</x:v>
      </x:c>
      <x:c r="I4122" s="12" t="n">
        <x:v>28289473.684210528</x:v>
      </x:c>
      <x:c r="J4122" s="2" t="str">
        <x:v>total</x:v>
      </x:c>
      <x:c r="K4122" s="2" t="str">
        <x:v>top_level_area</x:v>
      </x:c>
      <x:c r="L4122" s="2" t="str">
        <x:v>property_type_inferred_from_title;transaction_assumed_sale_from_dataset_context</x:v>
      </x:c>
      <x:c r="M4122" s="10" t="n">
        <x:v>0</x:v>
      </x:c>
      <x:c r="N4122" s="10" t="n">
        <x:v>0</x:v>
      </x:c>
      <x:c r="O4122" s="2" t="str">
        <x:v>Tp Hồ Chí Minh|apartment</x:v>
      </x:c>
      <x:c r="P4122" s="10" t="n">
        <x:v>2</x:v>
      </x:c>
      <x:c r="Q4122" s="13" t="n">
        <x:f>IF(H4122="","",H4122/1000000000)</x:f>
        <x:v>2.15</x:v>
      </x:c>
      <x:c r="R4122" s="13" t="n">
        <x:f>IF(I4122="","",I4122/1000000)</x:f>
        <x:v>28.289473684210527</x:v>
      </x:c>
    </x:row>
    <x:row r="4123" ht="21" customHeight="1">
      <x:c r="A4123" s="10" t="n">
        <x:v>5548</x:v>
      </x:c>
      <x:c r="B4123" s="2" t="str">
        <x:v>a8fd60e38b0f6d6f98a6</x:v>
      </x:c>
      <x:c r="C4123" s="2" t="str">
        <x:v>Tp Hồ Chí Minh</x:v>
      </x:c>
      <x:c r="D4123" s="2" t="str">
        <x:v>Quận 12</x:v>
      </x:c>
      <x:c r="E4123" s="2" t="str">
        <x:v>house</x:v>
      </x:c>
      <x:c r="F4123" s="2" t="str">
        <x:v>sale_assumed</x:v>
      </x:c>
      <x:c r="G4123" s="11" t="n">
        <x:v>26</x:v>
      </x:c>
      <x:c r="H4123" s="12" t="n">
        <x:v>1550000000</x:v>
      </x:c>
      <x:c r="I4123" s="12" t="n">
        <x:v>59615384.615384616</x:v>
      </x:c>
      <x:c r="J4123" s="2" t="str">
        <x:v>total</x:v>
      </x:c>
      <x:c r="K4123" s="2" t="str">
        <x:v>top_level_area</x:v>
      </x:c>
      <x:c r="L4123" s="2" t="str">
        <x:v>property_type_inferred_from_title;transaction_assumed_sale_from_dataset_context</x:v>
      </x:c>
      <x:c r="M4123" s="10" t="n">
        <x:v>0</x:v>
      </x:c>
      <x:c r="N4123" s="10" t="n">
        <x:v>0</x:v>
      </x:c>
      <x:c r="O4123" s="2" t="str">
        <x:v>Tp Hồ Chí Minh|house</x:v>
      </x:c>
      <x:c r="P4123" s="10" t="n">
        <x:v>2</x:v>
      </x:c>
      <x:c r="Q4123" s="13" t="n">
        <x:f>IF(H4123="","",H4123/1000000000)</x:f>
        <x:v>1.55</x:v>
      </x:c>
      <x:c r="R4123" s="13" t="n">
        <x:f>IF(I4123="","",I4123/1000000)</x:f>
        <x:v>59.61538461538461</x:v>
      </x:c>
    </x:row>
    <x:row r="4124" ht="21" customHeight="1">
      <x:c r="A4124" s="10" t="n">
        <x:v>5549</x:v>
      </x:c>
      <x:c r="B4124" s="2" t="str">
        <x:v>fc63e21f750126b1a054</x:v>
      </x:c>
      <x:c r="C4124" s="2" t="str">
        <x:v>Tp Hồ Chí Minh</x:v>
      </x:c>
      <x:c r="D4124" s="2" t="str">
        <x:v>Quận 1</x:v>
      </x:c>
      <x:c r="E4124" s="2" t="str">
        <x:v>house</x:v>
      </x:c>
      <x:c r="F4124" s="2" t="str">
        <x:v>sale_assumed</x:v>
      </x:c>
      <x:c r="G4124" s="11" t="n">
        <x:v>25</x:v>
      </x:c>
      <x:c r="H4124" s="12" t="n">
        <x:v>5500000000</x:v>
      </x:c>
      <x:c r="I4124" s="12" t="n">
        <x:v>220000000</x:v>
      </x:c>
      <x:c r="J4124" s="2" t="str">
        <x:v>total</x:v>
      </x:c>
      <x:c r="K4124" s="2" t="str">
        <x:v>top_level_area</x:v>
      </x:c>
      <x:c r="L4124" s="2" t="str">
        <x:v>property_type_inferred_from_title;transaction_assumed_sale_from_dataset_context</x:v>
      </x:c>
      <x:c r="M4124" s="10" t="n">
        <x:v>1</x:v>
      </x:c>
      <x:c r="N4124" s="10" t="n">
        <x:v>1</x:v>
      </x:c>
      <x:c r="O4124" s="2" t="str">
        <x:v>Tp Hồ Chí Minh|house</x:v>
      </x:c>
      <x:c r="P4124" s="10" t="n">
        <x:v>-1</x:v>
      </x:c>
      <x:c r="Q4124" s="13" t="n">
        <x:f>IF(H4124="","",H4124/1000000000)</x:f>
        <x:v>5.5</x:v>
      </x:c>
      <x:c r="R4124" s="13" t="n">
        <x:f>IF(I4124="","",I4124/1000000)</x:f>
        <x:v>220</x:v>
      </x:c>
    </x:row>
    <x:row r="4125" ht="21" customHeight="1">
      <x:c r="A4125" s="10" t="n">
        <x:v>5550</x:v>
      </x:c>
      <x:c r="B4125" s="2" t="str">
        <x:v>9faa24b327f150846a23</x:v>
      </x:c>
      <x:c r="C4125" s="2" t="str">
        <x:v>Tp Hồ Chí Minh</x:v>
      </x:c>
      <x:c r="D4125" s="2" t="str">
        <x:v>Quận Thủ Đức</x:v>
      </x:c>
      <x:c r="E4125" s="2" t="str">
        <x:v>apartment</x:v>
      </x:c>
      <x:c r="F4125" s="2" t="str">
        <x:v>sale_assumed</x:v>
      </x:c>
      <x:c r="G4125" s="11" t="n">
        <x:v>70</x:v>
      </x:c>
      <x:c r="H4125" s="12" t="n">
        <x:v>1850000000</x:v>
      </x:c>
      <x:c r="I4125" s="12" t="n">
        <x:v>26428571.42857143</x:v>
      </x:c>
      <x:c r="J4125" s="2" t="str">
        <x:v>total</x:v>
      </x:c>
      <x:c r="K4125" s="2" t="str">
        <x:v>top_level_area</x:v>
      </x:c>
      <x:c r="L4125" s="2" t="str">
        <x:v>property_type_inferred_from_title;transaction_assumed_sale_from_dataset_context</x:v>
      </x:c>
      <x:c r="M4125" s="10" t="n">
        <x:v>0</x:v>
      </x:c>
      <x:c r="N4125" s="10" t="n">
        <x:v>0</x:v>
      </x:c>
      <x:c r="O4125" s="2" t="str">
        <x:v>Tp Hồ Chí Minh|apartment</x:v>
      </x:c>
      <x:c r="P4125" s="10" t="n">
        <x:v>2</x:v>
      </x:c>
      <x:c r="Q4125" s="13" t="n">
        <x:f>IF(H4125="","",H4125/1000000000)</x:f>
        <x:v>1.85</x:v>
      </x:c>
      <x:c r="R4125" s="13" t="n">
        <x:f>IF(I4125="","",I4125/1000000)</x:f>
        <x:v>26.42857142857143</x:v>
      </x:c>
    </x:row>
    <x:row r="4126" ht="21" customHeight="1">
      <x:c r="A4126" s="10" t="n">
        <x:v>5551</x:v>
      </x:c>
      <x:c r="B4126" s="2" t="str">
        <x:v>5c848e5b53c0a1260e33</x:v>
      </x:c>
      <x:c r="C4126" s="2" t="str">
        <x:v>Tp Hồ Chí Minh</x:v>
      </x:c>
      <x:c r="D4126" s="2" t="str">
        <x:v>Huyện Hóc Môn</x:v>
      </x:c>
      <x:c r="E4126" s="2" t="str">
        <x:v>house</x:v>
      </x:c>
      <x:c r="F4126" s="2" t="str">
        <x:v>sale_assumed</x:v>
      </x:c>
      <x:c r="G4126" s="11" t="n">
        <x:v>130.5</x:v>
      </x:c>
      <x:c r="H4126" s="12" t="n">
        <x:v>3100000000</x:v>
      </x:c>
      <x:c r="I4126" s="12" t="n">
        <x:v>23754789.27203065</x:v>
      </x:c>
      <x:c r="J4126" s="2" t="str">
        <x:v>total</x:v>
      </x:c>
      <x:c r="K4126" s="2" t="str">
        <x:v>top_level_area</x:v>
      </x:c>
      <x:c r="L4126" s="2" t="str">
        <x:v>property_type_inferred_from_title;transaction_assumed_sale_from_dataset_context</x:v>
      </x:c>
      <x:c r="M4126" s="10" t="n">
        <x:v>0</x:v>
      </x:c>
      <x:c r="N4126" s="10" t="n">
        <x:v>0</x:v>
      </x:c>
      <x:c r="O4126" s="2" t="str">
        <x:v>Tp Hồ Chí Minh|house</x:v>
      </x:c>
      <x:c r="P4126" s="10" t="n">
        <x:v>2</x:v>
      </x:c>
      <x:c r="Q4126" s="13" t="n">
        <x:f>IF(H4126="","",H4126/1000000000)</x:f>
        <x:v>3.1</x:v>
      </x:c>
      <x:c r="R4126" s="13" t="n">
        <x:f>IF(I4126="","",I4126/1000000)</x:f>
        <x:v>23.754789272030653</x:v>
      </x:c>
    </x:row>
    <x:row r="4127" ht="21" customHeight="1">
      <x:c r="A4127" s="10" t="n">
        <x:v>5552</x:v>
      </x:c>
      <x:c r="B4127" s="2" t="str">
        <x:v>7f755529efa820b0c84a</x:v>
      </x:c>
      <x:c r="C4127" s="2" t="str">
        <x:v>Thừa Thiên Huế</x:v>
      </x:c>
      <x:c r="D4127" s="2" t="str">
        <x:v>Thị xã Hương Thủy</x:v>
      </x:c>
      <x:c r="E4127" s="2" t="str">
        <x:v>land</x:v>
      </x:c>
      <x:c r="F4127" s="2" t="str">
        <x:v>sale</x:v>
      </x:c>
      <x:c r="G4127" s="11" t="n">
        <x:v>80</x:v>
      </x:c>
      <x:c r="H4127" s="12" t="n">
        <x:v>560000000</x:v>
      </x:c>
      <x:c r="I4127" s="12" t="n">
        <x:v>7000000</x:v>
      </x:c>
      <x:c r="J4127" s="2" t="str">
        <x:v>total</x:v>
      </x:c>
      <x:c r="K4127" s="2" t="str">
        <x:v>top_level_area</x:v>
      </x:c>
      <x:c r="L4127" s="2" t="str">
        <x:v>property_type_inferred_from_title</x:v>
      </x:c>
      <x:c r="M4127" s="10" t="n">
        <x:v>0</x:v>
      </x:c>
      <x:c r="N4127" s="10" t="n">
        <x:v>0</x:v>
      </x:c>
      <x:c r="O4127" s="2" t="str">
        <x:v>land</x:v>
      </x:c>
      <x:c r="P4127" s="10" t="n">
        <x:v>2</x:v>
      </x:c>
      <x:c r="Q4127" s="13" t="n">
        <x:f>IF(H4127="","",H4127/1000000000)</x:f>
        <x:v>0.56</x:v>
      </x:c>
      <x:c r="R4127" s="13" t="n">
        <x:f>IF(I4127="","",I4127/1000000)</x:f>
        <x:v>7</x:v>
      </x:c>
    </x:row>
    <x:row r="4128" ht="21" customHeight="1">
      <x:c r="A4128" s="10" t="n">
        <x:v>5553</x:v>
      </x:c>
      <x:c r="B4128" s="2" t="str">
        <x:v>ed2d54f35847cb590cfe</x:v>
      </x:c>
      <x:c r="C4128" s="2" t="str">
        <x:v>Đắk Lắk</x:v>
      </x:c>
      <x:c r="D4128" s="2" t="str">
        <x:v>Thành phố Buôn Ma Thuột</x:v>
      </x:c>
      <x:c r="E4128" s="2" t="str">
        <x:v>house</x:v>
      </x:c>
      <x:c r="F4128" s="2" t="str">
        <x:v>sale</x:v>
      </x:c>
      <x:c r="G4128" s="11" t="n">
        <x:v>123</x:v>
      </x:c>
      <x:c r="H4128" s="12" t="n">
        <x:v>3000000000</x:v>
      </x:c>
      <x:c r="I4128" s="12" t="n">
        <x:v>24390243.902439024</x:v>
      </x:c>
      <x:c r="J4128" s="2" t="str">
        <x:v>total</x:v>
      </x:c>
      <x:c r="K4128" s="2" t="str">
        <x:v>top_level_area</x:v>
      </x:c>
      <x:c r="L4128" s="2" t="str">
        <x:v>property_type_inferred_from_title</x:v>
      </x:c>
      <x:c r="M4128" s="10" t="n">
        <x:v>0</x:v>
      </x:c>
      <x:c r="N4128" s="10" t="n">
        <x:v>0</x:v>
      </x:c>
      <x:c r="O4128" s="2" t="str">
        <x:v>Đắk Lắk|house</x:v>
      </x:c>
      <x:c r="P4128" s="10" t="n">
        <x:v>2</x:v>
      </x:c>
      <x:c r="Q4128" s="13" t="n">
        <x:f>IF(H4128="","",H4128/1000000000)</x:f>
        <x:v>3</x:v>
      </x:c>
      <x:c r="R4128" s="13" t="n">
        <x:f>IF(I4128="","",I4128/1000000)</x:f>
        <x:v>24.390243902439025</x:v>
      </x:c>
    </x:row>
    <x:row r="4129" ht="21" customHeight="1">
      <x:c r="A4129" s="10" t="n">
        <x:v>5554</x:v>
      </x:c>
      <x:c r="B4129" s="2" t="str">
        <x:v>9f8632f2f8f73dadff13</x:v>
      </x:c>
      <x:c r="C4129" s="2" t="str">
        <x:v>Cần Thơ</x:v>
      </x:c>
      <x:c r="D4129" s="2" t="str">
        <x:v>Quận Ninh Kiều</x:v>
      </x:c>
      <x:c r="E4129" s="2" t="str">
        <x:v>land</x:v>
      </x:c>
      <x:c r="F4129" s="2" t="str">
        <x:v>sale</x:v>
      </x:c>
      <x:c r="G4129" s="11" t="n">
        <x:v>42</x:v>
      </x:c>
      <x:c r="H4129" s="12" t="n">
        <x:v>1620000000</x:v>
      </x:c>
      <x:c r="I4129" s="12" t="n">
        <x:v>38571428.571428575</x:v>
      </x:c>
      <x:c r="J4129" s="2" t="str">
        <x:v>total</x:v>
      </x:c>
      <x:c r="K4129" s="2" t="str">
        <x:v>top_level_area</x:v>
      </x:c>
      <x:c r="L4129" s="2" t="str">
        <x:v>property_type_inferred_from_title</x:v>
      </x:c>
      <x:c r="M4129" s="10" t="n">
        <x:v>0</x:v>
      </x:c>
      <x:c r="N4129" s="10" t="n">
        <x:v>0</x:v>
      </x:c>
      <x:c r="O4129" s="2" t="str">
        <x:v>Cần Thơ|land</x:v>
      </x:c>
      <x:c r="P4129" s="10" t="n">
        <x:v>2</x:v>
      </x:c>
      <x:c r="Q4129" s="13" t="n">
        <x:f>IF(H4129="","",H4129/1000000000)</x:f>
        <x:v>1.62</x:v>
      </x:c>
      <x:c r="R4129" s="13" t="n">
        <x:f>IF(I4129="","",I4129/1000000)</x:f>
        <x:v>38.57142857142858</x:v>
      </x:c>
    </x:row>
    <x:row r="4130" ht="21" customHeight="1">
      <x:c r="A4130" s="10" t="n">
        <x:v>5555</x:v>
      </x:c>
      <x:c r="B4130" s="2" t="str">
        <x:v>6de47679af52c086c789</x:v>
      </x:c>
      <x:c r="C4130" s="2" t="str">
        <x:v>An Giang</x:v>
      </x:c>
      <x:c r="D4130" s="2" t="str">
        <x:v>Thành phố Long Xuyên</x:v>
      </x:c>
      <x:c r="E4130" s="2" t="str">
        <x:v>land</x:v>
      </x:c>
      <x:c r="F4130" s="2" t="str">
        <x:v>sale</x:v>
      </x:c>
      <x:c r="G4130" s="11" t="n">
        <x:v>60</x:v>
      </x:c>
      <x:c r="H4130" s="12" t="n">
        <x:v>960000000</x:v>
      </x:c>
      <x:c r="I4130" s="12" t="n">
        <x:v>16000000</x:v>
      </x:c>
      <x:c r="J4130" s="2" t="str">
        <x:v>total</x:v>
      </x:c>
      <x:c r="K4130" s="2" t="str">
        <x:v>top_level_area</x:v>
      </x:c>
      <x:c r="L4130" s="2" t="str">
        <x:v>property_type_inferred_from_title</x:v>
      </x:c>
      <x:c r="M4130" s="10" t="n">
        <x:v>0</x:v>
      </x:c>
      <x:c r="N4130" s="10" t="n">
        <x:v>0</x:v>
      </x:c>
      <x:c r="O4130" s="2" t="str">
        <x:v>land</x:v>
      </x:c>
      <x:c r="P4130" s="10" t="n">
        <x:v>2</x:v>
      </x:c>
      <x:c r="Q4130" s="13" t="n">
        <x:f>IF(H4130="","",H4130/1000000000)</x:f>
        <x:v>0.96</x:v>
      </x:c>
      <x:c r="R4130" s="13" t="n">
        <x:f>IF(I4130="","",I4130/1000000)</x:f>
        <x:v>16</x:v>
      </x:c>
    </x:row>
    <x:row r="4131" ht="21" customHeight="1">
      <x:c r="A4131" s="10" t="n">
        <x:v>5556</x:v>
      </x:c>
      <x:c r="B4131" s="2" t="str">
        <x:v>9f7bfce85ab8846d4e04</x:v>
      </x:c>
      <x:c r="C4131" s="2" t="str">
        <x:v>Long An</x:v>
      </x:c>
      <x:c r="D4131" s="2" t="str">
        <x:v>Thành phố Tân An</x:v>
      </x:c>
      <x:c r="E4131" s="2" t="str">
        <x:v>house</x:v>
      </x:c>
      <x:c r="F4131" s="2" t="str">
        <x:v>sale_assumed</x:v>
      </x:c>
      <x:c r="G4131" s="11" t="n">
        <x:v>100</x:v>
      </x:c>
      <x:c r="H4131" s="12" t="n">
        <x:v>1830000000</x:v>
      </x:c>
      <x:c r="I4131" s="12" t="n">
        <x:v>18300000</x:v>
      </x:c>
      <x:c r="J4131" s="2" t="str">
        <x:v>total</x:v>
      </x:c>
      <x:c r="K4131" s="2" t="str">
        <x:v>top_level_area</x:v>
      </x:c>
      <x:c r="L4131" s="2" t="str">
        <x:v>property_type_inferred_from_title;transaction_assumed_sale_from_dataset_context</x:v>
      </x:c>
      <x:c r="M4131" s="10" t="n">
        <x:v>0</x:v>
      </x:c>
      <x:c r="N4131" s="10" t="n">
        <x:v>0</x:v>
      </x:c>
      <x:c r="O4131" s="2" t="str">
        <x:v>Long An|house</x:v>
      </x:c>
      <x:c r="P4131" s="10" t="n">
        <x:v>2</x:v>
      </x:c>
      <x:c r="Q4131" s="13" t="n">
        <x:f>IF(H4131="","",H4131/1000000000)</x:f>
        <x:v>1.83</x:v>
      </x:c>
      <x:c r="R4131" s="13" t="n">
        <x:f>IF(I4131="","",I4131/1000000)</x:f>
        <x:v>18.3</x:v>
      </x:c>
    </x:row>
    <x:row r="4132" ht="21" customHeight="1">
      <x:c r="A4132" s="10" t="n">
        <x:v>5559</x:v>
      </x:c>
      <x:c r="B4132" s="2" t="str">
        <x:v>d81a9c66a33caa9c7e7a</x:v>
      </x:c>
      <x:c r="C4132" s="2" t="str">
        <x:v>Hà Nội</x:v>
      </x:c>
      <x:c r="D4132" s="2" t="str">
        <x:v>Quận Đống Đa</x:v>
      </x:c>
      <x:c r="E4132" s="2" t="str">
        <x:v>other_unknown</x:v>
      </x:c>
      <x:c r="F4132" s="2" t="str">
        <x:v>sale_assumed</x:v>
      </x:c>
      <x:c r="G4132" s="11" t="n">
        <x:v>26</x:v>
      </x:c>
      <x:c r="H4132" s="12" t="n">
        <x:v>2100000000</x:v>
      </x:c>
      <x:c r="I4132" s="12" t="n">
        <x:v>80769230.76923077</x:v>
      </x:c>
      <x:c r="J4132" s="2" t="str">
        <x:v>total</x:v>
      </x:c>
      <x:c r="K4132" s="2" t="str">
        <x:v>top_level_area</x:v>
      </x:c>
      <x:c r="L4132" s="2" t="str">
        <x:v>property_type_inferred_from_title;transaction_assumed_sale_from_dataset_context;unknown_property_type</x:v>
      </x:c>
      <x:c r="M4132" s="10" t="n">
        <x:v>0</x:v>
      </x:c>
      <x:c r="N4132" s="10" t="n">
        <x:v>0</x:v>
      </x:c>
      <x:c r="O4132" s="2" t="str">
        <x:v>Hà Nội|other_unknown</x:v>
      </x:c>
      <x:c r="P4132" s="10" t="n">
        <x:v>2</x:v>
      </x:c>
      <x:c r="Q4132" s="13" t="n">
        <x:f>IF(H4132="","",H4132/1000000000)</x:f>
        <x:v>2.1</x:v>
      </x:c>
      <x:c r="R4132" s="13" t="n">
        <x:f>IF(I4132="","",I4132/1000000)</x:f>
        <x:v>80.76923076923077</x:v>
      </x:c>
    </x:row>
    <x:row r="4133" ht="21" customHeight="1">
      <x:c r="A4133" s="10" t="n">
        <x:v>5560</x:v>
      </x:c>
      <x:c r="B4133" s="2" t="str">
        <x:v>acec56d0654c983149ba</x:v>
      </x:c>
      <x:c r="C4133" s="2" t="str">
        <x:v>Hà Nội</x:v>
      </x:c>
      <x:c r="D4133" s="2" t="str">
        <x:v>Quận Hà Đông</x:v>
      </x:c>
      <x:c r="E4133" s="2" t="str">
        <x:v>house</x:v>
      </x:c>
      <x:c r="F4133" s="2" t="str">
        <x:v>sale_assumed</x:v>
      </x:c>
      <x:c r="G4133" s="11" t="n">
        <x:v>36</x:v>
      </x:c>
      <x:c r="H4133" s="12" t="n">
        <x:v>1820000000</x:v>
      </x:c>
      <x:c r="I4133" s="12" t="n">
        <x:v>50555555.55555555</x:v>
      </x:c>
      <x:c r="J4133" s="2" t="str">
        <x:v>total</x:v>
      </x:c>
      <x:c r="K4133" s="2" t="str">
        <x:v>top_level_area</x:v>
      </x:c>
      <x:c r="L4133" s="2" t="str">
        <x:v>property_type_inferred_from_title;transaction_assumed_sale_from_dataset_context</x:v>
      </x:c>
      <x:c r="M4133" s="10" t="n">
        <x:v>0</x:v>
      </x:c>
      <x:c r="N4133" s="10" t="n">
        <x:v>0</x:v>
      </x:c>
      <x:c r="O4133" s="2" t="str">
        <x:v>Hà Nội|house</x:v>
      </x:c>
      <x:c r="P4133" s="10" t="n">
        <x:v>2</x:v>
      </x:c>
      <x:c r="Q4133" s="13" t="n">
        <x:f>IF(H4133="","",H4133/1000000000)</x:f>
        <x:v>1.82</x:v>
      </x:c>
      <x:c r="R4133" s="13" t="n">
        <x:f>IF(I4133="","",I4133/1000000)</x:f>
        <x:v>50.55555555555555</x:v>
      </x:c>
    </x:row>
    <x:row r="4134" ht="21" customHeight="1">
      <x:c r="A4134" s="10" t="n">
        <x:v>5561</x:v>
      </x:c>
      <x:c r="B4134" s="2" t="str">
        <x:v>be787076eb53d8276383</x:v>
      </x:c>
      <x:c r="C4134" s="2" t="str">
        <x:v>Tp Hồ Chí Minh</x:v>
      </x:c>
      <x:c r="D4134" s="2" t="str">
        <x:v>Quận Tân Phú</x:v>
      </x:c>
      <x:c r="E4134" s="2" t="str">
        <x:v>other_unknown</x:v>
      </x:c>
      <x:c r="F4134" s="2" t="str">
        <x:v>sale_assumed</x:v>
      </x:c>
      <x:c r="G4134" s="11" t="n">
        <x:v>69</x:v>
      </x:c>
      <x:c r="H4134" s="12" t="n">
        <x:v>2650000000</x:v>
      </x:c>
      <x:c r="I4134" s="12" t="n">
        <x:v>38405797.10144927</x:v>
      </x:c>
      <x:c r="J4134" s="2" t="str">
        <x:v>total</x:v>
      </x:c>
      <x:c r="K4134" s="2" t="str">
        <x:v>top_level_area</x:v>
      </x:c>
      <x:c r="L4134" s="2" t="str">
        <x:v>property_type_inferred_from_title;transaction_assumed_sale_from_dataset_context;unknown_property_type</x:v>
      </x:c>
      <x:c r="M4134" s="10" t="n">
        <x:v>0</x:v>
      </x:c>
      <x:c r="N4134" s="10" t="n">
        <x:v>0</x:v>
      </x:c>
      <x:c r="O4134" s="2" t="str">
        <x:v>Tp Hồ Chí Minh|other_unknown</x:v>
      </x:c>
      <x:c r="P4134" s="10" t="n">
        <x:v>2</x:v>
      </x:c>
      <x:c r="Q4134" s="13" t="n">
        <x:f>IF(H4134="","",H4134/1000000000)</x:f>
        <x:v>2.65</x:v>
      </x:c>
      <x:c r="R4134" s="13" t="n">
        <x:f>IF(I4134="","",I4134/1000000)</x:f>
        <x:v>38.405797101449274</x:v>
      </x:c>
    </x:row>
    <x:row r="4135" ht="21" customHeight="1">
      <x:c r="A4135" s="10" t="n">
        <x:v>5562</x:v>
      </x:c>
      <x:c r="B4135" s="2" t="str">
        <x:v>399288f5f3312dfba091</x:v>
      </x:c>
      <x:c r="C4135" s="2" t="str">
        <x:v>Tp Hồ Chí Minh</x:v>
      </x:c>
      <x:c r="D4135" s="2" t="str">
        <x:v>Quận Thủ Đức</x:v>
      </x:c>
      <x:c r="E4135" s="2" t="str">
        <x:v>other_unknown</x:v>
      </x:c>
      <x:c r="F4135" s="2" t="str">
        <x:v>sale</x:v>
      </x:c>
      <x:c r="G4135" s="11" t="n">
        <x:v>50</x:v>
      </x:c>
      <x:c r="H4135" s="12" t="n">
        <x:v>2100000000</x:v>
      </x:c>
      <x:c r="I4135" s="12" t="n">
        <x:v>42000000</x:v>
      </x:c>
      <x:c r="J4135" s="2" t="str">
        <x:v>total</x:v>
      </x:c>
      <x:c r="K4135" s="2" t="str">
        <x:v>top_level_area</x:v>
      </x:c>
      <x:c r="L4135" s="2" t="str">
        <x:v>property_type_inferred_from_title;unknown_property_type</x:v>
      </x:c>
      <x:c r="M4135" s="10" t="n">
        <x:v>0</x:v>
      </x:c>
      <x:c r="N4135" s="10" t="n">
        <x:v>0</x:v>
      </x:c>
      <x:c r="O4135" s="2" t="str">
        <x:v>Tp Hồ Chí Minh|other_unknown</x:v>
      </x:c>
      <x:c r="P4135" s="10" t="n">
        <x:v>2</x:v>
      </x:c>
      <x:c r="Q4135" s="13" t="n">
        <x:f>IF(H4135="","",H4135/1000000000)</x:f>
        <x:v>2.1</x:v>
      </x:c>
      <x:c r="R4135" s="13" t="n">
        <x:f>IF(I4135="","",I4135/1000000)</x:f>
        <x:v>42</x:v>
      </x:c>
    </x:row>
    <x:row r="4136" ht="21" customHeight="1">
      <x:c r="A4136" s="10" t="n">
        <x:v>5563</x:v>
      </x:c>
      <x:c r="B4136" s="2" t="str">
        <x:v>d9cea065dc8f3c233f5d</x:v>
      </x:c>
      <x:c r="C4136" s="2" t="str">
        <x:v>Tp Hồ Chí Minh</x:v>
      </x:c>
      <x:c r="D4136" s="2" t="str">
        <x:v>Huyện Bình Chánh</x:v>
      </x:c>
      <x:c r="E4136" s="2" t="str">
        <x:v>house</x:v>
      </x:c>
      <x:c r="F4136" s="2" t="str">
        <x:v>sale_assumed</x:v>
      </x:c>
      <x:c r="G4136" s="11" t="n">
        <x:v>140</x:v>
      </x:c>
      <x:c r="H4136" s="12" t="n">
        <x:v>7070000000</x:v>
      </x:c>
      <x:c r="I4136" s="12" t="n">
        <x:v>50500000</x:v>
      </x:c>
      <x:c r="J4136" s="2" t="str">
        <x:v>total</x:v>
      </x:c>
      <x:c r="K4136" s="2" t="str">
        <x:v>top_level_area</x:v>
      </x:c>
      <x:c r="L4136" s="2" t="str">
        <x:v>property_type_inferred_from_title;transaction_assumed_sale_from_dataset_context</x:v>
      </x:c>
      <x:c r="M4136" s="10" t="n">
        <x:v>0</x:v>
      </x:c>
      <x:c r="N4136" s="10" t="n">
        <x:v>0</x:v>
      </x:c>
      <x:c r="O4136" s="2" t="str">
        <x:v>Tp Hồ Chí Minh|house</x:v>
      </x:c>
      <x:c r="P4136" s="10" t="n">
        <x:v>2</x:v>
      </x:c>
      <x:c r="Q4136" s="13" t="n">
        <x:f>IF(H4136="","",H4136/1000000000)</x:f>
        <x:v>7.07</x:v>
      </x:c>
      <x:c r="R4136" s="13" t="n">
        <x:f>IF(I4136="","",I4136/1000000)</x:f>
        <x:v>50.5</x:v>
      </x:c>
    </x:row>
    <x:row r="4137" ht="21" customHeight="1">
      <x:c r="A4137" s="10" t="n">
        <x:v>5564</x:v>
      </x:c>
      <x:c r="B4137" s="2" t="str">
        <x:v>00a667ba215802bbea82</x:v>
      </x:c>
      <x:c r="C4137" s="2" t="str">
        <x:v>Tp Hồ Chí Minh</x:v>
      </x:c>
      <x:c r="D4137" s="2" t="str">
        <x:v>Quận Bình Tân</x:v>
      </x:c>
      <x:c r="E4137" s="2" t="str">
        <x:v>land</x:v>
      </x:c>
      <x:c r="F4137" s="2" t="str">
        <x:v>sale_assumed</x:v>
      </x:c>
      <x:c r="G4137" s="11" t="n">
        <x:v>52</x:v>
      </x:c>
      <x:c r="H4137" s="12" t="n">
        <x:v>3650000000</x:v>
      </x:c>
      <x:c r="I4137" s="12" t="n">
        <x:v>70192307.6923077</x:v>
      </x:c>
      <x:c r="J4137" s="2" t="str">
        <x:v>total</x:v>
      </x:c>
      <x:c r="K4137" s="2" t="str">
        <x:v>top_level_area</x:v>
      </x:c>
      <x:c r="L4137" s="2" t="str">
        <x:v>property_type_inferred_from_title;transaction_assumed_sale_from_dataset_context</x:v>
      </x:c>
      <x:c r="M4137" s="10" t="n">
        <x:v>0</x:v>
      </x:c>
      <x:c r="N4137" s="10" t="n">
        <x:v>0</x:v>
      </x:c>
      <x:c r="O4137" s="2" t="str">
        <x:v>Tp Hồ Chí Minh|land</x:v>
      </x:c>
      <x:c r="P4137" s="10" t="n">
        <x:v>2</x:v>
      </x:c>
      <x:c r="Q4137" s="13" t="n">
        <x:f>IF(H4137="","",H4137/1000000000)</x:f>
        <x:v>3.65</x:v>
      </x:c>
      <x:c r="R4137" s="13" t="n">
        <x:f>IF(I4137="","",I4137/1000000)</x:f>
        <x:v>70.1923076923077</x:v>
      </x:c>
    </x:row>
    <x:row r="4138" ht="21" customHeight="1">
      <x:c r="A4138" s="10" t="n">
        <x:v>5565</x:v>
      </x:c>
      <x:c r="B4138" s="2" t="str">
        <x:v>293634e6da8e32714eb0</x:v>
      </x:c>
      <x:c r="C4138" s="2" t="str">
        <x:v>Tp Hồ Chí Minh</x:v>
      </x:c>
      <x:c r="D4138" s="2" t="str">
        <x:v>Quận Bình Tân</x:v>
      </x:c>
      <x:c r="E4138" s="2" t="str">
        <x:v>other_unknown</x:v>
      </x:c>
      <x:c r="F4138" s="2" t="str">
        <x:v>sale_assumed</x:v>
      </x:c>
      <x:c r="G4138" s="11" t="n">
        <x:v>61</x:v>
      </x:c>
      <x:c r="H4138" s="12" t="n">
        <x:v>4250000000</x:v>
      </x:c>
      <x:c r="I4138" s="12" t="n">
        <x:v>69672131.14754099</x:v>
      </x:c>
      <x:c r="J4138" s="2" t="str">
        <x:v>total</x:v>
      </x:c>
      <x:c r="K4138" s="2" t="str">
        <x:v>top_level_area</x:v>
      </x:c>
      <x:c r="L4138" s="2" t="str">
        <x:v>property_type_inferred_from_title;transaction_assumed_sale_from_dataset_context;unknown_property_type</x:v>
      </x:c>
      <x:c r="M4138" s="10" t="n">
        <x:v>0</x:v>
      </x:c>
      <x:c r="N4138" s="10" t="n">
        <x:v>0</x:v>
      </x:c>
      <x:c r="O4138" s="2" t="str">
        <x:v>Tp Hồ Chí Minh|other_unknown</x:v>
      </x:c>
      <x:c r="P4138" s="10" t="n">
        <x:v>2</x:v>
      </x:c>
      <x:c r="Q4138" s="13" t="n">
        <x:f>IF(H4138="","",H4138/1000000000)</x:f>
        <x:v>4.25</x:v>
      </x:c>
      <x:c r="R4138" s="13" t="n">
        <x:f>IF(I4138="","",I4138/1000000)</x:f>
        <x:v>69.67213114754098</x:v>
      </x:c>
    </x:row>
    <x:row r="4139" ht="21" customHeight="1">
      <x:c r="A4139" s="10" t="n">
        <x:v>5566</x:v>
      </x:c>
      <x:c r="B4139" s="2" t="str">
        <x:v>fc23c0bf62be35238b9c</x:v>
      </x:c>
      <x:c r="C4139" s="2" t="str">
        <x:v>Tp Hồ Chí Minh</x:v>
      </x:c>
      <x:c r="D4139" s="2" t="str">
        <x:v>Quận Bình Thạnh</x:v>
      </x:c>
      <x:c r="E4139" s="2" t="str">
        <x:v>house</x:v>
      </x:c>
      <x:c r="F4139" s="2" t="str">
        <x:v>sale_assumed</x:v>
      </x:c>
      <x:c r="G4139" s="11" t="n">
        <x:v>25</x:v>
      </x:c>
      <x:c r="H4139" s="12" t="n">
        <x:v>3250000000</x:v>
      </x:c>
      <x:c r="I4139" s="12" t="n">
        <x:v>130000000</x:v>
      </x:c>
      <x:c r="J4139" s="2" t="str">
        <x:v>total</x:v>
      </x:c>
      <x:c r="K4139" s="2" t="str">
        <x:v>top_level_area</x:v>
      </x:c>
      <x:c r="L4139" s="2" t="str">
        <x:v>property_type_inferred_from_title;transaction_assumed_sale_from_dataset_context</x:v>
      </x:c>
      <x:c r="M4139" s="10" t="n">
        <x:v>0</x:v>
      </x:c>
      <x:c r="N4139" s="10" t="n">
        <x:v>0</x:v>
      </x:c>
      <x:c r="O4139" s="2" t="str">
        <x:v>Tp Hồ Chí Minh|house</x:v>
      </x:c>
      <x:c r="P4139" s="10" t="n">
        <x:v>2</x:v>
      </x:c>
      <x:c r="Q4139" s="13" t="n">
        <x:f>IF(H4139="","",H4139/1000000000)</x:f>
        <x:v>3.25</x:v>
      </x:c>
      <x:c r="R4139" s="13" t="n">
        <x:f>IF(I4139="","",I4139/1000000)</x:f>
        <x:v>130</x:v>
      </x:c>
    </x:row>
    <x:row r="4140" ht="21" customHeight="1">
      <x:c r="A4140" s="10" t="n">
        <x:v>5567</x:v>
      </x:c>
      <x:c r="B4140" s="2" t="str">
        <x:v>7bb7a4b8d609f1626019</x:v>
      </x:c>
      <x:c r="C4140" s="2" t="str">
        <x:v>Tp Hồ Chí Minh</x:v>
      </x:c>
      <x:c r="D4140" s="2" t="str">
        <x:v>Quận 12</x:v>
      </x:c>
      <x:c r="E4140" s="2" t="str">
        <x:v>apartment</x:v>
      </x:c>
      <x:c r="F4140" s="2" t="str">
        <x:v>sale_assumed</x:v>
      </x:c>
      <x:c r="G4140" s="11" t="n">
        <x:v>69</x:v>
      </x:c>
      <x:c r="H4140" s="12" t="n">
        <x:v>1530000000</x:v>
      </x:c>
      <x:c r="I4140" s="12" t="n">
        <x:v>22173913.04347826</x:v>
      </x:c>
      <x:c r="J4140" s="2" t="str">
        <x:v>total</x:v>
      </x:c>
      <x:c r="K4140" s="2" t="str">
        <x:v>top_level_area</x:v>
      </x:c>
      <x:c r="L4140" s="2" t="str">
        <x:v>property_type_inferred_from_title;transaction_assumed_sale_from_dataset_context</x:v>
      </x:c>
      <x:c r="M4140" s="10" t="n">
        <x:v>0</x:v>
      </x:c>
      <x:c r="N4140" s="10" t="n">
        <x:v>0</x:v>
      </x:c>
      <x:c r="O4140" s="2" t="str">
        <x:v>Tp Hồ Chí Minh|apartment</x:v>
      </x:c>
      <x:c r="P4140" s="10" t="n">
        <x:v>2</x:v>
      </x:c>
      <x:c r="Q4140" s="13" t="n">
        <x:f>IF(H4140="","",H4140/1000000000)</x:f>
        <x:v>1.53</x:v>
      </x:c>
      <x:c r="R4140" s="13" t="n">
        <x:f>IF(I4140="","",I4140/1000000)</x:f>
        <x:v>22.17391304347826</x:v>
      </x:c>
    </x:row>
    <x:row r="4141" ht="21" customHeight="1">
      <x:c r="A4141" s="10" t="n">
        <x:v>5568</x:v>
      </x:c>
      <x:c r="B4141" s="2" t="str">
        <x:v>fa0fac0eb900b2561adf</x:v>
      </x:c>
      <x:c r="C4141" s="2" t="str">
        <x:v>Tp Hồ Chí Minh</x:v>
      </x:c>
      <x:c r="D4141" s="2" t="str">
        <x:v>Quận 5</x:v>
      </x:c>
      <x:c r="E4141" s="2" t="str">
        <x:v>house</x:v>
      </x:c>
      <x:c r="F4141" s="2" t="str">
        <x:v>sale</x:v>
      </x:c>
      <x:c r="G4141" s="11" t="n">
        <x:v>46</x:v>
      </x:c>
      <x:c r="H4141" s="12" t="n">
        <x:v>2100000000</x:v>
      </x:c>
      <x:c r="I4141" s="12" t="n">
        <x:v>45652173.91304348</x:v>
      </x:c>
      <x:c r="J4141" s="2" t="str">
        <x:v>total</x:v>
      </x:c>
      <x:c r="K4141" s="2" t="str">
        <x:v>top_level_area</x:v>
      </x:c>
      <x:c r="L4141" s="2" t="str">
        <x:v>property_type_inferred_from_title</x:v>
      </x:c>
      <x:c r="M4141" s="10" t="n">
        <x:v>0</x:v>
      </x:c>
      <x:c r="N4141" s="10" t="n">
        <x:v>0</x:v>
      </x:c>
      <x:c r="O4141" s="2" t="str">
        <x:v>Tp Hồ Chí Minh|house</x:v>
      </x:c>
      <x:c r="P4141" s="10" t="n">
        <x:v>2</x:v>
      </x:c>
      <x:c r="Q4141" s="13" t="n">
        <x:f>IF(H4141="","",H4141/1000000000)</x:f>
        <x:v>2.1</x:v>
      </x:c>
      <x:c r="R4141" s="13" t="n">
        <x:f>IF(I4141="","",I4141/1000000)</x:f>
        <x:v>45.65217391304348</x:v>
      </x:c>
    </x:row>
    <x:row r="4142" ht="21" customHeight="1">
      <x:c r="A4142" s="10" t="n">
        <x:v>5569</x:v>
      </x:c>
      <x:c r="B4142" s="2" t="str">
        <x:v>72cd6f4b202c5d226756</x:v>
      </x:c>
      <x:c r="C4142" s="2" t="str">
        <x:v>Cần Thơ</x:v>
      </x:c>
      <x:c r="D4142" s="2" t="str">
        <x:v>Quận Bình Thuỷ</x:v>
      </x:c>
      <x:c r="E4142" s="2" t="str">
        <x:v>land</x:v>
      </x:c>
      <x:c r="F4142" s="2" t="str">
        <x:v>sale</x:v>
      </x:c>
      <x:c r="G4142" s="11" t="n">
        <x:v>90</x:v>
      </x:c>
      <x:c r="H4142" s="12" t="n">
        <x:v>1170000000</x:v>
      </x:c>
      <x:c r="I4142" s="12" t="n">
        <x:v>13000000</x:v>
      </x:c>
      <x:c r="J4142" s="2" t="str">
        <x:v>total</x:v>
      </x:c>
      <x:c r="K4142" s="2" t="str">
        <x:v>top_level_area</x:v>
      </x:c>
      <x:c r="L4142" s="2" t="str">
        <x:v>property_type_inferred_from_title</x:v>
      </x:c>
      <x:c r="M4142" s="10" t="n">
        <x:v>0</x:v>
      </x:c>
      <x:c r="N4142" s="10" t="n">
        <x:v>0</x:v>
      </x:c>
      <x:c r="O4142" s="2" t="str">
        <x:v>Cần Thơ|land</x:v>
      </x:c>
      <x:c r="P4142" s="10" t="n">
        <x:v>2</x:v>
      </x:c>
      <x:c r="Q4142" s="13" t="n">
        <x:f>IF(H4142="","",H4142/1000000000)</x:f>
        <x:v>1.17</x:v>
      </x:c>
      <x:c r="R4142" s="13" t="n">
        <x:f>IF(I4142="","",I4142/1000000)</x:f>
        <x:v>13</x:v>
      </x:c>
    </x:row>
    <x:row r="4143" ht="21" customHeight="1">
      <x:c r="A4143" s="10" t="n">
        <x:v>5570</x:v>
      </x:c>
      <x:c r="B4143" s="2" t="str">
        <x:v>5d75e33b79e1759f0d22</x:v>
      </x:c>
      <x:c r="C4143" s="2" t="str">
        <x:v>Tp Hồ Chí Minh</x:v>
      </x:c>
      <x:c r="D4143" s="2" t="str">
        <x:v>Huyện Bình Chánh</x:v>
      </x:c>
      <x:c r="E4143" s="2" t="str">
        <x:v>house</x:v>
      </x:c>
      <x:c r="F4143" s="2" t="str">
        <x:v>sale_assumed</x:v>
      </x:c>
      <x:c r="G4143" s="11" t="n">
        <x:v>72</x:v>
      </x:c>
      <x:c r="H4143" s="12" t="n">
        <x:v>1700000000</x:v>
      </x:c>
      <x:c r="I4143" s="12" t="n">
        <x:v>23611111.111111112</x:v>
      </x:c>
      <x:c r="J4143" s="2" t="str">
        <x:v>total</x:v>
      </x:c>
      <x:c r="K4143" s="2" t="str">
        <x:v>top_level_area</x:v>
      </x:c>
      <x:c r="L4143" s="2" t="str">
        <x:v>property_type_inferred_from_title;transaction_assumed_sale_from_dataset_context</x:v>
      </x:c>
      <x:c r="M4143" s="10" t="n">
        <x:v>0</x:v>
      </x:c>
      <x:c r="N4143" s="10" t="n">
        <x:v>0</x:v>
      </x:c>
      <x:c r="O4143" s="2" t="str">
        <x:v>Tp Hồ Chí Minh|house</x:v>
      </x:c>
      <x:c r="P4143" s="10" t="n">
        <x:v>2</x:v>
      </x:c>
      <x:c r="Q4143" s="13" t="n">
        <x:f>IF(H4143="","",H4143/1000000000)</x:f>
        <x:v>1.7</x:v>
      </x:c>
      <x:c r="R4143" s="13" t="n">
        <x:f>IF(I4143="","",I4143/1000000)</x:f>
        <x:v>23.61111111111111</x:v>
      </x:c>
    </x:row>
    <x:row r="4144" ht="21" customHeight="1">
      <x:c r="A4144" s="10" t="n">
        <x:v>5571</x:v>
      </x:c>
      <x:c r="B4144" s="2" t="str">
        <x:v>5df8383876e22d006e2d</x:v>
      </x:c>
      <x:c r="C4144" s="2" t="str">
        <x:v>Tp Hồ Chí Minh</x:v>
      </x:c>
      <x:c r="D4144" s="2" t="str">
        <x:v>Quận Bình Thạnh</x:v>
      </x:c>
      <x:c r="E4144" s="2" t="str">
        <x:v>other_unknown</x:v>
      </x:c>
      <x:c r="F4144" s="2" t="str">
        <x:v>sale_assumed</x:v>
      </x:c>
      <x:c r="G4144" s="11" t="n">
        <x:v>32</x:v>
      </x:c>
      <x:c r="H4144" s="12" t="n">
        <x:v>5000000000</x:v>
      </x:c>
      <x:c r="I4144" s="12" t="n">
        <x:v>156250000</x:v>
      </x:c>
      <x:c r="J4144" s="2" t="str">
        <x:v>total</x:v>
      </x:c>
      <x:c r="K4144" s="2" t="str">
        <x:v>top_level_area</x:v>
      </x:c>
      <x:c r="L4144" s="2" t="str">
        <x:v>property_type_inferred_from_title;transaction_assumed_sale_from_dataset_context;unknown_property_type</x:v>
      </x:c>
      <x:c r="M4144" s="10" t="n">
        <x:v>0</x:v>
      </x:c>
      <x:c r="N4144" s="10" t="n">
        <x:v>0</x:v>
      </x:c>
      <x:c r="O4144" s="2" t="str">
        <x:v>Tp Hồ Chí Minh|other_unknown</x:v>
      </x:c>
      <x:c r="P4144" s="10" t="n">
        <x:v>2</x:v>
      </x:c>
      <x:c r="Q4144" s="13" t="n">
        <x:f>IF(H4144="","",H4144/1000000000)</x:f>
        <x:v>5</x:v>
      </x:c>
      <x:c r="R4144" s="13" t="n">
        <x:f>IF(I4144="","",I4144/1000000)</x:f>
        <x:v>156.25</x:v>
      </x:c>
    </x:row>
    <x:row r="4145" ht="21" customHeight="1">
      <x:c r="A4145" s="10" t="n">
        <x:v>5572</x:v>
      </x:c>
      <x:c r="B4145" s="2" t="str">
        <x:v>a9c274b5cbca101d958b</x:v>
      </x:c>
      <x:c r="C4145" s="2" t="str">
        <x:v>Khánh Hòa</x:v>
      </x:c>
      <x:c r="D4145" s="2" t="str">
        <x:v>Thành phố Nha Trang</x:v>
      </x:c>
      <x:c r="E4145" s="2" t="str">
        <x:v>house</x:v>
      </x:c>
      <x:c r="F4145" s="2" t="str">
        <x:v>sale</x:v>
      </x:c>
      <x:c r="G4145" s="11" t="n">
        <x:v>91.7</x:v>
      </x:c>
      <x:c r="H4145" s="12" t="n">
        <x:v>1150000000</x:v>
      </x:c>
      <x:c r="I4145" s="12" t="n">
        <x:v>12540894.220283533</x:v>
      </x:c>
      <x:c r="J4145" s="2" t="str">
        <x:v>total</x:v>
      </x:c>
      <x:c r="K4145" s="2" t="str">
        <x:v>top_level_area</x:v>
      </x:c>
      <x:c r="L4145" s="2" t="str">
        <x:v>property_type_inferred_from_title</x:v>
      </x:c>
      <x:c r="M4145" s="10" t="n">
        <x:v>0</x:v>
      </x:c>
      <x:c r="N4145" s="10" t="n">
        <x:v>0</x:v>
      </x:c>
      <x:c r="O4145" s="2" t="str">
        <x:v>Khánh Hòa|house</x:v>
      </x:c>
      <x:c r="P4145" s="10" t="n">
        <x:v>2</x:v>
      </x:c>
      <x:c r="Q4145" s="13" t="n">
        <x:f>IF(H4145="","",H4145/1000000000)</x:f>
        <x:v>1.15</x:v>
      </x:c>
      <x:c r="R4145" s="13" t="n">
        <x:f>IF(I4145="","",I4145/1000000)</x:f>
        <x:v>12.540894220283533</x:v>
      </x:c>
    </x:row>
    <x:row r="4146" ht="21" customHeight="1">
      <x:c r="A4146" s="10" t="n">
        <x:v>5573</x:v>
      </x:c>
      <x:c r="B4146" s="2" t="str">
        <x:v>347ec99d437743eeb483</x:v>
      </x:c>
      <x:c r="C4146" s="2" t="str">
        <x:v>Đà Nẵng</x:v>
      </x:c>
      <x:c r="D4146" s="2" t="str">
        <x:v>Quận Hải Châu</x:v>
      </x:c>
      <x:c r="E4146" s="2" t="str">
        <x:v>house</x:v>
      </x:c>
      <x:c r="F4146" s="2" t="str">
        <x:v>sale</x:v>
      </x:c>
      <x:c r="G4146" s="11" t="n">
        <x:v>70</x:v>
      </x:c>
      <x:c r="H4146" s="12" t="n">
        <x:v>4950000000</x:v>
      </x:c>
      <x:c r="I4146" s="12" t="n">
        <x:v>70714285.71428572</x:v>
      </x:c>
      <x:c r="J4146" s="2" t="str">
        <x:v>total</x:v>
      </x:c>
      <x:c r="K4146" s="2" t="str">
        <x:v>top_level_area</x:v>
      </x:c>
      <x:c r="L4146" s="2" t="str">
        <x:v>property_type_inferred_from_title</x:v>
      </x:c>
      <x:c r="M4146" s="10" t="n">
        <x:v>0</x:v>
      </x:c>
      <x:c r="N4146" s="10" t="n">
        <x:v>0</x:v>
      </x:c>
      <x:c r="O4146" s="2" t="str">
        <x:v>Đà Nẵng|house</x:v>
      </x:c>
      <x:c r="P4146" s="10" t="n">
        <x:v>2</x:v>
      </x:c>
      <x:c r="Q4146" s="13" t="n">
        <x:f>IF(H4146="","",H4146/1000000000)</x:f>
        <x:v>4.95</x:v>
      </x:c>
      <x:c r="R4146" s="13" t="n">
        <x:f>IF(I4146="","",I4146/1000000)</x:f>
        <x:v>70.71428571428572</x:v>
      </x:c>
    </x:row>
    <x:row r="4147" ht="21" customHeight="1">
      <x:c r="A4147" s="10" t="n">
        <x:v>5574</x:v>
      </x:c>
      <x:c r="B4147" s="2" t="str">
        <x:v>fc9c9db13ce4ef9f1a8f</x:v>
      </x:c>
      <x:c r="C4147" s="2" t="str">
        <x:v>Bắc Ninh</x:v>
      </x:c>
      <x:c r="D4147" s="2" t="str">
        <x:v>Huyện Yên Phong</x:v>
      </x:c>
      <x:c r="E4147" s="2" t="str">
        <x:v>land</x:v>
      </x:c>
      <x:c r="F4147" s="2" t="str">
        <x:v>sale</x:v>
      </x:c>
      <x:c r="G4147" s="11" t="n">
        <x:v>85</x:v>
      </x:c>
      <x:c r="H4147" s="12" t="n">
        <x:v>750000000</x:v>
      </x:c>
      <x:c r="I4147" s="12" t="n">
        <x:v>8823529.411764706</x:v>
      </x:c>
      <x:c r="J4147" s="2" t="str">
        <x:v>total</x:v>
      </x:c>
      <x:c r="K4147" s="2" t="str">
        <x:v>top_level_area</x:v>
      </x:c>
      <x:c r="L4147" s="2" t="str">
        <x:v>property_type_inferred_from_title</x:v>
      </x:c>
      <x:c r="M4147" s="10" t="n">
        <x:v>0</x:v>
      </x:c>
      <x:c r="N4147" s="10" t="n">
        <x:v>0</x:v>
      </x:c>
      <x:c r="O4147" s="2" t="str">
        <x:v>land</x:v>
      </x:c>
      <x:c r="P4147" s="10" t="n">
        <x:v>2</x:v>
      </x:c>
      <x:c r="Q4147" s="13" t="n">
        <x:f>IF(H4147="","",H4147/1000000000)</x:f>
        <x:v>0.75</x:v>
      </x:c>
      <x:c r="R4147" s="13" t="n">
        <x:f>IF(I4147="","",I4147/1000000)</x:f>
        <x:v>8.823529411764705</x:v>
      </x:c>
    </x:row>
    <x:row r="4148" ht="21" customHeight="1">
      <x:c r="A4148" s="10" t="n">
        <x:v>5575</x:v>
      </x:c>
      <x:c r="B4148" s="2" t="str">
        <x:v>71255bb2c726d625a0dc</x:v>
      </x:c>
      <x:c r="C4148" s="2" t="str">
        <x:v>Tp Hồ Chí Minh</x:v>
      </x:c>
      <x:c r="D4148" s="2" t="str">
        <x:v>Quận Phú Nhuận</x:v>
      </x:c>
      <x:c r="E4148" s="2" t="str">
        <x:v>other_unknown</x:v>
      </x:c>
      <x:c r="F4148" s="2" t="str">
        <x:v>sale</x:v>
      </x:c>
      <x:c r="G4148" s="11" t="n">
        <x:v>55</x:v>
      </x:c>
      <x:c r="H4148" s="12" t="n">
        <x:v>6150000000</x:v>
      </x:c>
      <x:c r="I4148" s="12" t="n">
        <x:v>111818181.81818181</x:v>
      </x:c>
      <x:c r="J4148" s="2" t="str">
        <x:v>total</x:v>
      </x:c>
      <x:c r="K4148" s="2" t="str">
        <x:v>top_level_area</x:v>
      </x:c>
      <x:c r="L4148" s="2" t="str">
        <x:v>property_type_inferred_from_title;unknown_property_type</x:v>
      </x:c>
      <x:c r="M4148" s="10" t="n">
        <x:v>0</x:v>
      </x:c>
      <x:c r="N4148" s="10" t="n">
        <x:v>0</x:v>
      </x:c>
      <x:c r="O4148" s="2" t="str">
        <x:v>Tp Hồ Chí Minh|other_unknown</x:v>
      </x:c>
      <x:c r="P4148" s="10" t="n">
        <x:v>2</x:v>
      </x:c>
      <x:c r="Q4148" s="13" t="n">
        <x:f>IF(H4148="","",H4148/1000000000)</x:f>
        <x:v>6.15</x:v>
      </x:c>
      <x:c r="R4148" s="13" t="n">
        <x:f>IF(I4148="","",I4148/1000000)</x:f>
        <x:v>111.81818181818181</x:v>
      </x:c>
    </x:row>
    <x:row r="4149" ht="21" customHeight="1">
      <x:c r="A4149" s="10" t="n">
        <x:v>5576</x:v>
      </x:c>
      <x:c r="B4149" s="2" t="str">
        <x:v>9c5498c61ca0d3e8349e</x:v>
      </x:c>
      <x:c r="C4149" s="2" t="str">
        <x:v>Hà Nội</x:v>
      </x:c>
      <x:c r="D4149" s="2" t="str">
        <x:v>Quận Tây Hồ</x:v>
      </x:c>
      <x:c r="E4149" s="2" t="str">
        <x:v>house</x:v>
      </x:c>
      <x:c r="F4149" s="2" t="str">
        <x:v>sale</x:v>
      </x:c>
      <x:c r="G4149" s="11" t="n">
        <x:v>72</x:v>
      </x:c>
      <x:c r="H4149" s="12" t="n">
        <x:v>4500000000</x:v>
      </x:c>
      <x:c r="I4149" s="12" t="n">
        <x:v>62500000</x:v>
      </x:c>
      <x:c r="J4149" s="2" t="str">
        <x:v>total</x:v>
      </x:c>
      <x:c r="K4149" s="2" t="str">
        <x:v>top_level_area</x:v>
      </x:c>
      <x:c r="L4149" s="2" t="str">
        <x:v>property_type_inferred_from_title</x:v>
      </x:c>
      <x:c r="M4149" s="10" t="n">
        <x:v>0</x:v>
      </x:c>
      <x:c r="N4149" s="10" t="n">
        <x:v>0</x:v>
      </x:c>
      <x:c r="O4149" s="2" t="str">
        <x:v>Hà Nội|house</x:v>
      </x:c>
      <x:c r="P4149" s="10" t="n">
        <x:v>2</x:v>
      </x:c>
      <x:c r="Q4149" s="13" t="n">
        <x:f>IF(H4149="","",H4149/1000000000)</x:f>
        <x:v>4.5</x:v>
      </x:c>
      <x:c r="R4149" s="13" t="n">
        <x:f>IF(I4149="","",I4149/1000000)</x:f>
        <x:v>62.5</x:v>
      </x:c>
    </x:row>
    <x:row r="4150" ht="21" customHeight="1">
      <x:c r="A4150" s="10" t="n">
        <x:v>5578</x:v>
      </x:c>
      <x:c r="B4150" s="2" t="str">
        <x:v>a257ab6ff5f9c4974fbb</x:v>
      </x:c>
      <x:c r="C4150" s="2" t="str">
        <x:v>Bà Rịa - Vũng Tàu</x:v>
      </x:c>
      <x:c r="D4150" s="2" t="str">
        <x:v>Thành phố Vũng Tàu</x:v>
      </x:c>
      <x:c r="E4150" s="2" t="str">
        <x:v>land</x:v>
      </x:c>
      <x:c r="F4150" s="2" t="str">
        <x:v>sale</x:v>
      </x:c>
      <x:c r="G4150" s="11" t="n">
        <x:v>500</x:v>
      </x:c>
      <x:c r="H4150" s="12" t="n">
        <x:v>23500000000</x:v>
      </x:c>
      <x:c r="I4150" s="12" t="n">
        <x:v>47000000</x:v>
      </x:c>
      <x:c r="J4150" s="2" t="str">
        <x:v>total</x:v>
      </x:c>
      <x:c r="K4150" s="2" t="str">
        <x:v>top_level_area</x:v>
      </x:c>
      <x:c r="L4150" s="2" t="str">
        <x:v>property_type_inferred_from_title</x:v>
      </x:c>
      <x:c r="M4150" s="10" t="n">
        <x:v>0</x:v>
      </x:c>
      <x:c r="N4150" s="10" t="n">
        <x:v>1</x:v>
      </x:c>
      <x:c r="O4150" s="2" t="str">
        <x:v>Bà Rịa - Vũng Tàu|land</x:v>
      </x:c>
      <x:c r="P4150" s="10" t="n">
        <x:v>-1</x:v>
      </x:c>
      <x:c r="Q4150" s="13" t="n">
        <x:f>IF(H4150="","",H4150/1000000000)</x:f>
        <x:v>23.5</x:v>
      </x:c>
      <x:c r="R4150" s="13" t="n">
        <x:f>IF(I4150="","",I4150/1000000)</x:f>
        <x:v>47</x:v>
      </x:c>
    </x:row>
    <x:row r="4151" ht="21" customHeight="1">
      <x:c r="A4151" s="10" t="n">
        <x:v>5581</x:v>
      </x:c>
      <x:c r="B4151" s="2" t="str">
        <x:v>7b0e9581a5bcb2338da0</x:v>
      </x:c>
      <x:c r="C4151" s="2" t="str">
        <x:v>Tp Hồ Chí Minh</x:v>
      </x:c>
      <x:c r="D4151" s="2" t="str">
        <x:v>Quận Thủ Đức</x:v>
      </x:c>
      <x:c r="E4151" s="2" t="str">
        <x:v>house</x:v>
      </x:c>
      <x:c r="F4151" s="2" t="str">
        <x:v>sale_assumed</x:v>
      </x:c>
      <x:c r="G4151" s="11" t="n">
        <x:v>87</x:v>
      </x:c>
      <x:c r="H4151" s="12" t="n">
        <x:v>5500000000</x:v>
      </x:c>
      <x:c r="I4151" s="12" t="n">
        <x:v>63218390.8045977</x:v>
      </x:c>
      <x:c r="J4151" s="2" t="str">
        <x:v>total</x:v>
      </x:c>
      <x:c r="K4151" s="2" t="str">
        <x:v>top_level_area</x:v>
      </x:c>
      <x:c r="L4151" s="2" t="str">
        <x:v>property_type_inferred_from_title;transaction_assumed_sale_from_dataset_context</x:v>
      </x:c>
      <x:c r="M4151" s="10" t="n">
        <x:v>0</x:v>
      </x:c>
      <x:c r="N4151" s="10" t="n">
        <x:v>0</x:v>
      </x:c>
      <x:c r="O4151" s="2" t="str">
        <x:v>Tp Hồ Chí Minh|house</x:v>
      </x:c>
      <x:c r="P4151" s="10" t="n">
        <x:v>2</x:v>
      </x:c>
      <x:c r="Q4151" s="13" t="n">
        <x:f>IF(H4151="","",H4151/1000000000)</x:f>
        <x:v>5.5</x:v>
      </x:c>
      <x:c r="R4151" s="13" t="n">
        <x:f>IF(I4151="","",I4151/1000000)</x:f>
        <x:v>63.218390804597696</x:v>
      </x:c>
    </x:row>
    <x:row r="4152" ht="21" customHeight="1">
      <x:c r="A4152" s="10" t="n">
        <x:v>5582</x:v>
      </x:c>
      <x:c r="B4152" s="2" t="str">
        <x:v>a240641ff6b2750fe7e4</x:v>
      </x:c>
      <x:c r="C4152" s="2" t="str">
        <x:v>Hà Nội</x:v>
      </x:c>
      <x:c r="D4152" s="2" t="str">
        <x:v>Quận Hai Bà Trưng</x:v>
      </x:c>
      <x:c r="E4152" s="2" t="str">
        <x:v>house</x:v>
      </x:c>
      <x:c r="F4152" s="2" t="str">
        <x:v>sale_assumed</x:v>
      </x:c>
      <x:c r="G4152" s="11" t="n">
        <x:v>38</x:v>
      </x:c>
      <x:c r="H4152" s="12" t="n">
        <x:v>3300000000</x:v>
      </x:c>
      <x:c r="I4152" s="12" t="n">
        <x:v>86842105.26315789</x:v>
      </x:c>
      <x:c r="J4152" s="2" t="str">
        <x:v>total</x:v>
      </x:c>
      <x:c r="K4152" s="2" t="str">
        <x:v>top_level_area</x:v>
      </x:c>
      <x:c r="L4152" s="2" t="str">
        <x:v>property_type_inferred_from_title;transaction_assumed_sale_from_dataset_context</x:v>
      </x:c>
      <x:c r="M4152" s="10" t="n">
        <x:v>0</x:v>
      </x:c>
      <x:c r="N4152" s="10" t="n">
        <x:v>0</x:v>
      </x:c>
      <x:c r="O4152" s="2" t="str">
        <x:v>Hà Nội|house</x:v>
      </x:c>
      <x:c r="P4152" s="10" t="n">
        <x:v>2</x:v>
      </x:c>
      <x:c r="Q4152" s="13" t="n">
        <x:f>IF(H4152="","",H4152/1000000000)</x:f>
        <x:v>3.3</x:v>
      </x:c>
      <x:c r="R4152" s="13" t="n">
        <x:f>IF(I4152="","",I4152/1000000)</x:f>
        <x:v>86.84210526315789</x:v>
      </x:c>
    </x:row>
    <x:row r="4153" ht="21" customHeight="1">
      <x:c r="A4153" s="10" t="n">
        <x:v>5583</x:v>
      </x:c>
      <x:c r="B4153" s="2" t="str">
        <x:v>2568efcd679ba0c95a01</x:v>
      </x:c>
      <x:c r="C4153" s="2" t="str">
        <x:v>Tp Hồ Chí Minh</x:v>
      </x:c>
      <x:c r="D4153" s="2" t="str">
        <x:v>Huyện Củ Chi</x:v>
      </x:c>
      <x:c r="E4153" s="2" t="str">
        <x:v>land</x:v>
      </x:c>
      <x:c r="F4153" s="2" t="str">
        <x:v>sale_assumed</x:v>
      </x:c>
      <x:c r="G4153" s="11" t="n">
        <x:v>603</x:v>
      </x:c>
      <x:c r="H4153" s="12" t="n">
        <x:v>2500000000</x:v>
      </x:c>
      <x:c r="I4153" s="12" t="n">
        <x:v>4145936.9817578774</x:v>
      </x:c>
      <x:c r="J4153" s="2" t="str">
        <x:v>total</x:v>
      </x:c>
      <x:c r="K4153" s="2" t="str">
        <x:v>top_level_area</x:v>
      </x:c>
      <x:c r="L4153" s="2" t="str">
        <x:v>property_type_inferred_from_title;transaction_assumed_sale_from_dataset_context</x:v>
      </x:c>
      <x:c r="M4153" s="10" t="n">
        <x:v>0</x:v>
      </x:c>
      <x:c r="N4153" s="10" t="n">
        <x:v>0</x:v>
      </x:c>
      <x:c r="O4153" s="2" t="str">
        <x:v>Tp Hồ Chí Minh|land</x:v>
      </x:c>
      <x:c r="P4153" s="10" t="n">
        <x:v>1</x:v>
      </x:c>
      <x:c r="Q4153" s="13" t="n">
        <x:f>IF(H4153="","",H4153/1000000000)</x:f>
        <x:v>2.5</x:v>
      </x:c>
      <x:c r="R4153" s="13" t="n">
        <x:f>IF(I4153="","",I4153/1000000)</x:f>
        <x:v>4.1459369817578775</x:v>
      </x:c>
    </x:row>
    <x:row r="4154" ht="21" customHeight="1">
      <x:c r="A4154" s="10" t="n">
        <x:v>5584</x:v>
      </x:c>
      <x:c r="B4154" s="2" t="str">
        <x:v>777660a56d1806a1e69e</x:v>
      </x:c>
      <x:c r="C4154" s="2" t="str">
        <x:v>Bình Dương</x:v>
      </x:c>
      <x:c r="D4154" s="2" t="str">
        <x:v>Huyện Bàu Bàng</x:v>
      </x:c>
      <x:c r="E4154" s="2" t="str">
        <x:v>land</x:v>
      </x:c>
      <x:c r="F4154" s="2" t="str">
        <x:v>sale_assumed</x:v>
      </x:c>
      <x:c r="G4154" s="11" t="n">
        <x:v>80</x:v>
      </x:c>
      <x:c r="H4154" s="12" t="n">
        <x:v>600000000</x:v>
      </x:c>
      <x:c r="I4154" s="12" t="n">
        <x:v>7500000</x:v>
      </x:c>
      <x:c r="J4154" s="2" t="str">
        <x:v>total</x:v>
      </x:c>
      <x:c r="K4154" s="2" t="str">
        <x:v>top_level_area</x:v>
      </x:c>
      <x:c r="L4154" s="2" t="str">
        <x:v>property_type_inferred_from_title;transaction_assumed_sale_from_dataset_context</x:v>
      </x:c>
      <x:c r="M4154" s="10" t="n">
        <x:v>0</x:v>
      </x:c>
      <x:c r="N4154" s="10" t="n">
        <x:v>0</x:v>
      </x:c>
      <x:c r="O4154" s="2" t="str">
        <x:v>Bình Dương|land</x:v>
      </x:c>
      <x:c r="P4154" s="10" t="n">
        <x:v>2</x:v>
      </x:c>
      <x:c r="Q4154" s="13" t="n">
        <x:f>IF(H4154="","",H4154/1000000000)</x:f>
        <x:v>0.6</x:v>
      </x:c>
      <x:c r="R4154" s="13" t="n">
        <x:f>IF(I4154="","",I4154/1000000)</x:f>
        <x:v>7.5</x:v>
      </x:c>
    </x:row>
    <x:row r="4155" ht="21" customHeight="1">
      <x:c r="A4155" s="10" t="n">
        <x:v>5585</x:v>
      </x:c>
      <x:c r="B4155" s="2" t="str">
        <x:v>1fc88d6defc7889f4896</x:v>
      </x:c>
      <x:c r="C4155" s="2" t="str">
        <x:v>Bình Dương</x:v>
      </x:c>
      <x:c r="D4155" s="2" t="str">
        <x:v>Thị xã Thuận An</x:v>
      </x:c>
      <x:c r="E4155" s="2" t="str">
        <x:v>other_unknown</x:v>
      </x:c>
      <x:c r="F4155" s="2" t="str">
        <x:v>sale_assumed</x:v>
      </x:c>
      <x:c r="G4155" s="11" t="n">
        <x:v>68</x:v>
      </x:c>
      <x:c r="H4155" s="12" t="n">
        <x:v>1550000000</x:v>
      </x:c>
      <x:c r="I4155" s="12" t="n">
        <x:v>22794117.647058822</x:v>
      </x:c>
      <x:c r="J4155" s="2" t="str">
        <x:v>total</x:v>
      </x:c>
      <x:c r="K4155" s="2" t="str">
        <x:v>top_level_area</x:v>
      </x:c>
      <x:c r="L4155" s="2" t="str">
        <x:v>property_type_inferred_from_title;transaction_assumed_sale_from_dataset_context;unknown_property_type</x:v>
      </x:c>
      <x:c r="M4155" s="10" t="n">
        <x:v>0</x:v>
      </x:c>
      <x:c r="N4155" s="10" t="n">
        <x:v>0</x:v>
      </x:c>
      <x:c r="O4155" s="2" t="str">
        <x:v>Bình Dương|other_unknown</x:v>
      </x:c>
      <x:c r="P4155" s="10" t="n">
        <x:v>2</x:v>
      </x:c>
      <x:c r="Q4155" s="13" t="n">
        <x:f>IF(H4155="","",H4155/1000000000)</x:f>
        <x:v>1.55</x:v>
      </x:c>
      <x:c r="R4155" s="13" t="n">
        <x:f>IF(I4155="","",I4155/1000000)</x:f>
        <x:v>22.794117647058822</x:v>
      </x:c>
    </x:row>
    <x:row r="4156" ht="21" customHeight="1">
      <x:c r="A4156" s="10" t="n">
        <x:v>5586</x:v>
      </x:c>
      <x:c r="B4156" s="2" t="str">
        <x:v>6a9dcb0ab9cc3a853f7b</x:v>
      </x:c>
      <x:c r="C4156" s="2" t="str">
        <x:v>Cần Thơ</x:v>
      </x:c>
      <x:c r="D4156" s="2" t="str">
        <x:v>Quận Cái Răng</x:v>
      </x:c>
      <x:c r="E4156" s="2" t="str">
        <x:v>house</x:v>
      </x:c>
      <x:c r="F4156" s="2" t="str">
        <x:v>sale</x:v>
      </x:c>
      <x:c r="G4156" s="11" t="n">
        <x:v>120</x:v>
      </x:c>
      <x:c r="H4156" s="12" t="n">
        <x:v>1050000000</x:v>
      </x:c>
      <x:c r="I4156" s="12" t="n">
        <x:v>8750000</x:v>
      </x:c>
      <x:c r="J4156" s="2" t="str">
        <x:v>total</x:v>
      </x:c>
      <x:c r="K4156" s="2" t="str">
        <x:v>top_level_area</x:v>
      </x:c>
      <x:c r="L4156" s="2" t="str">
        <x:v>property_type_inferred_from_title</x:v>
      </x:c>
      <x:c r="M4156" s="10" t="n">
        <x:v>0</x:v>
      </x:c>
      <x:c r="N4156" s="10" t="n">
        <x:v>0</x:v>
      </x:c>
      <x:c r="O4156" s="2" t="str">
        <x:v>Cần Thơ|house</x:v>
      </x:c>
      <x:c r="P4156" s="10" t="n">
        <x:v>2</x:v>
      </x:c>
      <x:c r="Q4156" s="13" t="n">
        <x:f>IF(H4156="","",H4156/1000000000)</x:f>
        <x:v>1.05</x:v>
      </x:c>
      <x:c r="R4156" s="13" t="n">
        <x:f>IF(I4156="","",I4156/1000000)</x:f>
        <x:v>8.75</x:v>
      </x:c>
    </x:row>
    <x:row r="4157" ht="21" customHeight="1">
      <x:c r="A4157" s="10" t="n">
        <x:v>5587</x:v>
      </x:c>
      <x:c r="B4157" s="2" t="str">
        <x:v>0cc293a7cd81842a6d89</x:v>
      </x:c>
      <x:c r="C4157" s="2" t="str">
        <x:v>Tp Hồ Chí Minh</x:v>
      </x:c>
      <x:c r="D4157" s="2" t="str">
        <x:v>Huyện Củ Chi</x:v>
      </x:c>
      <x:c r="E4157" s="2" t="str">
        <x:v>land</x:v>
      </x:c>
      <x:c r="F4157" s="2" t="str">
        <x:v>sale_assumed</x:v>
      </x:c>
      <x:c r="G4157" s="11" t="n">
        <x:v>296</x:v>
      </x:c>
      <x:c r="H4157" s="12" t="n">
        <x:v>2200000000</x:v>
      </x:c>
      <x:c r="I4157" s="12" t="n">
        <x:v>7432432.432432433</x:v>
      </x:c>
      <x:c r="J4157" s="2" t="str">
        <x:v>total</x:v>
      </x:c>
      <x:c r="K4157" s="2" t="str">
        <x:v>top_level_area</x:v>
      </x:c>
      <x:c r="L4157" s="2" t="str">
        <x:v>property_type_inferred_from_title;transaction_assumed_sale_from_dataset_context</x:v>
      </x:c>
      <x:c r="M4157" s="10" t="n">
        <x:v>0</x:v>
      </x:c>
      <x:c r="N4157" s="10" t="n">
        <x:v>0</x:v>
      </x:c>
      <x:c r="O4157" s="2" t="str">
        <x:v>Tp Hồ Chí Minh|land</x:v>
      </x:c>
      <x:c r="P4157" s="10" t="n">
        <x:v>1</x:v>
      </x:c>
      <x:c r="Q4157" s="13" t="n">
        <x:f>IF(H4157="","",H4157/1000000000)</x:f>
        <x:v>2.2</x:v>
      </x:c>
      <x:c r="R4157" s="13" t="n">
        <x:f>IF(I4157="","",I4157/1000000)</x:f>
        <x:v>7.4324324324324325</x:v>
      </x:c>
    </x:row>
    <x:row r="4158" ht="21" customHeight="1">
      <x:c r="A4158" s="10" t="n">
        <x:v>5588</x:v>
      </x:c>
      <x:c r="B4158" s="2" t="str">
        <x:v>abdda02abda266539cdd</x:v>
      </x:c>
      <x:c r="C4158" s="2" t="str">
        <x:v>Cần Thơ</x:v>
      </x:c>
      <x:c r="D4158" s="2" t="str">
        <x:v>Quận Ninh Kiều</x:v>
      </x:c>
      <x:c r="E4158" s="2" t="str">
        <x:v>house</x:v>
      </x:c>
      <x:c r="F4158" s="2" t="str">
        <x:v>sale</x:v>
      </x:c>
      <x:c r="G4158" s="11" t="n">
        <x:v>65</x:v>
      </x:c>
      <x:c r="H4158" s="12" t="n">
        <x:v>2900000000</x:v>
      </x:c>
      <x:c r="I4158" s="12" t="n">
        <x:v>44615384.615384616</x:v>
      </x:c>
      <x:c r="J4158" s="2" t="str">
        <x:v>total</x:v>
      </x:c>
      <x:c r="K4158" s="2" t="str">
        <x:v>top_level_area</x:v>
      </x:c>
      <x:c r="L4158" s="2" t="str">
        <x:v>property_type_inferred_from_title</x:v>
      </x:c>
      <x:c r="M4158" s="10" t="n">
        <x:v>0</x:v>
      </x:c>
      <x:c r="N4158" s="10" t="n">
        <x:v>0</x:v>
      </x:c>
      <x:c r="O4158" s="2" t="str">
        <x:v>Cần Thơ|house</x:v>
      </x:c>
      <x:c r="P4158" s="10" t="n">
        <x:v>2</x:v>
      </x:c>
      <x:c r="Q4158" s="13" t="n">
        <x:f>IF(H4158="","",H4158/1000000000)</x:f>
        <x:v>2.9</x:v>
      </x:c>
      <x:c r="R4158" s="13" t="n">
        <x:f>IF(I4158="","",I4158/1000000)</x:f>
        <x:v>44.61538461538461</x:v>
      </x:c>
    </x:row>
    <x:row r="4159" ht="21" customHeight="1">
      <x:c r="A4159" s="10" t="n">
        <x:v>5589</x:v>
      </x:c>
      <x:c r="B4159" s="2" t="str">
        <x:v>6c7714504ab1647e0319</x:v>
      </x:c>
      <x:c r="C4159" s="2" t="str">
        <x:v>Đà Nẵng</x:v>
      </x:c>
      <x:c r="D4159" s="2" t="str">
        <x:v>Quận Ngũ Hành Sơn</x:v>
      </x:c>
      <x:c r="E4159" s="2" t="str">
        <x:v>house</x:v>
      </x:c>
      <x:c r="F4159" s="2" t="str">
        <x:v>sale_assumed</x:v>
      </x:c>
      <x:c r="G4159" s="11" t="n">
        <x:v>95</x:v>
      </x:c>
      <x:c r="H4159" s="12" t="n">
        <x:v>3500000000</x:v>
      </x:c>
      <x:c r="I4159" s="12" t="n">
        <x:v>36842105.2631579</x:v>
      </x:c>
      <x:c r="J4159" s="2" t="str">
        <x:v>total</x:v>
      </x:c>
      <x:c r="K4159" s="2" t="str">
        <x:v>top_level_area</x:v>
      </x:c>
      <x:c r="L4159" s="2" t="str">
        <x:v>property_type_inferred_from_title;transaction_assumed_sale_from_dataset_context</x:v>
      </x:c>
      <x:c r="M4159" s="10" t="n">
        <x:v>0</x:v>
      </x:c>
      <x:c r="N4159" s="10" t="n">
        <x:v>0</x:v>
      </x:c>
      <x:c r="O4159" s="2" t="str">
        <x:v>Đà Nẵng|house</x:v>
      </x:c>
      <x:c r="P4159" s="10" t="n">
        <x:v>2</x:v>
      </x:c>
      <x:c r="Q4159" s="13" t="n">
        <x:f>IF(H4159="","",H4159/1000000000)</x:f>
        <x:v>3.5</x:v>
      </x:c>
      <x:c r="R4159" s="13" t="n">
        <x:f>IF(I4159="","",I4159/1000000)</x:f>
        <x:v>36.8421052631579</x:v>
      </x:c>
    </x:row>
    <x:row r="4160" ht="21" customHeight="1">
      <x:c r="A4160" s="10" t="n">
        <x:v>5590</x:v>
      </x:c>
      <x:c r="B4160" s="2" t="str">
        <x:v>bebb4b0c6ea7a66db3e1</x:v>
      </x:c>
      <x:c r="C4160" s="2" t="str">
        <x:v>Đồng Nai</x:v>
      </x:c>
      <x:c r="D4160" s="2" t="str">
        <x:v>Thành phố Biên Hòa</x:v>
      </x:c>
      <x:c r="E4160" s="2" t="str">
        <x:v>land</x:v>
      </x:c>
      <x:c r="F4160" s="2" t="str">
        <x:v>sale_assumed</x:v>
      </x:c>
      <x:c r="G4160" s="11" t="n">
        <x:v>105</x:v>
      </x:c>
      <x:c r="H4160" s="12" t="n">
        <x:v>1600000000</x:v>
      </x:c>
      <x:c r="I4160" s="12" t="n">
        <x:v>15238095.238095239</x:v>
      </x:c>
      <x:c r="J4160" s="2" t="str">
        <x:v>total</x:v>
      </x:c>
      <x:c r="K4160" s="2" t="str">
        <x:v>top_level_area</x:v>
      </x:c>
      <x:c r="L4160" s="2" t="str">
        <x:v>property_type_inferred_from_title;transaction_assumed_sale_from_dataset_context</x:v>
      </x:c>
      <x:c r="M4160" s="10" t="n">
        <x:v>0</x:v>
      </x:c>
      <x:c r="N4160" s="10" t="n">
        <x:v>0</x:v>
      </x:c>
      <x:c r="O4160" s="2" t="str">
        <x:v>Đồng Nai|land</x:v>
      </x:c>
      <x:c r="P4160" s="10" t="n">
        <x:v>2</x:v>
      </x:c>
      <x:c r="Q4160" s="13" t="n">
        <x:f>IF(H4160="","",H4160/1000000000)</x:f>
        <x:v>1.6</x:v>
      </x:c>
      <x:c r="R4160" s="13" t="n">
        <x:f>IF(I4160="","",I4160/1000000)</x:f>
        <x:v>15.238095238095239</x:v>
      </x:c>
    </x:row>
    <x:row r="4161" ht="21" customHeight="1">
      <x:c r="A4161" s="10" t="n">
        <x:v>5591</x:v>
      </x:c>
      <x:c r="B4161" s="2" t="str">
        <x:v>0b92abd344c835138346</x:v>
      </x:c>
      <x:c r="C4161" s="2" t="str">
        <x:v>Đà Nẵng</x:v>
      </x:c>
      <x:c r="D4161" s="2" t="str">
        <x:v>Huyện Hòa Vang</x:v>
      </x:c>
      <x:c r="E4161" s="2" t="str">
        <x:v>land</x:v>
      </x:c>
      <x:c r="F4161" s="2" t="str">
        <x:v>sale_assumed</x:v>
      </x:c>
      <x:c r="G4161" s="11" t="n">
        <x:v>106</x:v>
      </x:c>
      <x:c r="H4161" s="12" t="n">
        <x:v>926000000</x:v>
      </x:c>
      <x:c r="I4161" s="12" t="n">
        <x:v>8735849.056603774</x:v>
      </x:c>
      <x:c r="J4161" s="2" t="str">
        <x:v>total</x:v>
      </x:c>
      <x:c r="K4161" s="2" t="str">
        <x:v>top_level_area</x:v>
      </x:c>
      <x:c r="L4161" s="2" t="str">
        <x:v>property_type_inferred_from_title;transaction_assumed_sale_from_dataset_context</x:v>
      </x:c>
      <x:c r="M4161" s="10" t="n">
        <x:v>0</x:v>
      </x:c>
      <x:c r="N4161" s="10" t="n">
        <x:v>0</x:v>
      </x:c>
      <x:c r="O4161" s="2" t="str">
        <x:v>Đà Nẵng|land</x:v>
      </x:c>
      <x:c r="P4161" s="10" t="n">
        <x:v>2</x:v>
      </x:c>
      <x:c r="Q4161" s="13" t="n">
        <x:f>IF(H4161="","",H4161/1000000000)</x:f>
        <x:v>0.926</x:v>
      </x:c>
      <x:c r="R4161" s="13" t="n">
        <x:f>IF(I4161="","",I4161/1000000)</x:f>
        <x:v>8.735849056603774</x:v>
      </x:c>
    </x:row>
    <x:row r="4162" ht="21" customHeight="1">
      <x:c r="A4162" s="10" t="n">
        <x:v>5592</x:v>
      </x:c>
      <x:c r="B4162" s="2" t="str">
        <x:v>fac6b23c364ee56d931b</x:v>
      </x:c>
      <x:c r="C4162" s="2" t="str">
        <x:v>Đà Nẵng</x:v>
      </x:c>
      <x:c r="D4162" s="2" t="str">
        <x:v>Quận Thanh Khê</x:v>
      </x:c>
      <x:c r="E4162" s="2" t="str">
        <x:v>house</x:v>
      </x:c>
      <x:c r="F4162" s="2" t="str">
        <x:v>sale</x:v>
      </x:c>
      <x:c r="G4162" s="11" t="n">
        <x:v>55</x:v>
      </x:c>
      <x:c r="H4162" s="12" t="n">
        <x:v>3150000000</x:v>
      </x:c>
      <x:c r="I4162" s="12" t="n">
        <x:v>57272727.27272727</x:v>
      </x:c>
      <x:c r="J4162" s="2" t="str">
        <x:v>total</x:v>
      </x:c>
      <x:c r="K4162" s="2" t="str">
        <x:v>top_level_area</x:v>
      </x:c>
      <x:c r="L4162" s="2" t="str">
        <x:v>property_type_inferred_from_title</x:v>
      </x:c>
      <x:c r="M4162" s="10" t="n">
        <x:v>0</x:v>
      </x:c>
      <x:c r="N4162" s="10" t="n">
        <x:v>0</x:v>
      </x:c>
      <x:c r="O4162" s="2" t="str">
        <x:v>Đà Nẵng|house</x:v>
      </x:c>
      <x:c r="P4162" s="10" t="n">
        <x:v>2</x:v>
      </x:c>
      <x:c r="Q4162" s="13" t="n">
        <x:f>IF(H4162="","",H4162/1000000000)</x:f>
        <x:v>3.15</x:v>
      </x:c>
      <x:c r="R4162" s="13" t="n">
        <x:f>IF(I4162="","",I4162/1000000)</x:f>
        <x:v>57.27272727272727</x:v>
      </x:c>
    </x:row>
    <x:row r="4163" ht="21" customHeight="1">
      <x:c r="A4163" s="10" t="n">
        <x:v>5593</x:v>
      </x:c>
      <x:c r="B4163" s="2" t="str">
        <x:v>db672488bf17d586b063</x:v>
      </x:c>
      <x:c r="C4163" s="2" t="str">
        <x:v>Lâm Đồng</x:v>
      </x:c>
      <x:c r="D4163" s="2" t="str">
        <x:v>Thành phố Bảo Lộc</x:v>
      </x:c>
      <x:c r="E4163" s="2" t="str">
        <x:v>land</x:v>
      </x:c>
      <x:c r="F4163" s="2" t="str">
        <x:v>sale_assumed</x:v>
      </x:c>
      <x:c r="G4163" s="11" t="n">
        <x:v>116</x:v>
      </x:c>
      <x:c r="H4163" s="12" t="n">
        <x:v>730000000</x:v>
      </x:c>
      <x:c r="I4163" s="12" t="n">
        <x:v>6293103.448275862</x:v>
      </x:c>
      <x:c r="J4163" s="2" t="str">
        <x:v>total</x:v>
      </x:c>
      <x:c r="K4163" s="2" t="str">
        <x:v>top_level_price_embedded_area</x:v>
      </x:c>
      <x:c r="L4163" s="2" t="str">
        <x:v>area_recovered_from_price_text;property_type_inferred_from_title;transaction_assumed_sale_from_dataset_context</x:v>
      </x:c>
      <x:c r="M4163" s="10" t="n">
        <x:v>0</x:v>
      </x:c>
      <x:c r="N4163" s="10" t="n">
        <x:v>0</x:v>
      </x:c>
      <x:c r="O4163" s="2" t="str">
        <x:v>Lâm Đồng|land</x:v>
      </x:c>
      <x:c r="P4163" s="10" t="n">
        <x:v>2</x:v>
      </x:c>
      <x:c r="Q4163" s="13" t="n">
        <x:f>IF(H4163="","",H4163/1000000000)</x:f>
        <x:v>0.73</x:v>
      </x:c>
      <x:c r="R4163" s="13" t="n">
        <x:f>IF(I4163="","",I4163/1000000)</x:f>
        <x:v>6.293103448275862</x:v>
      </x:c>
    </x:row>
    <x:row r="4164" ht="21" customHeight="1">
      <x:c r="A4164" s="10" t="n">
        <x:v>5594</x:v>
      </x:c>
      <x:c r="B4164" s="2" t="str">
        <x:v>cb8cc71fef700c6e85f7</x:v>
      </x:c>
      <x:c r="C4164" s="2" t="str">
        <x:v>Đà Nẵng</x:v>
      </x:c>
      <x:c r="D4164" s="2" t="str">
        <x:v>Quận Cẩm Lệ</x:v>
      </x:c>
      <x:c r="E4164" s="2" t="str">
        <x:v>house</x:v>
      </x:c>
      <x:c r="F4164" s="2" t="str">
        <x:v>sale_assumed</x:v>
      </x:c>
      <x:c r="G4164" s="11" t="n">
        <x:v>59.5</x:v>
      </x:c>
      <x:c r="H4164" s="12" t="n">
        <x:v>1749000000</x:v>
      </x:c>
      <x:c r="I4164" s="12" t="n">
        <x:v>29394957.98319328</x:v>
      </x:c>
      <x:c r="J4164" s="2" t="str">
        <x:v>total</x:v>
      </x:c>
      <x:c r="K4164" s="2" t="str">
        <x:v>top_level_area</x:v>
      </x:c>
      <x:c r="L4164" s="2" t="str">
        <x:v>property_type_inferred_from_title;transaction_assumed_sale_from_dataset_context</x:v>
      </x:c>
      <x:c r="M4164" s="10" t="n">
        <x:v>0</x:v>
      </x:c>
      <x:c r="N4164" s="10" t="n">
        <x:v>0</x:v>
      </x:c>
      <x:c r="O4164" s="2" t="str">
        <x:v>Đà Nẵng|house</x:v>
      </x:c>
      <x:c r="P4164" s="10" t="n">
        <x:v>2</x:v>
      </x:c>
      <x:c r="Q4164" s="13" t="n">
        <x:f>IF(H4164="","",H4164/1000000000)</x:f>
        <x:v>1.749</x:v>
      </x:c>
      <x:c r="R4164" s="13" t="n">
        <x:f>IF(I4164="","",I4164/1000000)</x:f>
        <x:v>29.39495798319328</x:v>
      </x:c>
    </x:row>
    <x:row r="4165" ht="21" customHeight="1">
      <x:c r="A4165" s="10" t="n">
        <x:v>5595</x:v>
      </x:c>
      <x:c r="B4165" s="2" t="str">
        <x:v>47d1158fbd65a3e3cfd8</x:v>
      </x:c>
      <x:c r="C4165" s="2" t="str">
        <x:v>Bà Rịa - Vũng Tàu</x:v>
      </x:c>
      <x:c r="D4165" s="2" t="str">
        <x:v>Thị xã Phú Mỹ</x:v>
      </x:c>
      <x:c r="E4165" s="2" t="str">
        <x:v>land</x:v>
      </x:c>
      <x:c r="F4165" s="2" t="str">
        <x:v>sale</x:v>
      </x:c>
      <x:c r="G4165" s="11" t="n">
        <x:v>100</x:v>
      </x:c>
      <x:c r="H4165" s="12" t="n">
        <x:v>470000000</x:v>
      </x:c>
      <x:c r="I4165" s="12" t="n">
        <x:v>4700000</x:v>
      </x:c>
      <x:c r="J4165" s="2" t="str">
        <x:v>total</x:v>
      </x:c>
      <x:c r="K4165" s="2" t="str">
        <x:v>top_level_area</x:v>
      </x:c>
      <x:c r="L4165" s="2" t="str">
        <x:v>property_type_inferred_from_title</x:v>
      </x:c>
      <x:c r="M4165" s="10" t="n">
        <x:v>0</x:v>
      </x:c>
      <x:c r="N4165" s="10" t="n">
        <x:v>0</x:v>
      </x:c>
      <x:c r="O4165" s="2" t="str">
        <x:v>Bà Rịa - Vũng Tàu|land</x:v>
      </x:c>
      <x:c r="P4165" s="10" t="n">
        <x:v>2</x:v>
      </x:c>
      <x:c r="Q4165" s="13" t="n">
        <x:f>IF(H4165="","",H4165/1000000000)</x:f>
        <x:v>0.47</x:v>
      </x:c>
      <x:c r="R4165" s="13" t="n">
        <x:f>IF(I4165="","",I4165/1000000)</x:f>
        <x:v>4.7</x:v>
      </x:c>
    </x:row>
    <x:row r="4166" ht="21" customHeight="1">
      <x:c r="A4166" s="10" t="n">
        <x:v>5596</x:v>
      </x:c>
      <x:c r="B4166" s="2" t="str">
        <x:v>eec7060f58e2b177c126</x:v>
      </x:c>
      <x:c r="C4166" s="2" t="str">
        <x:v>Tp Hồ Chí Minh</x:v>
      </x:c>
      <x:c r="D4166" s="2" t="str">
        <x:v>Quận Gò Vấp</x:v>
      </x:c>
      <x:c r="E4166" s="2" t="str">
        <x:v>house</x:v>
      </x:c>
      <x:c r="F4166" s="2" t="str">
        <x:v>sale</x:v>
      </x:c>
      <x:c r="G4166" s="11" t="n">
        <x:v>48</x:v>
      </x:c>
      <x:c r="H4166" s="12" t="n">
        <x:v>1250000000</x:v>
      </x:c>
      <x:c r="I4166" s="12" t="n">
        <x:v>26041666.666666668</x:v>
      </x:c>
      <x:c r="J4166" s="2" t="str">
        <x:v>total</x:v>
      </x:c>
      <x:c r="K4166" s="2" t="str">
        <x:v>top_level_price_embedded_area</x:v>
      </x:c>
      <x:c r="L4166" s="2" t="str">
        <x:v>area_recovered_from_price_text;property_type_inferred_from_title</x:v>
      </x:c>
      <x:c r="M4166" s="10" t="n">
        <x:v>0</x:v>
      </x:c>
      <x:c r="N4166" s="10" t="n">
        <x:v>0</x:v>
      </x:c>
      <x:c r="O4166" s="2" t="str">
        <x:v>Tp Hồ Chí Minh|house</x:v>
      </x:c>
      <x:c r="P4166" s="10" t="n">
        <x:v>2</x:v>
      </x:c>
      <x:c r="Q4166" s="13" t="n">
        <x:f>IF(H4166="","",H4166/1000000000)</x:f>
        <x:v>1.25</x:v>
      </x:c>
      <x:c r="R4166" s="13" t="n">
        <x:f>IF(I4166="","",I4166/1000000)</x:f>
        <x:v>26.041666666666668</x:v>
      </x:c>
    </x:row>
    <x:row r="4167" ht="21" customHeight="1">
      <x:c r="A4167" s="10" t="n">
        <x:v>5597</x:v>
      </x:c>
      <x:c r="B4167" s="2" t="str">
        <x:v>f030469c10e7e68665b2</x:v>
      </x:c>
      <x:c r="C4167" s="2" t="str">
        <x:v>Tp Hồ Chí Minh</x:v>
      </x:c>
      <x:c r="D4167" s="2" t="str">
        <x:v>Quận 10</x:v>
      </x:c>
      <x:c r="E4167" s="2" t="str">
        <x:v>house</x:v>
      </x:c>
      <x:c r="F4167" s="2" t="str">
        <x:v>sale_assumed</x:v>
      </x:c>
      <x:c r="G4167" s="11" t="n">
        <x:v>30</x:v>
      </x:c>
      <x:c r="H4167" s="12" t="n">
        <x:v>790000000</x:v>
      </x:c>
      <x:c r="I4167" s="12" t="n">
        <x:v>26333333.333333332</x:v>
      </x:c>
      <x:c r="J4167" s="2" t="str">
        <x:v>total</x:v>
      </x:c>
      <x:c r="K4167" s="2" t="str">
        <x:v>top_level_area</x:v>
      </x:c>
      <x:c r="L4167" s="2" t="str">
        <x:v>property_type_inferred_from_title;transaction_assumed_sale_from_dataset_context</x:v>
      </x:c>
      <x:c r="M4167" s="10" t="n">
        <x:v>0</x:v>
      </x:c>
      <x:c r="N4167" s="10" t="n">
        <x:v>0</x:v>
      </x:c>
      <x:c r="O4167" s="2" t="str">
        <x:v>Tp Hồ Chí Minh|house</x:v>
      </x:c>
      <x:c r="P4167" s="10" t="n">
        <x:v>2</x:v>
      </x:c>
      <x:c r="Q4167" s="13" t="n">
        <x:f>IF(H4167="","",H4167/1000000000)</x:f>
        <x:v>0.79</x:v>
      </x:c>
      <x:c r="R4167" s="13" t="n">
        <x:f>IF(I4167="","",I4167/1000000)</x:f>
        <x:v>26.333333333333332</x:v>
      </x:c>
    </x:row>
    <x:row r="4168" ht="21" customHeight="1">
      <x:c r="A4168" s="10" t="n">
        <x:v>5598</x:v>
      </x:c>
      <x:c r="B4168" s="2" t="str">
        <x:v>d199f00b73c4462d19b9</x:v>
      </x:c>
      <x:c r="C4168" s="2" t="str">
        <x:v>Tp Hồ Chí Minh</x:v>
      </x:c>
      <x:c r="D4168" s="2" t="str">
        <x:v>Huyện Nhà Bè</x:v>
      </x:c>
      <x:c r="E4168" s="2" t="str">
        <x:v>house</x:v>
      </x:c>
      <x:c r="F4168" s="2" t="str">
        <x:v>sale</x:v>
      </x:c>
      <x:c r="G4168" s="11" t="n">
        <x:v>40</x:v>
      </x:c>
      <x:c r="H4168" s="12" t="n">
        <x:v>2650000000</x:v>
      </x:c>
      <x:c r="I4168" s="12" t="n">
        <x:v>66250000</x:v>
      </x:c>
      <x:c r="J4168" s="2" t="str">
        <x:v>total</x:v>
      </x:c>
      <x:c r="K4168" s="2" t="str">
        <x:v>top_level_area</x:v>
      </x:c>
      <x:c r="L4168" s="2" t="str">
        <x:v>property_type_inferred_from_title</x:v>
      </x:c>
      <x:c r="M4168" s="10" t="n">
        <x:v>0</x:v>
      </x:c>
      <x:c r="N4168" s="10" t="n">
        <x:v>0</x:v>
      </x:c>
      <x:c r="O4168" s="2" t="str">
        <x:v>Tp Hồ Chí Minh|house</x:v>
      </x:c>
      <x:c r="P4168" s="10" t="n">
        <x:v>2</x:v>
      </x:c>
      <x:c r="Q4168" s="13" t="n">
        <x:f>IF(H4168="","",H4168/1000000000)</x:f>
        <x:v>2.65</x:v>
      </x:c>
      <x:c r="R4168" s="13" t="n">
        <x:f>IF(I4168="","",I4168/1000000)</x:f>
        <x:v>66.25</x:v>
      </x:c>
    </x:row>
    <x:row r="4169" ht="21" customHeight="1">
      <x:c r="A4169" s="10" t="n">
        <x:v>5599</x:v>
      </x:c>
      <x:c r="B4169" s="2" t="str">
        <x:v>1c074b04906fcc9ae7bb</x:v>
      </x:c>
      <x:c r="C4169" s="2" t="str">
        <x:v>Đồng Nai</x:v>
      </x:c>
      <x:c r="D4169" s="2" t="str">
        <x:v>Huyện Định Quán</x:v>
      </x:c>
      <x:c r="E4169" s="2" t="str">
        <x:v>land</x:v>
      </x:c>
      <x:c r="F4169" s="2" t="str">
        <x:v>sale_assumed</x:v>
      </x:c>
      <x:c r="G4169" s="11" t="n">
        <x:v>7500</x:v>
      </x:c>
      <x:c r="H4169" s="12" t="n">
        <x:v>1890000000</x:v>
      </x:c>
      <x:c r="I4169" s="12" t="n">
        <x:v>252000</x:v>
      </x:c>
      <x:c r="J4169" s="2" t="str">
        <x:v>total</x:v>
      </x:c>
      <x:c r="K4169" s="2" t="str">
        <x:v>top_level_price_embedded_area</x:v>
      </x:c>
      <x:c r="L4169" s="2" t="str">
        <x:v>area_recovered_from_price_text;dot_thousands_convention;property_type_inferred_from_title;transaction_assumed_sale_from_dataset_context</x:v>
      </x:c>
      <x:c r="M4169" s="10" t="n">
        <x:v>0</x:v>
      </x:c>
      <x:c r="N4169" s="10" t="n">
        <x:v>0</x:v>
      </x:c>
      <x:c r="O4169" s="2" t="str">
        <x:v>Đồng Nai|land</x:v>
      </x:c>
      <x:c r="P4169" s="10" t="n">
        <x:v>1</x:v>
      </x:c>
      <x:c r="Q4169" s="13" t="n">
        <x:f>IF(H4169="","",H4169/1000000000)</x:f>
        <x:v>1.89</x:v>
      </x:c>
      <x:c r="R4169" s="13" t="n">
        <x:f>IF(I4169="","",I4169/1000000)</x:f>
        <x:v>0.252</x:v>
      </x:c>
    </x:row>
    <x:row r="4170" ht="21" customHeight="1">
      <x:c r="A4170" s="10" t="n">
        <x:v>5600</x:v>
      </x:c>
      <x:c r="B4170" s="2" t="str">
        <x:v>579fd5d2bcab78ee1ce8</x:v>
      </x:c>
      <x:c r="C4170" s="2" t="str">
        <x:v>Hà Nội</x:v>
      </x:c>
      <x:c r="D4170" s="2" t="str">
        <x:v>Quận Hà Đông</x:v>
      </x:c>
      <x:c r="E4170" s="2" t="str">
        <x:v>land</x:v>
      </x:c>
      <x:c r="F4170" s="2" t="str">
        <x:v>sale_assumed</x:v>
      </x:c>
      <x:c r="G4170" s="11" t="n">
        <x:v>40</x:v>
      </x:c>
      <x:c r="H4170" s="12" t="n">
        <x:v>2300000000</x:v>
      </x:c>
      <x:c r="I4170" s="12" t="n">
        <x:v>57500000</x:v>
      </x:c>
      <x:c r="J4170" s="2" t="str">
        <x:v>total</x:v>
      </x:c>
      <x:c r="K4170" s="2" t="str">
        <x:v>top_level_area</x:v>
      </x:c>
      <x:c r="L4170" s="2" t="str">
        <x:v>property_type_inferred_from_title;transaction_assumed_sale_from_dataset_context</x:v>
      </x:c>
      <x:c r="M4170" s="10" t="n">
        <x:v>0</x:v>
      </x:c>
      <x:c r="N4170" s="10" t="n">
        <x:v>0</x:v>
      </x:c>
      <x:c r="O4170" s="2" t="str">
        <x:v>Hà Nội|land</x:v>
      </x:c>
      <x:c r="P4170" s="10" t="n">
        <x:v>2</x:v>
      </x:c>
      <x:c r="Q4170" s="13" t="n">
        <x:f>IF(H4170="","",H4170/1000000000)</x:f>
        <x:v>2.3</x:v>
      </x:c>
      <x:c r="R4170" s="13" t="n">
        <x:f>IF(I4170="","",I4170/1000000)</x:f>
        <x:v>57.5</x:v>
      </x:c>
    </x:row>
    <x:row r="4171" ht="21" customHeight="1">
      <x:c r="A4171" s="10" t="n">
        <x:v>5604</x:v>
      </x:c>
      <x:c r="B4171" s="2" t="str">
        <x:v>8ecb2584d3db96e3a37d</x:v>
      </x:c>
      <x:c r="C4171" s="2" t="str">
        <x:v>Tp Hồ Chí Minh</x:v>
      </x:c>
      <x:c r="D4171" s="2" t="str">
        <x:v>Quận 12</x:v>
      </x:c>
      <x:c r="E4171" s="2" t="str">
        <x:v>house</x:v>
      </x:c>
      <x:c r="F4171" s="2" t="str">
        <x:v>sale_assumed</x:v>
      </x:c>
      <x:c r="G4171" s="11" t="n">
        <x:v>52.6</x:v>
      </x:c>
      <x:c r="H4171" s="12" t="n">
        <x:v>4000000000</x:v>
      </x:c>
      <x:c r="I4171" s="12" t="n">
        <x:v>76045627.37642585</x:v>
      </x:c>
      <x:c r="J4171" s="2" t="str">
        <x:v>total</x:v>
      </x:c>
      <x:c r="K4171" s="2" t="str">
        <x:v>top_level_area</x:v>
      </x:c>
      <x:c r="L4171" s="2" t="str">
        <x:v>property_type_inferred_from_title;transaction_assumed_sale_from_dataset_context</x:v>
      </x:c>
      <x:c r="M4171" s="10" t="n">
        <x:v>0</x:v>
      </x:c>
      <x:c r="N4171" s="10" t="n">
        <x:v>0</x:v>
      </x:c>
      <x:c r="O4171" s="2" t="str">
        <x:v>Tp Hồ Chí Minh|house</x:v>
      </x:c>
      <x:c r="P4171" s="10" t="n">
        <x:v>2</x:v>
      </x:c>
      <x:c r="Q4171" s="13" t="n">
        <x:f>IF(H4171="","",H4171/1000000000)</x:f>
        <x:v>4</x:v>
      </x:c>
      <x:c r="R4171" s="13" t="n">
        <x:f>IF(I4171="","",I4171/1000000)</x:f>
        <x:v>76.04562737642584</x:v>
      </x:c>
    </x:row>
    <x:row r="4172" ht="21" customHeight="1">
      <x:c r="A4172" s="10" t="n">
        <x:v>5605</x:v>
      </x:c>
      <x:c r="B4172" s="2" t="str">
        <x:v>9a56a3f6966f816b3210</x:v>
      </x:c>
      <x:c r="C4172" s="2" t="str">
        <x:v>Cần Thơ</x:v>
      </x:c>
      <x:c r="D4172" s="2" t="str">
        <x:v>Quận Ninh Kiều</x:v>
      </x:c>
      <x:c r="E4172" s="2" t="str">
        <x:v>house</x:v>
      </x:c>
      <x:c r="F4172" s="2" t="str">
        <x:v>sale</x:v>
      </x:c>
      <x:c r="G4172" s="11" t="n">
        <x:v>90</x:v>
      </x:c>
      <x:c r="H4172" s="12" t="n">
        <x:v>5900000000</x:v>
      </x:c>
      <x:c r="I4172" s="12" t="n">
        <x:v>65555555.55555555</x:v>
      </x:c>
      <x:c r="J4172" s="2" t="str">
        <x:v>total</x:v>
      </x:c>
      <x:c r="K4172" s="2" t="str">
        <x:v>top_level_area</x:v>
      </x:c>
      <x:c r="L4172" s="2" t="str">
        <x:v>property_type_inferred_from_title</x:v>
      </x:c>
      <x:c r="M4172" s="10" t="n">
        <x:v>0</x:v>
      </x:c>
      <x:c r="N4172" s="10" t="n">
        <x:v>0</x:v>
      </x:c>
      <x:c r="O4172" s="2" t="str">
        <x:v>Cần Thơ|house</x:v>
      </x:c>
      <x:c r="P4172" s="10" t="n">
        <x:v>2</x:v>
      </x:c>
      <x:c r="Q4172" s="13" t="n">
        <x:f>IF(H4172="","",H4172/1000000000)</x:f>
        <x:v>5.9</x:v>
      </x:c>
      <x:c r="R4172" s="13" t="n">
        <x:f>IF(I4172="","",I4172/1000000)</x:f>
        <x:v>65.55555555555556</x:v>
      </x:c>
    </x:row>
    <x:row r="4173" ht="21" customHeight="1">
      <x:c r="A4173" s="10" t="n">
        <x:v>5606</x:v>
      </x:c>
      <x:c r="B4173" s="2" t="str">
        <x:v>9eb65575d92948906622</x:v>
      </x:c>
      <x:c r="C4173" s="2" t="str">
        <x:v>Tp Hồ Chí Minh</x:v>
      </x:c>
      <x:c r="D4173" s="2" t="str">
        <x:v>Quận Bình Tân</x:v>
      </x:c>
      <x:c r="E4173" s="2" t="str">
        <x:v>house</x:v>
      </x:c>
      <x:c r="F4173" s="2" t="str">
        <x:v>sale_assumed</x:v>
      </x:c>
      <x:c r="G4173" s="11" t="n">
        <x:v>56</x:v>
      </x:c>
      <x:c r="H4173" s="12" t="n">
        <x:v>4500000000</x:v>
      </x:c>
      <x:c r="I4173" s="12" t="n">
        <x:v>80357142.85714285</x:v>
      </x:c>
      <x:c r="J4173" s="2" t="str">
        <x:v>total</x:v>
      </x:c>
      <x:c r="K4173" s="2" t="str">
        <x:v>top_level_area</x:v>
      </x:c>
      <x:c r="L4173" s="2" t="str">
        <x:v>property_type_inferred_from_title;transaction_assumed_sale_from_dataset_context</x:v>
      </x:c>
      <x:c r="M4173" s="10" t="n">
        <x:v>0</x:v>
      </x:c>
      <x:c r="N4173" s="10" t="n">
        <x:v>0</x:v>
      </x:c>
      <x:c r="O4173" s="2" t="str">
        <x:v>Tp Hồ Chí Minh|house</x:v>
      </x:c>
      <x:c r="P4173" s="10" t="n">
        <x:v>2</x:v>
      </x:c>
      <x:c r="Q4173" s="13" t="n">
        <x:f>IF(H4173="","",H4173/1000000000)</x:f>
        <x:v>4.5</x:v>
      </x:c>
      <x:c r="R4173" s="13" t="n">
        <x:f>IF(I4173="","",I4173/1000000)</x:f>
        <x:v>80.35714285714285</x:v>
      </x:c>
    </x:row>
    <x:row r="4174" ht="21" customHeight="1">
      <x:c r="A4174" s="10" t="n">
        <x:v>5607</x:v>
      </x:c>
      <x:c r="B4174" s="2" t="str">
        <x:v>4f877ec796e2ff0f160b</x:v>
      </x:c>
      <x:c r="C4174" s="2" t="str">
        <x:v>Bà Rịa - Vũng Tàu</x:v>
      </x:c>
      <x:c r="D4174" s="2" t="str">
        <x:v>Thị xã Phú Mỹ</x:v>
      </x:c>
      <x:c r="E4174" s="2" t="str">
        <x:v>land</x:v>
      </x:c>
      <x:c r="F4174" s="2" t="str">
        <x:v>sale_assumed</x:v>
      </x:c>
      <x:c r="G4174" s="11" t="n">
        <x:v>1025</x:v>
      </x:c>
      <x:c r="H4174" s="12" t="n">
        <x:v>950000000</x:v>
      </x:c>
      <x:c r="I4174" s="12" t="n">
        <x:v>926829.268292683</x:v>
      </x:c>
      <x:c r="J4174" s="2" t="str">
        <x:v>total</x:v>
      </x:c>
      <x:c r="K4174" s="2" t="str">
        <x:v>top_level_area</x:v>
      </x:c>
      <x:c r="L4174" s="2" t="str">
        <x:v>dot_thousands_convention;property_type_inferred_from_title;transaction_assumed_sale_from_dataset_context</x:v>
      </x:c>
      <x:c r="M4174" s="10" t="n">
        <x:v>0</x:v>
      </x:c>
      <x:c r="N4174" s="10" t="n">
        <x:v>0</x:v>
      </x:c>
      <x:c r="O4174" s="2" t="str">
        <x:v>Bà Rịa - Vũng Tàu|land</x:v>
      </x:c>
      <x:c r="P4174" s="10" t="n">
        <x:v>1</x:v>
      </x:c>
      <x:c r="Q4174" s="13" t="n">
        <x:f>IF(H4174="","",H4174/1000000000)</x:f>
        <x:v>0.95</x:v>
      </x:c>
      <x:c r="R4174" s="13" t="n">
        <x:f>IF(I4174="","",I4174/1000000)</x:f>
        <x:v>0.926829268292683</x:v>
      </x:c>
    </x:row>
    <x:row r="4175" ht="21" customHeight="1">
      <x:c r="A4175" s="10" t="n">
        <x:v>5608</x:v>
      </x:c>
      <x:c r="B4175" s="2" t="str">
        <x:v>133129128f13fd5dfc4b</x:v>
      </x:c>
      <x:c r="C4175" s="2" t="str">
        <x:v>Đồng Nai</x:v>
      </x:c>
      <x:c r="D4175" s="2" t="str">
        <x:v>Huyện Long Thành</x:v>
      </x:c>
      <x:c r="E4175" s="2" t="str">
        <x:v>land</x:v>
      </x:c>
      <x:c r="F4175" s="2" t="str">
        <x:v>sale_assumed</x:v>
      </x:c>
      <x:c r="G4175" s="11" t="n">
        <x:v>135</x:v>
      </x:c>
      <x:c r="H4175" s="12" t="n">
        <x:v>1750000000</x:v>
      </x:c>
      <x:c r="I4175" s="12" t="n">
        <x:v>12962962.962962963</x:v>
      </x:c>
      <x:c r="J4175" s="2" t="str">
        <x:v>total</x:v>
      </x:c>
      <x:c r="K4175" s="2" t="str">
        <x:v>top_level_area</x:v>
      </x:c>
      <x:c r="L4175" s="2" t="str">
        <x:v>property_type_inferred_from_title;transaction_assumed_sale_from_dataset_context</x:v>
      </x:c>
      <x:c r="M4175" s="10" t="n">
        <x:v>0</x:v>
      </x:c>
      <x:c r="N4175" s="10" t="n">
        <x:v>0</x:v>
      </x:c>
      <x:c r="O4175" s="2" t="str">
        <x:v>Đồng Nai|land</x:v>
      </x:c>
      <x:c r="P4175" s="10" t="n">
        <x:v>2</x:v>
      </x:c>
      <x:c r="Q4175" s="13" t="n">
        <x:f>IF(H4175="","",H4175/1000000000)</x:f>
        <x:v>1.75</x:v>
      </x:c>
      <x:c r="R4175" s="13" t="n">
        <x:f>IF(I4175="","",I4175/1000000)</x:f>
        <x:v>12.962962962962962</x:v>
      </x:c>
    </x:row>
    <x:row r="4176" ht="21" customHeight="1">
      <x:c r="A4176" s="10" t="n">
        <x:v>5609</x:v>
      </x:c>
      <x:c r="B4176" s="2" t="str">
        <x:v>e46ea1cd6f2c174a6262</x:v>
      </x:c>
      <x:c r="C4176" s="2" t="str">
        <x:v>Tp Hồ Chí Minh</x:v>
      </x:c>
      <x:c r="D4176" s="2" t="str">
        <x:v>Huyện Bình Chánh</x:v>
      </x:c>
      <x:c r="E4176" s="2" t="str">
        <x:v>house</x:v>
      </x:c>
      <x:c r="F4176" s="2" t="str">
        <x:v>sale_assumed</x:v>
      </x:c>
      <x:c r="G4176" s="11" t="n">
        <x:v>32</x:v>
      </x:c>
      <x:c r="H4176" s="12" t="n">
        <x:v>410000000</x:v>
      </x:c>
      <x:c r="I4176" s="12" t="n">
        <x:v>12812500</x:v>
      </x:c>
      <x:c r="J4176" s="2" t="str">
        <x:v>total</x:v>
      </x:c>
      <x:c r="K4176" s="2" t="str">
        <x:v>top_level_area</x:v>
      </x:c>
      <x:c r="L4176" s="2" t="str">
        <x:v>property_type_inferred_from_title;transaction_assumed_sale_from_dataset_context</x:v>
      </x:c>
      <x:c r="M4176" s="10" t="n">
        <x:v>0</x:v>
      </x:c>
      <x:c r="N4176" s="10" t="n">
        <x:v>0</x:v>
      </x:c>
      <x:c r="O4176" s="2" t="str">
        <x:v>Tp Hồ Chí Minh|house</x:v>
      </x:c>
      <x:c r="P4176" s="10" t="n">
        <x:v>2</x:v>
      </x:c>
      <x:c r="Q4176" s="13" t="n">
        <x:f>IF(H4176="","",H4176/1000000000)</x:f>
        <x:v>0.41</x:v>
      </x:c>
      <x:c r="R4176" s="13" t="n">
        <x:f>IF(I4176="","",I4176/1000000)</x:f>
        <x:v>12.8125</x:v>
      </x:c>
    </x:row>
    <x:row r="4177" ht="21" customHeight="1">
      <x:c r="A4177" s="10" t="n">
        <x:v>5610</x:v>
      </x:c>
      <x:c r="B4177" s="2" t="str">
        <x:v>abfeb15f03880b0ab6a0</x:v>
      </x:c>
      <x:c r="C4177" s="2" t="str">
        <x:v>Tp Hồ Chí Minh</x:v>
      </x:c>
      <x:c r="D4177" s="2" t="str">
        <x:v>Quận 12</x:v>
      </x:c>
      <x:c r="E4177" s="2" t="str">
        <x:v>apartment</x:v>
      </x:c>
      <x:c r="F4177" s="2" t="str">
        <x:v>sale</x:v>
      </x:c>
      <x:c r="G4177" s="11" t="n">
        <x:v>65</x:v>
      </x:c>
      <x:c r="H4177" s="12" t="n">
        <x:v>1300000000</x:v>
      </x:c>
      <x:c r="I4177" s="12" t="n">
        <x:v>20000000</x:v>
      </x:c>
      <x:c r="J4177" s="2" t="str">
        <x:v>total</x:v>
      </x:c>
      <x:c r="K4177" s="2" t="str">
        <x:v>top_level_area</x:v>
      </x:c>
      <x:c r="L4177" s="2" t="str">
        <x:v>property_type_inferred_from_title</x:v>
      </x:c>
      <x:c r="M4177" s="10" t="n">
        <x:v>0</x:v>
      </x:c>
      <x:c r="N4177" s="10" t="n">
        <x:v>0</x:v>
      </x:c>
      <x:c r="O4177" s="2" t="str">
        <x:v>Tp Hồ Chí Minh|apartment</x:v>
      </x:c>
      <x:c r="P4177" s="10" t="n">
        <x:v>2</x:v>
      </x:c>
      <x:c r="Q4177" s="13" t="n">
        <x:f>IF(H4177="","",H4177/1000000000)</x:f>
        <x:v>1.3</x:v>
      </x:c>
      <x:c r="R4177" s="13" t="n">
        <x:f>IF(I4177="","",I4177/1000000)</x:f>
        <x:v>20</x:v>
      </x:c>
    </x:row>
    <x:row r="4178" ht="21" customHeight="1">
      <x:c r="A4178" s="10" t="n">
        <x:v>5611</x:v>
      </x:c>
      <x:c r="B4178" s="2" t="str">
        <x:v>94c0a16a50ef032a427d</x:v>
      </x:c>
      <x:c r="C4178" s="2" t="str">
        <x:v>Bình Dương</x:v>
      </x:c>
      <x:c r="D4178" s="2" t="str">
        <x:v>Thị xã Thuận An</x:v>
      </x:c>
      <x:c r="E4178" s="2" t="str">
        <x:v>land</x:v>
      </x:c>
      <x:c r="F4178" s="2" t="str">
        <x:v>sale_assumed</x:v>
      </x:c>
      <x:c r="G4178" s="11" t="n">
        <x:v>68</x:v>
      </x:c>
      <x:c r="H4178" s="12" t="n">
        <x:v>730000000</x:v>
      </x:c>
      <x:c r="I4178" s="12" t="n">
        <x:v>10735294.11764706</x:v>
      </x:c>
      <x:c r="J4178" s="2" t="str">
        <x:v>total</x:v>
      </x:c>
      <x:c r="K4178" s="2" t="str">
        <x:v>top_level_area</x:v>
      </x:c>
      <x:c r="L4178" s="2" t="str">
        <x:v>property_type_inferred_from_title;transaction_assumed_sale_from_dataset_context</x:v>
      </x:c>
      <x:c r="M4178" s="10" t="n">
        <x:v>0</x:v>
      </x:c>
      <x:c r="N4178" s="10" t="n">
        <x:v>0</x:v>
      </x:c>
      <x:c r="O4178" s="2" t="str">
        <x:v>Bình Dương|land</x:v>
      </x:c>
      <x:c r="P4178" s="10" t="n">
        <x:v>2</x:v>
      </x:c>
      <x:c r="Q4178" s="13" t="n">
        <x:f>IF(H4178="","",H4178/1000000000)</x:f>
        <x:v>0.73</x:v>
      </x:c>
      <x:c r="R4178" s="13" t="n">
        <x:f>IF(I4178="","",I4178/1000000)</x:f>
        <x:v>10.73529411764706</x:v>
      </x:c>
    </x:row>
    <x:row r="4179" ht="21" customHeight="1">
      <x:c r="A4179" s="10" t="n">
        <x:v>5612</x:v>
      </x:c>
      <x:c r="B4179" s="2" t="str">
        <x:v>f2e0853784fe47f709c3</x:v>
      </x:c>
      <x:c r="C4179" s="2" t="str">
        <x:v>Bình Phước</x:v>
      </x:c>
      <x:c r="D4179" s="2" t="str">
        <x:v>Huyện Đồng Phú</x:v>
      </x:c>
      <x:c r="E4179" s="2" t="str">
        <x:v>land</x:v>
      </x:c>
      <x:c r="F4179" s="2" t="str">
        <x:v>sale</x:v>
      </x:c>
      <x:c r="G4179" s="11" t="n">
        <x:v>200</x:v>
      </x:c>
      <x:c r="H4179" s="12" t="n">
        <x:v>650000000</x:v>
      </x:c>
      <x:c r="I4179" s="12" t="n">
        <x:v>3250000</x:v>
      </x:c>
      <x:c r="J4179" s="2" t="str">
        <x:v>total</x:v>
      </x:c>
      <x:c r="K4179" s="2" t="str">
        <x:v>top_level_price_embedded_area</x:v>
      </x:c>
      <x:c r="L4179" s="2" t="str">
        <x:v>area_recovered_from_price_text;property_type_inferred_from_title</x:v>
      </x:c>
      <x:c r="M4179" s="10" t="n">
        <x:v>0</x:v>
      </x:c>
      <x:c r="N4179" s="10" t="n">
        <x:v>0</x:v>
      </x:c>
      <x:c r="O4179" s="2" t="str">
        <x:v>Bình Phước|land</x:v>
      </x:c>
      <x:c r="P4179" s="10" t="n">
        <x:v>1</x:v>
      </x:c>
      <x:c r="Q4179" s="13" t="n">
        <x:f>IF(H4179="","",H4179/1000000000)</x:f>
        <x:v>0.65</x:v>
      </x:c>
      <x:c r="R4179" s="13" t="n">
        <x:f>IF(I4179="","",I4179/1000000)</x:f>
        <x:v>3.25</x:v>
      </x:c>
    </x:row>
    <x:row r="4180" ht="21" customHeight="1">
      <x:c r="A4180" s="10" t="n">
        <x:v>5613</x:v>
      </x:c>
      <x:c r="B4180" s="2" t="str">
        <x:v>911215bf8eb5719cd609</x:v>
      </x:c>
      <x:c r="C4180" s="2" t="str">
        <x:v>Tp Hồ Chí Minh</x:v>
      </x:c>
      <x:c r="D4180" s="2" t="str">
        <x:v>Quận Bình Tân</x:v>
      </x:c>
      <x:c r="E4180" s="2" t="str">
        <x:v>house</x:v>
      </x:c>
      <x:c r="F4180" s="2" t="str">
        <x:v>sale_assumed</x:v>
      </x:c>
      <x:c r="G4180" s="11" t="n">
        <x:v>54</x:v>
      </x:c>
      <x:c r="H4180" s="12" t="n">
        <x:v>3950000000</x:v>
      </x:c>
      <x:c r="I4180" s="12" t="n">
        <x:v>73148148.14814815</x:v>
      </x:c>
      <x:c r="J4180" s="2" t="str">
        <x:v>total</x:v>
      </x:c>
      <x:c r="K4180" s="2" t="str">
        <x:v>top_level_area</x:v>
      </x:c>
      <x:c r="L4180" s="2" t="str">
        <x:v>property_type_inferred_from_title;transaction_assumed_sale_from_dataset_context</x:v>
      </x:c>
      <x:c r="M4180" s="10" t="n">
        <x:v>0</x:v>
      </x:c>
      <x:c r="N4180" s="10" t="n">
        <x:v>0</x:v>
      </x:c>
      <x:c r="O4180" s="2" t="str">
        <x:v>Tp Hồ Chí Minh|house</x:v>
      </x:c>
      <x:c r="P4180" s="10" t="n">
        <x:v>2</x:v>
      </x:c>
      <x:c r="Q4180" s="13" t="n">
        <x:f>IF(H4180="","",H4180/1000000000)</x:f>
        <x:v>3.95</x:v>
      </x:c>
      <x:c r="R4180" s="13" t="n">
        <x:f>IF(I4180="","",I4180/1000000)</x:f>
        <x:v>73.14814814814815</x:v>
      </x:c>
    </x:row>
    <x:row r="4181" ht="21" customHeight="1">
      <x:c r="A4181" s="10" t="n">
        <x:v>5614</x:v>
      </x:c>
      <x:c r="B4181" s="2" t="str">
        <x:v>82f42dfddc711e336841</x:v>
      </x:c>
      <x:c r="C4181" s="2" t="str">
        <x:v>Tp Hồ Chí Minh</x:v>
      </x:c>
      <x:c r="D4181" s="2" t="str">
        <x:v>Huyện Bình Chánh</x:v>
      </x:c>
      <x:c r="E4181" s="2" t="str">
        <x:v>house</x:v>
      </x:c>
      <x:c r="F4181" s="2" t="str">
        <x:v>sale_assumed</x:v>
      </x:c>
      <x:c r="G4181" s="11" t="n">
        <x:v>30</x:v>
      </x:c>
      <x:c r="H4181" s="12" t="n">
        <x:v>430000000</x:v>
      </x:c>
      <x:c r="I4181" s="12" t="n">
        <x:v>14333333.333333334</x:v>
      </x:c>
      <x:c r="J4181" s="2" t="str">
        <x:v>total</x:v>
      </x:c>
      <x:c r="K4181" s="2" t="str">
        <x:v>top_level_area</x:v>
      </x:c>
      <x:c r="L4181" s="2" t="str">
        <x:v>property_type_inferred_from_title;transaction_assumed_sale_from_dataset_context</x:v>
      </x:c>
      <x:c r="M4181" s="10" t="n">
        <x:v>0</x:v>
      </x:c>
      <x:c r="N4181" s="10" t="n">
        <x:v>0</x:v>
      </x:c>
      <x:c r="O4181" s="2" t="str">
        <x:v>Tp Hồ Chí Minh|house</x:v>
      </x:c>
      <x:c r="P4181" s="10" t="n">
        <x:v>2</x:v>
      </x:c>
      <x:c r="Q4181" s="13" t="n">
        <x:f>IF(H4181="","",H4181/1000000000)</x:f>
        <x:v>0.43</x:v>
      </x:c>
      <x:c r="R4181" s="13" t="n">
        <x:f>IF(I4181="","",I4181/1000000)</x:f>
        <x:v>14.333333333333334</x:v>
      </x:c>
    </x:row>
    <x:row r="4182" ht="21" customHeight="1">
      <x:c r="A4182" s="10" t="n">
        <x:v>5615</x:v>
      </x:c>
      <x:c r="B4182" s="2" t="str">
        <x:v>e1a99339c7044f20d0d6</x:v>
      </x:c>
      <x:c r="C4182" s="2" t="str">
        <x:v>Tp Hồ Chí Minh</x:v>
      </x:c>
      <x:c r="D4182" s="2" t="str">
        <x:v>Quận Bình Thạnh</x:v>
      </x:c>
      <x:c r="E4182" s="2" t="str">
        <x:v>other_unknown</x:v>
      </x:c>
      <x:c r="F4182" s="2" t="str">
        <x:v>sale_assumed</x:v>
      </x:c>
      <x:c r="G4182" s="11" t="n">
        <x:v>80</x:v>
      </x:c>
      <x:c r="H4182" s="12" t="n">
        <x:v>4350000000</x:v>
      </x:c>
      <x:c r="I4182" s="12" t="n">
        <x:v>54375000</x:v>
      </x:c>
      <x:c r="J4182" s="2" t="str">
        <x:v>total</x:v>
      </x:c>
      <x:c r="K4182" s="2" t="str">
        <x:v>top_level_area</x:v>
      </x:c>
      <x:c r="L4182" s="2" t="str">
        <x:v>property_type_inferred_from_title;transaction_assumed_sale_from_dataset_context;unknown_property_type</x:v>
      </x:c>
      <x:c r="M4182" s="10" t="n">
        <x:v>0</x:v>
      </x:c>
      <x:c r="N4182" s="10" t="n">
        <x:v>0</x:v>
      </x:c>
      <x:c r="O4182" s="2" t="str">
        <x:v>Tp Hồ Chí Minh|other_unknown</x:v>
      </x:c>
      <x:c r="P4182" s="10" t="n">
        <x:v>2</x:v>
      </x:c>
      <x:c r="Q4182" s="13" t="n">
        <x:f>IF(H4182="","",H4182/1000000000)</x:f>
        <x:v>4.35</x:v>
      </x:c>
      <x:c r="R4182" s="13" t="n">
        <x:f>IF(I4182="","",I4182/1000000)</x:f>
        <x:v>54.375</x:v>
      </x:c>
    </x:row>
    <x:row r="4183" ht="21" customHeight="1">
      <x:c r="A4183" s="10" t="n">
        <x:v>5616</x:v>
      </x:c>
      <x:c r="B4183" s="2" t="str">
        <x:v>4ba869687652b2babd3b</x:v>
      </x:c>
      <x:c r="C4183" s="2" t="str">
        <x:v>Đồng Nai</x:v>
      </x:c>
      <x:c r="D4183" s="2" t="str">
        <x:v>Huyện Xuân Lộc</x:v>
      </x:c>
      <x:c r="E4183" s="2" t="str">
        <x:v>land</x:v>
      </x:c>
      <x:c r="F4183" s="2" t="str">
        <x:v>sale_assumed</x:v>
      </x:c>
      <x:c r="G4183" s="11" t="n">
        <x:v>11000</x:v>
      </x:c>
      <x:c r="H4183" s="12" t="n">
        <x:v>15500000</x:v>
      </x:c>
      <x:c r="I4183" s="12" t="n">
        <x:v>1409.090909090909</x:v>
      </x:c>
      <x:c r="J4183" s="2" t="str">
        <x:v>total</x:v>
      </x:c>
      <x:c r="K4183" s="2" t="str">
        <x:v>top_level_area</x:v>
      </x:c>
      <x:c r="L4183" s="2" t="str">
        <x:v>dot_thousands_convention;property_type_inferred_from_title;transaction_assumed_sale_from_dataset_context</x:v>
      </x:c>
      <x:c r="M4183" s="10" t="n">
        <x:v>0</x:v>
      </x:c>
      <x:c r="N4183" s="10" t="n">
        <x:v>0</x:v>
      </x:c>
      <x:c r="O4183" s="2" t="str">
        <x:v>Đồng Nai|land</x:v>
      </x:c>
      <x:c r="P4183" s="10" t="n">
        <x:v>1</x:v>
      </x:c>
      <x:c r="Q4183" s="13" t="n">
        <x:f>IF(H4183="","",H4183/1000000000)</x:f>
        <x:v>0.0155</x:v>
      </x:c>
      <x:c r="R4183" s="13" t="n">
        <x:f>IF(I4183="","",I4183/1000000)</x:f>
        <x:v>0.001409090909090909</x:v>
      </x:c>
    </x:row>
    <x:row r="4184" ht="21" customHeight="1">
      <x:c r="A4184" s="10" t="n">
        <x:v>5617</x:v>
      </x:c>
      <x:c r="B4184" s="2" t="str">
        <x:v>51494578a81ff7bc5781</x:v>
      </x:c>
      <x:c r="C4184" s="2" t="str">
        <x:v>Bình Dương</x:v>
      </x:c>
      <x:c r="D4184" s="2" t="str">
        <x:v>Thị xã Dĩ An</x:v>
      </x:c>
      <x:c r="E4184" s="2" t="str">
        <x:v>house</x:v>
      </x:c>
      <x:c r="F4184" s="2" t="str">
        <x:v>sale_assumed</x:v>
      </x:c>
      <x:c r="G4184" s="11" t="n">
        <x:v>37</x:v>
      </x:c>
      <x:c r="H4184" s="12" t="n">
        <x:v>1150000000</x:v>
      </x:c>
      <x:c r="I4184" s="12" t="n">
        <x:v>31081081.08108108</x:v>
      </x:c>
      <x:c r="J4184" s="2" t="str">
        <x:v>total</x:v>
      </x:c>
      <x:c r="K4184" s="2" t="str">
        <x:v>top_level_area</x:v>
      </x:c>
      <x:c r="L4184" s="2" t="str">
        <x:v>property_type_inferred_from_title;transaction_assumed_sale_from_dataset_context</x:v>
      </x:c>
      <x:c r="M4184" s="10" t="n">
        <x:v>0</x:v>
      </x:c>
      <x:c r="N4184" s="10" t="n">
        <x:v>0</x:v>
      </x:c>
      <x:c r="O4184" s="2" t="str">
        <x:v>Bình Dương|house</x:v>
      </x:c>
      <x:c r="P4184" s="10" t="n">
        <x:v>2</x:v>
      </x:c>
      <x:c r="Q4184" s="13" t="n">
        <x:f>IF(H4184="","",H4184/1000000000)</x:f>
        <x:v>1.15</x:v>
      </x:c>
      <x:c r="R4184" s="13" t="n">
        <x:f>IF(I4184="","",I4184/1000000)</x:f>
        <x:v>31.08108108108108</x:v>
      </x:c>
    </x:row>
    <x:row r="4185" ht="21" customHeight="1">
      <x:c r="A4185" s="10" t="n">
        <x:v>5618</x:v>
      </x:c>
      <x:c r="B4185" s="2" t="str">
        <x:v>cfaff55b70ce4a50dc19</x:v>
      </x:c>
      <x:c r="C4185" s="2" t="str">
        <x:v>Bình Dương</x:v>
      </x:c>
      <x:c r="D4185" s="2" t="str">
        <x:v>Thị xã Thuận An</x:v>
      </x:c>
      <x:c r="E4185" s="2" t="str">
        <x:v>land</x:v>
      </x:c>
      <x:c r="F4185" s="2" t="str">
        <x:v>sale_assumed</x:v>
      </x:c>
      <x:c r="G4185" s="11" t="n">
        <x:v>87</x:v>
      </x:c>
      <x:c r="H4185" s="12" t="n">
        <x:v>1650000000</x:v>
      </x:c>
      <x:c r="I4185" s="12" t="n">
        <x:v>18965517.24137931</x:v>
      </x:c>
      <x:c r="J4185" s="2" t="str">
        <x:v>total</x:v>
      </x:c>
      <x:c r="K4185" s="2" t="str">
        <x:v>top_level_area</x:v>
      </x:c>
      <x:c r="L4185" s="2" t="str">
        <x:v>property_type_inferred_from_title;transaction_assumed_sale_from_dataset_context</x:v>
      </x:c>
      <x:c r="M4185" s="10" t="n">
        <x:v>0</x:v>
      </x:c>
      <x:c r="N4185" s="10" t="n">
        <x:v>0</x:v>
      </x:c>
      <x:c r="O4185" s="2" t="str">
        <x:v>Bình Dương|land</x:v>
      </x:c>
      <x:c r="P4185" s="10" t="n">
        <x:v>2</x:v>
      </x:c>
      <x:c r="Q4185" s="13" t="n">
        <x:f>IF(H4185="","",H4185/1000000000)</x:f>
        <x:v>1.65</x:v>
      </x:c>
      <x:c r="R4185" s="13" t="n">
        <x:f>IF(I4185="","",I4185/1000000)</x:f>
        <x:v>18.96551724137931</x:v>
      </x:c>
    </x:row>
    <x:row r="4186" ht="21" customHeight="1">
      <x:c r="A4186" s="10" t="n">
        <x:v>5619</x:v>
      </x:c>
      <x:c r="B4186" s="2" t="str">
        <x:v>74720f7f6bf22df444e3</x:v>
      </x:c>
      <x:c r="C4186" s="2" t="str">
        <x:v>Tp Hồ Chí Minh</x:v>
      </x:c>
      <x:c r="D4186" s="2" t="str">
        <x:v>Quận Phú Nhuận</x:v>
      </x:c>
      <x:c r="E4186" s="2" t="str">
        <x:v>house</x:v>
      </x:c>
      <x:c r="F4186" s="2" t="str">
        <x:v>sale_assumed</x:v>
      </x:c>
      <x:c r="G4186" s="11" t="n">
        <x:v>19</x:v>
      </x:c>
      <x:c r="H4186" s="12" t="n">
        <x:v>4300000000</x:v>
      </x:c>
      <x:c r="I4186" s="12" t="n">
        <x:v>226315789.47368422</x:v>
      </x:c>
      <x:c r="J4186" s="2" t="str">
        <x:v>total</x:v>
      </x:c>
      <x:c r="K4186" s="2" t="str">
        <x:v>top_level_area</x:v>
      </x:c>
      <x:c r="L4186" s="2" t="str">
        <x:v>property_type_inferred_from_title;transaction_assumed_sale_from_dataset_context</x:v>
      </x:c>
      <x:c r="M4186" s="10" t="n">
        <x:v>1</x:v>
      </x:c>
      <x:c r="N4186" s="10" t="n">
        <x:v>1</x:v>
      </x:c>
      <x:c r="O4186" s="2" t="str">
        <x:v>Tp Hồ Chí Minh|house</x:v>
      </x:c>
      <x:c r="P4186" s="10" t="n">
        <x:v>-1</x:v>
      </x:c>
      <x:c r="Q4186" s="13" t="n">
        <x:f>IF(H4186="","",H4186/1000000000)</x:f>
        <x:v>4.3</x:v>
      </x:c>
      <x:c r="R4186" s="13" t="n">
        <x:f>IF(I4186="","",I4186/1000000)</x:f>
        <x:v>226.31578947368422</x:v>
      </x:c>
    </x:row>
    <x:row r="4187" ht="21" customHeight="1">
      <x:c r="A4187" s="10" t="n">
        <x:v>5620</x:v>
      </x:c>
      <x:c r="B4187" s="2" t="str">
        <x:v>611a64402fc212a1eea5</x:v>
      </x:c>
      <x:c r="C4187" s="2" t="str">
        <x:v>Long An</x:v>
      </x:c>
      <x:c r="D4187" s="2" t="str">
        <x:v>Huyện Đức Hòa</x:v>
      </x:c>
      <x:c r="E4187" s="2" t="str">
        <x:v>land</x:v>
      </x:c>
      <x:c r="F4187" s="2" t="str">
        <x:v>sale_assumed</x:v>
      </x:c>
      <x:c r="G4187" s="11" t="n">
        <x:v>72</x:v>
      </x:c>
      <x:c r="H4187" s="12" t="n">
        <x:v>620000000</x:v>
      </x:c>
      <x:c r="I4187" s="12" t="n">
        <x:v>8611111.111111112</x:v>
      </x:c>
      <x:c r="J4187" s="2" t="str">
        <x:v>total</x:v>
      </x:c>
      <x:c r="K4187" s="2" t="str">
        <x:v>top_level_area</x:v>
      </x:c>
      <x:c r="L4187" s="2" t="str">
        <x:v>property_type_inferred_from_title;transaction_assumed_sale_from_dataset_context</x:v>
      </x:c>
      <x:c r="M4187" s="10" t="n">
        <x:v>0</x:v>
      </x:c>
      <x:c r="N4187" s="10" t="n">
        <x:v>0</x:v>
      </x:c>
      <x:c r="O4187" s="2" t="str">
        <x:v>Long An|land</x:v>
      </x:c>
      <x:c r="P4187" s="10" t="n">
        <x:v>2</x:v>
      </x:c>
      <x:c r="Q4187" s="13" t="n">
        <x:f>IF(H4187="","",H4187/1000000000)</x:f>
        <x:v>0.62</x:v>
      </x:c>
      <x:c r="R4187" s="13" t="n">
        <x:f>IF(I4187="","",I4187/1000000)</x:f>
        <x:v>8.611111111111112</x:v>
      </x:c>
    </x:row>
    <x:row r="4188" ht="21" customHeight="1">
      <x:c r="A4188" s="10" t="n">
        <x:v>5621</x:v>
      </x:c>
      <x:c r="B4188" s="2" t="str">
        <x:v>c01187545767d10cac65</x:v>
      </x:c>
      <x:c r="C4188" s="2" t="str">
        <x:v>Tp Hồ Chí Minh</x:v>
      </x:c>
      <x:c r="D4188" s="2" t="str">
        <x:v>Quận Gò Vấp</x:v>
      </x:c>
      <x:c r="E4188" s="2" t="str">
        <x:v>house</x:v>
      </x:c>
      <x:c r="F4188" s="2" t="str">
        <x:v>sale_assumed</x:v>
      </x:c>
      <x:c r="G4188" s="11" t="n">
        <x:v>39</x:v>
      </x:c>
      <x:c r="H4188" s="12" t="n">
        <x:v>3420000000</x:v>
      </x:c>
      <x:c r="I4188" s="12" t="n">
        <x:v>87692307.6923077</x:v>
      </x:c>
      <x:c r="J4188" s="2" t="str">
        <x:v>total</x:v>
      </x:c>
      <x:c r="K4188" s="2" t="str">
        <x:v>top_level_area</x:v>
      </x:c>
      <x:c r="L4188" s="2" t="str">
        <x:v>property_type_inferred_from_title;transaction_assumed_sale_from_dataset_context</x:v>
      </x:c>
      <x:c r="M4188" s="10" t="n">
        <x:v>0</x:v>
      </x:c>
      <x:c r="N4188" s="10" t="n">
        <x:v>0</x:v>
      </x:c>
      <x:c r="O4188" s="2" t="str">
        <x:v>Tp Hồ Chí Minh|house</x:v>
      </x:c>
      <x:c r="P4188" s="10" t="n">
        <x:v>2</x:v>
      </x:c>
      <x:c r="Q4188" s="13" t="n">
        <x:f>IF(H4188="","",H4188/1000000000)</x:f>
        <x:v>3.42</x:v>
      </x:c>
      <x:c r="R4188" s="13" t="n">
        <x:f>IF(I4188="","",I4188/1000000)</x:f>
        <x:v>87.6923076923077</x:v>
      </x:c>
    </x:row>
    <x:row r="4189" ht="21" customHeight="1">
      <x:c r="A4189" s="10" t="n">
        <x:v>5622</x:v>
      </x:c>
      <x:c r="B4189" s="2" t="str">
        <x:v>5d9e97a0bd1458cc357d</x:v>
      </x:c>
      <x:c r="C4189" s="2" t="str">
        <x:v>Lâm Đồng</x:v>
      </x:c>
      <x:c r="D4189" s="2" t="str">
        <x:v>Huyện Bảo Lâm</x:v>
      </x:c>
      <x:c r="E4189" s="2" t="str">
        <x:v>land</x:v>
      </x:c>
      <x:c r="F4189" s="2" t="str">
        <x:v>sale_assumed</x:v>
      </x:c>
      <x:c r="G4189" s="11" t="n">
        <x:v>150</x:v>
      </x:c>
      <x:c r="H4189" s="12" t="n">
        <x:v>390000000</x:v>
      </x:c>
      <x:c r="I4189" s="12" t="n">
        <x:v>2600000</x:v>
      </x:c>
      <x:c r="J4189" s="2" t="str">
        <x:v>total</x:v>
      </x:c>
      <x:c r="K4189" s="2" t="str">
        <x:v>top_level_area</x:v>
      </x:c>
      <x:c r="L4189" s="2" t="str">
        <x:v>property_type_inferred_from_title;transaction_assumed_sale_from_dataset_context</x:v>
      </x:c>
      <x:c r="M4189" s="10" t="n">
        <x:v>0</x:v>
      </x:c>
      <x:c r="N4189" s="10" t="n">
        <x:v>0</x:v>
      </x:c>
      <x:c r="O4189" s="2" t="str">
        <x:v>Lâm Đồng|land</x:v>
      </x:c>
      <x:c r="P4189" s="10" t="n">
        <x:v>1</x:v>
      </x:c>
      <x:c r="Q4189" s="13" t="n">
        <x:f>IF(H4189="","",H4189/1000000000)</x:f>
        <x:v>0.39</x:v>
      </x:c>
      <x:c r="R4189" s="13" t="n">
        <x:f>IF(I4189="","",I4189/1000000)</x:f>
        <x:v>2.6</x:v>
      </x:c>
    </x:row>
    <x:row r="4190" ht="21" customHeight="1">
      <x:c r="A4190" s="10" t="n">
        <x:v>5623</x:v>
      </x:c>
      <x:c r="B4190" s="2" t="str">
        <x:v>d9d84de3f335b20d6a92</x:v>
      </x:c>
      <x:c r="C4190" s="2" t="str">
        <x:v>Bình Dương</x:v>
      </x:c>
      <x:c r="D4190" s="2" t="str">
        <x:v>Huyện Bàu Bàng</x:v>
      </x:c>
      <x:c r="E4190" s="2" t="str">
        <x:v>land</x:v>
      </x:c>
      <x:c r="F4190" s="2" t="str">
        <x:v>sale</x:v>
      </x:c>
      <x:c r="G4190" s="11" t="n">
        <x:v>1100</x:v>
      </x:c>
      <x:c r="H4190" s="12" t="n">
        <x:v>920000000</x:v>
      </x:c>
      <x:c r="I4190" s="12" t="n">
        <x:v>836363.6363636364</x:v>
      </x:c>
      <x:c r="J4190" s="2" t="str">
        <x:v>total</x:v>
      </x:c>
      <x:c r="K4190" s="2" t="str">
        <x:v>top_level_area</x:v>
      </x:c>
      <x:c r="L4190" s="2" t="str">
        <x:v>dot_thousands_convention;property_type_inferred_from_title</x:v>
      </x:c>
      <x:c r="M4190" s="10" t="n">
        <x:v>0</x:v>
      </x:c>
      <x:c r="N4190" s="10" t="n">
        <x:v>0</x:v>
      </x:c>
      <x:c r="O4190" s="2" t="str">
        <x:v>Bình Dương|land</x:v>
      </x:c>
      <x:c r="P4190" s="10" t="n">
        <x:v>1</x:v>
      </x:c>
      <x:c r="Q4190" s="13" t="n">
        <x:f>IF(H4190="","",H4190/1000000000)</x:f>
        <x:v>0.92</x:v>
      </x:c>
      <x:c r="R4190" s="13" t="n">
        <x:f>IF(I4190="","",I4190/1000000)</x:f>
        <x:v>0.8363636363636363</x:v>
      </x:c>
    </x:row>
    <x:row r="4191" ht="21" customHeight="1">
      <x:c r="A4191" s="10" t="n">
        <x:v>5627</x:v>
      </x:c>
      <x:c r="B4191" s="2" t="str">
        <x:v>4e3799dee55d96cf6e1c</x:v>
      </x:c>
      <x:c r="C4191" s="2" t="str">
        <x:v>Tp Hồ Chí Minh</x:v>
      </x:c>
      <x:c r="D4191" s="2" t="str">
        <x:v>Quận 12</x:v>
      </x:c>
      <x:c r="E4191" s="2" t="str">
        <x:v>house</x:v>
      </x:c>
      <x:c r="F4191" s="2" t="str">
        <x:v>sale_with_rental_income</x:v>
      </x:c>
      <x:c r="G4191" s="11" t="n">
        <x:v>27</x:v>
      </x:c>
      <x:c r="H4191" s="12" t="n">
        <x:v>1850000000</x:v>
      </x:c>
      <x:c r="I4191" s="12" t="n">
        <x:v>68518518.51851852</x:v>
      </x:c>
      <x:c r="J4191" s="2" t="str">
        <x:v>total</x:v>
      </x:c>
      <x:c r="K4191" s="2" t="str">
        <x:v>top_level_area</x:v>
      </x:c>
      <x:c r="L4191" s="2" t="str">
        <x:v>property_type_inferred_from_title;rental_income_mentioned</x:v>
      </x:c>
      <x:c r="M4191" s="10" t="n">
        <x:v>0</x:v>
      </x:c>
      <x:c r="N4191" s="10" t="n">
        <x:v>0</x:v>
      </x:c>
      <x:c r="O4191" s="2" t="str">
        <x:v>Tp Hồ Chí Minh|house</x:v>
      </x:c>
      <x:c r="P4191" s="10" t="n">
        <x:v>2</x:v>
      </x:c>
      <x:c r="Q4191" s="13" t="n">
        <x:f>IF(H4191="","",H4191/1000000000)</x:f>
        <x:v>1.85</x:v>
      </x:c>
      <x:c r="R4191" s="13" t="n">
        <x:f>IF(I4191="","",I4191/1000000)</x:f>
        <x:v>68.51851851851852</x:v>
      </x:c>
    </x:row>
    <x:row r="4192" ht="21" customHeight="1">
      <x:c r="A4192" s="10" t="n">
        <x:v>5628</x:v>
      </x:c>
      <x:c r="B4192" s="2" t="str">
        <x:v>01d63c0ffaf983a19030</x:v>
      </x:c>
      <x:c r="C4192" s="2" t="str">
        <x:v>Hà Nội</x:v>
      </x:c>
      <x:c r="D4192" s="2" t="str">
        <x:v>Quận Đống Đa</x:v>
      </x:c>
      <x:c r="E4192" s="2" t="str">
        <x:v>house</x:v>
      </x:c>
      <x:c r="F4192" s="2" t="str">
        <x:v>sale_assumed</x:v>
      </x:c>
      <x:c r="G4192" s="11" t="n">
        <x:v>25</x:v>
      </x:c>
      <x:c r="H4192" s="12" t="n">
        <x:v>1550000000</x:v>
      </x:c>
      <x:c r="I4192" s="12" t="n">
        <x:v>62000000</x:v>
      </x:c>
      <x:c r="J4192" s="2" t="str">
        <x:v>total</x:v>
      </x:c>
      <x:c r="K4192" s="2" t="str">
        <x:v>top_level_area</x:v>
      </x:c>
      <x:c r="L4192" s="2" t="str">
        <x:v>property_type_inferred_from_title;transaction_assumed_sale_from_dataset_context</x:v>
      </x:c>
      <x:c r="M4192" s="10" t="n">
        <x:v>0</x:v>
      </x:c>
      <x:c r="N4192" s="10" t="n">
        <x:v>0</x:v>
      </x:c>
      <x:c r="O4192" s="2" t="str">
        <x:v>Hà Nội|house</x:v>
      </x:c>
      <x:c r="P4192" s="10" t="n">
        <x:v>2</x:v>
      </x:c>
      <x:c r="Q4192" s="13" t="n">
        <x:f>IF(H4192="","",H4192/1000000000)</x:f>
        <x:v>1.55</x:v>
      </x:c>
      <x:c r="R4192" s="13" t="n">
        <x:f>IF(I4192="","",I4192/1000000)</x:f>
        <x:v>62</x:v>
      </x:c>
    </x:row>
    <x:row r="4193" ht="21" customHeight="1">
      <x:c r="A4193" s="10" t="n">
        <x:v>5629</x:v>
      </x:c>
      <x:c r="B4193" s="2" t="str">
        <x:v>def343d305df2fcac1a4</x:v>
      </x:c>
      <x:c r="C4193" s="2" t="str">
        <x:v>Bình Dương</x:v>
      </x:c>
      <x:c r="D4193" s="2" t="str">
        <x:v>Thị xã Thuận An</x:v>
      </x:c>
      <x:c r="E4193" s="2" t="str">
        <x:v>land</x:v>
      </x:c>
      <x:c r="F4193" s="2" t="str">
        <x:v>sale</x:v>
      </x:c>
      <x:c r="G4193" s="11" t="n">
        <x:v>86</x:v>
      </x:c>
      <x:c r="H4193" s="12" t="n">
        <x:v>1680000000</x:v>
      </x:c>
      <x:c r="I4193" s="12" t="n">
        <x:v>19534883.720930234</x:v>
      </x:c>
      <x:c r="J4193" s="2" t="str">
        <x:v>total</x:v>
      </x:c>
      <x:c r="K4193" s="2" t="str">
        <x:v>top_level_area</x:v>
      </x:c>
      <x:c r="L4193" s="2" t="str">
        <x:v>property_type_inferred_from_title</x:v>
      </x:c>
      <x:c r="M4193" s="10" t="n">
        <x:v>0</x:v>
      </x:c>
      <x:c r="N4193" s="10" t="n">
        <x:v>0</x:v>
      </x:c>
      <x:c r="O4193" s="2" t="str">
        <x:v>Bình Dương|land</x:v>
      </x:c>
      <x:c r="P4193" s="10" t="n">
        <x:v>2</x:v>
      </x:c>
      <x:c r="Q4193" s="13" t="n">
        <x:f>IF(H4193="","",H4193/1000000000)</x:f>
        <x:v>1.68</x:v>
      </x:c>
      <x:c r="R4193" s="13" t="n">
        <x:f>IF(I4193="","",I4193/1000000)</x:f>
        <x:v>19.534883720930235</x:v>
      </x:c>
    </x:row>
    <x:row r="4194" ht="21" customHeight="1">
      <x:c r="A4194" s="10" t="n">
        <x:v>5630</x:v>
      </x:c>
      <x:c r="B4194" s="2" t="str">
        <x:v>ec013d67cd6d23deada0</x:v>
      </x:c>
      <x:c r="C4194" s="2" t="str">
        <x:v>Tp Hồ Chí Minh</x:v>
      </x:c>
      <x:c r="D4194" s="2" t="str">
        <x:v>Quận Gò Vấp</x:v>
      </x:c>
      <x:c r="E4194" s="2" t="str">
        <x:v>house</x:v>
      </x:c>
      <x:c r="F4194" s="2" t="str">
        <x:v>sale_assumed</x:v>
      </x:c>
      <x:c r="G4194" s="11" t="n">
        <x:v>52</x:v>
      </x:c>
      <x:c r="H4194" s="12" t="n">
        <x:v>4700000000</x:v>
      </x:c>
      <x:c r="I4194" s="12" t="n">
        <x:v>90384615.38461539</x:v>
      </x:c>
      <x:c r="J4194" s="2" t="str">
        <x:v>total</x:v>
      </x:c>
      <x:c r="K4194" s="2" t="str">
        <x:v>top_level_area</x:v>
      </x:c>
      <x:c r="L4194" s="2" t="str">
        <x:v>property_type_inferred_from_title;transaction_assumed_sale_from_dataset_context</x:v>
      </x:c>
      <x:c r="M4194" s="10" t="n">
        <x:v>0</x:v>
      </x:c>
      <x:c r="N4194" s="10" t="n">
        <x:v>0</x:v>
      </x:c>
      <x:c r="O4194" s="2" t="str">
        <x:v>Tp Hồ Chí Minh|house</x:v>
      </x:c>
      <x:c r="P4194" s="10" t="n">
        <x:v>2</x:v>
      </x:c>
      <x:c r="Q4194" s="13" t="n">
        <x:f>IF(H4194="","",H4194/1000000000)</x:f>
        <x:v>4.7</x:v>
      </x:c>
      <x:c r="R4194" s="13" t="n">
        <x:f>IF(I4194="","",I4194/1000000)</x:f>
        <x:v>90.38461538461539</x:v>
      </x:c>
    </x:row>
    <x:row r="4195" ht="21" customHeight="1">
      <x:c r="A4195" s="10" t="n">
        <x:v>5631</x:v>
      </x:c>
      <x:c r="B4195" s="2" t="str">
        <x:v>301d575bc62c2eb53452</x:v>
      </x:c>
      <x:c r="C4195" s="2" t="str">
        <x:v>Tp Hồ Chí Minh</x:v>
      </x:c>
      <x:c r="D4195" s="2" t="str">
        <x:v>Quận 12</x:v>
      </x:c>
      <x:c r="E4195" s="2" t="str">
        <x:v>house</x:v>
      </x:c>
      <x:c r="F4195" s="2" t="str">
        <x:v>sale</x:v>
      </x:c>
      <x:c r="G4195" s="11" t="n">
        <x:v>84</x:v>
      </x:c>
      <x:c r="H4195" s="12" t="n">
        <x:v>3950000000</x:v>
      </x:c>
      <x:c r="I4195" s="12" t="n">
        <x:v>47023809.52380952</x:v>
      </x:c>
      <x:c r="J4195" s="2" t="str">
        <x:v>total</x:v>
      </x:c>
      <x:c r="K4195" s="2" t="str">
        <x:v>top_level_area</x:v>
      </x:c>
      <x:c r="L4195" s="2" t="str">
        <x:v>property_type_inferred_from_title</x:v>
      </x:c>
      <x:c r="M4195" s="10" t="n">
        <x:v>0</x:v>
      </x:c>
      <x:c r="N4195" s="10" t="n">
        <x:v>0</x:v>
      </x:c>
      <x:c r="O4195" s="2" t="str">
        <x:v>Tp Hồ Chí Minh|house</x:v>
      </x:c>
      <x:c r="P4195" s="10" t="n">
        <x:v>2</x:v>
      </x:c>
      <x:c r="Q4195" s="13" t="n">
        <x:f>IF(H4195="","",H4195/1000000000)</x:f>
        <x:v>3.95</x:v>
      </x:c>
      <x:c r="R4195" s="13" t="n">
        <x:f>IF(I4195="","",I4195/1000000)</x:f>
        <x:v>47.023809523809526</x:v>
      </x:c>
    </x:row>
    <x:row r="4196" ht="21" customHeight="1">
      <x:c r="A4196" s="10" t="n">
        <x:v>5632</x:v>
      </x:c>
      <x:c r="B4196" s="2" t="str">
        <x:v>ef23a865e511a2064112</x:v>
      </x:c>
      <x:c r="C4196" s="2" t="str">
        <x:v>Tp Hồ Chí Minh</x:v>
      </x:c>
      <x:c r="D4196" s="2" t="str">
        <x:v>Quận 8</x:v>
      </x:c>
      <x:c r="E4196" s="2" t="str">
        <x:v>other_unknown</x:v>
      </x:c>
      <x:c r="F4196" s="2" t="str">
        <x:v>sale</x:v>
      </x:c>
      <x:c r="G4196" s="11" t="n">
        <x:v>72</x:v>
      </x:c>
      <x:c r="H4196" s="12" t="n">
        <x:v>2140000000.0000002</x:v>
      </x:c>
      <x:c r="I4196" s="12" t="n">
        <x:v>29722222.222222224</x:v>
      </x:c>
      <x:c r="J4196" s="2" t="str">
        <x:v>total</x:v>
      </x:c>
      <x:c r="K4196" s="2" t="str">
        <x:v>top_level_area</x:v>
      </x:c>
      <x:c r="L4196" s="2" t="str">
        <x:v>property_type_inferred_from_title;unknown_property_type</x:v>
      </x:c>
      <x:c r="M4196" s="10" t="n">
        <x:v>0</x:v>
      </x:c>
      <x:c r="N4196" s="10" t="n">
        <x:v>0</x:v>
      </x:c>
      <x:c r="O4196" s="2" t="str">
        <x:v>Tp Hồ Chí Minh|other_unknown</x:v>
      </x:c>
      <x:c r="P4196" s="10" t="n">
        <x:v>2</x:v>
      </x:c>
      <x:c r="Q4196" s="13" t="n">
        <x:f>IF(H4196="","",H4196/1000000000)</x:f>
        <x:v>2.14</x:v>
      </x:c>
      <x:c r="R4196" s="13" t="n">
        <x:f>IF(I4196="","",I4196/1000000)</x:f>
        <x:v>29.722222222222225</x:v>
      </x:c>
    </x:row>
    <x:row r="4197" ht="21" customHeight="1">
      <x:c r="A4197" s="10" t="n">
        <x:v>5633</x:v>
      </x:c>
      <x:c r="B4197" s="2" t="str">
        <x:v>bb4811ff7bdb45c5dead</x:v>
      </x:c>
      <x:c r="C4197" s="2" t="str">
        <x:v>Bình Dương</x:v>
      </x:c>
      <x:c r="D4197" s="2" t="str">
        <x:v>Thành phố Thủ Dầu Một</x:v>
      </x:c>
      <x:c r="E4197" s="2" t="str">
        <x:v>house</x:v>
      </x:c>
      <x:c r="F4197" s="2" t="str">
        <x:v>sale</x:v>
      </x:c>
      <x:c r="G4197" s="11" t="n">
        <x:v>210</x:v>
      </x:c>
      <x:c r="H4197" s="12" t="n">
        <x:v>2900000000</x:v>
      </x:c>
      <x:c r="I4197" s="12" t="n">
        <x:v>13809523.80952381</x:v>
      </x:c>
      <x:c r="J4197" s="2" t="str">
        <x:v>total</x:v>
      </x:c>
      <x:c r="K4197" s="2" t="str">
        <x:v>top_level_area</x:v>
      </x:c>
      <x:c r="L4197" s="2" t="str">
        <x:v>property_type_inferred_from_title</x:v>
      </x:c>
      <x:c r="M4197" s="10" t="n">
        <x:v>0</x:v>
      </x:c>
      <x:c r="N4197" s="10" t="n">
        <x:v>0</x:v>
      </x:c>
      <x:c r="O4197" s="2" t="str">
        <x:v>Bình Dương|house</x:v>
      </x:c>
      <x:c r="P4197" s="10" t="n">
        <x:v>2</x:v>
      </x:c>
      <x:c r="Q4197" s="13" t="n">
        <x:f>IF(H4197="","",H4197/1000000000)</x:f>
        <x:v>2.9</x:v>
      </x:c>
      <x:c r="R4197" s="13" t="n">
        <x:f>IF(I4197="","",I4197/1000000)</x:f>
        <x:v>13.80952380952381</x:v>
      </x:c>
    </x:row>
    <x:row r="4198" ht="21" customHeight="1">
      <x:c r="A4198" s="10" t="n">
        <x:v>5634</x:v>
      </x:c>
      <x:c r="B4198" s="2" t="str">
        <x:v>a93ff2bb0de7f0a72f1e</x:v>
      </x:c>
      <x:c r="C4198" s="2" t="str">
        <x:v>Tp Hồ Chí Minh</x:v>
      </x:c>
      <x:c r="D4198" s="2" t="str">
        <x:v>Quận Bình Tân</x:v>
      </x:c>
      <x:c r="E4198" s="2" t="str">
        <x:v>house</x:v>
      </x:c>
      <x:c r="F4198" s="2" t="str">
        <x:v>sale</x:v>
      </x:c>
      <x:c r="G4198" s="11" t="n">
        <x:v>75</x:v>
      </x:c>
      <x:c r="H4198" s="12" t="n">
        <x:v>6000000000</x:v>
      </x:c>
      <x:c r="I4198" s="12" t="n">
        <x:v>80000000</x:v>
      </x:c>
      <x:c r="J4198" s="2" t="str">
        <x:v>total</x:v>
      </x:c>
      <x:c r="K4198" s="2" t="str">
        <x:v>top_level_area</x:v>
      </x:c>
      <x:c r="L4198" s="2" t="str">
        <x:v>property_type_inferred_from_title</x:v>
      </x:c>
      <x:c r="M4198" s="10" t="n">
        <x:v>0</x:v>
      </x:c>
      <x:c r="N4198" s="10" t="n">
        <x:v>0</x:v>
      </x:c>
      <x:c r="O4198" s="2" t="str">
        <x:v>Tp Hồ Chí Minh|house</x:v>
      </x:c>
      <x:c r="P4198" s="10" t="n">
        <x:v>2</x:v>
      </x:c>
      <x:c r="Q4198" s="13" t="n">
        <x:f>IF(H4198="","",H4198/1000000000)</x:f>
        <x:v>6</x:v>
      </x:c>
      <x:c r="R4198" s="13" t="n">
        <x:f>IF(I4198="","",I4198/1000000)</x:f>
        <x:v>80</x:v>
      </x:c>
    </x:row>
    <x:row r="4199" ht="21" customHeight="1">
      <x:c r="A4199" s="10" t="n">
        <x:v>5635</x:v>
      </x:c>
      <x:c r="B4199" s="2" t="str">
        <x:v>462062c54216daabd68f</x:v>
      </x:c>
      <x:c r="C4199" s="2" t="str">
        <x:v>Đồng Nai</x:v>
      </x:c>
      <x:c r="D4199" s="2" t="str">
        <x:v>Huyện Long Thành</x:v>
      </x:c>
      <x:c r="E4199" s="2" t="str">
        <x:v>land</x:v>
      </x:c>
      <x:c r="F4199" s="2" t="str">
        <x:v>sale</x:v>
      </x:c>
      <x:c r="G4199" s="11" t="n">
        <x:v>125</x:v>
      </x:c>
      <x:c r="H4199" s="12" t="n">
        <x:v>537000000</x:v>
      </x:c>
      <x:c r="I4199" s="12" t="n">
        <x:v>4296000</x:v>
      </x:c>
      <x:c r="J4199" s="2" t="str">
        <x:v>total</x:v>
      </x:c>
      <x:c r="K4199" s="2" t="str">
        <x:v>top_level_area</x:v>
      </x:c>
      <x:c r="L4199" s="2" t="str">
        <x:v>property_type_inferred_from_title</x:v>
      </x:c>
      <x:c r="M4199" s="10" t="n">
        <x:v>0</x:v>
      </x:c>
      <x:c r="N4199" s="10" t="n">
        <x:v>0</x:v>
      </x:c>
      <x:c r="O4199" s="2" t="str">
        <x:v>Đồng Nai|land</x:v>
      </x:c>
      <x:c r="P4199" s="10" t="n">
        <x:v>2</x:v>
      </x:c>
      <x:c r="Q4199" s="13" t="n">
        <x:f>IF(H4199="","",H4199/1000000000)</x:f>
        <x:v>0.537</x:v>
      </x:c>
      <x:c r="R4199" s="13" t="n">
        <x:f>IF(I4199="","",I4199/1000000)</x:f>
        <x:v>4.296</x:v>
      </x:c>
    </x:row>
    <x:row r="4200" ht="21" customHeight="1">
      <x:c r="A4200" s="10" t="n">
        <x:v>5636</x:v>
      </x:c>
      <x:c r="B4200" s="2" t="str">
        <x:v>23164d56cba8430aa2d4</x:v>
      </x:c>
      <x:c r="C4200" s="2" t="str">
        <x:v>Tp Hồ Chí Minh</x:v>
      </x:c>
      <x:c r="D4200" s="2" t="str">
        <x:v>Huyện Nhà Bè</x:v>
      </x:c>
      <x:c r="E4200" s="2" t="str">
        <x:v>house</x:v>
      </x:c>
      <x:c r="F4200" s="2" t="str">
        <x:v>sale</x:v>
      </x:c>
      <x:c r="G4200" s="11" t="n">
        <x:v>220</x:v>
      </x:c>
      <x:c r="H4200" s="12" t="n">
        <x:v>3350000000</x:v>
      </x:c>
      <x:c r="I4200" s="12" t="n">
        <x:v>15227272.727272727</x:v>
      </x:c>
      <x:c r="J4200" s="2" t="str">
        <x:v>total</x:v>
      </x:c>
      <x:c r="K4200" s="2" t="str">
        <x:v>top_level_area</x:v>
      </x:c>
      <x:c r="L4200" s="2" t="str">
        <x:v>property_type_inferred_from_title</x:v>
      </x:c>
      <x:c r="M4200" s="10" t="n">
        <x:v>0</x:v>
      </x:c>
      <x:c r="N4200" s="10" t="n">
        <x:v>0</x:v>
      </x:c>
      <x:c r="O4200" s="2" t="str">
        <x:v>Tp Hồ Chí Minh|house</x:v>
      </x:c>
      <x:c r="P4200" s="10" t="n">
        <x:v>2</x:v>
      </x:c>
      <x:c r="Q4200" s="13" t="n">
        <x:f>IF(H4200="","",H4200/1000000000)</x:f>
        <x:v>3.35</x:v>
      </x:c>
      <x:c r="R4200" s="13" t="n">
        <x:f>IF(I4200="","",I4200/1000000)</x:f>
        <x:v>15.227272727272727</x:v>
      </x:c>
    </x:row>
    <x:row r="4201" ht="21" customHeight="1">
      <x:c r="A4201" s="10" t="n">
        <x:v>5637</x:v>
      </x:c>
      <x:c r="B4201" s="2" t="str">
        <x:v>e2d9f686b453567268ff</x:v>
      </x:c>
      <x:c r="C4201" s="2" t="str">
        <x:v>Vĩnh Long</x:v>
      </x:c>
      <x:c r="D4201" s="2" t="str">
        <x:v>Thành phố Vĩnh Long</x:v>
      </x:c>
      <x:c r="E4201" s="2" t="str">
        <x:v>house</x:v>
      </x:c>
      <x:c r="F4201" s="2" t="str">
        <x:v>sale_assumed</x:v>
      </x:c>
      <x:c r="G4201" s="11" t="n">
        <x:v>62</x:v>
      </x:c>
      <x:c r="H4201" s="12" t="n">
        <x:v>1250000000</x:v>
      </x:c>
      <x:c r="I4201" s="12" t="n">
        <x:v>20161290.322580647</x:v>
      </x:c>
      <x:c r="J4201" s="2" t="str">
        <x:v>total</x:v>
      </x:c>
      <x:c r="K4201" s="2" t="str">
        <x:v>top_level_area</x:v>
      </x:c>
      <x:c r="L4201" s="2" t="str">
        <x:v>property_type_inferred_from_title;transaction_assumed_sale_from_dataset_context</x:v>
      </x:c>
      <x:c r="M4201" s="10" t="n">
        <x:v>0</x:v>
      </x:c>
      <x:c r="N4201" s="10" t="n">
        <x:v>0</x:v>
      </x:c>
      <x:c r="O4201" s="2" t="str">
        <x:v>house</x:v>
      </x:c>
      <x:c r="P4201" s="10" t="n">
        <x:v>2</x:v>
      </x:c>
      <x:c r="Q4201" s="13" t="n">
        <x:f>IF(H4201="","",H4201/1000000000)</x:f>
        <x:v>1.25</x:v>
      </x:c>
      <x:c r="R4201" s="13" t="n">
        <x:f>IF(I4201="","",I4201/1000000)</x:f>
        <x:v>20.161290322580648</x:v>
      </x:c>
    </x:row>
    <x:row r="4202" ht="21" customHeight="1">
      <x:c r="A4202" s="10" t="n">
        <x:v>5638</x:v>
      </x:c>
      <x:c r="B4202" s="2" t="str">
        <x:v>12652a0046b975aafc61</x:v>
      </x:c>
      <x:c r="C4202" s="2" t="str">
        <x:v>Đà Nẵng</x:v>
      </x:c>
      <x:c r="D4202" s="2" t="str">
        <x:v>Quận Hải Châu</x:v>
      </x:c>
      <x:c r="E4202" s="2" t="str">
        <x:v>house</x:v>
      </x:c>
      <x:c r="F4202" s="2" t="str">
        <x:v>sale</x:v>
      </x:c>
      <x:c r="G4202" s="11" t="n">
        <x:v>40</x:v>
      </x:c>
      <x:c r="H4202" s="12" t="n">
        <x:v>2550000000</x:v>
      </x:c>
      <x:c r="I4202" s="12" t="n">
        <x:v>63750000</x:v>
      </x:c>
      <x:c r="J4202" s="2" t="str">
        <x:v>total</x:v>
      </x:c>
      <x:c r="K4202" s="2" t="str">
        <x:v>top_level_area</x:v>
      </x:c>
      <x:c r="L4202" s="2" t="str">
        <x:v>property_type_inferred_from_title</x:v>
      </x:c>
      <x:c r="M4202" s="10" t="n">
        <x:v>0</x:v>
      </x:c>
      <x:c r="N4202" s="10" t="n">
        <x:v>0</x:v>
      </x:c>
      <x:c r="O4202" s="2" t="str">
        <x:v>Đà Nẵng|house</x:v>
      </x:c>
      <x:c r="P4202" s="10" t="n">
        <x:v>2</x:v>
      </x:c>
      <x:c r="Q4202" s="13" t="n">
        <x:f>IF(H4202="","",H4202/1000000000)</x:f>
        <x:v>2.55</x:v>
      </x:c>
      <x:c r="R4202" s="13" t="n">
        <x:f>IF(I4202="","",I4202/1000000)</x:f>
        <x:v>63.75</x:v>
      </x:c>
    </x:row>
    <x:row r="4203" ht="21" customHeight="1">
      <x:c r="A4203" s="10" t="n">
        <x:v>5639</x:v>
      </x:c>
      <x:c r="B4203" s="2" t="str">
        <x:v>0f0e8abf73e4dc280fdc</x:v>
      </x:c>
      <x:c r="C4203" s="2" t="str">
        <x:v>Hà Nội</x:v>
      </x:c>
      <x:c r="D4203" s="2" t="str">
        <x:v>Quận Hà Đông</x:v>
      </x:c>
      <x:c r="E4203" s="2" t="str">
        <x:v>house</x:v>
      </x:c>
      <x:c r="F4203" s="2" t="str">
        <x:v>sale_assumed</x:v>
      </x:c>
      <x:c r="G4203" s="11" t="n">
        <x:v>30</x:v>
      </x:c>
      <x:c r="H4203" s="12" t="n">
        <x:v>1560000000</x:v>
      </x:c>
      <x:c r="I4203" s="12" t="n">
        <x:v>52000000</x:v>
      </x:c>
      <x:c r="J4203" s="2" t="str">
        <x:v>total</x:v>
      </x:c>
      <x:c r="K4203" s="2" t="str">
        <x:v>top_level_area</x:v>
      </x:c>
      <x:c r="L4203" s="2" t="str">
        <x:v>property_type_inferred_from_title;transaction_assumed_sale_from_dataset_context</x:v>
      </x:c>
      <x:c r="M4203" s="10" t="n">
        <x:v>0</x:v>
      </x:c>
      <x:c r="N4203" s="10" t="n">
        <x:v>0</x:v>
      </x:c>
      <x:c r="O4203" s="2" t="str">
        <x:v>Hà Nội|house</x:v>
      </x:c>
      <x:c r="P4203" s="10" t="n">
        <x:v>2</x:v>
      </x:c>
      <x:c r="Q4203" s="13" t="n">
        <x:f>IF(H4203="","",H4203/1000000000)</x:f>
        <x:v>1.56</x:v>
      </x:c>
      <x:c r="R4203" s="13" t="n">
        <x:f>IF(I4203="","",I4203/1000000)</x:f>
        <x:v>52</x:v>
      </x:c>
    </x:row>
    <x:row r="4204" ht="21" customHeight="1">
      <x:c r="A4204" s="10" t="n">
        <x:v>5640</x:v>
      </x:c>
      <x:c r="B4204" s="2" t="str">
        <x:v>c04606be07eede8149a5</x:v>
      </x:c>
      <x:c r="C4204" s="2" t="str">
        <x:v>Đà Nẵng</x:v>
      </x:c>
      <x:c r="D4204" s="2" t="str">
        <x:v>Quận Ngũ Hành Sơn</x:v>
      </x:c>
      <x:c r="E4204" s="2" t="str">
        <x:v>other_unknown</x:v>
      </x:c>
      <x:c r="F4204" s="2" t="str">
        <x:v>sale</x:v>
      </x:c>
      <x:c r="G4204" s="11" t="n">
        <x:v>95</x:v>
      </x:c>
      <x:c r="H4204" s="12" t="n">
        <x:v>3550000000</x:v>
      </x:c>
      <x:c r="I4204" s="12" t="n">
        <x:v>37368421.05263158</x:v>
      </x:c>
      <x:c r="J4204" s="2" t="str">
        <x:v>total</x:v>
      </x:c>
      <x:c r="K4204" s="2" t="str">
        <x:v>top_level_area</x:v>
      </x:c>
      <x:c r="L4204" s="2" t="str">
        <x:v>property_type_inferred_from_title;unknown_property_type</x:v>
      </x:c>
      <x:c r="M4204" s="10" t="n">
        <x:v>0</x:v>
      </x:c>
      <x:c r="N4204" s="10" t="n">
        <x:v>0</x:v>
      </x:c>
      <x:c r="O4204" s="2" t="str">
        <x:v>Đà Nẵng|other_unknown</x:v>
      </x:c>
      <x:c r="P4204" s="10" t="n">
        <x:v>2</x:v>
      </x:c>
      <x:c r="Q4204" s="13" t="n">
        <x:f>IF(H4204="","",H4204/1000000000)</x:f>
        <x:v>3.55</x:v>
      </x:c>
      <x:c r="R4204" s="13" t="n">
        <x:f>IF(I4204="","",I4204/1000000)</x:f>
        <x:v>37.36842105263158</x:v>
      </x:c>
    </x:row>
    <x:row r="4205" ht="21" customHeight="1">
      <x:c r="A4205" s="10" t="n">
        <x:v>5641</x:v>
      </x:c>
      <x:c r="B4205" s="2" t="str">
        <x:v>e1b8fbbf8804616c4663</x:v>
      </x:c>
      <x:c r="C4205" s="2" t="str">
        <x:v>Bình Dương</x:v>
      </x:c>
      <x:c r="D4205" s="2" t="str">
        <x:v>Thành phố Thủ Dầu Một</x:v>
      </x:c>
      <x:c r="E4205" s="2" t="str">
        <x:v>house</x:v>
      </x:c>
      <x:c r="F4205" s="2" t="str">
        <x:v>sale</x:v>
      </x:c>
      <x:c r="G4205" s="11" t="n">
        <x:v>72</x:v>
      </x:c>
      <x:c r="H4205" s="12" t="n">
        <x:v>1400000000</x:v>
      </x:c>
      <x:c r="I4205" s="12" t="n">
        <x:v>19444444.444444444</x:v>
      </x:c>
      <x:c r="J4205" s="2" t="str">
        <x:v>total</x:v>
      </x:c>
      <x:c r="K4205" s="2" t="str">
        <x:v>top_level_area</x:v>
      </x:c>
      <x:c r="L4205" s="2" t="str">
        <x:v>property_type_inferred_from_title</x:v>
      </x:c>
      <x:c r="M4205" s="10" t="n">
        <x:v>0</x:v>
      </x:c>
      <x:c r="N4205" s="10" t="n">
        <x:v>0</x:v>
      </x:c>
      <x:c r="O4205" s="2" t="str">
        <x:v>Bình Dương|house</x:v>
      </x:c>
      <x:c r="P4205" s="10" t="n">
        <x:v>2</x:v>
      </x:c>
      <x:c r="Q4205" s="13" t="n">
        <x:f>IF(H4205="","",H4205/1000000000)</x:f>
        <x:v>1.4</x:v>
      </x:c>
      <x:c r="R4205" s="13" t="n">
        <x:f>IF(I4205="","",I4205/1000000)</x:f>
        <x:v>19.444444444444443</x:v>
      </x:c>
    </x:row>
    <x:row r="4206" ht="21" customHeight="1">
      <x:c r="A4206" s="10" t="n">
        <x:v>5642</x:v>
      </x:c>
      <x:c r="B4206" s="2" t="str">
        <x:v>a17c7f4584313437cd6d</x:v>
      </x:c>
      <x:c r="C4206" s="2" t="str">
        <x:v>Tp Hồ Chí Minh</x:v>
      </x:c>
      <x:c r="D4206" s="2" t="str">
        <x:v>Quận Gò Vấp</x:v>
      </x:c>
      <x:c r="E4206" s="2" t="str">
        <x:v>house</x:v>
      </x:c>
      <x:c r="F4206" s="2" t="str">
        <x:v>sale</x:v>
      </x:c>
      <x:c r="G4206" s="11" t="n">
        <x:v>41</x:v>
      </x:c>
      <x:c r="H4206" s="12" t="n">
        <x:v>5000000000</x:v>
      </x:c>
      <x:c r="I4206" s="12" t="n">
        <x:v>121951219.51219513</x:v>
      </x:c>
      <x:c r="J4206" s="2" t="str">
        <x:v>total</x:v>
      </x:c>
      <x:c r="K4206" s="2" t="str">
        <x:v>top_level_area</x:v>
      </x:c>
      <x:c r="L4206" s="2" t="str">
        <x:v>property_type_inferred_from_title</x:v>
      </x:c>
      <x:c r="M4206" s="10" t="n">
        <x:v>0</x:v>
      </x:c>
      <x:c r="N4206" s="10" t="n">
        <x:v>0</x:v>
      </x:c>
      <x:c r="O4206" s="2" t="str">
        <x:v>Tp Hồ Chí Minh|house</x:v>
      </x:c>
      <x:c r="P4206" s="10" t="n">
        <x:v>2</x:v>
      </x:c>
      <x:c r="Q4206" s="13" t="n">
        <x:f>IF(H4206="","",H4206/1000000000)</x:f>
        <x:v>5</x:v>
      </x:c>
      <x:c r="R4206" s="13" t="n">
        <x:f>IF(I4206="","",I4206/1000000)</x:f>
        <x:v>121.95121951219512</x:v>
      </x:c>
    </x:row>
    <x:row r="4207" ht="21" customHeight="1">
      <x:c r="A4207" s="10" t="n">
        <x:v>5643</x:v>
      </x:c>
      <x:c r="B4207" s="2" t="str">
        <x:v>28269b9c382f26bd6f47</x:v>
      </x:c>
      <x:c r="C4207" s="2" t="str">
        <x:v>Bình Dương</x:v>
      </x:c>
      <x:c r="D4207" s="2" t="str">
        <x:v>Thị xã Dĩ An</x:v>
      </x:c>
      <x:c r="E4207" s="2" t="str">
        <x:v>apartment</x:v>
      </x:c>
      <x:c r="F4207" s="2" t="str">
        <x:v>sale</x:v>
      </x:c>
      <x:c r="G4207" s="11" t="n">
        <x:v>50</x:v>
      </x:c>
      <x:c r="H4207" s="12" t="n">
        <x:v>1600000000</x:v>
      </x:c>
      <x:c r="I4207" s="12" t="n">
        <x:v>32000000</x:v>
      </x:c>
      <x:c r="J4207" s="2" t="str">
        <x:v>total</x:v>
      </x:c>
      <x:c r="K4207" s="2" t="str">
        <x:v>top_level_area</x:v>
      </x:c>
      <x:c r="L4207" s="2" t="str">
        <x:v>property_type_inferred_from_title</x:v>
      </x:c>
      <x:c r="M4207" s="10" t="n">
        <x:v>0</x:v>
      </x:c>
      <x:c r="N4207" s="10" t="n">
        <x:v>0</x:v>
      </x:c>
      <x:c r="O4207" s="2" t="str">
        <x:v>Bình Dương|apartment</x:v>
      </x:c>
      <x:c r="P4207" s="10" t="n">
        <x:v>2</x:v>
      </x:c>
      <x:c r="Q4207" s="13" t="n">
        <x:f>IF(H4207="","",H4207/1000000000)</x:f>
        <x:v>1.6</x:v>
      </x:c>
      <x:c r="R4207" s="13" t="n">
        <x:f>IF(I4207="","",I4207/1000000)</x:f>
        <x:v>32</x:v>
      </x:c>
    </x:row>
    <x:row r="4208" ht="21" customHeight="1">
      <x:c r="A4208" s="10" t="n">
        <x:v>5644</x:v>
      </x:c>
      <x:c r="B4208" s="2" t="str">
        <x:v>a086d940f8e2841afff6</x:v>
      </x:c>
      <x:c r="C4208" s="2" t="str">
        <x:v>Tp Hồ Chí Minh</x:v>
      </x:c>
      <x:c r="D4208" s="2" t="str">
        <x:v>Quận 12</x:v>
      </x:c>
      <x:c r="E4208" s="2" t="str">
        <x:v>other_unknown</x:v>
      </x:c>
      <x:c r="F4208" s="2" t="str">
        <x:v>sale_assumed</x:v>
      </x:c>
      <x:c r="G4208" s="11" t="n">
        <x:v>56</x:v>
      </x:c>
      <x:c r="H4208" s="12" t="n">
        <x:v>3490000000</x:v>
      </x:c>
      <x:c r="I4208" s="12" t="n">
        <x:v>62321428.571428575</x:v>
      </x:c>
      <x:c r="J4208" s="2" t="str">
        <x:v>total</x:v>
      </x:c>
      <x:c r="K4208" s="2" t="str">
        <x:v>top_level_area</x:v>
      </x:c>
      <x:c r="L4208" s="2" t="str">
        <x:v>property_type_inferred_from_title;transaction_assumed_sale_from_dataset_context;unknown_property_type</x:v>
      </x:c>
      <x:c r="M4208" s="10" t="n">
        <x:v>0</x:v>
      </x:c>
      <x:c r="N4208" s="10" t="n">
        <x:v>0</x:v>
      </x:c>
      <x:c r="O4208" s="2" t="str">
        <x:v>Tp Hồ Chí Minh|other_unknown</x:v>
      </x:c>
      <x:c r="P4208" s="10" t="n">
        <x:v>2</x:v>
      </x:c>
      <x:c r="Q4208" s="13" t="n">
        <x:f>IF(H4208="","",H4208/1000000000)</x:f>
        <x:v>3.49</x:v>
      </x:c>
      <x:c r="R4208" s="13" t="n">
        <x:f>IF(I4208="","",I4208/1000000)</x:f>
        <x:v>62.32142857142858</x:v>
      </x:c>
    </x:row>
    <x:row r="4209" ht="21" customHeight="1">
      <x:c r="A4209" s="10" t="n">
        <x:v>5645</x:v>
      </x:c>
      <x:c r="B4209" s="2" t="str">
        <x:v>3fa8837dc9c5c2b7f9c2</x:v>
      </x:c>
      <x:c r="C4209" s="2" t="str">
        <x:v>Tp Hồ Chí Minh</x:v>
      </x:c>
      <x:c r="D4209" s="2" t="str">
        <x:v>Quận Thủ Đức</x:v>
      </x:c>
      <x:c r="E4209" s="2" t="str">
        <x:v>house</x:v>
      </x:c>
      <x:c r="F4209" s="2" t="str">
        <x:v>sale_assumed</x:v>
      </x:c>
      <x:c r="G4209" s="11" t="n">
        <x:v>64</x:v>
      </x:c>
      <x:c r="H4209" s="12" t="n">
        <x:v>5300000000</x:v>
      </x:c>
      <x:c r="I4209" s="12" t="n">
        <x:v>82812500</x:v>
      </x:c>
      <x:c r="J4209" s="2" t="str">
        <x:v>total</x:v>
      </x:c>
      <x:c r="K4209" s="2" t="str">
        <x:v>top_level_area</x:v>
      </x:c>
      <x:c r="L4209" s="2" t="str">
        <x:v>property_type_inferred_from_title;transaction_assumed_sale_from_dataset_context</x:v>
      </x:c>
      <x:c r="M4209" s="10" t="n">
        <x:v>0</x:v>
      </x:c>
      <x:c r="N4209" s="10" t="n">
        <x:v>0</x:v>
      </x:c>
      <x:c r="O4209" s="2" t="str">
        <x:v>Tp Hồ Chí Minh|house</x:v>
      </x:c>
      <x:c r="P4209" s="10" t="n">
        <x:v>2</x:v>
      </x:c>
      <x:c r="Q4209" s="13" t="n">
        <x:f>IF(H4209="","",H4209/1000000000)</x:f>
        <x:v>5.3</x:v>
      </x:c>
      <x:c r="R4209" s="13" t="n">
        <x:f>IF(I4209="","",I4209/1000000)</x:f>
        <x:v>82.8125</x:v>
      </x:c>
    </x:row>
    <x:row r="4210" ht="21" customHeight="1">
      <x:c r="A4210" s="10" t="n">
        <x:v>5646</x:v>
      </x:c>
      <x:c r="B4210" s="2" t="str">
        <x:v>c841831b1f6bcca5e7f6</x:v>
      </x:c>
      <x:c r="C4210" s="2" t="str">
        <x:v>Tp Hồ Chí Minh</x:v>
      </x:c>
      <x:c r="D4210" s="2" t="str">
        <x:v>Huyện Bình Chánh</x:v>
      </x:c>
      <x:c r="E4210" s="2" t="str">
        <x:v>house</x:v>
      </x:c>
      <x:c r="F4210" s="2" t="str">
        <x:v>sale</x:v>
      </x:c>
      <x:c r="G4210" s="11" t="n">
        <x:v>40</x:v>
      </x:c>
      <x:c r="H4210" s="12" t="n">
        <x:v>550000000</x:v>
      </x:c>
      <x:c r="I4210" s="12" t="n">
        <x:v>13750000</x:v>
      </x:c>
      <x:c r="J4210" s="2" t="str">
        <x:v>total</x:v>
      </x:c>
      <x:c r="K4210" s="2" t="str">
        <x:v>top_level_area</x:v>
      </x:c>
      <x:c r="L4210" s="2" t="str">
        <x:v>property_type_inferred_from_title</x:v>
      </x:c>
      <x:c r="M4210" s="10" t="n">
        <x:v>0</x:v>
      </x:c>
      <x:c r="N4210" s="10" t="n">
        <x:v>0</x:v>
      </x:c>
      <x:c r="O4210" s="2" t="str">
        <x:v>Tp Hồ Chí Minh|house</x:v>
      </x:c>
      <x:c r="P4210" s="10" t="n">
        <x:v>2</x:v>
      </x:c>
      <x:c r="Q4210" s="13" t="n">
        <x:f>IF(H4210="","",H4210/1000000000)</x:f>
        <x:v>0.55</x:v>
      </x:c>
      <x:c r="R4210" s="13" t="n">
        <x:f>IF(I4210="","",I4210/1000000)</x:f>
        <x:v>13.75</x:v>
      </x:c>
    </x:row>
    <x:row r="4211" ht="21" customHeight="1">
      <x:c r="A4211" s="10" t="n">
        <x:v>5662</x:v>
      </x:c>
      <x:c r="B4211" s="2" t="str">
        <x:v>adf0ca2a7848ded5756a</x:v>
      </x:c>
      <x:c r="C4211" s="2" t="str">
        <x:v>Đồng Nai</x:v>
      </x:c>
      <x:c r="D4211" s="2" t="str">
        <x:v>Thành phố Biên Hòa</x:v>
      </x:c>
      <x:c r="E4211" s="2" t="str">
        <x:v>land</x:v>
      </x:c>
      <x:c r="F4211" s="2" t="str">
        <x:v>sale</x:v>
      </x:c>
      <x:c r="G4211" s="11" t="n">
        <x:v>500</x:v>
      </x:c>
      <x:c r="H4211" s="12" t="n">
        <x:v>980000000</x:v>
      </x:c>
      <x:c r="I4211" s="12" t="n">
        <x:v>1960000</x:v>
      </x:c>
      <x:c r="J4211" s="2" t="str">
        <x:v>total</x:v>
      </x:c>
      <x:c r="K4211" s="2" t="str">
        <x:v>top_level_area</x:v>
      </x:c>
      <x:c r="L4211" s="2" t="str">
        <x:v>property_type_inferred_from_title</x:v>
      </x:c>
      <x:c r="M4211" s="10" t="n">
        <x:v>0</x:v>
      </x:c>
      <x:c r="N4211" s="10" t="n">
        <x:v>0</x:v>
      </x:c>
      <x:c r="O4211" s="2" t="str">
        <x:v>Đồng Nai|land</x:v>
      </x:c>
      <x:c r="P4211" s="10" t="n">
        <x:v>1</x:v>
      </x:c>
      <x:c r="Q4211" s="13" t="n">
        <x:f>IF(H4211="","",H4211/1000000000)</x:f>
        <x:v>0.98</x:v>
      </x:c>
      <x:c r="R4211" s="13" t="n">
        <x:f>IF(I4211="","",I4211/1000000)</x:f>
        <x:v>1.96</x:v>
      </x:c>
    </x:row>
    <x:row r="4212" ht="21" customHeight="1">
      <x:c r="A4212" s="10" t="n">
        <x:v>5663</x:v>
      </x:c>
      <x:c r="B4212" s="2" t="str">
        <x:v>87b99ab6b72bbd96caa2</x:v>
      </x:c>
      <x:c r="C4212" s="2" t="str">
        <x:v>Tp Hồ Chí Minh</x:v>
      </x:c>
      <x:c r="D4212" s="2" t="str">
        <x:v>Quận Bình Tân</x:v>
      </x:c>
      <x:c r="E4212" s="2" t="str">
        <x:v>apartment</x:v>
      </x:c>
      <x:c r="F4212" s="2" t="str">
        <x:v>sale_assumed</x:v>
      </x:c>
      <x:c r="G4212" s="11" t="n">
        <x:v>40</x:v>
      </x:c>
      <x:c r="H4212" s="12" t="n">
        <x:v>299000000</x:v>
      </x:c>
      <x:c r="I4212" s="12" t="n">
        <x:v>7475000</x:v>
      </x:c>
      <x:c r="J4212" s="2" t="str">
        <x:v>total</x:v>
      </x:c>
      <x:c r="K4212" s="2" t="str">
        <x:v>top_level_area</x:v>
      </x:c>
      <x:c r="L4212" s="2" t="str">
        <x:v>property_type_inferred_from_title;transaction_assumed_sale_from_dataset_context</x:v>
      </x:c>
      <x:c r="M4212" s="10" t="n">
        <x:v>0</x:v>
      </x:c>
      <x:c r="N4212" s="10" t="n">
        <x:v>0</x:v>
      </x:c>
      <x:c r="O4212" s="2" t="str">
        <x:v>Tp Hồ Chí Minh|apartment</x:v>
      </x:c>
      <x:c r="P4212" s="10" t="n">
        <x:v>2</x:v>
      </x:c>
      <x:c r="Q4212" s="13" t="n">
        <x:f>IF(H4212="","",H4212/1000000000)</x:f>
        <x:v>0.299</x:v>
      </x:c>
      <x:c r="R4212" s="13" t="n">
        <x:f>IF(I4212="","",I4212/1000000)</x:f>
        <x:v>7.475</x:v>
      </x:c>
    </x:row>
    <x:row r="4213" ht="21" customHeight="1">
      <x:c r="A4213" s="10" t="n">
        <x:v>5664</x:v>
      </x:c>
      <x:c r="B4213" s="2" t="str">
        <x:v>d02569bd9fb3c190a73b</x:v>
      </x:c>
      <x:c r="C4213" s="2" t="str">
        <x:v>Bà Rịa - Vũng Tàu</x:v>
      </x:c>
      <x:c r="D4213" s="2" t="str">
        <x:v>Thị xã Phú Mỹ</x:v>
      </x:c>
      <x:c r="E4213" s="2" t="str">
        <x:v>land</x:v>
      </x:c>
      <x:c r="F4213" s="2" t="str">
        <x:v>sale_assumed</x:v>
      </x:c>
      <x:c r="G4213" s="11" t="n">
        <x:v>137</x:v>
      </x:c>
      <x:c r="H4213" s="12" t="n">
        <x:v>670000000</x:v>
      </x:c>
      <x:c r="I4213" s="12" t="n">
        <x:v>4890510.948905109</x:v>
      </x:c>
      <x:c r="J4213" s="2" t="str">
        <x:v>total</x:v>
      </x:c>
      <x:c r="K4213" s="2" t="str">
        <x:v>top_level_area</x:v>
      </x:c>
      <x:c r="L4213" s="2" t="str">
        <x:v>property_type_inferred_from_title;transaction_assumed_sale_from_dataset_context</x:v>
      </x:c>
      <x:c r="M4213" s="10" t="n">
        <x:v>0</x:v>
      </x:c>
      <x:c r="N4213" s="10" t="n">
        <x:v>0</x:v>
      </x:c>
      <x:c r="O4213" s="2" t="str">
        <x:v>Bà Rịa - Vũng Tàu|land</x:v>
      </x:c>
      <x:c r="P4213" s="10" t="n">
        <x:v>2</x:v>
      </x:c>
      <x:c r="Q4213" s="13" t="n">
        <x:f>IF(H4213="","",H4213/1000000000)</x:f>
        <x:v>0.67</x:v>
      </x:c>
      <x:c r="R4213" s="13" t="n">
        <x:f>IF(I4213="","",I4213/1000000)</x:f>
        <x:v>4.890510948905109</x:v>
      </x:c>
    </x:row>
    <x:row r="4214" ht="21" customHeight="1">
      <x:c r="A4214" s="10" t="n">
        <x:v>5665</x:v>
      </x:c>
      <x:c r="B4214" s="2" t="str">
        <x:v>5137efe5bf8d1181bb3e</x:v>
      </x:c>
      <x:c r="C4214" s="2" t="str">
        <x:v>Khánh Hòa</x:v>
      </x:c>
      <x:c r="D4214" s="2" t="str">
        <x:v>Huyện Diên Khánh</x:v>
      </x:c>
      <x:c r="E4214" s="2" t="str">
        <x:v>land</x:v>
      </x:c>
      <x:c r="F4214" s="2" t="str">
        <x:v>sale_assumed</x:v>
      </x:c>
      <x:c r="G4214" s="11" t="n">
        <x:v>100</x:v>
      </x:c>
      <x:c r="H4214" s="12" t="n">
        <x:v>920000000</x:v>
      </x:c>
      <x:c r="I4214" s="12" t="n">
        <x:v>9200000</x:v>
      </x:c>
      <x:c r="J4214" s="2" t="str">
        <x:v>total</x:v>
      </x:c>
      <x:c r="K4214" s="2" t="str">
        <x:v>top_level_area</x:v>
      </x:c>
      <x:c r="L4214" s="2" t="str">
        <x:v>property_type_inferred_from_title;transaction_assumed_sale_from_dataset_context</x:v>
      </x:c>
      <x:c r="M4214" s="10" t="n">
        <x:v>0</x:v>
      </x:c>
      <x:c r="N4214" s="10" t="n">
        <x:v>0</x:v>
      </x:c>
      <x:c r="O4214" s="2" t="str">
        <x:v>land</x:v>
      </x:c>
      <x:c r="P4214" s="10" t="n">
        <x:v>2</x:v>
      </x:c>
      <x:c r="Q4214" s="13" t="n">
        <x:f>IF(H4214="","",H4214/1000000000)</x:f>
        <x:v>0.92</x:v>
      </x:c>
      <x:c r="R4214" s="13" t="n">
        <x:f>IF(I4214="","",I4214/1000000)</x:f>
        <x:v>9.2</x:v>
      </x:c>
    </x:row>
    <x:row r="4215" ht="21" customHeight="1">
      <x:c r="A4215" s="10" t="n">
        <x:v>5666</x:v>
      </x:c>
      <x:c r="B4215" s="2" t="str">
        <x:v>f11208059c6a1e2824db</x:v>
      </x:c>
      <x:c r="C4215" s="2" t="str">
        <x:v>Hà Nội</x:v>
      </x:c>
      <x:c r="D4215" s="2" t="str">
        <x:v>Quận Ba Đình</x:v>
      </x:c>
      <x:c r="E4215" s="2" t="str">
        <x:v>house</x:v>
      </x:c>
      <x:c r="F4215" s="2" t="str">
        <x:v>sale_assumed</x:v>
      </x:c>
      <x:c r="G4215" s="11" t="n">
        <x:v>32</x:v>
      </x:c>
      <x:c r="H4215" s="12" t="n">
        <x:v>2990000000</x:v>
      </x:c>
      <x:c r="I4215" s="12" t="n">
        <x:v>93437500</x:v>
      </x:c>
      <x:c r="J4215" s="2" t="str">
        <x:v>total</x:v>
      </x:c>
      <x:c r="K4215" s="2" t="str">
        <x:v>top_level_area</x:v>
      </x:c>
      <x:c r="L4215" s="2" t="str">
        <x:v>property_type_inferred_from_title;transaction_assumed_sale_from_dataset_context</x:v>
      </x:c>
      <x:c r="M4215" s="10" t="n">
        <x:v>0</x:v>
      </x:c>
      <x:c r="N4215" s="10" t="n">
        <x:v>0</x:v>
      </x:c>
      <x:c r="O4215" s="2" t="str">
        <x:v>Hà Nội|house</x:v>
      </x:c>
      <x:c r="P4215" s="10" t="n">
        <x:v>2</x:v>
      </x:c>
      <x:c r="Q4215" s="13" t="n">
        <x:f>IF(H4215="","",H4215/1000000000)</x:f>
        <x:v>2.99</x:v>
      </x:c>
      <x:c r="R4215" s="13" t="n">
        <x:f>IF(I4215="","",I4215/1000000)</x:f>
        <x:v>93.4375</x:v>
      </x:c>
    </x:row>
    <x:row r="4216" ht="21" customHeight="1">
      <x:c r="A4216" s="10" t="n">
        <x:v>5667</x:v>
      </x:c>
      <x:c r="B4216" s="2" t="str">
        <x:v>24812a3d9525e123cfad</x:v>
      </x:c>
      <x:c r="C4216" s="2" t="str">
        <x:v>Tp Hồ Chí Minh</x:v>
      </x:c>
      <x:c r="D4216" s="2" t="str">
        <x:v>Quận 10</x:v>
      </x:c>
      <x:c r="E4216" s="2" t="str">
        <x:v>house</x:v>
      </x:c>
      <x:c r="F4216" s="2" t="str">
        <x:v>sale_assumed</x:v>
      </x:c>
      <x:c r="G4216" s="11" t="n">
        <x:v>82</x:v>
      </x:c>
      <x:c r="H4216" s="12" t="n">
        <x:v>16700000000</x:v>
      </x:c>
      <x:c r="I4216" s="12" t="n">
        <x:v>203658536.58536586</x:v>
      </x:c>
      <x:c r="J4216" s="2" t="str">
        <x:v>total</x:v>
      </x:c>
      <x:c r="K4216" s="2" t="str">
        <x:v>top_level_area</x:v>
      </x:c>
      <x:c r="L4216" s="2" t="str">
        <x:v>property_type_inferred_from_title;transaction_assumed_sale_from_dataset_context</x:v>
      </x:c>
      <x:c r="M4216" s="10" t="n">
        <x:v>1</x:v>
      </x:c>
      <x:c r="N4216" s="10" t="n">
        <x:v>1</x:v>
      </x:c>
      <x:c r="O4216" s="2" t="str">
        <x:v>Tp Hồ Chí Minh|house</x:v>
      </x:c>
      <x:c r="P4216" s="10" t="n">
        <x:v>-1</x:v>
      </x:c>
      <x:c r="Q4216" s="13" t="n">
        <x:f>IF(H4216="","",H4216/1000000000)</x:f>
        <x:v>16.7</x:v>
      </x:c>
      <x:c r="R4216" s="13" t="n">
        <x:f>IF(I4216="","",I4216/1000000)</x:f>
        <x:v>203.65853658536585</x:v>
      </x:c>
    </x:row>
    <x:row r="4217" ht="21" customHeight="1">
      <x:c r="A4217" s="10" t="n">
        <x:v>5671</x:v>
      </x:c>
      <x:c r="B4217" s="2" t="str">
        <x:v>8e298d6d4b18466ddf30</x:v>
      </x:c>
      <x:c r="C4217" s="2" t="str">
        <x:v>Tp Hồ Chí Minh</x:v>
      </x:c>
      <x:c r="D4217" s="2" t="str">
        <x:v>Huyện Bình Chánh</x:v>
      </x:c>
      <x:c r="E4217" s="2" t="str">
        <x:v>house</x:v>
      </x:c>
      <x:c r="F4217" s="2" t="str">
        <x:v>sale_assumed</x:v>
      </x:c>
      <x:c r="G4217" s="11" t="n">
        <x:v>32</x:v>
      </x:c>
      <x:c r="H4217" s="12" t="n">
        <x:v>680000000</x:v>
      </x:c>
      <x:c r="I4217" s="12" t="n">
        <x:v>21250000</x:v>
      </x:c>
      <x:c r="J4217" s="2" t="str">
        <x:v>total</x:v>
      </x:c>
      <x:c r="K4217" s="2" t="str">
        <x:v>top_level_area</x:v>
      </x:c>
      <x:c r="L4217" s="2" t="str">
        <x:v>property_type_inferred_from_title;transaction_assumed_sale_from_dataset_context</x:v>
      </x:c>
      <x:c r="M4217" s="10" t="n">
        <x:v>0</x:v>
      </x:c>
      <x:c r="N4217" s="10" t="n">
        <x:v>0</x:v>
      </x:c>
      <x:c r="O4217" s="2" t="str">
        <x:v>Tp Hồ Chí Minh|house</x:v>
      </x:c>
      <x:c r="P4217" s="10" t="n">
        <x:v>2</x:v>
      </x:c>
      <x:c r="Q4217" s="13" t="n">
        <x:f>IF(H4217="","",H4217/1000000000)</x:f>
        <x:v>0.68</x:v>
      </x:c>
      <x:c r="R4217" s="13" t="n">
        <x:f>IF(I4217="","",I4217/1000000)</x:f>
        <x:v>21.25</x:v>
      </x:c>
    </x:row>
    <x:row r="4218" ht="21" customHeight="1">
      <x:c r="A4218" s="10" t="n">
        <x:v>5672</x:v>
      </x:c>
      <x:c r="B4218" s="2" t="str">
        <x:v>67b1138247dfb13e3a0c</x:v>
      </x:c>
      <x:c r="C4218" s="2" t="str">
        <x:v>Tp Hồ Chí Minh</x:v>
      </x:c>
      <x:c r="D4218" s="2" t="str">
        <x:v>Quận Tân Bình</x:v>
      </x:c>
      <x:c r="E4218" s="2" t="str">
        <x:v>other_unknown</x:v>
      </x:c>
      <x:c r="F4218" s="2" t="str">
        <x:v>sale_assumed</x:v>
      </x:c>
      <x:c r="G4218" s="11" t="n">
        <x:v>85</x:v>
      </x:c>
      <x:c r="H4218" s="12" t="n">
        <x:v>7700000000</x:v>
      </x:c>
      <x:c r="I4218" s="12" t="n">
        <x:v>90588235.29411764</x:v>
      </x:c>
      <x:c r="J4218" s="2" t="str">
        <x:v>total</x:v>
      </x:c>
      <x:c r="K4218" s="2" t="str">
        <x:v>top_level_area</x:v>
      </x:c>
      <x:c r="L4218" s="2" t="str">
        <x:v>property_type_inferred_from_title;transaction_assumed_sale_from_dataset_context;unknown_property_type</x:v>
      </x:c>
      <x:c r="M4218" s="10" t="n">
        <x:v>0</x:v>
      </x:c>
      <x:c r="N4218" s="10" t="n">
        <x:v>0</x:v>
      </x:c>
      <x:c r="O4218" s="2" t="str">
        <x:v>Tp Hồ Chí Minh|other_unknown</x:v>
      </x:c>
      <x:c r="P4218" s="10" t="n">
        <x:v>2</x:v>
      </x:c>
      <x:c r="Q4218" s="13" t="n">
        <x:f>IF(H4218="","",H4218/1000000000)</x:f>
        <x:v>7.7</x:v>
      </x:c>
      <x:c r="R4218" s="13" t="n">
        <x:f>IF(I4218="","",I4218/1000000)</x:f>
        <x:v>90.58823529411764</x:v>
      </x:c>
    </x:row>
    <x:row r="4219" ht="21" customHeight="1">
      <x:c r="A4219" s="10" t="n">
        <x:v>5673</x:v>
      </x:c>
      <x:c r="B4219" s="2" t="str">
        <x:v>9f8d55489b567829d035</x:v>
      </x:c>
      <x:c r="C4219" s="2" t="str">
        <x:v>Bình Phước</x:v>
      </x:c>
      <x:c r="D4219" s="2" t="str">
        <x:v>Huyện Chơn Thành</x:v>
      </x:c>
      <x:c r="E4219" s="2" t="str">
        <x:v>land</x:v>
      </x:c>
      <x:c r="F4219" s="2" t="str">
        <x:v>sale_assumed</x:v>
      </x:c>
      <x:c r="G4219" s="11" t="n">
        <x:v>1000</x:v>
      </x:c>
      <x:c r="H4219" s="12" t="n">
        <x:v>680000000</x:v>
      </x:c>
      <x:c r="I4219" s="12" t="n">
        <x:v>680000</x:v>
      </x:c>
      <x:c r="J4219" s="2" t="str">
        <x:v>total</x:v>
      </x:c>
      <x:c r="K4219" s="2" t="str">
        <x:v>top_level_area</x:v>
      </x:c>
      <x:c r="L4219" s="2" t="str">
        <x:v>dot_thousands_convention;property_type_inferred_from_title;transaction_assumed_sale_from_dataset_context</x:v>
      </x:c>
      <x:c r="M4219" s="10" t="n">
        <x:v>0</x:v>
      </x:c>
      <x:c r="N4219" s="10" t="n">
        <x:v>0</x:v>
      </x:c>
      <x:c r="O4219" s="2" t="str">
        <x:v>Bình Phước|land</x:v>
      </x:c>
      <x:c r="P4219" s="10" t="n">
        <x:v>1</x:v>
      </x:c>
      <x:c r="Q4219" s="13" t="n">
        <x:f>IF(H4219="","",H4219/1000000000)</x:f>
        <x:v>0.68</x:v>
      </x:c>
      <x:c r="R4219" s="13" t="n">
        <x:f>IF(I4219="","",I4219/1000000)</x:f>
        <x:v>0.68</x:v>
      </x:c>
    </x:row>
    <x:row r="4220" ht="21" customHeight="1">
      <x:c r="A4220" s="10" t="n">
        <x:v>5674</x:v>
      </x:c>
      <x:c r="B4220" s="2" t="str">
        <x:v>8368e81a2f676e9e144f</x:v>
      </x:c>
      <x:c r="C4220" s="2" t="str">
        <x:v>Cần Thơ</x:v>
      </x:c>
      <x:c r="D4220" s="2" t="str">
        <x:v>Quận Cái Răng</x:v>
      </x:c>
      <x:c r="E4220" s="2" t="str">
        <x:v>land</x:v>
      </x:c>
      <x:c r="F4220" s="2" t="str">
        <x:v>sale_assumed</x:v>
      </x:c>
      <x:c r="G4220" s="11" t="n">
        <x:v>80</x:v>
      </x:c>
      <x:c r="H4220" s="12" t="n">
        <x:v>196000000</x:v>
      </x:c>
      <x:c r="I4220" s="12" t="n">
        <x:v>2450000</x:v>
      </x:c>
      <x:c r="J4220" s="2" t="str">
        <x:v>total</x:v>
      </x:c>
      <x:c r="K4220" s="2" t="str">
        <x:v>top_level_area</x:v>
      </x:c>
      <x:c r="L4220" s="2" t="str">
        <x:v>property_type_inferred_from_title;transaction_assumed_sale_from_dataset_context</x:v>
      </x:c>
      <x:c r="M4220" s="10" t="n">
        <x:v>0</x:v>
      </x:c>
      <x:c r="N4220" s="10" t="n">
        <x:v>0</x:v>
      </x:c>
      <x:c r="O4220" s="2" t="str">
        <x:v>Cần Thơ|land</x:v>
      </x:c>
      <x:c r="P4220" s="10" t="n">
        <x:v>2</x:v>
      </x:c>
      <x:c r="Q4220" s="13" t="n">
        <x:f>IF(H4220="","",H4220/1000000000)</x:f>
        <x:v>0.196</x:v>
      </x:c>
      <x:c r="R4220" s="13" t="n">
        <x:f>IF(I4220="","",I4220/1000000)</x:f>
        <x:v>2.45</x:v>
      </x:c>
    </x:row>
    <x:row r="4221" ht="21" customHeight="1">
      <x:c r="A4221" s="10" t="n">
        <x:v>5675</x:v>
      </x:c>
      <x:c r="B4221" s="2" t="str">
        <x:v>666337aa9173229e4e29</x:v>
      </x:c>
      <x:c r="C4221" s="2" t="str">
        <x:v>Tp Hồ Chí Minh</x:v>
      </x:c>
      <x:c r="D4221" s="2" t="str">
        <x:v>Quận 7</x:v>
      </x:c>
      <x:c r="E4221" s="2" t="str">
        <x:v>land</x:v>
      </x:c>
      <x:c r="F4221" s="2" t="str">
        <x:v>sale</x:v>
      </x:c>
      <x:c r="G4221" s="11" t="n">
        <x:v>175</x:v>
      </x:c>
      <x:c r="H4221" s="12" t="n">
        <x:v>4420000000</x:v>
      </x:c>
      <x:c r="I4221" s="12" t="n">
        <x:v>25257142.85714286</x:v>
      </x:c>
      <x:c r="J4221" s="2" t="str">
        <x:v>total</x:v>
      </x:c>
      <x:c r="K4221" s="2" t="str">
        <x:v>top_level_area</x:v>
      </x:c>
      <x:c r="L4221" s="2" t="str">
        <x:v>property_type_inferred_from_title</x:v>
      </x:c>
      <x:c r="M4221" s="10" t="n">
        <x:v>0</x:v>
      </x:c>
      <x:c r="N4221" s="10" t="n">
        <x:v>0</x:v>
      </x:c>
      <x:c r="O4221" s="2" t="str">
        <x:v>Tp Hồ Chí Minh|land</x:v>
      </x:c>
      <x:c r="P4221" s="10" t="n">
        <x:v>2</x:v>
      </x:c>
      <x:c r="Q4221" s="13" t="n">
        <x:f>IF(H4221="","",H4221/1000000000)</x:f>
        <x:v>4.42</x:v>
      </x:c>
      <x:c r="R4221" s="13" t="n">
        <x:f>IF(I4221="","",I4221/1000000)</x:f>
        <x:v>25.25714285714286</x:v>
      </x:c>
    </x:row>
    <x:row r="4222" ht="21" customHeight="1">
      <x:c r="A4222" s="10" t="n">
        <x:v>5677</x:v>
      </x:c>
      <x:c r="B4222" s="2" t="str">
        <x:v>a2279c52d64fbd90d4b5</x:v>
      </x:c>
      <x:c r="C4222" s="2" t="str">
        <x:v>Tp Hồ Chí Minh</x:v>
      </x:c>
      <x:c r="D4222" s="2" t="str">
        <x:v>Quận 9</x:v>
      </x:c>
      <x:c r="E4222" s="2" t="str">
        <x:v>house</x:v>
      </x:c>
      <x:c r="F4222" s="2" t="str">
        <x:v>sale</x:v>
      </x:c>
      <x:c r="G4222" s="11" t="n">
        <x:v>59</x:v>
      </x:c>
      <x:c r="H4222" s="12" t="n">
        <x:v>2000000000</x:v>
      </x:c>
      <x:c r="I4222" s="12" t="n">
        <x:v>33898305.084745765</x:v>
      </x:c>
      <x:c r="J4222" s="2" t="str">
        <x:v>total</x:v>
      </x:c>
      <x:c r="K4222" s="2" t="str">
        <x:v>top_level_area</x:v>
      </x:c>
      <x:c r="L4222" s="2" t="str">
        <x:v>property_type_inferred_from_title</x:v>
      </x:c>
      <x:c r="M4222" s="10" t="n">
        <x:v>0</x:v>
      </x:c>
      <x:c r="N4222" s="10" t="n">
        <x:v>0</x:v>
      </x:c>
      <x:c r="O4222" s="2" t="str">
        <x:v>Tp Hồ Chí Minh|house</x:v>
      </x:c>
      <x:c r="P4222" s="10" t="n">
        <x:v>2</x:v>
      </x:c>
      <x:c r="Q4222" s="13" t="n">
        <x:f>IF(H4222="","",H4222/1000000000)</x:f>
        <x:v>2</x:v>
      </x:c>
      <x:c r="R4222" s="13" t="n">
        <x:f>IF(I4222="","",I4222/1000000)</x:f>
        <x:v>33.898305084745765</x:v>
      </x:c>
    </x:row>
    <x:row r="4223" ht="21" customHeight="1">
      <x:c r="A4223" s="10" t="n">
        <x:v>5678</x:v>
      </x:c>
      <x:c r="B4223" s="2" t="str">
        <x:v>48705717df9ae750fbba</x:v>
      </x:c>
      <x:c r="C4223" s="2" t="str">
        <x:v>Hà Nội</x:v>
      </x:c>
      <x:c r="D4223" s="2" t="str">
        <x:v>Quận Long Biên</x:v>
      </x:c>
      <x:c r="E4223" s="2" t="str">
        <x:v>house</x:v>
      </x:c>
      <x:c r="F4223" s="2" t="str">
        <x:v>sale_assumed</x:v>
      </x:c>
      <x:c r="G4223" s="11" t="n">
        <x:v>48</x:v>
      </x:c>
      <x:c r="H4223" s="12" t="n">
        <x:v>500000000</x:v>
      </x:c>
      <x:c r="I4223" s="12" t="n">
        <x:v>10416666.666666666</x:v>
      </x:c>
      <x:c r="J4223" s="2" t="str">
        <x:v>total</x:v>
      </x:c>
      <x:c r="K4223" s="2" t="str">
        <x:v>top_level_area</x:v>
      </x:c>
      <x:c r="L4223" s="2" t="str">
        <x:v>property_type_inferred_from_title;transaction_assumed_sale_from_dataset_context</x:v>
      </x:c>
      <x:c r="M4223" s="10" t="n">
        <x:v>0</x:v>
      </x:c>
      <x:c r="N4223" s="10" t="n">
        <x:v>0</x:v>
      </x:c>
      <x:c r="O4223" s="2" t="str">
        <x:v>Hà Nội|house</x:v>
      </x:c>
      <x:c r="P4223" s="10" t="n">
        <x:v>2</x:v>
      </x:c>
      <x:c r="Q4223" s="13" t="n">
        <x:f>IF(H4223="","",H4223/1000000000)</x:f>
        <x:v>0.5</x:v>
      </x:c>
      <x:c r="R4223" s="13" t="n">
        <x:f>IF(I4223="","",I4223/1000000)</x:f>
        <x:v>10.416666666666666</x:v>
      </x:c>
    </x:row>
    <x:row r="4224" ht="21" customHeight="1">
      <x:c r="A4224" s="10" t="n">
        <x:v>5679</x:v>
      </x:c>
      <x:c r="B4224" s="2" t="str">
        <x:v>236a1845062c44f48621</x:v>
      </x:c>
      <x:c r="C4224" s="2" t="str">
        <x:v>Bình Dương</x:v>
      </x:c>
      <x:c r="D4224" s="2" t="str">
        <x:v>Thị xã Dĩ An</x:v>
      </x:c>
      <x:c r="E4224" s="2" t="str">
        <x:v>house</x:v>
      </x:c>
      <x:c r="F4224" s="2" t="str">
        <x:v>sale_assumed</x:v>
      </x:c>
      <x:c r="G4224" s="11" t="n">
        <x:v>70</x:v>
      </x:c>
      <x:c r="H4224" s="12" t="n">
        <x:v>3450000000</x:v>
      </x:c>
      <x:c r="I4224" s="12" t="n">
        <x:v>49285714.28571428</x:v>
      </x:c>
      <x:c r="J4224" s="2" t="str">
        <x:v>total</x:v>
      </x:c>
      <x:c r="K4224" s="2" t="str">
        <x:v>top_level_area</x:v>
      </x:c>
      <x:c r="L4224" s="2" t="str">
        <x:v>property_type_inferred_from_title;transaction_assumed_sale_from_dataset_context</x:v>
      </x:c>
      <x:c r="M4224" s="10" t="n">
        <x:v>0</x:v>
      </x:c>
      <x:c r="N4224" s="10" t="n">
        <x:v>0</x:v>
      </x:c>
      <x:c r="O4224" s="2" t="str">
        <x:v>Bình Dương|house</x:v>
      </x:c>
      <x:c r="P4224" s="10" t="n">
        <x:v>2</x:v>
      </x:c>
      <x:c r="Q4224" s="13" t="n">
        <x:f>IF(H4224="","",H4224/1000000000)</x:f>
        <x:v>3.45</x:v>
      </x:c>
      <x:c r="R4224" s="13" t="n">
        <x:f>IF(I4224="","",I4224/1000000)</x:f>
        <x:v>49.285714285714285</x:v>
      </x:c>
    </x:row>
    <x:row r="4225" ht="21" customHeight="1">
      <x:c r="A4225" s="10" t="n">
        <x:v>5680</x:v>
      </x:c>
      <x:c r="B4225" s="2" t="str">
        <x:v>3462153f976f018d99ea</x:v>
      </x:c>
      <x:c r="C4225" s="2" t="str">
        <x:v>Đà Nẵng</x:v>
      </x:c>
      <x:c r="D4225" s="2" t="str">
        <x:v>Huyện Hòa Vang</x:v>
      </x:c>
      <x:c r="E4225" s="2" t="str">
        <x:v>land</x:v>
      </x:c>
      <x:c r="F4225" s="2" t="str">
        <x:v>sale_assumed</x:v>
      </x:c>
      <x:c r="G4225" s="11" t="n">
        <x:v>200</x:v>
      </x:c>
      <x:c r="H4225" s="12" t="n">
        <x:v>800000000</x:v>
      </x:c>
      <x:c r="I4225" s="12" t="n">
        <x:v>4000000</x:v>
      </x:c>
      <x:c r="J4225" s="2" t="str">
        <x:v>total</x:v>
      </x:c>
      <x:c r="K4225" s="2" t="str">
        <x:v>top_level_area</x:v>
      </x:c>
      <x:c r="L4225" s="2" t="str">
        <x:v>property_type_inferred_from_title;transaction_assumed_sale_from_dataset_context</x:v>
      </x:c>
      <x:c r="M4225" s="10" t="n">
        <x:v>0</x:v>
      </x:c>
      <x:c r="N4225" s="10" t="n">
        <x:v>0</x:v>
      </x:c>
      <x:c r="O4225" s="2" t="str">
        <x:v>Đà Nẵng|land</x:v>
      </x:c>
      <x:c r="P4225" s="10" t="n">
        <x:v>1</x:v>
      </x:c>
      <x:c r="Q4225" s="13" t="n">
        <x:f>IF(H4225="","",H4225/1000000000)</x:f>
        <x:v>0.8</x:v>
      </x:c>
      <x:c r="R4225" s="13" t="n">
        <x:f>IF(I4225="","",I4225/1000000)</x:f>
        <x:v>4</x:v>
      </x:c>
    </x:row>
    <x:row r="4226" ht="21" customHeight="1">
      <x:c r="A4226" s="10" t="n">
        <x:v>5681</x:v>
      </x:c>
      <x:c r="B4226" s="2" t="str">
        <x:v>124491471e5e54676f7d</x:v>
      </x:c>
      <x:c r="C4226" s="2" t="str">
        <x:v>Đắk Lắk</x:v>
      </x:c>
      <x:c r="D4226" s="2" t="str">
        <x:v>Thành phố Buôn Ma Thuột</x:v>
      </x:c>
      <x:c r="E4226" s="2" t="str">
        <x:v>land</x:v>
      </x:c>
      <x:c r="F4226" s="2" t="str">
        <x:v>sale_assumed</x:v>
      </x:c>
      <x:c r="G4226" s="11" t="n">
        <x:v>125</x:v>
      </x:c>
      <x:c r="H4226" s="12" t="n">
        <x:v>1080000000</x:v>
      </x:c>
      <x:c r="I4226" s="12" t="n">
        <x:v>8640000</x:v>
      </x:c>
      <x:c r="J4226" s="2" t="str">
        <x:v>total</x:v>
      </x:c>
      <x:c r="K4226" s="2" t="str">
        <x:v>top_level_area</x:v>
      </x:c>
      <x:c r="L4226" s="2" t="str">
        <x:v>property_type_inferred_from_title;transaction_assumed_sale_from_dataset_context</x:v>
      </x:c>
      <x:c r="M4226" s="10" t="n">
        <x:v>0</x:v>
      </x:c>
      <x:c r="N4226" s="10" t="n">
        <x:v>0</x:v>
      </x:c>
      <x:c r="O4226" s="2" t="str">
        <x:v>Đắk Lắk|land</x:v>
      </x:c>
      <x:c r="P4226" s="10" t="n">
        <x:v>2</x:v>
      </x:c>
      <x:c r="Q4226" s="13" t="n">
        <x:f>IF(H4226="","",H4226/1000000000)</x:f>
        <x:v>1.08</x:v>
      </x:c>
      <x:c r="R4226" s="13" t="n">
        <x:f>IF(I4226="","",I4226/1000000)</x:f>
        <x:v>8.64</x:v>
      </x:c>
    </x:row>
    <x:row r="4227" ht="21" customHeight="1">
      <x:c r="A4227" s="10" t="n">
        <x:v>5682</x:v>
      </x:c>
      <x:c r="B4227" s="2" t="str">
        <x:v>b2769c99d8e420b9c094</x:v>
      </x:c>
      <x:c r="C4227" s="2" t="str">
        <x:v>Hà Nội</x:v>
      </x:c>
      <x:c r="D4227" s="2" t="str">
        <x:v>Quận Long Biên</x:v>
      </x:c>
      <x:c r="E4227" s="2" t="str">
        <x:v>house</x:v>
      </x:c>
      <x:c r="F4227" s="2" t="str">
        <x:v>sale</x:v>
      </x:c>
      <x:c r="G4227" s="11" t="n">
        <x:v>62</x:v>
      </x:c>
      <x:c r="H4227" s="12" t="n">
        <x:v>4000000000</x:v>
      </x:c>
      <x:c r="I4227" s="12" t="n">
        <x:v>64516129.03225806</x:v>
      </x:c>
      <x:c r="J4227" s="2" t="str">
        <x:v>total</x:v>
      </x:c>
      <x:c r="K4227" s="2" t="str">
        <x:v>top_level_area</x:v>
      </x:c>
      <x:c r="L4227" s="2" t="str">
        <x:v>property_type_inferred_from_title</x:v>
      </x:c>
      <x:c r="M4227" s="10" t="n">
        <x:v>0</x:v>
      </x:c>
      <x:c r="N4227" s="10" t="n">
        <x:v>0</x:v>
      </x:c>
      <x:c r="O4227" s="2" t="str">
        <x:v>Hà Nội|house</x:v>
      </x:c>
      <x:c r="P4227" s="10" t="n">
        <x:v>2</x:v>
      </x:c>
      <x:c r="Q4227" s="13" t="n">
        <x:f>IF(H4227="","",H4227/1000000000)</x:f>
        <x:v>4</x:v>
      </x:c>
      <x:c r="R4227" s="13" t="n">
        <x:f>IF(I4227="","",I4227/1000000)</x:f>
        <x:v>64.51612903225806</x:v>
      </x:c>
    </x:row>
    <x:row r="4228" ht="21" customHeight="1">
      <x:c r="A4228" s="10" t="n">
        <x:v>5683</x:v>
      </x:c>
      <x:c r="B4228" s="2" t="str">
        <x:v>5c6e0cf4d11c34005510</x:v>
      </x:c>
      <x:c r="C4228" s="2" t="str">
        <x:v>Đắk Lắk</x:v>
      </x:c>
      <x:c r="D4228" s="2" t="str">
        <x:v>Thành phố Buôn Ma Thuột</x:v>
      </x:c>
      <x:c r="E4228" s="2" t="str">
        <x:v>land</x:v>
      </x:c>
      <x:c r="F4228" s="2" t="str">
        <x:v>sale_assumed</x:v>
      </x:c>
      <x:c r="G4228" s="11" t="n">
        <x:v>110</x:v>
      </x:c>
      <x:c r="H4228" s="12" t="n">
        <x:v>1050000000</x:v>
      </x:c>
      <x:c r="I4228" s="12" t="n">
        <x:v>9545454.545454545</x:v>
      </x:c>
      <x:c r="J4228" s="2" t="str">
        <x:v>total</x:v>
      </x:c>
      <x:c r="K4228" s="2" t="str">
        <x:v>top_level_area</x:v>
      </x:c>
      <x:c r="L4228" s="2" t="str">
        <x:v>property_type_inferred_from_title;transaction_assumed_sale_from_dataset_context</x:v>
      </x:c>
      <x:c r="M4228" s="10" t="n">
        <x:v>0</x:v>
      </x:c>
      <x:c r="N4228" s="10" t="n">
        <x:v>0</x:v>
      </x:c>
      <x:c r="O4228" s="2" t="str">
        <x:v>Đắk Lắk|land</x:v>
      </x:c>
      <x:c r="P4228" s="10" t="n">
        <x:v>2</x:v>
      </x:c>
      <x:c r="Q4228" s="13" t="n">
        <x:f>IF(H4228="","",H4228/1000000000)</x:f>
        <x:v>1.05</x:v>
      </x:c>
      <x:c r="R4228" s="13" t="n">
        <x:f>IF(I4228="","",I4228/1000000)</x:f>
        <x:v>9.545454545454545</x:v>
      </x:c>
    </x:row>
    <x:row r="4229" ht="21" customHeight="1">
      <x:c r="A4229" s="10" t="n">
        <x:v>5684</x:v>
      </x:c>
      <x:c r="B4229" s="2" t="str">
        <x:v>f4cbe87d0bb47f78f4b3</x:v>
      </x:c>
      <x:c r="C4229" s="2" t="str">
        <x:v>Bình Thuận</x:v>
      </x:c>
      <x:c r="D4229" s="2" t="str">
        <x:v>Huyện Bắc Bình</x:v>
      </x:c>
      <x:c r="E4229" s="2" t="str">
        <x:v>land</x:v>
      </x:c>
      <x:c r="F4229" s="2" t="str">
        <x:v>sale_assumed</x:v>
      </x:c>
      <x:c r="G4229" s="11" t="n">
        <x:v>3315</x:v>
      </x:c>
      <x:c r="H4229" s="12" t="n">
        <x:v>265000000</x:v>
      </x:c>
      <x:c r="I4229" s="12" t="n">
        <x:v>79939.6681749623</x:v>
      </x:c>
      <x:c r="J4229" s="2" t="str">
        <x:v>total</x:v>
      </x:c>
      <x:c r="K4229" s="2" t="str">
        <x:v>top_level_area</x:v>
      </x:c>
      <x:c r="L4229" s="2" t="str">
        <x:v>dot_thousands_convention;property_type_inferred_from_title;transaction_assumed_sale_from_dataset_context</x:v>
      </x:c>
      <x:c r="M4229" s="10" t="n">
        <x:v>0</x:v>
      </x:c>
      <x:c r="N4229" s="10" t="n">
        <x:v>0</x:v>
      </x:c>
      <x:c r="O4229" s="2" t="str">
        <x:v>land</x:v>
      </x:c>
      <x:c r="P4229" s="10" t="n">
        <x:v>1</x:v>
      </x:c>
      <x:c r="Q4229" s="13" t="n">
        <x:f>IF(H4229="","",H4229/1000000000)</x:f>
        <x:v>0.265</x:v>
      </x:c>
      <x:c r="R4229" s="13" t="n">
        <x:f>IF(I4229="","",I4229/1000000)</x:f>
        <x:v>0.0799396681749623</x:v>
      </x:c>
    </x:row>
    <x:row r="4230" ht="21" customHeight="1">
      <x:c r="A4230" s="10" t="n">
        <x:v>5685</x:v>
      </x:c>
      <x:c r="B4230" s="2" t="str">
        <x:v>80c17e55f4f28f945ccf</x:v>
      </x:c>
      <x:c r="C4230" s="2" t="str">
        <x:v>Cần Thơ</x:v>
      </x:c>
      <x:c r="D4230" s="2" t="str">
        <x:v>Quận Bình Thuỷ</x:v>
      </x:c>
      <x:c r="E4230" s="2" t="str">
        <x:v>land</x:v>
      </x:c>
      <x:c r="F4230" s="2" t="str">
        <x:v>sale_assumed</x:v>
      </x:c>
      <x:c r="G4230" s="11" t="n">
        <x:v>65</x:v>
      </x:c>
      <x:c r="H4230" s="12" t="n">
        <x:v>430000000</x:v>
      </x:c>
      <x:c r="I4230" s="12" t="n">
        <x:v>6615384.615384615</x:v>
      </x:c>
      <x:c r="J4230" s="2" t="str">
        <x:v>total</x:v>
      </x:c>
      <x:c r="K4230" s="2" t="str">
        <x:v>top_level_area</x:v>
      </x:c>
      <x:c r="L4230" s="2" t="str">
        <x:v>property_type_inferred_from_title;transaction_assumed_sale_from_dataset_context</x:v>
      </x:c>
      <x:c r="M4230" s="10" t="n">
        <x:v>0</x:v>
      </x:c>
      <x:c r="N4230" s="10" t="n">
        <x:v>0</x:v>
      </x:c>
      <x:c r="O4230" s="2" t="str">
        <x:v>Cần Thơ|land</x:v>
      </x:c>
      <x:c r="P4230" s="10" t="n">
        <x:v>2</x:v>
      </x:c>
      <x:c r="Q4230" s="13" t="n">
        <x:f>IF(H4230="","",H4230/1000000000)</x:f>
        <x:v>0.43</x:v>
      </x:c>
      <x:c r="R4230" s="13" t="n">
        <x:f>IF(I4230="","",I4230/1000000)</x:f>
        <x:v>6.615384615384615</x:v>
      </x:c>
    </x:row>
    <x:row r="4231" ht="21" customHeight="1">
      <x:c r="A4231" s="10" t="n">
        <x:v>5686</x:v>
      </x:c>
      <x:c r="B4231" s="2" t="str">
        <x:v>a7fb0f9ee4ab97982c21</x:v>
      </x:c>
      <x:c r="C4231" s="2" t="str">
        <x:v>Cần Thơ</x:v>
      </x:c>
      <x:c r="D4231" s="2" t="str">
        <x:v>Quận Ninh Kiều</x:v>
      </x:c>
      <x:c r="E4231" s="2" t="str">
        <x:v>house</x:v>
      </x:c>
      <x:c r="F4231" s="2" t="str">
        <x:v>sale</x:v>
      </x:c>
      <x:c r="G4231" s="11" t="n">
        <x:v>40</x:v>
      </x:c>
      <x:c r="H4231" s="12" t="n">
        <x:v>2550000000</x:v>
      </x:c>
      <x:c r="I4231" s="12" t="n">
        <x:v>63750000</x:v>
      </x:c>
      <x:c r="J4231" s="2" t="str">
        <x:v>total</x:v>
      </x:c>
      <x:c r="K4231" s="2" t="str">
        <x:v>top_level_area</x:v>
      </x:c>
      <x:c r="L4231" s="2" t="str">
        <x:v>property_type_inferred_from_title</x:v>
      </x:c>
      <x:c r="M4231" s="10" t="n">
        <x:v>0</x:v>
      </x:c>
      <x:c r="N4231" s="10" t="n">
        <x:v>0</x:v>
      </x:c>
      <x:c r="O4231" s="2" t="str">
        <x:v>Cần Thơ|house</x:v>
      </x:c>
      <x:c r="P4231" s="10" t="n">
        <x:v>2</x:v>
      </x:c>
      <x:c r="Q4231" s="13" t="n">
        <x:f>IF(H4231="","",H4231/1000000000)</x:f>
        <x:v>2.55</x:v>
      </x:c>
      <x:c r="R4231" s="13" t="n">
        <x:f>IF(I4231="","",I4231/1000000)</x:f>
        <x:v>63.75</x:v>
      </x:c>
    </x:row>
    <x:row r="4232" ht="21" customHeight="1">
      <x:c r="A4232" s="10" t="n">
        <x:v>5687</x:v>
      </x:c>
      <x:c r="B4232" s="2" t="str">
        <x:v>c86d2bad7735d312aa18</x:v>
      </x:c>
      <x:c r="C4232" s="2" t="str">
        <x:v>Tp Hồ Chí Minh</x:v>
      </x:c>
      <x:c r="D4232" s="2" t="str">
        <x:v>Quận Tân Phú</x:v>
      </x:c>
      <x:c r="E4232" s="2" t="str">
        <x:v>house</x:v>
      </x:c>
      <x:c r="F4232" s="2" t="str">
        <x:v>sale_assumed</x:v>
      </x:c>
      <x:c r="G4232" s="11" t="n">
        <x:v>100</x:v>
      </x:c>
      <x:c r="H4232" s="12" t="n">
        <x:v>7100000000</x:v>
      </x:c>
      <x:c r="I4232" s="12" t="n">
        <x:v>71000000</x:v>
      </x:c>
      <x:c r="J4232" s="2" t="str">
        <x:v>total</x:v>
      </x:c>
      <x:c r="K4232" s="2" t="str">
        <x:v>top_level_area</x:v>
      </x:c>
      <x:c r="L4232" s="2" t="str">
        <x:v>property_type_inferred_from_title;transaction_assumed_sale_from_dataset_context</x:v>
      </x:c>
      <x:c r="M4232" s="10" t="n">
        <x:v>0</x:v>
      </x:c>
      <x:c r="N4232" s="10" t="n">
        <x:v>0</x:v>
      </x:c>
      <x:c r="O4232" s="2" t="str">
        <x:v>Tp Hồ Chí Minh|house</x:v>
      </x:c>
      <x:c r="P4232" s="10" t="n">
        <x:v>2</x:v>
      </x:c>
      <x:c r="Q4232" s="13" t="n">
        <x:f>IF(H4232="","",H4232/1000000000)</x:f>
        <x:v>7.1</x:v>
      </x:c>
      <x:c r="R4232" s="13" t="n">
        <x:f>IF(I4232="","",I4232/1000000)</x:f>
        <x:v>71</x:v>
      </x:c>
    </x:row>
    <x:row r="4233" ht="21" customHeight="1">
      <x:c r="A4233" s="10" t="n">
        <x:v>5688</x:v>
      </x:c>
      <x:c r="B4233" s="2" t="str">
        <x:v>186780c86b3a7e798832</x:v>
      </x:c>
      <x:c r="C4233" s="2" t="str">
        <x:v>Cần Thơ</x:v>
      </x:c>
      <x:c r="D4233" s="2" t="str">
        <x:v>Quận Ninh Kiều</x:v>
      </x:c>
      <x:c r="E4233" s="2" t="str">
        <x:v>house</x:v>
      </x:c>
      <x:c r="F4233" s="2" t="str">
        <x:v>sale</x:v>
      </x:c>
      <x:c r="G4233" s="11" t="n">
        <x:v>40</x:v>
      </x:c>
      <x:c r="H4233" s="12" t="n">
        <x:v>2390000000</x:v>
      </x:c>
      <x:c r="I4233" s="12" t="n">
        <x:v>59750000</x:v>
      </x:c>
      <x:c r="J4233" s="2" t="str">
        <x:v>total</x:v>
      </x:c>
      <x:c r="K4233" s="2" t="str">
        <x:v>top_level_area</x:v>
      </x:c>
      <x:c r="L4233" s="2" t="str">
        <x:v>property_type_inferred_from_title</x:v>
      </x:c>
      <x:c r="M4233" s="10" t="n">
        <x:v>0</x:v>
      </x:c>
      <x:c r="N4233" s="10" t="n">
        <x:v>0</x:v>
      </x:c>
      <x:c r="O4233" s="2" t="str">
        <x:v>Cần Thơ|house</x:v>
      </x:c>
      <x:c r="P4233" s="10" t="n">
        <x:v>2</x:v>
      </x:c>
      <x:c r="Q4233" s="13" t="n">
        <x:f>IF(H4233="","",H4233/1000000000)</x:f>
        <x:v>2.39</x:v>
      </x:c>
      <x:c r="R4233" s="13" t="n">
        <x:f>IF(I4233="","",I4233/1000000)</x:f>
        <x:v>59.75</x:v>
      </x:c>
    </x:row>
    <x:row r="4234" ht="21" customHeight="1">
      <x:c r="A4234" s="10" t="n">
        <x:v>5689</x:v>
      </x:c>
      <x:c r="B4234" s="2" t="str">
        <x:v>117fb6d27e48f86d6f24</x:v>
      </x:c>
      <x:c r="C4234" s="2" t="str">
        <x:v>Đắk Lắk</x:v>
      </x:c>
      <x:c r="D4234" s="2" t="str">
        <x:v>Thành phố Buôn Ma Thuột</x:v>
      </x:c>
      <x:c r="E4234" s="2" t="str">
        <x:v>land</x:v>
      </x:c>
      <x:c r="F4234" s="2" t="str">
        <x:v>sale_assumed</x:v>
      </x:c>
      <x:c r="G4234" s="11" t="n">
        <x:v>200</x:v>
      </x:c>
      <x:c r="H4234" s="12" t="n">
        <x:v>600000000</x:v>
      </x:c>
      <x:c r="I4234" s="12" t="n">
        <x:v>3000000</x:v>
      </x:c>
      <x:c r="J4234" s="2" t="str">
        <x:v>total</x:v>
      </x:c>
      <x:c r="K4234" s="2" t="str">
        <x:v>top_level_area</x:v>
      </x:c>
      <x:c r="L4234" s="2" t="str">
        <x:v>property_type_inferred_from_title;transaction_assumed_sale_from_dataset_context</x:v>
      </x:c>
      <x:c r="M4234" s="10" t="n">
        <x:v>0</x:v>
      </x:c>
      <x:c r="N4234" s="10" t="n">
        <x:v>0</x:v>
      </x:c>
      <x:c r="O4234" s="2" t="str">
        <x:v>Đắk Lắk|land</x:v>
      </x:c>
      <x:c r="P4234" s="10" t="n">
        <x:v>1</x:v>
      </x:c>
      <x:c r="Q4234" s="13" t="n">
        <x:f>IF(H4234="","",H4234/1000000000)</x:f>
        <x:v>0.6</x:v>
      </x:c>
      <x:c r="R4234" s="13" t="n">
        <x:f>IF(I4234="","",I4234/1000000)</x:f>
        <x:v>3</x:v>
      </x:c>
    </x:row>
    <x:row r="4235" ht="21" customHeight="1">
      <x:c r="A4235" s="10" t="n">
        <x:v>5690</x:v>
      </x:c>
      <x:c r="B4235" s="2" t="str">
        <x:v>b5828b5c5bdfc259c2ba</x:v>
      </x:c>
      <x:c r="C4235" s="2" t="str">
        <x:v>Tp Hồ Chí Minh</x:v>
      </x:c>
      <x:c r="D4235" s="2" t="str">
        <x:v>Quận Tân Bình</x:v>
      </x:c>
      <x:c r="E4235" s="2" t="str">
        <x:v>other_unknown</x:v>
      </x:c>
      <x:c r="F4235" s="2" t="str">
        <x:v>sale_assumed</x:v>
      </x:c>
      <x:c r="G4235" s="11" t="n">
        <x:v>48</x:v>
      </x:c>
      <x:c r="H4235" s="12" t="n">
        <x:v>3900000000</x:v>
      </x:c>
      <x:c r="I4235" s="12" t="n">
        <x:v>81250000</x:v>
      </x:c>
      <x:c r="J4235" s="2" t="str">
        <x:v>total</x:v>
      </x:c>
      <x:c r="K4235" s="2" t="str">
        <x:v>top_level_area</x:v>
      </x:c>
      <x:c r="L4235" s="2" t="str">
        <x:v>property_type_inferred_from_title;transaction_assumed_sale_from_dataset_context;unknown_property_type</x:v>
      </x:c>
      <x:c r="M4235" s="10" t="n">
        <x:v>0</x:v>
      </x:c>
      <x:c r="N4235" s="10" t="n">
        <x:v>0</x:v>
      </x:c>
      <x:c r="O4235" s="2" t="str">
        <x:v>Tp Hồ Chí Minh|other_unknown</x:v>
      </x:c>
      <x:c r="P4235" s="10" t="n">
        <x:v>2</x:v>
      </x:c>
      <x:c r="Q4235" s="13" t="n">
        <x:f>IF(H4235="","",H4235/1000000000)</x:f>
        <x:v>3.9</x:v>
      </x:c>
      <x:c r="R4235" s="13" t="n">
        <x:f>IF(I4235="","",I4235/1000000)</x:f>
        <x:v>81.25</x:v>
      </x:c>
    </x:row>
    <x:row r="4236" ht="21" customHeight="1">
      <x:c r="A4236" s="10" t="n">
        <x:v>5693</x:v>
      </x:c>
      <x:c r="B4236" s="2" t="str">
        <x:v>96640a0fe061ccd2454e</x:v>
      </x:c>
      <x:c r="C4236" s="2" t="str">
        <x:v>Tp Hồ Chí Minh</x:v>
      </x:c>
      <x:c r="D4236" s="2" t="str">
        <x:v>Quận 8</x:v>
      </x:c>
      <x:c r="E4236" s="2" t="str">
        <x:v>other_unknown</x:v>
      </x:c>
      <x:c r="F4236" s="2" t="str">
        <x:v>sale_assumed</x:v>
      </x:c>
      <x:c r="G4236" s="11" t="n">
        <x:v>55</x:v>
      </x:c>
      <x:c r="H4236" s="12" t="n">
        <x:v>8100000000</x:v>
      </x:c>
      <x:c r="I4236" s="12" t="n">
        <x:v>147272727.27272728</x:v>
      </x:c>
      <x:c r="J4236" s="2" t="str">
        <x:v>total</x:v>
      </x:c>
      <x:c r="K4236" s="2" t="str">
        <x:v>top_level_area</x:v>
      </x:c>
      <x:c r="L4236" s="2" t="str">
        <x:v>property_type_inferred_from_title;transaction_assumed_sale_from_dataset_context;unknown_property_type</x:v>
      </x:c>
      <x:c r="M4236" s="10" t="n">
        <x:v>0</x:v>
      </x:c>
      <x:c r="N4236" s="10" t="n">
        <x:v>0</x:v>
      </x:c>
      <x:c r="O4236" s="2" t="str">
        <x:v>Tp Hồ Chí Minh|other_unknown</x:v>
      </x:c>
      <x:c r="P4236" s="10" t="n">
        <x:v>2</x:v>
      </x:c>
      <x:c r="Q4236" s="13" t="n">
        <x:f>IF(H4236="","",H4236/1000000000)</x:f>
        <x:v>8.1</x:v>
      </x:c>
      <x:c r="R4236" s="13" t="n">
        <x:f>IF(I4236="","",I4236/1000000)</x:f>
        <x:v>147.27272727272728</x:v>
      </x:c>
    </x:row>
    <x:row r="4237" ht="21" customHeight="1">
      <x:c r="A4237" s="10" t="n">
        <x:v>5694</x:v>
      </x:c>
      <x:c r="B4237" s="2" t="str">
        <x:v>67c21e215939ed3dbe5d</x:v>
      </x:c>
      <x:c r="C4237" s="2" t="str">
        <x:v>Tp Hồ Chí Minh</x:v>
      </x:c>
      <x:c r="D4237" s="2" t="str">
        <x:v>Huyện Bình Chánh</x:v>
      </x:c>
      <x:c r="E4237" s="2" t="str">
        <x:v>other_unknown</x:v>
      </x:c>
      <x:c r="F4237" s="2" t="str">
        <x:v>sale_assumed</x:v>
      </x:c>
      <x:c r="G4237" s="11" t="n">
        <x:v>100</x:v>
      </x:c>
      <x:c r="H4237" s="12" t="n">
        <x:v>1800000000</x:v>
      </x:c>
      <x:c r="I4237" s="12" t="n">
        <x:v>18000000</x:v>
      </x:c>
      <x:c r="J4237" s="2" t="str">
        <x:v>total</x:v>
      </x:c>
      <x:c r="K4237" s="2" t="str">
        <x:v>top_level_area</x:v>
      </x:c>
      <x:c r="L4237" s="2" t="str">
        <x:v>property_type_inferred_from_title;transaction_assumed_sale_from_dataset_context;unknown_property_type</x:v>
      </x:c>
      <x:c r="M4237" s="10" t="n">
        <x:v>0</x:v>
      </x:c>
      <x:c r="N4237" s="10" t="n">
        <x:v>0</x:v>
      </x:c>
      <x:c r="O4237" s="2" t="str">
        <x:v>Tp Hồ Chí Minh|other_unknown</x:v>
      </x:c>
      <x:c r="P4237" s="10" t="n">
        <x:v>2</x:v>
      </x:c>
      <x:c r="Q4237" s="13" t="n">
        <x:f>IF(H4237="","",H4237/1000000000)</x:f>
        <x:v>1.8</x:v>
      </x:c>
      <x:c r="R4237" s="13" t="n">
        <x:f>IF(I4237="","",I4237/1000000)</x:f>
        <x:v>18</x:v>
      </x:c>
    </x:row>
    <x:row r="4238" ht="21" customHeight="1">
      <x:c r="A4238" s="10" t="n">
        <x:v>5695</x:v>
      </x:c>
      <x:c r="B4238" s="2" t="str">
        <x:v>bd56845d05ea68cf1f7f</x:v>
      </x:c>
      <x:c r="C4238" s="2" t="str">
        <x:v>Đà Nẵng</x:v>
      </x:c>
      <x:c r="D4238" s="2" t="str">
        <x:v>Quận Ngũ Hành Sơn</x:v>
      </x:c>
      <x:c r="E4238" s="2" t="str">
        <x:v>other_unknown</x:v>
      </x:c>
      <x:c r="F4238" s="2" t="str">
        <x:v>sale_assumed</x:v>
      </x:c>
      <x:c r="G4238" s="11" t="n">
        <x:v>108</x:v>
      </x:c>
      <x:c r="H4238" s="12" t="n">
        <x:v>2500000000</x:v>
      </x:c>
      <x:c r="I4238" s="12" t="n">
        <x:v>23148148.14814815</x:v>
      </x:c>
      <x:c r="J4238" s="2" t="str">
        <x:v>total</x:v>
      </x:c>
      <x:c r="K4238" s="2" t="str">
        <x:v>top_level_area</x:v>
      </x:c>
      <x:c r="L4238" s="2" t="str">
        <x:v>property_type_inferred_from_title;transaction_assumed_sale_from_dataset_context;unknown_property_type</x:v>
      </x:c>
      <x:c r="M4238" s="10" t="n">
        <x:v>0</x:v>
      </x:c>
      <x:c r="N4238" s="10" t="n">
        <x:v>0</x:v>
      </x:c>
      <x:c r="O4238" s="2" t="str">
        <x:v>Đà Nẵng|other_unknown</x:v>
      </x:c>
      <x:c r="P4238" s="10" t="n">
        <x:v>2</x:v>
      </x:c>
      <x:c r="Q4238" s="13" t="n">
        <x:f>IF(H4238="","",H4238/1000000000)</x:f>
        <x:v>2.5</x:v>
      </x:c>
      <x:c r="R4238" s="13" t="n">
        <x:f>IF(I4238="","",I4238/1000000)</x:f>
        <x:v>23.14814814814815</x:v>
      </x:c>
    </x:row>
    <x:row r="4239" ht="21" customHeight="1">
      <x:c r="A4239" s="10" t="n">
        <x:v>5696</x:v>
      </x:c>
      <x:c r="B4239" s="2" t="str">
        <x:v>a6e8abad29d3d8d08cae</x:v>
      </x:c>
      <x:c r="C4239" s="2" t="str">
        <x:v>Hà Nội</x:v>
      </x:c>
      <x:c r="D4239" s="2" t="str">
        <x:v>Quận Hà Đông</x:v>
      </x:c>
      <x:c r="E4239" s="2" t="str">
        <x:v>land</x:v>
      </x:c>
      <x:c r="F4239" s="2" t="str">
        <x:v>sale_assumed</x:v>
      </x:c>
      <x:c r="G4239" s="11" t="n">
        <x:v>50</x:v>
      </x:c>
      <x:c r="H4239" s="12" t="n">
        <x:v>3500000000</x:v>
      </x:c>
      <x:c r="I4239" s="12" t="n">
        <x:v>70000000</x:v>
      </x:c>
      <x:c r="J4239" s="2" t="str">
        <x:v>total</x:v>
      </x:c>
      <x:c r="K4239" s="2" t="str">
        <x:v>top_level_area</x:v>
      </x:c>
      <x:c r="L4239" s="2" t="str">
        <x:v>property_type_inferred_from_title;transaction_assumed_sale_from_dataset_context</x:v>
      </x:c>
      <x:c r="M4239" s="10" t="n">
        <x:v>0</x:v>
      </x:c>
      <x:c r="N4239" s="10" t="n">
        <x:v>0</x:v>
      </x:c>
      <x:c r="O4239" s="2" t="str">
        <x:v>Hà Nội|land</x:v>
      </x:c>
      <x:c r="P4239" s="10" t="n">
        <x:v>2</x:v>
      </x:c>
      <x:c r="Q4239" s="13" t="n">
        <x:f>IF(H4239="","",H4239/1000000000)</x:f>
        <x:v>3.5</x:v>
      </x:c>
      <x:c r="R4239" s="13" t="n">
        <x:f>IF(I4239="","",I4239/1000000)</x:f>
        <x:v>70</x:v>
      </x:c>
    </x:row>
    <x:row r="4240" ht="21" customHeight="1">
      <x:c r="A4240" s="10" t="n">
        <x:v>5697</x:v>
      </x:c>
      <x:c r="B4240" s="2" t="str">
        <x:v>ce5535140972da205472</x:v>
      </x:c>
      <x:c r="C4240" s="2" t="str">
        <x:v>Đà Nẵng</x:v>
      </x:c>
      <x:c r="D4240" s="2" t="str">
        <x:v>Quận Hải Châu</x:v>
      </x:c>
      <x:c r="E4240" s="2" t="str">
        <x:v>house</x:v>
      </x:c>
      <x:c r="F4240" s="2" t="str">
        <x:v>sale</x:v>
      </x:c>
      <x:c r="G4240" s="11" t="n">
        <x:v>60</x:v>
      </x:c>
      <x:c r="H4240" s="12" t="n">
        <x:v>4490000000</x:v>
      </x:c>
      <x:c r="I4240" s="12" t="n">
        <x:v>74833333.33333333</x:v>
      </x:c>
      <x:c r="J4240" s="2" t="str">
        <x:v>total</x:v>
      </x:c>
      <x:c r="K4240" s="2" t="str">
        <x:v>top_level_area</x:v>
      </x:c>
      <x:c r="L4240" s="2" t="str">
        <x:v>property_type_inferred_from_title</x:v>
      </x:c>
      <x:c r="M4240" s="10" t="n">
        <x:v>0</x:v>
      </x:c>
      <x:c r="N4240" s="10" t="n">
        <x:v>0</x:v>
      </x:c>
      <x:c r="O4240" s="2" t="str">
        <x:v>Đà Nẵng|house</x:v>
      </x:c>
      <x:c r="P4240" s="10" t="n">
        <x:v>2</x:v>
      </x:c>
      <x:c r="Q4240" s="13" t="n">
        <x:f>IF(H4240="","",H4240/1000000000)</x:f>
        <x:v>4.49</x:v>
      </x:c>
      <x:c r="R4240" s="13" t="n">
        <x:f>IF(I4240="","",I4240/1000000)</x:f>
        <x:v>74.83333333333333</x:v>
      </x:c>
    </x:row>
    <x:row r="4241" ht="21" customHeight="1">
      <x:c r="A4241" s="10" t="n">
        <x:v>5698</x:v>
      </x:c>
      <x:c r="B4241" s="2" t="str">
        <x:v>50bdb92e34939f1fe956</x:v>
      </x:c>
      <x:c r="C4241" s="2" t="str">
        <x:v>Bình Dương</x:v>
      </x:c>
      <x:c r="D4241" s="2" t="str">
        <x:v>Thị xã Thuận An</x:v>
      </x:c>
      <x:c r="E4241" s="2" t="str">
        <x:v>other_unknown</x:v>
      </x:c>
      <x:c r="F4241" s="2" t="str">
        <x:v>sale_assumed</x:v>
      </x:c>
      <x:c r="G4241" s="11" t="n">
        <x:v>96</x:v>
      </x:c>
      <x:c r="H4241" s="12" t="n">
        <x:v>785000000</x:v>
      </x:c>
      <x:c r="I4241" s="12" t="n">
        <x:v>8177083.333333333</x:v>
      </x:c>
      <x:c r="J4241" s="2" t="str">
        <x:v>total</x:v>
      </x:c>
      <x:c r="K4241" s="2" t="str">
        <x:v>top_level_area</x:v>
      </x:c>
      <x:c r="L4241" s="2" t="str">
        <x:v>property_type_inferred_from_title;transaction_assumed_sale_from_dataset_context;unknown_property_type</x:v>
      </x:c>
      <x:c r="M4241" s="10" t="n">
        <x:v>0</x:v>
      </x:c>
      <x:c r="N4241" s="10" t="n">
        <x:v>0</x:v>
      </x:c>
      <x:c r="O4241" s="2" t="str">
        <x:v>Bình Dương|other_unknown</x:v>
      </x:c>
      <x:c r="P4241" s="10" t="n">
        <x:v>2</x:v>
      </x:c>
      <x:c r="Q4241" s="13" t="n">
        <x:f>IF(H4241="","",H4241/1000000000)</x:f>
        <x:v>0.785</x:v>
      </x:c>
      <x:c r="R4241" s="13" t="n">
        <x:f>IF(I4241="","",I4241/1000000)</x:f>
        <x:v>8.177083333333332</x:v>
      </x:c>
    </x:row>
    <x:row r="4242" ht="21" customHeight="1">
      <x:c r="A4242" s="10" t="n">
        <x:v>5699</x:v>
      </x:c>
      <x:c r="B4242" s="2" t="str">
        <x:v>db49de2edca33cd75eb8</x:v>
      </x:c>
      <x:c r="C4242" s="2" t="str">
        <x:v>Tp Hồ Chí Minh</x:v>
      </x:c>
      <x:c r="D4242" s="2" t="str">
        <x:v>Quận Bình Tân</x:v>
      </x:c>
      <x:c r="E4242" s="2" t="str">
        <x:v>house</x:v>
      </x:c>
      <x:c r="F4242" s="2" t="str">
        <x:v>sale_assumed</x:v>
      </x:c>
      <x:c r="G4242" s="11" t="n">
        <x:v>100</x:v>
      </x:c>
      <x:c r="H4242" s="12" t="n">
        <x:v>3200000000</x:v>
      </x:c>
      <x:c r="I4242" s="12" t="n">
        <x:v>32000000</x:v>
      </x:c>
      <x:c r="J4242" s="2" t="str">
        <x:v>total</x:v>
      </x:c>
      <x:c r="K4242" s="2" t="str">
        <x:v>top_level_area</x:v>
      </x:c>
      <x:c r="L4242" s="2" t="str">
        <x:v>property_type_inferred_from_title;transaction_assumed_sale_from_dataset_context</x:v>
      </x:c>
      <x:c r="M4242" s="10" t="n">
        <x:v>0</x:v>
      </x:c>
      <x:c r="N4242" s="10" t="n">
        <x:v>0</x:v>
      </x:c>
      <x:c r="O4242" s="2" t="str">
        <x:v>Tp Hồ Chí Minh|house</x:v>
      </x:c>
      <x:c r="P4242" s="10" t="n">
        <x:v>2</x:v>
      </x:c>
      <x:c r="Q4242" s="13" t="n">
        <x:f>IF(H4242="","",H4242/1000000000)</x:f>
        <x:v>3.2</x:v>
      </x:c>
      <x:c r="R4242" s="13" t="n">
        <x:f>IF(I4242="","",I4242/1000000)</x:f>
        <x:v>32</x:v>
      </x:c>
    </x:row>
    <x:row r="4243" ht="21" customHeight="1">
      <x:c r="A4243" s="10" t="n">
        <x:v>5700</x:v>
      </x:c>
      <x:c r="B4243" s="2" t="str">
        <x:v>d0a4ed7d217f157a056b</x:v>
      </x:c>
      <x:c r="C4243" s="2" t="str">
        <x:v>Tp Hồ Chí Minh</x:v>
      </x:c>
      <x:c r="D4243" s="2" t="str">
        <x:v>Huyện Bình Chánh</x:v>
      </x:c>
      <x:c r="E4243" s="2" t="str">
        <x:v>house</x:v>
      </x:c>
      <x:c r="F4243" s="2" t="str">
        <x:v>sale</x:v>
      </x:c>
      <x:c r="G4243" s="11" t="n">
        <x:v>100</x:v>
      </x:c>
      <x:c r="H4243" s="12" t="n">
        <x:v>1300000000</x:v>
      </x:c>
      <x:c r="I4243" s="12" t="n">
        <x:v>13000000</x:v>
      </x:c>
      <x:c r="J4243" s="2" t="str">
        <x:v>total</x:v>
      </x:c>
      <x:c r="K4243" s="2" t="str">
        <x:v>top_level_area</x:v>
      </x:c>
      <x:c r="L4243" s="2" t="str">
        <x:v>property_type_inferred_from_title</x:v>
      </x:c>
      <x:c r="M4243" s="10" t="n">
        <x:v>0</x:v>
      </x:c>
      <x:c r="N4243" s="10" t="n">
        <x:v>0</x:v>
      </x:c>
      <x:c r="O4243" s="2" t="str">
        <x:v>Tp Hồ Chí Minh|house</x:v>
      </x:c>
      <x:c r="P4243" s="10" t="n">
        <x:v>2</x:v>
      </x:c>
      <x:c r="Q4243" s="13" t="n">
        <x:f>IF(H4243="","",H4243/1000000000)</x:f>
        <x:v>1.3</x:v>
      </x:c>
      <x:c r="R4243" s="13" t="n">
        <x:f>IF(I4243="","",I4243/1000000)</x:f>
        <x:v>13</x:v>
      </x:c>
    </x:row>
    <x:row r="4244" ht="21" customHeight="1">
      <x:c r="A4244" s="10" t="n">
        <x:v>5701</x:v>
      </x:c>
      <x:c r="B4244" s="2" t="str">
        <x:v>d8cad34ff45aad6fc74c</x:v>
      </x:c>
      <x:c r="C4244" s="2" t="str">
        <x:v>Tiền Giang</x:v>
      </x:c>
      <x:c r="D4244" s="2" t="str">
        <x:v>Thành phố Mỹ Tho</x:v>
      </x:c>
      <x:c r="E4244" s="2" t="str">
        <x:v>house</x:v>
      </x:c>
      <x:c r="F4244" s="2" t="str">
        <x:v>sale_assumed</x:v>
      </x:c>
      <x:c r="G4244" s="11" t="n">
        <x:v>91</x:v>
      </x:c>
      <x:c r="H4244" s="12" t="n">
        <x:v>9000000000</x:v>
      </x:c>
      <x:c r="I4244" s="12" t="n">
        <x:v>98901098.9010989</x:v>
      </x:c>
      <x:c r="J4244" s="2" t="str">
        <x:v>total</x:v>
      </x:c>
      <x:c r="K4244" s="2" t="str">
        <x:v>top_level_area</x:v>
      </x:c>
      <x:c r="L4244" s="2" t="str">
        <x:v>property_type_inferred_from_title;transaction_assumed_sale_from_dataset_context</x:v>
      </x:c>
      <x:c r="M4244" s="10" t="n">
        <x:v>0</x:v>
      </x:c>
      <x:c r="N4244" s="10" t="n">
        <x:v>0</x:v>
      </x:c>
      <x:c r="O4244" s="2" t="str">
        <x:v>house</x:v>
      </x:c>
      <x:c r="P4244" s="10" t="n">
        <x:v>2</x:v>
      </x:c>
      <x:c r="Q4244" s="13" t="n">
        <x:f>IF(H4244="","",H4244/1000000000)</x:f>
        <x:v>9</x:v>
      </x:c>
      <x:c r="R4244" s="13" t="n">
        <x:f>IF(I4244="","",I4244/1000000)</x:f>
        <x:v>98.9010989010989</x:v>
      </x:c>
    </x:row>
    <x:row r="4245" ht="21" customHeight="1">
      <x:c r="A4245" s="10" t="n">
        <x:v>5702</x:v>
      </x:c>
      <x:c r="B4245" s="2" t="str">
        <x:v>eb61c1ec762a42b9a44c</x:v>
      </x:c>
      <x:c r="C4245" s="2" t="str">
        <x:v>Đồng Nai</x:v>
      </x:c>
      <x:c r="D4245" s="2" t="str">
        <x:v>Huyện Trảng Bom</x:v>
      </x:c>
      <x:c r="E4245" s="2" t="str">
        <x:v>other_unknown</x:v>
      </x:c>
      <x:c r="F4245" s="2" t="str">
        <x:v>sale</x:v>
      </x:c>
      <x:c r="G4245" s="11" t="n">
        <x:v>100</x:v>
      </x:c>
      <x:c r="H4245" s="12" t="n">
        <x:v>230000000</x:v>
      </x:c>
      <x:c r="I4245" s="12" t="n">
        <x:v>2300000</x:v>
      </x:c>
      <x:c r="J4245" s="2" t="str">
        <x:v>total</x:v>
      </x:c>
      <x:c r="K4245" s="2" t="str">
        <x:v>top_level_area</x:v>
      </x:c>
      <x:c r="L4245" s="2" t="str">
        <x:v>property_type_inferred_from_title;unknown_property_type</x:v>
      </x:c>
      <x:c r="M4245" s="10" t="n">
        <x:v>0</x:v>
      </x:c>
      <x:c r="N4245" s="10" t="n">
        <x:v>0</x:v>
      </x:c>
      <x:c r="O4245" s="2" t="str">
        <x:v>Đồng Nai|other_unknown</x:v>
      </x:c>
      <x:c r="P4245" s="10" t="n">
        <x:v>1</x:v>
      </x:c>
      <x:c r="Q4245" s="13" t="n">
        <x:f>IF(H4245="","",H4245/1000000000)</x:f>
        <x:v>0.23</x:v>
      </x:c>
      <x:c r="R4245" s="13" t="n">
        <x:f>IF(I4245="","",I4245/1000000)</x:f>
        <x:v>2.3</x:v>
      </x:c>
    </x:row>
    <x:row r="4246" ht="21" customHeight="1">
      <x:c r="A4246" s="10" t="n">
        <x:v>5703</x:v>
      </x:c>
      <x:c r="B4246" s="2" t="str">
        <x:v>89b7de6cc8b20b58e51a</x:v>
      </x:c>
      <x:c r="C4246" s="2" t="str">
        <x:v>Tp Hồ Chí Minh</x:v>
      </x:c>
      <x:c r="D4246" s="2" t="str">
        <x:v>Huyện Bình Chánh</x:v>
      </x:c>
      <x:c r="E4246" s="2" t="str">
        <x:v>house</x:v>
      </x:c>
      <x:c r="F4246" s="2" t="str">
        <x:v>sale_assumed</x:v>
      </x:c>
      <x:c r="G4246" s="11" t="n">
        <x:v>110</x:v>
      </x:c>
      <x:c r="H4246" s="12" t="n">
        <x:v>2000000000</x:v>
      </x:c>
      <x:c r="I4246" s="12" t="n">
        <x:v>18181818.181818184</x:v>
      </x:c>
      <x:c r="J4246" s="2" t="str">
        <x:v>total</x:v>
      </x:c>
      <x:c r="K4246" s="2" t="str">
        <x:v>top_level_area</x:v>
      </x:c>
      <x:c r="L4246" s="2" t="str">
        <x:v>property_type_inferred_from_title;transaction_assumed_sale_from_dataset_context</x:v>
      </x:c>
      <x:c r="M4246" s="10" t="n">
        <x:v>0</x:v>
      </x:c>
      <x:c r="N4246" s="10" t="n">
        <x:v>0</x:v>
      </x:c>
      <x:c r="O4246" s="2" t="str">
        <x:v>Tp Hồ Chí Minh|house</x:v>
      </x:c>
      <x:c r="P4246" s="10" t="n">
        <x:v>2</x:v>
      </x:c>
      <x:c r="Q4246" s="13" t="n">
        <x:f>IF(H4246="","",H4246/1000000000)</x:f>
        <x:v>2</x:v>
      </x:c>
      <x:c r="R4246" s="13" t="n">
        <x:f>IF(I4246="","",I4246/1000000)</x:f>
        <x:v>18.181818181818183</x:v>
      </x:c>
    </x:row>
    <x:row r="4247" ht="21" customHeight="1">
      <x:c r="A4247" s="10" t="n">
        <x:v>5704</x:v>
      </x:c>
      <x:c r="B4247" s="2" t="str">
        <x:v>3bbb80a1541064c09037</x:v>
      </x:c>
      <x:c r="C4247" s="2" t="str">
        <x:v>Hà Nội</x:v>
      </x:c>
      <x:c r="D4247" s="2" t="str">
        <x:v>Quận Hoàng Mai</x:v>
      </x:c>
      <x:c r="E4247" s="2" t="str">
        <x:v>other_unknown</x:v>
      </x:c>
      <x:c r="F4247" s="2" t="str">
        <x:v>sale_assumed</x:v>
      </x:c>
      <x:c r="G4247" s="11" t="n">
        <x:v>29</x:v>
      </x:c>
      <x:c r="H4247" s="12" t="n">
        <x:v>2590000000</x:v>
      </x:c>
      <x:c r="I4247" s="12" t="n">
        <x:v>89310344.8275862</x:v>
      </x:c>
      <x:c r="J4247" s="2" t="str">
        <x:v>total</x:v>
      </x:c>
      <x:c r="K4247" s="2" t="str">
        <x:v>top_level_area</x:v>
      </x:c>
      <x:c r="L4247" s="2" t="str">
        <x:v>property_type_inferred_from_title;transaction_assumed_sale_from_dataset_context;unknown_property_type</x:v>
      </x:c>
      <x:c r="M4247" s="10" t="n">
        <x:v>0</x:v>
      </x:c>
      <x:c r="N4247" s="10" t="n">
        <x:v>0</x:v>
      </x:c>
      <x:c r="O4247" s="2" t="str">
        <x:v>Hà Nội|other_unknown</x:v>
      </x:c>
      <x:c r="P4247" s="10" t="n">
        <x:v>2</x:v>
      </x:c>
      <x:c r="Q4247" s="13" t="n">
        <x:f>IF(H4247="","",H4247/1000000000)</x:f>
        <x:v>2.59</x:v>
      </x:c>
      <x:c r="R4247" s="13" t="n">
        <x:f>IF(I4247="","",I4247/1000000)</x:f>
        <x:v>89.3103448275862</x:v>
      </x:c>
    </x:row>
    <x:row r="4248" ht="21" customHeight="1">
      <x:c r="A4248" s="10" t="n">
        <x:v>5705</x:v>
      </x:c>
      <x:c r="B4248" s="2" t="str">
        <x:v>8fb3b6633f71a84a3ceb</x:v>
      </x:c>
      <x:c r="C4248" s="2" t="str">
        <x:v>Long An</x:v>
      </x:c>
      <x:c r="D4248" s="2" t="str">
        <x:v>Huyện Đức Hòa</x:v>
      </x:c>
      <x:c r="E4248" s="2" t="str">
        <x:v>land</x:v>
      </x:c>
      <x:c r="F4248" s="2" t="str">
        <x:v>sale_assumed</x:v>
      </x:c>
      <x:c r="G4248" s="11" t="n">
        <x:v>155</x:v>
      </x:c>
      <x:c r="H4248" s="12" t="n">
        <x:v>740000000</x:v>
      </x:c>
      <x:c r="I4248" s="12" t="n">
        <x:v>4774193.548387097</x:v>
      </x:c>
      <x:c r="J4248" s="2" t="str">
        <x:v>total</x:v>
      </x:c>
      <x:c r="K4248" s="2" t="str">
        <x:v>top_level_area</x:v>
      </x:c>
      <x:c r="L4248" s="2" t="str">
        <x:v>property_type_inferred_from_title;transaction_assumed_sale_from_dataset_context</x:v>
      </x:c>
      <x:c r="M4248" s="10" t="n">
        <x:v>0</x:v>
      </x:c>
      <x:c r="N4248" s="10" t="n">
        <x:v>0</x:v>
      </x:c>
      <x:c r="O4248" s="2" t="str">
        <x:v>Long An|land</x:v>
      </x:c>
      <x:c r="P4248" s="10" t="n">
        <x:v>1</x:v>
      </x:c>
      <x:c r="Q4248" s="13" t="n">
        <x:f>IF(H4248="","",H4248/1000000000)</x:f>
        <x:v>0.74</x:v>
      </x:c>
      <x:c r="R4248" s="13" t="n">
        <x:f>IF(I4248="","",I4248/1000000)</x:f>
        <x:v>4.774193548387097</x:v>
      </x:c>
    </x:row>
    <x:row r="4249" ht="21" customHeight="1">
      <x:c r="A4249" s="10" t="n">
        <x:v>5706</x:v>
      </x:c>
      <x:c r="B4249" s="2" t="str">
        <x:v>658b1c36d0077ce374f7</x:v>
      </x:c>
      <x:c r="C4249" s="2" t="str">
        <x:v>Đà Nẵng</x:v>
      </x:c>
      <x:c r="D4249" s="2" t="str">
        <x:v>Quận Liên Chiểu</x:v>
      </x:c>
      <x:c r="E4249" s="2" t="str">
        <x:v>house</x:v>
      </x:c>
      <x:c r="F4249" s="2" t="str">
        <x:v>sale</x:v>
      </x:c>
      <x:c r="G4249" s="11" t="n">
        <x:v>100</x:v>
      </x:c>
      <x:c r="H4249" s="12" t="n">
        <x:v>5800000000</x:v>
      </x:c>
      <x:c r="I4249" s="12" t="n">
        <x:v>58000000</x:v>
      </x:c>
      <x:c r="J4249" s="2" t="str">
        <x:v>total</x:v>
      </x:c>
      <x:c r="K4249" s="2" t="str">
        <x:v>top_level_area</x:v>
      </x:c>
      <x:c r="L4249" s="2" t="str">
        <x:v>property_type_inferred_from_title</x:v>
      </x:c>
      <x:c r="M4249" s="10" t="n">
        <x:v>0</x:v>
      </x:c>
      <x:c r="N4249" s="10" t="n">
        <x:v>0</x:v>
      </x:c>
      <x:c r="O4249" s="2" t="str">
        <x:v>Đà Nẵng|house</x:v>
      </x:c>
      <x:c r="P4249" s="10" t="n">
        <x:v>2</x:v>
      </x:c>
      <x:c r="Q4249" s="13" t="n">
        <x:f>IF(H4249="","",H4249/1000000000)</x:f>
        <x:v>5.8</x:v>
      </x:c>
      <x:c r="R4249" s="13" t="n">
        <x:f>IF(I4249="","",I4249/1000000)</x:f>
        <x:v>58</x:v>
      </x:c>
    </x:row>
    <x:row r="4250" ht="21" customHeight="1">
      <x:c r="A4250" s="10" t="n">
        <x:v>5707</x:v>
      </x:c>
      <x:c r="B4250" s="2" t="str">
        <x:v>03e2b0531065694e2017</x:v>
      </x:c>
      <x:c r="C4250" s="2" t="str">
        <x:v>Long An</x:v>
      </x:c>
      <x:c r="D4250" s="2" t="str">
        <x:v>Huyện Cần Giuộc</x:v>
      </x:c>
      <x:c r="E4250" s="2" t="str">
        <x:v>house</x:v>
      </x:c>
      <x:c r="F4250" s="2" t="str">
        <x:v>sale</x:v>
      </x:c>
      <x:c r="G4250" s="11" t="n">
        <x:v>56</x:v>
      </x:c>
      <x:c r="H4250" s="12" t="n">
        <x:v>950000000</x:v>
      </x:c>
      <x:c r="I4250" s="12" t="n">
        <x:v>16964285.714285713</x:v>
      </x:c>
      <x:c r="J4250" s="2" t="str">
        <x:v>total</x:v>
      </x:c>
      <x:c r="K4250" s="2" t="str">
        <x:v>top_level_area</x:v>
      </x:c>
      <x:c r="L4250" s="2" t="str">
        <x:v>property_type_inferred_from_title</x:v>
      </x:c>
      <x:c r="M4250" s="10" t="n">
        <x:v>0</x:v>
      </x:c>
      <x:c r="N4250" s="10" t="n">
        <x:v>0</x:v>
      </x:c>
      <x:c r="O4250" s="2" t="str">
        <x:v>Long An|house</x:v>
      </x:c>
      <x:c r="P4250" s="10" t="n">
        <x:v>2</x:v>
      </x:c>
      <x:c r="Q4250" s="13" t="n">
        <x:f>IF(H4250="","",H4250/1000000000)</x:f>
        <x:v>0.95</x:v>
      </x:c>
      <x:c r="R4250" s="13" t="n">
        <x:f>IF(I4250="","",I4250/1000000)</x:f>
        <x:v>16.96428571428571</x:v>
      </x:c>
    </x:row>
    <x:row r="4251" ht="21" customHeight="1">
      <x:c r="A4251" s="10" t="n">
        <x:v>5708</x:v>
      </x:c>
      <x:c r="B4251" s="2" t="str">
        <x:v>84d2b29568c124916db9</x:v>
      </x:c>
      <x:c r="C4251" s="2" t="str">
        <x:v>Bà Rịa - Vũng Tàu</x:v>
      </x:c>
      <x:c r="D4251" s="2" t="str">
        <x:v>Huyện Đất Đỏ</x:v>
      </x:c>
      <x:c r="E4251" s="2" t="str">
        <x:v>land</x:v>
      </x:c>
      <x:c r="F4251" s="2" t="str">
        <x:v>sale_assumed</x:v>
      </x:c>
      <x:c r="G4251" s="11" t="n">
        <x:v>571</x:v>
      </x:c>
      <x:c r="H4251" s="12" t="n">
        <x:v>720000000</x:v>
      </x:c>
      <x:c r="I4251" s="12" t="n">
        <x:v>1260945.7092819614</x:v>
      </x:c>
      <x:c r="J4251" s="2" t="str">
        <x:v>total</x:v>
      </x:c>
      <x:c r="K4251" s="2" t="str">
        <x:v>top_level_price_embedded_area</x:v>
      </x:c>
      <x:c r="L4251" s="2" t="str">
        <x:v>area_recovered_from_price_text;property_type_inferred_from_title;transaction_assumed_sale_from_dataset_context</x:v>
      </x:c>
      <x:c r="M4251" s="10" t="n">
        <x:v>0</x:v>
      </x:c>
      <x:c r="N4251" s="10" t="n">
        <x:v>0</x:v>
      </x:c>
      <x:c r="O4251" s="2" t="str">
        <x:v>Bà Rịa - Vũng Tàu|land</x:v>
      </x:c>
      <x:c r="P4251" s="10" t="n">
        <x:v>1</x:v>
      </x:c>
      <x:c r="Q4251" s="13" t="n">
        <x:f>IF(H4251="","",H4251/1000000000)</x:f>
        <x:v>0.72</x:v>
      </x:c>
      <x:c r="R4251" s="13" t="n">
        <x:f>IF(I4251="","",I4251/1000000)</x:f>
        <x:v>1.2609457092819614</x:v>
      </x:c>
    </x:row>
    <x:row r="4252" ht="21" customHeight="1">
      <x:c r="A4252" s="10" t="n">
        <x:v>5709</x:v>
      </x:c>
      <x:c r="B4252" s="2" t="str">
        <x:v>9d01485bea44ec9b7271</x:v>
      </x:c>
      <x:c r="C4252" s="2" t="str">
        <x:v>Long An</x:v>
      </x:c>
      <x:c r="D4252" s="2" t="str">
        <x:v>Huyện Đức Hòa</x:v>
      </x:c>
      <x:c r="E4252" s="2" t="str">
        <x:v>land</x:v>
      </x:c>
      <x:c r="F4252" s="2" t="str">
        <x:v>sale</x:v>
      </x:c>
      <x:c r="G4252" s="11" t="n">
        <x:v>165</x:v>
      </x:c>
      <x:c r="H4252" s="12" t="n">
        <x:v>1300000000</x:v>
      </x:c>
      <x:c r="I4252" s="12" t="n">
        <x:v>7878787.878787879</x:v>
      </x:c>
      <x:c r="J4252" s="2" t="str">
        <x:v>total</x:v>
      </x:c>
      <x:c r="K4252" s="2" t="str">
        <x:v>top_level_area</x:v>
      </x:c>
      <x:c r="L4252" s="2" t="str">
        <x:v>property_type_inferred_from_title</x:v>
      </x:c>
      <x:c r="M4252" s="10" t="n">
        <x:v>0</x:v>
      </x:c>
      <x:c r="N4252" s="10" t="n">
        <x:v>0</x:v>
      </x:c>
      <x:c r="O4252" s="2" t="str">
        <x:v>Long An|land</x:v>
      </x:c>
      <x:c r="P4252" s="10" t="n">
        <x:v>2</x:v>
      </x:c>
      <x:c r="Q4252" s="13" t="n">
        <x:f>IF(H4252="","",H4252/1000000000)</x:f>
        <x:v>1.3</x:v>
      </x:c>
      <x:c r="R4252" s="13" t="n">
        <x:f>IF(I4252="","",I4252/1000000)</x:f>
        <x:v>7.878787878787879</x:v>
      </x:c>
    </x:row>
    <x:row r="4253" ht="21" customHeight="1">
      <x:c r="A4253" s="10" t="n">
        <x:v>5710</x:v>
      </x:c>
      <x:c r="B4253" s="2" t="str">
        <x:v>9c2a5f44af5fc7f04425</x:v>
      </x:c>
      <x:c r="C4253" s="2" t="str">
        <x:v>Tp Hồ Chí Minh</x:v>
      </x:c>
      <x:c r="D4253" s="2" t="str">
        <x:v>Huyện Hóc Môn</x:v>
      </x:c>
      <x:c r="E4253" s="2" t="str">
        <x:v>apartment</x:v>
      </x:c>
      <x:c r="F4253" s="2" t="str">
        <x:v>sale</x:v>
      </x:c>
      <x:c r="G4253" s="11" t="n">
        <x:v>58</x:v>
      </x:c>
      <x:c r="H4253" s="12" t="n">
        <x:v>145000000</x:v>
      </x:c>
      <x:c r="I4253" s="12" t="n">
        <x:v>2500000</x:v>
      </x:c>
      <x:c r="J4253" s="2" t="str">
        <x:v>total</x:v>
      </x:c>
      <x:c r="K4253" s="2" t="str">
        <x:v>top_level_price_embedded_area</x:v>
      </x:c>
      <x:c r="L4253" s="2" t="str">
        <x:v>area_recovered_from_price_text;property_type_inferred_from_title</x:v>
      </x:c>
      <x:c r="M4253" s="10" t="n">
        <x:v>0</x:v>
      </x:c>
      <x:c r="N4253" s="10" t="n">
        <x:v>0</x:v>
      </x:c>
      <x:c r="O4253" s="2" t="str">
        <x:v>Tp Hồ Chí Minh|apartment</x:v>
      </x:c>
      <x:c r="P4253" s="10" t="n">
        <x:v>2</x:v>
      </x:c>
      <x:c r="Q4253" s="13" t="n">
        <x:f>IF(H4253="","",H4253/1000000000)</x:f>
        <x:v>0.145</x:v>
      </x:c>
      <x:c r="R4253" s="13" t="n">
        <x:f>IF(I4253="","",I4253/1000000)</x:f>
        <x:v>2.5</x:v>
      </x:c>
    </x:row>
    <x:row r="4254" ht="21" customHeight="1">
      <x:c r="A4254" s="10" t="n">
        <x:v>5711</x:v>
      </x:c>
      <x:c r="B4254" s="2" t="str">
        <x:v>9d73401feab933cb114d</x:v>
      </x:c>
      <x:c r="C4254" s="2" t="str">
        <x:v>Đồng Nai</x:v>
      </x:c>
      <x:c r="D4254" s="2" t="str">
        <x:v>Huyện Trảng Bom</x:v>
      </x:c>
      <x:c r="E4254" s="2" t="str">
        <x:v>land</x:v>
      </x:c>
      <x:c r="F4254" s="2" t="str">
        <x:v>sale_assumed</x:v>
      </x:c>
      <x:c r="G4254" s="11" t="n">
        <x:v>98</x:v>
      </x:c>
      <x:c r="H4254" s="12" t="n">
        <x:v>185000000</x:v>
      </x:c>
      <x:c r="I4254" s="12" t="n">
        <x:v>1887755.1020408163</x:v>
      </x:c>
      <x:c r="J4254" s="2" t="str">
        <x:v>total</x:v>
      </x:c>
      <x:c r="K4254" s="2" t="str">
        <x:v>top_level_area</x:v>
      </x:c>
      <x:c r="L4254" s="2" t="str">
        <x:v>property_type_inferred_from_title;transaction_assumed_sale_from_dataset_context</x:v>
      </x:c>
      <x:c r="M4254" s="10" t="n">
        <x:v>0</x:v>
      </x:c>
      <x:c r="N4254" s="10" t="n">
        <x:v>0</x:v>
      </x:c>
      <x:c r="O4254" s="2" t="str">
        <x:v>Đồng Nai|land</x:v>
      </x:c>
      <x:c r="P4254" s="10" t="n">
        <x:v>1</x:v>
      </x:c>
      <x:c r="Q4254" s="13" t="n">
        <x:f>IF(H4254="","",H4254/1000000000)</x:f>
        <x:v>0.185</x:v>
      </x:c>
      <x:c r="R4254" s="13" t="n">
        <x:f>IF(I4254="","",I4254/1000000)</x:f>
        <x:v>1.8877551020408163</x:v>
      </x:c>
    </x:row>
    <x:row r="4255" ht="21" customHeight="1">
      <x:c r="A4255" s="10" t="n">
        <x:v>5712</x:v>
      </x:c>
      <x:c r="B4255" s="2" t="str">
        <x:v>f85253d6d5a472c9b051</x:v>
      </x:c>
      <x:c r="C4255" s="2" t="str">
        <x:v>Hà Nội</x:v>
      </x:c>
      <x:c r="D4255" s="2" t="str">
        <x:v>Huyện Hoài Đức</x:v>
      </x:c>
      <x:c r="E4255" s="2" t="str">
        <x:v>house</x:v>
      </x:c>
      <x:c r="F4255" s="2" t="str">
        <x:v>sale_assumed</x:v>
      </x:c>
      <x:c r="G4255" s="11" t="n">
        <x:v>34</x:v>
      </x:c>
      <x:c r="H4255" s="12" t="n">
        <x:v>1568000000</x:v>
      </x:c>
      <x:c r="I4255" s="12" t="n">
        <x:v>46117647.058823526</x:v>
      </x:c>
      <x:c r="J4255" s="2" t="str">
        <x:v>total</x:v>
      </x:c>
      <x:c r="K4255" s="2" t="str">
        <x:v>top_level_area</x:v>
      </x:c>
      <x:c r="L4255" s="2" t="str">
        <x:v>property_type_inferred_from_title;transaction_assumed_sale_from_dataset_context</x:v>
      </x:c>
      <x:c r="M4255" s="10" t="n">
        <x:v>0</x:v>
      </x:c>
      <x:c r="N4255" s="10" t="n">
        <x:v>0</x:v>
      </x:c>
      <x:c r="O4255" s="2" t="str">
        <x:v>Hà Nội|house</x:v>
      </x:c>
      <x:c r="P4255" s="10" t="n">
        <x:v>2</x:v>
      </x:c>
      <x:c r="Q4255" s="13" t="n">
        <x:f>IF(H4255="","",H4255/1000000000)</x:f>
        <x:v>1.568</x:v>
      </x:c>
      <x:c r="R4255" s="13" t="n">
        <x:f>IF(I4255="","",I4255/1000000)</x:f>
        <x:v>46.11764705882353</x:v>
      </x:c>
    </x:row>
    <x:row r="4256" ht="21" customHeight="1">
      <x:c r="A4256" s="10" t="n">
        <x:v>5715</x:v>
      </x:c>
      <x:c r="B4256" s="2" t="str">
        <x:v>bfc77aeae06e7d73b5be</x:v>
      </x:c>
      <x:c r="C4256" s="2" t="str">
        <x:v>Hà Nội</x:v>
      </x:c>
      <x:c r="D4256" s="2" t="str">
        <x:v>Quận Bắc Từ Liêm</x:v>
      </x:c>
      <x:c r="E4256" s="2" t="str">
        <x:v>house</x:v>
      </x:c>
      <x:c r="F4256" s="2" t="str">
        <x:v>sale_assumed</x:v>
      </x:c>
      <x:c r="G4256" s="11" t="n">
        <x:v>35</x:v>
      </x:c>
      <x:c r="H4256" s="12" t="n">
        <x:v>3700000000</x:v>
      </x:c>
      <x:c r="I4256" s="12" t="n">
        <x:v>105714285.71428572</x:v>
      </x:c>
      <x:c r="J4256" s="2" t="str">
        <x:v>total</x:v>
      </x:c>
      <x:c r="K4256" s="2" t="str">
        <x:v>top_level_area</x:v>
      </x:c>
      <x:c r="L4256" s="2" t="str">
        <x:v>property_type_inferred_from_title;transaction_assumed_sale_from_dataset_context</x:v>
      </x:c>
      <x:c r="M4256" s="10" t="n">
        <x:v>0</x:v>
      </x:c>
      <x:c r="N4256" s="10" t="n">
        <x:v>0</x:v>
      </x:c>
      <x:c r="O4256" s="2" t="str">
        <x:v>Hà Nội|house</x:v>
      </x:c>
      <x:c r="P4256" s="10" t="n">
        <x:v>2</x:v>
      </x:c>
      <x:c r="Q4256" s="13" t="n">
        <x:f>IF(H4256="","",H4256/1000000000)</x:f>
        <x:v>3.7</x:v>
      </x:c>
      <x:c r="R4256" s="13" t="n">
        <x:f>IF(I4256="","",I4256/1000000)</x:f>
        <x:v>105.71428571428572</x:v>
      </x:c>
    </x:row>
    <x:row r="4257" ht="21" customHeight="1">
      <x:c r="A4257" s="10" t="n">
        <x:v>5716</x:v>
      </x:c>
      <x:c r="B4257" s="2" t="str">
        <x:v>79318bf08abe565b5a9a</x:v>
      </x:c>
      <x:c r="C4257" s="2" t="str">
        <x:v>Hà Nội</x:v>
      </x:c>
      <x:c r="D4257" s="2" t="str">
        <x:v>Quận Long Biên</x:v>
      </x:c>
      <x:c r="E4257" s="2" t="str">
        <x:v>house</x:v>
      </x:c>
      <x:c r="F4257" s="2" t="str">
        <x:v>sale</x:v>
      </x:c>
      <x:c r="G4257" s="11" t="n">
        <x:v>42</x:v>
      </x:c>
      <x:c r="H4257" s="12" t="n">
        <x:v>2470000000</x:v>
      </x:c>
      <x:c r="I4257" s="12" t="n">
        <x:v>58809523.809523806</x:v>
      </x:c>
      <x:c r="J4257" s="2" t="str">
        <x:v>total</x:v>
      </x:c>
      <x:c r="K4257" s="2" t="str">
        <x:v>top_level_area</x:v>
      </x:c>
      <x:c r="L4257" s="2" t="str">
        <x:v>property_type_inferred_from_title</x:v>
      </x:c>
      <x:c r="M4257" s="10" t="n">
        <x:v>0</x:v>
      </x:c>
      <x:c r="N4257" s="10" t="n">
        <x:v>0</x:v>
      </x:c>
      <x:c r="O4257" s="2" t="str">
        <x:v>Hà Nội|house</x:v>
      </x:c>
      <x:c r="P4257" s="10" t="n">
        <x:v>2</x:v>
      </x:c>
      <x:c r="Q4257" s="13" t="n">
        <x:f>IF(H4257="","",H4257/1000000000)</x:f>
        <x:v>2.47</x:v>
      </x:c>
      <x:c r="R4257" s="13" t="n">
        <x:f>IF(I4257="","",I4257/1000000)</x:f>
        <x:v>58.8095238095238</x:v>
      </x:c>
    </x:row>
    <x:row r="4258" ht="21" customHeight="1">
      <x:c r="A4258" s="10" t="n">
        <x:v>5717</x:v>
      </x:c>
      <x:c r="B4258" s="2" t="str">
        <x:v>1e27eebe6fa4a0ec1bb6</x:v>
      </x:c>
      <x:c r="C4258" s="2" t="str">
        <x:v>Tp Hồ Chí Minh</x:v>
      </x:c>
      <x:c r="D4258" s="2" t="str">
        <x:v>Quận 10</x:v>
      </x:c>
      <x:c r="E4258" s="2" t="str">
        <x:v>house</x:v>
      </x:c>
      <x:c r="F4258" s="2" t="str">
        <x:v>sale_assumed</x:v>
      </x:c>
      <x:c r="G4258" s="11" t="n">
        <x:v>105</x:v>
      </x:c>
      <x:c r="H4258" s="12" t="n">
        <x:v>32000000000</x:v>
      </x:c>
      <x:c r="I4258" s="12" t="n">
        <x:v>304761904.7619048</x:v>
      </x:c>
      <x:c r="J4258" s="2" t="str">
        <x:v>total</x:v>
      </x:c>
      <x:c r="K4258" s="2" t="str">
        <x:v>top_level_area</x:v>
      </x:c>
      <x:c r="L4258" s="2" t="str">
        <x:v>property_type_inferred_from_title;transaction_assumed_sale_from_dataset_context</x:v>
      </x:c>
      <x:c r="M4258" s="10" t="n">
        <x:v>1</x:v>
      </x:c>
      <x:c r="N4258" s="10" t="n">
        <x:v>1</x:v>
      </x:c>
      <x:c r="O4258" s="2" t="str">
        <x:v>Tp Hồ Chí Minh|house</x:v>
      </x:c>
      <x:c r="P4258" s="10" t="n">
        <x:v>-1</x:v>
      </x:c>
      <x:c r="Q4258" s="13" t="n">
        <x:f>IF(H4258="","",H4258/1000000000)</x:f>
        <x:v>32</x:v>
      </x:c>
      <x:c r="R4258" s="13" t="n">
        <x:f>IF(I4258="","",I4258/1000000)</x:f>
        <x:v>304.76190476190476</x:v>
      </x:c>
    </x:row>
    <x:row r="4259" ht="21" customHeight="1">
      <x:c r="A4259" s="10" t="n">
        <x:v>5718</x:v>
      </x:c>
      <x:c r="B4259" s="2" t="str">
        <x:v>aa76bff436fe818d613b</x:v>
      </x:c>
      <x:c r="C4259" s="2" t="str">
        <x:v>Tp Hồ Chí Minh</x:v>
      </x:c>
      <x:c r="D4259" s="2" t="str">
        <x:v>Quận Bình Tân</x:v>
      </x:c>
      <x:c r="E4259" s="2" t="str">
        <x:v>house</x:v>
      </x:c>
      <x:c r="F4259" s="2" t="str">
        <x:v>sale_assumed</x:v>
      </x:c>
      <x:c r="G4259" s="11" t="n">
        <x:v>74</x:v>
      </x:c>
      <x:c r="H4259" s="12" t="n">
        <x:v>6000000000</x:v>
      </x:c>
      <x:c r="I4259" s="12" t="n">
        <x:v>81081081.08108108</x:v>
      </x:c>
      <x:c r="J4259" s="2" t="str">
        <x:v>total</x:v>
      </x:c>
      <x:c r="K4259" s="2" t="str">
        <x:v>top_level_area</x:v>
      </x:c>
      <x:c r="L4259" s="2" t="str">
        <x:v>property_type_inferred_from_title;transaction_assumed_sale_from_dataset_context</x:v>
      </x:c>
      <x:c r="M4259" s="10" t="n">
        <x:v>0</x:v>
      </x:c>
      <x:c r="N4259" s="10" t="n">
        <x:v>0</x:v>
      </x:c>
      <x:c r="O4259" s="2" t="str">
        <x:v>Tp Hồ Chí Minh|house</x:v>
      </x:c>
      <x:c r="P4259" s="10" t="n">
        <x:v>2</x:v>
      </x:c>
      <x:c r="Q4259" s="13" t="n">
        <x:f>IF(H4259="","",H4259/1000000000)</x:f>
        <x:v>6</x:v>
      </x:c>
      <x:c r="R4259" s="13" t="n">
        <x:f>IF(I4259="","",I4259/1000000)</x:f>
        <x:v>81.08108108108108</x:v>
      </x:c>
    </x:row>
    <x:row r="4260" ht="21" customHeight="1">
      <x:c r="A4260" s="10" t="n">
        <x:v>5719</x:v>
      </x:c>
      <x:c r="B4260" s="2" t="str">
        <x:v>0aec630c8d04c9bbf249</x:v>
      </x:c>
      <x:c r="C4260" s="2" t="str">
        <x:v>Tp Hồ Chí Minh</x:v>
      </x:c>
      <x:c r="D4260" s="2" t="str">
        <x:v>Quận 9</x:v>
      </x:c>
      <x:c r="E4260" s="2" t="str">
        <x:v>land</x:v>
      </x:c>
      <x:c r="F4260" s="2" t="str">
        <x:v>sale_assumed</x:v>
      </x:c>
      <x:c r="G4260" s="11" t="n">
        <x:v>52</x:v>
      </x:c>
      <x:c r="H4260" s="12" t="n">
        <x:v>1500000000</x:v>
      </x:c>
      <x:c r="I4260" s="12" t="n">
        <x:v>28846153.846153848</x:v>
      </x:c>
      <x:c r="J4260" s="2" t="str">
        <x:v>total</x:v>
      </x:c>
      <x:c r="K4260" s="2" t="str">
        <x:v>top_level_area</x:v>
      </x:c>
      <x:c r="L4260" s="2" t="str">
        <x:v>property_type_inferred_from_title;transaction_assumed_sale_from_dataset_context</x:v>
      </x:c>
      <x:c r="M4260" s="10" t="n">
        <x:v>0</x:v>
      </x:c>
      <x:c r="N4260" s="10" t="n">
        <x:v>0</x:v>
      </x:c>
      <x:c r="O4260" s="2" t="str">
        <x:v>Tp Hồ Chí Minh|land</x:v>
      </x:c>
      <x:c r="P4260" s="10" t="n">
        <x:v>2</x:v>
      </x:c>
      <x:c r="Q4260" s="13" t="n">
        <x:f>IF(H4260="","",H4260/1000000000)</x:f>
        <x:v>1.5</x:v>
      </x:c>
      <x:c r="R4260" s="13" t="n">
        <x:f>IF(I4260="","",I4260/1000000)</x:f>
        <x:v>28.846153846153847</x:v>
      </x:c>
    </x:row>
    <x:row r="4261" ht="21" customHeight="1">
      <x:c r="A4261" s="10" t="n">
        <x:v>5720</x:v>
      </x:c>
      <x:c r="B4261" s="2" t="str">
        <x:v>20d44bb2846c0a095e47</x:v>
      </x:c>
      <x:c r="C4261" s="2" t="str">
        <x:v>Long An</x:v>
      </x:c>
      <x:c r="D4261" s="2" t="str">
        <x:v>Huyện Cần Giuộc</x:v>
      </x:c>
      <x:c r="E4261" s="2" t="str">
        <x:v>house</x:v>
      </x:c>
      <x:c r="F4261" s="2" t="str">
        <x:v>sale</x:v>
      </x:c>
      <x:c r="G4261" s="11" t="n">
        <x:v>56</x:v>
      </x:c>
      <x:c r="H4261" s="12" t="n">
        <x:v>950000000</x:v>
      </x:c>
      <x:c r="I4261" s="12" t="n">
        <x:v>16964285.714285713</x:v>
      </x:c>
      <x:c r="J4261" s="2" t="str">
        <x:v>total</x:v>
      </x:c>
      <x:c r="K4261" s="2" t="str">
        <x:v>top_level_area</x:v>
      </x:c>
      <x:c r="L4261" s="2" t="str">
        <x:v>property_type_inferred_from_title</x:v>
      </x:c>
      <x:c r="M4261" s="10" t="n">
        <x:v>0</x:v>
      </x:c>
      <x:c r="N4261" s="10" t="n">
        <x:v>0</x:v>
      </x:c>
      <x:c r="O4261" s="2" t="str">
        <x:v>Long An|house</x:v>
      </x:c>
      <x:c r="P4261" s="10" t="n">
        <x:v>2</x:v>
      </x:c>
      <x:c r="Q4261" s="13" t="n">
        <x:f>IF(H4261="","",H4261/1000000000)</x:f>
        <x:v>0.95</x:v>
      </x:c>
      <x:c r="R4261" s="13" t="n">
        <x:f>IF(I4261="","",I4261/1000000)</x:f>
        <x:v>16.96428571428571</x:v>
      </x:c>
    </x:row>
    <x:row r="4262" ht="21" customHeight="1">
      <x:c r="A4262" s="10" t="n">
        <x:v>5721</x:v>
      </x:c>
      <x:c r="B4262" s="2" t="str">
        <x:v>6b162d724a35fbbfdea5</x:v>
      </x:c>
      <x:c r="C4262" s="2" t="str">
        <x:v>Thừa Thiên Huế</x:v>
      </x:c>
      <x:c r="D4262" s="2" t="str">
        <x:v>Thành phố Huế</x:v>
      </x:c>
      <x:c r="E4262" s="2" t="str">
        <x:v>other_unknown</x:v>
      </x:c>
      <x:c r="F4262" s="2" t="str">
        <x:v>sale_assumed</x:v>
      </x:c>
      <x:c r="G4262" s="11" t="n">
        <x:v>81</x:v>
      </x:c>
      <x:c r="H4262" s="12" t="n">
        <x:v>1190000000</x:v>
      </x:c>
      <x:c r="I4262" s="12" t="n">
        <x:v>14691358.024691358</x:v>
      </x:c>
      <x:c r="J4262" s="2" t="str">
        <x:v>total</x:v>
      </x:c>
      <x:c r="K4262" s="2" t="str">
        <x:v>top_level_area</x:v>
      </x:c>
      <x:c r="L4262" s="2" t="str">
        <x:v>property_type_inferred_from_title;transaction_assumed_sale_from_dataset_context;unknown_property_type</x:v>
      </x:c>
      <x:c r="M4262" s="10" t="n">
        <x:v>0</x:v>
      </x:c>
      <x:c r="N4262" s="10" t="n">
        <x:v>0</x:v>
      </x:c>
      <x:c r="O4262" s="2" t="str">
        <x:v>other_unknown</x:v>
      </x:c>
      <x:c r="P4262" s="10" t="n">
        <x:v>2</x:v>
      </x:c>
      <x:c r="Q4262" s="13" t="n">
        <x:f>IF(H4262="","",H4262/1000000000)</x:f>
        <x:v>1.19</x:v>
      </x:c>
      <x:c r="R4262" s="13" t="n">
        <x:f>IF(I4262="","",I4262/1000000)</x:f>
        <x:v>14.691358024691358</x:v>
      </x:c>
    </x:row>
    <x:row r="4263" ht="21" customHeight="1">
      <x:c r="A4263" s="10" t="n">
        <x:v>5722</x:v>
      </x:c>
      <x:c r="B4263" s="2" t="str">
        <x:v>99fab07894b5a3205cc6</x:v>
      </x:c>
      <x:c r="C4263" s="2" t="str">
        <x:v>Bình Dương</x:v>
      </x:c>
      <x:c r="D4263" s="2" t="str">
        <x:v>Thị xã Dĩ An</x:v>
      </x:c>
      <x:c r="E4263" s="2" t="str">
        <x:v>house</x:v>
      </x:c>
      <x:c r="F4263" s="2" t="str">
        <x:v>sale_assumed</x:v>
      </x:c>
      <x:c r="G4263" s="11" t="n">
        <x:v>18</x:v>
      </x:c>
      <x:c r="H4263" s="12" t="n">
        <x:v>715000000</x:v>
      </x:c>
      <x:c r="I4263" s="12" t="n">
        <x:v>39722222.222222224</x:v>
      </x:c>
      <x:c r="J4263" s="2" t="str">
        <x:v>total</x:v>
      </x:c>
      <x:c r="K4263" s="2" t="str">
        <x:v>top_level_area</x:v>
      </x:c>
      <x:c r="L4263" s="2" t="str">
        <x:v>property_type_inferred_from_title;transaction_assumed_sale_from_dataset_context</x:v>
      </x:c>
      <x:c r="M4263" s="10" t="n">
        <x:v>0</x:v>
      </x:c>
      <x:c r="N4263" s="10" t="n">
        <x:v>0</x:v>
      </x:c>
      <x:c r="O4263" s="2" t="str">
        <x:v>Bình Dương|house</x:v>
      </x:c>
      <x:c r="P4263" s="10" t="n">
        <x:v>2</x:v>
      </x:c>
      <x:c r="Q4263" s="13" t="n">
        <x:f>IF(H4263="","",H4263/1000000000)</x:f>
        <x:v>0.715</x:v>
      </x:c>
      <x:c r="R4263" s="13" t="n">
        <x:f>IF(I4263="","",I4263/1000000)</x:f>
        <x:v>39.72222222222222</x:v>
      </x:c>
    </x:row>
    <x:row r="4264" ht="21" customHeight="1">
      <x:c r="A4264" s="10" t="n">
        <x:v>5723</x:v>
      </x:c>
      <x:c r="B4264" s="2" t="str">
        <x:v>36d01401e782b1454c2b</x:v>
      </x:c>
      <x:c r="C4264" s="2" t="str">
        <x:v>Hà Nội</x:v>
      </x:c>
      <x:c r="D4264" s="2" t="str">
        <x:v>Quận Hai Bà Trưng</x:v>
      </x:c>
      <x:c r="E4264" s="2" t="str">
        <x:v>house</x:v>
      </x:c>
      <x:c r="F4264" s="2" t="str">
        <x:v>sale_assumed</x:v>
      </x:c>
      <x:c r="G4264" s="11" t="n">
        <x:v>33</x:v>
      </x:c>
      <x:c r="H4264" s="12" t="n">
        <x:v>3750000000</x:v>
      </x:c>
      <x:c r="I4264" s="12" t="n">
        <x:v>113636363.63636364</x:v>
      </x:c>
      <x:c r="J4264" s="2" t="str">
        <x:v>total</x:v>
      </x:c>
      <x:c r="K4264" s="2" t="str">
        <x:v>top_level_area</x:v>
      </x:c>
      <x:c r="L4264" s="2" t="str">
        <x:v>property_type_inferred_from_title;transaction_assumed_sale_from_dataset_context</x:v>
      </x:c>
      <x:c r="M4264" s="10" t="n">
        <x:v>0</x:v>
      </x:c>
      <x:c r="N4264" s="10" t="n">
        <x:v>0</x:v>
      </x:c>
      <x:c r="O4264" s="2" t="str">
        <x:v>Hà Nội|house</x:v>
      </x:c>
      <x:c r="P4264" s="10" t="n">
        <x:v>2</x:v>
      </x:c>
      <x:c r="Q4264" s="13" t="n">
        <x:f>IF(H4264="","",H4264/1000000000)</x:f>
        <x:v>3.75</x:v>
      </x:c>
      <x:c r="R4264" s="13" t="n">
        <x:f>IF(I4264="","",I4264/1000000)</x:f>
        <x:v>113.63636363636364</x:v>
      </x:c>
    </x:row>
    <x:row r="4265" ht="21" customHeight="1">
      <x:c r="A4265" s="10" t="n">
        <x:v>5724</x:v>
      </x:c>
      <x:c r="B4265" s="2" t="str">
        <x:v>def9ab421b2fa788d458</x:v>
      </x:c>
      <x:c r="C4265" s="2" t="str">
        <x:v>Đà Nẵng</x:v>
      </x:c>
      <x:c r="D4265" s="2" t="str">
        <x:v>Quận Liên Chiểu</x:v>
      </x:c>
      <x:c r="E4265" s="2" t="str">
        <x:v>house</x:v>
      </x:c>
      <x:c r="F4265" s="2" t="str">
        <x:v>sale</x:v>
      </x:c>
      <x:c r="G4265" s="11" t="n">
        <x:v>100</x:v>
      </x:c>
      <x:c r="H4265" s="12" t="n">
        <x:v>1550000000</x:v>
      </x:c>
      <x:c r="I4265" s="12" t="n">
        <x:v>15500000</x:v>
      </x:c>
      <x:c r="J4265" s="2" t="str">
        <x:v>total</x:v>
      </x:c>
      <x:c r="K4265" s="2" t="str">
        <x:v>top_level_area</x:v>
      </x:c>
      <x:c r="L4265" s="2" t="str">
        <x:v>property_type_inferred_from_title</x:v>
      </x:c>
      <x:c r="M4265" s="10" t="n">
        <x:v>0</x:v>
      </x:c>
      <x:c r="N4265" s="10" t="n">
        <x:v>0</x:v>
      </x:c>
      <x:c r="O4265" s="2" t="str">
        <x:v>Đà Nẵng|house</x:v>
      </x:c>
      <x:c r="P4265" s="10" t="n">
        <x:v>2</x:v>
      </x:c>
      <x:c r="Q4265" s="13" t="n">
        <x:f>IF(H4265="","",H4265/1000000000)</x:f>
        <x:v>1.55</x:v>
      </x:c>
      <x:c r="R4265" s="13" t="n">
        <x:f>IF(I4265="","",I4265/1000000)</x:f>
        <x:v>15.5</x:v>
      </x:c>
    </x:row>
    <x:row r="4266" ht="21" customHeight="1">
      <x:c r="A4266" s="10" t="n">
        <x:v>5725</x:v>
      </x:c>
      <x:c r="B4266" s="2" t="str">
        <x:v>e1b130aa2e73802b795c</x:v>
      </x:c>
      <x:c r="C4266" s="2" t="str">
        <x:v>Hà Nội</x:v>
      </x:c>
      <x:c r="D4266" s="2" t="str">
        <x:v>Quận Bắc Từ Liêm</x:v>
      </x:c>
      <x:c r="E4266" s="2" t="str">
        <x:v>house</x:v>
      </x:c>
      <x:c r="F4266" s="2" t="str">
        <x:v>sale_assumed</x:v>
      </x:c>
      <x:c r="G4266" s="11" t="n">
        <x:v>47</x:v>
      </x:c>
      <x:c r="H4266" s="12" t="n">
        <x:v>3380000000</x:v>
      </x:c>
      <x:c r="I4266" s="12" t="n">
        <x:v>71914893.61702128</x:v>
      </x:c>
      <x:c r="J4266" s="2" t="str">
        <x:v>total</x:v>
      </x:c>
      <x:c r="K4266" s="2" t="str">
        <x:v>top_level_area</x:v>
      </x:c>
      <x:c r="L4266" s="2" t="str">
        <x:v>property_type_inferred_from_title;transaction_assumed_sale_from_dataset_context</x:v>
      </x:c>
      <x:c r="M4266" s="10" t="n">
        <x:v>0</x:v>
      </x:c>
      <x:c r="N4266" s="10" t="n">
        <x:v>0</x:v>
      </x:c>
      <x:c r="O4266" s="2" t="str">
        <x:v>Hà Nội|house</x:v>
      </x:c>
      <x:c r="P4266" s="10" t="n">
        <x:v>2</x:v>
      </x:c>
      <x:c r="Q4266" s="13" t="n">
        <x:f>IF(H4266="","",H4266/1000000000)</x:f>
        <x:v>3.38</x:v>
      </x:c>
      <x:c r="R4266" s="13" t="n">
        <x:f>IF(I4266="","",I4266/1000000)</x:f>
        <x:v>71.91489361702128</x:v>
      </x:c>
    </x:row>
    <x:row r="4267" ht="21" customHeight="1">
      <x:c r="A4267" s="10" t="n">
        <x:v>5726</x:v>
      </x:c>
      <x:c r="B4267" s="2" t="str">
        <x:v>3c9c5c4eacdeaf8a1482</x:v>
      </x:c>
      <x:c r="C4267" s="2" t="str">
        <x:v>Long An</x:v>
      </x:c>
      <x:c r="D4267" s="2" t="str">
        <x:v>Huyện Đức Hòa</x:v>
      </x:c>
      <x:c r="E4267" s="2" t="str">
        <x:v>land</x:v>
      </x:c>
      <x:c r="F4267" s="2" t="str">
        <x:v>sale_assumed</x:v>
      </x:c>
      <x:c r="G4267" s="11" t="n">
        <x:v>120</x:v>
      </x:c>
      <x:c r="H4267" s="12" t="n">
        <x:v>350000000</x:v>
      </x:c>
      <x:c r="I4267" s="12" t="n">
        <x:v>2916666.6666666665</x:v>
      </x:c>
      <x:c r="J4267" s="2" t="str">
        <x:v>total</x:v>
      </x:c>
      <x:c r="K4267" s="2" t="str">
        <x:v>top_level_area</x:v>
      </x:c>
      <x:c r="L4267" s="2" t="str">
        <x:v>property_type_inferred_from_title;transaction_assumed_sale_from_dataset_context</x:v>
      </x:c>
      <x:c r="M4267" s="10" t="n">
        <x:v>0</x:v>
      </x:c>
      <x:c r="N4267" s="10" t="n">
        <x:v>0</x:v>
      </x:c>
      <x:c r="O4267" s="2" t="str">
        <x:v>Long An|land</x:v>
      </x:c>
      <x:c r="P4267" s="10" t="n">
        <x:v>1</x:v>
      </x:c>
      <x:c r="Q4267" s="13" t="n">
        <x:f>IF(H4267="","",H4267/1000000000)</x:f>
        <x:v>0.35</x:v>
      </x:c>
      <x:c r="R4267" s="13" t="n">
        <x:f>IF(I4267="","",I4267/1000000)</x:f>
        <x:v>2.9166666666666665</x:v>
      </x:c>
    </x:row>
    <x:row r="4268" ht="21" customHeight="1">
      <x:c r="A4268" s="10" t="n">
        <x:v>5727</x:v>
      </x:c>
      <x:c r="B4268" s="2" t="str">
        <x:v>2f7ec717fa8c3b5d22ee</x:v>
      </x:c>
      <x:c r="C4268" s="2" t="str">
        <x:v>Bình Dương</x:v>
      </x:c>
      <x:c r="D4268" s="2" t="str">
        <x:v>Thị xã Thuận An</x:v>
      </x:c>
      <x:c r="E4268" s="2" t="str">
        <x:v>other_unknown</x:v>
      </x:c>
      <x:c r="F4268" s="2" t="str">
        <x:v>sale_assumed</x:v>
      </x:c>
      <x:c r="G4268" s="11" t="n">
        <x:v>75</x:v>
      </x:c>
      <x:c r="H4268" s="12" t="n">
        <x:v>300000000</x:v>
      </x:c>
      <x:c r="I4268" s="12" t="n">
        <x:v>4000000</x:v>
      </x:c>
      <x:c r="J4268" s="2" t="str">
        <x:v>total</x:v>
      </x:c>
      <x:c r="K4268" s="2" t="str">
        <x:v>top_level_area</x:v>
      </x:c>
      <x:c r="L4268" s="2" t="str">
        <x:v>property_type_inferred_from_title;transaction_assumed_sale_from_dataset_context;unknown_property_type</x:v>
      </x:c>
      <x:c r="M4268" s="10" t="n">
        <x:v>0</x:v>
      </x:c>
      <x:c r="N4268" s="10" t="n">
        <x:v>0</x:v>
      </x:c>
      <x:c r="O4268" s="2" t="str">
        <x:v>Bình Dương|other_unknown</x:v>
      </x:c>
      <x:c r="P4268" s="10" t="n">
        <x:v>2</x:v>
      </x:c>
      <x:c r="Q4268" s="13" t="n">
        <x:f>IF(H4268="","",H4268/1000000000)</x:f>
        <x:v>0.3</x:v>
      </x:c>
      <x:c r="R4268" s="13" t="n">
        <x:f>IF(I4268="","",I4268/1000000)</x:f>
        <x:v>4</x:v>
      </x:c>
    </x:row>
    <x:row r="4269" ht="21" customHeight="1">
      <x:c r="A4269" s="10" t="n">
        <x:v>5728</x:v>
      </x:c>
      <x:c r="B4269" s="2" t="str">
        <x:v>930925af6b24268a75b8</x:v>
      </x:c>
      <x:c r="C4269" s="2" t="str">
        <x:v>Bình Dương</x:v>
      </x:c>
      <x:c r="D4269" s="2" t="str">
        <x:v>Huyện Bàu Bàng</x:v>
      </x:c>
      <x:c r="E4269" s="2" t="str">
        <x:v>land</x:v>
      </x:c>
      <x:c r="F4269" s="2" t="str">
        <x:v>sale_assumed</x:v>
      </x:c>
      <x:c r="G4269" s="11" t="n">
        <x:v>150</x:v>
      </x:c>
      <x:c r="H4269" s="12" t="n">
        <x:v>590000000</x:v>
      </x:c>
      <x:c r="I4269" s="12" t="n">
        <x:v>3933333.3333333335</x:v>
      </x:c>
      <x:c r="J4269" s="2" t="str">
        <x:v>total</x:v>
      </x:c>
      <x:c r="K4269" s="2" t="str">
        <x:v>top_level_area</x:v>
      </x:c>
      <x:c r="L4269" s="2" t="str">
        <x:v>property_type_inferred_from_title;transaction_assumed_sale_from_dataset_context</x:v>
      </x:c>
      <x:c r="M4269" s="10" t="n">
        <x:v>0</x:v>
      </x:c>
      <x:c r="N4269" s="10" t="n">
        <x:v>0</x:v>
      </x:c>
      <x:c r="O4269" s="2" t="str">
        <x:v>Bình Dương|land</x:v>
      </x:c>
      <x:c r="P4269" s="10" t="n">
        <x:v>1</x:v>
      </x:c>
      <x:c r="Q4269" s="13" t="n">
        <x:f>IF(H4269="","",H4269/1000000000)</x:f>
        <x:v>0.59</x:v>
      </x:c>
      <x:c r="R4269" s="13" t="n">
        <x:f>IF(I4269="","",I4269/1000000)</x:f>
        <x:v>3.9333333333333336</x:v>
      </x:c>
    </x:row>
    <x:row r="4270" ht="21" customHeight="1">
      <x:c r="A4270" s="10" t="n">
        <x:v>5729</x:v>
      </x:c>
      <x:c r="B4270" s="2" t="str">
        <x:v>9a440fe2ad563bff8e05</x:v>
      </x:c>
      <x:c r="C4270" s="2" t="str">
        <x:v>Hà Nội</x:v>
      </x:c>
      <x:c r="D4270" s="2" t="str">
        <x:v>Huyện Thanh Trì</x:v>
      </x:c>
      <x:c r="E4270" s="2" t="str">
        <x:v>land</x:v>
      </x:c>
      <x:c r="F4270" s="2" t="str">
        <x:v>sale</x:v>
      </x:c>
      <x:c r="G4270" s="11" t="n">
        <x:v>42</x:v>
      </x:c>
      <x:c r="H4270" s="12" t="n">
        <x:v>1350000000</x:v>
      </x:c>
      <x:c r="I4270" s="12" t="n">
        <x:v>32142857.14285714</x:v>
      </x:c>
      <x:c r="J4270" s="2" t="str">
        <x:v>total</x:v>
      </x:c>
      <x:c r="K4270" s="2" t="str">
        <x:v>top_level_area</x:v>
      </x:c>
      <x:c r="L4270" s="2" t="str">
        <x:v>property_type_inferred_from_title</x:v>
      </x:c>
      <x:c r="M4270" s="10" t="n">
        <x:v>0</x:v>
      </x:c>
      <x:c r="N4270" s="10" t="n">
        <x:v>0</x:v>
      </x:c>
      <x:c r="O4270" s="2" t="str">
        <x:v>Hà Nội|land</x:v>
      </x:c>
      <x:c r="P4270" s="10" t="n">
        <x:v>2</x:v>
      </x:c>
      <x:c r="Q4270" s="13" t="n">
        <x:f>IF(H4270="","",H4270/1000000000)</x:f>
        <x:v>1.35</x:v>
      </x:c>
      <x:c r="R4270" s="13" t="n">
        <x:f>IF(I4270="","",I4270/1000000)</x:f>
        <x:v>32.14285714285714</x:v>
      </x:c>
    </x:row>
    <x:row r="4271" ht="21" customHeight="1">
      <x:c r="A4271" s="10" t="n">
        <x:v>5730</x:v>
      </x:c>
      <x:c r="B4271" s="2" t="str">
        <x:v>7e0f56c631544894a4bf</x:v>
      </x:c>
      <x:c r="C4271" s="2" t="str">
        <x:v>Hà Nội</x:v>
      </x:c>
      <x:c r="D4271" s="2" t="str">
        <x:v>Quận Thanh Xuân</x:v>
      </x:c>
      <x:c r="E4271" s="2" t="str">
        <x:v>house</x:v>
      </x:c>
      <x:c r="F4271" s="2" t="str">
        <x:v>sale</x:v>
      </x:c>
      <x:c r="G4271" s="11" t="n">
        <x:v>28</x:v>
      </x:c>
      <x:c r="H4271" s="12" t="n">
        <x:v>1800000000</x:v>
      </x:c>
      <x:c r="I4271" s="12" t="n">
        <x:v>64285714.28571428</x:v>
      </x:c>
      <x:c r="J4271" s="2" t="str">
        <x:v>total</x:v>
      </x:c>
      <x:c r="K4271" s="2" t="str">
        <x:v>top_level_area</x:v>
      </x:c>
      <x:c r="L4271" s="2" t="str">
        <x:v>property_type_inferred_from_title</x:v>
      </x:c>
      <x:c r="M4271" s="10" t="n">
        <x:v>0</x:v>
      </x:c>
      <x:c r="N4271" s="10" t="n">
        <x:v>0</x:v>
      </x:c>
      <x:c r="O4271" s="2" t="str">
        <x:v>Hà Nội|house</x:v>
      </x:c>
      <x:c r="P4271" s="10" t="n">
        <x:v>2</x:v>
      </x:c>
      <x:c r="Q4271" s="13" t="n">
        <x:f>IF(H4271="","",H4271/1000000000)</x:f>
        <x:v>1.8</x:v>
      </x:c>
      <x:c r="R4271" s="13" t="n">
        <x:f>IF(I4271="","",I4271/1000000)</x:f>
        <x:v>64.28571428571428</x:v>
      </x:c>
    </x:row>
    <x:row r="4272" ht="21" customHeight="1">
      <x:c r="A4272" s="10" t="n">
        <x:v>5731</x:v>
      </x:c>
      <x:c r="B4272" s="2" t="str">
        <x:v>794d4eb674b882d566d2</x:v>
      </x:c>
      <x:c r="C4272" s="2" t="str">
        <x:v>Tp Hồ Chí Minh</x:v>
      </x:c>
      <x:c r="D4272" s="2" t="str">
        <x:v>Huyện Hóc Môn</x:v>
      </x:c>
      <x:c r="E4272" s="2" t="str">
        <x:v>house</x:v>
      </x:c>
      <x:c r="F4272" s="2" t="str">
        <x:v>sale</x:v>
      </x:c>
      <x:c r="G4272" s="11" t="n">
        <x:v>32</x:v>
      </x:c>
      <x:c r="H4272" s="12" t="n">
        <x:v>440000000</x:v>
      </x:c>
      <x:c r="I4272" s="12" t="n">
        <x:v>13750000</x:v>
      </x:c>
      <x:c r="J4272" s="2" t="str">
        <x:v>total</x:v>
      </x:c>
      <x:c r="K4272" s="2" t="str">
        <x:v>top_level_price_embedded_area</x:v>
      </x:c>
      <x:c r="L4272" s="2" t="str">
        <x:v>area_recovered_from_price_text;property_type_inferred_from_title</x:v>
      </x:c>
      <x:c r="M4272" s="10" t="n">
        <x:v>0</x:v>
      </x:c>
      <x:c r="N4272" s="10" t="n">
        <x:v>0</x:v>
      </x:c>
      <x:c r="O4272" s="2" t="str">
        <x:v>Tp Hồ Chí Minh|house</x:v>
      </x:c>
      <x:c r="P4272" s="10" t="n">
        <x:v>2</x:v>
      </x:c>
      <x:c r="Q4272" s="13" t="n">
        <x:f>IF(H4272="","",H4272/1000000000)</x:f>
        <x:v>0.44</x:v>
      </x:c>
      <x:c r="R4272" s="13" t="n">
        <x:f>IF(I4272="","",I4272/1000000)</x:f>
        <x:v>13.75</x:v>
      </x:c>
    </x:row>
    <x:row r="4273" ht="21" customHeight="1">
      <x:c r="A4273" s="10" t="n">
        <x:v>5732</x:v>
      </x:c>
      <x:c r="B4273" s="2" t="str">
        <x:v>bad08045d6319e7f1845</x:v>
      </x:c>
      <x:c r="C4273" s="2" t="str">
        <x:v>Long An</x:v>
      </x:c>
      <x:c r="D4273" s="2" t="str">
        <x:v>Huyện Cần Giuộc</x:v>
      </x:c>
      <x:c r="E4273" s="2" t="str">
        <x:v>house</x:v>
      </x:c>
      <x:c r="F4273" s="2" t="str">
        <x:v>sale</x:v>
      </x:c>
      <x:c r="G4273" s="11" t="n">
        <x:v>48</x:v>
      </x:c>
      <x:c r="H4273" s="12" t="n">
        <x:v>700000000</x:v>
      </x:c>
      <x:c r="I4273" s="12" t="n">
        <x:v>14583333.333333334</x:v>
      </x:c>
      <x:c r="J4273" s="2" t="str">
        <x:v>total</x:v>
      </x:c>
      <x:c r="K4273" s="2" t="str">
        <x:v>top_level_area</x:v>
      </x:c>
      <x:c r="L4273" s="2" t="str">
        <x:v>property_type_inferred_from_title</x:v>
      </x:c>
      <x:c r="M4273" s="10" t="n">
        <x:v>0</x:v>
      </x:c>
      <x:c r="N4273" s="10" t="n">
        <x:v>0</x:v>
      </x:c>
      <x:c r="O4273" s="2" t="str">
        <x:v>Long An|house</x:v>
      </x:c>
      <x:c r="P4273" s="10" t="n">
        <x:v>2</x:v>
      </x:c>
      <x:c r="Q4273" s="13" t="n">
        <x:f>IF(H4273="","",H4273/1000000000)</x:f>
        <x:v>0.7</x:v>
      </x:c>
      <x:c r="R4273" s="13" t="n">
        <x:f>IF(I4273="","",I4273/1000000)</x:f>
        <x:v>14.583333333333334</x:v>
      </x:c>
    </x:row>
    <x:row r="4274" ht="21" customHeight="1">
      <x:c r="A4274" s="10" t="n">
        <x:v>5733</x:v>
      </x:c>
      <x:c r="B4274" s="2" t="str">
        <x:v>17b25256e4bae1c88256</x:v>
      </x:c>
      <x:c r="C4274" s="2" t="str">
        <x:v>Đà Nẵng</x:v>
      </x:c>
      <x:c r="D4274" s="2" t="str">
        <x:v>Quận Ngũ Hành Sơn</x:v>
      </x:c>
      <x:c r="E4274" s="2" t="str">
        <x:v>house</x:v>
      </x:c>
      <x:c r="F4274" s="2" t="str">
        <x:v>sale</x:v>
      </x:c>
      <x:c r="G4274" s="11" t="n">
        <x:v>52</x:v>
      </x:c>
      <x:c r="H4274" s="12" t="n">
        <x:v>4600000000</x:v>
      </x:c>
      <x:c r="I4274" s="12" t="n">
        <x:v>88461538.46153846</x:v>
      </x:c>
      <x:c r="J4274" s="2" t="str">
        <x:v>total</x:v>
      </x:c>
      <x:c r="K4274" s="2" t="str">
        <x:v>top_level_area</x:v>
      </x:c>
      <x:c r="L4274" s="2" t="str">
        <x:v>property_type_inferred_from_title</x:v>
      </x:c>
      <x:c r="M4274" s="10" t="n">
        <x:v>0</x:v>
      </x:c>
      <x:c r="N4274" s="10" t="n">
        <x:v>0</x:v>
      </x:c>
      <x:c r="O4274" s="2" t="str">
        <x:v>Đà Nẵng|house</x:v>
      </x:c>
      <x:c r="P4274" s="10" t="n">
        <x:v>2</x:v>
      </x:c>
      <x:c r="Q4274" s="13" t="n">
        <x:f>IF(H4274="","",H4274/1000000000)</x:f>
        <x:v>4.6</x:v>
      </x:c>
      <x:c r="R4274" s="13" t="n">
        <x:f>IF(I4274="","",I4274/1000000)</x:f>
        <x:v>88.46153846153847</x:v>
      </x:c>
    </x:row>
    <x:row r="4275" ht="21" customHeight="1">
      <x:c r="A4275" s="10" t="n">
        <x:v>5734</x:v>
      </x:c>
      <x:c r="B4275" s="2" t="str">
        <x:v>197e3592862473632f06</x:v>
      </x:c>
      <x:c r="C4275" s="2" t="str">
        <x:v>Long An</x:v>
      </x:c>
      <x:c r="D4275" s="2" t="str">
        <x:v>Huyện Đức Huệ</x:v>
      </x:c>
      <x:c r="E4275" s="2" t="str">
        <x:v>house</x:v>
      </x:c>
      <x:c r="F4275" s="2" t="str">
        <x:v>sale_assumed</x:v>
      </x:c>
      <x:c r="G4275" s="11" t="n">
        <x:v>60</x:v>
      </x:c>
      <x:c r="H4275" s="12" t="n">
        <x:v>680000000</x:v>
      </x:c>
      <x:c r="I4275" s="12" t="n">
        <x:v>11333333.333333334</x:v>
      </x:c>
      <x:c r="J4275" s="2" t="str">
        <x:v>total</x:v>
      </x:c>
      <x:c r="K4275" s="2" t="str">
        <x:v>top_level_area</x:v>
      </x:c>
      <x:c r="L4275" s="2" t="str">
        <x:v>property_type_inferred_from_title;transaction_assumed_sale_from_dataset_context</x:v>
      </x:c>
      <x:c r="M4275" s="10" t="n">
        <x:v>0</x:v>
      </x:c>
      <x:c r="N4275" s="10" t="n">
        <x:v>0</x:v>
      </x:c>
      <x:c r="O4275" s="2" t="str">
        <x:v>Long An|house</x:v>
      </x:c>
      <x:c r="P4275" s="10" t="n">
        <x:v>2</x:v>
      </x:c>
      <x:c r="Q4275" s="13" t="n">
        <x:f>IF(H4275="","",H4275/1000000000)</x:f>
        <x:v>0.68</x:v>
      </x:c>
      <x:c r="R4275" s="13" t="n">
        <x:f>IF(I4275="","",I4275/1000000)</x:f>
        <x:v>11.333333333333334</x:v>
      </x:c>
    </x:row>
    <x:row r="4276" ht="21" customHeight="1">
      <x:c r="A4276" s="10" t="n">
        <x:v>5737</x:v>
      </x:c>
      <x:c r="B4276" s="2" t="str">
        <x:v>b1072e2c8deb25168050</x:v>
      </x:c>
      <x:c r="C4276" s="2" t="str">
        <x:v>Đà Nẵng</x:v>
      </x:c>
      <x:c r="D4276" s="2" t="str">
        <x:v>Quận Thanh Khê</x:v>
      </x:c>
      <x:c r="E4276" s="2" t="str">
        <x:v>house</x:v>
      </x:c>
      <x:c r="F4276" s="2" t="str">
        <x:v>sale</x:v>
      </x:c>
      <x:c r="G4276" s="11" t="n">
        <x:v>55</x:v>
      </x:c>
      <x:c r="H4276" s="12" t="n">
        <x:v>3900000000</x:v>
      </x:c>
      <x:c r="I4276" s="12" t="n">
        <x:v>70909090.9090909</x:v>
      </x:c>
      <x:c r="J4276" s="2" t="str">
        <x:v>total</x:v>
      </x:c>
      <x:c r="K4276" s="2" t="str">
        <x:v>top_level_area</x:v>
      </x:c>
      <x:c r="L4276" s="2" t="str">
        <x:v>property_type_inferred_from_title</x:v>
      </x:c>
      <x:c r="M4276" s="10" t="n">
        <x:v>0</x:v>
      </x:c>
      <x:c r="N4276" s="10" t="n">
        <x:v>0</x:v>
      </x:c>
      <x:c r="O4276" s="2" t="str">
        <x:v>Đà Nẵng|house</x:v>
      </x:c>
      <x:c r="P4276" s="10" t="n">
        <x:v>2</x:v>
      </x:c>
      <x:c r="Q4276" s="13" t="n">
        <x:f>IF(H4276="","",H4276/1000000000)</x:f>
        <x:v>3.9</x:v>
      </x:c>
      <x:c r="R4276" s="13" t="n">
        <x:f>IF(I4276="","",I4276/1000000)</x:f>
        <x:v>70.9090909090909</x:v>
      </x:c>
    </x:row>
    <x:row r="4277" ht="21" customHeight="1">
      <x:c r="A4277" s="10" t="n">
        <x:v>5738</x:v>
      </x:c>
      <x:c r="B4277" s="2" t="str">
        <x:v>d254508ed0269e634b78</x:v>
      </x:c>
      <x:c r="C4277" s="2" t="str">
        <x:v>Hà Nội</x:v>
      </x:c>
      <x:c r="D4277" s="2" t="str">
        <x:v>Quận Thanh Xuân</x:v>
      </x:c>
      <x:c r="E4277" s="2" t="str">
        <x:v>house</x:v>
      </x:c>
      <x:c r="F4277" s="2" t="str">
        <x:v>sale</x:v>
      </x:c>
      <x:c r="G4277" s="11" t="n">
        <x:v>45</x:v>
      </x:c>
      <x:c r="H4277" s="12" t="n">
        <x:v>4350000000</x:v>
      </x:c>
      <x:c r="I4277" s="12" t="n">
        <x:v>96666666.66666667</x:v>
      </x:c>
      <x:c r="J4277" s="2" t="str">
        <x:v>total</x:v>
      </x:c>
      <x:c r="K4277" s="2" t="str">
        <x:v>top_level_area</x:v>
      </x:c>
      <x:c r="L4277" s="2" t="str">
        <x:v>property_type_inferred_from_title</x:v>
      </x:c>
      <x:c r="M4277" s="10" t="n">
        <x:v>0</x:v>
      </x:c>
      <x:c r="N4277" s="10" t="n">
        <x:v>0</x:v>
      </x:c>
      <x:c r="O4277" s="2" t="str">
        <x:v>Hà Nội|house</x:v>
      </x:c>
      <x:c r="P4277" s="10" t="n">
        <x:v>2</x:v>
      </x:c>
      <x:c r="Q4277" s="13" t="n">
        <x:f>IF(H4277="","",H4277/1000000000)</x:f>
        <x:v>4.35</x:v>
      </x:c>
      <x:c r="R4277" s="13" t="n">
        <x:f>IF(I4277="","",I4277/1000000)</x:f>
        <x:v>96.66666666666667</x:v>
      </x:c>
    </x:row>
    <x:row r="4278" ht="21" customHeight="1">
      <x:c r="A4278" s="10" t="n">
        <x:v>5739</x:v>
      </x:c>
      <x:c r="B4278" s="2" t="str">
        <x:v>8bb21682d8bf1089331d</x:v>
      </x:c>
      <x:c r="C4278" s="2" t="str">
        <x:v>Hà Nội</x:v>
      </x:c>
      <x:c r="D4278" s="2" t="str">
        <x:v>Quận Long Biên</x:v>
      </x:c>
      <x:c r="E4278" s="2" t="str">
        <x:v>land</x:v>
      </x:c>
      <x:c r="F4278" s="2" t="str">
        <x:v>sale</x:v>
      </x:c>
      <x:c r="G4278" s="11" t="n">
        <x:v>42</x:v>
      </x:c>
      <x:c r="H4278" s="12" t="n">
        <x:v>1900000000</x:v>
      </x:c>
      <x:c r="I4278" s="12" t="n">
        <x:v>45238095.23809524</x:v>
      </x:c>
      <x:c r="J4278" s="2" t="str">
        <x:v>total</x:v>
      </x:c>
      <x:c r="K4278" s="2" t="str">
        <x:v>top_level_area</x:v>
      </x:c>
      <x:c r="L4278" s="2" t="str">
        <x:v>property_type_inferred_from_title</x:v>
      </x:c>
      <x:c r="M4278" s="10" t="n">
        <x:v>0</x:v>
      </x:c>
      <x:c r="N4278" s="10" t="n">
        <x:v>0</x:v>
      </x:c>
      <x:c r="O4278" s="2" t="str">
        <x:v>Hà Nội|land</x:v>
      </x:c>
      <x:c r="P4278" s="10" t="n">
        <x:v>2</x:v>
      </x:c>
      <x:c r="Q4278" s="13" t="n">
        <x:f>IF(H4278="","",H4278/1000000000)</x:f>
        <x:v>1.9</x:v>
      </x:c>
      <x:c r="R4278" s="13" t="n">
        <x:f>IF(I4278="","",I4278/1000000)</x:f>
        <x:v>45.23809523809524</x:v>
      </x:c>
    </x:row>
    <x:row r="4279" ht="21" customHeight="1">
      <x:c r="A4279" s="10" t="n">
        <x:v>5740</x:v>
      </x:c>
      <x:c r="B4279" s="2" t="str">
        <x:v>0867587a5312a787996b</x:v>
      </x:c>
      <x:c r="C4279" s="2" t="str">
        <x:v>Tp Hồ Chí Minh</x:v>
      </x:c>
      <x:c r="D4279" s="2" t="str">
        <x:v>Quận 11</x:v>
      </x:c>
      <x:c r="E4279" s="2" t="str">
        <x:v>house</x:v>
      </x:c>
      <x:c r="F4279" s="2" t="str">
        <x:v>sale</x:v>
      </x:c>
      <x:c r="G4279" s="11" t="n">
        <x:v>48</x:v>
      </x:c>
      <x:c r="H4279" s="12" t="n">
        <x:v>865000000</x:v>
      </x:c>
      <x:c r="I4279" s="12" t="n">
        <x:v>18020833.333333332</x:v>
      </x:c>
      <x:c r="J4279" s="2" t="str">
        <x:v>total</x:v>
      </x:c>
      <x:c r="K4279" s="2" t="str">
        <x:v>top_level_area</x:v>
      </x:c>
      <x:c r="L4279" s="2" t="str">
        <x:v>property_type_inferred_from_title</x:v>
      </x:c>
      <x:c r="M4279" s="10" t="n">
        <x:v>0</x:v>
      </x:c>
      <x:c r="N4279" s="10" t="n">
        <x:v>0</x:v>
      </x:c>
      <x:c r="O4279" s="2" t="str">
        <x:v>Tp Hồ Chí Minh|house</x:v>
      </x:c>
      <x:c r="P4279" s="10" t="n">
        <x:v>2</x:v>
      </x:c>
      <x:c r="Q4279" s="13" t="n">
        <x:f>IF(H4279="","",H4279/1000000000)</x:f>
        <x:v>0.865</x:v>
      </x:c>
      <x:c r="R4279" s="13" t="n">
        <x:f>IF(I4279="","",I4279/1000000)</x:f>
        <x:v>18.020833333333332</x:v>
      </x:c>
    </x:row>
    <x:row r="4280" ht="21" customHeight="1">
      <x:c r="A4280" s="10" t="n">
        <x:v>5741</x:v>
      </x:c>
      <x:c r="B4280" s="2" t="str">
        <x:v>95c14557daa0934933c0</x:v>
      </x:c>
      <x:c r="C4280" s="2" t="str">
        <x:v>Tp Hồ Chí Minh</x:v>
      </x:c>
      <x:c r="D4280" s="2" t="str">
        <x:v>Quận Phú Nhuận</x:v>
      </x:c>
      <x:c r="E4280" s="2" t="str">
        <x:v>house</x:v>
      </x:c>
      <x:c r="F4280" s="2" t="str">
        <x:v>sale_assumed</x:v>
      </x:c>
      <x:c r="G4280" s="11" t="n">
        <x:v>55</x:v>
      </x:c>
      <x:c r="H4280" s="12" t="n">
        <x:v>925000000</x:v>
      </x:c>
      <x:c r="I4280" s="12" t="n">
        <x:v>16818181.818181816</x:v>
      </x:c>
      <x:c r="J4280" s="2" t="str">
        <x:v>total</x:v>
      </x:c>
      <x:c r="K4280" s="2" t="str">
        <x:v>top_level_area</x:v>
      </x:c>
      <x:c r="L4280" s="2" t="str">
        <x:v>property_type_inferred_from_title;transaction_assumed_sale_from_dataset_context</x:v>
      </x:c>
      <x:c r="M4280" s="10" t="n">
        <x:v>0</x:v>
      </x:c>
      <x:c r="N4280" s="10" t="n">
        <x:v>0</x:v>
      </x:c>
      <x:c r="O4280" s="2" t="str">
        <x:v>Tp Hồ Chí Minh|house</x:v>
      </x:c>
      <x:c r="P4280" s="10" t="n">
        <x:v>2</x:v>
      </x:c>
      <x:c r="Q4280" s="13" t="n">
        <x:f>IF(H4280="","",H4280/1000000000)</x:f>
        <x:v>0.925</x:v>
      </x:c>
      <x:c r="R4280" s="13" t="n">
        <x:f>IF(I4280="","",I4280/1000000)</x:f>
        <x:v>16.818181818181817</x:v>
      </x:c>
    </x:row>
    <x:row r="4281" ht="21" customHeight="1">
      <x:c r="A4281" s="10" t="n">
        <x:v>5742</x:v>
      </x:c>
      <x:c r="B4281" s="2" t="str">
        <x:v>4fba9ad0fcbc81f46337</x:v>
      </x:c>
      <x:c r="C4281" s="2" t="str">
        <x:v>Thừa Thiên Huế</x:v>
      </x:c>
      <x:c r="D4281" s="2" t="str">
        <x:v>Thành phố Huế</x:v>
      </x:c>
      <x:c r="E4281" s="2" t="str">
        <x:v>land</x:v>
      </x:c>
      <x:c r="F4281" s="2" t="str">
        <x:v>sale_assumed</x:v>
      </x:c>
      <x:c r="G4281" s="11" t="n">
        <x:v>103</x:v>
      </x:c>
      <x:c r="H4281" s="12" t="n">
        <x:v>1420000000</x:v>
      </x:c>
      <x:c r="I4281" s="12" t="n">
        <x:v>13786407.766990291</x:v>
      </x:c>
      <x:c r="J4281" s="2" t="str">
        <x:v>total</x:v>
      </x:c>
      <x:c r="K4281" s="2" t="str">
        <x:v>top_level_area</x:v>
      </x:c>
      <x:c r="L4281" s="2" t="str">
        <x:v>property_type_inferred_from_title;transaction_assumed_sale_from_dataset_context</x:v>
      </x:c>
      <x:c r="M4281" s="10" t="n">
        <x:v>0</x:v>
      </x:c>
      <x:c r="N4281" s="10" t="n">
        <x:v>0</x:v>
      </x:c>
      <x:c r="O4281" s="2" t="str">
        <x:v>land</x:v>
      </x:c>
      <x:c r="P4281" s="10" t="n">
        <x:v>2</x:v>
      </x:c>
      <x:c r="Q4281" s="13" t="n">
        <x:f>IF(H4281="","",H4281/1000000000)</x:f>
        <x:v>1.42</x:v>
      </x:c>
      <x:c r="R4281" s="13" t="n">
        <x:f>IF(I4281="","",I4281/1000000)</x:f>
        <x:v>13.78640776699029</x:v>
      </x:c>
    </x:row>
    <x:row r="4282" ht="21" customHeight="1">
      <x:c r="A4282" s="10" t="n">
        <x:v>5743</x:v>
      </x:c>
      <x:c r="B4282" s="2" t="str">
        <x:v>470c79544208e8f8d58d</x:v>
      </x:c>
      <x:c r="C4282" s="2" t="str">
        <x:v>Khánh Hòa</x:v>
      </x:c>
      <x:c r="D4282" s="2" t="str">
        <x:v>Thành phố Nha Trang</x:v>
      </x:c>
      <x:c r="E4282" s="2" t="str">
        <x:v>land</x:v>
      </x:c>
      <x:c r="F4282" s="2" t="str">
        <x:v>sale_assumed</x:v>
      </x:c>
      <x:c r="G4282" s="11" t="n">
        <x:v>64</x:v>
      </x:c>
      <x:c r="H4282" s="12" t="n">
        <x:v>900000000</x:v>
      </x:c>
      <x:c r="I4282" s="12" t="n">
        <x:v>14062500</x:v>
      </x:c>
      <x:c r="J4282" s="2" t="str">
        <x:v>total</x:v>
      </x:c>
      <x:c r="K4282" s="2" t="str">
        <x:v>top_level_area</x:v>
      </x:c>
      <x:c r="L4282" s="2" t="str">
        <x:v>property_type_inferred_from_title;transaction_assumed_sale_from_dataset_context</x:v>
      </x:c>
      <x:c r="M4282" s="10" t="n">
        <x:v>0</x:v>
      </x:c>
      <x:c r="N4282" s="10" t="n">
        <x:v>0</x:v>
      </x:c>
      <x:c r="O4282" s="2" t="str">
        <x:v>land</x:v>
      </x:c>
      <x:c r="P4282" s="10" t="n">
        <x:v>2</x:v>
      </x:c>
      <x:c r="Q4282" s="13" t="n">
        <x:f>IF(H4282="","",H4282/1000000000)</x:f>
        <x:v>0.9</x:v>
      </x:c>
      <x:c r="R4282" s="13" t="n">
        <x:f>IF(I4282="","",I4282/1000000)</x:f>
        <x:v>14.0625</x:v>
      </x:c>
    </x:row>
    <x:row r="4283" ht="21" customHeight="1">
      <x:c r="A4283" s="10" t="n">
        <x:v>5744</x:v>
      </x:c>
      <x:c r="B4283" s="2" t="str">
        <x:v>def2a5f4e8930345ca98</x:v>
      </x:c>
      <x:c r="C4283" s="2" t="str">
        <x:v>Hà Nội</x:v>
      </x:c>
      <x:c r="D4283" s="2" t="str">
        <x:v>Quận Hà Đông</x:v>
      </x:c>
      <x:c r="E4283" s="2" t="str">
        <x:v>house</x:v>
      </x:c>
      <x:c r="F4283" s="2" t="str">
        <x:v>sale_assumed</x:v>
      </x:c>
      <x:c r="G4283" s="11" t="n">
        <x:v>30</x:v>
      </x:c>
      <x:c r="H4283" s="12" t="n">
        <x:v>1920000000</x:v>
      </x:c>
      <x:c r="I4283" s="12" t="n">
        <x:v>64000000</x:v>
      </x:c>
      <x:c r="J4283" s="2" t="str">
        <x:v>total</x:v>
      </x:c>
      <x:c r="K4283" s="2" t="str">
        <x:v>top_level_area</x:v>
      </x:c>
      <x:c r="L4283" s="2" t="str">
        <x:v>property_type_inferred_from_title;transaction_assumed_sale_from_dataset_context</x:v>
      </x:c>
      <x:c r="M4283" s="10" t="n">
        <x:v>0</x:v>
      </x:c>
      <x:c r="N4283" s="10" t="n">
        <x:v>0</x:v>
      </x:c>
      <x:c r="O4283" s="2" t="str">
        <x:v>Hà Nội|house</x:v>
      </x:c>
      <x:c r="P4283" s="10" t="n">
        <x:v>2</x:v>
      </x:c>
      <x:c r="Q4283" s="13" t="n">
        <x:f>IF(H4283="","",H4283/1000000000)</x:f>
        <x:v>1.92</x:v>
      </x:c>
      <x:c r="R4283" s="13" t="n">
        <x:f>IF(I4283="","",I4283/1000000)</x:f>
        <x:v>64</x:v>
      </x:c>
    </x:row>
    <x:row r="4284" ht="21" customHeight="1">
      <x:c r="A4284" s="10" t="n">
        <x:v>5745</x:v>
      </x:c>
      <x:c r="B4284" s="2" t="str">
        <x:v>c91ac7e5b6a3bc7b5909</x:v>
      </x:c>
      <x:c r="C4284" s="2" t="str">
        <x:v>Hà Nội</x:v>
      </x:c>
      <x:c r="D4284" s="2" t="str">
        <x:v>Quận Long Biên</x:v>
      </x:c>
      <x:c r="E4284" s="2" t="str">
        <x:v>house</x:v>
      </x:c>
      <x:c r="F4284" s="2" t="str">
        <x:v>sale</x:v>
      </x:c>
      <x:c r="G4284" s="11" t="n">
        <x:v>72</x:v>
      </x:c>
      <x:c r="H4284" s="12" t="n">
        <x:v>11500000000</x:v>
      </x:c>
      <x:c r="I4284" s="12" t="n">
        <x:v>159722222.2222222</x:v>
      </x:c>
      <x:c r="J4284" s="2" t="str">
        <x:v>total</x:v>
      </x:c>
      <x:c r="K4284" s="2" t="str">
        <x:v>top_level_area</x:v>
      </x:c>
      <x:c r="L4284" s="2" t="str">
        <x:v>property_type_inferred_from_title</x:v>
      </x:c>
      <x:c r="M4284" s="10" t="n">
        <x:v>0</x:v>
      </x:c>
      <x:c r="N4284" s="10" t="n">
        <x:v>0</x:v>
      </x:c>
      <x:c r="O4284" s="2" t="str">
        <x:v>Hà Nội|house</x:v>
      </x:c>
      <x:c r="P4284" s="10" t="n">
        <x:v>2</x:v>
      </x:c>
      <x:c r="Q4284" s="13" t="n">
        <x:f>IF(H4284="","",H4284/1000000000)</x:f>
        <x:v>11.5</x:v>
      </x:c>
      <x:c r="R4284" s="13" t="n">
        <x:f>IF(I4284="","",I4284/1000000)</x:f>
        <x:v>159.7222222222222</x:v>
      </x:c>
    </x:row>
    <x:row r="4285" ht="21" customHeight="1">
      <x:c r="A4285" s="10" t="n">
        <x:v>5746</x:v>
      </x:c>
      <x:c r="B4285" s="2" t="str">
        <x:v>2f54d149c98e373b7589</x:v>
      </x:c>
      <x:c r="C4285" s="2" t="str">
        <x:v>Hà Nội</x:v>
      </x:c>
      <x:c r="D4285" s="2" t="str">
        <x:v>Quận Thanh Xuân</x:v>
      </x:c>
      <x:c r="E4285" s="2" t="str">
        <x:v>other_unknown</x:v>
      </x:c>
      <x:c r="F4285" s="2" t="str">
        <x:v>sale</x:v>
      </x:c>
      <x:c r="G4285" s="11" t="n">
        <x:v>56</x:v>
      </x:c>
      <x:c r="H4285" s="12" t="n">
        <x:v>6200000000</x:v>
      </x:c>
      <x:c r="I4285" s="12" t="n">
        <x:v>110714285.71428572</x:v>
      </x:c>
      <x:c r="J4285" s="2" t="str">
        <x:v>total</x:v>
      </x:c>
      <x:c r="K4285" s="2" t="str">
        <x:v>top_level_area</x:v>
      </x:c>
      <x:c r="L4285" s="2" t="str">
        <x:v>property_type_inferred_from_title;unknown_property_type</x:v>
      </x:c>
      <x:c r="M4285" s="10" t="n">
        <x:v>0</x:v>
      </x:c>
      <x:c r="N4285" s="10" t="n">
        <x:v>0</x:v>
      </x:c>
      <x:c r="O4285" s="2" t="str">
        <x:v>Hà Nội|other_unknown</x:v>
      </x:c>
      <x:c r="P4285" s="10" t="n">
        <x:v>2</x:v>
      </x:c>
      <x:c r="Q4285" s="13" t="n">
        <x:f>IF(H4285="","",H4285/1000000000)</x:f>
        <x:v>6.2</x:v>
      </x:c>
      <x:c r="R4285" s="13" t="n">
        <x:f>IF(I4285="","",I4285/1000000)</x:f>
        <x:v>110.71428571428572</x:v>
      </x:c>
    </x:row>
    <x:row r="4286" ht="21" customHeight="1">
      <x:c r="A4286" s="10" t="n">
        <x:v>5747</x:v>
      </x:c>
      <x:c r="B4286" s="2" t="str">
        <x:v>9a5be4f1465cc1c0724c</x:v>
      </x:c>
      <x:c r="C4286" s="2" t="str">
        <x:v>Đắk Lắk</x:v>
      </x:c>
      <x:c r="D4286" s="2" t="str">
        <x:v>Thành phố Buôn Ma Thuột</x:v>
      </x:c>
      <x:c r="E4286" s="2" t="str">
        <x:v>house</x:v>
      </x:c>
      <x:c r="F4286" s="2" t="str">
        <x:v>sale</x:v>
      </x:c>
      <x:c r="G4286" s="11" t="n">
        <x:v>95</x:v>
      </x:c>
      <x:c r="H4286" s="12" t="n">
        <x:v>1980000000</x:v>
      </x:c>
      <x:c r="I4286" s="12" t="n">
        <x:v>20842105.263157893</x:v>
      </x:c>
      <x:c r="J4286" s="2" t="str">
        <x:v>total</x:v>
      </x:c>
      <x:c r="K4286" s="2" t="str">
        <x:v>top_level_area</x:v>
      </x:c>
      <x:c r="L4286" s="2" t="str">
        <x:v>property_type_inferred_from_title</x:v>
      </x:c>
      <x:c r="M4286" s="10" t="n">
        <x:v>0</x:v>
      </x:c>
      <x:c r="N4286" s="10" t="n">
        <x:v>0</x:v>
      </x:c>
      <x:c r="O4286" s="2" t="str">
        <x:v>Đắk Lắk|house</x:v>
      </x:c>
      <x:c r="P4286" s="10" t="n">
        <x:v>2</x:v>
      </x:c>
      <x:c r="Q4286" s="13" t="n">
        <x:f>IF(H4286="","",H4286/1000000000)</x:f>
        <x:v>1.98</x:v>
      </x:c>
      <x:c r="R4286" s="13" t="n">
        <x:f>IF(I4286="","",I4286/1000000)</x:f>
        <x:v>20.842105263157894</x:v>
      </x:c>
    </x:row>
    <x:row r="4287" ht="21" customHeight="1">
      <x:c r="A4287" s="10" t="n">
        <x:v>5748</x:v>
      </x:c>
      <x:c r="B4287" s="2" t="str">
        <x:v>25af12476def95b091f8</x:v>
      </x:c>
      <x:c r="C4287" s="2" t="str">
        <x:v>Tp Hồ Chí Minh</x:v>
      </x:c>
      <x:c r="D4287" s="2" t="str">
        <x:v>Quận Thủ Đức</x:v>
      </x:c>
      <x:c r="E4287" s="2" t="str">
        <x:v>house</x:v>
      </x:c>
      <x:c r="F4287" s="2" t="str">
        <x:v>sale</x:v>
      </x:c>
      <x:c r="G4287" s="11" t="n">
        <x:v>76</x:v>
      </x:c>
      <x:c r="H4287" s="12" t="n">
        <x:v>6600000000</x:v>
      </x:c>
      <x:c r="I4287" s="12" t="n">
        <x:v>86842105.26315789</x:v>
      </x:c>
      <x:c r="J4287" s="2" t="str">
        <x:v>total</x:v>
      </x:c>
      <x:c r="K4287" s="2" t="str">
        <x:v>top_level_area</x:v>
      </x:c>
      <x:c r="L4287" s="2" t="str">
        <x:v>property_type_inferred_from_title</x:v>
      </x:c>
      <x:c r="M4287" s="10" t="n">
        <x:v>0</x:v>
      </x:c>
      <x:c r="N4287" s="10" t="n">
        <x:v>0</x:v>
      </x:c>
      <x:c r="O4287" s="2" t="str">
        <x:v>Tp Hồ Chí Minh|house</x:v>
      </x:c>
      <x:c r="P4287" s="10" t="n">
        <x:v>2</x:v>
      </x:c>
      <x:c r="Q4287" s="13" t="n">
        <x:f>IF(H4287="","",H4287/1000000000)</x:f>
        <x:v>6.6</x:v>
      </x:c>
      <x:c r="R4287" s="13" t="n">
        <x:f>IF(I4287="","",I4287/1000000)</x:f>
        <x:v>86.84210526315789</x:v>
      </x:c>
    </x:row>
    <x:row r="4288" ht="21" customHeight="1">
      <x:c r="A4288" s="10" t="n">
        <x:v>5749</x:v>
      </x:c>
      <x:c r="B4288" s="2" t="str">
        <x:v>72421ed63e703860fcd9</x:v>
      </x:c>
      <x:c r="C4288" s="2" t="str">
        <x:v>Tp Hồ Chí Minh</x:v>
      </x:c>
      <x:c r="D4288" s="2" t="str">
        <x:v>Quận Gò Vấp</x:v>
      </x:c>
      <x:c r="E4288" s="2" t="str">
        <x:v>house</x:v>
      </x:c>
      <x:c r="F4288" s="2" t="str">
        <x:v>sale</x:v>
      </x:c>
      <x:c r="G4288" s="11" t="n">
        <x:v>66</x:v>
      </x:c>
      <x:c r="H4288" s="12" t="n">
        <x:v>1000000000</x:v>
      </x:c>
      <x:c r="I4288" s="12" t="n">
        <x:v>15151515.151515152</x:v>
      </x:c>
      <x:c r="J4288" s="2" t="str">
        <x:v>total</x:v>
      </x:c>
      <x:c r="K4288" s="2" t="str">
        <x:v>top_level_area</x:v>
      </x:c>
      <x:c r="L4288" s="2" t="str">
        <x:v>property_type_inferred_from_title</x:v>
      </x:c>
      <x:c r="M4288" s="10" t="n">
        <x:v>0</x:v>
      </x:c>
      <x:c r="N4288" s="10" t="n">
        <x:v>0</x:v>
      </x:c>
      <x:c r="O4288" s="2" t="str">
        <x:v>Tp Hồ Chí Minh|house</x:v>
      </x:c>
      <x:c r="P4288" s="10" t="n">
        <x:v>2</x:v>
      </x:c>
      <x:c r="Q4288" s="13" t="n">
        <x:f>IF(H4288="","",H4288/1000000000)</x:f>
        <x:v>1</x:v>
      </x:c>
      <x:c r="R4288" s="13" t="n">
        <x:f>IF(I4288="","",I4288/1000000)</x:f>
        <x:v>15.151515151515152</x:v>
      </x:c>
    </x:row>
    <x:row r="4289" ht="21" customHeight="1">
      <x:c r="A4289" s="10" t="n">
        <x:v>5750</x:v>
      </x:c>
      <x:c r="B4289" s="2" t="str">
        <x:v>76f1194800ad6d6ac8c6</x:v>
      </x:c>
      <x:c r="C4289" s="2" t="str">
        <x:v>Đà Nẵng</x:v>
      </x:c>
      <x:c r="D4289" s="2" t="str">
        <x:v>Quận Thanh Khê</x:v>
      </x:c>
      <x:c r="E4289" s="2" t="str">
        <x:v>house</x:v>
      </x:c>
      <x:c r="F4289" s="2" t="str">
        <x:v>sale</x:v>
      </x:c>
      <x:c r="G4289" s="11" t="n">
        <x:v>51</x:v>
      </x:c>
      <x:c r="H4289" s="12" t="n">
        <x:v>2650000000</x:v>
      </x:c>
      <x:c r="I4289" s="12" t="n">
        <x:v>51960784.313725494</x:v>
      </x:c>
      <x:c r="J4289" s="2" t="str">
        <x:v>total</x:v>
      </x:c>
      <x:c r="K4289" s="2" t="str">
        <x:v>top_level_area</x:v>
      </x:c>
      <x:c r="L4289" s="2" t="str">
        <x:v>property_type_inferred_from_title</x:v>
      </x:c>
      <x:c r="M4289" s="10" t="n">
        <x:v>0</x:v>
      </x:c>
      <x:c r="N4289" s="10" t="n">
        <x:v>0</x:v>
      </x:c>
      <x:c r="O4289" s="2" t="str">
        <x:v>Đà Nẵng|house</x:v>
      </x:c>
      <x:c r="P4289" s="10" t="n">
        <x:v>2</x:v>
      </x:c>
      <x:c r="Q4289" s="13" t="n">
        <x:f>IF(H4289="","",H4289/1000000000)</x:f>
        <x:v>2.65</x:v>
      </x:c>
      <x:c r="R4289" s="13" t="n">
        <x:f>IF(I4289="","",I4289/1000000)</x:f>
        <x:v>51.96078431372549</x:v>
      </x:c>
    </x:row>
    <x:row r="4290" ht="21" customHeight="1">
      <x:c r="A4290" s="10" t="n">
        <x:v>5751</x:v>
      </x:c>
      <x:c r="B4290" s="2" t="str">
        <x:v>ce533956810cafc66582</x:v>
      </x:c>
      <x:c r="C4290" s="2" t="str">
        <x:v>Hà Nội</x:v>
      </x:c>
      <x:c r="D4290" s="2" t="str">
        <x:v>Quận Hà Đông</x:v>
      </x:c>
      <x:c r="E4290" s="2" t="str">
        <x:v>house</x:v>
      </x:c>
      <x:c r="F4290" s="2" t="str">
        <x:v>sale_assumed</x:v>
      </x:c>
      <x:c r="G4290" s="11" t="n">
        <x:v>45</x:v>
      </x:c>
      <x:c r="H4290" s="12" t="n">
        <x:v>5800000000</x:v>
      </x:c>
      <x:c r="I4290" s="12" t="n">
        <x:v>128888888.8888889</x:v>
      </x:c>
      <x:c r="J4290" s="2" t="str">
        <x:v>total</x:v>
      </x:c>
      <x:c r="K4290" s="2" t="str">
        <x:v>top_level_area</x:v>
      </x:c>
      <x:c r="L4290" s="2" t="str">
        <x:v>property_type_inferred_from_title;transaction_assumed_sale_from_dataset_context</x:v>
      </x:c>
      <x:c r="M4290" s="10" t="n">
        <x:v>0</x:v>
      </x:c>
      <x:c r="N4290" s="10" t="n">
        <x:v>0</x:v>
      </x:c>
      <x:c r="O4290" s="2" t="str">
        <x:v>Hà Nội|house</x:v>
      </x:c>
      <x:c r="P4290" s="10" t="n">
        <x:v>2</x:v>
      </x:c>
      <x:c r="Q4290" s="13" t="n">
        <x:f>IF(H4290="","",H4290/1000000000)</x:f>
        <x:v>5.8</x:v>
      </x:c>
      <x:c r="R4290" s="13" t="n">
        <x:f>IF(I4290="","",I4290/1000000)</x:f>
        <x:v>128.88888888888889</x:v>
      </x:c>
    </x:row>
    <x:row r="4291" ht="21" customHeight="1">
      <x:c r="A4291" s="10" t="n">
        <x:v>5752</x:v>
      </x:c>
      <x:c r="B4291" s="2" t="str">
        <x:v>eb1a402bb43f0d3add2c</x:v>
      </x:c>
      <x:c r="C4291" s="2" t="str">
        <x:v>Hậu Giang</x:v>
      </x:c>
      <x:c r="D4291" s="2" t="str">
        <x:v>Huyện Châu Thành</x:v>
      </x:c>
      <x:c r="E4291" s="2" t="str">
        <x:v>land</x:v>
      </x:c>
      <x:c r="F4291" s="2" t="str">
        <x:v>sale_assumed</x:v>
      </x:c>
      <x:c r="G4291" s="11" t="n">
        <x:v>354</x:v>
      </x:c>
      <x:c r="H4291" s="12" t="n">
        <x:v>680000000</x:v>
      </x:c>
      <x:c r="I4291" s="12" t="n">
        <x:v>1920903.9548022598</x:v>
      </x:c>
      <x:c r="J4291" s="2" t="str">
        <x:v>total</x:v>
      </x:c>
      <x:c r="K4291" s="2" t="str">
        <x:v>top_level_area</x:v>
      </x:c>
      <x:c r="L4291" s="2" t="str">
        <x:v>property_type_inferred_from_title;transaction_assumed_sale_from_dataset_context</x:v>
      </x:c>
      <x:c r="M4291" s="10" t="n">
        <x:v>0</x:v>
      </x:c>
      <x:c r="N4291" s="10" t="n">
        <x:v>0</x:v>
      </x:c>
      <x:c r="O4291" s="2" t="str">
        <x:v>land</x:v>
      </x:c>
      <x:c r="P4291" s="10" t="n">
        <x:v>1</x:v>
      </x:c>
      <x:c r="Q4291" s="13" t="n">
        <x:f>IF(H4291="","",H4291/1000000000)</x:f>
        <x:v>0.68</x:v>
      </x:c>
      <x:c r="R4291" s="13" t="n">
        <x:f>IF(I4291="","",I4291/1000000)</x:f>
        <x:v>1.9209039548022597</x:v>
      </x:c>
    </x:row>
    <x:row r="4292" ht="21" customHeight="1">
      <x:c r="A4292" s="10" t="n">
        <x:v>5753</x:v>
      </x:c>
      <x:c r="B4292" s="2" t="str">
        <x:v>5a3eb16750aeaee6dcd7</x:v>
      </x:c>
      <x:c r="C4292" s="2" t="str">
        <x:v>Tp Hồ Chí Minh</x:v>
      </x:c>
      <x:c r="D4292" s="2" t="str">
        <x:v>Huyện Bình Chánh</x:v>
      </x:c>
      <x:c r="E4292" s="2" t="str">
        <x:v>house</x:v>
      </x:c>
      <x:c r="F4292" s="2" t="str">
        <x:v>sale_assumed</x:v>
      </x:c>
      <x:c r="G4292" s="11" t="n">
        <x:v>32</x:v>
      </x:c>
      <x:c r="H4292" s="12" t="n">
        <x:v>760000000</x:v>
      </x:c>
      <x:c r="I4292" s="12" t="n">
        <x:v>23750000</x:v>
      </x:c>
      <x:c r="J4292" s="2" t="str">
        <x:v>total</x:v>
      </x:c>
      <x:c r="K4292" s="2" t="str">
        <x:v>top_level_area</x:v>
      </x:c>
      <x:c r="L4292" s="2" t="str">
        <x:v>property_type_inferred_from_title;transaction_assumed_sale_from_dataset_context</x:v>
      </x:c>
      <x:c r="M4292" s="10" t="n">
        <x:v>0</x:v>
      </x:c>
      <x:c r="N4292" s="10" t="n">
        <x:v>0</x:v>
      </x:c>
      <x:c r="O4292" s="2" t="str">
        <x:v>Tp Hồ Chí Minh|house</x:v>
      </x:c>
      <x:c r="P4292" s="10" t="n">
        <x:v>2</x:v>
      </x:c>
      <x:c r="Q4292" s="13" t="n">
        <x:f>IF(H4292="","",H4292/1000000000)</x:f>
        <x:v>0.76</x:v>
      </x:c>
      <x:c r="R4292" s="13" t="n">
        <x:f>IF(I4292="","",I4292/1000000)</x:f>
        <x:v>23.75</x:v>
      </x:c>
    </x:row>
    <x:row r="4293" ht="21" customHeight="1">
      <x:c r="A4293" s="10" t="n">
        <x:v>5754</x:v>
      </x:c>
      <x:c r="B4293" s="2" t="str">
        <x:v>235eae15fd04798b02ac</x:v>
      </x:c>
      <x:c r="C4293" s="2" t="str">
        <x:v>Hà Nội</x:v>
      </x:c>
      <x:c r="D4293" s="2" t="str">
        <x:v>Quận Đống Đa</x:v>
      </x:c>
      <x:c r="E4293" s="2" t="str">
        <x:v>house</x:v>
      </x:c>
      <x:c r="F4293" s="2" t="str">
        <x:v>sale_assumed</x:v>
      </x:c>
      <x:c r="G4293" s="11" t="n">
        <x:v>40</x:v>
      </x:c>
      <x:c r="H4293" s="12" t="n">
        <x:v>2950000000</x:v>
      </x:c>
      <x:c r="I4293" s="12" t="n">
        <x:v>73750000</x:v>
      </x:c>
      <x:c r="J4293" s="2" t="str">
        <x:v>total</x:v>
      </x:c>
      <x:c r="K4293" s="2" t="str">
        <x:v>top_level_area</x:v>
      </x:c>
      <x:c r="L4293" s="2" t="str">
        <x:v>property_type_inferred_from_title;transaction_assumed_sale_from_dataset_context</x:v>
      </x:c>
      <x:c r="M4293" s="10" t="n">
        <x:v>0</x:v>
      </x:c>
      <x:c r="N4293" s="10" t="n">
        <x:v>0</x:v>
      </x:c>
      <x:c r="O4293" s="2" t="str">
        <x:v>Hà Nội|house</x:v>
      </x:c>
      <x:c r="P4293" s="10" t="n">
        <x:v>2</x:v>
      </x:c>
      <x:c r="Q4293" s="13" t="n">
        <x:f>IF(H4293="","",H4293/1000000000)</x:f>
        <x:v>2.95</x:v>
      </x:c>
      <x:c r="R4293" s="13" t="n">
        <x:f>IF(I4293="","",I4293/1000000)</x:f>
        <x:v>73.75</x:v>
      </x:c>
    </x:row>
    <x:row r="4294" ht="21" customHeight="1">
      <x:c r="A4294" s="10" t="n">
        <x:v>5756</x:v>
      </x:c>
      <x:c r="B4294" s="2" t="str">
        <x:v>9d82df25e207ba4f583b</x:v>
      </x:c>
      <x:c r="C4294" s="2" t="str">
        <x:v>Hà Nội</x:v>
      </x:c>
      <x:c r="D4294" s="2" t="str">
        <x:v>Quận Hà Đông</x:v>
      </x:c>
      <x:c r="E4294" s="2" t="str">
        <x:v>house</x:v>
      </x:c>
      <x:c r="F4294" s="2" t="str">
        <x:v>sale_assumed</x:v>
      </x:c>
      <x:c r="G4294" s="11" t="n">
        <x:v>36</x:v>
      </x:c>
      <x:c r="H4294" s="12" t="n">
        <x:v>5400000000</x:v>
      </x:c>
      <x:c r="I4294" s="12" t="n">
        <x:v>150000000</x:v>
      </x:c>
      <x:c r="J4294" s="2" t="str">
        <x:v>total</x:v>
      </x:c>
      <x:c r="K4294" s="2" t="str">
        <x:v>top_level_area</x:v>
      </x:c>
      <x:c r="L4294" s="2" t="str">
        <x:v>property_type_inferred_from_title;transaction_assumed_sale_from_dataset_context</x:v>
      </x:c>
      <x:c r="M4294" s="10" t="n">
        <x:v>0</x:v>
      </x:c>
      <x:c r="N4294" s="10" t="n">
        <x:v>0</x:v>
      </x:c>
      <x:c r="O4294" s="2" t="str">
        <x:v>Hà Nội|house</x:v>
      </x:c>
      <x:c r="P4294" s="10" t="n">
        <x:v>2</x:v>
      </x:c>
      <x:c r="Q4294" s="13" t="n">
        <x:f>IF(H4294="","",H4294/1000000000)</x:f>
        <x:v>5.4</x:v>
      </x:c>
      <x:c r="R4294" s="13" t="n">
        <x:f>IF(I4294="","",I4294/1000000)</x:f>
        <x:v>150</x:v>
      </x:c>
    </x:row>
    <x:row r="4295" ht="21" customHeight="1">
      <x:c r="A4295" s="10" t="n">
        <x:v>5759</x:v>
      </x:c>
      <x:c r="B4295" s="2" t="str">
        <x:v>70a798a9bef55342b2e3</x:v>
      </x:c>
      <x:c r="C4295" s="2" t="str">
        <x:v>Bình Dương</x:v>
      </x:c>
      <x:c r="D4295" s="2" t="str">
        <x:v>Thị xã Bến Cát</x:v>
      </x:c>
      <x:c r="E4295" s="2" t="str">
        <x:v>land</x:v>
      </x:c>
      <x:c r="F4295" s="2" t="str">
        <x:v>sale_assumed</x:v>
      </x:c>
      <x:c r="G4295" s="11" t="n">
        <x:v>150</x:v>
      </x:c>
      <x:c r="H4295" s="12" t="n">
        <x:v>680000000</x:v>
      </x:c>
      <x:c r="I4295" s="12" t="n">
        <x:v>4533333.333333333</x:v>
      </x:c>
      <x:c r="J4295" s="2" t="str">
        <x:v>total</x:v>
      </x:c>
      <x:c r="K4295" s="2" t="str">
        <x:v>top_level_area</x:v>
      </x:c>
      <x:c r="L4295" s="2" t="str">
        <x:v>property_type_inferred_from_title;transaction_assumed_sale_from_dataset_context</x:v>
      </x:c>
      <x:c r="M4295" s="10" t="n">
        <x:v>0</x:v>
      </x:c>
      <x:c r="N4295" s="10" t="n">
        <x:v>0</x:v>
      </x:c>
      <x:c r="O4295" s="2" t="str">
        <x:v>Bình Dương|land</x:v>
      </x:c>
      <x:c r="P4295" s="10" t="n">
        <x:v>1</x:v>
      </x:c>
      <x:c r="Q4295" s="13" t="n">
        <x:f>IF(H4295="","",H4295/1000000000)</x:f>
        <x:v>0.68</x:v>
      </x:c>
      <x:c r="R4295" s="13" t="n">
        <x:f>IF(I4295="","",I4295/1000000)</x:f>
        <x:v>4.533333333333333</x:v>
      </x:c>
    </x:row>
    <x:row r="4296" ht="21" customHeight="1">
      <x:c r="A4296" s="10" t="n">
        <x:v>5760</x:v>
      </x:c>
      <x:c r="B4296" s="2" t="str">
        <x:v>63741fadd7e66074c964</x:v>
      </x:c>
      <x:c r="C4296" s="2" t="str">
        <x:v>Tp Hồ Chí Minh</x:v>
      </x:c>
      <x:c r="D4296" s="2" t="str">
        <x:v>Quận 10</x:v>
      </x:c>
      <x:c r="E4296" s="2" t="str">
        <x:v>house</x:v>
      </x:c>
      <x:c r="F4296" s="2" t="str">
        <x:v>sale</x:v>
      </x:c>
      <x:c r="G4296" s="11" t="n">
        <x:v>45</x:v>
      </x:c>
      <x:c r="H4296" s="12" t="n">
        <x:v>6600000000</x:v>
      </x:c>
      <x:c r="I4296" s="12" t="n">
        <x:v>146666666.66666666</x:v>
      </x:c>
      <x:c r="J4296" s="2" t="str">
        <x:v>total</x:v>
      </x:c>
      <x:c r="K4296" s="2" t="str">
        <x:v>top_level_area</x:v>
      </x:c>
      <x:c r="L4296" s="2" t="str">
        <x:v>property_type_inferred_from_title</x:v>
      </x:c>
      <x:c r="M4296" s="10" t="n">
        <x:v>0</x:v>
      </x:c>
      <x:c r="N4296" s="10" t="n">
        <x:v>0</x:v>
      </x:c>
      <x:c r="O4296" s="2" t="str">
        <x:v>Tp Hồ Chí Minh|house</x:v>
      </x:c>
      <x:c r="P4296" s="10" t="n">
        <x:v>2</x:v>
      </x:c>
      <x:c r="Q4296" s="13" t="n">
        <x:f>IF(H4296="","",H4296/1000000000)</x:f>
        <x:v>6.6</x:v>
      </x:c>
      <x:c r="R4296" s="13" t="n">
        <x:f>IF(I4296="","",I4296/1000000)</x:f>
        <x:v>146.66666666666666</x:v>
      </x:c>
    </x:row>
    <x:row r="4297" ht="21" customHeight="1">
      <x:c r="A4297" s="10" t="n">
        <x:v>5761</x:v>
      </x:c>
      <x:c r="B4297" s="2" t="str">
        <x:v>0f4ae69eb91aa5db2486</x:v>
      </x:c>
      <x:c r="C4297" s="2" t="str">
        <x:v>Hà Nội</x:v>
      </x:c>
      <x:c r="D4297" s="2" t="str">
        <x:v>Quận Ba Đình</x:v>
      </x:c>
      <x:c r="E4297" s="2" t="str">
        <x:v>house</x:v>
      </x:c>
      <x:c r="F4297" s="2" t="str">
        <x:v>sale_assumed</x:v>
      </x:c>
      <x:c r="G4297" s="11" t="n">
        <x:v>34</x:v>
      </x:c>
      <x:c r="H4297" s="12" t="n">
        <x:v>4300000000</x:v>
      </x:c>
      <x:c r="I4297" s="12" t="n">
        <x:v>126470588.23529412</x:v>
      </x:c>
      <x:c r="J4297" s="2" t="str">
        <x:v>total</x:v>
      </x:c>
      <x:c r="K4297" s="2" t="str">
        <x:v>top_level_area</x:v>
      </x:c>
      <x:c r="L4297" s="2" t="str">
        <x:v>property_type_inferred_from_title;transaction_assumed_sale_from_dataset_context</x:v>
      </x:c>
      <x:c r="M4297" s="10" t="n">
        <x:v>0</x:v>
      </x:c>
      <x:c r="N4297" s="10" t="n">
        <x:v>0</x:v>
      </x:c>
      <x:c r="O4297" s="2" t="str">
        <x:v>Hà Nội|house</x:v>
      </x:c>
      <x:c r="P4297" s="10" t="n">
        <x:v>2</x:v>
      </x:c>
      <x:c r="Q4297" s="13" t="n">
        <x:f>IF(H4297="","",H4297/1000000000)</x:f>
        <x:v>4.3</x:v>
      </x:c>
      <x:c r="R4297" s="13" t="n">
        <x:f>IF(I4297="","",I4297/1000000)</x:f>
        <x:v>126.47058823529412</x:v>
      </x:c>
    </x:row>
    <x:row r="4298" ht="21" customHeight="1">
      <x:c r="A4298" s="10" t="n">
        <x:v>5762</x:v>
      </x:c>
      <x:c r="B4298" s="2" t="str">
        <x:v>43a88c4edb76a3cec337</x:v>
      </x:c>
      <x:c r="C4298" s="2" t="str">
        <x:v>Tp Hồ Chí Minh</x:v>
      </x:c>
      <x:c r="D4298" s="2" t="str">
        <x:v>Huyện Bình Chánh</x:v>
      </x:c>
      <x:c r="E4298" s="2" t="str">
        <x:v>house</x:v>
      </x:c>
      <x:c r="F4298" s="2" t="str">
        <x:v>sale_assumed</x:v>
      </x:c>
      <x:c r="G4298" s="11" t="n">
        <x:v>80</x:v>
      </x:c>
      <x:c r="H4298" s="12" t="n">
        <x:v>1700000000</x:v>
      </x:c>
      <x:c r="I4298" s="12" t="n">
        <x:v>21250000</x:v>
      </x:c>
      <x:c r="J4298" s="2" t="str">
        <x:v>total</x:v>
      </x:c>
      <x:c r="K4298" s="2" t="str">
        <x:v>top_level_area</x:v>
      </x:c>
      <x:c r="L4298" s="2" t="str">
        <x:v>property_type_inferred_from_title;transaction_assumed_sale_from_dataset_context</x:v>
      </x:c>
      <x:c r="M4298" s="10" t="n">
        <x:v>0</x:v>
      </x:c>
      <x:c r="N4298" s="10" t="n">
        <x:v>0</x:v>
      </x:c>
      <x:c r="O4298" s="2" t="str">
        <x:v>Tp Hồ Chí Minh|house</x:v>
      </x:c>
      <x:c r="P4298" s="10" t="n">
        <x:v>2</x:v>
      </x:c>
      <x:c r="Q4298" s="13" t="n">
        <x:f>IF(H4298="","",H4298/1000000000)</x:f>
        <x:v>1.7</x:v>
      </x:c>
      <x:c r="R4298" s="13" t="n">
        <x:f>IF(I4298="","",I4298/1000000)</x:f>
        <x:v>21.25</x:v>
      </x:c>
    </x:row>
    <x:row r="4299" ht="21" customHeight="1">
      <x:c r="A4299" s="10" t="n">
        <x:v>5763</x:v>
      </x:c>
      <x:c r="B4299" s="2" t="str">
        <x:v>7db2da446d5c3383fe69</x:v>
      </x:c>
      <x:c r="C4299" s="2" t="str">
        <x:v>Bắc Ninh</x:v>
      </x:c>
      <x:c r="D4299" s="2" t="str">
        <x:v>Huyện Tiên Du</x:v>
      </x:c>
      <x:c r="E4299" s="2" t="str">
        <x:v>other_unknown</x:v>
      </x:c>
      <x:c r="F4299" s="2" t="str">
        <x:v>sale</x:v>
      </x:c>
      <x:c r="G4299" s="11" t="n">
        <x:v>75.5</x:v>
      </x:c>
      <x:c r="H4299" s="12" t="n">
        <x:v>650000000</x:v>
      </x:c>
      <x:c r="I4299" s="12" t="n">
        <x:v>8609271.523178808</x:v>
      </x:c>
      <x:c r="J4299" s="2" t="str">
        <x:v>total</x:v>
      </x:c>
      <x:c r="K4299" s="2" t="str">
        <x:v>top_level_area</x:v>
      </x:c>
      <x:c r="L4299" s="2" t="str">
        <x:v>property_type_inferred_from_title;unknown_property_type</x:v>
      </x:c>
      <x:c r="M4299" s="10" t="n">
        <x:v>0</x:v>
      </x:c>
      <x:c r="N4299" s="10" t="n">
        <x:v>0</x:v>
      </x:c>
      <x:c r="O4299" s="2" t="str">
        <x:v>other_unknown</x:v>
      </x:c>
      <x:c r="P4299" s="10" t="n">
        <x:v>2</x:v>
      </x:c>
      <x:c r="Q4299" s="13" t="n">
        <x:f>IF(H4299="","",H4299/1000000000)</x:f>
        <x:v>0.65</x:v>
      </x:c>
      <x:c r="R4299" s="13" t="n">
        <x:f>IF(I4299="","",I4299/1000000)</x:f>
        <x:v>8.609271523178808</x:v>
      </x:c>
    </x:row>
    <x:row r="4300" ht="21" customHeight="1">
      <x:c r="A4300" s="10" t="n">
        <x:v>5764</x:v>
      </x:c>
      <x:c r="B4300" s="2" t="str">
        <x:v>63af9d24afa361f1bbcd</x:v>
      </x:c>
      <x:c r="C4300" s="2" t="str">
        <x:v>Tp Hồ Chí Minh</x:v>
      </x:c>
      <x:c r="D4300" s="2" t="str">
        <x:v>Quận 2</x:v>
      </x:c>
      <x:c r="E4300" s="2" t="str">
        <x:v>house</x:v>
      </x:c>
      <x:c r="F4300" s="2" t="str">
        <x:v>sale</x:v>
      </x:c>
      <x:c r="G4300" s="11" t="n">
        <x:v>140</x:v>
      </x:c>
      <x:c r="H4300" s="12" t="n">
        <x:v>5500000000</x:v>
      </x:c>
      <x:c r="I4300" s="12" t="n">
        <x:v>39285714.28571428</x:v>
      </x:c>
      <x:c r="J4300" s="2" t="str">
        <x:v>total</x:v>
      </x:c>
      <x:c r="K4300" s="2" t="str">
        <x:v>top_level_area</x:v>
      </x:c>
      <x:c r="L4300" s="2" t="str">
        <x:v>property_type_inferred_from_title</x:v>
      </x:c>
      <x:c r="M4300" s="10" t="n">
        <x:v>0</x:v>
      </x:c>
      <x:c r="N4300" s="10" t="n">
        <x:v>0</x:v>
      </x:c>
      <x:c r="O4300" s="2" t="str">
        <x:v>Tp Hồ Chí Minh|house</x:v>
      </x:c>
      <x:c r="P4300" s="10" t="n">
        <x:v>2</x:v>
      </x:c>
      <x:c r="Q4300" s="13" t="n">
        <x:f>IF(H4300="","",H4300/1000000000)</x:f>
        <x:v>5.5</x:v>
      </x:c>
      <x:c r="R4300" s="13" t="n">
        <x:f>IF(I4300="","",I4300/1000000)</x:f>
        <x:v>39.285714285714285</x:v>
      </x:c>
    </x:row>
    <x:row r="4301" ht="21" customHeight="1">
      <x:c r="A4301" s="10" t="n">
        <x:v>5765</x:v>
      </x:c>
      <x:c r="B4301" s="2" t="str">
        <x:v>40f779407b7eca187965</x:v>
      </x:c>
      <x:c r="C4301" s="2" t="str">
        <x:v>Tp Hồ Chí Minh</x:v>
      </x:c>
      <x:c r="D4301" s="2" t="str">
        <x:v>Huyện Bình Chánh</x:v>
      </x:c>
      <x:c r="E4301" s="2" t="str">
        <x:v>house</x:v>
      </x:c>
      <x:c r="F4301" s="2" t="str">
        <x:v>sale_assumed</x:v>
      </x:c>
      <x:c r="G4301" s="11" t="n">
        <x:v>44</x:v>
      </x:c>
      <x:c r="H4301" s="12" t="n">
        <x:v>900000000</x:v>
      </x:c>
      <x:c r="I4301" s="12" t="n">
        <x:v>20454545.454545453</x:v>
      </x:c>
      <x:c r="J4301" s="2" t="str">
        <x:v>total</x:v>
      </x:c>
      <x:c r="K4301" s="2" t="str">
        <x:v>top_level_area</x:v>
      </x:c>
      <x:c r="L4301" s="2" t="str">
        <x:v>property_type_inferred_from_title;transaction_assumed_sale_from_dataset_context</x:v>
      </x:c>
      <x:c r="M4301" s="10" t="n">
        <x:v>0</x:v>
      </x:c>
      <x:c r="N4301" s="10" t="n">
        <x:v>0</x:v>
      </x:c>
      <x:c r="O4301" s="2" t="str">
        <x:v>Tp Hồ Chí Minh|house</x:v>
      </x:c>
      <x:c r="P4301" s="10" t="n">
        <x:v>2</x:v>
      </x:c>
      <x:c r="Q4301" s="13" t="n">
        <x:f>IF(H4301="","",H4301/1000000000)</x:f>
        <x:v>0.9</x:v>
      </x:c>
      <x:c r="R4301" s="13" t="n">
        <x:f>IF(I4301="","",I4301/1000000)</x:f>
        <x:v>20.454545454545453</x:v>
      </x:c>
    </x:row>
    <x:row r="4302" ht="21" customHeight="1">
      <x:c r="A4302" s="10" t="n">
        <x:v>5766</x:v>
      </x:c>
      <x:c r="B4302" s="2" t="str">
        <x:v>46851fc1516cc75ce00a</x:v>
      </x:c>
      <x:c r="C4302" s="2" t="str">
        <x:v>Tp Hồ Chí Minh</x:v>
      </x:c>
      <x:c r="D4302" s="2" t="str">
        <x:v>Quận Bình Tân</x:v>
      </x:c>
      <x:c r="E4302" s="2" t="str">
        <x:v>house</x:v>
      </x:c>
      <x:c r="F4302" s="2" t="str">
        <x:v>sale_assumed</x:v>
      </x:c>
      <x:c r="G4302" s="11" t="n">
        <x:v>68</x:v>
      </x:c>
      <x:c r="H4302" s="12" t="n">
        <x:v>3100000000</x:v>
      </x:c>
      <x:c r="I4302" s="12" t="n">
        <x:v>45588235.294117644</x:v>
      </x:c>
      <x:c r="J4302" s="2" t="str">
        <x:v>total</x:v>
      </x:c>
      <x:c r="K4302" s="2" t="str">
        <x:v>top_level_area</x:v>
      </x:c>
      <x:c r="L4302" s="2" t="str">
        <x:v>property_type_inferred_from_title;transaction_assumed_sale_from_dataset_context</x:v>
      </x:c>
      <x:c r="M4302" s="10" t="n">
        <x:v>0</x:v>
      </x:c>
      <x:c r="N4302" s="10" t="n">
        <x:v>0</x:v>
      </x:c>
      <x:c r="O4302" s="2" t="str">
        <x:v>Tp Hồ Chí Minh|house</x:v>
      </x:c>
      <x:c r="P4302" s="10" t="n">
        <x:v>2</x:v>
      </x:c>
      <x:c r="Q4302" s="13" t="n">
        <x:f>IF(H4302="","",H4302/1000000000)</x:f>
        <x:v>3.1</x:v>
      </x:c>
      <x:c r="R4302" s="13" t="n">
        <x:f>IF(I4302="","",I4302/1000000)</x:f>
        <x:v>45.588235294117645</x:v>
      </x:c>
    </x:row>
    <x:row r="4303" ht="21" customHeight="1">
      <x:c r="A4303" s="10" t="n">
        <x:v>5767</x:v>
      </x:c>
      <x:c r="B4303" s="2" t="str">
        <x:v>700c09d4e4e4ac2c9d70</x:v>
      </x:c>
      <x:c r="C4303" s="2" t="str">
        <x:v>Đà Nẵng</x:v>
      </x:c>
      <x:c r="D4303" s="2" t="str">
        <x:v>Quận Liên Chiểu</x:v>
      </x:c>
      <x:c r="E4303" s="2" t="str">
        <x:v>land</x:v>
      </x:c>
      <x:c r="F4303" s="2" t="str">
        <x:v>sale</x:v>
      </x:c>
      <x:c r="G4303" s="11" t="n">
        <x:v>100</x:v>
      </x:c>
      <x:c r="H4303" s="12" t="n">
        <x:v>1400000000</x:v>
      </x:c>
      <x:c r="I4303" s="12" t="n">
        <x:v>14000000</x:v>
      </x:c>
      <x:c r="J4303" s="2" t="str">
        <x:v>total</x:v>
      </x:c>
      <x:c r="K4303" s="2" t="str">
        <x:v>top_level_area</x:v>
      </x:c>
      <x:c r="L4303" s="2" t="str">
        <x:v>property_type_inferred_from_title</x:v>
      </x:c>
      <x:c r="M4303" s="10" t="n">
        <x:v>0</x:v>
      </x:c>
      <x:c r="N4303" s="10" t="n">
        <x:v>0</x:v>
      </x:c>
      <x:c r="O4303" s="2" t="str">
        <x:v>Đà Nẵng|land</x:v>
      </x:c>
      <x:c r="P4303" s="10" t="n">
        <x:v>2</x:v>
      </x:c>
      <x:c r="Q4303" s="13" t="n">
        <x:f>IF(H4303="","",H4303/1000000000)</x:f>
        <x:v>1.4</x:v>
      </x:c>
      <x:c r="R4303" s="13" t="n">
        <x:f>IF(I4303="","",I4303/1000000)</x:f>
        <x:v>14</x:v>
      </x:c>
    </x:row>
    <x:row r="4304" ht="21" customHeight="1">
      <x:c r="A4304" s="10" t="n">
        <x:v>5768</x:v>
      </x:c>
      <x:c r="B4304" s="2" t="str">
        <x:v>7137fef058518c05d207</x:v>
      </x:c>
      <x:c r="C4304" s="2" t="str">
        <x:v>Hà Nội</x:v>
      </x:c>
      <x:c r="D4304" s="2" t="str">
        <x:v>Quận Hai Bà Trưng</x:v>
      </x:c>
      <x:c r="E4304" s="2" t="str">
        <x:v>house</x:v>
      </x:c>
      <x:c r="F4304" s="2" t="str">
        <x:v>sale_assumed</x:v>
      </x:c>
      <x:c r="G4304" s="11" t="n">
        <x:v>53</x:v>
      </x:c>
      <x:c r="H4304" s="12" t="n">
        <x:v>3520000000</x:v>
      </x:c>
      <x:c r="I4304" s="12" t="n">
        <x:v>66415094.33962264</x:v>
      </x:c>
      <x:c r="J4304" s="2" t="str">
        <x:v>total</x:v>
      </x:c>
      <x:c r="K4304" s="2" t="str">
        <x:v>top_level_area</x:v>
      </x:c>
      <x:c r="L4304" s="2" t="str">
        <x:v>property_type_inferred_from_title;transaction_assumed_sale_from_dataset_context</x:v>
      </x:c>
      <x:c r="M4304" s="10" t="n">
        <x:v>0</x:v>
      </x:c>
      <x:c r="N4304" s="10" t="n">
        <x:v>0</x:v>
      </x:c>
      <x:c r="O4304" s="2" t="str">
        <x:v>Hà Nội|house</x:v>
      </x:c>
      <x:c r="P4304" s="10" t="n">
        <x:v>2</x:v>
      </x:c>
      <x:c r="Q4304" s="13" t="n">
        <x:f>IF(H4304="","",H4304/1000000000)</x:f>
        <x:v>3.52</x:v>
      </x:c>
      <x:c r="R4304" s="13" t="n">
        <x:f>IF(I4304="","",I4304/1000000)</x:f>
        <x:v>66.41509433962264</x:v>
      </x:c>
    </x:row>
    <x:row r="4305" ht="21" customHeight="1">
      <x:c r="A4305" s="10" t="n">
        <x:v>5769</x:v>
      </x:c>
      <x:c r="B4305" s="2" t="str">
        <x:v>0703124986b6b783d28c</x:v>
      </x:c>
      <x:c r="C4305" s="2" t="str">
        <x:v>Đà Nẵng</x:v>
      </x:c>
      <x:c r="D4305" s="2" t="str">
        <x:v>Quận Thanh Khê</x:v>
      </x:c>
      <x:c r="E4305" s="2" t="str">
        <x:v>house</x:v>
      </x:c>
      <x:c r="F4305" s="2" t="str">
        <x:v>sale</x:v>
      </x:c>
      <x:c r="G4305" s="11" t="n">
        <x:v>50</x:v>
      </x:c>
      <x:c r="H4305" s="12" t="n">
        <x:v>3850000000</x:v>
      </x:c>
      <x:c r="I4305" s="12" t="n">
        <x:v>77000000</x:v>
      </x:c>
      <x:c r="J4305" s="2" t="str">
        <x:v>total</x:v>
      </x:c>
      <x:c r="K4305" s="2" t="str">
        <x:v>top_level_area</x:v>
      </x:c>
      <x:c r="L4305" s="2" t="str">
        <x:v>property_type_inferred_from_title</x:v>
      </x:c>
      <x:c r="M4305" s="10" t="n">
        <x:v>0</x:v>
      </x:c>
      <x:c r="N4305" s="10" t="n">
        <x:v>0</x:v>
      </x:c>
      <x:c r="O4305" s="2" t="str">
        <x:v>Đà Nẵng|house</x:v>
      </x:c>
      <x:c r="P4305" s="10" t="n">
        <x:v>2</x:v>
      </x:c>
      <x:c r="Q4305" s="13" t="n">
        <x:f>IF(H4305="","",H4305/1000000000)</x:f>
        <x:v>3.85</x:v>
      </x:c>
      <x:c r="R4305" s="13" t="n">
        <x:f>IF(I4305="","",I4305/1000000)</x:f>
        <x:v>77</x:v>
      </x:c>
    </x:row>
    <x:row r="4306" ht="21" customHeight="1">
      <x:c r="A4306" s="10" t="n">
        <x:v>5770</x:v>
      </x:c>
      <x:c r="B4306" s="2" t="str">
        <x:v>62f827424d9db3eb9ba2</x:v>
      </x:c>
      <x:c r="C4306" s="2" t="str">
        <x:v>Hà Nội</x:v>
      </x:c>
      <x:c r="D4306" s="2" t="str">
        <x:v>Quận Long Biên</x:v>
      </x:c>
      <x:c r="E4306" s="2" t="str">
        <x:v>other_unknown</x:v>
      </x:c>
      <x:c r="F4306" s="2" t="str">
        <x:v>sale_assumed</x:v>
      </x:c>
      <x:c r="G4306" s="11" t="n">
        <x:v>42</x:v>
      </x:c>
      <x:c r="H4306" s="12" t="n">
        <x:v>2500000000</x:v>
      </x:c>
      <x:c r="I4306" s="12" t="n">
        <x:v>59523809.52380952</x:v>
      </x:c>
      <x:c r="J4306" s="2" t="str">
        <x:v>total</x:v>
      </x:c>
      <x:c r="K4306" s="2" t="str">
        <x:v>top_level_area</x:v>
      </x:c>
      <x:c r="L4306" s="2" t="str">
        <x:v>property_type_inferred_from_title;transaction_assumed_sale_from_dataset_context;unknown_property_type</x:v>
      </x:c>
      <x:c r="M4306" s="10" t="n">
        <x:v>0</x:v>
      </x:c>
      <x:c r="N4306" s="10" t="n">
        <x:v>0</x:v>
      </x:c>
      <x:c r="O4306" s="2" t="str">
        <x:v>Hà Nội|other_unknown</x:v>
      </x:c>
      <x:c r="P4306" s="10" t="n">
        <x:v>2</x:v>
      </x:c>
      <x:c r="Q4306" s="13" t="n">
        <x:f>IF(H4306="","",H4306/1000000000)</x:f>
        <x:v>2.5</x:v>
      </x:c>
      <x:c r="R4306" s="13" t="n">
        <x:f>IF(I4306="","",I4306/1000000)</x:f>
        <x:v>59.523809523809526</x:v>
      </x:c>
    </x:row>
    <x:row r="4307" ht="21" customHeight="1">
      <x:c r="A4307" s="10" t="n">
        <x:v>5771</x:v>
      </x:c>
      <x:c r="B4307" s="2" t="str">
        <x:v>7e07690e476421d0a2f8</x:v>
      </x:c>
      <x:c r="C4307" s="2" t="str">
        <x:v>Hà Nội</x:v>
      </x:c>
      <x:c r="D4307" s="2" t="str">
        <x:v>Quận Thanh Xuân</x:v>
      </x:c>
      <x:c r="E4307" s="2" t="str">
        <x:v>house</x:v>
      </x:c>
      <x:c r="F4307" s="2" t="str">
        <x:v>sale_assumed</x:v>
      </x:c>
      <x:c r="G4307" s="11" t="n">
        <x:v>48</x:v>
      </x:c>
      <x:c r="H4307" s="12" t="n">
        <x:v>4450000000</x:v>
      </x:c>
      <x:c r="I4307" s="12" t="n">
        <x:v>92708333.33333333</x:v>
      </x:c>
      <x:c r="J4307" s="2" t="str">
        <x:v>total</x:v>
      </x:c>
      <x:c r="K4307" s="2" t="str">
        <x:v>top_level_area</x:v>
      </x:c>
      <x:c r="L4307" s="2" t="str">
        <x:v>property_type_inferred_from_title;transaction_assumed_sale_from_dataset_context</x:v>
      </x:c>
      <x:c r="M4307" s="10" t="n">
        <x:v>0</x:v>
      </x:c>
      <x:c r="N4307" s="10" t="n">
        <x:v>0</x:v>
      </x:c>
      <x:c r="O4307" s="2" t="str">
        <x:v>Hà Nội|house</x:v>
      </x:c>
      <x:c r="P4307" s="10" t="n">
        <x:v>2</x:v>
      </x:c>
      <x:c r="Q4307" s="13" t="n">
        <x:f>IF(H4307="","",H4307/1000000000)</x:f>
        <x:v>4.45</x:v>
      </x:c>
      <x:c r="R4307" s="13" t="n">
        <x:f>IF(I4307="","",I4307/1000000)</x:f>
        <x:v>92.70833333333333</x:v>
      </x:c>
    </x:row>
    <x:row r="4308" ht="21" customHeight="1">
      <x:c r="A4308" s="10" t="n">
        <x:v>5772</x:v>
      </x:c>
      <x:c r="B4308" s="2" t="str">
        <x:v>9af2a5552edd0727b17b</x:v>
      </x:c>
      <x:c r="C4308" s="2" t="str">
        <x:v>Long An</x:v>
      </x:c>
      <x:c r="D4308" s="2" t="str">
        <x:v>Huyện Mộc Hóa</x:v>
      </x:c>
      <x:c r="E4308" s="2" t="str">
        <x:v>house</x:v>
      </x:c>
      <x:c r="F4308" s="2" t="str">
        <x:v>sale_assumed</x:v>
      </x:c>
      <x:c r="G4308" s="11" t="n">
        <x:v>60</x:v>
      </x:c>
      <x:c r="H4308" s="12" t="n">
        <x:v>680000000</x:v>
      </x:c>
      <x:c r="I4308" s="12" t="n">
        <x:v>11333333.333333334</x:v>
      </x:c>
      <x:c r="J4308" s="2" t="str">
        <x:v>total</x:v>
      </x:c>
      <x:c r="K4308" s="2" t="str">
        <x:v>top_level_area</x:v>
      </x:c>
      <x:c r="L4308" s="2" t="str">
        <x:v>property_type_inferred_from_title;transaction_assumed_sale_from_dataset_context</x:v>
      </x:c>
      <x:c r="M4308" s="10" t="n">
        <x:v>0</x:v>
      </x:c>
      <x:c r="N4308" s="10" t="n">
        <x:v>0</x:v>
      </x:c>
      <x:c r="O4308" s="2" t="str">
        <x:v>Long An|house</x:v>
      </x:c>
      <x:c r="P4308" s="10" t="n">
        <x:v>2</x:v>
      </x:c>
      <x:c r="Q4308" s="13" t="n">
        <x:f>IF(H4308="","",H4308/1000000000)</x:f>
        <x:v>0.68</x:v>
      </x:c>
      <x:c r="R4308" s="13" t="n">
        <x:f>IF(I4308="","",I4308/1000000)</x:f>
        <x:v>11.333333333333334</x:v>
      </x:c>
    </x:row>
    <x:row r="4309" ht="21" customHeight="1">
      <x:c r="A4309" s="10" t="n">
        <x:v>5773</x:v>
      </x:c>
      <x:c r="B4309" s="2" t="str">
        <x:v>efcb32b511deecf31fcb</x:v>
      </x:c>
      <x:c r="C4309" s="2" t="str">
        <x:v>Hà Nội</x:v>
      </x:c>
      <x:c r="D4309" s="2" t="str">
        <x:v>Quận Long Biên</x:v>
      </x:c>
      <x:c r="E4309" s="2" t="str">
        <x:v>land</x:v>
      </x:c>
      <x:c r="F4309" s="2" t="str">
        <x:v>sale_assumed</x:v>
      </x:c>
      <x:c r="G4309" s="11" t="n">
        <x:v>50</x:v>
      </x:c>
      <x:c r="H4309" s="12" t="n">
        <x:v>50000000</x:v>
      </x:c>
      <x:c r="I4309" s="12" t="n">
        <x:v>1000000</x:v>
      </x:c>
      <x:c r="J4309" s="2" t="str">
        <x:v>total</x:v>
      </x:c>
      <x:c r="K4309" s="2" t="str">
        <x:v>top_level_area</x:v>
      </x:c>
      <x:c r="L4309" s="2" t="str">
        <x:v>property_type_inferred_from_title;transaction_assumed_sale_from_dataset_context</x:v>
      </x:c>
      <x:c r="M4309" s="10" t="n">
        <x:v>0</x:v>
      </x:c>
      <x:c r="N4309" s="10" t="n">
        <x:v>0</x:v>
      </x:c>
      <x:c r="O4309" s="2" t="str">
        <x:v>Hà Nội|land</x:v>
      </x:c>
      <x:c r="P4309" s="10" t="n">
        <x:v>1</x:v>
      </x:c>
      <x:c r="Q4309" s="13" t="n">
        <x:f>IF(H4309="","",H4309/1000000000)</x:f>
        <x:v>0.05</x:v>
      </x:c>
      <x:c r="R4309" s="13" t="n">
        <x:f>IF(I4309="","",I4309/1000000)</x:f>
        <x:v>1</x:v>
      </x:c>
    </x:row>
    <x:row r="4310" ht="21" customHeight="1">
      <x:c r="A4310" s="10" t="n">
        <x:v>5774</x:v>
      </x:c>
      <x:c r="B4310" s="2" t="str">
        <x:v>285cdf79c5f6ba3a17d2</x:v>
      </x:c>
      <x:c r="C4310" s="2" t="str">
        <x:v>Tp Hồ Chí Minh</x:v>
      </x:c>
      <x:c r="D4310" s="2" t="str">
        <x:v>Quận Gò Vấp</x:v>
      </x:c>
      <x:c r="E4310" s="2" t="str">
        <x:v>house</x:v>
      </x:c>
      <x:c r="F4310" s="2" t="str">
        <x:v>sale</x:v>
      </x:c>
      <x:c r="G4310" s="11" t="n">
        <x:v>41</x:v>
      </x:c>
      <x:c r="H4310" s="12" t="n">
        <x:v>3850000000</x:v>
      </x:c>
      <x:c r="I4310" s="12" t="n">
        <x:v>93902439.02439025</x:v>
      </x:c>
      <x:c r="J4310" s="2" t="str">
        <x:v>total</x:v>
      </x:c>
      <x:c r="K4310" s="2" t="str">
        <x:v>top_level_price_embedded_area</x:v>
      </x:c>
      <x:c r="L4310" s="2" t="str">
        <x:v>area_recovered_from_price_text;property_type_inferred_from_title</x:v>
      </x:c>
      <x:c r="M4310" s="10" t="n">
        <x:v>0</x:v>
      </x:c>
      <x:c r="N4310" s="10" t="n">
        <x:v>0</x:v>
      </x:c>
      <x:c r="O4310" s="2" t="str">
        <x:v>Tp Hồ Chí Minh|house</x:v>
      </x:c>
      <x:c r="P4310" s="10" t="n">
        <x:v>2</x:v>
      </x:c>
      <x:c r="Q4310" s="13" t="n">
        <x:f>IF(H4310="","",H4310/1000000000)</x:f>
        <x:v>3.85</x:v>
      </x:c>
      <x:c r="R4310" s="13" t="n">
        <x:f>IF(I4310="","",I4310/1000000)</x:f>
        <x:v>93.90243902439025</x:v>
      </x:c>
    </x:row>
    <x:row r="4311" ht="21" customHeight="1">
      <x:c r="A4311" s="10" t="n">
        <x:v>5775</x:v>
      </x:c>
      <x:c r="B4311" s="2" t="str">
        <x:v>a7f138eac4cab951c9f1</x:v>
      </x:c>
      <x:c r="C4311" s="2" t="str">
        <x:v>Đà Nẵng</x:v>
      </x:c>
      <x:c r="D4311" s="2" t="str">
        <x:v>Quận Ngũ Hành Sơn</x:v>
      </x:c>
      <x:c r="E4311" s="2" t="str">
        <x:v>house</x:v>
      </x:c>
      <x:c r="F4311" s="2" t="str">
        <x:v>sale</x:v>
      </x:c>
      <x:c r="G4311" s="11" t="n">
        <x:v>76</x:v>
      </x:c>
      <x:c r="H4311" s="12" t="n">
        <x:v>3050000000</x:v>
      </x:c>
      <x:c r="I4311" s="12" t="n">
        <x:v>40131578.94736842</x:v>
      </x:c>
      <x:c r="J4311" s="2" t="str">
        <x:v>total</x:v>
      </x:c>
      <x:c r="K4311" s="2" t="str">
        <x:v>top_level_area</x:v>
      </x:c>
      <x:c r="L4311" s="2" t="str">
        <x:v>property_type_inferred_from_title</x:v>
      </x:c>
      <x:c r="M4311" s="10" t="n">
        <x:v>0</x:v>
      </x:c>
      <x:c r="N4311" s="10" t="n">
        <x:v>0</x:v>
      </x:c>
      <x:c r="O4311" s="2" t="str">
        <x:v>Đà Nẵng|house</x:v>
      </x:c>
      <x:c r="P4311" s="10" t="n">
        <x:v>2</x:v>
      </x:c>
      <x:c r="Q4311" s="13" t="n">
        <x:f>IF(H4311="","",H4311/1000000000)</x:f>
        <x:v>3.05</x:v>
      </x:c>
      <x:c r="R4311" s="13" t="n">
        <x:f>IF(I4311="","",I4311/1000000)</x:f>
        <x:v>40.13157894736842</x:v>
      </x:c>
    </x:row>
    <x:row r="4312" ht="21" customHeight="1">
      <x:c r="A4312" s="10" t="n">
        <x:v>5776</x:v>
      </x:c>
      <x:c r="B4312" s="2" t="str">
        <x:v>cb4cbb8e980ef1d14429</x:v>
      </x:c>
      <x:c r="C4312" s="2" t="str">
        <x:v>Đắk Lắk</x:v>
      </x:c>
      <x:c r="D4312" s="2" t="str">
        <x:v>Thành phố Buôn Ma Thuột</x:v>
      </x:c>
      <x:c r="E4312" s="2" t="str">
        <x:v>house</x:v>
      </x:c>
      <x:c r="F4312" s="2" t="str">
        <x:v>sale_assumed</x:v>
      </x:c>
      <x:c r="G4312" s="11" t="n">
        <x:v>110</x:v>
      </x:c>
      <x:c r="H4312" s="12" t="n">
        <x:v>4300000000</x:v>
      </x:c>
      <x:c r="I4312" s="12" t="n">
        <x:v>39090909.09090909</x:v>
      </x:c>
      <x:c r="J4312" s="2" t="str">
        <x:v>total</x:v>
      </x:c>
      <x:c r="K4312" s="2" t="str">
        <x:v>top_level_area</x:v>
      </x:c>
      <x:c r="L4312" s="2" t="str">
        <x:v>property_type_inferred_from_title;transaction_assumed_sale_from_dataset_context</x:v>
      </x:c>
      <x:c r="M4312" s="10" t="n">
        <x:v>0</x:v>
      </x:c>
      <x:c r="N4312" s="10" t="n">
        <x:v>0</x:v>
      </x:c>
      <x:c r="O4312" s="2" t="str">
        <x:v>Đắk Lắk|house</x:v>
      </x:c>
      <x:c r="P4312" s="10" t="n">
        <x:v>2</x:v>
      </x:c>
      <x:c r="Q4312" s="13" t="n">
        <x:f>IF(H4312="","",H4312/1000000000)</x:f>
        <x:v>4.3</x:v>
      </x:c>
      <x:c r="R4312" s="13" t="n">
        <x:f>IF(I4312="","",I4312/1000000)</x:f>
        <x:v>39.09090909090909</x:v>
      </x:c>
    </x:row>
    <x:row r="4313" ht="21" customHeight="1">
      <x:c r="A4313" s="10" t="n">
        <x:v>5777</x:v>
      </x:c>
      <x:c r="B4313" s="2" t="str">
        <x:v>3f8fcd57801aeba0cc4c</x:v>
      </x:c>
      <x:c r="C4313" s="2" t="str">
        <x:v>Hà Nội</x:v>
      </x:c>
      <x:c r="D4313" s="2" t="str">
        <x:v>Quận Hai Bà Trưng</x:v>
      </x:c>
      <x:c r="E4313" s="2" t="str">
        <x:v>house</x:v>
      </x:c>
      <x:c r="F4313" s="2" t="str">
        <x:v>sale</x:v>
      </x:c>
      <x:c r="G4313" s="11" t="n">
        <x:v>58</x:v>
      </x:c>
      <x:c r="H4313" s="12" t="n">
        <x:v>5100000000</x:v>
      </x:c>
      <x:c r="I4313" s="12" t="n">
        <x:v>87931034.48275863</x:v>
      </x:c>
      <x:c r="J4313" s="2" t="str">
        <x:v>total</x:v>
      </x:c>
      <x:c r="K4313" s="2" t="str">
        <x:v>top_level_area</x:v>
      </x:c>
      <x:c r="L4313" s="2" t="str">
        <x:v>property_type_inferred_from_title</x:v>
      </x:c>
      <x:c r="M4313" s="10" t="n">
        <x:v>0</x:v>
      </x:c>
      <x:c r="N4313" s="10" t="n">
        <x:v>0</x:v>
      </x:c>
      <x:c r="O4313" s="2" t="str">
        <x:v>Hà Nội|house</x:v>
      </x:c>
      <x:c r="P4313" s="10" t="n">
        <x:v>2</x:v>
      </x:c>
      <x:c r="Q4313" s="13" t="n">
        <x:f>IF(H4313="","",H4313/1000000000)</x:f>
        <x:v>5.1</x:v>
      </x:c>
      <x:c r="R4313" s="13" t="n">
        <x:f>IF(I4313="","",I4313/1000000)</x:f>
        <x:v>87.93103448275863</x:v>
      </x:c>
    </x:row>
    <x:row r="4314" ht="21" customHeight="1">
      <x:c r="A4314" s="10" t="n">
        <x:v>5778</x:v>
      </x:c>
      <x:c r="B4314" s="2" t="str">
        <x:v>2f15f734520aba2fb870</x:v>
      </x:c>
      <x:c r="C4314" s="2" t="str">
        <x:v>Tp Hồ Chí Minh</x:v>
      </x:c>
      <x:c r="D4314" s="2" t="str">
        <x:v>Quận 9</x:v>
      </x:c>
      <x:c r="E4314" s="2" t="str">
        <x:v>house</x:v>
      </x:c>
      <x:c r="F4314" s="2" t="str">
        <x:v>sale_assumed</x:v>
      </x:c>
      <x:c r="G4314" s="11" t="n">
        <x:v>58</x:v>
      </x:c>
      <x:c r="H4314" s="12" t="n">
        <x:v>3260000000</x:v>
      </x:c>
      <x:c r="I4314" s="12" t="n">
        <x:v>56206896.551724136</x:v>
      </x:c>
      <x:c r="J4314" s="2" t="str">
        <x:v>total</x:v>
      </x:c>
      <x:c r="K4314" s="2" t="str">
        <x:v>top_level_area</x:v>
      </x:c>
      <x:c r="L4314" s="2" t="str">
        <x:v>property_type_inferred_from_title;transaction_assumed_sale_from_dataset_context</x:v>
      </x:c>
      <x:c r="M4314" s="10" t="n">
        <x:v>0</x:v>
      </x:c>
      <x:c r="N4314" s="10" t="n">
        <x:v>0</x:v>
      </x:c>
      <x:c r="O4314" s="2" t="str">
        <x:v>Tp Hồ Chí Minh|house</x:v>
      </x:c>
      <x:c r="P4314" s="10" t="n">
        <x:v>2</x:v>
      </x:c>
      <x:c r="Q4314" s="13" t="n">
        <x:f>IF(H4314="","",H4314/1000000000)</x:f>
        <x:v>3.26</x:v>
      </x:c>
      <x:c r="R4314" s="13" t="n">
        <x:f>IF(I4314="","",I4314/1000000)</x:f>
        <x:v>56.206896551724135</x:v>
      </x:c>
    </x:row>
    <x:row r="4315" ht="21" customHeight="1">
      <x:c r="A4315" s="10" t="n">
        <x:v>5783</x:v>
      </x:c>
      <x:c r="B4315" s="2" t="str">
        <x:v>b5d5a06cc9092f10d5fd</x:v>
      </x:c>
      <x:c r="C4315" s="2" t="str">
        <x:v>Đồng Nai</x:v>
      </x:c>
      <x:c r="D4315" s="2" t="str">
        <x:v>Huyện Trảng Bom</x:v>
      </x:c>
      <x:c r="E4315" s="2" t="str">
        <x:v>land</x:v>
      </x:c>
      <x:c r="F4315" s="2" t="str">
        <x:v>sale_assumed</x:v>
      </x:c>
      <x:c r="G4315" s="11" t="n">
        <x:v>1000</x:v>
      </x:c>
      <x:c r="H4315" s="12" t="n">
        <x:v>449000000</x:v>
      </x:c>
      <x:c r="I4315" s="12" t="n">
        <x:v>449000</x:v>
      </x:c>
      <x:c r="J4315" s="2" t="str">
        <x:v>total</x:v>
      </x:c>
      <x:c r="K4315" s="2" t="str">
        <x:v>top_level_area</x:v>
      </x:c>
      <x:c r="L4315" s="2" t="str">
        <x:v>dot_thousands_convention;property_type_inferred_from_title;transaction_assumed_sale_from_dataset_context</x:v>
      </x:c>
      <x:c r="M4315" s="10" t="n">
        <x:v>0</x:v>
      </x:c>
      <x:c r="N4315" s="10" t="n">
        <x:v>0</x:v>
      </x:c>
      <x:c r="O4315" s="2" t="str">
        <x:v>Đồng Nai|land</x:v>
      </x:c>
      <x:c r="P4315" s="10" t="n">
        <x:v>1</x:v>
      </x:c>
      <x:c r="Q4315" s="13" t="n">
        <x:f>IF(H4315="","",H4315/1000000000)</x:f>
        <x:v>0.449</x:v>
      </x:c>
      <x:c r="R4315" s="13" t="n">
        <x:f>IF(I4315="","",I4315/1000000)</x:f>
        <x:v>0.449</x:v>
      </x:c>
    </x:row>
    <x:row r="4316" ht="21" customHeight="1">
      <x:c r="A4316" s="10" t="n">
        <x:v>5784</x:v>
      </x:c>
      <x:c r="B4316" s="2" t="str">
        <x:v>09158dd7f622aca6a0eb</x:v>
      </x:c>
      <x:c r="C4316" s="2" t="str">
        <x:v>Bình Dương</x:v>
      </x:c>
      <x:c r="D4316" s="2" t="str">
        <x:v>Thị xã Dĩ An</x:v>
      </x:c>
      <x:c r="E4316" s="2" t="str">
        <x:v>house</x:v>
      </x:c>
      <x:c r="F4316" s="2" t="str">
        <x:v>sale_assumed</x:v>
      </x:c>
      <x:c r="G4316" s="11" t="n">
        <x:v>54</x:v>
      </x:c>
      <x:c r="H4316" s="12" t="n">
        <x:v>1600000000</x:v>
      </x:c>
      <x:c r="I4316" s="12" t="n">
        <x:v>29629629.62962963</x:v>
      </x:c>
      <x:c r="J4316" s="2" t="str">
        <x:v>total</x:v>
      </x:c>
      <x:c r="K4316" s="2" t="str">
        <x:v>top_level_area</x:v>
      </x:c>
      <x:c r="L4316" s="2" t="str">
        <x:v>property_type_inferred_from_title;transaction_assumed_sale_from_dataset_context</x:v>
      </x:c>
      <x:c r="M4316" s="10" t="n">
        <x:v>0</x:v>
      </x:c>
      <x:c r="N4316" s="10" t="n">
        <x:v>0</x:v>
      </x:c>
      <x:c r="O4316" s="2" t="str">
        <x:v>Bình Dương|house</x:v>
      </x:c>
      <x:c r="P4316" s="10" t="n">
        <x:v>2</x:v>
      </x:c>
      <x:c r="Q4316" s="13" t="n">
        <x:f>IF(H4316="","",H4316/1000000000)</x:f>
        <x:v>1.6</x:v>
      </x:c>
      <x:c r="R4316" s="13" t="n">
        <x:f>IF(I4316="","",I4316/1000000)</x:f>
        <x:v>29.62962962962963</x:v>
      </x:c>
    </x:row>
    <x:row r="4317" ht="21" customHeight="1">
      <x:c r="A4317" s="10" t="n">
        <x:v>5785</x:v>
      </x:c>
      <x:c r="B4317" s="2" t="str">
        <x:v>f8c6824c04d02a73424e</x:v>
      </x:c>
      <x:c r="C4317" s="2" t="str">
        <x:v>Cần Thơ</x:v>
      </x:c>
      <x:c r="D4317" s="2" t="str">
        <x:v>Quận Ninh Kiều</x:v>
      </x:c>
      <x:c r="E4317" s="2" t="str">
        <x:v>land</x:v>
      </x:c>
      <x:c r="F4317" s="2" t="str">
        <x:v>sale</x:v>
      </x:c>
      <x:c r="G4317" s="11" t="n">
        <x:v>100</x:v>
      </x:c>
      <x:c r="H4317" s="12" t="n">
        <x:v>2800000000</x:v>
      </x:c>
      <x:c r="I4317" s="12" t="n">
        <x:v>28000000</x:v>
      </x:c>
      <x:c r="J4317" s="2" t="str">
        <x:v>total</x:v>
      </x:c>
      <x:c r="K4317" s="2" t="str">
        <x:v>top_level_area</x:v>
      </x:c>
      <x:c r="L4317" s="2" t="str">
        <x:v>property_type_inferred_from_title</x:v>
      </x:c>
      <x:c r="M4317" s="10" t="n">
        <x:v>0</x:v>
      </x:c>
      <x:c r="N4317" s="10" t="n">
        <x:v>0</x:v>
      </x:c>
      <x:c r="O4317" s="2" t="str">
        <x:v>Cần Thơ|land</x:v>
      </x:c>
      <x:c r="P4317" s="10" t="n">
        <x:v>2</x:v>
      </x:c>
      <x:c r="Q4317" s="13" t="n">
        <x:f>IF(H4317="","",H4317/1000000000)</x:f>
        <x:v>2.8</x:v>
      </x:c>
      <x:c r="R4317" s="13" t="n">
        <x:f>IF(I4317="","",I4317/1000000)</x:f>
        <x:v>28</x:v>
      </x:c>
    </x:row>
    <x:row r="4318" ht="21" customHeight="1">
      <x:c r="A4318" s="10" t="n">
        <x:v>5786</x:v>
      </x:c>
      <x:c r="B4318" s="2" t="str">
        <x:v>c3b4c98ebafda0433da3</x:v>
      </x:c>
      <x:c r="C4318" s="2" t="str">
        <x:v>Thừa Thiên Huế</x:v>
      </x:c>
      <x:c r="D4318" s="2" t="str">
        <x:v>Thành phố Huế</x:v>
      </x:c>
      <x:c r="E4318" s="2" t="str">
        <x:v>land</x:v>
      </x:c>
      <x:c r="F4318" s="2" t="str">
        <x:v>sale</x:v>
      </x:c>
      <x:c r="G4318" s="11" t="n">
        <x:v>69</x:v>
      </x:c>
      <x:c r="H4318" s="12" t="n">
        <x:v>1170000000</x:v>
      </x:c>
      <x:c r="I4318" s="12" t="n">
        <x:v>16956521.739130434</x:v>
      </x:c>
      <x:c r="J4318" s="2" t="str">
        <x:v>total</x:v>
      </x:c>
      <x:c r="K4318" s="2" t="str">
        <x:v>top_level_area</x:v>
      </x:c>
      <x:c r="L4318" s="2" t="str">
        <x:v>property_type_inferred_from_title</x:v>
      </x:c>
      <x:c r="M4318" s="10" t="n">
        <x:v>0</x:v>
      </x:c>
      <x:c r="N4318" s="10" t="n">
        <x:v>0</x:v>
      </x:c>
      <x:c r="O4318" s="2" t="str">
        <x:v>land</x:v>
      </x:c>
      <x:c r="P4318" s="10" t="n">
        <x:v>2</x:v>
      </x:c>
      <x:c r="Q4318" s="13" t="n">
        <x:f>IF(H4318="","",H4318/1000000000)</x:f>
        <x:v>1.17</x:v>
      </x:c>
      <x:c r="R4318" s="13" t="n">
        <x:f>IF(I4318="","",I4318/1000000)</x:f>
        <x:v>16.956521739130434</x:v>
      </x:c>
    </x:row>
    <x:row r="4319" ht="21" customHeight="1">
      <x:c r="A4319" s="10" t="n">
        <x:v>5787</x:v>
      </x:c>
      <x:c r="B4319" s="2" t="str">
        <x:v>a898bc4de70f876e04e2</x:v>
      </x:c>
      <x:c r="C4319" s="2" t="str">
        <x:v>Hà Nội</x:v>
      </x:c>
      <x:c r="D4319" s="2" t="str">
        <x:v>Quận Bắc Từ Liêm</x:v>
      </x:c>
      <x:c r="E4319" s="2" t="str">
        <x:v>house</x:v>
      </x:c>
      <x:c r="F4319" s="2" t="str">
        <x:v>sale_assumed</x:v>
      </x:c>
      <x:c r="G4319" s="11" t="n">
        <x:v>35</x:v>
      </x:c>
      <x:c r="H4319" s="12" t="n">
        <x:v>3400000000</x:v>
      </x:c>
      <x:c r="I4319" s="12" t="n">
        <x:v>97142857.14285715</x:v>
      </x:c>
      <x:c r="J4319" s="2" t="str">
        <x:v>total</x:v>
      </x:c>
      <x:c r="K4319" s="2" t="str">
        <x:v>top_level_area</x:v>
      </x:c>
      <x:c r="L4319" s="2" t="str">
        <x:v>property_type_inferred_from_title;transaction_assumed_sale_from_dataset_context</x:v>
      </x:c>
      <x:c r="M4319" s="10" t="n">
        <x:v>0</x:v>
      </x:c>
      <x:c r="N4319" s="10" t="n">
        <x:v>0</x:v>
      </x:c>
      <x:c r="O4319" s="2" t="str">
        <x:v>Hà Nội|house</x:v>
      </x:c>
      <x:c r="P4319" s="10" t="n">
        <x:v>2</x:v>
      </x:c>
      <x:c r="Q4319" s="13" t="n">
        <x:f>IF(H4319="","",H4319/1000000000)</x:f>
        <x:v>3.4</x:v>
      </x:c>
      <x:c r="R4319" s="13" t="n">
        <x:f>IF(I4319="","",I4319/1000000)</x:f>
        <x:v>97.14285714285715</x:v>
      </x:c>
    </x:row>
    <x:row r="4320" ht="21" customHeight="1">
      <x:c r="A4320" s="10" t="n">
        <x:v>5788</x:v>
      </x:c>
      <x:c r="B4320" s="2" t="str">
        <x:v>21ab5ac0ff96efdf05b2</x:v>
      </x:c>
      <x:c r="C4320" s="2" t="str">
        <x:v>Tp Hồ Chí Minh</x:v>
      </x:c>
      <x:c r="D4320" s="2" t="str">
        <x:v>Quận Tân Bình</x:v>
      </x:c>
      <x:c r="E4320" s="2" t="str">
        <x:v>house</x:v>
      </x:c>
      <x:c r="F4320" s="2" t="str">
        <x:v>sale</x:v>
      </x:c>
      <x:c r="G4320" s="11" t="n">
        <x:v>30</x:v>
      </x:c>
      <x:c r="H4320" s="12" t="n">
        <x:v>3090000000</x:v>
      </x:c>
      <x:c r="I4320" s="12" t="n">
        <x:v>103000000</x:v>
      </x:c>
      <x:c r="J4320" s="2" t="str">
        <x:v>total</x:v>
      </x:c>
      <x:c r="K4320" s="2" t="str">
        <x:v>top_level_area</x:v>
      </x:c>
      <x:c r="L4320" s="2" t="str">
        <x:v>property_type_inferred_from_title</x:v>
      </x:c>
      <x:c r="M4320" s="10" t="n">
        <x:v>0</x:v>
      </x:c>
      <x:c r="N4320" s="10" t="n">
        <x:v>0</x:v>
      </x:c>
      <x:c r="O4320" s="2" t="str">
        <x:v>Tp Hồ Chí Minh|house</x:v>
      </x:c>
      <x:c r="P4320" s="10" t="n">
        <x:v>2</x:v>
      </x:c>
      <x:c r="Q4320" s="13" t="n">
        <x:f>IF(H4320="","",H4320/1000000000)</x:f>
        <x:v>3.09</x:v>
      </x:c>
      <x:c r="R4320" s="13" t="n">
        <x:f>IF(I4320="","",I4320/1000000)</x:f>
        <x:v>103</x:v>
      </x:c>
    </x:row>
    <x:row r="4321" ht="21" customHeight="1">
      <x:c r="A4321" s="10" t="n">
        <x:v>5789</x:v>
      </x:c>
      <x:c r="B4321" s="2" t="str">
        <x:v>92c6ae5c73ffaa5b6d6e</x:v>
      </x:c>
      <x:c r="C4321" s="2" t="str">
        <x:v>Hải Phòng</x:v>
      </x:c>
      <x:c r="D4321" s="2" t="str">
        <x:v>Quận Ngô Quyền</x:v>
      </x:c>
      <x:c r="E4321" s="2" t="str">
        <x:v>house</x:v>
      </x:c>
      <x:c r="F4321" s="2" t="str">
        <x:v>sale_assumed</x:v>
      </x:c>
      <x:c r="G4321" s="11" t="n">
        <x:v>38</x:v>
      </x:c>
      <x:c r="H4321" s="12" t="n">
        <x:v>1480000000</x:v>
      </x:c>
      <x:c r="I4321" s="12" t="n">
        <x:v>38947368.421052635</x:v>
      </x:c>
      <x:c r="J4321" s="2" t="str">
        <x:v>total</x:v>
      </x:c>
      <x:c r="K4321" s="2" t="str">
        <x:v>top_level_area</x:v>
      </x:c>
      <x:c r="L4321" s="2" t="str">
        <x:v>property_type_inferred_from_title;transaction_assumed_sale_from_dataset_context</x:v>
      </x:c>
      <x:c r="M4321" s="10" t="n">
        <x:v>0</x:v>
      </x:c>
      <x:c r="N4321" s="10" t="n">
        <x:v>0</x:v>
      </x:c>
      <x:c r="O4321" s="2" t="str">
        <x:v>house</x:v>
      </x:c>
      <x:c r="P4321" s="10" t="n">
        <x:v>2</x:v>
      </x:c>
      <x:c r="Q4321" s="13" t="n">
        <x:f>IF(H4321="","",H4321/1000000000)</x:f>
        <x:v>1.48</x:v>
      </x:c>
      <x:c r="R4321" s="13" t="n">
        <x:f>IF(I4321="","",I4321/1000000)</x:f>
        <x:v>38.94736842105264</x:v>
      </x:c>
    </x:row>
    <x:row r="4322" ht="21" customHeight="1">
      <x:c r="A4322" s="10" t="n">
        <x:v>5790</x:v>
      </x:c>
      <x:c r="B4322" s="2" t="str">
        <x:v>eade1e2059b058a84590</x:v>
      </x:c>
      <x:c r="C4322" s="2" t="str">
        <x:v>Hà Nội</x:v>
      </x:c>
      <x:c r="D4322" s="2" t="str">
        <x:v>Quận Cầu Giấy</x:v>
      </x:c>
      <x:c r="E4322" s="2" t="str">
        <x:v>house</x:v>
      </x:c>
      <x:c r="F4322" s="2" t="str">
        <x:v>sale</x:v>
      </x:c>
      <x:c r="G4322" s="11" t="n">
        <x:v>35</x:v>
      </x:c>
      <x:c r="H4322" s="12" t="n">
        <x:v>3750000000</x:v>
      </x:c>
      <x:c r="I4322" s="12" t="n">
        <x:v>107142857.14285715</x:v>
      </x:c>
      <x:c r="J4322" s="2" t="str">
        <x:v>total</x:v>
      </x:c>
      <x:c r="K4322" s="2" t="str">
        <x:v>top_level_area</x:v>
      </x:c>
      <x:c r="L4322" s="2" t="str">
        <x:v>property_type_inferred_from_title</x:v>
      </x:c>
      <x:c r="M4322" s="10" t="n">
        <x:v>0</x:v>
      </x:c>
      <x:c r="N4322" s="10" t="n">
        <x:v>0</x:v>
      </x:c>
      <x:c r="O4322" s="2" t="str">
        <x:v>Hà Nội|house</x:v>
      </x:c>
      <x:c r="P4322" s="10" t="n">
        <x:v>2</x:v>
      </x:c>
      <x:c r="Q4322" s="13" t="n">
        <x:f>IF(H4322="","",H4322/1000000000)</x:f>
        <x:v>3.75</x:v>
      </x:c>
      <x:c r="R4322" s="13" t="n">
        <x:f>IF(I4322="","",I4322/1000000)</x:f>
        <x:v>107.14285714285715</x:v>
      </x:c>
    </x:row>
    <x:row r="4323" ht="21" customHeight="1">
      <x:c r="A4323" s="10" t="n">
        <x:v>5791</x:v>
      </x:c>
      <x:c r="B4323" s="2" t="str">
        <x:v>7cfb4133558a23da0edc</x:v>
      </x:c>
      <x:c r="C4323" s="2" t="str">
        <x:v>Bến Tre</x:v>
      </x:c>
      <x:c r="D4323" s="2" t="str">
        <x:v>Huyện Bình Đại</x:v>
      </x:c>
      <x:c r="E4323" s="2" t="str">
        <x:v>other_unknown</x:v>
      </x:c>
      <x:c r="F4323" s="2" t="str">
        <x:v>sale_assumed</x:v>
      </x:c>
      <x:c r="G4323" s="11" t="n">
        <x:v>244</x:v>
      </x:c>
      <x:c r="H4323" s="12" t="n">
        <x:v>1200000000</x:v>
      </x:c>
      <x:c r="I4323" s="12" t="n">
        <x:v>4918032.786885246</x:v>
      </x:c>
      <x:c r="J4323" s="2" t="str">
        <x:v>total</x:v>
      </x:c>
      <x:c r="K4323" s="2" t="str">
        <x:v>top_level_area</x:v>
      </x:c>
      <x:c r="L4323" s="2" t="str">
        <x:v>property_type_inferred_from_title;transaction_assumed_sale_from_dataset_context;unknown_property_type</x:v>
      </x:c>
      <x:c r="M4323" s="10" t="n">
        <x:v>0</x:v>
      </x:c>
      <x:c r="N4323" s="10" t="n">
        <x:v>0</x:v>
      </x:c>
      <x:c r="O4323" s="2" t="str">
        <x:v>other_unknown</x:v>
      </x:c>
      <x:c r="P4323" s="10" t="n">
        <x:v>1</x:v>
      </x:c>
      <x:c r="Q4323" s="13" t="n">
        <x:f>IF(H4323="","",H4323/1000000000)</x:f>
        <x:v>1.2</x:v>
      </x:c>
      <x:c r="R4323" s="13" t="n">
        <x:f>IF(I4323="","",I4323/1000000)</x:f>
        <x:v>4.918032786885246</x:v>
      </x:c>
    </x:row>
    <x:row r="4324" ht="21" customHeight="1">
      <x:c r="A4324" s="10" t="n">
        <x:v>5792</x:v>
      </x:c>
      <x:c r="B4324" s="2" t="str">
        <x:v>c826e705a680daa15fd1</x:v>
      </x:c>
      <x:c r="C4324" s="2" t="str">
        <x:v>Hà Nội</x:v>
      </x:c>
      <x:c r="D4324" s="2" t="str">
        <x:v>Quận Tây Hồ</x:v>
      </x:c>
      <x:c r="E4324" s="2" t="str">
        <x:v>other_unknown</x:v>
      </x:c>
      <x:c r="F4324" s="2" t="str">
        <x:v>sale_assumed</x:v>
      </x:c>
      <x:c r="G4324" s="11" t="n">
        <x:v>35</x:v>
      </x:c>
      <x:c r="H4324" s="12" t="n">
        <x:v>3950000000</x:v>
      </x:c>
      <x:c r="I4324" s="12" t="n">
        <x:v>112857142.85714285</x:v>
      </x:c>
      <x:c r="J4324" s="2" t="str">
        <x:v>total</x:v>
      </x:c>
      <x:c r="K4324" s="2" t="str">
        <x:v>top_level_area</x:v>
      </x:c>
      <x:c r="L4324" s="2" t="str">
        <x:v>property_type_inferred_from_title;transaction_assumed_sale_from_dataset_context;unknown_property_type</x:v>
      </x:c>
      <x:c r="M4324" s="10" t="n">
        <x:v>0</x:v>
      </x:c>
      <x:c r="N4324" s="10" t="n">
        <x:v>0</x:v>
      </x:c>
      <x:c r="O4324" s="2" t="str">
        <x:v>Hà Nội|other_unknown</x:v>
      </x:c>
      <x:c r="P4324" s="10" t="n">
        <x:v>2</x:v>
      </x:c>
      <x:c r="Q4324" s="13" t="n">
        <x:f>IF(H4324="","",H4324/1000000000)</x:f>
        <x:v>3.95</x:v>
      </x:c>
      <x:c r="R4324" s="13" t="n">
        <x:f>IF(I4324="","",I4324/1000000)</x:f>
        <x:v>112.85714285714285</x:v>
      </x:c>
    </x:row>
    <x:row r="4325" ht="21" customHeight="1">
      <x:c r="A4325" s="10" t="n">
        <x:v>5793</x:v>
      </x:c>
      <x:c r="B4325" s="2" t="str">
        <x:v>f0a9c673da8ea7c20529</x:v>
      </x:c>
      <x:c r="C4325" s="2" t="str">
        <x:v>Tp Hồ Chí Minh</x:v>
      </x:c>
      <x:c r="D4325" s="2" t="str">
        <x:v>Quận 2</x:v>
      </x:c>
      <x:c r="E4325" s="2" t="str">
        <x:v>apartment</x:v>
      </x:c>
      <x:c r="F4325" s="2" t="str">
        <x:v>sale_assumed</x:v>
      </x:c>
      <x:c r="G4325" s="11" t="n">
        <x:v>85</x:v>
      </x:c>
      <x:c r="H4325" s="12" t="n">
        <x:v>3800000000</x:v>
      </x:c>
      <x:c r="I4325" s="12" t="n">
        <x:v>44705882.35294118</x:v>
      </x:c>
      <x:c r="J4325" s="2" t="str">
        <x:v>total</x:v>
      </x:c>
      <x:c r="K4325" s="2" t="str">
        <x:v>top_level_area</x:v>
      </x:c>
      <x:c r="L4325" s="2" t="str">
        <x:v>property_type_inferred_from_title;transaction_assumed_sale_from_dataset_context</x:v>
      </x:c>
      <x:c r="M4325" s="10" t="n">
        <x:v>0</x:v>
      </x:c>
      <x:c r="N4325" s="10" t="n">
        <x:v>0</x:v>
      </x:c>
      <x:c r="O4325" s="2" t="str">
        <x:v>Tp Hồ Chí Minh|apartment</x:v>
      </x:c>
      <x:c r="P4325" s="10" t="n">
        <x:v>2</x:v>
      </x:c>
      <x:c r="Q4325" s="13" t="n">
        <x:f>IF(H4325="","",H4325/1000000000)</x:f>
        <x:v>3.8</x:v>
      </x:c>
      <x:c r="R4325" s="13" t="n">
        <x:f>IF(I4325="","",I4325/1000000)</x:f>
        <x:v>44.70588235294118</x:v>
      </x:c>
    </x:row>
    <x:row r="4326" ht="21" customHeight="1">
      <x:c r="A4326" s="10" t="n">
        <x:v>5794</x:v>
      </x:c>
      <x:c r="B4326" s="2" t="str">
        <x:v>47fcf983954b34fad042</x:v>
      </x:c>
      <x:c r="C4326" s="2" t="str">
        <x:v>Bình Dương</x:v>
      </x:c>
      <x:c r="D4326" s="2" t="str">
        <x:v>Thị xã Dĩ An</x:v>
      </x:c>
      <x:c r="E4326" s="2" t="str">
        <x:v>house</x:v>
      </x:c>
      <x:c r="F4326" s="2" t="str">
        <x:v>sale_assumed</x:v>
      </x:c>
      <x:c r="G4326" s="11" t="n">
        <x:v>32</x:v>
      </x:c>
      <x:c r="H4326" s="12" t="n">
        <x:v>1150000000</x:v>
      </x:c>
      <x:c r="I4326" s="12" t="n">
        <x:v>35937500</x:v>
      </x:c>
      <x:c r="J4326" s="2" t="str">
        <x:v>total</x:v>
      </x:c>
      <x:c r="K4326" s="2" t="str">
        <x:v>top_level_area</x:v>
      </x:c>
      <x:c r="L4326" s="2" t="str">
        <x:v>property_type_inferred_from_title;transaction_assumed_sale_from_dataset_context</x:v>
      </x:c>
      <x:c r="M4326" s="10" t="n">
        <x:v>0</x:v>
      </x:c>
      <x:c r="N4326" s="10" t="n">
        <x:v>0</x:v>
      </x:c>
      <x:c r="O4326" s="2" t="str">
        <x:v>Bình Dương|house</x:v>
      </x:c>
      <x:c r="P4326" s="10" t="n">
        <x:v>2</x:v>
      </x:c>
      <x:c r="Q4326" s="13" t="n">
        <x:f>IF(H4326="","",H4326/1000000000)</x:f>
        <x:v>1.15</x:v>
      </x:c>
      <x:c r="R4326" s="13" t="n">
        <x:f>IF(I4326="","",I4326/1000000)</x:f>
        <x:v>35.9375</x:v>
      </x:c>
    </x:row>
    <x:row r="4327" ht="21" customHeight="1">
      <x:c r="A4327" s="10" t="n">
        <x:v>5795</x:v>
      </x:c>
      <x:c r="B4327" s="2" t="str">
        <x:v>0b72944e73f18a982cf1</x:v>
      </x:c>
      <x:c r="C4327" s="2" t="str">
        <x:v>Tp Hồ Chí Minh</x:v>
      </x:c>
      <x:c r="D4327" s="2" t="str">
        <x:v>Quận 10</x:v>
      </x:c>
      <x:c r="E4327" s="2" t="str">
        <x:v>other_unknown</x:v>
      </x:c>
      <x:c r="F4327" s="2" t="str">
        <x:v>sale_assumed</x:v>
      </x:c>
      <x:c r="G4327" s="11" t="n">
        <x:v>44</x:v>
      </x:c>
      <x:c r="H4327" s="12" t="n">
        <x:v>6600000000</x:v>
      </x:c>
      <x:c r="I4327" s="12" t="n">
        <x:v>150000000</x:v>
      </x:c>
      <x:c r="J4327" s="2" t="str">
        <x:v>total</x:v>
      </x:c>
      <x:c r="K4327" s="2" t="str">
        <x:v>top_level_area</x:v>
      </x:c>
      <x:c r="L4327" s="2" t="str">
        <x:v>property_type_inferred_from_title;transaction_assumed_sale_from_dataset_context;unknown_property_type</x:v>
      </x:c>
      <x:c r="M4327" s="10" t="n">
        <x:v>0</x:v>
      </x:c>
      <x:c r="N4327" s="10" t="n">
        <x:v>0</x:v>
      </x:c>
      <x:c r="O4327" s="2" t="str">
        <x:v>Tp Hồ Chí Minh|other_unknown</x:v>
      </x:c>
      <x:c r="P4327" s="10" t="n">
        <x:v>2</x:v>
      </x:c>
      <x:c r="Q4327" s="13" t="n">
        <x:f>IF(H4327="","",H4327/1000000000)</x:f>
        <x:v>6.6</x:v>
      </x:c>
      <x:c r="R4327" s="13" t="n">
        <x:f>IF(I4327="","",I4327/1000000)</x:f>
        <x:v>150</x:v>
      </x:c>
    </x:row>
    <x:row r="4328" ht="21" customHeight="1">
      <x:c r="A4328" s="10" t="n">
        <x:v>5796</x:v>
      </x:c>
      <x:c r="B4328" s="2" t="str">
        <x:v>9cc5562546cfe03c3e2f</x:v>
      </x:c>
      <x:c r="C4328" s="2" t="str">
        <x:v>Bình Dương</x:v>
      </x:c>
      <x:c r="D4328" s="2" t="str">
        <x:v>Thị xã Thuận An</x:v>
      </x:c>
      <x:c r="E4328" s="2" t="str">
        <x:v>land</x:v>
      </x:c>
      <x:c r="F4328" s="2" t="str">
        <x:v>sale</x:v>
      </x:c>
      <x:c r="G4328" s="11" t="n">
        <x:v>85</x:v>
      </x:c>
      <x:c r="H4328" s="12" t="n">
        <x:v>850000000</x:v>
      </x:c>
      <x:c r="I4328" s="12" t="n">
        <x:v>10000000</x:v>
      </x:c>
      <x:c r="J4328" s="2" t="str">
        <x:v>total</x:v>
      </x:c>
      <x:c r="K4328" s="2" t="str">
        <x:v>top_level_area</x:v>
      </x:c>
      <x:c r="L4328" s="2" t="str">
        <x:v>property_type_inferred_from_title</x:v>
      </x:c>
      <x:c r="M4328" s="10" t="n">
        <x:v>0</x:v>
      </x:c>
      <x:c r="N4328" s="10" t="n">
        <x:v>0</x:v>
      </x:c>
      <x:c r="O4328" s="2" t="str">
        <x:v>Bình Dương|land</x:v>
      </x:c>
      <x:c r="P4328" s="10" t="n">
        <x:v>2</x:v>
      </x:c>
      <x:c r="Q4328" s="13" t="n">
        <x:f>IF(H4328="","",H4328/1000000000)</x:f>
        <x:v>0.85</x:v>
      </x:c>
      <x:c r="R4328" s="13" t="n">
        <x:f>IF(I4328="","",I4328/1000000)</x:f>
        <x:v>10</x:v>
      </x:c>
    </x:row>
    <x:row r="4329" ht="21" customHeight="1">
      <x:c r="A4329" s="10" t="n">
        <x:v>5797</x:v>
      </x:c>
      <x:c r="B4329" s="2" t="str">
        <x:v>1da663812d9bdae22428</x:v>
      </x:c>
      <x:c r="C4329" s="2" t="str">
        <x:v>Đà Nẵng</x:v>
      </x:c>
      <x:c r="D4329" s="2" t="str">
        <x:v>Quận Cẩm Lệ</x:v>
      </x:c>
      <x:c r="E4329" s="2" t="str">
        <x:v>house</x:v>
      </x:c>
      <x:c r="F4329" s="2" t="str">
        <x:v>sale_assumed</x:v>
      </x:c>
      <x:c r="G4329" s="11" t="n">
        <x:v>60</x:v>
      </x:c>
      <x:c r="H4329" s="12" t="n">
        <x:v>2590000000</x:v>
      </x:c>
      <x:c r="I4329" s="12" t="n">
        <x:v>43166666.666666664</x:v>
      </x:c>
      <x:c r="J4329" s="2" t="str">
        <x:v>total</x:v>
      </x:c>
      <x:c r="K4329" s="2" t="str">
        <x:v>top_level_area</x:v>
      </x:c>
      <x:c r="L4329" s="2" t="str">
        <x:v>property_type_inferred_from_title;transaction_assumed_sale_from_dataset_context</x:v>
      </x:c>
      <x:c r="M4329" s="10" t="n">
        <x:v>0</x:v>
      </x:c>
      <x:c r="N4329" s="10" t="n">
        <x:v>0</x:v>
      </x:c>
      <x:c r="O4329" s="2" t="str">
        <x:v>Đà Nẵng|house</x:v>
      </x:c>
      <x:c r="P4329" s="10" t="n">
        <x:v>2</x:v>
      </x:c>
      <x:c r="Q4329" s="13" t="n">
        <x:f>IF(H4329="","",H4329/1000000000)</x:f>
        <x:v>2.59</x:v>
      </x:c>
      <x:c r="R4329" s="13" t="n">
        <x:f>IF(I4329="","",I4329/1000000)</x:f>
        <x:v>43.166666666666664</x:v>
      </x:c>
    </x:row>
    <x:row r="4330" ht="21" customHeight="1">
      <x:c r="A4330" s="10" t="n">
        <x:v>5798</x:v>
      </x:c>
      <x:c r="B4330" s="2" t="str">
        <x:v>74a29965bc19a94c9f58</x:v>
      </x:c>
      <x:c r="C4330" s="2" t="str">
        <x:v>Đắk Lắk</x:v>
      </x:c>
      <x:c r="D4330" s="2" t="str">
        <x:v>Thành phố Buôn Ma Thuột</x:v>
      </x:c>
      <x:c r="E4330" s="2" t="str">
        <x:v>house</x:v>
      </x:c>
      <x:c r="F4330" s="2" t="str">
        <x:v>sale_assumed</x:v>
      </x:c>
      <x:c r="G4330" s="11" t="n">
        <x:v>96</x:v>
      </x:c>
      <x:c r="H4330" s="12" t="n">
        <x:v>2650000000</x:v>
      </x:c>
      <x:c r="I4330" s="12" t="n">
        <x:v>27604166.666666668</x:v>
      </x:c>
      <x:c r="J4330" s="2" t="str">
        <x:v>total</x:v>
      </x:c>
      <x:c r="K4330" s="2" t="str">
        <x:v>top_level_area</x:v>
      </x:c>
      <x:c r="L4330" s="2" t="str">
        <x:v>property_type_inferred_from_title;transaction_assumed_sale_from_dataset_context</x:v>
      </x:c>
      <x:c r="M4330" s="10" t="n">
        <x:v>0</x:v>
      </x:c>
      <x:c r="N4330" s="10" t="n">
        <x:v>0</x:v>
      </x:c>
      <x:c r="O4330" s="2" t="str">
        <x:v>Đắk Lắk|house</x:v>
      </x:c>
      <x:c r="P4330" s="10" t="n">
        <x:v>2</x:v>
      </x:c>
      <x:c r="Q4330" s="13" t="n">
        <x:f>IF(H4330="","",H4330/1000000000)</x:f>
        <x:v>2.65</x:v>
      </x:c>
      <x:c r="R4330" s="13" t="n">
        <x:f>IF(I4330="","",I4330/1000000)</x:f>
        <x:v>27.604166666666668</x:v>
      </x:c>
    </x:row>
    <x:row r="4331" ht="21" customHeight="1">
      <x:c r="A4331" s="10" t="n">
        <x:v>5799</x:v>
      </x:c>
      <x:c r="B4331" s="2" t="str">
        <x:v>b077e10febe5fc5aa487</x:v>
      </x:c>
      <x:c r="C4331" s="2" t="str">
        <x:v>Hà Nội</x:v>
      </x:c>
      <x:c r="D4331" s="2" t="str">
        <x:v>Quận Đống Đa</x:v>
      </x:c>
      <x:c r="E4331" s="2" t="str">
        <x:v>other_unknown</x:v>
      </x:c>
      <x:c r="F4331" s="2" t="str">
        <x:v>sale_assumed</x:v>
      </x:c>
      <x:c r="G4331" s="11" t="n">
        <x:v>45</x:v>
      </x:c>
      <x:c r="H4331" s="12" t="n">
        <x:v>4900000000</x:v>
      </x:c>
      <x:c r="I4331" s="12" t="n">
        <x:v>108888888.8888889</x:v>
      </x:c>
      <x:c r="J4331" s="2" t="str">
        <x:v>total</x:v>
      </x:c>
      <x:c r="K4331" s="2" t="str">
        <x:v>top_level_area</x:v>
      </x:c>
      <x:c r="L4331" s="2" t="str">
        <x:v>property_type_inferred_from_title;transaction_assumed_sale_from_dataset_context;unknown_property_type</x:v>
      </x:c>
      <x:c r="M4331" s="10" t="n">
        <x:v>0</x:v>
      </x:c>
      <x:c r="N4331" s="10" t="n">
        <x:v>0</x:v>
      </x:c>
      <x:c r="O4331" s="2" t="str">
        <x:v>Hà Nội|other_unknown</x:v>
      </x:c>
      <x:c r="P4331" s="10" t="n">
        <x:v>2</x:v>
      </x:c>
      <x:c r="Q4331" s="13" t="n">
        <x:f>IF(H4331="","",H4331/1000000000)</x:f>
        <x:v>4.9</x:v>
      </x:c>
      <x:c r="R4331" s="13" t="n">
        <x:f>IF(I4331="","",I4331/1000000)</x:f>
        <x:v>108.8888888888889</x:v>
      </x:c>
    </x:row>
    <x:row r="4332" ht="21" customHeight="1">
      <x:c r="A4332" s="10" t="n">
        <x:v>5800</x:v>
      </x:c>
      <x:c r="B4332" s="2" t="str">
        <x:v>6ed355a6b2cd9bea2aec</x:v>
      </x:c>
      <x:c r="C4332" s="2" t="str">
        <x:v>Long An</x:v>
      </x:c>
      <x:c r="D4332" s="2" t="str">
        <x:v>Huyện Đức Hòa</x:v>
      </x:c>
      <x:c r="E4332" s="2" t="str">
        <x:v>land</x:v>
      </x:c>
      <x:c r="F4332" s="2" t="str">
        <x:v>sale</x:v>
      </x:c>
      <x:c r="G4332" s="11" t="n">
        <x:v>125</x:v>
      </x:c>
      <x:c r="H4332" s="12" t="n">
        <x:v>600000000</x:v>
      </x:c>
      <x:c r="I4332" s="12" t="n">
        <x:v>4800000</x:v>
      </x:c>
      <x:c r="J4332" s="2" t="str">
        <x:v>total</x:v>
      </x:c>
      <x:c r="K4332" s="2" t="str">
        <x:v>top_level_area</x:v>
      </x:c>
      <x:c r="L4332" s="2" t="str">
        <x:v>property_type_inferred_from_title</x:v>
      </x:c>
      <x:c r="M4332" s="10" t="n">
        <x:v>0</x:v>
      </x:c>
      <x:c r="N4332" s="10" t="n">
        <x:v>0</x:v>
      </x:c>
      <x:c r="O4332" s="2" t="str">
        <x:v>Long An|land</x:v>
      </x:c>
      <x:c r="P4332" s="10" t="n">
        <x:v>2</x:v>
      </x:c>
      <x:c r="Q4332" s="13" t="n">
        <x:f>IF(H4332="","",H4332/1000000000)</x:f>
        <x:v>0.6</x:v>
      </x:c>
      <x:c r="R4332" s="13" t="n">
        <x:f>IF(I4332="","",I4332/1000000)</x:f>
        <x:v>4.8</x:v>
      </x:c>
    </x:row>
    <x:row r="4333" ht="21" customHeight="1">
      <x:c r="A4333" s="10" t="n">
        <x:v>5801</x:v>
      </x:c>
      <x:c r="B4333" s="2" t="str">
        <x:v>b873b2f8b91224489b97</x:v>
      </x:c>
      <x:c r="C4333" s="2" t="str">
        <x:v>Tp Hồ Chí Minh</x:v>
      </x:c>
      <x:c r="D4333" s="2" t="str">
        <x:v>Quận Bình Tân</x:v>
      </x:c>
      <x:c r="E4333" s="2" t="str">
        <x:v>other_unknown</x:v>
      </x:c>
      <x:c r="F4333" s="2" t="str">
        <x:v>sale_assumed</x:v>
      </x:c>
      <x:c r="G4333" s="11" t="n">
        <x:v>44</x:v>
      </x:c>
      <x:c r="H4333" s="12" t="n">
        <x:v>2250000000</x:v>
      </x:c>
      <x:c r="I4333" s="12" t="n">
        <x:v>51136363.63636363</x:v>
      </x:c>
      <x:c r="J4333" s="2" t="str">
        <x:v>total</x:v>
      </x:c>
      <x:c r="K4333" s="2" t="str">
        <x:v>top_level_area</x:v>
      </x:c>
      <x:c r="L4333" s="2" t="str">
        <x:v>property_type_inferred_from_title;transaction_assumed_sale_from_dataset_context;unknown_property_type</x:v>
      </x:c>
      <x:c r="M4333" s="10" t="n">
        <x:v>0</x:v>
      </x:c>
      <x:c r="N4333" s="10" t="n">
        <x:v>0</x:v>
      </x:c>
      <x:c r="O4333" s="2" t="str">
        <x:v>Tp Hồ Chí Minh|other_unknown</x:v>
      </x:c>
      <x:c r="P4333" s="10" t="n">
        <x:v>2</x:v>
      </x:c>
      <x:c r="Q4333" s="13" t="n">
        <x:f>IF(H4333="","",H4333/1000000000)</x:f>
        <x:v>2.25</x:v>
      </x:c>
      <x:c r="R4333" s="13" t="n">
        <x:f>IF(I4333="","",I4333/1000000)</x:f>
        <x:v>51.13636363636363</x:v>
      </x:c>
    </x:row>
    <x:row r="4334" ht="21" customHeight="1">
      <x:c r="A4334" s="10" t="n">
        <x:v>5802</x:v>
      </x:c>
      <x:c r="B4334" s="2" t="str">
        <x:v>8951a074e49073d06f47</x:v>
      </x:c>
      <x:c r="C4334" s="2" t="str">
        <x:v>Hà Nội</x:v>
      </x:c>
      <x:c r="D4334" s="2" t="str">
        <x:v>Quận Nam Từ Liêm</x:v>
      </x:c>
      <x:c r="E4334" s="2" t="str">
        <x:v>house</x:v>
      </x:c>
      <x:c r="F4334" s="2" t="str">
        <x:v>sale_assumed</x:v>
      </x:c>
      <x:c r="G4334" s="11" t="n">
        <x:v>35</x:v>
      </x:c>
      <x:c r="H4334" s="12" t="n">
        <x:v>3100000000</x:v>
      </x:c>
      <x:c r="I4334" s="12" t="n">
        <x:v>88571428.57142857</x:v>
      </x:c>
      <x:c r="J4334" s="2" t="str">
        <x:v>total</x:v>
      </x:c>
      <x:c r="K4334" s="2" t="str">
        <x:v>top_level_area</x:v>
      </x:c>
      <x:c r="L4334" s="2" t="str">
        <x:v>property_type_inferred_from_title;transaction_assumed_sale_from_dataset_context</x:v>
      </x:c>
      <x:c r="M4334" s="10" t="n">
        <x:v>0</x:v>
      </x:c>
      <x:c r="N4334" s="10" t="n">
        <x:v>0</x:v>
      </x:c>
      <x:c r="O4334" s="2" t="str">
        <x:v>Hà Nội|house</x:v>
      </x:c>
      <x:c r="P4334" s="10" t="n">
        <x:v>2</x:v>
      </x:c>
      <x:c r="Q4334" s="13" t="n">
        <x:f>IF(H4334="","",H4334/1000000000)</x:f>
        <x:v>3.1</x:v>
      </x:c>
      <x:c r="R4334" s="13" t="n">
        <x:f>IF(I4334="","",I4334/1000000)</x:f>
        <x:v>88.57142857142857</x:v>
      </x:c>
    </x:row>
    <x:row r="4335" ht="21" customHeight="1">
      <x:c r="A4335" s="10" t="n">
        <x:v>5806</x:v>
      </x:c>
      <x:c r="B4335" s="2" t="str">
        <x:v>8d7083595426942b8bbb</x:v>
      </x:c>
      <x:c r="C4335" s="2" t="str">
        <x:v>Hà Nội</x:v>
      </x:c>
      <x:c r="D4335" s="2" t="str">
        <x:v>Quận Nam Từ Liêm</x:v>
      </x:c>
      <x:c r="E4335" s="2" t="str">
        <x:v>house</x:v>
      </x:c>
      <x:c r="F4335" s="2" t="str">
        <x:v>sale_assumed</x:v>
      </x:c>
      <x:c r="G4335" s="11" t="n">
        <x:v>33</x:v>
      </x:c>
      <x:c r="H4335" s="12" t="n">
        <x:v>3650000000</x:v>
      </x:c>
      <x:c r="I4335" s="12" t="n">
        <x:v>110606060.60606061</x:v>
      </x:c>
      <x:c r="J4335" s="2" t="str">
        <x:v>total</x:v>
      </x:c>
      <x:c r="K4335" s="2" t="str">
        <x:v>top_level_area</x:v>
      </x:c>
      <x:c r="L4335" s="2" t="str">
        <x:v>property_type_inferred_from_title;transaction_assumed_sale_from_dataset_context</x:v>
      </x:c>
      <x:c r="M4335" s="10" t="n">
        <x:v>0</x:v>
      </x:c>
      <x:c r="N4335" s="10" t="n">
        <x:v>0</x:v>
      </x:c>
      <x:c r="O4335" s="2" t="str">
        <x:v>Hà Nội|house</x:v>
      </x:c>
      <x:c r="P4335" s="10" t="n">
        <x:v>2</x:v>
      </x:c>
      <x:c r="Q4335" s="13" t="n">
        <x:f>IF(H4335="","",H4335/1000000000)</x:f>
        <x:v>3.65</x:v>
      </x:c>
      <x:c r="R4335" s="13" t="n">
        <x:f>IF(I4335="","",I4335/1000000)</x:f>
        <x:v>110.60606060606061</x:v>
      </x:c>
    </x:row>
    <x:row r="4336" ht="21" customHeight="1">
      <x:c r="A4336" s="10" t="n">
        <x:v>5807</x:v>
      </x:c>
      <x:c r="B4336" s="2" t="str">
        <x:v>15af7393c8688f7c5ca4</x:v>
      </x:c>
      <x:c r="C4336" s="2" t="str">
        <x:v>Đồng Nai</x:v>
      </x:c>
      <x:c r="D4336" s="2" t="str">
        <x:v>Huyện Long Thành</x:v>
      </x:c>
      <x:c r="E4336" s="2" t="str">
        <x:v>land</x:v>
      </x:c>
      <x:c r="F4336" s="2" t="str">
        <x:v>sale_assumed</x:v>
      </x:c>
      <x:c r="G4336" s="11" t="n">
        <x:v>100</x:v>
      </x:c>
      <x:c r="H4336" s="12" t="n">
        <x:v>1250000000</x:v>
      </x:c>
      <x:c r="I4336" s="12" t="n">
        <x:v>12500000</x:v>
      </x:c>
      <x:c r="J4336" s="2" t="str">
        <x:v>total</x:v>
      </x:c>
      <x:c r="K4336" s="2" t="str">
        <x:v>top_level_area</x:v>
      </x:c>
      <x:c r="L4336" s="2" t="str">
        <x:v>property_type_inferred_from_title;transaction_assumed_sale_from_dataset_context</x:v>
      </x:c>
      <x:c r="M4336" s="10" t="n">
        <x:v>0</x:v>
      </x:c>
      <x:c r="N4336" s="10" t="n">
        <x:v>0</x:v>
      </x:c>
      <x:c r="O4336" s="2" t="str">
        <x:v>Đồng Nai|land</x:v>
      </x:c>
      <x:c r="P4336" s="10" t="n">
        <x:v>2</x:v>
      </x:c>
      <x:c r="Q4336" s="13" t="n">
        <x:f>IF(H4336="","",H4336/1000000000)</x:f>
        <x:v>1.25</x:v>
      </x:c>
      <x:c r="R4336" s="13" t="n">
        <x:f>IF(I4336="","",I4336/1000000)</x:f>
        <x:v>12.5</x:v>
      </x:c>
    </x:row>
    <x:row r="4337" ht="21" customHeight="1">
      <x:c r="A4337" s="10" t="n">
        <x:v>5808</x:v>
      </x:c>
      <x:c r="B4337" s="2" t="str">
        <x:v>db7327eac3a9c0f5e70c</x:v>
      </x:c>
      <x:c r="C4337" s="2" t="str">
        <x:v>Tp Hồ Chí Minh</x:v>
      </x:c>
      <x:c r="D4337" s="2" t="str">
        <x:v>Quận Bình Thạnh</x:v>
      </x:c>
      <x:c r="E4337" s="2" t="str">
        <x:v>house</x:v>
      </x:c>
      <x:c r="F4337" s="2" t="str">
        <x:v>sale_assumed</x:v>
      </x:c>
      <x:c r="G4337" s="11" t="n">
        <x:v>58</x:v>
      </x:c>
      <x:c r="H4337" s="12" t="n">
        <x:v>1680000000</x:v>
      </x:c>
      <x:c r="I4337" s="12" t="n">
        <x:v>28965517.24137931</x:v>
      </x:c>
      <x:c r="J4337" s="2" t="str">
        <x:v>total</x:v>
      </x:c>
      <x:c r="K4337" s="2" t="str">
        <x:v>top_level_area</x:v>
      </x:c>
      <x:c r="L4337" s="2" t="str">
        <x:v>property_type_inferred_from_title;transaction_assumed_sale_from_dataset_context</x:v>
      </x:c>
      <x:c r="M4337" s="10" t="n">
        <x:v>0</x:v>
      </x:c>
      <x:c r="N4337" s="10" t="n">
        <x:v>0</x:v>
      </x:c>
      <x:c r="O4337" s="2" t="str">
        <x:v>Tp Hồ Chí Minh|house</x:v>
      </x:c>
      <x:c r="P4337" s="10" t="n">
        <x:v>2</x:v>
      </x:c>
      <x:c r="Q4337" s="13" t="n">
        <x:f>IF(H4337="","",H4337/1000000000)</x:f>
        <x:v>1.68</x:v>
      </x:c>
      <x:c r="R4337" s="13" t="n">
        <x:f>IF(I4337="","",I4337/1000000)</x:f>
        <x:v>28.96551724137931</x:v>
      </x:c>
    </x:row>
    <x:row r="4338" ht="21" customHeight="1">
      <x:c r="A4338" s="10" t="n">
        <x:v>5809</x:v>
      </x:c>
      <x:c r="B4338" s="2" t="str">
        <x:v>12687c984de415f7595c</x:v>
      </x:c>
      <x:c r="C4338" s="2" t="str">
        <x:v>Hà Nội</x:v>
      </x:c>
      <x:c r="D4338" s="2" t="str">
        <x:v>Quận Đống Đa</x:v>
      </x:c>
      <x:c r="E4338" s="2" t="str">
        <x:v>house</x:v>
      </x:c>
      <x:c r="F4338" s="2" t="str">
        <x:v>sale_assumed</x:v>
      </x:c>
      <x:c r="G4338" s="11" t="n">
        <x:v>66</x:v>
      </x:c>
      <x:c r="H4338" s="12" t="n">
        <x:v>5000000000</x:v>
      </x:c>
      <x:c r="I4338" s="12" t="n">
        <x:v>75757575.75757575</x:v>
      </x:c>
      <x:c r="J4338" s="2" t="str">
        <x:v>total</x:v>
      </x:c>
      <x:c r="K4338" s="2" t="str">
        <x:v>top_level_area</x:v>
      </x:c>
      <x:c r="L4338" s="2" t="str">
        <x:v>property_type_inferred_from_title;transaction_assumed_sale_from_dataset_context</x:v>
      </x:c>
      <x:c r="M4338" s="10" t="n">
        <x:v>0</x:v>
      </x:c>
      <x:c r="N4338" s="10" t="n">
        <x:v>0</x:v>
      </x:c>
      <x:c r="O4338" s="2" t="str">
        <x:v>Hà Nội|house</x:v>
      </x:c>
      <x:c r="P4338" s="10" t="n">
        <x:v>2</x:v>
      </x:c>
      <x:c r="Q4338" s="13" t="n">
        <x:f>IF(H4338="","",H4338/1000000000)</x:f>
        <x:v>5</x:v>
      </x:c>
      <x:c r="R4338" s="13" t="n">
        <x:f>IF(I4338="","",I4338/1000000)</x:f>
        <x:v>75.75757575757575</x:v>
      </x:c>
    </x:row>
    <x:row r="4339" ht="21" customHeight="1">
      <x:c r="A4339" s="10" t="n">
        <x:v>5810</x:v>
      </x:c>
      <x:c r="B4339" s="2" t="str">
        <x:v>4db5b55d37eef0bcd2ec</x:v>
      </x:c>
      <x:c r="C4339" s="2" t="str">
        <x:v>Tp Hồ Chí Minh</x:v>
      </x:c>
      <x:c r="D4339" s="2" t="str">
        <x:v>Huyện Bình Chánh</x:v>
      </x:c>
      <x:c r="E4339" s="2" t="str">
        <x:v>house</x:v>
      </x:c>
      <x:c r="F4339" s="2" t="str">
        <x:v>sale</x:v>
      </x:c>
      <x:c r="G4339" s="11" t="n">
        <x:v>80</x:v>
      </x:c>
      <x:c r="H4339" s="12" t="n">
        <x:v>630000000</x:v>
      </x:c>
      <x:c r="I4339" s="12" t="n">
        <x:v>7875000</x:v>
      </x:c>
      <x:c r="J4339" s="2" t="str">
        <x:v>total</x:v>
      </x:c>
      <x:c r="K4339" s="2" t="str">
        <x:v>top_level_area</x:v>
      </x:c>
      <x:c r="L4339" s="2" t="str">
        <x:v>property_type_inferred_from_title</x:v>
      </x:c>
      <x:c r="M4339" s="10" t="n">
        <x:v>0</x:v>
      </x:c>
      <x:c r="N4339" s="10" t="n">
        <x:v>0</x:v>
      </x:c>
      <x:c r="O4339" s="2" t="str">
        <x:v>Tp Hồ Chí Minh|house</x:v>
      </x:c>
      <x:c r="P4339" s="10" t="n">
        <x:v>2</x:v>
      </x:c>
      <x:c r="Q4339" s="13" t="n">
        <x:f>IF(H4339="","",H4339/1000000000)</x:f>
        <x:v>0.63</x:v>
      </x:c>
      <x:c r="R4339" s="13" t="n">
        <x:f>IF(I4339="","",I4339/1000000)</x:f>
        <x:v>7.875</x:v>
      </x:c>
    </x:row>
    <x:row r="4340" ht="21" customHeight="1">
      <x:c r="A4340" s="10" t="n">
        <x:v>5811</x:v>
      </x:c>
      <x:c r="B4340" s="2" t="str">
        <x:v>57f027b145fe178e8a9a</x:v>
      </x:c>
      <x:c r="C4340" s="2" t="str">
        <x:v>Hà Nội</x:v>
      </x:c>
      <x:c r="D4340" s="2" t="str">
        <x:v>Quận Long Biên</x:v>
      </x:c>
      <x:c r="E4340" s="2" t="str">
        <x:v>other_unknown</x:v>
      </x:c>
      <x:c r="F4340" s="2" t="str">
        <x:v>sale_assumed</x:v>
      </x:c>
      <x:c r="G4340" s="11" t="n">
        <x:v>38</x:v>
      </x:c>
      <x:c r="H4340" s="12" t="n">
        <x:v>2350000000</x:v>
      </x:c>
      <x:c r="I4340" s="12" t="n">
        <x:v>61842105.2631579</x:v>
      </x:c>
      <x:c r="J4340" s="2" t="str">
        <x:v>total</x:v>
      </x:c>
      <x:c r="K4340" s="2" t="str">
        <x:v>top_level_area</x:v>
      </x:c>
      <x:c r="L4340" s="2" t="str">
        <x:v>property_type_inferred_from_title;transaction_assumed_sale_from_dataset_context;unknown_property_type</x:v>
      </x:c>
      <x:c r="M4340" s="10" t="n">
        <x:v>0</x:v>
      </x:c>
      <x:c r="N4340" s="10" t="n">
        <x:v>0</x:v>
      </x:c>
      <x:c r="O4340" s="2" t="str">
        <x:v>Hà Nội|other_unknown</x:v>
      </x:c>
      <x:c r="P4340" s="10" t="n">
        <x:v>2</x:v>
      </x:c>
      <x:c r="Q4340" s="13" t="n">
        <x:f>IF(H4340="","",H4340/1000000000)</x:f>
        <x:v>2.35</x:v>
      </x:c>
      <x:c r="R4340" s="13" t="n">
        <x:f>IF(I4340="","",I4340/1000000)</x:f>
        <x:v>61.8421052631579</x:v>
      </x:c>
    </x:row>
    <x:row r="4341" ht="21" customHeight="1">
      <x:c r="A4341" s="10" t="n">
        <x:v>5812</x:v>
      </x:c>
      <x:c r="B4341" s="2" t="str">
        <x:v>03753f5797ca8d477de8</x:v>
      </x:c>
      <x:c r="C4341" s="2" t="str">
        <x:v>Tp Hồ Chí Minh</x:v>
      </x:c>
      <x:c r="D4341" s="2" t="str">
        <x:v>Quận Bình Tân</x:v>
      </x:c>
      <x:c r="E4341" s="2" t="str">
        <x:v>other_unknown</x:v>
      </x:c>
      <x:c r="F4341" s="2" t="str">
        <x:v>sale_assumed</x:v>
      </x:c>
      <x:c r="G4341" s="11" t="n">
        <x:v>44</x:v>
      </x:c>
      <x:c r="H4341" s="12" t="n">
        <x:v>2250000000</x:v>
      </x:c>
      <x:c r="I4341" s="12" t="n">
        <x:v>51136363.63636363</x:v>
      </x:c>
      <x:c r="J4341" s="2" t="str">
        <x:v>total</x:v>
      </x:c>
      <x:c r="K4341" s="2" t="str">
        <x:v>top_level_area</x:v>
      </x:c>
      <x:c r="L4341" s="2" t="str">
        <x:v>property_type_inferred_from_title;transaction_assumed_sale_from_dataset_context;unknown_property_type</x:v>
      </x:c>
      <x:c r="M4341" s="10" t="n">
        <x:v>0</x:v>
      </x:c>
      <x:c r="N4341" s="10" t="n">
        <x:v>0</x:v>
      </x:c>
      <x:c r="O4341" s="2" t="str">
        <x:v>Tp Hồ Chí Minh|other_unknown</x:v>
      </x:c>
      <x:c r="P4341" s="10" t="n">
        <x:v>2</x:v>
      </x:c>
      <x:c r="Q4341" s="13" t="n">
        <x:f>IF(H4341="","",H4341/1000000000)</x:f>
        <x:v>2.25</x:v>
      </x:c>
      <x:c r="R4341" s="13" t="n">
        <x:f>IF(I4341="","",I4341/1000000)</x:f>
        <x:v>51.13636363636363</x:v>
      </x:c>
    </x:row>
    <x:row r="4342" ht="21" customHeight="1">
      <x:c r="A4342" s="10" t="n">
        <x:v>5813</x:v>
      </x:c>
      <x:c r="B4342" s="2" t="str">
        <x:v>8bba54864e1f30d932a7</x:v>
      </x:c>
      <x:c r="C4342" s="2" t="str">
        <x:v>Đà Nẵng</x:v>
      </x:c>
      <x:c r="D4342" s="2" t="str">
        <x:v>Quận Ngũ Hành Sơn</x:v>
      </x:c>
      <x:c r="E4342" s="2" t="str">
        <x:v>house</x:v>
      </x:c>
      <x:c r="F4342" s="2" t="str">
        <x:v>sale</x:v>
      </x:c>
      <x:c r="G4342" s="11" t="n">
        <x:v>70</x:v>
      </x:c>
      <x:c r="H4342" s="12" t="n">
        <x:v>3750000000</x:v>
      </x:c>
      <x:c r="I4342" s="12" t="n">
        <x:v>53571428.571428575</x:v>
      </x:c>
      <x:c r="J4342" s="2" t="str">
        <x:v>total</x:v>
      </x:c>
      <x:c r="K4342" s="2" t="str">
        <x:v>top_level_area</x:v>
      </x:c>
      <x:c r="L4342" s="2" t="str">
        <x:v>property_type_inferred_from_title</x:v>
      </x:c>
      <x:c r="M4342" s="10" t="n">
        <x:v>0</x:v>
      </x:c>
      <x:c r="N4342" s="10" t="n">
        <x:v>0</x:v>
      </x:c>
      <x:c r="O4342" s="2" t="str">
        <x:v>Đà Nẵng|house</x:v>
      </x:c>
      <x:c r="P4342" s="10" t="n">
        <x:v>2</x:v>
      </x:c>
      <x:c r="Q4342" s="13" t="n">
        <x:f>IF(H4342="","",H4342/1000000000)</x:f>
        <x:v>3.75</x:v>
      </x:c>
      <x:c r="R4342" s="13" t="n">
        <x:f>IF(I4342="","",I4342/1000000)</x:f>
        <x:v>53.57142857142858</x:v>
      </x:c>
    </x:row>
    <x:row r="4343" ht="21" customHeight="1">
      <x:c r="A4343" s="10" t="n">
        <x:v>5814</x:v>
      </x:c>
      <x:c r="B4343" s="2" t="str">
        <x:v>7f7f23df24b9626d127e</x:v>
      </x:c>
      <x:c r="C4343" s="2" t="str">
        <x:v>Hà Nội</x:v>
      </x:c>
      <x:c r="D4343" s="2" t="str">
        <x:v>Quận Cầu Giấy</x:v>
      </x:c>
      <x:c r="E4343" s="2" t="str">
        <x:v>house</x:v>
      </x:c>
      <x:c r="F4343" s="2" t="str">
        <x:v>sale</x:v>
      </x:c>
      <x:c r="G4343" s="11" t="n">
        <x:v>62</x:v>
      </x:c>
      <x:c r="H4343" s="12" t="n">
        <x:v>11000000000</x:v>
      </x:c>
      <x:c r="I4343" s="12" t="n">
        <x:v>177419354.83870968</x:v>
      </x:c>
      <x:c r="J4343" s="2" t="str">
        <x:v>total</x:v>
      </x:c>
      <x:c r="K4343" s="2" t="str">
        <x:v>top_level_area</x:v>
      </x:c>
      <x:c r="L4343" s="2" t="str">
        <x:v>property_type_inferred_from_title</x:v>
      </x:c>
      <x:c r="M4343" s="10" t="n">
        <x:v>1</x:v>
      </x:c>
      <x:c r="N4343" s="10" t="n">
        <x:v>1</x:v>
      </x:c>
      <x:c r="O4343" s="2" t="str">
        <x:v>Hà Nội|house</x:v>
      </x:c>
      <x:c r="P4343" s="10" t="n">
        <x:v>-1</x:v>
      </x:c>
      <x:c r="Q4343" s="13" t="n">
        <x:f>IF(H4343="","",H4343/1000000000)</x:f>
        <x:v>11</x:v>
      </x:c>
      <x:c r="R4343" s="13" t="n">
        <x:f>IF(I4343="","",I4343/1000000)</x:f>
        <x:v>177.4193548387097</x:v>
      </x:c>
    </x:row>
    <x:row r="4344" ht="21" customHeight="1">
      <x:c r="A4344" s="10" t="n">
        <x:v>5815</x:v>
      </x:c>
      <x:c r="B4344" s="2" t="str">
        <x:v>08ee7b403c4cacd14e6d</x:v>
      </x:c>
      <x:c r="C4344" s="2" t="str">
        <x:v>Tp Hồ Chí Minh</x:v>
      </x:c>
      <x:c r="D4344" s="2" t="str">
        <x:v>Quận 12</x:v>
      </x:c>
      <x:c r="E4344" s="2" t="str">
        <x:v>house</x:v>
      </x:c>
      <x:c r="F4344" s="2" t="str">
        <x:v>sale_assumed</x:v>
      </x:c>
      <x:c r="G4344" s="11" t="n">
        <x:v>53</x:v>
      </x:c>
      <x:c r="H4344" s="12" t="n">
        <x:v>1080000000</x:v>
      </x:c>
      <x:c r="I4344" s="12" t="n">
        <x:v>20377358.490566038</x:v>
      </x:c>
      <x:c r="J4344" s="2" t="str">
        <x:v>total</x:v>
      </x:c>
      <x:c r="K4344" s="2" t="str">
        <x:v>top_level_area</x:v>
      </x:c>
      <x:c r="L4344" s="2" t="str">
        <x:v>property_type_inferred_from_title;transaction_assumed_sale_from_dataset_context</x:v>
      </x:c>
      <x:c r="M4344" s="10" t="n">
        <x:v>0</x:v>
      </x:c>
      <x:c r="N4344" s="10" t="n">
        <x:v>0</x:v>
      </x:c>
      <x:c r="O4344" s="2" t="str">
        <x:v>Tp Hồ Chí Minh|house</x:v>
      </x:c>
      <x:c r="P4344" s="10" t="n">
        <x:v>2</x:v>
      </x:c>
      <x:c r="Q4344" s="13" t="n">
        <x:f>IF(H4344="","",H4344/1000000000)</x:f>
        <x:v>1.08</x:v>
      </x:c>
      <x:c r="R4344" s="13" t="n">
        <x:f>IF(I4344="","",I4344/1000000)</x:f>
        <x:v>20.37735849056604</x:v>
      </x:c>
    </x:row>
    <x:row r="4345" ht="21" customHeight="1">
      <x:c r="A4345" s="10" t="n">
        <x:v>5816</x:v>
      </x:c>
      <x:c r="B4345" s="2" t="str">
        <x:v>90c15d706bd971565540</x:v>
      </x:c>
      <x:c r="C4345" s="2" t="str">
        <x:v>Tp Hồ Chí Minh</x:v>
      </x:c>
      <x:c r="D4345" s="2" t="str">
        <x:v>Quận 3</x:v>
      </x:c>
      <x:c r="E4345" s="2" t="str">
        <x:v>house</x:v>
      </x:c>
      <x:c r="F4345" s="2" t="str">
        <x:v>sale</x:v>
      </x:c>
      <x:c r="G4345" s="11" t="n">
        <x:v>42</x:v>
      </x:c>
      <x:c r="H4345" s="12" t="n">
        <x:v>1560000000</x:v>
      </x:c>
      <x:c r="I4345" s="12" t="n">
        <x:v>37142857.14285714</x:v>
      </x:c>
      <x:c r="J4345" s="2" t="str">
        <x:v>total</x:v>
      </x:c>
      <x:c r="K4345" s="2" t="str">
        <x:v>top_level_price_embedded_area</x:v>
      </x:c>
      <x:c r="L4345" s="2" t="str">
        <x:v>area_recovered_from_price_text;property_type_inferred_from_title</x:v>
      </x:c>
      <x:c r="M4345" s="10" t="n">
        <x:v>0</x:v>
      </x:c>
      <x:c r="N4345" s="10" t="n">
        <x:v>0</x:v>
      </x:c>
      <x:c r="O4345" s="2" t="str">
        <x:v>Tp Hồ Chí Minh|house</x:v>
      </x:c>
      <x:c r="P4345" s="10" t="n">
        <x:v>2</x:v>
      </x:c>
      <x:c r="Q4345" s="13" t="n">
        <x:f>IF(H4345="","",H4345/1000000000)</x:f>
        <x:v>1.56</x:v>
      </x:c>
      <x:c r="R4345" s="13" t="n">
        <x:f>IF(I4345="","",I4345/1000000)</x:f>
        <x:v>37.14285714285714</x:v>
      </x:c>
    </x:row>
    <x:row r="4346" ht="21" customHeight="1">
      <x:c r="A4346" s="10" t="n">
        <x:v>5817</x:v>
      </x:c>
      <x:c r="B4346" s="2" t="str">
        <x:v>1b8629d9d1512d45d438</x:v>
      </x:c>
      <x:c r="C4346" s="2" t="str">
        <x:v>Hà Nội</x:v>
      </x:c>
      <x:c r="D4346" s="2" t="str">
        <x:v>Quận Tây Hồ</x:v>
      </x:c>
      <x:c r="E4346" s="2" t="str">
        <x:v>house</x:v>
      </x:c>
      <x:c r="F4346" s="2" t="str">
        <x:v>sale</x:v>
      </x:c>
      <x:c r="G4346" s="11" t="n">
        <x:v>35</x:v>
      </x:c>
      <x:c r="H4346" s="12" t="n">
        <x:v>3950000000</x:v>
      </x:c>
      <x:c r="I4346" s="12" t="n">
        <x:v>112857142.85714285</x:v>
      </x:c>
      <x:c r="J4346" s="2" t="str">
        <x:v>total</x:v>
      </x:c>
      <x:c r="K4346" s="2" t="str">
        <x:v>top_level_area</x:v>
      </x:c>
      <x:c r="L4346" s="2" t="str">
        <x:v>property_type_inferred_from_title</x:v>
      </x:c>
      <x:c r="M4346" s="10" t="n">
        <x:v>0</x:v>
      </x:c>
      <x:c r="N4346" s="10" t="n">
        <x:v>0</x:v>
      </x:c>
      <x:c r="O4346" s="2" t="str">
        <x:v>Hà Nội|house</x:v>
      </x:c>
      <x:c r="P4346" s="10" t="n">
        <x:v>2</x:v>
      </x:c>
      <x:c r="Q4346" s="13" t="n">
        <x:f>IF(H4346="","",H4346/1000000000)</x:f>
        <x:v>3.95</x:v>
      </x:c>
      <x:c r="R4346" s="13" t="n">
        <x:f>IF(I4346="","",I4346/1000000)</x:f>
        <x:v>112.85714285714285</x:v>
      </x:c>
    </x:row>
    <x:row r="4347" ht="21" customHeight="1">
      <x:c r="A4347" s="10" t="n">
        <x:v>5818</x:v>
      </x:c>
      <x:c r="B4347" s="2" t="str">
        <x:v>12469e0b8511c1fb4fd2</x:v>
      </x:c>
      <x:c r="C4347" s="2" t="str">
        <x:v>Hà Nội</x:v>
      </x:c>
      <x:c r="D4347" s="2" t="str">
        <x:v>Quận Tây Hồ</x:v>
      </x:c>
      <x:c r="E4347" s="2" t="str">
        <x:v>land</x:v>
      </x:c>
      <x:c r="F4347" s="2" t="str">
        <x:v>sale</x:v>
      </x:c>
      <x:c r="G4347" s="11" t="n">
        <x:v>102</x:v>
      </x:c>
      <x:c r="H4347" s="12" t="n">
        <x:v>7000000000</x:v>
      </x:c>
      <x:c r="I4347" s="12" t="n">
        <x:v>68627450.98039216</x:v>
      </x:c>
      <x:c r="J4347" s="2" t="str">
        <x:v>total</x:v>
      </x:c>
      <x:c r="K4347" s="2" t="str">
        <x:v>top_level_area</x:v>
      </x:c>
      <x:c r="L4347" s="2" t="str">
        <x:v>property_type_inferred_from_title</x:v>
      </x:c>
      <x:c r="M4347" s="10" t="n">
        <x:v>0</x:v>
      </x:c>
      <x:c r="N4347" s="10" t="n">
        <x:v>0</x:v>
      </x:c>
      <x:c r="O4347" s="2" t="str">
        <x:v>Hà Nội|land</x:v>
      </x:c>
      <x:c r="P4347" s="10" t="n">
        <x:v>2</x:v>
      </x:c>
      <x:c r="Q4347" s="13" t="n">
        <x:f>IF(H4347="","",H4347/1000000000)</x:f>
        <x:v>7</x:v>
      </x:c>
      <x:c r="R4347" s="13" t="n">
        <x:f>IF(I4347="","",I4347/1000000)</x:f>
        <x:v>68.62745098039215</x:v>
      </x:c>
    </x:row>
    <x:row r="4348" ht="21" customHeight="1">
      <x:c r="A4348" s="10" t="n">
        <x:v>5819</x:v>
      </x:c>
      <x:c r="B4348" s="2" t="str">
        <x:v>507b47de632b01f73ea4</x:v>
      </x:c>
      <x:c r="C4348" s="2" t="str">
        <x:v>Kon Tum</x:v>
      </x:c>
      <x:c r="D4348" s="2" t="str">
        <x:v>Huyện Đắk Hà</x:v>
      </x:c>
      <x:c r="E4348" s="2" t="str">
        <x:v>land</x:v>
      </x:c>
      <x:c r="F4348" s="2" t="str">
        <x:v>sale</x:v>
      </x:c>
      <x:c r="G4348" s="11" t="n">
        <x:v>270</x:v>
      </x:c>
      <x:c r="H4348" s="12" t="n">
        <x:v>750000000</x:v>
      </x:c>
      <x:c r="I4348" s="12" t="n">
        <x:v>2777777.777777778</x:v>
      </x:c>
      <x:c r="J4348" s="2" t="str">
        <x:v>total</x:v>
      </x:c>
      <x:c r="K4348" s="2" t="str">
        <x:v>top_level_area</x:v>
      </x:c>
      <x:c r="L4348" s="2" t="str">
        <x:v>property_type_inferred_from_title</x:v>
      </x:c>
      <x:c r="M4348" s="10" t="n">
        <x:v>0</x:v>
      </x:c>
      <x:c r="N4348" s="10" t="n">
        <x:v>0</x:v>
      </x:c>
      <x:c r="O4348" s="2" t="str">
        <x:v>land</x:v>
      </x:c>
      <x:c r="P4348" s="10" t="n">
        <x:v>1</x:v>
      </x:c>
      <x:c r="Q4348" s="13" t="n">
        <x:f>IF(H4348="","",H4348/1000000000)</x:f>
        <x:v>0.75</x:v>
      </x:c>
      <x:c r="R4348" s="13" t="n">
        <x:f>IF(I4348="","",I4348/1000000)</x:f>
        <x:v>2.777777777777778</x:v>
      </x:c>
    </x:row>
    <x:row r="4349" ht="21" customHeight="1">
      <x:c r="A4349" s="10" t="n">
        <x:v>5820</x:v>
      </x:c>
      <x:c r="B4349" s="2" t="str">
        <x:v>ebc2cbaeb6c974c572c7</x:v>
      </x:c>
      <x:c r="C4349" s="2" t="str">
        <x:v>Tp Hồ Chí Minh</x:v>
      </x:c>
      <x:c r="D4349" s="2" t="str">
        <x:v>Quận 5</x:v>
      </x:c>
      <x:c r="E4349" s="2" t="str">
        <x:v>other_unknown</x:v>
      </x:c>
      <x:c r="F4349" s="2" t="str">
        <x:v>sale_assumed</x:v>
      </x:c>
      <x:c r="G4349" s="11" t="n">
        <x:v>79</x:v>
      </x:c>
      <x:c r="H4349" s="12" t="n">
        <x:v>11200000000</x:v>
      </x:c>
      <x:c r="I4349" s="12" t="n">
        <x:v>141772151.89873418</x:v>
      </x:c>
      <x:c r="J4349" s="2" t="str">
        <x:v>total</x:v>
      </x:c>
      <x:c r="K4349" s="2" t="str">
        <x:v>top_level_area</x:v>
      </x:c>
      <x:c r="L4349" s="2" t="str">
        <x:v>property_type_inferred_from_title;transaction_assumed_sale_from_dataset_context;unknown_property_type</x:v>
      </x:c>
      <x:c r="M4349" s="10" t="n">
        <x:v>0</x:v>
      </x:c>
      <x:c r="N4349" s="10" t="n">
        <x:v>0</x:v>
      </x:c>
      <x:c r="O4349" s="2" t="str">
        <x:v>Tp Hồ Chí Minh|other_unknown</x:v>
      </x:c>
      <x:c r="P4349" s="10" t="n">
        <x:v>2</x:v>
      </x:c>
      <x:c r="Q4349" s="13" t="n">
        <x:f>IF(H4349="","",H4349/1000000000)</x:f>
        <x:v>11.2</x:v>
      </x:c>
      <x:c r="R4349" s="13" t="n">
        <x:f>IF(I4349="","",I4349/1000000)</x:f>
        <x:v>141.7721518987342</x:v>
      </x:c>
    </x:row>
    <x:row r="4350" ht="21" customHeight="1">
      <x:c r="A4350" s="10" t="n">
        <x:v>5821</x:v>
      </x:c>
      <x:c r="B4350" s="2" t="str">
        <x:v>fe2ff58fdba7855975f7</x:v>
      </x:c>
      <x:c r="C4350" s="2" t="str">
        <x:v>Tp Hồ Chí Minh</x:v>
      </x:c>
      <x:c r="D4350" s="2" t="str">
        <x:v>Quận Thủ Đức</x:v>
      </x:c>
      <x:c r="E4350" s="2" t="str">
        <x:v>house</x:v>
      </x:c>
      <x:c r="F4350" s="2" t="str">
        <x:v>sale_assumed</x:v>
      </x:c>
      <x:c r="G4350" s="11" t="n">
        <x:v>112</x:v>
      </x:c>
      <x:c r="H4350" s="12" t="n">
        <x:v>5500000000</x:v>
      </x:c>
      <x:c r="I4350" s="12" t="n">
        <x:v>49107142.85714286</x:v>
      </x:c>
      <x:c r="J4350" s="2" t="str">
        <x:v>total</x:v>
      </x:c>
      <x:c r="K4350" s="2" t="str">
        <x:v>top_level_area</x:v>
      </x:c>
      <x:c r="L4350" s="2" t="str">
        <x:v>property_type_inferred_from_title;transaction_assumed_sale_from_dataset_context</x:v>
      </x:c>
      <x:c r="M4350" s="10" t="n">
        <x:v>0</x:v>
      </x:c>
      <x:c r="N4350" s="10" t="n">
        <x:v>0</x:v>
      </x:c>
      <x:c r="O4350" s="2" t="str">
        <x:v>Tp Hồ Chí Minh|house</x:v>
      </x:c>
      <x:c r="P4350" s="10" t="n">
        <x:v>2</x:v>
      </x:c>
      <x:c r="Q4350" s="13" t="n">
        <x:f>IF(H4350="","",H4350/1000000000)</x:f>
        <x:v>5.5</x:v>
      </x:c>
      <x:c r="R4350" s="13" t="n">
        <x:f>IF(I4350="","",I4350/1000000)</x:f>
        <x:v>49.10714285714286</x:v>
      </x:c>
    </x:row>
    <x:row r="4351" ht="21" customHeight="1">
      <x:c r="A4351" s="10" t="n">
        <x:v>5822</x:v>
      </x:c>
      <x:c r="B4351" s="2" t="str">
        <x:v>6c13fc89d109fd1faafc</x:v>
      </x:c>
      <x:c r="C4351" s="2" t="str">
        <x:v>Bình Dương</x:v>
      </x:c>
      <x:c r="D4351" s="2" t="str">
        <x:v>Thị xã Thuận An</x:v>
      </x:c>
      <x:c r="E4351" s="2" t="str">
        <x:v>land</x:v>
      </x:c>
      <x:c r="F4351" s="2" t="str">
        <x:v>sale</x:v>
      </x:c>
      <x:c r="G4351" s="11" t="n">
        <x:v>75.9</x:v>
      </x:c>
      <x:c r="H4351" s="12" t="n">
        <x:v>715000000</x:v>
      </x:c>
      <x:c r="I4351" s="12" t="n">
        <x:v>9420289.855072463</x:v>
      </x:c>
      <x:c r="J4351" s="2" t="str">
        <x:v>total</x:v>
      </x:c>
      <x:c r="K4351" s="2" t="str">
        <x:v>top_level_area</x:v>
      </x:c>
      <x:c r="L4351" s="2" t="str">
        <x:v>property_type_inferred_from_title</x:v>
      </x:c>
      <x:c r="M4351" s="10" t="n">
        <x:v>0</x:v>
      </x:c>
      <x:c r="N4351" s="10" t="n">
        <x:v>0</x:v>
      </x:c>
      <x:c r="O4351" s="2" t="str">
        <x:v>Bình Dương|land</x:v>
      </x:c>
      <x:c r="P4351" s="10" t="n">
        <x:v>2</x:v>
      </x:c>
      <x:c r="Q4351" s="13" t="n">
        <x:f>IF(H4351="","",H4351/1000000000)</x:f>
        <x:v>0.715</x:v>
      </x:c>
      <x:c r="R4351" s="13" t="n">
        <x:f>IF(I4351="","",I4351/1000000)</x:f>
        <x:v>9.420289855072463</x:v>
      </x:c>
    </x:row>
    <x:row r="4352" ht="21" customHeight="1">
      <x:c r="A4352" s="10" t="n">
        <x:v>5823</x:v>
      </x:c>
      <x:c r="B4352" s="2" t="str">
        <x:v>089b38f24ee20fc44fb3</x:v>
      </x:c>
      <x:c r="C4352" s="2" t="str">
        <x:v>Tp Hồ Chí Minh</x:v>
      </x:c>
      <x:c r="D4352" s="2" t="str">
        <x:v>Quận 8</x:v>
      </x:c>
      <x:c r="E4352" s="2" t="str">
        <x:v>other_unknown</x:v>
      </x:c>
      <x:c r="F4352" s="2" t="str">
        <x:v>sale_assumed</x:v>
      </x:c>
      <x:c r="G4352" s="11" t="n">
        <x:v>85</x:v>
      </x:c>
      <x:c r="H4352" s="12" t="n">
        <x:v>8500000000</x:v>
      </x:c>
      <x:c r="I4352" s="12" t="n">
        <x:v>100000000</x:v>
      </x:c>
      <x:c r="J4352" s="2" t="str">
        <x:v>total</x:v>
      </x:c>
      <x:c r="K4352" s="2" t="str">
        <x:v>top_level_area</x:v>
      </x:c>
      <x:c r="L4352" s="2" t="str">
        <x:v>property_type_inferred_from_title;transaction_assumed_sale_from_dataset_context;unknown_property_type</x:v>
      </x:c>
      <x:c r="M4352" s="10" t="n">
        <x:v>0</x:v>
      </x:c>
      <x:c r="N4352" s="10" t="n">
        <x:v>0</x:v>
      </x:c>
      <x:c r="O4352" s="2" t="str">
        <x:v>Tp Hồ Chí Minh|other_unknown</x:v>
      </x:c>
      <x:c r="P4352" s="10" t="n">
        <x:v>2</x:v>
      </x:c>
      <x:c r="Q4352" s="13" t="n">
        <x:f>IF(H4352="","",H4352/1000000000)</x:f>
        <x:v>8.5</x:v>
      </x:c>
      <x:c r="R4352" s="13" t="n">
        <x:f>IF(I4352="","",I4352/1000000)</x:f>
        <x:v>100</x:v>
      </x:c>
    </x:row>
    <x:row r="4353" ht="21" customHeight="1">
      <x:c r="A4353" s="10" t="n">
        <x:v>5824</x:v>
      </x:c>
      <x:c r="B4353" s="2" t="str">
        <x:v>4c9518d1f887b6d45d6a</x:v>
      </x:c>
      <x:c r="C4353" s="2" t="str">
        <x:v>Vĩnh Long</x:v>
      </x:c>
      <x:c r="D4353" s="2" t="str">
        <x:v>Thành phố Vĩnh Long</x:v>
      </x:c>
      <x:c r="E4353" s="2" t="str">
        <x:v>house</x:v>
      </x:c>
      <x:c r="F4353" s="2" t="str">
        <x:v>sale_assumed</x:v>
      </x:c>
      <x:c r="G4353" s="11" t="n">
        <x:v>163</x:v>
      </x:c>
      <x:c r="H4353" s="12" t="n">
        <x:v>2500000000</x:v>
      </x:c>
      <x:c r="I4353" s="12" t="n">
        <x:v>15337423.312883435</x:v>
      </x:c>
      <x:c r="J4353" s="2" t="str">
        <x:v>total</x:v>
      </x:c>
      <x:c r="K4353" s="2" t="str">
        <x:v>top_level_area</x:v>
      </x:c>
      <x:c r="L4353" s="2" t="str">
        <x:v>property_type_inferred_from_title;transaction_assumed_sale_from_dataset_context</x:v>
      </x:c>
      <x:c r="M4353" s="10" t="n">
        <x:v>0</x:v>
      </x:c>
      <x:c r="N4353" s="10" t="n">
        <x:v>0</x:v>
      </x:c>
      <x:c r="O4353" s="2" t="str">
        <x:v>house</x:v>
      </x:c>
      <x:c r="P4353" s="10" t="n">
        <x:v>2</x:v>
      </x:c>
      <x:c r="Q4353" s="13" t="n">
        <x:f>IF(H4353="","",H4353/1000000000)</x:f>
        <x:v>2.5</x:v>
      </x:c>
      <x:c r="R4353" s="13" t="n">
        <x:f>IF(I4353="","",I4353/1000000)</x:f>
        <x:v>15.337423312883434</x:v>
      </x:c>
    </x:row>
    <x:row r="4354" ht="21" customHeight="1">
      <x:c r="A4354" s="10" t="n">
        <x:v>5825</x:v>
      </x:c>
      <x:c r="B4354" s="2" t="str">
        <x:v>060a068a11afa6ded71a</x:v>
      </x:c>
      <x:c r="C4354" s="2" t="str">
        <x:v>Đà Nẵng</x:v>
      </x:c>
      <x:c r="D4354" s="2" t="str">
        <x:v>Quận Thanh Khê</x:v>
      </x:c>
      <x:c r="E4354" s="2" t="str">
        <x:v>house</x:v>
      </x:c>
      <x:c r="F4354" s="2" t="str">
        <x:v>sale_assumed</x:v>
      </x:c>
      <x:c r="G4354" s="11" t="n">
        <x:v>81</x:v>
      </x:c>
      <x:c r="H4354" s="12" t="n">
        <x:v>2950000000</x:v>
      </x:c>
      <x:c r="I4354" s="12" t="n">
        <x:v>36419753.086419754</x:v>
      </x:c>
      <x:c r="J4354" s="2" t="str">
        <x:v>total</x:v>
      </x:c>
      <x:c r="K4354" s="2" t="str">
        <x:v>top_level_area</x:v>
      </x:c>
      <x:c r="L4354" s="2" t="str">
        <x:v>property_type_inferred_from_title;transaction_assumed_sale_from_dataset_context</x:v>
      </x:c>
      <x:c r="M4354" s="10" t="n">
        <x:v>0</x:v>
      </x:c>
      <x:c r="N4354" s="10" t="n">
        <x:v>0</x:v>
      </x:c>
      <x:c r="O4354" s="2" t="str">
        <x:v>Đà Nẵng|house</x:v>
      </x:c>
      <x:c r="P4354" s="10" t="n">
        <x:v>2</x:v>
      </x:c>
      <x:c r="Q4354" s="13" t="n">
        <x:f>IF(H4354="","",H4354/1000000000)</x:f>
        <x:v>2.95</x:v>
      </x:c>
      <x:c r="R4354" s="13" t="n">
        <x:f>IF(I4354="","",I4354/1000000)</x:f>
        <x:v>36.41975308641975</x:v>
      </x:c>
    </x:row>
    <x:row r="4355" ht="21" customHeight="1">
      <x:c r="A4355" s="10" t="n">
        <x:v>5827</x:v>
      </x:c>
      <x:c r="B4355" s="2" t="str">
        <x:v>13ef2fc4fe5150f8bf18</x:v>
      </x:c>
      <x:c r="C4355" s="2" t="str">
        <x:v>Cần Thơ</x:v>
      </x:c>
      <x:c r="D4355" s="2" t="str">
        <x:v>Quận Cái Răng</x:v>
      </x:c>
      <x:c r="E4355" s="2" t="str">
        <x:v>land</x:v>
      </x:c>
      <x:c r="F4355" s="2" t="str">
        <x:v>sale_assumed</x:v>
      </x:c>
      <x:c r="G4355" s="11" t="n">
        <x:v>2001</x:v>
      </x:c>
      <x:c r="H4355" s="12" t="n">
        <x:v>3400000000</x:v>
      </x:c>
      <x:c r="I4355" s="12" t="n">
        <x:v>1699150.424787606</x:v>
      </x:c>
      <x:c r="J4355" s="2" t="str">
        <x:v>total</x:v>
      </x:c>
      <x:c r="K4355" s="2" t="str">
        <x:v>top_level_area</x:v>
      </x:c>
      <x:c r="L4355" s="2" t="str">
        <x:v>dot_thousands_convention;property_type_inferred_from_title;transaction_assumed_sale_from_dataset_context</x:v>
      </x:c>
      <x:c r="M4355" s="10" t="n">
        <x:v>0</x:v>
      </x:c>
      <x:c r="N4355" s="10" t="n">
        <x:v>0</x:v>
      </x:c>
      <x:c r="O4355" s="2" t="str">
        <x:v>Cần Thơ|land</x:v>
      </x:c>
      <x:c r="P4355" s="10" t="n">
        <x:v>1</x:v>
      </x:c>
      <x:c r="Q4355" s="13" t="n">
        <x:f>IF(H4355="","",H4355/1000000000)</x:f>
        <x:v>3.4</x:v>
      </x:c>
      <x:c r="R4355" s="13" t="n">
        <x:f>IF(I4355="","",I4355/1000000)</x:f>
        <x:v>1.6991504247876061</x:v>
      </x:c>
    </x:row>
    <x:row r="4356" ht="21" customHeight="1">
      <x:c r="A4356" s="10" t="n">
        <x:v>5828</x:v>
      </x:c>
      <x:c r="B4356" s="2" t="str">
        <x:v>e80d72eea7e0f46fccc0</x:v>
      </x:c>
      <x:c r="C4356" s="2" t="str">
        <x:v>Tp Hồ Chí Minh</x:v>
      </x:c>
      <x:c r="D4356" s="2" t="str">
        <x:v>Huyện Nhà Bè</x:v>
      </x:c>
      <x:c r="E4356" s="2" t="str">
        <x:v>house</x:v>
      </x:c>
      <x:c r="F4356" s="2" t="str">
        <x:v>sale</x:v>
      </x:c>
      <x:c r="G4356" s="11" t="n">
        <x:v>24</x:v>
      </x:c>
      <x:c r="H4356" s="12" t="n">
        <x:v>1600000000</x:v>
      </x:c>
      <x:c r="I4356" s="12" t="n">
        <x:v>66666666.666666664</x:v>
      </x:c>
      <x:c r="J4356" s="2" t="str">
        <x:v>total</x:v>
      </x:c>
      <x:c r="K4356" s="2" t="str">
        <x:v>top_level_area</x:v>
      </x:c>
      <x:c r="L4356" s="2" t="str">
        <x:v>property_type_inferred_from_title</x:v>
      </x:c>
      <x:c r="M4356" s="10" t="n">
        <x:v>0</x:v>
      </x:c>
      <x:c r="N4356" s="10" t="n">
        <x:v>0</x:v>
      </x:c>
      <x:c r="O4356" s="2" t="str">
        <x:v>Tp Hồ Chí Minh|house</x:v>
      </x:c>
      <x:c r="P4356" s="10" t="n">
        <x:v>2</x:v>
      </x:c>
      <x:c r="Q4356" s="13" t="n">
        <x:f>IF(H4356="","",H4356/1000000000)</x:f>
        <x:v>1.6</x:v>
      </x:c>
      <x:c r="R4356" s="13" t="n">
        <x:f>IF(I4356="","",I4356/1000000)</x:f>
        <x:v>66.66666666666666</x:v>
      </x:c>
    </x:row>
    <x:row r="4357" ht="21" customHeight="1">
      <x:c r="A4357" s="10" t="n">
        <x:v>5829</x:v>
      </x:c>
      <x:c r="B4357" s="2" t="str">
        <x:v>0ea63db72d2c959caae3</x:v>
      </x:c>
      <x:c r="C4357" s="2" t="str">
        <x:v>Tp Hồ Chí Minh</x:v>
      </x:c>
      <x:c r="D4357" s="2" t="str">
        <x:v>Quận Phú Nhuận</x:v>
      </x:c>
      <x:c r="E4357" s="2" t="str">
        <x:v>other_unknown</x:v>
      </x:c>
      <x:c r="F4357" s="2" t="str">
        <x:v>sale_assumed</x:v>
      </x:c>
      <x:c r="G4357" s="11" t="n">
        <x:v>35</x:v>
      </x:c>
      <x:c r="H4357" s="12" t="n">
        <x:v>3900000000</x:v>
      </x:c>
      <x:c r="I4357" s="12" t="n">
        <x:v>111428571.42857143</x:v>
      </x:c>
      <x:c r="J4357" s="2" t="str">
        <x:v>total</x:v>
      </x:c>
      <x:c r="K4357" s="2" t="str">
        <x:v>top_level_area</x:v>
      </x:c>
      <x:c r="L4357" s="2" t="str">
        <x:v>property_type_inferred_from_title;transaction_assumed_sale_from_dataset_context;unknown_property_type</x:v>
      </x:c>
      <x:c r="M4357" s="10" t="n">
        <x:v>0</x:v>
      </x:c>
      <x:c r="N4357" s="10" t="n">
        <x:v>0</x:v>
      </x:c>
      <x:c r="O4357" s="2" t="str">
        <x:v>Tp Hồ Chí Minh|other_unknown</x:v>
      </x:c>
      <x:c r="P4357" s="10" t="n">
        <x:v>2</x:v>
      </x:c>
      <x:c r="Q4357" s="13" t="n">
        <x:f>IF(H4357="","",H4357/1000000000)</x:f>
        <x:v>3.9</x:v>
      </x:c>
      <x:c r="R4357" s="13" t="n">
        <x:f>IF(I4357="","",I4357/1000000)</x:f>
        <x:v>111.42857142857143</x:v>
      </x:c>
    </x:row>
    <x:row r="4358" ht="21" customHeight="1">
      <x:c r="A4358" s="10" t="n">
        <x:v>5830</x:v>
      </x:c>
      <x:c r="B4358" s="2" t="str">
        <x:v>d5d714664941d9086843</x:v>
      </x:c>
      <x:c r="C4358" s="2" t="str">
        <x:v>Tp Hồ Chí Minh</x:v>
      </x:c>
      <x:c r="D4358" s="2" t="str">
        <x:v>Quận Tân Phú</x:v>
      </x:c>
      <x:c r="E4358" s="2" t="str">
        <x:v>house</x:v>
      </x:c>
      <x:c r="F4358" s="2" t="str">
        <x:v>sale</x:v>
      </x:c>
      <x:c r="G4358" s="11" t="n">
        <x:v>45</x:v>
      </x:c>
      <x:c r="H4358" s="12" t="n">
        <x:v>3750000000</x:v>
      </x:c>
      <x:c r="I4358" s="12" t="n">
        <x:v>83333333.33333333</x:v>
      </x:c>
      <x:c r="J4358" s="2" t="str">
        <x:v>total</x:v>
      </x:c>
      <x:c r="K4358" s="2" t="str">
        <x:v>top_level_area</x:v>
      </x:c>
      <x:c r="L4358" s="2" t="str">
        <x:v>property_type_inferred_from_title</x:v>
      </x:c>
      <x:c r="M4358" s="10" t="n">
        <x:v>0</x:v>
      </x:c>
      <x:c r="N4358" s="10" t="n">
        <x:v>0</x:v>
      </x:c>
      <x:c r="O4358" s="2" t="str">
        <x:v>Tp Hồ Chí Minh|house</x:v>
      </x:c>
      <x:c r="P4358" s="10" t="n">
        <x:v>2</x:v>
      </x:c>
      <x:c r="Q4358" s="13" t="n">
        <x:f>IF(H4358="","",H4358/1000000000)</x:f>
        <x:v>3.75</x:v>
      </x:c>
      <x:c r="R4358" s="13" t="n">
        <x:f>IF(I4358="","",I4358/1000000)</x:f>
        <x:v>83.33333333333333</x:v>
      </x:c>
    </x:row>
    <x:row r="4359" ht="21" customHeight="1">
      <x:c r="A4359" s="10" t="n">
        <x:v>5831</x:v>
      </x:c>
      <x:c r="B4359" s="2" t="str">
        <x:v>35ff22659782c0c94239</x:v>
      </x:c>
      <x:c r="C4359" s="2" t="str">
        <x:v>Vĩnh Long</x:v>
      </x:c>
      <x:c r="D4359" s="2" t="str">
        <x:v>Thành phố Vĩnh Long</x:v>
      </x:c>
      <x:c r="E4359" s="2" t="str">
        <x:v>land</x:v>
      </x:c>
      <x:c r="F4359" s="2" t="str">
        <x:v>sale_assumed</x:v>
      </x:c>
      <x:c r="G4359" s="11" t="n">
        <x:v>230</x:v>
      </x:c>
      <x:c r="H4359" s="12" t="n">
        <x:v>3450000000</x:v>
      </x:c>
      <x:c r="I4359" s="12" t="n">
        <x:v>15000000</x:v>
      </x:c>
      <x:c r="J4359" s="2" t="str">
        <x:v>total</x:v>
      </x:c>
      <x:c r="K4359" s="2" t="str">
        <x:v>top_level_area</x:v>
      </x:c>
      <x:c r="L4359" s="2" t="str">
        <x:v>property_type_inferred_from_title;transaction_assumed_sale_from_dataset_context</x:v>
      </x:c>
      <x:c r="M4359" s="10" t="n">
        <x:v>0</x:v>
      </x:c>
      <x:c r="N4359" s="10" t="n">
        <x:v>0</x:v>
      </x:c>
      <x:c r="O4359" s="2" t="str">
        <x:v>land</x:v>
      </x:c>
      <x:c r="P4359" s="10" t="n">
        <x:v>2</x:v>
      </x:c>
      <x:c r="Q4359" s="13" t="n">
        <x:f>IF(H4359="","",H4359/1000000000)</x:f>
        <x:v>3.45</x:v>
      </x:c>
      <x:c r="R4359" s="13" t="n">
        <x:f>IF(I4359="","",I4359/1000000)</x:f>
        <x:v>15</x:v>
      </x:c>
    </x:row>
    <x:row r="4360" ht="21" customHeight="1">
      <x:c r="A4360" s="10" t="n">
        <x:v>5832</x:v>
      </x:c>
      <x:c r="B4360" s="2" t="str">
        <x:v>0004b2f511ad919fec67</x:v>
      </x:c>
      <x:c r="C4360" s="2" t="str">
        <x:v>Hà Nội</x:v>
      </x:c>
      <x:c r="D4360" s="2" t="str">
        <x:v>Quận Bắc Từ Liêm</x:v>
      </x:c>
      <x:c r="E4360" s="2" t="str">
        <x:v>land</x:v>
      </x:c>
      <x:c r="F4360" s="2" t="str">
        <x:v>sale_assumed</x:v>
      </x:c>
      <x:c r="G4360" s="11" t="n">
        <x:v>70</x:v>
      </x:c>
      <x:c r="H4360" s="12" t="n">
        <x:v>2600000000</x:v>
      </x:c>
      <x:c r="I4360" s="12" t="n">
        <x:v>37142857.14285714</x:v>
      </x:c>
      <x:c r="J4360" s="2" t="str">
        <x:v>total</x:v>
      </x:c>
      <x:c r="K4360" s="2" t="str">
        <x:v>top_level_area</x:v>
      </x:c>
      <x:c r="L4360" s="2" t="str">
        <x:v>property_type_inferred_from_title;transaction_assumed_sale_from_dataset_context</x:v>
      </x:c>
      <x:c r="M4360" s="10" t="n">
        <x:v>0</x:v>
      </x:c>
      <x:c r="N4360" s="10" t="n">
        <x:v>0</x:v>
      </x:c>
      <x:c r="O4360" s="2" t="str">
        <x:v>Hà Nội|land</x:v>
      </x:c>
      <x:c r="P4360" s="10" t="n">
        <x:v>2</x:v>
      </x:c>
      <x:c r="Q4360" s="13" t="n">
        <x:f>IF(H4360="","",H4360/1000000000)</x:f>
        <x:v>2.6</x:v>
      </x:c>
      <x:c r="R4360" s="13" t="n">
        <x:f>IF(I4360="","",I4360/1000000)</x:f>
        <x:v>37.14285714285714</x:v>
      </x:c>
    </x:row>
    <x:row r="4361" ht="21" customHeight="1">
      <x:c r="A4361" s="10" t="n">
        <x:v>5833</x:v>
      </x:c>
      <x:c r="B4361" s="2" t="str">
        <x:v>5de6924430073fea2513</x:v>
      </x:c>
      <x:c r="C4361" s="2" t="str">
        <x:v>Bình Dương</x:v>
      </x:c>
      <x:c r="D4361" s="2" t="str">
        <x:v>Thị xã Dĩ An</x:v>
      </x:c>
      <x:c r="E4361" s="2" t="str">
        <x:v>house</x:v>
      </x:c>
      <x:c r="F4361" s="2" t="str">
        <x:v>sale</x:v>
      </x:c>
      <x:c r="G4361" s="11" t="n">
        <x:v>33</x:v>
      </x:c>
      <x:c r="H4361" s="12" t="n">
        <x:v>1280000000</x:v>
      </x:c>
      <x:c r="I4361" s="12" t="n">
        <x:v>38787878.78787879</x:v>
      </x:c>
      <x:c r="J4361" s="2" t="str">
        <x:v>total</x:v>
      </x:c>
      <x:c r="K4361" s="2" t="str">
        <x:v>top_level_area</x:v>
      </x:c>
      <x:c r="L4361" s="2" t="str">
        <x:v>property_type_inferred_from_title</x:v>
      </x:c>
      <x:c r="M4361" s="10" t="n">
        <x:v>0</x:v>
      </x:c>
      <x:c r="N4361" s="10" t="n">
        <x:v>0</x:v>
      </x:c>
      <x:c r="O4361" s="2" t="str">
        <x:v>Bình Dương|house</x:v>
      </x:c>
      <x:c r="P4361" s="10" t="n">
        <x:v>2</x:v>
      </x:c>
      <x:c r="Q4361" s="13" t="n">
        <x:f>IF(H4361="","",H4361/1000000000)</x:f>
        <x:v>1.28</x:v>
      </x:c>
      <x:c r="R4361" s="13" t="n">
        <x:f>IF(I4361="","",I4361/1000000)</x:f>
        <x:v>38.78787878787879</x:v>
      </x:c>
    </x:row>
    <x:row r="4362" ht="21" customHeight="1">
      <x:c r="A4362" s="10" t="n">
        <x:v>5834</x:v>
      </x:c>
      <x:c r="B4362" s="2" t="str">
        <x:v>4d55746fef76efdf747c</x:v>
      </x:c>
      <x:c r="C4362" s="2" t="str">
        <x:v>Tp Hồ Chí Minh</x:v>
      </x:c>
      <x:c r="D4362" s="2" t="str">
        <x:v>Quận Tân Bình</x:v>
      </x:c>
      <x:c r="E4362" s="2" t="str">
        <x:v>house</x:v>
      </x:c>
      <x:c r="F4362" s="2" t="str">
        <x:v>sale</x:v>
      </x:c>
      <x:c r="G4362" s="11" t="n">
        <x:v>45</x:v>
      </x:c>
      <x:c r="H4362" s="12" t="n">
        <x:v>1470000000</x:v>
      </x:c>
      <x:c r="I4362" s="12" t="n">
        <x:v>32666666.666666668</x:v>
      </x:c>
      <x:c r="J4362" s="2" t="str">
        <x:v>total</x:v>
      </x:c>
      <x:c r="K4362" s="2" t="str">
        <x:v>top_level_area</x:v>
      </x:c>
      <x:c r="L4362" s="2" t="str">
        <x:v>property_type_inferred_from_title</x:v>
      </x:c>
      <x:c r="M4362" s="10" t="n">
        <x:v>0</x:v>
      </x:c>
      <x:c r="N4362" s="10" t="n">
        <x:v>0</x:v>
      </x:c>
      <x:c r="O4362" s="2" t="str">
        <x:v>Tp Hồ Chí Minh|house</x:v>
      </x:c>
      <x:c r="P4362" s="10" t="n">
        <x:v>2</x:v>
      </x:c>
      <x:c r="Q4362" s="13" t="n">
        <x:f>IF(H4362="","",H4362/1000000000)</x:f>
        <x:v>1.47</x:v>
      </x:c>
      <x:c r="R4362" s="13" t="n">
        <x:f>IF(I4362="","",I4362/1000000)</x:f>
        <x:v>32.66666666666667</x:v>
      </x:c>
    </x:row>
    <x:row r="4363" ht="21" customHeight="1">
      <x:c r="A4363" s="10" t="n">
        <x:v>5835</x:v>
      </x:c>
      <x:c r="B4363" s="2" t="str">
        <x:v>9f71a624d61c0fd53c33</x:v>
      </x:c>
      <x:c r="C4363" s="2" t="str">
        <x:v>Hà Nội</x:v>
      </x:c>
      <x:c r="D4363" s="2" t="str">
        <x:v>Quận Nam Từ Liêm</x:v>
      </x:c>
      <x:c r="E4363" s="2" t="str">
        <x:v>house</x:v>
      </x:c>
      <x:c r="F4363" s="2" t="str">
        <x:v>sale</x:v>
      </x:c>
      <x:c r="G4363" s="11" t="n">
        <x:v>38</x:v>
      </x:c>
      <x:c r="H4363" s="12" t="n">
        <x:v>5250000000</x:v>
      </x:c>
      <x:c r="I4363" s="12" t="n">
        <x:v>138157894.7368421</x:v>
      </x:c>
      <x:c r="J4363" s="2" t="str">
        <x:v>total</x:v>
      </x:c>
      <x:c r="K4363" s="2" t="str">
        <x:v>top_level_area</x:v>
      </x:c>
      <x:c r="L4363" s="2" t="str">
        <x:v>property_type_inferred_from_title</x:v>
      </x:c>
      <x:c r="M4363" s="10" t="n">
        <x:v>0</x:v>
      </x:c>
      <x:c r="N4363" s="10" t="n">
        <x:v>0</x:v>
      </x:c>
      <x:c r="O4363" s="2" t="str">
        <x:v>Hà Nội|house</x:v>
      </x:c>
      <x:c r="P4363" s="10" t="n">
        <x:v>2</x:v>
      </x:c>
      <x:c r="Q4363" s="13" t="n">
        <x:f>IF(H4363="","",H4363/1000000000)</x:f>
        <x:v>5.25</x:v>
      </x:c>
      <x:c r="R4363" s="13" t="n">
        <x:f>IF(I4363="","",I4363/1000000)</x:f>
        <x:v>138.1578947368421</x:v>
      </x:c>
    </x:row>
    <x:row r="4364" ht="21" customHeight="1">
      <x:c r="A4364" s="10" t="n">
        <x:v>5836</x:v>
      </x:c>
      <x:c r="B4364" s="2" t="str">
        <x:v>2f75403a3393b9a87f86</x:v>
      </x:c>
      <x:c r="C4364" s="2" t="str">
        <x:v>Tiền Giang</x:v>
      </x:c>
      <x:c r="D4364" s="2" t="str">
        <x:v>Thành phố Mỹ Tho</x:v>
      </x:c>
      <x:c r="E4364" s="2" t="str">
        <x:v>house</x:v>
      </x:c>
      <x:c r="F4364" s="2" t="str">
        <x:v>sale</x:v>
      </x:c>
      <x:c r="G4364" s="11" t="n">
        <x:v>123.8</x:v>
      </x:c>
      <x:c r="H4364" s="12" t="n">
        <x:v>750000000</x:v>
      </x:c>
      <x:c r="I4364" s="12" t="n">
        <x:v>6058158.31987076</x:v>
      </x:c>
      <x:c r="J4364" s="2" t="str">
        <x:v>total</x:v>
      </x:c>
      <x:c r="K4364" s="2" t="str">
        <x:v>top_level_area</x:v>
      </x:c>
      <x:c r="L4364" s="2" t="str">
        <x:v>property_type_inferred_from_title</x:v>
      </x:c>
      <x:c r="M4364" s="10" t="n">
        <x:v>0</x:v>
      </x:c>
      <x:c r="N4364" s="10" t="n">
        <x:v>0</x:v>
      </x:c>
      <x:c r="O4364" s="2" t="str">
        <x:v>house</x:v>
      </x:c>
      <x:c r="P4364" s="10" t="n">
        <x:v>2</x:v>
      </x:c>
      <x:c r="Q4364" s="13" t="n">
        <x:f>IF(H4364="","",H4364/1000000000)</x:f>
        <x:v>0.75</x:v>
      </x:c>
      <x:c r="R4364" s="13" t="n">
        <x:f>IF(I4364="","",I4364/1000000)</x:f>
        <x:v>6.05815831987076</x:v>
      </x:c>
    </x:row>
    <x:row r="4365" ht="21" customHeight="1">
      <x:c r="A4365" s="10" t="n">
        <x:v>5837</x:v>
      </x:c>
      <x:c r="B4365" s="2" t="str">
        <x:v>c0fd69e3a07f1a9a9864</x:v>
      </x:c>
      <x:c r="C4365" s="2" t="str">
        <x:v>Bình Dương</x:v>
      </x:c>
      <x:c r="D4365" s="2" t="str">
        <x:v>Thị xã Thuận An</x:v>
      </x:c>
      <x:c r="E4365" s="2" t="str">
        <x:v>land</x:v>
      </x:c>
      <x:c r="F4365" s="2" t="str">
        <x:v>sale</x:v>
      </x:c>
      <x:c r="G4365" s="11" t="n">
        <x:v>75.9</x:v>
      </x:c>
      <x:c r="H4365" s="12" t="n">
        <x:v>850000000</x:v>
      </x:c>
      <x:c r="I4365" s="12" t="n">
        <x:v>11198945.981554676</x:v>
      </x:c>
      <x:c r="J4365" s="2" t="str">
        <x:v>total</x:v>
      </x:c>
      <x:c r="K4365" s="2" t="str">
        <x:v>top_level_area</x:v>
      </x:c>
      <x:c r="L4365" s="2" t="str">
        <x:v>property_type_inferred_from_title</x:v>
      </x:c>
      <x:c r="M4365" s="10" t="n">
        <x:v>0</x:v>
      </x:c>
      <x:c r="N4365" s="10" t="n">
        <x:v>0</x:v>
      </x:c>
      <x:c r="O4365" s="2" t="str">
        <x:v>Bình Dương|land</x:v>
      </x:c>
      <x:c r="P4365" s="10" t="n">
        <x:v>2</x:v>
      </x:c>
      <x:c r="Q4365" s="13" t="n">
        <x:f>IF(H4365="","",H4365/1000000000)</x:f>
        <x:v>0.85</x:v>
      </x:c>
      <x:c r="R4365" s="13" t="n">
        <x:f>IF(I4365="","",I4365/1000000)</x:f>
        <x:v>11.198945981554676</x:v>
      </x:c>
    </x:row>
    <x:row r="4366" ht="21" customHeight="1">
      <x:c r="A4366" s="10" t="n">
        <x:v>5838</x:v>
      </x:c>
      <x:c r="B4366" s="2" t="str">
        <x:v>c2eeabed03427dc251c2</x:v>
      </x:c>
      <x:c r="C4366" s="2" t="str">
        <x:v>Đồng Nai</x:v>
      </x:c>
      <x:c r="D4366" s="2" t="str">
        <x:v>Huyện Trảng Bom</x:v>
      </x:c>
      <x:c r="E4366" s="2" t="str">
        <x:v>house</x:v>
      </x:c>
      <x:c r="F4366" s="2" t="str">
        <x:v>sale</x:v>
      </x:c>
      <x:c r="G4366" s="11" t="n">
        <x:v>100</x:v>
      </x:c>
      <x:c r="H4366" s="12" t="n">
        <x:v>235000000</x:v>
      </x:c>
      <x:c r="I4366" s="12" t="n">
        <x:v>2350000</x:v>
      </x:c>
      <x:c r="J4366" s="2" t="str">
        <x:v>total</x:v>
      </x:c>
      <x:c r="K4366" s="2" t="str">
        <x:v>top_level_area</x:v>
      </x:c>
      <x:c r="L4366" s="2" t="str">
        <x:v>property_type_inferred_from_title</x:v>
      </x:c>
      <x:c r="M4366" s="10" t="n">
        <x:v>0</x:v>
      </x:c>
      <x:c r="N4366" s="10" t="n">
        <x:v>0</x:v>
      </x:c>
      <x:c r="O4366" s="2" t="str">
        <x:v>Đồng Nai|house</x:v>
      </x:c>
      <x:c r="P4366" s="10" t="n">
        <x:v>1</x:v>
      </x:c>
      <x:c r="Q4366" s="13" t="n">
        <x:f>IF(H4366="","",H4366/1000000000)</x:f>
        <x:v>0.235</x:v>
      </x:c>
      <x:c r="R4366" s="13" t="n">
        <x:f>IF(I4366="","",I4366/1000000)</x:f>
        <x:v>2.35</x:v>
      </x:c>
    </x:row>
    <x:row r="4367" ht="21" customHeight="1">
      <x:c r="A4367" s="10" t="n">
        <x:v>5839</x:v>
      </x:c>
      <x:c r="B4367" s="2" t="str">
        <x:v>737ed925d328eeb73914</x:v>
      </x:c>
      <x:c r="C4367" s="2" t="str">
        <x:v>Hà Nội</x:v>
      </x:c>
      <x:c r="D4367" s="2" t="str">
        <x:v>Quận Hai Bà Trưng</x:v>
      </x:c>
      <x:c r="E4367" s="2" t="str">
        <x:v>other_unknown</x:v>
      </x:c>
      <x:c r="F4367" s="2" t="str">
        <x:v>sale_assumed</x:v>
      </x:c>
      <x:c r="G4367" s="11" t="n">
        <x:v>50</x:v>
      </x:c>
      <x:c r="H4367" s="12" t="n">
        <x:v>4000000000</x:v>
      </x:c>
      <x:c r="I4367" s="12" t="n">
        <x:v>80000000</x:v>
      </x:c>
      <x:c r="J4367" s="2" t="str">
        <x:v>total</x:v>
      </x:c>
      <x:c r="K4367" s="2" t="str">
        <x:v>top_level_area</x:v>
      </x:c>
      <x:c r="L4367" s="2" t="str">
        <x:v>property_type_inferred_from_title;transaction_assumed_sale_from_dataset_context;unknown_property_type</x:v>
      </x:c>
      <x:c r="M4367" s="10" t="n">
        <x:v>0</x:v>
      </x:c>
      <x:c r="N4367" s="10" t="n">
        <x:v>0</x:v>
      </x:c>
      <x:c r="O4367" s="2" t="str">
        <x:v>Hà Nội|other_unknown</x:v>
      </x:c>
      <x:c r="P4367" s="10" t="n">
        <x:v>2</x:v>
      </x:c>
      <x:c r="Q4367" s="13" t="n">
        <x:f>IF(H4367="","",H4367/1000000000)</x:f>
        <x:v>4</x:v>
      </x:c>
      <x:c r="R4367" s="13" t="n">
        <x:f>IF(I4367="","",I4367/1000000)</x:f>
        <x:v>80</x:v>
      </x:c>
    </x:row>
    <x:row r="4368" ht="21" customHeight="1">
      <x:c r="A4368" s="10" t="n">
        <x:v>5840</x:v>
      </x:c>
      <x:c r="B4368" s="2" t="str">
        <x:v>08d86b3364e2724eeab4</x:v>
      </x:c>
      <x:c r="C4368" s="2" t="str">
        <x:v>Hà Nội</x:v>
      </x:c>
      <x:c r="D4368" s="2" t="str">
        <x:v>Quận Cầu Giấy</x:v>
      </x:c>
      <x:c r="E4368" s="2" t="str">
        <x:v>house</x:v>
      </x:c>
      <x:c r="F4368" s="2" t="str">
        <x:v>sale</x:v>
      </x:c>
      <x:c r="G4368" s="11" t="n">
        <x:v>35</x:v>
      </x:c>
      <x:c r="H4368" s="12" t="n">
        <x:v>5600000000</x:v>
      </x:c>
      <x:c r="I4368" s="12" t="n">
        <x:v>160000000</x:v>
      </x:c>
      <x:c r="J4368" s="2" t="str">
        <x:v>total</x:v>
      </x:c>
      <x:c r="K4368" s="2" t="str">
        <x:v>top_level_area</x:v>
      </x:c>
      <x:c r="L4368" s="2" t="str">
        <x:v>property_type_inferred_from_title</x:v>
      </x:c>
      <x:c r="M4368" s="10" t="n">
        <x:v>0</x:v>
      </x:c>
      <x:c r="N4368" s="10" t="n">
        <x:v>0</x:v>
      </x:c>
      <x:c r="O4368" s="2" t="str">
        <x:v>Hà Nội|house</x:v>
      </x:c>
      <x:c r="P4368" s="10" t="n">
        <x:v>2</x:v>
      </x:c>
      <x:c r="Q4368" s="13" t="n">
        <x:f>IF(H4368="","",H4368/1000000000)</x:f>
        <x:v>5.6</x:v>
      </x:c>
      <x:c r="R4368" s="13" t="n">
        <x:f>IF(I4368="","",I4368/1000000)</x:f>
        <x:v>160</x:v>
      </x:c>
    </x:row>
    <x:row r="4369" ht="21" customHeight="1">
      <x:c r="A4369" s="10" t="n">
        <x:v>5841</x:v>
      </x:c>
      <x:c r="B4369" s="2" t="str">
        <x:v>95025769a359808bf247</x:v>
      </x:c>
      <x:c r="C4369" s="2" t="str">
        <x:v>Đà Nẵng</x:v>
      </x:c>
      <x:c r="D4369" s="2" t="str">
        <x:v>Huyện Hòa Vang</x:v>
      </x:c>
      <x:c r="E4369" s="2" t="str">
        <x:v>land</x:v>
      </x:c>
      <x:c r="F4369" s="2" t="str">
        <x:v>sale</x:v>
      </x:c>
      <x:c r="G4369" s="11" t="n">
        <x:v>150</x:v>
      </x:c>
      <x:c r="H4369" s="12" t="n">
        <x:v>620000000</x:v>
      </x:c>
      <x:c r="I4369" s="12" t="n">
        <x:v>4133333.3333333335</x:v>
      </x:c>
      <x:c r="J4369" s="2" t="str">
        <x:v>total</x:v>
      </x:c>
      <x:c r="K4369" s="2" t="str">
        <x:v>top_level_area</x:v>
      </x:c>
      <x:c r="L4369" s="2" t="str">
        <x:v>property_type_inferred_from_title</x:v>
      </x:c>
      <x:c r="M4369" s="10" t="n">
        <x:v>0</x:v>
      </x:c>
      <x:c r="N4369" s="10" t="n">
        <x:v>0</x:v>
      </x:c>
      <x:c r="O4369" s="2" t="str">
        <x:v>Đà Nẵng|land</x:v>
      </x:c>
      <x:c r="P4369" s="10" t="n">
        <x:v>1</x:v>
      </x:c>
      <x:c r="Q4369" s="13" t="n">
        <x:f>IF(H4369="","",H4369/1000000000)</x:f>
        <x:v>0.62</x:v>
      </x:c>
      <x:c r="R4369" s="13" t="n">
        <x:f>IF(I4369="","",I4369/1000000)</x:f>
        <x:v>4.133333333333334</x:v>
      </x:c>
    </x:row>
    <x:row r="4370" ht="21" customHeight="1">
      <x:c r="A4370" s="10" t="n">
        <x:v>5842</x:v>
      </x:c>
      <x:c r="B4370" s="2" t="str">
        <x:v>a6f3789c467b06a8febd</x:v>
      </x:c>
      <x:c r="C4370" s="2" t="str">
        <x:v>Hà Nội</x:v>
      </x:c>
      <x:c r="D4370" s="2" t="str">
        <x:v>Huyện Hoài Đức</x:v>
      </x:c>
      <x:c r="E4370" s="2" t="str">
        <x:v>land</x:v>
      </x:c>
      <x:c r="F4370" s="2" t="str">
        <x:v>sale_assumed</x:v>
      </x:c>
      <x:c r="G4370" s="11" t="n">
        <x:v>72</x:v>
      </x:c>
      <x:c r="H4370" s="12" t="n">
        <x:v>936000000</x:v>
      </x:c>
      <x:c r="I4370" s="12" t="n">
        <x:v>13000000</x:v>
      </x:c>
      <x:c r="J4370" s="2" t="str">
        <x:v>total</x:v>
      </x:c>
      <x:c r="K4370" s="2" t="str">
        <x:v>top_level_area</x:v>
      </x:c>
      <x:c r="L4370" s="2" t="str">
        <x:v>property_type_inferred_from_title;transaction_assumed_sale_from_dataset_context</x:v>
      </x:c>
      <x:c r="M4370" s="10" t="n">
        <x:v>0</x:v>
      </x:c>
      <x:c r="N4370" s="10" t="n">
        <x:v>0</x:v>
      </x:c>
      <x:c r="O4370" s="2" t="str">
        <x:v>Hà Nội|land</x:v>
      </x:c>
      <x:c r="P4370" s="10" t="n">
        <x:v>2</x:v>
      </x:c>
      <x:c r="Q4370" s="13" t="n">
        <x:f>IF(H4370="","",H4370/1000000000)</x:f>
        <x:v>0.936</x:v>
      </x:c>
      <x:c r="R4370" s="13" t="n">
        <x:f>IF(I4370="","",I4370/1000000)</x:f>
        <x:v>13</x:v>
      </x:c>
    </x:row>
    <x:row r="4371" ht="21" customHeight="1">
      <x:c r="A4371" s="10" t="n">
        <x:v>5843</x:v>
      </x:c>
      <x:c r="B4371" s="2" t="str">
        <x:v>ac4df3d578462e7e3c79</x:v>
      </x:c>
      <x:c r="C4371" s="2" t="str">
        <x:v>Đắk Nông</x:v>
      </x:c>
      <x:c r="D4371" s="2" t="str">
        <x:v>Huyện Tuy Đức</x:v>
      </x:c>
      <x:c r="E4371" s="2" t="str">
        <x:v>other_unknown</x:v>
      </x:c>
      <x:c r="F4371" s="2" t="str">
        <x:v>sale</x:v>
      </x:c>
      <x:c r="G4371" s="11" t="n">
        <x:v>50000</x:v>
      </x:c>
      <x:c r="H4371" s="12" t="n">
        <x:v>400000000</x:v>
      </x:c>
      <x:c r="I4371" s="12" t="n">
        <x:v>8000</x:v>
      </x:c>
      <x:c r="J4371" s="2" t="str">
        <x:v>total</x:v>
      </x:c>
      <x:c r="K4371" s="2" t="str">
        <x:v>top_level_area</x:v>
      </x:c>
      <x:c r="L4371" s="2" t="str">
        <x:v>dot_thousands_convention;property_type_inferred_from_title;unknown_property_type</x:v>
      </x:c>
      <x:c r="M4371" s="10" t="n">
        <x:v>0</x:v>
      </x:c>
      <x:c r="N4371" s="10" t="n">
        <x:v>0</x:v>
      </x:c>
      <x:c r="O4371" s="2" t="str">
        <x:v>other_unknown</x:v>
      </x:c>
      <x:c r="P4371" s="10" t="n">
        <x:v>1</x:v>
      </x:c>
      <x:c r="Q4371" s="13" t="n">
        <x:f>IF(H4371="","",H4371/1000000000)</x:f>
        <x:v>0.4</x:v>
      </x:c>
      <x:c r="R4371" s="13" t="n">
        <x:f>IF(I4371="","",I4371/1000000)</x:f>
        <x:v>0.008</x:v>
      </x:c>
    </x:row>
    <x:row r="4372" ht="21" customHeight="1">
      <x:c r="A4372" s="10" t="n">
        <x:v>5844</x:v>
      </x:c>
      <x:c r="B4372" s="2" t="str">
        <x:v>0f77e5ca07347205aa8a</x:v>
      </x:c>
      <x:c r="C4372" s="2" t="str">
        <x:v>Tp Hồ Chí Minh</x:v>
      </x:c>
      <x:c r="D4372" s="2" t="str">
        <x:v>Quận Bình Thạnh</x:v>
      </x:c>
      <x:c r="E4372" s="2" t="str">
        <x:v>other_unknown</x:v>
      </x:c>
      <x:c r="F4372" s="2" t="str">
        <x:v>sale_assumed</x:v>
      </x:c>
      <x:c r="G4372" s="11" t="n">
        <x:v>70</x:v>
      </x:c>
      <x:c r="H4372" s="12" t="n">
        <x:v>5000000000</x:v>
      </x:c>
      <x:c r="I4372" s="12" t="n">
        <x:v>71428571.42857143</x:v>
      </x:c>
      <x:c r="J4372" s="2" t="str">
        <x:v>total</x:v>
      </x:c>
      <x:c r="K4372" s="2" t="str">
        <x:v>top_level_area</x:v>
      </x:c>
      <x:c r="L4372" s="2" t="str">
        <x:v>property_type_inferred_from_title;transaction_assumed_sale_from_dataset_context;unknown_property_type</x:v>
      </x:c>
      <x:c r="M4372" s="10" t="n">
        <x:v>0</x:v>
      </x:c>
      <x:c r="N4372" s="10" t="n">
        <x:v>0</x:v>
      </x:c>
      <x:c r="O4372" s="2" t="str">
        <x:v>Tp Hồ Chí Minh|other_unknown</x:v>
      </x:c>
      <x:c r="P4372" s="10" t="n">
        <x:v>2</x:v>
      </x:c>
      <x:c r="Q4372" s="13" t="n">
        <x:f>IF(H4372="","",H4372/1000000000)</x:f>
        <x:v>5</x:v>
      </x:c>
      <x:c r="R4372" s="13" t="n">
        <x:f>IF(I4372="","",I4372/1000000)</x:f>
        <x:v>71.42857142857143</x:v>
      </x:c>
    </x:row>
    <x:row r="4373" ht="21" customHeight="1">
      <x:c r="A4373" s="10" t="n">
        <x:v>5845</x:v>
      </x:c>
      <x:c r="B4373" s="2" t="str">
        <x:v>fc865f9ad2c49de9e1b3</x:v>
      </x:c>
      <x:c r="C4373" s="2" t="str">
        <x:v>Khánh Hòa</x:v>
      </x:c>
      <x:c r="D4373" s="2" t="str">
        <x:v>Thị xã Ninh Hòa</x:v>
      </x:c>
      <x:c r="E4373" s="2" t="str">
        <x:v>land</x:v>
      </x:c>
      <x:c r="F4373" s="2" t="str">
        <x:v>sale_assumed</x:v>
      </x:c>
      <x:c r="G4373" s="11" t="n">
        <x:v>598</x:v>
      </x:c>
      <x:c r="H4373" s="12" t="n">
        <x:v>450000000</x:v>
      </x:c>
      <x:c r="I4373" s="12" t="n">
        <x:v>752508.3612040133</x:v>
      </x:c>
      <x:c r="J4373" s="2" t="str">
        <x:v>total</x:v>
      </x:c>
      <x:c r="K4373" s="2" t="str">
        <x:v>top_level_area</x:v>
      </x:c>
      <x:c r="L4373" s="2" t="str">
        <x:v>property_type_inferred_from_title;transaction_assumed_sale_from_dataset_context</x:v>
      </x:c>
      <x:c r="M4373" s="10" t="n">
        <x:v>0</x:v>
      </x:c>
      <x:c r="N4373" s="10" t="n">
        <x:v>0</x:v>
      </x:c>
      <x:c r="O4373" s="2" t="str">
        <x:v>land</x:v>
      </x:c>
      <x:c r="P4373" s="10" t="n">
        <x:v>1</x:v>
      </x:c>
      <x:c r="Q4373" s="13" t="n">
        <x:f>IF(H4373="","",H4373/1000000000)</x:f>
        <x:v>0.45</x:v>
      </x:c>
      <x:c r="R4373" s="13" t="n">
        <x:f>IF(I4373="","",I4373/1000000)</x:f>
        <x:v>0.7525083612040133</x:v>
      </x:c>
    </x:row>
    <x:row r="4374" ht="21" customHeight="1">
      <x:c r="A4374" s="10" t="n">
        <x:v>5846</x:v>
      </x:c>
      <x:c r="B4374" s="2" t="str">
        <x:v>c195d88f2088e908d8db</x:v>
      </x:c>
      <x:c r="C4374" s="2" t="str">
        <x:v>Tp Hồ Chí Minh</x:v>
      </x:c>
      <x:c r="D4374" s="2" t="str">
        <x:v>Quận Tân Bình</x:v>
      </x:c>
      <x:c r="E4374" s="2" t="str">
        <x:v>house</x:v>
      </x:c>
      <x:c r="F4374" s="2" t="str">
        <x:v>sale</x:v>
      </x:c>
      <x:c r="G4374" s="11" t="n">
        <x:v>50</x:v>
      </x:c>
      <x:c r="H4374" s="12" t="n">
        <x:v>4200000000</x:v>
      </x:c>
      <x:c r="I4374" s="12" t="n">
        <x:v>84000000</x:v>
      </x:c>
      <x:c r="J4374" s="2" t="str">
        <x:v>total</x:v>
      </x:c>
      <x:c r="K4374" s="2" t="str">
        <x:v>top_level_area</x:v>
      </x:c>
      <x:c r="L4374" s="2" t="str">
        <x:v>property_type_inferred_from_title</x:v>
      </x:c>
      <x:c r="M4374" s="10" t="n">
        <x:v>0</x:v>
      </x:c>
      <x:c r="N4374" s="10" t="n">
        <x:v>0</x:v>
      </x:c>
      <x:c r="O4374" s="2" t="str">
        <x:v>Tp Hồ Chí Minh|house</x:v>
      </x:c>
      <x:c r="P4374" s="10" t="n">
        <x:v>2</x:v>
      </x:c>
      <x:c r="Q4374" s="13" t="n">
        <x:f>IF(H4374="","",H4374/1000000000)</x:f>
        <x:v>4.2</x:v>
      </x:c>
      <x:c r="R4374" s="13" t="n">
        <x:f>IF(I4374="","",I4374/1000000)</x:f>
        <x:v>84</x:v>
      </x:c>
    </x:row>
    <x:row r="4375" ht="21" customHeight="1">
      <x:c r="A4375" s="10" t="n">
        <x:v>5847</x:v>
      </x:c>
      <x:c r="B4375" s="2" t="str">
        <x:v>2d35fa534d10d3cf04d0</x:v>
      </x:c>
      <x:c r="C4375" s="2" t="str">
        <x:v>Đà Nẵng</x:v>
      </x:c>
      <x:c r="D4375" s="2" t="str">
        <x:v>Quận Liên Chiểu</x:v>
      </x:c>
      <x:c r="E4375" s="2" t="str">
        <x:v>house</x:v>
      </x:c>
      <x:c r="F4375" s="2" t="str">
        <x:v>sale</x:v>
      </x:c>
      <x:c r="G4375" s="11" t="n">
        <x:v>67</x:v>
      </x:c>
      <x:c r="H4375" s="12" t="n">
        <x:v>3150000000</x:v>
      </x:c>
      <x:c r="I4375" s="12" t="n">
        <x:v>47014925.37313433</x:v>
      </x:c>
      <x:c r="J4375" s="2" t="str">
        <x:v>total</x:v>
      </x:c>
      <x:c r="K4375" s="2" t="str">
        <x:v>top_level_area</x:v>
      </x:c>
      <x:c r="L4375" s="2" t="str">
        <x:v>property_type_inferred_from_title</x:v>
      </x:c>
      <x:c r="M4375" s="10" t="n">
        <x:v>0</x:v>
      </x:c>
      <x:c r="N4375" s="10" t="n">
        <x:v>0</x:v>
      </x:c>
      <x:c r="O4375" s="2" t="str">
        <x:v>Đà Nẵng|house</x:v>
      </x:c>
      <x:c r="P4375" s="10" t="n">
        <x:v>2</x:v>
      </x:c>
      <x:c r="Q4375" s="13" t="n">
        <x:f>IF(H4375="","",H4375/1000000000)</x:f>
        <x:v>3.15</x:v>
      </x:c>
      <x:c r="R4375" s="13" t="n">
        <x:f>IF(I4375="","",I4375/1000000)</x:f>
        <x:v>47.01492537313433</x:v>
      </x:c>
    </x:row>
    <x:row r="4376" ht="21" customHeight="1">
      <x:c r="A4376" s="10" t="n">
        <x:v>5851</x:v>
      </x:c>
      <x:c r="B4376" s="2" t="str">
        <x:v>e3fa7d2325d94cac64fe</x:v>
      </x:c>
      <x:c r="C4376" s="2" t="str">
        <x:v>Hà Nội</x:v>
      </x:c>
      <x:c r="D4376" s="2" t="str">
        <x:v>Quận Hà Đông</x:v>
      </x:c>
      <x:c r="E4376" s="2" t="str">
        <x:v>house</x:v>
      </x:c>
      <x:c r="F4376" s="2" t="str">
        <x:v>sale_assumed</x:v>
      </x:c>
      <x:c r="G4376" s="11" t="n">
        <x:v>33</x:v>
      </x:c>
      <x:c r="H4376" s="12" t="n">
        <x:v>2590000000</x:v>
      </x:c>
      <x:c r="I4376" s="12" t="n">
        <x:v>78484848.48484848</x:v>
      </x:c>
      <x:c r="J4376" s="2" t="str">
        <x:v>total</x:v>
      </x:c>
      <x:c r="K4376" s="2" t="str">
        <x:v>top_level_area</x:v>
      </x:c>
      <x:c r="L4376" s="2" t="str">
        <x:v>property_type_inferred_from_title;transaction_assumed_sale_from_dataset_context</x:v>
      </x:c>
      <x:c r="M4376" s="10" t="n">
        <x:v>0</x:v>
      </x:c>
      <x:c r="N4376" s="10" t="n">
        <x:v>0</x:v>
      </x:c>
      <x:c r="O4376" s="2" t="str">
        <x:v>Hà Nội|house</x:v>
      </x:c>
      <x:c r="P4376" s="10" t="n">
        <x:v>2</x:v>
      </x:c>
      <x:c r="Q4376" s="13" t="n">
        <x:f>IF(H4376="","",H4376/1000000000)</x:f>
        <x:v>2.59</x:v>
      </x:c>
      <x:c r="R4376" s="13" t="n">
        <x:f>IF(I4376="","",I4376/1000000)</x:f>
        <x:v>78.48484848484848</x:v>
      </x:c>
    </x:row>
    <x:row r="4377" ht="21" customHeight="1">
      <x:c r="A4377" s="10" t="n">
        <x:v>5852</x:v>
      </x:c>
      <x:c r="B4377" s="2" t="str">
        <x:v>154f809ff6ada75bbdfa</x:v>
      </x:c>
      <x:c r="C4377" s="2" t="str">
        <x:v>Tp Hồ Chí Minh</x:v>
      </x:c>
      <x:c r="D4377" s="2" t="str">
        <x:v>Quận 9</x:v>
      </x:c>
      <x:c r="E4377" s="2" t="str">
        <x:v>house</x:v>
      </x:c>
      <x:c r="F4377" s="2" t="str">
        <x:v>sale_assumed</x:v>
      </x:c>
      <x:c r="G4377" s="11" t="n">
        <x:v>43</x:v>
      </x:c>
      <x:c r="H4377" s="12" t="n">
        <x:v>1430000000</x:v>
      </x:c>
      <x:c r="I4377" s="12" t="n">
        <x:v>33255813.953488372</x:v>
      </x:c>
      <x:c r="J4377" s="2" t="str">
        <x:v>total</x:v>
      </x:c>
      <x:c r="K4377" s="2" t="str">
        <x:v>top_level_area</x:v>
      </x:c>
      <x:c r="L4377" s="2" t="str">
        <x:v>property_type_inferred_from_title;transaction_assumed_sale_from_dataset_context</x:v>
      </x:c>
      <x:c r="M4377" s="10" t="n">
        <x:v>0</x:v>
      </x:c>
      <x:c r="N4377" s="10" t="n">
        <x:v>0</x:v>
      </x:c>
      <x:c r="O4377" s="2" t="str">
        <x:v>Tp Hồ Chí Minh|house</x:v>
      </x:c>
      <x:c r="P4377" s="10" t="n">
        <x:v>2</x:v>
      </x:c>
      <x:c r="Q4377" s="13" t="n">
        <x:f>IF(H4377="","",H4377/1000000000)</x:f>
        <x:v>1.43</x:v>
      </x:c>
      <x:c r="R4377" s="13" t="n">
        <x:f>IF(I4377="","",I4377/1000000)</x:f>
        <x:v>33.25581395348837</x:v>
      </x:c>
    </x:row>
    <x:row r="4378" ht="21" customHeight="1">
      <x:c r="A4378" s="10" t="n">
        <x:v>5853</x:v>
      </x:c>
      <x:c r="B4378" s="2" t="str">
        <x:v>c37006ae182d5263f7dc</x:v>
      </x:c>
      <x:c r="C4378" s="2" t="str">
        <x:v>Tp Hồ Chí Minh</x:v>
      </x:c>
      <x:c r="D4378" s="2" t="str">
        <x:v>Quận Thủ Đức</x:v>
      </x:c>
      <x:c r="E4378" s="2" t="str">
        <x:v>house</x:v>
      </x:c>
      <x:c r="F4378" s="2" t="str">
        <x:v>sale_assumed</x:v>
      </x:c>
      <x:c r="G4378" s="11" t="n">
        <x:v>68</x:v>
      </x:c>
      <x:c r="H4378" s="12" t="n">
        <x:v>4000000000</x:v>
      </x:c>
      <x:c r="I4378" s="12" t="n">
        <x:v>58823529.4117647</x:v>
      </x:c>
      <x:c r="J4378" s="2" t="str">
        <x:v>total</x:v>
      </x:c>
      <x:c r="K4378" s="2" t="str">
        <x:v>top_level_area</x:v>
      </x:c>
      <x:c r="L4378" s="2" t="str">
        <x:v>property_type_inferred_from_title;transaction_assumed_sale_from_dataset_context</x:v>
      </x:c>
      <x:c r="M4378" s="10" t="n">
        <x:v>0</x:v>
      </x:c>
      <x:c r="N4378" s="10" t="n">
        <x:v>0</x:v>
      </x:c>
      <x:c r="O4378" s="2" t="str">
        <x:v>Tp Hồ Chí Minh|house</x:v>
      </x:c>
      <x:c r="P4378" s="10" t="n">
        <x:v>2</x:v>
      </x:c>
      <x:c r="Q4378" s="13" t="n">
        <x:f>IF(H4378="","",H4378/1000000000)</x:f>
        <x:v>4</x:v>
      </x:c>
      <x:c r="R4378" s="13" t="n">
        <x:f>IF(I4378="","",I4378/1000000)</x:f>
        <x:v>58.8235294117647</x:v>
      </x:c>
    </x:row>
    <x:row r="4379" ht="21" customHeight="1">
      <x:c r="A4379" s="10" t="n">
        <x:v>5854</x:v>
      </x:c>
      <x:c r="B4379" s="2" t="str">
        <x:v>43e97714643ab8545425</x:v>
      </x:c>
      <x:c r="C4379" s="2" t="str">
        <x:v>Đắk Lắk</x:v>
      </x:c>
      <x:c r="D4379" s="2" t="str">
        <x:v>Huyện Cư M'gar</x:v>
      </x:c>
      <x:c r="E4379" s="2" t="str">
        <x:v>land</x:v>
      </x:c>
      <x:c r="F4379" s="2" t="str">
        <x:v>sale_assumed</x:v>
      </x:c>
      <x:c r="G4379" s="11" t="n">
        <x:v>5600</x:v>
      </x:c>
      <x:c r="H4379" s="12" t="n">
        <x:v>160000000</x:v>
      </x:c>
      <x:c r="I4379" s="12" t="n">
        <x:v>28571.428571428572</x:v>
      </x:c>
      <x:c r="J4379" s="2" t="str">
        <x:v>total</x:v>
      </x:c>
      <x:c r="K4379" s="2" t="str">
        <x:v>top_level_area</x:v>
      </x:c>
      <x:c r="L4379" s="2" t="str">
        <x:v>dot_thousands_convention;property_type_inferred_from_title;transaction_assumed_sale_from_dataset_context</x:v>
      </x:c>
      <x:c r="M4379" s="10" t="n">
        <x:v>0</x:v>
      </x:c>
      <x:c r="N4379" s="10" t="n">
        <x:v>0</x:v>
      </x:c>
      <x:c r="O4379" s="2" t="str">
        <x:v>Đắk Lắk|land</x:v>
      </x:c>
      <x:c r="P4379" s="10" t="n">
        <x:v>1</x:v>
      </x:c>
      <x:c r="Q4379" s="13" t="n">
        <x:f>IF(H4379="","",H4379/1000000000)</x:f>
        <x:v>0.16</x:v>
      </x:c>
      <x:c r="R4379" s="13" t="n">
        <x:f>IF(I4379="","",I4379/1000000)</x:f>
        <x:v>0.028571428571428574</x:v>
      </x:c>
    </x:row>
    <x:row r="4380" ht="21" customHeight="1">
      <x:c r="A4380" s="10" t="n">
        <x:v>5855</x:v>
      </x:c>
      <x:c r="B4380" s="2" t="str">
        <x:v>3eac051c60084498787c</x:v>
      </x:c>
      <x:c r="C4380" s="2" t="str">
        <x:v>Lâm Đồng</x:v>
      </x:c>
      <x:c r="D4380" s="2" t="str">
        <x:v>Thành phố Bảo Lộc</x:v>
      </x:c>
      <x:c r="E4380" s="2" t="str">
        <x:v>house</x:v>
      </x:c>
      <x:c r="F4380" s="2" t="str">
        <x:v>sale</x:v>
      </x:c>
      <x:c r="G4380" s="11" t="n">
        <x:v>560</x:v>
      </x:c>
      <x:c r="H4380" s="12" t="n">
        <x:v>650000000</x:v>
      </x:c>
      <x:c r="I4380" s="12" t="n">
        <x:v>1160714.2857142857</x:v>
      </x:c>
      <x:c r="J4380" s="2" t="str">
        <x:v>total</x:v>
      </x:c>
      <x:c r="K4380" s="2" t="str">
        <x:v>top_level_area</x:v>
      </x:c>
      <x:c r="L4380" s="2" t="str">
        <x:v>property_type_inferred_from_title</x:v>
      </x:c>
      <x:c r="M4380" s="10" t="n">
        <x:v>0</x:v>
      </x:c>
      <x:c r="N4380" s="10" t="n">
        <x:v>0</x:v>
      </x:c>
      <x:c r="O4380" s="2" t="str">
        <x:v>house</x:v>
      </x:c>
      <x:c r="P4380" s="10" t="n">
        <x:v>1</x:v>
      </x:c>
      <x:c r="Q4380" s="13" t="n">
        <x:f>IF(H4380="","",H4380/1000000000)</x:f>
        <x:v>0.65</x:v>
      </x:c>
      <x:c r="R4380" s="13" t="n">
        <x:f>IF(I4380="","",I4380/1000000)</x:f>
        <x:v>1.1607142857142856</x:v>
      </x:c>
    </x:row>
    <x:row r="4381" ht="21" customHeight="1">
      <x:c r="A4381" s="10" t="n">
        <x:v>5856</x:v>
      </x:c>
      <x:c r="B4381" s="2" t="str">
        <x:v>0fd9999301f4a77afac6</x:v>
      </x:c>
      <x:c r="C4381" s="2" t="str">
        <x:v>Tp Hồ Chí Minh</x:v>
      </x:c>
      <x:c r="D4381" s="2" t="str">
        <x:v>Quận 4</x:v>
      </x:c>
      <x:c r="E4381" s="2" t="str">
        <x:v>house</x:v>
      </x:c>
      <x:c r="F4381" s="2" t="str">
        <x:v>sale</x:v>
      </x:c>
      <x:c r="G4381" s="11" t="n">
        <x:v>57</x:v>
      </x:c>
      <x:c r="H4381" s="12" t="n">
        <x:v>1440000000</x:v>
      </x:c>
      <x:c r="I4381" s="12" t="n">
        <x:v>25263157.89473684</x:v>
      </x:c>
      <x:c r="J4381" s="2" t="str">
        <x:v>total</x:v>
      </x:c>
      <x:c r="K4381" s="2" t="str">
        <x:v>top_level_area</x:v>
      </x:c>
      <x:c r="L4381" s="2" t="str">
        <x:v>property_type_inferred_from_title</x:v>
      </x:c>
      <x:c r="M4381" s="10" t="n">
        <x:v>0</x:v>
      </x:c>
      <x:c r="N4381" s="10" t="n">
        <x:v>0</x:v>
      </x:c>
      <x:c r="O4381" s="2" t="str">
        <x:v>Tp Hồ Chí Minh|house</x:v>
      </x:c>
      <x:c r="P4381" s="10" t="n">
        <x:v>2</x:v>
      </x:c>
      <x:c r="Q4381" s="13" t="n">
        <x:f>IF(H4381="","",H4381/1000000000)</x:f>
        <x:v>1.44</x:v>
      </x:c>
      <x:c r="R4381" s="13" t="n">
        <x:f>IF(I4381="","",I4381/1000000)</x:f>
        <x:v>25.263157894736842</x:v>
      </x:c>
    </x:row>
    <x:row r="4382" ht="21" customHeight="1">
      <x:c r="A4382" s="10" t="n">
        <x:v>5857</x:v>
      </x:c>
      <x:c r="B4382" s="2" t="str">
        <x:v>77c70e1c67c1ad56d56c</x:v>
      </x:c>
      <x:c r="C4382" s="2" t="str">
        <x:v>Tp Hồ Chí Minh</x:v>
      </x:c>
      <x:c r="D4382" s="2" t="str">
        <x:v>Quận Tân Bình</x:v>
      </x:c>
      <x:c r="E4382" s="2" t="str">
        <x:v>house</x:v>
      </x:c>
      <x:c r="F4382" s="2" t="str">
        <x:v>sale_assumed</x:v>
      </x:c>
      <x:c r="G4382" s="11" t="n">
        <x:v>40</x:v>
      </x:c>
      <x:c r="H4382" s="12" t="n">
        <x:v>5300000000</x:v>
      </x:c>
      <x:c r="I4382" s="12" t="n">
        <x:v>132500000</x:v>
      </x:c>
      <x:c r="J4382" s="2" t="str">
        <x:v>total</x:v>
      </x:c>
      <x:c r="K4382" s="2" t="str">
        <x:v>top_level_area</x:v>
      </x:c>
      <x:c r="L4382" s="2" t="str">
        <x:v>property_type_inferred_from_title;transaction_assumed_sale_from_dataset_context</x:v>
      </x:c>
      <x:c r="M4382" s="10" t="n">
        <x:v>0</x:v>
      </x:c>
      <x:c r="N4382" s="10" t="n">
        <x:v>0</x:v>
      </x:c>
      <x:c r="O4382" s="2" t="str">
        <x:v>Tp Hồ Chí Minh|house</x:v>
      </x:c>
      <x:c r="P4382" s="10" t="n">
        <x:v>2</x:v>
      </x:c>
      <x:c r="Q4382" s="13" t="n">
        <x:f>IF(H4382="","",H4382/1000000000)</x:f>
        <x:v>5.3</x:v>
      </x:c>
      <x:c r="R4382" s="13" t="n">
        <x:f>IF(I4382="","",I4382/1000000)</x:f>
        <x:v>132.5</x:v>
      </x:c>
    </x:row>
    <x:row r="4383" ht="21" customHeight="1">
      <x:c r="A4383" s="10" t="n">
        <x:v>5858</x:v>
      </x:c>
      <x:c r="B4383" s="2" t="str">
        <x:v>f13ed548e8d41e9fee8c</x:v>
      </x:c>
      <x:c r="C4383" s="2" t="str">
        <x:v>Hà Nội</x:v>
      </x:c>
      <x:c r="D4383" s="2" t="str">
        <x:v>Quận Hà Đông</x:v>
      </x:c>
      <x:c r="E4383" s="2" t="str">
        <x:v>house</x:v>
      </x:c>
      <x:c r="F4383" s="2" t="str">
        <x:v>sale</x:v>
      </x:c>
      <x:c r="G4383" s="11" t="n">
        <x:v>35</x:v>
      </x:c>
      <x:c r="H4383" s="12" t="n">
        <x:v>2450000000</x:v>
      </x:c>
      <x:c r="I4383" s="12" t="n">
        <x:v>70000000</x:v>
      </x:c>
      <x:c r="J4383" s="2" t="str">
        <x:v>total</x:v>
      </x:c>
      <x:c r="K4383" s="2" t="str">
        <x:v>top_level_area</x:v>
      </x:c>
      <x:c r="L4383" s="2" t="str">
        <x:v>property_type_inferred_from_title</x:v>
      </x:c>
      <x:c r="M4383" s="10" t="n">
        <x:v>0</x:v>
      </x:c>
      <x:c r="N4383" s="10" t="n">
        <x:v>0</x:v>
      </x:c>
      <x:c r="O4383" s="2" t="str">
        <x:v>Hà Nội|house</x:v>
      </x:c>
      <x:c r="P4383" s="10" t="n">
        <x:v>2</x:v>
      </x:c>
      <x:c r="Q4383" s="13" t="n">
        <x:f>IF(H4383="","",H4383/1000000000)</x:f>
        <x:v>2.45</x:v>
      </x:c>
      <x:c r="R4383" s="13" t="n">
        <x:f>IF(I4383="","",I4383/1000000)</x:f>
        <x:v>70</x:v>
      </x:c>
    </x:row>
    <x:row r="4384" ht="21" customHeight="1">
      <x:c r="A4384" s="10" t="n">
        <x:v>5859</x:v>
      </x:c>
      <x:c r="B4384" s="2" t="str">
        <x:v>62c7b4d45237b874d3b0</x:v>
      </x:c>
      <x:c r="C4384" s="2" t="str">
        <x:v>Hà Nội</x:v>
      </x:c>
      <x:c r="D4384" s="2" t="str">
        <x:v>Quận Thanh Xuân</x:v>
      </x:c>
      <x:c r="E4384" s="2" t="str">
        <x:v>house</x:v>
      </x:c>
      <x:c r="F4384" s="2" t="str">
        <x:v>sale_assumed</x:v>
      </x:c>
      <x:c r="G4384" s="11" t="n">
        <x:v>50</x:v>
      </x:c>
      <x:c r="H4384" s="12" t="n">
        <x:v>3800000000</x:v>
      </x:c>
      <x:c r="I4384" s="12" t="n">
        <x:v>76000000</x:v>
      </x:c>
      <x:c r="J4384" s="2" t="str">
        <x:v>total</x:v>
      </x:c>
      <x:c r="K4384" s="2" t="str">
        <x:v>top_level_area</x:v>
      </x:c>
      <x:c r="L4384" s="2" t="str">
        <x:v>property_type_inferred_from_title;transaction_assumed_sale_from_dataset_context</x:v>
      </x:c>
      <x:c r="M4384" s="10" t="n">
        <x:v>0</x:v>
      </x:c>
      <x:c r="N4384" s="10" t="n">
        <x:v>0</x:v>
      </x:c>
      <x:c r="O4384" s="2" t="str">
        <x:v>Hà Nội|house</x:v>
      </x:c>
      <x:c r="P4384" s="10" t="n">
        <x:v>2</x:v>
      </x:c>
      <x:c r="Q4384" s="13" t="n">
        <x:f>IF(H4384="","",H4384/1000000000)</x:f>
        <x:v>3.8</x:v>
      </x:c>
      <x:c r="R4384" s="13" t="n">
        <x:f>IF(I4384="","",I4384/1000000)</x:f>
        <x:v>76</x:v>
      </x:c>
    </x:row>
    <x:row r="4385" ht="21" customHeight="1">
      <x:c r="A4385" s="10" t="n">
        <x:v>5860</x:v>
      </x:c>
      <x:c r="B4385" s="2" t="str">
        <x:v>e07f42c2df883fb72108</x:v>
      </x:c>
      <x:c r="C4385" s="2" t="str">
        <x:v>Tp Hồ Chí Minh</x:v>
      </x:c>
      <x:c r="D4385" s="2" t="str">
        <x:v>Quận Tân Bình</x:v>
      </x:c>
      <x:c r="E4385" s="2" t="str">
        <x:v>house</x:v>
      </x:c>
      <x:c r="F4385" s="2" t="str">
        <x:v>sale</x:v>
      </x:c>
      <x:c r="G4385" s="11" t="n">
        <x:v>52</x:v>
      </x:c>
      <x:c r="H4385" s="12" t="n">
        <x:v>1380000000</x:v>
      </x:c>
      <x:c r="I4385" s="12" t="n">
        <x:v>26538461.53846154</x:v>
      </x:c>
      <x:c r="J4385" s="2" t="str">
        <x:v>total</x:v>
      </x:c>
      <x:c r="K4385" s="2" t="str">
        <x:v>top_level_area</x:v>
      </x:c>
      <x:c r="L4385" s="2" t="str">
        <x:v>property_type_inferred_from_title</x:v>
      </x:c>
      <x:c r="M4385" s="10" t="n">
        <x:v>0</x:v>
      </x:c>
      <x:c r="N4385" s="10" t="n">
        <x:v>0</x:v>
      </x:c>
      <x:c r="O4385" s="2" t="str">
        <x:v>Tp Hồ Chí Minh|house</x:v>
      </x:c>
      <x:c r="P4385" s="10" t="n">
        <x:v>2</x:v>
      </x:c>
      <x:c r="Q4385" s="13" t="n">
        <x:f>IF(H4385="","",H4385/1000000000)</x:f>
        <x:v>1.38</x:v>
      </x:c>
      <x:c r="R4385" s="13" t="n">
        <x:f>IF(I4385="","",I4385/1000000)</x:f>
        <x:v>26.53846153846154</x:v>
      </x:c>
    </x:row>
    <x:row r="4386" ht="21" customHeight="1">
      <x:c r="A4386" s="10" t="n">
        <x:v>5861</x:v>
      </x:c>
      <x:c r="B4386" s="2" t="str">
        <x:v>75fe1c3a2b2e1e812c86</x:v>
      </x:c>
      <x:c r="C4386" s="2" t="str">
        <x:v>Tp Hồ Chí Minh</x:v>
      </x:c>
      <x:c r="D4386" s="2" t="str">
        <x:v>Quận 5</x:v>
      </x:c>
      <x:c r="E4386" s="2" t="str">
        <x:v>house</x:v>
      </x:c>
      <x:c r="F4386" s="2" t="str">
        <x:v>sale_assumed</x:v>
      </x:c>
      <x:c r="G4386" s="11" t="n">
        <x:v>42</x:v>
      </x:c>
      <x:c r="H4386" s="12" t="n">
        <x:v>1250000000</x:v>
      </x:c>
      <x:c r="I4386" s="12" t="n">
        <x:v>29761904.76190476</x:v>
      </x:c>
      <x:c r="J4386" s="2" t="str">
        <x:v>total</x:v>
      </x:c>
      <x:c r="K4386" s="2" t="str">
        <x:v>top_level_area</x:v>
      </x:c>
      <x:c r="L4386" s="2" t="str">
        <x:v>property_type_inferred_from_title;transaction_assumed_sale_from_dataset_context</x:v>
      </x:c>
      <x:c r="M4386" s="10" t="n">
        <x:v>0</x:v>
      </x:c>
      <x:c r="N4386" s="10" t="n">
        <x:v>0</x:v>
      </x:c>
      <x:c r="O4386" s="2" t="str">
        <x:v>Tp Hồ Chí Minh|house</x:v>
      </x:c>
      <x:c r="P4386" s="10" t="n">
        <x:v>2</x:v>
      </x:c>
      <x:c r="Q4386" s="13" t="n">
        <x:f>IF(H4386="","",H4386/1000000000)</x:f>
        <x:v>1.25</x:v>
      </x:c>
      <x:c r="R4386" s="13" t="n">
        <x:f>IF(I4386="","",I4386/1000000)</x:f>
        <x:v>29.761904761904763</x:v>
      </x:c>
    </x:row>
    <x:row r="4387" ht="21" customHeight="1">
      <x:c r="A4387" s="10" t="n">
        <x:v>5862</x:v>
      </x:c>
      <x:c r="B4387" s="2" t="str">
        <x:v>84b723f17e39dd2ee148</x:v>
      </x:c>
      <x:c r="C4387" s="2" t="str">
        <x:v>Tp Hồ Chí Minh</x:v>
      </x:c>
      <x:c r="D4387" s="2" t="str">
        <x:v>Quận Gò Vấp</x:v>
      </x:c>
      <x:c r="E4387" s="2" t="str">
        <x:v>other_unknown</x:v>
      </x:c>
      <x:c r="F4387" s="2" t="str">
        <x:v>sale_assumed</x:v>
      </x:c>
      <x:c r="G4387" s="11" t="n">
        <x:v>28.5</x:v>
      </x:c>
      <x:c r="H4387" s="12" t="n">
        <x:v>3390000000</x:v>
      </x:c>
      <x:c r="I4387" s="12" t="n">
        <x:v>118947368.42105263</x:v>
      </x:c>
      <x:c r="J4387" s="2" t="str">
        <x:v>total</x:v>
      </x:c>
      <x:c r="K4387" s="2" t="str">
        <x:v>top_level_area</x:v>
      </x:c>
      <x:c r="L4387" s="2" t="str">
        <x:v>property_type_inferred_from_title;transaction_assumed_sale_from_dataset_context;unknown_property_type</x:v>
      </x:c>
      <x:c r="M4387" s="10" t="n">
        <x:v>0</x:v>
      </x:c>
      <x:c r="N4387" s="10" t="n">
        <x:v>0</x:v>
      </x:c>
      <x:c r="O4387" s="2" t="str">
        <x:v>Tp Hồ Chí Minh|other_unknown</x:v>
      </x:c>
      <x:c r="P4387" s="10" t="n">
        <x:v>2</x:v>
      </x:c>
      <x:c r="Q4387" s="13" t="n">
        <x:f>IF(H4387="","",H4387/1000000000)</x:f>
        <x:v>3.39</x:v>
      </x:c>
      <x:c r="R4387" s="13" t="n">
        <x:f>IF(I4387="","",I4387/1000000)</x:f>
        <x:v>118.94736842105263</x:v>
      </x:c>
    </x:row>
    <x:row r="4388" ht="21" customHeight="1">
      <x:c r="A4388" s="10" t="n">
        <x:v>5863</x:v>
      </x:c>
      <x:c r="B4388" s="2" t="str">
        <x:v>dd09ee9685fa313f3939</x:v>
      </x:c>
      <x:c r="C4388" s="2" t="str">
        <x:v>Tp Hồ Chí Minh</x:v>
      </x:c>
      <x:c r="D4388" s="2" t="str">
        <x:v>Quận 12</x:v>
      </x:c>
      <x:c r="E4388" s="2" t="str">
        <x:v>house</x:v>
      </x:c>
      <x:c r="F4388" s="2" t="str">
        <x:v>sale_assumed</x:v>
      </x:c>
      <x:c r="G4388" s="11" t="n">
        <x:v>35</x:v>
      </x:c>
      <x:c r="H4388" s="12" t="n">
        <x:v>2500000000</x:v>
      </x:c>
      <x:c r="I4388" s="12" t="n">
        <x:v>71428571.42857143</x:v>
      </x:c>
      <x:c r="J4388" s="2" t="str">
        <x:v>total</x:v>
      </x:c>
      <x:c r="K4388" s="2" t="str">
        <x:v>top_level_area</x:v>
      </x:c>
      <x:c r="L4388" s="2" t="str">
        <x:v>property_type_inferred_from_title;transaction_assumed_sale_from_dataset_context</x:v>
      </x:c>
      <x:c r="M4388" s="10" t="n">
        <x:v>0</x:v>
      </x:c>
      <x:c r="N4388" s="10" t="n">
        <x:v>0</x:v>
      </x:c>
      <x:c r="O4388" s="2" t="str">
        <x:v>Tp Hồ Chí Minh|house</x:v>
      </x:c>
      <x:c r="P4388" s="10" t="n">
        <x:v>2</x:v>
      </x:c>
      <x:c r="Q4388" s="13" t="n">
        <x:f>IF(H4388="","",H4388/1000000000)</x:f>
        <x:v>2.5</x:v>
      </x:c>
      <x:c r="R4388" s="13" t="n">
        <x:f>IF(I4388="","",I4388/1000000)</x:f>
        <x:v>71.42857142857143</x:v>
      </x:c>
    </x:row>
    <x:row r="4389" ht="21" customHeight="1">
      <x:c r="A4389" s="10" t="n">
        <x:v>5864</x:v>
      </x:c>
      <x:c r="B4389" s="2" t="str">
        <x:v>222e158d6f53fe4ea809</x:v>
      </x:c>
      <x:c r="C4389" s="2" t="str">
        <x:v>Tp Hồ Chí Minh</x:v>
      </x:c>
      <x:c r="D4389" s="2" t="str">
        <x:v>Quận 11</x:v>
      </x:c>
      <x:c r="E4389" s="2" t="str">
        <x:v>house</x:v>
      </x:c>
      <x:c r="F4389" s="2" t="str">
        <x:v>sale</x:v>
      </x:c>
      <x:c r="G4389" s="11" t="n">
        <x:v>49</x:v>
      </x:c>
      <x:c r="H4389" s="12" t="n">
        <x:v>1320000000</x:v>
      </x:c>
      <x:c r="I4389" s="12" t="n">
        <x:v>26938775.51020408</x:v>
      </x:c>
      <x:c r="J4389" s="2" t="str">
        <x:v>total</x:v>
      </x:c>
      <x:c r="K4389" s="2" t="str">
        <x:v>top_level_area</x:v>
      </x:c>
      <x:c r="L4389" s="2" t="str">
        <x:v>property_type_inferred_from_title</x:v>
      </x:c>
      <x:c r="M4389" s="10" t="n">
        <x:v>0</x:v>
      </x:c>
      <x:c r="N4389" s="10" t="n">
        <x:v>0</x:v>
      </x:c>
      <x:c r="O4389" s="2" t="str">
        <x:v>Tp Hồ Chí Minh|house</x:v>
      </x:c>
      <x:c r="P4389" s="10" t="n">
        <x:v>2</x:v>
      </x:c>
      <x:c r="Q4389" s="13" t="n">
        <x:f>IF(H4389="","",H4389/1000000000)</x:f>
        <x:v>1.32</x:v>
      </x:c>
      <x:c r="R4389" s="13" t="n">
        <x:f>IF(I4389="","",I4389/1000000)</x:f>
        <x:v>26.93877551020408</x:v>
      </x:c>
    </x:row>
    <x:row r="4390" ht="21" customHeight="1">
      <x:c r="A4390" s="10" t="n">
        <x:v>5865</x:v>
      </x:c>
      <x:c r="B4390" s="2" t="str">
        <x:v>663a212746b9633c73d5</x:v>
      </x:c>
      <x:c r="C4390" s="2" t="str">
        <x:v>Tp Hồ Chí Minh</x:v>
      </x:c>
      <x:c r="D4390" s="2" t="str">
        <x:v>Quận 9</x:v>
      </x:c>
      <x:c r="E4390" s="2" t="str">
        <x:v>house</x:v>
      </x:c>
      <x:c r="F4390" s="2" t="str">
        <x:v>sale_assumed</x:v>
      </x:c>
      <x:c r="G4390" s="11" t="n">
        <x:v>43</x:v>
      </x:c>
      <x:c r="H4390" s="12" t="n">
        <x:v>980000000</x:v>
      </x:c>
      <x:c r="I4390" s="12" t="n">
        <x:v>22790697.674418606</x:v>
      </x:c>
      <x:c r="J4390" s="2" t="str">
        <x:v>total</x:v>
      </x:c>
      <x:c r="K4390" s="2" t="str">
        <x:v>top_level_price_embedded_area</x:v>
      </x:c>
      <x:c r="L4390" s="2" t="str">
        <x:v>area_recovered_from_price_text;property_type_inferred_from_title;transaction_assumed_sale_from_dataset_context</x:v>
      </x:c>
      <x:c r="M4390" s="10" t="n">
        <x:v>0</x:v>
      </x:c>
      <x:c r="N4390" s="10" t="n">
        <x:v>0</x:v>
      </x:c>
      <x:c r="O4390" s="2" t="str">
        <x:v>Tp Hồ Chí Minh|house</x:v>
      </x:c>
      <x:c r="P4390" s="10" t="n">
        <x:v>2</x:v>
      </x:c>
      <x:c r="Q4390" s="13" t="n">
        <x:f>IF(H4390="","",H4390/1000000000)</x:f>
        <x:v>0.98</x:v>
      </x:c>
      <x:c r="R4390" s="13" t="n">
        <x:f>IF(I4390="","",I4390/1000000)</x:f>
        <x:v>22.790697674418606</x:v>
      </x:c>
    </x:row>
    <x:row r="4391" ht="21" customHeight="1">
      <x:c r="A4391" s="10" t="n">
        <x:v>5866</x:v>
      </x:c>
      <x:c r="B4391" s="2" t="str">
        <x:v>18238e69b360fd0758bb</x:v>
      </x:c>
      <x:c r="C4391" s="2" t="str">
        <x:v>Tp Hồ Chí Minh</x:v>
      </x:c>
      <x:c r="D4391" s="2" t="str">
        <x:v>Quận Thủ Đức</x:v>
      </x:c>
      <x:c r="E4391" s="2" t="str">
        <x:v>house</x:v>
      </x:c>
      <x:c r="F4391" s="2" t="str">
        <x:v>sale</x:v>
      </x:c>
      <x:c r="G4391" s="11" t="n">
        <x:v>53</x:v>
      </x:c>
      <x:c r="H4391" s="12" t="n">
        <x:v>1160000000</x:v>
      </x:c>
      <x:c r="I4391" s="12" t="n">
        <x:v>21886792.452830188</x:v>
      </x:c>
      <x:c r="J4391" s="2" t="str">
        <x:v>total</x:v>
      </x:c>
      <x:c r="K4391" s="2" t="str">
        <x:v>top_level_area</x:v>
      </x:c>
      <x:c r="L4391" s="2" t="str">
        <x:v>property_type_inferred_from_title</x:v>
      </x:c>
      <x:c r="M4391" s="10" t="n">
        <x:v>0</x:v>
      </x:c>
      <x:c r="N4391" s="10" t="n">
        <x:v>0</x:v>
      </x:c>
      <x:c r="O4391" s="2" t="str">
        <x:v>Tp Hồ Chí Minh|house</x:v>
      </x:c>
      <x:c r="P4391" s="10" t="n">
        <x:v>2</x:v>
      </x:c>
      <x:c r="Q4391" s="13" t="n">
        <x:f>IF(H4391="","",H4391/1000000000)</x:f>
        <x:v>1.16</x:v>
      </x:c>
      <x:c r="R4391" s="13" t="n">
        <x:f>IF(I4391="","",I4391/1000000)</x:f>
        <x:v>21.88679245283019</x:v>
      </x:c>
    </x:row>
    <x:row r="4392" ht="21" customHeight="1">
      <x:c r="A4392" s="10" t="n">
        <x:v>5867</x:v>
      </x:c>
      <x:c r="B4392" s="2" t="str">
        <x:v>472aedb3b29d3251fbc2</x:v>
      </x:c>
      <x:c r="C4392" s="2" t="str">
        <x:v>Tp Hồ Chí Minh</x:v>
      </x:c>
      <x:c r="D4392" s="2" t="str">
        <x:v>Quận 4</x:v>
      </x:c>
      <x:c r="E4392" s="2" t="str">
        <x:v>house</x:v>
      </x:c>
      <x:c r="F4392" s="2" t="str">
        <x:v>sale_assumed</x:v>
      </x:c>
      <x:c r="G4392" s="11" t="n">
        <x:v>45</x:v>
      </x:c>
      <x:c r="H4392" s="12" t="n">
        <x:v>1030000000</x:v>
      </x:c>
      <x:c r="I4392" s="12" t="n">
        <x:v>22888888.888888888</x:v>
      </x:c>
      <x:c r="J4392" s="2" t="str">
        <x:v>total</x:v>
      </x:c>
      <x:c r="K4392" s="2" t="str">
        <x:v>top_level_area</x:v>
      </x:c>
      <x:c r="L4392" s="2" t="str">
        <x:v>property_type_inferred_from_title;transaction_assumed_sale_from_dataset_context</x:v>
      </x:c>
      <x:c r="M4392" s="10" t="n">
        <x:v>0</x:v>
      </x:c>
      <x:c r="N4392" s="10" t="n">
        <x:v>0</x:v>
      </x:c>
      <x:c r="O4392" s="2" t="str">
        <x:v>Tp Hồ Chí Minh|house</x:v>
      </x:c>
      <x:c r="P4392" s="10" t="n">
        <x:v>2</x:v>
      </x:c>
      <x:c r="Q4392" s="13" t="n">
        <x:f>IF(H4392="","",H4392/1000000000)</x:f>
        <x:v>1.03</x:v>
      </x:c>
      <x:c r="R4392" s="13" t="n">
        <x:f>IF(I4392="","",I4392/1000000)</x:f>
        <x:v>22.88888888888889</x:v>
      </x:c>
    </x:row>
    <x:row r="4393" ht="21" customHeight="1">
      <x:c r="A4393" s="10" t="n">
        <x:v>5868</x:v>
      </x:c>
      <x:c r="B4393" s="2" t="str">
        <x:v>2063561d05ad7a44430e</x:v>
      </x:c>
      <x:c r="C4393" s="2" t="str">
        <x:v>Đắk Lắk</x:v>
      </x:c>
      <x:c r="D4393" s="2" t="str">
        <x:v>Thành phố Buôn Ma Thuột</x:v>
      </x:c>
      <x:c r="E4393" s="2" t="str">
        <x:v>land</x:v>
      </x:c>
      <x:c r="F4393" s="2" t="str">
        <x:v>sale_assumed</x:v>
      </x:c>
      <x:c r="G4393" s="11" t="n">
        <x:v>120</x:v>
      </x:c>
      <x:c r="H4393" s="12" t="n">
        <x:v>495000000</x:v>
      </x:c>
      <x:c r="I4393" s="12" t="n">
        <x:v>4125000</x:v>
      </x:c>
      <x:c r="J4393" s="2" t="str">
        <x:v>total</x:v>
      </x:c>
      <x:c r="K4393" s="2" t="str">
        <x:v>top_level_area</x:v>
      </x:c>
      <x:c r="L4393" s="2" t="str">
        <x:v>property_type_inferred_from_title;transaction_assumed_sale_from_dataset_context</x:v>
      </x:c>
      <x:c r="M4393" s="10" t="n">
        <x:v>0</x:v>
      </x:c>
      <x:c r="N4393" s="10" t="n">
        <x:v>0</x:v>
      </x:c>
      <x:c r="O4393" s="2" t="str">
        <x:v>Đắk Lắk|land</x:v>
      </x:c>
      <x:c r="P4393" s="10" t="n">
        <x:v>2</x:v>
      </x:c>
      <x:c r="Q4393" s="13" t="n">
        <x:f>IF(H4393="","",H4393/1000000000)</x:f>
        <x:v>0.495</x:v>
      </x:c>
      <x:c r="R4393" s="13" t="n">
        <x:f>IF(I4393="","",I4393/1000000)</x:f>
        <x:v>4.125</x:v>
      </x:c>
    </x:row>
    <x:row r="4394" ht="21" customHeight="1">
      <x:c r="A4394" s="10" t="n">
        <x:v>5869</x:v>
      </x:c>
      <x:c r="B4394" s="2" t="str">
        <x:v>2f332594b5bd6664b12d</x:v>
      </x:c>
      <x:c r="C4394" s="2" t="str">
        <x:v>Bình Dương</x:v>
      </x:c>
      <x:c r="D4394" s="2" t="str">
        <x:v>Thị xã Tân Uyên</x:v>
      </x:c>
      <x:c r="E4394" s="2" t="str">
        <x:v>other_unknown</x:v>
      </x:c>
      <x:c r="F4394" s="2" t="str">
        <x:v>sale_assumed</x:v>
      </x:c>
      <x:c r="G4394" s="11" t="n">
        <x:v>85</x:v>
      </x:c>
      <x:c r="H4394" s="12" t="n">
        <x:v>1900000000</x:v>
      </x:c>
      <x:c r="I4394" s="12" t="n">
        <x:v>22352941.17647059</x:v>
      </x:c>
      <x:c r="J4394" s="2" t="str">
        <x:v>total</x:v>
      </x:c>
      <x:c r="K4394" s="2" t="str">
        <x:v>top_level_area</x:v>
      </x:c>
      <x:c r="L4394" s="2" t="str">
        <x:v>property_type_inferred_from_title;transaction_assumed_sale_from_dataset_context;unknown_property_type</x:v>
      </x:c>
      <x:c r="M4394" s="10" t="n">
        <x:v>0</x:v>
      </x:c>
      <x:c r="N4394" s="10" t="n">
        <x:v>0</x:v>
      </x:c>
      <x:c r="O4394" s="2" t="str">
        <x:v>Bình Dương|other_unknown</x:v>
      </x:c>
      <x:c r="P4394" s="10" t="n">
        <x:v>2</x:v>
      </x:c>
      <x:c r="Q4394" s="13" t="n">
        <x:f>IF(H4394="","",H4394/1000000000)</x:f>
        <x:v>1.9</x:v>
      </x:c>
      <x:c r="R4394" s="13" t="n">
        <x:f>IF(I4394="","",I4394/1000000)</x:f>
        <x:v>22.35294117647059</x:v>
      </x:c>
    </x:row>
    <x:row r="4395" ht="21" customHeight="1">
      <x:c r="A4395" s="10" t="n">
        <x:v>5870</x:v>
      </x:c>
      <x:c r="B4395" s="2" t="str">
        <x:v>a163be73791a4fe9aa01</x:v>
      </x:c>
      <x:c r="C4395" s="2" t="str">
        <x:v>Tp Hồ Chí Minh</x:v>
      </x:c>
      <x:c r="D4395" s="2" t="str">
        <x:v>Huyện Bình Chánh</x:v>
      </x:c>
      <x:c r="E4395" s="2" t="str">
        <x:v>house</x:v>
      </x:c>
      <x:c r="F4395" s="2" t="str">
        <x:v>sale_assumed</x:v>
      </x:c>
      <x:c r="G4395" s="11" t="n">
        <x:v>24</x:v>
      </x:c>
      <x:c r="H4395" s="12" t="n">
        <x:v>349000000</x:v>
      </x:c>
      <x:c r="I4395" s="12" t="n">
        <x:v>14541666.666666666</x:v>
      </x:c>
      <x:c r="J4395" s="2" t="str">
        <x:v>total</x:v>
      </x:c>
      <x:c r="K4395" s="2" t="str">
        <x:v>top_level_area</x:v>
      </x:c>
      <x:c r="L4395" s="2" t="str">
        <x:v>property_type_inferred_from_title;transaction_assumed_sale_from_dataset_context</x:v>
      </x:c>
      <x:c r="M4395" s="10" t="n">
        <x:v>0</x:v>
      </x:c>
      <x:c r="N4395" s="10" t="n">
        <x:v>0</x:v>
      </x:c>
      <x:c r="O4395" s="2" t="str">
        <x:v>Tp Hồ Chí Minh|house</x:v>
      </x:c>
      <x:c r="P4395" s="10" t="n">
        <x:v>2</x:v>
      </x:c>
      <x:c r="Q4395" s="13" t="n">
        <x:f>IF(H4395="","",H4395/1000000000)</x:f>
        <x:v>0.349</x:v>
      </x:c>
      <x:c r="R4395" s="13" t="n">
        <x:f>IF(I4395="","",I4395/1000000)</x:f>
        <x:v>14.541666666666666</x:v>
      </x:c>
    </x:row>
    <x:row r="4396" ht="21" customHeight="1">
      <x:c r="A4396" s="10" t="n">
        <x:v>5874</x:v>
      </x:c>
      <x:c r="B4396" s="2" t="str">
        <x:v>0d12abbb80ce6ed2aaca</x:v>
      </x:c>
      <x:c r="C4396" s="2" t="str">
        <x:v>Tp Hồ Chí Minh</x:v>
      </x:c>
      <x:c r="D4396" s="2" t="str">
        <x:v>Quận Bình Thạnh</x:v>
      </x:c>
      <x:c r="E4396" s="2" t="str">
        <x:v>house</x:v>
      </x:c>
      <x:c r="F4396" s="2" t="str">
        <x:v>sale_assumed</x:v>
      </x:c>
      <x:c r="G4396" s="11" t="n">
        <x:v>44</x:v>
      </x:c>
      <x:c r="H4396" s="12" t="n">
        <x:v>1060000000</x:v>
      </x:c>
      <x:c r="I4396" s="12" t="n">
        <x:v>24090909.09090909</x:v>
      </x:c>
      <x:c r="J4396" s="2" t="str">
        <x:v>total</x:v>
      </x:c>
      <x:c r="K4396" s="2" t="str">
        <x:v>top_level_area</x:v>
      </x:c>
      <x:c r="L4396" s="2" t="str">
        <x:v>property_type_inferred_from_title;transaction_assumed_sale_from_dataset_context</x:v>
      </x:c>
      <x:c r="M4396" s="10" t="n">
        <x:v>0</x:v>
      </x:c>
      <x:c r="N4396" s="10" t="n">
        <x:v>0</x:v>
      </x:c>
      <x:c r="O4396" s="2" t="str">
        <x:v>Tp Hồ Chí Minh|house</x:v>
      </x:c>
      <x:c r="P4396" s="10" t="n">
        <x:v>2</x:v>
      </x:c>
      <x:c r="Q4396" s="13" t="n">
        <x:f>IF(H4396="","",H4396/1000000000)</x:f>
        <x:v>1.06</x:v>
      </x:c>
      <x:c r="R4396" s="13" t="n">
        <x:f>IF(I4396="","",I4396/1000000)</x:f>
        <x:v>24.09090909090909</x:v>
      </x:c>
    </x:row>
    <x:row r="4397" ht="21" customHeight="1">
      <x:c r="A4397" s="10" t="n">
        <x:v>5875</x:v>
      </x:c>
      <x:c r="B4397" s="2" t="str">
        <x:v>e59400e98419f57c41dc</x:v>
      </x:c>
      <x:c r="C4397" s="2" t="str">
        <x:v>Tp Hồ Chí Minh</x:v>
      </x:c>
      <x:c r="D4397" s="2" t="str">
        <x:v>Quận Thủ Đức</x:v>
      </x:c>
      <x:c r="E4397" s="2" t="str">
        <x:v>land</x:v>
      </x:c>
      <x:c r="F4397" s="2" t="str">
        <x:v>sale_assumed</x:v>
      </x:c>
      <x:c r="G4397" s="11" t="n">
        <x:v>80</x:v>
      </x:c>
      <x:c r="H4397" s="12" t="n">
        <x:v>6000000000</x:v>
      </x:c>
      <x:c r="I4397" s="12" t="n">
        <x:v>75000000</x:v>
      </x:c>
      <x:c r="J4397" s="2" t="str">
        <x:v>total</x:v>
      </x:c>
      <x:c r="K4397" s="2" t="str">
        <x:v>top_level_area</x:v>
      </x:c>
      <x:c r="L4397" s="2" t="str">
        <x:v>property_type_inferred_from_title;transaction_assumed_sale_from_dataset_context</x:v>
      </x:c>
      <x:c r="M4397" s="10" t="n">
        <x:v>0</x:v>
      </x:c>
      <x:c r="N4397" s="10" t="n">
        <x:v>0</x:v>
      </x:c>
      <x:c r="O4397" s="2" t="str">
        <x:v>Tp Hồ Chí Minh|land</x:v>
      </x:c>
      <x:c r="P4397" s="10" t="n">
        <x:v>2</x:v>
      </x:c>
      <x:c r="Q4397" s="13" t="n">
        <x:f>IF(H4397="","",H4397/1000000000)</x:f>
        <x:v>6</x:v>
      </x:c>
      <x:c r="R4397" s="13" t="n">
        <x:f>IF(I4397="","",I4397/1000000)</x:f>
        <x:v>75</x:v>
      </x:c>
    </x:row>
    <x:row r="4398" ht="21" customHeight="1">
      <x:c r="A4398" s="10" t="n">
        <x:v>5876</x:v>
      </x:c>
      <x:c r="B4398" s="2" t="str">
        <x:v>f7326e69e4eb26fbf3df</x:v>
      </x:c>
      <x:c r="C4398" s="2" t="str">
        <x:v>Đồng Tháp</x:v>
      </x:c>
      <x:c r="D4398" s="2" t="str">
        <x:v>Huyện Châu Thành</x:v>
      </x:c>
      <x:c r="E4398" s="2" t="str">
        <x:v>land</x:v>
      </x:c>
      <x:c r="F4398" s="2" t="str">
        <x:v>sale_assumed</x:v>
      </x:c>
      <x:c r="G4398" s="11" t="n">
        <x:v>1402</x:v>
      </x:c>
      <x:c r="H4398" s="12" t="n">
        <x:v>420000000</x:v>
      </x:c>
      <x:c r="I4398" s="12" t="n">
        <x:v>299572.03994293866</x:v>
      </x:c>
      <x:c r="J4398" s="2" t="str">
        <x:v>total</x:v>
      </x:c>
      <x:c r="K4398" s="2" t="str">
        <x:v>top_level_area</x:v>
      </x:c>
      <x:c r="L4398" s="2" t="str">
        <x:v>dot_thousands_convention;property_type_inferred_from_title;transaction_assumed_sale_from_dataset_context</x:v>
      </x:c>
      <x:c r="M4398" s="10" t="n">
        <x:v>0</x:v>
      </x:c>
      <x:c r="N4398" s="10" t="n">
        <x:v>0</x:v>
      </x:c>
      <x:c r="O4398" s="2" t="str">
        <x:v>land</x:v>
      </x:c>
      <x:c r="P4398" s="10" t="n">
        <x:v>1</x:v>
      </x:c>
      <x:c r="Q4398" s="13" t="n">
        <x:f>IF(H4398="","",H4398/1000000000)</x:f>
        <x:v>0.42</x:v>
      </x:c>
      <x:c r="R4398" s="13" t="n">
        <x:f>IF(I4398="","",I4398/1000000)</x:f>
        <x:v>0.2995720399429387</x:v>
      </x:c>
    </x:row>
    <x:row r="4399" ht="21" customHeight="1">
      <x:c r="A4399" s="10" t="n">
        <x:v>5877</x:v>
      </x:c>
      <x:c r="B4399" s="2" t="str">
        <x:v>4de359fd1e67e5160dbd</x:v>
      </x:c>
      <x:c r="C4399" s="2" t="str">
        <x:v>Tp Hồ Chí Minh</x:v>
      </x:c>
      <x:c r="D4399" s="2" t="str">
        <x:v>Huyện Nhà Bè</x:v>
      </x:c>
      <x:c r="E4399" s="2" t="str">
        <x:v>other_unknown</x:v>
      </x:c>
      <x:c r="F4399" s="2" t="str">
        <x:v>sale</x:v>
      </x:c>
      <x:c r="G4399" s="11" t="n">
        <x:v>80</x:v>
      </x:c>
      <x:c r="H4399" s="12" t="n">
        <x:v>2590000000</x:v>
      </x:c>
      <x:c r="I4399" s="12" t="n">
        <x:v>32375000</x:v>
      </x:c>
      <x:c r="J4399" s="2" t="str">
        <x:v>total</x:v>
      </x:c>
      <x:c r="K4399" s="2" t="str">
        <x:v>top_level_area</x:v>
      </x:c>
      <x:c r="L4399" s="2" t="str">
        <x:v>property_type_inferred_from_title;unknown_property_type</x:v>
      </x:c>
      <x:c r="M4399" s="10" t="n">
        <x:v>0</x:v>
      </x:c>
      <x:c r="N4399" s="10" t="n">
        <x:v>0</x:v>
      </x:c>
      <x:c r="O4399" s="2" t="str">
        <x:v>Tp Hồ Chí Minh|other_unknown</x:v>
      </x:c>
      <x:c r="P4399" s="10" t="n">
        <x:v>2</x:v>
      </x:c>
      <x:c r="Q4399" s="13" t="n">
        <x:f>IF(H4399="","",H4399/1000000000)</x:f>
        <x:v>2.59</x:v>
      </x:c>
      <x:c r="R4399" s="13" t="n">
        <x:f>IF(I4399="","",I4399/1000000)</x:f>
        <x:v>32.375</x:v>
      </x:c>
    </x:row>
    <x:row r="4400" ht="21" customHeight="1">
      <x:c r="A4400" s="10" t="n">
        <x:v>5878</x:v>
      </x:c>
      <x:c r="B4400" s="2" t="str">
        <x:v>b902f5d55ee08bcfe4d6</x:v>
      </x:c>
      <x:c r="C4400" s="2" t="str">
        <x:v>Tp Hồ Chí Minh</x:v>
      </x:c>
      <x:c r="D4400" s="2" t="str">
        <x:v>Quận Gò Vấp</x:v>
      </x:c>
      <x:c r="E4400" s="2" t="str">
        <x:v>house</x:v>
      </x:c>
      <x:c r="F4400" s="2" t="str">
        <x:v>sale_assumed</x:v>
      </x:c>
      <x:c r="G4400" s="11" t="n">
        <x:v>62</x:v>
      </x:c>
      <x:c r="H4400" s="12" t="n">
        <x:v>12999999999</x:v>
      </x:c>
      <x:c r="I4400" s="12" t="n">
        <x:v>209677419.33870968</x:v>
      </x:c>
      <x:c r="J4400" s="2" t="str">
        <x:v>total</x:v>
      </x:c>
      <x:c r="K4400" s="2" t="str">
        <x:v>top_level_price_embedded_area</x:v>
      </x:c>
      <x:c r="L4400" s="2" t="str">
        <x:v>area_recovered_from_price_text;property_type_inferred_from_title;transaction_assumed_sale_from_dataset_context</x:v>
      </x:c>
      <x:c r="M4400" s="10" t="n">
        <x:v>1</x:v>
      </x:c>
      <x:c r="N4400" s="10" t="n">
        <x:v>1</x:v>
      </x:c>
      <x:c r="O4400" s="2" t="str">
        <x:v>Tp Hồ Chí Minh|house</x:v>
      </x:c>
      <x:c r="P4400" s="10" t="n">
        <x:v>-1</x:v>
      </x:c>
      <x:c r="Q4400" s="13" t="n">
        <x:f>IF(H4400="","",H4400/1000000000)</x:f>
        <x:v>12.999999999</x:v>
      </x:c>
      <x:c r="R4400" s="13" t="n">
        <x:f>IF(I4400="","",I4400/1000000)</x:f>
        <x:v>209.67741933870968</x:v>
      </x:c>
    </x:row>
    <x:row r="4401" ht="21" customHeight="1">
      <x:c r="A4401" s="10" t="n">
        <x:v>5879</x:v>
      </x:c>
      <x:c r="B4401" s="2" t="str">
        <x:v>970d96ea4aafea632647</x:v>
      </x:c>
      <x:c r="C4401" s="2" t="str">
        <x:v>Khánh Hòa</x:v>
      </x:c>
      <x:c r="D4401" s="2" t="str">
        <x:v>Thành phố Nha Trang</x:v>
      </x:c>
      <x:c r="E4401" s="2" t="str">
        <x:v>other_unknown</x:v>
      </x:c>
      <x:c r="F4401" s="2" t="str">
        <x:v>sale_assumed</x:v>
      </x:c>
      <x:c r="G4401" s="11" t="n">
        <x:v>28</x:v>
      </x:c>
      <x:c r="H4401" s="12" t="n">
        <x:v>4500000000</x:v>
      </x:c>
      <x:c r="I4401" s="12" t="n">
        <x:v>160714285.7142857</x:v>
      </x:c>
      <x:c r="J4401" s="2" t="str">
        <x:v>total</x:v>
      </x:c>
      <x:c r="K4401" s="2" t="str">
        <x:v>top_level_area</x:v>
      </x:c>
      <x:c r="L4401" s="2" t="str">
        <x:v>property_type_inferred_from_title;transaction_assumed_sale_from_dataset_context;unknown_property_type</x:v>
      </x:c>
      <x:c r="M4401" s="10" t="n">
        <x:v>0</x:v>
      </x:c>
      <x:c r="N4401" s="10" t="n">
        <x:v>0</x:v>
      </x:c>
      <x:c r="O4401" s="2" t="str">
        <x:v>other_unknown</x:v>
      </x:c>
      <x:c r="P4401" s="10" t="n">
        <x:v>2</x:v>
      </x:c>
      <x:c r="Q4401" s="13" t="n">
        <x:f>IF(H4401="","",H4401/1000000000)</x:f>
        <x:v>4.5</x:v>
      </x:c>
      <x:c r="R4401" s="13" t="n">
        <x:f>IF(I4401="","",I4401/1000000)</x:f>
        <x:v>160.7142857142857</x:v>
      </x:c>
    </x:row>
    <x:row r="4402" ht="21" customHeight="1">
      <x:c r="A4402" s="10" t="n">
        <x:v>5880</x:v>
      </x:c>
      <x:c r="B4402" s="2" t="str">
        <x:v>526c0a3f5b66a1a5b559</x:v>
      </x:c>
      <x:c r="C4402" s="2" t="str">
        <x:v>Đắk Lắk</x:v>
      </x:c>
      <x:c r="D4402" s="2" t="str">
        <x:v>Thành phố Buôn Ma Thuột</x:v>
      </x:c>
      <x:c r="E4402" s="2" t="str">
        <x:v>land</x:v>
      </x:c>
      <x:c r="F4402" s="2" t="str">
        <x:v>sale</x:v>
      </x:c>
      <x:c r="G4402" s="11" t="n">
        <x:v>125</x:v>
      </x:c>
      <x:c r="H4402" s="12" t="n">
        <x:v>1350000000</x:v>
      </x:c>
      <x:c r="I4402" s="12" t="n">
        <x:v>10800000</x:v>
      </x:c>
      <x:c r="J4402" s="2" t="str">
        <x:v>total</x:v>
      </x:c>
      <x:c r="K4402" s="2" t="str">
        <x:v>top_level_area</x:v>
      </x:c>
      <x:c r="L4402" s="2" t="str">
        <x:v>property_type_inferred_from_title</x:v>
      </x:c>
      <x:c r="M4402" s="10" t="n">
        <x:v>0</x:v>
      </x:c>
      <x:c r="N4402" s="10" t="n">
        <x:v>0</x:v>
      </x:c>
      <x:c r="O4402" s="2" t="str">
        <x:v>Đắk Lắk|land</x:v>
      </x:c>
      <x:c r="P4402" s="10" t="n">
        <x:v>2</x:v>
      </x:c>
      <x:c r="Q4402" s="13" t="n">
        <x:f>IF(H4402="","",H4402/1000000000)</x:f>
        <x:v>1.35</x:v>
      </x:c>
      <x:c r="R4402" s="13" t="n">
        <x:f>IF(I4402="","",I4402/1000000)</x:f>
        <x:v>10.8</x:v>
      </x:c>
    </x:row>
    <x:row r="4403" ht="21" customHeight="1">
      <x:c r="A4403" s="10" t="n">
        <x:v>5881</x:v>
      </x:c>
      <x:c r="B4403" s="2" t="str">
        <x:v>b502ba29a741e8de4e2b</x:v>
      </x:c>
      <x:c r="C4403" s="2" t="str">
        <x:v>Tp Hồ Chí Minh</x:v>
      </x:c>
      <x:c r="D4403" s="2" t="str">
        <x:v>Quận Thủ Đức</x:v>
      </x:c>
      <x:c r="E4403" s="2" t="str">
        <x:v>house</x:v>
      </x:c>
      <x:c r="F4403" s="2" t="str">
        <x:v>sale_assumed</x:v>
      </x:c>
      <x:c r="G4403" s="11" t="n">
        <x:v>91</x:v>
      </x:c>
      <x:c r="H4403" s="12" t="n">
        <x:v>8700000000</x:v>
      </x:c>
      <x:c r="I4403" s="12" t="n">
        <x:v>95604395.6043956</x:v>
      </x:c>
      <x:c r="J4403" s="2" t="str">
        <x:v>total</x:v>
      </x:c>
      <x:c r="K4403" s="2" t="str">
        <x:v>top_level_area</x:v>
      </x:c>
      <x:c r="L4403" s="2" t="str">
        <x:v>property_type_inferred_from_title;transaction_assumed_sale_from_dataset_context</x:v>
      </x:c>
      <x:c r="M4403" s="10" t="n">
        <x:v>0</x:v>
      </x:c>
      <x:c r="N4403" s="10" t="n">
        <x:v>0</x:v>
      </x:c>
      <x:c r="O4403" s="2" t="str">
        <x:v>Tp Hồ Chí Minh|house</x:v>
      </x:c>
      <x:c r="P4403" s="10" t="n">
        <x:v>2</x:v>
      </x:c>
      <x:c r="Q4403" s="13" t="n">
        <x:f>IF(H4403="","",H4403/1000000000)</x:f>
        <x:v>8.7</x:v>
      </x:c>
      <x:c r="R4403" s="13" t="n">
        <x:f>IF(I4403="","",I4403/1000000)</x:f>
        <x:v>95.60439560439559</x:v>
      </x:c>
    </x:row>
    <x:row r="4404" ht="21" customHeight="1">
      <x:c r="A4404" s="10" t="n">
        <x:v>5882</x:v>
      </x:c>
      <x:c r="B4404" s="2" t="str">
        <x:v>802a71ad8b75b6dc3405</x:v>
      </x:c>
      <x:c r="C4404" s="2" t="str">
        <x:v>Tp Hồ Chí Minh</x:v>
      </x:c>
      <x:c r="D4404" s="2" t="str">
        <x:v>Huyện Hóc Môn</x:v>
      </x:c>
      <x:c r="E4404" s="2" t="str">
        <x:v>other_unknown</x:v>
      </x:c>
      <x:c r="F4404" s="2" t="str">
        <x:v>sale</x:v>
      </x:c>
      <x:c r="G4404" s="11" t="n">
        <x:v>100</x:v>
      </x:c>
      <x:c r="H4404" s="12" t="n">
        <x:v>460000000</x:v>
      </x:c>
      <x:c r="I4404" s="12" t="n">
        <x:v>4600000</x:v>
      </x:c>
      <x:c r="J4404" s="2" t="str">
        <x:v>total</x:v>
      </x:c>
      <x:c r="K4404" s="2" t="str">
        <x:v>top_level_area</x:v>
      </x:c>
      <x:c r="L4404" s="2" t="str">
        <x:v>property_type_inferred_from_title;unknown_property_type</x:v>
      </x:c>
      <x:c r="M4404" s="10" t="n">
        <x:v>0</x:v>
      </x:c>
      <x:c r="N4404" s="10" t="n">
        <x:v>0</x:v>
      </x:c>
      <x:c r="O4404" s="2" t="str">
        <x:v>Tp Hồ Chí Minh|other_unknown</x:v>
      </x:c>
      <x:c r="P4404" s="10" t="n">
        <x:v>2</x:v>
      </x:c>
      <x:c r="Q4404" s="13" t="n">
        <x:f>IF(H4404="","",H4404/1000000000)</x:f>
        <x:v>0.46</x:v>
      </x:c>
      <x:c r="R4404" s="13" t="n">
        <x:f>IF(I4404="","",I4404/1000000)</x:f>
        <x:v>4.6</x:v>
      </x:c>
    </x:row>
    <x:row r="4405" ht="21" customHeight="1">
      <x:c r="A4405" s="10" t="n">
        <x:v>5883</x:v>
      </x:c>
      <x:c r="B4405" s="2" t="str">
        <x:v>e22e7d1ba1b71a4e5f45</x:v>
      </x:c>
      <x:c r="C4405" s="2" t="str">
        <x:v>Cần Thơ</x:v>
      </x:c>
      <x:c r="D4405" s="2" t="str">
        <x:v>Quận Cái Răng</x:v>
      </x:c>
      <x:c r="E4405" s="2" t="str">
        <x:v>land</x:v>
      </x:c>
      <x:c r="F4405" s="2" t="str">
        <x:v>sale</x:v>
      </x:c>
      <x:c r="G4405" s="11" t="n">
        <x:v>95</x:v>
      </x:c>
      <x:c r="H4405" s="12" t="n">
        <x:v>1350000000</x:v>
      </x:c>
      <x:c r="I4405" s="12" t="n">
        <x:v>14210526.315789474</x:v>
      </x:c>
      <x:c r="J4405" s="2" t="str">
        <x:v>total</x:v>
      </x:c>
      <x:c r="K4405" s="2" t="str">
        <x:v>top_level_area</x:v>
      </x:c>
      <x:c r="L4405" s="2" t="str">
        <x:v>property_type_inferred_from_title</x:v>
      </x:c>
      <x:c r="M4405" s="10" t="n">
        <x:v>0</x:v>
      </x:c>
      <x:c r="N4405" s="10" t="n">
        <x:v>0</x:v>
      </x:c>
      <x:c r="O4405" s="2" t="str">
        <x:v>Cần Thơ|land</x:v>
      </x:c>
      <x:c r="P4405" s="10" t="n">
        <x:v>2</x:v>
      </x:c>
      <x:c r="Q4405" s="13" t="n">
        <x:f>IF(H4405="","",H4405/1000000000)</x:f>
        <x:v>1.35</x:v>
      </x:c>
      <x:c r="R4405" s="13" t="n">
        <x:f>IF(I4405="","",I4405/1000000)</x:f>
        <x:v>14.210526315789474</x:v>
      </x:c>
    </x:row>
    <x:row r="4406" ht="21" customHeight="1">
      <x:c r="A4406" s="10" t="n">
        <x:v>5884</x:v>
      </x:c>
      <x:c r="B4406" s="2" t="str">
        <x:v>5b9928835a9d2466e4da</x:v>
      </x:c>
      <x:c r="C4406" s="2" t="str">
        <x:v>Tp Hồ Chí Minh</x:v>
      </x:c>
      <x:c r="D4406" s="2" t="str">
        <x:v>Quận Thủ Đức</x:v>
      </x:c>
      <x:c r="E4406" s="2" t="str">
        <x:v>apartment</x:v>
      </x:c>
      <x:c r="F4406" s="2" t="str">
        <x:v>sale_assumed</x:v>
      </x:c>
      <x:c r="G4406" s="11" t="n">
        <x:v>59</x:v>
      </x:c>
      <x:c r="H4406" s="12" t="n">
        <x:v>1630000000</x:v>
      </x:c>
      <x:c r="I4406" s="12" t="n">
        <x:v>27627118.644067798</x:v>
      </x:c>
      <x:c r="J4406" s="2" t="str">
        <x:v>total</x:v>
      </x:c>
      <x:c r="K4406" s="2" t="str">
        <x:v>top_level_area</x:v>
      </x:c>
      <x:c r="L4406" s="2" t="str">
        <x:v>property_type_inferred_from_title;transaction_assumed_sale_from_dataset_context</x:v>
      </x:c>
      <x:c r="M4406" s="10" t="n">
        <x:v>0</x:v>
      </x:c>
      <x:c r="N4406" s="10" t="n">
        <x:v>0</x:v>
      </x:c>
      <x:c r="O4406" s="2" t="str">
        <x:v>Tp Hồ Chí Minh|apartment</x:v>
      </x:c>
      <x:c r="P4406" s="10" t="n">
        <x:v>2</x:v>
      </x:c>
      <x:c r="Q4406" s="13" t="n">
        <x:f>IF(H4406="","",H4406/1000000000)</x:f>
        <x:v>1.63</x:v>
      </x:c>
      <x:c r="R4406" s="13" t="n">
        <x:f>IF(I4406="","",I4406/1000000)</x:f>
        <x:v>27.6271186440678</x:v>
      </x:c>
    </x:row>
    <x:row r="4407" ht="21" customHeight="1">
      <x:c r="A4407" s="10" t="n">
        <x:v>5885</x:v>
      </x:c>
      <x:c r="B4407" s="2" t="str">
        <x:v>d2b4cca3a62c2f324b1b</x:v>
      </x:c>
      <x:c r="C4407" s="2" t="str">
        <x:v>Cần Thơ</x:v>
      </x:c>
      <x:c r="D4407" s="2" t="str">
        <x:v>Quận Ninh Kiều</x:v>
      </x:c>
      <x:c r="E4407" s="2" t="str">
        <x:v>house</x:v>
      </x:c>
      <x:c r="F4407" s="2" t="str">
        <x:v>sale_assumed</x:v>
      </x:c>
      <x:c r="G4407" s="11" t="n">
        <x:v>16</x:v>
      </x:c>
      <x:c r="H4407" s="12" t="n">
        <x:v>1270000000</x:v>
      </x:c>
      <x:c r="I4407" s="12" t="n">
        <x:v>79375000</x:v>
      </x:c>
      <x:c r="J4407" s="2" t="str">
        <x:v>total</x:v>
      </x:c>
      <x:c r="K4407" s="2" t="str">
        <x:v>top_level_area</x:v>
      </x:c>
      <x:c r="L4407" s="2" t="str">
        <x:v>property_type_inferred_from_title;transaction_assumed_sale_from_dataset_context</x:v>
      </x:c>
      <x:c r="M4407" s="10" t="n">
        <x:v>0</x:v>
      </x:c>
      <x:c r="N4407" s="10" t="n">
        <x:v>0</x:v>
      </x:c>
      <x:c r="O4407" s="2" t="str">
        <x:v>Cần Thơ|house</x:v>
      </x:c>
      <x:c r="P4407" s="10" t="n">
        <x:v>2</x:v>
      </x:c>
      <x:c r="Q4407" s="13" t="n">
        <x:f>IF(H4407="","",H4407/1000000000)</x:f>
        <x:v>1.27</x:v>
      </x:c>
      <x:c r="R4407" s="13" t="n">
        <x:f>IF(I4407="","",I4407/1000000)</x:f>
        <x:v>79.375</x:v>
      </x:c>
    </x:row>
    <x:row r="4408" ht="21" customHeight="1">
      <x:c r="A4408" s="10" t="n">
        <x:v>5886</x:v>
      </x:c>
      <x:c r="B4408" s="2" t="str">
        <x:v>1eb9b9e48cfcc0bf7324</x:v>
      </x:c>
      <x:c r="C4408" s="2" t="str">
        <x:v>Thừa Thiên Huế</x:v>
      </x:c>
      <x:c r="D4408" s="2" t="str">
        <x:v>Thành phố Huế</x:v>
      </x:c>
      <x:c r="E4408" s="2" t="str">
        <x:v>house</x:v>
      </x:c>
      <x:c r="F4408" s="2" t="str">
        <x:v>sale_assumed</x:v>
      </x:c>
      <x:c r="G4408" s="11" t="n">
        <x:v>142</x:v>
      </x:c>
      <x:c r="H4408" s="12" t="n">
        <x:v>1500000000</x:v>
      </x:c>
      <x:c r="I4408" s="12" t="n">
        <x:v>10563380.281690141</x:v>
      </x:c>
      <x:c r="J4408" s="2" t="str">
        <x:v>total</x:v>
      </x:c>
      <x:c r="K4408" s="2" t="str">
        <x:v>top_level_area</x:v>
      </x:c>
      <x:c r="L4408" s="2" t="str">
        <x:v>property_type_inferred_from_title;transaction_assumed_sale_from_dataset_context</x:v>
      </x:c>
      <x:c r="M4408" s="10" t="n">
        <x:v>0</x:v>
      </x:c>
      <x:c r="N4408" s="10" t="n">
        <x:v>0</x:v>
      </x:c>
      <x:c r="O4408" s="2" t="str">
        <x:v>house</x:v>
      </x:c>
      <x:c r="P4408" s="10" t="n">
        <x:v>2</x:v>
      </x:c>
      <x:c r="Q4408" s="13" t="n">
        <x:f>IF(H4408="","",H4408/1000000000)</x:f>
        <x:v>1.5</x:v>
      </x:c>
      <x:c r="R4408" s="13" t="n">
        <x:f>IF(I4408="","",I4408/1000000)</x:f>
        <x:v>10.563380281690142</x:v>
      </x:c>
    </x:row>
    <x:row r="4409" ht="21" customHeight="1">
      <x:c r="A4409" s="10" t="n">
        <x:v>5887</x:v>
      </x:c>
      <x:c r="B4409" s="2" t="str">
        <x:v>98f09f5327f73663099e</x:v>
      </x:c>
      <x:c r="C4409" s="2" t="str">
        <x:v>Thừa Thiên Huế</x:v>
      </x:c>
      <x:c r="D4409" s="2" t="str">
        <x:v>Huyện Phú Vang</x:v>
      </x:c>
      <x:c r="E4409" s="2" t="str">
        <x:v>land</x:v>
      </x:c>
      <x:c r="F4409" s="2" t="str">
        <x:v>sale</x:v>
      </x:c>
      <x:c r="G4409" s="11" t="n">
        <x:v>118</x:v>
      </x:c>
      <x:c r="H4409" s="12" t="n">
        <x:v>14200000</x:v>
      </x:c>
      <x:c r="I4409" s="12" t="n">
        <x:v>120338.98305084746</x:v>
      </x:c>
      <x:c r="J4409" s="2" t="str">
        <x:v>total</x:v>
      </x:c>
      <x:c r="K4409" s="2" t="str">
        <x:v>top_level_area</x:v>
      </x:c>
      <x:c r="L4409" s="2" t="str">
        <x:v>property_type_inferred_from_title</x:v>
      </x:c>
      <x:c r="M4409" s="10" t="n">
        <x:v>0</x:v>
      </x:c>
      <x:c r="N4409" s="10" t="n">
        <x:v>0</x:v>
      </x:c>
      <x:c r="O4409" s="2" t="str">
        <x:v>land</x:v>
      </x:c>
      <x:c r="P4409" s="10" t="n">
        <x:v>1</x:v>
      </x:c>
      <x:c r="Q4409" s="13" t="n">
        <x:f>IF(H4409="","",H4409/1000000000)</x:f>
        <x:v>0.0142</x:v>
      </x:c>
      <x:c r="R4409" s="13" t="n">
        <x:f>IF(I4409="","",I4409/1000000)</x:f>
        <x:v>0.12033898305084746</x:v>
      </x:c>
    </x:row>
    <x:row r="4410" ht="21" customHeight="1">
      <x:c r="A4410" s="10" t="n">
        <x:v>5888</x:v>
      </x:c>
      <x:c r="B4410" s="2" t="str">
        <x:v>ca38f11191ba9abf72ae</x:v>
      </x:c>
      <x:c r="C4410" s="2" t="str">
        <x:v>Tp Hồ Chí Minh</x:v>
      </x:c>
      <x:c r="D4410" s="2" t="str">
        <x:v>Huyện Nhà Bè</x:v>
      </x:c>
      <x:c r="E4410" s="2" t="str">
        <x:v>house</x:v>
      </x:c>
      <x:c r="F4410" s="2" t="str">
        <x:v>sale</x:v>
      </x:c>
      <x:c r="G4410" s="11" t="n">
        <x:v>33</x:v>
      </x:c>
      <x:c r="H4410" s="12" t="n">
        <x:v>1780000000</x:v>
      </x:c>
      <x:c r="I4410" s="12" t="n">
        <x:v>53939393.93939394</x:v>
      </x:c>
      <x:c r="J4410" s="2" t="str">
        <x:v>total</x:v>
      </x:c>
      <x:c r="K4410" s="2" t="str">
        <x:v>top_level_area</x:v>
      </x:c>
      <x:c r="L4410" s="2" t="str">
        <x:v>property_type_inferred_from_title</x:v>
      </x:c>
      <x:c r="M4410" s="10" t="n">
        <x:v>0</x:v>
      </x:c>
      <x:c r="N4410" s="10" t="n">
        <x:v>0</x:v>
      </x:c>
      <x:c r="O4410" s="2" t="str">
        <x:v>Tp Hồ Chí Minh|house</x:v>
      </x:c>
      <x:c r="P4410" s="10" t="n">
        <x:v>2</x:v>
      </x:c>
      <x:c r="Q4410" s="13" t="n">
        <x:f>IF(H4410="","",H4410/1000000000)</x:f>
        <x:v>1.78</x:v>
      </x:c>
      <x:c r="R4410" s="13" t="n">
        <x:f>IF(I4410="","",I4410/1000000)</x:f>
        <x:v>53.93939393939394</x:v>
      </x:c>
    </x:row>
    <x:row r="4411" ht="21" customHeight="1">
      <x:c r="A4411" s="10" t="n">
        <x:v>5889</x:v>
      </x:c>
      <x:c r="B4411" s="2" t="str">
        <x:v>fca5fae2cb18f865b94b</x:v>
      </x:c>
      <x:c r="C4411" s="2" t="str">
        <x:v>Tp Hồ Chí Minh</x:v>
      </x:c>
      <x:c r="D4411" s="2" t="str">
        <x:v>Quận Tân Phú</x:v>
      </x:c>
      <x:c r="E4411" s="2" t="str">
        <x:v>house</x:v>
      </x:c>
      <x:c r="F4411" s="2" t="str">
        <x:v>sale</x:v>
      </x:c>
      <x:c r="G4411" s="11" t="n">
        <x:v>80</x:v>
      </x:c>
      <x:c r="H4411" s="12" t="n">
        <x:v>6600000000</x:v>
      </x:c>
      <x:c r="I4411" s="12" t="n">
        <x:v>82500000</x:v>
      </x:c>
      <x:c r="J4411" s="2" t="str">
        <x:v>total</x:v>
      </x:c>
      <x:c r="K4411" s="2" t="str">
        <x:v>top_level_area</x:v>
      </x:c>
      <x:c r="L4411" s="2" t="str">
        <x:v>property_type_inferred_from_title</x:v>
      </x:c>
      <x:c r="M4411" s="10" t="n">
        <x:v>0</x:v>
      </x:c>
      <x:c r="N4411" s="10" t="n">
        <x:v>0</x:v>
      </x:c>
      <x:c r="O4411" s="2" t="str">
        <x:v>Tp Hồ Chí Minh|house</x:v>
      </x:c>
      <x:c r="P4411" s="10" t="n">
        <x:v>2</x:v>
      </x:c>
      <x:c r="Q4411" s="13" t="n">
        <x:f>IF(H4411="","",H4411/1000000000)</x:f>
        <x:v>6.6</x:v>
      </x:c>
      <x:c r="R4411" s="13" t="n">
        <x:f>IF(I4411="","",I4411/1000000)</x:f>
        <x:v>82.5</x:v>
      </x:c>
    </x:row>
    <x:row r="4412" ht="21" customHeight="1">
      <x:c r="A4412" s="10" t="n">
        <x:v>5890</x:v>
      </x:c>
      <x:c r="B4412" s="2" t="str">
        <x:v>2555279433df1a722781</x:v>
      </x:c>
      <x:c r="C4412" s="2" t="str">
        <x:v>Tp Hồ Chí Minh</x:v>
      </x:c>
      <x:c r="D4412" s="2" t="str">
        <x:v>Quận 10</x:v>
      </x:c>
      <x:c r="E4412" s="2" t="str">
        <x:v>house</x:v>
      </x:c>
      <x:c r="F4412" s="2" t="str">
        <x:v>sale</x:v>
      </x:c>
      <x:c r="G4412" s="11" t="n">
        <x:v>55</x:v>
      </x:c>
      <x:c r="H4412" s="12" t="n">
        <x:v>1450000000</x:v>
      </x:c>
      <x:c r="I4412" s="12" t="n">
        <x:v>26363636.363636363</x:v>
      </x:c>
      <x:c r="J4412" s="2" t="str">
        <x:v>total</x:v>
      </x:c>
      <x:c r="K4412" s="2" t="str">
        <x:v>top_level_price_embedded_area</x:v>
      </x:c>
      <x:c r="L4412" s="2" t="str">
        <x:v>area_recovered_from_price_text;property_type_inferred_from_title</x:v>
      </x:c>
      <x:c r="M4412" s="10" t="n">
        <x:v>0</x:v>
      </x:c>
      <x:c r="N4412" s="10" t="n">
        <x:v>0</x:v>
      </x:c>
      <x:c r="O4412" s="2" t="str">
        <x:v>Tp Hồ Chí Minh|house</x:v>
      </x:c>
      <x:c r="P4412" s="10" t="n">
        <x:v>2</x:v>
      </x:c>
      <x:c r="Q4412" s="13" t="n">
        <x:f>IF(H4412="","",H4412/1000000000)</x:f>
        <x:v>1.45</x:v>
      </x:c>
      <x:c r="R4412" s="13" t="n">
        <x:f>IF(I4412="","",I4412/1000000)</x:f>
        <x:v>26.363636363636363</x:v>
      </x:c>
    </x:row>
    <x:row r="4413" ht="21" customHeight="1">
      <x:c r="A4413" s="10" t="n">
        <x:v>5891</x:v>
      </x:c>
      <x:c r="B4413" s="2" t="str">
        <x:v>c3221f464ad662daedc2</x:v>
      </x:c>
      <x:c r="C4413" s="2" t="str">
        <x:v>Đà Nẵng</x:v>
      </x:c>
      <x:c r="D4413" s="2" t="str">
        <x:v>Quận Thanh Khê</x:v>
      </x:c>
      <x:c r="E4413" s="2" t="str">
        <x:v>house</x:v>
      </x:c>
      <x:c r="F4413" s="2" t="str">
        <x:v>sale</x:v>
      </x:c>
      <x:c r="G4413" s="11" t="n">
        <x:v>62</x:v>
      </x:c>
      <x:c r="H4413" s="12" t="n">
        <x:v>3400000000</x:v>
      </x:c>
      <x:c r="I4413" s="12" t="n">
        <x:v>54838709.67741936</x:v>
      </x:c>
      <x:c r="J4413" s="2" t="str">
        <x:v>total</x:v>
      </x:c>
      <x:c r="K4413" s="2" t="str">
        <x:v>top_level_area</x:v>
      </x:c>
      <x:c r="L4413" s="2" t="str">
        <x:v>property_type_inferred_from_title</x:v>
      </x:c>
      <x:c r="M4413" s="10" t="n">
        <x:v>0</x:v>
      </x:c>
      <x:c r="N4413" s="10" t="n">
        <x:v>0</x:v>
      </x:c>
      <x:c r="O4413" s="2" t="str">
        <x:v>Đà Nẵng|house</x:v>
      </x:c>
      <x:c r="P4413" s="10" t="n">
        <x:v>2</x:v>
      </x:c>
      <x:c r="Q4413" s="13" t="n">
        <x:f>IF(H4413="","",H4413/1000000000)</x:f>
        <x:v>3.4</x:v>
      </x:c>
      <x:c r="R4413" s="13" t="n">
        <x:f>IF(I4413="","",I4413/1000000)</x:f>
        <x:v>54.83870967741936</x:v>
      </x:c>
    </x:row>
    <x:row r="4414" ht="21" customHeight="1">
      <x:c r="A4414" s="10" t="n">
        <x:v>5892</x:v>
      </x:c>
      <x:c r="B4414" s="2" t="str">
        <x:v>bc9c492b68941b53de79</x:v>
      </x:c>
      <x:c r="C4414" s="2" t="str">
        <x:v>Trà Vinh</x:v>
      </x:c>
      <x:c r="D4414" s="2" t="str">
        <x:v>Thành phố Trà Vinh</x:v>
      </x:c>
      <x:c r="E4414" s="2" t="str">
        <x:v>land</x:v>
      </x:c>
      <x:c r="F4414" s="2" t="str">
        <x:v>sale_assumed</x:v>
      </x:c>
      <x:c r="G4414" s="11" t="n">
        <x:v>115</x:v>
      </x:c>
      <x:c r="H4414" s="12" t="n">
        <x:v>450000000</x:v>
      </x:c>
      <x:c r="I4414" s="12" t="n">
        <x:v>3913043.4782608696</x:v>
      </x:c>
      <x:c r="J4414" s="2" t="str">
        <x:v>total</x:v>
      </x:c>
      <x:c r="K4414" s="2" t="str">
        <x:v>top_level_area</x:v>
      </x:c>
      <x:c r="L4414" s="2" t="str">
        <x:v>property_type_inferred_from_title;transaction_assumed_sale_from_dataset_context</x:v>
      </x:c>
      <x:c r="M4414" s="10" t="n">
        <x:v>0</x:v>
      </x:c>
      <x:c r="N4414" s="10" t="n">
        <x:v>0</x:v>
      </x:c>
      <x:c r="O4414" s="2" t="str">
        <x:v>land</x:v>
      </x:c>
      <x:c r="P4414" s="10" t="n">
        <x:v>2</x:v>
      </x:c>
      <x:c r="Q4414" s="13" t="n">
        <x:f>IF(H4414="","",H4414/1000000000)</x:f>
        <x:v>0.45</x:v>
      </x:c>
      <x:c r="R4414" s="13" t="n">
        <x:f>IF(I4414="","",I4414/1000000)</x:f>
        <x:v>3.9130434782608696</x:v>
      </x:c>
    </x:row>
    <x:row r="4415" ht="21" customHeight="1">
      <x:c r="A4415" s="10" t="n">
        <x:v>5893</x:v>
      </x:c>
      <x:c r="B4415" s="2" t="str">
        <x:v>28aafc6ee1c0c85ecc91</x:v>
      </x:c>
      <x:c r="C4415" s="2" t="str">
        <x:v>Đà Nẵng</x:v>
      </x:c>
      <x:c r="D4415" s="2" t="str">
        <x:v>Quận Ngũ Hành Sơn</x:v>
      </x:c>
      <x:c r="E4415" s="2" t="str">
        <x:v>house</x:v>
      </x:c>
      <x:c r="F4415" s="2" t="str">
        <x:v>sale_assumed</x:v>
      </x:c>
      <x:c r="G4415" s="11" t="n">
        <x:v>100</x:v>
      </x:c>
      <x:c r="H4415" s="12" t="n">
        <x:v>8000000000</x:v>
      </x:c>
      <x:c r="I4415" s="12" t="n">
        <x:v>80000000</x:v>
      </x:c>
      <x:c r="J4415" s="2" t="str">
        <x:v>total</x:v>
      </x:c>
      <x:c r="K4415" s="2" t="str">
        <x:v>top_level_area</x:v>
      </x:c>
      <x:c r="L4415" s="2" t="str">
        <x:v>property_type_inferred_from_title;transaction_assumed_sale_from_dataset_context</x:v>
      </x:c>
      <x:c r="M4415" s="10" t="n">
        <x:v>0</x:v>
      </x:c>
      <x:c r="N4415" s="10" t="n">
        <x:v>0</x:v>
      </x:c>
      <x:c r="O4415" s="2" t="str">
        <x:v>Đà Nẵng|house</x:v>
      </x:c>
      <x:c r="P4415" s="10" t="n">
        <x:v>2</x:v>
      </x:c>
      <x:c r="Q4415" s="13" t="n">
        <x:f>IF(H4415="","",H4415/1000000000)</x:f>
        <x:v>8</x:v>
      </x:c>
      <x:c r="R4415" s="13" t="n">
        <x:f>IF(I4415="","",I4415/1000000)</x:f>
        <x:v>80</x:v>
      </x:c>
    </x:row>
    <x:row r="4416" ht="21" customHeight="1">
      <x:c r="A4416" s="10" t="n">
        <x:v>5896</x:v>
      </x:c>
      <x:c r="B4416" s="2" t="str">
        <x:v>2d4e39ac2a58ed76fcf8</x:v>
      </x:c>
      <x:c r="C4416" s="2" t="str">
        <x:v>Bình Dương</x:v>
      </x:c>
      <x:c r="D4416" s="2" t="str">
        <x:v>Thị xã Thuận An</x:v>
      </x:c>
      <x:c r="E4416" s="2" t="str">
        <x:v>house</x:v>
      </x:c>
      <x:c r="F4416" s="2" t="str">
        <x:v>sale_assumed</x:v>
      </x:c>
      <x:c r="G4416" s="11" t="n">
        <x:v>130</x:v>
      </x:c>
      <x:c r="H4416" s="12" t="n">
        <x:v>4490000000</x:v>
      </x:c>
      <x:c r="I4416" s="12" t="n">
        <x:v>34538461.538461536</x:v>
      </x:c>
      <x:c r="J4416" s="2" t="str">
        <x:v>total</x:v>
      </x:c>
      <x:c r="K4416" s="2" t="str">
        <x:v>top_level_area</x:v>
      </x:c>
      <x:c r="L4416" s="2" t="str">
        <x:v>property_type_inferred_from_title;transaction_assumed_sale_from_dataset_context</x:v>
      </x:c>
      <x:c r="M4416" s="10" t="n">
        <x:v>0</x:v>
      </x:c>
      <x:c r="N4416" s="10" t="n">
        <x:v>0</x:v>
      </x:c>
      <x:c r="O4416" s="2" t="str">
        <x:v>Bình Dương|house</x:v>
      </x:c>
      <x:c r="P4416" s="10" t="n">
        <x:v>2</x:v>
      </x:c>
      <x:c r="Q4416" s="13" t="n">
        <x:f>IF(H4416="","",H4416/1000000000)</x:f>
        <x:v>4.49</x:v>
      </x:c>
      <x:c r="R4416" s="13" t="n">
        <x:f>IF(I4416="","",I4416/1000000)</x:f>
        <x:v>34.53846153846153</x:v>
      </x:c>
    </x:row>
    <x:row r="4417" ht="21" customHeight="1">
      <x:c r="A4417" s="10" t="n">
        <x:v>5897</x:v>
      </x:c>
      <x:c r="B4417" s="2" t="str">
        <x:v>e8a90465ecbb8c83e9f0</x:v>
      </x:c>
      <x:c r="C4417" s="2" t="str">
        <x:v>Tp Hồ Chí Minh</x:v>
      </x:c>
      <x:c r="D4417" s="2" t="str">
        <x:v>Quận Bình Tân</x:v>
      </x:c>
      <x:c r="E4417" s="2" t="str">
        <x:v>house</x:v>
      </x:c>
      <x:c r="F4417" s="2" t="str">
        <x:v>sale_assumed</x:v>
      </x:c>
      <x:c r="G4417" s="11" t="n">
        <x:v>40</x:v>
      </x:c>
      <x:c r="H4417" s="12" t="n">
        <x:v>3300000000</x:v>
      </x:c>
      <x:c r="I4417" s="12" t="n">
        <x:v>82500000</x:v>
      </x:c>
      <x:c r="J4417" s="2" t="str">
        <x:v>total</x:v>
      </x:c>
      <x:c r="K4417" s="2" t="str">
        <x:v>top_level_area</x:v>
      </x:c>
      <x:c r="L4417" s="2" t="str">
        <x:v>property_type_inferred_from_title;transaction_assumed_sale_from_dataset_context</x:v>
      </x:c>
      <x:c r="M4417" s="10" t="n">
        <x:v>0</x:v>
      </x:c>
      <x:c r="N4417" s="10" t="n">
        <x:v>0</x:v>
      </x:c>
      <x:c r="O4417" s="2" t="str">
        <x:v>Tp Hồ Chí Minh|house</x:v>
      </x:c>
      <x:c r="P4417" s="10" t="n">
        <x:v>2</x:v>
      </x:c>
      <x:c r="Q4417" s="13" t="n">
        <x:f>IF(H4417="","",H4417/1000000000)</x:f>
        <x:v>3.3</x:v>
      </x:c>
      <x:c r="R4417" s="13" t="n">
        <x:f>IF(I4417="","",I4417/1000000)</x:f>
        <x:v>82.5</x:v>
      </x:c>
    </x:row>
    <x:row r="4418" ht="21" customHeight="1">
      <x:c r="A4418" s="10" t="n">
        <x:v>5898</x:v>
      </x:c>
      <x:c r="B4418" s="2" t="str">
        <x:v>6b01a2aaf9342d5bdd4d</x:v>
      </x:c>
      <x:c r="C4418" s="2" t="str">
        <x:v>Tp Hồ Chí Minh</x:v>
      </x:c>
      <x:c r="D4418" s="2" t="str">
        <x:v>Quận 9</x:v>
      </x:c>
      <x:c r="E4418" s="2" t="str">
        <x:v>house</x:v>
      </x:c>
      <x:c r="F4418" s="2" t="str">
        <x:v>sale_assumed</x:v>
      </x:c>
      <x:c r="G4418" s="11" t="n">
        <x:v>60</x:v>
      </x:c>
      <x:c r="H4418" s="12" t="n">
        <x:v>840000000</x:v>
      </x:c>
      <x:c r="I4418" s="12" t="n">
        <x:v>14000000</x:v>
      </x:c>
      <x:c r="J4418" s="2" t="str">
        <x:v>total</x:v>
      </x:c>
      <x:c r="K4418" s="2" t="str">
        <x:v>top_level_area</x:v>
      </x:c>
      <x:c r="L4418" s="2" t="str">
        <x:v>property_type_inferred_from_title;transaction_assumed_sale_from_dataset_context</x:v>
      </x:c>
      <x:c r="M4418" s="10" t="n">
        <x:v>0</x:v>
      </x:c>
      <x:c r="N4418" s="10" t="n">
        <x:v>0</x:v>
      </x:c>
      <x:c r="O4418" s="2" t="str">
        <x:v>Tp Hồ Chí Minh|house</x:v>
      </x:c>
      <x:c r="P4418" s="10" t="n">
        <x:v>2</x:v>
      </x:c>
      <x:c r="Q4418" s="13" t="n">
        <x:f>IF(H4418="","",H4418/1000000000)</x:f>
        <x:v>0.84</x:v>
      </x:c>
      <x:c r="R4418" s="13" t="n">
        <x:f>IF(I4418="","",I4418/1000000)</x:f>
        <x:v>14</x:v>
      </x:c>
    </x:row>
    <x:row r="4419" ht="21" customHeight="1">
      <x:c r="A4419" s="10" t="n">
        <x:v>5899</x:v>
      </x:c>
      <x:c r="B4419" s="2" t="str">
        <x:v>2c5c212006918ab9ca77</x:v>
      </x:c>
      <x:c r="C4419" s="2" t="str">
        <x:v>Đắk Lắk</x:v>
      </x:c>
      <x:c r="D4419" s="2" t="str">
        <x:v>Thành phố Buôn Ma Thuột</x:v>
      </x:c>
      <x:c r="E4419" s="2" t="str">
        <x:v>land</x:v>
      </x:c>
      <x:c r="F4419" s="2" t="str">
        <x:v>sale</x:v>
      </x:c>
      <x:c r="G4419" s="11" t="n">
        <x:v>80</x:v>
      </x:c>
      <x:c r="H4419" s="12" t="n">
        <x:v>1850000000</x:v>
      </x:c>
      <x:c r="I4419" s="12" t="n">
        <x:v>23125000</x:v>
      </x:c>
      <x:c r="J4419" s="2" t="str">
        <x:v>total</x:v>
      </x:c>
      <x:c r="K4419" s="2" t="str">
        <x:v>top_level_area</x:v>
      </x:c>
      <x:c r="L4419" s="2" t="str">
        <x:v>property_type_inferred_from_title</x:v>
      </x:c>
      <x:c r="M4419" s="10" t="n">
        <x:v>0</x:v>
      </x:c>
      <x:c r="N4419" s="10" t="n">
        <x:v>1</x:v>
      </x:c>
      <x:c r="O4419" s="2" t="str">
        <x:v>Đắk Lắk|land</x:v>
      </x:c>
      <x:c r="P4419" s="10" t="n">
        <x:v>-1</x:v>
      </x:c>
      <x:c r="Q4419" s="13" t="n">
        <x:f>IF(H4419="","",H4419/1000000000)</x:f>
        <x:v>1.85</x:v>
      </x:c>
      <x:c r="R4419" s="13" t="n">
        <x:f>IF(I4419="","",I4419/1000000)</x:f>
        <x:v>23.125</x:v>
      </x:c>
    </x:row>
    <x:row r="4420" ht="21" customHeight="1">
      <x:c r="A4420" s="10" t="n">
        <x:v>5900</x:v>
      </x:c>
      <x:c r="B4420" s="2" t="str">
        <x:v>ed2914b0bbec9e34c56a</x:v>
      </x:c>
      <x:c r="C4420" s="2" t="str">
        <x:v>Tp Hồ Chí Minh</x:v>
      </x:c>
      <x:c r="D4420" s="2" t="str">
        <x:v>Quận Bình Thạnh</x:v>
      </x:c>
      <x:c r="E4420" s="2" t="str">
        <x:v>other_unknown</x:v>
      </x:c>
      <x:c r="F4420" s="2" t="str">
        <x:v>sale_assumed</x:v>
      </x:c>
      <x:c r="G4420" s="11" t="n">
        <x:v>65</x:v>
      </x:c>
      <x:c r="H4420" s="12" t="n">
        <x:v>2700000000</x:v>
      </x:c>
      <x:c r="I4420" s="12" t="n">
        <x:v>41538461.538461536</x:v>
      </x:c>
      <x:c r="J4420" s="2" t="str">
        <x:v>total</x:v>
      </x:c>
      <x:c r="K4420" s="2" t="str">
        <x:v>top_level_area</x:v>
      </x:c>
      <x:c r="L4420" s="2" t="str">
        <x:v>property_type_inferred_from_title;transaction_assumed_sale_from_dataset_context;unknown_property_type</x:v>
      </x:c>
      <x:c r="M4420" s="10" t="n">
        <x:v>0</x:v>
      </x:c>
      <x:c r="N4420" s="10" t="n">
        <x:v>0</x:v>
      </x:c>
      <x:c r="O4420" s="2" t="str">
        <x:v>Tp Hồ Chí Minh|other_unknown</x:v>
      </x:c>
      <x:c r="P4420" s="10" t="n">
        <x:v>2</x:v>
      </x:c>
      <x:c r="Q4420" s="13" t="n">
        <x:f>IF(H4420="","",H4420/1000000000)</x:f>
        <x:v>2.7</x:v>
      </x:c>
      <x:c r="R4420" s="13" t="n">
        <x:f>IF(I4420="","",I4420/1000000)</x:f>
        <x:v>41.53846153846153</x:v>
      </x:c>
    </x:row>
    <x:row r="4421" ht="21" customHeight="1">
      <x:c r="A4421" s="10" t="n">
        <x:v>5901</x:v>
      </x:c>
      <x:c r="B4421" s="2" t="str">
        <x:v>8e4bfd348300abede2d2</x:v>
      </x:c>
      <x:c r="C4421" s="2" t="str">
        <x:v>Đà Nẵng</x:v>
      </x:c>
      <x:c r="D4421" s="2" t="str">
        <x:v>Quận Cẩm Lệ</x:v>
      </x:c>
      <x:c r="E4421" s="2" t="str">
        <x:v>land</x:v>
      </x:c>
      <x:c r="F4421" s="2" t="str">
        <x:v>sale_assumed</x:v>
      </x:c>
      <x:c r="G4421" s="11" t="n">
        <x:v>100</x:v>
      </x:c>
      <x:c r="H4421" s="12" t="n">
        <x:v>1100000000</x:v>
      </x:c>
      <x:c r="I4421" s="12" t="n">
        <x:v>11000000</x:v>
      </x:c>
      <x:c r="J4421" s="2" t="str">
        <x:v>total</x:v>
      </x:c>
      <x:c r="K4421" s="2" t="str">
        <x:v>top_level_area</x:v>
      </x:c>
      <x:c r="L4421" s="2" t="str">
        <x:v>property_type_inferred_from_title;transaction_assumed_sale_from_dataset_context</x:v>
      </x:c>
      <x:c r="M4421" s="10" t="n">
        <x:v>0</x:v>
      </x:c>
      <x:c r="N4421" s="10" t="n">
        <x:v>0</x:v>
      </x:c>
      <x:c r="O4421" s="2" t="str">
        <x:v>Đà Nẵng|land</x:v>
      </x:c>
      <x:c r="P4421" s="10" t="n">
        <x:v>2</x:v>
      </x:c>
      <x:c r="Q4421" s="13" t="n">
        <x:f>IF(H4421="","",H4421/1000000000)</x:f>
        <x:v>1.1</x:v>
      </x:c>
      <x:c r="R4421" s="13" t="n">
        <x:f>IF(I4421="","",I4421/1000000)</x:f>
        <x:v>11</x:v>
      </x:c>
    </x:row>
    <x:row r="4422" ht="21" customHeight="1">
      <x:c r="A4422" s="10" t="n">
        <x:v>5902</x:v>
      </x:c>
      <x:c r="B4422" s="2" t="str">
        <x:v>9c193808f64fc7cfeb0b</x:v>
      </x:c>
      <x:c r="C4422" s="2" t="str">
        <x:v>Hà Nội</x:v>
      </x:c>
      <x:c r="D4422" s="2" t="str">
        <x:v>Quận Hai Bà Trưng</x:v>
      </x:c>
      <x:c r="E4422" s="2" t="str">
        <x:v>house</x:v>
      </x:c>
      <x:c r="F4422" s="2" t="str">
        <x:v>sale</x:v>
      </x:c>
      <x:c r="G4422" s="11" t="n">
        <x:v>58</x:v>
      </x:c>
      <x:c r="H4422" s="12" t="n">
        <x:v>5100000000</x:v>
      </x:c>
      <x:c r="I4422" s="12" t="n">
        <x:v>87931034.48275863</x:v>
      </x:c>
      <x:c r="J4422" s="2" t="str">
        <x:v>total</x:v>
      </x:c>
      <x:c r="K4422" s="2" t="str">
        <x:v>top_level_area</x:v>
      </x:c>
      <x:c r="L4422" s="2" t="str">
        <x:v>property_type_inferred_from_title</x:v>
      </x:c>
      <x:c r="M4422" s="10" t="n">
        <x:v>0</x:v>
      </x:c>
      <x:c r="N4422" s="10" t="n">
        <x:v>0</x:v>
      </x:c>
      <x:c r="O4422" s="2" t="str">
        <x:v>Hà Nội|house</x:v>
      </x:c>
      <x:c r="P4422" s="10" t="n">
        <x:v>2</x:v>
      </x:c>
      <x:c r="Q4422" s="13" t="n">
        <x:f>IF(H4422="","",H4422/1000000000)</x:f>
        <x:v>5.1</x:v>
      </x:c>
      <x:c r="R4422" s="13" t="n">
        <x:f>IF(I4422="","",I4422/1000000)</x:f>
        <x:v>87.93103448275863</x:v>
      </x:c>
    </x:row>
    <x:row r="4423" ht="21" customHeight="1">
      <x:c r="A4423" s="10" t="n">
        <x:v>5903</x:v>
      </x:c>
      <x:c r="B4423" s="2" t="str">
        <x:v>41be68e7c6cbfed8a1b8</x:v>
      </x:c>
      <x:c r="C4423" s="2" t="str">
        <x:v>Khánh Hòa</x:v>
      </x:c>
      <x:c r="D4423" s="2" t="str">
        <x:v>Thành phố Nha Trang</x:v>
      </x:c>
      <x:c r="E4423" s="2" t="str">
        <x:v>apartment</x:v>
      </x:c>
      <x:c r="F4423" s="2" t="str">
        <x:v>sale</x:v>
      </x:c>
      <x:c r="G4423" s="11" t="n">
        <x:v>70.56</x:v>
      </x:c>
      <x:c r="H4423" s="12" t="n">
        <x:v>1250000000</x:v>
      </x:c>
      <x:c r="I4423" s="12" t="n">
        <x:v>17715419.501133785</x:v>
      </x:c>
      <x:c r="J4423" s="2" t="str">
        <x:v>total</x:v>
      </x:c>
      <x:c r="K4423" s="2" t="str">
        <x:v>top_level_area</x:v>
      </x:c>
      <x:c r="L4423" s="2" t="str">
        <x:v>property_type_inferred_from_title</x:v>
      </x:c>
      <x:c r="M4423" s="10" t="n">
        <x:v>0</x:v>
      </x:c>
      <x:c r="N4423" s="10" t="n">
        <x:v>0</x:v>
      </x:c>
      <x:c r="O4423" s="2" t="str">
        <x:v>apartment</x:v>
      </x:c>
      <x:c r="P4423" s="10" t="n">
        <x:v>2</x:v>
      </x:c>
      <x:c r="Q4423" s="13" t="n">
        <x:f>IF(H4423="","",H4423/1000000000)</x:f>
        <x:v>1.25</x:v>
      </x:c>
      <x:c r="R4423" s="13" t="n">
        <x:f>IF(I4423="","",I4423/1000000)</x:f>
        <x:v>17.715419501133784</x:v>
      </x:c>
    </x:row>
    <x:row r="4424" ht="21" customHeight="1">
      <x:c r="A4424" s="10" t="n">
        <x:v>5904</x:v>
      </x:c>
      <x:c r="B4424" s="2" t="str">
        <x:v>e116a28ce8dc3fb87d63</x:v>
      </x:c>
      <x:c r="C4424" s="2" t="str">
        <x:v>Tp Hồ Chí Minh</x:v>
      </x:c>
      <x:c r="D4424" s="2" t="str">
        <x:v>Huyện Hóc Môn</x:v>
      </x:c>
      <x:c r="E4424" s="2" t="str">
        <x:v>other_unknown</x:v>
      </x:c>
      <x:c r="F4424" s="2" t="str">
        <x:v>sale</x:v>
      </x:c>
      <x:c r="G4424" s="11" t="n">
        <x:v>120</x:v>
      </x:c>
      <x:c r="H4424" s="12" t="n">
        <x:v>520000000</x:v>
      </x:c>
      <x:c r="I4424" s="12" t="n">
        <x:v>4333333.333333333</x:v>
      </x:c>
      <x:c r="J4424" s="2" t="str">
        <x:v>total</x:v>
      </x:c>
      <x:c r="K4424" s="2" t="str">
        <x:v>top_level_area</x:v>
      </x:c>
      <x:c r="L4424" s="2" t="str">
        <x:v>property_type_inferred_from_title;unknown_property_type</x:v>
      </x:c>
      <x:c r="M4424" s="10" t="n">
        <x:v>0</x:v>
      </x:c>
      <x:c r="N4424" s="10" t="n">
        <x:v>0</x:v>
      </x:c>
      <x:c r="O4424" s="2" t="str">
        <x:v>Tp Hồ Chí Minh|other_unknown</x:v>
      </x:c>
      <x:c r="P4424" s="10" t="n">
        <x:v>2</x:v>
      </x:c>
      <x:c r="Q4424" s="13" t="n">
        <x:f>IF(H4424="","",H4424/1000000000)</x:f>
        <x:v>0.52</x:v>
      </x:c>
      <x:c r="R4424" s="13" t="n">
        <x:f>IF(I4424="","",I4424/1000000)</x:f>
        <x:v>4.333333333333333</x:v>
      </x:c>
    </x:row>
    <x:row r="4425" ht="21" customHeight="1">
      <x:c r="A4425" s="10" t="n">
        <x:v>5905</x:v>
      </x:c>
      <x:c r="B4425" s="2" t="str">
        <x:v>7b57e94297befdf8848f</x:v>
      </x:c>
      <x:c r="C4425" s="2" t="str">
        <x:v>Tp Hồ Chí Minh</x:v>
      </x:c>
      <x:c r="D4425" s="2" t="str">
        <x:v>Quận 8</x:v>
      </x:c>
      <x:c r="E4425" s="2" t="str">
        <x:v>apartment</x:v>
      </x:c>
      <x:c r="F4425" s="2" t="str">
        <x:v>sale_assumed</x:v>
      </x:c>
      <x:c r="G4425" s="11" t="n">
        <x:v>51</x:v>
      </x:c>
      <x:c r="H4425" s="12" t="n">
        <x:v>2850000000</x:v>
      </x:c>
      <x:c r="I4425" s="12" t="n">
        <x:v>55882352.941176474</x:v>
      </x:c>
      <x:c r="J4425" s="2" t="str">
        <x:v>total</x:v>
      </x:c>
      <x:c r="K4425" s="2" t="str">
        <x:v>top_level_area</x:v>
      </x:c>
      <x:c r="L4425" s="2" t="str">
        <x:v>property_type_inferred_from_title;transaction_assumed_sale_from_dataset_context</x:v>
      </x:c>
      <x:c r="M4425" s="10" t="n">
        <x:v>0</x:v>
      </x:c>
      <x:c r="N4425" s="10" t="n">
        <x:v>0</x:v>
      </x:c>
      <x:c r="O4425" s="2" t="str">
        <x:v>Tp Hồ Chí Minh|apartment</x:v>
      </x:c>
      <x:c r="P4425" s="10" t="n">
        <x:v>2</x:v>
      </x:c>
      <x:c r="Q4425" s="13" t="n">
        <x:f>IF(H4425="","",H4425/1000000000)</x:f>
        <x:v>2.85</x:v>
      </x:c>
      <x:c r="R4425" s="13" t="n">
        <x:f>IF(I4425="","",I4425/1000000)</x:f>
        <x:v>55.88235294117647</x:v>
      </x:c>
    </x:row>
    <x:row r="4426" ht="21" customHeight="1">
      <x:c r="A4426" s="10" t="n">
        <x:v>5906</x:v>
      </x:c>
      <x:c r="B4426" s="2" t="str">
        <x:v>25a90500f1775c59231c</x:v>
      </x:c>
      <x:c r="C4426" s="2" t="str">
        <x:v>Bình Dương</x:v>
      </x:c>
      <x:c r="D4426" s="2" t="str">
        <x:v>Huyện Phú Giáo</x:v>
      </x:c>
      <x:c r="E4426" s="2" t="str">
        <x:v>land</x:v>
      </x:c>
      <x:c r="F4426" s="2" t="str">
        <x:v>sale_assumed</x:v>
      </x:c>
      <x:c r="G4426" s="11" t="n">
        <x:v>1023</x:v>
      </x:c>
      <x:c r="H4426" s="12" t="n">
        <x:v>350000000</x:v>
      </x:c>
      <x:c r="I4426" s="12" t="n">
        <x:v>342130.9872922776</x:v>
      </x:c>
      <x:c r="J4426" s="2" t="str">
        <x:v>total</x:v>
      </x:c>
      <x:c r="K4426" s="2" t="str">
        <x:v>top_level_area</x:v>
      </x:c>
      <x:c r="L4426" s="2" t="str">
        <x:v>dot_thousands_convention;property_type_inferred_from_title;transaction_assumed_sale_from_dataset_context</x:v>
      </x:c>
      <x:c r="M4426" s="10" t="n">
        <x:v>0</x:v>
      </x:c>
      <x:c r="N4426" s="10" t="n">
        <x:v>0</x:v>
      </x:c>
      <x:c r="O4426" s="2" t="str">
        <x:v>Bình Dương|land</x:v>
      </x:c>
      <x:c r="P4426" s="10" t="n">
        <x:v>1</x:v>
      </x:c>
      <x:c r="Q4426" s="13" t="n">
        <x:f>IF(H4426="","",H4426/1000000000)</x:f>
        <x:v>0.35</x:v>
      </x:c>
      <x:c r="R4426" s="13" t="n">
        <x:f>IF(I4426="","",I4426/1000000)</x:f>
        <x:v>0.34213098729227764</x:v>
      </x:c>
    </x:row>
    <x:row r="4427" ht="21" customHeight="1">
      <x:c r="A4427" s="10" t="n">
        <x:v>5907</x:v>
      </x:c>
      <x:c r="B4427" s="2" t="str">
        <x:v>8a367da5ea62a6410726</x:v>
      </x:c>
      <x:c r="C4427" s="2" t="str">
        <x:v>Hà Nội</x:v>
      </x:c>
      <x:c r="D4427" s="2" t="str">
        <x:v>Quận Tây Hồ</x:v>
      </x:c>
      <x:c r="E4427" s="2" t="str">
        <x:v>other_unknown</x:v>
      </x:c>
      <x:c r="F4427" s="2" t="str">
        <x:v>sale_assumed</x:v>
      </x:c>
      <x:c r="G4427" s="11" t="n">
        <x:v>55</x:v>
      </x:c>
      <x:c r="H4427" s="12" t="n">
        <x:v>6200000000</x:v>
      </x:c>
      <x:c r="I4427" s="12" t="n">
        <x:v>112727272.72727273</x:v>
      </x:c>
      <x:c r="J4427" s="2" t="str">
        <x:v>total</x:v>
      </x:c>
      <x:c r="K4427" s="2" t="str">
        <x:v>top_level_price_embedded_area</x:v>
      </x:c>
      <x:c r="L4427" s="2" t="str">
        <x:v>area_recovered_from_price_text;property_type_inferred_from_title;transaction_assumed_sale_from_dataset_context;unknown_property_type</x:v>
      </x:c>
      <x:c r="M4427" s="10" t="n">
        <x:v>0</x:v>
      </x:c>
      <x:c r="N4427" s="10" t="n">
        <x:v>0</x:v>
      </x:c>
      <x:c r="O4427" s="2" t="str">
        <x:v>Hà Nội|other_unknown</x:v>
      </x:c>
      <x:c r="P4427" s="10" t="n">
        <x:v>2</x:v>
      </x:c>
      <x:c r="Q4427" s="13" t="n">
        <x:f>IF(H4427="","",H4427/1000000000)</x:f>
        <x:v>6.2</x:v>
      </x:c>
      <x:c r="R4427" s="13" t="n">
        <x:f>IF(I4427="","",I4427/1000000)</x:f>
        <x:v>112.72727272727273</x:v>
      </x:c>
    </x:row>
    <x:row r="4428" ht="21" customHeight="1">
      <x:c r="A4428" s="10" t="n">
        <x:v>5908</x:v>
      </x:c>
      <x:c r="B4428" s="2" t="str">
        <x:v>10c600b28f0c645f0ddc</x:v>
      </x:c>
      <x:c r="C4428" s="2" t="str">
        <x:v>Tp Hồ Chí Minh</x:v>
      </x:c>
      <x:c r="D4428" s="2" t="str">
        <x:v>Quận Gò Vấp</x:v>
      </x:c>
      <x:c r="E4428" s="2" t="str">
        <x:v>house</x:v>
      </x:c>
      <x:c r="F4428" s="2" t="str">
        <x:v>sale_assumed</x:v>
      </x:c>
      <x:c r="G4428" s="11" t="n">
        <x:v>41.2</x:v>
      </x:c>
      <x:c r="H4428" s="12" t="n">
        <x:v>3950000000</x:v>
      </x:c>
      <x:c r="I4428" s="12" t="n">
        <x:v>95873786.40776698</x:v>
      </x:c>
      <x:c r="J4428" s="2" t="str">
        <x:v>total</x:v>
      </x:c>
      <x:c r="K4428" s="2" t="str">
        <x:v>top_level_area</x:v>
      </x:c>
      <x:c r="L4428" s="2" t="str">
        <x:v>property_type_inferred_from_title;transaction_assumed_sale_from_dataset_context</x:v>
      </x:c>
      <x:c r="M4428" s="10" t="n">
        <x:v>0</x:v>
      </x:c>
      <x:c r="N4428" s="10" t="n">
        <x:v>0</x:v>
      </x:c>
      <x:c r="O4428" s="2" t="str">
        <x:v>Tp Hồ Chí Minh|house</x:v>
      </x:c>
      <x:c r="P4428" s="10" t="n">
        <x:v>2</x:v>
      </x:c>
      <x:c r="Q4428" s="13" t="n">
        <x:f>IF(H4428="","",H4428/1000000000)</x:f>
        <x:v>3.95</x:v>
      </x:c>
      <x:c r="R4428" s="13" t="n">
        <x:f>IF(I4428="","",I4428/1000000)</x:f>
        <x:v>95.87378640776699</x:v>
      </x:c>
    </x:row>
    <x:row r="4429" ht="21" customHeight="1">
      <x:c r="A4429" s="10" t="n">
        <x:v>5909</x:v>
      </x:c>
      <x:c r="B4429" s="2" t="str">
        <x:v>44436d9b4609b6fbb182</x:v>
      </x:c>
      <x:c r="C4429" s="2" t="str">
        <x:v>Tp Hồ Chí Minh</x:v>
      </x:c>
      <x:c r="D4429" s="2" t="str">
        <x:v>Quận 12</x:v>
      </x:c>
      <x:c r="E4429" s="2" t="str">
        <x:v>apartment</x:v>
      </x:c>
      <x:c r="F4429" s="2" t="str">
        <x:v>sale_assumed</x:v>
      </x:c>
      <x:c r="G4429" s="11" t="n">
        <x:v>69</x:v>
      </x:c>
      <x:c r="H4429" s="12" t="n">
        <x:v>1600000000</x:v>
      </x:c>
      <x:c r="I4429" s="12" t="n">
        <x:v>23188405.79710145</x:v>
      </x:c>
      <x:c r="J4429" s="2" t="str">
        <x:v>total</x:v>
      </x:c>
      <x:c r="K4429" s="2" t="str">
        <x:v>top_level_area</x:v>
      </x:c>
      <x:c r="L4429" s="2" t="str">
        <x:v>property_type_inferred_from_title;transaction_assumed_sale_from_dataset_context</x:v>
      </x:c>
      <x:c r="M4429" s="10" t="n">
        <x:v>0</x:v>
      </x:c>
      <x:c r="N4429" s="10" t="n">
        <x:v>0</x:v>
      </x:c>
      <x:c r="O4429" s="2" t="str">
        <x:v>Tp Hồ Chí Minh|apartment</x:v>
      </x:c>
      <x:c r="P4429" s="10" t="n">
        <x:v>2</x:v>
      </x:c>
      <x:c r="Q4429" s="13" t="n">
        <x:f>IF(H4429="","",H4429/1000000000)</x:f>
        <x:v>1.6</x:v>
      </x:c>
      <x:c r="R4429" s="13" t="n">
        <x:f>IF(I4429="","",I4429/1000000)</x:f>
        <x:v>23.18840579710145</x:v>
      </x:c>
    </x:row>
    <x:row r="4430" ht="21" customHeight="1">
      <x:c r="A4430" s="10" t="n">
        <x:v>5910</x:v>
      </x:c>
      <x:c r="B4430" s="2" t="str">
        <x:v>c22c8c6b8b275d59a261</x:v>
      </x:c>
      <x:c r="C4430" s="2" t="str">
        <x:v>Tp Hồ Chí Minh</x:v>
      </x:c>
      <x:c r="D4430" s="2" t="str">
        <x:v>Quận 12</x:v>
      </x:c>
      <x:c r="E4430" s="2" t="str">
        <x:v>house</x:v>
      </x:c>
      <x:c r="F4430" s="2" t="str">
        <x:v>sale</x:v>
      </x:c>
      <x:c r="G4430" s="11" t="n">
        <x:v>52</x:v>
      </x:c>
      <x:c r="H4430" s="12" t="n">
        <x:v>3000000000</x:v>
      </x:c>
      <x:c r="I4430" s="12" t="n">
        <x:v>57692307.692307696</x:v>
      </x:c>
      <x:c r="J4430" s="2" t="str">
        <x:v>total</x:v>
      </x:c>
      <x:c r="K4430" s="2" t="str">
        <x:v>top_level_area</x:v>
      </x:c>
      <x:c r="L4430" s="2" t="str">
        <x:v>property_type_inferred_from_title</x:v>
      </x:c>
      <x:c r="M4430" s="10" t="n">
        <x:v>0</x:v>
      </x:c>
      <x:c r="N4430" s="10" t="n">
        <x:v>0</x:v>
      </x:c>
      <x:c r="O4430" s="2" t="str">
        <x:v>Tp Hồ Chí Minh|house</x:v>
      </x:c>
      <x:c r="P4430" s="10" t="n">
        <x:v>2</x:v>
      </x:c>
      <x:c r="Q4430" s="13" t="n">
        <x:f>IF(H4430="","",H4430/1000000000)</x:f>
        <x:v>3</x:v>
      </x:c>
      <x:c r="R4430" s="13" t="n">
        <x:f>IF(I4430="","",I4430/1000000)</x:f>
        <x:v>57.69230769230769</x:v>
      </x:c>
    </x:row>
    <x:row r="4431" ht="21" customHeight="1">
      <x:c r="A4431" s="10" t="n">
        <x:v>5911</x:v>
      </x:c>
      <x:c r="B4431" s="2" t="str">
        <x:v>34bead301aaf28717466</x:v>
      </x:c>
      <x:c r="C4431" s="2" t="str">
        <x:v>Tp Hồ Chí Minh</x:v>
      </x:c>
      <x:c r="D4431" s="2" t="str">
        <x:v>Quận Thủ Đức</x:v>
      </x:c>
      <x:c r="E4431" s="2" t="str">
        <x:v>house</x:v>
      </x:c>
      <x:c r="F4431" s="2" t="str">
        <x:v>sale_assumed</x:v>
      </x:c>
      <x:c r="G4431" s="11" t="n">
        <x:v>44</x:v>
      </x:c>
      <x:c r="H4431" s="12" t="n">
        <x:v>1520000000</x:v>
      </x:c>
      <x:c r="I4431" s="12" t="n">
        <x:v>34545454.54545455</x:v>
      </x:c>
      <x:c r="J4431" s="2" t="str">
        <x:v>total</x:v>
      </x:c>
      <x:c r="K4431" s="2" t="str">
        <x:v>top_level_area</x:v>
      </x:c>
      <x:c r="L4431" s="2" t="str">
        <x:v>property_type_inferred_from_title;transaction_assumed_sale_from_dataset_context</x:v>
      </x:c>
      <x:c r="M4431" s="10" t="n">
        <x:v>0</x:v>
      </x:c>
      <x:c r="N4431" s="10" t="n">
        <x:v>0</x:v>
      </x:c>
      <x:c r="O4431" s="2" t="str">
        <x:v>Tp Hồ Chí Minh|house</x:v>
      </x:c>
      <x:c r="P4431" s="10" t="n">
        <x:v>2</x:v>
      </x:c>
      <x:c r="Q4431" s="13" t="n">
        <x:f>IF(H4431="","",H4431/1000000000)</x:f>
        <x:v>1.52</x:v>
      </x:c>
      <x:c r="R4431" s="13" t="n">
        <x:f>IF(I4431="","",I4431/1000000)</x:f>
        <x:v>34.54545454545455</x:v>
      </x:c>
    </x:row>
    <x:row r="4432" ht="21" customHeight="1">
      <x:c r="A4432" s="10" t="n">
        <x:v>5912</x:v>
      </x:c>
      <x:c r="B4432" s="2" t="str">
        <x:v>6fe08a1d5463966d56e3</x:v>
      </x:c>
      <x:c r="C4432" s="2" t="str">
        <x:v>Tp Hồ Chí Minh</x:v>
      </x:c>
      <x:c r="D4432" s="2" t="str">
        <x:v>Huyện Củ Chi</x:v>
      </x:c>
      <x:c r="E4432" s="2" t="str">
        <x:v>land</x:v>
      </x:c>
      <x:c r="F4432" s="2" t="str">
        <x:v>sale</x:v>
      </x:c>
      <x:c r="G4432" s="11" t="n">
        <x:v>100</x:v>
      </x:c>
      <x:c r="H4432" s="12" t="n">
        <x:v>1520000000</x:v>
      </x:c>
      <x:c r="I4432" s="12" t="n">
        <x:v>15200000</x:v>
      </x:c>
      <x:c r="J4432" s="2" t="str">
        <x:v>total</x:v>
      </x:c>
      <x:c r="K4432" s="2" t="str">
        <x:v>top_level_area</x:v>
      </x:c>
      <x:c r="L4432" s="2" t="str">
        <x:v>property_type_inferred_from_title</x:v>
      </x:c>
      <x:c r="M4432" s="10" t="n">
        <x:v>0</x:v>
      </x:c>
      <x:c r="N4432" s="10" t="n">
        <x:v>0</x:v>
      </x:c>
      <x:c r="O4432" s="2" t="str">
        <x:v>Tp Hồ Chí Minh|land</x:v>
      </x:c>
      <x:c r="P4432" s="10" t="n">
        <x:v>2</x:v>
      </x:c>
      <x:c r="Q4432" s="13" t="n">
        <x:f>IF(H4432="","",H4432/1000000000)</x:f>
        <x:v>1.52</x:v>
      </x:c>
      <x:c r="R4432" s="13" t="n">
        <x:f>IF(I4432="","",I4432/1000000)</x:f>
        <x:v>15.2</x:v>
      </x:c>
    </x:row>
    <x:row r="4433" ht="21" customHeight="1">
      <x:c r="A4433" s="10" t="n">
        <x:v>5913</x:v>
      </x:c>
      <x:c r="B4433" s="2" t="str">
        <x:v>ea36b37ca32fea49bc28</x:v>
      </x:c>
      <x:c r="C4433" s="2" t="str">
        <x:v>Hà Nội</x:v>
      </x:c>
      <x:c r="D4433" s="2" t="str">
        <x:v>Quận Ba Đình</x:v>
      </x:c>
      <x:c r="E4433" s="2" t="str">
        <x:v>house</x:v>
      </x:c>
      <x:c r="F4433" s="2" t="str">
        <x:v>sale</x:v>
      </x:c>
      <x:c r="G4433" s="11" t="n">
        <x:v>30</x:v>
      </x:c>
      <x:c r="H4433" s="12" t="n">
        <x:v>2600000000</x:v>
      </x:c>
      <x:c r="I4433" s="12" t="n">
        <x:v>86666666.66666667</x:v>
      </x:c>
      <x:c r="J4433" s="2" t="str">
        <x:v>total</x:v>
      </x:c>
      <x:c r="K4433" s="2" t="str">
        <x:v>top_level_area</x:v>
      </x:c>
      <x:c r="L4433" s="2" t="str">
        <x:v>property_type_inferred_from_title</x:v>
      </x:c>
      <x:c r="M4433" s="10" t="n">
        <x:v>0</x:v>
      </x:c>
      <x:c r="N4433" s="10" t="n">
        <x:v>0</x:v>
      </x:c>
      <x:c r="O4433" s="2" t="str">
        <x:v>Hà Nội|house</x:v>
      </x:c>
      <x:c r="P4433" s="10" t="n">
        <x:v>2</x:v>
      </x:c>
      <x:c r="Q4433" s="13" t="n">
        <x:f>IF(H4433="","",H4433/1000000000)</x:f>
        <x:v>2.6</x:v>
      </x:c>
      <x:c r="R4433" s="13" t="n">
        <x:f>IF(I4433="","",I4433/1000000)</x:f>
        <x:v>86.66666666666667</x:v>
      </x:c>
    </x:row>
    <x:row r="4434" ht="21" customHeight="1">
      <x:c r="A4434" s="10" t="n">
        <x:v>5914</x:v>
      </x:c>
      <x:c r="B4434" s="2" t="str">
        <x:v>c863de17640b68879137</x:v>
      </x:c>
      <x:c r="C4434" s="2" t="str">
        <x:v>Hà Nội</x:v>
      </x:c>
      <x:c r="D4434" s="2" t="str">
        <x:v>Quận Hà Đông</x:v>
      </x:c>
      <x:c r="E4434" s="2" t="str">
        <x:v>other_unknown</x:v>
      </x:c>
      <x:c r="F4434" s="2" t="str">
        <x:v>sale_assumed</x:v>
      </x:c>
      <x:c r="G4434" s="11" t="n">
        <x:v>36</x:v>
      </x:c>
      <x:c r="H4434" s="12" t="n">
        <x:v>2490000000</x:v>
      </x:c>
      <x:c r="I4434" s="12" t="n">
        <x:v>69166666.66666667</x:v>
      </x:c>
      <x:c r="J4434" s="2" t="str">
        <x:v>total</x:v>
      </x:c>
      <x:c r="K4434" s="2" t="str">
        <x:v>top_level_area</x:v>
      </x:c>
      <x:c r="L4434" s="2" t="str">
        <x:v>property_type_inferred_from_title;transaction_assumed_sale_from_dataset_context;unknown_property_type</x:v>
      </x:c>
      <x:c r="M4434" s="10" t="n">
        <x:v>0</x:v>
      </x:c>
      <x:c r="N4434" s="10" t="n">
        <x:v>0</x:v>
      </x:c>
      <x:c r="O4434" s="2" t="str">
        <x:v>Hà Nội|other_unknown</x:v>
      </x:c>
      <x:c r="P4434" s="10" t="n">
        <x:v>2</x:v>
      </x:c>
      <x:c r="Q4434" s="13" t="n">
        <x:f>IF(H4434="","",H4434/1000000000)</x:f>
        <x:v>2.49</x:v>
      </x:c>
      <x:c r="R4434" s="13" t="n">
        <x:f>IF(I4434="","",I4434/1000000)</x:f>
        <x:v>69.16666666666667</x:v>
      </x:c>
    </x:row>
    <x:row r="4435" ht="21" customHeight="1">
      <x:c r="A4435" s="10" t="n">
        <x:v>5915</x:v>
      </x:c>
      <x:c r="B4435" s="2" t="str">
        <x:v>d116400841269231095d</x:v>
      </x:c>
      <x:c r="C4435" s="2" t="str">
        <x:v>Tp Hồ Chí Minh</x:v>
      </x:c>
      <x:c r="D4435" s="2" t="str">
        <x:v>Quận Bình Tân</x:v>
      </x:c>
      <x:c r="E4435" s="2" t="str">
        <x:v>house</x:v>
      </x:c>
      <x:c r="F4435" s="2" t="str">
        <x:v>sale</x:v>
      </x:c>
      <x:c r="G4435" s="11" t="n">
        <x:v>74</x:v>
      </x:c>
      <x:c r="H4435" s="12" t="n">
        <x:v>9350000000</x:v>
      </x:c>
      <x:c r="I4435" s="12" t="n">
        <x:v>126351351.35135135</x:v>
      </x:c>
      <x:c r="J4435" s="2" t="str">
        <x:v>total</x:v>
      </x:c>
      <x:c r="K4435" s="2" t="str">
        <x:v>top_level_area</x:v>
      </x:c>
      <x:c r="L4435" s="2" t="str">
        <x:v>property_type_inferred_from_title</x:v>
      </x:c>
      <x:c r="M4435" s="10" t="n">
        <x:v>0</x:v>
      </x:c>
      <x:c r="N4435" s="10" t="n">
        <x:v>0</x:v>
      </x:c>
      <x:c r="O4435" s="2" t="str">
        <x:v>Tp Hồ Chí Minh|house</x:v>
      </x:c>
      <x:c r="P4435" s="10" t="n">
        <x:v>2</x:v>
      </x:c>
      <x:c r="Q4435" s="13" t="n">
        <x:f>IF(H4435="","",H4435/1000000000)</x:f>
        <x:v>9.35</x:v>
      </x:c>
      <x:c r="R4435" s="13" t="n">
        <x:f>IF(I4435="","",I4435/1000000)</x:f>
        <x:v>126.35135135135135</x:v>
      </x:c>
    </x:row>
    <x:row r="4436" ht="21" customHeight="1">
      <x:c r="A4436" s="10" t="n">
        <x:v>5919</x:v>
      </x:c>
      <x:c r="B4436" s="2" t="str">
        <x:v>b4c768328528091ce231</x:v>
      </x:c>
      <x:c r="C4436" s="2" t="str">
        <x:v>Khánh Hòa</x:v>
      </x:c>
      <x:c r="D4436" s="2" t="str">
        <x:v>Thành phố Nha Trang</x:v>
      </x:c>
      <x:c r="E4436" s="2" t="str">
        <x:v>house</x:v>
      </x:c>
      <x:c r="F4436" s="2" t="str">
        <x:v>sale_assumed</x:v>
      </x:c>
      <x:c r="G4436" s="11" t="n">
        <x:v>78</x:v>
      </x:c>
      <x:c r="H4436" s="12" t="n">
        <x:v>6700000000</x:v>
      </x:c>
      <x:c r="I4436" s="12" t="n">
        <x:v>85897435.8974359</x:v>
      </x:c>
      <x:c r="J4436" s="2" t="str">
        <x:v>total</x:v>
      </x:c>
      <x:c r="K4436" s="2" t="str">
        <x:v>top_level_area</x:v>
      </x:c>
      <x:c r="L4436" s="2" t="str">
        <x:v>property_type_inferred_from_title;transaction_assumed_sale_from_dataset_context</x:v>
      </x:c>
      <x:c r="M4436" s="10" t="n">
        <x:v>0</x:v>
      </x:c>
      <x:c r="N4436" s="10" t="n">
        <x:v>0</x:v>
      </x:c>
      <x:c r="O4436" s="2" t="str">
        <x:v>Khánh Hòa|house</x:v>
      </x:c>
      <x:c r="P4436" s="10" t="n">
        <x:v>2</x:v>
      </x:c>
      <x:c r="Q4436" s="13" t="n">
        <x:f>IF(H4436="","",H4436/1000000000)</x:f>
        <x:v>6.7</x:v>
      </x:c>
      <x:c r="R4436" s="13" t="n">
        <x:f>IF(I4436="","",I4436/1000000)</x:f>
        <x:v>85.8974358974359</x:v>
      </x:c>
    </x:row>
    <x:row r="4437" ht="21" customHeight="1">
      <x:c r="A4437" s="10" t="n">
        <x:v>5920</x:v>
      </x:c>
      <x:c r="B4437" s="2" t="str">
        <x:v>01c711a42f148a84de4a</x:v>
      </x:c>
      <x:c r="C4437" s="2" t="str">
        <x:v>Đà Nẵng</x:v>
      </x:c>
      <x:c r="D4437" s="2" t="str">
        <x:v>Quận Thanh Khê</x:v>
      </x:c>
      <x:c r="E4437" s="2" t="str">
        <x:v>house</x:v>
      </x:c>
      <x:c r="F4437" s="2" t="str">
        <x:v>sale</x:v>
      </x:c>
      <x:c r="G4437" s="11" t="n">
        <x:v>55</x:v>
      </x:c>
      <x:c r="H4437" s="12" t="n">
        <x:v>3200000000</x:v>
      </x:c>
      <x:c r="I4437" s="12" t="n">
        <x:v>58181818.18181818</x:v>
      </x:c>
      <x:c r="J4437" s="2" t="str">
        <x:v>total</x:v>
      </x:c>
      <x:c r="K4437" s="2" t="str">
        <x:v>top_level_area</x:v>
      </x:c>
      <x:c r="L4437" s="2" t="str">
        <x:v>property_type_inferred_from_title</x:v>
      </x:c>
      <x:c r="M4437" s="10" t="n">
        <x:v>0</x:v>
      </x:c>
      <x:c r="N4437" s="10" t="n">
        <x:v>0</x:v>
      </x:c>
      <x:c r="O4437" s="2" t="str">
        <x:v>Đà Nẵng|house</x:v>
      </x:c>
      <x:c r="P4437" s="10" t="n">
        <x:v>2</x:v>
      </x:c>
      <x:c r="Q4437" s="13" t="n">
        <x:f>IF(H4437="","",H4437/1000000000)</x:f>
        <x:v>3.2</x:v>
      </x:c>
      <x:c r="R4437" s="13" t="n">
        <x:f>IF(I4437="","",I4437/1000000)</x:f>
        <x:v>58.18181818181818</x:v>
      </x:c>
    </x:row>
    <x:row r="4438" ht="21" customHeight="1">
      <x:c r="A4438" s="10" t="n">
        <x:v>5921</x:v>
      </x:c>
      <x:c r="B4438" s="2" t="str">
        <x:v>f17a53e10e053266deda</x:v>
      </x:c>
      <x:c r="C4438" s="2" t="str">
        <x:v>Tp Hồ Chí Minh</x:v>
      </x:c>
      <x:c r="D4438" s="2" t="str">
        <x:v>Quận Tân Phú</x:v>
      </x:c>
      <x:c r="E4438" s="2" t="str">
        <x:v>house</x:v>
      </x:c>
      <x:c r="F4438" s="2" t="str">
        <x:v>sale</x:v>
      </x:c>
      <x:c r="G4438" s="11" t="n">
        <x:v>56</x:v>
      </x:c>
      <x:c r="H4438" s="12" t="n">
        <x:v>6300000000</x:v>
      </x:c>
      <x:c r="I4438" s="12" t="n">
        <x:v>112500000</x:v>
      </x:c>
      <x:c r="J4438" s="2" t="str">
        <x:v>total</x:v>
      </x:c>
      <x:c r="K4438" s="2" t="str">
        <x:v>top_level_area</x:v>
      </x:c>
      <x:c r="L4438" s="2" t="str">
        <x:v>property_type_inferred_from_title</x:v>
      </x:c>
      <x:c r="M4438" s="10" t="n">
        <x:v>0</x:v>
      </x:c>
      <x:c r="N4438" s="10" t="n">
        <x:v>0</x:v>
      </x:c>
      <x:c r="O4438" s="2" t="str">
        <x:v>Tp Hồ Chí Minh|house</x:v>
      </x:c>
      <x:c r="P4438" s="10" t="n">
        <x:v>2</x:v>
      </x:c>
      <x:c r="Q4438" s="13" t="n">
        <x:f>IF(H4438="","",H4438/1000000000)</x:f>
        <x:v>6.3</x:v>
      </x:c>
      <x:c r="R4438" s="13" t="n">
        <x:f>IF(I4438="","",I4438/1000000)</x:f>
        <x:v>112.5</x:v>
      </x:c>
    </x:row>
    <x:row r="4439" ht="21" customHeight="1">
      <x:c r="A4439" s="10" t="n">
        <x:v>5922</x:v>
      </x:c>
      <x:c r="B4439" s="2" t="str">
        <x:v>7f3c21727f9b40164b6e</x:v>
      </x:c>
      <x:c r="C4439" s="2" t="str">
        <x:v>Tp Hồ Chí Minh</x:v>
      </x:c>
      <x:c r="D4439" s="2" t="str">
        <x:v>Huyện Hóc Môn</x:v>
      </x:c>
      <x:c r="E4439" s="2" t="str">
        <x:v>land</x:v>
      </x:c>
      <x:c r="F4439" s="2" t="str">
        <x:v>sale</x:v>
      </x:c>
      <x:c r="G4439" s="11" t="n">
        <x:v>100</x:v>
      </x:c>
      <x:c r="H4439" s="12" t="n">
        <x:v>440000000</x:v>
      </x:c>
      <x:c r="I4439" s="12" t="n">
        <x:v>4400000</x:v>
      </x:c>
      <x:c r="J4439" s="2" t="str">
        <x:v>total</x:v>
      </x:c>
      <x:c r="K4439" s="2" t="str">
        <x:v>top_level_area</x:v>
      </x:c>
      <x:c r="L4439" s="2" t="str">
        <x:v>property_type_inferred_from_title</x:v>
      </x:c>
      <x:c r="M4439" s="10" t="n">
        <x:v>0</x:v>
      </x:c>
      <x:c r="N4439" s="10" t="n">
        <x:v>0</x:v>
      </x:c>
      <x:c r="O4439" s="2" t="str">
        <x:v>Tp Hồ Chí Minh|land</x:v>
      </x:c>
      <x:c r="P4439" s="10" t="n">
        <x:v>2</x:v>
      </x:c>
      <x:c r="Q4439" s="13" t="n">
        <x:f>IF(H4439="","",H4439/1000000000)</x:f>
        <x:v>0.44</x:v>
      </x:c>
      <x:c r="R4439" s="13" t="n">
        <x:f>IF(I4439="","",I4439/1000000)</x:f>
        <x:v>4.4</x:v>
      </x:c>
    </x:row>
    <x:row r="4440" ht="21" customHeight="1">
      <x:c r="A4440" s="10" t="n">
        <x:v>5923</x:v>
      </x:c>
      <x:c r="B4440" s="2" t="str">
        <x:v>094348c18637746b50b4</x:v>
      </x:c>
      <x:c r="C4440" s="2" t="str">
        <x:v>Tp Hồ Chí Minh</x:v>
      </x:c>
      <x:c r="D4440" s="2" t="str">
        <x:v>Quận Bình Tân</x:v>
      </x:c>
      <x:c r="E4440" s="2" t="str">
        <x:v>land</x:v>
      </x:c>
      <x:c r="F4440" s="2" t="str">
        <x:v>sale</x:v>
      </x:c>
      <x:c r="G4440" s="11" t="n">
        <x:v>303</x:v>
      </x:c>
      <x:c r="H4440" s="12" t="n">
        <x:v>12000000000</x:v>
      </x:c>
      <x:c r="I4440" s="12" t="n">
        <x:v>39603960.396039605</x:v>
      </x:c>
      <x:c r="J4440" s="2" t="str">
        <x:v>total</x:v>
      </x:c>
      <x:c r="K4440" s="2" t="str">
        <x:v>top_level_area</x:v>
      </x:c>
      <x:c r="L4440" s="2" t="str">
        <x:v>property_type_inferred_from_title</x:v>
      </x:c>
      <x:c r="M4440" s="10" t="n">
        <x:v>0</x:v>
      </x:c>
      <x:c r="N4440" s="10" t="n">
        <x:v>0</x:v>
      </x:c>
      <x:c r="O4440" s="2" t="str">
        <x:v>Tp Hồ Chí Minh|land</x:v>
      </x:c>
      <x:c r="P4440" s="10" t="n">
        <x:v>2</x:v>
      </x:c>
      <x:c r="Q4440" s="13" t="n">
        <x:f>IF(H4440="","",H4440/1000000000)</x:f>
        <x:v>12</x:v>
      </x:c>
      <x:c r="R4440" s="13" t="n">
        <x:f>IF(I4440="","",I4440/1000000)</x:f>
        <x:v>39.603960396039604</x:v>
      </x:c>
    </x:row>
    <x:row r="4441" ht="21" customHeight="1">
      <x:c r="A4441" s="10" t="n">
        <x:v>5924</x:v>
      </x:c>
      <x:c r="B4441" s="2" t="str">
        <x:v>eab3ca29a06ff477fa6c</x:v>
      </x:c>
      <x:c r="C4441" s="2" t="str">
        <x:v>Tp Hồ Chí Minh</x:v>
      </x:c>
      <x:c r="D4441" s="2" t="str">
        <x:v>Quận 12</x:v>
      </x:c>
      <x:c r="E4441" s="2" t="str">
        <x:v>other_unknown</x:v>
      </x:c>
      <x:c r="F4441" s="2" t="str">
        <x:v>sale</x:v>
      </x:c>
      <x:c r="G4441" s="11" t="n">
        <x:v>28</x:v>
      </x:c>
      <x:c r="H4441" s="12" t="n">
        <x:v>1200000000</x:v>
      </x:c>
      <x:c r="I4441" s="12" t="n">
        <x:v>42857142.85714286</x:v>
      </x:c>
      <x:c r="J4441" s="2" t="str">
        <x:v>total</x:v>
      </x:c>
      <x:c r="K4441" s="2" t="str">
        <x:v>top_level_area</x:v>
      </x:c>
      <x:c r="L4441" s="2" t="str">
        <x:v>property_type_inferred_from_title;unknown_property_type</x:v>
      </x:c>
      <x:c r="M4441" s="10" t="n">
        <x:v>0</x:v>
      </x:c>
      <x:c r="N4441" s="10" t="n">
        <x:v>0</x:v>
      </x:c>
      <x:c r="O4441" s="2" t="str">
        <x:v>Tp Hồ Chí Minh|other_unknown</x:v>
      </x:c>
      <x:c r="P4441" s="10" t="n">
        <x:v>2</x:v>
      </x:c>
      <x:c r="Q4441" s="13" t="n">
        <x:f>IF(H4441="","",H4441/1000000000)</x:f>
        <x:v>1.2</x:v>
      </x:c>
      <x:c r="R4441" s="13" t="n">
        <x:f>IF(I4441="","",I4441/1000000)</x:f>
        <x:v>42.85714285714286</x:v>
      </x:c>
    </x:row>
    <x:row r="4442" ht="21" customHeight="1">
      <x:c r="A4442" s="10" t="n">
        <x:v>5925</x:v>
      </x:c>
      <x:c r="B4442" s="2" t="str">
        <x:v>d98a171d5595dbdb2d41</x:v>
      </x:c>
      <x:c r="C4442" s="2" t="str">
        <x:v>Bình Dương</x:v>
      </x:c>
      <x:c r="D4442" s="2" t="str">
        <x:v>Thị xã Dĩ An</x:v>
      </x:c>
      <x:c r="E4442" s="2" t="str">
        <x:v>house</x:v>
      </x:c>
      <x:c r="F4442" s="2" t="str">
        <x:v>sale_assumed</x:v>
      </x:c>
      <x:c r="G4442" s="11" t="n">
        <x:v>78</x:v>
      </x:c>
      <x:c r="H4442" s="12" t="n">
        <x:v>3250000000</x:v>
      </x:c>
      <x:c r="I4442" s="12" t="n">
        <x:v>41666666.666666664</x:v>
      </x:c>
      <x:c r="J4442" s="2" t="str">
        <x:v>total</x:v>
      </x:c>
      <x:c r="K4442" s="2" t="str">
        <x:v>top_level_area</x:v>
      </x:c>
      <x:c r="L4442" s="2" t="str">
        <x:v>property_type_inferred_from_title;transaction_assumed_sale_from_dataset_context</x:v>
      </x:c>
      <x:c r="M4442" s="10" t="n">
        <x:v>0</x:v>
      </x:c>
      <x:c r="N4442" s="10" t="n">
        <x:v>0</x:v>
      </x:c>
      <x:c r="O4442" s="2" t="str">
        <x:v>Bình Dương|house</x:v>
      </x:c>
      <x:c r="P4442" s="10" t="n">
        <x:v>2</x:v>
      </x:c>
      <x:c r="Q4442" s="13" t="n">
        <x:f>IF(H4442="","",H4442/1000000000)</x:f>
        <x:v>3.25</x:v>
      </x:c>
      <x:c r="R4442" s="13" t="n">
        <x:f>IF(I4442="","",I4442/1000000)</x:f>
        <x:v>41.666666666666664</x:v>
      </x:c>
    </x:row>
    <x:row r="4443" ht="21" customHeight="1">
      <x:c r="A4443" s="10" t="n">
        <x:v>5926</x:v>
      </x:c>
      <x:c r="B4443" s="2" t="str">
        <x:v>dbb27450b6b33fa5d49e</x:v>
      </x:c>
      <x:c r="C4443" s="2" t="str">
        <x:v>Tp Hồ Chí Minh</x:v>
      </x:c>
      <x:c r="D4443" s="2" t="str">
        <x:v>Quận 3</x:v>
      </x:c>
      <x:c r="E4443" s="2" t="str">
        <x:v>house</x:v>
      </x:c>
      <x:c r="F4443" s="2" t="str">
        <x:v>sale</x:v>
      </x:c>
      <x:c r="G4443" s="11" t="n">
        <x:v>36</x:v>
      </x:c>
      <x:c r="H4443" s="12" t="n">
        <x:v>6500000000</x:v>
      </x:c>
      <x:c r="I4443" s="12" t="n">
        <x:v>180555555.55555555</x:v>
      </x:c>
      <x:c r="J4443" s="2" t="str">
        <x:v>total</x:v>
      </x:c>
      <x:c r="K4443" s="2" t="str">
        <x:v>top_level_area</x:v>
      </x:c>
      <x:c r="L4443" s="2" t="str">
        <x:v>property_type_inferred_from_title</x:v>
      </x:c>
      <x:c r="M4443" s="10" t="n">
        <x:v>1</x:v>
      </x:c>
      <x:c r="N4443" s="10" t="n">
        <x:v>0</x:v>
      </x:c>
      <x:c r="O4443" s="2" t="str">
        <x:v>Tp Hồ Chí Minh|house</x:v>
      </x:c>
      <x:c r="P4443" s="10" t="n">
        <x:v>2</x:v>
      </x:c>
      <x:c r="Q4443" s="13" t="n">
        <x:f>IF(H4443="","",H4443/1000000000)</x:f>
        <x:v>6.5</x:v>
      </x:c>
      <x:c r="R4443" s="13" t="n">
        <x:f>IF(I4443="","",I4443/1000000)</x:f>
        <x:v>180.55555555555554</x:v>
      </x:c>
    </x:row>
    <x:row r="4444" ht="21" customHeight="1">
      <x:c r="A4444" s="10" t="n">
        <x:v>5927</x:v>
      </x:c>
      <x:c r="B4444" s="2" t="str">
        <x:v>fcd62a797cd8357434f8</x:v>
      </x:c>
      <x:c r="C4444" s="2" t="str">
        <x:v>Hà Nội</x:v>
      </x:c>
      <x:c r="D4444" s="2" t="str">
        <x:v>Quận Long Biên</x:v>
      </x:c>
      <x:c r="E4444" s="2" t="str">
        <x:v>land</x:v>
      </x:c>
      <x:c r="F4444" s="2" t="str">
        <x:v>sale</x:v>
      </x:c>
      <x:c r="G4444" s="11" t="n">
        <x:v>45</x:v>
      </x:c>
      <x:c r="H4444" s="12" t="n">
        <x:v>1900000000</x:v>
      </x:c>
      <x:c r="I4444" s="12" t="n">
        <x:v>42222222.222222224</x:v>
      </x:c>
      <x:c r="J4444" s="2" t="str">
        <x:v>total</x:v>
      </x:c>
      <x:c r="K4444" s="2" t="str">
        <x:v>top_level_area</x:v>
      </x:c>
      <x:c r="L4444" s="2" t="str">
        <x:v>property_type_inferred_from_title</x:v>
      </x:c>
      <x:c r="M4444" s="10" t="n">
        <x:v>0</x:v>
      </x:c>
      <x:c r="N4444" s="10" t="n">
        <x:v>0</x:v>
      </x:c>
      <x:c r="O4444" s="2" t="str">
        <x:v>Hà Nội|land</x:v>
      </x:c>
      <x:c r="P4444" s="10" t="n">
        <x:v>2</x:v>
      </x:c>
      <x:c r="Q4444" s="13" t="n">
        <x:f>IF(H4444="","",H4444/1000000000)</x:f>
        <x:v>1.9</x:v>
      </x:c>
      <x:c r="R4444" s="13" t="n">
        <x:f>IF(I4444="","",I4444/1000000)</x:f>
        <x:v>42.22222222222222</x:v>
      </x:c>
    </x:row>
    <x:row r="4445" ht="21" customHeight="1">
      <x:c r="A4445" s="10" t="n">
        <x:v>5929</x:v>
      </x:c>
      <x:c r="B4445" s="2" t="str">
        <x:v>dbc38cd4702f1267f50e</x:v>
      </x:c>
      <x:c r="C4445" s="2" t="str">
        <x:v>Tp Hồ Chí Minh</x:v>
      </x:c>
      <x:c r="D4445" s="2" t="str">
        <x:v>Quận 11</x:v>
      </x:c>
      <x:c r="E4445" s="2" t="str">
        <x:v>other_unknown</x:v>
      </x:c>
      <x:c r="F4445" s="2" t="str">
        <x:v>sale_assumed</x:v>
      </x:c>
      <x:c r="G4445" s="11" t="n">
        <x:v>35</x:v>
      </x:c>
      <x:c r="H4445" s="12" t="n">
        <x:v>3750000000</x:v>
      </x:c>
      <x:c r="I4445" s="12" t="n">
        <x:v>107142857.14285715</x:v>
      </x:c>
      <x:c r="J4445" s="2" t="str">
        <x:v>total</x:v>
      </x:c>
      <x:c r="K4445" s="2" t="str">
        <x:v>top_level_area</x:v>
      </x:c>
      <x:c r="L4445" s="2" t="str">
        <x:v>property_type_inferred_from_title;transaction_assumed_sale_from_dataset_context;unknown_property_type</x:v>
      </x:c>
      <x:c r="M4445" s="10" t="n">
        <x:v>0</x:v>
      </x:c>
      <x:c r="N4445" s="10" t="n">
        <x:v>0</x:v>
      </x:c>
      <x:c r="O4445" s="2" t="str">
        <x:v>Tp Hồ Chí Minh|other_unknown</x:v>
      </x:c>
      <x:c r="P4445" s="10" t="n">
        <x:v>2</x:v>
      </x:c>
      <x:c r="Q4445" s="13" t="n">
        <x:f>IF(H4445="","",H4445/1000000000)</x:f>
        <x:v>3.75</x:v>
      </x:c>
      <x:c r="R4445" s="13" t="n">
        <x:f>IF(I4445="","",I4445/1000000)</x:f>
        <x:v>107.14285714285715</x:v>
      </x:c>
    </x:row>
    <x:row r="4446" ht="21" customHeight="1">
      <x:c r="A4446" s="10" t="n">
        <x:v>5930</x:v>
      </x:c>
      <x:c r="B4446" s="2" t="str">
        <x:v>15a386ea4e72b4850ae7</x:v>
      </x:c>
      <x:c r="C4446" s="2" t="str">
        <x:v>Bình Dương</x:v>
      </x:c>
      <x:c r="D4446" s="2" t="str">
        <x:v>Thị xã Thuận An</x:v>
      </x:c>
      <x:c r="E4446" s="2" t="str">
        <x:v>other_unknown</x:v>
      </x:c>
      <x:c r="F4446" s="2" t="str">
        <x:v>sale_assumed</x:v>
      </x:c>
      <x:c r="G4446" s="11" t="n">
        <x:v>2000</x:v>
      </x:c>
      <x:c r="H4446" s="12" t="n">
        <x:v>29000000000</x:v>
      </x:c>
      <x:c r="I4446" s="12" t="n">
        <x:v>14500000</x:v>
      </x:c>
      <x:c r="J4446" s="2" t="str">
        <x:v>total</x:v>
      </x:c>
      <x:c r="K4446" s="2" t="str">
        <x:v>top_level_area</x:v>
      </x:c>
      <x:c r="L4446" s="2" t="str">
        <x:v>dot_thousands_convention;property_type_inferred_from_title;transaction_assumed_sale_from_dataset_context;unknown_property_type</x:v>
      </x:c>
      <x:c r="M4446" s="10" t="n">
        <x:v>0</x:v>
      </x:c>
      <x:c r="N4446" s="10" t="n">
        <x:v>0</x:v>
      </x:c>
      <x:c r="O4446" s="2" t="str">
        <x:v>Bình Dương|other_unknown</x:v>
      </x:c>
      <x:c r="P4446" s="10" t="n">
        <x:v>1</x:v>
      </x:c>
      <x:c r="Q4446" s="13" t="n">
        <x:f>IF(H4446="","",H4446/1000000000)</x:f>
        <x:v>29</x:v>
      </x:c>
      <x:c r="R4446" s="13" t="n">
        <x:f>IF(I4446="","",I4446/1000000)</x:f>
        <x:v>14.5</x:v>
      </x:c>
    </x:row>
    <x:row r="4447" ht="21" customHeight="1">
      <x:c r="A4447" s="10" t="n">
        <x:v>5931</x:v>
      </x:c>
      <x:c r="B4447" s="2" t="str">
        <x:v>36c61074a9d6c78a3c6e</x:v>
      </x:c>
      <x:c r="C4447" s="2" t="str">
        <x:v>Tp Hồ Chí Minh</x:v>
      </x:c>
      <x:c r="D4447" s="2" t="str">
        <x:v>Quận Gò Vấp</x:v>
      </x:c>
      <x:c r="E4447" s="2" t="str">
        <x:v>house</x:v>
      </x:c>
      <x:c r="F4447" s="2" t="str">
        <x:v>sale</x:v>
      </x:c>
      <x:c r="G4447" s="11" t="n">
        <x:v>40</x:v>
      </x:c>
      <x:c r="H4447" s="12" t="n">
        <x:v>2650000000</x:v>
      </x:c>
      <x:c r="I4447" s="12" t="n">
        <x:v>66250000</x:v>
      </x:c>
      <x:c r="J4447" s="2" t="str">
        <x:v>total</x:v>
      </x:c>
      <x:c r="K4447" s="2" t="str">
        <x:v>top_level_area</x:v>
      </x:c>
      <x:c r="L4447" s="2" t="str">
        <x:v>property_type_inferred_from_title</x:v>
      </x:c>
      <x:c r="M4447" s="10" t="n">
        <x:v>0</x:v>
      </x:c>
      <x:c r="N4447" s="10" t="n">
        <x:v>0</x:v>
      </x:c>
      <x:c r="O4447" s="2" t="str">
        <x:v>Tp Hồ Chí Minh|house</x:v>
      </x:c>
      <x:c r="P4447" s="10" t="n">
        <x:v>2</x:v>
      </x:c>
      <x:c r="Q4447" s="13" t="n">
        <x:f>IF(H4447="","",H4447/1000000000)</x:f>
        <x:v>2.65</x:v>
      </x:c>
      <x:c r="R4447" s="13" t="n">
        <x:f>IF(I4447="","",I4447/1000000)</x:f>
        <x:v>66.25</x:v>
      </x:c>
    </x:row>
    <x:row r="4448" ht="21" customHeight="1">
      <x:c r="A4448" s="10" t="n">
        <x:v>5932</x:v>
      </x:c>
      <x:c r="B4448" s="2" t="str">
        <x:v>5f60d913df5ba3f7e641</x:v>
      </x:c>
      <x:c r="C4448" s="2" t="str">
        <x:v>Long An</x:v>
      </x:c>
      <x:c r="D4448" s="2" t="str">
        <x:v>Huyện Đức Hòa</x:v>
      </x:c>
      <x:c r="E4448" s="2" t="str">
        <x:v>other_unknown</x:v>
      </x:c>
      <x:c r="F4448" s="2" t="str">
        <x:v>sale_assumed</x:v>
      </x:c>
      <x:c r="G4448" s="11" t="n">
        <x:v>125</x:v>
      </x:c>
      <x:c r="H4448" s="12" t="n">
        <x:v>700000000</x:v>
      </x:c>
      <x:c r="I4448" s="12" t="n">
        <x:v>5600000</x:v>
      </x:c>
      <x:c r="J4448" s="2" t="str">
        <x:v>total</x:v>
      </x:c>
      <x:c r="K4448" s="2" t="str">
        <x:v>top_level_area</x:v>
      </x:c>
      <x:c r="L4448" s="2" t="str">
        <x:v>property_type_inferred_from_title;transaction_assumed_sale_from_dataset_context;unknown_property_type</x:v>
      </x:c>
      <x:c r="M4448" s="10" t="n">
        <x:v>0</x:v>
      </x:c>
      <x:c r="N4448" s="10" t="n">
        <x:v>0</x:v>
      </x:c>
      <x:c r="O4448" s="2" t="str">
        <x:v>Long An|other_unknown</x:v>
      </x:c>
      <x:c r="P4448" s="10" t="n">
        <x:v>2</x:v>
      </x:c>
      <x:c r="Q4448" s="13" t="n">
        <x:f>IF(H4448="","",H4448/1000000000)</x:f>
        <x:v>0.7</x:v>
      </x:c>
      <x:c r="R4448" s="13" t="n">
        <x:f>IF(I4448="","",I4448/1000000)</x:f>
        <x:v>5.6</x:v>
      </x:c>
    </x:row>
    <x:row r="4449" ht="21" customHeight="1">
      <x:c r="A4449" s="10" t="n">
        <x:v>5933</x:v>
      </x:c>
      <x:c r="B4449" s="2" t="str">
        <x:v>c576abd01b272ab7b0b1</x:v>
      </x:c>
      <x:c r="C4449" s="2" t="str">
        <x:v>Long An</x:v>
      </x:c>
      <x:c r="D4449" s="2" t="str">
        <x:v>Huyện Đức Huệ</x:v>
      </x:c>
      <x:c r="E4449" s="2" t="str">
        <x:v>house</x:v>
      </x:c>
      <x:c r="F4449" s="2" t="str">
        <x:v>sale_assumed</x:v>
      </x:c>
      <x:c r="G4449" s="11" t="n">
        <x:v>80</x:v>
      </x:c>
      <x:c r="H4449" s="12" t="n">
        <x:v>680000000</x:v>
      </x:c>
      <x:c r="I4449" s="12" t="n">
        <x:v>8500000</x:v>
      </x:c>
      <x:c r="J4449" s="2" t="str">
        <x:v>total</x:v>
      </x:c>
      <x:c r="K4449" s="2" t="str">
        <x:v>top_level_area</x:v>
      </x:c>
      <x:c r="L4449" s="2" t="str">
        <x:v>property_type_inferred_from_title;transaction_assumed_sale_from_dataset_context</x:v>
      </x:c>
      <x:c r="M4449" s="10" t="n">
        <x:v>0</x:v>
      </x:c>
      <x:c r="N4449" s="10" t="n">
        <x:v>0</x:v>
      </x:c>
      <x:c r="O4449" s="2" t="str">
        <x:v>Long An|house</x:v>
      </x:c>
      <x:c r="P4449" s="10" t="n">
        <x:v>2</x:v>
      </x:c>
      <x:c r="Q4449" s="13" t="n">
        <x:f>IF(H4449="","",H4449/1000000000)</x:f>
        <x:v>0.68</x:v>
      </x:c>
      <x:c r="R4449" s="13" t="n">
        <x:f>IF(I4449="","",I4449/1000000)</x:f>
        <x:v>8.5</x:v>
      </x:c>
    </x:row>
    <x:row r="4450" ht="21" customHeight="1">
      <x:c r="A4450" s="10" t="n">
        <x:v>5934</x:v>
      </x:c>
      <x:c r="B4450" s="2" t="str">
        <x:v>b88f9ce4ed8b23bce28e</x:v>
      </x:c>
      <x:c r="C4450" s="2" t="str">
        <x:v>Tp Hồ Chí Minh</x:v>
      </x:c>
      <x:c r="D4450" s="2" t="str">
        <x:v>Quận 8</x:v>
      </x:c>
      <x:c r="E4450" s="2" t="str">
        <x:v>house</x:v>
      </x:c>
      <x:c r="F4450" s="2" t="str">
        <x:v>sale_assumed</x:v>
      </x:c>
      <x:c r="G4450" s="11" t="n">
        <x:v>95</x:v>
      </x:c>
      <x:c r="H4450" s="12" t="n">
        <x:v>1450000000</x:v>
      </x:c>
      <x:c r="I4450" s="12" t="n">
        <x:v>15263157.894736841</x:v>
      </x:c>
      <x:c r="J4450" s="2" t="str">
        <x:v>total</x:v>
      </x:c>
      <x:c r="K4450" s="2" t="str">
        <x:v>top_level_area</x:v>
      </x:c>
      <x:c r="L4450" s="2" t="str">
        <x:v>property_type_inferred_from_title;transaction_assumed_sale_from_dataset_context</x:v>
      </x:c>
      <x:c r="M4450" s="10" t="n">
        <x:v>0</x:v>
      </x:c>
      <x:c r="N4450" s="10" t="n">
        <x:v>0</x:v>
      </x:c>
      <x:c r="O4450" s="2" t="str">
        <x:v>Tp Hồ Chí Minh|house</x:v>
      </x:c>
      <x:c r="P4450" s="10" t="n">
        <x:v>2</x:v>
      </x:c>
      <x:c r="Q4450" s="13" t="n">
        <x:f>IF(H4450="","",H4450/1000000000)</x:f>
        <x:v>1.45</x:v>
      </x:c>
      <x:c r="R4450" s="13" t="n">
        <x:f>IF(I4450="","",I4450/1000000)</x:f>
        <x:v>15.26315789473684</x:v>
      </x:c>
    </x:row>
    <x:row r="4451" ht="21" customHeight="1">
      <x:c r="A4451" s="10" t="n">
        <x:v>5935</x:v>
      </x:c>
      <x:c r="B4451" s="2" t="str">
        <x:v>ea0f17a45c34169198e5</x:v>
      </x:c>
      <x:c r="C4451" s="2" t="str">
        <x:v>Tp Hồ Chí Minh</x:v>
      </x:c>
      <x:c r="D4451" s="2" t="str">
        <x:v>Quận Thủ Đức</x:v>
      </x:c>
      <x:c r="E4451" s="2" t="str">
        <x:v>other_unknown</x:v>
      </x:c>
      <x:c r="F4451" s="2" t="str">
        <x:v>sale_assumed</x:v>
      </x:c>
      <x:c r="G4451" s="11" t="n">
        <x:v>56.4</x:v>
      </x:c>
      <x:c r="H4451" s="12" t="n">
        <x:v>1300000000</x:v>
      </x:c>
      <x:c r="I4451" s="12" t="n">
        <x:v>23049645.390070923</x:v>
      </x:c>
      <x:c r="J4451" s="2" t="str">
        <x:v>total</x:v>
      </x:c>
      <x:c r="K4451" s="2" t="str">
        <x:v>top_level_area</x:v>
      </x:c>
      <x:c r="L4451" s="2" t="str">
        <x:v>property_type_inferred_from_title;transaction_assumed_sale_from_dataset_context;unknown_property_type</x:v>
      </x:c>
      <x:c r="M4451" s="10" t="n">
        <x:v>0</x:v>
      </x:c>
      <x:c r="N4451" s="10" t="n">
        <x:v>0</x:v>
      </x:c>
      <x:c r="O4451" s="2" t="str">
        <x:v>Tp Hồ Chí Minh|other_unknown</x:v>
      </x:c>
      <x:c r="P4451" s="10" t="n">
        <x:v>2</x:v>
      </x:c>
      <x:c r="Q4451" s="13" t="n">
        <x:f>IF(H4451="","",H4451/1000000000)</x:f>
        <x:v>1.3</x:v>
      </x:c>
      <x:c r="R4451" s="13" t="n">
        <x:f>IF(I4451="","",I4451/1000000)</x:f>
        <x:v>23.04964539007092</x:v>
      </x:c>
    </x:row>
    <x:row r="4452" ht="21" customHeight="1">
      <x:c r="A4452" s="10" t="n">
        <x:v>5936</x:v>
      </x:c>
      <x:c r="B4452" s="2" t="str">
        <x:v>60f2eb7cfc922f92cf96</x:v>
      </x:c>
      <x:c r="C4452" s="2" t="str">
        <x:v>Đà Nẵng</x:v>
      </x:c>
      <x:c r="D4452" s="2" t="str">
        <x:v>Quận Sơn Trà</x:v>
      </x:c>
      <x:c r="E4452" s="2" t="str">
        <x:v>apartment</x:v>
      </x:c>
      <x:c r="F4452" s="2" t="str">
        <x:v>sale_assumed</x:v>
      </x:c>
      <x:c r="G4452" s="11" t="n">
        <x:v>95</x:v>
      </x:c>
      <x:c r="H4452" s="12" t="n">
        <x:v>16000000000</x:v>
      </x:c>
      <x:c r="I4452" s="12" t="n">
        <x:v>168421052.63157895</x:v>
      </x:c>
      <x:c r="J4452" s="2" t="str">
        <x:v>total</x:v>
      </x:c>
      <x:c r="K4452" s="2" t="str">
        <x:v>top_level_area</x:v>
      </x:c>
      <x:c r="L4452" s="2" t="str">
        <x:v>property_type_inferred_from_title;transaction_assumed_sale_from_dataset_context</x:v>
      </x:c>
      <x:c r="M4452" s="10" t="n">
        <x:v>1</x:v>
      </x:c>
      <x:c r="N4452" s="10" t="n">
        <x:v>1</x:v>
      </x:c>
      <x:c r="O4452" s="2" t="str">
        <x:v>apartment</x:v>
      </x:c>
      <x:c r="P4452" s="10" t="n">
        <x:v>-1</x:v>
      </x:c>
      <x:c r="Q4452" s="13" t="n">
        <x:f>IF(H4452="","",H4452/1000000000)</x:f>
        <x:v>16</x:v>
      </x:c>
      <x:c r="R4452" s="13" t="n">
        <x:f>IF(I4452="","",I4452/1000000)</x:f>
        <x:v>168.42105263157896</x:v>
      </x:c>
    </x:row>
    <x:row r="4453" ht="21" customHeight="1">
      <x:c r="A4453" s="10" t="n">
        <x:v>5937</x:v>
      </x:c>
      <x:c r="B4453" s="2" t="str">
        <x:v>454a12635f4bad6b4f15</x:v>
      </x:c>
      <x:c r="C4453" s="2" t="str">
        <x:v>Bình Dương</x:v>
      </x:c>
      <x:c r="D4453" s="2" t="str">
        <x:v>Thành phố Thủ Dầu Một</x:v>
      </x:c>
      <x:c r="E4453" s="2" t="str">
        <x:v>other_unknown</x:v>
      </x:c>
      <x:c r="F4453" s="2" t="str">
        <x:v>sale_assumed</x:v>
      </x:c>
      <x:c r="G4453" s="11" t="n">
        <x:v>128</x:v>
      </x:c>
      <x:c r="H4453" s="12" t="n">
        <x:v>2800000000</x:v>
      </x:c>
      <x:c r="I4453" s="12" t="n">
        <x:v>21875000</x:v>
      </x:c>
      <x:c r="J4453" s="2" t="str">
        <x:v>total</x:v>
      </x:c>
      <x:c r="K4453" s="2" t="str">
        <x:v>top_level_area</x:v>
      </x:c>
      <x:c r="L4453" s="2" t="str">
        <x:v>property_type_inferred_from_title;transaction_assumed_sale_from_dataset_context;unknown_property_type</x:v>
      </x:c>
      <x:c r="M4453" s="10" t="n">
        <x:v>0</x:v>
      </x:c>
      <x:c r="N4453" s="10" t="n">
        <x:v>0</x:v>
      </x:c>
      <x:c r="O4453" s="2" t="str">
        <x:v>Bình Dương|other_unknown</x:v>
      </x:c>
      <x:c r="P4453" s="10" t="n">
        <x:v>2</x:v>
      </x:c>
      <x:c r="Q4453" s="13" t="n">
        <x:f>IF(H4453="","",H4453/1000000000)</x:f>
        <x:v>2.8</x:v>
      </x:c>
      <x:c r="R4453" s="13" t="n">
        <x:f>IF(I4453="","",I4453/1000000)</x:f>
        <x:v>21.875</x:v>
      </x:c>
    </x:row>
    <x:row r="4454" ht="21" customHeight="1">
      <x:c r="A4454" s="10" t="n">
        <x:v>5938</x:v>
      </x:c>
      <x:c r="B4454" s="2" t="str">
        <x:v>4410fa30376c09a282d6</x:v>
      </x:c>
      <x:c r="C4454" s="2" t="str">
        <x:v>Tp Hồ Chí Minh</x:v>
      </x:c>
      <x:c r="D4454" s="2" t="str">
        <x:v>Quận Thủ Đức</x:v>
      </x:c>
      <x:c r="E4454" s="2" t="str">
        <x:v>apartment</x:v>
      </x:c>
      <x:c r="F4454" s="2" t="str">
        <x:v>sale</x:v>
      </x:c>
      <x:c r="G4454" s="11" t="n">
        <x:v>52</x:v>
      </x:c>
      <x:c r="H4454" s="12" t="n">
        <x:v>1430000000</x:v>
      </x:c>
      <x:c r="I4454" s="12" t="n">
        <x:v>27500000</x:v>
      </x:c>
      <x:c r="J4454" s="2" t="str">
        <x:v>total</x:v>
      </x:c>
      <x:c r="K4454" s="2" t="str">
        <x:v>top_level_area</x:v>
      </x:c>
      <x:c r="L4454" s="2" t="str">
        <x:v>property_type_inferred_from_title</x:v>
      </x:c>
      <x:c r="M4454" s="10" t="n">
        <x:v>0</x:v>
      </x:c>
      <x:c r="N4454" s="10" t="n">
        <x:v>0</x:v>
      </x:c>
      <x:c r="O4454" s="2" t="str">
        <x:v>Tp Hồ Chí Minh|apartment</x:v>
      </x:c>
      <x:c r="P4454" s="10" t="n">
        <x:v>2</x:v>
      </x:c>
      <x:c r="Q4454" s="13" t="n">
        <x:f>IF(H4454="","",H4454/1000000000)</x:f>
        <x:v>1.43</x:v>
      </x:c>
      <x:c r="R4454" s="13" t="n">
        <x:f>IF(I4454="","",I4454/1000000)</x:f>
        <x:v>27.5</x:v>
      </x:c>
    </x:row>
    <x:row r="4455" ht="21" customHeight="1">
      <x:c r="A4455" s="10" t="n">
        <x:v>5942</x:v>
      </x:c>
      <x:c r="B4455" s="2" t="str">
        <x:v>bb1faed0d170f154017f</x:v>
      </x:c>
      <x:c r="C4455" s="2" t="str">
        <x:v>Tp Hồ Chí Minh</x:v>
      </x:c>
      <x:c r="D4455" s="2" t="str">
        <x:v>Huyện Hóc Môn</x:v>
      </x:c>
      <x:c r="E4455" s="2" t="str">
        <x:v>house</x:v>
      </x:c>
      <x:c r="F4455" s="2" t="str">
        <x:v>sale_assumed</x:v>
      </x:c>
      <x:c r="G4455" s="11" t="n">
        <x:v>32</x:v>
      </x:c>
      <x:c r="H4455" s="12" t="n">
        <x:v>640000000</x:v>
      </x:c>
      <x:c r="I4455" s="12" t="n">
        <x:v>20000000</x:v>
      </x:c>
      <x:c r="J4455" s="2" t="str">
        <x:v>total</x:v>
      </x:c>
      <x:c r="K4455" s="2" t="str">
        <x:v>top_level_area</x:v>
      </x:c>
      <x:c r="L4455" s="2" t="str">
        <x:v>property_type_inferred_from_title;transaction_assumed_sale_from_dataset_context</x:v>
      </x:c>
      <x:c r="M4455" s="10" t="n">
        <x:v>0</x:v>
      </x:c>
      <x:c r="N4455" s="10" t="n">
        <x:v>0</x:v>
      </x:c>
      <x:c r="O4455" s="2" t="str">
        <x:v>Tp Hồ Chí Minh|house</x:v>
      </x:c>
      <x:c r="P4455" s="10" t="n">
        <x:v>2</x:v>
      </x:c>
      <x:c r="Q4455" s="13" t="n">
        <x:f>IF(H4455="","",H4455/1000000000)</x:f>
        <x:v>0.64</x:v>
      </x:c>
      <x:c r="R4455" s="13" t="n">
        <x:f>IF(I4455="","",I4455/1000000)</x:f>
        <x:v>20</x:v>
      </x:c>
    </x:row>
    <x:row r="4456" ht="21" customHeight="1">
      <x:c r="A4456" s="10" t="n">
        <x:v>5943</x:v>
      </x:c>
      <x:c r="B4456" s="2" t="str">
        <x:v>06a85119788cda83652e</x:v>
      </x:c>
      <x:c r="C4456" s="2" t="str">
        <x:v>Tp Hồ Chí Minh</x:v>
      </x:c>
      <x:c r="D4456" s="2" t="str">
        <x:v>Quận Gò Vấp</x:v>
      </x:c>
      <x:c r="E4456" s="2" t="str">
        <x:v>house</x:v>
      </x:c>
      <x:c r="F4456" s="2" t="str">
        <x:v>sale</x:v>
      </x:c>
      <x:c r="G4456" s="11" t="n">
        <x:v>36</x:v>
      </x:c>
      <x:c r="H4456" s="12" t="n">
        <x:v>2000000000</x:v>
      </x:c>
      <x:c r="I4456" s="12" t="n">
        <x:v>55555555.55555555</x:v>
      </x:c>
      <x:c r="J4456" s="2" t="str">
        <x:v>total</x:v>
      </x:c>
      <x:c r="K4456" s="2" t="str">
        <x:v>top_level_area</x:v>
      </x:c>
      <x:c r="L4456" s="2" t="str">
        <x:v>property_type_inferred_from_title</x:v>
      </x:c>
      <x:c r="M4456" s="10" t="n">
        <x:v>0</x:v>
      </x:c>
      <x:c r="N4456" s="10" t="n">
        <x:v>0</x:v>
      </x:c>
      <x:c r="O4456" s="2" t="str">
        <x:v>Tp Hồ Chí Minh|house</x:v>
      </x:c>
      <x:c r="P4456" s="10" t="n">
        <x:v>2</x:v>
      </x:c>
      <x:c r="Q4456" s="13" t="n">
        <x:f>IF(H4456="","",H4456/1000000000)</x:f>
        <x:v>2</x:v>
      </x:c>
      <x:c r="R4456" s="13" t="n">
        <x:f>IF(I4456="","",I4456/1000000)</x:f>
        <x:v>55.55555555555555</x:v>
      </x:c>
    </x:row>
    <x:row r="4457" ht="21" customHeight="1">
      <x:c r="A4457" s="10" t="n">
        <x:v>5944</x:v>
      </x:c>
      <x:c r="B4457" s="2" t="str">
        <x:v>befd6ddcb03360108a15</x:v>
      </x:c>
      <x:c r="C4457" s="2" t="str">
        <x:v>Tp Hồ Chí Minh</x:v>
      </x:c>
      <x:c r="D4457" s="2" t="str">
        <x:v>Huyện Củ Chi</x:v>
      </x:c>
      <x:c r="E4457" s="2" t="str">
        <x:v>land</x:v>
      </x:c>
      <x:c r="F4457" s="2" t="str">
        <x:v>sale_assumed</x:v>
      </x:c>
      <x:c r="G4457" s="11" t="n">
        <x:v>1412</x:v>
      </x:c>
      <x:c r="H4457" s="12" t="n">
        <x:v>3300000000</x:v>
      </x:c>
      <x:c r="I4457" s="12" t="n">
        <x:v>2337110.4815864023</x:v>
      </x:c>
      <x:c r="J4457" s="2" t="str">
        <x:v>total</x:v>
      </x:c>
      <x:c r="K4457" s="2" t="str">
        <x:v>top_level_area</x:v>
      </x:c>
      <x:c r="L4457" s="2" t="str">
        <x:v>dot_thousands_convention;property_type_inferred_from_title;transaction_assumed_sale_from_dataset_context</x:v>
      </x:c>
      <x:c r="M4457" s="10" t="n">
        <x:v>0</x:v>
      </x:c>
      <x:c r="N4457" s="10" t="n">
        <x:v>0</x:v>
      </x:c>
      <x:c r="O4457" s="2" t="str">
        <x:v>Tp Hồ Chí Minh|land</x:v>
      </x:c>
      <x:c r="P4457" s="10" t="n">
        <x:v>1</x:v>
      </x:c>
      <x:c r="Q4457" s="13" t="n">
        <x:f>IF(H4457="","",H4457/1000000000)</x:f>
        <x:v>3.3</x:v>
      </x:c>
      <x:c r="R4457" s="13" t="n">
        <x:f>IF(I4457="","",I4457/1000000)</x:f>
        <x:v>2.3371104815864023</x:v>
      </x:c>
    </x:row>
    <x:row r="4458" ht="21" customHeight="1">
      <x:c r="A4458" s="10" t="n">
        <x:v>5945</x:v>
      </x:c>
      <x:c r="B4458" s="2" t="str">
        <x:v>ecbe8bd536ed18204c66</x:v>
      </x:c>
      <x:c r="C4458" s="2" t="str">
        <x:v>Hà Nội</x:v>
      </x:c>
      <x:c r="D4458" s="2" t="str">
        <x:v>Quận Hà Đông</x:v>
      </x:c>
      <x:c r="E4458" s="2" t="str">
        <x:v>land</x:v>
      </x:c>
      <x:c r="F4458" s="2" t="str">
        <x:v>sale</x:v>
      </x:c>
      <x:c r="G4458" s="11" t="n">
        <x:v>31</x:v>
      </x:c>
      <x:c r="H4458" s="12" t="n">
        <x:v>955000000</x:v>
      </x:c>
      <x:c r="I4458" s="12" t="n">
        <x:v>30806451.612903226</x:v>
      </x:c>
      <x:c r="J4458" s="2" t="str">
        <x:v>total</x:v>
      </x:c>
      <x:c r="K4458" s="2" t="str">
        <x:v>top_level_area</x:v>
      </x:c>
      <x:c r="L4458" s="2" t="str">
        <x:v>property_type_inferred_from_title</x:v>
      </x:c>
      <x:c r="M4458" s="10" t="n">
        <x:v>0</x:v>
      </x:c>
      <x:c r="N4458" s="10" t="n">
        <x:v>0</x:v>
      </x:c>
      <x:c r="O4458" s="2" t="str">
        <x:v>Hà Nội|land</x:v>
      </x:c>
      <x:c r="P4458" s="10" t="n">
        <x:v>2</x:v>
      </x:c>
      <x:c r="Q4458" s="13" t="n">
        <x:f>IF(H4458="","",H4458/1000000000)</x:f>
        <x:v>0.955</x:v>
      </x:c>
      <x:c r="R4458" s="13" t="n">
        <x:f>IF(I4458="","",I4458/1000000)</x:f>
        <x:v>30.806451612903228</x:v>
      </x:c>
    </x:row>
    <x:row r="4459" ht="21" customHeight="1">
      <x:c r="A4459" s="10" t="n">
        <x:v>5946</x:v>
      </x:c>
      <x:c r="B4459" s="2" t="str">
        <x:v>b7250b15fd99aae1e661</x:v>
      </x:c>
      <x:c r="C4459" s="2" t="str">
        <x:v>Bình Dương</x:v>
      </x:c>
      <x:c r="D4459" s="2" t="str">
        <x:v>Thị xã Dĩ An</x:v>
      </x:c>
      <x:c r="E4459" s="2" t="str">
        <x:v>house</x:v>
      </x:c>
      <x:c r="F4459" s="2" t="str">
        <x:v>sale</x:v>
      </x:c>
      <x:c r="G4459" s="11" t="n">
        <x:v>140</x:v>
      </x:c>
      <x:c r="H4459" s="12" t="n">
        <x:v>5300000000</x:v>
      </x:c>
      <x:c r="I4459" s="12" t="n">
        <x:v>37857142.85714286</x:v>
      </x:c>
      <x:c r="J4459" s="2" t="str">
        <x:v>total</x:v>
      </x:c>
      <x:c r="K4459" s="2" t="str">
        <x:v>top_level_area</x:v>
      </x:c>
      <x:c r="L4459" s="2" t="str">
        <x:v>property_type_inferred_from_title</x:v>
      </x:c>
      <x:c r="M4459" s="10" t="n">
        <x:v>0</x:v>
      </x:c>
      <x:c r="N4459" s="10" t="n">
        <x:v>0</x:v>
      </x:c>
      <x:c r="O4459" s="2" t="str">
        <x:v>Bình Dương|house</x:v>
      </x:c>
      <x:c r="P4459" s="10" t="n">
        <x:v>2</x:v>
      </x:c>
      <x:c r="Q4459" s="13" t="n">
        <x:f>IF(H4459="","",H4459/1000000000)</x:f>
        <x:v>5.3</x:v>
      </x:c>
      <x:c r="R4459" s="13" t="n">
        <x:f>IF(I4459="","",I4459/1000000)</x:f>
        <x:v>37.85714285714286</x:v>
      </x:c>
    </x:row>
    <x:row r="4460" ht="21" customHeight="1">
      <x:c r="A4460" s="10" t="n">
        <x:v>5947</x:v>
      </x:c>
      <x:c r="B4460" s="2" t="str">
        <x:v>ee3625443b3ccdca68ca</x:v>
      </x:c>
      <x:c r="C4460" s="2" t="str">
        <x:v>Tp Hồ Chí Minh</x:v>
      </x:c>
      <x:c r="D4460" s="2" t="str">
        <x:v>Quận 3</x:v>
      </x:c>
      <x:c r="E4460" s="2" t="str">
        <x:v>other_unknown</x:v>
      </x:c>
      <x:c r="F4460" s="2" t="str">
        <x:v>sale_assumed</x:v>
      </x:c>
      <x:c r="G4460" s="11" t="n">
        <x:v>40</x:v>
      </x:c>
      <x:c r="H4460" s="12" t="n">
        <x:v>6650000000</x:v>
      </x:c>
      <x:c r="I4460" s="12" t="n">
        <x:v>166250000</x:v>
      </x:c>
      <x:c r="J4460" s="2" t="str">
        <x:v>total</x:v>
      </x:c>
      <x:c r="K4460" s="2" t="str">
        <x:v>top_level_area</x:v>
      </x:c>
      <x:c r="L4460" s="2" t="str">
        <x:v>property_type_inferred_from_title;transaction_assumed_sale_from_dataset_context;unknown_property_type</x:v>
      </x:c>
      <x:c r="M4460" s="10" t="n">
        <x:v>1</x:v>
      </x:c>
      <x:c r="N4460" s="10" t="n">
        <x:v>0</x:v>
      </x:c>
      <x:c r="O4460" s="2" t="str">
        <x:v>Tp Hồ Chí Minh|other_unknown</x:v>
      </x:c>
      <x:c r="P4460" s="10" t="n">
        <x:v>2</x:v>
      </x:c>
      <x:c r="Q4460" s="13" t="n">
        <x:f>IF(H4460="","",H4460/1000000000)</x:f>
        <x:v>6.65</x:v>
      </x:c>
      <x:c r="R4460" s="13" t="n">
        <x:f>IF(I4460="","",I4460/1000000)</x:f>
        <x:v>166.25</x:v>
      </x:c>
    </x:row>
    <x:row r="4461" ht="21" customHeight="1">
      <x:c r="A4461" s="10" t="n">
        <x:v>5948</x:v>
      </x:c>
      <x:c r="B4461" s="2" t="str">
        <x:v>d9e0ae57d8133ec21372</x:v>
      </x:c>
      <x:c r="C4461" s="2" t="str">
        <x:v>Tp Hồ Chí Minh</x:v>
      </x:c>
      <x:c r="D4461" s="2" t="str">
        <x:v>Quận 9</x:v>
      </x:c>
      <x:c r="E4461" s="2" t="str">
        <x:v>land</x:v>
      </x:c>
      <x:c r="F4461" s="2" t="str">
        <x:v>sale_assumed</x:v>
      </x:c>
      <x:c r="G4461" s="11" t="n">
        <x:v>80</x:v>
      </x:c>
      <x:c r="H4461" s="12" t="n">
        <x:v>700000000</x:v>
      </x:c>
      <x:c r="I4461" s="12" t="n">
        <x:v>8750000</x:v>
      </x:c>
      <x:c r="J4461" s="2" t="str">
        <x:v>total</x:v>
      </x:c>
      <x:c r="K4461" s="2" t="str">
        <x:v>top_level_area</x:v>
      </x:c>
      <x:c r="L4461" s="2" t="str">
        <x:v>property_type_inferred_from_title;transaction_assumed_sale_from_dataset_context</x:v>
      </x:c>
      <x:c r="M4461" s="10" t="n">
        <x:v>0</x:v>
      </x:c>
      <x:c r="N4461" s="10" t="n">
        <x:v>0</x:v>
      </x:c>
      <x:c r="O4461" s="2" t="str">
        <x:v>Tp Hồ Chí Minh|land</x:v>
      </x:c>
      <x:c r="P4461" s="10" t="n">
        <x:v>2</x:v>
      </x:c>
      <x:c r="Q4461" s="13" t="n">
        <x:f>IF(H4461="","",H4461/1000000000)</x:f>
        <x:v>0.7</x:v>
      </x:c>
      <x:c r="R4461" s="13" t="n">
        <x:f>IF(I4461="","",I4461/1000000)</x:f>
        <x:v>8.75</x:v>
      </x:c>
    </x:row>
    <x:row r="4462" ht="21" customHeight="1">
      <x:c r="A4462" s="10" t="n">
        <x:v>5949</x:v>
      </x:c>
      <x:c r="B4462" s="2" t="str">
        <x:v>fee45ab113b6c76c36f0</x:v>
      </x:c>
      <x:c r="C4462" s="2" t="str">
        <x:v>Bình Dương</x:v>
      </x:c>
      <x:c r="D4462" s="2" t="str">
        <x:v>Thành phố Thủ Dầu Một</x:v>
      </x:c>
      <x:c r="E4462" s="2" t="str">
        <x:v>other_unknown</x:v>
      </x:c>
      <x:c r="F4462" s="2" t="str">
        <x:v>sale_assumed</x:v>
      </x:c>
      <x:c r="G4462" s="11" t="n">
        <x:v>300</x:v>
      </x:c>
      <x:c r="H4462" s="12" t="n">
        <x:v>1650000000</x:v>
      </x:c>
      <x:c r="I4462" s="12" t="n">
        <x:v>5500000</x:v>
      </x:c>
      <x:c r="J4462" s="2" t="str">
        <x:v>total</x:v>
      </x:c>
      <x:c r="K4462" s="2" t="str">
        <x:v>top_level_area</x:v>
      </x:c>
      <x:c r="L4462" s="2" t="str">
        <x:v>property_type_inferred_from_title;transaction_assumed_sale_from_dataset_context;unknown_property_type</x:v>
      </x:c>
      <x:c r="M4462" s="10" t="n">
        <x:v>0</x:v>
      </x:c>
      <x:c r="N4462" s="10" t="n">
        <x:v>0</x:v>
      </x:c>
      <x:c r="O4462" s="2" t="str">
        <x:v>Bình Dương|other_unknown</x:v>
      </x:c>
      <x:c r="P4462" s="10" t="n">
        <x:v>1</x:v>
      </x:c>
      <x:c r="Q4462" s="13" t="n">
        <x:f>IF(H4462="","",H4462/1000000000)</x:f>
        <x:v>1.65</x:v>
      </x:c>
      <x:c r="R4462" s="13" t="n">
        <x:f>IF(I4462="","",I4462/1000000)</x:f>
        <x:v>5.5</x:v>
      </x:c>
    </x:row>
    <x:row r="4463" ht="21" customHeight="1">
      <x:c r="A4463" s="10" t="n">
        <x:v>5950</x:v>
      </x:c>
      <x:c r="B4463" s="2" t="str">
        <x:v>d403e09d7f602d21aa01</x:v>
      </x:c>
      <x:c r="C4463" s="2" t="str">
        <x:v>Tp Hồ Chí Minh</x:v>
      </x:c>
      <x:c r="D4463" s="2" t="str">
        <x:v>Quận Thủ Đức</x:v>
      </x:c>
      <x:c r="E4463" s="2" t="str">
        <x:v>other_unknown</x:v>
      </x:c>
      <x:c r="F4463" s="2" t="str">
        <x:v>sale_assumed</x:v>
      </x:c>
      <x:c r="G4463" s="11" t="n">
        <x:v>77</x:v>
      </x:c>
      <x:c r="H4463" s="12" t="n">
        <x:v>2200000000</x:v>
      </x:c>
      <x:c r="I4463" s="12" t="n">
        <x:v>28571428.57142857</x:v>
      </x:c>
      <x:c r="J4463" s="2" t="str">
        <x:v>total</x:v>
      </x:c>
      <x:c r="K4463" s="2" t="str">
        <x:v>top_level_area</x:v>
      </x:c>
      <x:c r="L4463" s="2" t="str">
        <x:v>property_type_inferred_from_title;transaction_assumed_sale_from_dataset_context;unknown_property_type</x:v>
      </x:c>
      <x:c r="M4463" s="10" t="n">
        <x:v>0</x:v>
      </x:c>
      <x:c r="N4463" s="10" t="n">
        <x:v>0</x:v>
      </x:c>
      <x:c r="O4463" s="2" t="str">
        <x:v>Tp Hồ Chí Minh|other_unknown</x:v>
      </x:c>
      <x:c r="P4463" s="10" t="n">
        <x:v>2</x:v>
      </x:c>
      <x:c r="Q4463" s="13" t="n">
        <x:f>IF(H4463="","",H4463/1000000000)</x:f>
        <x:v>2.2</x:v>
      </x:c>
      <x:c r="R4463" s="13" t="n">
        <x:f>IF(I4463="","",I4463/1000000)</x:f>
        <x:v>28.57142857142857</x:v>
      </x:c>
    </x:row>
    <x:row r="4464" ht="21" customHeight="1">
      <x:c r="A4464" s="10" t="n">
        <x:v>5951</x:v>
      </x:c>
      <x:c r="B4464" s="2" t="str">
        <x:v>ac536b1d39e0db96035f</x:v>
      </x:c>
      <x:c r="C4464" s="2" t="str">
        <x:v>Đà Nẵng</x:v>
      </x:c>
      <x:c r="D4464" s="2" t="str">
        <x:v>Quận Ngũ Hành Sơn</x:v>
      </x:c>
      <x:c r="E4464" s="2" t="str">
        <x:v>land</x:v>
      </x:c>
      <x:c r="F4464" s="2" t="str">
        <x:v>sale_assumed</x:v>
      </x:c>
      <x:c r="G4464" s="11" t="n">
        <x:v>90</x:v>
      </x:c>
      <x:c r="H4464" s="12" t="n">
        <x:v>2500000000</x:v>
      </x:c>
      <x:c r="I4464" s="12" t="n">
        <x:v>27777777.777777776</x:v>
      </x:c>
      <x:c r="J4464" s="2" t="str">
        <x:v>total</x:v>
      </x:c>
      <x:c r="K4464" s="2" t="str">
        <x:v>top_level_area</x:v>
      </x:c>
      <x:c r="L4464" s="2" t="str">
        <x:v>property_type_inferred_from_title;transaction_assumed_sale_from_dataset_context</x:v>
      </x:c>
      <x:c r="M4464" s="10" t="n">
        <x:v>0</x:v>
      </x:c>
      <x:c r="N4464" s="10" t="n">
        <x:v>0</x:v>
      </x:c>
      <x:c r="O4464" s="2" t="str">
        <x:v>Đà Nẵng|land</x:v>
      </x:c>
      <x:c r="P4464" s="10" t="n">
        <x:v>2</x:v>
      </x:c>
      <x:c r="Q4464" s="13" t="n">
        <x:f>IF(H4464="","",H4464/1000000000)</x:f>
        <x:v>2.5</x:v>
      </x:c>
      <x:c r="R4464" s="13" t="n">
        <x:f>IF(I4464="","",I4464/1000000)</x:f>
        <x:v>27.777777777777775</x:v>
      </x:c>
    </x:row>
    <x:row r="4465" ht="21" customHeight="1">
      <x:c r="A4465" s="10" t="n">
        <x:v>5952</x:v>
      </x:c>
      <x:c r="B4465" s="2" t="str">
        <x:v>1e16ef47505df6b156e5</x:v>
      </x:c>
      <x:c r="C4465" s="2" t="str">
        <x:v>Tp Hồ Chí Minh</x:v>
      </x:c>
      <x:c r="D4465" s="2" t="str">
        <x:v>Huyện Cần Giờ</x:v>
      </x:c>
      <x:c r="E4465" s="2" t="str">
        <x:v>land</x:v>
      </x:c>
      <x:c r="F4465" s="2" t="str">
        <x:v>sale_assumed</x:v>
      </x:c>
      <x:c r="G4465" s="11" t="n">
        <x:v>6000</x:v>
      </x:c>
      <x:c r="H4465" s="12" t="n">
        <x:v>6960000000</x:v>
      </x:c>
      <x:c r="I4465" s="12" t="n">
        <x:v>1160000</x:v>
      </x:c>
      <x:c r="J4465" s="2" t="str">
        <x:v>total</x:v>
      </x:c>
      <x:c r="K4465" s="2" t="str">
        <x:v>top_level_area</x:v>
      </x:c>
      <x:c r="L4465" s="2" t="str">
        <x:v>dot_thousands_convention;property_type_inferred_from_title;transaction_assumed_sale_from_dataset_context</x:v>
      </x:c>
      <x:c r="M4465" s="10" t="n">
        <x:v>0</x:v>
      </x:c>
      <x:c r="N4465" s="10" t="n">
        <x:v>0</x:v>
      </x:c>
      <x:c r="O4465" s="2" t="str">
        <x:v>Tp Hồ Chí Minh|land</x:v>
      </x:c>
      <x:c r="P4465" s="10" t="n">
        <x:v>1</x:v>
      </x:c>
      <x:c r="Q4465" s="13" t="n">
        <x:f>IF(H4465="","",H4465/1000000000)</x:f>
        <x:v>6.96</x:v>
      </x:c>
      <x:c r="R4465" s="13" t="n">
        <x:f>IF(I4465="","",I4465/1000000)</x:f>
        <x:v>1.16</x:v>
      </x:c>
    </x:row>
    <x:row r="4466" ht="21" customHeight="1">
      <x:c r="A4466" s="10" t="n">
        <x:v>5953</x:v>
      </x:c>
      <x:c r="B4466" s="2" t="str">
        <x:v>3df6504117438aa0646a</x:v>
      </x:c>
      <x:c r="C4466" s="2" t="str">
        <x:v>Tp Hồ Chí Minh</x:v>
      </x:c>
      <x:c r="D4466" s="2" t="str">
        <x:v>Quận Phú Nhuận</x:v>
      </x:c>
      <x:c r="E4466" s="2" t="str">
        <x:v>house</x:v>
      </x:c>
      <x:c r="F4466" s="2" t="str">
        <x:v>sale_assumed</x:v>
      </x:c>
      <x:c r="G4466" s="11" t="n">
        <x:v>64</x:v>
      </x:c>
      <x:c r="H4466" s="12" t="n">
        <x:v>15200000000</x:v>
      </x:c>
      <x:c r="I4466" s="12" t="n">
        <x:v>237500000</x:v>
      </x:c>
      <x:c r="J4466" s="2" t="str">
        <x:v>total</x:v>
      </x:c>
      <x:c r="K4466" s="2" t="str">
        <x:v>top_level_area</x:v>
      </x:c>
      <x:c r="L4466" s="2" t="str">
        <x:v>property_type_inferred_from_title;transaction_assumed_sale_from_dataset_context</x:v>
      </x:c>
      <x:c r="M4466" s="10" t="n">
        <x:v>1</x:v>
      </x:c>
      <x:c r="N4466" s="10" t="n">
        <x:v>1</x:v>
      </x:c>
      <x:c r="O4466" s="2" t="str">
        <x:v>Tp Hồ Chí Minh|house</x:v>
      </x:c>
      <x:c r="P4466" s="10" t="n">
        <x:v>-1</x:v>
      </x:c>
      <x:c r="Q4466" s="13" t="n">
        <x:f>IF(H4466="","",H4466/1000000000)</x:f>
        <x:v>15.2</x:v>
      </x:c>
      <x:c r="R4466" s="13" t="n">
        <x:f>IF(I4466="","",I4466/1000000)</x:f>
        <x:v>237.5</x:v>
      </x:c>
    </x:row>
    <x:row r="4467" ht="21" customHeight="1">
      <x:c r="A4467" s="10" t="n">
        <x:v>5954</x:v>
      </x:c>
      <x:c r="B4467" s="2" t="str">
        <x:v>b869f74939a388572d52</x:v>
      </x:c>
      <x:c r="C4467" s="2" t="str">
        <x:v>Đồng Nai</x:v>
      </x:c>
      <x:c r="D4467" s="2" t="str">
        <x:v>Thành phố Biên Hòa</x:v>
      </x:c>
      <x:c r="E4467" s="2" t="str">
        <x:v>land</x:v>
      </x:c>
      <x:c r="F4467" s="2" t="str">
        <x:v>sale_assumed</x:v>
      </x:c>
      <x:c r="G4467" s="11" t="n">
        <x:v>500</x:v>
      </x:c>
      <x:c r="H4467" s="12" t="n">
        <x:v>1290000000</x:v>
      </x:c>
      <x:c r="I4467" s="12" t="n">
        <x:v>2580000</x:v>
      </x:c>
      <x:c r="J4467" s="2" t="str">
        <x:v>total</x:v>
      </x:c>
      <x:c r="K4467" s="2" t="str">
        <x:v>top_level_area</x:v>
      </x:c>
      <x:c r="L4467" s="2" t="str">
        <x:v>property_type_inferred_from_title;transaction_assumed_sale_from_dataset_context</x:v>
      </x:c>
      <x:c r="M4467" s="10" t="n">
        <x:v>0</x:v>
      </x:c>
      <x:c r="N4467" s="10" t="n">
        <x:v>0</x:v>
      </x:c>
      <x:c r="O4467" s="2" t="str">
        <x:v>Đồng Nai|land</x:v>
      </x:c>
      <x:c r="P4467" s="10" t="n">
        <x:v>1</x:v>
      </x:c>
      <x:c r="Q4467" s="13" t="n">
        <x:f>IF(H4467="","",H4467/1000000000)</x:f>
        <x:v>1.29</x:v>
      </x:c>
      <x:c r="R4467" s="13" t="n">
        <x:f>IF(I4467="","",I4467/1000000)</x:f>
        <x:v>2.58</x:v>
      </x:c>
    </x:row>
    <x:row r="4468" ht="21" customHeight="1">
      <x:c r="A4468" s="10" t="n">
        <x:v>5955</x:v>
      </x:c>
      <x:c r="B4468" s="2" t="str">
        <x:v>81f22670eba03cf913d6</x:v>
      </x:c>
      <x:c r="C4468" s="2" t="str">
        <x:v>Tp Hồ Chí Minh</x:v>
      </x:c>
      <x:c r="D4468" s="2" t="str">
        <x:v>Huyện Bình Chánh</x:v>
      </x:c>
      <x:c r="E4468" s="2" t="str">
        <x:v>apartment</x:v>
      </x:c>
      <x:c r="F4468" s="2" t="str">
        <x:v>sale_assumed</x:v>
      </x:c>
      <x:c r="G4468" s="11" t="n">
        <x:v>40</x:v>
      </x:c>
      <x:c r="H4468" s="12" t="n">
        <x:v>300000000</x:v>
      </x:c>
      <x:c r="I4468" s="12" t="n">
        <x:v>7500000</x:v>
      </x:c>
      <x:c r="J4468" s="2" t="str">
        <x:v>total</x:v>
      </x:c>
      <x:c r="K4468" s="2" t="str">
        <x:v>top_level_price_embedded_area</x:v>
      </x:c>
      <x:c r="L4468" s="2" t="str">
        <x:v>area_recovered_from_price_text;property_type_inferred_from_title;transaction_assumed_sale_from_dataset_context</x:v>
      </x:c>
      <x:c r="M4468" s="10" t="n">
        <x:v>0</x:v>
      </x:c>
      <x:c r="N4468" s="10" t="n">
        <x:v>0</x:v>
      </x:c>
      <x:c r="O4468" s="2" t="str">
        <x:v>Tp Hồ Chí Minh|apartment</x:v>
      </x:c>
      <x:c r="P4468" s="10" t="n">
        <x:v>2</x:v>
      </x:c>
      <x:c r="Q4468" s="13" t="n">
        <x:f>IF(H4468="","",H4468/1000000000)</x:f>
        <x:v>0.3</x:v>
      </x:c>
      <x:c r="R4468" s="13" t="n">
        <x:f>IF(I4468="","",I4468/1000000)</x:f>
        <x:v>7.5</x:v>
      </x:c>
    </x:row>
    <x:row r="4469" ht="21" customHeight="1">
      <x:c r="A4469" s="10" t="n">
        <x:v>5956</x:v>
      </x:c>
      <x:c r="B4469" s="2" t="str">
        <x:v>992423bb2717d73dc1e5</x:v>
      </x:c>
      <x:c r="C4469" s="2" t="str">
        <x:v>Tp Hồ Chí Minh</x:v>
      </x:c>
      <x:c r="D4469" s="2" t="str">
        <x:v>Quận Bình Tân</x:v>
      </x:c>
      <x:c r="E4469" s="2" t="str">
        <x:v>house</x:v>
      </x:c>
      <x:c r="F4469" s="2" t="str">
        <x:v>sale_assumed</x:v>
      </x:c>
      <x:c r="G4469" s="11" t="n">
        <x:v>76</x:v>
      </x:c>
      <x:c r="H4469" s="12" t="n">
        <x:v>6800000000</x:v>
      </x:c>
      <x:c r="I4469" s="12" t="n">
        <x:v>89473684.21052632</x:v>
      </x:c>
      <x:c r="J4469" s="2" t="str">
        <x:v>total</x:v>
      </x:c>
      <x:c r="K4469" s="2" t="str">
        <x:v>top_level_area</x:v>
      </x:c>
      <x:c r="L4469" s="2" t="str">
        <x:v>property_type_inferred_from_title;transaction_assumed_sale_from_dataset_context</x:v>
      </x:c>
      <x:c r="M4469" s="10" t="n">
        <x:v>0</x:v>
      </x:c>
      <x:c r="N4469" s="10" t="n">
        <x:v>0</x:v>
      </x:c>
      <x:c r="O4469" s="2" t="str">
        <x:v>Tp Hồ Chí Minh|house</x:v>
      </x:c>
      <x:c r="P4469" s="10" t="n">
        <x:v>2</x:v>
      </x:c>
      <x:c r="Q4469" s="13" t="n">
        <x:f>IF(H4469="","",H4469/1000000000)</x:f>
        <x:v>6.8</x:v>
      </x:c>
      <x:c r="R4469" s="13" t="n">
        <x:f>IF(I4469="","",I4469/1000000)</x:f>
        <x:v>89.47368421052632</x:v>
      </x:c>
    </x:row>
    <x:row r="4470" ht="21" customHeight="1">
      <x:c r="A4470" s="10" t="n">
        <x:v>5957</x:v>
      </x:c>
      <x:c r="B4470" s="2" t="str">
        <x:v>576ecd6e2cbf6bbb566a</x:v>
      </x:c>
      <x:c r="C4470" s="2" t="str">
        <x:v>Đà Nẵng</x:v>
      </x:c>
      <x:c r="D4470" s="2" t="str">
        <x:v>Quận Hải Châu</x:v>
      </x:c>
      <x:c r="E4470" s="2" t="str">
        <x:v>house</x:v>
      </x:c>
      <x:c r="F4470" s="2" t="str">
        <x:v>sale</x:v>
      </x:c>
      <x:c r="G4470" s="11" t="n">
        <x:v>55</x:v>
      </x:c>
      <x:c r="H4470" s="12" t="n">
        <x:v>4150000000.0000005</x:v>
      </x:c>
      <x:c r="I4470" s="12" t="n">
        <x:v>75454545.45454547</x:v>
      </x:c>
      <x:c r="J4470" s="2" t="str">
        <x:v>total</x:v>
      </x:c>
      <x:c r="K4470" s="2" t="str">
        <x:v>top_level_area</x:v>
      </x:c>
      <x:c r="L4470" s="2" t="str">
        <x:v>property_type_inferred_from_title</x:v>
      </x:c>
      <x:c r="M4470" s="10" t="n">
        <x:v>0</x:v>
      </x:c>
      <x:c r="N4470" s="10" t="n">
        <x:v>0</x:v>
      </x:c>
      <x:c r="O4470" s="2" t="str">
        <x:v>Đà Nẵng|house</x:v>
      </x:c>
      <x:c r="P4470" s="10" t="n">
        <x:v>2</x:v>
      </x:c>
      <x:c r="Q4470" s="13" t="n">
        <x:f>IF(H4470="","",H4470/1000000000)</x:f>
        <x:v>4.15</x:v>
      </x:c>
      <x:c r="R4470" s="13" t="n">
        <x:f>IF(I4470="","",I4470/1000000)</x:f>
        <x:v>75.45454545454547</x:v>
      </x:c>
    </x:row>
    <x:row r="4471" ht="21" customHeight="1">
      <x:c r="A4471" s="10" t="n">
        <x:v>5958</x:v>
      </x:c>
      <x:c r="B4471" s="2" t="str">
        <x:v>e0e61d9a29ad6c4d70dc</x:v>
      </x:c>
      <x:c r="C4471" s="2" t="str">
        <x:v>Tp Hồ Chí Minh</x:v>
      </x:c>
      <x:c r="D4471" s="2" t="str">
        <x:v>Quận Bình Thạnh</x:v>
      </x:c>
      <x:c r="E4471" s="2" t="str">
        <x:v>house</x:v>
      </x:c>
      <x:c r="F4471" s="2" t="str">
        <x:v>sale_assumed</x:v>
      </x:c>
      <x:c r="G4471" s="11" t="n">
        <x:v>37</x:v>
      </x:c>
      <x:c r="H4471" s="12" t="n">
        <x:v>5450000000</x:v>
      </x:c>
      <x:c r="I4471" s="12" t="n">
        <x:v>147297297.2972973</x:v>
      </x:c>
      <x:c r="J4471" s="2" t="str">
        <x:v>total</x:v>
      </x:c>
      <x:c r="K4471" s="2" t="str">
        <x:v>top_level_area</x:v>
      </x:c>
      <x:c r="L4471" s="2" t="str">
        <x:v>property_type_inferred_from_title;transaction_assumed_sale_from_dataset_context</x:v>
      </x:c>
      <x:c r="M4471" s="10" t="n">
        <x:v>0</x:v>
      </x:c>
      <x:c r="N4471" s="10" t="n">
        <x:v>0</x:v>
      </x:c>
      <x:c r="O4471" s="2" t="str">
        <x:v>Tp Hồ Chí Minh|house</x:v>
      </x:c>
      <x:c r="P4471" s="10" t="n">
        <x:v>2</x:v>
      </x:c>
      <x:c r="Q4471" s="13" t="n">
        <x:f>IF(H4471="","",H4471/1000000000)</x:f>
        <x:v>5.45</x:v>
      </x:c>
      <x:c r="R4471" s="13" t="n">
        <x:f>IF(I4471="","",I4471/1000000)</x:f>
        <x:v>147.2972972972973</x:v>
      </x:c>
    </x:row>
    <x:row r="4472" ht="21" customHeight="1">
      <x:c r="A4472" s="10" t="n">
        <x:v>5959</x:v>
      </x:c>
      <x:c r="B4472" s="2" t="str">
        <x:v>8eb50e306949e5dacc7d</x:v>
      </x:c>
      <x:c r="C4472" s="2" t="str">
        <x:v>Tp Hồ Chí Minh</x:v>
      </x:c>
      <x:c r="D4472" s="2" t="str">
        <x:v>Quận 12</x:v>
      </x:c>
      <x:c r="E4472" s="2" t="str">
        <x:v>other_unknown</x:v>
      </x:c>
      <x:c r="F4472" s="2" t="str">
        <x:v>sale</x:v>
      </x:c>
      <x:c r="G4472" s="11" t="n">
        <x:v>50</x:v>
      </x:c>
      <x:c r="H4472" s="12" t="n">
        <x:v>1900000000</x:v>
      </x:c>
      <x:c r="I4472" s="12" t="n">
        <x:v>38000000</x:v>
      </x:c>
      <x:c r="J4472" s="2" t="str">
        <x:v>total</x:v>
      </x:c>
      <x:c r="K4472" s="2" t="str">
        <x:v>top_level_area</x:v>
      </x:c>
      <x:c r="L4472" s="2" t="str">
        <x:v>property_type_inferred_from_title;unknown_property_type</x:v>
      </x:c>
      <x:c r="M4472" s="10" t="n">
        <x:v>0</x:v>
      </x:c>
      <x:c r="N4472" s="10" t="n">
        <x:v>0</x:v>
      </x:c>
      <x:c r="O4472" s="2" t="str">
        <x:v>Tp Hồ Chí Minh|other_unknown</x:v>
      </x:c>
      <x:c r="P4472" s="10" t="n">
        <x:v>2</x:v>
      </x:c>
      <x:c r="Q4472" s="13" t="n">
        <x:f>IF(H4472="","",H4472/1000000000)</x:f>
        <x:v>1.9</x:v>
      </x:c>
      <x:c r="R4472" s="13" t="n">
        <x:f>IF(I4472="","",I4472/1000000)</x:f>
        <x:v>38</x:v>
      </x:c>
    </x:row>
    <x:row r="4473" ht="21" customHeight="1">
      <x:c r="A4473" s="10" t="n">
        <x:v>5960</x:v>
      </x:c>
      <x:c r="B4473" s="2" t="str">
        <x:v>645b3457a78695914b91</x:v>
      </x:c>
      <x:c r="C4473" s="2" t="str">
        <x:v>Tp Hồ Chí Minh</x:v>
      </x:c>
      <x:c r="D4473" s="2" t="str">
        <x:v>Huyện Bình Chánh</x:v>
      </x:c>
      <x:c r="E4473" s="2" t="str">
        <x:v>other_unknown</x:v>
      </x:c>
      <x:c r="F4473" s="2" t="str">
        <x:v>sale</x:v>
      </x:c>
      <x:c r="G4473" s="11" t="n">
        <x:v>120</x:v>
      </x:c>
      <x:c r="H4473" s="12" t="n">
        <x:v>4440000000</x:v>
      </x:c>
      <x:c r="I4473" s="12" t="n">
        <x:v>37000000</x:v>
      </x:c>
      <x:c r="J4473" s="2" t="str">
        <x:v>total</x:v>
      </x:c>
      <x:c r="K4473" s="2" t="str">
        <x:v>top_level_price_embedded_area</x:v>
      </x:c>
      <x:c r="L4473" s="2" t="str">
        <x:v>area_recovered_from_price_text;property_type_inferred_from_title;unknown_property_type</x:v>
      </x:c>
      <x:c r="M4473" s="10" t="n">
        <x:v>0</x:v>
      </x:c>
      <x:c r="N4473" s="10" t="n">
        <x:v>0</x:v>
      </x:c>
      <x:c r="O4473" s="2" t="str">
        <x:v>Tp Hồ Chí Minh|other_unknown</x:v>
      </x:c>
      <x:c r="P4473" s="10" t="n">
        <x:v>2</x:v>
      </x:c>
      <x:c r="Q4473" s="13" t="n">
        <x:f>IF(H4473="","",H4473/1000000000)</x:f>
        <x:v>4.44</x:v>
      </x:c>
      <x:c r="R4473" s="13" t="n">
        <x:f>IF(I4473="","",I4473/1000000)</x:f>
        <x:v>37</x:v>
      </x:c>
    </x:row>
    <x:row r="4474" ht="21" customHeight="1">
      <x:c r="A4474" s="10" t="n">
        <x:v>5961</x:v>
      </x:c>
      <x:c r="B4474" s="2" t="str">
        <x:v>c0078e4bf198f840acd7</x:v>
      </x:c>
      <x:c r="C4474" s="2" t="str">
        <x:v>Long An</x:v>
      </x:c>
      <x:c r="D4474" s="2" t="str">
        <x:v>Huyện Đức Hòa</x:v>
      </x:c>
      <x:c r="E4474" s="2" t="str">
        <x:v>house</x:v>
      </x:c>
      <x:c r="F4474" s="2" t="str">
        <x:v>sale_assumed</x:v>
      </x:c>
      <x:c r="G4474" s="11" t="n">
        <x:v>60</x:v>
      </x:c>
      <x:c r="H4474" s="12" t="n">
        <x:v>680000000</x:v>
      </x:c>
      <x:c r="I4474" s="12" t="n">
        <x:v>11333333.333333334</x:v>
      </x:c>
      <x:c r="J4474" s="2" t="str">
        <x:v>total</x:v>
      </x:c>
      <x:c r="K4474" s="2" t="str">
        <x:v>top_level_area</x:v>
      </x:c>
      <x:c r="L4474" s="2" t="str">
        <x:v>property_type_inferred_from_title;transaction_assumed_sale_from_dataset_context</x:v>
      </x:c>
      <x:c r="M4474" s="10" t="n">
        <x:v>0</x:v>
      </x:c>
      <x:c r="N4474" s="10" t="n">
        <x:v>0</x:v>
      </x:c>
      <x:c r="O4474" s="2" t="str">
        <x:v>Long An|house</x:v>
      </x:c>
      <x:c r="P4474" s="10" t="n">
        <x:v>2</x:v>
      </x:c>
      <x:c r="Q4474" s="13" t="n">
        <x:f>IF(H4474="","",H4474/1000000000)</x:f>
        <x:v>0.68</x:v>
      </x:c>
      <x:c r="R4474" s="13" t="n">
        <x:f>IF(I4474="","",I4474/1000000)</x:f>
        <x:v>11.333333333333334</x:v>
      </x:c>
    </x:row>
    <x:row r="4475" ht="21" customHeight="1">
      <x:c r="A4475" s="10" t="n">
        <x:v>5966</x:v>
      </x:c>
      <x:c r="B4475" s="2" t="str">
        <x:v>faea2a953fffb610e86e</x:v>
      </x:c>
      <x:c r="C4475" s="2" t="str">
        <x:v>Tp Hồ Chí Minh</x:v>
      </x:c>
      <x:c r="D4475" s="2" t="str">
        <x:v>Quận 12</x:v>
      </x:c>
      <x:c r="E4475" s="2" t="str">
        <x:v>house</x:v>
      </x:c>
      <x:c r="F4475" s="2" t="str">
        <x:v>sale</x:v>
      </x:c>
      <x:c r="G4475" s="11" t="n">
        <x:v>32</x:v>
      </x:c>
      <x:c r="H4475" s="12" t="n">
        <x:v>490000000</x:v>
      </x:c>
      <x:c r="I4475" s="12" t="n">
        <x:v>15312500</x:v>
      </x:c>
      <x:c r="J4475" s="2" t="str">
        <x:v>total</x:v>
      </x:c>
      <x:c r="K4475" s="2" t="str">
        <x:v>top_level_price_embedded_area</x:v>
      </x:c>
      <x:c r="L4475" s="2" t="str">
        <x:v>area_recovered_from_price_text;property_type_inferred_from_title</x:v>
      </x:c>
      <x:c r="M4475" s="10" t="n">
        <x:v>0</x:v>
      </x:c>
      <x:c r="N4475" s="10" t="n">
        <x:v>0</x:v>
      </x:c>
      <x:c r="O4475" s="2" t="str">
        <x:v>Tp Hồ Chí Minh|house</x:v>
      </x:c>
      <x:c r="P4475" s="10" t="n">
        <x:v>2</x:v>
      </x:c>
      <x:c r="Q4475" s="13" t="n">
        <x:f>IF(H4475="","",H4475/1000000000)</x:f>
        <x:v>0.49</x:v>
      </x:c>
      <x:c r="R4475" s="13" t="n">
        <x:f>IF(I4475="","",I4475/1000000)</x:f>
        <x:v>15.3125</x:v>
      </x:c>
    </x:row>
    <x:row r="4476" ht="21" customHeight="1">
      <x:c r="A4476" s="10" t="n">
        <x:v>5967</x:v>
      </x:c>
      <x:c r="B4476" s="2" t="str">
        <x:v>dbbe6f53bf6c73be87cc</x:v>
      </x:c>
      <x:c r="C4476" s="2" t="str">
        <x:v>Đà Nẵng</x:v>
      </x:c>
      <x:c r="D4476" s="2" t="str">
        <x:v>Quận Sơn Trà</x:v>
      </x:c>
      <x:c r="E4476" s="2" t="str">
        <x:v>apartment</x:v>
      </x:c>
      <x:c r="F4476" s="2" t="str">
        <x:v>sale_assumed</x:v>
      </x:c>
      <x:c r="G4476" s="11" t="n">
        <x:v>100</x:v>
      </x:c>
      <x:c r="H4476" s="12" t="n">
        <x:v>11000000000</x:v>
      </x:c>
      <x:c r="I4476" s="12" t="n">
        <x:v>110000000</x:v>
      </x:c>
      <x:c r="J4476" s="2" t="str">
        <x:v>total</x:v>
      </x:c>
      <x:c r="K4476" s="2" t="str">
        <x:v>top_level_area</x:v>
      </x:c>
      <x:c r="L4476" s="2" t="str">
        <x:v>property_type_inferred_from_title;transaction_assumed_sale_from_dataset_context</x:v>
      </x:c>
      <x:c r="M4476" s="10" t="n">
        <x:v>0</x:v>
      </x:c>
      <x:c r="N4476" s="10" t="n">
        <x:v>1</x:v>
      </x:c>
      <x:c r="O4476" s="2" t="str">
        <x:v>apartment</x:v>
      </x:c>
      <x:c r="P4476" s="10" t="n">
        <x:v>-1</x:v>
      </x:c>
      <x:c r="Q4476" s="13" t="n">
        <x:f>IF(H4476="","",H4476/1000000000)</x:f>
        <x:v>11</x:v>
      </x:c>
      <x:c r="R4476" s="13" t="n">
        <x:f>IF(I4476="","",I4476/1000000)</x:f>
        <x:v>110</x:v>
      </x:c>
    </x:row>
    <x:row r="4477" ht="21" customHeight="1">
      <x:c r="A4477" s="10" t="n">
        <x:v>5968</x:v>
      </x:c>
      <x:c r="B4477" s="2" t="str">
        <x:v>e60005c6b020c78c97db</x:v>
      </x:c>
      <x:c r="C4477" s="2" t="str">
        <x:v>Tp Hồ Chí Minh</x:v>
      </x:c>
      <x:c r="D4477" s="2" t="str">
        <x:v>Quận 8</x:v>
      </x:c>
      <x:c r="E4477" s="2" t="str">
        <x:v>house</x:v>
      </x:c>
      <x:c r="F4477" s="2" t="str">
        <x:v>sale</x:v>
      </x:c>
      <x:c r="G4477" s="11" t="n">
        <x:v>48</x:v>
      </x:c>
      <x:c r="H4477" s="12" t="n">
        <x:v>1930000000</x:v>
      </x:c>
      <x:c r="I4477" s="12" t="n">
        <x:v>40208333.333333336</x:v>
      </x:c>
      <x:c r="J4477" s="2" t="str">
        <x:v>total</x:v>
      </x:c>
      <x:c r="K4477" s="2" t="str">
        <x:v>top_level_area</x:v>
      </x:c>
      <x:c r="L4477" s="2" t="str">
        <x:v>property_type_inferred_from_title</x:v>
      </x:c>
      <x:c r="M4477" s="10" t="n">
        <x:v>0</x:v>
      </x:c>
      <x:c r="N4477" s="10" t="n">
        <x:v>0</x:v>
      </x:c>
      <x:c r="O4477" s="2" t="str">
        <x:v>Tp Hồ Chí Minh|house</x:v>
      </x:c>
      <x:c r="P4477" s="10" t="n">
        <x:v>2</x:v>
      </x:c>
      <x:c r="Q4477" s="13" t="n">
        <x:f>IF(H4477="","",H4477/1000000000)</x:f>
        <x:v>1.93</x:v>
      </x:c>
      <x:c r="R4477" s="13" t="n">
        <x:f>IF(I4477="","",I4477/1000000)</x:f>
        <x:v>40.208333333333336</x:v>
      </x:c>
    </x:row>
    <x:row r="4478" ht="21" customHeight="1">
      <x:c r="A4478" s="10" t="n">
        <x:v>5969</x:v>
      </x:c>
      <x:c r="B4478" s="2" t="str">
        <x:v>7a00a9e16952f53adef6</x:v>
      </x:c>
      <x:c r="C4478" s="2" t="str">
        <x:v>Tp Hồ Chí Minh</x:v>
      </x:c>
      <x:c r="D4478" s="2" t="str">
        <x:v>Huyện Củ Chi</x:v>
      </x:c>
      <x:c r="E4478" s="2" t="str">
        <x:v>land</x:v>
      </x:c>
      <x:c r="F4478" s="2" t="str">
        <x:v>sale_assumed</x:v>
      </x:c>
      <x:c r="G4478" s="11" t="n">
        <x:v>110</x:v>
      </x:c>
      <x:c r="H4478" s="12" t="n">
        <x:v>1250000000</x:v>
      </x:c>
      <x:c r="I4478" s="12" t="n">
        <x:v>11363636.363636363</x:v>
      </x:c>
      <x:c r="J4478" s="2" t="str">
        <x:v>total</x:v>
      </x:c>
      <x:c r="K4478" s="2" t="str">
        <x:v>top_level_area</x:v>
      </x:c>
      <x:c r="L4478" s="2" t="str">
        <x:v>property_type_inferred_from_title;transaction_assumed_sale_from_dataset_context</x:v>
      </x:c>
      <x:c r="M4478" s="10" t="n">
        <x:v>0</x:v>
      </x:c>
      <x:c r="N4478" s="10" t="n">
        <x:v>0</x:v>
      </x:c>
      <x:c r="O4478" s="2" t="str">
        <x:v>Tp Hồ Chí Minh|land</x:v>
      </x:c>
      <x:c r="P4478" s="10" t="n">
        <x:v>2</x:v>
      </x:c>
      <x:c r="Q4478" s="13" t="n">
        <x:f>IF(H4478="","",H4478/1000000000)</x:f>
        <x:v>1.25</x:v>
      </x:c>
      <x:c r="R4478" s="13" t="n">
        <x:f>IF(I4478="","",I4478/1000000)</x:f>
        <x:v>11.363636363636363</x:v>
      </x:c>
    </x:row>
    <x:row r="4479" ht="21" customHeight="1">
      <x:c r="A4479" s="10" t="n">
        <x:v>5970</x:v>
      </x:c>
      <x:c r="B4479" s="2" t="str">
        <x:v>9711d60dabf7038cbe63</x:v>
      </x:c>
      <x:c r="C4479" s="2" t="str">
        <x:v>Tp Hồ Chí Minh</x:v>
      </x:c>
      <x:c r="D4479" s="2" t="str">
        <x:v>Quận 2</x:v>
      </x:c>
      <x:c r="E4479" s="2" t="str">
        <x:v>apartment</x:v>
      </x:c>
      <x:c r="F4479" s="2" t="str">
        <x:v>sale_assumed</x:v>
      </x:c>
      <x:c r="G4479" s="11" t="n">
        <x:v>100</x:v>
      </x:c>
      <x:c r="H4479" s="12" t="n">
        <x:v>2850000000</x:v>
      </x:c>
      <x:c r="I4479" s="12" t="n">
        <x:v>28500000</x:v>
      </x:c>
      <x:c r="J4479" s="2" t="str">
        <x:v>total</x:v>
      </x:c>
      <x:c r="K4479" s="2" t="str">
        <x:v>top_level_area</x:v>
      </x:c>
      <x:c r="L4479" s="2" t="str">
        <x:v>property_type_inferred_from_title;transaction_assumed_sale_from_dataset_context</x:v>
      </x:c>
      <x:c r="M4479" s="10" t="n">
        <x:v>0</x:v>
      </x:c>
      <x:c r="N4479" s="10" t="n">
        <x:v>0</x:v>
      </x:c>
      <x:c r="O4479" s="2" t="str">
        <x:v>Tp Hồ Chí Minh|apartment</x:v>
      </x:c>
      <x:c r="P4479" s="10" t="n">
        <x:v>2</x:v>
      </x:c>
      <x:c r="Q4479" s="13" t="n">
        <x:f>IF(H4479="","",H4479/1000000000)</x:f>
        <x:v>2.85</x:v>
      </x:c>
      <x:c r="R4479" s="13" t="n">
        <x:f>IF(I4479="","",I4479/1000000)</x:f>
        <x:v>28.5</x:v>
      </x:c>
    </x:row>
    <x:row r="4480" ht="21" customHeight="1">
      <x:c r="A4480" s="10" t="n">
        <x:v>5971</x:v>
      </x:c>
      <x:c r="B4480" s="2" t="str">
        <x:v>3ccb3d423e8ecebfc078</x:v>
      </x:c>
      <x:c r="C4480" s="2" t="str">
        <x:v>Tp Hồ Chí Minh</x:v>
      </x:c>
      <x:c r="D4480" s="2" t="str">
        <x:v>Quận 4</x:v>
      </x:c>
      <x:c r="E4480" s="2" t="str">
        <x:v>house</x:v>
      </x:c>
      <x:c r="F4480" s="2" t="str">
        <x:v>sale</x:v>
      </x:c>
      <x:c r="G4480" s="11" t="n">
        <x:v>45</x:v>
      </x:c>
      <x:c r="H4480" s="12" t="n">
        <x:v>785000000</x:v>
      </x:c>
      <x:c r="I4480" s="12" t="n">
        <x:v>17444444.444444444</x:v>
      </x:c>
      <x:c r="J4480" s="2" t="str">
        <x:v>total</x:v>
      </x:c>
      <x:c r="K4480" s="2" t="str">
        <x:v>top_level_area</x:v>
      </x:c>
      <x:c r="L4480" s="2" t="str">
        <x:v>property_type_inferred_from_title</x:v>
      </x:c>
      <x:c r="M4480" s="10" t="n">
        <x:v>0</x:v>
      </x:c>
      <x:c r="N4480" s="10" t="n">
        <x:v>0</x:v>
      </x:c>
      <x:c r="O4480" s="2" t="str">
        <x:v>Tp Hồ Chí Minh|house</x:v>
      </x:c>
      <x:c r="P4480" s="10" t="n">
        <x:v>2</x:v>
      </x:c>
      <x:c r="Q4480" s="13" t="n">
        <x:f>IF(H4480="","",H4480/1000000000)</x:f>
        <x:v>0.785</x:v>
      </x:c>
      <x:c r="R4480" s="13" t="n">
        <x:f>IF(I4480="","",I4480/1000000)</x:f>
        <x:v>17.444444444444443</x:v>
      </x:c>
    </x:row>
    <x:row r="4481" ht="21" customHeight="1">
      <x:c r="A4481" s="10" t="n">
        <x:v>5973</x:v>
      </x:c>
      <x:c r="B4481" s="2" t="str">
        <x:v>7e4bdf4e8769bf444b44</x:v>
      </x:c>
      <x:c r="C4481" s="2" t="str">
        <x:v>Tp Hồ Chí Minh</x:v>
      </x:c>
      <x:c r="D4481" s="2" t="str">
        <x:v>Huyện Hóc Môn</x:v>
      </x:c>
      <x:c r="E4481" s="2" t="str">
        <x:v>house</x:v>
      </x:c>
      <x:c r="F4481" s="2" t="str">
        <x:v>sale</x:v>
      </x:c>
      <x:c r="G4481" s="11" t="n">
        <x:v>40</x:v>
      </x:c>
      <x:c r="H4481" s="12" t="n">
        <x:v>280000000</x:v>
      </x:c>
      <x:c r="I4481" s="12" t="n">
        <x:v>7000000</x:v>
      </x:c>
      <x:c r="J4481" s="2" t="str">
        <x:v>total</x:v>
      </x:c>
      <x:c r="K4481" s="2" t="str">
        <x:v>top_level_area</x:v>
      </x:c>
      <x:c r="L4481" s="2" t="str">
        <x:v>property_type_inferred_from_title</x:v>
      </x:c>
      <x:c r="M4481" s="10" t="n">
        <x:v>0</x:v>
      </x:c>
      <x:c r="N4481" s="10" t="n">
        <x:v>0</x:v>
      </x:c>
      <x:c r="O4481" s="2" t="str">
        <x:v>Tp Hồ Chí Minh|house</x:v>
      </x:c>
      <x:c r="P4481" s="10" t="n">
        <x:v>2</x:v>
      </x:c>
      <x:c r="Q4481" s="13" t="n">
        <x:f>IF(H4481="","",H4481/1000000000)</x:f>
        <x:v>0.28</x:v>
      </x:c>
      <x:c r="R4481" s="13" t="n">
        <x:f>IF(I4481="","",I4481/1000000)</x:f>
        <x:v>7</x:v>
      </x:c>
    </x:row>
    <x:row r="4482" ht="21" customHeight="1">
      <x:c r="A4482" s="10" t="n">
        <x:v>5974</x:v>
      </x:c>
      <x:c r="B4482" s="2" t="str">
        <x:v>027e298454aff309983f</x:v>
      </x:c>
      <x:c r="C4482" s="2" t="str">
        <x:v>Tp Hồ Chí Minh</x:v>
      </x:c>
      <x:c r="D4482" s="2" t="str">
        <x:v>Quận Gò Vấp</x:v>
      </x:c>
      <x:c r="E4482" s="2" t="str">
        <x:v>house</x:v>
      </x:c>
      <x:c r="F4482" s="2" t="str">
        <x:v>sale_assumed</x:v>
      </x:c>
      <x:c r="G4482" s="11" t="n">
        <x:v>92</x:v>
      </x:c>
      <x:c r="H4482" s="12" t="n">
        <x:v>2650000000</x:v>
      </x:c>
      <x:c r="I4482" s="12" t="n">
        <x:v>28804347.826086957</x:v>
      </x:c>
      <x:c r="J4482" s="2" t="str">
        <x:v>total</x:v>
      </x:c>
      <x:c r="K4482" s="2" t="str">
        <x:v>top_level_area</x:v>
      </x:c>
      <x:c r="L4482" s="2" t="str">
        <x:v>property_type_inferred_from_title;transaction_assumed_sale_from_dataset_context</x:v>
      </x:c>
      <x:c r="M4482" s="10" t="n">
        <x:v>0</x:v>
      </x:c>
      <x:c r="N4482" s="10" t="n">
        <x:v>0</x:v>
      </x:c>
      <x:c r="O4482" s="2" t="str">
        <x:v>Tp Hồ Chí Minh|house</x:v>
      </x:c>
      <x:c r="P4482" s="10" t="n">
        <x:v>2</x:v>
      </x:c>
      <x:c r="Q4482" s="13" t="n">
        <x:f>IF(H4482="","",H4482/1000000000)</x:f>
        <x:v>2.65</x:v>
      </x:c>
      <x:c r="R4482" s="13" t="n">
        <x:f>IF(I4482="","",I4482/1000000)</x:f>
        <x:v>28.804347826086957</x:v>
      </x:c>
    </x:row>
    <x:row r="4483" ht="21" customHeight="1">
      <x:c r="A4483" s="10" t="n">
        <x:v>5975</x:v>
      </x:c>
      <x:c r="B4483" s="2" t="str">
        <x:v>3e9179ecb50fe558f5c8</x:v>
      </x:c>
      <x:c r="C4483" s="2" t="str">
        <x:v>Tp Hồ Chí Minh</x:v>
      </x:c>
      <x:c r="D4483" s="2" t="str">
        <x:v>Huyện Hóc Môn</x:v>
      </x:c>
      <x:c r="E4483" s="2" t="str">
        <x:v>house</x:v>
      </x:c>
      <x:c r="F4483" s="2" t="str">
        <x:v>sale</x:v>
      </x:c>
      <x:c r="G4483" s="11" t="n">
        <x:v>48</x:v>
      </x:c>
      <x:c r="H4483" s="12" t="n">
        <x:v>690000000</x:v>
      </x:c>
      <x:c r="I4483" s="12" t="n">
        <x:v>14375000</x:v>
      </x:c>
      <x:c r="J4483" s="2" t="str">
        <x:v>total</x:v>
      </x:c>
      <x:c r="K4483" s="2" t="str">
        <x:v>top_level_price_embedded_area</x:v>
      </x:c>
      <x:c r="L4483" s="2" t="str">
        <x:v>area_recovered_from_price_text;property_type_inferred_from_title</x:v>
      </x:c>
      <x:c r="M4483" s="10" t="n">
        <x:v>0</x:v>
      </x:c>
      <x:c r="N4483" s="10" t="n">
        <x:v>0</x:v>
      </x:c>
      <x:c r="O4483" s="2" t="str">
        <x:v>Tp Hồ Chí Minh|house</x:v>
      </x:c>
      <x:c r="P4483" s="10" t="n">
        <x:v>2</x:v>
      </x:c>
      <x:c r="Q4483" s="13" t="n">
        <x:f>IF(H4483="","",H4483/1000000000)</x:f>
        <x:v>0.69</x:v>
      </x:c>
      <x:c r="R4483" s="13" t="n">
        <x:f>IF(I4483="","",I4483/1000000)</x:f>
        <x:v>14.375</x:v>
      </x:c>
    </x:row>
    <x:row r="4484" ht="21" customHeight="1">
      <x:c r="A4484" s="10" t="n">
        <x:v>5976</x:v>
      </x:c>
      <x:c r="B4484" s="2" t="str">
        <x:v>06ae68524e72eb41e9e9</x:v>
      </x:c>
      <x:c r="C4484" s="2" t="str">
        <x:v>Đà Nẵng</x:v>
      </x:c>
      <x:c r="D4484" s="2" t="str">
        <x:v>Quận Liên Chiểu</x:v>
      </x:c>
      <x:c r="E4484" s="2" t="str">
        <x:v>other_unknown</x:v>
      </x:c>
      <x:c r="F4484" s="2" t="str">
        <x:v>sale_assumed</x:v>
      </x:c>
      <x:c r="G4484" s="11" t="n">
        <x:v>100</x:v>
      </x:c>
      <x:c r="H4484" s="12" t="n">
        <x:v>5800000000</x:v>
      </x:c>
      <x:c r="I4484" s="12" t="n">
        <x:v>58000000</x:v>
      </x:c>
      <x:c r="J4484" s="2" t="str">
        <x:v>total</x:v>
      </x:c>
      <x:c r="K4484" s="2" t="str">
        <x:v>top_level_area</x:v>
      </x:c>
      <x:c r="L4484" s="2" t="str">
        <x:v>property_type_inferred_from_title;transaction_assumed_sale_from_dataset_context;unknown_property_type</x:v>
      </x:c>
      <x:c r="M4484" s="10" t="n">
        <x:v>0</x:v>
      </x:c>
      <x:c r="N4484" s="10" t="n">
        <x:v>0</x:v>
      </x:c>
      <x:c r="O4484" s="2" t="str">
        <x:v>Đà Nẵng|other_unknown</x:v>
      </x:c>
      <x:c r="P4484" s="10" t="n">
        <x:v>2</x:v>
      </x:c>
      <x:c r="Q4484" s="13" t="n">
        <x:f>IF(H4484="","",H4484/1000000000)</x:f>
        <x:v>5.8</x:v>
      </x:c>
      <x:c r="R4484" s="13" t="n">
        <x:f>IF(I4484="","",I4484/1000000)</x:f>
        <x:v>58</x:v>
      </x:c>
    </x:row>
    <x:row r="4485" ht="21" customHeight="1">
      <x:c r="A4485" s="10" t="n">
        <x:v>5977</x:v>
      </x:c>
      <x:c r="B4485" s="2" t="str">
        <x:v>c9e15ed3e27687618179</x:v>
      </x:c>
      <x:c r="C4485" s="2" t="str">
        <x:v>Tp Hồ Chí Minh</x:v>
      </x:c>
      <x:c r="D4485" s="2" t="str">
        <x:v>Quận 2</x:v>
      </x:c>
      <x:c r="E4485" s="2" t="str">
        <x:v>house</x:v>
      </x:c>
      <x:c r="F4485" s="2" t="str">
        <x:v>sale</x:v>
      </x:c>
      <x:c r="G4485" s="11" t="n">
        <x:v>300</x:v>
      </x:c>
      <x:c r="H4485" s="12" t="n">
        <x:v>9800000000</x:v>
      </x:c>
      <x:c r="I4485" s="12" t="n">
        <x:v>32666666.666666668</x:v>
      </x:c>
      <x:c r="J4485" s="2" t="str">
        <x:v>total</x:v>
      </x:c>
      <x:c r="K4485" s="2" t="str">
        <x:v>top_level_area</x:v>
      </x:c>
      <x:c r="L4485" s="2" t="str">
        <x:v>property_type_inferred_from_title</x:v>
      </x:c>
      <x:c r="M4485" s="10" t="n">
        <x:v>0</x:v>
      </x:c>
      <x:c r="N4485" s="10" t="n">
        <x:v>0</x:v>
      </x:c>
      <x:c r="O4485" s="2" t="str">
        <x:v>Tp Hồ Chí Minh|house</x:v>
      </x:c>
      <x:c r="P4485" s="10" t="n">
        <x:v>2</x:v>
      </x:c>
      <x:c r="Q4485" s="13" t="n">
        <x:f>IF(H4485="","",H4485/1000000000)</x:f>
        <x:v>9.8</x:v>
      </x:c>
      <x:c r="R4485" s="13" t="n">
        <x:f>IF(I4485="","",I4485/1000000)</x:f>
        <x:v>32.66666666666667</x:v>
      </x:c>
    </x:row>
    <x:row r="4486" ht="21" customHeight="1">
      <x:c r="A4486" s="10" t="n">
        <x:v>5978</x:v>
      </x:c>
      <x:c r="B4486" s="2" t="str">
        <x:v>1ee6c6740f73b01cf97d</x:v>
      </x:c>
      <x:c r="C4486" s="2" t="str">
        <x:v>Tp Hồ Chí Minh</x:v>
      </x:c>
      <x:c r="D4486" s="2" t="str">
        <x:v>Quận Thủ Đức</x:v>
      </x:c>
      <x:c r="E4486" s="2" t="str">
        <x:v>house</x:v>
      </x:c>
      <x:c r="F4486" s="2" t="str">
        <x:v>sale</x:v>
      </x:c>
      <x:c r="G4486" s="11" t="n">
        <x:v>60</x:v>
      </x:c>
      <x:c r="H4486" s="12" t="n">
        <x:v>6500000000</x:v>
      </x:c>
      <x:c r="I4486" s="12" t="n">
        <x:v>108333333.33333333</x:v>
      </x:c>
      <x:c r="J4486" s="2" t="str">
        <x:v>total</x:v>
      </x:c>
      <x:c r="K4486" s="2" t="str">
        <x:v>top_level_area</x:v>
      </x:c>
      <x:c r="L4486" s="2" t="str">
        <x:v>property_type_inferred_from_title</x:v>
      </x:c>
      <x:c r="M4486" s="10" t="n">
        <x:v>0</x:v>
      </x:c>
      <x:c r="N4486" s="10" t="n">
        <x:v>0</x:v>
      </x:c>
      <x:c r="O4486" s="2" t="str">
        <x:v>Tp Hồ Chí Minh|house</x:v>
      </x:c>
      <x:c r="P4486" s="10" t="n">
        <x:v>2</x:v>
      </x:c>
      <x:c r="Q4486" s="13" t="n">
        <x:f>IF(H4486="","",H4486/1000000000)</x:f>
        <x:v>6.5</x:v>
      </x:c>
      <x:c r="R4486" s="13" t="n">
        <x:f>IF(I4486="","",I4486/1000000)</x:f>
        <x:v>108.33333333333333</x:v>
      </x:c>
    </x:row>
    <x:row r="4487" ht="21" customHeight="1">
      <x:c r="A4487" s="10" t="n">
        <x:v>5979</x:v>
      </x:c>
      <x:c r="B4487" s="2" t="str">
        <x:v>6584be4075c40ce83863</x:v>
      </x:c>
      <x:c r="C4487" s="2" t="str">
        <x:v>Tp Hồ Chí Minh</x:v>
      </x:c>
      <x:c r="D4487" s="2" t="str">
        <x:v>Quận 12</x:v>
      </x:c>
      <x:c r="E4487" s="2" t="str">
        <x:v>land</x:v>
      </x:c>
      <x:c r="F4487" s="2" t="str">
        <x:v>sale_assumed</x:v>
      </x:c>
      <x:c r="G4487" s="11" t="n">
        <x:v>70</x:v>
      </x:c>
      <x:c r="H4487" s="12" t="n">
        <x:v>730000000</x:v>
      </x:c>
      <x:c r="I4487" s="12" t="n">
        <x:v>10428571.42857143</x:v>
      </x:c>
      <x:c r="J4487" s="2" t="str">
        <x:v>total</x:v>
      </x:c>
      <x:c r="K4487" s="2" t="str">
        <x:v>top_level_area</x:v>
      </x:c>
      <x:c r="L4487" s="2" t="str">
        <x:v>property_type_inferred_from_title;transaction_assumed_sale_from_dataset_context</x:v>
      </x:c>
      <x:c r="M4487" s="10" t="n">
        <x:v>0</x:v>
      </x:c>
      <x:c r="N4487" s="10" t="n">
        <x:v>0</x:v>
      </x:c>
      <x:c r="O4487" s="2" t="str">
        <x:v>Tp Hồ Chí Minh|land</x:v>
      </x:c>
      <x:c r="P4487" s="10" t="n">
        <x:v>2</x:v>
      </x:c>
      <x:c r="Q4487" s="13" t="n">
        <x:f>IF(H4487="","",H4487/1000000000)</x:f>
        <x:v>0.73</x:v>
      </x:c>
      <x:c r="R4487" s="13" t="n">
        <x:f>IF(I4487="","",I4487/1000000)</x:f>
        <x:v>10.428571428571429</x:v>
      </x:c>
    </x:row>
    <x:row r="4488" ht="21" customHeight="1">
      <x:c r="A4488" s="10" t="n">
        <x:v>5980</x:v>
      </x:c>
      <x:c r="B4488" s="2" t="str">
        <x:v>fb5f45338a6a092d1369</x:v>
      </x:c>
      <x:c r="C4488" s="2" t="str">
        <x:v>Đà Nẵng</x:v>
      </x:c>
      <x:c r="D4488" s="2" t="str">
        <x:v>Huyện Hòa Vang</x:v>
      </x:c>
      <x:c r="E4488" s="2" t="str">
        <x:v>house</x:v>
      </x:c>
      <x:c r="F4488" s="2" t="str">
        <x:v>sale_assumed</x:v>
      </x:c>
      <x:c r="G4488" s="11" t="n">
        <x:v>2500</x:v>
      </x:c>
      <x:c r="H4488" s="12" t="n">
        <x:v>2400000080</x:v>
      </x:c>
      <x:c r="I4488" s="12" t="n">
        <x:v>960000.032</x:v>
      </x:c>
      <x:c r="J4488" s="2" t="str">
        <x:v>total</x:v>
      </x:c>
      <x:c r="K4488" s="2" t="str">
        <x:v>top_level_area</x:v>
      </x:c>
      <x:c r="L4488" s="2" t="str">
        <x:v>dot_thousands_convention;property_type_inferred_from_title;transaction_assumed_sale_from_dataset_context</x:v>
      </x:c>
      <x:c r="M4488" s="10" t="n">
        <x:v>0</x:v>
      </x:c>
      <x:c r="N4488" s="10" t="n">
        <x:v>0</x:v>
      </x:c>
      <x:c r="O4488" s="2" t="str">
        <x:v>Đà Nẵng|house</x:v>
      </x:c>
      <x:c r="P4488" s="10" t="n">
        <x:v>1</x:v>
      </x:c>
      <x:c r="Q4488" s="13" t="n">
        <x:f>IF(H4488="","",H4488/1000000000)</x:f>
        <x:v>2.40000008</x:v>
      </x:c>
      <x:c r="R4488" s="13" t="n">
        <x:f>IF(I4488="","",I4488/1000000)</x:f>
        <x:v>0.9600000320000001</x:v>
      </x:c>
    </x:row>
    <x:row r="4489" ht="21" customHeight="1">
      <x:c r="A4489" s="10" t="n">
        <x:v>5981</x:v>
      </x:c>
      <x:c r="B4489" s="2" t="str">
        <x:v>ebc3048aa0c6c81749e5</x:v>
      </x:c>
      <x:c r="C4489" s="2" t="str">
        <x:v>Tp Hồ Chí Minh</x:v>
      </x:c>
      <x:c r="D4489" s="2" t="str">
        <x:v>Quận Bình Thạnh</x:v>
      </x:c>
      <x:c r="E4489" s="2" t="str">
        <x:v>house</x:v>
      </x:c>
      <x:c r="F4489" s="2" t="str">
        <x:v>sale_assumed</x:v>
      </x:c>
      <x:c r="G4489" s="11" t="n">
        <x:v>45</x:v>
      </x:c>
      <x:c r="H4489" s="12" t="n">
        <x:v>6900000000</x:v>
      </x:c>
      <x:c r="I4489" s="12" t="n">
        <x:v>153333333.33333334</x:v>
      </x:c>
      <x:c r="J4489" s="2" t="str">
        <x:v>total</x:v>
      </x:c>
      <x:c r="K4489" s="2" t="str">
        <x:v>top_level_area</x:v>
      </x:c>
      <x:c r="L4489" s="2" t="str">
        <x:v>property_type_inferred_from_title;transaction_assumed_sale_from_dataset_context</x:v>
      </x:c>
      <x:c r="M4489" s="10" t="n">
        <x:v>0</x:v>
      </x:c>
      <x:c r="N4489" s="10" t="n">
        <x:v>0</x:v>
      </x:c>
      <x:c r="O4489" s="2" t="str">
        <x:v>Tp Hồ Chí Minh|house</x:v>
      </x:c>
      <x:c r="P4489" s="10" t="n">
        <x:v>2</x:v>
      </x:c>
      <x:c r="Q4489" s="13" t="n">
        <x:f>IF(H4489="","",H4489/1000000000)</x:f>
        <x:v>6.9</x:v>
      </x:c>
      <x:c r="R4489" s="13" t="n">
        <x:f>IF(I4489="","",I4489/1000000)</x:f>
        <x:v>153.33333333333334</x:v>
      </x:c>
    </x:row>
    <x:row r="4490" ht="21" customHeight="1">
      <x:c r="A4490" s="10" t="n">
        <x:v>5982</x:v>
      </x:c>
      <x:c r="B4490" s="2" t="str">
        <x:v>d436a3e14c0f17503ae4</x:v>
      </x:c>
      <x:c r="C4490" s="2" t="str">
        <x:v>Đà Nẵng</x:v>
      </x:c>
      <x:c r="D4490" s="2" t="str">
        <x:v>Quận Thanh Khê</x:v>
      </x:c>
      <x:c r="E4490" s="2" t="str">
        <x:v>house</x:v>
      </x:c>
      <x:c r="F4490" s="2" t="str">
        <x:v>sale</x:v>
      </x:c>
      <x:c r="G4490" s="11" t="n">
        <x:v>70</x:v>
      </x:c>
      <x:c r="H4490" s="12" t="n">
        <x:v>4300000000</x:v>
      </x:c>
      <x:c r="I4490" s="12" t="n">
        <x:v>61428571.428571425</x:v>
      </x:c>
      <x:c r="J4490" s="2" t="str">
        <x:v>total</x:v>
      </x:c>
      <x:c r="K4490" s="2" t="str">
        <x:v>top_level_area</x:v>
      </x:c>
      <x:c r="L4490" s="2" t="str">
        <x:v>property_type_inferred_from_title</x:v>
      </x:c>
      <x:c r="M4490" s="10" t="n">
        <x:v>0</x:v>
      </x:c>
      <x:c r="N4490" s="10" t="n">
        <x:v>0</x:v>
      </x:c>
      <x:c r="O4490" s="2" t="str">
        <x:v>Đà Nẵng|house</x:v>
      </x:c>
      <x:c r="P4490" s="10" t="n">
        <x:v>2</x:v>
      </x:c>
      <x:c r="Q4490" s="13" t="n">
        <x:f>IF(H4490="","",H4490/1000000000)</x:f>
        <x:v>4.3</x:v>
      </x:c>
      <x:c r="R4490" s="13" t="n">
        <x:f>IF(I4490="","",I4490/1000000)</x:f>
        <x:v>61.42857142857142</x:v>
      </x:c>
    </x:row>
    <x:row r="4491" ht="21" customHeight="1">
      <x:c r="A4491" s="10" t="n">
        <x:v>5983</x:v>
      </x:c>
      <x:c r="B4491" s="2" t="str">
        <x:v>100cfe520adac3dbe242</x:v>
      </x:c>
      <x:c r="C4491" s="2" t="str">
        <x:v>Tp Hồ Chí Minh</x:v>
      </x:c>
      <x:c r="D4491" s="2" t="str">
        <x:v>Quận 9</x:v>
      </x:c>
      <x:c r="E4491" s="2" t="str">
        <x:v>house</x:v>
      </x:c>
      <x:c r="F4491" s="2" t="str">
        <x:v>sale</x:v>
      </x:c>
      <x:c r="G4491" s="11" t="n">
        <x:v>105</x:v>
      </x:c>
      <x:c r="H4491" s="12" t="n">
        <x:v>1220000000</x:v>
      </x:c>
      <x:c r="I4491" s="12" t="n">
        <x:v>11619047.61904762</x:v>
      </x:c>
      <x:c r="J4491" s="2" t="str">
        <x:v>total</x:v>
      </x:c>
      <x:c r="K4491" s="2" t="str">
        <x:v>top_level_area</x:v>
      </x:c>
      <x:c r="L4491" s="2" t="str">
        <x:v>property_type_inferred_from_title</x:v>
      </x:c>
      <x:c r="M4491" s="10" t="n">
        <x:v>0</x:v>
      </x:c>
      <x:c r="N4491" s="10" t="n">
        <x:v>0</x:v>
      </x:c>
      <x:c r="O4491" s="2" t="str">
        <x:v>Tp Hồ Chí Minh|house</x:v>
      </x:c>
      <x:c r="P4491" s="10" t="n">
        <x:v>2</x:v>
      </x:c>
      <x:c r="Q4491" s="13" t="n">
        <x:f>IF(H4491="","",H4491/1000000000)</x:f>
        <x:v>1.22</x:v>
      </x:c>
      <x:c r="R4491" s="13" t="n">
        <x:f>IF(I4491="","",I4491/1000000)</x:f>
        <x:v>11.619047619047619</x:v>
      </x:c>
    </x:row>
    <x:row r="4492" ht="21" customHeight="1">
      <x:c r="A4492" s="10" t="n">
        <x:v>5984</x:v>
      </x:c>
      <x:c r="B4492" s="2" t="str">
        <x:v>032dfad7e1693ed8a9a8</x:v>
      </x:c>
      <x:c r="C4492" s="2" t="str">
        <x:v>Tp Hồ Chí Minh</x:v>
      </x:c>
      <x:c r="D4492" s="2" t="str">
        <x:v>Huyện Bình Chánh</x:v>
      </x:c>
      <x:c r="E4492" s="2" t="str">
        <x:v>house</x:v>
      </x:c>
      <x:c r="F4492" s="2" t="str">
        <x:v>sale_assumed</x:v>
      </x:c>
      <x:c r="G4492" s="11" t="n">
        <x:v>40</x:v>
      </x:c>
      <x:c r="H4492" s="12" t="n">
        <x:v>2190000000</x:v>
      </x:c>
      <x:c r="I4492" s="12" t="n">
        <x:v>54750000</x:v>
      </x:c>
      <x:c r="J4492" s="2" t="str">
        <x:v>total</x:v>
      </x:c>
      <x:c r="K4492" s="2" t="str">
        <x:v>top_level_price_embedded_area</x:v>
      </x:c>
      <x:c r="L4492" s="2" t="str">
        <x:v>area_recovered_from_price_text;property_type_inferred_from_title;transaction_assumed_sale_from_dataset_context</x:v>
      </x:c>
      <x:c r="M4492" s="10" t="n">
        <x:v>0</x:v>
      </x:c>
      <x:c r="N4492" s="10" t="n">
        <x:v>0</x:v>
      </x:c>
      <x:c r="O4492" s="2" t="str">
        <x:v>Tp Hồ Chí Minh|house</x:v>
      </x:c>
      <x:c r="P4492" s="10" t="n">
        <x:v>2</x:v>
      </x:c>
      <x:c r="Q4492" s="13" t="n">
        <x:f>IF(H4492="","",H4492/1000000000)</x:f>
        <x:v>2.19</x:v>
      </x:c>
      <x:c r="R4492" s="13" t="n">
        <x:f>IF(I4492="","",I4492/1000000)</x:f>
        <x:v>54.75</x:v>
      </x:c>
    </x:row>
    <x:row r="4493" ht="21" customHeight="1">
      <x:c r="A4493" s="10" t="n">
        <x:v>5985</x:v>
      </x:c>
      <x:c r="B4493" s="2" t="str">
        <x:v>a86e951c82c42386623d</x:v>
      </x:c>
      <x:c r="C4493" s="2" t="str">
        <x:v>Tp Hồ Chí Minh</x:v>
      </x:c>
      <x:c r="D4493" s="2" t="str">
        <x:v>Huyện Bình Chánh</x:v>
      </x:c>
      <x:c r="E4493" s="2" t="str">
        <x:v>land</x:v>
      </x:c>
      <x:c r="F4493" s="2" t="str">
        <x:v>sale_assumed</x:v>
      </x:c>
      <x:c r="G4493" s="11" t="n">
        <x:v>100</x:v>
      </x:c>
      <x:c r="H4493" s="12" t="n">
        <x:v>1900000000</x:v>
      </x:c>
      <x:c r="I4493" s="12" t="n">
        <x:v>19000000</x:v>
      </x:c>
      <x:c r="J4493" s="2" t="str">
        <x:v>total</x:v>
      </x:c>
      <x:c r="K4493" s="2" t="str">
        <x:v>top_level_price_embedded_area</x:v>
      </x:c>
      <x:c r="L4493" s="2" t="str">
        <x:v>area_recovered_from_price_text;property_type_inferred_from_title;transaction_assumed_sale_from_dataset_context</x:v>
      </x:c>
      <x:c r="M4493" s="10" t="n">
        <x:v>0</x:v>
      </x:c>
      <x:c r="N4493" s="10" t="n">
        <x:v>0</x:v>
      </x:c>
      <x:c r="O4493" s="2" t="str">
        <x:v>Tp Hồ Chí Minh|land</x:v>
      </x:c>
      <x:c r="P4493" s="10" t="n">
        <x:v>2</x:v>
      </x:c>
      <x:c r="Q4493" s="13" t="n">
        <x:f>IF(H4493="","",H4493/1000000000)</x:f>
        <x:v>1.9</x:v>
      </x:c>
      <x:c r="R4493" s="13" t="n">
        <x:f>IF(I4493="","",I4493/1000000)</x:f>
        <x:v>19</x:v>
      </x:c>
    </x:row>
    <x:row r="4494" ht="21" customHeight="1">
      <x:c r="A4494" s="10" t="n">
        <x:v>5989</x:v>
      </x:c>
      <x:c r="B4494" s="2" t="str">
        <x:v>b6d80b4554e6bb33324d</x:v>
      </x:c>
      <x:c r="C4494" s="2" t="str">
        <x:v>Bình Thuận</x:v>
      </x:c>
      <x:c r="D4494" s="2" t="str">
        <x:v>Huyện Bắc Bình</x:v>
      </x:c>
      <x:c r="E4494" s="2" t="str">
        <x:v>land</x:v>
      </x:c>
      <x:c r="F4494" s="2" t="str">
        <x:v>sale_assumed</x:v>
      </x:c>
      <x:c r="G4494" s="11" t="n">
        <x:v>3868</x:v>
      </x:c>
      <x:c r="H4494" s="12" t="n">
        <x:v>540000000</x:v>
      </x:c>
      <x:c r="I4494" s="12" t="n">
        <x:v>139607.03205791107</x:v>
      </x:c>
      <x:c r="J4494" s="2" t="str">
        <x:v>total</x:v>
      </x:c>
      <x:c r="K4494" s="2" t="str">
        <x:v>top_level_area</x:v>
      </x:c>
      <x:c r="L4494" s="2" t="str">
        <x:v>dot_thousands_convention;property_type_inferred_from_title;transaction_assumed_sale_from_dataset_context</x:v>
      </x:c>
      <x:c r="M4494" s="10" t="n">
        <x:v>0</x:v>
      </x:c>
      <x:c r="N4494" s="10" t="n">
        <x:v>0</x:v>
      </x:c>
      <x:c r="O4494" s="2" t="str">
        <x:v>land</x:v>
      </x:c>
      <x:c r="P4494" s="10" t="n">
        <x:v>1</x:v>
      </x:c>
      <x:c r="Q4494" s="13" t="n">
        <x:f>IF(H4494="","",H4494/1000000000)</x:f>
        <x:v>0.54</x:v>
      </x:c>
      <x:c r="R4494" s="13" t="n">
        <x:f>IF(I4494="","",I4494/1000000)</x:f>
        <x:v>0.13960703205791106</x:v>
      </x:c>
    </x:row>
    <x:row r="4495" ht="21" customHeight="1">
      <x:c r="A4495" s="10" t="n">
        <x:v>5990</x:v>
      </x:c>
      <x:c r="B4495" s="2" t="str">
        <x:v>8c0e969d3ae557ea7502</x:v>
      </x:c>
      <x:c r="C4495" s="2" t="str">
        <x:v>Đà Nẵng</x:v>
      </x:c>
      <x:c r="D4495" s="2" t="str">
        <x:v>Quận Ngũ Hành Sơn</x:v>
      </x:c>
      <x:c r="E4495" s="2" t="str">
        <x:v>land</x:v>
      </x:c>
      <x:c r="F4495" s="2" t="str">
        <x:v>sale_assumed</x:v>
      </x:c>
      <x:c r="G4495" s="11" t="n">
        <x:v>210</x:v>
      </x:c>
      <x:c r="H4495" s="12" t="n">
        <x:v>8500000000</x:v>
      </x:c>
      <x:c r="I4495" s="12" t="n">
        <x:v>40476190.47619048</x:v>
      </x:c>
      <x:c r="J4495" s="2" t="str">
        <x:v>total</x:v>
      </x:c>
      <x:c r="K4495" s="2" t="str">
        <x:v>top_level_area</x:v>
      </x:c>
      <x:c r="L4495" s="2" t="str">
        <x:v>property_type_inferred_from_title;transaction_assumed_sale_from_dataset_context</x:v>
      </x:c>
      <x:c r="M4495" s="10" t="n">
        <x:v>0</x:v>
      </x:c>
      <x:c r="N4495" s="10" t="n">
        <x:v>0</x:v>
      </x:c>
      <x:c r="O4495" s="2" t="str">
        <x:v>Đà Nẵng|land</x:v>
      </x:c>
      <x:c r="P4495" s="10" t="n">
        <x:v>2</x:v>
      </x:c>
      <x:c r="Q4495" s="13" t="n">
        <x:f>IF(H4495="","",H4495/1000000000)</x:f>
        <x:v>8.5</x:v>
      </x:c>
      <x:c r="R4495" s="13" t="n">
        <x:f>IF(I4495="","",I4495/1000000)</x:f>
        <x:v>40.476190476190474</x:v>
      </x:c>
    </x:row>
    <x:row r="4496" ht="21" customHeight="1">
      <x:c r="A4496" s="10" t="n">
        <x:v>5991</x:v>
      </x:c>
      <x:c r="B4496" s="2" t="str">
        <x:v>c0534a521224c60a913f</x:v>
      </x:c>
      <x:c r="C4496" s="2" t="str">
        <x:v>Bà Rịa - Vũng Tàu</x:v>
      </x:c>
      <x:c r="D4496" s="2" t="str">
        <x:v>Thị xã Phú Mỹ</x:v>
      </x:c>
      <x:c r="E4496" s="2" t="str">
        <x:v>land</x:v>
      </x:c>
      <x:c r="F4496" s="2" t="str">
        <x:v>sale_assumed</x:v>
      </x:c>
      <x:c r="G4496" s="11" t="n">
        <x:v>175</x:v>
      </x:c>
      <x:c r="H4496" s="12" t="n">
        <x:v>650000000</x:v>
      </x:c>
      <x:c r="I4496" s="12" t="n">
        <x:v>3714285.714285714</x:v>
      </x:c>
      <x:c r="J4496" s="2" t="str">
        <x:v>total</x:v>
      </x:c>
      <x:c r="K4496" s="2" t="str">
        <x:v>top_level_area</x:v>
      </x:c>
      <x:c r="L4496" s="2" t="str">
        <x:v>property_type_inferred_from_title;transaction_assumed_sale_from_dataset_context</x:v>
      </x:c>
      <x:c r="M4496" s="10" t="n">
        <x:v>0</x:v>
      </x:c>
      <x:c r="N4496" s="10" t="n">
        <x:v>0</x:v>
      </x:c>
      <x:c r="O4496" s="2" t="str">
        <x:v>Bà Rịa - Vũng Tàu|land</x:v>
      </x:c>
      <x:c r="P4496" s="10" t="n">
        <x:v>1</x:v>
      </x:c>
      <x:c r="Q4496" s="13" t="n">
        <x:f>IF(H4496="","",H4496/1000000000)</x:f>
        <x:v>0.65</x:v>
      </x:c>
      <x:c r="R4496" s="13" t="n">
        <x:f>IF(I4496="","",I4496/1000000)</x:f>
        <x:v>3.714285714285714</x:v>
      </x:c>
    </x:row>
    <x:row r="4497" ht="21" customHeight="1">
      <x:c r="A4497" s="10" t="n">
        <x:v>5992</x:v>
      </x:c>
      <x:c r="B4497" s="2" t="str">
        <x:v>8c611f8ffdc9c2de77e4</x:v>
      </x:c>
      <x:c r="C4497" s="2" t="str">
        <x:v>Tp Hồ Chí Minh</x:v>
      </x:c>
      <x:c r="D4497" s="2" t="str">
        <x:v>Huyện Bình Chánh</x:v>
      </x:c>
      <x:c r="E4497" s="2" t="str">
        <x:v>house</x:v>
      </x:c>
      <x:c r="F4497" s="2" t="str">
        <x:v>sale_assumed</x:v>
      </x:c>
      <x:c r="G4497" s="11" t="n">
        <x:v>80</x:v>
      </x:c>
      <x:c r="H4497" s="12" t="n">
        <x:v>1500000000</x:v>
      </x:c>
      <x:c r="I4497" s="12" t="n">
        <x:v>18750000</x:v>
      </x:c>
      <x:c r="J4497" s="2" t="str">
        <x:v>total</x:v>
      </x:c>
      <x:c r="K4497" s="2" t="str">
        <x:v>top_level_area</x:v>
      </x:c>
      <x:c r="L4497" s="2" t="str">
        <x:v>property_type_inferred_from_title;transaction_assumed_sale_from_dataset_context</x:v>
      </x:c>
      <x:c r="M4497" s="10" t="n">
        <x:v>0</x:v>
      </x:c>
      <x:c r="N4497" s="10" t="n">
        <x:v>0</x:v>
      </x:c>
      <x:c r="O4497" s="2" t="str">
        <x:v>Tp Hồ Chí Minh|house</x:v>
      </x:c>
      <x:c r="P4497" s="10" t="n">
        <x:v>2</x:v>
      </x:c>
      <x:c r="Q4497" s="13" t="n">
        <x:f>IF(H4497="","",H4497/1000000000)</x:f>
        <x:v>1.5</x:v>
      </x:c>
      <x:c r="R4497" s="13" t="n">
        <x:f>IF(I4497="","",I4497/1000000)</x:f>
        <x:v>18.75</x:v>
      </x:c>
    </x:row>
    <x:row r="4498" ht="21" customHeight="1">
      <x:c r="A4498" s="10" t="n">
        <x:v>5993</x:v>
      </x:c>
      <x:c r="B4498" s="2" t="str">
        <x:v>0869a144d988e6e7ef3e</x:v>
      </x:c>
      <x:c r="C4498" s="2" t="str">
        <x:v>Tp Hồ Chí Minh</x:v>
      </x:c>
      <x:c r="D4498" s="2" t="str">
        <x:v>Quận Gò Vấp</x:v>
      </x:c>
      <x:c r="E4498" s="2" t="str">
        <x:v>house</x:v>
      </x:c>
      <x:c r="F4498" s="2" t="str">
        <x:v>sale</x:v>
      </x:c>
      <x:c r="G4498" s="11" t="n">
        <x:v>36</x:v>
      </x:c>
      <x:c r="H4498" s="12" t="n">
        <x:v>5500000000</x:v>
      </x:c>
      <x:c r="I4498" s="12" t="n">
        <x:v>152777777.7777778</x:v>
      </x:c>
      <x:c r="J4498" s="2" t="str">
        <x:v>total</x:v>
      </x:c>
      <x:c r="K4498" s="2" t="str">
        <x:v>top_level_area</x:v>
      </x:c>
      <x:c r="L4498" s="2" t="str">
        <x:v>property_type_inferred_from_title</x:v>
      </x:c>
      <x:c r="M4498" s="10" t="n">
        <x:v>0</x:v>
      </x:c>
      <x:c r="N4498" s="10" t="n">
        <x:v>0</x:v>
      </x:c>
      <x:c r="O4498" s="2" t="str">
        <x:v>Tp Hồ Chí Minh|house</x:v>
      </x:c>
      <x:c r="P4498" s="10" t="n">
        <x:v>2</x:v>
      </x:c>
      <x:c r="Q4498" s="13" t="n">
        <x:f>IF(H4498="","",H4498/1000000000)</x:f>
        <x:v>5.5</x:v>
      </x:c>
      <x:c r="R4498" s="13" t="n">
        <x:f>IF(I4498="","",I4498/1000000)</x:f>
        <x:v>152.7777777777778</x:v>
      </x:c>
    </x:row>
    <x:row r="4499" ht="21" customHeight="1">
      <x:c r="A4499" s="10" t="n">
        <x:v>5994</x:v>
      </x:c>
      <x:c r="B4499" s="2" t="str">
        <x:v>522967789a57ba41a7cc</x:v>
      </x:c>
      <x:c r="C4499" s="2" t="str">
        <x:v>Tp Hồ Chí Minh</x:v>
      </x:c>
      <x:c r="D4499" s="2" t="str">
        <x:v>Quận Bình Thạnh</x:v>
      </x:c>
      <x:c r="E4499" s="2" t="str">
        <x:v>house</x:v>
      </x:c>
      <x:c r="F4499" s="2" t="str">
        <x:v>sale_assumed</x:v>
      </x:c>
      <x:c r="G4499" s="11" t="n">
        <x:v>25</x:v>
      </x:c>
      <x:c r="H4499" s="12" t="n">
        <x:v>3500000000</x:v>
      </x:c>
      <x:c r="I4499" s="12" t="n">
        <x:v>140000000</x:v>
      </x:c>
      <x:c r="J4499" s="2" t="str">
        <x:v>total</x:v>
      </x:c>
      <x:c r="K4499" s="2" t="str">
        <x:v>top_level_area</x:v>
      </x:c>
      <x:c r="L4499" s="2" t="str">
        <x:v>property_type_inferred_from_title;transaction_assumed_sale_from_dataset_context</x:v>
      </x:c>
      <x:c r="M4499" s="10" t="n">
        <x:v>0</x:v>
      </x:c>
      <x:c r="N4499" s="10" t="n">
        <x:v>0</x:v>
      </x:c>
      <x:c r="O4499" s="2" t="str">
        <x:v>Tp Hồ Chí Minh|house</x:v>
      </x:c>
      <x:c r="P4499" s="10" t="n">
        <x:v>2</x:v>
      </x:c>
      <x:c r="Q4499" s="13" t="n">
        <x:f>IF(H4499="","",H4499/1000000000)</x:f>
        <x:v>3.5</x:v>
      </x:c>
      <x:c r="R4499" s="13" t="n">
        <x:f>IF(I4499="","",I4499/1000000)</x:f>
        <x:v>140</x:v>
      </x:c>
    </x:row>
    <x:row r="4500" ht="21" customHeight="1">
      <x:c r="A4500" s="10" t="n">
        <x:v>5995</x:v>
      </x:c>
      <x:c r="B4500" s="2" t="str">
        <x:v>c03317b439b0200fb350</x:v>
      </x:c>
      <x:c r="C4500" s="2" t="str">
        <x:v>Tp Hồ Chí Minh</x:v>
      </x:c>
      <x:c r="D4500" s="2" t="str">
        <x:v>Quận Bình Thạnh</x:v>
      </x:c>
      <x:c r="E4500" s="2" t="str">
        <x:v>house</x:v>
      </x:c>
      <x:c r="F4500" s="2" t="str">
        <x:v>sale_assumed</x:v>
      </x:c>
      <x:c r="G4500" s="11" t="n">
        <x:v>36</x:v>
      </x:c>
      <x:c r="H4500" s="12" t="n">
        <x:v>4500000000</x:v>
      </x:c>
      <x:c r="I4500" s="12" t="n">
        <x:v>125000000</x:v>
      </x:c>
      <x:c r="J4500" s="2" t="str">
        <x:v>total</x:v>
      </x:c>
      <x:c r="K4500" s="2" t="str">
        <x:v>top_level_area</x:v>
      </x:c>
      <x:c r="L4500" s="2" t="str">
        <x:v>property_type_inferred_from_title;transaction_assumed_sale_from_dataset_context</x:v>
      </x:c>
      <x:c r="M4500" s="10" t="n">
        <x:v>0</x:v>
      </x:c>
      <x:c r="N4500" s="10" t="n">
        <x:v>0</x:v>
      </x:c>
      <x:c r="O4500" s="2" t="str">
        <x:v>Tp Hồ Chí Minh|house</x:v>
      </x:c>
      <x:c r="P4500" s="10" t="n">
        <x:v>2</x:v>
      </x:c>
      <x:c r="Q4500" s="13" t="n">
        <x:f>IF(H4500="","",H4500/1000000000)</x:f>
        <x:v>4.5</x:v>
      </x:c>
      <x:c r="R4500" s="13" t="n">
        <x:f>IF(I4500="","",I4500/1000000)</x:f>
        <x:v>125</x:v>
      </x:c>
    </x:row>
    <x:row r="4501" ht="21" customHeight="1">
      <x:c r="A4501" s="10" t="n">
        <x:v>5996</x:v>
      </x:c>
      <x:c r="B4501" s="2" t="str">
        <x:v>7b8467ef6aadfb998449</x:v>
      </x:c>
      <x:c r="C4501" s="2" t="str">
        <x:v>Long An</x:v>
      </x:c>
      <x:c r="D4501" s="2" t="str">
        <x:v>Huyện Đức Hòa</x:v>
      </x:c>
      <x:c r="E4501" s="2" t="str">
        <x:v>land</x:v>
      </x:c>
      <x:c r="F4501" s="2" t="str">
        <x:v>sale_assumed</x:v>
      </x:c>
      <x:c r="G4501" s="11" t="n">
        <x:v>155</x:v>
      </x:c>
      <x:c r="H4501" s="12" t="n">
        <x:v>1300000000</x:v>
      </x:c>
      <x:c r="I4501" s="12" t="n">
        <x:v>8387096.774193549</x:v>
      </x:c>
      <x:c r="J4501" s="2" t="str">
        <x:v>total</x:v>
      </x:c>
      <x:c r="K4501" s="2" t="str">
        <x:v>top_level_area</x:v>
      </x:c>
      <x:c r="L4501" s="2" t="str">
        <x:v>property_type_inferred_from_title;transaction_assumed_sale_from_dataset_context</x:v>
      </x:c>
      <x:c r="M4501" s="10" t="n">
        <x:v>0</x:v>
      </x:c>
      <x:c r="N4501" s="10" t="n">
        <x:v>0</x:v>
      </x:c>
      <x:c r="O4501" s="2" t="str">
        <x:v>Long An|land</x:v>
      </x:c>
      <x:c r="P4501" s="10" t="n">
        <x:v>2</x:v>
      </x:c>
      <x:c r="Q4501" s="13" t="n">
        <x:f>IF(H4501="","",H4501/1000000000)</x:f>
        <x:v>1.3</x:v>
      </x:c>
      <x:c r="R4501" s="13" t="n">
        <x:f>IF(I4501="","",I4501/1000000)</x:f>
        <x:v>8.387096774193548</x:v>
      </x:c>
    </x:row>
    <x:row r="4502" ht="21" customHeight="1">
      <x:c r="A4502" s="10" t="n">
        <x:v>5997</x:v>
      </x:c>
      <x:c r="B4502" s="2" t="str">
        <x:v>1a3a4292fdbae4a49c5c</x:v>
      </x:c>
      <x:c r="C4502" s="2" t="str">
        <x:v>Bình Dương</x:v>
      </x:c>
      <x:c r="D4502" s="2" t="str">
        <x:v>Huyện Bàu Bàng</x:v>
      </x:c>
      <x:c r="E4502" s="2" t="str">
        <x:v>land</x:v>
      </x:c>
      <x:c r="F4502" s="2" t="str">
        <x:v>sale_assumed</x:v>
      </x:c>
      <x:c r="G4502" s="11" t="n">
        <x:v>100</x:v>
      </x:c>
      <x:c r="H4502" s="12" t="n">
        <x:v>585000000</x:v>
      </x:c>
      <x:c r="I4502" s="12" t="n">
        <x:v>5850000</x:v>
      </x:c>
      <x:c r="J4502" s="2" t="str">
        <x:v>total</x:v>
      </x:c>
      <x:c r="K4502" s="2" t="str">
        <x:v>top_level_area</x:v>
      </x:c>
      <x:c r="L4502" s="2" t="str">
        <x:v>property_type_inferred_from_title;transaction_assumed_sale_from_dataset_context</x:v>
      </x:c>
      <x:c r="M4502" s="10" t="n">
        <x:v>0</x:v>
      </x:c>
      <x:c r="N4502" s="10" t="n">
        <x:v>0</x:v>
      </x:c>
      <x:c r="O4502" s="2" t="str">
        <x:v>Bình Dương|land</x:v>
      </x:c>
      <x:c r="P4502" s="10" t="n">
        <x:v>2</x:v>
      </x:c>
      <x:c r="Q4502" s="13" t="n">
        <x:f>IF(H4502="","",H4502/1000000000)</x:f>
        <x:v>0.585</x:v>
      </x:c>
      <x:c r="R4502" s="13" t="n">
        <x:f>IF(I4502="","",I4502/1000000)</x:f>
        <x:v>5.85</x:v>
      </x:c>
    </x:row>
    <x:row r="4503" ht="21" customHeight="1">
      <x:c r="A4503" s="10" t="n">
        <x:v>5998</x:v>
      </x:c>
      <x:c r="B4503" s="2" t="str">
        <x:v>d8aa74a4050ca7053eae</x:v>
      </x:c>
      <x:c r="C4503" s="2" t="str">
        <x:v>Tp Hồ Chí Minh</x:v>
      </x:c>
      <x:c r="D4503" s="2" t="str">
        <x:v>Quận Bình Tân</x:v>
      </x:c>
      <x:c r="E4503" s="2" t="str">
        <x:v>land</x:v>
      </x:c>
      <x:c r="F4503" s="2" t="str">
        <x:v>sale_assumed</x:v>
      </x:c>
      <x:c r="G4503" s="11" t="n">
        <x:v>84</x:v>
      </x:c>
      <x:c r="H4503" s="12" t="n">
        <x:v>2688000000</x:v>
      </x:c>
      <x:c r="I4503" s="12" t="n">
        <x:v>32000000</x:v>
      </x:c>
      <x:c r="J4503" s="2" t="str">
        <x:v>total</x:v>
      </x:c>
      <x:c r="K4503" s="2" t="str">
        <x:v>top_level_area</x:v>
      </x:c>
      <x:c r="L4503" s="2" t="str">
        <x:v>property_type_inferred_from_title;transaction_assumed_sale_from_dataset_context</x:v>
      </x:c>
      <x:c r="M4503" s="10" t="n">
        <x:v>0</x:v>
      </x:c>
      <x:c r="N4503" s="10" t="n">
        <x:v>0</x:v>
      </x:c>
      <x:c r="O4503" s="2" t="str">
        <x:v>Tp Hồ Chí Minh|land</x:v>
      </x:c>
      <x:c r="P4503" s="10" t="n">
        <x:v>2</x:v>
      </x:c>
      <x:c r="Q4503" s="13" t="n">
        <x:f>IF(H4503="","",H4503/1000000000)</x:f>
        <x:v>2.688</x:v>
      </x:c>
      <x:c r="R4503" s="13" t="n">
        <x:f>IF(I4503="","",I4503/1000000)</x:f>
        <x:v>32</x:v>
      </x:c>
    </x:row>
    <x:row r="4504" ht="21" customHeight="1">
      <x:c r="A4504" s="10" t="n">
        <x:v>5999</x:v>
      </x:c>
      <x:c r="B4504" s="2" t="str">
        <x:v>06d2272f5163d80f9cc3</x:v>
      </x:c>
      <x:c r="C4504" s="2" t="str">
        <x:v>Tp Hồ Chí Minh</x:v>
      </x:c>
      <x:c r="D4504" s="2" t="str">
        <x:v>Huyện Bình Chánh</x:v>
      </x:c>
      <x:c r="E4504" s="2" t="str">
        <x:v>house</x:v>
      </x:c>
      <x:c r="F4504" s="2" t="str">
        <x:v>sale</x:v>
      </x:c>
      <x:c r="G4504" s="11" t="n">
        <x:v>80</x:v>
      </x:c>
      <x:c r="H4504" s="12" t="n">
        <x:v>1150000000</x:v>
      </x:c>
      <x:c r="I4504" s="12" t="n">
        <x:v>14375000</x:v>
      </x:c>
      <x:c r="J4504" s="2" t="str">
        <x:v>total</x:v>
      </x:c>
      <x:c r="K4504" s="2" t="str">
        <x:v>top_level_area</x:v>
      </x:c>
      <x:c r="L4504" s="2" t="str">
        <x:v>property_type_inferred_from_title</x:v>
      </x:c>
      <x:c r="M4504" s="10" t="n">
        <x:v>0</x:v>
      </x:c>
      <x:c r="N4504" s="10" t="n">
        <x:v>0</x:v>
      </x:c>
      <x:c r="O4504" s="2" t="str">
        <x:v>Tp Hồ Chí Minh|house</x:v>
      </x:c>
      <x:c r="P4504" s="10" t="n">
        <x:v>2</x:v>
      </x:c>
      <x:c r="Q4504" s="13" t="n">
        <x:f>IF(H4504="","",H4504/1000000000)</x:f>
        <x:v>1.15</x:v>
      </x:c>
      <x:c r="R4504" s="13" t="n">
        <x:f>IF(I4504="","",I4504/1000000)</x:f>
        <x:v>14.375</x:v>
      </x:c>
    </x:row>
    <x:row r="4505" ht="21" customHeight="1">
      <x:c r="A4505" s="10" t="n">
        <x:v>6000</x:v>
      </x:c>
      <x:c r="B4505" s="2" t="str">
        <x:v>b91a94024ef2acd02a7b</x:v>
      </x:c>
      <x:c r="C4505" s="2" t="str">
        <x:v>Tp Hồ Chí Minh</x:v>
      </x:c>
      <x:c r="D4505" s="2" t="str">
        <x:v>Quận Bình Tân</x:v>
      </x:c>
      <x:c r="E4505" s="2" t="str">
        <x:v>house</x:v>
      </x:c>
      <x:c r="F4505" s="2" t="str">
        <x:v>sale_assumed</x:v>
      </x:c>
      <x:c r="G4505" s="11" t="n">
        <x:v>105</x:v>
      </x:c>
      <x:c r="H4505" s="12" t="n">
        <x:v>3395000000</x:v>
      </x:c>
      <x:c r="I4505" s="12" t="n">
        <x:v>32333333.333333332</x:v>
      </x:c>
      <x:c r="J4505" s="2" t="str">
        <x:v>total</x:v>
      </x:c>
      <x:c r="K4505" s="2" t="str">
        <x:v>top_level_area</x:v>
      </x:c>
      <x:c r="L4505" s="2" t="str">
        <x:v>property_type_inferred_from_title;transaction_assumed_sale_from_dataset_context</x:v>
      </x:c>
      <x:c r="M4505" s="10" t="n">
        <x:v>0</x:v>
      </x:c>
      <x:c r="N4505" s="10" t="n">
        <x:v>0</x:v>
      </x:c>
      <x:c r="O4505" s="2" t="str">
        <x:v>Tp Hồ Chí Minh|house</x:v>
      </x:c>
      <x:c r="P4505" s="10" t="n">
        <x:v>2</x:v>
      </x:c>
      <x:c r="Q4505" s="13" t="n">
        <x:f>IF(H4505="","",H4505/1000000000)</x:f>
        <x:v>3.395</x:v>
      </x:c>
      <x:c r="R4505" s="13" t="n">
        <x:f>IF(I4505="","",I4505/1000000)</x:f>
        <x:v>32.33333333333333</x:v>
      </x:c>
    </x:row>
    <x:row r="4506" ht="21" customHeight="1">
      <x:c r="A4506" s="10" t="n">
        <x:v>6001</x:v>
      </x:c>
      <x:c r="B4506" s="2" t="str">
        <x:v>1029aa03712e2ad73ac0</x:v>
      </x:c>
      <x:c r="C4506" s="2" t="str">
        <x:v>Tp Hồ Chí Minh</x:v>
      </x:c>
      <x:c r="D4506" s="2" t="str">
        <x:v>Quận 9</x:v>
      </x:c>
      <x:c r="E4506" s="2" t="str">
        <x:v>land</x:v>
      </x:c>
      <x:c r="F4506" s="2" t="str">
        <x:v>sale</x:v>
      </x:c>
      <x:c r="G4506" s="11" t="n">
        <x:v>100</x:v>
      </x:c>
      <x:c r="H4506" s="12" t="n">
        <x:v>2400000000</x:v>
      </x:c>
      <x:c r="I4506" s="12" t="n">
        <x:v>24000000</x:v>
      </x:c>
      <x:c r="J4506" s="2" t="str">
        <x:v>total</x:v>
      </x:c>
      <x:c r="K4506" s="2" t="str">
        <x:v>top_level_area</x:v>
      </x:c>
      <x:c r="L4506" s="2" t="str">
        <x:v>property_type_inferred_from_title</x:v>
      </x:c>
      <x:c r="M4506" s="10" t="n">
        <x:v>0</x:v>
      </x:c>
      <x:c r="N4506" s="10" t="n">
        <x:v>0</x:v>
      </x:c>
      <x:c r="O4506" s="2" t="str">
        <x:v>Tp Hồ Chí Minh|land</x:v>
      </x:c>
      <x:c r="P4506" s="10" t="n">
        <x:v>2</x:v>
      </x:c>
      <x:c r="Q4506" s="13" t="n">
        <x:f>IF(H4506="","",H4506/1000000000)</x:f>
        <x:v>2.4</x:v>
      </x:c>
      <x:c r="R4506" s="13" t="n">
        <x:f>IF(I4506="","",I4506/1000000)</x:f>
        <x:v>24</x:v>
      </x:c>
    </x:row>
    <x:row r="4507" ht="21" customHeight="1">
      <x:c r="A4507" s="10" t="n">
        <x:v>6002</x:v>
      </x:c>
      <x:c r="B4507" s="2" t="str">
        <x:v>a37744bdef30a471b351</x:v>
      </x:c>
      <x:c r="C4507" s="2" t="str">
        <x:v>Tp Hồ Chí Minh</x:v>
      </x:c>
      <x:c r="D4507" s="2" t="str">
        <x:v>Huyện Hóc Môn</x:v>
      </x:c>
      <x:c r="E4507" s="2" t="str">
        <x:v>apartment</x:v>
      </x:c>
      <x:c r="F4507" s="2" t="str">
        <x:v>sale_assumed</x:v>
      </x:c>
      <x:c r="G4507" s="11" t="n">
        <x:v>40</x:v>
      </x:c>
      <x:c r="H4507" s="12" t="n">
        <x:v>140000000</x:v>
      </x:c>
      <x:c r="I4507" s="12" t="n">
        <x:v>3500000</x:v>
      </x:c>
      <x:c r="J4507" s="2" t="str">
        <x:v>total</x:v>
      </x:c>
      <x:c r="K4507" s="2" t="str">
        <x:v>top_level_area</x:v>
      </x:c>
      <x:c r="L4507" s="2" t="str">
        <x:v>property_type_inferred_from_title;transaction_assumed_sale_from_dataset_context</x:v>
      </x:c>
      <x:c r="M4507" s="10" t="n">
        <x:v>0</x:v>
      </x:c>
      <x:c r="N4507" s="10" t="n">
        <x:v>0</x:v>
      </x:c>
      <x:c r="O4507" s="2" t="str">
        <x:v>Tp Hồ Chí Minh|apartment</x:v>
      </x:c>
      <x:c r="P4507" s="10" t="n">
        <x:v>2</x:v>
      </x:c>
      <x:c r="Q4507" s="13" t="n">
        <x:f>IF(H4507="","",H4507/1000000000)</x:f>
        <x:v>0.14</x:v>
      </x:c>
      <x:c r="R4507" s="13" t="n">
        <x:f>IF(I4507="","",I4507/1000000)</x:f>
        <x:v>3.5</x:v>
      </x:c>
    </x:row>
    <x:row r="4508" ht="21" customHeight="1">
      <x:c r="A4508" s="10" t="n">
        <x:v>6003</x:v>
      </x:c>
      <x:c r="B4508" s="2" t="str">
        <x:v>fc445e94a9f39c190451</x:v>
      </x:c>
      <x:c r="C4508" s="2" t="str">
        <x:v>Tp Hồ Chí Minh</x:v>
      </x:c>
      <x:c r="D4508" s="2" t="str">
        <x:v>Quận Gò Vấp</x:v>
      </x:c>
      <x:c r="E4508" s="2" t="str">
        <x:v>house</x:v>
      </x:c>
      <x:c r="F4508" s="2" t="str">
        <x:v>sale</x:v>
      </x:c>
      <x:c r="G4508" s="11" t="n">
        <x:v>100</x:v>
      </x:c>
      <x:c r="H4508" s="12" t="n">
        <x:v>10600000000</x:v>
      </x:c>
      <x:c r="I4508" s="12" t="n">
        <x:v>106000000</x:v>
      </x:c>
      <x:c r="J4508" s="2" t="str">
        <x:v>total</x:v>
      </x:c>
      <x:c r="K4508" s="2" t="str">
        <x:v>top_level_area</x:v>
      </x:c>
      <x:c r="L4508" s="2" t="str">
        <x:v>property_type_inferred_from_title</x:v>
      </x:c>
      <x:c r="M4508" s="10" t="n">
        <x:v>0</x:v>
      </x:c>
      <x:c r="N4508" s="10" t="n">
        <x:v>0</x:v>
      </x:c>
      <x:c r="O4508" s="2" t="str">
        <x:v>Tp Hồ Chí Minh|house</x:v>
      </x:c>
      <x:c r="P4508" s="10" t="n">
        <x:v>2</x:v>
      </x:c>
      <x:c r="Q4508" s="13" t="n">
        <x:f>IF(H4508="","",H4508/1000000000)</x:f>
        <x:v>10.6</x:v>
      </x:c>
      <x:c r="R4508" s="13" t="n">
        <x:f>IF(I4508="","",I4508/1000000)</x:f>
        <x:v>106</x:v>
      </x:c>
    </x:row>
    <x:row r="4509" ht="21" customHeight="1">
      <x:c r="A4509" s="10" t="n">
        <x:v>6004</x:v>
      </x:c>
      <x:c r="B4509" s="2" t="str">
        <x:v>dcb513e63e011ab8b16d</x:v>
      </x:c>
      <x:c r="C4509" s="2" t="str">
        <x:v>Tp Hồ Chí Minh</x:v>
      </x:c>
      <x:c r="D4509" s="2" t="str">
        <x:v>Quận 8</x:v>
      </x:c>
      <x:c r="E4509" s="2" t="str">
        <x:v>house</x:v>
      </x:c>
      <x:c r="F4509" s="2" t="str">
        <x:v>sale</x:v>
      </x:c>
      <x:c r="G4509" s="11" t="n">
        <x:v>82</x:v>
      </x:c>
      <x:c r="H4509" s="12" t="n">
        <x:v>10500000000</x:v>
      </x:c>
      <x:c r="I4509" s="12" t="n">
        <x:v>128048780.48780487</x:v>
      </x:c>
      <x:c r="J4509" s="2" t="str">
        <x:v>total</x:v>
      </x:c>
      <x:c r="K4509" s="2" t="str">
        <x:v>top_level_area</x:v>
      </x:c>
      <x:c r="L4509" s="2" t="str">
        <x:v>property_type_inferred_from_title</x:v>
      </x:c>
      <x:c r="M4509" s="10" t="n">
        <x:v>0</x:v>
      </x:c>
      <x:c r="N4509" s="10" t="n">
        <x:v>0</x:v>
      </x:c>
      <x:c r="O4509" s="2" t="str">
        <x:v>Tp Hồ Chí Minh|house</x:v>
      </x:c>
      <x:c r="P4509" s="10" t="n">
        <x:v>2</x:v>
      </x:c>
      <x:c r="Q4509" s="13" t="n">
        <x:f>IF(H4509="","",H4509/1000000000)</x:f>
        <x:v>10.5</x:v>
      </x:c>
      <x:c r="R4509" s="13" t="n">
        <x:f>IF(I4509="","",I4509/1000000)</x:f>
        <x:v>128.04878048780486</x:v>
      </x:c>
    </x:row>
    <x:row r="4510" ht="21" customHeight="1">
      <x:c r="A4510" s="10" t="n">
        <x:v>6005</x:v>
      </x:c>
      <x:c r="B4510" s="2" t="str">
        <x:v>6871ea2aa7d512e5a25e</x:v>
      </x:c>
      <x:c r="C4510" s="2" t="str">
        <x:v>Tp Hồ Chí Minh</x:v>
      </x:c>
      <x:c r="D4510" s="2" t="str">
        <x:v>Quận 11</x:v>
      </x:c>
      <x:c r="E4510" s="2" t="str">
        <x:v>house</x:v>
      </x:c>
      <x:c r="F4510" s="2" t="str">
        <x:v>sale</x:v>
      </x:c>
      <x:c r="G4510" s="11" t="n">
        <x:v>56</x:v>
      </x:c>
      <x:c r="H4510" s="12" t="n">
        <x:v>1260000000</x:v>
      </x:c>
      <x:c r="I4510" s="12" t="n">
        <x:v>22500000</x:v>
      </x:c>
      <x:c r="J4510" s="2" t="str">
        <x:v>total</x:v>
      </x:c>
      <x:c r="K4510" s="2" t="str">
        <x:v>top_level_area</x:v>
      </x:c>
      <x:c r="L4510" s="2" t="str">
        <x:v>property_type_inferred_from_title</x:v>
      </x:c>
      <x:c r="M4510" s="10" t="n">
        <x:v>0</x:v>
      </x:c>
      <x:c r="N4510" s="10" t="n">
        <x:v>0</x:v>
      </x:c>
      <x:c r="O4510" s="2" t="str">
        <x:v>Tp Hồ Chí Minh|house</x:v>
      </x:c>
      <x:c r="P4510" s="10" t="n">
        <x:v>2</x:v>
      </x:c>
      <x:c r="Q4510" s="13" t="n">
        <x:f>IF(H4510="","",H4510/1000000000)</x:f>
        <x:v>1.26</x:v>
      </x:c>
      <x:c r="R4510" s="13" t="n">
        <x:f>IF(I4510="","",I4510/1000000)</x:f>
        <x:v>22.5</x:v>
      </x:c>
    </x:row>
    <x:row r="4511" ht="21" customHeight="1">
      <x:c r="A4511" s="10" t="n">
        <x:v>6006</x:v>
      </x:c>
      <x:c r="B4511" s="2" t="str">
        <x:v>f78f1ee498ad4abd3601</x:v>
      </x:c>
      <x:c r="C4511" s="2" t="str">
        <x:v>Quảng Nam</x:v>
      </x:c>
      <x:c r="D4511" s="2" t="str">
        <x:v>Thị xã Điện Bàn</x:v>
      </x:c>
      <x:c r="E4511" s="2" t="str">
        <x:v>land</x:v>
      </x:c>
      <x:c r="F4511" s="2" t="str">
        <x:v>sale_assumed</x:v>
      </x:c>
      <x:c r="G4511" s="11" t="n">
        <x:v>101</x:v>
      </x:c>
      <x:c r="H4511" s="12" t="n">
        <x:v>1100000000</x:v>
      </x:c>
      <x:c r="I4511" s="12" t="n">
        <x:v>10891089.10891089</x:v>
      </x:c>
      <x:c r="J4511" s="2" t="str">
        <x:v>total</x:v>
      </x:c>
      <x:c r="K4511" s="2" t="str">
        <x:v>top_level_area</x:v>
      </x:c>
      <x:c r="L4511" s="2" t="str">
        <x:v>property_type_inferred_from_title;transaction_assumed_sale_from_dataset_context</x:v>
      </x:c>
      <x:c r="M4511" s="10" t="n">
        <x:v>0</x:v>
      </x:c>
      <x:c r="N4511" s="10" t="n">
        <x:v>0</x:v>
      </x:c>
      <x:c r="O4511" s="2" t="str">
        <x:v>land</x:v>
      </x:c>
      <x:c r="P4511" s="10" t="n">
        <x:v>2</x:v>
      </x:c>
      <x:c r="Q4511" s="13" t="n">
        <x:f>IF(H4511="","",H4511/1000000000)</x:f>
        <x:v>1.1</x:v>
      </x:c>
      <x:c r="R4511" s="13" t="n">
        <x:f>IF(I4511="","",I4511/1000000)</x:f>
        <x:v>10.89108910891089</x:v>
      </x:c>
    </x:row>
    <x:row r="4512" ht="21" customHeight="1">
      <x:c r="A4512" s="10" t="n">
        <x:v>6007</x:v>
      </x:c>
      <x:c r="B4512" s="2" t="str">
        <x:v>ca12246ef8f6f5f2e787</x:v>
      </x:c>
      <x:c r="C4512" s="2" t="str">
        <x:v>Đà Nẵng</x:v>
      </x:c>
      <x:c r="D4512" s="2" t="str">
        <x:v>Quận Liên Chiểu</x:v>
      </x:c>
      <x:c r="E4512" s="2" t="str">
        <x:v>house</x:v>
      </x:c>
      <x:c r="F4512" s="2" t="str">
        <x:v>sale</x:v>
      </x:c>
      <x:c r="G4512" s="11" t="n">
        <x:v>105</x:v>
      </x:c>
      <x:c r="H4512" s="12" t="n">
        <x:v>4500000000</x:v>
      </x:c>
      <x:c r="I4512" s="12" t="n">
        <x:v>42857142.85714286</x:v>
      </x:c>
      <x:c r="J4512" s="2" t="str">
        <x:v>total</x:v>
      </x:c>
      <x:c r="K4512" s="2" t="str">
        <x:v>top_level_area</x:v>
      </x:c>
      <x:c r="L4512" s="2" t="str">
        <x:v>property_type_inferred_from_title</x:v>
      </x:c>
      <x:c r="M4512" s="10" t="n">
        <x:v>0</x:v>
      </x:c>
      <x:c r="N4512" s="10" t="n">
        <x:v>0</x:v>
      </x:c>
      <x:c r="O4512" s="2" t="str">
        <x:v>Đà Nẵng|house</x:v>
      </x:c>
      <x:c r="P4512" s="10" t="n">
        <x:v>2</x:v>
      </x:c>
      <x:c r="Q4512" s="13" t="n">
        <x:f>IF(H4512="","",H4512/1000000000)</x:f>
        <x:v>4.5</x:v>
      </x:c>
      <x:c r="R4512" s="13" t="n">
        <x:f>IF(I4512="","",I4512/1000000)</x:f>
        <x:v>42.85714285714286</x:v>
      </x:c>
    </x:row>
    <x:row r="4513" ht="21" customHeight="1">
      <x:c r="A4513" s="10" t="n">
        <x:v>6008</x:v>
      </x:c>
      <x:c r="B4513" s="2" t="str">
        <x:v>9e7ae748a267bcbbdf59</x:v>
      </x:c>
      <x:c r="C4513" s="2" t="str">
        <x:v>Tp Hồ Chí Minh</x:v>
      </x:c>
      <x:c r="D4513" s="2" t="str">
        <x:v>Quận Thủ Đức</x:v>
      </x:c>
      <x:c r="E4513" s="2" t="str">
        <x:v>apartment</x:v>
      </x:c>
      <x:c r="F4513" s="2" t="str">
        <x:v>sale_assumed</x:v>
      </x:c>
      <x:c r="G4513" s="11" t="n">
        <x:v>68</x:v>
      </x:c>
      <x:c r="H4513" s="12" t="n">
        <x:v>1680000000</x:v>
      </x:c>
      <x:c r="I4513" s="12" t="n">
        <x:v>24705882.352941178</x:v>
      </x:c>
      <x:c r="J4513" s="2" t="str">
        <x:v>total</x:v>
      </x:c>
      <x:c r="K4513" s="2" t="str">
        <x:v>top_level_area</x:v>
      </x:c>
      <x:c r="L4513" s="2" t="str">
        <x:v>property_type_inferred_from_title;transaction_assumed_sale_from_dataset_context</x:v>
      </x:c>
      <x:c r="M4513" s="10" t="n">
        <x:v>0</x:v>
      </x:c>
      <x:c r="N4513" s="10" t="n">
        <x:v>0</x:v>
      </x:c>
      <x:c r="O4513" s="2" t="str">
        <x:v>Tp Hồ Chí Minh|apartment</x:v>
      </x:c>
      <x:c r="P4513" s="10" t="n">
        <x:v>2</x:v>
      </x:c>
      <x:c r="Q4513" s="13" t="n">
        <x:f>IF(H4513="","",H4513/1000000000)</x:f>
        <x:v>1.68</x:v>
      </x:c>
      <x:c r="R4513" s="13" t="n">
        <x:f>IF(I4513="","",I4513/1000000)</x:f>
        <x:v>24.705882352941178</x:v>
      </x:c>
    </x:row>
    <x:row r="4514" ht="21" customHeight="1">
      <x:c r="A4514" s="10" t="n">
        <x:v>6012</x:v>
      </x:c>
      <x:c r="B4514" s="2" t="str">
        <x:v>4c09a1240756fdccff3a</x:v>
      </x:c>
      <x:c r="C4514" s="2" t="str">
        <x:v>Tp Hồ Chí Minh</x:v>
      </x:c>
      <x:c r="D4514" s="2" t="str">
        <x:v>Quận 12</x:v>
      </x:c>
      <x:c r="E4514" s="2" t="str">
        <x:v>apartment</x:v>
      </x:c>
      <x:c r="F4514" s="2" t="str">
        <x:v>sale</x:v>
      </x:c>
      <x:c r="G4514" s="11" t="n">
        <x:v>65</x:v>
      </x:c>
      <x:c r="H4514" s="12" t="n">
        <x:v>1700000000</x:v>
      </x:c>
      <x:c r="I4514" s="12" t="n">
        <x:v>26153846.153846152</x:v>
      </x:c>
      <x:c r="J4514" s="2" t="str">
        <x:v>total</x:v>
      </x:c>
      <x:c r="K4514" s="2" t="str">
        <x:v>top_level_area</x:v>
      </x:c>
      <x:c r="L4514" s="2" t="str">
        <x:v>property_type_inferred_from_title</x:v>
      </x:c>
      <x:c r="M4514" s="10" t="n">
        <x:v>0</x:v>
      </x:c>
      <x:c r="N4514" s="10" t="n">
        <x:v>0</x:v>
      </x:c>
      <x:c r="O4514" s="2" t="str">
        <x:v>Tp Hồ Chí Minh|apartment</x:v>
      </x:c>
      <x:c r="P4514" s="10" t="n">
        <x:v>2</x:v>
      </x:c>
      <x:c r="Q4514" s="13" t="n">
        <x:f>IF(H4514="","",H4514/1000000000)</x:f>
        <x:v>1.7</x:v>
      </x:c>
      <x:c r="R4514" s="13" t="n">
        <x:f>IF(I4514="","",I4514/1000000)</x:f>
        <x:v>26.153846153846153</x:v>
      </x:c>
    </x:row>
    <x:row r="4515" ht="21" customHeight="1">
      <x:c r="A4515" s="10" t="n">
        <x:v>6013</x:v>
      </x:c>
      <x:c r="B4515" s="2" t="str">
        <x:v>a0b45f23f397f5b9276b</x:v>
      </x:c>
      <x:c r="C4515" s="2" t="str">
        <x:v>Hà Nội</x:v>
      </x:c>
      <x:c r="D4515" s="2" t="str">
        <x:v>Quận Tây Hồ</x:v>
      </x:c>
      <x:c r="E4515" s="2" t="str">
        <x:v>other_unknown</x:v>
      </x:c>
      <x:c r="F4515" s="2" t="str">
        <x:v>sale_assumed</x:v>
      </x:c>
      <x:c r="G4515" s="11" t="n">
        <x:v>32</x:v>
      </x:c>
      <x:c r="H4515" s="12" t="n">
        <x:v>3350000000</x:v>
      </x:c>
      <x:c r="I4515" s="12" t="n">
        <x:v>104687500</x:v>
      </x:c>
      <x:c r="J4515" s="2" t="str">
        <x:v>total</x:v>
      </x:c>
      <x:c r="K4515" s="2" t="str">
        <x:v>top_level_area</x:v>
      </x:c>
      <x:c r="L4515" s="2" t="str">
        <x:v>property_type_inferred_from_title;transaction_assumed_sale_from_dataset_context;unknown_property_type</x:v>
      </x:c>
      <x:c r="M4515" s="10" t="n">
        <x:v>0</x:v>
      </x:c>
      <x:c r="N4515" s="10" t="n">
        <x:v>0</x:v>
      </x:c>
      <x:c r="O4515" s="2" t="str">
        <x:v>Hà Nội|other_unknown</x:v>
      </x:c>
      <x:c r="P4515" s="10" t="n">
        <x:v>2</x:v>
      </x:c>
      <x:c r="Q4515" s="13" t="n">
        <x:f>IF(H4515="","",H4515/1000000000)</x:f>
        <x:v>3.35</x:v>
      </x:c>
      <x:c r="R4515" s="13" t="n">
        <x:f>IF(I4515="","",I4515/1000000)</x:f>
        <x:v>104.6875</x:v>
      </x:c>
    </x:row>
    <x:row r="4516" ht="21" customHeight="1">
      <x:c r="A4516" s="10" t="n">
        <x:v>6014</x:v>
      </x:c>
      <x:c r="B4516" s="2" t="str">
        <x:v>65ea8638fc27ee4b3ceb</x:v>
      </x:c>
      <x:c r="C4516" s="2" t="str">
        <x:v>Tp Hồ Chí Minh</x:v>
      </x:c>
      <x:c r="D4516" s="2" t="str">
        <x:v>Quận Phú Nhuận</x:v>
      </x:c>
      <x:c r="E4516" s="2" t="str">
        <x:v>house</x:v>
      </x:c>
      <x:c r="F4516" s="2" t="str">
        <x:v>sale</x:v>
      </x:c>
      <x:c r="G4516" s="11" t="n">
        <x:v>65</x:v>
      </x:c>
      <x:c r="H4516" s="12" t="n">
        <x:v>3550000000</x:v>
      </x:c>
      <x:c r="I4516" s="12" t="n">
        <x:v>54615384.615384616</x:v>
      </x:c>
      <x:c r="J4516" s="2" t="str">
        <x:v>total</x:v>
      </x:c>
      <x:c r="K4516" s="2" t="str">
        <x:v>top_level_area</x:v>
      </x:c>
      <x:c r="L4516" s="2" t="str">
        <x:v>property_type_inferred_from_title</x:v>
      </x:c>
      <x:c r="M4516" s="10" t="n">
        <x:v>0</x:v>
      </x:c>
      <x:c r="N4516" s="10" t="n">
        <x:v>0</x:v>
      </x:c>
      <x:c r="O4516" s="2" t="str">
        <x:v>Tp Hồ Chí Minh|house</x:v>
      </x:c>
      <x:c r="P4516" s="10" t="n">
        <x:v>2</x:v>
      </x:c>
      <x:c r="Q4516" s="13" t="n">
        <x:f>IF(H4516="","",H4516/1000000000)</x:f>
        <x:v>3.55</x:v>
      </x:c>
      <x:c r="R4516" s="13" t="n">
        <x:f>IF(I4516="","",I4516/1000000)</x:f>
        <x:v>54.61538461538461</x:v>
      </x:c>
    </x:row>
    <x:row r="4517" ht="21" customHeight="1">
      <x:c r="A4517" s="10" t="n">
        <x:v>6015</x:v>
      </x:c>
      <x:c r="B4517" s="2" t="str">
        <x:v>18a682f261e19715e362</x:v>
      </x:c>
      <x:c r="C4517" s="2" t="str">
        <x:v>Vĩnh Long</x:v>
      </x:c>
      <x:c r="D4517" s="2" t="str">
        <x:v>Thành phố Vĩnh Long</x:v>
      </x:c>
      <x:c r="E4517" s="2" t="str">
        <x:v>land</x:v>
      </x:c>
      <x:c r="F4517" s="2" t="str">
        <x:v>sale_assumed</x:v>
      </x:c>
      <x:c r="G4517" s="11" t="n">
        <x:v>137</x:v>
      </x:c>
      <x:c r="H4517" s="12" t="n">
        <x:v>1150000000</x:v>
      </x:c>
      <x:c r="I4517" s="12" t="n">
        <x:v>8394160.583941605</x:v>
      </x:c>
      <x:c r="J4517" s="2" t="str">
        <x:v>total</x:v>
      </x:c>
      <x:c r="K4517" s="2" t="str">
        <x:v>top_level_area</x:v>
      </x:c>
      <x:c r="L4517" s="2" t="str">
        <x:v>property_type_inferred_from_title;transaction_assumed_sale_from_dataset_context</x:v>
      </x:c>
      <x:c r="M4517" s="10" t="n">
        <x:v>0</x:v>
      </x:c>
      <x:c r="N4517" s="10" t="n">
        <x:v>0</x:v>
      </x:c>
      <x:c r="O4517" s="2" t="str">
        <x:v>land</x:v>
      </x:c>
      <x:c r="P4517" s="10" t="n">
        <x:v>2</x:v>
      </x:c>
      <x:c r="Q4517" s="13" t="n">
        <x:f>IF(H4517="","",H4517/1000000000)</x:f>
        <x:v>1.15</x:v>
      </x:c>
      <x:c r="R4517" s="13" t="n">
        <x:f>IF(I4517="","",I4517/1000000)</x:f>
        <x:v>8.394160583941606</x:v>
      </x:c>
    </x:row>
    <x:row r="4518" ht="21" customHeight="1">
      <x:c r="A4518" s="10" t="n">
        <x:v>6016</x:v>
      </x:c>
      <x:c r="B4518" s="2" t="str">
        <x:v>914cea44b38768f8556b</x:v>
      </x:c>
      <x:c r="C4518" s="2" t="str">
        <x:v>Tp Hồ Chí Minh</x:v>
      </x:c>
      <x:c r="D4518" s="2" t="str">
        <x:v>Quận Bình Thạnh</x:v>
      </x:c>
      <x:c r="E4518" s="2" t="str">
        <x:v>house</x:v>
      </x:c>
      <x:c r="F4518" s="2" t="str">
        <x:v>sale_assumed</x:v>
      </x:c>
      <x:c r="G4518" s="11" t="n">
        <x:v>44</x:v>
      </x:c>
      <x:c r="H4518" s="12" t="n">
        <x:v>1795000000</x:v>
      </x:c>
      <x:c r="I4518" s="12" t="n">
        <x:v>40795454.54545455</x:v>
      </x:c>
      <x:c r="J4518" s="2" t="str">
        <x:v>total</x:v>
      </x:c>
      <x:c r="K4518" s="2" t="str">
        <x:v>top_level_area</x:v>
      </x:c>
      <x:c r="L4518" s="2" t="str">
        <x:v>property_type_inferred_from_title;transaction_assumed_sale_from_dataset_context</x:v>
      </x:c>
      <x:c r="M4518" s="10" t="n">
        <x:v>0</x:v>
      </x:c>
      <x:c r="N4518" s="10" t="n">
        <x:v>0</x:v>
      </x:c>
      <x:c r="O4518" s="2" t="str">
        <x:v>Tp Hồ Chí Minh|house</x:v>
      </x:c>
      <x:c r="P4518" s="10" t="n">
        <x:v>2</x:v>
      </x:c>
      <x:c r="Q4518" s="13" t="n">
        <x:f>IF(H4518="","",H4518/1000000000)</x:f>
        <x:v>1.795</x:v>
      </x:c>
      <x:c r="R4518" s="13" t="n">
        <x:f>IF(I4518="","",I4518/1000000)</x:f>
        <x:v>40.79545454545455</x:v>
      </x:c>
    </x:row>
    <x:row r="4519" ht="21" customHeight="1">
      <x:c r="A4519" s="10" t="n">
        <x:v>6017</x:v>
      </x:c>
      <x:c r="B4519" s="2" t="str">
        <x:v>27a4a20185d761cc97fe</x:v>
      </x:c>
      <x:c r="C4519" s="2" t="str">
        <x:v>Tp Hồ Chí Minh</x:v>
      </x:c>
      <x:c r="D4519" s="2" t="str">
        <x:v>Huyện Bình Chánh</x:v>
      </x:c>
      <x:c r="E4519" s="2" t="str">
        <x:v>house</x:v>
      </x:c>
      <x:c r="F4519" s="2" t="str">
        <x:v>sale</x:v>
      </x:c>
      <x:c r="G4519" s="11" t="n">
        <x:v>80</x:v>
      </x:c>
      <x:c r="H4519" s="12" t="n">
        <x:v>1200000000</x:v>
      </x:c>
      <x:c r="I4519" s="12" t="n">
        <x:v>15000000</x:v>
      </x:c>
      <x:c r="J4519" s="2" t="str">
        <x:v>total</x:v>
      </x:c>
      <x:c r="K4519" s="2" t="str">
        <x:v>top_level_area</x:v>
      </x:c>
      <x:c r="L4519" s="2" t="str">
        <x:v>property_type_inferred_from_title</x:v>
      </x:c>
      <x:c r="M4519" s="10" t="n">
        <x:v>0</x:v>
      </x:c>
      <x:c r="N4519" s="10" t="n">
        <x:v>0</x:v>
      </x:c>
      <x:c r="O4519" s="2" t="str">
        <x:v>Tp Hồ Chí Minh|house</x:v>
      </x:c>
      <x:c r="P4519" s="10" t="n">
        <x:v>2</x:v>
      </x:c>
      <x:c r="Q4519" s="13" t="n">
        <x:f>IF(H4519="","",H4519/1000000000)</x:f>
        <x:v>1.2</x:v>
      </x:c>
      <x:c r="R4519" s="13" t="n">
        <x:f>IF(I4519="","",I4519/1000000)</x:f>
        <x:v>15</x:v>
      </x:c>
    </x:row>
    <x:row r="4520" ht="21" customHeight="1">
      <x:c r="A4520" s="10" t="n">
        <x:v>6018</x:v>
      </x:c>
      <x:c r="B4520" s="2" t="str">
        <x:v>34de12f5c220a5f91928</x:v>
      </x:c>
      <x:c r="C4520" s="2" t="str">
        <x:v>Đà Nẵng</x:v>
      </x:c>
      <x:c r="D4520" s="2" t="str">
        <x:v>Quận Ngũ Hành Sơn</x:v>
      </x:c>
      <x:c r="E4520" s="2" t="str">
        <x:v>apartment</x:v>
      </x:c>
      <x:c r="F4520" s="2" t="str">
        <x:v>sale_assumed</x:v>
      </x:c>
      <x:c r="G4520" s="11" t="n">
        <x:v>102</x:v>
      </x:c>
      <x:c r="H4520" s="12" t="n">
        <x:v>15000000000</x:v>
      </x:c>
      <x:c r="I4520" s="12" t="n">
        <x:v>147058823.52941176</x:v>
      </x:c>
      <x:c r="J4520" s="2" t="str">
        <x:v>total</x:v>
      </x:c>
      <x:c r="K4520" s="2" t="str">
        <x:v>top_level_area</x:v>
      </x:c>
      <x:c r="L4520" s="2" t="str">
        <x:v>property_type_inferred_from_title;transaction_assumed_sale_from_dataset_context</x:v>
      </x:c>
      <x:c r="M4520" s="10" t="n">
        <x:v>0</x:v>
      </x:c>
      <x:c r="N4520" s="10" t="n">
        <x:v>1</x:v>
      </x:c>
      <x:c r="O4520" s="2" t="str">
        <x:v>apartment</x:v>
      </x:c>
      <x:c r="P4520" s="10" t="n">
        <x:v>-1</x:v>
      </x:c>
      <x:c r="Q4520" s="13" t="n">
        <x:f>IF(H4520="","",H4520/1000000000)</x:f>
        <x:v>15</x:v>
      </x:c>
      <x:c r="R4520" s="13" t="n">
        <x:f>IF(I4520="","",I4520/1000000)</x:f>
        <x:v>147.05882352941177</x:v>
      </x:c>
    </x:row>
    <x:row r="4521" ht="21" customHeight="1">
      <x:c r="A4521" s="10" t="n">
        <x:v>6019</x:v>
      </x:c>
      <x:c r="B4521" s="2" t="str">
        <x:v>079e9be8d45988fdeb32</x:v>
      </x:c>
      <x:c r="C4521" s="2" t="str">
        <x:v>Tp Hồ Chí Minh</x:v>
      </x:c>
      <x:c r="D4521" s="2" t="str">
        <x:v>Huyện Hóc Môn</x:v>
      </x:c>
      <x:c r="E4521" s="2" t="str">
        <x:v>land</x:v>
      </x:c>
      <x:c r="F4521" s="2" t="str">
        <x:v>sale_assumed</x:v>
      </x:c>
      <x:c r="G4521" s="11" t="n">
        <x:v>100</x:v>
      </x:c>
      <x:c r="H4521" s="12" t="n">
        <x:v>3500000000</x:v>
      </x:c>
      <x:c r="I4521" s="12" t="n">
        <x:v>35000000</x:v>
      </x:c>
      <x:c r="J4521" s="2" t="str">
        <x:v>total</x:v>
      </x:c>
      <x:c r="K4521" s="2" t="str">
        <x:v>top_level_area</x:v>
      </x:c>
      <x:c r="L4521" s="2" t="str">
        <x:v>property_type_inferred_from_title;transaction_assumed_sale_from_dataset_context</x:v>
      </x:c>
      <x:c r="M4521" s="10" t="n">
        <x:v>0</x:v>
      </x:c>
      <x:c r="N4521" s="10" t="n">
        <x:v>0</x:v>
      </x:c>
      <x:c r="O4521" s="2" t="str">
        <x:v>Tp Hồ Chí Minh|land</x:v>
      </x:c>
      <x:c r="P4521" s="10" t="n">
        <x:v>2</x:v>
      </x:c>
      <x:c r="Q4521" s="13" t="n">
        <x:f>IF(H4521="","",H4521/1000000000)</x:f>
        <x:v>3.5</x:v>
      </x:c>
      <x:c r="R4521" s="13" t="n">
        <x:f>IF(I4521="","",I4521/1000000)</x:f>
        <x:v>35</x:v>
      </x:c>
    </x:row>
    <x:row r="4522" ht="21" customHeight="1">
      <x:c r="A4522" s="10" t="n">
        <x:v>6020</x:v>
      </x:c>
      <x:c r="B4522" s="2" t="str">
        <x:v>528909876beb6e400308</x:v>
      </x:c>
      <x:c r="C4522" s="2" t="str">
        <x:v>Tp Hồ Chí Minh</x:v>
      </x:c>
      <x:c r="D4522" s="2" t="str">
        <x:v>Quận 2</x:v>
      </x:c>
      <x:c r="E4522" s="2" t="str">
        <x:v>other_unknown</x:v>
      </x:c>
      <x:c r="F4522" s="2" t="str">
        <x:v>sale_assumed</x:v>
      </x:c>
      <x:c r="G4522" s="11" t="n">
        <x:v>68</x:v>
      </x:c>
      <x:c r="H4522" s="12" t="n">
        <x:v>2400000000</x:v>
      </x:c>
      <x:c r="I4522" s="12" t="n">
        <x:v>35294117.64705882</x:v>
      </x:c>
      <x:c r="J4522" s="2" t="str">
        <x:v>total</x:v>
      </x:c>
      <x:c r="K4522" s="2" t="str">
        <x:v>top_level_area</x:v>
      </x:c>
      <x:c r="L4522" s="2" t="str">
        <x:v>property_type_inferred_from_title;transaction_assumed_sale_from_dataset_context;unknown_property_type</x:v>
      </x:c>
      <x:c r="M4522" s="10" t="n">
        <x:v>0</x:v>
      </x:c>
      <x:c r="N4522" s="10" t="n">
        <x:v>0</x:v>
      </x:c>
      <x:c r="O4522" s="2" t="str">
        <x:v>Tp Hồ Chí Minh|other_unknown</x:v>
      </x:c>
      <x:c r="P4522" s="10" t="n">
        <x:v>2</x:v>
      </x:c>
      <x:c r="Q4522" s="13" t="n">
        <x:f>IF(H4522="","",H4522/1000000000)</x:f>
        <x:v>2.4</x:v>
      </x:c>
      <x:c r="R4522" s="13" t="n">
        <x:f>IF(I4522="","",I4522/1000000)</x:f>
        <x:v>35.29411764705882</x:v>
      </x:c>
    </x:row>
    <x:row r="4523" ht="21" customHeight="1">
      <x:c r="A4523" s="10" t="n">
        <x:v>6021</x:v>
      </x:c>
      <x:c r="B4523" s="2" t="str">
        <x:v>d2d4f815fe9d72a122f8</x:v>
      </x:c>
      <x:c r="C4523" s="2" t="str">
        <x:v>Hà Nội</x:v>
      </x:c>
      <x:c r="D4523" s="2" t="str">
        <x:v>Quận Long Biên</x:v>
      </x:c>
      <x:c r="E4523" s="2" t="str">
        <x:v>house</x:v>
      </x:c>
      <x:c r="F4523" s="2" t="str">
        <x:v>sale</x:v>
      </x:c>
      <x:c r="G4523" s="11" t="n">
        <x:v>30</x:v>
      </x:c>
      <x:c r="H4523" s="12" t="n">
        <x:v>2420000000</x:v>
      </x:c>
      <x:c r="I4523" s="12" t="n">
        <x:v>80666666.66666667</x:v>
      </x:c>
      <x:c r="J4523" s="2" t="str">
        <x:v>total</x:v>
      </x:c>
      <x:c r="K4523" s="2" t="str">
        <x:v>top_level_area</x:v>
      </x:c>
      <x:c r="L4523" s="2" t="str">
        <x:v>property_type_inferred_from_title</x:v>
      </x:c>
      <x:c r="M4523" s="10" t="n">
        <x:v>0</x:v>
      </x:c>
      <x:c r="N4523" s="10" t="n">
        <x:v>0</x:v>
      </x:c>
      <x:c r="O4523" s="2" t="str">
        <x:v>Hà Nội|house</x:v>
      </x:c>
      <x:c r="P4523" s="10" t="n">
        <x:v>2</x:v>
      </x:c>
      <x:c r="Q4523" s="13" t="n">
        <x:f>IF(H4523="","",H4523/1000000000)</x:f>
        <x:v>2.42</x:v>
      </x:c>
      <x:c r="R4523" s="13" t="n">
        <x:f>IF(I4523="","",I4523/1000000)</x:f>
        <x:v>80.66666666666667</x:v>
      </x:c>
    </x:row>
    <x:row r="4524" ht="21" customHeight="1">
      <x:c r="A4524" s="10" t="n">
        <x:v>6022</x:v>
      </x:c>
      <x:c r="B4524" s="2" t="str">
        <x:v>8e5bc7c25b073276928f</x:v>
      </x:c>
      <x:c r="C4524" s="2" t="str">
        <x:v>Tp Hồ Chí Minh</x:v>
      </x:c>
      <x:c r="D4524" s="2" t="str">
        <x:v>Quận 8</x:v>
      </x:c>
      <x:c r="E4524" s="2" t="str">
        <x:v>house</x:v>
      </x:c>
      <x:c r="F4524" s="2" t="str">
        <x:v>sale</x:v>
      </x:c>
      <x:c r="G4524" s="11" t="n">
        <x:v>52</x:v>
      </x:c>
      <x:c r="H4524" s="12" t="n">
        <x:v>1420000000</x:v>
      </x:c>
      <x:c r="I4524" s="12" t="n">
        <x:v>27307692.307692308</x:v>
      </x:c>
      <x:c r="J4524" s="2" t="str">
        <x:v>total</x:v>
      </x:c>
      <x:c r="K4524" s="2" t="str">
        <x:v>top_level_price_embedded_area</x:v>
      </x:c>
      <x:c r="L4524" s="2" t="str">
        <x:v>area_recovered_from_price_text;property_type_inferred_from_title</x:v>
      </x:c>
      <x:c r="M4524" s="10" t="n">
        <x:v>0</x:v>
      </x:c>
      <x:c r="N4524" s="10" t="n">
        <x:v>0</x:v>
      </x:c>
      <x:c r="O4524" s="2" t="str">
        <x:v>Tp Hồ Chí Minh|house</x:v>
      </x:c>
      <x:c r="P4524" s="10" t="n">
        <x:v>2</x:v>
      </x:c>
      <x:c r="Q4524" s="13" t="n">
        <x:f>IF(H4524="","",H4524/1000000000)</x:f>
        <x:v>1.42</x:v>
      </x:c>
      <x:c r="R4524" s="13" t="n">
        <x:f>IF(I4524="","",I4524/1000000)</x:f>
        <x:v>27.307692307692307</x:v>
      </x:c>
    </x:row>
    <x:row r="4525" ht="21" customHeight="1">
      <x:c r="A4525" s="10" t="n">
        <x:v>6023</x:v>
      </x:c>
      <x:c r="B4525" s="2" t="str">
        <x:v>9ac4eb070c9654da8340</x:v>
      </x:c>
      <x:c r="C4525" s="2" t="str">
        <x:v>Long An</x:v>
      </x:c>
      <x:c r="D4525" s="2" t="str">
        <x:v>Huyện Cần Giuộc</x:v>
      </x:c>
      <x:c r="E4525" s="2" t="str">
        <x:v>house</x:v>
      </x:c>
      <x:c r="F4525" s="2" t="str">
        <x:v>sale</x:v>
      </x:c>
      <x:c r="G4525" s="11" t="n">
        <x:v>35</x:v>
      </x:c>
      <x:c r="H4525" s="12" t="n">
        <x:v>400000000</x:v>
      </x:c>
      <x:c r="I4525" s="12" t="n">
        <x:v>11428571.42857143</x:v>
      </x:c>
      <x:c r="J4525" s="2" t="str">
        <x:v>total</x:v>
      </x:c>
      <x:c r="K4525" s="2" t="str">
        <x:v>top_level_area</x:v>
      </x:c>
      <x:c r="L4525" s="2" t="str">
        <x:v>property_type_inferred_from_title</x:v>
      </x:c>
      <x:c r="M4525" s="10" t="n">
        <x:v>0</x:v>
      </x:c>
      <x:c r="N4525" s="10" t="n">
        <x:v>0</x:v>
      </x:c>
      <x:c r="O4525" s="2" t="str">
        <x:v>Long An|house</x:v>
      </x:c>
      <x:c r="P4525" s="10" t="n">
        <x:v>2</x:v>
      </x:c>
      <x:c r="Q4525" s="13" t="n">
        <x:f>IF(H4525="","",H4525/1000000000)</x:f>
        <x:v>0.4</x:v>
      </x:c>
      <x:c r="R4525" s="13" t="n">
        <x:f>IF(I4525="","",I4525/1000000)</x:f>
        <x:v>11.428571428571429</x:v>
      </x:c>
    </x:row>
    <x:row r="4526" ht="21" customHeight="1">
      <x:c r="A4526" s="10" t="n">
        <x:v>6024</x:v>
      </x:c>
      <x:c r="B4526" s="2" t="str">
        <x:v>f2146aedd86b54a7ba19</x:v>
      </x:c>
      <x:c r="C4526" s="2" t="str">
        <x:v>Long An</x:v>
      </x:c>
      <x:c r="D4526" s="2" t="str">
        <x:v>Huyện Cần Giuộc</x:v>
      </x:c>
      <x:c r="E4526" s="2" t="str">
        <x:v>land</x:v>
      </x:c>
      <x:c r="F4526" s="2" t="str">
        <x:v>sale</x:v>
      </x:c>
      <x:c r="G4526" s="11" t="n">
        <x:v>5000</x:v>
      </x:c>
      <x:c r="H4526" s="12" t="n">
        <x:v>4000000000</x:v>
      </x:c>
      <x:c r="I4526" s="12" t="n">
        <x:v>800000</x:v>
      </x:c>
      <x:c r="J4526" s="2" t="str">
        <x:v>total</x:v>
      </x:c>
      <x:c r="K4526" s="2" t="str">
        <x:v>top_level_area</x:v>
      </x:c>
      <x:c r="L4526" s="2" t="str">
        <x:v>dot_thousands_convention;property_type_inferred_from_title</x:v>
      </x:c>
      <x:c r="M4526" s="10" t="n">
        <x:v>0</x:v>
      </x:c>
      <x:c r="N4526" s="10" t="n">
        <x:v>0</x:v>
      </x:c>
      <x:c r="O4526" s="2" t="str">
        <x:v>Long An|land</x:v>
      </x:c>
      <x:c r="P4526" s="10" t="n">
        <x:v>1</x:v>
      </x:c>
      <x:c r="Q4526" s="13" t="n">
        <x:f>IF(H4526="","",H4526/1000000000)</x:f>
        <x:v>4</x:v>
      </x:c>
      <x:c r="R4526" s="13" t="n">
        <x:f>IF(I4526="","",I4526/1000000)</x:f>
        <x:v>0.8</x:v>
      </x:c>
    </x:row>
    <x:row r="4527" ht="21" customHeight="1">
      <x:c r="A4527" s="10" t="n">
        <x:v>6025</x:v>
      </x:c>
      <x:c r="B4527" s="2" t="str">
        <x:v>a4e3e2493ccc0a43a99e</x:v>
      </x:c>
      <x:c r="C4527" s="2" t="str">
        <x:v>Bình Dương</x:v>
      </x:c>
      <x:c r="D4527" s="2" t="str">
        <x:v>Thị xã Dĩ An</x:v>
      </x:c>
      <x:c r="E4527" s="2" t="str">
        <x:v>house</x:v>
      </x:c>
      <x:c r="F4527" s="2" t="str">
        <x:v>sale</x:v>
      </x:c>
      <x:c r="G4527" s="11" t="n">
        <x:v>30</x:v>
      </x:c>
      <x:c r="H4527" s="12" t="n">
        <x:v>1050000000</x:v>
      </x:c>
      <x:c r="I4527" s="12" t="n">
        <x:v>35000000</x:v>
      </x:c>
      <x:c r="J4527" s="2" t="str">
        <x:v>total</x:v>
      </x:c>
      <x:c r="K4527" s="2" t="str">
        <x:v>top_level_area</x:v>
      </x:c>
      <x:c r="L4527" s="2" t="str">
        <x:v>property_type_inferred_from_title</x:v>
      </x:c>
      <x:c r="M4527" s="10" t="n">
        <x:v>0</x:v>
      </x:c>
      <x:c r="N4527" s="10" t="n">
        <x:v>0</x:v>
      </x:c>
      <x:c r="O4527" s="2" t="str">
        <x:v>Bình Dương|house</x:v>
      </x:c>
      <x:c r="P4527" s="10" t="n">
        <x:v>2</x:v>
      </x:c>
      <x:c r="Q4527" s="13" t="n">
        <x:f>IF(H4527="","",H4527/1000000000)</x:f>
        <x:v>1.05</x:v>
      </x:c>
      <x:c r="R4527" s="13" t="n">
        <x:f>IF(I4527="","",I4527/1000000)</x:f>
        <x:v>35</x:v>
      </x:c>
    </x:row>
    <x:row r="4528" ht="21" customHeight="1">
      <x:c r="A4528" s="10" t="n">
        <x:v>6027</x:v>
      </x:c>
      <x:c r="B4528" s="2" t="str">
        <x:v>fecc55b573e66ca52038</x:v>
      </x:c>
      <x:c r="C4528" s="2" t="str">
        <x:v>Lâm Đồng</x:v>
      </x:c>
      <x:c r="D4528" s="2" t="str">
        <x:v>Huyện Đơn Dương</x:v>
      </x:c>
      <x:c r="E4528" s="2" t="str">
        <x:v>house</x:v>
      </x:c>
      <x:c r="F4528" s="2" t="str">
        <x:v>sale_assumed</x:v>
      </x:c>
      <x:c r="G4528" s="11" t="n">
        <x:v>60</x:v>
      </x:c>
      <x:c r="H4528" s="12" t="n">
        <x:v>333000000</x:v>
      </x:c>
      <x:c r="I4528" s="12" t="n">
        <x:v>5550000</x:v>
      </x:c>
      <x:c r="J4528" s="2" t="str">
        <x:v>total</x:v>
      </x:c>
      <x:c r="K4528" s="2" t="str">
        <x:v>top_level_area</x:v>
      </x:c>
      <x:c r="L4528" s="2" t="str">
        <x:v>property_type_inferred_from_title;transaction_assumed_sale_from_dataset_context</x:v>
      </x:c>
      <x:c r="M4528" s="10" t="n">
        <x:v>0</x:v>
      </x:c>
      <x:c r="N4528" s="10" t="n">
        <x:v>0</x:v>
      </x:c>
      <x:c r="O4528" s="2" t="str">
        <x:v>house</x:v>
      </x:c>
      <x:c r="P4528" s="10" t="n">
        <x:v>2</x:v>
      </x:c>
      <x:c r="Q4528" s="13" t="n">
        <x:f>IF(H4528="","",H4528/1000000000)</x:f>
        <x:v>0.333</x:v>
      </x:c>
      <x:c r="R4528" s="13" t="n">
        <x:f>IF(I4528="","",I4528/1000000)</x:f>
        <x:v>5.55</x:v>
      </x:c>
    </x:row>
    <x:row r="4529" ht="21" customHeight="1">
      <x:c r="A4529" s="10" t="n">
        <x:v>6028</x:v>
      </x:c>
      <x:c r="B4529" s="2" t="str">
        <x:v>73c82d2a905914e295c8</x:v>
      </x:c>
      <x:c r="C4529" s="2" t="str">
        <x:v>Tp Hồ Chí Minh</x:v>
      </x:c>
      <x:c r="D4529" s="2" t="str">
        <x:v>Quận Bình Thạnh</x:v>
      </x:c>
      <x:c r="E4529" s="2" t="str">
        <x:v>house</x:v>
      </x:c>
      <x:c r="F4529" s="2" t="str">
        <x:v>sale</x:v>
      </x:c>
      <x:c r="G4529" s="11" t="n">
        <x:v>48</x:v>
      </x:c>
      <x:c r="H4529" s="12" t="n">
        <x:v>1320000000</x:v>
      </x:c>
      <x:c r="I4529" s="12" t="n">
        <x:v>27500000</x:v>
      </x:c>
      <x:c r="J4529" s="2" t="str">
        <x:v>total</x:v>
      </x:c>
      <x:c r="K4529" s="2" t="str">
        <x:v>top_level_area</x:v>
      </x:c>
      <x:c r="L4529" s="2" t="str">
        <x:v>property_type_inferred_from_title</x:v>
      </x:c>
      <x:c r="M4529" s="10" t="n">
        <x:v>0</x:v>
      </x:c>
      <x:c r="N4529" s="10" t="n">
        <x:v>0</x:v>
      </x:c>
      <x:c r="O4529" s="2" t="str">
        <x:v>Tp Hồ Chí Minh|house</x:v>
      </x:c>
      <x:c r="P4529" s="10" t="n">
        <x:v>2</x:v>
      </x:c>
      <x:c r="Q4529" s="13" t="n">
        <x:f>IF(H4529="","",H4529/1000000000)</x:f>
        <x:v>1.32</x:v>
      </x:c>
      <x:c r="R4529" s="13" t="n">
        <x:f>IF(I4529="","",I4529/1000000)</x:f>
        <x:v>27.5</x:v>
      </x:c>
    </x:row>
    <x:row r="4530" ht="21" customHeight="1">
      <x:c r="A4530" s="10" t="n">
        <x:v>6029</x:v>
      </x:c>
      <x:c r="B4530" s="2" t="str">
        <x:v>9371743eab0ce60b24db</x:v>
      </x:c>
      <x:c r="C4530" s="2" t="str">
        <x:v>Cần Thơ</x:v>
      </x:c>
      <x:c r="D4530" s="2" t="str">
        <x:v>Huyện Vĩnh Thạnh</x:v>
      </x:c>
      <x:c r="E4530" s="2" t="str">
        <x:v>land</x:v>
      </x:c>
      <x:c r="F4530" s="2" t="str">
        <x:v>sale</x:v>
      </x:c>
      <x:c r="G4530" s="11" t="n">
        <x:v>100</x:v>
      </x:c>
      <x:c r="H4530" s="12" t="n">
        <x:v>720000000</x:v>
      </x:c>
      <x:c r="I4530" s="12" t="n">
        <x:v>7200000</x:v>
      </x:c>
      <x:c r="J4530" s="2" t="str">
        <x:v>total</x:v>
      </x:c>
      <x:c r="K4530" s="2" t="str">
        <x:v>top_level_area</x:v>
      </x:c>
      <x:c r="L4530" s="2" t="str">
        <x:v>property_type_inferred_from_title</x:v>
      </x:c>
      <x:c r="M4530" s="10" t="n">
        <x:v>0</x:v>
      </x:c>
      <x:c r="N4530" s="10" t="n">
        <x:v>0</x:v>
      </x:c>
      <x:c r="O4530" s="2" t="str">
        <x:v>Cần Thơ|land</x:v>
      </x:c>
      <x:c r="P4530" s="10" t="n">
        <x:v>2</x:v>
      </x:c>
      <x:c r="Q4530" s="13" t="n">
        <x:f>IF(H4530="","",H4530/1000000000)</x:f>
        <x:v>0.72</x:v>
      </x:c>
      <x:c r="R4530" s="13" t="n">
        <x:f>IF(I4530="","",I4530/1000000)</x:f>
        <x:v>7.2</x:v>
      </x:c>
    </x:row>
    <x:row r="4531" ht="21" customHeight="1">
      <x:c r="A4531" s="10" t="n">
        <x:v>6030</x:v>
      </x:c>
      <x:c r="B4531" s="2" t="str">
        <x:v>0fad68cdbc437a6c3e16</x:v>
      </x:c>
      <x:c r="C4531" s="2" t="str">
        <x:v>Tp Hồ Chí Minh</x:v>
      </x:c>
      <x:c r="D4531" s="2" t="str">
        <x:v>Quận 9</x:v>
      </x:c>
      <x:c r="E4531" s="2" t="str">
        <x:v>other_unknown</x:v>
      </x:c>
      <x:c r="F4531" s="2" t="str">
        <x:v>sale</x:v>
      </x:c>
      <x:c r="G4531" s="11" t="n">
        <x:v>64</x:v>
      </x:c>
      <x:c r="H4531" s="12" t="n">
        <x:v>1600000000</x:v>
      </x:c>
      <x:c r="I4531" s="12" t="n">
        <x:v>25000000</x:v>
      </x:c>
      <x:c r="J4531" s="2" t="str">
        <x:v>total</x:v>
      </x:c>
      <x:c r="K4531" s="2" t="str">
        <x:v>top_level_area</x:v>
      </x:c>
      <x:c r="L4531" s="2" t="str">
        <x:v>property_type_inferred_from_title;unknown_property_type</x:v>
      </x:c>
      <x:c r="M4531" s="10" t="n">
        <x:v>0</x:v>
      </x:c>
      <x:c r="N4531" s="10" t="n">
        <x:v>0</x:v>
      </x:c>
      <x:c r="O4531" s="2" t="str">
        <x:v>Tp Hồ Chí Minh|other_unknown</x:v>
      </x:c>
      <x:c r="P4531" s="10" t="n">
        <x:v>2</x:v>
      </x:c>
      <x:c r="Q4531" s="13" t="n">
        <x:f>IF(H4531="","",H4531/1000000000)</x:f>
        <x:v>1.6</x:v>
      </x:c>
      <x:c r="R4531" s="13" t="n">
        <x:f>IF(I4531="","",I4531/1000000)</x:f>
        <x:v>25</x:v>
      </x:c>
    </x:row>
    <x:row r="4532" ht="21" customHeight="1">
      <x:c r="A4532" s="10" t="n">
        <x:v>6031</x:v>
      </x:c>
      <x:c r="B4532" s="2" t="str">
        <x:v>d4de68c1b82a9d8fbebc</x:v>
      </x:c>
      <x:c r="C4532" s="2" t="str">
        <x:v>Hà Nội</x:v>
      </x:c>
      <x:c r="D4532" s="2" t="str">
        <x:v>Quận Cầu Giấy</x:v>
      </x:c>
      <x:c r="E4532" s="2" t="str">
        <x:v>other_unknown</x:v>
      </x:c>
      <x:c r="F4532" s="2" t="str">
        <x:v>sale_assumed</x:v>
      </x:c>
      <x:c r="G4532" s="11" t="n">
        <x:v>55</x:v>
      </x:c>
      <x:c r="H4532" s="12" t="n">
        <x:v>4800000000</x:v>
      </x:c>
      <x:c r="I4532" s="12" t="n">
        <x:v>87272727.27272727</x:v>
      </x:c>
      <x:c r="J4532" s="2" t="str">
        <x:v>total</x:v>
      </x:c>
      <x:c r="K4532" s="2" t="str">
        <x:v>top_level_area</x:v>
      </x:c>
      <x:c r="L4532" s="2" t="str">
        <x:v>property_type_inferred_from_title;transaction_assumed_sale_from_dataset_context;unknown_property_type</x:v>
      </x:c>
      <x:c r="M4532" s="10" t="n">
        <x:v>0</x:v>
      </x:c>
      <x:c r="N4532" s="10" t="n">
        <x:v>0</x:v>
      </x:c>
      <x:c r="O4532" s="2" t="str">
        <x:v>Hà Nội|other_unknown</x:v>
      </x:c>
      <x:c r="P4532" s="10" t="n">
        <x:v>2</x:v>
      </x:c>
      <x:c r="Q4532" s="13" t="n">
        <x:f>IF(H4532="","",H4532/1000000000)</x:f>
        <x:v>4.8</x:v>
      </x:c>
      <x:c r="R4532" s="13" t="n">
        <x:f>IF(I4532="","",I4532/1000000)</x:f>
        <x:v>87.27272727272727</x:v>
      </x:c>
    </x:row>
    <x:row r="4533" ht="21" customHeight="1">
      <x:c r="A4533" s="10" t="n">
        <x:v>6035</x:v>
      </x:c>
      <x:c r="B4533" s="2" t="str">
        <x:v>5c84df6e6638547cb01b</x:v>
      </x:c>
      <x:c r="C4533" s="2" t="str">
        <x:v>Tp Hồ Chí Minh</x:v>
      </x:c>
      <x:c r="D4533" s="2" t="str">
        <x:v>Huyện Bình Chánh</x:v>
      </x:c>
      <x:c r="E4533" s="2" t="str">
        <x:v>house</x:v>
      </x:c>
      <x:c r="F4533" s="2" t="str">
        <x:v>sale</x:v>
      </x:c>
      <x:c r="G4533" s="11" t="n">
        <x:v>70</x:v>
      </x:c>
      <x:c r="H4533" s="12" t="n">
        <x:v>1200000000</x:v>
      </x:c>
      <x:c r="I4533" s="12" t="n">
        <x:v>17142857.14285714</x:v>
      </x:c>
      <x:c r="J4533" s="2" t="str">
        <x:v>total</x:v>
      </x:c>
      <x:c r="K4533" s="2" t="str">
        <x:v>top_level_area</x:v>
      </x:c>
      <x:c r="L4533" s="2" t="str">
        <x:v>property_type_inferred_from_title</x:v>
      </x:c>
      <x:c r="M4533" s="10" t="n">
        <x:v>0</x:v>
      </x:c>
      <x:c r="N4533" s="10" t="n">
        <x:v>0</x:v>
      </x:c>
      <x:c r="O4533" s="2" t="str">
        <x:v>Tp Hồ Chí Minh|house</x:v>
      </x:c>
      <x:c r="P4533" s="10" t="n">
        <x:v>2</x:v>
      </x:c>
      <x:c r="Q4533" s="13" t="n">
        <x:f>IF(H4533="","",H4533/1000000000)</x:f>
        <x:v>1.2</x:v>
      </x:c>
      <x:c r="R4533" s="13" t="n">
        <x:f>IF(I4533="","",I4533/1000000)</x:f>
        <x:v>17.142857142857142</x:v>
      </x:c>
    </x:row>
    <x:row r="4534" ht="21" customHeight="1">
      <x:c r="A4534" s="10" t="n">
        <x:v>6036</x:v>
      </x:c>
      <x:c r="B4534" s="2" t="str">
        <x:v>10d0ca76be6e973c274d</x:v>
      </x:c>
      <x:c r="C4534" s="2" t="str">
        <x:v>Bình Dương</x:v>
      </x:c>
      <x:c r="D4534" s="2" t="str">
        <x:v>Thị xã Bến Cát</x:v>
      </x:c>
      <x:c r="E4534" s="2" t="str">
        <x:v>land</x:v>
      </x:c>
      <x:c r="F4534" s="2" t="str">
        <x:v>sale_assumed</x:v>
      </x:c>
      <x:c r="G4534" s="11" t="n">
        <x:v>150</x:v>
      </x:c>
      <x:c r="H4534" s="12" t="n">
        <x:v>650000000</x:v>
      </x:c>
      <x:c r="I4534" s="12" t="n">
        <x:v>4333333.333333333</x:v>
      </x:c>
      <x:c r="J4534" s="2" t="str">
        <x:v>total</x:v>
      </x:c>
      <x:c r="K4534" s="2" t="str">
        <x:v>top_level_area</x:v>
      </x:c>
      <x:c r="L4534" s="2" t="str">
        <x:v>property_type_inferred_from_title;transaction_assumed_sale_from_dataset_context</x:v>
      </x:c>
      <x:c r="M4534" s="10" t="n">
        <x:v>0</x:v>
      </x:c>
      <x:c r="N4534" s="10" t="n">
        <x:v>0</x:v>
      </x:c>
      <x:c r="O4534" s="2" t="str">
        <x:v>Bình Dương|land</x:v>
      </x:c>
      <x:c r="P4534" s="10" t="n">
        <x:v>1</x:v>
      </x:c>
      <x:c r="Q4534" s="13" t="n">
        <x:f>IF(H4534="","",H4534/1000000000)</x:f>
        <x:v>0.65</x:v>
      </x:c>
      <x:c r="R4534" s="13" t="n">
        <x:f>IF(I4534="","",I4534/1000000)</x:f>
        <x:v>4.333333333333333</x:v>
      </x:c>
    </x:row>
    <x:row r="4535" ht="21" customHeight="1">
      <x:c r="A4535" s="10" t="n">
        <x:v>6037</x:v>
      </x:c>
      <x:c r="B4535" s="2" t="str">
        <x:v>bf43559a3bd3ea331278</x:v>
      </x:c>
      <x:c r="C4535" s="2" t="str">
        <x:v>Tp Hồ Chí Minh</x:v>
      </x:c>
      <x:c r="D4535" s="2" t="str">
        <x:v>Huyện Bình Chánh</x:v>
      </x:c>
      <x:c r="E4535" s="2" t="str">
        <x:v>house</x:v>
      </x:c>
      <x:c r="F4535" s="2" t="str">
        <x:v>sale_assumed</x:v>
      </x:c>
      <x:c r="G4535" s="11" t="n">
        <x:v>60</x:v>
      </x:c>
      <x:c r="H4535" s="12" t="n">
        <x:v>1500000000</x:v>
      </x:c>
      <x:c r="I4535" s="12" t="n">
        <x:v>25000000</x:v>
      </x:c>
      <x:c r="J4535" s="2" t="str">
        <x:v>total</x:v>
      </x:c>
      <x:c r="K4535" s="2" t="str">
        <x:v>top_level_area</x:v>
      </x:c>
      <x:c r="L4535" s="2" t="str">
        <x:v>property_type_inferred_from_title;transaction_assumed_sale_from_dataset_context</x:v>
      </x:c>
      <x:c r="M4535" s="10" t="n">
        <x:v>0</x:v>
      </x:c>
      <x:c r="N4535" s="10" t="n">
        <x:v>0</x:v>
      </x:c>
      <x:c r="O4535" s="2" t="str">
        <x:v>Tp Hồ Chí Minh|house</x:v>
      </x:c>
      <x:c r="P4535" s="10" t="n">
        <x:v>2</x:v>
      </x:c>
      <x:c r="Q4535" s="13" t="n">
        <x:f>IF(H4535="","",H4535/1000000000)</x:f>
        <x:v>1.5</x:v>
      </x:c>
      <x:c r="R4535" s="13" t="n">
        <x:f>IF(I4535="","",I4535/1000000)</x:f>
        <x:v>25</x:v>
      </x:c>
    </x:row>
    <x:row r="4536" ht="21" customHeight="1">
      <x:c r="A4536" s="10" t="n">
        <x:v>6038</x:v>
      </x:c>
      <x:c r="B4536" s="2" t="str">
        <x:v>d144e38b1b51666ce103</x:v>
      </x:c>
      <x:c r="C4536" s="2" t="str">
        <x:v>Hà Nội</x:v>
      </x:c>
      <x:c r="D4536" s="2" t="str">
        <x:v>Quận Cầu Giấy</x:v>
      </x:c>
      <x:c r="E4536" s="2" t="str">
        <x:v>house</x:v>
      </x:c>
      <x:c r="F4536" s="2" t="str">
        <x:v>sale_assumed</x:v>
      </x:c>
      <x:c r="G4536" s="11" t="n">
        <x:v>44</x:v>
      </x:c>
      <x:c r="H4536" s="12" t="n">
        <x:v>4500000000</x:v>
      </x:c>
      <x:c r="I4536" s="12" t="n">
        <x:v>102272727.27272727</x:v>
      </x:c>
      <x:c r="J4536" s="2" t="str">
        <x:v>total</x:v>
      </x:c>
      <x:c r="K4536" s="2" t="str">
        <x:v>top_level_area</x:v>
      </x:c>
      <x:c r="L4536" s="2" t="str">
        <x:v>property_type_inferred_from_title;transaction_assumed_sale_from_dataset_context</x:v>
      </x:c>
      <x:c r="M4536" s="10" t="n">
        <x:v>0</x:v>
      </x:c>
      <x:c r="N4536" s="10" t="n">
        <x:v>0</x:v>
      </x:c>
      <x:c r="O4536" s="2" t="str">
        <x:v>Hà Nội|house</x:v>
      </x:c>
      <x:c r="P4536" s="10" t="n">
        <x:v>2</x:v>
      </x:c>
      <x:c r="Q4536" s="13" t="n">
        <x:f>IF(H4536="","",H4536/1000000000)</x:f>
        <x:v>4.5</x:v>
      </x:c>
      <x:c r="R4536" s="13" t="n">
        <x:f>IF(I4536="","",I4536/1000000)</x:f>
        <x:v>102.27272727272727</x:v>
      </x:c>
    </x:row>
    <x:row r="4537" ht="21" customHeight="1">
      <x:c r="A4537" s="10" t="n">
        <x:v>6039</x:v>
      </x:c>
      <x:c r="B4537" s="2" t="str">
        <x:v>448e44808110c716cdad</x:v>
      </x:c>
      <x:c r="C4537" s="2" t="str">
        <x:v>Tp Hồ Chí Minh</x:v>
      </x:c>
      <x:c r="D4537" s="2" t="str">
        <x:v>Quận Bình Thạnh</x:v>
      </x:c>
      <x:c r="E4537" s="2" t="str">
        <x:v>other_unknown</x:v>
      </x:c>
      <x:c r="F4537" s="2" t="str">
        <x:v>sale_assumed</x:v>
      </x:c>
      <x:c r="G4537" s="11" t="n">
        <x:v>60</x:v>
      </x:c>
      <x:c r="H4537" s="12" t="n">
        <x:v>7000000000</x:v>
      </x:c>
      <x:c r="I4537" s="12" t="n">
        <x:v>116666666.66666667</x:v>
      </x:c>
      <x:c r="J4537" s="2" t="str">
        <x:v>total</x:v>
      </x:c>
      <x:c r="K4537" s="2" t="str">
        <x:v>top_level_area</x:v>
      </x:c>
      <x:c r="L4537" s="2" t="str">
        <x:v>property_type_inferred_from_title;transaction_assumed_sale_from_dataset_context;unknown_property_type</x:v>
      </x:c>
      <x:c r="M4537" s="10" t="n">
        <x:v>0</x:v>
      </x:c>
      <x:c r="N4537" s="10" t="n">
        <x:v>0</x:v>
      </x:c>
      <x:c r="O4537" s="2" t="str">
        <x:v>Tp Hồ Chí Minh|other_unknown</x:v>
      </x:c>
      <x:c r="P4537" s="10" t="n">
        <x:v>2</x:v>
      </x:c>
      <x:c r="Q4537" s="13" t="n">
        <x:f>IF(H4537="","",H4537/1000000000)</x:f>
        <x:v>7</x:v>
      </x:c>
      <x:c r="R4537" s="13" t="n">
        <x:f>IF(I4537="","",I4537/1000000)</x:f>
        <x:v>116.66666666666667</x:v>
      </x:c>
    </x:row>
    <x:row r="4538" ht="21" customHeight="1">
      <x:c r="A4538" s="10" t="n">
        <x:v>6040</x:v>
      </x:c>
      <x:c r="B4538" s="2" t="str">
        <x:v>d741a8a023b564456764</x:v>
      </x:c>
      <x:c r="C4538" s="2" t="str">
        <x:v>Long An</x:v>
      </x:c>
      <x:c r="D4538" s="2" t="str">
        <x:v>Huyện Cần Giuộc</x:v>
      </x:c>
      <x:c r="E4538" s="2" t="str">
        <x:v>house</x:v>
      </x:c>
      <x:c r="F4538" s="2" t="str">
        <x:v>sale</x:v>
      </x:c>
      <x:c r="G4538" s="11" t="n">
        <x:v>48</x:v>
      </x:c>
      <x:c r="H4538" s="12" t="n">
        <x:v>700000000</x:v>
      </x:c>
      <x:c r="I4538" s="12" t="n">
        <x:v>14583333.333333334</x:v>
      </x:c>
      <x:c r="J4538" s="2" t="str">
        <x:v>total</x:v>
      </x:c>
      <x:c r="K4538" s="2" t="str">
        <x:v>top_level_area</x:v>
      </x:c>
      <x:c r="L4538" s="2" t="str">
        <x:v>property_type_inferred_from_title</x:v>
      </x:c>
      <x:c r="M4538" s="10" t="n">
        <x:v>0</x:v>
      </x:c>
      <x:c r="N4538" s="10" t="n">
        <x:v>0</x:v>
      </x:c>
      <x:c r="O4538" s="2" t="str">
        <x:v>Long An|house</x:v>
      </x:c>
      <x:c r="P4538" s="10" t="n">
        <x:v>2</x:v>
      </x:c>
      <x:c r="Q4538" s="13" t="n">
        <x:f>IF(H4538="","",H4538/1000000000)</x:f>
        <x:v>0.7</x:v>
      </x:c>
      <x:c r="R4538" s="13" t="n">
        <x:f>IF(I4538="","",I4538/1000000)</x:f>
        <x:v>14.583333333333334</x:v>
      </x:c>
    </x:row>
    <x:row r="4539" ht="21" customHeight="1">
      <x:c r="A4539" s="10" t="n">
        <x:v>6041</x:v>
      </x:c>
      <x:c r="B4539" s="2" t="str">
        <x:v>7fc8edcc8c16736af00d</x:v>
      </x:c>
      <x:c r="C4539" s="2" t="str">
        <x:v>Tp Hồ Chí Minh</x:v>
      </x:c>
      <x:c r="D4539" s="2" t="str">
        <x:v>Quận 7</x:v>
      </x:c>
      <x:c r="E4539" s="2" t="str">
        <x:v>house</x:v>
      </x:c>
      <x:c r="F4539" s="2" t="str">
        <x:v>sale_assumed</x:v>
      </x:c>
      <x:c r="G4539" s="11" t="n">
        <x:v>80</x:v>
      </x:c>
      <x:c r="H4539" s="12" t="n">
        <x:v>5900000000</x:v>
      </x:c>
      <x:c r="I4539" s="12" t="n">
        <x:v>73750000</x:v>
      </x:c>
      <x:c r="J4539" s="2" t="str">
        <x:v>total</x:v>
      </x:c>
      <x:c r="K4539" s="2" t="str">
        <x:v>top_level_area</x:v>
      </x:c>
      <x:c r="L4539" s="2" t="str">
        <x:v>property_type_inferred_from_title;transaction_assumed_sale_from_dataset_context</x:v>
      </x:c>
      <x:c r="M4539" s="10" t="n">
        <x:v>0</x:v>
      </x:c>
      <x:c r="N4539" s="10" t="n">
        <x:v>0</x:v>
      </x:c>
      <x:c r="O4539" s="2" t="str">
        <x:v>Tp Hồ Chí Minh|house</x:v>
      </x:c>
      <x:c r="P4539" s="10" t="n">
        <x:v>2</x:v>
      </x:c>
      <x:c r="Q4539" s="13" t="n">
        <x:f>IF(H4539="","",H4539/1000000000)</x:f>
        <x:v>5.9</x:v>
      </x:c>
      <x:c r="R4539" s="13" t="n">
        <x:f>IF(I4539="","",I4539/1000000)</x:f>
        <x:v>73.75</x:v>
      </x:c>
    </x:row>
    <x:row r="4540" ht="21" customHeight="1">
      <x:c r="A4540" s="10" t="n">
        <x:v>6042</x:v>
      </x:c>
      <x:c r="B4540" s="2" t="str">
        <x:v>261788458e8c8dc5efa3</x:v>
      </x:c>
      <x:c r="C4540" s="2" t="str">
        <x:v>Tp Hồ Chí Minh</x:v>
      </x:c>
      <x:c r="D4540" s="2" t="str">
        <x:v>Quận 3</x:v>
      </x:c>
      <x:c r="E4540" s="2" t="str">
        <x:v>apartment</x:v>
      </x:c>
      <x:c r="F4540" s="2" t="str">
        <x:v>sale_assumed</x:v>
      </x:c>
      <x:c r="G4540" s="11" t="n">
        <x:v>78</x:v>
      </x:c>
      <x:c r="H4540" s="12" t="n">
        <x:v>1650000000</x:v>
      </x:c>
      <x:c r="I4540" s="12" t="n">
        <x:v>21153846.153846152</x:v>
      </x:c>
      <x:c r="J4540" s="2" t="str">
        <x:v>total</x:v>
      </x:c>
      <x:c r="K4540" s="2" t="str">
        <x:v>top_level_area</x:v>
      </x:c>
      <x:c r="L4540" s="2" t="str">
        <x:v>property_type_inferred_from_title;transaction_assumed_sale_from_dataset_context</x:v>
      </x:c>
      <x:c r="M4540" s="10" t="n">
        <x:v>0</x:v>
      </x:c>
      <x:c r="N4540" s="10" t="n">
        <x:v>0</x:v>
      </x:c>
      <x:c r="O4540" s="2" t="str">
        <x:v>Tp Hồ Chí Minh|apartment</x:v>
      </x:c>
      <x:c r="P4540" s="10" t="n">
        <x:v>2</x:v>
      </x:c>
      <x:c r="Q4540" s="13" t="n">
        <x:f>IF(H4540="","",H4540/1000000000)</x:f>
        <x:v>1.65</x:v>
      </x:c>
      <x:c r="R4540" s="13" t="n">
        <x:f>IF(I4540="","",I4540/1000000)</x:f>
        <x:v>21.153846153846153</x:v>
      </x:c>
    </x:row>
    <x:row r="4541" ht="21" customHeight="1">
      <x:c r="A4541" s="10" t="n">
        <x:v>6043</x:v>
      </x:c>
      <x:c r="B4541" s="2" t="str">
        <x:v>5a417cbae554b40b5a89</x:v>
      </x:c>
      <x:c r="C4541" s="2" t="str">
        <x:v>Bình Dương</x:v>
      </x:c>
      <x:c r="D4541" s="2" t="str">
        <x:v>Thị xã Dĩ An</x:v>
      </x:c>
      <x:c r="E4541" s="2" t="str">
        <x:v>land</x:v>
      </x:c>
      <x:c r="F4541" s="2" t="str">
        <x:v>sale_assumed</x:v>
      </x:c>
      <x:c r="G4541" s="11" t="n">
        <x:v>69</x:v>
      </x:c>
      <x:c r="H4541" s="12" t="n">
        <x:v>990000000</x:v>
      </x:c>
      <x:c r="I4541" s="12" t="n">
        <x:v>14347826.086956521</x:v>
      </x:c>
      <x:c r="J4541" s="2" t="str">
        <x:v>total</x:v>
      </x:c>
      <x:c r="K4541" s="2" t="str">
        <x:v>top_level_area</x:v>
      </x:c>
      <x:c r="L4541" s="2" t="str">
        <x:v>property_type_inferred_from_title;transaction_assumed_sale_from_dataset_context</x:v>
      </x:c>
      <x:c r="M4541" s="10" t="n">
        <x:v>0</x:v>
      </x:c>
      <x:c r="N4541" s="10" t="n">
        <x:v>0</x:v>
      </x:c>
      <x:c r="O4541" s="2" t="str">
        <x:v>Bình Dương|land</x:v>
      </x:c>
      <x:c r="P4541" s="10" t="n">
        <x:v>2</x:v>
      </x:c>
      <x:c r="Q4541" s="13" t="n">
        <x:f>IF(H4541="","",H4541/1000000000)</x:f>
        <x:v>0.99</x:v>
      </x:c>
      <x:c r="R4541" s="13" t="n">
        <x:f>IF(I4541="","",I4541/1000000)</x:f>
        <x:v>14.347826086956522</x:v>
      </x:c>
    </x:row>
    <x:row r="4542" ht="21" customHeight="1">
      <x:c r="A4542" s="10" t="n">
        <x:v>6044</x:v>
      </x:c>
      <x:c r="B4542" s="2" t="str">
        <x:v>895bb806e846c0cc60e6</x:v>
      </x:c>
      <x:c r="C4542" s="2" t="str">
        <x:v>Tp Hồ Chí Minh</x:v>
      </x:c>
      <x:c r="D4542" s="2" t="str">
        <x:v>Huyện Bình Chánh</x:v>
      </x:c>
      <x:c r="E4542" s="2" t="str">
        <x:v>house</x:v>
      </x:c>
      <x:c r="F4542" s="2" t="str">
        <x:v>sale</x:v>
      </x:c>
      <x:c r="G4542" s="11" t="n">
        <x:v>90</x:v>
      </x:c>
      <x:c r="H4542" s="12" t="n">
        <x:v>1100000000</x:v>
      </x:c>
      <x:c r="I4542" s="12" t="n">
        <x:v>12222222.222222222</x:v>
      </x:c>
      <x:c r="J4542" s="2" t="str">
        <x:v>total</x:v>
      </x:c>
      <x:c r="K4542" s="2" t="str">
        <x:v>top_level_area</x:v>
      </x:c>
      <x:c r="L4542" s="2" t="str">
        <x:v>property_type_inferred_from_title</x:v>
      </x:c>
      <x:c r="M4542" s="10" t="n">
        <x:v>0</x:v>
      </x:c>
      <x:c r="N4542" s="10" t="n">
        <x:v>0</x:v>
      </x:c>
      <x:c r="O4542" s="2" t="str">
        <x:v>Tp Hồ Chí Minh|house</x:v>
      </x:c>
      <x:c r="P4542" s="10" t="n">
        <x:v>2</x:v>
      </x:c>
      <x:c r="Q4542" s="13" t="n">
        <x:f>IF(H4542="","",H4542/1000000000)</x:f>
        <x:v>1.1</x:v>
      </x:c>
      <x:c r="R4542" s="13" t="n">
        <x:f>IF(I4542="","",I4542/1000000)</x:f>
        <x:v>12.222222222222221</x:v>
      </x:c>
    </x:row>
    <x:row r="4543" ht="21" customHeight="1">
      <x:c r="A4543" s="10" t="n">
        <x:v>6045</x:v>
      </x:c>
      <x:c r="B4543" s="2" t="str">
        <x:v>53e34762dd9b94f131a0</x:v>
      </x:c>
      <x:c r="C4543" s="2" t="str">
        <x:v>Tp Hồ Chí Minh</x:v>
      </x:c>
      <x:c r="D4543" s="2" t="str">
        <x:v>Quận 9</x:v>
      </x:c>
      <x:c r="E4543" s="2" t="str">
        <x:v>other_unknown</x:v>
      </x:c>
      <x:c r="F4543" s="2" t="str">
        <x:v>sale_assumed</x:v>
      </x:c>
      <x:c r="G4543" s="11" t="n">
        <x:v>59</x:v>
      </x:c>
      <x:c r="H4543" s="12" t="n">
        <x:v>1960000000</x:v>
      </x:c>
      <x:c r="I4543" s="12" t="n">
        <x:v>33220338.98305085</x:v>
      </x:c>
      <x:c r="J4543" s="2" t="str">
        <x:v>total</x:v>
      </x:c>
      <x:c r="K4543" s="2" t="str">
        <x:v>top_level_area</x:v>
      </x:c>
      <x:c r="L4543" s="2" t="str">
        <x:v>property_type_inferred_from_title;transaction_assumed_sale_from_dataset_context;unknown_property_type</x:v>
      </x:c>
      <x:c r="M4543" s="10" t="n">
        <x:v>0</x:v>
      </x:c>
      <x:c r="N4543" s="10" t="n">
        <x:v>0</x:v>
      </x:c>
      <x:c r="O4543" s="2" t="str">
        <x:v>Tp Hồ Chí Minh|other_unknown</x:v>
      </x:c>
      <x:c r="P4543" s="10" t="n">
        <x:v>2</x:v>
      </x:c>
      <x:c r="Q4543" s="13" t="n">
        <x:f>IF(H4543="","",H4543/1000000000)</x:f>
        <x:v>1.96</x:v>
      </x:c>
      <x:c r="R4543" s="13" t="n">
        <x:f>IF(I4543="","",I4543/1000000)</x:f>
        <x:v>33.22033898305085</x:v>
      </x:c>
    </x:row>
    <x:row r="4544" ht="21" customHeight="1">
      <x:c r="A4544" s="10" t="n">
        <x:v>6046</x:v>
      </x:c>
      <x:c r="B4544" s="2" t="str">
        <x:v>cd8f319859a4344a47f3</x:v>
      </x:c>
      <x:c r="C4544" s="2" t="str">
        <x:v>Tp Hồ Chí Minh</x:v>
      </x:c>
      <x:c r="D4544" s="2" t="str">
        <x:v>Quận Bình Tân</x:v>
      </x:c>
      <x:c r="E4544" s="2" t="str">
        <x:v>other_unknown</x:v>
      </x:c>
      <x:c r="F4544" s="2" t="str">
        <x:v>sale</x:v>
      </x:c>
      <x:c r="G4544" s="11" t="n">
        <x:v>48</x:v>
      </x:c>
      <x:c r="H4544" s="12" t="n">
        <x:v>1700000000</x:v>
      </x:c>
      <x:c r="I4544" s="12" t="n">
        <x:v>35416666.666666664</x:v>
      </x:c>
      <x:c r="J4544" s="2" t="str">
        <x:v>total</x:v>
      </x:c>
      <x:c r="K4544" s="2" t="str">
        <x:v>top_level_area</x:v>
      </x:c>
      <x:c r="L4544" s="2" t="str">
        <x:v>property_type_inferred_from_title;unknown_property_type</x:v>
      </x:c>
      <x:c r="M4544" s="10" t="n">
        <x:v>0</x:v>
      </x:c>
      <x:c r="N4544" s="10" t="n">
        <x:v>0</x:v>
      </x:c>
      <x:c r="O4544" s="2" t="str">
        <x:v>Tp Hồ Chí Minh|other_unknown</x:v>
      </x:c>
      <x:c r="P4544" s="10" t="n">
        <x:v>2</x:v>
      </x:c>
      <x:c r="Q4544" s="13" t="n">
        <x:f>IF(H4544="","",H4544/1000000000)</x:f>
        <x:v>1.7</x:v>
      </x:c>
      <x:c r="R4544" s="13" t="n">
        <x:f>IF(I4544="","",I4544/1000000)</x:f>
        <x:v>35.416666666666664</x:v>
      </x:c>
    </x:row>
    <x:row r="4545" ht="21" customHeight="1">
      <x:c r="A4545" s="10" t="n">
        <x:v>6048</x:v>
      </x:c>
      <x:c r="B4545" s="2" t="str">
        <x:v>473668c4e9a14534dfbd</x:v>
      </x:c>
      <x:c r="C4545" s="2" t="str">
        <x:v>Tp Hồ Chí Minh</x:v>
      </x:c>
      <x:c r="D4545" s="2" t="str">
        <x:v>Huyện Bình Chánh</x:v>
      </x:c>
      <x:c r="E4545" s="2" t="str">
        <x:v>land</x:v>
      </x:c>
      <x:c r="F4545" s="2" t="str">
        <x:v>sale_assumed</x:v>
      </x:c>
      <x:c r="G4545" s="11" t="n">
        <x:v>52</x:v>
      </x:c>
      <x:c r="H4545" s="12" t="n">
        <x:v>270000000</x:v>
      </x:c>
      <x:c r="I4545" s="12" t="n">
        <x:v>5192307.692307692</x:v>
      </x:c>
      <x:c r="J4545" s="2" t="str">
        <x:v>total</x:v>
      </x:c>
      <x:c r="K4545" s="2" t="str">
        <x:v>top_level_area</x:v>
      </x:c>
      <x:c r="L4545" s="2" t="str">
        <x:v>property_type_inferred_from_title;transaction_assumed_sale_from_dataset_context</x:v>
      </x:c>
      <x:c r="M4545" s="10" t="n">
        <x:v>0</x:v>
      </x:c>
      <x:c r="N4545" s="10" t="n">
        <x:v>0</x:v>
      </x:c>
      <x:c r="O4545" s="2" t="str">
        <x:v>Tp Hồ Chí Minh|land</x:v>
      </x:c>
      <x:c r="P4545" s="10" t="n">
        <x:v>2</x:v>
      </x:c>
      <x:c r="Q4545" s="13" t="n">
        <x:f>IF(H4545="","",H4545/1000000000)</x:f>
        <x:v>0.27</x:v>
      </x:c>
      <x:c r="R4545" s="13" t="n">
        <x:f>IF(I4545="","",I4545/1000000)</x:f>
        <x:v>5.192307692307692</x:v>
      </x:c>
    </x:row>
    <x:row r="4546" ht="21" customHeight="1">
      <x:c r="A4546" s="10" t="n">
        <x:v>6049</x:v>
      </x:c>
      <x:c r="B4546" s="2" t="str">
        <x:v>e9f8fe3d13f771955d65</x:v>
      </x:c>
      <x:c r="C4546" s="2" t="str">
        <x:v>Tp Hồ Chí Minh</x:v>
      </x:c>
      <x:c r="D4546" s="2" t="str">
        <x:v>Quận 12</x:v>
      </x:c>
      <x:c r="E4546" s="2" t="str">
        <x:v>house</x:v>
      </x:c>
      <x:c r="F4546" s="2" t="str">
        <x:v>sale_assumed</x:v>
      </x:c>
      <x:c r="G4546" s="11" t="n">
        <x:v>35</x:v>
      </x:c>
      <x:c r="H4546" s="12" t="n">
        <x:v>2550000000</x:v>
      </x:c>
      <x:c r="I4546" s="12" t="n">
        <x:v>72857142.85714285</x:v>
      </x:c>
      <x:c r="J4546" s="2" t="str">
        <x:v>total</x:v>
      </x:c>
      <x:c r="K4546" s="2" t="str">
        <x:v>top_level_area</x:v>
      </x:c>
      <x:c r="L4546" s="2" t="str">
        <x:v>property_type_inferred_from_title;transaction_assumed_sale_from_dataset_context</x:v>
      </x:c>
      <x:c r="M4546" s="10" t="n">
        <x:v>0</x:v>
      </x:c>
      <x:c r="N4546" s="10" t="n">
        <x:v>0</x:v>
      </x:c>
      <x:c r="O4546" s="2" t="str">
        <x:v>Tp Hồ Chí Minh|house</x:v>
      </x:c>
      <x:c r="P4546" s="10" t="n">
        <x:v>2</x:v>
      </x:c>
      <x:c r="Q4546" s="13" t="n">
        <x:f>IF(H4546="","",H4546/1000000000)</x:f>
        <x:v>2.55</x:v>
      </x:c>
      <x:c r="R4546" s="13" t="n">
        <x:f>IF(I4546="","",I4546/1000000)</x:f>
        <x:v>72.85714285714285</x:v>
      </x:c>
    </x:row>
    <x:row r="4547" ht="21" customHeight="1">
      <x:c r="A4547" s="10" t="n">
        <x:v>6050</x:v>
      </x:c>
      <x:c r="B4547" s="2" t="str">
        <x:v>c1779b6ab92b70117bb7</x:v>
      </x:c>
      <x:c r="C4547" s="2" t="str">
        <x:v>Bình Dương</x:v>
      </x:c>
      <x:c r="D4547" s="2" t="str">
        <x:v>Thành phố Thủ Dầu Một</x:v>
      </x:c>
      <x:c r="E4547" s="2" t="str">
        <x:v>other_unknown</x:v>
      </x:c>
      <x:c r="F4547" s="2" t="str">
        <x:v>sale_assumed</x:v>
      </x:c>
      <x:c r="G4547" s="11" t="n">
        <x:v>593</x:v>
      </x:c>
      <x:c r="H4547" s="12" t="n">
        <x:v>5500000000</x:v>
      </x:c>
      <x:c r="I4547" s="12" t="n">
        <x:v>9274873.52445194</x:v>
      </x:c>
      <x:c r="J4547" s="2" t="str">
        <x:v>total</x:v>
      </x:c>
      <x:c r="K4547" s="2" t="str">
        <x:v>top_level_area</x:v>
      </x:c>
      <x:c r="L4547" s="2" t="str">
        <x:v>property_type_inferred_from_title;transaction_assumed_sale_from_dataset_context;unknown_property_type</x:v>
      </x:c>
      <x:c r="M4547" s="10" t="n">
        <x:v>0</x:v>
      </x:c>
      <x:c r="N4547" s="10" t="n">
        <x:v>0</x:v>
      </x:c>
      <x:c r="O4547" s="2" t="str">
        <x:v>Bình Dương|other_unknown</x:v>
      </x:c>
      <x:c r="P4547" s="10" t="n">
        <x:v>1</x:v>
      </x:c>
      <x:c r="Q4547" s="13" t="n">
        <x:f>IF(H4547="","",H4547/1000000000)</x:f>
        <x:v>5.5</x:v>
      </x:c>
      <x:c r="R4547" s="13" t="n">
        <x:f>IF(I4547="","",I4547/1000000)</x:f>
        <x:v>9.27487352445194</x:v>
      </x:c>
    </x:row>
    <x:row r="4548" ht="21" customHeight="1">
      <x:c r="A4548" s="10" t="n">
        <x:v>6051</x:v>
      </x:c>
      <x:c r="B4548" s="2" t="str">
        <x:v>0094d1567f6940ef4a84</x:v>
      </x:c>
      <x:c r="C4548" s="2" t="str">
        <x:v>Tp Hồ Chí Minh</x:v>
      </x:c>
      <x:c r="D4548" s="2" t="str">
        <x:v>Quận 6</x:v>
      </x:c>
      <x:c r="E4548" s="2" t="str">
        <x:v>house</x:v>
      </x:c>
      <x:c r="F4548" s="2" t="str">
        <x:v>sale_assumed</x:v>
      </x:c>
      <x:c r="G4548" s="11" t="n">
        <x:v>44</x:v>
      </x:c>
      <x:c r="H4548" s="12" t="n">
        <x:v>1150000000</x:v>
      </x:c>
      <x:c r="I4548" s="12" t="n">
        <x:v>26136363.636363637</x:v>
      </x:c>
      <x:c r="J4548" s="2" t="str">
        <x:v>total</x:v>
      </x:c>
      <x:c r="K4548" s="2" t="str">
        <x:v>top_level_price_embedded_area</x:v>
      </x:c>
      <x:c r="L4548" s="2" t="str">
        <x:v>area_recovered_from_price_text;property_type_inferred_from_title;transaction_assumed_sale_from_dataset_context</x:v>
      </x:c>
      <x:c r="M4548" s="10" t="n">
        <x:v>0</x:v>
      </x:c>
      <x:c r="N4548" s="10" t="n">
        <x:v>0</x:v>
      </x:c>
      <x:c r="O4548" s="2" t="str">
        <x:v>Tp Hồ Chí Minh|house</x:v>
      </x:c>
      <x:c r="P4548" s="10" t="n">
        <x:v>2</x:v>
      </x:c>
      <x:c r="Q4548" s="13" t="n">
        <x:f>IF(H4548="","",H4548/1000000000)</x:f>
        <x:v>1.15</x:v>
      </x:c>
      <x:c r="R4548" s="13" t="n">
        <x:f>IF(I4548="","",I4548/1000000)</x:f>
        <x:v>26.136363636363637</x:v>
      </x:c>
    </x:row>
    <x:row r="4549" ht="21" customHeight="1">
      <x:c r="A4549" s="10" t="n">
        <x:v>6052</x:v>
      </x:c>
      <x:c r="B4549" s="2" t="str">
        <x:v>d05f84e95a98342db10f</x:v>
      </x:c>
      <x:c r="C4549" s="2" t="str">
        <x:v>Tp Hồ Chí Minh</x:v>
      </x:c>
      <x:c r="D4549" s="2" t="str">
        <x:v>Huyện Bình Chánh</x:v>
      </x:c>
      <x:c r="E4549" s="2" t="str">
        <x:v>house</x:v>
      </x:c>
      <x:c r="F4549" s="2" t="str">
        <x:v>sale_assumed</x:v>
      </x:c>
      <x:c r="G4549" s="11" t="n">
        <x:v>65</x:v>
      </x:c>
      <x:c r="H4549" s="12" t="n">
        <x:v>375000000</x:v>
      </x:c>
      <x:c r="I4549" s="12" t="n">
        <x:v>5769230.769230769</x:v>
      </x:c>
      <x:c r="J4549" s="2" t="str">
        <x:v>total</x:v>
      </x:c>
      <x:c r="K4549" s="2" t="str">
        <x:v>top_level_area</x:v>
      </x:c>
      <x:c r="L4549" s="2" t="str">
        <x:v>property_type_inferred_from_title;transaction_assumed_sale_from_dataset_context</x:v>
      </x:c>
      <x:c r="M4549" s="10" t="n">
        <x:v>0</x:v>
      </x:c>
      <x:c r="N4549" s="10" t="n">
        <x:v>0</x:v>
      </x:c>
      <x:c r="O4549" s="2" t="str">
        <x:v>Tp Hồ Chí Minh|house</x:v>
      </x:c>
      <x:c r="P4549" s="10" t="n">
        <x:v>2</x:v>
      </x:c>
      <x:c r="Q4549" s="13" t="n">
        <x:f>IF(H4549="","",H4549/1000000000)</x:f>
        <x:v>0.375</x:v>
      </x:c>
      <x:c r="R4549" s="13" t="n">
        <x:f>IF(I4549="","",I4549/1000000)</x:f>
        <x:v>5.769230769230769</x:v>
      </x:c>
    </x:row>
    <x:row r="4550" ht="21" customHeight="1">
      <x:c r="A4550" s="10" t="n">
        <x:v>6053</x:v>
      </x:c>
      <x:c r="B4550" s="2" t="str">
        <x:v>ef4def76904df4034234</x:v>
      </x:c>
      <x:c r="C4550" s="2" t="str">
        <x:v>Long An</x:v>
      </x:c>
      <x:c r="D4550" s="2" t="str">
        <x:v>Huyện Đức Hòa</x:v>
      </x:c>
      <x:c r="E4550" s="2" t="str">
        <x:v>house</x:v>
      </x:c>
      <x:c r="F4550" s="2" t="str">
        <x:v>sale_assumed</x:v>
      </x:c>
      <x:c r="G4550" s="11" t="n">
        <x:v>80</x:v>
      </x:c>
      <x:c r="H4550" s="12" t="n">
        <x:v>680000000</x:v>
      </x:c>
      <x:c r="I4550" s="12" t="n">
        <x:v>8500000</x:v>
      </x:c>
      <x:c r="J4550" s="2" t="str">
        <x:v>total</x:v>
      </x:c>
      <x:c r="K4550" s="2" t="str">
        <x:v>top_level_area</x:v>
      </x:c>
      <x:c r="L4550" s="2" t="str">
        <x:v>property_type_inferred_from_title;transaction_assumed_sale_from_dataset_context</x:v>
      </x:c>
      <x:c r="M4550" s="10" t="n">
        <x:v>0</x:v>
      </x:c>
      <x:c r="N4550" s="10" t="n">
        <x:v>0</x:v>
      </x:c>
      <x:c r="O4550" s="2" t="str">
        <x:v>Long An|house</x:v>
      </x:c>
      <x:c r="P4550" s="10" t="n">
        <x:v>2</x:v>
      </x:c>
      <x:c r="Q4550" s="13" t="n">
        <x:f>IF(H4550="","",H4550/1000000000)</x:f>
        <x:v>0.68</x:v>
      </x:c>
      <x:c r="R4550" s="13" t="n">
        <x:f>IF(I4550="","",I4550/1000000)</x:f>
        <x:v>8.5</x:v>
      </x:c>
    </x:row>
    <x:row r="4551" ht="21" customHeight="1">
      <x:c r="A4551" s="10" t="n">
        <x:v>6054</x:v>
      </x:c>
      <x:c r="B4551" s="2" t="str">
        <x:v>716da35251e5771e1329</x:v>
      </x:c>
      <x:c r="C4551" s="2" t="str">
        <x:v>Hà Nội</x:v>
      </x:c>
      <x:c r="D4551" s="2" t="str">
        <x:v>Quận Hà Đông</x:v>
      </x:c>
      <x:c r="E4551" s="2" t="str">
        <x:v>house</x:v>
      </x:c>
      <x:c r="F4551" s="2" t="str">
        <x:v>sale_assumed</x:v>
      </x:c>
      <x:c r="G4551" s="11" t="n">
        <x:v>33</x:v>
      </x:c>
      <x:c r="H4551" s="12" t="n">
        <x:v>1600000000</x:v>
      </x:c>
      <x:c r="I4551" s="12" t="n">
        <x:v>48484848.484848484</x:v>
      </x:c>
      <x:c r="J4551" s="2" t="str">
        <x:v>total</x:v>
      </x:c>
      <x:c r="K4551" s="2" t="str">
        <x:v>top_level_area</x:v>
      </x:c>
      <x:c r="L4551" s="2" t="str">
        <x:v>property_type_inferred_from_title;transaction_assumed_sale_from_dataset_context</x:v>
      </x:c>
      <x:c r="M4551" s="10" t="n">
        <x:v>0</x:v>
      </x:c>
      <x:c r="N4551" s="10" t="n">
        <x:v>0</x:v>
      </x:c>
      <x:c r="O4551" s="2" t="str">
        <x:v>Hà Nội|house</x:v>
      </x:c>
      <x:c r="P4551" s="10" t="n">
        <x:v>2</x:v>
      </x:c>
      <x:c r="Q4551" s="13" t="n">
        <x:f>IF(H4551="","",H4551/1000000000)</x:f>
        <x:v>1.6</x:v>
      </x:c>
      <x:c r="R4551" s="13" t="n">
        <x:f>IF(I4551="","",I4551/1000000)</x:f>
        <x:v>48.484848484848484</x:v>
      </x:c>
    </x:row>
    <x:row r="4552" ht="21" customHeight="1">
      <x:c r="A4552" s="10" t="n">
        <x:v>6059</x:v>
      </x:c>
      <x:c r="B4552" s="2" t="str">
        <x:v>b9eb6c9f7eb2362bd9c4</x:v>
      </x:c>
      <x:c r="C4552" s="2" t="str">
        <x:v>Tp Hồ Chí Minh</x:v>
      </x:c>
      <x:c r="D4552" s="2" t="str">
        <x:v>Quận Bình Thạnh</x:v>
      </x:c>
      <x:c r="E4552" s="2" t="str">
        <x:v>other_unknown</x:v>
      </x:c>
      <x:c r="F4552" s="2" t="str">
        <x:v>sale_assumed</x:v>
      </x:c>
      <x:c r="G4552" s="11" t="n">
        <x:v>48</x:v>
      </x:c>
      <x:c r="H4552" s="12" t="n">
        <x:v>8300000000.000001</x:v>
      </x:c>
      <x:c r="I4552" s="12" t="n">
        <x:v>172916666.6666667</x:v>
      </x:c>
      <x:c r="J4552" s="2" t="str">
        <x:v>total</x:v>
      </x:c>
      <x:c r="K4552" s="2" t="str">
        <x:v>top_level_area</x:v>
      </x:c>
      <x:c r="L4552" s="2" t="str">
        <x:v>property_type_inferred_from_title;transaction_assumed_sale_from_dataset_context;unknown_property_type</x:v>
      </x:c>
      <x:c r="M4552" s="10" t="n">
        <x:v>1</x:v>
      </x:c>
      <x:c r="N4552" s="10" t="n">
        <x:v>0</x:v>
      </x:c>
      <x:c r="O4552" s="2" t="str">
        <x:v>Tp Hồ Chí Minh|other_unknown</x:v>
      </x:c>
      <x:c r="P4552" s="10" t="n">
        <x:v>2</x:v>
      </x:c>
      <x:c r="Q4552" s="13" t="n">
        <x:f>IF(H4552="","",H4552/1000000000)</x:f>
        <x:v>8.3</x:v>
      </x:c>
      <x:c r="R4552" s="13" t="n">
        <x:f>IF(I4552="","",I4552/1000000)</x:f>
        <x:v>172.91666666666669</x:v>
      </x:c>
    </x:row>
    <x:row r="4553" ht="21" customHeight="1">
      <x:c r="A4553" s="10" t="n">
        <x:v>6060</x:v>
      </x:c>
      <x:c r="B4553" s="2" t="str">
        <x:v>3204adf30af88fe1834e</x:v>
      </x:c>
      <x:c r="C4553" s="2" t="str">
        <x:v>Đắk Lắk</x:v>
      </x:c>
      <x:c r="D4553" s="2" t="str">
        <x:v>Thành phố Buôn Ma Thuột</x:v>
      </x:c>
      <x:c r="E4553" s="2" t="str">
        <x:v>land</x:v>
      </x:c>
      <x:c r="F4553" s="2" t="str">
        <x:v>sale</x:v>
      </x:c>
      <x:c r="G4553" s="11" t="n">
        <x:v>550</x:v>
      </x:c>
      <x:c r="H4553" s="12" t="n">
        <x:v>400000000</x:v>
      </x:c>
      <x:c r="I4553" s="12" t="n">
        <x:v>727272.7272727273</x:v>
      </x:c>
      <x:c r="J4553" s="2" t="str">
        <x:v>total</x:v>
      </x:c>
      <x:c r="K4553" s="2" t="str">
        <x:v>top_level_area</x:v>
      </x:c>
      <x:c r="L4553" s="2" t="str">
        <x:v>property_type_inferred_from_title</x:v>
      </x:c>
      <x:c r="M4553" s="10" t="n">
        <x:v>0</x:v>
      </x:c>
      <x:c r="N4553" s="10" t="n">
        <x:v>0</x:v>
      </x:c>
      <x:c r="O4553" s="2" t="str">
        <x:v>Đắk Lắk|land</x:v>
      </x:c>
      <x:c r="P4553" s="10" t="n">
        <x:v>1</x:v>
      </x:c>
      <x:c r="Q4553" s="13" t="n">
        <x:f>IF(H4553="","",H4553/1000000000)</x:f>
        <x:v>0.4</x:v>
      </x:c>
      <x:c r="R4553" s="13" t="n">
        <x:f>IF(I4553="","",I4553/1000000)</x:f>
        <x:v>0.7272727272727273</x:v>
      </x:c>
    </x:row>
    <x:row r="4554" ht="21" customHeight="1">
      <x:c r="A4554" s="10" t="n">
        <x:v>6061</x:v>
      </x:c>
      <x:c r="B4554" s="2" t="str">
        <x:v>dc8f811a3b309204b426</x:v>
      </x:c>
      <x:c r="C4554" s="2" t="str">
        <x:v>Tp Hồ Chí Minh</x:v>
      </x:c>
      <x:c r="D4554" s="2" t="str">
        <x:v>Quận 12</x:v>
      </x:c>
      <x:c r="E4554" s="2" t="str">
        <x:v>land</x:v>
      </x:c>
      <x:c r="F4554" s="2" t="str">
        <x:v>sale_assumed</x:v>
      </x:c>
      <x:c r="G4554" s="11" t="n">
        <x:v>62</x:v>
      </x:c>
      <x:c r="H4554" s="12" t="n">
        <x:v>2900000000</x:v>
      </x:c>
      <x:c r="I4554" s="12" t="n">
        <x:v>46774193.548387095</x:v>
      </x:c>
      <x:c r="J4554" s="2" t="str">
        <x:v>total</x:v>
      </x:c>
      <x:c r="K4554" s="2" t="str">
        <x:v>top_level_area</x:v>
      </x:c>
      <x:c r="L4554" s="2" t="str">
        <x:v>property_type_inferred_from_title;transaction_assumed_sale_from_dataset_context</x:v>
      </x:c>
      <x:c r="M4554" s="10" t="n">
        <x:v>0</x:v>
      </x:c>
      <x:c r="N4554" s="10" t="n">
        <x:v>0</x:v>
      </x:c>
      <x:c r="O4554" s="2" t="str">
        <x:v>Tp Hồ Chí Minh|land</x:v>
      </x:c>
      <x:c r="P4554" s="10" t="n">
        <x:v>2</x:v>
      </x:c>
      <x:c r="Q4554" s="13" t="n">
        <x:f>IF(H4554="","",H4554/1000000000)</x:f>
        <x:v>2.9</x:v>
      </x:c>
      <x:c r="R4554" s="13" t="n">
        <x:f>IF(I4554="","",I4554/1000000)</x:f>
        <x:v>46.774193548387096</x:v>
      </x:c>
    </x:row>
    <x:row r="4555" ht="21" customHeight="1">
      <x:c r="A4555" s="10" t="n">
        <x:v>6062</x:v>
      </x:c>
      <x:c r="B4555" s="2" t="str">
        <x:v>64cc03787583d89a6d96</x:v>
      </x:c>
      <x:c r="C4555" s="2" t="str">
        <x:v>Tp Hồ Chí Minh</x:v>
      </x:c>
      <x:c r="D4555" s="2" t="str">
        <x:v>Quận 2</x:v>
      </x:c>
      <x:c r="E4555" s="2" t="str">
        <x:v>other_unknown</x:v>
      </x:c>
      <x:c r="F4555" s="2" t="str">
        <x:v>sale_assumed</x:v>
      </x:c>
      <x:c r="G4555" s="11" t="n">
        <x:v>75</x:v>
      </x:c>
      <x:c r="H4555" s="12" t="n">
        <x:v>2089999999.9999998</x:v>
      </x:c>
      <x:c r="I4555" s="12" t="n">
        <x:v>27866666.666666664</x:v>
      </x:c>
      <x:c r="J4555" s="2" t="str">
        <x:v>total</x:v>
      </x:c>
      <x:c r="K4555" s="2" t="str">
        <x:v>top_level_area</x:v>
      </x:c>
      <x:c r="L4555" s="2" t="str">
        <x:v>property_type_inferred_from_title;transaction_assumed_sale_from_dataset_context;unknown_property_type</x:v>
      </x:c>
      <x:c r="M4555" s="10" t="n">
        <x:v>0</x:v>
      </x:c>
      <x:c r="N4555" s="10" t="n">
        <x:v>0</x:v>
      </x:c>
      <x:c r="O4555" s="2" t="str">
        <x:v>Tp Hồ Chí Minh|other_unknown</x:v>
      </x:c>
      <x:c r="P4555" s="10" t="n">
        <x:v>2</x:v>
      </x:c>
      <x:c r="Q4555" s="13" t="n">
        <x:f>IF(H4555="","",H4555/1000000000)</x:f>
        <x:v>2.09</x:v>
      </x:c>
      <x:c r="R4555" s="13" t="n">
        <x:f>IF(I4555="","",I4555/1000000)</x:f>
        <x:v>27.866666666666664</x:v>
      </x:c>
    </x:row>
    <x:row r="4556" ht="21" customHeight="1">
      <x:c r="A4556" s="10" t="n">
        <x:v>6063</x:v>
      </x:c>
      <x:c r="B4556" s="2" t="str">
        <x:v>677d9b852db8580a4d07</x:v>
      </x:c>
      <x:c r="C4556" s="2" t="str">
        <x:v>Tp Hồ Chí Minh</x:v>
      </x:c>
      <x:c r="D4556" s="2" t="str">
        <x:v>Huyện Bình Chánh</x:v>
      </x:c>
      <x:c r="E4556" s="2" t="str">
        <x:v>other_unknown</x:v>
      </x:c>
      <x:c r="F4556" s="2" t="str">
        <x:v>sale</x:v>
      </x:c>
      <x:c r="G4556" s="11" t="n">
        <x:v>5</x:v>
      </x:c>
      <x:c r="H4556" s="12" t="n">
        <x:v>380000000</x:v>
      </x:c>
      <x:c r="I4556" s="12" t="n">
        <x:v>76000000</x:v>
      </x:c>
      <x:c r="J4556" s="2" t="str">
        <x:v>total</x:v>
      </x:c>
      <x:c r="K4556" s="2" t="str">
        <x:v>top_level_area</x:v>
      </x:c>
      <x:c r="L4556" s="2" t="str">
        <x:v>property_type_inferred_from_title;unknown_property_type</x:v>
      </x:c>
      <x:c r="M4556" s="10" t="n">
        <x:v>0</x:v>
      </x:c>
      <x:c r="N4556" s="10" t="n">
        <x:v>0</x:v>
      </x:c>
      <x:c r="O4556" s="2" t="str">
        <x:v>Tp Hồ Chí Minh|other_unknown</x:v>
      </x:c>
      <x:c r="P4556" s="10" t="n">
        <x:v>2</x:v>
      </x:c>
      <x:c r="Q4556" s="13" t="n">
        <x:f>IF(H4556="","",H4556/1000000000)</x:f>
        <x:v>0.38</x:v>
      </x:c>
      <x:c r="R4556" s="13" t="n">
        <x:f>IF(I4556="","",I4556/1000000)</x:f>
        <x:v>76</x:v>
      </x:c>
    </x:row>
    <x:row r="4557" ht="21" customHeight="1">
      <x:c r="A4557" s="10" t="n">
        <x:v>6064</x:v>
      </x:c>
      <x:c r="B4557" s="2" t="str">
        <x:v>7bee56f87272a2cf76dd</x:v>
      </x:c>
      <x:c r="C4557" s="2" t="str">
        <x:v>Bình Dương</x:v>
      </x:c>
      <x:c r="D4557" s="2" t="str">
        <x:v>Thị xã Dĩ An</x:v>
      </x:c>
      <x:c r="E4557" s="2" t="str">
        <x:v>land</x:v>
      </x:c>
      <x:c r="F4557" s="2" t="str">
        <x:v>sale</x:v>
      </x:c>
      <x:c r="G4557" s="11" t="n">
        <x:v>470</x:v>
      </x:c>
      <x:c r="H4557" s="12" t="n">
        <x:v>6500000000</x:v>
      </x:c>
      <x:c r="I4557" s="12" t="n">
        <x:v>13829787.234042553</x:v>
      </x:c>
      <x:c r="J4557" s="2" t="str">
        <x:v>total</x:v>
      </x:c>
      <x:c r="K4557" s="2" t="str">
        <x:v>top_level_area</x:v>
      </x:c>
      <x:c r="L4557" s="2" t="str">
        <x:v>property_type_inferred_from_title</x:v>
      </x:c>
      <x:c r="M4557" s="10" t="n">
        <x:v>0</x:v>
      </x:c>
      <x:c r="N4557" s="10" t="n">
        <x:v>0</x:v>
      </x:c>
      <x:c r="O4557" s="2" t="str">
        <x:v>Bình Dương|land</x:v>
      </x:c>
      <x:c r="P4557" s="10" t="n">
        <x:v>1</x:v>
      </x:c>
      <x:c r="Q4557" s="13" t="n">
        <x:f>IF(H4557="","",H4557/1000000000)</x:f>
        <x:v>6.5</x:v>
      </x:c>
      <x:c r="R4557" s="13" t="n">
        <x:f>IF(I4557="","",I4557/1000000)</x:f>
        <x:v>13.829787234042554</x:v>
      </x:c>
    </x:row>
    <x:row r="4558" ht="21" customHeight="1">
      <x:c r="A4558" s="10" t="n">
        <x:v>6065</x:v>
      </x:c>
      <x:c r="B4558" s="2" t="str">
        <x:v>67721697162e22b39078</x:v>
      </x:c>
      <x:c r="C4558" s="2" t="str">
        <x:v>Tp Hồ Chí Minh</x:v>
      </x:c>
      <x:c r="D4558" s="2" t="str">
        <x:v>Huyện Nhà Bè</x:v>
      </x:c>
      <x:c r="E4558" s="2" t="str">
        <x:v>land</x:v>
      </x:c>
      <x:c r="F4558" s="2" t="str">
        <x:v>sale_assumed</x:v>
      </x:c>
      <x:c r="G4558" s="11" t="n">
        <x:v>80</x:v>
      </x:c>
      <x:c r="H4558" s="12" t="n">
        <x:v>1260000000</x:v>
      </x:c>
      <x:c r="I4558" s="12" t="n">
        <x:v>15750000</x:v>
      </x:c>
      <x:c r="J4558" s="2" t="str">
        <x:v>total</x:v>
      </x:c>
      <x:c r="K4558" s="2" t="str">
        <x:v>top_level_area</x:v>
      </x:c>
      <x:c r="L4558" s="2" t="str">
        <x:v>property_type_inferred_from_title;transaction_assumed_sale_from_dataset_context</x:v>
      </x:c>
      <x:c r="M4558" s="10" t="n">
        <x:v>0</x:v>
      </x:c>
      <x:c r="N4558" s="10" t="n">
        <x:v>0</x:v>
      </x:c>
      <x:c r="O4558" s="2" t="str">
        <x:v>Tp Hồ Chí Minh|land</x:v>
      </x:c>
      <x:c r="P4558" s="10" t="n">
        <x:v>2</x:v>
      </x:c>
      <x:c r="Q4558" s="13" t="n">
        <x:f>IF(H4558="","",H4558/1000000000)</x:f>
        <x:v>1.26</x:v>
      </x:c>
      <x:c r="R4558" s="13" t="n">
        <x:f>IF(I4558="","",I4558/1000000)</x:f>
        <x:v>15.75</x:v>
      </x:c>
    </x:row>
    <x:row r="4559" ht="21" customHeight="1">
      <x:c r="A4559" s="10" t="n">
        <x:v>6066</x:v>
      </x:c>
      <x:c r="B4559" s="2" t="str">
        <x:v>5694f7c7b18aa77fce9d</x:v>
      </x:c>
      <x:c r="C4559" s="2" t="str">
        <x:v>Quảng Nam</x:v>
      </x:c>
      <x:c r="D4559" s="2" t="str">
        <x:v>Thị xã Điện Bàn</x:v>
      </x:c>
      <x:c r="E4559" s="2" t="str">
        <x:v>apartment</x:v>
      </x:c>
      <x:c r="F4559" s="2" t="str">
        <x:v>sale_assumed</x:v>
      </x:c>
      <x:c r="G4559" s="11" t="n">
        <x:v>35</x:v>
      </x:c>
      <x:c r="H4559" s="12" t="n">
        <x:v>1400000000</x:v>
      </x:c>
      <x:c r="I4559" s="12" t="n">
        <x:v>40000000</x:v>
      </x:c>
      <x:c r="J4559" s="2" t="str">
        <x:v>total</x:v>
      </x:c>
      <x:c r="K4559" s="2" t="str">
        <x:v>top_level_area</x:v>
      </x:c>
      <x:c r="L4559" s="2" t="str">
        <x:v>property_type_inferred_from_title;transaction_assumed_sale_from_dataset_context</x:v>
      </x:c>
      <x:c r="M4559" s="10" t="n">
        <x:v>0</x:v>
      </x:c>
      <x:c r="N4559" s="10" t="n">
        <x:v>0</x:v>
      </x:c>
      <x:c r="O4559" s="2" t="str">
        <x:v>apartment</x:v>
      </x:c>
      <x:c r="P4559" s="10" t="n">
        <x:v>2</x:v>
      </x:c>
      <x:c r="Q4559" s="13" t="n">
        <x:f>IF(H4559="","",H4559/1000000000)</x:f>
        <x:v>1.4</x:v>
      </x:c>
      <x:c r="R4559" s="13" t="n">
        <x:f>IF(I4559="","",I4559/1000000)</x:f>
        <x:v>40</x:v>
      </x:c>
    </x:row>
    <x:row r="4560" ht="21" customHeight="1">
      <x:c r="A4560" s="10" t="n">
        <x:v>6067</x:v>
      </x:c>
      <x:c r="B4560" s="2" t="str">
        <x:v>e2d45a9e31d17e003415</x:v>
      </x:c>
      <x:c r="C4560" s="2" t="str">
        <x:v>Bà Rịa - Vũng Tàu</x:v>
      </x:c>
      <x:c r="D4560" s="2" t="str">
        <x:v>Huyện Xuyên Mộc</x:v>
      </x:c>
      <x:c r="E4560" s="2" t="str">
        <x:v>other_unknown</x:v>
      </x:c>
      <x:c r="F4560" s="2" t="str">
        <x:v>sale</x:v>
      </x:c>
      <x:c r="G4560" s="11" t="n">
        <x:v>1500</x:v>
      </x:c>
      <x:c r="H4560" s="12" t="n">
        <x:v>5250000000</x:v>
      </x:c>
      <x:c r="I4560" s="12" t="n">
        <x:v>3500000</x:v>
      </x:c>
      <x:c r="J4560" s="2" t="str">
        <x:v>total</x:v>
      </x:c>
      <x:c r="K4560" s="2" t="str">
        <x:v>top_level_area</x:v>
      </x:c>
      <x:c r="L4560" s="2" t="str">
        <x:v>dot_thousands_convention;property_type_inferred_from_title;unknown_property_type</x:v>
      </x:c>
      <x:c r="M4560" s="10" t="n">
        <x:v>0</x:v>
      </x:c>
      <x:c r="N4560" s="10" t="n">
        <x:v>0</x:v>
      </x:c>
      <x:c r="O4560" s="2" t="str">
        <x:v>other_unknown</x:v>
      </x:c>
      <x:c r="P4560" s="10" t="n">
        <x:v>1</x:v>
      </x:c>
      <x:c r="Q4560" s="13" t="n">
        <x:f>IF(H4560="","",H4560/1000000000)</x:f>
        <x:v>5.25</x:v>
      </x:c>
      <x:c r="R4560" s="13" t="n">
        <x:f>IF(I4560="","",I4560/1000000)</x:f>
        <x:v>3.5</x:v>
      </x:c>
    </x:row>
    <x:row r="4561" ht="21" customHeight="1">
      <x:c r="A4561" s="10" t="n">
        <x:v>6068</x:v>
      </x:c>
      <x:c r="B4561" s="2" t="str">
        <x:v>9ee22452631a20214dbc</x:v>
      </x:c>
      <x:c r="C4561" s="2" t="str">
        <x:v>Tp Hồ Chí Minh</x:v>
      </x:c>
      <x:c r="D4561" s="2" t="str">
        <x:v>Quận 5</x:v>
      </x:c>
      <x:c r="E4561" s="2" t="str">
        <x:v>house</x:v>
      </x:c>
      <x:c r="F4561" s="2" t="str">
        <x:v>sale</x:v>
      </x:c>
      <x:c r="G4561" s="11" t="n">
        <x:v>42</x:v>
      </x:c>
      <x:c r="H4561" s="12" t="n">
        <x:v>2330000000</x:v>
      </x:c>
      <x:c r="I4561" s="12" t="n">
        <x:v>55476190.47619048</x:v>
      </x:c>
      <x:c r="J4561" s="2" t="str">
        <x:v>total</x:v>
      </x:c>
      <x:c r="K4561" s="2" t="str">
        <x:v>top_level_price_embedded_area</x:v>
      </x:c>
      <x:c r="L4561" s="2" t="str">
        <x:v>area_recovered_from_price_text;property_type_inferred_from_title</x:v>
      </x:c>
      <x:c r="M4561" s="10" t="n">
        <x:v>0</x:v>
      </x:c>
      <x:c r="N4561" s="10" t="n">
        <x:v>0</x:v>
      </x:c>
      <x:c r="O4561" s="2" t="str">
        <x:v>Tp Hồ Chí Minh|house</x:v>
      </x:c>
      <x:c r="P4561" s="10" t="n">
        <x:v>2</x:v>
      </x:c>
      <x:c r="Q4561" s="13" t="n">
        <x:f>IF(H4561="","",H4561/1000000000)</x:f>
        <x:v>2.33</x:v>
      </x:c>
      <x:c r="R4561" s="13" t="n">
        <x:f>IF(I4561="","",I4561/1000000)</x:f>
        <x:v>55.476190476190474</x:v>
      </x:c>
    </x:row>
    <x:row r="4562" ht="21" customHeight="1">
      <x:c r="A4562" s="10" t="n">
        <x:v>6069</x:v>
      </x:c>
      <x:c r="B4562" s="2" t="str">
        <x:v>f7bd659d7c0bf260574e</x:v>
      </x:c>
      <x:c r="C4562" s="2" t="str">
        <x:v>Tp Hồ Chí Minh</x:v>
      </x:c>
      <x:c r="D4562" s="2" t="str">
        <x:v>Quận 8</x:v>
      </x:c>
      <x:c r="E4562" s="2" t="str">
        <x:v>house</x:v>
      </x:c>
      <x:c r="F4562" s="2" t="str">
        <x:v>sale</x:v>
      </x:c>
      <x:c r="G4562" s="11" t="n">
        <x:v>50</x:v>
      </x:c>
      <x:c r="H4562" s="12" t="n">
        <x:v>750000000</x:v>
      </x:c>
      <x:c r="I4562" s="12" t="n">
        <x:v>15000000</x:v>
      </x:c>
      <x:c r="J4562" s="2" t="str">
        <x:v>total</x:v>
      </x:c>
      <x:c r="K4562" s="2" t="str">
        <x:v>top_level_area</x:v>
      </x:c>
      <x:c r="L4562" s="2" t="str">
        <x:v>property_type_inferred_from_title</x:v>
      </x:c>
      <x:c r="M4562" s="10" t="n">
        <x:v>0</x:v>
      </x:c>
      <x:c r="N4562" s="10" t="n">
        <x:v>0</x:v>
      </x:c>
      <x:c r="O4562" s="2" t="str">
        <x:v>Tp Hồ Chí Minh|house</x:v>
      </x:c>
      <x:c r="P4562" s="10" t="n">
        <x:v>2</x:v>
      </x:c>
      <x:c r="Q4562" s="13" t="n">
        <x:f>IF(H4562="","",H4562/1000000000)</x:f>
        <x:v>0.75</x:v>
      </x:c>
      <x:c r="R4562" s="13" t="n">
        <x:f>IF(I4562="","",I4562/1000000)</x:f>
        <x:v>15</x:v>
      </x:c>
    </x:row>
    <x:row r="4563" ht="21" customHeight="1">
      <x:c r="A4563" s="10" t="n">
        <x:v>6070</x:v>
      </x:c>
      <x:c r="B4563" s="2" t="str">
        <x:v>74de861164a2626cb76c</x:v>
      </x:c>
      <x:c r="C4563" s="2" t="str">
        <x:v>Đồng Tháp</x:v>
      </x:c>
      <x:c r="D4563" s="2" t="str">
        <x:v>Huyện Cao Lãnh</x:v>
      </x:c>
      <x:c r="E4563" s="2" t="str">
        <x:v>house</x:v>
      </x:c>
      <x:c r="F4563" s="2" t="str">
        <x:v>sale</x:v>
      </x:c>
      <x:c r="G4563" s="11" t="n">
        <x:v>11313</x:v>
      </x:c>
      <x:c r="H4563" s="12" t="n">
        <x:v>3900000000</x:v>
      </x:c>
      <x:c r="I4563" s="12" t="n">
        <x:v>344736.1442588173</x:v>
      </x:c>
      <x:c r="J4563" s="2" t="str">
        <x:v>total</x:v>
      </x:c>
      <x:c r="K4563" s="2" t="str">
        <x:v>top_level_area</x:v>
      </x:c>
      <x:c r="L4563" s="2" t="str">
        <x:v>dot_thousands_convention;property_type_inferred_from_title</x:v>
      </x:c>
      <x:c r="M4563" s="10" t="n">
        <x:v>0</x:v>
      </x:c>
      <x:c r="N4563" s="10" t="n">
        <x:v>0</x:v>
      </x:c>
      <x:c r="O4563" s="2" t="str">
        <x:v>house</x:v>
      </x:c>
      <x:c r="P4563" s="10" t="n">
        <x:v>1</x:v>
      </x:c>
      <x:c r="Q4563" s="13" t="n">
        <x:f>IF(H4563="","",H4563/1000000000)</x:f>
        <x:v>3.9</x:v>
      </x:c>
      <x:c r="R4563" s="13" t="n">
        <x:f>IF(I4563="","",I4563/1000000)</x:f>
        <x:v>0.3447361442588173</x:v>
      </x:c>
    </x:row>
    <x:row r="4564" ht="21" customHeight="1">
      <x:c r="A4564" s="10" t="n">
        <x:v>6071</x:v>
      </x:c>
      <x:c r="B4564" s="2" t="str">
        <x:v>b3013c92c25c42adf84b</x:v>
      </x:c>
      <x:c r="C4564" s="2" t="str">
        <x:v>Tp Hồ Chí Minh</x:v>
      </x:c>
      <x:c r="D4564" s="2" t="str">
        <x:v>Quận Gò Vấp</x:v>
      </x:c>
      <x:c r="E4564" s="2" t="str">
        <x:v>house</x:v>
      </x:c>
      <x:c r="F4564" s="2" t="str">
        <x:v>sale_assumed</x:v>
      </x:c>
      <x:c r="G4564" s="11" t="n">
        <x:v>64</x:v>
      </x:c>
      <x:c r="H4564" s="12" t="n">
        <x:v>4550000000</x:v>
      </x:c>
      <x:c r="I4564" s="12" t="n">
        <x:v>71093750</x:v>
      </x:c>
      <x:c r="J4564" s="2" t="str">
        <x:v>total</x:v>
      </x:c>
      <x:c r="K4564" s="2" t="str">
        <x:v>top_level_area</x:v>
      </x:c>
      <x:c r="L4564" s="2" t="str">
        <x:v>property_type_inferred_from_title;transaction_assumed_sale_from_dataset_context</x:v>
      </x:c>
      <x:c r="M4564" s="10" t="n">
        <x:v>0</x:v>
      </x:c>
      <x:c r="N4564" s="10" t="n">
        <x:v>0</x:v>
      </x:c>
      <x:c r="O4564" s="2" t="str">
        <x:v>Tp Hồ Chí Minh|house</x:v>
      </x:c>
      <x:c r="P4564" s="10" t="n">
        <x:v>2</x:v>
      </x:c>
      <x:c r="Q4564" s="13" t="n">
        <x:f>IF(H4564="","",H4564/1000000000)</x:f>
        <x:v>4.55</x:v>
      </x:c>
      <x:c r="R4564" s="13" t="n">
        <x:f>IF(I4564="","",I4564/1000000)</x:f>
        <x:v>71.09375</x:v>
      </x:c>
    </x:row>
    <x:row r="4565" ht="21" customHeight="1">
      <x:c r="A4565" s="10" t="n">
        <x:v>6072</x:v>
      </x:c>
      <x:c r="B4565" s="2" t="str">
        <x:v>5aaef945f4ae9122d2ec</x:v>
      </x:c>
      <x:c r="C4565" s="2" t="str">
        <x:v>Long An</x:v>
      </x:c>
      <x:c r="D4565" s="2" t="str">
        <x:v>Huyện Cần Giuộc</x:v>
      </x:c>
      <x:c r="E4565" s="2" t="str">
        <x:v>house</x:v>
      </x:c>
      <x:c r="F4565" s="2" t="str">
        <x:v>sale_assumed</x:v>
      </x:c>
      <x:c r="G4565" s="11" t="n">
        <x:v>133</x:v>
      </x:c>
      <x:c r="H4565" s="12" t="n">
        <x:v>840000000</x:v>
      </x:c>
      <x:c r="I4565" s="12" t="n">
        <x:v>6315789.47368421</x:v>
      </x:c>
      <x:c r="J4565" s="2" t="str">
        <x:v>total</x:v>
      </x:c>
      <x:c r="K4565" s="2" t="str">
        <x:v>top_level_area</x:v>
      </x:c>
      <x:c r="L4565" s="2" t="str">
        <x:v>property_type_inferred_from_title;transaction_assumed_sale_from_dataset_context</x:v>
      </x:c>
      <x:c r="M4565" s="10" t="n">
        <x:v>0</x:v>
      </x:c>
      <x:c r="N4565" s="10" t="n">
        <x:v>0</x:v>
      </x:c>
      <x:c r="O4565" s="2" t="str">
        <x:v>Long An|house</x:v>
      </x:c>
      <x:c r="P4565" s="10" t="n">
        <x:v>2</x:v>
      </x:c>
      <x:c r="Q4565" s="13" t="n">
        <x:f>IF(H4565="","",H4565/1000000000)</x:f>
        <x:v>0.84</x:v>
      </x:c>
      <x:c r="R4565" s="13" t="n">
        <x:f>IF(I4565="","",I4565/1000000)</x:f>
        <x:v>6.315789473684211</x:v>
      </x:c>
    </x:row>
    <x:row r="4566" ht="21" customHeight="1">
      <x:c r="A4566" s="10" t="n">
        <x:v>6073</x:v>
      </x:c>
      <x:c r="B4566" s="2" t="str">
        <x:v>a3d2d4ea6f5901156438</x:v>
      </x:c>
      <x:c r="C4566" s="2" t="str">
        <x:v>Long An</x:v>
      </x:c>
      <x:c r="D4566" s="2" t="str">
        <x:v>Huyện Mộc Hóa</x:v>
      </x:c>
      <x:c r="E4566" s="2" t="str">
        <x:v>house</x:v>
      </x:c>
      <x:c r="F4566" s="2" t="str">
        <x:v>sale_assumed</x:v>
      </x:c>
      <x:c r="G4566" s="11" t="n">
        <x:v>80</x:v>
      </x:c>
      <x:c r="H4566" s="12" t="n">
        <x:v>680000000</x:v>
      </x:c>
      <x:c r="I4566" s="12" t="n">
        <x:v>8500000</x:v>
      </x:c>
      <x:c r="J4566" s="2" t="str">
        <x:v>total</x:v>
      </x:c>
      <x:c r="K4566" s="2" t="str">
        <x:v>top_level_area</x:v>
      </x:c>
      <x:c r="L4566" s="2" t="str">
        <x:v>property_type_inferred_from_title;transaction_assumed_sale_from_dataset_context</x:v>
      </x:c>
      <x:c r="M4566" s="10" t="n">
        <x:v>0</x:v>
      </x:c>
      <x:c r="N4566" s="10" t="n">
        <x:v>0</x:v>
      </x:c>
      <x:c r="O4566" s="2" t="str">
        <x:v>Long An|house</x:v>
      </x:c>
      <x:c r="P4566" s="10" t="n">
        <x:v>2</x:v>
      </x:c>
      <x:c r="Q4566" s="13" t="n">
        <x:f>IF(H4566="","",H4566/1000000000)</x:f>
        <x:v>0.68</x:v>
      </x:c>
      <x:c r="R4566" s="13" t="n">
        <x:f>IF(I4566="","",I4566/1000000)</x:f>
        <x:v>8.5</x:v>
      </x:c>
    </x:row>
    <x:row r="4567" ht="21" customHeight="1">
      <x:c r="A4567" s="10" t="n">
        <x:v>6074</x:v>
      </x:c>
      <x:c r="B4567" s="2" t="str">
        <x:v>a1675abf71bef419c5db</x:v>
      </x:c>
      <x:c r="C4567" s="2" t="str">
        <x:v>Bình Dương</x:v>
      </x:c>
      <x:c r="D4567" s="2" t="str">
        <x:v>Huyện Bàu Bàng</x:v>
      </x:c>
      <x:c r="E4567" s="2" t="str">
        <x:v>house</x:v>
      </x:c>
      <x:c r="F4567" s="2" t="str">
        <x:v>sale_assumed</x:v>
      </x:c>
      <x:c r="G4567" s="11" t="n">
        <x:v>150</x:v>
      </x:c>
      <x:c r="H4567" s="12" t="n">
        <x:v>1200000000</x:v>
      </x:c>
      <x:c r="I4567" s="12" t="n">
        <x:v>8000000</x:v>
      </x:c>
      <x:c r="J4567" s="2" t="str">
        <x:v>total</x:v>
      </x:c>
      <x:c r="K4567" s="2" t="str">
        <x:v>top_level_price_embedded_area</x:v>
      </x:c>
      <x:c r="L4567" s="2" t="str">
        <x:v>area_recovered_from_price_text;property_type_inferred_from_title;transaction_assumed_sale_from_dataset_context</x:v>
      </x:c>
      <x:c r="M4567" s="10" t="n">
        <x:v>0</x:v>
      </x:c>
      <x:c r="N4567" s="10" t="n">
        <x:v>0</x:v>
      </x:c>
      <x:c r="O4567" s="2" t="str">
        <x:v>Bình Dương|house</x:v>
      </x:c>
      <x:c r="P4567" s="10" t="n">
        <x:v>2</x:v>
      </x:c>
      <x:c r="Q4567" s="13" t="n">
        <x:f>IF(H4567="","",H4567/1000000000)</x:f>
        <x:v>1.2</x:v>
      </x:c>
      <x:c r="R4567" s="13" t="n">
        <x:f>IF(I4567="","",I4567/1000000)</x:f>
        <x:v>8</x:v>
      </x:c>
    </x:row>
    <x:row r="4568" ht="21" customHeight="1">
      <x:c r="A4568" s="10" t="n">
        <x:v>6075</x:v>
      </x:c>
      <x:c r="B4568" s="2" t="str">
        <x:v>55c2d2803898e5c9f563</x:v>
      </x:c>
      <x:c r="C4568" s="2" t="str">
        <x:v>Tp Hồ Chí Minh</x:v>
      </x:c>
      <x:c r="D4568" s="2" t="str">
        <x:v>Quận Thủ Đức</x:v>
      </x:c>
      <x:c r="E4568" s="2" t="str">
        <x:v>house</x:v>
      </x:c>
      <x:c r="F4568" s="2" t="str">
        <x:v>sale_assumed</x:v>
      </x:c>
      <x:c r="G4568" s="11" t="n">
        <x:v>50</x:v>
      </x:c>
      <x:c r="H4568" s="12" t="n">
        <x:v>930000000</x:v>
      </x:c>
      <x:c r="I4568" s="12" t="n">
        <x:v>18600000</x:v>
      </x:c>
      <x:c r="J4568" s="2" t="str">
        <x:v>total</x:v>
      </x:c>
      <x:c r="K4568" s="2" t="str">
        <x:v>top_level_area</x:v>
      </x:c>
      <x:c r="L4568" s="2" t="str">
        <x:v>property_type_inferred_from_title;transaction_assumed_sale_from_dataset_context</x:v>
      </x:c>
      <x:c r="M4568" s="10" t="n">
        <x:v>0</x:v>
      </x:c>
      <x:c r="N4568" s="10" t="n">
        <x:v>0</x:v>
      </x:c>
      <x:c r="O4568" s="2" t="str">
        <x:v>Tp Hồ Chí Minh|house</x:v>
      </x:c>
      <x:c r="P4568" s="10" t="n">
        <x:v>2</x:v>
      </x:c>
      <x:c r="Q4568" s="13" t="n">
        <x:f>IF(H4568="","",H4568/1000000000)</x:f>
        <x:v>0.93</x:v>
      </x:c>
      <x:c r="R4568" s="13" t="n">
        <x:f>IF(I4568="","",I4568/1000000)</x:f>
        <x:v>18.6</x:v>
      </x:c>
    </x:row>
    <x:row r="4569" ht="21" customHeight="1">
      <x:c r="A4569" s="10" t="n">
        <x:v>6076</x:v>
      </x:c>
      <x:c r="B4569" s="2" t="str">
        <x:v>5136262357d0459edfa0</x:v>
      </x:c>
      <x:c r="C4569" s="2" t="str">
        <x:v>Hòa Bình</x:v>
      </x:c>
      <x:c r="D4569" s="2" t="str">
        <x:v>Huyện Lương Sơn</x:v>
      </x:c>
      <x:c r="E4569" s="2" t="str">
        <x:v>other_unknown</x:v>
      </x:c>
      <x:c r="F4569" s="2" t="str">
        <x:v>sale</x:v>
      </x:c>
      <x:c r="G4569" s="11" t="n">
        <x:v>320</x:v>
      </x:c>
      <x:c r="H4569" s="12" t="n">
        <x:v>650000000</x:v>
      </x:c>
      <x:c r="I4569" s="12" t="n">
        <x:v>2031250</x:v>
      </x:c>
      <x:c r="J4569" s="2" t="str">
        <x:v>total</x:v>
      </x:c>
      <x:c r="K4569" s="2" t="str">
        <x:v>top_level_area</x:v>
      </x:c>
      <x:c r="L4569" s="2" t="str">
        <x:v>property_type_inferred_from_title;unknown_property_type</x:v>
      </x:c>
      <x:c r="M4569" s="10" t="n">
        <x:v>0</x:v>
      </x:c>
      <x:c r="N4569" s="10" t="n">
        <x:v>0</x:v>
      </x:c>
      <x:c r="O4569" s="2" t="str">
        <x:v>other_unknown</x:v>
      </x:c>
      <x:c r="P4569" s="10" t="n">
        <x:v>1</x:v>
      </x:c>
      <x:c r="Q4569" s="13" t="n">
        <x:f>IF(H4569="","",H4569/1000000000)</x:f>
        <x:v>0.65</x:v>
      </x:c>
      <x:c r="R4569" s="13" t="n">
        <x:f>IF(I4569="","",I4569/1000000)</x:f>
        <x:v>2.03125</x:v>
      </x:c>
    </x:row>
    <x:row r="4570" ht="21" customHeight="1">
      <x:c r="A4570" s="10" t="n">
        <x:v>6077</x:v>
      </x:c>
      <x:c r="B4570" s="2" t="str">
        <x:v>eef0693eb9a459ac98b4</x:v>
      </x:c>
      <x:c r="C4570" s="2" t="str">
        <x:v>Tp Hồ Chí Minh</x:v>
      </x:c>
      <x:c r="D4570" s="2" t="str">
        <x:v>Quận 9</x:v>
      </x:c>
      <x:c r="E4570" s="2" t="str">
        <x:v>other_unknown</x:v>
      </x:c>
      <x:c r="F4570" s="2" t="str">
        <x:v>sale</x:v>
      </x:c>
      <x:c r="G4570" s="11" t="n">
        <x:v>54</x:v>
      </x:c>
      <x:c r="H4570" s="12" t="n">
        <x:v>2700000000</x:v>
      </x:c>
      <x:c r="I4570" s="12" t="n">
        <x:v>50000000</x:v>
      </x:c>
      <x:c r="J4570" s="2" t="str">
        <x:v>total</x:v>
      </x:c>
      <x:c r="K4570" s="2" t="str">
        <x:v>top_level_area</x:v>
      </x:c>
      <x:c r="L4570" s="2" t="str">
        <x:v>property_type_inferred_from_title;unknown_property_type</x:v>
      </x:c>
      <x:c r="M4570" s="10" t="n">
        <x:v>0</x:v>
      </x:c>
      <x:c r="N4570" s="10" t="n">
        <x:v>0</x:v>
      </x:c>
      <x:c r="O4570" s="2" t="str">
        <x:v>Tp Hồ Chí Minh|other_unknown</x:v>
      </x:c>
      <x:c r="P4570" s="10" t="n">
        <x:v>2</x:v>
      </x:c>
      <x:c r="Q4570" s="13" t="n">
        <x:f>IF(H4570="","",H4570/1000000000)</x:f>
        <x:v>2.7</x:v>
      </x:c>
      <x:c r="R4570" s="13" t="n">
        <x:f>IF(I4570="","",I4570/1000000)</x:f>
        <x:v>50</x:v>
      </x:c>
    </x:row>
    <x:row r="4571" ht="21" customHeight="1">
      <x:c r="A4571" s="10" t="n">
        <x:v>6078</x:v>
      </x:c>
      <x:c r="B4571" s="2" t="str">
        <x:v>b4041c655428c13d46b1</x:v>
      </x:c>
      <x:c r="C4571" s="2" t="str">
        <x:v>Vĩnh Long</x:v>
      </x:c>
      <x:c r="D4571" s="2" t="str">
        <x:v>Thành phố Vĩnh Long</x:v>
      </x:c>
      <x:c r="E4571" s="2" t="str">
        <x:v>land</x:v>
      </x:c>
      <x:c r="F4571" s="2" t="str">
        <x:v>sale_assumed</x:v>
      </x:c>
      <x:c r="G4571" s="11" t="n">
        <x:v>137.8</x:v>
      </x:c>
      <x:c r="H4571" s="12" t="n">
        <x:v>1150000000</x:v>
      </x:c>
      <x:c r="I4571" s="12" t="n">
        <x:v>8345428.15674891</x:v>
      </x:c>
      <x:c r="J4571" s="2" t="str">
        <x:v>total</x:v>
      </x:c>
      <x:c r="K4571" s="2" t="str">
        <x:v>top_level_area</x:v>
      </x:c>
      <x:c r="L4571" s="2" t="str">
        <x:v>property_type_inferred_from_title;transaction_assumed_sale_from_dataset_context</x:v>
      </x:c>
      <x:c r="M4571" s="10" t="n">
        <x:v>0</x:v>
      </x:c>
      <x:c r="N4571" s="10" t="n">
        <x:v>0</x:v>
      </x:c>
      <x:c r="O4571" s="2" t="str">
        <x:v>land</x:v>
      </x:c>
      <x:c r="P4571" s="10" t="n">
        <x:v>2</x:v>
      </x:c>
      <x:c r="Q4571" s="13" t="n">
        <x:f>IF(H4571="","",H4571/1000000000)</x:f>
        <x:v>1.15</x:v>
      </x:c>
      <x:c r="R4571" s="13" t="n">
        <x:f>IF(I4571="","",I4571/1000000)</x:f>
        <x:v>8.34542815674891</x:v>
      </x:c>
    </x:row>
    <x:row r="4572" ht="21" customHeight="1">
      <x:c r="A4572" s="10" t="n">
        <x:v>6081</x:v>
      </x:c>
      <x:c r="B4572" s="2" t="str">
        <x:v>80b9b4b683956dd5b874</x:v>
      </x:c>
      <x:c r="C4572" s="2" t="str">
        <x:v>Bình Dương</x:v>
      </x:c>
      <x:c r="D4572" s="2" t="str">
        <x:v>Thị xã Thuận An</x:v>
      </x:c>
      <x:c r="E4572" s="2" t="str">
        <x:v>house</x:v>
      </x:c>
      <x:c r="F4572" s="2" t="str">
        <x:v>sale</x:v>
      </x:c>
      <x:c r="G4572" s="11" t="n">
        <x:v>60</x:v>
      </x:c>
      <x:c r="H4572" s="12" t="n">
        <x:v>770000000</x:v>
      </x:c>
      <x:c r="I4572" s="12" t="n">
        <x:v>12833333.333333334</x:v>
      </x:c>
      <x:c r="J4572" s="2" t="str">
        <x:v>total</x:v>
      </x:c>
      <x:c r="K4572" s="2" t="str">
        <x:v>top_level_price_embedded_area</x:v>
      </x:c>
      <x:c r="L4572" s="2" t="str">
        <x:v>area_recovered_from_price_text;property_type_inferred_from_title</x:v>
      </x:c>
      <x:c r="M4572" s="10" t="n">
        <x:v>0</x:v>
      </x:c>
      <x:c r="N4572" s="10" t="n">
        <x:v>0</x:v>
      </x:c>
      <x:c r="O4572" s="2" t="str">
        <x:v>Bình Dương|house</x:v>
      </x:c>
      <x:c r="P4572" s="10" t="n">
        <x:v>2</x:v>
      </x:c>
      <x:c r="Q4572" s="13" t="n">
        <x:f>IF(H4572="","",H4572/1000000000)</x:f>
        <x:v>0.77</x:v>
      </x:c>
      <x:c r="R4572" s="13" t="n">
        <x:f>IF(I4572="","",I4572/1000000)</x:f>
        <x:v>12.833333333333334</x:v>
      </x:c>
    </x:row>
    <x:row r="4573" ht="21" customHeight="1">
      <x:c r="A4573" s="10" t="n">
        <x:v>6082</x:v>
      </x:c>
      <x:c r="B4573" s="2" t="str">
        <x:v>b24664441eb9db6ea946</x:v>
      </x:c>
      <x:c r="C4573" s="2" t="str">
        <x:v>Tp Hồ Chí Minh</x:v>
      </x:c>
      <x:c r="D4573" s="2" t="str">
        <x:v>Huyện Bình Chánh</x:v>
      </x:c>
      <x:c r="E4573" s="2" t="str">
        <x:v>house</x:v>
      </x:c>
      <x:c r="F4573" s="2" t="str">
        <x:v>sale</x:v>
      </x:c>
      <x:c r="G4573" s="11" t="n">
        <x:v>80</x:v>
      </x:c>
      <x:c r="H4573" s="12" t="n">
        <x:v>5600000000</x:v>
      </x:c>
      <x:c r="I4573" s="12" t="n">
        <x:v>70000000</x:v>
      </x:c>
      <x:c r="J4573" s="2" t="str">
        <x:v>total</x:v>
      </x:c>
      <x:c r="K4573" s="2" t="str">
        <x:v>top_level_area</x:v>
      </x:c>
      <x:c r="L4573" s="2" t="str">
        <x:v>property_type_inferred_from_title</x:v>
      </x:c>
      <x:c r="M4573" s="10" t="n">
        <x:v>0</x:v>
      </x:c>
      <x:c r="N4573" s="10" t="n">
        <x:v>0</x:v>
      </x:c>
      <x:c r="O4573" s="2" t="str">
        <x:v>Tp Hồ Chí Minh|house</x:v>
      </x:c>
      <x:c r="P4573" s="10" t="n">
        <x:v>2</x:v>
      </x:c>
      <x:c r="Q4573" s="13" t="n">
        <x:f>IF(H4573="","",H4573/1000000000)</x:f>
        <x:v>5.6</x:v>
      </x:c>
      <x:c r="R4573" s="13" t="n">
        <x:f>IF(I4573="","",I4573/1000000)</x:f>
        <x:v>70</x:v>
      </x:c>
    </x:row>
    <x:row r="4574" ht="21" customHeight="1">
      <x:c r="A4574" s="10" t="n">
        <x:v>6083</x:v>
      </x:c>
      <x:c r="B4574" s="2" t="str">
        <x:v>9806699afe995f984921</x:v>
      </x:c>
      <x:c r="C4574" s="2" t="str">
        <x:v>Đồng Nai</x:v>
      </x:c>
      <x:c r="D4574" s="2" t="str">
        <x:v>Huyện Nhơn Trạch</x:v>
      </x:c>
      <x:c r="E4574" s="2" t="str">
        <x:v>land</x:v>
      </x:c>
      <x:c r="F4574" s="2" t="str">
        <x:v>sale_assumed</x:v>
      </x:c>
      <x:c r="G4574" s="11" t="n">
        <x:v>281</x:v>
      </x:c>
      <x:c r="H4574" s="12" t="n">
        <x:v>900000000</x:v>
      </x:c>
      <x:c r="I4574" s="12" t="n">
        <x:v>3202846.975088968</x:v>
      </x:c>
      <x:c r="J4574" s="2" t="str">
        <x:v>total</x:v>
      </x:c>
      <x:c r="K4574" s="2" t="str">
        <x:v>top_level_area</x:v>
      </x:c>
      <x:c r="L4574" s="2" t="str">
        <x:v>property_type_inferred_from_title;transaction_assumed_sale_from_dataset_context</x:v>
      </x:c>
      <x:c r="M4574" s="10" t="n">
        <x:v>0</x:v>
      </x:c>
      <x:c r="N4574" s="10" t="n">
        <x:v>0</x:v>
      </x:c>
      <x:c r="O4574" s="2" t="str">
        <x:v>Đồng Nai|land</x:v>
      </x:c>
      <x:c r="P4574" s="10" t="n">
        <x:v>1</x:v>
      </x:c>
      <x:c r="Q4574" s="13" t="n">
        <x:f>IF(H4574="","",H4574/1000000000)</x:f>
        <x:v>0.9</x:v>
      </x:c>
      <x:c r="R4574" s="13" t="n">
        <x:f>IF(I4574="","",I4574/1000000)</x:f>
        <x:v>3.202846975088968</x:v>
      </x:c>
    </x:row>
    <x:row r="4575" ht="21" customHeight="1">
      <x:c r="A4575" s="10" t="n">
        <x:v>6084</x:v>
      </x:c>
      <x:c r="B4575" s="2" t="str">
        <x:v>5272d189ffd23e34fb94</x:v>
      </x:c>
      <x:c r="C4575" s="2" t="str">
        <x:v>Tp Hồ Chí Minh</x:v>
      </x:c>
      <x:c r="D4575" s="2" t="str">
        <x:v>Quận 12</x:v>
      </x:c>
      <x:c r="E4575" s="2" t="str">
        <x:v>house</x:v>
      </x:c>
      <x:c r="F4575" s="2" t="str">
        <x:v>sale</x:v>
      </x:c>
      <x:c r="G4575" s="11" t="n">
        <x:v>48</x:v>
      </x:c>
      <x:c r="H4575" s="12" t="n">
        <x:v>3250000000</x:v>
      </x:c>
      <x:c r="I4575" s="12" t="n">
        <x:v>67708333.33333333</x:v>
      </x:c>
      <x:c r="J4575" s="2" t="str">
        <x:v>total</x:v>
      </x:c>
      <x:c r="K4575" s="2" t="str">
        <x:v>top_level_area</x:v>
      </x:c>
      <x:c r="L4575" s="2" t="str">
        <x:v>property_type_inferred_from_title</x:v>
      </x:c>
      <x:c r="M4575" s="10" t="n">
        <x:v>0</x:v>
      </x:c>
      <x:c r="N4575" s="10" t="n">
        <x:v>0</x:v>
      </x:c>
      <x:c r="O4575" s="2" t="str">
        <x:v>Tp Hồ Chí Minh|house</x:v>
      </x:c>
      <x:c r="P4575" s="10" t="n">
        <x:v>2</x:v>
      </x:c>
      <x:c r="Q4575" s="13" t="n">
        <x:f>IF(H4575="","",H4575/1000000000)</x:f>
        <x:v>3.25</x:v>
      </x:c>
      <x:c r="R4575" s="13" t="n">
        <x:f>IF(I4575="","",I4575/1000000)</x:f>
        <x:v>67.70833333333333</x:v>
      </x:c>
    </x:row>
    <x:row r="4576" ht="21" customHeight="1">
      <x:c r="A4576" s="10" t="n">
        <x:v>6085</x:v>
      </x:c>
      <x:c r="B4576" s="2" t="str">
        <x:v>9911f0ecef9435dc9195</x:v>
      </x:c>
      <x:c r="C4576" s="2" t="str">
        <x:v>Tp Hồ Chí Minh</x:v>
      </x:c>
      <x:c r="D4576" s="2" t="str">
        <x:v>Quận 8</x:v>
      </x:c>
      <x:c r="E4576" s="2" t="str">
        <x:v>other_unknown</x:v>
      </x:c>
      <x:c r="F4576" s="2" t="str">
        <x:v>sale_assumed</x:v>
      </x:c>
      <x:c r="G4576" s="11" t="n">
        <x:v>57</x:v>
      </x:c>
      <x:c r="H4576" s="12" t="n">
        <x:v>2622000000</x:v>
      </x:c>
      <x:c r="I4576" s="12" t="n">
        <x:v>46000000</x:v>
      </x:c>
      <x:c r="J4576" s="2" t="str">
        <x:v>total</x:v>
      </x:c>
      <x:c r="K4576" s="2" t="str">
        <x:v>top_level_area</x:v>
      </x:c>
      <x:c r="L4576" s="2" t="str">
        <x:v>property_type_inferred_from_title;transaction_assumed_sale_from_dataset_context;unknown_property_type</x:v>
      </x:c>
      <x:c r="M4576" s="10" t="n">
        <x:v>0</x:v>
      </x:c>
      <x:c r="N4576" s="10" t="n">
        <x:v>0</x:v>
      </x:c>
      <x:c r="O4576" s="2" t="str">
        <x:v>Tp Hồ Chí Minh|other_unknown</x:v>
      </x:c>
      <x:c r="P4576" s="10" t="n">
        <x:v>2</x:v>
      </x:c>
      <x:c r="Q4576" s="13" t="n">
        <x:f>IF(H4576="","",H4576/1000000000)</x:f>
        <x:v>2.622</x:v>
      </x:c>
      <x:c r="R4576" s="13" t="n">
        <x:f>IF(I4576="","",I4576/1000000)</x:f>
        <x:v>46</x:v>
      </x:c>
    </x:row>
    <x:row r="4577" ht="21" customHeight="1">
      <x:c r="A4577" s="10" t="n">
        <x:v>6086</x:v>
      </x:c>
      <x:c r="B4577" s="2" t="str">
        <x:v>705348f117c20d9f2880</x:v>
      </x:c>
      <x:c r="C4577" s="2" t="str">
        <x:v>Hà Nội</x:v>
      </x:c>
      <x:c r="D4577" s="2" t="str">
        <x:v>Quận Hà Đông</x:v>
      </x:c>
      <x:c r="E4577" s="2" t="str">
        <x:v>house</x:v>
      </x:c>
      <x:c r="F4577" s="2" t="str">
        <x:v>sale_assumed</x:v>
      </x:c>
      <x:c r="G4577" s="11" t="n">
        <x:v>40</x:v>
      </x:c>
      <x:c r="H4577" s="12" t="n">
        <x:v>3290000000</x:v>
      </x:c>
      <x:c r="I4577" s="12" t="n">
        <x:v>82250000</x:v>
      </x:c>
      <x:c r="J4577" s="2" t="str">
        <x:v>total</x:v>
      </x:c>
      <x:c r="K4577" s="2" t="str">
        <x:v>top_level_area</x:v>
      </x:c>
      <x:c r="L4577" s="2" t="str">
        <x:v>property_type_inferred_from_title;transaction_assumed_sale_from_dataset_context</x:v>
      </x:c>
      <x:c r="M4577" s="10" t="n">
        <x:v>0</x:v>
      </x:c>
      <x:c r="N4577" s="10" t="n">
        <x:v>0</x:v>
      </x:c>
      <x:c r="O4577" s="2" t="str">
        <x:v>Hà Nội|house</x:v>
      </x:c>
      <x:c r="P4577" s="10" t="n">
        <x:v>2</x:v>
      </x:c>
      <x:c r="Q4577" s="13" t="n">
        <x:f>IF(H4577="","",H4577/1000000000)</x:f>
        <x:v>3.29</x:v>
      </x:c>
      <x:c r="R4577" s="13" t="n">
        <x:f>IF(I4577="","",I4577/1000000)</x:f>
        <x:v>82.25</x:v>
      </x:c>
    </x:row>
    <x:row r="4578" ht="21" customHeight="1">
      <x:c r="A4578" s="10" t="n">
        <x:v>6087</x:v>
      </x:c>
      <x:c r="B4578" s="2" t="str">
        <x:v>93c2255322ab3145936e</x:v>
      </x:c>
      <x:c r="C4578" s="2" t="str">
        <x:v>Tp Hồ Chí Minh</x:v>
      </x:c>
      <x:c r="D4578" s="2" t="str">
        <x:v>Quận Bình Tân</x:v>
      </x:c>
      <x:c r="E4578" s="2" t="str">
        <x:v>other_unknown</x:v>
      </x:c>
      <x:c r="F4578" s="2" t="str">
        <x:v>sale</x:v>
      </x:c>
      <x:c r="G4578" s="11" t="n">
        <x:v>132</x:v>
      </x:c>
      <x:c r="H4578" s="12" t="n">
        <x:v>4250000000</x:v>
      </x:c>
      <x:c r="I4578" s="12" t="n">
        <x:v>32196969.696969695</x:v>
      </x:c>
      <x:c r="J4578" s="2" t="str">
        <x:v>total</x:v>
      </x:c>
      <x:c r="K4578" s="2" t="str">
        <x:v>top_level_area</x:v>
      </x:c>
      <x:c r="L4578" s="2" t="str">
        <x:v>property_type_inferred_from_title;unknown_property_type</x:v>
      </x:c>
      <x:c r="M4578" s="10" t="n">
        <x:v>0</x:v>
      </x:c>
      <x:c r="N4578" s="10" t="n">
        <x:v>0</x:v>
      </x:c>
      <x:c r="O4578" s="2" t="str">
        <x:v>Tp Hồ Chí Minh|other_unknown</x:v>
      </x:c>
      <x:c r="P4578" s="10" t="n">
        <x:v>2</x:v>
      </x:c>
      <x:c r="Q4578" s="13" t="n">
        <x:f>IF(H4578="","",H4578/1000000000)</x:f>
        <x:v>4.25</x:v>
      </x:c>
      <x:c r="R4578" s="13" t="n">
        <x:f>IF(I4578="","",I4578/1000000)</x:f>
        <x:v>32.196969696969695</x:v>
      </x:c>
    </x:row>
    <x:row r="4579" ht="21" customHeight="1">
      <x:c r="A4579" s="10" t="n">
        <x:v>6088</x:v>
      </x:c>
      <x:c r="B4579" s="2" t="str">
        <x:v>d7f411381f68728272ee</x:v>
      </x:c>
      <x:c r="C4579" s="2" t="str">
        <x:v>Tp Hồ Chí Minh</x:v>
      </x:c>
      <x:c r="D4579" s="2" t="str">
        <x:v>Quận 12</x:v>
      </x:c>
      <x:c r="E4579" s="2" t="str">
        <x:v>house</x:v>
      </x:c>
      <x:c r="F4579" s="2" t="str">
        <x:v>sale</x:v>
      </x:c>
      <x:c r="G4579" s="11" t="n">
        <x:v>36</x:v>
      </x:c>
      <x:c r="H4579" s="12" t="n">
        <x:v>1050000000</x:v>
      </x:c>
      <x:c r="I4579" s="12" t="n">
        <x:v>29166666.666666668</x:v>
      </x:c>
      <x:c r="J4579" s="2" t="str">
        <x:v>total</x:v>
      </x:c>
      <x:c r="K4579" s="2" t="str">
        <x:v>top_level_area</x:v>
      </x:c>
      <x:c r="L4579" s="2" t="str">
        <x:v>property_type_inferred_from_title</x:v>
      </x:c>
      <x:c r="M4579" s="10" t="n">
        <x:v>0</x:v>
      </x:c>
      <x:c r="N4579" s="10" t="n">
        <x:v>0</x:v>
      </x:c>
      <x:c r="O4579" s="2" t="str">
        <x:v>Tp Hồ Chí Minh|house</x:v>
      </x:c>
      <x:c r="P4579" s="10" t="n">
        <x:v>2</x:v>
      </x:c>
      <x:c r="Q4579" s="13" t="n">
        <x:f>IF(H4579="","",H4579/1000000000)</x:f>
        <x:v>1.05</x:v>
      </x:c>
      <x:c r="R4579" s="13" t="n">
        <x:f>IF(I4579="","",I4579/1000000)</x:f>
        <x:v>29.166666666666668</x:v>
      </x:c>
    </x:row>
    <x:row r="4580" ht="21" customHeight="1">
      <x:c r="A4580" s="10" t="n">
        <x:v>6089</x:v>
      </x:c>
      <x:c r="B4580" s="2" t="str">
        <x:v>90cda620699a724b79ef</x:v>
      </x:c>
      <x:c r="C4580" s="2" t="str">
        <x:v>Bình Dương</x:v>
      </x:c>
      <x:c r="D4580" s="2" t="str">
        <x:v>Thị xã Dĩ An</x:v>
      </x:c>
      <x:c r="E4580" s="2" t="str">
        <x:v>house</x:v>
      </x:c>
      <x:c r="F4580" s="2" t="str">
        <x:v>sale_assumed</x:v>
      </x:c>
      <x:c r="G4580" s="11" t="n">
        <x:v>42</x:v>
      </x:c>
      <x:c r="H4580" s="12" t="n">
        <x:v>1230000000</x:v>
      </x:c>
      <x:c r="I4580" s="12" t="n">
        <x:v>29285714.285714287</x:v>
      </x:c>
      <x:c r="J4580" s="2" t="str">
        <x:v>total</x:v>
      </x:c>
      <x:c r="K4580" s="2" t="str">
        <x:v>top_level_area</x:v>
      </x:c>
      <x:c r="L4580" s="2" t="str">
        <x:v>property_type_inferred_from_title;transaction_assumed_sale_from_dataset_context</x:v>
      </x:c>
      <x:c r="M4580" s="10" t="n">
        <x:v>0</x:v>
      </x:c>
      <x:c r="N4580" s="10" t="n">
        <x:v>0</x:v>
      </x:c>
      <x:c r="O4580" s="2" t="str">
        <x:v>Bình Dương|house</x:v>
      </x:c>
      <x:c r="P4580" s="10" t="n">
        <x:v>2</x:v>
      </x:c>
      <x:c r="Q4580" s="13" t="n">
        <x:f>IF(H4580="","",H4580/1000000000)</x:f>
        <x:v>1.23</x:v>
      </x:c>
      <x:c r="R4580" s="13" t="n">
        <x:f>IF(I4580="","",I4580/1000000)</x:f>
        <x:v>29.28571428571429</x:v>
      </x:c>
    </x:row>
    <x:row r="4581" ht="21" customHeight="1">
      <x:c r="A4581" s="10" t="n">
        <x:v>6090</x:v>
      </x:c>
      <x:c r="B4581" s="2" t="str">
        <x:v>ebb4a3409f0545967599</x:v>
      </x:c>
      <x:c r="C4581" s="2" t="str">
        <x:v>Hà Nội</x:v>
      </x:c>
      <x:c r="D4581" s="2" t="str">
        <x:v>Quận Bắc Từ Liêm</x:v>
      </x:c>
      <x:c r="E4581" s="2" t="str">
        <x:v>other_unknown</x:v>
      </x:c>
      <x:c r="F4581" s="2" t="str">
        <x:v>sale_assumed</x:v>
      </x:c>
      <x:c r="G4581" s="11" t="n">
        <x:v>50</x:v>
      </x:c>
      <x:c r="H4581" s="12" t="n">
        <x:v>2700000000</x:v>
      </x:c>
      <x:c r="I4581" s="12" t="n">
        <x:v>54000000</x:v>
      </x:c>
      <x:c r="J4581" s="2" t="str">
        <x:v>total</x:v>
      </x:c>
      <x:c r="K4581" s="2" t="str">
        <x:v>top_level_area</x:v>
      </x:c>
      <x:c r="L4581" s="2" t="str">
        <x:v>property_type_inferred_from_title;transaction_assumed_sale_from_dataset_context;unknown_property_type</x:v>
      </x:c>
      <x:c r="M4581" s="10" t="n">
        <x:v>0</x:v>
      </x:c>
      <x:c r="N4581" s="10" t="n">
        <x:v>0</x:v>
      </x:c>
      <x:c r="O4581" s="2" t="str">
        <x:v>Hà Nội|other_unknown</x:v>
      </x:c>
      <x:c r="P4581" s="10" t="n">
        <x:v>2</x:v>
      </x:c>
      <x:c r="Q4581" s="13" t="n">
        <x:f>IF(H4581="","",H4581/1000000000)</x:f>
        <x:v>2.7</x:v>
      </x:c>
      <x:c r="R4581" s="13" t="n">
        <x:f>IF(I4581="","",I4581/1000000)</x:f>
        <x:v>54</x:v>
      </x:c>
    </x:row>
    <x:row r="4582" ht="21" customHeight="1">
      <x:c r="A4582" s="10" t="n">
        <x:v>6091</x:v>
      </x:c>
      <x:c r="B4582" s="2" t="str">
        <x:v>5f016c800bad49dd5614</x:v>
      </x:c>
      <x:c r="C4582" s="2" t="str">
        <x:v>Cần Thơ</x:v>
      </x:c>
      <x:c r="D4582" s="2" t="str">
        <x:v>Quận Cái Răng</x:v>
      </x:c>
      <x:c r="E4582" s="2" t="str">
        <x:v>land</x:v>
      </x:c>
      <x:c r="F4582" s="2" t="str">
        <x:v>sale_assumed</x:v>
      </x:c>
      <x:c r="G4582" s="11" t="n">
        <x:v>144</x:v>
      </x:c>
      <x:c r="H4582" s="12" t="n">
        <x:v>900000000</x:v>
      </x:c>
      <x:c r="I4582" s="12" t="n">
        <x:v>6250000</x:v>
      </x:c>
      <x:c r="J4582" s="2" t="str">
        <x:v>total</x:v>
      </x:c>
      <x:c r="K4582" s="2" t="str">
        <x:v>top_level_area</x:v>
      </x:c>
      <x:c r="L4582" s="2" t="str">
        <x:v>property_type_inferred_from_title;transaction_assumed_sale_from_dataset_context</x:v>
      </x:c>
      <x:c r="M4582" s="10" t="n">
        <x:v>0</x:v>
      </x:c>
      <x:c r="N4582" s="10" t="n">
        <x:v>0</x:v>
      </x:c>
      <x:c r="O4582" s="2" t="str">
        <x:v>Cần Thơ|land</x:v>
      </x:c>
      <x:c r="P4582" s="10" t="n">
        <x:v>2</x:v>
      </x:c>
      <x:c r="Q4582" s="13" t="n">
        <x:f>IF(H4582="","",H4582/1000000000)</x:f>
        <x:v>0.9</x:v>
      </x:c>
      <x:c r="R4582" s="13" t="n">
        <x:f>IF(I4582="","",I4582/1000000)</x:f>
        <x:v>6.25</x:v>
      </x:c>
    </x:row>
    <x:row r="4583" ht="21" customHeight="1">
      <x:c r="A4583" s="10" t="n">
        <x:v>6092</x:v>
      </x:c>
      <x:c r="B4583" s="2" t="str">
        <x:v>624290e6796fd659c8e7</x:v>
      </x:c>
      <x:c r="C4583" s="2" t="str">
        <x:v>Bình Dương</x:v>
      </x:c>
      <x:c r="D4583" s="2" t="str">
        <x:v>Thị xã Tân Uyên</x:v>
      </x:c>
      <x:c r="E4583" s="2" t="str">
        <x:v>other_unknown</x:v>
      </x:c>
      <x:c r="F4583" s="2" t="str">
        <x:v>sale</x:v>
      </x:c>
      <x:c r="G4583" s="11" t="n">
        <x:v>326</x:v>
      </x:c>
      <x:c r="H4583" s="12" t="n">
        <x:v>2400000000</x:v>
      </x:c>
      <x:c r="I4583" s="12" t="n">
        <x:v>7361963.190184049</x:v>
      </x:c>
      <x:c r="J4583" s="2" t="str">
        <x:v>total</x:v>
      </x:c>
      <x:c r="K4583" s="2" t="str">
        <x:v>top_level_area</x:v>
      </x:c>
      <x:c r="L4583" s="2" t="str">
        <x:v>property_type_inferred_from_title;unknown_property_type</x:v>
      </x:c>
      <x:c r="M4583" s="10" t="n">
        <x:v>0</x:v>
      </x:c>
      <x:c r="N4583" s="10" t="n">
        <x:v>0</x:v>
      </x:c>
      <x:c r="O4583" s="2" t="str">
        <x:v>Bình Dương|other_unknown</x:v>
      </x:c>
      <x:c r="P4583" s="10" t="n">
        <x:v>1</x:v>
      </x:c>
      <x:c r="Q4583" s="13" t="n">
        <x:f>IF(H4583="","",H4583/1000000000)</x:f>
        <x:v>2.4</x:v>
      </x:c>
      <x:c r="R4583" s="13" t="n">
        <x:f>IF(I4583="","",I4583/1000000)</x:f>
        <x:v>7.361963190184049</x:v>
      </x:c>
    </x:row>
    <x:row r="4584" ht="21" customHeight="1">
      <x:c r="A4584" s="10" t="n">
        <x:v>6093</x:v>
      </x:c>
      <x:c r="B4584" s="2" t="str">
        <x:v>cee379f76d7354b91522</x:v>
      </x:c>
      <x:c r="C4584" s="2" t="str">
        <x:v>Tp Hồ Chí Minh</x:v>
      </x:c>
      <x:c r="D4584" s="2" t="str">
        <x:v>Quận 12</x:v>
      </x:c>
      <x:c r="E4584" s="2" t="str">
        <x:v>house</x:v>
      </x:c>
      <x:c r="F4584" s="2" t="str">
        <x:v>sale_assumed</x:v>
      </x:c>
      <x:c r="G4584" s="11" t="n">
        <x:v>20</x:v>
      </x:c>
      <x:c r="H4584" s="12" t="n">
        <x:v>620000000</x:v>
      </x:c>
      <x:c r="I4584" s="12" t="n">
        <x:v>31000000</x:v>
      </x:c>
      <x:c r="J4584" s="2" t="str">
        <x:v>total</x:v>
      </x:c>
      <x:c r="K4584" s="2" t="str">
        <x:v>top_level_area</x:v>
      </x:c>
      <x:c r="L4584" s="2" t="str">
        <x:v>property_type_inferred_from_title;transaction_assumed_sale_from_dataset_context</x:v>
      </x:c>
      <x:c r="M4584" s="10" t="n">
        <x:v>0</x:v>
      </x:c>
      <x:c r="N4584" s="10" t="n">
        <x:v>0</x:v>
      </x:c>
      <x:c r="O4584" s="2" t="str">
        <x:v>Tp Hồ Chí Minh|house</x:v>
      </x:c>
      <x:c r="P4584" s="10" t="n">
        <x:v>2</x:v>
      </x:c>
      <x:c r="Q4584" s="13" t="n">
        <x:f>IF(H4584="","",H4584/1000000000)</x:f>
        <x:v>0.62</x:v>
      </x:c>
      <x:c r="R4584" s="13" t="n">
        <x:f>IF(I4584="","",I4584/1000000)</x:f>
        <x:v>31</x:v>
      </x:c>
    </x:row>
    <x:row r="4585" ht="21" customHeight="1">
      <x:c r="A4585" s="10" t="n">
        <x:v>6094</x:v>
      </x:c>
      <x:c r="B4585" s="2" t="str">
        <x:v>f87a85f0c2080b6351fd</x:v>
      </x:c>
      <x:c r="C4585" s="2" t="str">
        <x:v>Tp Hồ Chí Minh</x:v>
      </x:c>
      <x:c r="D4585" s="2" t="str">
        <x:v>Quận Bình Thạnh</x:v>
      </x:c>
      <x:c r="E4585" s="2" t="str">
        <x:v>other_unknown</x:v>
      </x:c>
      <x:c r="F4585" s="2" t="str">
        <x:v>sale</x:v>
      </x:c>
      <x:c r="G4585" s="11" t="n">
        <x:v>63</x:v>
      </x:c>
      <x:c r="H4585" s="12" t="n">
        <x:v>2950000000</x:v>
      </x:c>
      <x:c r="I4585" s="12" t="n">
        <x:v>46825396.82539683</x:v>
      </x:c>
      <x:c r="J4585" s="2" t="str">
        <x:v>total</x:v>
      </x:c>
      <x:c r="K4585" s="2" t="str">
        <x:v>top_level_area</x:v>
      </x:c>
      <x:c r="L4585" s="2" t="str">
        <x:v>property_type_inferred_from_title;unknown_property_type</x:v>
      </x:c>
      <x:c r="M4585" s="10" t="n">
        <x:v>0</x:v>
      </x:c>
      <x:c r="N4585" s="10" t="n">
        <x:v>0</x:v>
      </x:c>
      <x:c r="O4585" s="2" t="str">
        <x:v>Tp Hồ Chí Minh|other_unknown</x:v>
      </x:c>
      <x:c r="P4585" s="10" t="n">
        <x:v>2</x:v>
      </x:c>
      <x:c r="Q4585" s="13" t="n">
        <x:f>IF(H4585="","",H4585/1000000000)</x:f>
        <x:v>2.95</x:v>
      </x:c>
      <x:c r="R4585" s="13" t="n">
        <x:f>IF(I4585="","",I4585/1000000)</x:f>
        <x:v>46.82539682539683</x:v>
      </x:c>
    </x:row>
    <x:row r="4586" ht="21" customHeight="1">
      <x:c r="A4586" s="10" t="n">
        <x:v>6095</x:v>
      </x:c>
      <x:c r="B4586" s="2" t="str">
        <x:v>dccef0c4fee31b4f708a</x:v>
      </x:c>
      <x:c r="C4586" s="2" t="str">
        <x:v>Tp Hồ Chí Minh</x:v>
      </x:c>
      <x:c r="D4586" s="2" t="str">
        <x:v>Huyện Hóc Môn</x:v>
      </x:c>
      <x:c r="E4586" s="2" t="str">
        <x:v>house</x:v>
      </x:c>
      <x:c r="F4586" s="2" t="str">
        <x:v>sale_assumed</x:v>
      </x:c>
      <x:c r="G4586" s="11" t="n">
        <x:v>125</x:v>
      </x:c>
      <x:c r="H4586" s="12" t="n">
        <x:v>325000000</x:v>
      </x:c>
      <x:c r="I4586" s="12" t="n">
        <x:v>2600000</x:v>
      </x:c>
      <x:c r="J4586" s="2" t="str">
        <x:v>total</x:v>
      </x:c>
      <x:c r="K4586" s="2" t="str">
        <x:v>top_level_area</x:v>
      </x:c>
      <x:c r="L4586" s="2" t="str">
        <x:v>property_type_inferred_from_title;transaction_assumed_sale_from_dataset_context</x:v>
      </x:c>
      <x:c r="M4586" s="10" t="n">
        <x:v>0</x:v>
      </x:c>
      <x:c r="N4586" s="10" t="n">
        <x:v>0</x:v>
      </x:c>
      <x:c r="O4586" s="2" t="str">
        <x:v>Tp Hồ Chí Minh|house</x:v>
      </x:c>
      <x:c r="P4586" s="10" t="n">
        <x:v>1</x:v>
      </x:c>
      <x:c r="Q4586" s="13" t="n">
        <x:f>IF(H4586="","",H4586/1000000000)</x:f>
        <x:v>0.325</x:v>
      </x:c>
      <x:c r="R4586" s="13" t="n">
        <x:f>IF(I4586="","",I4586/1000000)</x:f>
        <x:v>2.6</x:v>
      </x:c>
    </x:row>
    <x:row r="4587" ht="21" customHeight="1">
      <x:c r="A4587" s="10" t="n">
        <x:v>6096</x:v>
      </x:c>
      <x:c r="B4587" s="2" t="str">
        <x:v>c6d77b1d56f91033c2b2</x:v>
      </x:c>
      <x:c r="C4587" s="2" t="str">
        <x:v>Tp Hồ Chí Minh</x:v>
      </x:c>
      <x:c r="D4587" s="2" t="str">
        <x:v>Huyện Củ Chi</x:v>
      </x:c>
      <x:c r="E4587" s="2" t="str">
        <x:v>other_unknown</x:v>
      </x:c>
      <x:c r="F4587" s="2" t="str">
        <x:v>sale</x:v>
      </x:c>
      <x:c r="G4587" s="11" t="n">
        <x:v>618</x:v>
      </x:c>
      <x:c r="H4587" s="12" t="n">
        <x:v>1360000000</x:v>
      </x:c>
      <x:c r="I4587" s="12" t="n">
        <x:v>2200647.2491909387</x:v>
      </x:c>
      <x:c r="J4587" s="2" t="str">
        <x:v>total</x:v>
      </x:c>
      <x:c r="K4587" s="2" t="str">
        <x:v>top_level_area</x:v>
      </x:c>
      <x:c r="L4587" s="2" t="str">
        <x:v>property_type_inferred_from_title;unknown_property_type</x:v>
      </x:c>
      <x:c r="M4587" s="10" t="n">
        <x:v>0</x:v>
      </x:c>
      <x:c r="N4587" s="10" t="n">
        <x:v>0</x:v>
      </x:c>
      <x:c r="O4587" s="2" t="str">
        <x:v>Tp Hồ Chí Minh|other_unknown</x:v>
      </x:c>
      <x:c r="P4587" s="10" t="n">
        <x:v>1</x:v>
      </x:c>
      <x:c r="Q4587" s="13" t="n">
        <x:f>IF(H4587="","",H4587/1000000000)</x:f>
        <x:v>1.36</x:v>
      </x:c>
      <x:c r="R4587" s="13" t="n">
        <x:f>IF(I4587="","",I4587/1000000)</x:f>
        <x:v>2.2006472491909386</x:v>
      </x:c>
    </x:row>
    <x:row r="4588" ht="21" customHeight="1">
      <x:c r="A4588" s="10" t="n">
        <x:v>6097</x:v>
      </x:c>
      <x:c r="B4588" s="2" t="str">
        <x:v>4d2af277f559e76c7601</x:v>
      </x:c>
      <x:c r="C4588" s="2" t="str">
        <x:v>Bình Dương</x:v>
      </x:c>
      <x:c r="D4588" s="2" t="str">
        <x:v>Thị xã Dĩ An</x:v>
      </x:c>
      <x:c r="E4588" s="2" t="str">
        <x:v>house</x:v>
      </x:c>
      <x:c r="F4588" s="2" t="str">
        <x:v>sale_assumed</x:v>
      </x:c>
      <x:c r="G4588" s="11" t="n">
        <x:v>70</x:v>
      </x:c>
      <x:c r="H4588" s="12" t="n">
        <x:v>3450000000</x:v>
      </x:c>
      <x:c r="I4588" s="12" t="n">
        <x:v>49285714.28571428</x:v>
      </x:c>
      <x:c r="J4588" s="2" t="str">
        <x:v>total</x:v>
      </x:c>
      <x:c r="K4588" s="2" t="str">
        <x:v>top_level_area</x:v>
      </x:c>
      <x:c r="L4588" s="2" t="str">
        <x:v>property_type_inferred_from_title;transaction_assumed_sale_from_dataset_context</x:v>
      </x:c>
      <x:c r="M4588" s="10" t="n">
        <x:v>0</x:v>
      </x:c>
      <x:c r="N4588" s="10" t="n">
        <x:v>0</x:v>
      </x:c>
      <x:c r="O4588" s="2" t="str">
        <x:v>Bình Dương|house</x:v>
      </x:c>
      <x:c r="P4588" s="10" t="n">
        <x:v>2</x:v>
      </x:c>
      <x:c r="Q4588" s="13" t="n">
        <x:f>IF(H4588="","",H4588/1000000000)</x:f>
        <x:v>3.45</x:v>
      </x:c>
      <x:c r="R4588" s="13" t="n">
        <x:f>IF(I4588="","",I4588/1000000)</x:f>
        <x:v>49.285714285714285</x:v>
      </x:c>
    </x:row>
    <x:row r="4589" ht="21" customHeight="1">
      <x:c r="A4589" s="10" t="n">
        <x:v>6098</x:v>
      </x:c>
      <x:c r="B4589" s="2" t="str">
        <x:v>dc998e31b45b11f5d2d1</x:v>
      </x:c>
      <x:c r="C4589" s="2" t="str">
        <x:v>Hà Nội</x:v>
      </x:c>
      <x:c r="D4589" s="2" t="str">
        <x:v>Quận Hà Đông</x:v>
      </x:c>
      <x:c r="E4589" s="2" t="str">
        <x:v>house</x:v>
      </x:c>
      <x:c r="F4589" s="2" t="str">
        <x:v>sale_assumed</x:v>
      </x:c>
      <x:c r="G4589" s="11" t="n">
        <x:v>30</x:v>
      </x:c>
      <x:c r="H4589" s="12" t="n">
        <x:v>1500000000</x:v>
      </x:c>
      <x:c r="I4589" s="12" t="n">
        <x:v>50000000</x:v>
      </x:c>
      <x:c r="J4589" s="2" t="str">
        <x:v>total</x:v>
      </x:c>
      <x:c r="K4589" s="2" t="str">
        <x:v>top_level_area</x:v>
      </x:c>
      <x:c r="L4589" s="2" t="str">
        <x:v>property_type_inferred_from_title;transaction_assumed_sale_from_dataset_context</x:v>
      </x:c>
      <x:c r="M4589" s="10" t="n">
        <x:v>0</x:v>
      </x:c>
      <x:c r="N4589" s="10" t="n">
        <x:v>0</x:v>
      </x:c>
      <x:c r="O4589" s="2" t="str">
        <x:v>Hà Nội|house</x:v>
      </x:c>
      <x:c r="P4589" s="10" t="n">
        <x:v>2</x:v>
      </x:c>
      <x:c r="Q4589" s="13" t="n">
        <x:f>IF(H4589="","",H4589/1000000000)</x:f>
        <x:v>1.5</x:v>
      </x:c>
      <x:c r="R4589" s="13" t="n">
        <x:f>IF(I4589="","",I4589/1000000)</x:f>
        <x:v>50</x:v>
      </x:c>
    </x:row>
    <x:row r="4590" ht="21" customHeight="1">
      <x:c r="A4590" s="10" t="n">
        <x:v>6099</x:v>
      </x:c>
      <x:c r="B4590" s="2" t="str">
        <x:v>b4c5c52d0f9bc3271dc4</x:v>
      </x:c>
      <x:c r="C4590" s="2" t="str">
        <x:v>Tp Hồ Chí Minh</x:v>
      </x:c>
      <x:c r="D4590" s="2" t="str">
        <x:v>Quận Bình Tân</x:v>
      </x:c>
      <x:c r="E4590" s="2" t="str">
        <x:v>house</x:v>
      </x:c>
      <x:c r="F4590" s="2" t="str">
        <x:v>sale</x:v>
      </x:c>
      <x:c r="G4590" s="11" t="n">
        <x:v>50</x:v>
      </x:c>
      <x:c r="H4590" s="12" t="n">
        <x:v>850000000</x:v>
      </x:c>
      <x:c r="I4590" s="12" t="n">
        <x:v>17000000</x:v>
      </x:c>
      <x:c r="J4590" s="2" t="str">
        <x:v>total</x:v>
      </x:c>
      <x:c r="K4590" s="2" t="str">
        <x:v>top_level_area</x:v>
      </x:c>
      <x:c r="L4590" s="2" t="str">
        <x:v>property_type_inferred_from_title</x:v>
      </x:c>
      <x:c r="M4590" s="10" t="n">
        <x:v>0</x:v>
      </x:c>
      <x:c r="N4590" s="10" t="n">
        <x:v>0</x:v>
      </x:c>
      <x:c r="O4590" s="2" t="str">
        <x:v>Tp Hồ Chí Minh|house</x:v>
      </x:c>
      <x:c r="P4590" s="10" t="n">
        <x:v>2</x:v>
      </x:c>
      <x:c r="Q4590" s="13" t="n">
        <x:f>IF(H4590="","",H4590/1000000000)</x:f>
        <x:v>0.85</x:v>
      </x:c>
      <x:c r="R4590" s="13" t="n">
        <x:f>IF(I4590="","",I4590/1000000)</x:f>
        <x:v>17</x:v>
      </x:c>
    </x:row>
    <x:row r="4591" ht="21" customHeight="1">
      <x:c r="A4591" s="10" t="n">
        <x:v>6100</x:v>
      </x:c>
      <x:c r="B4591" s="2" t="str">
        <x:v>390b18ae351d2e871126</x:v>
      </x:c>
      <x:c r="C4591" s="2" t="str">
        <x:v>Long An</x:v>
      </x:c>
      <x:c r="D4591" s="2" t="str">
        <x:v>Huyện Đức Hòa</x:v>
      </x:c>
      <x:c r="E4591" s="2" t="str">
        <x:v>land</x:v>
      </x:c>
      <x:c r="F4591" s="2" t="str">
        <x:v>sale_assumed</x:v>
      </x:c>
      <x:c r="G4591" s="11" t="n">
        <x:v>125</x:v>
      </x:c>
      <x:c r="H4591" s="12" t="n">
        <x:v>850000000</x:v>
      </x:c>
      <x:c r="I4591" s="12" t="n">
        <x:v>6800000</x:v>
      </x:c>
      <x:c r="J4591" s="2" t="str">
        <x:v>total</x:v>
      </x:c>
      <x:c r="K4591" s="2" t="str">
        <x:v>top_level_area</x:v>
      </x:c>
      <x:c r="L4591" s="2" t="str">
        <x:v>property_type_inferred_from_title;transaction_assumed_sale_from_dataset_context</x:v>
      </x:c>
      <x:c r="M4591" s="10" t="n">
        <x:v>0</x:v>
      </x:c>
      <x:c r="N4591" s="10" t="n">
        <x:v>0</x:v>
      </x:c>
      <x:c r="O4591" s="2" t="str">
        <x:v>Long An|land</x:v>
      </x:c>
      <x:c r="P4591" s="10" t="n">
        <x:v>2</x:v>
      </x:c>
      <x:c r="Q4591" s="13" t="n">
        <x:f>IF(H4591="","",H4591/1000000000)</x:f>
        <x:v>0.85</x:v>
      </x:c>
      <x:c r="R4591" s="13" t="n">
        <x:f>IF(I4591="","",I4591/1000000)</x:f>
        <x:v>6.8</x:v>
      </x:c>
    </x:row>
    <x:row r="4592" ht="21" customHeight="1">
      <x:c r="A4592" s="10" t="n">
        <x:v>6103</x:v>
      </x:c>
      <x:c r="B4592" s="2" t="str">
        <x:v>50b0b1a37b5ee4912473</x:v>
      </x:c>
      <x:c r="C4592" s="2" t="str">
        <x:v>Tp Hồ Chí Minh</x:v>
      </x:c>
      <x:c r="D4592" s="2" t="str">
        <x:v>Quận 12</x:v>
      </x:c>
      <x:c r="E4592" s="2" t="str">
        <x:v>house</x:v>
      </x:c>
      <x:c r="F4592" s="2" t="str">
        <x:v>sale</x:v>
      </x:c>
      <x:c r="G4592" s="11" t="n">
        <x:v>36</x:v>
      </x:c>
      <x:c r="H4592" s="12" t="n">
        <x:v>830000000</x:v>
      </x:c>
      <x:c r="I4592" s="12" t="n">
        <x:v>23055555.555555556</x:v>
      </x:c>
      <x:c r="J4592" s="2" t="str">
        <x:v>total</x:v>
      </x:c>
      <x:c r="K4592" s="2" t="str">
        <x:v>top_level_area</x:v>
      </x:c>
      <x:c r="L4592" s="2" t="str">
        <x:v>property_type_inferred_from_title</x:v>
      </x:c>
      <x:c r="M4592" s="10" t="n">
        <x:v>0</x:v>
      </x:c>
      <x:c r="N4592" s="10" t="n">
        <x:v>0</x:v>
      </x:c>
      <x:c r="O4592" s="2" t="str">
        <x:v>Tp Hồ Chí Minh|house</x:v>
      </x:c>
      <x:c r="P4592" s="10" t="n">
        <x:v>2</x:v>
      </x:c>
      <x:c r="Q4592" s="13" t="n">
        <x:f>IF(H4592="","",H4592/1000000000)</x:f>
        <x:v>0.83</x:v>
      </x:c>
      <x:c r="R4592" s="13" t="n">
        <x:f>IF(I4592="","",I4592/1000000)</x:f>
        <x:v>23.055555555555557</x:v>
      </x:c>
    </x:row>
    <x:row r="4593" ht="21" customHeight="1">
      <x:c r="A4593" s="10" t="n">
        <x:v>6104</x:v>
      </x:c>
      <x:c r="B4593" s="2" t="str">
        <x:v>53ed94a287454f8436c3</x:v>
      </x:c>
      <x:c r="C4593" s="2" t="str">
        <x:v>Tp Hồ Chí Minh</x:v>
      </x:c>
      <x:c r="D4593" s="2" t="str">
        <x:v>Quận 10</x:v>
      </x:c>
      <x:c r="E4593" s="2" t="str">
        <x:v>other_unknown</x:v>
      </x:c>
      <x:c r="F4593" s="2" t="str">
        <x:v>sale_assumed</x:v>
      </x:c>
      <x:c r="G4593" s="11" t="n">
        <x:v>38</x:v>
      </x:c>
      <x:c r="H4593" s="12" t="n">
        <x:v>4900000000</x:v>
      </x:c>
      <x:c r="I4593" s="12" t="n">
        <x:v>128947368.42105263</x:v>
      </x:c>
      <x:c r="J4593" s="2" t="str">
        <x:v>total</x:v>
      </x:c>
      <x:c r="K4593" s="2" t="str">
        <x:v>top_level_area</x:v>
      </x:c>
      <x:c r="L4593" s="2" t="str">
        <x:v>property_type_inferred_from_title;transaction_assumed_sale_from_dataset_context;unknown_property_type</x:v>
      </x:c>
      <x:c r="M4593" s="10" t="n">
        <x:v>0</x:v>
      </x:c>
      <x:c r="N4593" s="10" t="n">
        <x:v>0</x:v>
      </x:c>
      <x:c r="O4593" s="2" t="str">
        <x:v>Tp Hồ Chí Minh|other_unknown</x:v>
      </x:c>
      <x:c r="P4593" s="10" t="n">
        <x:v>2</x:v>
      </x:c>
      <x:c r="Q4593" s="13" t="n">
        <x:f>IF(H4593="","",H4593/1000000000)</x:f>
        <x:v>4.9</x:v>
      </x:c>
      <x:c r="R4593" s="13" t="n">
        <x:f>IF(I4593="","",I4593/1000000)</x:f>
        <x:v>128.94736842105263</x:v>
      </x:c>
    </x:row>
    <x:row r="4594" ht="21" customHeight="1">
      <x:c r="A4594" s="10" t="n">
        <x:v>6105</x:v>
      </x:c>
      <x:c r="B4594" s="2" t="str">
        <x:v>742769360da4f382e781</x:v>
      </x:c>
      <x:c r="C4594" s="2" t="str">
        <x:v>Bình Dương</x:v>
      </x:c>
      <x:c r="D4594" s="2" t="str">
        <x:v>Thành phố Thủ Dầu Một</x:v>
      </x:c>
      <x:c r="E4594" s="2" t="str">
        <x:v>land</x:v>
      </x:c>
      <x:c r="F4594" s="2" t="str">
        <x:v>sale</x:v>
      </x:c>
      <x:c r="G4594" s="11" t="n">
        <x:v>108</x:v>
      </x:c>
      <x:c r="H4594" s="12" t="n">
        <x:v>1600000000</x:v>
      </x:c>
      <x:c r="I4594" s="12" t="n">
        <x:v>14814814.814814815</x:v>
      </x:c>
      <x:c r="J4594" s="2" t="str">
        <x:v>total</x:v>
      </x:c>
      <x:c r="K4594" s="2" t="str">
        <x:v>top_level_area</x:v>
      </x:c>
      <x:c r="L4594" s="2" t="str">
        <x:v>property_type_inferred_from_title</x:v>
      </x:c>
      <x:c r="M4594" s="10" t="n">
        <x:v>0</x:v>
      </x:c>
      <x:c r="N4594" s="10" t="n">
        <x:v>0</x:v>
      </x:c>
      <x:c r="O4594" s="2" t="str">
        <x:v>Bình Dương|land</x:v>
      </x:c>
      <x:c r="P4594" s="10" t="n">
        <x:v>2</x:v>
      </x:c>
      <x:c r="Q4594" s="13" t="n">
        <x:f>IF(H4594="","",H4594/1000000000)</x:f>
        <x:v>1.6</x:v>
      </x:c>
      <x:c r="R4594" s="13" t="n">
        <x:f>IF(I4594="","",I4594/1000000)</x:f>
        <x:v>14.814814814814815</x:v>
      </x:c>
    </x:row>
    <x:row r="4595" ht="21" customHeight="1">
      <x:c r="A4595" s="10" t="n">
        <x:v>6106</x:v>
      </x:c>
      <x:c r="B4595" s="2" t="str">
        <x:v>dddd94554009c7ccbdfc</x:v>
      </x:c>
      <x:c r="C4595" s="2" t="str">
        <x:v>Tiền Giang</x:v>
      </x:c>
      <x:c r="D4595" s="2" t="str">
        <x:v>Thành phố Mỹ Tho</x:v>
      </x:c>
      <x:c r="E4595" s="2" t="str">
        <x:v>land</x:v>
      </x:c>
      <x:c r="F4595" s="2" t="str">
        <x:v>sale_assumed</x:v>
      </x:c>
      <x:c r="G4595" s="11" t="n">
        <x:v>125</x:v>
      </x:c>
      <x:c r="H4595" s="12" t="n">
        <x:v>850000000</x:v>
      </x:c>
      <x:c r="I4595" s="12" t="n">
        <x:v>6800000</x:v>
      </x:c>
      <x:c r="J4595" s="2" t="str">
        <x:v>total</x:v>
      </x:c>
      <x:c r="K4595" s="2" t="str">
        <x:v>top_level_price_embedded_area</x:v>
      </x:c>
      <x:c r="L4595" s="2" t="str">
        <x:v>area_recovered_from_price_text;property_type_inferred_from_title;transaction_assumed_sale_from_dataset_context</x:v>
      </x:c>
      <x:c r="M4595" s="10" t="n">
        <x:v>0</x:v>
      </x:c>
      <x:c r="N4595" s="10" t="n">
        <x:v>0</x:v>
      </x:c>
      <x:c r="O4595" s="2" t="str">
        <x:v>land</x:v>
      </x:c>
      <x:c r="P4595" s="10" t="n">
        <x:v>2</x:v>
      </x:c>
      <x:c r="Q4595" s="13" t="n">
        <x:f>IF(H4595="","",H4595/1000000000)</x:f>
        <x:v>0.85</x:v>
      </x:c>
      <x:c r="R4595" s="13" t="n">
        <x:f>IF(I4595="","",I4595/1000000)</x:f>
        <x:v>6.8</x:v>
      </x:c>
    </x:row>
    <x:row r="4596" ht="21" customHeight="1">
      <x:c r="A4596" s="10" t="n">
        <x:v>6107</x:v>
      </x:c>
      <x:c r="B4596" s="2" t="str">
        <x:v>deb363a9a37e6d1f62fb</x:v>
      </x:c>
      <x:c r="C4596" s="2" t="str">
        <x:v>Long An</x:v>
      </x:c>
      <x:c r="D4596" s="2" t="str">
        <x:v>Huyện Cần Giuộc</x:v>
      </x:c>
      <x:c r="E4596" s="2" t="str">
        <x:v>land</x:v>
      </x:c>
      <x:c r="F4596" s="2" t="str">
        <x:v>sale_assumed</x:v>
      </x:c>
      <x:c r="G4596" s="11" t="n">
        <x:v>101</x:v>
      </x:c>
      <x:c r="H4596" s="12" t="n">
        <x:v>810000000</x:v>
      </x:c>
      <x:c r="I4596" s="12" t="n">
        <x:v>8019801.98019802</x:v>
      </x:c>
      <x:c r="J4596" s="2" t="str">
        <x:v>total</x:v>
      </x:c>
      <x:c r="K4596" s="2" t="str">
        <x:v>top_level_price_embedded_area</x:v>
      </x:c>
      <x:c r="L4596" s="2" t="str">
        <x:v>area_recovered_from_price_text;property_type_inferred_from_title;transaction_assumed_sale_from_dataset_context</x:v>
      </x:c>
      <x:c r="M4596" s="10" t="n">
        <x:v>0</x:v>
      </x:c>
      <x:c r="N4596" s="10" t="n">
        <x:v>0</x:v>
      </x:c>
      <x:c r="O4596" s="2" t="str">
        <x:v>Long An|land</x:v>
      </x:c>
      <x:c r="P4596" s="10" t="n">
        <x:v>2</x:v>
      </x:c>
      <x:c r="Q4596" s="13" t="n">
        <x:f>IF(H4596="","",H4596/1000000000)</x:f>
        <x:v>0.81</x:v>
      </x:c>
      <x:c r="R4596" s="13" t="n">
        <x:f>IF(I4596="","",I4596/1000000)</x:f>
        <x:v>8.01980198019802</x:v>
      </x:c>
    </x:row>
    <x:row r="4597" ht="21" customHeight="1">
      <x:c r="A4597" s="10" t="n">
        <x:v>6108</x:v>
      </x:c>
      <x:c r="B4597" s="2" t="str">
        <x:v>bfad158b54cd16c1fd78</x:v>
      </x:c>
      <x:c r="C4597" s="2" t="str">
        <x:v>Tp Hồ Chí Minh</x:v>
      </x:c>
      <x:c r="D4597" s="2" t="str">
        <x:v>Quận Tân Bình</x:v>
      </x:c>
      <x:c r="E4597" s="2" t="str">
        <x:v>house</x:v>
      </x:c>
      <x:c r="F4597" s="2" t="str">
        <x:v>sale</x:v>
      </x:c>
      <x:c r="G4597" s="11" t="n">
        <x:v>80</x:v>
      </x:c>
      <x:c r="H4597" s="12" t="n">
        <x:v>11500000000</x:v>
      </x:c>
      <x:c r="I4597" s="12" t="n">
        <x:v>143750000</x:v>
      </x:c>
      <x:c r="J4597" s="2" t="str">
        <x:v>total</x:v>
      </x:c>
      <x:c r="K4597" s="2" t="str">
        <x:v>top_level_area</x:v>
      </x:c>
      <x:c r="L4597" s="2" t="str">
        <x:v>property_type_inferred_from_title</x:v>
      </x:c>
      <x:c r="M4597" s="10" t="n">
        <x:v>0</x:v>
      </x:c>
      <x:c r="N4597" s="10" t="n">
        <x:v>0</x:v>
      </x:c>
      <x:c r="O4597" s="2" t="str">
        <x:v>Tp Hồ Chí Minh|house</x:v>
      </x:c>
      <x:c r="P4597" s="10" t="n">
        <x:v>2</x:v>
      </x:c>
      <x:c r="Q4597" s="13" t="n">
        <x:f>IF(H4597="","",H4597/1000000000)</x:f>
        <x:v>11.5</x:v>
      </x:c>
      <x:c r="R4597" s="13" t="n">
        <x:f>IF(I4597="","",I4597/1000000)</x:f>
        <x:v>143.75</x:v>
      </x:c>
    </x:row>
    <x:row r="4598" ht="21" customHeight="1">
      <x:c r="A4598" s="10" t="n">
        <x:v>6109</x:v>
      </x:c>
      <x:c r="B4598" s="2" t="str">
        <x:v>155e743b96889cdc559c</x:v>
      </x:c>
      <x:c r="C4598" s="2" t="str">
        <x:v>Hà Nội</x:v>
      </x:c>
      <x:c r="D4598" s="2" t="str">
        <x:v>Huyện Đông Anh</x:v>
      </x:c>
      <x:c r="E4598" s="2" t="str">
        <x:v>land</x:v>
      </x:c>
      <x:c r="F4598" s="2" t="str">
        <x:v>sale_assumed</x:v>
      </x:c>
      <x:c r="G4598" s="11" t="n">
        <x:v>58</x:v>
      </x:c>
      <x:c r="H4598" s="12" t="n">
        <x:v>21570000</x:v>
      </x:c>
      <x:c r="I4598" s="12" t="n">
        <x:v>371896.5517241379</x:v>
      </x:c>
      <x:c r="J4598" s="2" t="str">
        <x:v>total</x:v>
      </x:c>
      <x:c r="K4598" s="2" t="str">
        <x:v>top_level_area</x:v>
      </x:c>
      <x:c r="L4598" s="2" t="str">
        <x:v>property_type_inferred_from_title;transaction_assumed_sale_from_dataset_context</x:v>
      </x:c>
      <x:c r="M4598" s="10" t="n">
        <x:v>0</x:v>
      </x:c>
      <x:c r="N4598" s="10" t="n">
        <x:v>0</x:v>
      </x:c>
      <x:c r="O4598" s="2" t="str">
        <x:v>Hà Nội|land</x:v>
      </x:c>
      <x:c r="P4598" s="10" t="n">
        <x:v>1</x:v>
      </x:c>
      <x:c r="Q4598" s="13" t="n">
        <x:f>IF(H4598="","",H4598/1000000000)</x:f>
        <x:v>0.02157</x:v>
      </x:c>
      <x:c r="R4598" s="13" t="n">
        <x:f>IF(I4598="","",I4598/1000000)</x:f>
        <x:v>0.37189655172413794</x:v>
      </x:c>
    </x:row>
    <x:row r="4599" ht="21" customHeight="1">
      <x:c r="A4599" s="10" t="n">
        <x:v>6110</x:v>
      </x:c>
      <x:c r="B4599" s="2" t="str">
        <x:v>eb6188824611d5425a05</x:v>
      </x:c>
      <x:c r="C4599" s="2" t="str">
        <x:v>Tp Hồ Chí Minh</x:v>
      </x:c>
      <x:c r="D4599" s="2" t="str">
        <x:v>Quận 8</x:v>
      </x:c>
      <x:c r="E4599" s="2" t="str">
        <x:v>house</x:v>
      </x:c>
      <x:c r="F4599" s="2" t="str">
        <x:v>sale</x:v>
      </x:c>
      <x:c r="G4599" s="11" t="n">
        <x:v>36</x:v>
      </x:c>
      <x:c r="H4599" s="12" t="n">
        <x:v>2870000000</x:v>
      </x:c>
      <x:c r="I4599" s="12" t="n">
        <x:v>79722222.22222222</x:v>
      </x:c>
      <x:c r="J4599" s="2" t="str">
        <x:v>total</x:v>
      </x:c>
      <x:c r="K4599" s="2" t="str">
        <x:v>top_level_area</x:v>
      </x:c>
      <x:c r="L4599" s="2" t="str">
        <x:v>property_type_inferred_from_title</x:v>
      </x:c>
      <x:c r="M4599" s="10" t="n">
        <x:v>0</x:v>
      </x:c>
      <x:c r="N4599" s="10" t="n">
        <x:v>0</x:v>
      </x:c>
      <x:c r="O4599" s="2" t="str">
        <x:v>Tp Hồ Chí Minh|house</x:v>
      </x:c>
      <x:c r="P4599" s="10" t="n">
        <x:v>2</x:v>
      </x:c>
      <x:c r="Q4599" s="13" t="n">
        <x:f>IF(H4599="","",H4599/1000000000)</x:f>
        <x:v>2.87</x:v>
      </x:c>
      <x:c r="R4599" s="13" t="n">
        <x:f>IF(I4599="","",I4599/1000000)</x:f>
        <x:v>79.72222222222223</x:v>
      </x:c>
    </x:row>
    <x:row r="4600" ht="21" customHeight="1">
      <x:c r="A4600" s="10" t="n">
        <x:v>6111</x:v>
      </x:c>
      <x:c r="B4600" s="2" t="str">
        <x:v>6ed9b54c47d641f0892e</x:v>
      </x:c>
      <x:c r="C4600" s="2" t="str">
        <x:v>Bình Dương</x:v>
      </x:c>
      <x:c r="D4600" s="2" t="str">
        <x:v>Thị xã Tân Uyên</x:v>
      </x:c>
      <x:c r="E4600" s="2" t="str">
        <x:v>land</x:v>
      </x:c>
      <x:c r="F4600" s="2" t="str">
        <x:v>sale</x:v>
      </x:c>
      <x:c r="G4600" s="11" t="n">
        <x:v>1000</x:v>
      </x:c>
      <x:c r="H4600" s="12" t="n">
        <x:v>200000000</x:v>
      </x:c>
      <x:c r="I4600" s="12" t="n">
        <x:v>200000</x:v>
      </x:c>
      <x:c r="J4600" s="2" t="str">
        <x:v>total</x:v>
      </x:c>
      <x:c r="K4600" s="2" t="str">
        <x:v>top_level_area</x:v>
      </x:c>
      <x:c r="L4600" s="2" t="str">
        <x:v>dot_thousands_convention;property_type_inferred_from_title</x:v>
      </x:c>
      <x:c r="M4600" s="10" t="n">
        <x:v>0</x:v>
      </x:c>
      <x:c r="N4600" s="10" t="n">
        <x:v>0</x:v>
      </x:c>
      <x:c r="O4600" s="2" t="str">
        <x:v>Bình Dương|land</x:v>
      </x:c>
      <x:c r="P4600" s="10" t="n">
        <x:v>1</x:v>
      </x:c>
      <x:c r="Q4600" s="13" t="n">
        <x:f>IF(H4600="","",H4600/1000000000)</x:f>
        <x:v>0.2</x:v>
      </x:c>
      <x:c r="R4600" s="13" t="n">
        <x:f>IF(I4600="","",I4600/1000000)</x:f>
        <x:v>0.2</x:v>
      </x:c>
    </x:row>
    <x:row r="4601" ht="21" customHeight="1">
      <x:c r="A4601" s="10" t="n">
        <x:v>6112</x:v>
      </x:c>
      <x:c r="B4601" s="2" t="str">
        <x:v>49bdd520c72379b93bd0</x:v>
      </x:c>
      <x:c r="C4601" s="2" t="str">
        <x:v>Tp Hồ Chí Minh</x:v>
      </x:c>
      <x:c r="D4601" s="2" t="str">
        <x:v>Quận 3</x:v>
      </x:c>
      <x:c r="E4601" s="2" t="str">
        <x:v>house</x:v>
      </x:c>
      <x:c r="F4601" s="2" t="str">
        <x:v>sale_assumed</x:v>
      </x:c>
      <x:c r="G4601" s="11" t="n">
        <x:v>26</x:v>
      </x:c>
      <x:c r="H4601" s="12" t="n">
        <x:v>6430000000</x:v>
      </x:c>
      <x:c r="I4601" s="12" t="n">
        <x:v>247307692.30769232</x:v>
      </x:c>
      <x:c r="J4601" s="2" t="str">
        <x:v>total</x:v>
      </x:c>
      <x:c r="K4601" s="2" t="str">
        <x:v>top_level_area</x:v>
      </x:c>
      <x:c r="L4601" s="2" t="str">
        <x:v>property_type_inferred_from_title;transaction_assumed_sale_from_dataset_context</x:v>
      </x:c>
      <x:c r="M4601" s="10" t="n">
        <x:v>1</x:v>
      </x:c>
      <x:c r="N4601" s="10" t="n">
        <x:v>1</x:v>
      </x:c>
      <x:c r="O4601" s="2" t="str">
        <x:v>Tp Hồ Chí Minh|house</x:v>
      </x:c>
      <x:c r="P4601" s="10" t="n">
        <x:v>-1</x:v>
      </x:c>
      <x:c r="Q4601" s="13" t="n">
        <x:f>IF(H4601="","",H4601/1000000000)</x:f>
        <x:v>6.43</x:v>
      </x:c>
      <x:c r="R4601" s="13" t="n">
        <x:f>IF(I4601="","",I4601/1000000)</x:f>
        <x:v>247.30769230769232</x:v>
      </x:c>
    </x:row>
    <x:row r="4602" ht="21" customHeight="1">
      <x:c r="A4602" s="10" t="n">
        <x:v>6113</x:v>
      </x:c>
      <x:c r="B4602" s="2" t="str">
        <x:v>c254cb638eeb37bd1e62</x:v>
      </x:c>
      <x:c r="C4602" s="2" t="str">
        <x:v>Tp Hồ Chí Minh</x:v>
      </x:c>
      <x:c r="D4602" s="2" t="str">
        <x:v>Quận Bình Tân</x:v>
      </x:c>
      <x:c r="E4602" s="2" t="str">
        <x:v>house</x:v>
      </x:c>
      <x:c r="F4602" s="2" t="str">
        <x:v>sale</x:v>
      </x:c>
      <x:c r="G4602" s="11" t="n">
        <x:v>32</x:v>
      </x:c>
      <x:c r="H4602" s="12" t="n">
        <x:v>400000000</x:v>
      </x:c>
      <x:c r="I4602" s="12" t="n">
        <x:v>12500000</x:v>
      </x:c>
      <x:c r="J4602" s="2" t="str">
        <x:v>total</x:v>
      </x:c>
      <x:c r="K4602" s="2" t="str">
        <x:v>top_level_area</x:v>
      </x:c>
      <x:c r="L4602" s="2" t="str">
        <x:v>property_type_inferred_from_title</x:v>
      </x:c>
      <x:c r="M4602" s="10" t="n">
        <x:v>0</x:v>
      </x:c>
      <x:c r="N4602" s="10" t="n">
        <x:v>0</x:v>
      </x:c>
      <x:c r="O4602" s="2" t="str">
        <x:v>Tp Hồ Chí Minh|house</x:v>
      </x:c>
      <x:c r="P4602" s="10" t="n">
        <x:v>2</x:v>
      </x:c>
      <x:c r="Q4602" s="13" t="n">
        <x:f>IF(H4602="","",H4602/1000000000)</x:f>
        <x:v>0.4</x:v>
      </x:c>
      <x:c r="R4602" s="13" t="n">
        <x:f>IF(I4602="","",I4602/1000000)</x:f>
        <x:v>12.5</x:v>
      </x:c>
    </x:row>
    <x:row r="4603" ht="21" customHeight="1">
      <x:c r="A4603" s="10" t="n">
        <x:v>6114</x:v>
      </x:c>
      <x:c r="B4603" s="2" t="str">
        <x:v>ac1cdb7826ecb39f0070</x:v>
      </x:c>
      <x:c r="C4603" s="2" t="str">
        <x:v>Tp Hồ Chí Minh</x:v>
      </x:c>
      <x:c r="D4603" s="2" t="str">
        <x:v>Quận 9</x:v>
      </x:c>
      <x:c r="E4603" s="2" t="str">
        <x:v>land</x:v>
      </x:c>
      <x:c r="F4603" s="2" t="str">
        <x:v>sale</x:v>
      </x:c>
      <x:c r="G4603" s="11" t="n">
        <x:v>52</x:v>
      </x:c>
      <x:c r="H4603" s="12" t="n">
        <x:v>637000000</x:v>
      </x:c>
      <x:c r="I4603" s="12" t="n">
        <x:v>12250000</x:v>
      </x:c>
      <x:c r="J4603" s="2" t="str">
        <x:v>total</x:v>
      </x:c>
      <x:c r="K4603" s="2" t="str">
        <x:v>top_level_area</x:v>
      </x:c>
      <x:c r="L4603" s="2" t="str">
        <x:v>property_type_inferred_from_title</x:v>
      </x:c>
      <x:c r="M4603" s="10" t="n">
        <x:v>0</x:v>
      </x:c>
      <x:c r="N4603" s="10" t="n">
        <x:v>0</x:v>
      </x:c>
      <x:c r="O4603" s="2" t="str">
        <x:v>Tp Hồ Chí Minh|land</x:v>
      </x:c>
      <x:c r="P4603" s="10" t="n">
        <x:v>2</x:v>
      </x:c>
      <x:c r="Q4603" s="13" t="n">
        <x:f>IF(H4603="","",H4603/1000000000)</x:f>
        <x:v>0.637</x:v>
      </x:c>
      <x:c r="R4603" s="13" t="n">
        <x:f>IF(I4603="","",I4603/1000000)</x:f>
        <x:v>12.25</x:v>
      </x:c>
    </x:row>
    <x:row r="4604" ht="21" customHeight="1">
      <x:c r="A4604" s="10" t="n">
        <x:v>6115</x:v>
      </x:c>
      <x:c r="B4604" s="2" t="str">
        <x:v>13eccb6bfe0aba5cd06d</x:v>
      </x:c>
      <x:c r="C4604" s="2" t="str">
        <x:v>Hà Nội</x:v>
      </x:c>
      <x:c r="D4604" s="2" t="str">
        <x:v>Quận Ba Đình</x:v>
      </x:c>
      <x:c r="E4604" s="2" t="str">
        <x:v>house</x:v>
      </x:c>
      <x:c r="F4604" s="2" t="str">
        <x:v>sale</x:v>
      </x:c>
      <x:c r="G4604" s="11" t="n">
        <x:v>38</x:v>
      </x:c>
      <x:c r="H4604" s="12" t="n">
        <x:v>3400000000</x:v>
      </x:c>
      <x:c r="I4604" s="12" t="n">
        <x:v>89473684.21052632</x:v>
      </x:c>
      <x:c r="J4604" s="2" t="str">
        <x:v>total</x:v>
      </x:c>
      <x:c r="K4604" s="2" t="str">
        <x:v>top_level_area</x:v>
      </x:c>
      <x:c r="L4604" s="2" t="str">
        <x:v>property_type_inferred_from_title</x:v>
      </x:c>
      <x:c r="M4604" s="10" t="n">
        <x:v>0</x:v>
      </x:c>
      <x:c r="N4604" s="10" t="n">
        <x:v>0</x:v>
      </x:c>
      <x:c r="O4604" s="2" t="str">
        <x:v>Hà Nội|house</x:v>
      </x:c>
      <x:c r="P4604" s="10" t="n">
        <x:v>2</x:v>
      </x:c>
      <x:c r="Q4604" s="13" t="n">
        <x:f>IF(H4604="","",H4604/1000000000)</x:f>
        <x:v>3.4</x:v>
      </x:c>
      <x:c r="R4604" s="13" t="n">
        <x:f>IF(I4604="","",I4604/1000000)</x:f>
        <x:v>89.47368421052632</x:v>
      </x:c>
    </x:row>
    <x:row r="4605" ht="21" customHeight="1">
      <x:c r="A4605" s="10" t="n">
        <x:v>6116</x:v>
      </x:c>
      <x:c r="B4605" s="2" t="str">
        <x:v>e3ad742800d33b8abf1a</x:v>
      </x:c>
      <x:c r="C4605" s="2" t="str">
        <x:v>Hà Nội</x:v>
      </x:c>
      <x:c r="D4605" s="2" t="str">
        <x:v>Quận Long Biên</x:v>
      </x:c>
      <x:c r="E4605" s="2" t="str">
        <x:v>other_unknown</x:v>
      </x:c>
      <x:c r="F4605" s="2" t="str">
        <x:v>sale_assumed</x:v>
      </x:c>
      <x:c r="G4605" s="11" t="n">
        <x:v>42</x:v>
      </x:c>
      <x:c r="H4605" s="12" t="n">
        <x:v>1900000000</x:v>
      </x:c>
      <x:c r="I4605" s="12" t="n">
        <x:v>45238095.23809524</x:v>
      </x:c>
      <x:c r="J4605" s="2" t="str">
        <x:v>total</x:v>
      </x:c>
      <x:c r="K4605" s="2" t="str">
        <x:v>top_level_area</x:v>
      </x:c>
      <x:c r="L4605" s="2" t="str">
        <x:v>property_type_inferred_from_title;transaction_assumed_sale_from_dataset_context;unknown_property_type</x:v>
      </x:c>
      <x:c r="M4605" s="10" t="n">
        <x:v>0</x:v>
      </x:c>
      <x:c r="N4605" s="10" t="n">
        <x:v>0</x:v>
      </x:c>
      <x:c r="O4605" s="2" t="str">
        <x:v>Hà Nội|other_unknown</x:v>
      </x:c>
      <x:c r="P4605" s="10" t="n">
        <x:v>2</x:v>
      </x:c>
      <x:c r="Q4605" s="13" t="n">
        <x:f>IF(H4605="","",H4605/1000000000)</x:f>
        <x:v>1.9</x:v>
      </x:c>
      <x:c r="R4605" s="13" t="n">
        <x:f>IF(I4605="","",I4605/1000000)</x:f>
        <x:v>45.23809523809524</x:v>
      </x:c>
    </x:row>
    <x:row r="4606" ht="21" customHeight="1">
      <x:c r="A4606" s="10" t="n">
        <x:v>6117</x:v>
      </x:c>
      <x:c r="B4606" s="2" t="str">
        <x:v>d4ea9672a575923505c3</x:v>
      </x:c>
      <x:c r="C4606" s="2" t="str">
        <x:v>Thừa Thiên Huế</x:v>
      </x:c>
      <x:c r="D4606" s="2" t="str">
        <x:v>Huyện Phú Vang</x:v>
      </x:c>
      <x:c r="E4606" s="2" t="str">
        <x:v>house</x:v>
      </x:c>
      <x:c r="F4606" s="2" t="str">
        <x:v>sale_assumed</x:v>
      </x:c>
      <x:c r="G4606" s="11" t="n">
        <x:v>105</x:v>
      </x:c>
      <x:c r="H4606" s="12" t="n">
        <x:v>2990000000</x:v>
      </x:c>
      <x:c r="I4606" s="12" t="n">
        <x:v>28476190.476190478</x:v>
      </x:c>
      <x:c r="J4606" s="2" t="str">
        <x:v>total</x:v>
      </x:c>
      <x:c r="K4606" s="2" t="str">
        <x:v>top_level_area</x:v>
      </x:c>
      <x:c r="L4606" s="2" t="str">
        <x:v>property_type_inferred_from_title;transaction_assumed_sale_from_dataset_context</x:v>
      </x:c>
      <x:c r="M4606" s="10" t="n">
        <x:v>0</x:v>
      </x:c>
      <x:c r="N4606" s="10" t="n">
        <x:v>0</x:v>
      </x:c>
      <x:c r="O4606" s="2" t="str">
        <x:v>house</x:v>
      </x:c>
      <x:c r="P4606" s="10" t="n">
        <x:v>2</x:v>
      </x:c>
      <x:c r="Q4606" s="13" t="n">
        <x:f>IF(H4606="","",H4606/1000000000)</x:f>
        <x:v>2.99</x:v>
      </x:c>
      <x:c r="R4606" s="13" t="n">
        <x:f>IF(I4606="","",I4606/1000000)</x:f>
        <x:v>28.476190476190478</x:v>
      </x:c>
    </x:row>
    <x:row r="4607" ht="21" customHeight="1">
      <x:c r="A4607" s="10" t="n">
        <x:v>6118</x:v>
      </x:c>
      <x:c r="B4607" s="2" t="str">
        <x:v>51910d7682cd804d9aa4</x:v>
      </x:c>
      <x:c r="C4607" s="2" t="str">
        <x:v>Tp Hồ Chí Minh</x:v>
      </x:c>
      <x:c r="D4607" s="2" t="str">
        <x:v>Quận 11</x:v>
      </x:c>
      <x:c r="E4607" s="2" t="str">
        <x:v>house</x:v>
      </x:c>
      <x:c r="F4607" s="2" t="str">
        <x:v>sale</x:v>
      </x:c>
      <x:c r="G4607" s="11" t="n">
        <x:v>48</x:v>
      </x:c>
      <x:c r="H4607" s="12" t="n">
        <x:v>1120000000</x:v>
      </x:c>
      <x:c r="I4607" s="12" t="n">
        <x:v>23333333.333333332</x:v>
      </x:c>
      <x:c r="J4607" s="2" t="str">
        <x:v>total</x:v>
      </x:c>
      <x:c r="K4607" s="2" t="str">
        <x:v>top_level_price_embedded_area</x:v>
      </x:c>
      <x:c r="L4607" s="2" t="str">
        <x:v>area_recovered_from_price_text;property_type_inferred_from_title</x:v>
      </x:c>
      <x:c r="M4607" s="10" t="n">
        <x:v>0</x:v>
      </x:c>
      <x:c r="N4607" s="10" t="n">
        <x:v>0</x:v>
      </x:c>
      <x:c r="O4607" s="2" t="str">
        <x:v>Tp Hồ Chí Minh|house</x:v>
      </x:c>
      <x:c r="P4607" s="10" t="n">
        <x:v>2</x:v>
      </x:c>
      <x:c r="Q4607" s="13" t="n">
        <x:f>IF(H4607="","",H4607/1000000000)</x:f>
        <x:v>1.12</x:v>
      </x:c>
      <x:c r="R4607" s="13" t="n">
        <x:f>IF(I4607="","",I4607/1000000)</x:f>
        <x:v>23.333333333333332</x:v>
      </x:c>
    </x:row>
    <x:row r="4608" ht="21" customHeight="1">
      <x:c r="A4608" s="10" t="n">
        <x:v>6119</x:v>
      </x:c>
      <x:c r="B4608" s="2" t="str">
        <x:v>a0dd47bfd32acbe26dac</x:v>
      </x:c>
      <x:c r="C4608" s="2" t="str">
        <x:v>Hải Phòng</x:v>
      </x:c>
      <x:c r="D4608" s="2" t="str">
        <x:v>Quận Ngô Quyền</x:v>
      </x:c>
      <x:c r="E4608" s="2" t="str">
        <x:v>land</x:v>
      </x:c>
      <x:c r="F4608" s="2" t="str">
        <x:v>sale_assumed</x:v>
      </x:c>
      <x:c r="G4608" s="11" t="n">
        <x:v>119</x:v>
      </x:c>
      <x:c r="H4608" s="12" t="n">
        <x:v>5500000000</x:v>
      </x:c>
      <x:c r="I4608" s="12" t="n">
        <x:v>46218487.39495798</x:v>
      </x:c>
      <x:c r="J4608" s="2" t="str">
        <x:v>total</x:v>
      </x:c>
      <x:c r="K4608" s="2" t="str">
        <x:v>top_level_area</x:v>
      </x:c>
      <x:c r="L4608" s="2" t="str">
        <x:v>property_type_inferred_from_title;transaction_assumed_sale_from_dataset_context</x:v>
      </x:c>
      <x:c r="M4608" s="10" t="n">
        <x:v>0</x:v>
      </x:c>
      <x:c r="N4608" s="10" t="n">
        <x:v>0</x:v>
      </x:c>
      <x:c r="O4608" s="2" t="str">
        <x:v>land</x:v>
      </x:c>
      <x:c r="P4608" s="10" t="n">
        <x:v>2</x:v>
      </x:c>
      <x:c r="Q4608" s="13" t="n">
        <x:f>IF(H4608="","",H4608/1000000000)</x:f>
        <x:v>5.5</x:v>
      </x:c>
      <x:c r="R4608" s="13" t="n">
        <x:f>IF(I4608="","",I4608/1000000)</x:f>
        <x:v>46.21848739495798</x:v>
      </x:c>
    </x:row>
    <x:row r="4609" ht="21" customHeight="1">
      <x:c r="A4609" s="10" t="n">
        <x:v>6120</x:v>
      </x:c>
      <x:c r="B4609" s="2" t="str">
        <x:v>1c9c920f4b62d86ad826</x:v>
      </x:c>
      <x:c r="C4609" s="2" t="str">
        <x:v>Tp Hồ Chí Minh</x:v>
      </x:c>
      <x:c r="D4609" s="2" t="str">
        <x:v>Quận 9</x:v>
      </x:c>
      <x:c r="E4609" s="2" t="str">
        <x:v>land</x:v>
      </x:c>
      <x:c r="F4609" s="2" t="str">
        <x:v>sale_assumed</x:v>
      </x:c>
      <x:c r="G4609" s="11" t="n">
        <x:v>55</x:v>
      </x:c>
      <x:c r="H4609" s="12" t="n">
        <x:v>1200000000</x:v>
      </x:c>
      <x:c r="I4609" s="12" t="n">
        <x:v>21818181.818181816</x:v>
      </x:c>
      <x:c r="J4609" s="2" t="str">
        <x:v>total</x:v>
      </x:c>
      <x:c r="K4609" s="2" t="str">
        <x:v>top_level_area</x:v>
      </x:c>
      <x:c r="L4609" s="2" t="str">
        <x:v>property_type_inferred_from_title;transaction_assumed_sale_from_dataset_context</x:v>
      </x:c>
      <x:c r="M4609" s="10" t="n">
        <x:v>0</x:v>
      </x:c>
      <x:c r="N4609" s="10" t="n">
        <x:v>0</x:v>
      </x:c>
      <x:c r="O4609" s="2" t="str">
        <x:v>Tp Hồ Chí Minh|land</x:v>
      </x:c>
      <x:c r="P4609" s="10" t="n">
        <x:v>2</x:v>
      </x:c>
      <x:c r="Q4609" s="13" t="n">
        <x:f>IF(H4609="","",H4609/1000000000)</x:f>
        <x:v>1.2</x:v>
      </x:c>
      <x:c r="R4609" s="13" t="n">
        <x:f>IF(I4609="","",I4609/1000000)</x:f>
        <x:v>21.818181818181817</x:v>
      </x:c>
    </x:row>
    <x:row r="4610" ht="21" customHeight="1">
      <x:c r="A4610" s="10" t="n">
        <x:v>6121</x:v>
      </x:c>
      <x:c r="B4610" s="2" t="str">
        <x:v>1fb79c7005827dceae39</x:v>
      </x:c>
      <x:c r="C4610" s="2" t="str">
        <x:v>Bình Dương</x:v>
      </x:c>
      <x:c r="D4610" s="2" t="str">
        <x:v>Huyện Phú Giáo</x:v>
      </x:c>
      <x:c r="E4610" s="2" t="str">
        <x:v>other_unknown</x:v>
      </x:c>
      <x:c r="F4610" s="2" t="str">
        <x:v>sale</x:v>
      </x:c>
      <x:c r="G4610" s="11" t="n">
        <x:v>500</x:v>
      </x:c>
      <x:c r="H4610" s="12" t="n">
        <x:v>550000000</x:v>
      </x:c>
      <x:c r="I4610" s="12" t="n">
        <x:v>1100000</x:v>
      </x:c>
      <x:c r="J4610" s="2" t="str">
        <x:v>total</x:v>
      </x:c>
      <x:c r="K4610" s="2" t="str">
        <x:v>top_level_area</x:v>
      </x:c>
      <x:c r="L4610" s="2" t="str">
        <x:v>property_type_inferred_from_title;unknown_property_type</x:v>
      </x:c>
      <x:c r="M4610" s="10" t="n">
        <x:v>0</x:v>
      </x:c>
      <x:c r="N4610" s="10" t="n">
        <x:v>0</x:v>
      </x:c>
      <x:c r="O4610" s="2" t="str">
        <x:v>Bình Dương|other_unknown</x:v>
      </x:c>
      <x:c r="P4610" s="10" t="n">
        <x:v>1</x:v>
      </x:c>
      <x:c r="Q4610" s="13" t="n">
        <x:f>IF(H4610="","",H4610/1000000000)</x:f>
        <x:v>0.55</x:v>
      </x:c>
      <x:c r="R4610" s="13" t="n">
        <x:f>IF(I4610="","",I4610/1000000)</x:f>
        <x:v>1.1</x:v>
      </x:c>
    </x:row>
    <x:row r="4611" ht="21" customHeight="1">
      <x:c r="A4611" s="10" t="n">
        <x:v>6122</x:v>
      </x:c>
      <x:c r="B4611" s="2" t="str">
        <x:v>b007a400dc2baa796bf9</x:v>
      </x:c>
      <x:c r="C4611" s="2" t="str">
        <x:v>Tp Hồ Chí Minh</x:v>
      </x:c>
      <x:c r="D4611" s="2" t="str">
        <x:v>Quận 4</x:v>
      </x:c>
      <x:c r="E4611" s="2" t="str">
        <x:v>house</x:v>
      </x:c>
      <x:c r="F4611" s="2" t="str">
        <x:v>sale</x:v>
      </x:c>
      <x:c r="G4611" s="11" t="n">
        <x:v>47</x:v>
      </x:c>
      <x:c r="H4611" s="12" t="n">
        <x:v>1165000000</x:v>
      </x:c>
      <x:c r="I4611" s="12" t="n">
        <x:v>24787234.04255319</x:v>
      </x:c>
      <x:c r="J4611" s="2" t="str">
        <x:v>total</x:v>
      </x:c>
      <x:c r="K4611" s="2" t="str">
        <x:v>top_level_area</x:v>
      </x:c>
      <x:c r="L4611" s="2" t="str">
        <x:v>property_type_inferred_from_title</x:v>
      </x:c>
      <x:c r="M4611" s="10" t="n">
        <x:v>0</x:v>
      </x:c>
      <x:c r="N4611" s="10" t="n">
        <x:v>0</x:v>
      </x:c>
      <x:c r="O4611" s="2" t="str">
        <x:v>Tp Hồ Chí Minh|house</x:v>
      </x:c>
      <x:c r="P4611" s="10" t="n">
        <x:v>2</x:v>
      </x:c>
      <x:c r="Q4611" s="13" t="n">
        <x:f>IF(H4611="","",H4611/1000000000)</x:f>
        <x:v>1.165</x:v>
      </x:c>
      <x:c r="R4611" s="13" t="n">
        <x:f>IF(I4611="","",I4611/1000000)</x:f>
        <x:v>24.78723404255319</x:v>
      </x:c>
    </x:row>
    <x:row r="4612" ht="21" customHeight="1">
      <x:c r="A4612" s="10" t="n">
        <x:v>6142</x:v>
      </x:c>
      <x:c r="B4612" s="2" t="str">
        <x:v>fc235b95e8e1c16db782</x:v>
      </x:c>
      <x:c r="C4612" s="2" t="str">
        <x:v>Quảng Ngãi</x:v>
      </x:c>
      <x:c r="D4612" s="2" t="str">
        <x:v>Thành phố Quảng Ngãi</x:v>
      </x:c>
      <x:c r="E4612" s="2" t="str">
        <x:v>land</x:v>
      </x:c>
      <x:c r="F4612" s="2" t="str">
        <x:v>sale_assumed</x:v>
      </x:c>
      <x:c r="G4612" s="11" t="n">
        <x:v>100</x:v>
      </x:c>
      <x:c r="H4612" s="12" t="n">
        <x:v>370000000</x:v>
      </x:c>
      <x:c r="I4612" s="12" t="n">
        <x:v>3700000</x:v>
      </x:c>
      <x:c r="J4612" s="2" t="str">
        <x:v>total</x:v>
      </x:c>
      <x:c r="K4612" s="2" t="str">
        <x:v>top_level_area</x:v>
      </x:c>
      <x:c r="L4612" s="2" t="str">
        <x:v>property_type_inferred_from_title;transaction_assumed_sale_from_dataset_context</x:v>
      </x:c>
      <x:c r="M4612" s="10" t="n">
        <x:v>0</x:v>
      </x:c>
      <x:c r="N4612" s="10" t="n">
        <x:v>0</x:v>
      </x:c>
      <x:c r="O4612" s="2" t="str">
        <x:v>land</x:v>
      </x:c>
      <x:c r="P4612" s="10" t="n">
        <x:v>2</x:v>
      </x:c>
      <x:c r="Q4612" s="13" t="n">
        <x:f>IF(H4612="","",H4612/1000000000)</x:f>
        <x:v>0.37</x:v>
      </x:c>
      <x:c r="R4612" s="13" t="n">
        <x:f>IF(I4612="","",I4612/1000000)</x:f>
        <x:v>3.7</x:v>
      </x:c>
    </x:row>
    <x:row r="4613" ht="21" customHeight="1">
      <x:c r="A4613" s="10" t="n">
        <x:v>6143</x:v>
      </x:c>
      <x:c r="B4613" s="2" t="str">
        <x:v>23cd7b7c7ba7c906fa12</x:v>
      </x:c>
      <x:c r="C4613" s="2" t="str">
        <x:v>Tp Hồ Chí Minh</x:v>
      </x:c>
      <x:c r="D4613" s="2" t="str">
        <x:v>Quận 3</x:v>
      </x:c>
      <x:c r="E4613" s="2" t="str">
        <x:v>house</x:v>
      </x:c>
      <x:c r="F4613" s="2" t="str">
        <x:v>sale_assumed</x:v>
      </x:c>
      <x:c r="G4613" s="11" t="n">
        <x:v>30</x:v>
      </x:c>
      <x:c r="H4613" s="12" t="n">
        <x:v>5900000000</x:v>
      </x:c>
      <x:c r="I4613" s="12" t="n">
        <x:v>196666666.66666666</x:v>
      </x:c>
      <x:c r="J4613" s="2" t="str">
        <x:v>total</x:v>
      </x:c>
      <x:c r="K4613" s="2" t="str">
        <x:v>top_level_area</x:v>
      </x:c>
      <x:c r="L4613" s="2" t="str">
        <x:v>property_type_inferred_from_title;transaction_assumed_sale_from_dataset_context</x:v>
      </x:c>
      <x:c r="M4613" s="10" t="n">
        <x:v>1</x:v>
      </x:c>
      <x:c r="N4613" s="10" t="n">
        <x:v>0</x:v>
      </x:c>
      <x:c r="O4613" s="2" t="str">
        <x:v>Tp Hồ Chí Minh|house</x:v>
      </x:c>
      <x:c r="P4613" s="10" t="n">
        <x:v>2</x:v>
      </x:c>
      <x:c r="Q4613" s="13" t="n">
        <x:f>IF(H4613="","",H4613/1000000000)</x:f>
        <x:v>5.9</x:v>
      </x:c>
      <x:c r="R4613" s="13" t="n">
        <x:f>IF(I4613="","",I4613/1000000)</x:f>
        <x:v>196.66666666666666</x:v>
      </x:c>
    </x:row>
    <x:row r="4614" ht="21" customHeight="1">
      <x:c r="A4614" s="10" t="n">
        <x:v>6144</x:v>
      </x:c>
      <x:c r="B4614" s="2" t="str">
        <x:v>a061c1fbb176da709f94</x:v>
      </x:c>
      <x:c r="C4614" s="2" t="str">
        <x:v>Tp Hồ Chí Minh</x:v>
      </x:c>
      <x:c r="D4614" s="2" t="str">
        <x:v>Quận Bình Tân</x:v>
      </x:c>
      <x:c r="E4614" s="2" t="str">
        <x:v>house</x:v>
      </x:c>
      <x:c r="F4614" s="2" t="str">
        <x:v>sale_assumed</x:v>
      </x:c>
      <x:c r="G4614" s="11" t="n">
        <x:v>32</x:v>
      </x:c>
      <x:c r="H4614" s="12" t="n">
        <x:v>400000000</x:v>
      </x:c>
      <x:c r="I4614" s="12" t="n">
        <x:v>12500000</x:v>
      </x:c>
      <x:c r="J4614" s="2" t="str">
        <x:v>total</x:v>
      </x:c>
      <x:c r="K4614" s="2" t="str">
        <x:v>top_level_area</x:v>
      </x:c>
      <x:c r="L4614" s="2" t="str">
        <x:v>property_type_inferred_from_title;transaction_assumed_sale_from_dataset_context</x:v>
      </x:c>
      <x:c r="M4614" s="10" t="n">
        <x:v>0</x:v>
      </x:c>
      <x:c r="N4614" s="10" t="n">
        <x:v>0</x:v>
      </x:c>
      <x:c r="O4614" s="2" t="str">
        <x:v>Tp Hồ Chí Minh|house</x:v>
      </x:c>
      <x:c r="P4614" s="10" t="n">
        <x:v>2</x:v>
      </x:c>
      <x:c r="Q4614" s="13" t="n">
        <x:f>IF(H4614="","",H4614/1000000000)</x:f>
        <x:v>0.4</x:v>
      </x:c>
      <x:c r="R4614" s="13" t="n">
        <x:f>IF(I4614="","",I4614/1000000)</x:f>
        <x:v>12.5</x:v>
      </x:c>
    </x:row>
    <x:row r="4615" ht="21" customHeight="1">
      <x:c r="A4615" s="10" t="n">
        <x:v>6145</x:v>
      </x:c>
      <x:c r="B4615" s="2" t="str">
        <x:v>bce98e181b44704750fe</x:v>
      </x:c>
      <x:c r="C4615" s="2" t="str">
        <x:v>Hậu Giang</x:v>
      </x:c>
      <x:c r="D4615" s="2" t="str">
        <x:v>Huyện Châu Thành</x:v>
      </x:c>
      <x:c r="E4615" s="2" t="str">
        <x:v>land</x:v>
      </x:c>
      <x:c r="F4615" s="2" t="str">
        <x:v>sale_assumed</x:v>
      </x:c>
      <x:c r="G4615" s="11" t="n">
        <x:v>81</x:v>
      </x:c>
      <x:c r="H4615" s="12" t="n">
        <x:v>650000000</x:v>
      </x:c>
      <x:c r="I4615" s="12" t="n">
        <x:v>8024691.358024691</x:v>
      </x:c>
      <x:c r="J4615" s="2" t="str">
        <x:v>total</x:v>
      </x:c>
      <x:c r="K4615" s="2" t="str">
        <x:v>top_level_price_embedded_area</x:v>
      </x:c>
      <x:c r="L4615" s="2" t="str">
        <x:v>area_recovered_from_price_text;property_type_inferred_from_title;transaction_assumed_sale_from_dataset_context</x:v>
      </x:c>
      <x:c r="M4615" s="10" t="n">
        <x:v>0</x:v>
      </x:c>
      <x:c r="N4615" s="10" t="n">
        <x:v>0</x:v>
      </x:c>
      <x:c r="O4615" s="2" t="str">
        <x:v>land</x:v>
      </x:c>
      <x:c r="P4615" s="10" t="n">
        <x:v>2</x:v>
      </x:c>
      <x:c r="Q4615" s="13" t="n">
        <x:f>IF(H4615="","",H4615/1000000000)</x:f>
        <x:v>0.65</x:v>
      </x:c>
      <x:c r="R4615" s="13" t="n">
        <x:f>IF(I4615="","",I4615/1000000)</x:f>
        <x:v>8.024691358024691</x:v>
      </x:c>
    </x:row>
    <x:row r="4616" ht="21" customHeight="1">
      <x:c r="A4616" s="10" t="n">
        <x:v>6149</x:v>
      </x:c>
      <x:c r="B4616" s="2" t="str">
        <x:v>6cd4430deb56af5ed204</x:v>
      </x:c>
      <x:c r="C4616" s="2" t="str">
        <x:v>Tp Hồ Chí Minh</x:v>
      </x:c>
      <x:c r="D4616" s="2" t="str">
        <x:v>Quận Thủ Đức</x:v>
      </x:c>
      <x:c r="E4616" s="2" t="str">
        <x:v>land</x:v>
      </x:c>
      <x:c r="F4616" s="2" t="str">
        <x:v>sale_assumed</x:v>
      </x:c>
      <x:c r="G4616" s="11" t="n">
        <x:v>74.8</x:v>
      </x:c>
      <x:c r="H4616" s="12" t="n">
        <x:v>1370000000</x:v>
      </x:c>
      <x:c r="I4616" s="12" t="n">
        <x:v>18315508.021390375</x:v>
      </x:c>
      <x:c r="J4616" s="2" t="str">
        <x:v>total</x:v>
      </x:c>
      <x:c r="K4616" s="2" t="str">
        <x:v>top_level_area</x:v>
      </x:c>
      <x:c r="L4616" s="2" t="str">
        <x:v>property_type_inferred_from_title;transaction_assumed_sale_from_dataset_context</x:v>
      </x:c>
      <x:c r="M4616" s="10" t="n">
        <x:v>0</x:v>
      </x:c>
      <x:c r="N4616" s="10" t="n">
        <x:v>0</x:v>
      </x:c>
      <x:c r="O4616" s="2" t="str">
        <x:v>Tp Hồ Chí Minh|land</x:v>
      </x:c>
      <x:c r="P4616" s="10" t="n">
        <x:v>2</x:v>
      </x:c>
      <x:c r="Q4616" s="13" t="n">
        <x:f>IF(H4616="","",H4616/1000000000)</x:f>
        <x:v>1.37</x:v>
      </x:c>
      <x:c r="R4616" s="13" t="n">
        <x:f>IF(I4616="","",I4616/1000000)</x:f>
        <x:v>18.315508021390375</x:v>
      </x:c>
    </x:row>
    <x:row r="4617" ht="21" customHeight="1">
      <x:c r="A4617" s="10" t="n">
        <x:v>6150</x:v>
      </x:c>
      <x:c r="B4617" s="2" t="str">
        <x:v>8ad22395cd71e008d8db</x:v>
      </x:c>
      <x:c r="C4617" s="2" t="str">
        <x:v>Tp Hồ Chí Minh</x:v>
      </x:c>
      <x:c r="D4617" s="2" t="str">
        <x:v>Quận 7</x:v>
      </x:c>
      <x:c r="E4617" s="2" t="str">
        <x:v>other_unknown</x:v>
      </x:c>
      <x:c r="F4617" s="2" t="str">
        <x:v>sale</x:v>
      </x:c>
      <x:c r="G4617" s="11" t="n">
        <x:v>79</x:v>
      </x:c>
      <x:c r="H4617" s="12" t="n">
        <x:v>1750000000</x:v>
      </x:c>
      <x:c r="I4617" s="12" t="n">
        <x:v>22151898.734177217</x:v>
      </x:c>
      <x:c r="J4617" s="2" t="str">
        <x:v>total</x:v>
      </x:c>
      <x:c r="K4617" s="2" t="str">
        <x:v>top_level_area</x:v>
      </x:c>
      <x:c r="L4617" s="2" t="str">
        <x:v>property_type_inferred_from_title;unknown_property_type</x:v>
      </x:c>
      <x:c r="M4617" s="10" t="n">
        <x:v>0</x:v>
      </x:c>
      <x:c r="N4617" s="10" t="n">
        <x:v>0</x:v>
      </x:c>
      <x:c r="O4617" s="2" t="str">
        <x:v>Tp Hồ Chí Minh|other_unknown</x:v>
      </x:c>
      <x:c r="P4617" s="10" t="n">
        <x:v>2</x:v>
      </x:c>
      <x:c r="Q4617" s="13" t="n">
        <x:f>IF(H4617="","",H4617/1000000000)</x:f>
        <x:v>1.75</x:v>
      </x:c>
      <x:c r="R4617" s="13" t="n">
        <x:f>IF(I4617="","",I4617/1000000)</x:f>
        <x:v>22.151898734177216</x:v>
      </x:c>
    </x:row>
    <x:row r="4618" ht="21" customHeight="1">
      <x:c r="A4618" s="10" t="n">
        <x:v>6151</x:v>
      </x:c>
      <x:c r="B4618" s="2" t="str">
        <x:v>23fb1418002fe079df9e</x:v>
      </x:c>
      <x:c r="C4618" s="2" t="str">
        <x:v>Tp Hồ Chí Minh</x:v>
      </x:c>
      <x:c r="D4618" s="2" t="str">
        <x:v>Quận 7</x:v>
      </x:c>
      <x:c r="E4618" s="2" t="str">
        <x:v>house</x:v>
      </x:c>
      <x:c r="F4618" s="2" t="str">
        <x:v>sale</x:v>
      </x:c>
      <x:c r="G4618" s="11" t="n">
        <x:v>60</x:v>
      </x:c>
      <x:c r="H4618" s="12" t="n">
        <x:v>9300000000</x:v>
      </x:c>
      <x:c r="I4618" s="12" t="n">
        <x:v>155000000</x:v>
      </x:c>
      <x:c r="J4618" s="2" t="str">
        <x:v>total</x:v>
      </x:c>
      <x:c r="K4618" s="2" t="str">
        <x:v>top_level_area</x:v>
      </x:c>
      <x:c r="L4618" s="2" t="str">
        <x:v>property_type_inferred_from_title</x:v>
      </x:c>
      <x:c r="M4618" s="10" t="n">
        <x:v>0</x:v>
      </x:c>
      <x:c r="N4618" s="10" t="n">
        <x:v>0</x:v>
      </x:c>
      <x:c r="O4618" s="2" t="str">
        <x:v>Tp Hồ Chí Minh|house</x:v>
      </x:c>
      <x:c r="P4618" s="10" t="n">
        <x:v>2</x:v>
      </x:c>
      <x:c r="Q4618" s="13" t="n">
        <x:f>IF(H4618="","",H4618/1000000000)</x:f>
        <x:v>9.3</x:v>
      </x:c>
      <x:c r="R4618" s="13" t="n">
        <x:f>IF(I4618="","",I4618/1000000)</x:f>
        <x:v>155</x:v>
      </x:c>
    </x:row>
    <x:row r="4619" ht="21" customHeight="1">
      <x:c r="A4619" s="10" t="n">
        <x:v>6152</x:v>
      </x:c>
      <x:c r="B4619" s="2" t="str">
        <x:v>6e05809f39bf23d7b63b</x:v>
      </x:c>
      <x:c r="C4619" s="2" t="str">
        <x:v>Hà Nội</x:v>
      </x:c>
      <x:c r="D4619" s="2" t="str">
        <x:v>Quận Đống Đa</x:v>
      </x:c>
      <x:c r="E4619" s="2" t="str">
        <x:v>house</x:v>
      </x:c>
      <x:c r="F4619" s="2" t="str">
        <x:v>sale</x:v>
      </x:c>
      <x:c r="G4619" s="11" t="n">
        <x:v>50</x:v>
      </x:c>
      <x:c r="H4619" s="12" t="n">
        <x:v>10000000000</x:v>
      </x:c>
      <x:c r="I4619" s="12" t="n">
        <x:v>200000000</x:v>
      </x:c>
      <x:c r="J4619" s="2" t="str">
        <x:v>total</x:v>
      </x:c>
      <x:c r="K4619" s="2" t="str">
        <x:v>top_level_area</x:v>
      </x:c>
      <x:c r="L4619" s="2" t="str">
        <x:v>property_type_inferred_from_title</x:v>
      </x:c>
      <x:c r="M4619" s="10" t="n">
        <x:v>1</x:v>
      </x:c>
      <x:c r="N4619" s="10" t="n">
        <x:v>1</x:v>
      </x:c>
      <x:c r="O4619" s="2" t="str">
        <x:v>Hà Nội|house</x:v>
      </x:c>
      <x:c r="P4619" s="10" t="n">
        <x:v>-1</x:v>
      </x:c>
      <x:c r="Q4619" s="13" t="n">
        <x:f>IF(H4619="","",H4619/1000000000)</x:f>
        <x:v>10</x:v>
      </x:c>
      <x:c r="R4619" s="13" t="n">
        <x:f>IF(I4619="","",I4619/1000000)</x:f>
        <x:v>200</x:v>
      </x:c>
    </x:row>
    <x:row r="4620" ht="21" customHeight="1">
      <x:c r="A4620" s="10" t="n">
        <x:v>6153</x:v>
      </x:c>
      <x:c r="B4620" s="2" t="str">
        <x:v>2537f424a1941ac50c3c</x:v>
      </x:c>
      <x:c r="C4620" s="2" t="str">
        <x:v>Tp Hồ Chí Minh</x:v>
      </x:c>
      <x:c r="D4620" s="2" t="str">
        <x:v>Quận 3</x:v>
      </x:c>
      <x:c r="E4620" s="2" t="str">
        <x:v>house</x:v>
      </x:c>
      <x:c r="F4620" s="2" t="str">
        <x:v>sale_assumed</x:v>
      </x:c>
      <x:c r="G4620" s="11" t="n">
        <x:v>33</x:v>
      </x:c>
      <x:c r="H4620" s="12" t="n">
        <x:v>5600000000</x:v>
      </x:c>
      <x:c r="I4620" s="12" t="n">
        <x:v>169696969.6969697</x:v>
      </x:c>
      <x:c r="J4620" s="2" t="str">
        <x:v>total</x:v>
      </x:c>
      <x:c r="K4620" s="2" t="str">
        <x:v>top_level_price_embedded_area</x:v>
      </x:c>
      <x:c r="L4620" s="2" t="str">
        <x:v>area_recovered_from_price_text;property_type_inferred_from_title;transaction_assumed_sale_from_dataset_context</x:v>
      </x:c>
      <x:c r="M4620" s="10" t="n">
        <x:v>1</x:v>
      </x:c>
      <x:c r="N4620" s="10" t="n">
        <x:v>0</x:v>
      </x:c>
      <x:c r="O4620" s="2" t="str">
        <x:v>Tp Hồ Chí Minh|house</x:v>
      </x:c>
      <x:c r="P4620" s="10" t="n">
        <x:v>2</x:v>
      </x:c>
      <x:c r="Q4620" s="13" t="n">
        <x:f>IF(H4620="","",H4620/1000000000)</x:f>
        <x:v>5.6</x:v>
      </x:c>
      <x:c r="R4620" s="13" t="n">
        <x:f>IF(I4620="","",I4620/1000000)</x:f>
        <x:v>169.6969696969697</x:v>
      </x:c>
    </x:row>
    <x:row r="4621" ht="21" customHeight="1">
      <x:c r="A4621" s="10" t="n">
        <x:v>6154</x:v>
      </x:c>
      <x:c r="B4621" s="2" t="str">
        <x:v>ccef18f51041d431beff</x:v>
      </x:c>
      <x:c r="C4621" s="2" t="str">
        <x:v>Tp Hồ Chí Minh</x:v>
      </x:c>
      <x:c r="D4621" s="2" t="str">
        <x:v>Quận Tân Bình</x:v>
      </x:c>
      <x:c r="E4621" s="2" t="str">
        <x:v>house</x:v>
      </x:c>
      <x:c r="F4621" s="2" t="str">
        <x:v>sale</x:v>
      </x:c>
      <x:c r="G4621" s="11" t="n">
        <x:v>68</x:v>
      </x:c>
      <x:c r="H4621" s="12" t="n">
        <x:v>1350000000</x:v>
      </x:c>
      <x:c r="I4621" s="12" t="n">
        <x:v>19852941.17647059</x:v>
      </x:c>
      <x:c r="J4621" s="2" t="str">
        <x:v>total</x:v>
      </x:c>
      <x:c r="K4621" s="2" t="str">
        <x:v>top_level_area</x:v>
      </x:c>
      <x:c r="L4621" s="2" t="str">
        <x:v>property_type_inferred_from_title</x:v>
      </x:c>
      <x:c r="M4621" s="10" t="n">
        <x:v>0</x:v>
      </x:c>
      <x:c r="N4621" s="10" t="n">
        <x:v>0</x:v>
      </x:c>
      <x:c r="O4621" s="2" t="str">
        <x:v>Tp Hồ Chí Minh|house</x:v>
      </x:c>
      <x:c r="P4621" s="10" t="n">
        <x:v>2</x:v>
      </x:c>
      <x:c r="Q4621" s="13" t="n">
        <x:f>IF(H4621="","",H4621/1000000000)</x:f>
        <x:v>1.35</x:v>
      </x:c>
      <x:c r="R4621" s="13" t="n">
        <x:f>IF(I4621="","",I4621/1000000)</x:f>
        <x:v>19.85294117647059</x:v>
      </x:c>
    </x:row>
    <x:row r="4622" ht="21" customHeight="1">
      <x:c r="A4622" s="10" t="n">
        <x:v>6155</x:v>
      </x:c>
      <x:c r="B4622" s="2" t="str">
        <x:v>71a17789ca81f06ea148</x:v>
      </x:c>
      <x:c r="C4622" s="2" t="str">
        <x:v>Tp Hồ Chí Minh</x:v>
      </x:c>
      <x:c r="D4622" s="2" t="str">
        <x:v>Quận 7</x:v>
      </x:c>
      <x:c r="E4622" s="2" t="str">
        <x:v>house</x:v>
      </x:c>
      <x:c r="F4622" s="2" t="str">
        <x:v>sale_assumed</x:v>
      </x:c>
      <x:c r="G4622" s="11" t="n">
        <x:v>52</x:v>
      </x:c>
      <x:c r="H4622" s="12" t="n">
        <x:v>3990000000</x:v>
      </x:c>
      <x:c r="I4622" s="12" t="n">
        <x:v>76730769.23076923</x:v>
      </x:c>
      <x:c r="J4622" s="2" t="str">
        <x:v>total</x:v>
      </x:c>
      <x:c r="K4622" s="2" t="str">
        <x:v>top_level_area</x:v>
      </x:c>
      <x:c r="L4622" s="2" t="str">
        <x:v>property_type_inferred_from_title;transaction_assumed_sale_from_dataset_context</x:v>
      </x:c>
      <x:c r="M4622" s="10" t="n">
        <x:v>0</x:v>
      </x:c>
      <x:c r="N4622" s="10" t="n">
        <x:v>0</x:v>
      </x:c>
      <x:c r="O4622" s="2" t="str">
        <x:v>Tp Hồ Chí Minh|house</x:v>
      </x:c>
      <x:c r="P4622" s="10" t="n">
        <x:v>2</x:v>
      </x:c>
      <x:c r="Q4622" s="13" t="n">
        <x:f>IF(H4622="","",H4622/1000000000)</x:f>
        <x:v>3.99</x:v>
      </x:c>
      <x:c r="R4622" s="13" t="n">
        <x:f>IF(I4622="","",I4622/1000000)</x:f>
        <x:v>76.73076923076923</x:v>
      </x:c>
    </x:row>
    <x:row r="4623" ht="21" customHeight="1">
      <x:c r="A4623" s="10" t="n">
        <x:v>6156</x:v>
      </x:c>
      <x:c r="B4623" s="2" t="str">
        <x:v>b2126ee51cd56c419b38</x:v>
      </x:c>
      <x:c r="C4623" s="2" t="str">
        <x:v>Tp Hồ Chí Minh</x:v>
      </x:c>
      <x:c r="D4623" s="2" t="str">
        <x:v>Quận 9</x:v>
      </x:c>
      <x:c r="E4623" s="2" t="str">
        <x:v>other_unknown</x:v>
      </x:c>
      <x:c r="F4623" s="2" t="str">
        <x:v>sale</x:v>
      </x:c>
      <x:c r="G4623" s="11" t="n">
        <x:v>60</x:v>
      </x:c>
      <x:c r="H4623" s="12" t="n">
        <x:v>980000000</x:v>
      </x:c>
      <x:c r="I4623" s="12" t="n">
        <x:v>16333333.333333334</x:v>
      </x:c>
      <x:c r="J4623" s="2" t="str">
        <x:v>total</x:v>
      </x:c>
      <x:c r="K4623" s="2" t="str">
        <x:v>top_level_area</x:v>
      </x:c>
      <x:c r="L4623" s="2" t="str">
        <x:v>property_type_inferred_from_title;unknown_property_type</x:v>
      </x:c>
      <x:c r="M4623" s="10" t="n">
        <x:v>0</x:v>
      </x:c>
      <x:c r="N4623" s="10" t="n">
        <x:v>0</x:v>
      </x:c>
      <x:c r="O4623" s="2" t="str">
        <x:v>Tp Hồ Chí Minh|other_unknown</x:v>
      </x:c>
      <x:c r="P4623" s="10" t="n">
        <x:v>2</x:v>
      </x:c>
      <x:c r="Q4623" s="13" t="n">
        <x:f>IF(H4623="","",H4623/1000000000)</x:f>
        <x:v>0.98</x:v>
      </x:c>
      <x:c r="R4623" s="13" t="n">
        <x:f>IF(I4623="","",I4623/1000000)</x:f>
        <x:v>16.333333333333336</x:v>
      </x:c>
    </x:row>
    <x:row r="4624" ht="21" customHeight="1">
      <x:c r="A4624" s="10" t="n">
        <x:v>6157</x:v>
      </x:c>
      <x:c r="B4624" s="2" t="str">
        <x:v>45925c19c3bdc97fe4ef</x:v>
      </x:c>
      <x:c r="C4624" s="2" t="str">
        <x:v>Đắk Lắk</x:v>
      </x:c>
      <x:c r="D4624" s="2" t="str">
        <x:v>Thị Xã Buôn Hồ</x:v>
      </x:c>
      <x:c r="E4624" s="2" t="str">
        <x:v>land</x:v>
      </x:c>
      <x:c r="F4624" s="2" t="str">
        <x:v>sale</x:v>
      </x:c>
      <x:c r="G4624" s="11" t="n">
        <x:v>264</x:v>
      </x:c>
      <x:c r="H4624" s="12" t="n">
        <x:v>125000000</x:v>
      </x:c>
      <x:c r="I4624" s="12" t="n">
        <x:v>473484.8484848485</x:v>
      </x:c>
      <x:c r="J4624" s="2" t="str">
        <x:v>total</x:v>
      </x:c>
      <x:c r="K4624" s="2" t="str">
        <x:v>top_level_area</x:v>
      </x:c>
      <x:c r="L4624" s="2" t="str">
        <x:v>property_type_inferred_from_title</x:v>
      </x:c>
      <x:c r="M4624" s="10" t="n">
        <x:v>0</x:v>
      </x:c>
      <x:c r="N4624" s="10" t="n">
        <x:v>0</x:v>
      </x:c>
      <x:c r="O4624" s="2" t="str">
        <x:v>Đắk Lắk|land</x:v>
      </x:c>
      <x:c r="P4624" s="10" t="n">
        <x:v>1</x:v>
      </x:c>
      <x:c r="Q4624" s="13" t="n">
        <x:f>IF(H4624="","",H4624/1000000000)</x:f>
        <x:v>0.125</x:v>
      </x:c>
      <x:c r="R4624" s="13" t="n">
        <x:f>IF(I4624="","",I4624/1000000)</x:f>
        <x:v>0.4734848484848485</x:v>
      </x:c>
    </x:row>
    <x:row r="4625" ht="21" customHeight="1">
      <x:c r="A4625" s="10" t="n">
        <x:v>6158</x:v>
      </x:c>
      <x:c r="B4625" s="2" t="str">
        <x:v>e65346f7b2203e08d5bc</x:v>
      </x:c>
      <x:c r="C4625" s="2" t="str">
        <x:v>Tp Hồ Chí Minh</x:v>
      </x:c>
      <x:c r="D4625" s="2" t="str">
        <x:v>Quận Gò Vấp</x:v>
      </x:c>
      <x:c r="E4625" s="2" t="str">
        <x:v>house</x:v>
      </x:c>
      <x:c r="F4625" s="2" t="str">
        <x:v>sale</x:v>
      </x:c>
      <x:c r="G4625" s="11" t="n">
        <x:v>35</x:v>
      </x:c>
      <x:c r="H4625" s="12" t="n">
        <x:v>2950000000</x:v>
      </x:c>
      <x:c r="I4625" s="12" t="n">
        <x:v>84285714.28571428</x:v>
      </x:c>
      <x:c r="J4625" s="2" t="str">
        <x:v>total</x:v>
      </x:c>
      <x:c r="K4625" s="2" t="str">
        <x:v>top_level_area</x:v>
      </x:c>
      <x:c r="L4625" s="2" t="str">
        <x:v>property_type_inferred_from_title</x:v>
      </x:c>
      <x:c r="M4625" s="10" t="n">
        <x:v>0</x:v>
      </x:c>
      <x:c r="N4625" s="10" t="n">
        <x:v>0</x:v>
      </x:c>
      <x:c r="O4625" s="2" t="str">
        <x:v>Tp Hồ Chí Minh|house</x:v>
      </x:c>
      <x:c r="P4625" s="10" t="n">
        <x:v>2</x:v>
      </x:c>
      <x:c r="Q4625" s="13" t="n">
        <x:f>IF(H4625="","",H4625/1000000000)</x:f>
        <x:v>2.95</x:v>
      </x:c>
      <x:c r="R4625" s="13" t="n">
        <x:f>IF(I4625="","",I4625/1000000)</x:f>
        <x:v>84.28571428571428</x:v>
      </x:c>
    </x:row>
    <x:row r="4626" ht="21" customHeight="1">
      <x:c r="A4626" s="10" t="n">
        <x:v>6159</x:v>
      </x:c>
      <x:c r="B4626" s="2" t="str">
        <x:v>b28f9f31f8201eb8e742</x:v>
      </x:c>
      <x:c r="C4626" s="2" t="str">
        <x:v>Tp Hồ Chí Minh</x:v>
      </x:c>
      <x:c r="D4626" s="2" t="str">
        <x:v>Quận 8</x:v>
      </x:c>
      <x:c r="E4626" s="2" t="str">
        <x:v>other_unknown</x:v>
      </x:c>
      <x:c r="F4626" s="2" t="str">
        <x:v>sale_assumed</x:v>
      </x:c>
      <x:c r="G4626" s="11" t="n">
        <x:v>43</x:v>
      </x:c>
      <x:c r="H4626" s="12" t="n">
        <x:v>4900000000</x:v>
      </x:c>
      <x:c r="I4626" s="12" t="n">
        <x:v>113953488.37209302</x:v>
      </x:c>
      <x:c r="J4626" s="2" t="str">
        <x:v>total</x:v>
      </x:c>
      <x:c r="K4626" s="2" t="str">
        <x:v>top_level_area</x:v>
      </x:c>
      <x:c r="L4626" s="2" t="str">
        <x:v>property_type_inferred_from_title;transaction_assumed_sale_from_dataset_context;unknown_property_type</x:v>
      </x:c>
      <x:c r="M4626" s="10" t="n">
        <x:v>0</x:v>
      </x:c>
      <x:c r="N4626" s="10" t="n">
        <x:v>0</x:v>
      </x:c>
      <x:c r="O4626" s="2" t="str">
        <x:v>Tp Hồ Chí Minh|other_unknown</x:v>
      </x:c>
      <x:c r="P4626" s="10" t="n">
        <x:v>2</x:v>
      </x:c>
      <x:c r="Q4626" s="13" t="n">
        <x:f>IF(H4626="","",H4626/1000000000)</x:f>
        <x:v>4.9</x:v>
      </x:c>
      <x:c r="R4626" s="13" t="n">
        <x:f>IF(I4626="","",I4626/1000000)</x:f>
        <x:v>113.95348837209302</x:v>
      </x:c>
    </x:row>
    <x:row r="4627" ht="21" customHeight="1">
      <x:c r="A4627" s="10" t="n">
        <x:v>6160</x:v>
      </x:c>
      <x:c r="B4627" s="2" t="str">
        <x:v>d913e94ab44004302d3f</x:v>
      </x:c>
      <x:c r="C4627" s="2" t="str">
        <x:v>Tp Hồ Chí Minh</x:v>
      </x:c>
      <x:c r="D4627" s="2" t="str">
        <x:v>Quận 6</x:v>
      </x:c>
      <x:c r="E4627" s="2" t="str">
        <x:v>house</x:v>
      </x:c>
      <x:c r="F4627" s="2" t="str">
        <x:v>sale</x:v>
      </x:c>
      <x:c r="G4627" s="11" t="n">
        <x:v>49</x:v>
      </x:c>
      <x:c r="H4627" s="12" t="n">
        <x:v>1020000000</x:v>
      </x:c>
      <x:c r="I4627" s="12" t="n">
        <x:v>20816326.530612245</x:v>
      </x:c>
      <x:c r="J4627" s="2" t="str">
        <x:v>total</x:v>
      </x:c>
      <x:c r="K4627" s="2" t="str">
        <x:v>top_level_area</x:v>
      </x:c>
      <x:c r="L4627" s="2" t="str">
        <x:v>property_type_inferred_from_title</x:v>
      </x:c>
      <x:c r="M4627" s="10" t="n">
        <x:v>0</x:v>
      </x:c>
      <x:c r="N4627" s="10" t="n">
        <x:v>0</x:v>
      </x:c>
      <x:c r="O4627" s="2" t="str">
        <x:v>Tp Hồ Chí Minh|house</x:v>
      </x:c>
      <x:c r="P4627" s="10" t="n">
        <x:v>2</x:v>
      </x:c>
      <x:c r="Q4627" s="13" t="n">
        <x:f>IF(H4627="","",H4627/1000000000)</x:f>
        <x:v>1.02</x:v>
      </x:c>
      <x:c r="R4627" s="13" t="n">
        <x:f>IF(I4627="","",I4627/1000000)</x:f>
        <x:v>20.816326530612244</x:v>
      </x:c>
    </x:row>
    <x:row r="4628" ht="21" customHeight="1">
      <x:c r="A4628" s="10" t="n">
        <x:v>6161</x:v>
      </x:c>
      <x:c r="B4628" s="2" t="str">
        <x:v>da52d861b0eb121067af</x:v>
      </x:c>
      <x:c r="C4628" s="2" t="str">
        <x:v>Đồng Nai</x:v>
      </x:c>
      <x:c r="D4628" s="2" t="str">
        <x:v>Thành phố Biên Hòa</x:v>
      </x:c>
      <x:c r="E4628" s="2" t="str">
        <x:v>house</x:v>
      </x:c>
      <x:c r="F4628" s="2" t="str">
        <x:v>sale_assumed</x:v>
      </x:c>
      <x:c r="G4628" s="11" t="n">
        <x:v>100</x:v>
      </x:c>
      <x:c r="H4628" s="12" t="n">
        <x:v>1250000000</x:v>
      </x:c>
      <x:c r="I4628" s="12" t="n">
        <x:v>12500000</x:v>
      </x:c>
      <x:c r="J4628" s="2" t="str">
        <x:v>total</x:v>
      </x:c>
      <x:c r="K4628" s="2" t="str">
        <x:v>top_level_area</x:v>
      </x:c>
      <x:c r="L4628" s="2" t="str">
        <x:v>property_type_inferred_from_title;transaction_assumed_sale_from_dataset_context</x:v>
      </x:c>
      <x:c r="M4628" s="10" t="n">
        <x:v>0</x:v>
      </x:c>
      <x:c r="N4628" s="10" t="n">
        <x:v>0</x:v>
      </x:c>
      <x:c r="O4628" s="2" t="str">
        <x:v>Đồng Nai|house</x:v>
      </x:c>
      <x:c r="P4628" s="10" t="n">
        <x:v>2</x:v>
      </x:c>
      <x:c r="Q4628" s="13" t="n">
        <x:f>IF(H4628="","",H4628/1000000000)</x:f>
        <x:v>1.25</x:v>
      </x:c>
      <x:c r="R4628" s="13" t="n">
        <x:f>IF(I4628="","",I4628/1000000)</x:f>
        <x:v>12.5</x:v>
      </x:c>
    </x:row>
    <x:row r="4629" ht="21" customHeight="1">
      <x:c r="A4629" s="10" t="n">
        <x:v>6162</x:v>
      </x:c>
      <x:c r="B4629" s="2" t="str">
        <x:v>ee412b0ba2ef0512b7b6</x:v>
      </x:c>
      <x:c r="C4629" s="2" t="str">
        <x:v>Tp Hồ Chí Minh</x:v>
      </x:c>
      <x:c r="D4629" s="2" t="str">
        <x:v>Huyện Nhà Bè</x:v>
      </x:c>
      <x:c r="E4629" s="2" t="str">
        <x:v>land</x:v>
      </x:c>
      <x:c r="F4629" s="2" t="str">
        <x:v>sale</x:v>
      </x:c>
      <x:c r="G4629" s="11" t="n">
        <x:v>546</x:v>
      </x:c>
      <x:c r="H4629" s="12" t="n">
        <x:v>4300000000</x:v>
      </x:c>
      <x:c r="I4629" s="12" t="n">
        <x:v>7875457.875457875</x:v>
      </x:c>
      <x:c r="J4629" s="2" t="str">
        <x:v>total</x:v>
      </x:c>
      <x:c r="K4629" s="2" t="str">
        <x:v>top_level_area</x:v>
      </x:c>
      <x:c r="L4629" s="2" t="str">
        <x:v>property_type_inferred_from_title</x:v>
      </x:c>
      <x:c r="M4629" s="10" t="n">
        <x:v>0</x:v>
      </x:c>
      <x:c r="N4629" s="10" t="n">
        <x:v>0</x:v>
      </x:c>
      <x:c r="O4629" s="2" t="str">
        <x:v>Tp Hồ Chí Minh|land</x:v>
      </x:c>
      <x:c r="P4629" s="10" t="n">
        <x:v>1</x:v>
      </x:c>
      <x:c r="Q4629" s="13" t="n">
        <x:f>IF(H4629="","",H4629/1000000000)</x:f>
        <x:v>4.3</x:v>
      </x:c>
      <x:c r="R4629" s="13" t="n">
        <x:f>IF(I4629="","",I4629/1000000)</x:f>
        <x:v>7.875457875457875</x:v>
      </x:c>
    </x:row>
    <x:row r="4630" ht="21" customHeight="1">
      <x:c r="A4630" s="10" t="n">
        <x:v>6163</x:v>
      </x:c>
      <x:c r="B4630" s="2" t="str">
        <x:v>44eac16e9b59dc0dbaab</x:v>
      </x:c>
      <x:c r="C4630" s="2" t="str">
        <x:v>Hà Nội</x:v>
      </x:c>
      <x:c r="D4630" s="2" t="str">
        <x:v>Quận Bắc Từ Liêm</x:v>
      </x:c>
      <x:c r="E4630" s="2" t="str">
        <x:v>house</x:v>
      </x:c>
      <x:c r="F4630" s="2" t="str">
        <x:v>sale_assumed</x:v>
      </x:c>
      <x:c r="G4630" s="11" t="n">
        <x:v>60</x:v>
      </x:c>
      <x:c r="H4630" s="12" t="n">
        <x:v>7000000000</x:v>
      </x:c>
      <x:c r="I4630" s="12" t="n">
        <x:v>116666666.66666667</x:v>
      </x:c>
      <x:c r="J4630" s="2" t="str">
        <x:v>total</x:v>
      </x:c>
      <x:c r="K4630" s="2" t="str">
        <x:v>top_level_area</x:v>
      </x:c>
      <x:c r="L4630" s="2" t="str">
        <x:v>property_type_inferred_from_title;transaction_assumed_sale_from_dataset_context</x:v>
      </x:c>
      <x:c r="M4630" s="10" t="n">
        <x:v>0</x:v>
      </x:c>
      <x:c r="N4630" s="10" t="n">
        <x:v>0</x:v>
      </x:c>
      <x:c r="O4630" s="2" t="str">
        <x:v>Hà Nội|house</x:v>
      </x:c>
      <x:c r="P4630" s="10" t="n">
        <x:v>2</x:v>
      </x:c>
      <x:c r="Q4630" s="13" t="n">
        <x:f>IF(H4630="","",H4630/1000000000)</x:f>
        <x:v>7</x:v>
      </x:c>
      <x:c r="R4630" s="13" t="n">
        <x:f>IF(I4630="","",I4630/1000000)</x:f>
        <x:v>116.66666666666667</x:v>
      </x:c>
    </x:row>
    <x:row r="4631" ht="21" customHeight="1">
      <x:c r="A4631" s="10" t="n">
        <x:v>6164</x:v>
      </x:c>
      <x:c r="B4631" s="2" t="str">
        <x:v>14d9fbba9520fd359cc9</x:v>
      </x:c>
      <x:c r="C4631" s="2" t="str">
        <x:v>Tp Hồ Chí Minh</x:v>
      </x:c>
      <x:c r="D4631" s="2" t="str">
        <x:v>Quận 7</x:v>
      </x:c>
      <x:c r="E4631" s="2" t="str">
        <x:v>house</x:v>
      </x:c>
      <x:c r="F4631" s="2" t="str">
        <x:v>sale_assumed</x:v>
      </x:c>
      <x:c r="G4631" s="11" t="n">
        <x:v>200</x:v>
      </x:c>
      <x:c r="H4631" s="12" t="n">
        <x:v>70000000000</x:v>
      </x:c>
      <x:c r="I4631" s="12" t="n">
        <x:v>350000000</x:v>
      </x:c>
      <x:c r="J4631" s="2" t="str">
        <x:v>total</x:v>
      </x:c>
      <x:c r="K4631" s="2" t="str">
        <x:v>top_level_area</x:v>
      </x:c>
      <x:c r="L4631" s="2" t="str">
        <x:v>property_type_inferred_from_title;transaction_assumed_sale_from_dataset_context</x:v>
      </x:c>
      <x:c r="M4631" s="10" t="n">
        <x:v>1</x:v>
      </x:c>
      <x:c r="N4631" s="10" t="n">
        <x:v>1</x:v>
      </x:c>
      <x:c r="O4631" s="2" t="str">
        <x:v>Tp Hồ Chí Minh|house</x:v>
      </x:c>
      <x:c r="P4631" s="10" t="n">
        <x:v>-1</x:v>
      </x:c>
      <x:c r="Q4631" s="13" t="n">
        <x:f>IF(H4631="","",H4631/1000000000)</x:f>
        <x:v>70</x:v>
      </x:c>
      <x:c r="R4631" s="13" t="n">
        <x:f>IF(I4631="","",I4631/1000000)</x:f>
        <x:v>350</x:v>
      </x:c>
    </x:row>
    <x:row r="4632" ht="21" customHeight="1">
      <x:c r="A4632" s="10" t="n">
        <x:v>6165</x:v>
      </x:c>
      <x:c r="B4632" s="2" t="str">
        <x:v>52d09a8a33ea58ed038f</x:v>
      </x:c>
      <x:c r="C4632" s="2" t="str">
        <x:v>Tp Hồ Chí Minh</x:v>
      </x:c>
      <x:c r="D4632" s="2" t="str">
        <x:v>Quận Bình Tân</x:v>
      </x:c>
      <x:c r="E4632" s="2" t="str">
        <x:v>house</x:v>
      </x:c>
      <x:c r="F4632" s="2" t="str">
        <x:v>sale</x:v>
      </x:c>
      <x:c r="G4632" s="11" t="n">
        <x:v>28</x:v>
      </x:c>
      <x:c r="H4632" s="12" t="n">
        <x:v>2800000000</x:v>
      </x:c>
      <x:c r="I4632" s="12" t="n">
        <x:v>100000000</x:v>
      </x:c>
      <x:c r="J4632" s="2" t="str">
        <x:v>total</x:v>
      </x:c>
      <x:c r="K4632" s="2" t="str">
        <x:v>top_level_area</x:v>
      </x:c>
      <x:c r="L4632" s="2" t="str">
        <x:v>property_type_inferred_from_title</x:v>
      </x:c>
      <x:c r="M4632" s="10" t="n">
        <x:v>0</x:v>
      </x:c>
      <x:c r="N4632" s="10" t="n">
        <x:v>0</x:v>
      </x:c>
      <x:c r="O4632" s="2" t="str">
        <x:v>Tp Hồ Chí Minh|house</x:v>
      </x:c>
      <x:c r="P4632" s="10" t="n">
        <x:v>2</x:v>
      </x:c>
      <x:c r="Q4632" s="13" t="n">
        <x:f>IF(H4632="","",H4632/1000000000)</x:f>
        <x:v>2.8</x:v>
      </x:c>
      <x:c r="R4632" s="13" t="n">
        <x:f>IF(I4632="","",I4632/1000000)</x:f>
        <x:v>100</x:v>
      </x:c>
    </x:row>
    <x:row r="4633" ht="21" customHeight="1">
      <x:c r="A4633" s="10" t="n">
        <x:v>6166</x:v>
      </x:c>
      <x:c r="B4633" s="2" t="str">
        <x:v>72950f971cf2ad2dd8d2</x:v>
      </x:c>
      <x:c r="C4633" s="2" t="str">
        <x:v>Tp Hồ Chí Minh</x:v>
      </x:c>
      <x:c r="D4633" s="2" t="str">
        <x:v>Quận Bình Thạnh</x:v>
      </x:c>
      <x:c r="E4633" s="2" t="str">
        <x:v>house</x:v>
      </x:c>
      <x:c r="F4633" s="2" t="str">
        <x:v>sale_assumed</x:v>
      </x:c>
      <x:c r="G4633" s="11" t="n">
        <x:v>60</x:v>
      </x:c>
      <x:c r="H4633" s="12" t="n">
        <x:v>875000000</x:v>
      </x:c>
      <x:c r="I4633" s="12" t="n">
        <x:v>14583333.333333334</x:v>
      </x:c>
      <x:c r="J4633" s="2" t="str">
        <x:v>total</x:v>
      </x:c>
      <x:c r="K4633" s="2" t="str">
        <x:v>top_level_area</x:v>
      </x:c>
      <x:c r="L4633" s="2" t="str">
        <x:v>property_type_inferred_from_title;transaction_assumed_sale_from_dataset_context</x:v>
      </x:c>
      <x:c r="M4633" s="10" t="n">
        <x:v>0</x:v>
      </x:c>
      <x:c r="N4633" s="10" t="n">
        <x:v>0</x:v>
      </x:c>
      <x:c r="O4633" s="2" t="str">
        <x:v>Tp Hồ Chí Minh|house</x:v>
      </x:c>
      <x:c r="P4633" s="10" t="n">
        <x:v>2</x:v>
      </x:c>
      <x:c r="Q4633" s="13" t="n">
        <x:f>IF(H4633="","",H4633/1000000000)</x:f>
        <x:v>0.875</x:v>
      </x:c>
      <x:c r="R4633" s="13" t="n">
        <x:f>IF(I4633="","",I4633/1000000)</x:f>
        <x:v>14.583333333333334</x:v>
      </x:c>
    </x:row>
    <x:row r="4634" ht="21" customHeight="1">
      <x:c r="A4634" s="10" t="n">
        <x:v>6167</x:v>
      </x:c>
      <x:c r="B4634" s="2" t="str">
        <x:v>89341565065d2f9d7a6d</x:v>
      </x:c>
      <x:c r="C4634" s="2" t="str">
        <x:v>Tp Hồ Chí Minh</x:v>
      </x:c>
      <x:c r="D4634" s="2" t="str">
        <x:v>Quận Thủ Đức</x:v>
      </x:c>
      <x:c r="E4634" s="2" t="str">
        <x:v>land</x:v>
      </x:c>
      <x:c r="F4634" s="2" t="str">
        <x:v>sale</x:v>
      </x:c>
      <x:c r="G4634" s="11" t="n">
        <x:v>80</x:v>
      </x:c>
      <x:c r="H4634" s="12" t="n">
        <x:v>580000000</x:v>
      </x:c>
      <x:c r="I4634" s="12" t="n">
        <x:v>7250000</x:v>
      </x:c>
      <x:c r="J4634" s="2" t="str">
        <x:v>total</x:v>
      </x:c>
      <x:c r="K4634" s="2" t="str">
        <x:v>top_level_area</x:v>
      </x:c>
      <x:c r="L4634" s="2" t="str">
        <x:v>property_type_inferred_from_title</x:v>
      </x:c>
      <x:c r="M4634" s="10" t="n">
        <x:v>0</x:v>
      </x:c>
      <x:c r="N4634" s="10" t="n">
        <x:v>0</x:v>
      </x:c>
      <x:c r="O4634" s="2" t="str">
        <x:v>Tp Hồ Chí Minh|land</x:v>
      </x:c>
      <x:c r="P4634" s="10" t="n">
        <x:v>2</x:v>
      </x:c>
      <x:c r="Q4634" s="13" t="n">
        <x:f>IF(H4634="","",H4634/1000000000)</x:f>
        <x:v>0.58</x:v>
      </x:c>
      <x:c r="R4634" s="13" t="n">
        <x:f>IF(I4634="","",I4634/1000000)</x:f>
        <x:v>7.25</x:v>
      </x:c>
    </x:row>
    <x:row r="4635" ht="21" customHeight="1">
      <x:c r="A4635" s="10" t="n">
        <x:v>6168</x:v>
      </x:c>
      <x:c r="B4635" s="2" t="str">
        <x:v>2e4ff0be5738b4e9e62c</x:v>
      </x:c>
      <x:c r="C4635" s="2" t="str">
        <x:v>Tp Hồ Chí Minh</x:v>
      </x:c>
      <x:c r="D4635" s="2" t="str">
        <x:v>Quận 8</x:v>
      </x:c>
      <x:c r="E4635" s="2" t="str">
        <x:v>house</x:v>
      </x:c>
      <x:c r="F4635" s="2" t="str">
        <x:v>sale</x:v>
      </x:c>
      <x:c r="G4635" s="11" t="n">
        <x:v>40</x:v>
      </x:c>
      <x:c r="H4635" s="12" t="n">
        <x:v>1785000000</x:v>
      </x:c>
      <x:c r="I4635" s="12" t="n">
        <x:v>44625000</x:v>
      </x:c>
      <x:c r="J4635" s="2" t="str">
        <x:v>total</x:v>
      </x:c>
      <x:c r="K4635" s="2" t="str">
        <x:v>top_level_area</x:v>
      </x:c>
      <x:c r="L4635" s="2" t="str">
        <x:v>property_type_inferred_from_title</x:v>
      </x:c>
      <x:c r="M4635" s="10" t="n">
        <x:v>0</x:v>
      </x:c>
      <x:c r="N4635" s="10" t="n">
        <x:v>0</x:v>
      </x:c>
      <x:c r="O4635" s="2" t="str">
        <x:v>Tp Hồ Chí Minh|house</x:v>
      </x:c>
      <x:c r="P4635" s="10" t="n">
        <x:v>2</x:v>
      </x:c>
      <x:c r="Q4635" s="13" t="n">
        <x:f>IF(H4635="","",H4635/1000000000)</x:f>
        <x:v>1.785</x:v>
      </x:c>
      <x:c r="R4635" s="13" t="n">
        <x:f>IF(I4635="","",I4635/1000000)</x:f>
        <x:v>44.625</x:v>
      </x:c>
    </x:row>
    <x:row r="4636" ht="21" customHeight="1">
      <x:c r="A4636" s="10" t="n">
        <x:v>6172</x:v>
      </x:c>
      <x:c r="B4636" s="2" t="str">
        <x:v>437beed5cfd360d55398</x:v>
      </x:c>
      <x:c r="C4636" s="2" t="str">
        <x:v>Đà Nẵng</x:v>
      </x:c>
      <x:c r="D4636" s="2" t="str">
        <x:v>Quận Cẩm Lệ</x:v>
      </x:c>
      <x:c r="E4636" s="2" t="str">
        <x:v>land</x:v>
      </x:c>
      <x:c r="F4636" s="2" t="str">
        <x:v>sale_assumed</x:v>
      </x:c>
      <x:c r="G4636" s="11" t="n">
        <x:v>105</x:v>
      </x:c>
      <x:c r="H4636" s="12" t="n">
        <x:v>1100000000</x:v>
      </x:c>
      <x:c r="I4636" s="12" t="n">
        <x:v>10476190.476190476</x:v>
      </x:c>
      <x:c r="J4636" s="2" t="str">
        <x:v>total</x:v>
      </x:c>
      <x:c r="K4636" s="2" t="str">
        <x:v>top_level_area</x:v>
      </x:c>
      <x:c r="L4636" s="2" t="str">
        <x:v>property_type_inferred_from_title;transaction_assumed_sale_from_dataset_context</x:v>
      </x:c>
      <x:c r="M4636" s="10" t="n">
        <x:v>0</x:v>
      </x:c>
      <x:c r="N4636" s="10" t="n">
        <x:v>0</x:v>
      </x:c>
      <x:c r="O4636" s="2" t="str">
        <x:v>Đà Nẵng|land</x:v>
      </x:c>
      <x:c r="P4636" s="10" t="n">
        <x:v>2</x:v>
      </x:c>
      <x:c r="Q4636" s="13" t="n">
        <x:f>IF(H4636="","",H4636/1000000000)</x:f>
        <x:v>1.1</x:v>
      </x:c>
      <x:c r="R4636" s="13" t="n">
        <x:f>IF(I4636="","",I4636/1000000)</x:f>
        <x:v>10.476190476190476</x:v>
      </x:c>
    </x:row>
    <x:row r="4637" ht="21" customHeight="1">
      <x:c r="A4637" s="10" t="n">
        <x:v>6173</x:v>
      </x:c>
      <x:c r="B4637" s="2" t="str">
        <x:v>cafba682032ff9b21443</x:v>
      </x:c>
      <x:c r="C4637" s="2" t="str">
        <x:v>Tp Hồ Chí Minh</x:v>
      </x:c>
      <x:c r="D4637" s="2" t="str">
        <x:v>Quận Bình Tân</x:v>
      </x:c>
      <x:c r="E4637" s="2" t="str">
        <x:v>house</x:v>
      </x:c>
      <x:c r="F4637" s="2" t="str">
        <x:v>sale</x:v>
      </x:c>
      <x:c r="G4637" s="11" t="n">
        <x:v>52</x:v>
      </x:c>
      <x:c r="H4637" s="12" t="n">
        <x:v>855000000</x:v>
      </x:c>
      <x:c r="I4637" s="12" t="n">
        <x:v>16442307.692307692</x:v>
      </x:c>
      <x:c r="J4637" s="2" t="str">
        <x:v>total</x:v>
      </x:c>
      <x:c r="K4637" s="2" t="str">
        <x:v>top_level_area</x:v>
      </x:c>
      <x:c r="L4637" s="2" t="str">
        <x:v>property_type_inferred_from_title</x:v>
      </x:c>
      <x:c r="M4637" s="10" t="n">
        <x:v>0</x:v>
      </x:c>
      <x:c r="N4637" s="10" t="n">
        <x:v>0</x:v>
      </x:c>
      <x:c r="O4637" s="2" t="str">
        <x:v>Tp Hồ Chí Minh|house</x:v>
      </x:c>
      <x:c r="P4637" s="10" t="n">
        <x:v>2</x:v>
      </x:c>
      <x:c r="Q4637" s="13" t="n">
        <x:f>IF(H4637="","",H4637/1000000000)</x:f>
        <x:v>0.855</x:v>
      </x:c>
      <x:c r="R4637" s="13" t="n">
        <x:f>IF(I4637="","",I4637/1000000)</x:f>
        <x:v>16.442307692307693</x:v>
      </x:c>
    </x:row>
    <x:row r="4638" ht="21" customHeight="1">
      <x:c r="A4638" s="10" t="n">
        <x:v>6174</x:v>
      </x:c>
      <x:c r="B4638" s="2" t="str">
        <x:v>ea3ec6448134a2e8358d</x:v>
      </x:c>
      <x:c r="C4638" s="2" t="str">
        <x:v>Khánh Hòa</x:v>
      </x:c>
      <x:c r="D4638" s="2" t="str">
        <x:v>Thành phố Nha Trang</x:v>
      </x:c>
      <x:c r="E4638" s="2" t="str">
        <x:v>house</x:v>
      </x:c>
      <x:c r="F4638" s="2" t="str">
        <x:v>sale_assumed</x:v>
      </x:c>
      <x:c r="G4638" s="11" t="n">
        <x:v>60</x:v>
      </x:c>
      <x:c r="H4638" s="12" t="n">
        <x:v>3900000000</x:v>
      </x:c>
      <x:c r="I4638" s="12" t="n">
        <x:v>65000000</x:v>
      </x:c>
      <x:c r="J4638" s="2" t="str">
        <x:v>total</x:v>
      </x:c>
      <x:c r="K4638" s="2" t="str">
        <x:v>top_level_area</x:v>
      </x:c>
      <x:c r="L4638" s="2" t="str">
        <x:v>property_type_inferred_from_title;transaction_assumed_sale_from_dataset_context</x:v>
      </x:c>
      <x:c r="M4638" s="10" t="n">
        <x:v>0</x:v>
      </x:c>
      <x:c r="N4638" s="10" t="n">
        <x:v>0</x:v>
      </x:c>
      <x:c r="O4638" s="2" t="str">
        <x:v>Khánh Hòa|house</x:v>
      </x:c>
      <x:c r="P4638" s="10" t="n">
        <x:v>2</x:v>
      </x:c>
      <x:c r="Q4638" s="13" t="n">
        <x:f>IF(H4638="","",H4638/1000000000)</x:f>
        <x:v>3.9</x:v>
      </x:c>
      <x:c r="R4638" s="13" t="n">
        <x:f>IF(I4638="","",I4638/1000000)</x:f>
        <x:v>65</x:v>
      </x:c>
    </x:row>
    <x:row r="4639" ht="21" customHeight="1">
      <x:c r="A4639" s="10" t="n">
        <x:v>6175</x:v>
      </x:c>
      <x:c r="B4639" s="2" t="str">
        <x:v>a1cec121dee2329f4250</x:v>
      </x:c>
      <x:c r="C4639" s="2" t="str">
        <x:v>Long An</x:v>
      </x:c>
      <x:c r="D4639" s="2" t="str">
        <x:v>Huyện Đức Hòa</x:v>
      </x:c>
      <x:c r="E4639" s="2" t="str">
        <x:v>land</x:v>
      </x:c>
      <x:c r="F4639" s="2" t="str">
        <x:v>sale_assumed</x:v>
      </x:c>
      <x:c r="G4639" s="11" t="n">
        <x:v>115</x:v>
      </x:c>
      <x:c r="H4639" s="12" t="n">
        <x:v>160000000</x:v>
      </x:c>
      <x:c r="I4639" s="12" t="n">
        <x:v>1391304.347826087</x:v>
      </x:c>
      <x:c r="J4639" s="2" t="str">
        <x:v>total</x:v>
      </x:c>
      <x:c r="K4639" s="2" t="str">
        <x:v>top_level_area</x:v>
      </x:c>
      <x:c r="L4639" s="2" t="str">
        <x:v>property_type_inferred_from_title;transaction_assumed_sale_from_dataset_context</x:v>
      </x:c>
      <x:c r="M4639" s="10" t="n">
        <x:v>0</x:v>
      </x:c>
      <x:c r="N4639" s="10" t="n">
        <x:v>0</x:v>
      </x:c>
      <x:c r="O4639" s="2" t="str">
        <x:v>Long An|land</x:v>
      </x:c>
      <x:c r="P4639" s="10" t="n">
        <x:v>1</x:v>
      </x:c>
      <x:c r="Q4639" s="13" t="n">
        <x:f>IF(H4639="","",H4639/1000000000)</x:f>
        <x:v>0.16</x:v>
      </x:c>
      <x:c r="R4639" s="13" t="n">
        <x:f>IF(I4639="","",I4639/1000000)</x:f>
        <x:v>1.391304347826087</x:v>
      </x:c>
    </x:row>
    <x:row r="4640" ht="21" customHeight="1">
      <x:c r="A4640" s="10" t="n">
        <x:v>6176</x:v>
      </x:c>
      <x:c r="B4640" s="2" t="str">
        <x:v>ed13f282450a6c8ab281</x:v>
      </x:c>
      <x:c r="C4640" s="2" t="str">
        <x:v>Đà Nẵng</x:v>
      </x:c>
      <x:c r="D4640" s="2" t="str">
        <x:v>Quận Thanh Khê</x:v>
      </x:c>
      <x:c r="E4640" s="2" t="str">
        <x:v>house</x:v>
      </x:c>
      <x:c r="F4640" s="2" t="str">
        <x:v>sale_assumed</x:v>
      </x:c>
      <x:c r="G4640" s="11" t="n">
        <x:v>100.8</x:v>
      </x:c>
      <x:c r="H4640" s="12" t="n">
        <x:v>6350000000</x:v>
      </x:c>
      <x:c r="I4640" s="12" t="n">
        <x:v>62996031.746031746</x:v>
      </x:c>
      <x:c r="J4640" s="2" t="str">
        <x:v>total</x:v>
      </x:c>
      <x:c r="K4640" s="2" t="str">
        <x:v>top_level_area</x:v>
      </x:c>
      <x:c r="L4640" s="2" t="str">
        <x:v>property_type_inferred_from_title;transaction_assumed_sale_from_dataset_context</x:v>
      </x:c>
      <x:c r="M4640" s="10" t="n">
        <x:v>0</x:v>
      </x:c>
      <x:c r="N4640" s="10" t="n">
        <x:v>0</x:v>
      </x:c>
      <x:c r="O4640" s="2" t="str">
        <x:v>Đà Nẵng|house</x:v>
      </x:c>
      <x:c r="P4640" s="10" t="n">
        <x:v>2</x:v>
      </x:c>
      <x:c r="Q4640" s="13" t="n">
        <x:f>IF(H4640="","",H4640/1000000000)</x:f>
        <x:v>6.35</x:v>
      </x:c>
      <x:c r="R4640" s="13" t="n">
        <x:f>IF(I4640="","",I4640/1000000)</x:f>
        <x:v>62.99603174603175</x:v>
      </x:c>
    </x:row>
    <x:row r="4641" ht="21" customHeight="1">
      <x:c r="A4641" s="10" t="n">
        <x:v>6177</x:v>
      </x:c>
      <x:c r="B4641" s="2" t="str">
        <x:v>78305952f4a1cedb05d5</x:v>
      </x:c>
      <x:c r="C4641" s="2" t="str">
        <x:v>Tp Hồ Chí Minh</x:v>
      </x:c>
      <x:c r="D4641" s="2" t="str">
        <x:v>Quận 7</x:v>
      </x:c>
      <x:c r="E4641" s="2" t="str">
        <x:v>house</x:v>
      </x:c>
      <x:c r="F4641" s="2" t="str">
        <x:v>sale</x:v>
      </x:c>
      <x:c r="G4641" s="11" t="n">
        <x:v>46</x:v>
      </x:c>
      <x:c r="H4641" s="12" t="n">
        <x:v>755000000</x:v>
      </x:c>
      <x:c r="I4641" s="12" t="n">
        <x:v>16413043.47826087</x:v>
      </x:c>
      <x:c r="J4641" s="2" t="str">
        <x:v>total</x:v>
      </x:c>
      <x:c r="K4641" s="2" t="str">
        <x:v>top_level_price_embedded_area</x:v>
      </x:c>
      <x:c r="L4641" s="2" t="str">
        <x:v>area_recovered_from_price_text;property_type_inferred_from_title</x:v>
      </x:c>
      <x:c r="M4641" s="10" t="n">
        <x:v>0</x:v>
      </x:c>
      <x:c r="N4641" s="10" t="n">
        <x:v>0</x:v>
      </x:c>
      <x:c r="O4641" s="2" t="str">
        <x:v>Tp Hồ Chí Minh|house</x:v>
      </x:c>
      <x:c r="P4641" s="10" t="n">
        <x:v>2</x:v>
      </x:c>
      <x:c r="Q4641" s="13" t="n">
        <x:f>IF(H4641="","",H4641/1000000000)</x:f>
        <x:v>0.755</x:v>
      </x:c>
      <x:c r="R4641" s="13" t="n">
        <x:f>IF(I4641="","",I4641/1000000)</x:f>
        <x:v>16.413043478260867</x:v>
      </x:c>
    </x:row>
    <x:row r="4642" ht="21" customHeight="1">
      <x:c r="A4642" s="10" t="n">
        <x:v>6178</x:v>
      </x:c>
      <x:c r="B4642" s="2" t="str">
        <x:v>31e79a315d29510cff48</x:v>
      </x:c>
      <x:c r="C4642" s="2" t="str">
        <x:v>Tp Hồ Chí Minh</x:v>
      </x:c>
      <x:c r="D4642" s="2" t="str">
        <x:v>Quận 12</x:v>
      </x:c>
      <x:c r="E4642" s="2" t="str">
        <x:v>other_unknown</x:v>
      </x:c>
      <x:c r="F4642" s="2" t="str">
        <x:v>sale</x:v>
      </x:c>
      <x:c r="G4642" s="11" t="n">
        <x:v>70</x:v>
      </x:c>
      <x:c r="H4642" s="12" t="n">
        <x:v>2100000000</x:v>
      </x:c>
      <x:c r="I4642" s="12" t="n">
        <x:v>30000000</x:v>
      </x:c>
      <x:c r="J4642" s="2" t="str">
        <x:v>total</x:v>
      </x:c>
      <x:c r="K4642" s="2" t="str">
        <x:v>top_level_area</x:v>
      </x:c>
      <x:c r="L4642" s="2" t="str">
        <x:v>property_type_inferred_from_title;unknown_property_type</x:v>
      </x:c>
      <x:c r="M4642" s="10" t="n">
        <x:v>0</x:v>
      </x:c>
      <x:c r="N4642" s="10" t="n">
        <x:v>0</x:v>
      </x:c>
      <x:c r="O4642" s="2" t="str">
        <x:v>Tp Hồ Chí Minh|other_unknown</x:v>
      </x:c>
      <x:c r="P4642" s="10" t="n">
        <x:v>2</x:v>
      </x:c>
      <x:c r="Q4642" s="13" t="n">
        <x:f>IF(H4642="","",H4642/1000000000)</x:f>
        <x:v>2.1</x:v>
      </x:c>
      <x:c r="R4642" s="13" t="n">
        <x:f>IF(I4642="","",I4642/1000000)</x:f>
        <x:v>30</x:v>
      </x:c>
    </x:row>
    <x:row r="4643" ht="21" customHeight="1">
      <x:c r="A4643" s="10" t="n">
        <x:v>6179</x:v>
      </x:c>
      <x:c r="B4643" s="2" t="str">
        <x:v>650934992cd856f4638d</x:v>
      </x:c>
      <x:c r="C4643" s="2" t="str">
        <x:v>Tp Hồ Chí Minh</x:v>
      </x:c>
      <x:c r="D4643" s="2" t="str">
        <x:v>Quận Bình Tân</x:v>
      </x:c>
      <x:c r="E4643" s="2" t="str">
        <x:v>land</x:v>
      </x:c>
      <x:c r="F4643" s="2" t="str">
        <x:v>sale_assumed</x:v>
      </x:c>
      <x:c r="G4643" s="11" t="n">
        <x:v>84</x:v>
      </x:c>
      <x:c r="H4643" s="12" t="n">
        <x:v>2700000000</x:v>
      </x:c>
      <x:c r="I4643" s="12" t="n">
        <x:v>32142857.14285714</x:v>
      </x:c>
      <x:c r="J4643" s="2" t="str">
        <x:v>total</x:v>
      </x:c>
      <x:c r="K4643" s="2" t="str">
        <x:v>top_level_price_embedded_area</x:v>
      </x:c>
      <x:c r="L4643" s="2" t="str">
        <x:v>area_recovered_from_price_text;property_type_inferred_from_title;transaction_assumed_sale_from_dataset_context</x:v>
      </x:c>
      <x:c r="M4643" s="10" t="n">
        <x:v>0</x:v>
      </x:c>
      <x:c r="N4643" s="10" t="n">
        <x:v>0</x:v>
      </x:c>
      <x:c r="O4643" s="2" t="str">
        <x:v>Tp Hồ Chí Minh|land</x:v>
      </x:c>
      <x:c r="P4643" s="10" t="n">
        <x:v>2</x:v>
      </x:c>
      <x:c r="Q4643" s="13" t="n">
        <x:f>IF(H4643="","",H4643/1000000000)</x:f>
        <x:v>2.7</x:v>
      </x:c>
      <x:c r="R4643" s="13" t="n">
        <x:f>IF(I4643="","",I4643/1000000)</x:f>
        <x:v>32.14285714285714</x:v>
      </x:c>
    </x:row>
    <x:row r="4644" ht="21" customHeight="1">
      <x:c r="A4644" s="10" t="n">
        <x:v>6180</x:v>
      </x:c>
      <x:c r="B4644" s="2" t="str">
        <x:v>5a318cc32888ddd81229</x:v>
      </x:c>
      <x:c r="C4644" s="2" t="str">
        <x:v>Đà Nẵng</x:v>
      </x:c>
      <x:c r="D4644" s="2" t="str">
        <x:v>Quận Sơn Trà</x:v>
      </x:c>
      <x:c r="E4644" s="2" t="str">
        <x:v>other_unknown</x:v>
      </x:c>
      <x:c r="F4644" s="2" t="str">
        <x:v>sale_assumed</x:v>
      </x:c>
      <x:c r="G4644" s="11" t="n">
        <x:v>52</x:v>
      </x:c>
      <x:c r="H4644" s="12" t="n">
        <x:v>2500000000</x:v>
      </x:c>
      <x:c r="I4644" s="12" t="n">
        <x:v>48076923.07692308</x:v>
      </x:c>
      <x:c r="J4644" s="2" t="str">
        <x:v>total</x:v>
      </x:c>
      <x:c r="K4644" s="2" t="str">
        <x:v>top_level_area</x:v>
      </x:c>
      <x:c r="L4644" s="2" t="str">
        <x:v>property_type_inferred_from_title;transaction_assumed_sale_from_dataset_context;unknown_property_type</x:v>
      </x:c>
      <x:c r="M4644" s="10" t="n">
        <x:v>0</x:v>
      </x:c>
      <x:c r="N4644" s="10" t="n">
        <x:v>0</x:v>
      </x:c>
      <x:c r="O4644" s="2" t="str">
        <x:v>Đà Nẵng|other_unknown</x:v>
      </x:c>
      <x:c r="P4644" s="10" t="n">
        <x:v>2</x:v>
      </x:c>
      <x:c r="Q4644" s="13" t="n">
        <x:f>IF(H4644="","",H4644/1000000000)</x:f>
        <x:v>2.5</x:v>
      </x:c>
      <x:c r="R4644" s="13" t="n">
        <x:f>IF(I4644="","",I4644/1000000)</x:f>
        <x:v>48.07692307692308</x:v>
      </x:c>
    </x:row>
    <x:row r="4645" ht="21" customHeight="1">
      <x:c r="A4645" s="10" t="n">
        <x:v>6181</x:v>
      </x:c>
      <x:c r="B4645" s="2" t="str">
        <x:v>329b24ff9b0344ccbe5b</x:v>
      </x:c>
      <x:c r="C4645" s="2" t="str">
        <x:v>Hà Nội</x:v>
      </x:c>
      <x:c r="D4645" s="2" t="str">
        <x:v>Quận Hà Đông</x:v>
      </x:c>
      <x:c r="E4645" s="2" t="str">
        <x:v>other_unknown</x:v>
      </x:c>
      <x:c r="F4645" s="2" t="str">
        <x:v>sale</x:v>
      </x:c>
      <x:c r="G4645" s="11" t="n">
        <x:v>90</x:v>
      </x:c>
      <x:c r="H4645" s="12" t="n">
        <x:v>8000000000</x:v>
      </x:c>
      <x:c r="I4645" s="12" t="n">
        <x:v>88888888.8888889</x:v>
      </x:c>
      <x:c r="J4645" s="2" t="str">
        <x:v>total</x:v>
      </x:c>
      <x:c r="K4645" s="2" t="str">
        <x:v>top_level_area</x:v>
      </x:c>
      <x:c r="L4645" s="2" t="str">
        <x:v>property_type_inferred_from_title;unknown_property_type</x:v>
      </x:c>
      <x:c r="M4645" s="10" t="n">
        <x:v>0</x:v>
      </x:c>
      <x:c r="N4645" s="10" t="n">
        <x:v>0</x:v>
      </x:c>
      <x:c r="O4645" s="2" t="str">
        <x:v>Hà Nội|other_unknown</x:v>
      </x:c>
      <x:c r="P4645" s="10" t="n">
        <x:v>2</x:v>
      </x:c>
      <x:c r="Q4645" s="13" t="n">
        <x:f>IF(H4645="","",H4645/1000000000)</x:f>
        <x:v>8</x:v>
      </x:c>
      <x:c r="R4645" s="13" t="n">
        <x:f>IF(I4645="","",I4645/1000000)</x:f>
        <x:v>88.8888888888889</x:v>
      </x:c>
    </x:row>
    <x:row r="4646" ht="21" customHeight="1">
      <x:c r="A4646" s="10" t="n">
        <x:v>6182</x:v>
      </x:c>
      <x:c r="B4646" s="2" t="str">
        <x:v>7dc0dfa3edf8b04d07f7</x:v>
      </x:c>
      <x:c r="C4646" s="2" t="str">
        <x:v>Hà Nội</x:v>
      </x:c>
      <x:c r="D4646" s="2" t="str">
        <x:v>Quận Hoàng Mai</x:v>
      </x:c>
      <x:c r="E4646" s="2" t="str">
        <x:v>apartment</x:v>
      </x:c>
      <x:c r="F4646" s="2" t="str">
        <x:v>sale_assumed</x:v>
      </x:c>
      <x:c r="G4646" s="11" t="n">
        <x:v>95</x:v>
      </x:c>
      <x:c r="H4646" s="12" t="n">
        <x:v>2600000000</x:v>
      </x:c>
      <x:c r="I4646" s="12" t="n">
        <x:v>27368421.05263158</x:v>
      </x:c>
      <x:c r="J4646" s="2" t="str">
        <x:v>total</x:v>
      </x:c>
      <x:c r="K4646" s="2" t="str">
        <x:v>top_level_area</x:v>
      </x:c>
      <x:c r="L4646" s="2" t="str">
        <x:v>property_type_inferred_from_title;transaction_assumed_sale_from_dataset_context</x:v>
      </x:c>
      <x:c r="M4646" s="10" t="n">
        <x:v>0</x:v>
      </x:c>
      <x:c r="N4646" s="10" t="n">
        <x:v>0</x:v>
      </x:c>
      <x:c r="O4646" s="2" t="str">
        <x:v>Hà Nội|apartment</x:v>
      </x:c>
      <x:c r="P4646" s="10" t="n">
        <x:v>2</x:v>
      </x:c>
      <x:c r="Q4646" s="13" t="n">
        <x:f>IF(H4646="","",H4646/1000000000)</x:f>
        <x:v>2.6</x:v>
      </x:c>
      <x:c r="R4646" s="13" t="n">
        <x:f>IF(I4646="","",I4646/1000000)</x:f>
        <x:v>27.36842105263158</x:v>
      </x:c>
    </x:row>
    <x:row r="4647" ht="21" customHeight="1">
      <x:c r="A4647" s="10" t="n">
        <x:v>6183</x:v>
      </x:c>
      <x:c r="B4647" s="2" t="str">
        <x:v>e18df33e3547fb4e62e1</x:v>
      </x:c>
      <x:c r="C4647" s="2" t="str">
        <x:v>Tp Hồ Chí Minh</x:v>
      </x:c>
      <x:c r="D4647" s="2" t="str">
        <x:v>Quận 8</x:v>
      </x:c>
      <x:c r="E4647" s="2" t="str">
        <x:v>house</x:v>
      </x:c>
      <x:c r="F4647" s="2" t="str">
        <x:v>sale_assumed</x:v>
      </x:c>
      <x:c r="G4647" s="11" t="n">
        <x:v>40</x:v>
      </x:c>
      <x:c r="H4647" s="12" t="n">
        <x:v>2890000000</x:v>
      </x:c>
      <x:c r="I4647" s="12" t="n">
        <x:v>72250000</x:v>
      </x:c>
      <x:c r="J4647" s="2" t="str">
        <x:v>total</x:v>
      </x:c>
      <x:c r="K4647" s="2" t="str">
        <x:v>top_level_area</x:v>
      </x:c>
      <x:c r="L4647" s="2" t="str">
        <x:v>property_type_inferred_from_title;transaction_assumed_sale_from_dataset_context</x:v>
      </x:c>
      <x:c r="M4647" s="10" t="n">
        <x:v>0</x:v>
      </x:c>
      <x:c r="N4647" s="10" t="n">
        <x:v>0</x:v>
      </x:c>
      <x:c r="O4647" s="2" t="str">
        <x:v>Tp Hồ Chí Minh|house</x:v>
      </x:c>
      <x:c r="P4647" s="10" t="n">
        <x:v>2</x:v>
      </x:c>
      <x:c r="Q4647" s="13" t="n">
        <x:f>IF(H4647="","",H4647/1000000000)</x:f>
        <x:v>2.89</x:v>
      </x:c>
      <x:c r="R4647" s="13" t="n">
        <x:f>IF(I4647="","",I4647/1000000)</x:f>
        <x:v>72.25</x:v>
      </x:c>
    </x:row>
    <x:row r="4648" ht="21" customHeight="1">
      <x:c r="A4648" s="10" t="n">
        <x:v>6184</x:v>
      </x:c>
      <x:c r="B4648" s="2" t="str">
        <x:v>cbe4c6fea5b5e1fdb94e</x:v>
      </x:c>
      <x:c r="C4648" s="2" t="str">
        <x:v>Hà Nội</x:v>
      </x:c>
      <x:c r="D4648" s="2" t="str">
        <x:v>Quận Long Biên</x:v>
      </x:c>
      <x:c r="E4648" s="2" t="str">
        <x:v>land</x:v>
      </x:c>
      <x:c r="F4648" s="2" t="str">
        <x:v>sale_assumed</x:v>
      </x:c>
      <x:c r="G4648" s="11" t="n">
        <x:v>37</x:v>
      </x:c>
      <x:c r="H4648" s="12" t="n">
        <x:v>1680000000</x:v>
      </x:c>
      <x:c r="I4648" s="12" t="n">
        <x:v>45405405.4054054</x:v>
      </x:c>
      <x:c r="J4648" s="2" t="str">
        <x:v>total</x:v>
      </x:c>
      <x:c r="K4648" s="2" t="str">
        <x:v>top_level_area</x:v>
      </x:c>
      <x:c r="L4648" s="2" t="str">
        <x:v>property_type_inferred_from_title;transaction_assumed_sale_from_dataset_context</x:v>
      </x:c>
      <x:c r="M4648" s="10" t="n">
        <x:v>0</x:v>
      </x:c>
      <x:c r="N4648" s="10" t="n">
        <x:v>0</x:v>
      </x:c>
      <x:c r="O4648" s="2" t="str">
        <x:v>Hà Nội|land</x:v>
      </x:c>
      <x:c r="P4648" s="10" t="n">
        <x:v>2</x:v>
      </x:c>
      <x:c r="Q4648" s="13" t="n">
        <x:f>IF(H4648="","",H4648/1000000000)</x:f>
        <x:v>1.68</x:v>
      </x:c>
      <x:c r="R4648" s="13" t="n">
        <x:f>IF(I4648="","",I4648/1000000)</x:f>
        <x:v>45.4054054054054</x:v>
      </x:c>
    </x:row>
    <x:row r="4649" ht="21" customHeight="1">
      <x:c r="A4649" s="10" t="n">
        <x:v>6185</x:v>
      </x:c>
      <x:c r="B4649" s="2" t="str">
        <x:v>6b412b59f5e3e5015e83</x:v>
      </x:c>
      <x:c r="C4649" s="2" t="str">
        <x:v>Tp Hồ Chí Minh</x:v>
      </x:c>
      <x:c r="D4649" s="2" t="str">
        <x:v>Huyện Củ Chi</x:v>
      </x:c>
      <x:c r="E4649" s="2" t="str">
        <x:v>other_unknown</x:v>
      </x:c>
      <x:c r="F4649" s="2" t="str">
        <x:v>sale_assumed</x:v>
      </x:c>
      <x:c r="G4649" s="11" t="n">
        <x:v>73</x:v>
      </x:c>
      <x:c r="H4649" s="12" t="n">
        <x:v>1490000000</x:v>
      </x:c>
      <x:c r="I4649" s="12" t="n">
        <x:v>20410958.90410959</x:v>
      </x:c>
      <x:c r="J4649" s="2" t="str">
        <x:v>total</x:v>
      </x:c>
      <x:c r="K4649" s="2" t="str">
        <x:v>top_level_area</x:v>
      </x:c>
      <x:c r="L4649" s="2" t="str">
        <x:v>property_type_inferred_from_title;transaction_assumed_sale_from_dataset_context;unknown_property_type</x:v>
      </x:c>
      <x:c r="M4649" s="10" t="n">
        <x:v>0</x:v>
      </x:c>
      <x:c r="N4649" s="10" t="n">
        <x:v>0</x:v>
      </x:c>
      <x:c r="O4649" s="2" t="str">
        <x:v>Tp Hồ Chí Minh|other_unknown</x:v>
      </x:c>
      <x:c r="P4649" s="10" t="n">
        <x:v>2</x:v>
      </x:c>
      <x:c r="Q4649" s="13" t="n">
        <x:f>IF(H4649="","",H4649/1000000000)</x:f>
        <x:v>1.49</x:v>
      </x:c>
      <x:c r="R4649" s="13" t="n">
        <x:f>IF(I4649="","",I4649/1000000)</x:f>
        <x:v>20.410958904109588</x:v>
      </x:c>
    </x:row>
    <x:row r="4650" ht="21" customHeight="1">
      <x:c r="A4650" s="10" t="n">
        <x:v>6186</x:v>
      </x:c>
      <x:c r="B4650" s="2" t="str">
        <x:v>0ef641be427e7371aacc</x:v>
      </x:c>
      <x:c r="C4650" s="2" t="str">
        <x:v>Tp Hồ Chí Minh</x:v>
      </x:c>
      <x:c r="D4650" s="2" t="str">
        <x:v>Quận Bình Tân</x:v>
      </x:c>
      <x:c r="E4650" s="2" t="str">
        <x:v>house</x:v>
      </x:c>
      <x:c r="F4650" s="2" t="str">
        <x:v>sale</x:v>
      </x:c>
      <x:c r="G4650" s="11" t="n">
        <x:v>52</x:v>
      </x:c>
      <x:c r="H4650" s="12" t="n">
        <x:v>870000000</x:v>
      </x:c>
      <x:c r="I4650" s="12" t="n">
        <x:v>16730769.23076923</x:v>
      </x:c>
      <x:c r="J4650" s="2" t="str">
        <x:v>total</x:v>
      </x:c>
      <x:c r="K4650" s="2" t="str">
        <x:v>top_level_area</x:v>
      </x:c>
      <x:c r="L4650" s="2" t="str">
        <x:v>property_type_inferred_from_title</x:v>
      </x:c>
      <x:c r="M4650" s="10" t="n">
        <x:v>0</x:v>
      </x:c>
      <x:c r="N4650" s="10" t="n">
        <x:v>0</x:v>
      </x:c>
      <x:c r="O4650" s="2" t="str">
        <x:v>Tp Hồ Chí Minh|house</x:v>
      </x:c>
      <x:c r="P4650" s="10" t="n">
        <x:v>2</x:v>
      </x:c>
      <x:c r="Q4650" s="13" t="n">
        <x:f>IF(H4650="","",H4650/1000000000)</x:f>
        <x:v>0.87</x:v>
      </x:c>
      <x:c r="R4650" s="13" t="n">
        <x:f>IF(I4650="","",I4650/1000000)</x:f>
        <x:v>16.73076923076923</x:v>
      </x:c>
    </x:row>
    <x:row r="4651" ht="21" customHeight="1">
      <x:c r="A4651" s="10" t="n">
        <x:v>6187</x:v>
      </x:c>
      <x:c r="B4651" s="2" t="str">
        <x:v>bc939a4c04499eb427a5</x:v>
      </x:c>
      <x:c r="C4651" s="2" t="str">
        <x:v>Tây Ninh</x:v>
      </x:c>
      <x:c r="D4651" s="2" t="str">
        <x:v>Huyện Gò Dầu</x:v>
      </x:c>
      <x:c r="E4651" s="2" t="str">
        <x:v>land</x:v>
      </x:c>
      <x:c r="F4651" s="2" t="str">
        <x:v>sale_assumed</x:v>
      </x:c>
      <x:c r="G4651" s="11" t="n">
        <x:v>102</x:v>
      </x:c>
      <x:c r="H4651" s="12" t="n">
        <x:v>250000000</x:v>
      </x:c>
      <x:c r="I4651" s="12" t="n">
        <x:v>2450980.3921568627</x:v>
      </x:c>
      <x:c r="J4651" s="2" t="str">
        <x:v>total</x:v>
      </x:c>
      <x:c r="K4651" s="2" t="str">
        <x:v>top_level_area</x:v>
      </x:c>
      <x:c r="L4651" s="2" t="str">
        <x:v>property_type_inferred_from_title;transaction_assumed_sale_from_dataset_context</x:v>
      </x:c>
      <x:c r="M4651" s="10" t="n">
        <x:v>0</x:v>
      </x:c>
      <x:c r="N4651" s="10" t="n">
        <x:v>0</x:v>
      </x:c>
      <x:c r="O4651" s="2" t="str">
        <x:v>land</x:v>
      </x:c>
      <x:c r="P4651" s="10" t="n">
        <x:v>1</x:v>
      </x:c>
      <x:c r="Q4651" s="13" t="n">
        <x:f>IF(H4651="","",H4651/1000000000)</x:f>
        <x:v>0.25</x:v>
      </x:c>
      <x:c r="R4651" s="13" t="n">
        <x:f>IF(I4651="","",I4651/1000000)</x:f>
        <x:v>2.4509803921568625</x:v>
      </x:c>
    </x:row>
    <x:row r="4652" ht="21" customHeight="1">
      <x:c r="A4652" s="10" t="n">
        <x:v>6188</x:v>
      </x:c>
      <x:c r="B4652" s="2" t="str">
        <x:v>4176fb48d3d2c16eb901</x:v>
      </x:c>
      <x:c r="C4652" s="2" t="str">
        <x:v>Hà Nội</x:v>
      </x:c>
      <x:c r="D4652" s="2" t="str">
        <x:v>Quận Cầu Giấy</x:v>
      </x:c>
      <x:c r="E4652" s="2" t="str">
        <x:v>other_unknown</x:v>
      </x:c>
      <x:c r="F4652" s="2" t="str">
        <x:v>sale_assumed</x:v>
      </x:c>
      <x:c r="G4652" s="11" t="n">
        <x:v>35</x:v>
      </x:c>
      <x:c r="H4652" s="12" t="n">
        <x:v>4350000000</x:v>
      </x:c>
      <x:c r="I4652" s="12" t="n">
        <x:v>124285714.28571428</x:v>
      </x:c>
      <x:c r="J4652" s="2" t="str">
        <x:v>total</x:v>
      </x:c>
      <x:c r="K4652" s="2" t="str">
        <x:v>top_level_area</x:v>
      </x:c>
      <x:c r="L4652" s="2" t="str">
        <x:v>property_type_inferred_from_title;transaction_assumed_sale_from_dataset_context;unknown_property_type</x:v>
      </x:c>
      <x:c r="M4652" s="10" t="n">
        <x:v>0</x:v>
      </x:c>
      <x:c r="N4652" s="10" t="n">
        <x:v>0</x:v>
      </x:c>
      <x:c r="O4652" s="2" t="str">
        <x:v>Hà Nội|other_unknown</x:v>
      </x:c>
      <x:c r="P4652" s="10" t="n">
        <x:v>2</x:v>
      </x:c>
      <x:c r="Q4652" s="13" t="n">
        <x:f>IF(H4652="","",H4652/1000000000)</x:f>
        <x:v>4.35</x:v>
      </x:c>
      <x:c r="R4652" s="13" t="n">
        <x:f>IF(I4652="","",I4652/1000000)</x:f>
        <x:v>124.28571428571428</x:v>
      </x:c>
    </x:row>
    <x:row r="4653" ht="21" customHeight="1">
      <x:c r="A4653" s="10" t="n">
        <x:v>6189</x:v>
      </x:c>
      <x:c r="B4653" s="2" t="str">
        <x:v>181892b24a0893ee07e9</x:v>
      </x:c>
      <x:c r="C4653" s="2" t="str">
        <x:v>Hà Nội</x:v>
      </x:c>
      <x:c r="D4653" s="2" t="str">
        <x:v>Quận Tây Hồ</x:v>
      </x:c>
      <x:c r="E4653" s="2" t="str">
        <x:v>house</x:v>
      </x:c>
      <x:c r="F4653" s="2" t="str">
        <x:v>sale_assumed</x:v>
      </x:c>
      <x:c r="G4653" s="11" t="n">
        <x:v>130</x:v>
      </x:c>
      <x:c r="H4653" s="12" t="n">
        <x:v>19000000000</x:v>
      </x:c>
      <x:c r="I4653" s="12" t="n">
        <x:v>146153846.15384614</x:v>
      </x:c>
      <x:c r="J4653" s="2" t="str">
        <x:v>total</x:v>
      </x:c>
      <x:c r="K4653" s="2" t="str">
        <x:v>top_level_area</x:v>
      </x:c>
      <x:c r="L4653" s="2" t="str">
        <x:v>property_type_inferred_from_title;transaction_assumed_sale_from_dataset_context</x:v>
      </x:c>
      <x:c r="M4653" s="10" t="n">
        <x:v>0</x:v>
      </x:c>
      <x:c r="N4653" s="10" t="n">
        <x:v>0</x:v>
      </x:c>
      <x:c r="O4653" s="2" t="str">
        <x:v>Hà Nội|house</x:v>
      </x:c>
      <x:c r="P4653" s="10" t="n">
        <x:v>2</x:v>
      </x:c>
      <x:c r="Q4653" s="13" t="n">
        <x:f>IF(H4653="","",H4653/1000000000)</x:f>
        <x:v>19</x:v>
      </x:c>
      <x:c r="R4653" s="13" t="n">
        <x:f>IF(I4653="","",I4653/1000000)</x:f>
        <x:v>146.15384615384613</x:v>
      </x:c>
    </x:row>
    <x:row r="4654" ht="21" customHeight="1">
      <x:c r="A4654" s="10" t="n">
        <x:v>6190</x:v>
      </x:c>
      <x:c r="B4654" s="2" t="str">
        <x:v>eafe58dcb9578e5e12ba</x:v>
      </x:c>
      <x:c r="C4654" s="2" t="str">
        <x:v>Đà Nẵng</x:v>
      </x:c>
      <x:c r="D4654" s="2" t="str">
        <x:v>Quận Sơn Trà</x:v>
      </x:c>
      <x:c r="E4654" s="2" t="str">
        <x:v>land</x:v>
      </x:c>
      <x:c r="F4654" s="2" t="str">
        <x:v>sale_assumed</x:v>
      </x:c>
      <x:c r="G4654" s="11" t="n">
        <x:v>115</x:v>
      </x:c>
      <x:c r="H4654" s="12" t="n">
        <x:v>13500000000</x:v>
      </x:c>
      <x:c r="I4654" s="12" t="n">
        <x:v>117391304.3478261</x:v>
      </x:c>
      <x:c r="J4654" s="2" t="str">
        <x:v>total</x:v>
      </x:c>
      <x:c r="K4654" s="2" t="str">
        <x:v>top_level_area</x:v>
      </x:c>
      <x:c r="L4654" s="2" t="str">
        <x:v>property_type_inferred_from_title;transaction_assumed_sale_from_dataset_context</x:v>
      </x:c>
      <x:c r="M4654" s="10" t="n">
        <x:v>0</x:v>
      </x:c>
      <x:c r="N4654" s="10" t="n">
        <x:v>1</x:v>
      </x:c>
      <x:c r="O4654" s="2" t="str">
        <x:v>Đà Nẵng|land</x:v>
      </x:c>
      <x:c r="P4654" s="10" t="n">
        <x:v>-1</x:v>
      </x:c>
      <x:c r="Q4654" s="13" t="n">
        <x:f>IF(H4654="","",H4654/1000000000)</x:f>
        <x:v>13.5</x:v>
      </x:c>
      <x:c r="R4654" s="13" t="n">
        <x:f>IF(I4654="","",I4654/1000000)</x:f>
        <x:v>117.3913043478261</x:v>
      </x:c>
    </x:row>
    <x:row r="4655" ht="21" customHeight="1">
      <x:c r="A4655" s="10" t="n">
        <x:v>6191</x:v>
      </x:c>
      <x:c r="B4655" s="2" t="str">
        <x:v>f51557ee03cd2793541d</x:v>
      </x:c>
      <x:c r="C4655" s="2" t="str">
        <x:v>Tp Hồ Chí Minh</x:v>
      </x:c>
      <x:c r="D4655" s="2" t="str">
        <x:v>Quận 7</x:v>
      </x:c>
      <x:c r="E4655" s="2" t="str">
        <x:v>house</x:v>
      </x:c>
      <x:c r="F4655" s="2" t="str">
        <x:v>sale</x:v>
      </x:c>
      <x:c r="G4655" s="11" t="n">
        <x:v>48</x:v>
      </x:c>
      <x:c r="H4655" s="12" t="n">
        <x:v>1280000000</x:v>
      </x:c>
      <x:c r="I4655" s="12" t="n">
        <x:v>26666666.666666668</x:v>
      </x:c>
      <x:c r="J4655" s="2" t="str">
        <x:v>total</x:v>
      </x:c>
      <x:c r="K4655" s="2" t="str">
        <x:v>top_level_area</x:v>
      </x:c>
      <x:c r="L4655" s="2" t="str">
        <x:v>property_type_inferred_from_title</x:v>
      </x:c>
      <x:c r="M4655" s="10" t="n">
        <x:v>0</x:v>
      </x:c>
      <x:c r="N4655" s="10" t="n">
        <x:v>0</x:v>
      </x:c>
      <x:c r="O4655" s="2" t="str">
        <x:v>Tp Hồ Chí Minh|house</x:v>
      </x:c>
      <x:c r="P4655" s="10" t="n">
        <x:v>2</x:v>
      </x:c>
      <x:c r="Q4655" s="13" t="n">
        <x:f>IF(H4655="","",H4655/1000000000)</x:f>
        <x:v>1.28</x:v>
      </x:c>
      <x:c r="R4655" s="13" t="n">
        <x:f>IF(I4655="","",I4655/1000000)</x:f>
        <x:v>26.666666666666668</x:v>
      </x:c>
    </x:row>
    <x:row r="4656" ht="21" customHeight="1">
      <x:c r="A4656" s="10" t="n">
        <x:v>6195</x:v>
      </x:c>
      <x:c r="B4656" s="2" t="str">
        <x:v>db5f2c8b244f98ba7215</x:v>
      </x:c>
      <x:c r="C4656" s="2" t="str">
        <x:v>Bình Dương</x:v>
      </x:c>
      <x:c r="D4656" s="2" t="str">
        <x:v>Thị xã Thuận An</x:v>
      </x:c>
      <x:c r="E4656" s="2" t="str">
        <x:v>land</x:v>
      </x:c>
      <x:c r="F4656" s="2" t="str">
        <x:v>sale_assumed</x:v>
      </x:c>
      <x:c r="G4656" s="11" t="n">
        <x:v>70</x:v>
      </x:c>
      <x:c r="H4656" s="12" t="n">
        <x:v>750000000</x:v>
      </x:c>
      <x:c r="I4656" s="12" t="n">
        <x:v>10714285.714285715</x:v>
      </x:c>
      <x:c r="J4656" s="2" t="str">
        <x:v>total</x:v>
      </x:c>
      <x:c r="K4656" s="2" t="str">
        <x:v>top_level_area</x:v>
      </x:c>
      <x:c r="L4656" s="2" t="str">
        <x:v>property_type_inferred_from_title;transaction_assumed_sale_from_dataset_context</x:v>
      </x:c>
      <x:c r="M4656" s="10" t="n">
        <x:v>0</x:v>
      </x:c>
      <x:c r="N4656" s="10" t="n">
        <x:v>0</x:v>
      </x:c>
      <x:c r="O4656" s="2" t="str">
        <x:v>Bình Dương|land</x:v>
      </x:c>
      <x:c r="P4656" s="10" t="n">
        <x:v>2</x:v>
      </x:c>
      <x:c r="Q4656" s="13" t="n">
        <x:f>IF(H4656="","",H4656/1000000000)</x:f>
        <x:v>0.75</x:v>
      </x:c>
      <x:c r="R4656" s="13" t="n">
        <x:f>IF(I4656="","",I4656/1000000)</x:f>
        <x:v>10.714285714285715</x:v>
      </x:c>
    </x:row>
    <x:row r="4657" ht="21" customHeight="1">
      <x:c r="A4657" s="10" t="n">
        <x:v>6196</x:v>
      </x:c>
      <x:c r="B4657" s="2" t="str">
        <x:v>e7682e950c44de4fe2f2</x:v>
      </x:c>
      <x:c r="C4657" s="2" t="str">
        <x:v>Tp Hồ Chí Minh</x:v>
      </x:c>
      <x:c r="D4657" s="2" t="str">
        <x:v>Quận Thủ Đức</x:v>
      </x:c>
      <x:c r="E4657" s="2" t="str">
        <x:v>house</x:v>
      </x:c>
      <x:c r="F4657" s="2" t="str">
        <x:v>sale_assumed</x:v>
      </x:c>
      <x:c r="G4657" s="11" t="n">
        <x:v>60</x:v>
      </x:c>
      <x:c r="H4657" s="12" t="n">
        <x:v>1350000000</x:v>
      </x:c>
      <x:c r="I4657" s="12" t="n">
        <x:v>22500000</x:v>
      </x:c>
      <x:c r="J4657" s="2" t="str">
        <x:v>total</x:v>
      </x:c>
      <x:c r="K4657" s="2" t="str">
        <x:v>top_level_area</x:v>
      </x:c>
      <x:c r="L4657" s="2" t="str">
        <x:v>property_type_inferred_from_title;transaction_assumed_sale_from_dataset_context</x:v>
      </x:c>
      <x:c r="M4657" s="10" t="n">
        <x:v>0</x:v>
      </x:c>
      <x:c r="N4657" s="10" t="n">
        <x:v>0</x:v>
      </x:c>
      <x:c r="O4657" s="2" t="str">
        <x:v>Tp Hồ Chí Minh|house</x:v>
      </x:c>
      <x:c r="P4657" s="10" t="n">
        <x:v>2</x:v>
      </x:c>
      <x:c r="Q4657" s="13" t="n">
        <x:f>IF(H4657="","",H4657/1000000000)</x:f>
        <x:v>1.35</x:v>
      </x:c>
      <x:c r="R4657" s="13" t="n">
        <x:f>IF(I4657="","",I4657/1000000)</x:f>
        <x:v>22.5</x:v>
      </x:c>
    </x:row>
    <x:row r="4658" ht="21" customHeight="1">
      <x:c r="A4658" s="10" t="n">
        <x:v>6197</x:v>
      </x:c>
      <x:c r="B4658" s="2" t="str">
        <x:v>c5d0aee579c23302eeac</x:v>
      </x:c>
      <x:c r="C4658" s="2" t="str">
        <x:v>Long An</x:v>
      </x:c>
      <x:c r="D4658" s="2" t="str">
        <x:v>Huyện Đức Hòa</x:v>
      </x:c>
      <x:c r="E4658" s="2" t="str">
        <x:v>land</x:v>
      </x:c>
      <x:c r="F4658" s="2" t="str">
        <x:v>sale_assumed</x:v>
      </x:c>
      <x:c r="G4658" s="11" t="n">
        <x:v>257</x:v>
      </x:c>
      <x:c r="H4658" s="12" t="n">
        <x:v>1700000000</x:v>
      </x:c>
      <x:c r="I4658" s="12" t="n">
        <x:v>6614785.992217898</x:v>
      </x:c>
      <x:c r="J4658" s="2" t="str">
        <x:v>total</x:v>
      </x:c>
      <x:c r="K4658" s="2" t="str">
        <x:v>top_level_area</x:v>
      </x:c>
      <x:c r="L4658" s="2" t="str">
        <x:v>property_type_inferred_from_title;transaction_assumed_sale_from_dataset_context</x:v>
      </x:c>
      <x:c r="M4658" s="10" t="n">
        <x:v>0</x:v>
      </x:c>
      <x:c r="N4658" s="10" t="n">
        <x:v>0</x:v>
      </x:c>
      <x:c r="O4658" s="2" t="str">
        <x:v>Long An|land</x:v>
      </x:c>
      <x:c r="P4658" s="10" t="n">
        <x:v>1</x:v>
      </x:c>
      <x:c r="Q4658" s="13" t="n">
        <x:f>IF(H4658="","",H4658/1000000000)</x:f>
        <x:v>1.7</x:v>
      </x:c>
      <x:c r="R4658" s="13" t="n">
        <x:f>IF(I4658="","",I4658/1000000)</x:f>
        <x:v>6.614785992217898</x:v>
      </x:c>
    </x:row>
    <x:row r="4659" ht="21" customHeight="1">
      <x:c r="A4659" s="10" t="n">
        <x:v>6198</x:v>
      </x:c>
      <x:c r="B4659" s="2" t="str">
        <x:v>fd5524d4f0c28897f556</x:v>
      </x:c>
      <x:c r="C4659" s="2" t="str">
        <x:v>Bình Dương</x:v>
      </x:c>
      <x:c r="D4659" s="2" t="str">
        <x:v>Thị xã Thuận An</x:v>
      </x:c>
      <x:c r="E4659" s="2" t="str">
        <x:v>house</x:v>
      </x:c>
      <x:c r="F4659" s="2" t="str">
        <x:v>sale</x:v>
      </x:c>
      <x:c r="G4659" s="11" t="n">
        <x:v>72</x:v>
      </x:c>
      <x:c r="H4659" s="12" t="n">
        <x:v>1900000000</x:v>
      </x:c>
      <x:c r="I4659" s="12" t="n">
        <x:v>26388888.888888888</x:v>
      </x:c>
      <x:c r="J4659" s="2" t="str">
        <x:v>total</x:v>
      </x:c>
      <x:c r="K4659" s="2" t="str">
        <x:v>top_level_area</x:v>
      </x:c>
      <x:c r="L4659" s="2" t="str">
        <x:v>property_type_inferred_from_title</x:v>
      </x:c>
      <x:c r="M4659" s="10" t="n">
        <x:v>0</x:v>
      </x:c>
      <x:c r="N4659" s="10" t="n">
        <x:v>0</x:v>
      </x:c>
      <x:c r="O4659" s="2" t="str">
        <x:v>Bình Dương|house</x:v>
      </x:c>
      <x:c r="P4659" s="10" t="n">
        <x:v>2</x:v>
      </x:c>
      <x:c r="Q4659" s="13" t="n">
        <x:f>IF(H4659="","",H4659/1000000000)</x:f>
        <x:v>1.9</x:v>
      </x:c>
      <x:c r="R4659" s="13" t="n">
        <x:f>IF(I4659="","",I4659/1000000)</x:f>
        <x:v>26.38888888888889</x:v>
      </x:c>
    </x:row>
    <x:row r="4660" ht="21" customHeight="1">
      <x:c r="A4660" s="10" t="n">
        <x:v>6199</x:v>
      </x:c>
      <x:c r="B4660" s="2" t="str">
        <x:v>609f450989ab679bbc40</x:v>
      </x:c>
      <x:c r="C4660" s="2" t="str">
        <x:v>Cần Thơ</x:v>
      </x:c>
      <x:c r="D4660" s="2" t="str">
        <x:v>Huyện Phong Điền</x:v>
      </x:c>
      <x:c r="E4660" s="2" t="str">
        <x:v>land</x:v>
      </x:c>
      <x:c r="F4660" s="2" t="str">
        <x:v>sale</x:v>
      </x:c>
      <x:c r="G4660" s="11" t="n">
        <x:v>80</x:v>
      </x:c>
      <x:c r="H4660" s="12" t="n">
        <x:v>560000000</x:v>
      </x:c>
      <x:c r="I4660" s="12" t="n">
        <x:v>7000000</x:v>
      </x:c>
      <x:c r="J4660" s="2" t="str">
        <x:v>total</x:v>
      </x:c>
      <x:c r="K4660" s="2" t="str">
        <x:v>top_level_area</x:v>
      </x:c>
      <x:c r="L4660" s="2" t="str">
        <x:v>property_type_inferred_from_title</x:v>
      </x:c>
      <x:c r="M4660" s="10" t="n">
        <x:v>0</x:v>
      </x:c>
      <x:c r="N4660" s="10" t="n">
        <x:v>0</x:v>
      </x:c>
      <x:c r="O4660" s="2" t="str">
        <x:v>Cần Thơ|land</x:v>
      </x:c>
      <x:c r="P4660" s="10" t="n">
        <x:v>2</x:v>
      </x:c>
      <x:c r="Q4660" s="13" t="n">
        <x:f>IF(H4660="","",H4660/1000000000)</x:f>
        <x:v>0.56</x:v>
      </x:c>
      <x:c r="R4660" s="13" t="n">
        <x:f>IF(I4660="","",I4660/1000000)</x:f>
        <x:v>7</x:v>
      </x:c>
    </x:row>
    <x:row r="4661" ht="21" customHeight="1">
      <x:c r="A4661" s="10" t="n">
        <x:v>6200</x:v>
      </x:c>
      <x:c r="B4661" s="2" t="str">
        <x:v>fba26c0748fd19dbe1be</x:v>
      </x:c>
      <x:c r="C4661" s="2" t="str">
        <x:v>Tp Hồ Chí Minh</x:v>
      </x:c>
      <x:c r="D4661" s="2" t="str">
        <x:v>Quận 7</x:v>
      </x:c>
      <x:c r="E4661" s="2" t="str">
        <x:v>house</x:v>
      </x:c>
      <x:c r="F4661" s="2" t="str">
        <x:v>sale_assumed</x:v>
      </x:c>
      <x:c r="G4661" s="11" t="n">
        <x:v>320</x:v>
      </x:c>
      <x:c r="H4661" s="12" t="n">
        <x:v>5350000000</x:v>
      </x:c>
      <x:c r="I4661" s="12" t="n">
        <x:v>16718750</x:v>
      </x:c>
      <x:c r="J4661" s="2" t="str">
        <x:v>total</x:v>
      </x:c>
      <x:c r="K4661" s="2" t="str">
        <x:v>top_level_area</x:v>
      </x:c>
      <x:c r="L4661" s="2" t="str">
        <x:v>property_type_inferred_from_title;transaction_assumed_sale_from_dataset_context</x:v>
      </x:c>
      <x:c r="M4661" s="10" t="n">
        <x:v>0</x:v>
      </x:c>
      <x:c r="N4661" s="10" t="n">
        <x:v>0</x:v>
      </x:c>
      <x:c r="O4661" s="2" t="str">
        <x:v>Tp Hồ Chí Minh|house</x:v>
      </x:c>
      <x:c r="P4661" s="10" t="n">
        <x:v>2</x:v>
      </x:c>
      <x:c r="Q4661" s="13" t="n">
        <x:f>IF(H4661="","",H4661/1000000000)</x:f>
        <x:v>5.35</x:v>
      </x:c>
      <x:c r="R4661" s="13" t="n">
        <x:f>IF(I4661="","",I4661/1000000)</x:f>
        <x:v>16.71875</x:v>
      </x:c>
    </x:row>
    <x:row r="4662" ht="21" customHeight="1">
      <x:c r="A4662" s="10" t="n">
        <x:v>6201</x:v>
      </x:c>
      <x:c r="B4662" s="2" t="str">
        <x:v>b3af4a9fecfff1f4b95a</x:v>
      </x:c>
      <x:c r="C4662" s="2" t="str">
        <x:v>Tp Hồ Chí Minh</x:v>
      </x:c>
      <x:c r="D4662" s="2" t="str">
        <x:v>Quận Thủ Đức</x:v>
      </x:c>
      <x:c r="E4662" s="2" t="str">
        <x:v>other_unknown</x:v>
      </x:c>
      <x:c r="F4662" s="2" t="str">
        <x:v>sale_assumed</x:v>
      </x:c>
      <x:c r="G4662" s="11" t="n">
        <x:v>82</x:v>
      </x:c>
      <x:c r="H4662" s="12" t="n">
        <x:v>8100000000</x:v>
      </x:c>
      <x:c r="I4662" s="12" t="n">
        <x:v>98780487.80487806</x:v>
      </x:c>
      <x:c r="J4662" s="2" t="str">
        <x:v>total</x:v>
      </x:c>
      <x:c r="K4662" s="2" t="str">
        <x:v>top_level_area</x:v>
      </x:c>
      <x:c r="L4662" s="2" t="str">
        <x:v>property_type_inferred_from_title;transaction_assumed_sale_from_dataset_context;unknown_property_type</x:v>
      </x:c>
      <x:c r="M4662" s="10" t="n">
        <x:v>0</x:v>
      </x:c>
      <x:c r="N4662" s="10" t="n">
        <x:v>0</x:v>
      </x:c>
      <x:c r="O4662" s="2" t="str">
        <x:v>Tp Hồ Chí Minh|other_unknown</x:v>
      </x:c>
      <x:c r="P4662" s="10" t="n">
        <x:v>2</x:v>
      </x:c>
      <x:c r="Q4662" s="13" t="n">
        <x:f>IF(H4662="","",H4662/1000000000)</x:f>
        <x:v>8.1</x:v>
      </x:c>
      <x:c r="R4662" s="13" t="n">
        <x:f>IF(I4662="","",I4662/1000000)</x:f>
        <x:v>98.78048780487805</x:v>
      </x:c>
    </x:row>
    <x:row r="4663" ht="21" customHeight="1">
      <x:c r="A4663" s="10" t="n">
        <x:v>6202</x:v>
      </x:c>
      <x:c r="B4663" s="2" t="str">
        <x:v>c13630296c5e74590173</x:v>
      </x:c>
      <x:c r="C4663" s="2" t="str">
        <x:v>Hà Nội</x:v>
      </x:c>
      <x:c r="D4663" s="2" t="str">
        <x:v>Quận Đống Đa</x:v>
      </x:c>
      <x:c r="E4663" s="2" t="str">
        <x:v>house</x:v>
      </x:c>
      <x:c r="F4663" s="2" t="str">
        <x:v>sale_assumed</x:v>
      </x:c>
      <x:c r="G4663" s="11" t="n">
        <x:v>19</x:v>
      </x:c>
      <x:c r="H4663" s="12" t="n">
        <x:v>950000000</x:v>
      </x:c>
      <x:c r="I4663" s="12" t="n">
        <x:v>50000000</x:v>
      </x:c>
      <x:c r="J4663" s="2" t="str">
        <x:v>total</x:v>
      </x:c>
      <x:c r="K4663" s="2" t="str">
        <x:v>top_level_area</x:v>
      </x:c>
      <x:c r="L4663" s="2" t="str">
        <x:v>property_type_inferred_from_title;transaction_assumed_sale_from_dataset_context</x:v>
      </x:c>
      <x:c r="M4663" s="10" t="n">
        <x:v>0</x:v>
      </x:c>
      <x:c r="N4663" s="10" t="n">
        <x:v>0</x:v>
      </x:c>
      <x:c r="O4663" s="2" t="str">
        <x:v>Hà Nội|house</x:v>
      </x:c>
      <x:c r="P4663" s="10" t="n">
        <x:v>2</x:v>
      </x:c>
      <x:c r="Q4663" s="13" t="n">
        <x:f>IF(H4663="","",H4663/1000000000)</x:f>
        <x:v>0.95</x:v>
      </x:c>
      <x:c r="R4663" s="13" t="n">
        <x:f>IF(I4663="","",I4663/1000000)</x:f>
        <x:v>50</x:v>
      </x:c>
    </x:row>
    <x:row r="4664" ht="21" customHeight="1">
      <x:c r="A4664" s="10" t="n">
        <x:v>6203</x:v>
      </x:c>
      <x:c r="B4664" s="2" t="str">
        <x:v>60ea483adaa682d208fc</x:v>
      </x:c>
      <x:c r="C4664" s="2" t="str">
        <x:v>Hà Nội</x:v>
      </x:c>
      <x:c r="D4664" s="2" t="str">
        <x:v>Quận Hà Đông</x:v>
      </x:c>
      <x:c r="E4664" s="2" t="str">
        <x:v>house</x:v>
      </x:c>
      <x:c r="F4664" s="2" t="str">
        <x:v>sale</x:v>
      </x:c>
      <x:c r="G4664" s="11" t="n">
        <x:v>38</x:v>
      </x:c>
      <x:c r="H4664" s="12" t="n">
        <x:v>2800000000</x:v>
      </x:c>
      <x:c r="I4664" s="12" t="n">
        <x:v>73684210.5263158</x:v>
      </x:c>
      <x:c r="J4664" s="2" t="str">
        <x:v>total</x:v>
      </x:c>
      <x:c r="K4664" s="2" t="str">
        <x:v>top_level_area</x:v>
      </x:c>
      <x:c r="L4664" s="2" t="str">
        <x:v>property_type_inferred_from_title</x:v>
      </x:c>
      <x:c r="M4664" s="10" t="n">
        <x:v>0</x:v>
      </x:c>
      <x:c r="N4664" s="10" t="n">
        <x:v>0</x:v>
      </x:c>
      <x:c r="O4664" s="2" t="str">
        <x:v>Hà Nội|house</x:v>
      </x:c>
      <x:c r="P4664" s="10" t="n">
        <x:v>2</x:v>
      </x:c>
      <x:c r="Q4664" s="13" t="n">
        <x:f>IF(H4664="","",H4664/1000000000)</x:f>
        <x:v>2.8</x:v>
      </x:c>
      <x:c r="R4664" s="13" t="n">
        <x:f>IF(I4664="","",I4664/1000000)</x:f>
        <x:v>73.6842105263158</x:v>
      </x:c>
    </x:row>
    <x:row r="4665" ht="21" customHeight="1">
      <x:c r="A4665" s="10" t="n">
        <x:v>6204</x:v>
      </x:c>
      <x:c r="B4665" s="2" t="str">
        <x:v>6517020505951f87c194</x:v>
      </x:c>
      <x:c r="C4665" s="2" t="str">
        <x:v>Hà Nội</x:v>
      </x:c>
      <x:c r="D4665" s="2" t="str">
        <x:v>Quận Cầu Giấy</x:v>
      </x:c>
      <x:c r="E4665" s="2" t="str">
        <x:v>house</x:v>
      </x:c>
      <x:c r="F4665" s="2" t="str">
        <x:v>sale</x:v>
      </x:c>
      <x:c r="G4665" s="11" t="n">
        <x:v>100</x:v>
      </x:c>
      <x:c r="H4665" s="12" t="n">
        <x:v>32000000000</x:v>
      </x:c>
      <x:c r="I4665" s="12" t="n">
        <x:v>320000000</x:v>
      </x:c>
      <x:c r="J4665" s="2" t="str">
        <x:v>total</x:v>
      </x:c>
      <x:c r="K4665" s="2" t="str">
        <x:v>top_level_area</x:v>
      </x:c>
      <x:c r="L4665" s="2" t="str">
        <x:v>property_type_inferred_from_title</x:v>
      </x:c>
      <x:c r="M4665" s="10" t="n">
        <x:v>1</x:v>
      </x:c>
      <x:c r="N4665" s="10" t="n">
        <x:v>1</x:v>
      </x:c>
      <x:c r="O4665" s="2" t="str">
        <x:v>Hà Nội|house</x:v>
      </x:c>
      <x:c r="P4665" s="10" t="n">
        <x:v>-1</x:v>
      </x:c>
      <x:c r="Q4665" s="13" t="n">
        <x:f>IF(H4665="","",H4665/1000000000)</x:f>
        <x:v>32</x:v>
      </x:c>
      <x:c r="R4665" s="13" t="n">
        <x:f>IF(I4665="","",I4665/1000000)</x:f>
        <x:v>320</x:v>
      </x:c>
    </x:row>
    <x:row r="4666" ht="21" customHeight="1">
      <x:c r="A4666" s="10" t="n">
        <x:v>6205</x:v>
      </x:c>
      <x:c r="B4666" s="2" t="str">
        <x:v>5379a64b2a7d4fa92f5e</x:v>
      </x:c>
      <x:c r="C4666" s="2" t="str">
        <x:v>Tp Hồ Chí Minh</x:v>
      </x:c>
      <x:c r="D4666" s="2" t="str">
        <x:v>Quận Tân Bình</x:v>
      </x:c>
      <x:c r="E4666" s="2" t="str">
        <x:v>house</x:v>
      </x:c>
      <x:c r="F4666" s="2" t="str">
        <x:v>sale_assumed</x:v>
      </x:c>
      <x:c r="G4666" s="11" t="n">
        <x:v>43</x:v>
      </x:c>
      <x:c r="H4666" s="12" t="n">
        <x:v>1230000000</x:v>
      </x:c>
      <x:c r="I4666" s="12" t="n">
        <x:v>28604651.162790697</x:v>
      </x:c>
      <x:c r="J4666" s="2" t="str">
        <x:v>total</x:v>
      </x:c>
      <x:c r="K4666" s="2" t="str">
        <x:v>top_level_price_embedded_area</x:v>
      </x:c>
      <x:c r="L4666" s="2" t="str">
        <x:v>area_recovered_from_price_text;property_type_inferred_from_title;transaction_assumed_sale_from_dataset_context</x:v>
      </x:c>
      <x:c r="M4666" s="10" t="n">
        <x:v>0</x:v>
      </x:c>
      <x:c r="N4666" s="10" t="n">
        <x:v>0</x:v>
      </x:c>
      <x:c r="O4666" s="2" t="str">
        <x:v>Tp Hồ Chí Minh|house</x:v>
      </x:c>
      <x:c r="P4666" s="10" t="n">
        <x:v>2</x:v>
      </x:c>
      <x:c r="Q4666" s="13" t="n">
        <x:f>IF(H4666="","",H4666/1000000000)</x:f>
        <x:v>1.23</x:v>
      </x:c>
      <x:c r="R4666" s="13" t="n">
        <x:f>IF(I4666="","",I4666/1000000)</x:f>
        <x:v>28.6046511627907</x:v>
      </x:c>
    </x:row>
    <x:row r="4667" ht="21" customHeight="1">
      <x:c r="A4667" s="10" t="n">
        <x:v>6206</x:v>
      </x:c>
      <x:c r="B4667" s="2" t="str">
        <x:v>5939b5d661fb47b3d45f</x:v>
      </x:c>
      <x:c r="C4667" s="2" t="str">
        <x:v>Tp Hồ Chí Minh</x:v>
      </x:c>
      <x:c r="D4667" s="2" t="str">
        <x:v>Quận 9</x:v>
      </x:c>
      <x:c r="E4667" s="2" t="str">
        <x:v>house</x:v>
      </x:c>
      <x:c r="F4667" s="2" t="str">
        <x:v>sale</x:v>
      </x:c>
      <x:c r="G4667" s="11" t="n">
        <x:v>200</x:v>
      </x:c>
      <x:c r="H4667" s="12" t="n">
        <x:v>1785000000</x:v>
      </x:c>
      <x:c r="I4667" s="12" t="n">
        <x:v>8925000</x:v>
      </x:c>
      <x:c r="J4667" s="2" t="str">
        <x:v>total</x:v>
      </x:c>
      <x:c r="K4667" s="2" t="str">
        <x:v>top_level_area</x:v>
      </x:c>
      <x:c r="L4667" s="2" t="str">
        <x:v>property_type_inferred_from_title</x:v>
      </x:c>
      <x:c r="M4667" s="10" t="n">
        <x:v>0</x:v>
      </x:c>
      <x:c r="N4667" s="10" t="n">
        <x:v>0</x:v>
      </x:c>
      <x:c r="O4667" s="2" t="str">
        <x:v>Tp Hồ Chí Minh|house</x:v>
      </x:c>
      <x:c r="P4667" s="10" t="n">
        <x:v>2</x:v>
      </x:c>
      <x:c r="Q4667" s="13" t="n">
        <x:f>IF(H4667="","",H4667/1000000000)</x:f>
        <x:v>1.785</x:v>
      </x:c>
      <x:c r="R4667" s="13" t="n">
        <x:f>IF(I4667="","",I4667/1000000)</x:f>
        <x:v>8.925</x:v>
      </x:c>
    </x:row>
    <x:row r="4668" ht="21" customHeight="1">
      <x:c r="A4668" s="10" t="n">
        <x:v>6207</x:v>
      </x:c>
      <x:c r="B4668" s="2" t="str">
        <x:v>25f156990301cdd25cc7</x:v>
      </x:c>
      <x:c r="C4668" s="2" t="str">
        <x:v>Tp Hồ Chí Minh</x:v>
      </x:c>
      <x:c r="D4668" s="2" t="str">
        <x:v>Quận 2</x:v>
      </x:c>
      <x:c r="E4668" s="2" t="str">
        <x:v>house</x:v>
      </x:c>
      <x:c r="F4668" s="2" t="str">
        <x:v>sale_assumed</x:v>
      </x:c>
      <x:c r="G4668" s="11" t="n">
        <x:v>60</x:v>
      </x:c>
      <x:c r="H4668" s="12" t="n">
        <x:v>1250000000</x:v>
      </x:c>
      <x:c r="I4668" s="12" t="n">
        <x:v>20833333.333333332</x:v>
      </x:c>
      <x:c r="J4668" s="2" t="str">
        <x:v>total</x:v>
      </x:c>
      <x:c r="K4668" s="2" t="str">
        <x:v>top_level_area</x:v>
      </x:c>
      <x:c r="L4668" s="2" t="str">
        <x:v>property_type_inferred_from_title;transaction_assumed_sale_from_dataset_context</x:v>
      </x:c>
      <x:c r="M4668" s="10" t="n">
        <x:v>0</x:v>
      </x:c>
      <x:c r="N4668" s="10" t="n">
        <x:v>0</x:v>
      </x:c>
      <x:c r="O4668" s="2" t="str">
        <x:v>Tp Hồ Chí Minh|house</x:v>
      </x:c>
      <x:c r="P4668" s="10" t="n">
        <x:v>2</x:v>
      </x:c>
      <x:c r="Q4668" s="13" t="n">
        <x:f>IF(H4668="","",H4668/1000000000)</x:f>
        <x:v>1.25</x:v>
      </x:c>
      <x:c r="R4668" s="13" t="n">
        <x:f>IF(I4668="","",I4668/1000000)</x:f>
        <x:v>20.833333333333332</x:v>
      </x:c>
    </x:row>
    <x:row r="4669" ht="21" customHeight="1">
      <x:c r="A4669" s="10" t="n">
        <x:v>6208</x:v>
      </x:c>
      <x:c r="B4669" s="2" t="str">
        <x:v>e0c3fdbcacddfb945c87</x:v>
      </x:c>
      <x:c r="C4669" s="2" t="str">
        <x:v>Tp Hồ Chí Minh</x:v>
      </x:c>
      <x:c r="D4669" s="2" t="str">
        <x:v>Quận 3</x:v>
      </x:c>
      <x:c r="E4669" s="2" t="str">
        <x:v>apartment</x:v>
      </x:c>
      <x:c r="F4669" s="2" t="str">
        <x:v>sale_assumed</x:v>
      </x:c>
      <x:c r="G4669" s="11" t="n">
        <x:v>75</x:v>
      </x:c>
      <x:c r="H4669" s="12" t="n">
        <x:v>1800000000</x:v>
      </x:c>
      <x:c r="I4669" s="12" t="n">
        <x:v>24000000</x:v>
      </x:c>
      <x:c r="J4669" s="2" t="str">
        <x:v>total</x:v>
      </x:c>
      <x:c r="K4669" s="2" t="str">
        <x:v>top_level_area</x:v>
      </x:c>
      <x:c r="L4669" s="2" t="str">
        <x:v>property_type_inferred_from_title;transaction_assumed_sale_from_dataset_context</x:v>
      </x:c>
      <x:c r="M4669" s="10" t="n">
        <x:v>0</x:v>
      </x:c>
      <x:c r="N4669" s="10" t="n">
        <x:v>0</x:v>
      </x:c>
      <x:c r="O4669" s="2" t="str">
        <x:v>Tp Hồ Chí Minh|apartment</x:v>
      </x:c>
      <x:c r="P4669" s="10" t="n">
        <x:v>2</x:v>
      </x:c>
      <x:c r="Q4669" s="13" t="n">
        <x:f>IF(H4669="","",H4669/1000000000)</x:f>
        <x:v>1.8</x:v>
      </x:c>
      <x:c r="R4669" s="13" t="n">
        <x:f>IF(I4669="","",I4669/1000000)</x:f>
        <x:v>24</x:v>
      </x:c>
    </x:row>
    <x:row r="4670" ht="21" customHeight="1">
      <x:c r="A4670" s="10" t="n">
        <x:v>6209</x:v>
      </x:c>
      <x:c r="B4670" s="2" t="str">
        <x:v>2943b295fd6bf3d29d80</x:v>
      </x:c>
      <x:c r="C4670" s="2" t="str">
        <x:v>Bình Dương</x:v>
      </x:c>
      <x:c r="D4670" s="2" t="str">
        <x:v>Huyện Bàu Bàng</x:v>
      </x:c>
      <x:c r="E4670" s="2" t="str">
        <x:v>land</x:v>
      </x:c>
      <x:c r="F4670" s="2" t="str">
        <x:v>sale_assumed</x:v>
      </x:c>
      <x:c r="G4670" s="11" t="n">
        <x:v>150</x:v>
      </x:c>
      <x:c r="H4670" s="12" t="n">
        <x:v>585000000</x:v>
      </x:c>
      <x:c r="I4670" s="12" t="n">
        <x:v>3900000</x:v>
      </x:c>
      <x:c r="J4670" s="2" t="str">
        <x:v>total</x:v>
      </x:c>
      <x:c r="K4670" s="2" t="str">
        <x:v>top_level_area</x:v>
      </x:c>
      <x:c r="L4670" s="2" t="str">
        <x:v>property_type_inferred_from_title;transaction_assumed_sale_from_dataset_context</x:v>
      </x:c>
      <x:c r="M4670" s="10" t="n">
        <x:v>0</x:v>
      </x:c>
      <x:c r="N4670" s="10" t="n">
        <x:v>0</x:v>
      </x:c>
      <x:c r="O4670" s="2" t="str">
        <x:v>Bình Dương|land</x:v>
      </x:c>
      <x:c r="P4670" s="10" t="n">
        <x:v>1</x:v>
      </x:c>
      <x:c r="Q4670" s="13" t="n">
        <x:f>IF(H4670="","",H4670/1000000000)</x:f>
        <x:v>0.585</x:v>
      </x:c>
      <x:c r="R4670" s="13" t="n">
        <x:f>IF(I4670="","",I4670/1000000)</x:f>
        <x:v>3.9</x:v>
      </x:c>
    </x:row>
    <x:row r="4671" ht="21" customHeight="1">
      <x:c r="A4671" s="10" t="n">
        <x:v>6210</x:v>
      </x:c>
      <x:c r="B4671" s="2" t="str">
        <x:v>1973dbbe2e3f69eaaac7</x:v>
      </x:c>
      <x:c r="C4671" s="2" t="str">
        <x:v>Đà Nẵng</x:v>
      </x:c>
      <x:c r="D4671" s="2" t="str">
        <x:v>Quận Sơn Trà</x:v>
      </x:c>
      <x:c r="E4671" s="2" t="str">
        <x:v>other_unknown</x:v>
      </x:c>
      <x:c r="F4671" s="2" t="str">
        <x:v>sale_assumed</x:v>
      </x:c>
      <x:c r="G4671" s="11" t="n">
        <x:v>62</x:v>
      </x:c>
      <x:c r="H4671" s="12" t="n">
        <x:v>2700000000</x:v>
      </x:c>
      <x:c r="I4671" s="12" t="n">
        <x:v>43548387.09677419</x:v>
      </x:c>
      <x:c r="J4671" s="2" t="str">
        <x:v>total</x:v>
      </x:c>
      <x:c r="K4671" s="2" t="str">
        <x:v>top_level_area</x:v>
      </x:c>
      <x:c r="L4671" s="2" t="str">
        <x:v>property_type_inferred_from_title;transaction_assumed_sale_from_dataset_context;unknown_property_type</x:v>
      </x:c>
      <x:c r="M4671" s="10" t="n">
        <x:v>0</x:v>
      </x:c>
      <x:c r="N4671" s="10" t="n">
        <x:v>0</x:v>
      </x:c>
      <x:c r="O4671" s="2" t="str">
        <x:v>Đà Nẵng|other_unknown</x:v>
      </x:c>
      <x:c r="P4671" s="10" t="n">
        <x:v>2</x:v>
      </x:c>
      <x:c r="Q4671" s="13" t="n">
        <x:f>IF(H4671="","",H4671/1000000000)</x:f>
        <x:v>2.7</x:v>
      </x:c>
      <x:c r="R4671" s="13" t="n">
        <x:f>IF(I4671="","",I4671/1000000)</x:f>
        <x:v>43.54838709677419</x:v>
      </x:c>
    </x:row>
    <x:row r="4672" ht="21" customHeight="1">
      <x:c r="A4672" s="10" t="n">
        <x:v>6211</x:v>
      </x:c>
      <x:c r="B4672" s="2" t="str">
        <x:v>b7b22f7d01a45d891a82</x:v>
      </x:c>
      <x:c r="C4672" s="2" t="str">
        <x:v>Khánh Hòa</x:v>
      </x:c>
      <x:c r="D4672" s="2" t="str">
        <x:v>Thành phố Nha Trang</x:v>
      </x:c>
      <x:c r="E4672" s="2" t="str">
        <x:v>other_unknown</x:v>
      </x:c>
      <x:c r="F4672" s="2" t="str">
        <x:v>sale_assumed</x:v>
      </x:c>
      <x:c r="G4672" s="11" t="n">
        <x:v>100</x:v>
      </x:c>
      <x:c r="H4672" s="12" t="n">
        <x:v>1800000000</x:v>
      </x:c>
      <x:c r="I4672" s="12" t="n">
        <x:v>18000000</x:v>
      </x:c>
      <x:c r="J4672" s="2" t="str">
        <x:v>total</x:v>
      </x:c>
      <x:c r="K4672" s="2" t="str">
        <x:v>top_level_area</x:v>
      </x:c>
      <x:c r="L4672" s="2" t="str">
        <x:v>property_type_inferred_from_title;transaction_assumed_sale_from_dataset_context;unknown_property_type</x:v>
      </x:c>
      <x:c r="M4672" s="10" t="n">
        <x:v>0</x:v>
      </x:c>
      <x:c r="N4672" s="10" t="n">
        <x:v>0</x:v>
      </x:c>
      <x:c r="O4672" s="2" t="str">
        <x:v>other_unknown</x:v>
      </x:c>
      <x:c r="P4672" s="10" t="n">
        <x:v>2</x:v>
      </x:c>
      <x:c r="Q4672" s="13" t="n">
        <x:f>IF(H4672="","",H4672/1000000000)</x:f>
        <x:v>1.8</x:v>
      </x:c>
      <x:c r="R4672" s="13" t="n">
        <x:f>IF(I4672="","",I4672/1000000)</x:f>
        <x:v>18</x:v>
      </x:c>
    </x:row>
    <x:row r="4673" ht="21" customHeight="1">
      <x:c r="A4673" s="10" t="n">
        <x:v>6212</x:v>
      </x:c>
      <x:c r="B4673" s="2" t="str">
        <x:v>9f948adb82da6e75b979</x:v>
      </x:c>
      <x:c r="C4673" s="2" t="str">
        <x:v>Tp Hồ Chí Minh</x:v>
      </x:c>
      <x:c r="D4673" s="2" t="str">
        <x:v>Quận Bình Tân</x:v>
      </x:c>
      <x:c r="E4673" s="2" t="str">
        <x:v>house</x:v>
      </x:c>
      <x:c r="F4673" s="2" t="str">
        <x:v>sale_assumed</x:v>
      </x:c>
      <x:c r="G4673" s="11" t="n">
        <x:v>33</x:v>
      </x:c>
      <x:c r="H4673" s="12" t="n">
        <x:v>1670000000</x:v>
      </x:c>
      <x:c r="I4673" s="12" t="n">
        <x:v>50606060.60606061</x:v>
      </x:c>
      <x:c r="J4673" s="2" t="str">
        <x:v>total</x:v>
      </x:c>
      <x:c r="K4673" s="2" t="str">
        <x:v>top_level_area</x:v>
      </x:c>
      <x:c r="L4673" s="2" t="str">
        <x:v>property_type_inferred_from_title;transaction_assumed_sale_from_dataset_context</x:v>
      </x:c>
      <x:c r="M4673" s="10" t="n">
        <x:v>0</x:v>
      </x:c>
      <x:c r="N4673" s="10" t="n">
        <x:v>0</x:v>
      </x:c>
      <x:c r="O4673" s="2" t="str">
        <x:v>Tp Hồ Chí Minh|house</x:v>
      </x:c>
      <x:c r="P4673" s="10" t="n">
        <x:v>2</x:v>
      </x:c>
      <x:c r="Q4673" s="13" t="n">
        <x:f>IF(H4673="","",H4673/1000000000)</x:f>
        <x:v>1.67</x:v>
      </x:c>
      <x:c r="R4673" s="13" t="n">
        <x:f>IF(I4673="","",I4673/1000000)</x:f>
        <x:v>50.60606060606061</x:v>
      </x:c>
    </x:row>
    <x:row r="4674" ht="21" customHeight="1">
      <x:c r="A4674" s="10" t="n">
        <x:v>6213</x:v>
      </x:c>
      <x:c r="B4674" s="2" t="str">
        <x:v>18e51b7a93c2479df7a9</x:v>
      </x:c>
      <x:c r="C4674" s="2" t="str">
        <x:v>Chưa xác định</x:v>
      </x:c>
      <x:c r="D4674" s="2" t="str">
        <x:v>Chưa xác định</x:v>
      </x:c>
      <x:c r="E4674" s="2" t="str">
        <x:v>other_unknown</x:v>
      </x:c>
      <x:c r="F4674" s="2" t="str">
        <x:v>sale_assumed</x:v>
      </x:c>
      <x:c r="G4674" s="11" t="n">
        <x:v>95</x:v>
      </x:c>
      <x:c r="H4674" s="12" t="n">
        <x:v>600000000</x:v>
      </x:c>
      <x:c r="I4674" s="12" t="n">
        <x:v>6315789.47368421</x:v>
      </x:c>
      <x:c r="J4674" s="2" t="str">
        <x:v>total</x:v>
      </x:c>
      <x:c r="K4674" s="2" t="str">
        <x:v>top_level_area</x:v>
      </x:c>
      <x:c r="L4674" s="2" t="str">
        <x:v>property_type_inferred_from_title;transaction_assumed_sale_from_dataset_context;unknown_district;unknown_property_type;unknown_province</x:v>
      </x:c>
      <x:c r="M4674" s="10" t="n">
        <x:v>0</x:v>
      </x:c>
      <x:c r="N4674" s="10" t="n">
        <x:v>0</x:v>
      </x:c>
      <x:c r="O4674" s="2" t="str">
        <x:v>other_unknown</x:v>
      </x:c>
      <x:c r="P4674" s="10" t="n">
        <x:v>2</x:v>
      </x:c>
      <x:c r="Q4674" s="13" t="n">
        <x:f>IF(H4674="","",H4674/1000000000)</x:f>
        <x:v>0.6</x:v>
      </x:c>
      <x:c r="R4674" s="13" t="n">
        <x:f>IF(I4674="","",I4674/1000000)</x:f>
        <x:v>6.315789473684211</x:v>
      </x:c>
    </x:row>
    <x:row r="4675" ht="21" customHeight="1">
      <x:c r="A4675" s="10" t="n">
        <x:v>6214</x:v>
      </x:c>
      <x:c r="B4675" s="2" t="str">
        <x:v>30077f512a9be20d97e8</x:v>
      </x:c>
      <x:c r="C4675" s="2" t="str">
        <x:v>Tp Hồ Chí Minh</x:v>
      </x:c>
      <x:c r="D4675" s="2" t="str">
        <x:v>Quận 7</x:v>
      </x:c>
      <x:c r="E4675" s="2" t="str">
        <x:v>other_unknown</x:v>
      </x:c>
      <x:c r="F4675" s="2" t="str">
        <x:v>sale</x:v>
      </x:c>
      <x:c r="G4675" s="11" t="n">
        <x:v>117</x:v>
      </x:c>
      <x:c r="H4675" s="12" t="n">
        <x:v>3400000000</x:v>
      </x:c>
      <x:c r="I4675" s="12" t="n">
        <x:v>29059829.05982906</x:v>
      </x:c>
      <x:c r="J4675" s="2" t="str">
        <x:v>total</x:v>
      </x:c>
      <x:c r="K4675" s="2" t="str">
        <x:v>top_level_area</x:v>
      </x:c>
      <x:c r="L4675" s="2" t="str">
        <x:v>property_type_inferred_from_title;unknown_property_type</x:v>
      </x:c>
      <x:c r="M4675" s="10" t="n">
        <x:v>0</x:v>
      </x:c>
      <x:c r="N4675" s="10" t="n">
        <x:v>0</x:v>
      </x:c>
      <x:c r="O4675" s="2" t="str">
        <x:v>Tp Hồ Chí Minh|other_unknown</x:v>
      </x:c>
      <x:c r="P4675" s="10" t="n">
        <x:v>2</x:v>
      </x:c>
      <x:c r="Q4675" s="13" t="n">
        <x:f>IF(H4675="","",H4675/1000000000)</x:f>
        <x:v>3.4</x:v>
      </x:c>
      <x:c r="R4675" s="13" t="n">
        <x:f>IF(I4675="","",I4675/1000000)</x:f>
        <x:v>29.05982905982906</x:v>
      </x:c>
    </x:row>
    <x:row r="4676" ht="21" customHeight="1">
      <x:c r="A4676" s="10" t="n">
        <x:v>6218</x:v>
      </x:c>
      <x:c r="B4676" s="2" t="str">
        <x:v>8f3c3cddd254980af1ea</x:v>
      </x:c>
      <x:c r="C4676" s="2" t="str">
        <x:v>Tp Hồ Chí Minh</x:v>
      </x:c>
      <x:c r="D4676" s="2" t="str">
        <x:v>Quận 3</x:v>
      </x:c>
      <x:c r="E4676" s="2" t="str">
        <x:v>house</x:v>
      </x:c>
      <x:c r="F4676" s="2" t="str">
        <x:v>sale</x:v>
      </x:c>
      <x:c r="G4676" s="11" t="n">
        <x:v>42</x:v>
      </x:c>
      <x:c r="H4676" s="12" t="n">
        <x:v>1680000000</x:v>
      </x:c>
      <x:c r="I4676" s="12" t="n">
        <x:v>40000000</x:v>
      </x:c>
      <x:c r="J4676" s="2" t="str">
        <x:v>total</x:v>
      </x:c>
      <x:c r="K4676" s="2" t="str">
        <x:v>top_level_price_embedded_area</x:v>
      </x:c>
      <x:c r="L4676" s="2" t="str">
        <x:v>area_recovered_from_price_text;property_type_inferred_from_title</x:v>
      </x:c>
      <x:c r="M4676" s="10" t="n">
        <x:v>0</x:v>
      </x:c>
      <x:c r="N4676" s="10" t="n">
        <x:v>0</x:v>
      </x:c>
      <x:c r="O4676" s="2" t="str">
        <x:v>Tp Hồ Chí Minh|house</x:v>
      </x:c>
      <x:c r="P4676" s="10" t="n">
        <x:v>2</x:v>
      </x:c>
      <x:c r="Q4676" s="13" t="n">
        <x:f>IF(H4676="","",H4676/1000000000)</x:f>
        <x:v>1.68</x:v>
      </x:c>
      <x:c r="R4676" s="13" t="n">
        <x:f>IF(I4676="","",I4676/1000000)</x:f>
        <x:v>40</x:v>
      </x:c>
    </x:row>
    <x:row r="4677" ht="21" customHeight="1">
      <x:c r="A4677" s="10" t="n">
        <x:v>6219</x:v>
      </x:c>
      <x:c r="B4677" s="2" t="str">
        <x:v>490948db22d0b4840651</x:v>
      </x:c>
      <x:c r="C4677" s="2" t="str">
        <x:v>Tp Hồ Chí Minh</x:v>
      </x:c>
      <x:c r="D4677" s="2" t="str">
        <x:v>Quận Bình Tân</x:v>
      </x:c>
      <x:c r="E4677" s="2" t="str">
        <x:v>house</x:v>
      </x:c>
      <x:c r="F4677" s="2" t="str">
        <x:v>sale</x:v>
      </x:c>
      <x:c r="G4677" s="11" t="n">
        <x:v>56</x:v>
      </x:c>
      <x:c r="H4677" s="12" t="n">
        <x:v>4200000000</x:v>
      </x:c>
      <x:c r="I4677" s="12" t="n">
        <x:v>75000000</x:v>
      </x:c>
      <x:c r="J4677" s="2" t="str">
        <x:v>total</x:v>
      </x:c>
      <x:c r="K4677" s="2" t="str">
        <x:v>top_level_area</x:v>
      </x:c>
      <x:c r="L4677" s="2" t="str">
        <x:v>property_type_inferred_from_title</x:v>
      </x:c>
      <x:c r="M4677" s="10" t="n">
        <x:v>0</x:v>
      </x:c>
      <x:c r="N4677" s="10" t="n">
        <x:v>0</x:v>
      </x:c>
      <x:c r="O4677" s="2" t="str">
        <x:v>Tp Hồ Chí Minh|house</x:v>
      </x:c>
      <x:c r="P4677" s="10" t="n">
        <x:v>2</x:v>
      </x:c>
      <x:c r="Q4677" s="13" t="n">
        <x:f>IF(H4677="","",H4677/1000000000)</x:f>
        <x:v>4.2</x:v>
      </x:c>
      <x:c r="R4677" s="13" t="n">
        <x:f>IF(I4677="","",I4677/1000000)</x:f>
        <x:v>75</x:v>
      </x:c>
    </x:row>
    <x:row r="4678" ht="21" customHeight="1">
      <x:c r="A4678" s="10" t="n">
        <x:v>6220</x:v>
      </x:c>
      <x:c r="B4678" s="2" t="str">
        <x:v>838a2088cf70331b3c37</x:v>
      </x:c>
      <x:c r="C4678" s="2" t="str">
        <x:v>Tp Hồ Chí Minh</x:v>
      </x:c>
      <x:c r="D4678" s="2" t="str">
        <x:v>Huyện Bình Chánh</x:v>
      </x:c>
      <x:c r="E4678" s="2" t="str">
        <x:v>other_unknown</x:v>
      </x:c>
      <x:c r="F4678" s="2" t="str">
        <x:v>sale</x:v>
      </x:c>
      <x:c r="G4678" s="11" t="n">
        <x:v>184</x:v>
      </x:c>
      <x:c r="H4678" s="12" t="n">
        <x:v>1150000000</x:v>
      </x:c>
      <x:c r="I4678" s="12" t="n">
        <x:v>6250000</x:v>
      </x:c>
      <x:c r="J4678" s="2" t="str">
        <x:v>total</x:v>
      </x:c>
      <x:c r="K4678" s="2" t="str">
        <x:v>top_level_area</x:v>
      </x:c>
      <x:c r="L4678" s="2" t="str">
        <x:v>property_type_inferred_from_title;unknown_property_type</x:v>
      </x:c>
      <x:c r="M4678" s="10" t="n">
        <x:v>0</x:v>
      </x:c>
      <x:c r="N4678" s="10" t="n">
        <x:v>0</x:v>
      </x:c>
      <x:c r="O4678" s="2" t="str">
        <x:v>Tp Hồ Chí Minh|other_unknown</x:v>
      </x:c>
      <x:c r="P4678" s="10" t="n">
        <x:v>1</x:v>
      </x:c>
      <x:c r="Q4678" s="13" t="n">
        <x:f>IF(H4678="","",H4678/1000000000)</x:f>
        <x:v>1.15</x:v>
      </x:c>
      <x:c r="R4678" s="13" t="n">
        <x:f>IF(I4678="","",I4678/1000000)</x:f>
        <x:v>6.25</x:v>
      </x:c>
    </x:row>
    <x:row r="4679" ht="21" customHeight="1">
      <x:c r="A4679" s="10" t="n">
        <x:v>6221</x:v>
      </x:c>
      <x:c r="B4679" s="2" t="str">
        <x:v>52aa0e8798ff8c1f4654</x:v>
      </x:c>
      <x:c r="C4679" s="2" t="str">
        <x:v>Bình Dương</x:v>
      </x:c>
      <x:c r="D4679" s="2" t="str">
        <x:v>Thị xã Dĩ An</x:v>
      </x:c>
      <x:c r="E4679" s="2" t="str">
        <x:v>other_unknown</x:v>
      </x:c>
      <x:c r="F4679" s="2" t="str">
        <x:v>sale_assumed</x:v>
      </x:c>
      <x:c r="G4679" s="11" t="n">
        <x:v>145</x:v>
      </x:c>
      <x:c r="H4679" s="12" t="n">
        <x:v>2450000000</x:v>
      </x:c>
      <x:c r="I4679" s="12" t="n">
        <x:v>16896551.724137932</x:v>
      </x:c>
      <x:c r="J4679" s="2" t="str">
        <x:v>total</x:v>
      </x:c>
      <x:c r="K4679" s="2" t="str">
        <x:v>top_level_area</x:v>
      </x:c>
      <x:c r="L4679" s="2" t="str">
        <x:v>property_type_inferred_from_title;transaction_assumed_sale_from_dataset_context;unknown_property_type</x:v>
      </x:c>
      <x:c r="M4679" s="10" t="n">
        <x:v>0</x:v>
      </x:c>
      <x:c r="N4679" s="10" t="n">
        <x:v>0</x:v>
      </x:c>
      <x:c r="O4679" s="2" t="str">
        <x:v>Bình Dương|other_unknown</x:v>
      </x:c>
      <x:c r="P4679" s="10" t="n">
        <x:v>2</x:v>
      </x:c>
      <x:c r="Q4679" s="13" t="n">
        <x:f>IF(H4679="","",H4679/1000000000)</x:f>
        <x:v>2.45</x:v>
      </x:c>
      <x:c r="R4679" s="13" t="n">
        <x:f>IF(I4679="","",I4679/1000000)</x:f>
        <x:v>16.896551724137932</x:v>
      </x:c>
    </x:row>
    <x:row r="4680" ht="21" customHeight="1">
      <x:c r="A4680" s="10" t="n">
        <x:v>6222</x:v>
      </x:c>
      <x:c r="B4680" s="2" t="str">
        <x:v>43f91c094457d1cdb16a</x:v>
      </x:c>
      <x:c r="C4680" s="2" t="str">
        <x:v>Tp Hồ Chí Minh</x:v>
      </x:c>
      <x:c r="D4680" s="2" t="str">
        <x:v>Quận 9</x:v>
      </x:c>
      <x:c r="E4680" s="2" t="str">
        <x:v>other_unknown</x:v>
      </x:c>
      <x:c r="F4680" s="2" t="str">
        <x:v>sale</x:v>
      </x:c>
      <x:c r="G4680" s="11" t="n">
        <x:v>66</x:v>
      </x:c>
      <x:c r="H4680" s="12" t="n">
        <x:v>2400000000</x:v>
      </x:c>
      <x:c r="I4680" s="12" t="n">
        <x:v>36363636.36363637</x:v>
      </x:c>
      <x:c r="J4680" s="2" t="str">
        <x:v>total</x:v>
      </x:c>
      <x:c r="K4680" s="2" t="str">
        <x:v>top_level_area</x:v>
      </x:c>
      <x:c r="L4680" s="2" t="str">
        <x:v>property_type_inferred_from_title;unknown_property_type</x:v>
      </x:c>
      <x:c r="M4680" s="10" t="n">
        <x:v>0</x:v>
      </x:c>
      <x:c r="N4680" s="10" t="n">
        <x:v>0</x:v>
      </x:c>
      <x:c r="O4680" s="2" t="str">
        <x:v>Tp Hồ Chí Minh|other_unknown</x:v>
      </x:c>
      <x:c r="P4680" s="10" t="n">
        <x:v>2</x:v>
      </x:c>
      <x:c r="Q4680" s="13" t="n">
        <x:f>IF(H4680="","",H4680/1000000000)</x:f>
        <x:v>2.4</x:v>
      </x:c>
      <x:c r="R4680" s="13" t="n">
        <x:f>IF(I4680="","",I4680/1000000)</x:f>
        <x:v>36.36363636363637</x:v>
      </x:c>
    </x:row>
    <x:row r="4681" ht="21" customHeight="1">
      <x:c r="A4681" s="10" t="n">
        <x:v>6223</x:v>
      </x:c>
      <x:c r="B4681" s="2" t="str">
        <x:v>6bd28a90f170025fc6fc</x:v>
      </x:c>
      <x:c r="C4681" s="2" t="str">
        <x:v>Tp Hồ Chí Minh</x:v>
      </x:c>
      <x:c r="D4681" s="2" t="str">
        <x:v>Quận 8</x:v>
      </x:c>
      <x:c r="E4681" s="2" t="str">
        <x:v>house</x:v>
      </x:c>
      <x:c r="F4681" s="2" t="str">
        <x:v>sale_assumed</x:v>
      </x:c>
      <x:c r="G4681" s="11" t="n">
        <x:v>43</x:v>
      </x:c>
      <x:c r="H4681" s="12" t="n">
        <x:v>565000000</x:v>
      </x:c>
      <x:c r="I4681" s="12" t="n">
        <x:v>13139534.88372093</x:v>
      </x:c>
      <x:c r="J4681" s="2" t="str">
        <x:v>total</x:v>
      </x:c>
      <x:c r="K4681" s="2" t="str">
        <x:v>top_level_area</x:v>
      </x:c>
      <x:c r="L4681" s="2" t="str">
        <x:v>property_type_inferred_from_title;transaction_assumed_sale_from_dataset_context</x:v>
      </x:c>
      <x:c r="M4681" s="10" t="n">
        <x:v>0</x:v>
      </x:c>
      <x:c r="N4681" s="10" t="n">
        <x:v>0</x:v>
      </x:c>
      <x:c r="O4681" s="2" t="str">
        <x:v>Tp Hồ Chí Minh|house</x:v>
      </x:c>
      <x:c r="P4681" s="10" t="n">
        <x:v>2</x:v>
      </x:c>
      <x:c r="Q4681" s="13" t="n">
        <x:f>IF(H4681="","",H4681/1000000000)</x:f>
        <x:v>0.565</x:v>
      </x:c>
      <x:c r="R4681" s="13" t="n">
        <x:f>IF(I4681="","",I4681/1000000)</x:f>
        <x:v>13.13953488372093</x:v>
      </x:c>
    </x:row>
    <x:row r="4682" ht="21" customHeight="1">
      <x:c r="A4682" s="10" t="n">
        <x:v>6224</x:v>
      </x:c>
      <x:c r="B4682" s="2" t="str">
        <x:v>586a0848a3e962158542</x:v>
      </x:c>
      <x:c r="C4682" s="2" t="str">
        <x:v>Tp Hồ Chí Minh</x:v>
      </x:c>
      <x:c r="D4682" s="2" t="str">
        <x:v>Quận 6</x:v>
      </x:c>
      <x:c r="E4682" s="2" t="str">
        <x:v>house</x:v>
      </x:c>
      <x:c r="F4682" s="2" t="str">
        <x:v>sale_assumed</x:v>
      </x:c>
      <x:c r="G4682" s="11" t="n">
        <x:v>40</x:v>
      </x:c>
      <x:c r="H4682" s="12" t="n">
        <x:v>5500000000</x:v>
      </x:c>
      <x:c r="I4682" s="12" t="n">
        <x:v>137500000</x:v>
      </x:c>
      <x:c r="J4682" s="2" t="str">
        <x:v>total</x:v>
      </x:c>
      <x:c r="K4682" s="2" t="str">
        <x:v>top_level_area</x:v>
      </x:c>
      <x:c r="L4682" s="2" t="str">
        <x:v>property_type_inferred_from_title;transaction_assumed_sale_from_dataset_context</x:v>
      </x:c>
      <x:c r="M4682" s="10" t="n">
        <x:v>0</x:v>
      </x:c>
      <x:c r="N4682" s="10" t="n">
        <x:v>0</x:v>
      </x:c>
      <x:c r="O4682" s="2" t="str">
        <x:v>Tp Hồ Chí Minh|house</x:v>
      </x:c>
      <x:c r="P4682" s="10" t="n">
        <x:v>2</x:v>
      </x:c>
      <x:c r="Q4682" s="13" t="n">
        <x:f>IF(H4682="","",H4682/1000000000)</x:f>
        <x:v>5.5</x:v>
      </x:c>
      <x:c r="R4682" s="13" t="n">
        <x:f>IF(I4682="","",I4682/1000000)</x:f>
        <x:v>137.5</x:v>
      </x:c>
    </x:row>
    <x:row r="4683" ht="21" customHeight="1">
      <x:c r="A4683" s="10" t="n">
        <x:v>6225</x:v>
      </x:c>
      <x:c r="B4683" s="2" t="str">
        <x:v>9b05532a17013c520d03</x:v>
      </x:c>
      <x:c r="C4683" s="2" t="str">
        <x:v>Tp Hồ Chí Minh</x:v>
      </x:c>
      <x:c r="D4683" s="2" t="str">
        <x:v>Quận Gò Vấp</x:v>
      </x:c>
      <x:c r="E4683" s="2" t="str">
        <x:v>house</x:v>
      </x:c>
      <x:c r="F4683" s="2" t="str">
        <x:v>sale_assumed</x:v>
      </x:c>
      <x:c r="G4683" s="11" t="n">
        <x:v>52</x:v>
      </x:c>
      <x:c r="H4683" s="12" t="n">
        <x:v>730000000</x:v>
      </x:c>
      <x:c r="I4683" s="12" t="n">
        <x:v>14038461.538461538</x:v>
      </x:c>
      <x:c r="J4683" s="2" t="str">
        <x:v>total</x:v>
      </x:c>
      <x:c r="K4683" s="2" t="str">
        <x:v>top_level_area</x:v>
      </x:c>
      <x:c r="L4683" s="2" t="str">
        <x:v>property_type_inferred_from_title;transaction_assumed_sale_from_dataset_context</x:v>
      </x:c>
      <x:c r="M4683" s="10" t="n">
        <x:v>0</x:v>
      </x:c>
      <x:c r="N4683" s="10" t="n">
        <x:v>0</x:v>
      </x:c>
      <x:c r="O4683" s="2" t="str">
        <x:v>Tp Hồ Chí Minh|house</x:v>
      </x:c>
      <x:c r="P4683" s="10" t="n">
        <x:v>2</x:v>
      </x:c>
      <x:c r="Q4683" s="13" t="n">
        <x:f>IF(H4683="","",H4683/1000000000)</x:f>
        <x:v>0.73</x:v>
      </x:c>
      <x:c r="R4683" s="13" t="n">
        <x:f>IF(I4683="","",I4683/1000000)</x:f>
        <x:v>14.038461538461538</x:v>
      </x:c>
    </x:row>
    <x:row r="4684" ht="21" customHeight="1">
      <x:c r="A4684" s="10" t="n">
        <x:v>6226</x:v>
      </x:c>
      <x:c r="B4684" s="2" t="str">
        <x:v>629c90dad21f740ad80f</x:v>
      </x:c>
      <x:c r="C4684" s="2" t="str">
        <x:v>Tp Hồ Chí Minh</x:v>
      </x:c>
      <x:c r="D4684" s="2" t="str">
        <x:v>Quận 9</x:v>
      </x:c>
      <x:c r="E4684" s="2" t="str">
        <x:v>land</x:v>
      </x:c>
      <x:c r="F4684" s="2" t="str">
        <x:v>sale_assumed</x:v>
      </x:c>
      <x:c r="G4684" s="11" t="n">
        <x:v>80</x:v>
      </x:c>
      <x:c r="H4684" s="12" t="n">
        <x:v>570000000</x:v>
      </x:c>
      <x:c r="I4684" s="12" t="n">
        <x:v>7125000</x:v>
      </x:c>
      <x:c r="J4684" s="2" t="str">
        <x:v>total</x:v>
      </x:c>
      <x:c r="K4684" s="2" t="str">
        <x:v>top_level_area</x:v>
      </x:c>
      <x:c r="L4684" s="2" t="str">
        <x:v>property_type_inferred_from_title;transaction_assumed_sale_from_dataset_context</x:v>
      </x:c>
      <x:c r="M4684" s="10" t="n">
        <x:v>0</x:v>
      </x:c>
      <x:c r="N4684" s="10" t="n">
        <x:v>0</x:v>
      </x:c>
      <x:c r="O4684" s="2" t="str">
        <x:v>Tp Hồ Chí Minh|land</x:v>
      </x:c>
      <x:c r="P4684" s="10" t="n">
        <x:v>2</x:v>
      </x:c>
      <x:c r="Q4684" s="13" t="n">
        <x:f>IF(H4684="","",H4684/1000000000)</x:f>
        <x:v>0.57</x:v>
      </x:c>
      <x:c r="R4684" s="13" t="n">
        <x:f>IF(I4684="","",I4684/1000000)</x:f>
        <x:v>7.125</x:v>
      </x:c>
    </x:row>
    <x:row r="4685" ht="21" customHeight="1">
      <x:c r="A4685" s="10" t="n">
        <x:v>6227</x:v>
      </x:c>
      <x:c r="B4685" s="2" t="str">
        <x:v>ac489a02ebb652a94b93</x:v>
      </x:c>
      <x:c r="C4685" s="2" t="str">
        <x:v>Tp Hồ Chí Minh</x:v>
      </x:c>
      <x:c r="D4685" s="2" t="str">
        <x:v>Quận 12</x:v>
      </x:c>
      <x:c r="E4685" s="2" t="str">
        <x:v>house</x:v>
      </x:c>
      <x:c r="F4685" s="2" t="str">
        <x:v>sale_assumed</x:v>
      </x:c>
      <x:c r="G4685" s="11" t="n">
        <x:v>55</x:v>
      </x:c>
      <x:c r="H4685" s="12" t="n">
        <x:v>4600000000</x:v>
      </x:c>
      <x:c r="I4685" s="12" t="n">
        <x:v>83636363.63636364</x:v>
      </x:c>
      <x:c r="J4685" s="2" t="str">
        <x:v>total</x:v>
      </x:c>
      <x:c r="K4685" s="2" t="str">
        <x:v>top_level_area</x:v>
      </x:c>
      <x:c r="L4685" s="2" t="str">
        <x:v>property_type_inferred_from_title;transaction_assumed_sale_from_dataset_context</x:v>
      </x:c>
      <x:c r="M4685" s="10" t="n">
        <x:v>0</x:v>
      </x:c>
      <x:c r="N4685" s="10" t="n">
        <x:v>0</x:v>
      </x:c>
      <x:c r="O4685" s="2" t="str">
        <x:v>Tp Hồ Chí Minh|house</x:v>
      </x:c>
      <x:c r="P4685" s="10" t="n">
        <x:v>2</x:v>
      </x:c>
      <x:c r="Q4685" s="13" t="n">
        <x:f>IF(H4685="","",H4685/1000000000)</x:f>
        <x:v>4.6</x:v>
      </x:c>
      <x:c r="R4685" s="13" t="n">
        <x:f>IF(I4685="","",I4685/1000000)</x:f>
        <x:v>83.63636363636364</x:v>
      </x:c>
    </x:row>
    <x:row r="4686" ht="21" customHeight="1">
      <x:c r="A4686" s="10" t="n">
        <x:v>6228</x:v>
      </x:c>
      <x:c r="B4686" s="2" t="str">
        <x:v>02b774125341aca6656c</x:v>
      </x:c>
      <x:c r="C4686" s="2" t="str">
        <x:v>Tp Hồ Chí Minh</x:v>
      </x:c>
      <x:c r="D4686" s="2" t="str">
        <x:v>Quận 9</x:v>
      </x:c>
      <x:c r="E4686" s="2" t="str">
        <x:v>house</x:v>
      </x:c>
      <x:c r="F4686" s="2" t="str">
        <x:v>sale</x:v>
      </x:c>
      <x:c r="G4686" s="11" t="n">
        <x:v>85</x:v>
      </x:c>
      <x:c r="H4686" s="12" t="n">
        <x:v>1120000000</x:v>
      </x:c>
      <x:c r="I4686" s="12" t="n">
        <x:v>13176470.588235294</x:v>
      </x:c>
      <x:c r="J4686" s="2" t="str">
        <x:v>total</x:v>
      </x:c>
      <x:c r="K4686" s="2" t="str">
        <x:v>top_level_area</x:v>
      </x:c>
      <x:c r="L4686" s="2" t="str">
        <x:v>property_type_inferred_from_title</x:v>
      </x:c>
      <x:c r="M4686" s="10" t="n">
        <x:v>0</x:v>
      </x:c>
      <x:c r="N4686" s="10" t="n">
        <x:v>0</x:v>
      </x:c>
      <x:c r="O4686" s="2" t="str">
        <x:v>Tp Hồ Chí Minh|house</x:v>
      </x:c>
      <x:c r="P4686" s="10" t="n">
        <x:v>2</x:v>
      </x:c>
      <x:c r="Q4686" s="13" t="n">
        <x:f>IF(H4686="","",H4686/1000000000)</x:f>
        <x:v>1.12</x:v>
      </x:c>
      <x:c r="R4686" s="13" t="n">
        <x:f>IF(I4686="","",I4686/1000000)</x:f>
        <x:v>13.176470588235295</x:v>
      </x:c>
    </x:row>
    <x:row r="4687" ht="21" customHeight="1">
      <x:c r="A4687" s="10" t="n">
        <x:v>6229</x:v>
      </x:c>
      <x:c r="B4687" s="2" t="str">
        <x:v>b2d0846b587be759ee89</x:v>
      </x:c>
      <x:c r="C4687" s="2" t="str">
        <x:v>Tp Hồ Chí Minh</x:v>
      </x:c>
      <x:c r="D4687" s="2" t="str">
        <x:v>Quận Bình Tân</x:v>
      </x:c>
      <x:c r="E4687" s="2" t="str">
        <x:v>other_unknown</x:v>
      </x:c>
      <x:c r="F4687" s="2" t="str">
        <x:v>sale_assumed</x:v>
      </x:c>
      <x:c r="G4687" s="11" t="n">
        <x:v>40</x:v>
      </x:c>
      <x:c r="H4687" s="12" t="n">
        <x:v>1950000000</x:v>
      </x:c>
      <x:c r="I4687" s="12" t="n">
        <x:v>48750000</x:v>
      </x:c>
      <x:c r="J4687" s="2" t="str">
        <x:v>total</x:v>
      </x:c>
      <x:c r="K4687" s="2" t="str">
        <x:v>top_level_area</x:v>
      </x:c>
      <x:c r="L4687" s="2" t="str">
        <x:v>property_type_inferred_from_title;transaction_assumed_sale_from_dataset_context;unknown_property_type</x:v>
      </x:c>
      <x:c r="M4687" s="10" t="n">
        <x:v>0</x:v>
      </x:c>
      <x:c r="N4687" s="10" t="n">
        <x:v>0</x:v>
      </x:c>
      <x:c r="O4687" s="2" t="str">
        <x:v>Tp Hồ Chí Minh|other_unknown</x:v>
      </x:c>
      <x:c r="P4687" s="10" t="n">
        <x:v>2</x:v>
      </x:c>
      <x:c r="Q4687" s="13" t="n">
        <x:f>IF(H4687="","",H4687/1000000000)</x:f>
        <x:v>1.95</x:v>
      </x:c>
      <x:c r="R4687" s="13" t="n">
        <x:f>IF(I4687="","",I4687/1000000)</x:f>
        <x:v>48.75</x:v>
      </x:c>
    </x:row>
    <x:row r="4688" ht="21" customHeight="1">
      <x:c r="A4688" s="10" t="n">
        <x:v>6230</x:v>
      </x:c>
      <x:c r="B4688" s="2" t="str">
        <x:v>239ca83adf3f8f116cfb</x:v>
      </x:c>
      <x:c r="C4688" s="2" t="str">
        <x:v>Hà Nội</x:v>
      </x:c>
      <x:c r="D4688" s="2" t="str">
        <x:v>Quận Hoàng Mai</x:v>
      </x:c>
      <x:c r="E4688" s="2" t="str">
        <x:v>house</x:v>
      </x:c>
      <x:c r="F4688" s="2" t="str">
        <x:v>sale</x:v>
      </x:c>
      <x:c r="G4688" s="11" t="n">
        <x:v>25</x:v>
      </x:c>
      <x:c r="H4688" s="12" t="n">
        <x:v>2350000000</x:v>
      </x:c>
      <x:c r="I4688" s="12" t="n">
        <x:v>94000000</x:v>
      </x:c>
      <x:c r="J4688" s="2" t="str">
        <x:v>total</x:v>
      </x:c>
      <x:c r="K4688" s="2" t="str">
        <x:v>top_level_area</x:v>
      </x:c>
      <x:c r="L4688" s="2" t="str">
        <x:v>property_type_inferred_from_title</x:v>
      </x:c>
      <x:c r="M4688" s="10" t="n">
        <x:v>0</x:v>
      </x:c>
      <x:c r="N4688" s="10" t="n">
        <x:v>0</x:v>
      </x:c>
      <x:c r="O4688" s="2" t="str">
        <x:v>Hà Nội|house</x:v>
      </x:c>
      <x:c r="P4688" s="10" t="n">
        <x:v>2</x:v>
      </x:c>
      <x:c r="Q4688" s="13" t="n">
        <x:f>IF(H4688="","",H4688/1000000000)</x:f>
        <x:v>2.35</x:v>
      </x:c>
      <x:c r="R4688" s="13" t="n">
        <x:f>IF(I4688="","",I4688/1000000)</x:f>
        <x:v>94</x:v>
      </x:c>
    </x:row>
    <x:row r="4689" ht="21" customHeight="1">
      <x:c r="A4689" s="10" t="n">
        <x:v>6231</x:v>
      </x:c>
      <x:c r="B4689" s="2" t="str">
        <x:v>3d814d262f50cb1d4438</x:v>
      </x:c>
      <x:c r="C4689" s="2" t="str">
        <x:v>Tp Hồ Chí Minh</x:v>
      </x:c>
      <x:c r="D4689" s="2" t="str">
        <x:v>Quận Thủ Đức</x:v>
      </x:c>
      <x:c r="E4689" s="2" t="str">
        <x:v>house</x:v>
      </x:c>
      <x:c r="F4689" s="2" t="str">
        <x:v>sale_assumed</x:v>
      </x:c>
      <x:c r="G4689" s="11" t="n">
        <x:v>50</x:v>
      </x:c>
      <x:c r="H4689" s="12" t="n">
        <x:v>860000000</x:v>
      </x:c>
      <x:c r="I4689" s="12" t="n">
        <x:v>17200000</x:v>
      </x:c>
      <x:c r="J4689" s="2" t="str">
        <x:v>total</x:v>
      </x:c>
      <x:c r="K4689" s="2" t="str">
        <x:v>top_level_area</x:v>
      </x:c>
      <x:c r="L4689" s="2" t="str">
        <x:v>property_type_inferred_from_title;transaction_assumed_sale_from_dataset_context</x:v>
      </x:c>
      <x:c r="M4689" s="10" t="n">
        <x:v>0</x:v>
      </x:c>
      <x:c r="N4689" s="10" t="n">
        <x:v>0</x:v>
      </x:c>
      <x:c r="O4689" s="2" t="str">
        <x:v>Tp Hồ Chí Minh|house</x:v>
      </x:c>
      <x:c r="P4689" s="10" t="n">
        <x:v>2</x:v>
      </x:c>
      <x:c r="Q4689" s="13" t="n">
        <x:f>IF(H4689="","",H4689/1000000000)</x:f>
        <x:v>0.86</x:v>
      </x:c>
      <x:c r="R4689" s="13" t="n">
        <x:f>IF(I4689="","",I4689/1000000)</x:f>
        <x:v>17.2</x:v>
      </x:c>
    </x:row>
    <x:row r="4690" ht="21" customHeight="1">
      <x:c r="A4690" s="10" t="n">
        <x:v>6232</x:v>
      </x:c>
      <x:c r="B4690" s="2" t="str">
        <x:v>30feb523a98b21e131aa</x:v>
      </x:c>
      <x:c r="C4690" s="2" t="str">
        <x:v>Tp Hồ Chí Minh</x:v>
      </x:c>
      <x:c r="D4690" s="2" t="str">
        <x:v>Quận 10</x:v>
      </x:c>
      <x:c r="E4690" s="2" t="str">
        <x:v>house</x:v>
      </x:c>
      <x:c r="F4690" s="2" t="str">
        <x:v>sale</x:v>
      </x:c>
      <x:c r="G4690" s="11" t="n">
        <x:v>148</x:v>
      </x:c>
      <x:c r="H4690" s="12" t="n">
        <x:v>52000000000</x:v>
      </x:c>
      <x:c r="I4690" s="12" t="n">
        <x:v>351351351.3513514</x:v>
      </x:c>
      <x:c r="J4690" s="2" t="str">
        <x:v>total</x:v>
      </x:c>
      <x:c r="K4690" s="2" t="str">
        <x:v>top_level_price_embedded_area</x:v>
      </x:c>
      <x:c r="L4690" s="2" t="str">
        <x:v>area_recovered_from_price_text;property_type_inferred_from_title</x:v>
      </x:c>
      <x:c r="M4690" s="10" t="n">
        <x:v>1</x:v>
      </x:c>
      <x:c r="N4690" s="10" t="n">
        <x:v>1</x:v>
      </x:c>
      <x:c r="O4690" s="2" t="str">
        <x:v>Tp Hồ Chí Minh|house</x:v>
      </x:c>
      <x:c r="P4690" s="10" t="n">
        <x:v>-1</x:v>
      </x:c>
      <x:c r="Q4690" s="13" t="n">
        <x:f>IF(H4690="","",H4690/1000000000)</x:f>
        <x:v>52</x:v>
      </x:c>
      <x:c r="R4690" s="13" t="n">
        <x:f>IF(I4690="","",I4690/1000000)</x:f>
        <x:v>351.35135135135135</x:v>
      </x:c>
    </x:row>
    <x:row r="4691" ht="21" customHeight="1">
      <x:c r="A4691" s="10" t="n">
        <x:v>6233</x:v>
      </x:c>
      <x:c r="B4691" s="2" t="str">
        <x:v>1e53c5120b764903a3a7</x:v>
      </x:c>
      <x:c r="C4691" s="2" t="str">
        <x:v>An Giang</x:v>
      </x:c>
      <x:c r="D4691" s="2" t="str">
        <x:v>Huyện Châu Phú</x:v>
      </x:c>
      <x:c r="E4691" s="2" t="str">
        <x:v>land</x:v>
      </x:c>
      <x:c r="F4691" s="2" t="str">
        <x:v>sale</x:v>
      </x:c>
      <x:c r="G4691" s="11" t="n">
        <x:v>500</x:v>
      </x:c>
      <x:c r="H4691" s="12" t="n">
        <x:v>850000000</x:v>
      </x:c>
      <x:c r="I4691" s="12" t="n">
        <x:v>1700000</x:v>
      </x:c>
      <x:c r="J4691" s="2" t="str">
        <x:v>total</x:v>
      </x:c>
      <x:c r="K4691" s="2" t="str">
        <x:v>top_level_area</x:v>
      </x:c>
      <x:c r="L4691" s="2" t="str">
        <x:v>property_type_inferred_from_title</x:v>
      </x:c>
      <x:c r="M4691" s="10" t="n">
        <x:v>0</x:v>
      </x:c>
      <x:c r="N4691" s="10" t="n">
        <x:v>0</x:v>
      </x:c>
      <x:c r="O4691" s="2" t="str">
        <x:v>land</x:v>
      </x:c>
      <x:c r="P4691" s="10" t="n">
        <x:v>1</x:v>
      </x:c>
      <x:c r="Q4691" s="13" t="n">
        <x:f>IF(H4691="","",H4691/1000000000)</x:f>
        <x:v>0.85</x:v>
      </x:c>
      <x:c r="R4691" s="13" t="n">
        <x:f>IF(I4691="","",I4691/1000000)</x:f>
        <x:v>1.7</x:v>
      </x:c>
    </x:row>
    <x:row r="4692" ht="21" customHeight="1">
      <x:c r="A4692" s="10" t="n">
        <x:v>6234</x:v>
      </x:c>
      <x:c r="B4692" s="2" t="str">
        <x:v>24f3cb16b50325dc1bf5</x:v>
      </x:c>
      <x:c r="C4692" s="2" t="str">
        <x:v>Tp Hồ Chí Minh</x:v>
      </x:c>
      <x:c r="D4692" s="2" t="str">
        <x:v>Quận Tân Bình</x:v>
      </x:c>
      <x:c r="E4692" s="2" t="str">
        <x:v>house</x:v>
      </x:c>
      <x:c r="F4692" s="2" t="str">
        <x:v>sale_assumed</x:v>
      </x:c>
      <x:c r="G4692" s="11" t="n">
        <x:v>104</x:v>
      </x:c>
      <x:c r="H4692" s="12" t="n">
        <x:v>16500000000</x:v>
      </x:c>
      <x:c r="I4692" s="12" t="n">
        <x:v>158653846.15384614</x:v>
      </x:c>
      <x:c r="J4692" s="2" t="str">
        <x:v>total</x:v>
      </x:c>
      <x:c r="K4692" s="2" t="str">
        <x:v>top_level_area</x:v>
      </x:c>
      <x:c r="L4692" s="2" t="str">
        <x:v>property_type_inferred_from_title;transaction_assumed_sale_from_dataset_context</x:v>
      </x:c>
      <x:c r="M4692" s="10" t="n">
        <x:v>0</x:v>
      </x:c>
      <x:c r="N4692" s="10" t="n">
        <x:v>0</x:v>
      </x:c>
      <x:c r="O4692" s="2" t="str">
        <x:v>Tp Hồ Chí Minh|house</x:v>
      </x:c>
      <x:c r="P4692" s="10" t="n">
        <x:v>2</x:v>
      </x:c>
      <x:c r="Q4692" s="13" t="n">
        <x:f>IF(H4692="","",H4692/1000000000)</x:f>
        <x:v>16.5</x:v>
      </x:c>
      <x:c r="R4692" s="13" t="n">
        <x:f>IF(I4692="","",I4692/1000000)</x:f>
        <x:v>158.65384615384613</x:v>
      </x:c>
    </x:row>
    <x:row r="4693" ht="21" customHeight="1">
      <x:c r="A4693" s="10" t="n">
        <x:v>6235</x:v>
      </x:c>
      <x:c r="B4693" s="2" t="str">
        <x:v>9d89dca5aa8ce099345e</x:v>
      </x:c>
      <x:c r="C4693" s="2" t="str">
        <x:v>Tp Hồ Chí Minh</x:v>
      </x:c>
      <x:c r="D4693" s="2" t="str">
        <x:v>Quận Tân Phú</x:v>
      </x:c>
      <x:c r="E4693" s="2" t="str">
        <x:v>house</x:v>
      </x:c>
      <x:c r="F4693" s="2" t="str">
        <x:v>sale</x:v>
      </x:c>
      <x:c r="G4693" s="11" t="n">
        <x:v>51</x:v>
      </x:c>
      <x:c r="H4693" s="12" t="n">
        <x:v>4300000000</x:v>
      </x:c>
      <x:c r="I4693" s="12" t="n">
        <x:v>84313725.49019608</x:v>
      </x:c>
      <x:c r="J4693" s="2" t="str">
        <x:v>total</x:v>
      </x:c>
      <x:c r="K4693" s="2" t="str">
        <x:v>top_level_area</x:v>
      </x:c>
      <x:c r="L4693" s="2" t="str">
        <x:v>property_type_inferred_from_title</x:v>
      </x:c>
      <x:c r="M4693" s="10" t="n">
        <x:v>0</x:v>
      </x:c>
      <x:c r="N4693" s="10" t="n">
        <x:v>0</x:v>
      </x:c>
      <x:c r="O4693" s="2" t="str">
        <x:v>Tp Hồ Chí Minh|house</x:v>
      </x:c>
      <x:c r="P4693" s="10" t="n">
        <x:v>2</x:v>
      </x:c>
      <x:c r="Q4693" s="13" t="n">
        <x:f>IF(H4693="","",H4693/1000000000)</x:f>
        <x:v>4.3</x:v>
      </x:c>
      <x:c r="R4693" s="13" t="n">
        <x:f>IF(I4693="","",I4693/1000000)</x:f>
        <x:v>84.31372549019608</x:v>
      </x:c>
    </x:row>
    <x:row r="4694" ht="21" customHeight="1">
      <x:c r="A4694" s="10" t="n">
        <x:v>6236</x:v>
      </x:c>
      <x:c r="B4694" s="2" t="str">
        <x:v>eb39f092e903632c3d69</x:v>
      </x:c>
      <x:c r="C4694" s="2" t="str">
        <x:v>Tp Hồ Chí Minh</x:v>
      </x:c>
      <x:c r="D4694" s="2" t="str">
        <x:v>Quận 12</x:v>
      </x:c>
      <x:c r="E4694" s="2" t="str">
        <x:v>house</x:v>
      </x:c>
      <x:c r="F4694" s="2" t="str">
        <x:v>sale</x:v>
      </x:c>
      <x:c r="G4694" s="11" t="n">
        <x:v>51</x:v>
      </x:c>
      <x:c r="H4694" s="12" t="n">
        <x:v>3450000000</x:v>
      </x:c>
      <x:c r="I4694" s="12" t="n">
        <x:v>67647058.8235294</x:v>
      </x:c>
      <x:c r="J4694" s="2" t="str">
        <x:v>total</x:v>
      </x:c>
      <x:c r="K4694" s="2" t="str">
        <x:v>top_level_area</x:v>
      </x:c>
      <x:c r="L4694" s="2" t="str">
        <x:v>property_type_inferred_from_title</x:v>
      </x:c>
      <x:c r="M4694" s="10" t="n">
        <x:v>0</x:v>
      </x:c>
      <x:c r="N4694" s="10" t="n">
        <x:v>0</x:v>
      </x:c>
      <x:c r="O4694" s="2" t="str">
        <x:v>Tp Hồ Chí Minh|house</x:v>
      </x:c>
      <x:c r="P4694" s="10" t="n">
        <x:v>2</x:v>
      </x:c>
      <x:c r="Q4694" s="13" t="n">
        <x:f>IF(H4694="","",H4694/1000000000)</x:f>
        <x:v>3.45</x:v>
      </x:c>
      <x:c r="R4694" s="13" t="n">
        <x:f>IF(I4694="","",I4694/1000000)</x:f>
        <x:v>67.6470588235294</x:v>
      </x:c>
    </x:row>
    <x:row r="4695" ht="21" customHeight="1">
      <x:c r="A4695" s="10" t="n">
        <x:v>6237</x:v>
      </x:c>
      <x:c r="B4695" s="2" t="str">
        <x:v>f10a56ca4e9fcbbf11f3</x:v>
      </x:c>
      <x:c r="C4695" s="2" t="str">
        <x:v>Tp Hồ Chí Minh</x:v>
      </x:c>
      <x:c r="D4695" s="2" t="str">
        <x:v>Quận Phú Nhuận</x:v>
      </x:c>
      <x:c r="E4695" s="2" t="str">
        <x:v>house</x:v>
      </x:c>
      <x:c r="F4695" s="2" t="str">
        <x:v>sale_assumed</x:v>
      </x:c>
      <x:c r="G4695" s="11" t="n">
        <x:v>44</x:v>
      </x:c>
      <x:c r="H4695" s="12" t="n">
        <x:v>8600000000</x:v>
      </x:c>
      <x:c r="I4695" s="12" t="n">
        <x:v>195454545.45454547</x:v>
      </x:c>
      <x:c r="J4695" s="2" t="str">
        <x:v>total</x:v>
      </x:c>
      <x:c r="K4695" s="2" t="str">
        <x:v>top_level_area</x:v>
      </x:c>
      <x:c r="L4695" s="2" t="str">
        <x:v>property_type_inferred_from_title;transaction_assumed_sale_from_dataset_context</x:v>
      </x:c>
      <x:c r="M4695" s="10" t="n">
        <x:v>1</x:v>
      </x:c>
      <x:c r="N4695" s="10" t="n">
        <x:v>0</x:v>
      </x:c>
      <x:c r="O4695" s="2" t="str">
        <x:v>Tp Hồ Chí Minh|house</x:v>
      </x:c>
      <x:c r="P4695" s="10" t="n">
        <x:v>2</x:v>
      </x:c>
      <x:c r="Q4695" s="13" t="n">
        <x:f>IF(H4695="","",H4695/1000000000)</x:f>
        <x:v>8.6</x:v>
      </x:c>
      <x:c r="R4695" s="13" t="n">
        <x:f>IF(I4695="","",I4695/1000000)</x:f>
        <x:v>195.45454545454547</x:v>
      </x:c>
    </x:row>
    <x:row r="4696" ht="21" customHeight="1">
      <x:c r="A4696" s="10" t="n">
        <x:v>6240</x:v>
      </x:c>
      <x:c r="B4696" s="2" t="str">
        <x:v>a21146abe77ff522b536</x:v>
      </x:c>
      <x:c r="C4696" s="2" t="str">
        <x:v>Tp Hồ Chí Minh</x:v>
      </x:c>
      <x:c r="D4696" s="2" t="str">
        <x:v>Huyện Hóc Môn</x:v>
      </x:c>
      <x:c r="E4696" s="2" t="str">
        <x:v>house</x:v>
      </x:c>
      <x:c r="F4696" s="2" t="str">
        <x:v>sale_assumed</x:v>
      </x:c>
      <x:c r="G4696" s="11" t="n">
        <x:v>80</x:v>
      </x:c>
      <x:c r="H4696" s="12" t="n">
        <x:v>8100000000</x:v>
      </x:c>
      <x:c r="I4696" s="12" t="n">
        <x:v>101250000</x:v>
      </x:c>
      <x:c r="J4696" s="2" t="str">
        <x:v>total</x:v>
      </x:c>
      <x:c r="K4696" s="2" t="str">
        <x:v>top_level_area</x:v>
      </x:c>
      <x:c r="L4696" s="2" t="str">
        <x:v>property_type_inferred_from_title;transaction_assumed_sale_from_dataset_context</x:v>
      </x:c>
      <x:c r="M4696" s="10" t="n">
        <x:v>0</x:v>
      </x:c>
      <x:c r="N4696" s="10" t="n">
        <x:v>0</x:v>
      </x:c>
      <x:c r="O4696" s="2" t="str">
        <x:v>Tp Hồ Chí Minh|house</x:v>
      </x:c>
      <x:c r="P4696" s="10" t="n">
        <x:v>2</x:v>
      </x:c>
      <x:c r="Q4696" s="13" t="n">
        <x:f>IF(H4696="","",H4696/1000000000)</x:f>
        <x:v>8.1</x:v>
      </x:c>
      <x:c r="R4696" s="13" t="n">
        <x:f>IF(I4696="","",I4696/1000000)</x:f>
        <x:v>101.25</x:v>
      </x:c>
    </x:row>
    <x:row r="4697" ht="21" customHeight="1">
      <x:c r="A4697" s="10" t="n">
        <x:v>6241</x:v>
      </x:c>
      <x:c r="B4697" s="2" t="str">
        <x:v>efb325d44d756f51e2d3</x:v>
      </x:c>
      <x:c r="C4697" s="2" t="str">
        <x:v>Đà Nẵng</x:v>
      </x:c>
      <x:c r="D4697" s="2" t="str">
        <x:v>Quận Thanh Khê</x:v>
      </x:c>
      <x:c r="E4697" s="2" t="str">
        <x:v>house</x:v>
      </x:c>
      <x:c r="F4697" s="2" t="str">
        <x:v>sale_assumed</x:v>
      </x:c>
      <x:c r="G4697" s="11" t="n">
        <x:v>51</x:v>
      </x:c>
      <x:c r="H4697" s="12" t="n">
        <x:v>2650000000</x:v>
      </x:c>
      <x:c r="I4697" s="12" t="n">
        <x:v>51960784.313725494</x:v>
      </x:c>
      <x:c r="J4697" s="2" t="str">
        <x:v>total</x:v>
      </x:c>
      <x:c r="K4697" s="2" t="str">
        <x:v>top_level_area</x:v>
      </x:c>
      <x:c r="L4697" s="2" t="str">
        <x:v>property_type_inferred_from_title;transaction_assumed_sale_from_dataset_context</x:v>
      </x:c>
      <x:c r="M4697" s="10" t="n">
        <x:v>0</x:v>
      </x:c>
      <x:c r="N4697" s="10" t="n">
        <x:v>0</x:v>
      </x:c>
      <x:c r="O4697" s="2" t="str">
        <x:v>Đà Nẵng|house</x:v>
      </x:c>
      <x:c r="P4697" s="10" t="n">
        <x:v>2</x:v>
      </x:c>
      <x:c r="Q4697" s="13" t="n">
        <x:f>IF(H4697="","",H4697/1000000000)</x:f>
        <x:v>2.65</x:v>
      </x:c>
      <x:c r="R4697" s="13" t="n">
        <x:f>IF(I4697="","",I4697/1000000)</x:f>
        <x:v>51.96078431372549</x:v>
      </x:c>
    </x:row>
    <x:row r="4698" ht="21" customHeight="1">
      <x:c r="A4698" s="10" t="n">
        <x:v>6242</x:v>
      </x:c>
      <x:c r="B4698" s="2" t="str">
        <x:v>405e858c197c596f89b7</x:v>
      </x:c>
      <x:c r="C4698" s="2" t="str">
        <x:v>Tp Hồ Chí Minh</x:v>
      </x:c>
      <x:c r="D4698" s="2" t="str">
        <x:v>Quận Phú Nhuận</x:v>
      </x:c>
      <x:c r="E4698" s="2" t="str">
        <x:v>house</x:v>
      </x:c>
      <x:c r="F4698" s="2" t="str">
        <x:v>sale_assumed</x:v>
      </x:c>
      <x:c r="G4698" s="11" t="n">
        <x:v>26</x:v>
      </x:c>
      <x:c r="H4698" s="12" t="n">
        <x:v>4490000000</x:v>
      </x:c>
      <x:c r="I4698" s="12" t="n">
        <x:v>172692307.69230768</x:v>
      </x:c>
      <x:c r="J4698" s="2" t="str">
        <x:v>total</x:v>
      </x:c>
      <x:c r="K4698" s="2" t="str">
        <x:v>top_level_area</x:v>
      </x:c>
      <x:c r="L4698" s="2" t="str">
        <x:v>property_type_inferred_from_title;transaction_assumed_sale_from_dataset_context</x:v>
      </x:c>
      <x:c r="M4698" s="10" t="n">
        <x:v>1</x:v>
      </x:c>
      <x:c r="N4698" s="10" t="n">
        <x:v>0</x:v>
      </x:c>
      <x:c r="O4698" s="2" t="str">
        <x:v>Tp Hồ Chí Minh|house</x:v>
      </x:c>
      <x:c r="P4698" s="10" t="n">
        <x:v>2</x:v>
      </x:c>
      <x:c r="Q4698" s="13" t="n">
        <x:f>IF(H4698="","",H4698/1000000000)</x:f>
        <x:v>4.49</x:v>
      </x:c>
      <x:c r="R4698" s="13" t="n">
        <x:f>IF(I4698="","",I4698/1000000)</x:f>
        <x:v>172.69230769230768</x:v>
      </x:c>
    </x:row>
    <x:row r="4699" ht="21" customHeight="1">
      <x:c r="A4699" s="10" t="n">
        <x:v>6243</x:v>
      </x:c>
      <x:c r="B4699" s="2" t="str">
        <x:v>bf769ba9e36805c69707</x:v>
      </x:c>
      <x:c r="C4699" s="2" t="str">
        <x:v>Tp Hồ Chí Minh</x:v>
      </x:c>
      <x:c r="D4699" s="2" t="str">
        <x:v>Quận Bình Tân</x:v>
      </x:c>
      <x:c r="E4699" s="2" t="str">
        <x:v>house</x:v>
      </x:c>
      <x:c r="F4699" s="2" t="str">
        <x:v>sale</x:v>
      </x:c>
      <x:c r="G4699" s="11" t="n">
        <x:v>60</x:v>
      </x:c>
      <x:c r="H4699" s="12" t="n">
        <x:v>1300000000</x:v>
      </x:c>
      <x:c r="I4699" s="12" t="n">
        <x:v>21666666.666666668</x:v>
      </x:c>
      <x:c r="J4699" s="2" t="str">
        <x:v>total</x:v>
      </x:c>
      <x:c r="K4699" s="2" t="str">
        <x:v>top_level_area</x:v>
      </x:c>
      <x:c r="L4699" s="2" t="str">
        <x:v>property_type_inferred_from_title</x:v>
      </x:c>
      <x:c r="M4699" s="10" t="n">
        <x:v>0</x:v>
      </x:c>
      <x:c r="N4699" s="10" t="n">
        <x:v>0</x:v>
      </x:c>
      <x:c r="O4699" s="2" t="str">
        <x:v>Tp Hồ Chí Minh|house</x:v>
      </x:c>
      <x:c r="P4699" s="10" t="n">
        <x:v>2</x:v>
      </x:c>
      <x:c r="Q4699" s="13" t="n">
        <x:f>IF(H4699="","",H4699/1000000000)</x:f>
        <x:v>1.3</x:v>
      </x:c>
      <x:c r="R4699" s="13" t="n">
        <x:f>IF(I4699="","",I4699/1000000)</x:f>
        <x:v>21.666666666666668</x:v>
      </x:c>
    </x:row>
    <x:row r="4700" ht="21" customHeight="1">
      <x:c r="A4700" s="10" t="n">
        <x:v>6245</x:v>
      </x:c>
      <x:c r="B4700" s="2" t="str">
        <x:v>b0db4e252b35694eb37b</x:v>
      </x:c>
      <x:c r="C4700" s="2" t="str">
        <x:v>Bình Dương</x:v>
      </x:c>
      <x:c r="D4700" s="2" t="str">
        <x:v>Thị xã Dĩ An</x:v>
      </x:c>
      <x:c r="E4700" s="2" t="str">
        <x:v>house</x:v>
      </x:c>
      <x:c r="F4700" s="2" t="str">
        <x:v>sale</x:v>
      </x:c>
      <x:c r="G4700" s="11" t="n">
        <x:v>70</x:v>
      </x:c>
      <x:c r="H4700" s="12" t="n">
        <x:v>3450000000</x:v>
      </x:c>
      <x:c r="I4700" s="12" t="n">
        <x:v>49285714.28571428</x:v>
      </x:c>
      <x:c r="J4700" s="2" t="str">
        <x:v>total</x:v>
      </x:c>
      <x:c r="K4700" s="2" t="str">
        <x:v>top_level_area</x:v>
      </x:c>
      <x:c r="L4700" s="2" t="str">
        <x:v>property_type_inferred_from_title</x:v>
      </x:c>
      <x:c r="M4700" s="10" t="n">
        <x:v>0</x:v>
      </x:c>
      <x:c r="N4700" s="10" t="n">
        <x:v>0</x:v>
      </x:c>
      <x:c r="O4700" s="2" t="str">
        <x:v>Bình Dương|house</x:v>
      </x:c>
      <x:c r="P4700" s="10" t="n">
        <x:v>2</x:v>
      </x:c>
      <x:c r="Q4700" s="13" t="n">
        <x:f>IF(H4700="","",H4700/1000000000)</x:f>
        <x:v>3.45</x:v>
      </x:c>
      <x:c r="R4700" s="13" t="n">
        <x:f>IF(I4700="","",I4700/1000000)</x:f>
        <x:v>49.285714285714285</x:v>
      </x:c>
    </x:row>
    <x:row r="4701" ht="21" customHeight="1">
      <x:c r="A4701" s="10" t="n">
        <x:v>6246</x:v>
      </x:c>
      <x:c r="B4701" s="2" t="str">
        <x:v>43cbc01a5e1e9ed81292</x:v>
      </x:c>
      <x:c r="C4701" s="2" t="str">
        <x:v>Bình Dương</x:v>
      </x:c>
      <x:c r="D4701" s="2" t="str">
        <x:v>Thị xã Dĩ An</x:v>
      </x:c>
      <x:c r="E4701" s="2" t="str">
        <x:v>house</x:v>
      </x:c>
      <x:c r="F4701" s="2" t="str">
        <x:v>sale_assumed</x:v>
      </x:c>
      <x:c r="G4701" s="11" t="n">
        <x:v>32</x:v>
      </x:c>
      <x:c r="H4701" s="12" t="n">
        <x:v>1000000000</x:v>
      </x:c>
      <x:c r="I4701" s="12" t="n">
        <x:v>31250000</x:v>
      </x:c>
      <x:c r="J4701" s="2" t="str">
        <x:v>total</x:v>
      </x:c>
      <x:c r="K4701" s="2" t="str">
        <x:v>top_level_area</x:v>
      </x:c>
      <x:c r="L4701" s="2" t="str">
        <x:v>property_type_inferred_from_title;transaction_assumed_sale_from_dataset_context</x:v>
      </x:c>
      <x:c r="M4701" s="10" t="n">
        <x:v>0</x:v>
      </x:c>
      <x:c r="N4701" s="10" t="n">
        <x:v>0</x:v>
      </x:c>
      <x:c r="O4701" s="2" t="str">
        <x:v>Bình Dương|house</x:v>
      </x:c>
      <x:c r="P4701" s="10" t="n">
        <x:v>2</x:v>
      </x:c>
      <x:c r="Q4701" s="13" t="n">
        <x:f>IF(H4701="","",H4701/1000000000)</x:f>
        <x:v>1</x:v>
      </x:c>
      <x:c r="R4701" s="13" t="n">
        <x:f>IF(I4701="","",I4701/1000000)</x:f>
        <x:v>31.25</x:v>
      </x:c>
    </x:row>
    <x:row r="4702" ht="21" customHeight="1">
      <x:c r="A4702" s="10" t="n">
        <x:v>6247</x:v>
      </x:c>
      <x:c r="B4702" s="2" t="str">
        <x:v>0acb3e943d13bb19842c</x:v>
      </x:c>
      <x:c r="C4702" s="2" t="str">
        <x:v>Đà Nẵng</x:v>
      </x:c>
      <x:c r="D4702" s="2" t="str">
        <x:v>Quận Liên Chiểu</x:v>
      </x:c>
      <x:c r="E4702" s="2" t="str">
        <x:v>house</x:v>
      </x:c>
      <x:c r="F4702" s="2" t="str">
        <x:v>sale</x:v>
      </x:c>
      <x:c r="G4702" s="11" t="n">
        <x:v>100</x:v>
      </x:c>
      <x:c r="H4702" s="12" t="n">
        <x:v>1650000000</x:v>
      </x:c>
      <x:c r="I4702" s="12" t="n">
        <x:v>16500000</x:v>
      </x:c>
      <x:c r="J4702" s="2" t="str">
        <x:v>total</x:v>
      </x:c>
      <x:c r="K4702" s="2" t="str">
        <x:v>top_level_area</x:v>
      </x:c>
      <x:c r="L4702" s="2" t="str">
        <x:v>property_type_inferred_from_title</x:v>
      </x:c>
      <x:c r="M4702" s="10" t="n">
        <x:v>0</x:v>
      </x:c>
      <x:c r="N4702" s="10" t="n">
        <x:v>0</x:v>
      </x:c>
      <x:c r="O4702" s="2" t="str">
        <x:v>Đà Nẵng|house</x:v>
      </x:c>
      <x:c r="P4702" s="10" t="n">
        <x:v>2</x:v>
      </x:c>
      <x:c r="Q4702" s="13" t="n">
        <x:f>IF(H4702="","",H4702/1000000000)</x:f>
        <x:v>1.65</x:v>
      </x:c>
      <x:c r="R4702" s="13" t="n">
        <x:f>IF(I4702="","",I4702/1000000)</x:f>
        <x:v>16.5</x:v>
      </x:c>
    </x:row>
    <x:row r="4703" ht="21" customHeight="1">
      <x:c r="A4703" s="10" t="n">
        <x:v>6248</x:v>
      </x:c>
      <x:c r="B4703" s="2" t="str">
        <x:v>51c4d99023494784b43a</x:v>
      </x:c>
      <x:c r="C4703" s="2" t="str">
        <x:v>Hà Nội</x:v>
      </x:c>
      <x:c r="D4703" s="2" t="str">
        <x:v>Quận Nam Từ Liêm</x:v>
      </x:c>
      <x:c r="E4703" s="2" t="str">
        <x:v>other_unknown</x:v>
      </x:c>
      <x:c r="F4703" s="2" t="str">
        <x:v>sale_assumed</x:v>
      </x:c>
      <x:c r="G4703" s="11" t="n">
        <x:v>110</x:v>
      </x:c>
      <x:c r="H4703" s="12" t="n">
        <x:v>13000000000</x:v>
      </x:c>
      <x:c r="I4703" s="12" t="n">
        <x:v>118181818.18181819</x:v>
      </x:c>
      <x:c r="J4703" s="2" t="str">
        <x:v>total</x:v>
      </x:c>
      <x:c r="K4703" s="2" t="str">
        <x:v>top_level_area</x:v>
      </x:c>
      <x:c r="L4703" s="2" t="str">
        <x:v>property_type_inferred_from_title;transaction_assumed_sale_from_dataset_context;unknown_property_type</x:v>
      </x:c>
      <x:c r="M4703" s="10" t="n">
        <x:v>0</x:v>
      </x:c>
      <x:c r="N4703" s="10" t="n">
        <x:v>0</x:v>
      </x:c>
      <x:c r="O4703" s="2" t="str">
        <x:v>Hà Nội|other_unknown</x:v>
      </x:c>
      <x:c r="P4703" s="10" t="n">
        <x:v>2</x:v>
      </x:c>
      <x:c r="Q4703" s="13" t="n">
        <x:f>IF(H4703="","",H4703/1000000000)</x:f>
        <x:v>13</x:v>
      </x:c>
      <x:c r="R4703" s="13" t="n">
        <x:f>IF(I4703="","",I4703/1000000)</x:f>
        <x:v>118.18181818181819</x:v>
      </x:c>
    </x:row>
    <x:row r="4704" ht="21" customHeight="1">
      <x:c r="A4704" s="10" t="n">
        <x:v>6249</x:v>
      </x:c>
      <x:c r="B4704" s="2" t="str">
        <x:v>c09a645d5b8040a69e4a</x:v>
      </x:c>
      <x:c r="C4704" s="2" t="str">
        <x:v>Khánh Hòa</x:v>
      </x:c>
      <x:c r="D4704" s="2" t="str">
        <x:v>Thành phố Nha Trang</x:v>
      </x:c>
      <x:c r="E4704" s="2" t="str">
        <x:v>land</x:v>
      </x:c>
      <x:c r="F4704" s="2" t="str">
        <x:v>sale_assumed</x:v>
      </x:c>
      <x:c r="G4704" s="11" t="n">
        <x:v>120</x:v>
      </x:c>
      <x:c r="H4704" s="12" t="n">
        <x:v>5760000000</x:v>
      </x:c>
      <x:c r="I4704" s="12" t="n">
        <x:v>48000000</x:v>
      </x:c>
      <x:c r="J4704" s="2" t="str">
        <x:v>total</x:v>
      </x:c>
      <x:c r="K4704" s="2" t="str">
        <x:v>top_level_area</x:v>
      </x:c>
      <x:c r="L4704" s="2" t="str">
        <x:v>property_type_inferred_from_title;transaction_assumed_sale_from_dataset_context</x:v>
      </x:c>
      <x:c r="M4704" s="10" t="n">
        <x:v>0</x:v>
      </x:c>
      <x:c r="N4704" s="10" t="n">
        <x:v>1</x:v>
      </x:c>
      <x:c r="O4704" s="2" t="str">
        <x:v>land</x:v>
      </x:c>
      <x:c r="P4704" s="10" t="n">
        <x:v>-1</x:v>
      </x:c>
      <x:c r="Q4704" s="13" t="n">
        <x:f>IF(H4704="","",H4704/1000000000)</x:f>
        <x:v>5.76</x:v>
      </x:c>
      <x:c r="R4704" s="13" t="n">
        <x:f>IF(I4704="","",I4704/1000000)</x:f>
        <x:v>48</x:v>
      </x:c>
    </x:row>
    <x:row r="4705" ht="21" customHeight="1">
      <x:c r="A4705" s="10" t="n">
        <x:v>6250</x:v>
      </x:c>
      <x:c r="B4705" s="2" t="str">
        <x:v>81af5e18d6db2630402e</x:v>
      </x:c>
      <x:c r="C4705" s="2" t="str">
        <x:v>Tp Hồ Chí Minh</x:v>
      </x:c>
      <x:c r="D4705" s="2" t="str">
        <x:v>Quận Bình Tân</x:v>
      </x:c>
      <x:c r="E4705" s="2" t="str">
        <x:v>house</x:v>
      </x:c>
      <x:c r="F4705" s="2" t="str">
        <x:v>sale</x:v>
      </x:c>
      <x:c r="G4705" s="11" t="n">
        <x:v>45</x:v>
      </x:c>
      <x:c r="H4705" s="12" t="n">
        <x:v>2180000000</x:v>
      </x:c>
      <x:c r="I4705" s="12" t="n">
        <x:v>48444444.44444445</x:v>
      </x:c>
      <x:c r="J4705" s="2" t="str">
        <x:v>total</x:v>
      </x:c>
      <x:c r="K4705" s="2" t="str">
        <x:v>top_level_area</x:v>
      </x:c>
      <x:c r="L4705" s="2" t="str">
        <x:v>property_type_inferred_from_title</x:v>
      </x:c>
      <x:c r="M4705" s="10" t="n">
        <x:v>0</x:v>
      </x:c>
      <x:c r="N4705" s="10" t="n">
        <x:v>0</x:v>
      </x:c>
      <x:c r="O4705" s="2" t="str">
        <x:v>Tp Hồ Chí Minh|house</x:v>
      </x:c>
      <x:c r="P4705" s="10" t="n">
        <x:v>2</x:v>
      </x:c>
      <x:c r="Q4705" s="13" t="n">
        <x:f>IF(H4705="","",H4705/1000000000)</x:f>
        <x:v>2.18</x:v>
      </x:c>
      <x:c r="R4705" s="13" t="n">
        <x:f>IF(I4705="","",I4705/1000000)</x:f>
        <x:v>48.44444444444445</x:v>
      </x:c>
    </x:row>
    <x:row r="4706" ht="21" customHeight="1">
      <x:c r="A4706" s="10" t="n">
        <x:v>6251</x:v>
      </x:c>
      <x:c r="B4706" s="2" t="str">
        <x:v>08d33307b9050d4b8d1e</x:v>
      </x:c>
      <x:c r="C4706" s="2" t="str">
        <x:v>Đắk Lắk</x:v>
      </x:c>
      <x:c r="D4706" s="2" t="str">
        <x:v>Thành phố Buôn Ma Thuột</x:v>
      </x:c>
      <x:c r="E4706" s="2" t="str">
        <x:v>house</x:v>
      </x:c>
      <x:c r="F4706" s="2" t="str">
        <x:v>sale_assumed</x:v>
      </x:c>
      <x:c r="G4706" s="11" t="n">
        <x:v>96</x:v>
      </x:c>
      <x:c r="H4706" s="12" t="n">
        <x:v>2650000000</x:v>
      </x:c>
      <x:c r="I4706" s="12" t="n">
        <x:v>27604166.666666668</x:v>
      </x:c>
      <x:c r="J4706" s="2" t="str">
        <x:v>total</x:v>
      </x:c>
      <x:c r="K4706" s="2" t="str">
        <x:v>top_level_area</x:v>
      </x:c>
      <x:c r="L4706" s="2" t="str">
        <x:v>property_type_inferred_from_title;transaction_assumed_sale_from_dataset_context</x:v>
      </x:c>
      <x:c r="M4706" s="10" t="n">
        <x:v>0</x:v>
      </x:c>
      <x:c r="N4706" s="10" t="n">
        <x:v>0</x:v>
      </x:c>
      <x:c r="O4706" s="2" t="str">
        <x:v>Đắk Lắk|house</x:v>
      </x:c>
      <x:c r="P4706" s="10" t="n">
        <x:v>2</x:v>
      </x:c>
      <x:c r="Q4706" s="13" t="n">
        <x:f>IF(H4706="","",H4706/1000000000)</x:f>
        <x:v>2.65</x:v>
      </x:c>
      <x:c r="R4706" s="13" t="n">
        <x:f>IF(I4706="","",I4706/1000000)</x:f>
        <x:v>27.604166666666668</x:v>
      </x:c>
    </x:row>
    <x:row r="4707" ht="21" customHeight="1">
      <x:c r="A4707" s="10" t="n">
        <x:v>6252</x:v>
      </x:c>
      <x:c r="B4707" s="2" t="str">
        <x:v>1e3ab4b1c2f85b7ac699</x:v>
      </x:c>
      <x:c r="C4707" s="2" t="str">
        <x:v>Cần Thơ</x:v>
      </x:c>
      <x:c r="D4707" s="2" t="str">
        <x:v>Quận Ninh Kiều</x:v>
      </x:c>
      <x:c r="E4707" s="2" t="str">
        <x:v>house</x:v>
      </x:c>
      <x:c r="F4707" s="2" t="str">
        <x:v>sale_assumed</x:v>
      </x:c>
      <x:c r="G4707" s="11" t="n">
        <x:v>70</x:v>
      </x:c>
      <x:c r="H4707" s="12" t="n">
        <x:v>4600000000</x:v>
      </x:c>
      <x:c r="I4707" s="12" t="n">
        <x:v>65714285.71428572</x:v>
      </x:c>
      <x:c r="J4707" s="2" t="str">
        <x:v>total</x:v>
      </x:c>
      <x:c r="K4707" s="2" t="str">
        <x:v>top_level_area</x:v>
      </x:c>
      <x:c r="L4707" s="2" t="str">
        <x:v>property_type_inferred_from_title;transaction_assumed_sale_from_dataset_context</x:v>
      </x:c>
      <x:c r="M4707" s="10" t="n">
        <x:v>0</x:v>
      </x:c>
      <x:c r="N4707" s="10" t="n">
        <x:v>0</x:v>
      </x:c>
      <x:c r="O4707" s="2" t="str">
        <x:v>Cần Thơ|house</x:v>
      </x:c>
      <x:c r="P4707" s="10" t="n">
        <x:v>2</x:v>
      </x:c>
      <x:c r="Q4707" s="13" t="n">
        <x:f>IF(H4707="","",H4707/1000000000)</x:f>
        <x:v>4.6</x:v>
      </x:c>
      <x:c r="R4707" s="13" t="n">
        <x:f>IF(I4707="","",I4707/1000000)</x:f>
        <x:v>65.71428571428572</x:v>
      </x:c>
    </x:row>
    <x:row r="4708" ht="21" customHeight="1">
      <x:c r="A4708" s="10" t="n">
        <x:v>6253</x:v>
      </x:c>
      <x:c r="B4708" s="2" t="str">
        <x:v>09071bcb83048be173ec</x:v>
      </x:c>
      <x:c r="C4708" s="2" t="str">
        <x:v>Cần Thơ</x:v>
      </x:c>
      <x:c r="D4708" s="2" t="str">
        <x:v>Quận Ô Môn</x:v>
      </x:c>
      <x:c r="E4708" s="2" t="str">
        <x:v>land</x:v>
      </x:c>
      <x:c r="F4708" s="2" t="str">
        <x:v>sale</x:v>
      </x:c>
      <x:c r="G4708" s="11" t="n">
        <x:v>435</x:v>
      </x:c>
      <x:c r="H4708" s="12" t="n">
        <x:v>1392000000</x:v>
      </x:c>
      <x:c r="I4708" s="12" t="n">
        <x:v>3200000</x:v>
      </x:c>
      <x:c r="J4708" s="2" t="str">
        <x:v>total</x:v>
      </x:c>
      <x:c r="K4708" s="2" t="str">
        <x:v>top_level_area</x:v>
      </x:c>
      <x:c r="L4708" s="2" t="str">
        <x:v>property_type_inferred_from_title</x:v>
      </x:c>
      <x:c r="M4708" s="10" t="n">
        <x:v>0</x:v>
      </x:c>
      <x:c r="N4708" s="10" t="n">
        <x:v>0</x:v>
      </x:c>
      <x:c r="O4708" s="2" t="str">
        <x:v>Cần Thơ|land</x:v>
      </x:c>
      <x:c r="P4708" s="10" t="n">
        <x:v>1</x:v>
      </x:c>
      <x:c r="Q4708" s="13" t="n">
        <x:f>IF(H4708="","",H4708/1000000000)</x:f>
        <x:v>1.392</x:v>
      </x:c>
      <x:c r="R4708" s="13" t="n">
        <x:f>IF(I4708="","",I4708/1000000)</x:f>
        <x:v>3.2</x:v>
      </x:c>
    </x:row>
    <x:row r="4709" ht="21" customHeight="1">
      <x:c r="A4709" s="10" t="n">
        <x:v>6254</x:v>
      </x:c>
      <x:c r="B4709" s="2" t="str">
        <x:v>b5f2e05dea228387f95e</x:v>
      </x:c>
      <x:c r="C4709" s="2" t="str">
        <x:v>Khánh Hòa</x:v>
      </x:c>
      <x:c r="D4709" s="2" t="str">
        <x:v>Thành phố Nha Trang</x:v>
      </x:c>
      <x:c r="E4709" s="2" t="str">
        <x:v>house</x:v>
      </x:c>
      <x:c r="F4709" s="2" t="str">
        <x:v>sale_assumed</x:v>
      </x:c>
      <x:c r="G4709" s="11" t="n">
        <x:v>329</x:v>
      </x:c>
      <x:c r="H4709" s="12" t="n">
        <x:v>5500000000</x:v>
      </x:c>
      <x:c r="I4709" s="12" t="n">
        <x:v>16717325.227963526</x:v>
      </x:c>
      <x:c r="J4709" s="2" t="str">
        <x:v>total</x:v>
      </x:c>
      <x:c r="K4709" s="2" t="str">
        <x:v>top_level_area</x:v>
      </x:c>
      <x:c r="L4709" s="2" t="str">
        <x:v>property_type_inferred_from_title;transaction_assumed_sale_from_dataset_context</x:v>
      </x:c>
      <x:c r="M4709" s="10" t="n">
        <x:v>0</x:v>
      </x:c>
      <x:c r="N4709" s="10" t="n">
        <x:v>0</x:v>
      </x:c>
      <x:c r="O4709" s="2" t="str">
        <x:v>Khánh Hòa|house</x:v>
      </x:c>
      <x:c r="P4709" s="10" t="n">
        <x:v>2</x:v>
      </x:c>
      <x:c r="Q4709" s="13" t="n">
        <x:f>IF(H4709="","",H4709/1000000000)</x:f>
        <x:v>5.5</x:v>
      </x:c>
      <x:c r="R4709" s="13" t="n">
        <x:f>IF(I4709="","",I4709/1000000)</x:f>
        <x:v>16.717325227963524</x:v>
      </x:c>
    </x:row>
    <x:row r="4710" ht="21" customHeight="1">
      <x:c r="A4710" s="10" t="n">
        <x:v>6255</x:v>
      </x:c>
      <x:c r="B4710" s="2" t="str">
        <x:v>012eb6e630f53baea95c</x:v>
      </x:c>
      <x:c r="C4710" s="2" t="str">
        <x:v>Tp Hồ Chí Minh</x:v>
      </x:c>
      <x:c r="D4710" s="2" t="str">
        <x:v>Quận 8</x:v>
      </x:c>
      <x:c r="E4710" s="2" t="str">
        <x:v>house</x:v>
      </x:c>
      <x:c r="F4710" s="2" t="str">
        <x:v>sale</x:v>
      </x:c>
      <x:c r="G4710" s="11" t="n">
        <x:v>60</x:v>
      </x:c>
      <x:c r="H4710" s="12" t="n">
        <x:v>990000000</x:v>
      </x:c>
      <x:c r="I4710" s="12" t="n">
        <x:v>16500000</x:v>
      </x:c>
      <x:c r="J4710" s="2" t="str">
        <x:v>total</x:v>
      </x:c>
      <x:c r="K4710" s="2" t="str">
        <x:v>top_level_area</x:v>
      </x:c>
      <x:c r="L4710" s="2" t="str">
        <x:v>property_type_inferred_from_title</x:v>
      </x:c>
      <x:c r="M4710" s="10" t="n">
        <x:v>0</x:v>
      </x:c>
      <x:c r="N4710" s="10" t="n">
        <x:v>0</x:v>
      </x:c>
      <x:c r="O4710" s="2" t="str">
        <x:v>Tp Hồ Chí Minh|house</x:v>
      </x:c>
      <x:c r="P4710" s="10" t="n">
        <x:v>2</x:v>
      </x:c>
      <x:c r="Q4710" s="13" t="n">
        <x:f>IF(H4710="","",H4710/1000000000)</x:f>
        <x:v>0.99</x:v>
      </x:c>
      <x:c r="R4710" s="13" t="n">
        <x:f>IF(I4710="","",I4710/1000000)</x:f>
        <x:v>16.5</x:v>
      </x:c>
    </x:row>
    <x:row r="4711" ht="21" customHeight="1">
      <x:c r="A4711" s="10" t="n">
        <x:v>6256</x:v>
      </x:c>
      <x:c r="B4711" s="2" t="str">
        <x:v>3d504bdf7e7f8b6ef6ad</x:v>
      </x:c>
      <x:c r="C4711" s="2" t="str">
        <x:v>Tp Hồ Chí Minh</x:v>
      </x:c>
      <x:c r="D4711" s="2" t="str">
        <x:v>Quận 10</x:v>
      </x:c>
      <x:c r="E4711" s="2" t="str">
        <x:v>house</x:v>
      </x:c>
      <x:c r="F4711" s="2" t="str">
        <x:v>sale</x:v>
      </x:c>
      <x:c r="G4711" s="11" t="n">
        <x:v>67</x:v>
      </x:c>
      <x:c r="H4711" s="12" t="n">
        <x:v>1450000000</x:v>
      </x:c>
      <x:c r="I4711" s="12" t="n">
        <x:v>21641791.04477612</x:v>
      </x:c>
      <x:c r="J4711" s="2" t="str">
        <x:v>total</x:v>
      </x:c>
      <x:c r="K4711" s="2" t="str">
        <x:v>top_level_area</x:v>
      </x:c>
      <x:c r="L4711" s="2" t="str">
        <x:v>property_type_inferred_from_title</x:v>
      </x:c>
      <x:c r="M4711" s="10" t="n">
        <x:v>0</x:v>
      </x:c>
      <x:c r="N4711" s="10" t="n">
        <x:v>0</x:v>
      </x:c>
      <x:c r="O4711" s="2" t="str">
        <x:v>Tp Hồ Chí Minh|house</x:v>
      </x:c>
      <x:c r="P4711" s="10" t="n">
        <x:v>2</x:v>
      </x:c>
      <x:c r="Q4711" s="13" t="n">
        <x:f>IF(H4711="","",H4711/1000000000)</x:f>
        <x:v>1.45</x:v>
      </x:c>
      <x:c r="R4711" s="13" t="n">
        <x:f>IF(I4711="","",I4711/1000000)</x:f>
        <x:v>21.64179104477612</x:v>
      </x:c>
    </x:row>
    <x:row r="4712" ht="21" customHeight="1">
      <x:c r="A4712" s="10" t="n">
        <x:v>6257</x:v>
      </x:c>
      <x:c r="B4712" s="2" t="str">
        <x:v>0e2eb451ab66fcf918ed</x:v>
      </x:c>
      <x:c r="C4712" s="2" t="str">
        <x:v>Tp Hồ Chí Minh</x:v>
      </x:c>
      <x:c r="D4712" s="2" t="str">
        <x:v>Quận 12</x:v>
      </x:c>
      <x:c r="E4712" s="2" t="str">
        <x:v>house</x:v>
      </x:c>
      <x:c r="F4712" s="2" t="str">
        <x:v>sale</x:v>
      </x:c>
      <x:c r="G4712" s="11" t="n">
        <x:v>40</x:v>
      </x:c>
      <x:c r="H4712" s="12" t="n">
        <x:v>830000000</x:v>
      </x:c>
      <x:c r="I4712" s="12" t="n">
        <x:v>20750000</x:v>
      </x:c>
      <x:c r="J4712" s="2" t="str">
        <x:v>total</x:v>
      </x:c>
      <x:c r="K4712" s="2" t="str">
        <x:v>top_level_area</x:v>
      </x:c>
      <x:c r="L4712" s="2" t="str">
        <x:v>property_type_inferred_from_title</x:v>
      </x:c>
      <x:c r="M4712" s="10" t="n">
        <x:v>0</x:v>
      </x:c>
      <x:c r="N4712" s="10" t="n">
        <x:v>0</x:v>
      </x:c>
      <x:c r="O4712" s="2" t="str">
        <x:v>Tp Hồ Chí Minh|house</x:v>
      </x:c>
      <x:c r="P4712" s="10" t="n">
        <x:v>2</x:v>
      </x:c>
      <x:c r="Q4712" s="13" t="n">
        <x:f>IF(H4712="","",H4712/1000000000)</x:f>
        <x:v>0.83</x:v>
      </x:c>
      <x:c r="R4712" s="13" t="n">
        <x:f>IF(I4712="","",I4712/1000000)</x:f>
        <x:v>20.75</x:v>
      </x:c>
    </x:row>
    <x:row r="4713" ht="21" customHeight="1">
      <x:c r="A4713" s="10" t="n">
        <x:v>6258</x:v>
      </x:c>
      <x:c r="B4713" s="2" t="str">
        <x:v>9b2edf6bbde24980b004</x:v>
      </x:c>
      <x:c r="C4713" s="2" t="str">
        <x:v>Khánh Hòa</x:v>
      </x:c>
      <x:c r="D4713" s="2" t="str">
        <x:v>Thành phố Nha Trang</x:v>
      </x:c>
      <x:c r="E4713" s="2" t="str">
        <x:v>land</x:v>
      </x:c>
      <x:c r="F4713" s="2" t="str">
        <x:v>sale_assumed</x:v>
      </x:c>
      <x:c r="G4713" s="11" t="n">
        <x:v>100</x:v>
      </x:c>
      <x:c r="H4713" s="12" t="n">
        <x:v>19000000</x:v>
      </x:c>
      <x:c r="I4713" s="12" t="n">
        <x:v>190000</x:v>
      </x:c>
      <x:c r="J4713" s="2" t="str">
        <x:v>total</x:v>
      </x:c>
      <x:c r="K4713" s="2" t="str">
        <x:v>top_level_area</x:v>
      </x:c>
      <x:c r="L4713" s="2" t="str">
        <x:v>property_type_inferred_from_title;transaction_assumed_sale_from_dataset_context</x:v>
      </x:c>
      <x:c r="M4713" s="10" t="n">
        <x:v>0</x:v>
      </x:c>
      <x:c r="N4713" s="10" t="n">
        <x:v>0</x:v>
      </x:c>
      <x:c r="O4713" s="2" t="str">
        <x:v>land</x:v>
      </x:c>
      <x:c r="P4713" s="10" t="n">
        <x:v>1</x:v>
      </x:c>
      <x:c r="Q4713" s="13" t="n">
        <x:f>IF(H4713="","",H4713/1000000000)</x:f>
        <x:v>0.019</x:v>
      </x:c>
      <x:c r="R4713" s="13" t="n">
        <x:f>IF(I4713="","",I4713/1000000)</x:f>
        <x:v>0.19</x:v>
      </x:c>
    </x:row>
    <x:row r="4714" ht="21" customHeight="1">
      <x:c r="A4714" s="10" t="n">
        <x:v>6259</x:v>
      </x:c>
      <x:c r="B4714" s="2" t="str">
        <x:v>6da5dd1ee2f95e3402cd</x:v>
      </x:c>
      <x:c r="C4714" s="2" t="str">
        <x:v>Bình Dương</x:v>
      </x:c>
      <x:c r="D4714" s="2" t="str">
        <x:v>Thị xã Thuận An</x:v>
      </x:c>
      <x:c r="E4714" s="2" t="str">
        <x:v>other_unknown</x:v>
      </x:c>
      <x:c r="F4714" s="2" t="str">
        <x:v>sale_assumed</x:v>
      </x:c>
      <x:c r="G4714" s="11" t="n">
        <x:v>80</x:v>
      </x:c>
      <x:c r="H4714" s="12" t="n">
        <x:v>1550000000</x:v>
      </x:c>
      <x:c r="I4714" s="12" t="n">
        <x:v>19375000</x:v>
      </x:c>
      <x:c r="J4714" s="2" t="str">
        <x:v>total</x:v>
      </x:c>
      <x:c r="K4714" s="2" t="str">
        <x:v>top_level_area</x:v>
      </x:c>
      <x:c r="L4714" s="2" t="str">
        <x:v>property_type_inferred_from_title;transaction_assumed_sale_from_dataset_context;unknown_property_type</x:v>
      </x:c>
      <x:c r="M4714" s="10" t="n">
        <x:v>0</x:v>
      </x:c>
      <x:c r="N4714" s="10" t="n">
        <x:v>0</x:v>
      </x:c>
      <x:c r="O4714" s="2" t="str">
        <x:v>Bình Dương|other_unknown</x:v>
      </x:c>
      <x:c r="P4714" s="10" t="n">
        <x:v>2</x:v>
      </x:c>
      <x:c r="Q4714" s="13" t="n">
        <x:f>IF(H4714="","",H4714/1000000000)</x:f>
        <x:v>1.55</x:v>
      </x:c>
      <x:c r="R4714" s="13" t="n">
        <x:f>IF(I4714="","",I4714/1000000)</x:f>
        <x:v>19.375</x:v>
      </x:c>
    </x:row>
    <x:row r="4715" ht="21" customHeight="1">
      <x:c r="A4715" s="10" t="n">
        <x:v>6262</x:v>
      </x:c>
      <x:c r="B4715" s="2" t="str">
        <x:v>e76f8e6e9fd097815dea</x:v>
      </x:c>
      <x:c r="C4715" s="2" t="str">
        <x:v>Tp Hồ Chí Minh</x:v>
      </x:c>
      <x:c r="D4715" s="2" t="str">
        <x:v>Quận 4</x:v>
      </x:c>
      <x:c r="E4715" s="2" t="str">
        <x:v>house</x:v>
      </x:c>
      <x:c r="F4715" s="2" t="str">
        <x:v>sale</x:v>
      </x:c>
      <x:c r="G4715" s="11" t="n">
        <x:v>60</x:v>
      </x:c>
      <x:c r="H4715" s="12" t="n">
        <x:v>1120000000</x:v>
      </x:c>
      <x:c r="I4715" s="12" t="n">
        <x:v>18666666.666666668</x:v>
      </x:c>
      <x:c r="J4715" s="2" t="str">
        <x:v>total</x:v>
      </x:c>
      <x:c r="K4715" s="2" t="str">
        <x:v>top_level_area</x:v>
      </x:c>
      <x:c r="L4715" s="2" t="str">
        <x:v>property_type_inferred_from_title</x:v>
      </x:c>
      <x:c r="M4715" s="10" t="n">
        <x:v>0</x:v>
      </x:c>
      <x:c r="N4715" s="10" t="n">
        <x:v>0</x:v>
      </x:c>
      <x:c r="O4715" s="2" t="str">
        <x:v>Tp Hồ Chí Minh|house</x:v>
      </x:c>
      <x:c r="P4715" s="10" t="n">
        <x:v>2</x:v>
      </x:c>
      <x:c r="Q4715" s="13" t="n">
        <x:f>IF(H4715="","",H4715/1000000000)</x:f>
        <x:v>1.12</x:v>
      </x:c>
      <x:c r="R4715" s="13" t="n">
        <x:f>IF(I4715="","",I4715/1000000)</x:f>
        <x:v>18.666666666666668</x:v>
      </x:c>
    </x:row>
    <x:row r="4716" ht="21" customHeight="1">
      <x:c r="A4716" s="10" t="n">
        <x:v>6263</x:v>
      </x:c>
      <x:c r="B4716" s="2" t="str">
        <x:v>69c6a0631a02665100c0</x:v>
      </x:c>
      <x:c r="C4716" s="2" t="str">
        <x:v>Tp Hồ Chí Minh</x:v>
      </x:c>
      <x:c r="D4716" s="2" t="str">
        <x:v>Quận Tân Phú</x:v>
      </x:c>
      <x:c r="E4716" s="2" t="str">
        <x:v>other_unknown</x:v>
      </x:c>
      <x:c r="F4716" s="2" t="str">
        <x:v>sale_assumed</x:v>
      </x:c>
      <x:c r="G4716" s="11" t="n">
        <x:v>48</x:v>
      </x:c>
      <x:c r="H4716" s="12" t="n">
        <x:v>5600000000</x:v>
      </x:c>
      <x:c r="I4716" s="12" t="n">
        <x:v>116666666.66666667</x:v>
      </x:c>
      <x:c r="J4716" s="2" t="str">
        <x:v>total</x:v>
      </x:c>
      <x:c r="K4716" s="2" t="str">
        <x:v>top_level_area</x:v>
      </x:c>
      <x:c r="L4716" s="2" t="str">
        <x:v>property_type_inferred_from_title;transaction_assumed_sale_from_dataset_context;unknown_property_type</x:v>
      </x:c>
      <x:c r="M4716" s="10" t="n">
        <x:v>0</x:v>
      </x:c>
      <x:c r="N4716" s="10" t="n">
        <x:v>0</x:v>
      </x:c>
      <x:c r="O4716" s="2" t="str">
        <x:v>Tp Hồ Chí Minh|other_unknown</x:v>
      </x:c>
      <x:c r="P4716" s="10" t="n">
        <x:v>2</x:v>
      </x:c>
      <x:c r="Q4716" s="13" t="n">
        <x:f>IF(H4716="","",H4716/1000000000)</x:f>
        <x:v>5.6</x:v>
      </x:c>
      <x:c r="R4716" s="13" t="n">
        <x:f>IF(I4716="","",I4716/1000000)</x:f>
        <x:v>116.66666666666667</x:v>
      </x:c>
    </x:row>
    <x:row r="4717" ht="21" customHeight="1">
      <x:c r="A4717" s="10" t="n">
        <x:v>6264</x:v>
      </x:c>
      <x:c r="B4717" s="2" t="str">
        <x:v>f2f6310a3413330ef5ad</x:v>
      </x:c>
      <x:c r="C4717" s="2" t="str">
        <x:v>Bình Phước</x:v>
      </x:c>
      <x:c r="D4717" s="2" t="str">
        <x:v>Huyện Chơn Thành</x:v>
      </x:c>
      <x:c r="E4717" s="2" t="str">
        <x:v>land</x:v>
      </x:c>
      <x:c r="F4717" s="2" t="str">
        <x:v>sale</x:v>
      </x:c>
      <x:c r="G4717" s="11" t="n">
        <x:v>1000</x:v>
      </x:c>
      <x:c r="H4717" s="12" t="n">
        <x:v>550000000</x:v>
      </x:c>
      <x:c r="I4717" s="12" t="n">
        <x:v>550000</x:v>
      </x:c>
      <x:c r="J4717" s="2" t="str">
        <x:v>total</x:v>
      </x:c>
      <x:c r="K4717" s="2" t="str">
        <x:v>top_level_area</x:v>
      </x:c>
      <x:c r="L4717" s="2" t="str">
        <x:v>dot_thousands_convention;property_type_inferred_from_title</x:v>
      </x:c>
      <x:c r="M4717" s="10" t="n">
        <x:v>0</x:v>
      </x:c>
      <x:c r="N4717" s="10" t="n">
        <x:v>0</x:v>
      </x:c>
      <x:c r="O4717" s="2" t="str">
        <x:v>Bình Phước|land</x:v>
      </x:c>
      <x:c r="P4717" s="10" t="n">
        <x:v>1</x:v>
      </x:c>
      <x:c r="Q4717" s="13" t="n">
        <x:f>IF(H4717="","",H4717/1000000000)</x:f>
        <x:v>0.55</x:v>
      </x:c>
      <x:c r="R4717" s="13" t="n">
        <x:f>IF(I4717="","",I4717/1000000)</x:f>
        <x:v>0.55</x:v>
      </x:c>
    </x:row>
    <x:row r="4718" ht="21" customHeight="1">
      <x:c r="A4718" s="10" t="n">
        <x:v>6265</x:v>
      </x:c>
      <x:c r="B4718" s="2" t="str">
        <x:v>da1a6bbcd53fd88a564d</x:v>
      </x:c>
      <x:c r="C4718" s="2" t="str">
        <x:v>Long An</x:v>
      </x:c>
      <x:c r="D4718" s="2" t="str">
        <x:v>Huyện Cần Đước</x:v>
      </x:c>
      <x:c r="E4718" s="2" t="str">
        <x:v>house</x:v>
      </x:c>
      <x:c r="F4718" s="2" t="str">
        <x:v>sale</x:v>
      </x:c>
      <x:c r="G4718" s="11" t="n">
        <x:v>80</x:v>
      </x:c>
      <x:c r="H4718" s="12" t="n">
        <x:v>1000000000</x:v>
      </x:c>
      <x:c r="I4718" s="12" t="n">
        <x:v>12500000</x:v>
      </x:c>
      <x:c r="J4718" s="2" t="str">
        <x:v>total</x:v>
      </x:c>
      <x:c r="K4718" s="2" t="str">
        <x:v>top_level_area</x:v>
      </x:c>
      <x:c r="L4718" s="2" t="str">
        <x:v>property_type_inferred_from_title</x:v>
      </x:c>
      <x:c r="M4718" s="10" t="n">
        <x:v>0</x:v>
      </x:c>
      <x:c r="N4718" s="10" t="n">
        <x:v>0</x:v>
      </x:c>
      <x:c r="O4718" s="2" t="str">
        <x:v>Long An|house</x:v>
      </x:c>
      <x:c r="P4718" s="10" t="n">
        <x:v>2</x:v>
      </x:c>
      <x:c r="Q4718" s="13" t="n">
        <x:f>IF(H4718="","",H4718/1000000000)</x:f>
        <x:v>1</x:v>
      </x:c>
      <x:c r="R4718" s="13" t="n">
        <x:f>IF(I4718="","",I4718/1000000)</x:f>
        <x:v>12.5</x:v>
      </x:c>
    </x:row>
    <x:row r="4719" ht="21" customHeight="1">
      <x:c r="A4719" s="10" t="n">
        <x:v>6266</x:v>
      </x:c>
      <x:c r="B4719" s="2" t="str">
        <x:v>93c221fdf703da180be3</x:v>
      </x:c>
      <x:c r="C4719" s="2" t="str">
        <x:v>Tp Hồ Chí Minh</x:v>
      </x:c>
      <x:c r="D4719" s="2" t="str">
        <x:v>Quận 10</x:v>
      </x:c>
      <x:c r="E4719" s="2" t="str">
        <x:v>house</x:v>
      </x:c>
      <x:c r="F4719" s="2" t="str">
        <x:v>sale</x:v>
      </x:c>
      <x:c r="G4719" s="11" t="n">
        <x:v>58</x:v>
      </x:c>
      <x:c r="H4719" s="12" t="n">
        <x:v>11700000000</x:v>
      </x:c>
      <x:c r="I4719" s="12" t="n">
        <x:v>201724137.93103448</x:v>
      </x:c>
      <x:c r="J4719" s="2" t="str">
        <x:v>total</x:v>
      </x:c>
      <x:c r="K4719" s="2" t="str">
        <x:v>top_level_area</x:v>
      </x:c>
      <x:c r="L4719" s="2" t="str">
        <x:v>property_type_inferred_from_title</x:v>
      </x:c>
      <x:c r="M4719" s="10" t="n">
        <x:v>1</x:v>
      </x:c>
      <x:c r="N4719" s="10" t="n">
        <x:v>1</x:v>
      </x:c>
      <x:c r="O4719" s="2" t="str">
        <x:v>Tp Hồ Chí Minh|house</x:v>
      </x:c>
      <x:c r="P4719" s="10" t="n">
        <x:v>-1</x:v>
      </x:c>
      <x:c r="Q4719" s="13" t="n">
        <x:f>IF(H4719="","",H4719/1000000000)</x:f>
        <x:v>11.7</x:v>
      </x:c>
      <x:c r="R4719" s="13" t="n">
        <x:f>IF(I4719="","",I4719/1000000)</x:f>
        <x:v>201.72413793103448</x:v>
      </x:c>
    </x:row>
    <x:row r="4720" ht="21" customHeight="1">
      <x:c r="A4720" s="10" t="n">
        <x:v>6267</x:v>
      </x:c>
      <x:c r="B4720" s="2" t="str">
        <x:v>95743dae7fb72d0f1582</x:v>
      </x:c>
      <x:c r="C4720" s="2" t="str">
        <x:v>An Giang</x:v>
      </x:c>
      <x:c r="D4720" s="2" t="str">
        <x:v>Thành phố Long Xuyên</x:v>
      </x:c>
      <x:c r="E4720" s="2" t="str">
        <x:v>other_unknown</x:v>
      </x:c>
      <x:c r="F4720" s="2" t="str">
        <x:v>sale_assumed</x:v>
      </x:c>
      <x:c r="G4720" s="11" t="n">
        <x:v>70</x:v>
      </x:c>
      <x:c r="H4720" s="12" t="n">
        <x:v>239000000</x:v>
      </x:c>
      <x:c r="I4720" s="12" t="n">
        <x:v>3414285.714285714</x:v>
      </x:c>
      <x:c r="J4720" s="2" t="str">
        <x:v>total</x:v>
      </x:c>
      <x:c r="K4720" s="2" t="str">
        <x:v>top_level_area</x:v>
      </x:c>
      <x:c r="L4720" s="2" t="str">
        <x:v>property_type_inferred_from_title;transaction_assumed_sale_from_dataset_context;unknown_property_type</x:v>
      </x:c>
      <x:c r="M4720" s="10" t="n">
        <x:v>0</x:v>
      </x:c>
      <x:c r="N4720" s="10" t="n">
        <x:v>0</x:v>
      </x:c>
      <x:c r="O4720" s="2" t="str">
        <x:v>other_unknown</x:v>
      </x:c>
      <x:c r="P4720" s="10" t="n">
        <x:v>2</x:v>
      </x:c>
      <x:c r="Q4720" s="13" t="n">
        <x:f>IF(H4720="","",H4720/1000000000)</x:f>
        <x:v>0.239</x:v>
      </x:c>
      <x:c r="R4720" s="13" t="n">
        <x:f>IF(I4720="","",I4720/1000000)</x:f>
        <x:v>3.414285714285714</x:v>
      </x:c>
    </x:row>
    <x:row r="4721" ht="21" customHeight="1">
      <x:c r="A4721" s="10" t="n">
        <x:v>6268</x:v>
      </x:c>
      <x:c r="B4721" s="2" t="str">
        <x:v>a228e1cceca8c2ba2f7b</x:v>
      </x:c>
      <x:c r="C4721" s="2" t="str">
        <x:v>Tp Hồ Chí Minh</x:v>
      </x:c>
      <x:c r="D4721" s="2" t="str">
        <x:v>Quận 6</x:v>
      </x:c>
      <x:c r="E4721" s="2" t="str">
        <x:v>house</x:v>
      </x:c>
      <x:c r="F4721" s="2" t="str">
        <x:v>sale</x:v>
      </x:c>
      <x:c r="G4721" s="11" t="n">
        <x:v>105</x:v>
      </x:c>
      <x:c r="H4721" s="12" t="n">
        <x:v>16000000000</x:v>
      </x:c>
      <x:c r="I4721" s="12" t="n">
        <x:v>152380952.3809524</x:v>
      </x:c>
      <x:c r="J4721" s="2" t="str">
        <x:v>total</x:v>
      </x:c>
      <x:c r="K4721" s="2" t="str">
        <x:v>top_level_area</x:v>
      </x:c>
      <x:c r="L4721" s="2" t="str">
        <x:v>property_type_inferred_from_title</x:v>
      </x:c>
      <x:c r="M4721" s="10" t="n">
        <x:v>0</x:v>
      </x:c>
      <x:c r="N4721" s="10" t="n">
        <x:v>0</x:v>
      </x:c>
      <x:c r="O4721" s="2" t="str">
        <x:v>Tp Hồ Chí Minh|house</x:v>
      </x:c>
      <x:c r="P4721" s="10" t="n">
        <x:v>2</x:v>
      </x:c>
      <x:c r="Q4721" s="13" t="n">
        <x:f>IF(H4721="","",H4721/1000000000)</x:f>
        <x:v>16</x:v>
      </x:c>
      <x:c r="R4721" s="13" t="n">
        <x:f>IF(I4721="","",I4721/1000000)</x:f>
        <x:v>152.38095238095238</x:v>
      </x:c>
    </x:row>
    <x:row r="4722" ht="21" customHeight="1">
      <x:c r="A4722" s="10" t="n">
        <x:v>6269</x:v>
      </x:c>
      <x:c r="B4722" s="2" t="str">
        <x:v>24139a348b3d3de9fc77</x:v>
      </x:c>
      <x:c r="C4722" s="2" t="str">
        <x:v>Tp Hồ Chí Minh</x:v>
      </x:c>
      <x:c r="D4722" s="2" t="str">
        <x:v>Quận Phú Nhuận</x:v>
      </x:c>
      <x:c r="E4722" s="2" t="str">
        <x:v>other_unknown</x:v>
      </x:c>
      <x:c r="F4722" s="2" t="str">
        <x:v>sale_assumed</x:v>
      </x:c>
      <x:c r="G4722" s="11" t="n">
        <x:v>47</x:v>
      </x:c>
      <x:c r="H4722" s="12" t="n">
        <x:v>7200000000</x:v>
      </x:c>
      <x:c r="I4722" s="12" t="n">
        <x:v>153191489.3617021</x:v>
      </x:c>
      <x:c r="J4722" s="2" t="str">
        <x:v>total</x:v>
      </x:c>
      <x:c r="K4722" s="2" t="str">
        <x:v>top_level_area</x:v>
      </x:c>
      <x:c r="L4722" s="2" t="str">
        <x:v>property_type_inferred_from_title;transaction_assumed_sale_from_dataset_context;unknown_property_type</x:v>
      </x:c>
      <x:c r="M4722" s="10" t="n">
        <x:v>0</x:v>
      </x:c>
      <x:c r="N4722" s="10" t="n">
        <x:v>0</x:v>
      </x:c>
      <x:c r="O4722" s="2" t="str">
        <x:v>Tp Hồ Chí Minh|other_unknown</x:v>
      </x:c>
      <x:c r="P4722" s="10" t="n">
        <x:v>2</x:v>
      </x:c>
      <x:c r="Q4722" s="13" t="n">
        <x:f>IF(H4722="","",H4722/1000000000)</x:f>
        <x:v>7.2</x:v>
      </x:c>
      <x:c r="R4722" s="13" t="n">
        <x:f>IF(I4722="","",I4722/1000000)</x:f>
        <x:v>153.1914893617021</x:v>
      </x:c>
    </x:row>
    <x:row r="4723" ht="21" customHeight="1">
      <x:c r="A4723" s="10" t="n">
        <x:v>6270</x:v>
      </x:c>
      <x:c r="B4723" s="2" t="str">
        <x:v>6931468b98dfb948ee76</x:v>
      </x:c>
      <x:c r="C4723" s="2" t="str">
        <x:v>Tp Hồ Chí Minh</x:v>
      </x:c>
      <x:c r="D4723" s="2" t="str">
        <x:v>Quận 8</x:v>
      </x:c>
      <x:c r="E4723" s="2" t="str">
        <x:v>house</x:v>
      </x:c>
      <x:c r="F4723" s="2" t="str">
        <x:v>sale</x:v>
      </x:c>
      <x:c r="G4723" s="11" t="n">
        <x:v>58</x:v>
      </x:c>
      <x:c r="H4723" s="12" t="n">
        <x:v>1160000000</x:v>
      </x:c>
      <x:c r="I4723" s="12" t="n">
        <x:v>20000000</x:v>
      </x:c>
      <x:c r="J4723" s="2" t="str">
        <x:v>total</x:v>
      </x:c>
      <x:c r="K4723" s="2" t="str">
        <x:v>top_level_area</x:v>
      </x:c>
      <x:c r="L4723" s="2" t="str">
        <x:v>property_type_inferred_from_title</x:v>
      </x:c>
      <x:c r="M4723" s="10" t="n">
        <x:v>0</x:v>
      </x:c>
      <x:c r="N4723" s="10" t="n">
        <x:v>0</x:v>
      </x:c>
      <x:c r="O4723" s="2" t="str">
        <x:v>Tp Hồ Chí Minh|house</x:v>
      </x:c>
      <x:c r="P4723" s="10" t="n">
        <x:v>2</x:v>
      </x:c>
      <x:c r="Q4723" s="13" t="n">
        <x:f>IF(H4723="","",H4723/1000000000)</x:f>
        <x:v>1.16</x:v>
      </x:c>
      <x:c r="R4723" s="13" t="n">
        <x:f>IF(I4723="","",I4723/1000000)</x:f>
        <x:v>20</x:v>
      </x:c>
    </x:row>
    <x:row r="4724" ht="21" customHeight="1">
      <x:c r="A4724" s="10" t="n">
        <x:v>6271</x:v>
      </x:c>
      <x:c r="B4724" s="2" t="str">
        <x:v>2b7fab9296403acd198f</x:v>
      </x:c>
      <x:c r="C4724" s="2" t="str">
        <x:v>Hà Nội</x:v>
      </x:c>
      <x:c r="D4724" s="2" t="str">
        <x:v>Quận Nam Từ Liêm</x:v>
      </x:c>
      <x:c r="E4724" s="2" t="str">
        <x:v>house</x:v>
      </x:c>
      <x:c r="F4724" s="2" t="str">
        <x:v>sale</x:v>
      </x:c>
      <x:c r="G4724" s="11" t="n">
        <x:v>46</x:v>
      </x:c>
      <x:c r="H4724" s="12" t="n">
        <x:v>2300000000</x:v>
      </x:c>
      <x:c r="I4724" s="12" t="n">
        <x:v>50000000</x:v>
      </x:c>
      <x:c r="J4724" s="2" t="str">
        <x:v>total</x:v>
      </x:c>
      <x:c r="K4724" s="2" t="str">
        <x:v>top_level_area</x:v>
      </x:c>
      <x:c r="L4724" s="2" t="str">
        <x:v>property_type_inferred_from_title</x:v>
      </x:c>
      <x:c r="M4724" s="10" t="n">
        <x:v>0</x:v>
      </x:c>
      <x:c r="N4724" s="10" t="n">
        <x:v>0</x:v>
      </x:c>
      <x:c r="O4724" s="2" t="str">
        <x:v>Hà Nội|house</x:v>
      </x:c>
      <x:c r="P4724" s="10" t="n">
        <x:v>2</x:v>
      </x:c>
      <x:c r="Q4724" s="13" t="n">
        <x:f>IF(H4724="","",H4724/1000000000)</x:f>
        <x:v>2.3</x:v>
      </x:c>
      <x:c r="R4724" s="13" t="n">
        <x:f>IF(I4724="","",I4724/1000000)</x:f>
        <x:v>50</x:v>
      </x:c>
    </x:row>
    <x:row r="4725" ht="21" customHeight="1">
      <x:c r="A4725" s="10" t="n">
        <x:v>6272</x:v>
      </x:c>
      <x:c r="B4725" s="2" t="str">
        <x:v>88114ccf152b682e1f0f</x:v>
      </x:c>
      <x:c r="C4725" s="2" t="str">
        <x:v>Bình Dương</x:v>
      </x:c>
      <x:c r="D4725" s="2" t="str">
        <x:v>Thành phố Thủ Dầu Một</x:v>
      </x:c>
      <x:c r="E4725" s="2" t="str">
        <x:v>land</x:v>
      </x:c>
      <x:c r="F4725" s="2" t="str">
        <x:v>sale_assumed</x:v>
      </x:c>
      <x:c r="G4725" s="11" t="n">
        <x:v>192</x:v>
      </x:c>
      <x:c r="H4725" s="12" t="n">
        <x:v>2828000000</x:v>
      </x:c>
      <x:c r="I4725" s="12" t="n">
        <x:v>14729166.666666666</x:v>
      </x:c>
      <x:c r="J4725" s="2" t="str">
        <x:v>total</x:v>
      </x:c>
      <x:c r="K4725" s="2" t="str">
        <x:v>top_level_area</x:v>
      </x:c>
      <x:c r="L4725" s="2" t="str">
        <x:v>property_type_inferred_from_title;transaction_assumed_sale_from_dataset_context</x:v>
      </x:c>
      <x:c r="M4725" s="10" t="n">
        <x:v>0</x:v>
      </x:c>
      <x:c r="N4725" s="10" t="n">
        <x:v>0</x:v>
      </x:c>
      <x:c r="O4725" s="2" t="str">
        <x:v>Bình Dương|land</x:v>
      </x:c>
      <x:c r="P4725" s="10" t="n">
        <x:v>2</x:v>
      </x:c>
      <x:c r="Q4725" s="13" t="n">
        <x:f>IF(H4725="","",H4725/1000000000)</x:f>
        <x:v>2.828</x:v>
      </x:c>
      <x:c r="R4725" s="13" t="n">
        <x:f>IF(I4725="","",I4725/1000000)</x:f>
        <x:v>14.729166666666666</x:v>
      </x:c>
    </x:row>
    <x:row r="4726" ht="21" customHeight="1">
      <x:c r="A4726" s="10" t="n">
        <x:v>6273</x:v>
      </x:c>
      <x:c r="B4726" s="2" t="str">
        <x:v>c4ca6f0decc8d99875bb</x:v>
      </x:c>
      <x:c r="C4726" s="2" t="str">
        <x:v>Tp Hồ Chí Minh</x:v>
      </x:c>
      <x:c r="D4726" s="2" t="str">
        <x:v>Quận Tân Phú</x:v>
      </x:c>
      <x:c r="E4726" s="2" t="str">
        <x:v>other_unknown</x:v>
      </x:c>
      <x:c r="F4726" s="2" t="str">
        <x:v>sale</x:v>
      </x:c>
      <x:c r="G4726" s="11" t="n">
        <x:v>47</x:v>
      </x:c>
      <x:c r="H4726" s="12" t="n">
        <x:v>1250000000</x:v>
      </x:c>
      <x:c r="I4726" s="12" t="n">
        <x:v>26595744.680851065</x:v>
      </x:c>
      <x:c r="J4726" s="2" t="str">
        <x:v>total</x:v>
      </x:c>
      <x:c r="K4726" s="2" t="str">
        <x:v>top_level_price_embedded_area</x:v>
      </x:c>
      <x:c r="L4726" s="2" t="str">
        <x:v>area_recovered_from_price_text;property_type_inferred_from_title;unknown_property_type</x:v>
      </x:c>
      <x:c r="M4726" s="10" t="n">
        <x:v>0</x:v>
      </x:c>
      <x:c r="N4726" s="10" t="n">
        <x:v>0</x:v>
      </x:c>
      <x:c r="O4726" s="2" t="str">
        <x:v>Tp Hồ Chí Minh|other_unknown</x:v>
      </x:c>
      <x:c r="P4726" s="10" t="n">
        <x:v>2</x:v>
      </x:c>
      <x:c r="Q4726" s="13" t="n">
        <x:f>IF(H4726="","",H4726/1000000000)</x:f>
        <x:v>1.25</x:v>
      </x:c>
      <x:c r="R4726" s="13" t="n">
        <x:f>IF(I4726="","",I4726/1000000)</x:f>
        <x:v>26.595744680851066</x:v>
      </x:c>
    </x:row>
    <x:row r="4727" ht="21" customHeight="1">
      <x:c r="A4727" s="10" t="n">
        <x:v>6274</x:v>
      </x:c>
      <x:c r="B4727" s="2" t="str">
        <x:v>de4f6916748b3977270f</x:v>
      </x:c>
      <x:c r="C4727" s="2" t="str">
        <x:v>Đà Nẵng</x:v>
      </x:c>
      <x:c r="D4727" s="2" t="str">
        <x:v>Quận Cẩm Lệ</x:v>
      </x:c>
      <x:c r="E4727" s="2" t="str">
        <x:v>house</x:v>
      </x:c>
      <x:c r="F4727" s="2" t="str">
        <x:v>sale</x:v>
      </x:c>
      <x:c r="G4727" s="11" t="n">
        <x:v>100</x:v>
      </x:c>
      <x:c r="H4727" s="12" t="n">
        <x:v>4150000000.0000005</x:v>
      </x:c>
      <x:c r="I4727" s="12" t="n">
        <x:v>41500000.00000001</x:v>
      </x:c>
      <x:c r="J4727" s="2" t="str">
        <x:v>total</x:v>
      </x:c>
      <x:c r="K4727" s="2" t="str">
        <x:v>top_level_area</x:v>
      </x:c>
      <x:c r="L4727" s="2" t="str">
        <x:v>property_type_inferred_from_title</x:v>
      </x:c>
      <x:c r="M4727" s="10" t="n">
        <x:v>0</x:v>
      </x:c>
      <x:c r="N4727" s="10" t="n">
        <x:v>0</x:v>
      </x:c>
      <x:c r="O4727" s="2" t="str">
        <x:v>Đà Nẵng|house</x:v>
      </x:c>
      <x:c r="P4727" s="10" t="n">
        <x:v>2</x:v>
      </x:c>
      <x:c r="Q4727" s="13" t="n">
        <x:f>IF(H4727="","",H4727/1000000000)</x:f>
        <x:v>4.15</x:v>
      </x:c>
      <x:c r="R4727" s="13" t="n">
        <x:f>IF(I4727="","",I4727/1000000)</x:f>
        <x:v>41.50000000000001</x:v>
      </x:c>
    </x:row>
    <x:row r="4728" ht="21" customHeight="1">
      <x:c r="A4728" s="10" t="n">
        <x:v>6275</x:v>
      </x:c>
      <x:c r="B4728" s="2" t="str">
        <x:v>a810b2bab3c45d49638d</x:v>
      </x:c>
      <x:c r="C4728" s="2" t="str">
        <x:v>Vĩnh Long</x:v>
      </x:c>
      <x:c r="D4728" s="2" t="str">
        <x:v>Huyện Long Hồ</x:v>
      </x:c>
      <x:c r="E4728" s="2" t="str">
        <x:v>land</x:v>
      </x:c>
      <x:c r="F4728" s="2" t="str">
        <x:v>sale_assumed</x:v>
      </x:c>
      <x:c r="G4728" s="11" t="n">
        <x:v>189</x:v>
      </x:c>
      <x:c r="H4728" s="12" t="n">
        <x:v>500000000</x:v>
      </x:c>
      <x:c r="I4728" s="12" t="n">
        <x:v>2645502.6455026455</x:v>
      </x:c>
      <x:c r="J4728" s="2" t="str">
        <x:v>total</x:v>
      </x:c>
      <x:c r="K4728" s="2" t="str">
        <x:v>top_level_area</x:v>
      </x:c>
      <x:c r="L4728" s="2" t="str">
        <x:v>property_type_inferred_from_title;transaction_assumed_sale_from_dataset_context</x:v>
      </x:c>
      <x:c r="M4728" s="10" t="n">
        <x:v>0</x:v>
      </x:c>
      <x:c r="N4728" s="10" t="n">
        <x:v>0</x:v>
      </x:c>
      <x:c r="O4728" s="2" t="str">
        <x:v>land</x:v>
      </x:c>
      <x:c r="P4728" s="10" t="n">
        <x:v>1</x:v>
      </x:c>
      <x:c r="Q4728" s="13" t="n">
        <x:f>IF(H4728="","",H4728/1000000000)</x:f>
        <x:v>0.5</x:v>
      </x:c>
      <x:c r="R4728" s="13" t="n">
        <x:f>IF(I4728="","",I4728/1000000)</x:f>
        <x:v>2.6455026455026456</x:v>
      </x:c>
    </x:row>
    <x:row r="4729" ht="21" customHeight="1">
      <x:c r="A4729" s="10" t="n">
        <x:v>6276</x:v>
      </x:c>
      <x:c r="B4729" s="2" t="str">
        <x:v>f2460d80cfe787c0eb02</x:v>
      </x:c>
      <x:c r="C4729" s="2" t="str">
        <x:v>Tp Hồ Chí Minh</x:v>
      </x:c>
      <x:c r="D4729" s="2" t="str">
        <x:v>Quận 5</x:v>
      </x:c>
      <x:c r="E4729" s="2" t="str">
        <x:v>house</x:v>
      </x:c>
      <x:c r="F4729" s="2" t="str">
        <x:v>sale</x:v>
      </x:c>
      <x:c r="G4729" s="11" t="n">
        <x:v>49</x:v>
      </x:c>
      <x:c r="H4729" s="12" t="n">
        <x:v>1620000000</x:v>
      </x:c>
      <x:c r="I4729" s="12" t="n">
        <x:v>33061224.48979592</x:v>
      </x:c>
      <x:c r="J4729" s="2" t="str">
        <x:v>total</x:v>
      </x:c>
      <x:c r="K4729" s="2" t="str">
        <x:v>top_level_area</x:v>
      </x:c>
      <x:c r="L4729" s="2" t="str">
        <x:v>property_type_inferred_from_title</x:v>
      </x:c>
      <x:c r="M4729" s="10" t="n">
        <x:v>0</x:v>
      </x:c>
      <x:c r="N4729" s="10" t="n">
        <x:v>0</x:v>
      </x:c>
      <x:c r="O4729" s="2" t="str">
        <x:v>Tp Hồ Chí Minh|house</x:v>
      </x:c>
      <x:c r="P4729" s="10" t="n">
        <x:v>2</x:v>
      </x:c>
      <x:c r="Q4729" s="13" t="n">
        <x:f>IF(H4729="","",H4729/1000000000)</x:f>
        <x:v>1.62</x:v>
      </x:c>
      <x:c r="R4729" s="13" t="n">
        <x:f>IF(I4729="","",I4729/1000000)</x:f>
        <x:v>33.06122448979592</x:v>
      </x:c>
    </x:row>
    <x:row r="4730" ht="21" customHeight="1">
      <x:c r="A4730" s="10" t="n">
        <x:v>6277</x:v>
      </x:c>
      <x:c r="B4730" s="2" t="str">
        <x:v>838fcb0637423629125f</x:v>
      </x:c>
      <x:c r="C4730" s="2" t="str">
        <x:v>Chưa xác định</x:v>
      </x:c>
      <x:c r="D4730" s="2" t="str">
        <x:v>Chưa xác định</x:v>
      </x:c>
      <x:c r="E4730" s="2" t="str">
        <x:v>land</x:v>
      </x:c>
      <x:c r="F4730" s="2" t="str">
        <x:v>sale_assumed</x:v>
      </x:c>
      <x:c r="G4730" s="11" t="n">
        <x:v>80</x:v>
      </x:c>
      <x:c r="H4730" s="12" t="n">
        <x:v>499000000</x:v>
      </x:c>
      <x:c r="I4730" s="12" t="n">
        <x:v>6237500</x:v>
      </x:c>
      <x:c r="J4730" s="2" t="str">
        <x:v>total</x:v>
      </x:c>
      <x:c r="K4730" s="2" t="str">
        <x:v>top_level_area</x:v>
      </x:c>
      <x:c r="L4730" s="2" t="str">
        <x:v>property_type_inferred_from_title;transaction_assumed_sale_from_dataset_context;unknown_district;unknown_province</x:v>
      </x:c>
      <x:c r="M4730" s="10" t="n">
        <x:v>0</x:v>
      </x:c>
      <x:c r="N4730" s="10" t="n">
        <x:v>0</x:v>
      </x:c>
      <x:c r="O4730" s="2" t="str">
        <x:v>land</x:v>
      </x:c>
      <x:c r="P4730" s="10" t="n">
        <x:v>2</x:v>
      </x:c>
      <x:c r="Q4730" s="13" t="n">
        <x:f>IF(H4730="","",H4730/1000000000)</x:f>
        <x:v>0.499</x:v>
      </x:c>
      <x:c r="R4730" s="13" t="n">
        <x:f>IF(I4730="","",I4730/1000000)</x:f>
        <x:v>6.2375</x:v>
      </x:c>
    </x:row>
    <x:row r="4731" ht="21" customHeight="1">
      <x:c r="A4731" s="10" t="n">
        <x:v>6278</x:v>
      </x:c>
      <x:c r="B4731" s="2" t="str">
        <x:v>f211a8dcc7e29fa1b26c</x:v>
      </x:c>
      <x:c r="C4731" s="2" t="str">
        <x:v>Bình Dương</x:v>
      </x:c>
      <x:c r="D4731" s="2" t="str">
        <x:v>Huyện Bàu Bàng</x:v>
      </x:c>
      <x:c r="E4731" s="2" t="str">
        <x:v>land</x:v>
      </x:c>
      <x:c r="F4731" s="2" t="str">
        <x:v>sale</x:v>
      </x:c>
      <x:c r="G4731" s="11" t="n">
        <x:v>95</x:v>
      </x:c>
      <x:c r="H4731" s="12" t="n">
        <x:v>655000000</x:v>
      </x:c>
      <x:c r="I4731" s="12" t="n">
        <x:v>6894736.842105263</x:v>
      </x:c>
      <x:c r="J4731" s="2" t="str">
        <x:v>total</x:v>
      </x:c>
      <x:c r="K4731" s="2" t="str">
        <x:v>top_level_area</x:v>
      </x:c>
      <x:c r="L4731" s="2" t="str">
        <x:v>property_type_inferred_from_title</x:v>
      </x:c>
      <x:c r="M4731" s="10" t="n">
        <x:v>0</x:v>
      </x:c>
      <x:c r="N4731" s="10" t="n">
        <x:v>0</x:v>
      </x:c>
      <x:c r="O4731" s="2" t="str">
        <x:v>Bình Dương|land</x:v>
      </x:c>
      <x:c r="P4731" s="10" t="n">
        <x:v>2</x:v>
      </x:c>
      <x:c r="Q4731" s="13" t="n">
        <x:f>IF(H4731="","",H4731/1000000000)</x:f>
        <x:v>0.655</x:v>
      </x:c>
      <x:c r="R4731" s="13" t="n">
        <x:f>IF(I4731="","",I4731/1000000)</x:f>
        <x:v>6.894736842105263</x:v>
      </x:c>
    </x:row>
    <x:row r="4732" ht="21" customHeight="1">
      <x:c r="A4732" s="10" t="n">
        <x:v>6279</x:v>
      </x:c>
      <x:c r="B4732" s="2" t="str">
        <x:v>7ce4b9a5eeeece946f38</x:v>
      </x:c>
      <x:c r="C4732" s="2" t="str">
        <x:v>Tp Hồ Chí Minh</x:v>
      </x:c>
      <x:c r="D4732" s="2" t="str">
        <x:v>Quận 8</x:v>
      </x:c>
      <x:c r="E4732" s="2" t="str">
        <x:v>house</x:v>
      </x:c>
      <x:c r="F4732" s="2" t="str">
        <x:v>sale</x:v>
      </x:c>
      <x:c r="G4732" s="11" t="n">
        <x:v>55</x:v>
      </x:c>
      <x:c r="H4732" s="12" t="n">
        <x:v>875000000</x:v>
      </x:c>
      <x:c r="I4732" s="12" t="n">
        <x:v>15909090.909090908</x:v>
      </x:c>
      <x:c r="J4732" s="2" t="str">
        <x:v>total</x:v>
      </x:c>
      <x:c r="K4732" s="2" t="str">
        <x:v>top_level_area</x:v>
      </x:c>
      <x:c r="L4732" s="2" t="str">
        <x:v>property_type_inferred_from_title</x:v>
      </x:c>
      <x:c r="M4732" s="10" t="n">
        <x:v>0</x:v>
      </x:c>
      <x:c r="N4732" s="10" t="n">
        <x:v>0</x:v>
      </x:c>
      <x:c r="O4732" s="2" t="str">
        <x:v>Tp Hồ Chí Minh|house</x:v>
      </x:c>
      <x:c r="P4732" s="10" t="n">
        <x:v>2</x:v>
      </x:c>
      <x:c r="Q4732" s="13" t="n">
        <x:f>IF(H4732="","",H4732/1000000000)</x:f>
        <x:v>0.875</x:v>
      </x:c>
      <x:c r="R4732" s="13" t="n">
        <x:f>IF(I4732="","",I4732/1000000)</x:f>
        <x:v>15.909090909090908</x:v>
      </x:c>
    </x:row>
    <x:row r="4733" ht="21" customHeight="1">
      <x:c r="A4733" s="10" t="n">
        <x:v>6280</x:v>
      </x:c>
      <x:c r="B4733" s="2" t="str">
        <x:v>3dd293c4952a25da30cd</x:v>
      </x:c>
      <x:c r="C4733" s="2" t="str">
        <x:v>Đồng Nai</x:v>
      </x:c>
      <x:c r="D4733" s="2" t="str">
        <x:v>Huyện Long Thành</x:v>
      </x:c>
      <x:c r="E4733" s="2" t="str">
        <x:v>land</x:v>
      </x:c>
      <x:c r="F4733" s="2" t="str">
        <x:v>sale_assumed</x:v>
      </x:c>
      <x:c r="G4733" s="11" t="n">
        <x:v>180</x:v>
      </x:c>
      <x:c r="H4733" s="12" t="n">
        <x:v>1300000000</x:v>
      </x:c>
      <x:c r="I4733" s="12" t="n">
        <x:v>7222222.222222222</x:v>
      </x:c>
      <x:c r="J4733" s="2" t="str">
        <x:v>total</x:v>
      </x:c>
      <x:c r="K4733" s="2" t="str">
        <x:v>top_level_area</x:v>
      </x:c>
      <x:c r="L4733" s="2" t="str">
        <x:v>property_type_inferred_from_title;transaction_assumed_sale_from_dataset_context</x:v>
      </x:c>
      <x:c r="M4733" s="10" t="n">
        <x:v>0</x:v>
      </x:c>
      <x:c r="N4733" s="10" t="n">
        <x:v>0</x:v>
      </x:c>
      <x:c r="O4733" s="2" t="str">
        <x:v>Đồng Nai|land</x:v>
      </x:c>
      <x:c r="P4733" s="10" t="n">
        <x:v>2</x:v>
      </x:c>
      <x:c r="Q4733" s="13" t="n">
        <x:f>IF(H4733="","",H4733/1000000000)</x:f>
        <x:v>1.3</x:v>
      </x:c>
      <x:c r="R4733" s="13" t="n">
        <x:f>IF(I4733="","",I4733/1000000)</x:f>
        <x:v>7.222222222222222</x:v>
      </x:c>
    </x:row>
    <x:row r="4734" ht="21" customHeight="1">
      <x:c r="A4734" s="10" t="n">
        <x:v>6281</x:v>
      </x:c>
      <x:c r="B4734" s="2" t="str">
        <x:v>4898c6bc590585b40cc1</x:v>
      </x:c>
      <x:c r="C4734" s="2" t="str">
        <x:v>Tp Hồ Chí Minh</x:v>
      </x:c>
      <x:c r="D4734" s="2" t="str">
        <x:v>Quận 10</x:v>
      </x:c>
      <x:c r="E4734" s="2" t="str">
        <x:v>house</x:v>
      </x:c>
      <x:c r="F4734" s="2" t="str">
        <x:v>sale</x:v>
      </x:c>
      <x:c r="G4734" s="11" t="n">
        <x:v>45</x:v>
      </x:c>
      <x:c r="H4734" s="12" t="n">
        <x:v>1040000000</x:v>
      </x:c>
      <x:c r="I4734" s="12" t="n">
        <x:v>23111111.111111112</x:v>
      </x:c>
      <x:c r="J4734" s="2" t="str">
        <x:v>total</x:v>
      </x:c>
      <x:c r="K4734" s="2" t="str">
        <x:v>top_level_area</x:v>
      </x:c>
      <x:c r="L4734" s="2" t="str">
        <x:v>property_type_inferred_from_title</x:v>
      </x:c>
      <x:c r="M4734" s="10" t="n">
        <x:v>0</x:v>
      </x:c>
      <x:c r="N4734" s="10" t="n">
        <x:v>0</x:v>
      </x:c>
      <x:c r="O4734" s="2" t="str">
        <x:v>Tp Hồ Chí Minh|house</x:v>
      </x:c>
      <x:c r="P4734" s="10" t="n">
        <x:v>2</x:v>
      </x:c>
      <x:c r="Q4734" s="13" t="n">
        <x:f>IF(H4734="","",H4734/1000000000)</x:f>
        <x:v>1.04</x:v>
      </x:c>
      <x:c r="R4734" s="13" t="n">
        <x:f>IF(I4734="","",I4734/1000000)</x:f>
        <x:v>23.11111111111111</x:v>
      </x:c>
    </x:row>
    <x:row r="4735" ht="21" customHeight="1">
      <x:c r="A4735" s="10" t="n">
        <x:v>6284</x:v>
      </x:c>
      <x:c r="B4735" s="2" t="str">
        <x:v>eb5bb6b30e1bc9f88b7c</x:v>
      </x:c>
      <x:c r="C4735" s="2" t="str">
        <x:v>Tp Hồ Chí Minh</x:v>
      </x:c>
      <x:c r="D4735" s="2" t="str">
        <x:v>Quận 5</x:v>
      </x:c>
      <x:c r="E4735" s="2" t="str">
        <x:v>house</x:v>
      </x:c>
      <x:c r="F4735" s="2" t="str">
        <x:v>sale_assumed</x:v>
      </x:c>
      <x:c r="G4735" s="11" t="n">
        <x:v>44</x:v>
      </x:c>
      <x:c r="H4735" s="12" t="n">
        <x:v>1120000000</x:v>
      </x:c>
      <x:c r="I4735" s="12" t="n">
        <x:v>25454545.454545453</x:v>
      </x:c>
      <x:c r="J4735" s="2" t="str">
        <x:v>total</x:v>
      </x:c>
      <x:c r="K4735" s="2" t="str">
        <x:v>top_level_area</x:v>
      </x:c>
      <x:c r="L4735" s="2" t="str">
        <x:v>property_type_inferred_from_title;transaction_assumed_sale_from_dataset_context</x:v>
      </x:c>
      <x:c r="M4735" s="10" t="n">
        <x:v>0</x:v>
      </x:c>
      <x:c r="N4735" s="10" t="n">
        <x:v>0</x:v>
      </x:c>
      <x:c r="O4735" s="2" t="str">
        <x:v>Tp Hồ Chí Minh|house</x:v>
      </x:c>
      <x:c r="P4735" s="10" t="n">
        <x:v>2</x:v>
      </x:c>
      <x:c r="Q4735" s="13" t="n">
        <x:f>IF(H4735="","",H4735/1000000000)</x:f>
        <x:v>1.12</x:v>
      </x:c>
      <x:c r="R4735" s="13" t="n">
        <x:f>IF(I4735="","",I4735/1000000)</x:f>
        <x:v>25.454545454545453</x:v>
      </x:c>
    </x:row>
    <x:row r="4736" ht="21" customHeight="1">
      <x:c r="A4736" s="10" t="n">
        <x:v>6285</x:v>
      </x:c>
      <x:c r="B4736" s="2" t="str">
        <x:v>633e4a770a31cfe30f63</x:v>
      </x:c>
      <x:c r="C4736" s="2" t="str">
        <x:v>Tp Hồ Chí Minh</x:v>
      </x:c>
      <x:c r="D4736" s="2" t="str">
        <x:v>Quận Tân Phú</x:v>
      </x:c>
      <x:c r="E4736" s="2" t="str">
        <x:v>house</x:v>
      </x:c>
      <x:c r="F4736" s="2" t="str">
        <x:v>sale_assumed</x:v>
      </x:c>
      <x:c r="G4736" s="11" t="n">
        <x:v>41</x:v>
      </x:c>
      <x:c r="H4736" s="12" t="n">
        <x:v>880000000</x:v>
      </x:c>
      <x:c r="I4736" s="12" t="n">
        <x:v>21463414.63414634</x:v>
      </x:c>
      <x:c r="J4736" s="2" t="str">
        <x:v>total</x:v>
      </x:c>
      <x:c r="K4736" s="2" t="str">
        <x:v>top_level_area</x:v>
      </x:c>
      <x:c r="L4736" s="2" t="str">
        <x:v>property_type_inferred_from_title;transaction_assumed_sale_from_dataset_context</x:v>
      </x:c>
      <x:c r="M4736" s="10" t="n">
        <x:v>0</x:v>
      </x:c>
      <x:c r="N4736" s="10" t="n">
        <x:v>0</x:v>
      </x:c>
      <x:c r="O4736" s="2" t="str">
        <x:v>Tp Hồ Chí Minh|house</x:v>
      </x:c>
      <x:c r="P4736" s="10" t="n">
        <x:v>2</x:v>
      </x:c>
      <x:c r="Q4736" s="13" t="n">
        <x:f>IF(H4736="","",H4736/1000000000)</x:f>
        <x:v>0.88</x:v>
      </x:c>
      <x:c r="R4736" s="13" t="n">
        <x:f>IF(I4736="","",I4736/1000000)</x:f>
        <x:v>21.46341463414634</x:v>
      </x:c>
    </x:row>
    <x:row r="4737" ht="21" customHeight="1">
      <x:c r="A4737" s="10" t="n">
        <x:v>6286</x:v>
      </x:c>
      <x:c r="B4737" s="2" t="str">
        <x:v>6c77423aa1881d31800c</x:v>
      </x:c>
      <x:c r="C4737" s="2" t="str">
        <x:v>Tp Hồ Chí Minh</x:v>
      </x:c>
      <x:c r="D4737" s="2" t="str">
        <x:v>Quận 11</x:v>
      </x:c>
      <x:c r="E4737" s="2" t="str">
        <x:v>house</x:v>
      </x:c>
      <x:c r="F4737" s="2" t="str">
        <x:v>sale</x:v>
      </x:c>
      <x:c r="G4737" s="11" t="n">
        <x:v>49</x:v>
      </x:c>
      <x:c r="H4737" s="12" t="n">
        <x:v>1380000000</x:v>
      </x:c>
      <x:c r="I4737" s="12" t="n">
        <x:v>28163265.30612245</x:v>
      </x:c>
      <x:c r="J4737" s="2" t="str">
        <x:v>total</x:v>
      </x:c>
      <x:c r="K4737" s="2" t="str">
        <x:v>top_level_area</x:v>
      </x:c>
      <x:c r="L4737" s="2" t="str">
        <x:v>property_type_inferred_from_title</x:v>
      </x:c>
      <x:c r="M4737" s="10" t="n">
        <x:v>0</x:v>
      </x:c>
      <x:c r="N4737" s="10" t="n">
        <x:v>0</x:v>
      </x:c>
      <x:c r="O4737" s="2" t="str">
        <x:v>Tp Hồ Chí Minh|house</x:v>
      </x:c>
      <x:c r="P4737" s="10" t="n">
        <x:v>2</x:v>
      </x:c>
      <x:c r="Q4737" s="13" t="n">
        <x:f>IF(H4737="","",H4737/1000000000)</x:f>
        <x:v>1.38</x:v>
      </x:c>
      <x:c r="R4737" s="13" t="n">
        <x:f>IF(I4737="","",I4737/1000000)</x:f>
        <x:v>28.163265306122447</x:v>
      </x:c>
    </x:row>
    <x:row r="4738" ht="21" customHeight="1">
      <x:c r="A4738" s="10" t="n">
        <x:v>6287</x:v>
      </x:c>
      <x:c r="B4738" s="2" t="str">
        <x:v>9b0723eba2c18396af44</x:v>
      </x:c>
      <x:c r="C4738" s="2" t="str">
        <x:v>Tp Hồ Chí Minh</x:v>
      </x:c>
      <x:c r="D4738" s="2" t="str">
        <x:v>Quận 7</x:v>
      </x:c>
      <x:c r="E4738" s="2" t="str">
        <x:v>house</x:v>
      </x:c>
      <x:c r="F4738" s="2" t="str">
        <x:v>sale</x:v>
      </x:c>
      <x:c r="G4738" s="11" t="n">
        <x:v>47</x:v>
      </x:c>
      <x:c r="H4738" s="12" t="n">
        <x:v>1260000000</x:v>
      </x:c>
      <x:c r="I4738" s="12" t="n">
        <x:v>26808510.63829787</x:v>
      </x:c>
      <x:c r="J4738" s="2" t="str">
        <x:v>total</x:v>
      </x:c>
      <x:c r="K4738" s="2" t="str">
        <x:v>top_level_area</x:v>
      </x:c>
      <x:c r="L4738" s="2" t="str">
        <x:v>property_type_inferred_from_title</x:v>
      </x:c>
      <x:c r="M4738" s="10" t="n">
        <x:v>0</x:v>
      </x:c>
      <x:c r="N4738" s="10" t="n">
        <x:v>0</x:v>
      </x:c>
      <x:c r="O4738" s="2" t="str">
        <x:v>Tp Hồ Chí Minh|house</x:v>
      </x:c>
      <x:c r="P4738" s="10" t="n">
        <x:v>2</x:v>
      </x:c>
      <x:c r="Q4738" s="13" t="n">
        <x:f>IF(H4738="","",H4738/1000000000)</x:f>
        <x:v>1.26</x:v>
      </x:c>
      <x:c r="R4738" s="13" t="n">
        <x:f>IF(I4738="","",I4738/1000000)</x:f>
        <x:v>26.80851063829787</x:v>
      </x:c>
    </x:row>
    <x:row r="4739" ht="21" customHeight="1">
      <x:c r="A4739" s="10" t="n">
        <x:v>6288</x:v>
      </x:c>
      <x:c r="B4739" s="2" t="str">
        <x:v>e17362a7150909111fb9</x:v>
      </x:c>
      <x:c r="C4739" s="2" t="str">
        <x:v>Tp Hồ Chí Minh</x:v>
      </x:c>
      <x:c r="D4739" s="2" t="str">
        <x:v>Quận Thủ Đức</x:v>
      </x:c>
      <x:c r="E4739" s="2" t="str">
        <x:v>other_unknown</x:v>
      </x:c>
      <x:c r="F4739" s="2" t="str">
        <x:v>sale_assumed</x:v>
      </x:c>
      <x:c r="G4739" s="11" t="n">
        <x:v>180</x:v>
      </x:c>
      <x:c r="H4739" s="12" t="n">
        <x:v>28000000000</x:v>
      </x:c>
      <x:c r="I4739" s="12" t="n">
        <x:v>155555555.55555555</x:v>
      </x:c>
      <x:c r="J4739" s="2" t="str">
        <x:v>total</x:v>
      </x:c>
      <x:c r="K4739" s="2" t="str">
        <x:v>top_level_area</x:v>
      </x:c>
      <x:c r="L4739" s="2" t="str">
        <x:v>property_type_inferred_from_title;transaction_assumed_sale_from_dataset_context;unknown_property_type</x:v>
      </x:c>
      <x:c r="M4739" s="10" t="n">
        <x:v>0</x:v>
      </x:c>
      <x:c r="N4739" s="10" t="n">
        <x:v>0</x:v>
      </x:c>
      <x:c r="O4739" s="2" t="str">
        <x:v>Tp Hồ Chí Minh|other_unknown</x:v>
      </x:c>
      <x:c r="P4739" s="10" t="n">
        <x:v>2</x:v>
      </x:c>
      <x:c r="Q4739" s="13" t="n">
        <x:f>IF(H4739="","",H4739/1000000000)</x:f>
        <x:v>28</x:v>
      </x:c>
      <x:c r="R4739" s="13" t="n">
        <x:f>IF(I4739="","",I4739/1000000)</x:f>
        <x:v>155.55555555555554</x:v>
      </x:c>
    </x:row>
    <x:row r="4740" ht="21" customHeight="1">
      <x:c r="A4740" s="10" t="n">
        <x:v>6289</x:v>
      </x:c>
      <x:c r="B4740" s="2" t="str">
        <x:v>489b8b401a50e3e92eca</x:v>
      </x:c>
      <x:c r="C4740" s="2" t="str">
        <x:v>Bình Dương</x:v>
      </x:c>
      <x:c r="D4740" s="2" t="str">
        <x:v>Thị xã Thuận An</x:v>
      </x:c>
      <x:c r="E4740" s="2" t="str">
        <x:v>land</x:v>
      </x:c>
      <x:c r="F4740" s="2" t="str">
        <x:v>sale</x:v>
      </x:c>
      <x:c r="G4740" s="11" t="n">
        <x:v>68</x:v>
      </x:c>
      <x:c r="H4740" s="12" t="n">
        <x:v>800000000</x:v>
      </x:c>
      <x:c r="I4740" s="12" t="n">
        <x:v>11764705.88235294</x:v>
      </x:c>
      <x:c r="J4740" s="2" t="str">
        <x:v>total</x:v>
      </x:c>
      <x:c r="K4740" s="2" t="str">
        <x:v>top_level_area</x:v>
      </x:c>
      <x:c r="L4740" s="2" t="str">
        <x:v>property_type_inferred_from_title</x:v>
      </x:c>
      <x:c r="M4740" s="10" t="n">
        <x:v>0</x:v>
      </x:c>
      <x:c r="N4740" s="10" t="n">
        <x:v>0</x:v>
      </x:c>
      <x:c r="O4740" s="2" t="str">
        <x:v>Bình Dương|land</x:v>
      </x:c>
      <x:c r="P4740" s="10" t="n">
        <x:v>2</x:v>
      </x:c>
      <x:c r="Q4740" s="13" t="n">
        <x:f>IF(H4740="","",H4740/1000000000)</x:f>
        <x:v>0.8</x:v>
      </x:c>
      <x:c r="R4740" s="13" t="n">
        <x:f>IF(I4740="","",I4740/1000000)</x:f>
        <x:v>11.76470588235294</x:v>
      </x:c>
    </x:row>
    <x:row r="4741" ht="21" customHeight="1">
      <x:c r="A4741" s="10" t="n">
        <x:v>6290</x:v>
      </x:c>
      <x:c r="B4741" s="2" t="str">
        <x:v>1137658a44fd66ae876b</x:v>
      </x:c>
      <x:c r="C4741" s="2" t="str">
        <x:v>Tp Hồ Chí Minh</x:v>
      </x:c>
      <x:c r="D4741" s="2" t="str">
        <x:v>Quận Bình Tân</x:v>
      </x:c>
      <x:c r="E4741" s="2" t="str">
        <x:v>house</x:v>
      </x:c>
      <x:c r="F4741" s="2" t="str">
        <x:v>sale_assumed</x:v>
      </x:c>
      <x:c r="G4741" s="11" t="n">
        <x:v>51</x:v>
      </x:c>
      <x:c r="H4741" s="12" t="n">
        <x:v>3300000000</x:v>
      </x:c>
      <x:c r="I4741" s="12" t="n">
        <x:v>64705882.35294118</x:v>
      </x:c>
      <x:c r="J4741" s="2" t="str">
        <x:v>total</x:v>
      </x:c>
      <x:c r="K4741" s="2" t="str">
        <x:v>top_level_area</x:v>
      </x:c>
      <x:c r="L4741" s="2" t="str">
        <x:v>property_type_inferred_from_title;transaction_assumed_sale_from_dataset_context</x:v>
      </x:c>
      <x:c r="M4741" s="10" t="n">
        <x:v>0</x:v>
      </x:c>
      <x:c r="N4741" s="10" t="n">
        <x:v>0</x:v>
      </x:c>
      <x:c r="O4741" s="2" t="str">
        <x:v>Tp Hồ Chí Minh|house</x:v>
      </x:c>
      <x:c r="P4741" s="10" t="n">
        <x:v>2</x:v>
      </x:c>
      <x:c r="Q4741" s="13" t="n">
        <x:f>IF(H4741="","",H4741/1000000000)</x:f>
        <x:v>3.3</x:v>
      </x:c>
      <x:c r="R4741" s="13" t="n">
        <x:f>IF(I4741="","",I4741/1000000)</x:f>
        <x:v>64.70588235294117</x:v>
      </x:c>
    </x:row>
    <x:row r="4742" ht="21" customHeight="1">
      <x:c r="A4742" s="10" t="n">
        <x:v>6291</x:v>
      </x:c>
      <x:c r="B4742" s="2" t="str">
        <x:v>7917a2e2eec7b8da2080</x:v>
      </x:c>
      <x:c r="C4742" s="2" t="str">
        <x:v>Đà Nẵng</x:v>
      </x:c>
      <x:c r="D4742" s="2" t="str">
        <x:v>Quận Cẩm Lệ</x:v>
      </x:c>
      <x:c r="E4742" s="2" t="str">
        <x:v>other_unknown</x:v>
      </x:c>
      <x:c r="F4742" s="2" t="str">
        <x:v>sale_assumed</x:v>
      </x:c>
      <x:c r="G4742" s="11" t="n">
        <x:v>164.5</x:v>
      </x:c>
      <x:c r="H4742" s="12" t="n">
        <x:v>7500000000</x:v>
      </x:c>
      <x:c r="I4742" s="12" t="n">
        <x:v>45592705.16717325</x:v>
      </x:c>
      <x:c r="J4742" s="2" t="str">
        <x:v>total</x:v>
      </x:c>
      <x:c r="K4742" s="2" t="str">
        <x:v>top_level_area</x:v>
      </x:c>
      <x:c r="L4742" s="2" t="str">
        <x:v>property_type_inferred_from_title;transaction_assumed_sale_from_dataset_context;unknown_property_type</x:v>
      </x:c>
      <x:c r="M4742" s="10" t="n">
        <x:v>0</x:v>
      </x:c>
      <x:c r="N4742" s="10" t="n">
        <x:v>0</x:v>
      </x:c>
      <x:c r="O4742" s="2" t="str">
        <x:v>Đà Nẵng|other_unknown</x:v>
      </x:c>
      <x:c r="P4742" s="10" t="n">
        <x:v>2</x:v>
      </x:c>
      <x:c r="Q4742" s="13" t="n">
        <x:f>IF(H4742="","",H4742/1000000000)</x:f>
        <x:v>7.5</x:v>
      </x:c>
      <x:c r="R4742" s="13" t="n">
        <x:f>IF(I4742="","",I4742/1000000)</x:f>
        <x:v>45.59270516717325</x:v>
      </x:c>
    </x:row>
    <x:row r="4743" ht="21" customHeight="1">
      <x:c r="A4743" s="10" t="n">
        <x:v>6292</x:v>
      </x:c>
      <x:c r="B4743" s="2" t="str">
        <x:v>a05a85526d6cc2f9c6be</x:v>
      </x:c>
      <x:c r="C4743" s="2" t="str">
        <x:v>Tp Hồ Chí Minh</x:v>
      </x:c>
      <x:c r="D4743" s="2" t="str">
        <x:v>Quận 8</x:v>
      </x:c>
      <x:c r="E4743" s="2" t="str">
        <x:v>house</x:v>
      </x:c>
      <x:c r="F4743" s="2" t="str">
        <x:v>sale</x:v>
      </x:c>
      <x:c r="G4743" s="11" t="n">
        <x:v>40</x:v>
      </x:c>
      <x:c r="H4743" s="12" t="n">
        <x:v>680000000</x:v>
      </x:c>
      <x:c r="I4743" s="12" t="n">
        <x:v>17000000</x:v>
      </x:c>
      <x:c r="J4743" s="2" t="str">
        <x:v>total</x:v>
      </x:c>
      <x:c r="K4743" s="2" t="str">
        <x:v>top_level_area</x:v>
      </x:c>
      <x:c r="L4743" s="2" t="str">
        <x:v>property_type_inferred_from_title</x:v>
      </x:c>
      <x:c r="M4743" s="10" t="n">
        <x:v>0</x:v>
      </x:c>
      <x:c r="N4743" s="10" t="n">
        <x:v>0</x:v>
      </x:c>
      <x:c r="O4743" s="2" t="str">
        <x:v>Tp Hồ Chí Minh|house</x:v>
      </x:c>
      <x:c r="P4743" s="10" t="n">
        <x:v>2</x:v>
      </x:c>
      <x:c r="Q4743" s="13" t="n">
        <x:f>IF(H4743="","",H4743/1000000000)</x:f>
        <x:v>0.68</x:v>
      </x:c>
      <x:c r="R4743" s="13" t="n">
        <x:f>IF(I4743="","",I4743/1000000)</x:f>
        <x:v>17</x:v>
      </x:c>
    </x:row>
    <x:row r="4744" ht="21" customHeight="1">
      <x:c r="A4744" s="10" t="n">
        <x:v>6293</x:v>
      </x:c>
      <x:c r="B4744" s="2" t="str">
        <x:v>f79d22b67a1800c2af33</x:v>
      </x:c>
      <x:c r="C4744" s="2" t="str">
        <x:v>Đồng Nai</x:v>
      </x:c>
      <x:c r="D4744" s="2" t="str">
        <x:v>Huyện Định Quán</x:v>
      </x:c>
      <x:c r="E4744" s="2" t="str">
        <x:v>other_unknown</x:v>
      </x:c>
      <x:c r="F4744" s="2" t="str">
        <x:v>sale</x:v>
      </x:c>
      <x:c r="G4744" s="11" t="n">
        <x:v>4500</x:v>
      </x:c>
      <x:c r="H4744" s="12" t="n">
        <x:v>650000000</x:v>
      </x:c>
      <x:c r="I4744" s="12" t="n">
        <x:v>144444.44444444444</x:v>
      </x:c>
      <x:c r="J4744" s="2" t="str">
        <x:v>total</x:v>
      </x:c>
      <x:c r="K4744" s="2" t="str">
        <x:v>top_level_area</x:v>
      </x:c>
      <x:c r="L4744" s="2" t="str">
        <x:v>dot_thousands_convention;property_type_inferred_from_title;unknown_property_type</x:v>
      </x:c>
      <x:c r="M4744" s="10" t="n">
        <x:v>0</x:v>
      </x:c>
      <x:c r="N4744" s="10" t="n">
        <x:v>0</x:v>
      </x:c>
      <x:c r="O4744" s="2" t="str">
        <x:v>Đồng Nai|other_unknown</x:v>
      </x:c>
      <x:c r="P4744" s="10" t="n">
        <x:v>1</x:v>
      </x:c>
      <x:c r="Q4744" s="13" t="n">
        <x:f>IF(H4744="","",H4744/1000000000)</x:f>
        <x:v>0.65</x:v>
      </x:c>
      <x:c r="R4744" s="13" t="n">
        <x:f>IF(I4744="","",I4744/1000000)</x:f>
        <x:v>0.14444444444444443</x:v>
      </x:c>
    </x:row>
    <x:row r="4745" ht="21" customHeight="1">
      <x:c r="A4745" s="10" t="n">
        <x:v>6294</x:v>
      </x:c>
      <x:c r="B4745" s="2" t="str">
        <x:v>f77e5dcc8b6818634573</x:v>
      </x:c>
      <x:c r="C4745" s="2" t="str">
        <x:v>Hà Nội</x:v>
      </x:c>
      <x:c r="D4745" s="2" t="str">
        <x:v>Quận Đống Đa</x:v>
      </x:c>
      <x:c r="E4745" s="2" t="str">
        <x:v>house</x:v>
      </x:c>
      <x:c r="F4745" s="2" t="str">
        <x:v>sale_assumed</x:v>
      </x:c>
      <x:c r="G4745" s="11" t="n">
        <x:v>22</x:v>
      </x:c>
      <x:c r="H4745" s="12" t="n">
        <x:v>2450000000</x:v>
      </x:c>
      <x:c r="I4745" s="12" t="n">
        <x:v>111363636.36363636</x:v>
      </x:c>
      <x:c r="J4745" s="2" t="str">
        <x:v>total</x:v>
      </x:c>
      <x:c r="K4745" s="2" t="str">
        <x:v>top_level_area</x:v>
      </x:c>
      <x:c r="L4745" s="2" t="str">
        <x:v>property_type_inferred_from_title;transaction_assumed_sale_from_dataset_context</x:v>
      </x:c>
      <x:c r="M4745" s="10" t="n">
        <x:v>0</x:v>
      </x:c>
      <x:c r="N4745" s="10" t="n">
        <x:v>0</x:v>
      </x:c>
      <x:c r="O4745" s="2" t="str">
        <x:v>Hà Nội|house</x:v>
      </x:c>
      <x:c r="P4745" s="10" t="n">
        <x:v>2</x:v>
      </x:c>
      <x:c r="Q4745" s="13" t="n">
        <x:f>IF(H4745="","",H4745/1000000000)</x:f>
        <x:v>2.45</x:v>
      </x:c>
      <x:c r="R4745" s="13" t="n">
        <x:f>IF(I4745="","",I4745/1000000)</x:f>
        <x:v>111.36363636363636</x:v>
      </x:c>
    </x:row>
    <x:row r="4746" ht="21" customHeight="1">
      <x:c r="A4746" s="10" t="n">
        <x:v>6295</x:v>
      </x:c>
      <x:c r="B4746" s="2" t="str">
        <x:v>9675a9fceb96f0bd6083</x:v>
      </x:c>
      <x:c r="C4746" s="2" t="str">
        <x:v>Tp Hồ Chí Minh</x:v>
      </x:c>
      <x:c r="D4746" s="2" t="str">
        <x:v>Quận Bình Tân</x:v>
      </x:c>
      <x:c r="E4746" s="2" t="str">
        <x:v>other_unknown</x:v>
      </x:c>
      <x:c r="F4746" s="2" t="str">
        <x:v>sale</x:v>
      </x:c>
      <x:c r="G4746" s="11" t="n">
        <x:v>90</x:v>
      </x:c>
      <x:c r="H4746" s="12" t="n">
        <x:v>2950000000</x:v>
      </x:c>
      <x:c r="I4746" s="12" t="n">
        <x:v>32777777.777777776</x:v>
      </x:c>
      <x:c r="J4746" s="2" t="str">
        <x:v>total</x:v>
      </x:c>
      <x:c r="K4746" s="2" t="str">
        <x:v>top_level_area</x:v>
      </x:c>
      <x:c r="L4746" s="2" t="str">
        <x:v>property_type_inferred_from_title;unknown_property_type</x:v>
      </x:c>
      <x:c r="M4746" s="10" t="n">
        <x:v>0</x:v>
      </x:c>
      <x:c r="N4746" s="10" t="n">
        <x:v>0</x:v>
      </x:c>
      <x:c r="O4746" s="2" t="str">
        <x:v>Tp Hồ Chí Minh|other_unknown</x:v>
      </x:c>
      <x:c r="P4746" s="10" t="n">
        <x:v>2</x:v>
      </x:c>
      <x:c r="Q4746" s="13" t="n">
        <x:f>IF(H4746="","",H4746/1000000000)</x:f>
        <x:v>2.95</x:v>
      </x:c>
      <x:c r="R4746" s="13" t="n">
        <x:f>IF(I4746="","",I4746/1000000)</x:f>
        <x:v>32.77777777777778</x:v>
      </x:c>
    </x:row>
    <x:row r="4747" ht="21" customHeight="1">
      <x:c r="A4747" s="10" t="n">
        <x:v>6296</x:v>
      </x:c>
      <x:c r="B4747" s="2" t="str">
        <x:v>b1c0a6bacbed393fe9f0</x:v>
      </x:c>
      <x:c r="C4747" s="2" t="str">
        <x:v>Bình Dương</x:v>
      </x:c>
      <x:c r="D4747" s="2" t="str">
        <x:v>Thị xã Thuận An</x:v>
      </x:c>
      <x:c r="E4747" s="2" t="str">
        <x:v>land</x:v>
      </x:c>
      <x:c r="F4747" s="2" t="str">
        <x:v>sale</x:v>
      </x:c>
      <x:c r="G4747" s="11" t="n">
        <x:v>68</x:v>
      </x:c>
      <x:c r="H4747" s="12" t="n">
        <x:v>935000000</x:v>
      </x:c>
      <x:c r="I4747" s="12" t="n">
        <x:v>13750000</x:v>
      </x:c>
      <x:c r="J4747" s="2" t="str">
        <x:v>total</x:v>
      </x:c>
      <x:c r="K4747" s="2" t="str">
        <x:v>top_level_area</x:v>
      </x:c>
      <x:c r="L4747" s="2" t="str">
        <x:v>property_type_inferred_from_title</x:v>
      </x:c>
      <x:c r="M4747" s="10" t="n">
        <x:v>0</x:v>
      </x:c>
      <x:c r="N4747" s="10" t="n">
        <x:v>0</x:v>
      </x:c>
      <x:c r="O4747" s="2" t="str">
        <x:v>Bình Dương|land</x:v>
      </x:c>
      <x:c r="P4747" s="10" t="n">
        <x:v>2</x:v>
      </x:c>
      <x:c r="Q4747" s="13" t="n">
        <x:f>IF(H4747="","",H4747/1000000000)</x:f>
        <x:v>0.935</x:v>
      </x:c>
      <x:c r="R4747" s="13" t="n">
        <x:f>IF(I4747="","",I4747/1000000)</x:f>
        <x:v>13.75</x:v>
      </x:c>
    </x:row>
    <x:row r="4748" ht="21" customHeight="1">
      <x:c r="A4748" s="10" t="n">
        <x:v>6297</x:v>
      </x:c>
      <x:c r="B4748" s="2" t="str">
        <x:v>7a8b961790949d059ed0</x:v>
      </x:c>
      <x:c r="C4748" s="2" t="str">
        <x:v>Tp Hồ Chí Minh</x:v>
      </x:c>
      <x:c r="D4748" s="2" t="str">
        <x:v>Huyện Nhà Bè</x:v>
      </x:c>
      <x:c r="E4748" s="2" t="str">
        <x:v>other_unknown</x:v>
      </x:c>
      <x:c r="F4748" s="2" t="str">
        <x:v>sale_assumed</x:v>
      </x:c>
      <x:c r="G4748" s="11" t="n">
        <x:v>81</x:v>
      </x:c>
      <x:c r="H4748" s="12" t="n">
        <x:v>780000000</x:v>
      </x:c>
      <x:c r="I4748" s="12" t="n">
        <x:v>9629629.629629629</x:v>
      </x:c>
      <x:c r="J4748" s="2" t="str">
        <x:v>total</x:v>
      </x:c>
      <x:c r="K4748" s="2" t="str">
        <x:v>top_level_area</x:v>
      </x:c>
      <x:c r="L4748" s="2" t="str">
        <x:v>property_type_inferred_from_title;transaction_assumed_sale_from_dataset_context;unknown_property_type</x:v>
      </x:c>
      <x:c r="M4748" s="10" t="n">
        <x:v>0</x:v>
      </x:c>
      <x:c r="N4748" s="10" t="n">
        <x:v>0</x:v>
      </x:c>
      <x:c r="O4748" s="2" t="str">
        <x:v>Tp Hồ Chí Minh|other_unknown</x:v>
      </x:c>
      <x:c r="P4748" s="10" t="n">
        <x:v>2</x:v>
      </x:c>
      <x:c r="Q4748" s="13" t="n">
        <x:f>IF(H4748="","",H4748/1000000000)</x:f>
        <x:v>0.78</x:v>
      </x:c>
      <x:c r="R4748" s="13" t="n">
        <x:f>IF(I4748="","",I4748/1000000)</x:f>
        <x:v>9.629629629629628</x:v>
      </x:c>
    </x:row>
    <x:row r="4749" ht="21" customHeight="1">
      <x:c r="A4749" s="10" t="n">
        <x:v>6298</x:v>
      </x:c>
      <x:c r="B4749" s="2" t="str">
        <x:v>86d1d39f74afc3954192</x:v>
      </x:c>
      <x:c r="C4749" s="2" t="str">
        <x:v>Tp Hồ Chí Minh</x:v>
      </x:c>
      <x:c r="D4749" s="2" t="str">
        <x:v>Quận Thủ Đức</x:v>
      </x:c>
      <x:c r="E4749" s="2" t="str">
        <x:v>house</x:v>
      </x:c>
      <x:c r="F4749" s="2" t="str">
        <x:v>sale</x:v>
      </x:c>
      <x:c r="G4749" s="11" t="n">
        <x:v>70</x:v>
      </x:c>
      <x:c r="H4749" s="12" t="n">
        <x:v>1392000000</x:v>
      </x:c>
      <x:c r="I4749" s="12" t="n">
        <x:v>19885714.285714287</x:v>
      </x:c>
      <x:c r="J4749" s="2" t="str">
        <x:v>total</x:v>
      </x:c>
      <x:c r="K4749" s="2" t="str">
        <x:v>top_level_area</x:v>
      </x:c>
      <x:c r="L4749" s="2" t="str">
        <x:v>property_type_inferred_from_title</x:v>
      </x:c>
      <x:c r="M4749" s="10" t="n">
        <x:v>0</x:v>
      </x:c>
      <x:c r="N4749" s="10" t="n">
        <x:v>0</x:v>
      </x:c>
      <x:c r="O4749" s="2" t="str">
        <x:v>Tp Hồ Chí Minh|house</x:v>
      </x:c>
      <x:c r="P4749" s="10" t="n">
        <x:v>2</x:v>
      </x:c>
      <x:c r="Q4749" s="13" t="n">
        <x:f>IF(H4749="","",H4749/1000000000)</x:f>
        <x:v>1.392</x:v>
      </x:c>
      <x:c r="R4749" s="13" t="n">
        <x:f>IF(I4749="","",I4749/1000000)</x:f>
        <x:v>19.885714285714286</x:v>
      </x:c>
    </x:row>
    <x:row r="4750" ht="21" customHeight="1">
      <x:c r="A4750" s="10" t="n">
        <x:v>6299</x:v>
      </x:c>
      <x:c r="B4750" s="2" t="str">
        <x:v>07bcd7acb1e9ca8cbdc2</x:v>
      </x:c>
      <x:c r="C4750" s="2" t="str">
        <x:v>Đà Nẵng</x:v>
      </x:c>
      <x:c r="D4750" s="2" t="str">
        <x:v>Quận Thanh Khê</x:v>
      </x:c>
      <x:c r="E4750" s="2" t="str">
        <x:v>house</x:v>
      </x:c>
      <x:c r="F4750" s="2" t="str">
        <x:v>sale_assumed</x:v>
      </x:c>
      <x:c r="G4750" s="11" t="n">
        <x:v>68</x:v>
      </x:c>
      <x:c r="H4750" s="12" t="n">
        <x:v>3650000000</x:v>
      </x:c>
      <x:c r="I4750" s="12" t="n">
        <x:v>53676470.5882353</x:v>
      </x:c>
      <x:c r="J4750" s="2" t="str">
        <x:v>total</x:v>
      </x:c>
      <x:c r="K4750" s="2" t="str">
        <x:v>top_level_area</x:v>
      </x:c>
      <x:c r="L4750" s="2" t="str">
        <x:v>property_type_inferred_from_title;transaction_assumed_sale_from_dataset_context</x:v>
      </x:c>
      <x:c r="M4750" s="10" t="n">
        <x:v>0</x:v>
      </x:c>
      <x:c r="N4750" s="10" t="n">
        <x:v>0</x:v>
      </x:c>
      <x:c r="O4750" s="2" t="str">
        <x:v>Đà Nẵng|house</x:v>
      </x:c>
      <x:c r="P4750" s="10" t="n">
        <x:v>2</x:v>
      </x:c>
      <x:c r="Q4750" s="13" t="n">
        <x:f>IF(H4750="","",H4750/1000000000)</x:f>
        <x:v>3.65</x:v>
      </x:c>
      <x:c r="R4750" s="13" t="n">
        <x:f>IF(I4750="","",I4750/1000000)</x:f>
        <x:v>53.6764705882353</x:v>
      </x:c>
    </x:row>
    <x:row r="4751" ht="21" customHeight="1">
      <x:c r="A4751" s="10" t="n">
        <x:v>6300</x:v>
      </x:c>
      <x:c r="B4751" s="2" t="str">
        <x:v>0f105951754d06a59132</x:v>
      </x:c>
      <x:c r="C4751" s="2" t="str">
        <x:v>Tp Hồ Chí Minh</x:v>
      </x:c>
      <x:c r="D4751" s="2" t="str">
        <x:v>Quận 8</x:v>
      </x:c>
      <x:c r="E4751" s="2" t="str">
        <x:v>house</x:v>
      </x:c>
      <x:c r="F4751" s="2" t="str">
        <x:v>sale_assumed</x:v>
      </x:c>
      <x:c r="G4751" s="11" t="n">
        <x:v>43</x:v>
      </x:c>
      <x:c r="H4751" s="12" t="n">
        <x:v>884000000</x:v>
      </x:c>
      <x:c r="I4751" s="12" t="n">
        <x:v>20558139.534883723</x:v>
      </x:c>
      <x:c r="J4751" s="2" t="str">
        <x:v>total</x:v>
      </x:c>
      <x:c r="K4751" s="2" t="str">
        <x:v>top_level_area</x:v>
      </x:c>
      <x:c r="L4751" s="2" t="str">
        <x:v>property_type_inferred_from_title;transaction_assumed_sale_from_dataset_context</x:v>
      </x:c>
      <x:c r="M4751" s="10" t="n">
        <x:v>0</x:v>
      </x:c>
      <x:c r="N4751" s="10" t="n">
        <x:v>0</x:v>
      </x:c>
      <x:c r="O4751" s="2" t="str">
        <x:v>Tp Hồ Chí Minh|house</x:v>
      </x:c>
      <x:c r="P4751" s="10" t="n">
        <x:v>2</x:v>
      </x:c>
      <x:c r="Q4751" s="13" t="n">
        <x:f>IF(H4751="","",H4751/1000000000)</x:f>
        <x:v>0.884</x:v>
      </x:c>
      <x:c r="R4751" s="13" t="n">
        <x:f>IF(I4751="","",I4751/1000000)</x:f>
        <x:v>20.558139534883722</x:v>
      </x:c>
    </x:row>
    <x:row r="4752" ht="21" customHeight="1">
      <x:c r="A4752" s="10" t="n">
        <x:v>6301</x:v>
      </x:c>
      <x:c r="B4752" s="2" t="str">
        <x:v>c71d883e7455ed2f024a</x:v>
      </x:c>
      <x:c r="C4752" s="2" t="str">
        <x:v>Tp Hồ Chí Minh</x:v>
      </x:c>
      <x:c r="D4752" s="2" t="str">
        <x:v>Huyện Nhà Bè</x:v>
      </x:c>
      <x:c r="E4752" s="2" t="str">
        <x:v>house</x:v>
      </x:c>
      <x:c r="F4752" s="2" t="str">
        <x:v>sale</x:v>
      </x:c>
      <x:c r="G4752" s="11" t="n">
        <x:v>371</x:v>
      </x:c>
      <x:c r="H4752" s="12" t="n">
        <x:v>10500000000</x:v>
      </x:c>
      <x:c r="I4752" s="12" t="n">
        <x:v>28301886.79245283</x:v>
      </x:c>
      <x:c r="J4752" s="2" t="str">
        <x:v>total</x:v>
      </x:c>
      <x:c r="K4752" s="2" t="str">
        <x:v>top_level_area</x:v>
      </x:c>
      <x:c r="L4752" s="2" t="str">
        <x:v>property_type_inferred_from_title</x:v>
      </x:c>
      <x:c r="M4752" s="10" t="n">
        <x:v>0</x:v>
      </x:c>
      <x:c r="N4752" s="10" t="n">
        <x:v>0</x:v>
      </x:c>
      <x:c r="O4752" s="2" t="str">
        <x:v>Tp Hồ Chí Minh|house</x:v>
      </x:c>
      <x:c r="P4752" s="10" t="n">
        <x:v>2</x:v>
      </x:c>
      <x:c r="Q4752" s="13" t="n">
        <x:f>IF(H4752="","",H4752/1000000000)</x:f>
        <x:v>10.5</x:v>
      </x:c>
      <x:c r="R4752" s="13" t="n">
        <x:f>IF(I4752="","",I4752/1000000)</x:f>
        <x:v>28.30188679245283</x:v>
      </x:c>
    </x:row>
    <x:row r="4753" ht="21" customHeight="1">
      <x:c r="A4753" s="10" t="n">
        <x:v>6302</x:v>
      </x:c>
      <x:c r="B4753" s="2" t="str">
        <x:v>cf2881e40e37ec877265</x:v>
      </x:c>
      <x:c r="C4753" s="2" t="str">
        <x:v>Tp Hồ Chí Minh</x:v>
      </x:c>
      <x:c r="D4753" s="2" t="str">
        <x:v>Quận 9</x:v>
      </x:c>
      <x:c r="E4753" s="2" t="str">
        <x:v>land</x:v>
      </x:c>
      <x:c r="F4753" s="2" t="str">
        <x:v>sale</x:v>
      </x:c>
      <x:c r="G4753" s="11" t="n">
        <x:v>50</x:v>
      </x:c>
      <x:c r="H4753" s="12" t="n">
        <x:v>936000000</x:v>
      </x:c>
      <x:c r="I4753" s="12" t="n">
        <x:v>18720000</x:v>
      </x:c>
      <x:c r="J4753" s="2" t="str">
        <x:v>total</x:v>
      </x:c>
      <x:c r="K4753" s="2" t="str">
        <x:v>top_level_area</x:v>
      </x:c>
      <x:c r="L4753" s="2" t="str">
        <x:v>property_type_inferred_from_title</x:v>
      </x:c>
      <x:c r="M4753" s="10" t="n">
        <x:v>0</x:v>
      </x:c>
      <x:c r="N4753" s="10" t="n">
        <x:v>0</x:v>
      </x:c>
      <x:c r="O4753" s="2" t="str">
        <x:v>Tp Hồ Chí Minh|land</x:v>
      </x:c>
      <x:c r="P4753" s="10" t="n">
        <x:v>2</x:v>
      </x:c>
      <x:c r="Q4753" s="13" t="n">
        <x:f>IF(H4753="","",H4753/1000000000)</x:f>
        <x:v>0.936</x:v>
      </x:c>
      <x:c r="R4753" s="13" t="n">
        <x:f>IF(I4753="","",I4753/1000000)</x:f>
        <x:v>18.72</x:v>
      </x:c>
    </x:row>
    <x:row r="4754" ht="21" customHeight="1">
      <x:c r="A4754" s="10" t="n">
        <x:v>6303</x:v>
      </x:c>
      <x:c r="B4754" s="2" t="str">
        <x:v>290d9cda01e3e3c04e29</x:v>
      </x:c>
      <x:c r="C4754" s="2" t="str">
        <x:v>Tp Hồ Chí Minh</x:v>
      </x:c>
      <x:c r="D4754" s="2" t="str">
        <x:v>Quận Phú Nhuận</x:v>
      </x:c>
      <x:c r="E4754" s="2" t="str">
        <x:v>house</x:v>
      </x:c>
      <x:c r="F4754" s="2" t="str">
        <x:v>sale</x:v>
      </x:c>
      <x:c r="G4754" s="11" t="n">
        <x:v>68</x:v>
      </x:c>
      <x:c r="H4754" s="12" t="n">
        <x:v>1190000000</x:v>
      </x:c>
      <x:c r="I4754" s="12" t="n">
        <x:v>17500000</x:v>
      </x:c>
      <x:c r="J4754" s="2" t="str">
        <x:v>total</x:v>
      </x:c>
      <x:c r="K4754" s="2" t="str">
        <x:v>top_level_area</x:v>
      </x:c>
      <x:c r="L4754" s="2" t="str">
        <x:v>property_type_inferred_from_title</x:v>
      </x:c>
      <x:c r="M4754" s="10" t="n">
        <x:v>0</x:v>
      </x:c>
      <x:c r="N4754" s="10" t="n">
        <x:v>0</x:v>
      </x:c>
      <x:c r="O4754" s="2" t="str">
        <x:v>Tp Hồ Chí Minh|house</x:v>
      </x:c>
      <x:c r="P4754" s="10" t="n">
        <x:v>2</x:v>
      </x:c>
      <x:c r="Q4754" s="13" t="n">
        <x:f>IF(H4754="","",H4754/1000000000)</x:f>
        <x:v>1.19</x:v>
      </x:c>
      <x:c r="R4754" s="13" t="n">
        <x:f>IF(I4754="","",I4754/1000000)</x:f>
        <x:v>17.5</x:v>
      </x:c>
    </x:row>
    <x:row r="4755" ht="21" customHeight="1">
      <x:c r="A4755" s="10" t="n">
        <x:v>6307</x:v>
      </x:c>
      <x:c r="B4755" s="2" t="str">
        <x:v>56a7a99111a84b3d018e</x:v>
      </x:c>
      <x:c r="C4755" s="2" t="str">
        <x:v>Tp Hồ Chí Minh</x:v>
      </x:c>
      <x:c r="D4755" s="2" t="str">
        <x:v>Quận Bình Thạnh</x:v>
      </x:c>
      <x:c r="E4755" s="2" t="str">
        <x:v>house</x:v>
      </x:c>
      <x:c r="F4755" s="2" t="str">
        <x:v>sale</x:v>
      </x:c>
      <x:c r="G4755" s="11" t="n">
        <x:v>65</x:v>
      </x:c>
      <x:c r="H4755" s="12" t="n">
        <x:v>1090000000</x:v>
      </x:c>
      <x:c r="I4755" s="12" t="n">
        <x:v>16769230.76923077</x:v>
      </x:c>
      <x:c r="J4755" s="2" t="str">
        <x:v>total</x:v>
      </x:c>
      <x:c r="K4755" s="2" t="str">
        <x:v>top_level_area</x:v>
      </x:c>
      <x:c r="L4755" s="2" t="str">
        <x:v>property_type_inferred_from_title</x:v>
      </x:c>
      <x:c r="M4755" s="10" t="n">
        <x:v>0</x:v>
      </x:c>
      <x:c r="N4755" s="10" t="n">
        <x:v>0</x:v>
      </x:c>
      <x:c r="O4755" s="2" t="str">
        <x:v>Tp Hồ Chí Minh|house</x:v>
      </x:c>
      <x:c r="P4755" s="10" t="n">
        <x:v>2</x:v>
      </x:c>
      <x:c r="Q4755" s="13" t="n">
        <x:f>IF(H4755="","",H4755/1000000000)</x:f>
        <x:v>1.09</x:v>
      </x:c>
      <x:c r="R4755" s="13" t="n">
        <x:f>IF(I4755="","",I4755/1000000)</x:f>
        <x:v>16.76923076923077</x:v>
      </x:c>
    </x:row>
    <x:row r="4756" ht="21" customHeight="1">
      <x:c r="A4756" s="10" t="n">
        <x:v>6308</x:v>
      </x:c>
      <x:c r="B4756" s="2" t="str">
        <x:v>fc6f7ab2cd18a806c11e</x:v>
      </x:c>
      <x:c r="C4756" s="2" t="str">
        <x:v>Tp Hồ Chí Minh</x:v>
      </x:c>
      <x:c r="D4756" s="2" t="str">
        <x:v>Quận Gò Vấp</x:v>
      </x:c>
      <x:c r="E4756" s="2" t="str">
        <x:v>house</x:v>
      </x:c>
      <x:c r="F4756" s="2" t="str">
        <x:v>sale</x:v>
      </x:c>
      <x:c r="G4756" s="11" t="n">
        <x:v>48</x:v>
      </x:c>
      <x:c r="H4756" s="12" t="n">
        <x:v>3900000000</x:v>
      </x:c>
      <x:c r="I4756" s="12" t="n">
        <x:v>81250000</x:v>
      </x:c>
      <x:c r="J4756" s="2" t="str">
        <x:v>total</x:v>
      </x:c>
      <x:c r="K4756" s="2" t="str">
        <x:v>top_level_area</x:v>
      </x:c>
      <x:c r="L4756" s="2" t="str">
        <x:v>property_type_inferred_from_title</x:v>
      </x:c>
      <x:c r="M4756" s="10" t="n">
        <x:v>0</x:v>
      </x:c>
      <x:c r="N4756" s="10" t="n">
        <x:v>0</x:v>
      </x:c>
      <x:c r="O4756" s="2" t="str">
        <x:v>Tp Hồ Chí Minh|house</x:v>
      </x:c>
      <x:c r="P4756" s="10" t="n">
        <x:v>2</x:v>
      </x:c>
      <x:c r="Q4756" s="13" t="n">
        <x:f>IF(H4756="","",H4756/1000000000)</x:f>
        <x:v>3.9</x:v>
      </x:c>
      <x:c r="R4756" s="13" t="n">
        <x:f>IF(I4756="","",I4756/1000000)</x:f>
        <x:v>81.25</x:v>
      </x:c>
    </x:row>
    <x:row r="4757" ht="21" customHeight="1">
      <x:c r="A4757" s="10" t="n">
        <x:v>6309</x:v>
      </x:c>
      <x:c r="B4757" s="2" t="str">
        <x:v>0a649b317141b47a3f63</x:v>
      </x:c>
      <x:c r="C4757" s="2" t="str">
        <x:v>Tp Hồ Chí Minh</x:v>
      </x:c>
      <x:c r="D4757" s="2" t="str">
        <x:v>Quận 9</x:v>
      </x:c>
      <x:c r="E4757" s="2" t="str">
        <x:v>land</x:v>
      </x:c>
      <x:c r="F4757" s="2" t="str">
        <x:v>sale</x:v>
      </x:c>
      <x:c r="G4757" s="11" t="n">
        <x:v>50</x:v>
      </x:c>
      <x:c r="H4757" s="12" t="n">
        <x:v>2650000000</x:v>
      </x:c>
      <x:c r="I4757" s="12" t="n">
        <x:v>53000000</x:v>
      </x:c>
      <x:c r="J4757" s="2" t="str">
        <x:v>total</x:v>
      </x:c>
      <x:c r="K4757" s="2" t="str">
        <x:v>top_level_area</x:v>
      </x:c>
      <x:c r="L4757" s="2" t="str">
        <x:v>property_type_inferred_from_title</x:v>
      </x:c>
      <x:c r="M4757" s="10" t="n">
        <x:v>0</x:v>
      </x:c>
      <x:c r="N4757" s="10" t="n">
        <x:v>0</x:v>
      </x:c>
      <x:c r="O4757" s="2" t="str">
        <x:v>Tp Hồ Chí Minh|land</x:v>
      </x:c>
      <x:c r="P4757" s="10" t="n">
        <x:v>2</x:v>
      </x:c>
      <x:c r="Q4757" s="13" t="n">
        <x:f>IF(H4757="","",H4757/1000000000)</x:f>
        <x:v>2.65</x:v>
      </x:c>
      <x:c r="R4757" s="13" t="n">
        <x:f>IF(I4757="","",I4757/1000000)</x:f>
        <x:v>53</x:v>
      </x:c>
    </x:row>
    <x:row r="4758" ht="21" customHeight="1">
      <x:c r="A4758" s="10" t="n">
        <x:v>6311</x:v>
      </x:c>
      <x:c r="B4758" s="2" t="str">
        <x:v>3f7bd894327da11757fb</x:v>
      </x:c>
      <x:c r="C4758" s="2" t="str">
        <x:v>Tp Hồ Chí Minh</x:v>
      </x:c>
      <x:c r="D4758" s="2" t="str">
        <x:v>Quận Phú Nhuận</x:v>
      </x:c>
      <x:c r="E4758" s="2" t="str">
        <x:v>house</x:v>
      </x:c>
      <x:c r="F4758" s="2" t="str">
        <x:v>sale</x:v>
      </x:c>
      <x:c r="G4758" s="11" t="n">
        <x:v>62</x:v>
      </x:c>
      <x:c r="H4758" s="12" t="n">
        <x:v>1280000000</x:v>
      </x:c>
      <x:c r="I4758" s="12" t="n">
        <x:v>20645161.29032258</x:v>
      </x:c>
      <x:c r="J4758" s="2" t="str">
        <x:v>total</x:v>
      </x:c>
      <x:c r="K4758" s="2" t="str">
        <x:v>top_level_area</x:v>
      </x:c>
      <x:c r="L4758" s="2" t="str">
        <x:v>property_type_inferred_from_title</x:v>
      </x:c>
      <x:c r="M4758" s="10" t="n">
        <x:v>0</x:v>
      </x:c>
      <x:c r="N4758" s="10" t="n">
        <x:v>0</x:v>
      </x:c>
      <x:c r="O4758" s="2" t="str">
        <x:v>Tp Hồ Chí Minh|house</x:v>
      </x:c>
      <x:c r="P4758" s="10" t="n">
        <x:v>2</x:v>
      </x:c>
      <x:c r="Q4758" s="13" t="n">
        <x:f>IF(H4758="","",H4758/1000000000)</x:f>
        <x:v>1.28</x:v>
      </x:c>
      <x:c r="R4758" s="13" t="n">
        <x:f>IF(I4758="","",I4758/1000000)</x:f>
        <x:v>20.64516129032258</x:v>
      </x:c>
    </x:row>
    <x:row r="4759" ht="21" customHeight="1">
      <x:c r="A4759" s="10" t="n">
        <x:v>6312</x:v>
      </x:c>
      <x:c r="B4759" s="2" t="str">
        <x:v>7d42d52884dcd29b75fe</x:v>
      </x:c>
      <x:c r="C4759" s="2" t="str">
        <x:v>Tp Hồ Chí Minh</x:v>
      </x:c>
      <x:c r="D4759" s="2" t="str">
        <x:v>Quận Thủ Đức</x:v>
      </x:c>
      <x:c r="E4759" s="2" t="str">
        <x:v>house</x:v>
      </x:c>
      <x:c r="F4759" s="2" t="str">
        <x:v>sale_assumed</x:v>
      </x:c>
      <x:c r="G4759" s="11" t="n">
        <x:v>198</x:v>
      </x:c>
      <x:c r="H4759" s="12" t="n">
        <x:v>6880000000</x:v>
      </x:c>
      <x:c r="I4759" s="12" t="n">
        <x:v>34747474.747474745</x:v>
      </x:c>
      <x:c r="J4759" s="2" t="str">
        <x:v>total</x:v>
      </x:c>
      <x:c r="K4759" s="2" t="str">
        <x:v>top_level_area</x:v>
      </x:c>
      <x:c r="L4759" s="2" t="str">
        <x:v>property_type_inferred_from_title;transaction_assumed_sale_from_dataset_context</x:v>
      </x:c>
      <x:c r="M4759" s="10" t="n">
        <x:v>0</x:v>
      </x:c>
      <x:c r="N4759" s="10" t="n">
        <x:v>0</x:v>
      </x:c>
      <x:c r="O4759" s="2" t="str">
        <x:v>Tp Hồ Chí Minh|house</x:v>
      </x:c>
      <x:c r="P4759" s="10" t="n">
        <x:v>2</x:v>
      </x:c>
      <x:c r="Q4759" s="13" t="n">
        <x:f>IF(H4759="","",H4759/1000000000)</x:f>
        <x:v>6.88</x:v>
      </x:c>
      <x:c r="R4759" s="13" t="n">
        <x:f>IF(I4759="","",I4759/1000000)</x:f>
        <x:v>34.74747474747475</x:v>
      </x:c>
    </x:row>
    <x:row r="4760" ht="21" customHeight="1">
      <x:c r="A4760" s="10" t="n">
        <x:v>6313</x:v>
      </x:c>
      <x:c r="B4760" s="2" t="str">
        <x:v>0c0369ba68684b2b73e5</x:v>
      </x:c>
      <x:c r="C4760" s="2" t="str">
        <x:v>Tp Hồ Chí Minh</x:v>
      </x:c>
      <x:c r="D4760" s="2" t="str">
        <x:v>Quận Gò Vấp</x:v>
      </x:c>
      <x:c r="E4760" s="2" t="str">
        <x:v>house</x:v>
      </x:c>
      <x:c r="F4760" s="2" t="str">
        <x:v>sale</x:v>
      </x:c>
      <x:c r="G4760" s="11" t="n">
        <x:v>138</x:v>
      </x:c>
      <x:c r="H4760" s="12" t="n">
        <x:v>6000000000</x:v>
      </x:c>
      <x:c r="I4760" s="12" t="n">
        <x:v>43478260.86956522</x:v>
      </x:c>
      <x:c r="J4760" s="2" t="str">
        <x:v>total</x:v>
      </x:c>
      <x:c r="K4760" s="2" t="str">
        <x:v>top_level_area</x:v>
      </x:c>
      <x:c r="L4760" s="2" t="str">
        <x:v>property_type_inferred_from_title</x:v>
      </x:c>
      <x:c r="M4760" s="10" t="n">
        <x:v>0</x:v>
      </x:c>
      <x:c r="N4760" s="10" t="n">
        <x:v>0</x:v>
      </x:c>
      <x:c r="O4760" s="2" t="str">
        <x:v>Tp Hồ Chí Minh|house</x:v>
      </x:c>
      <x:c r="P4760" s="10" t="n">
        <x:v>2</x:v>
      </x:c>
      <x:c r="Q4760" s="13" t="n">
        <x:f>IF(H4760="","",H4760/1000000000)</x:f>
        <x:v>6</x:v>
      </x:c>
      <x:c r="R4760" s="13" t="n">
        <x:f>IF(I4760="","",I4760/1000000)</x:f>
        <x:v>43.47826086956522</x:v>
      </x:c>
    </x:row>
    <x:row r="4761" ht="21" customHeight="1">
      <x:c r="A4761" s="10" t="n">
        <x:v>6314</x:v>
      </x:c>
      <x:c r="B4761" s="2" t="str">
        <x:v>3b119edde6452053fb11</x:v>
      </x:c>
      <x:c r="C4761" s="2" t="str">
        <x:v>Hà Nội</x:v>
      </x:c>
      <x:c r="D4761" s="2" t="str">
        <x:v>Quận Cầu Giấy</x:v>
      </x:c>
      <x:c r="E4761" s="2" t="str">
        <x:v>other_unknown</x:v>
      </x:c>
      <x:c r="F4761" s="2" t="str">
        <x:v>sale_assumed</x:v>
      </x:c>
      <x:c r="G4761" s="11" t="n">
        <x:v>42</x:v>
      </x:c>
      <x:c r="H4761" s="12" t="n">
        <x:v>4250000000</x:v>
      </x:c>
      <x:c r="I4761" s="12" t="n">
        <x:v>101190476.1904762</x:v>
      </x:c>
      <x:c r="J4761" s="2" t="str">
        <x:v>total</x:v>
      </x:c>
      <x:c r="K4761" s="2" t="str">
        <x:v>top_level_area</x:v>
      </x:c>
      <x:c r="L4761" s="2" t="str">
        <x:v>property_type_inferred_from_title;transaction_assumed_sale_from_dataset_context;unknown_property_type</x:v>
      </x:c>
      <x:c r="M4761" s="10" t="n">
        <x:v>0</x:v>
      </x:c>
      <x:c r="N4761" s="10" t="n">
        <x:v>0</x:v>
      </x:c>
      <x:c r="O4761" s="2" t="str">
        <x:v>Hà Nội|other_unknown</x:v>
      </x:c>
      <x:c r="P4761" s="10" t="n">
        <x:v>2</x:v>
      </x:c>
      <x:c r="Q4761" s="13" t="n">
        <x:f>IF(H4761="","",H4761/1000000000)</x:f>
        <x:v>4.25</x:v>
      </x:c>
      <x:c r="R4761" s="13" t="n">
        <x:f>IF(I4761="","",I4761/1000000)</x:f>
        <x:v>101.19047619047619</x:v>
      </x:c>
    </x:row>
    <x:row r="4762" ht="21" customHeight="1">
      <x:c r="A4762" s="10" t="n">
        <x:v>6315</x:v>
      </x:c>
      <x:c r="B4762" s="2" t="str">
        <x:v>b0932334b5a455b09d7c</x:v>
      </x:c>
      <x:c r="C4762" s="2" t="str">
        <x:v>Hà Nội</x:v>
      </x:c>
      <x:c r="D4762" s="2" t="str">
        <x:v>Quận Đống Đa</x:v>
      </x:c>
      <x:c r="E4762" s="2" t="str">
        <x:v>other_unknown</x:v>
      </x:c>
      <x:c r="F4762" s="2" t="str">
        <x:v>sale_assumed</x:v>
      </x:c>
      <x:c r="G4762" s="11" t="n">
        <x:v>20</x:v>
      </x:c>
      <x:c r="H4762" s="12" t="n">
        <x:v>3200000000</x:v>
      </x:c>
      <x:c r="I4762" s="12" t="n">
        <x:v>160000000</x:v>
      </x:c>
      <x:c r="J4762" s="2" t="str">
        <x:v>total</x:v>
      </x:c>
      <x:c r="K4762" s="2" t="str">
        <x:v>top_level_area</x:v>
      </x:c>
      <x:c r="L4762" s="2" t="str">
        <x:v>property_type_inferred_from_title;transaction_assumed_sale_from_dataset_context;unknown_property_type</x:v>
      </x:c>
      <x:c r="M4762" s="10" t="n">
        <x:v>0</x:v>
      </x:c>
      <x:c r="N4762" s="10" t="n">
        <x:v>0</x:v>
      </x:c>
      <x:c r="O4762" s="2" t="str">
        <x:v>Hà Nội|other_unknown</x:v>
      </x:c>
      <x:c r="P4762" s="10" t="n">
        <x:v>2</x:v>
      </x:c>
      <x:c r="Q4762" s="13" t="n">
        <x:f>IF(H4762="","",H4762/1000000000)</x:f>
        <x:v>3.2</x:v>
      </x:c>
      <x:c r="R4762" s="13" t="n">
        <x:f>IF(I4762="","",I4762/1000000)</x:f>
        <x:v>160</x:v>
      </x:c>
    </x:row>
    <x:row r="4763" ht="21" customHeight="1">
      <x:c r="A4763" s="10" t="n">
        <x:v>6316</x:v>
      </x:c>
      <x:c r="B4763" s="2" t="str">
        <x:v>58a8ddfe812cfcc6be8c</x:v>
      </x:c>
      <x:c r="C4763" s="2" t="str">
        <x:v>Tp Hồ Chí Minh</x:v>
      </x:c>
      <x:c r="D4763" s="2" t="str">
        <x:v>Quận Gò Vấp</x:v>
      </x:c>
      <x:c r="E4763" s="2" t="str">
        <x:v>house</x:v>
      </x:c>
      <x:c r="F4763" s="2" t="str">
        <x:v>sale</x:v>
      </x:c>
      <x:c r="G4763" s="11" t="n">
        <x:v>52</x:v>
      </x:c>
      <x:c r="H4763" s="12" t="n">
        <x:v>5800000000</x:v>
      </x:c>
      <x:c r="I4763" s="12" t="n">
        <x:v>111538461.53846154</x:v>
      </x:c>
      <x:c r="J4763" s="2" t="str">
        <x:v>total</x:v>
      </x:c>
      <x:c r="K4763" s="2" t="str">
        <x:v>top_level_area</x:v>
      </x:c>
      <x:c r="L4763" s="2" t="str">
        <x:v>property_type_inferred_from_title</x:v>
      </x:c>
      <x:c r="M4763" s="10" t="n">
        <x:v>0</x:v>
      </x:c>
      <x:c r="N4763" s="10" t="n">
        <x:v>0</x:v>
      </x:c>
      <x:c r="O4763" s="2" t="str">
        <x:v>Tp Hồ Chí Minh|house</x:v>
      </x:c>
      <x:c r="P4763" s="10" t="n">
        <x:v>2</x:v>
      </x:c>
      <x:c r="Q4763" s="13" t="n">
        <x:f>IF(H4763="","",H4763/1000000000)</x:f>
        <x:v>5.8</x:v>
      </x:c>
      <x:c r="R4763" s="13" t="n">
        <x:f>IF(I4763="","",I4763/1000000)</x:f>
        <x:v>111.53846153846153</x:v>
      </x:c>
    </x:row>
    <x:row r="4764" ht="21" customHeight="1">
      <x:c r="A4764" s="10" t="n">
        <x:v>6317</x:v>
      </x:c>
      <x:c r="B4764" s="2" t="str">
        <x:v>9c6e92a92b17d66355e7</x:v>
      </x:c>
      <x:c r="C4764" s="2" t="str">
        <x:v>Tp Hồ Chí Minh</x:v>
      </x:c>
      <x:c r="D4764" s="2" t="str">
        <x:v>Quận 8</x:v>
      </x:c>
      <x:c r="E4764" s="2" t="str">
        <x:v>house</x:v>
      </x:c>
      <x:c r="F4764" s="2" t="str">
        <x:v>sale_assumed</x:v>
      </x:c>
      <x:c r="G4764" s="11" t="n">
        <x:v>21</x:v>
      </x:c>
      <x:c r="H4764" s="12" t="n">
        <x:v>1550000000</x:v>
      </x:c>
      <x:c r="I4764" s="12" t="n">
        <x:v>73809523.8095238</x:v>
      </x:c>
      <x:c r="J4764" s="2" t="str">
        <x:v>total</x:v>
      </x:c>
      <x:c r="K4764" s="2" t="str">
        <x:v>top_level_area</x:v>
      </x:c>
      <x:c r="L4764" s="2" t="str">
        <x:v>property_type_inferred_from_title;transaction_assumed_sale_from_dataset_context</x:v>
      </x:c>
      <x:c r="M4764" s="10" t="n">
        <x:v>0</x:v>
      </x:c>
      <x:c r="N4764" s="10" t="n">
        <x:v>0</x:v>
      </x:c>
      <x:c r="O4764" s="2" t="str">
        <x:v>Tp Hồ Chí Minh|house</x:v>
      </x:c>
      <x:c r="P4764" s="10" t="n">
        <x:v>2</x:v>
      </x:c>
      <x:c r="Q4764" s="13" t="n">
        <x:f>IF(H4764="","",H4764/1000000000)</x:f>
        <x:v>1.55</x:v>
      </x:c>
      <x:c r="R4764" s="13" t="n">
        <x:f>IF(I4764="","",I4764/1000000)</x:f>
        <x:v>73.80952380952381</x:v>
      </x:c>
    </x:row>
    <x:row r="4765" ht="21" customHeight="1">
      <x:c r="A4765" s="10" t="n">
        <x:v>6318</x:v>
      </x:c>
      <x:c r="B4765" s="2" t="str">
        <x:v>7d879f34b3687e1fb1de</x:v>
      </x:c>
      <x:c r="C4765" s="2" t="str">
        <x:v>Tp Hồ Chí Minh</x:v>
      </x:c>
      <x:c r="D4765" s="2" t="str">
        <x:v>Quận 10</x:v>
      </x:c>
      <x:c r="E4765" s="2" t="str">
        <x:v>house</x:v>
      </x:c>
      <x:c r="F4765" s="2" t="str">
        <x:v>sale</x:v>
      </x:c>
      <x:c r="G4765" s="11" t="n">
        <x:v>49</x:v>
      </x:c>
      <x:c r="H4765" s="12" t="n">
        <x:v>1280000000</x:v>
      </x:c>
      <x:c r="I4765" s="12" t="n">
        <x:v>26122448.979591835</x:v>
      </x:c>
      <x:c r="J4765" s="2" t="str">
        <x:v>total</x:v>
      </x:c>
      <x:c r="K4765" s="2" t="str">
        <x:v>top_level_area</x:v>
      </x:c>
      <x:c r="L4765" s="2" t="str">
        <x:v>property_type_inferred_from_title</x:v>
      </x:c>
      <x:c r="M4765" s="10" t="n">
        <x:v>0</x:v>
      </x:c>
      <x:c r="N4765" s="10" t="n">
        <x:v>0</x:v>
      </x:c>
      <x:c r="O4765" s="2" t="str">
        <x:v>Tp Hồ Chí Minh|house</x:v>
      </x:c>
      <x:c r="P4765" s="10" t="n">
        <x:v>2</x:v>
      </x:c>
      <x:c r="Q4765" s="13" t="n">
        <x:f>IF(H4765="","",H4765/1000000000)</x:f>
        <x:v>1.28</x:v>
      </x:c>
      <x:c r="R4765" s="13" t="n">
        <x:f>IF(I4765="","",I4765/1000000)</x:f>
        <x:v>26.122448979591834</x:v>
      </x:c>
    </x:row>
    <x:row r="4766" ht="21" customHeight="1">
      <x:c r="A4766" s="10" t="n">
        <x:v>6319</x:v>
      </x:c>
      <x:c r="B4766" s="2" t="str">
        <x:v>3784cdc1a5222461c5a0</x:v>
      </x:c>
      <x:c r="C4766" s="2" t="str">
        <x:v>Khánh Hòa</x:v>
      </x:c>
      <x:c r="D4766" s="2" t="str">
        <x:v>Thành phố Nha Trang</x:v>
      </x:c>
      <x:c r="E4766" s="2" t="str">
        <x:v>house</x:v>
      </x:c>
      <x:c r="F4766" s="2" t="str">
        <x:v>sale_assumed</x:v>
      </x:c>
      <x:c r="G4766" s="11" t="n">
        <x:v>60</x:v>
      </x:c>
      <x:c r="H4766" s="12" t="n">
        <x:v>550000000</x:v>
      </x:c>
      <x:c r="I4766" s="12" t="n">
        <x:v>9166666.666666666</x:v>
      </x:c>
      <x:c r="J4766" s="2" t="str">
        <x:v>total</x:v>
      </x:c>
      <x:c r="K4766" s="2" t="str">
        <x:v>top_level_area</x:v>
      </x:c>
      <x:c r="L4766" s="2" t="str">
        <x:v>property_type_inferred_from_title;transaction_assumed_sale_from_dataset_context</x:v>
      </x:c>
      <x:c r="M4766" s="10" t="n">
        <x:v>0</x:v>
      </x:c>
      <x:c r="N4766" s="10" t="n">
        <x:v>0</x:v>
      </x:c>
      <x:c r="O4766" s="2" t="str">
        <x:v>Khánh Hòa|house</x:v>
      </x:c>
      <x:c r="P4766" s="10" t="n">
        <x:v>2</x:v>
      </x:c>
      <x:c r="Q4766" s="13" t="n">
        <x:f>IF(H4766="","",H4766/1000000000)</x:f>
        <x:v>0.55</x:v>
      </x:c>
      <x:c r="R4766" s="13" t="n">
        <x:f>IF(I4766="","",I4766/1000000)</x:f>
        <x:v>9.166666666666666</x:v>
      </x:c>
    </x:row>
    <x:row r="4767" ht="21" customHeight="1">
      <x:c r="A4767" s="10" t="n">
        <x:v>6320</x:v>
      </x:c>
      <x:c r="B4767" s="2" t="str">
        <x:v>9fc791e0dab677a4a2cb</x:v>
      </x:c>
      <x:c r="C4767" s="2" t="str">
        <x:v>Tp Hồ Chí Minh</x:v>
      </x:c>
      <x:c r="D4767" s="2" t="str">
        <x:v>Quận Bình Tân</x:v>
      </x:c>
      <x:c r="E4767" s="2" t="str">
        <x:v>house</x:v>
      </x:c>
      <x:c r="F4767" s="2" t="str">
        <x:v>sale</x:v>
      </x:c>
      <x:c r="G4767" s="11" t="n">
        <x:v>52</x:v>
      </x:c>
      <x:c r="H4767" s="12" t="n">
        <x:v>877000000</x:v>
      </x:c>
      <x:c r="I4767" s="12" t="n">
        <x:v>16865384.615384616</x:v>
      </x:c>
      <x:c r="J4767" s="2" t="str">
        <x:v>total</x:v>
      </x:c>
      <x:c r="K4767" s="2" t="str">
        <x:v>top_level_area</x:v>
      </x:c>
      <x:c r="L4767" s="2" t="str">
        <x:v>property_type_inferred_from_title</x:v>
      </x:c>
      <x:c r="M4767" s="10" t="n">
        <x:v>0</x:v>
      </x:c>
      <x:c r="N4767" s="10" t="n">
        <x:v>0</x:v>
      </x:c>
      <x:c r="O4767" s="2" t="str">
        <x:v>Tp Hồ Chí Minh|house</x:v>
      </x:c>
      <x:c r="P4767" s="10" t="n">
        <x:v>2</x:v>
      </x:c>
      <x:c r="Q4767" s="13" t="n">
        <x:f>IF(H4767="","",H4767/1000000000)</x:f>
        <x:v>0.877</x:v>
      </x:c>
      <x:c r="R4767" s="13" t="n">
        <x:f>IF(I4767="","",I4767/1000000)</x:f>
        <x:v>16.865384615384617</x:v>
      </x:c>
    </x:row>
    <x:row r="4768" ht="21" customHeight="1">
      <x:c r="A4768" s="10" t="n">
        <x:v>6321</x:v>
      </x:c>
      <x:c r="B4768" s="2" t="str">
        <x:v>9916fa5a6d109cdf1bc2</x:v>
      </x:c>
      <x:c r="C4768" s="2" t="str">
        <x:v>Vĩnh Long</x:v>
      </x:c>
      <x:c r="D4768" s="2" t="str">
        <x:v>Huyện Trà Ôn</x:v>
      </x:c>
      <x:c r="E4768" s="2" t="str">
        <x:v>other_unknown</x:v>
      </x:c>
      <x:c r="F4768" s="2" t="str">
        <x:v>sale_assumed</x:v>
      </x:c>
      <x:c r="G4768" s="11" t="n">
        <x:v>132</x:v>
      </x:c>
      <x:c r="H4768" s="12" t="n">
        <x:v>335000000</x:v>
      </x:c>
      <x:c r="I4768" s="12" t="n">
        <x:v>2537878.787878788</x:v>
      </x:c>
      <x:c r="J4768" s="2" t="str">
        <x:v>total</x:v>
      </x:c>
      <x:c r="K4768" s="2" t="str">
        <x:v>top_level_area</x:v>
      </x:c>
      <x:c r="L4768" s="2" t="str">
        <x:v>property_type_inferred_from_title;transaction_assumed_sale_from_dataset_context;unknown_property_type</x:v>
      </x:c>
      <x:c r="M4768" s="10" t="n">
        <x:v>0</x:v>
      </x:c>
      <x:c r="N4768" s="10" t="n">
        <x:v>0</x:v>
      </x:c>
      <x:c r="O4768" s="2" t="str">
        <x:v>other_unknown</x:v>
      </x:c>
      <x:c r="P4768" s="10" t="n">
        <x:v>1</x:v>
      </x:c>
      <x:c r="Q4768" s="13" t="n">
        <x:f>IF(H4768="","",H4768/1000000000)</x:f>
        <x:v>0.335</x:v>
      </x:c>
      <x:c r="R4768" s="13" t="n">
        <x:f>IF(I4768="","",I4768/1000000)</x:f>
        <x:v>2.537878787878788</x:v>
      </x:c>
    </x:row>
    <x:row r="4769" ht="21" customHeight="1">
      <x:c r="A4769" s="10" t="n">
        <x:v>6322</x:v>
      </x:c>
      <x:c r="B4769" s="2" t="str">
        <x:v>51e7186dabeee7ce10cf</x:v>
      </x:c>
      <x:c r="C4769" s="2" t="str">
        <x:v>Tp Hồ Chí Minh</x:v>
      </x:c>
      <x:c r="D4769" s="2" t="str">
        <x:v>Quận Gò Vấp</x:v>
      </x:c>
      <x:c r="E4769" s="2" t="str">
        <x:v>house</x:v>
      </x:c>
      <x:c r="F4769" s="2" t="str">
        <x:v>sale</x:v>
      </x:c>
      <x:c r="G4769" s="11" t="n">
        <x:v>70</x:v>
      </x:c>
      <x:c r="H4769" s="12" t="n">
        <x:v>4565000000</x:v>
      </x:c>
      <x:c r="I4769" s="12" t="n">
        <x:v>65214285.71428572</x:v>
      </x:c>
      <x:c r="J4769" s="2" t="str">
        <x:v>total</x:v>
      </x:c>
      <x:c r="K4769" s="2" t="str">
        <x:v>top_level_area</x:v>
      </x:c>
      <x:c r="L4769" s="2" t="str">
        <x:v>property_type_inferred_from_title</x:v>
      </x:c>
      <x:c r="M4769" s="10" t="n">
        <x:v>0</x:v>
      </x:c>
      <x:c r="N4769" s="10" t="n">
        <x:v>0</x:v>
      </x:c>
      <x:c r="O4769" s="2" t="str">
        <x:v>Tp Hồ Chí Minh|house</x:v>
      </x:c>
      <x:c r="P4769" s="10" t="n">
        <x:v>2</x:v>
      </x:c>
      <x:c r="Q4769" s="13" t="n">
        <x:f>IF(H4769="","",H4769/1000000000)</x:f>
        <x:v>4.565</x:v>
      </x:c>
      <x:c r="R4769" s="13" t="n">
        <x:f>IF(I4769="","",I4769/1000000)</x:f>
        <x:v>65.21428571428572</x:v>
      </x:c>
    </x:row>
    <x:row r="4770" ht="21" customHeight="1">
      <x:c r="A4770" s="10" t="n">
        <x:v>6323</x:v>
      </x:c>
      <x:c r="B4770" s="2" t="str">
        <x:v>9284a917cde3b9ae4a59</x:v>
      </x:c>
      <x:c r="C4770" s="2" t="str">
        <x:v>Bình Dương</x:v>
      </x:c>
      <x:c r="D4770" s="2" t="str">
        <x:v>Thành phố Thủ Dầu Một</x:v>
      </x:c>
      <x:c r="E4770" s="2" t="str">
        <x:v>other_unknown</x:v>
      </x:c>
      <x:c r="F4770" s="2" t="str">
        <x:v>sale_assumed</x:v>
      </x:c>
      <x:c r="G4770" s="11" t="n">
        <x:v>241</x:v>
      </x:c>
      <x:c r="H4770" s="12" t="n">
        <x:v>5300000000</x:v>
      </x:c>
      <x:c r="I4770" s="12" t="n">
        <x:v>21991701.24481328</x:v>
      </x:c>
      <x:c r="J4770" s="2" t="str">
        <x:v>total</x:v>
      </x:c>
      <x:c r="K4770" s="2" t="str">
        <x:v>top_level_area</x:v>
      </x:c>
      <x:c r="L4770" s="2" t="str">
        <x:v>property_type_inferred_from_title;transaction_assumed_sale_from_dataset_context;unknown_property_type</x:v>
      </x:c>
      <x:c r="M4770" s="10" t="n">
        <x:v>0</x:v>
      </x:c>
      <x:c r="N4770" s="10" t="n">
        <x:v>0</x:v>
      </x:c>
      <x:c r="O4770" s="2" t="str">
        <x:v>Bình Dương|other_unknown</x:v>
      </x:c>
      <x:c r="P4770" s="10" t="n">
        <x:v>2</x:v>
      </x:c>
      <x:c r="Q4770" s="13" t="n">
        <x:f>IF(H4770="","",H4770/1000000000)</x:f>
        <x:v>5.3</x:v>
      </x:c>
      <x:c r="R4770" s="13" t="n">
        <x:f>IF(I4770="","",I4770/1000000)</x:f>
        <x:v>21.991701244813278</x:v>
      </x:c>
    </x:row>
    <x:row r="4771" ht="21" customHeight="1">
      <x:c r="A4771" s="10" t="n">
        <x:v>6324</x:v>
      </x:c>
      <x:c r="B4771" s="2" t="str">
        <x:v>fbbc63e7af8d6a844005</x:v>
      </x:c>
      <x:c r="C4771" s="2" t="str">
        <x:v>Tp Hồ Chí Minh</x:v>
      </x:c>
      <x:c r="D4771" s="2" t="str">
        <x:v>Quận Bình Tân</x:v>
      </x:c>
      <x:c r="E4771" s="2" t="str">
        <x:v>house</x:v>
      </x:c>
      <x:c r="F4771" s="2" t="str">
        <x:v>sale</x:v>
      </x:c>
      <x:c r="G4771" s="11" t="n">
        <x:v>60</x:v>
      </x:c>
      <x:c r="H4771" s="12" t="n">
        <x:v>4800000000</x:v>
      </x:c>
      <x:c r="I4771" s="12" t="n">
        <x:v>80000000</x:v>
      </x:c>
      <x:c r="J4771" s="2" t="str">
        <x:v>total</x:v>
      </x:c>
      <x:c r="K4771" s="2" t="str">
        <x:v>top_level_area</x:v>
      </x:c>
      <x:c r="L4771" s="2" t="str">
        <x:v>property_type_inferred_from_title</x:v>
      </x:c>
      <x:c r="M4771" s="10" t="n">
        <x:v>0</x:v>
      </x:c>
      <x:c r="N4771" s="10" t="n">
        <x:v>0</x:v>
      </x:c>
      <x:c r="O4771" s="2" t="str">
        <x:v>Tp Hồ Chí Minh|house</x:v>
      </x:c>
      <x:c r="P4771" s="10" t="n">
        <x:v>2</x:v>
      </x:c>
      <x:c r="Q4771" s="13" t="n">
        <x:f>IF(H4771="","",H4771/1000000000)</x:f>
        <x:v>4.8</x:v>
      </x:c>
      <x:c r="R4771" s="13" t="n">
        <x:f>IF(I4771="","",I4771/1000000)</x:f>
        <x:v>80</x:v>
      </x:c>
    </x:row>
    <x:row r="4772" ht="21" customHeight="1">
      <x:c r="A4772" s="10" t="n">
        <x:v>6325</x:v>
      </x:c>
      <x:c r="B4772" s="2" t="str">
        <x:v>e6ba1ca4e1eea2915fdb</x:v>
      </x:c>
      <x:c r="C4772" s="2" t="str">
        <x:v>Cần Thơ</x:v>
      </x:c>
      <x:c r="D4772" s="2" t="str">
        <x:v>Quận Cái Răng</x:v>
      </x:c>
      <x:c r="E4772" s="2" t="str">
        <x:v>apartment</x:v>
      </x:c>
      <x:c r="F4772" s="2" t="str">
        <x:v>sale</x:v>
      </x:c>
      <x:c r="G4772" s="11" t="n">
        <x:v>50</x:v>
      </x:c>
      <x:c r="H4772" s="12" t="n">
        <x:v>1600000000</x:v>
      </x:c>
      <x:c r="I4772" s="12" t="n">
        <x:v>32000000</x:v>
      </x:c>
      <x:c r="J4772" s="2" t="str">
        <x:v>total</x:v>
      </x:c>
      <x:c r="K4772" s="2" t="str">
        <x:v>top_level_area</x:v>
      </x:c>
      <x:c r="L4772" s="2" t="str">
        <x:v>property_type_inferred_from_title</x:v>
      </x:c>
      <x:c r="M4772" s="10" t="n">
        <x:v>0</x:v>
      </x:c>
      <x:c r="N4772" s="10" t="n">
        <x:v>0</x:v>
      </x:c>
      <x:c r="O4772" s="2" t="str">
        <x:v>apartment</x:v>
      </x:c>
      <x:c r="P4772" s="10" t="n">
        <x:v>2</x:v>
      </x:c>
      <x:c r="Q4772" s="13" t="n">
        <x:f>IF(H4772="","",H4772/1000000000)</x:f>
        <x:v>1.6</x:v>
      </x:c>
      <x:c r="R4772" s="13" t="n">
        <x:f>IF(I4772="","",I4772/1000000)</x:f>
        <x:v>32</x:v>
      </x:c>
    </x:row>
    <x:row r="4773" ht="21" customHeight="1">
      <x:c r="A4773" s="10" t="n">
        <x:v>6327</x:v>
      </x:c>
      <x:c r="B4773" s="2" t="str">
        <x:v>99656b563916421fe91d</x:v>
      </x:c>
      <x:c r="C4773" s="2" t="str">
        <x:v>Đà Nẵng</x:v>
      </x:c>
      <x:c r="D4773" s="2" t="str">
        <x:v>Quận Hải Châu</x:v>
      </x:c>
      <x:c r="E4773" s="2" t="str">
        <x:v>house</x:v>
      </x:c>
      <x:c r="F4773" s="2" t="str">
        <x:v>sale</x:v>
      </x:c>
      <x:c r="G4773" s="11" t="n">
        <x:v>110</x:v>
      </x:c>
      <x:c r="H4773" s="12" t="n">
        <x:v>6300000000</x:v>
      </x:c>
      <x:c r="I4773" s="12" t="n">
        <x:v>57272727.27272727</x:v>
      </x:c>
      <x:c r="J4773" s="2" t="str">
        <x:v>total</x:v>
      </x:c>
      <x:c r="K4773" s="2" t="str">
        <x:v>top_level_area</x:v>
      </x:c>
      <x:c r="L4773" s="2" t="str">
        <x:v>property_type_inferred_from_title</x:v>
      </x:c>
      <x:c r="M4773" s="10" t="n">
        <x:v>0</x:v>
      </x:c>
      <x:c r="N4773" s="10" t="n">
        <x:v>0</x:v>
      </x:c>
      <x:c r="O4773" s="2" t="str">
        <x:v>Đà Nẵng|house</x:v>
      </x:c>
      <x:c r="P4773" s="10" t="n">
        <x:v>2</x:v>
      </x:c>
      <x:c r="Q4773" s="13" t="n">
        <x:f>IF(H4773="","",H4773/1000000000)</x:f>
        <x:v>6.3</x:v>
      </x:c>
      <x:c r="R4773" s="13" t="n">
        <x:f>IF(I4773="","",I4773/1000000)</x:f>
        <x:v>57.27272727272727</x:v>
      </x:c>
    </x:row>
    <x:row r="4774" ht="21" customHeight="1">
      <x:c r="A4774" s="10" t="n">
        <x:v>6328</x:v>
      </x:c>
      <x:c r="B4774" s="2" t="str">
        <x:v>baaf670392b7a083ae9a</x:v>
      </x:c>
      <x:c r="C4774" s="2" t="str">
        <x:v>Tp Hồ Chí Minh</x:v>
      </x:c>
      <x:c r="D4774" s="2" t="str">
        <x:v>Huyện Củ Chi</x:v>
      </x:c>
      <x:c r="E4774" s="2" t="str">
        <x:v>land</x:v>
      </x:c>
      <x:c r="F4774" s="2" t="str">
        <x:v>sale</x:v>
      </x:c>
      <x:c r="G4774" s="11" t="n">
        <x:v>356</x:v>
      </x:c>
      <x:c r="H4774" s="12" t="n">
        <x:v>1300000000</x:v>
      </x:c>
      <x:c r="I4774" s="12" t="n">
        <x:v>3651685.393258427</x:v>
      </x:c>
      <x:c r="J4774" s="2" t="str">
        <x:v>total</x:v>
      </x:c>
      <x:c r="K4774" s="2" t="str">
        <x:v>top_level_area</x:v>
      </x:c>
      <x:c r="L4774" s="2" t="str">
        <x:v>property_type_inferred_from_title</x:v>
      </x:c>
      <x:c r="M4774" s="10" t="n">
        <x:v>0</x:v>
      </x:c>
      <x:c r="N4774" s="10" t="n">
        <x:v>0</x:v>
      </x:c>
      <x:c r="O4774" s="2" t="str">
        <x:v>Tp Hồ Chí Minh|land</x:v>
      </x:c>
      <x:c r="P4774" s="10" t="n">
        <x:v>1</x:v>
      </x:c>
      <x:c r="Q4774" s="13" t="n">
        <x:f>IF(H4774="","",H4774/1000000000)</x:f>
        <x:v>1.3</x:v>
      </x:c>
      <x:c r="R4774" s="13" t="n">
        <x:f>IF(I4774="","",I4774/1000000)</x:f>
        <x:v>3.651685393258427</x:v>
      </x:c>
    </x:row>
    <x:row r="4775" ht="21" customHeight="1">
      <x:c r="A4775" s="10" t="n">
        <x:v>6329</x:v>
      </x:c>
      <x:c r="B4775" s="2" t="str">
        <x:v>2a277eb23df23e674d6b</x:v>
      </x:c>
      <x:c r="C4775" s="2" t="str">
        <x:v>Hà Nội</x:v>
      </x:c>
      <x:c r="D4775" s="2" t="str">
        <x:v>Quận Hoàng Mai</x:v>
      </x:c>
      <x:c r="E4775" s="2" t="str">
        <x:v>other_unknown</x:v>
      </x:c>
      <x:c r="F4775" s="2" t="str">
        <x:v>sale</x:v>
      </x:c>
      <x:c r="G4775" s="11" t="n">
        <x:v>79</x:v>
      </x:c>
      <x:c r="H4775" s="12" t="n">
        <x:v>1450000000</x:v>
      </x:c>
      <x:c r="I4775" s="12" t="n">
        <x:v>18354430.379746836</x:v>
      </x:c>
      <x:c r="J4775" s="2" t="str">
        <x:v>total</x:v>
      </x:c>
      <x:c r="K4775" s="2" t="str">
        <x:v>top_level_area</x:v>
      </x:c>
      <x:c r="L4775" s="2" t="str">
        <x:v>property_type_inferred_from_title;unknown_property_type</x:v>
      </x:c>
      <x:c r="M4775" s="10" t="n">
        <x:v>0</x:v>
      </x:c>
      <x:c r="N4775" s="10" t="n">
        <x:v>0</x:v>
      </x:c>
      <x:c r="O4775" s="2" t="str">
        <x:v>Hà Nội|other_unknown</x:v>
      </x:c>
      <x:c r="P4775" s="10" t="n">
        <x:v>2</x:v>
      </x:c>
      <x:c r="Q4775" s="13" t="n">
        <x:f>IF(H4775="","",H4775/1000000000)</x:f>
        <x:v>1.45</x:v>
      </x:c>
      <x:c r="R4775" s="13" t="n">
        <x:f>IF(I4775="","",I4775/1000000)</x:f>
        <x:v>18.354430379746837</x:v>
      </x:c>
    </x:row>
    <x:row r="4776" ht="21" customHeight="1">
      <x:c r="A4776" s="10" t="n">
        <x:v>6330</x:v>
      </x:c>
      <x:c r="B4776" s="2" t="str">
        <x:v>643132036e5a18a3d44f</x:v>
      </x:c>
      <x:c r="C4776" s="2" t="str">
        <x:v>Tp Hồ Chí Minh</x:v>
      </x:c>
      <x:c r="D4776" s="2" t="str">
        <x:v>Quận 12</x:v>
      </x:c>
      <x:c r="E4776" s="2" t="str">
        <x:v>other_unknown</x:v>
      </x:c>
      <x:c r="F4776" s="2" t="str">
        <x:v>sale_assumed</x:v>
      </x:c>
      <x:c r="G4776" s="11" t="n">
        <x:v>164</x:v>
      </x:c>
      <x:c r="H4776" s="12" t="n">
        <x:v>5200000000</x:v>
      </x:c>
      <x:c r="I4776" s="12" t="n">
        <x:v>31707317.073170733</x:v>
      </x:c>
      <x:c r="J4776" s="2" t="str">
        <x:v>total</x:v>
      </x:c>
      <x:c r="K4776" s="2" t="str">
        <x:v>top_level_area</x:v>
      </x:c>
      <x:c r="L4776" s="2" t="str">
        <x:v>property_type_inferred_from_title;transaction_assumed_sale_from_dataset_context;unknown_property_type</x:v>
      </x:c>
      <x:c r="M4776" s="10" t="n">
        <x:v>0</x:v>
      </x:c>
      <x:c r="N4776" s="10" t="n">
        <x:v>0</x:v>
      </x:c>
      <x:c r="O4776" s="2" t="str">
        <x:v>Tp Hồ Chí Minh|other_unknown</x:v>
      </x:c>
      <x:c r="P4776" s="10" t="n">
        <x:v>2</x:v>
      </x:c>
      <x:c r="Q4776" s="13" t="n">
        <x:f>IF(H4776="","",H4776/1000000000)</x:f>
        <x:v>5.2</x:v>
      </x:c>
      <x:c r="R4776" s="13" t="n">
        <x:f>IF(I4776="","",I4776/1000000)</x:f>
        <x:v>31.70731707317073</x:v>
      </x:c>
    </x:row>
    <x:row r="4777" ht="21" customHeight="1">
      <x:c r="A4777" s="10" t="n">
        <x:v>6331</x:v>
      </x:c>
      <x:c r="B4777" s="2" t="str">
        <x:v>09fb1a134111c589435d</x:v>
      </x:c>
      <x:c r="C4777" s="2" t="str">
        <x:v>Sóc Trăng</x:v>
      </x:c>
      <x:c r="D4777" s="2" t="str">
        <x:v>Thành phố Sóc Trăng</x:v>
      </x:c>
      <x:c r="E4777" s="2" t="str">
        <x:v>house</x:v>
      </x:c>
      <x:c r="F4777" s="2" t="str">
        <x:v>sale</x:v>
      </x:c>
      <x:c r="G4777" s="11" t="n">
        <x:v>135</x:v>
      </x:c>
      <x:c r="H4777" s="12" t="n">
        <x:v>7000000000</x:v>
      </x:c>
      <x:c r="I4777" s="12" t="n">
        <x:v>51851851.85185185</x:v>
      </x:c>
      <x:c r="J4777" s="2" t="str">
        <x:v>total</x:v>
      </x:c>
      <x:c r="K4777" s="2" t="str">
        <x:v>top_level_area</x:v>
      </x:c>
      <x:c r="L4777" s="2" t="str">
        <x:v>property_type_inferred_from_title</x:v>
      </x:c>
      <x:c r="M4777" s="10" t="n">
        <x:v>0</x:v>
      </x:c>
      <x:c r="N4777" s="10" t="n">
        <x:v>0</x:v>
      </x:c>
      <x:c r="O4777" s="2" t="str">
        <x:v>house</x:v>
      </x:c>
      <x:c r="P4777" s="10" t="n">
        <x:v>2</x:v>
      </x:c>
      <x:c r="Q4777" s="13" t="n">
        <x:f>IF(H4777="","",H4777/1000000000)</x:f>
        <x:v>7</x:v>
      </x:c>
      <x:c r="R4777" s="13" t="n">
        <x:f>IF(I4777="","",I4777/1000000)</x:f>
        <x:v>51.85185185185185</x:v>
      </x:c>
    </x:row>
    <x:row r="4778" ht="21" customHeight="1">
      <x:c r="A4778" s="10" t="n">
        <x:v>6332</x:v>
      </x:c>
      <x:c r="B4778" s="2" t="str">
        <x:v>82ff2092e224f821880f</x:v>
      </x:c>
      <x:c r="C4778" s="2" t="str">
        <x:v>Hậu Giang</x:v>
      </x:c>
      <x:c r="D4778" s="2" t="str">
        <x:v>Huyện Vị Thuỷ</x:v>
      </x:c>
      <x:c r="E4778" s="2" t="str">
        <x:v>land</x:v>
      </x:c>
      <x:c r="F4778" s="2" t="str">
        <x:v>sale_assumed</x:v>
      </x:c>
      <x:c r="G4778" s="11" t="n">
        <x:v>4200</x:v>
      </x:c>
      <x:c r="H4778" s="12" t="n">
        <x:v>600000000</x:v>
      </x:c>
      <x:c r="I4778" s="12" t="n">
        <x:v>142857.14285714287</x:v>
      </x:c>
      <x:c r="J4778" s="2" t="str">
        <x:v>total</x:v>
      </x:c>
      <x:c r="K4778" s="2" t="str">
        <x:v>top_level_area</x:v>
      </x:c>
      <x:c r="L4778" s="2" t="str">
        <x:v>dot_thousands_convention;property_type_inferred_from_title;transaction_assumed_sale_from_dataset_context</x:v>
      </x:c>
      <x:c r="M4778" s="10" t="n">
        <x:v>0</x:v>
      </x:c>
      <x:c r="N4778" s="10" t="n">
        <x:v>0</x:v>
      </x:c>
      <x:c r="O4778" s="2" t="str">
        <x:v>land</x:v>
      </x:c>
      <x:c r="P4778" s="10" t="n">
        <x:v>1</x:v>
      </x:c>
      <x:c r="Q4778" s="13" t="n">
        <x:f>IF(H4778="","",H4778/1000000000)</x:f>
        <x:v>0.6</x:v>
      </x:c>
      <x:c r="R4778" s="13" t="n">
        <x:f>IF(I4778="","",I4778/1000000)</x:f>
        <x:v>0.14285714285714288</x:v>
      </x:c>
    </x:row>
    <x:row r="4779" ht="21" customHeight="1">
      <x:c r="A4779" s="10" t="n">
        <x:v>6333</x:v>
      </x:c>
      <x:c r="B4779" s="2" t="str">
        <x:v>ebff39cccab6177895ef</x:v>
      </x:c>
      <x:c r="C4779" s="2" t="str">
        <x:v>Sóc Trăng</x:v>
      </x:c>
      <x:c r="D4779" s="2" t="str">
        <x:v>Thành phố Sóc Trăng</x:v>
      </x:c>
      <x:c r="E4779" s="2" t="str">
        <x:v>house</x:v>
      </x:c>
      <x:c r="F4779" s="2" t="str">
        <x:v>sale</x:v>
      </x:c>
      <x:c r="G4779" s="11" t="n">
        <x:v>52</x:v>
      </x:c>
      <x:c r="H4779" s="12" t="n">
        <x:v>1290000000</x:v>
      </x:c>
      <x:c r="I4779" s="12" t="n">
        <x:v>24807692.307692308</x:v>
      </x:c>
      <x:c r="J4779" s="2" t="str">
        <x:v>total</x:v>
      </x:c>
      <x:c r="K4779" s="2" t="str">
        <x:v>top_level_area</x:v>
      </x:c>
      <x:c r="L4779" s="2" t="str">
        <x:v>property_type_inferred_from_title</x:v>
      </x:c>
      <x:c r="M4779" s="10" t="n">
        <x:v>0</x:v>
      </x:c>
      <x:c r="N4779" s="10" t="n">
        <x:v>0</x:v>
      </x:c>
      <x:c r="O4779" s="2" t="str">
        <x:v>house</x:v>
      </x:c>
      <x:c r="P4779" s="10" t="n">
        <x:v>2</x:v>
      </x:c>
      <x:c r="Q4779" s="13" t="n">
        <x:f>IF(H4779="","",H4779/1000000000)</x:f>
        <x:v>1.29</x:v>
      </x:c>
      <x:c r="R4779" s="13" t="n">
        <x:f>IF(I4779="","",I4779/1000000)</x:f>
        <x:v>24.807692307692307</x:v>
      </x:c>
    </x:row>
    <x:row r="4780" ht="21" customHeight="1">
      <x:c r="A4780" s="10" t="n">
        <x:v>6334</x:v>
      </x:c>
      <x:c r="B4780" s="2" t="str">
        <x:v>320834c66c467bdb486a</x:v>
      </x:c>
      <x:c r="C4780" s="2" t="str">
        <x:v>Tp Hồ Chí Minh</x:v>
      </x:c>
      <x:c r="D4780" s="2" t="str">
        <x:v>Quận Gò Vấp</x:v>
      </x:c>
      <x:c r="E4780" s="2" t="str">
        <x:v>house</x:v>
      </x:c>
      <x:c r="F4780" s="2" t="str">
        <x:v>sale_assumed</x:v>
      </x:c>
      <x:c r="G4780" s="11" t="n">
        <x:v>50</x:v>
      </x:c>
      <x:c r="H4780" s="12" t="n">
        <x:v>5400000000</x:v>
      </x:c>
      <x:c r="I4780" s="12" t="n">
        <x:v>108000000</x:v>
      </x:c>
      <x:c r="J4780" s="2" t="str">
        <x:v>total</x:v>
      </x:c>
      <x:c r="K4780" s="2" t="str">
        <x:v>top_level_area</x:v>
      </x:c>
      <x:c r="L4780" s="2" t="str">
        <x:v>property_type_inferred_from_title;transaction_assumed_sale_from_dataset_context</x:v>
      </x:c>
      <x:c r="M4780" s="10" t="n">
        <x:v>0</x:v>
      </x:c>
      <x:c r="N4780" s="10" t="n">
        <x:v>0</x:v>
      </x:c>
      <x:c r="O4780" s="2" t="str">
        <x:v>Tp Hồ Chí Minh|house</x:v>
      </x:c>
      <x:c r="P4780" s="10" t="n">
        <x:v>2</x:v>
      </x:c>
      <x:c r="Q4780" s="13" t="n">
        <x:f>IF(H4780="","",H4780/1000000000)</x:f>
        <x:v>5.4</x:v>
      </x:c>
      <x:c r="R4780" s="13" t="n">
        <x:f>IF(I4780="","",I4780/1000000)</x:f>
        <x:v>108</x:v>
      </x:c>
    </x:row>
    <x:row r="4781" ht="21" customHeight="1">
      <x:c r="A4781" s="10" t="n">
        <x:v>6335</x:v>
      </x:c>
      <x:c r="B4781" s="2" t="str">
        <x:v>84367079d02998f7fcf2</x:v>
      </x:c>
      <x:c r="C4781" s="2" t="str">
        <x:v>Tp Hồ Chí Minh</x:v>
      </x:c>
      <x:c r="D4781" s="2" t="str">
        <x:v>Huyện Bình Chánh</x:v>
      </x:c>
      <x:c r="E4781" s="2" t="str">
        <x:v>house</x:v>
      </x:c>
      <x:c r="F4781" s="2" t="str">
        <x:v>sale_assumed</x:v>
      </x:c>
      <x:c r="G4781" s="11" t="n">
        <x:v>40</x:v>
      </x:c>
      <x:c r="H4781" s="12" t="n">
        <x:v>205000000</x:v>
      </x:c>
      <x:c r="I4781" s="12" t="n">
        <x:v>5125000</x:v>
      </x:c>
      <x:c r="J4781" s="2" t="str">
        <x:v>total</x:v>
      </x:c>
      <x:c r="K4781" s="2" t="str">
        <x:v>top_level_area</x:v>
      </x:c>
      <x:c r="L4781" s="2" t="str">
        <x:v>property_type_inferred_from_title;transaction_assumed_sale_from_dataset_context</x:v>
      </x:c>
      <x:c r="M4781" s="10" t="n">
        <x:v>0</x:v>
      </x:c>
      <x:c r="N4781" s="10" t="n">
        <x:v>0</x:v>
      </x:c>
      <x:c r="O4781" s="2" t="str">
        <x:v>Tp Hồ Chí Minh|house</x:v>
      </x:c>
      <x:c r="P4781" s="10" t="n">
        <x:v>2</x:v>
      </x:c>
      <x:c r="Q4781" s="13" t="n">
        <x:f>IF(H4781="","",H4781/1000000000)</x:f>
        <x:v>0.205</x:v>
      </x:c>
      <x:c r="R4781" s="13" t="n">
        <x:f>IF(I4781="","",I4781/1000000)</x:f>
        <x:v>5.125</x:v>
      </x:c>
    </x:row>
    <x:row r="4782" ht="21" customHeight="1">
      <x:c r="A4782" s="10" t="n">
        <x:v>6336</x:v>
      </x:c>
      <x:c r="B4782" s="2" t="str">
        <x:v>d67836ddd41b53e13020</x:v>
      </x:c>
      <x:c r="C4782" s="2" t="str">
        <x:v>Cần Thơ</x:v>
      </x:c>
      <x:c r="D4782" s="2" t="str">
        <x:v>Quận Cái Răng</x:v>
      </x:c>
      <x:c r="E4782" s="2" t="str">
        <x:v>land</x:v>
      </x:c>
      <x:c r="F4782" s="2" t="str">
        <x:v>sale</x:v>
      </x:c>
      <x:c r="G4782" s="11" t="n">
        <x:v>4480</x:v>
      </x:c>
      <x:c r="H4782" s="12" t="n">
        <x:v>24500000000</x:v>
      </x:c>
      <x:c r="I4782" s="12" t="n">
        <x:v>5468750</x:v>
      </x:c>
      <x:c r="J4782" s="2" t="str">
        <x:v>total</x:v>
      </x:c>
      <x:c r="K4782" s="2" t="str">
        <x:v>top_level_area</x:v>
      </x:c>
      <x:c r="L4782" s="2" t="str">
        <x:v>dot_thousands_convention;property_type_inferred_from_title</x:v>
      </x:c>
      <x:c r="M4782" s="10" t="n">
        <x:v>0</x:v>
      </x:c>
      <x:c r="N4782" s="10" t="n">
        <x:v>0</x:v>
      </x:c>
      <x:c r="O4782" s="2" t="str">
        <x:v>Cần Thơ|land</x:v>
      </x:c>
      <x:c r="P4782" s="10" t="n">
        <x:v>1</x:v>
      </x:c>
      <x:c r="Q4782" s="13" t="n">
        <x:f>IF(H4782="","",H4782/1000000000)</x:f>
        <x:v>24.5</x:v>
      </x:c>
      <x:c r="R4782" s="13" t="n">
        <x:f>IF(I4782="","",I4782/1000000)</x:f>
        <x:v>5.46875</x:v>
      </x:c>
    </x:row>
    <x:row r="4783" ht="21" customHeight="1">
      <x:c r="A4783" s="10" t="n">
        <x:v>6337</x:v>
      </x:c>
      <x:c r="B4783" s="2" t="str">
        <x:v>7d99f61336a8aa30b3a2</x:v>
      </x:c>
      <x:c r="C4783" s="2" t="str">
        <x:v>Tp Hồ Chí Minh</x:v>
      </x:c>
      <x:c r="D4783" s="2" t="str">
        <x:v>Quận 9</x:v>
      </x:c>
      <x:c r="E4783" s="2" t="str">
        <x:v>house</x:v>
      </x:c>
      <x:c r="F4783" s="2" t="str">
        <x:v>sale</x:v>
      </x:c>
      <x:c r="G4783" s="11" t="n">
        <x:v>56</x:v>
      </x:c>
      <x:c r="H4783" s="12" t="n">
        <x:v>1640000000</x:v>
      </x:c>
      <x:c r="I4783" s="12" t="n">
        <x:v>29285714.285714287</x:v>
      </x:c>
      <x:c r="J4783" s="2" t="str">
        <x:v>total</x:v>
      </x:c>
      <x:c r="K4783" s="2" t="str">
        <x:v>top_level_area</x:v>
      </x:c>
      <x:c r="L4783" s="2" t="str">
        <x:v>property_type_inferred_from_title</x:v>
      </x:c>
      <x:c r="M4783" s="10" t="n">
        <x:v>0</x:v>
      </x:c>
      <x:c r="N4783" s="10" t="n">
        <x:v>0</x:v>
      </x:c>
      <x:c r="O4783" s="2" t="str">
        <x:v>Tp Hồ Chí Minh|house</x:v>
      </x:c>
      <x:c r="P4783" s="10" t="n">
        <x:v>2</x:v>
      </x:c>
      <x:c r="Q4783" s="13" t="n">
        <x:f>IF(H4783="","",H4783/1000000000)</x:f>
        <x:v>1.64</x:v>
      </x:c>
      <x:c r="R4783" s="13" t="n">
        <x:f>IF(I4783="","",I4783/1000000)</x:f>
        <x:v>29.28571428571429</x:v>
      </x:c>
    </x:row>
    <x:row r="4784" ht="21" customHeight="1">
      <x:c r="A4784" s="10" t="n">
        <x:v>6338</x:v>
      </x:c>
      <x:c r="B4784" s="2" t="str">
        <x:v>ab9e54ade6bf0bea185a</x:v>
      </x:c>
      <x:c r="C4784" s="2" t="str">
        <x:v>Tp Hồ Chí Minh</x:v>
      </x:c>
      <x:c r="D4784" s="2" t="str">
        <x:v>Quận 9</x:v>
      </x:c>
      <x:c r="E4784" s="2" t="str">
        <x:v>land</x:v>
      </x:c>
      <x:c r="F4784" s="2" t="str">
        <x:v>sale</x:v>
      </x:c>
      <x:c r="G4784" s="11" t="n">
        <x:v>100</x:v>
      </x:c>
      <x:c r="H4784" s="12" t="n">
        <x:v>1207000000</x:v>
      </x:c>
      <x:c r="I4784" s="12" t="n">
        <x:v>12070000</x:v>
      </x:c>
      <x:c r="J4784" s="2" t="str">
        <x:v>total</x:v>
      </x:c>
      <x:c r="K4784" s="2" t="str">
        <x:v>top_level_area</x:v>
      </x:c>
      <x:c r="L4784" s="2" t="str">
        <x:v>property_type_inferred_from_title</x:v>
      </x:c>
      <x:c r="M4784" s="10" t="n">
        <x:v>0</x:v>
      </x:c>
      <x:c r="N4784" s="10" t="n">
        <x:v>0</x:v>
      </x:c>
      <x:c r="O4784" s="2" t="str">
        <x:v>Tp Hồ Chí Minh|land</x:v>
      </x:c>
      <x:c r="P4784" s="10" t="n">
        <x:v>2</x:v>
      </x:c>
      <x:c r="Q4784" s="13" t="n">
        <x:f>IF(H4784="","",H4784/1000000000)</x:f>
        <x:v>1.207</x:v>
      </x:c>
      <x:c r="R4784" s="13" t="n">
        <x:f>IF(I4784="","",I4784/1000000)</x:f>
        <x:v>12.07</x:v>
      </x:c>
    </x:row>
    <x:row r="4785" ht="21" customHeight="1">
      <x:c r="A4785" s="10" t="n">
        <x:v>6339</x:v>
      </x:c>
      <x:c r="B4785" s="2" t="str">
        <x:v>a40dc4d1fb107d0b20d2</x:v>
      </x:c>
      <x:c r="C4785" s="2" t="str">
        <x:v>Tp Hồ Chí Minh</x:v>
      </x:c>
      <x:c r="D4785" s="2" t="str">
        <x:v>Quận 12</x:v>
      </x:c>
      <x:c r="E4785" s="2" t="str">
        <x:v>house</x:v>
      </x:c>
      <x:c r="F4785" s="2" t="str">
        <x:v>sale_assumed</x:v>
      </x:c>
      <x:c r="G4785" s="11" t="n">
        <x:v>18</x:v>
      </x:c>
      <x:c r="H4785" s="12" t="n">
        <x:v>830000000</x:v>
      </x:c>
      <x:c r="I4785" s="12" t="n">
        <x:v>46111111.11111111</x:v>
      </x:c>
      <x:c r="J4785" s="2" t="str">
        <x:v>total</x:v>
      </x:c>
      <x:c r="K4785" s="2" t="str">
        <x:v>top_level_area</x:v>
      </x:c>
      <x:c r="L4785" s="2" t="str">
        <x:v>property_type_inferred_from_title;transaction_assumed_sale_from_dataset_context</x:v>
      </x:c>
      <x:c r="M4785" s="10" t="n">
        <x:v>0</x:v>
      </x:c>
      <x:c r="N4785" s="10" t="n">
        <x:v>0</x:v>
      </x:c>
      <x:c r="O4785" s="2" t="str">
        <x:v>Tp Hồ Chí Minh|house</x:v>
      </x:c>
      <x:c r="P4785" s="10" t="n">
        <x:v>2</x:v>
      </x:c>
      <x:c r="Q4785" s="13" t="n">
        <x:f>IF(H4785="","",H4785/1000000000)</x:f>
        <x:v>0.83</x:v>
      </x:c>
      <x:c r="R4785" s="13" t="n">
        <x:f>IF(I4785="","",I4785/1000000)</x:f>
        <x:v>46.111111111111114</x:v>
      </x:c>
    </x:row>
    <x:row r="4786" ht="21" customHeight="1">
      <x:c r="A4786" s="10" t="n">
        <x:v>6340</x:v>
      </x:c>
      <x:c r="B4786" s="2" t="str">
        <x:v>2856000f59e8efe7482d</x:v>
      </x:c>
      <x:c r="C4786" s="2" t="str">
        <x:v>Đà Nẵng</x:v>
      </x:c>
      <x:c r="D4786" s="2" t="str">
        <x:v>Quận Hải Châu</x:v>
      </x:c>
      <x:c r="E4786" s="2" t="str">
        <x:v>house</x:v>
      </x:c>
      <x:c r="F4786" s="2" t="str">
        <x:v>sale</x:v>
      </x:c>
      <x:c r="G4786" s="11" t="n">
        <x:v>37</x:v>
      </x:c>
      <x:c r="H4786" s="12" t="n">
        <x:v>2180000000</x:v>
      </x:c>
      <x:c r="I4786" s="12" t="n">
        <x:v>58918918.91891892</x:v>
      </x:c>
      <x:c r="J4786" s="2" t="str">
        <x:v>total</x:v>
      </x:c>
      <x:c r="K4786" s="2" t="str">
        <x:v>top_level_area</x:v>
      </x:c>
      <x:c r="L4786" s="2" t="str">
        <x:v>property_type_inferred_from_title</x:v>
      </x:c>
      <x:c r="M4786" s="10" t="n">
        <x:v>0</x:v>
      </x:c>
      <x:c r="N4786" s="10" t="n">
        <x:v>0</x:v>
      </x:c>
      <x:c r="O4786" s="2" t="str">
        <x:v>Đà Nẵng|house</x:v>
      </x:c>
      <x:c r="P4786" s="10" t="n">
        <x:v>2</x:v>
      </x:c>
      <x:c r="Q4786" s="13" t="n">
        <x:f>IF(H4786="","",H4786/1000000000)</x:f>
        <x:v>2.18</x:v>
      </x:c>
      <x:c r="R4786" s="13" t="n">
        <x:f>IF(I4786="","",I4786/1000000)</x:f>
        <x:v>58.91891891891892</x:v>
      </x:c>
    </x:row>
    <x:row r="4787" ht="21" customHeight="1">
      <x:c r="A4787" s="10" t="n">
        <x:v>6341</x:v>
      </x:c>
      <x:c r="B4787" s="2" t="str">
        <x:v>555e39fd37c77d581c70</x:v>
      </x:c>
      <x:c r="C4787" s="2" t="str">
        <x:v>Tp Hồ Chí Minh</x:v>
      </x:c>
      <x:c r="D4787" s="2" t="str">
        <x:v>Quận 9</x:v>
      </x:c>
      <x:c r="E4787" s="2" t="str">
        <x:v>land</x:v>
      </x:c>
      <x:c r="F4787" s="2" t="str">
        <x:v>sale_assumed</x:v>
      </x:c>
      <x:c r="G4787" s="11" t="n">
        <x:v>59</x:v>
      </x:c>
      <x:c r="H4787" s="12" t="n">
        <x:v>1170000000</x:v>
      </x:c>
      <x:c r="I4787" s="12" t="n">
        <x:v>19830508.474576272</x:v>
      </x:c>
      <x:c r="J4787" s="2" t="str">
        <x:v>total</x:v>
      </x:c>
      <x:c r="K4787" s="2" t="str">
        <x:v>top_level_price_embedded_area</x:v>
      </x:c>
      <x:c r="L4787" s="2" t="str">
        <x:v>area_recovered_from_price_text;property_type_inferred_from_title;transaction_assumed_sale_from_dataset_context</x:v>
      </x:c>
      <x:c r="M4787" s="10" t="n">
        <x:v>0</x:v>
      </x:c>
      <x:c r="N4787" s="10" t="n">
        <x:v>0</x:v>
      </x:c>
      <x:c r="O4787" s="2" t="str">
        <x:v>Tp Hồ Chí Minh|land</x:v>
      </x:c>
      <x:c r="P4787" s="10" t="n">
        <x:v>2</x:v>
      </x:c>
      <x:c r="Q4787" s="13" t="n">
        <x:f>IF(H4787="","",H4787/1000000000)</x:f>
        <x:v>1.17</x:v>
      </x:c>
      <x:c r="R4787" s="13" t="n">
        <x:f>IF(I4787="","",I4787/1000000)</x:f>
        <x:v>19.830508474576273</x:v>
      </x:c>
    </x:row>
    <x:row r="4788" ht="21" customHeight="1">
      <x:c r="A4788" s="10" t="n">
        <x:v>6342</x:v>
      </x:c>
      <x:c r="B4788" s="2" t="str">
        <x:v>b481c2f0c945f07f3e59</x:v>
      </x:c>
      <x:c r="C4788" s="2" t="str">
        <x:v>Bà Rịa - Vũng Tàu</x:v>
      </x:c>
      <x:c r="D4788" s="2" t="str">
        <x:v>Thị xã Phú Mỹ</x:v>
      </x:c>
      <x:c r="E4788" s="2" t="str">
        <x:v>other_unknown</x:v>
      </x:c>
      <x:c r="F4788" s="2" t="str">
        <x:v>sale_assumed</x:v>
      </x:c>
      <x:c r="G4788" s="11" t="n">
        <x:v>150</x:v>
      </x:c>
      <x:c r="H4788" s="12" t="n">
        <x:v>550000000</x:v>
      </x:c>
      <x:c r="I4788" s="12" t="n">
        <x:v>3666666.6666666665</x:v>
      </x:c>
      <x:c r="J4788" s="2" t="str">
        <x:v>total</x:v>
      </x:c>
      <x:c r="K4788" s="2" t="str">
        <x:v>top_level_area</x:v>
      </x:c>
      <x:c r="L4788" s="2" t="str">
        <x:v>property_type_inferred_from_title;transaction_assumed_sale_from_dataset_context;unknown_property_type</x:v>
      </x:c>
      <x:c r="M4788" s="10" t="n">
        <x:v>0</x:v>
      </x:c>
      <x:c r="N4788" s="10" t="n">
        <x:v>0</x:v>
      </x:c>
      <x:c r="O4788" s="2" t="str">
        <x:v>other_unknown</x:v>
      </x:c>
      <x:c r="P4788" s="10" t="n">
        <x:v>1</x:v>
      </x:c>
      <x:c r="Q4788" s="13" t="n">
        <x:f>IF(H4788="","",H4788/1000000000)</x:f>
        <x:v>0.55</x:v>
      </x:c>
      <x:c r="R4788" s="13" t="n">
        <x:f>IF(I4788="","",I4788/1000000)</x:f>
        <x:v>3.6666666666666665</x:v>
      </x:c>
    </x:row>
    <x:row r="4789" ht="21" customHeight="1">
      <x:c r="A4789" s="10" t="n">
        <x:v>6343</x:v>
      </x:c>
      <x:c r="B4789" s="2" t="str">
        <x:v>ecd1a06b6bae14852cee</x:v>
      </x:c>
      <x:c r="C4789" s="2" t="str">
        <x:v>Tp Hồ Chí Minh</x:v>
      </x:c>
      <x:c r="D4789" s="2" t="str">
        <x:v>Quận Thủ Đức</x:v>
      </x:c>
      <x:c r="E4789" s="2" t="str">
        <x:v>house</x:v>
      </x:c>
      <x:c r="F4789" s="2" t="str">
        <x:v>sale</x:v>
      </x:c>
      <x:c r="G4789" s="11" t="n">
        <x:v>204</x:v>
      </x:c>
      <x:c r="H4789" s="12" t="n">
        <x:v>7200000000</x:v>
      </x:c>
      <x:c r="I4789" s="12" t="n">
        <x:v>35294117.64705882</x:v>
      </x:c>
      <x:c r="J4789" s="2" t="str">
        <x:v>total</x:v>
      </x:c>
      <x:c r="K4789" s="2" t="str">
        <x:v>top_level_area</x:v>
      </x:c>
      <x:c r="L4789" s="2" t="str">
        <x:v>property_type_inferred_from_title</x:v>
      </x:c>
      <x:c r="M4789" s="10" t="n">
        <x:v>0</x:v>
      </x:c>
      <x:c r="N4789" s="10" t="n">
        <x:v>0</x:v>
      </x:c>
      <x:c r="O4789" s="2" t="str">
        <x:v>Tp Hồ Chí Minh|house</x:v>
      </x:c>
      <x:c r="P4789" s="10" t="n">
        <x:v>2</x:v>
      </x:c>
      <x:c r="Q4789" s="13" t="n">
        <x:f>IF(H4789="","",H4789/1000000000)</x:f>
        <x:v>7.2</x:v>
      </x:c>
      <x:c r="R4789" s="13" t="n">
        <x:f>IF(I4789="","",I4789/1000000)</x:f>
        <x:v>35.29411764705882</x:v>
      </x:c>
    </x:row>
    <x:row r="4790" ht="21" customHeight="1">
      <x:c r="A4790" s="10" t="n">
        <x:v>6344</x:v>
      </x:c>
      <x:c r="B4790" s="2" t="str">
        <x:v>21591d9cf3961ea9daa8</x:v>
      </x:c>
      <x:c r="C4790" s="2" t="str">
        <x:v>Tp Hồ Chí Minh</x:v>
      </x:c>
      <x:c r="D4790" s="2" t="str">
        <x:v>Quận 8</x:v>
      </x:c>
      <x:c r="E4790" s="2" t="str">
        <x:v>other_unknown</x:v>
      </x:c>
      <x:c r="F4790" s="2" t="str">
        <x:v>sale</x:v>
      </x:c>
      <x:c r="G4790" s="11" t="n">
        <x:v>76</x:v>
      </x:c>
      <x:c r="H4790" s="12" t="n">
        <x:v>3400000000</x:v>
      </x:c>
      <x:c r="I4790" s="12" t="n">
        <x:v>44736842.10526316</x:v>
      </x:c>
      <x:c r="J4790" s="2" t="str">
        <x:v>total</x:v>
      </x:c>
      <x:c r="K4790" s="2" t="str">
        <x:v>top_level_area</x:v>
      </x:c>
      <x:c r="L4790" s="2" t="str">
        <x:v>property_type_inferred_from_title;unknown_property_type</x:v>
      </x:c>
      <x:c r="M4790" s="10" t="n">
        <x:v>0</x:v>
      </x:c>
      <x:c r="N4790" s="10" t="n">
        <x:v>0</x:v>
      </x:c>
      <x:c r="O4790" s="2" t="str">
        <x:v>Tp Hồ Chí Minh|other_unknown</x:v>
      </x:c>
      <x:c r="P4790" s="10" t="n">
        <x:v>2</x:v>
      </x:c>
      <x:c r="Q4790" s="13" t="n">
        <x:f>IF(H4790="","",H4790/1000000000)</x:f>
        <x:v>3.4</x:v>
      </x:c>
      <x:c r="R4790" s="13" t="n">
        <x:f>IF(I4790="","",I4790/1000000)</x:f>
        <x:v>44.73684210526316</x:v>
      </x:c>
    </x:row>
    <x:row r="4791" ht="21" customHeight="1">
      <x:c r="A4791" s="10" t="n">
        <x:v>6345</x:v>
      </x:c>
      <x:c r="B4791" s="2" t="str">
        <x:v>42e36c3bf243b62f924d</x:v>
      </x:c>
      <x:c r="C4791" s="2" t="str">
        <x:v>Cần Thơ</x:v>
      </x:c>
      <x:c r="D4791" s="2" t="str">
        <x:v>Quận Ninh Kiều</x:v>
      </x:c>
      <x:c r="E4791" s="2" t="str">
        <x:v>house</x:v>
      </x:c>
      <x:c r="F4791" s="2" t="str">
        <x:v>sale_assumed</x:v>
      </x:c>
      <x:c r="G4791" s="11" t="n">
        <x:v>283</x:v>
      </x:c>
      <x:c r="H4791" s="12" t="n">
        <x:v>5300000000</x:v>
      </x:c>
      <x:c r="I4791" s="12" t="n">
        <x:v>18727915.19434629</x:v>
      </x:c>
      <x:c r="J4791" s="2" t="str">
        <x:v>total</x:v>
      </x:c>
      <x:c r="K4791" s="2" t="str">
        <x:v>top_level_area</x:v>
      </x:c>
      <x:c r="L4791" s="2" t="str">
        <x:v>property_type_inferred_from_title;transaction_assumed_sale_from_dataset_context</x:v>
      </x:c>
      <x:c r="M4791" s="10" t="n">
        <x:v>0</x:v>
      </x:c>
      <x:c r="N4791" s="10" t="n">
        <x:v>0</x:v>
      </x:c>
      <x:c r="O4791" s="2" t="str">
        <x:v>Cần Thơ|house</x:v>
      </x:c>
      <x:c r="P4791" s="10" t="n">
        <x:v>2</x:v>
      </x:c>
      <x:c r="Q4791" s="13" t="n">
        <x:f>IF(H4791="","",H4791/1000000000)</x:f>
        <x:v>5.3</x:v>
      </x:c>
      <x:c r="R4791" s="13" t="n">
        <x:f>IF(I4791="","",I4791/1000000)</x:f>
        <x:v>18.72791519434629</x:v>
      </x:c>
    </x:row>
    <x:row r="4792" ht="21" customHeight="1">
      <x:c r="A4792" s="10" t="n">
        <x:v>6346</x:v>
      </x:c>
      <x:c r="B4792" s="2" t="str">
        <x:v>cc13a022d353ea82283c</x:v>
      </x:c>
      <x:c r="C4792" s="2" t="str">
        <x:v>Đắk Lắk</x:v>
      </x:c>
      <x:c r="D4792" s="2" t="str">
        <x:v>Huyện Buôn Đôn</x:v>
      </x:c>
      <x:c r="E4792" s="2" t="str">
        <x:v>land</x:v>
      </x:c>
      <x:c r="F4792" s="2" t="str">
        <x:v>sale</x:v>
      </x:c>
      <x:c r="G4792" s="11" t="n">
        <x:v>8700</x:v>
      </x:c>
      <x:c r="H4792" s="12" t="n">
        <x:v>700000000</x:v>
      </x:c>
      <x:c r="I4792" s="12" t="n">
        <x:v>80459.77011494253</x:v>
      </x:c>
      <x:c r="J4792" s="2" t="str">
        <x:v>total</x:v>
      </x:c>
      <x:c r="K4792" s="2" t="str">
        <x:v>top_level_area</x:v>
      </x:c>
      <x:c r="L4792" s="2" t="str">
        <x:v>dot_thousands_convention;property_type_inferred_from_title</x:v>
      </x:c>
      <x:c r="M4792" s="10" t="n">
        <x:v>0</x:v>
      </x:c>
      <x:c r="N4792" s="10" t="n">
        <x:v>0</x:v>
      </x:c>
      <x:c r="O4792" s="2" t="str">
        <x:v>Đắk Lắk|land</x:v>
      </x:c>
      <x:c r="P4792" s="10" t="n">
        <x:v>1</x:v>
      </x:c>
      <x:c r="Q4792" s="13" t="n">
        <x:f>IF(H4792="","",H4792/1000000000)</x:f>
        <x:v>0.7</x:v>
      </x:c>
      <x:c r="R4792" s="13" t="n">
        <x:f>IF(I4792="","",I4792/1000000)</x:f>
        <x:v>0.08045977011494253</x:v>
      </x:c>
    </x:row>
    <x:row r="4793" ht="21" customHeight="1">
      <x:c r="A4793" s="10" t="n">
        <x:v>6349</x:v>
      </x:c>
      <x:c r="B4793" s="2" t="str">
        <x:v>38037af1039df091be5d</x:v>
      </x:c>
      <x:c r="C4793" s="2" t="str">
        <x:v>Hà Nội</x:v>
      </x:c>
      <x:c r="D4793" s="2" t="str">
        <x:v>Quận Long Biên</x:v>
      </x:c>
      <x:c r="E4793" s="2" t="str">
        <x:v>other_unknown</x:v>
      </x:c>
      <x:c r="F4793" s="2" t="str">
        <x:v>sale_assumed</x:v>
      </x:c>
      <x:c r="G4793" s="11" t="n">
        <x:v>35</x:v>
      </x:c>
      <x:c r="H4793" s="12" t="n">
        <x:v>2650000000</x:v>
      </x:c>
      <x:c r="I4793" s="12" t="n">
        <x:v>75714285.71428572</x:v>
      </x:c>
      <x:c r="J4793" s="2" t="str">
        <x:v>total</x:v>
      </x:c>
      <x:c r="K4793" s="2" t="str">
        <x:v>top_level_area</x:v>
      </x:c>
      <x:c r="L4793" s="2" t="str">
        <x:v>property_type_inferred_from_title;transaction_assumed_sale_from_dataset_context;unknown_property_type</x:v>
      </x:c>
      <x:c r="M4793" s="10" t="n">
        <x:v>0</x:v>
      </x:c>
      <x:c r="N4793" s="10" t="n">
        <x:v>0</x:v>
      </x:c>
      <x:c r="O4793" s="2" t="str">
        <x:v>Hà Nội|other_unknown</x:v>
      </x:c>
      <x:c r="P4793" s="10" t="n">
        <x:v>2</x:v>
      </x:c>
      <x:c r="Q4793" s="13" t="n">
        <x:f>IF(H4793="","",H4793/1000000000)</x:f>
        <x:v>2.65</x:v>
      </x:c>
      <x:c r="R4793" s="13" t="n">
        <x:f>IF(I4793="","",I4793/1000000)</x:f>
        <x:v>75.71428571428572</x:v>
      </x:c>
    </x:row>
    <x:row r="4794" ht="21" customHeight="1">
      <x:c r="A4794" s="10" t="n">
        <x:v>6350</x:v>
      </x:c>
      <x:c r="B4794" s="2" t="str">
        <x:v>4778cb48e45788a7d922</x:v>
      </x:c>
      <x:c r="C4794" s="2" t="str">
        <x:v>Tp Hồ Chí Minh</x:v>
      </x:c>
      <x:c r="D4794" s="2" t="str">
        <x:v>Huyện Bình Chánh</x:v>
      </x:c>
      <x:c r="E4794" s="2" t="str">
        <x:v>land</x:v>
      </x:c>
      <x:c r="F4794" s="2" t="str">
        <x:v>sale</x:v>
      </x:c>
      <x:c r="G4794" s="11" t="n">
        <x:v>220</x:v>
      </x:c>
      <x:c r="H4794" s="12" t="n">
        <x:v>7200000000</x:v>
      </x:c>
      <x:c r="I4794" s="12" t="n">
        <x:v>32727272.727272727</x:v>
      </x:c>
      <x:c r="J4794" s="2" t="str">
        <x:v>total</x:v>
      </x:c>
      <x:c r="K4794" s="2" t="str">
        <x:v>top_level_area</x:v>
      </x:c>
      <x:c r="L4794" s="2" t="str">
        <x:v>property_type_inferred_from_title</x:v>
      </x:c>
      <x:c r="M4794" s="10" t="n">
        <x:v>0</x:v>
      </x:c>
      <x:c r="N4794" s="10" t="n">
        <x:v>0</x:v>
      </x:c>
      <x:c r="O4794" s="2" t="str">
        <x:v>Tp Hồ Chí Minh|land</x:v>
      </x:c>
      <x:c r="P4794" s="10" t="n">
        <x:v>2</x:v>
      </x:c>
      <x:c r="Q4794" s="13" t="n">
        <x:f>IF(H4794="","",H4794/1000000000)</x:f>
        <x:v>7.2</x:v>
      </x:c>
      <x:c r="R4794" s="13" t="n">
        <x:f>IF(I4794="","",I4794/1000000)</x:f>
        <x:v>32.72727272727273</x:v>
      </x:c>
    </x:row>
    <x:row r="4795" ht="21" customHeight="1">
      <x:c r="A4795" s="10" t="n">
        <x:v>6351</x:v>
      </x:c>
      <x:c r="B4795" s="2" t="str">
        <x:v>25718df02b8fc2d0b604</x:v>
      </x:c>
      <x:c r="C4795" s="2" t="str">
        <x:v>Tp Hồ Chí Minh</x:v>
      </x:c>
      <x:c r="D4795" s="2" t="str">
        <x:v>Quận Thủ Đức</x:v>
      </x:c>
      <x:c r="E4795" s="2" t="str">
        <x:v>land</x:v>
      </x:c>
      <x:c r="F4795" s="2" t="str">
        <x:v>sale_assumed</x:v>
      </x:c>
      <x:c r="G4795" s="11" t="n">
        <x:v>49.8</x:v>
      </x:c>
      <x:c r="H4795" s="12" t="n">
        <x:v>1070000000.0000001</x:v>
      </x:c>
      <x:c r="I4795" s="12" t="n">
        <x:v>21485943.775100406</x:v>
      </x:c>
      <x:c r="J4795" s="2" t="str">
        <x:v>total</x:v>
      </x:c>
      <x:c r="K4795" s="2" t="str">
        <x:v>top_level_area</x:v>
      </x:c>
      <x:c r="L4795" s="2" t="str">
        <x:v>property_type_inferred_from_title;transaction_assumed_sale_from_dataset_context</x:v>
      </x:c>
      <x:c r="M4795" s="10" t="n">
        <x:v>0</x:v>
      </x:c>
      <x:c r="N4795" s="10" t="n">
        <x:v>0</x:v>
      </x:c>
      <x:c r="O4795" s="2" t="str">
        <x:v>Tp Hồ Chí Minh|land</x:v>
      </x:c>
      <x:c r="P4795" s="10" t="n">
        <x:v>2</x:v>
      </x:c>
      <x:c r="Q4795" s="13" t="n">
        <x:f>IF(H4795="","",H4795/1000000000)</x:f>
        <x:v>1.07</x:v>
      </x:c>
      <x:c r="R4795" s="13" t="n">
        <x:f>IF(I4795="","",I4795/1000000)</x:f>
        <x:v>21.485943775100406</x:v>
      </x:c>
    </x:row>
    <x:row r="4796" ht="21" customHeight="1">
      <x:c r="A4796" s="10" t="n">
        <x:v>6352</x:v>
      </x:c>
      <x:c r="B4796" s="2" t="str">
        <x:v>9f6475be31994f0ec3ae</x:v>
      </x:c>
      <x:c r="C4796" s="2" t="str">
        <x:v>Tp Hồ Chí Minh</x:v>
      </x:c>
      <x:c r="D4796" s="2" t="str">
        <x:v>Quận 10</x:v>
      </x:c>
      <x:c r="E4796" s="2" t="str">
        <x:v>house</x:v>
      </x:c>
      <x:c r="F4796" s="2" t="str">
        <x:v>sale</x:v>
      </x:c>
      <x:c r="G4796" s="11" t="n">
        <x:v>40</x:v>
      </x:c>
      <x:c r="H4796" s="12" t="n">
        <x:v>1490000000</x:v>
      </x:c>
      <x:c r="I4796" s="12" t="n">
        <x:v>37250000</x:v>
      </x:c>
      <x:c r="J4796" s="2" t="str">
        <x:v>total</x:v>
      </x:c>
      <x:c r="K4796" s="2" t="str">
        <x:v>top_level_area</x:v>
      </x:c>
      <x:c r="L4796" s="2" t="str">
        <x:v>property_type_inferred_from_title</x:v>
      </x:c>
      <x:c r="M4796" s="10" t="n">
        <x:v>0</x:v>
      </x:c>
      <x:c r="N4796" s="10" t="n">
        <x:v>0</x:v>
      </x:c>
      <x:c r="O4796" s="2" t="str">
        <x:v>Tp Hồ Chí Minh|house</x:v>
      </x:c>
      <x:c r="P4796" s="10" t="n">
        <x:v>2</x:v>
      </x:c>
      <x:c r="Q4796" s="13" t="n">
        <x:f>IF(H4796="","",H4796/1000000000)</x:f>
        <x:v>1.49</x:v>
      </x:c>
      <x:c r="R4796" s="13" t="n">
        <x:f>IF(I4796="","",I4796/1000000)</x:f>
        <x:v>37.25</x:v>
      </x:c>
    </x:row>
    <x:row r="4797" ht="21" customHeight="1">
      <x:c r="A4797" s="10" t="n">
        <x:v>6353</x:v>
      </x:c>
      <x:c r="B4797" s="2" t="str">
        <x:v>114aa535453a331d3b3e</x:v>
      </x:c>
      <x:c r="C4797" s="2" t="str">
        <x:v>Tp Hồ Chí Minh</x:v>
      </x:c>
      <x:c r="D4797" s="2" t="str">
        <x:v>Quận 9</x:v>
      </x:c>
      <x:c r="E4797" s="2" t="str">
        <x:v>house</x:v>
      </x:c>
      <x:c r="F4797" s="2" t="str">
        <x:v>sale_assumed</x:v>
      </x:c>
      <x:c r="G4797" s="11" t="n">
        <x:v>60</x:v>
      </x:c>
      <x:c r="H4797" s="12" t="n">
        <x:v>1350000000</x:v>
      </x:c>
      <x:c r="I4797" s="12" t="n">
        <x:v>22500000</x:v>
      </x:c>
      <x:c r="J4797" s="2" t="str">
        <x:v>total</x:v>
      </x:c>
      <x:c r="K4797" s="2" t="str">
        <x:v>top_level_price_embedded_area</x:v>
      </x:c>
      <x:c r="L4797" s="2" t="str">
        <x:v>area_recovered_from_price_text;property_type_inferred_from_title;transaction_assumed_sale_from_dataset_context</x:v>
      </x:c>
      <x:c r="M4797" s="10" t="n">
        <x:v>0</x:v>
      </x:c>
      <x:c r="N4797" s="10" t="n">
        <x:v>0</x:v>
      </x:c>
      <x:c r="O4797" s="2" t="str">
        <x:v>Tp Hồ Chí Minh|house</x:v>
      </x:c>
      <x:c r="P4797" s="10" t="n">
        <x:v>2</x:v>
      </x:c>
      <x:c r="Q4797" s="13" t="n">
        <x:f>IF(H4797="","",H4797/1000000000)</x:f>
        <x:v>1.35</x:v>
      </x:c>
      <x:c r="R4797" s="13" t="n">
        <x:f>IF(I4797="","",I4797/1000000)</x:f>
        <x:v>22.5</x:v>
      </x:c>
    </x:row>
    <x:row r="4798" ht="21" customHeight="1">
      <x:c r="A4798" s="10" t="n">
        <x:v>6354</x:v>
      </x:c>
      <x:c r="B4798" s="2" t="str">
        <x:v>bccf262b80266a0176a1</x:v>
      </x:c>
      <x:c r="C4798" s="2" t="str">
        <x:v>Tp Hồ Chí Minh</x:v>
      </x:c>
      <x:c r="D4798" s="2" t="str">
        <x:v>Quận Thủ Đức</x:v>
      </x:c>
      <x:c r="E4798" s="2" t="str">
        <x:v>land</x:v>
      </x:c>
      <x:c r="F4798" s="2" t="str">
        <x:v>sale_assumed</x:v>
      </x:c>
      <x:c r="G4798" s="11" t="n">
        <x:v>64</x:v>
      </x:c>
      <x:c r="H4798" s="12" t="n">
        <x:v>2048000000</x:v>
      </x:c>
      <x:c r="I4798" s="12" t="n">
        <x:v>32000000</x:v>
      </x:c>
      <x:c r="J4798" s="2" t="str">
        <x:v>total</x:v>
      </x:c>
      <x:c r="K4798" s="2" t="str">
        <x:v>top_level_area</x:v>
      </x:c>
      <x:c r="L4798" s="2" t="str">
        <x:v>property_type_inferred_from_title;transaction_assumed_sale_from_dataset_context</x:v>
      </x:c>
      <x:c r="M4798" s="10" t="n">
        <x:v>0</x:v>
      </x:c>
      <x:c r="N4798" s="10" t="n">
        <x:v>0</x:v>
      </x:c>
      <x:c r="O4798" s="2" t="str">
        <x:v>Tp Hồ Chí Minh|land</x:v>
      </x:c>
      <x:c r="P4798" s="10" t="n">
        <x:v>2</x:v>
      </x:c>
      <x:c r="Q4798" s="13" t="n">
        <x:f>IF(H4798="","",H4798/1000000000)</x:f>
        <x:v>2.048</x:v>
      </x:c>
      <x:c r="R4798" s="13" t="n">
        <x:f>IF(I4798="","",I4798/1000000)</x:f>
        <x:v>32</x:v>
      </x:c>
    </x:row>
    <x:row r="4799" ht="21" customHeight="1">
      <x:c r="A4799" s="10" t="n">
        <x:v>6355</x:v>
      </x:c>
      <x:c r="B4799" s="2" t="str">
        <x:v>0b4df8fc82087821940b</x:v>
      </x:c>
      <x:c r="C4799" s="2" t="str">
        <x:v>Tp Hồ Chí Minh</x:v>
      </x:c>
      <x:c r="D4799" s="2" t="str">
        <x:v>Quận Gò Vấp</x:v>
      </x:c>
      <x:c r="E4799" s="2" t="str">
        <x:v>house</x:v>
      </x:c>
      <x:c r="F4799" s="2" t="str">
        <x:v>sale</x:v>
      </x:c>
      <x:c r="G4799" s="11" t="n">
        <x:v>35</x:v>
      </x:c>
      <x:c r="H4799" s="12" t="n">
        <x:v>3450000000</x:v>
      </x:c>
      <x:c r="I4799" s="12" t="n">
        <x:v>98571428.57142857</x:v>
      </x:c>
      <x:c r="J4799" s="2" t="str">
        <x:v>total</x:v>
      </x:c>
      <x:c r="K4799" s="2" t="str">
        <x:v>top_level_area</x:v>
      </x:c>
      <x:c r="L4799" s="2" t="str">
        <x:v>property_type_inferred_from_title</x:v>
      </x:c>
      <x:c r="M4799" s="10" t="n">
        <x:v>0</x:v>
      </x:c>
      <x:c r="N4799" s="10" t="n">
        <x:v>0</x:v>
      </x:c>
      <x:c r="O4799" s="2" t="str">
        <x:v>Tp Hồ Chí Minh|house</x:v>
      </x:c>
      <x:c r="P4799" s="10" t="n">
        <x:v>2</x:v>
      </x:c>
      <x:c r="Q4799" s="13" t="n">
        <x:f>IF(H4799="","",H4799/1000000000)</x:f>
        <x:v>3.45</x:v>
      </x:c>
      <x:c r="R4799" s="13" t="n">
        <x:f>IF(I4799="","",I4799/1000000)</x:f>
        <x:v>98.57142857142857</x:v>
      </x:c>
    </x:row>
    <x:row r="4800" ht="21" customHeight="1">
      <x:c r="A4800" s="10" t="n">
        <x:v>6356</x:v>
      </x:c>
      <x:c r="B4800" s="2" t="str">
        <x:v>eae43aed58b12ebdb903</x:v>
      </x:c>
      <x:c r="C4800" s="2" t="str">
        <x:v>Hà Nội</x:v>
      </x:c>
      <x:c r="D4800" s="2" t="str">
        <x:v>Quận Hai Bà Trưng</x:v>
      </x:c>
      <x:c r="E4800" s="2" t="str">
        <x:v>house</x:v>
      </x:c>
      <x:c r="F4800" s="2" t="str">
        <x:v>sale</x:v>
      </x:c>
      <x:c r="G4800" s="11" t="n">
        <x:v>31</x:v>
      </x:c>
      <x:c r="H4800" s="12" t="n">
        <x:v>2780000000</x:v>
      </x:c>
      <x:c r="I4800" s="12" t="n">
        <x:v>89677419.35483871</x:v>
      </x:c>
      <x:c r="J4800" s="2" t="str">
        <x:v>total</x:v>
      </x:c>
      <x:c r="K4800" s="2" t="str">
        <x:v>top_level_area</x:v>
      </x:c>
      <x:c r="L4800" s="2" t="str">
        <x:v>property_type_inferred_from_title</x:v>
      </x:c>
      <x:c r="M4800" s="10" t="n">
        <x:v>0</x:v>
      </x:c>
      <x:c r="N4800" s="10" t="n">
        <x:v>0</x:v>
      </x:c>
      <x:c r="O4800" s="2" t="str">
        <x:v>Hà Nội|house</x:v>
      </x:c>
      <x:c r="P4800" s="10" t="n">
        <x:v>2</x:v>
      </x:c>
      <x:c r="Q4800" s="13" t="n">
        <x:f>IF(H4800="","",H4800/1000000000)</x:f>
        <x:v>2.78</x:v>
      </x:c>
      <x:c r="R4800" s="13" t="n">
        <x:f>IF(I4800="","",I4800/1000000)</x:f>
        <x:v>89.67741935483872</x:v>
      </x:c>
    </x:row>
    <x:row r="4801" ht="21" customHeight="1">
      <x:c r="A4801" s="10" t="n">
        <x:v>6357</x:v>
      </x:c>
      <x:c r="B4801" s="2" t="str">
        <x:v>9eb8b5d168029107056c</x:v>
      </x:c>
      <x:c r="C4801" s="2" t="str">
        <x:v>Cần Thơ</x:v>
      </x:c>
      <x:c r="D4801" s="2" t="str">
        <x:v>Quận Cái Răng</x:v>
      </x:c>
      <x:c r="E4801" s="2" t="str">
        <x:v>apartment</x:v>
      </x:c>
      <x:c r="F4801" s="2" t="str">
        <x:v>sale</x:v>
      </x:c>
      <x:c r="G4801" s="11" t="n">
        <x:v>36.2</x:v>
      </x:c>
      <x:c r="H4801" s="12" t="n">
        <x:v>620000000</x:v>
      </x:c>
      <x:c r="I4801" s="12" t="n">
        <x:v>17127071.823204417</x:v>
      </x:c>
      <x:c r="J4801" s="2" t="str">
        <x:v>total</x:v>
      </x:c>
      <x:c r="K4801" s="2" t="str">
        <x:v>top_level_area</x:v>
      </x:c>
      <x:c r="L4801" s="2" t="str">
        <x:v>property_type_inferred_from_title</x:v>
      </x:c>
      <x:c r="M4801" s="10" t="n">
        <x:v>0</x:v>
      </x:c>
      <x:c r="N4801" s="10" t="n">
        <x:v>0</x:v>
      </x:c>
      <x:c r="O4801" s="2" t="str">
        <x:v>apartment</x:v>
      </x:c>
      <x:c r="P4801" s="10" t="n">
        <x:v>2</x:v>
      </x:c>
      <x:c r="Q4801" s="13" t="n">
        <x:f>IF(H4801="","",H4801/1000000000)</x:f>
        <x:v>0.62</x:v>
      </x:c>
      <x:c r="R4801" s="13" t="n">
        <x:f>IF(I4801="","",I4801/1000000)</x:f>
        <x:v>17.127071823204417</x:v>
      </x:c>
    </x:row>
    <x:row r="4802" ht="21" customHeight="1">
      <x:c r="A4802" s="10" t="n">
        <x:v>6358</x:v>
      </x:c>
      <x:c r="B4802" s="2" t="str">
        <x:v>9b221c057ab933b216bd</x:v>
      </x:c>
      <x:c r="C4802" s="2" t="str">
        <x:v>Hà Nội</x:v>
      </x:c>
      <x:c r="D4802" s="2" t="str">
        <x:v>Quận Hoàng Mai</x:v>
      </x:c>
      <x:c r="E4802" s="2" t="str">
        <x:v>other_unknown</x:v>
      </x:c>
      <x:c r="F4802" s="2" t="str">
        <x:v>sale</x:v>
      </x:c>
      <x:c r="G4802" s="11" t="n">
        <x:v>35</x:v>
      </x:c>
      <x:c r="H4802" s="12" t="n">
        <x:v>2600000000</x:v>
      </x:c>
      <x:c r="I4802" s="12" t="n">
        <x:v>74285714.28571428</x:v>
      </x:c>
      <x:c r="J4802" s="2" t="str">
        <x:v>total</x:v>
      </x:c>
      <x:c r="K4802" s="2" t="str">
        <x:v>top_level_area</x:v>
      </x:c>
      <x:c r="L4802" s="2" t="str">
        <x:v>property_type_inferred_from_title;unknown_property_type</x:v>
      </x:c>
      <x:c r="M4802" s="10" t="n">
        <x:v>0</x:v>
      </x:c>
      <x:c r="N4802" s="10" t="n">
        <x:v>0</x:v>
      </x:c>
      <x:c r="O4802" s="2" t="str">
        <x:v>Hà Nội|other_unknown</x:v>
      </x:c>
      <x:c r="P4802" s="10" t="n">
        <x:v>2</x:v>
      </x:c>
      <x:c r="Q4802" s="13" t="n">
        <x:f>IF(H4802="","",H4802/1000000000)</x:f>
        <x:v>2.6</x:v>
      </x:c>
      <x:c r="R4802" s="13" t="n">
        <x:f>IF(I4802="","",I4802/1000000)</x:f>
        <x:v>74.28571428571428</x:v>
      </x:c>
    </x:row>
    <x:row r="4803" ht="21" customHeight="1">
      <x:c r="A4803" s="10" t="n">
        <x:v>6359</x:v>
      </x:c>
      <x:c r="B4803" s="2" t="str">
        <x:v>97060d6371710d048c6d</x:v>
      </x:c>
      <x:c r="C4803" s="2" t="str">
        <x:v>Đà Nẵng</x:v>
      </x:c>
      <x:c r="D4803" s="2" t="str">
        <x:v>Huyện Hòa Vang</x:v>
      </x:c>
      <x:c r="E4803" s="2" t="str">
        <x:v>other_unknown</x:v>
      </x:c>
      <x:c r="F4803" s="2" t="str">
        <x:v>sale_assumed</x:v>
      </x:c>
      <x:c r="G4803" s="11" t="n">
        <x:v>101</x:v>
      </x:c>
      <x:c r="H4803" s="12" t="n">
        <x:v>1050000000</x:v>
      </x:c>
      <x:c r="I4803" s="12" t="n">
        <x:v>10396039.603960397</x:v>
      </x:c>
      <x:c r="J4803" s="2" t="str">
        <x:v>total</x:v>
      </x:c>
      <x:c r="K4803" s="2" t="str">
        <x:v>top_level_area</x:v>
      </x:c>
      <x:c r="L4803" s="2" t="str">
        <x:v>property_type_inferred_from_title;transaction_assumed_sale_from_dataset_context;unknown_property_type</x:v>
      </x:c>
      <x:c r="M4803" s="10" t="n">
        <x:v>0</x:v>
      </x:c>
      <x:c r="N4803" s="10" t="n">
        <x:v>0</x:v>
      </x:c>
      <x:c r="O4803" s="2" t="str">
        <x:v>Đà Nẵng|other_unknown</x:v>
      </x:c>
      <x:c r="P4803" s="10" t="n">
        <x:v>2</x:v>
      </x:c>
      <x:c r="Q4803" s="13" t="n">
        <x:f>IF(H4803="","",H4803/1000000000)</x:f>
        <x:v>1.05</x:v>
      </x:c>
      <x:c r="R4803" s="13" t="n">
        <x:f>IF(I4803="","",I4803/1000000)</x:f>
        <x:v>10.396039603960396</x:v>
      </x:c>
    </x:row>
    <x:row r="4804" ht="21" customHeight="1">
      <x:c r="A4804" s="10" t="n">
        <x:v>6360</x:v>
      </x:c>
      <x:c r="B4804" s="2" t="str">
        <x:v>52e76fb6d91d805aead1</x:v>
      </x:c>
      <x:c r="C4804" s="2" t="str">
        <x:v>Hà Nội</x:v>
      </x:c>
      <x:c r="D4804" s="2" t="str">
        <x:v>Quận Hoàng Mai</x:v>
      </x:c>
      <x:c r="E4804" s="2" t="str">
        <x:v>other_unknown</x:v>
      </x:c>
      <x:c r="F4804" s="2" t="str">
        <x:v>sale_assumed</x:v>
      </x:c>
      <x:c r="G4804" s="11" t="n">
        <x:v>40</x:v>
      </x:c>
      <x:c r="H4804" s="12" t="n">
        <x:v>2800000000</x:v>
      </x:c>
      <x:c r="I4804" s="12" t="n">
        <x:v>70000000</x:v>
      </x:c>
      <x:c r="J4804" s="2" t="str">
        <x:v>total</x:v>
      </x:c>
      <x:c r="K4804" s="2" t="str">
        <x:v>top_level_area</x:v>
      </x:c>
      <x:c r="L4804" s="2" t="str">
        <x:v>property_type_inferred_from_title;transaction_assumed_sale_from_dataset_context;unknown_property_type</x:v>
      </x:c>
      <x:c r="M4804" s="10" t="n">
        <x:v>0</x:v>
      </x:c>
      <x:c r="N4804" s="10" t="n">
        <x:v>0</x:v>
      </x:c>
      <x:c r="O4804" s="2" t="str">
        <x:v>Hà Nội|other_unknown</x:v>
      </x:c>
      <x:c r="P4804" s="10" t="n">
        <x:v>2</x:v>
      </x:c>
      <x:c r="Q4804" s="13" t="n">
        <x:f>IF(H4804="","",H4804/1000000000)</x:f>
        <x:v>2.8</x:v>
      </x:c>
      <x:c r="R4804" s="13" t="n">
        <x:f>IF(I4804="","",I4804/1000000)</x:f>
        <x:v>70</x:v>
      </x:c>
    </x:row>
    <x:row r="4805" ht="21" customHeight="1">
      <x:c r="A4805" s="10" t="n">
        <x:v>6361</x:v>
      </x:c>
      <x:c r="B4805" s="2" t="str">
        <x:v>8d0596e9b3de452fc02b</x:v>
      </x:c>
      <x:c r="C4805" s="2" t="str">
        <x:v>Tp Hồ Chí Minh</x:v>
      </x:c>
      <x:c r="D4805" s="2" t="str">
        <x:v>Huyện Củ Chi</x:v>
      </x:c>
      <x:c r="E4805" s="2" t="str">
        <x:v>land</x:v>
      </x:c>
      <x:c r="F4805" s="2" t="str">
        <x:v>sale_assumed</x:v>
      </x:c>
      <x:c r="G4805" s="11" t="n">
        <x:v>300</x:v>
      </x:c>
      <x:c r="H4805" s="12" t="n">
        <x:v>1400000000</x:v>
      </x:c>
      <x:c r="I4805" s="12" t="n">
        <x:v>4666666.666666667</x:v>
      </x:c>
      <x:c r="J4805" s="2" t="str">
        <x:v>total</x:v>
      </x:c>
      <x:c r="K4805" s="2" t="str">
        <x:v>top_level_area</x:v>
      </x:c>
      <x:c r="L4805" s="2" t="str">
        <x:v>property_type_inferred_from_title;transaction_assumed_sale_from_dataset_context</x:v>
      </x:c>
      <x:c r="M4805" s="10" t="n">
        <x:v>0</x:v>
      </x:c>
      <x:c r="N4805" s="10" t="n">
        <x:v>0</x:v>
      </x:c>
      <x:c r="O4805" s="2" t="str">
        <x:v>Tp Hồ Chí Minh|land</x:v>
      </x:c>
      <x:c r="P4805" s="10" t="n">
        <x:v>1</x:v>
      </x:c>
      <x:c r="Q4805" s="13" t="n">
        <x:f>IF(H4805="","",H4805/1000000000)</x:f>
        <x:v>1.4</x:v>
      </x:c>
      <x:c r="R4805" s="13" t="n">
        <x:f>IF(I4805="","",I4805/1000000)</x:f>
        <x:v>4.666666666666667</x:v>
      </x:c>
    </x:row>
    <x:row r="4806" ht="21" customHeight="1">
      <x:c r="A4806" s="10" t="n">
        <x:v>6362</x:v>
      </x:c>
      <x:c r="B4806" s="2" t="str">
        <x:v>62d442da856856e51630</x:v>
      </x:c>
      <x:c r="C4806" s="2" t="str">
        <x:v>Khánh Hòa</x:v>
      </x:c>
      <x:c r="D4806" s="2" t="str">
        <x:v>Thành phố Nha Trang</x:v>
      </x:c>
      <x:c r="E4806" s="2" t="str">
        <x:v>other_unknown</x:v>
      </x:c>
      <x:c r="F4806" s="2" t="str">
        <x:v>sale</x:v>
      </x:c>
      <x:c r="G4806" s="11" t="n">
        <x:v>92</x:v>
      </x:c>
      <x:c r="H4806" s="12" t="n">
        <x:v>275000000</x:v>
      </x:c>
      <x:c r="I4806" s="12" t="n">
        <x:v>2989130.434782609</x:v>
      </x:c>
      <x:c r="J4806" s="2" t="str">
        <x:v>total</x:v>
      </x:c>
      <x:c r="K4806" s="2" t="str">
        <x:v>top_level_area</x:v>
      </x:c>
      <x:c r="L4806" s="2" t="str">
        <x:v>property_type_inferred_from_title;unknown_property_type</x:v>
      </x:c>
      <x:c r="M4806" s="10" t="n">
        <x:v>0</x:v>
      </x:c>
      <x:c r="N4806" s="10" t="n">
        <x:v>0</x:v>
      </x:c>
      <x:c r="O4806" s="2" t="str">
        <x:v>other_unknown</x:v>
      </x:c>
      <x:c r="P4806" s="10" t="n">
        <x:v>2</x:v>
      </x:c>
      <x:c r="Q4806" s="13" t="n">
        <x:f>IF(H4806="","",H4806/1000000000)</x:f>
        <x:v>0.275</x:v>
      </x:c>
      <x:c r="R4806" s="13" t="n">
        <x:f>IF(I4806="","",I4806/1000000)</x:f>
        <x:v>2.989130434782609</x:v>
      </x:c>
    </x:row>
    <x:row r="4807" ht="21" customHeight="1">
      <x:c r="A4807" s="10" t="n">
        <x:v>6363</x:v>
      </x:c>
      <x:c r="B4807" s="2" t="str">
        <x:v>33f6c82ed168bac7b397</x:v>
      </x:c>
      <x:c r="C4807" s="2" t="str">
        <x:v>Tp Hồ Chí Minh</x:v>
      </x:c>
      <x:c r="D4807" s="2" t="str">
        <x:v>Quận Bình Tân</x:v>
      </x:c>
      <x:c r="E4807" s="2" t="str">
        <x:v>house</x:v>
      </x:c>
      <x:c r="F4807" s="2" t="str">
        <x:v>sale</x:v>
      </x:c>
      <x:c r="G4807" s="11" t="n">
        <x:v>54</x:v>
      </x:c>
      <x:c r="H4807" s="12" t="n">
        <x:v>966000000</x:v>
      </x:c>
      <x:c r="I4807" s="12" t="n">
        <x:v>17888888.888888888</x:v>
      </x:c>
      <x:c r="J4807" s="2" t="str">
        <x:v>total</x:v>
      </x:c>
      <x:c r="K4807" s="2" t="str">
        <x:v>top_level_area</x:v>
      </x:c>
      <x:c r="L4807" s="2" t="str">
        <x:v>property_type_inferred_from_title</x:v>
      </x:c>
      <x:c r="M4807" s="10" t="n">
        <x:v>0</x:v>
      </x:c>
      <x:c r="N4807" s="10" t="n">
        <x:v>0</x:v>
      </x:c>
      <x:c r="O4807" s="2" t="str">
        <x:v>Tp Hồ Chí Minh|house</x:v>
      </x:c>
      <x:c r="P4807" s="10" t="n">
        <x:v>2</x:v>
      </x:c>
      <x:c r="Q4807" s="13" t="n">
        <x:f>IF(H4807="","",H4807/1000000000)</x:f>
        <x:v>0.966</x:v>
      </x:c>
      <x:c r="R4807" s="13" t="n">
        <x:f>IF(I4807="","",I4807/1000000)</x:f>
        <x:v>17.88888888888889</x:v>
      </x:c>
    </x:row>
    <x:row r="4808" ht="21" customHeight="1">
      <x:c r="A4808" s="10" t="n">
        <x:v>6364</x:v>
      </x:c>
      <x:c r="B4808" s="2" t="str">
        <x:v>87c29934a055e1d0b236</x:v>
      </x:c>
      <x:c r="C4808" s="2" t="str">
        <x:v>Tp Hồ Chí Minh</x:v>
      </x:c>
      <x:c r="D4808" s="2" t="str">
        <x:v>Quận 2</x:v>
      </x:c>
      <x:c r="E4808" s="2" t="str">
        <x:v>house</x:v>
      </x:c>
      <x:c r="F4808" s="2" t="str">
        <x:v>sale</x:v>
      </x:c>
      <x:c r="G4808" s="11" t="n">
        <x:v>55</x:v>
      </x:c>
      <x:c r="H4808" s="12" t="n">
        <x:v>1210000000</x:v>
      </x:c>
      <x:c r="I4808" s="12" t="n">
        <x:v>22000000</x:v>
      </x:c>
      <x:c r="J4808" s="2" t="str">
        <x:v>total</x:v>
      </x:c>
      <x:c r="K4808" s="2" t="str">
        <x:v>top_level_area</x:v>
      </x:c>
      <x:c r="L4808" s="2" t="str">
        <x:v>property_type_inferred_from_title</x:v>
      </x:c>
      <x:c r="M4808" s="10" t="n">
        <x:v>0</x:v>
      </x:c>
      <x:c r="N4808" s="10" t="n">
        <x:v>0</x:v>
      </x:c>
      <x:c r="O4808" s="2" t="str">
        <x:v>Tp Hồ Chí Minh|house</x:v>
      </x:c>
      <x:c r="P4808" s="10" t="n">
        <x:v>2</x:v>
      </x:c>
      <x:c r="Q4808" s="13" t="n">
        <x:f>IF(H4808="","",H4808/1000000000)</x:f>
        <x:v>1.21</x:v>
      </x:c>
      <x:c r="R4808" s="13" t="n">
        <x:f>IF(I4808="","",I4808/1000000)</x:f>
        <x:v>22</x:v>
      </x:c>
    </x:row>
    <x:row r="4809" ht="21" customHeight="1">
      <x:c r="A4809" s="10" t="n">
        <x:v>6365</x:v>
      </x:c>
      <x:c r="B4809" s="2" t="str">
        <x:v>6ded6d59a18c399d823f</x:v>
      </x:c>
      <x:c r="C4809" s="2" t="str">
        <x:v>Tp Hồ Chí Minh</x:v>
      </x:c>
      <x:c r="D4809" s="2" t="str">
        <x:v>Quận Gò Vấp</x:v>
      </x:c>
      <x:c r="E4809" s="2" t="str">
        <x:v>house</x:v>
      </x:c>
      <x:c r="F4809" s="2" t="str">
        <x:v>sale</x:v>
      </x:c>
      <x:c r="G4809" s="11" t="n">
        <x:v>55</x:v>
      </x:c>
      <x:c r="H4809" s="12" t="n">
        <x:v>1460000000</x:v>
      </x:c>
      <x:c r="I4809" s="12" t="n">
        <x:v>26545454.545454547</x:v>
      </x:c>
      <x:c r="J4809" s="2" t="str">
        <x:v>total</x:v>
      </x:c>
      <x:c r="K4809" s="2" t="str">
        <x:v>top_level_area</x:v>
      </x:c>
      <x:c r="L4809" s="2" t="str">
        <x:v>property_type_inferred_from_title</x:v>
      </x:c>
      <x:c r="M4809" s="10" t="n">
        <x:v>0</x:v>
      </x:c>
      <x:c r="N4809" s="10" t="n">
        <x:v>0</x:v>
      </x:c>
      <x:c r="O4809" s="2" t="str">
        <x:v>Tp Hồ Chí Minh|house</x:v>
      </x:c>
      <x:c r="P4809" s="10" t="n">
        <x:v>2</x:v>
      </x:c>
      <x:c r="Q4809" s="13" t="n">
        <x:f>IF(H4809="","",H4809/1000000000)</x:f>
        <x:v>1.46</x:v>
      </x:c>
      <x:c r="R4809" s="13" t="n">
        <x:f>IF(I4809="","",I4809/1000000)</x:f>
        <x:v>26.545454545454547</x:v>
      </x:c>
    </x:row>
    <x:row r="4810" ht="21" customHeight="1">
      <x:c r="A4810" s="10" t="n">
        <x:v>6366</x:v>
      </x:c>
      <x:c r="B4810" s="2" t="str">
        <x:v>015ad7d4c0e09b057042</x:v>
      </x:c>
      <x:c r="C4810" s="2" t="str">
        <x:v>Tp Hồ Chí Minh</x:v>
      </x:c>
      <x:c r="D4810" s="2" t="str">
        <x:v>Quận Bình Thạnh</x:v>
      </x:c>
      <x:c r="E4810" s="2" t="str">
        <x:v>house</x:v>
      </x:c>
      <x:c r="F4810" s="2" t="str">
        <x:v>sale</x:v>
      </x:c>
      <x:c r="G4810" s="11" t="n">
        <x:v>56</x:v>
      </x:c>
      <x:c r="H4810" s="12" t="n">
        <x:v>710000000</x:v>
      </x:c>
      <x:c r="I4810" s="12" t="n">
        <x:v>12678571.42857143</x:v>
      </x:c>
      <x:c r="J4810" s="2" t="str">
        <x:v>total</x:v>
      </x:c>
      <x:c r="K4810" s="2" t="str">
        <x:v>top_level_area</x:v>
      </x:c>
      <x:c r="L4810" s="2" t="str">
        <x:v>property_type_inferred_from_title</x:v>
      </x:c>
      <x:c r="M4810" s="10" t="n">
        <x:v>0</x:v>
      </x:c>
      <x:c r="N4810" s="10" t="n">
        <x:v>0</x:v>
      </x:c>
      <x:c r="O4810" s="2" t="str">
        <x:v>Tp Hồ Chí Minh|house</x:v>
      </x:c>
      <x:c r="P4810" s="10" t="n">
        <x:v>2</x:v>
      </x:c>
      <x:c r="Q4810" s="13" t="n">
        <x:f>IF(H4810="","",H4810/1000000000)</x:f>
        <x:v>0.71</x:v>
      </x:c>
      <x:c r="R4810" s="13" t="n">
        <x:f>IF(I4810="","",I4810/1000000)</x:f>
        <x:v>12.678571428571429</x:v>
      </x:c>
    </x:row>
    <x:row r="4811" ht="21" customHeight="1">
      <x:c r="A4811" s="10" t="n">
        <x:v>6367</x:v>
      </x:c>
      <x:c r="B4811" s="2" t="str">
        <x:v>3e4d01e28add9b8f92a0</x:v>
      </x:c>
      <x:c r="C4811" s="2" t="str">
        <x:v>Tp Hồ Chí Minh</x:v>
      </x:c>
      <x:c r="D4811" s="2" t="str">
        <x:v>Huyện Nhà Bè</x:v>
      </x:c>
      <x:c r="E4811" s="2" t="str">
        <x:v>house</x:v>
      </x:c>
      <x:c r="F4811" s="2" t="str">
        <x:v>sale_assumed</x:v>
      </x:c>
      <x:c r="G4811" s="11" t="n">
        <x:v>32</x:v>
      </x:c>
      <x:c r="H4811" s="12" t="n">
        <x:v>1350000000</x:v>
      </x:c>
      <x:c r="I4811" s="12" t="n">
        <x:v>42187500</x:v>
      </x:c>
      <x:c r="J4811" s="2" t="str">
        <x:v>total</x:v>
      </x:c>
      <x:c r="K4811" s="2" t="str">
        <x:v>top_level_area</x:v>
      </x:c>
      <x:c r="L4811" s="2" t="str">
        <x:v>property_type_inferred_from_title;transaction_assumed_sale_from_dataset_context</x:v>
      </x:c>
      <x:c r="M4811" s="10" t="n">
        <x:v>0</x:v>
      </x:c>
      <x:c r="N4811" s="10" t="n">
        <x:v>0</x:v>
      </x:c>
      <x:c r="O4811" s="2" t="str">
        <x:v>Tp Hồ Chí Minh|house</x:v>
      </x:c>
      <x:c r="P4811" s="10" t="n">
        <x:v>2</x:v>
      </x:c>
      <x:c r="Q4811" s="13" t="n">
        <x:f>IF(H4811="","",H4811/1000000000)</x:f>
        <x:v>1.35</x:v>
      </x:c>
      <x:c r="R4811" s="13" t="n">
        <x:f>IF(I4811="","",I4811/1000000)</x:f>
        <x:v>42.1875</x:v>
      </x:c>
    </x:row>
    <x:row r="4812" ht="21" customHeight="1">
      <x:c r="A4812" s="10" t="n">
        <x:v>6368</x:v>
      </x:c>
      <x:c r="B4812" s="2" t="str">
        <x:v>29c8e5d0086a5a870c6c</x:v>
      </x:c>
      <x:c r="C4812" s="2" t="str">
        <x:v>Tp Hồ Chí Minh</x:v>
      </x:c>
      <x:c r="D4812" s="2" t="str">
        <x:v>Quận 2</x:v>
      </x:c>
      <x:c r="E4812" s="2" t="str">
        <x:v>other_unknown</x:v>
      </x:c>
      <x:c r="F4812" s="2" t="str">
        <x:v>sale_assumed</x:v>
      </x:c>
      <x:c r="G4812" s="11" t="n">
        <x:v>60</x:v>
      </x:c>
      <x:c r="H4812" s="12" t="n">
        <x:v>860000000</x:v>
      </x:c>
      <x:c r="I4812" s="12" t="n">
        <x:v>14333333.333333334</x:v>
      </x:c>
      <x:c r="J4812" s="2" t="str">
        <x:v>total</x:v>
      </x:c>
      <x:c r="K4812" s="2" t="str">
        <x:v>top_level_area</x:v>
      </x:c>
      <x:c r="L4812" s="2" t="str">
        <x:v>property_type_inferred_from_title;transaction_assumed_sale_from_dataset_context;unknown_property_type</x:v>
      </x:c>
      <x:c r="M4812" s="10" t="n">
        <x:v>0</x:v>
      </x:c>
      <x:c r="N4812" s="10" t="n">
        <x:v>0</x:v>
      </x:c>
      <x:c r="O4812" s="2" t="str">
        <x:v>Tp Hồ Chí Minh|other_unknown</x:v>
      </x:c>
      <x:c r="P4812" s="10" t="n">
        <x:v>2</x:v>
      </x:c>
      <x:c r="Q4812" s="13" t="n">
        <x:f>IF(H4812="","",H4812/1000000000)</x:f>
        <x:v>0.86</x:v>
      </x:c>
      <x:c r="R4812" s="13" t="n">
        <x:f>IF(I4812="","",I4812/1000000)</x:f>
        <x:v>14.333333333333334</x:v>
      </x:c>
    </x:row>
    <x:row r="4813" ht="21" customHeight="1">
      <x:c r="A4813" s="10" t="n">
        <x:v>6372</x:v>
      </x:c>
      <x:c r="B4813" s="2" t="str">
        <x:v>fe0e854e6e6e36cd57fd</x:v>
      </x:c>
      <x:c r="C4813" s="2" t="str">
        <x:v>Bình Dương</x:v>
      </x:c>
      <x:c r="D4813" s="2" t="str">
        <x:v>Thị xã Dĩ An</x:v>
      </x:c>
      <x:c r="E4813" s="2" t="str">
        <x:v>other_unknown</x:v>
      </x:c>
      <x:c r="F4813" s="2" t="str">
        <x:v>sale_assumed</x:v>
      </x:c>
      <x:c r="G4813" s="11" t="n">
        <x:v>60</x:v>
      </x:c>
      <x:c r="H4813" s="12" t="n">
        <x:v>1030000000</x:v>
      </x:c>
      <x:c r="I4813" s="12" t="n">
        <x:v>17166666.666666668</x:v>
      </x:c>
      <x:c r="J4813" s="2" t="str">
        <x:v>total</x:v>
      </x:c>
      <x:c r="K4813" s="2" t="str">
        <x:v>top_level_area</x:v>
      </x:c>
      <x:c r="L4813" s="2" t="str">
        <x:v>property_type_inferred_from_title;transaction_assumed_sale_from_dataset_context;unknown_property_type</x:v>
      </x:c>
      <x:c r="M4813" s="10" t="n">
        <x:v>0</x:v>
      </x:c>
      <x:c r="N4813" s="10" t="n">
        <x:v>0</x:v>
      </x:c>
      <x:c r="O4813" s="2" t="str">
        <x:v>Bình Dương|other_unknown</x:v>
      </x:c>
      <x:c r="P4813" s="10" t="n">
        <x:v>2</x:v>
      </x:c>
      <x:c r="Q4813" s="13" t="n">
        <x:f>IF(H4813="","",H4813/1000000000)</x:f>
        <x:v>1.03</x:v>
      </x:c>
      <x:c r="R4813" s="13" t="n">
        <x:f>IF(I4813="","",I4813/1000000)</x:f>
        <x:v>17.166666666666668</x:v>
      </x:c>
    </x:row>
    <x:row r="4814" ht="21" customHeight="1">
      <x:c r="A4814" s="10" t="n">
        <x:v>6373</x:v>
      </x:c>
      <x:c r="B4814" s="2" t="str">
        <x:v>f5294d56e522a4a10a0a</x:v>
      </x:c>
      <x:c r="C4814" s="2" t="str">
        <x:v>Tp Hồ Chí Minh</x:v>
      </x:c>
      <x:c r="D4814" s="2" t="str">
        <x:v>Quận Gò Vấp</x:v>
      </x:c>
      <x:c r="E4814" s="2" t="str">
        <x:v>house</x:v>
      </x:c>
      <x:c r="F4814" s="2" t="str">
        <x:v>sale_assumed</x:v>
      </x:c>
      <x:c r="G4814" s="11" t="n">
        <x:v>50</x:v>
      </x:c>
      <x:c r="H4814" s="12" t="n">
        <x:v>930000000</x:v>
      </x:c>
      <x:c r="I4814" s="12" t="n">
        <x:v>18600000</x:v>
      </x:c>
      <x:c r="J4814" s="2" t="str">
        <x:v>total</x:v>
      </x:c>
      <x:c r="K4814" s="2" t="str">
        <x:v>top_level_price_embedded_area</x:v>
      </x:c>
      <x:c r="L4814" s="2" t="str">
        <x:v>area_recovered_from_price_text;property_type_inferred_from_title;transaction_assumed_sale_from_dataset_context</x:v>
      </x:c>
      <x:c r="M4814" s="10" t="n">
        <x:v>0</x:v>
      </x:c>
      <x:c r="N4814" s="10" t="n">
        <x:v>0</x:v>
      </x:c>
      <x:c r="O4814" s="2" t="str">
        <x:v>Tp Hồ Chí Minh|house</x:v>
      </x:c>
      <x:c r="P4814" s="10" t="n">
        <x:v>2</x:v>
      </x:c>
      <x:c r="Q4814" s="13" t="n">
        <x:f>IF(H4814="","",H4814/1000000000)</x:f>
        <x:v>0.93</x:v>
      </x:c>
      <x:c r="R4814" s="13" t="n">
        <x:f>IF(I4814="","",I4814/1000000)</x:f>
        <x:v>18.6</x:v>
      </x:c>
    </x:row>
    <x:row r="4815" ht="21" customHeight="1">
      <x:c r="A4815" s="10" t="n">
        <x:v>6374</x:v>
      </x:c>
      <x:c r="B4815" s="2" t="str">
        <x:v>ca852770538e86d39e7e</x:v>
      </x:c>
      <x:c r="C4815" s="2" t="str">
        <x:v>Tp Hồ Chí Minh</x:v>
      </x:c>
      <x:c r="D4815" s="2" t="str">
        <x:v>Quận Phú Nhuận</x:v>
      </x:c>
      <x:c r="E4815" s="2" t="str">
        <x:v>house</x:v>
      </x:c>
      <x:c r="F4815" s="2" t="str">
        <x:v>sale</x:v>
      </x:c>
      <x:c r="G4815" s="11" t="n">
        <x:v>74.2</x:v>
      </x:c>
      <x:c r="H4815" s="12" t="n">
        <x:v>1032000000</x:v>
      </x:c>
      <x:c r="I4815" s="12" t="n">
        <x:v>13908355.795148248</x:v>
      </x:c>
      <x:c r="J4815" s="2" t="str">
        <x:v>total</x:v>
      </x:c>
      <x:c r="K4815" s="2" t="str">
        <x:v>top_level_area</x:v>
      </x:c>
      <x:c r="L4815" s="2" t="str">
        <x:v>property_type_inferred_from_title</x:v>
      </x:c>
      <x:c r="M4815" s="10" t="n">
        <x:v>0</x:v>
      </x:c>
      <x:c r="N4815" s="10" t="n">
        <x:v>0</x:v>
      </x:c>
      <x:c r="O4815" s="2" t="str">
        <x:v>Tp Hồ Chí Minh|house</x:v>
      </x:c>
      <x:c r="P4815" s="10" t="n">
        <x:v>2</x:v>
      </x:c>
      <x:c r="Q4815" s="13" t="n">
        <x:f>IF(H4815="","",H4815/1000000000)</x:f>
        <x:v>1.032</x:v>
      </x:c>
      <x:c r="R4815" s="13" t="n">
        <x:f>IF(I4815="","",I4815/1000000)</x:f>
        <x:v>13.908355795148248</x:v>
      </x:c>
    </x:row>
    <x:row r="4816" ht="21" customHeight="1">
      <x:c r="A4816" s="10" t="n">
        <x:v>6375</x:v>
      </x:c>
      <x:c r="B4816" s="2" t="str">
        <x:v>590251ddc525a7c6fc72</x:v>
      </x:c>
      <x:c r="C4816" s="2" t="str">
        <x:v>Khánh Hòa</x:v>
      </x:c>
      <x:c r="D4816" s="2" t="str">
        <x:v>Thành phố Nha Trang</x:v>
      </x:c>
      <x:c r="E4816" s="2" t="str">
        <x:v>land</x:v>
      </x:c>
      <x:c r="F4816" s="2" t="str">
        <x:v>sale_assumed</x:v>
      </x:c>
      <x:c r="G4816" s="11" t="n">
        <x:v>86</x:v>
      </x:c>
      <x:c r="H4816" s="12" t="n">
        <x:v>1600000000</x:v>
      </x:c>
      <x:c r="I4816" s="12" t="n">
        <x:v>18604651.162790697</x:v>
      </x:c>
      <x:c r="J4816" s="2" t="str">
        <x:v>total</x:v>
      </x:c>
      <x:c r="K4816" s="2" t="str">
        <x:v>top_level_area</x:v>
      </x:c>
      <x:c r="L4816" s="2" t="str">
        <x:v>property_type_inferred_from_title;transaction_assumed_sale_from_dataset_context</x:v>
      </x:c>
      <x:c r="M4816" s="10" t="n">
        <x:v>0</x:v>
      </x:c>
      <x:c r="N4816" s="10" t="n">
        <x:v>0</x:v>
      </x:c>
      <x:c r="O4816" s="2" t="str">
        <x:v>land</x:v>
      </x:c>
      <x:c r="P4816" s="10" t="n">
        <x:v>2</x:v>
      </x:c>
      <x:c r="Q4816" s="13" t="n">
        <x:f>IF(H4816="","",H4816/1000000000)</x:f>
        <x:v>1.6</x:v>
      </x:c>
      <x:c r="R4816" s="13" t="n">
        <x:f>IF(I4816="","",I4816/1000000)</x:f>
        <x:v>18.6046511627907</x:v>
      </x:c>
    </x:row>
    <x:row r="4817" ht="21" customHeight="1">
      <x:c r="A4817" s="10" t="n">
        <x:v>6376</x:v>
      </x:c>
      <x:c r="B4817" s="2" t="str">
        <x:v>3ab460d9d0204134960f</x:v>
      </x:c>
      <x:c r="C4817" s="2" t="str">
        <x:v>Tp Hồ Chí Minh</x:v>
      </x:c>
      <x:c r="D4817" s="2" t="str">
        <x:v>Quận 9</x:v>
      </x:c>
      <x:c r="E4817" s="2" t="str">
        <x:v>land</x:v>
      </x:c>
      <x:c r="F4817" s="2" t="str">
        <x:v>sale</x:v>
      </x:c>
      <x:c r="G4817" s="11" t="n">
        <x:v>80</x:v>
      </x:c>
      <x:c r="H4817" s="12" t="n">
        <x:v>750000000</x:v>
      </x:c>
      <x:c r="I4817" s="12" t="n">
        <x:v>9375000</x:v>
      </x:c>
      <x:c r="J4817" s="2" t="str">
        <x:v>total</x:v>
      </x:c>
      <x:c r="K4817" s="2" t="str">
        <x:v>top_level_area</x:v>
      </x:c>
      <x:c r="L4817" s="2" t="str">
        <x:v>property_type_inferred_from_title</x:v>
      </x:c>
      <x:c r="M4817" s="10" t="n">
        <x:v>0</x:v>
      </x:c>
      <x:c r="N4817" s="10" t="n">
        <x:v>0</x:v>
      </x:c>
      <x:c r="O4817" s="2" t="str">
        <x:v>Tp Hồ Chí Minh|land</x:v>
      </x:c>
      <x:c r="P4817" s="10" t="n">
        <x:v>2</x:v>
      </x:c>
      <x:c r="Q4817" s="13" t="n">
        <x:f>IF(H4817="","",H4817/1000000000)</x:f>
        <x:v>0.75</x:v>
      </x:c>
      <x:c r="R4817" s="13" t="n">
        <x:f>IF(I4817="","",I4817/1000000)</x:f>
        <x:v>9.375</x:v>
      </x:c>
    </x:row>
    <x:row r="4818" ht="21" customHeight="1">
      <x:c r="A4818" s="10" t="n">
        <x:v>6377</x:v>
      </x:c>
      <x:c r="B4818" s="2" t="str">
        <x:v>bd3d1e59a66cf3a18fd3</x:v>
      </x:c>
      <x:c r="C4818" s="2" t="str">
        <x:v>Tp Hồ Chí Minh</x:v>
      </x:c>
      <x:c r="D4818" s="2" t="str">
        <x:v>Quận Gò Vấp</x:v>
      </x:c>
      <x:c r="E4818" s="2" t="str">
        <x:v>house</x:v>
      </x:c>
      <x:c r="F4818" s="2" t="str">
        <x:v>sale</x:v>
      </x:c>
      <x:c r="G4818" s="11" t="n">
        <x:v>48</x:v>
      </x:c>
      <x:c r="H4818" s="12" t="n">
        <x:v>1790000000</x:v>
      </x:c>
      <x:c r="I4818" s="12" t="n">
        <x:v>37291666.666666664</x:v>
      </x:c>
      <x:c r="J4818" s="2" t="str">
        <x:v>total</x:v>
      </x:c>
      <x:c r="K4818" s="2" t="str">
        <x:v>top_level_area</x:v>
      </x:c>
      <x:c r="L4818" s="2" t="str">
        <x:v>property_type_inferred_from_title</x:v>
      </x:c>
      <x:c r="M4818" s="10" t="n">
        <x:v>0</x:v>
      </x:c>
      <x:c r="N4818" s="10" t="n">
        <x:v>0</x:v>
      </x:c>
      <x:c r="O4818" s="2" t="str">
        <x:v>Tp Hồ Chí Minh|house</x:v>
      </x:c>
      <x:c r="P4818" s="10" t="n">
        <x:v>2</x:v>
      </x:c>
      <x:c r="Q4818" s="13" t="n">
        <x:f>IF(H4818="","",H4818/1000000000)</x:f>
        <x:v>1.79</x:v>
      </x:c>
      <x:c r="R4818" s="13" t="n">
        <x:f>IF(I4818="","",I4818/1000000)</x:f>
        <x:v>37.291666666666664</x:v>
      </x:c>
    </x:row>
    <x:row r="4819" ht="21" customHeight="1">
      <x:c r="A4819" s="10" t="n">
        <x:v>6378</x:v>
      </x:c>
      <x:c r="B4819" s="2" t="str">
        <x:v>95c9ec9f4abf2e4782a8</x:v>
      </x:c>
      <x:c r="C4819" s="2" t="str">
        <x:v>Sóc Trăng</x:v>
      </x:c>
      <x:c r="D4819" s="2" t="str">
        <x:v>Huyện Mỹ Tú</x:v>
      </x:c>
      <x:c r="E4819" s="2" t="str">
        <x:v>land</x:v>
      </x:c>
      <x:c r="F4819" s="2" t="str">
        <x:v>sale_assumed</x:v>
      </x:c>
      <x:c r="G4819" s="11" t="n">
        <x:v>144</x:v>
      </x:c>
      <x:c r="H4819" s="12" t="n">
        <x:v>123460000</x:v>
      </x:c>
      <x:c r="I4819" s="12" t="n">
        <x:v>857361.1111111111</x:v>
      </x:c>
      <x:c r="J4819" s="2" t="str">
        <x:v>total</x:v>
      </x:c>
      <x:c r="K4819" s="2" t="str">
        <x:v>top_level_area</x:v>
      </x:c>
      <x:c r="L4819" s="2" t="str">
        <x:v>property_type_inferred_from_title;transaction_assumed_sale_from_dataset_context</x:v>
      </x:c>
      <x:c r="M4819" s="10" t="n">
        <x:v>0</x:v>
      </x:c>
      <x:c r="N4819" s="10" t="n">
        <x:v>0</x:v>
      </x:c>
      <x:c r="O4819" s="2" t="str">
        <x:v>land</x:v>
      </x:c>
      <x:c r="P4819" s="10" t="n">
        <x:v>1</x:v>
      </x:c>
      <x:c r="Q4819" s="13" t="n">
        <x:f>IF(H4819="","",H4819/1000000000)</x:f>
        <x:v>0.12346</x:v>
      </x:c>
      <x:c r="R4819" s="13" t="n">
        <x:f>IF(I4819="","",I4819/1000000)</x:f>
        <x:v>0.8573611111111111</x:v>
      </x:c>
    </x:row>
    <x:row r="4820" ht="21" customHeight="1">
      <x:c r="A4820" s="10" t="n">
        <x:v>6379</x:v>
      </x:c>
      <x:c r="B4820" s="2" t="str">
        <x:v>235bc6bd383f4f8a2718</x:v>
      </x:c>
      <x:c r="C4820" s="2" t="str">
        <x:v>Bình Phước</x:v>
      </x:c>
      <x:c r="D4820" s="2" t="str">
        <x:v>Huyện Chơn Thành</x:v>
      </x:c>
      <x:c r="E4820" s="2" t="str">
        <x:v>land</x:v>
      </x:c>
      <x:c r="F4820" s="2" t="str">
        <x:v>sale_assumed</x:v>
      </x:c>
      <x:c r="G4820" s="11" t="n">
        <x:v>300</x:v>
      </x:c>
      <x:c r="H4820" s="12" t="n">
        <x:v>660000000</x:v>
      </x:c>
      <x:c r="I4820" s="12" t="n">
        <x:v>2200000</x:v>
      </x:c>
      <x:c r="J4820" s="2" t="str">
        <x:v>total</x:v>
      </x:c>
      <x:c r="K4820" s="2" t="str">
        <x:v>top_level_area</x:v>
      </x:c>
      <x:c r="L4820" s="2" t="str">
        <x:v>property_type_inferred_from_title;transaction_assumed_sale_from_dataset_context</x:v>
      </x:c>
      <x:c r="M4820" s="10" t="n">
        <x:v>0</x:v>
      </x:c>
      <x:c r="N4820" s="10" t="n">
        <x:v>0</x:v>
      </x:c>
      <x:c r="O4820" s="2" t="str">
        <x:v>Bình Phước|land</x:v>
      </x:c>
      <x:c r="P4820" s="10" t="n">
        <x:v>1</x:v>
      </x:c>
      <x:c r="Q4820" s="13" t="n">
        <x:f>IF(H4820="","",H4820/1000000000)</x:f>
        <x:v>0.66</x:v>
      </x:c>
      <x:c r="R4820" s="13" t="n">
        <x:f>IF(I4820="","",I4820/1000000)</x:f>
        <x:v>2.2</x:v>
      </x:c>
    </x:row>
    <x:row r="4821" ht="21" customHeight="1">
      <x:c r="A4821" s="10" t="n">
        <x:v>6380</x:v>
      </x:c>
      <x:c r="B4821" s="2" t="str">
        <x:v>6c308802e275677d7990</x:v>
      </x:c>
      <x:c r="C4821" s="2" t="str">
        <x:v>Cần Thơ</x:v>
      </x:c>
      <x:c r="D4821" s="2" t="str">
        <x:v>Quận Cái Răng</x:v>
      </x:c>
      <x:c r="E4821" s="2" t="str">
        <x:v>land</x:v>
      </x:c>
      <x:c r="F4821" s="2" t="str">
        <x:v>sale</x:v>
      </x:c>
      <x:c r="G4821" s="11" t="n">
        <x:v>85</x:v>
      </x:c>
      <x:c r="H4821" s="12" t="n">
        <x:v>600000000</x:v>
      </x:c>
      <x:c r="I4821" s="12" t="n">
        <x:v>7058823.529411765</x:v>
      </x:c>
      <x:c r="J4821" s="2" t="str">
        <x:v>total</x:v>
      </x:c>
      <x:c r="K4821" s="2" t="str">
        <x:v>top_level_area</x:v>
      </x:c>
      <x:c r="L4821" s="2" t="str">
        <x:v>property_type_inferred_from_title</x:v>
      </x:c>
      <x:c r="M4821" s="10" t="n">
        <x:v>0</x:v>
      </x:c>
      <x:c r="N4821" s="10" t="n">
        <x:v>0</x:v>
      </x:c>
      <x:c r="O4821" s="2" t="str">
        <x:v>Cần Thơ|land</x:v>
      </x:c>
      <x:c r="P4821" s="10" t="n">
        <x:v>2</x:v>
      </x:c>
      <x:c r="Q4821" s="13" t="n">
        <x:f>IF(H4821="","",H4821/1000000000)</x:f>
        <x:v>0.6</x:v>
      </x:c>
      <x:c r="R4821" s="13" t="n">
        <x:f>IF(I4821="","",I4821/1000000)</x:f>
        <x:v>7.0588235294117645</x:v>
      </x:c>
    </x:row>
    <x:row r="4822" ht="21" customHeight="1">
      <x:c r="A4822" s="10" t="n">
        <x:v>6381</x:v>
      </x:c>
      <x:c r="B4822" s="2" t="str">
        <x:v>8ee6e9676c1f508a662f</x:v>
      </x:c>
      <x:c r="C4822" s="2" t="str">
        <x:v>Tp Hồ Chí Minh</x:v>
      </x:c>
      <x:c r="D4822" s="2" t="str">
        <x:v>Quận 12</x:v>
      </x:c>
      <x:c r="E4822" s="2" t="str">
        <x:v>land</x:v>
      </x:c>
      <x:c r="F4822" s="2" t="str">
        <x:v>sale</x:v>
      </x:c>
      <x:c r="G4822" s="11" t="n">
        <x:v>120</x:v>
      </x:c>
      <x:c r="H4822" s="12" t="n">
        <x:v>3000000000</x:v>
      </x:c>
      <x:c r="I4822" s="12" t="n">
        <x:v>25000000</x:v>
      </x:c>
      <x:c r="J4822" s="2" t="str">
        <x:v>total</x:v>
      </x:c>
      <x:c r="K4822" s="2" t="str">
        <x:v>top_level_area</x:v>
      </x:c>
      <x:c r="L4822" s="2" t="str">
        <x:v>property_type_inferred_from_title</x:v>
      </x:c>
      <x:c r="M4822" s="10" t="n">
        <x:v>0</x:v>
      </x:c>
      <x:c r="N4822" s="10" t="n">
        <x:v>0</x:v>
      </x:c>
      <x:c r="O4822" s="2" t="str">
        <x:v>Tp Hồ Chí Minh|land</x:v>
      </x:c>
      <x:c r="P4822" s="10" t="n">
        <x:v>2</x:v>
      </x:c>
      <x:c r="Q4822" s="13" t="n">
        <x:f>IF(H4822="","",H4822/1000000000)</x:f>
        <x:v>3</x:v>
      </x:c>
      <x:c r="R4822" s="13" t="n">
        <x:f>IF(I4822="","",I4822/1000000)</x:f>
        <x:v>25</x:v>
      </x:c>
    </x:row>
    <x:row r="4823" ht="21" customHeight="1">
      <x:c r="A4823" s="10" t="n">
        <x:v>6382</x:v>
      </x:c>
      <x:c r="B4823" s="2" t="str">
        <x:v>502aea2c333c976ad570</x:v>
      </x:c>
      <x:c r="C4823" s="2" t="str">
        <x:v>Bình Dương</x:v>
      </x:c>
      <x:c r="D4823" s="2" t="str">
        <x:v>Thị xã Tân Uyên</x:v>
      </x:c>
      <x:c r="E4823" s="2" t="str">
        <x:v>land</x:v>
      </x:c>
      <x:c r="F4823" s="2" t="str">
        <x:v>sale_assumed</x:v>
      </x:c>
      <x:c r="G4823" s="11" t="n">
        <x:v>173</x:v>
      </x:c>
      <x:c r="H4823" s="12" t="n">
        <x:v>1800000000</x:v>
      </x:c>
      <x:c r="I4823" s="12" t="n">
        <x:v>10404624.277456647</x:v>
      </x:c>
      <x:c r="J4823" s="2" t="str">
        <x:v>total</x:v>
      </x:c>
      <x:c r="K4823" s="2" t="str">
        <x:v>top_level_area</x:v>
      </x:c>
      <x:c r="L4823" s="2" t="str">
        <x:v>property_type_inferred_from_title;transaction_assumed_sale_from_dataset_context</x:v>
      </x:c>
      <x:c r="M4823" s="10" t="n">
        <x:v>0</x:v>
      </x:c>
      <x:c r="N4823" s="10" t="n">
        <x:v>0</x:v>
      </x:c>
      <x:c r="O4823" s="2" t="str">
        <x:v>Bình Dương|land</x:v>
      </x:c>
      <x:c r="P4823" s="10" t="n">
        <x:v>2</x:v>
      </x:c>
      <x:c r="Q4823" s="13" t="n">
        <x:f>IF(H4823="","",H4823/1000000000)</x:f>
        <x:v>1.8</x:v>
      </x:c>
      <x:c r="R4823" s="13" t="n">
        <x:f>IF(I4823="","",I4823/1000000)</x:f>
        <x:v>10.404624277456646</x:v>
      </x:c>
    </x:row>
    <x:row r="4824" ht="21" customHeight="1">
      <x:c r="A4824" s="10" t="n">
        <x:v>6383</x:v>
      </x:c>
      <x:c r="B4824" s="2" t="str">
        <x:v>b022f582f34a77bbf7f1</x:v>
      </x:c>
      <x:c r="C4824" s="2" t="str">
        <x:v>Đắk Nông</x:v>
      </x:c>
      <x:c r="D4824" s="2" t="str">
        <x:v>Huyện Krông Nô</x:v>
      </x:c>
      <x:c r="E4824" s="2" t="str">
        <x:v>other_unknown</x:v>
      </x:c>
      <x:c r="F4824" s="2" t="str">
        <x:v>sale_assumed</x:v>
      </x:c>
      <x:c r="G4824" s="11" t="n">
        <x:v>1080</x:v>
      </x:c>
      <x:c r="H4824" s="12" t="n">
        <x:v>180000000</x:v>
      </x:c>
      <x:c r="I4824" s="12" t="n">
        <x:v>166666.66666666666</x:v>
      </x:c>
      <x:c r="J4824" s="2" t="str">
        <x:v>total</x:v>
      </x:c>
      <x:c r="K4824" s="2" t="str">
        <x:v>top_level_area</x:v>
      </x:c>
      <x:c r="L4824" s="2" t="str">
        <x:v>dot_thousands_convention;property_type_inferred_from_title;transaction_assumed_sale_from_dataset_context;unknown_property_type</x:v>
      </x:c>
      <x:c r="M4824" s="10" t="n">
        <x:v>0</x:v>
      </x:c>
      <x:c r="N4824" s="10" t="n">
        <x:v>0</x:v>
      </x:c>
      <x:c r="O4824" s="2" t="str">
        <x:v>other_unknown</x:v>
      </x:c>
      <x:c r="P4824" s="10" t="n">
        <x:v>1</x:v>
      </x:c>
      <x:c r="Q4824" s="13" t="n">
        <x:f>IF(H4824="","",H4824/1000000000)</x:f>
        <x:v>0.18</x:v>
      </x:c>
      <x:c r="R4824" s="13" t="n">
        <x:f>IF(I4824="","",I4824/1000000)</x:f>
        <x:v>0.16666666666666666</x:v>
      </x:c>
    </x:row>
    <x:row r="4825" ht="21" customHeight="1">
      <x:c r="A4825" s="10" t="n">
        <x:v>6384</x:v>
      </x:c>
      <x:c r="B4825" s="2" t="str">
        <x:v>1b6959b440c1e1680fd1</x:v>
      </x:c>
      <x:c r="C4825" s="2" t="str">
        <x:v>Tp Hồ Chí Minh</x:v>
      </x:c>
      <x:c r="D4825" s="2" t="str">
        <x:v>Huyện Bình Chánh</x:v>
      </x:c>
      <x:c r="E4825" s="2" t="str">
        <x:v>house</x:v>
      </x:c>
      <x:c r="F4825" s="2" t="str">
        <x:v>sale</x:v>
      </x:c>
      <x:c r="G4825" s="11" t="n">
        <x:v>54</x:v>
      </x:c>
      <x:c r="H4825" s="12" t="n">
        <x:v>370000000</x:v>
      </x:c>
      <x:c r="I4825" s="12" t="n">
        <x:v>6851851.851851852</x:v>
      </x:c>
      <x:c r="J4825" s="2" t="str">
        <x:v>total</x:v>
      </x:c>
      <x:c r="K4825" s="2" t="str">
        <x:v>top_level_area</x:v>
      </x:c>
      <x:c r="L4825" s="2" t="str">
        <x:v>property_type_inferred_from_title</x:v>
      </x:c>
      <x:c r="M4825" s="10" t="n">
        <x:v>0</x:v>
      </x:c>
      <x:c r="N4825" s="10" t="n">
        <x:v>0</x:v>
      </x:c>
      <x:c r="O4825" s="2" t="str">
        <x:v>Tp Hồ Chí Minh|house</x:v>
      </x:c>
      <x:c r="P4825" s="10" t="n">
        <x:v>2</x:v>
      </x:c>
      <x:c r="Q4825" s="13" t="n">
        <x:f>IF(H4825="","",H4825/1000000000)</x:f>
        <x:v>0.37</x:v>
      </x:c>
      <x:c r="R4825" s="13" t="n">
        <x:f>IF(I4825="","",I4825/1000000)</x:f>
        <x:v>6.851851851851852</x:v>
      </x:c>
    </x:row>
    <x:row r="4826" ht="21" customHeight="1">
      <x:c r="A4826" s="10" t="n">
        <x:v>6385</x:v>
      </x:c>
      <x:c r="B4826" s="2" t="str">
        <x:v>fe794eb27710de7a9866</x:v>
      </x:c>
      <x:c r="C4826" s="2" t="str">
        <x:v>Tp Hồ Chí Minh</x:v>
      </x:c>
      <x:c r="D4826" s="2" t="str">
        <x:v>Quận Bình Thạnh</x:v>
      </x:c>
      <x:c r="E4826" s="2" t="str">
        <x:v>apartment</x:v>
      </x:c>
      <x:c r="F4826" s="2" t="str">
        <x:v>sale_assumed</x:v>
      </x:c>
      <x:c r="G4826" s="11" t="n">
        <x:v>33</x:v>
      </x:c>
      <x:c r="H4826" s="12" t="n">
        <x:v>1100000000</x:v>
      </x:c>
      <x:c r="I4826" s="12" t="n">
        <x:v>33333333.333333332</x:v>
      </x:c>
      <x:c r="J4826" s="2" t="str">
        <x:v>total</x:v>
      </x:c>
      <x:c r="K4826" s="2" t="str">
        <x:v>top_level_area</x:v>
      </x:c>
      <x:c r="L4826" s="2" t="str">
        <x:v>property_type_inferred_from_title;transaction_assumed_sale_from_dataset_context</x:v>
      </x:c>
      <x:c r="M4826" s="10" t="n">
        <x:v>0</x:v>
      </x:c>
      <x:c r="N4826" s="10" t="n">
        <x:v>0</x:v>
      </x:c>
      <x:c r="O4826" s="2" t="str">
        <x:v>Tp Hồ Chí Minh|apartment</x:v>
      </x:c>
      <x:c r="P4826" s="10" t="n">
        <x:v>2</x:v>
      </x:c>
      <x:c r="Q4826" s="13" t="n">
        <x:f>IF(H4826="","",H4826/1000000000)</x:f>
        <x:v>1.1</x:v>
      </x:c>
      <x:c r="R4826" s="13" t="n">
        <x:f>IF(I4826="","",I4826/1000000)</x:f>
        <x:v>33.33333333333333</x:v>
      </x:c>
    </x:row>
    <x:row r="4827" ht="21" customHeight="1">
      <x:c r="A4827" s="10" t="n">
        <x:v>6386</x:v>
      </x:c>
      <x:c r="B4827" s="2" t="str">
        <x:v>290b0f324eeaccc25a9a</x:v>
      </x:c>
      <x:c r="C4827" s="2" t="str">
        <x:v>Tp Hồ Chí Minh</x:v>
      </x:c>
      <x:c r="D4827" s="2" t="str">
        <x:v>Quận Thủ Đức</x:v>
      </x:c>
      <x:c r="E4827" s="2" t="str">
        <x:v>land</x:v>
      </x:c>
      <x:c r="F4827" s="2" t="str">
        <x:v>sale_assumed</x:v>
      </x:c>
      <x:c r="G4827" s="11" t="n">
        <x:v>55</x:v>
      </x:c>
      <x:c r="H4827" s="12" t="n">
        <x:v>4000000000</x:v>
      </x:c>
      <x:c r="I4827" s="12" t="n">
        <x:v>72727272.72727273</x:v>
      </x:c>
      <x:c r="J4827" s="2" t="str">
        <x:v>total</x:v>
      </x:c>
      <x:c r="K4827" s="2" t="str">
        <x:v>top_level_price_embedded_area</x:v>
      </x:c>
      <x:c r="L4827" s="2" t="str">
        <x:v>area_recovered_from_price_text;property_type_inferred_from_title;transaction_assumed_sale_from_dataset_context</x:v>
      </x:c>
      <x:c r="M4827" s="10" t="n">
        <x:v>0</x:v>
      </x:c>
      <x:c r="N4827" s="10" t="n">
        <x:v>0</x:v>
      </x:c>
      <x:c r="O4827" s="2" t="str">
        <x:v>Tp Hồ Chí Minh|land</x:v>
      </x:c>
      <x:c r="P4827" s="10" t="n">
        <x:v>2</x:v>
      </x:c>
      <x:c r="Q4827" s="13" t="n">
        <x:f>IF(H4827="","",H4827/1000000000)</x:f>
        <x:v>4</x:v>
      </x:c>
      <x:c r="R4827" s="13" t="n">
        <x:f>IF(I4827="","",I4827/1000000)</x:f>
        <x:v>72.72727272727273</x:v>
      </x:c>
    </x:row>
    <x:row r="4828" ht="21" customHeight="1">
      <x:c r="A4828" s="10" t="n">
        <x:v>6387</x:v>
      </x:c>
      <x:c r="B4828" s="2" t="str">
        <x:v>c628a726e5992227c9c1</x:v>
      </x:c>
      <x:c r="C4828" s="2" t="str">
        <x:v>Tp Hồ Chí Minh</x:v>
      </x:c>
      <x:c r="D4828" s="2" t="str">
        <x:v>Quận 2</x:v>
      </x:c>
      <x:c r="E4828" s="2" t="str">
        <x:v>apartment</x:v>
      </x:c>
      <x:c r="F4828" s="2" t="str">
        <x:v>sale_assumed</x:v>
      </x:c>
      <x:c r="G4828" s="11" t="n">
        <x:v>86</x:v>
      </x:c>
      <x:c r="H4828" s="12" t="n">
        <x:v>3300000000</x:v>
      </x:c>
      <x:c r="I4828" s="12" t="n">
        <x:v>38372093.02325582</x:v>
      </x:c>
      <x:c r="J4828" s="2" t="str">
        <x:v>total</x:v>
      </x:c>
      <x:c r="K4828" s="2" t="str">
        <x:v>top_level_area</x:v>
      </x:c>
      <x:c r="L4828" s="2" t="str">
        <x:v>property_type_inferred_from_title;transaction_assumed_sale_from_dataset_context</x:v>
      </x:c>
      <x:c r="M4828" s="10" t="n">
        <x:v>0</x:v>
      </x:c>
      <x:c r="N4828" s="10" t="n">
        <x:v>0</x:v>
      </x:c>
      <x:c r="O4828" s="2" t="str">
        <x:v>Tp Hồ Chí Minh|apartment</x:v>
      </x:c>
      <x:c r="P4828" s="10" t="n">
        <x:v>2</x:v>
      </x:c>
      <x:c r="Q4828" s="13" t="n">
        <x:f>IF(H4828="","",H4828/1000000000)</x:f>
        <x:v>3.3</x:v>
      </x:c>
      <x:c r="R4828" s="13" t="n">
        <x:f>IF(I4828="","",I4828/1000000)</x:f>
        <x:v>38.372093023255815</x:v>
      </x:c>
    </x:row>
    <x:row r="4829" ht="21" customHeight="1">
      <x:c r="A4829" s="10" t="n">
        <x:v>6388</x:v>
      </x:c>
      <x:c r="B4829" s="2" t="str">
        <x:v>2a172541410964f3c3bf</x:v>
      </x:c>
      <x:c r="C4829" s="2" t="str">
        <x:v>Tp Hồ Chí Minh</x:v>
      </x:c>
      <x:c r="D4829" s="2" t="str">
        <x:v>Quận Bình Thạnh</x:v>
      </x:c>
      <x:c r="E4829" s="2" t="str">
        <x:v>house</x:v>
      </x:c>
      <x:c r="F4829" s="2" t="str">
        <x:v>sale</x:v>
      </x:c>
      <x:c r="G4829" s="11" t="n">
        <x:v>39</x:v>
      </x:c>
      <x:c r="H4829" s="12" t="n">
        <x:v>1890000000</x:v>
      </x:c>
      <x:c r="I4829" s="12" t="n">
        <x:v>48461538.461538464</x:v>
      </x:c>
      <x:c r="J4829" s="2" t="str">
        <x:v>total</x:v>
      </x:c>
      <x:c r="K4829" s="2" t="str">
        <x:v>top_level_area</x:v>
      </x:c>
      <x:c r="L4829" s="2" t="str">
        <x:v>property_type_inferred_from_title</x:v>
      </x:c>
      <x:c r="M4829" s="10" t="n">
        <x:v>0</x:v>
      </x:c>
      <x:c r="N4829" s="10" t="n">
        <x:v>0</x:v>
      </x:c>
      <x:c r="O4829" s="2" t="str">
        <x:v>Tp Hồ Chí Minh|house</x:v>
      </x:c>
      <x:c r="P4829" s="10" t="n">
        <x:v>2</x:v>
      </x:c>
      <x:c r="Q4829" s="13" t="n">
        <x:f>IF(H4829="","",H4829/1000000000)</x:f>
        <x:v>1.89</x:v>
      </x:c>
      <x:c r="R4829" s="13" t="n">
        <x:f>IF(I4829="","",I4829/1000000)</x:f>
        <x:v>48.46153846153847</x:v>
      </x:c>
    </x:row>
    <x:row r="4830" ht="21" customHeight="1">
      <x:c r="A4830" s="10" t="n">
        <x:v>6389</x:v>
      </x:c>
      <x:c r="B4830" s="2" t="str">
        <x:v>5a2b136c567f79eb89cb</x:v>
      </x:c>
      <x:c r="C4830" s="2" t="str">
        <x:v>Long An</x:v>
      </x:c>
      <x:c r="D4830" s="2" t="str">
        <x:v>Huyện Đức Hòa</x:v>
      </x:c>
      <x:c r="E4830" s="2" t="str">
        <x:v>house</x:v>
      </x:c>
      <x:c r="F4830" s="2" t="str">
        <x:v>sale</x:v>
      </x:c>
      <x:c r="G4830" s="11" t="n">
        <x:v>36</x:v>
      </x:c>
      <x:c r="H4830" s="12" t="n">
        <x:v>260000000</x:v>
      </x:c>
      <x:c r="I4830" s="12" t="n">
        <x:v>7222222.222222222</x:v>
      </x:c>
      <x:c r="J4830" s="2" t="str">
        <x:v>total</x:v>
      </x:c>
      <x:c r="K4830" s="2" t="str">
        <x:v>top_level_area</x:v>
      </x:c>
      <x:c r="L4830" s="2" t="str">
        <x:v>property_type_inferred_from_title</x:v>
      </x:c>
      <x:c r="M4830" s="10" t="n">
        <x:v>0</x:v>
      </x:c>
      <x:c r="N4830" s="10" t="n">
        <x:v>0</x:v>
      </x:c>
      <x:c r="O4830" s="2" t="str">
        <x:v>Long An|house</x:v>
      </x:c>
      <x:c r="P4830" s="10" t="n">
        <x:v>2</x:v>
      </x:c>
      <x:c r="Q4830" s="13" t="n">
        <x:f>IF(H4830="","",H4830/1000000000)</x:f>
        <x:v>0.26</x:v>
      </x:c>
      <x:c r="R4830" s="13" t="n">
        <x:f>IF(I4830="","",I4830/1000000)</x:f>
        <x:v>7.222222222222222</x:v>
      </x:c>
    </x:row>
    <x:row r="4831" ht="21" customHeight="1">
      <x:c r="A4831" s="10" t="n">
        <x:v>6390</x:v>
      </x:c>
      <x:c r="B4831" s="2" t="str">
        <x:v>2c8c9719db66477bcb65</x:v>
      </x:c>
      <x:c r="C4831" s="2" t="str">
        <x:v>Tp Hồ Chí Minh</x:v>
      </x:c>
      <x:c r="D4831" s="2" t="str">
        <x:v>Quận Bình Tân</x:v>
      </x:c>
      <x:c r="E4831" s="2" t="str">
        <x:v>house</x:v>
      </x:c>
      <x:c r="F4831" s="2" t="str">
        <x:v>sale_assumed</x:v>
      </x:c>
      <x:c r="G4831" s="11" t="n">
        <x:v>36</x:v>
      </x:c>
      <x:c r="H4831" s="12" t="n">
        <x:v>1460000000</x:v>
      </x:c>
      <x:c r="I4831" s="12" t="n">
        <x:v>40555555.55555555</x:v>
      </x:c>
      <x:c r="J4831" s="2" t="str">
        <x:v>total</x:v>
      </x:c>
      <x:c r="K4831" s="2" t="str">
        <x:v>top_level_area</x:v>
      </x:c>
      <x:c r="L4831" s="2" t="str">
        <x:v>property_type_inferred_from_title;transaction_assumed_sale_from_dataset_context</x:v>
      </x:c>
      <x:c r="M4831" s="10" t="n">
        <x:v>0</x:v>
      </x:c>
      <x:c r="N4831" s="10" t="n">
        <x:v>0</x:v>
      </x:c>
      <x:c r="O4831" s="2" t="str">
        <x:v>Tp Hồ Chí Minh|house</x:v>
      </x:c>
      <x:c r="P4831" s="10" t="n">
        <x:v>2</x:v>
      </x:c>
      <x:c r="Q4831" s="13" t="n">
        <x:f>IF(H4831="","",H4831/1000000000)</x:f>
        <x:v>1.46</x:v>
      </x:c>
      <x:c r="R4831" s="13" t="n">
        <x:f>IF(I4831="","",I4831/1000000)</x:f>
        <x:v>40.55555555555555</x:v>
      </x:c>
    </x:row>
    <x:row r="4832" ht="21" customHeight="1">
      <x:c r="A4832" s="10" t="n">
        <x:v>6394</x:v>
      </x:c>
      <x:c r="B4832" s="2" t="str">
        <x:v>957b59227107e6303c0a</x:v>
      </x:c>
      <x:c r="C4832" s="2" t="str">
        <x:v>Tp Hồ Chí Minh</x:v>
      </x:c>
      <x:c r="D4832" s="2" t="str">
        <x:v>Quận Thủ Đức</x:v>
      </x:c>
      <x:c r="E4832" s="2" t="str">
        <x:v>house</x:v>
      </x:c>
      <x:c r="F4832" s="2" t="str">
        <x:v>sale</x:v>
      </x:c>
      <x:c r="G4832" s="11" t="n">
        <x:v>55</x:v>
      </x:c>
      <x:c r="H4832" s="12" t="n">
        <x:v>950000000</x:v>
      </x:c>
      <x:c r="I4832" s="12" t="n">
        <x:v>17272727.272727273</x:v>
      </x:c>
      <x:c r="J4832" s="2" t="str">
        <x:v>total</x:v>
      </x:c>
      <x:c r="K4832" s="2" t="str">
        <x:v>top_level_area</x:v>
      </x:c>
      <x:c r="L4832" s="2" t="str">
        <x:v>property_type_inferred_from_title</x:v>
      </x:c>
      <x:c r="M4832" s="10" t="n">
        <x:v>0</x:v>
      </x:c>
      <x:c r="N4832" s="10" t="n">
        <x:v>0</x:v>
      </x:c>
      <x:c r="O4832" s="2" t="str">
        <x:v>Tp Hồ Chí Minh|house</x:v>
      </x:c>
      <x:c r="P4832" s="10" t="n">
        <x:v>2</x:v>
      </x:c>
      <x:c r="Q4832" s="13" t="n">
        <x:f>IF(H4832="","",H4832/1000000000)</x:f>
        <x:v>0.95</x:v>
      </x:c>
      <x:c r="R4832" s="13" t="n">
        <x:f>IF(I4832="","",I4832/1000000)</x:f>
        <x:v>17.272727272727273</x:v>
      </x:c>
    </x:row>
    <x:row r="4833" ht="21" customHeight="1">
      <x:c r="A4833" s="10" t="n">
        <x:v>6395</x:v>
      </x:c>
      <x:c r="B4833" s="2" t="str">
        <x:v>f3f45c5ae7fb9dbd12bb</x:v>
      </x:c>
      <x:c r="C4833" s="2" t="str">
        <x:v>Tp Hồ Chí Minh</x:v>
      </x:c>
      <x:c r="D4833" s="2" t="str">
        <x:v>Quận 8</x:v>
      </x:c>
      <x:c r="E4833" s="2" t="str">
        <x:v>house</x:v>
      </x:c>
      <x:c r="F4833" s="2" t="str">
        <x:v>sale</x:v>
      </x:c>
      <x:c r="G4833" s="11" t="n">
        <x:v>42</x:v>
      </x:c>
      <x:c r="H4833" s="12" t="n">
        <x:v>1650000000</x:v>
      </x:c>
      <x:c r="I4833" s="12" t="n">
        <x:v>39285714.28571428</x:v>
      </x:c>
      <x:c r="J4833" s="2" t="str">
        <x:v>total</x:v>
      </x:c>
      <x:c r="K4833" s="2" t="str">
        <x:v>top_level_price_embedded_area</x:v>
      </x:c>
      <x:c r="L4833" s="2" t="str">
        <x:v>area_recovered_from_price_text;property_type_inferred_from_title</x:v>
      </x:c>
      <x:c r="M4833" s="10" t="n">
        <x:v>0</x:v>
      </x:c>
      <x:c r="N4833" s="10" t="n">
        <x:v>0</x:v>
      </x:c>
      <x:c r="O4833" s="2" t="str">
        <x:v>Tp Hồ Chí Minh|house</x:v>
      </x:c>
      <x:c r="P4833" s="10" t="n">
        <x:v>2</x:v>
      </x:c>
      <x:c r="Q4833" s="13" t="n">
        <x:f>IF(H4833="","",H4833/1000000000)</x:f>
        <x:v>1.65</x:v>
      </x:c>
      <x:c r="R4833" s="13" t="n">
        <x:f>IF(I4833="","",I4833/1000000)</x:f>
        <x:v>39.285714285714285</x:v>
      </x:c>
    </x:row>
    <x:row r="4834" ht="21" customHeight="1">
      <x:c r="A4834" s="10" t="n">
        <x:v>6396</x:v>
      </x:c>
      <x:c r="B4834" s="2" t="str">
        <x:v>734eb39601956130272b</x:v>
      </x:c>
      <x:c r="C4834" s="2" t="str">
        <x:v>Tp Hồ Chí Minh</x:v>
      </x:c>
      <x:c r="D4834" s="2" t="str">
        <x:v>Quận Gò Vấp</x:v>
      </x:c>
      <x:c r="E4834" s="2" t="str">
        <x:v>house</x:v>
      </x:c>
      <x:c r="F4834" s="2" t="str">
        <x:v>sale</x:v>
      </x:c>
      <x:c r="G4834" s="11" t="n">
        <x:v>42</x:v>
      </x:c>
      <x:c r="H4834" s="12" t="n">
        <x:v>3500000000</x:v>
      </x:c>
      <x:c r="I4834" s="12" t="n">
        <x:v>83333333.33333333</x:v>
      </x:c>
      <x:c r="J4834" s="2" t="str">
        <x:v>total</x:v>
      </x:c>
      <x:c r="K4834" s="2" t="str">
        <x:v>top_level_area</x:v>
      </x:c>
      <x:c r="L4834" s="2" t="str">
        <x:v>property_type_inferred_from_title</x:v>
      </x:c>
      <x:c r="M4834" s="10" t="n">
        <x:v>0</x:v>
      </x:c>
      <x:c r="N4834" s="10" t="n">
        <x:v>0</x:v>
      </x:c>
      <x:c r="O4834" s="2" t="str">
        <x:v>Tp Hồ Chí Minh|house</x:v>
      </x:c>
      <x:c r="P4834" s="10" t="n">
        <x:v>2</x:v>
      </x:c>
      <x:c r="Q4834" s="13" t="n">
        <x:f>IF(H4834="","",H4834/1000000000)</x:f>
        <x:v>3.5</x:v>
      </x:c>
      <x:c r="R4834" s="13" t="n">
        <x:f>IF(I4834="","",I4834/1000000)</x:f>
        <x:v>83.33333333333333</x:v>
      </x:c>
    </x:row>
    <x:row r="4835" ht="21" customHeight="1">
      <x:c r="A4835" s="10" t="n">
        <x:v>6397</x:v>
      </x:c>
      <x:c r="B4835" s="2" t="str">
        <x:v>419248af378e855eda68</x:v>
      </x:c>
      <x:c r="C4835" s="2" t="str">
        <x:v>Tp Hồ Chí Minh</x:v>
      </x:c>
      <x:c r="D4835" s="2" t="str">
        <x:v>Quận 8</x:v>
      </x:c>
      <x:c r="E4835" s="2" t="str">
        <x:v>house</x:v>
      </x:c>
      <x:c r="F4835" s="2" t="str">
        <x:v>sale_assumed</x:v>
      </x:c>
      <x:c r="G4835" s="11" t="n">
        <x:v>52</x:v>
      </x:c>
      <x:c r="H4835" s="12" t="n">
        <x:v>985000000</x:v>
      </x:c>
      <x:c r="I4835" s="12" t="n">
        <x:v>18942307.692307692</x:v>
      </x:c>
      <x:c r="J4835" s="2" t="str">
        <x:v>total</x:v>
      </x:c>
      <x:c r="K4835" s="2" t="str">
        <x:v>top_level_area</x:v>
      </x:c>
      <x:c r="L4835" s="2" t="str">
        <x:v>property_type_inferred_from_title;transaction_assumed_sale_from_dataset_context</x:v>
      </x:c>
      <x:c r="M4835" s="10" t="n">
        <x:v>0</x:v>
      </x:c>
      <x:c r="N4835" s="10" t="n">
        <x:v>0</x:v>
      </x:c>
      <x:c r="O4835" s="2" t="str">
        <x:v>Tp Hồ Chí Minh|house</x:v>
      </x:c>
      <x:c r="P4835" s="10" t="n">
        <x:v>2</x:v>
      </x:c>
      <x:c r="Q4835" s="13" t="n">
        <x:f>IF(H4835="","",H4835/1000000000)</x:f>
        <x:v>0.985</x:v>
      </x:c>
      <x:c r="R4835" s="13" t="n">
        <x:f>IF(I4835="","",I4835/1000000)</x:f>
        <x:v>18.942307692307693</x:v>
      </x:c>
    </x:row>
    <x:row r="4836" ht="21" customHeight="1">
      <x:c r="A4836" s="10" t="n">
        <x:v>6398</x:v>
      </x:c>
      <x:c r="B4836" s="2" t="str">
        <x:v>973469295dfbf015ded8</x:v>
      </x:c>
      <x:c r="C4836" s="2" t="str">
        <x:v>Tp Hồ Chí Minh</x:v>
      </x:c>
      <x:c r="D4836" s="2" t="str">
        <x:v>Quận 6</x:v>
      </x:c>
      <x:c r="E4836" s="2" t="str">
        <x:v>house</x:v>
      </x:c>
      <x:c r="F4836" s="2" t="str">
        <x:v>sale_assumed</x:v>
      </x:c>
      <x:c r="G4836" s="11" t="n">
        <x:v>56</x:v>
      </x:c>
      <x:c r="H4836" s="12" t="n">
        <x:v>5600000000</x:v>
      </x:c>
      <x:c r="I4836" s="12" t="n">
        <x:v>100000000</x:v>
      </x:c>
      <x:c r="J4836" s="2" t="str">
        <x:v>total</x:v>
      </x:c>
      <x:c r="K4836" s="2" t="str">
        <x:v>top_level_area</x:v>
      </x:c>
      <x:c r="L4836" s="2" t="str">
        <x:v>property_type_inferred_from_title;transaction_assumed_sale_from_dataset_context</x:v>
      </x:c>
      <x:c r="M4836" s="10" t="n">
        <x:v>0</x:v>
      </x:c>
      <x:c r="N4836" s="10" t="n">
        <x:v>0</x:v>
      </x:c>
      <x:c r="O4836" s="2" t="str">
        <x:v>Tp Hồ Chí Minh|house</x:v>
      </x:c>
      <x:c r="P4836" s="10" t="n">
        <x:v>2</x:v>
      </x:c>
      <x:c r="Q4836" s="13" t="n">
        <x:f>IF(H4836="","",H4836/1000000000)</x:f>
        <x:v>5.6</x:v>
      </x:c>
      <x:c r="R4836" s="13" t="n">
        <x:f>IF(I4836="","",I4836/1000000)</x:f>
        <x:v>100</x:v>
      </x:c>
    </x:row>
    <x:row r="4837" ht="21" customHeight="1">
      <x:c r="A4837" s="10" t="n">
        <x:v>6399</x:v>
      </x:c>
      <x:c r="B4837" s="2" t="str">
        <x:v>43112d2b59c321d91a61</x:v>
      </x:c>
      <x:c r="C4837" s="2" t="str">
        <x:v>Tp Hồ Chí Minh</x:v>
      </x:c>
      <x:c r="D4837" s="2" t="str">
        <x:v>Quận Bình Tân</x:v>
      </x:c>
      <x:c r="E4837" s="2" t="str">
        <x:v>land</x:v>
      </x:c>
      <x:c r="F4837" s="2" t="str">
        <x:v>sale</x:v>
      </x:c>
      <x:c r="G4837" s="11" t="n">
        <x:v>50</x:v>
      </x:c>
      <x:c r="H4837" s="12" t="n">
        <x:v>3100000000</x:v>
      </x:c>
      <x:c r="I4837" s="12" t="n">
        <x:v>62000000</x:v>
      </x:c>
      <x:c r="J4837" s="2" t="str">
        <x:v>total</x:v>
      </x:c>
      <x:c r="K4837" s="2" t="str">
        <x:v>top_level_area</x:v>
      </x:c>
      <x:c r="L4837" s="2" t="str">
        <x:v>property_type_inferred_from_title</x:v>
      </x:c>
      <x:c r="M4837" s="10" t="n">
        <x:v>0</x:v>
      </x:c>
      <x:c r="N4837" s="10" t="n">
        <x:v>0</x:v>
      </x:c>
      <x:c r="O4837" s="2" t="str">
        <x:v>Tp Hồ Chí Minh|land</x:v>
      </x:c>
      <x:c r="P4837" s="10" t="n">
        <x:v>2</x:v>
      </x:c>
      <x:c r="Q4837" s="13" t="n">
        <x:f>IF(H4837="","",H4837/1000000000)</x:f>
        <x:v>3.1</x:v>
      </x:c>
      <x:c r="R4837" s="13" t="n">
        <x:f>IF(I4837="","",I4837/1000000)</x:f>
        <x:v>62</x:v>
      </x:c>
    </x:row>
    <x:row r="4838" ht="21" customHeight="1">
      <x:c r="A4838" s="10" t="n">
        <x:v>6400</x:v>
      </x:c>
      <x:c r="B4838" s="2" t="str">
        <x:v>7986c419a9f8ac0ba23a</x:v>
      </x:c>
      <x:c r="C4838" s="2" t="str">
        <x:v>Hà Nội</x:v>
      </x:c>
      <x:c r="D4838" s="2" t="str">
        <x:v>Quận Hoàng Mai</x:v>
      </x:c>
      <x:c r="E4838" s="2" t="str">
        <x:v>other_unknown</x:v>
      </x:c>
      <x:c r="F4838" s="2" t="str">
        <x:v>sale_assumed</x:v>
      </x:c>
      <x:c r="G4838" s="11" t="n">
        <x:v>40</x:v>
      </x:c>
      <x:c r="H4838" s="12" t="n">
        <x:v>2800000000</x:v>
      </x:c>
      <x:c r="I4838" s="12" t="n">
        <x:v>70000000</x:v>
      </x:c>
      <x:c r="J4838" s="2" t="str">
        <x:v>total</x:v>
      </x:c>
      <x:c r="K4838" s="2" t="str">
        <x:v>top_level_area</x:v>
      </x:c>
      <x:c r="L4838" s="2" t="str">
        <x:v>property_type_inferred_from_title;transaction_assumed_sale_from_dataset_context;unknown_property_type</x:v>
      </x:c>
      <x:c r="M4838" s="10" t="n">
        <x:v>0</x:v>
      </x:c>
      <x:c r="N4838" s="10" t="n">
        <x:v>0</x:v>
      </x:c>
      <x:c r="O4838" s="2" t="str">
        <x:v>Hà Nội|other_unknown</x:v>
      </x:c>
      <x:c r="P4838" s="10" t="n">
        <x:v>2</x:v>
      </x:c>
      <x:c r="Q4838" s="13" t="n">
        <x:f>IF(H4838="","",H4838/1000000000)</x:f>
        <x:v>2.8</x:v>
      </x:c>
      <x:c r="R4838" s="13" t="n">
        <x:f>IF(I4838="","",I4838/1000000)</x:f>
        <x:v>70</x:v>
      </x:c>
    </x:row>
    <x:row r="4839" ht="21" customHeight="1">
      <x:c r="A4839" s="10" t="n">
        <x:v>6401</x:v>
      </x:c>
      <x:c r="B4839" s="2" t="str">
        <x:v>bbd9013f57698a8dba9b</x:v>
      </x:c>
      <x:c r="C4839" s="2" t="str">
        <x:v>Tp Hồ Chí Minh</x:v>
      </x:c>
      <x:c r="D4839" s="2" t="str">
        <x:v>Quận Bình Tân</x:v>
      </x:c>
      <x:c r="E4839" s="2" t="str">
        <x:v>apartment</x:v>
      </x:c>
      <x:c r="F4839" s="2" t="str">
        <x:v>sale</x:v>
      </x:c>
      <x:c r="G4839" s="11" t="n">
        <x:v>70</x:v>
      </x:c>
      <x:c r="H4839" s="12" t="n">
        <x:v>1900000000</x:v>
      </x:c>
      <x:c r="I4839" s="12" t="n">
        <x:v>27142857.14285714</x:v>
      </x:c>
      <x:c r="J4839" s="2" t="str">
        <x:v>total</x:v>
      </x:c>
      <x:c r="K4839" s="2" t="str">
        <x:v>top_level_area</x:v>
      </x:c>
      <x:c r="L4839" s="2" t="str">
        <x:v>property_type_inferred_from_title</x:v>
      </x:c>
      <x:c r="M4839" s="10" t="n">
        <x:v>0</x:v>
      </x:c>
      <x:c r="N4839" s="10" t="n">
        <x:v>0</x:v>
      </x:c>
      <x:c r="O4839" s="2" t="str">
        <x:v>Tp Hồ Chí Minh|apartment</x:v>
      </x:c>
      <x:c r="P4839" s="10" t="n">
        <x:v>2</x:v>
      </x:c>
      <x:c r="Q4839" s="13" t="n">
        <x:f>IF(H4839="","",H4839/1000000000)</x:f>
        <x:v>1.9</x:v>
      </x:c>
      <x:c r="R4839" s="13" t="n">
        <x:f>IF(I4839="","",I4839/1000000)</x:f>
        <x:v>27.142857142857142</x:v>
      </x:c>
    </x:row>
    <x:row r="4840" ht="21" customHeight="1">
      <x:c r="A4840" s="10" t="n">
        <x:v>6402</x:v>
      </x:c>
      <x:c r="B4840" s="2" t="str">
        <x:v>e03912aa2e0a08c1bf94</x:v>
      </x:c>
      <x:c r="C4840" s="2" t="str">
        <x:v>Lâm Đồng</x:v>
      </x:c>
      <x:c r="D4840" s="2" t="str">
        <x:v>Huyện Đạ Tẻh</x:v>
      </x:c>
      <x:c r="E4840" s="2" t="str">
        <x:v>land</x:v>
      </x:c>
      <x:c r="F4840" s="2" t="str">
        <x:v>sale_assumed</x:v>
      </x:c>
      <x:c r="G4840" s="11" t="n">
        <x:v>8000</x:v>
      </x:c>
      <x:c r="H4840" s="12" t="n">
        <x:v>900000000</x:v>
      </x:c>
      <x:c r="I4840" s="12" t="n">
        <x:v>112500</x:v>
      </x:c>
      <x:c r="J4840" s="2" t="str">
        <x:v>total</x:v>
      </x:c>
      <x:c r="K4840" s="2" t="str">
        <x:v>top_level_area</x:v>
      </x:c>
      <x:c r="L4840" s="2" t="str">
        <x:v>dot_thousands_convention;property_type_inferred_from_title;transaction_assumed_sale_from_dataset_context</x:v>
      </x:c>
      <x:c r="M4840" s="10" t="n">
        <x:v>0</x:v>
      </x:c>
      <x:c r="N4840" s="10" t="n">
        <x:v>0</x:v>
      </x:c>
      <x:c r="O4840" s="2" t="str">
        <x:v>Lâm Đồng|land</x:v>
      </x:c>
      <x:c r="P4840" s="10" t="n">
        <x:v>1</x:v>
      </x:c>
      <x:c r="Q4840" s="13" t="n">
        <x:f>IF(H4840="","",H4840/1000000000)</x:f>
        <x:v>0.9</x:v>
      </x:c>
      <x:c r="R4840" s="13" t="n">
        <x:f>IF(I4840="","",I4840/1000000)</x:f>
        <x:v>0.1125</x:v>
      </x:c>
    </x:row>
    <x:row r="4841" ht="21" customHeight="1">
      <x:c r="A4841" s="10" t="n">
        <x:v>6403</x:v>
      </x:c>
      <x:c r="B4841" s="2" t="str">
        <x:v>ae50a332452c37590f1d</x:v>
      </x:c>
      <x:c r="C4841" s="2" t="str">
        <x:v>Tp Hồ Chí Minh</x:v>
      </x:c>
      <x:c r="D4841" s="2" t="str">
        <x:v>Quận Tân Phú</x:v>
      </x:c>
      <x:c r="E4841" s="2" t="str">
        <x:v>house</x:v>
      </x:c>
      <x:c r="F4841" s="2" t="str">
        <x:v>sale</x:v>
      </x:c>
      <x:c r="G4841" s="11" t="n">
        <x:v>72</x:v>
      </x:c>
      <x:c r="H4841" s="12" t="n">
        <x:v>9500000000</x:v>
      </x:c>
      <x:c r="I4841" s="12" t="n">
        <x:v>131944444.44444445</x:v>
      </x:c>
      <x:c r="J4841" s="2" t="str">
        <x:v>total</x:v>
      </x:c>
      <x:c r="K4841" s="2" t="str">
        <x:v>top_level_area</x:v>
      </x:c>
      <x:c r="L4841" s="2" t="str">
        <x:v>property_type_inferred_from_title</x:v>
      </x:c>
      <x:c r="M4841" s="10" t="n">
        <x:v>0</x:v>
      </x:c>
      <x:c r="N4841" s="10" t="n">
        <x:v>0</x:v>
      </x:c>
      <x:c r="O4841" s="2" t="str">
        <x:v>Tp Hồ Chí Minh|house</x:v>
      </x:c>
      <x:c r="P4841" s="10" t="n">
        <x:v>2</x:v>
      </x:c>
      <x:c r="Q4841" s="13" t="n">
        <x:f>IF(H4841="","",H4841/1000000000)</x:f>
        <x:v>9.5</x:v>
      </x:c>
      <x:c r="R4841" s="13" t="n">
        <x:f>IF(I4841="","",I4841/1000000)</x:f>
        <x:v>131.94444444444446</x:v>
      </x:c>
    </x:row>
    <x:row r="4842" ht="21" customHeight="1">
      <x:c r="A4842" s="10" t="n">
        <x:v>6404</x:v>
      </x:c>
      <x:c r="B4842" s="2" t="str">
        <x:v>56200d1389dcf34b8a55</x:v>
      </x:c>
      <x:c r="C4842" s="2" t="str">
        <x:v>Tp Hồ Chí Minh</x:v>
      </x:c>
      <x:c r="D4842" s="2" t="str">
        <x:v>Huyện Nhà Bè</x:v>
      </x:c>
      <x:c r="E4842" s="2" t="str">
        <x:v>other_unknown</x:v>
      </x:c>
      <x:c r="F4842" s="2" t="str">
        <x:v>sale_assumed</x:v>
      </x:c>
      <x:c r="G4842" s="11" t="n">
        <x:v>39</x:v>
      </x:c>
      <x:c r="H4842" s="12" t="n">
        <x:v>2450000000</x:v>
      </x:c>
      <x:c r="I4842" s="12" t="n">
        <x:v>62820512.820512824</x:v>
      </x:c>
      <x:c r="J4842" s="2" t="str">
        <x:v>total</x:v>
      </x:c>
      <x:c r="K4842" s="2" t="str">
        <x:v>top_level_area</x:v>
      </x:c>
      <x:c r="L4842" s="2" t="str">
        <x:v>property_type_inferred_from_title;transaction_assumed_sale_from_dataset_context;unknown_property_type</x:v>
      </x:c>
      <x:c r="M4842" s="10" t="n">
        <x:v>0</x:v>
      </x:c>
      <x:c r="N4842" s="10" t="n">
        <x:v>0</x:v>
      </x:c>
      <x:c r="O4842" s="2" t="str">
        <x:v>Tp Hồ Chí Minh|other_unknown</x:v>
      </x:c>
      <x:c r="P4842" s="10" t="n">
        <x:v>2</x:v>
      </x:c>
      <x:c r="Q4842" s="13" t="n">
        <x:f>IF(H4842="","",H4842/1000000000)</x:f>
        <x:v>2.45</x:v>
      </x:c>
      <x:c r="R4842" s="13" t="n">
        <x:f>IF(I4842="","",I4842/1000000)</x:f>
        <x:v>62.820512820512825</x:v>
      </x:c>
    </x:row>
    <x:row r="4843" ht="21" customHeight="1">
      <x:c r="A4843" s="10" t="n">
        <x:v>6405</x:v>
      </x:c>
      <x:c r="B4843" s="2" t="str">
        <x:v>46f08a4fba3dfb258679</x:v>
      </x:c>
      <x:c r="C4843" s="2" t="str">
        <x:v>Tp Hồ Chí Minh</x:v>
      </x:c>
      <x:c r="D4843" s="2" t="str">
        <x:v>Quận 10</x:v>
      </x:c>
      <x:c r="E4843" s="2" t="str">
        <x:v>apartment</x:v>
      </x:c>
      <x:c r="F4843" s="2" t="str">
        <x:v>sale</x:v>
      </x:c>
      <x:c r="G4843" s="11" t="n">
        <x:v>74</x:v>
      </x:c>
      <x:c r="H4843" s="12" t="n">
        <x:v>4350000000</x:v>
      </x:c>
      <x:c r="I4843" s="12" t="n">
        <x:v>58783783.783783786</x:v>
      </x:c>
      <x:c r="J4843" s="2" t="str">
        <x:v>total</x:v>
      </x:c>
      <x:c r="K4843" s="2" t="str">
        <x:v>top_level_area</x:v>
      </x:c>
      <x:c r="L4843" s="2" t="str">
        <x:v>property_type_inferred_from_title</x:v>
      </x:c>
      <x:c r="M4843" s="10" t="n">
        <x:v>0</x:v>
      </x:c>
      <x:c r="N4843" s="10" t="n">
        <x:v>0</x:v>
      </x:c>
      <x:c r="O4843" s="2" t="str">
        <x:v>Tp Hồ Chí Minh|apartment</x:v>
      </x:c>
      <x:c r="P4843" s="10" t="n">
        <x:v>2</x:v>
      </x:c>
      <x:c r="Q4843" s="13" t="n">
        <x:f>IF(H4843="","",H4843/1000000000)</x:f>
        <x:v>4.35</x:v>
      </x:c>
      <x:c r="R4843" s="13" t="n">
        <x:f>IF(I4843="","",I4843/1000000)</x:f>
        <x:v>58.78378378378379</x:v>
      </x:c>
    </x:row>
    <x:row r="4844" ht="21" customHeight="1">
      <x:c r="A4844" s="10" t="n">
        <x:v>6406</x:v>
      </x:c>
      <x:c r="B4844" s="2" t="str">
        <x:v>50d5cb37b31d6162a146</x:v>
      </x:c>
      <x:c r="C4844" s="2" t="str">
        <x:v>Tp Hồ Chí Minh</x:v>
      </x:c>
      <x:c r="D4844" s="2" t="str">
        <x:v>Quận Tân Bình</x:v>
      </x:c>
      <x:c r="E4844" s="2" t="str">
        <x:v>house</x:v>
      </x:c>
      <x:c r="F4844" s="2" t="str">
        <x:v>sale</x:v>
      </x:c>
      <x:c r="G4844" s="11" t="n">
        <x:v>56</x:v>
      </x:c>
      <x:c r="H4844" s="12" t="n">
        <x:v>3850000000</x:v>
      </x:c>
      <x:c r="I4844" s="12" t="n">
        <x:v>68750000</x:v>
      </x:c>
      <x:c r="J4844" s="2" t="str">
        <x:v>total</x:v>
      </x:c>
      <x:c r="K4844" s="2" t="str">
        <x:v>top_level_area</x:v>
      </x:c>
      <x:c r="L4844" s="2" t="str">
        <x:v>property_type_inferred_from_title</x:v>
      </x:c>
      <x:c r="M4844" s="10" t="n">
        <x:v>0</x:v>
      </x:c>
      <x:c r="N4844" s="10" t="n">
        <x:v>0</x:v>
      </x:c>
      <x:c r="O4844" s="2" t="str">
        <x:v>Tp Hồ Chí Minh|house</x:v>
      </x:c>
      <x:c r="P4844" s="10" t="n">
        <x:v>2</x:v>
      </x:c>
      <x:c r="Q4844" s="13" t="n">
        <x:f>IF(H4844="","",H4844/1000000000)</x:f>
        <x:v>3.85</x:v>
      </x:c>
      <x:c r="R4844" s="13" t="n">
        <x:f>IF(I4844="","",I4844/1000000)</x:f>
        <x:v>68.75</x:v>
      </x:c>
    </x:row>
    <x:row r="4845" ht="21" customHeight="1">
      <x:c r="A4845" s="10" t="n">
        <x:v>6407</x:v>
      </x:c>
      <x:c r="B4845" s="2" t="str">
        <x:v>c39f66a2bedd6e040ffa</x:v>
      </x:c>
      <x:c r="C4845" s="2" t="str">
        <x:v>Bà Rịa - Vũng Tàu</x:v>
      </x:c>
      <x:c r="D4845" s="2" t="str">
        <x:v>Thị xã Phú Mỹ</x:v>
      </x:c>
      <x:c r="E4845" s="2" t="str">
        <x:v>land</x:v>
      </x:c>
      <x:c r="F4845" s="2" t="str">
        <x:v>sale_assumed</x:v>
      </x:c>
      <x:c r="G4845" s="11" t="n">
        <x:v>150</x:v>
      </x:c>
      <x:c r="H4845" s="12" t="n">
        <x:v>850000000</x:v>
      </x:c>
      <x:c r="I4845" s="12" t="n">
        <x:v>5666666.666666667</x:v>
      </x:c>
      <x:c r="J4845" s="2" t="str">
        <x:v>total</x:v>
      </x:c>
      <x:c r="K4845" s="2" t="str">
        <x:v>top_level_area</x:v>
      </x:c>
      <x:c r="L4845" s="2" t="str">
        <x:v>property_type_inferred_from_title;transaction_assumed_sale_from_dataset_context</x:v>
      </x:c>
      <x:c r="M4845" s="10" t="n">
        <x:v>0</x:v>
      </x:c>
      <x:c r="N4845" s="10" t="n">
        <x:v>0</x:v>
      </x:c>
      <x:c r="O4845" s="2" t="str">
        <x:v>Bà Rịa - Vũng Tàu|land</x:v>
      </x:c>
      <x:c r="P4845" s="10" t="n">
        <x:v>2</x:v>
      </x:c>
      <x:c r="Q4845" s="13" t="n">
        <x:f>IF(H4845="","",H4845/1000000000)</x:f>
        <x:v>0.85</x:v>
      </x:c>
      <x:c r="R4845" s="13" t="n">
        <x:f>IF(I4845="","",I4845/1000000)</x:f>
        <x:v>5.666666666666667</x:v>
      </x:c>
    </x:row>
    <x:row r="4846" ht="21" customHeight="1">
      <x:c r="A4846" s="10" t="n">
        <x:v>6409</x:v>
      </x:c>
      <x:c r="B4846" s="2" t="str">
        <x:v>dcdad865787057bf3797</x:v>
      </x:c>
      <x:c r="C4846" s="2" t="str">
        <x:v>Tp Hồ Chí Minh</x:v>
      </x:c>
      <x:c r="D4846" s="2" t="str">
        <x:v>Quận Tân Bình</x:v>
      </x:c>
      <x:c r="E4846" s="2" t="str">
        <x:v>house</x:v>
      </x:c>
      <x:c r="F4846" s="2" t="str">
        <x:v>sale_assumed</x:v>
      </x:c>
      <x:c r="G4846" s="11" t="n">
        <x:v>60</x:v>
      </x:c>
      <x:c r="H4846" s="12" t="n">
        <x:v>830000000</x:v>
      </x:c>
      <x:c r="I4846" s="12" t="n">
        <x:v>13833333.333333334</x:v>
      </x:c>
      <x:c r="J4846" s="2" t="str">
        <x:v>total</x:v>
      </x:c>
      <x:c r="K4846" s="2" t="str">
        <x:v>top_level_area</x:v>
      </x:c>
      <x:c r="L4846" s="2" t="str">
        <x:v>property_type_inferred_from_title;transaction_assumed_sale_from_dataset_context</x:v>
      </x:c>
      <x:c r="M4846" s="10" t="n">
        <x:v>0</x:v>
      </x:c>
      <x:c r="N4846" s="10" t="n">
        <x:v>0</x:v>
      </x:c>
      <x:c r="O4846" s="2" t="str">
        <x:v>Tp Hồ Chí Minh|house</x:v>
      </x:c>
      <x:c r="P4846" s="10" t="n">
        <x:v>2</x:v>
      </x:c>
      <x:c r="Q4846" s="13" t="n">
        <x:f>IF(H4846="","",H4846/1000000000)</x:f>
        <x:v>0.83</x:v>
      </x:c>
      <x:c r="R4846" s="13" t="n">
        <x:f>IF(I4846="","",I4846/1000000)</x:f>
        <x:v>13.833333333333334</x:v>
      </x:c>
    </x:row>
    <x:row r="4847" ht="21" customHeight="1">
      <x:c r="A4847" s="10" t="n">
        <x:v>6410</x:v>
      </x:c>
      <x:c r="B4847" s="2" t="str">
        <x:v>2afe2e5bc1a387769eaa</x:v>
      </x:c>
      <x:c r="C4847" s="2" t="str">
        <x:v>Chưa xác định</x:v>
      </x:c>
      <x:c r="D4847" s="2" t="str">
        <x:v>Chưa xác định</x:v>
      </x:c>
      <x:c r="E4847" s="2" t="str">
        <x:v>apartment</x:v>
      </x:c>
      <x:c r="F4847" s="2" t="str">
        <x:v>sale_assumed</x:v>
      </x:c>
      <x:c r="G4847" s="11" t="n">
        <x:v>55</x:v>
      </x:c>
      <x:c r="H4847" s="12" t="n">
        <x:v>2000000000</x:v>
      </x:c>
      <x:c r="I4847" s="12" t="n">
        <x:v>36363636.36363637</x:v>
      </x:c>
      <x:c r="J4847" s="2" t="str">
        <x:v>total</x:v>
      </x:c>
      <x:c r="K4847" s="2" t="str">
        <x:v>top_level_area</x:v>
      </x:c>
      <x:c r="L4847" s="2" t="str">
        <x:v>property_type_inferred_from_title;transaction_assumed_sale_from_dataset_context;unknown_district;unknown_province</x:v>
      </x:c>
      <x:c r="M4847" s="10" t="n">
        <x:v>0</x:v>
      </x:c>
      <x:c r="N4847" s="10" t="n">
        <x:v>0</x:v>
      </x:c>
      <x:c r="O4847" s="2" t="str">
        <x:v>apartment</x:v>
      </x:c>
      <x:c r="P4847" s="10" t="n">
        <x:v>2</x:v>
      </x:c>
      <x:c r="Q4847" s="13" t="n">
        <x:f>IF(H4847="","",H4847/1000000000)</x:f>
        <x:v>2</x:v>
      </x:c>
      <x:c r="R4847" s="13" t="n">
        <x:f>IF(I4847="","",I4847/1000000)</x:f>
        <x:v>36.36363636363637</x:v>
      </x:c>
    </x:row>
    <x:row r="4848" ht="21" customHeight="1">
      <x:c r="A4848" s="10" t="n">
        <x:v>6411</x:v>
      </x:c>
      <x:c r="B4848" s="2" t="str">
        <x:v>59df1e3e089ba7e8d99e</x:v>
      </x:c>
      <x:c r="C4848" s="2" t="str">
        <x:v>Bình Dương</x:v>
      </x:c>
      <x:c r="D4848" s="2" t="str">
        <x:v>Thị xã Bến Cát</x:v>
      </x:c>
      <x:c r="E4848" s="2" t="str">
        <x:v>land</x:v>
      </x:c>
      <x:c r="F4848" s="2" t="str">
        <x:v>sale</x:v>
      </x:c>
      <x:c r="G4848" s="11" t="n">
        <x:v>280</x:v>
      </x:c>
      <x:c r="H4848" s="12" t="n">
        <x:v>380000000</x:v>
      </x:c>
      <x:c r="I4848" s="12" t="n">
        <x:v>1357142.857142857</x:v>
      </x:c>
      <x:c r="J4848" s="2" t="str">
        <x:v>total</x:v>
      </x:c>
      <x:c r="K4848" s="2" t="str">
        <x:v>top_level_area</x:v>
      </x:c>
      <x:c r="L4848" s="2" t="str">
        <x:v>property_type_inferred_from_title</x:v>
      </x:c>
      <x:c r="M4848" s="10" t="n">
        <x:v>0</x:v>
      </x:c>
      <x:c r="N4848" s="10" t="n">
        <x:v>0</x:v>
      </x:c>
      <x:c r="O4848" s="2" t="str">
        <x:v>Bình Dương|land</x:v>
      </x:c>
      <x:c r="P4848" s="10" t="n">
        <x:v>1</x:v>
      </x:c>
      <x:c r="Q4848" s="13" t="n">
        <x:f>IF(H4848="","",H4848/1000000000)</x:f>
        <x:v>0.38</x:v>
      </x:c>
      <x:c r="R4848" s="13" t="n">
        <x:f>IF(I4848="","",I4848/1000000)</x:f>
        <x:v>1.357142857142857</x:v>
      </x:c>
    </x:row>
    <x:row r="4849" ht="21" customHeight="1">
      <x:c r="A4849" s="10" t="n">
        <x:v>6412</x:v>
      </x:c>
      <x:c r="B4849" s="2" t="str">
        <x:v>8c7355eb908bf62115d7</x:v>
      </x:c>
      <x:c r="C4849" s="2" t="str">
        <x:v>Bình Dương</x:v>
      </x:c>
      <x:c r="D4849" s="2" t="str">
        <x:v>Thị xã Thuận An</x:v>
      </x:c>
      <x:c r="E4849" s="2" t="str">
        <x:v>other_unknown</x:v>
      </x:c>
      <x:c r="F4849" s="2" t="str">
        <x:v>sale_assumed</x:v>
      </x:c>
      <x:c r="G4849" s="11" t="n">
        <x:v>90</x:v>
      </x:c>
      <x:c r="H4849" s="12" t="n">
        <x:v>1900000000</x:v>
      </x:c>
      <x:c r="I4849" s="12" t="n">
        <x:v>21111111.111111112</x:v>
      </x:c>
      <x:c r="J4849" s="2" t="str">
        <x:v>total</x:v>
      </x:c>
      <x:c r="K4849" s="2" t="str">
        <x:v>top_level_area</x:v>
      </x:c>
      <x:c r="L4849" s="2" t="str">
        <x:v>property_type_inferred_from_title;transaction_assumed_sale_from_dataset_context;unknown_property_type</x:v>
      </x:c>
      <x:c r="M4849" s="10" t="n">
        <x:v>0</x:v>
      </x:c>
      <x:c r="N4849" s="10" t="n">
        <x:v>0</x:v>
      </x:c>
      <x:c r="O4849" s="2" t="str">
        <x:v>Bình Dương|other_unknown</x:v>
      </x:c>
      <x:c r="P4849" s="10" t="n">
        <x:v>2</x:v>
      </x:c>
      <x:c r="Q4849" s="13" t="n">
        <x:f>IF(H4849="","",H4849/1000000000)</x:f>
        <x:v>1.9</x:v>
      </x:c>
      <x:c r="R4849" s="13" t="n">
        <x:f>IF(I4849="","",I4849/1000000)</x:f>
        <x:v>21.11111111111111</x:v>
      </x:c>
    </x:row>
    <x:row r="4850" ht="21" customHeight="1">
      <x:c r="A4850" s="10" t="n">
        <x:v>6413</x:v>
      </x:c>
      <x:c r="B4850" s="2" t="str">
        <x:v>ab73a94d3684d4ff86db</x:v>
      </x:c>
      <x:c r="C4850" s="2" t="str">
        <x:v>Tp Hồ Chí Minh</x:v>
      </x:c>
      <x:c r="D4850" s="2" t="str">
        <x:v>Huyện Nhà Bè</x:v>
      </x:c>
      <x:c r="E4850" s="2" t="str">
        <x:v>house</x:v>
      </x:c>
      <x:c r="F4850" s="2" t="str">
        <x:v>sale</x:v>
      </x:c>
      <x:c r="G4850" s="11" t="n">
        <x:v>27</x:v>
      </x:c>
      <x:c r="H4850" s="12" t="n">
        <x:v>1750000000</x:v>
      </x:c>
      <x:c r="I4850" s="12" t="n">
        <x:v>64814814.81481481</x:v>
      </x:c>
      <x:c r="J4850" s="2" t="str">
        <x:v>total</x:v>
      </x:c>
      <x:c r="K4850" s="2" t="str">
        <x:v>top_level_area</x:v>
      </x:c>
      <x:c r="L4850" s="2" t="str">
        <x:v>property_type_inferred_from_title</x:v>
      </x:c>
      <x:c r="M4850" s="10" t="n">
        <x:v>0</x:v>
      </x:c>
      <x:c r="N4850" s="10" t="n">
        <x:v>0</x:v>
      </x:c>
      <x:c r="O4850" s="2" t="str">
        <x:v>Tp Hồ Chí Minh|house</x:v>
      </x:c>
      <x:c r="P4850" s="10" t="n">
        <x:v>2</x:v>
      </x:c>
      <x:c r="Q4850" s="13" t="n">
        <x:f>IF(H4850="","",H4850/1000000000)</x:f>
        <x:v>1.75</x:v>
      </x:c>
      <x:c r="R4850" s="13" t="n">
        <x:f>IF(I4850="","",I4850/1000000)</x:f>
        <x:v>64.81481481481481</x:v>
      </x:c>
    </x:row>
    <x:row r="4851" ht="21" customHeight="1">
      <x:c r="A4851" s="10" t="n">
        <x:v>6418</x:v>
      </x:c>
      <x:c r="B4851" s="2" t="str">
        <x:v>8ef3def808e1422a880a</x:v>
      </x:c>
      <x:c r="C4851" s="2" t="str">
        <x:v>Tp Hồ Chí Minh</x:v>
      </x:c>
      <x:c r="D4851" s="2" t="str">
        <x:v>Huyện Nhà Bè</x:v>
      </x:c>
      <x:c r="E4851" s="2" t="str">
        <x:v>apartment</x:v>
      </x:c>
      <x:c r="F4851" s="2" t="str">
        <x:v>sale_assumed</x:v>
      </x:c>
      <x:c r="G4851" s="11" t="n">
        <x:v>83</x:v>
      </x:c>
      <x:c r="H4851" s="12" t="n">
        <x:v>3500000000</x:v>
      </x:c>
      <x:c r="I4851" s="12" t="n">
        <x:v>42168674.69879518</x:v>
      </x:c>
      <x:c r="J4851" s="2" t="str">
        <x:v>total</x:v>
      </x:c>
      <x:c r="K4851" s="2" t="str">
        <x:v>top_level_area</x:v>
      </x:c>
      <x:c r="L4851" s="2" t="str">
        <x:v>property_type_inferred_from_title;transaction_assumed_sale_from_dataset_context</x:v>
      </x:c>
      <x:c r="M4851" s="10" t="n">
        <x:v>0</x:v>
      </x:c>
      <x:c r="N4851" s="10" t="n">
        <x:v>0</x:v>
      </x:c>
      <x:c r="O4851" s="2" t="str">
        <x:v>Tp Hồ Chí Minh|apartment</x:v>
      </x:c>
      <x:c r="P4851" s="10" t="n">
        <x:v>2</x:v>
      </x:c>
      <x:c r="Q4851" s="13" t="n">
        <x:f>IF(H4851="","",H4851/1000000000)</x:f>
        <x:v>3.5</x:v>
      </x:c>
      <x:c r="R4851" s="13" t="n">
        <x:f>IF(I4851="","",I4851/1000000)</x:f>
        <x:v>42.16867469879518</x:v>
      </x:c>
    </x:row>
    <x:row r="4852" ht="21" customHeight="1">
      <x:c r="A4852" s="10" t="n">
        <x:v>6419</x:v>
      </x:c>
      <x:c r="B4852" s="2" t="str">
        <x:v>fc5bc87930cb3cd59fd9</x:v>
      </x:c>
      <x:c r="C4852" s="2" t="str">
        <x:v>Tp Hồ Chí Minh</x:v>
      </x:c>
      <x:c r="D4852" s="2" t="str">
        <x:v>Quận 9</x:v>
      </x:c>
      <x:c r="E4852" s="2" t="str">
        <x:v>house</x:v>
      </x:c>
      <x:c r="F4852" s="2" t="str">
        <x:v>sale</x:v>
      </x:c>
      <x:c r="G4852" s="11" t="n">
        <x:v>56</x:v>
      </x:c>
      <x:c r="H4852" s="12" t="n">
        <x:v>1320000000</x:v>
      </x:c>
      <x:c r="I4852" s="12" t="n">
        <x:v>23571428.57142857</x:v>
      </x:c>
      <x:c r="J4852" s="2" t="str">
        <x:v>total</x:v>
      </x:c>
      <x:c r="K4852" s="2" t="str">
        <x:v>top_level_area</x:v>
      </x:c>
      <x:c r="L4852" s="2" t="str">
        <x:v>property_type_inferred_from_title</x:v>
      </x:c>
      <x:c r="M4852" s="10" t="n">
        <x:v>0</x:v>
      </x:c>
      <x:c r="N4852" s="10" t="n">
        <x:v>0</x:v>
      </x:c>
      <x:c r="O4852" s="2" t="str">
        <x:v>Tp Hồ Chí Minh|house</x:v>
      </x:c>
      <x:c r="P4852" s="10" t="n">
        <x:v>2</x:v>
      </x:c>
      <x:c r="Q4852" s="13" t="n">
        <x:f>IF(H4852="","",H4852/1000000000)</x:f>
        <x:v>1.32</x:v>
      </x:c>
      <x:c r="R4852" s="13" t="n">
        <x:f>IF(I4852="","",I4852/1000000)</x:f>
        <x:v>23.57142857142857</x:v>
      </x:c>
    </x:row>
    <x:row r="4853" ht="21" customHeight="1">
      <x:c r="A4853" s="10" t="n">
        <x:v>6420</x:v>
      </x:c>
      <x:c r="B4853" s="2" t="str">
        <x:v>4611921d0a2aa54c4685</x:v>
      </x:c>
      <x:c r="C4853" s="2" t="str">
        <x:v>Tp Hồ Chí Minh</x:v>
      </x:c>
      <x:c r="D4853" s="2" t="str">
        <x:v>Quận 9</x:v>
      </x:c>
      <x:c r="E4853" s="2" t="str">
        <x:v>apartment</x:v>
      </x:c>
      <x:c r="F4853" s="2" t="str">
        <x:v>sale_assumed</x:v>
      </x:c>
      <x:c r="G4853" s="11" t="n">
        <x:v>60</x:v>
      </x:c>
      <x:c r="H4853" s="12" t="n">
        <x:v>399000000</x:v>
      </x:c>
      <x:c r="I4853" s="12" t="n">
        <x:v>6650000</x:v>
      </x:c>
      <x:c r="J4853" s="2" t="str">
        <x:v>total</x:v>
      </x:c>
      <x:c r="K4853" s="2" t="str">
        <x:v>top_level_area</x:v>
      </x:c>
      <x:c r="L4853" s="2" t="str">
        <x:v>property_type_inferred_from_title;transaction_assumed_sale_from_dataset_context</x:v>
      </x:c>
      <x:c r="M4853" s="10" t="n">
        <x:v>0</x:v>
      </x:c>
      <x:c r="N4853" s="10" t="n">
        <x:v>0</x:v>
      </x:c>
      <x:c r="O4853" s="2" t="str">
        <x:v>Tp Hồ Chí Minh|apartment</x:v>
      </x:c>
      <x:c r="P4853" s="10" t="n">
        <x:v>2</x:v>
      </x:c>
      <x:c r="Q4853" s="13" t="n">
        <x:f>IF(H4853="","",H4853/1000000000)</x:f>
        <x:v>0.399</x:v>
      </x:c>
      <x:c r="R4853" s="13" t="n">
        <x:f>IF(I4853="","",I4853/1000000)</x:f>
        <x:v>6.65</x:v>
      </x:c>
    </x:row>
    <x:row r="4854" ht="21" customHeight="1">
      <x:c r="A4854" s="10" t="n">
        <x:v>6421</x:v>
      </x:c>
      <x:c r="B4854" s="2" t="str">
        <x:v>7024eff2c4c6da97185e</x:v>
      </x:c>
      <x:c r="C4854" s="2" t="str">
        <x:v>Hà Nội</x:v>
      </x:c>
      <x:c r="D4854" s="2" t="str">
        <x:v>Quận Hà Đông</x:v>
      </x:c>
      <x:c r="E4854" s="2" t="str">
        <x:v>other_unknown</x:v>
      </x:c>
      <x:c r="F4854" s="2" t="str">
        <x:v>sale_assumed</x:v>
      </x:c>
      <x:c r="G4854" s="11" t="n">
        <x:v>91</x:v>
      </x:c>
      <x:c r="H4854" s="12" t="n">
        <x:v>13500000000</x:v>
      </x:c>
      <x:c r="I4854" s="12" t="n">
        <x:v>148351648.35164836</x:v>
      </x:c>
      <x:c r="J4854" s="2" t="str">
        <x:v>total</x:v>
      </x:c>
      <x:c r="K4854" s="2" t="str">
        <x:v>top_level_area</x:v>
      </x:c>
      <x:c r="L4854" s="2" t="str">
        <x:v>property_type_inferred_from_title;transaction_assumed_sale_from_dataset_context;unknown_property_type</x:v>
      </x:c>
      <x:c r="M4854" s="10" t="n">
        <x:v>0</x:v>
      </x:c>
      <x:c r="N4854" s="10" t="n">
        <x:v>0</x:v>
      </x:c>
      <x:c r="O4854" s="2" t="str">
        <x:v>Hà Nội|other_unknown</x:v>
      </x:c>
      <x:c r="P4854" s="10" t="n">
        <x:v>2</x:v>
      </x:c>
      <x:c r="Q4854" s="13" t="n">
        <x:f>IF(H4854="","",H4854/1000000000)</x:f>
        <x:v>13.5</x:v>
      </x:c>
      <x:c r="R4854" s="13" t="n">
        <x:f>IF(I4854="","",I4854/1000000)</x:f>
        <x:v>148.35164835164835</x:v>
      </x:c>
    </x:row>
    <x:row r="4855" ht="21" customHeight="1">
      <x:c r="A4855" s="10" t="n">
        <x:v>6422</x:v>
      </x:c>
      <x:c r="B4855" s="2" t="str">
        <x:v>4e06fac1291449ffb248</x:v>
      </x:c>
      <x:c r="C4855" s="2" t="str">
        <x:v>Tp Hồ Chí Minh</x:v>
      </x:c>
      <x:c r="D4855" s="2" t="str">
        <x:v>Huyện Bình Chánh</x:v>
      </x:c>
      <x:c r="E4855" s="2" t="str">
        <x:v>land</x:v>
      </x:c>
      <x:c r="F4855" s="2" t="str">
        <x:v>sale_assumed</x:v>
      </x:c>
      <x:c r="G4855" s="11" t="n">
        <x:v>48</x:v>
      </x:c>
      <x:c r="H4855" s="12" t="n">
        <x:v>265000000</x:v>
      </x:c>
      <x:c r="I4855" s="12" t="n">
        <x:v>5520833.333333333</x:v>
      </x:c>
      <x:c r="J4855" s="2" t="str">
        <x:v>total</x:v>
      </x:c>
      <x:c r="K4855" s="2" t="str">
        <x:v>top_level_area</x:v>
      </x:c>
      <x:c r="L4855" s="2" t="str">
        <x:v>property_type_inferred_from_title;transaction_assumed_sale_from_dataset_context</x:v>
      </x:c>
      <x:c r="M4855" s="10" t="n">
        <x:v>0</x:v>
      </x:c>
      <x:c r="N4855" s="10" t="n">
        <x:v>0</x:v>
      </x:c>
      <x:c r="O4855" s="2" t="str">
        <x:v>Tp Hồ Chí Minh|land</x:v>
      </x:c>
      <x:c r="P4855" s="10" t="n">
        <x:v>2</x:v>
      </x:c>
      <x:c r="Q4855" s="13" t="n">
        <x:f>IF(H4855="","",H4855/1000000000)</x:f>
        <x:v>0.265</x:v>
      </x:c>
      <x:c r="R4855" s="13" t="n">
        <x:f>IF(I4855="","",I4855/1000000)</x:f>
        <x:v>5.520833333333333</x:v>
      </x:c>
    </x:row>
    <x:row r="4856" ht="21" customHeight="1">
      <x:c r="A4856" s="10" t="n">
        <x:v>6423</x:v>
      </x:c>
      <x:c r="B4856" s="2" t="str">
        <x:v>e98e2fa9f3cfec757140</x:v>
      </x:c>
      <x:c r="C4856" s="2" t="str">
        <x:v>Tp Hồ Chí Minh</x:v>
      </x:c>
      <x:c r="D4856" s="2" t="str">
        <x:v>Quận 9</x:v>
      </x:c>
      <x:c r="E4856" s="2" t="str">
        <x:v>house</x:v>
      </x:c>
      <x:c r="F4856" s="2" t="str">
        <x:v>sale</x:v>
      </x:c>
      <x:c r="G4856" s="11" t="n">
        <x:v>47</x:v>
      </x:c>
      <x:c r="H4856" s="12" t="n">
        <x:v>1930000000</x:v>
      </x:c>
      <x:c r="I4856" s="12" t="n">
        <x:v>41063829.787234046</x:v>
      </x:c>
      <x:c r="J4856" s="2" t="str">
        <x:v>total</x:v>
      </x:c>
      <x:c r="K4856" s="2" t="str">
        <x:v>top_level_area</x:v>
      </x:c>
      <x:c r="L4856" s="2" t="str">
        <x:v>property_type_inferred_from_title</x:v>
      </x:c>
      <x:c r="M4856" s="10" t="n">
        <x:v>0</x:v>
      </x:c>
      <x:c r="N4856" s="10" t="n">
        <x:v>0</x:v>
      </x:c>
      <x:c r="O4856" s="2" t="str">
        <x:v>Tp Hồ Chí Minh|house</x:v>
      </x:c>
      <x:c r="P4856" s="10" t="n">
        <x:v>2</x:v>
      </x:c>
      <x:c r="Q4856" s="13" t="n">
        <x:f>IF(H4856="","",H4856/1000000000)</x:f>
        <x:v>1.93</x:v>
      </x:c>
      <x:c r="R4856" s="13" t="n">
        <x:f>IF(I4856="","",I4856/1000000)</x:f>
        <x:v>41.06382978723405</x:v>
      </x:c>
    </x:row>
    <x:row r="4857" ht="21" customHeight="1">
      <x:c r="A4857" s="10" t="n">
        <x:v>6424</x:v>
      </x:c>
      <x:c r="B4857" s="2" t="str">
        <x:v>f0ba29292b85e4e704ba</x:v>
      </x:c>
      <x:c r="C4857" s="2" t="str">
        <x:v>Tp Hồ Chí Minh</x:v>
      </x:c>
      <x:c r="D4857" s="2" t="str">
        <x:v>Quận Thủ Đức</x:v>
      </x:c>
      <x:c r="E4857" s="2" t="str">
        <x:v>other_unknown</x:v>
      </x:c>
      <x:c r="F4857" s="2" t="str">
        <x:v>sale_assumed</x:v>
      </x:c>
      <x:c r="G4857" s="11" t="n">
        <x:v>59</x:v>
      </x:c>
      <x:c r="H4857" s="12" t="n">
        <x:v>1650000000</x:v>
      </x:c>
      <x:c r="I4857" s="12" t="n">
        <x:v>27966101.694915254</x:v>
      </x:c>
      <x:c r="J4857" s="2" t="str">
        <x:v>total</x:v>
      </x:c>
      <x:c r="K4857" s="2" t="str">
        <x:v>top_level_area</x:v>
      </x:c>
      <x:c r="L4857" s="2" t="str">
        <x:v>property_type_inferred_from_title;transaction_assumed_sale_from_dataset_context;unknown_property_type</x:v>
      </x:c>
      <x:c r="M4857" s="10" t="n">
        <x:v>0</x:v>
      </x:c>
      <x:c r="N4857" s="10" t="n">
        <x:v>0</x:v>
      </x:c>
      <x:c r="O4857" s="2" t="str">
        <x:v>Tp Hồ Chí Minh|other_unknown</x:v>
      </x:c>
      <x:c r="P4857" s="10" t="n">
        <x:v>2</x:v>
      </x:c>
      <x:c r="Q4857" s="13" t="n">
        <x:f>IF(H4857="","",H4857/1000000000)</x:f>
        <x:v>1.65</x:v>
      </x:c>
      <x:c r="R4857" s="13" t="n">
        <x:f>IF(I4857="","",I4857/1000000)</x:f>
        <x:v>27.966101694915253</x:v>
      </x:c>
    </x:row>
    <x:row r="4858" ht="21" customHeight="1">
      <x:c r="A4858" s="10" t="n">
        <x:v>6425</x:v>
      </x:c>
      <x:c r="B4858" s="2" t="str">
        <x:v>60122b8f42ce08157a96</x:v>
      </x:c>
      <x:c r="C4858" s="2" t="str">
        <x:v>Tp Hồ Chí Minh</x:v>
      </x:c>
      <x:c r="D4858" s="2" t="str">
        <x:v>Quận 8</x:v>
      </x:c>
      <x:c r="E4858" s="2" t="str">
        <x:v>house</x:v>
      </x:c>
      <x:c r="F4858" s="2" t="str">
        <x:v>sale_assumed</x:v>
      </x:c>
      <x:c r="G4858" s="11" t="n">
        <x:v>40.5</x:v>
      </x:c>
      <x:c r="H4858" s="12" t="n">
        <x:v>4300000000</x:v>
      </x:c>
      <x:c r="I4858" s="12" t="n">
        <x:v>106172839.50617284</x:v>
      </x:c>
      <x:c r="J4858" s="2" t="str">
        <x:v>total</x:v>
      </x:c>
      <x:c r="K4858" s="2" t="str">
        <x:v>top_level_price_embedded_area</x:v>
      </x:c>
      <x:c r="L4858" s="2" t="str">
        <x:v>area_recovered_from_price_text;property_type_inferred_from_title;transaction_assumed_sale_from_dataset_context</x:v>
      </x:c>
      <x:c r="M4858" s="10" t="n">
        <x:v>0</x:v>
      </x:c>
      <x:c r="N4858" s="10" t="n">
        <x:v>0</x:v>
      </x:c>
      <x:c r="O4858" s="2" t="str">
        <x:v>Tp Hồ Chí Minh|house</x:v>
      </x:c>
      <x:c r="P4858" s="10" t="n">
        <x:v>2</x:v>
      </x:c>
      <x:c r="Q4858" s="13" t="n">
        <x:f>IF(H4858="","",H4858/1000000000)</x:f>
        <x:v>4.3</x:v>
      </x:c>
      <x:c r="R4858" s="13" t="n">
        <x:f>IF(I4858="","",I4858/1000000)</x:f>
        <x:v>106.17283950617283</x:v>
      </x:c>
    </x:row>
    <x:row r="4859" ht="21" customHeight="1">
      <x:c r="A4859" s="10" t="n">
        <x:v>6426</x:v>
      </x:c>
      <x:c r="B4859" s="2" t="str">
        <x:v>cd4d4df5c38116e6b7fe</x:v>
      </x:c>
      <x:c r="C4859" s="2" t="str">
        <x:v>Tp Hồ Chí Minh</x:v>
      </x:c>
      <x:c r="D4859" s="2" t="str">
        <x:v>Quận Thủ Đức</x:v>
      </x:c>
      <x:c r="E4859" s="2" t="str">
        <x:v>house</x:v>
      </x:c>
      <x:c r="F4859" s="2" t="str">
        <x:v>sale_assumed</x:v>
      </x:c>
      <x:c r="G4859" s="11" t="n">
        <x:v>55</x:v>
      </x:c>
      <x:c r="H4859" s="12" t="n">
        <x:v>5350000000</x:v>
      </x:c>
      <x:c r="I4859" s="12" t="n">
        <x:v>97272727.27272727</x:v>
      </x:c>
      <x:c r="J4859" s="2" t="str">
        <x:v>total</x:v>
      </x:c>
      <x:c r="K4859" s="2" t="str">
        <x:v>top_level_area</x:v>
      </x:c>
      <x:c r="L4859" s="2" t="str">
        <x:v>property_type_inferred_from_title;transaction_assumed_sale_from_dataset_context</x:v>
      </x:c>
      <x:c r="M4859" s="10" t="n">
        <x:v>0</x:v>
      </x:c>
      <x:c r="N4859" s="10" t="n">
        <x:v>0</x:v>
      </x:c>
      <x:c r="O4859" s="2" t="str">
        <x:v>Tp Hồ Chí Minh|house</x:v>
      </x:c>
      <x:c r="P4859" s="10" t="n">
        <x:v>2</x:v>
      </x:c>
      <x:c r="Q4859" s="13" t="n">
        <x:f>IF(H4859="","",H4859/1000000000)</x:f>
        <x:v>5.35</x:v>
      </x:c>
      <x:c r="R4859" s="13" t="n">
        <x:f>IF(I4859="","",I4859/1000000)</x:f>
        <x:v>97.27272727272727</x:v>
      </x:c>
    </x:row>
    <x:row r="4860" ht="21" customHeight="1">
      <x:c r="A4860" s="10" t="n">
        <x:v>6427</x:v>
      </x:c>
      <x:c r="B4860" s="2" t="str">
        <x:v>43ff029c57f6c4d18798</x:v>
      </x:c>
      <x:c r="C4860" s="2" t="str">
        <x:v>Tp Hồ Chí Minh</x:v>
      </x:c>
      <x:c r="D4860" s="2" t="str">
        <x:v>Quận Bình Tân</x:v>
      </x:c>
      <x:c r="E4860" s="2" t="str">
        <x:v>house</x:v>
      </x:c>
      <x:c r="F4860" s="2" t="str">
        <x:v>sale</x:v>
      </x:c>
      <x:c r="G4860" s="11" t="n">
        <x:v>36</x:v>
      </x:c>
      <x:c r="H4860" s="12" t="n">
        <x:v>1460000000</x:v>
      </x:c>
      <x:c r="I4860" s="12" t="n">
        <x:v>40555555.55555555</x:v>
      </x:c>
      <x:c r="J4860" s="2" t="str">
        <x:v>total</x:v>
      </x:c>
      <x:c r="K4860" s="2" t="str">
        <x:v>top_level_area</x:v>
      </x:c>
      <x:c r="L4860" s="2" t="str">
        <x:v>property_type_inferred_from_title</x:v>
      </x:c>
      <x:c r="M4860" s="10" t="n">
        <x:v>0</x:v>
      </x:c>
      <x:c r="N4860" s="10" t="n">
        <x:v>0</x:v>
      </x:c>
      <x:c r="O4860" s="2" t="str">
        <x:v>Tp Hồ Chí Minh|house</x:v>
      </x:c>
      <x:c r="P4860" s="10" t="n">
        <x:v>2</x:v>
      </x:c>
      <x:c r="Q4860" s="13" t="n">
        <x:f>IF(H4860="","",H4860/1000000000)</x:f>
        <x:v>1.46</x:v>
      </x:c>
      <x:c r="R4860" s="13" t="n">
        <x:f>IF(I4860="","",I4860/1000000)</x:f>
        <x:v>40.55555555555555</x:v>
      </x:c>
    </x:row>
    <x:row r="4861" ht="21" customHeight="1">
      <x:c r="A4861" s="10" t="n">
        <x:v>6428</x:v>
      </x:c>
      <x:c r="B4861" s="2" t="str">
        <x:v>7f608bd790241e1224f7</x:v>
      </x:c>
      <x:c r="C4861" s="2" t="str">
        <x:v>Lâm Đồng</x:v>
      </x:c>
      <x:c r="D4861" s="2" t="str">
        <x:v>Thành phố Bảo Lộc</x:v>
      </x:c>
      <x:c r="E4861" s="2" t="str">
        <x:v>land</x:v>
      </x:c>
      <x:c r="F4861" s="2" t="str">
        <x:v>sale_assumed</x:v>
      </x:c>
      <x:c r="G4861" s="11" t="n">
        <x:v>257</x:v>
      </x:c>
      <x:c r="H4861" s="12" t="n">
        <x:v>962000000</x:v>
      </x:c>
      <x:c r="I4861" s="12" t="n">
        <x:v>3743190.661478599</x:v>
      </x:c>
      <x:c r="J4861" s="2" t="str">
        <x:v>total</x:v>
      </x:c>
      <x:c r="K4861" s="2" t="str">
        <x:v>top_level_area</x:v>
      </x:c>
      <x:c r="L4861" s="2" t="str">
        <x:v>property_type_inferred_from_title;transaction_assumed_sale_from_dataset_context</x:v>
      </x:c>
      <x:c r="M4861" s="10" t="n">
        <x:v>0</x:v>
      </x:c>
      <x:c r="N4861" s="10" t="n">
        <x:v>0</x:v>
      </x:c>
      <x:c r="O4861" s="2" t="str">
        <x:v>Lâm Đồng|land</x:v>
      </x:c>
      <x:c r="P4861" s="10" t="n">
        <x:v>1</x:v>
      </x:c>
      <x:c r="Q4861" s="13" t="n">
        <x:f>IF(H4861="","",H4861/1000000000)</x:f>
        <x:v>0.962</x:v>
      </x:c>
      <x:c r="R4861" s="13" t="n">
        <x:f>IF(I4861="","",I4861/1000000)</x:f>
        <x:v>3.7431906614785992</x:v>
      </x:c>
    </x:row>
    <x:row r="4862" ht="21" customHeight="1">
      <x:c r="A4862" s="10" t="n">
        <x:v>6429</x:v>
      </x:c>
      <x:c r="B4862" s="2" t="str">
        <x:v>1f0ed29dec0647c6ba67</x:v>
      </x:c>
      <x:c r="C4862" s="2" t="str">
        <x:v>Tp Hồ Chí Minh</x:v>
      </x:c>
      <x:c r="D4862" s="2" t="str">
        <x:v>Quận Tân Phú</x:v>
      </x:c>
      <x:c r="E4862" s="2" t="str">
        <x:v>house</x:v>
      </x:c>
      <x:c r="F4862" s="2" t="str">
        <x:v>sale_assumed</x:v>
      </x:c>
      <x:c r="G4862" s="11" t="n">
        <x:v>154</x:v>
      </x:c>
      <x:c r="H4862" s="12" t="n">
        <x:v>19700000000</x:v>
      </x:c>
      <x:c r="I4862" s="12" t="n">
        <x:v>127922077.92207792</x:v>
      </x:c>
      <x:c r="J4862" s="2" t="str">
        <x:v>total</x:v>
      </x:c>
      <x:c r="K4862" s="2" t="str">
        <x:v>top_level_area</x:v>
      </x:c>
      <x:c r="L4862" s="2" t="str">
        <x:v>property_type_inferred_from_title;transaction_assumed_sale_from_dataset_context</x:v>
      </x:c>
      <x:c r="M4862" s="10" t="n">
        <x:v>0</x:v>
      </x:c>
      <x:c r="N4862" s="10" t="n">
        <x:v>0</x:v>
      </x:c>
      <x:c r="O4862" s="2" t="str">
        <x:v>Tp Hồ Chí Minh|house</x:v>
      </x:c>
      <x:c r="P4862" s="10" t="n">
        <x:v>2</x:v>
      </x:c>
      <x:c r="Q4862" s="13" t="n">
        <x:f>IF(H4862="","",H4862/1000000000)</x:f>
        <x:v>19.7</x:v>
      </x:c>
      <x:c r="R4862" s="13" t="n">
        <x:f>IF(I4862="","",I4862/1000000)</x:f>
        <x:v>127.92207792207792</x:v>
      </x:c>
    </x:row>
    <x:row r="4863" ht="21" customHeight="1">
      <x:c r="A4863" s="10" t="n">
        <x:v>6430</x:v>
      </x:c>
      <x:c r="B4863" s="2" t="str">
        <x:v>8cc3bb0b2d2a61c2fedf</x:v>
      </x:c>
      <x:c r="C4863" s="2" t="str">
        <x:v>Hà Nội</x:v>
      </x:c>
      <x:c r="D4863" s="2" t="str">
        <x:v>Quận Hà Đông</x:v>
      </x:c>
      <x:c r="E4863" s="2" t="str">
        <x:v>apartment</x:v>
      </x:c>
      <x:c r="F4863" s="2" t="str">
        <x:v>sale_assumed</x:v>
      </x:c>
      <x:c r="G4863" s="11" t="n">
        <x:v>75</x:v>
      </x:c>
      <x:c r="H4863" s="12" t="n">
        <x:v>2000000000</x:v>
      </x:c>
      <x:c r="I4863" s="12" t="n">
        <x:v>26666666.666666668</x:v>
      </x:c>
      <x:c r="J4863" s="2" t="str">
        <x:v>total</x:v>
      </x:c>
      <x:c r="K4863" s="2" t="str">
        <x:v>top_level_area</x:v>
      </x:c>
      <x:c r="L4863" s="2" t="str">
        <x:v>property_type_inferred_from_title;transaction_assumed_sale_from_dataset_context</x:v>
      </x:c>
      <x:c r="M4863" s="10" t="n">
        <x:v>0</x:v>
      </x:c>
      <x:c r="N4863" s="10" t="n">
        <x:v>0</x:v>
      </x:c>
      <x:c r="O4863" s="2" t="str">
        <x:v>Hà Nội|apartment</x:v>
      </x:c>
      <x:c r="P4863" s="10" t="n">
        <x:v>2</x:v>
      </x:c>
      <x:c r="Q4863" s="13" t="n">
        <x:f>IF(H4863="","",H4863/1000000000)</x:f>
        <x:v>2</x:v>
      </x:c>
      <x:c r="R4863" s="13" t="n">
        <x:f>IF(I4863="","",I4863/1000000)</x:f>
        <x:v>26.666666666666668</x:v>
      </x:c>
    </x:row>
    <x:row r="4864" ht="21" customHeight="1">
      <x:c r="A4864" s="10" t="n">
        <x:v>6431</x:v>
      </x:c>
      <x:c r="B4864" s="2" t="str">
        <x:v>5347a345dfddab81bfd1</x:v>
      </x:c>
      <x:c r="C4864" s="2" t="str">
        <x:v>Tp Hồ Chí Minh</x:v>
      </x:c>
      <x:c r="D4864" s="2" t="str">
        <x:v>Quận 6</x:v>
      </x:c>
      <x:c r="E4864" s="2" t="str">
        <x:v>house</x:v>
      </x:c>
      <x:c r="F4864" s="2" t="str">
        <x:v>sale</x:v>
      </x:c>
      <x:c r="G4864" s="11" t="n">
        <x:v>20</x:v>
      </x:c>
      <x:c r="H4864" s="12" t="n">
        <x:v>2600000000</x:v>
      </x:c>
      <x:c r="I4864" s="12" t="n">
        <x:v>130000000</x:v>
      </x:c>
      <x:c r="J4864" s="2" t="str">
        <x:v>total</x:v>
      </x:c>
      <x:c r="K4864" s="2" t="str">
        <x:v>top_level_area</x:v>
      </x:c>
      <x:c r="L4864" s="2" t="str">
        <x:v>property_type_inferred_from_title</x:v>
      </x:c>
      <x:c r="M4864" s="10" t="n">
        <x:v>0</x:v>
      </x:c>
      <x:c r="N4864" s="10" t="n">
        <x:v>0</x:v>
      </x:c>
      <x:c r="O4864" s="2" t="str">
        <x:v>Tp Hồ Chí Minh|house</x:v>
      </x:c>
      <x:c r="P4864" s="10" t="n">
        <x:v>2</x:v>
      </x:c>
      <x:c r="Q4864" s="13" t="n">
        <x:f>IF(H4864="","",H4864/1000000000)</x:f>
        <x:v>2.6</x:v>
      </x:c>
      <x:c r="R4864" s="13" t="n">
        <x:f>IF(I4864="","",I4864/1000000)</x:f>
        <x:v>130</x:v>
      </x:c>
    </x:row>
    <x:row r="4865" ht="21" customHeight="1">
      <x:c r="A4865" s="10" t="n">
        <x:v>6432</x:v>
      </x:c>
      <x:c r="B4865" s="2" t="str">
        <x:v>bcf8ab6155cdcf2128f4</x:v>
      </x:c>
      <x:c r="C4865" s="2" t="str">
        <x:v>Tp Hồ Chí Minh</x:v>
      </x:c>
      <x:c r="D4865" s="2" t="str">
        <x:v>Quận Thủ Đức</x:v>
      </x:c>
      <x:c r="E4865" s="2" t="str">
        <x:v>house</x:v>
      </x:c>
      <x:c r="F4865" s="2" t="str">
        <x:v>sale_assumed</x:v>
      </x:c>
      <x:c r="G4865" s="11" t="n">
        <x:v>52</x:v>
      </x:c>
      <x:c r="H4865" s="12" t="n">
        <x:v>5700000000</x:v>
      </x:c>
      <x:c r="I4865" s="12" t="n">
        <x:v>109615384.61538461</x:v>
      </x:c>
      <x:c r="J4865" s="2" t="str">
        <x:v>total</x:v>
      </x:c>
      <x:c r="K4865" s="2" t="str">
        <x:v>top_level_area</x:v>
      </x:c>
      <x:c r="L4865" s="2" t="str">
        <x:v>property_type_inferred_from_title;transaction_assumed_sale_from_dataset_context</x:v>
      </x:c>
      <x:c r="M4865" s="10" t="n">
        <x:v>0</x:v>
      </x:c>
      <x:c r="N4865" s="10" t="n">
        <x:v>0</x:v>
      </x:c>
      <x:c r="O4865" s="2" t="str">
        <x:v>Tp Hồ Chí Minh|house</x:v>
      </x:c>
      <x:c r="P4865" s="10" t="n">
        <x:v>2</x:v>
      </x:c>
      <x:c r="Q4865" s="13" t="n">
        <x:f>IF(H4865="","",H4865/1000000000)</x:f>
        <x:v>5.7</x:v>
      </x:c>
      <x:c r="R4865" s="13" t="n">
        <x:f>IF(I4865="","",I4865/1000000)</x:f>
        <x:v>109.61538461538461</x:v>
      </x:c>
    </x:row>
    <x:row r="4866" ht="21" customHeight="1">
      <x:c r="A4866" s="10" t="n">
        <x:v>6433</x:v>
      </x:c>
      <x:c r="B4866" s="2" t="str">
        <x:v>2bd7f99aa16abc1201f6</x:v>
      </x:c>
      <x:c r="C4866" s="2" t="str">
        <x:v>Lâm Đồng</x:v>
      </x:c>
      <x:c r="D4866" s="2" t="str">
        <x:v>Thành phố Bảo Lộc</x:v>
      </x:c>
      <x:c r="E4866" s="2" t="str">
        <x:v>house</x:v>
      </x:c>
      <x:c r="F4866" s="2" t="str">
        <x:v>sale_assumed</x:v>
      </x:c>
      <x:c r="G4866" s="11" t="n">
        <x:v>909</x:v>
      </x:c>
      <x:c r="H4866" s="12" t="n">
        <x:v>4099999999.9999995</x:v>
      </x:c>
      <x:c r="I4866" s="12" t="n">
        <x:v>4510451.04510451</x:v>
      </x:c>
      <x:c r="J4866" s="2" t="str">
        <x:v>total</x:v>
      </x:c>
      <x:c r="K4866" s="2" t="str">
        <x:v>top_level_area</x:v>
      </x:c>
      <x:c r="L4866" s="2" t="str">
        <x:v>property_type_inferred_from_title;transaction_assumed_sale_from_dataset_context</x:v>
      </x:c>
      <x:c r="M4866" s="10" t="n">
        <x:v>0</x:v>
      </x:c>
      <x:c r="N4866" s="10" t="n">
        <x:v>0</x:v>
      </x:c>
      <x:c r="O4866" s="2" t="str">
        <x:v>house</x:v>
      </x:c>
      <x:c r="P4866" s="10" t="n">
        <x:v>1</x:v>
      </x:c>
      <x:c r="Q4866" s="13" t="n">
        <x:f>IF(H4866="","",H4866/1000000000)</x:f>
        <x:v>4.1</x:v>
      </x:c>
      <x:c r="R4866" s="13" t="n">
        <x:f>IF(I4866="","",I4866/1000000)</x:f>
        <x:v>4.51045104510451</x:v>
      </x:c>
    </x:row>
    <x:row r="4867" ht="21" customHeight="1">
      <x:c r="A4867" s="10" t="n">
        <x:v>6434</x:v>
      </x:c>
      <x:c r="B4867" s="2" t="str">
        <x:v>a18d8d44a92f152ba2d0</x:v>
      </x:c>
      <x:c r="C4867" s="2" t="str">
        <x:v>Đà Nẵng</x:v>
      </x:c>
      <x:c r="D4867" s="2" t="str">
        <x:v>Quận Thanh Khê</x:v>
      </x:c>
      <x:c r="E4867" s="2" t="str">
        <x:v>house</x:v>
      </x:c>
      <x:c r="F4867" s="2" t="str">
        <x:v>sale</x:v>
      </x:c>
      <x:c r="G4867" s="11" t="n">
        <x:v>81</x:v>
      </x:c>
      <x:c r="H4867" s="12" t="n">
        <x:v>2950000000</x:v>
      </x:c>
      <x:c r="I4867" s="12" t="n">
        <x:v>36419753.086419754</x:v>
      </x:c>
      <x:c r="J4867" s="2" t="str">
        <x:v>total</x:v>
      </x:c>
      <x:c r="K4867" s="2" t="str">
        <x:v>top_level_area</x:v>
      </x:c>
      <x:c r="L4867" s="2" t="str">
        <x:v>property_type_inferred_from_title</x:v>
      </x:c>
      <x:c r="M4867" s="10" t="n">
        <x:v>0</x:v>
      </x:c>
      <x:c r="N4867" s="10" t="n">
        <x:v>0</x:v>
      </x:c>
      <x:c r="O4867" s="2" t="str">
        <x:v>Đà Nẵng|house</x:v>
      </x:c>
      <x:c r="P4867" s="10" t="n">
        <x:v>2</x:v>
      </x:c>
      <x:c r="Q4867" s="13" t="n">
        <x:f>IF(H4867="","",H4867/1000000000)</x:f>
        <x:v>2.95</x:v>
      </x:c>
      <x:c r="R4867" s="13" t="n">
        <x:f>IF(I4867="","",I4867/1000000)</x:f>
        <x:v>36.41975308641975</x:v>
      </x:c>
    </x:row>
    <x:row r="4868" ht="21" customHeight="1">
      <x:c r="A4868" s="10" t="n">
        <x:v>6435</x:v>
      </x:c>
      <x:c r="B4868" s="2" t="str">
        <x:v>17454a10d2f9c6f9b165</x:v>
      </x:c>
      <x:c r="C4868" s="2" t="str">
        <x:v>Đà Nẵng</x:v>
      </x:c>
      <x:c r="D4868" s="2" t="str">
        <x:v>Quận Thanh Khê</x:v>
      </x:c>
      <x:c r="E4868" s="2" t="str">
        <x:v>house</x:v>
      </x:c>
      <x:c r="F4868" s="2" t="str">
        <x:v>sale</x:v>
      </x:c>
      <x:c r="G4868" s="11" t="n">
        <x:v>50</x:v>
      </x:c>
      <x:c r="H4868" s="12" t="n">
        <x:v>1950000000</x:v>
      </x:c>
      <x:c r="I4868" s="12" t="n">
        <x:v>39000000</x:v>
      </x:c>
      <x:c r="J4868" s="2" t="str">
        <x:v>total</x:v>
      </x:c>
      <x:c r="K4868" s="2" t="str">
        <x:v>top_level_area</x:v>
      </x:c>
      <x:c r="L4868" s="2" t="str">
        <x:v>property_type_inferred_from_title</x:v>
      </x:c>
      <x:c r="M4868" s="10" t="n">
        <x:v>0</x:v>
      </x:c>
      <x:c r="N4868" s="10" t="n">
        <x:v>0</x:v>
      </x:c>
      <x:c r="O4868" s="2" t="str">
        <x:v>Đà Nẵng|house</x:v>
      </x:c>
      <x:c r="P4868" s="10" t="n">
        <x:v>2</x:v>
      </x:c>
      <x:c r="Q4868" s="13" t="n">
        <x:f>IF(H4868="","",H4868/1000000000)</x:f>
        <x:v>1.95</x:v>
      </x:c>
      <x:c r="R4868" s="13" t="n">
        <x:f>IF(I4868="","",I4868/1000000)</x:f>
        <x:v>39</x:v>
      </x:c>
    </x:row>
    <x:row r="4869" ht="21" customHeight="1">
      <x:c r="A4869" s="10" t="n">
        <x:v>6436</x:v>
      </x:c>
      <x:c r="B4869" s="2" t="str">
        <x:v>d81c44d607b66bad6ea1</x:v>
      </x:c>
      <x:c r="C4869" s="2" t="str">
        <x:v>Hà Nội</x:v>
      </x:c>
      <x:c r="D4869" s="2" t="str">
        <x:v>Huyện Gia Lâm</x:v>
      </x:c>
      <x:c r="E4869" s="2" t="str">
        <x:v>land</x:v>
      </x:c>
      <x:c r="F4869" s="2" t="str">
        <x:v>sale_assumed</x:v>
      </x:c>
      <x:c r="G4869" s="11" t="n">
        <x:v>43</x:v>
      </x:c>
      <x:c r="H4869" s="12" t="n">
        <x:v>1970000000</x:v>
      </x:c>
      <x:c r="I4869" s="12" t="n">
        <x:v>45813953.488372095</x:v>
      </x:c>
      <x:c r="J4869" s="2" t="str">
        <x:v>total</x:v>
      </x:c>
      <x:c r="K4869" s="2" t="str">
        <x:v>top_level_price_embedded_area</x:v>
      </x:c>
      <x:c r="L4869" s="2" t="str">
        <x:v>area_recovered_from_price_text;property_type_inferred_from_title;transaction_assumed_sale_from_dataset_context</x:v>
      </x:c>
      <x:c r="M4869" s="10" t="n">
        <x:v>0</x:v>
      </x:c>
      <x:c r="N4869" s="10" t="n">
        <x:v>0</x:v>
      </x:c>
      <x:c r="O4869" s="2" t="str">
        <x:v>Hà Nội|land</x:v>
      </x:c>
      <x:c r="P4869" s="10" t="n">
        <x:v>2</x:v>
      </x:c>
      <x:c r="Q4869" s="13" t="n">
        <x:f>IF(H4869="","",H4869/1000000000)</x:f>
        <x:v>1.97</x:v>
      </x:c>
      <x:c r="R4869" s="13" t="n">
        <x:f>IF(I4869="","",I4869/1000000)</x:f>
        <x:v>45.81395348837209</x:v>
      </x:c>
    </x:row>
    <x:row r="4870" ht="21" customHeight="1">
      <x:c r="A4870" s="10" t="n">
        <x:v>6437</x:v>
      </x:c>
      <x:c r="B4870" s="2" t="str">
        <x:v>b2d7c5b36b3b0b7f8730</x:v>
      </x:c>
      <x:c r="C4870" s="2" t="str">
        <x:v>Lâm Đồng</x:v>
      </x:c>
      <x:c r="D4870" s="2" t="str">
        <x:v>Huyện Đạ Huoai</x:v>
      </x:c>
      <x:c r="E4870" s="2" t="str">
        <x:v>land</x:v>
      </x:c>
      <x:c r="F4870" s="2" t="str">
        <x:v>sale</x:v>
      </x:c>
      <x:c r="G4870" s="11" t="n">
        <x:v>1200</x:v>
      </x:c>
      <x:c r="H4870" s="12" t="n">
        <x:v>700000000</x:v>
      </x:c>
      <x:c r="I4870" s="12" t="n">
        <x:v>583333.3333333334</x:v>
      </x:c>
      <x:c r="J4870" s="2" t="str">
        <x:v>total</x:v>
      </x:c>
      <x:c r="K4870" s="2" t="str">
        <x:v>top_level_area</x:v>
      </x:c>
      <x:c r="L4870" s="2" t="str">
        <x:v>dot_thousands_convention;property_type_inferred_from_title</x:v>
      </x:c>
      <x:c r="M4870" s="10" t="n">
        <x:v>0</x:v>
      </x:c>
      <x:c r="N4870" s="10" t="n">
        <x:v>0</x:v>
      </x:c>
      <x:c r="O4870" s="2" t="str">
        <x:v>Lâm Đồng|land</x:v>
      </x:c>
      <x:c r="P4870" s="10" t="n">
        <x:v>1</x:v>
      </x:c>
      <x:c r="Q4870" s="13" t="n">
        <x:f>IF(H4870="","",H4870/1000000000)</x:f>
        <x:v>0.7</x:v>
      </x:c>
      <x:c r="R4870" s="13" t="n">
        <x:f>IF(I4870="","",I4870/1000000)</x:f>
        <x:v>0.5833333333333334</x:v>
      </x:c>
    </x:row>
    <x:row r="4871" ht="21" customHeight="1">
      <x:c r="A4871" s="10" t="n">
        <x:v>6440</x:v>
      </x:c>
      <x:c r="B4871" s="2" t="str">
        <x:v>3e644ffbb1cb129af1ed</x:v>
      </x:c>
      <x:c r="C4871" s="2" t="str">
        <x:v>Tp Hồ Chí Minh</x:v>
      </x:c>
      <x:c r="D4871" s="2" t="str">
        <x:v>Quận 8</x:v>
      </x:c>
      <x:c r="E4871" s="2" t="str">
        <x:v>house</x:v>
      </x:c>
      <x:c r="F4871" s="2" t="str">
        <x:v>sale_assumed</x:v>
      </x:c>
      <x:c r="G4871" s="11" t="n">
        <x:v>54</x:v>
      </x:c>
      <x:c r="H4871" s="12" t="n">
        <x:v>4500000000</x:v>
      </x:c>
      <x:c r="I4871" s="12" t="n">
        <x:v>83333333.33333333</x:v>
      </x:c>
      <x:c r="J4871" s="2" t="str">
        <x:v>total</x:v>
      </x:c>
      <x:c r="K4871" s="2" t="str">
        <x:v>top_level_area</x:v>
      </x:c>
      <x:c r="L4871" s="2" t="str">
        <x:v>property_type_inferred_from_title;transaction_assumed_sale_from_dataset_context</x:v>
      </x:c>
      <x:c r="M4871" s="10" t="n">
        <x:v>0</x:v>
      </x:c>
      <x:c r="N4871" s="10" t="n">
        <x:v>0</x:v>
      </x:c>
      <x:c r="O4871" s="2" t="str">
        <x:v>Tp Hồ Chí Minh|house</x:v>
      </x:c>
      <x:c r="P4871" s="10" t="n">
        <x:v>2</x:v>
      </x:c>
      <x:c r="Q4871" s="13" t="n">
        <x:f>IF(H4871="","",H4871/1000000000)</x:f>
        <x:v>4.5</x:v>
      </x:c>
      <x:c r="R4871" s="13" t="n">
        <x:f>IF(I4871="","",I4871/1000000)</x:f>
        <x:v>83.33333333333333</x:v>
      </x:c>
    </x:row>
    <x:row r="4872" ht="21" customHeight="1">
      <x:c r="A4872" s="10" t="n">
        <x:v>6441</x:v>
      </x:c>
      <x:c r="B4872" s="2" t="str">
        <x:v>4f4ef5131ad5d4f762c7</x:v>
      </x:c>
      <x:c r="C4872" s="2" t="str">
        <x:v>Tp Hồ Chí Minh</x:v>
      </x:c>
      <x:c r="D4872" s="2" t="str">
        <x:v>Quận 7</x:v>
      </x:c>
      <x:c r="E4872" s="2" t="str">
        <x:v>house</x:v>
      </x:c>
      <x:c r="F4872" s="2" t="str">
        <x:v>sale</x:v>
      </x:c>
      <x:c r="G4872" s="11" t="n">
        <x:v>19</x:v>
      </x:c>
      <x:c r="H4872" s="12" t="n">
        <x:v>1900000000</x:v>
      </x:c>
      <x:c r="I4872" s="12" t="n">
        <x:v>100000000</x:v>
      </x:c>
      <x:c r="J4872" s="2" t="str">
        <x:v>total</x:v>
      </x:c>
      <x:c r="K4872" s="2" t="str">
        <x:v>top_level_area</x:v>
      </x:c>
      <x:c r="L4872" s="2" t="str">
        <x:v>property_type_inferred_from_title</x:v>
      </x:c>
      <x:c r="M4872" s="10" t="n">
        <x:v>0</x:v>
      </x:c>
      <x:c r="N4872" s="10" t="n">
        <x:v>0</x:v>
      </x:c>
      <x:c r="O4872" s="2" t="str">
        <x:v>Tp Hồ Chí Minh|house</x:v>
      </x:c>
      <x:c r="P4872" s="10" t="n">
        <x:v>2</x:v>
      </x:c>
      <x:c r="Q4872" s="13" t="n">
        <x:f>IF(H4872="","",H4872/1000000000)</x:f>
        <x:v>1.9</x:v>
      </x:c>
      <x:c r="R4872" s="13" t="n">
        <x:f>IF(I4872="","",I4872/1000000)</x:f>
        <x:v>100</x:v>
      </x:c>
    </x:row>
    <x:row r="4873" ht="21" customHeight="1">
      <x:c r="A4873" s="10" t="n">
        <x:v>6442</x:v>
      </x:c>
      <x:c r="B4873" s="2" t="str">
        <x:v>2e1c4b54bb18914e70c7</x:v>
      </x:c>
      <x:c r="C4873" s="2" t="str">
        <x:v>Thanh Hóa</x:v>
      </x:c>
      <x:c r="D4873" s="2" t="str">
        <x:v>Thành phố Thanh Hóa</x:v>
      </x:c>
      <x:c r="E4873" s="2" t="str">
        <x:v>land</x:v>
      </x:c>
      <x:c r="F4873" s="2" t="str">
        <x:v>sale</x:v>
      </x:c>
      <x:c r="G4873" s="11" t="n">
        <x:v>100</x:v>
      </x:c>
      <x:c r="H4873" s="12" t="n">
        <x:v>1234567000</x:v>
      </x:c>
      <x:c r="I4873" s="12" t="n">
        <x:v>12345670</x:v>
      </x:c>
      <x:c r="J4873" s="2" t="str">
        <x:v>total</x:v>
      </x:c>
      <x:c r="K4873" s="2" t="str">
        <x:v>top_level_area</x:v>
      </x:c>
      <x:c r="L4873" s="2" t="str">
        <x:v>property_type_inferred_from_title</x:v>
      </x:c>
      <x:c r="M4873" s="10" t="n">
        <x:v>0</x:v>
      </x:c>
      <x:c r="N4873" s="10" t="n">
        <x:v>0</x:v>
      </x:c>
      <x:c r="O4873" s="2" t="str">
        <x:v>land</x:v>
      </x:c>
      <x:c r="P4873" s="10" t="n">
        <x:v>2</x:v>
      </x:c>
      <x:c r="Q4873" s="13" t="n">
        <x:f>IF(H4873="","",H4873/1000000000)</x:f>
        <x:v>1.234567</x:v>
      </x:c>
      <x:c r="R4873" s="13" t="n">
        <x:f>IF(I4873="","",I4873/1000000)</x:f>
        <x:v>12.34567</x:v>
      </x:c>
    </x:row>
    <x:row r="4874" ht="21" customHeight="1">
      <x:c r="A4874" s="10" t="n">
        <x:v>6443</x:v>
      </x:c>
      <x:c r="B4874" s="2" t="str">
        <x:v>4e615945d9b45cb10177</x:v>
      </x:c>
      <x:c r="C4874" s="2" t="str">
        <x:v>Tp Hồ Chí Minh</x:v>
      </x:c>
      <x:c r="D4874" s="2" t="str">
        <x:v>quận 2</x:v>
      </x:c>
      <x:c r="E4874" s="2" t="str">
        <x:v>apartment</x:v>
      </x:c>
      <x:c r="F4874" s="2" t="str">
        <x:v>sale_assumed</x:v>
      </x:c>
      <x:c r="G4874" s="11" t="n">
        <x:v>53</x:v>
      </x:c>
      <x:c r="H4874" s="12" t="n">
        <x:v>2067000000.0000002</x:v>
      </x:c>
      <x:c r="I4874" s="12" t="n">
        <x:v>39000000.00000001</x:v>
      </x:c>
      <x:c r="J4874" s="2" t="str">
        <x:v>total</x:v>
      </x:c>
      <x:c r="K4874" s="2" t="str">
        <x:v>top_level_area</x:v>
      </x:c>
      <x:c r="L4874" s="2" t="str">
        <x:v>property_type_inferred_from_title;province_alias_normalized;transaction_assumed_sale_from_dataset_context</x:v>
      </x:c>
      <x:c r="M4874" s="10" t="n">
        <x:v>0</x:v>
      </x:c>
      <x:c r="N4874" s="10" t="n">
        <x:v>0</x:v>
      </x:c>
      <x:c r="O4874" s="2" t="str">
        <x:v>Tp Hồ Chí Minh|apartment</x:v>
      </x:c>
      <x:c r="P4874" s="10" t="n">
        <x:v>2</x:v>
      </x:c>
      <x:c r="Q4874" s="13" t="n">
        <x:f>IF(H4874="","",H4874/1000000000)</x:f>
        <x:v>2.067</x:v>
      </x:c>
      <x:c r="R4874" s="13" t="n">
        <x:f>IF(I4874="","",I4874/1000000)</x:f>
        <x:v>39.00000000000001</x:v>
      </x:c>
    </x:row>
    <x:row r="4875" ht="21" customHeight="1">
      <x:c r="A4875" s="10" t="n">
        <x:v>6445</x:v>
      </x:c>
      <x:c r="B4875" s="2" t="str">
        <x:v>c12917253c9701f45688</x:v>
      </x:c>
      <x:c r="C4875" s="2" t="str">
        <x:v>Tp Hồ Chí Minh</x:v>
      </x:c>
      <x:c r="D4875" s="2" t="str">
        <x:v>Quận 2</x:v>
      </x:c>
      <x:c r="E4875" s="2" t="str">
        <x:v>apartment</x:v>
      </x:c>
      <x:c r="F4875" s="2" t="str">
        <x:v>sale_assumed</x:v>
      </x:c>
      <x:c r="G4875" s="11" t="n">
        <x:v>75</x:v>
      </x:c>
      <x:c r="H4875" s="12" t="n">
        <x:v>2300000000</x:v>
      </x:c>
      <x:c r="I4875" s="12" t="n">
        <x:v>30666666.666666668</x:v>
      </x:c>
      <x:c r="J4875" s="2" t="str">
        <x:v>total</x:v>
      </x:c>
      <x:c r="K4875" s="2" t="str">
        <x:v>top_level_area</x:v>
      </x:c>
      <x:c r="L4875" s="2" t="str">
        <x:v>property_type_inferred_from_title;transaction_assumed_sale_from_dataset_context</x:v>
      </x:c>
      <x:c r="M4875" s="10" t="n">
        <x:v>0</x:v>
      </x:c>
      <x:c r="N4875" s="10" t="n">
        <x:v>0</x:v>
      </x:c>
      <x:c r="O4875" s="2" t="str">
        <x:v>Tp Hồ Chí Minh|apartment</x:v>
      </x:c>
      <x:c r="P4875" s="10" t="n">
        <x:v>2</x:v>
      </x:c>
      <x:c r="Q4875" s="13" t="n">
        <x:f>IF(H4875="","",H4875/1000000000)</x:f>
        <x:v>2.3</x:v>
      </x:c>
      <x:c r="R4875" s="13" t="n">
        <x:f>IF(I4875="","",I4875/1000000)</x:f>
        <x:v>30.666666666666668</x:v>
      </x:c>
    </x:row>
    <x:row r="4876" ht="21" customHeight="1">
      <x:c r="A4876" s="10" t="n">
        <x:v>6446</x:v>
      </x:c>
      <x:c r="B4876" s="2" t="str">
        <x:v>8bc3ccae30ecf1aec4dc</x:v>
      </x:c>
      <x:c r="C4876" s="2" t="str">
        <x:v>Lâm Đồng</x:v>
      </x:c>
      <x:c r="D4876" s="2" t="str">
        <x:v>Thành phố Đà Lạt</x:v>
      </x:c>
      <x:c r="E4876" s="2" t="str">
        <x:v>land</x:v>
      </x:c>
      <x:c r="F4876" s="2" t="str">
        <x:v>sale_assumed</x:v>
      </x:c>
      <x:c r="G4876" s="11" t="n">
        <x:v>250</x:v>
      </x:c>
      <x:c r="H4876" s="12" t="n">
        <x:v>7200000000</x:v>
      </x:c>
      <x:c r="I4876" s="12" t="n">
        <x:v>28800000</x:v>
      </x:c>
      <x:c r="J4876" s="2" t="str">
        <x:v>total</x:v>
      </x:c>
      <x:c r="K4876" s="2" t="str">
        <x:v>top_level_area</x:v>
      </x:c>
      <x:c r="L4876" s="2" t="str">
        <x:v>property_type_inferred_from_title;transaction_assumed_sale_from_dataset_context</x:v>
      </x:c>
      <x:c r="M4876" s="10" t="n">
        <x:v>0</x:v>
      </x:c>
      <x:c r="N4876" s="10" t="n">
        <x:v>1</x:v>
      </x:c>
      <x:c r="O4876" s="2" t="str">
        <x:v>Lâm Đồng|land</x:v>
      </x:c>
      <x:c r="P4876" s="10" t="n">
        <x:v>-1</x:v>
      </x:c>
      <x:c r="Q4876" s="13" t="n">
        <x:f>IF(H4876="","",H4876/1000000000)</x:f>
        <x:v>7.2</x:v>
      </x:c>
      <x:c r="R4876" s="13" t="n">
        <x:f>IF(I4876="","",I4876/1000000)</x:f>
        <x:v>28.8</x:v>
      </x:c>
    </x:row>
    <x:row r="4877" ht="21" customHeight="1">
      <x:c r="A4877" s="10" t="n">
        <x:v>6447</x:v>
      </x:c>
      <x:c r="B4877" s="2" t="str">
        <x:v>c263deaf9fa3b97f98f1</x:v>
      </x:c>
      <x:c r="C4877" s="2" t="str">
        <x:v>Đà Nẵng</x:v>
      </x:c>
      <x:c r="D4877" s="2" t="str">
        <x:v>Huyện Hòa Vang</x:v>
      </x:c>
      <x:c r="E4877" s="2" t="str">
        <x:v>land</x:v>
      </x:c>
      <x:c r="F4877" s="2" t="str">
        <x:v>sale</x:v>
      </x:c>
      <x:c r="G4877" s="11" t="n">
        <x:v>2050</x:v>
      </x:c>
      <x:c r="H4877" s="12" t="n">
        <x:v>1650000000</x:v>
      </x:c>
      <x:c r="I4877" s="12" t="n">
        <x:v>804878.0487804879</x:v>
      </x:c>
      <x:c r="J4877" s="2" t="str">
        <x:v>total</x:v>
      </x:c>
      <x:c r="K4877" s="2" t="str">
        <x:v>top_level_area</x:v>
      </x:c>
      <x:c r="L4877" s="2" t="str">
        <x:v>dot_thousands_convention;property_type_inferred_from_title</x:v>
      </x:c>
      <x:c r="M4877" s="10" t="n">
        <x:v>0</x:v>
      </x:c>
      <x:c r="N4877" s="10" t="n">
        <x:v>0</x:v>
      </x:c>
      <x:c r="O4877" s="2" t="str">
        <x:v>Đà Nẵng|land</x:v>
      </x:c>
      <x:c r="P4877" s="10" t="n">
        <x:v>1</x:v>
      </x:c>
      <x:c r="Q4877" s="13" t="n">
        <x:f>IF(H4877="","",H4877/1000000000)</x:f>
        <x:v>1.65</x:v>
      </x:c>
      <x:c r="R4877" s="13" t="n">
        <x:f>IF(I4877="","",I4877/1000000)</x:f>
        <x:v>0.8048780487804879</x:v>
      </x:c>
    </x:row>
    <x:row r="4878" ht="21" customHeight="1">
      <x:c r="A4878" s="10" t="n">
        <x:v>6448</x:v>
      </x:c>
      <x:c r="B4878" s="2" t="str">
        <x:v>52d3caa267f880f5336c</x:v>
      </x:c>
      <x:c r="C4878" s="2" t="str">
        <x:v>Tp Hồ Chí Minh</x:v>
      </x:c>
      <x:c r="D4878" s="2" t="str">
        <x:v>Quận Thủ Đức</x:v>
      </x:c>
      <x:c r="E4878" s="2" t="str">
        <x:v>apartment</x:v>
      </x:c>
      <x:c r="F4878" s="2" t="str">
        <x:v>sale_assumed</x:v>
      </x:c>
      <x:c r="G4878" s="11" t="n">
        <x:v>69</x:v>
      </x:c>
      <x:c r="H4878" s="12" t="n">
        <x:v>2000000000</x:v>
      </x:c>
      <x:c r="I4878" s="12" t="n">
        <x:v>28985507.246376812</x:v>
      </x:c>
      <x:c r="J4878" s="2" t="str">
        <x:v>total</x:v>
      </x:c>
      <x:c r="K4878" s="2" t="str">
        <x:v>top_level_area</x:v>
      </x:c>
      <x:c r="L4878" s="2" t="str">
        <x:v>property_type_inferred_from_title;transaction_assumed_sale_from_dataset_context</x:v>
      </x:c>
      <x:c r="M4878" s="10" t="n">
        <x:v>0</x:v>
      </x:c>
      <x:c r="N4878" s="10" t="n">
        <x:v>0</x:v>
      </x:c>
      <x:c r="O4878" s="2" t="str">
        <x:v>Tp Hồ Chí Minh|apartment</x:v>
      </x:c>
      <x:c r="P4878" s="10" t="n">
        <x:v>2</x:v>
      </x:c>
      <x:c r="Q4878" s="13" t="n">
        <x:f>IF(H4878="","",H4878/1000000000)</x:f>
        <x:v>2</x:v>
      </x:c>
      <x:c r="R4878" s="13" t="n">
        <x:f>IF(I4878="","",I4878/1000000)</x:f>
        <x:v>28.985507246376812</x:v>
      </x:c>
    </x:row>
    <x:row r="4879" ht="21" customHeight="1">
      <x:c r="A4879" s="10" t="n">
        <x:v>6449</x:v>
      </x:c>
      <x:c r="B4879" s="2" t="str">
        <x:v>295c8dfa9c89ec706d3a</x:v>
      </x:c>
      <x:c r="C4879" s="2" t="str">
        <x:v>Tp Hồ Chí Minh</x:v>
      </x:c>
      <x:c r="D4879" s="2" t="str">
        <x:v>Quận Gò Vấp</x:v>
      </x:c>
      <x:c r="E4879" s="2" t="str">
        <x:v>house</x:v>
      </x:c>
      <x:c r="F4879" s="2" t="str">
        <x:v>sale_assumed</x:v>
      </x:c>
      <x:c r="G4879" s="11" t="n">
        <x:v>68</x:v>
      </x:c>
      <x:c r="H4879" s="12" t="n">
        <x:v>12000000000</x:v>
      </x:c>
      <x:c r="I4879" s="12" t="n">
        <x:v>176470588.2352941</x:v>
      </x:c>
      <x:c r="J4879" s="2" t="str">
        <x:v>total</x:v>
      </x:c>
      <x:c r="K4879" s="2" t="str">
        <x:v>top_level_area</x:v>
      </x:c>
      <x:c r="L4879" s="2" t="str">
        <x:v>property_type_inferred_from_title;transaction_assumed_sale_from_dataset_context</x:v>
      </x:c>
      <x:c r="M4879" s="10" t="n">
        <x:v>1</x:v>
      </x:c>
      <x:c r="N4879" s="10" t="n">
        <x:v>0</x:v>
      </x:c>
      <x:c r="O4879" s="2" t="str">
        <x:v>Tp Hồ Chí Minh|house</x:v>
      </x:c>
      <x:c r="P4879" s="10" t="n">
        <x:v>2</x:v>
      </x:c>
      <x:c r="Q4879" s="13" t="n">
        <x:f>IF(H4879="","",H4879/1000000000)</x:f>
        <x:v>12</x:v>
      </x:c>
      <x:c r="R4879" s="13" t="n">
        <x:f>IF(I4879="","",I4879/1000000)</x:f>
        <x:v>176.47058823529412</x:v>
      </x:c>
    </x:row>
    <x:row r="4880" ht="21" customHeight="1">
      <x:c r="A4880" s="10" t="n">
        <x:v>6450</x:v>
      </x:c>
      <x:c r="B4880" s="2" t="str">
        <x:v>08f43d1b8722c92727c9</x:v>
      </x:c>
      <x:c r="C4880" s="2" t="str">
        <x:v>Tp Hồ Chí Minh</x:v>
      </x:c>
      <x:c r="D4880" s="2" t="str">
        <x:v>Quận 8</x:v>
      </x:c>
      <x:c r="E4880" s="2" t="str">
        <x:v>house</x:v>
      </x:c>
      <x:c r="F4880" s="2" t="str">
        <x:v>sale_assumed</x:v>
      </x:c>
      <x:c r="G4880" s="11" t="n">
        <x:v>23</x:v>
      </x:c>
      <x:c r="H4880" s="12" t="n">
        <x:v>1450000000</x:v>
      </x:c>
      <x:c r="I4880" s="12" t="n">
        <x:v>63043478.26086956</x:v>
      </x:c>
      <x:c r="J4880" s="2" t="str">
        <x:v>total</x:v>
      </x:c>
      <x:c r="K4880" s="2" t="str">
        <x:v>top_level_area</x:v>
      </x:c>
      <x:c r="L4880" s="2" t="str">
        <x:v>property_type_inferred_from_title;transaction_assumed_sale_from_dataset_context</x:v>
      </x:c>
      <x:c r="M4880" s="10" t="n">
        <x:v>0</x:v>
      </x:c>
      <x:c r="N4880" s="10" t="n">
        <x:v>0</x:v>
      </x:c>
      <x:c r="O4880" s="2" t="str">
        <x:v>Tp Hồ Chí Minh|house</x:v>
      </x:c>
      <x:c r="P4880" s="10" t="n">
        <x:v>2</x:v>
      </x:c>
      <x:c r="Q4880" s="13" t="n">
        <x:f>IF(H4880="","",H4880/1000000000)</x:f>
        <x:v>1.45</x:v>
      </x:c>
      <x:c r="R4880" s="13" t="n">
        <x:f>IF(I4880="","",I4880/1000000)</x:f>
        <x:v>63.04347826086956</x:v>
      </x:c>
    </x:row>
    <x:row r="4881" ht="21" customHeight="1">
      <x:c r="A4881" s="10" t="n">
        <x:v>6451</x:v>
      </x:c>
      <x:c r="B4881" s="2" t="str">
        <x:v>b1d805a61e56f759c056</x:v>
      </x:c>
      <x:c r="C4881" s="2" t="str">
        <x:v>Long An</x:v>
      </x:c>
      <x:c r="D4881" s="2" t="str">
        <x:v>Huyện Cần Đước</x:v>
      </x:c>
      <x:c r="E4881" s="2" t="str">
        <x:v>house</x:v>
      </x:c>
      <x:c r="F4881" s="2" t="str">
        <x:v>sale</x:v>
      </x:c>
      <x:c r="G4881" s="11" t="n">
        <x:v>80</x:v>
      </x:c>
      <x:c r="H4881" s="12" t="n">
        <x:v>1350000000</x:v>
      </x:c>
      <x:c r="I4881" s="12" t="n">
        <x:v>16875000</x:v>
      </x:c>
      <x:c r="J4881" s="2" t="str">
        <x:v>total</x:v>
      </x:c>
      <x:c r="K4881" s="2" t="str">
        <x:v>top_level_area</x:v>
      </x:c>
      <x:c r="L4881" s="2" t="str">
        <x:v>property_type_inferred_from_title</x:v>
      </x:c>
      <x:c r="M4881" s="10" t="n">
        <x:v>0</x:v>
      </x:c>
      <x:c r="N4881" s="10" t="n">
        <x:v>0</x:v>
      </x:c>
      <x:c r="O4881" s="2" t="str">
        <x:v>Long An|house</x:v>
      </x:c>
      <x:c r="P4881" s="10" t="n">
        <x:v>2</x:v>
      </x:c>
      <x:c r="Q4881" s="13" t="n">
        <x:f>IF(H4881="","",H4881/1000000000)</x:f>
        <x:v>1.35</x:v>
      </x:c>
      <x:c r="R4881" s="13" t="n">
        <x:f>IF(I4881="","",I4881/1000000)</x:f>
        <x:v>16.875</x:v>
      </x:c>
    </x:row>
    <x:row r="4882" ht="21" customHeight="1">
      <x:c r="A4882" s="10" t="n">
        <x:v>6452</x:v>
      </x:c>
      <x:c r="B4882" s="2" t="str">
        <x:v>bd7f13494f30a616c29c</x:v>
      </x:c>
      <x:c r="C4882" s="2" t="str">
        <x:v>Bình Dương</x:v>
      </x:c>
      <x:c r="D4882" s="2" t="str">
        <x:v>Huyện Bàu Bàng</x:v>
      </x:c>
      <x:c r="E4882" s="2" t="str">
        <x:v>land</x:v>
      </x:c>
      <x:c r="F4882" s="2" t="str">
        <x:v>sale_assumed</x:v>
      </x:c>
      <x:c r="G4882" s="11" t="n">
        <x:v>75</x:v>
      </x:c>
      <x:c r="H4882" s="12" t="n">
        <x:v>550000000</x:v>
      </x:c>
      <x:c r="I4882" s="12" t="n">
        <x:v>7333333.333333333</x:v>
      </x:c>
      <x:c r="J4882" s="2" t="str">
        <x:v>total</x:v>
      </x:c>
      <x:c r="K4882" s="2" t="str">
        <x:v>top_level_area</x:v>
      </x:c>
      <x:c r="L4882" s="2" t="str">
        <x:v>property_type_inferred_from_title;transaction_assumed_sale_from_dataset_context</x:v>
      </x:c>
      <x:c r="M4882" s="10" t="n">
        <x:v>0</x:v>
      </x:c>
      <x:c r="N4882" s="10" t="n">
        <x:v>0</x:v>
      </x:c>
      <x:c r="O4882" s="2" t="str">
        <x:v>Bình Dương|land</x:v>
      </x:c>
      <x:c r="P4882" s="10" t="n">
        <x:v>2</x:v>
      </x:c>
      <x:c r="Q4882" s="13" t="n">
        <x:f>IF(H4882="","",H4882/1000000000)</x:f>
        <x:v>0.55</x:v>
      </x:c>
      <x:c r="R4882" s="13" t="n">
        <x:f>IF(I4882="","",I4882/1000000)</x:f>
        <x:v>7.333333333333333</x:v>
      </x:c>
    </x:row>
    <x:row r="4883" ht="21" customHeight="1">
      <x:c r="A4883" s="10" t="n">
        <x:v>6453</x:v>
      </x:c>
      <x:c r="B4883" s="2" t="str">
        <x:v>85e66bc7a584868f51d6</x:v>
      </x:c>
      <x:c r="C4883" s="2" t="str">
        <x:v>Tp Hồ Chí Minh</x:v>
      </x:c>
      <x:c r="D4883" s="2" t="str">
        <x:v>Quận Thủ Đức</x:v>
      </x:c>
      <x:c r="E4883" s="2" t="str">
        <x:v>house</x:v>
      </x:c>
      <x:c r="F4883" s="2" t="str">
        <x:v>sale_assumed</x:v>
      </x:c>
      <x:c r="G4883" s="11" t="n">
        <x:v>60</x:v>
      </x:c>
      <x:c r="H4883" s="12" t="n">
        <x:v>5099000000</x:v>
      </x:c>
      <x:c r="I4883" s="12" t="n">
        <x:v>84983333.33333333</x:v>
      </x:c>
      <x:c r="J4883" s="2" t="str">
        <x:v>total</x:v>
      </x:c>
      <x:c r="K4883" s="2" t="str">
        <x:v>top_level_area</x:v>
      </x:c>
      <x:c r="L4883" s="2" t="str">
        <x:v>property_type_inferred_from_title;transaction_assumed_sale_from_dataset_context</x:v>
      </x:c>
      <x:c r="M4883" s="10" t="n">
        <x:v>0</x:v>
      </x:c>
      <x:c r="N4883" s="10" t="n">
        <x:v>0</x:v>
      </x:c>
      <x:c r="O4883" s="2" t="str">
        <x:v>Tp Hồ Chí Minh|house</x:v>
      </x:c>
      <x:c r="P4883" s="10" t="n">
        <x:v>2</x:v>
      </x:c>
      <x:c r="Q4883" s="13" t="n">
        <x:f>IF(H4883="","",H4883/1000000000)</x:f>
        <x:v>5.099</x:v>
      </x:c>
      <x:c r="R4883" s="13" t="n">
        <x:f>IF(I4883="","",I4883/1000000)</x:f>
        <x:v>84.98333333333333</x:v>
      </x:c>
    </x:row>
    <x:row r="4884" ht="21" customHeight="1">
      <x:c r="A4884" s="10" t="n">
        <x:v>6454</x:v>
      </x:c>
      <x:c r="B4884" s="2" t="str">
        <x:v>49e57ecdc9b272c34fd9</x:v>
      </x:c>
      <x:c r="C4884" s="2" t="str">
        <x:v>Bình Dương</x:v>
      </x:c>
      <x:c r="D4884" s="2" t="str">
        <x:v>Thành phố Thủ Dầu Một</x:v>
      </x:c>
      <x:c r="E4884" s="2" t="str">
        <x:v>house</x:v>
      </x:c>
      <x:c r="F4884" s="2" t="str">
        <x:v>sale_assumed</x:v>
      </x:c>
      <x:c r="G4884" s="11" t="n">
        <x:v>100</x:v>
      </x:c>
      <x:c r="H4884" s="12" t="n">
        <x:v>2550000000</x:v>
      </x:c>
      <x:c r="I4884" s="12" t="n">
        <x:v>25500000</x:v>
      </x:c>
      <x:c r="J4884" s="2" t="str">
        <x:v>total</x:v>
      </x:c>
      <x:c r="K4884" s="2" t="str">
        <x:v>top_level_area</x:v>
      </x:c>
      <x:c r="L4884" s="2" t="str">
        <x:v>property_type_inferred_from_title;transaction_assumed_sale_from_dataset_context</x:v>
      </x:c>
      <x:c r="M4884" s="10" t="n">
        <x:v>0</x:v>
      </x:c>
      <x:c r="N4884" s="10" t="n">
        <x:v>0</x:v>
      </x:c>
      <x:c r="O4884" s="2" t="str">
        <x:v>Bình Dương|house</x:v>
      </x:c>
      <x:c r="P4884" s="10" t="n">
        <x:v>2</x:v>
      </x:c>
      <x:c r="Q4884" s="13" t="n">
        <x:f>IF(H4884="","",H4884/1000000000)</x:f>
        <x:v>2.55</x:v>
      </x:c>
      <x:c r="R4884" s="13" t="n">
        <x:f>IF(I4884="","",I4884/1000000)</x:f>
        <x:v>25.5</x:v>
      </x:c>
    </x:row>
    <x:row r="4885" ht="21" customHeight="1">
      <x:c r="A4885" s="10" t="n">
        <x:v>6455</x:v>
      </x:c>
      <x:c r="B4885" s="2" t="str">
        <x:v>557c3f934cec6b973e5f</x:v>
      </x:c>
      <x:c r="C4885" s="2" t="str">
        <x:v>Cần Thơ</x:v>
      </x:c>
      <x:c r="D4885" s="2" t="str">
        <x:v>Quận Ninh Kiều</x:v>
      </x:c>
      <x:c r="E4885" s="2" t="str">
        <x:v>land</x:v>
      </x:c>
      <x:c r="F4885" s="2" t="str">
        <x:v>sale</x:v>
      </x:c>
      <x:c r="G4885" s="11" t="n">
        <x:v>160</x:v>
      </x:c>
      <x:c r="H4885" s="12" t="n">
        <x:v>568000000</x:v>
      </x:c>
      <x:c r="I4885" s="12" t="n">
        <x:v>3550000</x:v>
      </x:c>
      <x:c r="J4885" s="2" t="str">
        <x:v>total</x:v>
      </x:c>
      <x:c r="K4885" s="2" t="str">
        <x:v>top_level_area</x:v>
      </x:c>
      <x:c r="L4885" s="2" t="str">
        <x:v>property_type_inferred_from_title</x:v>
      </x:c>
      <x:c r="M4885" s="10" t="n">
        <x:v>0</x:v>
      </x:c>
      <x:c r="N4885" s="10" t="n">
        <x:v>0</x:v>
      </x:c>
      <x:c r="O4885" s="2" t="str">
        <x:v>Cần Thơ|land</x:v>
      </x:c>
      <x:c r="P4885" s="10" t="n">
        <x:v>1</x:v>
      </x:c>
      <x:c r="Q4885" s="13" t="n">
        <x:f>IF(H4885="","",H4885/1000000000)</x:f>
        <x:v>0.568</x:v>
      </x:c>
      <x:c r="R4885" s="13" t="n">
        <x:f>IF(I4885="","",I4885/1000000)</x:f>
        <x:v>3.55</x:v>
      </x:c>
    </x:row>
    <x:row r="4886" ht="21" customHeight="1">
      <x:c r="A4886" s="10" t="n">
        <x:v>6456</x:v>
      </x:c>
      <x:c r="B4886" s="2" t="str">
        <x:v>f73cb135ca58a17c8c75</x:v>
      </x:c>
      <x:c r="C4886" s="2" t="str">
        <x:v>Hà Nội</x:v>
      </x:c>
      <x:c r="D4886" s="2" t="str">
        <x:v>Quận Nam Từ Liêm</x:v>
      </x:c>
      <x:c r="E4886" s="2" t="str">
        <x:v>other_unknown</x:v>
      </x:c>
      <x:c r="F4886" s="2" t="str">
        <x:v>sale_assumed</x:v>
      </x:c>
      <x:c r="G4886" s="11" t="n">
        <x:v>180</x:v>
      </x:c>
      <x:c r="H4886" s="12" t="n">
        <x:v>30000000000</x:v>
      </x:c>
      <x:c r="I4886" s="12" t="n">
        <x:v>166666666.66666666</x:v>
      </x:c>
      <x:c r="J4886" s="2" t="str">
        <x:v>total</x:v>
      </x:c>
      <x:c r="K4886" s="2" t="str">
        <x:v>top_level_area</x:v>
      </x:c>
      <x:c r="L4886" s="2" t="str">
        <x:v>property_type_inferred_from_title;transaction_assumed_sale_from_dataset_context;unknown_property_type</x:v>
      </x:c>
      <x:c r="M4886" s="10" t="n">
        <x:v>1</x:v>
      </x:c>
      <x:c r="N4886" s="10" t="n">
        <x:v>0</x:v>
      </x:c>
      <x:c r="O4886" s="2" t="str">
        <x:v>Hà Nội|other_unknown</x:v>
      </x:c>
      <x:c r="P4886" s="10" t="n">
        <x:v>2</x:v>
      </x:c>
      <x:c r="Q4886" s="13" t="n">
        <x:f>IF(H4886="","",H4886/1000000000)</x:f>
        <x:v>30</x:v>
      </x:c>
      <x:c r="R4886" s="13" t="n">
        <x:f>IF(I4886="","",I4886/1000000)</x:f>
        <x:v>166.66666666666666</x:v>
      </x:c>
    </x:row>
    <x:row r="4887" ht="21" customHeight="1">
      <x:c r="A4887" s="10" t="n">
        <x:v>6457</x:v>
      </x:c>
      <x:c r="B4887" s="2" t="str">
        <x:v>fa57f6141ce68b5f221e</x:v>
      </x:c>
      <x:c r="C4887" s="2" t="str">
        <x:v>Tp Hồ Chí Minh</x:v>
      </x:c>
      <x:c r="D4887" s="2" t="str">
        <x:v>Quận 4</x:v>
      </x:c>
      <x:c r="E4887" s="2" t="str">
        <x:v>other_unknown</x:v>
      </x:c>
      <x:c r="F4887" s="2" t="str">
        <x:v>sale</x:v>
      </x:c>
      <x:c r="G4887" s="11" t="n">
        <x:v>56</x:v>
      </x:c>
      <x:c r="H4887" s="12" t="n">
        <x:v>3350000000</x:v>
      </x:c>
      <x:c r="I4887" s="12" t="n">
        <x:v>59821428.571428575</x:v>
      </x:c>
      <x:c r="J4887" s="2" t="str">
        <x:v>total</x:v>
      </x:c>
      <x:c r="K4887" s="2" t="str">
        <x:v>top_level_area</x:v>
      </x:c>
      <x:c r="L4887" s="2" t="str">
        <x:v>property_type_inferred_from_title;unknown_property_type</x:v>
      </x:c>
      <x:c r="M4887" s="10" t="n">
        <x:v>0</x:v>
      </x:c>
      <x:c r="N4887" s="10" t="n">
        <x:v>0</x:v>
      </x:c>
      <x:c r="O4887" s="2" t="str">
        <x:v>Tp Hồ Chí Minh|other_unknown</x:v>
      </x:c>
      <x:c r="P4887" s="10" t="n">
        <x:v>2</x:v>
      </x:c>
      <x:c r="Q4887" s="13" t="n">
        <x:f>IF(H4887="","",H4887/1000000000)</x:f>
        <x:v>3.35</x:v>
      </x:c>
      <x:c r="R4887" s="13" t="n">
        <x:f>IF(I4887="","",I4887/1000000)</x:f>
        <x:v>59.82142857142858</x:v>
      </x:c>
    </x:row>
    <x:row r="4888" ht="21" customHeight="1">
      <x:c r="A4888" s="10" t="n">
        <x:v>6458</x:v>
      </x:c>
      <x:c r="B4888" s="2" t="str">
        <x:v>7cb1b20bd3688f398347</x:v>
      </x:c>
      <x:c r="C4888" s="2" t="str">
        <x:v>Đồng Nai</x:v>
      </x:c>
      <x:c r="D4888" s="2" t="str">
        <x:v>Thành phố Biên Hòa</x:v>
      </x:c>
      <x:c r="E4888" s="2" t="str">
        <x:v>other_unknown</x:v>
      </x:c>
      <x:c r="F4888" s="2" t="str">
        <x:v>sale</x:v>
      </x:c>
      <x:c r="G4888" s="11" t="n">
        <x:v>526</x:v>
      </x:c>
      <x:c r="H4888" s="12" t="n">
        <x:v>880000000</x:v>
      </x:c>
      <x:c r="I4888" s="12" t="n">
        <x:v>1673003.8022813688</x:v>
      </x:c>
      <x:c r="J4888" s="2" t="str">
        <x:v>total</x:v>
      </x:c>
      <x:c r="K4888" s="2" t="str">
        <x:v>top_level_area</x:v>
      </x:c>
      <x:c r="L4888" s="2" t="str">
        <x:v>property_type_inferred_from_title;unknown_property_type</x:v>
      </x:c>
      <x:c r="M4888" s="10" t="n">
        <x:v>0</x:v>
      </x:c>
      <x:c r="N4888" s="10" t="n">
        <x:v>0</x:v>
      </x:c>
      <x:c r="O4888" s="2" t="str">
        <x:v>Đồng Nai|other_unknown</x:v>
      </x:c>
      <x:c r="P4888" s="10" t="n">
        <x:v>1</x:v>
      </x:c>
      <x:c r="Q4888" s="13" t="n">
        <x:f>IF(H4888="","",H4888/1000000000)</x:f>
        <x:v>0.88</x:v>
      </x:c>
      <x:c r="R4888" s="13" t="n">
        <x:f>IF(I4888="","",I4888/1000000)</x:f>
        <x:v>1.6730038022813687</x:v>
      </x:c>
    </x:row>
    <x:row r="4889" ht="21" customHeight="1">
      <x:c r="A4889" s="10" t="n">
        <x:v>6459</x:v>
      </x:c>
      <x:c r="B4889" s="2" t="str">
        <x:v>1deb4b495be3299fc082</x:v>
      </x:c>
      <x:c r="C4889" s="2" t="str">
        <x:v>Lâm Đồng</x:v>
      </x:c>
      <x:c r="D4889" s="2" t="str">
        <x:v>Huyện Bảo Lâm</x:v>
      </x:c>
      <x:c r="E4889" s="2" t="str">
        <x:v>land</x:v>
      </x:c>
      <x:c r="F4889" s="2" t="str">
        <x:v>sale_assumed</x:v>
      </x:c>
      <x:c r="G4889" s="11" t="n">
        <x:v>500</x:v>
      </x:c>
      <x:c r="H4889" s="12" t="n">
        <x:v>550000000</x:v>
      </x:c>
      <x:c r="I4889" s="12" t="n">
        <x:v>1100000</x:v>
      </x:c>
      <x:c r="J4889" s="2" t="str">
        <x:v>total</x:v>
      </x:c>
      <x:c r="K4889" s="2" t="str">
        <x:v>top_level_area</x:v>
      </x:c>
      <x:c r="L4889" s="2" t="str">
        <x:v>property_type_inferred_from_title;transaction_assumed_sale_from_dataset_context</x:v>
      </x:c>
      <x:c r="M4889" s="10" t="n">
        <x:v>0</x:v>
      </x:c>
      <x:c r="N4889" s="10" t="n">
        <x:v>0</x:v>
      </x:c>
      <x:c r="O4889" s="2" t="str">
        <x:v>Lâm Đồng|land</x:v>
      </x:c>
      <x:c r="P4889" s="10" t="n">
        <x:v>1</x:v>
      </x:c>
      <x:c r="Q4889" s="13" t="n">
        <x:f>IF(H4889="","",H4889/1000000000)</x:f>
        <x:v>0.55</x:v>
      </x:c>
      <x:c r="R4889" s="13" t="n">
        <x:f>IF(I4889="","",I4889/1000000)</x:f>
        <x:v>1.1</x:v>
      </x:c>
    </x:row>
    <x:row r="4890" ht="21" customHeight="1">
      <x:c r="A4890" s="10" t="n">
        <x:v>6460</x:v>
      </x:c>
      <x:c r="B4890" s="2" t="str">
        <x:v>bc052f64baa0970c55ba</x:v>
      </x:c>
      <x:c r="C4890" s="2" t="str">
        <x:v>Đồng Nai</x:v>
      </x:c>
      <x:c r="D4890" s="2" t="str">
        <x:v>Thành phố Biên Hòa</x:v>
      </x:c>
      <x:c r="E4890" s="2" t="str">
        <x:v>house</x:v>
      </x:c>
      <x:c r="F4890" s="2" t="str">
        <x:v>sale</x:v>
      </x:c>
      <x:c r="G4890" s="11" t="n">
        <x:v>90</x:v>
      </x:c>
      <x:c r="H4890" s="12" t="n">
        <x:v>1050000000</x:v>
      </x:c>
      <x:c r="I4890" s="12" t="n">
        <x:v>11666666.666666666</x:v>
      </x:c>
      <x:c r="J4890" s="2" t="str">
        <x:v>total</x:v>
      </x:c>
      <x:c r="K4890" s="2" t="str">
        <x:v>top_level_area</x:v>
      </x:c>
      <x:c r="L4890" s="2" t="str">
        <x:v>property_type_inferred_from_title</x:v>
      </x:c>
      <x:c r="M4890" s="10" t="n">
        <x:v>0</x:v>
      </x:c>
      <x:c r="N4890" s="10" t="n">
        <x:v>0</x:v>
      </x:c>
      <x:c r="O4890" s="2" t="str">
        <x:v>Đồng Nai|house</x:v>
      </x:c>
      <x:c r="P4890" s="10" t="n">
        <x:v>2</x:v>
      </x:c>
      <x:c r="Q4890" s="13" t="n">
        <x:f>IF(H4890="","",H4890/1000000000)</x:f>
        <x:v>1.05</x:v>
      </x:c>
      <x:c r="R4890" s="13" t="n">
        <x:f>IF(I4890="","",I4890/1000000)</x:f>
        <x:v>11.666666666666666</x:v>
      </x:c>
    </x:row>
    <x:row r="4891" ht="21" customHeight="1">
      <x:c r="A4891" s="10" t="n">
        <x:v>6463</x:v>
      </x:c>
      <x:c r="B4891" s="2" t="str">
        <x:v>42c7293f1cdbecc69a73</x:v>
      </x:c>
      <x:c r="C4891" s="2" t="str">
        <x:v>Tp Hồ Chí Minh</x:v>
      </x:c>
      <x:c r="D4891" s="2" t="str">
        <x:v>Quận Bình Thạnh</x:v>
      </x:c>
      <x:c r="E4891" s="2" t="str">
        <x:v>apartment</x:v>
      </x:c>
      <x:c r="F4891" s="2" t="str">
        <x:v>sale_assumed</x:v>
      </x:c>
      <x:c r="G4891" s="11" t="n">
        <x:v>54</x:v>
      </x:c>
      <x:c r="H4891" s="12" t="n">
        <x:v>2350000000</x:v>
      </x:c>
      <x:c r="I4891" s="12" t="n">
        <x:v>43518518.518518515</x:v>
      </x:c>
      <x:c r="J4891" s="2" t="str">
        <x:v>total</x:v>
      </x:c>
      <x:c r="K4891" s="2" t="str">
        <x:v>top_level_area</x:v>
      </x:c>
      <x:c r="L4891" s="2" t="str">
        <x:v>property_type_inferred_from_title;transaction_assumed_sale_from_dataset_context</x:v>
      </x:c>
      <x:c r="M4891" s="10" t="n">
        <x:v>0</x:v>
      </x:c>
      <x:c r="N4891" s="10" t="n">
        <x:v>0</x:v>
      </x:c>
      <x:c r="O4891" s="2" t="str">
        <x:v>Tp Hồ Chí Minh|apartment</x:v>
      </x:c>
      <x:c r="P4891" s="10" t="n">
        <x:v>2</x:v>
      </x:c>
      <x:c r="Q4891" s="13" t="n">
        <x:f>IF(H4891="","",H4891/1000000000)</x:f>
        <x:v>2.35</x:v>
      </x:c>
      <x:c r="R4891" s="13" t="n">
        <x:f>IF(I4891="","",I4891/1000000)</x:f>
        <x:v>43.51851851851851</x:v>
      </x:c>
    </x:row>
    <x:row r="4892" ht="21" customHeight="1">
      <x:c r="A4892" s="10" t="n">
        <x:v>6464</x:v>
      </x:c>
      <x:c r="B4892" s="2" t="str">
        <x:v>253f3027b77ae72a201d</x:v>
      </x:c>
      <x:c r="C4892" s="2" t="str">
        <x:v>Tp Hồ Chí Minh</x:v>
      </x:c>
      <x:c r="D4892" s="2" t="str">
        <x:v>Quận Tân Bình</x:v>
      </x:c>
      <x:c r="E4892" s="2" t="str">
        <x:v>house</x:v>
      </x:c>
      <x:c r="F4892" s="2" t="str">
        <x:v>sale_assumed</x:v>
      </x:c>
      <x:c r="G4892" s="11" t="n">
        <x:v>70</x:v>
      </x:c>
      <x:c r="H4892" s="12" t="n">
        <x:v>7900000000</x:v>
      </x:c>
      <x:c r="I4892" s="12" t="n">
        <x:v>112857142.85714285</x:v>
      </x:c>
      <x:c r="J4892" s="2" t="str">
        <x:v>total</x:v>
      </x:c>
      <x:c r="K4892" s="2" t="str">
        <x:v>top_level_area</x:v>
      </x:c>
      <x:c r="L4892" s="2" t="str">
        <x:v>property_type_inferred_from_title;transaction_assumed_sale_from_dataset_context</x:v>
      </x:c>
      <x:c r="M4892" s="10" t="n">
        <x:v>0</x:v>
      </x:c>
      <x:c r="N4892" s="10" t="n">
        <x:v>0</x:v>
      </x:c>
      <x:c r="O4892" s="2" t="str">
        <x:v>Tp Hồ Chí Minh|house</x:v>
      </x:c>
      <x:c r="P4892" s="10" t="n">
        <x:v>2</x:v>
      </x:c>
      <x:c r="Q4892" s="13" t="n">
        <x:f>IF(H4892="","",H4892/1000000000)</x:f>
        <x:v>7.9</x:v>
      </x:c>
      <x:c r="R4892" s="13" t="n">
        <x:f>IF(I4892="","",I4892/1000000)</x:f>
        <x:v>112.85714285714285</x:v>
      </x:c>
    </x:row>
    <x:row r="4893" ht="21" customHeight="1">
      <x:c r="A4893" s="10" t="n">
        <x:v>6465</x:v>
      </x:c>
      <x:c r="B4893" s="2" t="str">
        <x:v>2630bbcd4dc8eac8b2fe</x:v>
      </x:c>
      <x:c r="C4893" s="2" t="str">
        <x:v>Tp Hồ Chí Minh</x:v>
      </x:c>
      <x:c r="D4893" s="2" t="str">
        <x:v>Huyện Củ Chi</x:v>
      </x:c>
      <x:c r="E4893" s="2" t="str">
        <x:v>land</x:v>
      </x:c>
      <x:c r="F4893" s="2" t="str">
        <x:v>sale_assumed</x:v>
      </x:c>
      <x:c r="G4893" s="11" t="n">
        <x:v>538</x:v>
      </x:c>
      <x:c r="H4893" s="12" t="n">
        <x:v>780000000</x:v>
      </x:c>
      <x:c r="I4893" s="12" t="n">
        <x:v>1449814.126394052</x:v>
      </x:c>
      <x:c r="J4893" s="2" t="str">
        <x:v>total</x:v>
      </x:c>
      <x:c r="K4893" s="2" t="str">
        <x:v>top_level_area</x:v>
      </x:c>
      <x:c r="L4893" s="2" t="str">
        <x:v>property_type_inferred_from_title;transaction_assumed_sale_from_dataset_context</x:v>
      </x:c>
      <x:c r="M4893" s="10" t="n">
        <x:v>0</x:v>
      </x:c>
      <x:c r="N4893" s="10" t="n">
        <x:v>0</x:v>
      </x:c>
      <x:c r="O4893" s="2" t="str">
        <x:v>Tp Hồ Chí Minh|land</x:v>
      </x:c>
      <x:c r="P4893" s="10" t="n">
        <x:v>1</x:v>
      </x:c>
      <x:c r="Q4893" s="13" t="n">
        <x:f>IF(H4893="","",H4893/1000000000)</x:f>
        <x:v>0.78</x:v>
      </x:c>
      <x:c r="R4893" s="13" t="n">
        <x:f>IF(I4893="","",I4893/1000000)</x:f>
        <x:v>1.449814126394052</x:v>
      </x:c>
    </x:row>
    <x:row r="4894" ht="21" customHeight="1">
      <x:c r="A4894" s="10" t="n">
        <x:v>6466</x:v>
      </x:c>
      <x:c r="B4894" s="2" t="str">
        <x:v>a679b60388011d0982eb</x:v>
      </x:c>
      <x:c r="C4894" s="2" t="str">
        <x:v>Bình Dương</x:v>
      </x:c>
      <x:c r="D4894" s="2" t="str">
        <x:v>Thị xã Thuận An</x:v>
      </x:c>
      <x:c r="E4894" s="2" t="str">
        <x:v>land</x:v>
      </x:c>
      <x:c r="F4894" s="2" t="str">
        <x:v>sale</x:v>
      </x:c>
      <x:c r="G4894" s="11" t="n">
        <x:v>343</x:v>
      </x:c>
      <x:c r="H4894" s="12" t="n">
        <x:v>6850000000</x:v>
      </x:c>
      <x:c r="I4894" s="12" t="n">
        <x:v>19970845.481049564</x:v>
      </x:c>
      <x:c r="J4894" s="2" t="str">
        <x:v>total</x:v>
      </x:c>
      <x:c r="K4894" s="2" t="str">
        <x:v>top_level_price_embedded_area</x:v>
      </x:c>
      <x:c r="L4894" s="2" t="str">
        <x:v>area_recovered_from_price_text;property_type_inferred_from_title</x:v>
      </x:c>
      <x:c r="M4894" s="10" t="n">
        <x:v>0</x:v>
      </x:c>
      <x:c r="N4894" s="10" t="n">
        <x:v>0</x:v>
      </x:c>
      <x:c r="O4894" s="2" t="str">
        <x:v>Bình Dương|land</x:v>
      </x:c>
      <x:c r="P4894" s="10" t="n">
        <x:v>2</x:v>
      </x:c>
      <x:c r="Q4894" s="13" t="n">
        <x:f>IF(H4894="","",H4894/1000000000)</x:f>
        <x:v>6.85</x:v>
      </x:c>
      <x:c r="R4894" s="13" t="n">
        <x:f>IF(I4894="","",I4894/1000000)</x:f>
        <x:v>19.970845481049565</x:v>
      </x:c>
    </x:row>
    <x:row r="4895" ht="21" customHeight="1">
      <x:c r="A4895" s="10" t="n">
        <x:v>6467</x:v>
      </x:c>
      <x:c r="B4895" s="2" t="str">
        <x:v>d9543efb229d866315cf</x:v>
      </x:c>
      <x:c r="C4895" s="2" t="str">
        <x:v>Long An</x:v>
      </x:c>
      <x:c r="D4895" s="2" t="str">
        <x:v>Huyện Đức Hòa</x:v>
      </x:c>
      <x:c r="E4895" s="2" t="str">
        <x:v>other_unknown</x:v>
      </x:c>
      <x:c r="F4895" s="2" t="str">
        <x:v>sale</x:v>
      </x:c>
      <x:c r="G4895" s="11" t="n">
        <x:v>540</x:v>
      </x:c>
      <x:c r="H4895" s="12" t="n">
        <x:v>2160000000</x:v>
      </x:c>
      <x:c r="I4895" s="12" t="n">
        <x:v>4000000</x:v>
      </x:c>
      <x:c r="J4895" s="2" t="str">
        <x:v>total</x:v>
      </x:c>
      <x:c r="K4895" s="2" t="str">
        <x:v>top_level_area</x:v>
      </x:c>
      <x:c r="L4895" s="2" t="str">
        <x:v>property_type_inferred_from_title;unknown_property_type</x:v>
      </x:c>
      <x:c r="M4895" s="10" t="n">
        <x:v>0</x:v>
      </x:c>
      <x:c r="N4895" s="10" t="n">
        <x:v>0</x:v>
      </x:c>
      <x:c r="O4895" s="2" t="str">
        <x:v>Long An|other_unknown</x:v>
      </x:c>
      <x:c r="P4895" s="10" t="n">
        <x:v>1</x:v>
      </x:c>
      <x:c r="Q4895" s="13" t="n">
        <x:f>IF(H4895="","",H4895/1000000000)</x:f>
        <x:v>2.16</x:v>
      </x:c>
      <x:c r="R4895" s="13" t="n">
        <x:f>IF(I4895="","",I4895/1000000)</x:f>
        <x:v>4</x:v>
      </x:c>
    </x:row>
    <x:row r="4896" ht="21" customHeight="1">
      <x:c r="A4896" s="10" t="n">
        <x:v>6468</x:v>
      </x:c>
      <x:c r="B4896" s="2" t="str">
        <x:v>fe35b996e2e71c8ac1ca</x:v>
      </x:c>
      <x:c r="C4896" s="2" t="str">
        <x:v>Lâm Đồng</x:v>
      </x:c>
      <x:c r="D4896" s="2" t="str">
        <x:v>Huyện Bảo Lâm</x:v>
      </x:c>
      <x:c r="E4896" s="2" t="str">
        <x:v>land</x:v>
      </x:c>
      <x:c r="F4896" s="2" t="str">
        <x:v>sale_assumed</x:v>
      </x:c>
      <x:c r="G4896" s="11" t="n">
        <x:v>200</x:v>
      </x:c>
      <x:c r="H4896" s="12" t="n">
        <x:v>650000000</x:v>
      </x:c>
      <x:c r="I4896" s="12" t="n">
        <x:v>3250000</x:v>
      </x:c>
      <x:c r="J4896" s="2" t="str">
        <x:v>total</x:v>
      </x:c>
      <x:c r="K4896" s="2" t="str">
        <x:v>top_level_area</x:v>
      </x:c>
      <x:c r="L4896" s="2" t="str">
        <x:v>property_type_inferred_from_title;transaction_assumed_sale_from_dataset_context</x:v>
      </x:c>
      <x:c r="M4896" s="10" t="n">
        <x:v>0</x:v>
      </x:c>
      <x:c r="N4896" s="10" t="n">
        <x:v>0</x:v>
      </x:c>
      <x:c r="O4896" s="2" t="str">
        <x:v>Lâm Đồng|land</x:v>
      </x:c>
      <x:c r="P4896" s="10" t="n">
        <x:v>1</x:v>
      </x:c>
      <x:c r="Q4896" s="13" t="n">
        <x:f>IF(H4896="","",H4896/1000000000)</x:f>
        <x:v>0.65</x:v>
      </x:c>
      <x:c r="R4896" s="13" t="n">
        <x:f>IF(I4896="","",I4896/1000000)</x:f>
        <x:v>3.25</x:v>
      </x:c>
    </x:row>
    <x:row r="4897" ht="21" customHeight="1">
      <x:c r="A4897" s="10" t="n">
        <x:v>6469</x:v>
      </x:c>
      <x:c r="B4897" s="2" t="str">
        <x:v>97131423468db48e4ea7</x:v>
      </x:c>
      <x:c r="C4897" s="2" t="str">
        <x:v>Bình Phước</x:v>
      </x:c>
      <x:c r="D4897" s="2" t="str">
        <x:v>Huyện Chơn Thành</x:v>
      </x:c>
      <x:c r="E4897" s="2" t="str">
        <x:v>land</x:v>
      </x:c>
      <x:c r="F4897" s="2" t="str">
        <x:v>sale_assumed</x:v>
      </x:c>
      <x:c r="G4897" s="11" t="n">
        <x:v>1000</x:v>
      </x:c>
      <x:c r="H4897" s="12" t="n">
        <x:v>270000000</x:v>
      </x:c>
      <x:c r="I4897" s="12" t="n">
        <x:v>270000</x:v>
      </x:c>
      <x:c r="J4897" s="2" t="str">
        <x:v>total</x:v>
      </x:c>
      <x:c r="K4897" s="2" t="str">
        <x:v>top_level_area</x:v>
      </x:c>
      <x:c r="L4897" s="2" t="str">
        <x:v>dot_thousands_convention;property_type_inferred_from_title;transaction_assumed_sale_from_dataset_context</x:v>
      </x:c>
      <x:c r="M4897" s="10" t="n">
        <x:v>0</x:v>
      </x:c>
      <x:c r="N4897" s="10" t="n">
        <x:v>0</x:v>
      </x:c>
      <x:c r="O4897" s="2" t="str">
        <x:v>Bình Phước|land</x:v>
      </x:c>
      <x:c r="P4897" s="10" t="n">
        <x:v>1</x:v>
      </x:c>
      <x:c r="Q4897" s="13" t="n">
        <x:f>IF(H4897="","",H4897/1000000000)</x:f>
        <x:v>0.27</x:v>
      </x:c>
      <x:c r="R4897" s="13" t="n">
        <x:f>IF(I4897="","",I4897/1000000)</x:f>
        <x:v>0.27</x:v>
      </x:c>
    </x:row>
    <x:row r="4898" ht="21" customHeight="1">
      <x:c r="A4898" s="10" t="n">
        <x:v>6470</x:v>
      </x:c>
      <x:c r="B4898" s="2" t="str">
        <x:v>6eab8f3f0d0e399b9d60</x:v>
      </x:c>
      <x:c r="C4898" s="2" t="str">
        <x:v>Tp Hồ Chí Minh</x:v>
      </x:c>
      <x:c r="D4898" s="2" t="str">
        <x:v>Quận 8</x:v>
      </x:c>
      <x:c r="E4898" s="2" t="str">
        <x:v>apartment</x:v>
      </x:c>
      <x:c r="F4898" s="2" t="str">
        <x:v>sale_assumed</x:v>
      </x:c>
      <x:c r="G4898" s="11" t="n">
        <x:v>50</x:v>
      </x:c>
      <x:c r="H4898" s="12" t="n">
        <x:v>1470000000</x:v>
      </x:c>
      <x:c r="I4898" s="12" t="n">
        <x:v>29400000</x:v>
      </x:c>
      <x:c r="J4898" s="2" t="str">
        <x:v>total</x:v>
      </x:c>
      <x:c r="K4898" s="2" t="str">
        <x:v>top_level_price_embedded_area</x:v>
      </x:c>
      <x:c r="L4898" s="2" t="str">
        <x:v>area_recovered_from_price_text;property_type_inferred_from_title;transaction_assumed_sale_from_dataset_context</x:v>
      </x:c>
      <x:c r="M4898" s="10" t="n">
        <x:v>0</x:v>
      </x:c>
      <x:c r="N4898" s="10" t="n">
        <x:v>0</x:v>
      </x:c>
      <x:c r="O4898" s="2" t="str">
        <x:v>Tp Hồ Chí Minh|apartment</x:v>
      </x:c>
      <x:c r="P4898" s="10" t="n">
        <x:v>2</x:v>
      </x:c>
      <x:c r="Q4898" s="13" t="n">
        <x:f>IF(H4898="","",H4898/1000000000)</x:f>
        <x:v>1.47</x:v>
      </x:c>
      <x:c r="R4898" s="13" t="n">
        <x:f>IF(I4898="","",I4898/1000000)</x:f>
        <x:v>29.4</x:v>
      </x:c>
    </x:row>
    <x:row r="4899" ht="21" customHeight="1">
      <x:c r="A4899" s="10" t="n">
        <x:v>6471</x:v>
      </x:c>
      <x:c r="B4899" s="2" t="str">
        <x:v>c243bbb6db2067d43c7c</x:v>
      </x:c>
      <x:c r="C4899" s="2" t="str">
        <x:v>Tp Hồ Chí Minh</x:v>
      </x:c>
      <x:c r="D4899" s="2" t="str">
        <x:v>Quận Thủ Đức</x:v>
      </x:c>
      <x:c r="E4899" s="2" t="str">
        <x:v>land</x:v>
      </x:c>
      <x:c r="F4899" s="2" t="str">
        <x:v>sale_assumed</x:v>
      </x:c>
      <x:c r="G4899" s="11" t="n">
        <x:v>220</x:v>
      </x:c>
      <x:c r="H4899" s="12" t="n">
        <x:v>450000000</x:v>
      </x:c>
      <x:c r="I4899" s="12" t="n">
        <x:v>2045454.5454545454</x:v>
      </x:c>
      <x:c r="J4899" s="2" t="str">
        <x:v>total</x:v>
      </x:c>
      <x:c r="K4899" s="2" t="str">
        <x:v>top_level_area</x:v>
      </x:c>
      <x:c r="L4899" s="2" t="str">
        <x:v>property_type_inferred_from_title;transaction_assumed_sale_from_dataset_context</x:v>
      </x:c>
      <x:c r="M4899" s="10" t="n">
        <x:v>0</x:v>
      </x:c>
      <x:c r="N4899" s="10" t="n">
        <x:v>0</x:v>
      </x:c>
      <x:c r="O4899" s="2" t="str">
        <x:v>Tp Hồ Chí Minh|land</x:v>
      </x:c>
      <x:c r="P4899" s="10" t="n">
        <x:v>1</x:v>
      </x:c>
      <x:c r="Q4899" s="13" t="n">
        <x:f>IF(H4899="","",H4899/1000000000)</x:f>
        <x:v>0.45</x:v>
      </x:c>
      <x:c r="R4899" s="13" t="n">
        <x:f>IF(I4899="","",I4899/1000000)</x:f>
        <x:v>2.0454545454545454</x:v>
      </x:c>
    </x:row>
    <x:row r="4900" ht="21" customHeight="1">
      <x:c r="A4900" s="10" t="n">
        <x:v>6472</x:v>
      </x:c>
      <x:c r="B4900" s="2" t="str">
        <x:v>068243b83fd63f3f07c8</x:v>
      </x:c>
      <x:c r="C4900" s="2" t="str">
        <x:v>Tp Hồ Chí Minh</x:v>
      </x:c>
      <x:c r="D4900" s="2" t="str">
        <x:v>Quận 12</x:v>
      </x:c>
      <x:c r="E4900" s="2" t="str">
        <x:v>house</x:v>
      </x:c>
      <x:c r="F4900" s="2" t="str">
        <x:v>sale_assumed</x:v>
      </x:c>
      <x:c r="G4900" s="11" t="n">
        <x:v>75</x:v>
      </x:c>
      <x:c r="H4900" s="12" t="n">
        <x:v>4600000000</x:v>
      </x:c>
      <x:c r="I4900" s="12" t="n">
        <x:v>61333333.333333336</x:v>
      </x:c>
      <x:c r="J4900" s="2" t="str">
        <x:v>total</x:v>
      </x:c>
      <x:c r="K4900" s="2" t="str">
        <x:v>top_level_area</x:v>
      </x:c>
      <x:c r="L4900" s="2" t="str">
        <x:v>property_type_inferred_from_title;transaction_assumed_sale_from_dataset_context</x:v>
      </x:c>
      <x:c r="M4900" s="10" t="n">
        <x:v>0</x:v>
      </x:c>
      <x:c r="N4900" s="10" t="n">
        <x:v>0</x:v>
      </x:c>
      <x:c r="O4900" s="2" t="str">
        <x:v>Tp Hồ Chí Minh|house</x:v>
      </x:c>
      <x:c r="P4900" s="10" t="n">
        <x:v>2</x:v>
      </x:c>
      <x:c r="Q4900" s="13" t="n">
        <x:f>IF(H4900="","",H4900/1000000000)</x:f>
        <x:v>4.6</x:v>
      </x:c>
      <x:c r="R4900" s="13" t="n">
        <x:f>IF(I4900="","",I4900/1000000)</x:f>
        <x:v>61.333333333333336</x:v>
      </x:c>
    </x:row>
    <x:row r="4901" ht="21" customHeight="1">
      <x:c r="A4901" s="10" t="n">
        <x:v>6473</x:v>
      </x:c>
      <x:c r="B4901" s="2" t="str">
        <x:v>c33e94fbb555c5b20d8b</x:v>
      </x:c>
      <x:c r="C4901" s="2" t="str">
        <x:v>Tp Hồ Chí Minh</x:v>
      </x:c>
      <x:c r="D4901" s="2" t="str">
        <x:v>Quận Bình Tân</x:v>
      </x:c>
      <x:c r="E4901" s="2" t="str">
        <x:v>house</x:v>
      </x:c>
      <x:c r="F4901" s="2" t="str">
        <x:v>sale</x:v>
      </x:c>
      <x:c r="G4901" s="11" t="n">
        <x:v>84</x:v>
      </x:c>
      <x:c r="H4901" s="12" t="n">
        <x:v>5150000000</x:v>
      </x:c>
      <x:c r="I4901" s="12" t="n">
        <x:v>61309523.809523806</x:v>
      </x:c>
      <x:c r="J4901" s="2" t="str">
        <x:v>total</x:v>
      </x:c>
      <x:c r="K4901" s="2" t="str">
        <x:v>top_level_area</x:v>
      </x:c>
      <x:c r="L4901" s="2" t="str">
        <x:v>property_type_inferred_from_title</x:v>
      </x:c>
      <x:c r="M4901" s="10" t="n">
        <x:v>0</x:v>
      </x:c>
      <x:c r="N4901" s="10" t="n">
        <x:v>0</x:v>
      </x:c>
      <x:c r="O4901" s="2" t="str">
        <x:v>Tp Hồ Chí Minh|house</x:v>
      </x:c>
      <x:c r="P4901" s="10" t="n">
        <x:v>2</x:v>
      </x:c>
      <x:c r="Q4901" s="13" t="n">
        <x:f>IF(H4901="","",H4901/1000000000)</x:f>
        <x:v>5.15</x:v>
      </x:c>
      <x:c r="R4901" s="13" t="n">
        <x:f>IF(I4901="","",I4901/1000000)</x:f>
        <x:v>61.3095238095238</x:v>
      </x:c>
    </x:row>
    <x:row r="4902" ht="21" customHeight="1">
      <x:c r="A4902" s="10" t="n">
        <x:v>6474</x:v>
      </x:c>
      <x:c r="B4902" s="2" t="str">
        <x:v>0e327708d79edec7e1fc</x:v>
      </x:c>
      <x:c r="C4902" s="2" t="str">
        <x:v>Tp Hồ Chí Minh</x:v>
      </x:c>
      <x:c r="D4902" s="2" t="str">
        <x:v>Quận 9</x:v>
      </x:c>
      <x:c r="E4902" s="2" t="str">
        <x:v>house</x:v>
      </x:c>
      <x:c r="F4902" s="2" t="str">
        <x:v>sale</x:v>
      </x:c>
      <x:c r="G4902" s="11" t="n">
        <x:v>69</x:v>
      </x:c>
      <x:c r="H4902" s="12" t="n">
        <x:v>4500000000</x:v>
      </x:c>
      <x:c r="I4902" s="12" t="n">
        <x:v>65217391.30434783</x:v>
      </x:c>
      <x:c r="J4902" s="2" t="str">
        <x:v>total</x:v>
      </x:c>
      <x:c r="K4902" s="2" t="str">
        <x:v>top_level_area</x:v>
      </x:c>
      <x:c r="L4902" s="2" t="str">
        <x:v>property_type_inferred_from_title</x:v>
      </x:c>
      <x:c r="M4902" s="10" t="n">
        <x:v>0</x:v>
      </x:c>
      <x:c r="N4902" s="10" t="n">
        <x:v>0</x:v>
      </x:c>
      <x:c r="O4902" s="2" t="str">
        <x:v>Tp Hồ Chí Minh|house</x:v>
      </x:c>
      <x:c r="P4902" s="10" t="n">
        <x:v>2</x:v>
      </x:c>
      <x:c r="Q4902" s="13" t="n">
        <x:f>IF(H4902="","",H4902/1000000000)</x:f>
        <x:v>4.5</x:v>
      </x:c>
      <x:c r="R4902" s="13" t="n">
        <x:f>IF(I4902="","",I4902/1000000)</x:f>
        <x:v>65.21739130434783</x:v>
      </x:c>
    </x:row>
    <x:row r="4903" ht="21" customHeight="1">
      <x:c r="A4903" s="10" t="n">
        <x:v>6475</x:v>
      </x:c>
      <x:c r="B4903" s="2" t="str">
        <x:v>794ea8749953cb8e1a3a</x:v>
      </x:c>
      <x:c r="C4903" s="2" t="str">
        <x:v>Tp Hồ Chí Minh</x:v>
      </x:c>
      <x:c r="D4903" s="2" t="str">
        <x:v>Quận 9</x:v>
      </x:c>
      <x:c r="E4903" s="2" t="str">
        <x:v>house</x:v>
      </x:c>
      <x:c r="F4903" s="2" t="str">
        <x:v>sale</x:v>
      </x:c>
      <x:c r="G4903" s="11" t="n">
        <x:v>54</x:v>
      </x:c>
      <x:c r="H4903" s="12" t="n">
        <x:v>3000000000</x:v>
      </x:c>
      <x:c r="I4903" s="12" t="n">
        <x:v>55555555.55555555</x:v>
      </x:c>
      <x:c r="J4903" s="2" t="str">
        <x:v>total</x:v>
      </x:c>
      <x:c r="K4903" s="2" t="str">
        <x:v>top_level_area</x:v>
      </x:c>
      <x:c r="L4903" s="2" t="str">
        <x:v>property_type_inferred_from_title</x:v>
      </x:c>
      <x:c r="M4903" s="10" t="n">
        <x:v>0</x:v>
      </x:c>
      <x:c r="N4903" s="10" t="n">
        <x:v>0</x:v>
      </x:c>
      <x:c r="O4903" s="2" t="str">
        <x:v>Tp Hồ Chí Minh|house</x:v>
      </x:c>
      <x:c r="P4903" s="10" t="n">
        <x:v>2</x:v>
      </x:c>
      <x:c r="Q4903" s="13" t="n">
        <x:f>IF(H4903="","",H4903/1000000000)</x:f>
        <x:v>3</x:v>
      </x:c>
      <x:c r="R4903" s="13" t="n">
        <x:f>IF(I4903="","",I4903/1000000)</x:f>
        <x:v>55.55555555555555</x:v>
      </x:c>
    </x:row>
    <x:row r="4904" ht="21" customHeight="1">
      <x:c r="A4904" s="10" t="n">
        <x:v>6476</x:v>
      </x:c>
      <x:c r="B4904" s="2" t="str">
        <x:v>a405194549a7af0a9343</x:v>
      </x:c>
      <x:c r="C4904" s="2" t="str">
        <x:v>Hà Nội</x:v>
      </x:c>
      <x:c r="D4904" s="2" t="str">
        <x:v>Quận Nam Từ Liêm</x:v>
      </x:c>
      <x:c r="E4904" s="2" t="str">
        <x:v>house</x:v>
      </x:c>
      <x:c r="F4904" s="2" t="str">
        <x:v>sale</x:v>
      </x:c>
      <x:c r="G4904" s="11" t="n">
        <x:v>35</x:v>
      </x:c>
      <x:c r="H4904" s="12" t="n">
        <x:v>3500000000</x:v>
      </x:c>
      <x:c r="I4904" s="12" t="n">
        <x:v>100000000</x:v>
      </x:c>
      <x:c r="J4904" s="2" t="str">
        <x:v>total</x:v>
      </x:c>
      <x:c r="K4904" s="2" t="str">
        <x:v>top_level_area</x:v>
      </x:c>
      <x:c r="L4904" s="2" t="str">
        <x:v>property_type_inferred_from_title</x:v>
      </x:c>
      <x:c r="M4904" s="10" t="n">
        <x:v>0</x:v>
      </x:c>
      <x:c r="N4904" s="10" t="n">
        <x:v>0</x:v>
      </x:c>
      <x:c r="O4904" s="2" t="str">
        <x:v>Hà Nội|house</x:v>
      </x:c>
      <x:c r="P4904" s="10" t="n">
        <x:v>2</x:v>
      </x:c>
      <x:c r="Q4904" s="13" t="n">
        <x:f>IF(H4904="","",H4904/1000000000)</x:f>
        <x:v>3.5</x:v>
      </x:c>
      <x:c r="R4904" s="13" t="n">
        <x:f>IF(I4904="","",I4904/1000000)</x:f>
        <x:v>100</x:v>
      </x:c>
    </x:row>
    <x:row r="4905" ht="21" customHeight="1">
      <x:c r="A4905" s="10" t="n">
        <x:v>6477</x:v>
      </x:c>
      <x:c r="B4905" s="2" t="str">
        <x:v>cd3952b67d48a3b96a46</x:v>
      </x:c>
      <x:c r="C4905" s="2" t="str">
        <x:v>Đà Nẵng</x:v>
      </x:c>
      <x:c r="D4905" s="2" t="str">
        <x:v>Quận Liên Chiểu</x:v>
      </x:c>
      <x:c r="E4905" s="2" t="str">
        <x:v>house</x:v>
      </x:c>
      <x:c r="F4905" s="2" t="str">
        <x:v>sale_assumed</x:v>
      </x:c>
      <x:c r="G4905" s="11" t="n">
        <x:v>67</x:v>
      </x:c>
      <x:c r="H4905" s="12" t="n">
        <x:v>3150000000</x:v>
      </x:c>
      <x:c r="I4905" s="12" t="n">
        <x:v>47014925.37313433</x:v>
      </x:c>
      <x:c r="J4905" s="2" t="str">
        <x:v>total</x:v>
      </x:c>
      <x:c r="K4905" s="2" t="str">
        <x:v>top_level_area</x:v>
      </x:c>
      <x:c r="L4905" s="2" t="str">
        <x:v>property_type_inferred_from_title;transaction_assumed_sale_from_dataset_context</x:v>
      </x:c>
      <x:c r="M4905" s="10" t="n">
        <x:v>0</x:v>
      </x:c>
      <x:c r="N4905" s="10" t="n">
        <x:v>0</x:v>
      </x:c>
      <x:c r="O4905" s="2" t="str">
        <x:v>Đà Nẵng|house</x:v>
      </x:c>
      <x:c r="P4905" s="10" t="n">
        <x:v>2</x:v>
      </x:c>
      <x:c r="Q4905" s="13" t="n">
        <x:f>IF(H4905="","",H4905/1000000000)</x:f>
        <x:v>3.15</x:v>
      </x:c>
      <x:c r="R4905" s="13" t="n">
        <x:f>IF(I4905="","",I4905/1000000)</x:f>
        <x:v>47.01492537313433</x:v>
      </x:c>
    </x:row>
    <x:row r="4906" ht="21" customHeight="1">
      <x:c r="A4906" s="10" t="n">
        <x:v>6478</x:v>
      </x:c>
      <x:c r="B4906" s="2" t="str">
        <x:v>e0243c13973fb245e983</x:v>
      </x:c>
      <x:c r="C4906" s="2" t="str">
        <x:v>Long An</x:v>
      </x:c>
      <x:c r="D4906" s="2" t="str">
        <x:v>Huyện Đức Hòa</x:v>
      </x:c>
      <x:c r="E4906" s="2" t="str">
        <x:v>land</x:v>
      </x:c>
      <x:c r="F4906" s="2" t="str">
        <x:v>sale</x:v>
      </x:c>
      <x:c r="G4906" s="11" t="n">
        <x:v>100</x:v>
      </x:c>
      <x:c r="H4906" s="12" t="n">
        <x:v>300000000</x:v>
      </x:c>
      <x:c r="I4906" s="12" t="n">
        <x:v>3000000</x:v>
      </x:c>
      <x:c r="J4906" s="2" t="str">
        <x:v>total</x:v>
      </x:c>
      <x:c r="K4906" s="2" t="str">
        <x:v>top_level_area</x:v>
      </x:c>
      <x:c r="L4906" s="2" t="str">
        <x:v>property_type_inferred_from_title</x:v>
      </x:c>
      <x:c r="M4906" s="10" t="n">
        <x:v>0</x:v>
      </x:c>
      <x:c r="N4906" s="10" t="n">
        <x:v>0</x:v>
      </x:c>
      <x:c r="O4906" s="2" t="str">
        <x:v>Long An|land</x:v>
      </x:c>
      <x:c r="P4906" s="10" t="n">
        <x:v>2</x:v>
      </x:c>
      <x:c r="Q4906" s="13" t="n">
        <x:f>IF(H4906="","",H4906/1000000000)</x:f>
        <x:v>0.3</x:v>
      </x:c>
      <x:c r="R4906" s="13" t="n">
        <x:f>IF(I4906="","",I4906/1000000)</x:f>
        <x:v>3</x:v>
      </x:c>
    </x:row>
    <x:row r="4907" ht="21" customHeight="1">
      <x:c r="A4907" s="10" t="n">
        <x:v>6479</x:v>
      </x:c>
      <x:c r="B4907" s="2" t="str">
        <x:v>6c905712c87b408f07a4</x:v>
      </x:c>
      <x:c r="C4907" s="2" t="str">
        <x:v>Đồng Nai</x:v>
      </x:c>
      <x:c r="D4907" s="2" t="str">
        <x:v>Huyện Trảng Bom</x:v>
      </x:c>
      <x:c r="E4907" s="2" t="str">
        <x:v>land</x:v>
      </x:c>
      <x:c r="F4907" s="2" t="str">
        <x:v>sale_assumed</x:v>
      </x:c>
      <x:c r="G4907" s="11" t="n">
        <x:v>100</x:v>
      </x:c>
      <x:c r="H4907" s="12" t="n">
        <x:v>220000000</x:v>
      </x:c>
      <x:c r="I4907" s="12" t="n">
        <x:v>2200000</x:v>
      </x:c>
      <x:c r="J4907" s="2" t="str">
        <x:v>total</x:v>
      </x:c>
      <x:c r="K4907" s="2" t="str">
        <x:v>top_level_area</x:v>
      </x:c>
      <x:c r="L4907" s="2" t="str">
        <x:v>property_type_inferred_from_title;transaction_assumed_sale_from_dataset_context</x:v>
      </x:c>
      <x:c r="M4907" s="10" t="n">
        <x:v>0</x:v>
      </x:c>
      <x:c r="N4907" s="10" t="n">
        <x:v>0</x:v>
      </x:c>
      <x:c r="O4907" s="2" t="str">
        <x:v>Đồng Nai|land</x:v>
      </x:c>
      <x:c r="P4907" s="10" t="n">
        <x:v>1</x:v>
      </x:c>
      <x:c r="Q4907" s="13" t="n">
        <x:f>IF(H4907="","",H4907/1000000000)</x:f>
        <x:v>0.22</x:v>
      </x:c>
      <x:c r="R4907" s="13" t="n">
        <x:f>IF(I4907="","",I4907/1000000)</x:f>
        <x:v>2.2</x:v>
      </x:c>
    </x:row>
    <x:row r="4908" ht="21" customHeight="1">
      <x:c r="A4908" s="10" t="n">
        <x:v>6480</x:v>
      </x:c>
      <x:c r="B4908" s="2" t="str">
        <x:v>2f2e60cb36d9498033ed</x:v>
      </x:c>
      <x:c r="C4908" s="2" t="str">
        <x:v>Tp Hồ Chí Minh</x:v>
      </x:c>
      <x:c r="D4908" s="2" t="str">
        <x:v>Quận 9</x:v>
      </x:c>
      <x:c r="E4908" s="2" t="str">
        <x:v>house</x:v>
      </x:c>
      <x:c r="F4908" s="2" t="str">
        <x:v>sale</x:v>
      </x:c>
      <x:c r="G4908" s="11" t="n">
        <x:v>45</x:v>
      </x:c>
      <x:c r="H4908" s="12" t="n">
        <x:v>1460000000</x:v>
      </x:c>
      <x:c r="I4908" s="12" t="n">
        <x:v>32444444.444444444</x:v>
      </x:c>
      <x:c r="J4908" s="2" t="str">
        <x:v>total</x:v>
      </x:c>
      <x:c r="K4908" s="2" t="str">
        <x:v>top_level_area</x:v>
      </x:c>
      <x:c r="L4908" s="2" t="str">
        <x:v>property_type_inferred_from_title</x:v>
      </x:c>
      <x:c r="M4908" s="10" t="n">
        <x:v>0</x:v>
      </x:c>
      <x:c r="N4908" s="10" t="n">
        <x:v>0</x:v>
      </x:c>
      <x:c r="O4908" s="2" t="str">
        <x:v>Tp Hồ Chí Minh|house</x:v>
      </x:c>
      <x:c r="P4908" s="10" t="n">
        <x:v>2</x:v>
      </x:c>
      <x:c r="Q4908" s="13" t="n">
        <x:f>IF(H4908="","",H4908/1000000000)</x:f>
        <x:v>1.46</x:v>
      </x:c>
      <x:c r="R4908" s="13" t="n">
        <x:f>IF(I4908="","",I4908/1000000)</x:f>
        <x:v>32.44444444444444</x:v>
      </x:c>
    </x:row>
    <x:row r="4909" ht="21" customHeight="1">
      <x:c r="A4909" s="10" t="n">
        <x:v>6481</x:v>
      </x:c>
      <x:c r="B4909" s="2" t="str">
        <x:v>ac680eb1e260cec41046</x:v>
      </x:c>
      <x:c r="C4909" s="2" t="str">
        <x:v>Hà Nội</x:v>
      </x:c>
      <x:c r="D4909" s="2" t="str">
        <x:v>Quận Đống Đa</x:v>
      </x:c>
      <x:c r="E4909" s="2" t="str">
        <x:v>other_unknown</x:v>
      </x:c>
      <x:c r="F4909" s="2" t="str">
        <x:v>sale_assumed</x:v>
      </x:c>
      <x:c r="G4909" s="11" t="n">
        <x:v>45</x:v>
      </x:c>
      <x:c r="H4909" s="12" t="n">
        <x:v>4500000000</x:v>
      </x:c>
      <x:c r="I4909" s="12" t="n">
        <x:v>100000000</x:v>
      </x:c>
      <x:c r="J4909" s="2" t="str">
        <x:v>total</x:v>
      </x:c>
      <x:c r="K4909" s="2" t="str">
        <x:v>top_level_area</x:v>
      </x:c>
      <x:c r="L4909" s="2" t="str">
        <x:v>property_type_inferred_from_title;transaction_assumed_sale_from_dataset_context;unknown_property_type</x:v>
      </x:c>
      <x:c r="M4909" s="10" t="n">
        <x:v>0</x:v>
      </x:c>
      <x:c r="N4909" s="10" t="n">
        <x:v>0</x:v>
      </x:c>
      <x:c r="O4909" s="2" t="str">
        <x:v>Hà Nội|other_unknown</x:v>
      </x:c>
      <x:c r="P4909" s="10" t="n">
        <x:v>2</x:v>
      </x:c>
      <x:c r="Q4909" s="13" t="n">
        <x:f>IF(H4909="","",H4909/1000000000)</x:f>
        <x:v>4.5</x:v>
      </x:c>
      <x:c r="R4909" s="13" t="n">
        <x:f>IF(I4909="","",I4909/1000000)</x:f>
        <x:v>100</x:v>
      </x:c>
    </x:row>
    <x:row r="4910" ht="21" customHeight="1">
      <x:c r="A4910" s="10" t="n">
        <x:v>6482</x:v>
      </x:c>
      <x:c r="B4910" s="2" t="str">
        <x:v>17cc51e593c431d120d5</x:v>
      </x:c>
      <x:c r="C4910" s="2" t="str">
        <x:v>Tp Hồ Chí Minh</x:v>
      </x:c>
      <x:c r="D4910" s="2" t="str">
        <x:v>Huyện Hóc Môn</x:v>
      </x:c>
      <x:c r="E4910" s="2" t="str">
        <x:v>house</x:v>
      </x:c>
      <x:c r="F4910" s="2" t="str">
        <x:v>sale</x:v>
      </x:c>
      <x:c r="G4910" s="11" t="n">
        <x:v>200</x:v>
      </x:c>
      <x:c r="H4910" s="12" t="n">
        <x:v>200000000</x:v>
      </x:c>
      <x:c r="I4910" s="12" t="n">
        <x:v>1000000</x:v>
      </x:c>
      <x:c r="J4910" s="2" t="str">
        <x:v>total</x:v>
      </x:c>
      <x:c r="K4910" s="2" t="str">
        <x:v>top_level_area</x:v>
      </x:c>
      <x:c r="L4910" s="2" t="str">
        <x:v>property_type_inferred_from_title</x:v>
      </x:c>
      <x:c r="M4910" s="10" t="n">
        <x:v>0</x:v>
      </x:c>
      <x:c r="N4910" s="10" t="n">
        <x:v>0</x:v>
      </x:c>
      <x:c r="O4910" s="2" t="str">
        <x:v>Tp Hồ Chí Minh|house</x:v>
      </x:c>
      <x:c r="P4910" s="10" t="n">
        <x:v>1</x:v>
      </x:c>
      <x:c r="Q4910" s="13" t="n">
        <x:f>IF(H4910="","",H4910/1000000000)</x:f>
        <x:v>0.2</x:v>
      </x:c>
      <x:c r="R4910" s="13" t="n">
        <x:f>IF(I4910="","",I4910/1000000)</x:f>
        <x:v>1</x:v>
      </x:c>
    </x:row>
    <x:row r="4911" ht="21" customHeight="1">
      <x:c r="A4911" s="10" t="n">
        <x:v>6486</x:v>
      </x:c>
      <x:c r="B4911" s="2" t="str">
        <x:v>d61580372faf05b060c9</x:v>
      </x:c>
      <x:c r="C4911" s="2" t="str">
        <x:v>Tp Hồ Chí Minh</x:v>
      </x:c>
      <x:c r="D4911" s="2" t="str">
        <x:v>Quận 12</x:v>
      </x:c>
      <x:c r="E4911" s="2" t="str">
        <x:v>house</x:v>
      </x:c>
      <x:c r="F4911" s="2" t="str">
        <x:v>sale_assumed</x:v>
      </x:c>
      <x:c r="G4911" s="11" t="n">
        <x:v>60</x:v>
      </x:c>
      <x:c r="H4911" s="12" t="n">
        <x:v>3400000000</x:v>
      </x:c>
      <x:c r="I4911" s="12" t="n">
        <x:v>56666666.666666664</x:v>
      </x:c>
      <x:c r="J4911" s="2" t="str">
        <x:v>total</x:v>
      </x:c>
      <x:c r="K4911" s="2" t="str">
        <x:v>top_level_area</x:v>
      </x:c>
      <x:c r="L4911" s="2" t="str">
        <x:v>property_type_inferred_from_title;transaction_assumed_sale_from_dataset_context</x:v>
      </x:c>
      <x:c r="M4911" s="10" t="n">
        <x:v>0</x:v>
      </x:c>
      <x:c r="N4911" s="10" t="n">
        <x:v>0</x:v>
      </x:c>
      <x:c r="O4911" s="2" t="str">
        <x:v>Tp Hồ Chí Minh|house</x:v>
      </x:c>
      <x:c r="P4911" s="10" t="n">
        <x:v>2</x:v>
      </x:c>
      <x:c r="Q4911" s="13" t="n">
        <x:f>IF(H4911="","",H4911/1000000000)</x:f>
        <x:v>3.4</x:v>
      </x:c>
      <x:c r="R4911" s="13" t="n">
        <x:f>IF(I4911="","",I4911/1000000)</x:f>
        <x:v>56.666666666666664</x:v>
      </x:c>
    </x:row>
    <x:row r="4912" ht="21" customHeight="1">
      <x:c r="A4912" s="10" t="n">
        <x:v>6487</x:v>
      </x:c>
      <x:c r="B4912" s="2" t="str">
        <x:v>b4ce24b35b889719a0b1</x:v>
      </x:c>
      <x:c r="C4912" s="2" t="str">
        <x:v>Quảng Nam</x:v>
      </x:c>
      <x:c r="D4912" s="2" t="str">
        <x:v>Thành phố Hội An</x:v>
      </x:c>
      <x:c r="E4912" s="2" t="str">
        <x:v>house</x:v>
      </x:c>
      <x:c r="F4912" s="2" t="str">
        <x:v>sale_assumed</x:v>
      </x:c>
      <x:c r="G4912" s="11" t="n">
        <x:v>140</x:v>
      </x:c>
      <x:c r="H4912" s="12" t="n">
        <x:v>15000000000</x:v>
      </x:c>
      <x:c r="I4912" s="12" t="n">
        <x:v>107142857.14285715</x:v>
      </x:c>
      <x:c r="J4912" s="2" t="str">
        <x:v>total</x:v>
      </x:c>
      <x:c r="K4912" s="2" t="str">
        <x:v>top_level_area</x:v>
      </x:c>
      <x:c r="L4912" s="2" t="str">
        <x:v>property_type_inferred_from_title;transaction_assumed_sale_from_dataset_context</x:v>
      </x:c>
      <x:c r="M4912" s="10" t="n">
        <x:v>0</x:v>
      </x:c>
      <x:c r="N4912" s="10" t="n">
        <x:v>0</x:v>
      </x:c>
      <x:c r="O4912" s="2" t="str">
        <x:v>house</x:v>
      </x:c>
      <x:c r="P4912" s="10" t="n">
        <x:v>2</x:v>
      </x:c>
      <x:c r="Q4912" s="13" t="n">
        <x:f>IF(H4912="","",H4912/1000000000)</x:f>
        <x:v>15</x:v>
      </x:c>
      <x:c r="R4912" s="13" t="n">
        <x:f>IF(I4912="","",I4912/1000000)</x:f>
        <x:v>107.14285714285715</x:v>
      </x:c>
    </x:row>
    <x:row r="4913" ht="21" customHeight="1">
      <x:c r="A4913" s="10" t="n">
        <x:v>6488</x:v>
      </x:c>
      <x:c r="B4913" s="2" t="str">
        <x:v>408c5e82e9e1e3f8ce84</x:v>
      </x:c>
      <x:c r="C4913" s="2" t="str">
        <x:v>Long An</x:v>
      </x:c>
      <x:c r="D4913" s="2" t="str">
        <x:v>Huyện Cần Đước</x:v>
      </x:c>
      <x:c r="E4913" s="2" t="str">
        <x:v>land</x:v>
      </x:c>
      <x:c r="F4913" s="2" t="str">
        <x:v>sale_assumed</x:v>
      </x:c>
      <x:c r="G4913" s="11" t="n">
        <x:v>90</x:v>
      </x:c>
      <x:c r="H4913" s="12" t="n">
        <x:v>620000000</x:v>
      </x:c>
      <x:c r="I4913" s="12" t="n">
        <x:v>6888888.888888889</x:v>
      </x:c>
      <x:c r="J4913" s="2" t="str">
        <x:v>total</x:v>
      </x:c>
      <x:c r="K4913" s="2" t="str">
        <x:v>top_level_area</x:v>
      </x:c>
      <x:c r="L4913" s="2" t="str">
        <x:v>property_type_inferred_from_title;transaction_assumed_sale_from_dataset_context</x:v>
      </x:c>
      <x:c r="M4913" s="10" t="n">
        <x:v>0</x:v>
      </x:c>
      <x:c r="N4913" s="10" t="n">
        <x:v>0</x:v>
      </x:c>
      <x:c r="O4913" s="2" t="str">
        <x:v>Long An|land</x:v>
      </x:c>
      <x:c r="P4913" s="10" t="n">
        <x:v>2</x:v>
      </x:c>
      <x:c r="Q4913" s="13" t="n">
        <x:f>IF(H4913="","",H4913/1000000000)</x:f>
        <x:v>0.62</x:v>
      </x:c>
      <x:c r="R4913" s="13" t="n">
        <x:f>IF(I4913="","",I4913/1000000)</x:f>
        <x:v>6.888888888888889</x:v>
      </x:c>
    </x:row>
    <x:row r="4914" ht="21" customHeight="1">
      <x:c r="A4914" s="10" t="n">
        <x:v>6489</x:v>
      </x:c>
      <x:c r="B4914" s="2" t="str">
        <x:v>94626246713aa2ebc8e3</x:v>
      </x:c>
      <x:c r="C4914" s="2" t="str">
        <x:v>Cần Thơ</x:v>
      </x:c>
      <x:c r="D4914" s="2" t="str">
        <x:v>Quận Ninh Kiều</x:v>
      </x:c>
      <x:c r="E4914" s="2" t="str">
        <x:v>house</x:v>
      </x:c>
      <x:c r="F4914" s="2" t="str">
        <x:v>sale</x:v>
      </x:c>
      <x:c r="G4914" s="11" t="n">
        <x:v>40</x:v>
      </x:c>
      <x:c r="H4914" s="12" t="n">
        <x:v>1999000000</x:v>
      </x:c>
      <x:c r="I4914" s="12" t="n">
        <x:v>49975000</x:v>
      </x:c>
      <x:c r="J4914" s="2" t="str">
        <x:v>total</x:v>
      </x:c>
      <x:c r="K4914" s="2" t="str">
        <x:v>top_level_area</x:v>
      </x:c>
      <x:c r="L4914" s="2" t="str">
        <x:v>property_type_inferred_from_title</x:v>
      </x:c>
      <x:c r="M4914" s="10" t="n">
        <x:v>0</x:v>
      </x:c>
      <x:c r="N4914" s="10" t="n">
        <x:v>0</x:v>
      </x:c>
      <x:c r="O4914" s="2" t="str">
        <x:v>Cần Thơ|house</x:v>
      </x:c>
      <x:c r="P4914" s="10" t="n">
        <x:v>2</x:v>
      </x:c>
      <x:c r="Q4914" s="13" t="n">
        <x:f>IF(H4914="","",H4914/1000000000)</x:f>
        <x:v>1.999</x:v>
      </x:c>
      <x:c r="R4914" s="13" t="n">
        <x:f>IF(I4914="","",I4914/1000000)</x:f>
        <x:v>49.975</x:v>
      </x:c>
    </x:row>
    <x:row r="4915" ht="21" customHeight="1">
      <x:c r="A4915" s="10" t="n">
        <x:v>6490</x:v>
      </x:c>
      <x:c r="B4915" s="2" t="str">
        <x:v>6d9844ef45690b0a18de</x:v>
      </x:c>
      <x:c r="C4915" s="2" t="str">
        <x:v>Hà Nội</x:v>
      </x:c>
      <x:c r="D4915" s="2" t="str">
        <x:v>Quận Hoàng Mai</x:v>
      </x:c>
      <x:c r="E4915" s="2" t="str">
        <x:v>land</x:v>
      </x:c>
      <x:c r="F4915" s="2" t="str">
        <x:v>sale</x:v>
      </x:c>
      <x:c r="G4915" s="11" t="n">
        <x:v>33</x:v>
      </x:c>
      <x:c r="H4915" s="12" t="n">
        <x:v>2049999999.9999998</x:v>
      </x:c>
      <x:c r="I4915" s="12" t="n">
        <x:v>62121212.12121212</x:v>
      </x:c>
      <x:c r="J4915" s="2" t="str">
        <x:v>total</x:v>
      </x:c>
      <x:c r="K4915" s="2" t="str">
        <x:v>top_level_area</x:v>
      </x:c>
      <x:c r="L4915" s="2" t="str">
        <x:v>property_type_inferred_from_title</x:v>
      </x:c>
      <x:c r="M4915" s="10" t="n">
        <x:v>0</x:v>
      </x:c>
      <x:c r="N4915" s="10" t="n">
        <x:v>0</x:v>
      </x:c>
      <x:c r="O4915" s="2" t="str">
        <x:v>Hà Nội|land</x:v>
      </x:c>
      <x:c r="P4915" s="10" t="n">
        <x:v>2</x:v>
      </x:c>
      <x:c r="Q4915" s="13" t="n">
        <x:f>IF(H4915="","",H4915/1000000000)</x:f>
        <x:v>2.05</x:v>
      </x:c>
      <x:c r="R4915" s="13" t="n">
        <x:f>IF(I4915="","",I4915/1000000)</x:f>
        <x:v>62.12121212121212</x:v>
      </x:c>
    </x:row>
    <x:row r="4916" ht="21" customHeight="1">
      <x:c r="A4916" s="10" t="n">
        <x:v>6491</x:v>
      </x:c>
      <x:c r="B4916" s="2" t="str">
        <x:v>eb711a34d1557d0e271d</x:v>
      </x:c>
      <x:c r="C4916" s="2" t="str">
        <x:v>Tp Hồ Chí Minh</x:v>
      </x:c>
      <x:c r="D4916" s="2" t="str">
        <x:v>Quận Bình Tân</x:v>
      </x:c>
      <x:c r="E4916" s="2" t="str">
        <x:v>house</x:v>
      </x:c>
      <x:c r="F4916" s="2" t="str">
        <x:v>sale_assumed</x:v>
      </x:c>
      <x:c r="G4916" s="11" t="n">
        <x:v>74</x:v>
      </x:c>
      <x:c r="H4916" s="12" t="n">
        <x:v>4700000000</x:v>
      </x:c>
      <x:c r="I4916" s="12" t="n">
        <x:v>63513513.51351351</x:v>
      </x:c>
      <x:c r="J4916" s="2" t="str">
        <x:v>total</x:v>
      </x:c>
      <x:c r="K4916" s="2" t="str">
        <x:v>top_level_area</x:v>
      </x:c>
      <x:c r="L4916" s="2" t="str">
        <x:v>property_type_inferred_from_title;transaction_assumed_sale_from_dataset_context</x:v>
      </x:c>
      <x:c r="M4916" s="10" t="n">
        <x:v>0</x:v>
      </x:c>
      <x:c r="N4916" s="10" t="n">
        <x:v>0</x:v>
      </x:c>
      <x:c r="O4916" s="2" t="str">
        <x:v>Tp Hồ Chí Minh|house</x:v>
      </x:c>
      <x:c r="P4916" s="10" t="n">
        <x:v>2</x:v>
      </x:c>
      <x:c r="Q4916" s="13" t="n">
        <x:f>IF(H4916="","",H4916/1000000000)</x:f>
        <x:v>4.7</x:v>
      </x:c>
      <x:c r="R4916" s="13" t="n">
        <x:f>IF(I4916="","",I4916/1000000)</x:f>
        <x:v>63.513513513513516</x:v>
      </x:c>
    </x:row>
    <x:row r="4917" ht="21" customHeight="1">
      <x:c r="A4917" s="10" t="n">
        <x:v>6492</x:v>
      </x:c>
      <x:c r="B4917" s="2" t="str">
        <x:v>4312c1613703f55f9590</x:v>
      </x:c>
      <x:c r="C4917" s="2" t="str">
        <x:v>Tp Hồ Chí Minh</x:v>
      </x:c>
      <x:c r="D4917" s="2" t="str">
        <x:v>Quận Gò Vấp</x:v>
      </x:c>
      <x:c r="E4917" s="2" t="str">
        <x:v>other_unknown</x:v>
      </x:c>
      <x:c r="F4917" s="2" t="str">
        <x:v>sale_assumed</x:v>
      </x:c>
      <x:c r="G4917" s="11" t="n">
        <x:v>30</x:v>
      </x:c>
      <x:c r="H4917" s="12" t="n">
        <x:v>3980000000</x:v>
      </x:c>
      <x:c r="I4917" s="12" t="n">
        <x:v>132666666.66666667</x:v>
      </x:c>
      <x:c r="J4917" s="2" t="str">
        <x:v>total</x:v>
      </x:c>
      <x:c r="K4917" s="2" t="str">
        <x:v>top_level_price_embedded_area</x:v>
      </x:c>
      <x:c r="L4917" s="2" t="str">
        <x:v>area_recovered_from_price_text;property_type_inferred_from_title;transaction_assumed_sale_from_dataset_context;unknown_property_type</x:v>
      </x:c>
      <x:c r="M4917" s="10" t="n">
        <x:v>0</x:v>
      </x:c>
      <x:c r="N4917" s="10" t="n">
        <x:v>0</x:v>
      </x:c>
      <x:c r="O4917" s="2" t="str">
        <x:v>Tp Hồ Chí Minh|other_unknown</x:v>
      </x:c>
      <x:c r="P4917" s="10" t="n">
        <x:v>2</x:v>
      </x:c>
      <x:c r="Q4917" s="13" t="n">
        <x:f>IF(H4917="","",H4917/1000000000)</x:f>
        <x:v>3.98</x:v>
      </x:c>
      <x:c r="R4917" s="13" t="n">
        <x:f>IF(I4917="","",I4917/1000000)</x:f>
        <x:v>132.66666666666669</x:v>
      </x:c>
    </x:row>
    <x:row r="4918" ht="21" customHeight="1">
      <x:c r="A4918" s="10" t="n">
        <x:v>6493</x:v>
      </x:c>
      <x:c r="B4918" s="2" t="str">
        <x:v>96ba12f08d5cad6bb7d7</x:v>
      </x:c>
      <x:c r="C4918" s="2" t="str">
        <x:v>Tp Hồ Chí Minh</x:v>
      </x:c>
      <x:c r="D4918" s="2" t="str">
        <x:v>Quận Thủ Đức</x:v>
      </x:c>
      <x:c r="E4918" s="2" t="str">
        <x:v>land</x:v>
      </x:c>
      <x:c r="F4918" s="2" t="str">
        <x:v>sale_assumed</x:v>
      </x:c>
      <x:c r="G4918" s="11" t="n">
        <x:v>98</x:v>
      </x:c>
      <x:c r="H4918" s="12" t="n">
        <x:v>185000000</x:v>
      </x:c>
      <x:c r="I4918" s="12" t="n">
        <x:v>1887755.1020408163</x:v>
      </x:c>
      <x:c r="J4918" s="2" t="str">
        <x:v>total</x:v>
      </x:c>
      <x:c r="K4918" s="2" t="str">
        <x:v>top_level_area</x:v>
      </x:c>
      <x:c r="L4918" s="2" t="str">
        <x:v>property_type_inferred_from_title;transaction_assumed_sale_from_dataset_context</x:v>
      </x:c>
      <x:c r="M4918" s="10" t="n">
        <x:v>0</x:v>
      </x:c>
      <x:c r="N4918" s="10" t="n">
        <x:v>0</x:v>
      </x:c>
      <x:c r="O4918" s="2" t="str">
        <x:v>Tp Hồ Chí Minh|land</x:v>
      </x:c>
      <x:c r="P4918" s="10" t="n">
        <x:v>1</x:v>
      </x:c>
      <x:c r="Q4918" s="13" t="n">
        <x:f>IF(H4918="","",H4918/1000000000)</x:f>
        <x:v>0.185</x:v>
      </x:c>
      <x:c r="R4918" s="13" t="n">
        <x:f>IF(I4918="","",I4918/1000000)</x:f>
        <x:v>1.8877551020408163</x:v>
      </x:c>
    </x:row>
    <x:row r="4919" ht="21" customHeight="1">
      <x:c r="A4919" s="10" t="n">
        <x:v>6494</x:v>
      </x:c>
      <x:c r="B4919" s="2" t="str">
        <x:v>d97e4c31c894bd188455</x:v>
      </x:c>
      <x:c r="C4919" s="2" t="str">
        <x:v>Tp Hồ Chí Minh</x:v>
      </x:c>
      <x:c r="D4919" s="2" t="str">
        <x:v>Quận 3</x:v>
      </x:c>
      <x:c r="E4919" s="2" t="str">
        <x:v>house</x:v>
      </x:c>
      <x:c r="F4919" s="2" t="str">
        <x:v>sale</x:v>
      </x:c>
      <x:c r="G4919" s="11" t="n">
        <x:v>62</x:v>
      </x:c>
      <x:c r="H4919" s="12" t="n">
        <x:v>1290000000</x:v>
      </x:c>
      <x:c r="I4919" s="12" t="n">
        <x:v>20806451.612903226</x:v>
      </x:c>
      <x:c r="J4919" s="2" t="str">
        <x:v>total</x:v>
      </x:c>
      <x:c r="K4919" s="2" t="str">
        <x:v>top_level_area</x:v>
      </x:c>
      <x:c r="L4919" s="2" t="str">
        <x:v>property_type_inferred_from_title</x:v>
      </x:c>
      <x:c r="M4919" s="10" t="n">
        <x:v>0</x:v>
      </x:c>
      <x:c r="N4919" s="10" t="n">
        <x:v>0</x:v>
      </x:c>
      <x:c r="O4919" s="2" t="str">
        <x:v>Tp Hồ Chí Minh|house</x:v>
      </x:c>
      <x:c r="P4919" s="10" t="n">
        <x:v>2</x:v>
      </x:c>
      <x:c r="Q4919" s="13" t="n">
        <x:f>IF(H4919="","",H4919/1000000000)</x:f>
        <x:v>1.29</x:v>
      </x:c>
      <x:c r="R4919" s="13" t="n">
        <x:f>IF(I4919="","",I4919/1000000)</x:f>
        <x:v>20.806451612903228</x:v>
      </x:c>
    </x:row>
    <x:row r="4920" ht="21" customHeight="1">
      <x:c r="A4920" s="10" t="n">
        <x:v>6495</x:v>
      </x:c>
      <x:c r="B4920" s="2" t="str">
        <x:v>2e96d9934bf5fb56cd24</x:v>
      </x:c>
      <x:c r="C4920" s="2" t="str">
        <x:v>Hà Nội</x:v>
      </x:c>
      <x:c r="D4920" s="2" t="str">
        <x:v>Quận Thanh Xuân</x:v>
      </x:c>
      <x:c r="E4920" s="2" t="str">
        <x:v>house</x:v>
      </x:c>
      <x:c r="F4920" s="2" t="str">
        <x:v>sale_assumed</x:v>
      </x:c>
      <x:c r="G4920" s="11" t="n">
        <x:v>35</x:v>
      </x:c>
      <x:c r="H4920" s="12" t="n">
        <x:v>3150000000</x:v>
      </x:c>
      <x:c r="I4920" s="12" t="n">
        <x:v>90000000</x:v>
      </x:c>
      <x:c r="J4920" s="2" t="str">
        <x:v>total</x:v>
      </x:c>
      <x:c r="K4920" s="2" t="str">
        <x:v>top_level_area</x:v>
      </x:c>
      <x:c r="L4920" s="2" t="str">
        <x:v>property_type_inferred_from_title;transaction_assumed_sale_from_dataset_context</x:v>
      </x:c>
      <x:c r="M4920" s="10" t="n">
        <x:v>0</x:v>
      </x:c>
      <x:c r="N4920" s="10" t="n">
        <x:v>0</x:v>
      </x:c>
      <x:c r="O4920" s="2" t="str">
        <x:v>Hà Nội|house</x:v>
      </x:c>
      <x:c r="P4920" s="10" t="n">
        <x:v>2</x:v>
      </x:c>
      <x:c r="Q4920" s="13" t="n">
        <x:f>IF(H4920="","",H4920/1000000000)</x:f>
        <x:v>3.15</x:v>
      </x:c>
      <x:c r="R4920" s="13" t="n">
        <x:f>IF(I4920="","",I4920/1000000)</x:f>
        <x:v>90</x:v>
      </x:c>
    </x:row>
    <x:row r="4921" ht="21" customHeight="1">
      <x:c r="A4921" s="10" t="n">
        <x:v>6496</x:v>
      </x:c>
      <x:c r="B4921" s="2" t="str">
        <x:v>d46947336ac6f18d01ca</x:v>
      </x:c>
      <x:c r="C4921" s="2" t="str">
        <x:v>Tp Hồ Chí Minh</x:v>
      </x:c>
      <x:c r="D4921" s="2" t="str">
        <x:v>Quận Gò Vấp</x:v>
      </x:c>
      <x:c r="E4921" s="2" t="str">
        <x:v>house</x:v>
      </x:c>
      <x:c r="F4921" s="2" t="str">
        <x:v>sale_assumed</x:v>
      </x:c>
      <x:c r="G4921" s="11" t="n">
        <x:v>32</x:v>
      </x:c>
      <x:c r="H4921" s="12" t="n">
        <x:v>830000000</x:v>
      </x:c>
      <x:c r="I4921" s="12" t="n">
        <x:v>25937500</x:v>
      </x:c>
      <x:c r="J4921" s="2" t="str">
        <x:v>total</x:v>
      </x:c>
      <x:c r="K4921" s="2" t="str">
        <x:v>top_level_area</x:v>
      </x:c>
      <x:c r="L4921" s="2" t="str">
        <x:v>property_type_inferred_from_title;transaction_assumed_sale_from_dataset_context</x:v>
      </x:c>
      <x:c r="M4921" s="10" t="n">
        <x:v>0</x:v>
      </x:c>
      <x:c r="N4921" s="10" t="n">
        <x:v>0</x:v>
      </x:c>
      <x:c r="O4921" s="2" t="str">
        <x:v>Tp Hồ Chí Minh|house</x:v>
      </x:c>
      <x:c r="P4921" s="10" t="n">
        <x:v>2</x:v>
      </x:c>
      <x:c r="Q4921" s="13" t="n">
        <x:f>IF(H4921="","",H4921/1000000000)</x:f>
        <x:v>0.83</x:v>
      </x:c>
      <x:c r="R4921" s="13" t="n">
        <x:f>IF(I4921="","",I4921/1000000)</x:f>
        <x:v>25.9375</x:v>
      </x:c>
    </x:row>
    <x:row r="4922" ht="21" customHeight="1">
      <x:c r="A4922" s="10" t="n">
        <x:v>6497</x:v>
      </x:c>
      <x:c r="B4922" s="2" t="str">
        <x:v>fec721b975feda8b442d</x:v>
      </x:c>
      <x:c r="C4922" s="2" t="str">
        <x:v>Tp Hồ Chí Minh</x:v>
      </x:c>
      <x:c r="D4922" s="2" t="str">
        <x:v>Quận Tân Phú</x:v>
      </x:c>
      <x:c r="E4922" s="2" t="str">
        <x:v>apartment</x:v>
      </x:c>
      <x:c r="F4922" s="2" t="str">
        <x:v>sale</x:v>
      </x:c>
      <x:c r="G4922" s="11" t="n">
        <x:v>65</x:v>
      </x:c>
      <x:c r="H4922" s="12" t="n">
        <x:v>1800000000</x:v>
      </x:c>
      <x:c r="I4922" s="12" t="n">
        <x:v>27692307.692307692</x:v>
      </x:c>
      <x:c r="J4922" s="2" t="str">
        <x:v>total</x:v>
      </x:c>
      <x:c r="K4922" s="2" t="str">
        <x:v>top_level_area</x:v>
      </x:c>
      <x:c r="L4922" s="2" t="str">
        <x:v>property_type_inferred_from_title</x:v>
      </x:c>
      <x:c r="M4922" s="10" t="n">
        <x:v>0</x:v>
      </x:c>
      <x:c r="N4922" s="10" t="n">
        <x:v>0</x:v>
      </x:c>
      <x:c r="O4922" s="2" t="str">
        <x:v>Tp Hồ Chí Minh|apartment</x:v>
      </x:c>
      <x:c r="P4922" s="10" t="n">
        <x:v>2</x:v>
      </x:c>
      <x:c r="Q4922" s="13" t="n">
        <x:f>IF(H4922="","",H4922/1000000000)</x:f>
        <x:v>1.8</x:v>
      </x:c>
      <x:c r="R4922" s="13" t="n">
        <x:f>IF(I4922="","",I4922/1000000)</x:f>
        <x:v>27.692307692307693</x:v>
      </x:c>
    </x:row>
    <x:row r="4923" ht="21" customHeight="1">
      <x:c r="A4923" s="10" t="n">
        <x:v>6498</x:v>
      </x:c>
      <x:c r="B4923" s="2" t="str">
        <x:v>171ef82bfa70808345a4</x:v>
      </x:c>
      <x:c r="C4923" s="2" t="str">
        <x:v>Khánh Hòa</x:v>
      </x:c>
      <x:c r="D4923" s="2" t="str">
        <x:v>Thành phố Nha Trang</x:v>
      </x:c>
      <x:c r="E4923" s="2" t="str">
        <x:v>house</x:v>
      </x:c>
      <x:c r="F4923" s="2" t="str">
        <x:v>sale_assumed</x:v>
      </x:c>
      <x:c r="G4923" s="11" t="n">
        <x:v>90</x:v>
      </x:c>
      <x:c r="H4923" s="12" t="n">
        <x:v>2700000000</x:v>
      </x:c>
      <x:c r="I4923" s="12" t="n">
        <x:v>30000000</x:v>
      </x:c>
      <x:c r="J4923" s="2" t="str">
        <x:v>total</x:v>
      </x:c>
      <x:c r="K4923" s="2" t="str">
        <x:v>top_level_area</x:v>
      </x:c>
      <x:c r="L4923" s="2" t="str">
        <x:v>property_type_inferred_from_title;transaction_assumed_sale_from_dataset_context</x:v>
      </x:c>
      <x:c r="M4923" s="10" t="n">
        <x:v>0</x:v>
      </x:c>
      <x:c r="N4923" s="10" t="n">
        <x:v>0</x:v>
      </x:c>
      <x:c r="O4923" s="2" t="str">
        <x:v>Khánh Hòa|house</x:v>
      </x:c>
      <x:c r="P4923" s="10" t="n">
        <x:v>2</x:v>
      </x:c>
      <x:c r="Q4923" s="13" t="n">
        <x:f>IF(H4923="","",H4923/1000000000)</x:f>
        <x:v>2.7</x:v>
      </x:c>
      <x:c r="R4923" s="13" t="n">
        <x:f>IF(I4923="","",I4923/1000000)</x:f>
        <x:v>30</x:v>
      </x:c>
    </x:row>
    <x:row r="4924" ht="21" customHeight="1">
      <x:c r="A4924" s="10" t="n">
        <x:v>6499</x:v>
      </x:c>
      <x:c r="B4924" s="2" t="str">
        <x:v>486733c5df46678e0d7e</x:v>
      </x:c>
      <x:c r="C4924" s="2" t="str">
        <x:v>Tp Hồ Chí Minh</x:v>
      </x:c>
      <x:c r="D4924" s="2" t="str">
        <x:v>Quận Thủ Đức</x:v>
      </x:c>
      <x:c r="E4924" s="2" t="str">
        <x:v>other_unknown</x:v>
      </x:c>
      <x:c r="F4924" s="2" t="str">
        <x:v>sale</x:v>
      </x:c>
      <x:c r="G4924" s="11" t="n">
        <x:v>130</x:v>
      </x:c>
      <x:c r="H4924" s="12" t="n">
        <x:v>4500000000</x:v>
      </x:c>
      <x:c r="I4924" s="12" t="n">
        <x:v>34615384.615384616</x:v>
      </x:c>
      <x:c r="J4924" s="2" t="str">
        <x:v>total</x:v>
      </x:c>
      <x:c r="K4924" s="2" t="str">
        <x:v>top_level_area</x:v>
      </x:c>
      <x:c r="L4924" s="2" t="str">
        <x:v>property_type_inferred_from_title;unknown_property_type</x:v>
      </x:c>
      <x:c r="M4924" s="10" t="n">
        <x:v>0</x:v>
      </x:c>
      <x:c r="N4924" s="10" t="n">
        <x:v>0</x:v>
      </x:c>
      <x:c r="O4924" s="2" t="str">
        <x:v>Tp Hồ Chí Minh|other_unknown</x:v>
      </x:c>
      <x:c r="P4924" s="10" t="n">
        <x:v>2</x:v>
      </x:c>
      <x:c r="Q4924" s="13" t="n">
        <x:f>IF(H4924="","",H4924/1000000000)</x:f>
        <x:v>4.5</x:v>
      </x:c>
      <x:c r="R4924" s="13" t="n">
        <x:f>IF(I4924="","",I4924/1000000)</x:f>
        <x:v>34.61538461538461</x:v>
      </x:c>
    </x:row>
    <x:row r="4925" ht="21" customHeight="1">
      <x:c r="A4925" s="10" t="n">
        <x:v>6500</x:v>
      </x:c>
      <x:c r="B4925" s="2" t="str">
        <x:v>14c5a522b5bb3c022f08</x:v>
      </x:c>
      <x:c r="C4925" s="2" t="str">
        <x:v>Tp Hồ Chí Minh</x:v>
      </x:c>
      <x:c r="D4925" s="2" t="str">
        <x:v>Quận Bình Thạnh</x:v>
      </x:c>
      <x:c r="E4925" s="2" t="str">
        <x:v>house</x:v>
      </x:c>
      <x:c r="F4925" s="2" t="str">
        <x:v>sale_assumed</x:v>
      </x:c>
      <x:c r="G4925" s="11" t="n">
        <x:v>40</x:v>
      </x:c>
      <x:c r="H4925" s="12" t="n">
        <x:v>1340000000</x:v>
      </x:c>
      <x:c r="I4925" s="12" t="n">
        <x:v>33500000</x:v>
      </x:c>
      <x:c r="J4925" s="2" t="str">
        <x:v>total</x:v>
      </x:c>
      <x:c r="K4925" s="2" t="str">
        <x:v>top_level_area</x:v>
      </x:c>
      <x:c r="L4925" s="2" t="str">
        <x:v>property_type_inferred_from_title;transaction_assumed_sale_from_dataset_context</x:v>
      </x:c>
      <x:c r="M4925" s="10" t="n">
        <x:v>0</x:v>
      </x:c>
      <x:c r="N4925" s="10" t="n">
        <x:v>0</x:v>
      </x:c>
      <x:c r="O4925" s="2" t="str">
        <x:v>Tp Hồ Chí Minh|house</x:v>
      </x:c>
      <x:c r="P4925" s="10" t="n">
        <x:v>2</x:v>
      </x:c>
      <x:c r="Q4925" s="13" t="n">
        <x:f>IF(H4925="","",H4925/1000000000)</x:f>
        <x:v>1.34</x:v>
      </x:c>
      <x:c r="R4925" s="13" t="n">
        <x:f>IF(I4925="","",I4925/1000000)</x:f>
        <x:v>33.5</x:v>
      </x:c>
    </x:row>
    <x:row r="4926" ht="21" customHeight="1">
      <x:c r="A4926" s="10" t="n">
        <x:v>6501</x:v>
      </x:c>
      <x:c r="B4926" s="2" t="str">
        <x:v>d4755571e5dce1c2f863</x:v>
      </x:c>
      <x:c r="C4926" s="2" t="str">
        <x:v>Tp Hồ Chí Minh</x:v>
      </x:c>
      <x:c r="D4926" s="2" t="str">
        <x:v>Quận Phú Nhuận</x:v>
      </x:c>
      <x:c r="E4926" s="2" t="str">
        <x:v>house</x:v>
      </x:c>
      <x:c r="F4926" s="2" t="str">
        <x:v>sale</x:v>
      </x:c>
      <x:c r="G4926" s="11" t="n">
        <x:v>49</x:v>
      </x:c>
      <x:c r="H4926" s="12" t="n">
        <x:v>1280000000</x:v>
      </x:c>
      <x:c r="I4926" s="12" t="n">
        <x:v>26122448.979591835</x:v>
      </x:c>
      <x:c r="J4926" s="2" t="str">
        <x:v>total</x:v>
      </x:c>
      <x:c r="K4926" s="2" t="str">
        <x:v>top_level_area</x:v>
      </x:c>
      <x:c r="L4926" s="2" t="str">
        <x:v>property_type_inferred_from_title</x:v>
      </x:c>
      <x:c r="M4926" s="10" t="n">
        <x:v>0</x:v>
      </x:c>
      <x:c r="N4926" s="10" t="n">
        <x:v>0</x:v>
      </x:c>
      <x:c r="O4926" s="2" t="str">
        <x:v>Tp Hồ Chí Minh|house</x:v>
      </x:c>
      <x:c r="P4926" s="10" t="n">
        <x:v>2</x:v>
      </x:c>
      <x:c r="Q4926" s="13" t="n">
        <x:f>IF(H4926="","",H4926/1000000000)</x:f>
        <x:v>1.28</x:v>
      </x:c>
      <x:c r="R4926" s="13" t="n">
        <x:f>IF(I4926="","",I4926/1000000)</x:f>
        <x:v>26.122448979591834</x:v>
      </x:c>
    </x:row>
    <x:row r="4927" ht="21" customHeight="1">
      <x:c r="A4927" s="10" t="n">
        <x:v>6502</x:v>
      </x:c>
      <x:c r="B4927" s="2" t="str">
        <x:v>9150acc40273ee5fcbcf</x:v>
      </x:c>
      <x:c r="C4927" s="2" t="str">
        <x:v>Tp Hồ Chí Minh</x:v>
      </x:c>
      <x:c r="D4927" s="2" t="str">
        <x:v>Quận 7</x:v>
      </x:c>
      <x:c r="E4927" s="2" t="str">
        <x:v>apartment</x:v>
      </x:c>
      <x:c r="F4927" s="2" t="str">
        <x:v>sale_assumed</x:v>
      </x:c>
      <x:c r="G4927" s="11" t="n">
        <x:v>69</x:v>
      </x:c>
      <x:c r="H4927" s="12" t="n">
        <x:v>2049999999.9999998</x:v>
      </x:c>
      <x:c r="I4927" s="12" t="n">
        <x:v>29710144.927536227</x:v>
      </x:c>
      <x:c r="J4927" s="2" t="str">
        <x:v>total</x:v>
      </x:c>
      <x:c r="K4927" s="2" t="str">
        <x:v>top_level_area</x:v>
      </x:c>
      <x:c r="L4927" s="2" t="str">
        <x:v>property_type_inferred_from_title;transaction_assumed_sale_from_dataset_context</x:v>
      </x:c>
      <x:c r="M4927" s="10" t="n">
        <x:v>0</x:v>
      </x:c>
      <x:c r="N4927" s="10" t="n">
        <x:v>0</x:v>
      </x:c>
      <x:c r="O4927" s="2" t="str">
        <x:v>Tp Hồ Chí Minh|apartment</x:v>
      </x:c>
      <x:c r="P4927" s="10" t="n">
        <x:v>2</x:v>
      </x:c>
      <x:c r="Q4927" s="13" t="n">
        <x:f>IF(H4927="","",H4927/1000000000)</x:f>
        <x:v>2.05</x:v>
      </x:c>
      <x:c r="R4927" s="13" t="n">
        <x:f>IF(I4927="","",I4927/1000000)</x:f>
        <x:v>29.710144927536227</x:v>
      </x:c>
    </x:row>
    <x:row r="4928" ht="21" customHeight="1">
      <x:c r="A4928" s="10" t="n">
        <x:v>6503</x:v>
      </x:c>
      <x:c r="B4928" s="2" t="str">
        <x:v>0d81e4d76dd458edbcb4</x:v>
      </x:c>
      <x:c r="C4928" s="2" t="str">
        <x:v>Tp Hồ Chí Minh</x:v>
      </x:c>
      <x:c r="D4928" s="2" t="str">
        <x:v>Quận 10</x:v>
      </x:c>
      <x:c r="E4928" s="2" t="str">
        <x:v>house</x:v>
      </x:c>
      <x:c r="F4928" s="2" t="str">
        <x:v>sale</x:v>
      </x:c>
      <x:c r="G4928" s="11" t="n">
        <x:v>36</x:v>
      </x:c>
      <x:c r="H4928" s="12" t="n">
        <x:v>14500000000</x:v>
      </x:c>
      <x:c r="I4928" s="12" t="n">
        <x:v>402777777.7777778</x:v>
      </x:c>
      <x:c r="J4928" s="2" t="str">
        <x:v>total</x:v>
      </x:c>
      <x:c r="K4928" s="2" t="str">
        <x:v>top_level_area</x:v>
      </x:c>
      <x:c r="L4928" s="2" t="str">
        <x:v>property_type_inferred_from_title</x:v>
      </x:c>
      <x:c r="M4928" s="10" t="n">
        <x:v>1</x:v>
      </x:c>
      <x:c r="N4928" s="10" t="n">
        <x:v>1</x:v>
      </x:c>
      <x:c r="O4928" s="2" t="str">
        <x:v>Tp Hồ Chí Minh|house</x:v>
      </x:c>
      <x:c r="P4928" s="10" t="n">
        <x:v>-1</x:v>
      </x:c>
      <x:c r="Q4928" s="13" t="n">
        <x:f>IF(H4928="","",H4928/1000000000)</x:f>
        <x:v>14.5</x:v>
      </x:c>
      <x:c r="R4928" s="13" t="n">
        <x:f>IF(I4928="","",I4928/1000000)</x:f>
        <x:v>402.77777777777777</x:v>
      </x:c>
    </x:row>
    <x:row r="4929" ht="21" customHeight="1">
      <x:c r="A4929" s="10" t="n">
        <x:v>6504</x:v>
      </x:c>
      <x:c r="B4929" s="2" t="str">
        <x:v>52f01cd38ac153b044ce</x:v>
      </x:c>
      <x:c r="C4929" s="2" t="str">
        <x:v>Hà Nội</x:v>
      </x:c>
      <x:c r="D4929" s="2" t="str">
        <x:v>Quận Hoàng Mai</x:v>
      </x:c>
      <x:c r="E4929" s="2" t="str">
        <x:v>apartment</x:v>
      </x:c>
      <x:c r="F4929" s="2" t="str">
        <x:v>sale_assumed</x:v>
      </x:c>
      <x:c r="G4929" s="11" t="n">
        <x:v>67</x:v>
      </x:c>
      <x:c r="H4929" s="12" t="n">
        <x:v>1230000000</x:v>
      </x:c>
      <x:c r="I4929" s="12" t="n">
        <x:v>18358208.95522388</x:v>
      </x:c>
      <x:c r="J4929" s="2" t="str">
        <x:v>total</x:v>
      </x:c>
      <x:c r="K4929" s="2" t="str">
        <x:v>top_level_area</x:v>
      </x:c>
      <x:c r="L4929" s="2" t="str">
        <x:v>property_type_inferred_from_title;transaction_assumed_sale_from_dataset_context</x:v>
      </x:c>
      <x:c r="M4929" s="10" t="n">
        <x:v>0</x:v>
      </x:c>
      <x:c r="N4929" s="10" t="n">
        <x:v>0</x:v>
      </x:c>
      <x:c r="O4929" s="2" t="str">
        <x:v>Hà Nội|apartment</x:v>
      </x:c>
      <x:c r="P4929" s="10" t="n">
        <x:v>2</x:v>
      </x:c>
      <x:c r="Q4929" s="13" t="n">
        <x:f>IF(H4929="","",H4929/1000000000)</x:f>
        <x:v>1.23</x:v>
      </x:c>
      <x:c r="R4929" s="13" t="n">
        <x:f>IF(I4929="","",I4929/1000000)</x:f>
        <x:v>18.35820895522388</x:v>
      </x:c>
    </x:row>
    <x:row r="4930" ht="21" customHeight="1">
      <x:c r="A4930" s="10" t="n">
        <x:v>6505</x:v>
      </x:c>
      <x:c r="B4930" s="2" t="str">
        <x:v>33b921c31e8bf856197e</x:v>
      </x:c>
      <x:c r="C4930" s="2" t="str">
        <x:v>Tp Hồ Chí Minh</x:v>
      </x:c>
      <x:c r="D4930" s="2" t="str">
        <x:v>Quận 9</x:v>
      </x:c>
      <x:c r="E4930" s="2" t="str">
        <x:v>other_unknown</x:v>
      </x:c>
      <x:c r="F4930" s="2" t="str">
        <x:v>sale_assumed</x:v>
      </x:c>
      <x:c r="G4930" s="11" t="n">
        <x:v>111</x:v>
      </x:c>
      <x:c r="H4930" s="12" t="n">
        <x:v>8900000000</x:v>
      </x:c>
      <x:c r="I4930" s="12" t="n">
        <x:v>80180180.18018018</x:v>
      </x:c>
      <x:c r="J4930" s="2" t="str">
        <x:v>total</x:v>
      </x:c>
      <x:c r="K4930" s="2" t="str">
        <x:v>top_level_area</x:v>
      </x:c>
      <x:c r="L4930" s="2" t="str">
        <x:v>property_type_inferred_from_title;transaction_assumed_sale_from_dataset_context;unknown_property_type</x:v>
      </x:c>
      <x:c r="M4930" s="10" t="n">
        <x:v>0</x:v>
      </x:c>
      <x:c r="N4930" s="10" t="n">
        <x:v>0</x:v>
      </x:c>
      <x:c r="O4930" s="2" t="str">
        <x:v>Tp Hồ Chí Minh|other_unknown</x:v>
      </x:c>
      <x:c r="P4930" s="10" t="n">
        <x:v>2</x:v>
      </x:c>
      <x:c r="Q4930" s="13" t="n">
        <x:f>IF(H4930="","",H4930/1000000000)</x:f>
        <x:v>8.9</x:v>
      </x:c>
      <x:c r="R4930" s="13" t="n">
        <x:f>IF(I4930="","",I4930/1000000)</x:f>
        <x:v>80.18018018018017</x:v>
      </x:c>
    </x:row>
    <x:row r="4931" ht="21" customHeight="1">
      <x:c r="A4931" s="10" t="n">
        <x:v>6509</x:v>
      </x:c>
      <x:c r="B4931" s="2" t="str">
        <x:v>3b425c81b1923fa8387d</x:v>
      </x:c>
      <x:c r="C4931" s="2" t="str">
        <x:v>Cần Thơ</x:v>
      </x:c>
      <x:c r="D4931" s="2" t="str">
        <x:v>Quận Ninh Kiều</x:v>
      </x:c>
      <x:c r="E4931" s="2" t="str">
        <x:v>land</x:v>
      </x:c>
      <x:c r="F4931" s="2" t="str">
        <x:v>sale_assumed</x:v>
      </x:c>
      <x:c r="G4931" s="11" t="n">
        <x:v>78</x:v>
      </x:c>
      <x:c r="H4931" s="12" t="n">
        <x:v>1380000000</x:v>
      </x:c>
      <x:c r="I4931" s="12" t="n">
        <x:v>17692307.692307692</x:v>
      </x:c>
      <x:c r="J4931" s="2" t="str">
        <x:v>total</x:v>
      </x:c>
      <x:c r="K4931" s="2" t="str">
        <x:v>top_level_area</x:v>
      </x:c>
      <x:c r="L4931" s="2" t="str">
        <x:v>property_type_inferred_from_title;transaction_assumed_sale_from_dataset_context</x:v>
      </x:c>
      <x:c r="M4931" s="10" t="n">
        <x:v>0</x:v>
      </x:c>
      <x:c r="N4931" s="10" t="n">
        <x:v>0</x:v>
      </x:c>
      <x:c r="O4931" s="2" t="str">
        <x:v>Cần Thơ|land</x:v>
      </x:c>
      <x:c r="P4931" s="10" t="n">
        <x:v>2</x:v>
      </x:c>
      <x:c r="Q4931" s="13" t="n">
        <x:f>IF(H4931="","",H4931/1000000000)</x:f>
        <x:v>1.38</x:v>
      </x:c>
      <x:c r="R4931" s="13" t="n">
        <x:f>IF(I4931="","",I4931/1000000)</x:f>
        <x:v>17.692307692307693</x:v>
      </x:c>
    </x:row>
    <x:row r="4932" ht="21" customHeight="1">
      <x:c r="A4932" s="10" t="n">
        <x:v>6510</x:v>
      </x:c>
      <x:c r="B4932" s="2" t="str">
        <x:v>70d7143facbdb9ccc045</x:v>
      </x:c>
      <x:c r="C4932" s="2" t="str">
        <x:v>Tiền Giang</x:v>
      </x:c>
      <x:c r="D4932" s="2" t="str">
        <x:v>Huyện Châu Thành</x:v>
      </x:c>
      <x:c r="E4932" s="2" t="str">
        <x:v>land</x:v>
      </x:c>
      <x:c r="F4932" s="2" t="str">
        <x:v>sale_assumed</x:v>
      </x:c>
      <x:c r="G4932" s="11" t="n">
        <x:v>1860</x:v>
      </x:c>
      <x:c r="H4932" s="12" t="n">
        <x:v>900000000</x:v>
      </x:c>
      <x:c r="I4932" s="12" t="n">
        <x:v>483870.96774193546</x:v>
      </x:c>
      <x:c r="J4932" s="2" t="str">
        <x:v>total</x:v>
      </x:c>
      <x:c r="K4932" s="2" t="str">
        <x:v>top_level_area</x:v>
      </x:c>
      <x:c r="L4932" s="2" t="str">
        <x:v>dot_thousands_convention;property_type_inferred_from_title;transaction_assumed_sale_from_dataset_context</x:v>
      </x:c>
      <x:c r="M4932" s="10" t="n">
        <x:v>0</x:v>
      </x:c>
      <x:c r="N4932" s="10" t="n">
        <x:v>0</x:v>
      </x:c>
      <x:c r="O4932" s="2" t="str">
        <x:v>land</x:v>
      </x:c>
      <x:c r="P4932" s="10" t="n">
        <x:v>1</x:v>
      </x:c>
      <x:c r="Q4932" s="13" t="n">
        <x:f>IF(H4932="","",H4932/1000000000)</x:f>
        <x:v>0.9</x:v>
      </x:c>
      <x:c r="R4932" s="13" t="n">
        <x:f>IF(I4932="","",I4932/1000000)</x:f>
        <x:v>0.48387096774193544</x:v>
      </x:c>
    </x:row>
    <x:row r="4933" ht="21" customHeight="1">
      <x:c r="A4933" s="10" t="n">
        <x:v>6511</x:v>
      </x:c>
      <x:c r="B4933" s="2" t="str">
        <x:v>e6d3750cb345f46e7c85</x:v>
      </x:c>
      <x:c r="C4933" s="2" t="str">
        <x:v>Tp Hồ Chí Minh</x:v>
      </x:c>
      <x:c r="D4933" s="2" t="str">
        <x:v>Quận 8</x:v>
      </x:c>
      <x:c r="E4933" s="2" t="str">
        <x:v>house</x:v>
      </x:c>
      <x:c r="F4933" s="2" t="str">
        <x:v>sale</x:v>
      </x:c>
      <x:c r="G4933" s="11" t="n">
        <x:v>40</x:v>
      </x:c>
      <x:c r="H4933" s="12" t="n">
        <x:v>980000000</x:v>
      </x:c>
      <x:c r="I4933" s="12" t="n">
        <x:v>24500000</x:v>
      </x:c>
      <x:c r="J4933" s="2" t="str">
        <x:v>total</x:v>
      </x:c>
      <x:c r="K4933" s="2" t="str">
        <x:v>top_level_area</x:v>
      </x:c>
      <x:c r="L4933" s="2" t="str">
        <x:v>property_type_inferred_from_title</x:v>
      </x:c>
      <x:c r="M4933" s="10" t="n">
        <x:v>0</x:v>
      </x:c>
      <x:c r="N4933" s="10" t="n">
        <x:v>0</x:v>
      </x:c>
      <x:c r="O4933" s="2" t="str">
        <x:v>Tp Hồ Chí Minh|house</x:v>
      </x:c>
      <x:c r="P4933" s="10" t="n">
        <x:v>2</x:v>
      </x:c>
      <x:c r="Q4933" s="13" t="n">
        <x:f>IF(H4933="","",H4933/1000000000)</x:f>
        <x:v>0.98</x:v>
      </x:c>
      <x:c r="R4933" s="13" t="n">
        <x:f>IF(I4933="","",I4933/1000000)</x:f>
        <x:v>24.5</x:v>
      </x:c>
    </x:row>
    <x:row r="4934" ht="21" customHeight="1">
      <x:c r="A4934" s="10" t="n">
        <x:v>6512</x:v>
      </x:c>
      <x:c r="B4934" s="2" t="str">
        <x:v>1e4c972521c7c5f511e2</x:v>
      </x:c>
      <x:c r="C4934" s="2" t="str">
        <x:v>Tp Hồ Chí Minh</x:v>
      </x:c>
      <x:c r="D4934" s="2" t="str">
        <x:v>Quận 4</x:v>
      </x:c>
      <x:c r="E4934" s="2" t="str">
        <x:v>house</x:v>
      </x:c>
      <x:c r="F4934" s="2" t="str">
        <x:v>sale</x:v>
      </x:c>
      <x:c r="G4934" s="11" t="n">
        <x:v>56</x:v>
      </x:c>
      <x:c r="H4934" s="12" t="n">
        <x:v>1095000000</x:v>
      </x:c>
      <x:c r="I4934" s="12" t="n">
        <x:v>19553571.42857143</x:v>
      </x:c>
      <x:c r="J4934" s="2" t="str">
        <x:v>total</x:v>
      </x:c>
      <x:c r="K4934" s="2" t="str">
        <x:v>top_level_area</x:v>
      </x:c>
      <x:c r="L4934" s="2" t="str">
        <x:v>property_type_inferred_from_title</x:v>
      </x:c>
      <x:c r="M4934" s="10" t="n">
        <x:v>0</x:v>
      </x:c>
      <x:c r="N4934" s="10" t="n">
        <x:v>0</x:v>
      </x:c>
      <x:c r="O4934" s="2" t="str">
        <x:v>Tp Hồ Chí Minh|house</x:v>
      </x:c>
      <x:c r="P4934" s="10" t="n">
        <x:v>2</x:v>
      </x:c>
      <x:c r="Q4934" s="13" t="n">
        <x:f>IF(H4934="","",H4934/1000000000)</x:f>
        <x:v>1.095</x:v>
      </x:c>
      <x:c r="R4934" s="13" t="n">
        <x:f>IF(I4934="","",I4934/1000000)</x:f>
        <x:v>19.55357142857143</x:v>
      </x:c>
    </x:row>
    <x:row r="4935" ht="21" customHeight="1">
      <x:c r="A4935" s="10" t="n">
        <x:v>6513</x:v>
      </x:c>
      <x:c r="B4935" s="2" t="str">
        <x:v>0e39043158ac1f360e3e</x:v>
      </x:c>
      <x:c r="C4935" s="2" t="str">
        <x:v>Tp Hồ Chí Minh</x:v>
      </x:c>
      <x:c r="D4935" s="2" t="str">
        <x:v>Quận 5</x:v>
      </x:c>
      <x:c r="E4935" s="2" t="str">
        <x:v>house</x:v>
      </x:c>
      <x:c r="F4935" s="2" t="str">
        <x:v>sale</x:v>
      </x:c>
      <x:c r="G4935" s="11" t="n">
        <x:v>43</x:v>
      </x:c>
      <x:c r="H4935" s="12" t="n">
        <x:v>1050000000</x:v>
      </x:c>
      <x:c r="I4935" s="12" t="n">
        <x:v>24418604.651162792</x:v>
      </x:c>
      <x:c r="J4935" s="2" t="str">
        <x:v>total</x:v>
      </x:c>
      <x:c r="K4935" s="2" t="str">
        <x:v>top_level_area</x:v>
      </x:c>
      <x:c r="L4935" s="2" t="str">
        <x:v>property_type_inferred_from_title</x:v>
      </x:c>
      <x:c r="M4935" s="10" t="n">
        <x:v>0</x:v>
      </x:c>
      <x:c r="N4935" s="10" t="n">
        <x:v>0</x:v>
      </x:c>
      <x:c r="O4935" s="2" t="str">
        <x:v>Tp Hồ Chí Minh|house</x:v>
      </x:c>
      <x:c r="P4935" s="10" t="n">
        <x:v>2</x:v>
      </x:c>
      <x:c r="Q4935" s="13" t="n">
        <x:f>IF(H4935="","",H4935/1000000000)</x:f>
        <x:v>1.05</x:v>
      </x:c>
      <x:c r="R4935" s="13" t="n">
        <x:f>IF(I4935="","",I4935/1000000)</x:f>
        <x:v>24.41860465116279</x:v>
      </x:c>
    </x:row>
    <x:row r="4936" ht="21" customHeight="1">
      <x:c r="A4936" s="10" t="n">
        <x:v>6514</x:v>
      </x:c>
      <x:c r="B4936" s="2" t="str">
        <x:v>82f35950ca91ca24b4f9</x:v>
      </x:c>
      <x:c r="C4936" s="2" t="str">
        <x:v>Tp Hồ Chí Minh</x:v>
      </x:c>
      <x:c r="D4936" s="2" t="str">
        <x:v>Quận 11</x:v>
      </x:c>
      <x:c r="E4936" s="2" t="str">
        <x:v>house</x:v>
      </x:c>
      <x:c r="F4936" s="2" t="str">
        <x:v>sale</x:v>
      </x:c>
      <x:c r="G4936" s="11" t="n">
        <x:v>47</x:v>
      </x:c>
      <x:c r="H4936" s="12" t="n">
        <x:v>990000000</x:v>
      </x:c>
      <x:c r="I4936" s="12" t="n">
        <x:v>21063829.78723404</x:v>
      </x:c>
      <x:c r="J4936" s="2" t="str">
        <x:v>total</x:v>
      </x:c>
      <x:c r="K4936" s="2" t="str">
        <x:v>top_level_area</x:v>
      </x:c>
      <x:c r="L4936" s="2" t="str">
        <x:v>property_type_inferred_from_title</x:v>
      </x:c>
      <x:c r="M4936" s="10" t="n">
        <x:v>0</x:v>
      </x:c>
      <x:c r="N4936" s="10" t="n">
        <x:v>0</x:v>
      </x:c>
      <x:c r="O4936" s="2" t="str">
        <x:v>Tp Hồ Chí Minh|house</x:v>
      </x:c>
      <x:c r="P4936" s="10" t="n">
        <x:v>2</x:v>
      </x:c>
      <x:c r="Q4936" s="13" t="n">
        <x:f>IF(H4936="","",H4936/1000000000)</x:f>
        <x:v>0.99</x:v>
      </x:c>
      <x:c r="R4936" s="13" t="n">
        <x:f>IF(I4936="","",I4936/1000000)</x:f>
        <x:v>21.06382978723404</x:v>
      </x:c>
    </x:row>
    <x:row r="4937" ht="21" customHeight="1">
      <x:c r="A4937" s="10" t="n">
        <x:v>6515</x:v>
      </x:c>
      <x:c r="B4937" s="2" t="str">
        <x:v>0149757164d27eaa27b3</x:v>
      </x:c>
      <x:c r="C4937" s="2" t="str">
        <x:v>Tp Hồ Chí Minh</x:v>
      </x:c>
      <x:c r="D4937" s="2" t="str">
        <x:v>Quận 10</x:v>
      </x:c>
      <x:c r="E4937" s="2" t="str">
        <x:v>apartment</x:v>
      </x:c>
      <x:c r="F4937" s="2" t="str">
        <x:v>sale_assumed</x:v>
      </x:c>
      <x:c r="G4937" s="11" t="n">
        <x:v>60</x:v>
      </x:c>
      <x:c r="H4937" s="12" t="n">
        <x:v>4400000000</x:v>
      </x:c>
      <x:c r="I4937" s="12" t="n">
        <x:v>73333333.33333333</x:v>
      </x:c>
      <x:c r="J4937" s="2" t="str">
        <x:v>total</x:v>
      </x:c>
      <x:c r="K4937" s="2" t="str">
        <x:v>top_level_price_embedded_area</x:v>
      </x:c>
      <x:c r="L4937" s="2" t="str">
        <x:v>area_recovered_from_price_text;property_type_inferred_from_title;transaction_assumed_sale_from_dataset_context</x:v>
      </x:c>
      <x:c r="M4937" s="10" t="n">
        <x:v>0</x:v>
      </x:c>
      <x:c r="N4937" s="10" t="n">
        <x:v>1</x:v>
      </x:c>
      <x:c r="O4937" s="2" t="str">
        <x:v>Tp Hồ Chí Minh|apartment</x:v>
      </x:c>
      <x:c r="P4937" s="10" t="n">
        <x:v>-1</x:v>
      </x:c>
      <x:c r="Q4937" s="13" t="n">
        <x:f>IF(H4937="","",H4937/1000000000)</x:f>
        <x:v>4.4</x:v>
      </x:c>
      <x:c r="R4937" s="13" t="n">
        <x:f>IF(I4937="","",I4937/1000000)</x:f>
        <x:v>73.33333333333333</x:v>
      </x:c>
    </x:row>
    <x:row r="4938" ht="21" customHeight="1">
      <x:c r="A4938" s="10" t="n">
        <x:v>6516</x:v>
      </x:c>
      <x:c r="B4938" s="2" t="str">
        <x:v>0c1fff2553521ef966e0</x:v>
      </x:c>
      <x:c r="C4938" s="2" t="str">
        <x:v>Tp Hồ Chí Minh</x:v>
      </x:c>
      <x:c r="D4938" s="2" t="str">
        <x:v>Quận 12</x:v>
      </x:c>
      <x:c r="E4938" s="2" t="str">
        <x:v>house</x:v>
      </x:c>
      <x:c r="F4938" s="2" t="str">
        <x:v>sale</x:v>
      </x:c>
      <x:c r="G4938" s="11" t="n">
        <x:v>56</x:v>
      </x:c>
      <x:c r="H4938" s="12" t="n">
        <x:v>3100000000</x:v>
      </x:c>
      <x:c r="I4938" s="12" t="n">
        <x:v>55357142.85714286</x:v>
      </x:c>
      <x:c r="J4938" s="2" t="str">
        <x:v>total</x:v>
      </x:c>
      <x:c r="K4938" s="2" t="str">
        <x:v>top_level_price_embedded_area</x:v>
      </x:c>
      <x:c r="L4938" s="2" t="str">
        <x:v>area_recovered_from_price_text;property_type_inferred_from_title</x:v>
      </x:c>
      <x:c r="M4938" s="10" t="n">
        <x:v>0</x:v>
      </x:c>
      <x:c r="N4938" s="10" t="n">
        <x:v>0</x:v>
      </x:c>
      <x:c r="O4938" s="2" t="str">
        <x:v>Tp Hồ Chí Minh|house</x:v>
      </x:c>
      <x:c r="P4938" s="10" t="n">
        <x:v>2</x:v>
      </x:c>
      <x:c r="Q4938" s="13" t="n">
        <x:f>IF(H4938="","",H4938/1000000000)</x:f>
        <x:v>3.1</x:v>
      </x:c>
      <x:c r="R4938" s="13" t="n">
        <x:f>IF(I4938="","",I4938/1000000)</x:f>
        <x:v>55.35714285714286</x:v>
      </x:c>
    </x:row>
    <x:row r="4939" ht="21" customHeight="1">
      <x:c r="A4939" s="10" t="n">
        <x:v>6517</x:v>
      </x:c>
      <x:c r="B4939" s="2" t="str">
        <x:v>b2071c2ec841a01c08a5</x:v>
      </x:c>
      <x:c r="C4939" s="2" t="str">
        <x:v>Tp Hồ Chí Minh</x:v>
      </x:c>
      <x:c r="D4939" s="2" t="str">
        <x:v>Quận 5</x:v>
      </x:c>
      <x:c r="E4939" s="2" t="str">
        <x:v>house</x:v>
      </x:c>
      <x:c r="F4939" s="2" t="str">
        <x:v>sale</x:v>
      </x:c>
      <x:c r="G4939" s="11" t="n">
        <x:v>46</x:v>
      </x:c>
      <x:c r="H4939" s="12" t="n">
        <x:v>1115000000</x:v>
      </x:c>
      <x:c r="I4939" s="12" t="n">
        <x:v>24239130.43478261</x:v>
      </x:c>
      <x:c r="J4939" s="2" t="str">
        <x:v>total</x:v>
      </x:c>
      <x:c r="K4939" s="2" t="str">
        <x:v>top_level_area</x:v>
      </x:c>
      <x:c r="L4939" s="2" t="str">
        <x:v>property_type_inferred_from_title</x:v>
      </x:c>
      <x:c r="M4939" s="10" t="n">
        <x:v>0</x:v>
      </x:c>
      <x:c r="N4939" s="10" t="n">
        <x:v>0</x:v>
      </x:c>
      <x:c r="O4939" s="2" t="str">
        <x:v>Tp Hồ Chí Minh|house</x:v>
      </x:c>
      <x:c r="P4939" s="10" t="n">
        <x:v>2</x:v>
      </x:c>
      <x:c r="Q4939" s="13" t="n">
        <x:f>IF(H4939="","",H4939/1000000000)</x:f>
        <x:v>1.115</x:v>
      </x:c>
      <x:c r="R4939" s="13" t="n">
        <x:f>IF(I4939="","",I4939/1000000)</x:f>
        <x:v>24.23913043478261</x:v>
      </x:c>
    </x:row>
    <x:row r="4940" ht="21" customHeight="1">
      <x:c r="A4940" s="10" t="n">
        <x:v>6518</x:v>
      </x:c>
      <x:c r="B4940" s="2" t="str">
        <x:v>8a842587521c9dda0ba5</x:v>
      </x:c>
      <x:c r="C4940" s="2" t="str">
        <x:v>Tp Hồ Chí Minh</x:v>
      </x:c>
      <x:c r="D4940" s="2" t="str">
        <x:v>Huyện Bình Chánh</x:v>
      </x:c>
      <x:c r="E4940" s="2" t="str">
        <x:v>house</x:v>
      </x:c>
      <x:c r="F4940" s="2" t="str">
        <x:v>sale</x:v>
      </x:c>
      <x:c r="G4940" s="11" t="n">
        <x:v>48</x:v>
      </x:c>
      <x:c r="H4940" s="12" t="n">
        <x:v>890000000</x:v>
      </x:c>
      <x:c r="I4940" s="12" t="n">
        <x:v>18541666.666666668</x:v>
      </x:c>
      <x:c r="J4940" s="2" t="str">
        <x:v>total</x:v>
      </x:c>
      <x:c r="K4940" s="2" t="str">
        <x:v>top_level_area</x:v>
      </x:c>
      <x:c r="L4940" s="2" t="str">
        <x:v>property_type_inferred_from_title</x:v>
      </x:c>
      <x:c r="M4940" s="10" t="n">
        <x:v>0</x:v>
      </x:c>
      <x:c r="N4940" s="10" t="n">
        <x:v>0</x:v>
      </x:c>
      <x:c r="O4940" s="2" t="str">
        <x:v>Tp Hồ Chí Minh|house</x:v>
      </x:c>
      <x:c r="P4940" s="10" t="n">
        <x:v>2</x:v>
      </x:c>
      <x:c r="Q4940" s="13" t="n">
        <x:f>IF(H4940="","",H4940/1000000000)</x:f>
        <x:v>0.89</x:v>
      </x:c>
      <x:c r="R4940" s="13" t="n">
        <x:f>IF(I4940="","",I4940/1000000)</x:f>
        <x:v>18.541666666666668</x:v>
      </x:c>
    </x:row>
    <x:row r="4941" ht="21" customHeight="1">
      <x:c r="A4941" s="10" t="n">
        <x:v>6519</x:v>
      </x:c>
      <x:c r="B4941" s="2" t="str">
        <x:v>47adb1f8cb6fc8b289a6</x:v>
      </x:c>
      <x:c r="C4941" s="2" t="str">
        <x:v>Tp Hồ Chí Minh</x:v>
      </x:c>
      <x:c r="D4941" s="2" t="str">
        <x:v>Quận 12</x:v>
      </x:c>
      <x:c r="E4941" s="2" t="str">
        <x:v>house</x:v>
      </x:c>
      <x:c r="F4941" s="2" t="str">
        <x:v>sale</x:v>
      </x:c>
      <x:c r="G4941" s="11" t="n">
        <x:v>91</x:v>
      </x:c>
      <x:c r="H4941" s="12" t="n">
        <x:v>2900000000</x:v>
      </x:c>
      <x:c r="I4941" s="12" t="n">
        <x:v>31868131.86813187</x:v>
      </x:c>
      <x:c r="J4941" s="2" t="str">
        <x:v>total</x:v>
      </x:c>
      <x:c r="K4941" s="2" t="str">
        <x:v>top_level_area</x:v>
      </x:c>
      <x:c r="L4941" s="2" t="str">
        <x:v>property_type_inferred_from_title</x:v>
      </x:c>
      <x:c r="M4941" s="10" t="n">
        <x:v>0</x:v>
      </x:c>
      <x:c r="N4941" s="10" t="n">
        <x:v>0</x:v>
      </x:c>
      <x:c r="O4941" s="2" t="str">
        <x:v>Tp Hồ Chí Minh|house</x:v>
      </x:c>
      <x:c r="P4941" s="10" t="n">
        <x:v>2</x:v>
      </x:c>
      <x:c r="Q4941" s="13" t="n">
        <x:f>IF(H4941="","",H4941/1000000000)</x:f>
        <x:v>2.9</x:v>
      </x:c>
      <x:c r="R4941" s="13" t="n">
        <x:f>IF(I4941="","",I4941/1000000)</x:f>
        <x:v>31.86813186813187</x:v>
      </x:c>
    </x:row>
    <x:row r="4942" ht="21" customHeight="1">
      <x:c r="A4942" s="10" t="n">
        <x:v>6520</x:v>
      </x:c>
      <x:c r="B4942" s="2" t="str">
        <x:v>8b08b013918b93757b76</x:v>
      </x:c>
      <x:c r="C4942" s="2" t="str">
        <x:v>Tp Hồ Chí Minh</x:v>
      </x:c>
      <x:c r="D4942" s="2" t="str">
        <x:v>Huyện Hóc Môn</x:v>
      </x:c>
      <x:c r="E4942" s="2" t="str">
        <x:v>house</x:v>
      </x:c>
      <x:c r="F4942" s="2" t="str">
        <x:v>sale</x:v>
      </x:c>
      <x:c r="G4942" s="11" t="n">
        <x:v>50</x:v>
      </x:c>
      <x:c r="H4942" s="12" t="n">
        <x:v>280000000</x:v>
      </x:c>
      <x:c r="I4942" s="12" t="n">
        <x:v>5600000</x:v>
      </x:c>
      <x:c r="J4942" s="2" t="str">
        <x:v>total</x:v>
      </x:c>
      <x:c r="K4942" s="2" t="str">
        <x:v>top_level_area</x:v>
      </x:c>
      <x:c r="L4942" s="2" t="str">
        <x:v>property_type_inferred_from_title</x:v>
      </x:c>
      <x:c r="M4942" s="10" t="n">
        <x:v>0</x:v>
      </x:c>
      <x:c r="N4942" s="10" t="n">
        <x:v>0</x:v>
      </x:c>
      <x:c r="O4942" s="2" t="str">
        <x:v>Tp Hồ Chí Minh|house</x:v>
      </x:c>
      <x:c r="P4942" s="10" t="n">
        <x:v>2</x:v>
      </x:c>
      <x:c r="Q4942" s="13" t="n">
        <x:f>IF(H4942="","",H4942/1000000000)</x:f>
        <x:v>0.28</x:v>
      </x:c>
      <x:c r="R4942" s="13" t="n">
        <x:f>IF(I4942="","",I4942/1000000)</x:f>
        <x:v>5.6</x:v>
      </x:c>
    </x:row>
    <x:row r="4943" ht="21" customHeight="1">
      <x:c r="A4943" s="10" t="n">
        <x:v>6521</x:v>
      </x:c>
      <x:c r="B4943" s="2" t="str">
        <x:v>9efcaf582f2e27759b4d</x:v>
      </x:c>
      <x:c r="C4943" s="2" t="str">
        <x:v>Tp Hồ Chí Minh</x:v>
      </x:c>
      <x:c r="D4943" s="2" t="str">
        <x:v>Quận Bình Tân</x:v>
      </x:c>
      <x:c r="E4943" s="2" t="str">
        <x:v>house</x:v>
      </x:c>
      <x:c r="F4943" s="2" t="str">
        <x:v>sale_assumed</x:v>
      </x:c>
      <x:c r="G4943" s="11" t="n">
        <x:v>40</x:v>
      </x:c>
      <x:c r="H4943" s="12" t="n">
        <x:v>3150000000</x:v>
      </x:c>
      <x:c r="I4943" s="12" t="n">
        <x:v>78750000</x:v>
      </x:c>
      <x:c r="J4943" s="2" t="str">
        <x:v>total</x:v>
      </x:c>
      <x:c r="K4943" s="2" t="str">
        <x:v>top_level_area</x:v>
      </x:c>
      <x:c r="L4943" s="2" t="str">
        <x:v>property_type_inferred_from_title;transaction_assumed_sale_from_dataset_context</x:v>
      </x:c>
      <x:c r="M4943" s="10" t="n">
        <x:v>0</x:v>
      </x:c>
      <x:c r="N4943" s="10" t="n">
        <x:v>0</x:v>
      </x:c>
      <x:c r="O4943" s="2" t="str">
        <x:v>Tp Hồ Chí Minh|house</x:v>
      </x:c>
      <x:c r="P4943" s="10" t="n">
        <x:v>2</x:v>
      </x:c>
      <x:c r="Q4943" s="13" t="n">
        <x:f>IF(H4943="","",H4943/1000000000)</x:f>
        <x:v>3.15</x:v>
      </x:c>
      <x:c r="R4943" s="13" t="n">
        <x:f>IF(I4943="","",I4943/1000000)</x:f>
        <x:v>78.75</x:v>
      </x:c>
    </x:row>
    <x:row r="4944" ht="21" customHeight="1">
      <x:c r="A4944" s="10" t="n">
        <x:v>6522</x:v>
      </x:c>
      <x:c r="B4944" s="2" t="str">
        <x:v>0cce4c47fffa6f5c003d</x:v>
      </x:c>
      <x:c r="C4944" s="2" t="str">
        <x:v>Tp Hồ Chí Minh</x:v>
      </x:c>
      <x:c r="D4944" s="2" t="str">
        <x:v>quận Tân Bình</x:v>
      </x:c>
      <x:c r="E4944" s="2" t="str">
        <x:v>apartment</x:v>
      </x:c>
      <x:c r="F4944" s="2" t="str">
        <x:v>sale_assumed</x:v>
      </x:c>
      <x:c r="G4944" s="11" t="n">
        <x:v>55</x:v>
      </x:c>
      <x:c r="H4944" s="12" t="n">
        <x:v>4000000000</x:v>
      </x:c>
      <x:c r="I4944" s="12" t="n">
        <x:v>72727272.72727273</x:v>
      </x:c>
      <x:c r="J4944" s="2" t="str">
        <x:v>total</x:v>
      </x:c>
      <x:c r="K4944" s="2" t="str">
        <x:v>top_level_area</x:v>
      </x:c>
      <x:c r="L4944" s="2" t="str">
        <x:v>property_type_inferred_from_title;province_alias_normalized;transaction_assumed_sale_from_dataset_context</x:v>
      </x:c>
      <x:c r="M4944" s="10" t="n">
        <x:v>0</x:v>
      </x:c>
      <x:c r="N4944" s="10" t="n">
        <x:v>1</x:v>
      </x:c>
      <x:c r="O4944" s="2" t="str">
        <x:v>Tp Hồ Chí Minh|apartment</x:v>
      </x:c>
      <x:c r="P4944" s="10" t="n">
        <x:v>-1</x:v>
      </x:c>
      <x:c r="Q4944" s="13" t="n">
        <x:f>IF(H4944="","",H4944/1000000000)</x:f>
        <x:v>4</x:v>
      </x:c>
      <x:c r="R4944" s="13" t="n">
        <x:f>IF(I4944="","",I4944/1000000)</x:f>
        <x:v>72.72727272727273</x:v>
      </x:c>
    </x:row>
    <x:row r="4945" ht="21" customHeight="1">
      <x:c r="A4945" s="10" t="n">
        <x:v>6523</x:v>
      </x:c>
      <x:c r="B4945" s="2" t="str">
        <x:v>3ff6f99785c8610bb1cc</x:v>
      </x:c>
      <x:c r="C4945" s="2" t="str">
        <x:v>Đà Nẵng</x:v>
      </x:c>
      <x:c r="D4945" s="2" t="str">
        <x:v>Quận Liên Chiểu</x:v>
      </x:c>
      <x:c r="E4945" s="2" t="str">
        <x:v>house</x:v>
      </x:c>
      <x:c r="F4945" s="2" t="str">
        <x:v>sale_assumed</x:v>
      </x:c>
      <x:c r="G4945" s="11" t="n">
        <x:v>67</x:v>
      </x:c>
      <x:c r="H4945" s="12" t="n">
        <x:v>3150000000</x:v>
      </x:c>
      <x:c r="I4945" s="12" t="n">
        <x:v>47014925.37313433</x:v>
      </x:c>
      <x:c r="J4945" s="2" t="str">
        <x:v>total</x:v>
      </x:c>
      <x:c r="K4945" s="2" t="str">
        <x:v>top_level_area</x:v>
      </x:c>
      <x:c r="L4945" s="2" t="str">
        <x:v>property_type_inferred_from_title;transaction_assumed_sale_from_dataset_context</x:v>
      </x:c>
      <x:c r="M4945" s="10" t="n">
        <x:v>0</x:v>
      </x:c>
      <x:c r="N4945" s="10" t="n">
        <x:v>0</x:v>
      </x:c>
      <x:c r="O4945" s="2" t="str">
        <x:v>Đà Nẵng|house</x:v>
      </x:c>
      <x:c r="P4945" s="10" t="n">
        <x:v>2</x:v>
      </x:c>
      <x:c r="Q4945" s="13" t="n">
        <x:f>IF(H4945="","",H4945/1000000000)</x:f>
        <x:v>3.15</x:v>
      </x:c>
      <x:c r="R4945" s="13" t="n">
        <x:f>IF(I4945="","",I4945/1000000)</x:f>
        <x:v>47.01492537313433</x:v>
      </x:c>
    </x:row>
    <x:row r="4946" ht="21" customHeight="1">
      <x:c r="A4946" s="10" t="n">
        <x:v>6524</x:v>
      </x:c>
      <x:c r="B4946" s="2" t="str">
        <x:v>674381e5e8d10f78e154</x:v>
      </x:c>
      <x:c r="C4946" s="2" t="str">
        <x:v>Tp Hồ Chí Minh</x:v>
      </x:c>
      <x:c r="D4946" s="2" t="str">
        <x:v>Quận 8</x:v>
      </x:c>
      <x:c r="E4946" s="2" t="str">
        <x:v>house</x:v>
      </x:c>
      <x:c r="F4946" s="2" t="str">
        <x:v>sale</x:v>
      </x:c>
      <x:c r="G4946" s="11" t="n">
        <x:v>42</x:v>
      </x:c>
      <x:c r="H4946" s="12" t="n">
        <x:v>910000000</x:v>
      </x:c>
      <x:c r="I4946" s="12" t="n">
        <x:v>21666666.666666668</x:v>
      </x:c>
      <x:c r="J4946" s="2" t="str">
        <x:v>total</x:v>
      </x:c>
      <x:c r="K4946" s="2" t="str">
        <x:v>top_level_area</x:v>
      </x:c>
      <x:c r="L4946" s="2" t="str">
        <x:v>property_type_inferred_from_title</x:v>
      </x:c>
      <x:c r="M4946" s="10" t="n">
        <x:v>0</x:v>
      </x:c>
      <x:c r="N4946" s="10" t="n">
        <x:v>0</x:v>
      </x:c>
      <x:c r="O4946" s="2" t="str">
        <x:v>Tp Hồ Chí Minh|house</x:v>
      </x:c>
      <x:c r="P4946" s="10" t="n">
        <x:v>2</x:v>
      </x:c>
      <x:c r="Q4946" s="13" t="n">
        <x:f>IF(H4946="","",H4946/1000000000)</x:f>
        <x:v>0.91</x:v>
      </x:c>
      <x:c r="R4946" s="13" t="n">
        <x:f>IF(I4946="","",I4946/1000000)</x:f>
        <x:v>21.666666666666668</x:v>
      </x:c>
    </x:row>
    <x:row r="4947" ht="21" customHeight="1">
      <x:c r="A4947" s="10" t="n">
        <x:v>6525</x:v>
      </x:c>
      <x:c r="B4947" s="2" t="str">
        <x:v>96d1f6c03e221814cedb</x:v>
      </x:c>
      <x:c r="C4947" s="2" t="str">
        <x:v>Tp Hồ Chí Minh</x:v>
      </x:c>
      <x:c r="D4947" s="2" t="str">
        <x:v>Huyện Bình Chánh</x:v>
      </x:c>
      <x:c r="E4947" s="2" t="str">
        <x:v>other_unknown</x:v>
      </x:c>
      <x:c r="F4947" s="2" t="str">
        <x:v>sale_assumed</x:v>
      </x:c>
      <x:c r="G4947" s="11" t="n">
        <x:v>72</x:v>
      </x:c>
      <x:c r="H4947" s="12" t="n">
        <x:v>2700000000</x:v>
      </x:c>
      <x:c r="I4947" s="12" t="n">
        <x:v>37500000</x:v>
      </x:c>
      <x:c r="J4947" s="2" t="str">
        <x:v>total</x:v>
      </x:c>
      <x:c r="K4947" s="2" t="str">
        <x:v>top_level_price_embedded_area</x:v>
      </x:c>
      <x:c r="L4947" s="2" t="str">
        <x:v>area_recovered_from_price_text;property_type_inferred_from_title;transaction_assumed_sale_from_dataset_context;unknown_property_type</x:v>
      </x:c>
      <x:c r="M4947" s="10" t="n">
        <x:v>0</x:v>
      </x:c>
      <x:c r="N4947" s="10" t="n">
        <x:v>0</x:v>
      </x:c>
      <x:c r="O4947" s="2" t="str">
        <x:v>Tp Hồ Chí Minh|other_unknown</x:v>
      </x:c>
      <x:c r="P4947" s="10" t="n">
        <x:v>2</x:v>
      </x:c>
      <x:c r="Q4947" s="13" t="n">
        <x:f>IF(H4947="","",H4947/1000000000)</x:f>
        <x:v>2.7</x:v>
      </x:c>
      <x:c r="R4947" s="13" t="n">
        <x:f>IF(I4947="","",I4947/1000000)</x:f>
        <x:v>37.5</x:v>
      </x:c>
    </x:row>
    <x:row r="4948" ht="21" customHeight="1">
      <x:c r="A4948" s="10" t="n">
        <x:v>6526</x:v>
      </x:c>
      <x:c r="B4948" s="2" t="str">
        <x:v>e68eb28bea49d7015857</x:v>
      </x:c>
      <x:c r="C4948" s="2" t="str">
        <x:v>Tp Hồ Chí Minh</x:v>
      </x:c>
      <x:c r="D4948" s="2" t="str">
        <x:v>Quận Bình Thạnh</x:v>
      </x:c>
      <x:c r="E4948" s="2" t="str">
        <x:v>house</x:v>
      </x:c>
      <x:c r="F4948" s="2" t="str">
        <x:v>sale</x:v>
      </x:c>
      <x:c r="G4948" s="11" t="n">
        <x:v>67</x:v>
      </x:c>
      <x:c r="H4948" s="12" t="n">
        <x:v>1050000000</x:v>
      </x:c>
      <x:c r="I4948" s="12" t="n">
        <x:v>15671641.791044775</x:v>
      </x:c>
      <x:c r="J4948" s="2" t="str">
        <x:v>total</x:v>
      </x:c>
      <x:c r="K4948" s="2" t="str">
        <x:v>top_level_area</x:v>
      </x:c>
      <x:c r="L4948" s="2" t="str">
        <x:v>property_type_inferred_from_title</x:v>
      </x:c>
      <x:c r="M4948" s="10" t="n">
        <x:v>0</x:v>
      </x:c>
      <x:c r="N4948" s="10" t="n">
        <x:v>0</x:v>
      </x:c>
      <x:c r="O4948" s="2" t="str">
        <x:v>Tp Hồ Chí Minh|house</x:v>
      </x:c>
      <x:c r="P4948" s="10" t="n">
        <x:v>2</x:v>
      </x:c>
      <x:c r="Q4948" s="13" t="n">
        <x:f>IF(H4948="","",H4948/1000000000)</x:f>
        <x:v>1.05</x:v>
      </x:c>
      <x:c r="R4948" s="13" t="n">
        <x:f>IF(I4948="","",I4948/1000000)</x:f>
        <x:v>15.671641791044776</x:v>
      </x:c>
    </x:row>
    <x:row r="4949" ht="21" customHeight="1">
      <x:c r="A4949" s="10" t="n">
        <x:v>6527</x:v>
      </x:c>
      <x:c r="B4949" s="2" t="str">
        <x:v>eca5f4c1f0c21f480676</x:v>
      </x:c>
      <x:c r="C4949" s="2" t="str">
        <x:v>Bình Dương</x:v>
      </x:c>
      <x:c r="D4949" s="2" t="str">
        <x:v>Huyện Bàu Bàng</x:v>
      </x:c>
      <x:c r="E4949" s="2" t="str">
        <x:v>land</x:v>
      </x:c>
      <x:c r="F4949" s="2" t="str">
        <x:v>sale</x:v>
      </x:c>
      <x:c r="G4949" s="11" t="n">
        <x:v>200</x:v>
      </x:c>
      <x:c r="H4949" s="12" t="n">
        <x:v>580000000</x:v>
      </x:c>
      <x:c r="I4949" s="12" t="n">
        <x:v>2900000</x:v>
      </x:c>
      <x:c r="J4949" s="2" t="str">
        <x:v>total</x:v>
      </x:c>
      <x:c r="K4949" s="2" t="str">
        <x:v>top_level_area</x:v>
      </x:c>
      <x:c r="L4949" s="2" t="str">
        <x:v>property_type_inferred_from_title</x:v>
      </x:c>
      <x:c r="M4949" s="10" t="n">
        <x:v>0</x:v>
      </x:c>
      <x:c r="N4949" s="10" t="n">
        <x:v>0</x:v>
      </x:c>
      <x:c r="O4949" s="2" t="str">
        <x:v>Bình Dương|land</x:v>
      </x:c>
      <x:c r="P4949" s="10" t="n">
        <x:v>1</x:v>
      </x:c>
      <x:c r="Q4949" s="13" t="n">
        <x:f>IF(H4949="","",H4949/1000000000)</x:f>
        <x:v>0.58</x:v>
      </x:c>
      <x:c r="R4949" s="13" t="n">
        <x:f>IF(I4949="","",I4949/1000000)</x:f>
        <x:v>2.9</x:v>
      </x:c>
    </x:row>
    <x:row r="4950" ht="21" customHeight="1">
      <x:c r="A4950" s="10" t="n">
        <x:v>6528</x:v>
      </x:c>
      <x:c r="B4950" s="2" t="str">
        <x:v>1b9d112dca40cdcdc0a0</x:v>
      </x:c>
      <x:c r="C4950" s="2" t="str">
        <x:v>Đồng Tháp</x:v>
      </x:c>
      <x:c r="D4950" s="2" t="str">
        <x:v>Thành phố Sa Đéc</x:v>
      </x:c>
      <x:c r="E4950" s="2" t="str">
        <x:v>land</x:v>
      </x:c>
      <x:c r="F4950" s="2" t="str">
        <x:v>sale_assumed</x:v>
      </x:c>
      <x:c r="G4950" s="11" t="n">
        <x:v>1761</x:v>
      </x:c>
      <x:c r="H4950" s="12" t="n">
        <x:v>2250000000</x:v>
      </x:c>
      <x:c r="I4950" s="12" t="n">
        <x:v>1277683.1345826236</x:v>
      </x:c>
      <x:c r="J4950" s="2" t="str">
        <x:v>total</x:v>
      </x:c>
      <x:c r="K4950" s="2" t="str">
        <x:v>top_level_area</x:v>
      </x:c>
      <x:c r="L4950" s="2" t="str">
        <x:v>dot_thousands_convention;property_type_inferred_from_title;transaction_assumed_sale_from_dataset_context</x:v>
      </x:c>
      <x:c r="M4950" s="10" t="n">
        <x:v>0</x:v>
      </x:c>
      <x:c r="N4950" s="10" t="n">
        <x:v>0</x:v>
      </x:c>
      <x:c r="O4950" s="2" t="str">
        <x:v>land</x:v>
      </x:c>
      <x:c r="P4950" s="10" t="n">
        <x:v>1</x:v>
      </x:c>
      <x:c r="Q4950" s="13" t="n">
        <x:f>IF(H4950="","",H4950/1000000000)</x:f>
        <x:v>2.25</x:v>
      </x:c>
      <x:c r="R4950" s="13" t="n">
        <x:f>IF(I4950="","",I4950/1000000)</x:f>
        <x:v>1.2776831345826236</x:v>
      </x:c>
    </x:row>
    <x:row r="4951" ht="21" customHeight="1">
      <x:c r="A4951" s="10" t="n">
        <x:v>6529</x:v>
      </x:c>
      <x:c r="B4951" s="2" t="str">
        <x:v>4205a769ac99c1604d5e</x:v>
      </x:c>
      <x:c r="C4951" s="2" t="str">
        <x:v>Tp Hồ Chí Minh</x:v>
      </x:c>
      <x:c r="D4951" s="2" t="str">
        <x:v>Quận Thủ Đức</x:v>
      </x:c>
      <x:c r="E4951" s="2" t="str">
        <x:v>house</x:v>
      </x:c>
      <x:c r="F4951" s="2" t="str">
        <x:v>sale</x:v>
      </x:c>
      <x:c r="G4951" s="11" t="n">
        <x:v>68</x:v>
      </x:c>
      <x:c r="H4951" s="12" t="n">
        <x:v>1180000000</x:v>
      </x:c>
      <x:c r="I4951" s="12" t="n">
        <x:v>17352941.17647059</x:v>
      </x:c>
      <x:c r="J4951" s="2" t="str">
        <x:v>total</x:v>
      </x:c>
      <x:c r="K4951" s="2" t="str">
        <x:v>top_level_area</x:v>
      </x:c>
      <x:c r="L4951" s="2" t="str">
        <x:v>property_type_inferred_from_title</x:v>
      </x:c>
      <x:c r="M4951" s="10" t="n">
        <x:v>0</x:v>
      </x:c>
      <x:c r="N4951" s="10" t="n">
        <x:v>0</x:v>
      </x:c>
      <x:c r="O4951" s="2" t="str">
        <x:v>Tp Hồ Chí Minh|house</x:v>
      </x:c>
      <x:c r="P4951" s="10" t="n">
        <x:v>2</x:v>
      </x:c>
      <x:c r="Q4951" s="13" t="n">
        <x:f>IF(H4951="","",H4951/1000000000)</x:f>
        <x:v>1.18</x:v>
      </x:c>
      <x:c r="R4951" s="13" t="n">
        <x:f>IF(I4951="","",I4951/1000000)</x:f>
        <x:v>17.35294117647059</x:v>
      </x:c>
    </x:row>
    <x:row r="4952" ht="21" customHeight="1">
      <x:c r="A4952" s="10" t="n">
        <x:v>6533</x:v>
      </x:c>
      <x:c r="B4952" s="2" t="str">
        <x:v>cd0e1aaf458e50d06386</x:v>
      </x:c>
      <x:c r="C4952" s="2" t="str">
        <x:v>Tp Hồ Chí Minh</x:v>
      </x:c>
      <x:c r="D4952" s="2" t="str">
        <x:v>Quận 11</x:v>
      </x:c>
      <x:c r="E4952" s="2" t="str">
        <x:v>house</x:v>
      </x:c>
      <x:c r="F4952" s="2" t="str">
        <x:v>sale</x:v>
      </x:c>
      <x:c r="G4952" s="11" t="n">
        <x:v>70</x:v>
      </x:c>
      <x:c r="H4952" s="12" t="n">
        <x:v>980000000</x:v>
      </x:c>
      <x:c r="I4952" s="12" t="n">
        <x:v>14000000</x:v>
      </x:c>
      <x:c r="J4952" s="2" t="str">
        <x:v>total</x:v>
      </x:c>
      <x:c r="K4952" s="2" t="str">
        <x:v>top_level_area</x:v>
      </x:c>
      <x:c r="L4952" s="2" t="str">
        <x:v>property_type_inferred_from_title</x:v>
      </x:c>
      <x:c r="M4952" s="10" t="n">
        <x:v>0</x:v>
      </x:c>
      <x:c r="N4952" s="10" t="n">
        <x:v>0</x:v>
      </x:c>
      <x:c r="O4952" s="2" t="str">
        <x:v>Tp Hồ Chí Minh|house</x:v>
      </x:c>
      <x:c r="P4952" s="10" t="n">
        <x:v>2</x:v>
      </x:c>
      <x:c r="Q4952" s="13" t="n">
        <x:f>IF(H4952="","",H4952/1000000000)</x:f>
        <x:v>0.98</x:v>
      </x:c>
      <x:c r="R4952" s="13" t="n">
        <x:f>IF(I4952="","",I4952/1000000)</x:f>
        <x:v>14</x:v>
      </x:c>
    </x:row>
    <x:row r="4953" ht="21" customHeight="1">
      <x:c r="A4953" s="10" t="n">
        <x:v>6534</x:v>
      </x:c>
      <x:c r="B4953" s="2" t="str">
        <x:v>cf88efc0465d8d2cf617</x:v>
      </x:c>
      <x:c r="C4953" s="2" t="str">
        <x:v>Tp Hồ Chí Minh</x:v>
      </x:c>
      <x:c r="D4953" s="2" t="str">
        <x:v>Quận 8</x:v>
      </x:c>
      <x:c r="E4953" s="2" t="str">
        <x:v>house</x:v>
      </x:c>
      <x:c r="F4953" s="2" t="str">
        <x:v>sale</x:v>
      </x:c>
      <x:c r="G4953" s="11" t="n">
        <x:v>33</x:v>
      </x:c>
      <x:c r="H4953" s="12" t="n">
        <x:v>5500000000</x:v>
      </x:c>
      <x:c r="I4953" s="12" t="n">
        <x:v>166666666.66666666</x:v>
      </x:c>
      <x:c r="J4953" s="2" t="str">
        <x:v>total</x:v>
      </x:c>
      <x:c r="K4953" s="2" t="str">
        <x:v>top_level_area</x:v>
      </x:c>
      <x:c r="L4953" s="2" t="str">
        <x:v>property_type_inferred_from_title</x:v>
      </x:c>
      <x:c r="M4953" s="10" t="n">
        <x:v>1</x:v>
      </x:c>
      <x:c r="N4953" s="10" t="n">
        <x:v>0</x:v>
      </x:c>
      <x:c r="O4953" s="2" t="str">
        <x:v>Tp Hồ Chí Minh|house</x:v>
      </x:c>
      <x:c r="P4953" s="10" t="n">
        <x:v>2</x:v>
      </x:c>
      <x:c r="Q4953" s="13" t="n">
        <x:f>IF(H4953="","",H4953/1000000000)</x:f>
        <x:v>5.5</x:v>
      </x:c>
      <x:c r="R4953" s="13" t="n">
        <x:f>IF(I4953="","",I4953/1000000)</x:f>
        <x:v>166.66666666666666</x:v>
      </x:c>
    </x:row>
    <x:row r="4954" ht="21" customHeight="1">
      <x:c r="A4954" s="10" t="n">
        <x:v>6535</x:v>
      </x:c>
      <x:c r="B4954" s="2" t="str">
        <x:v>6c8c6b1f2208fde1ded0</x:v>
      </x:c>
      <x:c r="C4954" s="2" t="str">
        <x:v>Tp Hồ Chí Minh</x:v>
      </x:c>
      <x:c r="D4954" s="2" t="str">
        <x:v>Quận 4</x:v>
      </x:c>
      <x:c r="E4954" s="2" t="str">
        <x:v>house</x:v>
      </x:c>
      <x:c r="F4954" s="2" t="str">
        <x:v>sale</x:v>
      </x:c>
      <x:c r="G4954" s="11" t="n">
        <x:v>62</x:v>
      </x:c>
      <x:c r="H4954" s="12" t="n">
        <x:v>1220000000</x:v>
      </x:c>
      <x:c r="I4954" s="12" t="n">
        <x:v>19677419.35483871</x:v>
      </x:c>
      <x:c r="J4954" s="2" t="str">
        <x:v>total</x:v>
      </x:c>
      <x:c r="K4954" s="2" t="str">
        <x:v>top_level_area</x:v>
      </x:c>
      <x:c r="L4954" s="2" t="str">
        <x:v>property_type_inferred_from_title</x:v>
      </x:c>
      <x:c r="M4954" s="10" t="n">
        <x:v>0</x:v>
      </x:c>
      <x:c r="N4954" s="10" t="n">
        <x:v>0</x:v>
      </x:c>
      <x:c r="O4954" s="2" t="str">
        <x:v>Tp Hồ Chí Minh|house</x:v>
      </x:c>
      <x:c r="P4954" s="10" t="n">
        <x:v>2</x:v>
      </x:c>
      <x:c r="Q4954" s="13" t="n">
        <x:f>IF(H4954="","",H4954/1000000000)</x:f>
        <x:v>1.22</x:v>
      </x:c>
      <x:c r="R4954" s="13" t="n">
        <x:f>IF(I4954="","",I4954/1000000)</x:f>
        <x:v>19.67741935483871</x:v>
      </x:c>
    </x:row>
    <x:row r="4955" ht="21" customHeight="1">
      <x:c r="A4955" s="10" t="n">
        <x:v>6536</x:v>
      </x:c>
      <x:c r="B4955" s="2" t="str">
        <x:v>fb2eec525c53aa95e9bb</x:v>
      </x:c>
      <x:c r="C4955" s="2" t="str">
        <x:v>Cần Thơ</x:v>
      </x:c>
      <x:c r="D4955" s="2" t="str">
        <x:v>Quận Ninh Kiều</x:v>
      </x:c>
      <x:c r="E4955" s="2" t="str">
        <x:v>house</x:v>
      </x:c>
      <x:c r="F4955" s="2" t="str">
        <x:v>sale_assumed</x:v>
      </x:c>
      <x:c r="G4955" s="11" t="n">
        <x:v>110</x:v>
      </x:c>
      <x:c r="H4955" s="12" t="n">
        <x:v>4450000000</x:v>
      </x:c>
      <x:c r="I4955" s="12" t="n">
        <x:v>40454545.45454545</x:v>
      </x:c>
      <x:c r="J4955" s="2" t="str">
        <x:v>total</x:v>
      </x:c>
      <x:c r="K4955" s="2" t="str">
        <x:v>top_level_area</x:v>
      </x:c>
      <x:c r="L4955" s="2" t="str">
        <x:v>property_type_inferred_from_title;transaction_assumed_sale_from_dataset_context</x:v>
      </x:c>
      <x:c r="M4955" s="10" t="n">
        <x:v>0</x:v>
      </x:c>
      <x:c r="N4955" s="10" t="n">
        <x:v>0</x:v>
      </x:c>
      <x:c r="O4955" s="2" t="str">
        <x:v>Cần Thơ|house</x:v>
      </x:c>
      <x:c r="P4955" s="10" t="n">
        <x:v>2</x:v>
      </x:c>
      <x:c r="Q4955" s="13" t="n">
        <x:f>IF(H4955="","",H4955/1000000000)</x:f>
        <x:v>4.45</x:v>
      </x:c>
      <x:c r="R4955" s="13" t="n">
        <x:f>IF(I4955="","",I4955/1000000)</x:f>
        <x:v>40.45454545454545</x:v>
      </x:c>
    </x:row>
    <x:row r="4956" ht="21" customHeight="1">
      <x:c r="A4956" s="10" t="n">
        <x:v>6537</x:v>
      </x:c>
      <x:c r="B4956" s="2" t="str">
        <x:v>bef39825d49f737f664a</x:v>
      </x:c>
      <x:c r="C4956" s="2" t="str">
        <x:v>Bình Dương</x:v>
      </x:c>
      <x:c r="D4956" s="2" t="str">
        <x:v>Thị xã Thuận An</x:v>
      </x:c>
      <x:c r="E4956" s="2" t="str">
        <x:v>other_unknown</x:v>
      </x:c>
      <x:c r="F4956" s="2" t="str">
        <x:v>sale_assumed</x:v>
      </x:c>
      <x:c r="G4956" s="11" t="n">
        <x:v>76</x:v>
      </x:c>
      <x:c r="H4956" s="12" t="n">
        <x:v>250000000</x:v>
      </x:c>
      <x:c r="I4956" s="12" t="n">
        <x:v>3289473.6842105263</x:v>
      </x:c>
      <x:c r="J4956" s="2" t="str">
        <x:v>total</x:v>
      </x:c>
      <x:c r="K4956" s="2" t="str">
        <x:v>top_level_area</x:v>
      </x:c>
      <x:c r="L4956" s="2" t="str">
        <x:v>property_type_inferred_from_title;transaction_assumed_sale_from_dataset_context;unknown_property_type</x:v>
      </x:c>
      <x:c r="M4956" s="10" t="n">
        <x:v>0</x:v>
      </x:c>
      <x:c r="N4956" s="10" t="n">
        <x:v>0</x:v>
      </x:c>
      <x:c r="O4956" s="2" t="str">
        <x:v>Bình Dương|other_unknown</x:v>
      </x:c>
      <x:c r="P4956" s="10" t="n">
        <x:v>2</x:v>
      </x:c>
      <x:c r="Q4956" s="13" t="n">
        <x:f>IF(H4956="","",H4956/1000000000)</x:f>
        <x:v>0.25</x:v>
      </x:c>
      <x:c r="R4956" s="13" t="n">
        <x:f>IF(I4956="","",I4956/1000000)</x:f>
        <x:v>3.289473684210526</x:v>
      </x:c>
    </x:row>
    <x:row r="4957" ht="21" customHeight="1">
      <x:c r="A4957" s="10" t="n">
        <x:v>6538</x:v>
      </x:c>
      <x:c r="B4957" s="2" t="str">
        <x:v>fd5343076b019ff9cac5</x:v>
      </x:c>
      <x:c r="C4957" s="2" t="str">
        <x:v>Hà Nội</x:v>
      </x:c>
      <x:c r="D4957" s="2" t="str">
        <x:v>Quận Tây Hồ</x:v>
      </x:c>
      <x:c r="E4957" s="2" t="str">
        <x:v>house</x:v>
      </x:c>
      <x:c r="F4957" s="2" t="str">
        <x:v>sale</x:v>
      </x:c>
      <x:c r="G4957" s="11" t="n">
        <x:v>44</x:v>
      </x:c>
      <x:c r="H4957" s="12" t="n">
        <x:v>3450000000</x:v>
      </x:c>
      <x:c r="I4957" s="12" t="n">
        <x:v>78409090.9090909</x:v>
      </x:c>
      <x:c r="J4957" s="2" t="str">
        <x:v>total</x:v>
      </x:c>
      <x:c r="K4957" s="2" t="str">
        <x:v>top_level_area</x:v>
      </x:c>
      <x:c r="L4957" s="2" t="str">
        <x:v>property_type_inferred_from_title</x:v>
      </x:c>
      <x:c r="M4957" s="10" t="n">
        <x:v>0</x:v>
      </x:c>
      <x:c r="N4957" s="10" t="n">
        <x:v>0</x:v>
      </x:c>
      <x:c r="O4957" s="2" t="str">
        <x:v>Hà Nội|house</x:v>
      </x:c>
      <x:c r="P4957" s="10" t="n">
        <x:v>2</x:v>
      </x:c>
      <x:c r="Q4957" s="13" t="n">
        <x:f>IF(H4957="","",H4957/1000000000)</x:f>
        <x:v>3.45</x:v>
      </x:c>
      <x:c r="R4957" s="13" t="n">
        <x:f>IF(I4957="","",I4957/1000000)</x:f>
        <x:v>78.4090909090909</x:v>
      </x:c>
    </x:row>
    <x:row r="4958" ht="21" customHeight="1">
      <x:c r="A4958" s="10" t="n">
        <x:v>6539</x:v>
      </x:c>
      <x:c r="B4958" s="2" t="str">
        <x:v>eaabc2e661da32dcdbee</x:v>
      </x:c>
      <x:c r="C4958" s="2" t="str">
        <x:v>Tp Hồ Chí Minh</x:v>
      </x:c>
      <x:c r="D4958" s="2" t="str">
        <x:v>Quận Tân Bình</x:v>
      </x:c>
      <x:c r="E4958" s="2" t="str">
        <x:v>house</x:v>
      </x:c>
      <x:c r="F4958" s="2" t="str">
        <x:v>sale_assumed</x:v>
      </x:c>
      <x:c r="G4958" s="11" t="n">
        <x:v>65</x:v>
      </x:c>
      <x:c r="H4958" s="12" t="n">
        <x:v>7200000000</x:v>
      </x:c>
      <x:c r="I4958" s="12" t="n">
        <x:v>110769230.76923077</x:v>
      </x:c>
      <x:c r="J4958" s="2" t="str">
        <x:v>total</x:v>
      </x:c>
      <x:c r="K4958" s="2" t="str">
        <x:v>top_level_area</x:v>
      </x:c>
      <x:c r="L4958" s="2" t="str">
        <x:v>property_type_inferred_from_title;transaction_assumed_sale_from_dataset_context</x:v>
      </x:c>
      <x:c r="M4958" s="10" t="n">
        <x:v>0</x:v>
      </x:c>
      <x:c r="N4958" s="10" t="n">
        <x:v>0</x:v>
      </x:c>
      <x:c r="O4958" s="2" t="str">
        <x:v>Tp Hồ Chí Minh|house</x:v>
      </x:c>
      <x:c r="P4958" s="10" t="n">
        <x:v>2</x:v>
      </x:c>
      <x:c r="Q4958" s="13" t="n">
        <x:f>IF(H4958="","",H4958/1000000000)</x:f>
        <x:v>7.2</x:v>
      </x:c>
      <x:c r="R4958" s="13" t="n">
        <x:f>IF(I4958="","",I4958/1000000)</x:f>
        <x:v>110.76923076923077</x:v>
      </x:c>
    </x:row>
    <x:row r="4959" ht="21" customHeight="1">
      <x:c r="A4959" s="10" t="n">
        <x:v>6540</x:v>
      </x:c>
      <x:c r="B4959" s="2" t="str">
        <x:v>229b9a51860f2f3b7488</x:v>
      </x:c>
      <x:c r="C4959" s="2" t="str">
        <x:v>Tp Hồ Chí Minh</x:v>
      </x:c>
      <x:c r="D4959" s="2" t="str">
        <x:v>Quận 12</x:v>
      </x:c>
      <x:c r="E4959" s="2" t="str">
        <x:v>house</x:v>
      </x:c>
      <x:c r="F4959" s="2" t="str">
        <x:v>sale_assumed</x:v>
      </x:c>
      <x:c r="G4959" s="11" t="n">
        <x:v>32</x:v>
      </x:c>
      <x:c r="H4959" s="12" t="n">
        <x:v>990000000</x:v>
      </x:c>
      <x:c r="I4959" s="12" t="n">
        <x:v>30937500</x:v>
      </x:c>
      <x:c r="J4959" s="2" t="str">
        <x:v>total</x:v>
      </x:c>
      <x:c r="K4959" s="2" t="str">
        <x:v>top_level_area</x:v>
      </x:c>
      <x:c r="L4959" s="2" t="str">
        <x:v>property_type_inferred_from_title;transaction_assumed_sale_from_dataset_context</x:v>
      </x:c>
      <x:c r="M4959" s="10" t="n">
        <x:v>0</x:v>
      </x:c>
      <x:c r="N4959" s="10" t="n">
        <x:v>0</x:v>
      </x:c>
      <x:c r="O4959" s="2" t="str">
        <x:v>Tp Hồ Chí Minh|house</x:v>
      </x:c>
      <x:c r="P4959" s="10" t="n">
        <x:v>2</x:v>
      </x:c>
      <x:c r="Q4959" s="13" t="n">
        <x:f>IF(H4959="","",H4959/1000000000)</x:f>
        <x:v>0.99</x:v>
      </x:c>
      <x:c r="R4959" s="13" t="n">
        <x:f>IF(I4959="","",I4959/1000000)</x:f>
        <x:v>30.9375</x:v>
      </x:c>
    </x:row>
    <x:row r="4960" ht="21" customHeight="1">
      <x:c r="A4960" s="10" t="n">
        <x:v>6541</x:v>
      </x:c>
      <x:c r="B4960" s="2" t="str">
        <x:v>5e0b5caca1a75f2f9e21</x:v>
      </x:c>
      <x:c r="C4960" s="2" t="str">
        <x:v>Hà Nội</x:v>
      </x:c>
      <x:c r="D4960" s="2" t="str">
        <x:v>Quận Cầu Giấy</x:v>
      </x:c>
      <x:c r="E4960" s="2" t="str">
        <x:v>apartment</x:v>
      </x:c>
      <x:c r="F4960" s="2" t="str">
        <x:v>sale</x:v>
      </x:c>
      <x:c r="G4960" s="11" t="n">
        <x:v>148</x:v>
      </x:c>
      <x:c r="H4960" s="12" t="n">
        <x:v>24000000</x:v>
      </x:c>
      <x:c r="I4960" s="12" t="n">
        <x:v>162162.16216216216</x:v>
      </x:c>
      <x:c r="J4960" s="2" t="str">
        <x:v>total</x:v>
      </x:c>
      <x:c r="K4960" s="2" t="str">
        <x:v>top_level_area</x:v>
      </x:c>
      <x:c r="L4960" s="2" t="str">
        <x:v>property_type_inferred_from_title</x:v>
      </x:c>
      <x:c r="M4960" s="10" t="n">
        <x:v>0</x:v>
      </x:c>
      <x:c r="N4960" s="10" t="n">
        <x:v>0</x:v>
      </x:c>
      <x:c r="O4960" s="2" t="str">
        <x:v>Hà Nội|apartment</x:v>
      </x:c>
      <x:c r="P4960" s="10" t="n">
        <x:v>1</x:v>
      </x:c>
      <x:c r="Q4960" s="13" t="n">
        <x:f>IF(H4960="","",H4960/1000000000)</x:f>
        <x:v>0.024</x:v>
      </x:c>
      <x:c r="R4960" s="13" t="n">
        <x:f>IF(I4960="","",I4960/1000000)</x:f>
        <x:v>0.16216216216216217</x:v>
      </x:c>
    </x:row>
    <x:row r="4961" ht="21" customHeight="1">
      <x:c r="A4961" s="10" t="n">
        <x:v>6542</x:v>
      </x:c>
      <x:c r="B4961" s="2" t="str">
        <x:v>39fde4bdfb4870c619e1</x:v>
      </x:c>
      <x:c r="C4961" s="2" t="str">
        <x:v>Hà Nội</x:v>
      </x:c>
      <x:c r="D4961" s="2" t="str">
        <x:v>Quận Đống Đa</x:v>
      </x:c>
      <x:c r="E4961" s="2" t="str">
        <x:v>house</x:v>
      </x:c>
      <x:c r="F4961" s="2" t="str">
        <x:v>sale</x:v>
      </x:c>
      <x:c r="G4961" s="11" t="n">
        <x:v>21</x:v>
      </x:c>
      <x:c r="H4961" s="12" t="n">
        <x:v>1550000000</x:v>
      </x:c>
      <x:c r="I4961" s="12" t="n">
        <x:v>73809523.8095238</x:v>
      </x:c>
      <x:c r="J4961" s="2" t="str">
        <x:v>total</x:v>
      </x:c>
      <x:c r="K4961" s="2" t="str">
        <x:v>top_level_area</x:v>
      </x:c>
      <x:c r="L4961" s="2" t="str">
        <x:v>property_type_inferred_from_title</x:v>
      </x:c>
      <x:c r="M4961" s="10" t="n">
        <x:v>0</x:v>
      </x:c>
      <x:c r="N4961" s="10" t="n">
        <x:v>0</x:v>
      </x:c>
      <x:c r="O4961" s="2" t="str">
        <x:v>Hà Nội|house</x:v>
      </x:c>
      <x:c r="P4961" s="10" t="n">
        <x:v>2</x:v>
      </x:c>
      <x:c r="Q4961" s="13" t="n">
        <x:f>IF(H4961="","",H4961/1000000000)</x:f>
        <x:v>1.55</x:v>
      </x:c>
      <x:c r="R4961" s="13" t="n">
        <x:f>IF(I4961="","",I4961/1000000)</x:f>
        <x:v>73.80952380952381</x:v>
      </x:c>
    </x:row>
    <x:row r="4962" ht="21" customHeight="1">
      <x:c r="A4962" s="10" t="n">
        <x:v>6543</x:v>
      </x:c>
      <x:c r="B4962" s="2" t="str">
        <x:v>b5588b973bbec30c0572</x:v>
      </x:c>
      <x:c r="C4962" s="2" t="str">
        <x:v>Tp Hồ Chí Minh</x:v>
      </x:c>
      <x:c r="D4962" s="2" t="str">
        <x:v>Quận 10</x:v>
      </x:c>
      <x:c r="E4962" s="2" t="str">
        <x:v>house</x:v>
      </x:c>
      <x:c r="F4962" s="2" t="str">
        <x:v>sale</x:v>
      </x:c>
      <x:c r="G4962" s="11" t="n">
        <x:v>47</x:v>
      </x:c>
      <x:c r="H4962" s="12" t="n">
        <x:v>1220000000</x:v>
      </x:c>
      <x:c r="I4962" s="12" t="n">
        <x:v>25957446.80851064</x:v>
      </x:c>
      <x:c r="J4962" s="2" t="str">
        <x:v>total</x:v>
      </x:c>
      <x:c r="K4962" s="2" t="str">
        <x:v>top_level_area</x:v>
      </x:c>
      <x:c r="L4962" s="2" t="str">
        <x:v>property_type_inferred_from_title</x:v>
      </x:c>
      <x:c r="M4962" s="10" t="n">
        <x:v>0</x:v>
      </x:c>
      <x:c r="N4962" s="10" t="n">
        <x:v>0</x:v>
      </x:c>
      <x:c r="O4962" s="2" t="str">
        <x:v>Tp Hồ Chí Minh|house</x:v>
      </x:c>
      <x:c r="P4962" s="10" t="n">
        <x:v>2</x:v>
      </x:c>
      <x:c r="Q4962" s="13" t="n">
        <x:f>IF(H4962="","",H4962/1000000000)</x:f>
        <x:v>1.22</x:v>
      </x:c>
      <x:c r="R4962" s="13" t="n">
        <x:f>IF(I4962="","",I4962/1000000)</x:f>
        <x:v>25.95744680851064</x:v>
      </x:c>
    </x:row>
    <x:row r="4963" ht="21" customHeight="1">
      <x:c r="A4963" s="10" t="n">
        <x:v>6544</x:v>
      </x:c>
      <x:c r="B4963" s="2" t="str">
        <x:v>b32c3afe6c7f68be54e0</x:v>
      </x:c>
      <x:c r="C4963" s="2" t="str">
        <x:v>Tp Hồ Chí Minh</x:v>
      </x:c>
      <x:c r="D4963" s="2" t="str">
        <x:v>Quận 8</x:v>
      </x:c>
      <x:c r="E4963" s="2" t="str">
        <x:v>house</x:v>
      </x:c>
      <x:c r="F4963" s="2" t="str">
        <x:v>sale_assumed</x:v>
      </x:c>
      <x:c r="G4963" s="11" t="n">
        <x:v>112</x:v>
      </x:c>
      <x:c r="H4963" s="12" t="n">
        <x:v>4200000000</x:v>
      </x:c>
      <x:c r="I4963" s="12" t="n">
        <x:v>37500000</x:v>
      </x:c>
      <x:c r="J4963" s="2" t="str">
        <x:v>total</x:v>
      </x:c>
      <x:c r="K4963" s="2" t="str">
        <x:v>top_level_area</x:v>
      </x:c>
      <x:c r="L4963" s="2" t="str">
        <x:v>property_type_inferred_from_title;transaction_assumed_sale_from_dataset_context</x:v>
      </x:c>
      <x:c r="M4963" s="10" t="n">
        <x:v>0</x:v>
      </x:c>
      <x:c r="N4963" s="10" t="n">
        <x:v>0</x:v>
      </x:c>
      <x:c r="O4963" s="2" t="str">
        <x:v>Tp Hồ Chí Minh|house</x:v>
      </x:c>
      <x:c r="P4963" s="10" t="n">
        <x:v>2</x:v>
      </x:c>
      <x:c r="Q4963" s="13" t="n">
        <x:f>IF(H4963="","",H4963/1000000000)</x:f>
        <x:v>4.2</x:v>
      </x:c>
      <x:c r="R4963" s="13" t="n">
        <x:f>IF(I4963="","",I4963/1000000)</x:f>
        <x:v>37.5</x:v>
      </x:c>
    </x:row>
    <x:row r="4964" ht="21" customHeight="1">
      <x:c r="A4964" s="10" t="n">
        <x:v>6545</x:v>
      </x:c>
      <x:c r="B4964" s="2" t="str">
        <x:v>9d760a3a76d542420901</x:v>
      </x:c>
      <x:c r="C4964" s="2" t="str">
        <x:v>Bình Dương</x:v>
      </x:c>
      <x:c r="D4964" s="2" t="str">
        <x:v>Thị xã Dĩ An</x:v>
      </x:c>
      <x:c r="E4964" s="2" t="str">
        <x:v>house</x:v>
      </x:c>
      <x:c r="F4964" s="2" t="str">
        <x:v>sale</x:v>
      </x:c>
      <x:c r="G4964" s="11" t="n">
        <x:v>86</x:v>
      </x:c>
      <x:c r="H4964" s="12" t="n">
        <x:v>2860000000</x:v>
      </x:c>
      <x:c r="I4964" s="12" t="n">
        <x:v>33255813.953488372</x:v>
      </x:c>
      <x:c r="J4964" s="2" t="str">
        <x:v>total</x:v>
      </x:c>
      <x:c r="K4964" s="2" t="str">
        <x:v>top_level_area</x:v>
      </x:c>
      <x:c r="L4964" s="2" t="str">
        <x:v>property_type_inferred_from_title</x:v>
      </x:c>
      <x:c r="M4964" s="10" t="n">
        <x:v>0</x:v>
      </x:c>
      <x:c r="N4964" s="10" t="n">
        <x:v>0</x:v>
      </x:c>
      <x:c r="O4964" s="2" t="str">
        <x:v>Bình Dương|house</x:v>
      </x:c>
      <x:c r="P4964" s="10" t="n">
        <x:v>2</x:v>
      </x:c>
      <x:c r="Q4964" s="13" t="n">
        <x:f>IF(H4964="","",H4964/1000000000)</x:f>
        <x:v>2.86</x:v>
      </x:c>
      <x:c r="R4964" s="13" t="n">
        <x:f>IF(I4964="","",I4964/1000000)</x:f>
        <x:v>33.25581395348837</x:v>
      </x:c>
    </x:row>
    <x:row r="4965" ht="21" customHeight="1">
      <x:c r="A4965" s="10" t="n">
        <x:v>6546</x:v>
      </x:c>
      <x:c r="B4965" s="2" t="str">
        <x:v>022fa84ce4f924bf44a9</x:v>
      </x:c>
      <x:c r="C4965" s="2" t="str">
        <x:v>Hà Nội</x:v>
      </x:c>
      <x:c r="D4965" s="2" t="str">
        <x:v>Quận Tây Hồ</x:v>
      </x:c>
      <x:c r="E4965" s="2" t="str">
        <x:v>other_unknown</x:v>
      </x:c>
      <x:c r="F4965" s="2" t="str">
        <x:v>sale_assumed</x:v>
      </x:c>
      <x:c r="G4965" s="11" t="n">
        <x:v>48</x:v>
      </x:c>
      <x:c r="H4965" s="12" t="n">
        <x:v>3800000000</x:v>
      </x:c>
      <x:c r="I4965" s="12" t="n">
        <x:v>79166666.66666667</x:v>
      </x:c>
      <x:c r="J4965" s="2" t="str">
        <x:v>total</x:v>
      </x:c>
      <x:c r="K4965" s="2" t="str">
        <x:v>top_level_area</x:v>
      </x:c>
      <x:c r="L4965" s="2" t="str">
        <x:v>property_type_inferred_from_title;transaction_assumed_sale_from_dataset_context;unknown_property_type</x:v>
      </x:c>
      <x:c r="M4965" s="10" t="n">
        <x:v>0</x:v>
      </x:c>
      <x:c r="N4965" s="10" t="n">
        <x:v>0</x:v>
      </x:c>
      <x:c r="O4965" s="2" t="str">
        <x:v>Hà Nội|other_unknown</x:v>
      </x:c>
      <x:c r="P4965" s="10" t="n">
        <x:v>2</x:v>
      </x:c>
      <x:c r="Q4965" s="13" t="n">
        <x:f>IF(H4965="","",H4965/1000000000)</x:f>
        <x:v>3.8</x:v>
      </x:c>
      <x:c r="R4965" s="13" t="n">
        <x:f>IF(I4965="","",I4965/1000000)</x:f>
        <x:v>79.16666666666667</x:v>
      </x:c>
    </x:row>
    <x:row r="4966" ht="21" customHeight="1">
      <x:c r="A4966" s="10" t="n">
        <x:v>6547</x:v>
      </x:c>
      <x:c r="B4966" s="2" t="str">
        <x:v>6ff0e0545e0eb6978887</x:v>
      </x:c>
      <x:c r="C4966" s="2" t="str">
        <x:v>Tp Hồ Chí Minh</x:v>
      </x:c>
      <x:c r="D4966" s="2" t="str">
        <x:v>Quận Phú Nhuận</x:v>
      </x:c>
      <x:c r="E4966" s="2" t="str">
        <x:v>house</x:v>
      </x:c>
      <x:c r="F4966" s="2" t="str">
        <x:v>sale_assumed</x:v>
      </x:c>
      <x:c r="G4966" s="11" t="n">
        <x:v>50</x:v>
      </x:c>
      <x:c r="H4966" s="12" t="n">
        <x:v>7300000000</x:v>
      </x:c>
      <x:c r="I4966" s="12" t="n">
        <x:v>146000000</x:v>
      </x:c>
      <x:c r="J4966" s="2" t="str">
        <x:v>total</x:v>
      </x:c>
      <x:c r="K4966" s="2" t="str">
        <x:v>top_level_area</x:v>
      </x:c>
      <x:c r="L4966" s="2" t="str">
        <x:v>property_type_inferred_from_title;transaction_assumed_sale_from_dataset_context</x:v>
      </x:c>
      <x:c r="M4966" s="10" t="n">
        <x:v>0</x:v>
      </x:c>
      <x:c r="N4966" s="10" t="n">
        <x:v>0</x:v>
      </x:c>
      <x:c r="O4966" s="2" t="str">
        <x:v>Tp Hồ Chí Minh|house</x:v>
      </x:c>
      <x:c r="P4966" s="10" t="n">
        <x:v>2</x:v>
      </x:c>
      <x:c r="Q4966" s="13" t="n">
        <x:f>IF(H4966="","",H4966/1000000000)</x:f>
        <x:v>7.3</x:v>
      </x:c>
      <x:c r="R4966" s="13" t="n">
        <x:f>IF(I4966="","",I4966/1000000)</x:f>
        <x:v>146</x:v>
      </x:c>
    </x:row>
    <x:row r="4967" ht="21" customHeight="1">
      <x:c r="A4967" s="10" t="n">
        <x:v>6548</x:v>
      </x:c>
      <x:c r="B4967" s="2" t="str">
        <x:v>916f9db9e19af3873c41</x:v>
      </x:c>
      <x:c r="C4967" s="2" t="str">
        <x:v>Tp Hồ Chí Minh</x:v>
      </x:c>
      <x:c r="D4967" s="2" t="str">
        <x:v>Quận Thủ Đức</x:v>
      </x:c>
      <x:c r="E4967" s="2" t="str">
        <x:v>land</x:v>
      </x:c>
      <x:c r="F4967" s="2" t="str">
        <x:v>sale</x:v>
      </x:c>
      <x:c r="G4967" s="11" t="n">
        <x:v>200</x:v>
      </x:c>
      <x:c r="H4967" s="12" t="n">
        <x:v>75000000</x:v>
      </x:c>
      <x:c r="I4967" s="12" t="n">
        <x:v>375000</x:v>
      </x:c>
      <x:c r="J4967" s="2" t="str">
        <x:v>total</x:v>
      </x:c>
      <x:c r="K4967" s="2" t="str">
        <x:v>top_level_area</x:v>
      </x:c>
      <x:c r="L4967" s="2" t="str">
        <x:v>property_type_inferred_from_title</x:v>
      </x:c>
      <x:c r="M4967" s="10" t="n">
        <x:v>0</x:v>
      </x:c>
      <x:c r="N4967" s="10" t="n">
        <x:v>0</x:v>
      </x:c>
      <x:c r="O4967" s="2" t="str">
        <x:v>Tp Hồ Chí Minh|land</x:v>
      </x:c>
      <x:c r="P4967" s="10" t="n">
        <x:v>1</x:v>
      </x:c>
      <x:c r="Q4967" s="13" t="n">
        <x:f>IF(H4967="","",H4967/1000000000)</x:f>
        <x:v>0.075</x:v>
      </x:c>
      <x:c r="R4967" s="13" t="n">
        <x:f>IF(I4967="","",I4967/1000000)</x:f>
        <x:v>0.375</x:v>
      </x:c>
    </x:row>
    <x:row r="4968" ht="21" customHeight="1">
      <x:c r="A4968" s="10" t="n">
        <x:v>6549</x:v>
      </x:c>
      <x:c r="B4968" s="2" t="str">
        <x:v>a35ada5cf73acaf71e88</x:v>
      </x:c>
      <x:c r="C4968" s="2" t="str">
        <x:v>Tp Hồ Chí Minh</x:v>
      </x:c>
      <x:c r="D4968" s="2" t="str">
        <x:v>Quận Bình Thạnh</x:v>
      </x:c>
      <x:c r="E4968" s="2" t="str">
        <x:v>apartment</x:v>
      </x:c>
      <x:c r="F4968" s="2" t="str">
        <x:v>sale_assumed</x:v>
      </x:c>
      <x:c r="G4968" s="11" t="n">
        <x:v>68.5</x:v>
      </x:c>
      <x:c r="H4968" s="12" t="n">
        <x:v>1650000000</x:v>
      </x:c>
      <x:c r="I4968" s="12" t="n">
        <x:v>24087591.24087591</x:v>
      </x:c>
      <x:c r="J4968" s="2" t="str">
        <x:v>total</x:v>
      </x:c>
      <x:c r="K4968" s="2" t="str">
        <x:v>top_level_area</x:v>
      </x:c>
      <x:c r="L4968" s="2" t="str">
        <x:v>property_type_inferred_from_title;transaction_assumed_sale_from_dataset_context</x:v>
      </x:c>
      <x:c r="M4968" s="10" t="n">
        <x:v>0</x:v>
      </x:c>
      <x:c r="N4968" s="10" t="n">
        <x:v>0</x:v>
      </x:c>
      <x:c r="O4968" s="2" t="str">
        <x:v>Tp Hồ Chí Minh|apartment</x:v>
      </x:c>
      <x:c r="P4968" s="10" t="n">
        <x:v>2</x:v>
      </x:c>
      <x:c r="Q4968" s="13" t="n">
        <x:f>IF(H4968="","",H4968/1000000000)</x:f>
        <x:v>1.65</x:v>
      </x:c>
      <x:c r="R4968" s="13" t="n">
        <x:f>IF(I4968="","",I4968/1000000)</x:f>
        <x:v>24.08759124087591</x:v>
      </x:c>
    </x:row>
    <x:row r="4969" ht="21" customHeight="1">
      <x:c r="A4969" s="10" t="n">
        <x:v>6550</x:v>
      </x:c>
      <x:c r="B4969" s="2" t="str">
        <x:v>95defa0373850de23daa</x:v>
      </x:c>
      <x:c r="C4969" s="2" t="str">
        <x:v>Tp Hồ Chí Minh</x:v>
      </x:c>
      <x:c r="D4969" s="2" t="str">
        <x:v>Quận Thủ Đức</x:v>
      </x:c>
      <x:c r="E4969" s="2" t="str">
        <x:v>other_unknown</x:v>
      </x:c>
      <x:c r="F4969" s="2" t="str">
        <x:v>sale_assumed</x:v>
      </x:c>
      <x:c r="G4969" s="11" t="n">
        <x:v>52</x:v>
      </x:c>
      <x:c r="H4969" s="12" t="n">
        <x:v>1850000000</x:v>
      </x:c>
      <x:c r="I4969" s="12" t="n">
        <x:v>35576923.07692308</x:v>
      </x:c>
      <x:c r="J4969" s="2" t="str">
        <x:v>total</x:v>
      </x:c>
      <x:c r="K4969" s="2" t="str">
        <x:v>top_level_area</x:v>
      </x:c>
      <x:c r="L4969" s="2" t="str">
        <x:v>property_type_inferred_from_title;transaction_assumed_sale_from_dataset_context;unknown_property_type</x:v>
      </x:c>
      <x:c r="M4969" s="10" t="n">
        <x:v>0</x:v>
      </x:c>
      <x:c r="N4969" s="10" t="n">
        <x:v>0</x:v>
      </x:c>
      <x:c r="O4969" s="2" t="str">
        <x:v>Tp Hồ Chí Minh|other_unknown</x:v>
      </x:c>
      <x:c r="P4969" s="10" t="n">
        <x:v>2</x:v>
      </x:c>
      <x:c r="Q4969" s="13" t="n">
        <x:f>IF(H4969="","",H4969/1000000000)</x:f>
        <x:v>1.85</x:v>
      </x:c>
      <x:c r="R4969" s="13" t="n">
        <x:f>IF(I4969="","",I4969/1000000)</x:f>
        <x:v>35.57692307692308</x:v>
      </x:c>
    </x:row>
    <x:row r="4970" ht="21" customHeight="1">
      <x:c r="A4970" s="10" t="n">
        <x:v>6551</x:v>
      </x:c>
      <x:c r="B4970" s="2" t="str">
        <x:v>33589f0c5fa222198d9e</x:v>
      </x:c>
      <x:c r="C4970" s="2" t="str">
        <x:v>Tp Hồ Chí Minh</x:v>
      </x:c>
      <x:c r="D4970" s="2" t="str">
        <x:v>Quận Thủ Đức</x:v>
      </x:c>
      <x:c r="E4970" s="2" t="str">
        <x:v>other_unknown</x:v>
      </x:c>
      <x:c r="F4970" s="2" t="str">
        <x:v>sale_assumed</x:v>
      </x:c>
      <x:c r="G4970" s="11" t="n">
        <x:v>54</x:v>
      </x:c>
      <x:c r="H4970" s="12" t="n">
        <x:v>2350000000</x:v>
      </x:c>
      <x:c r="I4970" s="12" t="n">
        <x:v>43518518.518518515</x:v>
      </x:c>
      <x:c r="J4970" s="2" t="str">
        <x:v>total</x:v>
      </x:c>
      <x:c r="K4970" s="2" t="str">
        <x:v>top_level_area</x:v>
      </x:c>
      <x:c r="L4970" s="2" t="str">
        <x:v>property_type_inferred_from_title;transaction_assumed_sale_from_dataset_context;unknown_property_type</x:v>
      </x:c>
      <x:c r="M4970" s="10" t="n">
        <x:v>0</x:v>
      </x:c>
      <x:c r="N4970" s="10" t="n">
        <x:v>0</x:v>
      </x:c>
      <x:c r="O4970" s="2" t="str">
        <x:v>Tp Hồ Chí Minh|other_unknown</x:v>
      </x:c>
      <x:c r="P4970" s="10" t="n">
        <x:v>2</x:v>
      </x:c>
      <x:c r="Q4970" s="13" t="n">
        <x:f>IF(H4970="","",H4970/1000000000)</x:f>
        <x:v>2.35</x:v>
      </x:c>
      <x:c r="R4970" s="13" t="n">
        <x:f>IF(I4970="","",I4970/1000000)</x:f>
        <x:v>43.51851851851851</x:v>
      </x:c>
    </x:row>
    <x:row r="4971" ht="21" customHeight="1">
      <x:c r="A4971" s="10" t="n">
        <x:v>6552</x:v>
      </x:c>
      <x:c r="B4971" s="2" t="str">
        <x:v>2912bd3e623056d4ee31</x:v>
      </x:c>
      <x:c r="C4971" s="2" t="str">
        <x:v>Hà Nội</x:v>
      </x:c>
      <x:c r="D4971" s="2" t="str">
        <x:v>Quận Tây Hồ</x:v>
      </x:c>
      <x:c r="E4971" s="2" t="str">
        <x:v>house</x:v>
      </x:c>
      <x:c r="F4971" s="2" t="str">
        <x:v>sale</x:v>
      </x:c>
      <x:c r="G4971" s="11" t="n">
        <x:v>30</x:v>
      </x:c>
      <x:c r="H4971" s="12" t="n">
        <x:v>2600000000</x:v>
      </x:c>
      <x:c r="I4971" s="12" t="n">
        <x:v>86666666.66666667</x:v>
      </x:c>
      <x:c r="J4971" s="2" t="str">
        <x:v>total</x:v>
      </x:c>
      <x:c r="K4971" s="2" t="str">
        <x:v>top_level_area</x:v>
      </x:c>
      <x:c r="L4971" s="2" t="str">
        <x:v>property_type_inferred_from_title</x:v>
      </x:c>
      <x:c r="M4971" s="10" t="n">
        <x:v>0</x:v>
      </x:c>
      <x:c r="N4971" s="10" t="n">
        <x:v>0</x:v>
      </x:c>
      <x:c r="O4971" s="2" t="str">
        <x:v>Hà Nội|house</x:v>
      </x:c>
      <x:c r="P4971" s="10" t="n">
        <x:v>2</x:v>
      </x:c>
      <x:c r="Q4971" s="13" t="n">
        <x:f>IF(H4971="","",H4971/1000000000)</x:f>
        <x:v>2.6</x:v>
      </x:c>
      <x:c r="R4971" s="13" t="n">
        <x:f>IF(I4971="","",I4971/1000000)</x:f>
        <x:v>86.66666666666667</x:v>
      </x:c>
    </x:row>
    <x:row r="4972" ht="21" customHeight="1">
      <x:c r="A4972" s="10" t="n">
        <x:v>6555</x:v>
      </x:c>
      <x:c r="B4972" s="2" t="str">
        <x:v>44623455c10c84ab8b9d</x:v>
      </x:c>
      <x:c r="C4972" s="2" t="str">
        <x:v>Tp Hồ Chí Minh</x:v>
      </x:c>
      <x:c r="D4972" s="2" t="str">
        <x:v>Quận 7</x:v>
      </x:c>
      <x:c r="E4972" s="2" t="str">
        <x:v>apartment</x:v>
      </x:c>
      <x:c r="F4972" s="2" t="str">
        <x:v>sale_assumed</x:v>
      </x:c>
      <x:c r="G4972" s="11" t="n">
        <x:v>56.51</x:v>
      </x:c>
      <x:c r="H4972" s="12" t="n">
        <x:v>2250000000</x:v>
      </x:c>
      <x:c r="I4972" s="12" t="n">
        <x:v>39815961.77667669</x:v>
      </x:c>
      <x:c r="J4972" s="2" t="str">
        <x:v>total</x:v>
      </x:c>
      <x:c r="K4972" s="2" t="str">
        <x:v>top_level_area</x:v>
      </x:c>
      <x:c r="L4972" s="2" t="str">
        <x:v>property_type_inferred_from_title;transaction_assumed_sale_from_dataset_context</x:v>
      </x:c>
      <x:c r="M4972" s="10" t="n">
        <x:v>0</x:v>
      </x:c>
      <x:c r="N4972" s="10" t="n">
        <x:v>0</x:v>
      </x:c>
      <x:c r="O4972" s="2" t="str">
        <x:v>Tp Hồ Chí Minh|apartment</x:v>
      </x:c>
      <x:c r="P4972" s="10" t="n">
        <x:v>2</x:v>
      </x:c>
      <x:c r="Q4972" s="13" t="n">
        <x:f>IF(H4972="","",H4972/1000000000)</x:f>
        <x:v>2.25</x:v>
      </x:c>
      <x:c r="R4972" s="13" t="n">
        <x:f>IF(I4972="","",I4972/1000000)</x:f>
        <x:v>39.815961776676694</x:v>
      </x:c>
    </x:row>
    <x:row r="4973" ht="21" customHeight="1">
      <x:c r="A4973" s="10" t="n">
        <x:v>6556</x:v>
      </x:c>
      <x:c r="B4973" s="2" t="str">
        <x:v>218aad81dc23b57d5439</x:v>
      </x:c>
      <x:c r="C4973" s="2" t="str">
        <x:v>Tp Hồ Chí Minh</x:v>
      </x:c>
      <x:c r="D4973" s="2" t="str">
        <x:v>Huyện Hóc Môn</x:v>
      </x:c>
      <x:c r="E4973" s="2" t="str">
        <x:v>house</x:v>
      </x:c>
      <x:c r="F4973" s="2" t="str">
        <x:v>sale_with_rental_income</x:v>
      </x:c>
      <x:c r="G4973" s="11" t="n">
        <x:v>82</x:v>
      </x:c>
      <x:c r="H4973" s="12" t="n">
        <x:v>3450000000</x:v>
      </x:c>
      <x:c r="I4973" s="12" t="n">
        <x:v>42073170.73170732</x:v>
      </x:c>
      <x:c r="J4973" s="2" t="str">
        <x:v>total</x:v>
      </x:c>
      <x:c r="K4973" s="2" t="str">
        <x:v>top_level_area</x:v>
      </x:c>
      <x:c r="L4973" s="2" t="str">
        <x:v>property_type_inferred_from_title;rental_income_mentioned</x:v>
      </x:c>
      <x:c r="M4973" s="10" t="n">
        <x:v>0</x:v>
      </x:c>
      <x:c r="N4973" s="10" t="n">
        <x:v>0</x:v>
      </x:c>
      <x:c r="O4973" s="2" t="str">
        <x:v>Tp Hồ Chí Minh|house</x:v>
      </x:c>
      <x:c r="P4973" s="10" t="n">
        <x:v>2</x:v>
      </x:c>
      <x:c r="Q4973" s="13" t="n">
        <x:f>IF(H4973="","",H4973/1000000000)</x:f>
        <x:v>3.45</x:v>
      </x:c>
      <x:c r="R4973" s="13" t="n">
        <x:f>IF(I4973="","",I4973/1000000)</x:f>
        <x:v>42.07317073170732</x:v>
      </x:c>
    </x:row>
    <x:row r="4974" ht="21" customHeight="1">
      <x:c r="A4974" s="10" t="n">
        <x:v>6557</x:v>
      </x:c>
      <x:c r="B4974" s="2" t="str">
        <x:v>f885a3d5ef8183ade254</x:v>
      </x:c>
      <x:c r="C4974" s="2" t="str">
        <x:v>Tp Hồ Chí Minh</x:v>
      </x:c>
      <x:c r="D4974" s="2" t="str">
        <x:v>Quận Bình Tân</x:v>
      </x:c>
      <x:c r="E4974" s="2" t="str">
        <x:v>house</x:v>
      </x:c>
      <x:c r="F4974" s="2" t="str">
        <x:v>sale</x:v>
      </x:c>
      <x:c r="G4974" s="11" t="n">
        <x:v>100</x:v>
      </x:c>
      <x:c r="H4974" s="12" t="n">
        <x:v>7150000000</x:v>
      </x:c>
      <x:c r="I4974" s="12" t="n">
        <x:v>71500000</x:v>
      </x:c>
      <x:c r="J4974" s="2" t="str">
        <x:v>total</x:v>
      </x:c>
      <x:c r="K4974" s="2" t="str">
        <x:v>top_level_area</x:v>
      </x:c>
      <x:c r="L4974" s="2" t="str">
        <x:v>property_type_inferred_from_title</x:v>
      </x:c>
      <x:c r="M4974" s="10" t="n">
        <x:v>0</x:v>
      </x:c>
      <x:c r="N4974" s="10" t="n">
        <x:v>0</x:v>
      </x:c>
      <x:c r="O4974" s="2" t="str">
        <x:v>Tp Hồ Chí Minh|house</x:v>
      </x:c>
      <x:c r="P4974" s="10" t="n">
        <x:v>2</x:v>
      </x:c>
      <x:c r="Q4974" s="13" t="n">
        <x:f>IF(H4974="","",H4974/1000000000)</x:f>
        <x:v>7.15</x:v>
      </x:c>
      <x:c r="R4974" s="13" t="n">
        <x:f>IF(I4974="","",I4974/1000000)</x:f>
        <x:v>71.5</x:v>
      </x:c>
    </x:row>
    <x:row r="4975" ht="21" customHeight="1">
      <x:c r="A4975" s="10" t="n">
        <x:v>6558</x:v>
      </x:c>
      <x:c r="B4975" s="2" t="str">
        <x:v>ac471a52d659aae64503</x:v>
      </x:c>
      <x:c r="C4975" s="2" t="str">
        <x:v>Tp Hồ Chí Minh</x:v>
      </x:c>
      <x:c r="D4975" s="2" t="str">
        <x:v>Quận 7</x:v>
      </x:c>
      <x:c r="E4975" s="2" t="str">
        <x:v>house</x:v>
      </x:c>
      <x:c r="F4975" s="2" t="str">
        <x:v>sale</x:v>
      </x:c>
      <x:c r="G4975" s="11" t="n">
        <x:v>72</x:v>
      </x:c>
      <x:c r="H4975" s="12" t="n">
        <x:v>1270000000</x:v>
      </x:c>
      <x:c r="I4975" s="12" t="n">
        <x:v>17638888.888888888</x:v>
      </x:c>
      <x:c r="J4975" s="2" t="str">
        <x:v>total</x:v>
      </x:c>
      <x:c r="K4975" s="2" t="str">
        <x:v>top_level_area</x:v>
      </x:c>
      <x:c r="L4975" s="2" t="str">
        <x:v>property_type_inferred_from_title</x:v>
      </x:c>
      <x:c r="M4975" s="10" t="n">
        <x:v>0</x:v>
      </x:c>
      <x:c r="N4975" s="10" t="n">
        <x:v>0</x:v>
      </x:c>
      <x:c r="O4975" s="2" t="str">
        <x:v>Tp Hồ Chí Minh|house</x:v>
      </x:c>
      <x:c r="P4975" s="10" t="n">
        <x:v>2</x:v>
      </x:c>
      <x:c r="Q4975" s="13" t="n">
        <x:f>IF(H4975="","",H4975/1000000000)</x:f>
        <x:v>1.27</x:v>
      </x:c>
      <x:c r="R4975" s="13" t="n">
        <x:f>IF(I4975="","",I4975/1000000)</x:f>
        <x:v>17.63888888888889</x:v>
      </x:c>
    </x:row>
    <x:row r="4976" ht="21" customHeight="1">
      <x:c r="A4976" s="10" t="n">
        <x:v>6559</x:v>
      </x:c>
      <x:c r="B4976" s="2" t="str">
        <x:v>9861432f089b5724bef9</x:v>
      </x:c>
      <x:c r="C4976" s="2" t="str">
        <x:v>Đà Nẵng</x:v>
      </x:c>
      <x:c r="D4976" s="2" t="str">
        <x:v>Quận Hải Châu</x:v>
      </x:c>
      <x:c r="E4976" s="2" t="str">
        <x:v>house</x:v>
      </x:c>
      <x:c r="F4976" s="2" t="str">
        <x:v>sale</x:v>
      </x:c>
      <x:c r="G4976" s="11" t="n">
        <x:v>25</x:v>
      </x:c>
      <x:c r="H4976" s="12" t="n">
        <x:v>2690000000</x:v>
      </x:c>
      <x:c r="I4976" s="12" t="n">
        <x:v>107600000</x:v>
      </x:c>
      <x:c r="J4976" s="2" t="str">
        <x:v>total</x:v>
      </x:c>
      <x:c r="K4976" s="2" t="str">
        <x:v>top_level_area</x:v>
      </x:c>
      <x:c r="L4976" s="2" t="str">
        <x:v>property_type_inferred_from_title</x:v>
      </x:c>
      <x:c r="M4976" s="10" t="n">
        <x:v>0</x:v>
      </x:c>
      <x:c r="N4976" s="10" t="n">
        <x:v>0</x:v>
      </x:c>
      <x:c r="O4976" s="2" t="str">
        <x:v>Đà Nẵng|house</x:v>
      </x:c>
      <x:c r="P4976" s="10" t="n">
        <x:v>2</x:v>
      </x:c>
      <x:c r="Q4976" s="13" t="n">
        <x:f>IF(H4976="","",H4976/1000000000)</x:f>
        <x:v>2.69</x:v>
      </x:c>
      <x:c r="R4976" s="13" t="n">
        <x:f>IF(I4976="","",I4976/1000000)</x:f>
        <x:v>107.6</x:v>
      </x:c>
    </x:row>
    <x:row r="4977" ht="21" customHeight="1">
      <x:c r="A4977" s="10" t="n">
        <x:v>6560</x:v>
      </x:c>
      <x:c r="B4977" s="2" t="str">
        <x:v>08918957f24f40d4e864</x:v>
      </x:c>
      <x:c r="C4977" s="2" t="str">
        <x:v>Tp Hồ Chí Minh</x:v>
      </x:c>
      <x:c r="D4977" s="2" t="str">
        <x:v>Quận Bình Thạnh</x:v>
      </x:c>
      <x:c r="E4977" s="2" t="str">
        <x:v>house</x:v>
      </x:c>
      <x:c r="F4977" s="2" t="str">
        <x:v>sale_assumed</x:v>
      </x:c>
      <x:c r="G4977" s="11" t="n">
        <x:v>50</x:v>
      </x:c>
      <x:c r="H4977" s="12" t="n">
        <x:v>1520000000</x:v>
      </x:c>
      <x:c r="I4977" s="12" t="n">
        <x:v>30400000</x:v>
      </x:c>
      <x:c r="J4977" s="2" t="str">
        <x:v>total</x:v>
      </x:c>
      <x:c r="K4977" s="2" t="str">
        <x:v>top_level_area</x:v>
      </x:c>
      <x:c r="L4977" s="2" t="str">
        <x:v>property_type_inferred_from_title;transaction_assumed_sale_from_dataset_context</x:v>
      </x:c>
      <x:c r="M4977" s="10" t="n">
        <x:v>0</x:v>
      </x:c>
      <x:c r="N4977" s="10" t="n">
        <x:v>0</x:v>
      </x:c>
      <x:c r="O4977" s="2" t="str">
        <x:v>Tp Hồ Chí Minh|house</x:v>
      </x:c>
      <x:c r="P4977" s="10" t="n">
        <x:v>2</x:v>
      </x:c>
      <x:c r="Q4977" s="13" t="n">
        <x:f>IF(H4977="","",H4977/1000000000)</x:f>
        <x:v>1.52</x:v>
      </x:c>
      <x:c r="R4977" s="13" t="n">
        <x:f>IF(I4977="","",I4977/1000000)</x:f>
        <x:v>30.4</x:v>
      </x:c>
    </x:row>
    <x:row r="4978" ht="21" customHeight="1">
      <x:c r="A4978" s="10" t="n">
        <x:v>6561</x:v>
      </x:c>
      <x:c r="B4978" s="2" t="str">
        <x:v>607152b91687865a9350</x:v>
      </x:c>
      <x:c r="C4978" s="2" t="str">
        <x:v>Tp Hồ Chí Minh</x:v>
      </x:c>
      <x:c r="D4978" s="2" t="str">
        <x:v>Huyện Hóc Môn</x:v>
      </x:c>
      <x:c r="E4978" s="2" t="str">
        <x:v>house</x:v>
      </x:c>
      <x:c r="F4978" s="2" t="str">
        <x:v>sale_assumed</x:v>
      </x:c>
      <x:c r="G4978" s="11" t="n">
        <x:v>40</x:v>
      </x:c>
      <x:c r="H4978" s="12" t="n">
        <x:v>1350000000</x:v>
      </x:c>
      <x:c r="I4978" s="12" t="n">
        <x:v>33750000</x:v>
      </x:c>
      <x:c r="J4978" s="2" t="str">
        <x:v>total</x:v>
      </x:c>
      <x:c r="K4978" s="2" t="str">
        <x:v>top_level_area</x:v>
      </x:c>
      <x:c r="L4978" s="2" t="str">
        <x:v>property_type_inferred_from_title;transaction_assumed_sale_from_dataset_context</x:v>
      </x:c>
      <x:c r="M4978" s="10" t="n">
        <x:v>0</x:v>
      </x:c>
      <x:c r="N4978" s="10" t="n">
        <x:v>0</x:v>
      </x:c>
      <x:c r="O4978" s="2" t="str">
        <x:v>Tp Hồ Chí Minh|house</x:v>
      </x:c>
      <x:c r="P4978" s="10" t="n">
        <x:v>2</x:v>
      </x:c>
      <x:c r="Q4978" s="13" t="n">
        <x:f>IF(H4978="","",H4978/1000000000)</x:f>
        <x:v>1.35</x:v>
      </x:c>
      <x:c r="R4978" s="13" t="n">
        <x:f>IF(I4978="","",I4978/1000000)</x:f>
        <x:v>33.75</x:v>
      </x:c>
    </x:row>
    <x:row r="4979" ht="21" customHeight="1">
      <x:c r="A4979" s="10" t="n">
        <x:v>6562</x:v>
      </x:c>
      <x:c r="B4979" s="2" t="str">
        <x:v>8c5bf686f588b89b822a</x:v>
      </x:c>
      <x:c r="C4979" s="2" t="str">
        <x:v>Tp Hồ Chí Minh</x:v>
      </x:c>
      <x:c r="D4979" s="2" t="str">
        <x:v>Quận Tân Bình</x:v>
      </x:c>
      <x:c r="E4979" s="2" t="str">
        <x:v>other_unknown</x:v>
      </x:c>
      <x:c r="F4979" s="2" t="str">
        <x:v>sale_assumed</x:v>
      </x:c>
      <x:c r="G4979" s="11" t="n">
        <x:v>115</x:v>
      </x:c>
      <x:c r="H4979" s="12" t="n">
        <x:v>29950000000</x:v>
      </x:c>
      <x:c r="I4979" s="12" t="n">
        <x:v>260434782.60869566</x:v>
      </x:c>
      <x:c r="J4979" s="2" t="str">
        <x:v>total</x:v>
      </x:c>
      <x:c r="K4979" s="2" t="str">
        <x:v>top_level_area</x:v>
      </x:c>
      <x:c r="L4979" s="2" t="str">
        <x:v>property_type_inferred_from_title;transaction_assumed_sale_from_dataset_context;unknown_property_type</x:v>
      </x:c>
      <x:c r="M4979" s="10" t="n">
        <x:v>1</x:v>
      </x:c>
      <x:c r="N4979" s="10" t="n">
        <x:v>1</x:v>
      </x:c>
      <x:c r="O4979" s="2" t="str">
        <x:v>Tp Hồ Chí Minh|other_unknown</x:v>
      </x:c>
      <x:c r="P4979" s="10" t="n">
        <x:v>-1</x:v>
      </x:c>
      <x:c r="Q4979" s="13" t="n">
        <x:f>IF(H4979="","",H4979/1000000000)</x:f>
        <x:v>29.95</x:v>
      </x:c>
      <x:c r="R4979" s="13" t="n">
        <x:f>IF(I4979="","",I4979/1000000)</x:f>
        <x:v>260.4347826086957</x:v>
      </x:c>
    </x:row>
    <x:row r="4980" ht="21" customHeight="1">
      <x:c r="A4980" s="10" t="n">
        <x:v>6563</x:v>
      </x:c>
      <x:c r="B4980" s="2" t="str">
        <x:v>49884cbe0b2d068792a9</x:v>
      </x:c>
      <x:c r="C4980" s="2" t="str">
        <x:v>Tp Hồ Chí Minh</x:v>
      </x:c>
      <x:c r="D4980" s="2" t="str">
        <x:v>Quận Gò Vấp</x:v>
      </x:c>
      <x:c r="E4980" s="2" t="str">
        <x:v>house</x:v>
      </x:c>
      <x:c r="F4980" s="2" t="str">
        <x:v>sale</x:v>
      </x:c>
      <x:c r="G4980" s="11" t="n">
        <x:v>40</x:v>
      </x:c>
      <x:c r="H4980" s="12" t="n">
        <x:v>860000000</x:v>
      </x:c>
      <x:c r="I4980" s="12" t="n">
        <x:v>21500000</x:v>
      </x:c>
      <x:c r="J4980" s="2" t="str">
        <x:v>total</x:v>
      </x:c>
      <x:c r="K4980" s="2" t="str">
        <x:v>top_level_price_embedded_area</x:v>
      </x:c>
      <x:c r="L4980" s="2" t="str">
        <x:v>area_recovered_from_price_text;property_type_inferred_from_title</x:v>
      </x:c>
      <x:c r="M4980" s="10" t="n">
        <x:v>0</x:v>
      </x:c>
      <x:c r="N4980" s="10" t="n">
        <x:v>0</x:v>
      </x:c>
      <x:c r="O4980" s="2" t="str">
        <x:v>Tp Hồ Chí Minh|house</x:v>
      </x:c>
      <x:c r="P4980" s="10" t="n">
        <x:v>2</x:v>
      </x:c>
      <x:c r="Q4980" s="13" t="n">
        <x:f>IF(H4980="","",H4980/1000000000)</x:f>
        <x:v>0.86</x:v>
      </x:c>
      <x:c r="R4980" s="13" t="n">
        <x:f>IF(I4980="","",I4980/1000000)</x:f>
        <x:v>21.5</x:v>
      </x:c>
    </x:row>
    <x:row r="4981" ht="21" customHeight="1">
      <x:c r="A4981" s="10" t="n">
        <x:v>6564</x:v>
      </x:c>
      <x:c r="B4981" s="2" t="str">
        <x:v>30a91adb8cf7bd99f785</x:v>
      </x:c>
      <x:c r="C4981" s="2" t="str">
        <x:v>Hà Nội</x:v>
      </x:c>
      <x:c r="D4981" s="2" t="str">
        <x:v>Quận Hoàng Mai</x:v>
      </x:c>
      <x:c r="E4981" s="2" t="str">
        <x:v>other_unknown</x:v>
      </x:c>
      <x:c r="F4981" s="2" t="str">
        <x:v>sale_assumed</x:v>
      </x:c>
      <x:c r="G4981" s="11" t="n">
        <x:v>30</x:v>
      </x:c>
      <x:c r="H4981" s="12" t="n">
        <x:v>2830000000</x:v>
      </x:c>
      <x:c r="I4981" s="12" t="n">
        <x:v>94333333.33333333</x:v>
      </x:c>
      <x:c r="J4981" s="2" t="str">
        <x:v>total</x:v>
      </x:c>
      <x:c r="K4981" s="2" t="str">
        <x:v>top_level_area</x:v>
      </x:c>
      <x:c r="L4981" s="2" t="str">
        <x:v>property_type_inferred_from_title;transaction_assumed_sale_from_dataset_context;unknown_property_type</x:v>
      </x:c>
      <x:c r="M4981" s="10" t="n">
        <x:v>0</x:v>
      </x:c>
      <x:c r="N4981" s="10" t="n">
        <x:v>0</x:v>
      </x:c>
      <x:c r="O4981" s="2" t="str">
        <x:v>Hà Nội|other_unknown</x:v>
      </x:c>
      <x:c r="P4981" s="10" t="n">
        <x:v>2</x:v>
      </x:c>
      <x:c r="Q4981" s="13" t="n">
        <x:f>IF(H4981="","",H4981/1000000000)</x:f>
        <x:v>2.83</x:v>
      </x:c>
      <x:c r="R4981" s="13" t="n">
        <x:f>IF(I4981="","",I4981/1000000)</x:f>
        <x:v>94.33333333333333</x:v>
      </x:c>
    </x:row>
    <x:row r="4982" ht="21" customHeight="1">
      <x:c r="A4982" s="10" t="n">
        <x:v>6565</x:v>
      </x:c>
      <x:c r="B4982" s="2" t="str">
        <x:v>55d0fc3109c75bdc9e48</x:v>
      </x:c>
      <x:c r="C4982" s="2" t="str">
        <x:v>Tiền Giang</x:v>
      </x:c>
      <x:c r="D4982" s="2" t="str">
        <x:v>Huyện Châu Thành</x:v>
      </x:c>
      <x:c r="E4982" s="2" t="str">
        <x:v>house</x:v>
      </x:c>
      <x:c r="F4982" s="2" t="str">
        <x:v>sale_assumed</x:v>
      </x:c>
      <x:c r="G4982" s="11" t="n">
        <x:v>2000</x:v>
      </x:c>
      <x:c r="H4982" s="12" t="n">
        <x:v>2500000000</x:v>
      </x:c>
      <x:c r="I4982" s="12" t="n">
        <x:v>1250000</x:v>
      </x:c>
      <x:c r="J4982" s="2" t="str">
        <x:v>total</x:v>
      </x:c>
      <x:c r="K4982" s="2" t="str">
        <x:v>top_level_area</x:v>
      </x:c>
      <x:c r="L4982" s="2" t="str">
        <x:v>dot_thousands_convention;property_type_inferred_from_title;transaction_assumed_sale_from_dataset_context</x:v>
      </x:c>
      <x:c r="M4982" s="10" t="n">
        <x:v>0</x:v>
      </x:c>
      <x:c r="N4982" s="10" t="n">
        <x:v>0</x:v>
      </x:c>
      <x:c r="O4982" s="2" t="str">
        <x:v>house</x:v>
      </x:c>
      <x:c r="P4982" s="10" t="n">
        <x:v>1</x:v>
      </x:c>
      <x:c r="Q4982" s="13" t="n">
        <x:f>IF(H4982="","",H4982/1000000000)</x:f>
        <x:v>2.5</x:v>
      </x:c>
      <x:c r="R4982" s="13" t="n">
        <x:f>IF(I4982="","",I4982/1000000)</x:f>
        <x:v>1.25</x:v>
      </x:c>
    </x:row>
    <x:row r="4983" ht="21" customHeight="1">
      <x:c r="A4983" s="10" t="n">
        <x:v>6566</x:v>
      </x:c>
      <x:c r="B4983" s="2" t="str">
        <x:v>b50d0f020a7d4608508b</x:v>
      </x:c>
      <x:c r="C4983" s="2" t="str">
        <x:v>Tp Hồ Chí Minh</x:v>
      </x:c>
      <x:c r="D4983" s="2" t="str">
        <x:v>Quận Gò Vấp</x:v>
      </x:c>
      <x:c r="E4983" s="2" t="str">
        <x:v>house</x:v>
      </x:c>
      <x:c r="F4983" s="2" t="str">
        <x:v>sale_assumed</x:v>
      </x:c>
      <x:c r="G4983" s="11" t="n">
        <x:v>54</x:v>
      </x:c>
      <x:c r="H4983" s="12" t="n">
        <x:v>4600000000</x:v>
      </x:c>
      <x:c r="I4983" s="12" t="n">
        <x:v>85185185.18518518</x:v>
      </x:c>
      <x:c r="J4983" s="2" t="str">
        <x:v>total</x:v>
      </x:c>
      <x:c r="K4983" s="2" t="str">
        <x:v>top_level_area</x:v>
      </x:c>
      <x:c r="L4983" s="2" t="str">
        <x:v>property_type_inferred_from_title;transaction_assumed_sale_from_dataset_context</x:v>
      </x:c>
      <x:c r="M4983" s="10" t="n">
        <x:v>0</x:v>
      </x:c>
      <x:c r="N4983" s="10" t="n">
        <x:v>0</x:v>
      </x:c>
      <x:c r="O4983" s="2" t="str">
        <x:v>Tp Hồ Chí Minh|house</x:v>
      </x:c>
      <x:c r="P4983" s="10" t="n">
        <x:v>2</x:v>
      </x:c>
      <x:c r="Q4983" s="13" t="n">
        <x:f>IF(H4983="","",H4983/1000000000)</x:f>
        <x:v>4.6</x:v>
      </x:c>
      <x:c r="R4983" s="13" t="n">
        <x:f>IF(I4983="","",I4983/1000000)</x:f>
        <x:v>85.18518518518518</x:v>
      </x:c>
    </x:row>
    <x:row r="4984" ht="21" customHeight="1">
      <x:c r="A4984" s="10" t="n">
        <x:v>6567</x:v>
      </x:c>
      <x:c r="B4984" s="2" t="str">
        <x:v>1c17051dd01675e20447</x:v>
      </x:c>
      <x:c r="C4984" s="2" t="str">
        <x:v>Khánh Hòa</x:v>
      </x:c>
      <x:c r="D4984" s="2" t="str">
        <x:v>Thành phố Nha Trang</x:v>
      </x:c>
      <x:c r="E4984" s="2" t="str">
        <x:v>land</x:v>
      </x:c>
      <x:c r="F4984" s="2" t="str">
        <x:v>sale</x:v>
      </x:c>
      <x:c r="G4984" s="11" t="n">
        <x:v>79</x:v>
      </x:c>
      <x:c r="H4984" s="12" t="n">
        <x:v>650000000</x:v>
      </x:c>
      <x:c r="I4984" s="12" t="n">
        <x:v>8227848.101265823</x:v>
      </x:c>
      <x:c r="J4984" s="2" t="str">
        <x:v>total</x:v>
      </x:c>
      <x:c r="K4984" s="2" t="str">
        <x:v>top_level_area</x:v>
      </x:c>
      <x:c r="L4984" s="2" t="str">
        <x:v>property_type_inferred_from_title</x:v>
      </x:c>
      <x:c r="M4984" s="10" t="n">
        <x:v>0</x:v>
      </x:c>
      <x:c r="N4984" s="10" t="n">
        <x:v>0</x:v>
      </x:c>
      <x:c r="O4984" s="2" t="str">
        <x:v>land</x:v>
      </x:c>
      <x:c r="P4984" s="10" t="n">
        <x:v>2</x:v>
      </x:c>
      <x:c r="Q4984" s="13" t="n">
        <x:f>IF(H4984="","",H4984/1000000000)</x:f>
        <x:v>0.65</x:v>
      </x:c>
      <x:c r="R4984" s="13" t="n">
        <x:f>IF(I4984="","",I4984/1000000)</x:f>
        <x:v>8.227848101265822</x:v>
      </x:c>
    </x:row>
    <x:row r="4985" ht="21" customHeight="1">
      <x:c r="A4985" s="10" t="n">
        <x:v>6568</x:v>
      </x:c>
      <x:c r="B4985" s="2" t="str">
        <x:v>033e60a5c8cf07d7a306</x:v>
      </x:c>
      <x:c r="C4985" s="2" t="str">
        <x:v>Đồng Nai</x:v>
      </x:c>
      <x:c r="D4985" s="2" t="str">
        <x:v>Huyện Vĩnh Cửu</x:v>
      </x:c>
      <x:c r="E4985" s="2" t="str">
        <x:v>land</x:v>
      </x:c>
      <x:c r="F4985" s="2" t="str">
        <x:v>sale</x:v>
      </x:c>
      <x:c r="G4985" s="11" t="n">
        <x:v>108</x:v>
      </x:c>
      <x:c r="H4985" s="12" t="n">
        <x:v>330000000</x:v>
      </x:c>
      <x:c r="I4985" s="12" t="n">
        <x:v>3055555.5555555555</x:v>
      </x:c>
      <x:c r="J4985" s="2" t="str">
        <x:v>total</x:v>
      </x:c>
      <x:c r="K4985" s="2" t="str">
        <x:v>top_level_area</x:v>
      </x:c>
      <x:c r="L4985" s="2" t="str">
        <x:v>property_type_inferred_from_title</x:v>
      </x:c>
      <x:c r="M4985" s="10" t="n">
        <x:v>0</x:v>
      </x:c>
      <x:c r="N4985" s="10" t="n">
        <x:v>0</x:v>
      </x:c>
      <x:c r="O4985" s="2" t="str">
        <x:v>Đồng Nai|land</x:v>
      </x:c>
      <x:c r="P4985" s="10" t="n">
        <x:v>1</x:v>
      </x:c>
      <x:c r="Q4985" s="13" t="n">
        <x:f>IF(H4985="","",H4985/1000000000)</x:f>
        <x:v>0.33</x:v>
      </x:c>
      <x:c r="R4985" s="13" t="n">
        <x:f>IF(I4985="","",I4985/1000000)</x:f>
        <x:v>3.0555555555555554</x:v>
      </x:c>
    </x:row>
    <x:row r="4986" ht="21" customHeight="1">
      <x:c r="A4986" s="10" t="n">
        <x:v>6569</x:v>
      </x:c>
      <x:c r="B4986" s="2" t="str">
        <x:v>496f93964e043513fbf1</x:v>
      </x:c>
      <x:c r="C4986" s="2" t="str">
        <x:v>Đồng Nai</x:v>
      </x:c>
      <x:c r="D4986" s="2" t="str">
        <x:v>Huyện Thống Nhất</x:v>
      </x:c>
      <x:c r="E4986" s="2" t="str">
        <x:v>land</x:v>
      </x:c>
      <x:c r="F4986" s="2" t="str">
        <x:v>sale_assumed</x:v>
      </x:c>
      <x:c r="G4986" s="11" t="n">
        <x:v>1000</x:v>
      </x:c>
      <x:c r="H4986" s="12" t="n">
        <x:v>850000000</x:v>
      </x:c>
      <x:c r="I4986" s="12" t="n">
        <x:v>850000</x:v>
      </x:c>
      <x:c r="J4986" s="2" t="str">
        <x:v>total</x:v>
      </x:c>
      <x:c r="K4986" s="2" t="str">
        <x:v>top_level_area</x:v>
      </x:c>
      <x:c r="L4986" s="2" t="str">
        <x:v>dot_thousands_convention;property_type_inferred_from_title;transaction_assumed_sale_from_dataset_context</x:v>
      </x:c>
      <x:c r="M4986" s="10" t="n">
        <x:v>0</x:v>
      </x:c>
      <x:c r="N4986" s="10" t="n">
        <x:v>0</x:v>
      </x:c>
      <x:c r="O4986" s="2" t="str">
        <x:v>Đồng Nai|land</x:v>
      </x:c>
      <x:c r="P4986" s="10" t="n">
        <x:v>1</x:v>
      </x:c>
      <x:c r="Q4986" s="13" t="n">
        <x:f>IF(H4986="","",H4986/1000000000)</x:f>
        <x:v>0.85</x:v>
      </x:c>
      <x:c r="R4986" s="13" t="n">
        <x:f>IF(I4986="","",I4986/1000000)</x:f>
        <x:v>0.85</x:v>
      </x:c>
    </x:row>
    <x:row r="4987" ht="21" customHeight="1">
      <x:c r="A4987" s="10" t="n">
        <x:v>6570</x:v>
      </x:c>
      <x:c r="B4987" s="2" t="str">
        <x:v>e71fd4850bfa4c439f94</x:v>
      </x:c>
      <x:c r="C4987" s="2" t="str">
        <x:v>Tp Hồ Chí Minh</x:v>
      </x:c>
      <x:c r="D4987" s="2" t="str">
        <x:v>Quận 5</x:v>
      </x:c>
      <x:c r="E4987" s="2" t="str">
        <x:v>house</x:v>
      </x:c>
      <x:c r="F4987" s="2" t="str">
        <x:v>sale</x:v>
      </x:c>
      <x:c r="G4987" s="11" t="n">
        <x:v>63</x:v>
      </x:c>
      <x:c r="H4987" s="12" t="n">
        <x:v>1200000000</x:v>
      </x:c>
      <x:c r="I4987" s="12" t="n">
        <x:v>19047619.04761905</x:v>
      </x:c>
      <x:c r="J4987" s="2" t="str">
        <x:v>total</x:v>
      </x:c>
      <x:c r="K4987" s="2" t="str">
        <x:v>top_level_area</x:v>
      </x:c>
      <x:c r="L4987" s="2" t="str">
        <x:v>property_type_inferred_from_title</x:v>
      </x:c>
      <x:c r="M4987" s="10" t="n">
        <x:v>0</x:v>
      </x:c>
      <x:c r="N4987" s="10" t="n">
        <x:v>0</x:v>
      </x:c>
      <x:c r="O4987" s="2" t="str">
        <x:v>Tp Hồ Chí Minh|house</x:v>
      </x:c>
      <x:c r="P4987" s="10" t="n">
        <x:v>2</x:v>
      </x:c>
      <x:c r="Q4987" s="13" t="n">
        <x:f>IF(H4987="","",H4987/1000000000)</x:f>
        <x:v>1.2</x:v>
      </x:c>
      <x:c r="R4987" s="13" t="n">
        <x:f>IF(I4987="","",I4987/1000000)</x:f>
        <x:v>19.047619047619047</x:v>
      </x:c>
    </x:row>
    <x:row r="4988" ht="21" customHeight="1">
      <x:c r="A4988" s="10" t="n">
        <x:v>6571</x:v>
      </x:c>
      <x:c r="B4988" s="2" t="str">
        <x:v>e5810b708da32acc49cc</x:v>
      </x:c>
      <x:c r="C4988" s="2" t="str">
        <x:v>Tp Hồ Chí Minh</x:v>
      </x:c>
      <x:c r="D4988" s="2" t="str">
        <x:v>Quận 8</x:v>
      </x:c>
      <x:c r="E4988" s="2" t="str">
        <x:v>house</x:v>
      </x:c>
      <x:c r="F4988" s="2" t="str">
        <x:v>sale</x:v>
      </x:c>
      <x:c r="G4988" s="11" t="n">
        <x:v>51</x:v>
      </x:c>
      <x:c r="H4988" s="12" t="n">
        <x:v>1380000000</x:v>
      </x:c>
      <x:c r="I4988" s="12" t="n">
        <x:v>27058823.529411763</x:v>
      </x:c>
      <x:c r="J4988" s="2" t="str">
        <x:v>total</x:v>
      </x:c>
      <x:c r="K4988" s="2" t="str">
        <x:v>top_level_area</x:v>
      </x:c>
      <x:c r="L4988" s="2" t="str">
        <x:v>property_type_inferred_from_title</x:v>
      </x:c>
      <x:c r="M4988" s="10" t="n">
        <x:v>0</x:v>
      </x:c>
      <x:c r="N4988" s="10" t="n">
        <x:v>0</x:v>
      </x:c>
      <x:c r="O4988" s="2" t="str">
        <x:v>Tp Hồ Chí Minh|house</x:v>
      </x:c>
      <x:c r="P4988" s="10" t="n">
        <x:v>2</x:v>
      </x:c>
      <x:c r="Q4988" s="13" t="n">
        <x:f>IF(H4988="","",H4988/1000000000)</x:f>
        <x:v>1.38</x:v>
      </x:c>
      <x:c r="R4988" s="13" t="n">
        <x:f>IF(I4988="","",I4988/1000000)</x:f>
        <x:v>27.058823529411764</x:v>
      </x:c>
    </x:row>
    <x:row r="4989" ht="21" customHeight="1">
      <x:c r="A4989" s="10" t="n">
        <x:v>6572</x:v>
      </x:c>
      <x:c r="B4989" s="2" t="str">
        <x:v>13ba5f1ffadcbf002e9f</x:v>
      </x:c>
      <x:c r="C4989" s="2" t="str">
        <x:v>Đồng Nai</x:v>
      </x:c>
      <x:c r="D4989" s="2" t="str">
        <x:v>Huyện Định Quán</x:v>
      </x:c>
      <x:c r="E4989" s="2" t="str">
        <x:v>other_unknown</x:v>
      </x:c>
      <x:c r="F4989" s="2" t="str">
        <x:v>sale</x:v>
      </x:c>
      <x:c r="G4989" s="11" t="n">
        <x:v>1100</x:v>
      </x:c>
      <x:c r="H4989" s="12" t="n">
        <x:v>900000000</x:v>
      </x:c>
      <x:c r="I4989" s="12" t="n">
        <x:v>818181.8181818182</x:v>
      </x:c>
      <x:c r="J4989" s="2" t="str">
        <x:v>total</x:v>
      </x:c>
      <x:c r="K4989" s="2" t="str">
        <x:v>top_level_area</x:v>
      </x:c>
      <x:c r="L4989" s="2" t="str">
        <x:v>dot_thousands_convention;property_type_inferred_from_title;unknown_property_type</x:v>
      </x:c>
      <x:c r="M4989" s="10" t="n">
        <x:v>0</x:v>
      </x:c>
      <x:c r="N4989" s="10" t="n">
        <x:v>0</x:v>
      </x:c>
      <x:c r="O4989" s="2" t="str">
        <x:v>Đồng Nai|other_unknown</x:v>
      </x:c>
      <x:c r="P4989" s="10" t="n">
        <x:v>1</x:v>
      </x:c>
      <x:c r="Q4989" s="13" t="n">
        <x:f>IF(H4989="","",H4989/1000000000)</x:f>
        <x:v>0.9</x:v>
      </x:c>
      <x:c r="R4989" s="13" t="n">
        <x:f>IF(I4989="","",I4989/1000000)</x:f>
        <x:v>0.8181818181818182</x:v>
      </x:c>
    </x:row>
    <x:row r="4990" ht="21" customHeight="1">
      <x:c r="A4990" s="10" t="n">
        <x:v>6573</x:v>
      </x:c>
      <x:c r="B4990" s="2" t="str">
        <x:v>1e09760dd0f6df2d6708</x:v>
      </x:c>
      <x:c r="C4990" s="2" t="str">
        <x:v>Bình Dương</x:v>
      </x:c>
      <x:c r="D4990" s="2" t="str">
        <x:v>Thị xã Bến Cát</x:v>
      </x:c>
      <x:c r="E4990" s="2" t="str">
        <x:v>house</x:v>
      </x:c>
      <x:c r="F4990" s="2" t="str">
        <x:v>sale_assumed</x:v>
      </x:c>
      <x:c r="G4990" s="11" t="n">
        <x:v>110</x:v>
      </x:c>
      <x:c r="H4990" s="12" t="n">
        <x:v>1050000000</x:v>
      </x:c>
      <x:c r="I4990" s="12" t="n">
        <x:v>9545454.545454545</x:v>
      </x:c>
      <x:c r="J4990" s="2" t="str">
        <x:v>total</x:v>
      </x:c>
      <x:c r="K4990" s="2" t="str">
        <x:v>top_level_area</x:v>
      </x:c>
      <x:c r="L4990" s="2" t="str">
        <x:v>property_type_inferred_from_title;transaction_assumed_sale_from_dataset_context</x:v>
      </x:c>
      <x:c r="M4990" s="10" t="n">
        <x:v>0</x:v>
      </x:c>
      <x:c r="N4990" s="10" t="n">
        <x:v>0</x:v>
      </x:c>
      <x:c r="O4990" s="2" t="str">
        <x:v>Bình Dương|house</x:v>
      </x:c>
      <x:c r="P4990" s="10" t="n">
        <x:v>2</x:v>
      </x:c>
      <x:c r="Q4990" s="13" t="n">
        <x:f>IF(H4990="","",H4990/1000000000)</x:f>
        <x:v>1.05</x:v>
      </x:c>
      <x:c r="R4990" s="13" t="n">
        <x:f>IF(I4990="","",I4990/1000000)</x:f>
        <x:v>9.545454545454545</x:v>
      </x:c>
    </x:row>
    <x:row r="4991" ht="21" customHeight="1">
      <x:c r="A4991" s="10" t="n">
        <x:v>6574</x:v>
      </x:c>
      <x:c r="B4991" s="2" t="str">
        <x:v>0fe0b6137a6ad24a8af8</x:v>
      </x:c>
      <x:c r="C4991" s="2" t="str">
        <x:v>Bình Dương</x:v>
      </x:c>
      <x:c r="D4991" s="2" t="str">
        <x:v>Thị xã Bến Cát</x:v>
      </x:c>
      <x:c r="E4991" s="2" t="str">
        <x:v>land</x:v>
      </x:c>
      <x:c r="F4991" s="2" t="str">
        <x:v>sale_assumed</x:v>
      </x:c>
      <x:c r="G4991" s="11" t="n">
        <x:v>315</x:v>
      </x:c>
      <x:c r="H4991" s="12" t="n">
        <x:v>625000000</x:v>
      </x:c>
      <x:c r="I4991" s="12" t="n">
        <x:v>1984126.9841269841</x:v>
      </x:c>
      <x:c r="J4991" s="2" t="str">
        <x:v>total</x:v>
      </x:c>
      <x:c r="K4991" s="2" t="str">
        <x:v>top_level_area</x:v>
      </x:c>
      <x:c r="L4991" s="2" t="str">
        <x:v>property_type_inferred_from_title;transaction_assumed_sale_from_dataset_context</x:v>
      </x:c>
      <x:c r="M4991" s="10" t="n">
        <x:v>0</x:v>
      </x:c>
      <x:c r="N4991" s="10" t="n">
        <x:v>0</x:v>
      </x:c>
      <x:c r="O4991" s="2" t="str">
        <x:v>Bình Dương|land</x:v>
      </x:c>
      <x:c r="P4991" s="10" t="n">
        <x:v>1</x:v>
      </x:c>
      <x:c r="Q4991" s="13" t="n">
        <x:f>IF(H4991="","",H4991/1000000000)</x:f>
        <x:v>0.625</x:v>
      </x:c>
      <x:c r="R4991" s="13" t="n">
        <x:f>IF(I4991="","",I4991/1000000)</x:f>
        <x:v>1.9841269841269842</x:v>
      </x:c>
    </x:row>
    <x:row r="4992" ht="21" customHeight="1">
      <x:c r="A4992" s="10" t="n">
        <x:v>6575</x:v>
      </x:c>
      <x:c r="B4992" s="2" t="str">
        <x:v>cc0d0031e3c0dcefbf75</x:v>
      </x:c>
      <x:c r="C4992" s="2" t="str">
        <x:v>Tp Hồ Chí Minh</x:v>
      </x:c>
      <x:c r="D4992" s="2" t="str">
        <x:v>Quận 7</x:v>
      </x:c>
      <x:c r="E4992" s="2" t="str">
        <x:v>house</x:v>
      </x:c>
      <x:c r="F4992" s="2" t="str">
        <x:v>sale</x:v>
      </x:c>
      <x:c r="G4992" s="11" t="n">
        <x:v>56</x:v>
      </x:c>
      <x:c r="H4992" s="12" t="n">
        <x:v>1100000000</x:v>
      </x:c>
      <x:c r="I4992" s="12" t="n">
        <x:v>19642857.14285714</x:v>
      </x:c>
      <x:c r="J4992" s="2" t="str">
        <x:v>total</x:v>
      </x:c>
      <x:c r="K4992" s="2" t="str">
        <x:v>top_level_area</x:v>
      </x:c>
      <x:c r="L4992" s="2" t="str">
        <x:v>property_type_inferred_from_title</x:v>
      </x:c>
      <x:c r="M4992" s="10" t="n">
        <x:v>0</x:v>
      </x:c>
      <x:c r="N4992" s="10" t="n">
        <x:v>0</x:v>
      </x:c>
      <x:c r="O4992" s="2" t="str">
        <x:v>Tp Hồ Chí Minh|house</x:v>
      </x:c>
      <x:c r="P4992" s="10" t="n">
        <x:v>2</x:v>
      </x:c>
      <x:c r="Q4992" s="13" t="n">
        <x:f>IF(H4992="","",H4992/1000000000)</x:f>
        <x:v>1.1</x:v>
      </x:c>
      <x:c r="R4992" s="13" t="n">
        <x:f>IF(I4992="","",I4992/1000000)</x:f>
        <x:v>19.642857142857142</x:v>
      </x:c>
    </x:row>
    <x:row r="4993" ht="21" customHeight="1">
      <x:c r="A4993" s="10" t="n">
        <x:v>6578</x:v>
      </x:c>
      <x:c r="B4993" s="2" t="str">
        <x:v>50eb583b19dedadb0128</x:v>
      </x:c>
      <x:c r="C4993" s="2" t="str">
        <x:v>Cần Thơ</x:v>
      </x:c>
      <x:c r="D4993" s="2" t="str">
        <x:v>Quận Ninh Kiều</x:v>
      </x:c>
      <x:c r="E4993" s="2" t="str">
        <x:v>other_unknown</x:v>
      </x:c>
      <x:c r="F4993" s="2" t="str">
        <x:v>sale_assumed</x:v>
      </x:c>
      <x:c r="G4993" s="11" t="n">
        <x:v>58</x:v>
      </x:c>
      <x:c r="H4993" s="12" t="n">
        <x:v>2550000000</x:v>
      </x:c>
      <x:c r="I4993" s="12" t="n">
        <x:v>43965517.24137931</x:v>
      </x:c>
      <x:c r="J4993" s="2" t="str">
        <x:v>total</x:v>
      </x:c>
      <x:c r="K4993" s="2" t="str">
        <x:v>top_level_area</x:v>
      </x:c>
      <x:c r="L4993" s="2" t="str">
        <x:v>property_type_inferred_from_title;transaction_assumed_sale_from_dataset_context;unknown_property_type</x:v>
      </x:c>
      <x:c r="M4993" s="10" t="n">
        <x:v>0</x:v>
      </x:c>
      <x:c r="N4993" s="10" t="n">
        <x:v>0</x:v>
      </x:c>
      <x:c r="O4993" s="2" t="str">
        <x:v>other_unknown</x:v>
      </x:c>
      <x:c r="P4993" s="10" t="n">
        <x:v>2</x:v>
      </x:c>
      <x:c r="Q4993" s="13" t="n">
        <x:f>IF(H4993="","",H4993/1000000000)</x:f>
        <x:v>2.55</x:v>
      </x:c>
      <x:c r="R4993" s="13" t="n">
        <x:f>IF(I4993="","",I4993/1000000)</x:f>
        <x:v>43.96551724137932</x:v>
      </x:c>
    </x:row>
    <x:row r="4994" ht="21" customHeight="1">
      <x:c r="A4994" s="10" t="n">
        <x:v>6579</x:v>
      </x:c>
      <x:c r="B4994" s="2" t="str">
        <x:v>670ebf8c66f8941c3768</x:v>
      </x:c>
      <x:c r="C4994" s="2" t="str">
        <x:v>Tp Hồ Chí Minh</x:v>
      </x:c>
      <x:c r="D4994" s="2" t="str">
        <x:v>Huyện Nhà Bè</x:v>
      </x:c>
      <x:c r="E4994" s="2" t="str">
        <x:v>other_unknown</x:v>
      </x:c>
      <x:c r="F4994" s="2" t="str">
        <x:v>sale_assumed</x:v>
      </x:c>
      <x:c r="G4994" s="11" t="n">
        <x:v>46</x:v>
      </x:c>
      <x:c r="H4994" s="12" t="n">
        <x:v>480000000</x:v>
      </x:c>
      <x:c r="I4994" s="12" t="n">
        <x:v>10434782.608695652</x:v>
      </x:c>
      <x:c r="J4994" s="2" t="str">
        <x:v>total</x:v>
      </x:c>
      <x:c r="K4994" s="2" t="str">
        <x:v>top_level_area</x:v>
      </x:c>
      <x:c r="L4994" s="2" t="str">
        <x:v>property_type_inferred_from_title;transaction_assumed_sale_from_dataset_context;unknown_property_type</x:v>
      </x:c>
      <x:c r="M4994" s="10" t="n">
        <x:v>0</x:v>
      </x:c>
      <x:c r="N4994" s="10" t="n">
        <x:v>0</x:v>
      </x:c>
      <x:c r="O4994" s="2" t="str">
        <x:v>Tp Hồ Chí Minh|other_unknown</x:v>
      </x:c>
      <x:c r="P4994" s="10" t="n">
        <x:v>2</x:v>
      </x:c>
      <x:c r="Q4994" s="13" t="n">
        <x:f>IF(H4994="","",H4994/1000000000)</x:f>
        <x:v>0.48</x:v>
      </x:c>
      <x:c r="R4994" s="13" t="n">
        <x:f>IF(I4994="","",I4994/1000000)</x:f>
        <x:v>10.434782608695652</x:v>
      </x:c>
    </x:row>
    <x:row r="4995" ht="21" customHeight="1">
      <x:c r="A4995" s="10" t="n">
        <x:v>6580</x:v>
      </x:c>
      <x:c r="B4995" s="2" t="str">
        <x:v>68194eb1f39c4c7d4500</x:v>
      </x:c>
      <x:c r="C4995" s="2" t="str">
        <x:v>Tp Hồ Chí Minh</x:v>
      </x:c>
      <x:c r="D4995" s="2" t="str">
        <x:v>Quận Bình Tân</x:v>
      </x:c>
      <x:c r="E4995" s="2" t="str">
        <x:v>house</x:v>
      </x:c>
      <x:c r="F4995" s="2" t="str">
        <x:v>sale</x:v>
      </x:c>
      <x:c r="G4995" s="11" t="n">
        <x:v>54</x:v>
      </x:c>
      <x:c r="H4995" s="12" t="n">
        <x:v>967000000</x:v>
      </x:c>
      <x:c r="I4995" s="12" t="n">
        <x:v>17907407.407407407</x:v>
      </x:c>
      <x:c r="J4995" s="2" t="str">
        <x:v>total</x:v>
      </x:c>
      <x:c r="K4995" s="2" t="str">
        <x:v>top_level_area</x:v>
      </x:c>
      <x:c r="L4995" s="2" t="str">
        <x:v>property_type_inferred_from_title</x:v>
      </x:c>
      <x:c r="M4995" s="10" t="n">
        <x:v>0</x:v>
      </x:c>
      <x:c r="N4995" s="10" t="n">
        <x:v>0</x:v>
      </x:c>
      <x:c r="O4995" s="2" t="str">
        <x:v>Tp Hồ Chí Minh|house</x:v>
      </x:c>
      <x:c r="P4995" s="10" t="n">
        <x:v>2</x:v>
      </x:c>
      <x:c r="Q4995" s="13" t="n">
        <x:f>IF(H4995="","",H4995/1000000000)</x:f>
        <x:v>0.967</x:v>
      </x:c>
      <x:c r="R4995" s="13" t="n">
        <x:f>IF(I4995="","",I4995/1000000)</x:f>
        <x:v>17.90740740740741</x:v>
      </x:c>
    </x:row>
    <x:row r="4996" ht="21" customHeight="1">
      <x:c r="A4996" s="10" t="n">
        <x:v>6581</x:v>
      </x:c>
      <x:c r="B4996" s="2" t="str">
        <x:v>f369bc3d0d015f7a06d0</x:v>
      </x:c>
      <x:c r="C4996" s="2" t="str">
        <x:v>Tp Hồ Chí Minh</x:v>
      </x:c>
      <x:c r="D4996" s="2" t="str">
        <x:v>Quận 12</x:v>
      </x:c>
      <x:c r="E4996" s="2" t="str">
        <x:v>house</x:v>
      </x:c>
      <x:c r="F4996" s="2" t="str">
        <x:v>sale_assumed</x:v>
      </x:c>
      <x:c r="G4996" s="11" t="n">
        <x:v>52</x:v>
      </x:c>
      <x:c r="H4996" s="12" t="n">
        <x:v>3800000000</x:v>
      </x:c>
      <x:c r="I4996" s="12" t="n">
        <x:v>73076923.07692307</x:v>
      </x:c>
      <x:c r="J4996" s="2" t="str">
        <x:v>total</x:v>
      </x:c>
      <x:c r="K4996" s="2" t="str">
        <x:v>top_level_area</x:v>
      </x:c>
      <x:c r="L4996" s="2" t="str">
        <x:v>property_type_inferred_from_title;transaction_assumed_sale_from_dataset_context</x:v>
      </x:c>
      <x:c r="M4996" s="10" t="n">
        <x:v>0</x:v>
      </x:c>
      <x:c r="N4996" s="10" t="n">
        <x:v>0</x:v>
      </x:c>
      <x:c r="O4996" s="2" t="str">
        <x:v>Tp Hồ Chí Minh|house</x:v>
      </x:c>
      <x:c r="P4996" s="10" t="n">
        <x:v>2</x:v>
      </x:c>
      <x:c r="Q4996" s="13" t="n">
        <x:f>IF(H4996="","",H4996/1000000000)</x:f>
        <x:v>3.8</x:v>
      </x:c>
      <x:c r="R4996" s="13" t="n">
        <x:f>IF(I4996="","",I4996/1000000)</x:f>
        <x:v>73.07692307692307</x:v>
      </x:c>
    </x:row>
    <x:row r="4997" ht="21" customHeight="1">
      <x:c r="A4997" s="10" t="n">
        <x:v>6582</x:v>
      </x:c>
      <x:c r="B4997" s="2" t="str">
        <x:v>cdbf3f08a6df452e7876</x:v>
      </x:c>
      <x:c r="C4997" s="2" t="str">
        <x:v>Tp Hồ Chí Minh</x:v>
      </x:c>
      <x:c r="D4997" s="2" t="str">
        <x:v>Quận 7</x:v>
      </x:c>
      <x:c r="E4997" s="2" t="str">
        <x:v>apartment</x:v>
      </x:c>
      <x:c r="F4997" s="2" t="str">
        <x:v>sale_assumed</x:v>
      </x:c>
      <x:c r="G4997" s="11" t="n">
        <x:v>51</x:v>
      </x:c>
      <x:c r="H4997" s="12" t="n">
        <x:v>1380000000</x:v>
      </x:c>
      <x:c r="I4997" s="12" t="n">
        <x:v>27058823.529411763</x:v>
      </x:c>
      <x:c r="J4997" s="2" t="str">
        <x:v>total</x:v>
      </x:c>
      <x:c r="K4997" s="2" t="str">
        <x:v>top_level_area</x:v>
      </x:c>
      <x:c r="L4997" s="2" t="str">
        <x:v>property_type_inferred_from_title;transaction_assumed_sale_from_dataset_context</x:v>
      </x:c>
      <x:c r="M4997" s="10" t="n">
        <x:v>0</x:v>
      </x:c>
      <x:c r="N4997" s="10" t="n">
        <x:v>0</x:v>
      </x:c>
      <x:c r="O4997" s="2" t="str">
        <x:v>Tp Hồ Chí Minh|apartment</x:v>
      </x:c>
      <x:c r="P4997" s="10" t="n">
        <x:v>2</x:v>
      </x:c>
      <x:c r="Q4997" s="13" t="n">
        <x:f>IF(H4997="","",H4997/1000000000)</x:f>
        <x:v>1.38</x:v>
      </x:c>
      <x:c r="R4997" s="13" t="n">
        <x:f>IF(I4997="","",I4997/1000000)</x:f>
        <x:v>27.058823529411764</x:v>
      </x:c>
    </x:row>
    <x:row r="4998" ht="21" customHeight="1">
      <x:c r="A4998" s="10" t="n">
        <x:v>6583</x:v>
      </x:c>
      <x:c r="B4998" s="2" t="str">
        <x:v>78d05f8619ebe6cd779b</x:v>
      </x:c>
      <x:c r="C4998" s="2" t="str">
        <x:v>Tp Hồ Chí Minh</x:v>
      </x:c>
      <x:c r="D4998" s="2" t="str">
        <x:v>Quận Tân Bình</x:v>
      </x:c>
      <x:c r="E4998" s="2" t="str">
        <x:v>house</x:v>
      </x:c>
      <x:c r="F4998" s="2" t="str">
        <x:v>sale</x:v>
      </x:c>
      <x:c r="G4998" s="11" t="n">
        <x:v>48</x:v>
      </x:c>
      <x:c r="H4998" s="12" t="n">
        <x:v>1765000000</x:v>
      </x:c>
      <x:c r="I4998" s="12" t="n">
        <x:v>36770833.333333336</x:v>
      </x:c>
      <x:c r="J4998" s="2" t="str">
        <x:v>total</x:v>
      </x:c>
      <x:c r="K4998" s="2" t="str">
        <x:v>top_level_area</x:v>
      </x:c>
      <x:c r="L4998" s="2" t="str">
        <x:v>property_type_inferred_from_title</x:v>
      </x:c>
      <x:c r="M4998" s="10" t="n">
        <x:v>0</x:v>
      </x:c>
      <x:c r="N4998" s="10" t="n">
        <x:v>0</x:v>
      </x:c>
      <x:c r="O4998" s="2" t="str">
        <x:v>Tp Hồ Chí Minh|house</x:v>
      </x:c>
      <x:c r="P4998" s="10" t="n">
        <x:v>2</x:v>
      </x:c>
      <x:c r="Q4998" s="13" t="n">
        <x:f>IF(H4998="","",H4998/1000000000)</x:f>
        <x:v>1.765</x:v>
      </x:c>
      <x:c r="R4998" s="13" t="n">
        <x:f>IF(I4998="","",I4998/1000000)</x:f>
        <x:v>36.770833333333336</x:v>
      </x:c>
    </x:row>
    <x:row r="4999" ht="21" customHeight="1">
      <x:c r="A4999" s="10" t="n">
        <x:v>6584</x:v>
      </x:c>
      <x:c r="B4999" s="2" t="str">
        <x:v>2b80ab1dfa1bc818f5e6</x:v>
      </x:c>
      <x:c r="C4999" s="2" t="str">
        <x:v>Hà Nội</x:v>
      </x:c>
      <x:c r="D4999" s="2" t="str">
        <x:v>Huyện Phúc Thọ</x:v>
      </x:c>
      <x:c r="E4999" s="2" t="str">
        <x:v>land</x:v>
      </x:c>
      <x:c r="F4999" s="2" t="str">
        <x:v>sale_assumed</x:v>
      </x:c>
      <x:c r="G4999" s="11" t="n">
        <x:v>70</x:v>
      </x:c>
      <x:c r="H4999" s="12" t="n">
        <x:v>1050000000</x:v>
      </x:c>
      <x:c r="I4999" s="12" t="n">
        <x:v>15000000</x:v>
      </x:c>
      <x:c r="J4999" s="2" t="str">
        <x:v>total</x:v>
      </x:c>
      <x:c r="K4999" s="2" t="str">
        <x:v>top_level_area</x:v>
      </x:c>
      <x:c r="L4999" s="2" t="str">
        <x:v>property_type_inferred_from_title;transaction_assumed_sale_from_dataset_context</x:v>
      </x:c>
      <x:c r="M4999" s="10" t="n">
        <x:v>0</x:v>
      </x:c>
      <x:c r="N4999" s="10" t="n">
        <x:v>0</x:v>
      </x:c>
      <x:c r="O4999" s="2" t="str">
        <x:v>Hà Nội|land</x:v>
      </x:c>
      <x:c r="P4999" s="10" t="n">
        <x:v>2</x:v>
      </x:c>
      <x:c r="Q4999" s="13" t="n">
        <x:f>IF(H4999="","",H4999/1000000000)</x:f>
        <x:v>1.05</x:v>
      </x:c>
      <x:c r="R4999" s="13" t="n">
        <x:f>IF(I4999="","",I4999/1000000)</x:f>
        <x:v>15</x:v>
      </x:c>
    </x:row>
    <x:row r="5000" ht="21" customHeight="1">
      <x:c r="A5000" s="10" t="n">
        <x:v>6585</x:v>
      </x:c>
      <x:c r="B5000" s="2" t="str">
        <x:v>6c13755bb1cfb5deb351</x:v>
      </x:c>
      <x:c r="C5000" s="2" t="str">
        <x:v>Hà Nội</x:v>
      </x:c>
      <x:c r="D5000" s="2" t="str">
        <x:v>Quận Cầu Giấy</x:v>
      </x:c>
      <x:c r="E5000" s="2" t="str">
        <x:v>house</x:v>
      </x:c>
      <x:c r="F5000" s="2" t="str">
        <x:v>sale</x:v>
      </x:c>
      <x:c r="G5000" s="11" t="n">
        <x:v>25</x:v>
      </x:c>
      <x:c r="H5000" s="12" t="n">
        <x:v>2550000000</x:v>
      </x:c>
      <x:c r="I5000" s="12" t="n">
        <x:v>102000000</x:v>
      </x:c>
      <x:c r="J5000" s="2" t="str">
        <x:v>total</x:v>
      </x:c>
      <x:c r="K5000" s="2" t="str">
        <x:v>top_level_area</x:v>
      </x:c>
      <x:c r="L5000" s="2" t="str">
        <x:v>property_type_inferred_from_title</x:v>
      </x:c>
      <x:c r="M5000" s="10" t="n">
        <x:v>0</x:v>
      </x:c>
      <x:c r="N5000" s="10" t="n">
        <x:v>0</x:v>
      </x:c>
      <x:c r="O5000" s="2" t="str">
        <x:v>Hà Nội|house</x:v>
      </x:c>
      <x:c r="P5000" s="10" t="n">
        <x:v>2</x:v>
      </x:c>
      <x:c r="Q5000" s="13" t="n">
        <x:f>IF(H5000="","",H5000/1000000000)</x:f>
        <x:v>2.55</x:v>
      </x:c>
      <x:c r="R5000" s="13" t="n">
        <x:f>IF(I5000="","",I5000/1000000)</x:f>
        <x:v>102</x:v>
      </x:c>
    </x:row>
    <x:row r="5001" ht="21" customHeight="1">
      <x:c r="A5001" s="10" t="n">
        <x:v>6586</x:v>
      </x:c>
      <x:c r="B5001" s="2" t="str">
        <x:v>99b8e010aa2cbb5aee26</x:v>
      </x:c>
      <x:c r="C5001" s="2" t="str">
        <x:v>Cà Mau</x:v>
      </x:c>
      <x:c r="D5001" s="2" t="str">
        <x:v>Huyện Đầm Dơi</x:v>
      </x:c>
      <x:c r="E5001" s="2" t="str">
        <x:v>land</x:v>
      </x:c>
      <x:c r="F5001" s="2" t="str">
        <x:v>sale_assumed</x:v>
      </x:c>
      <x:c r="G5001" s="11" t="n">
        <x:v>1800</x:v>
      </x:c>
      <x:c r="H5001" s="12" t="n">
        <x:v>1100000000</x:v>
      </x:c>
      <x:c r="I5001" s="12" t="n">
        <x:v>611111.1111111111</x:v>
      </x:c>
      <x:c r="J5001" s="2" t="str">
        <x:v>total</x:v>
      </x:c>
      <x:c r="K5001" s="2" t="str">
        <x:v>top_level_area</x:v>
      </x:c>
      <x:c r="L5001" s="2" t="str">
        <x:v>dot_thousands_convention;property_type_inferred_from_title;transaction_assumed_sale_from_dataset_context</x:v>
      </x:c>
      <x:c r="M5001" s="10" t="n">
        <x:v>0</x:v>
      </x:c>
      <x:c r="N5001" s="10" t="n">
        <x:v>0</x:v>
      </x:c>
      <x:c r="O5001" s="2" t="str">
        <x:v>land</x:v>
      </x:c>
      <x:c r="P5001" s="10" t="n">
        <x:v>1</x:v>
      </x:c>
      <x:c r="Q5001" s="13" t="n">
        <x:f>IF(H5001="","",H5001/1000000000)</x:f>
        <x:v>1.1</x:v>
      </x:c>
      <x:c r="R5001" s="13" t="n">
        <x:f>IF(I5001="","",I5001/1000000)</x:f>
        <x:v>0.6111111111111112</x:v>
      </x:c>
    </x:row>
    <x:row r="5002" ht="21" customHeight="1">
      <x:c r="A5002" s="10" t="n">
        <x:v>6587</x:v>
      </x:c>
      <x:c r="B5002" s="2" t="str">
        <x:v>1cd66675cbc0b0ef748b</x:v>
      </x:c>
      <x:c r="C5002" s="2" t="str">
        <x:v>Tp Hồ Chí Minh</x:v>
      </x:c>
      <x:c r="D5002" s="2" t="str">
        <x:v>Quận 8</x:v>
      </x:c>
      <x:c r="E5002" s="2" t="str">
        <x:v>house</x:v>
      </x:c>
      <x:c r="F5002" s="2" t="str">
        <x:v>sale_assumed</x:v>
      </x:c>
      <x:c r="G5002" s="11" t="n">
        <x:v>28.5</x:v>
      </x:c>
      <x:c r="H5002" s="12" t="n">
        <x:v>1900000000</x:v>
      </x:c>
      <x:c r="I5002" s="12" t="n">
        <x:v>66666666.666666664</x:v>
      </x:c>
      <x:c r="J5002" s="2" t="str">
        <x:v>total</x:v>
      </x:c>
      <x:c r="K5002" s="2" t="str">
        <x:v>top_level_area</x:v>
      </x:c>
      <x:c r="L5002" s="2" t="str">
        <x:v>property_type_inferred_from_title;transaction_assumed_sale_from_dataset_context</x:v>
      </x:c>
      <x:c r="M5002" s="10" t="n">
        <x:v>0</x:v>
      </x:c>
      <x:c r="N5002" s="10" t="n">
        <x:v>0</x:v>
      </x:c>
      <x:c r="O5002" s="2" t="str">
        <x:v>Tp Hồ Chí Minh|house</x:v>
      </x:c>
      <x:c r="P5002" s="10" t="n">
        <x:v>2</x:v>
      </x:c>
      <x:c r="Q5002" s="13" t="n">
        <x:f>IF(H5002="","",H5002/1000000000)</x:f>
        <x:v>1.9</x:v>
      </x:c>
      <x:c r="R5002" s="13" t="n">
        <x:f>IF(I5002="","",I5002/1000000)</x:f>
        <x:v>66.66666666666666</x:v>
      </x:c>
    </x:row>
    <x:row r="5003" ht="21" customHeight="1">
      <x:c r="A5003" s="10" t="n">
        <x:v>6588</x:v>
      </x:c>
      <x:c r="B5003" s="2" t="str">
        <x:v>b10f58645a9c621a3cd4</x:v>
      </x:c>
      <x:c r="C5003" s="2" t="str">
        <x:v>Tp Hồ Chí Minh</x:v>
      </x:c>
      <x:c r="D5003" s="2" t="str">
        <x:v>Quận 2</x:v>
      </x:c>
      <x:c r="E5003" s="2" t="str">
        <x:v>other_unknown</x:v>
      </x:c>
      <x:c r="F5003" s="2" t="str">
        <x:v>sale_assumed</x:v>
      </x:c>
      <x:c r="G5003" s="11" t="n">
        <x:v>48.5</x:v>
      </x:c>
      <x:c r="H5003" s="12" t="n">
        <x:v>2200000000</x:v>
      </x:c>
      <x:c r="I5003" s="12" t="n">
        <x:v>45360824.74226804</x:v>
      </x:c>
      <x:c r="J5003" s="2" t="str">
        <x:v>total</x:v>
      </x:c>
      <x:c r="K5003" s="2" t="str">
        <x:v>top_level_area</x:v>
      </x:c>
      <x:c r="L5003" s="2" t="str">
        <x:v>property_type_inferred_from_title;transaction_assumed_sale_from_dataset_context;unknown_property_type</x:v>
      </x:c>
      <x:c r="M5003" s="10" t="n">
        <x:v>0</x:v>
      </x:c>
      <x:c r="N5003" s="10" t="n">
        <x:v>0</x:v>
      </x:c>
      <x:c r="O5003" s="2" t="str">
        <x:v>Tp Hồ Chí Minh|other_unknown</x:v>
      </x:c>
      <x:c r="P5003" s="10" t="n">
        <x:v>2</x:v>
      </x:c>
      <x:c r="Q5003" s="13" t="n">
        <x:f>IF(H5003="","",H5003/1000000000)</x:f>
        <x:v>2.2</x:v>
      </x:c>
      <x:c r="R5003" s="13" t="n">
        <x:f>IF(I5003="","",I5003/1000000)</x:f>
        <x:v>45.36082474226804</x:v>
      </x:c>
    </x:row>
    <x:row r="5004" ht="21" customHeight="1">
      <x:c r="A5004" s="10" t="n">
        <x:v>6589</x:v>
      </x:c>
      <x:c r="B5004" s="2" t="str">
        <x:v>435ec4128e2ace639164</x:v>
      </x:c>
      <x:c r="C5004" s="2" t="str">
        <x:v>Tp Hồ Chí Minh</x:v>
      </x:c>
      <x:c r="D5004" s="2" t="str">
        <x:v>Quận 6</x:v>
      </x:c>
      <x:c r="E5004" s="2" t="str">
        <x:v>house</x:v>
      </x:c>
      <x:c r="F5004" s="2" t="str">
        <x:v>sale_assumed</x:v>
      </x:c>
      <x:c r="G5004" s="11" t="n">
        <x:v>46</x:v>
      </x:c>
      <x:c r="H5004" s="12" t="n">
        <x:v>1230000000</x:v>
      </x:c>
      <x:c r="I5004" s="12" t="n">
        <x:v>26739130.43478261</x:v>
      </x:c>
      <x:c r="J5004" s="2" t="str">
        <x:v>total</x:v>
      </x:c>
      <x:c r="K5004" s="2" t="str">
        <x:v>top_level_price_embedded_area</x:v>
      </x:c>
      <x:c r="L5004" s="2" t="str">
        <x:v>area_recovered_from_price_text;property_type_inferred_from_title;transaction_assumed_sale_from_dataset_context</x:v>
      </x:c>
      <x:c r="M5004" s="10" t="n">
        <x:v>0</x:v>
      </x:c>
      <x:c r="N5004" s="10" t="n">
        <x:v>0</x:v>
      </x:c>
      <x:c r="O5004" s="2" t="str">
        <x:v>Tp Hồ Chí Minh|house</x:v>
      </x:c>
      <x:c r="P5004" s="10" t="n">
        <x:v>2</x:v>
      </x:c>
      <x:c r="Q5004" s="13" t="n">
        <x:f>IF(H5004="","",H5004/1000000000)</x:f>
        <x:v>1.23</x:v>
      </x:c>
      <x:c r="R5004" s="13" t="n">
        <x:f>IF(I5004="","",I5004/1000000)</x:f>
        <x:v>26.73913043478261</x:v>
      </x:c>
    </x:row>
    <x:row r="5005" ht="21" customHeight="1">
      <x:c r="A5005" s="10" t="n">
        <x:v>6590</x:v>
      </x:c>
      <x:c r="B5005" s="2" t="str">
        <x:v>37f8e420281755d89930</x:v>
      </x:c>
      <x:c r="C5005" s="2" t="str">
        <x:v>Tp Hồ Chí Minh</x:v>
      </x:c>
      <x:c r="D5005" s="2" t="str">
        <x:v>Quận Gò Vấp</x:v>
      </x:c>
      <x:c r="E5005" s="2" t="str">
        <x:v>house</x:v>
      </x:c>
      <x:c r="F5005" s="2" t="str">
        <x:v>sale</x:v>
      </x:c>
      <x:c r="G5005" s="11" t="n">
        <x:v>77.2</x:v>
      </x:c>
      <x:c r="H5005" s="12" t="n">
        <x:v>1100000000</x:v>
      </x:c>
      <x:c r="I5005" s="12" t="n">
        <x:v>14248704.663212435</x:v>
      </x:c>
      <x:c r="J5005" s="2" t="str">
        <x:v>total</x:v>
      </x:c>
      <x:c r="K5005" s="2" t="str">
        <x:v>top_level_area</x:v>
      </x:c>
      <x:c r="L5005" s="2" t="str">
        <x:v>property_type_inferred_from_title</x:v>
      </x:c>
      <x:c r="M5005" s="10" t="n">
        <x:v>0</x:v>
      </x:c>
      <x:c r="N5005" s="10" t="n">
        <x:v>0</x:v>
      </x:c>
      <x:c r="O5005" s="2" t="str">
        <x:v>Tp Hồ Chí Minh|house</x:v>
      </x:c>
      <x:c r="P5005" s="10" t="n">
        <x:v>2</x:v>
      </x:c>
      <x:c r="Q5005" s="13" t="n">
        <x:f>IF(H5005="","",H5005/1000000000)</x:f>
        <x:v>1.1</x:v>
      </x:c>
      <x:c r="R5005" s="13" t="n">
        <x:f>IF(I5005="","",I5005/1000000)</x:f>
        <x:v>14.248704663212436</x:v>
      </x:c>
    </x:row>
    <x:row r="5006" ht="21" customHeight="1">
      <x:c r="A5006" s="10" t="n">
        <x:v>6591</x:v>
      </x:c>
      <x:c r="B5006" s="2" t="str">
        <x:v>ed2f261136d9a4907504</x:v>
      </x:c>
      <x:c r="C5006" s="2" t="str">
        <x:v>Đồng Nai</x:v>
      </x:c>
      <x:c r="D5006" s="2" t="str">
        <x:v>Thành phố Biên Hòa</x:v>
      </x:c>
      <x:c r="E5006" s="2" t="str">
        <x:v>house</x:v>
      </x:c>
      <x:c r="F5006" s="2" t="str">
        <x:v>sale_assumed</x:v>
      </x:c>
      <x:c r="G5006" s="11" t="n">
        <x:v>100</x:v>
      </x:c>
      <x:c r="H5006" s="12" t="n">
        <x:v>1280000000</x:v>
      </x:c>
      <x:c r="I5006" s="12" t="n">
        <x:v>12800000</x:v>
      </x:c>
      <x:c r="J5006" s="2" t="str">
        <x:v>total</x:v>
      </x:c>
      <x:c r="K5006" s="2" t="str">
        <x:v>top_level_area</x:v>
      </x:c>
      <x:c r="L5006" s="2" t="str">
        <x:v>property_type_inferred_from_title;transaction_assumed_sale_from_dataset_context</x:v>
      </x:c>
      <x:c r="M5006" s="10" t="n">
        <x:v>0</x:v>
      </x:c>
      <x:c r="N5006" s="10" t="n">
        <x:v>0</x:v>
      </x:c>
      <x:c r="O5006" s="2" t="str">
        <x:v>Đồng Nai|house</x:v>
      </x:c>
      <x:c r="P5006" s="10" t="n">
        <x:v>2</x:v>
      </x:c>
      <x:c r="Q5006" s="13" t="n">
        <x:f>IF(H5006="","",H5006/1000000000)</x:f>
        <x:v>1.28</x:v>
      </x:c>
      <x:c r="R5006" s="13" t="n">
        <x:f>IF(I5006="","",I5006/1000000)</x:f>
        <x:v>12.8</x:v>
      </x:c>
    </x:row>
    <x:row r="5007" ht="21" customHeight="1">
      <x:c r="A5007" s="10" t="n">
        <x:v>6592</x:v>
      </x:c>
      <x:c r="B5007" s="2" t="str">
        <x:v>adafce1921a7834588a4</x:v>
      </x:c>
      <x:c r="C5007" s="2" t="str">
        <x:v>Hà Nội</x:v>
      </x:c>
      <x:c r="D5007" s="2" t="str">
        <x:v>Quận Hoàng Mai</x:v>
      </x:c>
      <x:c r="E5007" s="2" t="str">
        <x:v>house</x:v>
      </x:c>
      <x:c r="F5007" s="2" t="str">
        <x:v>sale</x:v>
      </x:c>
      <x:c r="G5007" s="11" t="n">
        <x:v>33</x:v>
      </x:c>
      <x:c r="H5007" s="12" t="n">
        <x:v>3000000000</x:v>
      </x:c>
      <x:c r="I5007" s="12" t="n">
        <x:v>90909090.9090909</x:v>
      </x:c>
      <x:c r="J5007" s="2" t="str">
        <x:v>total</x:v>
      </x:c>
      <x:c r="K5007" s="2" t="str">
        <x:v>top_level_area</x:v>
      </x:c>
      <x:c r="L5007" s="2" t="str">
        <x:v>property_type_inferred_from_title</x:v>
      </x:c>
      <x:c r="M5007" s="10" t="n">
        <x:v>0</x:v>
      </x:c>
      <x:c r="N5007" s="10" t="n">
        <x:v>0</x:v>
      </x:c>
      <x:c r="O5007" s="2" t="str">
        <x:v>Hà Nội|house</x:v>
      </x:c>
      <x:c r="P5007" s="10" t="n">
        <x:v>2</x:v>
      </x:c>
      <x:c r="Q5007" s="13" t="n">
        <x:f>IF(H5007="","",H5007/1000000000)</x:f>
        <x:v>3</x:v>
      </x:c>
      <x:c r="R5007" s="13" t="n">
        <x:f>IF(I5007="","",I5007/1000000)</x:f>
        <x:v>90.9090909090909</x:v>
      </x:c>
    </x:row>
    <x:row r="5008" ht="21" customHeight="1">
      <x:c r="A5008" s="10" t="n">
        <x:v>6593</x:v>
      </x:c>
      <x:c r="B5008" s="2" t="str">
        <x:v>8ba46e19817fc9febc6a</x:v>
      </x:c>
      <x:c r="C5008" s="2" t="str">
        <x:v>Tp Hồ Chí Minh</x:v>
      </x:c>
      <x:c r="D5008" s="2" t="str">
        <x:v>Quận Bình Thạnh</x:v>
      </x:c>
      <x:c r="E5008" s="2" t="str">
        <x:v>apartment</x:v>
      </x:c>
      <x:c r="F5008" s="2" t="str">
        <x:v>sale_assumed</x:v>
      </x:c>
      <x:c r="G5008" s="11" t="n">
        <x:v>70</x:v>
      </x:c>
      <x:c r="H5008" s="12" t="n">
        <x:v>1420000000</x:v>
      </x:c>
      <x:c r="I5008" s="12" t="n">
        <x:v>20285714.285714287</x:v>
      </x:c>
      <x:c r="J5008" s="2" t="str">
        <x:v>total</x:v>
      </x:c>
      <x:c r="K5008" s="2" t="str">
        <x:v>top_level_area</x:v>
      </x:c>
      <x:c r="L5008" s="2" t="str">
        <x:v>property_type_inferred_from_title;transaction_assumed_sale_from_dataset_context</x:v>
      </x:c>
      <x:c r="M5008" s="10" t="n">
        <x:v>0</x:v>
      </x:c>
      <x:c r="N5008" s="10" t="n">
        <x:v>0</x:v>
      </x:c>
      <x:c r="O5008" s="2" t="str">
        <x:v>Tp Hồ Chí Minh|apartment</x:v>
      </x:c>
      <x:c r="P5008" s="10" t="n">
        <x:v>2</x:v>
      </x:c>
      <x:c r="Q5008" s="13" t="n">
        <x:f>IF(H5008="","",H5008/1000000000)</x:f>
        <x:v>1.42</x:v>
      </x:c>
      <x:c r="R5008" s="13" t="n">
        <x:f>IF(I5008="","",I5008/1000000)</x:f>
        <x:v>20.28571428571429</x:v>
      </x:c>
    </x:row>
    <x:row r="5009" ht="21" customHeight="1">
      <x:c r="A5009" s="10" t="n">
        <x:v>6594</x:v>
      </x:c>
      <x:c r="B5009" s="2" t="str">
        <x:v>9faf469f9a54978e33e8</x:v>
      </x:c>
      <x:c r="C5009" s="2" t="str">
        <x:v>Tp Hồ Chí Minh</x:v>
      </x:c>
      <x:c r="D5009" s="2" t="str">
        <x:v>Quận Bình Tân</x:v>
      </x:c>
      <x:c r="E5009" s="2" t="str">
        <x:v>other_unknown</x:v>
      </x:c>
      <x:c r="F5009" s="2" t="str">
        <x:v>sale</x:v>
      </x:c>
      <x:c r="G5009" s="11" t="n">
        <x:v>120</x:v>
      </x:c>
      <x:c r="H5009" s="12" t="n">
        <x:v>990000000</x:v>
      </x:c>
      <x:c r="I5009" s="12" t="n">
        <x:v>8250000</x:v>
      </x:c>
      <x:c r="J5009" s="2" t="str">
        <x:v>total</x:v>
      </x:c>
      <x:c r="K5009" s="2" t="str">
        <x:v>top_level_area</x:v>
      </x:c>
      <x:c r="L5009" s="2" t="str">
        <x:v>property_type_inferred_from_title;unknown_property_type</x:v>
      </x:c>
      <x:c r="M5009" s="10" t="n">
        <x:v>0</x:v>
      </x:c>
      <x:c r="N5009" s="10" t="n">
        <x:v>0</x:v>
      </x:c>
      <x:c r="O5009" s="2" t="str">
        <x:v>Tp Hồ Chí Minh|other_unknown</x:v>
      </x:c>
      <x:c r="P5009" s="10" t="n">
        <x:v>2</x:v>
      </x:c>
      <x:c r="Q5009" s="13" t="n">
        <x:f>IF(H5009="","",H5009/1000000000)</x:f>
        <x:v>0.99</x:v>
      </x:c>
      <x:c r="R5009" s="13" t="n">
        <x:f>IF(I5009="","",I5009/1000000)</x:f>
        <x:v>8.25</x:v>
      </x:c>
    </x:row>
    <x:row r="5010" ht="21" customHeight="1">
      <x:c r="A5010" s="10" t="n">
        <x:v>6595</x:v>
      </x:c>
      <x:c r="B5010" s="2" t="str">
        <x:v>9b5c76ead62fc4b6edad</x:v>
      </x:c>
      <x:c r="C5010" s="2" t="str">
        <x:v>Hà Nội</x:v>
      </x:c>
      <x:c r="D5010" s="2" t="str">
        <x:v>Quận Bắc Từ Liêm</x:v>
      </x:c>
      <x:c r="E5010" s="2" t="str">
        <x:v>other_unknown</x:v>
      </x:c>
      <x:c r="F5010" s="2" t="str">
        <x:v>sale</x:v>
      </x:c>
      <x:c r="G5010" s="11" t="n">
        <x:v>35</x:v>
      </x:c>
      <x:c r="H5010" s="12" t="n">
        <x:v>3800000000</x:v>
      </x:c>
      <x:c r="I5010" s="12" t="n">
        <x:v>108571428.57142857</x:v>
      </x:c>
      <x:c r="J5010" s="2" t="str">
        <x:v>total</x:v>
      </x:c>
      <x:c r="K5010" s="2" t="str">
        <x:v>top_level_area</x:v>
      </x:c>
      <x:c r="L5010" s="2" t="str">
        <x:v>property_type_inferred_from_title;unknown_property_type</x:v>
      </x:c>
      <x:c r="M5010" s="10" t="n">
        <x:v>0</x:v>
      </x:c>
      <x:c r="N5010" s="10" t="n">
        <x:v>0</x:v>
      </x:c>
      <x:c r="O5010" s="2" t="str">
        <x:v>Hà Nội|other_unknown</x:v>
      </x:c>
      <x:c r="P5010" s="10" t="n">
        <x:v>2</x:v>
      </x:c>
      <x:c r="Q5010" s="13" t="n">
        <x:f>IF(H5010="","",H5010/1000000000)</x:f>
        <x:v>3.8</x:v>
      </x:c>
      <x:c r="R5010" s="13" t="n">
        <x:f>IF(I5010="","",I5010/1000000)</x:f>
        <x:v>108.57142857142857</x:v>
      </x:c>
    </x:row>
    <x:row r="5011" ht="21" customHeight="1">
      <x:c r="A5011" s="10" t="n">
        <x:v>6596</x:v>
      </x:c>
      <x:c r="B5011" s="2" t="str">
        <x:v>8949e9ccd3b2345224c4</x:v>
      </x:c>
      <x:c r="C5011" s="2" t="str">
        <x:v>Hà Nội</x:v>
      </x:c>
      <x:c r="D5011" s="2" t="str">
        <x:v>Quận Hoàng Mai</x:v>
      </x:c>
      <x:c r="E5011" s="2" t="str">
        <x:v>house</x:v>
      </x:c>
      <x:c r="F5011" s="2" t="str">
        <x:v>sale</x:v>
      </x:c>
      <x:c r="G5011" s="11" t="n">
        <x:v>34</x:v>
      </x:c>
      <x:c r="H5011" s="12" t="n">
        <x:v>3160000000</x:v>
      </x:c>
      <x:c r="I5011" s="12" t="n">
        <x:v>92941176.47058824</x:v>
      </x:c>
      <x:c r="J5011" s="2" t="str">
        <x:v>total</x:v>
      </x:c>
      <x:c r="K5011" s="2" t="str">
        <x:v>top_level_area</x:v>
      </x:c>
      <x:c r="L5011" s="2" t="str">
        <x:v>property_type_inferred_from_title</x:v>
      </x:c>
      <x:c r="M5011" s="10" t="n">
        <x:v>0</x:v>
      </x:c>
      <x:c r="N5011" s="10" t="n">
        <x:v>0</x:v>
      </x:c>
      <x:c r="O5011" s="2" t="str">
        <x:v>Hà Nội|house</x:v>
      </x:c>
      <x:c r="P5011" s="10" t="n">
        <x:v>2</x:v>
      </x:c>
      <x:c r="Q5011" s="13" t="n">
        <x:f>IF(H5011="","",H5011/1000000000)</x:f>
        <x:v>3.16</x:v>
      </x:c>
      <x:c r="R5011" s="13" t="n">
        <x:f>IF(I5011="","",I5011/1000000)</x:f>
        <x:v>92.94117647058823</x:v>
      </x:c>
    </x:row>
    <x:row r="5012" ht="21" customHeight="1">
      <x:c r="A5012" s="10" t="n">
        <x:v>6597</x:v>
      </x:c>
      <x:c r="B5012" s="2" t="str">
        <x:v>84adba43505bfe357a7f</x:v>
      </x:c>
      <x:c r="C5012" s="2" t="str">
        <x:v>Long An</x:v>
      </x:c>
      <x:c r="D5012" s="2" t="str">
        <x:v>Huyện Cần Giuộc</x:v>
      </x:c>
      <x:c r="E5012" s="2" t="str">
        <x:v>land</x:v>
      </x:c>
      <x:c r="F5012" s="2" t="str">
        <x:v>sale</x:v>
      </x:c>
      <x:c r="G5012" s="11" t="n">
        <x:v>130</x:v>
      </x:c>
      <x:c r="H5012" s="12" t="n">
        <x:v>950000000</x:v>
      </x:c>
      <x:c r="I5012" s="12" t="n">
        <x:v>7307692.307692308</x:v>
      </x:c>
      <x:c r="J5012" s="2" t="str">
        <x:v>total</x:v>
      </x:c>
      <x:c r="K5012" s="2" t="str">
        <x:v>top_level_area</x:v>
      </x:c>
      <x:c r="L5012" s="2" t="str">
        <x:v>property_type_inferred_from_title</x:v>
      </x:c>
      <x:c r="M5012" s="10" t="n">
        <x:v>0</x:v>
      </x:c>
      <x:c r="N5012" s="10" t="n">
        <x:v>0</x:v>
      </x:c>
      <x:c r="O5012" s="2" t="str">
        <x:v>Long An|land</x:v>
      </x:c>
      <x:c r="P5012" s="10" t="n">
        <x:v>2</x:v>
      </x:c>
      <x:c r="Q5012" s="13" t="n">
        <x:f>IF(H5012="","",H5012/1000000000)</x:f>
        <x:v>0.95</x:v>
      </x:c>
      <x:c r="R5012" s="13" t="n">
        <x:f>IF(I5012="","",I5012/1000000)</x:f>
        <x:v>7.307692307692308</x:v>
      </x:c>
    </x:row>
    <x:row r="5013" ht="21" customHeight="1">
      <x:c r="A5013" s="10" t="n">
        <x:v>6619</x:v>
      </x:c>
      <x:c r="B5013" s="2" t="str">
        <x:v>41d8f39acb772d4edac7</x:v>
      </x:c>
      <x:c r="C5013" s="2" t="str">
        <x:v>Tp Hồ Chí Minh</x:v>
      </x:c>
      <x:c r="D5013" s="2" t="str">
        <x:v>Quận 4</x:v>
      </x:c>
      <x:c r="E5013" s="2" t="str">
        <x:v>apartment</x:v>
      </x:c>
      <x:c r="F5013" s="2" t="str">
        <x:v>sale_assumed</x:v>
      </x:c>
      <x:c r="G5013" s="11" t="n">
        <x:v>80</x:v>
      </x:c>
      <x:c r="H5013" s="12" t="n">
        <x:v>1420000000</x:v>
      </x:c>
      <x:c r="I5013" s="12" t="n">
        <x:v>17750000</x:v>
      </x:c>
      <x:c r="J5013" s="2" t="str">
        <x:v>total</x:v>
      </x:c>
      <x:c r="K5013" s="2" t="str">
        <x:v>top_level_area</x:v>
      </x:c>
      <x:c r="L5013" s="2" t="str">
        <x:v>property_type_inferred_from_title;transaction_assumed_sale_from_dataset_context</x:v>
      </x:c>
      <x:c r="M5013" s="10" t="n">
        <x:v>0</x:v>
      </x:c>
      <x:c r="N5013" s="10" t="n">
        <x:v>0</x:v>
      </x:c>
      <x:c r="O5013" s="2" t="str">
        <x:v>Tp Hồ Chí Minh|apartment</x:v>
      </x:c>
      <x:c r="P5013" s="10" t="n">
        <x:v>2</x:v>
      </x:c>
      <x:c r="Q5013" s="13" t="n">
        <x:f>IF(H5013="","",H5013/1000000000)</x:f>
        <x:v>1.42</x:v>
      </x:c>
      <x:c r="R5013" s="13" t="n">
        <x:f>IF(I5013="","",I5013/1000000)</x:f>
        <x:v>17.75</x:v>
      </x:c>
    </x:row>
    <x:row r="5014" ht="21" customHeight="1">
      <x:c r="A5014" s="10" t="n">
        <x:v>6623</x:v>
      </x:c>
      <x:c r="B5014" s="2" t="str">
        <x:v>346d7707371b4a10f297</x:v>
      </x:c>
      <x:c r="C5014" s="2" t="str">
        <x:v>Tp Hồ Chí Minh</x:v>
      </x:c>
      <x:c r="D5014" s="2" t="str">
        <x:v>Huyện Bình Chánh</x:v>
      </x:c>
      <x:c r="E5014" s="2" t="str">
        <x:v>house</x:v>
      </x:c>
      <x:c r="F5014" s="2" t="str">
        <x:v>sale</x:v>
      </x:c>
      <x:c r="G5014" s="11" t="n">
        <x:v>52</x:v>
      </x:c>
      <x:c r="H5014" s="12" t="n">
        <x:v>490000000</x:v>
      </x:c>
      <x:c r="I5014" s="12" t="n">
        <x:v>9423076.923076924</x:v>
      </x:c>
      <x:c r="J5014" s="2" t="str">
        <x:v>total</x:v>
      </x:c>
      <x:c r="K5014" s="2" t="str">
        <x:v>top_level_area</x:v>
      </x:c>
      <x:c r="L5014" s="2" t="str">
        <x:v>property_type_inferred_from_title</x:v>
      </x:c>
      <x:c r="M5014" s="10" t="n">
        <x:v>0</x:v>
      </x:c>
      <x:c r="N5014" s="10" t="n">
        <x:v>0</x:v>
      </x:c>
      <x:c r="O5014" s="2" t="str">
        <x:v>Tp Hồ Chí Minh|house</x:v>
      </x:c>
      <x:c r="P5014" s="10" t="n">
        <x:v>2</x:v>
      </x:c>
      <x:c r="Q5014" s="13" t="n">
        <x:f>IF(H5014="","",H5014/1000000000)</x:f>
        <x:v>0.49</x:v>
      </x:c>
      <x:c r="R5014" s="13" t="n">
        <x:f>IF(I5014="","",I5014/1000000)</x:f>
        <x:v>9.423076923076923</x:v>
      </x:c>
    </x:row>
    <x:row r="5015" ht="21" customHeight="1">
      <x:c r="A5015" s="10" t="n">
        <x:v>6624</x:v>
      </x:c>
      <x:c r="B5015" s="2" t="str">
        <x:v>32c14fb2d4442e2db492</x:v>
      </x:c>
      <x:c r="C5015" s="2" t="str">
        <x:v>Sóc Trăng</x:v>
      </x:c>
      <x:c r="D5015" s="2" t="str">
        <x:v>Thành phố Sóc Trăng</x:v>
      </x:c>
      <x:c r="E5015" s="2" t="str">
        <x:v>land</x:v>
      </x:c>
      <x:c r="F5015" s="2" t="str">
        <x:v>sale_assumed</x:v>
      </x:c>
      <x:c r="G5015" s="11" t="n">
        <x:v>300</x:v>
      </x:c>
      <x:c r="H5015" s="12" t="n">
        <x:v>2588000000</x:v>
      </x:c>
      <x:c r="I5015" s="12" t="n">
        <x:v>8626666.666666666</x:v>
      </x:c>
      <x:c r="J5015" s="2" t="str">
        <x:v>total</x:v>
      </x:c>
      <x:c r="K5015" s="2" t="str">
        <x:v>top_level_area</x:v>
      </x:c>
      <x:c r="L5015" s="2" t="str">
        <x:v>property_type_inferred_from_title;transaction_assumed_sale_from_dataset_context</x:v>
      </x:c>
      <x:c r="M5015" s="10" t="n">
        <x:v>0</x:v>
      </x:c>
      <x:c r="N5015" s="10" t="n">
        <x:v>0</x:v>
      </x:c>
      <x:c r="O5015" s="2" t="str">
        <x:v>land</x:v>
      </x:c>
      <x:c r="P5015" s="10" t="n">
        <x:v>1</x:v>
      </x:c>
      <x:c r="Q5015" s="13" t="n">
        <x:f>IF(H5015="","",H5015/1000000000)</x:f>
        <x:v>2.588</x:v>
      </x:c>
      <x:c r="R5015" s="13" t="n">
        <x:f>IF(I5015="","",I5015/1000000)</x:f>
        <x:v>8.626666666666667</x:v>
      </x:c>
    </x:row>
    <x:row r="5016" ht="21" customHeight="1">
      <x:c r="A5016" s="10" t="n">
        <x:v>6625</x:v>
      </x:c>
      <x:c r="B5016" s="2" t="str">
        <x:v>9eded607c8b3291b6a5f</x:v>
      </x:c>
      <x:c r="C5016" s="2" t="str">
        <x:v>Tp Hồ Chí Minh</x:v>
      </x:c>
      <x:c r="D5016" s="2" t="str">
        <x:v>Quận Gò Vấp</x:v>
      </x:c>
      <x:c r="E5016" s="2" t="str">
        <x:v>house</x:v>
      </x:c>
      <x:c r="F5016" s="2" t="str">
        <x:v>sale</x:v>
      </x:c>
      <x:c r="G5016" s="11" t="n">
        <x:v>450000</x:v>
      </x:c>
      <x:c r="H5016" s="12" t="n">
        <x:v>5000000000</x:v>
      </x:c>
      <x:c r="I5016" s="12" t="n">
        <x:v>11111.111111111111</x:v>
      </x:c>
      <x:c r="J5016" s="2" t="str">
        <x:v>total</x:v>
      </x:c>
      <x:c r="K5016" s="2" t="str">
        <x:v>top_level_area</x:v>
      </x:c>
      <x:c r="L5016" s="2" t="str">
        <x:v>dot_thousands_convention;property_type_inferred_from_title</x:v>
      </x:c>
      <x:c r="M5016" s="10" t="n">
        <x:v>0</x:v>
      </x:c>
      <x:c r="N5016" s="10" t="n">
        <x:v>0</x:v>
      </x:c>
      <x:c r="O5016" s="2" t="str">
        <x:v>Tp Hồ Chí Minh|house</x:v>
      </x:c>
      <x:c r="P5016" s="10" t="n">
        <x:v>1</x:v>
      </x:c>
      <x:c r="Q5016" s="13" t="n">
        <x:f>IF(H5016="","",H5016/1000000000)</x:f>
        <x:v>5</x:v>
      </x:c>
      <x:c r="R5016" s="13" t="n">
        <x:f>IF(I5016="","",I5016/1000000)</x:f>
        <x:v>0.011111111111111112</x:v>
      </x:c>
    </x:row>
    <x:row r="5017" ht="21" customHeight="1">
      <x:c r="A5017" s="10" t="n">
        <x:v>6626</x:v>
      </x:c>
      <x:c r="B5017" s="2" t="str">
        <x:v>3ac6c9b53974882a8d7a</x:v>
      </x:c>
      <x:c r="C5017" s="2" t="str">
        <x:v>Tp Hồ Chí Minh</x:v>
      </x:c>
      <x:c r="D5017" s="2" t="str">
        <x:v>Huyện Bình Chánh</x:v>
      </x:c>
      <x:c r="E5017" s="2" t="str">
        <x:v>other_unknown</x:v>
      </x:c>
      <x:c r="F5017" s="2" t="str">
        <x:v>sale_assumed</x:v>
      </x:c>
      <x:c r="G5017" s="11" t="n">
        <x:v>2000</x:v>
      </x:c>
      <x:c r="H5017" s="12" t="n">
        <x:v>45000000000</x:v>
      </x:c>
      <x:c r="I5017" s="12" t="n">
        <x:v>22500000</x:v>
      </x:c>
      <x:c r="J5017" s="2" t="str">
        <x:v>total</x:v>
      </x:c>
      <x:c r="K5017" s="2" t="str">
        <x:v>top_level_area</x:v>
      </x:c>
      <x:c r="L5017" s="2" t="str">
        <x:v>dot_thousands_convention;property_type_inferred_from_title;transaction_assumed_sale_from_dataset_context;unknown_property_type</x:v>
      </x:c>
      <x:c r="M5017" s="10" t="n">
        <x:v>0</x:v>
      </x:c>
      <x:c r="N5017" s="10" t="n">
        <x:v>0</x:v>
      </x:c>
      <x:c r="O5017" s="2" t="str">
        <x:v>Tp Hồ Chí Minh|other_unknown</x:v>
      </x:c>
      <x:c r="P5017" s="10" t="n">
        <x:v>1</x:v>
      </x:c>
      <x:c r="Q5017" s="13" t="n">
        <x:f>IF(H5017="","",H5017/1000000000)</x:f>
        <x:v>45</x:v>
      </x:c>
      <x:c r="R5017" s="13" t="n">
        <x:f>IF(I5017="","",I5017/1000000)</x:f>
        <x:v>22.5</x:v>
      </x:c>
    </x:row>
    <x:row r="5018" ht="21" customHeight="1">
      <x:c r="A5018" s="10" t="n">
        <x:v>6627</x:v>
      </x:c>
      <x:c r="B5018" s="2" t="str">
        <x:v>bb50fab451d980689df3</x:v>
      </x:c>
      <x:c r="C5018" s="2" t="str">
        <x:v>Hà Nội</x:v>
      </x:c>
      <x:c r="D5018" s="2" t="str">
        <x:v>Quận Nam Từ Liêm</x:v>
      </x:c>
      <x:c r="E5018" s="2" t="str">
        <x:v>land</x:v>
      </x:c>
      <x:c r="F5018" s="2" t="str">
        <x:v>sale_assumed</x:v>
      </x:c>
      <x:c r="G5018" s="11" t="n">
        <x:v>45</x:v>
      </x:c>
      <x:c r="H5018" s="12" t="n">
        <x:v>2700000000</x:v>
      </x:c>
      <x:c r="I5018" s="12" t="n">
        <x:v>60000000</x:v>
      </x:c>
      <x:c r="J5018" s="2" t="str">
        <x:v>total</x:v>
      </x:c>
      <x:c r="K5018" s="2" t="str">
        <x:v>top_level_area</x:v>
      </x:c>
      <x:c r="L5018" s="2" t="str">
        <x:v>property_type_inferred_from_title;transaction_assumed_sale_from_dataset_context</x:v>
      </x:c>
      <x:c r="M5018" s="10" t="n">
        <x:v>0</x:v>
      </x:c>
      <x:c r="N5018" s="10" t="n">
        <x:v>0</x:v>
      </x:c>
      <x:c r="O5018" s="2" t="str">
        <x:v>Hà Nội|land</x:v>
      </x:c>
      <x:c r="P5018" s="10" t="n">
        <x:v>2</x:v>
      </x:c>
      <x:c r="Q5018" s="13" t="n">
        <x:f>IF(H5018="","",H5018/1000000000)</x:f>
        <x:v>2.7</x:v>
      </x:c>
      <x:c r="R5018" s="13" t="n">
        <x:f>IF(I5018="","",I5018/1000000)</x:f>
        <x:v>60</x:v>
      </x:c>
    </x:row>
    <x:row r="5019" ht="21" customHeight="1">
      <x:c r="A5019" s="10" t="n">
        <x:v>6628</x:v>
      </x:c>
      <x:c r="B5019" s="2" t="str">
        <x:v>0eef6dae44de2d396cc2</x:v>
      </x:c>
      <x:c r="C5019" s="2" t="str">
        <x:v>Tây Ninh</x:v>
      </x:c>
      <x:c r="D5019" s="2" t="str">
        <x:v>Huyện Trảng Bàng</x:v>
      </x:c>
      <x:c r="E5019" s="2" t="str">
        <x:v>land</x:v>
      </x:c>
      <x:c r="F5019" s="2" t="str">
        <x:v>sale_assumed</x:v>
      </x:c>
      <x:c r="G5019" s="11" t="n">
        <x:v>200</x:v>
      </x:c>
      <x:c r="H5019" s="12" t="n">
        <x:v>470000000</x:v>
      </x:c>
      <x:c r="I5019" s="12" t="n">
        <x:v>2350000</x:v>
      </x:c>
      <x:c r="J5019" s="2" t="str">
        <x:v>total</x:v>
      </x:c>
      <x:c r="K5019" s="2" t="str">
        <x:v>top_level_area</x:v>
      </x:c>
      <x:c r="L5019" s="2" t="str">
        <x:v>property_type_inferred_from_title;transaction_assumed_sale_from_dataset_context</x:v>
      </x:c>
      <x:c r="M5019" s="10" t="n">
        <x:v>0</x:v>
      </x:c>
      <x:c r="N5019" s="10" t="n">
        <x:v>0</x:v>
      </x:c>
      <x:c r="O5019" s="2" t="str">
        <x:v>land</x:v>
      </x:c>
      <x:c r="P5019" s="10" t="n">
        <x:v>1</x:v>
      </x:c>
      <x:c r="Q5019" s="13" t="n">
        <x:f>IF(H5019="","",H5019/1000000000)</x:f>
        <x:v>0.47</x:v>
      </x:c>
      <x:c r="R5019" s="13" t="n">
        <x:f>IF(I5019="","",I5019/1000000)</x:f>
        <x:v>2.35</x:v>
      </x:c>
    </x:row>
    <x:row r="5020" ht="21" customHeight="1">
      <x:c r="A5020" s="10" t="n">
        <x:v>6629</x:v>
      </x:c>
      <x:c r="B5020" s="2" t="str">
        <x:v>e93b7179a521727eec65</x:v>
      </x:c>
      <x:c r="C5020" s="2" t="str">
        <x:v>Hà Nội</x:v>
      </x:c>
      <x:c r="D5020" s="2" t="str">
        <x:v>Quận Hoàng Mai</x:v>
      </x:c>
      <x:c r="E5020" s="2" t="str">
        <x:v>other_unknown</x:v>
      </x:c>
      <x:c r="F5020" s="2" t="str">
        <x:v>sale</x:v>
      </x:c>
      <x:c r="G5020" s="11" t="n">
        <x:v>36</x:v>
      </x:c>
      <x:c r="H5020" s="12" t="n">
        <x:v>3360000000</x:v>
      </x:c>
      <x:c r="I5020" s="12" t="n">
        <x:v>93333333.33333333</x:v>
      </x:c>
      <x:c r="J5020" s="2" t="str">
        <x:v>total</x:v>
      </x:c>
      <x:c r="K5020" s="2" t="str">
        <x:v>top_level_area</x:v>
      </x:c>
      <x:c r="L5020" s="2" t="str">
        <x:v>property_type_inferred_from_title;unknown_property_type</x:v>
      </x:c>
      <x:c r="M5020" s="10" t="n">
        <x:v>0</x:v>
      </x:c>
      <x:c r="N5020" s="10" t="n">
        <x:v>0</x:v>
      </x:c>
      <x:c r="O5020" s="2" t="str">
        <x:v>Hà Nội|other_unknown</x:v>
      </x:c>
      <x:c r="P5020" s="10" t="n">
        <x:v>2</x:v>
      </x:c>
      <x:c r="Q5020" s="13" t="n">
        <x:f>IF(H5020="","",H5020/1000000000)</x:f>
        <x:v>3.36</x:v>
      </x:c>
      <x:c r="R5020" s="13" t="n">
        <x:f>IF(I5020="","",I5020/1000000)</x:f>
        <x:v>93.33333333333333</x:v>
      </x:c>
    </x:row>
    <x:row r="5021" ht="21" customHeight="1">
      <x:c r="A5021" s="10" t="n">
        <x:v>6630</x:v>
      </x:c>
      <x:c r="B5021" s="2" t="str">
        <x:v>e93d9139f2b7c4fee315</x:v>
      </x:c>
      <x:c r="C5021" s="2" t="str">
        <x:v>Tp Hồ Chí Minh</x:v>
      </x:c>
      <x:c r="D5021" s="2" t="str">
        <x:v>Quận 6</x:v>
      </x:c>
      <x:c r="E5021" s="2" t="str">
        <x:v>house</x:v>
      </x:c>
      <x:c r="F5021" s="2" t="str">
        <x:v>sale</x:v>
      </x:c>
      <x:c r="G5021" s="11" t="n">
        <x:v>50</x:v>
      </x:c>
      <x:c r="H5021" s="12" t="n">
        <x:v>1780000000</x:v>
      </x:c>
      <x:c r="I5021" s="12" t="n">
        <x:v>35600000</x:v>
      </x:c>
      <x:c r="J5021" s="2" t="str">
        <x:v>total</x:v>
      </x:c>
      <x:c r="K5021" s="2" t="str">
        <x:v>top_level_price_embedded_area</x:v>
      </x:c>
      <x:c r="L5021" s="2" t="str">
        <x:v>area_recovered_from_price_text;property_type_inferred_from_title</x:v>
      </x:c>
      <x:c r="M5021" s="10" t="n">
        <x:v>0</x:v>
      </x:c>
      <x:c r="N5021" s="10" t="n">
        <x:v>0</x:v>
      </x:c>
      <x:c r="O5021" s="2" t="str">
        <x:v>Tp Hồ Chí Minh|house</x:v>
      </x:c>
      <x:c r="P5021" s="10" t="n">
        <x:v>2</x:v>
      </x:c>
      <x:c r="Q5021" s="13" t="n">
        <x:f>IF(H5021="","",H5021/1000000000)</x:f>
        <x:v>1.78</x:v>
      </x:c>
      <x:c r="R5021" s="13" t="n">
        <x:f>IF(I5021="","",I5021/1000000)</x:f>
        <x:v>35.6</x:v>
      </x:c>
    </x:row>
    <x:row r="5022" ht="21" customHeight="1">
      <x:c r="A5022" s="10" t="n">
        <x:v>6631</x:v>
      </x:c>
      <x:c r="B5022" s="2" t="str">
        <x:v>604fd870dc5d0efb1397</x:v>
      </x:c>
      <x:c r="C5022" s="2" t="str">
        <x:v>Tp Hồ Chí Minh</x:v>
      </x:c>
      <x:c r="D5022" s="2" t="str">
        <x:v>Quận 7</x:v>
      </x:c>
      <x:c r="E5022" s="2" t="str">
        <x:v>house</x:v>
      </x:c>
      <x:c r="F5022" s="2" t="str">
        <x:v>sale</x:v>
      </x:c>
      <x:c r="G5022" s="11" t="n">
        <x:v>55</x:v>
      </x:c>
      <x:c r="H5022" s="12" t="n">
        <x:v>1190000000</x:v>
      </x:c>
      <x:c r="I5022" s="12" t="n">
        <x:v>21636363.636363637</x:v>
      </x:c>
      <x:c r="J5022" s="2" t="str">
        <x:v>total</x:v>
      </x:c>
      <x:c r="K5022" s="2" t="str">
        <x:v>top_level_area</x:v>
      </x:c>
      <x:c r="L5022" s="2" t="str">
        <x:v>property_type_inferred_from_title</x:v>
      </x:c>
      <x:c r="M5022" s="10" t="n">
        <x:v>0</x:v>
      </x:c>
      <x:c r="N5022" s="10" t="n">
        <x:v>0</x:v>
      </x:c>
      <x:c r="O5022" s="2" t="str">
        <x:v>Tp Hồ Chí Minh|house</x:v>
      </x:c>
      <x:c r="P5022" s="10" t="n">
        <x:v>2</x:v>
      </x:c>
      <x:c r="Q5022" s="13" t="n">
        <x:f>IF(H5022="","",H5022/1000000000)</x:f>
        <x:v>1.19</x:v>
      </x:c>
      <x:c r="R5022" s="13" t="n">
        <x:f>IF(I5022="","",I5022/1000000)</x:f>
        <x:v>21.636363636363637</x:v>
      </x:c>
    </x:row>
    <x:row r="5023" ht="21" customHeight="1">
      <x:c r="A5023" s="10" t="n">
        <x:v>6632</x:v>
      </x:c>
      <x:c r="B5023" s="2" t="str">
        <x:v>20614c83e9c24d9fb310</x:v>
      </x:c>
      <x:c r="C5023" s="2" t="str">
        <x:v>Tp Hồ Chí Minh</x:v>
      </x:c>
      <x:c r="D5023" s="2" t="str">
        <x:v>Quận 8</x:v>
      </x:c>
      <x:c r="E5023" s="2" t="str">
        <x:v>house</x:v>
      </x:c>
      <x:c r="F5023" s="2" t="str">
        <x:v>sale_assumed</x:v>
      </x:c>
      <x:c r="G5023" s="11" t="n">
        <x:v>33</x:v>
      </x:c>
      <x:c r="H5023" s="12" t="n">
        <x:v>3100000000</x:v>
      </x:c>
      <x:c r="I5023" s="12" t="n">
        <x:v>93939393.93939394</x:v>
      </x:c>
      <x:c r="J5023" s="2" t="str">
        <x:v>total</x:v>
      </x:c>
      <x:c r="K5023" s="2" t="str">
        <x:v>top_level_area</x:v>
      </x:c>
      <x:c r="L5023" s="2" t="str">
        <x:v>property_type_inferred_from_title;transaction_assumed_sale_from_dataset_context</x:v>
      </x:c>
      <x:c r="M5023" s="10" t="n">
        <x:v>0</x:v>
      </x:c>
      <x:c r="N5023" s="10" t="n">
        <x:v>0</x:v>
      </x:c>
      <x:c r="O5023" s="2" t="str">
        <x:v>Tp Hồ Chí Minh|house</x:v>
      </x:c>
      <x:c r="P5023" s="10" t="n">
        <x:v>2</x:v>
      </x:c>
      <x:c r="Q5023" s="13" t="n">
        <x:f>IF(H5023="","",H5023/1000000000)</x:f>
        <x:v>3.1</x:v>
      </x:c>
      <x:c r="R5023" s="13" t="n">
        <x:f>IF(I5023="","",I5023/1000000)</x:f>
        <x:v>93.93939393939394</x:v>
      </x:c>
    </x:row>
    <x:row r="5024" ht="21" customHeight="1">
      <x:c r="A5024" s="10" t="n">
        <x:v>6633</x:v>
      </x:c>
      <x:c r="B5024" s="2" t="str">
        <x:v>17f81bd45996d998429f</x:v>
      </x:c>
      <x:c r="C5024" s="2" t="str">
        <x:v>Tp Hồ Chí Minh</x:v>
      </x:c>
      <x:c r="D5024" s="2" t="str">
        <x:v>Quận Tân Bình</x:v>
      </x:c>
      <x:c r="E5024" s="2" t="str">
        <x:v>house</x:v>
      </x:c>
      <x:c r="F5024" s="2" t="str">
        <x:v>sale</x:v>
      </x:c>
      <x:c r="G5024" s="11" t="n">
        <x:v>50</x:v>
      </x:c>
      <x:c r="H5024" s="12" t="n">
        <x:v>3900000000</x:v>
      </x:c>
      <x:c r="I5024" s="12" t="n">
        <x:v>78000000</x:v>
      </x:c>
      <x:c r="J5024" s="2" t="str">
        <x:v>total</x:v>
      </x:c>
      <x:c r="K5024" s="2" t="str">
        <x:v>top_level_area</x:v>
      </x:c>
      <x:c r="L5024" s="2" t="str">
        <x:v>property_type_inferred_from_title</x:v>
      </x:c>
      <x:c r="M5024" s="10" t="n">
        <x:v>0</x:v>
      </x:c>
      <x:c r="N5024" s="10" t="n">
        <x:v>0</x:v>
      </x:c>
      <x:c r="O5024" s="2" t="str">
        <x:v>Tp Hồ Chí Minh|house</x:v>
      </x:c>
      <x:c r="P5024" s="10" t="n">
        <x:v>2</x:v>
      </x:c>
      <x:c r="Q5024" s="13" t="n">
        <x:f>IF(H5024="","",H5024/1000000000)</x:f>
        <x:v>3.9</x:v>
      </x:c>
      <x:c r="R5024" s="13" t="n">
        <x:f>IF(I5024="","",I5024/1000000)</x:f>
        <x:v>78</x:v>
      </x:c>
    </x:row>
    <x:row r="5025" ht="21" customHeight="1">
      <x:c r="A5025" s="10" t="n">
        <x:v>6634</x:v>
      </x:c>
      <x:c r="B5025" s="2" t="str">
        <x:v>c942e94e2a3c425a3f88</x:v>
      </x:c>
      <x:c r="C5025" s="2" t="str">
        <x:v>Hà Nội</x:v>
      </x:c>
      <x:c r="D5025" s="2" t="str">
        <x:v>Quận Hoàng Mai</x:v>
      </x:c>
      <x:c r="E5025" s="2" t="str">
        <x:v>other_unknown</x:v>
      </x:c>
      <x:c r="F5025" s="2" t="str">
        <x:v>sale</x:v>
      </x:c>
      <x:c r="G5025" s="11" t="n">
        <x:v>35</x:v>
      </x:c>
      <x:c r="H5025" s="12" t="n">
        <x:v>3340000000</x:v>
      </x:c>
      <x:c r="I5025" s="12" t="n">
        <x:v>95428571.42857143</x:v>
      </x:c>
      <x:c r="J5025" s="2" t="str">
        <x:v>total</x:v>
      </x:c>
      <x:c r="K5025" s="2" t="str">
        <x:v>top_level_area</x:v>
      </x:c>
      <x:c r="L5025" s="2" t="str">
        <x:v>property_type_inferred_from_title;unknown_property_type</x:v>
      </x:c>
      <x:c r="M5025" s="10" t="n">
        <x:v>0</x:v>
      </x:c>
      <x:c r="N5025" s="10" t="n">
        <x:v>0</x:v>
      </x:c>
      <x:c r="O5025" s="2" t="str">
        <x:v>Hà Nội|other_unknown</x:v>
      </x:c>
      <x:c r="P5025" s="10" t="n">
        <x:v>2</x:v>
      </x:c>
      <x:c r="Q5025" s="13" t="n">
        <x:f>IF(H5025="","",H5025/1000000000)</x:f>
        <x:v>3.34</x:v>
      </x:c>
      <x:c r="R5025" s="13" t="n">
        <x:f>IF(I5025="","",I5025/1000000)</x:f>
        <x:v>95.42857142857143</x:v>
      </x:c>
    </x:row>
    <x:row r="5026" ht="21" customHeight="1">
      <x:c r="A5026" s="10" t="n">
        <x:v>6635</x:v>
      </x:c>
      <x:c r="B5026" s="2" t="str">
        <x:v>53a9d0c302166a207cb8</x:v>
      </x:c>
      <x:c r="C5026" s="2" t="str">
        <x:v>Hà Nội</x:v>
      </x:c>
      <x:c r="D5026" s="2" t="str">
        <x:v>Quận Cầu Giấy</x:v>
      </x:c>
      <x:c r="E5026" s="2" t="str">
        <x:v>house</x:v>
      </x:c>
      <x:c r="F5026" s="2" t="str">
        <x:v>sale_assumed</x:v>
      </x:c>
      <x:c r="G5026" s="11" t="n">
        <x:v>26</x:v>
      </x:c>
      <x:c r="H5026" s="12" t="n">
        <x:v>2550000000</x:v>
      </x:c>
      <x:c r="I5026" s="12" t="n">
        <x:v>98076923.07692307</x:v>
      </x:c>
      <x:c r="J5026" s="2" t="str">
        <x:v>total</x:v>
      </x:c>
      <x:c r="K5026" s="2" t="str">
        <x:v>top_level_area</x:v>
      </x:c>
      <x:c r="L5026" s="2" t="str">
        <x:v>property_type_inferred_from_title;transaction_assumed_sale_from_dataset_context</x:v>
      </x:c>
      <x:c r="M5026" s="10" t="n">
        <x:v>0</x:v>
      </x:c>
      <x:c r="N5026" s="10" t="n">
        <x:v>0</x:v>
      </x:c>
      <x:c r="O5026" s="2" t="str">
        <x:v>Hà Nội|house</x:v>
      </x:c>
      <x:c r="P5026" s="10" t="n">
        <x:v>2</x:v>
      </x:c>
      <x:c r="Q5026" s="13" t="n">
        <x:f>IF(H5026="","",H5026/1000000000)</x:f>
        <x:v>2.55</x:v>
      </x:c>
      <x:c r="R5026" s="13" t="n">
        <x:f>IF(I5026="","",I5026/1000000)</x:f>
        <x:v>98.07692307692307</x:v>
      </x:c>
    </x:row>
    <x:row r="5027" ht="21" customHeight="1">
      <x:c r="A5027" s="10" t="n">
        <x:v>6636</x:v>
      </x:c>
      <x:c r="B5027" s="2" t="str">
        <x:v>9829032d14e57b0b5822</x:v>
      </x:c>
      <x:c r="C5027" s="2" t="str">
        <x:v>Tp Hồ Chí Minh</x:v>
      </x:c>
      <x:c r="D5027" s="2" t="str">
        <x:v>Quận Bình Tân</x:v>
      </x:c>
      <x:c r="E5027" s="2" t="str">
        <x:v>house</x:v>
      </x:c>
      <x:c r="F5027" s="2" t="str">
        <x:v>sale</x:v>
      </x:c>
      <x:c r="G5027" s="11" t="n">
        <x:v>79</x:v>
      </x:c>
      <x:c r="H5027" s="12" t="n">
        <x:v>12500000000</x:v>
      </x:c>
      <x:c r="I5027" s="12" t="n">
        <x:v>158227848.10126582</x:v>
      </x:c>
      <x:c r="J5027" s="2" t="str">
        <x:v>total</x:v>
      </x:c>
      <x:c r="K5027" s="2" t="str">
        <x:v>top_level_area</x:v>
      </x:c>
      <x:c r="L5027" s="2" t="str">
        <x:v>property_type_inferred_from_title</x:v>
      </x:c>
      <x:c r="M5027" s="10" t="n">
        <x:v>0</x:v>
      </x:c>
      <x:c r="N5027" s="10" t="n">
        <x:v>0</x:v>
      </x:c>
      <x:c r="O5027" s="2" t="str">
        <x:v>Tp Hồ Chí Minh|house</x:v>
      </x:c>
      <x:c r="P5027" s="10" t="n">
        <x:v>2</x:v>
      </x:c>
      <x:c r="Q5027" s="13" t="n">
        <x:f>IF(H5027="","",H5027/1000000000)</x:f>
        <x:v>12.5</x:v>
      </x:c>
      <x:c r="R5027" s="13" t="n">
        <x:f>IF(I5027="","",I5027/1000000)</x:f>
        <x:v>158.2278481012658</x:v>
      </x:c>
    </x:row>
    <x:row r="5028" ht="21" customHeight="1">
      <x:c r="A5028" s="10" t="n">
        <x:v>6637</x:v>
      </x:c>
      <x:c r="B5028" s="2" t="str">
        <x:v>aec194528d40f876a10b</x:v>
      </x:c>
      <x:c r="C5028" s="2" t="str">
        <x:v>Hà Nội</x:v>
      </x:c>
      <x:c r="D5028" s="2" t="str">
        <x:v>Quận Hoàng Mai</x:v>
      </x:c>
      <x:c r="E5028" s="2" t="str">
        <x:v>other_unknown</x:v>
      </x:c>
      <x:c r="F5028" s="2" t="str">
        <x:v>sale</x:v>
      </x:c>
      <x:c r="G5028" s="11" t="n">
        <x:v>37</x:v>
      </x:c>
      <x:c r="H5028" s="12" t="n">
        <x:v>3400000000</x:v>
      </x:c>
      <x:c r="I5028" s="12" t="n">
        <x:v>91891891.8918919</x:v>
      </x:c>
      <x:c r="J5028" s="2" t="str">
        <x:v>total</x:v>
      </x:c>
      <x:c r="K5028" s="2" t="str">
        <x:v>top_level_area</x:v>
      </x:c>
      <x:c r="L5028" s="2" t="str">
        <x:v>property_type_inferred_from_title;unknown_property_type</x:v>
      </x:c>
      <x:c r="M5028" s="10" t="n">
        <x:v>0</x:v>
      </x:c>
      <x:c r="N5028" s="10" t="n">
        <x:v>0</x:v>
      </x:c>
      <x:c r="O5028" s="2" t="str">
        <x:v>Hà Nội|other_unknown</x:v>
      </x:c>
      <x:c r="P5028" s="10" t="n">
        <x:v>2</x:v>
      </x:c>
      <x:c r="Q5028" s="13" t="n">
        <x:f>IF(H5028="","",H5028/1000000000)</x:f>
        <x:v>3.4</x:v>
      </x:c>
      <x:c r="R5028" s="13" t="n">
        <x:f>IF(I5028="","",I5028/1000000)</x:f>
        <x:v>91.8918918918919</x:v>
      </x:c>
    </x:row>
    <x:row r="5029" ht="21" customHeight="1">
      <x:c r="A5029" s="10" t="n">
        <x:v>6638</x:v>
      </x:c>
      <x:c r="B5029" s="2" t="str">
        <x:v>c727b0bbdae8378a5262</x:v>
      </x:c>
      <x:c r="C5029" s="2" t="str">
        <x:v>Cần Thơ</x:v>
      </x:c>
      <x:c r="D5029" s="2" t="str">
        <x:v>Quận Ninh Kiều</x:v>
      </x:c>
      <x:c r="E5029" s="2" t="str">
        <x:v>house</x:v>
      </x:c>
      <x:c r="F5029" s="2" t="str">
        <x:v>sale</x:v>
      </x:c>
      <x:c r="G5029" s="11" t="n">
        <x:v>52</x:v>
      </x:c>
      <x:c r="H5029" s="12" t="n">
        <x:v>2190000000</x:v>
      </x:c>
      <x:c r="I5029" s="12" t="n">
        <x:v>42115384.615384616</x:v>
      </x:c>
      <x:c r="J5029" s="2" t="str">
        <x:v>total</x:v>
      </x:c>
      <x:c r="K5029" s="2" t="str">
        <x:v>top_level_area</x:v>
      </x:c>
      <x:c r="L5029" s="2" t="str">
        <x:v>property_type_inferred_from_title</x:v>
      </x:c>
      <x:c r="M5029" s="10" t="n">
        <x:v>0</x:v>
      </x:c>
      <x:c r="N5029" s="10" t="n">
        <x:v>0</x:v>
      </x:c>
      <x:c r="O5029" s="2" t="str">
        <x:v>Cần Thơ|house</x:v>
      </x:c>
      <x:c r="P5029" s="10" t="n">
        <x:v>2</x:v>
      </x:c>
      <x:c r="Q5029" s="13" t="n">
        <x:f>IF(H5029="","",H5029/1000000000)</x:f>
        <x:v>2.19</x:v>
      </x:c>
      <x:c r="R5029" s="13" t="n">
        <x:f>IF(I5029="","",I5029/1000000)</x:f>
        <x:v>42.11538461538461</x:v>
      </x:c>
    </x:row>
    <x:row r="5030" ht="21" customHeight="1">
      <x:c r="A5030" s="10" t="n">
        <x:v>6639</x:v>
      </x:c>
      <x:c r="B5030" s="2" t="str">
        <x:v>6b662159d0b67557cb48</x:v>
      </x:c>
      <x:c r="C5030" s="2" t="str">
        <x:v>Tp Hồ Chí Minh</x:v>
      </x:c>
      <x:c r="D5030" s="2" t="str">
        <x:v>Quận 12</x:v>
      </x:c>
      <x:c r="E5030" s="2" t="str">
        <x:v>apartment</x:v>
      </x:c>
      <x:c r="F5030" s="2" t="str">
        <x:v>sale_assumed</x:v>
      </x:c>
      <x:c r="G5030" s="11" t="n">
        <x:v>68</x:v>
      </x:c>
      <x:c r="H5030" s="12" t="n">
        <x:v>1650000000</x:v>
      </x:c>
      <x:c r="I5030" s="12" t="n">
        <x:v>24264705.88235294</x:v>
      </x:c>
      <x:c r="J5030" s="2" t="str">
        <x:v>total</x:v>
      </x:c>
      <x:c r="K5030" s="2" t="str">
        <x:v>top_level_area</x:v>
      </x:c>
      <x:c r="L5030" s="2" t="str">
        <x:v>property_type_inferred_from_title;transaction_assumed_sale_from_dataset_context</x:v>
      </x:c>
      <x:c r="M5030" s="10" t="n">
        <x:v>0</x:v>
      </x:c>
      <x:c r="N5030" s="10" t="n">
        <x:v>0</x:v>
      </x:c>
      <x:c r="O5030" s="2" t="str">
        <x:v>Tp Hồ Chí Minh|apartment</x:v>
      </x:c>
      <x:c r="P5030" s="10" t="n">
        <x:v>2</x:v>
      </x:c>
      <x:c r="Q5030" s="13" t="n">
        <x:f>IF(H5030="","",H5030/1000000000)</x:f>
        <x:v>1.65</x:v>
      </x:c>
      <x:c r="R5030" s="13" t="n">
        <x:f>IF(I5030="","",I5030/1000000)</x:f>
        <x:v>24.264705882352942</x:v>
      </x:c>
    </x:row>
    <x:row r="5031" ht="21" customHeight="1">
      <x:c r="A5031" s="10" t="n">
        <x:v>6640</x:v>
      </x:c>
      <x:c r="B5031" s="2" t="str">
        <x:v>3293902f31440635dbdf</x:v>
      </x:c>
      <x:c r="C5031" s="2" t="str">
        <x:v>Đà Nẵng</x:v>
      </x:c>
      <x:c r="D5031" s="2" t="str">
        <x:v>Quận Sơn Trà</x:v>
      </x:c>
      <x:c r="E5031" s="2" t="str">
        <x:v>other_unknown</x:v>
      </x:c>
      <x:c r="F5031" s="2" t="str">
        <x:v>sale</x:v>
      </x:c>
      <x:c r="G5031" s="11" t="n">
        <x:v>75</x:v>
      </x:c>
      <x:c r="H5031" s="12" t="n">
        <x:v>5000000000</x:v>
      </x:c>
      <x:c r="I5031" s="12" t="n">
        <x:v>66666666.666666664</x:v>
      </x:c>
      <x:c r="J5031" s="2" t="str">
        <x:v>total</x:v>
      </x:c>
      <x:c r="K5031" s="2" t="str">
        <x:v>top_level_area</x:v>
      </x:c>
      <x:c r="L5031" s="2" t="str">
        <x:v>property_type_inferred_from_title;unknown_property_type</x:v>
      </x:c>
      <x:c r="M5031" s="10" t="n">
        <x:v>0</x:v>
      </x:c>
      <x:c r="N5031" s="10" t="n">
        <x:v>0</x:v>
      </x:c>
      <x:c r="O5031" s="2" t="str">
        <x:v>Đà Nẵng|other_unknown</x:v>
      </x:c>
      <x:c r="P5031" s="10" t="n">
        <x:v>2</x:v>
      </x:c>
      <x:c r="Q5031" s="13" t="n">
        <x:f>IF(H5031="","",H5031/1000000000)</x:f>
        <x:v>5</x:v>
      </x:c>
      <x:c r="R5031" s="13" t="n">
        <x:f>IF(I5031="","",I5031/1000000)</x:f>
        <x:v>66.66666666666666</x:v>
      </x:c>
    </x:row>
    <x:row r="5032" ht="21" customHeight="1">
      <x:c r="A5032" s="10" t="n">
        <x:v>6641</x:v>
      </x:c>
      <x:c r="B5032" s="2" t="str">
        <x:v>79c630a9788370b45741</x:v>
      </x:c>
      <x:c r="C5032" s="2" t="str">
        <x:v>Hà Nội</x:v>
      </x:c>
      <x:c r="D5032" s="2" t="str">
        <x:v>Quận Hoàng Mai</x:v>
      </x:c>
      <x:c r="E5032" s="2" t="str">
        <x:v>other_unknown</x:v>
      </x:c>
      <x:c r="F5032" s="2" t="str">
        <x:v>sale</x:v>
      </x:c>
      <x:c r="G5032" s="11" t="n">
        <x:v>35</x:v>
      </x:c>
      <x:c r="H5032" s="12" t="n">
        <x:v>3320000000</x:v>
      </x:c>
      <x:c r="I5032" s="12" t="n">
        <x:v>94857142.85714285</x:v>
      </x:c>
      <x:c r="J5032" s="2" t="str">
        <x:v>total</x:v>
      </x:c>
      <x:c r="K5032" s="2" t="str">
        <x:v>top_level_area</x:v>
      </x:c>
      <x:c r="L5032" s="2" t="str">
        <x:v>property_type_inferred_from_title;unknown_property_type</x:v>
      </x:c>
      <x:c r="M5032" s="10" t="n">
        <x:v>0</x:v>
      </x:c>
      <x:c r="N5032" s="10" t="n">
        <x:v>0</x:v>
      </x:c>
      <x:c r="O5032" s="2" t="str">
        <x:v>Hà Nội|other_unknown</x:v>
      </x:c>
      <x:c r="P5032" s="10" t="n">
        <x:v>2</x:v>
      </x:c>
      <x:c r="Q5032" s="13" t="n">
        <x:f>IF(H5032="","",H5032/1000000000)</x:f>
        <x:v>3.32</x:v>
      </x:c>
      <x:c r="R5032" s="13" t="n">
        <x:f>IF(I5032="","",I5032/1000000)</x:f>
        <x:v>94.85714285714285</x:v>
      </x:c>
    </x:row>
    <x:row r="5033" ht="21" customHeight="1">
      <x:c r="A5033" s="10" t="n">
        <x:v>6642</x:v>
      </x:c>
      <x:c r="B5033" s="2" t="str">
        <x:v>1f522d9dd0550a7b7446</x:v>
      </x:c>
      <x:c r="C5033" s="2" t="str">
        <x:v>Hà Nội</x:v>
      </x:c>
      <x:c r="D5033" s="2" t="str">
        <x:v>Quận Hà Đông</x:v>
      </x:c>
      <x:c r="E5033" s="2" t="str">
        <x:v>house</x:v>
      </x:c>
      <x:c r="F5033" s="2" t="str">
        <x:v>sale_assumed</x:v>
      </x:c>
      <x:c r="G5033" s="11" t="n">
        <x:v>40</x:v>
      </x:c>
      <x:c r="H5033" s="12" t="n">
        <x:v>1450000000</x:v>
      </x:c>
      <x:c r="I5033" s="12" t="n">
        <x:v>36250000</x:v>
      </x:c>
      <x:c r="J5033" s="2" t="str">
        <x:v>total</x:v>
      </x:c>
      <x:c r="K5033" s="2" t="str">
        <x:v>top_level_area</x:v>
      </x:c>
      <x:c r="L5033" s="2" t="str">
        <x:v>property_type_inferred_from_title;transaction_assumed_sale_from_dataset_context</x:v>
      </x:c>
      <x:c r="M5033" s="10" t="n">
        <x:v>0</x:v>
      </x:c>
      <x:c r="N5033" s="10" t="n">
        <x:v>0</x:v>
      </x:c>
      <x:c r="O5033" s="2" t="str">
        <x:v>Hà Nội|house</x:v>
      </x:c>
      <x:c r="P5033" s="10" t="n">
        <x:v>2</x:v>
      </x:c>
      <x:c r="Q5033" s="13" t="n">
        <x:f>IF(H5033="","",H5033/1000000000)</x:f>
        <x:v>1.45</x:v>
      </x:c>
      <x:c r="R5033" s="13" t="n">
        <x:f>IF(I5033="","",I5033/1000000)</x:f>
        <x:v>36.25</x:v>
      </x:c>
    </x:row>
    <x:row r="5034" ht="21" customHeight="1">
      <x:c r="A5034" s="10" t="n">
        <x:v>6646</x:v>
      </x:c>
      <x:c r="B5034" s="2" t="str">
        <x:v>49eec59961614cd51ca1</x:v>
      </x:c>
      <x:c r="C5034" s="2" t="str">
        <x:v>Đồng Nai</x:v>
      </x:c>
      <x:c r="D5034" s="2" t="str">
        <x:v>Huyện Trảng Bom</x:v>
      </x:c>
      <x:c r="E5034" s="2" t="str">
        <x:v>land</x:v>
      </x:c>
      <x:c r="F5034" s="2" t="str">
        <x:v>sale</x:v>
      </x:c>
      <x:c r="G5034" s="11" t="n">
        <x:v>100</x:v>
      </x:c>
      <x:c r="H5034" s="12" t="n">
        <x:v>175000000</x:v>
      </x:c>
      <x:c r="I5034" s="12" t="n">
        <x:v>1750000</x:v>
      </x:c>
      <x:c r="J5034" s="2" t="str">
        <x:v>total</x:v>
      </x:c>
      <x:c r="K5034" s="2" t="str">
        <x:v>top_level_area</x:v>
      </x:c>
      <x:c r="L5034" s="2" t="str">
        <x:v>property_type_inferred_from_title</x:v>
      </x:c>
      <x:c r="M5034" s="10" t="n">
        <x:v>0</x:v>
      </x:c>
      <x:c r="N5034" s="10" t="n">
        <x:v>0</x:v>
      </x:c>
      <x:c r="O5034" s="2" t="str">
        <x:v>Đồng Nai|land</x:v>
      </x:c>
      <x:c r="P5034" s="10" t="n">
        <x:v>1</x:v>
      </x:c>
      <x:c r="Q5034" s="13" t="n">
        <x:f>IF(H5034="","",H5034/1000000000)</x:f>
        <x:v>0.175</x:v>
      </x:c>
      <x:c r="R5034" s="13" t="n">
        <x:f>IF(I5034="","",I5034/1000000)</x:f>
        <x:v>1.75</x:v>
      </x:c>
    </x:row>
    <x:row r="5035" ht="21" customHeight="1">
      <x:c r="A5035" s="10" t="n">
        <x:v>6647</x:v>
      </x:c>
      <x:c r="B5035" s="2" t="str">
        <x:v>16830af93e9d52f723fc</x:v>
      </x:c>
      <x:c r="C5035" s="2" t="str">
        <x:v>Tp Hồ Chí Minh</x:v>
      </x:c>
      <x:c r="D5035" s="2" t="str">
        <x:v>Quận 11</x:v>
      </x:c>
      <x:c r="E5035" s="2" t="str">
        <x:v>house</x:v>
      </x:c>
      <x:c r="F5035" s="2" t="str">
        <x:v>sale</x:v>
      </x:c>
      <x:c r="G5035" s="11" t="n">
        <x:v>68</x:v>
      </x:c>
      <x:c r="H5035" s="12" t="n">
        <x:v>1180000000</x:v>
      </x:c>
      <x:c r="I5035" s="12" t="n">
        <x:v>17352941.17647059</x:v>
      </x:c>
      <x:c r="J5035" s="2" t="str">
        <x:v>total</x:v>
      </x:c>
      <x:c r="K5035" s="2" t="str">
        <x:v>top_level_area</x:v>
      </x:c>
      <x:c r="L5035" s="2" t="str">
        <x:v>property_type_inferred_from_title</x:v>
      </x:c>
      <x:c r="M5035" s="10" t="n">
        <x:v>0</x:v>
      </x:c>
      <x:c r="N5035" s="10" t="n">
        <x:v>0</x:v>
      </x:c>
      <x:c r="O5035" s="2" t="str">
        <x:v>Tp Hồ Chí Minh|house</x:v>
      </x:c>
      <x:c r="P5035" s="10" t="n">
        <x:v>2</x:v>
      </x:c>
      <x:c r="Q5035" s="13" t="n">
        <x:f>IF(H5035="","",H5035/1000000000)</x:f>
        <x:v>1.18</x:v>
      </x:c>
      <x:c r="R5035" s="13" t="n">
        <x:f>IF(I5035="","",I5035/1000000)</x:f>
        <x:v>17.35294117647059</x:v>
      </x:c>
    </x:row>
    <x:row r="5036" ht="21" customHeight="1">
      <x:c r="A5036" s="10" t="n">
        <x:v>6648</x:v>
      </x:c>
      <x:c r="B5036" s="2" t="str">
        <x:v>e83d5b87aeead4ed1649</x:v>
      </x:c>
      <x:c r="C5036" s="2" t="str">
        <x:v>Tp Hồ Chí Minh</x:v>
      </x:c>
      <x:c r="D5036" s="2" t="str">
        <x:v>Quận 9</x:v>
      </x:c>
      <x:c r="E5036" s="2" t="str">
        <x:v>land</x:v>
      </x:c>
      <x:c r="F5036" s="2" t="str">
        <x:v>sale_assumed</x:v>
      </x:c>
      <x:c r="G5036" s="11" t="n">
        <x:v>70</x:v>
      </x:c>
      <x:c r="H5036" s="12" t="n">
        <x:v>820000000</x:v>
      </x:c>
      <x:c r="I5036" s="12" t="n">
        <x:v>11714285.714285715</x:v>
      </x:c>
      <x:c r="J5036" s="2" t="str">
        <x:v>total</x:v>
      </x:c>
      <x:c r="K5036" s="2" t="str">
        <x:v>top_level_area</x:v>
      </x:c>
      <x:c r="L5036" s="2" t="str">
        <x:v>property_type_inferred_from_title;transaction_assumed_sale_from_dataset_context</x:v>
      </x:c>
      <x:c r="M5036" s="10" t="n">
        <x:v>0</x:v>
      </x:c>
      <x:c r="N5036" s="10" t="n">
        <x:v>0</x:v>
      </x:c>
      <x:c r="O5036" s="2" t="str">
        <x:v>Tp Hồ Chí Minh|land</x:v>
      </x:c>
      <x:c r="P5036" s="10" t="n">
        <x:v>2</x:v>
      </x:c>
      <x:c r="Q5036" s="13" t="n">
        <x:f>IF(H5036="","",H5036/1000000000)</x:f>
        <x:v>0.82</x:v>
      </x:c>
      <x:c r="R5036" s="13" t="n">
        <x:f>IF(I5036="","",I5036/1000000)</x:f>
        <x:v>11.714285714285715</x:v>
      </x:c>
    </x:row>
    <x:row r="5037" ht="21" customHeight="1">
      <x:c r="A5037" s="10" t="n">
        <x:v>6649</x:v>
      </x:c>
      <x:c r="B5037" s="2" t="str">
        <x:v>40b0058920955305694d</x:v>
      </x:c>
      <x:c r="C5037" s="2" t="str">
        <x:v>Tp Hồ Chí Minh</x:v>
      </x:c>
      <x:c r="D5037" s="2" t="str">
        <x:v>Quận Bình Thạnh</x:v>
      </x:c>
      <x:c r="E5037" s="2" t="str">
        <x:v>house</x:v>
      </x:c>
      <x:c r="F5037" s="2" t="str">
        <x:v>sale</x:v>
      </x:c>
      <x:c r="G5037" s="11" t="n">
        <x:v>52</x:v>
      </x:c>
      <x:c r="H5037" s="12" t="n">
        <x:v>1350000000</x:v>
      </x:c>
      <x:c r="I5037" s="12" t="n">
        <x:v>25961538.46153846</x:v>
      </x:c>
      <x:c r="J5037" s="2" t="str">
        <x:v>total</x:v>
      </x:c>
      <x:c r="K5037" s="2" t="str">
        <x:v>top_level_area</x:v>
      </x:c>
      <x:c r="L5037" s="2" t="str">
        <x:v>property_type_inferred_from_title</x:v>
      </x:c>
      <x:c r="M5037" s="10" t="n">
        <x:v>0</x:v>
      </x:c>
      <x:c r="N5037" s="10" t="n">
        <x:v>0</x:v>
      </x:c>
      <x:c r="O5037" s="2" t="str">
        <x:v>Tp Hồ Chí Minh|house</x:v>
      </x:c>
      <x:c r="P5037" s="10" t="n">
        <x:v>2</x:v>
      </x:c>
      <x:c r="Q5037" s="13" t="n">
        <x:f>IF(H5037="","",H5037/1000000000)</x:f>
        <x:v>1.35</x:v>
      </x:c>
      <x:c r="R5037" s="13" t="n">
        <x:f>IF(I5037="","",I5037/1000000)</x:f>
        <x:v>25.96153846153846</x:v>
      </x:c>
    </x:row>
    <x:row r="5038" ht="21" customHeight="1">
      <x:c r="A5038" s="10" t="n">
        <x:v>6650</x:v>
      </x:c>
      <x:c r="B5038" s="2" t="str">
        <x:v>23909c15aecbb6fb21a3</x:v>
      </x:c>
      <x:c r="C5038" s="2" t="str">
        <x:v>Tp Hồ Chí Minh</x:v>
      </x:c>
      <x:c r="D5038" s="2" t="str">
        <x:v>Quận Bình Thạnh</x:v>
      </x:c>
      <x:c r="E5038" s="2" t="str">
        <x:v>house</x:v>
      </x:c>
      <x:c r="F5038" s="2" t="str">
        <x:v>sale_assumed</x:v>
      </x:c>
      <x:c r="G5038" s="11" t="n">
        <x:v>53</x:v>
      </x:c>
      <x:c r="H5038" s="12" t="n">
        <x:v>5700000000</x:v>
      </x:c>
      <x:c r="I5038" s="12" t="n">
        <x:v>107547169.81132075</x:v>
      </x:c>
      <x:c r="J5038" s="2" t="str">
        <x:v>total</x:v>
      </x:c>
      <x:c r="K5038" s="2" t="str">
        <x:v>top_level_area</x:v>
      </x:c>
      <x:c r="L5038" s="2" t="str">
        <x:v>property_type_inferred_from_title;transaction_assumed_sale_from_dataset_context</x:v>
      </x:c>
      <x:c r="M5038" s="10" t="n">
        <x:v>0</x:v>
      </x:c>
      <x:c r="N5038" s="10" t="n">
        <x:v>0</x:v>
      </x:c>
      <x:c r="O5038" s="2" t="str">
        <x:v>Tp Hồ Chí Minh|house</x:v>
      </x:c>
      <x:c r="P5038" s="10" t="n">
        <x:v>2</x:v>
      </x:c>
      <x:c r="Q5038" s="13" t="n">
        <x:f>IF(H5038="","",H5038/1000000000)</x:f>
        <x:v>5.7</x:v>
      </x:c>
      <x:c r="R5038" s="13" t="n">
        <x:f>IF(I5038="","",I5038/1000000)</x:f>
        <x:v>107.54716981132076</x:v>
      </x:c>
    </x:row>
    <x:row r="5039" ht="21" customHeight="1">
      <x:c r="A5039" s="10" t="n">
        <x:v>6651</x:v>
      </x:c>
      <x:c r="B5039" s="2" t="str">
        <x:v>edf2b6e8cb8fa181ed44</x:v>
      </x:c>
      <x:c r="C5039" s="2" t="str">
        <x:v>Cần Thơ</x:v>
      </x:c>
      <x:c r="D5039" s="2" t="str">
        <x:v>Quận Ninh Kiều</x:v>
      </x:c>
      <x:c r="E5039" s="2" t="str">
        <x:v>land</x:v>
      </x:c>
      <x:c r="F5039" s="2" t="str">
        <x:v>sale</x:v>
      </x:c>
      <x:c r="G5039" s="11" t="n">
        <x:v>52</x:v>
      </x:c>
      <x:c r="H5039" s="12" t="n">
        <x:v>1850000000</x:v>
      </x:c>
      <x:c r="I5039" s="12" t="n">
        <x:v>35576923.07692308</x:v>
      </x:c>
      <x:c r="J5039" s="2" t="str">
        <x:v>total</x:v>
      </x:c>
      <x:c r="K5039" s="2" t="str">
        <x:v>top_level_area</x:v>
      </x:c>
      <x:c r="L5039" s="2" t="str">
        <x:v>property_type_inferred_from_title</x:v>
      </x:c>
      <x:c r="M5039" s="10" t="n">
        <x:v>0</x:v>
      </x:c>
      <x:c r="N5039" s="10" t="n">
        <x:v>0</x:v>
      </x:c>
      <x:c r="O5039" s="2" t="str">
        <x:v>Cần Thơ|land</x:v>
      </x:c>
      <x:c r="P5039" s="10" t="n">
        <x:v>2</x:v>
      </x:c>
      <x:c r="Q5039" s="13" t="n">
        <x:f>IF(H5039="","",H5039/1000000000)</x:f>
        <x:v>1.85</x:v>
      </x:c>
      <x:c r="R5039" s="13" t="n">
        <x:f>IF(I5039="","",I5039/1000000)</x:f>
        <x:v>35.57692307692308</x:v>
      </x:c>
    </x:row>
    <x:row r="5040" ht="21" customHeight="1">
      <x:c r="A5040" s="10" t="n">
        <x:v>6652</x:v>
      </x:c>
      <x:c r="B5040" s="2" t="str">
        <x:v>860d4502d194b8ba8013</x:v>
      </x:c>
      <x:c r="C5040" s="2" t="str">
        <x:v>Hà Nội</x:v>
      </x:c>
      <x:c r="D5040" s="2" t="str">
        <x:v>Quận Hoàng Mai</x:v>
      </x:c>
      <x:c r="E5040" s="2" t="str">
        <x:v>other_unknown</x:v>
      </x:c>
      <x:c r="F5040" s="2" t="str">
        <x:v>sale</x:v>
      </x:c>
      <x:c r="G5040" s="11" t="n">
        <x:v>38</x:v>
      </x:c>
      <x:c r="H5040" s="12" t="n">
        <x:v>4300000000</x:v>
      </x:c>
      <x:c r="I5040" s="12" t="n">
        <x:v>113157894.73684211</x:v>
      </x:c>
      <x:c r="J5040" s="2" t="str">
        <x:v>total</x:v>
      </x:c>
      <x:c r="K5040" s="2" t="str">
        <x:v>top_level_area</x:v>
      </x:c>
      <x:c r="L5040" s="2" t="str">
        <x:v>property_type_inferred_from_title;unknown_property_type</x:v>
      </x:c>
      <x:c r="M5040" s="10" t="n">
        <x:v>0</x:v>
      </x:c>
      <x:c r="N5040" s="10" t="n">
        <x:v>0</x:v>
      </x:c>
      <x:c r="O5040" s="2" t="str">
        <x:v>Hà Nội|other_unknown</x:v>
      </x:c>
      <x:c r="P5040" s="10" t="n">
        <x:v>2</x:v>
      </x:c>
      <x:c r="Q5040" s="13" t="n">
        <x:f>IF(H5040="","",H5040/1000000000)</x:f>
        <x:v>4.3</x:v>
      </x:c>
      <x:c r="R5040" s="13" t="n">
        <x:f>IF(I5040="","",I5040/1000000)</x:f>
        <x:v>113.15789473684211</x:v>
      </x:c>
    </x:row>
    <x:row r="5041" ht="21" customHeight="1">
      <x:c r="A5041" s="10" t="n">
        <x:v>6653</x:v>
      </x:c>
      <x:c r="B5041" s="2" t="str">
        <x:v>593f402cd82c485e5bb8</x:v>
      </x:c>
      <x:c r="C5041" s="2" t="str">
        <x:v>Tp Hồ Chí Minh</x:v>
      </x:c>
      <x:c r="D5041" s="2" t="str">
        <x:v>Quận 9</x:v>
      </x:c>
      <x:c r="E5041" s="2" t="str">
        <x:v>land</x:v>
      </x:c>
      <x:c r="F5041" s="2" t="str">
        <x:v>sale</x:v>
      </x:c>
      <x:c r="G5041" s="11" t="n">
        <x:v>56</x:v>
      </x:c>
      <x:c r="H5041" s="12" t="n">
        <x:v>3000000000</x:v>
      </x:c>
      <x:c r="I5041" s="12" t="n">
        <x:v>53571428.571428575</x:v>
      </x:c>
      <x:c r="J5041" s="2" t="str">
        <x:v>total</x:v>
      </x:c>
      <x:c r="K5041" s="2" t="str">
        <x:v>top_level_area</x:v>
      </x:c>
      <x:c r="L5041" s="2" t="str">
        <x:v>property_type_inferred_from_title</x:v>
      </x:c>
      <x:c r="M5041" s="10" t="n">
        <x:v>0</x:v>
      </x:c>
      <x:c r="N5041" s="10" t="n">
        <x:v>0</x:v>
      </x:c>
      <x:c r="O5041" s="2" t="str">
        <x:v>Tp Hồ Chí Minh|land</x:v>
      </x:c>
      <x:c r="P5041" s="10" t="n">
        <x:v>2</x:v>
      </x:c>
      <x:c r="Q5041" s="13" t="n">
        <x:f>IF(H5041="","",H5041/1000000000)</x:f>
        <x:v>3</x:v>
      </x:c>
      <x:c r="R5041" s="13" t="n">
        <x:f>IF(I5041="","",I5041/1000000)</x:f>
        <x:v>53.57142857142858</x:v>
      </x:c>
    </x:row>
    <x:row r="5042" ht="21" customHeight="1">
      <x:c r="A5042" s="10" t="n">
        <x:v>6654</x:v>
      </x:c>
      <x:c r="B5042" s="2" t="str">
        <x:v>62472363774fbc7bc5e5</x:v>
      </x:c>
      <x:c r="C5042" s="2" t="str">
        <x:v>Long An</x:v>
      </x:c>
      <x:c r="D5042" s="2" t="str">
        <x:v>Huyện Tân Thạnh</x:v>
      </x:c>
      <x:c r="E5042" s="2" t="str">
        <x:v>house</x:v>
      </x:c>
      <x:c r="F5042" s="2" t="str">
        <x:v>sale_assumed</x:v>
      </x:c>
      <x:c r="G5042" s="11" t="n">
        <x:v>80</x:v>
      </x:c>
      <x:c r="H5042" s="12" t="n">
        <x:v>980000000</x:v>
      </x:c>
      <x:c r="I5042" s="12" t="n">
        <x:v>12250000</x:v>
      </x:c>
      <x:c r="J5042" s="2" t="str">
        <x:v>total</x:v>
      </x:c>
      <x:c r="K5042" s="2" t="str">
        <x:v>top_level_area</x:v>
      </x:c>
      <x:c r="L5042" s="2" t="str">
        <x:v>property_type_inferred_from_title;transaction_assumed_sale_from_dataset_context</x:v>
      </x:c>
      <x:c r="M5042" s="10" t="n">
        <x:v>0</x:v>
      </x:c>
      <x:c r="N5042" s="10" t="n">
        <x:v>0</x:v>
      </x:c>
      <x:c r="O5042" s="2" t="str">
        <x:v>Long An|house</x:v>
      </x:c>
      <x:c r="P5042" s="10" t="n">
        <x:v>2</x:v>
      </x:c>
      <x:c r="Q5042" s="13" t="n">
        <x:f>IF(H5042="","",H5042/1000000000)</x:f>
        <x:v>0.98</x:v>
      </x:c>
      <x:c r="R5042" s="13" t="n">
        <x:f>IF(I5042="","",I5042/1000000)</x:f>
        <x:v>12.25</x:v>
      </x:c>
    </x:row>
    <x:row r="5043" ht="21" customHeight="1">
      <x:c r="A5043" s="10" t="n">
        <x:v>6655</x:v>
      </x:c>
      <x:c r="B5043" s="2" t="str">
        <x:v>4f03a60a2308f499a8b5</x:v>
      </x:c>
      <x:c r="C5043" s="2" t="str">
        <x:v>Hà Nội</x:v>
      </x:c>
      <x:c r="D5043" s="2" t="str">
        <x:v>Quận Cầu Giấy</x:v>
      </x:c>
      <x:c r="E5043" s="2" t="str">
        <x:v>house</x:v>
      </x:c>
      <x:c r="F5043" s="2" t="str">
        <x:v>sale</x:v>
      </x:c>
      <x:c r="G5043" s="11" t="n">
        <x:v>25</x:v>
      </x:c>
      <x:c r="H5043" s="12" t="n">
        <x:v>2550000000</x:v>
      </x:c>
      <x:c r="I5043" s="12" t="n">
        <x:v>102000000</x:v>
      </x:c>
      <x:c r="J5043" s="2" t="str">
        <x:v>total</x:v>
      </x:c>
      <x:c r="K5043" s="2" t="str">
        <x:v>top_level_area</x:v>
      </x:c>
      <x:c r="L5043" s="2" t="str">
        <x:v>property_type_inferred_from_title</x:v>
      </x:c>
      <x:c r="M5043" s="10" t="n">
        <x:v>0</x:v>
      </x:c>
      <x:c r="N5043" s="10" t="n">
        <x:v>0</x:v>
      </x:c>
      <x:c r="O5043" s="2" t="str">
        <x:v>Hà Nội|house</x:v>
      </x:c>
      <x:c r="P5043" s="10" t="n">
        <x:v>2</x:v>
      </x:c>
      <x:c r="Q5043" s="13" t="n">
        <x:f>IF(H5043="","",H5043/1000000000)</x:f>
        <x:v>2.55</x:v>
      </x:c>
      <x:c r="R5043" s="13" t="n">
        <x:f>IF(I5043="","",I5043/1000000)</x:f>
        <x:v>102</x:v>
      </x:c>
    </x:row>
    <x:row r="5044" ht="21" customHeight="1">
      <x:c r="A5044" s="10" t="n">
        <x:v>6656</x:v>
      </x:c>
      <x:c r="B5044" s="2" t="str">
        <x:v>c9f8110168820f6812d1</x:v>
      </x:c>
      <x:c r="C5044" s="2" t="str">
        <x:v>Tp Hồ Chí Minh</x:v>
      </x:c>
      <x:c r="D5044" s="2" t="str">
        <x:v>Quận Thủ Đức</x:v>
      </x:c>
      <x:c r="E5044" s="2" t="str">
        <x:v>house</x:v>
      </x:c>
      <x:c r="F5044" s="2" t="str">
        <x:v>sale_assumed</x:v>
      </x:c>
      <x:c r="G5044" s="11" t="n">
        <x:v>53</x:v>
      </x:c>
      <x:c r="H5044" s="12" t="n">
        <x:v>5630000000</x:v>
      </x:c>
      <x:c r="I5044" s="12" t="n">
        <x:v>106226415.09433962</x:v>
      </x:c>
      <x:c r="J5044" s="2" t="str">
        <x:v>total</x:v>
      </x:c>
      <x:c r="K5044" s="2" t="str">
        <x:v>top_level_area</x:v>
      </x:c>
      <x:c r="L5044" s="2" t="str">
        <x:v>property_type_inferred_from_title;transaction_assumed_sale_from_dataset_context</x:v>
      </x:c>
      <x:c r="M5044" s="10" t="n">
        <x:v>0</x:v>
      </x:c>
      <x:c r="N5044" s="10" t="n">
        <x:v>0</x:v>
      </x:c>
      <x:c r="O5044" s="2" t="str">
        <x:v>Tp Hồ Chí Minh|house</x:v>
      </x:c>
      <x:c r="P5044" s="10" t="n">
        <x:v>2</x:v>
      </x:c>
      <x:c r="Q5044" s="13" t="n">
        <x:f>IF(H5044="","",H5044/1000000000)</x:f>
        <x:v>5.63</x:v>
      </x:c>
      <x:c r="R5044" s="13" t="n">
        <x:f>IF(I5044="","",I5044/1000000)</x:f>
        <x:v>106.22641509433963</x:v>
      </x:c>
    </x:row>
    <x:row r="5045" ht="21" customHeight="1">
      <x:c r="A5045" s="10" t="n">
        <x:v>6657</x:v>
      </x:c>
      <x:c r="B5045" s="2" t="str">
        <x:v>2ef7664520a8b755a831</x:v>
      </x:c>
      <x:c r="C5045" s="2" t="str">
        <x:v>Hà Nội</x:v>
      </x:c>
      <x:c r="D5045" s="2" t="str">
        <x:v>Quận Hoàng Mai</x:v>
      </x:c>
      <x:c r="E5045" s="2" t="str">
        <x:v>other_unknown</x:v>
      </x:c>
      <x:c r="F5045" s="2" t="str">
        <x:v>sale</x:v>
      </x:c>
      <x:c r="G5045" s="11" t="n">
        <x:v>35</x:v>
      </x:c>
      <x:c r="H5045" s="12" t="n">
        <x:v>3120000000</x:v>
      </x:c>
      <x:c r="I5045" s="12" t="n">
        <x:v>89142857.14285715</x:v>
      </x:c>
      <x:c r="J5045" s="2" t="str">
        <x:v>total</x:v>
      </x:c>
      <x:c r="K5045" s="2" t="str">
        <x:v>top_level_area</x:v>
      </x:c>
      <x:c r="L5045" s="2" t="str">
        <x:v>property_type_inferred_from_title;unknown_property_type</x:v>
      </x:c>
      <x:c r="M5045" s="10" t="n">
        <x:v>0</x:v>
      </x:c>
      <x:c r="N5045" s="10" t="n">
        <x:v>0</x:v>
      </x:c>
      <x:c r="O5045" s="2" t="str">
        <x:v>Hà Nội|other_unknown</x:v>
      </x:c>
      <x:c r="P5045" s="10" t="n">
        <x:v>2</x:v>
      </x:c>
      <x:c r="Q5045" s="13" t="n">
        <x:f>IF(H5045="","",H5045/1000000000)</x:f>
        <x:v>3.12</x:v>
      </x:c>
      <x:c r="R5045" s="13" t="n">
        <x:f>IF(I5045="","",I5045/1000000)</x:f>
        <x:v>89.14285714285715</x:v>
      </x:c>
    </x:row>
    <x:row r="5046" ht="21" customHeight="1">
      <x:c r="A5046" s="10" t="n">
        <x:v>6658</x:v>
      </x:c>
      <x:c r="B5046" s="2" t="str">
        <x:v>4721fe270b9d3a503d99</x:v>
      </x:c>
      <x:c r="C5046" s="2" t="str">
        <x:v>Hà Nội</x:v>
      </x:c>
      <x:c r="D5046" s="2" t="str">
        <x:v>Quận Hoàng Mai</x:v>
      </x:c>
      <x:c r="E5046" s="2" t="str">
        <x:v>other_unknown</x:v>
      </x:c>
      <x:c r="F5046" s="2" t="str">
        <x:v>sale</x:v>
      </x:c>
      <x:c r="G5046" s="11" t="n">
        <x:v>36</x:v>
      </x:c>
      <x:c r="H5046" s="12" t="n">
        <x:v>3000000000</x:v>
      </x:c>
      <x:c r="I5046" s="12" t="n">
        <x:v>83333333.33333333</x:v>
      </x:c>
      <x:c r="J5046" s="2" t="str">
        <x:v>total</x:v>
      </x:c>
      <x:c r="K5046" s="2" t="str">
        <x:v>top_level_area</x:v>
      </x:c>
      <x:c r="L5046" s="2" t="str">
        <x:v>property_type_inferred_from_title;unknown_property_type</x:v>
      </x:c>
      <x:c r="M5046" s="10" t="n">
        <x:v>0</x:v>
      </x:c>
      <x:c r="N5046" s="10" t="n">
        <x:v>0</x:v>
      </x:c>
      <x:c r="O5046" s="2" t="str">
        <x:v>Hà Nội|other_unknown</x:v>
      </x:c>
      <x:c r="P5046" s="10" t="n">
        <x:v>2</x:v>
      </x:c>
      <x:c r="Q5046" s="13" t="n">
        <x:f>IF(H5046="","",H5046/1000000000)</x:f>
        <x:v>3</x:v>
      </x:c>
      <x:c r="R5046" s="13" t="n">
        <x:f>IF(I5046="","",I5046/1000000)</x:f>
        <x:v>83.33333333333333</x:v>
      </x:c>
    </x:row>
    <x:row r="5047" ht="21" customHeight="1">
      <x:c r="A5047" s="10" t="n">
        <x:v>6659</x:v>
      </x:c>
      <x:c r="B5047" s="2" t="str">
        <x:v>a681ba274afd69a3adf5</x:v>
      </x:c>
      <x:c r="C5047" s="2" t="str">
        <x:v>Bình Định</x:v>
      </x:c>
      <x:c r="D5047" s="2" t="str">
        <x:v>Huyện Phù Mỹ</x:v>
      </x:c>
      <x:c r="E5047" s="2" t="str">
        <x:v>house</x:v>
      </x:c>
      <x:c r="F5047" s="2" t="str">
        <x:v>sale_assumed</x:v>
      </x:c>
      <x:c r="G5047" s="11" t="n">
        <x:v>1000</x:v>
      </x:c>
      <x:c r="H5047" s="12" t="n">
        <x:v>22000000000</x:v>
      </x:c>
      <x:c r="I5047" s="12" t="n">
        <x:v>22000000</x:v>
      </x:c>
      <x:c r="J5047" s="2" t="str">
        <x:v>total</x:v>
      </x:c>
      <x:c r="K5047" s="2" t="str">
        <x:v>top_level_area</x:v>
      </x:c>
      <x:c r="L5047" s="2" t="str">
        <x:v>dot_thousands_convention;property_type_inferred_from_title;transaction_assumed_sale_from_dataset_context</x:v>
      </x:c>
      <x:c r="M5047" s="10" t="n">
        <x:v>0</x:v>
      </x:c>
      <x:c r="N5047" s="10" t="n">
        <x:v>0</x:v>
      </x:c>
      <x:c r="O5047" s="2" t="str">
        <x:v>house</x:v>
      </x:c>
      <x:c r="P5047" s="10" t="n">
        <x:v>1</x:v>
      </x:c>
      <x:c r="Q5047" s="13" t="n">
        <x:f>IF(H5047="","",H5047/1000000000)</x:f>
        <x:v>22</x:v>
      </x:c>
      <x:c r="R5047" s="13" t="n">
        <x:f>IF(I5047="","",I5047/1000000)</x:f>
        <x:v>22</x:v>
      </x:c>
    </x:row>
    <x:row r="5048" ht="21" customHeight="1">
      <x:c r="A5048" s="10" t="n">
        <x:v>6660</x:v>
      </x:c>
      <x:c r="B5048" s="2" t="str">
        <x:v>37ea03c7e6defad58e56</x:v>
      </x:c>
      <x:c r="C5048" s="2" t="str">
        <x:v>Tp Hồ Chí Minh</x:v>
      </x:c>
      <x:c r="D5048" s="2" t="str">
        <x:v>Huyện Bình Chánh</x:v>
      </x:c>
      <x:c r="E5048" s="2" t="str">
        <x:v>land</x:v>
      </x:c>
      <x:c r="F5048" s="2" t="str">
        <x:v>sale</x:v>
      </x:c>
      <x:c r="G5048" s="11" t="n">
        <x:v>110</x:v>
      </x:c>
      <x:c r="H5048" s="12" t="n">
        <x:v>3600000000</x:v>
      </x:c>
      <x:c r="I5048" s="12" t="n">
        <x:v>32727272.727272727</x:v>
      </x:c>
      <x:c r="J5048" s="2" t="str">
        <x:v>total</x:v>
      </x:c>
      <x:c r="K5048" s="2" t="str">
        <x:v>top_level_area</x:v>
      </x:c>
      <x:c r="L5048" s="2" t="str">
        <x:v>property_type_inferred_from_title</x:v>
      </x:c>
      <x:c r="M5048" s="10" t="n">
        <x:v>0</x:v>
      </x:c>
      <x:c r="N5048" s="10" t="n">
        <x:v>0</x:v>
      </x:c>
      <x:c r="O5048" s="2" t="str">
        <x:v>Tp Hồ Chí Minh|land</x:v>
      </x:c>
      <x:c r="P5048" s="10" t="n">
        <x:v>2</x:v>
      </x:c>
      <x:c r="Q5048" s="13" t="n">
        <x:f>IF(H5048="","",H5048/1000000000)</x:f>
        <x:v>3.6</x:v>
      </x:c>
      <x:c r="R5048" s="13" t="n">
        <x:f>IF(I5048="","",I5048/1000000)</x:f>
        <x:v>32.72727272727273</x:v>
      </x:c>
    </x:row>
    <x:row r="5049" ht="21" customHeight="1">
      <x:c r="A5049" s="10" t="n">
        <x:v>6661</x:v>
      </x:c>
      <x:c r="B5049" s="2" t="str">
        <x:v>e86a4b85671f21b0c448</x:v>
      </x:c>
      <x:c r="C5049" s="2" t="str">
        <x:v>Bà Rịa - Vũng Tàu</x:v>
      </x:c>
      <x:c r="D5049" s="2" t="str">
        <x:v>Thị xã Phú Mỹ</x:v>
      </x:c>
      <x:c r="E5049" s="2" t="str">
        <x:v>land</x:v>
      </x:c>
      <x:c r="F5049" s="2" t="str">
        <x:v>sale</x:v>
      </x:c>
      <x:c r="G5049" s="11" t="n">
        <x:v>136</x:v>
      </x:c>
      <x:c r="H5049" s="12" t="n">
        <x:v>550000000</x:v>
      </x:c>
      <x:c r="I5049" s="12" t="n">
        <x:v>4044117.6470588236</x:v>
      </x:c>
      <x:c r="J5049" s="2" t="str">
        <x:v>total</x:v>
      </x:c>
      <x:c r="K5049" s="2" t="str">
        <x:v>top_level_area</x:v>
      </x:c>
      <x:c r="L5049" s="2" t="str">
        <x:v>property_type_inferred_from_title</x:v>
      </x:c>
      <x:c r="M5049" s="10" t="n">
        <x:v>0</x:v>
      </x:c>
      <x:c r="N5049" s="10" t="n">
        <x:v>0</x:v>
      </x:c>
      <x:c r="O5049" s="2" t="str">
        <x:v>Bà Rịa - Vũng Tàu|land</x:v>
      </x:c>
      <x:c r="P5049" s="10" t="n">
        <x:v>1</x:v>
      </x:c>
      <x:c r="Q5049" s="13" t="n">
        <x:f>IF(H5049="","",H5049/1000000000)</x:f>
        <x:v>0.55</x:v>
      </x:c>
      <x:c r="R5049" s="13" t="n">
        <x:f>IF(I5049="","",I5049/1000000)</x:f>
        <x:v>4.044117647058823</x:v>
      </x:c>
    </x:row>
    <x:row r="5050" ht="21" customHeight="1">
      <x:c r="A5050" s="10" t="n">
        <x:v>6662</x:v>
      </x:c>
      <x:c r="B5050" s="2" t="str">
        <x:v>5c651ec3f773e1ed54e9</x:v>
      </x:c>
      <x:c r="C5050" s="2" t="str">
        <x:v>Tp Hồ Chí Minh</x:v>
      </x:c>
      <x:c r="D5050" s="2" t="str">
        <x:v>Huyện Củ Chi</x:v>
      </x:c>
      <x:c r="E5050" s="2" t="str">
        <x:v>land</x:v>
      </x:c>
      <x:c r="F5050" s="2" t="str">
        <x:v>sale_assumed</x:v>
      </x:c>
      <x:c r="G5050" s="11" t="n">
        <x:v>211</x:v>
      </x:c>
      <x:c r="H5050" s="12" t="n">
        <x:v>2000000000</x:v>
      </x:c>
      <x:c r="I5050" s="12" t="n">
        <x:v>9478672.98578199</x:v>
      </x:c>
      <x:c r="J5050" s="2" t="str">
        <x:v>total</x:v>
      </x:c>
      <x:c r="K5050" s="2" t="str">
        <x:v>top_level_area</x:v>
      </x:c>
      <x:c r="L5050" s="2" t="str">
        <x:v>property_type_inferred_from_title;transaction_assumed_sale_from_dataset_context</x:v>
      </x:c>
      <x:c r="M5050" s="10" t="n">
        <x:v>0</x:v>
      </x:c>
      <x:c r="N5050" s="10" t="n">
        <x:v>0</x:v>
      </x:c>
      <x:c r="O5050" s="2" t="str">
        <x:v>Tp Hồ Chí Minh|land</x:v>
      </x:c>
      <x:c r="P5050" s="10" t="n">
        <x:v>2</x:v>
      </x:c>
      <x:c r="Q5050" s="13" t="n">
        <x:f>IF(H5050="","",H5050/1000000000)</x:f>
        <x:v>2</x:v>
      </x:c>
      <x:c r="R5050" s="13" t="n">
        <x:f>IF(I5050="","",I5050/1000000)</x:f>
        <x:v>9.47867298578199</x:v>
      </x:c>
    </x:row>
    <x:row r="5051" ht="21" customHeight="1">
      <x:c r="A5051" s="10" t="n">
        <x:v>6663</x:v>
      </x:c>
      <x:c r="B5051" s="2" t="str">
        <x:v>62379531506664b01e43</x:v>
      </x:c>
      <x:c r="C5051" s="2" t="str">
        <x:v>Tp Hồ Chí Minh</x:v>
      </x:c>
      <x:c r="D5051" s="2" t="str">
        <x:v>Quận 2</x:v>
      </x:c>
      <x:c r="E5051" s="2" t="str">
        <x:v>house</x:v>
      </x:c>
      <x:c r="F5051" s="2" t="str">
        <x:v>sale</x:v>
      </x:c>
      <x:c r="G5051" s="11" t="n">
        <x:v>102</x:v>
      </x:c>
      <x:c r="H5051" s="12" t="n">
        <x:v>16000000000</x:v>
      </x:c>
      <x:c r="I5051" s="12" t="n">
        <x:v>156862745.0980392</x:v>
      </x:c>
      <x:c r="J5051" s="2" t="str">
        <x:v>total</x:v>
      </x:c>
      <x:c r="K5051" s="2" t="str">
        <x:v>top_level_area</x:v>
      </x:c>
      <x:c r="L5051" s="2" t="str">
        <x:v>property_type_inferred_from_title</x:v>
      </x:c>
      <x:c r="M5051" s="10" t="n">
        <x:v>0</x:v>
      </x:c>
      <x:c r="N5051" s="10" t="n">
        <x:v>0</x:v>
      </x:c>
      <x:c r="O5051" s="2" t="str">
        <x:v>Tp Hồ Chí Minh|house</x:v>
      </x:c>
      <x:c r="P5051" s="10" t="n">
        <x:v>2</x:v>
      </x:c>
      <x:c r="Q5051" s="13" t="n">
        <x:f>IF(H5051="","",H5051/1000000000)</x:f>
        <x:v>16</x:v>
      </x:c>
      <x:c r="R5051" s="13" t="n">
        <x:f>IF(I5051="","",I5051/1000000)</x:f>
        <x:v>156.8627450980392</x:v>
      </x:c>
    </x:row>
    <x:row r="5052" ht="21" customHeight="1">
      <x:c r="A5052" s="10" t="n">
        <x:v>6664</x:v>
      </x:c>
      <x:c r="B5052" s="2" t="str">
        <x:v>aeceddd2104945a98b6b</x:v>
      </x:c>
      <x:c r="C5052" s="2" t="str">
        <x:v>Hà Nội</x:v>
      </x:c>
      <x:c r="D5052" s="2" t="str">
        <x:v>Quận Hoàng Mai</x:v>
      </x:c>
      <x:c r="E5052" s="2" t="str">
        <x:v>other_unknown</x:v>
      </x:c>
      <x:c r="F5052" s="2" t="str">
        <x:v>sale</x:v>
      </x:c>
      <x:c r="G5052" s="11" t="n">
        <x:v>36</x:v>
      </x:c>
      <x:c r="H5052" s="12" t="n">
        <x:v>3200000000</x:v>
      </x:c>
      <x:c r="I5052" s="12" t="n">
        <x:v>88888888.8888889</x:v>
      </x:c>
      <x:c r="J5052" s="2" t="str">
        <x:v>total</x:v>
      </x:c>
      <x:c r="K5052" s="2" t="str">
        <x:v>top_level_area</x:v>
      </x:c>
      <x:c r="L5052" s="2" t="str">
        <x:v>property_type_inferred_from_title;unknown_property_type</x:v>
      </x:c>
      <x:c r="M5052" s="10" t="n">
        <x:v>0</x:v>
      </x:c>
      <x:c r="N5052" s="10" t="n">
        <x:v>0</x:v>
      </x:c>
      <x:c r="O5052" s="2" t="str">
        <x:v>Hà Nội|other_unknown</x:v>
      </x:c>
      <x:c r="P5052" s="10" t="n">
        <x:v>2</x:v>
      </x:c>
      <x:c r="Q5052" s="13" t="n">
        <x:f>IF(H5052="","",H5052/1000000000)</x:f>
        <x:v>3.2</x:v>
      </x:c>
      <x:c r="R5052" s="13" t="n">
        <x:f>IF(I5052="","",I5052/1000000)</x:f>
        <x:v>88.8888888888889</x:v>
      </x:c>
    </x:row>
    <x:row r="5053" ht="21" customHeight="1">
      <x:c r="A5053" s="10" t="n">
        <x:v>6665</x:v>
      </x:c>
      <x:c r="B5053" s="2" t="str">
        <x:v>402b531ccb12b662b270</x:v>
      </x:c>
      <x:c r="C5053" s="2" t="str">
        <x:v>Hà Nội</x:v>
      </x:c>
      <x:c r="D5053" s="2" t="str">
        <x:v>Quận Hoàng Mai</x:v>
      </x:c>
      <x:c r="E5053" s="2" t="str">
        <x:v>other_unknown</x:v>
      </x:c>
      <x:c r="F5053" s="2" t="str">
        <x:v>sale</x:v>
      </x:c>
      <x:c r="G5053" s="11" t="n">
        <x:v>33</x:v>
      </x:c>
      <x:c r="H5053" s="12" t="n">
        <x:v>3050000000</x:v>
      </x:c>
      <x:c r="I5053" s="12" t="n">
        <x:v>92424242.42424242</x:v>
      </x:c>
      <x:c r="J5053" s="2" t="str">
        <x:v>total</x:v>
      </x:c>
      <x:c r="K5053" s="2" t="str">
        <x:v>top_level_area</x:v>
      </x:c>
      <x:c r="L5053" s="2" t="str">
        <x:v>property_type_inferred_from_title;unknown_property_type</x:v>
      </x:c>
      <x:c r="M5053" s="10" t="n">
        <x:v>0</x:v>
      </x:c>
      <x:c r="N5053" s="10" t="n">
        <x:v>0</x:v>
      </x:c>
      <x:c r="O5053" s="2" t="str">
        <x:v>Hà Nội|other_unknown</x:v>
      </x:c>
      <x:c r="P5053" s="10" t="n">
        <x:v>2</x:v>
      </x:c>
      <x:c r="Q5053" s="13" t="n">
        <x:f>IF(H5053="","",H5053/1000000000)</x:f>
        <x:v>3.05</x:v>
      </x:c>
      <x:c r="R5053" s="13" t="n">
        <x:f>IF(I5053="","",I5053/1000000)</x:f>
        <x:v>92.42424242424242</x:v>
      </x:c>
    </x:row>
    <x:row r="5054" ht="21" customHeight="1">
      <x:c r="A5054" s="10" t="n">
        <x:v>6668</x:v>
      </x:c>
      <x:c r="B5054" s="2" t="str">
        <x:v>3d46137d79e533debcf6</x:v>
      </x:c>
      <x:c r="C5054" s="2" t="str">
        <x:v>Long An</x:v>
      </x:c>
      <x:c r="D5054" s="2" t="str">
        <x:v>Huyện Cần Giuộc</x:v>
      </x:c>
      <x:c r="E5054" s="2" t="str">
        <x:v>house</x:v>
      </x:c>
      <x:c r="F5054" s="2" t="str">
        <x:v>sale_assumed</x:v>
      </x:c>
      <x:c r="G5054" s="11" t="n">
        <x:v>48</x:v>
      </x:c>
      <x:c r="H5054" s="12" t="n">
        <x:v>700000000</x:v>
      </x:c>
      <x:c r="I5054" s="12" t="n">
        <x:v>14583333.333333334</x:v>
      </x:c>
      <x:c r="J5054" s="2" t="str">
        <x:v>total</x:v>
      </x:c>
      <x:c r="K5054" s="2" t="str">
        <x:v>top_level_area</x:v>
      </x:c>
      <x:c r="L5054" s="2" t="str">
        <x:v>property_type_inferred_from_title;transaction_assumed_sale_from_dataset_context</x:v>
      </x:c>
      <x:c r="M5054" s="10" t="n">
        <x:v>0</x:v>
      </x:c>
      <x:c r="N5054" s="10" t="n">
        <x:v>0</x:v>
      </x:c>
      <x:c r="O5054" s="2" t="str">
        <x:v>Long An|house</x:v>
      </x:c>
      <x:c r="P5054" s="10" t="n">
        <x:v>2</x:v>
      </x:c>
      <x:c r="Q5054" s="13" t="n">
        <x:f>IF(H5054="","",H5054/1000000000)</x:f>
        <x:v>0.7</x:v>
      </x:c>
      <x:c r="R5054" s="13" t="n">
        <x:f>IF(I5054="","",I5054/1000000)</x:f>
        <x:v>14.583333333333334</x:v>
      </x:c>
    </x:row>
    <x:row r="5055" ht="21" customHeight="1">
      <x:c r="A5055" s="10" t="n">
        <x:v>6669</x:v>
      </x:c>
      <x:c r="B5055" s="2" t="str">
        <x:v>25507a83276621d73153</x:v>
      </x:c>
      <x:c r="C5055" s="2" t="str">
        <x:v>Tp Hồ Chí Minh</x:v>
      </x:c>
      <x:c r="D5055" s="2" t="str">
        <x:v>Quận 7</x:v>
      </x:c>
      <x:c r="E5055" s="2" t="str">
        <x:v>house</x:v>
      </x:c>
      <x:c r="F5055" s="2" t="str">
        <x:v>sale</x:v>
      </x:c>
      <x:c r="G5055" s="11" t="n">
        <x:v>26.4</x:v>
      </x:c>
      <x:c r="H5055" s="12" t="n">
        <x:v>1620000000</x:v>
      </x:c>
      <x:c r="I5055" s="12" t="n">
        <x:v>61363636.36363637</x:v>
      </x:c>
      <x:c r="J5055" s="2" t="str">
        <x:v>total</x:v>
      </x:c>
      <x:c r="K5055" s="2" t="str">
        <x:v>top_level_area</x:v>
      </x:c>
      <x:c r="L5055" s="2" t="str">
        <x:v>property_type_inferred_from_title</x:v>
      </x:c>
      <x:c r="M5055" s="10" t="n">
        <x:v>0</x:v>
      </x:c>
      <x:c r="N5055" s="10" t="n">
        <x:v>0</x:v>
      </x:c>
      <x:c r="O5055" s="2" t="str">
        <x:v>Tp Hồ Chí Minh|house</x:v>
      </x:c>
      <x:c r="P5055" s="10" t="n">
        <x:v>2</x:v>
      </x:c>
      <x:c r="Q5055" s="13" t="n">
        <x:f>IF(H5055="","",H5055/1000000000)</x:f>
        <x:v>1.62</x:v>
      </x:c>
      <x:c r="R5055" s="13" t="n">
        <x:f>IF(I5055="","",I5055/1000000)</x:f>
        <x:v>61.36363636363637</x:v>
      </x:c>
    </x:row>
    <x:row r="5056" ht="21" customHeight="1">
      <x:c r="A5056" s="10" t="n">
        <x:v>6670</x:v>
      </x:c>
      <x:c r="B5056" s="2" t="str">
        <x:v>acb3c19ef59ebd4874ad</x:v>
      </x:c>
      <x:c r="C5056" s="2" t="str">
        <x:v>Hà Nội</x:v>
      </x:c>
      <x:c r="D5056" s="2" t="str">
        <x:v>Quận Thanh Xuân</x:v>
      </x:c>
      <x:c r="E5056" s="2" t="str">
        <x:v>house</x:v>
      </x:c>
      <x:c r="F5056" s="2" t="str">
        <x:v>sale</x:v>
      </x:c>
      <x:c r="G5056" s="11" t="n">
        <x:v>50</x:v>
      </x:c>
      <x:c r="H5056" s="12" t="n">
        <x:v>6100000000</x:v>
      </x:c>
      <x:c r="I5056" s="12" t="n">
        <x:v>122000000</x:v>
      </x:c>
      <x:c r="J5056" s="2" t="str">
        <x:v>total</x:v>
      </x:c>
      <x:c r="K5056" s="2" t="str">
        <x:v>top_level_area</x:v>
      </x:c>
      <x:c r="L5056" s="2" t="str">
        <x:v>property_type_inferred_from_title</x:v>
      </x:c>
      <x:c r="M5056" s="10" t="n">
        <x:v>0</x:v>
      </x:c>
      <x:c r="N5056" s="10" t="n">
        <x:v>0</x:v>
      </x:c>
      <x:c r="O5056" s="2" t="str">
        <x:v>Hà Nội|house</x:v>
      </x:c>
      <x:c r="P5056" s="10" t="n">
        <x:v>2</x:v>
      </x:c>
      <x:c r="Q5056" s="13" t="n">
        <x:f>IF(H5056="","",H5056/1000000000)</x:f>
        <x:v>6.1</x:v>
      </x:c>
      <x:c r="R5056" s="13" t="n">
        <x:f>IF(I5056="","",I5056/1000000)</x:f>
        <x:v>122</x:v>
      </x:c>
    </x:row>
    <x:row r="5057" ht="21" customHeight="1">
      <x:c r="A5057" s="10" t="n">
        <x:v>6671</x:v>
      </x:c>
      <x:c r="B5057" s="2" t="str">
        <x:v>414bda1542248d7c1dcd</x:v>
      </x:c>
      <x:c r="C5057" s="2" t="str">
        <x:v>Tp Hồ Chí Minh</x:v>
      </x:c>
      <x:c r="D5057" s="2" t="str">
        <x:v>Quận Bình Thạnh</x:v>
      </x:c>
      <x:c r="E5057" s="2" t="str">
        <x:v>house</x:v>
      </x:c>
      <x:c r="F5057" s="2" t="str">
        <x:v>sale_assumed</x:v>
      </x:c>
      <x:c r="G5057" s="11" t="n">
        <x:v>110</x:v>
      </x:c>
      <x:c r="H5057" s="12" t="n">
        <x:v>10200000000</x:v>
      </x:c>
      <x:c r="I5057" s="12" t="n">
        <x:v>92727272.72727273</x:v>
      </x:c>
      <x:c r="J5057" s="2" t="str">
        <x:v>total</x:v>
      </x:c>
      <x:c r="K5057" s="2" t="str">
        <x:v>top_level_area</x:v>
      </x:c>
      <x:c r="L5057" s="2" t="str">
        <x:v>property_type_inferred_from_title;transaction_assumed_sale_from_dataset_context</x:v>
      </x:c>
      <x:c r="M5057" s="10" t="n">
        <x:v>0</x:v>
      </x:c>
      <x:c r="N5057" s="10" t="n">
        <x:v>0</x:v>
      </x:c>
      <x:c r="O5057" s="2" t="str">
        <x:v>Tp Hồ Chí Minh|house</x:v>
      </x:c>
      <x:c r="P5057" s="10" t="n">
        <x:v>2</x:v>
      </x:c>
      <x:c r="Q5057" s="13" t="n">
        <x:f>IF(H5057="","",H5057/1000000000)</x:f>
        <x:v>10.2</x:v>
      </x:c>
      <x:c r="R5057" s="13" t="n">
        <x:f>IF(I5057="","",I5057/1000000)</x:f>
        <x:v>92.72727272727273</x:v>
      </x:c>
    </x:row>
    <x:row r="5058" ht="21" customHeight="1">
      <x:c r="A5058" s="10" t="n">
        <x:v>6672</x:v>
      </x:c>
      <x:c r="B5058" s="2" t="str">
        <x:v>0bf1289735cfaecb36c5</x:v>
      </x:c>
      <x:c r="C5058" s="2" t="str">
        <x:v>Đồng Nai</x:v>
      </x:c>
      <x:c r="D5058" s="2" t="str">
        <x:v>Thành phố Long Khánh</x:v>
      </x:c>
      <x:c r="E5058" s="2" t="str">
        <x:v>house</x:v>
      </x:c>
      <x:c r="F5058" s="2" t="str">
        <x:v>sale</x:v>
      </x:c>
      <x:c r="G5058" s="11" t="n">
        <x:v>50</x:v>
      </x:c>
      <x:c r="H5058" s="12" t="n">
        <x:v>4400000000</x:v>
      </x:c>
      <x:c r="I5058" s="12" t="n">
        <x:v>88000000</x:v>
      </x:c>
      <x:c r="J5058" s="2" t="str">
        <x:v>total</x:v>
      </x:c>
      <x:c r="K5058" s="2" t="str">
        <x:v>top_level_area</x:v>
      </x:c>
      <x:c r="L5058" s="2" t="str">
        <x:v>property_type_inferred_from_title</x:v>
      </x:c>
      <x:c r="M5058" s="10" t="n">
        <x:v>0</x:v>
      </x:c>
      <x:c r="N5058" s="10" t="n">
        <x:v>1</x:v>
      </x:c>
      <x:c r="O5058" s="2" t="str">
        <x:v>Đồng Nai|house</x:v>
      </x:c>
      <x:c r="P5058" s="10" t="n">
        <x:v>-1</x:v>
      </x:c>
      <x:c r="Q5058" s="13" t="n">
        <x:f>IF(H5058="","",H5058/1000000000)</x:f>
        <x:v>4.4</x:v>
      </x:c>
      <x:c r="R5058" s="13" t="n">
        <x:f>IF(I5058="","",I5058/1000000)</x:f>
        <x:v>88</x:v>
      </x:c>
    </x:row>
    <x:row r="5059" ht="21" customHeight="1">
      <x:c r="A5059" s="10" t="n">
        <x:v>6673</x:v>
      </x:c>
      <x:c r="B5059" s="2" t="str">
        <x:v>b06d2bdf12263bec93ac</x:v>
      </x:c>
      <x:c r="C5059" s="2" t="str">
        <x:v>Bình Dương</x:v>
      </x:c>
      <x:c r="D5059" s="2" t="str">
        <x:v>Huyện Bàu Bàng</x:v>
      </x:c>
      <x:c r="E5059" s="2" t="str">
        <x:v>land</x:v>
      </x:c>
      <x:c r="F5059" s="2" t="str">
        <x:v>sale</x:v>
      </x:c>
      <x:c r="G5059" s="11" t="n">
        <x:v>155</x:v>
      </x:c>
      <x:c r="H5059" s="12" t="n">
        <x:v>420000000</x:v>
      </x:c>
      <x:c r="I5059" s="12" t="n">
        <x:v>2709677.419354839</x:v>
      </x:c>
      <x:c r="J5059" s="2" t="str">
        <x:v>total</x:v>
      </x:c>
      <x:c r="K5059" s="2" t="str">
        <x:v>top_level_area</x:v>
      </x:c>
      <x:c r="L5059" s="2" t="str">
        <x:v>property_type_inferred_from_title</x:v>
      </x:c>
      <x:c r="M5059" s="10" t="n">
        <x:v>0</x:v>
      </x:c>
      <x:c r="N5059" s="10" t="n">
        <x:v>0</x:v>
      </x:c>
      <x:c r="O5059" s="2" t="str">
        <x:v>Bình Dương|land</x:v>
      </x:c>
      <x:c r="P5059" s="10" t="n">
        <x:v>1</x:v>
      </x:c>
      <x:c r="Q5059" s="13" t="n">
        <x:f>IF(H5059="","",H5059/1000000000)</x:f>
        <x:v>0.42</x:v>
      </x:c>
      <x:c r="R5059" s="13" t="n">
        <x:f>IF(I5059="","",I5059/1000000)</x:f>
        <x:v>2.709677419354839</x:v>
      </x:c>
    </x:row>
    <x:row r="5060" ht="21" customHeight="1">
      <x:c r="A5060" s="10" t="n">
        <x:v>6674</x:v>
      </x:c>
      <x:c r="B5060" s="2" t="str">
        <x:v>19f4d3d62cceaf9c255b</x:v>
      </x:c>
      <x:c r="C5060" s="2" t="str">
        <x:v>Đà Nẵng</x:v>
      </x:c>
      <x:c r="D5060" s="2" t="str">
        <x:v>Quận Ngũ Hành Sơn</x:v>
      </x:c>
      <x:c r="E5060" s="2" t="str">
        <x:v>other_unknown</x:v>
      </x:c>
      <x:c r="F5060" s="2" t="str">
        <x:v>sale_assumed</x:v>
      </x:c>
      <x:c r="G5060" s="11" t="n">
        <x:v>187</x:v>
      </x:c>
      <x:c r="H5060" s="12" t="n">
        <x:v>1860000000</x:v>
      </x:c>
      <x:c r="I5060" s="12" t="n">
        <x:v>9946524.064171122</x:v>
      </x:c>
      <x:c r="J5060" s="2" t="str">
        <x:v>total</x:v>
      </x:c>
      <x:c r="K5060" s="2" t="str">
        <x:v>top_level_area</x:v>
      </x:c>
      <x:c r="L5060" s="2" t="str">
        <x:v>property_type_inferred_from_title;transaction_assumed_sale_from_dataset_context;unknown_property_type</x:v>
      </x:c>
      <x:c r="M5060" s="10" t="n">
        <x:v>0</x:v>
      </x:c>
      <x:c r="N5060" s="10" t="n">
        <x:v>0</x:v>
      </x:c>
      <x:c r="O5060" s="2" t="str">
        <x:v>Đà Nẵng|other_unknown</x:v>
      </x:c>
      <x:c r="P5060" s="10" t="n">
        <x:v>2</x:v>
      </x:c>
      <x:c r="Q5060" s="13" t="n">
        <x:f>IF(H5060="","",H5060/1000000000)</x:f>
        <x:v>1.86</x:v>
      </x:c>
      <x:c r="R5060" s="13" t="n">
        <x:f>IF(I5060="","",I5060/1000000)</x:f>
        <x:v>9.946524064171122</x:v>
      </x:c>
    </x:row>
    <x:row r="5061" ht="21" customHeight="1">
      <x:c r="A5061" s="10" t="n">
        <x:v>6675</x:v>
      </x:c>
      <x:c r="B5061" s="2" t="str">
        <x:v>e6c93d00c1ed3caca03f</x:v>
      </x:c>
      <x:c r="C5061" s="2" t="str">
        <x:v>Lâm Đồng</x:v>
      </x:c>
      <x:c r="D5061" s="2" t="str">
        <x:v>Thành phố Bảo Lộc</x:v>
      </x:c>
      <x:c r="E5061" s="2" t="str">
        <x:v>house</x:v>
      </x:c>
      <x:c r="F5061" s="2" t="str">
        <x:v>sale</x:v>
      </x:c>
      <x:c r="G5061" s="11" t="n">
        <x:v>200</x:v>
      </x:c>
      <x:c r="H5061" s="12" t="n">
        <x:v>350000000</x:v>
      </x:c>
      <x:c r="I5061" s="12" t="n">
        <x:v>1750000</x:v>
      </x:c>
      <x:c r="J5061" s="2" t="str">
        <x:v>total</x:v>
      </x:c>
      <x:c r="K5061" s="2" t="str">
        <x:v>top_level_area</x:v>
      </x:c>
      <x:c r="L5061" s="2" t="str">
        <x:v>property_type_inferred_from_title</x:v>
      </x:c>
      <x:c r="M5061" s="10" t="n">
        <x:v>0</x:v>
      </x:c>
      <x:c r="N5061" s="10" t="n">
        <x:v>0</x:v>
      </x:c>
      <x:c r="O5061" s="2" t="str">
        <x:v>house</x:v>
      </x:c>
      <x:c r="P5061" s="10" t="n">
        <x:v>1</x:v>
      </x:c>
      <x:c r="Q5061" s="13" t="n">
        <x:f>IF(H5061="","",H5061/1000000000)</x:f>
        <x:v>0.35</x:v>
      </x:c>
      <x:c r="R5061" s="13" t="n">
        <x:f>IF(I5061="","",I5061/1000000)</x:f>
        <x:v>1.75</x:v>
      </x:c>
    </x:row>
    <x:row r="5062" ht="21" customHeight="1">
      <x:c r="A5062" s="10" t="n">
        <x:v>6676</x:v>
      </x:c>
      <x:c r="B5062" s="2" t="str">
        <x:v>a1c883ef33edbd17a393</x:v>
      </x:c>
      <x:c r="C5062" s="2" t="str">
        <x:v>Tp Hồ Chí Minh</x:v>
      </x:c>
      <x:c r="D5062" s="2" t="str">
        <x:v>Quận 7</x:v>
      </x:c>
      <x:c r="E5062" s="2" t="str">
        <x:v>other_unknown</x:v>
      </x:c>
      <x:c r="F5062" s="2" t="str">
        <x:v>sale</x:v>
      </x:c>
      <x:c r="G5062" s="11" t="n">
        <x:v>75</x:v>
      </x:c>
      <x:c r="H5062" s="12" t="n">
        <x:v>1450000000</x:v>
      </x:c>
      <x:c r="I5062" s="12" t="n">
        <x:v>19333333.333333332</x:v>
      </x:c>
      <x:c r="J5062" s="2" t="str">
        <x:v>total</x:v>
      </x:c>
      <x:c r="K5062" s="2" t="str">
        <x:v>top_level_area</x:v>
      </x:c>
      <x:c r="L5062" s="2" t="str">
        <x:v>property_type_inferred_from_title;unknown_property_type</x:v>
      </x:c>
      <x:c r="M5062" s="10" t="n">
        <x:v>0</x:v>
      </x:c>
      <x:c r="N5062" s="10" t="n">
        <x:v>0</x:v>
      </x:c>
      <x:c r="O5062" s="2" t="str">
        <x:v>Tp Hồ Chí Minh|other_unknown</x:v>
      </x:c>
      <x:c r="P5062" s="10" t="n">
        <x:v>2</x:v>
      </x:c>
      <x:c r="Q5062" s="13" t="n">
        <x:f>IF(H5062="","",H5062/1000000000)</x:f>
        <x:v>1.45</x:v>
      </x:c>
      <x:c r="R5062" s="13" t="n">
        <x:f>IF(I5062="","",I5062/1000000)</x:f>
        <x:v>19.333333333333332</x:v>
      </x:c>
    </x:row>
    <x:row r="5063" ht="21" customHeight="1">
      <x:c r="A5063" s="10" t="n">
        <x:v>6677</x:v>
      </x:c>
      <x:c r="B5063" s="2" t="str">
        <x:v>eb793b801f520730039d</x:v>
      </x:c>
      <x:c r="C5063" s="2" t="str">
        <x:v>Hà Nội</x:v>
      </x:c>
      <x:c r="D5063" s="2" t="str">
        <x:v>Quận Hoàng Mai</x:v>
      </x:c>
      <x:c r="E5063" s="2" t="str">
        <x:v>other_unknown</x:v>
      </x:c>
      <x:c r="F5063" s="2" t="str">
        <x:v>sale</x:v>
      </x:c>
      <x:c r="G5063" s="11" t="n">
        <x:v>34</x:v>
      </x:c>
      <x:c r="H5063" s="12" t="n">
        <x:v>3120000000</x:v>
      </x:c>
      <x:c r="I5063" s="12" t="n">
        <x:v>91764705.88235295</x:v>
      </x:c>
      <x:c r="J5063" s="2" t="str">
        <x:v>total</x:v>
      </x:c>
      <x:c r="K5063" s="2" t="str">
        <x:v>top_level_area</x:v>
      </x:c>
      <x:c r="L5063" s="2" t="str">
        <x:v>property_type_inferred_from_title;unknown_property_type</x:v>
      </x:c>
      <x:c r="M5063" s="10" t="n">
        <x:v>0</x:v>
      </x:c>
      <x:c r="N5063" s="10" t="n">
        <x:v>0</x:v>
      </x:c>
      <x:c r="O5063" s="2" t="str">
        <x:v>Hà Nội|other_unknown</x:v>
      </x:c>
      <x:c r="P5063" s="10" t="n">
        <x:v>2</x:v>
      </x:c>
      <x:c r="Q5063" s="13" t="n">
        <x:f>IF(H5063="","",H5063/1000000000)</x:f>
        <x:v>3.12</x:v>
      </x:c>
      <x:c r="R5063" s="13" t="n">
        <x:f>IF(I5063="","",I5063/1000000)</x:f>
        <x:v>91.76470588235294</x:v>
      </x:c>
    </x:row>
    <x:row r="5064" ht="21" customHeight="1">
      <x:c r="A5064" s="10" t="n">
        <x:v>6678</x:v>
      </x:c>
      <x:c r="B5064" s="2" t="str">
        <x:v>989d9e47a45d80067ba9</x:v>
      </x:c>
      <x:c r="C5064" s="2" t="str">
        <x:v>Đắk Lắk</x:v>
      </x:c>
      <x:c r="D5064" s="2" t="str">
        <x:v>Thành phố Buôn Ma Thuột</x:v>
      </x:c>
      <x:c r="E5064" s="2" t="str">
        <x:v>land</x:v>
      </x:c>
      <x:c r="F5064" s="2" t="str">
        <x:v>sale_assumed</x:v>
      </x:c>
      <x:c r="G5064" s="11" t="n">
        <x:v>230</x:v>
      </x:c>
      <x:c r="H5064" s="12" t="n">
        <x:v>890000000</x:v>
      </x:c>
      <x:c r="I5064" s="12" t="n">
        <x:v>3869565.217391304</x:v>
      </x:c>
      <x:c r="J5064" s="2" t="str">
        <x:v>total</x:v>
      </x:c>
      <x:c r="K5064" s="2" t="str">
        <x:v>top_level_area</x:v>
      </x:c>
      <x:c r="L5064" s="2" t="str">
        <x:v>property_type_inferred_from_title;transaction_assumed_sale_from_dataset_context</x:v>
      </x:c>
      <x:c r="M5064" s="10" t="n">
        <x:v>0</x:v>
      </x:c>
      <x:c r="N5064" s="10" t="n">
        <x:v>0</x:v>
      </x:c>
      <x:c r="O5064" s="2" t="str">
        <x:v>Đắk Lắk|land</x:v>
      </x:c>
      <x:c r="P5064" s="10" t="n">
        <x:v>1</x:v>
      </x:c>
      <x:c r="Q5064" s="13" t="n">
        <x:f>IF(H5064="","",H5064/1000000000)</x:f>
        <x:v>0.89</x:v>
      </x:c>
      <x:c r="R5064" s="13" t="n">
        <x:f>IF(I5064="","",I5064/1000000)</x:f>
        <x:v>3.869565217391304</x:v>
      </x:c>
    </x:row>
    <x:row r="5065" ht="21" customHeight="1">
      <x:c r="A5065" s="10" t="n">
        <x:v>6679</x:v>
      </x:c>
      <x:c r="B5065" s="2" t="str">
        <x:v>8203e4d746e231581964</x:v>
      </x:c>
      <x:c r="C5065" s="2" t="str">
        <x:v>Tp Hồ Chí Minh</x:v>
      </x:c>
      <x:c r="D5065" s="2" t="str">
        <x:v>Huyện Hóc Môn</x:v>
      </x:c>
      <x:c r="E5065" s="2" t="str">
        <x:v>house</x:v>
      </x:c>
      <x:c r="F5065" s="2" t="str">
        <x:v>sale_assumed</x:v>
      </x:c>
      <x:c r="G5065" s="11" t="n">
        <x:v>80</x:v>
      </x:c>
      <x:c r="H5065" s="12" t="n">
        <x:v>380000000</x:v>
      </x:c>
      <x:c r="I5065" s="12" t="n">
        <x:v>4750000</x:v>
      </x:c>
      <x:c r="J5065" s="2" t="str">
        <x:v>total</x:v>
      </x:c>
      <x:c r="K5065" s="2" t="str">
        <x:v>top_level_area</x:v>
      </x:c>
      <x:c r="L5065" s="2" t="str">
        <x:v>property_type_inferred_from_title;transaction_assumed_sale_from_dataset_context</x:v>
      </x:c>
      <x:c r="M5065" s="10" t="n">
        <x:v>0</x:v>
      </x:c>
      <x:c r="N5065" s="10" t="n">
        <x:v>0</x:v>
      </x:c>
      <x:c r="O5065" s="2" t="str">
        <x:v>Tp Hồ Chí Minh|house</x:v>
      </x:c>
      <x:c r="P5065" s="10" t="n">
        <x:v>2</x:v>
      </x:c>
      <x:c r="Q5065" s="13" t="n">
        <x:f>IF(H5065="","",H5065/1000000000)</x:f>
        <x:v>0.38</x:v>
      </x:c>
      <x:c r="R5065" s="13" t="n">
        <x:f>IF(I5065="","",I5065/1000000)</x:f>
        <x:v>4.75</x:v>
      </x:c>
    </x:row>
    <x:row r="5066" ht="21" customHeight="1">
      <x:c r="A5066" s="10" t="n">
        <x:v>6680</x:v>
      </x:c>
      <x:c r="B5066" s="2" t="str">
        <x:v>8d0d9f0118e409b9b5b3</x:v>
      </x:c>
      <x:c r="C5066" s="2" t="str">
        <x:v>Tp Hồ Chí Minh</x:v>
      </x:c>
      <x:c r="D5066" s="2" t="str">
        <x:v>Quận Tân Phú</x:v>
      </x:c>
      <x:c r="E5066" s="2" t="str">
        <x:v>other_unknown</x:v>
      </x:c>
      <x:c r="F5066" s="2" t="str">
        <x:v>sale</x:v>
      </x:c>
      <x:c r="G5066" s="11" t="n">
        <x:v>95</x:v>
      </x:c>
      <x:c r="H5066" s="12" t="n">
        <x:v>6900000000</x:v>
      </x:c>
      <x:c r="I5066" s="12" t="n">
        <x:v>72631578.94736843</x:v>
      </x:c>
      <x:c r="J5066" s="2" t="str">
        <x:v>total</x:v>
      </x:c>
      <x:c r="K5066" s="2" t="str">
        <x:v>top_level_area</x:v>
      </x:c>
      <x:c r="L5066" s="2" t="str">
        <x:v>property_type_inferred_from_title;unknown_property_type</x:v>
      </x:c>
      <x:c r="M5066" s="10" t="n">
        <x:v>0</x:v>
      </x:c>
      <x:c r="N5066" s="10" t="n">
        <x:v>0</x:v>
      </x:c>
      <x:c r="O5066" s="2" t="str">
        <x:v>Tp Hồ Chí Minh|other_unknown</x:v>
      </x:c>
      <x:c r="P5066" s="10" t="n">
        <x:v>2</x:v>
      </x:c>
      <x:c r="Q5066" s="13" t="n">
        <x:f>IF(H5066="","",H5066/1000000000)</x:f>
        <x:v>6.9</x:v>
      </x:c>
      <x:c r="R5066" s="13" t="n">
        <x:f>IF(I5066="","",I5066/1000000)</x:f>
        <x:v>72.63157894736842</x:v>
      </x:c>
    </x:row>
    <x:row r="5067" ht="21" customHeight="1">
      <x:c r="A5067" s="10" t="n">
        <x:v>6681</x:v>
      </x:c>
      <x:c r="B5067" s="2" t="str">
        <x:v>c8e5013447590cb09810</x:v>
      </x:c>
      <x:c r="C5067" s="2" t="str">
        <x:v>Tp Hồ Chí Minh</x:v>
      </x:c>
      <x:c r="D5067" s="2" t="str">
        <x:v>Huyện Hóc Môn</x:v>
      </x:c>
      <x:c r="E5067" s="2" t="str">
        <x:v>land</x:v>
      </x:c>
      <x:c r="F5067" s="2" t="str">
        <x:v>sale_assumed</x:v>
      </x:c>
      <x:c r="G5067" s="11" t="n">
        <x:v>99</x:v>
      </x:c>
      <x:c r="H5067" s="12" t="n">
        <x:v>160000000</x:v>
      </x:c>
      <x:c r="I5067" s="12" t="n">
        <x:v>1616161.616161616</x:v>
      </x:c>
      <x:c r="J5067" s="2" t="str">
        <x:v>total</x:v>
      </x:c>
      <x:c r="K5067" s="2" t="str">
        <x:v>top_level_area</x:v>
      </x:c>
      <x:c r="L5067" s="2" t="str">
        <x:v>property_type_inferred_from_title;transaction_assumed_sale_from_dataset_context</x:v>
      </x:c>
      <x:c r="M5067" s="10" t="n">
        <x:v>0</x:v>
      </x:c>
      <x:c r="N5067" s="10" t="n">
        <x:v>0</x:v>
      </x:c>
      <x:c r="O5067" s="2" t="str">
        <x:v>Tp Hồ Chí Minh|land</x:v>
      </x:c>
      <x:c r="P5067" s="10" t="n">
        <x:v>1</x:v>
      </x:c>
      <x:c r="Q5067" s="13" t="n">
        <x:f>IF(H5067="","",H5067/1000000000)</x:f>
        <x:v>0.16</x:v>
      </x:c>
      <x:c r="R5067" s="13" t="n">
        <x:f>IF(I5067="","",I5067/1000000)</x:f>
        <x:v>1.6161616161616161</x:v>
      </x:c>
    </x:row>
    <x:row r="5068" ht="21" customHeight="1">
      <x:c r="A5068" s="10" t="n">
        <x:v>6682</x:v>
      </x:c>
      <x:c r="B5068" s="2" t="str">
        <x:v>7975b83cad0bbb265853</x:v>
      </x:c>
      <x:c r="C5068" s="2" t="str">
        <x:v>Hà Nội</x:v>
      </x:c>
      <x:c r="D5068" s="2" t="str">
        <x:v>Quận Hoàng Mai</x:v>
      </x:c>
      <x:c r="E5068" s="2" t="str">
        <x:v>other_unknown</x:v>
      </x:c>
      <x:c r="F5068" s="2" t="str">
        <x:v>sale</x:v>
      </x:c>
      <x:c r="G5068" s="11" t="n">
        <x:v>35</x:v>
      </x:c>
      <x:c r="H5068" s="12" t="n">
        <x:v>3350000000</x:v>
      </x:c>
      <x:c r="I5068" s="12" t="n">
        <x:v>95714285.71428572</x:v>
      </x:c>
      <x:c r="J5068" s="2" t="str">
        <x:v>total</x:v>
      </x:c>
      <x:c r="K5068" s="2" t="str">
        <x:v>top_level_area</x:v>
      </x:c>
      <x:c r="L5068" s="2" t="str">
        <x:v>property_type_inferred_from_title;unknown_property_type</x:v>
      </x:c>
      <x:c r="M5068" s="10" t="n">
        <x:v>0</x:v>
      </x:c>
      <x:c r="N5068" s="10" t="n">
        <x:v>0</x:v>
      </x:c>
      <x:c r="O5068" s="2" t="str">
        <x:v>Hà Nội|other_unknown</x:v>
      </x:c>
      <x:c r="P5068" s="10" t="n">
        <x:v>2</x:v>
      </x:c>
      <x:c r="Q5068" s="13" t="n">
        <x:f>IF(H5068="","",H5068/1000000000)</x:f>
        <x:v>3.35</x:v>
      </x:c>
      <x:c r="R5068" s="13" t="n">
        <x:f>IF(I5068="","",I5068/1000000)</x:f>
        <x:v>95.71428571428572</x:v>
      </x:c>
    </x:row>
    <x:row r="5069" ht="21" customHeight="1">
      <x:c r="A5069" s="10" t="n">
        <x:v>6683</x:v>
      </x:c>
      <x:c r="B5069" s="2" t="str">
        <x:v>0cc23d607d14f3018972</x:v>
      </x:c>
      <x:c r="C5069" s="2" t="str">
        <x:v>Tp Hồ Chí Minh</x:v>
      </x:c>
      <x:c r="D5069" s="2" t="str">
        <x:v>Quận Bình Tân</x:v>
      </x:c>
      <x:c r="E5069" s="2" t="str">
        <x:v>house</x:v>
      </x:c>
      <x:c r="F5069" s="2" t="str">
        <x:v>sale</x:v>
      </x:c>
      <x:c r="G5069" s="11" t="n">
        <x:v>44</x:v>
      </x:c>
      <x:c r="H5069" s="12" t="n">
        <x:v>845000000</x:v>
      </x:c>
      <x:c r="I5069" s="12" t="n">
        <x:v>19204545.454545453</x:v>
      </x:c>
      <x:c r="J5069" s="2" t="str">
        <x:v>total</x:v>
      </x:c>
      <x:c r="K5069" s="2" t="str">
        <x:v>top_level_area</x:v>
      </x:c>
      <x:c r="L5069" s="2" t="str">
        <x:v>property_type_inferred_from_title</x:v>
      </x:c>
      <x:c r="M5069" s="10" t="n">
        <x:v>0</x:v>
      </x:c>
      <x:c r="N5069" s="10" t="n">
        <x:v>0</x:v>
      </x:c>
      <x:c r="O5069" s="2" t="str">
        <x:v>Tp Hồ Chí Minh|house</x:v>
      </x:c>
      <x:c r="P5069" s="10" t="n">
        <x:v>2</x:v>
      </x:c>
      <x:c r="Q5069" s="13" t="n">
        <x:f>IF(H5069="","",H5069/1000000000)</x:f>
        <x:v>0.845</x:v>
      </x:c>
      <x:c r="R5069" s="13" t="n">
        <x:f>IF(I5069="","",I5069/1000000)</x:f>
        <x:v>19.204545454545453</x:v>
      </x:c>
    </x:row>
    <x:row r="5070" ht="21" customHeight="1">
      <x:c r="A5070" s="10" t="n">
        <x:v>6684</x:v>
      </x:c>
      <x:c r="B5070" s="2" t="str">
        <x:v>774a3d748c28c0b56366</x:v>
      </x:c>
      <x:c r="C5070" s="2" t="str">
        <x:v>Tp Hồ Chí Minh</x:v>
      </x:c>
      <x:c r="D5070" s="2" t="str">
        <x:v>Quận Gò Vấp</x:v>
      </x:c>
      <x:c r="E5070" s="2" t="str">
        <x:v>house</x:v>
      </x:c>
      <x:c r="F5070" s="2" t="str">
        <x:v>sale_assumed</x:v>
      </x:c>
      <x:c r="G5070" s="11" t="n">
        <x:v>44</x:v>
      </x:c>
      <x:c r="H5070" s="12" t="n">
        <x:v>1240000000</x:v>
      </x:c>
      <x:c r="I5070" s="12" t="n">
        <x:v>28181818.181818184</x:v>
      </x:c>
      <x:c r="J5070" s="2" t="str">
        <x:v>total</x:v>
      </x:c>
      <x:c r="K5070" s="2" t="str">
        <x:v>top_level_area</x:v>
      </x:c>
      <x:c r="L5070" s="2" t="str">
        <x:v>property_type_inferred_from_title;transaction_assumed_sale_from_dataset_context</x:v>
      </x:c>
      <x:c r="M5070" s="10" t="n">
        <x:v>0</x:v>
      </x:c>
      <x:c r="N5070" s="10" t="n">
        <x:v>0</x:v>
      </x:c>
      <x:c r="O5070" s="2" t="str">
        <x:v>Tp Hồ Chí Minh|house</x:v>
      </x:c>
      <x:c r="P5070" s="10" t="n">
        <x:v>2</x:v>
      </x:c>
      <x:c r="Q5070" s="13" t="n">
        <x:f>IF(H5070="","",H5070/1000000000)</x:f>
        <x:v>1.24</x:v>
      </x:c>
      <x:c r="R5070" s="13" t="n">
        <x:f>IF(I5070="","",I5070/1000000)</x:f>
        <x:v>28.181818181818183</x:v>
      </x:c>
    </x:row>
    <x:row r="5071" ht="21" customHeight="1">
      <x:c r="A5071" s="10" t="n">
        <x:v>6685</x:v>
      </x:c>
      <x:c r="B5071" s="2" t="str">
        <x:v>feb8d67a9f8a3761fcf5</x:v>
      </x:c>
      <x:c r="C5071" s="2" t="str">
        <x:v>Tp Hồ Chí Minh</x:v>
      </x:c>
      <x:c r="D5071" s="2" t="str">
        <x:v>Quận 12</x:v>
      </x:c>
      <x:c r="E5071" s="2" t="str">
        <x:v>house</x:v>
      </x:c>
      <x:c r="F5071" s="2" t="str">
        <x:v>sale_assumed</x:v>
      </x:c>
      <x:c r="G5071" s="11" t="n">
        <x:v>62</x:v>
      </x:c>
      <x:c r="H5071" s="12" t="n">
        <x:v>3570000000</x:v>
      </x:c>
      <x:c r="I5071" s="12" t="n">
        <x:v>57580645.161290325</x:v>
      </x:c>
      <x:c r="J5071" s="2" t="str">
        <x:v>total</x:v>
      </x:c>
      <x:c r="K5071" s="2" t="str">
        <x:v>top_level_area</x:v>
      </x:c>
      <x:c r="L5071" s="2" t="str">
        <x:v>property_type_inferred_from_title;transaction_assumed_sale_from_dataset_context</x:v>
      </x:c>
      <x:c r="M5071" s="10" t="n">
        <x:v>0</x:v>
      </x:c>
      <x:c r="N5071" s="10" t="n">
        <x:v>0</x:v>
      </x:c>
      <x:c r="O5071" s="2" t="str">
        <x:v>Tp Hồ Chí Minh|house</x:v>
      </x:c>
      <x:c r="P5071" s="10" t="n">
        <x:v>2</x:v>
      </x:c>
      <x:c r="Q5071" s="13" t="n">
        <x:f>IF(H5071="","",H5071/1000000000)</x:f>
        <x:v>3.57</x:v>
      </x:c>
      <x:c r="R5071" s="13" t="n">
        <x:f>IF(I5071="","",I5071/1000000)</x:f>
        <x:v>57.58064516129033</x:v>
      </x:c>
    </x:row>
    <x:row r="5072" ht="21" customHeight="1">
      <x:c r="A5072" s="10" t="n">
        <x:v>6686</x:v>
      </x:c>
      <x:c r="B5072" s="2" t="str">
        <x:v>1e37f16f48047ded5859</x:v>
      </x:c>
      <x:c r="C5072" s="2" t="str">
        <x:v>Tp Hồ Chí Minh</x:v>
      </x:c>
      <x:c r="D5072" s="2" t="str">
        <x:v>Quận Gò Vấp</x:v>
      </x:c>
      <x:c r="E5072" s="2" t="str">
        <x:v>other_unknown</x:v>
      </x:c>
      <x:c r="F5072" s="2" t="str">
        <x:v>sale_assumed</x:v>
      </x:c>
      <x:c r="G5072" s="11" t="n">
        <x:v>77</x:v>
      </x:c>
      <x:c r="H5072" s="12" t="n">
        <x:v>1450000000</x:v>
      </x:c>
      <x:c r="I5072" s="12" t="n">
        <x:v>18831168.83116883</x:v>
      </x:c>
      <x:c r="J5072" s="2" t="str">
        <x:v>total</x:v>
      </x:c>
      <x:c r="K5072" s="2" t="str">
        <x:v>top_level_area</x:v>
      </x:c>
      <x:c r="L5072" s="2" t="str">
        <x:v>property_type_inferred_from_title;transaction_assumed_sale_from_dataset_context;unknown_property_type</x:v>
      </x:c>
      <x:c r="M5072" s="10" t="n">
        <x:v>0</x:v>
      </x:c>
      <x:c r="N5072" s="10" t="n">
        <x:v>0</x:v>
      </x:c>
      <x:c r="O5072" s="2" t="str">
        <x:v>Tp Hồ Chí Minh|other_unknown</x:v>
      </x:c>
      <x:c r="P5072" s="10" t="n">
        <x:v>2</x:v>
      </x:c>
      <x:c r="Q5072" s="13" t="n">
        <x:f>IF(H5072="","",H5072/1000000000)</x:f>
        <x:v>1.45</x:v>
      </x:c>
      <x:c r="R5072" s="13" t="n">
        <x:f>IF(I5072="","",I5072/1000000)</x:f>
        <x:v>18.83116883116883</x:v>
      </x:c>
    </x:row>
    <x:row r="5073" ht="21" customHeight="1">
      <x:c r="A5073" s="10" t="n">
        <x:v>6687</x:v>
      </x:c>
      <x:c r="B5073" s="2" t="str">
        <x:v>fe0287c8208fa9fe9d8e</x:v>
      </x:c>
      <x:c r="C5073" s="2" t="str">
        <x:v>Hà Nội</x:v>
      </x:c>
      <x:c r="D5073" s="2" t="str">
        <x:v>Quận Đống Đa</x:v>
      </x:c>
      <x:c r="E5073" s="2" t="str">
        <x:v>house</x:v>
      </x:c>
      <x:c r="F5073" s="2" t="str">
        <x:v>sale</x:v>
      </x:c>
      <x:c r="G5073" s="11" t="n">
        <x:v>21</x:v>
      </x:c>
      <x:c r="H5073" s="12" t="n">
        <x:v>1550000000</x:v>
      </x:c>
      <x:c r="I5073" s="12" t="n">
        <x:v>73809523.8095238</x:v>
      </x:c>
      <x:c r="J5073" s="2" t="str">
        <x:v>total</x:v>
      </x:c>
      <x:c r="K5073" s="2" t="str">
        <x:v>top_level_area</x:v>
      </x:c>
      <x:c r="L5073" s="2" t="str">
        <x:v>property_type_inferred_from_title</x:v>
      </x:c>
      <x:c r="M5073" s="10" t="n">
        <x:v>0</x:v>
      </x:c>
      <x:c r="N5073" s="10" t="n">
        <x:v>0</x:v>
      </x:c>
      <x:c r="O5073" s="2" t="str">
        <x:v>Hà Nội|house</x:v>
      </x:c>
      <x:c r="P5073" s="10" t="n">
        <x:v>2</x:v>
      </x:c>
      <x:c r="Q5073" s="13" t="n">
        <x:f>IF(H5073="","",H5073/1000000000)</x:f>
        <x:v>1.55</x:v>
      </x:c>
      <x:c r="R5073" s="13" t="n">
        <x:f>IF(I5073="","",I5073/1000000)</x:f>
        <x:v>73.80952380952381</x:v>
      </x:c>
    </x:row>
    <x:row r="5074" ht="21" customHeight="1">
      <x:c r="A5074" s="10" t="n">
        <x:v>6690</x:v>
      </x:c>
      <x:c r="B5074" s="2" t="str">
        <x:v>d24dac0bed5d4cee82fe</x:v>
      </x:c>
      <x:c r="C5074" s="2" t="str">
        <x:v>Hà Nội</x:v>
      </x:c>
      <x:c r="D5074" s="2" t="str">
        <x:v>Quận Đống Đa</x:v>
      </x:c>
      <x:c r="E5074" s="2" t="str">
        <x:v>house</x:v>
      </x:c>
      <x:c r="F5074" s="2" t="str">
        <x:v>sale</x:v>
      </x:c>
      <x:c r="G5074" s="11" t="n">
        <x:v>30</x:v>
      </x:c>
      <x:c r="H5074" s="12" t="n">
        <x:v>5250000000</x:v>
      </x:c>
      <x:c r="I5074" s="12" t="n">
        <x:v>175000000</x:v>
      </x:c>
      <x:c r="J5074" s="2" t="str">
        <x:v>total</x:v>
      </x:c>
      <x:c r="K5074" s="2" t="str">
        <x:v>top_level_area</x:v>
      </x:c>
      <x:c r="L5074" s="2" t="str">
        <x:v>property_type_inferred_from_title</x:v>
      </x:c>
      <x:c r="M5074" s="10" t="n">
        <x:v>1</x:v>
      </x:c>
      <x:c r="N5074" s="10" t="n">
        <x:v>1</x:v>
      </x:c>
      <x:c r="O5074" s="2" t="str">
        <x:v>Hà Nội|house</x:v>
      </x:c>
      <x:c r="P5074" s="10" t="n">
        <x:v>-1</x:v>
      </x:c>
      <x:c r="Q5074" s="13" t="n">
        <x:f>IF(H5074="","",H5074/1000000000)</x:f>
        <x:v>5.25</x:v>
      </x:c>
      <x:c r="R5074" s="13" t="n">
        <x:f>IF(I5074="","",I5074/1000000)</x:f>
        <x:v>175</x:v>
      </x:c>
    </x:row>
    <x:row r="5075" ht="21" customHeight="1">
      <x:c r="A5075" s="10" t="n">
        <x:v>6691</x:v>
      </x:c>
      <x:c r="B5075" s="2" t="str">
        <x:v>bc6ad4039e8444d11955</x:v>
      </x:c>
      <x:c r="C5075" s="2" t="str">
        <x:v>Tp Hồ Chí Minh</x:v>
      </x:c>
      <x:c r="D5075" s="2" t="str">
        <x:v>Huyện Bình Chánh</x:v>
      </x:c>
      <x:c r="E5075" s="2" t="str">
        <x:v>house</x:v>
      </x:c>
      <x:c r="F5075" s="2" t="str">
        <x:v>sale_assumed</x:v>
      </x:c>
      <x:c r="G5075" s="11" t="n">
        <x:v>64</x:v>
      </x:c>
      <x:c r="H5075" s="12" t="n">
        <x:v>290000000</x:v>
      </x:c>
      <x:c r="I5075" s="12" t="n">
        <x:v>4531250</x:v>
      </x:c>
      <x:c r="J5075" s="2" t="str">
        <x:v>total</x:v>
      </x:c>
      <x:c r="K5075" s="2" t="str">
        <x:v>top_level_area</x:v>
      </x:c>
      <x:c r="L5075" s="2" t="str">
        <x:v>property_type_inferred_from_title;transaction_assumed_sale_from_dataset_context</x:v>
      </x:c>
      <x:c r="M5075" s="10" t="n">
        <x:v>0</x:v>
      </x:c>
      <x:c r="N5075" s="10" t="n">
        <x:v>0</x:v>
      </x:c>
      <x:c r="O5075" s="2" t="str">
        <x:v>Tp Hồ Chí Minh|house</x:v>
      </x:c>
      <x:c r="P5075" s="10" t="n">
        <x:v>2</x:v>
      </x:c>
      <x:c r="Q5075" s="13" t="n">
        <x:f>IF(H5075="","",H5075/1000000000)</x:f>
        <x:v>0.29</x:v>
      </x:c>
      <x:c r="R5075" s="13" t="n">
        <x:f>IF(I5075="","",I5075/1000000)</x:f>
        <x:v>4.53125</x:v>
      </x:c>
    </x:row>
    <x:row r="5076" ht="21" customHeight="1">
      <x:c r="A5076" s="10" t="n">
        <x:v>6692</x:v>
      </x:c>
      <x:c r="B5076" s="2" t="str">
        <x:v>d8a962881f0ef2025c1f</x:v>
      </x:c>
      <x:c r="C5076" s="2" t="str">
        <x:v>Bình Phước</x:v>
      </x:c>
      <x:c r="D5076" s="2" t="str">
        <x:v>Huyện Chơn Thành</x:v>
      </x:c>
      <x:c r="E5076" s="2" t="str">
        <x:v>other_unknown</x:v>
      </x:c>
      <x:c r="F5076" s="2" t="str">
        <x:v>sale_assumed</x:v>
      </x:c>
      <x:c r="G5076" s="11" t="n">
        <x:v>1000</x:v>
      </x:c>
      <x:c r="H5076" s="12" t="n">
        <x:v>400000000</x:v>
      </x:c>
      <x:c r="I5076" s="12" t="n">
        <x:v>400000</x:v>
      </x:c>
      <x:c r="J5076" s="2" t="str">
        <x:v>total</x:v>
      </x:c>
      <x:c r="K5076" s="2" t="str">
        <x:v>top_level_area</x:v>
      </x:c>
      <x:c r="L5076" s="2" t="str">
        <x:v>dot_thousands_convention;property_type_inferred_from_title;transaction_assumed_sale_from_dataset_context;unknown_property_type</x:v>
      </x:c>
      <x:c r="M5076" s="10" t="n">
        <x:v>0</x:v>
      </x:c>
      <x:c r="N5076" s="10" t="n">
        <x:v>0</x:v>
      </x:c>
      <x:c r="O5076" s="2" t="str">
        <x:v>other_unknown</x:v>
      </x:c>
      <x:c r="P5076" s="10" t="n">
        <x:v>1</x:v>
      </x:c>
      <x:c r="Q5076" s="13" t="n">
        <x:f>IF(H5076="","",H5076/1000000000)</x:f>
        <x:v>0.4</x:v>
      </x:c>
      <x:c r="R5076" s="13" t="n">
        <x:f>IF(I5076="","",I5076/1000000)</x:f>
        <x:v>0.4</x:v>
      </x:c>
    </x:row>
    <x:row r="5077" ht="21" customHeight="1">
      <x:c r="A5077" s="10" t="n">
        <x:v>6693</x:v>
      </x:c>
      <x:c r="B5077" s="2" t="str">
        <x:v>9607d0075580a0127507</x:v>
      </x:c>
      <x:c r="C5077" s="2" t="str">
        <x:v>Thừa Thiên Huế</x:v>
      </x:c>
      <x:c r="D5077" s="2" t="str">
        <x:v>Huyện Phú Vang</x:v>
      </x:c>
      <x:c r="E5077" s="2" t="str">
        <x:v>land</x:v>
      </x:c>
      <x:c r="F5077" s="2" t="str">
        <x:v>sale_assumed</x:v>
      </x:c>
      <x:c r="G5077" s="11" t="n">
        <x:v>75</x:v>
      </x:c>
      <x:c r="H5077" s="12" t="n">
        <x:v>1200000000</x:v>
      </x:c>
      <x:c r="I5077" s="12" t="n">
        <x:v>16000000</x:v>
      </x:c>
      <x:c r="J5077" s="2" t="str">
        <x:v>total</x:v>
      </x:c>
      <x:c r="K5077" s="2" t="str">
        <x:v>top_level_area</x:v>
      </x:c>
      <x:c r="L5077" s="2" t="str">
        <x:v>property_type_inferred_from_title;transaction_assumed_sale_from_dataset_context</x:v>
      </x:c>
      <x:c r="M5077" s="10" t="n">
        <x:v>0</x:v>
      </x:c>
      <x:c r="N5077" s="10" t="n">
        <x:v>0</x:v>
      </x:c>
      <x:c r="O5077" s="2" t="str">
        <x:v>land</x:v>
      </x:c>
      <x:c r="P5077" s="10" t="n">
        <x:v>2</x:v>
      </x:c>
      <x:c r="Q5077" s="13" t="n">
        <x:f>IF(H5077="","",H5077/1000000000)</x:f>
        <x:v>1.2</x:v>
      </x:c>
      <x:c r="R5077" s="13" t="n">
        <x:f>IF(I5077="","",I5077/1000000)</x:f>
        <x:v>16</x:v>
      </x:c>
    </x:row>
    <x:row r="5078" ht="21" customHeight="1">
      <x:c r="A5078" s="10" t="n">
        <x:v>6694</x:v>
      </x:c>
      <x:c r="B5078" s="2" t="str">
        <x:v>690449edad5c034ce14f</x:v>
      </x:c>
      <x:c r="C5078" s="2" t="str">
        <x:v>Tp Hồ Chí Minh</x:v>
      </x:c>
      <x:c r="D5078" s="2" t="str">
        <x:v>Quận 12</x:v>
      </x:c>
      <x:c r="E5078" s="2" t="str">
        <x:v>house</x:v>
      </x:c>
      <x:c r="F5078" s="2" t="str">
        <x:v>sale</x:v>
      </x:c>
      <x:c r="G5078" s="11" t="n">
        <x:v>34</x:v>
      </x:c>
      <x:c r="H5078" s="12" t="n">
        <x:v>1670000000</x:v>
      </x:c>
      <x:c r="I5078" s="12" t="n">
        <x:v>49117647.058823526</x:v>
      </x:c>
      <x:c r="J5078" s="2" t="str">
        <x:v>total</x:v>
      </x:c>
      <x:c r="K5078" s="2" t="str">
        <x:v>top_level_area</x:v>
      </x:c>
      <x:c r="L5078" s="2" t="str">
        <x:v>property_type_inferred_from_title</x:v>
      </x:c>
      <x:c r="M5078" s="10" t="n">
        <x:v>0</x:v>
      </x:c>
      <x:c r="N5078" s="10" t="n">
        <x:v>0</x:v>
      </x:c>
      <x:c r="O5078" s="2" t="str">
        <x:v>Tp Hồ Chí Minh|house</x:v>
      </x:c>
      <x:c r="P5078" s="10" t="n">
        <x:v>2</x:v>
      </x:c>
      <x:c r="Q5078" s="13" t="n">
        <x:f>IF(H5078="","",H5078/1000000000)</x:f>
        <x:v>1.67</x:v>
      </x:c>
      <x:c r="R5078" s="13" t="n">
        <x:f>IF(I5078="","",I5078/1000000)</x:f>
        <x:v>49.11764705882353</x:v>
      </x:c>
    </x:row>
    <x:row r="5079" ht="21" customHeight="1">
      <x:c r="A5079" s="10" t="n">
        <x:v>6695</x:v>
      </x:c>
      <x:c r="B5079" s="2" t="str">
        <x:v>7da628f061a0fc04e8cb</x:v>
      </x:c>
      <x:c r="C5079" s="2" t="str">
        <x:v>Tiền Giang</x:v>
      </x:c>
      <x:c r="D5079" s="2" t="str">
        <x:v>Huyện Châu Thành</x:v>
      </x:c>
      <x:c r="E5079" s="2" t="str">
        <x:v>house</x:v>
      </x:c>
      <x:c r="F5079" s="2" t="str">
        <x:v>sale_assumed</x:v>
      </x:c>
      <x:c r="G5079" s="11" t="n">
        <x:v>65</x:v>
      </x:c>
      <x:c r="H5079" s="12" t="n">
        <x:v>750000000</x:v>
      </x:c>
      <x:c r="I5079" s="12" t="n">
        <x:v>11538461.538461538</x:v>
      </x:c>
      <x:c r="J5079" s="2" t="str">
        <x:v>total</x:v>
      </x:c>
      <x:c r="K5079" s="2" t="str">
        <x:v>top_level_area</x:v>
      </x:c>
      <x:c r="L5079" s="2" t="str">
        <x:v>property_type_inferred_from_title;transaction_assumed_sale_from_dataset_context</x:v>
      </x:c>
      <x:c r="M5079" s="10" t="n">
        <x:v>0</x:v>
      </x:c>
      <x:c r="N5079" s="10" t="n">
        <x:v>0</x:v>
      </x:c>
      <x:c r="O5079" s="2" t="str">
        <x:v>house</x:v>
      </x:c>
      <x:c r="P5079" s="10" t="n">
        <x:v>2</x:v>
      </x:c>
      <x:c r="Q5079" s="13" t="n">
        <x:f>IF(H5079="","",H5079/1000000000)</x:f>
        <x:v>0.75</x:v>
      </x:c>
      <x:c r="R5079" s="13" t="n">
        <x:f>IF(I5079="","",I5079/1000000)</x:f>
        <x:v>11.538461538461538</x:v>
      </x:c>
    </x:row>
    <x:row r="5080" ht="21" customHeight="1">
      <x:c r="A5080" s="10" t="n">
        <x:v>6696</x:v>
      </x:c>
      <x:c r="B5080" s="2" t="str">
        <x:v>c504f21a9888183b89d8</x:v>
      </x:c>
      <x:c r="C5080" s="2" t="str">
        <x:v>Hà Nội</x:v>
      </x:c>
      <x:c r="D5080" s="2" t="str">
        <x:v>Quận Hoàng Mai</x:v>
      </x:c>
      <x:c r="E5080" s="2" t="str">
        <x:v>other_unknown</x:v>
      </x:c>
      <x:c r="F5080" s="2" t="str">
        <x:v>sale</x:v>
      </x:c>
      <x:c r="G5080" s="11" t="n">
        <x:v>40</x:v>
      </x:c>
      <x:c r="H5080" s="12" t="n">
        <x:v>3900000000</x:v>
      </x:c>
      <x:c r="I5080" s="12" t="n">
        <x:v>97500000</x:v>
      </x:c>
      <x:c r="J5080" s="2" t="str">
        <x:v>total</x:v>
      </x:c>
      <x:c r="K5080" s="2" t="str">
        <x:v>top_level_area</x:v>
      </x:c>
      <x:c r="L5080" s="2" t="str">
        <x:v>property_type_inferred_from_title;unknown_property_type</x:v>
      </x:c>
      <x:c r="M5080" s="10" t="n">
        <x:v>0</x:v>
      </x:c>
      <x:c r="N5080" s="10" t="n">
        <x:v>0</x:v>
      </x:c>
      <x:c r="O5080" s="2" t="str">
        <x:v>Hà Nội|other_unknown</x:v>
      </x:c>
      <x:c r="P5080" s="10" t="n">
        <x:v>2</x:v>
      </x:c>
      <x:c r="Q5080" s="13" t="n">
        <x:f>IF(H5080="","",H5080/1000000000)</x:f>
        <x:v>3.9</x:v>
      </x:c>
      <x:c r="R5080" s="13" t="n">
        <x:f>IF(I5080="","",I5080/1000000)</x:f>
        <x:v>97.5</x:v>
      </x:c>
    </x:row>
    <x:row r="5081" ht="21" customHeight="1">
      <x:c r="A5081" s="10" t="n">
        <x:v>6697</x:v>
      </x:c>
      <x:c r="B5081" s="2" t="str">
        <x:v>f755916c0b58c08827a0</x:v>
      </x:c>
      <x:c r="C5081" s="2" t="str">
        <x:v>Bình Phước</x:v>
      </x:c>
      <x:c r="D5081" s="2" t="str">
        <x:v>Huyện Chơn Thành</x:v>
      </x:c>
      <x:c r="E5081" s="2" t="str">
        <x:v>house</x:v>
      </x:c>
      <x:c r="F5081" s="2" t="str">
        <x:v>sale_assumed</x:v>
      </x:c>
      <x:c r="G5081" s="11" t="n">
        <x:v>500</x:v>
      </x:c>
      <x:c r="H5081" s="12" t="n">
        <x:v>650000000</x:v>
      </x:c>
      <x:c r="I5081" s="12" t="n">
        <x:v>1300000</x:v>
      </x:c>
      <x:c r="J5081" s="2" t="str">
        <x:v>total</x:v>
      </x:c>
      <x:c r="K5081" s="2" t="str">
        <x:v>top_level_area</x:v>
      </x:c>
      <x:c r="L5081" s="2" t="str">
        <x:v>property_type_inferred_from_title;transaction_assumed_sale_from_dataset_context</x:v>
      </x:c>
      <x:c r="M5081" s="10" t="n">
        <x:v>0</x:v>
      </x:c>
      <x:c r="N5081" s="10" t="n">
        <x:v>0</x:v>
      </x:c>
      <x:c r="O5081" s="2" t="str">
        <x:v>house</x:v>
      </x:c>
      <x:c r="P5081" s="10" t="n">
        <x:v>1</x:v>
      </x:c>
      <x:c r="Q5081" s="13" t="n">
        <x:f>IF(H5081="","",H5081/1000000000)</x:f>
        <x:v>0.65</x:v>
      </x:c>
      <x:c r="R5081" s="13" t="n">
        <x:f>IF(I5081="","",I5081/1000000)</x:f>
        <x:v>1.3</x:v>
      </x:c>
    </x:row>
    <x:row r="5082" ht="21" customHeight="1">
      <x:c r="A5082" s="10" t="n">
        <x:v>6698</x:v>
      </x:c>
      <x:c r="B5082" s="2" t="str">
        <x:v>b25e7e6d89770d674046</x:v>
      </x:c>
      <x:c r="C5082" s="2" t="str">
        <x:v>Bình Dương</x:v>
      </x:c>
      <x:c r="D5082" s="2" t="str">
        <x:v>Thị xã Bến Cát</x:v>
      </x:c>
      <x:c r="E5082" s="2" t="str">
        <x:v>house</x:v>
      </x:c>
      <x:c r="F5082" s="2" t="str">
        <x:v>sale</x:v>
      </x:c>
      <x:c r="G5082" s="11" t="n">
        <x:v>100</x:v>
      </x:c>
      <x:c r="H5082" s="12" t="n">
        <x:v>2100000000</x:v>
      </x:c>
      <x:c r="I5082" s="12" t="n">
        <x:v>21000000</x:v>
      </x:c>
      <x:c r="J5082" s="2" t="str">
        <x:v>total</x:v>
      </x:c>
      <x:c r="K5082" s="2" t="str">
        <x:v>top_level_area</x:v>
      </x:c>
      <x:c r="L5082" s="2" t="str">
        <x:v>property_type_inferred_from_title</x:v>
      </x:c>
      <x:c r="M5082" s="10" t="n">
        <x:v>0</x:v>
      </x:c>
      <x:c r="N5082" s="10" t="n">
        <x:v>0</x:v>
      </x:c>
      <x:c r="O5082" s="2" t="str">
        <x:v>Bình Dương|house</x:v>
      </x:c>
      <x:c r="P5082" s="10" t="n">
        <x:v>2</x:v>
      </x:c>
      <x:c r="Q5082" s="13" t="n">
        <x:f>IF(H5082="","",H5082/1000000000)</x:f>
        <x:v>2.1</x:v>
      </x:c>
      <x:c r="R5082" s="13" t="n">
        <x:f>IF(I5082="","",I5082/1000000)</x:f>
        <x:v>21</x:v>
      </x:c>
    </x:row>
    <x:row r="5083" ht="21" customHeight="1">
      <x:c r="A5083" s="10" t="n">
        <x:v>6699</x:v>
      </x:c>
      <x:c r="B5083" s="2" t="str">
        <x:v>6c63dc9fc889d0e45fd9</x:v>
      </x:c>
      <x:c r="C5083" s="2" t="str">
        <x:v>Tp Hồ Chí Minh</x:v>
      </x:c>
      <x:c r="D5083" s="2" t="str">
        <x:v>Quận Bình Tân</x:v>
      </x:c>
      <x:c r="E5083" s="2" t="str">
        <x:v>house</x:v>
      </x:c>
      <x:c r="F5083" s="2" t="str">
        <x:v>sale</x:v>
      </x:c>
      <x:c r="G5083" s="11" t="n">
        <x:v>44</x:v>
      </x:c>
      <x:c r="H5083" s="12" t="n">
        <x:v>980000000</x:v>
      </x:c>
      <x:c r="I5083" s="12" t="n">
        <x:v>22272727.272727273</x:v>
      </x:c>
      <x:c r="J5083" s="2" t="str">
        <x:v>total</x:v>
      </x:c>
      <x:c r="K5083" s="2" t="str">
        <x:v>top_level_area</x:v>
      </x:c>
      <x:c r="L5083" s="2" t="str">
        <x:v>property_type_inferred_from_title</x:v>
      </x:c>
      <x:c r="M5083" s="10" t="n">
        <x:v>0</x:v>
      </x:c>
      <x:c r="N5083" s="10" t="n">
        <x:v>0</x:v>
      </x:c>
      <x:c r="O5083" s="2" t="str">
        <x:v>Tp Hồ Chí Minh|house</x:v>
      </x:c>
      <x:c r="P5083" s="10" t="n">
        <x:v>2</x:v>
      </x:c>
      <x:c r="Q5083" s="13" t="n">
        <x:f>IF(H5083="","",H5083/1000000000)</x:f>
        <x:v>0.98</x:v>
      </x:c>
      <x:c r="R5083" s="13" t="n">
        <x:f>IF(I5083="","",I5083/1000000)</x:f>
        <x:v>22.272727272727273</x:v>
      </x:c>
    </x:row>
    <x:row r="5084" ht="21" customHeight="1">
      <x:c r="A5084" s="10" t="n">
        <x:v>6700</x:v>
      </x:c>
      <x:c r="B5084" s="2" t="str">
        <x:v>e364bedbafda3cce4392</x:v>
      </x:c>
      <x:c r="C5084" s="2" t="str">
        <x:v>Tp Hồ Chí Minh</x:v>
      </x:c>
      <x:c r="D5084" s="2" t="str">
        <x:v>Quận Gò Vấp</x:v>
      </x:c>
      <x:c r="E5084" s="2" t="str">
        <x:v>house</x:v>
      </x:c>
      <x:c r="F5084" s="2" t="str">
        <x:v>sale_assumed</x:v>
      </x:c>
      <x:c r="G5084" s="11" t="n">
        <x:v>46</x:v>
      </x:c>
      <x:c r="H5084" s="12" t="n">
        <x:v>1280000000</x:v>
      </x:c>
      <x:c r="I5084" s="12" t="n">
        <x:v>27826086.95652174</x:v>
      </x:c>
      <x:c r="J5084" s="2" t="str">
        <x:v>total</x:v>
      </x:c>
      <x:c r="K5084" s="2" t="str">
        <x:v>top_level_area</x:v>
      </x:c>
      <x:c r="L5084" s="2" t="str">
        <x:v>property_type_inferred_from_title;transaction_assumed_sale_from_dataset_context</x:v>
      </x:c>
      <x:c r="M5084" s="10" t="n">
        <x:v>0</x:v>
      </x:c>
      <x:c r="N5084" s="10" t="n">
        <x:v>0</x:v>
      </x:c>
      <x:c r="O5084" s="2" t="str">
        <x:v>Tp Hồ Chí Minh|house</x:v>
      </x:c>
      <x:c r="P5084" s="10" t="n">
        <x:v>2</x:v>
      </x:c>
      <x:c r="Q5084" s="13" t="n">
        <x:f>IF(H5084="","",H5084/1000000000)</x:f>
        <x:v>1.28</x:v>
      </x:c>
      <x:c r="R5084" s="13" t="n">
        <x:f>IF(I5084="","",I5084/1000000)</x:f>
        <x:v>27.82608695652174</x:v>
      </x:c>
    </x:row>
    <x:row r="5085" ht="21" customHeight="1">
      <x:c r="A5085" s="10" t="n">
        <x:v>6701</x:v>
      </x:c>
      <x:c r="B5085" s="2" t="str">
        <x:v>b38d080c4f1963f5a40d</x:v>
      </x:c>
      <x:c r="C5085" s="2" t="str">
        <x:v>Lâm Đồng</x:v>
      </x:c>
      <x:c r="D5085" s="2" t="str">
        <x:v>Thành phố Bảo Lộc</x:v>
      </x:c>
      <x:c r="E5085" s="2" t="str">
        <x:v>land</x:v>
      </x:c>
      <x:c r="F5085" s="2" t="str">
        <x:v>sale_assumed</x:v>
      </x:c>
      <x:c r="G5085" s="11" t="n">
        <x:v>125</x:v>
      </x:c>
      <x:c r="H5085" s="12" t="n">
        <x:v>380000000</x:v>
      </x:c>
      <x:c r="I5085" s="12" t="n">
        <x:v>3040000</x:v>
      </x:c>
      <x:c r="J5085" s="2" t="str">
        <x:v>total</x:v>
      </x:c>
      <x:c r="K5085" s="2" t="str">
        <x:v>top_level_area</x:v>
      </x:c>
      <x:c r="L5085" s="2" t="str">
        <x:v>property_type_inferred_from_title;transaction_assumed_sale_from_dataset_context</x:v>
      </x:c>
      <x:c r="M5085" s="10" t="n">
        <x:v>0</x:v>
      </x:c>
      <x:c r="N5085" s="10" t="n">
        <x:v>0</x:v>
      </x:c>
      <x:c r="O5085" s="2" t="str">
        <x:v>Lâm Đồng|land</x:v>
      </x:c>
      <x:c r="P5085" s="10" t="n">
        <x:v>1</x:v>
      </x:c>
      <x:c r="Q5085" s="13" t="n">
        <x:f>IF(H5085="","",H5085/1000000000)</x:f>
        <x:v>0.38</x:v>
      </x:c>
      <x:c r="R5085" s="13" t="n">
        <x:f>IF(I5085="","",I5085/1000000)</x:f>
        <x:v>3.04</x:v>
      </x:c>
    </x:row>
    <x:row r="5086" ht="21" customHeight="1">
      <x:c r="A5086" s="10" t="n">
        <x:v>6702</x:v>
      </x:c>
      <x:c r="B5086" s="2" t="str">
        <x:v>35290e0a5ca8e6a5166d</x:v>
      </x:c>
      <x:c r="C5086" s="2" t="str">
        <x:v>Tp Hồ Chí Minh</x:v>
      </x:c>
      <x:c r="D5086" s="2" t="str">
        <x:v>Quận 12</x:v>
      </x:c>
      <x:c r="E5086" s="2" t="str">
        <x:v>house</x:v>
      </x:c>
      <x:c r="F5086" s="2" t="str">
        <x:v>sale_assumed</x:v>
      </x:c>
      <x:c r="G5086" s="11" t="n">
        <x:v>32</x:v>
      </x:c>
      <x:c r="H5086" s="12" t="n">
        <x:v>1629000000</x:v>
      </x:c>
      <x:c r="I5086" s="12" t="n">
        <x:v>50906250</x:v>
      </x:c>
      <x:c r="J5086" s="2" t="str">
        <x:v>total</x:v>
      </x:c>
      <x:c r="K5086" s="2" t="str">
        <x:v>top_level_area</x:v>
      </x:c>
      <x:c r="L5086" s="2" t="str">
        <x:v>property_type_inferred_from_title;transaction_assumed_sale_from_dataset_context</x:v>
      </x:c>
      <x:c r="M5086" s="10" t="n">
        <x:v>0</x:v>
      </x:c>
      <x:c r="N5086" s="10" t="n">
        <x:v>0</x:v>
      </x:c>
      <x:c r="O5086" s="2" t="str">
        <x:v>Tp Hồ Chí Minh|house</x:v>
      </x:c>
      <x:c r="P5086" s="10" t="n">
        <x:v>2</x:v>
      </x:c>
      <x:c r="Q5086" s="13" t="n">
        <x:f>IF(H5086="","",H5086/1000000000)</x:f>
        <x:v>1.629</x:v>
      </x:c>
      <x:c r="R5086" s="13" t="n">
        <x:f>IF(I5086="","",I5086/1000000)</x:f>
        <x:v>50.90625</x:v>
      </x:c>
    </x:row>
    <x:row r="5087" ht="21" customHeight="1">
      <x:c r="A5087" s="10" t="n">
        <x:v>6703</x:v>
      </x:c>
      <x:c r="B5087" s="2" t="str">
        <x:v>463e6d2b8effadca682a</x:v>
      </x:c>
      <x:c r="C5087" s="2" t="str">
        <x:v>Đồng Nai</x:v>
      </x:c>
      <x:c r="D5087" s="2" t="str">
        <x:v>Thành phố Biên Hòa</x:v>
      </x:c>
      <x:c r="E5087" s="2" t="str">
        <x:v>house</x:v>
      </x:c>
      <x:c r="F5087" s="2" t="str">
        <x:v>sale_assumed</x:v>
      </x:c>
      <x:c r="G5087" s="11" t="n">
        <x:v>100</x:v>
      </x:c>
      <x:c r="H5087" s="12" t="n">
        <x:v>1250000000</x:v>
      </x:c>
      <x:c r="I5087" s="12" t="n">
        <x:v>12500000</x:v>
      </x:c>
      <x:c r="J5087" s="2" t="str">
        <x:v>total</x:v>
      </x:c>
      <x:c r="K5087" s="2" t="str">
        <x:v>top_level_area</x:v>
      </x:c>
      <x:c r="L5087" s="2" t="str">
        <x:v>property_type_inferred_from_title;transaction_assumed_sale_from_dataset_context</x:v>
      </x:c>
      <x:c r="M5087" s="10" t="n">
        <x:v>0</x:v>
      </x:c>
      <x:c r="N5087" s="10" t="n">
        <x:v>0</x:v>
      </x:c>
      <x:c r="O5087" s="2" t="str">
        <x:v>Đồng Nai|house</x:v>
      </x:c>
      <x:c r="P5087" s="10" t="n">
        <x:v>2</x:v>
      </x:c>
      <x:c r="Q5087" s="13" t="n">
        <x:f>IF(H5087="","",H5087/1000000000)</x:f>
        <x:v>1.25</x:v>
      </x:c>
      <x:c r="R5087" s="13" t="n">
        <x:f>IF(I5087="","",I5087/1000000)</x:f>
        <x:v>12.5</x:v>
      </x:c>
    </x:row>
    <x:row r="5088" ht="21" customHeight="1">
      <x:c r="A5088" s="10" t="n">
        <x:v>6704</x:v>
      </x:c>
      <x:c r="B5088" s="2" t="str">
        <x:v>275f12b046e2711b9b1d</x:v>
      </x:c>
      <x:c r="C5088" s="2" t="str">
        <x:v>Tp Hồ Chí Minh</x:v>
      </x:c>
      <x:c r="D5088" s="2" t="str">
        <x:v>Quận 8</x:v>
      </x:c>
      <x:c r="E5088" s="2" t="str">
        <x:v>house</x:v>
      </x:c>
      <x:c r="F5088" s="2" t="str">
        <x:v>sale_assumed</x:v>
      </x:c>
      <x:c r="G5088" s="11" t="n">
        <x:v>56.5</x:v>
      </x:c>
      <x:c r="H5088" s="12" t="n">
        <x:v>4400000000</x:v>
      </x:c>
      <x:c r="I5088" s="12" t="n">
        <x:v>77876106.19469027</x:v>
      </x:c>
      <x:c r="J5088" s="2" t="str">
        <x:v>total</x:v>
      </x:c>
      <x:c r="K5088" s="2" t="str">
        <x:v>top_level_price_embedded_area</x:v>
      </x:c>
      <x:c r="L5088" s="2" t="str">
        <x:v>area_recovered_from_price_text;property_type_inferred_from_title;transaction_assumed_sale_from_dataset_context</x:v>
      </x:c>
      <x:c r="M5088" s="10" t="n">
        <x:v>0</x:v>
      </x:c>
      <x:c r="N5088" s="10" t="n">
        <x:v>0</x:v>
      </x:c>
      <x:c r="O5088" s="2" t="str">
        <x:v>Tp Hồ Chí Minh|house</x:v>
      </x:c>
      <x:c r="P5088" s="10" t="n">
        <x:v>2</x:v>
      </x:c>
      <x:c r="Q5088" s="13" t="n">
        <x:f>IF(H5088="","",H5088/1000000000)</x:f>
        <x:v>4.4</x:v>
      </x:c>
      <x:c r="R5088" s="13" t="n">
        <x:f>IF(I5088="","",I5088/1000000)</x:f>
        <x:v>77.87610619469027</x:v>
      </x:c>
    </x:row>
    <x:row r="5089" ht="21" customHeight="1">
      <x:c r="A5089" s="10" t="n">
        <x:v>6705</x:v>
      </x:c>
      <x:c r="B5089" s="2" t="str">
        <x:v>eafe07b843f4288d3763</x:v>
      </x:c>
      <x:c r="C5089" s="2" t="str">
        <x:v>Tp Hồ Chí Minh</x:v>
      </x:c>
      <x:c r="D5089" s="2" t="str">
        <x:v>Quận 10</x:v>
      </x:c>
      <x:c r="E5089" s="2" t="str">
        <x:v>house</x:v>
      </x:c>
      <x:c r="F5089" s="2" t="str">
        <x:v>sale_assumed</x:v>
      </x:c>
      <x:c r="G5089" s="11" t="n">
        <x:v>50</x:v>
      </x:c>
      <x:c r="H5089" s="12" t="n">
        <x:v>14000000000</x:v>
      </x:c>
      <x:c r="I5089" s="12" t="n">
        <x:v>280000000</x:v>
      </x:c>
      <x:c r="J5089" s="2" t="str">
        <x:v>total</x:v>
      </x:c>
      <x:c r="K5089" s="2" t="str">
        <x:v>top_level_area</x:v>
      </x:c>
      <x:c r="L5089" s="2" t="str">
        <x:v>property_type_inferred_from_title;transaction_assumed_sale_from_dataset_context</x:v>
      </x:c>
      <x:c r="M5089" s="10" t="n">
        <x:v>1</x:v>
      </x:c>
      <x:c r="N5089" s="10" t="n">
        <x:v>1</x:v>
      </x:c>
      <x:c r="O5089" s="2" t="str">
        <x:v>Tp Hồ Chí Minh|house</x:v>
      </x:c>
      <x:c r="P5089" s="10" t="n">
        <x:v>-1</x:v>
      </x:c>
      <x:c r="Q5089" s="13" t="n">
        <x:f>IF(H5089="","",H5089/1000000000)</x:f>
        <x:v>14</x:v>
      </x:c>
      <x:c r="R5089" s="13" t="n">
        <x:f>IF(I5089="","",I5089/1000000)</x:f>
        <x:v>280</x:v>
      </x:c>
    </x:row>
    <x:row r="5090" ht="21" customHeight="1">
      <x:c r="A5090" s="10" t="n">
        <x:v>6706</x:v>
      </x:c>
      <x:c r="B5090" s="2" t="str">
        <x:v>2a9ea19d59d0e46cec83</x:v>
      </x:c>
      <x:c r="C5090" s="2" t="str">
        <x:v>Bến Tre</x:v>
      </x:c>
      <x:c r="D5090" s="2" t="str">
        <x:v>Thành phố Bến Tre</x:v>
      </x:c>
      <x:c r="E5090" s="2" t="str">
        <x:v>land</x:v>
      </x:c>
      <x:c r="F5090" s="2" t="str">
        <x:v>sale_assumed</x:v>
      </x:c>
      <x:c r="G5090" s="11" t="n">
        <x:v>207</x:v>
      </x:c>
      <x:c r="H5090" s="12" t="n">
        <x:v>3416000000</x:v>
      </x:c>
      <x:c r="I5090" s="12" t="n">
        <x:v>16502415.458937198</x:v>
      </x:c>
      <x:c r="J5090" s="2" t="str">
        <x:v>total</x:v>
      </x:c>
      <x:c r="K5090" s="2" t="str">
        <x:v>top_level_area</x:v>
      </x:c>
      <x:c r="L5090" s="2" t="str">
        <x:v>property_type_inferred_from_title;transaction_assumed_sale_from_dataset_context</x:v>
      </x:c>
      <x:c r="M5090" s="10" t="n">
        <x:v>0</x:v>
      </x:c>
      <x:c r="N5090" s="10" t="n">
        <x:v>0</x:v>
      </x:c>
      <x:c r="O5090" s="2" t="str">
        <x:v>Bến Tre|land</x:v>
      </x:c>
      <x:c r="P5090" s="10" t="n">
        <x:v>2</x:v>
      </x:c>
      <x:c r="Q5090" s="13" t="n">
        <x:f>IF(H5090="","",H5090/1000000000)</x:f>
        <x:v>3.416</x:v>
      </x:c>
      <x:c r="R5090" s="13" t="n">
        <x:f>IF(I5090="","",I5090/1000000)</x:f>
        <x:v>16.502415458937197</x:v>
      </x:c>
    </x:row>
    <x:row r="5091" ht="21" customHeight="1">
      <x:c r="A5091" s="10" t="n">
        <x:v>6707</x:v>
      </x:c>
      <x:c r="B5091" s="2" t="str">
        <x:v>c6febd1710d23515ef6b</x:v>
      </x:c>
      <x:c r="C5091" s="2" t="str">
        <x:v>Long An</x:v>
      </x:c>
      <x:c r="D5091" s="2" t="str">
        <x:v>Huyện Đức Hòa</x:v>
      </x:c>
      <x:c r="E5091" s="2" t="str">
        <x:v>land</x:v>
      </x:c>
      <x:c r="F5091" s="2" t="str">
        <x:v>sale_assumed</x:v>
      </x:c>
      <x:c r="G5091" s="11" t="n">
        <x:v>240</x:v>
      </x:c>
      <x:c r="H5091" s="12" t="n">
        <x:v>1580000000</x:v>
      </x:c>
      <x:c r="I5091" s="12" t="n">
        <x:v>6583333.333333333</x:v>
      </x:c>
      <x:c r="J5091" s="2" t="str">
        <x:v>total</x:v>
      </x:c>
      <x:c r="K5091" s="2" t="str">
        <x:v>top_level_area</x:v>
      </x:c>
      <x:c r="L5091" s="2" t="str">
        <x:v>property_type_inferred_from_title;transaction_assumed_sale_from_dataset_context</x:v>
      </x:c>
      <x:c r="M5091" s="10" t="n">
        <x:v>0</x:v>
      </x:c>
      <x:c r="N5091" s="10" t="n">
        <x:v>0</x:v>
      </x:c>
      <x:c r="O5091" s="2" t="str">
        <x:v>Long An|land</x:v>
      </x:c>
      <x:c r="P5091" s="10" t="n">
        <x:v>1</x:v>
      </x:c>
      <x:c r="Q5091" s="13" t="n">
        <x:f>IF(H5091="","",H5091/1000000000)</x:f>
        <x:v>1.58</x:v>
      </x:c>
      <x:c r="R5091" s="13" t="n">
        <x:f>IF(I5091="","",I5091/1000000)</x:f>
        <x:v>6.583333333333333</x:v>
      </x:c>
    </x:row>
    <x:row r="5092" ht="21" customHeight="1">
      <x:c r="A5092" s="10" t="n">
        <x:v>6708</x:v>
      </x:c>
      <x:c r="B5092" s="2" t="str">
        <x:v>68edcf9feb2b37718f7e</x:v>
      </x:c>
      <x:c r="C5092" s="2" t="str">
        <x:v>Long An</x:v>
      </x:c>
      <x:c r="D5092" s="2" t="str">
        <x:v>Huyện Đức Hòa</x:v>
      </x:c>
      <x:c r="E5092" s="2" t="str">
        <x:v>house</x:v>
      </x:c>
      <x:c r="F5092" s="2" t="str">
        <x:v>sale_assumed</x:v>
      </x:c>
      <x:c r="G5092" s="11" t="n">
        <x:v>80</x:v>
      </x:c>
      <x:c r="H5092" s="12" t="n">
        <x:v>680000000</x:v>
      </x:c>
      <x:c r="I5092" s="12" t="n">
        <x:v>8500000</x:v>
      </x:c>
      <x:c r="J5092" s="2" t="str">
        <x:v>total</x:v>
      </x:c>
      <x:c r="K5092" s="2" t="str">
        <x:v>top_level_area</x:v>
      </x:c>
      <x:c r="L5092" s="2" t="str">
        <x:v>property_type_inferred_from_title;transaction_assumed_sale_from_dataset_context</x:v>
      </x:c>
      <x:c r="M5092" s="10" t="n">
        <x:v>0</x:v>
      </x:c>
      <x:c r="N5092" s="10" t="n">
        <x:v>0</x:v>
      </x:c>
      <x:c r="O5092" s="2" t="str">
        <x:v>Long An|house</x:v>
      </x:c>
      <x:c r="P5092" s="10" t="n">
        <x:v>2</x:v>
      </x:c>
      <x:c r="Q5092" s="13" t="n">
        <x:f>IF(H5092="","",H5092/1000000000)</x:f>
        <x:v>0.68</x:v>
      </x:c>
      <x:c r="R5092" s="13" t="n">
        <x:f>IF(I5092="","",I5092/1000000)</x:f>
        <x:v>8.5</x:v>
      </x:c>
    </x:row>
    <x:row r="5093" ht="21" customHeight="1">
      <x:c r="A5093" s="10" t="n">
        <x:v>6709</x:v>
      </x:c>
      <x:c r="B5093" s="2" t="str">
        <x:v>f2cfc7e7bddfb0039e41</x:v>
      </x:c>
      <x:c r="C5093" s="2" t="str">
        <x:v>Tp Hồ Chí Minh</x:v>
      </x:c>
      <x:c r="D5093" s="2" t="str">
        <x:v>Quận 9</x:v>
      </x:c>
      <x:c r="E5093" s="2" t="str">
        <x:v>land</x:v>
      </x:c>
      <x:c r="F5093" s="2" t="str">
        <x:v>sale</x:v>
      </x:c>
      <x:c r="G5093" s="11" t="n">
        <x:v>649</x:v>
      </x:c>
      <x:c r="H5093" s="12" t="n">
        <x:v>55000000000</x:v>
      </x:c>
      <x:c r="I5093" s="12" t="n">
        <x:v>84745762.71186441</x:v>
      </x:c>
      <x:c r="J5093" s="2" t="str">
        <x:v>total</x:v>
      </x:c>
      <x:c r="K5093" s="2" t="str">
        <x:v>top_level_area</x:v>
      </x:c>
      <x:c r="L5093" s="2" t="str">
        <x:v>property_type_inferred_from_title</x:v>
      </x:c>
      <x:c r="M5093" s="10" t="n">
        <x:v>0</x:v>
      </x:c>
      <x:c r="N5093" s="10" t="n">
        <x:v>0</x:v>
      </x:c>
      <x:c r="O5093" s="2" t="str">
        <x:v>Tp Hồ Chí Minh|land</x:v>
      </x:c>
      <x:c r="P5093" s="10" t="n">
        <x:v>2</x:v>
      </x:c>
      <x:c r="Q5093" s="13" t="n">
        <x:f>IF(H5093="","",H5093/1000000000)</x:f>
        <x:v>55</x:v>
      </x:c>
      <x:c r="R5093" s="13" t="n">
        <x:f>IF(I5093="","",I5093/1000000)</x:f>
        <x:v>84.74576271186442</x:v>
      </x:c>
    </x:row>
    <x:row r="5094" ht="21" customHeight="1">
      <x:c r="A5094" s="10" t="n">
        <x:v>6712</x:v>
      </x:c>
      <x:c r="B5094" s="2" t="str">
        <x:v>d55279f5173555c6cbb5</x:v>
      </x:c>
      <x:c r="C5094" s="2" t="str">
        <x:v>Tp Hồ Chí Minh</x:v>
      </x:c>
      <x:c r="D5094" s="2" t="str">
        <x:v>Quận Bình Thạnh</x:v>
      </x:c>
      <x:c r="E5094" s="2" t="str">
        <x:v>house</x:v>
      </x:c>
      <x:c r="F5094" s="2" t="str">
        <x:v>sale_assumed</x:v>
      </x:c>
      <x:c r="G5094" s="11" t="n">
        <x:v>55</x:v>
      </x:c>
      <x:c r="H5094" s="12" t="n">
        <x:v>1550000000</x:v>
      </x:c>
      <x:c r="I5094" s="12" t="n">
        <x:v>28181818.181818184</x:v>
      </x:c>
      <x:c r="J5094" s="2" t="str">
        <x:v>total</x:v>
      </x:c>
      <x:c r="K5094" s="2" t="str">
        <x:v>top_level_area</x:v>
      </x:c>
      <x:c r="L5094" s="2" t="str">
        <x:v>property_type_inferred_from_title;transaction_assumed_sale_from_dataset_context</x:v>
      </x:c>
      <x:c r="M5094" s="10" t="n">
        <x:v>0</x:v>
      </x:c>
      <x:c r="N5094" s="10" t="n">
        <x:v>0</x:v>
      </x:c>
      <x:c r="O5094" s="2" t="str">
        <x:v>Tp Hồ Chí Minh|house</x:v>
      </x:c>
      <x:c r="P5094" s="10" t="n">
        <x:v>2</x:v>
      </x:c>
      <x:c r="Q5094" s="13" t="n">
        <x:f>IF(H5094="","",H5094/1000000000)</x:f>
        <x:v>1.55</x:v>
      </x:c>
      <x:c r="R5094" s="13" t="n">
        <x:f>IF(I5094="","",I5094/1000000)</x:f>
        <x:v>28.181818181818183</x:v>
      </x:c>
    </x:row>
    <x:row r="5095" ht="21" customHeight="1">
      <x:c r="A5095" s="10" t="n">
        <x:v>6713</x:v>
      </x:c>
      <x:c r="B5095" s="2" t="str">
        <x:v>3882353fcf844d359fd0</x:v>
      </x:c>
      <x:c r="C5095" s="2" t="str">
        <x:v>Tp Hồ Chí Minh</x:v>
      </x:c>
      <x:c r="D5095" s="2" t="str">
        <x:v>Quận Bình Tân</x:v>
      </x:c>
      <x:c r="E5095" s="2" t="str">
        <x:v>apartment</x:v>
      </x:c>
      <x:c r="F5095" s="2" t="str">
        <x:v>sale_assumed</x:v>
      </x:c>
      <x:c r="G5095" s="11" t="n">
        <x:v>50</x:v>
      </x:c>
      <x:c r="H5095" s="12" t="n">
        <x:v>1450000000</x:v>
      </x:c>
      <x:c r="I5095" s="12" t="n">
        <x:v>29000000</x:v>
      </x:c>
      <x:c r="J5095" s="2" t="str">
        <x:v>total</x:v>
      </x:c>
      <x:c r="K5095" s="2" t="str">
        <x:v>top_level_area</x:v>
      </x:c>
      <x:c r="L5095" s="2" t="str">
        <x:v>property_type_inferred_from_title;transaction_assumed_sale_from_dataset_context</x:v>
      </x:c>
      <x:c r="M5095" s="10" t="n">
        <x:v>0</x:v>
      </x:c>
      <x:c r="N5095" s="10" t="n">
        <x:v>0</x:v>
      </x:c>
      <x:c r="O5095" s="2" t="str">
        <x:v>Tp Hồ Chí Minh|apartment</x:v>
      </x:c>
      <x:c r="P5095" s="10" t="n">
        <x:v>2</x:v>
      </x:c>
      <x:c r="Q5095" s="13" t="n">
        <x:f>IF(H5095="","",H5095/1000000000)</x:f>
        <x:v>1.45</x:v>
      </x:c>
      <x:c r="R5095" s="13" t="n">
        <x:f>IF(I5095="","",I5095/1000000)</x:f>
        <x:v>29</x:v>
      </x:c>
    </x:row>
    <x:row r="5096" ht="21" customHeight="1">
      <x:c r="A5096" s="10" t="n">
        <x:v>6714</x:v>
      </x:c>
      <x:c r="B5096" s="2" t="str">
        <x:v>a0ff59a7e3e6a72fdb10</x:v>
      </x:c>
      <x:c r="C5096" s="2" t="str">
        <x:v>Tp Hồ Chí Minh</x:v>
      </x:c>
      <x:c r="D5096" s="2" t="str">
        <x:v>Huyện Bình Chánh</x:v>
      </x:c>
      <x:c r="E5096" s="2" t="str">
        <x:v>land</x:v>
      </x:c>
      <x:c r="F5096" s="2" t="str">
        <x:v>sale_assumed</x:v>
      </x:c>
      <x:c r="G5096" s="11" t="n">
        <x:v>100</x:v>
      </x:c>
      <x:c r="H5096" s="12" t="n">
        <x:v>3200000000</x:v>
      </x:c>
      <x:c r="I5096" s="12" t="n">
        <x:v>32000000</x:v>
      </x:c>
      <x:c r="J5096" s="2" t="str">
        <x:v>total</x:v>
      </x:c>
      <x:c r="K5096" s="2" t="str">
        <x:v>top_level_price_embedded_area</x:v>
      </x:c>
      <x:c r="L5096" s="2" t="str">
        <x:v>area_recovered_from_price_text;property_type_inferred_from_title;transaction_assumed_sale_from_dataset_context</x:v>
      </x:c>
      <x:c r="M5096" s="10" t="n">
        <x:v>0</x:v>
      </x:c>
      <x:c r="N5096" s="10" t="n">
        <x:v>0</x:v>
      </x:c>
      <x:c r="O5096" s="2" t="str">
        <x:v>Tp Hồ Chí Minh|land</x:v>
      </x:c>
      <x:c r="P5096" s="10" t="n">
        <x:v>2</x:v>
      </x:c>
      <x:c r="Q5096" s="13" t="n">
        <x:f>IF(H5096="","",H5096/1000000000)</x:f>
        <x:v>3.2</x:v>
      </x:c>
      <x:c r="R5096" s="13" t="n">
        <x:f>IF(I5096="","",I5096/1000000)</x:f>
        <x:v>32</x:v>
      </x:c>
    </x:row>
    <x:row r="5097" ht="21" customHeight="1">
      <x:c r="A5097" s="10" t="n">
        <x:v>6715</x:v>
      </x:c>
      <x:c r="B5097" s="2" t="str">
        <x:v>3ce1ebce0a56ba8364df</x:v>
      </x:c>
      <x:c r="C5097" s="2" t="str">
        <x:v>Tp Hồ Chí Minh</x:v>
      </x:c>
      <x:c r="D5097" s="2" t="str">
        <x:v>Quận 11</x:v>
      </x:c>
      <x:c r="E5097" s="2" t="str">
        <x:v>house</x:v>
      </x:c>
      <x:c r="F5097" s="2" t="str">
        <x:v>sale</x:v>
      </x:c>
      <x:c r="G5097" s="11" t="n">
        <x:v>64</x:v>
      </x:c>
      <x:c r="H5097" s="12" t="n">
        <x:v>1320000000</x:v>
      </x:c>
      <x:c r="I5097" s="12" t="n">
        <x:v>20625000</x:v>
      </x:c>
      <x:c r="J5097" s="2" t="str">
        <x:v>total</x:v>
      </x:c>
      <x:c r="K5097" s="2" t="str">
        <x:v>top_level_area</x:v>
      </x:c>
      <x:c r="L5097" s="2" t="str">
        <x:v>property_type_inferred_from_title</x:v>
      </x:c>
      <x:c r="M5097" s="10" t="n">
        <x:v>0</x:v>
      </x:c>
      <x:c r="N5097" s="10" t="n">
        <x:v>0</x:v>
      </x:c>
      <x:c r="O5097" s="2" t="str">
        <x:v>Tp Hồ Chí Minh|house</x:v>
      </x:c>
      <x:c r="P5097" s="10" t="n">
        <x:v>2</x:v>
      </x:c>
      <x:c r="Q5097" s="13" t="n">
        <x:f>IF(H5097="","",H5097/1000000000)</x:f>
        <x:v>1.32</x:v>
      </x:c>
      <x:c r="R5097" s="13" t="n">
        <x:f>IF(I5097="","",I5097/1000000)</x:f>
        <x:v>20.625</x:v>
      </x:c>
    </x:row>
    <x:row r="5098" ht="21" customHeight="1">
      <x:c r="A5098" s="10" t="n">
        <x:v>6716</x:v>
      </x:c>
      <x:c r="B5098" s="2" t="str">
        <x:v>03ae02987b6d8e336e79</x:v>
      </x:c>
      <x:c r="C5098" s="2" t="str">
        <x:v>Tp Hồ Chí Minh</x:v>
      </x:c>
      <x:c r="D5098" s="2" t="str">
        <x:v>Quận 11</x:v>
      </x:c>
      <x:c r="E5098" s="2" t="str">
        <x:v>house</x:v>
      </x:c>
      <x:c r="F5098" s="2" t="str">
        <x:v>sale</x:v>
      </x:c>
      <x:c r="G5098" s="11" t="n">
        <x:v>65.3</x:v>
      </x:c>
      <x:c r="H5098" s="12" t="n">
        <x:v>28000000000</x:v>
      </x:c>
      <x:c r="I5098" s="12" t="n">
        <x:v>428790199.0811639</x:v>
      </x:c>
      <x:c r="J5098" s="2" t="str">
        <x:v>total</x:v>
      </x:c>
      <x:c r="K5098" s="2" t="str">
        <x:v>top_level_area</x:v>
      </x:c>
      <x:c r="L5098" s="2" t="str">
        <x:v>property_type_inferred_from_title</x:v>
      </x:c>
      <x:c r="M5098" s="10" t="n">
        <x:v>1</x:v>
      </x:c>
      <x:c r="N5098" s="10" t="n">
        <x:v>1</x:v>
      </x:c>
      <x:c r="O5098" s="2" t="str">
        <x:v>Tp Hồ Chí Minh|house</x:v>
      </x:c>
      <x:c r="P5098" s="10" t="n">
        <x:v>-1</x:v>
      </x:c>
      <x:c r="Q5098" s="13" t="n">
        <x:f>IF(H5098="","",H5098/1000000000)</x:f>
        <x:v>28</x:v>
      </x:c>
      <x:c r="R5098" s="13" t="n">
        <x:f>IF(I5098="","",I5098/1000000)</x:f>
        <x:v>428.7901990811639</x:v>
      </x:c>
    </x:row>
    <x:row r="5099" ht="21" customHeight="1">
      <x:c r="A5099" s="10" t="n">
        <x:v>6717</x:v>
      </x:c>
      <x:c r="B5099" s="2" t="str">
        <x:v>ff491c9a4c513bc0de2a</x:v>
      </x:c>
      <x:c r="C5099" s="2" t="str">
        <x:v>Hà Nội</x:v>
      </x:c>
      <x:c r="D5099" s="2" t="str">
        <x:v>Quận Hai Bà Trưng</x:v>
      </x:c>
      <x:c r="E5099" s="2" t="str">
        <x:v>house</x:v>
      </x:c>
      <x:c r="F5099" s="2" t="str">
        <x:v>sale_assumed</x:v>
      </x:c>
      <x:c r="G5099" s="11" t="n">
        <x:v>25</x:v>
      </x:c>
      <x:c r="H5099" s="12" t="n">
        <x:v>2000000000</x:v>
      </x:c>
      <x:c r="I5099" s="12" t="n">
        <x:v>80000000</x:v>
      </x:c>
      <x:c r="J5099" s="2" t="str">
        <x:v>total</x:v>
      </x:c>
      <x:c r="K5099" s="2" t="str">
        <x:v>top_level_area</x:v>
      </x:c>
      <x:c r="L5099" s="2" t="str">
        <x:v>property_type_inferred_from_title;transaction_assumed_sale_from_dataset_context</x:v>
      </x:c>
      <x:c r="M5099" s="10" t="n">
        <x:v>0</x:v>
      </x:c>
      <x:c r="N5099" s="10" t="n">
        <x:v>0</x:v>
      </x:c>
      <x:c r="O5099" s="2" t="str">
        <x:v>Hà Nội|house</x:v>
      </x:c>
      <x:c r="P5099" s="10" t="n">
        <x:v>2</x:v>
      </x:c>
      <x:c r="Q5099" s="13" t="n">
        <x:f>IF(H5099="","",H5099/1000000000)</x:f>
        <x:v>2</x:v>
      </x:c>
      <x:c r="R5099" s="13" t="n">
        <x:f>IF(I5099="","",I5099/1000000)</x:f>
        <x:v>80</x:v>
      </x:c>
    </x:row>
    <x:row r="5100" ht="21" customHeight="1">
      <x:c r="A5100" s="10" t="n">
        <x:v>6718</x:v>
      </x:c>
      <x:c r="B5100" s="2" t="str">
        <x:v>43f06f9a20b89f989c2c</x:v>
      </x:c>
      <x:c r="C5100" s="2" t="str">
        <x:v>Hà Nội</x:v>
      </x:c>
      <x:c r="D5100" s="2" t="str">
        <x:v>Quận Hai Bà Trưng</x:v>
      </x:c>
      <x:c r="E5100" s="2" t="str">
        <x:v>house</x:v>
      </x:c>
      <x:c r="F5100" s="2" t="str">
        <x:v>sale</x:v>
      </x:c>
      <x:c r="G5100" s="11" t="n">
        <x:v>30</x:v>
      </x:c>
      <x:c r="H5100" s="12" t="n">
        <x:v>3700000000</x:v>
      </x:c>
      <x:c r="I5100" s="12" t="n">
        <x:v>123333333.33333333</x:v>
      </x:c>
      <x:c r="J5100" s="2" t="str">
        <x:v>total</x:v>
      </x:c>
      <x:c r="K5100" s="2" t="str">
        <x:v>top_level_area</x:v>
      </x:c>
      <x:c r="L5100" s="2" t="str">
        <x:v>property_type_inferred_from_title</x:v>
      </x:c>
      <x:c r="M5100" s="10" t="n">
        <x:v>0</x:v>
      </x:c>
      <x:c r="N5100" s="10" t="n">
        <x:v>0</x:v>
      </x:c>
      <x:c r="O5100" s="2" t="str">
        <x:v>Hà Nội|house</x:v>
      </x:c>
      <x:c r="P5100" s="10" t="n">
        <x:v>2</x:v>
      </x:c>
      <x:c r="Q5100" s="13" t="n">
        <x:f>IF(H5100="","",H5100/1000000000)</x:f>
        <x:v>3.7</x:v>
      </x:c>
      <x:c r="R5100" s="13" t="n">
        <x:f>IF(I5100="","",I5100/1000000)</x:f>
        <x:v>123.33333333333333</x:v>
      </x:c>
    </x:row>
    <x:row r="5101" ht="21" customHeight="1">
      <x:c r="A5101" s="10" t="n">
        <x:v>6719</x:v>
      </x:c>
      <x:c r="B5101" s="2" t="str">
        <x:v>8d50fc00c36be5520082</x:v>
      </x:c>
      <x:c r="C5101" s="2" t="str">
        <x:v>Tp Hồ Chí Minh</x:v>
      </x:c>
      <x:c r="D5101" s="2" t="str">
        <x:v>Quận 7</x:v>
      </x:c>
      <x:c r="E5101" s="2" t="str">
        <x:v>house</x:v>
      </x:c>
      <x:c r="F5101" s="2" t="str">
        <x:v>sale</x:v>
      </x:c>
      <x:c r="G5101" s="11" t="n">
        <x:v>44</x:v>
      </x:c>
      <x:c r="H5101" s="12" t="n">
        <x:v>1860000000</x:v>
      </x:c>
      <x:c r="I5101" s="12" t="n">
        <x:v>42272727.27272727</x:v>
      </x:c>
      <x:c r="J5101" s="2" t="str">
        <x:v>total</x:v>
      </x:c>
      <x:c r="K5101" s="2" t="str">
        <x:v>top_level_area</x:v>
      </x:c>
      <x:c r="L5101" s="2" t="str">
        <x:v>property_type_inferred_from_title</x:v>
      </x:c>
      <x:c r="M5101" s="10" t="n">
        <x:v>0</x:v>
      </x:c>
      <x:c r="N5101" s="10" t="n">
        <x:v>0</x:v>
      </x:c>
      <x:c r="O5101" s="2" t="str">
        <x:v>Tp Hồ Chí Minh|house</x:v>
      </x:c>
      <x:c r="P5101" s="10" t="n">
        <x:v>2</x:v>
      </x:c>
      <x:c r="Q5101" s="13" t="n">
        <x:f>IF(H5101="","",H5101/1000000000)</x:f>
        <x:v>1.86</x:v>
      </x:c>
      <x:c r="R5101" s="13" t="n">
        <x:f>IF(I5101="","",I5101/1000000)</x:f>
        <x:v>42.27272727272727</x:v>
      </x:c>
    </x:row>
    <x:row r="5102" ht="21" customHeight="1">
      <x:c r="A5102" s="10" t="n">
        <x:v>6720</x:v>
      </x:c>
      <x:c r="B5102" s="2" t="str">
        <x:v>3a182dedc7bdb6f8ac80</x:v>
      </x:c>
      <x:c r="C5102" s="2" t="str">
        <x:v>Đà Nẵng</x:v>
      </x:c>
      <x:c r="D5102" s="2" t="str">
        <x:v>Quận Ngũ Hành Sơn</x:v>
      </x:c>
      <x:c r="E5102" s="2" t="str">
        <x:v>other_unknown</x:v>
      </x:c>
      <x:c r="F5102" s="2" t="str">
        <x:v>sale</x:v>
      </x:c>
      <x:c r="G5102" s="11" t="n">
        <x:v>108</x:v>
      </x:c>
      <x:c r="H5102" s="12" t="n">
        <x:v>2530000000</x:v>
      </x:c>
      <x:c r="I5102" s="12" t="n">
        <x:v>23425925.925925925</x:v>
      </x:c>
      <x:c r="J5102" s="2" t="str">
        <x:v>total</x:v>
      </x:c>
      <x:c r="K5102" s="2" t="str">
        <x:v>top_level_area</x:v>
      </x:c>
      <x:c r="L5102" s="2" t="str">
        <x:v>property_type_inferred_from_title;unknown_property_type</x:v>
      </x:c>
      <x:c r="M5102" s="10" t="n">
        <x:v>0</x:v>
      </x:c>
      <x:c r="N5102" s="10" t="n">
        <x:v>0</x:v>
      </x:c>
      <x:c r="O5102" s="2" t="str">
        <x:v>Đà Nẵng|other_unknown</x:v>
      </x:c>
      <x:c r="P5102" s="10" t="n">
        <x:v>2</x:v>
      </x:c>
      <x:c r="Q5102" s="13" t="n">
        <x:f>IF(H5102="","",H5102/1000000000)</x:f>
        <x:v>2.53</x:v>
      </x:c>
      <x:c r="R5102" s="13" t="n">
        <x:f>IF(I5102="","",I5102/1000000)</x:f>
        <x:v>23.425925925925924</x:v>
      </x:c>
    </x:row>
    <x:row r="5103" ht="21" customHeight="1">
      <x:c r="A5103" s="10" t="n">
        <x:v>6721</x:v>
      </x:c>
      <x:c r="B5103" s="2" t="str">
        <x:v>4043519139ad969c70ba</x:v>
      </x:c>
      <x:c r="C5103" s="2" t="str">
        <x:v>Vĩnh Long</x:v>
      </x:c>
      <x:c r="D5103" s="2" t="str">
        <x:v>Thành phố Vĩnh Long</x:v>
      </x:c>
      <x:c r="E5103" s="2" t="str">
        <x:v>house</x:v>
      </x:c>
      <x:c r="F5103" s="2" t="str">
        <x:v>sale_assumed</x:v>
      </x:c>
      <x:c r="G5103" s="11" t="n">
        <x:v>92</x:v>
      </x:c>
      <x:c r="H5103" s="12" t="n">
        <x:v>1400000000</x:v>
      </x:c>
      <x:c r="I5103" s="12" t="n">
        <x:v>15217391.304347826</x:v>
      </x:c>
      <x:c r="J5103" s="2" t="str">
        <x:v>total</x:v>
      </x:c>
      <x:c r="K5103" s="2" t="str">
        <x:v>top_level_area</x:v>
      </x:c>
      <x:c r="L5103" s="2" t="str">
        <x:v>property_type_inferred_from_title;transaction_assumed_sale_from_dataset_context</x:v>
      </x:c>
      <x:c r="M5103" s="10" t="n">
        <x:v>0</x:v>
      </x:c>
      <x:c r="N5103" s="10" t="n">
        <x:v>0</x:v>
      </x:c>
      <x:c r="O5103" s="2" t="str">
        <x:v>house</x:v>
      </x:c>
      <x:c r="P5103" s="10" t="n">
        <x:v>2</x:v>
      </x:c>
      <x:c r="Q5103" s="13" t="n">
        <x:f>IF(H5103="","",H5103/1000000000)</x:f>
        <x:v>1.4</x:v>
      </x:c>
      <x:c r="R5103" s="13" t="n">
        <x:f>IF(I5103="","",I5103/1000000)</x:f>
        <x:v>15.217391304347826</x:v>
      </x:c>
    </x:row>
    <x:row r="5104" ht="21" customHeight="1">
      <x:c r="A5104" s="10" t="n">
        <x:v>6722</x:v>
      </x:c>
      <x:c r="B5104" s="2" t="str">
        <x:v>6a2162a0b2c89c7fa0f4</x:v>
      </x:c>
      <x:c r="C5104" s="2" t="str">
        <x:v>Đồng Nai</x:v>
      </x:c>
      <x:c r="D5104" s="2" t="str">
        <x:v>Thành phố Biên Hòa</x:v>
      </x:c>
      <x:c r="E5104" s="2" t="str">
        <x:v>house</x:v>
      </x:c>
      <x:c r="F5104" s="2" t="str">
        <x:v>sale_assumed</x:v>
      </x:c>
      <x:c r="G5104" s="11" t="n">
        <x:v>75</x:v>
      </x:c>
      <x:c r="H5104" s="12" t="n">
        <x:v>1370000000</x:v>
      </x:c>
      <x:c r="I5104" s="12" t="n">
        <x:v>18266666.666666668</x:v>
      </x:c>
      <x:c r="J5104" s="2" t="str">
        <x:v>total</x:v>
      </x:c>
      <x:c r="K5104" s="2" t="str">
        <x:v>top_level_area</x:v>
      </x:c>
      <x:c r="L5104" s="2" t="str">
        <x:v>property_type_inferred_from_title;transaction_assumed_sale_from_dataset_context</x:v>
      </x:c>
      <x:c r="M5104" s="10" t="n">
        <x:v>0</x:v>
      </x:c>
      <x:c r="N5104" s="10" t="n">
        <x:v>0</x:v>
      </x:c>
      <x:c r="O5104" s="2" t="str">
        <x:v>Đồng Nai|house</x:v>
      </x:c>
      <x:c r="P5104" s="10" t="n">
        <x:v>2</x:v>
      </x:c>
      <x:c r="Q5104" s="13" t="n">
        <x:f>IF(H5104="","",H5104/1000000000)</x:f>
        <x:v>1.37</x:v>
      </x:c>
      <x:c r="R5104" s="13" t="n">
        <x:f>IF(I5104="","",I5104/1000000)</x:f>
        <x:v>18.26666666666667</x:v>
      </x:c>
    </x:row>
    <x:row r="5105" ht="21" customHeight="1">
      <x:c r="A5105" s="10" t="n">
        <x:v>6723</x:v>
      </x:c>
      <x:c r="B5105" s="2" t="str">
        <x:v>a951675d7b5b730f699e</x:v>
      </x:c>
      <x:c r="C5105" s="2" t="str">
        <x:v>Hà Nội</x:v>
      </x:c>
      <x:c r="D5105" s="2" t="str">
        <x:v>Quận Nam Từ Liêm</x:v>
      </x:c>
      <x:c r="E5105" s="2" t="str">
        <x:v>land</x:v>
      </x:c>
      <x:c r="F5105" s="2" t="str">
        <x:v>sale_assumed</x:v>
      </x:c>
      <x:c r="G5105" s="11" t="n">
        <x:v>40</x:v>
      </x:c>
      <x:c r="H5105" s="12" t="n">
        <x:v>2100000000</x:v>
      </x:c>
      <x:c r="I5105" s="12" t="n">
        <x:v>52500000</x:v>
      </x:c>
      <x:c r="J5105" s="2" t="str">
        <x:v>total</x:v>
      </x:c>
      <x:c r="K5105" s="2" t="str">
        <x:v>top_level_area</x:v>
      </x:c>
      <x:c r="L5105" s="2" t="str">
        <x:v>property_type_inferred_from_title;transaction_assumed_sale_from_dataset_context</x:v>
      </x:c>
      <x:c r="M5105" s="10" t="n">
        <x:v>0</x:v>
      </x:c>
      <x:c r="N5105" s="10" t="n">
        <x:v>0</x:v>
      </x:c>
      <x:c r="O5105" s="2" t="str">
        <x:v>Hà Nội|land</x:v>
      </x:c>
      <x:c r="P5105" s="10" t="n">
        <x:v>2</x:v>
      </x:c>
      <x:c r="Q5105" s="13" t="n">
        <x:f>IF(H5105="","",H5105/1000000000)</x:f>
        <x:v>2.1</x:v>
      </x:c>
      <x:c r="R5105" s="13" t="n">
        <x:f>IF(I5105="","",I5105/1000000)</x:f>
        <x:v>52.5</x:v>
      </x:c>
    </x:row>
    <x:row r="5106" ht="21" customHeight="1">
      <x:c r="A5106" s="10" t="n">
        <x:v>6724</x:v>
      </x:c>
      <x:c r="B5106" s="2" t="str">
        <x:v>50244046a826c8abff43</x:v>
      </x:c>
      <x:c r="C5106" s="2" t="str">
        <x:v>Hà Nội</x:v>
      </x:c>
      <x:c r="D5106" s="2" t="str">
        <x:v>Huyện Ba Vì</x:v>
      </x:c>
      <x:c r="E5106" s="2" t="str">
        <x:v>land</x:v>
      </x:c>
      <x:c r="F5106" s="2" t="str">
        <x:v>sale_assumed</x:v>
      </x:c>
      <x:c r="G5106" s="11" t="n">
        <x:v>3500</x:v>
      </x:c>
      <x:c r="H5106" s="12" t="n">
        <x:v>62000000</x:v>
      </x:c>
      <x:c r="I5106" s="12" t="n">
        <x:v>17714.285714285714</x:v>
      </x:c>
      <x:c r="J5106" s="2" t="str">
        <x:v>total</x:v>
      </x:c>
      <x:c r="K5106" s="2" t="str">
        <x:v>top_level_area</x:v>
      </x:c>
      <x:c r="L5106" s="2" t="str">
        <x:v>dot_thousands_convention;property_type_inferred_from_title;transaction_assumed_sale_from_dataset_context</x:v>
      </x:c>
      <x:c r="M5106" s="10" t="n">
        <x:v>0</x:v>
      </x:c>
      <x:c r="N5106" s="10" t="n">
        <x:v>0</x:v>
      </x:c>
      <x:c r="O5106" s="2" t="str">
        <x:v>Hà Nội|land</x:v>
      </x:c>
      <x:c r="P5106" s="10" t="n">
        <x:v>1</x:v>
      </x:c>
      <x:c r="Q5106" s="13" t="n">
        <x:f>IF(H5106="","",H5106/1000000000)</x:f>
        <x:v>0.062</x:v>
      </x:c>
      <x:c r="R5106" s="13" t="n">
        <x:f>IF(I5106="","",I5106/1000000)</x:f>
        <x:v>0.017714285714285714</x:v>
      </x:c>
    </x:row>
    <x:row r="5107" ht="21" customHeight="1">
      <x:c r="A5107" s="10" t="n">
        <x:v>6725</x:v>
      </x:c>
      <x:c r="B5107" s="2" t="str">
        <x:v>98e7fa3b2ebd115e20e5</x:v>
      </x:c>
      <x:c r="C5107" s="2" t="str">
        <x:v>Tp Hồ Chí Minh</x:v>
      </x:c>
      <x:c r="D5107" s="2" t="str">
        <x:v>Quận 12</x:v>
      </x:c>
      <x:c r="E5107" s="2" t="str">
        <x:v>house</x:v>
      </x:c>
      <x:c r="F5107" s="2" t="str">
        <x:v>sale</x:v>
      </x:c>
      <x:c r="G5107" s="11" t="n">
        <x:v>38</x:v>
      </x:c>
      <x:c r="H5107" s="12" t="n">
        <x:v>820000000</x:v>
      </x:c>
      <x:c r="I5107" s="12" t="n">
        <x:v>21578947.36842105</x:v>
      </x:c>
      <x:c r="J5107" s="2" t="str">
        <x:v>total</x:v>
      </x:c>
      <x:c r="K5107" s="2" t="str">
        <x:v>top_level_area</x:v>
      </x:c>
      <x:c r="L5107" s="2" t="str">
        <x:v>property_type_inferred_from_title</x:v>
      </x:c>
      <x:c r="M5107" s="10" t="n">
        <x:v>0</x:v>
      </x:c>
      <x:c r="N5107" s="10" t="n">
        <x:v>0</x:v>
      </x:c>
      <x:c r="O5107" s="2" t="str">
        <x:v>Tp Hồ Chí Minh|house</x:v>
      </x:c>
      <x:c r="P5107" s="10" t="n">
        <x:v>2</x:v>
      </x:c>
      <x:c r="Q5107" s="13" t="n">
        <x:f>IF(H5107="","",H5107/1000000000)</x:f>
        <x:v>0.82</x:v>
      </x:c>
      <x:c r="R5107" s="13" t="n">
        <x:f>IF(I5107="","",I5107/1000000)</x:f>
        <x:v>21.57894736842105</x:v>
      </x:c>
    </x:row>
    <x:row r="5108" ht="21" customHeight="1">
      <x:c r="A5108" s="10" t="n">
        <x:v>6726</x:v>
      </x:c>
      <x:c r="B5108" s="2" t="str">
        <x:v>b5d42240aa2f8619f14a</x:v>
      </x:c>
      <x:c r="C5108" s="2" t="str">
        <x:v>Đà Nẵng</x:v>
      </x:c>
      <x:c r="D5108" s="2" t="str">
        <x:v>Quận Thanh Khê</x:v>
      </x:c>
      <x:c r="E5108" s="2" t="str">
        <x:v>house</x:v>
      </x:c>
      <x:c r="F5108" s="2" t="str">
        <x:v>sale_assumed</x:v>
      </x:c>
      <x:c r="G5108" s="11" t="n">
        <x:v>36</x:v>
      </x:c>
      <x:c r="H5108" s="12" t="n">
        <x:v>1350000000</x:v>
      </x:c>
      <x:c r="I5108" s="12" t="n">
        <x:v>37500000</x:v>
      </x:c>
      <x:c r="J5108" s="2" t="str">
        <x:v>total</x:v>
      </x:c>
      <x:c r="K5108" s="2" t="str">
        <x:v>top_level_area</x:v>
      </x:c>
      <x:c r="L5108" s="2" t="str">
        <x:v>property_type_inferred_from_title;transaction_assumed_sale_from_dataset_context</x:v>
      </x:c>
      <x:c r="M5108" s="10" t="n">
        <x:v>0</x:v>
      </x:c>
      <x:c r="N5108" s="10" t="n">
        <x:v>0</x:v>
      </x:c>
      <x:c r="O5108" s="2" t="str">
        <x:v>Đà Nẵng|house</x:v>
      </x:c>
      <x:c r="P5108" s="10" t="n">
        <x:v>2</x:v>
      </x:c>
      <x:c r="Q5108" s="13" t="n">
        <x:f>IF(H5108="","",H5108/1000000000)</x:f>
        <x:v>1.35</x:v>
      </x:c>
      <x:c r="R5108" s="13" t="n">
        <x:f>IF(I5108="","",I5108/1000000)</x:f>
        <x:v>37.5</x:v>
      </x:c>
    </x:row>
    <x:row r="5109" ht="21" customHeight="1">
      <x:c r="A5109" s="10" t="n">
        <x:v>6727</x:v>
      </x:c>
      <x:c r="B5109" s="2" t="str">
        <x:v>b378e2f7bf843e0b23be</x:v>
      </x:c>
      <x:c r="C5109" s="2" t="str">
        <x:v>Tp Hồ Chí Minh</x:v>
      </x:c>
      <x:c r="D5109" s="2" t="str">
        <x:v>Quận Bình Thạnh</x:v>
      </x:c>
      <x:c r="E5109" s="2" t="str">
        <x:v>house</x:v>
      </x:c>
      <x:c r="F5109" s="2" t="str">
        <x:v>sale</x:v>
      </x:c>
      <x:c r="G5109" s="11" t="n">
        <x:v>70</x:v>
      </x:c>
      <x:c r="H5109" s="12" t="n">
        <x:v>1230000000</x:v>
      </x:c>
      <x:c r="I5109" s="12" t="n">
        <x:v>17571428.57142857</x:v>
      </x:c>
      <x:c r="J5109" s="2" t="str">
        <x:v>total</x:v>
      </x:c>
      <x:c r="K5109" s="2" t="str">
        <x:v>top_level_area</x:v>
      </x:c>
      <x:c r="L5109" s="2" t="str">
        <x:v>property_type_inferred_from_title</x:v>
      </x:c>
      <x:c r="M5109" s="10" t="n">
        <x:v>0</x:v>
      </x:c>
      <x:c r="N5109" s="10" t="n">
        <x:v>0</x:v>
      </x:c>
      <x:c r="O5109" s="2" t="str">
        <x:v>Tp Hồ Chí Minh|house</x:v>
      </x:c>
      <x:c r="P5109" s="10" t="n">
        <x:v>2</x:v>
      </x:c>
      <x:c r="Q5109" s="13" t="n">
        <x:f>IF(H5109="","",H5109/1000000000)</x:f>
        <x:v>1.23</x:v>
      </x:c>
      <x:c r="R5109" s="13" t="n">
        <x:f>IF(I5109="","",I5109/1000000)</x:f>
        <x:v>17.57142857142857</x:v>
      </x:c>
    </x:row>
    <x:row r="5110" ht="21" customHeight="1">
      <x:c r="A5110" s="10" t="n">
        <x:v>6728</x:v>
      </x:c>
      <x:c r="B5110" s="2" t="str">
        <x:v>c6f6ec18429ba38d4d86</x:v>
      </x:c>
      <x:c r="C5110" s="2" t="str">
        <x:v>Tp Hồ Chí Minh</x:v>
      </x:c>
      <x:c r="D5110" s="2" t="str">
        <x:v>Huyện Bình Chánh</x:v>
      </x:c>
      <x:c r="E5110" s="2" t="str">
        <x:v>house</x:v>
      </x:c>
      <x:c r="F5110" s="2" t="str">
        <x:v>sale_assumed</x:v>
      </x:c>
      <x:c r="G5110" s="11" t="n">
        <x:v>60</x:v>
      </x:c>
      <x:c r="H5110" s="12" t="n">
        <x:v>700000000</x:v>
      </x:c>
      <x:c r="I5110" s="12" t="n">
        <x:v>11666666.666666666</x:v>
      </x:c>
      <x:c r="J5110" s="2" t="str">
        <x:v>total</x:v>
      </x:c>
      <x:c r="K5110" s="2" t="str">
        <x:v>top_level_area</x:v>
      </x:c>
      <x:c r="L5110" s="2" t="str">
        <x:v>property_type_inferred_from_title;transaction_assumed_sale_from_dataset_context</x:v>
      </x:c>
      <x:c r="M5110" s="10" t="n">
        <x:v>0</x:v>
      </x:c>
      <x:c r="N5110" s="10" t="n">
        <x:v>0</x:v>
      </x:c>
      <x:c r="O5110" s="2" t="str">
        <x:v>Tp Hồ Chí Minh|house</x:v>
      </x:c>
      <x:c r="P5110" s="10" t="n">
        <x:v>2</x:v>
      </x:c>
      <x:c r="Q5110" s="13" t="n">
        <x:f>IF(H5110="","",H5110/1000000000)</x:f>
        <x:v>0.7</x:v>
      </x:c>
      <x:c r="R5110" s="13" t="n">
        <x:f>IF(I5110="","",I5110/1000000)</x:f>
        <x:v>11.666666666666666</x:v>
      </x:c>
    </x:row>
    <x:row r="5111" ht="21" customHeight="1">
      <x:c r="A5111" s="10" t="n">
        <x:v>6729</x:v>
      </x:c>
      <x:c r="B5111" s="2" t="str">
        <x:v>9a46a165b66343683719</x:v>
      </x:c>
      <x:c r="C5111" s="2" t="str">
        <x:v>Tp Hồ Chí Minh</x:v>
      </x:c>
      <x:c r="D5111" s="2" t="str">
        <x:v>Quận 4</x:v>
      </x:c>
      <x:c r="E5111" s="2" t="str">
        <x:v>house</x:v>
      </x:c>
      <x:c r="F5111" s="2" t="str">
        <x:v>sale</x:v>
      </x:c>
      <x:c r="G5111" s="11" t="n">
        <x:v>70</x:v>
      </x:c>
      <x:c r="H5111" s="12" t="n">
        <x:v>1090000000</x:v>
      </x:c>
      <x:c r="I5111" s="12" t="n">
        <x:v>15571428.57142857</x:v>
      </x:c>
      <x:c r="J5111" s="2" t="str">
        <x:v>total</x:v>
      </x:c>
      <x:c r="K5111" s="2" t="str">
        <x:v>top_level_area</x:v>
      </x:c>
      <x:c r="L5111" s="2" t="str">
        <x:v>property_type_inferred_from_title</x:v>
      </x:c>
      <x:c r="M5111" s="10" t="n">
        <x:v>0</x:v>
      </x:c>
      <x:c r="N5111" s="10" t="n">
        <x:v>0</x:v>
      </x:c>
      <x:c r="O5111" s="2" t="str">
        <x:v>Tp Hồ Chí Minh|house</x:v>
      </x:c>
      <x:c r="P5111" s="10" t="n">
        <x:v>2</x:v>
      </x:c>
      <x:c r="Q5111" s="13" t="n">
        <x:f>IF(H5111="","",H5111/1000000000)</x:f>
        <x:v>1.09</x:v>
      </x:c>
      <x:c r="R5111" s="13" t="n">
        <x:f>IF(I5111="","",I5111/1000000)</x:f>
        <x:v>15.571428571428571</x:v>
      </x:c>
    </x:row>
    <x:row r="5112" ht="21" customHeight="1">
      <x:c r="A5112" s="10" t="n">
        <x:v>6730</x:v>
      </x:c>
      <x:c r="B5112" s="2" t="str">
        <x:v>6c3f99af7a5a62eaa942</x:v>
      </x:c>
      <x:c r="C5112" s="2" t="str">
        <x:v>Tp Hồ Chí Minh</x:v>
      </x:c>
      <x:c r="D5112" s="2" t="str">
        <x:v>Quận 5</x:v>
      </x:c>
      <x:c r="E5112" s="2" t="str">
        <x:v>house</x:v>
      </x:c>
      <x:c r="F5112" s="2" t="str">
        <x:v>sale</x:v>
      </x:c>
      <x:c r="G5112" s="11" t="n">
        <x:v>62</x:v>
      </x:c>
      <x:c r="H5112" s="12" t="n">
        <x:v>1240000000</x:v>
      </x:c>
      <x:c r="I5112" s="12" t="n">
        <x:v>20000000</x:v>
      </x:c>
      <x:c r="J5112" s="2" t="str">
        <x:v>total</x:v>
      </x:c>
      <x:c r="K5112" s="2" t="str">
        <x:v>top_level_area</x:v>
      </x:c>
      <x:c r="L5112" s="2" t="str">
        <x:v>property_type_inferred_from_title</x:v>
      </x:c>
      <x:c r="M5112" s="10" t="n">
        <x:v>0</x:v>
      </x:c>
      <x:c r="N5112" s="10" t="n">
        <x:v>0</x:v>
      </x:c>
      <x:c r="O5112" s="2" t="str">
        <x:v>Tp Hồ Chí Minh|house</x:v>
      </x:c>
      <x:c r="P5112" s="10" t="n">
        <x:v>2</x:v>
      </x:c>
      <x:c r="Q5112" s="13" t="n">
        <x:f>IF(H5112="","",H5112/1000000000)</x:f>
        <x:v>1.24</x:v>
      </x:c>
      <x:c r="R5112" s="13" t="n">
        <x:f>IF(I5112="","",I5112/1000000)</x:f>
        <x:v>20</x:v>
      </x:c>
    </x:row>
    <x:row r="5113" ht="21" customHeight="1">
      <x:c r="A5113" s="10" t="n">
        <x:v>6731</x:v>
      </x:c>
      <x:c r="B5113" s="2" t="str">
        <x:v>9acf39628b9473233db0</x:v>
      </x:c>
      <x:c r="C5113" s="2" t="str">
        <x:v>Tp Hồ Chí Minh</x:v>
      </x:c>
      <x:c r="D5113" s="2" t="str">
        <x:v>Quận Thủ Đức</x:v>
      </x:c>
      <x:c r="E5113" s="2" t="str">
        <x:v>land</x:v>
      </x:c>
      <x:c r="F5113" s="2" t="str">
        <x:v>sale</x:v>
      </x:c>
      <x:c r="G5113" s="11" t="n">
        <x:v>102.2</x:v>
      </x:c>
      <x:c r="H5113" s="12" t="n">
        <x:v>5000000000</x:v>
      </x:c>
      <x:c r="I5113" s="12" t="n">
        <x:v>48923679.06066536</x:v>
      </x:c>
      <x:c r="J5113" s="2" t="str">
        <x:v>total</x:v>
      </x:c>
      <x:c r="K5113" s="2" t="str">
        <x:v>top_level_area</x:v>
      </x:c>
      <x:c r="L5113" s="2" t="str">
        <x:v>property_type_inferred_from_title</x:v>
      </x:c>
      <x:c r="M5113" s="10" t="n">
        <x:v>0</x:v>
      </x:c>
      <x:c r="N5113" s="10" t="n">
        <x:v>0</x:v>
      </x:c>
      <x:c r="O5113" s="2" t="str">
        <x:v>Tp Hồ Chí Minh|land</x:v>
      </x:c>
      <x:c r="P5113" s="10" t="n">
        <x:v>2</x:v>
      </x:c>
      <x:c r="Q5113" s="13" t="n">
        <x:f>IF(H5113="","",H5113/1000000000)</x:f>
        <x:v>5</x:v>
      </x:c>
      <x:c r="R5113" s="13" t="n">
        <x:f>IF(I5113="","",I5113/1000000)</x:f>
        <x:v>48.923679060665364</x:v>
      </x:c>
    </x:row>
    <x:row r="5114" ht="21" customHeight="1">
      <x:c r="A5114" s="10" t="n">
        <x:v>6735</x:v>
      </x:c>
      <x:c r="B5114" s="2" t="str">
        <x:v>9af1a2297df0fc342093</x:v>
      </x:c>
      <x:c r="C5114" s="2" t="str">
        <x:v>Đà Nẵng</x:v>
      </x:c>
      <x:c r="D5114" s="2" t="str">
        <x:v>Quận Thanh Khê</x:v>
      </x:c>
      <x:c r="E5114" s="2" t="str">
        <x:v>house</x:v>
      </x:c>
      <x:c r="F5114" s="2" t="str">
        <x:v>sale</x:v>
      </x:c>
      <x:c r="G5114" s="11" t="n">
        <x:v>55</x:v>
      </x:c>
      <x:c r="H5114" s="12" t="n">
        <x:v>3400000000</x:v>
      </x:c>
      <x:c r="I5114" s="12" t="n">
        <x:v>61818181.81818182</x:v>
      </x:c>
      <x:c r="J5114" s="2" t="str">
        <x:v>total</x:v>
      </x:c>
      <x:c r="K5114" s="2" t="str">
        <x:v>top_level_area</x:v>
      </x:c>
      <x:c r="L5114" s="2" t="str">
        <x:v>property_type_inferred_from_title</x:v>
      </x:c>
      <x:c r="M5114" s="10" t="n">
        <x:v>0</x:v>
      </x:c>
      <x:c r="N5114" s="10" t="n">
        <x:v>0</x:v>
      </x:c>
      <x:c r="O5114" s="2" t="str">
        <x:v>Đà Nẵng|house</x:v>
      </x:c>
      <x:c r="P5114" s="10" t="n">
        <x:v>2</x:v>
      </x:c>
      <x:c r="Q5114" s="13" t="n">
        <x:f>IF(H5114="","",H5114/1000000000)</x:f>
        <x:v>3.4</x:v>
      </x:c>
      <x:c r="R5114" s="13" t="n">
        <x:f>IF(I5114="","",I5114/1000000)</x:f>
        <x:v>61.81818181818182</x:v>
      </x:c>
    </x:row>
    <x:row r="5115" ht="21" customHeight="1">
      <x:c r="A5115" s="10" t="n">
        <x:v>6736</x:v>
      </x:c>
      <x:c r="B5115" s="2" t="str">
        <x:v>37272a22ecb5038f4945</x:v>
      </x:c>
      <x:c r="C5115" s="2" t="str">
        <x:v>Tp Hồ Chí Minh</x:v>
      </x:c>
      <x:c r="D5115" s="2" t="str">
        <x:v>Quận 12</x:v>
      </x:c>
      <x:c r="E5115" s="2" t="str">
        <x:v>house</x:v>
      </x:c>
      <x:c r="F5115" s="2" t="str">
        <x:v>sale</x:v>
      </x:c>
      <x:c r="G5115" s="11" t="n">
        <x:v>50</x:v>
      </x:c>
      <x:c r="H5115" s="12" t="n">
        <x:v>1100000000</x:v>
      </x:c>
      <x:c r="I5115" s="12" t="n">
        <x:v>22000000</x:v>
      </x:c>
      <x:c r="J5115" s="2" t="str">
        <x:v>total</x:v>
      </x:c>
      <x:c r="K5115" s="2" t="str">
        <x:v>top_level_area</x:v>
      </x:c>
      <x:c r="L5115" s="2" t="str">
        <x:v>property_type_inferred_from_title</x:v>
      </x:c>
      <x:c r="M5115" s="10" t="n">
        <x:v>0</x:v>
      </x:c>
      <x:c r="N5115" s="10" t="n">
        <x:v>0</x:v>
      </x:c>
      <x:c r="O5115" s="2" t="str">
        <x:v>Tp Hồ Chí Minh|house</x:v>
      </x:c>
      <x:c r="P5115" s="10" t="n">
        <x:v>2</x:v>
      </x:c>
      <x:c r="Q5115" s="13" t="n">
        <x:f>IF(H5115="","",H5115/1000000000)</x:f>
        <x:v>1.1</x:v>
      </x:c>
      <x:c r="R5115" s="13" t="n">
        <x:f>IF(I5115="","",I5115/1000000)</x:f>
        <x:v>22</x:v>
      </x:c>
    </x:row>
    <x:row r="5116" ht="21" customHeight="1">
      <x:c r="A5116" s="10" t="n">
        <x:v>6737</x:v>
      </x:c>
      <x:c r="B5116" s="2" t="str">
        <x:v>8be9887383dc234915a5</x:v>
      </x:c>
      <x:c r="C5116" s="2" t="str">
        <x:v>Hà Nội</x:v>
      </x:c>
      <x:c r="D5116" s="2" t="str">
        <x:v>Quận Hoàng Mai</x:v>
      </x:c>
      <x:c r="E5116" s="2" t="str">
        <x:v>apartment</x:v>
      </x:c>
      <x:c r="F5116" s="2" t="str">
        <x:v>sale_assumed</x:v>
      </x:c>
      <x:c r="G5116" s="11" t="n">
        <x:v>33</x:v>
      </x:c>
      <x:c r="H5116" s="12" t="n">
        <x:v>600000000</x:v>
      </x:c>
      <x:c r="I5116" s="12" t="n">
        <x:v>18181818.181818184</x:v>
      </x:c>
      <x:c r="J5116" s="2" t="str">
        <x:v>total</x:v>
      </x:c>
      <x:c r="K5116" s="2" t="str">
        <x:v>top_level_area</x:v>
      </x:c>
      <x:c r="L5116" s="2" t="str">
        <x:v>property_type_inferred_from_title;transaction_assumed_sale_from_dataset_context</x:v>
      </x:c>
      <x:c r="M5116" s="10" t="n">
        <x:v>0</x:v>
      </x:c>
      <x:c r="N5116" s="10" t="n">
        <x:v>0</x:v>
      </x:c>
      <x:c r="O5116" s="2" t="str">
        <x:v>Hà Nội|apartment</x:v>
      </x:c>
      <x:c r="P5116" s="10" t="n">
        <x:v>2</x:v>
      </x:c>
      <x:c r="Q5116" s="13" t="n">
        <x:f>IF(H5116="","",H5116/1000000000)</x:f>
        <x:v>0.6</x:v>
      </x:c>
      <x:c r="R5116" s="13" t="n">
        <x:f>IF(I5116="","",I5116/1000000)</x:f>
        <x:v>18.181818181818183</x:v>
      </x:c>
    </x:row>
    <x:row r="5117" ht="21" customHeight="1">
      <x:c r="A5117" s="10" t="n">
        <x:v>6738</x:v>
      </x:c>
      <x:c r="B5117" s="2" t="str">
        <x:v>3a95db2fe7eb6241c982</x:v>
      </x:c>
      <x:c r="C5117" s="2" t="str">
        <x:v>Tp Hồ Chí Minh</x:v>
      </x:c>
      <x:c r="D5117" s="2" t="str">
        <x:v>Quận 8</x:v>
      </x:c>
      <x:c r="E5117" s="2" t="str">
        <x:v>other_unknown</x:v>
      </x:c>
      <x:c r="F5117" s="2" t="str">
        <x:v>sale</x:v>
      </x:c>
      <x:c r="G5117" s="11" t="n">
        <x:v>60</x:v>
      </x:c>
      <x:c r="H5117" s="12" t="n">
        <x:v>2100000000</x:v>
      </x:c>
      <x:c r="I5117" s="12" t="n">
        <x:v>35000000</x:v>
      </x:c>
      <x:c r="J5117" s="2" t="str">
        <x:v>total</x:v>
      </x:c>
      <x:c r="K5117" s="2" t="str">
        <x:v>top_level_area</x:v>
      </x:c>
      <x:c r="L5117" s="2" t="str">
        <x:v>property_type_inferred_from_title;unknown_property_type</x:v>
      </x:c>
      <x:c r="M5117" s="10" t="n">
        <x:v>0</x:v>
      </x:c>
      <x:c r="N5117" s="10" t="n">
        <x:v>0</x:v>
      </x:c>
      <x:c r="O5117" s="2" t="str">
        <x:v>Tp Hồ Chí Minh|other_unknown</x:v>
      </x:c>
      <x:c r="P5117" s="10" t="n">
        <x:v>2</x:v>
      </x:c>
      <x:c r="Q5117" s="13" t="n">
        <x:f>IF(H5117="","",H5117/1000000000)</x:f>
        <x:v>2.1</x:v>
      </x:c>
      <x:c r="R5117" s="13" t="n">
        <x:f>IF(I5117="","",I5117/1000000)</x:f>
        <x:v>35</x:v>
      </x:c>
    </x:row>
    <x:row r="5118" ht="21" customHeight="1">
      <x:c r="A5118" s="10" t="n">
        <x:v>6739</x:v>
      </x:c>
      <x:c r="B5118" s="2" t="str">
        <x:v>40cdd6c19676e06d3da3</x:v>
      </x:c>
      <x:c r="C5118" s="2" t="str">
        <x:v>Tp Hồ Chí Minh</x:v>
      </x:c>
      <x:c r="D5118" s="2" t="str">
        <x:v>Quận Gò Vấp</x:v>
      </x:c>
      <x:c r="E5118" s="2" t="str">
        <x:v>house</x:v>
      </x:c>
      <x:c r="F5118" s="2" t="str">
        <x:v>sale</x:v>
      </x:c>
      <x:c r="G5118" s="11" t="n">
        <x:v>85</x:v>
      </x:c>
      <x:c r="H5118" s="12" t="n">
        <x:v>1210000000</x:v>
      </x:c>
      <x:c r="I5118" s="12" t="n">
        <x:v>14235294.11764706</x:v>
      </x:c>
      <x:c r="J5118" s="2" t="str">
        <x:v>total</x:v>
      </x:c>
      <x:c r="K5118" s="2" t="str">
        <x:v>top_level_area</x:v>
      </x:c>
      <x:c r="L5118" s="2" t="str">
        <x:v>property_type_inferred_from_title</x:v>
      </x:c>
      <x:c r="M5118" s="10" t="n">
        <x:v>0</x:v>
      </x:c>
      <x:c r="N5118" s="10" t="n">
        <x:v>0</x:v>
      </x:c>
      <x:c r="O5118" s="2" t="str">
        <x:v>Tp Hồ Chí Minh|house</x:v>
      </x:c>
      <x:c r="P5118" s="10" t="n">
        <x:v>2</x:v>
      </x:c>
      <x:c r="Q5118" s="13" t="n">
        <x:f>IF(H5118="","",H5118/1000000000)</x:f>
        <x:v>1.21</x:v>
      </x:c>
      <x:c r="R5118" s="13" t="n">
        <x:f>IF(I5118="","",I5118/1000000)</x:f>
        <x:v>14.23529411764706</x:v>
      </x:c>
    </x:row>
    <x:row r="5119" ht="21" customHeight="1">
      <x:c r="A5119" s="10" t="n">
        <x:v>6740</x:v>
      </x:c>
      <x:c r="B5119" s="2" t="str">
        <x:v>22e7f5478cbd4a8ee9e0</x:v>
      </x:c>
      <x:c r="C5119" s="2" t="str">
        <x:v>Tp Hồ Chí Minh</x:v>
      </x:c>
      <x:c r="D5119" s="2" t="str">
        <x:v>Quận 12</x:v>
      </x:c>
      <x:c r="E5119" s="2" t="str">
        <x:v>apartment</x:v>
      </x:c>
      <x:c r="F5119" s="2" t="str">
        <x:v>sale</x:v>
      </x:c>
      <x:c r="G5119" s="11" t="n">
        <x:v>48</x:v>
      </x:c>
      <x:c r="H5119" s="12" t="n">
        <x:v>1460000000</x:v>
      </x:c>
      <x:c r="I5119" s="12" t="n">
        <x:v>30416666.666666668</x:v>
      </x:c>
      <x:c r="J5119" s="2" t="str">
        <x:v>total</x:v>
      </x:c>
      <x:c r="K5119" s="2" t="str">
        <x:v>top_level_area</x:v>
      </x:c>
      <x:c r="L5119" s="2" t="str">
        <x:v>property_type_inferred_from_title</x:v>
      </x:c>
      <x:c r="M5119" s="10" t="n">
        <x:v>0</x:v>
      </x:c>
      <x:c r="N5119" s="10" t="n">
        <x:v>0</x:v>
      </x:c>
      <x:c r="O5119" s="2" t="str">
        <x:v>Tp Hồ Chí Minh|apartment</x:v>
      </x:c>
      <x:c r="P5119" s="10" t="n">
        <x:v>2</x:v>
      </x:c>
      <x:c r="Q5119" s="13" t="n">
        <x:f>IF(H5119="","",H5119/1000000000)</x:f>
        <x:v>1.46</x:v>
      </x:c>
      <x:c r="R5119" s="13" t="n">
        <x:f>IF(I5119="","",I5119/1000000)</x:f>
        <x:v>30.416666666666668</x:v>
      </x:c>
    </x:row>
    <x:row r="5120" ht="21" customHeight="1">
      <x:c r="A5120" s="10" t="n">
        <x:v>6741</x:v>
      </x:c>
      <x:c r="B5120" s="2" t="str">
        <x:v>6e63e6ad45b117713c74</x:v>
      </x:c>
      <x:c r="C5120" s="2" t="str">
        <x:v>Tp Hồ Chí Minh</x:v>
      </x:c>
      <x:c r="D5120" s="2" t="str">
        <x:v>Quận 12</x:v>
      </x:c>
      <x:c r="E5120" s="2" t="str">
        <x:v>house</x:v>
      </x:c>
      <x:c r="F5120" s="2" t="str">
        <x:v>sale_assumed</x:v>
      </x:c>
      <x:c r="G5120" s="11" t="n">
        <x:v>45</x:v>
      </x:c>
      <x:c r="H5120" s="12" t="n">
        <x:v>2780000000</x:v>
      </x:c>
      <x:c r="I5120" s="12" t="n">
        <x:v>61777777.777777776</x:v>
      </x:c>
      <x:c r="J5120" s="2" t="str">
        <x:v>total</x:v>
      </x:c>
      <x:c r="K5120" s="2" t="str">
        <x:v>top_level_area</x:v>
      </x:c>
      <x:c r="L5120" s="2" t="str">
        <x:v>property_type_inferred_from_title;transaction_assumed_sale_from_dataset_context</x:v>
      </x:c>
      <x:c r="M5120" s="10" t="n">
        <x:v>0</x:v>
      </x:c>
      <x:c r="N5120" s="10" t="n">
        <x:v>0</x:v>
      </x:c>
      <x:c r="O5120" s="2" t="str">
        <x:v>Tp Hồ Chí Minh|house</x:v>
      </x:c>
      <x:c r="P5120" s="10" t="n">
        <x:v>2</x:v>
      </x:c>
      <x:c r="Q5120" s="13" t="n">
        <x:f>IF(H5120="","",H5120/1000000000)</x:f>
        <x:v>2.78</x:v>
      </x:c>
      <x:c r="R5120" s="13" t="n">
        <x:f>IF(I5120="","",I5120/1000000)</x:f>
        <x:v>61.77777777777778</x:v>
      </x:c>
    </x:row>
    <x:row r="5121" ht="21" customHeight="1">
      <x:c r="A5121" s="10" t="n">
        <x:v>6742</x:v>
      </x:c>
      <x:c r="B5121" s="2" t="str">
        <x:v>b37538e9d3223a926d79</x:v>
      </x:c>
      <x:c r="C5121" s="2" t="str">
        <x:v>Hà Nội</x:v>
      </x:c>
      <x:c r="D5121" s="2" t="str">
        <x:v>Huyện Thanh Trì</x:v>
      </x:c>
      <x:c r="E5121" s="2" t="str">
        <x:v>house</x:v>
      </x:c>
      <x:c r="F5121" s="2" t="str">
        <x:v>sale</x:v>
      </x:c>
      <x:c r="G5121" s="11" t="n">
        <x:v>30</x:v>
      </x:c>
      <x:c r="H5121" s="12" t="n">
        <x:v>1430000000</x:v>
      </x:c>
      <x:c r="I5121" s="12" t="n">
        <x:v>47666666.666666664</x:v>
      </x:c>
      <x:c r="J5121" s="2" t="str">
        <x:v>total</x:v>
      </x:c>
      <x:c r="K5121" s="2" t="str">
        <x:v>top_level_area</x:v>
      </x:c>
      <x:c r="L5121" s="2" t="str">
        <x:v>property_type_inferred_from_title</x:v>
      </x:c>
      <x:c r="M5121" s="10" t="n">
        <x:v>0</x:v>
      </x:c>
      <x:c r="N5121" s="10" t="n">
        <x:v>0</x:v>
      </x:c>
      <x:c r="O5121" s="2" t="str">
        <x:v>Hà Nội|house</x:v>
      </x:c>
      <x:c r="P5121" s="10" t="n">
        <x:v>2</x:v>
      </x:c>
      <x:c r="Q5121" s="13" t="n">
        <x:f>IF(H5121="","",H5121/1000000000)</x:f>
        <x:v>1.43</x:v>
      </x:c>
      <x:c r="R5121" s="13" t="n">
        <x:f>IF(I5121="","",I5121/1000000)</x:f>
        <x:v>47.666666666666664</x:v>
      </x:c>
    </x:row>
    <x:row r="5122" ht="21" customHeight="1">
      <x:c r="A5122" s="10" t="n">
        <x:v>6743</x:v>
      </x:c>
      <x:c r="B5122" s="2" t="str">
        <x:v>a1b483c7c58c78029f14</x:v>
      </x:c>
      <x:c r="C5122" s="2" t="str">
        <x:v>Bến Tre</x:v>
      </x:c>
      <x:c r="D5122" s="2" t="str">
        <x:v>Thành phố Bến Tre</x:v>
      </x:c>
      <x:c r="E5122" s="2" t="str">
        <x:v>land</x:v>
      </x:c>
      <x:c r="F5122" s="2" t="str">
        <x:v>sale_assumed</x:v>
      </x:c>
      <x:c r="G5122" s="11" t="n">
        <x:v>207</x:v>
      </x:c>
      <x:c r="H5122" s="12" t="n">
        <x:v>3415000000</x:v>
      </x:c>
      <x:c r="I5122" s="12" t="n">
        <x:v>16497584.541062802</x:v>
      </x:c>
      <x:c r="J5122" s="2" t="str">
        <x:v>total</x:v>
      </x:c>
      <x:c r="K5122" s="2" t="str">
        <x:v>top_level_area</x:v>
      </x:c>
      <x:c r="L5122" s="2" t="str">
        <x:v>property_type_inferred_from_title;transaction_assumed_sale_from_dataset_context</x:v>
      </x:c>
      <x:c r="M5122" s="10" t="n">
        <x:v>0</x:v>
      </x:c>
      <x:c r="N5122" s="10" t="n">
        <x:v>0</x:v>
      </x:c>
      <x:c r="O5122" s="2" t="str">
        <x:v>Bến Tre|land</x:v>
      </x:c>
      <x:c r="P5122" s="10" t="n">
        <x:v>2</x:v>
      </x:c>
      <x:c r="Q5122" s="13" t="n">
        <x:f>IF(H5122="","",H5122/1000000000)</x:f>
        <x:v>3.415</x:v>
      </x:c>
      <x:c r="R5122" s="13" t="n">
        <x:f>IF(I5122="","",I5122/1000000)</x:f>
        <x:v>16.497584541062803</x:v>
      </x:c>
    </x:row>
    <x:row r="5123" ht="21" customHeight="1">
      <x:c r="A5123" s="10" t="n">
        <x:v>6744</x:v>
      </x:c>
      <x:c r="B5123" s="2" t="str">
        <x:v>4af0548951b26897732d</x:v>
      </x:c>
      <x:c r="C5123" s="2" t="str">
        <x:v>Thừa Thiên Huế</x:v>
      </x:c>
      <x:c r="D5123" s="2" t="str">
        <x:v>Huyện Phú Vang</x:v>
      </x:c>
      <x:c r="E5123" s="2" t="str">
        <x:v>house</x:v>
      </x:c>
      <x:c r="F5123" s="2" t="str">
        <x:v>sale_assumed</x:v>
      </x:c>
      <x:c r="G5123" s="11" t="n">
        <x:v>105</x:v>
      </x:c>
      <x:c r="H5123" s="12" t="n">
        <x:v>2500000000</x:v>
      </x:c>
      <x:c r="I5123" s="12" t="n">
        <x:v>23809523.80952381</x:v>
      </x:c>
      <x:c r="J5123" s="2" t="str">
        <x:v>total</x:v>
      </x:c>
      <x:c r="K5123" s="2" t="str">
        <x:v>top_level_area</x:v>
      </x:c>
      <x:c r="L5123" s="2" t="str">
        <x:v>property_type_inferred_from_title;transaction_assumed_sale_from_dataset_context</x:v>
      </x:c>
      <x:c r="M5123" s="10" t="n">
        <x:v>0</x:v>
      </x:c>
      <x:c r="N5123" s="10" t="n">
        <x:v>0</x:v>
      </x:c>
      <x:c r="O5123" s="2" t="str">
        <x:v>house</x:v>
      </x:c>
      <x:c r="P5123" s="10" t="n">
        <x:v>2</x:v>
      </x:c>
      <x:c r="Q5123" s="13" t="n">
        <x:f>IF(H5123="","",H5123/1000000000)</x:f>
        <x:v>2.5</x:v>
      </x:c>
      <x:c r="R5123" s="13" t="n">
        <x:f>IF(I5123="","",I5123/1000000)</x:f>
        <x:v>23.80952380952381</x:v>
      </x:c>
    </x:row>
    <x:row r="5124" ht="21" customHeight="1">
      <x:c r="A5124" s="10" t="n">
        <x:v>6745</x:v>
      </x:c>
      <x:c r="B5124" s="2" t="str">
        <x:v>29d76f63857968ecd46b</x:v>
      </x:c>
      <x:c r="C5124" s="2" t="str">
        <x:v>Tp Hồ Chí Minh</x:v>
      </x:c>
      <x:c r="D5124" s="2" t="str">
        <x:v>Quận Bình Tân</x:v>
      </x:c>
      <x:c r="E5124" s="2" t="str">
        <x:v>house</x:v>
      </x:c>
      <x:c r="F5124" s="2" t="str">
        <x:v>sale</x:v>
      </x:c>
      <x:c r="G5124" s="11" t="n">
        <x:v>53</x:v>
      </x:c>
      <x:c r="H5124" s="12" t="n">
        <x:v>4200000000</x:v>
      </x:c>
      <x:c r="I5124" s="12" t="n">
        <x:v>79245283.01886792</x:v>
      </x:c>
      <x:c r="J5124" s="2" t="str">
        <x:v>total</x:v>
      </x:c>
      <x:c r="K5124" s="2" t="str">
        <x:v>top_level_area</x:v>
      </x:c>
      <x:c r="L5124" s="2" t="str">
        <x:v>property_type_inferred_from_title</x:v>
      </x:c>
      <x:c r="M5124" s="10" t="n">
        <x:v>0</x:v>
      </x:c>
      <x:c r="N5124" s="10" t="n">
        <x:v>0</x:v>
      </x:c>
      <x:c r="O5124" s="2" t="str">
        <x:v>Tp Hồ Chí Minh|house</x:v>
      </x:c>
      <x:c r="P5124" s="10" t="n">
        <x:v>2</x:v>
      </x:c>
      <x:c r="Q5124" s="13" t="n">
        <x:f>IF(H5124="","",H5124/1000000000)</x:f>
        <x:v>4.2</x:v>
      </x:c>
      <x:c r="R5124" s="13" t="n">
        <x:f>IF(I5124="","",I5124/1000000)</x:f>
        <x:v>79.24528301886792</x:v>
      </x:c>
    </x:row>
    <x:row r="5125" ht="21" customHeight="1">
      <x:c r="A5125" s="10" t="n">
        <x:v>6746</x:v>
      </x:c>
      <x:c r="B5125" s="2" t="str">
        <x:v>2a11777052168c5a8eab</x:v>
      </x:c>
      <x:c r="C5125" s="2" t="str">
        <x:v>Thừa Thiên Huế</x:v>
      </x:c>
      <x:c r="D5125" s="2" t="str">
        <x:v>Huyện Phú Lộc</x:v>
      </x:c>
      <x:c r="E5125" s="2" t="str">
        <x:v>land</x:v>
      </x:c>
      <x:c r="F5125" s="2" t="str">
        <x:v>sale_assumed</x:v>
      </x:c>
      <x:c r="G5125" s="11" t="n">
        <x:v>180</x:v>
      </x:c>
      <x:c r="H5125" s="12" t="n">
        <x:v>1800000000</x:v>
      </x:c>
      <x:c r="I5125" s="12" t="n">
        <x:v>10000000</x:v>
      </x:c>
      <x:c r="J5125" s="2" t="str">
        <x:v>total</x:v>
      </x:c>
      <x:c r="K5125" s="2" t="str">
        <x:v>top_level_area</x:v>
      </x:c>
      <x:c r="L5125" s="2" t="str">
        <x:v>property_type_inferred_from_title;transaction_assumed_sale_from_dataset_context</x:v>
      </x:c>
      <x:c r="M5125" s="10" t="n">
        <x:v>0</x:v>
      </x:c>
      <x:c r="N5125" s="10" t="n">
        <x:v>0</x:v>
      </x:c>
      <x:c r="O5125" s="2" t="str">
        <x:v>land</x:v>
      </x:c>
      <x:c r="P5125" s="10" t="n">
        <x:v>2</x:v>
      </x:c>
      <x:c r="Q5125" s="13" t="n">
        <x:f>IF(H5125="","",H5125/1000000000)</x:f>
        <x:v>1.8</x:v>
      </x:c>
      <x:c r="R5125" s="13" t="n">
        <x:f>IF(I5125="","",I5125/1000000)</x:f>
        <x:v>10</x:v>
      </x:c>
    </x:row>
    <x:row r="5126" ht="21" customHeight="1">
      <x:c r="A5126" s="10" t="n">
        <x:v>6748</x:v>
      </x:c>
      <x:c r="B5126" s="2" t="str">
        <x:v>5899c59bf7e54f499ba4</x:v>
      </x:c>
      <x:c r="C5126" s="2" t="str">
        <x:v>Tp Hồ Chí Minh</x:v>
      </x:c>
      <x:c r="D5126" s="2" t="str">
        <x:v>Quận 9</x:v>
      </x:c>
      <x:c r="E5126" s="2" t="str">
        <x:v>house</x:v>
      </x:c>
      <x:c r="F5126" s="2" t="str">
        <x:v>sale_assumed</x:v>
      </x:c>
      <x:c r="G5126" s="11" t="n">
        <x:v>78</x:v>
      </x:c>
      <x:c r="H5126" s="12" t="n">
        <x:v>1150000000</x:v>
      </x:c>
      <x:c r="I5126" s="12" t="n">
        <x:v>14743589.743589744</x:v>
      </x:c>
      <x:c r="J5126" s="2" t="str">
        <x:v>total</x:v>
      </x:c>
      <x:c r="K5126" s="2" t="str">
        <x:v>top_level_area</x:v>
      </x:c>
      <x:c r="L5126" s="2" t="str">
        <x:v>property_type_inferred_from_title;transaction_assumed_sale_from_dataset_context</x:v>
      </x:c>
      <x:c r="M5126" s="10" t="n">
        <x:v>0</x:v>
      </x:c>
      <x:c r="N5126" s="10" t="n">
        <x:v>0</x:v>
      </x:c>
      <x:c r="O5126" s="2" t="str">
        <x:v>Tp Hồ Chí Minh|house</x:v>
      </x:c>
      <x:c r="P5126" s="10" t="n">
        <x:v>2</x:v>
      </x:c>
      <x:c r="Q5126" s="13" t="n">
        <x:f>IF(H5126="","",H5126/1000000000)</x:f>
        <x:v>1.15</x:v>
      </x:c>
      <x:c r="R5126" s="13" t="n">
        <x:f>IF(I5126="","",I5126/1000000)</x:f>
        <x:v>14.743589743589745</x:v>
      </x:c>
    </x:row>
    <x:row r="5127" ht="21" customHeight="1">
      <x:c r="A5127" s="10" t="n">
        <x:v>6749</x:v>
      </x:c>
      <x:c r="B5127" s="2" t="str">
        <x:v>a931c151a4497022eb51</x:v>
      </x:c>
      <x:c r="C5127" s="2" t="str">
        <x:v>Hà Nội</x:v>
      </x:c>
      <x:c r="D5127" s="2" t="str">
        <x:v>Huyện Thanh Trì</x:v>
      </x:c>
      <x:c r="E5127" s="2" t="str">
        <x:v>land</x:v>
      </x:c>
      <x:c r="F5127" s="2" t="str">
        <x:v>sale</x:v>
      </x:c>
      <x:c r="G5127" s="11" t="n">
        <x:v>52</x:v>
      </x:c>
      <x:c r="H5127" s="12" t="n">
        <x:v>22800000</x:v>
      </x:c>
      <x:c r="I5127" s="12" t="n">
        <x:v>438461.53846153844</x:v>
      </x:c>
      <x:c r="J5127" s="2" t="str">
        <x:v>total</x:v>
      </x:c>
      <x:c r="K5127" s="2" t="str">
        <x:v>top_level_area</x:v>
      </x:c>
      <x:c r="L5127" s="2" t="str">
        <x:v>property_type_inferred_from_title</x:v>
      </x:c>
      <x:c r="M5127" s="10" t="n">
        <x:v>0</x:v>
      </x:c>
      <x:c r="N5127" s="10" t="n">
        <x:v>0</x:v>
      </x:c>
      <x:c r="O5127" s="2" t="str">
        <x:v>Hà Nội|land</x:v>
      </x:c>
      <x:c r="P5127" s="10" t="n">
        <x:v>1</x:v>
      </x:c>
      <x:c r="Q5127" s="13" t="n">
        <x:f>IF(H5127="","",H5127/1000000000)</x:f>
        <x:v>0.0228</x:v>
      </x:c>
      <x:c r="R5127" s="13" t="n">
        <x:f>IF(I5127="","",I5127/1000000)</x:f>
        <x:v>0.43846153846153846</x:v>
      </x:c>
    </x:row>
    <x:row r="5128" ht="21" customHeight="1">
      <x:c r="A5128" s="10" t="n">
        <x:v>6750</x:v>
      </x:c>
      <x:c r="B5128" s="2" t="str">
        <x:v>2c31c656da21792d5b66</x:v>
      </x:c>
      <x:c r="C5128" s="2" t="str">
        <x:v>Đà Nẵng</x:v>
      </x:c>
      <x:c r="D5128" s="2" t="str">
        <x:v>Quận Sơn Trà</x:v>
      </x:c>
      <x:c r="E5128" s="2" t="str">
        <x:v>land</x:v>
      </x:c>
      <x:c r="F5128" s="2" t="str">
        <x:v>sale</x:v>
      </x:c>
      <x:c r="G5128" s="11" t="n">
        <x:v>81</x:v>
      </x:c>
      <x:c r="H5128" s="12" t="n">
        <x:v>2500000000</x:v>
      </x:c>
      <x:c r="I5128" s="12" t="n">
        <x:v>30864197.530864198</x:v>
      </x:c>
      <x:c r="J5128" s="2" t="str">
        <x:v>total</x:v>
      </x:c>
      <x:c r="K5128" s="2" t="str">
        <x:v>top_level_area</x:v>
      </x:c>
      <x:c r="L5128" s="2" t="str">
        <x:v>property_type_inferred_from_title</x:v>
      </x:c>
      <x:c r="M5128" s="10" t="n">
        <x:v>0</x:v>
      </x:c>
      <x:c r="N5128" s="10" t="n">
        <x:v>0</x:v>
      </x:c>
      <x:c r="O5128" s="2" t="str">
        <x:v>Đà Nẵng|land</x:v>
      </x:c>
      <x:c r="P5128" s="10" t="n">
        <x:v>2</x:v>
      </x:c>
      <x:c r="Q5128" s="13" t="n">
        <x:f>IF(H5128="","",H5128/1000000000)</x:f>
        <x:v>2.5</x:v>
      </x:c>
      <x:c r="R5128" s="13" t="n">
        <x:f>IF(I5128="","",I5128/1000000)</x:f>
        <x:v>30.864197530864196</x:v>
      </x:c>
    </x:row>
    <x:row r="5129" ht="21" customHeight="1">
      <x:c r="A5129" s="10" t="n">
        <x:v>6751</x:v>
      </x:c>
      <x:c r="B5129" s="2" t="str">
        <x:v>42b6d759db54bb758dd9</x:v>
      </x:c>
      <x:c r="C5129" s="2" t="str">
        <x:v>Tp Hồ Chí Minh</x:v>
      </x:c>
      <x:c r="D5129" s="2" t="str">
        <x:v>Quận 9</x:v>
      </x:c>
      <x:c r="E5129" s="2" t="str">
        <x:v>house</x:v>
      </x:c>
      <x:c r="F5129" s="2" t="str">
        <x:v>sale_assumed</x:v>
      </x:c>
      <x:c r="G5129" s="11" t="n">
        <x:v>145</x:v>
      </x:c>
      <x:c r="H5129" s="12" t="n">
        <x:v>11500000000</x:v>
      </x:c>
      <x:c r="I5129" s="12" t="n">
        <x:v>79310344.8275862</x:v>
      </x:c>
      <x:c r="J5129" s="2" t="str">
        <x:v>total</x:v>
      </x:c>
      <x:c r="K5129" s="2" t="str">
        <x:v>top_level_area</x:v>
      </x:c>
      <x:c r="L5129" s="2" t="str">
        <x:v>property_type_inferred_from_title;transaction_assumed_sale_from_dataset_context</x:v>
      </x:c>
      <x:c r="M5129" s="10" t="n">
        <x:v>0</x:v>
      </x:c>
      <x:c r="N5129" s="10" t="n">
        <x:v>0</x:v>
      </x:c>
      <x:c r="O5129" s="2" t="str">
        <x:v>Tp Hồ Chí Minh|house</x:v>
      </x:c>
      <x:c r="P5129" s="10" t="n">
        <x:v>2</x:v>
      </x:c>
      <x:c r="Q5129" s="13" t="n">
        <x:f>IF(H5129="","",H5129/1000000000)</x:f>
        <x:v>11.5</x:v>
      </x:c>
      <x:c r="R5129" s="13" t="n">
        <x:f>IF(I5129="","",I5129/1000000)</x:f>
        <x:v>79.3103448275862</x:v>
      </x:c>
    </x:row>
    <x:row r="5130" ht="21" customHeight="1">
      <x:c r="A5130" s="10" t="n">
        <x:v>6752</x:v>
      </x:c>
      <x:c r="B5130" s="2" t="str">
        <x:v>f8a4db193fc448fd73cc</x:v>
      </x:c>
      <x:c r="C5130" s="2" t="str">
        <x:v>Tp Hồ Chí Minh</x:v>
      </x:c>
      <x:c r="D5130" s="2" t="str">
        <x:v>Quận 9</x:v>
      </x:c>
      <x:c r="E5130" s="2" t="str">
        <x:v>land</x:v>
      </x:c>
      <x:c r="F5130" s="2" t="str">
        <x:v>sale</x:v>
      </x:c>
      <x:c r="G5130" s="11" t="n">
        <x:v>54</x:v>
      </x:c>
      <x:c r="H5130" s="12" t="n">
        <x:v>2700000000</x:v>
      </x:c>
      <x:c r="I5130" s="12" t="n">
        <x:v>50000000</x:v>
      </x:c>
      <x:c r="J5130" s="2" t="str">
        <x:v>total</x:v>
      </x:c>
      <x:c r="K5130" s="2" t="str">
        <x:v>top_level_area</x:v>
      </x:c>
      <x:c r="L5130" s="2" t="str">
        <x:v>property_type_inferred_from_title</x:v>
      </x:c>
      <x:c r="M5130" s="10" t="n">
        <x:v>0</x:v>
      </x:c>
      <x:c r="N5130" s="10" t="n">
        <x:v>0</x:v>
      </x:c>
      <x:c r="O5130" s="2" t="str">
        <x:v>Tp Hồ Chí Minh|land</x:v>
      </x:c>
      <x:c r="P5130" s="10" t="n">
        <x:v>2</x:v>
      </x:c>
      <x:c r="Q5130" s="13" t="n">
        <x:f>IF(H5130="","",H5130/1000000000)</x:f>
        <x:v>2.7</x:v>
      </x:c>
      <x:c r="R5130" s="13" t="n">
        <x:f>IF(I5130="","",I5130/1000000)</x:f>
        <x:v>50</x:v>
      </x:c>
    </x:row>
    <x:row r="5131" ht="21" customHeight="1">
      <x:c r="A5131" s="10" t="n">
        <x:v>6753</x:v>
      </x:c>
      <x:c r="B5131" s="2" t="str">
        <x:v>67872ed221c97f23baa1</x:v>
      </x:c>
      <x:c r="C5131" s="2" t="str">
        <x:v>Tp Hồ Chí Minh</x:v>
      </x:c>
      <x:c r="D5131" s="2" t="str">
        <x:v>Quận Tân Phú</x:v>
      </x:c>
      <x:c r="E5131" s="2" t="str">
        <x:v>house</x:v>
      </x:c>
      <x:c r="F5131" s="2" t="str">
        <x:v>sale_assumed</x:v>
      </x:c>
      <x:c r="G5131" s="11" t="n">
        <x:v>70</x:v>
      </x:c>
      <x:c r="H5131" s="12" t="n">
        <x:v>5900000000</x:v>
      </x:c>
      <x:c r="I5131" s="12" t="n">
        <x:v>84285714.28571428</x:v>
      </x:c>
      <x:c r="J5131" s="2" t="str">
        <x:v>total</x:v>
      </x:c>
      <x:c r="K5131" s="2" t="str">
        <x:v>top_level_area</x:v>
      </x:c>
      <x:c r="L5131" s="2" t="str">
        <x:v>property_type_inferred_from_title;transaction_assumed_sale_from_dataset_context</x:v>
      </x:c>
      <x:c r="M5131" s="10" t="n">
        <x:v>0</x:v>
      </x:c>
      <x:c r="N5131" s="10" t="n">
        <x:v>0</x:v>
      </x:c>
      <x:c r="O5131" s="2" t="str">
        <x:v>Tp Hồ Chí Minh|house</x:v>
      </x:c>
      <x:c r="P5131" s="10" t="n">
        <x:v>2</x:v>
      </x:c>
      <x:c r="Q5131" s="13" t="n">
        <x:f>IF(H5131="","",H5131/1000000000)</x:f>
        <x:v>5.9</x:v>
      </x:c>
      <x:c r="R5131" s="13" t="n">
        <x:f>IF(I5131="","",I5131/1000000)</x:f>
        <x:v>84.28571428571428</x:v>
      </x:c>
    </x:row>
    <x:row r="5132" ht="21" customHeight="1">
      <x:c r="A5132" s="10" t="n">
        <x:v>6754</x:v>
      </x:c>
      <x:c r="B5132" s="2" t="str">
        <x:v>7629db0cd203f93085c9</x:v>
      </x:c>
      <x:c r="C5132" s="2" t="str">
        <x:v>Tp Hồ Chí Minh</x:v>
      </x:c>
      <x:c r="D5132" s="2" t="str">
        <x:v>Quận 7</x:v>
      </x:c>
      <x:c r="E5132" s="2" t="str">
        <x:v>apartment</x:v>
      </x:c>
      <x:c r="F5132" s="2" t="str">
        <x:v>sale</x:v>
      </x:c>
      <x:c r="G5132" s="11" t="n">
        <x:v>77.46</x:v>
      </x:c>
      <x:c r="H5132" s="12" t="n">
        <x:v>2250000000</x:v>
      </x:c>
      <x:c r="I5132" s="12" t="n">
        <x:v>29047250.19364834</x:v>
      </x:c>
      <x:c r="J5132" s="2" t="str">
        <x:v>total</x:v>
      </x:c>
      <x:c r="K5132" s="2" t="str">
        <x:v>top_level_area</x:v>
      </x:c>
      <x:c r="L5132" s="2" t="str">
        <x:v>property_type_inferred_from_title</x:v>
      </x:c>
      <x:c r="M5132" s="10" t="n">
        <x:v>0</x:v>
      </x:c>
      <x:c r="N5132" s="10" t="n">
        <x:v>0</x:v>
      </x:c>
      <x:c r="O5132" s="2" t="str">
        <x:v>Tp Hồ Chí Minh|apartment</x:v>
      </x:c>
      <x:c r="P5132" s="10" t="n">
        <x:v>2</x:v>
      </x:c>
      <x:c r="Q5132" s="13" t="n">
        <x:f>IF(H5132="","",H5132/1000000000)</x:f>
        <x:v>2.25</x:v>
      </x:c>
      <x:c r="R5132" s="13" t="n">
        <x:f>IF(I5132="","",I5132/1000000)</x:f>
        <x:v>29.04725019364834</x:v>
      </x:c>
    </x:row>
    <x:row r="5133" ht="21" customHeight="1">
      <x:c r="A5133" s="10" t="n">
        <x:v>6757</x:v>
      </x:c>
      <x:c r="B5133" s="2" t="str">
        <x:v>ed08a2ca9a9bd9f660e6</x:v>
      </x:c>
      <x:c r="C5133" s="2" t="str">
        <x:v>Tp Hồ Chí Minh</x:v>
      </x:c>
      <x:c r="D5133" s="2" t="str">
        <x:v>Quận 9</x:v>
      </x:c>
      <x:c r="E5133" s="2" t="str">
        <x:v>other_unknown</x:v>
      </x:c>
      <x:c r="F5133" s="2" t="str">
        <x:v>sale_assumed</x:v>
      </x:c>
      <x:c r="G5133" s="11" t="n">
        <x:v>12000</x:v>
      </x:c>
      <x:c r="H5133" s="12" t="n">
        <x:v>58000000000</x:v>
      </x:c>
      <x:c r="I5133" s="12" t="n">
        <x:v>4833333.333333333</x:v>
      </x:c>
      <x:c r="J5133" s="2" t="str">
        <x:v>total</x:v>
      </x:c>
      <x:c r="K5133" s="2" t="str">
        <x:v>top_level_area</x:v>
      </x:c>
      <x:c r="L5133" s="2" t="str">
        <x:v>dot_thousands_convention;property_type_inferred_from_title;transaction_assumed_sale_from_dataset_context;unknown_property_type</x:v>
      </x:c>
      <x:c r="M5133" s="10" t="n">
        <x:v>0</x:v>
      </x:c>
      <x:c r="N5133" s="10" t="n">
        <x:v>0</x:v>
      </x:c>
      <x:c r="O5133" s="2" t="str">
        <x:v>Tp Hồ Chí Minh|other_unknown</x:v>
      </x:c>
      <x:c r="P5133" s="10" t="n">
        <x:v>1</x:v>
      </x:c>
      <x:c r="Q5133" s="13" t="n">
        <x:f>IF(H5133="","",H5133/1000000000)</x:f>
        <x:v>58</x:v>
      </x:c>
      <x:c r="R5133" s="13" t="n">
        <x:f>IF(I5133="","",I5133/1000000)</x:f>
        <x:v>4.833333333333333</x:v>
      </x:c>
    </x:row>
    <x:row r="5134" ht="21" customHeight="1">
      <x:c r="A5134" s="10" t="n">
        <x:v>6758</x:v>
      </x:c>
      <x:c r="B5134" s="2" t="str">
        <x:v>7046b8da0fa64afca86c</x:v>
      </x:c>
      <x:c r="C5134" s="2" t="str">
        <x:v>Bình Dương</x:v>
      </x:c>
      <x:c r="D5134" s="2" t="str">
        <x:v>Thành phố Thủ Dầu Một</x:v>
      </x:c>
      <x:c r="E5134" s="2" t="str">
        <x:v>house</x:v>
      </x:c>
      <x:c r="F5134" s="2" t="str">
        <x:v>sale_assumed</x:v>
      </x:c>
      <x:c r="G5134" s="11" t="n">
        <x:v>300</x:v>
      </x:c>
      <x:c r="H5134" s="12" t="n">
        <x:v>1650000000</x:v>
      </x:c>
      <x:c r="I5134" s="12" t="n">
        <x:v>5500000</x:v>
      </x:c>
      <x:c r="J5134" s="2" t="str">
        <x:v>total</x:v>
      </x:c>
      <x:c r="K5134" s="2" t="str">
        <x:v>top_level_price_embedded_area</x:v>
      </x:c>
      <x:c r="L5134" s="2" t="str">
        <x:v>area_recovered_from_price_text;property_type_inferred_from_title;transaction_assumed_sale_from_dataset_context</x:v>
      </x:c>
      <x:c r="M5134" s="10" t="n">
        <x:v>0</x:v>
      </x:c>
      <x:c r="N5134" s="10" t="n">
        <x:v>0</x:v>
      </x:c>
      <x:c r="O5134" s="2" t="str">
        <x:v>Bình Dương|house</x:v>
      </x:c>
      <x:c r="P5134" s="10" t="n">
        <x:v>1</x:v>
      </x:c>
      <x:c r="Q5134" s="13" t="n">
        <x:f>IF(H5134="","",H5134/1000000000)</x:f>
        <x:v>1.65</x:v>
      </x:c>
      <x:c r="R5134" s="13" t="n">
        <x:f>IF(I5134="","",I5134/1000000)</x:f>
        <x:v>5.5</x:v>
      </x:c>
    </x:row>
    <x:row r="5135" ht="21" customHeight="1">
      <x:c r="A5135" s="10" t="n">
        <x:v>6759</x:v>
      </x:c>
      <x:c r="B5135" s="2" t="str">
        <x:v>2ff30e84fa810c31dfcb</x:v>
      </x:c>
      <x:c r="C5135" s="2" t="str">
        <x:v>Tp Hồ Chí Minh</x:v>
      </x:c>
      <x:c r="D5135" s="2" t="str">
        <x:v>Quận Thủ Đức</x:v>
      </x:c>
      <x:c r="E5135" s="2" t="str">
        <x:v>apartment</x:v>
      </x:c>
      <x:c r="F5135" s="2" t="str">
        <x:v>sale_assumed</x:v>
      </x:c>
      <x:c r="G5135" s="11" t="n">
        <x:v>79</x:v>
      </x:c>
      <x:c r="H5135" s="12" t="n">
        <x:v>600000000</x:v>
      </x:c>
      <x:c r="I5135" s="12" t="n">
        <x:v>7594936.70886076</x:v>
      </x:c>
      <x:c r="J5135" s="2" t="str">
        <x:v>total</x:v>
      </x:c>
      <x:c r="K5135" s="2" t="str">
        <x:v>top_level_area</x:v>
      </x:c>
      <x:c r="L5135" s="2" t="str">
        <x:v>property_type_inferred_from_title;transaction_assumed_sale_from_dataset_context</x:v>
      </x:c>
      <x:c r="M5135" s="10" t="n">
        <x:v>0</x:v>
      </x:c>
      <x:c r="N5135" s="10" t="n">
        <x:v>0</x:v>
      </x:c>
      <x:c r="O5135" s="2" t="str">
        <x:v>Tp Hồ Chí Minh|apartment</x:v>
      </x:c>
      <x:c r="P5135" s="10" t="n">
        <x:v>2</x:v>
      </x:c>
      <x:c r="Q5135" s="13" t="n">
        <x:f>IF(H5135="","",H5135/1000000000)</x:f>
        <x:v>0.6</x:v>
      </x:c>
      <x:c r="R5135" s="13" t="n">
        <x:f>IF(I5135="","",I5135/1000000)</x:f>
        <x:v>7.59493670886076</x:v>
      </x:c>
    </x:row>
    <x:row r="5136" ht="21" customHeight="1">
      <x:c r="A5136" s="10" t="n">
        <x:v>6760</x:v>
      </x:c>
      <x:c r="B5136" s="2" t="str">
        <x:v>cfb76c2327b42f737e8e</x:v>
      </x:c>
      <x:c r="C5136" s="2" t="str">
        <x:v>Tp Hồ Chí Minh</x:v>
      </x:c>
      <x:c r="D5136" s="2" t="str">
        <x:v>Quận Bình Tân</x:v>
      </x:c>
      <x:c r="E5136" s="2" t="str">
        <x:v>other_unknown</x:v>
      </x:c>
      <x:c r="F5136" s="2" t="str">
        <x:v>sale_assumed</x:v>
      </x:c>
      <x:c r="G5136" s="11" t="n">
        <x:v>113</x:v>
      </x:c>
      <x:c r="H5136" s="12" t="n">
        <x:v>11200000000</x:v>
      </x:c>
      <x:c r="I5136" s="12" t="n">
        <x:v>99115044.24778761</x:v>
      </x:c>
      <x:c r="J5136" s="2" t="str">
        <x:v>total</x:v>
      </x:c>
      <x:c r="K5136" s="2" t="str">
        <x:v>top_level_area</x:v>
      </x:c>
      <x:c r="L5136" s="2" t="str">
        <x:v>property_type_inferred_from_title;transaction_assumed_sale_from_dataset_context;unknown_property_type</x:v>
      </x:c>
      <x:c r="M5136" s="10" t="n">
        <x:v>0</x:v>
      </x:c>
      <x:c r="N5136" s="10" t="n">
        <x:v>0</x:v>
      </x:c>
      <x:c r="O5136" s="2" t="str">
        <x:v>Tp Hồ Chí Minh|other_unknown</x:v>
      </x:c>
      <x:c r="P5136" s="10" t="n">
        <x:v>2</x:v>
      </x:c>
      <x:c r="Q5136" s="13" t="n">
        <x:f>IF(H5136="","",H5136/1000000000)</x:f>
        <x:v>11.2</x:v>
      </x:c>
      <x:c r="R5136" s="13" t="n">
        <x:f>IF(I5136="","",I5136/1000000)</x:f>
        <x:v>99.11504424778761</x:v>
      </x:c>
    </x:row>
    <x:row r="5137" ht="21" customHeight="1">
      <x:c r="A5137" s="10" t="n">
        <x:v>6761</x:v>
      </x:c>
      <x:c r="B5137" s="2" t="str">
        <x:v>45d1093913d2eef711b4</x:v>
      </x:c>
      <x:c r="C5137" s="2" t="str">
        <x:v>Tp Hồ Chí Minh</x:v>
      </x:c>
      <x:c r="D5137" s="2" t="str">
        <x:v>Huyện Hóc Môn</x:v>
      </x:c>
      <x:c r="E5137" s="2" t="str">
        <x:v>house</x:v>
      </x:c>
      <x:c r="F5137" s="2" t="str">
        <x:v>sale_assumed</x:v>
      </x:c>
      <x:c r="G5137" s="11" t="n">
        <x:v>150</x:v>
      </x:c>
      <x:c r="H5137" s="12" t="n">
        <x:v>6500000000</x:v>
      </x:c>
      <x:c r="I5137" s="12" t="n">
        <x:v>43333333.333333336</x:v>
      </x:c>
      <x:c r="J5137" s="2" t="str">
        <x:v>total</x:v>
      </x:c>
      <x:c r="K5137" s="2" t="str">
        <x:v>top_level_area</x:v>
      </x:c>
      <x:c r="L5137" s="2" t="str">
        <x:v>property_type_inferred_from_title;transaction_assumed_sale_from_dataset_context</x:v>
      </x:c>
      <x:c r="M5137" s="10" t="n">
        <x:v>0</x:v>
      </x:c>
      <x:c r="N5137" s="10" t="n">
        <x:v>0</x:v>
      </x:c>
      <x:c r="O5137" s="2" t="str">
        <x:v>Tp Hồ Chí Minh|house</x:v>
      </x:c>
      <x:c r="P5137" s="10" t="n">
        <x:v>2</x:v>
      </x:c>
      <x:c r="Q5137" s="13" t="n">
        <x:f>IF(H5137="","",H5137/1000000000)</x:f>
        <x:v>6.5</x:v>
      </x:c>
      <x:c r="R5137" s="13" t="n">
        <x:f>IF(I5137="","",I5137/1000000)</x:f>
        <x:v>43.333333333333336</x:v>
      </x:c>
    </x:row>
    <x:row r="5138" ht="21" customHeight="1">
      <x:c r="A5138" s="10" t="n">
        <x:v>6762</x:v>
      </x:c>
      <x:c r="B5138" s="2" t="str">
        <x:v>2abece8cd964a1c8fd9f</x:v>
      </x:c>
      <x:c r="C5138" s="2" t="str">
        <x:v>Tp Hồ Chí Minh</x:v>
      </x:c>
      <x:c r="D5138" s="2" t="str">
        <x:v>Quận Bình Tân</x:v>
      </x:c>
      <x:c r="E5138" s="2" t="str">
        <x:v>house</x:v>
      </x:c>
      <x:c r="F5138" s="2" t="str">
        <x:v>sale</x:v>
      </x:c>
      <x:c r="G5138" s="11" t="n">
        <x:v>52</x:v>
      </x:c>
      <x:c r="H5138" s="12" t="n">
        <x:v>889000000</x:v>
      </x:c>
      <x:c r="I5138" s="12" t="n">
        <x:v>17096153.846153848</x:v>
      </x:c>
      <x:c r="J5138" s="2" t="str">
        <x:v>total</x:v>
      </x:c>
      <x:c r="K5138" s="2" t="str">
        <x:v>top_level_area</x:v>
      </x:c>
      <x:c r="L5138" s="2" t="str">
        <x:v>property_type_inferred_from_title</x:v>
      </x:c>
      <x:c r="M5138" s="10" t="n">
        <x:v>0</x:v>
      </x:c>
      <x:c r="N5138" s="10" t="n">
        <x:v>0</x:v>
      </x:c>
      <x:c r="O5138" s="2" t="str">
        <x:v>Tp Hồ Chí Minh|house</x:v>
      </x:c>
      <x:c r="P5138" s="10" t="n">
        <x:v>2</x:v>
      </x:c>
      <x:c r="Q5138" s="13" t="n">
        <x:f>IF(H5138="","",H5138/1000000000)</x:f>
        <x:v>0.889</x:v>
      </x:c>
      <x:c r="R5138" s="13" t="n">
        <x:f>IF(I5138="","",I5138/1000000)</x:f>
        <x:v>17.096153846153847</x:v>
      </x:c>
    </x:row>
    <x:row r="5139" ht="21" customHeight="1">
      <x:c r="A5139" s="10" t="n">
        <x:v>6763</x:v>
      </x:c>
      <x:c r="B5139" s="2" t="str">
        <x:v>bbcba4f10a9fc4e67829</x:v>
      </x:c>
      <x:c r="C5139" s="2" t="str">
        <x:v>Tp Hồ Chí Minh</x:v>
      </x:c>
      <x:c r="D5139" s="2" t="str">
        <x:v>Quận Thủ Đức</x:v>
      </x:c>
      <x:c r="E5139" s="2" t="str">
        <x:v>house</x:v>
      </x:c>
      <x:c r="F5139" s="2" t="str">
        <x:v>sale</x:v>
      </x:c>
      <x:c r="G5139" s="11" t="n">
        <x:v>111</x:v>
      </x:c>
      <x:c r="H5139" s="12" t="n">
        <x:v>5800000000</x:v>
      </x:c>
      <x:c r="I5139" s="12" t="n">
        <x:v>52252252.25225225</x:v>
      </x:c>
      <x:c r="J5139" s="2" t="str">
        <x:v>total</x:v>
      </x:c>
      <x:c r="K5139" s="2" t="str">
        <x:v>top_level_area</x:v>
      </x:c>
      <x:c r="L5139" s="2" t="str">
        <x:v>property_type_inferred_from_title</x:v>
      </x:c>
      <x:c r="M5139" s="10" t="n">
        <x:v>0</x:v>
      </x:c>
      <x:c r="N5139" s="10" t="n">
        <x:v>0</x:v>
      </x:c>
      <x:c r="O5139" s="2" t="str">
        <x:v>Tp Hồ Chí Minh|house</x:v>
      </x:c>
      <x:c r="P5139" s="10" t="n">
        <x:v>2</x:v>
      </x:c>
      <x:c r="Q5139" s="13" t="n">
        <x:f>IF(H5139="","",H5139/1000000000)</x:f>
        <x:v>5.8</x:v>
      </x:c>
      <x:c r="R5139" s="13" t="n">
        <x:f>IF(I5139="","",I5139/1000000)</x:f>
        <x:v>52.25225225225225</x:v>
      </x:c>
    </x:row>
    <x:row r="5140" ht="21" customHeight="1">
      <x:c r="A5140" s="10" t="n">
        <x:v>6764</x:v>
      </x:c>
      <x:c r="B5140" s="2" t="str">
        <x:v>57e8163bed488e87d4fd</x:v>
      </x:c>
      <x:c r="C5140" s="2" t="str">
        <x:v>Hà Nội</x:v>
      </x:c>
      <x:c r="D5140" s="2" t="str">
        <x:v>Quận Bắc Từ Liêm</x:v>
      </x:c>
      <x:c r="E5140" s="2" t="str">
        <x:v>apartment</x:v>
      </x:c>
      <x:c r="F5140" s="2" t="str">
        <x:v>sale_assumed</x:v>
      </x:c>
      <x:c r="G5140" s="11" t="n">
        <x:v>70</x:v>
      </x:c>
      <x:c r="H5140" s="12" t="n">
        <x:v>2230000000</x:v>
      </x:c>
      <x:c r="I5140" s="12" t="n">
        <x:v>31857142.85714286</x:v>
      </x:c>
      <x:c r="J5140" s="2" t="str">
        <x:v>total</x:v>
      </x:c>
      <x:c r="K5140" s="2" t="str">
        <x:v>top_level_area</x:v>
      </x:c>
      <x:c r="L5140" s="2" t="str">
        <x:v>property_type_inferred_from_title;transaction_assumed_sale_from_dataset_context</x:v>
      </x:c>
      <x:c r="M5140" s="10" t="n">
        <x:v>0</x:v>
      </x:c>
      <x:c r="N5140" s="10" t="n">
        <x:v>0</x:v>
      </x:c>
      <x:c r="O5140" s="2" t="str">
        <x:v>Hà Nội|apartment</x:v>
      </x:c>
      <x:c r="P5140" s="10" t="n">
        <x:v>2</x:v>
      </x:c>
      <x:c r="Q5140" s="13" t="n">
        <x:f>IF(H5140="","",H5140/1000000000)</x:f>
        <x:v>2.23</x:v>
      </x:c>
      <x:c r="R5140" s="13" t="n">
        <x:f>IF(I5140="","",I5140/1000000)</x:f>
        <x:v>31.857142857142858</x:v>
      </x:c>
    </x:row>
    <x:row r="5141" ht="21" customHeight="1">
      <x:c r="A5141" s="10" t="n">
        <x:v>6766</x:v>
      </x:c>
      <x:c r="B5141" s="2" t="str">
        <x:v>5ca6ab3d61085dd8af66</x:v>
      </x:c>
      <x:c r="C5141" s="2" t="str">
        <x:v>Hà Nội</x:v>
      </x:c>
      <x:c r="D5141" s="2" t="str">
        <x:v>Quận Hai Bà Trưng</x:v>
      </x:c>
      <x:c r="E5141" s="2" t="str">
        <x:v>apartment</x:v>
      </x:c>
      <x:c r="F5141" s="2" t="str">
        <x:v>sale_assumed</x:v>
      </x:c>
      <x:c r="G5141" s="11" t="n">
        <x:v>33</x:v>
      </x:c>
      <x:c r="H5141" s="12" t="n">
        <x:v>600000000</x:v>
      </x:c>
      <x:c r="I5141" s="12" t="n">
        <x:v>18181818.181818184</x:v>
      </x:c>
      <x:c r="J5141" s="2" t="str">
        <x:v>total</x:v>
      </x:c>
      <x:c r="K5141" s="2" t="str">
        <x:v>top_level_area</x:v>
      </x:c>
      <x:c r="L5141" s="2" t="str">
        <x:v>property_type_inferred_from_title;transaction_assumed_sale_from_dataset_context</x:v>
      </x:c>
      <x:c r="M5141" s="10" t="n">
        <x:v>0</x:v>
      </x:c>
      <x:c r="N5141" s="10" t="n">
        <x:v>0</x:v>
      </x:c>
      <x:c r="O5141" s="2" t="str">
        <x:v>Hà Nội|apartment</x:v>
      </x:c>
      <x:c r="P5141" s="10" t="n">
        <x:v>2</x:v>
      </x:c>
      <x:c r="Q5141" s="13" t="n">
        <x:f>IF(H5141="","",H5141/1000000000)</x:f>
        <x:v>0.6</x:v>
      </x:c>
      <x:c r="R5141" s="13" t="n">
        <x:f>IF(I5141="","",I5141/1000000)</x:f>
        <x:v>18.181818181818183</x:v>
      </x:c>
    </x:row>
    <x:row r="5142" ht="21" customHeight="1">
      <x:c r="A5142" s="10" t="n">
        <x:v>6767</x:v>
      </x:c>
      <x:c r="B5142" s="2" t="str">
        <x:v>549cc26c49dee45ae807</x:v>
      </x:c>
      <x:c r="C5142" s="2" t="str">
        <x:v>Kiên Giang</x:v>
      </x:c>
      <x:c r="D5142" s="2" t="str">
        <x:v>Huyện Phú Quốc</x:v>
      </x:c>
      <x:c r="E5142" s="2" t="str">
        <x:v>other_unknown</x:v>
      </x:c>
      <x:c r="F5142" s="2" t="str">
        <x:v>sale_assumed</x:v>
      </x:c>
      <x:c r="G5142" s="11" t="n">
        <x:v>190</x:v>
      </x:c>
      <x:c r="H5142" s="12" t="n">
        <x:v>3400000000</x:v>
      </x:c>
      <x:c r="I5142" s="12" t="n">
        <x:v>17894736.842105262</x:v>
      </x:c>
      <x:c r="J5142" s="2" t="str">
        <x:v>total</x:v>
      </x:c>
      <x:c r="K5142" s="2" t="str">
        <x:v>top_level_area</x:v>
      </x:c>
      <x:c r="L5142" s="2" t="str">
        <x:v>property_type_inferred_from_title;transaction_assumed_sale_from_dataset_context;unknown_property_type</x:v>
      </x:c>
      <x:c r="M5142" s="10" t="n">
        <x:v>0</x:v>
      </x:c>
      <x:c r="N5142" s="10" t="n">
        <x:v>0</x:v>
      </x:c>
      <x:c r="O5142" s="2" t="str">
        <x:v>other_unknown</x:v>
      </x:c>
      <x:c r="P5142" s="10" t="n">
        <x:v>2</x:v>
      </x:c>
      <x:c r="Q5142" s="13" t="n">
        <x:f>IF(H5142="","",H5142/1000000000)</x:f>
        <x:v>3.4</x:v>
      </x:c>
      <x:c r="R5142" s="13" t="n">
        <x:f>IF(I5142="","",I5142/1000000)</x:f>
        <x:v>17.894736842105264</x:v>
      </x:c>
    </x:row>
    <x:row r="5143" ht="21" customHeight="1">
      <x:c r="A5143" s="10" t="n">
        <x:v>6768</x:v>
      </x:c>
      <x:c r="B5143" s="2" t="str">
        <x:v>253b3ded9dfe3b64fb0b</x:v>
      </x:c>
      <x:c r="C5143" s="2" t="str">
        <x:v>Đà Nẵng</x:v>
      </x:c>
      <x:c r="D5143" s="2" t="str">
        <x:v>Quận Liên Chiểu</x:v>
      </x:c>
      <x:c r="E5143" s="2" t="str">
        <x:v>other_unknown</x:v>
      </x:c>
      <x:c r="F5143" s="2" t="str">
        <x:v>sale_assumed</x:v>
      </x:c>
      <x:c r="G5143" s="11" t="n">
        <x:v>76</x:v>
      </x:c>
      <x:c r="H5143" s="12" t="n">
        <x:v>4550000000</x:v>
      </x:c>
      <x:c r="I5143" s="12" t="n">
        <x:v>59868421.05263158</x:v>
      </x:c>
      <x:c r="J5143" s="2" t="str">
        <x:v>total</x:v>
      </x:c>
      <x:c r="K5143" s="2" t="str">
        <x:v>top_level_area</x:v>
      </x:c>
      <x:c r="L5143" s="2" t="str">
        <x:v>property_type_inferred_from_title;transaction_assumed_sale_from_dataset_context;unknown_property_type</x:v>
      </x:c>
      <x:c r="M5143" s="10" t="n">
        <x:v>0</x:v>
      </x:c>
      <x:c r="N5143" s="10" t="n">
        <x:v>0</x:v>
      </x:c>
      <x:c r="O5143" s="2" t="str">
        <x:v>Đà Nẵng|other_unknown</x:v>
      </x:c>
      <x:c r="P5143" s="10" t="n">
        <x:v>2</x:v>
      </x:c>
      <x:c r="Q5143" s="13" t="n">
        <x:f>IF(H5143="","",H5143/1000000000)</x:f>
        <x:v>4.55</x:v>
      </x:c>
      <x:c r="R5143" s="13" t="n">
        <x:f>IF(I5143="","",I5143/1000000)</x:f>
        <x:v>59.86842105263158</x:v>
      </x:c>
    </x:row>
    <x:row r="5144" ht="21" customHeight="1">
      <x:c r="A5144" s="10" t="n">
        <x:v>6769</x:v>
      </x:c>
      <x:c r="B5144" s="2" t="str">
        <x:v>6cb8347210da642ab651</x:v>
      </x:c>
      <x:c r="C5144" s="2" t="str">
        <x:v>Tp Hồ Chí Minh</x:v>
      </x:c>
      <x:c r="D5144" s="2" t="str">
        <x:v>Quận 2</x:v>
      </x:c>
      <x:c r="E5144" s="2" t="str">
        <x:v>house</x:v>
      </x:c>
      <x:c r="F5144" s="2" t="str">
        <x:v>sale_assumed</x:v>
      </x:c>
      <x:c r="G5144" s="11" t="n">
        <x:v>180</x:v>
      </x:c>
      <x:c r="H5144" s="12" t="n">
        <x:v>4980000000</x:v>
      </x:c>
      <x:c r="I5144" s="12" t="n">
        <x:v>27666666.666666668</x:v>
      </x:c>
      <x:c r="J5144" s="2" t="str">
        <x:v>total</x:v>
      </x:c>
      <x:c r="K5144" s="2" t="str">
        <x:v>top_level_area</x:v>
      </x:c>
      <x:c r="L5144" s="2" t="str">
        <x:v>property_type_inferred_from_title;transaction_assumed_sale_from_dataset_context</x:v>
      </x:c>
      <x:c r="M5144" s="10" t="n">
        <x:v>0</x:v>
      </x:c>
      <x:c r="N5144" s="10" t="n">
        <x:v>0</x:v>
      </x:c>
      <x:c r="O5144" s="2" t="str">
        <x:v>Tp Hồ Chí Minh|house</x:v>
      </x:c>
      <x:c r="P5144" s="10" t="n">
        <x:v>2</x:v>
      </x:c>
      <x:c r="Q5144" s="13" t="n">
        <x:f>IF(H5144="","",H5144/1000000000)</x:f>
        <x:v>4.98</x:v>
      </x:c>
      <x:c r="R5144" s="13" t="n">
        <x:f>IF(I5144="","",I5144/1000000)</x:f>
        <x:v>27.666666666666668</x:v>
      </x:c>
    </x:row>
    <x:row r="5145" ht="21" customHeight="1">
      <x:c r="A5145" s="10" t="n">
        <x:v>6770</x:v>
      </x:c>
      <x:c r="B5145" s="2" t="str">
        <x:v>f2f9ca181a0d41c51e82</x:v>
      </x:c>
      <x:c r="C5145" s="2" t="str">
        <x:v>Tp Hồ Chí Minh</x:v>
      </x:c>
      <x:c r="D5145" s="2" t="str">
        <x:v>Quận 5</x:v>
      </x:c>
      <x:c r="E5145" s="2" t="str">
        <x:v>house</x:v>
      </x:c>
      <x:c r="F5145" s="2" t="str">
        <x:v>sale</x:v>
      </x:c>
      <x:c r="G5145" s="11" t="n">
        <x:v>65</x:v>
      </x:c>
      <x:c r="H5145" s="12" t="n">
        <x:v>1350000000</x:v>
      </x:c>
      <x:c r="I5145" s="12" t="n">
        <x:v>20769230.769230768</x:v>
      </x:c>
      <x:c r="J5145" s="2" t="str">
        <x:v>total</x:v>
      </x:c>
      <x:c r="K5145" s="2" t="str">
        <x:v>top_level_area</x:v>
      </x:c>
      <x:c r="L5145" s="2" t="str">
        <x:v>property_type_inferred_from_title</x:v>
      </x:c>
      <x:c r="M5145" s="10" t="n">
        <x:v>0</x:v>
      </x:c>
      <x:c r="N5145" s="10" t="n">
        <x:v>0</x:v>
      </x:c>
      <x:c r="O5145" s="2" t="str">
        <x:v>Tp Hồ Chí Minh|house</x:v>
      </x:c>
      <x:c r="P5145" s="10" t="n">
        <x:v>2</x:v>
      </x:c>
      <x:c r="Q5145" s="13" t="n">
        <x:f>IF(H5145="","",H5145/1000000000)</x:f>
        <x:v>1.35</x:v>
      </x:c>
      <x:c r="R5145" s="13" t="n">
        <x:f>IF(I5145="","",I5145/1000000)</x:f>
        <x:v>20.769230769230766</x:v>
      </x:c>
    </x:row>
    <x:row r="5146" ht="21" customHeight="1">
      <x:c r="A5146" s="10" t="n">
        <x:v>6771</x:v>
      </x:c>
      <x:c r="B5146" s="2" t="str">
        <x:v>2eb13471a4f604fdfe9e</x:v>
      </x:c>
      <x:c r="C5146" s="2" t="str">
        <x:v>Bình Dương</x:v>
      </x:c>
      <x:c r="D5146" s="2" t="str">
        <x:v>Thị xã Tân Uyên</x:v>
      </x:c>
      <x:c r="E5146" s="2" t="str">
        <x:v>house</x:v>
      </x:c>
      <x:c r="F5146" s="2" t="str">
        <x:v>sale_assumed</x:v>
      </x:c>
      <x:c r="G5146" s="11" t="n">
        <x:v>60</x:v>
      </x:c>
      <x:c r="H5146" s="12" t="n">
        <x:v>1370000000</x:v>
      </x:c>
      <x:c r="I5146" s="12" t="n">
        <x:v>22833333.333333332</x:v>
      </x:c>
      <x:c r="J5146" s="2" t="str">
        <x:v>total</x:v>
      </x:c>
      <x:c r="K5146" s="2" t="str">
        <x:v>top_level_area</x:v>
      </x:c>
      <x:c r="L5146" s="2" t="str">
        <x:v>property_type_inferred_from_title;transaction_assumed_sale_from_dataset_context</x:v>
      </x:c>
      <x:c r="M5146" s="10" t="n">
        <x:v>0</x:v>
      </x:c>
      <x:c r="N5146" s="10" t="n">
        <x:v>0</x:v>
      </x:c>
      <x:c r="O5146" s="2" t="str">
        <x:v>Bình Dương|house</x:v>
      </x:c>
      <x:c r="P5146" s="10" t="n">
        <x:v>2</x:v>
      </x:c>
      <x:c r="Q5146" s="13" t="n">
        <x:f>IF(H5146="","",H5146/1000000000)</x:f>
        <x:v>1.37</x:v>
      </x:c>
      <x:c r="R5146" s="13" t="n">
        <x:f>IF(I5146="","",I5146/1000000)</x:f>
        <x:v>22.833333333333332</x:v>
      </x:c>
    </x:row>
    <x:row r="5147" ht="21" customHeight="1">
      <x:c r="A5147" s="10" t="n">
        <x:v>6772</x:v>
      </x:c>
      <x:c r="B5147" s="2" t="str">
        <x:v>041d34f4dc6942e43bf5</x:v>
      </x:c>
      <x:c r="C5147" s="2" t="str">
        <x:v>Tp Hồ Chí Minh</x:v>
      </x:c>
      <x:c r="D5147" s="2" t="str">
        <x:v>Quận 2</x:v>
      </x:c>
      <x:c r="E5147" s="2" t="str">
        <x:v>house</x:v>
      </x:c>
      <x:c r="F5147" s="2" t="str">
        <x:v>sale_assumed</x:v>
      </x:c>
      <x:c r="G5147" s="11" t="n">
        <x:v>119</x:v>
      </x:c>
      <x:c r="H5147" s="12" t="n">
        <x:v>8000000000</x:v>
      </x:c>
      <x:c r="I5147" s="12" t="n">
        <x:v>67226890.75630252</x:v>
      </x:c>
      <x:c r="J5147" s="2" t="str">
        <x:v>total</x:v>
      </x:c>
      <x:c r="K5147" s="2" t="str">
        <x:v>top_level_area</x:v>
      </x:c>
      <x:c r="L5147" s="2" t="str">
        <x:v>property_type_inferred_from_title;transaction_assumed_sale_from_dataset_context</x:v>
      </x:c>
      <x:c r="M5147" s="10" t="n">
        <x:v>0</x:v>
      </x:c>
      <x:c r="N5147" s="10" t="n">
        <x:v>0</x:v>
      </x:c>
      <x:c r="O5147" s="2" t="str">
        <x:v>Tp Hồ Chí Minh|house</x:v>
      </x:c>
      <x:c r="P5147" s="10" t="n">
        <x:v>2</x:v>
      </x:c>
      <x:c r="Q5147" s="13" t="n">
        <x:f>IF(H5147="","",H5147/1000000000)</x:f>
        <x:v>8</x:v>
      </x:c>
      <x:c r="R5147" s="13" t="n">
        <x:f>IF(I5147="","",I5147/1000000)</x:f>
        <x:v>67.22689075630252</x:v>
      </x:c>
    </x:row>
    <x:row r="5148" ht="21" customHeight="1">
      <x:c r="A5148" s="10" t="n">
        <x:v>6773</x:v>
      </x:c>
      <x:c r="B5148" s="2" t="str">
        <x:v>9ac19725922e059da9d3</x:v>
      </x:c>
      <x:c r="C5148" s="2" t="str">
        <x:v>Long An</x:v>
      </x:c>
      <x:c r="D5148" s="2" t="str">
        <x:v>Huyện Cần Giuộc</x:v>
      </x:c>
      <x:c r="E5148" s="2" t="str">
        <x:v>house</x:v>
      </x:c>
      <x:c r="F5148" s="2" t="str">
        <x:v>sale</x:v>
      </x:c>
      <x:c r="G5148" s="11" t="n">
        <x:v>50</x:v>
      </x:c>
      <x:c r="H5148" s="12" t="n">
        <x:v>750000000</x:v>
      </x:c>
      <x:c r="I5148" s="12" t="n">
        <x:v>15000000</x:v>
      </x:c>
      <x:c r="J5148" s="2" t="str">
        <x:v>total</x:v>
      </x:c>
      <x:c r="K5148" s="2" t="str">
        <x:v>top_level_area</x:v>
      </x:c>
      <x:c r="L5148" s="2" t="str">
        <x:v>property_type_inferred_from_title</x:v>
      </x:c>
      <x:c r="M5148" s="10" t="n">
        <x:v>0</x:v>
      </x:c>
      <x:c r="N5148" s="10" t="n">
        <x:v>0</x:v>
      </x:c>
      <x:c r="O5148" s="2" t="str">
        <x:v>Long An|house</x:v>
      </x:c>
      <x:c r="P5148" s="10" t="n">
        <x:v>2</x:v>
      </x:c>
      <x:c r="Q5148" s="13" t="n">
        <x:f>IF(H5148="","",H5148/1000000000)</x:f>
        <x:v>0.75</x:v>
      </x:c>
      <x:c r="R5148" s="13" t="n">
        <x:f>IF(I5148="","",I5148/1000000)</x:f>
        <x:v>15</x:v>
      </x:c>
    </x:row>
    <x:row r="5149" ht="21" customHeight="1">
      <x:c r="A5149" s="10" t="n">
        <x:v>6774</x:v>
      </x:c>
      <x:c r="B5149" s="2" t="str">
        <x:v>3067255b9df81e549b96</x:v>
      </x:c>
      <x:c r="C5149" s="2" t="str">
        <x:v>Tp Hồ Chí Minh</x:v>
      </x:c>
      <x:c r="D5149" s="2" t="str">
        <x:v>Quận 6</x:v>
      </x:c>
      <x:c r="E5149" s="2" t="str">
        <x:v>house</x:v>
      </x:c>
      <x:c r="F5149" s="2" t="str">
        <x:v>sale</x:v>
      </x:c>
      <x:c r="G5149" s="11" t="n">
        <x:v>72</x:v>
      </x:c>
      <x:c r="H5149" s="12" t="n">
        <x:v>1010000000</x:v>
      </x:c>
      <x:c r="I5149" s="12" t="n">
        <x:v>14027777.777777778</x:v>
      </x:c>
      <x:c r="J5149" s="2" t="str">
        <x:v>total</x:v>
      </x:c>
      <x:c r="K5149" s="2" t="str">
        <x:v>top_level_area</x:v>
      </x:c>
      <x:c r="L5149" s="2" t="str">
        <x:v>property_type_inferred_from_title</x:v>
      </x:c>
      <x:c r="M5149" s="10" t="n">
        <x:v>0</x:v>
      </x:c>
      <x:c r="N5149" s="10" t="n">
        <x:v>0</x:v>
      </x:c>
      <x:c r="O5149" s="2" t="str">
        <x:v>Tp Hồ Chí Minh|house</x:v>
      </x:c>
      <x:c r="P5149" s="10" t="n">
        <x:v>2</x:v>
      </x:c>
      <x:c r="Q5149" s="13" t="n">
        <x:f>IF(H5149="","",H5149/1000000000)</x:f>
        <x:v>1.01</x:v>
      </x:c>
      <x:c r="R5149" s="13" t="n">
        <x:f>IF(I5149="","",I5149/1000000)</x:f>
        <x:v>14.027777777777779</x:v>
      </x:c>
    </x:row>
    <x:row r="5150" ht="21" customHeight="1">
      <x:c r="A5150" s="10" t="n">
        <x:v>6775</x:v>
      </x:c>
      <x:c r="B5150" s="2" t="str">
        <x:v>dc8f53dc688f678209c9</x:v>
      </x:c>
      <x:c r="C5150" s="2" t="str">
        <x:v>Hà Nội</x:v>
      </x:c>
      <x:c r="D5150" s="2" t="str">
        <x:v>Quận Bắc Từ Liêm</x:v>
      </x:c>
      <x:c r="E5150" s="2" t="str">
        <x:v>house</x:v>
      </x:c>
      <x:c r="F5150" s="2" t="str">
        <x:v>sale_assumed</x:v>
      </x:c>
      <x:c r="G5150" s="11" t="n">
        <x:v>55</x:v>
      </x:c>
      <x:c r="H5150" s="12" t="n">
        <x:v>4099999999.9999995</x:v>
      </x:c>
      <x:c r="I5150" s="12" t="n">
        <x:v>74545454.54545453</x:v>
      </x:c>
      <x:c r="J5150" s="2" t="str">
        <x:v>total</x:v>
      </x:c>
      <x:c r="K5150" s="2" t="str">
        <x:v>top_level_area</x:v>
      </x:c>
      <x:c r="L5150" s="2" t="str">
        <x:v>property_type_inferred_from_title;transaction_assumed_sale_from_dataset_context</x:v>
      </x:c>
      <x:c r="M5150" s="10" t="n">
        <x:v>0</x:v>
      </x:c>
      <x:c r="N5150" s="10" t="n">
        <x:v>0</x:v>
      </x:c>
      <x:c r="O5150" s="2" t="str">
        <x:v>Hà Nội|house</x:v>
      </x:c>
      <x:c r="P5150" s="10" t="n">
        <x:v>2</x:v>
      </x:c>
      <x:c r="Q5150" s="13" t="n">
        <x:f>IF(H5150="","",H5150/1000000000)</x:f>
        <x:v>4.1</x:v>
      </x:c>
      <x:c r="R5150" s="13" t="n">
        <x:f>IF(I5150="","",I5150/1000000)</x:f>
        <x:v>74.54545454545453</x:v>
      </x:c>
    </x:row>
    <x:row r="5151" ht="21" customHeight="1">
      <x:c r="A5151" s="10" t="n">
        <x:v>6776</x:v>
      </x:c>
      <x:c r="B5151" s="2" t="str">
        <x:v>9b7c654d0c2fd05f3b35</x:v>
      </x:c>
      <x:c r="C5151" s="2" t="str">
        <x:v>Tp Hồ Chí Minh</x:v>
      </x:c>
      <x:c r="D5151" s="2" t="str">
        <x:v>Huyện Bình Chánh</x:v>
      </x:c>
      <x:c r="E5151" s="2" t="str">
        <x:v>other_unknown</x:v>
      </x:c>
      <x:c r="F5151" s="2" t="str">
        <x:v>sale_assumed</x:v>
      </x:c>
      <x:c r="G5151" s="11" t="n">
        <x:v>72</x:v>
      </x:c>
      <x:c r="H5151" s="12" t="n">
        <x:v>2550000000</x:v>
      </x:c>
      <x:c r="I5151" s="12" t="n">
        <x:v>35416666.666666664</x:v>
      </x:c>
      <x:c r="J5151" s="2" t="str">
        <x:v>total</x:v>
      </x:c>
      <x:c r="K5151" s="2" t="str">
        <x:v>top_level_price_embedded_area</x:v>
      </x:c>
      <x:c r="L5151" s="2" t="str">
        <x:v>area_recovered_from_price_text;property_type_inferred_from_title;transaction_assumed_sale_from_dataset_context;unknown_property_type</x:v>
      </x:c>
      <x:c r="M5151" s="10" t="n">
        <x:v>0</x:v>
      </x:c>
      <x:c r="N5151" s="10" t="n">
        <x:v>0</x:v>
      </x:c>
      <x:c r="O5151" s="2" t="str">
        <x:v>Tp Hồ Chí Minh|other_unknown</x:v>
      </x:c>
      <x:c r="P5151" s="10" t="n">
        <x:v>2</x:v>
      </x:c>
      <x:c r="Q5151" s="13" t="n">
        <x:f>IF(H5151="","",H5151/1000000000)</x:f>
        <x:v>2.55</x:v>
      </x:c>
      <x:c r="R5151" s="13" t="n">
        <x:f>IF(I5151="","",I5151/1000000)</x:f>
        <x:v>35.416666666666664</x:v>
      </x:c>
    </x:row>
    <x:row r="5152" ht="21" customHeight="1">
      <x:c r="A5152" s="10" t="n">
        <x:v>6780</x:v>
      </x:c>
      <x:c r="B5152" s="2" t="str">
        <x:v>3c6bef06154e75791794</x:v>
      </x:c>
      <x:c r="C5152" s="2" t="str">
        <x:v>Hà Nội</x:v>
      </x:c>
      <x:c r="D5152" s="2" t="str">
        <x:v>Quận Hoàn Kiếm</x:v>
      </x:c>
      <x:c r="E5152" s="2" t="str">
        <x:v>house</x:v>
      </x:c>
      <x:c r="F5152" s="2" t="str">
        <x:v>sale</x:v>
      </x:c>
      <x:c r="G5152" s="11" t="n">
        <x:v>37</x:v>
      </x:c>
      <x:c r="H5152" s="12" t="n">
        <x:v>1450000000</x:v>
      </x:c>
      <x:c r="I5152" s="12" t="n">
        <x:v>39189189.18918919</x:v>
      </x:c>
      <x:c r="J5152" s="2" t="str">
        <x:v>total</x:v>
      </x:c>
      <x:c r="K5152" s="2" t="str">
        <x:v>top_level_area</x:v>
      </x:c>
      <x:c r="L5152" s="2" t="str">
        <x:v>property_type_inferred_from_title</x:v>
      </x:c>
      <x:c r="M5152" s="10" t="n">
        <x:v>0</x:v>
      </x:c>
      <x:c r="N5152" s="10" t="n">
        <x:v>0</x:v>
      </x:c>
      <x:c r="O5152" s="2" t="str">
        <x:v>Hà Nội|house</x:v>
      </x:c>
      <x:c r="P5152" s="10" t="n">
        <x:v>2</x:v>
      </x:c>
      <x:c r="Q5152" s="13" t="n">
        <x:f>IF(H5152="","",H5152/1000000000)</x:f>
        <x:v>1.45</x:v>
      </x:c>
      <x:c r="R5152" s="13" t="n">
        <x:f>IF(I5152="","",I5152/1000000)</x:f>
        <x:v>39.189189189189186</x:v>
      </x:c>
    </x:row>
    <x:row r="5153" ht="21" customHeight="1">
      <x:c r="A5153" s="10" t="n">
        <x:v>6781</x:v>
      </x:c>
      <x:c r="B5153" s="2" t="str">
        <x:v>a2c8b8804c32a166fd91</x:v>
      </x:c>
      <x:c r="C5153" s="2" t="str">
        <x:v>Hà Nội</x:v>
      </x:c>
      <x:c r="D5153" s="2" t="str">
        <x:v>Quận Hà Đông</x:v>
      </x:c>
      <x:c r="E5153" s="2" t="str">
        <x:v>land</x:v>
      </x:c>
      <x:c r="F5153" s="2" t="str">
        <x:v>sale_assumed</x:v>
      </x:c>
      <x:c r="G5153" s="11" t="n">
        <x:v>50</x:v>
      </x:c>
      <x:c r="H5153" s="12" t="n">
        <x:v>4450000000</x:v>
      </x:c>
      <x:c r="I5153" s="12" t="n">
        <x:v>89000000</x:v>
      </x:c>
      <x:c r="J5153" s="2" t="str">
        <x:v>total</x:v>
      </x:c>
      <x:c r="K5153" s="2" t="str">
        <x:v>top_level_area</x:v>
      </x:c>
      <x:c r="L5153" s="2" t="str">
        <x:v>property_type_inferred_from_title;transaction_assumed_sale_from_dataset_context</x:v>
      </x:c>
      <x:c r="M5153" s="10" t="n">
        <x:v>0</x:v>
      </x:c>
      <x:c r="N5153" s="10" t="n">
        <x:v>0</x:v>
      </x:c>
      <x:c r="O5153" s="2" t="str">
        <x:v>Hà Nội|land</x:v>
      </x:c>
      <x:c r="P5153" s="10" t="n">
        <x:v>2</x:v>
      </x:c>
      <x:c r="Q5153" s="13" t="n">
        <x:f>IF(H5153="","",H5153/1000000000)</x:f>
        <x:v>4.45</x:v>
      </x:c>
      <x:c r="R5153" s="13" t="n">
        <x:f>IF(I5153="","",I5153/1000000)</x:f>
        <x:v>89</x:v>
      </x:c>
    </x:row>
    <x:row r="5154" ht="21" customHeight="1">
      <x:c r="A5154" s="10" t="n">
        <x:v>6782</x:v>
      </x:c>
      <x:c r="B5154" s="2" t="str">
        <x:v>fc81a982ad79b5c7edc6</x:v>
      </x:c>
      <x:c r="C5154" s="2" t="str">
        <x:v>Hà Nội</x:v>
      </x:c>
      <x:c r="D5154" s="2" t="str">
        <x:v>Quận Hai Bà Trưng</x:v>
      </x:c>
      <x:c r="E5154" s="2" t="str">
        <x:v>apartment</x:v>
      </x:c>
      <x:c r="F5154" s="2" t="str">
        <x:v>sale_assumed</x:v>
      </x:c>
      <x:c r="G5154" s="11" t="n">
        <x:v>33</x:v>
      </x:c>
      <x:c r="H5154" s="12" t="n">
        <x:v>600000000</x:v>
      </x:c>
      <x:c r="I5154" s="12" t="n">
        <x:v>18181818.181818184</x:v>
      </x:c>
      <x:c r="J5154" s="2" t="str">
        <x:v>total</x:v>
      </x:c>
      <x:c r="K5154" s="2" t="str">
        <x:v>top_level_area</x:v>
      </x:c>
      <x:c r="L5154" s="2" t="str">
        <x:v>property_type_inferred_from_title;transaction_assumed_sale_from_dataset_context</x:v>
      </x:c>
      <x:c r="M5154" s="10" t="n">
        <x:v>0</x:v>
      </x:c>
      <x:c r="N5154" s="10" t="n">
        <x:v>0</x:v>
      </x:c>
      <x:c r="O5154" s="2" t="str">
        <x:v>Hà Nội|apartment</x:v>
      </x:c>
      <x:c r="P5154" s="10" t="n">
        <x:v>2</x:v>
      </x:c>
      <x:c r="Q5154" s="13" t="n">
        <x:f>IF(H5154="","",H5154/1000000000)</x:f>
        <x:v>0.6</x:v>
      </x:c>
      <x:c r="R5154" s="13" t="n">
        <x:f>IF(I5154="","",I5154/1000000)</x:f>
        <x:v>18.181818181818183</x:v>
      </x:c>
    </x:row>
    <x:row r="5155" ht="21" customHeight="1">
      <x:c r="A5155" s="10" t="n">
        <x:v>6783</x:v>
      </x:c>
      <x:c r="B5155" s="2" t="str">
        <x:v>4faf30b54632ec78beab</x:v>
      </x:c>
      <x:c r="C5155" s="2" t="str">
        <x:v>Tp Hồ Chí Minh</x:v>
      </x:c>
      <x:c r="D5155" s="2" t="str">
        <x:v>Quận 8</x:v>
      </x:c>
      <x:c r="E5155" s="2" t="str">
        <x:v>other_unknown</x:v>
      </x:c>
      <x:c r="F5155" s="2" t="str">
        <x:v>sale_assumed</x:v>
      </x:c>
      <x:c r="G5155" s="11" t="n">
        <x:v>55</x:v>
      </x:c>
      <x:c r="H5155" s="12" t="n">
        <x:v>300000000</x:v>
      </x:c>
      <x:c r="I5155" s="12" t="n">
        <x:v>5454545.454545454</x:v>
      </x:c>
      <x:c r="J5155" s="2" t="str">
        <x:v>total</x:v>
      </x:c>
      <x:c r="K5155" s="2" t="str">
        <x:v>top_level_area</x:v>
      </x:c>
      <x:c r="L5155" s="2" t="str">
        <x:v>property_type_inferred_from_title;transaction_assumed_sale_from_dataset_context;unknown_property_type</x:v>
      </x:c>
      <x:c r="M5155" s="10" t="n">
        <x:v>0</x:v>
      </x:c>
      <x:c r="N5155" s="10" t="n">
        <x:v>0</x:v>
      </x:c>
      <x:c r="O5155" s="2" t="str">
        <x:v>Tp Hồ Chí Minh|other_unknown</x:v>
      </x:c>
      <x:c r="P5155" s="10" t="n">
        <x:v>2</x:v>
      </x:c>
      <x:c r="Q5155" s="13" t="n">
        <x:f>IF(H5155="","",H5155/1000000000)</x:f>
        <x:v>0.3</x:v>
      </x:c>
      <x:c r="R5155" s="13" t="n">
        <x:f>IF(I5155="","",I5155/1000000)</x:f>
        <x:v>5.454545454545454</x:v>
      </x:c>
    </x:row>
    <x:row r="5156" ht="21" customHeight="1">
      <x:c r="A5156" s="10" t="n">
        <x:v>6784</x:v>
      </x:c>
      <x:c r="B5156" s="2" t="str">
        <x:v>7d773b42de8b7bd22ae9</x:v>
      </x:c>
      <x:c r="C5156" s="2" t="str">
        <x:v>Tp Hồ Chí Minh</x:v>
      </x:c>
      <x:c r="D5156" s="2" t="str">
        <x:v>Huyện Bình Chánh</x:v>
      </x:c>
      <x:c r="E5156" s="2" t="str">
        <x:v>land</x:v>
      </x:c>
      <x:c r="F5156" s="2" t="str">
        <x:v>sale_assumed</x:v>
      </x:c>
      <x:c r="G5156" s="11" t="n">
        <x:v>648</x:v>
      </x:c>
      <x:c r="H5156" s="12" t="n">
        <x:v>3900000000</x:v>
      </x:c>
      <x:c r="I5156" s="12" t="n">
        <x:v>6018518.518518519</x:v>
      </x:c>
      <x:c r="J5156" s="2" t="str">
        <x:v>total</x:v>
      </x:c>
      <x:c r="K5156" s="2" t="str">
        <x:v>top_level_area</x:v>
      </x:c>
      <x:c r="L5156" s="2" t="str">
        <x:v>property_type_inferred_from_title;transaction_assumed_sale_from_dataset_context</x:v>
      </x:c>
      <x:c r="M5156" s="10" t="n">
        <x:v>0</x:v>
      </x:c>
      <x:c r="N5156" s="10" t="n">
        <x:v>0</x:v>
      </x:c>
      <x:c r="O5156" s="2" t="str">
        <x:v>Tp Hồ Chí Minh|land</x:v>
      </x:c>
      <x:c r="P5156" s="10" t="n">
        <x:v>1</x:v>
      </x:c>
      <x:c r="Q5156" s="13" t="n">
        <x:f>IF(H5156="","",H5156/1000000000)</x:f>
        <x:v>3.9</x:v>
      </x:c>
      <x:c r="R5156" s="13" t="n">
        <x:f>IF(I5156="","",I5156/1000000)</x:f>
        <x:v>6.018518518518519</x:v>
      </x:c>
    </x:row>
    <x:row r="5157" ht="21" customHeight="1">
      <x:c r="A5157" s="10" t="n">
        <x:v>6785</x:v>
      </x:c>
      <x:c r="B5157" s="2" t="str">
        <x:v>d96b19e6508598694889</x:v>
      </x:c>
      <x:c r="C5157" s="2" t="str">
        <x:v>Tp Hồ Chí Minh</x:v>
      </x:c>
      <x:c r="D5157" s="2" t="str">
        <x:v>Quận Bình Thạnh</x:v>
      </x:c>
      <x:c r="E5157" s="2" t="str">
        <x:v>house</x:v>
      </x:c>
      <x:c r="F5157" s="2" t="str">
        <x:v>sale</x:v>
      </x:c>
      <x:c r="G5157" s="11" t="n">
        <x:v>69</x:v>
      </x:c>
      <x:c r="H5157" s="12" t="n">
        <x:v>1022000000</x:v>
      </x:c>
      <x:c r="I5157" s="12" t="n">
        <x:v>14811594.20289855</x:v>
      </x:c>
      <x:c r="J5157" s="2" t="str">
        <x:v>total</x:v>
      </x:c>
      <x:c r="K5157" s="2" t="str">
        <x:v>top_level_area</x:v>
      </x:c>
      <x:c r="L5157" s="2" t="str">
        <x:v>property_type_inferred_from_title</x:v>
      </x:c>
      <x:c r="M5157" s="10" t="n">
        <x:v>0</x:v>
      </x:c>
      <x:c r="N5157" s="10" t="n">
        <x:v>0</x:v>
      </x:c>
      <x:c r="O5157" s="2" t="str">
        <x:v>Tp Hồ Chí Minh|house</x:v>
      </x:c>
      <x:c r="P5157" s="10" t="n">
        <x:v>2</x:v>
      </x:c>
      <x:c r="Q5157" s="13" t="n">
        <x:f>IF(H5157="","",H5157/1000000000)</x:f>
        <x:v>1.022</x:v>
      </x:c>
      <x:c r="R5157" s="13" t="n">
        <x:f>IF(I5157="","",I5157/1000000)</x:f>
        <x:v>14.81159420289855</x:v>
      </x:c>
    </x:row>
    <x:row r="5158" ht="21" customHeight="1">
      <x:c r="A5158" s="10" t="n">
        <x:v>6786</x:v>
      </x:c>
      <x:c r="B5158" s="2" t="str">
        <x:v>d75ec1884e4a1b4c58c0</x:v>
      </x:c>
      <x:c r="C5158" s="2" t="str">
        <x:v>Đồng Nai</x:v>
      </x:c>
      <x:c r="D5158" s="2" t="str">
        <x:v>Thành phố Biên Hòa</x:v>
      </x:c>
      <x:c r="E5158" s="2" t="str">
        <x:v>house</x:v>
      </x:c>
      <x:c r="F5158" s="2" t="str">
        <x:v>sale</x:v>
      </x:c>
      <x:c r="G5158" s="11" t="n">
        <x:v>120</x:v>
      </x:c>
      <x:c r="H5158" s="12" t="n">
        <x:v>1770000000</x:v>
      </x:c>
      <x:c r="I5158" s="12" t="n">
        <x:v>14750000</x:v>
      </x:c>
      <x:c r="J5158" s="2" t="str">
        <x:v>total</x:v>
      </x:c>
      <x:c r="K5158" s="2" t="str">
        <x:v>top_level_area</x:v>
      </x:c>
      <x:c r="L5158" s="2" t="str">
        <x:v>property_type_inferred_from_title</x:v>
      </x:c>
      <x:c r="M5158" s="10" t="n">
        <x:v>0</x:v>
      </x:c>
      <x:c r="N5158" s="10" t="n">
        <x:v>0</x:v>
      </x:c>
      <x:c r="O5158" s="2" t="str">
        <x:v>Đồng Nai|house</x:v>
      </x:c>
      <x:c r="P5158" s="10" t="n">
        <x:v>2</x:v>
      </x:c>
      <x:c r="Q5158" s="13" t="n">
        <x:f>IF(H5158="","",H5158/1000000000)</x:f>
        <x:v>1.77</x:v>
      </x:c>
      <x:c r="R5158" s="13" t="n">
        <x:f>IF(I5158="","",I5158/1000000)</x:f>
        <x:v>14.75</x:v>
      </x:c>
    </x:row>
    <x:row r="5159" ht="21" customHeight="1">
      <x:c r="A5159" s="10" t="n">
        <x:v>6787</x:v>
      </x:c>
      <x:c r="B5159" s="2" t="str">
        <x:v>5a3176be280f5ee512b8</x:v>
      </x:c>
      <x:c r="C5159" s="2" t="str">
        <x:v>Hà Nội</x:v>
      </x:c>
      <x:c r="D5159" s="2" t="str">
        <x:v>Quận Tây Hồ</x:v>
      </x:c>
      <x:c r="E5159" s="2" t="str">
        <x:v>house</x:v>
      </x:c>
      <x:c r="F5159" s="2" t="str">
        <x:v>sale_assumed</x:v>
      </x:c>
      <x:c r="G5159" s="11" t="n">
        <x:v>30</x:v>
      </x:c>
      <x:c r="H5159" s="12" t="n">
        <x:v>2550000000</x:v>
      </x:c>
      <x:c r="I5159" s="12" t="n">
        <x:v>85000000</x:v>
      </x:c>
      <x:c r="J5159" s="2" t="str">
        <x:v>total</x:v>
      </x:c>
      <x:c r="K5159" s="2" t="str">
        <x:v>top_level_area</x:v>
      </x:c>
      <x:c r="L5159" s="2" t="str">
        <x:v>property_type_inferred_from_title;transaction_assumed_sale_from_dataset_context</x:v>
      </x:c>
      <x:c r="M5159" s="10" t="n">
        <x:v>0</x:v>
      </x:c>
      <x:c r="N5159" s="10" t="n">
        <x:v>0</x:v>
      </x:c>
      <x:c r="O5159" s="2" t="str">
        <x:v>Hà Nội|house</x:v>
      </x:c>
      <x:c r="P5159" s="10" t="n">
        <x:v>2</x:v>
      </x:c>
      <x:c r="Q5159" s="13" t="n">
        <x:f>IF(H5159="","",H5159/1000000000)</x:f>
        <x:v>2.55</x:v>
      </x:c>
      <x:c r="R5159" s="13" t="n">
        <x:f>IF(I5159="","",I5159/1000000)</x:f>
        <x:v>85</x:v>
      </x:c>
    </x:row>
    <x:row r="5160" ht="21" customHeight="1">
      <x:c r="A5160" s="10" t="n">
        <x:v>6788</x:v>
      </x:c>
      <x:c r="B5160" s="2" t="str">
        <x:v>1b5b2a66f9e38cee4c84</x:v>
      </x:c>
      <x:c r="C5160" s="2" t="str">
        <x:v>Cần Thơ</x:v>
      </x:c>
      <x:c r="D5160" s="2" t="str">
        <x:v>Quận Cái Răng</x:v>
      </x:c>
      <x:c r="E5160" s="2" t="str">
        <x:v>house</x:v>
      </x:c>
      <x:c r="F5160" s="2" t="str">
        <x:v>sale_assumed</x:v>
      </x:c>
      <x:c r="G5160" s="11" t="n">
        <x:v>79</x:v>
      </x:c>
      <x:c r="H5160" s="12" t="n">
        <x:v>5190000000</x:v>
      </x:c>
      <x:c r="I5160" s="12" t="n">
        <x:v>65696202.531645566</x:v>
      </x:c>
      <x:c r="J5160" s="2" t="str">
        <x:v>total</x:v>
      </x:c>
      <x:c r="K5160" s="2" t="str">
        <x:v>top_level_area</x:v>
      </x:c>
      <x:c r="L5160" s="2" t="str">
        <x:v>property_type_inferred_from_title;transaction_assumed_sale_from_dataset_context</x:v>
      </x:c>
      <x:c r="M5160" s="10" t="n">
        <x:v>0</x:v>
      </x:c>
      <x:c r="N5160" s="10" t="n">
        <x:v>0</x:v>
      </x:c>
      <x:c r="O5160" s="2" t="str">
        <x:v>Cần Thơ|house</x:v>
      </x:c>
      <x:c r="P5160" s="10" t="n">
        <x:v>2</x:v>
      </x:c>
      <x:c r="Q5160" s="13" t="n">
        <x:f>IF(H5160="","",H5160/1000000000)</x:f>
        <x:v>5.19</x:v>
      </x:c>
      <x:c r="R5160" s="13" t="n">
        <x:f>IF(I5160="","",I5160/1000000)</x:f>
        <x:v>65.69620253164557</x:v>
      </x:c>
    </x:row>
    <x:row r="5161" ht="21" customHeight="1">
      <x:c r="A5161" s="10" t="n">
        <x:v>6789</x:v>
      </x:c>
      <x:c r="B5161" s="2" t="str">
        <x:v>b87464f5acf40e472cc8</x:v>
      </x:c>
      <x:c r="C5161" s="2" t="str">
        <x:v>Hà Nội</x:v>
      </x:c>
      <x:c r="D5161" s="2" t="str">
        <x:v>Quận Nam Từ Liêm</x:v>
      </x:c>
      <x:c r="E5161" s="2" t="str">
        <x:v>house</x:v>
      </x:c>
      <x:c r="F5161" s="2" t="str">
        <x:v>sale</x:v>
      </x:c>
      <x:c r="G5161" s="11" t="n">
        <x:v>37</x:v>
      </x:c>
      <x:c r="H5161" s="12" t="n">
        <x:v>2450000000</x:v>
      </x:c>
      <x:c r="I5161" s="12" t="n">
        <x:v>66216216.216216214</x:v>
      </x:c>
      <x:c r="J5161" s="2" t="str">
        <x:v>total</x:v>
      </x:c>
      <x:c r="K5161" s="2" t="str">
        <x:v>top_level_area</x:v>
      </x:c>
      <x:c r="L5161" s="2" t="str">
        <x:v>property_type_inferred_from_title</x:v>
      </x:c>
      <x:c r="M5161" s="10" t="n">
        <x:v>0</x:v>
      </x:c>
      <x:c r="N5161" s="10" t="n">
        <x:v>0</x:v>
      </x:c>
      <x:c r="O5161" s="2" t="str">
        <x:v>Hà Nội|house</x:v>
      </x:c>
      <x:c r="P5161" s="10" t="n">
        <x:v>2</x:v>
      </x:c>
      <x:c r="Q5161" s="13" t="n">
        <x:f>IF(H5161="","",H5161/1000000000)</x:f>
        <x:v>2.45</x:v>
      </x:c>
      <x:c r="R5161" s="13" t="n">
        <x:f>IF(I5161="","",I5161/1000000)</x:f>
        <x:v>66.21621621621621</x:v>
      </x:c>
    </x:row>
    <x:row r="5162" ht="21" customHeight="1">
      <x:c r="A5162" s="10" t="n">
        <x:v>6790</x:v>
      </x:c>
      <x:c r="B5162" s="2" t="str">
        <x:v>f15925d5f3f2fe678d12</x:v>
      </x:c>
      <x:c r="C5162" s="2" t="str">
        <x:v>Đồng Nai</x:v>
      </x:c>
      <x:c r="D5162" s="2" t="str">
        <x:v>Thành phố Biên Hòa</x:v>
      </x:c>
      <x:c r="E5162" s="2" t="str">
        <x:v>land</x:v>
      </x:c>
      <x:c r="F5162" s="2" t="str">
        <x:v>sale_assumed</x:v>
      </x:c>
      <x:c r="G5162" s="11" t="n">
        <x:v>70</x:v>
      </x:c>
      <x:c r="H5162" s="12" t="n">
        <x:v>585000000</x:v>
      </x:c>
      <x:c r="I5162" s="12" t="n">
        <x:v>8357142.857142857</x:v>
      </x:c>
      <x:c r="J5162" s="2" t="str">
        <x:v>total</x:v>
      </x:c>
      <x:c r="K5162" s="2" t="str">
        <x:v>top_level_area</x:v>
      </x:c>
      <x:c r="L5162" s="2" t="str">
        <x:v>property_type_inferred_from_title;transaction_assumed_sale_from_dataset_context</x:v>
      </x:c>
      <x:c r="M5162" s="10" t="n">
        <x:v>0</x:v>
      </x:c>
      <x:c r="N5162" s="10" t="n">
        <x:v>0</x:v>
      </x:c>
      <x:c r="O5162" s="2" t="str">
        <x:v>Đồng Nai|land</x:v>
      </x:c>
      <x:c r="P5162" s="10" t="n">
        <x:v>2</x:v>
      </x:c>
      <x:c r="Q5162" s="13" t="n">
        <x:f>IF(H5162="","",H5162/1000000000)</x:f>
        <x:v>0.585</x:v>
      </x:c>
      <x:c r="R5162" s="13" t="n">
        <x:f>IF(I5162="","",I5162/1000000)</x:f>
        <x:v>8.357142857142858</x:v>
      </x:c>
    </x:row>
    <x:row r="5163" ht="21" customHeight="1">
      <x:c r="A5163" s="10" t="n">
        <x:v>6791</x:v>
      </x:c>
      <x:c r="B5163" s="2" t="str">
        <x:v>dfced5963a3ac8eb29c2</x:v>
      </x:c>
      <x:c r="C5163" s="2" t="str">
        <x:v>Hà Nội</x:v>
      </x:c>
      <x:c r="D5163" s="2" t="str">
        <x:v>Quận Đống Đa</x:v>
      </x:c>
      <x:c r="E5163" s="2" t="str">
        <x:v>house</x:v>
      </x:c>
      <x:c r="F5163" s="2" t="str">
        <x:v>sale_assumed</x:v>
      </x:c>
      <x:c r="G5163" s="11" t="n">
        <x:v>41</x:v>
      </x:c>
      <x:c r="H5163" s="12" t="n">
        <x:v>4500000000</x:v>
      </x:c>
      <x:c r="I5163" s="12" t="n">
        <x:v>109756097.56097561</x:v>
      </x:c>
      <x:c r="J5163" s="2" t="str">
        <x:v>total</x:v>
      </x:c>
      <x:c r="K5163" s="2" t="str">
        <x:v>top_level_area</x:v>
      </x:c>
      <x:c r="L5163" s="2" t="str">
        <x:v>property_type_inferred_from_title;transaction_assumed_sale_from_dataset_context</x:v>
      </x:c>
      <x:c r="M5163" s="10" t="n">
        <x:v>0</x:v>
      </x:c>
      <x:c r="N5163" s="10" t="n">
        <x:v>0</x:v>
      </x:c>
      <x:c r="O5163" s="2" t="str">
        <x:v>Hà Nội|house</x:v>
      </x:c>
      <x:c r="P5163" s="10" t="n">
        <x:v>2</x:v>
      </x:c>
      <x:c r="Q5163" s="13" t="n">
        <x:f>IF(H5163="","",H5163/1000000000)</x:f>
        <x:v>4.5</x:v>
      </x:c>
      <x:c r="R5163" s="13" t="n">
        <x:f>IF(I5163="","",I5163/1000000)</x:f>
        <x:v>109.7560975609756</x:v>
      </x:c>
    </x:row>
    <x:row r="5164" ht="21" customHeight="1">
      <x:c r="A5164" s="10" t="n">
        <x:v>6792</x:v>
      </x:c>
      <x:c r="B5164" s="2" t="str">
        <x:v>ca5c74d372539a420b90</x:v>
      </x:c>
      <x:c r="C5164" s="2" t="str">
        <x:v>Tp Hồ Chí Minh</x:v>
      </x:c>
      <x:c r="D5164" s="2" t="str">
        <x:v>Quận 2</x:v>
      </x:c>
      <x:c r="E5164" s="2" t="str">
        <x:v>house</x:v>
      </x:c>
      <x:c r="F5164" s="2" t="str">
        <x:v>sale</x:v>
      </x:c>
      <x:c r="G5164" s="11" t="n">
        <x:v>44</x:v>
      </x:c>
      <x:c r="H5164" s="12" t="n">
        <x:v>2500000000</x:v>
      </x:c>
      <x:c r="I5164" s="12" t="n">
        <x:v>56818181.81818182</x:v>
      </x:c>
      <x:c r="J5164" s="2" t="str">
        <x:v>total</x:v>
      </x:c>
      <x:c r="K5164" s="2" t="str">
        <x:v>top_level_area</x:v>
      </x:c>
      <x:c r="L5164" s="2" t="str">
        <x:v>property_type_inferred_from_title</x:v>
      </x:c>
      <x:c r="M5164" s="10" t="n">
        <x:v>0</x:v>
      </x:c>
      <x:c r="N5164" s="10" t="n">
        <x:v>0</x:v>
      </x:c>
      <x:c r="O5164" s="2" t="str">
        <x:v>Tp Hồ Chí Minh|house</x:v>
      </x:c>
      <x:c r="P5164" s="10" t="n">
        <x:v>2</x:v>
      </x:c>
      <x:c r="Q5164" s="13" t="n">
        <x:f>IF(H5164="","",H5164/1000000000)</x:f>
        <x:v>2.5</x:v>
      </x:c>
      <x:c r="R5164" s="13" t="n">
        <x:f>IF(I5164="","",I5164/1000000)</x:f>
        <x:v>56.81818181818182</x:v>
      </x:c>
    </x:row>
    <x:row r="5165" ht="21" customHeight="1">
      <x:c r="A5165" s="10" t="n">
        <x:v>6793</x:v>
      </x:c>
      <x:c r="B5165" s="2" t="str">
        <x:v>82216c5f01164b05fdde</x:v>
      </x:c>
      <x:c r="C5165" s="2" t="str">
        <x:v>Hà Nội</x:v>
      </x:c>
      <x:c r="D5165" s="2" t="str">
        <x:v>Quận Ba Đình</x:v>
      </x:c>
      <x:c r="E5165" s="2" t="str">
        <x:v>house</x:v>
      </x:c>
      <x:c r="F5165" s="2" t="str">
        <x:v>sale</x:v>
      </x:c>
      <x:c r="G5165" s="11" t="n">
        <x:v>67</x:v>
      </x:c>
      <x:c r="H5165" s="12" t="n">
        <x:v>10500000000</x:v>
      </x:c>
      <x:c r="I5165" s="12" t="n">
        <x:v>156716417.91044775</x:v>
      </x:c>
      <x:c r="J5165" s="2" t="str">
        <x:v>total</x:v>
      </x:c>
      <x:c r="K5165" s="2" t="str">
        <x:v>top_level_area</x:v>
      </x:c>
      <x:c r="L5165" s="2" t="str">
        <x:v>property_type_inferred_from_title</x:v>
      </x:c>
      <x:c r="M5165" s="10" t="n">
        <x:v>0</x:v>
      </x:c>
      <x:c r="N5165" s="10" t="n">
        <x:v>0</x:v>
      </x:c>
      <x:c r="O5165" s="2" t="str">
        <x:v>Hà Nội|house</x:v>
      </x:c>
      <x:c r="P5165" s="10" t="n">
        <x:v>2</x:v>
      </x:c>
      <x:c r="Q5165" s="13" t="n">
        <x:f>IF(H5165="","",H5165/1000000000)</x:f>
        <x:v>10.5</x:v>
      </x:c>
      <x:c r="R5165" s="13" t="n">
        <x:f>IF(I5165="","",I5165/1000000)</x:f>
        <x:v>156.71641791044775</x:v>
      </x:c>
    </x:row>
    <x:row r="5166" ht="21" customHeight="1">
      <x:c r="A5166" s="10" t="n">
        <x:v>6794</x:v>
      </x:c>
      <x:c r="B5166" s="2" t="str">
        <x:v>33819cda28c5e16ddc5a</x:v>
      </x:c>
      <x:c r="C5166" s="2" t="str">
        <x:v>Đồng Nai</x:v>
      </x:c>
      <x:c r="D5166" s="2" t="str">
        <x:v>Thành phố Biên Hòa</x:v>
      </x:c>
      <x:c r="E5166" s="2" t="str">
        <x:v>house</x:v>
      </x:c>
      <x:c r="F5166" s="2" t="str">
        <x:v>sale</x:v>
      </x:c>
      <x:c r="G5166" s="11" t="n">
        <x:v>60</x:v>
      </x:c>
      <x:c r="H5166" s="12" t="n">
        <x:v>2550000000</x:v>
      </x:c>
      <x:c r="I5166" s="12" t="n">
        <x:v>42500000</x:v>
      </x:c>
      <x:c r="J5166" s="2" t="str">
        <x:v>total</x:v>
      </x:c>
      <x:c r="K5166" s="2" t="str">
        <x:v>top_level_area</x:v>
      </x:c>
      <x:c r="L5166" s="2" t="str">
        <x:v>property_type_inferred_from_title</x:v>
      </x:c>
      <x:c r="M5166" s="10" t="n">
        <x:v>0</x:v>
      </x:c>
      <x:c r="N5166" s="10" t="n">
        <x:v>0</x:v>
      </x:c>
      <x:c r="O5166" s="2" t="str">
        <x:v>Đồng Nai|house</x:v>
      </x:c>
      <x:c r="P5166" s="10" t="n">
        <x:v>2</x:v>
      </x:c>
      <x:c r="Q5166" s="13" t="n">
        <x:f>IF(H5166="","",H5166/1000000000)</x:f>
        <x:v>2.55</x:v>
      </x:c>
      <x:c r="R5166" s="13" t="n">
        <x:f>IF(I5166="","",I5166/1000000)</x:f>
        <x:v>42.5</x:v>
      </x:c>
    </x:row>
    <x:row r="5167" ht="21" customHeight="1">
      <x:c r="A5167" s="10" t="n">
        <x:v>6795</x:v>
      </x:c>
      <x:c r="B5167" s="2" t="str">
        <x:v>98fecd0c351030ed7584</x:v>
      </x:c>
      <x:c r="C5167" s="2" t="str">
        <x:v>Tp Hồ Chí Minh</x:v>
      </x:c>
      <x:c r="D5167" s="2" t="str">
        <x:v>Quận 10</x:v>
      </x:c>
      <x:c r="E5167" s="2" t="str">
        <x:v>house</x:v>
      </x:c>
      <x:c r="F5167" s="2" t="str">
        <x:v>sale</x:v>
      </x:c>
      <x:c r="G5167" s="11" t="n">
        <x:v>84</x:v>
      </x:c>
      <x:c r="H5167" s="12" t="n">
        <x:v>26000000000</x:v>
      </x:c>
      <x:c r="I5167" s="12" t="n">
        <x:v>309523809.52380955</x:v>
      </x:c>
      <x:c r="J5167" s="2" t="str">
        <x:v>total</x:v>
      </x:c>
      <x:c r="K5167" s="2" t="str">
        <x:v>top_level_area</x:v>
      </x:c>
      <x:c r="L5167" s="2" t="str">
        <x:v>property_type_inferred_from_title</x:v>
      </x:c>
      <x:c r="M5167" s="10" t="n">
        <x:v>1</x:v>
      </x:c>
      <x:c r="N5167" s="10" t="n">
        <x:v>1</x:v>
      </x:c>
      <x:c r="O5167" s="2" t="str">
        <x:v>Tp Hồ Chí Minh|house</x:v>
      </x:c>
      <x:c r="P5167" s="10" t="n">
        <x:v>-1</x:v>
      </x:c>
      <x:c r="Q5167" s="13" t="n">
        <x:f>IF(H5167="","",H5167/1000000000)</x:f>
        <x:v>26</x:v>
      </x:c>
      <x:c r="R5167" s="13" t="n">
        <x:f>IF(I5167="","",I5167/1000000)</x:f>
        <x:v>309.5238095238096</x:v>
      </x:c>
    </x:row>
    <x:row r="5168" ht="21" customHeight="1">
      <x:c r="A5168" s="10" t="n">
        <x:v>6796</x:v>
      </x:c>
      <x:c r="B5168" s="2" t="str">
        <x:v>10084ff69d5f64ca9829</x:v>
      </x:c>
      <x:c r="C5168" s="2" t="str">
        <x:v>Tp Hồ Chí Minh</x:v>
      </x:c>
      <x:c r="D5168" s="2" t="str">
        <x:v>Quận 7</x:v>
      </x:c>
      <x:c r="E5168" s="2" t="str">
        <x:v>other_unknown</x:v>
      </x:c>
      <x:c r="F5168" s="2" t="str">
        <x:v>sale</x:v>
      </x:c>
      <x:c r="G5168" s="11" t="n">
        <x:v>200</x:v>
      </x:c>
      <x:c r="H5168" s="12" t="n">
        <x:v>1900000000</x:v>
      </x:c>
      <x:c r="I5168" s="12" t="n">
        <x:v>9500000</x:v>
      </x:c>
      <x:c r="J5168" s="2" t="str">
        <x:v>total</x:v>
      </x:c>
      <x:c r="K5168" s="2" t="str">
        <x:v>top_level_area</x:v>
      </x:c>
      <x:c r="L5168" s="2" t="str">
        <x:v>property_type_inferred_from_title;unknown_property_type</x:v>
      </x:c>
      <x:c r="M5168" s="10" t="n">
        <x:v>0</x:v>
      </x:c>
      <x:c r="N5168" s="10" t="n">
        <x:v>0</x:v>
      </x:c>
      <x:c r="O5168" s="2" t="str">
        <x:v>Tp Hồ Chí Minh|other_unknown</x:v>
      </x:c>
      <x:c r="P5168" s="10" t="n">
        <x:v>2</x:v>
      </x:c>
      <x:c r="Q5168" s="13" t="n">
        <x:f>IF(H5168="","",H5168/1000000000)</x:f>
        <x:v>1.9</x:v>
      </x:c>
      <x:c r="R5168" s="13" t="n">
        <x:f>IF(I5168="","",I5168/1000000)</x:f>
        <x:v>9.5</x:v>
      </x:c>
    </x:row>
    <x:row r="5169" ht="21" customHeight="1">
      <x:c r="A5169" s="10" t="n">
        <x:v>6797</x:v>
      </x:c>
      <x:c r="B5169" s="2" t="str">
        <x:v>f0ca42ac3ad523022a76</x:v>
      </x:c>
      <x:c r="C5169" s="2" t="str">
        <x:v>Bến Tre</x:v>
      </x:c>
      <x:c r="D5169" s="2" t="str">
        <x:v>Thành phố Bến Tre</x:v>
      </x:c>
      <x:c r="E5169" s="2" t="str">
        <x:v>land</x:v>
      </x:c>
      <x:c r="F5169" s="2" t="str">
        <x:v>sale</x:v>
      </x:c>
      <x:c r="G5169" s="11" t="n">
        <x:v>103</x:v>
      </x:c>
      <x:c r="H5169" s="12" t="n">
        <x:v>580000000</x:v>
      </x:c>
      <x:c r="I5169" s="12" t="n">
        <x:v>5631067.961165048</x:v>
      </x:c>
      <x:c r="J5169" s="2" t="str">
        <x:v>total</x:v>
      </x:c>
      <x:c r="K5169" s="2" t="str">
        <x:v>top_level_area</x:v>
      </x:c>
      <x:c r="L5169" s="2" t="str">
        <x:v>property_type_inferred_from_title</x:v>
      </x:c>
      <x:c r="M5169" s="10" t="n">
        <x:v>0</x:v>
      </x:c>
      <x:c r="N5169" s="10" t="n">
        <x:v>0</x:v>
      </x:c>
      <x:c r="O5169" s="2" t="str">
        <x:v>Bến Tre|land</x:v>
      </x:c>
      <x:c r="P5169" s="10" t="n">
        <x:v>2</x:v>
      </x:c>
      <x:c r="Q5169" s="13" t="n">
        <x:f>IF(H5169="","",H5169/1000000000)</x:f>
        <x:v>0.58</x:v>
      </x:c>
      <x:c r="R5169" s="13" t="n">
        <x:f>IF(I5169="","",I5169/1000000)</x:f>
        <x:v>5.631067961165048</x:v>
      </x:c>
    </x:row>
    <x:row r="5170" ht="21" customHeight="1">
      <x:c r="A5170" s="10" t="n">
        <x:v>6798</x:v>
      </x:c>
      <x:c r="B5170" s="2" t="str">
        <x:v>ff6c1eebe68ce72c0dad</x:v>
      </x:c>
      <x:c r="C5170" s="2" t="str">
        <x:v>Đồng Nai</x:v>
      </x:c>
      <x:c r="D5170" s="2" t="str">
        <x:v>Huyện Cẩm Mỹ</x:v>
      </x:c>
      <x:c r="E5170" s="2" t="str">
        <x:v>land</x:v>
      </x:c>
      <x:c r="F5170" s="2" t="str">
        <x:v>sale</x:v>
      </x:c>
      <x:c r="G5170" s="11" t="n">
        <x:v>185</x:v>
      </x:c>
      <x:c r="H5170" s="12" t="n">
        <x:v>135000000</x:v>
      </x:c>
      <x:c r="I5170" s="12" t="n">
        <x:v>729729.7297297297</x:v>
      </x:c>
      <x:c r="J5170" s="2" t="str">
        <x:v>total</x:v>
      </x:c>
      <x:c r="K5170" s="2" t="str">
        <x:v>top_level_area</x:v>
      </x:c>
      <x:c r="L5170" s="2" t="str">
        <x:v>property_type_inferred_from_title</x:v>
      </x:c>
      <x:c r="M5170" s="10" t="n">
        <x:v>0</x:v>
      </x:c>
      <x:c r="N5170" s="10" t="n">
        <x:v>0</x:v>
      </x:c>
      <x:c r="O5170" s="2" t="str">
        <x:v>Đồng Nai|land</x:v>
      </x:c>
      <x:c r="P5170" s="10" t="n">
        <x:v>1</x:v>
      </x:c>
      <x:c r="Q5170" s="13" t="n">
        <x:f>IF(H5170="","",H5170/1000000000)</x:f>
        <x:v>0.135</x:v>
      </x:c>
      <x:c r="R5170" s="13" t="n">
        <x:f>IF(I5170="","",I5170/1000000)</x:f>
        <x:v>0.7297297297297297</x:v>
      </x:c>
    </x:row>
    <x:row r="5171" ht="21" customHeight="1">
      <x:c r="A5171" s="10" t="n">
        <x:v>6799</x:v>
      </x:c>
      <x:c r="B5171" s="2" t="str">
        <x:v>a9b97f0560d68a31eb6e</x:v>
      </x:c>
      <x:c r="C5171" s="2" t="str">
        <x:v>Tp Hồ Chí Minh</x:v>
      </x:c>
      <x:c r="D5171" s="2" t="str">
        <x:v>Quận 6</x:v>
      </x:c>
      <x:c r="E5171" s="2" t="str">
        <x:v>house</x:v>
      </x:c>
      <x:c r="F5171" s="2" t="str">
        <x:v>sale</x:v>
      </x:c>
      <x:c r="G5171" s="11" t="n">
        <x:v>51</x:v>
      </x:c>
      <x:c r="H5171" s="12" t="n">
        <x:v>1460000000</x:v>
      </x:c>
      <x:c r="I5171" s="12" t="n">
        <x:v>28627450.980392158</x:v>
      </x:c>
      <x:c r="J5171" s="2" t="str">
        <x:v>total</x:v>
      </x:c>
      <x:c r="K5171" s="2" t="str">
        <x:v>top_level_area</x:v>
      </x:c>
      <x:c r="L5171" s="2" t="str">
        <x:v>property_type_inferred_from_title</x:v>
      </x:c>
      <x:c r="M5171" s="10" t="n">
        <x:v>0</x:v>
      </x:c>
      <x:c r="N5171" s="10" t="n">
        <x:v>0</x:v>
      </x:c>
      <x:c r="O5171" s="2" t="str">
        <x:v>Tp Hồ Chí Minh|house</x:v>
      </x:c>
      <x:c r="P5171" s="10" t="n">
        <x:v>2</x:v>
      </x:c>
      <x:c r="Q5171" s="13" t="n">
        <x:f>IF(H5171="","",H5171/1000000000)</x:f>
        <x:v>1.46</x:v>
      </x:c>
      <x:c r="R5171" s="13" t="n">
        <x:f>IF(I5171="","",I5171/1000000)</x:f>
        <x:v>28.627450980392158</x:v>
      </x:c>
    </x:row>
    <x:row r="5172" ht="21" customHeight="1">
      <x:c r="A5172" s="10" t="n">
        <x:v>6802</x:v>
      </x:c>
      <x:c r="B5172" s="2" t="str">
        <x:v>4ef7ec550fdef42f45c7</x:v>
      </x:c>
      <x:c r="C5172" s="2" t="str">
        <x:v>Tp Hồ Chí Minh</x:v>
      </x:c>
      <x:c r="D5172" s="2" t="str">
        <x:v>Quận 10</x:v>
      </x:c>
      <x:c r="E5172" s="2" t="str">
        <x:v>other_unknown</x:v>
      </x:c>
      <x:c r="F5172" s="2" t="str">
        <x:v>sale_assumed</x:v>
      </x:c>
      <x:c r="G5172" s="11" t="n">
        <x:v>47</x:v>
      </x:c>
      <x:c r="H5172" s="12" t="n">
        <x:v>1182000000</x:v>
      </x:c>
      <x:c r="I5172" s="12" t="n">
        <x:v>25148936.170212764</x:v>
      </x:c>
      <x:c r="J5172" s="2" t="str">
        <x:v>total</x:v>
      </x:c>
      <x:c r="K5172" s="2" t="str">
        <x:v>top_level_area</x:v>
      </x:c>
      <x:c r="L5172" s="2" t="str">
        <x:v>property_type_inferred_from_title;transaction_assumed_sale_from_dataset_context;unknown_property_type</x:v>
      </x:c>
      <x:c r="M5172" s="10" t="n">
        <x:v>0</x:v>
      </x:c>
      <x:c r="N5172" s="10" t="n">
        <x:v>0</x:v>
      </x:c>
      <x:c r="O5172" s="2" t="str">
        <x:v>Tp Hồ Chí Minh|other_unknown</x:v>
      </x:c>
      <x:c r="P5172" s="10" t="n">
        <x:v>2</x:v>
      </x:c>
      <x:c r="Q5172" s="13" t="n">
        <x:f>IF(H5172="","",H5172/1000000000)</x:f>
        <x:v>1.182</x:v>
      </x:c>
      <x:c r="R5172" s="13" t="n">
        <x:f>IF(I5172="","",I5172/1000000)</x:f>
        <x:v>25.148936170212764</x:v>
      </x:c>
    </x:row>
    <x:row r="5173" ht="21" customHeight="1">
      <x:c r="A5173" s="10" t="n">
        <x:v>6803</x:v>
      </x:c>
      <x:c r="B5173" s="2" t="str">
        <x:v>bccdc451258311fec0cc</x:v>
      </x:c>
      <x:c r="C5173" s="2" t="str">
        <x:v>Tp Hồ Chí Minh</x:v>
      </x:c>
      <x:c r="D5173" s="2" t="str">
        <x:v>Quận 2</x:v>
      </x:c>
      <x:c r="E5173" s="2" t="str">
        <x:v>house</x:v>
      </x:c>
      <x:c r="F5173" s="2" t="str">
        <x:v>sale</x:v>
      </x:c>
      <x:c r="G5173" s="11" t="n">
        <x:v>100</x:v>
      </x:c>
      <x:c r="H5173" s="12" t="n">
        <x:v>16500000000</x:v>
      </x:c>
      <x:c r="I5173" s="12" t="n">
        <x:v>165000000</x:v>
      </x:c>
      <x:c r="J5173" s="2" t="str">
        <x:v>total</x:v>
      </x:c>
      <x:c r="K5173" s="2" t="str">
        <x:v>top_level_area</x:v>
      </x:c>
      <x:c r="L5173" s="2" t="str">
        <x:v>property_type_inferred_from_title</x:v>
      </x:c>
      <x:c r="M5173" s="10" t="n">
        <x:v>1</x:v>
      </x:c>
      <x:c r="N5173" s="10" t="n">
        <x:v>0</x:v>
      </x:c>
      <x:c r="O5173" s="2" t="str">
        <x:v>Tp Hồ Chí Minh|house</x:v>
      </x:c>
      <x:c r="P5173" s="10" t="n">
        <x:v>2</x:v>
      </x:c>
      <x:c r="Q5173" s="13" t="n">
        <x:f>IF(H5173="","",H5173/1000000000)</x:f>
        <x:v>16.5</x:v>
      </x:c>
      <x:c r="R5173" s="13" t="n">
        <x:f>IF(I5173="","",I5173/1000000)</x:f>
        <x:v>165</x:v>
      </x:c>
    </x:row>
    <x:row r="5174" ht="21" customHeight="1">
      <x:c r="A5174" s="10" t="n">
        <x:v>6804</x:v>
      </x:c>
      <x:c r="B5174" s="2" t="str">
        <x:v>74092a1689f9fa0d1def</x:v>
      </x:c>
      <x:c r="C5174" s="2" t="str">
        <x:v>Tp Hồ Chí Minh</x:v>
      </x:c>
      <x:c r="D5174" s="2" t="str">
        <x:v>Quận Bình Thạnh</x:v>
      </x:c>
      <x:c r="E5174" s="2" t="str">
        <x:v>house</x:v>
      </x:c>
      <x:c r="F5174" s="2" t="str">
        <x:v>sale</x:v>
      </x:c>
      <x:c r="G5174" s="11" t="n">
        <x:v>67</x:v>
      </x:c>
      <x:c r="H5174" s="12" t="n">
        <x:v>1100000000</x:v>
      </x:c>
      <x:c r="I5174" s="12" t="n">
        <x:v>16417910.447761195</x:v>
      </x:c>
      <x:c r="J5174" s="2" t="str">
        <x:v>total</x:v>
      </x:c>
      <x:c r="K5174" s="2" t="str">
        <x:v>top_level_area</x:v>
      </x:c>
      <x:c r="L5174" s="2" t="str">
        <x:v>property_type_inferred_from_title</x:v>
      </x:c>
      <x:c r="M5174" s="10" t="n">
        <x:v>0</x:v>
      </x:c>
      <x:c r="N5174" s="10" t="n">
        <x:v>0</x:v>
      </x:c>
      <x:c r="O5174" s="2" t="str">
        <x:v>Tp Hồ Chí Minh|house</x:v>
      </x:c>
      <x:c r="P5174" s="10" t="n">
        <x:v>2</x:v>
      </x:c>
      <x:c r="Q5174" s="13" t="n">
        <x:f>IF(H5174="","",H5174/1000000000)</x:f>
        <x:v>1.1</x:v>
      </x:c>
      <x:c r="R5174" s="13" t="n">
        <x:f>IF(I5174="","",I5174/1000000)</x:f>
        <x:v>16.417910447761194</x:v>
      </x:c>
    </x:row>
    <x:row r="5175" ht="21" customHeight="1">
      <x:c r="A5175" s="10" t="n">
        <x:v>6805</x:v>
      </x:c>
      <x:c r="B5175" s="2" t="str">
        <x:v>2e573418e2398da2730f</x:v>
      </x:c>
      <x:c r="C5175" s="2" t="str">
        <x:v>Tp Hồ Chí Minh</x:v>
      </x:c>
      <x:c r="D5175" s="2" t="str">
        <x:v>Quận Tân Phú</x:v>
      </x:c>
      <x:c r="E5175" s="2" t="str">
        <x:v>other_unknown</x:v>
      </x:c>
      <x:c r="F5175" s="2" t="str">
        <x:v>sale</x:v>
      </x:c>
      <x:c r="G5175" s="11" t="n">
        <x:v>91</x:v>
      </x:c>
      <x:c r="H5175" s="12" t="n">
        <x:v>3250000000</x:v>
      </x:c>
      <x:c r="I5175" s="12" t="n">
        <x:v>35714285.71428572</x:v>
      </x:c>
      <x:c r="J5175" s="2" t="str">
        <x:v>total</x:v>
      </x:c>
      <x:c r="K5175" s="2" t="str">
        <x:v>top_level_area</x:v>
      </x:c>
      <x:c r="L5175" s="2" t="str">
        <x:v>property_type_inferred_from_title;unknown_property_type</x:v>
      </x:c>
      <x:c r="M5175" s="10" t="n">
        <x:v>0</x:v>
      </x:c>
      <x:c r="N5175" s="10" t="n">
        <x:v>0</x:v>
      </x:c>
      <x:c r="O5175" s="2" t="str">
        <x:v>Tp Hồ Chí Minh|other_unknown</x:v>
      </x:c>
      <x:c r="P5175" s="10" t="n">
        <x:v>2</x:v>
      </x:c>
      <x:c r="Q5175" s="13" t="n">
        <x:f>IF(H5175="","",H5175/1000000000)</x:f>
        <x:v>3.25</x:v>
      </x:c>
      <x:c r="R5175" s="13" t="n">
        <x:f>IF(I5175="","",I5175/1000000)</x:f>
        <x:v>35.714285714285715</x:v>
      </x:c>
    </x:row>
    <x:row r="5176" ht="21" customHeight="1">
      <x:c r="A5176" s="10" t="n">
        <x:v>6806</x:v>
      </x:c>
      <x:c r="B5176" s="2" t="str">
        <x:v>7fe3785b222e53ec450b</x:v>
      </x:c>
      <x:c r="C5176" s="2" t="str">
        <x:v>Đồng Nai</x:v>
      </x:c>
      <x:c r="D5176" s="2" t="str">
        <x:v>Huyện Long Thành</x:v>
      </x:c>
      <x:c r="E5176" s="2" t="str">
        <x:v>land</x:v>
      </x:c>
      <x:c r="F5176" s="2" t="str">
        <x:v>sale</x:v>
      </x:c>
      <x:c r="G5176" s="11" t="n">
        <x:v>108</x:v>
      </x:c>
      <x:c r="H5176" s="12" t="n">
        <x:v>1875000000</x:v>
      </x:c>
      <x:c r="I5176" s="12" t="n">
        <x:v>17361111.111111112</x:v>
      </x:c>
      <x:c r="J5176" s="2" t="str">
        <x:v>total</x:v>
      </x:c>
      <x:c r="K5176" s="2" t="str">
        <x:v>top_level_area</x:v>
      </x:c>
      <x:c r="L5176" s="2" t="str">
        <x:v>property_type_inferred_from_title</x:v>
      </x:c>
      <x:c r="M5176" s="10" t="n">
        <x:v>0</x:v>
      </x:c>
      <x:c r="N5176" s="10" t="n">
        <x:v>0</x:v>
      </x:c>
      <x:c r="O5176" s="2" t="str">
        <x:v>Đồng Nai|land</x:v>
      </x:c>
      <x:c r="P5176" s="10" t="n">
        <x:v>2</x:v>
      </x:c>
      <x:c r="Q5176" s="13" t="n">
        <x:f>IF(H5176="","",H5176/1000000000)</x:f>
        <x:v>1.875</x:v>
      </x:c>
      <x:c r="R5176" s="13" t="n">
        <x:f>IF(I5176="","",I5176/1000000)</x:f>
        <x:v>17.36111111111111</x:v>
      </x:c>
    </x:row>
    <x:row r="5177" ht="21" customHeight="1">
      <x:c r="A5177" s="10" t="n">
        <x:v>6807</x:v>
      </x:c>
      <x:c r="B5177" s="2" t="str">
        <x:v>26e1cf6b52d1f17010eb</x:v>
      </x:c>
      <x:c r="C5177" s="2" t="str">
        <x:v>Tp Hồ Chí Minh</x:v>
      </x:c>
      <x:c r="D5177" s="2" t="str">
        <x:v>Quận Bình Tân</x:v>
      </x:c>
      <x:c r="E5177" s="2" t="str">
        <x:v>house</x:v>
      </x:c>
      <x:c r="F5177" s="2" t="str">
        <x:v>sale</x:v>
      </x:c>
      <x:c r="G5177" s="11" t="n">
        <x:v>52.5</x:v>
      </x:c>
      <x:c r="H5177" s="12" t="n">
        <x:v>1490000000</x:v>
      </x:c>
      <x:c r="I5177" s="12" t="n">
        <x:v>28380952.38095238</x:v>
      </x:c>
      <x:c r="J5177" s="2" t="str">
        <x:v>total</x:v>
      </x:c>
      <x:c r="K5177" s="2" t="str">
        <x:v>top_level_area</x:v>
      </x:c>
      <x:c r="L5177" s="2" t="str">
        <x:v>property_type_inferred_from_title</x:v>
      </x:c>
      <x:c r="M5177" s="10" t="n">
        <x:v>0</x:v>
      </x:c>
      <x:c r="N5177" s="10" t="n">
        <x:v>0</x:v>
      </x:c>
      <x:c r="O5177" s="2" t="str">
        <x:v>Tp Hồ Chí Minh|house</x:v>
      </x:c>
      <x:c r="P5177" s="10" t="n">
        <x:v>2</x:v>
      </x:c>
      <x:c r="Q5177" s="13" t="n">
        <x:f>IF(H5177="","",H5177/1000000000)</x:f>
        <x:v>1.49</x:v>
      </x:c>
      <x:c r="R5177" s="13" t="n">
        <x:f>IF(I5177="","",I5177/1000000)</x:f>
        <x:v>28.38095238095238</x:v>
      </x:c>
    </x:row>
    <x:row r="5178" ht="21" customHeight="1">
      <x:c r="A5178" s="10" t="n">
        <x:v>6808</x:v>
      </x:c>
      <x:c r="B5178" s="2" t="str">
        <x:v>390c2f447d20a33ce569</x:v>
      </x:c>
      <x:c r="C5178" s="2" t="str">
        <x:v>Cần Thơ</x:v>
      </x:c>
      <x:c r="D5178" s="2" t="str">
        <x:v>Quận Bình Thuỷ</x:v>
      </x:c>
      <x:c r="E5178" s="2" t="str">
        <x:v>land</x:v>
      </x:c>
      <x:c r="F5178" s="2" t="str">
        <x:v>sale_assumed</x:v>
      </x:c>
      <x:c r="G5178" s="11" t="n">
        <x:v>63</x:v>
      </x:c>
      <x:c r="H5178" s="12" t="n">
        <x:v>1670000000</x:v>
      </x:c>
      <x:c r="I5178" s="12" t="n">
        <x:v>26507936.507936507</x:v>
      </x:c>
      <x:c r="J5178" s="2" t="str">
        <x:v>total</x:v>
      </x:c>
      <x:c r="K5178" s="2" t="str">
        <x:v>top_level_area</x:v>
      </x:c>
      <x:c r="L5178" s="2" t="str">
        <x:v>property_type_inferred_from_title;transaction_assumed_sale_from_dataset_context</x:v>
      </x:c>
      <x:c r="M5178" s="10" t="n">
        <x:v>0</x:v>
      </x:c>
      <x:c r="N5178" s="10" t="n">
        <x:v>0</x:v>
      </x:c>
      <x:c r="O5178" s="2" t="str">
        <x:v>Cần Thơ|land</x:v>
      </x:c>
      <x:c r="P5178" s="10" t="n">
        <x:v>2</x:v>
      </x:c>
      <x:c r="Q5178" s="13" t="n">
        <x:f>IF(H5178="","",H5178/1000000000)</x:f>
        <x:v>1.67</x:v>
      </x:c>
      <x:c r="R5178" s="13" t="n">
        <x:f>IF(I5178="","",I5178/1000000)</x:f>
        <x:v>26.507936507936506</x:v>
      </x:c>
    </x:row>
    <x:row r="5179" ht="21" customHeight="1">
      <x:c r="A5179" s="10" t="n">
        <x:v>6809</x:v>
      </x:c>
      <x:c r="B5179" s="2" t="str">
        <x:v>983bffc299d5e924474e</x:v>
      </x:c>
      <x:c r="C5179" s="2" t="str">
        <x:v>Long An</x:v>
      </x:c>
      <x:c r="D5179" s="2" t="str">
        <x:v>Huyện Cần Đước</x:v>
      </x:c>
      <x:c r="E5179" s="2" t="str">
        <x:v>land</x:v>
      </x:c>
      <x:c r="F5179" s="2" t="str">
        <x:v>sale</x:v>
      </x:c>
      <x:c r="G5179" s="11" t="n">
        <x:v>82</x:v>
      </x:c>
      <x:c r="H5179" s="12" t="n">
        <x:v>500000000</x:v>
      </x:c>
      <x:c r="I5179" s="12" t="n">
        <x:v>6097560.975609756</x:v>
      </x:c>
      <x:c r="J5179" s="2" t="str">
        <x:v>total</x:v>
      </x:c>
      <x:c r="K5179" s="2" t="str">
        <x:v>top_level_area</x:v>
      </x:c>
      <x:c r="L5179" s="2" t="str">
        <x:v>property_type_inferred_from_title</x:v>
      </x:c>
      <x:c r="M5179" s="10" t="n">
        <x:v>0</x:v>
      </x:c>
      <x:c r="N5179" s="10" t="n">
        <x:v>0</x:v>
      </x:c>
      <x:c r="O5179" s="2" t="str">
        <x:v>Long An|land</x:v>
      </x:c>
      <x:c r="P5179" s="10" t="n">
        <x:v>2</x:v>
      </x:c>
      <x:c r="Q5179" s="13" t="n">
        <x:f>IF(H5179="","",H5179/1000000000)</x:f>
        <x:v>0.5</x:v>
      </x:c>
      <x:c r="R5179" s="13" t="n">
        <x:f>IF(I5179="","",I5179/1000000)</x:f>
        <x:v>6.097560975609756</x:v>
      </x:c>
    </x:row>
    <x:row r="5180" ht="21" customHeight="1">
      <x:c r="A5180" s="10" t="n">
        <x:v>6810</x:v>
      </x:c>
      <x:c r="B5180" s="2" t="str">
        <x:v>86416a2dad695dd4bc8b</x:v>
      </x:c>
      <x:c r="C5180" s="2" t="str">
        <x:v>Đà Nẵng</x:v>
      </x:c>
      <x:c r="D5180" s="2" t="str">
        <x:v>Quận Ngũ Hành Sơn</x:v>
      </x:c>
      <x:c r="E5180" s="2" t="str">
        <x:v>house</x:v>
      </x:c>
      <x:c r="F5180" s="2" t="str">
        <x:v>sale</x:v>
      </x:c>
      <x:c r="G5180" s="11" t="n">
        <x:v>60</x:v>
      </x:c>
      <x:c r="H5180" s="12" t="n">
        <x:v>4900000000</x:v>
      </x:c>
      <x:c r="I5180" s="12" t="n">
        <x:v>81666666.66666667</x:v>
      </x:c>
      <x:c r="J5180" s="2" t="str">
        <x:v>total</x:v>
      </x:c>
      <x:c r="K5180" s="2" t="str">
        <x:v>top_level_area</x:v>
      </x:c>
      <x:c r="L5180" s="2" t="str">
        <x:v>property_type_inferred_from_title</x:v>
      </x:c>
      <x:c r="M5180" s="10" t="n">
        <x:v>0</x:v>
      </x:c>
      <x:c r="N5180" s="10" t="n">
        <x:v>0</x:v>
      </x:c>
      <x:c r="O5180" s="2" t="str">
        <x:v>Đà Nẵng|house</x:v>
      </x:c>
      <x:c r="P5180" s="10" t="n">
        <x:v>2</x:v>
      </x:c>
      <x:c r="Q5180" s="13" t="n">
        <x:f>IF(H5180="","",H5180/1000000000)</x:f>
        <x:v>4.9</x:v>
      </x:c>
      <x:c r="R5180" s="13" t="n">
        <x:f>IF(I5180="","",I5180/1000000)</x:f>
        <x:v>81.66666666666667</x:v>
      </x:c>
    </x:row>
    <x:row r="5181" ht="21" customHeight="1">
      <x:c r="A5181" s="10" t="n">
        <x:v>6811</x:v>
      </x:c>
      <x:c r="B5181" s="2" t="str">
        <x:v>243f9d93685d9417616b</x:v>
      </x:c>
      <x:c r="C5181" s="2" t="str">
        <x:v>Tp Hồ Chí Minh</x:v>
      </x:c>
      <x:c r="D5181" s="2" t="str">
        <x:v>Huyện Nhà Bè</x:v>
      </x:c>
      <x:c r="E5181" s="2" t="str">
        <x:v>house</x:v>
      </x:c>
      <x:c r="F5181" s="2" t="str">
        <x:v>sale_assumed</x:v>
      </x:c>
      <x:c r="G5181" s="11" t="n">
        <x:v>1807</x:v>
      </x:c>
      <x:c r="H5181" s="12" t="n">
        <x:v>2600000000</x:v>
      </x:c>
      <x:c r="I5181" s="12" t="n">
        <x:v>1438848.9208633094</x:v>
      </x:c>
      <x:c r="J5181" s="2" t="str">
        <x:v>total</x:v>
      </x:c>
      <x:c r="K5181" s="2" t="str">
        <x:v>top_level_area</x:v>
      </x:c>
      <x:c r="L5181" s="2" t="str">
        <x:v>dot_thousands_convention;property_type_inferred_from_title;transaction_assumed_sale_from_dataset_context</x:v>
      </x:c>
      <x:c r="M5181" s="10" t="n">
        <x:v>0</x:v>
      </x:c>
      <x:c r="N5181" s="10" t="n">
        <x:v>0</x:v>
      </x:c>
      <x:c r="O5181" s="2" t="str">
        <x:v>Tp Hồ Chí Minh|house</x:v>
      </x:c>
      <x:c r="P5181" s="10" t="n">
        <x:v>1</x:v>
      </x:c>
      <x:c r="Q5181" s="13" t="n">
        <x:f>IF(H5181="","",H5181/1000000000)</x:f>
        <x:v>2.6</x:v>
      </x:c>
      <x:c r="R5181" s="13" t="n">
        <x:f>IF(I5181="","",I5181/1000000)</x:f>
        <x:v>1.4388489208633095</x:v>
      </x:c>
    </x:row>
    <x:row r="5182" ht="21" customHeight="1">
      <x:c r="A5182" s="10" t="n">
        <x:v>6812</x:v>
      </x:c>
      <x:c r="B5182" s="2" t="str">
        <x:v>7185b18534e6837b74a3</x:v>
      </x:c>
      <x:c r="C5182" s="2" t="str">
        <x:v>Kiên Giang</x:v>
      </x:c>
      <x:c r="D5182" s="2" t="str">
        <x:v>Thành phố Rạch Giá</x:v>
      </x:c>
      <x:c r="E5182" s="2" t="str">
        <x:v>house</x:v>
      </x:c>
      <x:c r="F5182" s="2" t="str">
        <x:v>sale</x:v>
      </x:c>
      <x:c r="G5182" s="11" t="n">
        <x:v>360</x:v>
      </x:c>
      <x:c r="H5182" s="12" t="n">
        <x:v>5200000000</x:v>
      </x:c>
      <x:c r="I5182" s="12" t="n">
        <x:v>14444444.444444444</x:v>
      </x:c>
      <x:c r="J5182" s="2" t="str">
        <x:v>total</x:v>
      </x:c>
      <x:c r="K5182" s="2" t="str">
        <x:v>top_level_area</x:v>
      </x:c>
      <x:c r="L5182" s="2" t="str">
        <x:v>property_type_inferred_from_title</x:v>
      </x:c>
      <x:c r="M5182" s="10" t="n">
        <x:v>0</x:v>
      </x:c>
      <x:c r="N5182" s="10" t="n">
        <x:v>0</x:v>
      </x:c>
      <x:c r="O5182" s="2" t="str">
        <x:v>house</x:v>
      </x:c>
      <x:c r="P5182" s="10" t="n">
        <x:v>1</x:v>
      </x:c>
      <x:c r="Q5182" s="13" t="n">
        <x:f>IF(H5182="","",H5182/1000000000)</x:f>
        <x:v>5.2</x:v>
      </x:c>
      <x:c r="R5182" s="13" t="n">
        <x:f>IF(I5182="","",I5182/1000000)</x:f>
        <x:v>14.444444444444445</x:v>
      </x:c>
    </x:row>
    <x:row r="5183" ht="21" customHeight="1">
      <x:c r="A5183" s="10" t="n">
        <x:v>6813</x:v>
      </x:c>
      <x:c r="B5183" s="2" t="str">
        <x:v>7c7774ae245f8b230d8a</x:v>
      </x:c>
      <x:c r="C5183" s="2" t="str">
        <x:v>Thừa Thiên Huế</x:v>
      </x:c>
      <x:c r="D5183" s="2" t="str">
        <x:v>Thị xã Hương Thủy</x:v>
      </x:c>
      <x:c r="E5183" s="2" t="str">
        <x:v>house</x:v>
      </x:c>
      <x:c r="F5183" s="2" t="str">
        <x:v>sale_assumed</x:v>
      </x:c>
      <x:c r="G5183" s="11" t="n">
        <x:v>80</x:v>
      </x:c>
      <x:c r="H5183" s="12" t="n">
        <x:v>2700000000</x:v>
      </x:c>
      <x:c r="I5183" s="12" t="n">
        <x:v>33750000</x:v>
      </x:c>
      <x:c r="J5183" s="2" t="str">
        <x:v>total</x:v>
      </x:c>
      <x:c r="K5183" s="2" t="str">
        <x:v>top_level_area</x:v>
      </x:c>
      <x:c r="L5183" s="2" t="str">
        <x:v>property_type_inferred_from_title;transaction_assumed_sale_from_dataset_context</x:v>
      </x:c>
      <x:c r="M5183" s="10" t="n">
        <x:v>0</x:v>
      </x:c>
      <x:c r="N5183" s="10" t="n">
        <x:v>0</x:v>
      </x:c>
      <x:c r="O5183" s="2" t="str">
        <x:v>house</x:v>
      </x:c>
      <x:c r="P5183" s="10" t="n">
        <x:v>2</x:v>
      </x:c>
      <x:c r="Q5183" s="13" t="n">
        <x:f>IF(H5183="","",H5183/1000000000)</x:f>
        <x:v>2.7</x:v>
      </x:c>
      <x:c r="R5183" s="13" t="n">
        <x:f>IF(I5183="","",I5183/1000000)</x:f>
        <x:v>33.75</x:v>
      </x:c>
    </x:row>
    <x:row r="5184" ht="21" customHeight="1">
      <x:c r="A5184" s="10" t="n">
        <x:v>6814</x:v>
      </x:c>
      <x:c r="B5184" s="2" t="str">
        <x:v>befcdc5fb1a5b1226d2e</x:v>
      </x:c>
      <x:c r="C5184" s="2" t="str">
        <x:v>Hà Nội</x:v>
      </x:c>
      <x:c r="D5184" s="2" t="str">
        <x:v>Quận Đống Đa</x:v>
      </x:c>
      <x:c r="E5184" s="2" t="str">
        <x:v>apartment</x:v>
      </x:c>
      <x:c r="F5184" s="2" t="str">
        <x:v>sale_assumed</x:v>
      </x:c>
      <x:c r="G5184" s="11" t="n">
        <x:v>33</x:v>
      </x:c>
      <x:c r="H5184" s="12" t="n">
        <x:v>600000000</x:v>
      </x:c>
      <x:c r="I5184" s="12" t="n">
        <x:v>18181818.181818184</x:v>
      </x:c>
      <x:c r="J5184" s="2" t="str">
        <x:v>total</x:v>
      </x:c>
      <x:c r="K5184" s="2" t="str">
        <x:v>top_level_area</x:v>
      </x:c>
      <x:c r="L5184" s="2" t="str">
        <x:v>property_type_inferred_from_title;transaction_assumed_sale_from_dataset_context</x:v>
      </x:c>
      <x:c r="M5184" s="10" t="n">
        <x:v>0</x:v>
      </x:c>
      <x:c r="N5184" s="10" t="n">
        <x:v>0</x:v>
      </x:c>
      <x:c r="O5184" s="2" t="str">
        <x:v>Hà Nội|apartment</x:v>
      </x:c>
      <x:c r="P5184" s="10" t="n">
        <x:v>2</x:v>
      </x:c>
      <x:c r="Q5184" s="13" t="n">
        <x:f>IF(H5184="","",H5184/1000000000)</x:f>
        <x:v>0.6</x:v>
      </x:c>
      <x:c r="R5184" s="13" t="n">
        <x:f>IF(I5184="","",I5184/1000000)</x:f>
        <x:v>18.181818181818183</x:v>
      </x:c>
    </x:row>
    <x:row r="5185" ht="21" customHeight="1">
      <x:c r="A5185" s="10" t="n">
        <x:v>6815</x:v>
      </x:c>
      <x:c r="B5185" s="2" t="str">
        <x:v>2e76e7b7dce621c700b7</x:v>
      </x:c>
      <x:c r="C5185" s="2" t="str">
        <x:v>Tp Hồ Chí Minh</x:v>
      </x:c>
      <x:c r="D5185" s="2" t="str">
        <x:v>Quận 12</x:v>
      </x:c>
      <x:c r="E5185" s="2" t="str">
        <x:v>other_unknown</x:v>
      </x:c>
      <x:c r="F5185" s="2" t="str">
        <x:v>sale_assumed</x:v>
      </x:c>
      <x:c r="G5185" s="11" t="n">
        <x:v>61</x:v>
      </x:c>
      <x:c r="H5185" s="12" t="n">
        <x:v>1880000000</x:v>
      </x:c>
      <x:c r="I5185" s="12" t="n">
        <x:v>30819672.13114754</x:v>
      </x:c>
      <x:c r="J5185" s="2" t="str">
        <x:v>total</x:v>
      </x:c>
      <x:c r="K5185" s="2" t="str">
        <x:v>top_level_area</x:v>
      </x:c>
      <x:c r="L5185" s="2" t="str">
        <x:v>property_type_inferred_from_title;transaction_assumed_sale_from_dataset_context;unknown_property_type</x:v>
      </x:c>
      <x:c r="M5185" s="10" t="n">
        <x:v>0</x:v>
      </x:c>
      <x:c r="N5185" s="10" t="n">
        <x:v>0</x:v>
      </x:c>
      <x:c r="O5185" s="2" t="str">
        <x:v>Tp Hồ Chí Minh|other_unknown</x:v>
      </x:c>
      <x:c r="P5185" s="10" t="n">
        <x:v>2</x:v>
      </x:c>
      <x:c r="Q5185" s="13" t="n">
        <x:f>IF(H5185="","",H5185/1000000000)</x:f>
        <x:v>1.88</x:v>
      </x:c>
      <x:c r="R5185" s="13" t="n">
        <x:f>IF(I5185="","",I5185/1000000)</x:f>
        <x:v>30.81967213114754</x:v>
      </x:c>
    </x:row>
    <x:row r="5186" ht="21" customHeight="1">
      <x:c r="A5186" s="10" t="n">
        <x:v>6816</x:v>
      </x:c>
      <x:c r="B5186" s="2" t="str">
        <x:v>e81efb75e6c1cb6d00b3</x:v>
      </x:c>
      <x:c r="C5186" s="2" t="str">
        <x:v>Tp Hồ Chí Minh</x:v>
      </x:c>
      <x:c r="D5186" s="2" t="str">
        <x:v>Quận Gò Vấp</x:v>
      </x:c>
      <x:c r="E5186" s="2" t="str">
        <x:v>house</x:v>
      </x:c>
      <x:c r="F5186" s="2" t="str">
        <x:v>sale_assumed</x:v>
      </x:c>
      <x:c r="G5186" s="11" t="n">
        <x:v>50</x:v>
      </x:c>
      <x:c r="H5186" s="12" t="n">
        <x:v>3250000000</x:v>
      </x:c>
      <x:c r="I5186" s="12" t="n">
        <x:v>65000000</x:v>
      </x:c>
      <x:c r="J5186" s="2" t="str">
        <x:v>total</x:v>
      </x:c>
      <x:c r="K5186" s="2" t="str">
        <x:v>top_level_area</x:v>
      </x:c>
      <x:c r="L5186" s="2" t="str">
        <x:v>property_type_inferred_from_title;transaction_assumed_sale_from_dataset_context</x:v>
      </x:c>
      <x:c r="M5186" s="10" t="n">
        <x:v>0</x:v>
      </x:c>
      <x:c r="N5186" s="10" t="n">
        <x:v>0</x:v>
      </x:c>
      <x:c r="O5186" s="2" t="str">
        <x:v>Tp Hồ Chí Minh|house</x:v>
      </x:c>
      <x:c r="P5186" s="10" t="n">
        <x:v>2</x:v>
      </x:c>
      <x:c r="Q5186" s="13" t="n">
        <x:f>IF(H5186="","",H5186/1000000000)</x:f>
        <x:v>3.25</x:v>
      </x:c>
      <x:c r="R5186" s="13" t="n">
        <x:f>IF(I5186="","",I5186/1000000)</x:f>
        <x:v>65</x:v>
      </x:c>
    </x:row>
    <x:row r="5187" ht="21" customHeight="1">
      <x:c r="A5187" s="10" t="n">
        <x:v>6817</x:v>
      </x:c>
      <x:c r="B5187" s="2" t="str">
        <x:v>ad90332b287032c2fcc9</x:v>
      </x:c>
      <x:c r="C5187" s="2" t="str">
        <x:v>Tp Hồ Chí Minh</x:v>
      </x:c>
      <x:c r="D5187" s="2" t="str">
        <x:v>Quận Bình Thạnh</x:v>
      </x:c>
      <x:c r="E5187" s="2" t="str">
        <x:v>house</x:v>
      </x:c>
      <x:c r="F5187" s="2" t="str">
        <x:v>sale</x:v>
      </x:c>
      <x:c r="G5187" s="11" t="n">
        <x:v>42</x:v>
      </x:c>
      <x:c r="H5187" s="12" t="n">
        <x:v>1750000000</x:v>
      </x:c>
      <x:c r="I5187" s="12" t="n">
        <x:v>41666666.666666664</x:v>
      </x:c>
      <x:c r="J5187" s="2" t="str">
        <x:v>total</x:v>
      </x:c>
      <x:c r="K5187" s="2" t="str">
        <x:v>top_level_area</x:v>
      </x:c>
      <x:c r="L5187" s="2" t="str">
        <x:v>property_type_inferred_from_title</x:v>
      </x:c>
      <x:c r="M5187" s="10" t="n">
        <x:v>0</x:v>
      </x:c>
      <x:c r="N5187" s="10" t="n">
        <x:v>0</x:v>
      </x:c>
      <x:c r="O5187" s="2" t="str">
        <x:v>Tp Hồ Chí Minh|house</x:v>
      </x:c>
      <x:c r="P5187" s="10" t="n">
        <x:v>2</x:v>
      </x:c>
      <x:c r="Q5187" s="13" t="n">
        <x:f>IF(H5187="","",H5187/1000000000)</x:f>
        <x:v>1.75</x:v>
      </x:c>
      <x:c r="R5187" s="13" t="n">
        <x:f>IF(I5187="","",I5187/1000000)</x:f>
        <x:v>41.666666666666664</x:v>
      </x:c>
    </x:row>
    <x:row r="5188" ht="21" customHeight="1">
      <x:c r="A5188" s="10" t="n">
        <x:v>6818</x:v>
      </x:c>
      <x:c r="B5188" s="2" t="str">
        <x:v>3a5a120c3e5a69c94fa6</x:v>
      </x:c>
      <x:c r="C5188" s="2" t="str">
        <x:v>Tp Hồ Chí Minh</x:v>
      </x:c>
      <x:c r="D5188" s="2" t="str">
        <x:v>Quận Tân Phú</x:v>
      </x:c>
      <x:c r="E5188" s="2" t="str">
        <x:v>other_unknown</x:v>
      </x:c>
      <x:c r="F5188" s="2" t="str">
        <x:v>sale_assumed</x:v>
      </x:c>
      <x:c r="G5188" s="11" t="n">
        <x:v>40</x:v>
      </x:c>
      <x:c r="H5188" s="12" t="n">
        <x:v>5900000000</x:v>
      </x:c>
      <x:c r="I5188" s="12" t="n">
        <x:v>147500000</x:v>
      </x:c>
      <x:c r="J5188" s="2" t="str">
        <x:v>total</x:v>
      </x:c>
      <x:c r="K5188" s="2" t="str">
        <x:v>top_level_area</x:v>
      </x:c>
      <x:c r="L5188" s="2" t="str">
        <x:v>property_type_inferred_from_title;transaction_assumed_sale_from_dataset_context;unknown_property_type</x:v>
      </x:c>
      <x:c r="M5188" s="10" t="n">
        <x:v>0</x:v>
      </x:c>
      <x:c r="N5188" s="10" t="n">
        <x:v>0</x:v>
      </x:c>
      <x:c r="O5188" s="2" t="str">
        <x:v>Tp Hồ Chí Minh|other_unknown</x:v>
      </x:c>
      <x:c r="P5188" s="10" t="n">
        <x:v>2</x:v>
      </x:c>
      <x:c r="Q5188" s="13" t="n">
        <x:f>IF(H5188="","",H5188/1000000000)</x:f>
        <x:v>5.9</x:v>
      </x:c>
      <x:c r="R5188" s="13" t="n">
        <x:f>IF(I5188="","",I5188/1000000)</x:f>
        <x:v>147.5</x:v>
      </x:c>
    </x:row>
    <x:row r="5189" ht="21" customHeight="1">
      <x:c r="A5189" s="10" t="n">
        <x:v>6819</x:v>
      </x:c>
      <x:c r="B5189" s="2" t="str">
        <x:v>6bb8ed6c8f655178c2da</x:v>
      </x:c>
      <x:c r="C5189" s="2" t="str">
        <x:v>Tp Hồ Chí Minh</x:v>
      </x:c>
      <x:c r="D5189" s="2" t="str">
        <x:v>Quận Thủ Đức</x:v>
      </x:c>
      <x:c r="E5189" s="2" t="str">
        <x:v>other_unknown</x:v>
      </x:c>
      <x:c r="F5189" s="2" t="str">
        <x:v>sale_assumed</x:v>
      </x:c>
      <x:c r="G5189" s="11" t="n">
        <x:v>60</x:v>
      </x:c>
      <x:c r="H5189" s="12" t="n">
        <x:v>330000000</x:v>
      </x:c>
      <x:c r="I5189" s="12" t="n">
        <x:v>5500000</x:v>
      </x:c>
      <x:c r="J5189" s="2" t="str">
        <x:v>total</x:v>
      </x:c>
      <x:c r="K5189" s="2" t="str">
        <x:v>top_level_area</x:v>
      </x:c>
      <x:c r="L5189" s="2" t="str">
        <x:v>property_type_inferred_from_title;transaction_assumed_sale_from_dataset_context;unknown_property_type</x:v>
      </x:c>
      <x:c r="M5189" s="10" t="n">
        <x:v>0</x:v>
      </x:c>
      <x:c r="N5189" s="10" t="n">
        <x:v>0</x:v>
      </x:c>
      <x:c r="O5189" s="2" t="str">
        <x:v>Tp Hồ Chí Minh|other_unknown</x:v>
      </x:c>
      <x:c r="P5189" s="10" t="n">
        <x:v>2</x:v>
      </x:c>
      <x:c r="Q5189" s="13" t="n">
        <x:f>IF(H5189="","",H5189/1000000000)</x:f>
        <x:v>0.33</x:v>
      </x:c>
      <x:c r="R5189" s="13" t="n">
        <x:f>IF(I5189="","",I5189/1000000)</x:f>
        <x:v>5.5</x:v>
      </x:c>
    </x:row>
    <x:row r="5190" ht="21" customHeight="1">
      <x:c r="A5190" s="10" t="n">
        <x:v>6820</x:v>
      </x:c>
      <x:c r="B5190" s="2" t="str">
        <x:v>a457ecaca3d62a89ca4c</x:v>
      </x:c>
      <x:c r="C5190" s="2" t="str">
        <x:v>Ninh Thuận</x:v>
      </x:c>
      <x:c r="D5190" s="2" t="str">
        <x:v>Huyện Ninh Phước</x:v>
      </x:c>
      <x:c r="E5190" s="2" t="str">
        <x:v>house</x:v>
      </x:c>
      <x:c r="F5190" s="2" t="str">
        <x:v>sale</x:v>
      </x:c>
      <x:c r="G5190" s="11" t="n">
        <x:v>1000</x:v>
      </x:c>
      <x:c r="H5190" s="12" t="n">
        <x:v>1000000000</x:v>
      </x:c>
      <x:c r="I5190" s="12" t="n">
        <x:v>1000000</x:v>
      </x:c>
      <x:c r="J5190" s="2" t="str">
        <x:v>total</x:v>
      </x:c>
      <x:c r="K5190" s="2" t="str">
        <x:v>top_level_area</x:v>
      </x:c>
      <x:c r="L5190" s="2" t="str">
        <x:v>dot_thousands_convention;property_type_inferred_from_title</x:v>
      </x:c>
      <x:c r="M5190" s="10" t="n">
        <x:v>0</x:v>
      </x:c>
      <x:c r="N5190" s="10" t="n">
        <x:v>0</x:v>
      </x:c>
      <x:c r="O5190" s="2" t="str">
        <x:v>house</x:v>
      </x:c>
      <x:c r="P5190" s="10" t="n">
        <x:v>1</x:v>
      </x:c>
      <x:c r="Q5190" s="13" t="n">
        <x:f>IF(H5190="","",H5190/1000000000)</x:f>
        <x:v>1</x:v>
      </x:c>
      <x:c r="R5190" s="13" t="n">
        <x:f>IF(I5190="","",I5190/1000000)</x:f>
        <x:v>1</x:v>
      </x:c>
    </x:row>
    <x:row r="5191" ht="21" customHeight="1">
      <x:c r="A5191" s="10" t="n">
        <x:v>6821</x:v>
      </x:c>
      <x:c r="B5191" s="2" t="str">
        <x:v>4b806935787daf0da658</x:v>
      </x:c>
      <x:c r="C5191" s="2" t="str">
        <x:v>Tp Hồ Chí Minh</x:v>
      </x:c>
      <x:c r="D5191" s="2" t="str">
        <x:v>Quận Bình Tân</x:v>
      </x:c>
      <x:c r="E5191" s="2" t="str">
        <x:v>other_unknown</x:v>
      </x:c>
      <x:c r="F5191" s="2" t="str">
        <x:v>sale_assumed</x:v>
      </x:c>
      <x:c r="G5191" s="11" t="n">
        <x:v>400</x:v>
      </x:c>
      <x:c r="H5191" s="12" t="n">
        <x:v>13000000000</x:v>
      </x:c>
      <x:c r="I5191" s="12" t="n">
        <x:v>32500000</x:v>
      </x:c>
      <x:c r="J5191" s="2" t="str">
        <x:v>total</x:v>
      </x:c>
      <x:c r="K5191" s="2" t="str">
        <x:v>top_level_area</x:v>
      </x:c>
      <x:c r="L5191" s="2" t="str">
        <x:v>property_type_inferred_from_title;transaction_assumed_sale_from_dataset_context;unknown_property_type</x:v>
      </x:c>
      <x:c r="M5191" s="10" t="n">
        <x:v>0</x:v>
      </x:c>
      <x:c r="N5191" s="10" t="n">
        <x:v>0</x:v>
      </x:c>
      <x:c r="O5191" s="2" t="str">
        <x:v>Tp Hồ Chí Minh|other_unknown</x:v>
      </x:c>
      <x:c r="P5191" s="10" t="n">
        <x:v>2</x:v>
      </x:c>
      <x:c r="Q5191" s="13" t="n">
        <x:f>IF(H5191="","",H5191/1000000000)</x:f>
        <x:v>13</x:v>
      </x:c>
      <x:c r="R5191" s="13" t="n">
        <x:f>IF(I5191="","",I5191/1000000)</x:f>
        <x:v>32.5</x:v>
      </x:c>
    </x:row>
    <x:row r="5192" ht="21" customHeight="1">
      <x:c r="A5192" s="10" t="n">
        <x:v>6824</x:v>
      </x:c>
      <x:c r="B5192" s="2" t="str">
        <x:v>330d76bf23aef935c928</x:v>
      </x:c>
      <x:c r="C5192" s="2" t="str">
        <x:v>Bình Dương</x:v>
      </x:c>
      <x:c r="D5192" s="2" t="str">
        <x:v>Thị xã Bến Cát</x:v>
      </x:c>
      <x:c r="E5192" s="2" t="str">
        <x:v>house</x:v>
      </x:c>
      <x:c r="F5192" s="2" t="str">
        <x:v>sale</x:v>
      </x:c>
      <x:c r="G5192" s="11" t="n">
        <x:v>100</x:v>
      </x:c>
      <x:c r="H5192" s="12" t="n">
        <x:v>1200000000</x:v>
      </x:c>
      <x:c r="I5192" s="12" t="n">
        <x:v>12000000</x:v>
      </x:c>
      <x:c r="J5192" s="2" t="str">
        <x:v>total</x:v>
      </x:c>
      <x:c r="K5192" s="2" t="str">
        <x:v>top_level_area</x:v>
      </x:c>
      <x:c r="L5192" s="2" t="str">
        <x:v>property_type_inferred_from_title</x:v>
      </x:c>
      <x:c r="M5192" s="10" t="n">
        <x:v>0</x:v>
      </x:c>
      <x:c r="N5192" s="10" t="n">
        <x:v>0</x:v>
      </x:c>
      <x:c r="O5192" s="2" t="str">
        <x:v>Bình Dương|house</x:v>
      </x:c>
      <x:c r="P5192" s="10" t="n">
        <x:v>2</x:v>
      </x:c>
      <x:c r="Q5192" s="13" t="n">
        <x:f>IF(H5192="","",H5192/1000000000)</x:f>
        <x:v>1.2</x:v>
      </x:c>
      <x:c r="R5192" s="13" t="n">
        <x:f>IF(I5192="","",I5192/1000000)</x:f>
        <x:v>12</x:v>
      </x:c>
    </x:row>
    <x:row r="5193" ht="21" customHeight="1">
      <x:c r="A5193" s="10" t="n">
        <x:v>6825</x:v>
      </x:c>
      <x:c r="B5193" s="2" t="str">
        <x:v>a5525445078c7b8340de</x:v>
      </x:c>
      <x:c r="C5193" s="2" t="str">
        <x:v>Sóc Trăng</x:v>
      </x:c>
      <x:c r="D5193" s="2" t="str">
        <x:v>Thành phố Sóc Trăng</x:v>
      </x:c>
      <x:c r="E5193" s="2" t="str">
        <x:v>land</x:v>
      </x:c>
      <x:c r="F5193" s="2" t="str">
        <x:v>sale_assumed</x:v>
      </x:c>
      <x:c r="G5193" s="11" t="n">
        <x:v>300</x:v>
      </x:c>
      <x:c r="H5193" s="12" t="n">
        <x:v>2933000000</x:v>
      </x:c>
      <x:c r="I5193" s="12" t="n">
        <x:v>9776666.666666666</x:v>
      </x:c>
      <x:c r="J5193" s="2" t="str">
        <x:v>total</x:v>
      </x:c>
      <x:c r="K5193" s="2" t="str">
        <x:v>top_level_area</x:v>
      </x:c>
      <x:c r="L5193" s="2" t="str">
        <x:v>property_type_inferred_from_title;transaction_assumed_sale_from_dataset_context</x:v>
      </x:c>
      <x:c r="M5193" s="10" t="n">
        <x:v>0</x:v>
      </x:c>
      <x:c r="N5193" s="10" t="n">
        <x:v>0</x:v>
      </x:c>
      <x:c r="O5193" s="2" t="str">
        <x:v>land</x:v>
      </x:c>
      <x:c r="P5193" s="10" t="n">
        <x:v>1</x:v>
      </x:c>
      <x:c r="Q5193" s="13" t="n">
        <x:f>IF(H5193="","",H5193/1000000000)</x:f>
        <x:v>2.933</x:v>
      </x:c>
      <x:c r="R5193" s="13" t="n">
        <x:f>IF(I5193="","",I5193/1000000)</x:f>
        <x:v>9.776666666666666</x:v>
      </x:c>
    </x:row>
    <x:row r="5194" ht="21" customHeight="1">
      <x:c r="A5194" s="10" t="n">
        <x:v>6826</x:v>
      </x:c>
      <x:c r="B5194" s="2" t="str">
        <x:v>065b4e4ac324c9ef675d</x:v>
      </x:c>
      <x:c r="C5194" s="2" t="str">
        <x:v>Tp Hồ Chí Minh</x:v>
      </x:c>
      <x:c r="D5194" s="2" t="str">
        <x:v>Quận 7</x:v>
      </x:c>
      <x:c r="E5194" s="2" t="str">
        <x:v>house</x:v>
      </x:c>
      <x:c r="F5194" s="2" t="str">
        <x:v>sale_assumed</x:v>
      </x:c>
      <x:c r="G5194" s="11" t="n">
        <x:v>80</x:v>
      </x:c>
      <x:c r="H5194" s="12" t="n">
        <x:v>5550000000</x:v>
      </x:c>
      <x:c r="I5194" s="12" t="n">
        <x:v>69375000</x:v>
      </x:c>
      <x:c r="J5194" s="2" t="str">
        <x:v>total</x:v>
      </x:c>
      <x:c r="K5194" s="2" t="str">
        <x:v>top_level_area</x:v>
      </x:c>
      <x:c r="L5194" s="2" t="str">
        <x:v>property_type_inferred_from_title;transaction_assumed_sale_from_dataset_context</x:v>
      </x:c>
      <x:c r="M5194" s="10" t="n">
        <x:v>0</x:v>
      </x:c>
      <x:c r="N5194" s="10" t="n">
        <x:v>0</x:v>
      </x:c>
      <x:c r="O5194" s="2" t="str">
        <x:v>Tp Hồ Chí Minh|house</x:v>
      </x:c>
      <x:c r="P5194" s="10" t="n">
        <x:v>2</x:v>
      </x:c>
      <x:c r="Q5194" s="13" t="n">
        <x:f>IF(H5194="","",H5194/1000000000)</x:f>
        <x:v>5.55</x:v>
      </x:c>
      <x:c r="R5194" s="13" t="n">
        <x:f>IF(I5194="","",I5194/1000000)</x:f>
        <x:v>69.375</x:v>
      </x:c>
    </x:row>
    <x:row r="5195" ht="21" customHeight="1">
      <x:c r="A5195" s="10" t="n">
        <x:v>6827</x:v>
      </x:c>
      <x:c r="B5195" s="2" t="str">
        <x:v>fcbd17c74d3f6382e02f</x:v>
      </x:c>
      <x:c r="C5195" s="2" t="str">
        <x:v>Tp Hồ Chí Minh</x:v>
      </x:c>
      <x:c r="D5195" s="2" t="str">
        <x:v>Quận Thủ Đức</x:v>
      </x:c>
      <x:c r="E5195" s="2" t="str">
        <x:v>house</x:v>
      </x:c>
      <x:c r="F5195" s="2" t="str">
        <x:v>sale</x:v>
      </x:c>
      <x:c r="G5195" s="11" t="n">
        <x:v>67</x:v>
      </x:c>
      <x:c r="H5195" s="12" t="n">
        <x:v>1190000000</x:v>
      </x:c>
      <x:c r="I5195" s="12" t="n">
        <x:v>17761194.029850747</x:v>
      </x:c>
      <x:c r="J5195" s="2" t="str">
        <x:v>total</x:v>
      </x:c>
      <x:c r="K5195" s="2" t="str">
        <x:v>top_level_area</x:v>
      </x:c>
      <x:c r="L5195" s="2" t="str">
        <x:v>property_type_inferred_from_title</x:v>
      </x:c>
      <x:c r="M5195" s="10" t="n">
        <x:v>0</x:v>
      </x:c>
      <x:c r="N5195" s="10" t="n">
        <x:v>0</x:v>
      </x:c>
      <x:c r="O5195" s="2" t="str">
        <x:v>Tp Hồ Chí Minh|house</x:v>
      </x:c>
      <x:c r="P5195" s="10" t="n">
        <x:v>2</x:v>
      </x:c>
      <x:c r="Q5195" s="13" t="n">
        <x:f>IF(H5195="","",H5195/1000000000)</x:f>
        <x:v>1.19</x:v>
      </x:c>
      <x:c r="R5195" s="13" t="n">
        <x:f>IF(I5195="","",I5195/1000000)</x:f>
        <x:v>17.76119402985075</x:v>
      </x:c>
    </x:row>
    <x:row r="5196" ht="21" customHeight="1">
      <x:c r="A5196" s="10" t="n">
        <x:v>6828</x:v>
      </x:c>
      <x:c r="B5196" s="2" t="str">
        <x:v>35a758bd27bd47d3617c</x:v>
      </x:c>
      <x:c r="C5196" s="2" t="str">
        <x:v>Tp Hồ Chí Minh</x:v>
      </x:c>
      <x:c r="D5196" s="2" t="str">
        <x:v>Huyện Hóc Môn</x:v>
      </x:c>
      <x:c r="E5196" s="2" t="str">
        <x:v>house</x:v>
      </x:c>
      <x:c r="F5196" s="2" t="str">
        <x:v>sale</x:v>
      </x:c>
      <x:c r="G5196" s="11" t="n">
        <x:v>50</x:v>
      </x:c>
      <x:c r="H5196" s="12" t="n">
        <x:v>290000000</x:v>
      </x:c>
      <x:c r="I5196" s="12" t="n">
        <x:v>5800000</x:v>
      </x:c>
      <x:c r="J5196" s="2" t="str">
        <x:v>total</x:v>
      </x:c>
      <x:c r="K5196" s="2" t="str">
        <x:v>top_level_area</x:v>
      </x:c>
      <x:c r="L5196" s="2" t="str">
        <x:v>property_type_inferred_from_title</x:v>
      </x:c>
      <x:c r="M5196" s="10" t="n">
        <x:v>0</x:v>
      </x:c>
      <x:c r="N5196" s="10" t="n">
        <x:v>0</x:v>
      </x:c>
      <x:c r="O5196" s="2" t="str">
        <x:v>Tp Hồ Chí Minh|house</x:v>
      </x:c>
      <x:c r="P5196" s="10" t="n">
        <x:v>2</x:v>
      </x:c>
      <x:c r="Q5196" s="13" t="n">
        <x:f>IF(H5196="","",H5196/1000000000)</x:f>
        <x:v>0.29</x:v>
      </x:c>
      <x:c r="R5196" s="13" t="n">
        <x:f>IF(I5196="","",I5196/1000000)</x:f>
        <x:v>5.8</x:v>
      </x:c>
    </x:row>
    <x:row r="5197" ht="21" customHeight="1">
      <x:c r="A5197" s="10" t="n">
        <x:v>6829</x:v>
      </x:c>
      <x:c r="B5197" s="2" t="str">
        <x:v>eb0fa5ee89770e774c1e</x:v>
      </x:c>
      <x:c r="C5197" s="2" t="str">
        <x:v>Tp Hồ Chí Minh</x:v>
      </x:c>
      <x:c r="D5197" s="2" t="str">
        <x:v>Quận 7</x:v>
      </x:c>
      <x:c r="E5197" s="2" t="str">
        <x:v>house</x:v>
      </x:c>
      <x:c r="F5197" s="2" t="str">
        <x:v>sale_assumed</x:v>
      </x:c>
      <x:c r="G5197" s="11" t="n">
        <x:v>56</x:v>
      </x:c>
      <x:c r="H5197" s="12" t="n">
        <x:v>4700000000</x:v>
      </x:c>
      <x:c r="I5197" s="12" t="n">
        <x:v>83928571.42857143</x:v>
      </x:c>
      <x:c r="J5197" s="2" t="str">
        <x:v>total</x:v>
      </x:c>
      <x:c r="K5197" s="2" t="str">
        <x:v>top_level_area</x:v>
      </x:c>
      <x:c r="L5197" s="2" t="str">
        <x:v>property_type_inferred_from_title;transaction_assumed_sale_from_dataset_context</x:v>
      </x:c>
      <x:c r="M5197" s="10" t="n">
        <x:v>0</x:v>
      </x:c>
      <x:c r="N5197" s="10" t="n">
        <x:v>0</x:v>
      </x:c>
      <x:c r="O5197" s="2" t="str">
        <x:v>Tp Hồ Chí Minh|house</x:v>
      </x:c>
      <x:c r="P5197" s="10" t="n">
        <x:v>2</x:v>
      </x:c>
      <x:c r="Q5197" s="13" t="n">
        <x:f>IF(H5197="","",H5197/1000000000)</x:f>
        <x:v>4.7</x:v>
      </x:c>
      <x:c r="R5197" s="13" t="n">
        <x:f>IF(I5197="","",I5197/1000000)</x:f>
        <x:v>83.92857142857143</x:v>
      </x:c>
    </x:row>
    <x:row r="5198" ht="21" customHeight="1">
      <x:c r="A5198" s="10" t="n">
        <x:v>6830</x:v>
      </x:c>
      <x:c r="B5198" s="2" t="str">
        <x:v>2638ea565fb2b20816d6</x:v>
      </x:c>
      <x:c r="C5198" s="2" t="str">
        <x:v>Lâm Đồng</x:v>
      </x:c>
      <x:c r="D5198" s="2" t="str">
        <x:v>Huyện Lâm Hà</x:v>
      </x:c>
      <x:c r="E5198" s="2" t="str">
        <x:v>land</x:v>
      </x:c>
      <x:c r="F5198" s="2" t="str">
        <x:v>sale_assumed</x:v>
      </x:c>
      <x:c r="G5198" s="11" t="n">
        <x:v>175</x:v>
      </x:c>
      <x:c r="H5198" s="12" t="n">
        <x:v>260000000</x:v>
      </x:c>
      <x:c r="I5198" s="12" t="n">
        <x:v>1485714.2857142857</x:v>
      </x:c>
      <x:c r="J5198" s="2" t="str">
        <x:v>total</x:v>
      </x:c>
      <x:c r="K5198" s="2" t="str">
        <x:v>top_level_area</x:v>
      </x:c>
      <x:c r="L5198" s="2" t="str">
        <x:v>property_type_inferred_from_title;transaction_assumed_sale_from_dataset_context</x:v>
      </x:c>
      <x:c r="M5198" s="10" t="n">
        <x:v>0</x:v>
      </x:c>
      <x:c r="N5198" s="10" t="n">
        <x:v>0</x:v>
      </x:c>
      <x:c r="O5198" s="2" t="str">
        <x:v>Lâm Đồng|land</x:v>
      </x:c>
      <x:c r="P5198" s="10" t="n">
        <x:v>1</x:v>
      </x:c>
      <x:c r="Q5198" s="13" t="n">
        <x:f>IF(H5198="","",H5198/1000000000)</x:f>
        <x:v>0.26</x:v>
      </x:c>
      <x:c r="R5198" s="13" t="n">
        <x:f>IF(I5198="","",I5198/1000000)</x:f>
        <x:v>1.4857142857142858</x:v>
      </x:c>
    </x:row>
    <x:row r="5199" ht="21" customHeight="1">
      <x:c r="A5199" s="10" t="n">
        <x:v>6831</x:v>
      </x:c>
      <x:c r="B5199" s="2" t="str">
        <x:v>7ba559dac5be1f24c3c8</x:v>
      </x:c>
      <x:c r="C5199" s="2" t="str">
        <x:v>Long An</x:v>
      </x:c>
      <x:c r="D5199" s="2" t="str">
        <x:v>Huyện Đức Hòa</x:v>
      </x:c>
      <x:c r="E5199" s="2" t="str">
        <x:v>house</x:v>
      </x:c>
      <x:c r="F5199" s="2" t="str">
        <x:v>sale_assumed</x:v>
      </x:c>
      <x:c r="G5199" s="11" t="n">
        <x:v>90</x:v>
      </x:c>
      <x:c r="H5199" s="12" t="n">
        <x:v>4200000000</x:v>
      </x:c>
      <x:c r="I5199" s="12" t="n">
        <x:v>46666666.666666664</x:v>
      </x:c>
      <x:c r="J5199" s="2" t="str">
        <x:v>total</x:v>
      </x:c>
      <x:c r="K5199" s="2" t="str">
        <x:v>top_level_area</x:v>
      </x:c>
      <x:c r="L5199" s="2" t="str">
        <x:v>property_type_inferred_from_title;transaction_assumed_sale_from_dataset_context</x:v>
      </x:c>
      <x:c r="M5199" s="10" t="n">
        <x:v>0</x:v>
      </x:c>
      <x:c r="N5199" s="10" t="n">
        <x:v>1</x:v>
      </x:c>
      <x:c r="O5199" s="2" t="str">
        <x:v>Long An|house</x:v>
      </x:c>
      <x:c r="P5199" s="10" t="n">
        <x:v>-1</x:v>
      </x:c>
      <x:c r="Q5199" s="13" t="n">
        <x:f>IF(H5199="","",H5199/1000000000)</x:f>
        <x:v>4.2</x:v>
      </x:c>
      <x:c r="R5199" s="13" t="n">
        <x:f>IF(I5199="","",I5199/1000000)</x:f>
        <x:v>46.666666666666664</x:v>
      </x:c>
    </x:row>
    <x:row r="5200" ht="21" customHeight="1">
      <x:c r="A5200" s="10" t="n">
        <x:v>6832</x:v>
      </x:c>
      <x:c r="B5200" s="2" t="str">
        <x:v>6ff478f5b397ab134c1b</x:v>
      </x:c>
      <x:c r="C5200" s="2" t="str">
        <x:v>Tp Hồ Chí Minh</x:v>
      </x:c>
      <x:c r="D5200" s="2" t="str">
        <x:v>Huyện Củ Chi</x:v>
      </x:c>
      <x:c r="E5200" s="2" t="str">
        <x:v>land</x:v>
      </x:c>
      <x:c r="F5200" s="2" t="str">
        <x:v>sale</x:v>
      </x:c>
      <x:c r="G5200" s="11" t="n">
        <x:v>633</x:v>
      </x:c>
      <x:c r="H5200" s="12" t="n">
        <x:v>2450000000</x:v>
      </x:c>
      <x:c r="I5200" s="12" t="n">
        <x:v>3870458.1358609796</x:v>
      </x:c>
      <x:c r="J5200" s="2" t="str">
        <x:v>total</x:v>
      </x:c>
      <x:c r="K5200" s="2" t="str">
        <x:v>top_level_area</x:v>
      </x:c>
      <x:c r="L5200" s="2" t="str">
        <x:v>property_type_inferred_from_title</x:v>
      </x:c>
      <x:c r="M5200" s="10" t="n">
        <x:v>0</x:v>
      </x:c>
      <x:c r="N5200" s="10" t="n">
        <x:v>0</x:v>
      </x:c>
      <x:c r="O5200" s="2" t="str">
        <x:v>Tp Hồ Chí Minh|land</x:v>
      </x:c>
      <x:c r="P5200" s="10" t="n">
        <x:v>1</x:v>
      </x:c>
      <x:c r="Q5200" s="13" t="n">
        <x:f>IF(H5200="","",H5200/1000000000)</x:f>
        <x:v>2.45</x:v>
      </x:c>
      <x:c r="R5200" s="13" t="n">
        <x:f>IF(I5200="","",I5200/1000000)</x:f>
        <x:v>3.8704581358609795</x:v>
      </x:c>
    </x:row>
    <x:row r="5201" ht="21" customHeight="1">
      <x:c r="A5201" s="10" t="n">
        <x:v>6833</x:v>
      </x:c>
      <x:c r="B5201" s="2" t="str">
        <x:v>0c440b573353c7041d6b</x:v>
      </x:c>
      <x:c r="C5201" s="2" t="str">
        <x:v>Cần Thơ</x:v>
      </x:c>
      <x:c r="D5201" s="2" t="str">
        <x:v>Quận Cái Răng</x:v>
      </x:c>
      <x:c r="E5201" s="2" t="str">
        <x:v>house</x:v>
      </x:c>
      <x:c r="F5201" s="2" t="str">
        <x:v>sale</x:v>
      </x:c>
      <x:c r="G5201" s="11" t="n">
        <x:v>100</x:v>
      </x:c>
      <x:c r="H5201" s="12" t="n">
        <x:v>5850000000</x:v>
      </x:c>
      <x:c r="I5201" s="12" t="n">
        <x:v>58500000</x:v>
      </x:c>
      <x:c r="J5201" s="2" t="str">
        <x:v>total</x:v>
      </x:c>
      <x:c r="K5201" s="2" t="str">
        <x:v>top_level_area</x:v>
      </x:c>
      <x:c r="L5201" s="2" t="str">
        <x:v>property_type_inferred_from_title</x:v>
      </x:c>
      <x:c r="M5201" s="10" t="n">
        <x:v>0</x:v>
      </x:c>
      <x:c r="N5201" s="10" t="n">
        <x:v>0</x:v>
      </x:c>
      <x:c r="O5201" s="2" t="str">
        <x:v>Cần Thơ|house</x:v>
      </x:c>
      <x:c r="P5201" s="10" t="n">
        <x:v>2</x:v>
      </x:c>
      <x:c r="Q5201" s="13" t="n">
        <x:f>IF(H5201="","",H5201/1000000000)</x:f>
        <x:v>5.85</x:v>
      </x:c>
      <x:c r="R5201" s="13" t="n">
        <x:f>IF(I5201="","",I5201/1000000)</x:f>
        <x:v>58.5</x:v>
      </x:c>
    </x:row>
    <x:row r="5202" ht="21" customHeight="1">
      <x:c r="A5202" s="10" t="n">
        <x:v>6834</x:v>
      </x:c>
      <x:c r="B5202" s="2" t="str">
        <x:v>a3b7aa6a923fb3322616</x:v>
      </x:c>
      <x:c r="C5202" s="2" t="str">
        <x:v>Tp Hồ Chí Minh</x:v>
      </x:c>
      <x:c r="D5202" s="2" t="str">
        <x:v>Quận 2</x:v>
      </x:c>
      <x:c r="E5202" s="2" t="str">
        <x:v>other_unknown</x:v>
      </x:c>
      <x:c r="F5202" s="2" t="str">
        <x:v>sale_assumed</x:v>
      </x:c>
      <x:c r="G5202" s="11" t="n">
        <x:v>73</x:v>
      </x:c>
      <x:c r="H5202" s="12" t="n">
        <x:v>3100000000</x:v>
      </x:c>
      <x:c r="I5202" s="12" t="n">
        <x:v>42465753.42465753</x:v>
      </x:c>
      <x:c r="J5202" s="2" t="str">
        <x:v>total</x:v>
      </x:c>
      <x:c r="K5202" s="2" t="str">
        <x:v>top_level_area</x:v>
      </x:c>
      <x:c r="L5202" s="2" t="str">
        <x:v>property_type_inferred_from_title;transaction_assumed_sale_from_dataset_context;unknown_property_type</x:v>
      </x:c>
      <x:c r="M5202" s="10" t="n">
        <x:v>0</x:v>
      </x:c>
      <x:c r="N5202" s="10" t="n">
        <x:v>0</x:v>
      </x:c>
      <x:c r="O5202" s="2" t="str">
        <x:v>Tp Hồ Chí Minh|other_unknown</x:v>
      </x:c>
      <x:c r="P5202" s="10" t="n">
        <x:v>2</x:v>
      </x:c>
      <x:c r="Q5202" s="13" t="n">
        <x:f>IF(H5202="","",H5202/1000000000)</x:f>
        <x:v>3.1</x:v>
      </x:c>
      <x:c r="R5202" s="13" t="n">
        <x:f>IF(I5202="","",I5202/1000000)</x:f>
        <x:v>42.46575342465753</x:v>
      </x:c>
    </x:row>
    <x:row r="5203" ht="21" customHeight="1">
      <x:c r="A5203" s="10" t="n">
        <x:v>6835</x:v>
      </x:c>
      <x:c r="B5203" s="2" t="str">
        <x:v>0ad9f91375a6aeba989a</x:v>
      </x:c>
      <x:c r="C5203" s="2" t="str">
        <x:v>Tp Hồ Chí Minh</x:v>
      </x:c>
      <x:c r="D5203" s="2" t="str">
        <x:v>Huyện Hóc Môn</x:v>
      </x:c>
      <x:c r="E5203" s="2" t="str">
        <x:v>other_unknown</x:v>
      </x:c>
      <x:c r="F5203" s="2" t="str">
        <x:v>sale_assumed</x:v>
      </x:c>
      <x:c r="G5203" s="11" t="n">
        <x:v>40</x:v>
      </x:c>
      <x:c r="H5203" s="12" t="n">
        <x:v>130000000</x:v>
      </x:c>
      <x:c r="I5203" s="12" t="n">
        <x:v>3250000</x:v>
      </x:c>
      <x:c r="J5203" s="2" t="str">
        <x:v>total</x:v>
      </x:c>
      <x:c r="K5203" s="2" t="str">
        <x:v>top_level_area</x:v>
      </x:c>
      <x:c r="L5203" s="2" t="str">
        <x:v>property_type_inferred_from_title;transaction_assumed_sale_from_dataset_context;unknown_property_type</x:v>
      </x:c>
      <x:c r="M5203" s="10" t="n">
        <x:v>0</x:v>
      </x:c>
      <x:c r="N5203" s="10" t="n">
        <x:v>0</x:v>
      </x:c>
      <x:c r="O5203" s="2" t="str">
        <x:v>Tp Hồ Chí Minh|other_unknown</x:v>
      </x:c>
      <x:c r="P5203" s="10" t="n">
        <x:v>2</x:v>
      </x:c>
      <x:c r="Q5203" s="13" t="n">
        <x:f>IF(H5203="","",H5203/1000000000)</x:f>
        <x:v>0.13</x:v>
      </x:c>
      <x:c r="R5203" s="13" t="n">
        <x:f>IF(I5203="","",I5203/1000000)</x:f>
        <x:v>3.25</x:v>
      </x:c>
    </x:row>
    <x:row r="5204" ht="21" customHeight="1">
      <x:c r="A5204" s="10" t="n">
        <x:v>6836</x:v>
      </x:c>
      <x:c r="B5204" s="2" t="str">
        <x:v>281207e95cc625dcd191</x:v>
      </x:c>
      <x:c r="C5204" s="2" t="str">
        <x:v>Hà Nội</x:v>
      </x:c>
      <x:c r="D5204" s="2" t="str">
        <x:v>Quận Đống Đa</x:v>
      </x:c>
      <x:c r="E5204" s="2" t="str">
        <x:v>apartment</x:v>
      </x:c>
      <x:c r="F5204" s="2" t="str">
        <x:v>sale_assumed</x:v>
      </x:c>
      <x:c r="G5204" s="11" t="n">
        <x:v>33</x:v>
      </x:c>
      <x:c r="H5204" s="12" t="n">
        <x:v>600000000</x:v>
      </x:c>
      <x:c r="I5204" s="12" t="n">
        <x:v>18181818.181818184</x:v>
      </x:c>
      <x:c r="J5204" s="2" t="str">
        <x:v>total</x:v>
      </x:c>
      <x:c r="K5204" s="2" t="str">
        <x:v>top_level_area</x:v>
      </x:c>
      <x:c r="L5204" s="2" t="str">
        <x:v>property_type_inferred_from_title;transaction_assumed_sale_from_dataset_context</x:v>
      </x:c>
      <x:c r="M5204" s="10" t="n">
        <x:v>0</x:v>
      </x:c>
      <x:c r="N5204" s="10" t="n">
        <x:v>0</x:v>
      </x:c>
      <x:c r="O5204" s="2" t="str">
        <x:v>Hà Nội|apartment</x:v>
      </x:c>
      <x:c r="P5204" s="10" t="n">
        <x:v>2</x:v>
      </x:c>
      <x:c r="Q5204" s="13" t="n">
        <x:f>IF(H5204="","",H5204/1000000000)</x:f>
        <x:v>0.6</x:v>
      </x:c>
      <x:c r="R5204" s="13" t="n">
        <x:f>IF(I5204="","",I5204/1000000)</x:f>
        <x:v>18.181818181818183</x:v>
      </x:c>
    </x:row>
    <x:row r="5205" ht="21" customHeight="1">
      <x:c r="A5205" s="10" t="n">
        <x:v>6837</x:v>
      </x:c>
      <x:c r="B5205" s="2" t="str">
        <x:v>04aa5b1c58579d385d91</x:v>
      </x:c>
      <x:c r="C5205" s="2" t="str">
        <x:v>Đồng Nai</x:v>
      </x:c>
      <x:c r="D5205" s="2" t="str">
        <x:v>Thành phố Biên Hòa</x:v>
      </x:c>
      <x:c r="E5205" s="2" t="str">
        <x:v>land</x:v>
      </x:c>
      <x:c r="F5205" s="2" t="str">
        <x:v>sale_assumed</x:v>
      </x:c>
      <x:c r="G5205" s="11" t="n">
        <x:v>70</x:v>
      </x:c>
      <x:c r="H5205" s="12" t="n">
        <x:v>1550000000</x:v>
      </x:c>
      <x:c r="I5205" s="12" t="n">
        <x:v>22142857.14285714</x:v>
      </x:c>
      <x:c r="J5205" s="2" t="str">
        <x:v>total</x:v>
      </x:c>
      <x:c r="K5205" s="2" t="str">
        <x:v>top_level_area</x:v>
      </x:c>
      <x:c r="L5205" s="2" t="str">
        <x:v>property_type_inferred_from_title;transaction_assumed_sale_from_dataset_context</x:v>
      </x:c>
      <x:c r="M5205" s="10" t="n">
        <x:v>0</x:v>
      </x:c>
      <x:c r="N5205" s="10" t="n">
        <x:v>1</x:v>
      </x:c>
      <x:c r="O5205" s="2" t="str">
        <x:v>Đồng Nai|land</x:v>
      </x:c>
      <x:c r="P5205" s="10" t="n">
        <x:v>-1</x:v>
      </x:c>
      <x:c r="Q5205" s="13" t="n">
        <x:f>IF(H5205="","",H5205/1000000000)</x:f>
        <x:v>1.55</x:v>
      </x:c>
      <x:c r="R5205" s="13" t="n">
        <x:f>IF(I5205="","",I5205/1000000)</x:f>
        <x:v>22.142857142857142</x:v>
      </x:c>
    </x:row>
    <x:row r="5206" ht="21" customHeight="1">
      <x:c r="A5206" s="10" t="n">
        <x:v>6838</x:v>
      </x:c>
      <x:c r="B5206" s="2" t="str">
        <x:v>c3dba9f2055e00653f21</x:v>
      </x:c>
      <x:c r="C5206" s="2" t="str">
        <x:v>Bình Dương</x:v>
      </x:c>
      <x:c r="D5206" s="2" t="str">
        <x:v>Thị xã Dĩ An</x:v>
      </x:c>
      <x:c r="E5206" s="2" t="str">
        <x:v>house</x:v>
      </x:c>
      <x:c r="F5206" s="2" t="str">
        <x:v>sale</x:v>
      </x:c>
      <x:c r="G5206" s="11" t="n">
        <x:v>141</x:v>
      </x:c>
      <x:c r="H5206" s="12" t="n">
        <x:v>2940000000</x:v>
      </x:c>
      <x:c r="I5206" s="12" t="n">
        <x:v>20851063.829787236</x:v>
      </x:c>
      <x:c r="J5206" s="2" t="str">
        <x:v>total</x:v>
      </x:c>
      <x:c r="K5206" s="2" t="str">
        <x:v>top_level_price_embedded_area</x:v>
      </x:c>
      <x:c r="L5206" s="2" t="str">
        <x:v>area_recovered_from_price_text;property_type_inferred_from_title</x:v>
      </x:c>
      <x:c r="M5206" s="10" t="n">
        <x:v>0</x:v>
      </x:c>
      <x:c r="N5206" s="10" t="n">
        <x:v>0</x:v>
      </x:c>
      <x:c r="O5206" s="2" t="str">
        <x:v>Bình Dương|house</x:v>
      </x:c>
      <x:c r="P5206" s="10" t="n">
        <x:v>2</x:v>
      </x:c>
      <x:c r="Q5206" s="13" t="n">
        <x:f>IF(H5206="","",H5206/1000000000)</x:f>
        <x:v>2.94</x:v>
      </x:c>
      <x:c r="R5206" s="13" t="n">
        <x:f>IF(I5206="","",I5206/1000000)</x:f>
        <x:v>20.851063829787236</x:v>
      </x:c>
    </x:row>
    <x:row r="5207" ht="21" customHeight="1">
      <x:c r="A5207" s="10" t="n">
        <x:v>6839</x:v>
      </x:c>
      <x:c r="B5207" s="2" t="str">
        <x:v>524c0321af440de991b2</x:v>
      </x:c>
      <x:c r="C5207" s="2" t="str">
        <x:v>Tp Hồ Chí Minh</x:v>
      </x:c>
      <x:c r="D5207" s="2" t="str">
        <x:v>Quận 12</x:v>
      </x:c>
      <x:c r="E5207" s="2" t="str">
        <x:v>house</x:v>
      </x:c>
      <x:c r="F5207" s="2" t="str">
        <x:v>sale_assumed</x:v>
      </x:c>
      <x:c r="G5207" s="11" t="n">
        <x:v>33</x:v>
      </x:c>
      <x:c r="H5207" s="12" t="n">
        <x:v>2250000000</x:v>
      </x:c>
      <x:c r="I5207" s="12" t="n">
        <x:v>68181818.18181819</x:v>
      </x:c>
      <x:c r="J5207" s="2" t="str">
        <x:v>total</x:v>
      </x:c>
      <x:c r="K5207" s="2" t="str">
        <x:v>top_level_area</x:v>
      </x:c>
      <x:c r="L5207" s="2" t="str">
        <x:v>property_type_inferred_from_title;transaction_assumed_sale_from_dataset_context</x:v>
      </x:c>
      <x:c r="M5207" s="10" t="n">
        <x:v>0</x:v>
      </x:c>
      <x:c r="N5207" s="10" t="n">
        <x:v>0</x:v>
      </x:c>
      <x:c r="O5207" s="2" t="str">
        <x:v>Tp Hồ Chí Minh|house</x:v>
      </x:c>
      <x:c r="P5207" s="10" t="n">
        <x:v>2</x:v>
      </x:c>
      <x:c r="Q5207" s="13" t="n">
        <x:f>IF(H5207="","",H5207/1000000000)</x:f>
        <x:v>2.25</x:v>
      </x:c>
      <x:c r="R5207" s="13" t="n">
        <x:f>IF(I5207="","",I5207/1000000)</x:f>
        <x:v>68.18181818181819</x:v>
      </x:c>
    </x:row>
    <x:row r="5208" ht="21" customHeight="1">
      <x:c r="A5208" s="10" t="n">
        <x:v>6840</x:v>
      </x:c>
      <x:c r="B5208" s="2" t="str">
        <x:v>e7c471d2ae71fc7bc44a</x:v>
      </x:c>
      <x:c r="C5208" s="2" t="str">
        <x:v>Tp Hồ Chí Minh</x:v>
      </x:c>
      <x:c r="D5208" s="2" t="str">
        <x:v>Quận 12</x:v>
      </x:c>
      <x:c r="E5208" s="2" t="str">
        <x:v>house</x:v>
      </x:c>
      <x:c r="F5208" s="2" t="str">
        <x:v>sale_assumed</x:v>
      </x:c>
      <x:c r="G5208" s="11" t="n">
        <x:v>51</x:v>
      </x:c>
      <x:c r="H5208" s="12" t="n">
        <x:v>3600000000</x:v>
      </x:c>
      <x:c r="I5208" s="12" t="n">
        <x:v>70588235.29411764</x:v>
      </x:c>
      <x:c r="J5208" s="2" t="str">
        <x:v>total</x:v>
      </x:c>
      <x:c r="K5208" s="2" t="str">
        <x:v>top_level_area</x:v>
      </x:c>
      <x:c r="L5208" s="2" t="str">
        <x:v>property_type_inferred_from_title;transaction_assumed_sale_from_dataset_context</x:v>
      </x:c>
      <x:c r="M5208" s="10" t="n">
        <x:v>0</x:v>
      </x:c>
      <x:c r="N5208" s="10" t="n">
        <x:v>0</x:v>
      </x:c>
      <x:c r="O5208" s="2" t="str">
        <x:v>Tp Hồ Chí Minh|house</x:v>
      </x:c>
      <x:c r="P5208" s="10" t="n">
        <x:v>2</x:v>
      </x:c>
      <x:c r="Q5208" s="13" t="n">
        <x:f>IF(H5208="","",H5208/1000000000)</x:f>
        <x:v>3.6</x:v>
      </x:c>
      <x:c r="R5208" s="13" t="n">
        <x:f>IF(I5208="","",I5208/1000000)</x:f>
        <x:v>70.58823529411764</x:v>
      </x:c>
    </x:row>
    <x:row r="5209" ht="21" customHeight="1">
      <x:c r="A5209" s="10" t="n">
        <x:v>6841</x:v>
      </x:c>
      <x:c r="B5209" s="2" t="str">
        <x:v>6913d43d8e05e6cbace3</x:v>
      </x:c>
      <x:c r="C5209" s="2" t="str">
        <x:v>Hà Nội</x:v>
      </x:c>
      <x:c r="D5209" s="2" t="str">
        <x:v>Quận Tây Hồ</x:v>
      </x:c>
      <x:c r="E5209" s="2" t="str">
        <x:v>house</x:v>
      </x:c>
      <x:c r="F5209" s="2" t="str">
        <x:v>sale</x:v>
      </x:c>
      <x:c r="G5209" s="11" t="n">
        <x:v>44</x:v>
      </x:c>
      <x:c r="H5209" s="12" t="n">
        <x:v>3450000000</x:v>
      </x:c>
      <x:c r="I5209" s="12" t="n">
        <x:v>78409090.9090909</x:v>
      </x:c>
      <x:c r="J5209" s="2" t="str">
        <x:v>total</x:v>
      </x:c>
      <x:c r="K5209" s="2" t="str">
        <x:v>top_level_area</x:v>
      </x:c>
      <x:c r="L5209" s="2" t="str">
        <x:v>property_type_inferred_from_title</x:v>
      </x:c>
      <x:c r="M5209" s="10" t="n">
        <x:v>0</x:v>
      </x:c>
      <x:c r="N5209" s="10" t="n">
        <x:v>0</x:v>
      </x:c>
      <x:c r="O5209" s="2" t="str">
        <x:v>Hà Nội|house</x:v>
      </x:c>
      <x:c r="P5209" s="10" t="n">
        <x:v>2</x:v>
      </x:c>
      <x:c r="Q5209" s="13" t="n">
        <x:f>IF(H5209="","",H5209/1000000000)</x:f>
        <x:v>3.45</x:v>
      </x:c>
      <x:c r="R5209" s="13" t="n">
        <x:f>IF(I5209="","",I5209/1000000)</x:f>
        <x:v>78.4090909090909</x:v>
      </x:c>
    </x:row>
    <x:row r="5210" ht="21" customHeight="1">
      <x:c r="A5210" s="10" t="n">
        <x:v>6842</x:v>
      </x:c>
      <x:c r="B5210" s="2" t="str">
        <x:v>6fbfa33e11acd2aca17d</x:v>
      </x:c>
      <x:c r="C5210" s="2" t="str">
        <x:v>Tp Hồ Chí Minh</x:v>
      </x:c>
      <x:c r="D5210" s="2" t="str">
        <x:v>Huyện Hóc Môn</x:v>
      </x:c>
      <x:c r="E5210" s="2" t="str">
        <x:v>house</x:v>
      </x:c>
      <x:c r="F5210" s="2" t="str">
        <x:v>sale_assumed</x:v>
      </x:c>
      <x:c r="G5210" s="11" t="n">
        <x:v>90</x:v>
      </x:c>
      <x:c r="H5210" s="12" t="n">
        <x:v>235000000</x:v>
      </x:c>
      <x:c r="I5210" s="12" t="n">
        <x:v>2611111.111111111</x:v>
      </x:c>
      <x:c r="J5210" s="2" t="str">
        <x:v>total</x:v>
      </x:c>
      <x:c r="K5210" s="2" t="str">
        <x:v>top_level_area</x:v>
      </x:c>
      <x:c r="L5210" s="2" t="str">
        <x:v>property_type_inferred_from_title;transaction_assumed_sale_from_dataset_context</x:v>
      </x:c>
      <x:c r="M5210" s="10" t="n">
        <x:v>0</x:v>
      </x:c>
      <x:c r="N5210" s="10" t="n">
        <x:v>0</x:v>
      </x:c>
      <x:c r="O5210" s="2" t="str">
        <x:v>Tp Hồ Chí Minh|house</x:v>
      </x:c>
      <x:c r="P5210" s="10" t="n">
        <x:v>2</x:v>
      </x:c>
      <x:c r="Q5210" s="13" t="n">
        <x:f>IF(H5210="","",H5210/1000000000)</x:f>
        <x:v>0.235</x:v>
      </x:c>
      <x:c r="R5210" s="13" t="n">
        <x:f>IF(I5210="","",I5210/1000000)</x:f>
        <x:v>2.611111111111111</x:v>
      </x:c>
    </x:row>
    <x:row r="5211" ht="21" customHeight="1">
      <x:c r="A5211" s="10" t="n">
        <x:v>6843</x:v>
      </x:c>
      <x:c r="B5211" s="2" t="str">
        <x:v>1670741b82674851a46e</x:v>
      </x:c>
      <x:c r="C5211" s="2" t="str">
        <x:v>Long An</x:v>
      </x:c>
      <x:c r="D5211" s="2" t="str">
        <x:v>Huyện Đức Hòa</x:v>
      </x:c>
      <x:c r="E5211" s="2" t="str">
        <x:v>land</x:v>
      </x:c>
      <x:c r="F5211" s="2" t="str">
        <x:v>sale_assumed</x:v>
      </x:c>
      <x:c r="G5211" s="11" t="n">
        <x:v>80</x:v>
      </x:c>
      <x:c r="H5211" s="12" t="n">
        <x:v>439000000</x:v>
      </x:c>
      <x:c r="I5211" s="12" t="n">
        <x:v>5487500</x:v>
      </x:c>
      <x:c r="J5211" s="2" t="str">
        <x:v>total</x:v>
      </x:c>
      <x:c r="K5211" s="2" t="str">
        <x:v>top_level_area</x:v>
      </x:c>
      <x:c r="L5211" s="2" t="str">
        <x:v>property_type_inferred_from_title;transaction_assumed_sale_from_dataset_context</x:v>
      </x:c>
      <x:c r="M5211" s="10" t="n">
        <x:v>0</x:v>
      </x:c>
      <x:c r="N5211" s="10" t="n">
        <x:v>0</x:v>
      </x:c>
      <x:c r="O5211" s="2" t="str">
        <x:v>Long An|land</x:v>
      </x:c>
      <x:c r="P5211" s="10" t="n">
        <x:v>2</x:v>
      </x:c>
      <x:c r="Q5211" s="13" t="n">
        <x:f>IF(H5211="","",H5211/1000000000)</x:f>
        <x:v>0.439</x:v>
      </x:c>
      <x:c r="R5211" s="13" t="n">
        <x:f>IF(I5211="","",I5211/1000000)</x:f>
        <x:v>5.4875</x:v>
      </x:c>
    </x:row>
    <x:row r="5212" ht="21" customHeight="1">
      <x:c r="A5212" s="10" t="n">
        <x:v>6848</x:v>
      </x:c>
      <x:c r="B5212" s="2" t="str">
        <x:v>7963a1a5fbcc26136746</x:v>
      </x:c>
      <x:c r="C5212" s="2" t="str">
        <x:v>Tp Hồ Chí Minh</x:v>
      </x:c>
      <x:c r="D5212" s="2" t="str">
        <x:v>Quận Tân Phú</x:v>
      </x:c>
      <x:c r="E5212" s="2" t="str">
        <x:v>house</x:v>
      </x:c>
      <x:c r="F5212" s="2" t="str">
        <x:v>sale</x:v>
      </x:c>
      <x:c r="G5212" s="11" t="n">
        <x:v>36</x:v>
      </x:c>
      <x:c r="H5212" s="12" t="n">
        <x:v>2800000000</x:v>
      </x:c>
      <x:c r="I5212" s="12" t="n">
        <x:v>77777777.77777778</x:v>
      </x:c>
      <x:c r="J5212" s="2" t="str">
        <x:v>total</x:v>
      </x:c>
      <x:c r="K5212" s="2" t="str">
        <x:v>top_level_area</x:v>
      </x:c>
      <x:c r="L5212" s="2" t="str">
        <x:v>property_type_inferred_from_title</x:v>
      </x:c>
      <x:c r="M5212" s="10" t="n">
        <x:v>0</x:v>
      </x:c>
      <x:c r="N5212" s="10" t="n">
        <x:v>0</x:v>
      </x:c>
      <x:c r="O5212" s="2" t="str">
        <x:v>Tp Hồ Chí Minh|house</x:v>
      </x:c>
      <x:c r="P5212" s="10" t="n">
        <x:v>2</x:v>
      </x:c>
      <x:c r="Q5212" s="13" t="n">
        <x:f>IF(H5212="","",H5212/1000000000)</x:f>
        <x:v>2.8</x:v>
      </x:c>
      <x:c r="R5212" s="13" t="n">
        <x:f>IF(I5212="","",I5212/1000000)</x:f>
        <x:v>77.77777777777777</x:v>
      </x:c>
    </x:row>
    <x:row r="5213" ht="21" customHeight="1">
      <x:c r="A5213" s="10" t="n">
        <x:v>6849</x:v>
      </x:c>
      <x:c r="B5213" s="2" t="str">
        <x:v>9cb56ce73d4e854b2f46</x:v>
      </x:c>
      <x:c r="C5213" s="2" t="str">
        <x:v>Cần Thơ</x:v>
      </x:c>
      <x:c r="D5213" s="2" t="str">
        <x:v>Quận Bình Thuỷ</x:v>
      </x:c>
      <x:c r="E5213" s="2" t="str">
        <x:v>land</x:v>
      </x:c>
      <x:c r="F5213" s="2" t="str">
        <x:v>sale</x:v>
      </x:c>
      <x:c r="G5213" s="11" t="n">
        <x:v>162</x:v>
      </x:c>
      <x:c r="H5213" s="12" t="n">
        <x:v>840000000</x:v>
      </x:c>
      <x:c r="I5213" s="12" t="n">
        <x:v>5185185.185185186</x:v>
      </x:c>
      <x:c r="J5213" s="2" t="str">
        <x:v>total</x:v>
      </x:c>
      <x:c r="K5213" s="2" t="str">
        <x:v>top_level_area</x:v>
      </x:c>
      <x:c r="L5213" s="2" t="str">
        <x:v>property_type_inferred_from_title</x:v>
      </x:c>
      <x:c r="M5213" s="10" t="n">
        <x:v>0</x:v>
      </x:c>
      <x:c r="N5213" s="10" t="n">
        <x:v>0</x:v>
      </x:c>
      <x:c r="O5213" s="2" t="str">
        <x:v>Cần Thơ|land</x:v>
      </x:c>
      <x:c r="P5213" s="10" t="n">
        <x:v>1</x:v>
      </x:c>
      <x:c r="Q5213" s="13" t="n">
        <x:f>IF(H5213="","",H5213/1000000000)</x:f>
        <x:v>0.84</x:v>
      </x:c>
      <x:c r="R5213" s="13" t="n">
        <x:f>IF(I5213="","",I5213/1000000)</x:f>
        <x:v>5.185185185185186</x:v>
      </x:c>
    </x:row>
    <x:row r="5214" ht="21" customHeight="1">
      <x:c r="A5214" s="10" t="n">
        <x:v>6850</x:v>
      </x:c>
      <x:c r="B5214" s="2" t="str">
        <x:v>ff8b84fc72dc415213b4</x:v>
      </x:c>
      <x:c r="C5214" s="2" t="str">
        <x:v>Tp Hồ Chí Minh</x:v>
      </x:c>
      <x:c r="D5214" s="2" t="str">
        <x:v>Quận 9</x:v>
      </x:c>
      <x:c r="E5214" s="2" t="str">
        <x:v>other_unknown</x:v>
      </x:c>
      <x:c r="F5214" s="2" t="str">
        <x:v>sale</x:v>
      </x:c>
      <x:c r="G5214" s="11" t="n">
        <x:v>232.4</x:v>
      </x:c>
      <x:c r="H5214" s="12" t="n">
        <x:v>9600000000</x:v>
      </x:c>
      <x:c r="I5214" s="12" t="n">
        <x:v>41308089.50086059</x:v>
      </x:c>
      <x:c r="J5214" s="2" t="str">
        <x:v>total</x:v>
      </x:c>
      <x:c r="K5214" s="2" t="str">
        <x:v>top_level_area</x:v>
      </x:c>
      <x:c r="L5214" s="2" t="str">
        <x:v>property_type_inferred_from_title;unknown_property_type</x:v>
      </x:c>
      <x:c r="M5214" s="10" t="n">
        <x:v>0</x:v>
      </x:c>
      <x:c r="N5214" s="10" t="n">
        <x:v>0</x:v>
      </x:c>
      <x:c r="O5214" s="2" t="str">
        <x:v>Tp Hồ Chí Minh|other_unknown</x:v>
      </x:c>
      <x:c r="P5214" s="10" t="n">
        <x:v>2</x:v>
      </x:c>
      <x:c r="Q5214" s="13" t="n">
        <x:f>IF(H5214="","",H5214/1000000000)</x:f>
        <x:v>9.6</x:v>
      </x:c>
      <x:c r="R5214" s="13" t="n">
        <x:f>IF(I5214="","",I5214/1000000)</x:f>
        <x:v>41.30808950086059</x:v>
      </x:c>
    </x:row>
    <x:row r="5215" ht="21" customHeight="1">
      <x:c r="A5215" s="10" t="n">
        <x:v>6851</x:v>
      </x:c>
      <x:c r="B5215" s="2" t="str">
        <x:v>9b3384fe02425d55e35b</x:v>
      </x:c>
      <x:c r="C5215" s="2" t="str">
        <x:v>Tp Hồ Chí Minh</x:v>
      </x:c>
      <x:c r="D5215" s="2" t="str">
        <x:v>Huyện Củ Chi</x:v>
      </x:c>
      <x:c r="E5215" s="2" t="str">
        <x:v>house</x:v>
      </x:c>
      <x:c r="F5215" s="2" t="str">
        <x:v>sale</x:v>
      </x:c>
      <x:c r="G5215" s="11" t="n">
        <x:v>48</x:v>
      </x:c>
      <x:c r="H5215" s="12" t="n">
        <x:v>990000000</x:v>
      </x:c>
      <x:c r="I5215" s="12" t="n">
        <x:v>20625000</x:v>
      </x:c>
      <x:c r="J5215" s="2" t="str">
        <x:v>total</x:v>
      </x:c>
      <x:c r="K5215" s="2" t="str">
        <x:v>top_level_area</x:v>
      </x:c>
      <x:c r="L5215" s="2" t="str">
        <x:v>property_type_inferred_from_title</x:v>
      </x:c>
      <x:c r="M5215" s="10" t="n">
        <x:v>0</x:v>
      </x:c>
      <x:c r="N5215" s="10" t="n">
        <x:v>0</x:v>
      </x:c>
      <x:c r="O5215" s="2" t="str">
        <x:v>Tp Hồ Chí Minh|house</x:v>
      </x:c>
      <x:c r="P5215" s="10" t="n">
        <x:v>2</x:v>
      </x:c>
      <x:c r="Q5215" s="13" t="n">
        <x:f>IF(H5215="","",H5215/1000000000)</x:f>
        <x:v>0.99</x:v>
      </x:c>
      <x:c r="R5215" s="13" t="n">
        <x:f>IF(I5215="","",I5215/1000000)</x:f>
        <x:v>20.625</x:v>
      </x:c>
    </x:row>
    <x:row r="5216" ht="21" customHeight="1">
      <x:c r="A5216" s="10" t="n">
        <x:v>6852</x:v>
      </x:c>
      <x:c r="B5216" s="2" t="str">
        <x:v>ab0fbfe529ca8b5f550c</x:v>
      </x:c>
      <x:c r="C5216" s="2" t="str">
        <x:v>Tp Hồ Chí Minh</x:v>
      </x:c>
      <x:c r="D5216" s="2" t="str">
        <x:v>Quận Bình Thạnh</x:v>
      </x:c>
      <x:c r="E5216" s="2" t="str">
        <x:v>house</x:v>
      </x:c>
      <x:c r="F5216" s="2" t="str">
        <x:v>sale</x:v>
      </x:c>
      <x:c r="G5216" s="11" t="n">
        <x:v>65</x:v>
      </x:c>
      <x:c r="H5216" s="12" t="n">
        <x:v>1350000000</x:v>
      </x:c>
      <x:c r="I5216" s="12" t="n">
        <x:v>20769230.769230768</x:v>
      </x:c>
      <x:c r="J5216" s="2" t="str">
        <x:v>total</x:v>
      </x:c>
      <x:c r="K5216" s="2" t="str">
        <x:v>top_level_area</x:v>
      </x:c>
      <x:c r="L5216" s="2" t="str">
        <x:v>property_type_inferred_from_title</x:v>
      </x:c>
      <x:c r="M5216" s="10" t="n">
        <x:v>0</x:v>
      </x:c>
      <x:c r="N5216" s="10" t="n">
        <x:v>0</x:v>
      </x:c>
      <x:c r="O5216" s="2" t="str">
        <x:v>Tp Hồ Chí Minh|house</x:v>
      </x:c>
      <x:c r="P5216" s="10" t="n">
        <x:v>2</x:v>
      </x:c>
      <x:c r="Q5216" s="13" t="n">
        <x:f>IF(H5216="","",H5216/1000000000)</x:f>
        <x:v>1.35</x:v>
      </x:c>
      <x:c r="R5216" s="13" t="n">
        <x:f>IF(I5216="","",I5216/1000000)</x:f>
        <x:v>20.769230769230766</x:v>
      </x:c>
    </x:row>
    <x:row r="5217" ht="21" customHeight="1">
      <x:c r="A5217" s="10" t="n">
        <x:v>6853</x:v>
      </x:c>
      <x:c r="B5217" s="2" t="str">
        <x:v>cc71cc062d2e4364c2d9</x:v>
      </x:c>
      <x:c r="C5217" s="2" t="str">
        <x:v>Khánh Hòa</x:v>
      </x:c>
      <x:c r="D5217" s="2" t="str">
        <x:v>Thành phố Nha Trang</x:v>
      </x:c>
      <x:c r="E5217" s="2" t="str">
        <x:v>house</x:v>
      </x:c>
      <x:c r="F5217" s="2" t="str">
        <x:v>sale</x:v>
      </x:c>
      <x:c r="G5217" s="11" t="n">
        <x:v>45</x:v>
      </x:c>
      <x:c r="H5217" s="12" t="n">
        <x:v>3100000000</x:v>
      </x:c>
      <x:c r="I5217" s="12" t="n">
        <x:v>68888888.8888889</x:v>
      </x:c>
      <x:c r="J5217" s="2" t="str">
        <x:v>total</x:v>
      </x:c>
      <x:c r="K5217" s="2" t="str">
        <x:v>top_level_area</x:v>
      </x:c>
      <x:c r="L5217" s="2" t="str">
        <x:v>property_type_inferred_from_title</x:v>
      </x:c>
      <x:c r="M5217" s="10" t="n">
        <x:v>0</x:v>
      </x:c>
      <x:c r="N5217" s="10" t="n">
        <x:v>0</x:v>
      </x:c>
      <x:c r="O5217" s="2" t="str">
        <x:v>Khánh Hòa|house</x:v>
      </x:c>
      <x:c r="P5217" s="10" t="n">
        <x:v>2</x:v>
      </x:c>
      <x:c r="Q5217" s="13" t="n">
        <x:f>IF(H5217="","",H5217/1000000000)</x:f>
        <x:v>3.1</x:v>
      </x:c>
      <x:c r="R5217" s="13" t="n">
        <x:f>IF(I5217="","",I5217/1000000)</x:f>
        <x:v>68.8888888888889</x:v>
      </x:c>
    </x:row>
    <x:row r="5218" ht="21" customHeight="1">
      <x:c r="A5218" s="10" t="n">
        <x:v>6854</x:v>
      </x:c>
      <x:c r="B5218" s="2" t="str">
        <x:v>8970d0ddc576fa099c7d</x:v>
      </x:c>
      <x:c r="C5218" s="2" t="str">
        <x:v>Bình Dương</x:v>
      </x:c>
      <x:c r="D5218" s="2" t="str">
        <x:v>Thành phố Thủ Dầu Một</x:v>
      </x:c>
      <x:c r="E5218" s="2" t="str">
        <x:v>other_unknown</x:v>
      </x:c>
      <x:c r="F5218" s="2" t="str">
        <x:v>sale_assumed</x:v>
      </x:c>
      <x:c r="G5218" s="11" t="n">
        <x:v>137</x:v>
      </x:c>
      <x:c r="H5218" s="12" t="n">
        <x:v>2820000000</x:v>
      </x:c>
      <x:c r="I5218" s="12" t="n">
        <x:v>20583941.605839416</x:v>
      </x:c>
      <x:c r="J5218" s="2" t="str">
        <x:v>total</x:v>
      </x:c>
      <x:c r="K5218" s="2" t="str">
        <x:v>top_level_area</x:v>
      </x:c>
      <x:c r="L5218" s="2" t="str">
        <x:v>property_type_inferred_from_title;transaction_assumed_sale_from_dataset_context;unknown_property_type</x:v>
      </x:c>
      <x:c r="M5218" s="10" t="n">
        <x:v>0</x:v>
      </x:c>
      <x:c r="N5218" s="10" t="n">
        <x:v>0</x:v>
      </x:c>
      <x:c r="O5218" s="2" t="str">
        <x:v>Bình Dương|other_unknown</x:v>
      </x:c>
      <x:c r="P5218" s="10" t="n">
        <x:v>2</x:v>
      </x:c>
      <x:c r="Q5218" s="13" t="n">
        <x:f>IF(H5218="","",H5218/1000000000)</x:f>
        <x:v>2.82</x:v>
      </x:c>
      <x:c r="R5218" s="13" t="n">
        <x:f>IF(I5218="","",I5218/1000000)</x:f>
        <x:v>20.583941605839417</x:v>
      </x:c>
    </x:row>
    <x:row r="5219" ht="21" customHeight="1">
      <x:c r="A5219" s="10" t="n">
        <x:v>6855</x:v>
      </x:c>
      <x:c r="B5219" s="2" t="str">
        <x:v>16bb23dcfe90831ce751</x:v>
      </x:c>
      <x:c r="C5219" s="2" t="str">
        <x:v>Tp Hồ Chí Minh</x:v>
      </x:c>
      <x:c r="D5219" s="2" t="str">
        <x:v>Huyện Củ Chi</x:v>
      </x:c>
      <x:c r="E5219" s="2" t="str">
        <x:v>other_unknown</x:v>
      </x:c>
      <x:c r="F5219" s="2" t="str">
        <x:v>sale</x:v>
      </x:c>
      <x:c r="G5219" s="11" t="n">
        <x:v>100</x:v>
      </x:c>
      <x:c r="H5219" s="12" t="n">
        <x:v>420000000</x:v>
      </x:c>
      <x:c r="I5219" s="12" t="n">
        <x:v>4200000</x:v>
      </x:c>
      <x:c r="J5219" s="2" t="str">
        <x:v>total</x:v>
      </x:c>
      <x:c r="K5219" s="2" t="str">
        <x:v>top_level_area</x:v>
      </x:c>
      <x:c r="L5219" s="2" t="str">
        <x:v>property_type_inferred_from_title;unknown_property_type</x:v>
      </x:c>
      <x:c r="M5219" s="10" t="n">
        <x:v>0</x:v>
      </x:c>
      <x:c r="N5219" s="10" t="n">
        <x:v>0</x:v>
      </x:c>
      <x:c r="O5219" s="2" t="str">
        <x:v>Tp Hồ Chí Minh|other_unknown</x:v>
      </x:c>
      <x:c r="P5219" s="10" t="n">
        <x:v>2</x:v>
      </x:c>
      <x:c r="Q5219" s="13" t="n">
        <x:f>IF(H5219="","",H5219/1000000000)</x:f>
        <x:v>0.42</x:v>
      </x:c>
      <x:c r="R5219" s="13" t="n">
        <x:f>IF(I5219="","",I5219/1000000)</x:f>
        <x:v>4.2</x:v>
      </x:c>
    </x:row>
    <x:row r="5220" ht="21" customHeight="1">
      <x:c r="A5220" s="10" t="n">
        <x:v>6856</x:v>
      </x:c>
      <x:c r="B5220" s="2" t="str">
        <x:v>49c819c4d3625c9c2c12</x:v>
      </x:c>
      <x:c r="C5220" s="2" t="str">
        <x:v>Hà Nội</x:v>
      </x:c>
      <x:c r="D5220" s="2" t="str">
        <x:v>Quận Hai Bà Trưng</x:v>
      </x:c>
      <x:c r="E5220" s="2" t="str">
        <x:v>house</x:v>
      </x:c>
      <x:c r="F5220" s="2" t="str">
        <x:v>sale</x:v>
      </x:c>
      <x:c r="G5220" s="11" t="n">
        <x:v>28</x:v>
      </x:c>
      <x:c r="H5220" s="12" t="n">
        <x:v>2000000000</x:v>
      </x:c>
      <x:c r="I5220" s="12" t="n">
        <x:v>71428571.42857143</x:v>
      </x:c>
      <x:c r="J5220" s="2" t="str">
        <x:v>total</x:v>
      </x:c>
      <x:c r="K5220" s="2" t="str">
        <x:v>top_level_area</x:v>
      </x:c>
      <x:c r="L5220" s="2" t="str">
        <x:v>property_type_inferred_from_title</x:v>
      </x:c>
      <x:c r="M5220" s="10" t="n">
        <x:v>0</x:v>
      </x:c>
      <x:c r="N5220" s="10" t="n">
        <x:v>0</x:v>
      </x:c>
      <x:c r="O5220" s="2" t="str">
        <x:v>Hà Nội|house</x:v>
      </x:c>
      <x:c r="P5220" s="10" t="n">
        <x:v>2</x:v>
      </x:c>
      <x:c r="Q5220" s="13" t="n">
        <x:f>IF(H5220="","",H5220/1000000000)</x:f>
        <x:v>2</x:v>
      </x:c>
      <x:c r="R5220" s="13" t="n">
        <x:f>IF(I5220="","",I5220/1000000)</x:f>
        <x:v>71.42857142857143</x:v>
      </x:c>
    </x:row>
    <x:row r="5221" ht="21" customHeight="1">
      <x:c r="A5221" s="10" t="n">
        <x:v>6857</x:v>
      </x:c>
      <x:c r="B5221" s="2" t="str">
        <x:v>9e15b3226a16db5b9cef</x:v>
      </x:c>
      <x:c r="C5221" s="2" t="str">
        <x:v>Tp Hồ Chí Minh</x:v>
      </x:c>
      <x:c r="D5221" s="2" t="str">
        <x:v>Quận 12</x:v>
      </x:c>
      <x:c r="E5221" s="2" t="str">
        <x:v>other_unknown</x:v>
      </x:c>
      <x:c r="F5221" s="2" t="str">
        <x:v>sale</x:v>
      </x:c>
      <x:c r="G5221" s="11" t="n">
        <x:v>99</x:v>
      </x:c>
      <x:c r="H5221" s="12" t="n">
        <x:v>2150000000</x:v>
      </x:c>
      <x:c r="I5221" s="12" t="n">
        <x:v>21717171.717171717</x:v>
      </x:c>
      <x:c r="J5221" s="2" t="str">
        <x:v>total</x:v>
      </x:c>
      <x:c r="K5221" s="2" t="str">
        <x:v>top_level_area</x:v>
      </x:c>
      <x:c r="L5221" s="2" t="str">
        <x:v>property_type_inferred_from_title;unknown_property_type</x:v>
      </x:c>
      <x:c r="M5221" s="10" t="n">
        <x:v>0</x:v>
      </x:c>
      <x:c r="N5221" s="10" t="n">
        <x:v>0</x:v>
      </x:c>
      <x:c r="O5221" s="2" t="str">
        <x:v>Tp Hồ Chí Minh|other_unknown</x:v>
      </x:c>
      <x:c r="P5221" s="10" t="n">
        <x:v>2</x:v>
      </x:c>
      <x:c r="Q5221" s="13" t="n">
        <x:f>IF(H5221="","",H5221/1000000000)</x:f>
        <x:v>2.15</x:v>
      </x:c>
      <x:c r="R5221" s="13" t="n">
        <x:f>IF(I5221="","",I5221/1000000)</x:f>
        <x:v>21.717171717171716</x:v>
      </x:c>
    </x:row>
    <x:row r="5222" ht="21" customHeight="1">
      <x:c r="A5222" s="10" t="n">
        <x:v>6858</x:v>
      </x:c>
      <x:c r="B5222" s="2" t="str">
        <x:v>9a5b33eef857eec7fb60</x:v>
      </x:c>
      <x:c r="C5222" s="2" t="str">
        <x:v>Hà Nội</x:v>
      </x:c>
      <x:c r="D5222" s="2" t="str">
        <x:v>Quận Nam Từ Liêm</x:v>
      </x:c>
      <x:c r="E5222" s="2" t="str">
        <x:v>land</x:v>
      </x:c>
      <x:c r="F5222" s="2" t="str">
        <x:v>sale</x:v>
      </x:c>
      <x:c r="G5222" s="11" t="n">
        <x:v>32</x:v>
      </x:c>
      <x:c r="H5222" s="12" t="n">
        <x:v>1000000000</x:v>
      </x:c>
      <x:c r="I5222" s="12" t="n">
        <x:v>31250000</x:v>
      </x:c>
      <x:c r="J5222" s="2" t="str">
        <x:v>total</x:v>
      </x:c>
      <x:c r="K5222" s="2" t="str">
        <x:v>top_level_area</x:v>
      </x:c>
      <x:c r="L5222" s="2" t="str">
        <x:v>property_type_inferred_from_title</x:v>
      </x:c>
      <x:c r="M5222" s="10" t="n">
        <x:v>0</x:v>
      </x:c>
      <x:c r="N5222" s="10" t="n">
        <x:v>0</x:v>
      </x:c>
      <x:c r="O5222" s="2" t="str">
        <x:v>Hà Nội|land</x:v>
      </x:c>
      <x:c r="P5222" s="10" t="n">
        <x:v>2</x:v>
      </x:c>
      <x:c r="Q5222" s="13" t="n">
        <x:f>IF(H5222="","",H5222/1000000000)</x:f>
        <x:v>1</x:v>
      </x:c>
      <x:c r="R5222" s="13" t="n">
        <x:f>IF(I5222="","",I5222/1000000)</x:f>
        <x:v>31.25</x:v>
      </x:c>
    </x:row>
    <x:row r="5223" ht="21" customHeight="1">
      <x:c r="A5223" s="10" t="n">
        <x:v>6860</x:v>
      </x:c>
      <x:c r="B5223" s="2" t="str">
        <x:v>071bbf2e242dec02b476</x:v>
      </x:c>
      <x:c r="C5223" s="2" t="str">
        <x:v>Tp Hồ Chí Minh</x:v>
      </x:c>
      <x:c r="D5223" s="2" t="str">
        <x:v>Quận Phú Nhuận</x:v>
      </x:c>
      <x:c r="E5223" s="2" t="str">
        <x:v>house</x:v>
      </x:c>
      <x:c r="F5223" s="2" t="str">
        <x:v>sale_assumed</x:v>
      </x:c>
      <x:c r="G5223" s="11" t="n">
        <x:v>160</x:v>
      </x:c>
      <x:c r="H5223" s="12" t="n">
        <x:v>8600000000</x:v>
      </x:c>
      <x:c r="I5223" s="12" t="n">
        <x:v>53750000</x:v>
      </x:c>
      <x:c r="J5223" s="2" t="str">
        <x:v>total</x:v>
      </x:c>
      <x:c r="K5223" s="2" t="str">
        <x:v>top_level_area</x:v>
      </x:c>
      <x:c r="L5223" s="2" t="str">
        <x:v>property_type_inferred_from_title;transaction_assumed_sale_from_dataset_context</x:v>
      </x:c>
      <x:c r="M5223" s="10" t="n">
        <x:v>0</x:v>
      </x:c>
      <x:c r="N5223" s="10" t="n">
        <x:v>0</x:v>
      </x:c>
      <x:c r="O5223" s="2" t="str">
        <x:v>Tp Hồ Chí Minh|house</x:v>
      </x:c>
      <x:c r="P5223" s="10" t="n">
        <x:v>2</x:v>
      </x:c>
      <x:c r="Q5223" s="13" t="n">
        <x:f>IF(H5223="","",H5223/1000000000)</x:f>
        <x:v>8.6</x:v>
      </x:c>
      <x:c r="R5223" s="13" t="n">
        <x:f>IF(I5223="","",I5223/1000000)</x:f>
        <x:v>53.75</x:v>
      </x:c>
    </x:row>
    <x:row r="5224" ht="21" customHeight="1">
      <x:c r="A5224" s="10" t="n">
        <x:v>6861</x:v>
      </x:c>
      <x:c r="B5224" s="2" t="str">
        <x:v>33c990ec3955db962d05</x:v>
      </x:c>
      <x:c r="C5224" s="2" t="str">
        <x:v>Cần Thơ</x:v>
      </x:c>
      <x:c r="D5224" s="2" t="str">
        <x:v>Quận Ninh Kiều</x:v>
      </x:c>
      <x:c r="E5224" s="2" t="str">
        <x:v>house</x:v>
      </x:c>
      <x:c r="F5224" s="2" t="str">
        <x:v>sale</x:v>
      </x:c>
      <x:c r="G5224" s="11" t="n">
        <x:v>50</x:v>
      </x:c>
      <x:c r="H5224" s="12" t="n">
        <x:v>2899000000</x:v>
      </x:c>
      <x:c r="I5224" s="12" t="n">
        <x:v>57980000</x:v>
      </x:c>
      <x:c r="J5224" s="2" t="str">
        <x:v>total</x:v>
      </x:c>
      <x:c r="K5224" s="2" t="str">
        <x:v>top_level_area</x:v>
      </x:c>
      <x:c r="L5224" s="2" t="str">
        <x:v>property_type_inferred_from_title</x:v>
      </x:c>
      <x:c r="M5224" s="10" t="n">
        <x:v>0</x:v>
      </x:c>
      <x:c r="N5224" s="10" t="n">
        <x:v>0</x:v>
      </x:c>
      <x:c r="O5224" s="2" t="str">
        <x:v>Cần Thơ|house</x:v>
      </x:c>
      <x:c r="P5224" s="10" t="n">
        <x:v>2</x:v>
      </x:c>
      <x:c r="Q5224" s="13" t="n">
        <x:f>IF(H5224="","",H5224/1000000000)</x:f>
        <x:v>2.899</x:v>
      </x:c>
      <x:c r="R5224" s="13" t="n">
        <x:f>IF(I5224="","",I5224/1000000)</x:f>
        <x:v>57.98</x:v>
      </x:c>
    </x:row>
    <x:row r="5225" ht="21" customHeight="1">
      <x:c r="A5225" s="10" t="n">
        <x:v>6862</x:v>
      </x:c>
      <x:c r="B5225" s="2" t="str">
        <x:v>980c2df80da2670b31dc</x:v>
      </x:c>
      <x:c r="C5225" s="2" t="str">
        <x:v>Tp Hồ Chí Minh</x:v>
      </x:c>
      <x:c r="D5225" s="2" t="str">
        <x:v>Quận Bình Thạnh</x:v>
      </x:c>
      <x:c r="E5225" s="2" t="str">
        <x:v>house</x:v>
      </x:c>
      <x:c r="F5225" s="2" t="str">
        <x:v>sale</x:v>
      </x:c>
      <x:c r="G5225" s="11" t="n">
        <x:v>35.49</x:v>
      </x:c>
      <x:c r="H5225" s="12" t="n">
        <x:v>3850000000</x:v>
      </x:c>
      <x:c r="I5225" s="12" t="n">
        <x:v>108481262.32741617</x:v>
      </x:c>
      <x:c r="J5225" s="2" t="str">
        <x:v>total</x:v>
      </x:c>
      <x:c r="K5225" s="2" t="str">
        <x:v>top_level_area</x:v>
      </x:c>
      <x:c r="L5225" s="2" t="str">
        <x:v>property_type_inferred_from_title</x:v>
      </x:c>
      <x:c r="M5225" s="10" t="n">
        <x:v>0</x:v>
      </x:c>
      <x:c r="N5225" s="10" t="n">
        <x:v>0</x:v>
      </x:c>
      <x:c r="O5225" s="2" t="str">
        <x:v>Tp Hồ Chí Minh|house</x:v>
      </x:c>
      <x:c r="P5225" s="10" t="n">
        <x:v>2</x:v>
      </x:c>
      <x:c r="Q5225" s="13" t="n">
        <x:f>IF(H5225="","",H5225/1000000000)</x:f>
        <x:v>3.85</x:v>
      </x:c>
      <x:c r="R5225" s="13" t="n">
        <x:f>IF(I5225="","",I5225/1000000)</x:f>
        <x:v>108.48126232741616</x:v>
      </x:c>
    </x:row>
    <x:row r="5226" ht="21" customHeight="1">
      <x:c r="A5226" s="10" t="n">
        <x:v>6863</x:v>
      </x:c>
      <x:c r="B5226" s="2" t="str">
        <x:v>264cfabdb3e71b745514</x:v>
      </x:c>
      <x:c r="C5226" s="2" t="str">
        <x:v>Tp Hồ Chí Minh</x:v>
      </x:c>
      <x:c r="D5226" s="2" t="str">
        <x:v>Quận Gò Vấp</x:v>
      </x:c>
      <x:c r="E5226" s="2" t="str">
        <x:v>house</x:v>
      </x:c>
      <x:c r="F5226" s="2" t="str">
        <x:v>sale_assumed</x:v>
      </x:c>
      <x:c r="G5226" s="11" t="n">
        <x:v>42</x:v>
      </x:c>
      <x:c r="H5226" s="12" t="n">
        <x:v>4720000000</x:v>
      </x:c>
      <x:c r="I5226" s="12" t="n">
        <x:v>112380952.38095239</x:v>
      </x:c>
      <x:c r="J5226" s="2" t="str">
        <x:v>total</x:v>
      </x:c>
      <x:c r="K5226" s="2" t="str">
        <x:v>top_level_area</x:v>
      </x:c>
      <x:c r="L5226" s="2" t="str">
        <x:v>property_type_inferred_from_title;transaction_assumed_sale_from_dataset_context</x:v>
      </x:c>
      <x:c r="M5226" s="10" t="n">
        <x:v>0</x:v>
      </x:c>
      <x:c r="N5226" s="10" t="n">
        <x:v>0</x:v>
      </x:c>
      <x:c r="O5226" s="2" t="str">
        <x:v>Tp Hồ Chí Minh|house</x:v>
      </x:c>
      <x:c r="P5226" s="10" t="n">
        <x:v>2</x:v>
      </x:c>
      <x:c r="Q5226" s="13" t="n">
        <x:f>IF(H5226="","",H5226/1000000000)</x:f>
        <x:v>4.72</x:v>
      </x:c>
      <x:c r="R5226" s="13" t="n">
        <x:f>IF(I5226="","",I5226/1000000)</x:f>
        <x:v>112.3809523809524</x:v>
      </x:c>
    </x:row>
    <x:row r="5227" ht="21" customHeight="1">
      <x:c r="A5227" s="10" t="n">
        <x:v>6864</x:v>
      </x:c>
      <x:c r="B5227" s="2" t="str">
        <x:v>31047dc87453bd6793a6</x:v>
      </x:c>
      <x:c r="C5227" s="2" t="str">
        <x:v>Tp Hồ Chí Minh</x:v>
      </x:c>
      <x:c r="D5227" s="2" t="str">
        <x:v>Quận 9</x:v>
      </x:c>
      <x:c r="E5227" s="2" t="str">
        <x:v>other_unknown</x:v>
      </x:c>
      <x:c r="F5227" s="2" t="str">
        <x:v>sale_assumed</x:v>
      </x:c>
      <x:c r="G5227" s="11" t="n">
        <x:v>186</x:v>
      </x:c>
      <x:c r="H5227" s="12" t="n">
        <x:v>11000000000</x:v>
      </x:c>
      <x:c r="I5227" s="12" t="n">
        <x:v>59139784.94623656</x:v>
      </x:c>
      <x:c r="J5227" s="2" t="str">
        <x:v>total</x:v>
      </x:c>
      <x:c r="K5227" s="2" t="str">
        <x:v>top_level_area</x:v>
      </x:c>
      <x:c r="L5227" s="2" t="str">
        <x:v>property_type_inferred_from_title;transaction_assumed_sale_from_dataset_context;unknown_property_type</x:v>
      </x:c>
      <x:c r="M5227" s="10" t="n">
        <x:v>0</x:v>
      </x:c>
      <x:c r="N5227" s="10" t="n">
        <x:v>0</x:v>
      </x:c>
      <x:c r="O5227" s="2" t="str">
        <x:v>Tp Hồ Chí Minh|other_unknown</x:v>
      </x:c>
      <x:c r="P5227" s="10" t="n">
        <x:v>2</x:v>
      </x:c>
      <x:c r="Q5227" s="13" t="n">
        <x:f>IF(H5227="","",H5227/1000000000)</x:f>
        <x:v>11</x:v>
      </x:c>
      <x:c r="R5227" s="13" t="n">
        <x:f>IF(I5227="","",I5227/1000000)</x:f>
        <x:v>59.13978494623656</x:v>
      </x:c>
    </x:row>
    <x:row r="5228" ht="21" customHeight="1">
      <x:c r="A5228" s="10" t="n">
        <x:v>6865</x:v>
      </x:c>
      <x:c r="B5228" s="2" t="str">
        <x:v>b8f1a0237812cd642166</x:v>
      </x:c>
      <x:c r="C5228" s="2" t="str">
        <x:v>Hà Nội</x:v>
      </x:c>
      <x:c r="D5228" s="2" t="str">
        <x:v>Quận Hoàng Mai</x:v>
      </x:c>
      <x:c r="E5228" s="2" t="str">
        <x:v>other_unknown</x:v>
      </x:c>
      <x:c r="F5228" s="2" t="str">
        <x:v>sale_assumed</x:v>
      </x:c>
      <x:c r="G5228" s="11" t="n">
        <x:v>95</x:v>
      </x:c>
      <x:c r="H5228" s="12" t="n">
        <x:v>7500000000</x:v>
      </x:c>
      <x:c r="I5228" s="12" t="n">
        <x:v>78947368.42105263</x:v>
      </x:c>
      <x:c r="J5228" s="2" t="str">
        <x:v>total</x:v>
      </x:c>
      <x:c r="K5228" s="2" t="str">
        <x:v>top_level_area</x:v>
      </x:c>
      <x:c r="L5228" s="2" t="str">
        <x:v>property_type_inferred_from_title;transaction_assumed_sale_from_dataset_context;unknown_property_type</x:v>
      </x:c>
      <x:c r="M5228" s="10" t="n">
        <x:v>0</x:v>
      </x:c>
      <x:c r="N5228" s="10" t="n">
        <x:v>0</x:v>
      </x:c>
      <x:c r="O5228" s="2" t="str">
        <x:v>Hà Nội|other_unknown</x:v>
      </x:c>
      <x:c r="P5228" s="10" t="n">
        <x:v>2</x:v>
      </x:c>
      <x:c r="Q5228" s="13" t="n">
        <x:f>IF(H5228="","",H5228/1000000000)</x:f>
        <x:v>7.5</x:v>
      </x:c>
      <x:c r="R5228" s="13" t="n">
        <x:f>IF(I5228="","",I5228/1000000)</x:f>
        <x:v>78.94736842105263</x:v>
      </x:c>
    </x:row>
    <x:row r="5229" ht="21" customHeight="1">
      <x:c r="A5229" s="10" t="n">
        <x:v>6866</x:v>
      </x:c>
      <x:c r="B5229" s="2" t="str">
        <x:v>eb5aed87d58221bfcafc</x:v>
      </x:c>
      <x:c r="C5229" s="2" t="str">
        <x:v>Tp Hồ Chí Minh</x:v>
      </x:c>
      <x:c r="D5229" s="2" t="str">
        <x:v>Quận Thủ Đức</x:v>
      </x:c>
      <x:c r="E5229" s="2" t="str">
        <x:v>other_unknown</x:v>
      </x:c>
      <x:c r="F5229" s="2" t="str">
        <x:v>sale_assumed</x:v>
      </x:c>
      <x:c r="G5229" s="11" t="n">
        <x:v>80</x:v>
      </x:c>
      <x:c r="H5229" s="12" t="n">
        <x:v>5800000000</x:v>
      </x:c>
      <x:c r="I5229" s="12" t="n">
        <x:v>72500000</x:v>
      </x:c>
      <x:c r="J5229" s="2" t="str">
        <x:v>total</x:v>
      </x:c>
      <x:c r="K5229" s="2" t="str">
        <x:v>top_level_area</x:v>
      </x:c>
      <x:c r="L5229" s="2" t="str">
        <x:v>property_type_inferred_from_title;transaction_assumed_sale_from_dataset_context;unknown_property_type</x:v>
      </x:c>
      <x:c r="M5229" s="10" t="n">
        <x:v>0</x:v>
      </x:c>
      <x:c r="N5229" s="10" t="n">
        <x:v>0</x:v>
      </x:c>
      <x:c r="O5229" s="2" t="str">
        <x:v>Tp Hồ Chí Minh|other_unknown</x:v>
      </x:c>
      <x:c r="P5229" s="10" t="n">
        <x:v>2</x:v>
      </x:c>
      <x:c r="Q5229" s="13" t="n">
        <x:f>IF(H5229="","",H5229/1000000000)</x:f>
        <x:v>5.8</x:v>
      </x:c>
      <x:c r="R5229" s="13" t="n">
        <x:f>IF(I5229="","",I5229/1000000)</x:f>
        <x:v>72.5</x:v>
      </x:c>
    </x:row>
    <x:row r="5230" ht="21" customHeight="1">
      <x:c r="A5230" s="10" t="n">
        <x:v>6868</x:v>
      </x:c>
      <x:c r="B5230" s="2" t="str">
        <x:v>b958182123ac8b79f3f9</x:v>
      </x:c>
      <x:c r="C5230" s="2" t="str">
        <x:v>Đắk Lắk</x:v>
      </x:c>
      <x:c r="D5230" s="2" t="str">
        <x:v>Thành phố Buôn Ma Thuột</x:v>
      </x:c>
      <x:c r="E5230" s="2" t="str">
        <x:v>land</x:v>
      </x:c>
      <x:c r="F5230" s="2" t="str">
        <x:v>sale_assumed</x:v>
      </x:c>
      <x:c r="G5230" s="11" t="n">
        <x:v>100</x:v>
      </x:c>
      <x:c r="H5230" s="12" t="n">
        <x:v>1700000000</x:v>
      </x:c>
      <x:c r="I5230" s="12" t="n">
        <x:v>17000000</x:v>
      </x:c>
      <x:c r="J5230" s="2" t="str">
        <x:v>total</x:v>
      </x:c>
      <x:c r="K5230" s="2" t="str">
        <x:v>top_level_area</x:v>
      </x:c>
      <x:c r="L5230" s="2" t="str">
        <x:v>property_type_inferred_from_title;transaction_assumed_sale_from_dataset_context</x:v>
      </x:c>
      <x:c r="M5230" s="10" t="n">
        <x:v>0</x:v>
      </x:c>
      <x:c r="N5230" s="10" t="n">
        <x:v>0</x:v>
      </x:c>
      <x:c r="O5230" s="2" t="str">
        <x:v>Đắk Lắk|land</x:v>
      </x:c>
      <x:c r="P5230" s="10" t="n">
        <x:v>2</x:v>
      </x:c>
      <x:c r="Q5230" s="13" t="n">
        <x:f>IF(H5230="","",H5230/1000000000)</x:f>
        <x:v>1.7</x:v>
      </x:c>
      <x:c r="R5230" s="13" t="n">
        <x:f>IF(I5230="","",I5230/1000000)</x:f>
        <x:v>17</x:v>
      </x:c>
    </x:row>
    <x:row r="5231" ht="21" customHeight="1">
      <x:c r="A5231" s="10" t="n">
        <x:v>6869</x:v>
      </x:c>
      <x:c r="B5231" s="2" t="str">
        <x:v>7707d383e0a2c6f85973</x:v>
      </x:c>
      <x:c r="C5231" s="2" t="str">
        <x:v>Sóc Trăng</x:v>
      </x:c>
      <x:c r="D5231" s="2" t="str">
        <x:v>Thành phố Sóc Trăng</x:v>
      </x:c>
      <x:c r="E5231" s="2" t="str">
        <x:v>house</x:v>
      </x:c>
      <x:c r="F5231" s="2" t="str">
        <x:v>sale_assumed</x:v>
      </x:c>
      <x:c r="G5231" s="11" t="n">
        <x:v>154.2</x:v>
      </x:c>
      <x:c r="H5231" s="12" t="n">
        <x:v>5800000000</x:v>
      </x:c>
      <x:c r="I5231" s="12" t="n">
        <x:v>37613488.97535668</x:v>
      </x:c>
      <x:c r="J5231" s="2" t="str">
        <x:v>total</x:v>
      </x:c>
      <x:c r="K5231" s="2" t="str">
        <x:v>top_level_area</x:v>
      </x:c>
      <x:c r="L5231" s="2" t="str">
        <x:v>property_type_inferred_from_title;transaction_assumed_sale_from_dataset_context</x:v>
      </x:c>
      <x:c r="M5231" s="10" t="n">
        <x:v>0</x:v>
      </x:c>
      <x:c r="N5231" s="10" t="n">
        <x:v>0</x:v>
      </x:c>
      <x:c r="O5231" s="2" t="str">
        <x:v>house</x:v>
      </x:c>
      <x:c r="P5231" s="10" t="n">
        <x:v>2</x:v>
      </x:c>
      <x:c r="Q5231" s="13" t="n">
        <x:f>IF(H5231="","",H5231/1000000000)</x:f>
        <x:v>5.8</x:v>
      </x:c>
      <x:c r="R5231" s="13" t="n">
        <x:f>IF(I5231="","",I5231/1000000)</x:f>
        <x:v>37.61348897535668</x:v>
      </x:c>
    </x:row>
    <x:row r="5232" ht="21" customHeight="1">
      <x:c r="A5232" s="10" t="n">
        <x:v>6870</x:v>
      </x:c>
      <x:c r="B5232" s="2" t="str">
        <x:v>f27f627346e48fc082a3</x:v>
      </x:c>
      <x:c r="C5232" s="2" t="str">
        <x:v>Đà Nẵng</x:v>
      </x:c>
      <x:c r="D5232" s="2" t="str">
        <x:v>Quận Thanh Khê</x:v>
      </x:c>
      <x:c r="E5232" s="2" t="str">
        <x:v>house</x:v>
      </x:c>
      <x:c r="F5232" s="2" t="str">
        <x:v>sale</x:v>
      </x:c>
      <x:c r="G5232" s="11" t="n">
        <x:v>68</x:v>
      </x:c>
      <x:c r="H5232" s="12" t="n">
        <x:v>3450000000</x:v>
      </x:c>
      <x:c r="I5232" s="12" t="n">
        <x:v>50735294.11764706</x:v>
      </x:c>
      <x:c r="J5232" s="2" t="str">
        <x:v>total</x:v>
      </x:c>
      <x:c r="K5232" s="2" t="str">
        <x:v>top_level_area</x:v>
      </x:c>
      <x:c r="L5232" s="2" t="str">
        <x:v>property_type_inferred_from_title</x:v>
      </x:c>
      <x:c r="M5232" s="10" t="n">
        <x:v>0</x:v>
      </x:c>
      <x:c r="N5232" s="10" t="n">
        <x:v>0</x:v>
      </x:c>
      <x:c r="O5232" s="2" t="str">
        <x:v>Đà Nẵng|house</x:v>
      </x:c>
      <x:c r="P5232" s="10" t="n">
        <x:v>2</x:v>
      </x:c>
      <x:c r="Q5232" s="13" t="n">
        <x:f>IF(H5232="","",H5232/1000000000)</x:f>
        <x:v>3.45</x:v>
      </x:c>
      <x:c r="R5232" s="13" t="n">
        <x:f>IF(I5232="","",I5232/1000000)</x:f>
        <x:v>50.73529411764706</x:v>
      </x:c>
    </x:row>
    <x:row r="5233" ht="21" customHeight="1">
      <x:c r="A5233" s="10" t="n">
        <x:v>6871</x:v>
      </x:c>
      <x:c r="B5233" s="2" t="str">
        <x:v>ca180fb7e477b90d0843</x:v>
      </x:c>
      <x:c r="C5233" s="2" t="str">
        <x:v>Hà Nội</x:v>
      </x:c>
      <x:c r="D5233" s="2" t="str">
        <x:v>Quận Đống Đa</x:v>
      </x:c>
      <x:c r="E5233" s="2" t="str">
        <x:v>house</x:v>
      </x:c>
      <x:c r="F5233" s="2" t="str">
        <x:v>sale</x:v>
      </x:c>
      <x:c r="G5233" s="11" t="n">
        <x:v>28</x:v>
      </x:c>
      <x:c r="H5233" s="12" t="n">
        <x:v>2700000000</x:v>
      </x:c>
      <x:c r="I5233" s="12" t="n">
        <x:v>96428571.42857143</x:v>
      </x:c>
      <x:c r="J5233" s="2" t="str">
        <x:v>total</x:v>
      </x:c>
      <x:c r="K5233" s="2" t="str">
        <x:v>top_level_area</x:v>
      </x:c>
      <x:c r="L5233" s="2" t="str">
        <x:v>property_type_inferred_from_title</x:v>
      </x:c>
      <x:c r="M5233" s="10" t="n">
        <x:v>0</x:v>
      </x:c>
      <x:c r="N5233" s="10" t="n">
        <x:v>0</x:v>
      </x:c>
      <x:c r="O5233" s="2" t="str">
        <x:v>Hà Nội|house</x:v>
      </x:c>
      <x:c r="P5233" s="10" t="n">
        <x:v>2</x:v>
      </x:c>
      <x:c r="Q5233" s="13" t="n">
        <x:f>IF(H5233="","",H5233/1000000000)</x:f>
        <x:v>2.7</x:v>
      </x:c>
      <x:c r="R5233" s="13" t="n">
        <x:f>IF(I5233="","",I5233/1000000)</x:f>
        <x:v>96.42857142857143</x:v>
      </x:c>
    </x:row>
    <x:row r="5234" ht="21" customHeight="1">
      <x:c r="A5234" s="10" t="n">
        <x:v>6872</x:v>
      </x:c>
      <x:c r="B5234" s="2" t="str">
        <x:v>05e9def881950ffebba6</x:v>
      </x:c>
      <x:c r="C5234" s="2" t="str">
        <x:v>Tp Hồ Chí Minh</x:v>
      </x:c>
      <x:c r="D5234" s="2" t="str">
        <x:v>Quận Bình Tân</x:v>
      </x:c>
      <x:c r="E5234" s="2" t="str">
        <x:v>other_unknown</x:v>
      </x:c>
      <x:c r="F5234" s="2" t="str">
        <x:v>sale_assumed</x:v>
      </x:c>
      <x:c r="G5234" s="11" t="n">
        <x:v>97</x:v>
      </x:c>
      <x:c r="H5234" s="12" t="n">
        <x:v>5700000000</x:v>
      </x:c>
      <x:c r="I5234" s="12" t="n">
        <x:v>58762886.59793814</x:v>
      </x:c>
      <x:c r="J5234" s="2" t="str">
        <x:v>total</x:v>
      </x:c>
      <x:c r="K5234" s="2" t="str">
        <x:v>top_level_area</x:v>
      </x:c>
      <x:c r="L5234" s="2" t="str">
        <x:v>property_type_inferred_from_title;transaction_assumed_sale_from_dataset_context;unknown_property_type</x:v>
      </x:c>
      <x:c r="M5234" s="10" t="n">
        <x:v>0</x:v>
      </x:c>
      <x:c r="N5234" s="10" t="n">
        <x:v>0</x:v>
      </x:c>
      <x:c r="O5234" s="2" t="str">
        <x:v>Tp Hồ Chí Minh|other_unknown</x:v>
      </x:c>
      <x:c r="P5234" s="10" t="n">
        <x:v>2</x:v>
      </x:c>
      <x:c r="Q5234" s="13" t="n">
        <x:f>IF(H5234="","",H5234/1000000000)</x:f>
        <x:v>5.7</x:v>
      </x:c>
      <x:c r="R5234" s="13" t="n">
        <x:f>IF(I5234="","",I5234/1000000)</x:f>
        <x:v>58.76288659793814</x:v>
      </x:c>
    </x:row>
    <x:row r="5235" ht="21" customHeight="1">
      <x:c r="A5235" s="10" t="n">
        <x:v>6873</x:v>
      </x:c>
      <x:c r="B5235" s="2" t="str">
        <x:v>6c9842b4011bb0ba8caf</x:v>
      </x:c>
      <x:c r="C5235" s="2" t="str">
        <x:v>Tp Hồ Chí Minh</x:v>
      </x:c>
      <x:c r="D5235" s="2" t="str">
        <x:v>Quận 12</x:v>
      </x:c>
      <x:c r="E5235" s="2" t="str">
        <x:v>house</x:v>
      </x:c>
      <x:c r="F5235" s="2" t="str">
        <x:v>sale_assumed</x:v>
      </x:c>
      <x:c r="G5235" s="11" t="n">
        <x:v>56</x:v>
      </x:c>
      <x:c r="H5235" s="12" t="n">
        <x:v>2760000000</x:v>
      </x:c>
      <x:c r="I5235" s="12" t="n">
        <x:v>49285714.28571428</x:v>
      </x:c>
      <x:c r="J5235" s="2" t="str">
        <x:v>total</x:v>
      </x:c>
      <x:c r="K5235" s="2" t="str">
        <x:v>top_level_area</x:v>
      </x:c>
      <x:c r="L5235" s="2" t="str">
        <x:v>property_type_inferred_from_title;transaction_assumed_sale_from_dataset_context</x:v>
      </x:c>
      <x:c r="M5235" s="10" t="n">
        <x:v>0</x:v>
      </x:c>
      <x:c r="N5235" s="10" t="n">
        <x:v>0</x:v>
      </x:c>
      <x:c r="O5235" s="2" t="str">
        <x:v>Tp Hồ Chí Minh|house</x:v>
      </x:c>
      <x:c r="P5235" s="10" t="n">
        <x:v>2</x:v>
      </x:c>
      <x:c r="Q5235" s="13" t="n">
        <x:f>IF(H5235="","",H5235/1000000000)</x:f>
        <x:v>2.76</x:v>
      </x:c>
      <x:c r="R5235" s="13" t="n">
        <x:f>IF(I5235="","",I5235/1000000)</x:f>
        <x:v>49.285714285714285</x:v>
      </x:c>
    </x:row>
    <x:row r="5236" ht="21" customHeight="1">
      <x:c r="A5236" s="10" t="n">
        <x:v>6874</x:v>
      </x:c>
      <x:c r="B5236" s="2" t="str">
        <x:v>b8fa3f2561c723a13faa</x:v>
      </x:c>
      <x:c r="C5236" s="2" t="str">
        <x:v>Bà Rịa - Vũng Tàu</x:v>
      </x:c>
      <x:c r="D5236" s="2" t="str">
        <x:v>Thị xã Phú Mỹ</x:v>
      </x:c>
      <x:c r="E5236" s="2" t="str">
        <x:v>land</x:v>
      </x:c>
      <x:c r="F5236" s="2" t="str">
        <x:v>sale</x:v>
      </x:c>
      <x:c r="G5236" s="11" t="n">
        <x:v>142</x:v>
      </x:c>
      <x:c r="H5236" s="12" t="n">
        <x:v>450000000</x:v>
      </x:c>
      <x:c r="I5236" s="12" t="n">
        <x:v>3169014.084507042</x:v>
      </x:c>
      <x:c r="J5236" s="2" t="str">
        <x:v>total</x:v>
      </x:c>
      <x:c r="K5236" s="2" t="str">
        <x:v>top_level_area</x:v>
      </x:c>
      <x:c r="L5236" s="2" t="str">
        <x:v>property_type_inferred_from_title</x:v>
      </x:c>
      <x:c r="M5236" s="10" t="n">
        <x:v>0</x:v>
      </x:c>
      <x:c r="N5236" s="10" t="n">
        <x:v>0</x:v>
      </x:c>
      <x:c r="O5236" s="2" t="str">
        <x:v>Bà Rịa - Vũng Tàu|land</x:v>
      </x:c>
      <x:c r="P5236" s="10" t="n">
        <x:v>1</x:v>
      </x:c>
      <x:c r="Q5236" s="13" t="n">
        <x:f>IF(H5236="","",H5236/1000000000)</x:f>
        <x:v>0.45</x:v>
      </x:c>
      <x:c r="R5236" s="13" t="n">
        <x:f>IF(I5236="","",I5236/1000000)</x:f>
        <x:v>3.169014084507042</x:v>
      </x:c>
    </x:row>
    <x:row r="5237" ht="21" customHeight="1">
      <x:c r="A5237" s="10" t="n">
        <x:v>6875</x:v>
      </x:c>
      <x:c r="B5237" s="2" t="str">
        <x:v>7734def4a1c9b1cf8045</x:v>
      </x:c>
      <x:c r="C5237" s="2" t="str">
        <x:v>Tp Hồ Chí Minh</x:v>
      </x:c>
      <x:c r="D5237" s="2" t="str">
        <x:v>Huyện Hóc Môn</x:v>
      </x:c>
      <x:c r="E5237" s="2" t="str">
        <x:v>land</x:v>
      </x:c>
      <x:c r="F5237" s="2" t="str">
        <x:v>sale_assumed</x:v>
      </x:c>
      <x:c r="G5237" s="11" t="n">
        <x:v>320</x:v>
      </x:c>
      <x:c r="H5237" s="12" t="n">
        <x:v>1000000000</x:v>
      </x:c>
      <x:c r="I5237" s="12" t="n">
        <x:v>3125000</x:v>
      </x:c>
      <x:c r="J5237" s="2" t="str">
        <x:v>total</x:v>
      </x:c>
      <x:c r="K5237" s="2" t="str">
        <x:v>top_level_area</x:v>
      </x:c>
      <x:c r="L5237" s="2" t="str">
        <x:v>property_type_inferred_from_title;transaction_assumed_sale_from_dataset_context</x:v>
      </x:c>
      <x:c r="M5237" s="10" t="n">
        <x:v>0</x:v>
      </x:c>
      <x:c r="N5237" s="10" t="n">
        <x:v>0</x:v>
      </x:c>
      <x:c r="O5237" s="2" t="str">
        <x:v>Tp Hồ Chí Minh|land</x:v>
      </x:c>
      <x:c r="P5237" s="10" t="n">
        <x:v>1</x:v>
      </x:c>
      <x:c r="Q5237" s="13" t="n">
        <x:f>IF(H5237="","",H5237/1000000000)</x:f>
        <x:v>1</x:v>
      </x:c>
      <x:c r="R5237" s="13" t="n">
        <x:f>IF(I5237="","",I5237/1000000)</x:f>
        <x:v>3.125</x:v>
      </x:c>
    </x:row>
    <x:row r="5238" ht="21" customHeight="1">
      <x:c r="A5238" s="10" t="n">
        <x:v>6876</x:v>
      </x:c>
      <x:c r="B5238" s="2" t="str">
        <x:v>ba0c299d690aa9989403</x:v>
      </x:c>
      <x:c r="C5238" s="2" t="str">
        <x:v>Tp Hồ Chí Minh</x:v>
      </x:c>
      <x:c r="D5238" s="2" t="str">
        <x:v>Quận Gò Vấp</x:v>
      </x:c>
      <x:c r="E5238" s="2" t="str">
        <x:v>other_unknown</x:v>
      </x:c>
      <x:c r="F5238" s="2" t="str">
        <x:v>sale_assumed</x:v>
      </x:c>
      <x:c r="G5238" s="11" t="n">
        <x:v>80</x:v>
      </x:c>
      <x:c r="H5238" s="12" t="n">
        <x:v>4550000000</x:v>
      </x:c>
      <x:c r="I5238" s="12" t="n">
        <x:v>56875000</x:v>
      </x:c>
      <x:c r="J5238" s="2" t="str">
        <x:v>total</x:v>
      </x:c>
      <x:c r="K5238" s="2" t="str">
        <x:v>top_level_area</x:v>
      </x:c>
      <x:c r="L5238" s="2" t="str">
        <x:v>property_type_inferred_from_title;transaction_assumed_sale_from_dataset_context;unknown_property_type</x:v>
      </x:c>
      <x:c r="M5238" s="10" t="n">
        <x:v>0</x:v>
      </x:c>
      <x:c r="N5238" s="10" t="n">
        <x:v>0</x:v>
      </x:c>
      <x:c r="O5238" s="2" t="str">
        <x:v>Tp Hồ Chí Minh|other_unknown</x:v>
      </x:c>
      <x:c r="P5238" s="10" t="n">
        <x:v>2</x:v>
      </x:c>
      <x:c r="Q5238" s="13" t="n">
        <x:f>IF(H5238="","",H5238/1000000000)</x:f>
        <x:v>4.55</x:v>
      </x:c>
      <x:c r="R5238" s="13" t="n">
        <x:f>IF(I5238="","",I5238/1000000)</x:f>
        <x:v>56.875</x:v>
      </x:c>
    </x:row>
    <x:row r="5239" ht="21" customHeight="1">
      <x:c r="A5239" s="10" t="n">
        <x:v>6877</x:v>
      </x:c>
      <x:c r="B5239" s="2" t="str">
        <x:v>83cbbca58a47079ff3c4</x:v>
      </x:c>
      <x:c r="C5239" s="2" t="str">
        <x:v>Tp Hồ Chí Minh</x:v>
      </x:c>
      <x:c r="D5239" s="2" t="str">
        <x:v>Huyện Nhà Bè</x:v>
      </x:c>
      <x:c r="E5239" s="2" t="str">
        <x:v>house</x:v>
      </x:c>
      <x:c r="F5239" s="2" t="str">
        <x:v>sale_assumed</x:v>
      </x:c>
      <x:c r="G5239" s="11" t="n">
        <x:v>65</x:v>
      </x:c>
      <x:c r="H5239" s="12" t="n">
        <x:v>6500000000</x:v>
      </x:c>
      <x:c r="I5239" s="12" t="n">
        <x:v>100000000</x:v>
      </x:c>
      <x:c r="J5239" s="2" t="str">
        <x:v>total</x:v>
      </x:c>
      <x:c r="K5239" s="2" t="str">
        <x:v>top_level_area</x:v>
      </x:c>
      <x:c r="L5239" s="2" t="str">
        <x:v>property_type_inferred_from_title;transaction_assumed_sale_from_dataset_context</x:v>
      </x:c>
      <x:c r="M5239" s="10" t="n">
        <x:v>0</x:v>
      </x:c>
      <x:c r="N5239" s="10" t="n">
        <x:v>0</x:v>
      </x:c>
      <x:c r="O5239" s="2" t="str">
        <x:v>Tp Hồ Chí Minh|house</x:v>
      </x:c>
      <x:c r="P5239" s="10" t="n">
        <x:v>2</x:v>
      </x:c>
      <x:c r="Q5239" s="13" t="n">
        <x:f>IF(H5239="","",H5239/1000000000)</x:f>
        <x:v>6.5</x:v>
      </x:c>
      <x:c r="R5239" s="13" t="n">
        <x:f>IF(I5239="","",I5239/1000000)</x:f>
        <x:v>100</x:v>
      </x:c>
    </x:row>
    <x:row r="5240" ht="21" customHeight="1">
      <x:c r="A5240" s="10" t="n">
        <x:v>6878</x:v>
      </x:c>
      <x:c r="B5240" s="2" t="str">
        <x:v>6879fcc4b20272a25fb4</x:v>
      </x:c>
      <x:c r="C5240" s="2" t="str">
        <x:v>Bình Phước</x:v>
      </x:c>
      <x:c r="D5240" s="2" t="str">
        <x:v>Huyện Chơn Thành</x:v>
      </x:c>
      <x:c r="E5240" s="2" t="str">
        <x:v>land</x:v>
      </x:c>
      <x:c r="F5240" s="2" t="str">
        <x:v>sale_assumed</x:v>
      </x:c>
      <x:c r="G5240" s="11" t="n">
        <x:v>300</x:v>
      </x:c>
      <x:c r="H5240" s="12" t="n">
        <x:v>780000000</x:v>
      </x:c>
      <x:c r="I5240" s="12" t="n">
        <x:v>2600000</x:v>
      </x:c>
      <x:c r="J5240" s="2" t="str">
        <x:v>total</x:v>
      </x:c>
      <x:c r="K5240" s="2" t="str">
        <x:v>top_level_area</x:v>
      </x:c>
      <x:c r="L5240" s="2" t="str">
        <x:v>property_type_inferred_from_title;transaction_assumed_sale_from_dataset_context</x:v>
      </x:c>
      <x:c r="M5240" s="10" t="n">
        <x:v>0</x:v>
      </x:c>
      <x:c r="N5240" s="10" t="n">
        <x:v>0</x:v>
      </x:c>
      <x:c r="O5240" s="2" t="str">
        <x:v>Bình Phước|land</x:v>
      </x:c>
      <x:c r="P5240" s="10" t="n">
        <x:v>1</x:v>
      </x:c>
      <x:c r="Q5240" s="13" t="n">
        <x:f>IF(H5240="","",H5240/1000000000)</x:f>
        <x:v>0.78</x:v>
      </x:c>
      <x:c r="R5240" s="13" t="n">
        <x:f>IF(I5240="","",I5240/1000000)</x:f>
        <x:v>2.6</x:v>
      </x:c>
    </x:row>
    <x:row r="5241" ht="21" customHeight="1">
      <x:c r="A5241" s="10" t="n">
        <x:v>6879</x:v>
      </x:c>
      <x:c r="B5241" s="2" t="str">
        <x:v>3359cce755e0325cd904</x:v>
      </x:c>
      <x:c r="C5241" s="2" t="str">
        <x:v>Bình Dương</x:v>
      </x:c>
      <x:c r="D5241" s="2" t="str">
        <x:v>Thị xã Bến Cát</x:v>
      </x:c>
      <x:c r="E5241" s="2" t="str">
        <x:v>land</x:v>
      </x:c>
      <x:c r="F5241" s="2" t="str">
        <x:v>sale</x:v>
      </x:c>
      <x:c r="G5241" s="11" t="n">
        <x:v>200</x:v>
      </x:c>
      <x:c r="H5241" s="12" t="n">
        <x:v>670000000</x:v>
      </x:c>
      <x:c r="I5241" s="12" t="n">
        <x:v>3350000</x:v>
      </x:c>
      <x:c r="J5241" s="2" t="str">
        <x:v>total</x:v>
      </x:c>
      <x:c r="K5241" s="2" t="str">
        <x:v>top_level_area</x:v>
      </x:c>
      <x:c r="L5241" s="2" t="str">
        <x:v>property_type_inferred_from_title</x:v>
      </x:c>
      <x:c r="M5241" s="10" t="n">
        <x:v>0</x:v>
      </x:c>
      <x:c r="N5241" s="10" t="n">
        <x:v>0</x:v>
      </x:c>
      <x:c r="O5241" s="2" t="str">
        <x:v>Bình Dương|land</x:v>
      </x:c>
      <x:c r="P5241" s="10" t="n">
        <x:v>1</x:v>
      </x:c>
      <x:c r="Q5241" s="13" t="n">
        <x:f>IF(H5241="","",H5241/1000000000)</x:f>
        <x:v>0.67</x:v>
      </x:c>
      <x:c r="R5241" s="13" t="n">
        <x:f>IF(I5241="","",I5241/1000000)</x:f>
        <x:v>3.35</x:v>
      </x:c>
    </x:row>
    <x:row r="5242" ht="21" customHeight="1">
      <x:c r="A5242" s="10" t="n">
        <x:v>6880</x:v>
      </x:c>
      <x:c r="B5242" s="2" t="str">
        <x:v>cb849b6779cd30cbbdf7</x:v>
      </x:c>
      <x:c r="C5242" s="2" t="str">
        <x:v>Đà Nẵng</x:v>
      </x:c>
      <x:c r="D5242" s="2" t="str">
        <x:v>Quận Cẩm Lệ</x:v>
      </x:c>
      <x:c r="E5242" s="2" t="str">
        <x:v>land</x:v>
      </x:c>
      <x:c r="F5242" s="2" t="str">
        <x:v>sale</x:v>
      </x:c>
      <x:c r="G5242" s="11" t="n">
        <x:v>100</x:v>
      </x:c>
      <x:c r="H5242" s="12" t="n">
        <x:v>2450000000</x:v>
      </x:c>
      <x:c r="I5242" s="12" t="n">
        <x:v>24500000</x:v>
      </x:c>
      <x:c r="J5242" s="2" t="str">
        <x:v>total</x:v>
      </x:c>
      <x:c r="K5242" s="2" t="str">
        <x:v>top_level_area</x:v>
      </x:c>
      <x:c r="L5242" s="2" t="str">
        <x:v>property_type_inferred_from_title</x:v>
      </x:c>
      <x:c r="M5242" s="10" t="n">
        <x:v>0</x:v>
      </x:c>
      <x:c r="N5242" s="10" t="n">
        <x:v>0</x:v>
      </x:c>
      <x:c r="O5242" s="2" t="str">
        <x:v>Đà Nẵng|land</x:v>
      </x:c>
      <x:c r="P5242" s="10" t="n">
        <x:v>2</x:v>
      </x:c>
      <x:c r="Q5242" s="13" t="n">
        <x:f>IF(H5242="","",H5242/1000000000)</x:f>
        <x:v>2.45</x:v>
      </x:c>
      <x:c r="R5242" s="13" t="n">
        <x:f>IF(I5242="","",I5242/1000000)</x:f>
        <x:v>24.5</x:v>
      </x:c>
    </x:row>
    <x:row r="5243" ht="21" customHeight="1">
      <x:c r="A5243" s="10" t="n">
        <x:v>6881</x:v>
      </x:c>
      <x:c r="B5243" s="2" t="str">
        <x:v>c7a575c0465cbd639481</x:v>
      </x:c>
      <x:c r="C5243" s="2" t="str">
        <x:v>Tp Hồ Chí Minh</x:v>
      </x:c>
      <x:c r="D5243" s="2" t="str">
        <x:v>Quận 10</x:v>
      </x:c>
      <x:c r="E5243" s="2" t="str">
        <x:v>other_unknown</x:v>
      </x:c>
      <x:c r="F5243" s="2" t="str">
        <x:v>sale</x:v>
      </x:c>
      <x:c r="G5243" s="11" t="n">
        <x:v>55</x:v>
      </x:c>
      <x:c r="H5243" s="12" t="n">
        <x:v>1560000000</x:v>
      </x:c>
      <x:c r="I5243" s="12" t="n">
        <x:v>28363636.363636363</x:v>
      </x:c>
      <x:c r="J5243" s="2" t="str">
        <x:v>total</x:v>
      </x:c>
      <x:c r="K5243" s="2" t="str">
        <x:v>top_level_area</x:v>
      </x:c>
      <x:c r="L5243" s="2" t="str">
        <x:v>property_type_inferred_from_title;unknown_property_type</x:v>
      </x:c>
      <x:c r="M5243" s="10" t="n">
        <x:v>0</x:v>
      </x:c>
      <x:c r="N5243" s="10" t="n">
        <x:v>0</x:v>
      </x:c>
      <x:c r="O5243" s="2" t="str">
        <x:v>Tp Hồ Chí Minh|other_unknown</x:v>
      </x:c>
      <x:c r="P5243" s="10" t="n">
        <x:v>2</x:v>
      </x:c>
      <x:c r="Q5243" s="13" t="n">
        <x:f>IF(H5243="","",H5243/1000000000)</x:f>
        <x:v>1.56</x:v>
      </x:c>
      <x:c r="R5243" s="13" t="n">
        <x:f>IF(I5243="","",I5243/1000000)</x:f>
        <x:v>28.363636363636363</x:v>
      </x:c>
    </x:row>
    <x:row r="5244" ht="21" customHeight="1">
      <x:c r="A5244" s="10" t="n">
        <x:v>6882</x:v>
      </x:c>
      <x:c r="B5244" s="2" t="str">
        <x:v>db9b9ae305be242e4993</x:v>
      </x:c>
      <x:c r="C5244" s="2" t="str">
        <x:v>Bình Dương</x:v>
      </x:c>
      <x:c r="D5244" s="2" t="str">
        <x:v>Thị xã Bến Cát</x:v>
      </x:c>
      <x:c r="E5244" s="2" t="str">
        <x:v>house</x:v>
      </x:c>
      <x:c r="F5244" s="2" t="str">
        <x:v>sale</x:v>
      </x:c>
      <x:c r="G5244" s="11" t="n">
        <x:v>100</x:v>
      </x:c>
      <x:c r="H5244" s="12" t="n">
        <x:v>1100000000</x:v>
      </x:c>
      <x:c r="I5244" s="12" t="n">
        <x:v>11000000</x:v>
      </x:c>
      <x:c r="J5244" s="2" t="str">
        <x:v>total</x:v>
      </x:c>
      <x:c r="K5244" s="2" t="str">
        <x:v>top_level_area</x:v>
      </x:c>
      <x:c r="L5244" s="2" t="str">
        <x:v>property_type_inferred_from_title</x:v>
      </x:c>
      <x:c r="M5244" s="10" t="n">
        <x:v>0</x:v>
      </x:c>
      <x:c r="N5244" s="10" t="n">
        <x:v>0</x:v>
      </x:c>
      <x:c r="O5244" s="2" t="str">
        <x:v>Bình Dương|house</x:v>
      </x:c>
      <x:c r="P5244" s="10" t="n">
        <x:v>2</x:v>
      </x:c>
      <x:c r="Q5244" s="13" t="n">
        <x:f>IF(H5244="","",H5244/1000000000)</x:f>
        <x:v>1.1</x:v>
      </x:c>
      <x:c r="R5244" s="13" t="n">
        <x:f>IF(I5244="","",I5244/1000000)</x:f>
        <x:v>11</x:v>
      </x:c>
    </x:row>
    <x:row r="5245" ht="21" customHeight="1">
      <x:c r="A5245" s="10" t="n">
        <x:v>6883</x:v>
      </x:c>
      <x:c r="B5245" s="2" t="str">
        <x:v>908355b936a878d8e100</x:v>
      </x:c>
      <x:c r="C5245" s="2" t="str">
        <x:v>Hải Phòng</x:v>
      </x:c>
      <x:c r="D5245" s="2" t="str">
        <x:v>Quận Ngô Quyền</x:v>
      </x:c>
      <x:c r="E5245" s="2" t="str">
        <x:v>house</x:v>
      </x:c>
      <x:c r="F5245" s="2" t="str">
        <x:v>sale</x:v>
      </x:c>
      <x:c r="G5245" s="11" t="n">
        <x:v>114</x:v>
      </x:c>
      <x:c r="H5245" s="12" t="n">
        <x:v>14000000000</x:v>
      </x:c>
      <x:c r="I5245" s="12" t="n">
        <x:v>122807017.54385965</x:v>
      </x:c>
      <x:c r="J5245" s="2" t="str">
        <x:v>total</x:v>
      </x:c>
      <x:c r="K5245" s="2" t="str">
        <x:v>top_level_area</x:v>
      </x:c>
      <x:c r="L5245" s="2" t="str">
        <x:v>property_type_inferred_from_title</x:v>
      </x:c>
      <x:c r="M5245" s="10" t="n">
        <x:v>0</x:v>
      </x:c>
      <x:c r="N5245" s="10" t="n">
        <x:v>0</x:v>
      </x:c>
      <x:c r="O5245" s="2" t="str">
        <x:v>house</x:v>
      </x:c>
      <x:c r="P5245" s="10" t="n">
        <x:v>2</x:v>
      </x:c>
      <x:c r="Q5245" s="13" t="n">
        <x:f>IF(H5245="","",H5245/1000000000)</x:f>
        <x:v>14</x:v>
      </x:c>
      <x:c r="R5245" s="13" t="n">
        <x:f>IF(I5245="","",I5245/1000000)</x:f>
        <x:v>122.80701754385964</x:v>
      </x:c>
    </x:row>
    <x:row r="5246" ht="21" customHeight="1">
      <x:c r="A5246" s="10" t="n">
        <x:v>6884</x:v>
      </x:c>
      <x:c r="B5246" s="2" t="str">
        <x:v>e3319fbd3ca6dedeca25</x:v>
      </x:c>
      <x:c r="C5246" s="2" t="str">
        <x:v>Tp Hồ Chí Minh</x:v>
      </x:c>
      <x:c r="D5246" s="2" t="str">
        <x:v>Quận 12</x:v>
      </x:c>
      <x:c r="E5246" s="2" t="str">
        <x:v>house</x:v>
      </x:c>
      <x:c r="F5246" s="2" t="str">
        <x:v>sale</x:v>
      </x:c>
      <x:c r="G5246" s="11" t="n">
        <x:v>40</x:v>
      </x:c>
      <x:c r="H5246" s="12" t="n">
        <x:v>980000000</x:v>
      </x:c>
      <x:c r="I5246" s="12" t="n">
        <x:v>24500000</x:v>
      </x:c>
      <x:c r="J5246" s="2" t="str">
        <x:v>total</x:v>
      </x:c>
      <x:c r="K5246" s="2" t="str">
        <x:v>top_level_area</x:v>
      </x:c>
      <x:c r="L5246" s="2" t="str">
        <x:v>property_type_inferred_from_title</x:v>
      </x:c>
      <x:c r="M5246" s="10" t="n">
        <x:v>0</x:v>
      </x:c>
      <x:c r="N5246" s="10" t="n">
        <x:v>0</x:v>
      </x:c>
      <x:c r="O5246" s="2" t="str">
        <x:v>Tp Hồ Chí Minh|house</x:v>
      </x:c>
      <x:c r="P5246" s="10" t="n">
        <x:v>2</x:v>
      </x:c>
      <x:c r="Q5246" s="13" t="n">
        <x:f>IF(H5246="","",H5246/1000000000)</x:f>
        <x:v>0.98</x:v>
      </x:c>
      <x:c r="R5246" s="13" t="n">
        <x:f>IF(I5246="","",I5246/1000000)</x:f>
        <x:v>24.5</x:v>
      </x:c>
    </x:row>
    <x:row r="5247" ht="21" customHeight="1">
      <x:c r="A5247" s="10" t="n">
        <x:v>6885</x:v>
      </x:c>
      <x:c r="B5247" s="2" t="str">
        <x:v>df2e19ab56cd5c1a47a5</x:v>
      </x:c>
      <x:c r="C5247" s="2" t="str">
        <x:v>Long An</x:v>
      </x:c>
      <x:c r="D5247" s="2" t="str">
        <x:v>Huyện Đức Hòa</x:v>
      </x:c>
      <x:c r="E5247" s="2" t="str">
        <x:v>land</x:v>
      </x:c>
      <x:c r="F5247" s="2" t="str">
        <x:v>sale_assumed</x:v>
      </x:c>
      <x:c r="G5247" s="11" t="n">
        <x:v>5500</x:v>
      </x:c>
      <x:c r="H5247" s="12" t="n">
        <x:v>5000000000</x:v>
      </x:c>
      <x:c r="I5247" s="12" t="n">
        <x:v>909090.9090909091</x:v>
      </x:c>
      <x:c r="J5247" s="2" t="str">
        <x:v>total</x:v>
      </x:c>
      <x:c r="K5247" s="2" t="str">
        <x:v>top_level_price_embedded_area</x:v>
      </x:c>
      <x:c r="L5247" s="2" t="str">
        <x:v>area_recovered_from_price_text;dot_thousands_convention;property_type_inferred_from_title;transaction_assumed_sale_from_dataset_context</x:v>
      </x:c>
      <x:c r="M5247" s="10" t="n">
        <x:v>0</x:v>
      </x:c>
      <x:c r="N5247" s="10" t="n">
        <x:v>0</x:v>
      </x:c>
      <x:c r="O5247" s="2" t="str">
        <x:v>Long An|land</x:v>
      </x:c>
      <x:c r="P5247" s="10" t="n">
        <x:v>1</x:v>
      </x:c>
      <x:c r="Q5247" s="13" t="n">
        <x:f>IF(H5247="","",H5247/1000000000)</x:f>
        <x:v>5</x:v>
      </x:c>
      <x:c r="R5247" s="13" t="n">
        <x:f>IF(I5247="","",I5247/1000000)</x:f>
        <x:v>0.9090909090909091</x:v>
      </x:c>
    </x:row>
    <x:row r="5248" ht="21" customHeight="1">
      <x:c r="A5248" s="10" t="n">
        <x:v>6886</x:v>
      </x:c>
      <x:c r="B5248" s="2" t="str">
        <x:v>9e514494dc4fbd59ede7</x:v>
      </x:c>
      <x:c r="C5248" s="2" t="str">
        <x:v>Tp Hồ Chí Minh</x:v>
      </x:c>
      <x:c r="D5248" s="2" t="str">
        <x:v>Quận 2</x:v>
      </x:c>
      <x:c r="E5248" s="2" t="str">
        <x:v>house</x:v>
      </x:c>
      <x:c r="F5248" s="2" t="str">
        <x:v>sale_assumed</x:v>
      </x:c>
      <x:c r="G5248" s="11" t="n">
        <x:v>180</x:v>
      </x:c>
      <x:c r="H5248" s="12" t="n">
        <x:v>4890000000</x:v>
      </x:c>
      <x:c r="I5248" s="12" t="n">
        <x:v>27166666.666666668</x:v>
      </x:c>
      <x:c r="J5248" s="2" t="str">
        <x:v>total</x:v>
      </x:c>
      <x:c r="K5248" s="2" t="str">
        <x:v>top_level_area</x:v>
      </x:c>
      <x:c r="L5248" s="2" t="str">
        <x:v>property_type_inferred_from_title;transaction_assumed_sale_from_dataset_context</x:v>
      </x:c>
      <x:c r="M5248" s="10" t="n">
        <x:v>0</x:v>
      </x:c>
      <x:c r="N5248" s="10" t="n">
        <x:v>0</x:v>
      </x:c>
      <x:c r="O5248" s="2" t="str">
        <x:v>Tp Hồ Chí Minh|house</x:v>
      </x:c>
      <x:c r="P5248" s="10" t="n">
        <x:v>2</x:v>
      </x:c>
      <x:c r="Q5248" s="13" t="n">
        <x:f>IF(H5248="","",H5248/1000000000)</x:f>
        <x:v>4.89</x:v>
      </x:c>
      <x:c r="R5248" s="13" t="n">
        <x:f>IF(I5248="","",I5248/1000000)</x:f>
        <x:v>27.166666666666668</x:v>
      </x:c>
    </x:row>
    <x:row r="5249" ht="21" customHeight="1">
      <x:c r="A5249" s="10" t="n">
        <x:v>6887</x:v>
      </x:c>
      <x:c r="B5249" s="2" t="str">
        <x:v>cf2a6f3e4eee342b4229</x:v>
      </x:c>
      <x:c r="C5249" s="2" t="str">
        <x:v>Tp Hồ Chí Minh</x:v>
      </x:c>
      <x:c r="D5249" s="2" t="str">
        <x:v>Quận 12</x:v>
      </x:c>
      <x:c r="E5249" s="2" t="str">
        <x:v>house</x:v>
      </x:c>
      <x:c r="F5249" s="2" t="str">
        <x:v>sale_assumed</x:v>
      </x:c>
      <x:c r="G5249" s="11" t="n">
        <x:v>68</x:v>
      </x:c>
      <x:c r="H5249" s="12" t="n">
        <x:v>2700000000</x:v>
      </x:c>
      <x:c r="I5249" s="12" t="n">
        <x:v>39705882.35294118</x:v>
      </x:c>
      <x:c r="J5249" s="2" t="str">
        <x:v>total</x:v>
      </x:c>
      <x:c r="K5249" s="2" t="str">
        <x:v>top_level_area</x:v>
      </x:c>
      <x:c r="L5249" s="2" t="str">
        <x:v>property_type_inferred_from_title;transaction_assumed_sale_from_dataset_context</x:v>
      </x:c>
      <x:c r="M5249" s="10" t="n">
        <x:v>0</x:v>
      </x:c>
      <x:c r="N5249" s="10" t="n">
        <x:v>0</x:v>
      </x:c>
      <x:c r="O5249" s="2" t="str">
        <x:v>Tp Hồ Chí Minh|house</x:v>
      </x:c>
      <x:c r="P5249" s="10" t="n">
        <x:v>2</x:v>
      </x:c>
      <x:c r="Q5249" s="13" t="n">
        <x:f>IF(H5249="","",H5249/1000000000)</x:f>
        <x:v>2.7</x:v>
      </x:c>
      <x:c r="R5249" s="13" t="n">
        <x:f>IF(I5249="","",I5249/1000000)</x:f>
        <x:v>39.70588235294118</x:v>
      </x:c>
    </x:row>
    <x:row r="5250" ht="21" customHeight="1">
      <x:c r="A5250" s="10" t="n">
        <x:v>6888</x:v>
      </x:c>
      <x:c r="B5250" s="2" t="str">
        <x:v>af7d621f6450cf19ee52</x:v>
      </x:c>
      <x:c r="C5250" s="2" t="str">
        <x:v>Cần Thơ</x:v>
      </x:c>
      <x:c r="D5250" s="2" t="str">
        <x:v>Quận Ninh Kiều</x:v>
      </x:c>
      <x:c r="E5250" s="2" t="str">
        <x:v>house</x:v>
      </x:c>
      <x:c r="F5250" s="2" t="str">
        <x:v>sale_assumed</x:v>
      </x:c>
      <x:c r="G5250" s="11" t="n">
        <x:v>20</x:v>
      </x:c>
      <x:c r="H5250" s="12" t="n">
        <x:v>790000000</x:v>
      </x:c>
      <x:c r="I5250" s="12" t="n">
        <x:v>39500000</x:v>
      </x:c>
      <x:c r="J5250" s="2" t="str">
        <x:v>total</x:v>
      </x:c>
      <x:c r="K5250" s="2" t="str">
        <x:v>top_level_area</x:v>
      </x:c>
      <x:c r="L5250" s="2" t="str">
        <x:v>property_type_inferred_from_title;transaction_assumed_sale_from_dataset_context</x:v>
      </x:c>
      <x:c r="M5250" s="10" t="n">
        <x:v>0</x:v>
      </x:c>
      <x:c r="N5250" s="10" t="n">
        <x:v>0</x:v>
      </x:c>
      <x:c r="O5250" s="2" t="str">
        <x:v>Cần Thơ|house</x:v>
      </x:c>
      <x:c r="P5250" s="10" t="n">
        <x:v>2</x:v>
      </x:c>
      <x:c r="Q5250" s="13" t="n">
        <x:f>IF(H5250="","",H5250/1000000000)</x:f>
        <x:v>0.79</x:v>
      </x:c>
      <x:c r="R5250" s="13" t="n">
        <x:f>IF(I5250="","",I5250/1000000)</x:f>
        <x:v>39.5</x:v>
      </x:c>
    </x:row>
    <x:row r="5251" ht="21" customHeight="1">
      <x:c r="A5251" s="10" t="n">
        <x:v>6891</x:v>
      </x:c>
      <x:c r="B5251" s="2" t="str">
        <x:v>c2dbf5871fd2787c2768</x:v>
      </x:c>
      <x:c r="C5251" s="2" t="str">
        <x:v>Hà Nội</x:v>
      </x:c>
      <x:c r="D5251" s="2" t="str">
        <x:v>Quận Hai Bà Trưng</x:v>
      </x:c>
      <x:c r="E5251" s="2" t="str">
        <x:v>house</x:v>
      </x:c>
      <x:c r="F5251" s="2" t="str">
        <x:v>sale</x:v>
      </x:c>
      <x:c r="G5251" s="11" t="n">
        <x:v>38</x:v>
      </x:c>
      <x:c r="H5251" s="12" t="n">
        <x:v>3300000000</x:v>
      </x:c>
      <x:c r="I5251" s="12" t="n">
        <x:v>86842105.26315789</x:v>
      </x:c>
      <x:c r="J5251" s="2" t="str">
        <x:v>total</x:v>
      </x:c>
      <x:c r="K5251" s="2" t="str">
        <x:v>top_level_area</x:v>
      </x:c>
      <x:c r="L5251" s="2" t="str">
        <x:v>property_type_inferred_from_title</x:v>
      </x:c>
      <x:c r="M5251" s="10" t="n">
        <x:v>0</x:v>
      </x:c>
      <x:c r="N5251" s="10" t="n">
        <x:v>0</x:v>
      </x:c>
      <x:c r="O5251" s="2" t="str">
        <x:v>Hà Nội|house</x:v>
      </x:c>
      <x:c r="P5251" s="10" t="n">
        <x:v>2</x:v>
      </x:c>
      <x:c r="Q5251" s="13" t="n">
        <x:f>IF(H5251="","",H5251/1000000000)</x:f>
        <x:v>3.3</x:v>
      </x:c>
      <x:c r="R5251" s="13" t="n">
        <x:f>IF(I5251="","",I5251/1000000)</x:f>
        <x:v>86.84210526315789</x:v>
      </x:c>
    </x:row>
    <x:row r="5252" ht="21" customHeight="1">
      <x:c r="A5252" s="10" t="n">
        <x:v>6892</x:v>
      </x:c>
      <x:c r="B5252" s="2" t="str">
        <x:v>791a79d6a6b1f2df6d40</x:v>
      </x:c>
      <x:c r="C5252" s="2" t="str">
        <x:v>Tp Hồ Chí Minh</x:v>
      </x:c>
      <x:c r="D5252" s="2" t="str">
        <x:v>Quận Tân Phú</x:v>
      </x:c>
      <x:c r="E5252" s="2" t="str">
        <x:v>house</x:v>
      </x:c>
      <x:c r="F5252" s="2" t="str">
        <x:v>sale_assumed</x:v>
      </x:c>
      <x:c r="G5252" s="11" t="n">
        <x:v>60</x:v>
      </x:c>
      <x:c r="H5252" s="12" t="n">
        <x:v>4150000000.0000005</x:v>
      </x:c>
      <x:c r="I5252" s="12" t="n">
        <x:v>69166666.66666667</x:v>
      </x:c>
      <x:c r="J5252" s="2" t="str">
        <x:v>total</x:v>
      </x:c>
      <x:c r="K5252" s="2" t="str">
        <x:v>top_level_area</x:v>
      </x:c>
      <x:c r="L5252" s="2" t="str">
        <x:v>property_type_inferred_from_title;transaction_assumed_sale_from_dataset_context</x:v>
      </x:c>
      <x:c r="M5252" s="10" t="n">
        <x:v>0</x:v>
      </x:c>
      <x:c r="N5252" s="10" t="n">
        <x:v>0</x:v>
      </x:c>
      <x:c r="O5252" s="2" t="str">
        <x:v>Tp Hồ Chí Minh|house</x:v>
      </x:c>
      <x:c r="P5252" s="10" t="n">
        <x:v>2</x:v>
      </x:c>
      <x:c r="Q5252" s="13" t="n">
        <x:f>IF(H5252="","",H5252/1000000000)</x:f>
        <x:v>4.15</x:v>
      </x:c>
      <x:c r="R5252" s="13" t="n">
        <x:f>IF(I5252="","",I5252/1000000)</x:f>
        <x:v>69.16666666666667</x:v>
      </x:c>
    </x:row>
    <x:row r="5253" ht="21" customHeight="1">
      <x:c r="A5253" s="10" t="n">
        <x:v>6893</x:v>
      </x:c>
      <x:c r="B5253" s="2" t="str">
        <x:v>170ddef8edd60f1c92ed</x:v>
      </x:c>
      <x:c r="C5253" s="2" t="str">
        <x:v>Tp Hồ Chí Minh</x:v>
      </x:c>
      <x:c r="D5253" s="2" t="str">
        <x:v>Quận Tân Phú</x:v>
      </x:c>
      <x:c r="E5253" s="2" t="str">
        <x:v>other_unknown</x:v>
      </x:c>
      <x:c r="F5253" s="2" t="str">
        <x:v>sale_assumed</x:v>
      </x:c>
      <x:c r="G5253" s="11" t="n">
        <x:v>20</x:v>
      </x:c>
      <x:c r="H5253" s="12" t="n">
        <x:v>2400000000</x:v>
      </x:c>
      <x:c r="I5253" s="12" t="n">
        <x:v>120000000</x:v>
      </x:c>
      <x:c r="J5253" s="2" t="str">
        <x:v>total</x:v>
      </x:c>
      <x:c r="K5253" s="2" t="str">
        <x:v>top_level_area</x:v>
      </x:c>
      <x:c r="L5253" s="2" t="str">
        <x:v>property_type_inferred_from_title;transaction_assumed_sale_from_dataset_context;unknown_property_type</x:v>
      </x:c>
      <x:c r="M5253" s="10" t="n">
        <x:v>0</x:v>
      </x:c>
      <x:c r="N5253" s="10" t="n">
        <x:v>0</x:v>
      </x:c>
      <x:c r="O5253" s="2" t="str">
        <x:v>Tp Hồ Chí Minh|other_unknown</x:v>
      </x:c>
      <x:c r="P5253" s="10" t="n">
        <x:v>2</x:v>
      </x:c>
      <x:c r="Q5253" s="13" t="n">
        <x:f>IF(H5253="","",H5253/1000000000)</x:f>
        <x:v>2.4</x:v>
      </x:c>
      <x:c r="R5253" s="13" t="n">
        <x:f>IF(I5253="","",I5253/1000000)</x:f>
        <x:v>120</x:v>
      </x:c>
    </x:row>
    <x:row r="5254" ht="21" customHeight="1">
      <x:c r="A5254" s="10" t="n">
        <x:v>6894</x:v>
      </x:c>
      <x:c r="B5254" s="2" t="str">
        <x:v>65f3d7d0bb0a9f970fe5</x:v>
      </x:c>
      <x:c r="C5254" s="2" t="str">
        <x:v>Tp Hồ Chí Minh</x:v>
      </x:c>
      <x:c r="D5254" s="2" t="str">
        <x:v>Quận 11</x:v>
      </x:c>
      <x:c r="E5254" s="2" t="str">
        <x:v>house</x:v>
      </x:c>
      <x:c r="F5254" s="2" t="str">
        <x:v>sale_assumed</x:v>
      </x:c>
      <x:c r="G5254" s="11" t="n">
        <x:v>36.1</x:v>
      </x:c>
      <x:c r="H5254" s="12" t="n">
        <x:v>3600000000</x:v>
      </x:c>
      <x:c r="I5254" s="12" t="n">
        <x:v>99722991.68975069</x:v>
      </x:c>
      <x:c r="J5254" s="2" t="str">
        <x:v>total</x:v>
      </x:c>
      <x:c r="K5254" s="2" t="str">
        <x:v>top_level_area</x:v>
      </x:c>
      <x:c r="L5254" s="2" t="str">
        <x:v>property_type_inferred_from_title;transaction_assumed_sale_from_dataset_context</x:v>
      </x:c>
      <x:c r="M5254" s="10" t="n">
        <x:v>0</x:v>
      </x:c>
      <x:c r="N5254" s="10" t="n">
        <x:v>0</x:v>
      </x:c>
      <x:c r="O5254" s="2" t="str">
        <x:v>Tp Hồ Chí Minh|house</x:v>
      </x:c>
      <x:c r="P5254" s="10" t="n">
        <x:v>2</x:v>
      </x:c>
      <x:c r="Q5254" s="13" t="n">
        <x:f>IF(H5254="","",H5254/1000000000)</x:f>
        <x:v>3.6</x:v>
      </x:c>
      <x:c r="R5254" s="13" t="n">
        <x:f>IF(I5254="","",I5254/1000000)</x:f>
        <x:v>99.72299168975069</x:v>
      </x:c>
    </x:row>
    <x:row r="5255" ht="21" customHeight="1">
      <x:c r="A5255" s="10" t="n">
        <x:v>6895</x:v>
      </x:c>
      <x:c r="B5255" s="2" t="str">
        <x:v>6176402f4dca858fe976</x:v>
      </x:c>
      <x:c r="C5255" s="2" t="str">
        <x:v>Long An</x:v>
      </x:c>
      <x:c r="D5255" s="2" t="str">
        <x:v>Huyện Đức Hòa</x:v>
      </x:c>
      <x:c r="E5255" s="2" t="str">
        <x:v>house</x:v>
      </x:c>
      <x:c r="F5255" s="2" t="str">
        <x:v>sale</x:v>
      </x:c>
      <x:c r="G5255" s="11" t="n">
        <x:v>250</x:v>
      </x:c>
      <x:c r="H5255" s="12" t="n">
        <x:v>4500000000</x:v>
      </x:c>
      <x:c r="I5255" s="12" t="n">
        <x:v>18000000</x:v>
      </x:c>
      <x:c r="J5255" s="2" t="str">
        <x:v>total</x:v>
      </x:c>
      <x:c r="K5255" s="2" t="str">
        <x:v>top_level_area</x:v>
      </x:c>
      <x:c r="L5255" s="2" t="str">
        <x:v>property_type_inferred_from_title</x:v>
      </x:c>
      <x:c r="M5255" s="10" t="n">
        <x:v>0</x:v>
      </x:c>
      <x:c r="N5255" s="10" t="n">
        <x:v>0</x:v>
      </x:c>
      <x:c r="O5255" s="2" t="str">
        <x:v>Long An|house</x:v>
      </x:c>
      <x:c r="P5255" s="10" t="n">
        <x:v>2</x:v>
      </x:c>
      <x:c r="Q5255" s="13" t="n">
        <x:f>IF(H5255="","",H5255/1000000000)</x:f>
        <x:v>4.5</x:v>
      </x:c>
      <x:c r="R5255" s="13" t="n">
        <x:f>IF(I5255="","",I5255/1000000)</x:f>
        <x:v>18</x:v>
      </x:c>
    </x:row>
    <x:row r="5256" ht="21" customHeight="1">
      <x:c r="A5256" s="10" t="n">
        <x:v>6896</x:v>
      </x:c>
      <x:c r="B5256" s="2" t="str">
        <x:v>d53d19b6de7e8c9e5152</x:v>
      </x:c>
      <x:c r="C5256" s="2" t="str">
        <x:v>Tp Hồ Chí Minh</x:v>
      </x:c>
      <x:c r="D5256" s="2" t="str">
        <x:v>Quận Bình Tân</x:v>
      </x:c>
      <x:c r="E5256" s="2" t="str">
        <x:v>other_unknown</x:v>
      </x:c>
      <x:c r="F5256" s="2" t="str">
        <x:v>sale_assumed</x:v>
      </x:c>
      <x:c r="G5256" s="11" t="n">
        <x:v>86.4</x:v>
      </x:c>
      <x:c r="H5256" s="12" t="n">
        <x:v>3950000000</x:v>
      </x:c>
      <x:c r="I5256" s="12" t="n">
        <x:v>45717592.59259259</x:v>
      </x:c>
      <x:c r="J5256" s="2" t="str">
        <x:v>total</x:v>
      </x:c>
      <x:c r="K5256" s="2" t="str">
        <x:v>top_level_area</x:v>
      </x:c>
      <x:c r="L5256" s="2" t="str">
        <x:v>property_type_inferred_from_title;transaction_assumed_sale_from_dataset_context;unknown_property_type</x:v>
      </x:c>
      <x:c r="M5256" s="10" t="n">
        <x:v>0</x:v>
      </x:c>
      <x:c r="N5256" s="10" t="n">
        <x:v>0</x:v>
      </x:c>
      <x:c r="O5256" s="2" t="str">
        <x:v>Tp Hồ Chí Minh|other_unknown</x:v>
      </x:c>
      <x:c r="P5256" s="10" t="n">
        <x:v>2</x:v>
      </x:c>
      <x:c r="Q5256" s="13" t="n">
        <x:f>IF(H5256="","",H5256/1000000000)</x:f>
        <x:v>3.95</x:v>
      </x:c>
      <x:c r="R5256" s="13" t="n">
        <x:f>IF(I5256="","",I5256/1000000)</x:f>
        <x:v>45.71759259259259</x:v>
      </x:c>
    </x:row>
    <x:row r="5257" ht="21" customHeight="1">
      <x:c r="A5257" s="10" t="n">
        <x:v>6897</x:v>
      </x:c>
      <x:c r="B5257" s="2" t="str">
        <x:v>7e96e353e048c1e28348</x:v>
      </x:c>
      <x:c r="C5257" s="2" t="str">
        <x:v>Đà Nẵng</x:v>
      </x:c>
      <x:c r="D5257" s="2" t="str">
        <x:v>Huyện Hòa Vang</x:v>
      </x:c>
      <x:c r="E5257" s="2" t="str">
        <x:v>house</x:v>
      </x:c>
      <x:c r="F5257" s="2" t="str">
        <x:v>sale</x:v>
      </x:c>
      <x:c r="G5257" s="11" t="n">
        <x:v>200</x:v>
      </x:c>
      <x:c r="H5257" s="12" t="n">
        <x:v>2600000000</x:v>
      </x:c>
      <x:c r="I5257" s="12" t="n">
        <x:v>13000000</x:v>
      </x:c>
      <x:c r="J5257" s="2" t="str">
        <x:v>total</x:v>
      </x:c>
      <x:c r="K5257" s="2" t="str">
        <x:v>top_level_area</x:v>
      </x:c>
      <x:c r="L5257" s="2" t="str">
        <x:v>property_type_inferred_from_title</x:v>
      </x:c>
      <x:c r="M5257" s="10" t="n">
        <x:v>0</x:v>
      </x:c>
      <x:c r="N5257" s="10" t="n">
        <x:v>0</x:v>
      </x:c>
      <x:c r="O5257" s="2" t="str">
        <x:v>Đà Nẵng|house</x:v>
      </x:c>
      <x:c r="P5257" s="10" t="n">
        <x:v>2</x:v>
      </x:c>
      <x:c r="Q5257" s="13" t="n">
        <x:f>IF(H5257="","",H5257/1000000000)</x:f>
        <x:v>2.6</x:v>
      </x:c>
      <x:c r="R5257" s="13" t="n">
        <x:f>IF(I5257="","",I5257/1000000)</x:f>
        <x:v>13</x:v>
      </x:c>
    </x:row>
    <x:row r="5258" ht="21" customHeight="1">
      <x:c r="A5258" s="10" t="n">
        <x:v>6898</x:v>
      </x:c>
      <x:c r="B5258" s="2" t="str">
        <x:v>ae5d63037220b829ecdb</x:v>
      </x:c>
      <x:c r="C5258" s="2" t="str">
        <x:v>Hà Nội</x:v>
      </x:c>
      <x:c r="D5258" s="2" t="str">
        <x:v>Quận Ba Đình</x:v>
      </x:c>
      <x:c r="E5258" s="2" t="str">
        <x:v>house</x:v>
      </x:c>
      <x:c r="F5258" s="2" t="str">
        <x:v>sale_assumed</x:v>
      </x:c>
      <x:c r="G5258" s="11" t="n">
        <x:v>37</x:v>
      </x:c>
      <x:c r="H5258" s="12" t="n">
        <x:v>4900000000</x:v>
      </x:c>
      <x:c r="I5258" s="12" t="n">
        <x:v>132432432.43243243</x:v>
      </x:c>
      <x:c r="J5258" s="2" t="str">
        <x:v>total</x:v>
      </x:c>
      <x:c r="K5258" s="2" t="str">
        <x:v>top_level_area</x:v>
      </x:c>
      <x:c r="L5258" s="2" t="str">
        <x:v>property_type_inferred_from_title;transaction_assumed_sale_from_dataset_context</x:v>
      </x:c>
      <x:c r="M5258" s="10" t="n">
        <x:v>0</x:v>
      </x:c>
      <x:c r="N5258" s="10" t="n">
        <x:v>0</x:v>
      </x:c>
      <x:c r="O5258" s="2" t="str">
        <x:v>Hà Nội|house</x:v>
      </x:c>
      <x:c r="P5258" s="10" t="n">
        <x:v>2</x:v>
      </x:c>
      <x:c r="Q5258" s="13" t="n">
        <x:f>IF(H5258="","",H5258/1000000000)</x:f>
        <x:v>4.9</x:v>
      </x:c>
      <x:c r="R5258" s="13" t="n">
        <x:f>IF(I5258="","",I5258/1000000)</x:f>
        <x:v>132.43243243243242</x:v>
      </x:c>
    </x:row>
    <x:row r="5259" ht="21" customHeight="1">
      <x:c r="A5259" s="10" t="n">
        <x:v>6899</x:v>
      </x:c>
      <x:c r="B5259" s="2" t="str">
        <x:v>9a8aadc2f51d9f5172da</x:v>
      </x:c>
      <x:c r="C5259" s="2" t="str">
        <x:v>Đồng Nai</x:v>
      </x:c>
      <x:c r="D5259" s="2" t="str">
        <x:v>Thành phố Biên Hòa</x:v>
      </x:c>
      <x:c r="E5259" s="2" t="str">
        <x:v>house</x:v>
      </x:c>
      <x:c r="F5259" s="2" t="str">
        <x:v>sale</x:v>
      </x:c>
      <x:c r="G5259" s="11" t="n">
        <x:v>425</x:v>
      </x:c>
      <x:c r="H5259" s="12" t="n">
        <x:v>8500000000</x:v>
      </x:c>
      <x:c r="I5259" s="12" t="n">
        <x:v>20000000</x:v>
      </x:c>
      <x:c r="J5259" s="2" t="str">
        <x:v>total</x:v>
      </x:c>
      <x:c r="K5259" s="2" t="str">
        <x:v>top_level_area</x:v>
      </x:c>
      <x:c r="L5259" s="2" t="str">
        <x:v>property_type_inferred_from_title</x:v>
      </x:c>
      <x:c r="M5259" s="10" t="n">
        <x:v>0</x:v>
      </x:c>
      <x:c r="N5259" s="10" t="n">
        <x:v>0</x:v>
      </x:c>
      <x:c r="O5259" s="2" t="str">
        <x:v>Đồng Nai|house</x:v>
      </x:c>
      <x:c r="P5259" s="10" t="n">
        <x:v>2</x:v>
      </x:c>
      <x:c r="Q5259" s="13" t="n">
        <x:f>IF(H5259="","",H5259/1000000000)</x:f>
        <x:v>8.5</x:v>
      </x:c>
      <x:c r="R5259" s="13" t="n">
        <x:f>IF(I5259="","",I5259/1000000)</x:f>
        <x:v>20</x:v>
      </x:c>
    </x:row>
    <x:row r="5260" ht="21" customHeight="1">
      <x:c r="A5260" s="10" t="n">
        <x:v>6900</x:v>
      </x:c>
      <x:c r="B5260" s="2" t="str">
        <x:v>3173e636282ffe7dcd4d</x:v>
      </x:c>
      <x:c r="C5260" s="2" t="str">
        <x:v>Tp Hồ Chí Minh</x:v>
      </x:c>
      <x:c r="D5260" s="2" t="str">
        <x:v>Quận Phú Nhuận</x:v>
      </x:c>
      <x:c r="E5260" s="2" t="str">
        <x:v>house</x:v>
      </x:c>
      <x:c r="F5260" s="2" t="str">
        <x:v>sale_assumed</x:v>
      </x:c>
      <x:c r="G5260" s="11" t="n">
        <x:v>70</x:v>
      </x:c>
      <x:c r="H5260" s="12" t="n">
        <x:v>1200000000</x:v>
      </x:c>
      <x:c r="I5260" s="12" t="n">
        <x:v>17142857.14285714</x:v>
      </x:c>
      <x:c r="J5260" s="2" t="str">
        <x:v>total</x:v>
      </x:c>
      <x:c r="K5260" s="2" t="str">
        <x:v>top_level_area</x:v>
      </x:c>
      <x:c r="L5260" s="2" t="str">
        <x:v>property_type_inferred_from_title;transaction_assumed_sale_from_dataset_context</x:v>
      </x:c>
      <x:c r="M5260" s="10" t="n">
        <x:v>0</x:v>
      </x:c>
      <x:c r="N5260" s="10" t="n">
        <x:v>0</x:v>
      </x:c>
      <x:c r="O5260" s="2" t="str">
        <x:v>Tp Hồ Chí Minh|house</x:v>
      </x:c>
      <x:c r="P5260" s="10" t="n">
        <x:v>2</x:v>
      </x:c>
      <x:c r="Q5260" s="13" t="n">
        <x:f>IF(H5260="","",H5260/1000000000)</x:f>
        <x:v>1.2</x:v>
      </x:c>
      <x:c r="R5260" s="13" t="n">
        <x:f>IF(I5260="","",I5260/1000000)</x:f>
        <x:v>17.142857142857142</x:v>
      </x:c>
    </x:row>
    <x:row r="5261" ht="21" customHeight="1">
      <x:c r="A5261" s="10" t="n">
        <x:v>6901</x:v>
      </x:c>
      <x:c r="B5261" s="2" t="str">
        <x:v>68ad2bd82e3243156e1b</x:v>
      </x:c>
      <x:c r="C5261" s="2" t="str">
        <x:v>Tp Hồ Chí Minh</x:v>
      </x:c>
      <x:c r="D5261" s="2" t="str">
        <x:v>Quận 12</x:v>
      </x:c>
      <x:c r="E5261" s="2" t="str">
        <x:v>house</x:v>
      </x:c>
      <x:c r="F5261" s="2" t="str">
        <x:v>sale</x:v>
      </x:c>
      <x:c r="G5261" s="11" t="n">
        <x:v>36</x:v>
      </x:c>
      <x:c r="H5261" s="12" t="n">
        <x:v>830000000</x:v>
      </x:c>
      <x:c r="I5261" s="12" t="n">
        <x:v>23055555.555555556</x:v>
      </x:c>
      <x:c r="J5261" s="2" t="str">
        <x:v>total</x:v>
      </x:c>
      <x:c r="K5261" s="2" t="str">
        <x:v>top_level_area</x:v>
      </x:c>
      <x:c r="L5261" s="2" t="str">
        <x:v>property_type_inferred_from_title</x:v>
      </x:c>
      <x:c r="M5261" s="10" t="n">
        <x:v>0</x:v>
      </x:c>
      <x:c r="N5261" s="10" t="n">
        <x:v>0</x:v>
      </x:c>
      <x:c r="O5261" s="2" t="str">
        <x:v>Tp Hồ Chí Minh|house</x:v>
      </x:c>
      <x:c r="P5261" s="10" t="n">
        <x:v>2</x:v>
      </x:c>
      <x:c r="Q5261" s="13" t="n">
        <x:f>IF(H5261="","",H5261/1000000000)</x:f>
        <x:v>0.83</x:v>
      </x:c>
      <x:c r="R5261" s="13" t="n">
        <x:f>IF(I5261="","",I5261/1000000)</x:f>
        <x:v>23.055555555555557</x:v>
      </x:c>
    </x:row>
    <x:row r="5262" ht="21" customHeight="1">
      <x:c r="A5262" s="10" t="n">
        <x:v>6902</x:v>
      </x:c>
      <x:c r="B5262" s="2" t="str">
        <x:v>43b4e793b6b1a9f51fcd</x:v>
      </x:c>
      <x:c r="C5262" s="2" t="str">
        <x:v>Bình Dương</x:v>
      </x:c>
      <x:c r="D5262" s="2" t="str">
        <x:v>Thành phố Thủ Dầu Một</x:v>
      </x:c>
      <x:c r="E5262" s="2" t="str">
        <x:v>other_unknown</x:v>
      </x:c>
      <x:c r="F5262" s="2" t="str">
        <x:v>sale_assumed</x:v>
      </x:c>
      <x:c r="G5262" s="11" t="n">
        <x:v>100</x:v>
      </x:c>
      <x:c r="H5262" s="12" t="n">
        <x:v>1000000000</x:v>
      </x:c>
      <x:c r="I5262" s="12" t="n">
        <x:v>10000000</x:v>
      </x:c>
      <x:c r="J5262" s="2" t="str">
        <x:v>total</x:v>
      </x:c>
      <x:c r="K5262" s="2" t="str">
        <x:v>top_level_area</x:v>
      </x:c>
      <x:c r="L5262" s="2" t="str">
        <x:v>property_type_inferred_from_title;transaction_assumed_sale_from_dataset_context;unknown_property_type</x:v>
      </x:c>
      <x:c r="M5262" s="10" t="n">
        <x:v>0</x:v>
      </x:c>
      <x:c r="N5262" s="10" t="n">
        <x:v>0</x:v>
      </x:c>
      <x:c r="O5262" s="2" t="str">
        <x:v>Bình Dương|other_unknown</x:v>
      </x:c>
      <x:c r="P5262" s="10" t="n">
        <x:v>2</x:v>
      </x:c>
      <x:c r="Q5262" s="13" t="n">
        <x:f>IF(H5262="","",H5262/1000000000)</x:f>
        <x:v>1</x:v>
      </x:c>
      <x:c r="R5262" s="13" t="n">
        <x:f>IF(I5262="","",I5262/1000000)</x:f>
        <x:v>10</x:v>
      </x:c>
    </x:row>
    <x:row r="5263" ht="21" customHeight="1">
      <x:c r="A5263" s="10" t="n">
        <x:v>6903</x:v>
      </x:c>
      <x:c r="B5263" s="2" t="str">
        <x:v>22a3532c9dd7495ea71f</x:v>
      </x:c>
      <x:c r="C5263" s="2" t="str">
        <x:v>Tp Hồ Chí Minh</x:v>
      </x:c>
      <x:c r="D5263" s="2" t="str">
        <x:v>Quận Gò Vấp</x:v>
      </x:c>
      <x:c r="E5263" s="2" t="str">
        <x:v>house</x:v>
      </x:c>
      <x:c r="F5263" s="2" t="str">
        <x:v>sale</x:v>
      </x:c>
      <x:c r="G5263" s="11" t="n">
        <x:v>36</x:v>
      </x:c>
      <x:c r="H5263" s="12" t="n">
        <x:v>4200000000</x:v>
      </x:c>
      <x:c r="I5263" s="12" t="n">
        <x:v>116666666.66666667</x:v>
      </x:c>
      <x:c r="J5263" s="2" t="str">
        <x:v>total</x:v>
      </x:c>
      <x:c r="K5263" s="2" t="str">
        <x:v>top_level_area</x:v>
      </x:c>
      <x:c r="L5263" s="2" t="str">
        <x:v>property_type_inferred_from_title</x:v>
      </x:c>
      <x:c r="M5263" s="10" t="n">
        <x:v>0</x:v>
      </x:c>
      <x:c r="N5263" s="10" t="n">
        <x:v>0</x:v>
      </x:c>
      <x:c r="O5263" s="2" t="str">
        <x:v>Tp Hồ Chí Minh|house</x:v>
      </x:c>
      <x:c r="P5263" s="10" t="n">
        <x:v>2</x:v>
      </x:c>
      <x:c r="Q5263" s="13" t="n">
        <x:f>IF(H5263="","",H5263/1000000000)</x:f>
        <x:v>4.2</x:v>
      </x:c>
      <x:c r="R5263" s="13" t="n">
        <x:f>IF(I5263="","",I5263/1000000)</x:f>
        <x:v>116.66666666666667</x:v>
      </x:c>
    </x:row>
    <x:row r="5264" ht="21" customHeight="1">
      <x:c r="A5264" s="10" t="n">
        <x:v>6904</x:v>
      </x:c>
      <x:c r="B5264" s="2" t="str">
        <x:v>4cbb5892bbf2b2902846</x:v>
      </x:c>
      <x:c r="C5264" s="2" t="str">
        <x:v>Cần Thơ</x:v>
      </x:c>
      <x:c r="D5264" s="2" t="str">
        <x:v>Quận Ninh Kiều</x:v>
      </x:c>
      <x:c r="E5264" s="2" t="str">
        <x:v>house</x:v>
      </x:c>
      <x:c r="F5264" s="2" t="str">
        <x:v>sale</x:v>
      </x:c>
      <x:c r="G5264" s="11" t="n">
        <x:v>90</x:v>
      </x:c>
      <x:c r="H5264" s="12" t="n">
        <x:v>5900000000</x:v>
      </x:c>
      <x:c r="I5264" s="12" t="n">
        <x:v>65555555.55555555</x:v>
      </x:c>
      <x:c r="J5264" s="2" t="str">
        <x:v>total</x:v>
      </x:c>
      <x:c r="K5264" s="2" t="str">
        <x:v>top_level_area</x:v>
      </x:c>
      <x:c r="L5264" s="2" t="str">
        <x:v>property_type_inferred_from_title</x:v>
      </x:c>
      <x:c r="M5264" s="10" t="n">
        <x:v>0</x:v>
      </x:c>
      <x:c r="N5264" s="10" t="n">
        <x:v>0</x:v>
      </x:c>
      <x:c r="O5264" s="2" t="str">
        <x:v>Cần Thơ|house</x:v>
      </x:c>
      <x:c r="P5264" s="10" t="n">
        <x:v>2</x:v>
      </x:c>
      <x:c r="Q5264" s="13" t="n">
        <x:f>IF(H5264="","",H5264/1000000000)</x:f>
        <x:v>5.9</x:v>
      </x:c>
      <x:c r="R5264" s="13" t="n">
        <x:f>IF(I5264="","",I5264/1000000)</x:f>
        <x:v>65.55555555555556</x:v>
      </x:c>
    </x:row>
    <x:row r="5265" ht="21" customHeight="1">
      <x:c r="A5265" s="10" t="n">
        <x:v>6905</x:v>
      </x:c>
      <x:c r="B5265" s="2" t="str">
        <x:v>f4b6f9fcecbfe2a6ac08</x:v>
      </x:c>
      <x:c r="C5265" s="2" t="str">
        <x:v>Hà Nội</x:v>
      </x:c>
      <x:c r="D5265" s="2" t="str">
        <x:v>Quận Nam Từ Liêm</x:v>
      </x:c>
      <x:c r="E5265" s="2" t="str">
        <x:v>house</x:v>
      </x:c>
      <x:c r="F5265" s="2" t="str">
        <x:v>sale_assumed</x:v>
      </x:c>
      <x:c r="G5265" s="11" t="n">
        <x:v>40</x:v>
      </x:c>
      <x:c r="H5265" s="12" t="n">
        <x:v>2850000000</x:v>
      </x:c>
      <x:c r="I5265" s="12" t="n">
        <x:v>71250000</x:v>
      </x:c>
      <x:c r="J5265" s="2" t="str">
        <x:v>total</x:v>
      </x:c>
      <x:c r="K5265" s="2" t="str">
        <x:v>top_level_area</x:v>
      </x:c>
      <x:c r="L5265" s="2" t="str">
        <x:v>property_type_inferred_from_title;transaction_assumed_sale_from_dataset_context</x:v>
      </x:c>
      <x:c r="M5265" s="10" t="n">
        <x:v>0</x:v>
      </x:c>
      <x:c r="N5265" s="10" t="n">
        <x:v>0</x:v>
      </x:c>
      <x:c r="O5265" s="2" t="str">
        <x:v>Hà Nội|house</x:v>
      </x:c>
      <x:c r="P5265" s="10" t="n">
        <x:v>2</x:v>
      </x:c>
      <x:c r="Q5265" s="13" t="n">
        <x:f>IF(H5265="","",H5265/1000000000)</x:f>
        <x:v>2.85</x:v>
      </x:c>
      <x:c r="R5265" s="13" t="n">
        <x:f>IF(I5265="","",I5265/1000000)</x:f>
        <x:v>71.25</x:v>
      </x:c>
    </x:row>
    <x:row r="5266" ht="21" customHeight="1">
      <x:c r="A5266" s="10" t="n">
        <x:v>6906</x:v>
      </x:c>
      <x:c r="B5266" s="2" t="str">
        <x:v>ea0b0a5ea99b5932757b</x:v>
      </x:c>
      <x:c r="C5266" s="2" t="str">
        <x:v>Hà Nội</x:v>
      </x:c>
      <x:c r="D5266" s="2" t="str">
        <x:v>Quận Hà Đông</x:v>
      </x:c>
      <x:c r="E5266" s="2" t="str">
        <x:v>house</x:v>
      </x:c>
      <x:c r="F5266" s="2" t="str">
        <x:v>sale_assumed</x:v>
      </x:c>
      <x:c r="G5266" s="11" t="n">
        <x:v>35</x:v>
      </x:c>
      <x:c r="H5266" s="12" t="n">
        <x:v>1700000000</x:v>
      </x:c>
      <x:c r="I5266" s="12" t="n">
        <x:v>48571428.571428575</x:v>
      </x:c>
      <x:c r="J5266" s="2" t="str">
        <x:v>total</x:v>
      </x:c>
      <x:c r="K5266" s="2" t="str">
        <x:v>top_level_area</x:v>
      </x:c>
      <x:c r="L5266" s="2" t="str">
        <x:v>property_type_inferred_from_title;transaction_assumed_sale_from_dataset_context</x:v>
      </x:c>
      <x:c r="M5266" s="10" t="n">
        <x:v>0</x:v>
      </x:c>
      <x:c r="N5266" s="10" t="n">
        <x:v>0</x:v>
      </x:c>
      <x:c r="O5266" s="2" t="str">
        <x:v>Hà Nội|house</x:v>
      </x:c>
      <x:c r="P5266" s="10" t="n">
        <x:v>2</x:v>
      </x:c>
      <x:c r="Q5266" s="13" t="n">
        <x:f>IF(H5266="","",H5266/1000000000)</x:f>
        <x:v>1.7</x:v>
      </x:c>
      <x:c r="R5266" s="13" t="n">
        <x:f>IF(I5266="","",I5266/1000000)</x:f>
        <x:v>48.57142857142858</x:v>
      </x:c>
    </x:row>
    <x:row r="5267" ht="21" customHeight="1">
      <x:c r="A5267" s="10" t="n">
        <x:v>6907</x:v>
      </x:c>
      <x:c r="B5267" s="2" t="str">
        <x:v>3fcf2db767c985ac61be</x:v>
      </x:c>
      <x:c r="C5267" s="2" t="str">
        <x:v>Hà Nội</x:v>
      </x:c>
      <x:c r="D5267" s="2" t="str">
        <x:v>Quận Tây Hồ</x:v>
      </x:c>
      <x:c r="E5267" s="2" t="str">
        <x:v>apartment</x:v>
      </x:c>
      <x:c r="F5267" s="2" t="str">
        <x:v>sale_assumed</x:v>
      </x:c>
      <x:c r="G5267" s="11" t="n">
        <x:v>33</x:v>
      </x:c>
      <x:c r="H5267" s="12" t="n">
        <x:v>600000000</x:v>
      </x:c>
      <x:c r="I5267" s="12" t="n">
        <x:v>18181818.181818184</x:v>
      </x:c>
      <x:c r="J5267" s="2" t="str">
        <x:v>total</x:v>
      </x:c>
      <x:c r="K5267" s="2" t="str">
        <x:v>top_level_area</x:v>
      </x:c>
      <x:c r="L5267" s="2" t="str">
        <x:v>property_type_inferred_from_title;transaction_assumed_sale_from_dataset_context</x:v>
      </x:c>
      <x:c r="M5267" s="10" t="n">
        <x:v>0</x:v>
      </x:c>
      <x:c r="N5267" s="10" t="n">
        <x:v>0</x:v>
      </x:c>
      <x:c r="O5267" s="2" t="str">
        <x:v>Hà Nội|apartment</x:v>
      </x:c>
      <x:c r="P5267" s="10" t="n">
        <x:v>2</x:v>
      </x:c>
      <x:c r="Q5267" s="13" t="n">
        <x:f>IF(H5267="","",H5267/1000000000)</x:f>
        <x:v>0.6</x:v>
      </x:c>
      <x:c r="R5267" s="13" t="n">
        <x:f>IF(I5267="","",I5267/1000000)</x:f>
        <x:v>18.181818181818183</x:v>
      </x:c>
    </x:row>
    <x:row r="5268" ht="21" customHeight="1">
      <x:c r="A5268" s="10" t="n">
        <x:v>6908</x:v>
      </x:c>
      <x:c r="B5268" s="2" t="str">
        <x:v>87ef598ab8da6667aebc</x:v>
      </x:c>
      <x:c r="C5268" s="2" t="str">
        <x:v>Tp Hồ Chí Minh</x:v>
      </x:c>
      <x:c r="D5268" s="2" t="str">
        <x:v>Quận Thủ Đức</x:v>
      </x:c>
      <x:c r="E5268" s="2" t="str">
        <x:v>land</x:v>
      </x:c>
      <x:c r="F5268" s="2" t="str">
        <x:v>sale_assumed</x:v>
      </x:c>
      <x:c r="G5268" s="11" t="n">
        <x:v>80</x:v>
      </x:c>
      <x:c r="H5268" s="12" t="n">
        <x:v>5600000000</x:v>
      </x:c>
      <x:c r="I5268" s="12" t="n">
        <x:v>70000000</x:v>
      </x:c>
      <x:c r="J5268" s="2" t="str">
        <x:v>total</x:v>
      </x:c>
      <x:c r="K5268" s="2" t="str">
        <x:v>top_level_area</x:v>
      </x:c>
      <x:c r="L5268" s="2" t="str">
        <x:v>property_type_inferred_from_title;transaction_assumed_sale_from_dataset_context</x:v>
      </x:c>
      <x:c r="M5268" s="10" t="n">
        <x:v>0</x:v>
      </x:c>
      <x:c r="N5268" s="10" t="n">
        <x:v>0</x:v>
      </x:c>
      <x:c r="O5268" s="2" t="str">
        <x:v>Tp Hồ Chí Minh|land</x:v>
      </x:c>
      <x:c r="P5268" s="10" t="n">
        <x:v>2</x:v>
      </x:c>
      <x:c r="Q5268" s="13" t="n">
        <x:f>IF(H5268="","",H5268/1000000000)</x:f>
        <x:v>5.6</x:v>
      </x:c>
      <x:c r="R5268" s="13" t="n">
        <x:f>IF(I5268="","",I5268/1000000)</x:f>
        <x:v>70</x:v>
      </x:c>
    </x:row>
    <x:row r="5269" ht="21" customHeight="1">
      <x:c r="A5269" s="10" t="n">
        <x:v>6909</x:v>
      </x:c>
      <x:c r="B5269" s="2" t="str">
        <x:v>b198944124c2ac5cc061</x:v>
      </x:c>
      <x:c r="C5269" s="2" t="str">
        <x:v>Tp Hồ Chí Minh</x:v>
      </x:c>
      <x:c r="D5269" s="2" t="str">
        <x:v>Quận Gò Vấp</x:v>
      </x:c>
      <x:c r="E5269" s="2" t="str">
        <x:v>house</x:v>
      </x:c>
      <x:c r="F5269" s="2" t="str">
        <x:v>sale_assumed</x:v>
      </x:c>
      <x:c r="G5269" s="11" t="n">
        <x:v>68</x:v>
      </x:c>
      <x:c r="H5269" s="12" t="n">
        <x:v>8600000000</x:v>
      </x:c>
      <x:c r="I5269" s="12" t="n">
        <x:v>126470588.23529412</x:v>
      </x:c>
      <x:c r="J5269" s="2" t="str">
        <x:v>total</x:v>
      </x:c>
      <x:c r="K5269" s="2" t="str">
        <x:v>top_level_area</x:v>
      </x:c>
      <x:c r="L5269" s="2" t="str">
        <x:v>property_type_inferred_from_title;transaction_assumed_sale_from_dataset_context</x:v>
      </x:c>
      <x:c r="M5269" s="10" t="n">
        <x:v>0</x:v>
      </x:c>
      <x:c r="N5269" s="10" t="n">
        <x:v>0</x:v>
      </x:c>
      <x:c r="O5269" s="2" t="str">
        <x:v>Tp Hồ Chí Minh|house</x:v>
      </x:c>
      <x:c r="P5269" s="10" t="n">
        <x:v>2</x:v>
      </x:c>
      <x:c r="Q5269" s="13" t="n">
        <x:f>IF(H5269="","",H5269/1000000000)</x:f>
        <x:v>8.6</x:v>
      </x:c>
      <x:c r="R5269" s="13" t="n">
        <x:f>IF(I5269="","",I5269/1000000)</x:f>
        <x:v>126.47058823529412</x:v>
      </x:c>
    </x:row>
    <x:row r="5270" ht="21" customHeight="1">
      <x:c r="A5270" s="10" t="n">
        <x:v>6910</x:v>
      </x:c>
      <x:c r="B5270" s="2" t="str">
        <x:v>71e9aadc328c0d9b92a9</x:v>
      </x:c>
      <x:c r="C5270" s="2" t="str">
        <x:v>Tp Hồ Chí Minh</x:v>
      </x:c>
      <x:c r="D5270" s="2" t="str">
        <x:v>Quận Gò Vấp</x:v>
      </x:c>
      <x:c r="E5270" s="2" t="str">
        <x:v>house</x:v>
      </x:c>
      <x:c r="F5270" s="2" t="str">
        <x:v>sale_assumed</x:v>
      </x:c>
      <x:c r="G5270" s="11" t="n">
        <x:v>32</x:v>
      </x:c>
      <x:c r="H5270" s="12" t="n">
        <x:v>2850000000</x:v>
      </x:c>
      <x:c r="I5270" s="12" t="n">
        <x:v>89062500</x:v>
      </x:c>
      <x:c r="J5270" s="2" t="str">
        <x:v>total</x:v>
      </x:c>
      <x:c r="K5270" s="2" t="str">
        <x:v>top_level_area</x:v>
      </x:c>
      <x:c r="L5270" s="2" t="str">
        <x:v>property_type_inferred_from_title;transaction_assumed_sale_from_dataset_context</x:v>
      </x:c>
      <x:c r="M5270" s="10" t="n">
        <x:v>0</x:v>
      </x:c>
      <x:c r="N5270" s="10" t="n">
        <x:v>0</x:v>
      </x:c>
      <x:c r="O5270" s="2" t="str">
        <x:v>Tp Hồ Chí Minh|house</x:v>
      </x:c>
      <x:c r="P5270" s="10" t="n">
        <x:v>2</x:v>
      </x:c>
      <x:c r="Q5270" s="13" t="n">
        <x:f>IF(H5270="","",H5270/1000000000)</x:f>
        <x:v>2.85</x:v>
      </x:c>
      <x:c r="R5270" s="13" t="n">
        <x:f>IF(I5270="","",I5270/1000000)</x:f>
        <x:v>89.0625</x:v>
      </x:c>
    </x:row>
    <x:row r="5271" ht="21" customHeight="1">
      <x:c r="A5271" s="10" t="n">
        <x:v>6914</x:v>
      </x:c>
      <x:c r="B5271" s="2" t="str">
        <x:v>03231dbbbe14a8fc4e20</x:v>
      </x:c>
      <x:c r="C5271" s="2" t="str">
        <x:v>Tp Hồ Chí Minh</x:v>
      </x:c>
      <x:c r="D5271" s="2" t="str">
        <x:v>Quận Bình Tân</x:v>
      </x:c>
      <x:c r="E5271" s="2" t="str">
        <x:v>other_unknown</x:v>
      </x:c>
      <x:c r="F5271" s="2" t="str">
        <x:v>sale</x:v>
      </x:c>
      <x:c r="G5271" s="11" t="n">
        <x:v>112</x:v>
      </x:c>
      <x:c r="H5271" s="12" t="n">
        <x:v>2900000000</x:v>
      </x:c>
      <x:c r="I5271" s="12" t="n">
        <x:v>25892857.14285714</x:v>
      </x:c>
      <x:c r="J5271" s="2" t="str">
        <x:v>total</x:v>
      </x:c>
      <x:c r="K5271" s="2" t="str">
        <x:v>top_level_area</x:v>
      </x:c>
      <x:c r="L5271" s="2" t="str">
        <x:v>property_type_inferred_from_title;unknown_property_type</x:v>
      </x:c>
      <x:c r="M5271" s="10" t="n">
        <x:v>0</x:v>
      </x:c>
      <x:c r="N5271" s="10" t="n">
        <x:v>0</x:v>
      </x:c>
      <x:c r="O5271" s="2" t="str">
        <x:v>Tp Hồ Chí Minh|other_unknown</x:v>
      </x:c>
      <x:c r="P5271" s="10" t="n">
        <x:v>2</x:v>
      </x:c>
      <x:c r="Q5271" s="13" t="n">
        <x:f>IF(H5271="","",H5271/1000000000)</x:f>
        <x:v>2.9</x:v>
      </x:c>
      <x:c r="R5271" s="13" t="n">
        <x:f>IF(I5271="","",I5271/1000000)</x:f>
        <x:v>25.892857142857142</x:v>
      </x:c>
    </x:row>
    <x:row r="5272" ht="21" customHeight="1">
      <x:c r="A5272" s="10" t="n">
        <x:v>6915</x:v>
      </x:c>
      <x:c r="B5272" s="2" t="str">
        <x:v>8dbb6f7d862115064116</x:v>
      </x:c>
      <x:c r="C5272" s="2" t="str">
        <x:v>Tp Hồ Chí Minh</x:v>
      </x:c>
      <x:c r="D5272" s="2" t="str">
        <x:v>Quận Bình Tân</x:v>
      </x:c>
      <x:c r="E5272" s="2" t="str">
        <x:v>house</x:v>
      </x:c>
      <x:c r="F5272" s="2" t="str">
        <x:v>sale</x:v>
      </x:c>
      <x:c r="G5272" s="11" t="n">
        <x:v>43</x:v>
      </x:c>
      <x:c r="H5272" s="12" t="n">
        <x:v>3300000000</x:v>
      </x:c>
      <x:c r="I5272" s="12" t="n">
        <x:v>76744186.04651164</x:v>
      </x:c>
      <x:c r="J5272" s="2" t="str">
        <x:v>total</x:v>
      </x:c>
      <x:c r="K5272" s="2" t="str">
        <x:v>top_level_area</x:v>
      </x:c>
      <x:c r="L5272" s="2" t="str">
        <x:v>property_type_inferred_from_title</x:v>
      </x:c>
      <x:c r="M5272" s="10" t="n">
        <x:v>0</x:v>
      </x:c>
      <x:c r="N5272" s="10" t="n">
        <x:v>0</x:v>
      </x:c>
      <x:c r="O5272" s="2" t="str">
        <x:v>Tp Hồ Chí Minh|house</x:v>
      </x:c>
      <x:c r="P5272" s="10" t="n">
        <x:v>2</x:v>
      </x:c>
      <x:c r="Q5272" s="13" t="n">
        <x:f>IF(H5272="","",H5272/1000000000)</x:f>
        <x:v>3.3</x:v>
      </x:c>
      <x:c r="R5272" s="13" t="n">
        <x:f>IF(I5272="","",I5272/1000000)</x:f>
        <x:v>76.74418604651163</x:v>
      </x:c>
    </x:row>
    <x:row r="5273" ht="21" customHeight="1">
      <x:c r="A5273" s="10" t="n">
        <x:v>6916</x:v>
      </x:c>
      <x:c r="B5273" s="2" t="str">
        <x:v>c73aacdefc6ecdadfc88</x:v>
      </x:c>
      <x:c r="C5273" s="2" t="str">
        <x:v>Đồng Nai</x:v>
      </x:c>
      <x:c r="D5273" s="2" t="str">
        <x:v>Huyện Nhơn Trạch</x:v>
      </x:c>
      <x:c r="E5273" s="2" t="str">
        <x:v>land</x:v>
      </x:c>
      <x:c r="F5273" s="2" t="str">
        <x:v>sale_assumed</x:v>
      </x:c>
      <x:c r="G5273" s="11" t="n">
        <x:v>104</x:v>
      </x:c>
      <x:c r="H5273" s="12" t="n">
        <x:v>815000000</x:v>
      </x:c>
      <x:c r="I5273" s="12" t="n">
        <x:v>7836538.461538462</x:v>
      </x:c>
      <x:c r="J5273" s="2" t="str">
        <x:v>total</x:v>
      </x:c>
      <x:c r="K5273" s="2" t="str">
        <x:v>top_level_area</x:v>
      </x:c>
      <x:c r="L5273" s="2" t="str">
        <x:v>property_type_inferred_from_title;transaction_assumed_sale_from_dataset_context</x:v>
      </x:c>
      <x:c r="M5273" s="10" t="n">
        <x:v>0</x:v>
      </x:c>
      <x:c r="N5273" s="10" t="n">
        <x:v>0</x:v>
      </x:c>
      <x:c r="O5273" s="2" t="str">
        <x:v>Đồng Nai|land</x:v>
      </x:c>
      <x:c r="P5273" s="10" t="n">
        <x:v>2</x:v>
      </x:c>
      <x:c r="Q5273" s="13" t="n">
        <x:f>IF(H5273="","",H5273/1000000000)</x:f>
        <x:v>0.815</x:v>
      </x:c>
      <x:c r="R5273" s="13" t="n">
        <x:f>IF(I5273="","",I5273/1000000)</x:f>
        <x:v>7.836538461538462</x:v>
      </x:c>
    </x:row>
    <x:row r="5274" ht="21" customHeight="1">
      <x:c r="A5274" s="10" t="n">
        <x:v>6917</x:v>
      </x:c>
      <x:c r="B5274" s="2" t="str">
        <x:v>b63fbda23efd5c71ec1e</x:v>
      </x:c>
      <x:c r="C5274" s="2" t="str">
        <x:v>Đà Nẵng</x:v>
      </x:c>
      <x:c r="D5274" s="2" t="str">
        <x:v>Quận Cẩm Lệ</x:v>
      </x:c>
      <x:c r="E5274" s="2" t="str">
        <x:v>land</x:v>
      </x:c>
      <x:c r="F5274" s="2" t="str">
        <x:v>sale</x:v>
      </x:c>
      <x:c r="G5274" s="11" t="n">
        <x:v>90</x:v>
      </x:c>
      <x:c r="H5274" s="12" t="n">
        <x:v>2800000000</x:v>
      </x:c>
      <x:c r="I5274" s="12" t="n">
        <x:v>31111111.111111112</x:v>
      </x:c>
      <x:c r="J5274" s="2" t="str">
        <x:v>total</x:v>
      </x:c>
      <x:c r="K5274" s="2" t="str">
        <x:v>top_level_area</x:v>
      </x:c>
      <x:c r="L5274" s="2" t="str">
        <x:v>property_type_inferred_from_title</x:v>
      </x:c>
      <x:c r="M5274" s="10" t="n">
        <x:v>0</x:v>
      </x:c>
      <x:c r="N5274" s="10" t="n">
        <x:v>0</x:v>
      </x:c>
      <x:c r="O5274" s="2" t="str">
        <x:v>Đà Nẵng|land</x:v>
      </x:c>
      <x:c r="P5274" s="10" t="n">
        <x:v>2</x:v>
      </x:c>
      <x:c r="Q5274" s="13" t="n">
        <x:f>IF(H5274="","",H5274/1000000000)</x:f>
        <x:v>2.8</x:v>
      </x:c>
      <x:c r="R5274" s="13" t="n">
        <x:f>IF(I5274="","",I5274/1000000)</x:f>
        <x:v>31.11111111111111</x:v>
      </x:c>
    </x:row>
    <x:row r="5275" ht="21" customHeight="1">
      <x:c r="A5275" s="10" t="n">
        <x:v>6918</x:v>
      </x:c>
      <x:c r="B5275" s="2" t="str">
        <x:v>6ca22b0504dd7a269deb</x:v>
      </x:c>
      <x:c r="C5275" s="2" t="str">
        <x:v>Tp Hồ Chí Minh</x:v>
      </x:c>
      <x:c r="D5275" s="2" t="str">
        <x:v>Quận Thủ Đức</x:v>
      </x:c>
      <x:c r="E5275" s="2" t="str">
        <x:v>apartment</x:v>
      </x:c>
      <x:c r="F5275" s="2" t="str">
        <x:v>sale_assumed</x:v>
      </x:c>
      <x:c r="G5275" s="11" t="n">
        <x:v>56</x:v>
      </x:c>
      <x:c r="H5275" s="12" t="n">
        <x:v>1300000000</x:v>
      </x:c>
      <x:c r="I5275" s="12" t="n">
        <x:v>23214285.714285713</x:v>
      </x:c>
      <x:c r="J5275" s="2" t="str">
        <x:v>total</x:v>
      </x:c>
      <x:c r="K5275" s="2" t="str">
        <x:v>top_level_area</x:v>
      </x:c>
      <x:c r="L5275" s="2" t="str">
        <x:v>property_type_inferred_from_title;transaction_assumed_sale_from_dataset_context</x:v>
      </x:c>
      <x:c r="M5275" s="10" t="n">
        <x:v>0</x:v>
      </x:c>
      <x:c r="N5275" s="10" t="n">
        <x:v>0</x:v>
      </x:c>
      <x:c r="O5275" s="2" t="str">
        <x:v>Tp Hồ Chí Minh|apartment</x:v>
      </x:c>
      <x:c r="P5275" s="10" t="n">
        <x:v>2</x:v>
      </x:c>
      <x:c r="Q5275" s="13" t="n">
        <x:f>IF(H5275="","",H5275/1000000000)</x:f>
        <x:v>1.3</x:v>
      </x:c>
      <x:c r="R5275" s="13" t="n">
        <x:f>IF(I5275="","",I5275/1000000)</x:f>
        <x:v>23.21428571428571</x:v>
      </x:c>
    </x:row>
    <x:row r="5276" ht="21" customHeight="1">
      <x:c r="A5276" s="10" t="n">
        <x:v>6919</x:v>
      </x:c>
      <x:c r="B5276" s="2" t="str">
        <x:v>a694f4da238ef33b31dd</x:v>
      </x:c>
      <x:c r="C5276" s="2" t="str">
        <x:v>Tp Hồ Chí Minh</x:v>
      </x:c>
      <x:c r="D5276" s="2" t="str">
        <x:v>Huyện Hóc Môn</x:v>
      </x:c>
      <x:c r="E5276" s="2" t="str">
        <x:v>apartment</x:v>
      </x:c>
      <x:c r="F5276" s="2" t="str">
        <x:v>sale_assumed</x:v>
      </x:c>
      <x:c r="G5276" s="11" t="n">
        <x:v>40</x:v>
      </x:c>
      <x:c r="H5276" s="12" t="n">
        <x:v>280000000</x:v>
      </x:c>
      <x:c r="I5276" s="12" t="n">
        <x:v>7000000</x:v>
      </x:c>
      <x:c r="J5276" s="2" t="str">
        <x:v>total</x:v>
      </x:c>
      <x:c r="K5276" s="2" t="str">
        <x:v>top_level_area</x:v>
      </x:c>
      <x:c r="L5276" s="2" t="str">
        <x:v>property_type_inferred_from_title;transaction_assumed_sale_from_dataset_context</x:v>
      </x:c>
      <x:c r="M5276" s="10" t="n">
        <x:v>0</x:v>
      </x:c>
      <x:c r="N5276" s="10" t="n">
        <x:v>0</x:v>
      </x:c>
      <x:c r="O5276" s="2" t="str">
        <x:v>Tp Hồ Chí Minh|apartment</x:v>
      </x:c>
      <x:c r="P5276" s="10" t="n">
        <x:v>2</x:v>
      </x:c>
      <x:c r="Q5276" s="13" t="n">
        <x:f>IF(H5276="","",H5276/1000000000)</x:f>
        <x:v>0.28</x:v>
      </x:c>
      <x:c r="R5276" s="13" t="n">
        <x:f>IF(I5276="","",I5276/1000000)</x:f>
        <x:v>7</x:v>
      </x:c>
    </x:row>
    <x:row r="5277" ht="21" customHeight="1">
      <x:c r="A5277" s="10" t="n">
        <x:v>6920</x:v>
      </x:c>
      <x:c r="B5277" s="2" t="str">
        <x:v>6959efda4217836318a0</x:v>
      </x:c>
      <x:c r="C5277" s="2" t="str">
        <x:v>Tp Hồ Chí Minh</x:v>
      </x:c>
      <x:c r="D5277" s="2" t="str">
        <x:v>Quận Bình Thạnh</x:v>
      </x:c>
      <x:c r="E5277" s="2" t="str">
        <x:v>house</x:v>
      </x:c>
      <x:c r="F5277" s="2" t="str">
        <x:v>sale_with_rental_income</x:v>
      </x:c>
      <x:c r="G5277" s="11" t="n">
        <x:v>28.2</x:v>
      </x:c>
      <x:c r="H5277" s="12" t="n">
        <x:v>2700000000</x:v>
      </x:c>
      <x:c r="I5277" s="12" t="n">
        <x:v>95744680.85106383</x:v>
      </x:c>
      <x:c r="J5277" s="2" t="str">
        <x:v>total</x:v>
      </x:c>
      <x:c r="K5277" s="2" t="str">
        <x:v>top_level_area</x:v>
      </x:c>
      <x:c r="L5277" s="2" t="str">
        <x:v>property_type_inferred_from_title;rental_income_mentioned</x:v>
      </x:c>
      <x:c r="M5277" s="10" t="n">
        <x:v>0</x:v>
      </x:c>
      <x:c r="N5277" s="10" t="n">
        <x:v>0</x:v>
      </x:c>
      <x:c r="O5277" s="2" t="str">
        <x:v>Tp Hồ Chí Minh|house</x:v>
      </x:c>
      <x:c r="P5277" s="10" t="n">
        <x:v>2</x:v>
      </x:c>
      <x:c r="Q5277" s="13" t="n">
        <x:f>IF(H5277="","",H5277/1000000000)</x:f>
        <x:v>2.7</x:v>
      </x:c>
      <x:c r="R5277" s="13" t="n">
        <x:f>IF(I5277="","",I5277/1000000)</x:f>
        <x:v>95.74468085106383</x:v>
      </x:c>
    </x:row>
    <x:row r="5278" ht="21" customHeight="1">
      <x:c r="A5278" s="10" t="n">
        <x:v>6921</x:v>
      </x:c>
      <x:c r="B5278" s="2" t="str">
        <x:v>f3cf56f65310109129b3</x:v>
      </x:c>
      <x:c r="C5278" s="2" t="str">
        <x:v>Bến Tre</x:v>
      </x:c>
      <x:c r="D5278" s="2" t="str">
        <x:v>Huyện Bình Đại</x:v>
      </x:c>
      <x:c r="E5278" s="2" t="str">
        <x:v>land</x:v>
      </x:c>
      <x:c r="F5278" s="2" t="str">
        <x:v>sale</x:v>
      </x:c>
      <x:c r="G5278" s="11" t="n">
        <x:v>600</x:v>
      </x:c>
      <x:c r="H5278" s="12" t="n">
        <x:v>4200000000</x:v>
      </x:c>
      <x:c r="I5278" s="12" t="n">
        <x:v>7000000</x:v>
      </x:c>
      <x:c r="J5278" s="2" t="str">
        <x:v>total</x:v>
      </x:c>
      <x:c r="K5278" s="2" t="str">
        <x:v>top_level_area</x:v>
      </x:c>
      <x:c r="L5278" s="2" t="str">
        <x:v>property_type_inferred_from_title</x:v>
      </x:c>
      <x:c r="M5278" s="10" t="n">
        <x:v>0</x:v>
      </x:c>
      <x:c r="N5278" s="10" t="n">
        <x:v>0</x:v>
      </x:c>
      <x:c r="O5278" s="2" t="str">
        <x:v>Bến Tre|land</x:v>
      </x:c>
      <x:c r="P5278" s="10" t="n">
        <x:v>1</x:v>
      </x:c>
      <x:c r="Q5278" s="13" t="n">
        <x:f>IF(H5278="","",H5278/1000000000)</x:f>
        <x:v>4.2</x:v>
      </x:c>
      <x:c r="R5278" s="13" t="n">
        <x:f>IF(I5278="","",I5278/1000000)</x:f>
        <x:v>7</x:v>
      </x:c>
    </x:row>
    <x:row r="5279" ht="21" customHeight="1">
      <x:c r="A5279" s="10" t="n">
        <x:v>6922</x:v>
      </x:c>
      <x:c r="B5279" s="2" t="str">
        <x:v>db419fdf59ea34e78fe3</x:v>
      </x:c>
      <x:c r="C5279" s="2" t="str">
        <x:v>Cần Thơ</x:v>
      </x:c>
      <x:c r="D5279" s="2" t="str">
        <x:v>Quận Ninh Kiều</x:v>
      </x:c>
      <x:c r="E5279" s="2" t="str">
        <x:v>house</x:v>
      </x:c>
      <x:c r="F5279" s="2" t="str">
        <x:v>sale_assumed</x:v>
      </x:c>
      <x:c r="G5279" s="11" t="n">
        <x:v>70</x:v>
      </x:c>
      <x:c r="H5279" s="12" t="n">
        <x:v>4600000000</x:v>
      </x:c>
      <x:c r="I5279" s="12" t="n">
        <x:v>65714285.71428572</x:v>
      </x:c>
      <x:c r="J5279" s="2" t="str">
        <x:v>total</x:v>
      </x:c>
      <x:c r="K5279" s="2" t="str">
        <x:v>top_level_area</x:v>
      </x:c>
      <x:c r="L5279" s="2" t="str">
        <x:v>property_type_inferred_from_title;transaction_assumed_sale_from_dataset_context</x:v>
      </x:c>
      <x:c r="M5279" s="10" t="n">
        <x:v>0</x:v>
      </x:c>
      <x:c r="N5279" s="10" t="n">
        <x:v>0</x:v>
      </x:c>
      <x:c r="O5279" s="2" t="str">
        <x:v>Cần Thơ|house</x:v>
      </x:c>
      <x:c r="P5279" s="10" t="n">
        <x:v>2</x:v>
      </x:c>
      <x:c r="Q5279" s="13" t="n">
        <x:f>IF(H5279="","",H5279/1000000000)</x:f>
        <x:v>4.6</x:v>
      </x:c>
      <x:c r="R5279" s="13" t="n">
        <x:f>IF(I5279="","",I5279/1000000)</x:f>
        <x:v>65.71428571428572</x:v>
      </x:c>
    </x:row>
    <x:row r="5280" ht="21" customHeight="1">
      <x:c r="A5280" s="10" t="n">
        <x:v>6923</x:v>
      </x:c>
      <x:c r="B5280" s="2" t="str">
        <x:v>794bd79f99cdd3670600</x:v>
      </x:c>
      <x:c r="C5280" s="2" t="str">
        <x:v>Đà Nẵng</x:v>
      </x:c>
      <x:c r="D5280" s="2" t="str">
        <x:v>Quận Thanh Khê</x:v>
      </x:c>
      <x:c r="E5280" s="2" t="str">
        <x:v>house</x:v>
      </x:c>
      <x:c r="F5280" s="2" t="str">
        <x:v>sale</x:v>
      </x:c>
      <x:c r="G5280" s="11" t="n">
        <x:v>40</x:v>
      </x:c>
      <x:c r="H5280" s="12" t="n">
        <x:v>2290000000</x:v>
      </x:c>
      <x:c r="I5280" s="12" t="n">
        <x:v>57250000</x:v>
      </x:c>
      <x:c r="J5280" s="2" t="str">
        <x:v>total</x:v>
      </x:c>
      <x:c r="K5280" s="2" t="str">
        <x:v>top_level_area</x:v>
      </x:c>
      <x:c r="L5280" s="2" t="str">
        <x:v>property_type_inferred_from_title</x:v>
      </x:c>
      <x:c r="M5280" s="10" t="n">
        <x:v>0</x:v>
      </x:c>
      <x:c r="N5280" s="10" t="n">
        <x:v>0</x:v>
      </x:c>
      <x:c r="O5280" s="2" t="str">
        <x:v>Đà Nẵng|house</x:v>
      </x:c>
      <x:c r="P5280" s="10" t="n">
        <x:v>2</x:v>
      </x:c>
      <x:c r="Q5280" s="13" t="n">
        <x:f>IF(H5280="","",H5280/1000000000)</x:f>
        <x:v>2.29</x:v>
      </x:c>
      <x:c r="R5280" s="13" t="n">
        <x:f>IF(I5280="","",I5280/1000000)</x:f>
        <x:v>57.25</x:v>
      </x:c>
    </x:row>
    <x:row r="5281" ht="21" customHeight="1">
      <x:c r="A5281" s="10" t="n">
        <x:v>6924</x:v>
      </x:c>
      <x:c r="B5281" s="2" t="str">
        <x:v>4fbd5de00b551579ce39</x:v>
      </x:c>
      <x:c r="C5281" s="2" t="str">
        <x:v>Hà Nội</x:v>
      </x:c>
      <x:c r="D5281" s="2" t="str">
        <x:v>Quận Nam Từ Liêm</x:v>
      </x:c>
      <x:c r="E5281" s="2" t="str">
        <x:v>house</x:v>
      </x:c>
      <x:c r="F5281" s="2" t="str">
        <x:v>sale</x:v>
      </x:c>
      <x:c r="G5281" s="11" t="n">
        <x:v>40</x:v>
      </x:c>
      <x:c r="H5281" s="12" t="n">
        <x:v>6100000000</x:v>
      </x:c>
      <x:c r="I5281" s="12" t="n">
        <x:v>152500000</x:v>
      </x:c>
      <x:c r="J5281" s="2" t="str">
        <x:v>total</x:v>
      </x:c>
      <x:c r="K5281" s="2" t="str">
        <x:v>top_level_area</x:v>
      </x:c>
      <x:c r="L5281" s="2" t="str">
        <x:v>property_type_inferred_from_title</x:v>
      </x:c>
      <x:c r="M5281" s="10" t="n">
        <x:v>0</x:v>
      </x:c>
      <x:c r="N5281" s="10" t="n">
        <x:v>0</x:v>
      </x:c>
      <x:c r="O5281" s="2" t="str">
        <x:v>Hà Nội|house</x:v>
      </x:c>
      <x:c r="P5281" s="10" t="n">
        <x:v>2</x:v>
      </x:c>
      <x:c r="Q5281" s="13" t="n">
        <x:f>IF(H5281="","",H5281/1000000000)</x:f>
        <x:v>6.1</x:v>
      </x:c>
      <x:c r="R5281" s="13" t="n">
        <x:f>IF(I5281="","",I5281/1000000)</x:f>
        <x:v>152.5</x:v>
      </x:c>
    </x:row>
    <x:row r="5282" ht="21" customHeight="1">
      <x:c r="A5282" s="10" t="n">
        <x:v>6925</x:v>
      </x:c>
      <x:c r="B5282" s="2" t="str">
        <x:v>39b82545e75df343e81a</x:v>
      </x:c>
      <x:c r="C5282" s="2" t="str">
        <x:v>Tp Hồ Chí Minh</x:v>
      </x:c>
      <x:c r="D5282" s="2" t="str">
        <x:v>Quận Bình Tân</x:v>
      </x:c>
      <x:c r="E5282" s="2" t="str">
        <x:v>house</x:v>
      </x:c>
      <x:c r="F5282" s="2" t="str">
        <x:v>sale_assumed</x:v>
      </x:c>
      <x:c r="G5282" s="11" t="n">
        <x:v>32</x:v>
      </x:c>
      <x:c r="H5282" s="12" t="n">
        <x:v>1640000000</x:v>
      </x:c>
      <x:c r="I5282" s="12" t="n">
        <x:v>51250000</x:v>
      </x:c>
      <x:c r="J5282" s="2" t="str">
        <x:v>total</x:v>
      </x:c>
      <x:c r="K5282" s="2" t="str">
        <x:v>top_level_area</x:v>
      </x:c>
      <x:c r="L5282" s="2" t="str">
        <x:v>property_type_inferred_from_title;transaction_assumed_sale_from_dataset_context</x:v>
      </x:c>
      <x:c r="M5282" s="10" t="n">
        <x:v>0</x:v>
      </x:c>
      <x:c r="N5282" s="10" t="n">
        <x:v>0</x:v>
      </x:c>
      <x:c r="O5282" s="2" t="str">
        <x:v>Tp Hồ Chí Minh|house</x:v>
      </x:c>
      <x:c r="P5282" s="10" t="n">
        <x:v>2</x:v>
      </x:c>
      <x:c r="Q5282" s="13" t="n">
        <x:f>IF(H5282="","",H5282/1000000000)</x:f>
        <x:v>1.64</x:v>
      </x:c>
      <x:c r="R5282" s="13" t="n">
        <x:f>IF(I5282="","",I5282/1000000)</x:f>
        <x:v>51.25</x:v>
      </x:c>
    </x:row>
    <x:row r="5283" ht="21" customHeight="1">
      <x:c r="A5283" s="10" t="n">
        <x:v>6926</x:v>
      </x:c>
      <x:c r="B5283" s="2" t="str">
        <x:v>d371409297ec2438d602</x:v>
      </x:c>
      <x:c r="C5283" s="2" t="str">
        <x:v>Hà Nội</x:v>
      </x:c>
      <x:c r="D5283" s="2" t="str">
        <x:v>Quận Ba Đình</x:v>
      </x:c>
      <x:c r="E5283" s="2" t="str">
        <x:v>apartment</x:v>
      </x:c>
      <x:c r="F5283" s="2" t="str">
        <x:v>sale_assumed</x:v>
      </x:c>
      <x:c r="G5283" s="11" t="n">
        <x:v>33</x:v>
      </x:c>
      <x:c r="H5283" s="12" t="n">
        <x:v>600000000</x:v>
      </x:c>
      <x:c r="I5283" s="12" t="n">
        <x:v>18181818.181818184</x:v>
      </x:c>
      <x:c r="J5283" s="2" t="str">
        <x:v>total</x:v>
      </x:c>
      <x:c r="K5283" s="2" t="str">
        <x:v>top_level_area</x:v>
      </x:c>
      <x:c r="L5283" s="2" t="str">
        <x:v>property_type_inferred_from_title;transaction_assumed_sale_from_dataset_context</x:v>
      </x:c>
      <x:c r="M5283" s="10" t="n">
        <x:v>0</x:v>
      </x:c>
      <x:c r="N5283" s="10" t="n">
        <x:v>0</x:v>
      </x:c>
      <x:c r="O5283" s="2" t="str">
        <x:v>Hà Nội|apartment</x:v>
      </x:c>
      <x:c r="P5283" s="10" t="n">
        <x:v>2</x:v>
      </x:c>
      <x:c r="Q5283" s="13" t="n">
        <x:f>IF(H5283="","",H5283/1000000000)</x:f>
        <x:v>0.6</x:v>
      </x:c>
      <x:c r="R5283" s="13" t="n">
        <x:f>IF(I5283="","",I5283/1000000)</x:f>
        <x:v>18.181818181818183</x:v>
      </x:c>
    </x:row>
    <x:row r="5284" ht="21" customHeight="1">
      <x:c r="A5284" s="10" t="n">
        <x:v>6927</x:v>
      </x:c>
      <x:c r="B5284" s="2" t="str">
        <x:v>6575bd59bdcfb500b93e</x:v>
      </x:c>
      <x:c r="C5284" s="2" t="str">
        <x:v>Hà Nội</x:v>
      </x:c>
      <x:c r="D5284" s="2" t="str">
        <x:v>Quận Thanh Xuân</x:v>
      </x:c>
      <x:c r="E5284" s="2" t="str">
        <x:v>house</x:v>
      </x:c>
      <x:c r="F5284" s="2" t="str">
        <x:v>sale_assumed</x:v>
      </x:c>
      <x:c r="G5284" s="11" t="n">
        <x:v>23</x:v>
      </x:c>
      <x:c r="H5284" s="12" t="n">
        <x:v>1700000000</x:v>
      </x:c>
      <x:c r="I5284" s="12" t="n">
        <x:v>73913043.47826087</x:v>
      </x:c>
      <x:c r="J5284" s="2" t="str">
        <x:v>total</x:v>
      </x:c>
      <x:c r="K5284" s="2" t="str">
        <x:v>top_level_area</x:v>
      </x:c>
      <x:c r="L5284" s="2" t="str">
        <x:v>property_type_inferred_from_title;transaction_assumed_sale_from_dataset_context</x:v>
      </x:c>
      <x:c r="M5284" s="10" t="n">
        <x:v>0</x:v>
      </x:c>
      <x:c r="N5284" s="10" t="n">
        <x:v>0</x:v>
      </x:c>
      <x:c r="O5284" s="2" t="str">
        <x:v>Hà Nội|house</x:v>
      </x:c>
      <x:c r="P5284" s="10" t="n">
        <x:v>2</x:v>
      </x:c>
      <x:c r="Q5284" s="13" t="n">
        <x:f>IF(H5284="","",H5284/1000000000)</x:f>
        <x:v>1.7</x:v>
      </x:c>
      <x:c r="R5284" s="13" t="n">
        <x:f>IF(I5284="","",I5284/1000000)</x:f>
        <x:v>73.91304347826087</x:v>
      </x:c>
    </x:row>
    <x:row r="5285" ht="21" customHeight="1">
      <x:c r="A5285" s="10" t="n">
        <x:v>6928</x:v>
      </x:c>
      <x:c r="B5285" s="2" t="str">
        <x:v>fba82e67de5c5c35c430</x:v>
      </x:c>
      <x:c r="C5285" s="2" t="str">
        <x:v>Hà Nội</x:v>
      </x:c>
      <x:c r="D5285" s="2" t="str">
        <x:v>Quận Hai Bà Trưng</x:v>
      </x:c>
      <x:c r="E5285" s="2" t="str">
        <x:v>house</x:v>
      </x:c>
      <x:c r="F5285" s="2" t="str">
        <x:v>sale_assumed</x:v>
      </x:c>
      <x:c r="G5285" s="11" t="n">
        <x:v>33</x:v>
      </x:c>
      <x:c r="H5285" s="12" t="n">
        <x:v>3000000000</x:v>
      </x:c>
      <x:c r="I5285" s="12" t="n">
        <x:v>90909090.9090909</x:v>
      </x:c>
      <x:c r="J5285" s="2" t="str">
        <x:v>total</x:v>
      </x:c>
      <x:c r="K5285" s="2" t="str">
        <x:v>top_level_area</x:v>
      </x:c>
      <x:c r="L5285" s="2" t="str">
        <x:v>property_type_inferred_from_title;transaction_assumed_sale_from_dataset_context</x:v>
      </x:c>
      <x:c r="M5285" s="10" t="n">
        <x:v>0</x:v>
      </x:c>
      <x:c r="N5285" s="10" t="n">
        <x:v>0</x:v>
      </x:c>
      <x:c r="O5285" s="2" t="str">
        <x:v>Hà Nội|house</x:v>
      </x:c>
      <x:c r="P5285" s="10" t="n">
        <x:v>2</x:v>
      </x:c>
      <x:c r="Q5285" s="13" t="n">
        <x:f>IF(H5285="","",H5285/1000000000)</x:f>
        <x:v>3</x:v>
      </x:c>
      <x:c r="R5285" s="13" t="n">
        <x:f>IF(I5285="","",I5285/1000000)</x:f>
        <x:v>90.9090909090909</x:v>
      </x:c>
    </x:row>
    <x:row r="5286" ht="21" customHeight="1">
      <x:c r="A5286" s="10" t="n">
        <x:v>6929</x:v>
      </x:c>
      <x:c r="B5286" s="2" t="str">
        <x:v>a5971ddd2e58caac2882</x:v>
      </x:c>
      <x:c r="C5286" s="2" t="str">
        <x:v>Bình Dương</x:v>
      </x:c>
      <x:c r="D5286" s="2" t="str">
        <x:v>Thị xã Bến Cát</x:v>
      </x:c>
      <x:c r="E5286" s="2" t="str">
        <x:v>land</x:v>
      </x:c>
      <x:c r="F5286" s="2" t="str">
        <x:v>sale</x:v>
      </x:c>
      <x:c r="G5286" s="11" t="n">
        <x:v>150</x:v>
      </x:c>
      <x:c r="H5286" s="12" t="n">
        <x:v>920000000</x:v>
      </x:c>
      <x:c r="I5286" s="12" t="n">
        <x:v>6133333.333333333</x:v>
      </x:c>
      <x:c r="J5286" s="2" t="str">
        <x:v>total</x:v>
      </x:c>
      <x:c r="K5286" s="2" t="str">
        <x:v>top_level_area</x:v>
      </x:c>
      <x:c r="L5286" s="2" t="str">
        <x:v>property_type_inferred_from_title</x:v>
      </x:c>
      <x:c r="M5286" s="10" t="n">
        <x:v>0</x:v>
      </x:c>
      <x:c r="N5286" s="10" t="n">
        <x:v>0</x:v>
      </x:c>
      <x:c r="O5286" s="2" t="str">
        <x:v>Bình Dương|land</x:v>
      </x:c>
      <x:c r="P5286" s="10" t="n">
        <x:v>2</x:v>
      </x:c>
      <x:c r="Q5286" s="13" t="n">
        <x:f>IF(H5286="","",H5286/1000000000)</x:f>
        <x:v>0.92</x:v>
      </x:c>
      <x:c r="R5286" s="13" t="n">
        <x:f>IF(I5286="","",I5286/1000000)</x:f>
        <x:v>6.133333333333333</x:v>
      </x:c>
    </x:row>
    <x:row r="5287" ht="21" customHeight="1">
      <x:c r="A5287" s="10" t="n">
        <x:v>6930</x:v>
      </x:c>
      <x:c r="B5287" s="2" t="str">
        <x:v>e2697fe2037978dec90a</x:v>
      </x:c>
      <x:c r="C5287" s="2" t="str">
        <x:v>Hà Nội</x:v>
      </x:c>
      <x:c r="D5287" s="2" t="str">
        <x:v>Huyện Thanh Trì</x:v>
      </x:c>
      <x:c r="E5287" s="2" t="str">
        <x:v>house</x:v>
      </x:c>
      <x:c r="F5287" s="2" t="str">
        <x:v>sale</x:v>
      </x:c>
      <x:c r="G5287" s="11" t="n">
        <x:v>45</x:v>
      </x:c>
      <x:c r="H5287" s="12" t="n">
        <x:v>2250000000</x:v>
      </x:c>
      <x:c r="I5287" s="12" t="n">
        <x:v>50000000</x:v>
      </x:c>
      <x:c r="J5287" s="2" t="str">
        <x:v>total</x:v>
      </x:c>
      <x:c r="K5287" s="2" t="str">
        <x:v>top_level_area</x:v>
      </x:c>
      <x:c r="L5287" s="2" t="str">
        <x:v>property_type_inferred_from_title</x:v>
      </x:c>
      <x:c r="M5287" s="10" t="n">
        <x:v>0</x:v>
      </x:c>
      <x:c r="N5287" s="10" t="n">
        <x:v>0</x:v>
      </x:c>
      <x:c r="O5287" s="2" t="str">
        <x:v>Hà Nội|house</x:v>
      </x:c>
      <x:c r="P5287" s="10" t="n">
        <x:v>2</x:v>
      </x:c>
      <x:c r="Q5287" s="13" t="n">
        <x:f>IF(H5287="","",H5287/1000000000)</x:f>
        <x:v>2.25</x:v>
      </x:c>
      <x:c r="R5287" s="13" t="n">
        <x:f>IF(I5287="","",I5287/1000000)</x:f>
        <x:v>50</x:v>
      </x:c>
    </x:row>
    <x:row r="5288" ht="21" customHeight="1">
      <x:c r="A5288" s="10" t="n">
        <x:v>6931</x:v>
      </x:c>
      <x:c r="B5288" s="2" t="str">
        <x:v>14c05094cafe29dbf826</x:v>
      </x:c>
      <x:c r="C5288" s="2" t="str">
        <x:v>Tp Hồ Chí Minh</x:v>
      </x:c>
      <x:c r="D5288" s="2" t="str">
        <x:v>Quận Bình Thạnh</x:v>
      </x:c>
      <x:c r="E5288" s="2" t="str">
        <x:v>other_unknown</x:v>
      </x:c>
      <x:c r="F5288" s="2" t="str">
        <x:v>sale_assumed</x:v>
      </x:c>
      <x:c r="G5288" s="11" t="n">
        <x:v>119</x:v>
      </x:c>
      <x:c r="H5288" s="12" t="n">
        <x:v>6300000000</x:v>
      </x:c>
      <x:c r="I5288" s="12" t="n">
        <x:v>52941176.47058824</x:v>
      </x:c>
      <x:c r="J5288" s="2" t="str">
        <x:v>total</x:v>
      </x:c>
      <x:c r="K5288" s="2" t="str">
        <x:v>top_level_area</x:v>
      </x:c>
      <x:c r="L5288" s="2" t="str">
        <x:v>property_type_inferred_from_title;transaction_assumed_sale_from_dataset_context;unknown_property_type</x:v>
      </x:c>
      <x:c r="M5288" s="10" t="n">
        <x:v>0</x:v>
      </x:c>
      <x:c r="N5288" s="10" t="n">
        <x:v>0</x:v>
      </x:c>
      <x:c r="O5288" s="2" t="str">
        <x:v>Tp Hồ Chí Minh|other_unknown</x:v>
      </x:c>
      <x:c r="P5288" s="10" t="n">
        <x:v>2</x:v>
      </x:c>
      <x:c r="Q5288" s="13" t="n">
        <x:f>IF(H5288="","",H5288/1000000000)</x:f>
        <x:v>6.3</x:v>
      </x:c>
      <x:c r="R5288" s="13" t="n">
        <x:f>IF(I5288="","",I5288/1000000)</x:f>
        <x:v>52.94117647058824</x:v>
      </x:c>
    </x:row>
    <x:row r="5289" ht="21" customHeight="1">
      <x:c r="A5289" s="10" t="n">
        <x:v>6932</x:v>
      </x:c>
      <x:c r="B5289" s="2" t="str">
        <x:v>2f30d0dde7bfb113bce8</x:v>
      </x:c>
      <x:c r="C5289" s="2" t="str">
        <x:v>Tp Hồ Chí Minh</x:v>
      </x:c>
      <x:c r="D5289" s="2" t="str">
        <x:v>Quận 8</x:v>
      </x:c>
      <x:c r="E5289" s="2" t="str">
        <x:v>house</x:v>
      </x:c>
      <x:c r="F5289" s="2" t="str">
        <x:v>sale</x:v>
      </x:c>
      <x:c r="G5289" s="11" t="n">
        <x:v>79</x:v>
      </x:c>
      <x:c r="H5289" s="12" t="n">
        <x:v>1790000000</x:v>
      </x:c>
      <x:c r="I5289" s="12" t="n">
        <x:v>22658227.848101266</x:v>
      </x:c>
      <x:c r="J5289" s="2" t="str">
        <x:v>total</x:v>
      </x:c>
      <x:c r="K5289" s="2" t="str">
        <x:v>top_level_area</x:v>
      </x:c>
      <x:c r="L5289" s="2" t="str">
        <x:v>property_type_inferred_from_title</x:v>
      </x:c>
      <x:c r="M5289" s="10" t="n">
        <x:v>0</x:v>
      </x:c>
      <x:c r="N5289" s="10" t="n">
        <x:v>0</x:v>
      </x:c>
      <x:c r="O5289" s="2" t="str">
        <x:v>Tp Hồ Chí Minh|house</x:v>
      </x:c>
      <x:c r="P5289" s="10" t="n">
        <x:v>2</x:v>
      </x:c>
      <x:c r="Q5289" s="13" t="n">
        <x:f>IF(H5289="","",H5289/1000000000)</x:f>
        <x:v>1.79</x:v>
      </x:c>
      <x:c r="R5289" s="13" t="n">
        <x:f>IF(I5289="","",I5289/1000000)</x:f>
        <x:v>22.658227848101266</x:v>
      </x:c>
    </x:row>
    <x:row r="5290" ht="21" customHeight="1">
      <x:c r="A5290" s="10" t="n">
        <x:v>6933</x:v>
      </x:c>
      <x:c r="B5290" s="2" t="str">
        <x:v>c238f26a185d028ad0b9</x:v>
      </x:c>
      <x:c r="C5290" s="2" t="str">
        <x:v>Khánh Hòa</x:v>
      </x:c>
      <x:c r="D5290" s="2" t="str">
        <x:v>Huyện Cam Lâm</x:v>
      </x:c>
      <x:c r="E5290" s="2" t="str">
        <x:v>house</x:v>
      </x:c>
      <x:c r="F5290" s="2" t="str">
        <x:v>sale_assumed</x:v>
      </x:c>
      <x:c r="G5290" s="11" t="n">
        <x:v>146</x:v>
      </x:c>
      <x:c r="H5290" s="12" t="n">
        <x:v>1387000000</x:v>
      </x:c>
      <x:c r="I5290" s="12" t="n">
        <x:v>9500000</x:v>
      </x:c>
      <x:c r="J5290" s="2" t="str">
        <x:v>total</x:v>
      </x:c>
      <x:c r="K5290" s="2" t="str">
        <x:v>top_level_area</x:v>
      </x:c>
      <x:c r="L5290" s="2" t="str">
        <x:v>property_type_inferred_from_title;transaction_assumed_sale_from_dataset_context</x:v>
      </x:c>
      <x:c r="M5290" s="10" t="n">
        <x:v>0</x:v>
      </x:c>
      <x:c r="N5290" s="10" t="n">
        <x:v>0</x:v>
      </x:c>
      <x:c r="O5290" s="2" t="str">
        <x:v>Khánh Hòa|house</x:v>
      </x:c>
      <x:c r="P5290" s="10" t="n">
        <x:v>2</x:v>
      </x:c>
      <x:c r="Q5290" s="13" t="n">
        <x:f>IF(H5290="","",H5290/1000000000)</x:f>
        <x:v>1.387</x:v>
      </x:c>
      <x:c r="R5290" s="13" t="n">
        <x:f>IF(I5290="","",I5290/1000000)</x:f>
        <x:v>9.5</x:v>
      </x:c>
    </x:row>
    <x:row r="5291" ht="21" customHeight="1">
      <x:c r="A5291" s="10" t="n">
        <x:v>6937</x:v>
      </x:c>
      <x:c r="B5291" s="2" t="str">
        <x:v>b7626efff193b8f877c2</x:v>
      </x:c>
      <x:c r="C5291" s="2" t="str">
        <x:v>Đắk Lắk</x:v>
      </x:c>
      <x:c r="D5291" s="2" t="str">
        <x:v>Thành phố Buôn Ma Thuột</x:v>
      </x:c>
      <x:c r="E5291" s="2" t="str">
        <x:v>house</x:v>
      </x:c>
      <x:c r="F5291" s="2" t="str">
        <x:v>sale_assumed</x:v>
      </x:c>
      <x:c r="G5291" s="11" t="n">
        <x:v>130</x:v>
      </x:c>
      <x:c r="H5291" s="12" t="n">
        <x:v>2350000000</x:v>
      </x:c>
      <x:c r="I5291" s="12" t="n">
        <x:v>18076923.076923076</x:v>
      </x:c>
      <x:c r="J5291" s="2" t="str">
        <x:v>total</x:v>
      </x:c>
      <x:c r="K5291" s="2" t="str">
        <x:v>top_level_area</x:v>
      </x:c>
      <x:c r="L5291" s="2" t="str">
        <x:v>property_type_inferred_from_title;transaction_assumed_sale_from_dataset_context</x:v>
      </x:c>
      <x:c r="M5291" s="10" t="n">
        <x:v>0</x:v>
      </x:c>
      <x:c r="N5291" s="10" t="n">
        <x:v>0</x:v>
      </x:c>
      <x:c r="O5291" s="2" t="str">
        <x:v>Đắk Lắk|house</x:v>
      </x:c>
      <x:c r="P5291" s="10" t="n">
        <x:v>2</x:v>
      </x:c>
      <x:c r="Q5291" s="13" t="n">
        <x:f>IF(H5291="","",H5291/1000000000)</x:f>
        <x:v>2.35</x:v>
      </x:c>
      <x:c r="R5291" s="13" t="n">
        <x:f>IF(I5291="","",I5291/1000000)</x:f>
        <x:v>18.076923076923077</x:v>
      </x:c>
    </x:row>
    <x:row r="5292" ht="21" customHeight="1">
      <x:c r="A5292" s="10" t="n">
        <x:v>6938</x:v>
      </x:c>
      <x:c r="B5292" s="2" t="str">
        <x:v>abd020b58e3b5af9b010</x:v>
      </x:c>
      <x:c r="C5292" s="2" t="str">
        <x:v>Tp Hồ Chí Minh</x:v>
      </x:c>
      <x:c r="D5292" s="2" t="str">
        <x:v>Quận Tân Phú</x:v>
      </x:c>
      <x:c r="E5292" s="2" t="str">
        <x:v>house</x:v>
      </x:c>
      <x:c r="F5292" s="2" t="str">
        <x:v>sale</x:v>
      </x:c>
      <x:c r="G5292" s="11" t="n">
        <x:v>47.3</x:v>
      </x:c>
      <x:c r="H5292" s="12" t="n">
        <x:v>5050000000</x:v>
      </x:c>
      <x:c r="I5292" s="12" t="n">
        <x:v>106765327.69556026</x:v>
      </x:c>
      <x:c r="J5292" s="2" t="str">
        <x:v>total</x:v>
      </x:c>
      <x:c r="K5292" s="2" t="str">
        <x:v>top_level_area</x:v>
      </x:c>
      <x:c r="L5292" s="2" t="str">
        <x:v>property_type_inferred_from_title</x:v>
      </x:c>
      <x:c r="M5292" s="10" t="n">
        <x:v>0</x:v>
      </x:c>
      <x:c r="N5292" s="10" t="n">
        <x:v>0</x:v>
      </x:c>
      <x:c r="O5292" s="2" t="str">
        <x:v>Tp Hồ Chí Minh|house</x:v>
      </x:c>
      <x:c r="P5292" s="10" t="n">
        <x:v>2</x:v>
      </x:c>
      <x:c r="Q5292" s="13" t="n">
        <x:f>IF(H5292="","",H5292/1000000000)</x:f>
        <x:v>5.05</x:v>
      </x:c>
      <x:c r="R5292" s="13" t="n">
        <x:f>IF(I5292="","",I5292/1000000)</x:f>
        <x:v>106.76532769556026</x:v>
      </x:c>
    </x:row>
    <x:row r="5293" ht="21" customHeight="1">
      <x:c r="A5293" s="10" t="n">
        <x:v>6939</x:v>
      </x:c>
      <x:c r="B5293" s="2" t="str">
        <x:v>7b1e16f1ebc22d93e152</x:v>
      </x:c>
      <x:c r="C5293" s="2" t="str">
        <x:v>Hà Nội</x:v>
      </x:c>
      <x:c r="D5293" s="2" t="str">
        <x:v>Quận Hà Đông</x:v>
      </x:c>
      <x:c r="E5293" s="2" t="str">
        <x:v>house</x:v>
      </x:c>
      <x:c r="F5293" s="2" t="str">
        <x:v>sale_assumed</x:v>
      </x:c>
      <x:c r="G5293" s="11" t="n">
        <x:v>33</x:v>
      </x:c>
      <x:c r="H5293" s="12" t="n">
        <x:v>1600000000</x:v>
      </x:c>
      <x:c r="I5293" s="12" t="n">
        <x:v>48484848.484848484</x:v>
      </x:c>
      <x:c r="J5293" s="2" t="str">
        <x:v>total</x:v>
      </x:c>
      <x:c r="K5293" s="2" t="str">
        <x:v>top_level_area</x:v>
      </x:c>
      <x:c r="L5293" s="2" t="str">
        <x:v>property_type_inferred_from_title;transaction_assumed_sale_from_dataset_context</x:v>
      </x:c>
      <x:c r="M5293" s="10" t="n">
        <x:v>0</x:v>
      </x:c>
      <x:c r="N5293" s="10" t="n">
        <x:v>0</x:v>
      </x:c>
      <x:c r="O5293" s="2" t="str">
        <x:v>Hà Nội|house</x:v>
      </x:c>
      <x:c r="P5293" s="10" t="n">
        <x:v>2</x:v>
      </x:c>
      <x:c r="Q5293" s="13" t="n">
        <x:f>IF(H5293="","",H5293/1000000000)</x:f>
        <x:v>1.6</x:v>
      </x:c>
      <x:c r="R5293" s="13" t="n">
        <x:f>IF(I5293="","",I5293/1000000)</x:f>
        <x:v>48.484848484848484</x:v>
      </x:c>
    </x:row>
    <x:row r="5294" ht="21" customHeight="1">
      <x:c r="A5294" s="10" t="n">
        <x:v>6940</x:v>
      </x:c>
      <x:c r="B5294" s="2" t="str">
        <x:v>6e1bb2429dce4d7a1312</x:v>
      </x:c>
      <x:c r="C5294" s="2" t="str">
        <x:v>Tp Hồ Chí Minh</x:v>
      </x:c>
      <x:c r="D5294" s="2" t="str">
        <x:v>Quận 10</x:v>
      </x:c>
      <x:c r="E5294" s="2" t="str">
        <x:v>house</x:v>
      </x:c>
      <x:c r="F5294" s="2" t="str">
        <x:v>sale</x:v>
      </x:c>
      <x:c r="G5294" s="11" t="n">
        <x:v>62</x:v>
      </x:c>
      <x:c r="H5294" s="12" t="n">
        <x:v>1390000000</x:v>
      </x:c>
      <x:c r="I5294" s="12" t="n">
        <x:v>22419354.83870968</x:v>
      </x:c>
      <x:c r="J5294" s="2" t="str">
        <x:v>total</x:v>
      </x:c>
      <x:c r="K5294" s="2" t="str">
        <x:v>top_level_area</x:v>
      </x:c>
      <x:c r="L5294" s="2" t="str">
        <x:v>property_type_inferred_from_title</x:v>
      </x:c>
      <x:c r="M5294" s="10" t="n">
        <x:v>0</x:v>
      </x:c>
      <x:c r="N5294" s="10" t="n">
        <x:v>0</x:v>
      </x:c>
      <x:c r="O5294" s="2" t="str">
        <x:v>Tp Hồ Chí Minh|house</x:v>
      </x:c>
      <x:c r="P5294" s="10" t="n">
        <x:v>2</x:v>
      </x:c>
      <x:c r="Q5294" s="13" t="n">
        <x:f>IF(H5294="","",H5294/1000000000)</x:f>
        <x:v>1.39</x:v>
      </x:c>
      <x:c r="R5294" s="13" t="n">
        <x:f>IF(I5294="","",I5294/1000000)</x:f>
        <x:v>22.41935483870968</x:v>
      </x:c>
    </x:row>
    <x:row r="5295" ht="21" customHeight="1">
      <x:c r="A5295" s="10" t="n">
        <x:v>6941</x:v>
      </x:c>
      <x:c r="B5295" s="2" t="str">
        <x:v>aba1e466193c230bff9d</x:v>
      </x:c>
      <x:c r="C5295" s="2" t="str">
        <x:v>Cà Mau</x:v>
      </x:c>
      <x:c r="D5295" s="2" t="str">
        <x:v>Thành phố Cà Mau</x:v>
      </x:c>
      <x:c r="E5295" s="2" t="str">
        <x:v>house</x:v>
      </x:c>
      <x:c r="F5295" s="2" t="str">
        <x:v>sale</x:v>
      </x:c>
      <x:c r="G5295" s="11" t="n">
        <x:v>315</x:v>
      </x:c>
      <x:c r="H5295" s="12" t="n">
        <x:v>2800000000</x:v>
      </x:c>
      <x:c r="I5295" s="12" t="n">
        <x:v>8888888.888888888</x:v>
      </x:c>
      <x:c r="J5295" s="2" t="str">
        <x:v>total</x:v>
      </x:c>
      <x:c r="K5295" s="2" t="str">
        <x:v>top_level_area</x:v>
      </x:c>
      <x:c r="L5295" s="2" t="str">
        <x:v>property_type_inferred_from_title</x:v>
      </x:c>
      <x:c r="M5295" s="10" t="n">
        <x:v>0</x:v>
      </x:c>
      <x:c r="N5295" s="10" t="n">
        <x:v>0</x:v>
      </x:c>
      <x:c r="O5295" s="2" t="str">
        <x:v>house</x:v>
      </x:c>
      <x:c r="P5295" s="10" t="n">
        <x:v>1</x:v>
      </x:c>
      <x:c r="Q5295" s="13" t="n">
        <x:f>IF(H5295="","",H5295/1000000000)</x:f>
        <x:v>2.8</x:v>
      </x:c>
      <x:c r="R5295" s="13" t="n">
        <x:f>IF(I5295="","",I5295/1000000)</x:f>
        <x:v>8.888888888888888</x:v>
      </x:c>
    </x:row>
    <x:row r="5296" ht="21" customHeight="1">
      <x:c r="A5296" s="10" t="n">
        <x:v>6942</x:v>
      </x:c>
      <x:c r="B5296" s="2" t="str">
        <x:v>fc01e6a88a30dee14d26</x:v>
      </x:c>
      <x:c r="C5296" s="2" t="str">
        <x:v>Cà Mau</x:v>
      </x:c>
      <x:c r="D5296" s="2" t="str">
        <x:v>Thành phố Cà Mau</x:v>
      </x:c>
      <x:c r="E5296" s="2" t="str">
        <x:v>house</x:v>
      </x:c>
      <x:c r="F5296" s="2" t="str">
        <x:v>sale_assumed</x:v>
      </x:c>
      <x:c r="G5296" s="11" t="n">
        <x:v>60</x:v>
      </x:c>
      <x:c r="H5296" s="12" t="n">
        <x:v>1850000000</x:v>
      </x:c>
      <x:c r="I5296" s="12" t="n">
        <x:v>30833333.333333332</x:v>
      </x:c>
      <x:c r="J5296" s="2" t="str">
        <x:v>total</x:v>
      </x:c>
      <x:c r="K5296" s="2" t="str">
        <x:v>top_level_area</x:v>
      </x:c>
      <x:c r="L5296" s="2" t="str">
        <x:v>property_type_inferred_from_title;transaction_assumed_sale_from_dataset_context</x:v>
      </x:c>
      <x:c r="M5296" s="10" t="n">
        <x:v>0</x:v>
      </x:c>
      <x:c r="N5296" s="10" t="n">
        <x:v>0</x:v>
      </x:c>
      <x:c r="O5296" s="2" t="str">
        <x:v>house</x:v>
      </x:c>
      <x:c r="P5296" s="10" t="n">
        <x:v>2</x:v>
      </x:c>
      <x:c r="Q5296" s="13" t="n">
        <x:f>IF(H5296="","",H5296/1000000000)</x:f>
        <x:v>1.85</x:v>
      </x:c>
      <x:c r="R5296" s="13" t="n">
        <x:f>IF(I5296="","",I5296/1000000)</x:f>
        <x:v>30.833333333333332</x:v>
      </x:c>
    </x:row>
    <x:row r="5297" ht="21" customHeight="1">
      <x:c r="A5297" s="10" t="n">
        <x:v>6943</x:v>
      </x:c>
      <x:c r="B5297" s="2" t="str">
        <x:v>0b7ba196ec1b5e8b3f98</x:v>
      </x:c>
      <x:c r="C5297" s="2" t="str">
        <x:v>Tp Hồ Chí Minh</x:v>
      </x:c>
      <x:c r="D5297" s="2" t="str">
        <x:v>Quận 7</x:v>
      </x:c>
      <x:c r="E5297" s="2" t="str">
        <x:v>house</x:v>
      </x:c>
      <x:c r="F5297" s="2" t="str">
        <x:v>sale_assumed</x:v>
      </x:c>
      <x:c r="G5297" s="11" t="n">
        <x:v>37</x:v>
      </x:c>
      <x:c r="H5297" s="12" t="n">
        <x:v>1560000000</x:v>
      </x:c>
      <x:c r="I5297" s="12" t="n">
        <x:v>42162162.16216216</x:v>
      </x:c>
      <x:c r="J5297" s="2" t="str">
        <x:v>total</x:v>
      </x:c>
      <x:c r="K5297" s="2" t="str">
        <x:v>top_level_area</x:v>
      </x:c>
      <x:c r="L5297" s="2" t="str">
        <x:v>property_type_inferred_from_title;transaction_assumed_sale_from_dataset_context</x:v>
      </x:c>
      <x:c r="M5297" s="10" t="n">
        <x:v>0</x:v>
      </x:c>
      <x:c r="N5297" s="10" t="n">
        <x:v>0</x:v>
      </x:c>
      <x:c r="O5297" s="2" t="str">
        <x:v>Tp Hồ Chí Minh|house</x:v>
      </x:c>
      <x:c r="P5297" s="10" t="n">
        <x:v>2</x:v>
      </x:c>
      <x:c r="Q5297" s="13" t="n">
        <x:f>IF(H5297="","",H5297/1000000000)</x:f>
        <x:v>1.56</x:v>
      </x:c>
      <x:c r="R5297" s="13" t="n">
        <x:f>IF(I5297="","",I5297/1000000)</x:f>
        <x:v>42.16216216216216</x:v>
      </x:c>
    </x:row>
    <x:row r="5298" ht="21" customHeight="1">
      <x:c r="A5298" s="10" t="n">
        <x:v>6944</x:v>
      </x:c>
      <x:c r="B5298" s="2" t="str">
        <x:v>f71472d2400b4e452955</x:v>
      </x:c>
      <x:c r="C5298" s="2" t="str">
        <x:v>Tp Hồ Chí Minh</x:v>
      </x:c>
      <x:c r="D5298" s="2" t="str">
        <x:v>Quận 7</x:v>
      </x:c>
      <x:c r="E5298" s="2" t="str">
        <x:v>house</x:v>
      </x:c>
      <x:c r="F5298" s="2" t="str">
        <x:v>sale</x:v>
      </x:c>
      <x:c r="G5298" s="11" t="n">
        <x:v>40</x:v>
      </x:c>
      <x:c r="H5298" s="12" t="n">
        <x:v>1680000000</x:v>
      </x:c>
      <x:c r="I5298" s="12" t="n">
        <x:v>42000000</x:v>
      </x:c>
      <x:c r="J5298" s="2" t="str">
        <x:v>total</x:v>
      </x:c>
      <x:c r="K5298" s="2" t="str">
        <x:v>top_level_area</x:v>
      </x:c>
      <x:c r="L5298" s="2" t="str">
        <x:v>property_type_inferred_from_title</x:v>
      </x:c>
      <x:c r="M5298" s="10" t="n">
        <x:v>0</x:v>
      </x:c>
      <x:c r="N5298" s="10" t="n">
        <x:v>0</x:v>
      </x:c>
      <x:c r="O5298" s="2" t="str">
        <x:v>Tp Hồ Chí Minh|house</x:v>
      </x:c>
      <x:c r="P5298" s="10" t="n">
        <x:v>2</x:v>
      </x:c>
      <x:c r="Q5298" s="13" t="n">
        <x:f>IF(H5298="","",H5298/1000000000)</x:f>
        <x:v>1.68</x:v>
      </x:c>
      <x:c r="R5298" s="13" t="n">
        <x:f>IF(I5298="","",I5298/1000000)</x:f>
        <x:v>42</x:v>
      </x:c>
    </x:row>
    <x:row r="5299" ht="21" customHeight="1">
      <x:c r="A5299" s="10" t="n">
        <x:v>6945</x:v>
      </x:c>
      <x:c r="B5299" s="2" t="str">
        <x:v>b90dc67f7470e2afa852</x:v>
      </x:c>
      <x:c r="C5299" s="2" t="str">
        <x:v>Tp Hồ Chí Minh</x:v>
      </x:c>
      <x:c r="D5299" s="2" t="str">
        <x:v>Quận 7</x:v>
      </x:c>
      <x:c r="E5299" s="2" t="str">
        <x:v>house</x:v>
      </x:c>
      <x:c r="F5299" s="2" t="str">
        <x:v>sale</x:v>
      </x:c>
      <x:c r="G5299" s="11" t="n">
        <x:v>36</x:v>
      </x:c>
      <x:c r="H5299" s="12" t="n">
        <x:v>1520000000</x:v>
      </x:c>
      <x:c r="I5299" s="12" t="n">
        <x:v>42222222.222222224</x:v>
      </x:c>
      <x:c r="J5299" s="2" t="str">
        <x:v>total</x:v>
      </x:c>
      <x:c r="K5299" s="2" t="str">
        <x:v>top_level_area</x:v>
      </x:c>
      <x:c r="L5299" s="2" t="str">
        <x:v>property_type_inferred_from_title</x:v>
      </x:c>
      <x:c r="M5299" s="10" t="n">
        <x:v>0</x:v>
      </x:c>
      <x:c r="N5299" s="10" t="n">
        <x:v>0</x:v>
      </x:c>
      <x:c r="O5299" s="2" t="str">
        <x:v>Tp Hồ Chí Minh|house</x:v>
      </x:c>
      <x:c r="P5299" s="10" t="n">
        <x:v>2</x:v>
      </x:c>
      <x:c r="Q5299" s="13" t="n">
        <x:f>IF(H5299="","",H5299/1000000000)</x:f>
        <x:v>1.52</x:v>
      </x:c>
      <x:c r="R5299" s="13" t="n">
        <x:f>IF(I5299="","",I5299/1000000)</x:f>
        <x:v>42.22222222222222</x:v>
      </x:c>
    </x:row>
    <x:row r="5300" ht="21" customHeight="1">
      <x:c r="A5300" s="10" t="n">
        <x:v>6946</x:v>
      </x:c>
      <x:c r="B5300" s="2" t="str">
        <x:v>752656432f0df7f8b422</x:v>
      </x:c>
      <x:c r="C5300" s="2" t="str">
        <x:v>Hà Nội</x:v>
      </x:c>
      <x:c r="D5300" s="2" t="str">
        <x:v>Quận Đống Đa</x:v>
      </x:c>
      <x:c r="E5300" s="2" t="str">
        <x:v>house</x:v>
      </x:c>
      <x:c r="F5300" s="2" t="str">
        <x:v>sale_assumed</x:v>
      </x:c>
      <x:c r="G5300" s="11" t="n">
        <x:v>54</x:v>
      </x:c>
      <x:c r="H5300" s="12" t="n">
        <x:v>6150000000</x:v>
      </x:c>
      <x:c r="I5300" s="12" t="n">
        <x:v>113888888.8888889</x:v>
      </x:c>
      <x:c r="J5300" s="2" t="str">
        <x:v>total</x:v>
      </x:c>
      <x:c r="K5300" s="2" t="str">
        <x:v>top_level_area</x:v>
      </x:c>
      <x:c r="L5300" s="2" t="str">
        <x:v>property_type_inferred_from_title;transaction_assumed_sale_from_dataset_context</x:v>
      </x:c>
      <x:c r="M5300" s="10" t="n">
        <x:v>0</x:v>
      </x:c>
      <x:c r="N5300" s="10" t="n">
        <x:v>0</x:v>
      </x:c>
      <x:c r="O5300" s="2" t="str">
        <x:v>Hà Nội|house</x:v>
      </x:c>
      <x:c r="P5300" s="10" t="n">
        <x:v>2</x:v>
      </x:c>
      <x:c r="Q5300" s="13" t="n">
        <x:f>IF(H5300="","",H5300/1000000000)</x:f>
        <x:v>6.15</x:v>
      </x:c>
      <x:c r="R5300" s="13" t="n">
        <x:f>IF(I5300="","",I5300/1000000)</x:f>
        <x:v>113.8888888888889</x:v>
      </x:c>
    </x:row>
    <x:row r="5301" ht="21" customHeight="1">
      <x:c r="A5301" s="10" t="n">
        <x:v>6947</x:v>
      </x:c>
      <x:c r="B5301" s="2" t="str">
        <x:v>715f781e030d404d4f4e</x:v>
      </x:c>
      <x:c r="C5301" s="2" t="str">
        <x:v>Cần Thơ</x:v>
      </x:c>
      <x:c r="D5301" s="2" t="str">
        <x:v>Huyện Phong Điền</x:v>
      </x:c>
      <x:c r="E5301" s="2" t="str">
        <x:v>land</x:v>
      </x:c>
      <x:c r="F5301" s="2" t="str">
        <x:v>sale</x:v>
      </x:c>
      <x:c r="G5301" s="11" t="n">
        <x:v>176</x:v>
      </x:c>
      <x:c r="H5301" s="12" t="n">
        <x:v>619000000</x:v>
      </x:c>
      <x:c r="I5301" s="12" t="n">
        <x:v>3517045.4545454546</x:v>
      </x:c>
      <x:c r="J5301" s="2" t="str">
        <x:v>total</x:v>
      </x:c>
      <x:c r="K5301" s="2" t="str">
        <x:v>top_level_area</x:v>
      </x:c>
      <x:c r="L5301" s="2" t="str">
        <x:v>property_type_inferred_from_title</x:v>
      </x:c>
      <x:c r="M5301" s="10" t="n">
        <x:v>0</x:v>
      </x:c>
      <x:c r="N5301" s="10" t="n">
        <x:v>0</x:v>
      </x:c>
      <x:c r="O5301" s="2" t="str">
        <x:v>Cần Thơ|land</x:v>
      </x:c>
      <x:c r="P5301" s="10" t="n">
        <x:v>1</x:v>
      </x:c>
      <x:c r="Q5301" s="13" t="n">
        <x:f>IF(H5301="","",H5301/1000000000)</x:f>
        <x:v>0.619</x:v>
      </x:c>
      <x:c r="R5301" s="13" t="n">
        <x:f>IF(I5301="","",I5301/1000000)</x:f>
        <x:v>3.5170454545454546</x:v>
      </x:c>
    </x:row>
    <x:row r="5302" ht="21" customHeight="1">
      <x:c r="A5302" s="10" t="n">
        <x:v>6948</x:v>
      </x:c>
      <x:c r="B5302" s="2" t="str">
        <x:v>4c56d5fbe10ddbc0df2a</x:v>
      </x:c>
      <x:c r="C5302" s="2" t="str">
        <x:v>Tp Hồ Chí Minh</x:v>
      </x:c>
      <x:c r="D5302" s="2" t="str">
        <x:v>Quận 9</x:v>
      </x:c>
      <x:c r="E5302" s="2" t="str">
        <x:v>house</x:v>
      </x:c>
      <x:c r="F5302" s="2" t="str">
        <x:v>sale_assumed</x:v>
      </x:c>
      <x:c r="G5302" s="11" t="n">
        <x:v>74</x:v>
      </x:c>
      <x:c r="H5302" s="12" t="n">
        <x:v>970000000</x:v>
      </x:c>
      <x:c r="I5302" s="12" t="n">
        <x:v>13108108.108108109</x:v>
      </x:c>
      <x:c r="J5302" s="2" t="str">
        <x:v>total</x:v>
      </x:c>
      <x:c r="K5302" s="2" t="str">
        <x:v>top_level_area</x:v>
      </x:c>
      <x:c r="L5302" s="2" t="str">
        <x:v>property_type_inferred_from_title;transaction_assumed_sale_from_dataset_context</x:v>
      </x:c>
      <x:c r="M5302" s="10" t="n">
        <x:v>0</x:v>
      </x:c>
      <x:c r="N5302" s="10" t="n">
        <x:v>0</x:v>
      </x:c>
      <x:c r="O5302" s="2" t="str">
        <x:v>Tp Hồ Chí Minh|house</x:v>
      </x:c>
      <x:c r="P5302" s="10" t="n">
        <x:v>2</x:v>
      </x:c>
      <x:c r="Q5302" s="13" t="n">
        <x:f>IF(H5302="","",H5302/1000000000)</x:f>
        <x:v>0.97</x:v>
      </x:c>
      <x:c r="R5302" s="13" t="n">
        <x:f>IF(I5302="","",I5302/1000000)</x:f>
        <x:v>13.108108108108109</x:v>
      </x:c>
    </x:row>
    <x:row r="5303" ht="21" customHeight="1">
      <x:c r="A5303" s="10" t="n">
        <x:v>6949</x:v>
      </x:c>
      <x:c r="B5303" s="2" t="str">
        <x:v>6ee702ae5eaf4286c7fa</x:v>
      </x:c>
      <x:c r="C5303" s="2" t="str">
        <x:v>Tp Hồ Chí Minh</x:v>
      </x:c>
      <x:c r="D5303" s="2" t="str">
        <x:v>Quận 7</x:v>
      </x:c>
      <x:c r="E5303" s="2" t="str">
        <x:v>house</x:v>
      </x:c>
      <x:c r="F5303" s="2" t="str">
        <x:v>sale</x:v>
      </x:c>
      <x:c r="G5303" s="11" t="n">
        <x:v>70</x:v>
      </x:c>
      <x:c r="H5303" s="12" t="n">
        <x:v>1600000000</x:v>
      </x:c>
      <x:c r="I5303" s="12" t="n">
        <x:v>22857142.85714286</x:v>
      </x:c>
      <x:c r="J5303" s="2" t="str">
        <x:v>total</x:v>
      </x:c>
      <x:c r="K5303" s="2" t="str">
        <x:v>top_level_area</x:v>
      </x:c>
      <x:c r="L5303" s="2" t="str">
        <x:v>property_type_inferred_from_title</x:v>
      </x:c>
      <x:c r="M5303" s="10" t="n">
        <x:v>0</x:v>
      </x:c>
      <x:c r="N5303" s="10" t="n">
        <x:v>0</x:v>
      </x:c>
      <x:c r="O5303" s="2" t="str">
        <x:v>Tp Hồ Chí Minh|house</x:v>
      </x:c>
      <x:c r="P5303" s="10" t="n">
        <x:v>2</x:v>
      </x:c>
      <x:c r="Q5303" s="13" t="n">
        <x:f>IF(H5303="","",H5303/1000000000)</x:f>
        <x:v>1.6</x:v>
      </x:c>
      <x:c r="R5303" s="13" t="n">
        <x:f>IF(I5303="","",I5303/1000000)</x:f>
        <x:v>22.857142857142858</x:v>
      </x:c>
    </x:row>
    <x:row r="5304" ht="21" customHeight="1">
      <x:c r="A5304" s="10" t="n">
        <x:v>6950</x:v>
      </x:c>
      <x:c r="B5304" s="2" t="str">
        <x:v>b22c9511bc3fea7d3c41</x:v>
      </x:c>
      <x:c r="C5304" s="2" t="str">
        <x:v>Hà Nội</x:v>
      </x:c>
      <x:c r="D5304" s="2" t="str">
        <x:v>Quận Bắc Từ Liêm</x:v>
      </x:c>
      <x:c r="E5304" s="2" t="str">
        <x:v>apartment</x:v>
      </x:c>
      <x:c r="F5304" s="2" t="str">
        <x:v>sale_assumed</x:v>
      </x:c>
      <x:c r="G5304" s="11" t="n">
        <x:v>33</x:v>
      </x:c>
      <x:c r="H5304" s="12" t="n">
        <x:v>600000000</x:v>
      </x:c>
      <x:c r="I5304" s="12" t="n">
        <x:v>18181818.181818184</x:v>
      </x:c>
      <x:c r="J5304" s="2" t="str">
        <x:v>total</x:v>
      </x:c>
      <x:c r="K5304" s="2" t="str">
        <x:v>top_level_area</x:v>
      </x:c>
      <x:c r="L5304" s="2" t="str">
        <x:v>property_type_inferred_from_title;transaction_assumed_sale_from_dataset_context</x:v>
      </x:c>
      <x:c r="M5304" s="10" t="n">
        <x:v>0</x:v>
      </x:c>
      <x:c r="N5304" s="10" t="n">
        <x:v>0</x:v>
      </x:c>
      <x:c r="O5304" s="2" t="str">
        <x:v>Hà Nội|apartment</x:v>
      </x:c>
      <x:c r="P5304" s="10" t="n">
        <x:v>2</x:v>
      </x:c>
      <x:c r="Q5304" s="13" t="n">
        <x:f>IF(H5304="","",H5304/1000000000)</x:f>
        <x:v>0.6</x:v>
      </x:c>
      <x:c r="R5304" s="13" t="n">
        <x:f>IF(I5304="","",I5304/1000000)</x:f>
        <x:v>18.181818181818183</x:v>
      </x:c>
    </x:row>
    <x:row r="5305" ht="21" customHeight="1">
      <x:c r="A5305" s="10" t="n">
        <x:v>6951</x:v>
      </x:c>
      <x:c r="B5305" s="2" t="str">
        <x:v>2b3174de1aaac25d8714</x:v>
      </x:c>
      <x:c r="C5305" s="2" t="str">
        <x:v>Hà Nội</x:v>
      </x:c>
      <x:c r="D5305" s="2" t="str">
        <x:v>Quận Hai Bà Trưng</x:v>
      </x:c>
      <x:c r="E5305" s="2" t="str">
        <x:v>house</x:v>
      </x:c>
      <x:c r="F5305" s="2" t="str">
        <x:v>sale</x:v>
      </x:c>
      <x:c r="G5305" s="11" t="n">
        <x:v>22</x:v>
      </x:c>
      <x:c r="H5305" s="12" t="n">
        <x:v>1580000000</x:v>
      </x:c>
      <x:c r="I5305" s="12" t="n">
        <x:v>71818181.81818181</x:v>
      </x:c>
      <x:c r="J5305" s="2" t="str">
        <x:v>total</x:v>
      </x:c>
      <x:c r="K5305" s="2" t="str">
        <x:v>top_level_area</x:v>
      </x:c>
      <x:c r="L5305" s="2" t="str">
        <x:v>property_type_inferred_from_title</x:v>
      </x:c>
      <x:c r="M5305" s="10" t="n">
        <x:v>0</x:v>
      </x:c>
      <x:c r="N5305" s="10" t="n">
        <x:v>0</x:v>
      </x:c>
      <x:c r="O5305" s="2" t="str">
        <x:v>Hà Nội|house</x:v>
      </x:c>
      <x:c r="P5305" s="10" t="n">
        <x:v>2</x:v>
      </x:c>
      <x:c r="Q5305" s="13" t="n">
        <x:f>IF(H5305="","",H5305/1000000000)</x:f>
        <x:v>1.58</x:v>
      </x:c>
      <x:c r="R5305" s="13" t="n">
        <x:f>IF(I5305="","",I5305/1000000)</x:f>
        <x:v>71.81818181818181</x:v>
      </x:c>
    </x:row>
    <x:row r="5306" ht="21" customHeight="1">
      <x:c r="A5306" s="10" t="n">
        <x:v>6952</x:v>
      </x:c>
      <x:c r="B5306" s="2" t="str">
        <x:v>605e63a9165ef51710a6</x:v>
      </x:c>
      <x:c r="C5306" s="2" t="str">
        <x:v>Thừa Thiên Huế</x:v>
      </x:c>
      <x:c r="D5306" s="2" t="str">
        <x:v>Thành phố Huế</x:v>
      </x:c>
      <x:c r="E5306" s="2" t="str">
        <x:v>land</x:v>
      </x:c>
      <x:c r="F5306" s="2" t="str">
        <x:v>sale_assumed</x:v>
      </x:c>
      <x:c r="G5306" s="11" t="n">
        <x:v>60</x:v>
      </x:c>
      <x:c r="H5306" s="12" t="n">
        <x:v>845000000</x:v>
      </x:c>
      <x:c r="I5306" s="12" t="n">
        <x:v>14083333.333333334</x:v>
      </x:c>
      <x:c r="J5306" s="2" t="str">
        <x:v>total</x:v>
      </x:c>
      <x:c r="K5306" s="2" t="str">
        <x:v>top_level_area</x:v>
      </x:c>
      <x:c r="L5306" s="2" t="str">
        <x:v>property_type_inferred_from_title;transaction_assumed_sale_from_dataset_context</x:v>
      </x:c>
      <x:c r="M5306" s="10" t="n">
        <x:v>0</x:v>
      </x:c>
      <x:c r="N5306" s="10" t="n">
        <x:v>0</x:v>
      </x:c>
      <x:c r="O5306" s="2" t="str">
        <x:v>land</x:v>
      </x:c>
      <x:c r="P5306" s="10" t="n">
        <x:v>2</x:v>
      </x:c>
      <x:c r="Q5306" s="13" t="n">
        <x:f>IF(H5306="","",H5306/1000000000)</x:f>
        <x:v>0.845</x:v>
      </x:c>
      <x:c r="R5306" s="13" t="n">
        <x:f>IF(I5306="","",I5306/1000000)</x:f>
        <x:v>14.083333333333334</x:v>
      </x:c>
    </x:row>
    <x:row r="5307" ht="21" customHeight="1">
      <x:c r="A5307" s="10" t="n">
        <x:v>6953</x:v>
      </x:c>
      <x:c r="B5307" s="2" t="str">
        <x:v>5286d3ebc4d45fe3626f</x:v>
      </x:c>
      <x:c r="C5307" s="2" t="str">
        <x:v>Hà Nội</x:v>
      </x:c>
      <x:c r="D5307" s="2" t="str">
        <x:v>Quận Nam Từ Liêm</x:v>
      </x:c>
      <x:c r="E5307" s="2" t="str">
        <x:v>house</x:v>
      </x:c>
      <x:c r="F5307" s="2" t="str">
        <x:v>sale</x:v>
      </x:c>
      <x:c r="G5307" s="11" t="n">
        <x:v>32</x:v>
      </x:c>
      <x:c r="H5307" s="12" t="n">
        <x:v>2850000000</x:v>
      </x:c>
      <x:c r="I5307" s="12" t="n">
        <x:v>89062500</x:v>
      </x:c>
      <x:c r="J5307" s="2" t="str">
        <x:v>total</x:v>
      </x:c>
      <x:c r="K5307" s="2" t="str">
        <x:v>top_level_area</x:v>
      </x:c>
      <x:c r="L5307" s="2" t="str">
        <x:v>property_type_inferred_from_title</x:v>
      </x:c>
      <x:c r="M5307" s="10" t="n">
        <x:v>0</x:v>
      </x:c>
      <x:c r="N5307" s="10" t="n">
        <x:v>0</x:v>
      </x:c>
      <x:c r="O5307" s="2" t="str">
        <x:v>Hà Nội|house</x:v>
      </x:c>
      <x:c r="P5307" s="10" t="n">
        <x:v>2</x:v>
      </x:c>
      <x:c r="Q5307" s="13" t="n">
        <x:f>IF(H5307="","",H5307/1000000000)</x:f>
        <x:v>2.85</x:v>
      </x:c>
      <x:c r="R5307" s="13" t="n">
        <x:f>IF(I5307="","",I5307/1000000)</x:f>
        <x:v>89.0625</x:v>
      </x:c>
    </x:row>
    <x:row r="5308" ht="21" customHeight="1">
      <x:c r="A5308" s="10" t="n">
        <x:v>6954</x:v>
      </x:c>
      <x:c r="B5308" s="2" t="str">
        <x:v>70fb96f242f442daa0cb</x:v>
      </x:c>
      <x:c r="C5308" s="2" t="str">
        <x:v>Tp Hồ Chí Minh</x:v>
      </x:c>
      <x:c r="D5308" s="2" t="str">
        <x:v>Quận Tân Bình</x:v>
      </x:c>
      <x:c r="E5308" s="2" t="str">
        <x:v>house</x:v>
      </x:c>
      <x:c r="F5308" s="2" t="str">
        <x:v>sale_assumed</x:v>
      </x:c>
      <x:c r="G5308" s="11" t="n">
        <x:v>43</x:v>
      </x:c>
      <x:c r="H5308" s="12" t="n">
        <x:v>4099999999.9999995</x:v>
      </x:c>
      <x:c r="I5308" s="12" t="n">
        <x:v>95348837.20930232</x:v>
      </x:c>
      <x:c r="J5308" s="2" t="str">
        <x:v>total</x:v>
      </x:c>
      <x:c r="K5308" s="2" t="str">
        <x:v>top_level_area</x:v>
      </x:c>
      <x:c r="L5308" s="2" t="str">
        <x:v>property_type_inferred_from_title;transaction_assumed_sale_from_dataset_context</x:v>
      </x:c>
      <x:c r="M5308" s="10" t="n">
        <x:v>0</x:v>
      </x:c>
      <x:c r="N5308" s="10" t="n">
        <x:v>0</x:v>
      </x:c>
      <x:c r="O5308" s="2" t="str">
        <x:v>Tp Hồ Chí Minh|house</x:v>
      </x:c>
      <x:c r="P5308" s="10" t="n">
        <x:v>2</x:v>
      </x:c>
      <x:c r="Q5308" s="13" t="n">
        <x:f>IF(H5308="","",H5308/1000000000)</x:f>
        <x:v>4.1</x:v>
      </x:c>
      <x:c r="R5308" s="13" t="n">
        <x:f>IF(I5308="","",I5308/1000000)</x:f>
        <x:v>95.34883720930232</x:v>
      </x:c>
    </x:row>
    <x:row r="5309" ht="21" customHeight="1">
      <x:c r="A5309" s="10" t="n">
        <x:v>6955</x:v>
      </x:c>
      <x:c r="B5309" s="2" t="str">
        <x:v>fdcb81abe16e3d63c96d</x:v>
      </x:c>
      <x:c r="C5309" s="2" t="str">
        <x:v>Hà Nội</x:v>
      </x:c>
      <x:c r="D5309" s="2" t="str">
        <x:v>Quận Hai Bà Trưng</x:v>
      </x:c>
      <x:c r="E5309" s="2" t="str">
        <x:v>house</x:v>
      </x:c>
      <x:c r="F5309" s="2" t="str">
        <x:v>sale_assumed</x:v>
      </x:c>
      <x:c r="G5309" s="11" t="n">
        <x:v>35</x:v>
      </x:c>
      <x:c r="H5309" s="12" t="n">
        <x:v>3000000000</x:v>
      </x:c>
      <x:c r="I5309" s="12" t="n">
        <x:v>85714285.71428572</x:v>
      </x:c>
      <x:c r="J5309" s="2" t="str">
        <x:v>total</x:v>
      </x:c>
      <x:c r="K5309" s="2" t="str">
        <x:v>top_level_area</x:v>
      </x:c>
      <x:c r="L5309" s="2" t="str">
        <x:v>property_type_inferred_from_title;transaction_assumed_sale_from_dataset_context</x:v>
      </x:c>
      <x:c r="M5309" s="10" t="n">
        <x:v>0</x:v>
      </x:c>
      <x:c r="N5309" s="10" t="n">
        <x:v>0</x:v>
      </x:c>
      <x:c r="O5309" s="2" t="str">
        <x:v>Hà Nội|house</x:v>
      </x:c>
      <x:c r="P5309" s="10" t="n">
        <x:v>2</x:v>
      </x:c>
      <x:c r="Q5309" s="13" t="n">
        <x:f>IF(H5309="","",H5309/1000000000)</x:f>
        <x:v>3</x:v>
      </x:c>
      <x:c r="R5309" s="13" t="n">
        <x:f>IF(I5309="","",I5309/1000000)</x:f>
        <x:v>85.71428571428572</x:v>
      </x:c>
    </x:row>
    <x:row r="5310" ht="21" customHeight="1">
      <x:c r="A5310" s="10" t="n">
        <x:v>6958</x:v>
      </x:c>
      <x:c r="B5310" s="2" t="str">
        <x:v>e940bba6f7b920706526</x:v>
      </x:c>
      <x:c r="C5310" s="2" t="str">
        <x:v>Hải Phòng</x:v>
      </x:c>
      <x:c r="D5310" s="2" t="str">
        <x:v>Huyện An Dương</x:v>
      </x:c>
      <x:c r="E5310" s="2" t="str">
        <x:v>house</x:v>
      </x:c>
      <x:c r="F5310" s="2" t="str">
        <x:v>sale_assumed</x:v>
      </x:c>
      <x:c r="G5310" s="11" t="n">
        <x:v>52</x:v>
      </x:c>
      <x:c r="H5310" s="12" t="n">
        <x:v>1725000000</x:v>
      </x:c>
      <x:c r="I5310" s="12" t="n">
        <x:v>33173076.923076924</x:v>
      </x:c>
      <x:c r="J5310" s="2" t="str">
        <x:v>total</x:v>
      </x:c>
      <x:c r="K5310" s="2" t="str">
        <x:v>top_level_area</x:v>
      </x:c>
      <x:c r="L5310" s="2" t="str">
        <x:v>property_type_inferred_from_title;transaction_assumed_sale_from_dataset_context</x:v>
      </x:c>
      <x:c r="M5310" s="10" t="n">
        <x:v>0</x:v>
      </x:c>
      <x:c r="N5310" s="10" t="n">
        <x:v>0</x:v>
      </x:c>
      <x:c r="O5310" s="2" t="str">
        <x:v>house</x:v>
      </x:c>
      <x:c r="P5310" s="10" t="n">
        <x:v>2</x:v>
      </x:c>
      <x:c r="Q5310" s="13" t="n">
        <x:f>IF(H5310="","",H5310/1000000000)</x:f>
        <x:v>1.725</x:v>
      </x:c>
      <x:c r="R5310" s="13" t="n">
        <x:f>IF(I5310="","",I5310/1000000)</x:f>
        <x:v>33.17307692307693</x:v>
      </x:c>
    </x:row>
    <x:row r="5311" ht="21" customHeight="1">
      <x:c r="A5311" s="10" t="n">
        <x:v>6959</x:v>
      </x:c>
      <x:c r="B5311" s="2" t="str">
        <x:v>c11a3b18c924baf2c97a</x:v>
      </x:c>
      <x:c r="C5311" s="2" t="str">
        <x:v>Tp Hồ Chí Minh</x:v>
      </x:c>
      <x:c r="D5311" s="2" t="str">
        <x:v>Quận Gò Vấp</x:v>
      </x:c>
      <x:c r="E5311" s="2" t="str">
        <x:v>house</x:v>
      </x:c>
      <x:c r="F5311" s="2" t="str">
        <x:v>sale_assumed</x:v>
      </x:c>
      <x:c r="G5311" s="11" t="n">
        <x:v>48</x:v>
      </x:c>
      <x:c r="H5311" s="12" t="n">
        <x:v>6500000000</x:v>
      </x:c>
      <x:c r="I5311" s="12" t="n">
        <x:v>135416666.66666666</x:v>
      </x:c>
      <x:c r="J5311" s="2" t="str">
        <x:v>total</x:v>
      </x:c>
      <x:c r="K5311" s="2" t="str">
        <x:v>top_level_area</x:v>
      </x:c>
      <x:c r="L5311" s="2" t="str">
        <x:v>property_type_inferred_from_title;transaction_assumed_sale_from_dataset_context</x:v>
      </x:c>
      <x:c r="M5311" s="10" t="n">
        <x:v>0</x:v>
      </x:c>
      <x:c r="N5311" s="10" t="n">
        <x:v>0</x:v>
      </x:c>
      <x:c r="O5311" s="2" t="str">
        <x:v>Tp Hồ Chí Minh|house</x:v>
      </x:c>
      <x:c r="P5311" s="10" t="n">
        <x:v>2</x:v>
      </x:c>
      <x:c r="Q5311" s="13" t="n">
        <x:f>IF(H5311="","",H5311/1000000000)</x:f>
        <x:v>6.5</x:v>
      </x:c>
      <x:c r="R5311" s="13" t="n">
        <x:f>IF(I5311="","",I5311/1000000)</x:f>
        <x:v>135.41666666666666</x:v>
      </x:c>
    </x:row>
    <x:row r="5312" ht="21" customHeight="1">
      <x:c r="A5312" s="10" t="n">
        <x:v>6960</x:v>
      </x:c>
      <x:c r="B5312" s="2" t="str">
        <x:v>1e97f4670f42bc8cb5ec</x:v>
      </x:c>
      <x:c r="C5312" s="2" t="str">
        <x:v>Đắk Lắk</x:v>
      </x:c>
      <x:c r="D5312" s="2" t="str">
        <x:v>Thành phố Buôn Ma Thuột</x:v>
      </x:c>
      <x:c r="E5312" s="2" t="str">
        <x:v>house</x:v>
      </x:c>
      <x:c r="F5312" s="2" t="str">
        <x:v>sale</x:v>
      </x:c>
      <x:c r="G5312" s="11" t="n">
        <x:v>106</x:v>
      </x:c>
      <x:c r="H5312" s="12" t="n">
        <x:v>1350000000</x:v>
      </x:c>
      <x:c r="I5312" s="12" t="n">
        <x:v>12735849.056603774</x:v>
      </x:c>
      <x:c r="J5312" s="2" t="str">
        <x:v>total</x:v>
      </x:c>
      <x:c r="K5312" s="2" t="str">
        <x:v>top_level_area</x:v>
      </x:c>
      <x:c r="L5312" s="2" t="str">
        <x:v>property_type_inferred_from_title</x:v>
      </x:c>
      <x:c r="M5312" s="10" t="n">
        <x:v>0</x:v>
      </x:c>
      <x:c r="N5312" s="10" t="n">
        <x:v>0</x:v>
      </x:c>
      <x:c r="O5312" s="2" t="str">
        <x:v>Đắk Lắk|house</x:v>
      </x:c>
      <x:c r="P5312" s="10" t="n">
        <x:v>2</x:v>
      </x:c>
      <x:c r="Q5312" s="13" t="n">
        <x:f>IF(H5312="","",H5312/1000000000)</x:f>
        <x:v>1.35</x:v>
      </x:c>
      <x:c r="R5312" s="13" t="n">
        <x:f>IF(I5312="","",I5312/1000000)</x:f>
        <x:v>12.735849056603774</x:v>
      </x:c>
    </x:row>
    <x:row r="5313" ht="21" customHeight="1">
      <x:c r="A5313" s="10" t="n">
        <x:v>6961</x:v>
      </x:c>
      <x:c r="B5313" s="2" t="str">
        <x:v>923a88503e74de43c3a8</x:v>
      </x:c>
      <x:c r="C5313" s="2" t="str">
        <x:v>Tp Hồ Chí Minh</x:v>
      </x:c>
      <x:c r="D5313" s="2" t="str">
        <x:v>Quận 7</x:v>
      </x:c>
      <x:c r="E5313" s="2" t="str">
        <x:v>apartment</x:v>
      </x:c>
      <x:c r="F5313" s="2" t="str">
        <x:v>sale</x:v>
      </x:c>
      <x:c r="G5313" s="11" t="n">
        <x:v>69</x:v>
      </x:c>
      <x:c r="H5313" s="12" t="n">
        <x:v>2049999999.9999998</x:v>
      </x:c>
      <x:c r="I5313" s="12" t="n">
        <x:v>29710144.927536227</x:v>
      </x:c>
      <x:c r="J5313" s="2" t="str">
        <x:v>total</x:v>
      </x:c>
      <x:c r="K5313" s="2" t="str">
        <x:v>top_level_area</x:v>
      </x:c>
      <x:c r="L5313" s="2" t="str">
        <x:v>property_type_inferred_from_title</x:v>
      </x:c>
      <x:c r="M5313" s="10" t="n">
        <x:v>0</x:v>
      </x:c>
      <x:c r="N5313" s="10" t="n">
        <x:v>0</x:v>
      </x:c>
      <x:c r="O5313" s="2" t="str">
        <x:v>Tp Hồ Chí Minh|apartment</x:v>
      </x:c>
      <x:c r="P5313" s="10" t="n">
        <x:v>2</x:v>
      </x:c>
      <x:c r="Q5313" s="13" t="n">
        <x:f>IF(H5313="","",H5313/1000000000)</x:f>
        <x:v>2.05</x:v>
      </x:c>
      <x:c r="R5313" s="13" t="n">
        <x:f>IF(I5313="","",I5313/1000000)</x:f>
        <x:v>29.710144927536227</x:v>
      </x:c>
    </x:row>
    <x:row r="5314" ht="21" customHeight="1">
      <x:c r="A5314" s="10" t="n">
        <x:v>6962</x:v>
      </x:c>
      <x:c r="B5314" s="2" t="str">
        <x:v>11f8b72a5cfe963d549a</x:v>
      </x:c>
      <x:c r="C5314" s="2" t="str">
        <x:v>Hà Nội</x:v>
      </x:c>
      <x:c r="D5314" s="2" t="str">
        <x:v>Quận Hai Bà Trưng</x:v>
      </x:c>
      <x:c r="E5314" s="2" t="str">
        <x:v>house</x:v>
      </x:c>
      <x:c r="F5314" s="2" t="str">
        <x:v>sale_assumed</x:v>
      </x:c>
      <x:c r="G5314" s="11" t="n">
        <x:v>35</x:v>
      </x:c>
      <x:c r="H5314" s="12" t="n">
        <x:v>3000000000</x:v>
      </x:c>
      <x:c r="I5314" s="12" t="n">
        <x:v>85714285.71428572</x:v>
      </x:c>
      <x:c r="J5314" s="2" t="str">
        <x:v>total</x:v>
      </x:c>
      <x:c r="K5314" s="2" t="str">
        <x:v>top_level_area</x:v>
      </x:c>
      <x:c r="L5314" s="2" t="str">
        <x:v>property_type_inferred_from_title;transaction_assumed_sale_from_dataset_context</x:v>
      </x:c>
      <x:c r="M5314" s="10" t="n">
        <x:v>0</x:v>
      </x:c>
      <x:c r="N5314" s="10" t="n">
        <x:v>0</x:v>
      </x:c>
      <x:c r="O5314" s="2" t="str">
        <x:v>Hà Nội|house</x:v>
      </x:c>
      <x:c r="P5314" s="10" t="n">
        <x:v>2</x:v>
      </x:c>
      <x:c r="Q5314" s="13" t="n">
        <x:f>IF(H5314="","",H5314/1000000000)</x:f>
        <x:v>3</x:v>
      </x:c>
      <x:c r="R5314" s="13" t="n">
        <x:f>IF(I5314="","",I5314/1000000)</x:f>
        <x:v>85.71428571428572</x:v>
      </x:c>
    </x:row>
    <x:row r="5315" ht="21" customHeight="1">
      <x:c r="A5315" s="10" t="n">
        <x:v>6963</x:v>
      </x:c>
      <x:c r="B5315" s="2" t="str">
        <x:v>ae377e0a5db4c1d5b261</x:v>
      </x:c>
      <x:c r="C5315" s="2" t="str">
        <x:v>Tp Hồ Chí Minh</x:v>
      </x:c>
      <x:c r="D5315" s="2" t="str">
        <x:v>Quận 9</x:v>
      </x:c>
      <x:c r="E5315" s="2" t="str">
        <x:v>land</x:v>
      </x:c>
      <x:c r="F5315" s="2" t="str">
        <x:v>sale_assumed</x:v>
      </x:c>
      <x:c r="G5315" s="11" t="n">
        <x:v>127</x:v>
      </x:c>
      <x:c r="H5315" s="12" t="n">
        <x:v>5900000000</x:v>
      </x:c>
      <x:c r="I5315" s="12" t="n">
        <x:v>46456692.91338582</x:v>
      </x:c>
      <x:c r="J5315" s="2" t="str">
        <x:v>total</x:v>
      </x:c>
      <x:c r="K5315" s="2" t="str">
        <x:v>top_level_area</x:v>
      </x:c>
      <x:c r="L5315" s="2" t="str">
        <x:v>property_type_inferred_from_title;transaction_assumed_sale_from_dataset_context</x:v>
      </x:c>
      <x:c r="M5315" s="10" t="n">
        <x:v>0</x:v>
      </x:c>
      <x:c r="N5315" s="10" t="n">
        <x:v>0</x:v>
      </x:c>
      <x:c r="O5315" s="2" t="str">
        <x:v>Tp Hồ Chí Minh|land</x:v>
      </x:c>
      <x:c r="P5315" s="10" t="n">
        <x:v>2</x:v>
      </x:c>
      <x:c r="Q5315" s="13" t="n">
        <x:f>IF(H5315="","",H5315/1000000000)</x:f>
        <x:v>5.9</x:v>
      </x:c>
      <x:c r="R5315" s="13" t="n">
        <x:f>IF(I5315="","",I5315/1000000)</x:f>
        <x:v>46.45669291338582</x:v>
      </x:c>
    </x:row>
    <x:row r="5316" ht="21" customHeight="1">
      <x:c r="A5316" s="10" t="n">
        <x:v>6965</x:v>
      </x:c>
      <x:c r="B5316" s="2" t="str">
        <x:v>b96cc0920bc6752529f4</x:v>
      </x:c>
      <x:c r="C5316" s="2" t="str">
        <x:v>Tp Hồ Chí Minh</x:v>
      </x:c>
      <x:c r="D5316" s="2" t="str">
        <x:v>Quận Bình Thạnh</x:v>
      </x:c>
      <x:c r="E5316" s="2" t="str">
        <x:v>house</x:v>
      </x:c>
      <x:c r="F5316" s="2" t="str">
        <x:v>sale</x:v>
      </x:c>
      <x:c r="G5316" s="11" t="n">
        <x:v>58</x:v>
      </x:c>
      <x:c r="H5316" s="12" t="n">
        <x:v>900000000</x:v>
      </x:c>
      <x:c r="I5316" s="12" t="n">
        <x:v>15517241.379310345</x:v>
      </x:c>
      <x:c r="J5316" s="2" t="str">
        <x:v>total</x:v>
      </x:c>
      <x:c r="K5316" s="2" t="str">
        <x:v>top_level_area</x:v>
      </x:c>
      <x:c r="L5316" s="2" t="str">
        <x:v>property_type_inferred_from_title</x:v>
      </x:c>
      <x:c r="M5316" s="10" t="n">
        <x:v>0</x:v>
      </x:c>
      <x:c r="N5316" s="10" t="n">
        <x:v>0</x:v>
      </x:c>
      <x:c r="O5316" s="2" t="str">
        <x:v>Tp Hồ Chí Minh|house</x:v>
      </x:c>
      <x:c r="P5316" s="10" t="n">
        <x:v>2</x:v>
      </x:c>
      <x:c r="Q5316" s="13" t="n">
        <x:f>IF(H5316="","",H5316/1000000000)</x:f>
        <x:v>0.9</x:v>
      </x:c>
      <x:c r="R5316" s="13" t="n">
        <x:f>IF(I5316="","",I5316/1000000)</x:f>
        <x:v>15.517241379310345</x:v>
      </x:c>
    </x:row>
    <x:row r="5317" ht="21" customHeight="1">
      <x:c r="A5317" s="10" t="n">
        <x:v>6966</x:v>
      </x:c>
      <x:c r="B5317" s="2" t="str">
        <x:v>27ee251f41c517f7906e</x:v>
      </x:c>
      <x:c r="C5317" s="2" t="str">
        <x:v>Tp Hồ Chí Minh</x:v>
      </x:c>
      <x:c r="D5317" s="2" t="str">
        <x:v>Huyện Nhà Bè</x:v>
      </x:c>
      <x:c r="E5317" s="2" t="str">
        <x:v>house</x:v>
      </x:c>
      <x:c r="F5317" s="2" t="str">
        <x:v>sale_assumed</x:v>
      </x:c>
      <x:c r="G5317" s="11" t="n">
        <x:v>80</x:v>
      </x:c>
      <x:c r="H5317" s="12" t="n">
        <x:v>5750000000</x:v>
      </x:c>
      <x:c r="I5317" s="12" t="n">
        <x:v>71875000</x:v>
      </x:c>
      <x:c r="J5317" s="2" t="str">
        <x:v>total</x:v>
      </x:c>
      <x:c r="K5317" s="2" t="str">
        <x:v>top_level_area</x:v>
      </x:c>
      <x:c r="L5317" s="2" t="str">
        <x:v>property_type_inferred_from_title;transaction_assumed_sale_from_dataset_context</x:v>
      </x:c>
      <x:c r="M5317" s="10" t="n">
        <x:v>0</x:v>
      </x:c>
      <x:c r="N5317" s="10" t="n">
        <x:v>0</x:v>
      </x:c>
      <x:c r="O5317" s="2" t="str">
        <x:v>Tp Hồ Chí Minh|house</x:v>
      </x:c>
      <x:c r="P5317" s="10" t="n">
        <x:v>2</x:v>
      </x:c>
      <x:c r="Q5317" s="13" t="n">
        <x:f>IF(H5317="","",H5317/1000000000)</x:f>
        <x:v>5.75</x:v>
      </x:c>
      <x:c r="R5317" s="13" t="n">
        <x:f>IF(I5317="","",I5317/1000000)</x:f>
        <x:v>71.875</x:v>
      </x:c>
    </x:row>
    <x:row r="5318" ht="21" customHeight="1">
      <x:c r="A5318" s="10" t="n">
        <x:v>6967</x:v>
      </x:c>
      <x:c r="B5318" s="2" t="str">
        <x:v>2e6d2ab602871cdd33e5</x:v>
      </x:c>
      <x:c r="C5318" s="2" t="str">
        <x:v>Tp Hồ Chí Minh</x:v>
      </x:c>
      <x:c r="D5318" s="2" t="str">
        <x:v>Quận Gò Vấp</x:v>
      </x:c>
      <x:c r="E5318" s="2" t="str">
        <x:v>land</x:v>
      </x:c>
      <x:c r="F5318" s="2" t="str">
        <x:v>sale_assumed</x:v>
      </x:c>
      <x:c r="G5318" s="11" t="n">
        <x:v>85</x:v>
      </x:c>
      <x:c r="H5318" s="12" t="n">
        <x:v>5500000000</x:v>
      </x:c>
      <x:c r="I5318" s="12" t="n">
        <x:v>64705882.35294118</x:v>
      </x:c>
      <x:c r="J5318" s="2" t="str">
        <x:v>total</x:v>
      </x:c>
      <x:c r="K5318" s="2" t="str">
        <x:v>top_level_area</x:v>
      </x:c>
      <x:c r="L5318" s="2" t="str">
        <x:v>property_type_inferred_from_title;transaction_assumed_sale_from_dataset_context</x:v>
      </x:c>
      <x:c r="M5318" s="10" t="n">
        <x:v>0</x:v>
      </x:c>
      <x:c r="N5318" s="10" t="n">
        <x:v>0</x:v>
      </x:c>
      <x:c r="O5318" s="2" t="str">
        <x:v>Tp Hồ Chí Minh|land</x:v>
      </x:c>
      <x:c r="P5318" s="10" t="n">
        <x:v>2</x:v>
      </x:c>
      <x:c r="Q5318" s="13" t="n">
        <x:f>IF(H5318="","",H5318/1000000000)</x:f>
        <x:v>5.5</x:v>
      </x:c>
      <x:c r="R5318" s="13" t="n">
        <x:f>IF(I5318="","",I5318/1000000)</x:f>
        <x:v>64.70588235294117</x:v>
      </x:c>
    </x:row>
    <x:row r="5319" ht="21" customHeight="1">
      <x:c r="A5319" s="10" t="n">
        <x:v>6968</x:v>
      </x:c>
      <x:c r="B5319" s="2" t="str">
        <x:v>1d67b8ef2e1f49f70ce8</x:v>
      </x:c>
      <x:c r="C5319" s="2" t="str">
        <x:v>Hà Nội</x:v>
      </x:c>
      <x:c r="D5319" s="2" t="str">
        <x:v>Quận Hà Đông</x:v>
      </x:c>
      <x:c r="E5319" s="2" t="str">
        <x:v>other_unknown</x:v>
      </x:c>
      <x:c r="F5319" s="2" t="str">
        <x:v>sale_assumed</x:v>
      </x:c>
      <x:c r="G5319" s="11" t="n">
        <x:v>31</x:v>
      </x:c>
      <x:c r="H5319" s="12" t="n">
        <x:v>1250000000</x:v>
      </x:c>
      <x:c r="I5319" s="12" t="n">
        <x:v>40322580.64516129</x:v>
      </x:c>
      <x:c r="J5319" s="2" t="str">
        <x:v>total</x:v>
      </x:c>
      <x:c r="K5319" s="2" t="str">
        <x:v>top_level_area</x:v>
      </x:c>
      <x:c r="L5319" s="2" t="str">
        <x:v>property_type_inferred_from_title;transaction_assumed_sale_from_dataset_context;unknown_property_type</x:v>
      </x:c>
      <x:c r="M5319" s="10" t="n">
        <x:v>0</x:v>
      </x:c>
      <x:c r="N5319" s="10" t="n">
        <x:v>0</x:v>
      </x:c>
      <x:c r="O5319" s="2" t="str">
        <x:v>Hà Nội|other_unknown</x:v>
      </x:c>
      <x:c r="P5319" s="10" t="n">
        <x:v>2</x:v>
      </x:c>
      <x:c r="Q5319" s="13" t="n">
        <x:f>IF(H5319="","",H5319/1000000000)</x:f>
        <x:v>1.25</x:v>
      </x:c>
      <x:c r="R5319" s="13" t="n">
        <x:f>IF(I5319="","",I5319/1000000)</x:f>
        <x:v>40.322580645161295</x:v>
      </x:c>
    </x:row>
    <x:row r="5320" ht="21" customHeight="1">
      <x:c r="A5320" s="10" t="n">
        <x:v>6969</x:v>
      </x:c>
      <x:c r="B5320" s="2" t="str">
        <x:v>77bc9a707a45845d2217</x:v>
      </x:c>
      <x:c r="C5320" s="2" t="str">
        <x:v>Hà Nội</x:v>
      </x:c>
      <x:c r="D5320" s="2" t="str">
        <x:v>Quận Hai Bà Trưng</x:v>
      </x:c>
      <x:c r="E5320" s="2" t="str">
        <x:v>house</x:v>
      </x:c>
      <x:c r="F5320" s="2" t="str">
        <x:v>sale</x:v>
      </x:c>
      <x:c r="G5320" s="11" t="n">
        <x:v>32</x:v>
      </x:c>
      <x:c r="H5320" s="12" t="n">
        <x:v>3000000000</x:v>
      </x:c>
      <x:c r="I5320" s="12" t="n">
        <x:v>93750000</x:v>
      </x:c>
      <x:c r="J5320" s="2" t="str">
        <x:v>total</x:v>
      </x:c>
      <x:c r="K5320" s="2" t="str">
        <x:v>top_level_area</x:v>
      </x:c>
      <x:c r="L5320" s="2" t="str">
        <x:v>property_type_inferred_from_title</x:v>
      </x:c>
      <x:c r="M5320" s="10" t="n">
        <x:v>0</x:v>
      </x:c>
      <x:c r="N5320" s="10" t="n">
        <x:v>0</x:v>
      </x:c>
      <x:c r="O5320" s="2" t="str">
        <x:v>Hà Nội|house</x:v>
      </x:c>
      <x:c r="P5320" s="10" t="n">
        <x:v>2</x:v>
      </x:c>
      <x:c r="Q5320" s="13" t="n">
        <x:f>IF(H5320="","",H5320/1000000000)</x:f>
        <x:v>3</x:v>
      </x:c>
      <x:c r="R5320" s="13" t="n">
        <x:f>IF(I5320="","",I5320/1000000)</x:f>
        <x:v>93.75</x:v>
      </x:c>
    </x:row>
    <x:row r="5321" ht="21" customHeight="1">
      <x:c r="A5321" s="10" t="n">
        <x:v>6970</x:v>
      </x:c>
      <x:c r="B5321" s="2" t="str">
        <x:v>6e95f9053916b2dd3925</x:v>
      </x:c>
      <x:c r="C5321" s="2" t="str">
        <x:v>Cà Mau</x:v>
      </x:c>
      <x:c r="D5321" s="2" t="str">
        <x:v>Thành phố Cà Mau</x:v>
      </x:c>
      <x:c r="E5321" s="2" t="str">
        <x:v>land</x:v>
      </x:c>
      <x:c r="F5321" s="2" t="str">
        <x:v>sale_assumed</x:v>
      </x:c>
      <x:c r="G5321" s="11" t="n">
        <x:v>115</x:v>
      </x:c>
      <x:c r="H5321" s="12" t="n">
        <x:v>1570000000</x:v>
      </x:c>
      <x:c r="I5321" s="12" t="n">
        <x:v>13652173.913043479</x:v>
      </x:c>
      <x:c r="J5321" s="2" t="str">
        <x:v>total</x:v>
      </x:c>
      <x:c r="K5321" s="2" t="str">
        <x:v>top_level_area</x:v>
      </x:c>
      <x:c r="L5321" s="2" t="str">
        <x:v>property_type_inferred_from_title;transaction_assumed_sale_from_dataset_context</x:v>
      </x:c>
      <x:c r="M5321" s="10" t="n">
        <x:v>0</x:v>
      </x:c>
      <x:c r="N5321" s="10" t="n">
        <x:v>0</x:v>
      </x:c>
      <x:c r="O5321" s="2" t="str">
        <x:v>land</x:v>
      </x:c>
      <x:c r="P5321" s="10" t="n">
        <x:v>2</x:v>
      </x:c>
      <x:c r="Q5321" s="13" t="n">
        <x:f>IF(H5321="","",H5321/1000000000)</x:f>
        <x:v>1.57</x:v>
      </x:c>
      <x:c r="R5321" s="13" t="n">
        <x:f>IF(I5321="","",I5321/1000000)</x:f>
        <x:v>13.652173913043478</x:v>
      </x:c>
    </x:row>
    <x:row r="5322" ht="21" customHeight="1">
      <x:c r="A5322" s="10" t="n">
        <x:v>6971</x:v>
      </x:c>
      <x:c r="B5322" s="2" t="str">
        <x:v>41e84324bd7e8d0aeb3f</x:v>
      </x:c>
      <x:c r="C5322" s="2" t="str">
        <x:v>Tp Hồ Chí Minh</x:v>
      </x:c>
      <x:c r="D5322" s="2" t="str">
        <x:v>Huyện Bình Chánh</x:v>
      </x:c>
      <x:c r="E5322" s="2" t="str">
        <x:v>house</x:v>
      </x:c>
      <x:c r="F5322" s="2" t="str">
        <x:v>sale</x:v>
      </x:c>
      <x:c r="G5322" s="11" t="n">
        <x:v>64</x:v>
      </x:c>
      <x:c r="H5322" s="12" t="n">
        <x:v>2100000000</x:v>
      </x:c>
      <x:c r="I5322" s="12" t="n">
        <x:v>32812500</x:v>
      </x:c>
      <x:c r="J5322" s="2" t="str">
        <x:v>total</x:v>
      </x:c>
      <x:c r="K5322" s="2" t="str">
        <x:v>top_level_area</x:v>
      </x:c>
      <x:c r="L5322" s="2" t="str">
        <x:v>property_type_inferred_from_title</x:v>
      </x:c>
      <x:c r="M5322" s="10" t="n">
        <x:v>0</x:v>
      </x:c>
      <x:c r="N5322" s="10" t="n">
        <x:v>0</x:v>
      </x:c>
      <x:c r="O5322" s="2" t="str">
        <x:v>Tp Hồ Chí Minh|house</x:v>
      </x:c>
      <x:c r="P5322" s="10" t="n">
        <x:v>2</x:v>
      </x:c>
      <x:c r="Q5322" s="13" t="n">
        <x:f>IF(H5322="","",H5322/1000000000)</x:f>
        <x:v>2.1</x:v>
      </x:c>
      <x:c r="R5322" s="13" t="n">
        <x:f>IF(I5322="","",I5322/1000000)</x:f>
        <x:v>32.8125</x:v>
      </x:c>
    </x:row>
    <x:row r="5323" ht="21" customHeight="1">
      <x:c r="A5323" s="10" t="n">
        <x:v>6972</x:v>
      </x:c>
      <x:c r="B5323" s="2" t="str">
        <x:v>b4b6999cdbe3f2132c2a</x:v>
      </x:c>
      <x:c r="C5323" s="2" t="str">
        <x:v>Thừa Thiên Huế</x:v>
      </x:c>
      <x:c r="D5323" s="2" t="str">
        <x:v>Thị xã Hương Thủy</x:v>
      </x:c>
      <x:c r="E5323" s="2" t="str">
        <x:v>land</x:v>
      </x:c>
      <x:c r="F5323" s="2" t="str">
        <x:v>sale_assumed</x:v>
      </x:c>
      <x:c r="G5323" s="11" t="n">
        <x:v>115</x:v>
      </x:c>
      <x:c r="H5323" s="12" t="n">
        <x:v>1360000000</x:v>
      </x:c>
      <x:c r="I5323" s="12" t="n">
        <x:v>11826086.956521738</x:v>
      </x:c>
      <x:c r="J5323" s="2" t="str">
        <x:v>total</x:v>
      </x:c>
      <x:c r="K5323" s="2" t="str">
        <x:v>top_level_area</x:v>
      </x:c>
      <x:c r="L5323" s="2" t="str">
        <x:v>property_type_inferred_from_title;transaction_assumed_sale_from_dataset_context</x:v>
      </x:c>
      <x:c r="M5323" s="10" t="n">
        <x:v>0</x:v>
      </x:c>
      <x:c r="N5323" s="10" t="n">
        <x:v>0</x:v>
      </x:c>
      <x:c r="O5323" s="2" t="str">
        <x:v>land</x:v>
      </x:c>
      <x:c r="P5323" s="10" t="n">
        <x:v>2</x:v>
      </x:c>
      <x:c r="Q5323" s="13" t="n">
        <x:f>IF(H5323="","",H5323/1000000000)</x:f>
        <x:v>1.36</x:v>
      </x:c>
      <x:c r="R5323" s="13" t="n">
        <x:f>IF(I5323="","",I5323/1000000)</x:f>
        <x:v>11.826086956521738</x:v>
      </x:c>
    </x:row>
    <x:row r="5324" ht="21" customHeight="1">
      <x:c r="A5324" s="10" t="n">
        <x:v>6973</x:v>
      </x:c>
      <x:c r="B5324" s="2" t="str">
        <x:v>a30a86728fb2d0a95fe3</x:v>
      </x:c>
      <x:c r="C5324" s="2" t="str">
        <x:v>Tp Hồ Chí Minh</x:v>
      </x:c>
      <x:c r="D5324" s="2" t="str">
        <x:v>Quận 9</x:v>
      </x:c>
      <x:c r="E5324" s="2" t="str">
        <x:v>other_unknown</x:v>
      </x:c>
      <x:c r="F5324" s="2" t="str">
        <x:v>sale</x:v>
      </x:c>
      <x:c r="G5324" s="11" t="n">
        <x:v>47</x:v>
      </x:c>
      <x:c r="H5324" s="12" t="n">
        <x:v>1700000000</x:v>
      </x:c>
      <x:c r="I5324" s="12" t="n">
        <x:v>36170212.765957445</x:v>
      </x:c>
      <x:c r="J5324" s="2" t="str">
        <x:v>total</x:v>
      </x:c>
      <x:c r="K5324" s="2" t="str">
        <x:v>top_level_area</x:v>
      </x:c>
      <x:c r="L5324" s="2" t="str">
        <x:v>property_type_inferred_from_title;unknown_property_type</x:v>
      </x:c>
      <x:c r="M5324" s="10" t="n">
        <x:v>0</x:v>
      </x:c>
      <x:c r="N5324" s="10" t="n">
        <x:v>0</x:v>
      </x:c>
      <x:c r="O5324" s="2" t="str">
        <x:v>Tp Hồ Chí Minh|other_unknown</x:v>
      </x:c>
      <x:c r="P5324" s="10" t="n">
        <x:v>2</x:v>
      </x:c>
      <x:c r="Q5324" s="13" t="n">
        <x:f>IF(H5324="","",H5324/1000000000)</x:f>
        <x:v>1.7</x:v>
      </x:c>
      <x:c r="R5324" s="13" t="n">
        <x:f>IF(I5324="","",I5324/1000000)</x:f>
        <x:v>36.170212765957444</x:v>
      </x:c>
    </x:row>
    <x:row r="5325" ht="21" customHeight="1">
      <x:c r="A5325" s="10" t="n">
        <x:v>6974</x:v>
      </x:c>
      <x:c r="B5325" s="2" t="str">
        <x:v>301c04b9dd3b2899fd34</x:v>
      </x:c>
      <x:c r="C5325" s="2" t="str">
        <x:v>Long An</x:v>
      </x:c>
      <x:c r="D5325" s="2" t="str">
        <x:v>Huyện Cần Giuộc</x:v>
      </x:c>
      <x:c r="E5325" s="2" t="str">
        <x:v>other_unknown</x:v>
      </x:c>
      <x:c r="F5325" s="2" t="str">
        <x:v>sale_assumed</x:v>
      </x:c>
      <x:c r="G5325" s="11" t="n">
        <x:v>100</x:v>
      </x:c>
      <x:c r="H5325" s="12" t="n">
        <x:v>1000000000</x:v>
      </x:c>
      <x:c r="I5325" s="12" t="n">
        <x:v>10000000</x:v>
      </x:c>
      <x:c r="J5325" s="2" t="str">
        <x:v>total</x:v>
      </x:c>
      <x:c r="K5325" s="2" t="str">
        <x:v>top_level_price_embedded_area</x:v>
      </x:c>
      <x:c r="L5325" s="2" t="str">
        <x:v>area_recovered_from_price_text;property_type_inferred_from_title;transaction_assumed_sale_from_dataset_context;unknown_property_type</x:v>
      </x:c>
      <x:c r="M5325" s="10" t="n">
        <x:v>0</x:v>
      </x:c>
      <x:c r="N5325" s="10" t="n">
        <x:v>0</x:v>
      </x:c>
      <x:c r="O5325" s="2" t="str">
        <x:v>Long An|other_unknown</x:v>
      </x:c>
      <x:c r="P5325" s="10" t="n">
        <x:v>2</x:v>
      </x:c>
      <x:c r="Q5325" s="13" t="n">
        <x:f>IF(H5325="","",H5325/1000000000)</x:f>
        <x:v>1</x:v>
      </x:c>
      <x:c r="R5325" s="13" t="n">
        <x:f>IF(I5325="","",I5325/1000000)</x:f>
        <x:v>10</x:v>
      </x:c>
    </x:row>
    <x:row r="5326" ht="21" customHeight="1">
      <x:c r="A5326" s="10" t="n">
        <x:v>6975</x:v>
      </x:c>
      <x:c r="B5326" s="2" t="str">
        <x:v>109bc998448ff6dc4d2a</x:v>
      </x:c>
      <x:c r="C5326" s="2" t="str">
        <x:v>Tp Hồ Chí Minh</x:v>
      </x:c>
      <x:c r="D5326" s="2" t="str">
        <x:v>Quận Bình Tân</x:v>
      </x:c>
      <x:c r="E5326" s="2" t="str">
        <x:v>other_unknown</x:v>
      </x:c>
      <x:c r="F5326" s="2" t="str">
        <x:v>sale_assumed</x:v>
      </x:c>
      <x:c r="G5326" s="11" t="n">
        <x:v>56</x:v>
      </x:c>
      <x:c r="H5326" s="12" t="n">
        <x:v>5200000000</x:v>
      </x:c>
      <x:c r="I5326" s="12" t="n">
        <x:v>92857142.85714285</x:v>
      </x:c>
      <x:c r="J5326" s="2" t="str">
        <x:v>total</x:v>
      </x:c>
      <x:c r="K5326" s="2" t="str">
        <x:v>top_level_area</x:v>
      </x:c>
      <x:c r="L5326" s="2" t="str">
        <x:v>property_type_inferred_from_title;transaction_assumed_sale_from_dataset_context;unknown_property_type</x:v>
      </x:c>
      <x:c r="M5326" s="10" t="n">
        <x:v>0</x:v>
      </x:c>
      <x:c r="N5326" s="10" t="n">
        <x:v>0</x:v>
      </x:c>
      <x:c r="O5326" s="2" t="str">
        <x:v>Tp Hồ Chí Minh|other_unknown</x:v>
      </x:c>
      <x:c r="P5326" s="10" t="n">
        <x:v>2</x:v>
      </x:c>
      <x:c r="Q5326" s="13" t="n">
        <x:f>IF(H5326="","",H5326/1000000000)</x:f>
        <x:v>5.2</x:v>
      </x:c>
      <x:c r="R5326" s="13" t="n">
        <x:f>IF(I5326="","",I5326/1000000)</x:f>
        <x:v>92.85714285714285</x:v>
      </x:c>
    </x:row>
    <x:row r="5327" ht="21" customHeight="1">
      <x:c r="A5327" s="10" t="n">
        <x:v>6976</x:v>
      </x:c>
      <x:c r="B5327" s="2" t="str">
        <x:v>72ef3800010264b2827a</x:v>
      </x:c>
      <x:c r="C5327" s="2" t="str">
        <x:v>Đà Nẵng</x:v>
      </x:c>
      <x:c r="D5327" s="2" t="str">
        <x:v>Quận Cẩm Lệ</x:v>
      </x:c>
      <x:c r="E5327" s="2" t="str">
        <x:v>other_unknown</x:v>
      </x:c>
      <x:c r="F5327" s="2" t="str">
        <x:v>sale_assumed</x:v>
      </x:c>
      <x:c r="G5327" s="11" t="n">
        <x:v>128</x:v>
      </x:c>
      <x:c r="H5327" s="12" t="n">
        <x:v>5100000000</x:v>
      </x:c>
      <x:c r="I5327" s="12" t="n">
        <x:v>39843750</x:v>
      </x:c>
      <x:c r="J5327" s="2" t="str">
        <x:v>total</x:v>
      </x:c>
      <x:c r="K5327" s="2" t="str">
        <x:v>top_level_area</x:v>
      </x:c>
      <x:c r="L5327" s="2" t="str">
        <x:v>property_type_inferred_from_title;transaction_assumed_sale_from_dataset_context;unknown_property_type</x:v>
      </x:c>
      <x:c r="M5327" s="10" t="n">
        <x:v>0</x:v>
      </x:c>
      <x:c r="N5327" s="10" t="n">
        <x:v>0</x:v>
      </x:c>
      <x:c r="O5327" s="2" t="str">
        <x:v>Đà Nẵng|other_unknown</x:v>
      </x:c>
      <x:c r="P5327" s="10" t="n">
        <x:v>2</x:v>
      </x:c>
      <x:c r="Q5327" s="13" t="n">
        <x:f>IF(H5327="","",H5327/1000000000)</x:f>
        <x:v>5.1</x:v>
      </x:c>
      <x:c r="R5327" s="13" t="n">
        <x:f>IF(I5327="","",I5327/1000000)</x:f>
        <x:v>39.84375</x:v>
      </x:c>
    </x:row>
    <x:row r="5328" ht="21" customHeight="1">
      <x:c r="A5328" s="10" t="n">
        <x:v>6979</x:v>
      </x:c>
      <x:c r="B5328" s="2" t="str">
        <x:v>08281678a4f303d99cbc</x:v>
      </x:c>
      <x:c r="C5328" s="2" t="str">
        <x:v>Cần Thơ</x:v>
      </x:c>
      <x:c r="D5328" s="2" t="str">
        <x:v>Quận Ninh Kiều</x:v>
      </x:c>
      <x:c r="E5328" s="2" t="str">
        <x:v>house</x:v>
      </x:c>
      <x:c r="F5328" s="2" t="str">
        <x:v>sale_assumed</x:v>
      </x:c>
      <x:c r="G5328" s="11" t="n">
        <x:v>70</x:v>
      </x:c>
      <x:c r="H5328" s="12" t="n">
        <x:v>4600000000</x:v>
      </x:c>
      <x:c r="I5328" s="12" t="n">
        <x:v>65714285.71428572</x:v>
      </x:c>
      <x:c r="J5328" s="2" t="str">
        <x:v>total</x:v>
      </x:c>
      <x:c r="K5328" s="2" t="str">
        <x:v>top_level_area</x:v>
      </x:c>
      <x:c r="L5328" s="2" t="str">
        <x:v>property_type_inferred_from_title;transaction_assumed_sale_from_dataset_context</x:v>
      </x:c>
      <x:c r="M5328" s="10" t="n">
        <x:v>0</x:v>
      </x:c>
      <x:c r="N5328" s="10" t="n">
        <x:v>0</x:v>
      </x:c>
      <x:c r="O5328" s="2" t="str">
        <x:v>Cần Thơ|house</x:v>
      </x:c>
      <x:c r="P5328" s="10" t="n">
        <x:v>2</x:v>
      </x:c>
      <x:c r="Q5328" s="13" t="n">
        <x:f>IF(H5328="","",H5328/1000000000)</x:f>
        <x:v>4.6</x:v>
      </x:c>
      <x:c r="R5328" s="13" t="n">
        <x:f>IF(I5328="","",I5328/1000000)</x:f>
        <x:v>65.71428571428572</x:v>
      </x:c>
    </x:row>
    <x:row r="5329" ht="21" customHeight="1">
      <x:c r="A5329" s="10" t="n">
        <x:v>6980</x:v>
      </x:c>
      <x:c r="B5329" s="2" t="str">
        <x:v>a096485b65b234e4b21e</x:v>
      </x:c>
      <x:c r="C5329" s="2" t="str">
        <x:v>Long An</x:v>
      </x:c>
      <x:c r="D5329" s="2" t="str">
        <x:v>Huyện Bến Lức</x:v>
      </x:c>
      <x:c r="E5329" s="2" t="str">
        <x:v>land</x:v>
      </x:c>
      <x:c r="F5329" s="2" t="str">
        <x:v>sale_assumed</x:v>
      </x:c>
      <x:c r="G5329" s="11" t="n">
        <x:v>1000</x:v>
      </x:c>
      <x:c r="H5329" s="12" t="n">
        <x:v>3999000000</x:v>
      </x:c>
      <x:c r="I5329" s="12" t="n">
        <x:v>3999000</x:v>
      </x:c>
      <x:c r="J5329" s="2" t="str">
        <x:v>total</x:v>
      </x:c>
      <x:c r="K5329" s="2" t="str">
        <x:v>top_level_area</x:v>
      </x:c>
      <x:c r="L5329" s="2" t="str">
        <x:v>dot_thousands_convention;property_type_inferred_from_title;transaction_assumed_sale_from_dataset_context</x:v>
      </x:c>
      <x:c r="M5329" s="10" t="n">
        <x:v>0</x:v>
      </x:c>
      <x:c r="N5329" s="10" t="n">
        <x:v>0</x:v>
      </x:c>
      <x:c r="O5329" s="2" t="str">
        <x:v>Long An|land</x:v>
      </x:c>
      <x:c r="P5329" s="10" t="n">
        <x:v>1</x:v>
      </x:c>
      <x:c r="Q5329" s="13" t="n">
        <x:f>IF(H5329="","",H5329/1000000000)</x:f>
        <x:v>3.999</x:v>
      </x:c>
      <x:c r="R5329" s="13" t="n">
        <x:f>IF(I5329="","",I5329/1000000)</x:f>
        <x:v>3.999</x:v>
      </x:c>
    </x:row>
    <x:row r="5330" ht="21" customHeight="1">
      <x:c r="A5330" s="10" t="n">
        <x:v>6981</x:v>
      </x:c>
      <x:c r="B5330" s="2" t="str">
        <x:v>b1f81729b50c31f3b3b0</x:v>
      </x:c>
      <x:c r="C5330" s="2" t="str">
        <x:v>Hà Nội</x:v>
      </x:c>
      <x:c r="D5330" s="2" t="str">
        <x:v>Quận Đống Đa</x:v>
      </x:c>
      <x:c r="E5330" s="2" t="str">
        <x:v>house</x:v>
      </x:c>
      <x:c r="F5330" s="2" t="str">
        <x:v>sale</x:v>
      </x:c>
      <x:c r="G5330" s="11" t="n">
        <x:v>45</x:v>
      </x:c>
      <x:c r="H5330" s="12" t="n">
        <x:v>5800000000</x:v>
      </x:c>
      <x:c r="I5330" s="12" t="n">
        <x:v>128888888.8888889</x:v>
      </x:c>
      <x:c r="J5330" s="2" t="str">
        <x:v>total</x:v>
      </x:c>
      <x:c r="K5330" s="2" t="str">
        <x:v>top_level_area</x:v>
      </x:c>
      <x:c r="L5330" s="2" t="str">
        <x:v>property_type_inferred_from_title</x:v>
      </x:c>
      <x:c r="M5330" s="10" t="n">
        <x:v>0</x:v>
      </x:c>
      <x:c r="N5330" s="10" t="n">
        <x:v>0</x:v>
      </x:c>
      <x:c r="O5330" s="2" t="str">
        <x:v>Hà Nội|house</x:v>
      </x:c>
      <x:c r="P5330" s="10" t="n">
        <x:v>2</x:v>
      </x:c>
      <x:c r="Q5330" s="13" t="n">
        <x:f>IF(H5330="","",H5330/1000000000)</x:f>
        <x:v>5.8</x:v>
      </x:c>
      <x:c r="R5330" s="13" t="n">
        <x:f>IF(I5330="","",I5330/1000000)</x:f>
        <x:v>128.88888888888889</x:v>
      </x:c>
    </x:row>
    <x:row r="5331" ht="21" customHeight="1">
      <x:c r="A5331" s="10" t="n">
        <x:v>6982</x:v>
      </x:c>
      <x:c r="B5331" s="2" t="str">
        <x:v>9e43340e50b879647dce</x:v>
      </x:c>
      <x:c r="C5331" s="2" t="str">
        <x:v>Đà Nẵng</x:v>
      </x:c>
      <x:c r="D5331" s="2" t="str">
        <x:v>Quận Hải Châu</x:v>
      </x:c>
      <x:c r="E5331" s="2" t="str">
        <x:v>house</x:v>
      </x:c>
      <x:c r="F5331" s="2" t="str">
        <x:v>sale_assumed</x:v>
      </x:c>
      <x:c r="G5331" s="11" t="n">
        <x:v>42</x:v>
      </x:c>
      <x:c r="H5331" s="12" t="n">
        <x:v>3600000000</x:v>
      </x:c>
      <x:c r="I5331" s="12" t="n">
        <x:v>85714285.71428572</x:v>
      </x:c>
      <x:c r="J5331" s="2" t="str">
        <x:v>total</x:v>
      </x:c>
      <x:c r="K5331" s="2" t="str">
        <x:v>top_level_area</x:v>
      </x:c>
      <x:c r="L5331" s="2" t="str">
        <x:v>property_type_inferred_from_title;transaction_assumed_sale_from_dataset_context</x:v>
      </x:c>
      <x:c r="M5331" s="10" t="n">
        <x:v>0</x:v>
      </x:c>
      <x:c r="N5331" s="10" t="n">
        <x:v>0</x:v>
      </x:c>
      <x:c r="O5331" s="2" t="str">
        <x:v>Đà Nẵng|house</x:v>
      </x:c>
      <x:c r="P5331" s="10" t="n">
        <x:v>2</x:v>
      </x:c>
      <x:c r="Q5331" s="13" t="n">
        <x:f>IF(H5331="","",H5331/1000000000)</x:f>
        <x:v>3.6</x:v>
      </x:c>
      <x:c r="R5331" s="13" t="n">
        <x:f>IF(I5331="","",I5331/1000000)</x:f>
        <x:v>85.71428571428572</x:v>
      </x:c>
    </x:row>
    <x:row r="5332" ht="21" customHeight="1">
      <x:c r="A5332" s="10" t="n">
        <x:v>6983</x:v>
      </x:c>
      <x:c r="B5332" s="2" t="str">
        <x:v>1779c67330156dc56c1e</x:v>
      </x:c>
      <x:c r="C5332" s="2" t="str">
        <x:v>Cần Thơ</x:v>
      </x:c>
      <x:c r="D5332" s="2" t="str">
        <x:v>Quận Ninh Kiều</x:v>
      </x:c>
      <x:c r="E5332" s="2" t="str">
        <x:v>other_unknown</x:v>
      </x:c>
      <x:c r="F5332" s="2" t="str">
        <x:v>sale_assumed</x:v>
      </x:c>
      <x:c r="G5332" s="11" t="n">
        <x:v>46</x:v>
      </x:c>
      <x:c r="H5332" s="12" t="n">
        <x:v>2680000000</x:v>
      </x:c>
      <x:c r="I5332" s="12" t="n">
        <x:v>58260869.56521739</x:v>
      </x:c>
      <x:c r="J5332" s="2" t="str">
        <x:v>total</x:v>
      </x:c>
      <x:c r="K5332" s="2" t="str">
        <x:v>top_level_area</x:v>
      </x:c>
      <x:c r="L5332" s="2" t="str">
        <x:v>property_type_inferred_from_title;transaction_assumed_sale_from_dataset_context;unknown_property_type</x:v>
      </x:c>
      <x:c r="M5332" s="10" t="n">
        <x:v>0</x:v>
      </x:c>
      <x:c r="N5332" s="10" t="n">
        <x:v>0</x:v>
      </x:c>
      <x:c r="O5332" s="2" t="str">
        <x:v>other_unknown</x:v>
      </x:c>
      <x:c r="P5332" s="10" t="n">
        <x:v>2</x:v>
      </x:c>
      <x:c r="Q5332" s="13" t="n">
        <x:f>IF(H5332="","",H5332/1000000000)</x:f>
        <x:v>2.68</x:v>
      </x:c>
      <x:c r="R5332" s="13" t="n">
        <x:f>IF(I5332="","",I5332/1000000)</x:f>
        <x:v>58.26086956521739</x:v>
      </x:c>
    </x:row>
    <x:row r="5333" ht="21" customHeight="1">
      <x:c r="A5333" s="10" t="n">
        <x:v>6984</x:v>
      </x:c>
      <x:c r="B5333" s="2" t="str">
        <x:v>61a43720afd031f980ae</x:v>
      </x:c>
      <x:c r="C5333" s="2" t="str">
        <x:v>Tp Hồ Chí Minh</x:v>
      </x:c>
      <x:c r="D5333" s="2" t="str">
        <x:v>Huyện Nhà Bè</x:v>
      </x:c>
      <x:c r="E5333" s="2" t="str">
        <x:v>land</x:v>
      </x:c>
      <x:c r="F5333" s="2" t="str">
        <x:v>sale_assumed</x:v>
      </x:c>
      <x:c r="G5333" s="11" t="n">
        <x:v>82</x:v>
      </x:c>
      <x:c r="H5333" s="12" t="n">
        <x:v>39000000</x:v>
      </x:c>
      <x:c r="I5333" s="12" t="n">
        <x:v>475609.756097561</x:v>
      </x:c>
      <x:c r="J5333" s="2" t="str">
        <x:v>total</x:v>
      </x:c>
      <x:c r="K5333" s="2" t="str">
        <x:v>top_level_area</x:v>
      </x:c>
      <x:c r="L5333" s="2" t="str">
        <x:v>property_type_inferred_from_title;transaction_assumed_sale_from_dataset_context</x:v>
      </x:c>
      <x:c r="M5333" s="10" t="n">
        <x:v>0</x:v>
      </x:c>
      <x:c r="N5333" s="10" t="n">
        <x:v>0</x:v>
      </x:c>
      <x:c r="O5333" s="2" t="str">
        <x:v>Tp Hồ Chí Minh|land</x:v>
      </x:c>
      <x:c r="P5333" s="10" t="n">
        <x:v>1</x:v>
      </x:c>
      <x:c r="Q5333" s="13" t="n">
        <x:f>IF(H5333="","",H5333/1000000000)</x:f>
        <x:v>0.039</x:v>
      </x:c>
      <x:c r="R5333" s="13" t="n">
        <x:f>IF(I5333="","",I5333/1000000)</x:f>
        <x:v>0.47560975609756095</x:v>
      </x:c>
    </x:row>
    <x:row r="5334" ht="21" customHeight="1">
      <x:c r="A5334" s="10" t="n">
        <x:v>6985</x:v>
      </x:c>
      <x:c r="B5334" s="2" t="str">
        <x:v>76daf1433c220b977ece</x:v>
      </x:c>
      <x:c r="C5334" s="2" t="str">
        <x:v>Bình Dương</x:v>
      </x:c>
      <x:c r="D5334" s="2" t="str">
        <x:v>Thị xã Bến Cát</x:v>
      </x:c>
      <x:c r="E5334" s="2" t="str">
        <x:v>house</x:v>
      </x:c>
      <x:c r="F5334" s="2" t="str">
        <x:v>sale</x:v>
      </x:c>
      <x:c r="G5334" s="11" t="n">
        <x:v>300</x:v>
      </x:c>
      <x:c r="H5334" s="12" t="n">
        <x:v>1650000000</x:v>
      </x:c>
      <x:c r="I5334" s="12" t="n">
        <x:v>5500000</x:v>
      </x:c>
      <x:c r="J5334" s="2" t="str">
        <x:v>total</x:v>
      </x:c>
      <x:c r="K5334" s="2" t="str">
        <x:v>top_level_area</x:v>
      </x:c>
      <x:c r="L5334" s="2" t="str">
        <x:v>property_type_inferred_from_title</x:v>
      </x:c>
      <x:c r="M5334" s="10" t="n">
        <x:v>0</x:v>
      </x:c>
      <x:c r="N5334" s="10" t="n">
        <x:v>0</x:v>
      </x:c>
      <x:c r="O5334" s="2" t="str">
        <x:v>Bình Dương|house</x:v>
      </x:c>
      <x:c r="P5334" s="10" t="n">
        <x:v>1</x:v>
      </x:c>
      <x:c r="Q5334" s="13" t="n">
        <x:f>IF(H5334="","",H5334/1000000000)</x:f>
        <x:v>1.65</x:v>
      </x:c>
      <x:c r="R5334" s="13" t="n">
        <x:f>IF(I5334="","",I5334/1000000)</x:f>
        <x:v>5.5</x:v>
      </x:c>
    </x:row>
    <x:row r="5335" ht="21" customHeight="1">
      <x:c r="A5335" s="10" t="n">
        <x:v>6986</x:v>
      </x:c>
      <x:c r="B5335" s="2" t="str">
        <x:v>e9224b99e86e0809a4e2</x:v>
      </x:c>
      <x:c r="C5335" s="2" t="str">
        <x:v>Hà Nội</x:v>
      </x:c>
      <x:c r="D5335" s="2" t="str">
        <x:v>Quận Cầu Giấy</x:v>
      </x:c>
      <x:c r="E5335" s="2" t="str">
        <x:v>apartment</x:v>
      </x:c>
      <x:c r="F5335" s="2" t="str">
        <x:v>sale_assumed</x:v>
      </x:c>
      <x:c r="G5335" s="11" t="n">
        <x:v>33</x:v>
      </x:c>
      <x:c r="H5335" s="12" t="n">
        <x:v>600000000</x:v>
      </x:c>
      <x:c r="I5335" s="12" t="n">
        <x:v>18181818.181818184</x:v>
      </x:c>
      <x:c r="J5335" s="2" t="str">
        <x:v>total</x:v>
      </x:c>
      <x:c r="K5335" s="2" t="str">
        <x:v>top_level_area</x:v>
      </x:c>
      <x:c r="L5335" s="2" t="str">
        <x:v>property_type_inferred_from_title;transaction_assumed_sale_from_dataset_context</x:v>
      </x:c>
      <x:c r="M5335" s="10" t="n">
        <x:v>0</x:v>
      </x:c>
      <x:c r="N5335" s="10" t="n">
        <x:v>0</x:v>
      </x:c>
      <x:c r="O5335" s="2" t="str">
        <x:v>Hà Nội|apartment</x:v>
      </x:c>
      <x:c r="P5335" s="10" t="n">
        <x:v>2</x:v>
      </x:c>
      <x:c r="Q5335" s="13" t="n">
        <x:f>IF(H5335="","",H5335/1000000000)</x:f>
        <x:v>0.6</x:v>
      </x:c>
      <x:c r="R5335" s="13" t="n">
        <x:f>IF(I5335="","",I5335/1000000)</x:f>
        <x:v>18.181818181818183</x:v>
      </x:c>
    </x:row>
    <x:row r="5336" ht="21" customHeight="1">
      <x:c r="A5336" s="10" t="n">
        <x:v>6987</x:v>
      </x:c>
      <x:c r="B5336" s="2" t="str">
        <x:v>3b68c4abc7d34b7b9003</x:v>
      </x:c>
      <x:c r="C5336" s="2" t="str">
        <x:v>Cà Mau</x:v>
      </x:c>
      <x:c r="D5336" s="2" t="str">
        <x:v>Thành phố Cà Mau</x:v>
      </x:c>
      <x:c r="E5336" s="2" t="str">
        <x:v>land</x:v>
      </x:c>
      <x:c r="F5336" s="2" t="str">
        <x:v>sale_assumed</x:v>
      </x:c>
      <x:c r="G5336" s="11" t="n">
        <x:v>112</x:v>
      </x:c>
      <x:c r="H5336" s="12" t="n">
        <x:v>775000000</x:v>
      </x:c>
      <x:c r="I5336" s="12" t="n">
        <x:v>6919642.857142857</x:v>
      </x:c>
      <x:c r="J5336" s="2" t="str">
        <x:v>total</x:v>
      </x:c>
      <x:c r="K5336" s="2" t="str">
        <x:v>top_level_area</x:v>
      </x:c>
      <x:c r="L5336" s="2" t="str">
        <x:v>property_type_inferred_from_title;transaction_assumed_sale_from_dataset_context</x:v>
      </x:c>
      <x:c r="M5336" s="10" t="n">
        <x:v>0</x:v>
      </x:c>
      <x:c r="N5336" s="10" t="n">
        <x:v>0</x:v>
      </x:c>
      <x:c r="O5336" s="2" t="str">
        <x:v>land</x:v>
      </x:c>
      <x:c r="P5336" s="10" t="n">
        <x:v>2</x:v>
      </x:c>
      <x:c r="Q5336" s="13" t="n">
        <x:f>IF(H5336="","",H5336/1000000000)</x:f>
        <x:v>0.775</x:v>
      </x:c>
      <x:c r="R5336" s="13" t="n">
        <x:f>IF(I5336="","",I5336/1000000)</x:f>
        <x:v>6.919642857142858</x:v>
      </x:c>
    </x:row>
    <x:row r="5337" ht="21" customHeight="1">
      <x:c r="A5337" s="10" t="n">
        <x:v>6988</x:v>
      </x:c>
      <x:c r="B5337" s="2" t="str">
        <x:v>1923fea5cc081e2b283b</x:v>
      </x:c>
      <x:c r="C5337" s="2" t="str">
        <x:v>Bình Dương</x:v>
      </x:c>
      <x:c r="D5337" s="2" t="str">
        <x:v>Thị xã Bến Cát</x:v>
      </x:c>
      <x:c r="E5337" s="2" t="str">
        <x:v>other_unknown</x:v>
      </x:c>
      <x:c r="F5337" s="2" t="str">
        <x:v>sale</x:v>
      </x:c>
      <x:c r="G5337" s="11" t="n">
        <x:v>100</x:v>
      </x:c>
      <x:c r="H5337" s="12" t="n">
        <x:v>720000000</x:v>
      </x:c>
      <x:c r="I5337" s="12" t="n">
        <x:v>7200000</x:v>
      </x:c>
      <x:c r="J5337" s="2" t="str">
        <x:v>total</x:v>
      </x:c>
      <x:c r="K5337" s="2" t="str">
        <x:v>top_level_area</x:v>
      </x:c>
      <x:c r="L5337" s="2" t="str">
        <x:v>property_type_inferred_from_title;unknown_property_type</x:v>
      </x:c>
      <x:c r="M5337" s="10" t="n">
        <x:v>0</x:v>
      </x:c>
      <x:c r="N5337" s="10" t="n">
        <x:v>0</x:v>
      </x:c>
      <x:c r="O5337" s="2" t="str">
        <x:v>Bình Dương|other_unknown</x:v>
      </x:c>
      <x:c r="P5337" s="10" t="n">
        <x:v>2</x:v>
      </x:c>
      <x:c r="Q5337" s="13" t="n">
        <x:f>IF(H5337="","",H5337/1000000000)</x:f>
        <x:v>0.72</x:v>
      </x:c>
      <x:c r="R5337" s="13" t="n">
        <x:f>IF(I5337="","",I5337/1000000)</x:f>
        <x:v>7.2</x:v>
      </x:c>
    </x:row>
    <x:row r="5338" ht="21" customHeight="1">
      <x:c r="A5338" s="10" t="n">
        <x:v>6989</x:v>
      </x:c>
      <x:c r="B5338" s="2" t="str">
        <x:v>fe402aafe351650721c3</x:v>
      </x:c>
      <x:c r="C5338" s="2" t="str">
        <x:v>Quảng Nam</x:v>
      </x:c>
      <x:c r="D5338" s="2" t="str">
        <x:v>Thị xã Điện Bàn</x:v>
      </x:c>
      <x:c r="E5338" s="2" t="str">
        <x:v>other_unknown</x:v>
      </x:c>
      <x:c r="F5338" s="2" t="str">
        <x:v>sale_assumed</x:v>
      </x:c>
      <x:c r="G5338" s="11" t="n">
        <x:v>110</x:v>
      </x:c>
      <x:c r="H5338" s="12" t="n">
        <x:v>2090253000.0000002</x:v>
      </x:c>
      <x:c r="I5338" s="12" t="n">
        <x:v>19002300.000000004</x:v>
      </x:c>
      <x:c r="J5338" s="2" t="str">
        <x:v>total</x:v>
      </x:c>
      <x:c r="K5338" s="2" t="str">
        <x:v>top_level_area</x:v>
      </x:c>
      <x:c r="L5338" s="2" t="str">
        <x:v>property_type_inferred_from_title;transaction_assumed_sale_from_dataset_context;unknown_property_type</x:v>
      </x:c>
      <x:c r="M5338" s="10" t="n">
        <x:v>0</x:v>
      </x:c>
      <x:c r="N5338" s="10" t="n">
        <x:v>0</x:v>
      </x:c>
      <x:c r="O5338" s="2" t="str">
        <x:v>other_unknown</x:v>
      </x:c>
      <x:c r="P5338" s="10" t="n">
        <x:v>2</x:v>
      </x:c>
      <x:c r="Q5338" s="13" t="n">
        <x:f>IF(H5338="","",H5338/1000000000)</x:f>
        <x:v>2.090253</x:v>
      </x:c>
      <x:c r="R5338" s="13" t="n">
        <x:f>IF(I5338="","",I5338/1000000)</x:f>
        <x:v>19.002300000000005</x:v>
      </x:c>
    </x:row>
    <x:row r="5339" ht="21" customHeight="1">
      <x:c r="A5339" s="10" t="n">
        <x:v>6990</x:v>
      </x:c>
      <x:c r="B5339" s="2" t="str">
        <x:v>2da00b0154a0c2e3b31d</x:v>
      </x:c>
      <x:c r="C5339" s="2" t="str">
        <x:v>Tp Hồ Chí Minh</x:v>
      </x:c>
      <x:c r="D5339" s="2" t="str">
        <x:v>Quận Gò Vấp</x:v>
      </x:c>
      <x:c r="E5339" s="2" t="str">
        <x:v>house</x:v>
      </x:c>
      <x:c r="F5339" s="2" t="str">
        <x:v>sale_assumed</x:v>
      </x:c>
      <x:c r="G5339" s="11" t="n">
        <x:v>49</x:v>
      </x:c>
      <x:c r="H5339" s="12" t="n">
        <x:v>4900000000</x:v>
      </x:c>
      <x:c r="I5339" s="12" t="n">
        <x:v>100000000</x:v>
      </x:c>
      <x:c r="J5339" s="2" t="str">
        <x:v>total</x:v>
      </x:c>
      <x:c r="K5339" s="2" t="str">
        <x:v>top_level_area</x:v>
      </x:c>
      <x:c r="L5339" s="2" t="str">
        <x:v>property_type_inferred_from_title;transaction_assumed_sale_from_dataset_context</x:v>
      </x:c>
      <x:c r="M5339" s="10" t="n">
        <x:v>0</x:v>
      </x:c>
      <x:c r="N5339" s="10" t="n">
        <x:v>0</x:v>
      </x:c>
      <x:c r="O5339" s="2" t="str">
        <x:v>Tp Hồ Chí Minh|house</x:v>
      </x:c>
      <x:c r="P5339" s="10" t="n">
        <x:v>2</x:v>
      </x:c>
      <x:c r="Q5339" s="13" t="n">
        <x:f>IF(H5339="","",H5339/1000000000)</x:f>
        <x:v>4.9</x:v>
      </x:c>
      <x:c r="R5339" s="13" t="n">
        <x:f>IF(I5339="","",I5339/1000000)</x:f>
        <x:v>100</x:v>
      </x:c>
    </x:row>
    <x:row r="5340" ht="21" customHeight="1">
      <x:c r="A5340" s="10" t="n">
        <x:v>6991</x:v>
      </x:c>
      <x:c r="B5340" s="2" t="str">
        <x:v>c204a46c0563ceaaf715</x:v>
      </x:c>
      <x:c r="C5340" s="2" t="str">
        <x:v>Long An</x:v>
      </x:c>
      <x:c r="D5340" s="2" t="str">
        <x:v>Huyện Bến Lức</x:v>
      </x:c>
      <x:c r="E5340" s="2" t="str">
        <x:v>land</x:v>
      </x:c>
      <x:c r="F5340" s="2" t="str">
        <x:v>sale_assumed</x:v>
      </x:c>
      <x:c r="G5340" s="11" t="n">
        <x:v>90</x:v>
      </x:c>
      <x:c r="H5340" s="12" t="n">
        <x:v>375000000</x:v>
      </x:c>
      <x:c r="I5340" s="12" t="n">
        <x:v>4166666.6666666665</x:v>
      </x:c>
      <x:c r="J5340" s="2" t="str">
        <x:v>total</x:v>
      </x:c>
      <x:c r="K5340" s="2" t="str">
        <x:v>top_level_area</x:v>
      </x:c>
      <x:c r="L5340" s="2" t="str">
        <x:v>property_type_inferred_from_title;transaction_assumed_sale_from_dataset_context</x:v>
      </x:c>
      <x:c r="M5340" s="10" t="n">
        <x:v>0</x:v>
      </x:c>
      <x:c r="N5340" s="10" t="n">
        <x:v>0</x:v>
      </x:c>
      <x:c r="O5340" s="2" t="str">
        <x:v>Long An|land</x:v>
      </x:c>
      <x:c r="P5340" s="10" t="n">
        <x:v>2</x:v>
      </x:c>
      <x:c r="Q5340" s="13" t="n">
        <x:f>IF(H5340="","",H5340/1000000000)</x:f>
        <x:v>0.375</x:v>
      </x:c>
      <x:c r="R5340" s="13" t="n">
        <x:f>IF(I5340="","",I5340/1000000)</x:f>
        <x:v>4.166666666666666</x:v>
      </x:c>
    </x:row>
    <x:row r="5341" ht="21" customHeight="1">
      <x:c r="A5341" s="10" t="n">
        <x:v>6992</x:v>
      </x:c>
      <x:c r="B5341" s="2" t="str">
        <x:v>04c9a3dfeb52f68cd449</x:v>
      </x:c>
      <x:c r="C5341" s="2" t="str">
        <x:v>Tp Hồ Chí Minh</x:v>
      </x:c>
      <x:c r="D5341" s="2" t="str">
        <x:v>Quận Gò Vấp</x:v>
      </x:c>
      <x:c r="E5341" s="2" t="str">
        <x:v>house</x:v>
      </x:c>
      <x:c r="F5341" s="2" t="str">
        <x:v>sale</x:v>
      </x:c>
      <x:c r="G5341" s="11" t="n">
        <x:v>48</x:v>
      </x:c>
      <x:c r="H5341" s="12" t="n">
        <x:v>1950000000</x:v>
      </x:c>
      <x:c r="I5341" s="12" t="n">
        <x:v>40625000</x:v>
      </x:c>
      <x:c r="J5341" s="2" t="str">
        <x:v>total</x:v>
      </x:c>
      <x:c r="K5341" s="2" t="str">
        <x:v>top_level_area</x:v>
      </x:c>
      <x:c r="L5341" s="2" t="str">
        <x:v>property_type_inferred_from_title</x:v>
      </x:c>
      <x:c r="M5341" s="10" t="n">
        <x:v>0</x:v>
      </x:c>
      <x:c r="N5341" s="10" t="n">
        <x:v>0</x:v>
      </x:c>
      <x:c r="O5341" s="2" t="str">
        <x:v>Tp Hồ Chí Minh|house</x:v>
      </x:c>
      <x:c r="P5341" s="10" t="n">
        <x:v>2</x:v>
      </x:c>
      <x:c r="Q5341" s="13" t="n">
        <x:f>IF(H5341="","",H5341/1000000000)</x:f>
        <x:v>1.95</x:v>
      </x:c>
      <x:c r="R5341" s="13" t="n">
        <x:f>IF(I5341="","",I5341/1000000)</x:f>
        <x:v>40.625</x:v>
      </x:c>
    </x:row>
    <x:row r="5342" ht="21" customHeight="1">
      <x:c r="A5342" s="10" t="n">
        <x:v>6993</x:v>
      </x:c>
      <x:c r="B5342" s="2" t="str">
        <x:v>02f67a55832e9bfeafb7</x:v>
      </x:c>
      <x:c r="C5342" s="2" t="str">
        <x:v>Đà Nẵng</x:v>
      </x:c>
      <x:c r="D5342" s="2" t="str">
        <x:v>Quận Sơn Trà</x:v>
      </x:c>
      <x:c r="E5342" s="2" t="str">
        <x:v>other_unknown</x:v>
      </x:c>
      <x:c r="F5342" s="2" t="str">
        <x:v>sale_assumed</x:v>
      </x:c>
      <x:c r="G5342" s="11" t="n">
        <x:v>144</x:v>
      </x:c>
      <x:c r="H5342" s="12" t="n">
        <x:v>10200000000</x:v>
      </x:c>
      <x:c r="I5342" s="12" t="n">
        <x:v>70833333.33333333</x:v>
      </x:c>
      <x:c r="J5342" s="2" t="str">
        <x:v>total</x:v>
      </x:c>
      <x:c r="K5342" s="2" t="str">
        <x:v>top_level_area</x:v>
      </x:c>
      <x:c r="L5342" s="2" t="str">
        <x:v>property_type_inferred_from_title;transaction_assumed_sale_from_dataset_context;unknown_property_type</x:v>
      </x:c>
      <x:c r="M5342" s="10" t="n">
        <x:v>0</x:v>
      </x:c>
      <x:c r="N5342" s="10" t="n">
        <x:v>0</x:v>
      </x:c>
      <x:c r="O5342" s="2" t="str">
        <x:v>Đà Nẵng|other_unknown</x:v>
      </x:c>
      <x:c r="P5342" s="10" t="n">
        <x:v>2</x:v>
      </x:c>
      <x:c r="Q5342" s="13" t="n">
        <x:f>IF(H5342="","",H5342/1000000000)</x:f>
        <x:v>10.2</x:v>
      </x:c>
      <x:c r="R5342" s="13" t="n">
        <x:f>IF(I5342="","",I5342/1000000)</x:f>
        <x:v>70.83333333333333</x:v>
      </x:c>
    </x:row>
    <x:row r="5343" ht="21" customHeight="1">
      <x:c r="A5343" s="10" t="n">
        <x:v>6994</x:v>
      </x:c>
      <x:c r="B5343" s="2" t="str">
        <x:v>fd6527f1510a611aa0ae</x:v>
      </x:c>
      <x:c r="C5343" s="2" t="str">
        <x:v>Cà Mau</x:v>
      </x:c>
      <x:c r="D5343" s="2" t="str">
        <x:v>Thành phố Cà Mau</x:v>
      </x:c>
      <x:c r="E5343" s="2" t="str">
        <x:v>land</x:v>
      </x:c>
      <x:c r="F5343" s="2" t="str">
        <x:v>sale</x:v>
      </x:c>
      <x:c r="G5343" s="11" t="n">
        <x:v>504</x:v>
      </x:c>
      <x:c r="H5343" s="12" t="n">
        <x:v>1120000000</x:v>
      </x:c>
      <x:c r="I5343" s="12" t="n">
        <x:v>2222222.222222222</x:v>
      </x:c>
      <x:c r="J5343" s="2" t="str">
        <x:v>total</x:v>
      </x:c>
      <x:c r="K5343" s="2" t="str">
        <x:v>top_level_area</x:v>
      </x:c>
      <x:c r="L5343" s="2" t="str">
        <x:v>property_type_inferred_from_title</x:v>
      </x:c>
      <x:c r="M5343" s="10" t="n">
        <x:v>0</x:v>
      </x:c>
      <x:c r="N5343" s="10" t="n">
        <x:v>0</x:v>
      </x:c>
      <x:c r="O5343" s="2" t="str">
        <x:v>land</x:v>
      </x:c>
      <x:c r="P5343" s="10" t="n">
        <x:v>1</x:v>
      </x:c>
      <x:c r="Q5343" s="13" t="n">
        <x:f>IF(H5343="","",H5343/1000000000)</x:f>
        <x:v>1.12</x:v>
      </x:c>
      <x:c r="R5343" s="13" t="n">
        <x:f>IF(I5343="","",I5343/1000000)</x:f>
        <x:v>2.222222222222222</x:v>
      </x:c>
    </x:row>
    <x:row r="5344" ht="21" customHeight="1">
      <x:c r="A5344" s="10" t="n">
        <x:v>6995</x:v>
      </x:c>
      <x:c r="B5344" s="2" t="str">
        <x:v>b42e5f14bf5310a0ebae</x:v>
      </x:c>
      <x:c r="C5344" s="2" t="str">
        <x:v>Đà Nẵng</x:v>
      </x:c>
      <x:c r="D5344" s="2" t="str">
        <x:v>Huyện Hòa Vang</x:v>
      </x:c>
      <x:c r="E5344" s="2" t="str">
        <x:v>land</x:v>
      </x:c>
      <x:c r="F5344" s="2" t="str">
        <x:v>sale_assumed</x:v>
      </x:c>
      <x:c r="G5344" s="11" t="n">
        <x:v>135</x:v>
      </x:c>
      <x:c r="H5344" s="12" t="n">
        <x:v>590000000</x:v>
      </x:c>
      <x:c r="I5344" s="12" t="n">
        <x:v>4370370.37037037</x:v>
      </x:c>
      <x:c r="J5344" s="2" t="str">
        <x:v>total</x:v>
      </x:c>
      <x:c r="K5344" s="2" t="str">
        <x:v>top_level_area</x:v>
      </x:c>
      <x:c r="L5344" s="2" t="str">
        <x:v>property_type_inferred_from_title;transaction_assumed_sale_from_dataset_context</x:v>
      </x:c>
      <x:c r="M5344" s="10" t="n">
        <x:v>0</x:v>
      </x:c>
      <x:c r="N5344" s="10" t="n">
        <x:v>0</x:v>
      </x:c>
      <x:c r="O5344" s="2" t="str">
        <x:v>Đà Nẵng|land</x:v>
      </x:c>
      <x:c r="P5344" s="10" t="n">
        <x:v>2</x:v>
      </x:c>
      <x:c r="Q5344" s="13" t="n">
        <x:f>IF(H5344="","",H5344/1000000000)</x:f>
        <x:v>0.59</x:v>
      </x:c>
      <x:c r="R5344" s="13" t="n">
        <x:f>IF(I5344="","",I5344/1000000)</x:f>
        <x:v>4.37037037037037</x:v>
      </x:c>
    </x:row>
    <x:row r="5345" ht="21" customHeight="1">
      <x:c r="A5345" s="10" t="n">
        <x:v>6996</x:v>
      </x:c>
      <x:c r="B5345" s="2" t="str">
        <x:v>9addf614220c27ad6191</x:v>
      </x:c>
      <x:c r="C5345" s="2" t="str">
        <x:v>Bình Dương</x:v>
      </x:c>
      <x:c r="D5345" s="2" t="str">
        <x:v>Thị xã Dĩ An</x:v>
      </x:c>
      <x:c r="E5345" s="2" t="str">
        <x:v>house</x:v>
      </x:c>
      <x:c r="F5345" s="2" t="str">
        <x:v>sale</x:v>
      </x:c>
      <x:c r="G5345" s="11" t="n">
        <x:v>202</x:v>
      </x:c>
      <x:c r="H5345" s="12" t="n">
        <x:v>14000000000</x:v>
      </x:c>
      <x:c r="I5345" s="12" t="n">
        <x:v>69306930.69306931</x:v>
      </x:c>
      <x:c r="J5345" s="2" t="str">
        <x:v>total</x:v>
      </x:c>
      <x:c r="K5345" s="2" t="str">
        <x:v>top_level_area</x:v>
      </x:c>
      <x:c r="L5345" s="2" t="str">
        <x:v>property_type_inferred_from_title</x:v>
      </x:c>
      <x:c r="M5345" s="10" t="n">
        <x:v>0</x:v>
      </x:c>
      <x:c r="N5345" s="10" t="n">
        <x:v>1</x:v>
      </x:c>
      <x:c r="O5345" s="2" t="str">
        <x:v>Bình Dương|house</x:v>
      </x:c>
      <x:c r="P5345" s="10" t="n">
        <x:v>-1</x:v>
      </x:c>
      <x:c r="Q5345" s="13" t="n">
        <x:f>IF(H5345="","",H5345/1000000000)</x:f>
        <x:v>14</x:v>
      </x:c>
      <x:c r="R5345" s="13" t="n">
        <x:f>IF(I5345="","",I5345/1000000)</x:f>
        <x:v>69.3069306930693</x:v>
      </x:c>
    </x:row>
    <x:row r="5346" ht="21" customHeight="1">
      <x:c r="A5346" s="10" t="n">
        <x:v>6997</x:v>
      </x:c>
      <x:c r="B5346" s="2" t="str">
        <x:v>0febaa2fed0c267f4f4a</x:v>
      </x:c>
      <x:c r="C5346" s="2" t="str">
        <x:v>Tp Hồ Chí Minh</x:v>
      </x:c>
      <x:c r="D5346" s="2" t="str">
        <x:v>Quận 12</x:v>
      </x:c>
      <x:c r="E5346" s="2" t="str">
        <x:v>house</x:v>
      </x:c>
      <x:c r="F5346" s="2" t="str">
        <x:v>sale_assumed</x:v>
      </x:c>
      <x:c r="G5346" s="11" t="n">
        <x:v>60</x:v>
      </x:c>
      <x:c r="H5346" s="12" t="n">
        <x:v>3550000000</x:v>
      </x:c>
      <x:c r="I5346" s="12" t="n">
        <x:v>59166666.666666664</x:v>
      </x:c>
      <x:c r="J5346" s="2" t="str">
        <x:v>total</x:v>
      </x:c>
      <x:c r="K5346" s="2" t="str">
        <x:v>top_level_area</x:v>
      </x:c>
      <x:c r="L5346" s="2" t="str">
        <x:v>property_type_inferred_from_title;transaction_assumed_sale_from_dataset_context</x:v>
      </x:c>
      <x:c r="M5346" s="10" t="n">
        <x:v>0</x:v>
      </x:c>
      <x:c r="N5346" s="10" t="n">
        <x:v>0</x:v>
      </x:c>
      <x:c r="O5346" s="2" t="str">
        <x:v>Tp Hồ Chí Minh|house</x:v>
      </x:c>
      <x:c r="P5346" s="10" t="n">
        <x:v>2</x:v>
      </x:c>
      <x:c r="Q5346" s="13" t="n">
        <x:f>IF(H5346="","",H5346/1000000000)</x:f>
        <x:v>3.55</x:v>
      </x:c>
      <x:c r="R5346" s="13" t="n">
        <x:f>IF(I5346="","",I5346/1000000)</x:f>
        <x:v>59.166666666666664</x:v>
      </x:c>
    </x:row>
    <x:row r="5347" ht="21" customHeight="1">
      <x:c r="A5347" s="10" t="n">
        <x:v>6998</x:v>
      </x:c>
      <x:c r="B5347" s="2" t="str">
        <x:v>7a9c7a6753f1eb19c466</x:v>
      </x:c>
      <x:c r="C5347" s="2" t="str">
        <x:v>Khánh Hòa</x:v>
      </x:c>
      <x:c r="D5347" s="2" t="str">
        <x:v>Huyện Khánh Vĩnh</x:v>
      </x:c>
      <x:c r="E5347" s="2" t="str">
        <x:v>land</x:v>
      </x:c>
      <x:c r="F5347" s="2" t="str">
        <x:v>sale</x:v>
      </x:c>
      <x:c r="G5347" s="11" t="n">
        <x:v>1500</x:v>
      </x:c>
      <x:c r="H5347" s="12" t="n">
        <x:v>429000000</x:v>
      </x:c>
      <x:c r="I5347" s="12" t="n">
        <x:v>286000</x:v>
      </x:c>
      <x:c r="J5347" s="2" t="str">
        <x:v>total</x:v>
      </x:c>
      <x:c r="K5347" s="2" t="str">
        <x:v>top_level_area</x:v>
      </x:c>
      <x:c r="L5347" s="2" t="str">
        <x:v>dot_thousands_convention;property_type_inferred_from_title</x:v>
      </x:c>
      <x:c r="M5347" s="10" t="n">
        <x:v>0</x:v>
      </x:c>
      <x:c r="N5347" s="10" t="n">
        <x:v>0</x:v>
      </x:c>
      <x:c r="O5347" s="2" t="str">
        <x:v>land</x:v>
      </x:c>
      <x:c r="P5347" s="10" t="n">
        <x:v>1</x:v>
      </x:c>
      <x:c r="Q5347" s="13" t="n">
        <x:f>IF(H5347="","",H5347/1000000000)</x:f>
        <x:v>0.429</x:v>
      </x:c>
      <x:c r="R5347" s="13" t="n">
        <x:f>IF(I5347="","",I5347/1000000)</x:f>
        <x:v>0.286</x:v>
      </x:c>
    </x:row>
    <x:row r="5348" ht="21" customHeight="1">
      <x:c r="A5348" s="10" t="n">
        <x:v>7003</x:v>
      </x:c>
      <x:c r="B5348" s="2" t="str">
        <x:v>5be827c187a326ef6b19</x:v>
      </x:c>
      <x:c r="C5348" s="2" t="str">
        <x:v>Tp Hồ Chí Minh</x:v>
      </x:c>
      <x:c r="D5348" s="2" t="str">
        <x:v>Quận 8</x:v>
      </x:c>
      <x:c r="E5348" s="2" t="str">
        <x:v>house</x:v>
      </x:c>
      <x:c r="F5348" s="2" t="str">
        <x:v>sale</x:v>
      </x:c>
      <x:c r="G5348" s="11" t="n">
        <x:v>32</x:v>
      </x:c>
      <x:c r="H5348" s="12" t="n">
        <x:v>3800000000</x:v>
      </x:c>
      <x:c r="I5348" s="12" t="n">
        <x:v>118750000</x:v>
      </x:c>
      <x:c r="J5348" s="2" t="str">
        <x:v>total</x:v>
      </x:c>
      <x:c r="K5348" s="2" t="str">
        <x:v>top_level_area</x:v>
      </x:c>
      <x:c r="L5348" s="2" t="str">
        <x:v>property_type_inferred_from_title</x:v>
      </x:c>
      <x:c r="M5348" s="10" t="n">
        <x:v>0</x:v>
      </x:c>
      <x:c r="N5348" s="10" t="n">
        <x:v>0</x:v>
      </x:c>
      <x:c r="O5348" s="2" t="str">
        <x:v>Tp Hồ Chí Minh|house</x:v>
      </x:c>
      <x:c r="P5348" s="10" t="n">
        <x:v>2</x:v>
      </x:c>
      <x:c r="Q5348" s="13" t="n">
        <x:f>IF(H5348="","",H5348/1000000000)</x:f>
        <x:v>3.8</x:v>
      </x:c>
      <x:c r="R5348" s="13" t="n">
        <x:f>IF(I5348="","",I5348/1000000)</x:f>
        <x:v>118.75</x:v>
      </x:c>
    </x:row>
    <x:row r="5349" ht="21" customHeight="1">
      <x:c r="A5349" s="10" t="n">
        <x:v>7004</x:v>
      </x:c>
      <x:c r="B5349" s="2" t="str">
        <x:v>c93a7f89b30e142020c5</x:v>
      </x:c>
      <x:c r="C5349" s="2" t="str">
        <x:v>Tp Hồ Chí Minh</x:v>
      </x:c>
      <x:c r="D5349" s="2" t="str">
        <x:v>Quận 12</x:v>
      </x:c>
      <x:c r="E5349" s="2" t="str">
        <x:v>house</x:v>
      </x:c>
      <x:c r="F5349" s="2" t="str">
        <x:v>sale_assumed</x:v>
      </x:c>
      <x:c r="G5349" s="11" t="n">
        <x:v>52</x:v>
      </x:c>
      <x:c r="H5349" s="12" t="n">
        <x:v>3850000000</x:v>
      </x:c>
      <x:c r="I5349" s="12" t="n">
        <x:v>74038461.53846154</x:v>
      </x:c>
      <x:c r="J5349" s="2" t="str">
        <x:v>total</x:v>
      </x:c>
      <x:c r="K5349" s="2" t="str">
        <x:v>top_level_area</x:v>
      </x:c>
      <x:c r="L5349" s="2" t="str">
        <x:v>property_type_inferred_from_title;transaction_assumed_sale_from_dataset_context</x:v>
      </x:c>
      <x:c r="M5349" s="10" t="n">
        <x:v>0</x:v>
      </x:c>
      <x:c r="N5349" s="10" t="n">
        <x:v>0</x:v>
      </x:c>
      <x:c r="O5349" s="2" t="str">
        <x:v>Tp Hồ Chí Minh|house</x:v>
      </x:c>
      <x:c r="P5349" s="10" t="n">
        <x:v>2</x:v>
      </x:c>
      <x:c r="Q5349" s="13" t="n">
        <x:f>IF(H5349="","",H5349/1000000000)</x:f>
        <x:v>3.85</x:v>
      </x:c>
      <x:c r="R5349" s="13" t="n">
        <x:f>IF(I5349="","",I5349/1000000)</x:f>
        <x:v>74.03846153846153</x:v>
      </x:c>
    </x:row>
    <x:row r="5350" ht="21" customHeight="1">
      <x:c r="A5350" s="10" t="n">
        <x:v>7005</x:v>
      </x:c>
      <x:c r="B5350" s="2" t="str">
        <x:v>48e9a3896488bd8ab04a</x:v>
      </x:c>
      <x:c r="C5350" s="2" t="str">
        <x:v>Hà Nội</x:v>
      </x:c>
      <x:c r="D5350" s="2" t="str">
        <x:v>Quận Ba Đình</x:v>
      </x:c>
      <x:c r="E5350" s="2" t="str">
        <x:v>house</x:v>
      </x:c>
      <x:c r="F5350" s="2" t="str">
        <x:v>sale</x:v>
      </x:c>
      <x:c r="G5350" s="11" t="n">
        <x:v>66</x:v>
      </x:c>
      <x:c r="H5350" s="12" t="n">
        <x:v>16000000000</x:v>
      </x:c>
      <x:c r="I5350" s="12" t="n">
        <x:v>242424242.42424244</x:v>
      </x:c>
      <x:c r="J5350" s="2" t="str">
        <x:v>total</x:v>
      </x:c>
      <x:c r="K5350" s="2" t="str">
        <x:v>top_level_area</x:v>
      </x:c>
      <x:c r="L5350" s="2" t="str">
        <x:v>property_type_inferred_from_title</x:v>
      </x:c>
      <x:c r="M5350" s="10" t="n">
        <x:v>1</x:v>
      </x:c>
      <x:c r="N5350" s="10" t="n">
        <x:v>1</x:v>
      </x:c>
      <x:c r="O5350" s="2" t="str">
        <x:v>Hà Nội|house</x:v>
      </x:c>
      <x:c r="P5350" s="10" t="n">
        <x:v>-1</x:v>
      </x:c>
      <x:c r="Q5350" s="13" t="n">
        <x:f>IF(H5350="","",H5350/1000000000)</x:f>
        <x:v>16</x:v>
      </x:c>
      <x:c r="R5350" s="13" t="n">
        <x:f>IF(I5350="","",I5350/1000000)</x:f>
        <x:v>242.42424242424244</x:v>
      </x:c>
    </x:row>
    <x:row r="5351" ht="21" customHeight="1">
      <x:c r="A5351" s="10" t="n">
        <x:v>7006</x:v>
      </x:c>
      <x:c r="B5351" s="2" t="str">
        <x:v>85cbe0b35b4ff7e4ae84</x:v>
      </x:c>
      <x:c r="C5351" s="2" t="str">
        <x:v>Khánh Hòa</x:v>
      </x:c>
      <x:c r="D5351" s="2" t="str">
        <x:v>Thành phố Nha Trang</x:v>
      </x:c>
      <x:c r="E5351" s="2" t="str">
        <x:v>house</x:v>
      </x:c>
      <x:c r="F5351" s="2" t="str">
        <x:v>sale</x:v>
      </x:c>
      <x:c r="G5351" s="11" t="n">
        <x:v>80</x:v>
      </x:c>
      <x:c r="H5351" s="12" t="n">
        <x:v>6500000000</x:v>
      </x:c>
      <x:c r="I5351" s="12" t="n">
        <x:v>81250000</x:v>
      </x:c>
      <x:c r="J5351" s="2" t="str">
        <x:v>total</x:v>
      </x:c>
      <x:c r="K5351" s="2" t="str">
        <x:v>top_level_area</x:v>
      </x:c>
      <x:c r="L5351" s="2" t="str">
        <x:v>property_type_inferred_from_title</x:v>
      </x:c>
      <x:c r="M5351" s="10" t="n">
        <x:v>0</x:v>
      </x:c>
      <x:c r="N5351" s="10" t="n">
        <x:v>0</x:v>
      </x:c>
      <x:c r="O5351" s="2" t="str">
        <x:v>Khánh Hòa|house</x:v>
      </x:c>
      <x:c r="P5351" s="10" t="n">
        <x:v>2</x:v>
      </x:c>
      <x:c r="Q5351" s="13" t="n">
        <x:f>IF(H5351="","",H5351/1000000000)</x:f>
        <x:v>6.5</x:v>
      </x:c>
      <x:c r="R5351" s="13" t="n">
        <x:f>IF(I5351="","",I5351/1000000)</x:f>
        <x:v>81.25</x:v>
      </x:c>
    </x:row>
    <x:row r="5352" ht="21" customHeight="1">
      <x:c r="A5352" s="10" t="n">
        <x:v>7007</x:v>
      </x:c>
      <x:c r="B5352" s="2" t="str">
        <x:v>f83bd1a19a261e32de80</x:v>
      </x:c>
      <x:c r="C5352" s="2" t="str">
        <x:v>Hà Nội</x:v>
      </x:c>
      <x:c r="D5352" s="2" t="str">
        <x:v>Quận Cầu Giấy</x:v>
      </x:c>
      <x:c r="E5352" s="2" t="str">
        <x:v>other_unknown</x:v>
      </x:c>
      <x:c r="F5352" s="2" t="str">
        <x:v>sale</x:v>
      </x:c>
      <x:c r="G5352" s="11" t="n">
        <x:v>33</x:v>
      </x:c>
      <x:c r="H5352" s="12" t="n">
        <x:v>600000000</x:v>
      </x:c>
      <x:c r="I5352" s="12" t="n">
        <x:v>18181818.181818184</x:v>
      </x:c>
      <x:c r="J5352" s="2" t="str">
        <x:v>total</x:v>
      </x:c>
      <x:c r="K5352" s="2" t="str">
        <x:v>top_level_area</x:v>
      </x:c>
      <x:c r="L5352" s="2" t="str">
        <x:v>property_type_inferred_from_title;unknown_property_type</x:v>
      </x:c>
      <x:c r="M5352" s="10" t="n">
        <x:v>0</x:v>
      </x:c>
      <x:c r="N5352" s="10" t="n">
        <x:v>0</x:v>
      </x:c>
      <x:c r="O5352" s="2" t="str">
        <x:v>Hà Nội|other_unknown</x:v>
      </x:c>
      <x:c r="P5352" s="10" t="n">
        <x:v>2</x:v>
      </x:c>
      <x:c r="Q5352" s="13" t="n">
        <x:f>IF(H5352="","",H5352/1000000000)</x:f>
        <x:v>0.6</x:v>
      </x:c>
      <x:c r="R5352" s="13" t="n">
        <x:f>IF(I5352="","",I5352/1000000)</x:f>
        <x:v>18.181818181818183</x:v>
      </x:c>
    </x:row>
    <x:row r="5353" ht="21" customHeight="1">
      <x:c r="A5353" s="10" t="n">
        <x:v>7008</x:v>
      </x:c>
      <x:c r="B5353" s="2" t="str">
        <x:v>6cb5705d9fdda5906f4b</x:v>
      </x:c>
      <x:c r="C5353" s="2" t="str">
        <x:v>Tp Hồ Chí Minh</x:v>
      </x:c>
      <x:c r="D5353" s="2" t="str">
        <x:v>Quận Bình Thạnh</x:v>
      </x:c>
      <x:c r="E5353" s="2" t="str">
        <x:v>house</x:v>
      </x:c>
      <x:c r="F5353" s="2" t="str">
        <x:v>sale</x:v>
      </x:c>
      <x:c r="G5353" s="11" t="n">
        <x:v>67</x:v>
      </x:c>
      <x:c r="H5353" s="12" t="n">
        <x:v>1200000000</x:v>
      </x:c>
      <x:c r="I5353" s="12" t="n">
        <x:v>17910447.76119403</x:v>
      </x:c>
      <x:c r="J5353" s="2" t="str">
        <x:v>total</x:v>
      </x:c>
      <x:c r="K5353" s="2" t="str">
        <x:v>top_level_area</x:v>
      </x:c>
      <x:c r="L5353" s="2" t="str">
        <x:v>property_type_inferred_from_title</x:v>
      </x:c>
      <x:c r="M5353" s="10" t="n">
        <x:v>0</x:v>
      </x:c>
      <x:c r="N5353" s="10" t="n">
        <x:v>0</x:v>
      </x:c>
      <x:c r="O5353" s="2" t="str">
        <x:v>Tp Hồ Chí Minh|house</x:v>
      </x:c>
      <x:c r="P5353" s="10" t="n">
        <x:v>2</x:v>
      </x:c>
      <x:c r="Q5353" s="13" t="n">
        <x:f>IF(H5353="","",H5353/1000000000)</x:f>
        <x:v>1.2</x:v>
      </x:c>
      <x:c r="R5353" s="13" t="n">
        <x:f>IF(I5353="","",I5353/1000000)</x:f>
        <x:v>17.910447761194032</x:v>
      </x:c>
    </x:row>
    <x:row r="5354" ht="21" customHeight="1">
      <x:c r="A5354" s="10" t="n">
        <x:v>7009</x:v>
      </x:c>
      <x:c r="B5354" s="2" t="str">
        <x:v>6a5052d68cda694bb333</x:v>
      </x:c>
      <x:c r="C5354" s="2" t="str">
        <x:v>Bình Dương</x:v>
      </x:c>
      <x:c r="D5354" s="2" t="str">
        <x:v>Thị xã Tân Uyên</x:v>
      </x:c>
      <x:c r="E5354" s="2" t="str">
        <x:v>house</x:v>
      </x:c>
      <x:c r="F5354" s="2" t="str">
        <x:v>sale</x:v>
      </x:c>
      <x:c r="G5354" s="11" t="n">
        <x:v>85</x:v>
      </x:c>
      <x:c r="H5354" s="12" t="n">
        <x:v>1700000000</x:v>
      </x:c>
      <x:c r="I5354" s="12" t="n">
        <x:v>20000000</x:v>
      </x:c>
      <x:c r="J5354" s="2" t="str">
        <x:v>total</x:v>
      </x:c>
      <x:c r="K5354" s="2" t="str">
        <x:v>top_level_price_embedded_area</x:v>
      </x:c>
      <x:c r="L5354" s="2" t="str">
        <x:v>area_recovered_from_price_text;property_type_inferred_from_title</x:v>
      </x:c>
      <x:c r="M5354" s="10" t="n">
        <x:v>0</x:v>
      </x:c>
      <x:c r="N5354" s="10" t="n">
        <x:v>0</x:v>
      </x:c>
      <x:c r="O5354" s="2" t="str">
        <x:v>Bình Dương|house</x:v>
      </x:c>
      <x:c r="P5354" s="10" t="n">
        <x:v>2</x:v>
      </x:c>
      <x:c r="Q5354" s="13" t="n">
        <x:f>IF(H5354="","",H5354/1000000000)</x:f>
        <x:v>1.7</x:v>
      </x:c>
      <x:c r="R5354" s="13" t="n">
        <x:f>IF(I5354="","",I5354/1000000)</x:f>
        <x:v>20</x:v>
      </x:c>
    </x:row>
    <x:row r="5355" ht="21" customHeight="1">
      <x:c r="A5355" s="10" t="n">
        <x:v>7010</x:v>
      </x:c>
      <x:c r="B5355" s="2" t="str">
        <x:v>ba6fdd138cdc165fb04f</x:v>
      </x:c>
      <x:c r="C5355" s="2" t="str">
        <x:v>Hà Nội</x:v>
      </x:c>
      <x:c r="D5355" s="2" t="str">
        <x:v>Quận Long Biên</x:v>
      </x:c>
      <x:c r="E5355" s="2" t="str">
        <x:v>house</x:v>
      </x:c>
      <x:c r="F5355" s="2" t="str">
        <x:v>sale_assumed</x:v>
      </x:c>
      <x:c r="G5355" s="11" t="n">
        <x:v>40</x:v>
      </x:c>
      <x:c r="H5355" s="12" t="n">
        <x:v>2900000000</x:v>
      </x:c>
      <x:c r="I5355" s="12" t="n">
        <x:v>72500000</x:v>
      </x:c>
      <x:c r="J5355" s="2" t="str">
        <x:v>total</x:v>
      </x:c>
      <x:c r="K5355" s="2" t="str">
        <x:v>top_level_price_embedded_area</x:v>
      </x:c>
      <x:c r="L5355" s="2" t="str">
        <x:v>area_recovered_from_price_text;property_type_inferred_from_title;transaction_assumed_sale_from_dataset_context</x:v>
      </x:c>
      <x:c r="M5355" s="10" t="n">
        <x:v>0</x:v>
      </x:c>
      <x:c r="N5355" s="10" t="n">
        <x:v>0</x:v>
      </x:c>
      <x:c r="O5355" s="2" t="str">
        <x:v>Hà Nội|house</x:v>
      </x:c>
      <x:c r="P5355" s="10" t="n">
        <x:v>2</x:v>
      </x:c>
      <x:c r="Q5355" s="13" t="n">
        <x:f>IF(H5355="","",H5355/1000000000)</x:f>
        <x:v>2.9</x:v>
      </x:c>
      <x:c r="R5355" s="13" t="n">
        <x:f>IF(I5355="","",I5355/1000000)</x:f>
        <x:v>72.5</x:v>
      </x:c>
    </x:row>
    <x:row r="5356" ht="21" customHeight="1">
      <x:c r="A5356" s="10" t="n">
        <x:v>7011</x:v>
      </x:c>
      <x:c r="B5356" s="2" t="str">
        <x:v>f42ce5cc7652319625e7</x:v>
      </x:c>
      <x:c r="C5356" s="2" t="str">
        <x:v>Hà Nội</x:v>
      </x:c>
      <x:c r="D5356" s="2" t="str">
        <x:v>Quận Hoàng Mai</x:v>
      </x:c>
      <x:c r="E5356" s="2" t="str">
        <x:v>house</x:v>
      </x:c>
      <x:c r="F5356" s="2" t="str">
        <x:v>sale</x:v>
      </x:c>
      <x:c r="G5356" s="11" t="n">
        <x:v>41</x:v>
      </x:c>
      <x:c r="H5356" s="12" t="n">
        <x:v>2900000000</x:v>
      </x:c>
      <x:c r="I5356" s="12" t="n">
        <x:v>70731707.31707317</x:v>
      </x:c>
      <x:c r="J5356" s="2" t="str">
        <x:v>total</x:v>
      </x:c>
      <x:c r="K5356" s="2" t="str">
        <x:v>top_level_area</x:v>
      </x:c>
      <x:c r="L5356" s="2" t="str">
        <x:v>property_type_inferred_from_title</x:v>
      </x:c>
      <x:c r="M5356" s="10" t="n">
        <x:v>0</x:v>
      </x:c>
      <x:c r="N5356" s="10" t="n">
        <x:v>0</x:v>
      </x:c>
      <x:c r="O5356" s="2" t="str">
        <x:v>Hà Nội|house</x:v>
      </x:c>
      <x:c r="P5356" s="10" t="n">
        <x:v>2</x:v>
      </x:c>
      <x:c r="Q5356" s="13" t="n">
        <x:f>IF(H5356="","",H5356/1000000000)</x:f>
        <x:v>2.9</x:v>
      </x:c>
      <x:c r="R5356" s="13" t="n">
        <x:f>IF(I5356="","",I5356/1000000)</x:f>
        <x:v>70.73170731707317</x:v>
      </x:c>
    </x:row>
    <x:row r="5357" ht="21" customHeight="1">
      <x:c r="A5357" s="10" t="n">
        <x:v>7012</x:v>
      </x:c>
      <x:c r="B5357" s="2" t="str">
        <x:v>ac7665279b78e7ecc615</x:v>
      </x:c>
      <x:c r="C5357" s="2" t="str">
        <x:v>Hậu Giang</x:v>
      </x:c>
      <x:c r="D5357" s="2" t="str">
        <x:v>Huyện Châu Thành A</x:v>
      </x:c>
      <x:c r="E5357" s="2" t="str">
        <x:v>house</x:v>
      </x:c>
      <x:c r="F5357" s="2" t="str">
        <x:v>sale_assumed</x:v>
      </x:c>
      <x:c r="G5357" s="11" t="n">
        <x:v>220</x:v>
      </x:c>
      <x:c r="H5357" s="12" t="n">
        <x:v>2200000000</x:v>
      </x:c>
      <x:c r="I5357" s="12" t="n">
        <x:v>10000000</x:v>
      </x:c>
      <x:c r="J5357" s="2" t="str">
        <x:v>total</x:v>
      </x:c>
      <x:c r="K5357" s="2" t="str">
        <x:v>top_level_area</x:v>
      </x:c>
      <x:c r="L5357" s="2" t="str">
        <x:v>property_type_inferred_from_title;transaction_assumed_sale_from_dataset_context</x:v>
      </x:c>
      <x:c r="M5357" s="10" t="n">
        <x:v>0</x:v>
      </x:c>
      <x:c r="N5357" s="10" t="n">
        <x:v>0</x:v>
      </x:c>
      <x:c r="O5357" s="2" t="str">
        <x:v>house</x:v>
      </x:c>
      <x:c r="P5357" s="10" t="n">
        <x:v>2</x:v>
      </x:c>
      <x:c r="Q5357" s="13" t="n">
        <x:f>IF(H5357="","",H5357/1000000000)</x:f>
        <x:v>2.2</x:v>
      </x:c>
      <x:c r="R5357" s="13" t="n">
        <x:f>IF(I5357="","",I5357/1000000)</x:f>
        <x:v>10</x:v>
      </x:c>
    </x:row>
    <x:row r="5358" ht="21" customHeight="1">
      <x:c r="A5358" s="10" t="n">
        <x:v>7013</x:v>
      </x:c>
      <x:c r="B5358" s="2" t="str">
        <x:v>353104ac330517d948fb</x:v>
      </x:c>
      <x:c r="C5358" s="2" t="str">
        <x:v>Tp Hồ Chí Minh</x:v>
      </x:c>
      <x:c r="D5358" s="2" t="str">
        <x:v>Quận Thủ Đức</x:v>
      </x:c>
      <x:c r="E5358" s="2" t="str">
        <x:v>house</x:v>
      </x:c>
      <x:c r="F5358" s="2" t="str">
        <x:v>sale</x:v>
      </x:c>
      <x:c r="G5358" s="11" t="n">
        <x:v>65</x:v>
      </x:c>
      <x:c r="H5358" s="12" t="n">
        <x:v>1280000000</x:v>
      </x:c>
      <x:c r="I5358" s="12" t="n">
        <x:v>19692307.692307692</x:v>
      </x:c>
      <x:c r="J5358" s="2" t="str">
        <x:v>total</x:v>
      </x:c>
      <x:c r="K5358" s="2" t="str">
        <x:v>top_level_area</x:v>
      </x:c>
      <x:c r="L5358" s="2" t="str">
        <x:v>property_type_inferred_from_title</x:v>
      </x:c>
      <x:c r="M5358" s="10" t="n">
        <x:v>0</x:v>
      </x:c>
      <x:c r="N5358" s="10" t="n">
        <x:v>0</x:v>
      </x:c>
      <x:c r="O5358" s="2" t="str">
        <x:v>Tp Hồ Chí Minh|house</x:v>
      </x:c>
      <x:c r="P5358" s="10" t="n">
        <x:v>2</x:v>
      </x:c>
      <x:c r="Q5358" s="13" t="n">
        <x:f>IF(H5358="","",H5358/1000000000)</x:f>
        <x:v>1.28</x:v>
      </x:c>
      <x:c r="R5358" s="13" t="n">
        <x:f>IF(I5358="","",I5358/1000000)</x:f>
        <x:v>19.692307692307693</x:v>
      </x:c>
    </x:row>
    <x:row r="5359" ht="21" customHeight="1">
      <x:c r="A5359" s="10" t="n">
        <x:v>7014</x:v>
      </x:c>
      <x:c r="B5359" s="2" t="str">
        <x:v>329e3ced5a7218ed962b</x:v>
      </x:c>
      <x:c r="C5359" s="2" t="str">
        <x:v>Đà Nẵng</x:v>
      </x:c>
      <x:c r="D5359" s="2" t="str">
        <x:v>Quận Ngũ Hành Sơn</x:v>
      </x:c>
      <x:c r="E5359" s="2" t="str">
        <x:v>other_unknown</x:v>
      </x:c>
      <x:c r="F5359" s="2" t="str">
        <x:v>sale_assumed</x:v>
      </x:c>
      <x:c r="G5359" s="11" t="n">
        <x:v>208</x:v>
      </x:c>
      <x:c r="H5359" s="12" t="n">
        <x:v>3920000000</x:v>
      </x:c>
      <x:c r="I5359" s="12" t="n">
        <x:v>18846153.846153848</x:v>
      </x:c>
      <x:c r="J5359" s="2" t="str">
        <x:v>total</x:v>
      </x:c>
      <x:c r="K5359" s="2" t="str">
        <x:v>top_level_area</x:v>
      </x:c>
      <x:c r="L5359" s="2" t="str">
        <x:v>property_type_inferred_from_title;transaction_assumed_sale_from_dataset_context;unknown_property_type</x:v>
      </x:c>
      <x:c r="M5359" s="10" t="n">
        <x:v>0</x:v>
      </x:c>
      <x:c r="N5359" s="10" t="n">
        <x:v>0</x:v>
      </x:c>
      <x:c r="O5359" s="2" t="str">
        <x:v>Đà Nẵng|other_unknown</x:v>
      </x:c>
      <x:c r="P5359" s="10" t="n">
        <x:v>2</x:v>
      </x:c>
      <x:c r="Q5359" s="13" t="n">
        <x:f>IF(H5359="","",H5359/1000000000)</x:f>
        <x:v>3.92</x:v>
      </x:c>
      <x:c r="R5359" s="13" t="n">
        <x:f>IF(I5359="","",I5359/1000000)</x:f>
        <x:v>18.846153846153847</x:v>
      </x:c>
    </x:row>
    <x:row r="5360" ht="21" customHeight="1">
      <x:c r="A5360" s="10" t="n">
        <x:v>7015</x:v>
      </x:c>
      <x:c r="B5360" s="2" t="str">
        <x:v>765d8d3056d7c44c775e</x:v>
      </x:c>
      <x:c r="C5360" s="2" t="str">
        <x:v>Hà Nội</x:v>
      </x:c>
      <x:c r="D5360" s="2" t="str">
        <x:v>Quận Ba Đình</x:v>
      </x:c>
      <x:c r="E5360" s="2" t="str">
        <x:v>house</x:v>
      </x:c>
      <x:c r="F5360" s="2" t="str">
        <x:v>sale</x:v>
      </x:c>
      <x:c r="G5360" s="11" t="n">
        <x:v>62</x:v>
      </x:c>
      <x:c r="H5360" s="12" t="n">
        <x:v>4400000000</x:v>
      </x:c>
      <x:c r="I5360" s="12" t="n">
        <x:v>70967741.93548387</x:v>
      </x:c>
      <x:c r="J5360" s="2" t="str">
        <x:v>total</x:v>
      </x:c>
      <x:c r="K5360" s="2" t="str">
        <x:v>top_level_area</x:v>
      </x:c>
      <x:c r="L5360" s="2" t="str">
        <x:v>property_type_inferred_from_title</x:v>
      </x:c>
      <x:c r="M5360" s="10" t="n">
        <x:v>0</x:v>
      </x:c>
      <x:c r="N5360" s="10" t="n">
        <x:v>0</x:v>
      </x:c>
      <x:c r="O5360" s="2" t="str">
        <x:v>Hà Nội|house</x:v>
      </x:c>
      <x:c r="P5360" s="10" t="n">
        <x:v>2</x:v>
      </x:c>
      <x:c r="Q5360" s="13" t="n">
        <x:f>IF(H5360="","",H5360/1000000000)</x:f>
        <x:v>4.4</x:v>
      </x:c>
      <x:c r="R5360" s="13" t="n">
        <x:f>IF(I5360="","",I5360/1000000)</x:f>
        <x:v>70.96774193548387</x:v>
      </x:c>
    </x:row>
    <x:row r="5361" ht="21" customHeight="1">
      <x:c r="A5361" s="10" t="n">
        <x:v>7016</x:v>
      </x:c>
      <x:c r="B5361" s="2" t="str">
        <x:v>9cdea0c36c2a1a9c3487</x:v>
      </x:c>
      <x:c r="C5361" s="2" t="str">
        <x:v>Tp Hồ Chí Minh</x:v>
      </x:c>
      <x:c r="D5361" s="2" t="str">
        <x:v>Huyện Bình Chánh</x:v>
      </x:c>
      <x:c r="E5361" s="2" t="str">
        <x:v>land</x:v>
      </x:c>
      <x:c r="F5361" s="2" t="str">
        <x:v>sale_assumed</x:v>
      </x:c>
      <x:c r="G5361" s="11" t="n">
        <x:v>200</x:v>
      </x:c>
      <x:c r="H5361" s="12" t="n">
        <x:v>21000000000</x:v>
      </x:c>
      <x:c r="I5361" s="12" t="n">
        <x:v>105000000</x:v>
      </x:c>
      <x:c r="J5361" s="2" t="str">
        <x:v>total</x:v>
      </x:c>
      <x:c r="K5361" s="2" t="str">
        <x:v>top_level_area</x:v>
      </x:c>
      <x:c r="L5361" s="2" t="str">
        <x:v>property_type_inferred_from_title;transaction_assumed_sale_from_dataset_context</x:v>
      </x:c>
      <x:c r="M5361" s="10" t="n">
        <x:v>0</x:v>
      </x:c>
      <x:c r="N5361" s="10" t="n">
        <x:v>1</x:v>
      </x:c>
      <x:c r="O5361" s="2" t="str">
        <x:v>Tp Hồ Chí Minh|land</x:v>
      </x:c>
      <x:c r="P5361" s="10" t="n">
        <x:v>-1</x:v>
      </x:c>
      <x:c r="Q5361" s="13" t="n">
        <x:f>IF(H5361="","",H5361/1000000000)</x:f>
        <x:v>21</x:v>
      </x:c>
      <x:c r="R5361" s="13" t="n">
        <x:f>IF(I5361="","",I5361/1000000)</x:f>
        <x:v>105</x:v>
      </x:c>
    </x:row>
    <x:row r="5362" ht="21" customHeight="1">
      <x:c r="A5362" s="10" t="n">
        <x:v>7017</x:v>
      </x:c>
      <x:c r="B5362" s="2" t="str">
        <x:v>086d96f4dc5bc655abd7</x:v>
      </x:c>
      <x:c r="C5362" s="2" t="str">
        <x:v>Tp Hồ Chí Minh</x:v>
      </x:c>
      <x:c r="D5362" s="2" t="str">
        <x:v>Quận Tân Phú</x:v>
      </x:c>
      <x:c r="E5362" s="2" t="str">
        <x:v>house</x:v>
      </x:c>
      <x:c r="F5362" s="2" t="str">
        <x:v>sale</x:v>
      </x:c>
      <x:c r="G5362" s="11" t="n">
        <x:v>55</x:v>
      </x:c>
      <x:c r="H5362" s="12" t="n">
        <x:v>4500000000</x:v>
      </x:c>
      <x:c r="I5362" s="12" t="n">
        <x:v>81818181.81818181</x:v>
      </x:c>
      <x:c r="J5362" s="2" t="str">
        <x:v>total</x:v>
      </x:c>
      <x:c r="K5362" s="2" t="str">
        <x:v>top_level_area</x:v>
      </x:c>
      <x:c r="L5362" s="2" t="str">
        <x:v>property_type_inferred_from_title</x:v>
      </x:c>
      <x:c r="M5362" s="10" t="n">
        <x:v>0</x:v>
      </x:c>
      <x:c r="N5362" s="10" t="n">
        <x:v>0</x:v>
      </x:c>
      <x:c r="O5362" s="2" t="str">
        <x:v>Tp Hồ Chí Minh|house</x:v>
      </x:c>
      <x:c r="P5362" s="10" t="n">
        <x:v>2</x:v>
      </x:c>
      <x:c r="Q5362" s="13" t="n">
        <x:f>IF(H5362="","",H5362/1000000000)</x:f>
        <x:v>4.5</x:v>
      </x:c>
      <x:c r="R5362" s="13" t="n">
        <x:f>IF(I5362="","",I5362/1000000)</x:f>
        <x:v>81.81818181818181</x:v>
      </x:c>
    </x:row>
    <x:row r="5363" ht="21" customHeight="1">
      <x:c r="A5363" s="10" t="n">
        <x:v>7018</x:v>
      </x:c>
      <x:c r="B5363" s="2" t="str">
        <x:v>87cc08cf304300dc483d</x:v>
      </x:c>
      <x:c r="C5363" s="2" t="str">
        <x:v>Hà Nội</x:v>
      </x:c>
      <x:c r="D5363" s="2" t="str">
        <x:v>Quận Đống Đa</x:v>
      </x:c>
      <x:c r="E5363" s="2" t="str">
        <x:v>house</x:v>
      </x:c>
      <x:c r="F5363" s="2" t="str">
        <x:v>sale_assumed</x:v>
      </x:c>
      <x:c r="G5363" s="11" t="n">
        <x:v>40</x:v>
      </x:c>
      <x:c r="H5363" s="12" t="n">
        <x:v>6000000000</x:v>
      </x:c>
      <x:c r="I5363" s="12" t="n">
        <x:v>150000000</x:v>
      </x:c>
      <x:c r="J5363" s="2" t="str">
        <x:v>total</x:v>
      </x:c>
      <x:c r="K5363" s="2" t="str">
        <x:v>top_level_area</x:v>
      </x:c>
      <x:c r="L5363" s="2" t="str">
        <x:v>property_type_inferred_from_title;transaction_assumed_sale_from_dataset_context</x:v>
      </x:c>
      <x:c r="M5363" s="10" t="n">
        <x:v>0</x:v>
      </x:c>
      <x:c r="N5363" s="10" t="n">
        <x:v>0</x:v>
      </x:c>
      <x:c r="O5363" s="2" t="str">
        <x:v>Hà Nội|house</x:v>
      </x:c>
      <x:c r="P5363" s="10" t="n">
        <x:v>2</x:v>
      </x:c>
      <x:c r="Q5363" s="13" t="n">
        <x:f>IF(H5363="","",H5363/1000000000)</x:f>
        <x:v>6</x:v>
      </x:c>
      <x:c r="R5363" s="13" t="n">
        <x:f>IF(I5363="","",I5363/1000000)</x:f>
        <x:v>150</x:v>
      </x:c>
    </x:row>
    <x:row r="5364" ht="21" customHeight="1">
      <x:c r="A5364" s="10" t="n">
        <x:v>7019</x:v>
      </x:c>
      <x:c r="B5364" s="2" t="str">
        <x:v>bea76edc64ca580b1d21</x:v>
      </x:c>
      <x:c r="C5364" s="2" t="str">
        <x:v>Hà Nội</x:v>
      </x:c>
      <x:c r="D5364" s="2" t="str">
        <x:v>Quận Bắc Từ Liêm</x:v>
      </x:c>
      <x:c r="E5364" s="2" t="str">
        <x:v>house</x:v>
      </x:c>
      <x:c r="F5364" s="2" t="str">
        <x:v>sale</x:v>
      </x:c>
      <x:c r="G5364" s="11" t="n">
        <x:v>32</x:v>
      </x:c>
      <x:c r="H5364" s="12" t="n">
        <x:v>3800000000</x:v>
      </x:c>
      <x:c r="I5364" s="12" t="n">
        <x:v>118750000</x:v>
      </x:c>
      <x:c r="J5364" s="2" t="str">
        <x:v>total</x:v>
      </x:c>
      <x:c r="K5364" s="2" t="str">
        <x:v>top_level_area</x:v>
      </x:c>
      <x:c r="L5364" s="2" t="str">
        <x:v>property_type_inferred_from_title</x:v>
      </x:c>
      <x:c r="M5364" s="10" t="n">
        <x:v>0</x:v>
      </x:c>
      <x:c r="N5364" s="10" t="n">
        <x:v>0</x:v>
      </x:c>
      <x:c r="O5364" s="2" t="str">
        <x:v>Hà Nội|house</x:v>
      </x:c>
      <x:c r="P5364" s="10" t="n">
        <x:v>2</x:v>
      </x:c>
      <x:c r="Q5364" s="13" t="n">
        <x:f>IF(H5364="","",H5364/1000000000)</x:f>
        <x:v>3.8</x:v>
      </x:c>
      <x:c r="R5364" s="13" t="n">
        <x:f>IF(I5364="","",I5364/1000000)</x:f>
        <x:v>118.75</x:v>
      </x:c>
    </x:row>
    <x:row r="5365" ht="21" customHeight="1">
      <x:c r="A5365" s="10" t="n">
        <x:v>7020</x:v>
      </x:c>
      <x:c r="B5365" s="2" t="str">
        <x:v>34f5a9a3018cf7888002</x:v>
      </x:c>
      <x:c r="C5365" s="2" t="str">
        <x:v>Tp Hồ Chí Minh</x:v>
      </x:c>
      <x:c r="D5365" s="2" t="str">
        <x:v>Quận Thủ Đức</x:v>
      </x:c>
      <x:c r="E5365" s="2" t="str">
        <x:v>house</x:v>
      </x:c>
      <x:c r="F5365" s="2" t="str">
        <x:v>sale</x:v>
      </x:c>
      <x:c r="G5365" s="11" t="n">
        <x:v>65</x:v>
      </x:c>
      <x:c r="H5365" s="12" t="n">
        <x:v>1350000000</x:v>
      </x:c>
      <x:c r="I5365" s="12" t="n">
        <x:v>20769230.769230768</x:v>
      </x:c>
      <x:c r="J5365" s="2" t="str">
        <x:v>total</x:v>
      </x:c>
      <x:c r="K5365" s="2" t="str">
        <x:v>top_level_area</x:v>
      </x:c>
      <x:c r="L5365" s="2" t="str">
        <x:v>property_type_inferred_from_title</x:v>
      </x:c>
      <x:c r="M5365" s="10" t="n">
        <x:v>0</x:v>
      </x:c>
      <x:c r="N5365" s="10" t="n">
        <x:v>0</x:v>
      </x:c>
      <x:c r="O5365" s="2" t="str">
        <x:v>Tp Hồ Chí Minh|house</x:v>
      </x:c>
      <x:c r="P5365" s="10" t="n">
        <x:v>2</x:v>
      </x:c>
      <x:c r="Q5365" s="13" t="n">
        <x:f>IF(H5365="","",H5365/1000000000)</x:f>
        <x:v>1.35</x:v>
      </x:c>
      <x:c r="R5365" s="13" t="n">
        <x:f>IF(I5365="","",I5365/1000000)</x:f>
        <x:v>20.769230769230766</x:v>
      </x:c>
    </x:row>
    <x:row r="5366" ht="21" customHeight="1">
      <x:c r="A5366" s="10" t="n">
        <x:v>7021</x:v>
      </x:c>
      <x:c r="B5366" s="2" t="str">
        <x:v>f9a5d29e3732a32e9e89</x:v>
      </x:c>
      <x:c r="C5366" s="2" t="str">
        <x:v>Tp Hồ Chí Minh</x:v>
      </x:c>
      <x:c r="D5366" s="2" t="str">
        <x:v>Quận Tân Phú</x:v>
      </x:c>
      <x:c r="E5366" s="2" t="str">
        <x:v>house</x:v>
      </x:c>
      <x:c r="F5366" s="2" t="str">
        <x:v>sale</x:v>
      </x:c>
      <x:c r="G5366" s="11" t="n">
        <x:v>40</x:v>
      </x:c>
      <x:c r="H5366" s="12" t="n">
        <x:v>4700000000</x:v>
      </x:c>
      <x:c r="I5366" s="12" t="n">
        <x:v>117500000</x:v>
      </x:c>
      <x:c r="J5366" s="2" t="str">
        <x:v>total</x:v>
      </x:c>
      <x:c r="K5366" s="2" t="str">
        <x:v>top_level_area</x:v>
      </x:c>
      <x:c r="L5366" s="2" t="str">
        <x:v>property_type_inferred_from_title</x:v>
      </x:c>
      <x:c r="M5366" s="10" t="n">
        <x:v>0</x:v>
      </x:c>
      <x:c r="N5366" s="10" t="n">
        <x:v>0</x:v>
      </x:c>
      <x:c r="O5366" s="2" t="str">
        <x:v>Tp Hồ Chí Minh|house</x:v>
      </x:c>
      <x:c r="P5366" s="10" t="n">
        <x:v>2</x:v>
      </x:c>
      <x:c r="Q5366" s="13" t="n">
        <x:f>IF(H5366="","",H5366/1000000000)</x:f>
        <x:v>4.7</x:v>
      </x:c>
      <x:c r="R5366" s="13" t="n">
        <x:f>IF(I5366="","",I5366/1000000)</x:f>
        <x:v>117.5</x:v>
      </x:c>
    </x:row>
    <x:row r="5367" ht="21" customHeight="1">
      <x:c r="A5367" s="10" t="n">
        <x:v>7022</x:v>
      </x:c>
      <x:c r="B5367" s="2" t="str">
        <x:v>dacbec3b89f4daacf6ba</x:v>
      </x:c>
      <x:c r="C5367" s="2" t="str">
        <x:v>Hà Nội</x:v>
      </x:c>
      <x:c r="D5367" s="2" t="str">
        <x:v>Quận Đống Đa</x:v>
      </x:c>
      <x:c r="E5367" s="2" t="str">
        <x:v>house</x:v>
      </x:c>
      <x:c r="F5367" s="2" t="str">
        <x:v>sale</x:v>
      </x:c>
      <x:c r="G5367" s="11" t="n">
        <x:v>30</x:v>
      </x:c>
      <x:c r="H5367" s="12" t="n">
        <x:v>2100000000</x:v>
      </x:c>
      <x:c r="I5367" s="12" t="n">
        <x:v>70000000</x:v>
      </x:c>
      <x:c r="J5367" s="2" t="str">
        <x:v>total</x:v>
      </x:c>
      <x:c r="K5367" s="2" t="str">
        <x:v>top_level_area</x:v>
      </x:c>
      <x:c r="L5367" s="2" t="str">
        <x:v>property_type_inferred_from_title</x:v>
      </x:c>
      <x:c r="M5367" s="10" t="n">
        <x:v>0</x:v>
      </x:c>
      <x:c r="N5367" s="10" t="n">
        <x:v>0</x:v>
      </x:c>
      <x:c r="O5367" s="2" t="str">
        <x:v>Hà Nội|house</x:v>
      </x:c>
      <x:c r="P5367" s="10" t="n">
        <x:v>2</x:v>
      </x:c>
      <x:c r="Q5367" s="13" t="n">
        <x:f>IF(H5367="","",H5367/1000000000)</x:f>
        <x:v>2.1</x:v>
      </x:c>
      <x:c r="R5367" s="13" t="n">
        <x:f>IF(I5367="","",I5367/1000000)</x:f>
        <x:v>70</x:v>
      </x:c>
    </x:row>
    <x:row r="5368" ht="21" customHeight="1">
      <x:c r="A5368" s="10" t="n">
        <x:v>7025</x:v>
      </x:c>
      <x:c r="B5368" s="2" t="str">
        <x:v>b0e4bc309218fa3cf202</x:v>
      </x:c>
      <x:c r="C5368" s="2" t="str">
        <x:v>Hà Nội</x:v>
      </x:c>
      <x:c r="D5368" s="2" t="str">
        <x:v>Quận Ba Đình</x:v>
      </x:c>
      <x:c r="E5368" s="2" t="str">
        <x:v>house</x:v>
      </x:c>
      <x:c r="F5368" s="2" t="str">
        <x:v>sale_assumed</x:v>
      </x:c>
      <x:c r="G5368" s="11" t="n">
        <x:v>62</x:v>
      </x:c>
      <x:c r="H5368" s="12" t="n">
        <x:v>4390000000</x:v>
      </x:c>
      <x:c r="I5368" s="12" t="n">
        <x:v>70806451.61290322</x:v>
      </x:c>
      <x:c r="J5368" s="2" t="str">
        <x:v>total</x:v>
      </x:c>
      <x:c r="K5368" s="2" t="str">
        <x:v>top_level_area</x:v>
      </x:c>
      <x:c r="L5368" s="2" t="str">
        <x:v>property_type_inferred_from_title;transaction_assumed_sale_from_dataset_context</x:v>
      </x:c>
      <x:c r="M5368" s="10" t="n">
        <x:v>0</x:v>
      </x:c>
      <x:c r="N5368" s="10" t="n">
        <x:v>0</x:v>
      </x:c>
      <x:c r="O5368" s="2" t="str">
        <x:v>Hà Nội|house</x:v>
      </x:c>
      <x:c r="P5368" s="10" t="n">
        <x:v>2</x:v>
      </x:c>
      <x:c r="Q5368" s="13" t="n">
        <x:f>IF(H5368="","",H5368/1000000000)</x:f>
        <x:v>4.39</x:v>
      </x:c>
      <x:c r="R5368" s="13" t="n">
        <x:f>IF(I5368="","",I5368/1000000)</x:f>
        <x:v>70.80645161290322</x:v>
      </x:c>
    </x:row>
    <x:row r="5369" ht="21" customHeight="1">
      <x:c r="A5369" s="10" t="n">
        <x:v>7026</x:v>
      </x:c>
      <x:c r="B5369" s="2" t="str">
        <x:v>53d0c412cf8f7d84364f</x:v>
      </x:c>
      <x:c r="C5369" s="2" t="str">
        <x:v>Tp Hồ Chí Minh</x:v>
      </x:c>
      <x:c r="D5369" s="2" t="str">
        <x:v>Huyện Bình Chánh</x:v>
      </x:c>
      <x:c r="E5369" s="2" t="str">
        <x:v>house</x:v>
      </x:c>
      <x:c r="F5369" s="2" t="str">
        <x:v>sale_assumed</x:v>
      </x:c>
      <x:c r="G5369" s="11" t="n">
        <x:v>84</x:v>
      </x:c>
      <x:c r="H5369" s="12" t="n">
        <x:v>620000000</x:v>
      </x:c>
      <x:c r="I5369" s="12" t="n">
        <x:v>7380952.380952381</x:v>
      </x:c>
      <x:c r="J5369" s="2" t="str">
        <x:v>total</x:v>
      </x:c>
      <x:c r="K5369" s="2" t="str">
        <x:v>top_level_price_embedded_area</x:v>
      </x:c>
      <x:c r="L5369" s="2" t="str">
        <x:v>area_recovered_from_price_text;property_type_inferred_from_title;transaction_assumed_sale_from_dataset_context</x:v>
      </x:c>
      <x:c r="M5369" s="10" t="n">
        <x:v>0</x:v>
      </x:c>
      <x:c r="N5369" s="10" t="n">
        <x:v>0</x:v>
      </x:c>
      <x:c r="O5369" s="2" t="str">
        <x:v>Tp Hồ Chí Minh|house</x:v>
      </x:c>
      <x:c r="P5369" s="10" t="n">
        <x:v>2</x:v>
      </x:c>
      <x:c r="Q5369" s="13" t="n">
        <x:f>IF(H5369="","",H5369/1000000000)</x:f>
        <x:v>0.62</x:v>
      </x:c>
      <x:c r="R5369" s="13" t="n">
        <x:f>IF(I5369="","",I5369/1000000)</x:f>
        <x:v>7.3809523809523805</x:v>
      </x:c>
    </x:row>
    <x:row r="5370" ht="21" customHeight="1">
      <x:c r="A5370" s="10" t="n">
        <x:v>7027</x:v>
      </x:c>
      <x:c r="B5370" s="2" t="str">
        <x:v>7f156f9e23fe25f3e9e5</x:v>
      </x:c>
      <x:c r="C5370" s="2" t="str">
        <x:v>Khánh Hòa</x:v>
      </x:c>
      <x:c r="D5370" s="2" t="str">
        <x:v>Thành phố Nha Trang</x:v>
      </x:c>
      <x:c r="E5370" s="2" t="str">
        <x:v>house</x:v>
      </x:c>
      <x:c r="F5370" s="2" t="str">
        <x:v>sale_assumed</x:v>
      </x:c>
      <x:c r="G5370" s="11" t="n">
        <x:v>100</x:v>
      </x:c>
      <x:c r="H5370" s="12" t="n">
        <x:v>250000000</x:v>
      </x:c>
      <x:c r="I5370" s="12" t="n">
        <x:v>2500000</x:v>
      </x:c>
      <x:c r="J5370" s="2" t="str">
        <x:v>total</x:v>
      </x:c>
      <x:c r="K5370" s="2" t="str">
        <x:v>top_level_area</x:v>
      </x:c>
      <x:c r="L5370" s="2" t="str">
        <x:v>property_type_inferred_from_title;transaction_assumed_sale_from_dataset_context</x:v>
      </x:c>
      <x:c r="M5370" s="10" t="n">
        <x:v>0</x:v>
      </x:c>
      <x:c r="N5370" s="10" t="n">
        <x:v>0</x:v>
      </x:c>
      <x:c r="O5370" s="2" t="str">
        <x:v>Khánh Hòa|house</x:v>
      </x:c>
      <x:c r="P5370" s="10" t="n">
        <x:v>1</x:v>
      </x:c>
      <x:c r="Q5370" s="13" t="n">
        <x:f>IF(H5370="","",H5370/1000000000)</x:f>
        <x:v>0.25</x:v>
      </x:c>
      <x:c r="R5370" s="13" t="n">
        <x:f>IF(I5370="","",I5370/1000000)</x:f>
        <x:v>2.5</x:v>
      </x:c>
    </x:row>
    <x:row r="5371" ht="21" customHeight="1">
      <x:c r="A5371" s="10" t="n">
        <x:v>7028</x:v>
      </x:c>
      <x:c r="B5371" s="2" t="str">
        <x:v>ae841468c3e8347d95f2</x:v>
      </x:c>
      <x:c r="C5371" s="2" t="str">
        <x:v>Đồng Nai</x:v>
      </x:c>
      <x:c r="D5371" s="2" t="str">
        <x:v>Thành phố Biên Hòa</x:v>
      </x:c>
      <x:c r="E5371" s="2" t="str">
        <x:v>other_unknown</x:v>
      </x:c>
      <x:c r="F5371" s="2" t="str">
        <x:v>sale</x:v>
      </x:c>
      <x:c r="G5371" s="11" t="n">
        <x:v>120</x:v>
      </x:c>
      <x:c r="H5371" s="12" t="n">
        <x:v>820000000</x:v>
      </x:c>
      <x:c r="I5371" s="12" t="n">
        <x:v>6833333.333333333</x:v>
      </x:c>
      <x:c r="J5371" s="2" t="str">
        <x:v>total</x:v>
      </x:c>
      <x:c r="K5371" s="2" t="str">
        <x:v>top_level_area</x:v>
      </x:c>
      <x:c r="L5371" s="2" t="str">
        <x:v>property_type_inferred_from_title;unknown_property_type</x:v>
      </x:c>
      <x:c r="M5371" s="10" t="n">
        <x:v>0</x:v>
      </x:c>
      <x:c r="N5371" s="10" t="n">
        <x:v>0</x:v>
      </x:c>
      <x:c r="O5371" s="2" t="str">
        <x:v>Đồng Nai|other_unknown</x:v>
      </x:c>
      <x:c r="P5371" s="10" t="n">
        <x:v>2</x:v>
      </x:c>
      <x:c r="Q5371" s="13" t="n">
        <x:f>IF(H5371="","",H5371/1000000000)</x:f>
        <x:v>0.82</x:v>
      </x:c>
      <x:c r="R5371" s="13" t="n">
        <x:f>IF(I5371="","",I5371/1000000)</x:f>
        <x:v>6.833333333333333</x:v>
      </x:c>
    </x:row>
    <x:row r="5372" ht="21" customHeight="1">
      <x:c r="A5372" s="10" t="n">
        <x:v>7029</x:v>
      </x:c>
      <x:c r="B5372" s="2" t="str">
        <x:v>b55564565a257d2df80d</x:v>
      </x:c>
      <x:c r="C5372" s="2" t="str">
        <x:v>Tp Hồ Chí Minh</x:v>
      </x:c>
      <x:c r="D5372" s="2" t="str">
        <x:v>Quận 9</x:v>
      </x:c>
      <x:c r="E5372" s="2" t="str">
        <x:v>other_unknown</x:v>
      </x:c>
      <x:c r="F5372" s="2" t="str">
        <x:v>sale</x:v>
      </x:c>
      <x:c r="G5372" s="11" t="n">
        <x:v>130</x:v>
      </x:c>
      <x:c r="H5372" s="12" t="n">
        <x:v>1720000000</x:v>
      </x:c>
      <x:c r="I5372" s="12" t="n">
        <x:v>13230769.23076923</x:v>
      </x:c>
      <x:c r="J5372" s="2" t="str">
        <x:v>total</x:v>
      </x:c>
      <x:c r="K5372" s="2" t="str">
        <x:v>top_level_price_embedded_area</x:v>
      </x:c>
      <x:c r="L5372" s="2" t="str">
        <x:v>area_recovered_from_price_text;property_type_inferred_from_title;unknown_property_type</x:v>
      </x:c>
      <x:c r="M5372" s="10" t="n">
        <x:v>0</x:v>
      </x:c>
      <x:c r="N5372" s="10" t="n">
        <x:v>0</x:v>
      </x:c>
      <x:c r="O5372" s="2" t="str">
        <x:v>Tp Hồ Chí Minh|other_unknown</x:v>
      </x:c>
      <x:c r="P5372" s="10" t="n">
        <x:v>2</x:v>
      </x:c>
      <x:c r="Q5372" s="13" t="n">
        <x:f>IF(H5372="","",H5372/1000000000)</x:f>
        <x:v>1.72</x:v>
      </x:c>
      <x:c r="R5372" s="13" t="n">
        <x:f>IF(I5372="","",I5372/1000000)</x:f>
        <x:v>13.23076923076923</x:v>
      </x:c>
    </x:row>
    <x:row r="5373" ht="21" customHeight="1">
      <x:c r="A5373" s="10" t="n">
        <x:v>7031</x:v>
      </x:c>
      <x:c r="B5373" s="2" t="str">
        <x:v>4143db02656adcc8d650</x:v>
      </x:c>
      <x:c r="C5373" s="2" t="str">
        <x:v>Lâm Đồng</x:v>
      </x:c>
      <x:c r="D5373" s="2" t="str">
        <x:v>Huyện Di Linh</x:v>
      </x:c>
      <x:c r="E5373" s="2" t="str">
        <x:v>land</x:v>
      </x:c>
      <x:c r="F5373" s="2" t="str">
        <x:v>sale_assumed</x:v>
      </x:c>
      <x:c r="G5373" s="11" t="n">
        <x:v>100</x:v>
      </x:c>
      <x:c r="H5373" s="12" t="n">
        <x:v>390000000</x:v>
      </x:c>
      <x:c r="I5373" s="12" t="n">
        <x:v>3900000</x:v>
      </x:c>
      <x:c r="J5373" s="2" t="str">
        <x:v>total</x:v>
      </x:c>
      <x:c r="K5373" s="2" t="str">
        <x:v>top_level_area</x:v>
      </x:c>
      <x:c r="L5373" s="2" t="str">
        <x:v>property_type_inferred_from_title;transaction_assumed_sale_from_dataset_context</x:v>
      </x:c>
      <x:c r="M5373" s="10" t="n">
        <x:v>0</x:v>
      </x:c>
      <x:c r="N5373" s="10" t="n">
        <x:v>0</x:v>
      </x:c>
      <x:c r="O5373" s="2" t="str">
        <x:v>Lâm Đồng|land</x:v>
      </x:c>
      <x:c r="P5373" s="10" t="n">
        <x:v>2</x:v>
      </x:c>
      <x:c r="Q5373" s="13" t="n">
        <x:f>IF(H5373="","",H5373/1000000000)</x:f>
        <x:v>0.39</x:v>
      </x:c>
      <x:c r="R5373" s="13" t="n">
        <x:f>IF(I5373="","",I5373/1000000)</x:f>
        <x:v>3.9</x:v>
      </x:c>
    </x:row>
    <x:row r="5374" ht="21" customHeight="1">
      <x:c r="A5374" s="10" t="n">
        <x:v>7032</x:v>
      </x:c>
      <x:c r="B5374" s="2" t="str">
        <x:v>006bcfac8db5839121bb</x:v>
      </x:c>
      <x:c r="C5374" s="2" t="str">
        <x:v>Tp Hồ Chí Minh</x:v>
      </x:c>
      <x:c r="D5374" s="2" t="str">
        <x:v>Quận Bình Thạnh</x:v>
      </x:c>
      <x:c r="E5374" s="2" t="str">
        <x:v>house</x:v>
      </x:c>
      <x:c r="F5374" s="2" t="str">
        <x:v>sale_assumed</x:v>
      </x:c>
      <x:c r="G5374" s="11" t="n">
        <x:v>32</x:v>
      </x:c>
      <x:c r="H5374" s="12" t="n">
        <x:v>3800000000</x:v>
      </x:c>
      <x:c r="I5374" s="12" t="n">
        <x:v>118750000</x:v>
      </x:c>
      <x:c r="J5374" s="2" t="str">
        <x:v>total</x:v>
      </x:c>
      <x:c r="K5374" s="2" t="str">
        <x:v>top_level_area</x:v>
      </x:c>
      <x:c r="L5374" s="2" t="str">
        <x:v>property_type_inferred_from_title;transaction_assumed_sale_from_dataset_context</x:v>
      </x:c>
      <x:c r="M5374" s="10" t="n">
        <x:v>0</x:v>
      </x:c>
      <x:c r="N5374" s="10" t="n">
        <x:v>0</x:v>
      </x:c>
      <x:c r="O5374" s="2" t="str">
        <x:v>Tp Hồ Chí Minh|house</x:v>
      </x:c>
      <x:c r="P5374" s="10" t="n">
        <x:v>2</x:v>
      </x:c>
      <x:c r="Q5374" s="13" t="n">
        <x:f>IF(H5374="","",H5374/1000000000)</x:f>
        <x:v>3.8</x:v>
      </x:c>
      <x:c r="R5374" s="13" t="n">
        <x:f>IF(I5374="","",I5374/1000000)</x:f>
        <x:v>118.75</x:v>
      </x:c>
    </x:row>
    <x:row r="5375" ht="21" customHeight="1">
      <x:c r="A5375" s="10" t="n">
        <x:v>7033</x:v>
      </x:c>
      <x:c r="B5375" s="2" t="str">
        <x:v>ded9e6c21322e3627b59</x:v>
      </x:c>
      <x:c r="C5375" s="2" t="str">
        <x:v>Lâm Đồng</x:v>
      </x:c>
      <x:c r="D5375" s="2" t="str">
        <x:v>Huyện Lâm Hà</x:v>
      </x:c>
      <x:c r="E5375" s="2" t="str">
        <x:v>land</x:v>
      </x:c>
      <x:c r="F5375" s="2" t="str">
        <x:v>sale_assumed</x:v>
      </x:c>
      <x:c r="G5375" s="11" t="n">
        <x:v>500</x:v>
      </x:c>
      <x:c r="H5375" s="12" t="n">
        <x:v>440000000</x:v>
      </x:c>
      <x:c r="I5375" s="12" t="n">
        <x:v>880000</x:v>
      </x:c>
      <x:c r="J5375" s="2" t="str">
        <x:v>total</x:v>
      </x:c>
      <x:c r="K5375" s="2" t="str">
        <x:v>top_level_area</x:v>
      </x:c>
      <x:c r="L5375" s="2" t="str">
        <x:v>property_type_inferred_from_title;transaction_assumed_sale_from_dataset_context</x:v>
      </x:c>
      <x:c r="M5375" s="10" t="n">
        <x:v>0</x:v>
      </x:c>
      <x:c r="N5375" s="10" t="n">
        <x:v>0</x:v>
      </x:c>
      <x:c r="O5375" s="2" t="str">
        <x:v>Lâm Đồng|land</x:v>
      </x:c>
      <x:c r="P5375" s="10" t="n">
        <x:v>1</x:v>
      </x:c>
      <x:c r="Q5375" s="13" t="n">
        <x:f>IF(H5375="","",H5375/1000000000)</x:f>
        <x:v>0.44</x:v>
      </x:c>
      <x:c r="R5375" s="13" t="n">
        <x:f>IF(I5375="","",I5375/1000000)</x:f>
        <x:v>0.88</x:v>
      </x:c>
    </x:row>
    <x:row r="5376" ht="21" customHeight="1">
      <x:c r="A5376" s="10" t="n">
        <x:v>7034</x:v>
      </x:c>
      <x:c r="B5376" s="2" t="str">
        <x:v>b2743ad7183169822701</x:v>
      </x:c>
      <x:c r="C5376" s="2" t="str">
        <x:v>Cà Mau</x:v>
      </x:c>
      <x:c r="D5376" s="2" t="str">
        <x:v>Thành phố Cà Mau</x:v>
      </x:c>
      <x:c r="E5376" s="2" t="str">
        <x:v>land</x:v>
      </x:c>
      <x:c r="F5376" s="2" t="str">
        <x:v>sale</x:v>
      </x:c>
      <x:c r="G5376" s="11" t="n">
        <x:v>1105</x:v>
      </x:c>
      <x:c r="H5376" s="12" t="n">
        <x:v>800000000</x:v>
      </x:c>
      <x:c r="I5376" s="12" t="n">
        <x:v>723981.9004524887</x:v>
      </x:c>
      <x:c r="J5376" s="2" t="str">
        <x:v>total</x:v>
      </x:c>
      <x:c r="K5376" s="2" t="str">
        <x:v>top_level_area</x:v>
      </x:c>
      <x:c r="L5376" s="2" t="str">
        <x:v>dot_thousands_convention;property_type_inferred_from_title</x:v>
      </x:c>
      <x:c r="M5376" s="10" t="n">
        <x:v>0</x:v>
      </x:c>
      <x:c r="N5376" s="10" t="n">
        <x:v>0</x:v>
      </x:c>
      <x:c r="O5376" s="2" t="str">
        <x:v>land</x:v>
      </x:c>
      <x:c r="P5376" s="10" t="n">
        <x:v>1</x:v>
      </x:c>
      <x:c r="Q5376" s="13" t="n">
        <x:f>IF(H5376="","",H5376/1000000000)</x:f>
        <x:v>0.8</x:v>
      </x:c>
      <x:c r="R5376" s="13" t="n">
        <x:f>IF(I5376="","",I5376/1000000)</x:f>
        <x:v>0.7239819004524887</x:v>
      </x:c>
    </x:row>
    <x:row r="5377" ht="21" customHeight="1">
      <x:c r="A5377" s="10" t="n">
        <x:v>7035</x:v>
      </x:c>
      <x:c r="B5377" s="2" t="str">
        <x:v>5d010e64e207f91711e6</x:v>
      </x:c>
      <x:c r="C5377" s="2" t="str">
        <x:v>Bình Dương</x:v>
      </x:c>
      <x:c r="D5377" s="2" t="str">
        <x:v>Thị xã Bến Cát</x:v>
      </x:c>
      <x:c r="E5377" s="2" t="str">
        <x:v>land</x:v>
      </x:c>
      <x:c r="F5377" s="2" t="str">
        <x:v>sale_assumed</x:v>
      </x:c>
      <x:c r="G5377" s="11" t="n">
        <x:v>150</x:v>
      </x:c>
      <x:c r="H5377" s="12" t="n">
        <x:v>800000000</x:v>
      </x:c>
      <x:c r="I5377" s="12" t="n">
        <x:v>5333333.333333333</x:v>
      </x:c>
      <x:c r="J5377" s="2" t="str">
        <x:v>total</x:v>
      </x:c>
      <x:c r="K5377" s="2" t="str">
        <x:v>top_level_area</x:v>
      </x:c>
      <x:c r="L5377" s="2" t="str">
        <x:v>property_type_inferred_from_title;transaction_assumed_sale_from_dataset_context</x:v>
      </x:c>
      <x:c r="M5377" s="10" t="n">
        <x:v>0</x:v>
      </x:c>
      <x:c r="N5377" s="10" t="n">
        <x:v>0</x:v>
      </x:c>
      <x:c r="O5377" s="2" t="str">
        <x:v>Bình Dương|land</x:v>
      </x:c>
      <x:c r="P5377" s="10" t="n">
        <x:v>2</x:v>
      </x:c>
      <x:c r="Q5377" s="13" t="n">
        <x:f>IF(H5377="","",H5377/1000000000)</x:f>
        <x:v>0.8</x:v>
      </x:c>
      <x:c r="R5377" s="13" t="n">
        <x:f>IF(I5377="","",I5377/1000000)</x:f>
        <x:v>5.333333333333333</x:v>
      </x:c>
    </x:row>
    <x:row r="5378" ht="21" customHeight="1">
      <x:c r="A5378" s="10" t="n">
        <x:v>7036</x:v>
      </x:c>
      <x:c r="B5378" s="2" t="str">
        <x:v>5cc3e8a6433dc44be364</x:v>
      </x:c>
      <x:c r="C5378" s="2" t="str">
        <x:v>Long An</x:v>
      </x:c>
      <x:c r="D5378" s="2" t="str">
        <x:v>Huyện Đức Hòa</x:v>
      </x:c>
      <x:c r="E5378" s="2" t="str">
        <x:v>land</x:v>
      </x:c>
      <x:c r="F5378" s="2" t="str">
        <x:v>sale_assumed</x:v>
      </x:c>
      <x:c r="G5378" s="11" t="n">
        <x:v>1408</x:v>
      </x:c>
      <x:c r="H5378" s="12" t="n">
        <x:v>14000000000</x:v>
      </x:c>
      <x:c r="I5378" s="12" t="n">
        <x:v>9943181.818181818</x:v>
      </x:c>
      <x:c r="J5378" s="2" t="str">
        <x:v>total</x:v>
      </x:c>
      <x:c r="K5378" s="2" t="str">
        <x:v>top_level_area</x:v>
      </x:c>
      <x:c r="L5378" s="2" t="str">
        <x:v>dot_thousands_convention;property_type_inferred_from_title;transaction_assumed_sale_from_dataset_context</x:v>
      </x:c>
      <x:c r="M5378" s="10" t="n">
        <x:v>0</x:v>
      </x:c>
      <x:c r="N5378" s="10" t="n">
        <x:v>0</x:v>
      </x:c>
      <x:c r="O5378" s="2" t="str">
        <x:v>Long An|land</x:v>
      </x:c>
      <x:c r="P5378" s="10" t="n">
        <x:v>1</x:v>
      </x:c>
      <x:c r="Q5378" s="13" t="n">
        <x:f>IF(H5378="","",H5378/1000000000)</x:f>
        <x:v>14</x:v>
      </x:c>
      <x:c r="R5378" s="13" t="n">
        <x:f>IF(I5378="","",I5378/1000000)</x:f>
        <x:v>9.943181818181818</x:v>
      </x:c>
    </x:row>
    <x:row r="5379" ht="21" customHeight="1">
      <x:c r="A5379" s="10" t="n">
        <x:v>7037</x:v>
      </x:c>
      <x:c r="B5379" s="2" t="str">
        <x:v>f780ed5bacb6b432e3d0</x:v>
      </x:c>
      <x:c r="C5379" s="2" t="str">
        <x:v>Đà Nẵng</x:v>
      </x:c>
      <x:c r="D5379" s="2" t="str">
        <x:v>Quận Ngũ Hành Sơn</x:v>
      </x:c>
      <x:c r="E5379" s="2" t="str">
        <x:v>land</x:v>
      </x:c>
      <x:c r="F5379" s="2" t="str">
        <x:v>sale</x:v>
      </x:c>
      <x:c r="G5379" s="11" t="n">
        <x:v>100</x:v>
      </x:c>
      <x:c r="H5379" s="12" t="n">
        <x:v>950100000</x:v>
      </x:c>
      <x:c r="I5379" s="12" t="n">
        <x:v>9501000</x:v>
      </x:c>
      <x:c r="J5379" s="2" t="str">
        <x:v>total</x:v>
      </x:c>
      <x:c r="K5379" s="2" t="str">
        <x:v>top_level_area</x:v>
      </x:c>
      <x:c r="L5379" s="2" t="str">
        <x:v>property_type_inferred_from_title</x:v>
      </x:c>
      <x:c r="M5379" s="10" t="n">
        <x:v>0</x:v>
      </x:c>
      <x:c r="N5379" s="10" t="n">
        <x:v>0</x:v>
      </x:c>
      <x:c r="O5379" s="2" t="str">
        <x:v>Đà Nẵng|land</x:v>
      </x:c>
      <x:c r="P5379" s="10" t="n">
        <x:v>2</x:v>
      </x:c>
      <x:c r="Q5379" s="13" t="n">
        <x:f>IF(H5379="","",H5379/1000000000)</x:f>
        <x:v>0.9501</x:v>
      </x:c>
      <x:c r="R5379" s="13" t="n">
        <x:f>IF(I5379="","",I5379/1000000)</x:f>
        <x:v>9.501</x:v>
      </x:c>
    </x:row>
    <x:row r="5380" ht="21" customHeight="1">
      <x:c r="A5380" s="10" t="n">
        <x:v>7038</x:v>
      </x:c>
      <x:c r="B5380" s="2" t="str">
        <x:v>5865c5d07521a5b8d913</x:v>
      </x:c>
      <x:c r="C5380" s="2" t="str">
        <x:v>Hà Nội</x:v>
      </x:c>
      <x:c r="D5380" s="2" t="str">
        <x:v>Quận Thanh Xuân</x:v>
      </x:c>
      <x:c r="E5380" s="2" t="str">
        <x:v>house</x:v>
      </x:c>
      <x:c r="F5380" s="2" t="str">
        <x:v>sale_assumed</x:v>
      </x:c>
      <x:c r="G5380" s="11" t="n">
        <x:v>31</x:v>
      </x:c>
      <x:c r="H5380" s="12" t="n">
        <x:v>4500000000</x:v>
      </x:c>
      <x:c r="I5380" s="12" t="n">
        <x:v>145161290.32258064</x:v>
      </x:c>
      <x:c r="J5380" s="2" t="str">
        <x:v>total</x:v>
      </x:c>
      <x:c r="K5380" s="2" t="str">
        <x:v>top_level_area</x:v>
      </x:c>
      <x:c r="L5380" s="2" t="str">
        <x:v>property_type_inferred_from_title;transaction_assumed_sale_from_dataset_context</x:v>
      </x:c>
      <x:c r="M5380" s="10" t="n">
        <x:v>0</x:v>
      </x:c>
      <x:c r="N5380" s="10" t="n">
        <x:v>0</x:v>
      </x:c>
      <x:c r="O5380" s="2" t="str">
        <x:v>Hà Nội|house</x:v>
      </x:c>
      <x:c r="P5380" s="10" t="n">
        <x:v>2</x:v>
      </x:c>
      <x:c r="Q5380" s="13" t="n">
        <x:f>IF(H5380="","",H5380/1000000000)</x:f>
        <x:v>4.5</x:v>
      </x:c>
      <x:c r="R5380" s="13" t="n">
        <x:f>IF(I5380="","",I5380/1000000)</x:f>
        <x:v>145.16129032258064</x:v>
      </x:c>
    </x:row>
    <x:row r="5381" ht="21" customHeight="1">
      <x:c r="A5381" s="10" t="n">
        <x:v>7039</x:v>
      </x:c>
      <x:c r="B5381" s="2" t="str">
        <x:v>0eb9cf27fae3c3efc8e3</x:v>
      </x:c>
      <x:c r="C5381" s="2" t="str">
        <x:v>Tp Hồ Chí Minh</x:v>
      </x:c>
      <x:c r="D5381" s="2" t="str">
        <x:v>Huyện Hóc Môn</x:v>
      </x:c>
      <x:c r="E5381" s="2" t="str">
        <x:v>house</x:v>
      </x:c>
      <x:c r="F5381" s="2" t="str">
        <x:v>sale</x:v>
      </x:c>
      <x:c r="G5381" s="11" t="n">
        <x:v>60</x:v>
      </x:c>
      <x:c r="H5381" s="12" t="n">
        <x:v>820000000</x:v>
      </x:c>
      <x:c r="I5381" s="12" t="n">
        <x:v>13666666.666666666</x:v>
      </x:c>
      <x:c r="J5381" s="2" t="str">
        <x:v>total</x:v>
      </x:c>
      <x:c r="K5381" s="2" t="str">
        <x:v>top_level_area</x:v>
      </x:c>
      <x:c r="L5381" s="2" t="str">
        <x:v>property_type_inferred_from_title</x:v>
      </x:c>
      <x:c r="M5381" s="10" t="n">
        <x:v>0</x:v>
      </x:c>
      <x:c r="N5381" s="10" t="n">
        <x:v>0</x:v>
      </x:c>
      <x:c r="O5381" s="2" t="str">
        <x:v>Tp Hồ Chí Minh|house</x:v>
      </x:c>
      <x:c r="P5381" s="10" t="n">
        <x:v>2</x:v>
      </x:c>
      <x:c r="Q5381" s="13" t="n">
        <x:f>IF(H5381="","",H5381/1000000000)</x:f>
        <x:v>0.82</x:v>
      </x:c>
      <x:c r="R5381" s="13" t="n">
        <x:f>IF(I5381="","",I5381/1000000)</x:f>
        <x:v>13.666666666666666</x:v>
      </x:c>
    </x:row>
    <x:row r="5382" ht="21" customHeight="1">
      <x:c r="A5382" s="10" t="n">
        <x:v>7040</x:v>
      </x:c>
      <x:c r="B5382" s="2" t="str">
        <x:v>56b76333f37916b287f7</x:v>
      </x:c>
      <x:c r="C5382" s="2" t="str">
        <x:v>Cần Thơ</x:v>
      </x:c>
      <x:c r="D5382" s="2" t="str">
        <x:v>Quận Cái Răng</x:v>
      </x:c>
      <x:c r="E5382" s="2" t="str">
        <x:v>land</x:v>
      </x:c>
      <x:c r="F5382" s="2" t="str">
        <x:v>sale</x:v>
      </x:c>
      <x:c r="G5382" s="11" t="n">
        <x:v>151</x:v>
      </x:c>
      <x:c r="H5382" s="12" t="n">
        <x:v>650000000</x:v>
      </x:c>
      <x:c r="I5382" s="12" t="n">
        <x:v>4304635.761589404</x:v>
      </x:c>
      <x:c r="J5382" s="2" t="str">
        <x:v>total</x:v>
      </x:c>
      <x:c r="K5382" s="2" t="str">
        <x:v>top_level_area</x:v>
      </x:c>
      <x:c r="L5382" s="2" t="str">
        <x:v>property_type_inferred_from_title</x:v>
      </x:c>
      <x:c r="M5382" s="10" t="n">
        <x:v>0</x:v>
      </x:c>
      <x:c r="N5382" s="10" t="n">
        <x:v>0</x:v>
      </x:c>
      <x:c r="O5382" s="2" t="str">
        <x:v>Cần Thơ|land</x:v>
      </x:c>
      <x:c r="P5382" s="10" t="n">
        <x:v>1</x:v>
      </x:c>
      <x:c r="Q5382" s="13" t="n">
        <x:f>IF(H5382="","",H5382/1000000000)</x:f>
        <x:v>0.65</x:v>
      </x:c>
      <x:c r="R5382" s="13" t="n">
        <x:f>IF(I5382="","",I5382/1000000)</x:f>
        <x:v>4.304635761589404</x:v>
      </x:c>
    </x:row>
    <x:row r="5383" ht="21" customHeight="1">
      <x:c r="A5383" s="10" t="n">
        <x:v>7041</x:v>
      </x:c>
      <x:c r="B5383" s="2" t="str">
        <x:v>893a7caa2a9888d05c68</x:v>
      </x:c>
      <x:c r="C5383" s="2" t="str">
        <x:v>Tp Hồ Chí Minh</x:v>
      </x:c>
      <x:c r="D5383" s="2" t="str">
        <x:v>Quận 12</x:v>
      </x:c>
      <x:c r="E5383" s="2" t="str">
        <x:v>house</x:v>
      </x:c>
      <x:c r="F5383" s="2" t="str">
        <x:v>sale_assumed</x:v>
      </x:c>
      <x:c r="G5383" s="11" t="n">
        <x:v>57</x:v>
      </x:c>
      <x:c r="H5383" s="12" t="n">
        <x:v>2850000000</x:v>
      </x:c>
      <x:c r="I5383" s="12" t="n">
        <x:v>50000000</x:v>
      </x:c>
      <x:c r="J5383" s="2" t="str">
        <x:v>total</x:v>
      </x:c>
      <x:c r="K5383" s="2" t="str">
        <x:v>top_level_area</x:v>
      </x:c>
      <x:c r="L5383" s="2" t="str">
        <x:v>property_type_inferred_from_title;transaction_assumed_sale_from_dataset_context</x:v>
      </x:c>
      <x:c r="M5383" s="10" t="n">
        <x:v>0</x:v>
      </x:c>
      <x:c r="N5383" s="10" t="n">
        <x:v>0</x:v>
      </x:c>
      <x:c r="O5383" s="2" t="str">
        <x:v>Tp Hồ Chí Minh|house</x:v>
      </x:c>
      <x:c r="P5383" s="10" t="n">
        <x:v>2</x:v>
      </x:c>
      <x:c r="Q5383" s="13" t="n">
        <x:f>IF(H5383="","",H5383/1000000000)</x:f>
        <x:v>2.85</x:v>
      </x:c>
      <x:c r="R5383" s="13" t="n">
        <x:f>IF(I5383="","",I5383/1000000)</x:f>
        <x:v>50</x:v>
      </x:c>
    </x:row>
    <x:row r="5384" ht="21" customHeight="1">
      <x:c r="A5384" s="10" t="n">
        <x:v>7042</x:v>
      </x:c>
      <x:c r="B5384" s="2" t="str">
        <x:v>3546d0b53d37ad0cf6c2</x:v>
      </x:c>
      <x:c r="C5384" s="2" t="str">
        <x:v>Tp Hồ Chí Minh</x:v>
      </x:c>
      <x:c r="D5384" s="2" t="str">
        <x:v>Quận Thủ Đức</x:v>
      </x:c>
      <x:c r="E5384" s="2" t="str">
        <x:v>house</x:v>
      </x:c>
      <x:c r="F5384" s="2" t="str">
        <x:v>sale_assumed</x:v>
      </x:c>
      <x:c r="G5384" s="11" t="n">
        <x:v>17</x:v>
      </x:c>
      <x:c r="H5384" s="12" t="n">
        <x:v>850000000</x:v>
      </x:c>
      <x:c r="I5384" s="12" t="n">
        <x:v>50000000</x:v>
      </x:c>
      <x:c r="J5384" s="2" t="str">
        <x:v>total</x:v>
      </x:c>
      <x:c r="K5384" s="2" t="str">
        <x:v>top_level_area</x:v>
      </x:c>
      <x:c r="L5384" s="2" t="str">
        <x:v>property_type_inferred_from_title;transaction_assumed_sale_from_dataset_context</x:v>
      </x:c>
      <x:c r="M5384" s="10" t="n">
        <x:v>0</x:v>
      </x:c>
      <x:c r="N5384" s="10" t="n">
        <x:v>0</x:v>
      </x:c>
      <x:c r="O5384" s="2" t="str">
        <x:v>Tp Hồ Chí Minh|house</x:v>
      </x:c>
      <x:c r="P5384" s="10" t="n">
        <x:v>2</x:v>
      </x:c>
      <x:c r="Q5384" s="13" t="n">
        <x:f>IF(H5384="","",H5384/1000000000)</x:f>
        <x:v>0.85</x:v>
      </x:c>
      <x:c r="R5384" s="13" t="n">
        <x:f>IF(I5384="","",I5384/1000000)</x:f>
        <x:v>50</x:v>
      </x:c>
    </x:row>
    <x:row r="5385" ht="21" customHeight="1">
      <x:c r="A5385" s="10" t="n">
        <x:v>7043</x:v>
      </x:c>
      <x:c r="B5385" s="2" t="str">
        <x:v>055ed11938775dce14cf</x:v>
      </x:c>
      <x:c r="C5385" s="2" t="str">
        <x:v>Tp Hồ Chí Minh</x:v>
      </x:c>
      <x:c r="D5385" s="2" t="str">
        <x:v>Quận Tân Bình</x:v>
      </x:c>
      <x:c r="E5385" s="2" t="str">
        <x:v>other_unknown</x:v>
      </x:c>
      <x:c r="F5385" s="2" t="str">
        <x:v>sale_assumed</x:v>
      </x:c>
      <x:c r="G5385" s="11" t="n">
        <x:v>39</x:v>
      </x:c>
      <x:c r="H5385" s="12" t="n">
        <x:v>1860000000</x:v>
      </x:c>
      <x:c r="I5385" s="12" t="n">
        <x:v>47692307.692307696</x:v>
      </x:c>
      <x:c r="J5385" s="2" t="str">
        <x:v>total</x:v>
      </x:c>
      <x:c r="K5385" s="2" t="str">
        <x:v>top_level_area</x:v>
      </x:c>
      <x:c r="L5385" s="2" t="str">
        <x:v>property_type_inferred_from_title;transaction_assumed_sale_from_dataset_context;unknown_property_type</x:v>
      </x:c>
      <x:c r="M5385" s="10" t="n">
        <x:v>0</x:v>
      </x:c>
      <x:c r="N5385" s="10" t="n">
        <x:v>0</x:v>
      </x:c>
      <x:c r="O5385" s="2" t="str">
        <x:v>Tp Hồ Chí Minh|other_unknown</x:v>
      </x:c>
      <x:c r="P5385" s="10" t="n">
        <x:v>2</x:v>
      </x:c>
      <x:c r="Q5385" s="13" t="n">
        <x:f>IF(H5385="","",H5385/1000000000)</x:f>
        <x:v>1.86</x:v>
      </x:c>
      <x:c r="R5385" s="13" t="n">
        <x:f>IF(I5385="","",I5385/1000000)</x:f>
        <x:v>47.69230769230769</x:v>
      </x:c>
    </x:row>
    <x:row r="5386" ht="21" customHeight="1">
      <x:c r="A5386" s="10" t="n">
        <x:v>7044</x:v>
      </x:c>
      <x:c r="B5386" s="2" t="str">
        <x:v>a8f1b0b78cedcf419465</x:v>
      </x:c>
      <x:c r="C5386" s="2" t="str">
        <x:v>Tp Hồ Chí Minh</x:v>
      </x:c>
      <x:c r="D5386" s="2" t="str">
        <x:v>Quận Bình Tân</x:v>
      </x:c>
      <x:c r="E5386" s="2" t="str">
        <x:v>house</x:v>
      </x:c>
      <x:c r="F5386" s="2" t="str">
        <x:v>sale_assumed</x:v>
      </x:c>
      <x:c r="G5386" s="11" t="n">
        <x:v>24</x:v>
      </x:c>
      <x:c r="H5386" s="12" t="n">
        <x:v>1490000000</x:v>
      </x:c>
      <x:c r="I5386" s="12" t="n">
        <x:v>62083333.333333336</x:v>
      </x:c>
      <x:c r="J5386" s="2" t="str">
        <x:v>total</x:v>
      </x:c>
      <x:c r="K5386" s="2" t="str">
        <x:v>top_level_area</x:v>
      </x:c>
      <x:c r="L5386" s="2" t="str">
        <x:v>property_type_inferred_from_title;transaction_assumed_sale_from_dataset_context</x:v>
      </x:c>
      <x:c r="M5386" s="10" t="n">
        <x:v>0</x:v>
      </x:c>
      <x:c r="N5386" s="10" t="n">
        <x:v>0</x:v>
      </x:c>
      <x:c r="O5386" s="2" t="str">
        <x:v>Tp Hồ Chí Minh|house</x:v>
      </x:c>
      <x:c r="P5386" s="10" t="n">
        <x:v>2</x:v>
      </x:c>
      <x:c r="Q5386" s="13" t="n">
        <x:f>IF(H5386="","",H5386/1000000000)</x:f>
        <x:v>1.49</x:v>
      </x:c>
      <x:c r="R5386" s="13" t="n">
        <x:f>IF(I5386="","",I5386/1000000)</x:f>
        <x:v>62.083333333333336</x:v>
      </x:c>
    </x:row>
    <x:row r="5387" ht="21" customHeight="1">
      <x:c r="A5387" s="10" t="n">
        <x:v>7047</x:v>
      </x:c>
      <x:c r="B5387" s="2" t="str">
        <x:v>4fcec3efec35eec94190</x:v>
      </x:c>
      <x:c r="C5387" s="2" t="str">
        <x:v>Đồng Nai</x:v>
      </x:c>
      <x:c r="D5387" s="2" t="str">
        <x:v>Huyện Long Thành</x:v>
      </x:c>
      <x:c r="E5387" s="2" t="str">
        <x:v>other_unknown</x:v>
      </x:c>
      <x:c r="F5387" s="2" t="str">
        <x:v>sale_assumed</x:v>
      </x:c>
      <x:c r="G5387" s="11" t="n">
        <x:v>21399</x:v>
      </x:c>
      <x:c r="H5387" s="12" t="n">
        <x:v>19500000000</x:v>
      </x:c>
      <x:c r="I5387" s="12" t="n">
        <x:v>911257.5353988505</x:v>
      </x:c>
      <x:c r="J5387" s="2" t="str">
        <x:v>total</x:v>
      </x:c>
      <x:c r="K5387" s="2" t="str">
        <x:v>top_level_price_embedded_area</x:v>
      </x:c>
      <x:c r="L5387" s="2" t="str">
        <x:v>area_recovered_from_price_text;dot_thousands_convention;property_type_inferred_from_title;transaction_assumed_sale_from_dataset_context;unknown_property_type</x:v>
      </x:c>
      <x:c r="M5387" s="10" t="n">
        <x:v>0</x:v>
      </x:c>
      <x:c r="N5387" s="10" t="n">
        <x:v>0</x:v>
      </x:c>
      <x:c r="O5387" s="2" t="str">
        <x:v>Đồng Nai|other_unknown</x:v>
      </x:c>
      <x:c r="P5387" s="10" t="n">
        <x:v>1</x:v>
      </x:c>
      <x:c r="Q5387" s="13" t="n">
        <x:f>IF(H5387="","",H5387/1000000000)</x:f>
        <x:v>19.5</x:v>
      </x:c>
      <x:c r="R5387" s="13" t="n">
        <x:f>IF(I5387="","",I5387/1000000)</x:f>
        <x:v>0.9112575353988505</x:v>
      </x:c>
    </x:row>
    <x:row r="5388" ht="21" customHeight="1">
      <x:c r="A5388" s="10" t="n">
        <x:v>7048</x:v>
      </x:c>
      <x:c r="B5388" s="2" t="str">
        <x:v>d4656f152cfc64e5a86c</x:v>
      </x:c>
      <x:c r="C5388" s="2" t="str">
        <x:v>Đắk Lắk</x:v>
      </x:c>
      <x:c r="D5388" s="2" t="str">
        <x:v>Thành phố Buôn Ma Thuột</x:v>
      </x:c>
      <x:c r="E5388" s="2" t="str">
        <x:v>house</x:v>
      </x:c>
      <x:c r="F5388" s="2" t="str">
        <x:v>sale</x:v>
      </x:c>
      <x:c r="G5388" s="11" t="n">
        <x:v>135</x:v>
      </x:c>
      <x:c r="H5388" s="12" t="n">
        <x:v>5500000000</x:v>
      </x:c>
      <x:c r="I5388" s="12" t="n">
        <x:v>40740740.74074074</x:v>
      </x:c>
      <x:c r="J5388" s="2" t="str">
        <x:v>total</x:v>
      </x:c>
      <x:c r="K5388" s="2" t="str">
        <x:v>top_level_area</x:v>
      </x:c>
      <x:c r="L5388" s="2" t="str">
        <x:v>property_type_inferred_from_title</x:v>
      </x:c>
      <x:c r="M5388" s="10" t="n">
        <x:v>0</x:v>
      </x:c>
      <x:c r="N5388" s="10" t="n">
        <x:v>1</x:v>
      </x:c>
      <x:c r="O5388" s="2" t="str">
        <x:v>Đắk Lắk|house</x:v>
      </x:c>
      <x:c r="P5388" s="10" t="n">
        <x:v>-1</x:v>
      </x:c>
      <x:c r="Q5388" s="13" t="n">
        <x:f>IF(H5388="","",H5388/1000000000)</x:f>
        <x:v>5.5</x:v>
      </x:c>
      <x:c r="R5388" s="13" t="n">
        <x:f>IF(I5388="","",I5388/1000000)</x:f>
        <x:v>40.74074074074074</x:v>
      </x:c>
    </x:row>
    <x:row r="5389" ht="21" customHeight="1">
      <x:c r="A5389" s="10" t="n">
        <x:v>7049</x:v>
      </x:c>
      <x:c r="B5389" s="2" t="str">
        <x:v>a1e38b3822bc9ed99b11</x:v>
      </x:c>
      <x:c r="C5389" s="2" t="str">
        <x:v>Tp Hồ Chí Minh</x:v>
      </x:c>
      <x:c r="D5389" s="2" t="str">
        <x:v>Huyện Nhà Bè</x:v>
      </x:c>
      <x:c r="E5389" s="2" t="str">
        <x:v>house</x:v>
      </x:c>
      <x:c r="F5389" s="2" t="str">
        <x:v>sale_assumed</x:v>
      </x:c>
      <x:c r="G5389" s="11" t="n">
        <x:v>36</x:v>
      </x:c>
      <x:c r="H5389" s="12" t="n">
        <x:v>2200000000</x:v>
      </x:c>
      <x:c r="I5389" s="12" t="n">
        <x:v>61111111.11111111</x:v>
      </x:c>
      <x:c r="J5389" s="2" t="str">
        <x:v>total</x:v>
      </x:c>
      <x:c r="K5389" s="2" t="str">
        <x:v>top_level_area</x:v>
      </x:c>
      <x:c r="L5389" s="2" t="str">
        <x:v>property_type_inferred_from_title;transaction_assumed_sale_from_dataset_context</x:v>
      </x:c>
      <x:c r="M5389" s="10" t="n">
        <x:v>0</x:v>
      </x:c>
      <x:c r="N5389" s="10" t="n">
        <x:v>0</x:v>
      </x:c>
      <x:c r="O5389" s="2" t="str">
        <x:v>Tp Hồ Chí Minh|house</x:v>
      </x:c>
      <x:c r="P5389" s="10" t="n">
        <x:v>2</x:v>
      </x:c>
      <x:c r="Q5389" s="13" t="n">
        <x:f>IF(H5389="","",H5389/1000000000)</x:f>
        <x:v>2.2</x:v>
      </x:c>
      <x:c r="R5389" s="13" t="n">
        <x:f>IF(I5389="","",I5389/1000000)</x:f>
        <x:v>61.111111111111114</x:v>
      </x:c>
    </x:row>
    <x:row r="5390" ht="21" customHeight="1">
      <x:c r="A5390" s="10" t="n">
        <x:v>7050</x:v>
      </x:c>
      <x:c r="B5390" s="2" t="str">
        <x:v>9182953e28e6b87eaf90</x:v>
      </x:c>
      <x:c r="C5390" s="2" t="str">
        <x:v>Bình Dương</x:v>
      </x:c>
      <x:c r="D5390" s="2" t="str">
        <x:v>Huyện Phú Giáo</x:v>
      </x:c>
      <x:c r="E5390" s="2" t="str">
        <x:v>land</x:v>
      </x:c>
      <x:c r="F5390" s="2" t="str">
        <x:v>sale</x:v>
      </x:c>
      <x:c r="G5390" s="11" t="n">
        <x:v>1000</x:v>
      </x:c>
      <x:c r="H5390" s="12" t="n">
        <x:v>190000000</x:v>
      </x:c>
      <x:c r="I5390" s="12" t="n">
        <x:v>190000</x:v>
      </x:c>
      <x:c r="J5390" s="2" t="str">
        <x:v>total</x:v>
      </x:c>
      <x:c r="K5390" s="2" t="str">
        <x:v>top_level_area</x:v>
      </x:c>
      <x:c r="L5390" s="2" t="str">
        <x:v>dot_thousands_convention;property_type_inferred_from_title</x:v>
      </x:c>
      <x:c r="M5390" s="10" t="n">
        <x:v>0</x:v>
      </x:c>
      <x:c r="N5390" s="10" t="n">
        <x:v>0</x:v>
      </x:c>
      <x:c r="O5390" s="2" t="str">
        <x:v>Bình Dương|land</x:v>
      </x:c>
      <x:c r="P5390" s="10" t="n">
        <x:v>1</x:v>
      </x:c>
      <x:c r="Q5390" s="13" t="n">
        <x:f>IF(H5390="","",H5390/1000000000)</x:f>
        <x:v>0.19</x:v>
      </x:c>
      <x:c r="R5390" s="13" t="n">
        <x:f>IF(I5390="","",I5390/1000000)</x:f>
        <x:v>0.19</x:v>
      </x:c>
    </x:row>
    <x:row r="5391" ht="21" customHeight="1">
      <x:c r="A5391" s="10" t="n">
        <x:v>7051</x:v>
      </x:c>
      <x:c r="B5391" s="2" t="str">
        <x:v>8faea52a0fd11e6bfed7</x:v>
      </x:c>
      <x:c r="C5391" s="2" t="str">
        <x:v>Bình Dương</x:v>
      </x:c>
      <x:c r="D5391" s="2" t="str">
        <x:v>Huyện Bàu Bàng</x:v>
      </x:c>
      <x:c r="E5391" s="2" t="str">
        <x:v>land</x:v>
      </x:c>
      <x:c r="F5391" s="2" t="str">
        <x:v>sale</x:v>
      </x:c>
      <x:c r="G5391" s="11" t="n">
        <x:v>129</x:v>
      </x:c>
      <x:c r="H5391" s="12" t="n">
        <x:v>330000000</x:v>
      </x:c>
      <x:c r="I5391" s="12" t="n">
        <x:v>2558139.534883721</x:v>
      </x:c>
      <x:c r="J5391" s="2" t="str">
        <x:v>total</x:v>
      </x:c>
      <x:c r="K5391" s="2" t="str">
        <x:v>top_level_area</x:v>
      </x:c>
      <x:c r="L5391" s="2" t="str">
        <x:v>property_type_inferred_from_title</x:v>
      </x:c>
      <x:c r="M5391" s="10" t="n">
        <x:v>0</x:v>
      </x:c>
      <x:c r="N5391" s="10" t="n">
        <x:v>0</x:v>
      </x:c>
      <x:c r="O5391" s="2" t="str">
        <x:v>Bình Dương|land</x:v>
      </x:c>
      <x:c r="P5391" s="10" t="n">
        <x:v>1</x:v>
      </x:c>
      <x:c r="Q5391" s="13" t="n">
        <x:f>IF(H5391="","",H5391/1000000000)</x:f>
        <x:v>0.33</x:v>
      </x:c>
      <x:c r="R5391" s="13" t="n">
        <x:f>IF(I5391="","",I5391/1000000)</x:f>
        <x:v>2.5581395348837206</x:v>
      </x:c>
    </x:row>
    <x:row r="5392" ht="21" customHeight="1">
      <x:c r="A5392" s="10" t="n">
        <x:v>7052</x:v>
      </x:c>
      <x:c r="B5392" s="2" t="str">
        <x:v>6e1561f4f1b8c76e5ecd</x:v>
      </x:c>
      <x:c r="C5392" s="2" t="str">
        <x:v>Tp Hồ Chí Minh</x:v>
      </x:c>
      <x:c r="D5392" s="2" t="str">
        <x:v>Quận 12</x:v>
      </x:c>
      <x:c r="E5392" s="2" t="str">
        <x:v>house</x:v>
      </x:c>
      <x:c r="F5392" s="2" t="str">
        <x:v>sale</x:v>
      </x:c>
      <x:c r="G5392" s="11" t="n">
        <x:v>85</x:v>
      </x:c>
      <x:c r="H5392" s="12" t="n">
        <x:v>5550000000</x:v>
      </x:c>
      <x:c r="I5392" s="12" t="n">
        <x:v>65294117.64705882</x:v>
      </x:c>
      <x:c r="J5392" s="2" t="str">
        <x:v>total</x:v>
      </x:c>
      <x:c r="K5392" s="2" t="str">
        <x:v>top_level_area</x:v>
      </x:c>
      <x:c r="L5392" s="2" t="str">
        <x:v>property_type_inferred_from_title</x:v>
      </x:c>
      <x:c r="M5392" s="10" t="n">
        <x:v>0</x:v>
      </x:c>
      <x:c r="N5392" s="10" t="n">
        <x:v>0</x:v>
      </x:c>
      <x:c r="O5392" s="2" t="str">
        <x:v>Tp Hồ Chí Minh|house</x:v>
      </x:c>
      <x:c r="P5392" s="10" t="n">
        <x:v>2</x:v>
      </x:c>
      <x:c r="Q5392" s="13" t="n">
        <x:f>IF(H5392="","",H5392/1000000000)</x:f>
        <x:v>5.55</x:v>
      </x:c>
      <x:c r="R5392" s="13" t="n">
        <x:f>IF(I5392="","",I5392/1000000)</x:f>
        <x:v>65.29411764705883</x:v>
      </x:c>
    </x:row>
    <x:row r="5393" ht="21" customHeight="1">
      <x:c r="A5393" s="10" t="n">
        <x:v>7053</x:v>
      </x:c>
      <x:c r="B5393" s="2" t="str">
        <x:v>c42fd2e7e4519343a4c2</x:v>
      </x:c>
      <x:c r="C5393" s="2" t="str">
        <x:v>Hà Nội</x:v>
      </x:c>
      <x:c r="D5393" s="2" t="str">
        <x:v>Quận Bắc Từ Liêm</x:v>
      </x:c>
      <x:c r="E5393" s="2" t="str">
        <x:v>house</x:v>
      </x:c>
      <x:c r="F5393" s="2" t="str">
        <x:v>sale_assumed</x:v>
      </x:c>
      <x:c r="G5393" s="11" t="n">
        <x:v>30</x:v>
      </x:c>
      <x:c r="H5393" s="12" t="n">
        <x:v>3800000000</x:v>
      </x:c>
      <x:c r="I5393" s="12" t="n">
        <x:v>126666666.66666667</x:v>
      </x:c>
      <x:c r="J5393" s="2" t="str">
        <x:v>total</x:v>
      </x:c>
      <x:c r="K5393" s="2" t="str">
        <x:v>top_level_area</x:v>
      </x:c>
      <x:c r="L5393" s="2" t="str">
        <x:v>property_type_inferred_from_title;transaction_assumed_sale_from_dataset_context</x:v>
      </x:c>
      <x:c r="M5393" s="10" t="n">
        <x:v>0</x:v>
      </x:c>
      <x:c r="N5393" s="10" t="n">
        <x:v>0</x:v>
      </x:c>
      <x:c r="O5393" s="2" t="str">
        <x:v>Hà Nội|house</x:v>
      </x:c>
      <x:c r="P5393" s="10" t="n">
        <x:v>2</x:v>
      </x:c>
      <x:c r="Q5393" s="13" t="n">
        <x:f>IF(H5393="","",H5393/1000000000)</x:f>
        <x:v>3.8</x:v>
      </x:c>
      <x:c r="R5393" s="13" t="n">
        <x:f>IF(I5393="","",I5393/1000000)</x:f>
        <x:v>126.66666666666667</x:v>
      </x:c>
    </x:row>
    <x:row r="5394" ht="21" customHeight="1">
      <x:c r="A5394" s="10" t="n">
        <x:v>7054</x:v>
      </x:c>
      <x:c r="B5394" s="2" t="str">
        <x:v>bf428b77e69c0e083be3</x:v>
      </x:c>
      <x:c r="C5394" s="2" t="str">
        <x:v>Tp Hồ Chí Minh</x:v>
      </x:c>
      <x:c r="D5394" s="2" t="str">
        <x:v>Quận 7</x:v>
      </x:c>
      <x:c r="E5394" s="2" t="str">
        <x:v>land</x:v>
      </x:c>
      <x:c r="F5394" s="2" t="str">
        <x:v>sale</x:v>
      </x:c>
      <x:c r="G5394" s="11" t="n">
        <x:v>4215</x:v>
      </x:c>
      <x:c r="H5394" s="12" t="n">
        <x:v>15000000</x:v>
      </x:c>
      <x:c r="I5394" s="12" t="n">
        <x:v>3558.7188612099644</x:v>
      </x:c>
      <x:c r="J5394" s="2" t="str">
        <x:v>total</x:v>
      </x:c>
      <x:c r="K5394" s="2" t="str">
        <x:v>top_level_area</x:v>
      </x:c>
      <x:c r="L5394" s="2" t="str">
        <x:v>dot_thousands_convention;property_type_inferred_from_title</x:v>
      </x:c>
      <x:c r="M5394" s="10" t="n">
        <x:v>0</x:v>
      </x:c>
      <x:c r="N5394" s="10" t="n">
        <x:v>0</x:v>
      </x:c>
      <x:c r="O5394" s="2" t="str">
        <x:v>Tp Hồ Chí Minh|land</x:v>
      </x:c>
      <x:c r="P5394" s="10" t="n">
        <x:v>1</x:v>
      </x:c>
      <x:c r="Q5394" s="13" t="n">
        <x:f>IF(H5394="","",H5394/1000000000)</x:f>
        <x:v>0.015</x:v>
      </x:c>
      <x:c r="R5394" s="13" t="n">
        <x:f>IF(I5394="","",I5394/1000000)</x:f>
        <x:v>0.0035587188612099642</x:v>
      </x:c>
    </x:row>
    <x:row r="5395" ht="21" customHeight="1">
      <x:c r="A5395" s="10" t="n">
        <x:v>7055</x:v>
      </x:c>
      <x:c r="B5395" s="2" t="str">
        <x:v>b64f902917e0d04dcc19</x:v>
      </x:c>
      <x:c r="C5395" s="2" t="str">
        <x:v>Lâm Đồng</x:v>
      </x:c>
      <x:c r="D5395" s="2" t="str">
        <x:v>Thành phố Bảo Lộc</x:v>
      </x:c>
      <x:c r="E5395" s="2" t="str">
        <x:v>land</x:v>
      </x:c>
      <x:c r="F5395" s="2" t="str">
        <x:v>sale</x:v>
      </x:c>
      <x:c r="G5395" s="11" t="n">
        <x:v>5000</x:v>
      </x:c>
      <x:c r="H5395" s="12" t="n">
        <x:v>300000000</x:v>
      </x:c>
      <x:c r="I5395" s="12" t="n">
        <x:v>60000</x:v>
      </x:c>
      <x:c r="J5395" s="2" t="str">
        <x:v>total</x:v>
      </x:c>
      <x:c r="K5395" s="2" t="str">
        <x:v>top_level_area</x:v>
      </x:c>
      <x:c r="L5395" s="2" t="str">
        <x:v>dot_thousands_convention;property_type_inferred_from_title</x:v>
      </x:c>
      <x:c r="M5395" s="10" t="n">
        <x:v>0</x:v>
      </x:c>
      <x:c r="N5395" s="10" t="n">
        <x:v>0</x:v>
      </x:c>
      <x:c r="O5395" s="2" t="str">
        <x:v>Lâm Đồng|land</x:v>
      </x:c>
      <x:c r="P5395" s="10" t="n">
        <x:v>1</x:v>
      </x:c>
      <x:c r="Q5395" s="13" t="n">
        <x:f>IF(H5395="","",H5395/1000000000)</x:f>
        <x:v>0.3</x:v>
      </x:c>
      <x:c r="R5395" s="13" t="n">
        <x:f>IF(I5395="","",I5395/1000000)</x:f>
        <x:v>0.06</x:v>
      </x:c>
    </x:row>
    <x:row r="5396" ht="21" customHeight="1">
      <x:c r="A5396" s="10" t="n">
        <x:v>7056</x:v>
      </x:c>
      <x:c r="B5396" s="2" t="str">
        <x:v>84900d88ad4e870938de</x:v>
      </x:c>
      <x:c r="C5396" s="2" t="str">
        <x:v>Bình Dương</x:v>
      </x:c>
      <x:c r="D5396" s="2" t="str">
        <x:v>Huyện Bàu Bàng</x:v>
      </x:c>
      <x:c r="E5396" s="2" t="str">
        <x:v>other_unknown</x:v>
      </x:c>
      <x:c r="F5396" s="2" t="str">
        <x:v>sale_assumed</x:v>
      </x:c>
      <x:c r="G5396" s="11" t="n">
        <x:v>80</x:v>
      </x:c>
      <x:c r="H5396" s="12" t="n">
        <x:v>650000000</x:v>
      </x:c>
      <x:c r="I5396" s="12" t="n">
        <x:v>8125000</x:v>
      </x:c>
      <x:c r="J5396" s="2" t="str">
        <x:v>total</x:v>
      </x:c>
      <x:c r="K5396" s="2" t="str">
        <x:v>top_level_area</x:v>
      </x:c>
      <x:c r="L5396" s="2" t="str">
        <x:v>property_type_inferred_from_title;transaction_assumed_sale_from_dataset_context;unknown_property_type</x:v>
      </x:c>
      <x:c r="M5396" s="10" t="n">
        <x:v>0</x:v>
      </x:c>
      <x:c r="N5396" s="10" t="n">
        <x:v>0</x:v>
      </x:c>
      <x:c r="O5396" s="2" t="str">
        <x:v>Bình Dương|other_unknown</x:v>
      </x:c>
      <x:c r="P5396" s="10" t="n">
        <x:v>2</x:v>
      </x:c>
      <x:c r="Q5396" s="13" t="n">
        <x:f>IF(H5396="","",H5396/1000000000)</x:f>
        <x:v>0.65</x:v>
      </x:c>
      <x:c r="R5396" s="13" t="n">
        <x:f>IF(I5396="","",I5396/1000000)</x:f>
        <x:v>8.125</x:v>
      </x:c>
    </x:row>
    <x:row r="5397" ht="21" customHeight="1">
      <x:c r="A5397" s="10" t="n">
        <x:v>7057</x:v>
      </x:c>
      <x:c r="B5397" s="2" t="str">
        <x:v>39c8b5b6408bc4a61afd</x:v>
      </x:c>
      <x:c r="C5397" s="2" t="str">
        <x:v>Cà Mau</x:v>
      </x:c>
      <x:c r="D5397" s="2" t="str">
        <x:v>Thành phố Cà Mau</x:v>
      </x:c>
      <x:c r="E5397" s="2" t="str">
        <x:v>house</x:v>
      </x:c>
      <x:c r="F5397" s="2" t="str">
        <x:v>sale</x:v>
      </x:c>
      <x:c r="G5397" s="11" t="n">
        <x:v>700</x:v>
      </x:c>
      <x:c r="H5397" s="12" t="n">
        <x:v>1350000000</x:v>
      </x:c>
      <x:c r="I5397" s="12" t="n">
        <x:v>1928571.4285714286</x:v>
      </x:c>
      <x:c r="J5397" s="2" t="str">
        <x:v>total</x:v>
      </x:c>
      <x:c r="K5397" s="2" t="str">
        <x:v>top_level_area</x:v>
      </x:c>
      <x:c r="L5397" s="2" t="str">
        <x:v>property_type_inferred_from_title</x:v>
      </x:c>
      <x:c r="M5397" s="10" t="n">
        <x:v>0</x:v>
      </x:c>
      <x:c r="N5397" s="10" t="n">
        <x:v>0</x:v>
      </x:c>
      <x:c r="O5397" s="2" t="str">
        <x:v>house</x:v>
      </x:c>
      <x:c r="P5397" s="10" t="n">
        <x:v>1</x:v>
      </x:c>
      <x:c r="Q5397" s="13" t="n">
        <x:f>IF(H5397="","",H5397/1000000000)</x:f>
        <x:v>1.35</x:v>
      </x:c>
      <x:c r="R5397" s="13" t="n">
        <x:f>IF(I5397="","",I5397/1000000)</x:f>
        <x:v>1.9285714285714286</x:v>
      </x:c>
    </x:row>
    <x:row r="5398" ht="21" customHeight="1">
      <x:c r="A5398" s="10" t="n">
        <x:v>7058</x:v>
      </x:c>
      <x:c r="B5398" s="2" t="str">
        <x:v>6c7681c517ffe32625bc</x:v>
      </x:c>
      <x:c r="C5398" s="2" t="str">
        <x:v>Tp Hồ Chí Minh</x:v>
      </x:c>
      <x:c r="D5398" s="2" t="str">
        <x:v>Quận 4</x:v>
      </x:c>
      <x:c r="E5398" s="2" t="str">
        <x:v>house</x:v>
      </x:c>
      <x:c r="F5398" s="2" t="str">
        <x:v>sale_assumed</x:v>
      </x:c>
      <x:c r="G5398" s="11" t="n">
        <x:v>56</x:v>
      </x:c>
      <x:c r="H5398" s="12" t="n">
        <x:v>1640000000</x:v>
      </x:c>
      <x:c r="I5398" s="12" t="n">
        <x:v>29285714.285714287</x:v>
      </x:c>
      <x:c r="J5398" s="2" t="str">
        <x:v>total</x:v>
      </x:c>
      <x:c r="K5398" s="2" t="str">
        <x:v>top_level_area</x:v>
      </x:c>
      <x:c r="L5398" s="2" t="str">
        <x:v>property_type_inferred_from_title;transaction_assumed_sale_from_dataset_context</x:v>
      </x:c>
      <x:c r="M5398" s="10" t="n">
        <x:v>0</x:v>
      </x:c>
      <x:c r="N5398" s="10" t="n">
        <x:v>0</x:v>
      </x:c>
      <x:c r="O5398" s="2" t="str">
        <x:v>Tp Hồ Chí Minh|house</x:v>
      </x:c>
      <x:c r="P5398" s="10" t="n">
        <x:v>2</x:v>
      </x:c>
      <x:c r="Q5398" s="13" t="n">
        <x:f>IF(H5398="","",H5398/1000000000)</x:f>
        <x:v>1.64</x:v>
      </x:c>
      <x:c r="R5398" s="13" t="n">
        <x:f>IF(I5398="","",I5398/1000000)</x:f>
        <x:v>29.28571428571429</x:v>
      </x:c>
    </x:row>
    <x:row r="5399" ht="21" customHeight="1">
      <x:c r="A5399" s="10" t="n">
        <x:v>7059</x:v>
      </x:c>
      <x:c r="B5399" s="2" t="str">
        <x:v>6960bb3c3bc39f9a8fdc</x:v>
      </x:c>
      <x:c r="C5399" s="2" t="str">
        <x:v>Tp Hồ Chí Minh</x:v>
      </x:c>
      <x:c r="D5399" s="2" t="str">
        <x:v>Quận 12</x:v>
      </x:c>
      <x:c r="E5399" s="2" t="str">
        <x:v>house</x:v>
      </x:c>
      <x:c r="F5399" s="2" t="str">
        <x:v>sale</x:v>
      </x:c>
      <x:c r="G5399" s="11" t="n">
        <x:v>24</x:v>
      </x:c>
      <x:c r="H5399" s="12" t="n">
        <x:v>1000000000</x:v>
      </x:c>
      <x:c r="I5399" s="12" t="n">
        <x:v>41666666.666666664</x:v>
      </x:c>
      <x:c r="J5399" s="2" t="str">
        <x:v>total</x:v>
      </x:c>
      <x:c r="K5399" s="2" t="str">
        <x:v>top_level_area</x:v>
      </x:c>
      <x:c r="L5399" s="2" t="str">
        <x:v>property_type_inferred_from_title</x:v>
      </x:c>
      <x:c r="M5399" s="10" t="n">
        <x:v>0</x:v>
      </x:c>
      <x:c r="N5399" s="10" t="n">
        <x:v>0</x:v>
      </x:c>
      <x:c r="O5399" s="2" t="str">
        <x:v>Tp Hồ Chí Minh|house</x:v>
      </x:c>
      <x:c r="P5399" s="10" t="n">
        <x:v>2</x:v>
      </x:c>
      <x:c r="Q5399" s="13" t="n">
        <x:f>IF(H5399="","",H5399/1000000000)</x:f>
        <x:v>1</x:v>
      </x:c>
      <x:c r="R5399" s="13" t="n">
        <x:f>IF(I5399="","",I5399/1000000)</x:f>
        <x:v>41.666666666666664</x:v>
      </x:c>
    </x:row>
    <x:row r="5400" ht="21" customHeight="1">
      <x:c r="A5400" s="10" t="n">
        <x:v>7060</x:v>
      </x:c>
      <x:c r="B5400" s="2" t="str">
        <x:v>ef928b3201b2904d7521</x:v>
      </x:c>
      <x:c r="C5400" s="2" t="str">
        <x:v>Đà Nẵng</x:v>
      </x:c>
      <x:c r="D5400" s="2" t="str">
        <x:v>Quận Liên Chiểu</x:v>
      </x:c>
      <x:c r="E5400" s="2" t="str">
        <x:v>house</x:v>
      </x:c>
      <x:c r="F5400" s="2" t="str">
        <x:v>sale</x:v>
      </x:c>
      <x:c r="G5400" s="11" t="n">
        <x:v>108</x:v>
      </x:c>
      <x:c r="H5400" s="12" t="n">
        <x:v>2129000000</x:v>
      </x:c>
      <x:c r="I5400" s="12" t="n">
        <x:v>19712962.962962963</x:v>
      </x:c>
      <x:c r="J5400" s="2" t="str">
        <x:v>total</x:v>
      </x:c>
      <x:c r="K5400" s="2" t="str">
        <x:v>top_level_area</x:v>
      </x:c>
      <x:c r="L5400" s="2" t="str">
        <x:v>property_type_inferred_from_title</x:v>
      </x:c>
      <x:c r="M5400" s="10" t="n">
        <x:v>0</x:v>
      </x:c>
      <x:c r="N5400" s="10" t="n">
        <x:v>0</x:v>
      </x:c>
      <x:c r="O5400" s="2" t="str">
        <x:v>Đà Nẵng|house</x:v>
      </x:c>
      <x:c r="P5400" s="10" t="n">
        <x:v>2</x:v>
      </x:c>
      <x:c r="Q5400" s="13" t="n">
        <x:f>IF(H5400="","",H5400/1000000000)</x:f>
        <x:v>2.129</x:v>
      </x:c>
      <x:c r="R5400" s="13" t="n">
        <x:f>IF(I5400="","",I5400/1000000)</x:f>
        <x:v>19.712962962962962</x:v>
      </x:c>
    </x:row>
    <x:row r="5401" ht="21" customHeight="1">
      <x:c r="A5401" s="10" t="n">
        <x:v>7061</x:v>
      </x:c>
      <x:c r="B5401" s="2" t="str">
        <x:v>7a98718432a9e0fd6c91</x:v>
      </x:c>
      <x:c r="C5401" s="2" t="str">
        <x:v>Hà Nội</x:v>
      </x:c>
      <x:c r="D5401" s="2" t="str">
        <x:v>Quận Cầu Giấy</x:v>
      </x:c>
      <x:c r="E5401" s="2" t="str">
        <x:v>house</x:v>
      </x:c>
      <x:c r="F5401" s="2" t="str">
        <x:v>sale_assumed</x:v>
      </x:c>
      <x:c r="G5401" s="11" t="n">
        <x:v>30</x:v>
      </x:c>
      <x:c r="H5401" s="12" t="n">
        <x:v>3150000000</x:v>
      </x:c>
      <x:c r="I5401" s="12" t="n">
        <x:v>105000000</x:v>
      </x:c>
      <x:c r="J5401" s="2" t="str">
        <x:v>total</x:v>
      </x:c>
      <x:c r="K5401" s="2" t="str">
        <x:v>top_level_area</x:v>
      </x:c>
      <x:c r="L5401" s="2" t="str">
        <x:v>property_type_inferred_from_title;transaction_assumed_sale_from_dataset_context</x:v>
      </x:c>
      <x:c r="M5401" s="10" t="n">
        <x:v>0</x:v>
      </x:c>
      <x:c r="N5401" s="10" t="n">
        <x:v>0</x:v>
      </x:c>
      <x:c r="O5401" s="2" t="str">
        <x:v>Hà Nội|house</x:v>
      </x:c>
      <x:c r="P5401" s="10" t="n">
        <x:v>2</x:v>
      </x:c>
      <x:c r="Q5401" s="13" t="n">
        <x:f>IF(H5401="","",H5401/1000000000)</x:f>
        <x:v>3.15</x:v>
      </x:c>
      <x:c r="R5401" s="13" t="n">
        <x:f>IF(I5401="","",I5401/1000000)</x:f>
        <x:v>105</x:v>
      </x:c>
    </x:row>
    <x:row r="5402" ht="21" customHeight="1">
      <x:c r="A5402" s="10" t="n">
        <x:v>7062</x:v>
      </x:c>
      <x:c r="B5402" s="2" t="str">
        <x:v>e5aee8f00f5eeedcbfc1</x:v>
      </x:c>
      <x:c r="C5402" s="2" t="str">
        <x:v>Tp Hồ Chí Minh</x:v>
      </x:c>
      <x:c r="D5402" s="2" t="str">
        <x:v>Huyện Bình Chánh</x:v>
      </x:c>
      <x:c r="E5402" s="2" t="str">
        <x:v>land</x:v>
      </x:c>
      <x:c r="F5402" s="2" t="str">
        <x:v>sale_assumed</x:v>
      </x:c>
      <x:c r="G5402" s="11" t="n">
        <x:v>44</x:v>
      </x:c>
      <x:c r="H5402" s="12" t="n">
        <x:v>230000000</x:v>
      </x:c>
      <x:c r="I5402" s="12" t="n">
        <x:v>5227272.7272727275</x:v>
      </x:c>
      <x:c r="J5402" s="2" t="str">
        <x:v>total</x:v>
      </x:c>
      <x:c r="K5402" s="2" t="str">
        <x:v>top_level_area</x:v>
      </x:c>
      <x:c r="L5402" s="2" t="str">
        <x:v>property_type_inferred_from_title;transaction_assumed_sale_from_dataset_context</x:v>
      </x:c>
      <x:c r="M5402" s="10" t="n">
        <x:v>0</x:v>
      </x:c>
      <x:c r="N5402" s="10" t="n">
        <x:v>0</x:v>
      </x:c>
      <x:c r="O5402" s="2" t="str">
        <x:v>Tp Hồ Chí Minh|land</x:v>
      </x:c>
      <x:c r="P5402" s="10" t="n">
        <x:v>2</x:v>
      </x:c>
      <x:c r="Q5402" s="13" t="n">
        <x:f>IF(H5402="","",H5402/1000000000)</x:f>
        <x:v>0.23</x:v>
      </x:c>
      <x:c r="R5402" s="13" t="n">
        <x:f>IF(I5402="","",I5402/1000000)</x:f>
        <x:v>5.2272727272727275</x:v>
      </x:c>
    </x:row>
    <x:row r="5403" ht="21" customHeight="1">
      <x:c r="A5403" s="10" t="n">
        <x:v>7063</x:v>
      </x:c>
      <x:c r="B5403" s="2" t="str">
        <x:v>a2649cb1641c453d00cc</x:v>
      </x:c>
      <x:c r="C5403" s="2" t="str">
        <x:v>Tp Hồ Chí Minh</x:v>
      </x:c>
      <x:c r="D5403" s="2" t="str">
        <x:v>Quận 3</x:v>
      </x:c>
      <x:c r="E5403" s="2" t="str">
        <x:v>house</x:v>
      </x:c>
      <x:c r="F5403" s="2" t="str">
        <x:v>sale_assumed</x:v>
      </x:c>
      <x:c r="G5403" s="11" t="n">
        <x:v>28</x:v>
      </x:c>
      <x:c r="H5403" s="12" t="n">
        <x:v>4500000000</x:v>
      </x:c>
      <x:c r="I5403" s="12" t="n">
        <x:v>160714285.7142857</x:v>
      </x:c>
      <x:c r="J5403" s="2" t="str">
        <x:v>total</x:v>
      </x:c>
      <x:c r="K5403" s="2" t="str">
        <x:v>top_level_area</x:v>
      </x:c>
      <x:c r="L5403" s="2" t="str">
        <x:v>property_type_inferred_from_title;transaction_assumed_sale_from_dataset_context</x:v>
      </x:c>
      <x:c r="M5403" s="10" t="n">
        <x:v>0</x:v>
      </x:c>
      <x:c r="N5403" s="10" t="n">
        <x:v>0</x:v>
      </x:c>
      <x:c r="O5403" s="2" t="str">
        <x:v>Tp Hồ Chí Minh|house</x:v>
      </x:c>
      <x:c r="P5403" s="10" t="n">
        <x:v>2</x:v>
      </x:c>
      <x:c r="Q5403" s="13" t="n">
        <x:f>IF(H5403="","",H5403/1000000000)</x:f>
        <x:v>4.5</x:v>
      </x:c>
      <x:c r="R5403" s="13" t="n">
        <x:f>IF(I5403="","",I5403/1000000)</x:f>
        <x:v>160.7142857142857</x:v>
      </x:c>
    </x:row>
    <x:row r="5404" ht="21" customHeight="1">
      <x:c r="A5404" s="10" t="n">
        <x:v>7064</x:v>
      </x:c>
      <x:c r="B5404" s="2" t="str">
        <x:v>fe0d4c9c10a572272406</x:v>
      </x:c>
      <x:c r="C5404" s="2" t="str">
        <x:v>Tp Hồ Chí Minh</x:v>
      </x:c>
      <x:c r="D5404" s="2" t="str">
        <x:v>Quận Gò Vấp</x:v>
      </x:c>
      <x:c r="E5404" s="2" t="str">
        <x:v>house</x:v>
      </x:c>
      <x:c r="F5404" s="2" t="str">
        <x:v>sale_assumed</x:v>
      </x:c>
      <x:c r="G5404" s="11" t="n">
        <x:v>56</x:v>
      </x:c>
      <x:c r="H5404" s="12" t="n">
        <x:v>4200000000</x:v>
      </x:c>
      <x:c r="I5404" s="12" t="n">
        <x:v>75000000</x:v>
      </x:c>
      <x:c r="J5404" s="2" t="str">
        <x:v>total</x:v>
      </x:c>
      <x:c r="K5404" s="2" t="str">
        <x:v>top_level_area</x:v>
      </x:c>
      <x:c r="L5404" s="2" t="str">
        <x:v>property_type_inferred_from_title;transaction_assumed_sale_from_dataset_context</x:v>
      </x:c>
      <x:c r="M5404" s="10" t="n">
        <x:v>0</x:v>
      </x:c>
      <x:c r="N5404" s="10" t="n">
        <x:v>0</x:v>
      </x:c>
      <x:c r="O5404" s="2" t="str">
        <x:v>Tp Hồ Chí Minh|house</x:v>
      </x:c>
      <x:c r="P5404" s="10" t="n">
        <x:v>2</x:v>
      </x:c>
      <x:c r="Q5404" s="13" t="n">
        <x:f>IF(H5404="","",H5404/1000000000)</x:f>
        <x:v>4.2</x:v>
      </x:c>
      <x:c r="R5404" s="13" t="n">
        <x:f>IF(I5404="","",I5404/1000000)</x:f>
        <x:v>75</x:v>
      </x:c>
    </x:row>
    <x:row r="5405" ht="21" customHeight="1">
      <x:c r="A5405" s="10" t="n">
        <x:v>7065</x:v>
      </x:c>
      <x:c r="B5405" s="2" t="str">
        <x:v>eaafbfa30b9f85895588</x:v>
      </x:c>
      <x:c r="C5405" s="2" t="str">
        <x:v>Tp Hồ Chí Minh</x:v>
      </x:c>
      <x:c r="D5405" s="2" t="str">
        <x:v>Quận Tân Phú</x:v>
      </x:c>
      <x:c r="E5405" s="2" t="str">
        <x:v>house</x:v>
      </x:c>
      <x:c r="F5405" s="2" t="str">
        <x:v>sale</x:v>
      </x:c>
      <x:c r="G5405" s="11" t="n">
        <x:v>47</x:v>
      </x:c>
      <x:c r="H5405" s="12" t="n">
        <x:v>1420000000</x:v>
      </x:c>
      <x:c r="I5405" s="12" t="n">
        <x:v>30212765.95744681</x:v>
      </x:c>
      <x:c r="J5405" s="2" t="str">
        <x:v>total</x:v>
      </x:c>
      <x:c r="K5405" s="2" t="str">
        <x:v>top_level_area</x:v>
      </x:c>
      <x:c r="L5405" s="2" t="str">
        <x:v>property_type_inferred_from_title</x:v>
      </x:c>
      <x:c r="M5405" s="10" t="n">
        <x:v>0</x:v>
      </x:c>
      <x:c r="N5405" s="10" t="n">
        <x:v>0</x:v>
      </x:c>
      <x:c r="O5405" s="2" t="str">
        <x:v>Tp Hồ Chí Minh|house</x:v>
      </x:c>
      <x:c r="P5405" s="10" t="n">
        <x:v>2</x:v>
      </x:c>
      <x:c r="Q5405" s="13" t="n">
        <x:f>IF(H5405="","",H5405/1000000000)</x:f>
        <x:v>1.42</x:v>
      </x:c>
      <x:c r="R5405" s="13" t="n">
        <x:f>IF(I5405="","",I5405/1000000)</x:f>
        <x:v>30.21276595744681</x:v>
      </x:c>
    </x:row>
    <x:row r="5406" ht="21" customHeight="1">
      <x:c r="A5406" s="10" t="n">
        <x:v>7066</x:v>
      </x:c>
      <x:c r="B5406" s="2" t="str">
        <x:v>fa8e586a0d53e537b0d2</x:v>
      </x:c>
      <x:c r="C5406" s="2" t="str">
        <x:v>Tp Hồ Chí Minh</x:v>
      </x:c>
      <x:c r="D5406" s="2" t="str">
        <x:v>Quận Tân Phú</x:v>
      </x:c>
      <x:c r="E5406" s="2" t="str">
        <x:v>house</x:v>
      </x:c>
      <x:c r="F5406" s="2" t="str">
        <x:v>sale</x:v>
      </x:c>
      <x:c r="G5406" s="11" t="n">
        <x:v>45</x:v>
      </x:c>
      <x:c r="H5406" s="12" t="n">
        <x:v>1400000000</x:v>
      </x:c>
      <x:c r="I5406" s="12" t="n">
        <x:v>31111111.111111112</x:v>
      </x:c>
      <x:c r="J5406" s="2" t="str">
        <x:v>total</x:v>
      </x:c>
      <x:c r="K5406" s="2" t="str">
        <x:v>top_level_area</x:v>
      </x:c>
      <x:c r="L5406" s="2" t="str">
        <x:v>property_type_inferred_from_title</x:v>
      </x:c>
      <x:c r="M5406" s="10" t="n">
        <x:v>0</x:v>
      </x:c>
      <x:c r="N5406" s="10" t="n">
        <x:v>0</x:v>
      </x:c>
      <x:c r="O5406" s="2" t="str">
        <x:v>Tp Hồ Chí Minh|house</x:v>
      </x:c>
      <x:c r="P5406" s="10" t="n">
        <x:v>2</x:v>
      </x:c>
      <x:c r="Q5406" s="13" t="n">
        <x:f>IF(H5406="","",H5406/1000000000)</x:f>
        <x:v>1.4</x:v>
      </x:c>
      <x:c r="R5406" s="13" t="n">
        <x:f>IF(I5406="","",I5406/1000000)</x:f>
        <x:v>31.11111111111111</x:v>
      </x:c>
    </x:row>
    <x:row r="5407" ht="21" customHeight="1">
      <x:c r="A5407" s="10" t="n">
        <x:v>7069</x:v>
      </x:c>
      <x:c r="B5407" s="2" t="str">
        <x:v>9392849d1a128390c177</x:v>
      </x:c>
      <x:c r="C5407" s="2" t="str">
        <x:v>Tp Hồ Chí Minh</x:v>
      </x:c>
      <x:c r="D5407" s="2" t="str">
        <x:v>Quận 5</x:v>
      </x:c>
      <x:c r="E5407" s="2" t="str">
        <x:v>house</x:v>
      </x:c>
      <x:c r="F5407" s="2" t="str">
        <x:v>sale</x:v>
      </x:c>
      <x:c r="G5407" s="11" t="n">
        <x:v>38</x:v>
      </x:c>
      <x:c r="H5407" s="12" t="n">
        <x:v>1500000000</x:v>
      </x:c>
      <x:c r="I5407" s="12" t="n">
        <x:v>39473684.21052632</x:v>
      </x:c>
      <x:c r="J5407" s="2" t="str">
        <x:v>total</x:v>
      </x:c>
      <x:c r="K5407" s="2" t="str">
        <x:v>top_level_area</x:v>
      </x:c>
      <x:c r="L5407" s="2" t="str">
        <x:v>property_type_inferred_from_title</x:v>
      </x:c>
      <x:c r="M5407" s="10" t="n">
        <x:v>0</x:v>
      </x:c>
      <x:c r="N5407" s="10" t="n">
        <x:v>0</x:v>
      </x:c>
      <x:c r="O5407" s="2" t="str">
        <x:v>Tp Hồ Chí Minh|house</x:v>
      </x:c>
      <x:c r="P5407" s="10" t="n">
        <x:v>2</x:v>
      </x:c>
      <x:c r="Q5407" s="13" t="n">
        <x:f>IF(H5407="","",H5407/1000000000)</x:f>
        <x:v>1.5</x:v>
      </x:c>
      <x:c r="R5407" s="13" t="n">
        <x:f>IF(I5407="","",I5407/1000000)</x:f>
        <x:v>39.473684210526315</x:v>
      </x:c>
    </x:row>
    <x:row r="5408" ht="21" customHeight="1">
      <x:c r="A5408" s="10" t="n">
        <x:v>7070</x:v>
      </x:c>
      <x:c r="B5408" s="2" t="str">
        <x:v>7f9cffe8278601e87728</x:v>
      </x:c>
      <x:c r="C5408" s="2" t="str">
        <x:v>Tp Hồ Chí Minh</x:v>
      </x:c>
      <x:c r="D5408" s="2" t="str">
        <x:v>Quận Bình Thạnh</x:v>
      </x:c>
      <x:c r="E5408" s="2" t="str">
        <x:v>house</x:v>
      </x:c>
      <x:c r="F5408" s="2" t="str">
        <x:v>sale</x:v>
      </x:c>
      <x:c r="G5408" s="11" t="n">
        <x:v>40</x:v>
      </x:c>
      <x:c r="H5408" s="12" t="n">
        <x:v>1350000000</x:v>
      </x:c>
      <x:c r="I5408" s="12" t="n">
        <x:v>33750000</x:v>
      </x:c>
      <x:c r="J5408" s="2" t="str">
        <x:v>total</x:v>
      </x:c>
      <x:c r="K5408" s="2" t="str">
        <x:v>top_level_area</x:v>
      </x:c>
      <x:c r="L5408" s="2" t="str">
        <x:v>property_type_inferred_from_title</x:v>
      </x:c>
      <x:c r="M5408" s="10" t="n">
        <x:v>0</x:v>
      </x:c>
      <x:c r="N5408" s="10" t="n">
        <x:v>0</x:v>
      </x:c>
      <x:c r="O5408" s="2" t="str">
        <x:v>Tp Hồ Chí Minh|house</x:v>
      </x:c>
      <x:c r="P5408" s="10" t="n">
        <x:v>2</x:v>
      </x:c>
      <x:c r="Q5408" s="13" t="n">
        <x:f>IF(H5408="","",H5408/1000000000)</x:f>
        <x:v>1.35</x:v>
      </x:c>
      <x:c r="R5408" s="13" t="n">
        <x:f>IF(I5408="","",I5408/1000000)</x:f>
        <x:v>33.75</x:v>
      </x:c>
    </x:row>
    <x:row r="5409" ht="21" customHeight="1">
      <x:c r="A5409" s="10" t="n">
        <x:v>7071</x:v>
      </x:c>
      <x:c r="B5409" s="2" t="str">
        <x:v>e9b3d379b3b04d615244</x:v>
      </x:c>
      <x:c r="C5409" s="2" t="str">
        <x:v>Tp Hồ Chí Minh</x:v>
      </x:c>
      <x:c r="D5409" s="2" t="str">
        <x:v>Quận Bình Thạnh</x:v>
      </x:c>
      <x:c r="E5409" s="2" t="str">
        <x:v>house</x:v>
      </x:c>
      <x:c r="F5409" s="2" t="str">
        <x:v>sale</x:v>
      </x:c>
      <x:c r="G5409" s="11" t="n">
        <x:v>47</x:v>
      </x:c>
      <x:c r="H5409" s="12" t="n">
        <x:v>1400000000</x:v>
      </x:c>
      <x:c r="I5409" s="12" t="n">
        <x:v>29787234.04255319</x:v>
      </x:c>
      <x:c r="J5409" s="2" t="str">
        <x:v>total</x:v>
      </x:c>
      <x:c r="K5409" s="2" t="str">
        <x:v>top_level_area</x:v>
      </x:c>
      <x:c r="L5409" s="2" t="str">
        <x:v>property_type_inferred_from_title</x:v>
      </x:c>
      <x:c r="M5409" s="10" t="n">
        <x:v>0</x:v>
      </x:c>
      <x:c r="N5409" s="10" t="n">
        <x:v>0</x:v>
      </x:c>
      <x:c r="O5409" s="2" t="str">
        <x:v>Tp Hồ Chí Minh|house</x:v>
      </x:c>
      <x:c r="P5409" s="10" t="n">
        <x:v>2</x:v>
      </x:c>
      <x:c r="Q5409" s="13" t="n">
        <x:f>IF(H5409="","",H5409/1000000000)</x:f>
        <x:v>1.4</x:v>
      </x:c>
      <x:c r="R5409" s="13" t="n">
        <x:f>IF(I5409="","",I5409/1000000)</x:f>
        <x:v>29.78723404255319</x:v>
      </x:c>
    </x:row>
    <x:row r="5410" ht="21" customHeight="1">
      <x:c r="A5410" s="10" t="n">
        <x:v>7072</x:v>
      </x:c>
      <x:c r="B5410" s="2" t="str">
        <x:v>0f264c6898d2e02837c0</x:v>
      </x:c>
      <x:c r="C5410" s="2" t="str">
        <x:v>Tp Hồ Chí Minh</x:v>
      </x:c>
      <x:c r="D5410" s="2" t="str">
        <x:v>Quận 9</x:v>
      </x:c>
      <x:c r="E5410" s="2" t="str">
        <x:v>land</x:v>
      </x:c>
      <x:c r="F5410" s="2" t="str">
        <x:v>sale</x:v>
      </x:c>
      <x:c r="G5410" s="11" t="n">
        <x:v>58</x:v>
      </x:c>
      <x:c r="H5410" s="12" t="n">
        <x:v>2580000000</x:v>
      </x:c>
      <x:c r="I5410" s="12" t="n">
        <x:v>44482758.62068965</x:v>
      </x:c>
      <x:c r="J5410" s="2" t="str">
        <x:v>total</x:v>
      </x:c>
      <x:c r="K5410" s="2" t="str">
        <x:v>top_level_area</x:v>
      </x:c>
      <x:c r="L5410" s="2" t="str">
        <x:v>property_type_inferred_from_title</x:v>
      </x:c>
      <x:c r="M5410" s="10" t="n">
        <x:v>0</x:v>
      </x:c>
      <x:c r="N5410" s="10" t="n">
        <x:v>0</x:v>
      </x:c>
      <x:c r="O5410" s="2" t="str">
        <x:v>Tp Hồ Chí Minh|land</x:v>
      </x:c>
      <x:c r="P5410" s="10" t="n">
        <x:v>2</x:v>
      </x:c>
      <x:c r="Q5410" s="13" t="n">
        <x:f>IF(H5410="","",H5410/1000000000)</x:f>
        <x:v>2.58</x:v>
      </x:c>
      <x:c r="R5410" s="13" t="n">
        <x:f>IF(I5410="","",I5410/1000000)</x:f>
        <x:v>44.48275862068965</x:v>
      </x:c>
    </x:row>
    <x:row r="5411" ht="21" customHeight="1">
      <x:c r="A5411" s="10" t="n">
        <x:v>7073</x:v>
      </x:c>
      <x:c r="B5411" s="2" t="str">
        <x:v>38fbf1b2130618d70ac8</x:v>
      </x:c>
      <x:c r="C5411" s="2" t="str">
        <x:v>Tp Hồ Chí Minh</x:v>
      </x:c>
      <x:c r="D5411" s="2" t="str">
        <x:v>Quận Bình Thạnh</x:v>
      </x:c>
      <x:c r="E5411" s="2" t="str">
        <x:v>house</x:v>
      </x:c>
      <x:c r="F5411" s="2" t="str">
        <x:v>sale</x:v>
      </x:c>
      <x:c r="G5411" s="11" t="n">
        <x:v>60</x:v>
      </x:c>
      <x:c r="H5411" s="12" t="n">
        <x:v>1320000000</x:v>
      </x:c>
      <x:c r="I5411" s="12" t="n">
        <x:v>22000000</x:v>
      </x:c>
      <x:c r="J5411" s="2" t="str">
        <x:v>total</x:v>
      </x:c>
      <x:c r="K5411" s="2" t="str">
        <x:v>top_level_area</x:v>
      </x:c>
      <x:c r="L5411" s="2" t="str">
        <x:v>property_type_inferred_from_title</x:v>
      </x:c>
      <x:c r="M5411" s="10" t="n">
        <x:v>0</x:v>
      </x:c>
      <x:c r="N5411" s="10" t="n">
        <x:v>0</x:v>
      </x:c>
      <x:c r="O5411" s="2" t="str">
        <x:v>Tp Hồ Chí Minh|house</x:v>
      </x:c>
      <x:c r="P5411" s="10" t="n">
        <x:v>2</x:v>
      </x:c>
      <x:c r="Q5411" s="13" t="n">
        <x:f>IF(H5411="","",H5411/1000000000)</x:f>
        <x:v>1.32</x:v>
      </x:c>
      <x:c r="R5411" s="13" t="n">
        <x:f>IF(I5411="","",I5411/1000000)</x:f>
        <x:v>22</x:v>
      </x:c>
    </x:row>
    <x:row r="5412" ht="21" customHeight="1">
      <x:c r="A5412" s="10" t="n">
        <x:v>7074</x:v>
      </x:c>
      <x:c r="B5412" s="2" t="str">
        <x:v>25d926cd06cb24847874</x:v>
      </x:c>
      <x:c r="C5412" s="2" t="str">
        <x:v>Đà Nẵng</x:v>
      </x:c>
      <x:c r="D5412" s="2" t="str">
        <x:v>Quận Liên Chiểu</x:v>
      </x:c>
      <x:c r="E5412" s="2" t="str">
        <x:v>house</x:v>
      </x:c>
      <x:c r="F5412" s="2" t="str">
        <x:v>sale_assumed</x:v>
      </x:c>
      <x:c r="G5412" s="11" t="n">
        <x:v>7475</x:v>
      </x:c>
      <x:c r="H5412" s="12" t="n">
        <x:v>3600000000</x:v>
      </x:c>
      <x:c r="I5412" s="12" t="n">
        <x:v>481605.35117056855</x:v>
      </x:c>
      <x:c r="J5412" s="2" t="str">
        <x:v>total</x:v>
      </x:c>
      <x:c r="K5412" s="2" t="str">
        <x:v>top_level_area</x:v>
      </x:c>
      <x:c r="L5412" s="2" t="str">
        <x:v>dot_thousands_convention;property_type_inferred_from_title;transaction_assumed_sale_from_dataset_context</x:v>
      </x:c>
      <x:c r="M5412" s="10" t="n">
        <x:v>0</x:v>
      </x:c>
      <x:c r="N5412" s="10" t="n">
        <x:v>0</x:v>
      </x:c>
      <x:c r="O5412" s="2" t="str">
        <x:v>Đà Nẵng|house</x:v>
      </x:c>
      <x:c r="P5412" s="10" t="n">
        <x:v>1</x:v>
      </x:c>
      <x:c r="Q5412" s="13" t="n">
        <x:f>IF(H5412="","",H5412/1000000000)</x:f>
        <x:v>3.6</x:v>
      </x:c>
      <x:c r="R5412" s="13" t="n">
        <x:f>IF(I5412="","",I5412/1000000)</x:f>
        <x:v>0.4816053511705686</x:v>
      </x:c>
    </x:row>
    <x:row r="5413" ht="21" customHeight="1">
      <x:c r="A5413" s="10" t="n">
        <x:v>7075</x:v>
      </x:c>
      <x:c r="B5413" s="2" t="str">
        <x:v>f3ac035f374fcd12362f</x:v>
      </x:c>
      <x:c r="C5413" s="2" t="str">
        <x:v>Cần Thơ</x:v>
      </x:c>
      <x:c r="D5413" s="2" t="str">
        <x:v>Quận Ninh Kiều</x:v>
      </x:c>
      <x:c r="E5413" s="2" t="str">
        <x:v>house</x:v>
      </x:c>
      <x:c r="F5413" s="2" t="str">
        <x:v>sale_assumed</x:v>
      </x:c>
      <x:c r="G5413" s="11" t="n">
        <x:v>64</x:v>
      </x:c>
      <x:c r="H5413" s="12" t="n">
        <x:v>5500000000</x:v>
      </x:c>
      <x:c r="I5413" s="12" t="n">
        <x:v>85937500</x:v>
      </x:c>
      <x:c r="J5413" s="2" t="str">
        <x:v>total</x:v>
      </x:c>
      <x:c r="K5413" s="2" t="str">
        <x:v>top_level_area</x:v>
      </x:c>
      <x:c r="L5413" s="2" t="str">
        <x:v>property_type_inferred_from_title;transaction_assumed_sale_from_dataset_context</x:v>
      </x:c>
      <x:c r="M5413" s="10" t="n">
        <x:v>0</x:v>
      </x:c>
      <x:c r="N5413" s="10" t="n">
        <x:v>0</x:v>
      </x:c>
      <x:c r="O5413" s="2" t="str">
        <x:v>Cần Thơ|house</x:v>
      </x:c>
      <x:c r="P5413" s="10" t="n">
        <x:v>2</x:v>
      </x:c>
      <x:c r="Q5413" s="13" t="n">
        <x:f>IF(H5413="","",H5413/1000000000)</x:f>
        <x:v>5.5</x:v>
      </x:c>
      <x:c r="R5413" s="13" t="n">
        <x:f>IF(I5413="","",I5413/1000000)</x:f>
        <x:v>85.9375</x:v>
      </x:c>
    </x:row>
    <x:row r="5414" ht="21" customHeight="1">
      <x:c r="A5414" s="10" t="n">
        <x:v>7076</x:v>
      </x:c>
      <x:c r="B5414" s="2" t="str">
        <x:v>721618e3b1058a6684f6</x:v>
      </x:c>
      <x:c r="C5414" s="2" t="str">
        <x:v>Tp Hồ Chí Minh</x:v>
      </x:c>
      <x:c r="D5414" s="2" t="str">
        <x:v>Huyện Bình Chánh</x:v>
      </x:c>
      <x:c r="E5414" s="2" t="str">
        <x:v>land</x:v>
      </x:c>
      <x:c r="F5414" s="2" t="str">
        <x:v>sale_assumed</x:v>
      </x:c>
      <x:c r="G5414" s="11" t="n">
        <x:v>1020</x:v>
      </x:c>
      <x:c r="H5414" s="12" t="n">
        <x:v>520000000</x:v>
      </x:c>
      <x:c r="I5414" s="12" t="n">
        <x:v>509803.92156862747</x:v>
      </x:c>
      <x:c r="J5414" s="2" t="str">
        <x:v>total</x:v>
      </x:c>
      <x:c r="K5414" s="2" t="str">
        <x:v>top_level_area</x:v>
      </x:c>
      <x:c r="L5414" s="2" t="str">
        <x:v>dot_thousands_convention;property_type_inferred_from_title;transaction_assumed_sale_from_dataset_context</x:v>
      </x:c>
      <x:c r="M5414" s="10" t="n">
        <x:v>0</x:v>
      </x:c>
      <x:c r="N5414" s="10" t="n">
        <x:v>0</x:v>
      </x:c>
      <x:c r="O5414" s="2" t="str">
        <x:v>Tp Hồ Chí Minh|land</x:v>
      </x:c>
      <x:c r="P5414" s="10" t="n">
        <x:v>1</x:v>
      </x:c>
      <x:c r="Q5414" s="13" t="n">
        <x:f>IF(H5414="","",H5414/1000000000)</x:f>
        <x:v>0.52</x:v>
      </x:c>
      <x:c r="R5414" s="13" t="n">
        <x:f>IF(I5414="","",I5414/1000000)</x:f>
        <x:v>0.5098039215686274</x:v>
      </x:c>
    </x:row>
    <x:row r="5415" ht="21" customHeight="1">
      <x:c r="A5415" s="10" t="n">
        <x:v>7077</x:v>
      </x:c>
      <x:c r="B5415" s="2" t="str">
        <x:v>be54a4740206aa55ce6c</x:v>
      </x:c>
      <x:c r="C5415" s="2" t="str">
        <x:v>Đà Nẵng</x:v>
      </x:c>
      <x:c r="D5415" s="2" t="str">
        <x:v>Quận Sơn Trà</x:v>
      </x:c>
      <x:c r="E5415" s="2" t="str">
        <x:v>house</x:v>
      </x:c>
      <x:c r="F5415" s="2" t="str">
        <x:v>sale_assumed</x:v>
      </x:c>
      <x:c r="G5415" s="11" t="n">
        <x:v>100</x:v>
      </x:c>
      <x:c r="H5415" s="12" t="n">
        <x:v>3790000000</x:v>
      </x:c>
      <x:c r="I5415" s="12" t="n">
        <x:v>37900000</x:v>
      </x:c>
      <x:c r="J5415" s="2" t="str">
        <x:v>total</x:v>
      </x:c>
      <x:c r="K5415" s="2" t="str">
        <x:v>top_level_area</x:v>
      </x:c>
      <x:c r="L5415" s="2" t="str">
        <x:v>property_type_inferred_from_title;transaction_assumed_sale_from_dataset_context</x:v>
      </x:c>
      <x:c r="M5415" s="10" t="n">
        <x:v>0</x:v>
      </x:c>
      <x:c r="N5415" s="10" t="n">
        <x:v>0</x:v>
      </x:c>
      <x:c r="O5415" s="2" t="str">
        <x:v>Đà Nẵng|house</x:v>
      </x:c>
      <x:c r="P5415" s="10" t="n">
        <x:v>2</x:v>
      </x:c>
      <x:c r="Q5415" s="13" t="n">
        <x:f>IF(H5415="","",H5415/1000000000)</x:f>
        <x:v>3.79</x:v>
      </x:c>
      <x:c r="R5415" s="13" t="n">
        <x:f>IF(I5415="","",I5415/1000000)</x:f>
        <x:v>37.9</x:v>
      </x:c>
    </x:row>
    <x:row r="5416" ht="21" customHeight="1">
      <x:c r="A5416" s="10" t="n">
        <x:v>7078</x:v>
      </x:c>
      <x:c r="B5416" s="2" t="str">
        <x:v>503fc16c1cff2c5a385b</x:v>
      </x:c>
      <x:c r="C5416" s="2" t="str">
        <x:v>Tp Hồ Chí Minh</x:v>
      </x:c>
      <x:c r="D5416" s="2" t="str">
        <x:v>Quận Tân Phú</x:v>
      </x:c>
      <x:c r="E5416" s="2" t="str">
        <x:v>house</x:v>
      </x:c>
      <x:c r="F5416" s="2" t="str">
        <x:v>sale</x:v>
      </x:c>
      <x:c r="G5416" s="11" t="n">
        <x:v>65</x:v>
      </x:c>
      <x:c r="H5416" s="12" t="n">
        <x:v>7000000000</x:v>
      </x:c>
      <x:c r="I5416" s="12" t="n">
        <x:v>107692307.6923077</x:v>
      </x:c>
      <x:c r="J5416" s="2" t="str">
        <x:v>total</x:v>
      </x:c>
      <x:c r="K5416" s="2" t="str">
        <x:v>top_level_area</x:v>
      </x:c>
      <x:c r="L5416" s="2" t="str">
        <x:v>property_type_inferred_from_title</x:v>
      </x:c>
      <x:c r="M5416" s="10" t="n">
        <x:v>0</x:v>
      </x:c>
      <x:c r="N5416" s="10" t="n">
        <x:v>0</x:v>
      </x:c>
      <x:c r="O5416" s="2" t="str">
        <x:v>Tp Hồ Chí Minh|house</x:v>
      </x:c>
      <x:c r="P5416" s="10" t="n">
        <x:v>2</x:v>
      </x:c>
      <x:c r="Q5416" s="13" t="n">
        <x:f>IF(H5416="","",H5416/1000000000)</x:f>
        <x:v>7</x:v>
      </x:c>
      <x:c r="R5416" s="13" t="n">
        <x:f>IF(I5416="","",I5416/1000000)</x:f>
        <x:v>107.6923076923077</x:v>
      </x:c>
    </x:row>
    <x:row r="5417" ht="21" customHeight="1">
      <x:c r="A5417" s="10" t="n">
        <x:v>7079</x:v>
      </x:c>
      <x:c r="B5417" s="2" t="str">
        <x:v>82f23f6e8f670c8ea355</x:v>
      </x:c>
      <x:c r="C5417" s="2" t="str">
        <x:v>Hà Nội</x:v>
      </x:c>
      <x:c r="D5417" s="2" t="str">
        <x:v>Quận Long Biên</x:v>
      </x:c>
      <x:c r="E5417" s="2" t="str">
        <x:v>house</x:v>
      </x:c>
      <x:c r="F5417" s="2" t="str">
        <x:v>sale_assumed</x:v>
      </x:c>
      <x:c r="G5417" s="11" t="n">
        <x:v>33</x:v>
      </x:c>
      <x:c r="H5417" s="12" t="n">
        <x:v>2300000000</x:v>
      </x:c>
      <x:c r="I5417" s="12" t="n">
        <x:v>69696969.6969697</x:v>
      </x:c>
      <x:c r="J5417" s="2" t="str">
        <x:v>total</x:v>
      </x:c>
      <x:c r="K5417" s="2" t="str">
        <x:v>top_level_area</x:v>
      </x:c>
      <x:c r="L5417" s="2" t="str">
        <x:v>property_type_inferred_from_title;transaction_assumed_sale_from_dataset_context</x:v>
      </x:c>
      <x:c r="M5417" s="10" t="n">
        <x:v>0</x:v>
      </x:c>
      <x:c r="N5417" s="10" t="n">
        <x:v>0</x:v>
      </x:c>
      <x:c r="O5417" s="2" t="str">
        <x:v>Hà Nội|house</x:v>
      </x:c>
      <x:c r="P5417" s="10" t="n">
        <x:v>2</x:v>
      </x:c>
      <x:c r="Q5417" s="13" t="n">
        <x:f>IF(H5417="","",H5417/1000000000)</x:f>
        <x:v>2.3</x:v>
      </x:c>
      <x:c r="R5417" s="13" t="n">
        <x:f>IF(I5417="","",I5417/1000000)</x:f>
        <x:v>69.6969696969697</x:v>
      </x:c>
    </x:row>
    <x:row r="5418" ht="21" customHeight="1">
      <x:c r="A5418" s="10" t="n">
        <x:v>7080</x:v>
      </x:c>
      <x:c r="B5418" s="2" t="str">
        <x:v>be4b4f269538b12d5e59</x:v>
      </x:c>
      <x:c r="C5418" s="2" t="str">
        <x:v>Tp Hồ Chí Minh</x:v>
      </x:c>
      <x:c r="D5418" s="2" t="str">
        <x:v>Huyện Hóc Môn</x:v>
      </x:c>
      <x:c r="E5418" s="2" t="str">
        <x:v>land</x:v>
      </x:c>
      <x:c r="F5418" s="2" t="str">
        <x:v>sale</x:v>
      </x:c>
      <x:c r="G5418" s="11" t="n">
        <x:v>65</x:v>
      </x:c>
      <x:c r="H5418" s="12" t="n">
        <x:v>1050000000</x:v>
      </x:c>
      <x:c r="I5418" s="12" t="n">
        <x:v>16153846.153846154</x:v>
      </x:c>
      <x:c r="J5418" s="2" t="str">
        <x:v>total</x:v>
      </x:c>
      <x:c r="K5418" s="2" t="str">
        <x:v>top_level_area</x:v>
      </x:c>
      <x:c r="L5418" s="2" t="str">
        <x:v>property_type_inferred_from_title</x:v>
      </x:c>
      <x:c r="M5418" s="10" t="n">
        <x:v>0</x:v>
      </x:c>
      <x:c r="N5418" s="10" t="n">
        <x:v>0</x:v>
      </x:c>
      <x:c r="O5418" s="2" t="str">
        <x:v>Tp Hồ Chí Minh|land</x:v>
      </x:c>
      <x:c r="P5418" s="10" t="n">
        <x:v>2</x:v>
      </x:c>
      <x:c r="Q5418" s="13" t="n">
        <x:f>IF(H5418="","",H5418/1000000000)</x:f>
        <x:v>1.05</x:v>
      </x:c>
      <x:c r="R5418" s="13" t="n">
        <x:f>IF(I5418="","",I5418/1000000)</x:f>
        <x:v>16.153846153846153</x:v>
      </x:c>
    </x:row>
    <x:row r="5419" ht="21" customHeight="1">
      <x:c r="A5419" s="10" t="n">
        <x:v>7081</x:v>
      </x:c>
      <x:c r="B5419" s="2" t="str">
        <x:v>6479af27f94430069e34</x:v>
      </x:c>
      <x:c r="C5419" s="2" t="str">
        <x:v>Hà Nội</x:v>
      </x:c>
      <x:c r="D5419" s="2" t="str">
        <x:v>Quận Hoàng Mai</x:v>
      </x:c>
      <x:c r="E5419" s="2" t="str">
        <x:v>house</x:v>
      </x:c>
      <x:c r="F5419" s="2" t="str">
        <x:v>sale_assumed</x:v>
      </x:c>
      <x:c r="G5419" s="11" t="n">
        <x:v>40</x:v>
      </x:c>
      <x:c r="H5419" s="12" t="n">
        <x:v>2750000000</x:v>
      </x:c>
      <x:c r="I5419" s="12" t="n">
        <x:v>68750000</x:v>
      </x:c>
      <x:c r="J5419" s="2" t="str">
        <x:v>total</x:v>
      </x:c>
      <x:c r="K5419" s="2" t="str">
        <x:v>top_level_area</x:v>
      </x:c>
      <x:c r="L5419" s="2" t="str">
        <x:v>property_type_inferred_from_title;transaction_assumed_sale_from_dataset_context</x:v>
      </x:c>
      <x:c r="M5419" s="10" t="n">
        <x:v>0</x:v>
      </x:c>
      <x:c r="N5419" s="10" t="n">
        <x:v>0</x:v>
      </x:c>
      <x:c r="O5419" s="2" t="str">
        <x:v>Hà Nội|house</x:v>
      </x:c>
      <x:c r="P5419" s="10" t="n">
        <x:v>2</x:v>
      </x:c>
      <x:c r="Q5419" s="13" t="n">
        <x:f>IF(H5419="","",H5419/1000000000)</x:f>
        <x:v>2.75</x:v>
      </x:c>
      <x:c r="R5419" s="13" t="n">
        <x:f>IF(I5419="","",I5419/1000000)</x:f>
        <x:v>68.75</x:v>
      </x:c>
    </x:row>
    <x:row r="5420" ht="21" customHeight="1">
      <x:c r="A5420" s="10" t="n">
        <x:v>7082</x:v>
      </x:c>
      <x:c r="B5420" s="2" t="str">
        <x:v>94f81ac17b1c47eff457</x:v>
      </x:c>
      <x:c r="C5420" s="2" t="str">
        <x:v>Tp Hồ Chí Minh</x:v>
      </x:c>
      <x:c r="D5420" s="2" t="str">
        <x:v>Quận Bình Tân</x:v>
      </x:c>
      <x:c r="E5420" s="2" t="str">
        <x:v>other_unknown</x:v>
      </x:c>
      <x:c r="F5420" s="2" t="str">
        <x:v>sale</x:v>
      </x:c>
      <x:c r="G5420" s="11" t="n">
        <x:v>80</x:v>
      </x:c>
      <x:c r="H5420" s="12" t="n">
        <x:v>3200000000</x:v>
      </x:c>
      <x:c r="I5420" s="12" t="n">
        <x:v>40000000</x:v>
      </x:c>
      <x:c r="J5420" s="2" t="str">
        <x:v>total</x:v>
      </x:c>
      <x:c r="K5420" s="2" t="str">
        <x:v>top_level_area</x:v>
      </x:c>
      <x:c r="L5420" s="2" t="str">
        <x:v>property_type_inferred_from_title;unknown_property_type</x:v>
      </x:c>
      <x:c r="M5420" s="10" t="n">
        <x:v>0</x:v>
      </x:c>
      <x:c r="N5420" s="10" t="n">
        <x:v>0</x:v>
      </x:c>
      <x:c r="O5420" s="2" t="str">
        <x:v>Tp Hồ Chí Minh|other_unknown</x:v>
      </x:c>
      <x:c r="P5420" s="10" t="n">
        <x:v>2</x:v>
      </x:c>
      <x:c r="Q5420" s="13" t="n">
        <x:f>IF(H5420="","",H5420/1000000000)</x:f>
        <x:v>3.2</x:v>
      </x:c>
      <x:c r="R5420" s="13" t="n">
        <x:f>IF(I5420="","",I5420/1000000)</x:f>
        <x:v>40</x:v>
      </x:c>
    </x:row>
    <x:row r="5421" ht="21" customHeight="1">
      <x:c r="A5421" s="10" t="n">
        <x:v>7083</x:v>
      </x:c>
      <x:c r="B5421" s="2" t="str">
        <x:v>e3aa7d9f2e2d54ac65fe</x:v>
      </x:c>
      <x:c r="C5421" s="2" t="str">
        <x:v>Sóc Trăng</x:v>
      </x:c>
      <x:c r="D5421" s="2" t="str">
        <x:v>Thành phố Sóc Trăng</x:v>
      </x:c>
      <x:c r="E5421" s="2" t="str">
        <x:v>house</x:v>
      </x:c>
      <x:c r="F5421" s="2" t="str">
        <x:v>sale</x:v>
      </x:c>
      <x:c r="G5421" s="11" t="n">
        <x:v>88</x:v>
      </x:c>
      <x:c r="H5421" s="12" t="n">
        <x:v>3200000000</x:v>
      </x:c>
      <x:c r="I5421" s="12" t="n">
        <x:v>36363636.36363637</x:v>
      </x:c>
      <x:c r="J5421" s="2" t="str">
        <x:v>total</x:v>
      </x:c>
      <x:c r="K5421" s="2" t="str">
        <x:v>top_level_area</x:v>
      </x:c>
      <x:c r="L5421" s="2" t="str">
        <x:v>property_type_inferred_from_title</x:v>
      </x:c>
      <x:c r="M5421" s="10" t="n">
        <x:v>0</x:v>
      </x:c>
      <x:c r="N5421" s="10" t="n">
        <x:v>0</x:v>
      </x:c>
      <x:c r="O5421" s="2" t="str">
        <x:v>house</x:v>
      </x:c>
      <x:c r="P5421" s="10" t="n">
        <x:v>2</x:v>
      </x:c>
      <x:c r="Q5421" s="13" t="n">
        <x:f>IF(H5421="","",H5421/1000000000)</x:f>
        <x:v>3.2</x:v>
      </x:c>
      <x:c r="R5421" s="13" t="n">
        <x:f>IF(I5421="","",I5421/1000000)</x:f>
        <x:v>36.36363636363637</x:v>
      </x:c>
    </x:row>
    <x:row r="5422" ht="21" customHeight="1">
      <x:c r="A5422" s="10" t="n">
        <x:v>7084</x:v>
      </x:c>
      <x:c r="B5422" s="2" t="str">
        <x:v>fa5fabc1674a8f4a8059</x:v>
      </x:c>
      <x:c r="C5422" s="2" t="str">
        <x:v>Cần Thơ</x:v>
      </x:c>
      <x:c r="D5422" s="2" t="str">
        <x:v>Quận Ninh Kiều</x:v>
      </x:c>
      <x:c r="E5422" s="2" t="str">
        <x:v>house</x:v>
      </x:c>
      <x:c r="F5422" s="2" t="str">
        <x:v>sale_assumed</x:v>
      </x:c>
      <x:c r="G5422" s="11" t="n">
        <x:v>35</x:v>
      </x:c>
      <x:c r="H5422" s="12" t="n">
        <x:v>2900000000</x:v>
      </x:c>
      <x:c r="I5422" s="12" t="n">
        <x:v>82857142.85714285</x:v>
      </x:c>
      <x:c r="J5422" s="2" t="str">
        <x:v>total</x:v>
      </x:c>
      <x:c r="K5422" s="2" t="str">
        <x:v>top_level_area</x:v>
      </x:c>
      <x:c r="L5422" s="2" t="str">
        <x:v>property_type_inferred_from_title;transaction_assumed_sale_from_dataset_context</x:v>
      </x:c>
      <x:c r="M5422" s="10" t="n">
        <x:v>0</x:v>
      </x:c>
      <x:c r="N5422" s="10" t="n">
        <x:v>0</x:v>
      </x:c>
      <x:c r="O5422" s="2" t="str">
        <x:v>Cần Thơ|house</x:v>
      </x:c>
      <x:c r="P5422" s="10" t="n">
        <x:v>2</x:v>
      </x:c>
      <x:c r="Q5422" s="13" t="n">
        <x:f>IF(H5422="","",H5422/1000000000)</x:f>
        <x:v>2.9</x:v>
      </x:c>
      <x:c r="R5422" s="13" t="n">
        <x:f>IF(I5422="","",I5422/1000000)</x:f>
        <x:v>82.85714285714285</x:v>
      </x:c>
    </x:row>
    <x:row r="5423" ht="21" customHeight="1">
      <x:c r="A5423" s="10" t="n">
        <x:v>7085</x:v>
      </x:c>
      <x:c r="B5423" s="2" t="str">
        <x:v>a5553659f2f6c336d54a</x:v>
      </x:c>
      <x:c r="C5423" s="2" t="str">
        <x:v>Tp Hồ Chí Minh</x:v>
      </x:c>
      <x:c r="D5423" s="2" t="str">
        <x:v>Huyện Hóc Môn</x:v>
      </x:c>
      <x:c r="E5423" s="2" t="str">
        <x:v>house</x:v>
      </x:c>
      <x:c r="F5423" s="2" t="str">
        <x:v>sale</x:v>
      </x:c>
      <x:c r="G5423" s="11" t="n">
        <x:v>60</x:v>
      </x:c>
      <x:c r="H5423" s="12" t="n">
        <x:v>3650000000</x:v>
      </x:c>
      <x:c r="I5423" s="12" t="n">
        <x:v>60833333.333333336</x:v>
      </x:c>
      <x:c r="J5423" s="2" t="str">
        <x:v>total</x:v>
      </x:c>
      <x:c r="K5423" s="2" t="str">
        <x:v>top_level_area</x:v>
      </x:c>
      <x:c r="L5423" s="2" t="str">
        <x:v>property_type_inferred_from_title</x:v>
      </x:c>
      <x:c r="M5423" s="10" t="n">
        <x:v>0</x:v>
      </x:c>
      <x:c r="N5423" s="10" t="n">
        <x:v>0</x:v>
      </x:c>
      <x:c r="O5423" s="2" t="str">
        <x:v>Tp Hồ Chí Minh|house</x:v>
      </x:c>
      <x:c r="P5423" s="10" t="n">
        <x:v>2</x:v>
      </x:c>
      <x:c r="Q5423" s="13" t="n">
        <x:f>IF(H5423="","",H5423/1000000000)</x:f>
        <x:v>3.65</x:v>
      </x:c>
      <x:c r="R5423" s="13" t="n">
        <x:f>IF(I5423="","",I5423/1000000)</x:f>
        <x:v>60.833333333333336</x:v>
      </x:c>
    </x:row>
    <x:row r="5424" ht="21" customHeight="1">
      <x:c r="A5424" s="10" t="n">
        <x:v>7086</x:v>
      </x:c>
      <x:c r="B5424" s="2" t="str">
        <x:v>151507a5e652cc2b78f6</x:v>
      </x:c>
      <x:c r="C5424" s="2" t="str">
        <x:v>Bình Dương</x:v>
      </x:c>
      <x:c r="D5424" s="2" t="str">
        <x:v>Thị xã Bến Cát</x:v>
      </x:c>
      <x:c r="E5424" s="2" t="str">
        <x:v>other_unknown</x:v>
      </x:c>
      <x:c r="F5424" s="2" t="str">
        <x:v>sale</x:v>
      </x:c>
      <x:c r="G5424" s="11" t="n">
        <x:v>241</x:v>
      </x:c>
      <x:c r="H5424" s="12" t="n">
        <x:v>1550000000</x:v>
      </x:c>
      <x:c r="I5424" s="12" t="n">
        <x:v>6431535.269709543</x:v>
      </x:c>
      <x:c r="J5424" s="2" t="str">
        <x:v>total</x:v>
      </x:c>
      <x:c r="K5424" s="2" t="str">
        <x:v>top_level_area</x:v>
      </x:c>
      <x:c r="L5424" s="2" t="str">
        <x:v>property_type_inferred_from_title;unknown_property_type</x:v>
      </x:c>
      <x:c r="M5424" s="10" t="n">
        <x:v>0</x:v>
      </x:c>
      <x:c r="N5424" s="10" t="n">
        <x:v>0</x:v>
      </x:c>
      <x:c r="O5424" s="2" t="str">
        <x:v>Bình Dương|other_unknown</x:v>
      </x:c>
      <x:c r="P5424" s="10" t="n">
        <x:v>1</x:v>
      </x:c>
      <x:c r="Q5424" s="13" t="n">
        <x:f>IF(H5424="","",H5424/1000000000)</x:f>
        <x:v>1.55</x:v>
      </x:c>
      <x:c r="R5424" s="13" t="n">
        <x:f>IF(I5424="","",I5424/1000000)</x:f>
        <x:v>6.431535269709543</x:v>
      </x:c>
    </x:row>
    <x:row r="5425" ht="21" customHeight="1">
      <x:c r="A5425" s="10" t="n">
        <x:v>7088</x:v>
      </x:c>
      <x:c r="B5425" s="2" t="str">
        <x:v>a85291bc800b0e005a76</x:v>
      </x:c>
      <x:c r="C5425" s="2" t="str">
        <x:v>Bình Dương</x:v>
      </x:c>
      <x:c r="D5425" s="2" t="str">
        <x:v>Thị xã Dĩ An</x:v>
      </x:c>
      <x:c r="E5425" s="2" t="str">
        <x:v>other_unknown</x:v>
      </x:c>
      <x:c r="F5425" s="2" t="str">
        <x:v>sale</x:v>
      </x:c>
      <x:c r="G5425" s="11" t="n">
        <x:v>72</x:v>
      </x:c>
      <x:c r="H5425" s="12" t="n">
        <x:v>2400000000</x:v>
      </x:c>
      <x:c r="I5425" s="12" t="n">
        <x:v>33333333.333333332</x:v>
      </x:c>
      <x:c r="J5425" s="2" t="str">
        <x:v>total</x:v>
      </x:c>
      <x:c r="K5425" s="2" t="str">
        <x:v>top_level_area</x:v>
      </x:c>
      <x:c r="L5425" s="2" t="str">
        <x:v>property_type_inferred_from_title;unknown_property_type</x:v>
      </x:c>
      <x:c r="M5425" s="10" t="n">
        <x:v>0</x:v>
      </x:c>
      <x:c r="N5425" s="10" t="n">
        <x:v>0</x:v>
      </x:c>
      <x:c r="O5425" s="2" t="str">
        <x:v>Bình Dương|other_unknown</x:v>
      </x:c>
      <x:c r="P5425" s="10" t="n">
        <x:v>2</x:v>
      </x:c>
      <x:c r="Q5425" s="13" t="n">
        <x:f>IF(H5425="","",H5425/1000000000)</x:f>
        <x:v>2.4</x:v>
      </x:c>
      <x:c r="R5425" s="13" t="n">
        <x:f>IF(I5425="","",I5425/1000000)</x:f>
        <x:v>33.33333333333333</x:v>
      </x:c>
    </x:row>
    <x:row r="5426" ht="21" customHeight="1">
      <x:c r="A5426" s="10" t="n">
        <x:v>7092</x:v>
      </x:c>
      <x:c r="B5426" s="2" t="str">
        <x:v>ab60c320d38532e724ec</x:v>
      </x:c>
      <x:c r="C5426" s="2" t="str">
        <x:v>Tp Hồ Chí Minh</x:v>
      </x:c>
      <x:c r="D5426" s="2" t="str">
        <x:v>Quận Gò Vấp</x:v>
      </x:c>
      <x:c r="E5426" s="2" t="str">
        <x:v>house</x:v>
      </x:c>
      <x:c r="F5426" s="2" t="str">
        <x:v>sale_assumed</x:v>
      </x:c>
      <x:c r="G5426" s="11" t="n">
        <x:v>145</x:v>
      </x:c>
      <x:c r="H5426" s="12" t="n">
        <x:v>5680000000</x:v>
      </x:c>
      <x:c r="I5426" s="12" t="n">
        <x:v>39172413.79310345</x:v>
      </x:c>
      <x:c r="J5426" s="2" t="str">
        <x:v>total</x:v>
      </x:c>
      <x:c r="K5426" s="2" t="str">
        <x:v>top_level_area</x:v>
      </x:c>
      <x:c r="L5426" s="2" t="str">
        <x:v>property_type_inferred_from_title;transaction_assumed_sale_from_dataset_context</x:v>
      </x:c>
      <x:c r="M5426" s="10" t="n">
        <x:v>0</x:v>
      </x:c>
      <x:c r="N5426" s="10" t="n">
        <x:v>0</x:v>
      </x:c>
      <x:c r="O5426" s="2" t="str">
        <x:v>Tp Hồ Chí Minh|house</x:v>
      </x:c>
      <x:c r="P5426" s="10" t="n">
        <x:v>2</x:v>
      </x:c>
      <x:c r="Q5426" s="13" t="n">
        <x:f>IF(H5426="","",H5426/1000000000)</x:f>
        <x:v>5.68</x:v>
      </x:c>
      <x:c r="R5426" s="13" t="n">
        <x:f>IF(I5426="","",I5426/1000000)</x:f>
        <x:v>39.17241379310345</x:v>
      </x:c>
    </x:row>
    <x:row r="5427" ht="21" customHeight="1">
      <x:c r="A5427" s="10" t="n">
        <x:v>7093</x:v>
      </x:c>
      <x:c r="B5427" s="2" t="str">
        <x:v>4382c911fe88425b01df</x:v>
      </x:c>
      <x:c r="C5427" s="2" t="str">
        <x:v>Tp Hồ Chí Minh</x:v>
      </x:c>
      <x:c r="D5427" s="2" t="str">
        <x:v>Quận 12</x:v>
      </x:c>
      <x:c r="E5427" s="2" t="str">
        <x:v>house</x:v>
      </x:c>
      <x:c r="F5427" s="2" t="str">
        <x:v>sale_assumed</x:v>
      </x:c>
      <x:c r="G5427" s="11" t="n">
        <x:v>50</x:v>
      </x:c>
      <x:c r="H5427" s="12" t="n">
        <x:v>3150000000</x:v>
      </x:c>
      <x:c r="I5427" s="12" t="n">
        <x:v>63000000</x:v>
      </x:c>
      <x:c r="J5427" s="2" t="str">
        <x:v>total</x:v>
      </x:c>
      <x:c r="K5427" s="2" t="str">
        <x:v>top_level_area</x:v>
      </x:c>
      <x:c r="L5427" s="2" t="str">
        <x:v>property_type_inferred_from_title;transaction_assumed_sale_from_dataset_context</x:v>
      </x:c>
      <x:c r="M5427" s="10" t="n">
        <x:v>0</x:v>
      </x:c>
      <x:c r="N5427" s="10" t="n">
        <x:v>0</x:v>
      </x:c>
      <x:c r="O5427" s="2" t="str">
        <x:v>Tp Hồ Chí Minh|house</x:v>
      </x:c>
      <x:c r="P5427" s="10" t="n">
        <x:v>2</x:v>
      </x:c>
      <x:c r="Q5427" s="13" t="n">
        <x:f>IF(H5427="","",H5427/1000000000)</x:f>
        <x:v>3.15</x:v>
      </x:c>
      <x:c r="R5427" s="13" t="n">
        <x:f>IF(I5427="","",I5427/1000000)</x:f>
        <x:v>63</x:v>
      </x:c>
    </x:row>
    <x:row r="5428" ht="21" customHeight="1">
      <x:c r="A5428" s="10" t="n">
        <x:v>7095</x:v>
      </x:c>
      <x:c r="B5428" s="2" t="str">
        <x:v>15307aedddfadeb43838</x:v>
      </x:c>
      <x:c r="C5428" s="2" t="str">
        <x:v>Cần Thơ</x:v>
      </x:c>
      <x:c r="D5428" s="2" t="str">
        <x:v>Quận Ninh Kiều</x:v>
      </x:c>
      <x:c r="E5428" s="2" t="str">
        <x:v>house</x:v>
      </x:c>
      <x:c r="F5428" s="2" t="str">
        <x:v>sale</x:v>
      </x:c>
      <x:c r="G5428" s="11" t="n">
        <x:v>40.3</x:v>
      </x:c>
      <x:c r="H5428" s="12" t="n">
        <x:v>2290000000</x:v>
      </x:c>
      <x:c r="I5428" s="12" t="n">
        <x:v>56823821.339950375</x:v>
      </x:c>
      <x:c r="J5428" s="2" t="str">
        <x:v>total</x:v>
      </x:c>
      <x:c r="K5428" s="2" t="str">
        <x:v>top_level_area</x:v>
      </x:c>
      <x:c r="L5428" s="2" t="str">
        <x:v>property_type_inferred_from_title</x:v>
      </x:c>
      <x:c r="M5428" s="10" t="n">
        <x:v>0</x:v>
      </x:c>
      <x:c r="N5428" s="10" t="n">
        <x:v>0</x:v>
      </x:c>
      <x:c r="O5428" s="2" t="str">
        <x:v>Cần Thơ|house</x:v>
      </x:c>
      <x:c r="P5428" s="10" t="n">
        <x:v>2</x:v>
      </x:c>
      <x:c r="Q5428" s="13" t="n">
        <x:f>IF(H5428="","",H5428/1000000000)</x:f>
        <x:v>2.29</x:v>
      </x:c>
      <x:c r="R5428" s="13" t="n">
        <x:f>IF(I5428="","",I5428/1000000)</x:f>
        <x:v>56.82382133995038</x:v>
      </x:c>
    </x:row>
    <x:row r="5429" ht="21" customHeight="1">
      <x:c r="A5429" s="10" t="n">
        <x:v>7096</x:v>
      </x:c>
      <x:c r="B5429" s="2" t="str">
        <x:v>286e69197f6010c7db8e</x:v>
      </x:c>
      <x:c r="C5429" s="2" t="str">
        <x:v>Tp Hồ Chí Minh</x:v>
      </x:c>
      <x:c r="D5429" s="2" t="str">
        <x:v>Quận Gò Vấp</x:v>
      </x:c>
      <x:c r="E5429" s="2" t="str">
        <x:v>other_unknown</x:v>
      </x:c>
      <x:c r="F5429" s="2" t="str">
        <x:v>sale_assumed</x:v>
      </x:c>
      <x:c r="G5429" s="11" t="n">
        <x:v>70</x:v>
      </x:c>
      <x:c r="H5429" s="12" t="n">
        <x:v>5900000000</x:v>
      </x:c>
      <x:c r="I5429" s="12" t="n">
        <x:v>84285714.28571428</x:v>
      </x:c>
      <x:c r="J5429" s="2" t="str">
        <x:v>total</x:v>
      </x:c>
      <x:c r="K5429" s="2" t="str">
        <x:v>top_level_price_embedded_area</x:v>
      </x:c>
      <x:c r="L5429" s="2" t="str">
        <x:v>area_recovered_from_price_text;property_type_inferred_from_title;transaction_assumed_sale_from_dataset_context;unknown_property_type</x:v>
      </x:c>
      <x:c r="M5429" s="10" t="n">
        <x:v>0</x:v>
      </x:c>
      <x:c r="N5429" s="10" t="n">
        <x:v>0</x:v>
      </x:c>
      <x:c r="O5429" s="2" t="str">
        <x:v>Tp Hồ Chí Minh|other_unknown</x:v>
      </x:c>
      <x:c r="P5429" s="10" t="n">
        <x:v>2</x:v>
      </x:c>
      <x:c r="Q5429" s="13" t="n">
        <x:f>IF(H5429="","",H5429/1000000000)</x:f>
        <x:v>5.9</x:v>
      </x:c>
      <x:c r="R5429" s="13" t="n">
        <x:f>IF(I5429="","",I5429/1000000)</x:f>
        <x:v>84.28571428571428</x:v>
      </x:c>
    </x:row>
    <x:row r="5430" ht="21" customHeight="1">
      <x:c r="A5430" s="10" t="n">
        <x:v>7097</x:v>
      </x:c>
      <x:c r="B5430" s="2" t="str">
        <x:v>384c903de4ceff6594da</x:v>
      </x:c>
      <x:c r="C5430" s="2" t="str">
        <x:v>Tp Hồ Chí Minh</x:v>
      </x:c>
      <x:c r="D5430" s="2" t="str">
        <x:v>Quận 9</x:v>
      </x:c>
      <x:c r="E5430" s="2" t="str">
        <x:v>house</x:v>
      </x:c>
      <x:c r="F5430" s="2" t="str">
        <x:v>sale</x:v>
      </x:c>
      <x:c r="G5430" s="11" t="n">
        <x:v>84</x:v>
      </x:c>
      <x:c r="H5430" s="12" t="n">
        <x:v>8300000000.000001</x:v>
      </x:c>
      <x:c r="I5430" s="12" t="n">
        <x:v>98809523.80952382</x:v>
      </x:c>
      <x:c r="J5430" s="2" t="str">
        <x:v>total</x:v>
      </x:c>
      <x:c r="K5430" s="2" t="str">
        <x:v>top_level_area</x:v>
      </x:c>
      <x:c r="L5430" s="2" t="str">
        <x:v>property_type_inferred_from_title</x:v>
      </x:c>
      <x:c r="M5430" s="10" t="n">
        <x:v>0</x:v>
      </x:c>
      <x:c r="N5430" s="10" t="n">
        <x:v>0</x:v>
      </x:c>
      <x:c r="O5430" s="2" t="str">
        <x:v>Tp Hồ Chí Minh|house</x:v>
      </x:c>
      <x:c r="P5430" s="10" t="n">
        <x:v>2</x:v>
      </x:c>
      <x:c r="Q5430" s="13" t="n">
        <x:f>IF(H5430="","",H5430/1000000000)</x:f>
        <x:v>8.3</x:v>
      </x:c>
      <x:c r="R5430" s="13" t="n">
        <x:f>IF(I5430="","",I5430/1000000)</x:f>
        <x:v>98.80952380952382</x:v>
      </x:c>
    </x:row>
    <x:row r="5431" ht="21" customHeight="1">
      <x:c r="A5431" s="10" t="n">
        <x:v>7098</x:v>
      </x:c>
      <x:c r="B5431" s="2" t="str">
        <x:v>41aaeca99666c2c69151</x:v>
      </x:c>
      <x:c r="C5431" s="2" t="str">
        <x:v>Đà Nẵng</x:v>
      </x:c>
      <x:c r="D5431" s="2" t="str">
        <x:v>Quận Liên Chiểu</x:v>
      </x:c>
      <x:c r="E5431" s="2" t="str">
        <x:v>house</x:v>
      </x:c>
      <x:c r="F5431" s="2" t="str">
        <x:v>sale_assumed</x:v>
      </x:c>
      <x:c r="G5431" s="11" t="n">
        <x:v>104</x:v>
      </x:c>
      <x:c r="H5431" s="12" t="n">
        <x:v>4500000000</x:v>
      </x:c>
      <x:c r="I5431" s="12" t="n">
        <x:v>43269230.76923077</x:v>
      </x:c>
      <x:c r="J5431" s="2" t="str">
        <x:v>total</x:v>
      </x:c>
      <x:c r="K5431" s="2" t="str">
        <x:v>top_level_area</x:v>
      </x:c>
      <x:c r="L5431" s="2" t="str">
        <x:v>property_type_inferred_from_title;transaction_assumed_sale_from_dataset_context</x:v>
      </x:c>
      <x:c r="M5431" s="10" t="n">
        <x:v>0</x:v>
      </x:c>
      <x:c r="N5431" s="10" t="n">
        <x:v>0</x:v>
      </x:c>
      <x:c r="O5431" s="2" t="str">
        <x:v>Đà Nẵng|house</x:v>
      </x:c>
      <x:c r="P5431" s="10" t="n">
        <x:v>2</x:v>
      </x:c>
      <x:c r="Q5431" s="13" t="n">
        <x:f>IF(H5431="","",H5431/1000000000)</x:f>
        <x:v>4.5</x:v>
      </x:c>
      <x:c r="R5431" s="13" t="n">
        <x:f>IF(I5431="","",I5431/1000000)</x:f>
        <x:v>43.26923076923077</x:v>
      </x:c>
    </x:row>
    <x:row r="5432" ht="21" customHeight="1">
      <x:c r="A5432" s="10" t="n">
        <x:v>7099</x:v>
      </x:c>
      <x:c r="B5432" s="2" t="str">
        <x:v>4dbd4836308f17f1ad56</x:v>
      </x:c>
      <x:c r="C5432" s="2" t="str">
        <x:v>Tp Hồ Chí Minh</x:v>
      </x:c>
      <x:c r="D5432" s="2" t="str">
        <x:v>Quận 2</x:v>
      </x:c>
      <x:c r="E5432" s="2" t="str">
        <x:v>house</x:v>
      </x:c>
      <x:c r="F5432" s="2" t="str">
        <x:v>sale</x:v>
      </x:c>
      <x:c r="G5432" s="11" t="n">
        <x:v>69</x:v>
      </x:c>
      <x:c r="H5432" s="12" t="n">
        <x:v>1350000000</x:v>
      </x:c>
      <x:c r="I5432" s="12" t="n">
        <x:v>19565217.391304348</x:v>
      </x:c>
      <x:c r="J5432" s="2" t="str">
        <x:v>total</x:v>
      </x:c>
      <x:c r="K5432" s="2" t="str">
        <x:v>top_level_area</x:v>
      </x:c>
      <x:c r="L5432" s="2" t="str">
        <x:v>property_type_inferred_from_title</x:v>
      </x:c>
      <x:c r="M5432" s="10" t="n">
        <x:v>0</x:v>
      </x:c>
      <x:c r="N5432" s="10" t="n">
        <x:v>0</x:v>
      </x:c>
      <x:c r="O5432" s="2" t="str">
        <x:v>Tp Hồ Chí Minh|house</x:v>
      </x:c>
      <x:c r="P5432" s="10" t="n">
        <x:v>2</x:v>
      </x:c>
      <x:c r="Q5432" s="13" t="n">
        <x:f>IF(H5432="","",H5432/1000000000)</x:f>
        <x:v>1.35</x:v>
      </x:c>
      <x:c r="R5432" s="13" t="n">
        <x:f>IF(I5432="","",I5432/1000000)</x:f>
        <x:v>19.565217391304348</x:v>
      </x:c>
    </x:row>
    <x:row r="5433" ht="21" customHeight="1">
      <x:c r="A5433" s="10" t="n">
        <x:v>7100</x:v>
      </x:c>
      <x:c r="B5433" s="2" t="str">
        <x:v>22839e6064b598be05f6</x:v>
      </x:c>
      <x:c r="C5433" s="2" t="str">
        <x:v>Tp Hồ Chí Minh</x:v>
      </x:c>
      <x:c r="D5433" s="2" t="str">
        <x:v>Quận Thủ Đức</x:v>
      </x:c>
      <x:c r="E5433" s="2" t="str">
        <x:v>house</x:v>
      </x:c>
      <x:c r="F5433" s="2" t="str">
        <x:v>sale</x:v>
      </x:c>
      <x:c r="G5433" s="11" t="n">
        <x:v>50</x:v>
      </x:c>
      <x:c r="H5433" s="12" t="n">
        <x:v>2850000000</x:v>
      </x:c>
      <x:c r="I5433" s="12" t="n">
        <x:v>57000000</x:v>
      </x:c>
      <x:c r="J5433" s="2" t="str">
        <x:v>total</x:v>
      </x:c>
      <x:c r="K5433" s="2" t="str">
        <x:v>top_level_area</x:v>
      </x:c>
      <x:c r="L5433" s="2" t="str">
        <x:v>property_type_inferred_from_title</x:v>
      </x:c>
      <x:c r="M5433" s="10" t="n">
        <x:v>0</x:v>
      </x:c>
      <x:c r="N5433" s="10" t="n">
        <x:v>0</x:v>
      </x:c>
      <x:c r="O5433" s="2" t="str">
        <x:v>Tp Hồ Chí Minh|house</x:v>
      </x:c>
      <x:c r="P5433" s="10" t="n">
        <x:v>2</x:v>
      </x:c>
      <x:c r="Q5433" s="13" t="n">
        <x:f>IF(H5433="","",H5433/1000000000)</x:f>
        <x:v>2.85</x:v>
      </x:c>
      <x:c r="R5433" s="13" t="n">
        <x:f>IF(I5433="","",I5433/1000000)</x:f>
        <x:v>57</x:v>
      </x:c>
    </x:row>
    <x:row r="5434" ht="21" customHeight="1">
      <x:c r="A5434" s="10" t="n">
        <x:v>7101</x:v>
      </x:c>
      <x:c r="B5434" s="2" t="str">
        <x:v>074c6028319cb201c968</x:v>
      </x:c>
      <x:c r="C5434" s="2" t="str">
        <x:v>Tp Hồ Chí Minh</x:v>
      </x:c>
      <x:c r="D5434" s="2" t="str">
        <x:v>Quận Bình Thạnh</x:v>
      </x:c>
      <x:c r="E5434" s="2" t="str">
        <x:v>house</x:v>
      </x:c>
      <x:c r="F5434" s="2" t="str">
        <x:v>sale_assumed</x:v>
      </x:c>
      <x:c r="G5434" s="11" t="n">
        <x:v>80</x:v>
      </x:c>
      <x:c r="H5434" s="12" t="n">
        <x:v>1800000000</x:v>
      </x:c>
      <x:c r="I5434" s="12" t="n">
        <x:v>22500000</x:v>
      </x:c>
      <x:c r="J5434" s="2" t="str">
        <x:v>total</x:v>
      </x:c>
      <x:c r="K5434" s="2" t="str">
        <x:v>top_level_area</x:v>
      </x:c>
      <x:c r="L5434" s="2" t="str">
        <x:v>property_type_inferred_from_title;transaction_assumed_sale_from_dataset_context</x:v>
      </x:c>
      <x:c r="M5434" s="10" t="n">
        <x:v>0</x:v>
      </x:c>
      <x:c r="N5434" s="10" t="n">
        <x:v>0</x:v>
      </x:c>
      <x:c r="O5434" s="2" t="str">
        <x:v>Tp Hồ Chí Minh|house</x:v>
      </x:c>
      <x:c r="P5434" s="10" t="n">
        <x:v>2</x:v>
      </x:c>
      <x:c r="Q5434" s="13" t="n">
        <x:f>IF(H5434="","",H5434/1000000000)</x:f>
        <x:v>1.8</x:v>
      </x:c>
      <x:c r="R5434" s="13" t="n">
        <x:f>IF(I5434="","",I5434/1000000)</x:f>
        <x:v>22.5</x:v>
      </x:c>
    </x:row>
    <x:row r="5435" ht="21" customHeight="1">
      <x:c r="A5435" s="10" t="n">
        <x:v>7102</x:v>
      </x:c>
      <x:c r="B5435" s="2" t="str">
        <x:v>33c3938d16a53b54a92a</x:v>
      </x:c>
      <x:c r="C5435" s="2" t="str">
        <x:v>Tp Hồ Chí Minh</x:v>
      </x:c>
      <x:c r="D5435" s="2" t="str">
        <x:v>Quận 2</x:v>
      </x:c>
      <x:c r="E5435" s="2" t="str">
        <x:v>other_unknown</x:v>
      </x:c>
      <x:c r="F5435" s="2" t="str">
        <x:v>sale_assumed</x:v>
      </x:c>
      <x:c r="G5435" s="11" t="n">
        <x:v>68.8</x:v>
      </x:c>
      <x:c r="H5435" s="12" t="n">
        <x:v>4350000000</x:v>
      </x:c>
      <x:c r="I5435" s="12" t="n">
        <x:v>63226744.18604651</x:v>
      </x:c>
      <x:c r="J5435" s="2" t="str">
        <x:v>total</x:v>
      </x:c>
      <x:c r="K5435" s="2" t="str">
        <x:v>top_level_area</x:v>
      </x:c>
      <x:c r="L5435" s="2" t="str">
        <x:v>property_type_inferred_from_title;transaction_assumed_sale_from_dataset_context;unknown_property_type</x:v>
      </x:c>
      <x:c r="M5435" s="10" t="n">
        <x:v>0</x:v>
      </x:c>
      <x:c r="N5435" s="10" t="n">
        <x:v>0</x:v>
      </x:c>
      <x:c r="O5435" s="2" t="str">
        <x:v>Tp Hồ Chí Minh|other_unknown</x:v>
      </x:c>
      <x:c r="P5435" s="10" t="n">
        <x:v>2</x:v>
      </x:c>
      <x:c r="Q5435" s="13" t="n">
        <x:f>IF(H5435="","",H5435/1000000000)</x:f>
        <x:v>4.35</x:v>
      </x:c>
      <x:c r="R5435" s="13" t="n">
        <x:f>IF(I5435="","",I5435/1000000)</x:f>
        <x:v>63.22674418604651</x:v>
      </x:c>
    </x:row>
    <x:row r="5436" ht="21" customHeight="1">
      <x:c r="A5436" s="10" t="n">
        <x:v>7103</x:v>
      </x:c>
      <x:c r="B5436" s="2" t="str">
        <x:v>8774b74652f4aaed6d41</x:v>
      </x:c>
      <x:c r="C5436" s="2" t="str">
        <x:v>Đắk Lắk</x:v>
      </x:c>
      <x:c r="D5436" s="2" t="str">
        <x:v>Thành phố Buôn Ma Thuột</x:v>
      </x:c>
      <x:c r="E5436" s="2" t="str">
        <x:v>land</x:v>
      </x:c>
      <x:c r="F5436" s="2" t="str">
        <x:v>sale_assumed</x:v>
      </x:c>
      <x:c r="G5436" s="11" t="n">
        <x:v>135</x:v>
      </x:c>
      <x:c r="H5436" s="12" t="n">
        <x:v>1350000000</x:v>
      </x:c>
      <x:c r="I5436" s="12" t="n">
        <x:v>10000000</x:v>
      </x:c>
      <x:c r="J5436" s="2" t="str">
        <x:v>total</x:v>
      </x:c>
      <x:c r="K5436" s="2" t="str">
        <x:v>top_level_area</x:v>
      </x:c>
      <x:c r="L5436" s="2" t="str">
        <x:v>property_type_inferred_from_title;transaction_assumed_sale_from_dataset_context</x:v>
      </x:c>
      <x:c r="M5436" s="10" t="n">
        <x:v>0</x:v>
      </x:c>
      <x:c r="N5436" s="10" t="n">
        <x:v>0</x:v>
      </x:c>
      <x:c r="O5436" s="2" t="str">
        <x:v>Đắk Lắk|land</x:v>
      </x:c>
      <x:c r="P5436" s="10" t="n">
        <x:v>2</x:v>
      </x:c>
      <x:c r="Q5436" s="13" t="n">
        <x:f>IF(H5436="","",H5436/1000000000)</x:f>
        <x:v>1.35</x:v>
      </x:c>
      <x:c r="R5436" s="13" t="n">
        <x:f>IF(I5436="","",I5436/1000000)</x:f>
        <x:v>10</x:v>
      </x:c>
    </x:row>
    <x:row r="5437" ht="21" customHeight="1">
      <x:c r="A5437" s="10" t="n">
        <x:v>7104</x:v>
      </x:c>
      <x:c r="B5437" s="2" t="str">
        <x:v>a7b28842aecfab84788c</x:v>
      </x:c>
      <x:c r="C5437" s="2" t="str">
        <x:v>Tây Ninh</x:v>
      </x:c>
      <x:c r="D5437" s="2" t="str">
        <x:v>Huyện Gò Dầu</x:v>
      </x:c>
      <x:c r="E5437" s="2" t="str">
        <x:v>land</x:v>
      </x:c>
      <x:c r="F5437" s="2" t="str">
        <x:v>sale</x:v>
      </x:c>
      <x:c r="G5437" s="11" t="n">
        <x:v>95</x:v>
      </x:c>
      <x:c r="H5437" s="12" t="n">
        <x:v>245000000</x:v>
      </x:c>
      <x:c r="I5437" s="12" t="n">
        <x:v>2578947.3684210526</x:v>
      </x:c>
      <x:c r="J5437" s="2" t="str">
        <x:v>total</x:v>
      </x:c>
      <x:c r="K5437" s="2" t="str">
        <x:v>top_level_area</x:v>
      </x:c>
      <x:c r="L5437" s="2" t="str">
        <x:v>property_type_inferred_from_title</x:v>
      </x:c>
      <x:c r="M5437" s="10" t="n">
        <x:v>0</x:v>
      </x:c>
      <x:c r="N5437" s="10" t="n">
        <x:v>0</x:v>
      </x:c>
      <x:c r="O5437" s="2" t="str">
        <x:v>land</x:v>
      </x:c>
      <x:c r="P5437" s="10" t="n">
        <x:v>1</x:v>
      </x:c>
      <x:c r="Q5437" s="13" t="n">
        <x:f>IF(H5437="","",H5437/1000000000)</x:f>
        <x:v>0.245</x:v>
      </x:c>
      <x:c r="R5437" s="13" t="n">
        <x:f>IF(I5437="","",I5437/1000000)</x:f>
        <x:v>2.5789473684210527</x:v>
      </x:c>
    </x:row>
    <x:row r="5438" ht="21" customHeight="1">
      <x:c r="A5438" s="10" t="n">
        <x:v>7105</x:v>
      </x:c>
      <x:c r="B5438" s="2" t="str">
        <x:v>dfa7ecc2a3a9c8e6a5f3</x:v>
      </x:c>
      <x:c r="C5438" s="2" t="str">
        <x:v>Hà Nội</x:v>
      </x:c>
      <x:c r="D5438" s="2" t="str">
        <x:v>Quận Hà Đông</x:v>
      </x:c>
      <x:c r="E5438" s="2" t="str">
        <x:v>other_unknown</x:v>
      </x:c>
      <x:c r="F5438" s="2" t="str">
        <x:v>sale_assumed</x:v>
      </x:c>
      <x:c r="G5438" s="11" t="n">
        <x:v>38</x:v>
      </x:c>
      <x:c r="H5438" s="12" t="n">
        <x:v>1900000000</x:v>
      </x:c>
      <x:c r="I5438" s="12" t="n">
        <x:v>50000000</x:v>
      </x:c>
      <x:c r="J5438" s="2" t="str">
        <x:v>total</x:v>
      </x:c>
      <x:c r="K5438" s="2" t="str">
        <x:v>top_level_area</x:v>
      </x:c>
      <x:c r="L5438" s="2" t="str">
        <x:v>property_type_inferred_from_title;transaction_assumed_sale_from_dataset_context;unknown_property_type</x:v>
      </x:c>
      <x:c r="M5438" s="10" t="n">
        <x:v>0</x:v>
      </x:c>
      <x:c r="N5438" s="10" t="n">
        <x:v>0</x:v>
      </x:c>
      <x:c r="O5438" s="2" t="str">
        <x:v>Hà Nội|other_unknown</x:v>
      </x:c>
      <x:c r="P5438" s="10" t="n">
        <x:v>2</x:v>
      </x:c>
      <x:c r="Q5438" s="13" t="n">
        <x:f>IF(H5438="","",H5438/1000000000)</x:f>
        <x:v>1.9</x:v>
      </x:c>
      <x:c r="R5438" s="13" t="n">
        <x:f>IF(I5438="","",I5438/1000000)</x:f>
        <x:v>50</x:v>
      </x:c>
    </x:row>
    <x:row r="5439" ht="21" customHeight="1">
      <x:c r="A5439" s="10" t="n">
        <x:v>7106</x:v>
      </x:c>
      <x:c r="B5439" s="2" t="str">
        <x:v>5327186ea2d6a55c1d9d</x:v>
      </x:c>
      <x:c r="C5439" s="2" t="str">
        <x:v>Tp Hồ Chí Minh</x:v>
      </x:c>
      <x:c r="D5439" s="2" t="str">
        <x:v>Quận Bình Thạnh</x:v>
      </x:c>
      <x:c r="E5439" s="2" t="str">
        <x:v>house</x:v>
      </x:c>
      <x:c r="F5439" s="2" t="str">
        <x:v>sale_assumed</x:v>
      </x:c>
      <x:c r="G5439" s="11" t="n">
        <x:v>23</x:v>
      </x:c>
      <x:c r="H5439" s="12" t="n">
        <x:v>699000000</x:v>
      </x:c>
      <x:c r="I5439" s="12" t="n">
        <x:v>30391304.347826086</x:v>
      </x:c>
      <x:c r="J5439" s="2" t="str">
        <x:v>total</x:v>
      </x:c>
      <x:c r="K5439" s="2" t="str">
        <x:v>top_level_area</x:v>
      </x:c>
      <x:c r="L5439" s="2" t="str">
        <x:v>property_type_inferred_from_title;transaction_assumed_sale_from_dataset_context</x:v>
      </x:c>
      <x:c r="M5439" s="10" t="n">
        <x:v>0</x:v>
      </x:c>
      <x:c r="N5439" s="10" t="n">
        <x:v>0</x:v>
      </x:c>
      <x:c r="O5439" s="2" t="str">
        <x:v>Tp Hồ Chí Minh|house</x:v>
      </x:c>
      <x:c r="P5439" s="10" t="n">
        <x:v>2</x:v>
      </x:c>
      <x:c r="Q5439" s="13" t="n">
        <x:f>IF(H5439="","",H5439/1000000000)</x:f>
        <x:v>0.699</x:v>
      </x:c>
      <x:c r="R5439" s="13" t="n">
        <x:f>IF(I5439="","",I5439/1000000)</x:f>
        <x:v>30.391304347826086</x:v>
      </x:c>
    </x:row>
    <x:row r="5440" ht="21" customHeight="1">
      <x:c r="A5440" s="10" t="n">
        <x:v>7107</x:v>
      </x:c>
      <x:c r="B5440" s="2" t="str">
        <x:v>1f433e31ec01314de133</x:v>
      </x:c>
      <x:c r="C5440" s="2" t="str">
        <x:v>Hà Nội</x:v>
      </x:c>
      <x:c r="D5440" s="2" t="str">
        <x:v>Quận Hai Bà Trưng</x:v>
      </x:c>
      <x:c r="E5440" s="2" t="str">
        <x:v>house</x:v>
      </x:c>
      <x:c r="F5440" s="2" t="str">
        <x:v>sale_assumed</x:v>
      </x:c>
      <x:c r="G5440" s="11" t="n">
        <x:v>30</x:v>
      </x:c>
      <x:c r="H5440" s="12" t="n">
        <x:v>2550000000</x:v>
      </x:c>
      <x:c r="I5440" s="12" t="n">
        <x:v>85000000</x:v>
      </x:c>
      <x:c r="J5440" s="2" t="str">
        <x:v>total</x:v>
      </x:c>
      <x:c r="K5440" s="2" t="str">
        <x:v>top_level_area</x:v>
      </x:c>
      <x:c r="L5440" s="2" t="str">
        <x:v>property_type_inferred_from_title;transaction_assumed_sale_from_dataset_context</x:v>
      </x:c>
      <x:c r="M5440" s="10" t="n">
        <x:v>0</x:v>
      </x:c>
      <x:c r="N5440" s="10" t="n">
        <x:v>0</x:v>
      </x:c>
      <x:c r="O5440" s="2" t="str">
        <x:v>Hà Nội|house</x:v>
      </x:c>
      <x:c r="P5440" s="10" t="n">
        <x:v>2</x:v>
      </x:c>
      <x:c r="Q5440" s="13" t="n">
        <x:f>IF(H5440="","",H5440/1000000000)</x:f>
        <x:v>2.55</x:v>
      </x:c>
      <x:c r="R5440" s="13" t="n">
        <x:f>IF(I5440="","",I5440/1000000)</x:f>
        <x:v>85</x:v>
      </x:c>
    </x:row>
    <x:row r="5441" ht="21" customHeight="1">
      <x:c r="A5441" s="10" t="n">
        <x:v>7108</x:v>
      </x:c>
      <x:c r="B5441" s="2" t="str">
        <x:v>b635f4204deea77ef1f2</x:v>
      </x:c>
      <x:c r="C5441" s="2" t="str">
        <x:v>Tp Hồ Chí Minh</x:v>
      </x:c>
      <x:c r="D5441" s="2" t="str">
        <x:v>Quận Tân Phú</x:v>
      </x:c>
      <x:c r="E5441" s="2" t="str">
        <x:v>other_unknown</x:v>
      </x:c>
      <x:c r="F5441" s="2" t="str">
        <x:v>sale_assumed</x:v>
      </x:c>
      <x:c r="G5441" s="11" t="n">
        <x:v>120</x:v>
      </x:c>
      <x:c r="H5441" s="12" t="n">
        <x:v>7000000000</x:v>
      </x:c>
      <x:c r="I5441" s="12" t="n">
        <x:v>58333333.333333336</x:v>
      </x:c>
      <x:c r="J5441" s="2" t="str">
        <x:v>total</x:v>
      </x:c>
      <x:c r="K5441" s="2" t="str">
        <x:v>top_level_area</x:v>
      </x:c>
      <x:c r="L5441" s="2" t="str">
        <x:v>property_type_inferred_from_title;transaction_assumed_sale_from_dataset_context;unknown_property_type</x:v>
      </x:c>
      <x:c r="M5441" s="10" t="n">
        <x:v>0</x:v>
      </x:c>
      <x:c r="N5441" s="10" t="n">
        <x:v>0</x:v>
      </x:c>
      <x:c r="O5441" s="2" t="str">
        <x:v>Tp Hồ Chí Minh|other_unknown</x:v>
      </x:c>
      <x:c r="P5441" s="10" t="n">
        <x:v>2</x:v>
      </x:c>
      <x:c r="Q5441" s="13" t="n">
        <x:f>IF(H5441="","",H5441/1000000000)</x:f>
        <x:v>7</x:v>
      </x:c>
      <x:c r="R5441" s="13" t="n">
        <x:f>IF(I5441="","",I5441/1000000)</x:f>
        <x:v>58.333333333333336</x:v>
      </x:c>
    </x:row>
    <x:row r="5442" ht="21" customHeight="1">
      <x:c r="A5442" s="10" t="n">
        <x:v>7109</x:v>
      </x:c>
      <x:c r="B5442" s="2" t="str">
        <x:v>0c46072085ea1c52aaa7</x:v>
      </x:c>
      <x:c r="C5442" s="2" t="str">
        <x:v>Tp Hồ Chí Minh</x:v>
      </x:c>
      <x:c r="D5442" s="2" t="str">
        <x:v>Huyện Nhà Bè</x:v>
      </x:c>
      <x:c r="E5442" s="2" t="str">
        <x:v>house</x:v>
      </x:c>
      <x:c r="F5442" s="2" t="str">
        <x:v>sale_assumed</x:v>
      </x:c>
      <x:c r="G5442" s="11" t="n">
        <x:v>39</x:v>
      </x:c>
      <x:c r="H5442" s="12" t="n">
        <x:v>2250000000</x:v>
      </x:c>
      <x:c r="I5442" s="12" t="n">
        <x:v>57692307.692307696</x:v>
      </x:c>
      <x:c r="J5442" s="2" t="str">
        <x:v>total</x:v>
      </x:c>
      <x:c r="K5442" s="2" t="str">
        <x:v>top_level_area</x:v>
      </x:c>
      <x:c r="L5442" s="2" t="str">
        <x:v>property_type_inferred_from_title;transaction_assumed_sale_from_dataset_context</x:v>
      </x:c>
      <x:c r="M5442" s="10" t="n">
        <x:v>0</x:v>
      </x:c>
      <x:c r="N5442" s="10" t="n">
        <x:v>0</x:v>
      </x:c>
      <x:c r="O5442" s="2" t="str">
        <x:v>Tp Hồ Chí Minh|house</x:v>
      </x:c>
      <x:c r="P5442" s="10" t="n">
        <x:v>2</x:v>
      </x:c>
      <x:c r="Q5442" s="13" t="n">
        <x:f>IF(H5442="","",H5442/1000000000)</x:f>
        <x:v>2.25</x:v>
      </x:c>
      <x:c r="R5442" s="13" t="n">
        <x:f>IF(I5442="","",I5442/1000000)</x:f>
        <x:v>57.69230769230769</x:v>
      </x:c>
    </x:row>
    <x:row r="5443" ht="21" customHeight="1">
      <x:c r="A5443" s="10" t="n">
        <x:v>7111</x:v>
      </x:c>
      <x:c r="B5443" s="2" t="str">
        <x:v>c5c7490cc3944e22f417</x:v>
      </x:c>
      <x:c r="C5443" s="2" t="str">
        <x:v>Đồng Nai</x:v>
      </x:c>
      <x:c r="D5443" s="2" t="str">
        <x:v>Thành phố Biên Hòa</x:v>
      </x:c>
      <x:c r="E5443" s="2" t="str">
        <x:v>land</x:v>
      </x:c>
      <x:c r="F5443" s="2" t="str">
        <x:v>sale</x:v>
      </x:c>
      <x:c r="G5443" s="11" t="n">
        <x:v>100</x:v>
      </x:c>
      <x:c r="H5443" s="12" t="n">
        <x:v>610000000</x:v>
      </x:c>
      <x:c r="I5443" s="12" t="n">
        <x:v>6100000</x:v>
      </x:c>
      <x:c r="J5443" s="2" t="str">
        <x:v>total</x:v>
      </x:c>
      <x:c r="K5443" s="2" t="str">
        <x:v>top_level_area</x:v>
      </x:c>
      <x:c r="L5443" s="2" t="str">
        <x:v>property_type_inferred_from_title</x:v>
      </x:c>
      <x:c r="M5443" s="10" t="n">
        <x:v>0</x:v>
      </x:c>
      <x:c r="N5443" s="10" t="n">
        <x:v>0</x:v>
      </x:c>
      <x:c r="O5443" s="2" t="str">
        <x:v>Đồng Nai|land</x:v>
      </x:c>
      <x:c r="P5443" s="10" t="n">
        <x:v>2</x:v>
      </x:c>
      <x:c r="Q5443" s="13" t="n">
        <x:f>IF(H5443="","",H5443/1000000000)</x:f>
        <x:v>0.61</x:v>
      </x:c>
      <x:c r="R5443" s="13" t="n">
        <x:f>IF(I5443="","",I5443/1000000)</x:f>
        <x:v>6.1</x:v>
      </x:c>
    </x:row>
    <x:row r="5444" ht="21" customHeight="1">
      <x:c r="A5444" s="10" t="n">
        <x:v>7114</x:v>
      </x:c>
      <x:c r="B5444" s="2" t="str">
        <x:v>2ff4a658c99f10b14a3d</x:v>
      </x:c>
      <x:c r="C5444" s="2" t="str">
        <x:v>Cà Mau</x:v>
      </x:c>
      <x:c r="D5444" s="2" t="str">
        <x:v>Thành phố Cà Mau</x:v>
      </x:c>
      <x:c r="E5444" s="2" t="str">
        <x:v>house</x:v>
      </x:c>
      <x:c r="F5444" s="2" t="str">
        <x:v>sale_assumed</x:v>
      </x:c>
      <x:c r="G5444" s="11" t="n">
        <x:v>3200</x:v>
      </x:c>
      <x:c r="H5444" s="12" t="n">
        <x:v>10500000000</x:v>
      </x:c>
      <x:c r="I5444" s="12" t="n">
        <x:v>3281250</x:v>
      </x:c>
      <x:c r="J5444" s="2" t="str">
        <x:v>total</x:v>
      </x:c>
      <x:c r="K5444" s="2" t="str">
        <x:v>top_level_price_embedded_area</x:v>
      </x:c>
      <x:c r="L5444" s="2" t="str">
        <x:v>area_recovered_from_price_text;dot_thousands_convention;property_type_inferred_from_title;transaction_assumed_sale_from_dataset_context</x:v>
      </x:c>
      <x:c r="M5444" s="10" t="n">
        <x:v>0</x:v>
      </x:c>
      <x:c r="N5444" s="10" t="n">
        <x:v>0</x:v>
      </x:c>
      <x:c r="O5444" s="2" t="str">
        <x:v>house</x:v>
      </x:c>
      <x:c r="P5444" s="10" t="n">
        <x:v>1</x:v>
      </x:c>
      <x:c r="Q5444" s="13" t="n">
        <x:f>IF(H5444="","",H5444/1000000000)</x:f>
        <x:v>10.5</x:v>
      </x:c>
      <x:c r="R5444" s="13" t="n">
        <x:f>IF(I5444="","",I5444/1000000)</x:f>
        <x:v>3.28125</x:v>
      </x:c>
    </x:row>
    <x:row r="5445" ht="21" customHeight="1">
      <x:c r="A5445" s="10" t="n">
        <x:v>7115</x:v>
      </x:c>
      <x:c r="B5445" s="2" t="str">
        <x:v>7b740ecc54a686ca7b1d</x:v>
      </x:c>
      <x:c r="C5445" s="2" t="str">
        <x:v>Bình Phước</x:v>
      </x:c>
      <x:c r="D5445" s="2" t="str">
        <x:v>Huyện Đồng Phú</x:v>
      </x:c>
      <x:c r="E5445" s="2" t="str">
        <x:v>land</x:v>
      </x:c>
      <x:c r="F5445" s="2" t="str">
        <x:v>sale_assumed</x:v>
      </x:c>
      <x:c r="G5445" s="11" t="n">
        <x:v>2148</x:v>
      </x:c>
      <x:c r="H5445" s="12" t="n">
        <x:v>390000000</x:v>
      </x:c>
      <x:c r="I5445" s="12" t="n">
        <x:v>181564.24581005587</x:v>
      </x:c>
      <x:c r="J5445" s="2" t="str">
        <x:v>total</x:v>
      </x:c>
      <x:c r="K5445" s="2" t="str">
        <x:v>top_level_area</x:v>
      </x:c>
      <x:c r="L5445" s="2" t="str">
        <x:v>dot_thousands_convention;property_type_inferred_from_title;transaction_assumed_sale_from_dataset_context</x:v>
      </x:c>
      <x:c r="M5445" s="10" t="n">
        <x:v>0</x:v>
      </x:c>
      <x:c r="N5445" s="10" t="n">
        <x:v>0</x:v>
      </x:c>
      <x:c r="O5445" s="2" t="str">
        <x:v>Bình Phước|land</x:v>
      </x:c>
      <x:c r="P5445" s="10" t="n">
        <x:v>1</x:v>
      </x:c>
      <x:c r="Q5445" s="13" t="n">
        <x:f>IF(H5445="","",H5445/1000000000)</x:f>
        <x:v>0.39</x:v>
      </x:c>
      <x:c r="R5445" s="13" t="n">
        <x:f>IF(I5445="","",I5445/1000000)</x:f>
        <x:v>0.18156424581005587</x:v>
      </x:c>
    </x:row>
    <x:row r="5446" ht="21" customHeight="1">
      <x:c r="A5446" s="10" t="n">
        <x:v>7116</x:v>
      </x:c>
      <x:c r="B5446" s="2" t="str">
        <x:v>c29dcd38b1b3ebb5888a</x:v>
      </x:c>
      <x:c r="C5446" s="2" t="str">
        <x:v>Tp Hồ Chí Minh</x:v>
      </x:c>
      <x:c r="D5446" s="2" t="str">
        <x:v>Quận Bình Tân</x:v>
      </x:c>
      <x:c r="E5446" s="2" t="str">
        <x:v>apartment</x:v>
      </x:c>
      <x:c r="F5446" s="2" t="str">
        <x:v>sale_assumed</x:v>
      </x:c>
      <x:c r="G5446" s="11" t="n">
        <x:v>77</x:v>
      </x:c>
      <x:c r="H5446" s="12" t="n">
        <x:v>2850000000</x:v>
      </x:c>
      <x:c r="I5446" s="12" t="n">
        <x:v>37012987.01298701</x:v>
      </x:c>
      <x:c r="J5446" s="2" t="str">
        <x:v>total</x:v>
      </x:c>
      <x:c r="K5446" s="2" t="str">
        <x:v>top_level_area</x:v>
      </x:c>
      <x:c r="L5446" s="2" t="str">
        <x:v>property_type_inferred_from_title;transaction_assumed_sale_from_dataset_context</x:v>
      </x:c>
      <x:c r="M5446" s="10" t="n">
        <x:v>0</x:v>
      </x:c>
      <x:c r="N5446" s="10" t="n">
        <x:v>0</x:v>
      </x:c>
      <x:c r="O5446" s="2" t="str">
        <x:v>Tp Hồ Chí Minh|apartment</x:v>
      </x:c>
      <x:c r="P5446" s="10" t="n">
        <x:v>2</x:v>
      </x:c>
      <x:c r="Q5446" s="13" t="n">
        <x:f>IF(H5446="","",H5446/1000000000)</x:f>
        <x:v>2.85</x:v>
      </x:c>
      <x:c r="R5446" s="13" t="n">
        <x:f>IF(I5446="","",I5446/1000000)</x:f>
        <x:v>37.01298701298701</x:v>
      </x:c>
    </x:row>
    <x:row r="5447" ht="21" customHeight="1">
      <x:c r="A5447" s="10" t="n">
        <x:v>7117</x:v>
      </x:c>
      <x:c r="B5447" s="2" t="str">
        <x:v>18cfbb4bac4179111f6d</x:v>
      </x:c>
      <x:c r="C5447" s="2" t="str">
        <x:v>Đắk Lắk</x:v>
      </x:c>
      <x:c r="D5447" s="2" t="str">
        <x:v>Thành phố Buôn Ma Thuột</x:v>
      </x:c>
      <x:c r="E5447" s="2" t="str">
        <x:v>land</x:v>
      </x:c>
      <x:c r="F5447" s="2" t="str">
        <x:v>sale_assumed</x:v>
      </x:c>
      <x:c r="G5447" s="11" t="n">
        <x:v>15000</x:v>
      </x:c>
      <x:c r="H5447" s="12" t="n">
        <x:v>1950000000</x:v>
      </x:c>
      <x:c r="I5447" s="12" t="n">
        <x:v>130000</x:v>
      </x:c>
      <x:c r="J5447" s="2" t="str">
        <x:v>total</x:v>
      </x:c>
      <x:c r="K5447" s="2" t="str">
        <x:v>top_level_area</x:v>
      </x:c>
      <x:c r="L5447" s="2" t="str">
        <x:v>dot_thousands_convention;property_type_inferred_from_title;transaction_assumed_sale_from_dataset_context</x:v>
      </x:c>
      <x:c r="M5447" s="10" t="n">
        <x:v>0</x:v>
      </x:c>
      <x:c r="N5447" s="10" t="n">
        <x:v>0</x:v>
      </x:c>
      <x:c r="O5447" s="2" t="str">
        <x:v>Đắk Lắk|land</x:v>
      </x:c>
      <x:c r="P5447" s="10" t="n">
        <x:v>1</x:v>
      </x:c>
      <x:c r="Q5447" s="13" t="n">
        <x:f>IF(H5447="","",H5447/1000000000)</x:f>
        <x:v>1.95</x:v>
      </x:c>
      <x:c r="R5447" s="13" t="n">
        <x:f>IF(I5447="","",I5447/1000000)</x:f>
        <x:v>0.13</x:v>
      </x:c>
    </x:row>
    <x:row r="5448" ht="21" customHeight="1">
      <x:c r="A5448" s="10" t="n">
        <x:v>7118</x:v>
      </x:c>
      <x:c r="B5448" s="2" t="str">
        <x:v>968e54a7e5db3a0ec7fa</x:v>
      </x:c>
      <x:c r="C5448" s="2" t="str">
        <x:v>Tp Hồ Chí Minh</x:v>
      </x:c>
      <x:c r="D5448" s="2" t="str">
        <x:v>Quận 8</x:v>
      </x:c>
      <x:c r="E5448" s="2" t="str">
        <x:v>apartment</x:v>
      </x:c>
      <x:c r="F5448" s="2" t="str">
        <x:v>sale</x:v>
      </x:c>
      <x:c r="G5448" s="11" t="n">
        <x:v>72</x:v>
      </x:c>
      <x:c r="H5448" s="12" t="n">
        <x:v>2000000000</x:v>
      </x:c>
      <x:c r="I5448" s="12" t="n">
        <x:v>27777777.777777776</x:v>
      </x:c>
      <x:c r="J5448" s="2" t="str">
        <x:v>total</x:v>
      </x:c>
      <x:c r="K5448" s="2" t="str">
        <x:v>top_level_area</x:v>
      </x:c>
      <x:c r="L5448" s="2" t="str">
        <x:v>property_type_inferred_from_title</x:v>
      </x:c>
      <x:c r="M5448" s="10" t="n">
        <x:v>0</x:v>
      </x:c>
      <x:c r="N5448" s="10" t="n">
        <x:v>0</x:v>
      </x:c>
      <x:c r="O5448" s="2" t="str">
        <x:v>Tp Hồ Chí Minh|apartment</x:v>
      </x:c>
      <x:c r="P5448" s="10" t="n">
        <x:v>2</x:v>
      </x:c>
      <x:c r="Q5448" s="13" t="n">
        <x:f>IF(H5448="","",H5448/1000000000)</x:f>
        <x:v>2</x:v>
      </x:c>
      <x:c r="R5448" s="13" t="n">
        <x:f>IF(I5448="","",I5448/1000000)</x:f>
        <x:v>27.777777777777775</x:v>
      </x:c>
    </x:row>
    <x:row r="5449" ht="21" customHeight="1">
      <x:c r="A5449" s="10" t="n">
        <x:v>7119</x:v>
      </x:c>
      <x:c r="B5449" s="2" t="str">
        <x:v>a80f374a0ddcd728fce0</x:v>
      </x:c>
      <x:c r="C5449" s="2" t="str">
        <x:v>Tp Hồ Chí Minh</x:v>
      </x:c>
      <x:c r="D5449" s="2" t="str">
        <x:v>Huyện Nhà Bè</x:v>
      </x:c>
      <x:c r="E5449" s="2" t="str">
        <x:v>house</x:v>
      </x:c>
      <x:c r="F5449" s="2" t="str">
        <x:v>sale_assumed</x:v>
      </x:c>
      <x:c r="G5449" s="11" t="n">
        <x:v>52</x:v>
      </x:c>
      <x:c r="H5449" s="12" t="n">
        <x:v>2089999999.9999998</x:v>
      </x:c>
      <x:c r="I5449" s="12" t="n">
        <x:v>40192307.69230769</x:v>
      </x:c>
      <x:c r="J5449" s="2" t="str">
        <x:v>total</x:v>
      </x:c>
      <x:c r="K5449" s="2" t="str">
        <x:v>top_level_area</x:v>
      </x:c>
      <x:c r="L5449" s="2" t="str">
        <x:v>property_type_inferred_from_title;transaction_assumed_sale_from_dataset_context</x:v>
      </x:c>
      <x:c r="M5449" s="10" t="n">
        <x:v>0</x:v>
      </x:c>
      <x:c r="N5449" s="10" t="n">
        <x:v>0</x:v>
      </x:c>
      <x:c r="O5449" s="2" t="str">
        <x:v>Tp Hồ Chí Minh|house</x:v>
      </x:c>
      <x:c r="P5449" s="10" t="n">
        <x:v>2</x:v>
      </x:c>
      <x:c r="Q5449" s="13" t="n">
        <x:f>IF(H5449="","",H5449/1000000000)</x:f>
        <x:v>2.09</x:v>
      </x:c>
      <x:c r="R5449" s="13" t="n">
        <x:f>IF(I5449="","",I5449/1000000)</x:f>
        <x:v>40.192307692307686</x:v>
      </x:c>
    </x:row>
    <x:row r="5450" ht="21" customHeight="1">
      <x:c r="A5450" s="10" t="n">
        <x:v>7120</x:v>
      </x:c>
      <x:c r="B5450" s="2" t="str">
        <x:v>a608780054b02cc64328</x:v>
      </x:c>
      <x:c r="C5450" s="2" t="str">
        <x:v>Tp Hồ Chí Minh</x:v>
      </x:c>
      <x:c r="D5450" s="2" t="str">
        <x:v>Quận 11</x:v>
      </x:c>
      <x:c r="E5450" s="2" t="str">
        <x:v>other_unknown</x:v>
      </x:c>
      <x:c r="F5450" s="2" t="str">
        <x:v>sale</x:v>
      </x:c>
      <x:c r="G5450" s="11" t="n">
        <x:v>35</x:v>
      </x:c>
      <x:c r="H5450" s="12" t="n">
        <x:v>3900000000</x:v>
      </x:c>
      <x:c r="I5450" s="12" t="n">
        <x:v>111428571.42857143</x:v>
      </x:c>
      <x:c r="J5450" s="2" t="str">
        <x:v>total</x:v>
      </x:c>
      <x:c r="K5450" s="2" t="str">
        <x:v>top_level_area</x:v>
      </x:c>
      <x:c r="L5450" s="2" t="str">
        <x:v>property_type_inferred_from_title;unknown_property_type</x:v>
      </x:c>
      <x:c r="M5450" s="10" t="n">
        <x:v>0</x:v>
      </x:c>
      <x:c r="N5450" s="10" t="n">
        <x:v>0</x:v>
      </x:c>
      <x:c r="O5450" s="2" t="str">
        <x:v>Tp Hồ Chí Minh|other_unknown</x:v>
      </x:c>
      <x:c r="P5450" s="10" t="n">
        <x:v>2</x:v>
      </x:c>
      <x:c r="Q5450" s="13" t="n">
        <x:f>IF(H5450="","",H5450/1000000000)</x:f>
        <x:v>3.9</x:v>
      </x:c>
      <x:c r="R5450" s="13" t="n">
        <x:f>IF(I5450="","",I5450/1000000)</x:f>
        <x:v>111.42857142857143</x:v>
      </x:c>
    </x:row>
    <x:row r="5451" ht="21" customHeight="1">
      <x:c r="A5451" s="10" t="n">
        <x:v>7122</x:v>
      </x:c>
      <x:c r="B5451" s="2" t="str">
        <x:v>c4c21dcf87ee1979c67d</x:v>
      </x:c>
      <x:c r="C5451" s="2" t="str">
        <x:v>Bình Dương</x:v>
      </x:c>
      <x:c r="D5451" s="2" t="str">
        <x:v>Thị xã Dĩ An</x:v>
      </x:c>
      <x:c r="E5451" s="2" t="str">
        <x:v>other_unknown</x:v>
      </x:c>
      <x:c r="F5451" s="2" t="str">
        <x:v>sale_assumed</x:v>
      </x:c>
      <x:c r="G5451" s="11" t="n">
        <x:v>56</x:v>
      </x:c>
      <x:c r="H5451" s="12" t="n">
        <x:v>1710000000</x:v>
      </x:c>
      <x:c r="I5451" s="12" t="n">
        <x:v>30535714.285714287</x:v>
      </x:c>
      <x:c r="J5451" s="2" t="str">
        <x:v>total</x:v>
      </x:c>
      <x:c r="K5451" s="2" t="str">
        <x:v>top_level_area</x:v>
      </x:c>
      <x:c r="L5451" s="2" t="str">
        <x:v>property_type_inferred_from_title;transaction_assumed_sale_from_dataset_context;unknown_property_type</x:v>
      </x:c>
      <x:c r="M5451" s="10" t="n">
        <x:v>0</x:v>
      </x:c>
      <x:c r="N5451" s="10" t="n">
        <x:v>0</x:v>
      </x:c>
      <x:c r="O5451" s="2" t="str">
        <x:v>Bình Dương|other_unknown</x:v>
      </x:c>
      <x:c r="P5451" s="10" t="n">
        <x:v>2</x:v>
      </x:c>
      <x:c r="Q5451" s="13" t="n">
        <x:f>IF(H5451="","",H5451/1000000000)</x:f>
        <x:v>1.71</x:v>
      </x:c>
      <x:c r="R5451" s="13" t="n">
        <x:f>IF(I5451="","",I5451/1000000)</x:f>
        <x:v>30.53571428571429</x:v>
      </x:c>
    </x:row>
    <x:row r="5452" ht="21" customHeight="1">
      <x:c r="A5452" s="10" t="n">
        <x:v>7123</x:v>
      </x:c>
      <x:c r="B5452" s="2" t="str">
        <x:v>f093574296b624ddeab2</x:v>
      </x:c>
      <x:c r="C5452" s="2" t="str">
        <x:v>Tp Hồ Chí Minh</x:v>
      </x:c>
      <x:c r="D5452" s="2" t="str">
        <x:v>Huyện Nhà Bè</x:v>
      </x:c>
      <x:c r="E5452" s="2" t="str">
        <x:v>house</x:v>
      </x:c>
      <x:c r="F5452" s="2" t="str">
        <x:v>sale</x:v>
      </x:c>
      <x:c r="G5452" s="11" t="n">
        <x:v>97</x:v>
      </x:c>
      <x:c r="H5452" s="12" t="n">
        <x:v>9900000000</x:v>
      </x:c>
      <x:c r="I5452" s="12" t="n">
        <x:v>102061855.67010309</x:v>
      </x:c>
      <x:c r="J5452" s="2" t="str">
        <x:v>total</x:v>
      </x:c>
      <x:c r="K5452" s="2" t="str">
        <x:v>top_level_area</x:v>
      </x:c>
      <x:c r="L5452" s="2" t="str">
        <x:v>property_type_inferred_from_title</x:v>
      </x:c>
      <x:c r="M5452" s="10" t="n">
        <x:v>0</x:v>
      </x:c>
      <x:c r="N5452" s="10" t="n">
        <x:v>0</x:v>
      </x:c>
      <x:c r="O5452" s="2" t="str">
        <x:v>Tp Hồ Chí Minh|house</x:v>
      </x:c>
      <x:c r="P5452" s="10" t="n">
        <x:v>2</x:v>
      </x:c>
      <x:c r="Q5452" s="13" t="n">
        <x:f>IF(H5452="","",H5452/1000000000)</x:f>
        <x:v>9.9</x:v>
      </x:c>
      <x:c r="R5452" s="13" t="n">
        <x:f>IF(I5452="","",I5452/1000000)</x:f>
        <x:v>102.06185567010309</x:v>
      </x:c>
    </x:row>
    <x:row r="5453" ht="21" customHeight="1">
      <x:c r="A5453" s="10" t="n">
        <x:v>7124</x:v>
      </x:c>
      <x:c r="B5453" s="2" t="str">
        <x:v>be7ef117faa074f6f79c</x:v>
      </x:c>
      <x:c r="C5453" s="2" t="str">
        <x:v>Tp Hồ Chí Minh</x:v>
      </x:c>
      <x:c r="D5453" s="2" t="str">
        <x:v>Quận 8</x:v>
      </x:c>
      <x:c r="E5453" s="2" t="str">
        <x:v>house</x:v>
      </x:c>
      <x:c r="F5453" s="2" t="str">
        <x:v>sale_assumed</x:v>
      </x:c>
      <x:c r="G5453" s="11" t="n">
        <x:v>42</x:v>
      </x:c>
      <x:c r="H5453" s="12" t="n">
        <x:v>1775000000</x:v>
      </x:c>
      <x:c r="I5453" s="12" t="n">
        <x:v>42261904.76190476</x:v>
      </x:c>
      <x:c r="J5453" s="2" t="str">
        <x:v>total</x:v>
      </x:c>
      <x:c r="K5453" s="2" t="str">
        <x:v>top_level_area</x:v>
      </x:c>
      <x:c r="L5453" s="2" t="str">
        <x:v>property_type_inferred_from_title;transaction_assumed_sale_from_dataset_context</x:v>
      </x:c>
      <x:c r="M5453" s="10" t="n">
        <x:v>0</x:v>
      </x:c>
      <x:c r="N5453" s="10" t="n">
        <x:v>0</x:v>
      </x:c>
      <x:c r="O5453" s="2" t="str">
        <x:v>Tp Hồ Chí Minh|house</x:v>
      </x:c>
      <x:c r="P5453" s="10" t="n">
        <x:v>2</x:v>
      </x:c>
      <x:c r="Q5453" s="13" t="n">
        <x:f>IF(H5453="","",H5453/1000000000)</x:f>
        <x:v>1.775</x:v>
      </x:c>
      <x:c r="R5453" s="13" t="n">
        <x:f>IF(I5453="","",I5453/1000000)</x:f>
        <x:v>42.26190476190476</x:v>
      </x:c>
    </x:row>
    <x:row r="5454" ht="21" customHeight="1">
      <x:c r="A5454" s="10" t="n">
        <x:v>7125</x:v>
      </x:c>
      <x:c r="B5454" s="2" t="str">
        <x:v>c84a26d06f9e73ed0a30</x:v>
      </x:c>
      <x:c r="C5454" s="2" t="str">
        <x:v>Tp Hồ Chí Minh</x:v>
      </x:c>
      <x:c r="D5454" s="2" t="str">
        <x:v>Quận 8</x:v>
      </x:c>
      <x:c r="E5454" s="2" t="str">
        <x:v>house</x:v>
      </x:c>
      <x:c r="F5454" s="2" t="str">
        <x:v>sale_assumed</x:v>
      </x:c>
      <x:c r="G5454" s="11" t="n">
        <x:v>55.1</x:v>
      </x:c>
      <x:c r="H5454" s="12" t="n">
        <x:v>5300000000</x:v>
      </x:c>
      <x:c r="I5454" s="12" t="n">
        <x:v>96188747.73139745</x:v>
      </x:c>
      <x:c r="J5454" s="2" t="str">
        <x:v>total</x:v>
      </x:c>
      <x:c r="K5454" s="2" t="str">
        <x:v>top_level_area</x:v>
      </x:c>
      <x:c r="L5454" s="2" t="str">
        <x:v>property_type_inferred_from_title;transaction_assumed_sale_from_dataset_context</x:v>
      </x:c>
      <x:c r="M5454" s="10" t="n">
        <x:v>0</x:v>
      </x:c>
      <x:c r="N5454" s="10" t="n">
        <x:v>0</x:v>
      </x:c>
      <x:c r="O5454" s="2" t="str">
        <x:v>Tp Hồ Chí Minh|house</x:v>
      </x:c>
      <x:c r="P5454" s="10" t="n">
        <x:v>2</x:v>
      </x:c>
      <x:c r="Q5454" s="13" t="n">
        <x:f>IF(H5454="","",H5454/1000000000)</x:f>
        <x:v>5.3</x:v>
      </x:c>
      <x:c r="R5454" s="13" t="n">
        <x:f>IF(I5454="","",I5454/1000000)</x:f>
        <x:v>96.18874773139746</x:v>
      </x:c>
    </x:row>
    <x:row r="5455" ht="21" customHeight="1">
      <x:c r="A5455" s="10" t="n">
        <x:v>7126</x:v>
      </x:c>
      <x:c r="B5455" s="2" t="str">
        <x:v>a241f4845560fc5a9c65</x:v>
      </x:c>
      <x:c r="C5455" s="2" t="str">
        <x:v>Đà Nẵng</x:v>
      </x:c>
      <x:c r="D5455" s="2" t="str">
        <x:v>Quận Ngũ Hành Sơn</x:v>
      </x:c>
      <x:c r="E5455" s="2" t="str">
        <x:v>house</x:v>
      </x:c>
      <x:c r="F5455" s="2" t="str">
        <x:v>sale</x:v>
      </x:c>
      <x:c r="G5455" s="11" t="n">
        <x:v>60</x:v>
      </x:c>
      <x:c r="H5455" s="12" t="n">
        <x:v>4900000000</x:v>
      </x:c>
      <x:c r="I5455" s="12" t="n">
        <x:v>81666666.66666667</x:v>
      </x:c>
      <x:c r="J5455" s="2" t="str">
        <x:v>total</x:v>
      </x:c>
      <x:c r="K5455" s="2" t="str">
        <x:v>top_level_area</x:v>
      </x:c>
      <x:c r="L5455" s="2" t="str">
        <x:v>property_type_inferred_from_title</x:v>
      </x:c>
      <x:c r="M5455" s="10" t="n">
        <x:v>0</x:v>
      </x:c>
      <x:c r="N5455" s="10" t="n">
        <x:v>0</x:v>
      </x:c>
      <x:c r="O5455" s="2" t="str">
        <x:v>Đà Nẵng|house</x:v>
      </x:c>
      <x:c r="P5455" s="10" t="n">
        <x:v>2</x:v>
      </x:c>
      <x:c r="Q5455" s="13" t="n">
        <x:f>IF(H5455="","",H5455/1000000000)</x:f>
        <x:v>4.9</x:v>
      </x:c>
      <x:c r="R5455" s="13" t="n">
        <x:f>IF(I5455="","",I5455/1000000)</x:f>
        <x:v>81.66666666666667</x:v>
      </x:c>
    </x:row>
    <x:row r="5456" ht="21" customHeight="1">
      <x:c r="A5456" s="10" t="n">
        <x:v>7127</x:v>
      </x:c>
      <x:c r="B5456" s="2" t="str">
        <x:v>d340fe8194d8c398e0eb</x:v>
      </x:c>
      <x:c r="C5456" s="2" t="str">
        <x:v>Hà Nội</x:v>
      </x:c>
      <x:c r="D5456" s="2" t="str">
        <x:v>Quận Hoàng Mai</x:v>
      </x:c>
      <x:c r="E5456" s="2" t="str">
        <x:v>land</x:v>
      </x:c>
      <x:c r="F5456" s="2" t="str">
        <x:v>sale_assumed</x:v>
      </x:c>
      <x:c r="G5456" s="11" t="n">
        <x:v>52</x:v>
      </x:c>
      <x:c r="H5456" s="12" t="n">
        <x:v>2700000000</x:v>
      </x:c>
      <x:c r="I5456" s="12" t="n">
        <x:v>51923076.92307692</x:v>
      </x:c>
      <x:c r="J5456" s="2" t="str">
        <x:v>total</x:v>
      </x:c>
      <x:c r="K5456" s="2" t="str">
        <x:v>top_level_area</x:v>
      </x:c>
      <x:c r="L5456" s="2" t="str">
        <x:v>property_type_inferred_from_title;transaction_assumed_sale_from_dataset_context</x:v>
      </x:c>
      <x:c r="M5456" s="10" t="n">
        <x:v>0</x:v>
      </x:c>
      <x:c r="N5456" s="10" t="n">
        <x:v>0</x:v>
      </x:c>
      <x:c r="O5456" s="2" t="str">
        <x:v>Hà Nội|land</x:v>
      </x:c>
      <x:c r="P5456" s="10" t="n">
        <x:v>2</x:v>
      </x:c>
      <x:c r="Q5456" s="13" t="n">
        <x:f>IF(H5456="","",H5456/1000000000)</x:f>
        <x:v>2.7</x:v>
      </x:c>
      <x:c r="R5456" s="13" t="n">
        <x:f>IF(I5456="","",I5456/1000000)</x:f>
        <x:v>51.92307692307692</x:v>
      </x:c>
    </x:row>
    <x:row r="5457" ht="21" customHeight="1">
      <x:c r="A5457" s="10" t="n">
        <x:v>7128</x:v>
      </x:c>
      <x:c r="B5457" s="2" t="str">
        <x:v>9bd009ed5834f5737aa1</x:v>
      </x:c>
      <x:c r="C5457" s="2" t="str">
        <x:v>Hà Nội</x:v>
      </x:c>
      <x:c r="D5457" s="2" t="str">
        <x:v>Quận Long Biên</x:v>
      </x:c>
      <x:c r="E5457" s="2" t="str">
        <x:v>house</x:v>
      </x:c>
      <x:c r="F5457" s="2" t="str">
        <x:v>sale</x:v>
      </x:c>
      <x:c r="G5457" s="11" t="n">
        <x:v>158</x:v>
      </x:c>
      <x:c r="H5457" s="12" t="n">
        <x:v>5400000000</x:v>
      </x:c>
      <x:c r="I5457" s="12" t="n">
        <x:v>34177215.18987342</x:v>
      </x:c>
      <x:c r="J5457" s="2" t="str">
        <x:v>total</x:v>
      </x:c>
      <x:c r="K5457" s="2" t="str">
        <x:v>top_level_area</x:v>
      </x:c>
      <x:c r="L5457" s="2" t="str">
        <x:v>property_type_inferred_from_title</x:v>
      </x:c>
      <x:c r="M5457" s="10" t="n">
        <x:v>0</x:v>
      </x:c>
      <x:c r="N5457" s="10" t="n">
        <x:v>0</x:v>
      </x:c>
      <x:c r="O5457" s="2" t="str">
        <x:v>Hà Nội|house</x:v>
      </x:c>
      <x:c r="P5457" s="10" t="n">
        <x:v>2</x:v>
      </x:c>
      <x:c r="Q5457" s="13" t="n">
        <x:f>IF(H5457="","",H5457/1000000000)</x:f>
        <x:v>5.4</x:v>
      </x:c>
      <x:c r="R5457" s="13" t="n">
        <x:f>IF(I5457="","",I5457/1000000)</x:f>
        <x:v>34.17721518987342</x:v>
      </x:c>
    </x:row>
    <x:row r="5458" ht="21" customHeight="1">
      <x:c r="A5458" s="10" t="n">
        <x:v>7129</x:v>
      </x:c>
      <x:c r="B5458" s="2" t="str">
        <x:v>293b4d9dff1a96156091</x:v>
      </x:c>
      <x:c r="C5458" s="2" t="str">
        <x:v>Bình Dương</x:v>
      </x:c>
      <x:c r="D5458" s="2" t="str">
        <x:v>Thị xã Dĩ An</x:v>
      </x:c>
      <x:c r="E5458" s="2" t="str">
        <x:v>house</x:v>
      </x:c>
      <x:c r="F5458" s="2" t="str">
        <x:v>sale_assumed</x:v>
      </x:c>
      <x:c r="G5458" s="11" t="n">
        <x:v>90</x:v>
      </x:c>
      <x:c r="H5458" s="12" t="n">
        <x:v>4000000000</x:v>
      </x:c>
      <x:c r="I5458" s="12" t="n">
        <x:v>44444444.44444445</x:v>
      </x:c>
      <x:c r="J5458" s="2" t="str">
        <x:v>total</x:v>
      </x:c>
      <x:c r="K5458" s="2" t="str">
        <x:v>top_level_area</x:v>
      </x:c>
      <x:c r="L5458" s="2" t="str">
        <x:v>property_type_inferred_from_title;transaction_assumed_sale_from_dataset_context</x:v>
      </x:c>
      <x:c r="M5458" s="10" t="n">
        <x:v>0</x:v>
      </x:c>
      <x:c r="N5458" s="10" t="n">
        <x:v>0</x:v>
      </x:c>
      <x:c r="O5458" s="2" t="str">
        <x:v>Bình Dương|house</x:v>
      </x:c>
      <x:c r="P5458" s="10" t="n">
        <x:v>2</x:v>
      </x:c>
      <x:c r="Q5458" s="13" t="n">
        <x:f>IF(H5458="","",H5458/1000000000)</x:f>
        <x:v>4</x:v>
      </x:c>
      <x:c r="R5458" s="13" t="n">
        <x:f>IF(I5458="","",I5458/1000000)</x:f>
        <x:v>44.44444444444445</x:v>
      </x:c>
    </x:row>
    <x:row r="5459" ht="21" customHeight="1">
      <x:c r="A5459" s="10" t="n">
        <x:v>7130</x:v>
      </x:c>
      <x:c r="B5459" s="2" t="str">
        <x:v>6ea5977f725901ea4b2b</x:v>
      </x:c>
      <x:c r="C5459" s="2" t="str">
        <x:v>Bình Thuận</x:v>
      </x:c>
      <x:c r="D5459" s="2" t="str">
        <x:v>Huyện Bắc Bình</x:v>
      </x:c>
      <x:c r="E5459" s="2" t="str">
        <x:v>land</x:v>
      </x:c>
      <x:c r="F5459" s="2" t="str">
        <x:v>sale</x:v>
      </x:c>
      <x:c r="G5459" s="11" t="n">
        <x:v>5000</x:v>
      </x:c>
      <x:c r="H5459" s="12" t="n">
        <x:v>325000000</x:v>
      </x:c>
      <x:c r="I5459" s="12" t="n">
        <x:v>65000</x:v>
      </x:c>
      <x:c r="J5459" s="2" t="str">
        <x:v>total</x:v>
      </x:c>
      <x:c r="K5459" s="2" t="str">
        <x:v>top_level_area</x:v>
      </x:c>
      <x:c r="L5459" s="2" t="str">
        <x:v>dot_thousands_convention;property_type_inferred_from_title</x:v>
      </x:c>
      <x:c r="M5459" s="10" t="n">
        <x:v>0</x:v>
      </x:c>
      <x:c r="N5459" s="10" t="n">
        <x:v>0</x:v>
      </x:c>
      <x:c r="O5459" s="2" t="str">
        <x:v>land</x:v>
      </x:c>
      <x:c r="P5459" s="10" t="n">
        <x:v>1</x:v>
      </x:c>
      <x:c r="Q5459" s="13" t="n">
        <x:f>IF(H5459="","",H5459/1000000000)</x:f>
        <x:v>0.325</x:v>
      </x:c>
      <x:c r="R5459" s="13" t="n">
        <x:f>IF(I5459="","",I5459/1000000)</x:f>
        <x:v>0.065</x:v>
      </x:c>
    </x:row>
    <x:row r="5460" ht="21" customHeight="1">
      <x:c r="A5460" s="10" t="n">
        <x:v>7131</x:v>
      </x:c>
      <x:c r="B5460" s="2" t="str">
        <x:v>9be3e6f68a6b337d2193</x:v>
      </x:c>
      <x:c r="C5460" s="2" t="str">
        <x:v>Tp Hồ Chí Minh</x:v>
      </x:c>
      <x:c r="D5460" s="2" t="str">
        <x:v>Quận Bình Tân</x:v>
      </x:c>
      <x:c r="E5460" s="2" t="str">
        <x:v>other_unknown</x:v>
      </x:c>
      <x:c r="F5460" s="2" t="str">
        <x:v>sale</x:v>
      </x:c>
      <x:c r="G5460" s="11" t="n">
        <x:v>75</x:v>
      </x:c>
      <x:c r="H5460" s="12" t="n">
        <x:v>2580000000</x:v>
      </x:c>
      <x:c r="I5460" s="12" t="n">
        <x:v>34400000</x:v>
      </x:c>
      <x:c r="J5460" s="2" t="str">
        <x:v>total</x:v>
      </x:c>
      <x:c r="K5460" s="2" t="str">
        <x:v>top_level_price_embedded_area</x:v>
      </x:c>
      <x:c r="L5460" s="2" t="str">
        <x:v>area_recovered_from_price_text;property_type_inferred_from_title;unknown_property_type</x:v>
      </x:c>
      <x:c r="M5460" s="10" t="n">
        <x:v>0</x:v>
      </x:c>
      <x:c r="N5460" s="10" t="n">
        <x:v>0</x:v>
      </x:c>
      <x:c r="O5460" s="2" t="str">
        <x:v>Tp Hồ Chí Minh|other_unknown</x:v>
      </x:c>
      <x:c r="P5460" s="10" t="n">
        <x:v>2</x:v>
      </x:c>
      <x:c r="Q5460" s="13" t="n">
        <x:f>IF(H5460="","",H5460/1000000000)</x:f>
        <x:v>2.58</x:v>
      </x:c>
      <x:c r="R5460" s="13" t="n">
        <x:f>IF(I5460="","",I5460/1000000)</x:f>
        <x:v>34.4</x:v>
      </x:c>
    </x:row>
    <x:row r="5461" ht="21" customHeight="1">
      <x:c r="A5461" s="10" t="n">
        <x:v>7132</x:v>
      </x:c>
      <x:c r="B5461" s="2" t="str">
        <x:v>58d21f1b7eed2a277350</x:v>
      </x:c>
      <x:c r="C5461" s="2" t="str">
        <x:v>Tp Hồ Chí Minh</x:v>
      </x:c>
      <x:c r="D5461" s="2" t="str">
        <x:v>Quận 2</x:v>
      </x:c>
      <x:c r="E5461" s="2" t="str">
        <x:v>house</x:v>
      </x:c>
      <x:c r="F5461" s="2" t="str">
        <x:v>sale</x:v>
      </x:c>
      <x:c r="G5461" s="11" t="n">
        <x:v>111</x:v>
      </x:c>
      <x:c r="H5461" s="12" t="n">
        <x:v>6500000000</x:v>
      </x:c>
      <x:c r="I5461" s="12" t="n">
        <x:v>58558558.55855856</x:v>
      </x:c>
      <x:c r="J5461" s="2" t="str">
        <x:v>total</x:v>
      </x:c>
      <x:c r="K5461" s="2" t="str">
        <x:v>top_level_area</x:v>
      </x:c>
      <x:c r="L5461" s="2" t="str">
        <x:v>property_type_inferred_from_title</x:v>
      </x:c>
      <x:c r="M5461" s="10" t="n">
        <x:v>0</x:v>
      </x:c>
      <x:c r="N5461" s="10" t="n">
        <x:v>0</x:v>
      </x:c>
      <x:c r="O5461" s="2" t="str">
        <x:v>Tp Hồ Chí Minh|house</x:v>
      </x:c>
      <x:c r="P5461" s="10" t="n">
        <x:v>2</x:v>
      </x:c>
      <x:c r="Q5461" s="13" t="n">
        <x:f>IF(H5461="","",H5461/1000000000)</x:f>
        <x:v>6.5</x:v>
      </x:c>
      <x:c r="R5461" s="13" t="n">
        <x:f>IF(I5461="","",I5461/1000000)</x:f>
        <x:v>58.55855855855856</x:v>
      </x:c>
    </x:row>
    <x:row r="5462" ht="21" customHeight="1">
      <x:c r="A5462" s="10" t="n">
        <x:v>7133</x:v>
      </x:c>
      <x:c r="B5462" s="2" t="str">
        <x:v>a5bfac3f1100aedb450f</x:v>
      </x:c>
      <x:c r="C5462" s="2" t="str">
        <x:v>Bình Dương</x:v>
      </x:c>
      <x:c r="D5462" s="2" t="str">
        <x:v>Thị xã Thuận An</x:v>
      </x:c>
      <x:c r="E5462" s="2" t="str">
        <x:v>other_unknown</x:v>
      </x:c>
      <x:c r="F5462" s="2" t="str">
        <x:v>sale_assumed</x:v>
      </x:c>
      <x:c r="G5462" s="11" t="n">
        <x:v>61</x:v>
      </x:c>
      <x:c r="H5462" s="12" t="n">
        <x:v>22000000</x:v>
      </x:c>
      <x:c r="I5462" s="12" t="n">
        <x:v>360655.737704918</x:v>
      </x:c>
      <x:c r="J5462" s="2" t="str">
        <x:v>total</x:v>
      </x:c>
      <x:c r="K5462" s="2" t="str">
        <x:v>top_level_price_embedded_area</x:v>
      </x:c>
      <x:c r="L5462" s="2" t="str">
        <x:v>area_recovered_from_price_text;property_type_inferred_from_title;transaction_assumed_sale_from_dataset_context;unknown_property_type</x:v>
      </x:c>
      <x:c r="M5462" s="10" t="n">
        <x:v>0</x:v>
      </x:c>
      <x:c r="N5462" s="10" t="n">
        <x:v>0</x:v>
      </x:c>
      <x:c r="O5462" s="2" t="str">
        <x:v>Bình Dương|other_unknown</x:v>
      </x:c>
      <x:c r="P5462" s="10" t="n">
        <x:v>1</x:v>
      </x:c>
      <x:c r="Q5462" s="13" t="n">
        <x:f>IF(H5462="","",H5462/1000000000)</x:f>
        <x:v>0.022</x:v>
      </x:c>
      <x:c r="R5462" s="13" t="n">
        <x:f>IF(I5462="","",I5462/1000000)</x:f>
        <x:v>0.36065573770491804</x:v>
      </x:c>
    </x:row>
    <x:row r="5463" ht="21" customHeight="1">
      <x:c r="A5463" s="10" t="n">
        <x:v>7161</x:v>
      </x:c>
      <x:c r="B5463" s="2" t="str">
        <x:v>0f3ec659ce548502a9af</x:v>
      </x:c>
      <x:c r="C5463" s="2" t="str">
        <x:v>Bình Dương</x:v>
      </x:c>
      <x:c r="D5463" s="2" t="str">
        <x:v>Thị xã Bến Cát</x:v>
      </x:c>
      <x:c r="E5463" s="2" t="str">
        <x:v>other_unknown</x:v>
      </x:c>
      <x:c r="F5463" s="2" t="str">
        <x:v>sale_assumed</x:v>
      </x:c>
      <x:c r="G5463" s="11" t="n">
        <x:v>600</x:v>
      </x:c>
      <x:c r="H5463" s="12" t="n">
        <x:v>1200000000</x:v>
      </x:c>
      <x:c r="I5463" s="12" t="n">
        <x:v>2000000</x:v>
      </x:c>
      <x:c r="J5463" s="2" t="str">
        <x:v>total</x:v>
      </x:c>
      <x:c r="K5463" s="2" t="str">
        <x:v>top_level_area</x:v>
      </x:c>
      <x:c r="L5463" s="2" t="str">
        <x:v>property_type_inferred_from_title;transaction_assumed_sale_from_dataset_context;unknown_property_type</x:v>
      </x:c>
      <x:c r="M5463" s="10" t="n">
        <x:v>0</x:v>
      </x:c>
      <x:c r="N5463" s="10" t="n">
        <x:v>0</x:v>
      </x:c>
      <x:c r="O5463" s="2" t="str">
        <x:v>Bình Dương|other_unknown</x:v>
      </x:c>
      <x:c r="P5463" s="10" t="n">
        <x:v>1</x:v>
      </x:c>
      <x:c r="Q5463" s="13" t="n">
        <x:f>IF(H5463="","",H5463/1000000000)</x:f>
        <x:v>1.2</x:v>
      </x:c>
      <x:c r="R5463" s="13" t="n">
        <x:f>IF(I5463="","",I5463/1000000)</x:f>
        <x:v>2</x:v>
      </x:c>
    </x:row>
    <x:row r="5464" ht="21" customHeight="1">
      <x:c r="A5464" s="10" t="n">
        <x:v>7162</x:v>
      </x:c>
      <x:c r="B5464" s="2" t="str">
        <x:v>1140fa3bb7b91b16cc5f</x:v>
      </x:c>
      <x:c r="C5464" s="2" t="str">
        <x:v>Bình Dương</x:v>
      </x:c>
      <x:c r="D5464" s="2" t="str">
        <x:v>Thị xã Thuận An</x:v>
      </x:c>
      <x:c r="E5464" s="2" t="str">
        <x:v>land</x:v>
      </x:c>
      <x:c r="F5464" s="2" t="str">
        <x:v>sale</x:v>
      </x:c>
      <x:c r="G5464" s="11" t="n">
        <x:v>220</x:v>
      </x:c>
      <x:c r="H5464" s="12" t="n">
        <x:v>2150000000</x:v>
      </x:c>
      <x:c r="I5464" s="12" t="n">
        <x:v>9772727.272727273</x:v>
      </x:c>
      <x:c r="J5464" s="2" t="str">
        <x:v>total</x:v>
      </x:c>
      <x:c r="K5464" s="2" t="str">
        <x:v>top_level_area</x:v>
      </x:c>
      <x:c r="L5464" s="2" t="str">
        <x:v>property_type_inferred_from_title</x:v>
      </x:c>
      <x:c r="M5464" s="10" t="n">
        <x:v>0</x:v>
      </x:c>
      <x:c r="N5464" s="10" t="n">
        <x:v>0</x:v>
      </x:c>
      <x:c r="O5464" s="2" t="str">
        <x:v>Bình Dương|land</x:v>
      </x:c>
      <x:c r="P5464" s="10" t="n">
        <x:v>2</x:v>
      </x:c>
      <x:c r="Q5464" s="13" t="n">
        <x:f>IF(H5464="","",H5464/1000000000)</x:f>
        <x:v>2.15</x:v>
      </x:c>
      <x:c r="R5464" s="13" t="n">
        <x:f>IF(I5464="","",I5464/1000000)</x:f>
        <x:v>9.772727272727273</x:v>
      </x:c>
    </x:row>
    <x:row r="5465" ht="21" customHeight="1">
      <x:c r="A5465" s="10" t="n">
        <x:v>7163</x:v>
      </x:c>
      <x:c r="B5465" s="2" t="str">
        <x:v>e7a63c4e7d9f59a85e7e</x:v>
      </x:c>
      <x:c r="C5465" s="2" t="str">
        <x:v>Lâm Đồng</x:v>
      </x:c>
      <x:c r="D5465" s="2" t="str">
        <x:v>Thành phố Bảo Lộc</x:v>
      </x:c>
      <x:c r="E5465" s="2" t="str">
        <x:v>land</x:v>
      </x:c>
      <x:c r="F5465" s="2" t="str">
        <x:v>sale_assumed</x:v>
      </x:c>
      <x:c r="G5465" s="11" t="n">
        <x:v>200</x:v>
      </x:c>
      <x:c r="H5465" s="12" t="n">
        <x:v>779000000</x:v>
      </x:c>
      <x:c r="I5465" s="12" t="n">
        <x:v>3895000</x:v>
      </x:c>
      <x:c r="J5465" s="2" t="str">
        <x:v>total</x:v>
      </x:c>
      <x:c r="K5465" s="2" t="str">
        <x:v>top_level_area</x:v>
      </x:c>
      <x:c r="L5465" s="2" t="str">
        <x:v>property_type_inferred_from_title;transaction_assumed_sale_from_dataset_context</x:v>
      </x:c>
      <x:c r="M5465" s="10" t="n">
        <x:v>0</x:v>
      </x:c>
      <x:c r="N5465" s="10" t="n">
        <x:v>0</x:v>
      </x:c>
      <x:c r="O5465" s="2" t="str">
        <x:v>Lâm Đồng|land</x:v>
      </x:c>
      <x:c r="P5465" s="10" t="n">
        <x:v>1</x:v>
      </x:c>
      <x:c r="Q5465" s="13" t="n">
        <x:f>IF(H5465="","",H5465/1000000000)</x:f>
        <x:v>0.779</x:v>
      </x:c>
      <x:c r="R5465" s="13" t="n">
        <x:f>IF(I5465="","",I5465/1000000)</x:f>
        <x:v>3.895</x:v>
      </x:c>
    </x:row>
    <x:row r="5466" ht="21" customHeight="1">
      <x:c r="A5466" s="10" t="n">
        <x:v>7164</x:v>
      </x:c>
      <x:c r="B5466" s="2" t="str">
        <x:v>423cdba45d11fb357b7a</x:v>
      </x:c>
      <x:c r="C5466" s="2" t="str">
        <x:v>Khánh Hòa</x:v>
      </x:c>
      <x:c r="D5466" s="2" t="str">
        <x:v>Thành phố Nha Trang</x:v>
      </x:c>
      <x:c r="E5466" s="2" t="str">
        <x:v>house</x:v>
      </x:c>
      <x:c r="F5466" s="2" t="str">
        <x:v>sale</x:v>
      </x:c>
      <x:c r="G5466" s="11" t="n">
        <x:v>88</x:v>
      </x:c>
      <x:c r="H5466" s="12" t="n">
        <x:v>4900000000</x:v>
      </x:c>
      <x:c r="I5466" s="12" t="n">
        <x:v>55681818.18181818</x:v>
      </x:c>
      <x:c r="J5466" s="2" t="str">
        <x:v>total</x:v>
      </x:c>
      <x:c r="K5466" s="2" t="str">
        <x:v>top_level_area</x:v>
      </x:c>
      <x:c r="L5466" s="2" t="str">
        <x:v>property_type_inferred_from_title</x:v>
      </x:c>
      <x:c r="M5466" s="10" t="n">
        <x:v>0</x:v>
      </x:c>
      <x:c r="N5466" s="10" t="n">
        <x:v>0</x:v>
      </x:c>
      <x:c r="O5466" s="2" t="str">
        <x:v>Khánh Hòa|house</x:v>
      </x:c>
      <x:c r="P5466" s="10" t="n">
        <x:v>2</x:v>
      </x:c>
      <x:c r="Q5466" s="13" t="n">
        <x:f>IF(H5466="","",H5466/1000000000)</x:f>
        <x:v>4.9</x:v>
      </x:c>
      <x:c r="R5466" s="13" t="n">
        <x:f>IF(I5466="","",I5466/1000000)</x:f>
        <x:v>55.68181818181818</x:v>
      </x:c>
    </x:row>
    <x:row r="5467" ht="21" customHeight="1">
      <x:c r="A5467" s="10" t="n">
        <x:v>7165</x:v>
      </x:c>
      <x:c r="B5467" s="2" t="str">
        <x:v>545db8b0a4373618aee3</x:v>
      </x:c>
      <x:c r="C5467" s="2" t="str">
        <x:v>Tiền Giang</x:v>
      </x:c>
      <x:c r="D5467" s="2" t="str">
        <x:v>Huyện Tân Phước</x:v>
      </x:c>
      <x:c r="E5467" s="2" t="str">
        <x:v>land</x:v>
      </x:c>
      <x:c r="F5467" s="2" t="str">
        <x:v>sale</x:v>
      </x:c>
      <x:c r="G5467" s="11" t="n">
        <x:v>1000</x:v>
      </x:c>
      <x:c r="H5467" s="12" t="n">
        <x:v>500000000</x:v>
      </x:c>
      <x:c r="I5467" s="12" t="n">
        <x:v>500000</x:v>
      </x:c>
      <x:c r="J5467" s="2" t="str">
        <x:v>total</x:v>
      </x:c>
      <x:c r="K5467" s="2" t="str">
        <x:v>top_level_area</x:v>
      </x:c>
      <x:c r="L5467" s="2" t="str">
        <x:v>dot_thousands_convention;property_type_inferred_from_title</x:v>
      </x:c>
      <x:c r="M5467" s="10" t="n">
        <x:v>0</x:v>
      </x:c>
      <x:c r="N5467" s="10" t="n">
        <x:v>0</x:v>
      </x:c>
      <x:c r="O5467" s="2" t="str">
        <x:v>land</x:v>
      </x:c>
      <x:c r="P5467" s="10" t="n">
        <x:v>1</x:v>
      </x:c>
      <x:c r="Q5467" s="13" t="n">
        <x:f>IF(H5467="","",H5467/1000000000)</x:f>
        <x:v>0.5</x:v>
      </x:c>
      <x:c r="R5467" s="13" t="n">
        <x:f>IF(I5467="","",I5467/1000000)</x:f>
        <x:v>0.5</x:v>
      </x:c>
    </x:row>
    <x:row r="5468" ht="21" customHeight="1">
      <x:c r="A5468" s="10" t="n">
        <x:v>7167</x:v>
      </x:c>
      <x:c r="B5468" s="2" t="str">
        <x:v>af38fb06a9ee17ed82d0</x:v>
      </x:c>
      <x:c r="C5468" s="2" t="str">
        <x:v>Tp Hồ Chí Minh</x:v>
      </x:c>
      <x:c r="D5468" s="2" t="str">
        <x:v>Quận Thủ Đức</x:v>
      </x:c>
      <x:c r="E5468" s="2" t="str">
        <x:v>house</x:v>
      </x:c>
      <x:c r="F5468" s="2" t="str">
        <x:v>sale</x:v>
      </x:c>
      <x:c r="G5468" s="11" t="n">
        <x:v>54</x:v>
      </x:c>
      <x:c r="H5468" s="12" t="n">
        <x:v>8292999999.999999</x:v>
      </x:c>
      <x:c r="I5468" s="12" t="n">
        <x:v>153574074.07407406</x:v>
      </x:c>
      <x:c r="J5468" s="2" t="str">
        <x:v>total</x:v>
      </x:c>
      <x:c r="K5468" s="2" t="str">
        <x:v>top_level_area</x:v>
      </x:c>
      <x:c r="L5468" s="2" t="str">
        <x:v>property_type_inferred_from_title</x:v>
      </x:c>
      <x:c r="M5468" s="10" t="n">
        <x:v>0</x:v>
      </x:c>
      <x:c r="N5468" s="10" t="n">
        <x:v>0</x:v>
      </x:c>
      <x:c r="O5468" s="2" t="str">
        <x:v>Tp Hồ Chí Minh|house</x:v>
      </x:c>
      <x:c r="P5468" s="10" t="n">
        <x:v>2</x:v>
      </x:c>
      <x:c r="Q5468" s="13" t="n">
        <x:f>IF(H5468="","",H5468/1000000000)</x:f>
        <x:v>8.293</x:v>
      </x:c>
      <x:c r="R5468" s="13" t="n">
        <x:f>IF(I5468="","",I5468/1000000)</x:f>
        <x:v>153.57407407407405</x:v>
      </x:c>
    </x:row>
    <x:row r="5469" ht="21" customHeight="1">
      <x:c r="A5469" s="10" t="n">
        <x:v>7168</x:v>
      </x:c>
      <x:c r="B5469" s="2" t="str">
        <x:v>b90ae6c8e2b93e43b9e4</x:v>
      </x:c>
      <x:c r="C5469" s="2" t="str">
        <x:v>Tp Hồ Chí Minh</x:v>
      </x:c>
      <x:c r="D5469" s="2" t="str">
        <x:v>Quận 7</x:v>
      </x:c>
      <x:c r="E5469" s="2" t="str">
        <x:v>house</x:v>
      </x:c>
      <x:c r="F5469" s="2" t="str">
        <x:v>sale_assumed</x:v>
      </x:c>
      <x:c r="G5469" s="11" t="n">
        <x:v>35</x:v>
      </x:c>
      <x:c r="H5469" s="12" t="n">
        <x:v>1320000000</x:v>
      </x:c>
      <x:c r="I5469" s="12" t="n">
        <x:v>37714285.71428572</x:v>
      </x:c>
      <x:c r="J5469" s="2" t="str">
        <x:v>total</x:v>
      </x:c>
      <x:c r="K5469" s="2" t="str">
        <x:v>top_level_area</x:v>
      </x:c>
      <x:c r="L5469" s="2" t="str">
        <x:v>property_type_inferred_from_title;transaction_assumed_sale_from_dataset_context</x:v>
      </x:c>
      <x:c r="M5469" s="10" t="n">
        <x:v>0</x:v>
      </x:c>
      <x:c r="N5469" s="10" t="n">
        <x:v>0</x:v>
      </x:c>
      <x:c r="O5469" s="2" t="str">
        <x:v>Tp Hồ Chí Minh|house</x:v>
      </x:c>
      <x:c r="P5469" s="10" t="n">
        <x:v>2</x:v>
      </x:c>
      <x:c r="Q5469" s="13" t="n">
        <x:f>IF(H5469="","",H5469/1000000000)</x:f>
        <x:v>1.32</x:v>
      </x:c>
      <x:c r="R5469" s="13" t="n">
        <x:f>IF(I5469="","",I5469/1000000)</x:f>
        <x:v>37.714285714285715</x:v>
      </x:c>
    </x:row>
    <x:row r="5470" ht="21" customHeight="1">
      <x:c r="A5470" s="10" t="n">
        <x:v>7169</x:v>
      </x:c>
      <x:c r="B5470" s="2" t="str">
        <x:v>478454527ab8860ac723</x:v>
      </x:c>
      <x:c r="C5470" s="2" t="str">
        <x:v>Tp Hồ Chí Minh</x:v>
      </x:c>
      <x:c r="D5470" s="2" t="str">
        <x:v>Quận 5</x:v>
      </x:c>
      <x:c r="E5470" s="2" t="str">
        <x:v>apartment</x:v>
      </x:c>
      <x:c r="F5470" s="2" t="str">
        <x:v>sale_assumed</x:v>
      </x:c>
      <x:c r="G5470" s="11" t="n">
        <x:v>50</x:v>
      </x:c>
      <x:c r="H5470" s="12" t="n">
        <x:v>2300000000</x:v>
      </x:c>
      <x:c r="I5470" s="12" t="n">
        <x:v>46000000</x:v>
      </x:c>
      <x:c r="J5470" s="2" t="str">
        <x:v>total</x:v>
      </x:c>
      <x:c r="K5470" s="2" t="str">
        <x:v>top_level_area</x:v>
      </x:c>
      <x:c r="L5470" s="2" t="str">
        <x:v>property_type_inferred_from_title;transaction_assumed_sale_from_dataset_context</x:v>
      </x:c>
      <x:c r="M5470" s="10" t="n">
        <x:v>0</x:v>
      </x:c>
      <x:c r="N5470" s="10" t="n">
        <x:v>0</x:v>
      </x:c>
      <x:c r="O5470" s="2" t="str">
        <x:v>Tp Hồ Chí Minh|apartment</x:v>
      </x:c>
      <x:c r="P5470" s="10" t="n">
        <x:v>2</x:v>
      </x:c>
      <x:c r="Q5470" s="13" t="n">
        <x:f>IF(H5470="","",H5470/1000000000)</x:f>
        <x:v>2.3</x:v>
      </x:c>
      <x:c r="R5470" s="13" t="n">
        <x:f>IF(I5470="","",I5470/1000000)</x:f>
        <x:v>46</x:v>
      </x:c>
    </x:row>
    <x:row r="5471" ht="21" customHeight="1">
      <x:c r="A5471" s="10" t="n">
        <x:v>7170</x:v>
      </x:c>
      <x:c r="B5471" s="2" t="str">
        <x:v>610047570ab720557503</x:v>
      </x:c>
      <x:c r="C5471" s="2" t="str">
        <x:v>Cần Thơ</x:v>
      </x:c>
      <x:c r="D5471" s="2" t="str">
        <x:v>Quận Ninh Kiều</x:v>
      </x:c>
      <x:c r="E5471" s="2" t="str">
        <x:v>house</x:v>
      </x:c>
      <x:c r="F5471" s="2" t="str">
        <x:v>sale</x:v>
      </x:c>
      <x:c r="G5471" s="11" t="n">
        <x:v>40</x:v>
      </x:c>
      <x:c r="H5471" s="12" t="n">
        <x:v>1850000000</x:v>
      </x:c>
      <x:c r="I5471" s="12" t="n">
        <x:v>46250000</x:v>
      </x:c>
      <x:c r="J5471" s="2" t="str">
        <x:v>total</x:v>
      </x:c>
      <x:c r="K5471" s="2" t="str">
        <x:v>top_level_area</x:v>
      </x:c>
      <x:c r="L5471" s="2" t="str">
        <x:v>property_type_inferred_from_title</x:v>
      </x:c>
      <x:c r="M5471" s="10" t="n">
        <x:v>0</x:v>
      </x:c>
      <x:c r="N5471" s="10" t="n">
        <x:v>0</x:v>
      </x:c>
      <x:c r="O5471" s="2" t="str">
        <x:v>Cần Thơ|house</x:v>
      </x:c>
      <x:c r="P5471" s="10" t="n">
        <x:v>2</x:v>
      </x:c>
      <x:c r="Q5471" s="13" t="n">
        <x:f>IF(H5471="","",H5471/1000000000)</x:f>
        <x:v>1.85</x:v>
      </x:c>
      <x:c r="R5471" s="13" t="n">
        <x:f>IF(I5471="","",I5471/1000000)</x:f>
        <x:v>46.25</x:v>
      </x:c>
    </x:row>
    <x:row r="5472" ht="21" customHeight="1">
      <x:c r="A5472" s="10" t="n">
        <x:v>7171</x:v>
      </x:c>
      <x:c r="B5472" s="2" t="str">
        <x:v>9d9618e12ad61351c73f</x:v>
      </x:c>
      <x:c r="C5472" s="2" t="str">
        <x:v>Tp Hồ Chí Minh</x:v>
      </x:c>
      <x:c r="D5472" s="2" t="str">
        <x:v>Quận 7</x:v>
      </x:c>
      <x:c r="E5472" s="2" t="str">
        <x:v>apartment</x:v>
      </x:c>
      <x:c r="F5472" s="2" t="str">
        <x:v>sale_assumed</x:v>
      </x:c>
      <x:c r="G5472" s="11" t="n">
        <x:v>62</x:v>
      </x:c>
      <x:c r="H5472" s="12" t="n">
        <x:v>2350000000</x:v>
      </x:c>
      <x:c r="I5472" s="12" t="n">
        <x:v>37903225.80645161</x:v>
      </x:c>
      <x:c r="J5472" s="2" t="str">
        <x:v>total</x:v>
      </x:c>
      <x:c r="K5472" s="2" t="str">
        <x:v>top_level_area</x:v>
      </x:c>
      <x:c r="L5472" s="2" t="str">
        <x:v>property_type_inferred_from_title;transaction_assumed_sale_from_dataset_context</x:v>
      </x:c>
      <x:c r="M5472" s="10" t="n">
        <x:v>0</x:v>
      </x:c>
      <x:c r="N5472" s="10" t="n">
        <x:v>0</x:v>
      </x:c>
      <x:c r="O5472" s="2" t="str">
        <x:v>Tp Hồ Chí Minh|apartment</x:v>
      </x:c>
      <x:c r="P5472" s="10" t="n">
        <x:v>2</x:v>
      </x:c>
      <x:c r="Q5472" s="13" t="n">
        <x:f>IF(H5472="","",H5472/1000000000)</x:f>
        <x:v>2.35</x:v>
      </x:c>
      <x:c r="R5472" s="13" t="n">
        <x:f>IF(I5472="","",I5472/1000000)</x:f>
        <x:v>37.90322580645161</x:v>
      </x:c>
    </x:row>
    <x:row r="5473" ht="21" customHeight="1">
      <x:c r="A5473" s="10" t="n">
        <x:v>7172</x:v>
      </x:c>
      <x:c r="B5473" s="2" t="str">
        <x:v>3bdd8743558a51949c68</x:v>
      </x:c>
      <x:c r="C5473" s="2" t="str">
        <x:v>Tp Hồ Chí Minh</x:v>
      </x:c>
      <x:c r="D5473" s="2" t="str">
        <x:v>Quận Bình Tân</x:v>
      </x:c>
      <x:c r="E5473" s="2" t="str">
        <x:v>house</x:v>
      </x:c>
      <x:c r="F5473" s="2" t="str">
        <x:v>sale_assumed</x:v>
      </x:c>
      <x:c r="G5473" s="11" t="n">
        <x:v>94</x:v>
      </x:c>
      <x:c r="H5473" s="12" t="n">
        <x:v>3600000000</x:v>
      </x:c>
      <x:c r="I5473" s="12" t="n">
        <x:v>38297872.34042553</x:v>
      </x:c>
      <x:c r="J5473" s="2" t="str">
        <x:v>total</x:v>
      </x:c>
      <x:c r="K5473" s="2" t="str">
        <x:v>top_level_area</x:v>
      </x:c>
      <x:c r="L5473" s="2" t="str">
        <x:v>property_type_inferred_from_title;transaction_assumed_sale_from_dataset_context</x:v>
      </x:c>
      <x:c r="M5473" s="10" t="n">
        <x:v>0</x:v>
      </x:c>
      <x:c r="N5473" s="10" t="n">
        <x:v>0</x:v>
      </x:c>
      <x:c r="O5473" s="2" t="str">
        <x:v>Tp Hồ Chí Minh|house</x:v>
      </x:c>
      <x:c r="P5473" s="10" t="n">
        <x:v>2</x:v>
      </x:c>
      <x:c r="Q5473" s="13" t="n">
        <x:f>IF(H5473="","",H5473/1000000000)</x:f>
        <x:v>3.6</x:v>
      </x:c>
      <x:c r="R5473" s="13" t="n">
        <x:f>IF(I5473="","",I5473/1000000)</x:f>
        <x:v>38.29787234042553</x:v>
      </x:c>
    </x:row>
    <x:row r="5474" ht="21" customHeight="1">
      <x:c r="A5474" s="10" t="n">
        <x:v>7173</x:v>
      </x:c>
      <x:c r="B5474" s="2" t="str">
        <x:v>ad6b81f8eea75a8f3652</x:v>
      </x:c>
      <x:c r="C5474" s="2" t="str">
        <x:v>Nam Định</x:v>
      </x:c>
      <x:c r="D5474" s="2" t="str">
        <x:v>Thành phố Nam Định</x:v>
      </x:c>
      <x:c r="E5474" s="2" t="str">
        <x:v>house</x:v>
      </x:c>
      <x:c r="F5474" s="2" t="str">
        <x:v>sale_assumed</x:v>
      </x:c>
      <x:c r="G5474" s="11" t="n">
        <x:v>64</x:v>
      </x:c>
      <x:c r="H5474" s="12" t="n">
        <x:v>2450000000</x:v>
      </x:c>
      <x:c r="I5474" s="12" t="n">
        <x:v>38281250</x:v>
      </x:c>
      <x:c r="J5474" s="2" t="str">
        <x:v>total</x:v>
      </x:c>
      <x:c r="K5474" s="2" t="str">
        <x:v>top_level_area</x:v>
      </x:c>
      <x:c r="L5474" s="2" t="str">
        <x:v>property_type_inferred_from_title;transaction_assumed_sale_from_dataset_context</x:v>
      </x:c>
      <x:c r="M5474" s="10" t="n">
        <x:v>0</x:v>
      </x:c>
      <x:c r="N5474" s="10" t="n">
        <x:v>0</x:v>
      </x:c>
      <x:c r="O5474" s="2" t="str">
        <x:v>house</x:v>
      </x:c>
      <x:c r="P5474" s="10" t="n">
        <x:v>2</x:v>
      </x:c>
      <x:c r="Q5474" s="13" t="n">
        <x:f>IF(H5474="","",H5474/1000000000)</x:f>
        <x:v>2.45</x:v>
      </x:c>
      <x:c r="R5474" s="13" t="n">
        <x:f>IF(I5474="","",I5474/1000000)</x:f>
        <x:v>38.28125</x:v>
      </x:c>
    </x:row>
    <x:row r="5475" ht="21" customHeight="1">
      <x:c r="A5475" s="10" t="n">
        <x:v>7174</x:v>
      </x:c>
      <x:c r="B5475" s="2" t="str">
        <x:v>ad1daaacd156a7cea3be</x:v>
      </x:c>
      <x:c r="C5475" s="2" t="str">
        <x:v>Đồng Nai</x:v>
      </x:c>
      <x:c r="D5475" s="2" t="str">
        <x:v>Huyện Long Thành</x:v>
      </x:c>
      <x:c r="E5475" s="2" t="str">
        <x:v>other_unknown</x:v>
      </x:c>
      <x:c r="F5475" s="2" t="str">
        <x:v>sale</x:v>
      </x:c>
      <x:c r="G5475" s="11" t="n">
        <x:v>3374</x:v>
      </x:c>
      <x:c r="H5475" s="12" t="n">
        <x:v>2800000000</x:v>
      </x:c>
      <x:c r="I5475" s="12" t="n">
        <x:v>829875.5186721992</x:v>
      </x:c>
      <x:c r="J5475" s="2" t="str">
        <x:v>total</x:v>
      </x:c>
      <x:c r="K5475" s="2" t="str">
        <x:v>top_level_area</x:v>
      </x:c>
      <x:c r="L5475" s="2" t="str">
        <x:v>dot_thousands_convention;property_type_inferred_from_title;unknown_property_type</x:v>
      </x:c>
      <x:c r="M5475" s="10" t="n">
        <x:v>0</x:v>
      </x:c>
      <x:c r="N5475" s="10" t="n">
        <x:v>0</x:v>
      </x:c>
      <x:c r="O5475" s="2" t="str">
        <x:v>Đồng Nai|other_unknown</x:v>
      </x:c>
      <x:c r="P5475" s="10" t="n">
        <x:v>1</x:v>
      </x:c>
      <x:c r="Q5475" s="13" t="n">
        <x:f>IF(H5475="","",H5475/1000000000)</x:f>
        <x:v>2.8</x:v>
      </x:c>
      <x:c r="R5475" s="13" t="n">
        <x:f>IF(I5475="","",I5475/1000000)</x:f>
        <x:v>0.8298755186721992</x:v>
      </x:c>
    </x:row>
    <x:row r="5476" ht="21" customHeight="1">
      <x:c r="A5476" s="10" t="n">
        <x:v>7175</x:v>
      </x:c>
      <x:c r="B5476" s="2" t="str">
        <x:v>5b1b66c14e420c4d9e3e</x:v>
      </x:c>
      <x:c r="C5476" s="2" t="str">
        <x:v>Tp Hồ Chí Minh</x:v>
      </x:c>
      <x:c r="D5476" s="2" t="str">
        <x:v>Quận 12</x:v>
      </x:c>
      <x:c r="E5476" s="2" t="str">
        <x:v>other_unknown</x:v>
      </x:c>
      <x:c r="F5476" s="2" t="str">
        <x:v>sale</x:v>
      </x:c>
      <x:c r="G5476" s="11" t="n">
        <x:v>65</x:v>
      </x:c>
      <x:c r="H5476" s="12" t="n">
        <x:v>1900000000</x:v>
      </x:c>
      <x:c r="I5476" s="12" t="n">
        <x:v>29230769.230769232</x:v>
      </x:c>
      <x:c r="J5476" s="2" t="str">
        <x:v>total</x:v>
      </x:c>
      <x:c r="K5476" s="2" t="str">
        <x:v>top_level_area</x:v>
      </x:c>
      <x:c r="L5476" s="2" t="str">
        <x:v>property_type_inferred_from_title;unknown_property_type</x:v>
      </x:c>
      <x:c r="M5476" s="10" t="n">
        <x:v>0</x:v>
      </x:c>
      <x:c r="N5476" s="10" t="n">
        <x:v>0</x:v>
      </x:c>
      <x:c r="O5476" s="2" t="str">
        <x:v>Tp Hồ Chí Minh|other_unknown</x:v>
      </x:c>
      <x:c r="P5476" s="10" t="n">
        <x:v>2</x:v>
      </x:c>
      <x:c r="Q5476" s="13" t="n">
        <x:f>IF(H5476="","",H5476/1000000000)</x:f>
        <x:v>1.9</x:v>
      </x:c>
      <x:c r="R5476" s="13" t="n">
        <x:f>IF(I5476="","",I5476/1000000)</x:f>
        <x:v>29.230769230769234</x:v>
      </x:c>
    </x:row>
    <x:row r="5477" ht="21" customHeight="1">
      <x:c r="A5477" s="10" t="n">
        <x:v>7176</x:v>
      </x:c>
      <x:c r="B5477" s="2" t="str">
        <x:v>ef89461a1a29580e0ca9</x:v>
      </x:c>
      <x:c r="C5477" s="2" t="str">
        <x:v>Tp Hồ Chí Minh</x:v>
      </x:c>
      <x:c r="D5477" s="2" t="str">
        <x:v>Huyện Nhà Bè</x:v>
      </x:c>
      <x:c r="E5477" s="2" t="str">
        <x:v>other_unknown</x:v>
      </x:c>
      <x:c r="F5477" s="2" t="str">
        <x:v>sale_assumed</x:v>
      </x:c>
      <x:c r="G5477" s="11" t="n">
        <x:v>500</x:v>
      </x:c>
      <x:c r="H5477" s="12" t="n">
        <x:v>3000000000</x:v>
      </x:c>
      <x:c r="I5477" s="12" t="n">
        <x:v>6000000</x:v>
      </x:c>
      <x:c r="J5477" s="2" t="str">
        <x:v>total</x:v>
      </x:c>
      <x:c r="K5477" s="2" t="str">
        <x:v>top_level_area</x:v>
      </x:c>
      <x:c r="L5477" s="2" t="str">
        <x:v>property_type_inferred_from_title;transaction_assumed_sale_from_dataset_context;unknown_property_type</x:v>
      </x:c>
      <x:c r="M5477" s="10" t="n">
        <x:v>0</x:v>
      </x:c>
      <x:c r="N5477" s="10" t="n">
        <x:v>0</x:v>
      </x:c>
      <x:c r="O5477" s="2" t="str">
        <x:v>Tp Hồ Chí Minh|other_unknown</x:v>
      </x:c>
      <x:c r="P5477" s="10" t="n">
        <x:v>1</x:v>
      </x:c>
      <x:c r="Q5477" s="13" t="n">
        <x:f>IF(H5477="","",H5477/1000000000)</x:f>
        <x:v>3</x:v>
      </x:c>
      <x:c r="R5477" s="13" t="n">
        <x:f>IF(I5477="","",I5477/1000000)</x:f>
        <x:v>6</x:v>
      </x:c>
    </x:row>
    <x:row r="5478" ht="21" customHeight="1">
      <x:c r="A5478" s="10" t="n">
        <x:v>7177</x:v>
      </x:c>
      <x:c r="B5478" s="2" t="str">
        <x:v>904172971d23d501aa8f</x:v>
      </x:c>
      <x:c r="C5478" s="2" t="str">
        <x:v>Tp Hồ Chí Minh</x:v>
      </x:c>
      <x:c r="D5478" s="2" t="str">
        <x:v>Huyện Bình Chánh</x:v>
      </x:c>
      <x:c r="E5478" s="2" t="str">
        <x:v>apartment</x:v>
      </x:c>
      <x:c r="F5478" s="2" t="str">
        <x:v>sale</x:v>
      </x:c>
      <x:c r="G5478" s="11" t="n">
        <x:v>127</x:v>
      </x:c>
      <x:c r="H5478" s="12" t="n">
        <x:v>2350000000</x:v>
      </x:c>
      <x:c r="I5478" s="12" t="n">
        <x:v>18503937.007874016</x:v>
      </x:c>
      <x:c r="J5478" s="2" t="str">
        <x:v>total</x:v>
      </x:c>
      <x:c r="K5478" s="2" t="str">
        <x:v>top_level_area</x:v>
      </x:c>
      <x:c r="L5478" s="2" t="str">
        <x:v>property_type_inferred_from_title</x:v>
      </x:c>
      <x:c r="M5478" s="10" t="n">
        <x:v>0</x:v>
      </x:c>
      <x:c r="N5478" s="10" t="n">
        <x:v>0</x:v>
      </x:c>
      <x:c r="O5478" s="2" t="str">
        <x:v>Tp Hồ Chí Minh|apartment</x:v>
      </x:c>
      <x:c r="P5478" s="10" t="n">
        <x:v>2</x:v>
      </x:c>
      <x:c r="Q5478" s="13" t="n">
        <x:f>IF(H5478="","",H5478/1000000000)</x:f>
        <x:v>2.35</x:v>
      </x:c>
      <x:c r="R5478" s="13" t="n">
        <x:f>IF(I5478="","",I5478/1000000)</x:f>
        <x:v>18.503937007874015</x:v>
      </x:c>
    </x:row>
    <x:row r="5479" ht="21" customHeight="1">
      <x:c r="A5479" s="10" t="n">
        <x:v>7178</x:v>
      </x:c>
      <x:c r="B5479" s="2" t="str">
        <x:v>fe3bb099d68760f08620</x:v>
      </x:c>
      <x:c r="C5479" s="2" t="str">
        <x:v>Tp Hồ Chí Minh</x:v>
      </x:c>
      <x:c r="D5479" s="2" t="str">
        <x:v>Quận Phú Nhuận</x:v>
      </x:c>
      <x:c r="E5479" s="2" t="str">
        <x:v>apartment</x:v>
      </x:c>
      <x:c r="F5479" s="2" t="str">
        <x:v>sale</x:v>
      </x:c>
      <x:c r="G5479" s="11" t="n">
        <x:v>28.2</x:v>
      </x:c>
      <x:c r="H5479" s="12" t="n">
        <x:v>1700000000</x:v>
      </x:c>
      <x:c r="I5479" s="12" t="n">
        <x:v>60283687.94326241</x:v>
      </x:c>
      <x:c r="J5479" s="2" t="str">
        <x:v>total</x:v>
      </x:c>
      <x:c r="K5479" s="2" t="str">
        <x:v>top_level_area</x:v>
      </x:c>
      <x:c r="L5479" s="2" t="str">
        <x:v>property_type_inferred_from_title</x:v>
      </x:c>
      <x:c r="M5479" s="10" t="n">
        <x:v>0</x:v>
      </x:c>
      <x:c r="N5479" s="10" t="n">
        <x:v>0</x:v>
      </x:c>
      <x:c r="O5479" s="2" t="str">
        <x:v>Tp Hồ Chí Minh|apartment</x:v>
      </x:c>
      <x:c r="P5479" s="10" t="n">
        <x:v>2</x:v>
      </x:c>
      <x:c r="Q5479" s="13" t="n">
        <x:f>IF(H5479="","",H5479/1000000000)</x:f>
        <x:v>1.7</x:v>
      </x:c>
      <x:c r="R5479" s="13" t="n">
        <x:f>IF(I5479="","",I5479/1000000)</x:f>
        <x:v>60.283687943262414</x:v>
      </x:c>
    </x:row>
    <x:row r="5480" ht="21" customHeight="1">
      <x:c r="A5480" s="10" t="n">
        <x:v>7182</x:v>
      </x:c>
      <x:c r="B5480" s="2" t="str">
        <x:v>4edfe7c0ac9f959463f2</x:v>
      </x:c>
      <x:c r="C5480" s="2" t="str">
        <x:v>Cần Thơ</x:v>
      </x:c>
      <x:c r="D5480" s="2" t="str">
        <x:v>Quận Bình Thuỷ</x:v>
      </x:c>
      <x:c r="E5480" s="2" t="str">
        <x:v>land</x:v>
      </x:c>
      <x:c r="F5480" s="2" t="str">
        <x:v>sale_assumed</x:v>
      </x:c>
      <x:c r="G5480" s="11" t="n">
        <x:v>78</x:v>
      </x:c>
      <x:c r="H5480" s="12" t="n">
        <x:v>1595000000</x:v>
      </x:c>
      <x:c r="I5480" s="12" t="n">
        <x:v>20448717.948717948</x:v>
      </x:c>
      <x:c r="J5480" s="2" t="str">
        <x:v>total</x:v>
      </x:c>
      <x:c r="K5480" s="2" t="str">
        <x:v>top_level_area</x:v>
      </x:c>
      <x:c r="L5480" s="2" t="str">
        <x:v>property_type_inferred_from_title;transaction_assumed_sale_from_dataset_context</x:v>
      </x:c>
      <x:c r="M5480" s="10" t="n">
        <x:v>0</x:v>
      </x:c>
      <x:c r="N5480" s="10" t="n">
        <x:v>0</x:v>
      </x:c>
      <x:c r="O5480" s="2" t="str">
        <x:v>Cần Thơ|land</x:v>
      </x:c>
      <x:c r="P5480" s="10" t="n">
        <x:v>2</x:v>
      </x:c>
      <x:c r="Q5480" s="13" t="n">
        <x:f>IF(H5480="","",H5480/1000000000)</x:f>
        <x:v>1.595</x:v>
      </x:c>
      <x:c r="R5480" s="13" t="n">
        <x:f>IF(I5480="","",I5480/1000000)</x:f>
        <x:v>20.44871794871795</x:v>
      </x:c>
    </x:row>
    <x:row r="5481" ht="21" customHeight="1">
      <x:c r="A5481" s="10" t="n">
        <x:v>7183</x:v>
      </x:c>
      <x:c r="B5481" s="2" t="str">
        <x:v>0925d8c24e412d2ec24d</x:v>
      </x:c>
      <x:c r="C5481" s="2" t="str">
        <x:v>Tp Hồ Chí Minh</x:v>
      </x:c>
      <x:c r="D5481" s="2" t="str">
        <x:v>Quận Bình Thạnh</x:v>
      </x:c>
      <x:c r="E5481" s="2" t="str">
        <x:v>house</x:v>
      </x:c>
      <x:c r="F5481" s="2" t="str">
        <x:v>sale</x:v>
      </x:c>
      <x:c r="G5481" s="11" t="n">
        <x:v>60</x:v>
      </x:c>
      <x:c r="H5481" s="12" t="n">
        <x:v>1150000000</x:v>
      </x:c>
      <x:c r="I5481" s="12" t="n">
        <x:v>19166666.666666668</x:v>
      </x:c>
      <x:c r="J5481" s="2" t="str">
        <x:v>total</x:v>
      </x:c>
      <x:c r="K5481" s="2" t="str">
        <x:v>top_level_area</x:v>
      </x:c>
      <x:c r="L5481" s="2" t="str">
        <x:v>property_type_inferred_from_title</x:v>
      </x:c>
      <x:c r="M5481" s="10" t="n">
        <x:v>0</x:v>
      </x:c>
      <x:c r="N5481" s="10" t="n">
        <x:v>0</x:v>
      </x:c>
      <x:c r="O5481" s="2" t="str">
        <x:v>Tp Hồ Chí Minh|house</x:v>
      </x:c>
      <x:c r="P5481" s="10" t="n">
        <x:v>2</x:v>
      </x:c>
      <x:c r="Q5481" s="13" t="n">
        <x:f>IF(H5481="","",H5481/1000000000)</x:f>
        <x:v>1.15</x:v>
      </x:c>
      <x:c r="R5481" s="13" t="n">
        <x:f>IF(I5481="","",I5481/1000000)</x:f>
        <x:v>19.166666666666668</x:v>
      </x:c>
    </x:row>
    <x:row r="5482" ht="21" customHeight="1">
      <x:c r="A5482" s="10" t="n">
        <x:v>7184</x:v>
      </x:c>
      <x:c r="B5482" s="2" t="str">
        <x:v>789123c48312ab1eee0e</x:v>
      </x:c>
      <x:c r="C5482" s="2" t="str">
        <x:v>Tp Hồ Chí Minh</x:v>
      </x:c>
      <x:c r="D5482" s="2" t="str">
        <x:v>Quận Gò Vấp</x:v>
      </x:c>
      <x:c r="E5482" s="2" t="str">
        <x:v>house</x:v>
      </x:c>
      <x:c r="F5482" s="2" t="str">
        <x:v>sale_assumed</x:v>
      </x:c>
      <x:c r="G5482" s="11" t="n">
        <x:v>52</x:v>
      </x:c>
      <x:c r="H5482" s="12" t="n">
        <x:v>6190000000</x:v>
      </x:c>
      <x:c r="I5482" s="12" t="n">
        <x:v>119038461.53846154</x:v>
      </x:c>
      <x:c r="J5482" s="2" t="str">
        <x:v>total</x:v>
      </x:c>
      <x:c r="K5482" s="2" t="str">
        <x:v>top_level_area</x:v>
      </x:c>
      <x:c r="L5482" s="2" t="str">
        <x:v>property_type_inferred_from_title;transaction_assumed_sale_from_dataset_context</x:v>
      </x:c>
      <x:c r="M5482" s="10" t="n">
        <x:v>0</x:v>
      </x:c>
      <x:c r="N5482" s="10" t="n">
        <x:v>0</x:v>
      </x:c>
      <x:c r="O5482" s="2" t="str">
        <x:v>Tp Hồ Chí Minh|house</x:v>
      </x:c>
      <x:c r="P5482" s="10" t="n">
        <x:v>2</x:v>
      </x:c>
      <x:c r="Q5482" s="13" t="n">
        <x:f>IF(H5482="","",H5482/1000000000)</x:f>
        <x:v>6.19</x:v>
      </x:c>
      <x:c r="R5482" s="13" t="n">
        <x:f>IF(I5482="","",I5482/1000000)</x:f>
        <x:v>119.03846153846153</x:v>
      </x:c>
    </x:row>
    <x:row r="5483" ht="21" customHeight="1">
      <x:c r="A5483" s="10" t="n">
        <x:v>7185</x:v>
      </x:c>
      <x:c r="B5483" s="2" t="str">
        <x:v>7224b8c01ccaf3e3f958</x:v>
      </x:c>
      <x:c r="C5483" s="2" t="str">
        <x:v>Hà Nội</x:v>
      </x:c>
      <x:c r="D5483" s="2" t="str">
        <x:v>Quận Hà Đông</x:v>
      </x:c>
      <x:c r="E5483" s="2" t="str">
        <x:v>house</x:v>
      </x:c>
      <x:c r="F5483" s="2" t="str">
        <x:v>sale_assumed</x:v>
      </x:c>
      <x:c r="G5483" s="11" t="n">
        <x:v>32</x:v>
      </x:c>
      <x:c r="H5483" s="12" t="n">
        <x:v>1275000000</x:v>
      </x:c>
      <x:c r="I5483" s="12" t="n">
        <x:v>39843750</x:v>
      </x:c>
      <x:c r="J5483" s="2" t="str">
        <x:v>total</x:v>
      </x:c>
      <x:c r="K5483" s="2" t="str">
        <x:v>top_level_area</x:v>
      </x:c>
      <x:c r="L5483" s="2" t="str">
        <x:v>property_type_inferred_from_title;transaction_assumed_sale_from_dataset_context</x:v>
      </x:c>
      <x:c r="M5483" s="10" t="n">
        <x:v>0</x:v>
      </x:c>
      <x:c r="N5483" s="10" t="n">
        <x:v>0</x:v>
      </x:c>
      <x:c r="O5483" s="2" t="str">
        <x:v>Hà Nội|house</x:v>
      </x:c>
      <x:c r="P5483" s="10" t="n">
        <x:v>2</x:v>
      </x:c>
      <x:c r="Q5483" s="13" t="n">
        <x:f>IF(H5483="","",H5483/1000000000)</x:f>
        <x:v>1.275</x:v>
      </x:c>
      <x:c r="R5483" s="13" t="n">
        <x:f>IF(I5483="","",I5483/1000000)</x:f>
        <x:v>39.84375</x:v>
      </x:c>
    </x:row>
    <x:row r="5484" ht="21" customHeight="1">
      <x:c r="A5484" s="10" t="n">
        <x:v>7186</x:v>
      </x:c>
      <x:c r="B5484" s="2" t="str">
        <x:v>ffd22af82ce4c768fd61</x:v>
      </x:c>
      <x:c r="C5484" s="2" t="str">
        <x:v>Đà Nẵng</x:v>
      </x:c>
      <x:c r="D5484" s="2" t="str">
        <x:v>Quận Sơn Trà</x:v>
      </x:c>
      <x:c r="E5484" s="2" t="str">
        <x:v>house</x:v>
      </x:c>
      <x:c r="F5484" s="2" t="str">
        <x:v>sale</x:v>
      </x:c>
      <x:c r="G5484" s="11" t="n">
        <x:v>88</x:v>
      </x:c>
      <x:c r="H5484" s="12" t="n">
        <x:v>6200000000</x:v>
      </x:c>
      <x:c r="I5484" s="12" t="n">
        <x:v>70454545.45454545</x:v>
      </x:c>
      <x:c r="J5484" s="2" t="str">
        <x:v>total</x:v>
      </x:c>
      <x:c r="K5484" s="2" t="str">
        <x:v>top_level_area</x:v>
      </x:c>
      <x:c r="L5484" s="2" t="str">
        <x:v>property_type_inferred_from_title</x:v>
      </x:c>
      <x:c r="M5484" s="10" t="n">
        <x:v>0</x:v>
      </x:c>
      <x:c r="N5484" s="10" t="n">
        <x:v>0</x:v>
      </x:c>
      <x:c r="O5484" s="2" t="str">
        <x:v>Đà Nẵng|house</x:v>
      </x:c>
      <x:c r="P5484" s="10" t="n">
        <x:v>2</x:v>
      </x:c>
      <x:c r="Q5484" s="13" t="n">
        <x:f>IF(H5484="","",H5484/1000000000)</x:f>
        <x:v>6.2</x:v>
      </x:c>
      <x:c r="R5484" s="13" t="n">
        <x:f>IF(I5484="","",I5484/1000000)</x:f>
        <x:v>70.45454545454545</x:v>
      </x:c>
    </x:row>
    <x:row r="5485" ht="21" customHeight="1">
      <x:c r="A5485" s="10" t="n">
        <x:v>7187</x:v>
      </x:c>
      <x:c r="B5485" s="2" t="str">
        <x:v>d6a97ac32163d5aabe45</x:v>
      </x:c>
      <x:c r="C5485" s="2" t="str">
        <x:v>Hà Nội</x:v>
      </x:c>
      <x:c r="D5485" s="2" t="str">
        <x:v>Quận Hà Đông</x:v>
      </x:c>
      <x:c r="E5485" s="2" t="str">
        <x:v>house</x:v>
      </x:c>
      <x:c r="F5485" s="2" t="str">
        <x:v>sale_assumed</x:v>
      </x:c>
      <x:c r="G5485" s="11" t="n">
        <x:v>38</x:v>
      </x:c>
      <x:c r="H5485" s="12" t="n">
        <x:v>1500000000</x:v>
      </x:c>
      <x:c r="I5485" s="12" t="n">
        <x:v>39473684.21052632</x:v>
      </x:c>
      <x:c r="J5485" s="2" t="str">
        <x:v>total</x:v>
      </x:c>
      <x:c r="K5485" s="2" t="str">
        <x:v>top_level_area</x:v>
      </x:c>
      <x:c r="L5485" s="2" t="str">
        <x:v>property_type_inferred_from_title;transaction_assumed_sale_from_dataset_context</x:v>
      </x:c>
      <x:c r="M5485" s="10" t="n">
        <x:v>0</x:v>
      </x:c>
      <x:c r="N5485" s="10" t="n">
        <x:v>0</x:v>
      </x:c>
      <x:c r="O5485" s="2" t="str">
        <x:v>Hà Nội|house</x:v>
      </x:c>
      <x:c r="P5485" s="10" t="n">
        <x:v>2</x:v>
      </x:c>
      <x:c r="Q5485" s="13" t="n">
        <x:f>IF(H5485="","",H5485/1000000000)</x:f>
        <x:v>1.5</x:v>
      </x:c>
      <x:c r="R5485" s="13" t="n">
        <x:f>IF(I5485="","",I5485/1000000)</x:f>
        <x:v>39.473684210526315</x:v>
      </x:c>
    </x:row>
    <x:row r="5486" ht="21" customHeight="1">
      <x:c r="A5486" s="10" t="n">
        <x:v>7188</x:v>
      </x:c>
      <x:c r="B5486" s="2" t="str">
        <x:v>8c2f8fac2d0a68bf24e5</x:v>
      </x:c>
      <x:c r="C5486" s="2" t="str">
        <x:v>Hà Nội</x:v>
      </x:c>
      <x:c r="D5486" s="2" t="str">
        <x:v>Quận Long Biên</x:v>
      </x:c>
      <x:c r="E5486" s="2" t="str">
        <x:v>house</x:v>
      </x:c>
      <x:c r="F5486" s="2" t="str">
        <x:v>sale_assumed</x:v>
      </x:c>
      <x:c r="G5486" s="11" t="n">
        <x:v>40</x:v>
      </x:c>
      <x:c r="H5486" s="12" t="n">
        <x:v>6400000000</x:v>
      </x:c>
      <x:c r="I5486" s="12" t="n">
        <x:v>160000000</x:v>
      </x:c>
      <x:c r="J5486" s="2" t="str">
        <x:v>total</x:v>
      </x:c>
      <x:c r="K5486" s="2" t="str">
        <x:v>top_level_price_embedded_area</x:v>
      </x:c>
      <x:c r="L5486" s="2" t="str">
        <x:v>area_recovered_from_price_text;property_type_inferred_from_title;transaction_assumed_sale_from_dataset_context</x:v>
      </x:c>
      <x:c r="M5486" s="10" t="n">
        <x:v>0</x:v>
      </x:c>
      <x:c r="N5486" s="10" t="n">
        <x:v>0</x:v>
      </x:c>
      <x:c r="O5486" s="2" t="str">
        <x:v>Hà Nội|house</x:v>
      </x:c>
      <x:c r="P5486" s="10" t="n">
        <x:v>2</x:v>
      </x:c>
      <x:c r="Q5486" s="13" t="n">
        <x:f>IF(H5486="","",H5486/1000000000)</x:f>
        <x:v>6.4</x:v>
      </x:c>
      <x:c r="R5486" s="13" t="n">
        <x:f>IF(I5486="","",I5486/1000000)</x:f>
        <x:v>160</x:v>
      </x:c>
    </x:row>
    <x:row r="5487" ht="21" customHeight="1">
      <x:c r="A5487" s="10" t="n">
        <x:v>7189</x:v>
      </x:c>
      <x:c r="B5487" s="2" t="str">
        <x:v>6b8efa6d3135e1196922</x:v>
      </x:c>
      <x:c r="C5487" s="2" t="str">
        <x:v>Tp Hồ Chí Minh</x:v>
      </x:c>
      <x:c r="D5487" s="2" t="str">
        <x:v>Quận 11</x:v>
      </x:c>
      <x:c r="E5487" s="2" t="str">
        <x:v>other_unknown</x:v>
      </x:c>
      <x:c r="F5487" s="2" t="str">
        <x:v>sale</x:v>
      </x:c>
      <x:c r="G5487" s="11" t="n">
        <x:v>75</x:v>
      </x:c>
      <x:c r="H5487" s="12" t="n">
        <x:v>1500000000</x:v>
      </x:c>
      <x:c r="I5487" s="12" t="n">
        <x:v>20000000</x:v>
      </x:c>
      <x:c r="J5487" s="2" t="str">
        <x:v>total</x:v>
      </x:c>
      <x:c r="K5487" s="2" t="str">
        <x:v>top_level_area</x:v>
      </x:c>
      <x:c r="L5487" s="2" t="str">
        <x:v>property_type_inferred_from_title;unknown_property_type</x:v>
      </x:c>
      <x:c r="M5487" s="10" t="n">
        <x:v>0</x:v>
      </x:c>
      <x:c r="N5487" s="10" t="n">
        <x:v>0</x:v>
      </x:c>
      <x:c r="O5487" s="2" t="str">
        <x:v>Tp Hồ Chí Minh|other_unknown</x:v>
      </x:c>
      <x:c r="P5487" s="10" t="n">
        <x:v>2</x:v>
      </x:c>
      <x:c r="Q5487" s="13" t="n">
        <x:f>IF(H5487="","",H5487/1000000000)</x:f>
        <x:v>1.5</x:v>
      </x:c>
      <x:c r="R5487" s="13" t="n">
        <x:f>IF(I5487="","",I5487/1000000)</x:f>
        <x:v>20</x:v>
      </x:c>
    </x:row>
    <x:row r="5488" ht="21" customHeight="1">
      <x:c r="A5488" s="10" t="n">
        <x:v>7190</x:v>
      </x:c>
      <x:c r="B5488" s="2" t="str">
        <x:v>24dbd955b01d2160d900</x:v>
      </x:c>
      <x:c r="C5488" s="2" t="str">
        <x:v>Tp Hồ Chí Minh</x:v>
      </x:c>
      <x:c r="D5488" s="2" t="str">
        <x:v>Huyện Bình Chánh</x:v>
      </x:c>
      <x:c r="E5488" s="2" t="str">
        <x:v>house</x:v>
      </x:c>
      <x:c r="F5488" s="2" t="str">
        <x:v>sale_assumed</x:v>
      </x:c>
      <x:c r="G5488" s="11" t="n">
        <x:v>52</x:v>
      </x:c>
      <x:c r="H5488" s="12" t="n">
        <x:v>2000000000</x:v>
      </x:c>
      <x:c r="I5488" s="12" t="n">
        <x:v>38461538.461538464</x:v>
      </x:c>
      <x:c r="J5488" s="2" t="str">
        <x:v>total</x:v>
      </x:c>
      <x:c r="K5488" s="2" t="str">
        <x:v>top_level_area</x:v>
      </x:c>
      <x:c r="L5488" s="2" t="str">
        <x:v>property_type_inferred_from_title;transaction_assumed_sale_from_dataset_context</x:v>
      </x:c>
      <x:c r="M5488" s="10" t="n">
        <x:v>0</x:v>
      </x:c>
      <x:c r="N5488" s="10" t="n">
        <x:v>0</x:v>
      </x:c>
      <x:c r="O5488" s="2" t="str">
        <x:v>Tp Hồ Chí Minh|house</x:v>
      </x:c>
      <x:c r="P5488" s="10" t="n">
        <x:v>2</x:v>
      </x:c>
      <x:c r="Q5488" s="13" t="n">
        <x:f>IF(H5488="","",H5488/1000000000)</x:f>
        <x:v>2</x:v>
      </x:c>
      <x:c r="R5488" s="13" t="n">
        <x:f>IF(I5488="","",I5488/1000000)</x:f>
        <x:v>38.46153846153847</x:v>
      </x:c>
    </x:row>
    <x:row r="5489" ht="21" customHeight="1">
      <x:c r="A5489" s="10" t="n">
        <x:v>7191</x:v>
      </x:c>
      <x:c r="B5489" s="2" t="str">
        <x:v>39284317788d211cc31a</x:v>
      </x:c>
      <x:c r="C5489" s="2" t="str">
        <x:v>Hà Nội</x:v>
      </x:c>
      <x:c r="D5489" s="2" t="str">
        <x:v>Huyện Đan Phượng</x:v>
      </x:c>
      <x:c r="E5489" s="2" t="str">
        <x:v>land</x:v>
      </x:c>
      <x:c r="F5489" s="2" t="str">
        <x:v>sale_assumed</x:v>
      </x:c>
      <x:c r="G5489" s="11" t="n">
        <x:v>515</x:v>
      </x:c>
      <x:c r="H5489" s="12" t="n">
        <x:v>6180000000</x:v>
      </x:c>
      <x:c r="I5489" s="12" t="n">
        <x:v>12000000</x:v>
      </x:c>
      <x:c r="J5489" s="2" t="str">
        <x:v>total</x:v>
      </x:c>
      <x:c r="K5489" s="2" t="str">
        <x:v>top_level_area</x:v>
      </x:c>
      <x:c r="L5489" s="2" t="str">
        <x:v>property_type_inferred_from_title;transaction_assumed_sale_from_dataset_context</x:v>
      </x:c>
      <x:c r="M5489" s="10" t="n">
        <x:v>0</x:v>
      </x:c>
      <x:c r="N5489" s="10" t="n">
        <x:v>0</x:v>
      </x:c>
      <x:c r="O5489" s="2" t="str">
        <x:v>Hà Nội|land</x:v>
      </x:c>
      <x:c r="P5489" s="10" t="n">
        <x:v>1</x:v>
      </x:c>
      <x:c r="Q5489" s="13" t="n">
        <x:f>IF(H5489="","",H5489/1000000000)</x:f>
        <x:v>6.18</x:v>
      </x:c>
      <x:c r="R5489" s="13" t="n">
        <x:f>IF(I5489="","",I5489/1000000)</x:f>
        <x:v>12</x:v>
      </x:c>
    </x:row>
    <x:row r="5490" ht="21" customHeight="1">
      <x:c r="A5490" s="10" t="n">
        <x:v>7192</x:v>
      </x:c>
      <x:c r="B5490" s="2" t="str">
        <x:v>7afb6e01053f89de29c4</x:v>
      </x:c>
      <x:c r="C5490" s="2" t="str">
        <x:v>Long An</x:v>
      </x:c>
      <x:c r="D5490" s="2" t="str">
        <x:v>Huyện Đức Hòa</x:v>
      </x:c>
      <x:c r="E5490" s="2" t="str">
        <x:v>house</x:v>
      </x:c>
      <x:c r="F5490" s="2" t="str">
        <x:v>sale_assumed</x:v>
      </x:c>
      <x:c r="G5490" s="11" t="n">
        <x:v>88</x:v>
      </x:c>
      <x:c r="H5490" s="12" t="n">
        <x:v>1400000000</x:v>
      </x:c>
      <x:c r="I5490" s="12" t="n">
        <x:v>15909090.909090908</x:v>
      </x:c>
      <x:c r="J5490" s="2" t="str">
        <x:v>total</x:v>
      </x:c>
      <x:c r="K5490" s="2" t="str">
        <x:v>top_level_area</x:v>
      </x:c>
      <x:c r="L5490" s="2" t="str">
        <x:v>property_type_inferred_from_title;transaction_assumed_sale_from_dataset_context</x:v>
      </x:c>
      <x:c r="M5490" s="10" t="n">
        <x:v>0</x:v>
      </x:c>
      <x:c r="N5490" s="10" t="n">
        <x:v>0</x:v>
      </x:c>
      <x:c r="O5490" s="2" t="str">
        <x:v>Long An|house</x:v>
      </x:c>
      <x:c r="P5490" s="10" t="n">
        <x:v>2</x:v>
      </x:c>
      <x:c r="Q5490" s="13" t="n">
        <x:f>IF(H5490="","",H5490/1000000000)</x:f>
        <x:v>1.4</x:v>
      </x:c>
      <x:c r="R5490" s="13" t="n">
        <x:f>IF(I5490="","",I5490/1000000)</x:f>
        <x:v>15.909090909090908</x:v>
      </x:c>
    </x:row>
    <x:row r="5491" ht="21" customHeight="1">
      <x:c r="A5491" s="10" t="n">
        <x:v>7193</x:v>
      </x:c>
      <x:c r="B5491" s="2" t="str">
        <x:v>88af096e5736f33e1e86</x:v>
      </x:c>
      <x:c r="C5491" s="2" t="str">
        <x:v>Đà Nẵng</x:v>
      </x:c>
      <x:c r="D5491" s="2" t="str">
        <x:v>Quận Liên Chiểu</x:v>
      </x:c>
      <x:c r="E5491" s="2" t="str">
        <x:v>house</x:v>
      </x:c>
      <x:c r="F5491" s="2" t="str">
        <x:v>sale</x:v>
      </x:c>
      <x:c r="G5491" s="11" t="n">
        <x:v>100</x:v>
      </x:c>
      <x:c r="H5491" s="12" t="n">
        <x:v>5800000000</x:v>
      </x:c>
      <x:c r="I5491" s="12" t="n">
        <x:v>58000000</x:v>
      </x:c>
      <x:c r="J5491" s="2" t="str">
        <x:v>total</x:v>
      </x:c>
      <x:c r="K5491" s="2" t="str">
        <x:v>top_level_area</x:v>
      </x:c>
      <x:c r="L5491" s="2" t="str">
        <x:v>property_type_inferred_from_title</x:v>
      </x:c>
      <x:c r="M5491" s="10" t="n">
        <x:v>0</x:v>
      </x:c>
      <x:c r="N5491" s="10" t="n">
        <x:v>0</x:v>
      </x:c>
      <x:c r="O5491" s="2" t="str">
        <x:v>Đà Nẵng|house</x:v>
      </x:c>
      <x:c r="P5491" s="10" t="n">
        <x:v>2</x:v>
      </x:c>
      <x:c r="Q5491" s="13" t="n">
        <x:f>IF(H5491="","",H5491/1000000000)</x:f>
        <x:v>5.8</x:v>
      </x:c>
      <x:c r="R5491" s="13" t="n">
        <x:f>IF(I5491="","",I5491/1000000)</x:f>
        <x:v>58</x:v>
      </x:c>
    </x:row>
    <x:row r="5492" ht="21" customHeight="1">
      <x:c r="A5492" s="10" t="n">
        <x:v>7194</x:v>
      </x:c>
      <x:c r="B5492" s="2" t="str">
        <x:v>7389a03bc9b93aaa08e5</x:v>
      </x:c>
      <x:c r="C5492" s="2" t="str">
        <x:v>Hà Nội</x:v>
      </x:c>
      <x:c r="D5492" s="2" t="str">
        <x:v>Quận Thanh Xuân</x:v>
      </x:c>
      <x:c r="E5492" s="2" t="str">
        <x:v>house</x:v>
      </x:c>
      <x:c r="F5492" s="2" t="str">
        <x:v>sale_assumed</x:v>
      </x:c>
      <x:c r="G5492" s="11" t="n">
        <x:v>33</x:v>
      </x:c>
      <x:c r="H5492" s="12" t="n">
        <x:v>3300000000</x:v>
      </x:c>
      <x:c r="I5492" s="12" t="n">
        <x:v>100000000</x:v>
      </x:c>
      <x:c r="J5492" s="2" t="str">
        <x:v>total</x:v>
      </x:c>
      <x:c r="K5492" s="2" t="str">
        <x:v>top_level_area</x:v>
      </x:c>
      <x:c r="L5492" s="2" t="str">
        <x:v>property_type_inferred_from_title;transaction_assumed_sale_from_dataset_context</x:v>
      </x:c>
      <x:c r="M5492" s="10" t="n">
        <x:v>0</x:v>
      </x:c>
      <x:c r="N5492" s="10" t="n">
        <x:v>0</x:v>
      </x:c>
      <x:c r="O5492" s="2" t="str">
        <x:v>Hà Nội|house</x:v>
      </x:c>
      <x:c r="P5492" s="10" t="n">
        <x:v>2</x:v>
      </x:c>
      <x:c r="Q5492" s="13" t="n">
        <x:f>IF(H5492="","",H5492/1000000000)</x:f>
        <x:v>3.3</x:v>
      </x:c>
      <x:c r="R5492" s="13" t="n">
        <x:f>IF(I5492="","",I5492/1000000)</x:f>
        <x:v>100</x:v>
      </x:c>
    </x:row>
    <x:row r="5493" ht="21" customHeight="1">
      <x:c r="A5493" s="10" t="n">
        <x:v>7195</x:v>
      </x:c>
      <x:c r="B5493" s="2" t="str">
        <x:v>4b925ee9b72e9cec13dd</x:v>
      </x:c>
      <x:c r="C5493" s="2" t="str">
        <x:v>Tp Hồ Chí Minh</x:v>
      </x:c>
      <x:c r="D5493" s="2" t="str">
        <x:v>Quận 9</x:v>
      </x:c>
      <x:c r="E5493" s="2" t="str">
        <x:v>other_unknown</x:v>
      </x:c>
      <x:c r="F5493" s="2" t="str">
        <x:v>sale_assumed</x:v>
      </x:c>
      <x:c r="G5493" s="11" t="n">
        <x:v>118.5</x:v>
      </x:c>
      <x:c r="H5493" s="12" t="n">
        <x:v>6000000000</x:v>
      </x:c>
      <x:c r="I5493" s="12" t="n">
        <x:v>50632911.39240506</x:v>
      </x:c>
      <x:c r="J5493" s="2" t="str">
        <x:v>total</x:v>
      </x:c>
      <x:c r="K5493" s="2" t="str">
        <x:v>top_level_area</x:v>
      </x:c>
      <x:c r="L5493" s="2" t="str">
        <x:v>property_type_inferred_from_title;transaction_assumed_sale_from_dataset_context;unknown_property_type</x:v>
      </x:c>
      <x:c r="M5493" s="10" t="n">
        <x:v>0</x:v>
      </x:c>
      <x:c r="N5493" s="10" t="n">
        <x:v>0</x:v>
      </x:c>
      <x:c r="O5493" s="2" t="str">
        <x:v>Tp Hồ Chí Minh|other_unknown</x:v>
      </x:c>
      <x:c r="P5493" s="10" t="n">
        <x:v>2</x:v>
      </x:c>
      <x:c r="Q5493" s="13" t="n">
        <x:f>IF(H5493="","",H5493/1000000000)</x:f>
        <x:v>6</x:v>
      </x:c>
      <x:c r="R5493" s="13" t="n">
        <x:f>IF(I5493="","",I5493/1000000)</x:f>
        <x:v>50.63291139240506</x:v>
      </x:c>
    </x:row>
    <x:row r="5494" ht="21" customHeight="1">
      <x:c r="A5494" s="10" t="n">
        <x:v>7196</x:v>
      </x:c>
      <x:c r="B5494" s="2" t="str">
        <x:v>024c28424e877afd41c2</x:v>
      </x:c>
      <x:c r="C5494" s="2" t="str">
        <x:v>Tp Hồ Chí Minh</x:v>
      </x:c>
      <x:c r="D5494" s="2" t="str">
        <x:v>Huyện Bình Chánh</x:v>
      </x:c>
      <x:c r="E5494" s="2" t="str">
        <x:v>house</x:v>
      </x:c>
      <x:c r="F5494" s="2" t="str">
        <x:v>sale_assumed</x:v>
      </x:c>
      <x:c r="G5494" s="11" t="n">
        <x:v>70</x:v>
      </x:c>
      <x:c r="H5494" s="12" t="n">
        <x:v>2700000000</x:v>
      </x:c>
      <x:c r="I5494" s="12" t="n">
        <x:v>38571428.571428575</x:v>
      </x:c>
      <x:c r="J5494" s="2" t="str">
        <x:v>total</x:v>
      </x:c>
      <x:c r="K5494" s="2" t="str">
        <x:v>top_level_area</x:v>
      </x:c>
      <x:c r="L5494" s="2" t="str">
        <x:v>property_type_inferred_from_title;transaction_assumed_sale_from_dataset_context</x:v>
      </x:c>
      <x:c r="M5494" s="10" t="n">
        <x:v>0</x:v>
      </x:c>
      <x:c r="N5494" s="10" t="n">
        <x:v>0</x:v>
      </x:c>
      <x:c r="O5494" s="2" t="str">
        <x:v>Tp Hồ Chí Minh|house</x:v>
      </x:c>
      <x:c r="P5494" s="10" t="n">
        <x:v>2</x:v>
      </x:c>
      <x:c r="Q5494" s="13" t="n">
        <x:f>IF(H5494="","",H5494/1000000000)</x:f>
        <x:v>2.7</x:v>
      </x:c>
      <x:c r="R5494" s="13" t="n">
        <x:f>IF(I5494="","",I5494/1000000)</x:f>
        <x:v>38.57142857142858</x:v>
      </x:c>
    </x:row>
    <x:row r="5495" ht="21" customHeight="1">
      <x:c r="A5495" s="10" t="n">
        <x:v>7197</x:v>
      </x:c>
      <x:c r="B5495" s="2" t="str">
        <x:v>219304648c8d38e50787</x:v>
      </x:c>
      <x:c r="C5495" s="2" t="str">
        <x:v>Vĩnh Long</x:v>
      </x:c>
      <x:c r="D5495" s="2" t="str">
        <x:v>Huyện Long Hồ</x:v>
      </x:c>
      <x:c r="E5495" s="2" t="str">
        <x:v>land</x:v>
      </x:c>
      <x:c r="F5495" s="2" t="str">
        <x:v>sale_assumed</x:v>
      </x:c>
      <x:c r="G5495" s="11" t="n">
        <x:v>145</x:v>
      </x:c>
      <x:c r="H5495" s="12" t="n">
        <x:v>200000000</x:v>
      </x:c>
      <x:c r="I5495" s="12" t="n">
        <x:v>1379310.3448275863</x:v>
      </x:c>
      <x:c r="J5495" s="2" t="str">
        <x:v>total</x:v>
      </x:c>
      <x:c r="K5495" s="2" t="str">
        <x:v>top_level_area</x:v>
      </x:c>
      <x:c r="L5495" s="2" t="str">
        <x:v>property_type_inferred_from_title;transaction_assumed_sale_from_dataset_context</x:v>
      </x:c>
      <x:c r="M5495" s="10" t="n">
        <x:v>0</x:v>
      </x:c>
      <x:c r="N5495" s="10" t="n">
        <x:v>0</x:v>
      </x:c>
      <x:c r="O5495" s="2" t="str">
        <x:v>land</x:v>
      </x:c>
      <x:c r="P5495" s="10" t="n">
        <x:v>1</x:v>
      </x:c>
      <x:c r="Q5495" s="13" t="n">
        <x:f>IF(H5495="","",H5495/1000000000)</x:f>
        <x:v>0.2</x:v>
      </x:c>
      <x:c r="R5495" s="13" t="n">
        <x:f>IF(I5495="","",I5495/1000000)</x:f>
        <x:v>1.3793103448275863</x:v>
      </x:c>
    </x:row>
    <x:row r="5496" ht="21" customHeight="1">
      <x:c r="A5496" s="10" t="n">
        <x:v>7198</x:v>
      </x:c>
      <x:c r="B5496" s="2" t="str">
        <x:v>408bd4a5e93f09d3681f</x:v>
      </x:c>
      <x:c r="C5496" s="2" t="str">
        <x:v>Lâm Đồng</x:v>
      </x:c>
      <x:c r="D5496" s="2" t="str">
        <x:v>Thành phố Bảo Lộc</x:v>
      </x:c>
      <x:c r="E5496" s="2" t="str">
        <x:v>house</x:v>
      </x:c>
      <x:c r="F5496" s="2" t="str">
        <x:v>sale_assumed</x:v>
      </x:c>
      <x:c r="G5496" s="11" t="n">
        <x:v>1000</x:v>
      </x:c>
      <x:c r="H5496" s="12" t="n">
        <x:v>4000000000</x:v>
      </x:c>
      <x:c r="I5496" s="12" t="n">
        <x:v>4000000</x:v>
      </x:c>
      <x:c r="J5496" s="2" t="str">
        <x:v>total</x:v>
      </x:c>
      <x:c r="K5496" s="2" t="str">
        <x:v>top_level_area</x:v>
      </x:c>
      <x:c r="L5496" s="2" t="str">
        <x:v>dot_thousands_convention;property_type_inferred_from_title;transaction_assumed_sale_from_dataset_context</x:v>
      </x:c>
      <x:c r="M5496" s="10" t="n">
        <x:v>0</x:v>
      </x:c>
      <x:c r="N5496" s="10" t="n">
        <x:v>0</x:v>
      </x:c>
      <x:c r="O5496" s="2" t="str">
        <x:v>house</x:v>
      </x:c>
      <x:c r="P5496" s="10" t="n">
        <x:v>1</x:v>
      </x:c>
      <x:c r="Q5496" s="13" t="n">
        <x:f>IF(H5496="","",H5496/1000000000)</x:f>
        <x:v>4</x:v>
      </x:c>
      <x:c r="R5496" s="13" t="n">
        <x:f>IF(I5496="","",I5496/1000000)</x:f>
        <x:v>4</x:v>
      </x:c>
    </x:row>
    <x:row r="5497" ht="21" customHeight="1">
      <x:c r="A5497" s="10" t="n">
        <x:v>7199</x:v>
      </x:c>
      <x:c r="B5497" s="2" t="str">
        <x:v>a84539393859df39b47b</x:v>
      </x:c>
      <x:c r="C5497" s="2" t="str">
        <x:v>Đắk Lắk</x:v>
      </x:c>
      <x:c r="D5497" s="2" t="str">
        <x:v>Thành phố Buôn Ma Thuột</x:v>
      </x:c>
      <x:c r="E5497" s="2" t="str">
        <x:v>land</x:v>
      </x:c>
      <x:c r="F5497" s="2" t="str">
        <x:v>sale</x:v>
      </x:c>
      <x:c r="G5497" s="11" t="n">
        <x:v>105</x:v>
      </x:c>
      <x:c r="H5497" s="12" t="n">
        <x:v>3800000000</x:v>
      </x:c>
      <x:c r="I5497" s="12" t="n">
        <x:v>36190476.190476194</x:v>
      </x:c>
      <x:c r="J5497" s="2" t="str">
        <x:v>total</x:v>
      </x:c>
      <x:c r="K5497" s="2" t="str">
        <x:v>top_level_area</x:v>
      </x:c>
      <x:c r="L5497" s="2" t="str">
        <x:v>property_type_inferred_from_title</x:v>
      </x:c>
      <x:c r="M5497" s="10" t="n">
        <x:v>0</x:v>
      </x:c>
      <x:c r="N5497" s="10" t="n">
        <x:v>1</x:v>
      </x:c>
      <x:c r="O5497" s="2" t="str">
        <x:v>Đắk Lắk|land</x:v>
      </x:c>
      <x:c r="P5497" s="10" t="n">
        <x:v>-1</x:v>
      </x:c>
      <x:c r="Q5497" s="13" t="n">
        <x:f>IF(H5497="","",H5497/1000000000)</x:f>
        <x:v>3.8</x:v>
      </x:c>
      <x:c r="R5497" s="13" t="n">
        <x:f>IF(I5497="","",I5497/1000000)</x:f>
        <x:v>36.1904761904762</x:v>
      </x:c>
    </x:row>
    <x:row r="5498" ht="21" customHeight="1">
      <x:c r="A5498" s="10" t="n">
        <x:v>7200</x:v>
      </x:c>
      <x:c r="B5498" s="2" t="str">
        <x:v>a69c33f28acec1ca9f2a</x:v>
      </x:c>
      <x:c r="C5498" s="2" t="str">
        <x:v>Hà Nội</x:v>
      </x:c>
      <x:c r="D5498" s="2" t="str">
        <x:v>Quận Nam Từ Liêm</x:v>
      </x:c>
      <x:c r="E5498" s="2" t="str">
        <x:v>other_unknown</x:v>
      </x:c>
      <x:c r="F5498" s="2" t="str">
        <x:v>sale_assumed</x:v>
      </x:c>
      <x:c r="G5498" s="11" t="n">
        <x:v>70</x:v>
      </x:c>
      <x:c r="H5498" s="12" t="n">
        <x:v>4300000000</x:v>
      </x:c>
      <x:c r="I5498" s="12" t="n">
        <x:v>61428571.428571425</x:v>
      </x:c>
      <x:c r="J5498" s="2" t="str">
        <x:v>total</x:v>
      </x:c>
      <x:c r="K5498" s="2" t="str">
        <x:v>top_level_area</x:v>
      </x:c>
      <x:c r="L5498" s="2" t="str">
        <x:v>property_type_inferred_from_title;transaction_assumed_sale_from_dataset_context;unknown_property_type</x:v>
      </x:c>
      <x:c r="M5498" s="10" t="n">
        <x:v>0</x:v>
      </x:c>
      <x:c r="N5498" s="10" t="n">
        <x:v>0</x:v>
      </x:c>
      <x:c r="O5498" s="2" t="str">
        <x:v>Hà Nội|other_unknown</x:v>
      </x:c>
      <x:c r="P5498" s="10" t="n">
        <x:v>2</x:v>
      </x:c>
      <x:c r="Q5498" s="13" t="n">
        <x:f>IF(H5498="","",H5498/1000000000)</x:f>
        <x:v>4.3</x:v>
      </x:c>
      <x:c r="R5498" s="13" t="n">
        <x:f>IF(I5498="","",I5498/1000000)</x:f>
        <x:v>61.42857142857142</x:v>
      </x:c>
    </x:row>
    <x:row r="5499" ht="21" customHeight="1">
      <x:c r="A5499" s="10" t="n">
        <x:v>7201</x:v>
      </x:c>
      <x:c r="B5499" s="2" t="str">
        <x:v>4c22c16b17a354474455</x:v>
      </x:c>
      <x:c r="C5499" s="2" t="str">
        <x:v>Tp Hồ Chí Minh</x:v>
      </x:c>
      <x:c r="D5499" s="2" t="str">
        <x:v>Quận Gò Vấp</x:v>
      </x:c>
      <x:c r="E5499" s="2" t="str">
        <x:v>land</x:v>
      </x:c>
      <x:c r="F5499" s="2" t="str">
        <x:v>sale_assumed</x:v>
      </x:c>
      <x:c r="G5499" s="11" t="n">
        <x:v>76.5</x:v>
      </x:c>
      <x:c r="H5499" s="12" t="n">
        <x:v>6100000000</x:v>
      </x:c>
      <x:c r="I5499" s="12" t="n">
        <x:v>79738562.09150326</x:v>
      </x:c>
      <x:c r="J5499" s="2" t="str">
        <x:v>total</x:v>
      </x:c>
      <x:c r="K5499" s="2" t="str">
        <x:v>top_level_area</x:v>
      </x:c>
      <x:c r="L5499" s="2" t="str">
        <x:v>property_type_inferred_from_title;transaction_assumed_sale_from_dataset_context</x:v>
      </x:c>
      <x:c r="M5499" s="10" t="n">
        <x:v>0</x:v>
      </x:c>
      <x:c r="N5499" s="10" t="n">
        <x:v>0</x:v>
      </x:c>
      <x:c r="O5499" s="2" t="str">
        <x:v>Tp Hồ Chí Minh|land</x:v>
      </x:c>
      <x:c r="P5499" s="10" t="n">
        <x:v>2</x:v>
      </x:c>
      <x:c r="Q5499" s="13" t="n">
        <x:f>IF(H5499="","",H5499/1000000000)</x:f>
        <x:v>6.1</x:v>
      </x:c>
      <x:c r="R5499" s="13" t="n">
        <x:f>IF(I5499="","",I5499/1000000)</x:f>
        <x:v>79.73856209150327</x:v>
      </x:c>
    </x:row>
    <x:row r="5500" ht="21" customHeight="1">
      <x:c r="A5500" s="10" t="n">
        <x:v>7204</x:v>
      </x:c>
      <x:c r="B5500" s="2" t="str">
        <x:v>23f4bc8dbab5114df963</x:v>
      </x:c>
      <x:c r="C5500" s="2" t="str">
        <x:v>Hà Nội</x:v>
      </x:c>
      <x:c r="D5500" s="2" t="str">
        <x:v>Huyện Thanh Trì</x:v>
      </x:c>
      <x:c r="E5500" s="2" t="str">
        <x:v>other_unknown</x:v>
      </x:c>
      <x:c r="F5500" s="2" t="str">
        <x:v>sale_assumed</x:v>
      </x:c>
      <x:c r="G5500" s="11" t="n">
        <x:v>70</x:v>
      </x:c>
      <x:c r="H5500" s="12" t="n">
        <x:v>300000000</x:v>
      </x:c>
      <x:c r="I5500" s="12" t="n">
        <x:v>4285714.285714285</x:v>
      </x:c>
      <x:c r="J5500" s="2" t="str">
        <x:v>total</x:v>
      </x:c>
      <x:c r="K5500" s="2" t="str">
        <x:v>top_level_area</x:v>
      </x:c>
      <x:c r="L5500" s="2" t="str">
        <x:v>property_type_inferred_from_title;transaction_assumed_sale_from_dataset_context;unknown_property_type</x:v>
      </x:c>
      <x:c r="M5500" s="10" t="n">
        <x:v>0</x:v>
      </x:c>
      <x:c r="N5500" s="10" t="n">
        <x:v>0</x:v>
      </x:c>
      <x:c r="O5500" s="2" t="str">
        <x:v>Hà Nội|other_unknown</x:v>
      </x:c>
      <x:c r="P5500" s="10" t="n">
        <x:v>2</x:v>
      </x:c>
      <x:c r="Q5500" s="13" t="n">
        <x:f>IF(H5500="","",H5500/1000000000)</x:f>
        <x:v>0.3</x:v>
      </x:c>
      <x:c r="R5500" s="13" t="n">
        <x:f>IF(I5500="","",I5500/1000000)</x:f>
        <x:v>4.285714285714286</x:v>
      </x:c>
    </x:row>
    <x:row r="5501" ht="21" customHeight="1">
      <x:c r="A5501" s="10" t="n">
        <x:v>7205</x:v>
      </x:c>
      <x:c r="B5501" s="2" t="str">
        <x:v>8c6b25831d5b8938f471</x:v>
      </x:c>
      <x:c r="C5501" s="2" t="str">
        <x:v>Tp Hồ Chí Minh</x:v>
      </x:c>
      <x:c r="D5501" s="2" t="str">
        <x:v>Quận Bình Thạnh</x:v>
      </x:c>
      <x:c r="E5501" s="2" t="str">
        <x:v>house</x:v>
      </x:c>
      <x:c r="F5501" s="2" t="str">
        <x:v>sale</x:v>
      </x:c>
      <x:c r="G5501" s="11" t="n">
        <x:v>27.72</x:v>
      </x:c>
      <x:c r="H5501" s="12" t="n">
        <x:v>4350000000</x:v>
      </x:c>
      <x:c r="I5501" s="12" t="n">
        <x:v>156926406.92640692</x:v>
      </x:c>
      <x:c r="J5501" s="2" t="str">
        <x:v>total</x:v>
      </x:c>
      <x:c r="K5501" s="2" t="str">
        <x:v>top_level_area</x:v>
      </x:c>
      <x:c r="L5501" s="2" t="str">
        <x:v>property_type_inferred_from_title</x:v>
      </x:c>
      <x:c r="M5501" s="10" t="n">
        <x:v>0</x:v>
      </x:c>
      <x:c r="N5501" s="10" t="n">
        <x:v>0</x:v>
      </x:c>
      <x:c r="O5501" s="2" t="str">
        <x:v>Tp Hồ Chí Minh|house</x:v>
      </x:c>
      <x:c r="P5501" s="10" t="n">
        <x:v>2</x:v>
      </x:c>
      <x:c r="Q5501" s="13" t="n">
        <x:f>IF(H5501="","",H5501/1000000000)</x:f>
        <x:v>4.35</x:v>
      </x:c>
      <x:c r="R5501" s="13" t="n">
        <x:f>IF(I5501="","",I5501/1000000)</x:f>
        <x:v>156.9264069264069</x:v>
      </x:c>
    </x:row>
    <x:row r="5502" ht="21" customHeight="1">
      <x:c r="A5502" s="10" t="n">
        <x:v>7206</x:v>
      </x:c>
      <x:c r="B5502" s="2" t="str">
        <x:v>0b9e84ad52b9f5ae9d5c</x:v>
      </x:c>
      <x:c r="C5502" s="2" t="str">
        <x:v>Hà Nội</x:v>
      </x:c>
      <x:c r="D5502" s="2" t="str">
        <x:v>Huyện Thanh Trì</x:v>
      </x:c>
      <x:c r="E5502" s="2" t="str">
        <x:v>house</x:v>
      </x:c>
      <x:c r="F5502" s="2" t="str">
        <x:v>sale_assumed</x:v>
      </x:c>
      <x:c r="G5502" s="11" t="n">
        <x:v>41</x:v>
      </x:c>
      <x:c r="H5502" s="12" t="n">
        <x:v>1960000000</x:v>
      </x:c>
      <x:c r="I5502" s="12" t="n">
        <x:v>47804878.048780486</x:v>
      </x:c>
      <x:c r="J5502" s="2" t="str">
        <x:v>total</x:v>
      </x:c>
      <x:c r="K5502" s="2" t="str">
        <x:v>top_level_area</x:v>
      </x:c>
      <x:c r="L5502" s="2" t="str">
        <x:v>property_type_inferred_from_title;transaction_assumed_sale_from_dataset_context</x:v>
      </x:c>
      <x:c r="M5502" s="10" t="n">
        <x:v>0</x:v>
      </x:c>
      <x:c r="N5502" s="10" t="n">
        <x:v>0</x:v>
      </x:c>
      <x:c r="O5502" s="2" t="str">
        <x:v>Hà Nội|house</x:v>
      </x:c>
      <x:c r="P5502" s="10" t="n">
        <x:v>2</x:v>
      </x:c>
      <x:c r="Q5502" s="13" t="n">
        <x:f>IF(H5502="","",H5502/1000000000)</x:f>
        <x:v>1.96</x:v>
      </x:c>
      <x:c r="R5502" s="13" t="n">
        <x:f>IF(I5502="","",I5502/1000000)</x:f>
        <x:v>47.80487804878049</x:v>
      </x:c>
    </x:row>
    <x:row r="5503" ht="21" customHeight="1">
      <x:c r="A5503" s="10" t="n">
        <x:v>7207</x:v>
      </x:c>
      <x:c r="B5503" s="2" t="str">
        <x:v>d6d42cee7df466bc4a0c</x:v>
      </x:c>
      <x:c r="C5503" s="2" t="str">
        <x:v>Hà Nội</x:v>
      </x:c>
      <x:c r="D5503" s="2" t="str">
        <x:v>Quận Thanh Xuân</x:v>
      </x:c>
      <x:c r="E5503" s="2" t="str">
        <x:v>house</x:v>
      </x:c>
      <x:c r="F5503" s="2" t="str">
        <x:v>sale_assumed</x:v>
      </x:c>
      <x:c r="G5503" s="11" t="n">
        <x:v>20</x:v>
      </x:c>
      <x:c r="H5503" s="12" t="n">
        <x:v>1799000000</x:v>
      </x:c>
      <x:c r="I5503" s="12" t="n">
        <x:v>89950000</x:v>
      </x:c>
      <x:c r="J5503" s="2" t="str">
        <x:v>total</x:v>
      </x:c>
      <x:c r="K5503" s="2" t="str">
        <x:v>top_level_area</x:v>
      </x:c>
      <x:c r="L5503" s="2" t="str">
        <x:v>property_type_inferred_from_title;transaction_assumed_sale_from_dataset_context</x:v>
      </x:c>
      <x:c r="M5503" s="10" t="n">
        <x:v>0</x:v>
      </x:c>
      <x:c r="N5503" s="10" t="n">
        <x:v>0</x:v>
      </x:c>
      <x:c r="O5503" s="2" t="str">
        <x:v>Hà Nội|house</x:v>
      </x:c>
      <x:c r="P5503" s="10" t="n">
        <x:v>2</x:v>
      </x:c>
      <x:c r="Q5503" s="13" t="n">
        <x:f>IF(H5503="","",H5503/1000000000)</x:f>
        <x:v>1.799</x:v>
      </x:c>
      <x:c r="R5503" s="13" t="n">
        <x:f>IF(I5503="","",I5503/1000000)</x:f>
        <x:v>89.95</x:v>
      </x:c>
    </x:row>
    <x:row r="5504" ht="21" customHeight="1">
      <x:c r="A5504" s="10" t="n">
        <x:v>7208</x:v>
      </x:c>
      <x:c r="B5504" s="2" t="str">
        <x:v>b84eb14d44a6fed7d4cf</x:v>
      </x:c>
      <x:c r="C5504" s="2" t="str">
        <x:v>Đà Nẵng</x:v>
      </x:c>
      <x:c r="D5504" s="2" t="str">
        <x:v>Quận Liên Chiểu</x:v>
      </x:c>
      <x:c r="E5504" s="2" t="str">
        <x:v>house</x:v>
      </x:c>
      <x:c r="F5504" s="2" t="str">
        <x:v>sale_assumed</x:v>
      </x:c>
      <x:c r="G5504" s="11" t="n">
        <x:v>74</x:v>
      </x:c>
      <x:c r="H5504" s="12" t="n">
        <x:v>6800000000</x:v>
      </x:c>
      <x:c r="I5504" s="12" t="n">
        <x:v>91891891.8918919</x:v>
      </x:c>
      <x:c r="J5504" s="2" t="str">
        <x:v>total</x:v>
      </x:c>
      <x:c r="K5504" s="2" t="str">
        <x:v>top_level_area</x:v>
      </x:c>
      <x:c r="L5504" s="2" t="str">
        <x:v>property_type_inferred_from_title;transaction_assumed_sale_from_dataset_context</x:v>
      </x:c>
      <x:c r="M5504" s="10" t="n">
        <x:v>0</x:v>
      </x:c>
      <x:c r="N5504" s="10" t="n">
        <x:v>0</x:v>
      </x:c>
      <x:c r="O5504" s="2" t="str">
        <x:v>Đà Nẵng|house</x:v>
      </x:c>
      <x:c r="P5504" s="10" t="n">
        <x:v>2</x:v>
      </x:c>
      <x:c r="Q5504" s="13" t="n">
        <x:f>IF(H5504="","",H5504/1000000000)</x:f>
        <x:v>6.8</x:v>
      </x:c>
      <x:c r="R5504" s="13" t="n">
        <x:f>IF(I5504="","",I5504/1000000)</x:f>
        <x:v>91.8918918918919</x:v>
      </x:c>
    </x:row>
    <x:row r="5505" ht="21" customHeight="1">
      <x:c r="A5505" s="10" t="n">
        <x:v>7209</x:v>
      </x:c>
      <x:c r="B5505" s="2" t="str">
        <x:v>6c4ee9e54abda5359cb1</x:v>
      </x:c>
      <x:c r="C5505" s="2" t="str">
        <x:v>Tp Hồ Chí Minh</x:v>
      </x:c>
      <x:c r="D5505" s="2" t="str">
        <x:v>Quận 7</x:v>
      </x:c>
      <x:c r="E5505" s="2" t="str">
        <x:v>other_unknown</x:v>
      </x:c>
      <x:c r="F5505" s="2" t="str">
        <x:v>sale</x:v>
      </x:c>
      <x:c r="G5505" s="11" t="n">
        <x:v>60</x:v>
      </x:c>
      <x:c r="H5505" s="12" t="n">
        <x:v>2350000000</x:v>
      </x:c>
      <x:c r="I5505" s="12" t="n">
        <x:v>39166666.666666664</x:v>
      </x:c>
      <x:c r="J5505" s="2" t="str">
        <x:v>total</x:v>
      </x:c>
      <x:c r="K5505" s="2" t="str">
        <x:v>top_level_area</x:v>
      </x:c>
      <x:c r="L5505" s="2" t="str">
        <x:v>property_type_inferred_from_title;unknown_property_type</x:v>
      </x:c>
      <x:c r="M5505" s="10" t="n">
        <x:v>0</x:v>
      </x:c>
      <x:c r="N5505" s="10" t="n">
        <x:v>0</x:v>
      </x:c>
      <x:c r="O5505" s="2" t="str">
        <x:v>Tp Hồ Chí Minh|other_unknown</x:v>
      </x:c>
      <x:c r="P5505" s="10" t="n">
        <x:v>2</x:v>
      </x:c>
      <x:c r="Q5505" s="13" t="n">
        <x:f>IF(H5505="","",H5505/1000000000)</x:f>
        <x:v>2.35</x:v>
      </x:c>
      <x:c r="R5505" s="13" t="n">
        <x:f>IF(I5505="","",I5505/1000000)</x:f>
        <x:v>39.166666666666664</x:v>
      </x:c>
    </x:row>
    <x:row r="5506" ht="21" customHeight="1">
      <x:c r="A5506" s="10" t="n">
        <x:v>7210</x:v>
      </x:c>
      <x:c r="B5506" s="2" t="str">
        <x:v>11f72e0ddd0b6747f4c0</x:v>
      </x:c>
      <x:c r="C5506" s="2" t="str">
        <x:v>Tp Hồ Chí Minh</x:v>
      </x:c>
      <x:c r="D5506" s="2" t="str">
        <x:v>Quận 9</x:v>
      </x:c>
      <x:c r="E5506" s="2" t="str">
        <x:v>other_unknown</x:v>
      </x:c>
      <x:c r="F5506" s="2" t="str">
        <x:v>sale</x:v>
      </x:c>
      <x:c r="G5506" s="11" t="n">
        <x:v>47</x:v>
      </x:c>
      <x:c r="H5506" s="12" t="n">
        <x:v>1500000000</x:v>
      </x:c>
      <x:c r="I5506" s="12" t="n">
        <x:v>31914893.617021278</x:v>
      </x:c>
      <x:c r="J5506" s="2" t="str">
        <x:v>total</x:v>
      </x:c>
      <x:c r="K5506" s="2" t="str">
        <x:v>top_level_area</x:v>
      </x:c>
      <x:c r="L5506" s="2" t="str">
        <x:v>property_type_inferred_from_title;unknown_property_type</x:v>
      </x:c>
      <x:c r="M5506" s="10" t="n">
        <x:v>0</x:v>
      </x:c>
      <x:c r="N5506" s="10" t="n">
        <x:v>0</x:v>
      </x:c>
      <x:c r="O5506" s="2" t="str">
        <x:v>Tp Hồ Chí Minh|other_unknown</x:v>
      </x:c>
      <x:c r="P5506" s="10" t="n">
        <x:v>2</x:v>
      </x:c>
      <x:c r="Q5506" s="13" t="n">
        <x:f>IF(H5506="","",H5506/1000000000)</x:f>
        <x:v>1.5</x:v>
      </x:c>
      <x:c r="R5506" s="13" t="n">
        <x:f>IF(I5506="","",I5506/1000000)</x:f>
        <x:v>31.914893617021278</x:v>
      </x:c>
    </x:row>
    <x:row r="5507" ht="21" customHeight="1">
      <x:c r="A5507" s="10" t="n">
        <x:v>7211</x:v>
      </x:c>
      <x:c r="B5507" s="2" t="str">
        <x:v>10539492f3e46eef2114</x:v>
      </x:c>
      <x:c r="C5507" s="2" t="str">
        <x:v>Tp Hồ Chí Minh</x:v>
      </x:c>
      <x:c r="D5507" s="2" t="str">
        <x:v>Quận Bình Thạnh</x:v>
      </x:c>
      <x:c r="E5507" s="2" t="str">
        <x:v>house</x:v>
      </x:c>
      <x:c r="F5507" s="2" t="str">
        <x:v>sale</x:v>
      </x:c>
      <x:c r="G5507" s="11" t="n">
        <x:v>70</x:v>
      </x:c>
      <x:c r="H5507" s="12" t="n">
        <x:v>1250000000</x:v>
      </x:c>
      <x:c r="I5507" s="12" t="n">
        <x:v>17857142.85714286</x:v>
      </x:c>
      <x:c r="J5507" s="2" t="str">
        <x:v>total</x:v>
      </x:c>
      <x:c r="K5507" s="2" t="str">
        <x:v>top_level_area</x:v>
      </x:c>
      <x:c r="L5507" s="2" t="str">
        <x:v>property_type_inferred_from_title</x:v>
      </x:c>
      <x:c r="M5507" s="10" t="n">
        <x:v>0</x:v>
      </x:c>
      <x:c r="N5507" s="10" t="n">
        <x:v>0</x:v>
      </x:c>
      <x:c r="O5507" s="2" t="str">
        <x:v>Tp Hồ Chí Minh|house</x:v>
      </x:c>
      <x:c r="P5507" s="10" t="n">
        <x:v>2</x:v>
      </x:c>
      <x:c r="Q5507" s="13" t="n">
        <x:f>IF(H5507="","",H5507/1000000000)</x:f>
        <x:v>1.25</x:v>
      </x:c>
      <x:c r="R5507" s="13" t="n">
        <x:f>IF(I5507="","",I5507/1000000)</x:f>
        <x:v>17.857142857142858</x:v>
      </x:c>
    </x:row>
    <x:row r="5508" ht="21" customHeight="1">
      <x:c r="A5508" s="10" t="n">
        <x:v>7212</x:v>
      </x:c>
      <x:c r="B5508" s="2" t="str">
        <x:v>625050d60efa40a5efb5</x:v>
      </x:c>
      <x:c r="C5508" s="2" t="str">
        <x:v>Tp Hồ Chí Minh</x:v>
      </x:c>
      <x:c r="D5508" s="2" t="str">
        <x:v>Quận 9</x:v>
      </x:c>
      <x:c r="E5508" s="2" t="str">
        <x:v>land</x:v>
      </x:c>
      <x:c r="F5508" s="2" t="str">
        <x:v>sale_assumed</x:v>
      </x:c>
      <x:c r="G5508" s="11" t="n">
        <x:v>115</x:v>
      </x:c>
      <x:c r="H5508" s="12" t="n">
        <x:v>8500000000</x:v>
      </x:c>
      <x:c r="I5508" s="12" t="n">
        <x:v>73913043.47826087</x:v>
      </x:c>
      <x:c r="J5508" s="2" t="str">
        <x:v>total</x:v>
      </x:c>
      <x:c r="K5508" s="2" t="str">
        <x:v>top_level_area</x:v>
      </x:c>
      <x:c r="L5508" s="2" t="str">
        <x:v>property_type_inferred_from_title;transaction_assumed_sale_from_dataset_context</x:v>
      </x:c>
      <x:c r="M5508" s="10" t="n">
        <x:v>0</x:v>
      </x:c>
      <x:c r="N5508" s="10" t="n">
        <x:v>0</x:v>
      </x:c>
      <x:c r="O5508" s="2" t="str">
        <x:v>Tp Hồ Chí Minh|land</x:v>
      </x:c>
      <x:c r="P5508" s="10" t="n">
        <x:v>2</x:v>
      </x:c>
      <x:c r="Q5508" s="13" t="n">
        <x:f>IF(H5508="","",H5508/1000000000)</x:f>
        <x:v>8.5</x:v>
      </x:c>
      <x:c r="R5508" s="13" t="n">
        <x:f>IF(I5508="","",I5508/1000000)</x:f>
        <x:v>73.91304347826087</x:v>
      </x:c>
    </x:row>
    <x:row r="5509" ht="21" customHeight="1">
      <x:c r="A5509" s="10" t="n">
        <x:v>7213</x:v>
      </x:c>
      <x:c r="B5509" s="2" t="str">
        <x:v>90f2b7fbad3fc86ee10b</x:v>
      </x:c>
      <x:c r="C5509" s="2" t="str">
        <x:v>Bình Dương</x:v>
      </x:c>
      <x:c r="D5509" s="2" t="str">
        <x:v>Thị xã Dĩ An</x:v>
      </x:c>
      <x:c r="E5509" s="2" t="str">
        <x:v>land</x:v>
      </x:c>
      <x:c r="F5509" s="2" t="str">
        <x:v>sale</x:v>
      </x:c>
      <x:c r="G5509" s="11" t="n">
        <x:v>100.6</x:v>
      </x:c>
      <x:c r="H5509" s="12" t="n">
        <x:v>2049999999.9999998</x:v>
      </x:c>
      <x:c r="I5509" s="12" t="n">
        <x:v>20377733.59840954</x:v>
      </x:c>
      <x:c r="J5509" s="2" t="str">
        <x:v>total</x:v>
      </x:c>
      <x:c r="K5509" s="2" t="str">
        <x:v>top_level_area</x:v>
      </x:c>
      <x:c r="L5509" s="2" t="str">
        <x:v>property_type_inferred_from_title</x:v>
      </x:c>
      <x:c r="M5509" s="10" t="n">
        <x:v>0</x:v>
      </x:c>
      <x:c r="N5509" s="10" t="n">
        <x:v>0</x:v>
      </x:c>
      <x:c r="O5509" s="2" t="str">
        <x:v>Bình Dương|land</x:v>
      </x:c>
      <x:c r="P5509" s="10" t="n">
        <x:v>2</x:v>
      </x:c>
      <x:c r="Q5509" s="13" t="n">
        <x:f>IF(H5509="","",H5509/1000000000)</x:f>
        <x:v>2.05</x:v>
      </x:c>
      <x:c r="R5509" s="13" t="n">
        <x:f>IF(I5509="","",I5509/1000000)</x:f>
        <x:v>20.37773359840954</x:v>
      </x:c>
    </x:row>
    <x:row r="5510" ht="21" customHeight="1">
      <x:c r="A5510" s="10" t="n">
        <x:v>7214</x:v>
      </x:c>
      <x:c r="B5510" s="2" t="str">
        <x:v>e9fc2c44f3022b47a59a</x:v>
      </x:c>
      <x:c r="C5510" s="2" t="str">
        <x:v>Bình Phước</x:v>
      </x:c>
      <x:c r="D5510" s="2" t="str">
        <x:v>Huyện Đồng Phú</x:v>
      </x:c>
      <x:c r="E5510" s="2" t="str">
        <x:v>land</x:v>
      </x:c>
      <x:c r="F5510" s="2" t="str">
        <x:v>sale_assumed</x:v>
      </x:c>
      <x:c r="G5510" s="11" t="n">
        <x:v>220</x:v>
      </x:c>
      <x:c r="H5510" s="12" t="n">
        <x:v>468000000</x:v>
      </x:c>
      <x:c r="I5510" s="12" t="n">
        <x:v>2127272.727272727</x:v>
      </x:c>
      <x:c r="J5510" s="2" t="str">
        <x:v>total</x:v>
      </x:c>
      <x:c r="K5510" s="2" t="str">
        <x:v>top_level_price_embedded_area</x:v>
      </x:c>
      <x:c r="L5510" s="2" t="str">
        <x:v>area_recovered_from_price_text;property_type_inferred_from_title;transaction_assumed_sale_from_dataset_context</x:v>
      </x:c>
      <x:c r="M5510" s="10" t="n">
        <x:v>0</x:v>
      </x:c>
      <x:c r="N5510" s="10" t="n">
        <x:v>0</x:v>
      </x:c>
      <x:c r="O5510" s="2" t="str">
        <x:v>Bình Phước|land</x:v>
      </x:c>
      <x:c r="P5510" s="10" t="n">
        <x:v>1</x:v>
      </x:c>
      <x:c r="Q5510" s="13" t="n">
        <x:f>IF(H5510="","",H5510/1000000000)</x:f>
        <x:v>0.468</x:v>
      </x:c>
      <x:c r="R5510" s="13" t="n">
        <x:f>IF(I5510="","",I5510/1000000)</x:f>
        <x:v>2.127272727272727</x:v>
      </x:c>
    </x:row>
    <x:row r="5511" ht="21" customHeight="1">
      <x:c r="A5511" s="10" t="n">
        <x:v>7215</x:v>
      </x:c>
      <x:c r="B5511" s="2" t="str">
        <x:v>81d6943b44bc1b5b4d8b</x:v>
      </x:c>
      <x:c r="C5511" s="2" t="str">
        <x:v>Tp Hồ Chí Minh</x:v>
      </x:c>
      <x:c r="D5511" s="2" t="str">
        <x:v>Quận Tân Phú</x:v>
      </x:c>
      <x:c r="E5511" s="2" t="str">
        <x:v>land</x:v>
      </x:c>
      <x:c r="F5511" s="2" t="str">
        <x:v>sale</x:v>
      </x:c>
      <x:c r="G5511" s="11" t="n">
        <x:v>56</x:v>
      </x:c>
      <x:c r="H5511" s="12" t="n">
        <x:v>4850000000</x:v>
      </x:c>
      <x:c r="I5511" s="12" t="n">
        <x:v>86607142.85714285</x:v>
      </x:c>
      <x:c r="J5511" s="2" t="str">
        <x:v>total</x:v>
      </x:c>
      <x:c r="K5511" s="2" t="str">
        <x:v>top_level_area</x:v>
      </x:c>
      <x:c r="L5511" s="2" t="str">
        <x:v>property_type_inferred_from_title</x:v>
      </x:c>
      <x:c r="M5511" s="10" t="n">
        <x:v>0</x:v>
      </x:c>
      <x:c r="N5511" s="10" t="n">
        <x:v>0</x:v>
      </x:c>
      <x:c r="O5511" s="2" t="str">
        <x:v>Tp Hồ Chí Minh|land</x:v>
      </x:c>
      <x:c r="P5511" s="10" t="n">
        <x:v>2</x:v>
      </x:c>
      <x:c r="Q5511" s="13" t="n">
        <x:f>IF(H5511="","",H5511/1000000000)</x:f>
        <x:v>4.85</x:v>
      </x:c>
      <x:c r="R5511" s="13" t="n">
        <x:f>IF(I5511="","",I5511/1000000)</x:f>
        <x:v>86.60714285714285</x:v>
      </x:c>
    </x:row>
    <x:row r="5512" ht="21" customHeight="1">
      <x:c r="A5512" s="10" t="n">
        <x:v>7216</x:v>
      </x:c>
      <x:c r="B5512" s="2" t="str">
        <x:v>92bd24b7a80ce05ffd98</x:v>
      </x:c>
      <x:c r="C5512" s="2" t="str">
        <x:v>Tp Hồ Chí Minh</x:v>
      </x:c>
      <x:c r="D5512" s="2" t="str">
        <x:v>Quận Bình Tân</x:v>
      </x:c>
      <x:c r="E5512" s="2" t="str">
        <x:v>other_unknown</x:v>
      </x:c>
      <x:c r="F5512" s="2" t="str">
        <x:v>sale_assumed</x:v>
      </x:c>
      <x:c r="G5512" s="11" t="n">
        <x:v>40</x:v>
      </x:c>
      <x:c r="H5512" s="12" t="n">
        <x:v>2700000000</x:v>
      </x:c>
      <x:c r="I5512" s="12" t="n">
        <x:v>67500000</x:v>
      </x:c>
      <x:c r="J5512" s="2" t="str">
        <x:v>total</x:v>
      </x:c>
      <x:c r="K5512" s="2" t="str">
        <x:v>top_level_area</x:v>
      </x:c>
      <x:c r="L5512" s="2" t="str">
        <x:v>property_type_inferred_from_title;transaction_assumed_sale_from_dataset_context;unknown_property_type</x:v>
      </x:c>
      <x:c r="M5512" s="10" t="n">
        <x:v>0</x:v>
      </x:c>
      <x:c r="N5512" s="10" t="n">
        <x:v>0</x:v>
      </x:c>
      <x:c r="O5512" s="2" t="str">
        <x:v>Tp Hồ Chí Minh|other_unknown</x:v>
      </x:c>
      <x:c r="P5512" s="10" t="n">
        <x:v>2</x:v>
      </x:c>
      <x:c r="Q5512" s="13" t="n">
        <x:f>IF(H5512="","",H5512/1000000000)</x:f>
        <x:v>2.7</x:v>
      </x:c>
      <x:c r="R5512" s="13" t="n">
        <x:f>IF(I5512="","",I5512/1000000)</x:f>
        <x:v>67.5</x:v>
      </x:c>
    </x:row>
    <x:row r="5513" ht="21" customHeight="1">
      <x:c r="A5513" s="10" t="n">
        <x:v>7217</x:v>
      </x:c>
      <x:c r="B5513" s="2" t="str">
        <x:v>8ffa9b65eabc22043c16</x:v>
      </x:c>
      <x:c r="C5513" s="2" t="str">
        <x:v>Cần Thơ</x:v>
      </x:c>
      <x:c r="D5513" s="2" t="str">
        <x:v>Quận Ninh Kiều</x:v>
      </x:c>
      <x:c r="E5513" s="2" t="str">
        <x:v>house</x:v>
      </x:c>
      <x:c r="F5513" s="2" t="str">
        <x:v>sale</x:v>
      </x:c>
      <x:c r="G5513" s="11" t="n">
        <x:v>20</x:v>
      </x:c>
      <x:c r="H5513" s="12" t="n">
        <x:v>2800000000</x:v>
      </x:c>
      <x:c r="I5513" s="12" t="n">
        <x:v>140000000</x:v>
      </x:c>
      <x:c r="J5513" s="2" t="str">
        <x:v>total</x:v>
      </x:c>
      <x:c r="K5513" s="2" t="str">
        <x:v>top_level_area</x:v>
      </x:c>
      <x:c r="L5513" s="2" t="str">
        <x:v>property_type_inferred_from_title</x:v>
      </x:c>
      <x:c r="M5513" s="10" t="n">
        <x:v>0</x:v>
      </x:c>
      <x:c r="N5513" s="10" t="n">
        <x:v>1</x:v>
      </x:c>
      <x:c r="O5513" s="2" t="str">
        <x:v>Cần Thơ|house</x:v>
      </x:c>
      <x:c r="P5513" s="10" t="n">
        <x:v>-1</x:v>
      </x:c>
      <x:c r="Q5513" s="13" t="n">
        <x:f>IF(H5513="","",H5513/1000000000)</x:f>
        <x:v>2.8</x:v>
      </x:c>
      <x:c r="R5513" s="13" t="n">
        <x:f>IF(I5513="","",I5513/1000000)</x:f>
        <x:v>140</x:v>
      </x:c>
    </x:row>
    <x:row r="5514" ht="21" customHeight="1">
      <x:c r="A5514" s="10" t="n">
        <x:v>7218</x:v>
      </x:c>
      <x:c r="B5514" s="2" t="str">
        <x:v>cbd4bd0e1b621430310c</x:v>
      </x:c>
      <x:c r="C5514" s="2" t="str">
        <x:v>Hà Nội</x:v>
      </x:c>
      <x:c r="D5514" s="2" t="str">
        <x:v>Quận Hà Đông</x:v>
      </x:c>
      <x:c r="E5514" s="2" t="str">
        <x:v>house</x:v>
      </x:c>
      <x:c r="F5514" s="2" t="str">
        <x:v>sale_assumed</x:v>
      </x:c>
      <x:c r="G5514" s="11" t="n">
        <x:v>33</x:v>
      </x:c>
      <x:c r="H5514" s="12" t="n">
        <x:v>2200000000</x:v>
      </x:c>
      <x:c r="I5514" s="12" t="n">
        <x:v>66666666.666666664</x:v>
      </x:c>
      <x:c r="J5514" s="2" t="str">
        <x:v>total</x:v>
      </x:c>
      <x:c r="K5514" s="2" t="str">
        <x:v>top_level_area</x:v>
      </x:c>
      <x:c r="L5514" s="2" t="str">
        <x:v>property_type_inferred_from_title;transaction_assumed_sale_from_dataset_context</x:v>
      </x:c>
      <x:c r="M5514" s="10" t="n">
        <x:v>0</x:v>
      </x:c>
      <x:c r="N5514" s="10" t="n">
        <x:v>0</x:v>
      </x:c>
      <x:c r="O5514" s="2" t="str">
        <x:v>Hà Nội|house</x:v>
      </x:c>
      <x:c r="P5514" s="10" t="n">
        <x:v>2</x:v>
      </x:c>
      <x:c r="Q5514" s="13" t="n">
        <x:f>IF(H5514="","",H5514/1000000000)</x:f>
        <x:v>2.2</x:v>
      </x:c>
      <x:c r="R5514" s="13" t="n">
        <x:f>IF(I5514="","",I5514/1000000)</x:f>
        <x:v>66.66666666666666</x:v>
      </x:c>
    </x:row>
    <x:row r="5515" ht="21" customHeight="1">
      <x:c r="A5515" s="10" t="n">
        <x:v>7219</x:v>
      </x:c>
      <x:c r="B5515" s="2" t="str">
        <x:v>ecac59b0d878891e3244</x:v>
      </x:c>
      <x:c r="C5515" s="2" t="str">
        <x:v>Tp Hồ Chí Minh</x:v>
      </x:c>
      <x:c r="D5515" s="2" t="str">
        <x:v>Huyện Hóc Môn</x:v>
      </x:c>
      <x:c r="E5515" s="2" t="str">
        <x:v>house</x:v>
      </x:c>
      <x:c r="F5515" s="2" t="str">
        <x:v>sale</x:v>
      </x:c>
      <x:c r="G5515" s="11" t="n">
        <x:v>76</x:v>
      </x:c>
      <x:c r="H5515" s="12" t="n">
        <x:v>930000000</x:v>
      </x:c>
      <x:c r="I5515" s="12" t="n">
        <x:v>12236842.105263159</x:v>
      </x:c>
      <x:c r="J5515" s="2" t="str">
        <x:v>total</x:v>
      </x:c>
      <x:c r="K5515" s="2" t="str">
        <x:v>top_level_area</x:v>
      </x:c>
      <x:c r="L5515" s="2" t="str">
        <x:v>property_type_inferred_from_title</x:v>
      </x:c>
      <x:c r="M5515" s="10" t="n">
        <x:v>0</x:v>
      </x:c>
      <x:c r="N5515" s="10" t="n">
        <x:v>0</x:v>
      </x:c>
      <x:c r="O5515" s="2" t="str">
        <x:v>Tp Hồ Chí Minh|house</x:v>
      </x:c>
      <x:c r="P5515" s="10" t="n">
        <x:v>2</x:v>
      </x:c>
      <x:c r="Q5515" s="13" t="n">
        <x:f>IF(H5515="","",H5515/1000000000)</x:f>
        <x:v>0.93</x:v>
      </x:c>
      <x:c r="R5515" s="13" t="n">
        <x:f>IF(I5515="","",I5515/1000000)</x:f>
        <x:v>12.23684210526316</x:v>
      </x:c>
    </x:row>
    <x:row r="5516" ht="21" customHeight="1">
      <x:c r="A5516" s="10" t="n">
        <x:v>7220</x:v>
      </x:c>
      <x:c r="B5516" s="2" t="str">
        <x:v>9c19141967403220d69f</x:v>
      </x:c>
      <x:c r="C5516" s="2" t="str">
        <x:v>Bình Dương</x:v>
      </x:c>
      <x:c r="D5516" s="2" t="str">
        <x:v>Thành phố Thủ Dầu Một</x:v>
      </x:c>
      <x:c r="E5516" s="2" t="str">
        <x:v>house</x:v>
      </x:c>
      <x:c r="F5516" s="2" t="str">
        <x:v>sale_assumed</x:v>
      </x:c>
      <x:c r="G5516" s="11" t="n">
        <x:v>91</x:v>
      </x:c>
      <x:c r="H5516" s="12" t="n">
        <x:v>2290000000</x:v>
      </x:c>
      <x:c r="I5516" s="12" t="n">
        <x:v>25164835.164835166</x:v>
      </x:c>
      <x:c r="J5516" s="2" t="str">
        <x:v>total</x:v>
      </x:c>
      <x:c r="K5516" s="2" t="str">
        <x:v>top_level_area</x:v>
      </x:c>
      <x:c r="L5516" s="2" t="str">
        <x:v>property_type_inferred_from_title;transaction_assumed_sale_from_dataset_context</x:v>
      </x:c>
      <x:c r="M5516" s="10" t="n">
        <x:v>0</x:v>
      </x:c>
      <x:c r="N5516" s="10" t="n">
        <x:v>0</x:v>
      </x:c>
      <x:c r="O5516" s="2" t="str">
        <x:v>Bình Dương|house</x:v>
      </x:c>
      <x:c r="P5516" s="10" t="n">
        <x:v>2</x:v>
      </x:c>
      <x:c r="Q5516" s="13" t="n">
        <x:f>IF(H5516="","",H5516/1000000000)</x:f>
        <x:v>2.29</x:v>
      </x:c>
      <x:c r="R5516" s="13" t="n">
        <x:f>IF(I5516="","",I5516/1000000)</x:f>
        <x:v>25.164835164835168</x:v>
      </x:c>
    </x:row>
    <x:row r="5517" ht="21" customHeight="1">
      <x:c r="A5517" s="10" t="n">
        <x:v>7221</x:v>
      </x:c>
      <x:c r="B5517" s="2" t="str">
        <x:v>4dc42f9596b2d4323d0e</x:v>
      </x:c>
      <x:c r="C5517" s="2" t="str">
        <x:v>Long An</x:v>
      </x:c>
      <x:c r="D5517" s="2" t="str">
        <x:v>Huyện Cần Giuộc</x:v>
      </x:c>
      <x:c r="E5517" s="2" t="str">
        <x:v>house</x:v>
      </x:c>
      <x:c r="F5517" s="2" t="str">
        <x:v>sale</x:v>
      </x:c>
      <x:c r="G5517" s="11" t="n">
        <x:v>75</x:v>
      </x:c>
      <x:c r="H5517" s="12" t="n">
        <x:v>1800000000</x:v>
      </x:c>
      <x:c r="I5517" s="12" t="n">
        <x:v>24000000</x:v>
      </x:c>
      <x:c r="J5517" s="2" t="str">
        <x:v>total</x:v>
      </x:c>
      <x:c r="K5517" s="2" t="str">
        <x:v>top_level_area</x:v>
      </x:c>
      <x:c r="L5517" s="2" t="str">
        <x:v>property_type_inferred_from_title</x:v>
      </x:c>
      <x:c r="M5517" s="10" t="n">
        <x:v>0</x:v>
      </x:c>
      <x:c r="N5517" s="10" t="n">
        <x:v>0</x:v>
      </x:c>
      <x:c r="O5517" s="2" t="str">
        <x:v>Long An|house</x:v>
      </x:c>
      <x:c r="P5517" s="10" t="n">
        <x:v>2</x:v>
      </x:c>
      <x:c r="Q5517" s="13" t="n">
        <x:f>IF(H5517="","",H5517/1000000000)</x:f>
        <x:v>1.8</x:v>
      </x:c>
      <x:c r="R5517" s="13" t="n">
        <x:f>IF(I5517="","",I5517/1000000)</x:f>
        <x:v>24</x:v>
      </x:c>
    </x:row>
    <x:row r="5518" ht="21" customHeight="1">
      <x:c r="A5518" s="10" t="n">
        <x:v>7222</x:v>
      </x:c>
      <x:c r="B5518" s="2" t="str">
        <x:v>4b480b9a5039c41f2f72</x:v>
      </x:c>
      <x:c r="C5518" s="2" t="str">
        <x:v>Tp Hồ Chí Minh</x:v>
      </x:c>
      <x:c r="D5518" s="2" t="str">
        <x:v>Quận 9</x:v>
      </x:c>
      <x:c r="E5518" s="2" t="str">
        <x:v>other_unknown</x:v>
      </x:c>
      <x:c r="F5518" s="2" t="str">
        <x:v>sale</x:v>
      </x:c>
      <x:c r="G5518" s="11" t="n">
        <x:v>120</x:v>
      </x:c>
      <x:c r="H5518" s="12" t="n">
        <x:v>1630000000</x:v>
      </x:c>
      <x:c r="I5518" s="12" t="n">
        <x:v>13583333.333333334</x:v>
      </x:c>
      <x:c r="J5518" s="2" t="str">
        <x:v>total</x:v>
      </x:c>
      <x:c r="K5518" s="2" t="str">
        <x:v>top_level_price_embedded_area</x:v>
      </x:c>
      <x:c r="L5518" s="2" t="str">
        <x:v>area_recovered_from_price_text;property_type_inferred_from_title;unknown_property_type</x:v>
      </x:c>
      <x:c r="M5518" s="10" t="n">
        <x:v>0</x:v>
      </x:c>
      <x:c r="N5518" s="10" t="n">
        <x:v>0</x:v>
      </x:c>
      <x:c r="O5518" s="2" t="str">
        <x:v>Tp Hồ Chí Minh|other_unknown</x:v>
      </x:c>
      <x:c r="P5518" s="10" t="n">
        <x:v>2</x:v>
      </x:c>
      <x:c r="Q5518" s="13" t="n">
        <x:f>IF(H5518="","",H5518/1000000000)</x:f>
        <x:v>1.63</x:v>
      </x:c>
      <x:c r="R5518" s="13" t="n">
        <x:f>IF(I5518="","",I5518/1000000)</x:f>
        <x:v>13.583333333333334</x:v>
      </x:c>
    </x:row>
    <x:row r="5519" ht="21" customHeight="1">
      <x:c r="A5519" s="10" t="n">
        <x:v>7223</x:v>
      </x:c>
      <x:c r="B5519" s="2" t="str">
        <x:v>0b20a1aa79320f5c17db</x:v>
      </x:c>
      <x:c r="C5519" s="2" t="str">
        <x:v>Bà Rịa - Vũng Tàu</x:v>
      </x:c>
      <x:c r="D5519" s="2" t="str">
        <x:v>Thành phố Vũng Tàu</x:v>
      </x:c>
      <x:c r="E5519" s="2" t="str">
        <x:v>house</x:v>
      </x:c>
      <x:c r="F5519" s="2" t="str">
        <x:v>sale_assumed</x:v>
      </x:c>
      <x:c r="G5519" s="11" t="n">
        <x:v>200</x:v>
      </x:c>
      <x:c r="H5519" s="12" t="n">
        <x:v>8000000000</x:v>
      </x:c>
      <x:c r="I5519" s="12" t="n">
        <x:v>40000000</x:v>
      </x:c>
      <x:c r="J5519" s="2" t="str">
        <x:v>total</x:v>
      </x:c>
      <x:c r="K5519" s="2" t="str">
        <x:v>top_level_area</x:v>
      </x:c>
      <x:c r="L5519" s="2" t="str">
        <x:v>property_type_inferred_from_title;transaction_assumed_sale_from_dataset_context</x:v>
      </x:c>
      <x:c r="M5519" s="10" t="n">
        <x:v>0</x:v>
      </x:c>
      <x:c r="N5519" s="10" t="n">
        <x:v>0</x:v>
      </x:c>
      <x:c r="O5519" s="2" t="str">
        <x:v>house</x:v>
      </x:c>
      <x:c r="P5519" s="10" t="n">
        <x:v>2</x:v>
      </x:c>
      <x:c r="Q5519" s="13" t="n">
        <x:f>IF(H5519="","",H5519/1000000000)</x:f>
        <x:v>8</x:v>
      </x:c>
      <x:c r="R5519" s="13" t="n">
        <x:f>IF(I5519="","",I5519/1000000)</x:f>
        <x:v>40</x:v>
      </x:c>
    </x:row>
    <x:row r="5520" ht="21" customHeight="1">
      <x:c r="A5520" s="10" t="n">
        <x:v>7224</x:v>
      </x:c>
      <x:c r="B5520" s="2" t="str">
        <x:v>b84ff13416bb08d4baf5</x:v>
      </x:c>
      <x:c r="C5520" s="2" t="str">
        <x:v>Đồng Nai</x:v>
      </x:c>
      <x:c r="D5520" s="2" t="str">
        <x:v>Huyện Trảng Bom</x:v>
      </x:c>
      <x:c r="E5520" s="2" t="str">
        <x:v>land</x:v>
      </x:c>
      <x:c r="F5520" s="2" t="str">
        <x:v>sale</x:v>
      </x:c>
      <x:c r="G5520" s="11" t="n">
        <x:v>100</x:v>
      </x:c>
      <x:c r="H5520" s="12" t="n">
        <x:v>295000000</x:v>
      </x:c>
      <x:c r="I5520" s="12" t="n">
        <x:v>2950000</x:v>
      </x:c>
      <x:c r="J5520" s="2" t="str">
        <x:v>total</x:v>
      </x:c>
      <x:c r="K5520" s="2" t="str">
        <x:v>top_level_area</x:v>
      </x:c>
      <x:c r="L5520" s="2" t="str">
        <x:v>property_type_inferred_from_title</x:v>
      </x:c>
      <x:c r="M5520" s="10" t="n">
        <x:v>0</x:v>
      </x:c>
      <x:c r="N5520" s="10" t="n">
        <x:v>0</x:v>
      </x:c>
      <x:c r="O5520" s="2" t="str">
        <x:v>Đồng Nai|land</x:v>
      </x:c>
      <x:c r="P5520" s="10" t="n">
        <x:v>2</x:v>
      </x:c>
      <x:c r="Q5520" s="13" t="n">
        <x:f>IF(H5520="","",H5520/1000000000)</x:f>
        <x:v>0.295</x:v>
      </x:c>
      <x:c r="R5520" s="13" t="n">
        <x:f>IF(I5520="","",I5520/1000000)</x:f>
        <x:v>2.95</x:v>
      </x:c>
    </x:row>
    <x:row r="5521" ht="21" customHeight="1">
      <x:c r="A5521" s="10" t="n">
        <x:v>7228</x:v>
      </x:c>
      <x:c r="B5521" s="2" t="str">
        <x:v>422d6b807d24f6a9d99e</x:v>
      </x:c>
      <x:c r="C5521" s="2" t="str">
        <x:v>Bình Dương</x:v>
      </x:c>
      <x:c r="D5521" s="2" t="str">
        <x:v>Thị xã Thuận An</x:v>
      </x:c>
      <x:c r="E5521" s="2" t="str">
        <x:v>house</x:v>
      </x:c>
      <x:c r="F5521" s="2" t="str">
        <x:v>sale_assumed</x:v>
      </x:c>
      <x:c r="G5521" s="11" t="n">
        <x:v>66</x:v>
      </x:c>
      <x:c r="H5521" s="12" t="n">
        <x:v>439000000</x:v>
      </x:c>
      <x:c r="I5521" s="12" t="n">
        <x:v>6651515.151515151</x:v>
      </x:c>
      <x:c r="J5521" s="2" t="str">
        <x:v>total</x:v>
      </x:c>
      <x:c r="K5521" s="2" t="str">
        <x:v>top_level_area</x:v>
      </x:c>
      <x:c r="L5521" s="2" t="str">
        <x:v>property_type_inferred_from_title;transaction_assumed_sale_from_dataset_context</x:v>
      </x:c>
      <x:c r="M5521" s="10" t="n">
        <x:v>0</x:v>
      </x:c>
      <x:c r="N5521" s="10" t="n">
        <x:v>0</x:v>
      </x:c>
      <x:c r="O5521" s="2" t="str">
        <x:v>Bình Dương|house</x:v>
      </x:c>
      <x:c r="P5521" s="10" t="n">
        <x:v>2</x:v>
      </x:c>
      <x:c r="Q5521" s="13" t="n">
        <x:f>IF(H5521="","",H5521/1000000000)</x:f>
        <x:v>0.439</x:v>
      </x:c>
      <x:c r="R5521" s="13" t="n">
        <x:f>IF(I5521="","",I5521/1000000)</x:f>
        <x:v>6.651515151515151</x:v>
      </x:c>
    </x:row>
    <x:row r="5522" ht="21" customHeight="1">
      <x:c r="A5522" s="10" t="n">
        <x:v>7229</x:v>
      </x:c>
      <x:c r="B5522" s="2" t="str">
        <x:v>9ca7abe800fad82ff2b5</x:v>
      </x:c>
      <x:c r="C5522" s="2" t="str">
        <x:v>Tp Hồ Chí Minh</x:v>
      </x:c>
      <x:c r="D5522" s="2" t="str">
        <x:v>Quận Thủ Đức</x:v>
      </x:c>
      <x:c r="E5522" s="2" t="str">
        <x:v>house</x:v>
      </x:c>
      <x:c r="F5522" s="2" t="str">
        <x:v>sale</x:v>
      </x:c>
      <x:c r="G5522" s="11" t="n">
        <x:v>69</x:v>
      </x:c>
      <x:c r="H5522" s="12" t="n">
        <x:v>1240000000</x:v>
      </x:c>
      <x:c r="I5522" s="12" t="n">
        <x:v>17971014.492753625</x:v>
      </x:c>
      <x:c r="J5522" s="2" t="str">
        <x:v>total</x:v>
      </x:c>
      <x:c r="K5522" s="2" t="str">
        <x:v>top_level_area</x:v>
      </x:c>
      <x:c r="L5522" s="2" t="str">
        <x:v>property_type_inferred_from_title</x:v>
      </x:c>
      <x:c r="M5522" s="10" t="n">
        <x:v>0</x:v>
      </x:c>
      <x:c r="N5522" s="10" t="n">
        <x:v>0</x:v>
      </x:c>
      <x:c r="O5522" s="2" t="str">
        <x:v>Tp Hồ Chí Minh|house</x:v>
      </x:c>
      <x:c r="P5522" s="10" t="n">
        <x:v>2</x:v>
      </x:c>
      <x:c r="Q5522" s="13" t="n">
        <x:f>IF(H5522="","",H5522/1000000000)</x:f>
        <x:v>1.24</x:v>
      </x:c>
      <x:c r="R5522" s="13" t="n">
        <x:f>IF(I5522="","",I5522/1000000)</x:f>
        <x:v>17.971014492753625</x:v>
      </x:c>
    </x:row>
    <x:row r="5523" ht="21" customHeight="1">
      <x:c r="A5523" s="10" t="n">
        <x:v>7230</x:v>
      </x:c>
      <x:c r="B5523" s="2" t="str">
        <x:v>f7d859429675b3973309</x:v>
      </x:c>
      <x:c r="C5523" s="2" t="str">
        <x:v>Tp Hồ Chí Minh</x:v>
      </x:c>
      <x:c r="D5523" s="2" t="str">
        <x:v>Huyện Bình Chánh</x:v>
      </x:c>
      <x:c r="E5523" s="2" t="str">
        <x:v>house</x:v>
      </x:c>
      <x:c r="F5523" s="2" t="str">
        <x:v>sale_assumed</x:v>
      </x:c>
      <x:c r="G5523" s="11" t="n">
        <x:v>80</x:v>
      </x:c>
      <x:c r="H5523" s="12" t="n">
        <x:v>1300000000</x:v>
      </x:c>
      <x:c r="I5523" s="12" t="n">
        <x:v>16250000</x:v>
      </x:c>
      <x:c r="J5523" s="2" t="str">
        <x:v>total</x:v>
      </x:c>
      <x:c r="K5523" s="2" t="str">
        <x:v>top_level_area</x:v>
      </x:c>
      <x:c r="L5523" s="2" t="str">
        <x:v>property_type_inferred_from_title;transaction_assumed_sale_from_dataset_context</x:v>
      </x:c>
      <x:c r="M5523" s="10" t="n">
        <x:v>0</x:v>
      </x:c>
      <x:c r="N5523" s="10" t="n">
        <x:v>0</x:v>
      </x:c>
      <x:c r="O5523" s="2" t="str">
        <x:v>Tp Hồ Chí Minh|house</x:v>
      </x:c>
      <x:c r="P5523" s="10" t="n">
        <x:v>2</x:v>
      </x:c>
      <x:c r="Q5523" s="13" t="n">
        <x:f>IF(H5523="","",H5523/1000000000)</x:f>
        <x:v>1.3</x:v>
      </x:c>
      <x:c r="R5523" s="13" t="n">
        <x:f>IF(I5523="","",I5523/1000000)</x:f>
        <x:v>16.25</x:v>
      </x:c>
    </x:row>
    <x:row r="5524" ht="21" customHeight="1">
      <x:c r="A5524" s="10" t="n">
        <x:v>7231</x:v>
      </x:c>
      <x:c r="B5524" s="2" t="str">
        <x:v>a0cd78c2f1b98aa19672</x:v>
      </x:c>
      <x:c r="C5524" s="2" t="str">
        <x:v>Hà Nội</x:v>
      </x:c>
      <x:c r="D5524" s="2" t="str">
        <x:v>Quận Thanh Xuân</x:v>
      </x:c>
      <x:c r="E5524" s="2" t="str">
        <x:v>house</x:v>
      </x:c>
      <x:c r="F5524" s="2" t="str">
        <x:v>sale_assumed</x:v>
      </x:c>
      <x:c r="G5524" s="11" t="n">
        <x:v>55</x:v>
      </x:c>
      <x:c r="H5524" s="12" t="n">
        <x:v>9500000000</x:v>
      </x:c>
      <x:c r="I5524" s="12" t="n">
        <x:v>172727272.72727272</x:v>
      </x:c>
      <x:c r="J5524" s="2" t="str">
        <x:v>total</x:v>
      </x:c>
      <x:c r="K5524" s="2" t="str">
        <x:v>top_level_area</x:v>
      </x:c>
      <x:c r="L5524" s="2" t="str">
        <x:v>property_type_inferred_from_title;transaction_assumed_sale_from_dataset_context</x:v>
      </x:c>
      <x:c r="M5524" s="10" t="n">
        <x:v>1</x:v>
      </x:c>
      <x:c r="N5524" s="10" t="n">
        <x:v>1</x:v>
      </x:c>
      <x:c r="O5524" s="2" t="str">
        <x:v>Hà Nội|house</x:v>
      </x:c>
      <x:c r="P5524" s="10" t="n">
        <x:v>-1</x:v>
      </x:c>
      <x:c r="Q5524" s="13" t="n">
        <x:f>IF(H5524="","",H5524/1000000000)</x:f>
        <x:v>9.5</x:v>
      </x:c>
      <x:c r="R5524" s="13" t="n">
        <x:f>IF(I5524="","",I5524/1000000)</x:f>
        <x:v>172.72727272727272</x:v>
      </x:c>
    </x:row>
    <x:row r="5525" ht="21" customHeight="1">
      <x:c r="A5525" s="10" t="n">
        <x:v>7232</x:v>
      </x:c>
      <x:c r="B5525" s="2" t="str">
        <x:v>9013c5f1c287f7a4aad0</x:v>
      </x:c>
      <x:c r="C5525" s="2" t="str">
        <x:v>Long An</x:v>
      </x:c>
      <x:c r="D5525" s="2" t="str">
        <x:v>Huyện Đức Hòa</x:v>
      </x:c>
      <x:c r="E5525" s="2" t="str">
        <x:v>land</x:v>
      </x:c>
      <x:c r="F5525" s="2" t="str">
        <x:v>sale</x:v>
      </x:c>
      <x:c r="G5525" s="11" t="n">
        <x:v>100</x:v>
      </x:c>
      <x:c r="H5525" s="12" t="n">
        <x:v>470000000</x:v>
      </x:c>
      <x:c r="I5525" s="12" t="n">
        <x:v>4700000</x:v>
      </x:c>
      <x:c r="J5525" s="2" t="str">
        <x:v>total</x:v>
      </x:c>
      <x:c r="K5525" s="2" t="str">
        <x:v>top_level_area</x:v>
      </x:c>
      <x:c r="L5525" s="2" t="str">
        <x:v>property_type_inferred_from_title</x:v>
      </x:c>
      <x:c r="M5525" s="10" t="n">
        <x:v>0</x:v>
      </x:c>
      <x:c r="N5525" s="10" t="n">
        <x:v>0</x:v>
      </x:c>
      <x:c r="O5525" s="2" t="str">
        <x:v>Long An|land</x:v>
      </x:c>
      <x:c r="P5525" s="10" t="n">
        <x:v>2</x:v>
      </x:c>
      <x:c r="Q5525" s="13" t="n">
        <x:f>IF(H5525="","",H5525/1000000000)</x:f>
        <x:v>0.47</x:v>
      </x:c>
      <x:c r="R5525" s="13" t="n">
        <x:f>IF(I5525="","",I5525/1000000)</x:f>
        <x:v>4.7</x:v>
      </x:c>
    </x:row>
    <x:row r="5526" ht="21" customHeight="1">
      <x:c r="A5526" s="10" t="n">
        <x:v>7233</x:v>
      </x:c>
      <x:c r="B5526" s="2" t="str">
        <x:v>02a7f13e35be01e6d283</x:v>
      </x:c>
      <x:c r="C5526" s="2" t="str">
        <x:v>Tp Hồ Chí Minh</x:v>
      </x:c>
      <x:c r="D5526" s="2" t="str">
        <x:v>Quận 6</x:v>
      </x:c>
      <x:c r="E5526" s="2" t="str">
        <x:v>other_unknown</x:v>
      </x:c>
      <x:c r="F5526" s="2" t="str">
        <x:v>sale_assumed</x:v>
      </x:c>
      <x:c r="G5526" s="11" t="n">
        <x:v>25</x:v>
      </x:c>
      <x:c r="H5526" s="12" t="n">
        <x:v>3450000000</x:v>
      </x:c>
      <x:c r="I5526" s="12" t="n">
        <x:v>138000000</x:v>
      </x:c>
      <x:c r="J5526" s="2" t="str">
        <x:v>total</x:v>
      </x:c>
      <x:c r="K5526" s="2" t="str">
        <x:v>top_level_area</x:v>
      </x:c>
      <x:c r="L5526" s="2" t="str">
        <x:v>property_type_inferred_from_title;transaction_assumed_sale_from_dataset_context;unknown_property_type</x:v>
      </x:c>
      <x:c r="M5526" s="10" t="n">
        <x:v>0</x:v>
      </x:c>
      <x:c r="N5526" s="10" t="n">
        <x:v>0</x:v>
      </x:c>
      <x:c r="O5526" s="2" t="str">
        <x:v>Tp Hồ Chí Minh|other_unknown</x:v>
      </x:c>
      <x:c r="P5526" s="10" t="n">
        <x:v>2</x:v>
      </x:c>
      <x:c r="Q5526" s="13" t="n">
        <x:f>IF(H5526="","",H5526/1000000000)</x:f>
        <x:v>3.45</x:v>
      </x:c>
      <x:c r="R5526" s="13" t="n">
        <x:f>IF(I5526="","",I5526/1000000)</x:f>
        <x:v>138</x:v>
      </x:c>
    </x:row>
    <x:row r="5527" ht="21" customHeight="1">
      <x:c r="A5527" s="10" t="n">
        <x:v>7234</x:v>
      </x:c>
      <x:c r="B5527" s="2" t="str">
        <x:v>3adc3d6b3da97b08c768</x:v>
      </x:c>
      <x:c r="C5527" s="2" t="str">
        <x:v>Hà Nội</x:v>
      </x:c>
      <x:c r="D5527" s="2" t="str">
        <x:v>Quận Hà Đông</x:v>
      </x:c>
      <x:c r="E5527" s="2" t="str">
        <x:v>house</x:v>
      </x:c>
      <x:c r="F5527" s="2" t="str">
        <x:v>sale</x:v>
      </x:c>
      <x:c r="G5527" s="11" t="n">
        <x:v>30</x:v>
      </x:c>
      <x:c r="H5527" s="12" t="n">
        <x:v>2200000000</x:v>
      </x:c>
      <x:c r="I5527" s="12" t="n">
        <x:v>73333333.33333333</x:v>
      </x:c>
      <x:c r="J5527" s="2" t="str">
        <x:v>total</x:v>
      </x:c>
      <x:c r="K5527" s="2" t="str">
        <x:v>top_level_area</x:v>
      </x:c>
      <x:c r="L5527" s="2" t="str">
        <x:v>property_type_inferred_from_title</x:v>
      </x:c>
      <x:c r="M5527" s="10" t="n">
        <x:v>0</x:v>
      </x:c>
      <x:c r="N5527" s="10" t="n">
        <x:v>0</x:v>
      </x:c>
      <x:c r="O5527" s="2" t="str">
        <x:v>Hà Nội|house</x:v>
      </x:c>
      <x:c r="P5527" s="10" t="n">
        <x:v>2</x:v>
      </x:c>
      <x:c r="Q5527" s="13" t="n">
        <x:f>IF(H5527="","",H5527/1000000000)</x:f>
        <x:v>2.2</x:v>
      </x:c>
      <x:c r="R5527" s="13" t="n">
        <x:f>IF(I5527="","",I5527/1000000)</x:f>
        <x:v>73.33333333333333</x:v>
      </x:c>
    </x:row>
    <x:row r="5528" ht="21" customHeight="1">
      <x:c r="A5528" s="10" t="n">
        <x:v>7235</x:v>
      </x:c>
      <x:c r="B5528" s="2" t="str">
        <x:v>6cb7eb9d8898a53c739b</x:v>
      </x:c>
      <x:c r="C5528" s="2" t="str">
        <x:v>Cần Thơ</x:v>
      </x:c>
      <x:c r="D5528" s="2" t="str">
        <x:v>Quận Ninh Kiều</x:v>
      </x:c>
      <x:c r="E5528" s="2" t="str">
        <x:v>other_unknown</x:v>
      </x:c>
      <x:c r="F5528" s="2" t="str">
        <x:v>sale_assumed</x:v>
      </x:c>
      <x:c r="G5528" s="11" t="n">
        <x:v>80</x:v>
      </x:c>
      <x:c r="H5528" s="12" t="n">
        <x:v>4950000000</x:v>
      </x:c>
      <x:c r="I5528" s="12" t="n">
        <x:v>61875000</x:v>
      </x:c>
      <x:c r="J5528" s="2" t="str">
        <x:v>total</x:v>
      </x:c>
      <x:c r="K5528" s="2" t="str">
        <x:v>top_level_area</x:v>
      </x:c>
      <x:c r="L5528" s="2" t="str">
        <x:v>property_type_inferred_from_title;transaction_assumed_sale_from_dataset_context;unknown_property_type</x:v>
      </x:c>
      <x:c r="M5528" s="10" t="n">
        <x:v>0</x:v>
      </x:c>
      <x:c r="N5528" s="10" t="n">
        <x:v>0</x:v>
      </x:c>
      <x:c r="O5528" s="2" t="str">
        <x:v>other_unknown</x:v>
      </x:c>
      <x:c r="P5528" s="10" t="n">
        <x:v>2</x:v>
      </x:c>
      <x:c r="Q5528" s="13" t="n">
        <x:f>IF(H5528="","",H5528/1000000000)</x:f>
        <x:v>4.95</x:v>
      </x:c>
      <x:c r="R5528" s="13" t="n">
        <x:f>IF(I5528="","",I5528/1000000)</x:f>
        <x:v>61.875</x:v>
      </x:c>
    </x:row>
    <x:row r="5529" ht="21" customHeight="1">
      <x:c r="A5529" s="10" t="n">
        <x:v>7236</x:v>
      </x:c>
      <x:c r="B5529" s="2" t="str">
        <x:v>8f146f59bfd694c18d90</x:v>
      </x:c>
      <x:c r="C5529" s="2" t="str">
        <x:v>Tp Hồ Chí Minh</x:v>
      </x:c>
      <x:c r="D5529" s="2" t="str">
        <x:v>Quận 12</x:v>
      </x:c>
      <x:c r="E5529" s="2" t="str">
        <x:v>house</x:v>
      </x:c>
      <x:c r="F5529" s="2" t="str">
        <x:v>sale_assumed</x:v>
      </x:c>
      <x:c r="G5529" s="11" t="n">
        <x:v>28</x:v>
      </x:c>
      <x:c r="H5529" s="12" t="n">
        <x:v>2450000000</x:v>
      </x:c>
      <x:c r="I5529" s="12" t="n">
        <x:v>87500000</x:v>
      </x:c>
      <x:c r="J5529" s="2" t="str">
        <x:v>total</x:v>
      </x:c>
      <x:c r="K5529" s="2" t="str">
        <x:v>top_level_area</x:v>
      </x:c>
      <x:c r="L5529" s="2" t="str">
        <x:v>property_type_inferred_from_title;transaction_assumed_sale_from_dataset_context</x:v>
      </x:c>
      <x:c r="M5529" s="10" t="n">
        <x:v>0</x:v>
      </x:c>
      <x:c r="N5529" s="10" t="n">
        <x:v>0</x:v>
      </x:c>
      <x:c r="O5529" s="2" t="str">
        <x:v>Tp Hồ Chí Minh|house</x:v>
      </x:c>
      <x:c r="P5529" s="10" t="n">
        <x:v>2</x:v>
      </x:c>
      <x:c r="Q5529" s="13" t="n">
        <x:f>IF(H5529="","",H5529/1000000000)</x:f>
        <x:v>2.45</x:v>
      </x:c>
      <x:c r="R5529" s="13" t="n">
        <x:f>IF(I5529="","",I5529/1000000)</x:f>
        <x:v>87.5</x:v>
      </x:c>
    </x:row>
    <x:row r="5530" ht="21" customHeight="1">
      <x:c r="A5530" s="10" t="n">
        <x:v>7237</x:v>
      </x:c>
      <x:c r="B5530" s="2" t="str">
        <x:v>c464e23de392232ea941</x:v>
      </x:c>
      <x:c r="C5530" s="2" t="str">
        <x:v>Tp Hồ Chí Minh</x:v>
      </x:c>
      <x:c r="D5530" s="2" t="str">
        <x:v>Quận Tân Bình</x:v>
      </x:c>
      <x:c r="E5530" s="2" t="str">
        <x:v>other_unknown</x:v>
      </x:c>
      <x:c r="F5530" s="2" t="str">
        <x:v>sale</x:v>
      </x:c>
      <x:c r="G5530" s="11" t="n">
        <x:v>160</x:v>
      </x:c>
      <x:c r="H5530" s="12" t="n">
        <x:v>950000000</x:v>
      </x:c>
      <x:c r="I5530" s="12" t="n">
        <x:v>5937500</x:v>
      </x:c>
      <x:c r="J5530" s="2" t="str">
        <x:v>total</x:v>
      </x:c>
      <x:c r="K5530" s="2" t="str">
        <x:v>top_level_area</x:v>
      </x:c>
      <x:c r="L5530" s="2" t="str">
        <x:v>property_type_inferred_from_title;unknown_property_type</x:v>
      </x:c>
      <x:c r="M5530" s="10" t="n">
        <x:v>0</x:v>
      </x:c>
      <x:c r="N5530" s="10" t="n">
        <x:v>0</x:v>
      </x:c>
      <x:c r="O5530" s="2" t="str">
        <x:v>Tp Hồ Chí Minh|other_unknown</x:v>
      </x:c>
      <x:c r="P5530" s="10" t="n">
        <x:v>2</x:v>
      </x:c>
      <x:c r="Q5530" s="13" t="n">
        <x:f>IF(H5530="","",H5530/1000000000)</x:f>
        <x:v>0.95</x:v>
      </x:c>
      <x:c r="R5530" s="13" t="n">
        <x:f>IF(I5530="","",I5530/1000000)</x:f>
        <x:v>5.9375</x:v>
      </x:c>
    </x:row>
    <x:row r="5531" ht="21" customHeight="1">
      <x:c r="A5531" s="10" t="n">
        <x:v>7238</x:v>
      </x:c>
      <x:c r="B5531" s="2" t="str">
        <x:v>5cb4897ab40de0b00490</x:v>
      </x:c>
      <x:c r="C5531" s="2" t="str">
        <x:v>Hà Nội</x:v>
      </x:c>
      <x:c r="D5531" s="2" t="str">
        <x:v>Quận Thanh Xuân</x:v>
      </x:c>
      <x:c r="E5531" s="2" t="str">
        <x:v>house</x:v>
      </x:c>
      <x:c r="F5531" s="2" t="str">
        <x:v>sale</x:v>
      </x:c>
      <x:c r="G5531" s="11" t="n">
        <x:v>42</x:v>
      </x:c>
      <x:c r="H5531" s="12" t="n">
        <x:v>7400000000</x:v>
      </x:c>
      <x:c r="I5531" s="12" t="n">
        <x:v>176190476.19047618</x:v>
      </x:c>
      <x:c r="J5531" s="2" t="str">
        <x:v>total</x:v>
      </x:c>
      <x:c r="K5531" s="2" t="str">
        <x:v>top_level_area</x:v>
      </x:c>
      <x:c r="L5531" s="2" t="str">
        <x:v>property_type_inferred_from_title</x:v>
      </x:c>
      <x:c r="M5531" s="10" t="n">
        <x:v>1</x:v>
      </x:c>
      <x:c r="N5531" s="10" t="n">
        <x:v>1</x:v>
      </x:c>
      <x:c r="O5531" s="2" t="str">
        <x:v>Hà Nội|house</x:v>
      </x:c>
      <x:c r="P5531" s="10" t="n">
        <x:v>-1</x:v>
      </x:c>
      <x:c r="Q5531" s="13" t="n">
        <x:f>IF(H5531="","",H5531/1000000000)</x:f>
        <x:v>7.4</x:v>
      </x:c>
      <x:c r="R5531" s="13" t="n">
        <x:f>IF(I5531="","",I5531/1000000)</x:f>
        <x:v>176.19047619047618</x:v>
      </x:c>
    </x:row>
    <x:row r="5532" ht="21" customHeight="1">
      <x:c r="A5532" s="10" t="n">
        <x:v>7239</x:v>
      </x:c>
      <x:c r="B5532" s="2" t="str">
        <x:v>e1c3b8e7293688708306</x:v>
      </x:c>
      <x:c r="C5532" s="2" t="str">
        <x:v>Cà Mau</x:v>
      </x:c>
      <x:c r="D5532" s="2" t="str">
        <x:v>Thành phố Cà Mau</x:v>
      </x:c>
      <x:c r="E5532" s="2" t="str">
        <x:v>land</x:v>
      </x:c>
      <x:c r="F5532" s="2" t="str">
        <x:v>sale</x:v>
      </x:c>
      <x:c r="G5532" s="11" t="n">
        <x:v>117</x:v>
      </x:c>
      <x:c r="H5532" s="12" t="n">
        <x:v>775000000</x:v>
      </x:c>
      <x:c r="I5532" s="12" t="n">
        <x:v>6623931.623931624</x:v>
      </x:c>
      <x:c r="J5532" s="2" t="str">
        <x:v>total</x:v>
      </x:c>
      <x:c r="K5532" s="2" t="str">
        <x:v>top_level_area</x:v>
      </x:c>
      <x:c r="L5532" s="2" t="str">
        <x:v>property_type_inferred_from_title</x:v>
      </x:c>
      <x:c r="M5532" s="10" t="n">
        <x:v>0</x:v>
      </x:c>
      <x:c r="N5532" s="10" t="n">
        <x:v>0</x:v>
      </x:c>
      <x:c r="O5532" s="2" t="str">
        <x:v>land</x:v>
      </x:c>
      <x:c r="P5532" s="10" t="n">
        <x:v>2</x:v>
      </x:c>
      <x:c r="Q5532" s="13" t="n">
        <x:f>IF(H5532="","",H5532/1000000000)</x:f>
        <x:v>0.775</x:v>
      </x:c>
      <x:c r="R5532" s="13" t="n">
        <x:f>IF(I5532="","",I5532/1000000)</x:f>
        <x:v>6.623931623931624</x:v>
      </x:c>
    </x:row>
    <x:row r="5533" ht="21" customHeight="1">
      <x:c r="A5533" s="10" t="n">
        <x:v>7240</x:v>
      </x:c>
      <x:c r="B5533" s="2" t="str">
        <x:v>d2c2dd3fc36491a195b2</x:v>
      </x:c>
      <x:c r="C5533" s="2" t="str">
        <x:v>Tp Hồ Chí Minh</x:v>
      </x:c>
      <x:c r="D5533" s="2" t="str">
        <x:v>Huyện Hóc Môn</x:v>
      </x:c>
      <x:c r="E5533" s="2" t="str">
        <x:v>house</x:v>
      </x:c>
      <x:c r="F5533" s="2" t="str">
        <x:v>sale</x:v>
      </x:c>
      <x:c r="G5533" s="11" t="n">
        <x:v>110</x:v>
      </x:c>
      <x:c r="H5533" s="12" t="n">
        <x:v>2800000000</x:v>
      </x:c>
      <x:c r="I5533" s="12" t="n">
        <x:v>25454545.454545453</x:v>
      </x:c>
      <x:c r="J5533" s="2" t="str">
        <x:v>total</x:v>
      </x:c>
      <x:c r="K5533" s="2" t="str">
        <x:v>top_level_area</x:v>
      </x:c>
      <x:c r="L5533" s="2" t="str">
        <x:v>property_type_inferred_from_title</x:v>
      </x:c>
      <x:c r="M5533" s="10" t="n">
        <x:v>0</x:v>
      </x:c>
      <x:c r="N5533" s="10" t="n">
        <x:v>0</x:v>
      </x:c>
      <x:c r="O5533" s="2" t="str">
        <x:v>Tp Hồ Chí Minh|house</x:v>
      </x:c>
      <x:c r="P5533" s="10" t="n">
        <x:v>2</x:v>
      </x:c>
      <x:c r="Q5533" s="13" t="n">
        <x:f>IF(H5533="","",H5533/1000000000)</x:f>
        <x:v>2.8</x:v>
      </x:c>
      <x:c r="R5533" s="13" t="n">
        <x:f>IF(I5533="","",I5533/1000000)</x:f>
        <x:v>25.454545454545453</x:v>
      </x:c>
    </x:row>
    <x:row r="5534" ht="21" customHeight="1">
      <x:c r="A5534" s="10" t="n">
        <x:v>7241</x:v>
      </x:c>
      <x:c r="B5534" s="2" t="str">
        <x:v>8efc38e6fdd01267fc74</x:v>
      </x:c>
      <x:c r="C5534" s="2" t="str">
        <x:v>Tp Hồ Chí Minh</x:v>
      </x:c>
      <x:c r="D5534" s="2" t="str">
        <x:v>Huyện Hóc Môn</x:v>
      </x:c>
      <x:c r="E5534" s="2" t="str">
        <x:v>house</x:v>
      </x:c>
      <x:c r="F5534" s="2" t="str">
        <x:v>sale</x:v>
      </x:c>
      <x:c r="G5534" s="11" t="n">
        <x:v>52</x:v>
      </x:c>
      <x:c r="H5534" s="12" t="n">
        <x:v>215000000</x:v>
      </x:c>
      <x:c r="I5534" s="12" t="n">
        <x:v>4134615.3846153845</x:v>
      </x:c>
      <x:c r="J5534" s="2" t="str">
        <x:v>total</x:v>
      </x:c>
      <x:c r="K5534" s="2" t="str">
        <x:v>top_level_area</x:v>
      </x:c>
      <x:c r="L5534" s="2" t="str">
        <x:v>property_type_inferred_from_title</x:v>
      </x:c>
      <x:c r="M5534" s="10" t="n">
        <x:v>0</x:v>
      </x:c>
      <x:c r="N5534" s="10" t="n">
        <x:v>0</x:v>
      </x:c>
      <x:c r="O5534" s="2" t="str">
        <x:v>Tp Hồ Chí Minh|house</x:v>
      </x:c>
      <x:c r="P5534" s="10" t="n">
        <x:v>2</x:v>
      </x:c>
      <x:c r="Q5534" s="13" t="n">
        <x:f>IF(H5534="","",H5534/1000000000)</x:f>
        <x:v>0.215</x:v>
      </x:c>
      <x:c r="R5534" s="13" t="n">
        <x:f>IF(I5534="","",I5534/1000000)</x:f>
        <x:v>4.134615384615384</x:v>
      </x:c>
    </x:row>
    <x:row r="5535" ht="21" customHeight="1">
      <x:c r="A5535" s="10" t="n">
        <x:v>7242</x:v>
      </x:c>
      <x:c r="B5535" s="2" t="str">
        <x:v>5150b6fd730705ece623</x:v>
      </x:c>
      <x:c r="C5535" s="2" t="str">
        <x:v>Tp Hồ Chí Minh</x:v>
      </x:c>
      <x:c r="D5535" s="2" t="str">
        <x:v>Quận Phú Nhuận</x:v>
      </x:c>
      <x:c r="E5535" s="2" t="str">
        <x:v>house</x:v>
      </x:c>
      <x:c r="F5535" s="2" t="str">
        <x:v>sale</x:v>
      </x:c>
      <x:c r="G5535" s="11" t="n">
        <x:v>30</x:v>
      </x:c>
      <x:c r="H5535" s="12" t="n">
        <x:v>5350000000</x:v>
      </x:c>
      <x:c r="I5535" s="12" t="n">
        <x:v>178333333.33333334</x:v>
      </x:c>
      <x:c r="J5535" s="2" t="str">
        <x:v>total</x:v>
      </x:c>
      <x:c r="K5535" s="2" t="str">
        <x:v>top_level_area</x:v>
      </x:c>
      <x:c r="L5535" s="2" t="str">
        <x:v>property_type_inferred_from_title</x:v>
      </x:c>
      <x:c r="M5535" s="10" t="n">
        <x:v>1</x:v>
      </x:c>
      <x:c r="N5535" s="10" t="n">
        <x:v>0</x:v>
      </x:c>
      <x:c r="O5535" s="2" t="str">
        <x:v>Tp Hồ Chí Minh|house</x:v>
      </x:c>
      <x:c r="P5535" s="10" t="n">
        <x:v>2</x:v>
      </x:c>
      <x:c r="Q5535" s="13" t="n">
        <x:f>IF(H5535="","",H5535/1000000000)</x:f>
        <x:v>5.35</x:v>
      </x:c>
      <x:c r="R5535" s="13" t="n">
        <x:f>IF(I5535="","",I5535/1000000)</x:f>
        <x:v>178.33333333333334</x:v>
      </x:c>
    </x:row>
    <x:row r="5536" ht="21" customHeight="1">
      <x:c r="A5536" s="10" t="n">
        <x:v>7243</x:v>
      </x:c>
      <x:c r="B5536" s="2" t="str">
        <x:v>0e6f5e49a7a18a880727</x:v>
      </x:c>
      <x:c r="C5536" s="2" t="str">
        <x:v>Tp Hồ Chí Minh</x:v>
      </x:c>
      <x:c r="D5536" s="2" t="str">
        <x:v>Quận Gò Vấp</x:v>
      </x:c>
      <x:c r="E5536" s="2" t="str">
        <x:v>house</x:v>
      </x:c>
      <x:c r="F5536" s="2" t="str">
        <x:v>sale</x:v>
      </x:c>
      <x:c r="G5536" s="11" t="n">
        <x:v>13</x:v>
      </x:c>
      <x:c r="H5536" s="12" t="n">
        <x:v>950000000</x:v>
      </x:c>
      <x:c r="I5536" s="12" t="n">
        <x:v>73076923.07692307</x:v>
      </x:c>
      <x:c r="J5536" s="2" t="str">
        <x:v>total</x:v>
      </x:c>
      <x:c r="K5536" s="2" t="str">
        <x:v>top_level_area</x:v>
      </x:c>
      <x:c r="L5536" s="2" t="str">
        <x:v>property_type_inferred_from_title</x:v>
      </x:c>
      <x:c r="M5536" s="10" t="n">
        <x:v>0</x:v>
      </x:c>
      <x:c r="N5536" s="10" t="n">
        <x:v>0</x:v>
      </x:c>
      <x:c r="O5536" s="2" t="str">
        <x:v>Tp Hồ Chí Minh|house</x:v>
      </x:c>
      <x:c r="P5536" s="10" t="n">
        <x:v>2</x:v>
      </x:c>
      <x:c r="Q5536" s="13" t="n">
        <x:f>IF(H5536="","",H5536/1000000000)</x:f>
        <x:v>0.95</x:v>
      </x:c>
      <x:c r="R5536" s="13" t="n">
        <x:f>IF(I5536="","",I5536/1000000)</x:f>
        <x:v>73.07692307692307</x:v>
      </x:c>
    </x:row>
    <x:row r="5537" ht="21" customHeight="1">
      <x:c r="A5537" s="10" t="n">
        <x:v>7244</x:v>
      </x:c>
      <x:c r="B5537" s="2" t="str">
        <x:v>2a1ac95eeffe1a7ff205</x:v>
      </x:c>
      <x:c r="C5537" s="2" t="str">
        <x:v>Tp Hồ Chí Minh</x:v>
      </x:c>
      <x:c r="D5537" s="2" t="str">
        <x:v>Quận 8</x:v>
      </x:c>
      <x:c r="E5537" s="2" t="str">
        <x:v>house</x:v>
      </x:c>
      <x:c r="F5537" s="2" t="str">
        <x:v>sale_assumed</x:v>
      </x:c>
      <x:c r="G5537" s="11" t="n">
        <x:v>75</x:v>
      </x:c>
      <x:c r="H5537" s="12" t="n">
        <x:v>1800000000</x:v>
      </x:c>
      <x:c r="I5537" s="12" t="n">
        <x:v>24000000</x:v>
      </x:c>
      <x:c r="J5537" s="2" t="str">
        <x:v>total</x:v>
      </x:c>
      <x:c r="K5537" s="2" t="str">
        <x:v>top_level_area</x:v>
      </x:c>
      <x:c r="L5537" s="2" t="str">
        <x:v>property_type_inferred_from_title;transaction_assumed_sale_from_dataset_context</x:v>
      </x:c>
      <x:c r="M5537" s="10" t="n">
        <x:v>0</x:v>
      </x:c>
      <x:c r="N5537" s="10" t="n">
        <x:v>0</x:v>
      </x:c>
      <x:c r="O5537" s="2" t="str">
        <x:v>Tp Hồ Chí Minh|house</x:v>
      </x:c>
      <x:c r="P5537" s="10" t="n">
        <x:v>2</x:v>
      </x:c>
      <x:c r="Q5537" s="13" t="n">
        <x:f>IF(H5537="","",H5537/1000000000)</x:f>
        <x:v>1.8</x:v>
      </x:c>
      <x:c r="R5537" s="13" t="n">
        <x:f>IF(I5537="","",I5537/1000000)</x:f>
        <x:v>24</x:v>
      </x:c>
    </x:row>
    <x:row r="5538" ht="21" customHeight="1">
      <x:c r="A5538" s="10" t="n">
        <x:v>7245</x:v>
      </x:c>
      <x:c r="B5538" s="2" t="str">
        <x:v>4643d25dba6056027b5c</x:v>
      </x:c>
      <x:c r="C5538" s="2" t="str">
        <x:v>Cần Thơ</x:v>
      </x:c>
      <x:c r="D5538" s="2" t="str">
        <x:v>Quận Bình Thuỷ</x:v>
      </x:c>
      <x:c r="E5538" s="2" t="str">
        <x:v>land</x:v>
      </x:c>
      <x:c r="F5538" s="2" t="str">
        <x:v>sale</x:v>
      </x:c>
      <x:c r="G5538" s="11" t="n">
        <x:v>78</x:v>
      </x:c>
      <x:c r="H5538" s="12" t="n">
        <x:v>1595000000</x:v>
      </x:c>
      <x:c r="I5538" s="12" t="n">
        <x:v>20448717.948717948</x:v>
      </x:c>
      <x:c r="J5538" s="2" t="str">
        <x:v>total</x:v>
      </x:c>
      <x:c r="K5538" s="2" t="str">
        <x:v>top_level_area</x:v>
      </x:c>
      <x:c r="L5538" s="2" t="str">
        <x:v>property_type_inferred_from_title</x:v>
      </x:c>
      <x:c r="M5538" s="10" t="n">
        <x:v>0</x:v>
      </x:c>
      <x:c r="N5538" s="10" t="n">
        <x:v>0</x:v>
      </x:c>
      <x:c r="O5538" s="2" t="str">
        <x:v>Cần Thơ|land</x:v>
      </x:c>
      <x:c r="P5538" s="10" t="n">
        <x:v>2</x:v>
      </x:c>
      <x:c r="Q5538" s="13" t="n">
        <x:f>IF(H5538="","",H5538/1000000000)</x:f>
        <x:v>1.595</x:v>
      </x:c>
      <x:c r="R5538" s="13" t="n">
        <x:f>IF(I5538="","",I5538/1000000)</x:f>
        <x:v>20.44871794871795</x:v>
      </x:c>
    </x:row>
    <x:row r="5539" ht="21" customHeight="1">
      <x:c r="A5539" s="10" t="n">
        <x:v>7246</x:v>
      </x:c>
      <x:c r="B5539" s="2" t="str">
        <x:v>6254b6e1e9c3099be925</x:v>
      </x:c>
      <x:c r="C5539" s="2" t="str">
        <x:v>Tp Hồ Chí Minh</x:v>
      </x:c>
      <x:c r="D5539" s="2" t="str">
        <x:v>Quận 2</x:v>
      </x:c>
      <x:c r="E5539" s="2" t="str">
        <x:v>house</x:v>
      </x:c>
      <x:c r="F5539" s="2" t="str">
        <x:v>sale</x:v>
      </x:c>
      <x:c r="G5539" s="11" t="n">
        <x:v>160</x:v>
      </x:c>
      <x:c r="H5539" s="12" t="n">
        <x:v>6750000000</x:v>
      </x:c>
      <x:c r="I5539" s="12" t="n">
        <x:v>42187500</x:v>
      </x:c>
      <x:c r="J5539" s="2" t="str">
        <x:v>total</x:v>
      </x:c>
      <x:c r="K5539" s="2" t="str">
        <x:v>top_level_area</x:v>
      </x:c>
      <x:c r="L5539" s="2" t="str">
        <x:v>property_type_inferred_from_title</x:v>
      </x:c>
      <x:c r="M5539" s="10" t="n">
        <x:v>0</x:v>
      </x:c>
      <x:c r="N5539" s="10" t="n">
        <x:v>0</x:v>
      </x:c>
      <x:c r="O5539" s="2" t="str">
        <x:v>Tp Hồ Chí Minh|house</x:v>
      </x:c>
      <x:c r="P5539" s="10" t="n">
        <x:v>2</x:v>
      </x:c>
      <x:c r="Q5539" s="13" t="n">
        <x:f>IF(H5539="","",H5539/1000000000)</x:f>
        <x:v>6.75</x:v>
      </x:c>
      <x:c r="R5539" s="13" t="n">
        <x:f>IF(I5539="","",I5539/1000000)</x:f>
        <x:v>42.1875</x:v>
      </x:c>
    </x:row>
    <x:row r="5540" ht="21" customHeight="1">
      <x:c r="A5540" s="10" t="n">
        <x:v>7247</x:v>
      </x:c>
      <x:c r="B5540" s="2" t="str">
        <x:v>3dcfc13b92caa2288d39</x:v>
      </x:c>
      <x:c r="C5540" s="2" t="str">
        <x:v>Hà Nội</x:v>
      </x:c>
      <x:c r="D5540" s="2" t="str">
        <x:v>Quận Thanh Xuân</x:v>
      </x:c>
      <x:c r="E5540" s="2" t="str">
        <x:v>house</x:v>
      </x:c>
      <x:c r="F5540" s="2" t="str">
        <x:v>sale_assumed</x:v>
      </x:c>
      <x:c r="G5540" s="11" t="n">
        <x:v>62</x:v>
      </x:c>
      <x:c r="H5540" s="12" t="n">
        <x:v>1850000000</x:v>
      </x:c>
      <x:c r="I5540" s="12" t="n">
        <x:v>29838709.677419353</x:v>
      </x:c>
      <x:c r="J5540" s="2" t="str">
        <x:v>total</x:v>
      </x:c>
      <x:c r="K5540" s="2" t="str">
        <x:v>top_level_area</x:v>
      </x:c>
      <x:c r="L5540" s="2" t="str">
        <x:v>property_type_inferred_from_title;transaction_assumed_sale_from_dataset_context</x:v>
      </x:c>
      <x:c r="M5540" s="10" t="n">
        <x:v>0</x:v>
      </x:c>
      <x:c r="N5540" s="10" t="n">
        <x:v>0</x:v>
      </x:c>
      <x:c r="O5540" s="2" t="str">
        <x:v>Hà Nội|house</x:v>
      </x:c>
      <x:c r="P5540" s="10" t="n">
        <x:v>2</x:v>
      </x:c>
      <x:c r="Q5540" s="13" t="n">
        <x:f>IF(H5540="","",H5540/1000000000)</x:f>
        <x:v>1.85</x:v>
      </x:c>
      <x:c r="R5540" s="13" t="n">
        <x:f>IF(I5540="","",I5540/1000000)</x:f>
        <x:v>29.838709677419352</x:v>
      </x:c>
    </x:row>
    <x:row r="5541" ht="21" customHeight="1">
      <x:c r="A5541" s="10" t="n">
        <x:v>7251</x:v>
      </x:c>
      <x:c r="B5541" s="2" t="str">
        <x:v>0cc4e88f6c0bcced3b6d</x:v>
      </x:c>
      <x:c r="C5541" s="2" t="str">
        <x:v>Tp Hồ Chí Minh</x:v>
      </x:c>
      <x:c r="D5541" s="2" t="str">
        <x:v>Quận 12</x:v>
      </x:c>
      <x:c r="E5541" s="2" t="str">
        <x:v>apartment</x:v>
      </x:c>
      <x:c r="F5541" s="2" t="str">
        <x:v>sale_assumed</x:v>
      </x:c>
      <x:c r="G5541" s="11" t="n">
        <x:v>73</x:v>
      </x:c>
      <x:c r="H5541" s="12" t="n">
        <x:v>1700000000</x:v>
      </x:c>
      <x:c r="I5541" s="12" t="n">
        <x:v>23287671.23287671</x:v>
      </x:c>
      <x:c r="J5541" s="2" t="str">
        <x:v>total</x:v>
      </x:c>
      <x:c r="K5541" s="2" t="str">
        <x:v>top_level_area</x:v>
      </x:c>
      <x:c r="L5541" s="2" t="str">
        <x:v>property_type_inferred_from_title;transaction_assumed_sale_from_dataset_context</x:v>
      </x:c>
      <x:c r="M5541" s="10" t="n">
        <x:v>0</x:v>
      </x:c>
      <x:c r="N5541" s="10" t="n">
        <x:v>0</x:v>
      </x:c>
      <x:c r="O5541" s="2" t="str">
        <x:v>Tp Hồ Chí Minh|apartment</x:v>
      </x:c>
      <x:c r="P5541" s="10" t="n">
        <x:v>2</x:v>
      </x:c>
      <x:c r="Q5541" s="13" t="n">
        <x:f>IF(H5541="","",H5541/1000000000)</x:f>
        <x:v>1.7</x:v>
      </x:c>
      <x:c r="R5541" s="13" t="n">
        <x:f>IF(I5541="","",I5541/1000000)</x:f>
        <x:v>23.28767123287671</x:v>
      </x:c>
    </x:row>
    <x:row r="5542" ht="21" customHeight="1">
      <x:c r="A5542" s="10" t="n">
        <x:v>7252</x:v>
      </x:c>
      <x:c r="B5542" s="2" t="str">
        <x:v>397cebfe3a3def397f36</x:v>
      </x:c>
      <x:c r="C5542" s="2" t="str">
        <x:v>Tp Hồ Chí Minh</x:v>
      </x:c>
      <x:c r="D5542" s="2" t="str">
        <x:v>Quận 8</x:v>
      </x:c>
      <x:c r="E5542" s="2" t="str">
        <x:v>house</x:v>
      </x:c>
      <x:c r="F5542" s="2" t="str">
        <x:v>sale</x:v>
      </x:c>
      <x:c r="G5542" s="11" t="n">
        <x:v>34</x:v>
      </x:c>
      <x:c r="H5542" s="12" t="n">
        <x:v>3100000000</x:v>
      </x:c>
      <x:c r="I5542" s="12" t="n">
        <x:v>91176470.58823529</x:v>
      </x:c>
      <x:c r="J5542" s="2" t="str">
        <x:v>total</x:v>
      </x:c>
      <x:c r="K5542" s="2" t="str">
        <x:v>top_level_area</x:v>
      </x:c>
      <x:c r="L5542" s="2" t="str">
        <x:v>property_type_inferred_from_title</x:v>
      </x:c>
      <x:c r="M5542" s="10" t="n">
        <x:v>0</x:v>
      </x:c>
      <x:c r="N5542" s="10" t="n">
        <x:v>0</x:v>
      </x:c>
      <x:c r="O5542" s="2" t="str">
        <x:v>Tp Hồ Chí Minh|house</x:v>
      </x:c>
      <x:c r="P5542" s="10" t="n">
        <x:v>2</x:v>
      </x:c>
      <x:c r="Q5542" s="13" t="n">
        <x:f>IF(H5542="","",H5542/1000000000)</x:f>
        <x:v>3.1</x:v>
      </x:c>
      <x:c r="R5542" s="13" t="n">
        <x:f>IF(I5542="","",I5542/1000000)</x:f>
        <x:v>91.17647058823529</x:v>
      </x:c>
    </x:row>
    <x:row r="5543" ht="21" customHeight="1">
      <x:c r="A5543" s="10" t="n">
        <x:v>7253</x:v>
      </x:c>
      <x:c r="B5543" s="2" t="str">
        <x:v>2a23f3cac5d58aa9944f</x:v>
      </x:c>
      <x:c r="C5543" s="2" t="str">
        <x:v>Hà Nội</x:v>
      </x:c>
      <x:c r="D5543" s="2" t="str">
        <x:v>Quận Tây Hồ</x:v>
      </x:c>
      <x:c r="E5543" s="2" t="str">
        <x:v>other_unknown</x:v>
      </x:c>
      <x:c r="F5543" s="2" t="str">
        <x:v>sale</x:v>
      </x:c>
      <x:c r="G5543" s="11" t="n">
        <x:v>68</x:v>
      </x:c>
      <x:c r="H5543" s="12" t="n">
        <x:v>2250000000</x:v>
      </x:c>
      <x:c r="I5543" s="12" t="n">
        <x:v>33088235.29411765</x:v>
      </x:c>
      <x:c r="J5543" s="2" t="str">
        <x:v>total</x:v>
      </x:c>
      <x:c r="K5543" s="2" t="str">
        <x:v>top_level_area</x:v>
      </x:c>
      <x:c r="L5543" s="2" t="str">
        <x:v>property_type_inferred_from_title;unknown_property_type</x:v>
      </x:c>
      <x:c r="M5543" s="10" t="n">
        <x:v>0</x:v>
      </x:c>
      <x:c r="N5543" s="10" t="n">
        <x:v>0</x:v>
      </x:c>
      <x:c r="O5543" s="2" t="str">
        <x:v>Hà Nội|other_unknown</x:v>
      </x:c>
      <x:c r="P5543" s="10" t="n">
        <x:v>2</x:v>
      </x:c>
      <x:c r="Q5543" s="13" t="n">
        <x:f>IF(H5543="","",H5543/1000000000)</x:f>
        <x:v>2.25</x:v>
      </x:c>
      <x:c r="R5543" s="13" t="n">
        <x:f>IF(I5543="","",I5543/1000000)</x:f>
        <x:v>33.088235294117645</x:v>
      </x:c>
    </x:row>
    <x:row r="5544" ht="21" customHeight="1">
      <x:c r="A5544" s="10" t="n">
        <x:v>7254</x:v>
      </x:c>
      <x:c r="B5544" s="2" t="str">
        <x:v>86892a9b112250035c5a</x:v>
      </x:c>
      <x:c r="C5544" s="2" t="str">
        <x:v>Vĩnh Long</x:v>
      </x:c>
      <x:c r="D5544" s="2" t="str">
        <x:v>Thành phố Vĩnh Long</x:v>
      </x:c>
      <x:c r="E5544" s="2" t="str">
        <x:v>land</x:v>
      </x:c>
      <x:c r="F5544" s="2" t="str">
        <x:v>sale</x:v>
      </x:c>
      <x:c r="G5544" s="11" t="n">
        <x:v>171</x:v>
      </x:c>
      <x:c r="H5544" s="12" t="n">
        <x:v>430000000</x:v>
      </x:c>
      <x:c r="I5544" s="12" t="n">
        <x:v>2514619.8830409357</x:v>
      </x:c>
      <x:c r="J5544" s="2" t="str">
        <x:v>total</x:v>
      </x:c>
      <x:c r="K5544" s="2" t="str">
        <x:v>top_level_area</x:v>
      </x:c>
      <x:c r="L5544" s="2" t="str">
        <x:v>property_type_inferred_from_title</x:v>
      </x:c>
      <x:c r="M5544" s="10" t="n">
        <x:v>0</x:v>
      </x:c>
      <x:c r="N5544" s="10" t="n">
        <x:v>0</x:v>
      </x:c>
      <x:c r="O5544" s="2" t="str">
        <x:v>land</x:v>
      </x:c>
      <x:c r="P5544" s="10" t="n">
        <x:v>1</x:v>
      </x:c>
      <x:c r="Q5544" s="13" t="n">
        <x:f>IF(H5544="","",H5544/1000000000)</x:f>
        <x:v>0.43</x:v>
      </x:c>
      <x:c r="R5544" s="13" t="n">
        <x:f>IF(I5544="","",I5544/1000000)</x:f>
        <x:v>2.5146198830409356</x:v>
      </x:c>
    </x:row>
    <x:row r="5545" ht="21" customHeight="1">
      <x:c r="A5545" s="10" t="n">
        <x:v>7255</x:v>
      </x:c>
      <x:c r="B5545" s="2" t="str">
        <x:v>802f35882328389ae9b2</x:v>
      </x:c>
      <x:c r="C5545" s="2" t="str">
        <x:v>Đà Nẵng</x:v>
      </x:c>
      <x:c r="D5545" s="2" t="str">
        <x:v>Quận Ngũ Hành Sơn</x:v>
      </x:c>
      <x:c r="E5545" s="2" t="str">
        <x:v>land</x:v>
      </x:c>
      <x:c r="F5545" s="2" t="str">
        <x:v>sale</x:v>
      </x:c>
      <x:c r="G5545" s="11" t="n">
        <x:v>100</x:v>
      </x:c>
      <x:c r="H5545" s="12" t="n">
        <x:v>1950000000</x:v>
      </x:c>
      <x:c r="I5545" s="12" t="n">
        <x:v>19500000</x:v>
      </x:c>
      <x:c r="J5545" s="2" t="str">
        <x:v>total</x:v>
      </x:c>
      <x:c r="K5545" s="2" t="str">
        <x:v>top_level_area</x:v>
      </x:c>
      <x:c r="L5545" s="2" t="str">
        <x:v>property_type_inferred_from_title</x:v>
      </x:c>
      <x:c r="M5545" s="10" t="n">
        <x:v>0</x:v>
      </x:c>
      <x:c r="N5545" s="10" t="n">
        <x:v>0</x:v>
      </x:c>
      <x:c r="O5545" s="2" t="str">
        <x:v>Đà Nẵng|land</x:v>
      </x:c>
      <x:c r="P5545" s="10" t="n">
        <x:v>2</x:v>
      </x:c>
      <x:c r="Q5545" s="13" t="n">
        <x:f>IF(H5545="","",H5545/1000000000)</x:f>
        <x:v>1.95</x:v>
      </x:c>
      <x:c r="R5545" s="13" t="n">
        <x:f>IF(I5545="","",I5545/1000000)</x:f>
        <x:v>19.5</x:v>
      </x:c>
    </x:row>
    <x:row r="5546" ht="21" customHeight="1">
      <x:c r="A5546" s="10" t="n">
        <x:v>7256</x:v>
      </x:c>
      <x:c r="B5546" s="2" t="str">
        <x:v>4a5843b9b37844045011</x:v>
      </x:c>
      <x:c r="C5546" s="2" t="str">
        <x:v>Tp Hồ Chí Minh</x:v>
      </x:c>
      <x:c r="D5546" s="2" t="str">
        <x:v>Quận 12</x:v>
      </x:c>
      <x:c r="E5546" s="2" t="str">
        <x:v>apartment</x:v>
      </x:c>
      <x:c r="F5546" s="2" t="str">
        <x:v>sale_assumed</x:v>
      </x:c>
      <x:c r="G5546" s="11" t="n">
        <x:v>66</x:v>
      </x:c>
      <x:c r="H5546" s="12" t="n">
        <x:v>1660000000</x:v>
      </x:c>
      <x:c r="I5546" s="12" t="n">
        <x:v>25151515.151515152</x:v>
      </x:c>
      <x:c r="J5546" s="2" t="str">
        <x:v>total</x:v>
      </x:c>
      <x:c r="K5546" s="2" t="str">
        <x:v>top_level_area</x:v>
      </x:c>
      <x:c r="L5546" s="2" t="str">
        <x:v>property_type_inferred_from_title;transaction_assumed_sale_from_dataset_context</x:v>
      </x:c>
      <x:c r="M5546" s="10" t="n">
        <x:v>0</x:v>
      </x:c>
      <x:c r="N5546" s="10" t="n">
        <x:v>0</x:v>
      </x:c>
      <x:c r="O5546" s="2" t="str">
        <x:v>Tp Hồ Chí Minh|apartment</x:v>
      </x:c>
      <x:c r="P5546" s="10" t="n">
        <x:v>2</x:v>
      </x:c>
      <x:c r="Q5546" s="13" t="n">
        <x:f>IF(H5546="","",H5546/1000000000)</x:f>
        <x:v>1.66</x:v>
      </x:c>
      <x:c r="R5546" s="13" t="n">
        <x:f>IF(I5546="","",I5546/1000000)</x:f>
        <x:v>25.151515151515152</x:v>
      </x:c>
    </x:row>
    <x:row r="5547" ht="21" customHeight="1">
      <x:c r="A5547" s="10" t="n">
        <x:v>7257</x:v>
      </x:c>
      <x:c r="B5547" s="2" t="str">
        <x:v>fd326d38c867c0ce52a0</x:v>
      </x:c>
      <x:c r="C5547" s="2" t="str">
        <x:v>Đồng Nai</x:v>
      </x:c>
      <x:c r="D5547" s="2" t="str">
        <x:v>Thành phố Biên Hòa</x:v>
      </x:c>
      <x:c r="E5547" s="2" t="str">
        <x:v>house</x:v>
      </x:c>
      <x:c r="F5547" s="2" t="str">
        <x:v>sale_assumed</x:v>
      </x:c>
      <x:c r="G5547" s="11" t="n">
        <x:v>490</x:v>
      </x:c>
      <x:c r="H5547" s="12" t="n">
        <x:v>3500000000</x:v>
      </x:c>
      <x:c r="I5547" s="12" t="n">
        <x:v>7142857.142857143</x:v>
      </x:c>
      <x:c r="J5547" s="2" t="str">
        <x:v>total</x:v>
      </x:c>
      <x:c r="K5547" s="2" t="str">
        <x:v>top_level_area</x:v>
      </x:c>
      <x:c r="L5547" s="2" t="str">
        <x:v>property_type_inferred_from_title;transaction_assumed_sale_from_dataset_context</x:v>
      </x:c>
      <x:c r="M5547" s="10" t="n">
        <x:v>0</x:v>
      </x:c>
      <x:c r="N5547" s="10" t="n">
        <x:v>0</x:v>
      </x:c>
      <x:c r="O5547" s="2" t="str">
        <x:v>Đồng Nai|house</x:v>
      </x:c>
      <x:c r="P5547" s="10" t="n">
        <x:v>1</x:v>
      </x:c>
      <x:c r="Q5547" s="13" t="n">
        <x:f>IF(H5547="","",H5547/1000000000)</x:f>
        <x:v>3.5</x:v>
      </x:c>
      <x:c r="R5547" s="13" t="n">
        <x:f>IF(I5547="","",I5547/1000000)</x:f>
        <x:v>7.142857142857142</x:v>
      </x:c>
    </x:row>
    <x:row r="5548" ht="21" customHeight="1">
      <x:c r="A5548" s="10" t="n">
        <x:v>7258</x:v>
      </x:c>
      <x:c r="B5548" s="2" t="str">
        <x:v>42d57d072013977788aa</x:v>
      </x:c>
      <x:c r="C5548" s="2" t="str">
        <x:v>Tp Hồ Chí Minh</x:v>
      </x:c>
      <x:c r="D5548" s="2" t="str">
        <x:v>Quận 11</x:v>
      </x:c>
      <x:c r="E5548" s="2" t="str">
        <x:v>house</x:v>
      </x:c>
      <x:c r="F5548" s="2" t="str">
        <x:v>sale</x:v>
      </x:c>
      <x:c r="G5548" s="11" t="n">
        <x:v>44</x:v>
      </x:c>
      <x:c r="H5548" s="12" t="n">
        <x:v>5400000000</x:v>
      </x:c>
      <x:c r="I5548" s="12" t="n">
        <x:v>122727272.72727273</x:v>
      </x:c>
      <x:c r="J5548" s="2" t="str">
        <x:v>total</x:v>
      </x:c>
      <x:c r="K5548" s="2" t="str">
        <x:v>top_level_area</x:v>
      </x:c>
      <x:c r="L5548" s="2" t="str">
        <x:v>property_type_inferred_from_title</x:v>
      </x:c>
      <x:c r="M5548" s="10" t="n">
        <x:v>0</x:v>
      </x:c>
      <x:c r="N5548" s="10" t="n">
        <x:v>0</x:v>
      </x:c>
      <x:c r="O5548" s="2" t="str">
        <x:v>Tp Hồ Chí Minh|house</x:v>
      </x:c>
      <x:c r="P5548" s="10" t="n">
        <x:v>2</x:v>
      </x:c>
      <x:c r="Q5548" s="13" t="n">
        <x:f>IF(H5548="","",H5548/1000000000)</x:f>
        <x:v>5.4</x:v>
      </x:c>
      <x:c r="R5548" s="13" t="n">
        <x:f>IF(I5548="","",I5548/1000000)</x:f>
        <x:v>122.72727272727273</x:v>
      </x:c>
    </x:row>
    <x:row r="5549" ht="21" customHeight="1">
      <x:c r="A5549" s="10" t="n">
        <x:v>7259</x:v>
      </x:c>
      <x:c r="B5549" s="2" t="str">
        <x:v>d43156785ba7028e518b</x:v>
      </x:c>
      <x:c r="C5549" s="2" t="str">
        <x:v>Tp Hồ Chí Minh</x:v>
      </x:c>
      <x:c r="D5549" s="2" t="str">
        <x:v>Quận Bình Thạnh</x:v>
      </x:c>
      <x:c r="E5549" s="2" t="str">
        <x:v>house</x:v>
      </x:c>
      <x:c r="F5549" s="2" t="str">
        <x:v>sale_assumed</x:v>
      </x:c>
      <x:c r="G5549" s="11" t="n">
        <x:v>36</x:v>
      </x:c>
      <x:c r="H5549" s="12" t="n">
        <x:v>5390000000</x:v>
      </x:c>
      <x:c r="I5549" s="12" t="n">
        <x:v>149722222.2222222</x:v>
      </x:c>
      <x:c r="J5549" s="2" t="str">
        <x:v>total</x:v>
      </x:c>
      <x:c r="K5549" s="2" t="str">
        <x:v>top_level_area</x:v>
      </x:c>
      <x:c r="L5549" s="2" t="str">
        <x:v>property_type_inferred_from_title;transaction_assumed_sale_from_dataset_context</x:v>
      </x:c>
      <x:c r="M5549" s="10" t="n">
        <x:v>0</x:v>
      </x:c>
      <x:c r="N5549" s="10" t="n">
        <x:v>0</x:v>
      </x:c>
      <x:c r="O5549" s="2" t="str">
        <x:v>Tp Hồ Chí Minh|house</x:v>
      </x:c>
      <x:c r="P5549" s="10" t="n">
        <x:v>2</x:v>
      </x:c>
      <x:c r="Q5549" s="13" t="n">
        <x:f>IF(H5549="","",H5549/1000000000)</x:f>
        <x:v>5.39</x:v>
      </x:c>
      <x:c r="R5549" s="13" t="n">
        <x:f>IF(I5549="","",I5549/1000000)</x:f>
        <x:v>149.7222222222222</x:v>
      </x:c>
    </x:row>
    <x:row r="5550" ht="21" customHeight="1">
      <x:c r="A5550" s="10" t="n">
        <x:v>7260</x:v>
      </x:c>
      <x:c r="B5550" s="2" t="str">
        <x:v>60b24efe9959fa3c3a4b</x:v>
      </x:c>
      <x:c r="C5550" s="2" t="str">
        <x:v>Tp Hồ Chí Minh</x:v>
      </x:c>
      <x:c r="D5550" s="2" t="str">
        <x:v>Quận 3</x:v>
      </x:c>
      <x:c r="E5550" s="2" t="str">
        <x:v>house</x:v>
      </x:c>
      <x:c r="F5550" s="2" t="str">
        <x:v>sale_assumed</x:v>
      </x:c>
      <x:c r="G5550" s="11" t="n">
        <x:v>68</x:v>
      </x:c>
      <x:c r="H5550" s="12" t="n">
        <x:v>10000000000</x:v>
      </x:c>
      <x:c r="I5550" s="12" t="n">
        <x:v>147058823.52941176</x:v>
      </x:c>
      <x:c r="J5550" s="2" t="str">
        <x:v>total</x:v>
      </x:c>
      <x:c r="K5550" s="2" t="str">
        <x:v>top_level_area</x:v>
      </x:c>
      <x:c r="L5550" s="2" t="str">
        <x:v>property_type_inferred_from_title;transaction_assumed_sale_from_dataset_context</x:v>
      </x:c>
      <x:c r="M5550" s="10" t="n">
        <x:v>0</x:v>
      </x:c>
      <x:c r="N5550" s="10" t="n">
        <x:v>0</x:v>
      </x:c>
      <x:c r="O5550" s="2" t="str">
        <x:v>Tp Hồ Chí Minh|house</x:v>
      </x:c>
      <x:c r="P5550" s="10" t="n">
        <x:v>2</x:v>
      </x:c>
      <x:c r="Q5550" s="13" t="n">
        <x:f>IF(H5550="","",H5550/1000000000)</x:f>
        <x:v>10</x:v>
      </x:c>
      <x:c r="R5550" s="13" t="n">
        <x:f>IF(I5550="","",I5550/1000000)</x:f>
        <x:v>147.05882352941177</x:v>
      </x:c>
    </x:row>
    <x:row r="5551" ht="21" customHeight="1">
      <x:c r="A5551" s="10" t="n">
        <x:v>7261</x:v>
      </x:c>
      <x:c r="B5551" s="2" t="str">
        <x:v>fb92feab4790b324ce6c</x:v>
      </x:c>
      <x:c r="C5551" s="2" t="str">
        <x:v>Nghệ An</x:v>
      </x:c>
      <x:c r="D5551" s="2" t="str">
        <x:v>Thành phố Vinh</x:v>
      </x:c>
      <x:c r="E5551" s="2" t="str">
        <x:v>other_unknown</x:v>
      </x:c>
      <x:c r="F5551" s="2" t="str">
        <x:v>sale</x:v>
      </x:c>
      <x:c r="G5551" s="11" t="n">
        <x:v>150</x:v>
      </x:c>
      <x:c r="H5551" s="12" t="n">
        <x:v>6750000000</x:v>
      </x:c>
      <x:c r="I5551" s="12" t="n">
        <x:v>45000000</x:v>
      </x:c>
      <x:c r="J5551" s="2" t="str">
        <x:v>total</x:v>
      </x:c>
      <x:c r="K5551" s="2" t="str">
        <x:v>top_level_area</x:v>
      </x:c>
      <x:c r="L5551" s="2" t="str">
        <x:v>property_type_inferred_from_title;unknown_property_type</x:v>
      </x:c>
      <x:c r="M5551" s="10" t="n">
        <x:v>0</x:v>
      </x:c>
      <x:c r="N5551" s="10" t="n">
        <x:v>0</x:v>
      </x:c>
      <x:c r="O5551" s="2" t="str">
        <x:v>other_unknown</x:v>
      </x:c>
      <x:c r="P5551" s="10" t="n">
        <x:v>2</x:v>
      </x:c>
      <x:c r="Q5551" s="13" t="n">
        <x:f>IF(H5551="","",H5551/1000000000)</x:f>
        <x:v>6.75</x:v>
      </x:c>
      <x:c r="R5551" s="13" t="n">
        <x:f>IF(I5551="","",I5551/1000000)</x:f>
        <x:v>45</x:v>
      </x:c>
    </x:row>
    <x:row r="5552" ht="21" customHeight="1">
      <x:c r="A5552" s="10" t="n">
        <x:v>7262</x:v>
      </x:c>
      <x:c r="B5552" s="2" t="str">
        <x:v>b05b2da7298516197ac0</x:v>
      </x:c>
      <x:c r="C5552" s="2" t="str">
        <x:v>Đồng Nai</x:v>
      </x:c>
      <x:c r="D5552" s="2" t="str">
        <x:v>Thành phố Long Khánh</x:v>
      </x:c>
      <x:c r="E5552" s="2" t="str">
        <x:v>land</x:v>
      </x:c>
      <x:c r="F5552" s="2" t="str">
        <x:v>sale_assumed</x:v>
      </x:c>
      <x:c r="G5552" s="11" t="n">
        <x:v>4000</x:v>
      </x:c>
      <x:c r="H5552" s="12" t="n">
        <x:v>1900000000</x:v>
      </x:c>
      <x:c r="I5552" s="12" t="n">
        <x:v>475000</x:v>
      </x:c>
      <x:c r="J5552" s="2" t="str">
        <x:v>total</x:v>
      </x:c>
      <x:c r="K5552" s="2" t="str">
        <x:v>top_level_area</x:v>
      </x:c>
      <x:c r="L5552" s="2" t="str">
        <x:v>dot_thousands_convention;property_type_inferred_from_title;transaction_assumed_sale_from_dataset_context</x:v>
      </x:c>
      <x:c r="M5552" s="10" t="n">
        <x:v>0</x:v>
      </x:c>
      <x:c r="N5552" s="10" t="n">
        <x:v>0</x:v>
      </x:c>
      <x:c r="O5552" s="2" t="str">
        <x:v>Đồng Nai|land</x:v>
      </x:c>
      <x:c r="P5552" s="10" t="n">
        <x:v>1</x:v>
      </x:c>
      <x:c r="Q5552" s="13" t="n">
        <x:f>IF(H5552="","",H5552/1000000000)</x:f>
        <x:v>1.9</x:v>
      </x:c>
      <x:c r="R5552" s="13" t="n">
        <x:f>IF(I5552="","",I5552/1000000)</x:f>
        <x:v>0.475</x:v>
      </x:c>
    </x:row>
    <x:row r="5553" ht="21" customHeight="1">
      <x:c r="A5553" s="10" t="n">
        <x:v>7263</x:v>
      </x:c>
      <x:c r="B5553" s="2" t="str">
        <x:v>b9006f6981090ef8d820</x:v>
      </x:c>
      <x:c r="C5553" s="2" t="str">
        <x:v>Tp Hồ Chí Minh</x:v>
      </x:c>
      <x:c r="D5553" s="2" t="str">
        <x:v>Quận Tân Phú</x:v>
      </x:c>
      <x:c r="E5553" s="2" t="str">
        <x:v>apartment</x:v>
      </x:c>
      <x:c r="F5553" s="2" t="str">
        <x:v>sale_assumed</x:v>
      </x:c>
      <x:c r="G5553" s="11" t="n">
        <x:v>65</x:v>
      </x:c>
      <x:c r="H5553" s="12" t="n">
        <x:v>3100000000</x:v>
      </x:c>
      <x:c r="I5553" s="12" t="n">
        <x:v>47692307.692307696</x:v>
      </x:c>
      <x:c r="J5553" s="2" t="str">
        <x:v>total</x:v>
      </x:c>
      <x:c r="K5553" s="2" t="str">
        <x:v>top_level_area</x:v>
      </x:c>
      <x:c r="L5553" s="2" t="str">
        <x:v>property_type_inferred_from_title;transaction_assumed_sale_from_dataset_context</x:v>
      </x:c>
      <x:c r="M5553" s="10" t="n">
        <x:v>0</x:v>
      </x:c>
      <x:c r="N5553" s="10" t="n">
        <x:v>0</x:v>
      </x:c>
      <x:c r="O5553" s="2" t="str">
        <x:v>Tp Hồ Chí Minh|apartment</x:v>
      </x:c>
      <x:c r="P5553" s="10" t="n">
        <x:v>2</x:v>
      </x:c>
      <x:c r="Q5553" s="13" t="n">
        <x:f>IF(H5553="","",H5553/1000000000)</x:f>
        <x:v>3.1</x:v>
      </x:c>
      <x:c r="R5553" s="13" t="n">
        <x:f>IF(I5553="","",I5553/1000000)</x:f>
        <x:v>47.69230769230769</x:v>
      </x:c>
    </x:row>
    <x:row r="5554" ht="21" customHeight="1">
      <x:c r="A5554" s="10" t="n">
        <x:v>7264</x:v>
      </x:c>
      <x:c r="B5554" s="2" t="str">
        <x:v>3da7e2ff5c54637fdd3e</x:v>
      </x:c>
      <x:c r="C5554" s="2" t="str">
        <x:v>Hà Nội</x:v>
      </x:c>
      <x:c r="D5554" s="2" t="str">
        <x:v>Quận Thanh Xuân</x:v>
      </x:c>
      <x:c r="E5554" s="2" t="str">
        <x:v>house</x:v>
      </x:c>
      <x:c r="F5554" s="2" t="str">
        <x:v>sale</x:v>
      </x:c>
      <x:c r="G5554" s="11" t="n">
        <x:v>45</x:v>
      </x:c>
      <x:c r="H5554" s="12" t="n">
        <x:v>3900000000</x:v>
      </x:c>
      <x:c r="I5554" s="12" t="n">
        <x:v>86666666.66666667</x:v>
      </x:c>
      <x:c r="J5554" s="2" t="str">
        <x:v>total</x:v>
      </x:c>
      <x:c r="K5554" s="2" t="str">
        <x:v>top_level_area</x:v>
      </x:c>
      <x:c r="L5554" s="2" t="str">
        <x:v>property_type_inferred_from_title</x:v>
      </x:c>
      <x:c r="M5554" s="10" t="n">
        <x:v>0</x:v>
      </x:c>
      <x:c r="N5554" s="10" t="n">
        <x:v>0</x:v>
      </x:c>
      <x:c r="O5554" s="2" t="str">
        <x:v>Hà Nội|house</x:v>
      </x:c>
      <x:c r="P5554" s="10" t="n">
        <x:v>2</x:v>
      </x:c>
      <x:c r="Q5554" s="13" t="n">
        <x:f>IF(H5554="","",H5554/1000000000)</x:f>
        <x:v>3.9</x:v>
      </x:c>
      <x:c r="R5554" s="13" t="n">
        <x:f>IF(I5554="","",I5554/1000000)</x:f>
        <x:v>86.66666666666667</x:v>
      </x:c>
    </x:row>
    <x:row r="5555" ht="21" customHeight="1">
      <x:c r="A5555" s="10" t="n">
        <x:v>7265</x:v>
      </x:c>
      <x:c r="B5555" s="2" t="str">
        <x:v>9e1b759d9b93be6a206a</x:v>
      </x:c>
      <x:c r="C5555" s="2" t="str">
        <x:v>Hà Nội</x:v>
      </x:c>
      <x:c r="D5555" s="2" t="str">
        <x:v>Quận Hà Đông</x:v>
      </x:c>
      <x:c r="E5555" s="2" t="str">
        <x:v>house</x:v>
      </x:c>
      <x:c r="F5555" s="2" t="str">
        <x:v>sale_assumed</x:v>
      </x:c>
      <x:c r="G5555" s="11" t="n">
        <x:v>32</x:v>
      </x:c>
      <x:c r="H5555" s="12" t="n">
        <x:v>1420000000</x:v>
      </x:c>
      <x:c r="I5555" s="12" t="n">
        <x:v>44375000</x:v>
      </x:c>
      <x:c r="J5555" s="2" t="str">
        <x:v>total</x:v>
      </x:c>
      <x:c r="K5555" s="2" t="str">
        <x:v>top_level_area</x:v>
      </x:c>
      <x:c r="L5555" s="2" t="str">
        <x:v>property_type_inferred_from_title;transaction_assumed_sale_from_dataset_context</x:v>
      </x:c>
      <x:c r="M5555" s="10" t="n">
        <x:v>0</x:v>
      </x:c>
      <x:c r="N5555" s="10" t="n">
        <x:v>0</x:v>
      </x:c>
      <x:c r="O5555" s="2" t="str">
        <x:v>Hà Nội|house</x:v>
      </x:c>
      <x:c r="P5555" s="10" t="n">
        <x:v>2</x:v>
      </x:c>
      <x:c r="Q5555" s="13" t="n">
        <x:f>IF(H5555="","",H5555/1000000000)</x:f>
        <x:v>1.42</x:v>
      </x:c>
      <x:c r="R5555" s="13" t="n">
        <x:f>IF(I5555="","",I5555/1000000)</x:f>
        <x:v>44.375</x:v>
      </x:c>
    </x:row>
    <x:row r="5556" ht="21" customHeight="1">
      <x:c r="A5556" s="10" t="n">
        <x:v>7266</x:v>
      </x:c>
      <x:c r="B5556" s="2" t="str">
        <x:v>997f3816daf35ba68b43</x:v>
      </x:c>
      <x:c r="C5556" s="2" t="str">
        <x:v>Cần Thơ</x:v>
      </x:c>
      <x:c r="D5556" s="2" t="str">
        <x:v>Quận Bình Thuỷ</x:v>
      </x:c>
      <x:c r="E5556" s="2" t="str">
        <x:v>land</x:v>
      </x:c>
      <x:c r="F5556" s="2" t="str">
        <x:v>sale</x:v>
      </x:c>
      <x:c r="G5556" s="11" t="n">
        <x:v>56</x:v>
      </x:c>
      <x:c r="H5556" s="12" t="n">
        <x:v>1590000000</x:v>
      </x:c>
      <x:c r="I5556" s="12" t="n">
        <x:v>28392857.14285714</x:v>
      </x:c>
      <x:c r="J5556" s="2" t="str">
        <x:v>total</x:v>
      </x:c>
      <x:c r="K5556" s="2" t="str">
        <x:v>top_level_area</x:v>
      </x:c>
      <x:c r="L5556" s="2" t="str">
        <x:v>property_type_inferred_from_title</x:v>
      </x:c>
      <x:c r="M5556" s="10" t="n">
        <x:v>0</x:v>
      </x:c>
      <x:c r="N5556" s="10" t="n">
        <x:v>0</x:v>
      </x:c>
      <x:c r="O5556" s="2" t="str">
        <x:v>Cần Thơ|land</x:v>
      </x:c>
      <x:c r="P5556" s="10" t="n">
        <x:v>2</x:v>
      </x:c>
      <x:c r="Q5556" s="13" t="n">
        <x:f>IF(H5556="","",H5556/1000000000)</x:f>
        <x:v>1.59</x:v>
      </x:c>
      <x:c r="R5556" s="13" t="n">
        <x:f>IF(I5556="","",I5556/1000000)</x:f>
        <x:v>28.392857142857142</x:v>
      </x:c>
    </x:row>
    <x:row r="5557" ht="21" customHeight="1">
      <x:c r="A5557" s="10" t="n">
        <x:v>7268</x:v>
      </x:c>
      <x:c r="B5557" s="2" t="str">
        <x:v>c77c9f55334d481e4bb4</x:v>
      </x:c>
      <x:c r="C5557" s="2" t="str">
        <x:v>Tp Hồ Chí Minh</x:v>
      </x:c>
      <x:c r="D5557" s="2" t="str">
        <x:v>Quận Tân Bình</x:v>
      </x:c>
      <x:c r="E5557" s="2" t="str">
        <x:v>other_unknown</x:v>
      </x:c>
      <x:c r="F5557" s="2" t="str">
        <x:v>sale_assumed</x:v>
      </x:c>
      <x:c r="G5557" s="11" t="n">
        <x:v>96</x:v>
      </x:c>
      <x:c r="H5557" s="12" t="n">
        <x:v>5500000000</x:v>
      </x:c>
      <x:c r="I5557" s="12" t="n">
        <x:v>57291666.666666664</x:v>
      </x:c>
      <x:c r="J5557" s="2" t="str">
        <x:v>total</x:v>
      </x:c>
      <x:c r="K5557" s="2" t="str">
        <x:v>top_level_area</x:v>
      </x:c>
      <x:c r="L5557" s="2" t="str">
        <x:v>property_type_inferred_from_title;transaction_assumed_sale_from_dataset_context;unknown_property_type</x:v>
      </x:c>
      <x:c r="M5557" s="10" t="n">
        <x:v>0</x:v>
      </x:c>
      <x:c r="N5557" s="10" t="n">
        <x:v>0</x:v>
      </x:c>
      <x:c r="O5557" s="2" t="str">
        <x:v>Tp Hồ Chí Minh|other_unknown</x:v>
      </x:c>
      <x:c r="P5557" s="10" t="n">
        <x:v>2</x:v>
      </x:c>
      <x:c r="Q5557" s="13" t="n">
        <x:f>IF(H5557="","",H5557/1000000000)</x:f>
        <x:v>5.5</x:v>
      </x:c>
      <x:c r="R5557" s="13" t="n">
        <x:f>IF(I5557="","",I5557/1000000)</x:f>
        <x:v>57.291666666666664</x:v>
      </x:c>
    </x:row>
    <x:row r="5558" ht="21" customHeight="1">
      <x:c r="A5558" s="10" t="n">
        <x:v>7269</x:v>
      </x:c>
      <x:c r="B5558" s="2" t="str">
        <x:v>b000127f83e779005a68</x:v>
      </x:c>
      <x:c r="C5558" s="2" t="str">
        <x:v>Tp Hồ Chí Minh</x:v>
      </x:c>
      <x:c r="D5558" s="2" t="str">
        <x:v>Quận Gò Vấp</x:v>
      </x:c>
      <x:c r="E5558" s="2" t="str">
        <x:v>house</x:v>
      </x:c>
      <x:c r="F5558" s="2" t="str">
        <x:v>sale_assumed</x:v>
      </x:c>
      <x:c r="G5558" s="11" t="n">
        <x:v>57</x:v>
      </x:c>
      <x:c r="H5558" s="12" t="n">
        <x:v>3950000000</x:v>
      </x:c>
      <x:c r="I5558" s="12" t="n">
        <x:v>69298245.61403508</x:v>
      </x:c>
      <x:c r="J5558" s="2" t="str">
        <x:v>total</x:v>
      </x:c>
      <x:c r="K5558" s="2" t="str">
        <x:v>top_level_area</x:v>
      </x:c>
      <x:c r="L5558" s="2" t="str">
        <x:v>property_type_inferred_from_title;transaction_assumed_sale_from_dataset_context</x:v>
      </x:c>
      <x:c r="M5558" s="10" t="n">
        <x:v>0</x:v>
      </x:c>
      <x:c r="N5558" s="10" t="n">
        <x:v>0</x:v>
      </x:c>
      <x:c r="O5558" s="2" t="str">
        <x:v>Tp Hồ Chí Minh|house</x:v>
      </x:c>
      <x:c r="P5558" s="10" t="n">
        <x:v>2</x:v>
      </x:c>
      <x:c r="Q5558" s="13" t="n">
        <x:f>IF(H5558="","",H5558/1000000000)</x:f>
        <x:v>3.95</x:v>
      </x:c>
      <x:c r="R5558" s="13" t="n">
        <x:f>IF(I5558="","",I5558/1000000)</x:f>
        <x:v>69.29824561403508</x:v>
      </x:c>
    </x:row>
    <x:row r="5559" ht="21" customHeight="1">
      <x:c r="A5559" s="10" t="n">
        <x:v>7270</x:v>
      </x:c>
      <x:c r="B5559" s="2" t="str">
        <x:v>0bc219df69f9b598694c</x:v>
      </x:c>
      <x:c r="C5559" s="2" t="str">
        <x:v>Đồng Nai</x:v>
      </x:c>
      <x:c r="D5559" s="2" t="str">
        <x:v>Huyện Long Thành</x:v>
      </x:c>
      <x:c r="E5559" s="2" t="str">
        <x:v>other_unknown</x:v>
      </x:c>
      <x:c r="F5559" s="2" t="str">
        <x:v>sale_assumed</x:v>
      </x:c>
      <x:c r="G5559" s="11" t="n">
        <x:v>212</x:v>
      </x:c>
      <x:c r="H5559" s="12" t="n">
        <x:v>3500000000</x:v>
      </x:c>
      <x:c r="I5559" s="12" t="n">
        <x:v>16509433.96226415</x:v>
      </x:c>
      <x:c r="J5559" s="2" t="str">
        <x:v>total</x:v>
      </x:c>
      <x:c r="K5559" s="2" t="str">
        <x:v>top_level_area</x:v>
      </x:c>
      <x:c r="L5559" s="2" t="str">
        <x:v>property_type_inferred_from_title;transaction_assumed_sale_from_dataset_context;unknown_property_type</x:v>
      </x:c>
      <x:c r="M5559" s="10" t="n">
        <x:v>0</x:v>
      </x:c>
      <x:c r="N5559" s="10" t="n">
        <x:v>0</x:v>
      </x:c>
      <x:c r="O5559" s="2" t="str">
        <x:v>Đồng Nai|other_unknown</x:v>
      </x:c>
      <x:c r="P5559" s="10" t="n">
        <x:v>2</x:v>
      </x:c>
      <x:c r="Q5559" s="13" t="n">
        <x:f>IF(H5559="","",H5559/1000000000)</x:f>
        <x:v>3.5</x:v>
      </x:c>
      <x:c r="R5559" s="13" t="n">
        <x:f>IF(I5559="","",I5559/1000000)</x:f>
        <x:v>16.50943396226415</x:v>
      </x:c>
    </x:row>
    <x:row r="5560" ht="21" customHeight="1">
      <x:c r="A5560" s="10" t="n">
        <x:v>7273</x:v>
      </x:c>
      <x:c r="B5560" s="2" t="str">
        <x:v>d93d0f6026643f5f9dd6</x:v>
      </x:c>
      <x:c r="C5560" s="2" t="str">
        <x:v>Tp Hồ Chí Minh</x:v>
      </x:c>
      <x:c r="D5560" s="2" t="str">
        <x:v>Quận 10</x:v>
      </x:c>
      <x:c r="E5560" s="2" t="str">
        <x:v>house</x:v>
      </x:c>
      <x:c r="F5560" s="2" t="str">
        <x:v>sale</x:v>
      </x:c>
      <x:c r="G5560" s="11" t="n">
        <x:v>60</x:v>
      </x:c>
      <x:c r="H5560" s="12" t="n">
        <x:v>1250000000</x:v>
      </x:c>
      <x:c r="I5560" s="12" t="n">
        <x:v>20833333.333333332</x:v>
      </x:c>
      <x:c r="J5560" s="2" t="str">
        <x:v>total</x:v>
      </x:c>
      <x:c r="K5560" s="2" t="str">
        <x:v>top_level_area</x:v>
      </x:c>
      <x:c r="L5560" s="2" t="str">
        <x:v>property_type_inferred_from_title</x:v>
      </x:c>
      <x:c r="M5560" s="10" t="n">
        <x:v>0</x:v>
      </x:c>
      <x:c r="N5560" s="10" t="n">
        <x:v>0</x:v>
      </x:c>
      <x:c r="O5560" s="2" t="str">
        <x:v>Tp Hồ Chí Minh|house</x:v>
      </x:c>
      <x:c r="P5560" s="10" t="n">
        <x:v>2</x:v>
      </x:c>
      <x:c r="Q5560" s="13" t="n">
        <x:f>IF(H5560="","",H5560/1000000000)</x:f>
        <x:v>1.25</x:v>
      </x:c>
      <x:c r="R5560" s="13" t="n">
        <x:f>IF(I5560="","",I5560/1000000)</x:f>
        <x:v>20.833333333333332</x:v>
      </x:c>
    </x:row>
    <x:row r="5561" ht="21" customHeight="1">
      <x:c r="A5561" s="10" t="n">
        <x:v>7274</x:v>
      </x:c>
      <x:c r="B5561" s="2" t="str">
        <x:v>1bf9a85336d7f3baa95e</x:v>
      </x:c>
      <x:c r="C5561" s="2" t="str">
        <x:v>Cần Thơ</x:v>
      </x:c>
      <x:c r="D5561" s="2" t="str">
        <x:v>Quận Cái Răng</x:v>
      </x:c>
      <x:c r="E5561" s="2" t="str">
        <x:v>land</x:v>
      </x:c>
      <x:c r="F5561" s="2" t="str">
        <x:v>sale_assumed</x:v>
      </x:c>
      <x:c r="G5561" s="11" t="n">
        <x:v>103</x:v>
      </x:c>
      <x:c r="H5561" s="12" t="n">
        <x:v>2400000000</x:v>
      </x:c>
      <x:c r="I5561" s="12" t="n">
        <x:v>23300970.87378641</x:v>
      </x:c>
      <x:c r="J5561" s="2" t="str">
        <x:v>total</x:v>
      </x:c>
      <x:c r="K5561" s="2" t="str">
        <x:v>top_level_area</x:v>
      </x:c>
      <x:c r="L5561" s="2" t="str">
        <x:v>property_type_inferred_from_title;transaction_assumed_sale_from_dataset_context</x:v>
      </x:c>
      <x:c r="M5561" s="10" t="n">
        <x:v>0</x:v>
      </x:c>
      <x:c r="N5561" s="10" t="n">
        <x:v>0</x:v>
      </x:c>
      <x:c r="O5561" s="2" t="str">
        <x:v>Cần Thơ|land</x:v>
      </x:c>
      <x:c r="P5561" s="10" t="n">
        <x:v>2</x:v>
      </x:c>
      <x:c r="Q5561" s="13" t="n">
        <x:f>IF(H5561="","",H5561/1000000000)</x:f>
        <x:v>2.4</x:v>
      </x:c>
      <x:c r="R5561" s="13" t="n">
        <x:f>IF(I5561="","",I5561/1000000)</x:f>
        <x:v>23.300970873786408</x:v>
      </x:c>
    </x:row>
    <x:row r="5562" ht="21" customHeight="1">
      <x:c r="A5562" s="10" t="n">
        <x:v>7275</x:v>
      </x:c>
      <x:c r="B5562" s="2" t="str">
        <x:v>bc07b0e3a3d8984f7007</x:v>
      </x:c>
      <x:c r="C5562" s="2" t="str">
        <x:v>Đà Nẵng</x:v>
      </x:c>
      <x:c r="D5562" s="2" t="str">
        <x:v>Quận Liên Chiểu</x:v>
      </x:c>
      <x:c r="E5562" s="2" t="str">
        <x:v>house</x:v>
      </x:c>
      <x:c r="F5562" s="2" t="str">
        <x:v>sale</x:v>
      </x:c>
      <x:c r="G5562" s="11" t="n">
        <x:v>100</x:v>
      </x:c>
      <x:c r="H5562" s="12" t="n">
        <x:v>5800000000</x:v>
      </x:c>
      <x:c r="I5562" s="12" t="n">
        <x:v>58000000</x:v>
      </x:c>
      <x:c r="J5562" s="2" t="str">
        <x:v>total</x:v>
      </x:c>
      <x:c r="K5562" s="2" t="str">
        <x:v>top_level_area</x:v>
      </x:c>
      <x:c r="L5562" s="2" t="str">
        <x:v>property_type_inferred_from_title</x:v>
      </x:c>
      <x:c r="M5562" s="10" t="n">
        <x:v>0</x:v>
      </x:c>
      <x:c r="N5562" s="10" t="n">
        <x:v>0</x:v>
      </x:c>
      <x:c r="O5562" s="2" t="str">
        <x:v>Đà Nẵng|house</x:v>
      </x:c>
      <x:c r="P5562" s="10" t="n">
        <x:v>2</x:v>
      </x:c>
      <x:c r="Q5562" s="13" t="n">
        <x:f>IF(H5562="","",H5562/1000000000)</x:f>
        <x:v>5.8</x:v>
      </x:c>
      <x:c r="R5562" s="13" t="n">
        <x:f>IF(I5562="","",I5562/1000000)</x:f>
        <x:v>58</x:v>
      </x:c>
    </x:row>
    <x:row r="5563" ht="21" customHeight="1">
      <x:c r="A5563" s="10" t="n">
        <x:v>7276</x:v>
      </x:c>
      <x:c r="B5563" s="2" t="str">
        <x:v>b4eaae5a7472b78181cb</x:v>
      </x:c>
      <x:c r="C5563" s="2" t="str">
        <x:v>Tp Hồ Chí Minh</x:v>
      </x:c>
      <x:c r="D5563" s="2" t="str">
        <x:v>Quận 12</x:v>
      </x:c>
      <x:c r="E5563" s="2" t="str">
        <x:v>house</x:v>
      </x:c>
      <x:c r="F5563" s="2" t="str">
        <x:v>sale</x:v>
      </x:c>
      <x:c r="G5563" s="11" t="n">
        <x:v>67</x:v>
      </x:c>
      <x:c r="H5563" s="12" t="n">
        <x:v>2800000000</x:v>
      </x:c>
      <x:c r="I5563" s="12" t="n">
        <x:v>41791044.7761194</x:v>
      </x:c>
      <x:c r="J5563" s="2" t="str">
        <x:v>total</x:v>
      </x:c>
      <x:c r="K5563" s="2" t="str">
        <x:v>top_level_area</x:v>
      </x:c>
      <x:c r="L5563" s="2" t="str">
        <x:v>property_type_inferred_from_title</x:v>
      </x:c>
      <x:c r="M5563" s="10" t="n">
        <x:v>0</x:v>
      </x:c>
      <x:c r="N5563" s="10" t="n">
        <x:v>0</x:v>
      </x:c>
      <x:c r="O5563" s="2" t="str">
        <x:v>Tp Hồ Chí Minh|house</x:v>
      </x:c>
      <x:c r="P5563" s="10" t="n">
        <x:v>2</x:v>
      </x:c>
      <x:c r="Q5563" s="13" t="n">
        <x:f>IF(H5563="","",H5563/1000000000)</x:f>
        <x:v>2.8</x:v>
      </x:c>
      <x:c r="R5563" s="13" t="n">
        <x:f>IF(I5563="","",I5563/1000000)</x:f>
        <x:v>41.791044776119406</x:v>
      </x:c>
    </x:row>
    <x:row r="5564" ht="21" customHeight="1">
      <x:c r="A5564" s="10" t="n">
        <x:v>7277</x:v>
      </x:c>
      <x:c r="B5564" s="2" t="str">
        <x:v>c7770a4be622661491d1</x:v>
      </x:c>
      <x:c r="C5564" s="2" t="str">
        <x:v>Kiên Giang</x:v>
      </x:c>
      <x:c r="D5564" s="2" t="str">
        <x:v>Huyện Phú Quốc</x:v>
      </x:c>
      <x:c r="E5564" s="2" t="str">
        <x:v>land</x:v>
      </x:c>
      <x:c r="F5564" s="2" t="str">
        <x:v>sale_assumed</x:v>
      </x:c>
      <x:c r="G5564" s="11" t="n">
        <x:v>140</x:v>
      </x:c>
      <x:c r="H5564" s="12" t="n">
        <x:v>1370000000</x:v>
      </x:c>
      <x:c r="I5564" s="12" t="n">
        <x:v>9785714.285714285</x:v>
      </x:c>
      <x:c r="J5564" s="2" t="str">
        <x:v>total</x:v>
      </x:c>
      <x:c r="K5564" s="2" t="str">
        <x:v>top_level_area</x:v>
      </x:c>
      <x:c r="L5564" s="2" t="str">
        <x:v>property_type_inferred_from_title;transaction_assumed_sale_from_dataset_context</x:v>
      </x:c>
      <x:c r="M5564" s="10" t="n">
        <x:v>0</x:v>
      </x:c>
      <x:c r="N5564" s="10" t="n">
        <x:v>0</x:v>
      </x:c>
      <x:c r="O5564" s="2" t="str">
        <x:v>land</x:v>
      </x:c>
      <x:c r="P5564" s="10" t="n">
        <x:v>2</x:v>
      </x:c>
      <x:c r="Q5564" s="13" t="n">
        <x:f>IF(H5564="","",H5564/1000000000)</x:f>
        <x:v>1.37</x:v>
      </x:c>
      <x:c r="R5564" s="13" t="n">
        <x:f>IF(I5564="","",I5564/1000000)</x:f>
        <x:v>9.785714285714285</x:v>
      </x:c>
    </x:row>
    <x:row r="5565" ht="21" customHeight="1">
      <x:c r="A5565" s="10" t="n">
        <x:v>7278</x:v>
      </x:c>
      <x:c r="B5565" s="2" t="str">
        <x:v>ccdc15b3c601100f585f</x:v>
      </x:c>
      <x:c r="C5565" s="2" t="str">
        <x:v>Hà Nội</x:v>
      </x:c>
      <x:c r="D5565" s="2" t="str">
        <x:v>Quận Hoàng Mai</x:v>
      </x:c>
      <x:c r="E5565" s="2" t="str">
        <x:v>house</x:v>
      </x:c>
      <x:c r="F5565" s="2" t="str">
        <x:v>sale_assumed</x:v>
      </x:c>
      <x:c r="G5565" s="11" t="n">
        <x:v>60</x:v>
      </x:c>
      <x:c r="H5565" s="12" t="n">
        <x:v>2400000000</x:v>
      </x:c>
      <x:c r="I5565" s="12" t="n">
        <x:v>40000000</x:v>
      </x:c>
      <x:c r="J5565" s="2" t="str">
        <x:v>total</x:v>
      </x:c>
      <x:c r="K5565" s="2" t="str">
        <x:v>top_level_area</x:v>
      </x:c>
      <x:c r="L5565" s="2" t="str">
        <x:v>property_type_inferred_from_title;transaction_assumed_sale_from_dataset_context</x:v>
      </x:c>
      <x:c r="M5565" s="10" t="n">
        <x:v>0</x:v>
      </x:c>
      <x:c r="N5565" s="10" t="n">
        <x:v>0</x:v>
      </x:c>
      <x:c r="O5565" s="2" t="str">
        <x:v>Hà Nội|house</x:v>
      </x:c>
      <x:c r="P5565" s="10" t="n">
        <x:v>2</x:v>
      </x:c>
      <x:c r="Q5565" s="13" t="n">
        <x:f>IF(H5565="","",H5565/1000000000)</x:f>
        <x:v>2.4</x:v>
      </x:c>
      <x:c r="R5565" s="13" t="n">
        <x:f>IF(I5565="","",I5565/1000000)</x:f>
        <x:v>40</x:v>
      </x:c>
    </x:row>
    <x:row r="5566" ht="21" customHeight="1">
      <x:c r="A5566" s="10" t="n">
        <x:v>7279</x:v>
      </x:c>
      <x:c r="B5566" s="2" t="str">
        <x:v>e25cafe6daba766b3407</x:v>
      </x:c>
      <x:c r="C5566" s="2" t="str">
        <x:v>Tp Hồ Chí Minh</x:v>
      </x:c>
      <x:c r="D5566" s="2" t="str">
        <x:v>Quận Phú Nhuận</x:v>
      </x:c>
      <x:c r="E5566" s="2" t="str">
        <x:v>house</x:v>
      </x:c>
      <x:c r="F5566" s="2" t="str">
        <x:v>sale_assumed</x:v>
      </x:c>
      <x:c r="G5566" s="11" t="n">
        <x:v>32</x:v>
      </x:c>
      <x:c r="H5566" s="12" t="n">
        <x:v>4099999999.9999995</x:v>
      </x:c>
      <x:c r="I5566" s="12" t="n">
        <x:v>128124999.99999999</x:v>
      </x:c>
      <x:c r="J5566" s="2" t="str">
        <x:v>total</x:v>
      </x:c>
      <x:c r="K5566" s="2" t="str">
        <x:v>top_level_area</x:v>
      </x:c>
      <x:c r="L5566" s="2" t="str">
        <x:v>property_type_inferred_from_title;transaction_assumed_sale_from_dataset_context</x:v>
      </x:c>
      <x:c r="M5566" s="10" t="n">
        <x:v>0</x:v>
      </x:c>
      <x:c r="N5566" s="10" t="n">
        <x:v>0</x:v>
      </x:c>
      <x:c r="O5566" s="2" t="str">
        <x:v>Tp Hồ Chí Minh|house</x:v>
      </x:c>
      <x:c r="P5566" s="10" t="n">
        <x:v>2</x:v>
      </x:c>
      <x:c r="Q5566" s="13" t="n">
        <x:f>IF(H5566="","",H5566/1000000000)</x:f>
        <x:v>4.1</x:v>
      </x:c>
      <x:c r="R5566" s="13" t="n">
        <x:f>IF(I5566="","",I5566/1000000)</x:f>
        <x:v>128.12499999999997</x:v>
      </x:c>
    </x:row>
    <x:row r="5567" ht="21" customHeight="1">
      <x:c r="A5567" s="10" t="n">
        <x:v>7280</x:v>
      </x:c>
      <x:c r="B5567" s="2" t="str">
        <x:v>e929cfcfd9e80b4d7fa8</x:v>
      </x:c>
      <x:c r="C5567" s="2" t="str">
        <x:v>Tp Hồ Chí Minh</x:v>
      </x:c>
      <x:c r="D5567" s="2" t="str">
        <x:v>Quận Thủ Đức</x:v>
      </x:c>
      <x:c r="E5567" s="2" t="str">
        <x:v>house</x:v>
      </x:c>
      <x:c r="F5567" s="2" t="str">
        <x:v>sale</x:v>
      </x:c>
      <x:c r="G5567" s="11" t="n">
        <x:v>60</x:v>
      </x:c>
      <x:c r="H5567" s="12" t="n">
        <x:v>820000000</x:v>
      </x:c>
      <x:c r="I5567" s="12" t="n">
        <x:v>13666666.666666666</x:v>
      </x:c>
      <x:c r="J5567" s="2" t="str">
        <x:v>total</x:v>
      </x:c>
      <x:c r="K5567" s="2" t="str">
        <x:v>top_level_area</x:v>
      </x:c>
      <x:c r="L5567" s="2" t="str">
        <x:v>property_type_inferred_from_title</x:v>
      </x:c>
      <x:c r="M5567" s="10" t="n">
        <x:v>0</x:v>
      </x:c>
      <x:c r="N5567" s="10" t="n">
        <x:v>0</x:v>
      </x:c>
      <x:c r="O5567" s="2" t="str">
        <x:v>Tp Hồ Chí Minh|house</x:v>
      </x:c>
      <x:c r="P5567" s="10" t="n">
        <x:v>2</x:v>
      </x:c>
      <x:c r="Q5567" s="13" t="n">
        <x:f>IF(H5567="","",H5567/1000000000)</x:f>
        <x:v>0.82</x:v>
      </x:c>
      <x:c r="R5567" s="13" t="n">
        <x:f>IF(I5567="","",I5567/1000000)</x:f>
        <x:v>13.666666666666666</x:v>
      </x:c>
    </x:row>
    <x:row r="5568" ht="21" customHeight="1">
      <x:c r="A5568" s="10" t="n">
        <x:v>7281</x:v>
      </x:c>
      <x:c r="B5568" s="2" t="str">
        <x:v>d5a0be55c3045acc29da</x:v>
      </x:c>
      <x:c r="C5568" s="2" t="str">
        <x:v>Hà Nội</x:v>
      </x:c>
      <x:c r="D5568" s="2" t="str">
        <x:v>Quận Hà Đông</x:v>
      </x:c>
      <x:c r="E5568" s="2" t="str">
        <x:v>house</x:v>
      </x:c>
      <x:c r="F5568" s="2" t="str">
        <x:v>sale_assumed</x:v>
      </x:c>
      <x:c r="G5568" s="11" t="n">
        <x:v>31</x:v>
      </x:c>
      <x:c r="H5568" s="12" t="n">
        <x:v>1610000000</x:v>
      </x:c>
      <x:c r="I5568" s="12" t="n">
        <x:v>51935483.87096774</x:v>
      </x:c>
      <x:c r="J5568" s="2" t="str">
        <x:v>total</x:v>
      </x:c>
      <x:c r="K5568" s="2" t="str">
        <x:v>top_level_area</x:v>
      </x:c>
      <x:c r="L5568" s="2" t="str">
        <x:v>property_type_inferred_from_title;transaction_assumed_sale_from_dataset_context</x:v>
      </x:c>
      <x:c r="M5568" s="10" t="n">
        <x:v>0</x:v>
      </x:c>
      <x:c r="N5568" s="10" t="n">
        <x:v>0</x:v>
      </x:c>
      <x:c r="O5568" s="2" t="str">
        <x:v>Hà Nội|house</x:v>
      </x:c>
      <x:c r="P5568" s="10" t="n">
        <x:v>2</x:v>
      </x:c>
      <x:c r="Q5568" s="13" t="n">
        <x:f>IF(H5568="","",H5568/1000000000)</x:f>
        <x:v>1.61</x:v>
      </x:c>
      <x:c r="R5568" s="13" t="n">
        <x:f>IF(I5568="","",I5568/1000000)</x:f>
        <x:v>51.93548387096774</x:v>
      </x:c>
    </x:row>
    <x:row r="5569" ht="21" customHeight="1">
      <x:c r="A5569" s="10" t="n">
        <x:v>7282</x:v>
      </x:c>
      <x:c r="B5569" s="2" t="str">
        <x:v>a53719c2b1b40e91b28f</x:v>
      </x:c>
      <x:c r="C5569" s="2" t="str">
        <x:v>Tp Hồ Chí Minh</x:v>
      </x:c>
      <x:c r="D5569" s="2" t="str">
        <x:v>Quận 12</x:v>
      </x:c>
      <x:c r="E5569" s="2" t="str">
        <x:v>house</x:v>
      </x:c>
      <x:c r="F5569" s="2" t="str">
        <x:v>sale</x:v>
      </x:c>
      <x:c r="G5569" s="11" t="n">
        <x:v>52</x:v>
      </x:c>
      <x:c r="H5569" s="12" t="n">
        <x:v>3450000000</x:v>
      </x:c>
      <x:c r="I5569" s="12" t="n">
        <x:v>66346153.84615385</x:v>
      </x:c>
      <x:c r="J5569" s="2" t="str">
        <x:v>total</x:v>
      </x:c>
      <x:c r="K5569" s="2" t="str">
        <x:v>top_level_area</x:v>
      </x:c>
      <x:c r="L5569" s="2" t="str">
        <x:v>property_type_inferred_from_title</x:v>
      </x:c>
      <x:c r="M5569" s="10" t="n">
        <x:v>0</x:v>
      </x:c>
      <x:c r="N5569" s="10" t="n">
        <x:v>0</x:v>
      </x:c>
      <x:c r="O5569" s="2" t="str">
        <x:v>Tp Hồ Chí Minh|house</x:v>
      </x:c>
      <x:c r="P5569" s="10" t="n">
        <x:v>2</x:v>
      </x:c>
      <x:c r="Q5569" s="13" t="n">
        <x:f>IF(H5569="","",H5569/1000000000)</x:f>
        <x:v>3.45</x:v>
      </x:c>
      <x:c r="R5569" s="13" t="n">
        <x:f>IF(I5569="","",I5569/1000000)</x:f>
        <x:v>66.34615384615385</x:v>
      </x:c>
    </x:row>
    <x:row r="5570" ht="21" customHeight="1">
      <x:c r="A5570" s="10" t="n">
        <x:v>7283</x:v>
      </x:c>
      <x:c r="B5570" s="2" t="str">
        <x:v>d5c50afa015d8fef050b</x:v>
      </x:c>
      <x:c r="C5570" s="2" t="str">
        <x:v>Long An</x:v>
      </x:c>
      <x:c r="D5570" s="2" t="str">
        <x:v>Huyện Đức Hòa</x:v>
      </x:c>
      <x:c r="E5570" s="2" t="str">
        <x:v>land</x:v>
      </x:c>
      <x:c r="F5570" s="2" t="str">
        <x:v>sale_assumed</x:v>
      </x:c>
      <x:c r="G5570" s="11" t="n">
        <x:v>290</x:v>
      </x:c>
      <x:c r="H5570" s="12" t="n">
        <x:v>2600000000</x:v>
      </x:c>
      <x:c r="I5570" s="12" t="n">
        <x:v>8965517.24137931</x:v>
      </x:c>
      <x:c r="J5570" s="2" t="str">
        <x:v>total</x:v>
      </x:c>
      <x:c r="K5570" s="2" t="str">
        <x:v>top_level_price_embedded_area</x:v>
      </x:c>
      <x:c r="L5570" s="2" t="str">
        <x:v>area_recovered_from_price_text;property_type_inferred_from_title;transaction_assumed_sale_from_dataset_context</x:v>
      </x:c>
      <x:c r="M5570" s="10" t="n">
        <x:v>0</x:v>
      </x:c>
      <x:c r="N5570" s="10" t="n">
        <x:v>0</x:v>
      </x:c>
      <x:c r="O5570" s="2" t="str">
        <x:v>Long An|land</x:v>
      </x:c>
      <x:c r="P5570" s="10" t="n">
        <x:v>1</x:v>
      </x:c>
      <x:c r="Q5570" s="13" t="n">
        <x:f>IF(H5570="","",H5570/1000000000)</x:f>
        <x:v>2.6</x:v>
      </x:c>
      <x:c r="R5570" s="13" t="n">
        <x:f>IF(I5570="","",I5570/1000000)</x:f>
        <x:v>8.96551724137931</x:v>
      </x:c>
    </x:row>
    <x:row r="5571" ht="21" customHeight="1">
      <x:c r="A5571" s="10" t="n">
        <x:v>7284</x:v>
      </x:c>
      <x:c r="B5571" s="2" t="str">
        <x:v>5d6b0dfa5ccb5cbb0b34</x:v>
      </x:c>
      <x:c r="C5571" s="2" t="str">
        <x:v>Quảng Nam</x:v>
      </x:c>
      <x:c r="D5571" s="2" t="str">
        <x:v>Thị xã Điện Bàn</x:v>
      </x:c>
      <x:c r="E5571" s="2" t="str">
        <x:v>other_unknown</x:v>
      </x:c>
      <x:c r="F5571" s="2" t="str">
        <x:v>sale_assumed</x:v>
      </x:c>
      <x:c r="G5571" s="11" t="n">
        <x:v>111</x:v>
      </x:c>
      <x:c r="H5571" s="12" t="n">
        <x:v>1450000000</x:v>
      </x:c>
      <x:c r="I5571" s="12" t="n">
        <x:v>13063063.063063063</x:v>
      </x:c>
      <x:c r="J5571" s="2" t="str">
        <x:v>total</x:v>
      </x:c>
      <x:c r="K5571" s="2" t="str">
        <x:v>top_level_area</x:v>
      </x:c>
      <x:c r="L5571" s="2" t="str">
        <x:v>property_type_inferred_from_title;transaction_assumed_sale_from_dataset_context;unknown_property_type</x:v>
      </x:c>
      <x:c r="M5571" s="10" t="n">
        <x:v>0</x:v>
      </x:c>
      <x:c r="N5571" s="10" t="n">
        <x:v>0</x:v>
      </x:c>
      <x:c r="O5571" s="2" t="str">
        <x:v>other_unknown</x:v>
      </x:c>
      <x:c r="P5571" s="10" t="n">
        <x:v>2</x:v>
      </x:c>
      <x:c r="Q5571" s="13" t="n">
        <x:f>IF(H5571="","",H5571/1000000000)</x:f>
        <x:v>1.45</x:v>
      </x:c>
      <x:c r="R5571" s="13" t="n">
        <x:f>IF(I5571="","",I5571/1000000)</x:f>
        <x:v>13.063063063063062</x:v>
      </x:c>
    </x:row>
    <x:row r="5572" ht="21" customHeight="1">
      <x:c r="A5572" s="10" t="n">
        <x:v>7285</x:v>
      </x:c>
      <x:c r="B5572" s="2" t="str">
        <x:v>82f23add22628649666b</x:v>
      </x:c>
      <x:c r="C5572" s="2" t="str">
        <x:v>Lâm Đồng</x:v>
      </x:c>
      <x:c r="D5572" s="2" t="str">
        <x:v>Thành phố Bảo Lộc</x:v>
      </x:c>
      <x:c r="E5572" s="2" t="str">
        <x:v>land</x:v>
      </x:c>
      <x:c r="F5572" s="2" t="str">
        <x:v>sale_assumed</x:v>
      </x:c>
      <x:c r="G5572" s="11" t="n">
        <x:v>200</x:v>
      </x:c>
      <x:c r="H5572" s="12" t="n">
        <x:v>490000000</x:v>
      </x:c>
      <x:c r="I5572" s="12" t="n">
        <x:v>2450000</x:v>
      </x:c>
      <x:c r="J5572" s="2" t="str">
        <x:v>total</x:v>
      </x:c>
      <x:c r="K5572" s="2" t="str">
        <x:v>top_level_area</x:v>
      </x:c>
      <x:c r="L5572" s="2" t="str">
        <x:v>property_type_inferred_from_title;transaction_assumed_sale_from_dataset_context</x:v>
      </x:c>
      <x:c r="M5572" s="10" t="n">
        <x:v>0</x:v>
      </x:c>
      <x:c r="N5572" s="10" t="n">
        <x:v>0</x:v>
      </x:c>
      <x:c r="O5572" s="2" t="str">
        <x:v>Lâm Đồng|land</x:v>
      </x:c>
      <x:c r="P5572" s="10" t="n">
        <x:v>1</x:v>
      </x:c>
      <x:c r="Q5572" s="13" t="n">
        <x:f>IF(H5572="","",H5572/1000000000)</x:f>
        <x:v>0.49</x:v>
      </x:c>
      <x:c r="R5572" s="13" t="n">
        <x:f>IF(I5572="","",I5572/1000000)</x:f>
        <x:v>2.45</x:v>
      </x:c>
    </x:row>
    <x:row r="5573" ht="21" customHeight="1">
      <x:c r="A5573" s="10" t="n">
        <x:v>7286</x:v>
      </x:c>
      <x:c r="B5573" s="2" t="str">
        <x:v>caff51a6e0ccd4e9e0cb</x:v>
      </x:c>
      <x:c r="C5573" s="2" t="str">
        <x:v>Tp Hồ Chí Minh</x:v>
      </x:c>
      <x:c r="D5573" s="2" t="str">
        <x:v>Quận Tân Phú</x:v>
      </x:c>
      <x:c r="E5573" s="2" t="str">
        <x:v>house</x:v>
      </x:c>
      <x:c r="F5573" s="2" t="str">
        <x:v>sale</x:v>
      </x:c>
      <x:c r="G5573" s="11" t="n">
        <x:v>63</x:v>
      </x:c>
      <x:c r="H5573" s="12" t="n">
        <x:v>4200000000</x:v>
      </x:c>
      <x:c r="I5573" s="12" t="n">
        <x:v>66666666.666666664</x:v>
      </x:c>
      <x:c r="J5573" s="2" t="str">
        <x:v>total</x:v>
      </x:c>
      <x:c r="K5573" s="2" t="str">
        <x:v>top_level_area</x:v>
      </x:c>
      <x:c r="L5573" s="2" t="str">
        <x:v>property_type_inferred_from_title</x:v>
      </x:c>
      <x:c r="M5573" s="10" t="n">
        <x:v>0</x:v>
      </x:c>
      <x:c r="N5573" s="10" t="n">
        <x:v>0</x:v>
      </x:c>
      <x:c r="O5573" s="2" t="str">
        <x:v>Tp Hồ Chí Minh|house</x:v>
      </x:c>
      <x:c r="P5573" s="10" t="n">
        <x:v>2</x:v>
      </x:c>
      <x:c r="Q5573" s="13" t="n">
        <x:f>IF(H5573="","",H5573/1000000000)</x:f>
        <x:v>4.2</x:v>
      </x:c>
      <x:c r="R5573" s="13" t="n">
        <x:f>IF(I5573="","",I5573/1000000)</x:f>
        <x:v>66.66666666666666</x:v>
      </x:c>
    </x:row>
    <x:row r="5574" ht="21" customHeight="1">
      <x:c r="A5574" s="10" t="n">
        <x:v>7287</x:v>
      </x:c>
      <x:c r="B5574" s="2" t="str">
        <x:v>bf03db5f4b7c201af9cb</x:v>
      </x:c>
      <x:c r="C5574" s="2" t="str">
        <x:v>Lâm Đồng</x:v>
      </x:c>
      <x:c r="D5574" s="2" t="str">
        <x:v>Huyện Lâm Hà</x:v>
      </x:c>
      <x:c r="E5574" s="2" t="str">
        <x:v>land</x:v>
      </x:c>
      <x:c r="F5574" s="2" t="str">
        <x:v>sale_assumed</x:v>
      </x:c>
      <x:c r="G5574" s="11" t="n">
        <x:v>13280</x:v>
      </x:c>
      <x:c r="H5574" s="12" t="n">
        <x:v>1700000000</x:v>
      </x:c>
      <x:c r="I5574" s="12" t="n">
        <x:v>128012.04819277108</x:v>
      </x:c>
      <x:c r="J5574" s="2" t="str">
        <x:v>total</x:v>
      </x:c>
      <x:c r="K5574" s="2" t="str">
        <x:v>top_level_area</x:v>
      </x:c>
      <x:c r="L5574" s="2" t="str">
        <x:v>dot_thousands_convention;property_type_inferred_from_title;transaction_assumed_sale_from_dataset_context</x:v>
      </x:c>
      <x:c r="M5574" s="10" t="n">
        <x:v>0</x:v>
      </x:c>
      <x:c r="N5574" s="10" t="n">
        <x:v>0</x:v>
      </x:c>
      <x:c r="O5574" s="2" t="str">
        <x:v>Lâm Đồng|land</x:v>
      </x:c>
      <x:c r="P5574" s="10" t="n">
        <x:v>1</x:v>
      </x:c>
      <x:c r="Q5574" s="13" t="n">
        <x:f>IF(H5574="","",H5574/1000000000)</x:f>
        <x:v>1.7</x:v>
      </x:c>
      <x:c r="R5574" s="13" t="n">
        <x:f>IF(I5574="","",I5574/1000000)</x:f>
        <x:v>0.12801204819277107</x:v>
      </x:c>
    </x:row>
    <x:row r="5575" ht="21" customHeight="1">
      <x:c r="A5575" s="10" t="n">
        <x:v>7288</x:v>
      </x:c>
      <x:c r="B5575" s="2" t="str">
        <x:v>2176674ec48d0bac4451</x:v>
      </x:c>
      <x:c r="C5575" s="2" t="str">
        <x:v>Tp Hồ Chí Minh</x:v>
      </x:c>
      <x:c r="D5575" s="2" t="str">
        <x:v>Quận 7</x:v>
      </x:c>
      <x:c r="E5575" s="2" t="str">
        <x:v>house</x:v>
      </x:c>
      <x:c r="F5575" s="2" t="str">
        <x:v>sale</x:v>
      </x:c>
      <x:c r="G5575" s="11" t="n">
        <x:v>68</x:v>
      </x:c>
      <x:c r="H5575" s="12" t="n">
        <x:v>1210000000</x:v>
      </x:c>
      <x:c r="I5575" s="12" t="n">
        <x:v>17794117.647058822</x:v>
      </x:c>
      <x:c r="J5575" s="2" t="str">
        <x:v>total</x:v>
      </x:c>
      <x:c r="K5575" s="2" t="str">
        <x:v>top_level_area</x:v>
      </x:c>
      <x:c r="L5575" s="2" t="str">
        <x:v>property_type_inferred_from_title</x:v>
      </x:c>
      <x:c r="M5575" s="10" t="n">
        <x:v>0</x:v>
      </x:c>
      <x:c r="N5575" s="10" t="n">
        <x:v>0</x:v>
      </x:c>
      <x:c r="O5575" s="2" t="str">
        <x:v>Tp Hồ Chí Minh|house</x:v>
      </x:c>
      <x:c r="P5575" s="10" t="n">
        <x:v>2</x:v>
      </x:c>
      <x:c r="Q5575" s="13" t="n">
        <x:f>IF(H5575="","",H5575/1000000000)</x:f>
        <x:v>1.21</x:v>
      </x:c>
      <x:c r="R5575" s="13" t="n">
        <x:f>IF(I5575="","",I5575/1000000)</x:f>
        <x:v>17.794117647058822</x:v>
      </x:c>
    </x:row>
    <x:row r="5576" ht="21" customHeight="1">
      <x:c r="A5576" s="10" t="n">
        <x:v>7289</x:v>
      </x:c>
      <x:c r="B5576" s="2" t="str">
        <x:v>1de55ba6b33706d472cb</x:v>
      </x:c>
      <x:c r="C5576" s="2" t="str">
        <x:v>Tây Ninh</x:v>
      </x:c>
      <x:c r="D5576" s="2" t="str">
        <x:v>Thành phố Tây Ninh</x:v>
      </x:c>
      <x:c r="E5576" s="2" t="str">
        <x:v>land</x:v>
      </x:c>
      <x:c r="F5576" s="2" t="str">
        <x:v>sale_assumed</x:v>
      </x:c>
      <x:c r="G5576" s="11" t="n">
        <x:v>100</x:v>
      </x:c>
      <x:c r="H5576" s="12" t="n">
        <x:v>1300000000</x:v>
      </x:c>
      <x:c r="I5576" s="12" t="n">
        <x:v>13000000</x:v>
      </x:c>
      <x:c r="J5576" s="2" t="str">
        <x:v>total</x:v>
      </x:c>
      <x:c r="K5576" s="2" t="str">
        <x:v>top_level_area</x:v>
      </x:c>
      <x:c r="L5576" s="2" t="str">
        <x:v>property_type_inferred_from_title;transaction_assumed_sale_from_dataset_context</x:v>
      </x:c>
      <x:c r="M5576" s="10" t="n">
        <x:v>0</x:v>
      </x:c>
      <x:c r="N5576" s="10" t="n">
        <x:v>0</x:v>
      </x:c>
      <x:c r="O5576" s="2" t="str">
        <x:v>land</x:v>
      </x:c>
      <x:c r="P5576" s="10" t="n">
        <x:v>2</x:v>
      </x:c>
      <x:c r="Q5576" s="13" t="n">
        <x:f>IF(H5576="","",H5576/1000000000)</x:f>
        <x:v>1.3</x:v>
      </x:c>
      <x:c r="R5576" s="13" t="n">
        <x:f>IF(I5576="","",I5576/1000000)</x:f>
        <x:v>13</x:v>
      </x:c>
    </x:row>
    <x:row r="5577" ht="21" customHeight="1">
      <x:c r="A5577" s="10" t="n">
        <x:v>7290</x:v>
      </x:c>
      <x:c r="B5577" s="2" t="str">
        <x:v>aa154768b3ed4748e6f7</x:v>
      </x:c>
      <x:c r="C5577" s="2" t="str">
        <x:v>Tp Hồ Chí Minh</x:v>
      </x:c>
      <x:c r="D5577" s="2" t="str">
        <x:v>Quận Bình Tân</x:v>
      </x:c>
      <x:c r="E5577" s="2" t="str">
        <x:v>house</x:v>
      </x:c>
      <x:c r="F5577" s="2" t="str">
        <x:v>sale_assumed</x:v>
      </x:c>
      <x:c r="G5577" s="11" t="n">
        <x:v>60</x:v>
      </x:c>
      <x:c r="H5577" s="12" t="n">
        <x:v>5650000000</x:v>
      </x:c>
      <x:c r="I5577" s="12" t="n">
        <x:v>94166666.66666667</x:v>
      </x:c>
      <x:c r="J5577" s="2" t="str">
        <x:v>total</x:v>
      </x:c>
      <x:c r="K5577" s="2" t="str">
        <x:v>top_level_area</x:v>
      </x:c>
      <x:c r="L5577" s="2" t="str">
        <x:v>property_type_inferred_from_title;transaction_assumed_sale_from_dataset_context</x:v>
      </x:c>
      <x:c r="M5577" s="10" t="n">
        <x:v>0</x:v>
      </x:c>
      <x:c r="N5577" s="10" t="n">
        <x:v>0</x:v>
      </x:c>
      <x:c r="O5577" s="2" t="str">
        <x:v>Tp Hồ Chí Minh|house</x:v>
      </x:c>
      <x:c r="P5577" s="10" t="n">
        <x:v>2</x:v>
      </x:c>
      <x:c r="Q5577" s="13" t="n">
        <x:f>IF(H5577="","",H5577/1000000000)</x:f>
        <x:v>5.65</x:v>
      </x:c>
      <x:c r="R5577" s="13" t="n">
        <x:f>IF(I5577="","",I5577/1000000)</x:f>
        <x:v>94.16666666666667</x:v>
      </x:c>
    </x:row>
    <x:row r="5578" ht="21" customHeight="1">
      <x:c r="A5578" s="10" t="n">
        <x:v>7291</x:v>
      </x:c>
      <x:c r="B5578" s="2" t="str">
        <x:v>a61d4dc21fcd328c04ef</x:v>
      </x:c>
      <x:c r="C5578" s="2" t="str">
        <x:v>Hà Nội</x:v>
      </x:c>
      <x:c r="D5578" s="2" t="str">
        <x:v>Quận Hà Đông</x:v>
      </x:c>
      <x:c r="E5578" s="2" t="str">
        <x:v>house</x:v>
      </x:c>
      <x:c r="F5578" s="2" t="str">
        <x:v>sale_assumed</x:v>
      </x:c>
      <x:c r="G5578" s="11" t="n">
        <x:v>35</x:v>
      </x:c>
      <x:c r="H5578" s="12" t="n">
        <x:v>1200000000</x:v>
      </x:c>
      <x:c r="I5578" s="12" t="n">
        <x:v>34285714.28571428</x:v>
      </x:c>
      <x:c r="J5578" s="2" t="str">
        <x:v>total</x:v>
      </x:c>
      <x:c r="K5578" s="2" t="str">
        <x:v>top_level_area</x:v>
      </x:c>
      <x:c r="L5578" s="2" t="str">
        <x:v>property_type_inferred_from_title;transaction_assumed_sale_from_dataset_context</x:v>
      </x:c>
      <x:c r="M5578" s="10" t="n">
        <x:v>0</x:v>
      </x:c>
      <x:c r="N5578" s="10" t="n">
        <x:v>0</x:v>
      </x:c>
      <x:c r="O5578" s="2" t="str">
        <x:v>Hà Nội|house</x:v>
      </x:c>
      <x:c r="P5578" s="10" t="n">
        <x:v>2</x:v>
      </x:c>
      <x:c r="Q5578" s="13" t="n">
        <x:f>IF(H5578="","",H5578/1000000000)</x:f>
        <x:v>1.2</x:v>
      </x:c>
      <x:c r="R5578" s="13" t="n">
        <x:f>IF(I5578="","",I5578/1000000)</x:f>
        <x:v>34.285714285714285</x:v>
      </x:c>
    </x:row>
    <x:row r="5579" ht="21" customHeight="1">
      <x:c r="A5579" s="10" t="n">
        <x:v>7292</x:v>
      </x:c>
      <x:c r="B5579" s="2" t="str">
        <x:v>2095ad01e81a8116f924</x:v>
      </x:c>
      <x:c r="C5579" s="2" t="str">
        <x:v>Tp Hồ Chí Minh</x:v>
      </x:c>
      <x:c r="D5579" s="2" t="str">
        <x:v>Quận 6</x:v>
      </x:c>
      <x:c r="E5579" s="2" t="str">
        <x:v>house</x:v>
      </x:c>
      <x:c r="F5579" s="2" t="str">
        <x:v>sale_assumed</x:v>
      </x:c>
      <x:c r="G5579" s="11" t="n">
        <x:v>30</x:v>
      </x:c>
      <x:c r="H5579" s="12" t="n">
        <x:v>3500000000</x:v>
      </x:c>
      <x:c r="I5579" s="12" t="n">
        <x:v>116666666.66666667</x:v>
      </x:c>
      <x:c r="J5579" s="2" t="str">
        <x:v>total</x:v>
      </x:c>
      <x:c r="K5579" s="2" t="str">
        <x:v>top_level_area</x:v>
      </x:c>
      <x:c r="L5579" s="2" t="str">
        <x:v>property_type_inferred_from_title;transaction_assumed_sale_from_dataset_context</x:v>
      </x:c>
      <x:c r="M5579" s="10" t="n">
        <x:v>0</x:v>
      </x:c>
      <x:c r="N5579" s="10" t="n">
        <x:v>0</x:v>
      </x:c>
      <x:c r="O5579" s="2" t="str">
        <x:v>Tp Hồ Chí Minh|house</x:v>
      </x:c>
      <x:c r="P5579" s="10" t="n">
        <x:v>2</x:v>
      </x:c>
      <x:c r="Q5579" s="13" t="n">
        <x:f>IF(H5579="","",H5579/1000000000)</x:f>
        <x:v>3.5</x:v>
      </x:c>
      <x:c r="R5579" s="13" t="n">
        <x:f>IF(I5579="","",I5579/1000000)</x:f>
        <x:v>116.66666666666667</x:v>
      </x:c>
    </x:row>
    <x:row r="5580" ht="21" customHeight="1">
      <x:c r="A5580" s="10" t="n">
        <x:v>7295</x:v>
      </x:c>
      <x:c r="B5580" s="2" t="str">
        <x:v>4d248fca57a13195c620</x:v>
      </x:c>
      <x:c r="C5580" s="2" t="str">
        <x:v>Hà Nội</x:v>
      </x:c>
      <x:c r="D5580" s="2" t="str">
        <x:v>Quận Ba Đình</x:v>
      </x:c>
      <x:c r="E5580" s="2" t="str">
        <x:v>house</x:v>
      </x:c>
      <x:c r="F5580" s="2" t="str">
        <x:v>sale_assumed</x:v>
      </x:c>
      <x:c r="G5580" s="11" t="n">
        <x:v>30</x:v>
      </x:c>
      <x:c r="H5580" s="12" t="n">
        <x:v>2900000000</x:v>
      </x:c>
      <x:c r="I5580" s="12" t="n">
        <x:v>96666666.66666667</x:v>
      </x:c>
      <x:c r="J5580" s="2" t="str">
        <x:v>total</x:v>
      </x:c>
      <x:c r="K5580" s="2" t="str">
        <x:v>top_level_area</x:v>
      </x:c>
      <x:c r="L5580" s="2" t="str">
        <x:v>property_type_inferred_from_title;transaction_assumed_sale_from_dataset_context</x:v>
      </x:c>
      <x:c r="M5580" s="10" t="n">
        <x:v>0</x:v>
      </x:c>
      <x:c r="N5580" s="10" t="n">
        <x:v>0</x:v>
      </x:c>
      <x:c r="O5580" s="2" t="str">
        <x:v>Hà Nội|house</x:v>
      </x:c>
      <x:c r="P5580" s="10" t="n">
        <x:v>2</x:v>
      </x:c>
      <x:c r="Q5580" s="13" t="n">
        <x:f>IF(H5580="","",H5580/1000000000)</x:f>
        <x:v>2.9</x:v>
      </x:c>
      <x:c r="R5580" s="13" t="n">
        <x:f>IF(I5580="","",I5580/1000000)</x:f>
        <x:v>96.66666666666667</x:v>
      </x:c>
    </x:row>
    <x:row r="5581" ht="21" customHeight="1">
      <x:c r="A5581" s="10" t="n">
        <x:v>7296</x:v>
      </x:c>
      <x:c r="B5581" s="2" t="str">
        <x:v>f6ea4656dfee382b2d52</x:v>
      </x:c>
      <x:c r="C5581" s="2" t="str">
        <x:v>Hà Nội</x:v>
      </x:c>
      <x:c r="D5581" s="2" t="str">
        <x:v>Quận Thanh Xuân</x:v>
      </x:c>
      <x:c r="E5581" s="2" t="str">
        <x:v>house</x:v>
      </x:c>
      <x:c r="F5581" s="2" t="str">
        <x:v>sale</x:v>
      </x:c>
      <x:c r="G5581" s="11" t="n">
        <x:v>23</x:v>
      </x:c>
      <x:c r="H5581" s="12" t="n">
        <x:v>1800000000</x:v>
      </x:c>
      <x:c r="I5581" s="12" t="n">
        <x:v>78260869.56521739</x:v>
      </x:c>
      <x:c r="J5581" s="2" t="str">
        <x:v>total</x:v>
      </x:c>
      <x:c r="K5581" s="2" t="str">
        <x:v>top_level_area</x:v>
      </x:c>
      <x:c r="L5581" s="2" t="str">
        <x:v>property_type_inferred_from_title</x:v>
      </x:c>
      <x:c r="M5581" s="10" t="n">
        <x:v>0</x:v>
      </x:c>
      <x:c r="N5581" s="10" t="n">
        <x:v>0</x:v>
      </x:c>
      <x:c r="O5581" s="2" t="str">
        <x:v>Hà Nội|house</x:v>
      </x:c>
      <x:c r="P5581" s="10" t="n">
        <x:v>2</x:v>
      </x:c>
      <x:c r="Q5581" s="13" t="n">
        <x:f>IF(H5581="","",H5581/1000000000)</x:f>
        <x:v>1.8</x:v>
      </x:c>
      <x:c r="R5581" s="13" t="n">
        <x:f>IF(I5581="","",I5581/1000000)</x:f>
        <x:v>78.26086956521739</x:v>
      </x:c>
    </x:row>
    <x:row r="5582" ht="21" customHeight="1">
      <x:c r="A5582" s="10" t="n">
        <x:v>7297</x:v>
      </x:c>
      <x:c r="B5582" s="2" t="str">
        <x:v>18bfa44e4f9373057228</x:v>
      </x:c>
      <x:c r="C5582" s="2" t="str">
        <x:v>Tp Hồ Chí Minh</x:v>
      </x:c>
      <x:c r="D5582" s="2" t="str">
        <x:v>Huyện Củ Chi</x:v>
      </x:c>
      <x:c r="E5582" s="2" t="str">
        <x:v>land</x:v>
      </x:c>
      <x:c r="F5582" s="2" t="str">
        <x:v>sale_assumed</x:v>
      </x:c>
      <x:c r="G5582" s="11" t="n">
        <x:v>575</x:v>
      </x:c>
      <x:c r="H5582" s="12" t="n">
        <x:v>3900000000</x:v>
      </x:c>
      <x:c r="I5582" s="12" t="n">
        <x:v>6782608.695652174</x:v>
      </x:c>
      <x:c r="J5582" s="2" t="str">
        <x:v>total</x:v>
      </x:c>
      <x:c r="K5582" s="2" t="str">
        <x:v>top_level_area</x:v>
      </x:c>
      <x:c r="L5582" s="2" t="str">
        <x:v>property_type_inferred_from_title;transaction_assumed_sale_from_dataset_context</x:v>
      </x:c>
      <x:c r="M5582" s="10" t="n">
        <x:v>0</x:v>
      </x:c>
      <x:c r="N5582" s="10" t="n">
        <x:v>0</x:v>
      </x:c>
      <x:c r="O5582" s="2" t="str">
        <x:v>Tp Hồ Chí Minh|land</x:v>
      </x:c>
      <x:c r="P5582" s="10" t="n">
        <x:v>1</x:v>
      </x:c>
      <x:c r="Q5582" s="13" t="n">
        <x:f>IF(H5582="","",H5582/1000000000)</x:f>
        <x:v>3.9</x:v>
      </x:c>
      <x:c r="R5582" s="13" t="n">
        <x:f>IF(I5582="","",I5582/1000000)</x:f>
        <x:v>6.782608695652174</x:v>
      </x:c>
    </x:row>
    <x:row r="5583" ht="21" customHeight="1">
      <x:c r="A5583" s="10" t="n">
        <x:v>7298</x:v>
      </x:c>
      <x:c r="B5583" s="2" t="str">
        <x:v>0448c327fe430ed088e7</x:v>
      </x:c>
      <x:c r="C5583" s="2" t="str">
        <x:v>Đồng Nai</x:v>
      </x:c>
      <x:c r="D5583" s="2" t="str">
        <x:v>Huyện Long Thành</x:v>
      </x:c>
      <x:c r="E5583" s="2" t="str">
        <x:v>land</x:v>
      </x:c>
      <x:c r="F5583" s="2" t="str">
        <x:v>sale_assumed</x:v>
      </x:c>
      <x:c r="G5583" s="11" t="n">
        <x:v>90</x:v>
      </x:c>
      <x:c r="H5583" s="12" t="n">
        <x:v>900000000</x:v>
      </x:c>
      <x:c r="I5583" s="12" t="n">
        <x:v>10000000</x:v>
      </x:c>
      <x:c r="J5583" s="2" t="str">
        <x:v>total</x:v>
      </x:c>
      <x:c r="K5583" s="2" t="str">
        <x:v>top_level_area</x:v>
      </x:c>
      <x:c r="L5583" s="2" t="str">
        <x:v>property_type_inferred_from_title;transaction_assumed_sale_from_dataset_context</x:v>
      </x:c>
      <x:c r="M5583" s="10" t="n">
        <x:v>0</x:v>
      </x:c>
      <x:c r="N5583" s="10" t="n">
        <x:v>0</x:v>
      </x:c>
      <x:c r="O5583" s="2" t="str">
        <x:v>Đồng Nai|land</x:v>
      </x:c>
      <x:c r="P5583" s="10" t="n">
        <x:v>2</x:v>
      </x:c>
      <x:c r="Q5583" s="13" t="n">
        <x:f>IF(H5583="","",H5583/1000000000)</x:f>
        <x:v>0.9</x:v>
      </x:c>
      <x:c r="R5583" s="13" t="n">
        <x:f>IF(I5583="","",I5583/1000000)</x:f>
        <x:v>10</x:v>
      </x:c>
    </x:row>
    <x:row r="5584" ht="21" customHeight="1">
      <x:c r="A5584" s="10" t="n">
        <x:v>7299</x:v>
      </x:c>
      <x:c r="B5584" s="2" t="str">
        <x:v>6e48ec0ba57fb57a2528</x:v>
      </x:c>
      <x:c r="C5584" s="2" t="str">
        <x:v>Hà Nội</x:v>
      </x:c>
      <x:c r="D5584" s="2" t="str">
        <x:v>Quận Thanh Xuân</x:v>
      </x:c>
      <x:c r="E5584" s="2" t="str">
        <x:v>house</x:v>
      </x:c>
      <x:c r="F5584" s="2" t="str">
        <x:v>sale</x:v>
      </x:c>
      <x:c r="G5584" s="11" t="n">
        <x:v>43</x:v>
      </x:c>
      <x:c r="H5584" s="12" t="n">
        <x:v>7400000000</x:v>
      </x:c>
      <x:c r="I5584" s="12" t="n">
        <x:v>172093023.25581396</x:v>
      </x:c>
      <x:c r="J5584" s="2" t="str">
        <x:v>total</x:v>
      </x:c>
      <x:c r="K5584" s="2" t="str">
        <x:v>top_level_area</x:v>
      </x:c>
      <x:c r="L5584" s="2" t="str">
        <x:v>property_type_inferred_from_title</x:v>
      </x:c>
      <x:c r="M5584" s="10" t="n">
        <x:v>1</x:v>
      </x:c>
      <x:c r="N5584" s="10" t="n">
        <x:v>1</x:v>
      </x:c>
      <x:c r="O5584" s="2" t="str">
        <x:v>Hà Nội|house</x:v>
      </x:c>
      <x:c r="P5584" s="10" t="n">
        <x:v>-1</x:v>
      </x:c>
      <x:c r="Q5584" s="13" t="n">
        <x:f>IF(H5584="","",H5584/1000000000)</x:f>
        <x:v>7.4</x:v>
      </x:c>
      <x:c r="R5584" s="13" t="n">
        <x:f>IF(I5584="","",I5584/1000000)</x:f>
        <x:v>172.09302325581396</x:v>
      </x:c>
    </x:row>
    <x:row r="5585" ht="21" customHeight="1">
      <x:c r="A5585" s="10" t="n">
        <x:v>7300</x:v>
      </x:c>
      <x:c r="B5585" s="2" t="str">
        <x:v>3249fe8ba31582bf388d</x:v>
      </x:c>
      <x:c r="C5585" s="2" t="str">
        <x:v>Đà Nẵng</x:v>
      </x:c>
      <x:c r="D5585" s="2" t="str">
        <x:v>Quận Liên Chiểu</x:v>
      </x:c>
      <x:c r="E5585" s="2" t="str">
        <x:v>other_unknown</x:v>
      </x:c>
      <x:c r="F5585" s="2" t="str">
        <x:v>sale</x:v>
      </x:c>
      <x:c r="G5585" s="11" t="n">
        <x:v>125</x:v>
      </x:c>
      <x:c r="H5585" s="12" t="n">
        <x:v>2400000000</x:v>
      </x:c>
      <x:c r="I5585" s="12" t="n">
        <x:v>19200000</x:v>
      </x:c>
      <x:c r="J5585" s="2" t="str">
        <x:v>total</x:v>
      </x:c>
      <x:c r="K5585" s="2" t="str">
        <x:v>top_level_area</x:v>
      </x:c>
      <x:c r="L5585" s="2" t="str">
        <x:v>property_type_inferred_from_title;unknown_property_type</x:v>
      </x:c>
      <x:c r="M5585" s="10" t="n">
        <x:v>0</x:v>
      </x:c>
      <x:c r="N5585" s="10" t="n">
        <x:v>0</x:v>
      </x:c>
      <x:c r="O5585" s="2" t="str">
        <x:v>Đà Nẵng|other_unknown</x:v>
      </x:c>
      <x:c r="P5585" s="10" t="n">
        <x:v>2</x:v>
      </x:c>
      <x:c r="Q5585" s="13" t="n">
        <x:f>IF(H5585="","",H5585/1000000000)</x:f>
        <x:v>2.4</x:v>
      </x:c>
      <x:c r="R5585" s="13" t="n">
        <x:f>IF(I5585="","",I5585/1000000)</x:f>
        <x:v>19.2</x:v>
      </x:c>
    </x:row>
    <x:row r="5586" ht="21" customHeight="1">
      <x:c r="A5586" s="10" t="n">
        <x:v>7301</x:v>
      </x:c>
      <x:c r="B5586" s="2" t="str">
        <x:v>47b132d30e9e0a545dca</x:v>
      </x:c>
      <x:c r="C5586" s="2" t="str">
        <x:v>Tp Hồ Chí Minh</x:v>
      </x:c>
      <x:c r="D5586" s="2" t="str">
        <x:v>Quận 12</x:v>
      </x:c>
      <x:c r="E5586" s="2" t="str">
        <x:v>house</x:v>
      </x:c>
      <x:c r="F5586" s="2" t="str">
        <x:v>sale_assumed</x:v>
      </x:c>
      <x:c r="G5586" s="11" t="n">
        <x:v>40</x:v>
      </x:c>
      <x:c r="H5586" s="12" t="n">
        <x:v>1930000000</x:v>
      </x:c>
      <x:c r="I5586" s="12" t="n">
        <x:v>48250000</x:v>
      </x:c>
      <x:c r="J5586" s="2" t="str">
        <x:v>total</x:v>
      </x:c>
      <x:c r="K5586" s="2" t="str">
        <x:v>top_level_area</x:v>
      </x:c>
      <x:c r="L5586" s="2" t="str">
        <x:v>property_type_inferred_from_title;transaction_assumed_sale_from_dataset_context</x:v>
      </x:c>
      <x:c r="M5586" s="10" t="n">
        <x:v>0</x:v>
      </x:c>
      <x:c r="N5586" s="10" t="n">
        <x:v>0</x:v>
      </x:c>
      <x:c r="O5586" s="2" t="str">
        <x:v>Tp Hồ Chí Minh|house</x:v>
      </x:c>
      <x:c r="P5586" s="10" t="n">
        <x:v>2</x:v>
      </x:c>
      <x:c r="Q5586" s="13" t="n">
        <x:f>IF(H5586="","",H5586/1000000000)</x:f>
        <x:v>1.93</x:v>
      </x:c>
      <x:c r="R5586" s="13" t="n">
        <x:f>IF(I5586="","",I5586/1000000)</x:f>
        <x:v>48.25</x:v>
      </x:c>
    </x:row>
    <x:row r="5587" ht="21" customHeight="1">
      <x:c r="A5587" s="10" t="n">
        <x:v>7302</x:v>
      </x:c>
      <x:c r="B5587" s="2" t="str">
        <x:v>554c329d809ec9d19e2a</x:v>
      </x:c>
      <x:c r="C5587" s="2" t="str">
        <x:v>Khánh Hòa</x:v>
      </x:c>
      <x:c r="D5587" s="2" t="str">
        <x:v>Huyện Vạn Ninh</x:v>
      </x:c>
      <x:c r="E5587" s="2" t="str">
        <x:v>house</x:v>
      </x:c>
      <x:c r="F5587" s="2" t="str">
        <x:v>sale</x:v>
      </x:c>
      <x:c r="G5587" s="11" t="n">
        <x:v>255.7</x:v>
      </x:c>
      <x:c r="H5587" s="12" t="n">
        <x:v>2400000000</x:v>
      </x:c>
      <x:c r="I5587" s="12" t="n">
        <x:v>9385999.2178334</x:v>
      </x:c>
      <x:c r="J5587" s="2" t="str">
        <x:v>total</x:v>
      </x:c>
      <x:c r="K5587" s="2" t="str">
        <x:v>top_level_area</x:v>
      </x:c>
      <x:c r="L5587" s="2" t="str">
        <x:v>property_type_inferred_from_title</x:v>
      </x:c>
      <x:c r="M5587" s="10" t="n">
        <x:v>0</x:v>
      </x:c>
      <x:c r="N5587" s="10" t="n">
        <x:v>0</x:v>
      </x:c>
      <x:c r="O5587" s="2" t="str">
        <x:v>Khánh Hòa|house</x:v>
      </x:c>
      <x:c r="P5587" s="10" t="n">
        <x:v>1</x:v>
      </x:c>
      <x:c r="Q5587" s="13" t="n">
        <x:f>IF(H5587="","",H5587/1000000000)</x:f>
        <x:v>2.4</x:v>
      </x:c>
      <x:c r="R5587" s="13" t="n">
        <x:f>IF(I5587="","",I5587/1000000)</x:f>
        <x:v>9.3859992178334</x:v>
      </x:c>
    </x:row>
    <x:row r="5588" ht="21" customHeight="1">
      <x:c r="A5588" s="10" t="n">
        <x:v>7303</x:v>
      </x:c>
      <x:c r="B5588" s="2" t="str">
        <x:v>621828fa63a380460bf1</x:v>
      </x:c>
      <x:c r="C5588" s="2" t="str">
        <x:v>Tp Hồ Chí Minh</x:v>
      </x:c>
      <x:c r="D5588" s="2" t="str">
        <x:v>Quận Thủ Đức</x:v>
      </x:c>
      <x:c r="E5588" s="2" t="str">
        <x:v>house</x:v>
      </x:c>
      <x:c r="F5588" s="2" t="str">
        <x:v>sale</x:v>
      </x:c>
      <x:c r="G5588" s="11" t="n">
        <x:v>89</x:v>
      </x:c>
      <x:c r="H5588" s="12" t="n">
        <x:v>6500000000</x:v>
      </x:c>
      <x:c r="I5588" s="12" t="n">
        <x:v>73033707.86516854</x:v>
      </x:c>
      <x:c r="J5588" s="2" t="str">
        <x:v>total</x:v>
      </x:c>
      <x:c r="K5588" s="2" t="str">
        <x:v>top_level_area</x:v>
      </x:c>
      <x:c r="L5588" s="2" t="str">
        <x:v>property_type_inferred_from_title</x:v>
      </x:c>
      <x:c r="M5588" s="10" t="n">
        <x:v>0</x:v>
      </x:c>
      <x:c r="N5588" s="10" t="n">
        <x:v>0</x:v>
      </x:c>
      <x:c r="O5588" s="2" t="str">
        <x:v>Tp Hồ Chí Minh|house</x:v>
      </x:c>
      <x:c r="P5588" s="10" t="n">
        <x:v>2</x:v>
      </x:c>
      <x:c r="Q5588" s="13" t="n">
        <x:f>IF(H5588="","",H5588/1000000000)</x:f>
        <x:v>6.5</x:v>
      </x:c>
      <x:c r="R5588" s="13" t="n">
        <x:f>IF(I5588="","",I5588/1000000)</x:f>
        <x:v>73.03370786516854</x:v>
      </x:c>
    </x:row>
    <x:row r="5589" ht="21" customHeight="1">
      <x:c r="A5589" s="10" t="n">
        <x:v>7304</x:v>
      </x:c>
      <x:c r="B5589" s="2" t="str">
        <x:v>1bffe432d4878ffe74ed</x:v>
      </x:c>
      <x:c r="C5589" s="2" t="str">
        <x:v>Long An</x:v>
      </x:c>
      <x:c r="D5589" s="2" t="str">
        <x:v>Huyện Cần Giuộc</x:v>
      </x:c>
      <x:c r="E5589" s="2" t="str">
        <x:v>house</x:v>
      </x:c>
      <x:c r="F5589" s="2" t="str">
        <x:v>sale_assumed</x:v>
      </x:c>
      <x:c r="G5589" s="11" t="n">
        <x:v>80</x:v>
      </x:c>
      <x:c r="H5589" s="12" t="n">
        <x:v>1200000000</x:v>
      </x:c>
      <x:c r="I5589" s="12" t="n">
        <x:v>15000000</x:v>
      </x:c>
      <x:c r="J5589" s="2" t="str">
        <x:v>total</x:v>
      </x:c>
      <x:c r="K5589" s="2" t="str">
        <x:v>top_level_area</x:v>
      </x:c>
      <x:c r="L5589" s="2" t="str">
        <x:v>property_type_inferred_from_title;transaction_assumed_sale_from_dataset_context</x:v>
      </x:c>
      <x:c r="M5589" s="10" t="n">
        <x:v>0</x:v>
      </x:c>
      <x:c r="N5589" s="10" t="n">
        <x:v>0</x:v>
      </x:c>
      <x:c r="O5589" s="2" t="str">
        <x:v>Long An|house</x:v>
      </x:c>
      <x:c r="P5589" s="10" t="n">
        <x:v>2</x:v>
      </x:c>
      <x:c r="Q5589" s="13" t="n">
        <x:f>IF(H5589="","",H5589/1000000000)</x:f>
        <x:v>1.2</x:v>
      </x:c>
      <x:c r="R5589" s="13" t="n">
        <x:f>IF(I5589="","",I5589/1000000)</x:f>
        <x:v>15</x:v>
      </x:c>
    </x:row>
    <x:row r="5590" ht="21" customHeight="1">
      <x:c r="A5590" s="10" t="n">
        <x:v>7305</x:v>
      </x:c>
      <x:c r="B5590" s="2" t="str">
        <x:v>9b6180c9d13638923e95</x:v>
      </x:c>
      <x:c r="C5590" s="2" t="str">
        <x:v>Đồng Nai</x:v>
      </x:c>
      <x:c r="D5590" s="2" t="str">
        <x:v>Thành phố Biên Hòa</x:v>
      </x:c>
      <x:c r="E5590" s="2" t="str">
        <x:v>land</x:v>
      </x:c>
      <x:c r="F5590" s="2" t="str">
        <x:v>sale</x:v>
      </x:c>
      <x:c r="G5590" s="11" t="n">
        <x:v>95</x:v>
      </x:c>
      <x:c r="H5590" s="12" t="n">
        <x:v>845000000</x:v>
      </x:c>
      <x:c r="I5590" s="12" t="n">
        <x:v>8894736.842105264</x:v>
      </x:c>
      <x:c r="J5590" s="2" t="str">
        <x:v>total</x:v>
      </x:c>
      <x:c r="K5590" s="2" t="str">
        <x:v>top_level_area</x:v>
      </x:c>
      <x:c r="L5590" s="2" t="str">
        <x:v>property_type_inferred_from_title</x:v>
      </x:c>
      <x:c r="M5590" s="10" t="n">
        <x:v>0</x:v>
      </x:c>
      <x:c r="N5590" s="10" t="n">
        <x:v>0</x:v>
      </x:c>
      <x:c r="O5590" s="2" t="str">
        <x:v>Đồng Nai|land</x:v>
      </x:c>
      <x:c r="P5590" s="10" t="n">
        <x:v>2</x:v>
      </x:c>
      <x:c r="Q5590" s="13" t="n">
        <x:f>IF(H5590="","",H5590/1000000000)</x:f>
        <x:v>0.845</x:v>
      </x:c>
      <x:c r="R5590" s="13" t="n">
        <x:f>IF(I5590="","",I5590/1000000)</x:f>
        <x:v>8.894736842105264</x:v>
      </x:c>
    </x:row>
    <x:row r="5591" ht="21" customHeight="1">
      <x:c r="A5591" s="10" t="n">
        <x:v>7306</x:v>
      </x:c>
      <x:c r="B5591" s="2" t="str">
        <x:v>e253be3f8100743d23e7</x:v>
      </x:c>
      <x:c r="C5591" s="2" t="str">
        <x:v>Cà Mau</x:v>
      </x:c>
      <x:c r="D5591" s="2" t="str">
        <x:v>Thành phố Cà Mau</x:v>
      </x:c>
      <x:c r="E5591" s="2" t="str">
        <x:v>land</x:v>
      </x:c>
      <x:c r="F5591" s="2" t="str">
        <x:v>sale</x:v>
      </x:c>
      <x:c r="G5591" s="11" t="n">
        <x:v>115</x:v>
      </x:c>
      <x:c r="H5591" s="12" t="n">
        <x:v>1500000000</x:v>
      </x:c>
      <x:c r="I5591" s="12" t="n">
        <x:v>13043478.260869564</x:v>
      </x:c>
      <x:c r="J5591" s="2" t="str">
        <x:v>total</x:v>
      </x:c>
      <x:c r="K5591" s="2" t="str">
        <x:v>top_level_area</x:v>
      </x:c>
      <x:c r="L5591" s="2" t="str">
        <x:v>property_type_inferred_from_title</x:v>
      </x:c>
      <x:c r="M5591" s="10" t="n">
        <x:v>0</x:v>
      </x:c>
      <x:c r="N5591" s="10" t="n">
        <x:v>0</x:v>
      </x:c>
      <x:c r="O5591" s="2" t="str">
        <x:v>land</x:v>
      </x:c>
      <x:c r="P5591" s="10" t="n">
        <x:v>2</x:v>
      </x:c>
      <x:c r="Q5591" s="13" t="n">
        <x:f>IF(H5591="","",H5591/1000000000)</x:f>
        <x:v>1.5</x:v>
      </x:c>
      <x:c r="R5591" s="13" t="n">
        <x:f>IF(I5591="","",I5591/1000000)</x:f>
        <x:v>13.043478260869565</x:v>
      </x:c>
    </x:row>
    <x:row r="5592" ht="21" customHeight="1">
      <x:c r="A5592" s="10" t="n">
        <x:v>7307</x:v>
      </x:c>
      <x:c r="B5592" s="2" t="str">
        <x:v>bb97d6f06d7b8486dc2a</x:v>
      </x:c>
      <x:c r="C5592" s="2" t="str">
        <x:v>Hà Nội</x:v>
      </x:c>
      <x:c r="D5592" s="2" t="str">
        <x:v>Quận Đống Đa</x:v>
      </x:c>
      <x:c r="E5592" s="2" t="str">
        <x:v>other_unknown</x:v>
      </x:c>
      <x:c r="F5592" s="2" t="str">
        <x:v>sale_assumed</x:v>
      </x:c>
      <x:c r="G5592" s="11" t="n">
        <x:v>47</x:v>
      </x:c>
      <x:c r="H5592" s="12" t="n">
        <x:v>3250000000</x:v>
      </x:c>
      <x:c r="I5592" s="12" t="n">
        <x:v>69148936.17021276</x:v>
      </x:c>
      <x:c r="J5592" s="2" t="str">
        <x:v>total</x:v>
      </x:c>
      <x:c r="K5592" s="2" t="str">
        <x:v>top_level_area</x:v>
      </x:c>
      <x:c r="L5592" s="2" t="str">
        <x:v>property_type_inferred_from_title;transaction_assumed_sale_from_dataset_context;unknown_property_type</x:v>
      </x:c>
      <x:c r="M5592" s="10" t="n">
        <x:v>0</x:v>
      </x:c>
      <x:c r="N5592" s="10" t="n">
        <x:v>0</x:v>
      </x:c>
      <x:c r="O5592" s="2" t="str">
        <x:v>Hà Nội|other_unknown</x:v>
      </x:c>
      <x:c r="P5592" s="10" t="n">
        <x:v>2</x:v>
      </x:c>
      <x:c r="Q5592" s="13" t="n">
        <x:f>IF(H5592="","",H5592/1000000000)</x:f>
        <x:v>3.25</x:v>
      </x:c>
      <x:c r="R5592" s="13" t="n">
        <x:f>IF(I5592="","",I5592/1000000)</x:f>
        <x:v>69.14893617021276</x:v>
      </x:c>
    </x:row>
    <x:row r="5593" ht="21" customHeight="1">
      <x:c r="A5593" s="10" t="n">
        <x:v>7308</x:v>
      </x:c>
      <x:c r="B5593" s="2" t="str">
        <x:v>2790e609a7dbf156f8e8</x:v>
      </x:c>
      <x:c r="C5593" s="2" t="str">
        <x:v>Cần Thơ</x:v>
      </x:c>
      <x:c r="D5593" s="2" t="str">
        <x:v>Quận Ninh Kiều</x:v>
      </x:c>
      <x:c r="E5593" s="2" t="str">
        <x:v>land</x:v>
      </x:c>
      <x:c r="F5593" s="2" t="str">
        <x:v>sale</x:v>
      </x:c>
      <x:c r="G5593" s="11" t="n">
        <x:v>90</x:v>
      </x:c>
      <x:c r="H5593" s="12" t="n">
        <x:v>720000000</x:v>
      </x:c>
      <x:c r="I5593" s="12" t="n">
        <x:v>8000000</x:v>
      </x:c>
      <x:c r="J5593" s="2" t="str">
        <x:v>total</x:v>
      </x:c>
      <x:c r="K5593" s="2" t="str">
        <x:v>top_level_area</x:v>
      </x:c>
      <x:c r="L5593" s="2" t="str">
        <x:v>property_type_inferred_from_title</x:v>
      </x:c>
      <x:c r="M5593" s="10" t="n">
        <x:v>0</x:v>
      </x:c>
      <x:c r="N5593" s="10" t="n">
        <x:v>0</x:v>
      </x:c>
      <x:c r="O5593" s="2" t="str">
        <x:v>Cần Thơ|land</x:v>
      </x:c>
      <x:c r="P5593" s="10" t="n">
        <x:v>2</x:v>
      </x:c>
      <x:c r="Q5593" s="13" t="n">
        <x:f>IF(H5593="","",H5593/1000000000)</x:f>
        <x:v>0.72</x:v>
      </x:c>
      <x:c r="R5593" s="13" t="n">
        <x:f>IF(I5593="","",I5593/1000000)</x:f>
        <x:v>8</x:v>
      </x:c>
    </x:row>
    <x:row r="5594" ht="21" customHeight="1">
      <x:c r="A5594" s="10" t="n">
        <x:v>7309</x:v>
      </x:c>
      <x:c r="B5594" s="2" t="str">
        <x:v>2aa9b2fb15d3afc645c7</x:v>
      </x:c>
      <x:c r="C5594" s="2" t="str">
        <x:v>Tp Hồ Chí Minh</x:v>
      </x:c>
      <x:c r="D5594" s="2" t="str">
        <x:v>Quận Gò Vấp</x:v>
      </x:c>
      <x:c r="E5594" s="2" t="str">
        <x:v>house</x:v>
      </x:c>
      <x:c r="F5594" s="2" t="str">
        <x:v>sale</x:v>
      </x:c>
      <x:c r="G5594" s="11" t="n">
        <x:v>36</x:v>
      </x:c>
      <x:c r="H5594" s="12" t="n">
        <x:v>1695000000</x:v>
      </x:c>
      <x:c r="I5594" s="12" t="n">
        <x:v>47083333.333333336</x:v>
      </x:c>
      <x:c r="J5594" s="2" t="str">
        <x:v>total</x:v>
      </x:c>
      <x:c r="K5594" s="2" t="str">
        <x:v>top_level_area</x:v>
      </x:c>
      <x:c r="L5594" s="2" t="str">
        <x:v>property_type_inferred_from_title</x:v>
      </x:c>
      <x:c r="M5594" s="10" t="n">
        <x:v>0</x:v>
      </x:c>
      <x:c r="N5594" s="10" t="n">
        <x:v>0</x:v>
      </x:c>
      <x:c r="O5594" s="2" t="str">
        <x:v>Tp Hồ Chí Minh|house</x:v>
      </x:c>
      <x:c r="P5594" s="10" t="n">
        <x:v>2</x:v>
      </x:c>
      <x:c r="Q5594" s="13" t="n">
        <x:f>IF(H5594="","",H5594/1000000000)</x:f>
        <x:v>1.695</x:v>
      </x:c>
      <x:c r="R5594" s="13" t="n">
        <x:f>IF(I5594="","",I5594/1000000)</x:f>
        <x:v>47.083333333333336</x:v>
      </x:c>
    </x:row>
    <x:row r="5595" ht="21" customHeight="1">
      <x:c r="A5595" s="10" t="n">
        <x:v>7310</x:v>
      </x:c>
      <x:c r="B5595" s="2" t="str">
        <x:v>a3cf87e344965cdf4d3a</x:v>
      </x:c>
      <x:c r="C5595" s="2" t="str">
        <x:v>Tp Hồ Chí Minh</x:v>
      </x:c>
      <x:c r="D5595" s="2" t="str">
        <x:v>Quận 9</x:v>
      </x:c>
      <x:c r="E5595" s="2" t="str">
        <x:v>other_unknown</x:v>
      </x:c>
      <x:c r="F5595" s="2" t="str">
        <x:v>sale_assumed</x:v>
      </x:c>
      <x:c r="G5595" s="11" t="n">
        <x:v>88</x:v>
      </x:c>
      <x:c r="H5595" s="12" t="n">
        <x:v>3800000000</x:v>
      </x:c>
      <x:c r="I5595" s="12" t="n">
        <x:v>43181818.18181818</x:v>
      </x:c>
      <x:c r="J5595" s="2" t="str">
        <x:v>total</x:v>
      </x:c>
      <x:c r="K5595" s="2" t="str">
        <x:v>top_level_area</x:v>
      </x:c>
      <x:c r="L5595" s="2" t="str">
        <x:v>property_type_inferred_from_title;transaction_assumed_sale_from_dataset_context;unknown_property_type</x:v>
      </x:c>
      <x:c r="M5595" s="10" t="n">
        <x:v>0</x:v>
      </x:c>
      <x:c r="N5595" s="10" t="n">
        <x:v>0</x:v>
      </x:c>
      <x:c r="O5595" s="2" t="str">
        <x:v>Tp Hồ Chí Minh|other_unknown</x:v>
      </x:c>
      <x:c r="P5595" s="10" t="n">
        <x:v>2</x:v>
      </x:c>
      <x:c r="Q5595" s="13" t="n">
        <x:f>IF(H5595="","",H5595/1000000000)</x:f>
        <x:v>3.8</x:v>
      </x:c>
      <x:c r="R5595" s="13" t="n">
        <x:f>IF(I5595="","",I5595/1000000)</x:f>
        <x:v>43.18181818181818</x:v>
      </x:c>
    </x:row>
    <x:row r="5596" ht="21" customHeight="1">
      <x:c r="A5596" s="10" t="n">
        <x:v>7311</x:v>
      </x:c>
      <x:c r="B5596" s="2" t="str">
        <x:v>588a553c2d2bfbaa48c7</x:v>
      </x:c>
      <x:c r="C5596" s="2" t="str">
        <x:v>Long An</x:v>
      </x:c>
      <x:c r="D5596" s="2" t="str">
        <x:v>Huyện Bến Lức</x:v>
      </x:c>
      <x:c r="E5596" s="2" t="str">
        <x:v>other_unknown</x:v>
      </x:c>
      <x:c r="F5596" s="2" t="str">
        <x:v>sale_assumed</x:v>
      </x:c>
      <x:c r="G5596" s="11" t="n">
        <x:v>80</x:v>
      </x:c>
      <x:c r="H5596" s="12" t="n">
        <x:v>2345000000</x:v>
      </x:c>
      <x:c r="I5596" s="12" t="n">
        <x:v>29312500</x:v>
      </x:c>
      <x:c r="J5596" s="2" t="str">
        <x:v>total</x:v>
      </x:c>
      <x:c r="K5596" s="2" t="str">
        <x:v>top_level_area</x:v>
      </x:c>
      <x:c r="L5596" s="2" t="str">
        <x:v>property_type_inferred_from_title;transaction_assumed_sale_from_dataset_context;unknown_property_type</x:v>
      </x:c>
      <x:c r="M5596" s="10" t="n">
        <x:v>0</x:v>
      </x:c>
      <x:c r="N5596" s="10" t="n">
        <x:v>1</x:v>
      </x:c>
      <x:c r="O5596" s="2" t="str">
        <x:v>Long An|other_unknown</x:v>
      </x:c>
      <x:c r="P5596" s="10" t="n">
        <x:v>-1</x:v>
      </x:c>
      <x:c r="Q5596" s="13" t="n">
        <x:f>IF(H5596="","",H5596/1000000000)</x:f>
        <x:v>2.345</x:v>
      </x:c>
      <x:c r="R5596" s="13" t="n">
        <x:f>IF(I5596="","",I5596/1000000)</x:f>
        <x:v>29.3125</x:v>
      </x:c>
    </x:row>
    <x:row r="5597" ht="21" customHeight="1">
      <x:c r="A5597" s="10" t="n">
        <x:v>7312</x:v>
      </x:c>
      <x:c r="B5597" s="2" t="str">
        <x:v>27b3844733be6282bc16</x:v>
      </x:c>
      <x:c r="C5597" s="2" t="str">
        <x:v>Tp Hồ Chí Minh</x:v>
      </x:c>
      <x:c r="D5597" s="2" t="str">
        <x:v>Quận Thủ Đức</x:v>
      </x:c>
      <x:c r="E5597" s="2" t="str">
        <x:v>house</x:v>
      </x:c>
      <x:c r="F5597" s="2" t="str">
        <x:v>sale</x:v>
      </x:c>
      <x:c r="G5597" s="11" t="n">
        <x:v>48</x:v>
      </x:c>
      <x:c r="H5597" s="12" t="n">
        <x:v>1350000000</x:v>
      </x:c>
      <x:c r="I5597" s="12" t="n">
        <x:v>28125000</x:v>
      </x:c>
      <x:c r="J5597" s="2" t="str">
        <x:v>total</x:v>
      </x:c>
      <x:c r="K5597" s="2" t="str">
        <x:v>top_level_area</x:v>
      </x:c>
      <x:c r="L5597" s="2" t="str">
        <x:v>property_type_inferred_from_title</x:v>
      </x:c>
      <x:c r="M5597" s="10" t="n">
        <x:v>0</x:v>
      </x:c>
      <x:c r="N5597" s="10" t="n">
        <x:v>0</x:v>
      </x:c>
      <x:c r="O5597" s="2" t="str">
        <x:v>Tp Hồ Chí Minh|house</x:v>
      </x:c>
      <x:c r="P5597" s="10" t="n">
        <x:v>2</x:v>
      </x:c>
      <x:c r="Q5597" s="13" t="n">
        <x:f>IF(H5597="","",H5597/1000000000)</x:f>
        <x:v>1.35</x:v>
      </x:c>
      <x:c r="R5597" s="13" t="n">
        <x:f>IF(I5597="","",I5597/1000000)</x:f>
        <x:v>28.125</x:v>
      </x:c>
    </x:row>
    <x:row r="5598" ht="21" customHeight="1">
      <x:c r="A5598" s="10" t="n">
        <x:v>7313</x:v>
      </x:c>
      <x:c r="B5598" s="2" t="str">
        <x:v>9dabb3a724a88889c6af</x:v>
      </x:c>
      <x:c r="C5598" s="2" t="str">
        <x:v>Tp Hồ Chí Minh</x:v>
      </x:c>
      <x:c r="D5598" s="2" t="str">
        <x:v>Quận 9</x:v>
      </x:c>
      <x:c r="E5598" s="2" t="str">
        <x:v>other_unknown</x:v>
      </x:c>
      <x:c r="F5598" s="2" t="str">
        <x:v>sale</x:v>
      </x:c>
      <x:c r="G5598" s="11" t="n">
        <x:v>90</x:v>
      </x:c>
      <x:c r="H5598" s="12" t="n">
        <x:v>3950000000</x:v>
      </x:c>
      <x:c r="I5598" s="12" t="n">
        <x:v>43888888.88888889</x:v>
      </x:c>
      <x:c r="J5598" s="2" t="str">
        <x:v>total</x:v>
      </x:c>
      <x:c r="K5598" s="2" t="str">
        <x:v>top_level_area</x:v>
      </x:c>
      <x:c r="L5598" s="2" t="str">
        <x:v>property_type_inferred_from_title;unknown_property_type</x:v>
      </x:c>
      <x:c r="M5598" s="10" t="n">
        <x:v>0</x:v>
      </x:c>
      <x:c r="N5598" s="10" t="n">
        <x:v>0</x:v>
      </x:c>
      <x:c r="O5598" s="2" t="str">
        <x:v>Tp Hồ Chí Minh|other_unknown</x:v>
      </x:c>
      <x:c r="P5598" s="10" t="n">
        <x:v>2</x:v>
      </x:c>
      <x:c r="Q5598" s="13" t="n">
        <x:f>IF(H5598="","",H5598/1000000000)</x:f>
        <x:v>3.95</x:v>
      </x:c>
      <x:c r="R5598" s="13" t="n">
        <x:f>IF(I5598="","",I5598/1000000)</x:f>
        <x:v>43.888888888888886</x:v>
      </x:c>
    </x:row>
    <x:row r="5599" ht="21" customHeight="1">
      <x:c r="A5599" s="10" t="n">
        <x:v>7314</x:v>
      </x:c>
      <x:c r="B5599" s="2" t="str">
        <x:v>590db64b7be35abf9219</x:v>
      </x:c>
      <x:c r="C5599" s="2" t="str">
        <x:v>Tp Hồ Chí Minh</x:v>
      </x:c>
      <x:c r="D5599" s="2" t="str">
        <x:v>Huyện Hóc Môn</x:v>
      </x:c>
      <x:c r="E5599" s="2" t="str">
        <x:v>apartment</x:v>
      </x:c>
      <x:c r="F5599" s="2" t="str">
        <x:v>sale_assumed</x:v>
      </x:c>
      <x:c r="G5599" s="11" t="n">
        <x:v>51</x:v>
      </x:c>
      <x:c r="H5599" s="12" t="n">
        <x:v>280000000</x:v>
      </x:c>
      <x:c r="I5599" s="12" t="n">
        <x:v>5490196.0784313725</x:v>
      </x:c>
      <x:c r="J5599" s="2" t="str">
        <x:v>total</x:v>
      </x:c>
      <x:c r="K5599" s="2" t="str">
        <x:v>top_level_area</x:v>
      </x:c>
      <x:c r="L5599" s="2" t="str">
        <x:v>property_type_inferred_from_title;transaction_assumed_sale_from_dataset_context</x:v>
      </x:c>
      <x:c r="M5599" s="10" t="n">
        <x:v>0</x:v>
      </x:c>
      <x:c r="N5599" s="10" t="n">
        <x:v>0</x:v>
      </x:c>
      <x:c r="O5599" s="2" t="str">
        <x:v>Tp Hồ Chí Minh|apartment</x:v>
      </x:c>
      <x:c r="P5599" s="10" t="n">
        <x:v>2</x:v>
      </x:c>
      <x:c r="Q5599" s="13" t="n">
        <x:f>IF(H5599="","",H5599/1000000000)</x:f>
        <x:v>0.28</x:v>
      </x:c>
      <x:c r="R5599" s="13" t="n">
        <x:f>IF(I5599="","",I5599/1000000)</x:f>
        <x:v>5.490196078431373</x:v>
      </x:c>
    </x:row>
    <x:row r="5600" ht="21" customHeight="1">
      <x:c r="A5600" s="10" t="n">
        <x:v>7317</x:v>
      </x:c>
      <x:c r="B5600" s="2" t="str">
        <x:v>a8860173c818b73e3d94</x:v>
      </x:c>
      <x:c r="C5600" s="2" t="str">
        <x:v>Đắk Lắk</x:v>
      </x:c>
      <x:c r="D5600" s="2" t="str">
        <x:v>Thành phố Buôn Ma Thuột</x:v>
      </x:c>
      <x:c r="E5600" s="2" t="str">
        <x:v>house</x:v>
      </x:c>
      <x:c r="F5600" s="2" t="str">
        <x:v>sale_assumed</x:v>
      </x:c>
      <x:c r="G5600" s="11" t="n">
        <x:v>116</x:v>
      </x:c>
      <x:c r="H5600" s="12" t="n">
        <x:v>3600000000</x:v>
      </x:c>
      <x:c r="I5600" s="12" t="n">
        <x:v>31034482.75862069</x:v>
      </x:c>
      <x:c r="J5600" s="2" t="str">
        <x:v>total</x:v>
      </x:c>
      <x:c r="K5600" s="2" t="str">
        <x:v>top_level_area</x:v>
      </x:c>
      <x:c r="L5600" s="2" t="str">
        <x:v>property_type_inferred_from_title;transaction_assumed_sale_from_dataset_context</x:v>
      </x:c>
      <x:c r="M5600" s="10" t="n">
        <x:v>0</x:v>
      </x:c>
      <x:c r="N5600" s="10" t="n">
        <x:v>0</x:v>
      </x:c>
      <x:c r="O5600" s="2" t="str">
        <x:v>Đắk Lắk|house</x:v>
      </x:c>
      <x:c r="P5600" s="10" t="n">
        <x:v>2</x:v>
      </x:c>
      <x:c r="Q5600" s="13" t="n">
        <x:f>IF(H5600="","",H5600/1000000000)</x:f>
        <x:v>3.6</x:v>
      </x:c>
      <x:c r="R5600" s="13" t="n">
        <x:f>IF(I5600="","",I5600/1000000)</x:f>
        <x:v>31.03448275862069</x:v>
      </x:c>
    </x:row>
    <x:row r="5601" ht="21" customHeight="1">
      <x:c r="A5601" s="10" t="n">
        <x:v>7318</x:v>
      </x:c>
      <x:c r="B5601" s="2" t="str">
        <x:v>d9c0a00b748613d9cbd6</x:v>
      </x:c>
      <x:c r="C5601" s="2" t="str">
        <x:v>Bình Dương</x:v>
      </x:c>
      <x:c r="D5601" s="2" t="str">
        <x:v>Thị xã Thuận An</x:v>
      </x:c>
      <x:c r="E5601" s="2" t="str">
        <x:v>house</x:v>
      </x:c>
      <x:c r="F5601" s="2" t="str">
        <x:v>sale</x:v>
      </x:c>
      <x:c r="G5601" s="11" t="n">
        <x:v>68</x:v>
      </x:c>
      <x:c r="H5601" s="12" t="n">
        <x:v>2800000000</x:v>
      </x:c>
      <x:c r="I5601" s="12" t="n">
        <x:v>41176470.5882353</x:v>
      </x:c>
      <x:c r="J5601" s="2" t="str">
        <x:v>total</x:v>
      </x:c>
      <x:c r="K5601" s="2" t="str">
        <x:v>top_level_area</x:v>
      </x:c>
      <x:c r="L5601" s="2" t="str">
        <x:v>property_type_inferred_from_title</x:v>
      </x:c>
      <x:c r="M5601" s="10" t="n">
        <x:v>0</x:v>
      </x:c>
      <x:c r="N5601" s="10" t="n">
        <x:v>0</x:v>
      </x:c>
      <x:c r="O5601" s="2" t="str">
        <x:v>Bình Dương|house</x:v>
      </x:c>
      <x:c r="P5601" s="10" t="n">
        <x:v>2</x:v>
      </x:c>
      <x:c r="Q5601" s="13" t="n">
        <x:f>IF(H5601="","",H5601/1000000000)</x:f>
        <x:v>2.8</x:v>
      </x:c>
      <x:c r="R5601" s="13" t="n">
        <x:f>IF(I5601="","",I5601/1000000)</x:f>
        <x:v>41.1764705882353</x:v>
      </x:c>
    </x:row>
    <x:row r="5602" ht="21" customHeight="1">
      <x:c r="A5602" s="10" t="n">
        <x:v>7319</x:v>
      </x:c>
      <x:c r="B5602" s="2" t="str">
        <x:v>81f2b00c81e2a0c30f41</x:v>
      </x:c>
      <x:c r="C5602" s="2" t="str">
        <x:v>Hà Nội</x:v>
      </x:c>
      <x:c r="D5602" s="2" t="str">
        <x:v>Quận Hoàng Mai</x:v>
      </x:c>
      <x:c r="E5602" s="2" t="str">
        <x:v>house</x:v>
      </x:c>
      <x:c r="F5602" s="2" t="str">
        <x:v>sale</x:v>
      </x:c>
      <x:c r="G5602" s="11" t="n">
        <x:v>40</x:v>
      </x:c>
      <x:c r="H5602" s="12" t="n">
        <x:v>3050000000</x:v>
      </x:c>
      <x:c r="I5602" s="12" t="n">
        <x:v>76250000</x:v>
      </x:c>
      <x:c r="J5602" s="2" t="str">
        <x:v>total</x:v>
      </x:c>
      <x:c r="K5602" s="2" t="str">
        <x:v>top_level_area</x:v>
      </x:c>
      <x:c r="L5602" s="2" t="str">
        <x:v>property_type_inferred_from_title</x:v>
      </x:c>
      <x:c r="M5602" s="10" t="n">
        <x:v>0</x:v>
      </x:c>
      <x:c r="N5602" s="10" t="n">
        <x:v>0</x:v>
      </x:c>
      <x:c r="O5602" s="2" t="str">
        <x:v>Hà Nội|house</x:v>
      </x:c>
      <x:c r="P5602" s="10" t="n">
        <x:v>2</x:v>
      </x:c>
      <x:c r="Q5602" s="13" t="n">
        <x:f>IF(H5602="","",H5602/1000000000)</x:f>
        <x:v>3.05</x:v>
      </x:c>
      <x:c r="R5602" s="13" t="n">
        <x:f>IF(I5602="","",I5602/1000000)</x:f>
        <x:v>76.25</x:v>
      </x:c>
    </x:row>
    <x:row r="5603" ht="21" customHeight="1">
      <x:c r="A5603" s="10" t="n">
        <x:v>7320</x:v>
      </x:c>
      <x:c r="B5603" s="2" t="str">
        <x:v>196b9d9a0b69326e84fc</x:v>
      </x:c>
      <x:c r="C5603" s="2" t="str">
        <x:v>Tp Hồ Chí Minh</x:v>
      </x:c>
      <x:c r="D5603" s="2" t="str">
        <x:v>Quận 12</x:v>
      </x:c>
      <x:c r="E5603" s="2" t="str">
        <x:v>house</x:v>
      </x:c>
      <x:c r="F5603" s="2" t="str">
        <x:v>sale</x:v>
      </x:c>
      <x:c r="G5603" s="11" t="n">
        <x:v>108</x:v>
      </x:c>
      <x:c r="H5603" s="12" t="n">
        <x:v>6500000000</x:v>
      </x:c>
      <x:c r="I5603" s="12" t="n">
        <x:v>60185185.18518519</x:v>
      </x:c>
      <x:c r="J5603" s="2" t="str">
        <x:v>total</x:v>
      </x:c>
      <x:c r="K5603" s="2" t="str">
        <x:v>top_level_area</x:v>
      </x:c>
      <x:c r="L5603" s="2" t="str">
        <x:v>property_type_inferred_from_title</x:v>
      </x:c>
      <x:c r="M5603" s="10" t="n">
        <x:v>0</x:v>
      </x:c>
      <x:c r="N5603" s="10" t="n">
        <x:v>0</x:v>
      </x:c>
      <x:c r="O5603" s="2" t="str">
        <x:v>Tp Hồ Chí Minh|house</x:v>
      </x:c>
      <x:c r="P5603" s="10" t="n">
        <x:v>2</x:v>
      </x:c>
      <x:c r="Q5603" s="13" t="n">
        <x:f>IF(H5603="","",H5603/1000000000)</x:f>
        <x:v>6.5</x:v>
      </x:c>
      <x:c r="R5603" s="13" t="n">
        <x:f>IF(I5603="","",I5603/1000000)</x:f>
        <x:v>60.18518518518518</x:v>
      </x:c>
    </x:row>
    <x:row r="5604" ht="21" customHeight="1">
      <x:c r="A5604" s="10" t="n">
        <x:v>7321</x:v>
      </x:c>
      <x:c r="B5604" s="2" t="str">
        <x:v>2ab73cd2607b37f74abb</x:v>
      </x:c>
      <x:c r="C5604" s="2" t="str">
        <x:v>Tp Hồ Chí Minh</x:v>
      </x:c>
      <x:c r="D5604" s="2" t="str">
        <x:v>Quận 9</x:v>
      </x:c>
      <x:c r="E5604" s="2" t="str">
        <x:v>land</x:v>
      </x:c>
      <x:c r="F5604" s="2" t="str">
        <x:v>sale</x:v>
      </x:c>
      <x:c r="G5604" s="11" t="n">
        <x:v>1000</x:v>
      </x:c>
      <x:c r="H5604" s="12" t="n">
        <x:v>20000000000</x:v>
      </x:c>
      <x:c r="I5604" s="12" t="n">
        <x:v>20000000</x:v>
      </x:c>
      <x:c r="J5604" s="2" t="str">
        <x:v>total</x:v>
      </x:c>
      <x:c r="K5604" s="2" t="str">
        <x:v>top_level_area</x:v>
      </x:c>
      <x:c r="L5604" s="2" t="str">
        <x:v>dot_thousands_convention;property_type_inferred_from_title</x:v>
      </x:c>
      <x:c r="M5604" s="10" t="n">
        <x:v>0</x:v>
      </x:c>
      <x:c r="N5604" s="10" t="n">
        <x:v>0</x:v>
      </x:c>
      <x:c r="O5604" s="2" t="str">
        <x:v>Tp Hồ Chí Minh|land</x:v>
      </x:c>
      <x:c r="P5604" s="10" t="n">
        <x:v>1</x:v>
      </x:c>
      <x:c r="Q5604" s="13" t="n">
        <x:f>IF(H5604="","",H5604/1000000000)</x:f>
        <x:v>20</x:v>
      </x:c>
      <x:c r="R5604" s="13" t="n">
        <x:f>IF(I5604="","",I5604/1000000)</x:f>
        <x:v>20</x:v>
      </x:c>
    </x:row>
    <x:row r="5605" ht="21" customHeight="1">
      <x:c r="A5605" s="10" t="n">
        <x:v>7322</x:v>
      </x:c>
      <x:c r="B5605" s="2" t="str">
        <x:v>92c94625654b492911d2</x:v>
      </x:c>
      <x:c r="C5605" s="2" t="str">
        <x:v>Hà Nội</x:v>
      </x:c>
      <x:c r="D5605" s="2" t="str">
        <x:v>Quận Hà Đông</x:v>
      </x:c>
      <x:c r="E5605" s="2" t="str">
        <x:v>house</x:v>
      </x:c>
      <x:c r="F5605" s="2" t="str">
        <x:v>sale_assumed</x:v>
      </x:c>
      <x:c r="G5605" s="11" t="n">
        <x:v>40</x:v>
      </x:c>
      <x:c r="H5605" s="12" t="n">
        <x:v>1400000000</x:v>
      </x:c>
      <x:c r="I5605" s="12" t="n">
        <x:v>35000000</x:v>
      </x:c>
      <x:c r="J5605" s="2" t="str">
        <x:v>total</x:v>
      </x:c>
      <x:c r="K5605" s="2" t="str">
        <x:v>top_level_area</x:v>
      </x:c>
      <x:c r="L5605" s="2" t="str">
        <x:v>property_type_inferred_from_title;transaction_assumed_sale_from_dataset_context</x:v>
      </x:c>
      <x:c r="M5605" s="10" t="n">
        <x:v>0</x:v>
      </x:c>
      <x:c r="N5605" s="10" t="n">
        <x:v>0</x:v>
      </x:c>
      <x:c r="O5605" s="2" t="str">
        <x:v>Hà Nội|house</x:v>
      </x:c>
      <x:c r="P5605" s="10" t="n">
        <x:v>2</x:v>
      </x:c>
      <x:c r="Q5605" s="13" t="n">
        <x:f>IF(H5605="","",H5605/1000000000)</x:f>
        <x:v>1.4</x:v>
      </x:c>
      <x:c r="R5605" s="13" t="n">
        <x:f>IF(I5605="","",I5605/1000000)</x:f>
        <x:v>35</x:v>
      </x:c>
    </x:row>
    <x:row r="5606" ht="21" customHeight="1">
      <x:c r="A5606" s="10" t="n">
        <x:v>7323</x:v>
      </x:c>
      <x:c r="B5606" s="2" t="str">
        <x:v>a13a72b2906edb84362e</x:v>
      </x:c>
      <x:c r="C5606" s="2" t="str">
        <x:v>Đà Nẵng</x:v>
      </x:c>
      <x:c r="D5606" s="2" t="str">
        <x:v>Quận Hải Châu</x:v>
      </x:c>
      <x:c r="E5606" s="2" t="str">
        <x:v>house</x:v>
      </x:c>
      <x:c r="F5606" s="2" t="str">
        <x:v>sale</x:v>
      </x:c>
      <x:c r="G5606" s="11" t="n">
        <x:v>103</x:v>
      </x:c>
      <x:c r="H5606" s="12" t="n">
        <x:v>4600000000</x:v>
      </x:c>
      <x:c r="I5606" s="12" t="n">
        <x:v>44660194.17475728</x:v>
      </x:c>
      <x:c r="J5606" s="2" t="str">
        <x:v>total</x:v>
      </x:c>
      <x:c r="K5606" s="2" t="str">
        <x:v>top_level_area</x:v>
      </x:c>
      <x:c r="L5606" s="2" t="str">
        <x:v>property_type_inferred_from_title</x:v>
      </x:c>
      <x:c r="M5606" s="10" t="n">
        <x:v>0</x:v>
      </x:c>
      <x:c r="N5606" s="10" t="n">
        <x:v>0</x:v>
      </x:c>
      <x:c r="O5606" s="2" t="str">
        <x:v>Đà Nẵng|house</x:v>
      </x:c>
      <x:c r="P5606" s="10" t="n">
        <x:v>2</x:v>
      </x:c>
      <x:c r="Q5606" s="13" t="n">
        <x:f>IF(H5606="","",H5606/1000000000)</x:f>
        <x:v>4.6</x:v>
      </x:c>
      <x:c r="R5606" s="13" t="n">
        <x:f>IF(I5606="","",I5606/1000000)</x:f>
        <x:v>44.66019417475728</x:v>
      </x:c>
    </x:row>
    <x:row r="5607" ht="21" customHeight="1">
      <x:c r="A5607" s="10" t="n">
        <x:v>7324</x:v>
      </x:c>
      <x:c r="B5607" s="2" t="str">
        <x:v>09e35bc058526870c327</x:v>
      </x:c>
      <x:c r="C5607" s="2" t="str">
        <x:v>Quảng Nam</x:v>
      </x:c>
      <x:c r="D5607" s="2" t="str">
        <x:v>Huyện Đại Lộc</x:v>
      </x:c>
      <x:c r="E5607" s="2" t="str">
        <x:v>land</x:v>
      </x:c>
      <x:c r="F5607" s="2" t="str">
        <x:v>sale_assumed</x:v>
      </x:c>
      <x:c r="G5607" s="11" t="n">
        <x:v>135</x:v>
      </x:c>
      <x:c r="H5607" s="12" t="n">
        <x:v>770000000</x:v>
      </x:c>
      <x:c r="I5607" s="12" t="n">
        <x:v>5703703.703703703</x:v>
      </x:c>
      <x:c r="J5607" s="2" t="str">
        <x:v>total</x:v>
      </x:c>
      <x:c r="K5607" s="2" t="str">
        <x:v>top_level_area</x:v>
      </x:c>
      <x:c r="L5607" s="2" t="str">
        <x:v>property_type_inferred_from_title;transaction_assumed_sale_from_dataset_context</x:v>
      </x:c>
      <x:c r="M5607" s="10" t="n">
        <x:v>0</x:v>
      </x:c>
      <x:c r="N5607" s="10" t="n">
        <x:v>0</x:v>
      </x:c>
      <x:c r="O5607" s="2" t="str">
        <x:v>land</x:v>
      </x:c>
      <x:c r="P5607" s="10" t="n">
        <x:v>2</x:v>
      </x:c>
      <x:c r="Q5607" s="13" t="n">
        <x:f>IF(H5607="","",H5607/1000000000)</x:f>
        <x:v>0.77</x:v>
      </x:c>
      <x:c r="R5607" s="13" t="n">
        <x:f>IF(I5607="","",I5607/1000000)</x:f>
        <x:v>5.703703703703703</x:v>
      </x:c>
    </x:row>
    <x:row r="5608" ht="21" customHeight="1">
      <x:c r="A5608" s="10" t="n">
        <x:v>7325</x:v>
      </x:c>
      <x:c r="B5608" s="2" t="str">
        <x:v>3546b7106d49699bb6cd</x:v>
      </x:c>
      <x:c r="C5608" s="2" t="str">
        <x:v>Cần Thơ</x:v>
      </x:c>
      <x:c r="D5608" s="2" t="str">
        <x:v>Quận Cái Răng</x:v>
      </x:c>
      <x:c r="E5608" s="2" t="str">
        <x:v>land</x:v>
      </x:c>
      <x:c r="F5608" s="2" t="str">
        <x:v>sale</x:v>
      </x:c>
      <x:c r="G5608" s="11" t="n">
        <x:v>90</x:v>
      </x:c>
      <x:c r="H5608" s="12" t="n">
        <x:v>2100000000</x:v>
      </x:c>
      <x:c r="I5608" s="12" t="n">
        <x:v>23333333.333333332</x:v>
      </x:c>
      <x:c r="J5608" s="2" t="str">
        <x:v>total</x:v>
      </x:c>
      <x:c r="K5608" s="2" t="str">
        <x:v>top_level_area</x:v>
      </x:c>
      <x:c r="L5608" s="2" t="str">
        <x:v>property_type_inferred_from_title</x:v>
      </x:c>
      <x:c r="M5608" s="10" t="n">
        <x:v>0</x:v>
      </x:c>
      <x:c r="N5608" s="10" t="n">
        <x:v>0</x:v>
      </x:c>
      <x:c r="O5608" s="2" t="str">
        <x:v>Cần Thơ|land</x:v>
      </x:c>
      <x:c r="P5608" s="10" t="n">
        <x:v>2</x:v>
      </x:c>
      <x:c r="Q5608" s="13" t="n">
        <x:f>IF(H5608="","",H5608/1000000000)</x:f>
        <x:v>2.1</x:v>
      </x:c>
      <x:c r="R5608" s="13" t="n">
        <x:f>IF(I5608="","",I5608/1000000)</x:f>
        <x:v>23.333333333333332</x:v>
      </x:c>
    </x:row>
    <x:row r="5609" ht="21" customHeight="1">
      <x:c r="A5609" s="10" t="n">
        <x:v>7326</x:v>
      </x:c>
      <x:c r="B5609" s="2" t="str">
        <x:v>b504e141521e03422e34</x:v>
      </x:c>
      <x:c r="C5609" s="2" t="str">
        <x:v>Tp Hồ Chí Minh</x:v>
      </x:c>
      <x:c r="D5609" s="2" t="str">
        <x:v>Huyện Củ Chi</x:v>
      </x:c>
      <x:c r="E5609" s="2" t="str">
        <x:v>land</x:v>
      </x:c>
      <x:c r="F5609" s="2" t="str">
        <x:v>sale_assumed</x:v>
      </x:c>
      <x:c r="G5609" s="11" t="n">
        <x:v>1300</x:v>
      </x:c>
      <x:c r="H5609" s="12" t="n">
        <x:v>1700000000</x:v>
      </x:c>
      <x:c r="I5609" s="12" t="n">
        <x:v>1307692.3076923077</x:v>
      </x:c>
      <x:c r="J5609" s="2" t="str">
        <x:v>total</x:v>
      </x:c>
      <x:c r="K5609" s="2" t="str">
        <x:v>top_level_area</x:v>
      </x:c>
      <x:c r="L5609" s="2" t="str">
        <x:v>dot_thousands_convention;property_type_inferred_from_title;transaction_assumed_sale_from_dataset_context</x:v>
      </x:c>
      <x:c r="M5609" s="10" t="n">
        <x:v>0</x:v>
      </x:c>
      <x:c r="N5609" s="10" t="n">
        <x:v>0</x:v>
      </x:c>
      <x:c r="O5609" s="2" t="str">
        <x:v>Tp Hồ Chí Minh|land</x:v>
      </x:c>
      <x:c r="P5609" s="10" t="n">
        <x:v>1</x:v>
      </x:c>
      <x:c r="Q5609" s="13" t="n">
        <x:f>IF(H5609="","",H5609/1000000000)</x:f>
        <x:v>1.7</x:v>
      </x:c>
      <x:c r="R5609" s="13" t="n">
        <x:f>IF(I5609="","",I5609/1000000)</x:f>
        <x:v>1.3076923076923077</x:v>
      </x:c>
    </x:row>
    <x:row r="5610" ht="21" customHeight="1">
      <x:c r="A5610" s="10" t="n">
        <x:v>7327</x:v>
      </x:c>
      <x:c r="B5610" s="2" t="str">
        <x:v>bfe448f24abad39c116f</x:v>
      </x:c>
      <x:c r="C5610" s="2" t="str">
        <x:v>Hà Nội</x:v>
      </x:c>
      <x:c r="D5610" s="2" t="str">
        <x:v>Quận Nam Từ Liêm</x:v>
      </x:c>
      <x:c r="E5610" s="2" t="str">
        <x:v>house</x:v>
      </x:c>
      <x:c r="F5610" s="2" t="str">
        <x:v>sale</x:v>
      </x:c>
      <x:c r="G5610" s="11" t="n">
        <x:v>50</x:v>
      </x:c>
      <x:c r="H5610" s="12" t="n">
        <x:v>3290000000</x:v>
      </x:c>
      <x:c r="I5610" s="12" t="n">
        <x:v>65800000</x:v>
      </x:c>
      <x:c r="J5610" s="2" t="str">
        <x:v>total</x:v>
      </x:c>
      <x:c r="K5610" s="2" t="str">
        <x:v>top_level_area</x:v>
      </x:c>
      <x:c r="L5610" s="2" t="str">
        <x:v>property_type_inferred_from_title</x:v>
      </x:c>
      <x:c r="M5610" s="10" t="n">
        <x:v>0</x:v>
      </x:c>
      <x:c r="N5610" s="10" t="n">
        <x:v>0</x:v>
      </x:c>
      <x:c r="O5610" s="2" t="str">
        <x:v>Hà Nội|house</x:v>
      </x:c>
      <x:c r="P5610" s="10" t="n">
        <x:v>2</x:v>
      </x:c>
      <x:c r="Q5610" s="13" t="n">
        <x:f>IF(H5610="","",H5610/1000000000)</x:f>
        <x:v>3.29</x:v>
      </x:c>
      <x:c r="R5610" s="13" t="n">
        <x:f>IF(I5610="","",I5610/1000000)</x:f>
        <x:v>65.8</x:v>
      </x:c>
    </x:row>
    <x:row r="5611" ht="21" customHeight="1">
      <x:c r="A5611" s="10" t="n">
        <x:v>7328</x:v>
      </x:c>
      <x:c r="B5611" s="2" t="str">
        <x:v>c4e6c5c90fabd5f44cca</x:v>
      </x:c>
      <x:c r="C5611" s="2" t="str">
        <x:v>Đà Nẵng</x:v>
      </x:c>
      <x:c r="D5611" s="2" t="str">
        <x:v>Quận Liên Chiểu</x:v>
      </x:c>
      <x:c r="E5611" s="2" t="str">
        <x:v>land</x:v>
      </x:c>
      <x:c r="F5611" s="2" t="str">
        <x:v>sale_assumed</x:v>
      </x:c>
      <x:c r="G5611" s="11" t="n">
        <x:v>8998</x:v>
      </x:c>
      <x:c r="H5611" s="12" t="n">
        <x:v>3700000000</x:v>
      </x:c>
      <x:c r="I5611" s="12" t="n">
        <x:v>411202.48944209825</x:v>
      </x:c>
      <x:c r="J5611" s="2" t="str">
        <x:v>total</x:v>
      </x:c>
      <x:c r="K5611" s="2" t="str">
        <x:v>top_level_area</x:v>
      </x:c>
      <x:c r="L5611" s="2" t="str">
        <x:v>dot_thousands_convention;property_type_inferred_from_title;transaction_assumed_sale_from_dataset_context</x:v>
      </x:c>
      <x:c r="M5611" s="10" t="n">
        <x:v>0</x:v>
      </x:c>
      <x:c r="N5611" s="10" t="n">
        <x:v>0</x:v>
      </x:c>
      <x:c r="O5611" s="2" t="str">
        <x:v>Đà Nẵng|land</x:v>
      </x:c>
      <x:c r="P5611" s="10" t="n">
        <x:v>1</x:v>
      </x:c>
      <x:c r="Q5611" s="13" t="n">
        <x:f>IF(H5611="","",H5611/1000000000)</x:f>
        <x:v>3.7</x:v>
      </x:c>
      <x:c r="R5611" s="13" t="n">
        <x:f>IF(I5611="","",I5611/1000000)</x:f>
        <x:v>0.41120248944209825</x:v>
      </x:c>
    </x:row>
    <x:row r="5612" ht="21" customHeight="1">
      <x:c r="A5612" s="10" t="n">
        <x:v>7329</x:v>
      </x:c>
      <x:c r="B5612" s="2" t="str">
        <x:v>1186bf54a061560e0467</x:v>
      </x:c>
      <x:c r="C5612" s="2" t="str">
        <x:v>Bình Dương</x:v>
      </x:c>
      <x:c r="D5612" s="2" t="str">
        <x:v>Thị xã Thuận An</x:v>
      </x:c>
      <x:c r="E5612" s="2" t="str">
        <x:v>house</x:v>
      </x:c>
      <x:c r="F5612" s="2" t="str">
        <x:v>sale_assumed</x:v>
      </x:c>
      <x:c r="G5612" s="11" t="n">
        <x:v>68</x:v>
      </x:c>
      <x:c r="H5612" s="12" t="n">
        <x:v>2800000000</x:v>
      </x:c>
      <x:c r="I5612" s="12" t="n">
        <x:v>41176470.5882353</x:v>
      </x:c>
      <x:c r="J5612" s="2" t="str">
        <x:v>total</x:v>
      </x:c>
      <x:c r="K5612" s="2" t="str">
        <x:v>top_level_area</x:v>
      </x:c>
      <x:c r="L5612" s="2" t="str">
        <x:v>property_type_inferred_from_title;transaction_assumed_sale_from_dataset_context</x:v>
      </x:c>
      <x:c r="M5612" s="10" t="n">
        <x:v>0</x:v>
      </x:c>
      <x:c r="N5612" s="10" t="n">
        <x:v>0</x:v>
      </x:c>
      <x:c r="O5612" s="2" t="str">
        <x:v>Bình Dương|house</x:v>
      </x:c>
      <x:c r="P5612" s="10" t="n">
        <x:v>2</x:v>
      </x:c>
      <x:c r="Q5612" s="13" t="n">
        <x:f>IF(H5612="","",H5612/1000000000)</x:f>
        <x:v>2.8</x:v>
      </x:c>
      <x:c r="R5612" s="13" t="n">
        <x:f>IF(I5612="","",I5612/1000000)</x:f>
        <x:v>41.1764705882353</x:v>
      </x:c>
    </x:row>
    <x:row r="5613" ht="21" customHeight="1">
      <x:c r="A5613" s="10" t="n">
        <x:v>7330</x:v>
      </x:c>
      <x:c r="B5613" s="2" t="str">
        <x:v>c7533dc3daeafc883a32</x:v>
      </x:c>
      <x:c r="C5613" s="2" t="str">
        <x:v>Hà Nội</x:v>
      </x:c>
      <x:c r="D5613" s="2" t="str">
        <x:v>Quận Hà Đông</x:v>
      </x:c>
      <x:c r="E5613" s="2" t="str">
        <x:v>house</x:v>
      </x:c>
      <x:c r="F5613" s="2" t="str">
        <x:v>sale_assumed</x:v>
      </x:c>
      <x:c r="G5613" s="11" t="n">
        <x:v>34</x:v>
      </x:c>
      <x:c r="H5613" s="12" t="n">
        <x:v>2029999999.9999998</x:v>
      </x:c>
      <x:c r="I5613" s="12" t="n">
        <x:v>59705882.35294117</x:v>
      </x:c>
      <x:c r="J5613" s="2" t="str">
        <x:v>total</x:v>
      </x:c>
      <x:c r="K5613" s="2" t="str">
        <x:v>top_level_area</x:v>
      </x:c>
      <x:c r="L5613" s="2" t="str">
        <x:v>property_type_inferred_from_title;transaction_assumed_sale_from_dataset_context</x:v>
      </x:c>
      <x:c r="M5613" s="10" t="n">
        <x:v>0</x:v>
      </x:c>
      <x:c r="N5613" s="10" t="n">
        <x:v>0</x:v>
      </x:c>
      <x:c r="O5613" s="2" t="str">
        <x:v>Hà Nội|house</x:v>
      </x:c>
      <x:c r="P5613" s="10" t="n">
        <x:v>2</x:v>
      </x:c>
      <x:c r="Q5613" s="13" t="n">
        <x:f>IF(H5613="","",H5613/1000000000)</x:f>
        <x:v>2.03</x:v>
      </x:c>
      <x:c r="R5613" s="13" t="n">
        <x:f>IF(I5613="","",I5613/1000000)</x:f>
        <x:v>59.70588235294117</x:v>
      </x:c>
    </x:row>
    <x:row r="5614" ht="21" customHeight="1">
      <x:c r="A5614" s="10" t="n">
        <x:v>7331</x:v>
      </x:c>
      <x:c r="B5614" s="2" t="str">
        <x:v>ea000a6d84f2492de025</x:v>
      </x:c>
      <x:c r="C5614" s="2" t="str">
        <x:v>Tp Hồ Chí Minh</x:v>
      </x:c>
      <x:c r="D5614" s="2" t="str">
        <x:v>Quận 9</x:v>
      </x:c>
      <x:c r="E5614" s="2" t="str">
        <x:v>other_unknown</x:v>
      </x:c>
      <x:c r="F5614" s="2" t="str">
        <x:v>sale_assumed</x:v>
      </x:c>
      <x:c r="G5614" s="11" t="n">
        <x:v>118</x:v>
      </x:c>
      <x:c r="H5614" s="12" t="n">
        <x:v>6700000000</x:v>
      </x:c>
      <x:c r="I5614" s="12" t="n">
        <x:v>56779661.016949154</x:v>
      </x:c>
      <x:c r="J5614" s="2" t="str">
        <x:v>total</x:v>
      </x:c>
      <x:c r="K5614" s="2" t="str">
        <x:v>top_level_area</x:v>
      </x:c>
      <x:c r="L5614" s="2" t="str">
        <x:v>property_type_inferred_from_title;transaction_assumed_sale_from_dataset_context;unknown_property_type</x:v>
      </x:c>
      <x:c r="M5614" s="10" t="n">
        <x:v>0</x:v>
      </x:c>
      <x:c r="N5614" s="10" t="n">
        <x:v>0</x:v>
      </x:c>
      <x:c r="O5614" s="2" t="str">
        <x:v>Tp Hồ Chí Minh|other_unknown</x:v>
      </x:c>
      <x:c r="P5614" s="10" t="n">
        <x:v>2</x:v>
      </x:c>
      <x:c r="Q5614" s="13" t="n">
        <x:f>IF(H5614="","",H5614/1000000000)</x:f>
        <x:v>6.7</x:v>
      </x:c>
      <x:c r="R5614" s="13" t="n">
        <x:f>IF(I5614="","",I5614/1000000)</x:f>
        <x:v>56.779661016949156</x:v>
      </x:c>
    </x:row>
    <x:row r="5615" ht="21" customHeight="1">
      <x:c r="A5615" s="10" t="n">
        <x:v>7332</x:v>
      </x:c>
      <x:c r="B5615" s="2" t="str">
        <x:v>aadd1030f4801167a661</x:v>
      </x:c>
      <x:c r="C5615" s="2" t="str">
        <x:v>Tp Hồ Chí Minh</x:v>
      </x:c>
      <x:c r="D5615" s="2" t="str">
        <x:v>Quận Thủ Đức</x:v>
      </x:c>
      <x:c r="E5615" s="2" t="str">
        <x:v>house</x:v>
      </x:c>
      <x:c r="F5615" s="2" t="str">
        <x:v>sale</x:v>
      </x:c>
      <x:c r="G5615" s="11" t="n">
        <x:v>52</x:v>
      </x:c>
      <x:c r="H5615" s="12" t="n">
        <x:v>5150000000</x:v>
      </x:c>
      <x:c r="I5615" s="12" t="n">
        <x:v>99038461.53846154</x:v>
      </x:c>
      <x:c r="J5615" s="2" t="str">
        <x:v>total</x:v>
      </x:c>
      <x:c r="K5615" s="2" t="str">
        <x:v>top_level_area</x:v>
      </x:c>
      <x:c r="L5615" s="2" t="str">
        <x:v>property_type_inferred_from_title</x:v>
      </x:c>
      <x:c r="M5615" s="10" t="n">
        <x:v>0</x:v>
      </x:c>
      <x:c r="N5615" s="10" t="n">
        <x:v>0</x:v>
      </x:c>
      <x:c r="O5615" s="2" t="str">
        <x:v>Tp Hồ Chí Minh|house</x:v>
      </x:c>
      <x:c r="P5615" s="10" t="n">
        <x:v>2</x:v>
      </x:c>
      <x:c r="Q5615" s="13" t="n">
        <x:f>IF(H5615="","",H5615/1000000000)</x:f>
        <x:v>5.15</x:v>
      </x:c>
      <x:c r="R5615" s="13" t="n">
        <x:f>IF(I5615="","",I5615/1000000)</x:f>
        <x:v>99.03846153846153</x:v>
      </x:c>
    </x:row>
    <x:row r="5616" ht="21" customHeight="1">
      <x:c r="A5616" s="10" t="n">
        <x:v>7333</x:v>
      </x:c>
      <x:c r="B5616" s="2" t="str">
        <x:v>03472207983075507326</x:v>
      </x:c>
      <x:c r="C5616" s="2" t="str">
        <x:v>Tp Hồ Chí Minh</x:v>
      </x:c>
      <x:c r="D5616" s="2" t="str">
        <x:v>Quận 12</x:v>
      </x:c>
      <x:c r="E5616" s="2" t="str">
        <x:v>house</x:v>
      </x:c>
      <x:c r="F5616" s="2" t="str">
        <x:v>sale_assumed</x:v>
      </x:c>
      <x:c r="G5616" s="11" t="n">
        <x:v>60</x:v>
      </x:c>
      <x:c r="H5616" s="12" t="n">
        <x:v>2850000000</x:v>
      </x:c>
      <x:c r="I5616" s="12" t="n">
        <x:v>47500000</x:v>
      </x:c>
      <x:c r="J5616" s="2" t="str">
        <x:v>total</x:v>
      </x:c>
      <x:c r="K5616" s="2" t="str">
        <x:v>top_level_area</x:v>
      </x:c>
      <x:c r="L5616" s="2" t="str">
        <x:v>property_type_inferred_from_title;transaction_assumed_sale_from_dataset_context</x:v>
      </x:c>
      <x:c r="M5616" s="10" t="n">
        <x:v>0</x:v>
      </x:c>
      <x:c r="N5616" s="10" t="n">
        <x:v>0</x:v>
      </x:c>
      <x:c r="O5616" s="2" t="str">
        <x:v>Tp Hồ Chí Minh|house</x:v>
      </x:c>
      <x:c r="P5616" s="10" t="n">
        <x:v>2</x:v>
      </x:c>
      <x:c r="Q5616" s="13" t="n">
        <x:f>IF(H5616="","",H5616/1000000000)</x:f>
        <x:v>2.85</x:v>
      </x:c>
      <x:c r="R5616" s="13" t="n">
        <x:f>IF(I5616="","",I5616/1000000)</x:f>
        <x:v>47.5</x:v>
      </x:c>
    </x:row>
    <x:row r="5617" ht="21" customHeight="1">
      <x:c r="A5617" s="10" t="n">
        <x:v>7334</x:v>
      </x:c>
      <x:c r="B5617" s="2" t="str">
        <x:v>b2883f2526395335faa5</x:v>
      </x:c>
      <x:c r="C5617" s="2" t="str">
        <x:v>Đà Nẵng</x:v>
      </x:c>
      <x:c r="D5617" s="2" t="str">
        <x:v>Quận Thanh Khê</x:v>
      </x:c>
      <x:c r="E5617" s="2" t="str">
        <x:v>house</x:v>
      </x:c>
      <x:c r="F5617" s="2" t="str">
        <x:v>sale</x:v>
      </x:c>
      <x:c r="G5617" s="11" t="n">
        <x:v>35</x:v>
      </x:c>
      <x:c r="H5617" s="12" t="n">
        <x:v>2200000000</x:v>
      </x:c>
      <x:c r="I5617" s="12" t="n">
        <x:v>62857142.85714286</x:v>
      </x:c>
      <x:c r="J5617" s="2" t="str">
        <x:v>total</x:v>
      </x:c>
      <x:c r="K5617" s="2" t="str">
        <x:v>top_level_area</x:v>
      </x:c>
      <x:c r="L5617" s="2" t="str">
        <x:v>property_type_inferred_from_title</x:v>
      </x:c>
      <x:c r="M5617" s="10" t="n">
        <x:v>0</x:v>
      </x:c>
      <x:c r="N5617" s="10" t="n">
        <x:v>0</x:v>
      </x:c>
      <x:c r="O5617" s="2" t="str">
        <x:v>Đà Nẵng|house</x:v>
      </x:c>
      <x:c r="P5617" s="10" t="n">
        <x:v>2</x:v>
      </x:c>
      <x:c r="Q5617" s="13" t="n">
        <x:f>IF(H5617="","",H5617/1000000000)</x:f>
        <x:v>2.2</x:v>
      </x:c>
      <x:c r="R5617" s="13" t="n">
        <x:f>IF(I5617="","",I5617/1000000)</x:f>
        <x:v>62.85714285714286</x:v>
      </x:c>
    </x:row>
    <x:row r="5618" ht="21" customHeight="1">
      <x:c r="A5618" s="10" t="n">
        <x:v>7335</x:v>
      </x:c>
      <x:c r="B5618" s="2" t="str">
        <x:v>79b516f795825726ff1a</x:v>
      </x:c>
      <x:c r="C5618" s="2" t="str">
        <x:v>Tp Hồ Chí Minh</x:v>
      </x:c>
      <x:c r="D5618" s="2" t="str">
        <x:v>Huyện Bình Chánh</x:v>
      </x:c>
      <x:c r="E5618" s="2" t="str">
        <x:v>house</x:v>
      </x:c>
      <x:c r="F5618" s="2" t="str">
        <x:v>sale_assumed</x:v>
      </x:c>
      <x:c r="G5618" s="11" t="n">
        <x:v>86</x:v>
      </x:c>
      <x:c r="H5618" s="12" t="n">
        <x:v>1650000000</x:v>
      </x:c>
      <x:c r="I5618" s="12" t="n">
        <x:v>19186046.51162791</x:v>
      </x:c>
      <x:c r="J5618" s="2" t="str">
        <x:v>total</x:v>
      </x:c>
      <x:c r="K5618" s="2" t="str">
        <x:v>top_level_area</x:v>
      </x:c>
      <x:c r="L5618" s="2" t="str">
        <x:v>property_type_inferred_from_title;transaction_assumed_sale_from_dataset_context</x:v>
      </x:c>
      <x:c r="M5618" s="10" t="n">
        <x:v>0</x:v>
      </x:c>
      <x:c r="N5618" s="10" t="n">
        <x:v>0</x:v>
      </x:c>
      <x:c r="O5618" s="2" t="str">
        <x:v>Tp Hồ Chí Minh|house</x:v>
      </x:c>
      <x:c r="P5618" s="10" t="n">
        <x:v>2</x:v>
      </x:c>
      <x:c r="Q5618" s="13" t="n">
        <x:f>IF(H5618="","",H5618/1000000000)</x:f>
        <x:v>1.65</x:v>
      </x:c>
      <x:c r="R5618" s="13" t="n">
        <x:f>IF(I5618="","",I5618/1000000)</x:f>
        <x:v>19.186046511627907</x:v>
      </x:c>
    </x:row>
    <x:row r="5619" ht="21" customHeight="1">
      <x:c r="A5619" s="10" t="n">
        <x:v>7336</x:v>
      </x:c>
      <x:c r="B5619" s="2" t="str">
        <x:v>e69945ab804321600803</x:v>
      </x:c>
      <x:c r="C5619" s="2" t="str">
        <x:v>Hà Nội</x:v>
      </x:c>
      <x:c r="D5619" s="2" t="str">
        <x:v>Quận Long Biên</x:v>
      </x:c>
      <x:c r="E5619" s="2" t="str">
        <x:v>land</x:v>
      </x:c>
      <x:c r="F5619" s="2" t="str">
        <x:v>sale</x:v>
      </x:c>
      <x:c r="G5619" s="11" t="n">
        <x:v>150</x:v>
      </x:c>
      <x:c r="H5619" s="12" t="n">
        <x:v>11900000000</x:v>
      </x:c>
      <x:c r="I5619" s="12" t="n">
        <x:v>79333333.33333333</x:v>
      </x:c>
      <x:c r="J5619" s="2" t="str">
        <x:v>total</x:v>
      </x:c>
      <x:c r="K5619" s="2" t="str">
        <x:v>top_level_area</x:v>
      </x:c>
      <x:c r="L5619" s="2" t="str">
        <x:v>property_type_inferred_from_title</x:v>
      </x:c>
      <x:c r="M5619" s="10" t="n">
        <x:v>0</x:v>
      </x:c>
      <x:c r="N5619" s="10" t="n">
        <x:v>0</x:v>
      </x:c>
      <x:c r="O5619" s="2" t="str">
        <x:v>Hà Nội|land</x:v>
      </x:c>
      <x:c r="P5619" s="10" t="n">
        <x:v>2</x:v>
      </x:c>
      <x:c r="Q5619" s="13" t="n">
        <x:f>IF(H5619="","",H5619/1000000000)</x:f>
        <x:v>11.9</x:v>
      </x:c>
      <x:c r="R5619" s="13" t="n">
        <x:f>IF(I5619="","",I5619/1000000)</x:f>
        <x:v>79.33333333333333</x:v>
      </x:c>
    </x:row>
    <x:row r="5620" ht="21" customHeight="1">
      <x:c r="A5620" s="10" t="n">
        <x:v>7341</x:v>
      </x:c>
      <x:c r="B5620" s="2" t="str">
        <x:v>7ae5286abe3fe62a2a3e</x:v>
      </x:c>
      <x:c r="C5620" s="2" t="str">
        <x:v>Hà Nội</x:v>
      </x:c>
      <x:c r="D5620" s="2" t="str">
        <x:v>Quận Nam Từ Liêm</x:v>
      </x:c>
      <x:c r="E5620" s="2" t="str">
        <x:v>house</x:v>
      </x:c>
      <x:c r="F5620" s="2" t="str">
        <x:v>sale</x:v>
      </x:c>
      <x:c r="G5620" s="11" t="n">
        <x:v>50</x:v>
      </x:c>
      <x:c r="H5620" s="12" t="n">
        <x:v>1850000000</x:v>
      </x:c>
      <x:c r="I5620" s="12" t="n">
        <x:v>37000000</x:v>
      </x:c>
      <x:c r="J5620" s="2" t="str">
        <x:v>total</x:v>
      </x:c>
      <x:c r="K5620" s="2" t="str">
        <x:v>top_level_area</x:v>
      </x:c>
      <x:c r="L5620" s="2" t="str">
        <x:v>property_type_inferred_from_title</x:v>
      </x:c>
      <x:c r="M5620" s="10" t="n">
        <x:v>0</x:v>
      </x:c>
      <x:c r="N5620" s="10" t="n">
        <x:v>0</x:v>
      </x:c>
      <x:c r="O5620" s="2" t="str">
        <x:v>Hà Nội|house</x:v>
      </x:c>
      <x:c r="P5620" s="10" t="n">
        <x:v>2</x:v>
      </x:c>
      <x:c r="Q5620" s="13" t="n">
        <x:f>IF(H5620="","",H5620/1000000000)</x:f>
        <x:v>1.85</x:v>
      </x:c>
      <x:c r="R5620" s="13" t="n">
        <x:f>IF(I5620="","",I5620/1000000)</x:f>
        <x:v>37</x:v>
      </x:c>
    </x:row>
    <x:row r="5621" ht="21" customHeight="1">
      <x:c r="A5621" s="10" t="n">
        <x:v>7342</x:v>
      </x:c>
      <x:c r="B5621" s="2" t="str">
        <x:v>bc62dffb82ec10d54f90</x:v>
      </x:c>
      <x:c r="C5621" s="2" t="str">
        <x:v>Tp Hồ Chí Minh</x:v>
      </x:c>
      <x:c r="D5621" s="2" t="str">
        <x:v>Huyện Hóc Môn</x:v>
      </x:c>
      <x:c r="E5621" s="2" t="str">
        <x:v>land</x:v>
      </x:c>
      <x:c r="F5621" s="2" t="str">
        <x:v>sale_assumed</x:v>
      </x:c>
      <x:c r="G5621" s="11" t="n">
        <x:v>178</x:v>
      </x:c>
      <x:c r="H5621" s="12" t="n">
        <x:v>920000000</x:v>
      </x:c>
      <x:c r="I5621" s="12" t="n">
        <x:v>5168539.325842696</x:v>
      </x:c>
      <x:c r="J5621" s="2" t="str">
        <x:v>total</x:v>
      </x:c>
      <x:c r="K5621" s="2" t="str">
        <x:v>top_level_area</x:v>
      </x:c>
      <x:c r="L5621" s="2" t="str">
        <x:v>property_type_inferred_from_title;transaction_assumed_sale_from_dataset_context</x:v>
      </x:c>
      <x:c r="M5621" s="10" t="n">
        <x:v>0</x:v>
      </x:c>
      <x:c r="N5621" s="10" t="n">
        <x:v>0</x:v>
      </x:c>
      <x:c r="O5621" s="2" t="str">
        <x:v>Tp Hồ Chí Minh|land</x:v>
      </x:c>
      <x:c r="P5621" s="10" t="n">
        <x:v>1</x:v>
      </x:c>
      <x:c r="Q5621" s="13" t="n">
        <x:f>IF(H5621="","",H5621/1000000000)</x:f>
        <x:v>0.92</x:v>
      </x:c>
      <x:c r="R5621" s="13" t="n">
        <x:f>IF(I5621="","",I5621/1000000)</x:f>
        <x:v>5.168539325842696</x:v>
      </x:c>
    </x:row>
    <x:row r="5622" ht="21" customHeight="1">
      <x:c r="A5622" s="10" t="n">
        <x:v>7343</x:v>
      </x:c>
      <x:c r="B5622" s="2" t="str">
        <x:v>a056257e2489a6bf881e</x:v>
      </x:c>
      <x:c r="C5622" s="2" t="str">
        <x:v>Tp Hồ Chí Minh</x:v>
      </x:c>
      <x:c r="D5622" s="2" t="str">
        <x:v>Quận Bình Thạnh</x:v>
      </x:c>
      <x:c r="E5622" s="2" t="str">
        <x:v>house</x:v>
      </x:c>
      <x:c r="F5622" s="2" t="str">
        <x:v>sale_assumed</x:v>
      </x:c>
      <x:c r="G5622" s="11" t="n">
        <x:v>21</x:v>
      </x:c>
      <x:c r="H5622" s="12" t="n">
        <x:v>1540000000</x:v>
      </x:c>
      <x:c r="I5622" s="12" t="n">
        <x:v>73333333.33333333</x:v>
      </x:c>
      <x:c r="J5622" s="2" t="str">
        <x:v>total</x:v>
      </x:c>
      <x:c r="K5622" s="2" t="str">
        <x:v>top_level_area</x:v>
      </x:c>
      <x:c r="L5622" s="2" t="str">
        <x:v>property_type_inferred_from_title;transaction_assumed_sale_from_dataset_context</x:v>
      </x:c>
      <x:c r="M5622" s="10" t="n">
        <x:v>0</x:v>
      </x:c>
      <x:c r="N5622" s="10" t="n">
        <x:v>0</x:v>
      </x:c>
      <x:c r="O5622" s="2" t="str">
        <x:v>Tp Hồ Chí Minh|house</x:v>
      </x:c>
      <x:c r="P5622" s="10" t="n">
        <x:v>2</x:v>
      </x:c>
      <x:c r="Q5622" s="13" t="n">
        <x:f>IF(H5622="","",H5622/1000000000)</x:f>
        <x:v>1.54</x:v>
      </x:c>
      <x:c r="R5622" s="13" t="n">
        <x:f>IF(I5622="","",I5622/1000000)</x:f>
        <x:v>73.33333333333333</x:v>
      </x:c>
    </x:row>
    <x:row r="5623" ht="21" customHeight="1">
      <x:c r="A5623" s="10" t="n">
        <x:v>7344</x:v>
      </x:c>
      <x:c r="B5623" s="2" t="str">
        <x:v>4df6d1571edeb284b647</x:v>
      </x:c>
      <x:c r="C5623" s="2" t="str">
        <x:v>Sóc Trăng</x:v>
      </x:c>
      <x:c r="D5623" s="2" t="str">
        <x:v>Thành phố Sóc Trăng</x:v>
      </x:c>
      <x:c r="E5623" s="2" t="str">
        <x:v>land</x:v>
      </x:c>
      <x:c r="F5623" s="2" t="str">
        <x:v>sale</x:v>
      </x:c>
      <x:c r="G5623" s="11" t="n">
        <x:v>160</x:v>
      </x:c>
      <x:c r="H5623" s="12" t="n">
        <x:v>2200000000</x:v>
      </x:c>
      <x:c r="I5623" s="12" t="n">
        <x:v>13750000</x:v>
      </x:c>
      <x:c r="J5623" s="2" t="str">
        <x:v>total</x:v>
      </x:c>
      <x:c r="K5623" s="2" t="str">
        <x:v>top_level_area</x:v>
      </x:c>
      <x:c r="L5623" s="2" t="str">
        <x:v>property_type_inferred_from_title</x:v>
      </x:c>
      <x:c r="M5623" s="10" t="n">
        <x:v>0</x:v>
      </x:c>
      <x:c r="N5623" s="10" t="n">
        <x:v>0</x:v>
      </x:c>
      <x:c r="O5623" s="2" t="str">
        <x:v>land</x:v>
      </x:c>
      <x:c r="P5623" s="10" t="n">
        <x:v>2</x:v>
      </x:c>
      <x:c r="Q5623" s="13" t="n">
        <x:f>IF(H5623="","",H5623/1000000000)</x:f>
        <x:v>2.2</x:v>
      </x:c>
      <x:c r="R5623" s="13" t="n">
        <x:f>IF(I5623="","",I5623/1000000)</x:f>
        <x:v>13.75</x:v>
      </x:c>
    </x:row>
    <x:row r="5624" ht="21" customHeight="1">
      <x:c r="A5624" s="10" t="n">
        <x:v>7345</x:v>
      </x:c>
      <x:c r="B5624" s="2" t="str">
        <x:v>41ba063a0f56a09681be</x:v>
      </x:c>
      <x:c r="C5624" s="2" t="str">
        <x:v>Tp Hồ Chí Minh</x:v>
      </x:c>
      <x:c r="D5624" s="2" t="str">
        <x:v>Quận Bình Tân</x:v>
      </x:c>
      <x:c r="E5624" s="2" t="str">
        <x:v>other_unknown</x:v>
      </x:c>
      <x:c r="F5624" s="2" t="str">
        <x:v>sale_assumed</x:v>
      </x:c>
      <x:c r="G5624" s="11" t="n">
        <x:v>240</x:v>
      </x:c>
      <x:c r="H5624" s="12" t="n">
        <x:v>7700000000</x:v>
      </x:c>
      <x:c r="I5624" s="12" t="n">
        <x:v>32083333.333333332</x:v>
      </x:c>
      <x:c r="J5624" s="2" t="str">
        <x:v>total</x:v>
      </x:c>
      <x:c r="K5624" s="2" t="str">
        <x:v>top_level_area</x:v>
      </x:c>
      <x:c r="L5624" s="2" t="str">
        <x:v>property_type_inferred_from_title;transaction_assumed_sale_from_dataset_context;unknown_property_type</x:v>
      </x:c>
      <x:c r="M5624" s="10" t="n">
        <x:v>0</x:v>
      </x:c>
      <x:c r="N5624" s="10" t="n">
        <x:v>0</x:v>
      </x:c>
      <x:c r="O5624" s="2" t="str">
        <x:v>Tp Hồ Chí Minh|other_unknown</x:v>
      </x:c>
      <x:c r="P5624" s="10" t="n">
        <x:v>2</x:v>
      </x:c>
      <x:c r="Q5624" s="13" t="n">
        <x:f>IF(H5624="","",H5624/1000000000)</x:f>
        <x:v>7.7</x:v>
      </x:c>
      <x:c r="R5624" s="13" t="n">
        <x:f>IF(I5624="","",I5624/1000000)</x:f>
        <x:v>32.08333333333333</x:v>
      </x:c>
    </x:row>
    <x:row r="5625" ht="21" customHeight="1">
      <x:c r="A5625" s="10" t="n">
        <x:v>7346</x:v>
      </x:c>
      <x:c r="B5625" s="2" t="str">
        <x:v>dc992d7b58e73078275f</x:v>
      </x:c>
      <x:c r="C5625" s="2" t="str">
        <x:v>Hà Nội</x:v>
      </x:c>
      <x:c r="D5625" s="2" t="str">
        <x:v>Quận Hà Đông</x:v>
      </x:c>
      <x:c r="E5625" s="2" t="str">
        <x:v>house</x:v>
      </x:c>
      <x:c r="F5625" s="2" t="str">
        <x:v>sale_assumed</x:v>
      </x:c>
      <x:c r="G5625" s="11" t="n">
        <x:v>35</x:v>
      </x:c>
      <x:c r="H5625" s="12" t="n">
        <x:v>1460000000</x:v>
      </x:c>
      <x:c r="I5625" s="12" t="n">
        <x:v>41714285.71428572</x:v>
      </x:c>
      <x:c r="J5625" s="2" t="str">
        <x:v>total</x:v>
      </x:c>
      <x:c r="K5625" s="2" t="str">
        <x:v>top_level_area</x:v>
      </x:c>
      <x:c r="L5625" s="2" t="str">
        <x:v>property_type_inferred_from_title;transaction_assumed_sale_from_dataset_context</x:v>
      </x:c>
      <x:c r="M5625" s="10" t="n">
        <x:v>0</x:v>
      </x:c>
      <x:c r="N5625" s="10" t="n">
        <x:v>0</x:v>
      </x:c>
      <x:c r="O5625" s="2" t="str">
        <x:v>Hà Nội|house</x:v>
      </x:c>
      <x:c r="P5625" s="10" t="n">
        <x:v>2</x:v>
      </x:c>
      <x:c r="Q5625" s="13" t="n">
        <x:f>IF(H5625="","",H5625/1000000000)</x:f>
        <x:v>1.46</x:v>
      </x:c>
      <x:c r="R5625" s="13" t="n">
        <x:f>IF(I5625="","",I5625/1000000)</x:f>
        <x:v>41.714285714285715</x:v>
      </x:c>
    </x:row>
    <x:row r="5626" ht="21" customHeight="1">
      <x:c r="A5626" s="10" t="n">
        <x:v>7347</x:v>
      </x:c>
      <x:c r="B5626" s="2" t="str">
        <x:v>91cb9744c26052b5837b</x:v>
      </x:c>
      <x:c r="C5626" s="2" t="str">
        <x:v>Cần Thơ</x:v>
      </x:c>
      <x:c r="D5626" s="2" t="str">
        <x:v>Quận Ninh Kiều</x:v>
      </x:c>
      <x:c r="E5626" s="2" t="str">
        <x:v>house</x:v>
      </x:c>
      <x:c r="F5626" s="2" t="str">
        <x:v>sale</x:v>
      </x:c>
      <x:c r="G5626" s="11" t="n">
        <x:v>11</x:v>
      </x:c>
      <x:c r="H5626" s="12" t="n">
        <x:v>2300000000</x:v>
      </x:c>
      <x:c r="I5626" s="12" t="n">
        <x:v>209090909.0909091</x:v>
      </x:c>
      <x:c r="J5626" s="2" t="str">
        <x:v>total</x:v>
      </x:c>
      <x:c r="K5626" s="2" t="str">
        <x:v>top_level_price_embedded_area</x:v>
      </x:c>
      <x:c r="L5626" s="2" t="str">
        <x:v>area_recovered_from_price_text;property_type_inferred_from_title</x:v>
      </x:c>
      <x:c r="M5626" s="10" t="n">
        <x:v>1</x:v>
      </x:c>
      <x:c r="N5626" s="10" t="n">
        <x:v>1</x:v>
      </x:c>
      <x:c r="O5626" s="2" t="str">
        <x:v>Cần Thơ|house</x:v>
      </x:c>
      <x:c r="P5626" s="10" t="n">
        <x:v>-1</x:v>
      </x:c>
      <x:c r="Q5626" s="13" t="n">
        <x:f>IF(H5626="","",H5626/1000000000)</x:f>
        <x:v>2.3</x:v>
      </x:c>
      <x:c r="R5626" s="13" t="n">
        <x:f>IF(I5626="","",I5626/1000000)</x:f>
        <x:v>209.0909090909091</x:v>
      </x:c>
    </x:row>
    <x:row r="5627" ht="21" customHeight="1">
      <x:c r="A5627" s="10" t="n">
        <x:v>7348</x:v>
      </x:c>
      <x:c r="B5627" s="2" t="str">
        <x:v>adca3873887e27bc0969</x:v>
      </x:c>
      <x:c r="C5627" s="2" t="str">
        <x:v>Long An</x:v>
      </x:c>
      <x:c r="D5627" s="2" t="str">
        <x:v>Thành phố Tân An</x:v>
      </x:c>
      <x:c r="E5627" s="2" t="str">
        <x:v>house</x:v>
      </x:c>
      <x:c r="F5627" s="2" t="str">
        <x:v>sale</x:v>
      </x:c>
      <x:c r="G5627" s="11" t="n">
        <x:v>67</x:v>
      </x:c>
      <x:c r="H5627" s="12" t="n">
        <x:v>1500000000</x:v>
      </x:c>
      <x:c r="I5627" s="12" t="n">
        <x:v>22388059.701492537</x:v>
      </x:c>
      <x:c r="J5627" s="2" t="str">
        <x:v>total</x:v>
      </x:c>
      <x:c r="K5627" s="2" t="str">
        <x:v>top_level_price_embedded_area</x:v>
      </x:c>
      <x:c r="L5627" s="2" t="str">
        <x:v>area_recovered_from_price_text;property_type_inferred_from_title</x:v>
      </x:c>
      <x:c r="M5627" s="10" t="n">
        <x:v>0</x:v>
      </x:c>
      <x:c r="N5627" s="10" t="n">
        <x:v>0</x:v>
      </x:c>
      <x:c r="O5627" s="2" t="str">
        <x:v>Long An|house</x:v>
      </x:c>
      <x:c r="P5627" s="10" t="n">
        <x:v>2</x:v>
      </x:c>
      <x:c r="Q5627" s="13" t="n">
        <x:f>IF(H5627="","",H5627/1000000000)</x:f>
        <x:v>1.5</x:v>
      </x:c>
      <x:c r="R5627" s="13" t="n">
        <x:f>IF(I5627="","",I5627/1000000)</x:f>
        <x:v>22.388059701492537</x:v>
      </x:c>
    </x:row>
    <x:row r="5628" ht="21" customHeight="1">
      <x:c r="A5628" s="10" t="n">
        <x:v>7349</x:v>
      </x:c>
      <x:c r="B5628" s="2" t="str">
        <x:v>75d2fea0a6c44c80e620</x:v>
      </x:c>
      <x:c r="C5628" s="2" t="str">
        <x:v>Tp Hồ Chí Minh</x:v>
      </x:c>
      <x:c r="D5628" s="2" t="str">
        <x:v>Quận Phú Nhuận</x:v>
      </x:c>
      <x:c r="E5628" s="2" t="str">
        <x:v>house</x:v>
      </x:c>
      <x:c r="F5628" s="2" t="str">
        <x:v>sale_assumed</x:v>
      </x:c>
      <x:c r="G5628" s="11" t="n">
        <x:v>55</x:v>
      </x:c>
      <x:c r="H5628" s="12" t="n">
        <x:v>2190000000</x:v>
      </x:c>
      <x:c r="I5628" s="12" t="n">
        <x:v>39818181.81818182</x:v>
      </x:c>
      <x:c r="J5628" s="2" t="str">
        <x:v>total</x:v>
      </x:c>
      <x:c r="K5628" s="2" t="str">
        <x:v>top_level_area</x:v>
      </x:c>
      <x:c r="L5628" s="2" t="str">
        <x:v>property_type_inferred_from_title;transaction_assumed_sale_from_dataset_context</x:v>
      </x:c>
      <x:c r="M5628" s="10" t="n">
        <x:v>0</x:v>
      </x:c>
      <x:c r="N5628" s="10" t="n">
        <x:v>0</x:v>
      </x:c>
      <x:c r="O5628" s="2" t="str">
        <x:v>Tp Hồ Chí Minh|house</x:v>
      </x:c>
      <x:c r="P5628" s="10" t="n">
        <x:v>2</x:v>
      </x:c>
      <x:c r="Q5628" s="13" t="n">
        <x:f>IF(H5628="","",H5628/1000000000)</x:f>
        <x:v>2.19</x:v>
      </x:c>
      <x:c r="R5628" s="13" t="n">
        <x:f>IF(I5628="","",I5628/1000000)</x:f>
        <x:v>39.81818181818182</x:v>
      </x:c>
    </x:row>
    <x:row r="5629" ht="21" customHeight="1">
      <x:c r="A5629" s="10" t="n">
        <x:v>7350</x:v>
      </x:c>
      <x:c r="B5629" s="2" t="str">
        <x:v>a24ba164289c0a356f85</x:v>
      </x:c>
      <x:c r="C5629" s="2" t="str">
        <x:v>Đà Nẵng</x:v>
      </x:c>
      <x:c r="D5629" s="2" t="str">
        <x:v>Quận Liên Chiểu</x:v>
      </x:c>
      <x:c r="E5629" s="2" t="str">
        <x:v>land</x:v>
      </x:c>
      <x:c r="F5629" s="2" t="str">
        <x:v>sale_assumed</x:v>
      </x:c>
      <x:c r="G5629" s="11" t="n">
        <x:v>100</x:v>
      </x:c>
      <x:c r="H5629" s="12" t="n">
        <x:v>3100000000</x:v>
      </x:c>
      <x:c r="I5629" s="12" t="n">
        <x:v>31000000</x:v>
      </x:c>
      <x:c r="J5629" s="2" t="str">
        <x:v>total</x:v>
      </x:c>
      <x:c r="K5629" s="2" t="str">
        <x:v>top_level_area</x:v>
      </x:c>
      <x:c r="L5629" s="2" t="str">
        <x:v>property_type_inferred_from_title;transaction_assumed_sale_from_dataset_context</x:v>
      </x:c>
      <x:c r="M5629" s="10" t="n">
        <x:v>0</x:v>
      </x:c>
      <x:c r="N5629" s="10" t="n">
        <x:v>0</x:v>
      </x:c>
      <x:c r="O5629" s="2" t="str">
        <x:v>Đà Nẵng|land</x:v>
      </x:c>
      <x:c r="P5629" s="10" t="n">
        <x:v>2</x:v>
      </x:c>
      <x:c r="Q5629" s="13" t="n">
        <x:f>IF(H5629="","",H5629/1000000000)</x:f>
        <x:v>3.1</x:v>
      </x:c>
      <x:c r="R5629" s="13" t="n">
        <x:f>IF(I5629="","",I5629/1000000)</x:f>
        <x:v>31</x:v>
      </x:c>
    </x:row>
    <x:row r="5630" ht="21" customHeight="1">
      <x:c r="A5630" s="10" t="n">
        <x:v>7351</x:v>
      </x:c>
      <x:c r="B5630" s="2" t="str">
        <x:v>35a7d51bca3c2f48b3fd</x:v>
      </x:c>
      <x:c r="C5630" s="2" t="str">
        <x:v>Tp Hồ Chí Minh</x:v>
      </x:c>
      <x:c r="D5630" s="2" t="str">
        <x:v>Quận 12</x:v>
      </x:c>
      <x:c r="E5630" s="2" t="str">
        <x:v>house</x:v>
      </x:c>
      <x:c r="F5630" s="2" t="str">
        <x:v>sale_assumed</x:v>
      </x:c>
      <x:c r="G5630" s="11" t="n">
        <x:v>76</x:v>
      </x:c>
      <x:c r="H5630" s="12" t="n">
        <x:v>4800000000</x:v>
      </x:c>
      <x:c r="I5630" s="12" t="n">
        <x:v>63157894.7368421</x:v>
      </x:c>
      <x:c r="J5630" s="2" t="str">
        <x:v>total</x:v>
      </x:c>
      <x:c r="K5630" s="2" t="str">
        <x:v>top_level_area</x:v>
      </x:c>
      <x:c r="L5630" s="2" t="str">
        <x:v>property_type_inferred_from_title;transaction_assumed_sale_from_dataset_context</x:v>
      </x:c>
      <x:c r="M5630" s="10" t="n">
        <x:v>0</x:v>
      </x:c>
      <x:c r="N5630" s="10" t="n">
        <x:v>0</x:v>
      </x:c>
      <x:c r="O5630" s="2" t="str">
        <x:v>Tp Hồ Chí Minh|house</x:v>
      </x:c>
      <x:c r="P5630" s="10" t="n">
        <x:v>2</x:v>
      </x:c>
      <x:c r="Q5630" s="13" t="n">
        <x:f>IF(H5630="","",H5630/1000000000)</x:f>
        <x:v>4.8</x:v>
      </x:c>
      <x:c r="R5630" s="13" t="n">
        <x:f>IF(I5630="","",I5630/1000000)</x:f>
        <x:v>63.1578947368421</x:v>
      </x:c>
    </x:row>
    <x:row r="5631" ht="21" customHeight="1">
      <x:c r="A5631" s="10" t="n">
        <x:v>7352</x:v>
      </x:c>
      <x:c r="B5631" s="2" t="str">
        <x:v>19bf567ad0bdfdaee0df</x:v>
      </x:c>
      <x:c r="C5631" s="2" t="str">
        <x:v>Quảng Nam</x:v>
      </x:c>
      <x:c r="D5631" s="2" t="str">
        <x:v>Thị xã Điện Bàn</x:v>
      </x:c>
      <x:c r="E5631" s="2" t="str">
        <x:v>land</x:v>
      </x:c>
      <x:c r="F5631" s="2" t="str">
        <x:v>sale</x:v>
      </x:c>
      <x:c r="G5631" s="11" t="n">
        <x:v>130</x:v>
      </x:c>
      <x:c r="H5631" s="12" t="n">
        <x:v>2000000000</x:v>
      </x:c>
      <x:c r="I5631" s="12" t="n">
        <x:v>15384615.384615384</x:v>
      </x:c>
      <x:c r="J5631" s="2" t="str">
        <x:v>total</x:v>
      </x:c>
      <x:c r="K5631" s="2" t="str">
        <x:v>top_level_area</x:v>
      </x:c>
      <x:c r="L5631" s="2" t="str">
        <x:v>property_type_inferred_from_title</x:v>
      </x:c>
      <x:c r="M5631" s="10" t="n">
        <x:v>0</x:v>
      </x:c>
      <x:c r="N5631" s="10" t="n">
        <x:v>0</x:v>
      </x:c>
      <x:c r="O5631" s="2" t="str">
        <x:v>land</x:v>
      </x:c>
      <x:c r="P5631" s="10" t="n">
        <x:v>2</x:v>
      </x:c>
      <x:c r="Q5631" s="13" t="n">
        <x:f>IF(H5631="","",H5631/1000000000)</x:f>
        <x:v>2</x:v>
      </x:c>
      <x:c r="R5631" s="13" t="n">
        <x:f>IF(I5631="","",I5631/1000000)</x:f>
        <x:v>15.384615384615383</x:v>
      </x:c>
    </x:row>
    <x:row r="5632" ht="21" customHeight="1">
      <x:c r="A5632" s="10" t="n">
        <x:v>7353</x:v>
      </x:c>
      <x:c r="B5632" s="2" t="str">
        <x:v>13a4c60bf89f7068114e</x:v>
      </x:c>
      <x:c r="C5632" s="2" t="str">
        <x:v>Tp Hồ Chí Minh</x:v>
      </x:c>
      <x:c r="D5632" s="2" t="str">
        <x:v>Quận Bình Tân</x:v>
      </x:c>
      <x:c r="E5632" s="2" t="str">
        <x:v>house</x:v>
      </x:c>
      <x:c r="F5632" s="2" t="str">
        <x:v>sale_assumed</x:v>
      </x:c>
      <x:c r="G5632" s="11" t="n">
        <x:v>200</x:v>
      </x:c>
      <x:c r="H5632" s="12" t="n">
        <x:v>6400000000</x:v>
      </x:c>
      <x:c r="I5632" s="12" t="n">
        <x:v>32000000</x:v>
      </x:c>
      <x:c r="J5632" s="2" t="str">
        <x:v>total</x:v>
      </x:c>
      <x:c r="K5632" s="2" t="str">
        <x:v>top_level_area</x:v>
      </x:c>
      <x:c r="L5632" s="2" t="str">
        <x:v>property_type_inferred_from_title;transaction_assumed_sale_from_dataset_context</x:v>
      </x:c>
      <x:c r="M5632" s="10" t="n">
        <x:v>0</x:v>
      </x:c>
      <x:c r="N5632" s="10" t="n">
        <x:v>0</x:v>
      </x:c>
      <x:c r="O5632" s="2" t="str">
        <x:v>Tp Hồ Chí Minh|house</x:v>
      </x:c>
      <x:c r="P5632" s="10" t="n">
        <x:v>2</x:v>
      </x:c>
      <x:c r="Q5632" s="13" t="n">
        <x:f>IF(H5632="","",H5632/1000000000)</x:f>
        <x:v>6.4</x:v>
      </x:c>
      <x:c r="R5632" s="13" t="n">
        <x:f>IF(I5632="","",I5632/1000000)</x:f>
        <x:v>32</x:v>
      </x:c>
    </x:row>
    <x:row r="5633" ht="21" customHeight="1">
      <x:c r="A5633" s="10" t="n">
        <x:v>7354</x:v>
      </x:c>
      <x:c r="B5633" s="2" t="str">
        <x:v>5c58aa4f0d1b50977fba</x:v>
      </x:c>
      <x:c r="C5633" s="2" t="str">
        <x:v>Bến Tre</x:v>
      </x:c>
      <x:c r="D5633" s="2" t="str">
        <x:v>Thành phố Bến Tre</x:v>
      </x:c>
      <x:c r="E5633" s="2" t="str">
        <x:v>land</x:v>
      </x:c>
      <x:c r="F5633" s="2" t="str">
        <x:v>sale_assumed</x:v>
      </x:c>
      <x:c r="G5633" s="11" t="n">
        <x:v>104</x:v>
      </x:c>
      <x:c r="H5633" s="12" t="n">
        <x:v>1144000000</x:v>
      </x:c>
      <x:c r="I5633" s="12" t="n">
        <x:v>11000000</x:v>
      </x:c>
      <x:c r="J5633" s="2" t="str">
        <x:v>total</x:v>
      </x:c>
      <x:c r="K5633" s="2" t="str">
        <x:v>top_level_area</x:v>
      </x:c>
      <x:c r="L5633" s="2" t="str">
        <x:v>property_type_inferred_from_title;transaction_assumed_sale_from_dataset_context</x:v>
      </x:c>
      <x:c r="M5633" s="10" t="n">
        <x:v>0</x:v>
      </x:c>
      <x:c r="N5633" s="10" t="n">
        <x:v>0</x:v>
      </x:c>
      <x:c r="O5633" s="2" t="str">
        <x:v>Bến Tre|land</x:v>
      </x:c>
      <x:c r="P5633" s="10" t="n">
        <x:v>2</x:v>
      </x:c>
      <x:c r="Q5633" s="13" t="n">
        <x:f>IF(H5633="","",H5633/1000000000)</x:f>
        <x:v>1.144</x:v>
      </x:c>
      <x:c r="R5633" s="13" t="n">
        <x:f>IF(I5633="","",I5633/1000000)</x:f>
        <x:v>11</x:v>
      </x:c>
    </x:row>
    <x:row r="5634" ht="21" customHeight="1">
      <x:c r="A5634" s="10" t="n">
        <x:v>7355</x:v>
      </x:c>
      <x:c r="B5634" s="2" t="str">
        <x:v>6103490cc833eb9dd00d</x:v>
      </x:c>
      <x:c r="C5634" s="2" t="str">
        <x:v>Bà Rịa - Vũng Tàu</x:v>
      </x:c>
      <x:c r="D5634" s="2" t="str">
        <x:v>Thị xã Phú Mỹ</x:v>
      </x:c>
      <x:c r="E5634" s="2" t="str">
        <x:v>land</x:v>
      </x:c>
      <x:c r="F5634" s="2" t="str">
        <x:v>sale</x:v>
      </x:c>
      <x:c r="G5634" s="11" t="n">
        <x:v>125</x:v>
      </x:c>
      <x:c r="H5634" s="12" t="n">
        <x:v>750000000</x:v>
      </x:c>
      <x:c r="I5634" s="12" t="n">
        <x:v>6000000</x:v>
      </x:c>
      <x:c r="J5634" s="2" t="str">
        <x:v>total</x:v>
      </x:c>
      <x:c r="K5634" s="2" t="str">
        <x:v>top_level_area</x:v>
      </x:c>
      <x:c r="L5634" s="2" t="str">
        <x:v>property_type_inferred_from_title</x:v>
      </x:c>
      <x:c r="M5634" s="10" t="n">
        <x:v>0</x:v>
      </x:c>
      <x:c r="N5634" s="10" t="n">
        <x:v>0</x:v>
      </x:c>
      <x:c r="O5634" s="2" t="str">
        <x:v>Bà Rịa - Vũng Tàu|land</x:v>
      </x:c>
      <x:c r="P5634" s="10" t="n">
        <x:v>2</x:v>
      </x:c>
      <x:c r="Q5634" s="13" t="n">
        <x:f>IF(H5634="","",H5634/1000000000)</x:f>
        <x:v>0.75</x:v>
      </x:c>
      <x:c r="R5634" s="13" t="n">
        <x:f>IF(I5634="","",I5634/1000000)</x:f>
        <x:v>6</x:v>
      </x:c>
    </x:row>
    <x:row r="5635" ht="21" customHeight="1">
      <x:c r="A5635" s="10" t="n">
        <x:v>7356</x:v>
      </x:c>
      <x:c r="B5635" s="2" t="str">
        <x:v>da8bbc983b98731dd885</x:v>
      </x:c>
      <x:c r="C5635" s="2" t="str">
        <x:v>Đà Nẵng</x:v>
      </x:c>
      <x:c r="D5635" s="2" t="str">
        <x:v>Quận Sơn Trà</x:v>
      </x:c>
      <x:c r="E5635" s="2" t="str">
        <x:v>land</x:v>
      </x:c>
      <x:c r="F5635" s="2" t="str">
        <x:v>sale</x:v>
      </x:c>
      <x:c r="G5635" s="11" t="n">
        <x:v>100</x:v>
      </x:c>
      <x:c r="H5635" s="12" t="n">
        <x:v>5250000000</x:v>
      </x:c>
      <x:c r="I5635" s="12" t="n">
        <x:v>52500000</x:v>
      </x:c>
      <x:c r="J5635" s="2" t="str">
        <x:v>total</x:v>
      </x:c>
      <x:c r="K5635" s="2" t="str">
        <x:v>top_level_area</x:v>
      </x:c>
      <x:c r="L5635" s="2" t="str">
        <x:v>property_type_inferred_from_title</x:v>
      </x:c>
      <x:c r="M5635" s="10" t="n">
        <x:v>0</x:v>
      </x:c>
      <x:c r="N5635" s="10" t="n">
        <x:v>0</x:v>
      </x:c>
      <x:c r="O5635" s="2" t="str">
        <x:v>Đà Nẵng|land</x:v>
      </x:c>
      <x:c r="P5635" s="10" t="n">
        <x:v>2</x:v>
      </x:c>
      <x:c r="Q5635" s="13" t="n">
        <x:f>IF(H5635="","",H5635/1000000000)</x:f>
        <x:v>5.25</x:v>
      </x:c>
      <x:c r="R5635" s="13" t="n">
        <x:f>IF(I5635="","",I5635/1000000)</x:f>
        <x:v>52.5</x:v>
      </x:c>
    </x:row>
    <x:row r="5636" ht="21" customHeight="1">
      <x:c r="A5636" s="10" t="n">
        <x:v>7357</x:v>
      </x:c>
      <x:c r="B5636" s="2" t="str">
        <x:v>fa869be277029b53bee6</x:v>
      </x:c>
      <x:c r="C5636" s="2" t="str">
        <x:v>Cà Mau</x:v>
      </x:c>
      <x:c r="D5636" s="2" t="str">
        <x:v>Thành phố Cà Mau</x:v>
      </x:c>
      <x:c r="E5636" s="2" t="str">
        <x:v>land</x:v>
      </x:c>
      <x:c r="F5636" s="2" t="str">
        <x:v>sale</x:v>
      </x:c>
      <x:c r="G5636" s="11" t="n">
        <x:v>126</x:v>
      </x:c>
      <x:c r="H5636" s="12" t="n">
        <x:v>775000000</x:v>
      </x:c>
      <x:c r="I5636" s="12" t="n">
        <x:v>6150793.650793651</x:v>
      </x:c>
      <x:c r="J5636" s="2" t="str">
        <x:v>total</x:v>
      </x:c>
      <x:c r="K5636" s="2" t="str">
        <x:v>top_level_area</x:v>
      </x:c>
      <x:c r="L5636" s="2" t="str">
        <x:v>property_type_inferred_from_title</x:v>
      </x:c>
      <x:c r="M5636" s="10" t="n">
        <x:v>0</x:v>
      </x:c>
      <x:c r="N5636" s="10" t="n">
        <x:v>0</x:v>
      </x:c>
      <x:c r="O5636" s="2" t="str">
        <x:v>land</x:v>
      </x:c>
      <x:c r="P5636" s="10" t="n">
        <x:v>2</x:v>
      </x:c>
      <x:c r="Q5636" s="13" t="n">
        <x:f>IF(H5636="","",H5636/1000000000)</x:f>
        <x:v>0.775</x:v>
      </x:c>
      <x:c r="R5636" s="13" t="n">
        <x:f>IF(I5636="","",I5636/1000000)</x:f>
        <x:v>6.150793650793651</x:v>
      </x:c>
    </x:row>
    <x:row r="5637" ht="21" customHeight="1">
      <x:c r="A5637" s="10" t="n">
        <x:v>7358</x:v>
      </x:c>
      <x:c r="B5637" s="2" t="str">
        <x:v>ccb3e30f028634a765b8</x:v>
      </x:c>
      <x:c r="C5637" s="2" t="str">
        <x:v>Tp Hồ Chí Minh</x:v>
      </x:c>
      <x:c r="D5637" s="2" t="str">
        <x:v>Quận 9</x:v>
      </x:c>
      <x:c r="E5637" s="2" t="str">
        <x:v>other_unknown</x:v>
      </x:c>
      <x:c r="F5637" s="2" t="str">
        <x:v>sale_assumed</x:v>
      </x:c>
      <x:c r="G5637" s="11" t="n">
        <x:v>50</x:v>
      </x:c>
      <x:c r="H5637" s="12" t="n">
        <x:v>1250000000</x:v>
      </x:c>
      <x:c r="I5637" s="12" t="n">
        <x:v>25000000</x:v>
      </x:c>
      <x:c r="J5637" s="2" t="str">
        <x:v>total</x:v>
      </x:c>
      <x:c r="K5637" s="2" t="str">
        <x:v>top_level_area</x:v>
      </x:c>
      <x:c r="L5637" s="2" t="str">
        <x:v>property_type_inferred_from_title;transaction_assumed_sale_from_dataset_context;unknown_property_type</x:v>
      </x:c>
      <x:c r="M5637" s="10" t="n">
        <x:v>0</x:v>
      </x:c>
      <x:c r="N5637" s="10" t="n">
        <x:v>0</x:v>
      </x:c>
      <x:c r="O5637" s="2" t="str">
        <x:v>Tp Hồ Chí Minh|other_unknown</x:v>
      </x:c>
      <x:c r="P5637" s="10" t="n">
        <x:v>2</x:v>
      </x:c>
      <x:c r="Q5637" s="13" t="n">
        <x:f>IF(H5637="","",H5637/1000000000)</x:f>
        <x:v>1.25</x:v>
      </x:c>
      <x:c r="R5637" s="13" t="n">
        <x:f>IF(I5637="","",I5637/1000000)</x:f>
        <x:v>25</x:v>
      </x:c>
    </x:row>
    <x:row r="5638" ht="21" customHeight="1">
      <x:c r="A5638" s="10" t="n">
        <x:v>7359</x:v>
      </x:c>
      <x:c r="B5638" s="2" t="str">
        <x:v>9bbb96d2d2b36aa903e0</x:v>
      </x:c>
      <x:c r="C5638" s="2" t="str">
        <x:v>Đà Nẵng</x:v>
      </x:c>
      <x:c r="D5638" s="2" t="str">
        <x:v>Quận Liên Chiểu</x:v>
      </x:c>
      <x:c r="E5638" s="2" t="str">
        <x:v>other_unknown</x:v>
      </x:c>
      <x:c r="F5638" s="2" t="str">
        <x:v>sale_assumed</x:v>
      </x:c>
      <x:c r="G5638" s="11" t="n">
        <x:v>9090</x:v>
      </x:c>
      <x:c r="H5638" s="12" t="n">
        <x:v>3700000000</x:v>
      </x:c>
      <x:c r="I5638" s="12" t="n">
        <x:v>407040.704070407</x:v>
      </x:c>
      <x:c r="J5638" s="2" t="str">
        <x:v>total</x:v>
      </x:c>
      <x:c r="K5638" s="2" t="str">
        <x:v>top_level_area</x:v>
      </x:c>
      <x:c r="L5638" s="2" t="str">
        <x:v>dot_thousands_convention;property_type_inferred_from_title;transaction_assumed_sale_from_dataset_context;unknown_property_type</x:v>
      </x:c>
      <x:c r="M5638" s="10" t="n">
        <x:v>0</x:v>
      </x:c>
      <x:c r="N5638" s="10" t="n">
        <x:v>0</x:v>
      </x:c>
      <x:c r="O5638" s="2" t="str">
        <x:v>Đà Nẵng|other_unknown</x:v>
      </x:c>
      <x:c r="P5638" s="10" t="n">
        <x:v>1</x:v>
      </x:c>
      <x:c r="Q5638" s="13" t="n">
        <x:f>IF(H5638="","",H5638/1000000000)</x:f>
        <x:v>3.7</x:v>
      </x:c>
      <x:c r="R5638" s="13" t="n">
        <x:f>IF(I5638="","",I5638/1000000)</x:f>
        <x:v>0.40704070407040704</x:v>
      </x:c>
    </x:row>
    <x:row r="5639" ht="21" customHeight="1">
      <x:c r="A5639" s="10" t="n">
        <x:v>7360</x:v>
      </x:c>
      <x:c r="B5639" s="2" t="str">
        <x:v>9fd4f9c38ae130964dd7</x:v>
      </x:c>
      <x:c r="C5639" s="2" t="str">
        <x:v>Tp Hồ Chí Minh</x:v>
      </x:c>
      <x:c r="D5639" s="2" t="str">
        <x:v>Quận 12</x:v>
      </x:c>
      <x:c r="E5639" s="2" t="str">
        <x:v>land</x:v>
      </x:c>
      <x:c r="F5639" s="2" t="str">
        <x:v>sale</x:v>
      </x:c>
      <x:c r="G5639" s="11" t="n">
        <x:v>60</x:v>
      </x:c>
      <x:c r="H5639" s="12" t="n">
        <x:v>3200000000</x:v>
      </x:c>
      <x:c r="I5639" s="12" t="n">
        <x:v>53333333.333333336</x:v>
      </x:c>
      <x:c r="J5639" s="2" t="str">
        <x:v>total</x:v>
      </x:c>
      <x:c r="K5639" s="2" t="str">
        <x:v>top_level_area</x:v>
      </x:c>
      <x:c r="L5639" s="2" t="str">
        <x:v>property_type_inferred_from_title</x:v>
      </x:c>
      <x:c r="M5639" s="10" t="n">
        <x:v>0</x:v>
      </x:c>
      <x:c r="N5639" s="10" t="n">
        <x:v>0</x:v>
      </x:c>
      <x:c r="O5639" s="2" t="str">
        <x:v>Tp Hồ Chí Minh|land</x:v>
      </x:c>
      <x:c r="P5639" s="10" t="n">
        <x:v>2</x:v>
      </x:c>
      <x:c r="Q5639" s="13" t="n">
        <x:f>IF(H5639="","",H5639/1000000000)</x:f>
        <x:v>3.2</x:v>
      </x:c>
      <x:c r="R5639" s="13" t="n">
        <x:f>IF(I5639="","",I5639/1000000)</x:f>
        <x:v>53.333333333333336</x:v>
      </x:c>
    </x:row>
    <x:row r="5640" ht="21" customHeight="1">
      <x:c r="A5640" s="10" t="n">
        <x:v>7362</x:v>
      </x:c>
      <x:c r="B5640" s="2" t="str">
        <x:v>e841297b85290eb92a10</x:v>
      </x:c>
      <x:c r="C5640" s="2" t="str">
        <x:v>Thừa Thiên Huế</x:v>
      </x:c>
      <x:c r="D5640" s="2" t="str">
        <x:v>Thành phố Huế</x:v>
      </x:c>
      <x:c r="E5640" s="2" t="str">
        <x:v>land</x:v>
      </x:c>
      <x:c r="F5640" s="2" t="str">
        <x:v>sale</x:v>
      </x:c>
      <x:c r="G5640" s="11" t="n">
        <x:v>148</x:v>
      </x:c>
      <x:c r="H5640" s="12" t="n">
        <x:v>1700000000</x:v>
      </x:c>
      <x:c r="I5640" s="12" t="n">
        <x:v>11486486.486486487</x:v>
      </x:c>
      <x:c r="J5640" s="2" t="str">
        <x:v>total</x:v>
      </x:c>
      <x:c r="K5640" s="2" t="str">
        <x:v>top_level_area</x:v>
      </x:c>
      <x:c r="L5640" s="2" t="str">
        <x:v>property_type_inferred_from_title</x:v>
      </x:c>
      <x:c r="M5640" s="10" t="n">
        <x:v>0</x:v>
      </x:c>
      <x:c r="N5640" s="10" t="n">
        <x:v>0</x:v>
      </x:c>
      <x:c r="O5640" s="2" t="str">
        <x:v>land</x:v>
      </x:c>
      <x:c r="P5640" s="10" t="n">
        <x:v>2</x:v>
      </x:c>
      <x:c r="Q5640" s="13" t="n">
        <x:f>IF(H5640="","",H5640/1000000000)</x:f>
        <x:v>1.7</x:v>
      </x:c>
      <x:c r="R5640" s="13" t="n">
        <x:f>IF(I5640="","",I5640/1000000)</x:f>
        <x:v>11.486486486486488</x:v>
      </x:c>
    </x:row>
    <x:row r="5641" ht="21" customHeight="1">
      <x:c r="A5641" s="10" t="n">
        <x:v>7364</x:v>
      </x:c>
      <x:c r="B5641" s="2" t="str">
        <x:v>823cb64329bdbeaa8026</x:v>
      </x:c>
      <x:c r="C5641" s="2" t="str">
        <x:v>Kon Tum</x:v>
      </x:c>
      <x:c r="D5641" s="2" t="str">
        <x:v>Thành phố Kon Tum</x:v>
      </x:c>
      <x:c r="E5641" s="2" t="str">
        <x:v>land</x:v>
      </x:c>
      <x:c r="F5641" s="2" t="str">
        <x:v>sale_assumed</x:v>
      </x:c>
      <x:c r="G5641" s="11" t="n">
        <x:v>900</x:v>
      </x:c>
      <x:c r="H5641" s="12" t="n">
        <x:v>1800000000</x:v>
      </x:c>
      <x:c r="I5641" s="12" t="n">
        <x:v>2000000</x:v>
      </x:c>
      <x:c r="J5641" s="2" t="str">
        <x:v>total</x:v>
      </x:c>
      <x:c r="K5641" s="2" t="str">
        <x:v>top_level_area</x:v>
      </x:c>
      <x:c r="L5641" s="2" t="str">
        <x:v>property_type_inferred_from_title;transaction_assumed_sale_from_dataset_context</x:v>
      </x:c>
      <x:c r="M5641" s="10" t="n">
        <x:v>0</x:v>
      </x:c>
      <x:c r="N5641" s="10" t="n">
        <x:v>0</x:v>
      </x:c>
      <x:c r="O5641" s="2" t="str">
        <x:v>land</x:v>
      </x:c>
      <x:c r="P5641" s="10" t="n">
        <x:v>1</x:v>
      </x:c>
      <x:c r="Q5641" s="13" t="n">
        <x:f>IF(H5641="","",H5641/1000000000)</x:f>
        <x:v>1.8</x:v>
      </x:c>
      <x:c r="R5641" s="13" t="n">
        <x:f>IF(I5641="","",I5641/1000000)</x:f>
        <x:v>2</x:v>
      </x:c>
    </x:row>
    <x:row r="5642" ht="21" customHeight="1">
      <x:c r="A5642" s="10" t="n">
        <x:v>7365</x:v>
      </x:c>
      <x:c r="B5642" s="2" t="str">
        <x:v>21c7b1001cbf3ae30422</x:v>
      </x:c>
      <x:c r="C5642" s="2" t="str">
        <x:v>Bình Dương</x:v>
      </x:c>
      <x:c r="D5642" s="2" t="str">
        <x:v>Thị xã Dĩ An</x:v>
      </x:c>
      <x:c r="E5642" s="2" t="str">
        <x:v>house</x:v>
      </x:c>
      <x:c r="F5642" s="2" t="str">
        <x:v>sale</x:v>
      </x:c>
      <x:c r="G5642" s="11" t="n">
        <x:v>30</x:v>
      </x:c>
      <x:c r="H5642" s="12" t="n">
        <x:v>1000000000</x:v>
      </x:c>
      <x:c r="I5642" s="12" t="n">
        <x:v>33333333.333333332</x:v>
      </x:c>
      <x:c r="J5642" s="2" t="str">
        <x:v>total</x:v>
      </x:c>
      <x:c r="K5642" s="2" t="str">
        <x:v>top_level_area</x:v>
      </x:c>
      <x:c r="L5642" s="2" t="str">
        <x:v>property_type_inferred_from_title</x:v>
      </x:c>
      <x:c r="M5642" s="10" t="n">
        <x:v>0</x:v>
      </x:c>
      <x:c r="N5642" s="10" t="n">
        <x:v>0</x:v>
      </x:c>
      <x:c r="O5642" s="2" t="str">
        <x:v>Bình Dương|house</x:v>
      </x:c>
      <x:c r="P5642" s="10" t="n">
        <x:v>2</x:v>
      </x:c>
      <x:c r="Q5642" s="13" t="n">
        <x:f>IF(H5642="","",H5642/1000000000)</x:f>
        <x:v>1</x:v>
      </x:c>
      <x:c r="R5642" s="13" t="n">
        <x:f>IF(I5642="","",I5642/1000000)</x:f>
        <x:v>33.33333333333333</x:v>
      </x:c>
    </x:row>
    <x:row r="5643" ht="21" customHeight="1">
      <x:c r="A5643" s="10" t="n">
        <x:v>7366</x:v>
      </x:c>
      <x:c r="B5643" s="2" t="str">
        <x:v>77c7c38bf7d43c6b2b3e</x:v>
      </x:c>
      <x:c r="C5643" s="2" t="str">
        <x:v>Tp Hồ Chí Minh</x:v>
      </x:c>
      <x:c r="D5643" s="2" t="str">
        <x:v>Quận Phú Nhuận</x:v>
      </x:c>
      <x:c r="E5643" s="2" t="str">
        <x:v>house</x:v>
      </x:c>
      <x:c r="F5643" s="2" t="str">
        <x:v>sale_assumed</x:v>
      </x:c>
      <x:c r="G5643" s="11" t="n">
        <x:v>36</x:v>
      </x:c>
      <x:c r="H5643" s="12" t="n">
        <x:v>1860000000</x:v>
      </x:c>
      <x:c r="I5643" s="12" t="n">
        <x:v>51666666.666666664</x:v>
      </x:c>
      <x:c r="J5643" s="2" t="str">
        <x:v>total</x:v>
      </x:c>
      <x:c r="K5643" s="2" t="str">
        <x:v>top_level_area</x:v>
      </x:c>
      <x:c r="L5643" s="2" t="str">
        <x:v>property_type_inferred_from_title;transaction_assumed_sale_from_dataset_context</x:v>
      </x:c>
      <x:c r="M5643" s="10" t="n">
        <x:v>0</x:v>
      </x:c>
      <x:c r="N5643" s="10" t="n">
        <x:v>0</x:v>
      </x:c>
      <x:c r="O5643" s="2" t="str">
        <x:v>Tp Hồ Chí Minh|house</x:v>
      </x:c>
      <x:c r="P5643" s="10" t="n">
        <x:v>2</x:v>
      </x:c>
      <x:c r="Q5643" s="13" t="n">
        <x:f>IF(H5643="","",H5643/1000000000)</x:f>
        <x:v>1.86</x:v>
      </x:c>
      <x:c r="R5643" s="13" t="n">
        <x:f>IF(I5643="","",I5643/1000000)</x:f>
        <x:v>51.666666666666664</x:v>
      </x:c>
    </x:row>
    <x:row r="5644" ht="21" customHeight="1">
      <x:c r="A5644" s="10" t="n">
        <x:v>7367</x:v>
      </x:c>
      <x:c r="B5644" s="2" t="str">
        <x:v>7533790d1545694fec54</x:v>
      </x:c>
      <x:c r="C5644" s="2" t="str">
        <x:v>Tp Hồ Chí Minh</x:v>
      </x:c>
      <x:c r="D5644" s="2" t="str">
        <x:v>Quận Bình Thạnh</x:v>
      </x:c>
      <x:c r="E5644" s="2" t="str">
        <x:v>house</x:v>
      </x:c>
      <x:c r="F5644" s="2" t="str">
        <x:v>sale_assumed</x:v>
      </x:c>
      <x:c r="G5644" s="11" t="n">
        <x:v>49</x:v>
      </x:c>
      <x:c r="H5644" s="12" t="n">
        <x:v>1680000000</x:v>
      </x:c>
      <x:c r="I5644" s="12" t="n">
        <x:v>34285714.28571428</x:v>
      </x:c>
      <x:c r="J5644" s="2" t="str">
        <x:v>total</x:v>
      </x:c>
      <x:c r="K5644" s="2" t="str">
        <x:v>top_level_area</x:v>
      </x:c>
      <x:c r="L5644" s="2" t="str">
        <x:v>property_type_inferred_from_title;transaction_assumed_sale_from_dataset_context</x:v>
      </x:c>
      <x:c r="M5644" s="10" t="n">
        <x:v>0</x:v>
      </x:c>
      <x:c r="N5644" s="10" t="n">
        <x:v>0</x:v>
      </x:c>
      <x:c r="O5644" s="2" t="str">
        <x:v>Tp Hồ Chí Minh|house</x:v>
      </x:c>
      <x:c r="P5644" s="10" t="n">
        <x:v>2</x:v>
      </x:c>
      <x:c r="Q5644" s="13" t="n">
        <x:f>IF(H5644="","",H5644/1000000000)</x:f>
        <x:v>1.68</x:v>
      </x:c>
      <x:c r="R5644" s="13" t="n">
        <x:f>IF(I5644="","",I5644/1000000)</x:f>
        <x:v>34.285714285714285</x:v>
      </x:c>
    </x:row>
    <x:row r="5645" ht="21" customHeight="1">
      <x:c r="A5645" s="10" t="n">
        <x:v>7368</x:v>
      </x:c>
      <x:c r="B5645" s="2" t="str">
        <x:v>035c0c8d139b2f5619e7</x:v>
      </x:c>
      <x:c r="C5645" s="2" t="str">
        <x:v>Tp Hồ Chí Minh</x:v>
      </x:c>
      <x:c r="D5645" s="2" t="str">
        <x:v>Quận Thủ Đức</x:v>
      </x:c>
      <x:c r="E5645" s="2" t="str">
        <x:v>house</x:v>
      </x:c>
      <x:c r="F5645" s="2" t="str">
        <x:v>sale</x:v>
      </x:c>
      <x:c r="G5645" s="11" t="n">
        <x:v>44</x:v>
      </x:c>
      <x:c r="H5645" s="12" t="n">
        <x:v>1470000000</x:v>
      </x:c>
      <x:c r="I5645" s="12" t="n">
        <x:v>33409090.90909091</x:v>
      </x:c>
      <x:c r="J5645" s="2" t="str">
        <x:v>total</x:v>
      </x:c>
      <x:c r="K5645" s="2" t="str">
        <x:v>top_level_area</x:v>
      </x:c>
      <x:c r="L5645" s="2" t="str">
        <x:v>property_type_inferred_from_title</x:v>
      </x:c>
      <x:c r="M5645" s="10" t="n">
        <x:v>0</x:v>
      </x:c>
      <x:c r="N5645" s="10" t="n">
        <x:v>0</x:v>
      </x:c>
      <x:c r="O5645" s="2" t="str">
        <x:v>Tp Hồ Chí Minh|house</x:v>
      </x:c>
      <x:c r="P5645" s="10" t="n">
        <x:v>2</x:v>
      </x:c>
      <x:c r="Q5645" s="13" t="n">
        <x:f>IF(H5645="","",H5645/1000000000)</x:f>
        <x:v>1.47</x:v>
      </x:c>
      <x:c r="R5645" s="13" t="n">
        <x:f>IF(I5645="","",I5645/1000000)</x:f>
        <x:v>33.409090909090914</x:v>
      </x:c>
    </x:row>
    <x:row r="5646" ht="21" customHeight="1">
      <x:c r="A5646" s="10" t="n">
        <x:v>7369</x:v>
      </x:c>
      <x:c r="B5646" s="2" t="str">
        <x:v>7d38ce65375b6e90da04</x:v>
      </x:c>
      <x:c r="C5646" s="2" t="str">
        <x:v>Tp Hồ Chí Minh</x:v>
      </x:c>
      <x:c r="D5646" s="2" t="str">
        <x:v>Quận Thủ Đức</x:v>
      </x:c>
      <x:c r="E5646" s="2" t="str">
        <x:v>house</x:v>
      </x:c>
      <x:c r="F5646" s="2" t="str">
        <x:v>sale</x:v>
      </x:c>
      <x:c r="G5646" s="11" t="n">
        <x:v>50</x:v>
      </x:c>
      <x:c r="H5646" s="12" t="n">
        <x:v>1600000000</x:v>
      </x:c>
      <x:c r="I5646" s="12" t="n">
        <x:v>32000000</x:v>
      </x:c>
      <x:c r="J5646" s="2" t="str">
        <x:v>total</x:v>
      </x:c>
      <x:c r="K5646" s="2" t="str">
        <x:v>top_level_area</x:v>
      </x:c>
      <x:c r="L5646" s="2" t="str">
        <x:v>property_type_inferred_from_title</x:v>
      </x:c>
      <x:c r="M5646" s="10" t="n">
        <x:v>0</x:v>
      </x:c>
      <x:c r="N5646" s="10" t="n">
        <x:v>0</x:v>
      </x:c>
      <x:c r="O5646" s="2" t="str">
        <x:v>Tp Hồ Chí Minh|house</x:v>
      </x:c>
      <x:c r="P5646" s="10" t="n">
        <x:v>2</x:v>
      </x:c>
      <x:c r="Q5646" s="13" t="n">
        <x:f>IF(H5646="","",H5646/1000000000)</x:f>
        <x:v>1.6</x:v>
      </x:c>
      <x:c r="R5646" s="13" t="n">
        <x:f>IF(I5646="","",I5646/1000000)</x:f>
        <x:v>32</x:v>
      </x:c>
    </x:row>
    <x:row r="5647" ht="21" customHeight="1">
      <x:c r="A5647" s="10" t="n">
        <x:v>7370</x:v>
      </x:c>
      <x:c r="B5647" s="2" t="str">
        <x:v>8fa43349be1d5370dc51</x:v>
      </x:c>
      <x:c r="C5647" s="2" t="str">
        <x:v>Đà Nẵng</x:v>
      </x:c>
      <x:c r="D5647" s="2" t="str">
        <x:v>Quận Cẩm Lệ</x:v>
      </x:c>
      <x:c r="E5647" s="2" t="str">
        <x:v>land</x:v>
      </x:c>
      <x:c r="F5647" s="2" t="str">
        <x:v>sale</x:v>
      </x:c>
      <x:c r="G5647" s="11" t="n">
        <x:v>102</x:v>
      </x:c>
      <x:c r="H5647" s="12" t="n">
        <x:v>2400000000</x:v>
      </x:c>
      <x:c r="I5647" s="12" t="n">
        <x:v>23529411.76470588</x:v>
      </x:c>
      <x:c r="J5647" s="2" t="str">
        <x:v>total</x:v>
      </x:c>
      <x:c r="K5647" s="2" t="str">
        <x:v>top_level_area</x:v>
      </x:c>
      <x:c r="L5647" s="2" t="str">
        <x:v>property_type_inferred_from_title</x:v>
      </x:c>
      <x:c r="M5647" s="10" t="n">
        <x:v>0</x:v>
      </x:c>
      <x:c r="N5647" s="10" t="n">
        <x:v>0</x:v>
      </x:c>
      <x:c r="O5647" s="2" t="str">
        <x:v>Đà Nẵng|land</x:v>
      </x:c>
      <x:c r="P5647" s="10" t="n">
        <x:v>2</x:v>
      </x:c>
      <x:c r="Q5647" s="13" t="n">
        <x:f>IF(H5647="","",H5647/1000000000)</x:f>
        <x:v>2.4</x:v>
      </x:c>
      <x:c r="R5647" s="13" t="n">
        <x:f>IF(I5647="","",I5647/1000000)</x:f>
        <x:v>23.52941176470588</x:v>
      </x:c>
    </x:row>
    <x:row r="5648" ht="21" customHeight="1">
      <x:c r="A5648" s="10" t="n">
        <x:v>7371</x:v>
      </x:c>
      <x:c r="B5648" s="2" t="str">
        <x:v>61681a62ff19eab494bb</x:v>
      </x:c>
      <x:c r="C5648" s="2" t="str">
        <x:v>Hà Nội</x:v>
      </x:c>
      <x:c r="D5648" s="2" t="str">
        <x:v>Quận Hà Đông</x:v>
      </x:c>
      <x:c r="E5648" s="2" t="str">
        <x:v>house</x:v>
      </x:c>
      <x:c r="F5648" s="2" t="str">
        <x:v>sale_assumed</x:v>
      </x:c>
      <x:c r="G5648" s="11" t="n">
        <x:v>39</x:v>
      </x:c>
      <x:c r="H5648" s="12" t="n">
        <x:v>1483000000</x:v>
      </x:c>
      <x:c r="I5648" s="12" t="n">
        <x:v>38025641.025641024</x:v>
      </x:c>
      <x:c r="J5648" s="2" t="str">
        <x:v>total</x:v>
      </x:c>
      <x:c r="K5648" s="2" t="str">
        <x:v>top_level_area</x:v>
      </x:c>
      <x:c r="L5648" s="2" t="str">
        <x:v>property_type_inferred_from_title;transaction_assumed_sale_from_dataset_context</x:v>
      </x:c>
      <x:c r="M5648" s="10" t="n">
        <x:v>0</x:v>
      </x:c>
      <x:c r="N5648" s="10" t="n">
        <x:v>0</x:v>
      </x:c>
      <x:c r="O5648" s="2" t="str">
        <x:v>Hà Nội|house</x:v>
      </x:c>
      <x:c r="P5648" s="10" t="n">
        <x:v>2</x:v>
      </x:c>
      <x:c r="Q5648" s="13" t="n">
        <x:f>IF(H5648="","",H5648/1000000000)</x:f>
        <x:v>1.483</x:v>
      </x:c>
      <x:c r="R5648" s="13" t="n">
        <x:f>IF(I5648="","",I5648/1000000)</x:f>
        <x:v>38.02564102564102</x:v>
      </x:c>
    </x:row>
    <x:row r="5649" ht="21" customHeight="1">
      <x:c r="A5649" s="10" t="n">
        <x:v>7372</x:v>
      </x:c>
      <x:c r="B5649" s="2" t="str">
        <x:v>7ea5ad904b9903fc4c79</x:v>
      </x:c>
      <x:c r="C5649" s="2" t="str">
        <x:v>Tp Hồ Chí Minh</x:v>
      </x:c>
      <x:c r="D5649" s="2" t="str">
        <x:v>Quận Tân Phú</x:v>
      </x:c>
      <x:c r="E5649" s="2" t="str">
        <x:v>other_unknown</x:v>
      </x:c>
      <x:c r="F5649" s="2" t="str">
        <x:v>sale_assumed</x:v>
      </x:c>
      <x:c r="G5649" s="11" t="n">
        <x:v>55</x:v>
      </x:c>
      <x:c r="H5649" s="12" t="n">
        <x:v>4700000000</x:v>
      </x:c>
      <x:c r="I5649" s="12" t="n">
        <x:v>85454545.45454545</x:v>
      </x:c>
      <x:c r="J5649" s="2" t="str">
        <x:v>total</x:v>
      </x:c>
      <x:c r="K5649" s="2" t="str">
        <x:v>top_level_area</x:v>
      </x:c>
      <x:c r="L5649" s="2" t="str">
        <x:v>property_type_inferred_from_title;transaction_assumed_sale_from_dataset_context;unknown_property_type</x:v>
      </x:c>
      <x:c r="M5649" s="10" t="n">
        <x:v>0</x:v>
      </x:c>
      <x:c r="N5649" s="10" t="n">
        <x:v>0</x:v>
      </x:c>
      <x:c r="O5649" s="2" t="str">
        <x:v>Tp Hồ Chí Minh|other_unknown</x:v>
      </x:c>
      <x:c r="P5649" s="10" t="n">
        <x:v>2</x:v>
      </x:c>
      <x:c r="Q5649" s="13" t="n">
        <x:f>IF(H5649="","",H5649/1000000000)</x:f>
        <x:v>4.7</x:v>
      </x:c>
      <x:c r="R5649" s="13" t="n">
        <x:f>IF(I5649="","",I5649/1000000)</x:f>
        <x:v>85.45454545454545</x:v>
      </x:c>
    </x:row>
    <x:row r="5650" ht="21" customHeight="1">
      <x:c r="A5650" s="10" t="n">
        <x:v>7373</x:v>
      </x:c>
      <x:c r="B5650" s="2" t="str">
        <x:v>0b5ce45d93e6c561e050</x:v>
      </x:c>
      <x:c r="C5650" s="2" t="str">
        <x:v>Long An</x:v>
      </x:c>
      <x:c r="D5650" s="2" t="str">
        <x:v>Huyện Bến Lức</x:v>
      </x:c>
      <x:c r="E5650" s="2" t="str">
        <x:v>land</x:v>
      </x:c>
      <x:c r="F5650" s="2" t="str">
        <x:v>sale</x:v>
      </x:c>
      <x:c r="G5650" s="11" t="n">
        <x:v>110</x:v>
      </x:c>
      <x:c r="H5650" s="12" t="n">
        <x:v>850000000</x:v>
      </x:c>
      <x:c r="I5650" s="12" t="n">
        <x:v>7727272.7272727275</x:v>
      </x:c>
      <x:c r="J5650" s="2" t="str">
        <x:v>total</x:v>
      </x:c>
      <x:c r="K5650" s="2" t="str">
        <x:v>top_level_area</x:v>
      </x:c>
      <x:c r="L5650" s="2" t="str">
        <x:v>property_type_inferred_from_title</x:v>
      </x:c>
      <x:c r="M5650" s="10" t="n">
        <x:v>0</x:v>
      </x:c>
      <x:c r="N5650" s="10" t="n">
        <x:v>0</x:v>
      </x:c>
      <x:c r="O5650" s="2" t="str">
        <x:v>Long An|land</x:v>
      </x:c>
      <x:c r="P5650" s="10" t="n">
        <x:v>2</x:v>
      </x:c>
      <x:c r="Q5650" s="13" t="n">
        <x:f>IF(H5650="","",H5650/1000000000)</x:f>
        <x:v>0.85</x:v>
      </x:c>
      <x:c r="R5650" s="13" t="n">
        <x:f>IF(I5650="","",I5650/1000000)</x:f>
        <x:v>7.7272727272727275</x:v>
      </x:c>
    </x:row>
    <x:row r="5651" ht="21" customHeight="1">
      <x:c r="A5651" s="10" t="n">
        <x:v>7374</x:v>
      </x:c>
      <x:c r="B5651" s="2" t="str">
        <x:v>cae0f3a06322de4cb929</x:v>
      </x:c>
      <x:c r="C5651" s="2" t="str">
        <x:v>Tp Hồ Chí Minh</x:v>
      </x:c>
      <x:c r="D5651" s="2" t="str">
        <x:v>Quận 7</x:v>
      </x:c>
      <x:c r="E5651" s="2" t="str">
        <x:v>house</x:v>
      </x:c>
      <x:c r="F5651" s="2" t="str">
        <x:v>sale_assumed</x:v>
      </x:c>
      <x:c r="G5651" s="11" t="n">
        <x:v>54</x:v>
      </x:c>
      <x:c r="H5651" s="12" t="n">
        <x:v>1190000000</x:v>
      </x:c>
      <x:c r="I5651" s="12" t="n">
        <x:v>22037037.037037037</x:v>
      </x:c>
      <x:c r="J5651" s="2" t="str">
        <x:v>total</x:v>
      </x:c>
      <x:c r="K5651" s="2" t="str">
        <x:v>top_level_area</x:v>
      </x:c>
      <x:c r="L5651" s="2" t="str">
        <x:v>property_type_inferred_from_title;transaction_assumed_sale_from_dataset_context</x:v>
      </x:c>
      <x:c r="M5651" s="10" t="n">
        <x:v>0</x:v>
      </x:c>
      <x:c r="N5651" s="10" t="n">
        <x:v>0</x:v>
      </x:c>
      <x:c r="O5651" s="2" t="str">
        <x:v>Tp Hồ Chí Minh|house</x:v>
      </x:c>
      <x:c r="P5651" s="10" t="n">
        <x:v>2</x:v>
      </x:c>
      <x:c r="Q5651" s="13" t="n">
        <x:f>IF(H5651="","",H5651/1000000000)</x:f>
        <x:v>1.19</x:v>
      </x:c>
      <x:c r="R5651" s="13" t="n">
        <x:f>IF(I5651="","",I5651/1000000)</x:f>
        <x:v>22.037037037037038</x:v>
      </x:c>
    </x:row>
    <x:row r="5652" ht="21" customHeight="1">
      <x:c r="A5652" s="10" t="n">
        <x:v>7375</x:v>
      </x:c>
      <x:c r="B5652" s="2" t="str">
        <x:v>9a485f5be264b1de15d8</x:v>
      </x:c>
      <x:c r="C5652" s="2" t="str">
        <x:v>Tp Hồ Chí Minh</x:v>
      </x:c>
      <x:c r="D5652" s="2" t="str">
        <x:v>Quận 2</x:v>
      </x:c>
      <x:c r="E5652" s="2" t="str">
        <x:v>apartment</x:v>
      </x:c>
      <x:c r="F5652" s="2" t="str">
        <x:v>sale_assumed</x:v>
      </x:c>
      <x:c r="G5652" s="11" t="n">
        <x:v>88.2</x:v>
      </x:c>
      <x:c r="H5652" s="12" t="n">
        <x:v>6550000000</x:v>
      </x:c>
      <x:c r="I5652" s="12" t="n">
        <x:v>74263038.54875283</x:v>
      </x:c>
      <x:c r="J5652" s="2" t="str">
        <x:v>total</x:v>
      </x:c>
      <x:c r="K5652" s="2" t="str">
        <x:v>top_level_area</x:v>
      </x:c>
      <x:c r="L5652" s="2" t="str">
        <x:v>property_type_inferred_from_title;transaction_assumed_sale_from_dataset_context</x:v>
      </x:c>
      <x:c r="M5652" s="10" t="n">
        <x:v>0</x:v>
      </x:c>
      <x:c r="N5652" s="10" t="n">
        <x:v>1</x:v>
      </x:c>
      <x:c r="O5652" s="2" t="str">
        <x:v>Tp Hồ Chí Minh|apartment</x:v>
      </x:c>
      <x:c r="P5652" s="10" t="n">
        <x:v>-1</x:v>
      </x:c>
      <x:c r="Q5652" s="13" t="n">
        <x:f>IF(H5652="","",H5652/1000000000)</x:f>
        <x:v>6.55</x:v>
      </x:c>
      <x:c r="R5652" s="13" t="n">
        <x:f>IF(I5652="","",I5652/1000000)</x:f>
        <x:v>74.26303854875283</x:v>
      </x:c>
    </x:row>
    <x:row r="5653" ht="21" customHeight="1">
      <x:c r="A5653" s="10" t="n">
        <x:v>7376</x:v>
      </x:c>
      <x:c r="B5653" s="2" t="str">
        <x:v>1269ab1642bf40c51d87</x:v>
      </x:c>
      <x:c r="C5653" s="2" t="str">
        <x:v>Hà Nội</x:v>
      </x:c>
      <x:c r="D5653" s="2" t="str">
        <x:v>Quận Hai Bà Trưng</x:v>
      </x:c>
      <x:c r="E5653" s="2" t="str">
        <x:v>land</x:v>
      </x:c>
      <x:c r="F5653" s="2" t="str">
        <x:v>sale</x:v>
      </x:c>
      <x:c r="G5653" s="11" t="n">
        <x:v>126</x:v>
      </x:c>
      <x:c r="H5653" s="12" t="n">
        <x:v>675000000</x:v>
      </x:c>
      <x:c r="I5653" s="12" t="n">
        <x:v>5357142.857142857</x:v>
      </x:c>
      <x:c r="J5653" s="2" t="str">
        <x:v>total</x:v>
      </x:c>
      <x:c r="K5653" s="2" t="str">
        <x:v>top_level_area</x:v>
      </x:c>
      <x:c r="L5653" s="2" t="str">
        <x:v>property_type_inferred_from_title</x:v>
      </x:c>
      <x:c r="M5653" s="10" t="n">
        <x:v>0</x:v>
      </x:c>
      <x:c r="N5653" s="10" t="n">
        <x:v>0</x:v>
      </x:c>
      <x:c r="O5653" s="2" t="str">
        <x:v>Hà Nội|land</x:v>
      </x:c>
      <x:c r="P5653" s="10" t="n">
        <x:v>2</x:v>
      </x:c>
      <x:c r="Q5653" s="13" t="n">
        <x:f>IF(H5653="","",H5653/1000000000)</x:f>
        <x:v>0.675</x:v>
      </x:c>
      <x:c r="R5653" s="13" t="n">
        <x:f>IF(I5653="","",I5653/1000000)</x:f>
        <x:v>5.357142857142858</x:v>
      </x:c>
    </x:row>
    <x:row r="5654" ht="21" customHeight="1">
      <x:c r="A5654" s="10" t="n">
        <x:v>7377</x:v>
      </x:c>
      <x:c r="B5654" s="2" t="str">
        <x:v>be86080d14ec6d0cbf36</x:v>
      </x:c>
      <x:c r="C5654" s="2" t="str">
        <x:v>Tp Hồ Chí Minh</x:v>
      </x:c>
      <x:c r="D5654" s="2" t="str">
        <x:v>Quận 7</x:v>
      </x:c>
      <x:c r="E5654" s="2" t="str">
        <x:v>house</x:v>
      </x:c>
      <x:c r="F5654" s="2" t="str">
        <x:v>sale</x:v>
      </x:c>
      <x:c r="G5654" s="11" t="n">
        <x:v>71</x:v>
      </x:c>
      <x:c r="H5654" s="12" t="n">
        <x:v>1350000000</x:v>
      </x:c>
      <x:c r="I5654" s="12" t="n">
        <x:v>19014084.507042255</x:v>
      </x:c>
      <x:c r="J5654" s="2" t="str">
        <x:v>total</x:v>
      </x:c>
      <x:c r="K5654" s="2" t="str">
        <x:v>top_level_area</x:v>
      </x:c>
      <x:c r="L5654" s="2" t="str">
        <x:v>property_type_inferred_from_title</x:v>
      </x:c>
      <x:c r="M5654" s="10" t="n">
        <x:v>0</x:v>
      </x:c>
      <x:c r="N5654" s="10" t="n">
        <x:v>0</x:v>
      </x:c>
      <x:c r="O5654" s="2" t="str">
        <x:v>Tp Hồ Chí Minh|house</x:v>
      </x:c>
      <x:c r="P5654" s="10" t="n">
        <x:v>2</x:v>
      </x:c>
      <x:c r="Q5654" s="13" t="n">
        <x:f>IF(H5654="","",H5654/1000000000)</x:f>
        <x:v>1.35</x:v>
      </x:c>
      <x:c r="R5654" s="13" t="n">
        <x:f>IF(I5654="","",I5654/1000000)</x:f>
        <x:v>19.014084507042256</x:v>
      </x:c>
    </x:row>
    <x:row r="5655" ht="21" customHeight="1">
      <x:c r="A5655" s="10" t="n">
        <x:v>7378</x:v>
      </x:c>
      <x:c r="B5655" s="2" t="str">
        <x:v>6458ead39f4ee61b1ca4</x:v>
      </x:c>
      <x:c r="C5655" s="2" t="str">
        <x:v>Tp Hồ Chí Minh</x:v>
      </x:c>
      <x:c r="D5655" s="2" t="str">
        <x:v>Huyện Bình Chánh</x:v>
      </x:c>
      <x:c r="E5655" s="2" t="str">
        <x:v>house</x:v>
      </x:c>
      <x:c r="F5655" s="2" t="str">
        <x:v>sale_assumed</x:v>
      </x:c>
      <x:c r="G5655" s="11" t="n">
        <x:v>80</x:v>
      </x:c>
      <x:c r="H5655" s="12" t="n">
        <x:v>980000000</x:v>
      </x:c>
      <x:c r="I5655" s="12" t="n">
        <x:v>12250000</x:v>
      </x:c>
      <x:c r="J5655" s="2" t="str">
        <x:v>total</x:v>
      </x:c>
      <x:c r="K5655" s="2" t="str">
        <x:v>top_level_area</x:v>
      </x:c>
      <x:c r="L5655" s="2" t="str">
        <x:v>property_type_inferred_from_title;transaction_assumed_sale_from_dataset_context</x:v>
      </x:c>
      <x:c r="M5655" s="10" t="n">
        <x:v>0</x:v>
      </x:c>
      <x:c r="N5655" s="10" t="n">
        <x:v>0</x:v>
      </x:c>
      <x:c r="O5655" s="2" t="str">
        <x:v>Tp Hồ Chí Minh|house</x:v>
      </x:c>
      <x:c r="P5655" s="10" t="n">
        <x:v>2</x:v>
      </x:c>
      <x:c r="Q5655" s="13" t="n">
        <x:f>IF(H5655="","",H5655/1000000000)</x:f>
        <x:v>0.98</x:v>
      </x:c>
      <x:c r="R5655" s="13" t="n">
        <x:f>IF(I5655="","",I5655/1000000)</x:f>
        <x:v>12.25</x:v>
      </x:c>
    </x:row>
    <x:row r="5656" ht="21" customHeight="1">
      <x:c r="A5656" s="10" t="n">
        <x:v>7379</x:v>
      </x:c>
      <x:c r="B5656" s="2" t="str">
        <x:v>1d18ae2a33e53eeaffff</x:v>
      </x:c>
      <x:c r="C5656" s="2" t="str">
        <x:v>Hà Nội</x:v>
      </x:c>
      <x:c r="D5656" s="2" t="str">
        <x:v>Huyện Thạch Thất</x:v>
      </x:c>
      <x:c r="E5656" s="2" t="str">
        <x:v>land</x:v>
      </x:c>
      <x:c r="F5656" s="2" t="str">
        <x:v>sale_assumed</x:v>
      </x:c>
      <x:c r="G5656" s="11" t="n">
        <x:v>122</x:v>
      </x:c>
      <x:c r="H5656" s="12" t="n">
        <x:v>1700000000</x:v>
      </x:c>
      <x:c r="I5656" s="12" t="n">
        <x:v>13934426.229508197</x:v>
      </x:c>
      <x:c r="J5656" s="2" t="str">
        <x:v>total</x:v>
      </x:c>
      <x:c r="K5656" s="2" t="str">
        <x:v>top_level_area</x:v>
      </x:c>
      <x:c r="L5656" s="2" t="str">
        <x:v>property_type_inferred_from_title;transaction_assumed_sale_from_dataset_context</x:v>
      </x:c>
      <x:c r="M5656" s="10" t="n">
        <x:v>0</x:v>
      </x:c>
      <x:c r="N5656" s="10" t="n">
        <x:v>0</x:v>
      </x:c>
      <x:c r="O5656" s="2" t="str">
        <x:v>Hà Nội|land</x:v>
      </x:c>
      <x:c r="P5656" s="10" t="n">
        <x:v>2</x:v>
      </x:c>
      <x:c r="Q5656" s="13" t="n">
        <x:f>IF(H5656="","",H5656/1000000000)</x:f>
        <x:v>1.7</x:v>
      </x:c>
      <x:c r="R5656" s="13" t="n">
        <x:f>IF(I5656="","",I5656/1000000)</x:f>
        <x:v>13.934426229508198</x:v>
      </x:c>
    </x:row>
    <x:row r="5657" ht="21" customHeight="1">
      <x:c r="A5657" s="10" t="n">
        <x:v>7380</x:v>
      </x:c>
      <x:c r="B5657" s="2" t="str">
        <x:v>cf1d223db31096c4d63f</x:v>
      </x:c>
      <x:c r="C5657" s="2" t="str">
        <x:v>Hà Nội</x:v>
      </x:c>
      <x:c r="D5657" s="2" t="str">
        <x:v>Quận Hà Đông</x:v>
      </x:c>
      <x:c r="E5657" s="2" t="str">
        <x:v>house</x:v>
      </x:c>
      <x:c r="F5657" s="2" t="str">
        <x:v>sale</x:v>
      </x:c>
      <x:c r="G5657" s="11" t="n">
        <x:v>55</x:v>
      </x:c>
      <x:c r="H5657" s="12" t="n">
        <x:v>4850000000</x:v>
      </x:c>
      <x:c r="I5657" s="12" t="n">
        <x:v>88181818.18181819</x:v>
      </x:c>
      <x:c r="J5657" s="2" t="str">
        <x:v>total</x:v>
      </x:c>
      <x:c r="K5657" s="2" t="str">
        <x:v>top_level_area</x:v>
      </x:c>
      <x:c r="L5657" s="2" t="str">
        <x:v>property_type_inferred_from_title</x:v>
      </x:c>
      <x:c r="M5657" s="10" t="n">
        <x:v>0</x:v>
      </x:c>
      <x:c r="N5657" s="10" t="n">
        <x:v>0</x:v>
      </x:c>
      <x:c r="O5657" s="2" t="str">
        <x:v>Hà Nội|house</x:v>
      </x:c>
      <x:c r="P5657" s="10" t="n">
        <x:v>2</x:v>
      </x:c>
      <x:c r="Q5657" s="13" t="n">
        <x:f>IF(H5657="","",H5657/1000000000)</x:f>
        <x:v>4.85</x:v>
      </x:c>
      <x:c r="R5657" s="13" t="n">
        <x:f>IF(I5657="","",I5657/1000000)</x:f>
        <x:v>88.18181818181819</x:v>
      </x:c>
    </x:row>
    <x:row r="5658" ht="21" customHeight="1">
      <x:c r="A5658" s="10" t="n">
        <x:v>7381</x:v>
      </x:c>
      <x:c r="B5658" s="2" t="str">
        <x:v>975df53ec4612c74b89d</x:v>
      </x:c>
      <x:c r="C5658" s="2" t="str">
        <x:v>Tp Hồ Chí Minh</x:v>
      </x:c>
      <x:c r="D5658" s="2" t="str">
        <x:v>Quận 1</x:v>
      </x:c>
      <x:c r="E5658" s="2" t="str">
        <x:v>house</x:v>
      </x:c>
      <x:c r="F5658" s="2" t="str">
        <x:v>sale</x:v>
      </x:c>
      <x:c r="G5658" s="11" t="n">
        <x:v>65</x:v>
      </x:c>
      <x:c r="H5658" s="12" t="n">
        <x:v>13900000000</x:v>
      </x:c>
      <x:c r="I5658" s="12" t="n">
        <x:v>213846153.84615386</x:v>
      </x:c>
      <x:c r="J5658" s="2" t="str">
        <x:v>total</x:v>
      </x:c>
      <x:c r="K5658" s="2" t="str">
        <x:v>top_level_area</x:v>
      </x:c>
      <x:c r="L5658" s="2" t="str">
        <x:v>property_type_inferred_from_title</x:v>
      </x:c>
      <x:c r="M5658" s="10" t="n">
        <x:v>1</x:v>
      </x:c>
      <x:c r="N5658" s="10" t="n">
        <x:v>1</x:v>
      </x:c>
      <x:c r="O5658" s="2" t="str">
        <x:v>Tp Hồ Chí Minh|house</x:v>
      </x:c>
      <x:c r="P5658" s="10" t="n">
        <x:v>-1</x:v>
      </x:c>
      <x:c r="Q5658" s="13" t="n">
        <x:f>IF(H5658="","",H5658/1000000000)</x:f>
        <x:v>13.9</x:v>
      </x:c>
      <x:c r="R5658" s="13" t="n">
        <x:f>IF(I5658="","",I5658/1000000)</x:f>
        <x:v>213.84615384615387</x:v>
      </x:c>
    </x:row>
    <x:row r="5659" ht="21" customHeight="1">
      <x:c r="A5659" s="10" t="n">
        <x:v>7384</x:v>
      </x:c>
      <x:c r="B5659" s="2" t="str">
        <x:v>dd05c0049649a9d33d0c</x:v>
      </x:c>
      <x:c r="C5659" s="2" t="str">
        <x:v>Tp Hồ Chí Minh</x:v>
      </x:c>
      <x:c r="D5659" s="2" t="str">
        <x:v>Quận Bình Thạnh</x:v>
      </x:c>
      <x:c r="E5659" s="2" t="str">
        <x:v>house</x:v>
      </x:c>
      <x:c r="F5659" s="2" t="str">
        <x:v>sale</x:v>
      </x:c>
      <x:c r="G5659" s="11" t="n">
        <x:v>54</x:v>
      </x:c>
      <x:c r="H5659" s="12" t="n">
        <x:v>6100000000</x:v>
      </x:c>
      <x:c r="I5659" s="12" t="n">
        <x:v>112962962.96296297</x:v>
      </x:c>
      <x:c r="J5659" s="2" t="str">
        <x:v>total</x:v>
      </x:c>
      <x:c r="K5659" s="2" t="str">
        <x:v>top_level_area</x:v>
      </x:c>
      <x:c r="L5659" s="2" t="str">
        <x:v>property_type_inferred_from_title</x:v>
      </x:c>
      <x:c r="M5659" s="10" t="n">
        <x:v>0</x:v>
      </x:c>
      <x:c r="N5659" s="10" t="n">
        <x:v>0</x:v>
      </x:c>
      <x:c r="O5659" s="2" t="str">
        <x:v>Tp Hồ Chí Minh|house</x:v>
      </x:c>
      <x:c r="P5659" s="10" t="n">
        <x:v>2</x:v>
      </x:c>
      <x:c r="Q5659" s="13" t="n">
        <x:f>IF(H5659="","",H5659/1000000000)</x:f>
        <x:v>6.1</x:v>
      </x:c>
      <x:c r="R5659" s="13" t="n">
        <x:f>IF(I5659="","",I5659/1000000)</x:f>
        <x:v>112.96296296296298</x:v>
      </x:c>
    </x:row>
    <x:row r="5660" ht="21" customHeight="1">
      <x:c r="A5660" s="10" t="n">
        <x:v>7385</x:v>
      </x:c>
      <x:c r="B5660" s="2" t="str">
        <x:v>618a20513ba2acba56b5</x:v>
      </x:c>
      <x:c r="C5660" s="2" t="str">
        <x:v>Hà Nội</x:v>
      </x:c>
      <x:c r="D5660" s="2" t="str">
        <x:v>Quận Hà Đông</x:v>
      </x:c>
      <x:c r="E5660" s="2" t="str">
        <x:v>house</x:v>
      </x:c>
      <x:c r="F5660" s="2" t="str">
        <x:v>sale_assumed</x:v>
      </x:c>
      <x:c r="G5660" s="11" t="n">
        <x:v>32</x:v>
      </x:c>
      <x:c r="H5660" s="12" t="n">
        <x:v>1850000000</x:v>
      </x:c>
      <x:c r="I5660" s="12" t="n">
        <x:v>57812500</x:v>
      </x:c>
      <x:c r="J5660" s="2" t="str">
        <x:v>total</x:v>
      </x:c>
      <x:c r="K5660" s="2" t="str">
        <x:v>top_level_area</x:v>
      </x:c>
      <x:c r="L5660" s="2" t="str">
        <x:v>property_type_inferred_from_title;transaction_assumed_sale_from_dataset_context</x:v>
      </x:c>
      <x:c r="M5660" s="10" t="n">
        <x:v>0</x:v>
      </x:c>
      <x:c r="N5660" s="10" t="n">
        <x:v>0</x:v>
      </x:c>
      <x:c r="O5660" s="2" t="str">
        <x:v>Hà Nội|house</x:v>
      </x:c>
      <x:c r="P5660" s="10" t="n">
        <x:v>2</x:v>
      </x:c>
      <x:c r="Q5660" s="13" t="n">
        <x:f>IF(H5660="","",H5660/1000000000)</x:f>
        <x:v>1.85</x:v>
      </x:c>
      <x:c r="R5660" s="13" t="n">
        <x:f>IF(I5660="","",I5660/1000000)</x:f>
        <x:v>57.8125</x:v>
      </x:c>
    </x:row>
    <x:row r="5661" ht="21" customHeight="1">
      <x:c r="A5661" s="10" t="n">
        <x:v>7386</x:v>
      </x:c>
      <x:c r="B5661" s="2" t="str">
        <x:v>339c80c0054097a09dd1</x:v>
      </x:c>
      <x:c r="C5661" s="2" t="str">
        <x:v>Bình Dương</x:v>
      </x:c>
      <x:c r="D5661" s="2" t="str">
        <x:v>Thị xã Tân Uyên</x:v>
      </x:c>
      <x:c r="E5661" s="2" t="str">
        <x:v>land</x:v>
      </x:c>
      <x:c r="F5661" s="2" t="str">
        <x:v>sale</x:v>
      </x:c>
      <x:c r="G5661" s="11" t="n">
        <x:v>100</x:v>
      </x:c>
      <x:c r="H5661" s="12" t="n">
        <x:v>740000000</x:v>
      </x:c>
      <x:c r="I5661" s="12" t="n">
        <x:v>7400000</x:v>
      </x:c>
      <x:c r="J5661" s="2" t="str">
        <x:v>total</x:v>
      </x:c>
      <x:c r="K5661" s="2" t="str">
        <x:v>top_level_area</x:v>
      </x:c>
      <x:c r="L5661" s="2" t="str">
        <x:v>property_type_inferred_from_title</x:v>
      </x:c>
      <x:c r="M5661" s="10" t="n">
        <x:v>0</x:v>
      </x:c>
      <x:c r="N5661" s="10" t="n">
        <x:v>0</x:v>
      </x:c>
      <x:c r="O5661" s="2" t="str">
        <x:v>Bình Dương|land</x:v>
      </x:c>
      <x:c r="P5661" s="10" t="n">
        <x:v>2</x:v>
      </x:c>
      <x:c r="Q5661" s="13" t="n">
        <x:f>IF(H5661="","",H5661/1000000000)</x:f>
        <x:v>0.74</x:v>
      </x:c>
      <x:c r="R5661" s="13" t="n">
        <x:f>IF(I5661="","",I5661/1000000)</x:f>
        <x:v>7.4</x:v>
      </x:c>
    </x:row>
    <x:row r="5662" ht="21" customHeight="1">
      <x:c r="A5662" s="10" t="n">
        <x:v>7387</x:v>
      </x:c>
      <x:c r="B5662" s="2" t="str">
        <x:v>d874353b00206c1ed6e7</x:v>
      </x:c>
      <x:c r="C5662" s="2" t="str">
        <x:v>Khánh Hòa</x:v>
      </x:c>
      <x:c r="D5662" s="2" t="str">
        <x:v>Thành phố Nha Trang</x:v>
      </x:c>
      <x:c r="E5662" s="2" t="str">
        <x:v>house</x:v>
      </x:c>
      <x:c r="F5662" s="2" t="str">
        <x:v>sale</x:v>
      </x:c>
      <x:c r="G5662" s="11" t="n">
        <x:v>38</x:v>
      </x:c>
      <x:c r="H5662" s="12" t="n">
        <x:v>1550000000</x:v>
      </x:c>
      <x:c r="I5662" s="12" t="n">
        <x:v>40789473.684210524</x:v>
      </x:c>
      <x:c r="J5662" s="2" t="str">
        <x:v>total</x:v>
      </x:c>
      <x:c r="K5662" s="2" t="str">
        <x:v>top_level_area</x:v>
      </x:c>
      <x:c r="L5662" s="2" t="str">
        <x:v>property_type_inferred_from_title</x:v>
      </x:c>
      <x:c r="M5662" s="10" t="n">
        <x:v>0</x:v>
      </x:c>
      <x:c r="N5662" s="10" t="n">
        <x:v>0</x:v>
      </x:c>
      <x:c r="O5662" s="2" t="str">
        <x:v>Khánh Hòa|house</x:v>
      </x:c>
      <x:c r="P5662" s="10" t="n">
        <x:v>2</x:v>
      </x:c>
      <x:c r="Q5662" s="13" t="n">
        <x:f>IF(H5662="","",H5662/1000000000)</x:f>
        <x:v>1.55</x:v>
      </x:c>
      <x:c r="R5662" s="13" t="n">
        <x:f>IF(I5662="","",I5662/1000000)</x:f>
        <x:v>40.78947368421053</x:v>
      </x:c>
    </x:row>
    <x:row r="5663" ht="21" customHeight="1">
      <x:c r="A5663" s="10" t="n">
        <x:v>7388</x:v>
      </x:c>
      <x:c r="B5663" s="2" t="str">
        <x:v>41c34cf252a277f943dc</x:v>
      </x:c>
      <x:c r="C5663" s="2" t="str">
        <x:v>Tp Hồ Chí Minh</x:v>
      </x:c>
      <x:c r="D5663" s="2" t="str">
        <x:v>Quận 8</x:v>
      </x:c>
      <x:c r="E5663" s="2" t="str">
        <x:v>house</x:v>
      </x:c>
      <x:c r="F5663" s="2" t="str">
        <x:v>sale</x:v>
      </x:c>
      <x:c r="G5663" s="11" t="n">
        <x:v>64</x:v>
      </x:c>
      <x:c r="H5663" s="12" t="n">
        <x:v>1390000000</x:v>
      </x:c>
      <x:c r="I5663" s="12" t="n">
        <x:v>21718750</x:v>
      </x:c>
      <x:c r="J5663" s="2" t="str">
        <x:v>total</x:v>
      </x:c>
      <x:c r="K5663" s="2" t="str">
        <x:v>top_level_area</x:v>
      </x:c>
      <x:c r="L5663" s="2" t="str">
        <x:v>property_type_inferred_from_title</x:v>
      </x:c>
      <x:c r="M5663" s="10" t="n">
        <x:v>0</x:v>
      </x:c>
      <x:c r="N5663" s="10" t="n">
        <x:v>0</x:v>
      </x:c>
      <x:c r="O5663" s="2" t="str">
        <x:v>Tp Hồ Chí Minh|house</x:v>
      </x:c>
      <x:c r="P5663" s="10" t="n">
        <x:v>2</x:v>
      </x:c>
      <x:c r="Q5663" s="13" t="n">
        <x:f>IF(H5663="","",H5663/1000000000)</x:f>
        <x:v>1.39</x:v>
      </x:c>
      <x:c r="R5663" s="13" t="n">
        <x:f>IF(I5663="","",I5663/1000000)</x:f>
        <x:v>21.71875</x:v>
      </x:c>
    </x:row>
    <x:row r="5664" ht="21" customHeight="1">
      <x:c r="A5664" s="10" t="n">
        <x:v>7389</x:v>
      </x:c>
      <x:c r="B5664" s="2" t="str">
        <x:v>84be06be826f88cbc272</x:v>
      </x:c>
      <x:c r="C5664" s="2" t="str">
        <x:v>Vĩnh Long</x:v>
      </x:c>
      <x:c r="D5664" s="2" t="str">
        <x:v>Huyện Long Hồ</x:v>
      </x:c>
      <x:c r="E5664" s="2" t="str">
        <x:v>land</x:v>
      </x:c>
      <x:c r="F5664" s="2" t="str">
        <x:v>sale</x:v>
      </x:c>
      <x:c r="G5664" s="11" t="n">
        <x:v>189</x:v>
      </x:c>
      <x:c r="H5664" s="12" t="n">
        <x:v>500000000</x:v>
      </x:c>
      <x:c r="I5664" s="12" t="n">
        <x:v>2645502.6455026455</x:v>
      </x:c>
      <x:c r="J5664" s="2" t="str">
        <x:v>total</x:v>
      </x:c>
      <x:c r="K5664" s="2" t="str">
        <x:v>top_level_area</x:v>
      </x:c>
      <x:c r="L5664" s="2" t="str">
        <x:v>property_type_inferred_from_title</x:v>
      </x:c>
      <x:c r="M5664" s="10" t="n">
        <x:v>0</x:v>
      </x:c>
      <x:c r="N5664" s="10" t="n">
        <x:v>0</x:v>
      </x:c>
      <x:c r="O5664" s="2" t="str">
        <x:v>land</x:v>
      </x:c>
      <x:c r="P5664" s="10" t="n">
        <x:v>1</x:v>
      </x:c>
      <x:c r="Q5664" s="13" t="n">
        <x:f>IF(H5664="","",H5664/1000000000)</x:f>
        <x:v>0.5</x:v>
      </x:c>
      <x:c r="R5664" s="13" t="n">
        <x:f>IF(I5664="","",I5664/1000000)</x:f>
        <x:v>2.6455026455026456</x:v>
      </x:c>
    </x:row>
    <x:row r="5665" ht="21" customHeight="1">
      <x:c r="A5665" s="10" t="n">
        <x:v>7390</x:v>
      </x:c>
      <x:c r="B5665" s="2" t="str">
        <x:v>772449b02d8e4026c3fe</x:v>
      </x:c>
      <x:c r="C5665" s="2" t="str">
        <x:v>Đà Nẵng</x:v>
      </x:c>
      <x:c r="D5665" s="2" t="str">
        <x:v>Quận Thanh Khê</x:v>
      </x:c>
      <x:c r="E5665" s="2" t="str">
        <x:v>house</x:v>
      </x:c>
      <x:c r="F5665" s="2" t="str">
        <x:v>sale</x:v>
      </x:c>
      <x:c r="G5665" s="11" t="n">
        <x:v>72</x:v>
      </x:c>
      <x:c r="H5665" s="12" t="n">
        <x:v>3550000000</x:v>
      </x:c>
      <x:c r="I5665" s="12" t="n">
        <x:v>49305555.55555555</x:v>
      </x:c>
      <x:c r="J5665" s="2" t="str">
        <x:v>total</x:v>
      </x:c>
      <x:c r="K5665" s="2" t="str">
        <x:v>top_level_area</x:v>
      </x:c>
      <x:c r="L5665" s="2" t="str">
        <x:v>property_type_inferred_from_title</x:v>
      </x:c>
      <x:c r="M5665" s="10" t="n">
        <x:v>0</x:v>
      </x:c>
      <x:c r="N5665" s="10" t="n">
        <x:v>0</x:v>
      </x:c>
      <x:c r="O5665" s="2" t="str">
        <x:v>Đà Nẵng|house</x:v>
      </x:c>
      <x:c r="P5665" s="10" t="n">
        <x:v>2</x:v>
      </x:c>
      <x:c r="Q5665" s="13" t="n">
        <x:f>IF(H5665="","",H5665/1000000000)</x:f>
        <x:v>3.55</x:v>
      </x:c>
      <x:c r="R5665" s="13" t="n">
        <x:f>IF(I5665="","",I5665/1000000)</x:f>
        <x:v>49.30555555555555</x:v>
      </x:c>
    </x:row>
    <x:row r="5666" ht="21" customHeight="1">
      <x:c r="A5666" s="10" t="n">
        <x:v>7391</x:v>
      </x:c>
      <x:c r="B5666" s="2" t="str">
        <x:v>3de0e1869ebc7f282cf7</x:v>
      </x:c>
      <x:c r="C5666" s="2" t="str">
        <x:v>Thừa Thiên Huế</x:v>
      </x:c>
      <x:c r="D5666" s="2" t="str">
        <x:v>Thị xã Hương Thủy</x:v>
      </x:c>
      <x:c r="E5666" s="2" t="str">
        <x:v>land</x:v>
      </x:c>
      <x:c r="F5666" s="2" t="str">
        <x:v>sale_assumed</x:v>
      </x:c>
      <x:c r="G5666" s="11" t="n">
        <x:v>135</x:v>
      </x:c>
      <x:c r="H5666" s="12" t="n">
        <x:v>1750000000</x:v>
      </x:c>
      <x:c r="I5666" s="12" t="n">
        <x:v>12962962.962962963</x:v>
      </x:c>
      <x:c r="J5666" s="2" t="str">
        <x:v>total</x:v>
      </x:c>
      <x:c r="K5666" s="2" t="str">
        <x:v>top_level_area</x:v>
      </x:c>
      <x:c r="L5666" s="2" t="str">
        <x:v>property_type_inferred_from_title;transaction_assumed_sale_from_dataset_context</x:v>
      </x:c>
      <x:c r="M5666" s="10" t="n">
        <x:v>0</x:v>
      </x:c>
      <x:c r="N5666" s="10" t="n">
        <x:v>0</x:v>
      </x:c>
      <x:c r="O5666" s="2" t="str">
        <x:v>land</x:v>
      </x:c>
      <x:c r="P5666" s="10" t="n">
        <x:v>2</x:v>
      </x:c>
      <x:c r="Q5666" s="13" t="n">
        <x:f>IF(H5666="","",H5666/1000000000)</x:f>
        <x:v>1.75</x:v>
      </x:c>
      <x:c r="R5666" s="13" t="n">
        <x:f>IF(I5666="","",I5666/1000000)</x:f>
        <x:v>12.962962962962962</x:v>
      </x:c>
    </x:row>
    <x:row r="5667" ht="21" customHeight="1">
      <x:c r="A5667" s="10" t="n">
        <x:v>7392</x:v>
      </x:c>
      <x:c r="B5667" s="2" t="str">
        <x:v>dc65853ff1b8f0948f57</x:v>
      </x:c>
      <x:c r="C5667" s="2" t="str">
        <x:v>Hà Nội</x:v>
      </x:c>
      <x:c r="D5667" s="2" t="str">
        <x:v>Quận Cầu Giấy</x:v>
      </x:c>
      <x:c r="E5667" s="2" t="str">
        <x:v>house</x:v>
      </x:c>
      <x:c r="F5667" s="2" t="str">
        <x:v>sale</x:v>
      </x:c>
      <x:c r="G5667" s="11" t="n">
        <x:v>65</x:v>
      </x:c>
      <x:c r="H5667" s="12" t="n">
        <x:v>4500000000</x:v>
      </x:c>
      <x:c r="I5667" s="12" t="n">
        <x:v>69230769.23076923</x:v>
      </x:c>
      <x:c r="J5667" s="2" t="str">
        <x:v>total</x:v>
      </x:c>
      <x:c r="K5667" s="2" t="str">
        <x:v>top_level_area</x:v>
      </x:c>
      <x:c r="L5667" s="2" t="str">
        <x:v>property_type_inferred_from_title</x:v>
      </x:c>
      <x:c r="M5667" s="10" t="n">
        <x:v>0</x:v>
      </x:c>
      <x:c r="N5667" s="10" t="n">
        <x:v>0</x:v>
      </x:c>
      <x:c r="O5667" s="2" t="str">
        <x:v>Hà Nội|house</x:v>
      </x:c>
      <x:c r="P5667" s="10" t="n">
        <x:v>2</x:v>
      </x:c>
      <x:c r="Q5667" s="13" t="n">
        <x:f>IF(H5667="","",H5667/1000000000)</x:f>
        <x:v>4.5</x:v>
      </x:c>
      <x:c r="R5667" s="13" t="n">
        <x:f>IF(I5667="","",I5667/1000000)</x:f>
        <x:v>69.23076923076923</x:v>
      </x:c>
    </x:row>
    <x:row r="5668" ht="21" customHeight="1">
      <x:c r="A5668" s="10" t="n">
        <x:v>7393</x:v>
      </x:c>
      <x:c r="B5668" s="2" t="str">
        <x:v>18c655db757fdf9828a0</x:v>
      </x:c>
      <x:c r="C5668" s="2" t="str">
        <x:v>Đà Nẵng</x:v>
      </x:c>
      <x:c r="D5668" s="2" t="str">
        <x:v>Quận Sơn Trà</x:v>
      </x:c>
      <x:c r="E5668" s="2" t="str">
        <x:v>land</x:v>
      </x:c>
      <x:c r="F5668" s="2" t="str">
        <x:v>sale</x:v>
      </x:c>
      <x:c r="G5668" s="11" t="n">
        <x:v>119</x:v>
      </x:c>
      <x:c r="H5668" s="12" t="n">
        <x:v>6000000000</x:v>
      </x:c>
      <x:c r="I5668" s="12" t="n">
        <x:v>50420168.067226894</x:v>
      </x:c>
      <x:c r="J5668" s="2" t="str">
        <x:v>total</x:v>
      </x:c>
      <x:c r="K5668" s="2" t="str">
        <x:v>top_level_area</x:v>
      </x:c>
      <x:c r="L5668" s="2" t="str">
        <x:v>property_type_inferred_from_title</x:v>
      </x:c>
      <x:c r="M5668" s="10" t="n">
        <x:v>0</x:v>
      </x:c>
      <x:c r="N5668" s="10" t="n">
        <x:v>0</x:v>
      </x:c>
      <x:c r="O5668" s="2" t="str">
        <x:v>Đà Nẵng|land</x:v>
      </x:c>
      <x:c r="P5668" s="10" t="n">
        <x:v>2</x:v>
      </x:c>
      <x:c r="Q5668" s="13" t="n">
        <x:f>IF(H5668="","",H5668/1000000000)</x:f>
        <x:v>6</x:v>
      </x:c>
      <x:c r="R5668" s="13" t="n">
        <x:f>IF(I5668="","",I5668/1000000)</x:f>
        <x:v>50.420168067226896</x:v>
      </x:c>
    </x:row>
    <x:row r="5669" ht="21" customHeight="1">
      <x:c r="A5669" s="10" t="n">
        <x:v>7394</x:v>
      </x:c>
      <x:c r="B5669" s="2" t="str">
        <x:v>6149816517aff9e8b104</x:v>
      </x:c>
      <x:c r="C5669" s="2" t="str">
        <x:v>Hà Nội</x:v>
      </x:c>
      <x:c r="D5669" s="2" t="str">
        <x:v>Quận Hà Đông</x:v>
      </x:c>
      <x:c r="E5669" s="2" t="str">
        <x:v>house</x:v>
      </x:c>
      <x:c r="F5669" s="2" t="str">
        <x:v>sale</x:v>
      </x:c>
      <x:c r="G5669" s="11" t="n">
        <x:v>39</x:v>
      </x:c>
      <x:c r="H5669" s="12" t="n">
        <x:v>3400000000</x:v>
      </x:c>
      <x:c r="I5669" s="12" t="n">
        <x:v>87179487.17948718</x:v>
      </x:c>
      <x:c r="J5669" s="2" t="str">
        <x:v>total</x:v>
      </x:c>
      <x:c r="K5669" s="2" t="str">
        <x:v>top_level_area</x:v>
      </x:c>
      <x:c r="L5669" s="2" t="str">
        <x:v>property_type_inferred_from_title</x:v>
      </x:c>
      <x:c r="M5669" s="10" t="n">
        <x:v>0</x:v>
      </x:c>
      <x:c r="N5669" s="10" t="n">
        <x:v>0</x:v>
      </x:c>
      <x:c r="O5669" s="2" t="str">
        <x:v>Hà Nội|house</x:v>
      </x:c>
      <x:c r="P5669" s="10" t="n">
        <x:v>2</x:v>
      </x:c>
      <x:c r="Q5669" s="13" t="n">
        <x:f>IF(H5669="","",H5669/1000000000)</x:f>
        <x:v>3.4</x:v>
      </x:c>
      <x:c r="R5669" s="13" t="n">
        <x:f>IF(I5669="","",I5669/1000000)</x:f>
        <x:v>87.17948717948718</x:v>
      </x:c>
    </x:row>
    <x:row r="5670" ht="21" customHeight="1">
      <x:c r="A5670" s="10" t="n">
        <x:v>7395</x:v>
      </x:c>
      <x:c r="B5670" s="2" t="str">
        <x:v>eff5ed9313342c7e2ed1</x:v>
      </x:c>
      <x:c r="C5670" s="2" t="str">
        <x:v>Tp Hồ Chí Minh</x:v>
      </x:c>
      <x:c r="D5670" s="2" t="str">
        <x:v>Quận Tân Phú</x:v>
      </x:c>
      <x:c r="E5670" s="2" t="str">
        <x:v>house</x:v>
      </x:c>
      <x:c r="F5670" s="2" t="str">
        <x:v>sale</x:v>
      </x:c>
      <x:c r="G5670" s="11" t="n">
        <x:v>30</x:v>
      </x:c>
      <x:c r="H5670" s="12" t="n">
        <x:v>1650000000</x:v>
      </x:c>
      <x:c r="I5670" s="12" t="n">
        <x:v>55000000</x:v>
      </x:c>
      <x:c r="J5670" s="2" t="str">
        <x:v>total</x:v>
      </x:c>
      <x:c r="K5670" s="2" t="str">
        <x:v>top_level_area</x:v>
      </x:c>
      <x:c r="L5670" s="2" t="str">
        <x:v>property_type_inferred_from_title</x:v>
      </x:c>
      <x:c r="M5670" s="10" t="n">
        <x:v>0</x:v>
      </x:c>
      <x:c r="N5670" s="10" t="n">
        <x:v>0</x:v>
      </x:c>
      <x:c r="O5670" s="2" t="str">
        <x:v>Tp Hồ Chí Minh|house</x:v>
      </x:c>
      <x:c r="P5670" s="10" t="n">
        <x:v>2</x:v>
      </x:c>
      <x:c r="Q5670" s="13" t="n">
        <x:f>IF(H5670="","",H5670/1000000000)</x:f>
        <x:v>1.65</x:v>
      </x:c>
      <x:c r="R5670" s="13" t="n">
        <x:f>IF(I5670="","",I5670/1000000)</x:f>
        <x:v>55</x:v>
      </x:c>
    </x:row>
    <x:row r="5671" ht="21" customHeight="1">
      <x:c r="A5671" s="10" t="n">
        <x:v>7396</x:v>
      </x:c>
      <x:c r="B5671" s="2" t="str">
        <x:v>0a584db25f09838c649d</x:v>
      </x:c>
      <x:c r="C5671" s="2" t="str">
        <x:v>Hà Nội</x:v>
      </x:c>
      <x:c r="D5671" s="2" t="str">
        <x:v>Quận Long Biên</x:v>
      </x:c>
      <x:c r="E5671" s="2" t="str">
        <x:v>house</x:v>
      </x:c>
      <x:c r="F5671" s="2" t="str">
        <x:v>sale_assumed</x:v>
      </x:c>
      <x:c r="G5671" s="11" t="n">
        <x:v>60</x:v>
      </x:c>
      <x:c r="H5671" s="12" t="n">
        <x:v>6000000000</x:v>
      </x:c>
      <x:c r="I5671" s="12" t="n">
        <x:v>100000000</x:v>
      </x:c>
      <x:c r="J5671" s="2" t="str">
        <x:v>total</x:v>
      </x:c>
      <x:c r="K5671" s="2" t="str">
        <x:v>top_level_area</x:v>
      </x:c>
      <x:c r="L5671" s="2" t="str">
        <x:v>property_type_inferred_from_title;transaction_assumed_sale_from_dataset_context</x:v>
      </x:c>
      <x:c r="M5671" s="10" t="n">
        <x:v>0</x:v>
      </x:c>
      <x:c r="N5671" s="10" t="n">
        <x:v>0</x:v>
      </x:c>
      <x:c r="O5671" s="2" t="str">
        <x:v>Hà Nội|house</x:v>
      </x:c>
      <x:c r="P5671" s="10" t="n">
        <x:v>2</x:v>
      </x:c>
      <x:c r="Q5671" s="13" t="n">
        <x:f>IF(H5671="","",H5671/1000000000)</x:f>
        <x:v>6</x:v>
      </x:c>
      <x:c r="R5671" s="13" t="n">
        <x:f>IF(I5671="","",I5671/1000000)</x:f>
        <x:v>100</x:v>
      </x:c>
    </x:row>
    <x:row r="5672" ht="21" customHeight="1">
      <x:c r="A5672" s="10" t="n">
        <x:v>7397</x:v>
      </x:c>
      <x:c r="B5672" s="2" t="str">
        <x:v>a1ea593ed77123c6402f</x:v>
      </x:c>
      <x:c r="C5672" s="2" t="str">
        <x:v>Tp Hồ Chí Minh</x:v>
      </x:c>
      <x:c r="D5672" s="2" t="str">
        <x:v>Quận Gò Vấp</x:v>
      </x:c>
      <x:c r="E5672" s="2" t="str">
        <x:v>other_unknown</x:v>
      </x:c>
      <x:c r="F5672" s="2" t="str">
        <x:v>sale_assumed</x:v>
      </x:c>
      <x:c r="G5672" s="11" t="n">
        <x:v>57</x:v>
      </x:c>
      <x:c r="H5672" s="12" t="n">
        <x:v>5799000000</x:v>
      </x:c>
      <x:c r="I5672" s="12" t="n">
        <x:v>101736842.10526316</x:v>
      </x:c>
      <x:c r="J5672" s="2" t="str">
        <x:v>total</x:v>
      </x:c>
      <x:c r="K5672" s="2" t="str">
        <x:v>top_level_area</x:v>
      </x:c>
      <x:c r="L5672" s="2" t="str">
        <x:v>property_type_inferred_from_title;transaction_assumed_sale_from_dataset_context;unknown_property_type</x:v>
      </x:c>
      <x:c r="M5672" s="10" t="n">
        <x:v>0</x:v>
      </x:c>
      <x:c r="N5672" s="10" t="n">
        <x:v>0</x:v>
      </x:c>
      <x:c r="O5672" s="2" t="str">
        <x:v>Tp Hồ Chí Minh|other_unknown</x:v>
      </x:c>
      <x:c r="P5672" s="10" t="n">
        <x:v>2</x:v>
      </x:c>
      <x:c r="Q5672" s="13" t="n">
        <x:f>IF(H5672="","",H5672/1000000000)</x:f>
        <x:v>5.799</x:v>
      </x:c>
      <x:c r="R5672" s="13" t="n">
        <x:f>IF(I5672="","",I5672/1000000)</x:f>
        <x:v>101.73684210526316</x:v>
      </x:c>
    </x:row>
    <x:row r="5673" ht="21" customHeight="1">
      <x:c r="A5673" s="10" t="n">
        <x:v>7398</x:v>
      </x:c>
      <x:c r="B5673" s="2" t="str">
        <x:v>1135239cd76a0b67a327</x:v>
      </x:c>
      <x:c r="C5673" s="2" t="str">
        <x:v>Tp Hồ Chí Minh</x:v>
      </x:c>
      <x:c r="D5673" s="2" t="str">
        <x:v>Quận 7</x:v>
      </x:c>
      <x:c r="E5673" s="2" t="str">
        <x:v>other_unknown</x:v>
      </x:c>
      <x:c r="F5673" s="2" t="str">
        <x:v>sale_assumed</x:v>
      </x:c>
      <x:c r="G5673" s="11" t="n">
        <x:v>72</x:v>
      </x:c>
      <x:c r="H5673" s="12" t="n">
        <x:v>5500000000</x:v>
      </x:c>
      <x:c r="I5673" s="12" t="n">
        <x:v>76388888.8888889</x:v>
      </x:c>
      <x:c r="J5673" s="2" t="str">
        <x:v>total</x:v>
      </x:c>
      <x:c r="K5673" s="2" t="str">
        <x:v>top_level_area</x:v>
      </x:c>
      <x:c r="L5673" s="2" t="str">
        <x:v>property_type_inferred_from_title;transaction_assumed_sale_from_dataset_context;unknown_property_type</x:v>
      </x:c>
      <x:c r="M5673" s="10" t="n">
        <x:v>0</x:v>
      </x:c>
      <x:c r="N5673" s="10" t="n">
        <x:v>0</x:v>
      </x:c>
      <x:c r="O5673" s="2" t="str">
        <x:v>Tp Hồ Chí Minh|other_unknown</x:v>
      </x:c>
      <x:c r="P5673" s="10" t="n">
        <x:v>2</x:v>
      </x:c>
      <x:c r="Q5673" s="13" t="n">
        <x:f>IF(H5673="","",H5673/1000000000)</x:f>
        <x:v>5.5</x:v>
      </x:c>
      <x:c r="R5673" s="13" t="n">
        <x:f>IF(I5673="","",I5673/1000000)</x:f>
        <x:v>76.3888888888889</x:v>
      </x:c>
    </x:row>
    <x:row r="5674" ht="21" customHeight="1">
      <x:c r="A5674" s="10" t="n">
        <x:v>7399</x:v>
      </x:c>
      <x:c r="B5674" s="2" t="str">
        <x:v>84f63c813c03fda43750</x:v>
      </x:c>
      <x:c r="C5674" s="2" t="str">
        <x:v>Tp Hồ Chí Minh</x:v>
      </x:c>
      <x:c r="D5674" s="2" t="str">
        <x:v>Quận 9</x:v>
      </x:c>
      <x:c r="E5674" s="2" t="str">
        <x:v>other_unknown</x:v>
      </x:c>
      <x:c r="F5674" s="2" t="str">
        <x:v>sale_assumed</x:v>
      </x:c>
      <x:c r="G5674" s="11" t="n">
        <x:v>130</x:v>
      </x:c>
      <x:c r="H5674" s="12" t="n">
        <x:v>1780000000</x:v>
      </x:c>
      <x:c r="I5674" s="12" t="n">
        <x:v>13692307.692307692</x:v>
      </x:c>
      <x:c r="J5674" s="2" t="str">
        <x:v>total</x:v>
      </x:c>
      <x:c r="K5674" s="2" t="str">
        <x:v>top_level_price_embedded_area</x:v>
      </x:c>
      <x:c r="L5674" s="2" t="str">
        <x:v>area_recovered_from_price_text;property_type_inferred_from_title;transaction_assumed_sale_from_dataset_context;unknown_property_type</x:v>
      </x:c>
      <x:c r="M5674" s="10" t="n">
        <x:v>0</x:v>
      </x:c>
      <x:c r="N5674" s="10" t="n">
        <x:v>0</x:v>
      </x:c>
      <x:c r="O5674" s="2" t="str">
        <x:v>Tp Hồ Chí Minh|other_unknown</x:v>
      </x:c>
      <x:c r="P5674" s="10" t="n">
        <x:v>2</x:v>
      </x:c>
      <x:c r="Q5674" s="13" t="n">
        <x:f>IF(H5674="","",H5674/1000000000)</x:f>
        <x:v>1.78</x:v>
      </x:c>
      <x:c r="R5674" s="13" t="n">
        <x:f>IF(I5674="","",I5674/1000000)</x:f>
        <x:v>13.692307692307692</x:v>
      </x:c>
    </x:row>
    <x:row r="5675" ht="21" customHeight="1">
      <x:c r="A5675" s="10" t="n">
        <x:v>7400</x:v>
      </x:c>
      <x:c r="B5675" s="2" t="str">
        <x:v>05709be6c7c9b39a6f96</x:v>
      </x:c>
      <x:c r="C5675" s="2" t="str">
        <x:v>Tp Hồ Chí Minh</x:v>
      </x:c>
      <x:c r="D5675" s="2" t="str">
        <x:v>Quận 12</x:v>
      </x:c>
      <x:c r="E5675" s="2" t="str">
        <x:v>house</x:v>
      </x:c>
      <x:c r="F5675" s="2" t="str">
        <x:v>sale</x:v>
      </x:c>
      <x:c r="G5675" s="11" t="n">
        <x:v>64</x:v>
      </x:c>
      <x:c r="H5675" s="12" t="n">
        <x:v>1450000000</x:v>
      </x:c>
      <x:c r="I5675" s="12" t="n">
        <x:v>22656250</x:v>
      </x:c>
      <x:c r="J5675" s="2" t="str">
        <x:v>total</x:v>
      </x:c>
      <x:c r="K5675" s="2" t="str">
        <x:v>top_level_area</x:v>
      </x:c>
      <x:c r="L5675" s="2" t="str">
        <x:v>property_type_inferred_from_title</x:v>
      </x:c>
      <x:c r="M5675" s="10" t="n">
        <x:v>0</x:v>
      </x:c>
      <x:c r="N5675" s="10" t="n">
        <x:v>0</x:v>
      </x:c>
      <x:c r="O5675" s="2" t="str">
        <x:v>Tp Hồ Chí Minh|house</x:v>
      </x:c>
      <x:c r="P5675" s="10" t="n">
        <x:v>2</x:v>
      </x:c>
      <x:c r="Q5675" s="13" t="n">
        <x:f>IF(H5675="","",H5675/1000000000)</x:f>
        <x:v>1.45</x:v>
      </x:c>
      <x:c r="R5675" s="13" t="n">
        <x:f>IF(I5675="","",I5675/1000000)</x:f>
        <x:v>22.65625</x:v>
      </x:c>
    </x:row>
    <x:row r="5676" ht="21" customHeight="1">
      <x:c r="A5676" s="10" t="n">
        <x:v>7401</x:v>
      </x:c>
      <x:c r="B5676" s="2" t="str">
        <x:v>53526b0754afcf777e0c</x:v>
      </x:c>
      <x:c r="C5676" s="2" t="str">
        <x:v>Tp Hồ Chí Minh</x:v>
      </x:c>
      <x:c r="D5676" s="2" t="str">
        <x:v>Quận Gò Vấp</x:v>
      </x:c>
      <x:c r="E5676" s="2" t="str">
        <x:v>house</x:v>
      </x:c>
      <x:c r="F5676" s="2" t="str">
        <x:v>sale_assumed</x:v>
      </x:c>
      <x:c r="G5676" s="11" t="n">
        <x:v>32</x:v>
      </x:c>
      <x:c r="H5676" s="12" t="n">
        <x:v>3390000000</x:v>
      </x:c>
      <x:c r="I5676" s="12" t="n">
        <x:v>105937500</x:v>
      </x:c>
      <x:c r="J5676" s="2" t="str">
        <x:v>total</x:v>
      </x:c>
      <x:c r="K5676" s="2" t="str">
        <x:v>top_level_area</x:v>
      </x:c>
      <x:c r="L5676" s="2" t="str">
        <x:v>property_type_inferred_from_title;transaction_assumed_sale_from_dataset_context</x:v>
      </x:c>
      <x:c r="M5676" s="10" t="n">
        <x:v>0</x:v>
      </x:c>
      <x:c r="N5676" s="10" t="n">
        <x:v>0</x:v>
      </x:c>
      <x:c r="O5676" s="2" t="str">
        <x:v>Tp Hồ Chí Minh|house</x:v>
      </x:c>
      <x:c r="P5676" s="10" t="n">
        <x:v>2</x:v>
      </x:c>
      <x:c r="Q5676" s="13" t="n">
        <x:f>IF(H5676="","",H5676/1000000000)</x:f>
        <x:v>3.39</x:v>
      </x:c>
      <x:c r="R5676" s="13" t="n">
        <x:f>IF(I5676="","",I5676/1000000)</x:f>
        <x:v>105.9375</x:v>
      </x:c>
    </x:row>
    <x:row r="5677" ht="21" customHeight="1">
      <x:c r="A5677" s="10" t="n">
        <x:v>7402</x:v>
      </x:c>
      <x:c r="B5677" s="2" t="str">
        <x:v>c0f65c371512ada6ab43</x:v>
      </x:c>
      <x:c r="C5677" s="2" t="str">
        <x:v>Tp Hồ Chí Minh</x:v>
      </x:c>
      <x:c r="D5677" s="2" t="str">
        <x:v>Quận 10</x:v>
      </x:c>
      <x:c r="E5677" s="2" t="str">
        <x:v>house</x:v>
      </x:c>
      <x:c r="F5677" s="2" t="str">
        <x:v>sale_assumed</x:v>
      </x:c>
      <x:c r="G5677" s="11" t="n">
        <x:v>46</x:v>
      </x:c>
      <x:c r="H5677" s="12" t="n">
        <x:v>3300000000</x:v>
      </x:c>
      <x:c r="I5677" s="12" t="n">
        <x:v>71739130.43478261</x:v>
      </x:c>
      <x:c r="J5677" s="2" t="str">
        <x:v>total</x:v>
      </x:c>
      <x:c r="K5677" s="2" t="str">
        <x:v>top_level_area</x:v>
      </x:c>
      <x:c r="L5677" s="2" t="str">
        <x:v>property_type_inferred_from_title;transaction_assumed_sale_from_dataset_context</x:v>
      </x:c>
      <x:c r="M5677" s="10" t="n">
        <x:v>0</x:v>
      </x:c>
      <x:c r="N5677" s="10" t="n">
        <x:v>0</x:v>
      </x:c>
      <x:c r="O5677" s="2" t="str">
        <x:v>Tp Hồ Chí Minh|house</x:v>
      </x:c>
      <x:c r="P5677" s="10" t="n">
        <x:v>2</x:v>
      </x:c>
      <x:c r="Q5677" s="13" t="n">
        <x:f>IF(H5677="","",H5677/1000000000)</x:f>
        <x:v>3.3</x:v>
      </x:c>
      <x:c r="R5677" s="13" t="n">
        <x:f>IF(I5677="","",I5677/1000000)</x:f>
        <x:v>71.73913043478261</x:v>
      </x:c>
    </x:row>
    <x:row r="5678" ht="21" customHeight="1">
      <x:c r="A5678" s="10" t="n">
        <x:v>7403</x:v>
      </x:c>
      <x:c r="B5678" s="2" t="str">
        <x:v>a027e855e260188c7249</x:v>
      </x:c>
      <x:c r="C5678" s="2" t="str">
        <x:v>Tp Hồ Chí Minh</x:v>
      </x:c>
      <x:c r="D5678" s="2" t="str">
        <x:v>Quận Tân Phú</x:v>
      </x:c>
      <x:c r="E5678" s="2" t="str">
        <x:v>apartment</x:v>
      </x:c>
      <x:c r="F5678" s="2" t="str">
        <x:v>sale</x:v>
      </x:c>
      <x:c r="G5678" s="11" t="n">
        <x:v>86</x:v>
      </x:c>
      <x:c r="H5678" s="12" t="n">
        <x:v>3450000000</x:v>
      </x:c>
      <x:c r="I5678" s="12" t="n">
        <x:v>40116279.069767445</x:v>
      </x:c>
      <x:c r="J5678" s="2" t="str">
        <x:v>total</x:v>
      </x:c>
      <x:c r="K5678" s="2" t="str">
        <x:v>top_level_area</x:v>
      </x:c>
      <x:c r="L5678" s="2" t="str">
        <x:v>property_type_inferred_from_title</x:v>
      </x:c>
      <x:c r="M5678" s="10" t="n">
        <x:v>0</x:v>
      </x:c>
      <x:c r="N5678" s="10" t="n">
        <x:v>0</x:v>
      </x:c>
      <x:c r="O5678" s="2" t="str">
        <x:v>Tp Hồ Chí Minh|apartment</x:v>
      </x:c>
      <x:c r="P5678" s="10" t="n">
        <x:v>2</x:v>
      </x:c>
      <x:c r="Q5678" s="13" t="n">
        <x:f>IF(H5678="","",H5678/1000000000)</x:f>
        <x:v>3.45</x:v>
      </x:c>
      <x:c r="R5678" s="13" t="n">
        <x:f>IF(I5678="","",I5678/1000000)</x:f>
        <x:v>40.116279069767444</x:v>
      </x:c>
    </x:row>
    <x:row r="5679" ht="21" customHeight="1">
      <x:c r="A5679" s="10" t="n">
        <x:v>7406</x:v>
      </x:c>
      <x:c r="B5679" s="2" t="str">
        <x:v>59df75feac6e6fe3a63e</x:v>
      </x:c>
      <x:c r="C5679" s="2" t="str">
        <x:v>Tp Hồ Chí Minh</x:v>
      </x:c>
      <x:c r="D5679" s="2" t="str">
        <x:v>Quận Thủ Đức</x:v>
      </x:c>
      <x:c r="E5679" s="2" t="str">
        <x:v>house</x:v>
      </x:c>
      <x:c r="F5679" s="2" t="str">
        <x:v>sale_assumed</x:v>
      </x:c>
      <x:c r="G5679" s="11" t="n">
        <x:v>100</x:v>
      </x:c>
      <x:c r="H5679" s="12" t="n">
        <x:v>1270000000</x:v>
      </x:c>
      <x:c r="I5679" s="12" t="n">
        <x:v>12700000</x:v>
      </x:c>
      <x:c r="J5679" s="2" t="str">
        <x:v>total</x:v>
      </x:c>
      <x:c r="K5679" s="2" t="str">
        <x:v>top_level_area</x:v>
      </x:c>
      <x:c r="L5679" s="2" t="str">
        <x:v>property_type_inferred_from_title;transaction_assumed_sale_from_dataset_context</x:v>
      </x:c>
      <x:c r="M5679" s="10" t="n">
        <x:v>0</x:v>
      </x:c>
      <x:c r="N5679" s="10" t="n">
        <x:v>0</x:v>
      </x:c>
      <x:c r="O5679" s="2" t="str">
        <x:v>Tp Hồ Chí Minh|house</x:v>
      </x:c>
      <x:c r="P5679" s="10" t="n">
        <x:v>2</x:v>
      </x:c>
      <x:c r="Q5679" s="13" t="n">
        <x:f>IF(H5679="","",H5679/1000000000)</x:f>
        <x:v>1.27</x:v>
      </x:c>
      <x:c r="R5679" s="13" t="n">
        <x:f>IF(I5679="","",I5679/1000000)</x:f>
        <x:v>12.7</x:v>
      </x:c>
    </x:row>
    <x:row r="5680" ht="21" customHeight="1">
      <x:c r="A5680" s="10" t="n">
        <x:v>7407</x:v>
      </x:c>
      <x:c r="B5680" s="2" t="str">
        <x:v>29379b1ace6ae95878a8</x:v>
      </x:c>
      <x:c r="C5680" s="2" t="str">
        <x:v>Đà Nẵng</x:v>
      </x:c>
      <x:c r="D5680" s="2" t="str">
        <x:v>Quận Ngũ Hành Sơn</x:v>
      </x:c>
      <x:c r="E5680" s="2" t="str">
        <x:v>land</x:v>
      </x:c>
      <x:c r="F5680" s="2" t="str">
        <x:v>sale_assumed</x:v>
      </x:c>
      <x:c r="G5680" s="11" t="n">
        <x:v>87</x:v>
      </x:c>
      <x:c r="H5680" s="12" t="n">
        <x:v>1795100000</x:v>
      </x:c>
      <x:c r="I5680" s="12" t="n">
        <x:v>20633333.333333332</x:v>
      </x:c>
      <x:c r="J5680" s="2" t="str">
        <x:v>total</x:v>
      </x:c>
      <x:c r="K5680" s="2" t="str">
        <x:v>top_level_area</x:v>
      </x:c>
      <x:c r="L5680" s="2" t="str">
        <x:v>property_type_inferred_from_title;transaction_assumed_sale_from_dataset_context</x:v>
      </x:c>
      <x:c r="M5680" s="10" t="n">
        <x:v>0</x:v>
      </x:c>
      <x:c r="N5680" s="10" t="n">
        <x:v>0</x:v>
      </x:c>
      <x:c r="O5680" s="2" t="str">
        <x:v>Đà Nẵng|land</x:v>
      </x:c>
      <x:c r="P5680" s="10" t="n">
        <x:v>2</x:v>
      </x:c>
      <x:c r="Q5680" s="13" t="n">
        <x:f>IF(H5680="","",H5680/1000000000)</x:f>
        <x:v>1.7951</x:v>
      </x:c>
      <x:c r="R5680" s="13" t="n">
        <x:f>IF(I5680="","",I5680/1000000)</x:f>
        <x:v>20.633333333333333</x:v>
      </x:c>
    </x:row>
    <x:row r="5681" ht="21" customHeight="1">
      <x:c r="A5681" s="10" t="n">
        <x:v>7408</x:v>
      </x:c>
      <x:c r="B5681" s="2" t="str">
        <x:v>62cc4f2a5e4c9deb7341</x:v>
      </x:c>
      <x:c r="C5681" s="2" t="str">
        <x:v>Hà Nội</x:v>
      </x:c>
      <x:c r="D5681" s="2" t="str">
        <x:v>Quận Hà Đông</x:v>
      </x:c>
      <x:c r="E5681" s="2" t="str">
        <x:v>house</x:v>
      </x:c>
      <x:c r="F5681" s="2" t="str">
        <x:v>sale_assumed</x:v>
      </x:c>
      <x:c r="G5681" s="11" t="n">
        <x:v>35</x:v>
      </x:c>
      <x:c r="H5681" s="12" t="n">
        <x:v>1460000000</x:v>
      </x:c>
      <x:c r="I5681" s="12" t="n">
        <x:v>41714285.71428572</x:v>
      </x:c>
      <x:c r="J5681" s="2" t="str">
        <x:v>total</x:v>
      </x:c>
      <x:c r="K5681" s="2" t="str">
        <x:v>top_level_area</x:v>
      </x:c>
      <x:c r="L5681" s="2" t="str">
        <x:v>property_type_inferred_from_title;transaction_assumed_sale_from_dataset_context</x:v>
      </x:c>
      <x:c r="M5681" s="10" t="n">
        <x:v>0</x:v>
      </x:c>
      <x:c r="N5681" s="10" t="n">
        <x:v>0</x:v>
      </x:c>
      <x:c r="O5681" s="2" t="str">
        <x:v>Hà Nội|house</x:v>
      </x:c>
      <x:c r="P5681" s="10" t="n">
        <x:v>2</x:v>
      </x:c>
      <x:c r="Q5681" s="13" t="n">
        <x:f>IF(H5681="","",H5681/1000000000)</x:f>
        <x:v>1.46</x:v>
      </x:c>
      <x:c r="R5681" s="13" t="n">
        <x:f>IF(I5681="","",I5681/1000000)</x:f>
        <x:v>41.714285714285715</x:v>
      </x:c>
    </x:row>
    <x:row r="5682" ht="21" customHeight="1">
      <x:c r="A5682" s="10" t="n">
        <x:v>7409</x:v>
      </x:c>
      <x:c r="B5682" s="2" t="str">
        <x:v>1ca4ffb0724fafbd8e5e</x:v>
      </x:c>
      <x:c r="C5682" s="2" t="str">
        <x:v>Đồng Nai</x:v>
      </x:c>
      <x:c r="D5682" s="2" t="str">
        <x:v>Huyện Cẩm Mỹ</x:v>
      </x:c>
      <x:c r="E5682" s="2" t="str">
        <x:v>land</x:v>
      </x:c>
      <x:c r="F5682" s="2" t="str">
        <x:v>sale</x:v>
      </x:c>
      <x:c r="G5682" s="11" t="n">
        <x:v>11607</x:v>
      </x:c>
      <x:c r="H5682" s="12" t="n">
        <x:v>5300000000</x:v>
      </x:c>
      <x:c r="I5682" s="12" t="n">
        <x:v>456621.00456621003</x:v>
      </x:c>
      <x:c r="J5682" s="2" t="str">
        <x:v>total</x:v>
      </x:c>
      <x:c r="K5682" s="2" t="str">
        <x:v>top_level_area</x:v>
      </x:c>
      <x:c r="L5682" s="2" t="str">
        <x:v>dot_thousands_convention;property_type_inferred_from_title</x:v>
      </x:c>
      <x:c r="M5682" s="10" t="n">
        <x:v>0</x:v>
      </x:c>
      <x:c r="N5682" s="10" t="n">
        <x:v>0</x:v>
      </x:c>
      <x:c r="O5682" s="2" t="str">
        <x:v>Đồng Nai|land</x:v>
      </x:c>
      <x:c r="P5682" s="10" t="n">
        <x:v>1</x:v>
      </x:c>
      <x:c r="Q5682" s="13" t="n">
        <x:f>IF(H5682="","",H5682/1000000000)</x:f>
        <x:v>5.3</x:v>
      </x:c>
      <x:c r="R5682" s="13" t="n">
        <x:f>IF(I5682="","",I5682/1000000)</x:f>
        <x:v>0.45662100456621</x:v>
      </x:c>
    </x:row>
    <x:row r="5683" ht="21" customHeight="1">
      <x:c r="A5683" s="10" t="n">
        <x:v>7410</x:v>
      </x:c>
      <x:c r="B5683" s="2" t="str">
        <x:v>520673d097d8773743d2</x:v>
      </x:c>
      <x:c r="C5683" s="2" t="str">
        <x:v>Tp Hồ Chí Minh</x:v>
      </x:c>
      <x:c r="D5683" s="2" t="str">
        <x:v>Huyện Hóc Môn</x:v>
      </x:c>
      <x:c r="E5683" s="2" t="str">
        <x:v>land</x:v>
      </x:c>
      <x:c r="F5683" s="2" t="str">
        <x:v>sale_assumed</x:v>
      </x:c>
      <x:c r="G5683" s="11" t="n">
        <x:v>160</x:v>
      </x:c>
      <x:c r="H5683" s="12" t="n">
        <x:v>460000000</x:v>
      </x:c>
      <x:c r="I5683" s="12" t="n">
        <x:v>2875000</x:v>
      </x:c>
      <x:c r="J5683" s="2" t="str">
        <x:v>total</x:v>
      </x:c>
      <x:c r="K5683" s="2" t="str">
        <x:v>top_level_area</x:v>
      </x:c>
      <x:c r="L5683" s="2" t="str">
        <x:v>property_type_inferred_from_title;transaction_assumed_sale_from_dataset_context</x:v>
      </x:c>
      <x:c r="M5683" s="10" t="n">
        <x:v>0</x:v>
      </x:c>
      <x:c r="N5683" s="10" t="n">
        <x:v>0</x:v>
      </x:c>
      <x:c r="O5683" s="2" t="str">
        <x:v>Tp Hồ Chí Minh|land</x:v>
      </x:c>
      <x:c r="P5683" s="10" t="n">
        <x:v>1</x:v>
      </x:c>
      <x:c r="Q5683" s="13" t="n">
        <x:f>IF(H5683="","",H5683/1000000000)</x:f>
        <x:v>0.46</x:v>
      </x:c>
      <x:c r="R5683" s="13" t="n">
        <x:f>IF(I5683="","",I5683/1000000)</x:f>
        <x:v>2.875</x:v>
      </x:c>
    </x:row>
    <x:row r="5684" ht="21" customHeight="1">
      <x:c r="A5684" s="10" t="n">
        <x:v>7411</x:v>
      </x:c>
      <x:c r="B5684" s="2" t="str">
        <x:v>a1e9b249b5716d5c712b</x:v>
      </x:c>
      <x:c r="C5684" s="2" t="str">
        <x:v>Tp Hồ Chí Minh</x:v>
      </x:c>
      <x:c r="D5684" s="2" t="str">
        <x:v>Quận Bình Tân</x:v>
      </x:c>
      <x:c r="E5684" s="2" t="str">
        <x:v>land</x:v>
      </x:c>
      <x:c r="F5684" s="2" t="str">
        <x:v>sale_assumed</x:v>
      </x:c>
      <x:c r="G5684" s="11" t="n">
        <x:v>108</x:v>
      </x:c>
      <x:c r="H5684" s="12" t="n">
        <x:v>4500000000</x:v>
      </x:c>
      <x:c r="I5684" s="12" t="n">
        <x:v>41666666.666666664</x:v>
      </x:c>
      <x:c r="J5684" s="2" t="str">
        <x:v>total</x:v>
      </x:c>
      <x:c r="K5684" s="2" t="str">
        <x:v>top_level_area</x:v>
      </x:c>
      <x:c r="L5684" s="2" t="str">
        <x:v>property_type_inferred_from_title;transaction_assumed_sale_from_dataset_context</x:v>
      </x:c>
      <x:c r="M5684" s="10" t="n">
        <x:v>0</x:v>
      </x:c>
      <x:c r="N5684" s="10" t="n">
        <x:v>0</x:v>
      </x:c>
      <x:c r="O5684" s="2" t="str">
        <x:v>Tp Hồ Chí Minh|land</x:v>
      </x:c>
      <x:c r="P5684" s="10" t="n">
        <x:v>2</x:v>
      </x:c>
      <x:c r="Q5684" s="13" t="n">
        <x:f>IF(H5684="","",H5684/1000000000)</x:f>
        <x:v>4.5</x:v>
      </x:c>
      <x:c r="R5684" s="13" t="n">
        <x:f>IF(I5684="","",I5684/1000000)</x:f>
        <x:v>41.666666666666664</x:v>
      </x:c>
    </x:row>
    <x:row r="5685" ht="21" customHeight="1">
      <x:c r="A5685" s="10" t="n">
        <x:v>7412</x:v>
      </x:c>
      <x:c r="B5685" s="2" t="str">
        <x:v>8f963e7e322b585d281a</x:v>
      </x:c>
      <x:c r="C5685" s="2" t="str">
        <x:v>Tp Hồ Chí Minh</x:v>
      </x:c>
      <x:c r="D5685" s="2" t="str">
        <x:v>Quận Gò Vấp</x:v>
      </x:c>
      <x:c r="E5685" s="2" t="str">
        <x:v>other_unknown</x:v>
      </x:c>
      <x:c r="F5685" s="2" t="str">
        <x:v>sale</x:v>
      </x:c>
      <x:c r="G5685" s="11" t="n">
        <x:v>175</x:v>
      </x:c>
      <x:c r="H5685" s="12" t="n">
        <x:v>737000000</x:v>
      </x:c>
      <x:c r="I5685" s="12" t="n">
        <x:v>4211428.571428572</x:v>
      </x:c>
      <x:c r="J5685" s="2" t="str">
        <x:v>total</x:v>
      </x:c>
      <x:c r="K5685" s="2" t="str">
        <x:v>top_level_area</x:v>
      </x:c>
      <x:c r="L5685" s="2" t="str">
        <x:v>property_type_inferred_from_title;unknown_property_type</x:v>
      </x:c>
      <x:c r="M5685" s="10" t="n">
        <x:v>0</x:v>
      </x:c>
      <x:c r="N5685" s="10" t="n">
        <x:v>0</x:v>
      </x:c>
      <x:c r="O5685" s="2" t="str">
        <x:v>Tp Hồ Chí Minh|other_unknown</x:v>
      </x:c>
      <x:c r="P5685" s="10" t="n">
        <x:v>1</x:v>
      </x:c>
      <x:c r="Q5685" s="13" t="n">
        <x:f>IF(H5685="","",H5685/1000000000)</x:f>
        <x:v>0.737</x:v>
      </x:c>
      <x:c r="R5685" s="13" t="n">
        <x:f>IF(I5685="","",I5685/1000000)</x:f>
        <x:v>4.211428571428572</x:v>
      </x:c>
    </x:row>
    <x:row r="5686" ht="21" customHeight="1">
      <x:c r="A5686" s="10" t="n">
        <x:v>7413</x:v>
      </x:c>
      <x:c r="B5686" s="2" t="str">
        <x:v>21c8403c56c6278a2f11</x:v>
      </x:c>
      <x:c r="C5686" s="2" t="str">
        <x:v>Hà Nội</x:v>
      </x:c>
      <x:c r="D5686" s="2" t="str">
        <x:v>Quận Ba Đình</x:v>
      </x:c>
      <x:c r="E5686" s="2" t="str">
        <x:v>house</x:v>
      </x:c>
      <x:c r="F5686" s="2" t="str">
        <x:v>sale_assumed</x:v>
      </x:c>
      <x:c r="G5686" s="11" t="n">
        <x:v>23</x:v>
      </x:c>
      <x:c r="H5686" s="12" t="n">
        <x:v>2500000000</x:v>
      </x:c>
      <x:c r="I5686" s="12" t="n">
        <x:v>108695652.17391305</x:v>
      </x:c>
      <x:c r="J5686" s="2" t="str">
        <x:v>total</x:v>
      </x:c>
      <x:c r="K5686" s="2" t="str">
        <x:v>top_level_area</x:v>
      </x:c>
      <x:c r="L5686" s="2" t="str">
        <x:v>property_type_inferred_from_title;transaction_assumed_sale_from_dataset_context</x:v>
      </x:c>
      <x:c r="M5686" s="10" t="n">
        <x:v>0</x:v>
      </x:c>
      <x:c r="N5686" s="10" t="n">
        <x:v>0</x:v>
      </x:c>
      <x:c r="O5686" s="2" t="str">
        <x:v>Hà Nội|house</x:v>
      </x:c>
      <x:c r="P5686" s="10" t="n">
        <x:v>2</x:v>
      </x:c>
      <x:c r="Q5686" s="13" t="n">
        <x:f>IF(H5686="","",H5686/1000000000)</x:f>
        <x:v>2.5</x:v>
      </x:c>
      <x:c r="R5686" s="13" t="n">
        <x:f>IF(I5686="","",I5686/1000000)</x:f>
        <x:v>108.69565217391305</x:v>
      </x:c>
    </x:row>
    <x:row r="5687" ht="21" customHeight="1">
      <x:c r="A5687" s="10" t="n">
        <x:v>7414</x:v>
      </x:c>
      <x:c r="B5687" s="2" t="str">
        <x:v>9eeb20e27d1b9b58a403</x:v>
      </x:c>
      <x:c r="C5687" s="2" t="str">
        <x:v>Đà Nẵng</x:v>
      </x:c>
      <x:c r="D5687" s="2" t="str">
        <x:v>Quận Cẩm Lệ</x:v>
      </x:c>
      <x:c r="E5687" s="2" t="str">
        <x:v>land</x:v>
      </x:c>
      <x:c r="F5687" s="2" t="str">
        <x:v>sale_assumed</x:v>
      </x:c>
      <x:c r="G5687" s="11" t="n">
        <x:v>100</x:v>
      </x:c>
      <x:c r="H5687" s="12" t="n">
        <x:v>2380000000</x:v>
      </x:c>
      <x:c r="I5687" s="12" t="n">
        <x:v>23800000</x:v>
      </x:c>
      <x:c r="J5687" s="2" t="str">
        <x:v>total</x:v>
      </x:c>
      <x:c r="K5687" s="2" t="str">
        <x:v>top_level_area</x:v>
      </x:c>
      <x:c r="L5687" s="2" t="str">
        <x:v>property_type_inferred_from_title;transaction_assumed_sale_from_dataset_context</x:v>
      </x:c>
      <x:c r="M5687" s="10" t="n">
        <x:v>0</x:v>
      </x:c>
      <x:c r="N5687" s="10" t="n">
        <x:v>0</x:v>
      </x:c>
      <x:c r="O5687" s="2" t="str">
        <x:v>Đà Nẵng|land</x:v>
      </x:c>
      <x:c r="P5687" s="10" t="n">
        <x:v>2</x:v>
      </x:c>
      <x:c r="Q5687" s="13" t="n">
        <x:f>IF(H5687="","",H5687/1000000000)</x:f>
        <x:v>2.38</x:v>
      </x:c>
      <x:c r="R5687" s="13" t="n">
        <x:f>IF(I5687="","",I5687/1000000)</x:f>
        <x:v>23.8</x:v>
      </x:c>
    </x:row>
    <x:row r="5688" ht="21" customHeight="1">
      <x:c r="A5688" s="10" t="n">
        <x:v>7415</x:v>
      </x:c>
      <x:c r="B5688" s="2" t="str">
        <x:v>9595f67862cb4d340a05</x:v>
      </x:c>
      <x:c r="C5688" s="2" t="str">
        <x:v>Tp Hồ Chí Minh</x:v>
      </x:c>
      <x:c r="D5688" s="2" t="str">
        <x:v>Huyện Hóc Môn</x:v>
      </x:c>
      <x:c r="E5688" s="2" t="str">
        <x:v>land</x:v>
      </x:c>
      <x:c r="F5688" s="2" t="str">
        <x:v>sale</x:v>
      </x:c>
      <x:c r="G5688" s="11" t="n">
        <x:v>100</x:v>
      </x:c>
      <x:c r="H5688" s="12" t="n">
        <x:v>500000000</x:v>
      </x:c>
      <x:c r="I5688" s="12" t="n">
        <x:v>5000000</x:v>
      </x:c>
      <x:c r="J5688" s="2" t="str">
        <x:v>total</x:v>
      </x:c>
      <x:c r="K5688" s="2" t="str">
        <x:v>top_level_area</x:v>
      </x:c>
      <x:c r="L5688" s="2" t="str">
        <x:v>property_type_inferred_from_title</x:v>
      </x:c>
      <x:c r="M5688" s="10" t="n">
        <x:v>0</x:v>
      </x:c>
      <x:c r="N5688" s="10" t="n">
        <x:v>0</x:v>
      </x:c>
      <x:c r="O5688" s="2" t="str">
        <x:v>Tp Hồ Chí Minh|land</x:v>
      </x:c>
      <x:c r="P5688" s="10" t="n">
        <x:v>2</x:v>
      </x:c>
      <x:c r="Q5688" s="13" t="n">
        <x:f>IF(H5688="","",H5688/1000000000)</x:f>
        <x:v>0.5</x:v>
      </x:c>
      <x:c r="R5688" s="13" t="n">
        <x:f>IF(I5688="","",I5688/1000000)</x:f>
        <x:v>5</x:v>
      </x:c>
    </x:row>
    <x:row r="5689" ht="21" customHeight="1">
      <x:c r="A5689" s="10" t="n">
        <x:v>7416</x:v>
      </x:c>
      <x:c r="B5689" s="2" t="str">
        <x:v>69b0387335929fda627e</x:v>
      </x:c>
      <x:c r="C5689" s="2" t="str">
        <x:v>Tp Hồ Chí Minh</x:v>
      </x:c>
      <x:c r="D5689" s="2" t="str">
        <x:v>Quận 9</x:v>
      </x:c>
      <x:c r="E5689" s="2" t="str">
        <x:v>land</x:v>
      </x:c>
      <x:c r="F5689" s="2" t="str">
        <x:v>sale_assumed</x:v>
      </x:c>
      <x:c r="G5689" s="11" t="n">
        <x:v>85</x:v>
      </x:c>
      <x:c r="H5689" s="12" t="n">
        <x:v>715000000</x:v>
      </x:c>
      <x:c r="I5689" s="12" t="n">
        <x:v>8411764.705882354</x:v>
      </x:c>
      <x:c r="J5689" s="2" t="str">
        <x:v>total</x:v>
      </x:c>
      <x:c r="K5689" s="2" t="str">
        <x:v>top_level_area</x:v>
      </x:c>
      <x:c r="L5689" s="2" t="str">
        <x:v>property_type_inferred_from_title;transaction_assumed_sale_from_dataset_context</x:v>
      </x:c>
      <x:c r="M5689" s="10" t="n">
        <x:v>0</x:v>
      </x:c>
      <x:c r="N5689" s="10" t="n">
        <x:v>0</x:v>
      </x:c>
      <x:c r="O5689" s="2" t="str">
        <x:v>Tp Hồ Chí Minh|land</x:v>
      </x:c>
      <x:c r="P5689" s="10" t="n">
        <x:v>2</x:v>
      </x:c>
      <x:c r="Q5689" s="13" t="n">
        <x:f>IF(H5689="","",H5689/1000000000)</x:f>
        <x:v>0.715</x:v>
      </x:c>
      <x:c r="R5689" s="13" t="n">
        <x:f>IF(I5689="","",I5689/1000000)</x:f>
        <x:v>8.411764705882353</x:v>
      </x:c>
    </x:row>
    <x:row r="5690" ht="21" customHeight="1">
      <x:c r="A5690" s="10" t="n">
        <x:v>7417</x:v>
      </x:c>
      <x:c r="B5690" s="2" t="str">
        <x:v>50553e4192efa46bebc6</x:v>
      </x:c>
      <x:c r="C5690" s="2" t="str">
        <x:v>Tp Hồ Chí Minh</x:v>
      </x:c>
      <x:c r="D5690" s="2" t="str">
        <x:v>Quận 9</x:v>
      </x:c>
      <x:c r="E5690" s="2" t="str">
        <x:v>other_unknown</x:v>
      </x:c>
      <x:c r="F5690" s="2" t="str">
        <x:v>sale_assumed</x:v>
      </x:c>
      <x:c r="G5690" s="11" t="n">
        <x:v>206</x:v>
      </x:c>
      <x:c r="H5690" s="12" t="n">
        <x:v>29000000000</x:v>
      </x:c>
      <x:c r="I5690" s="12" t="n">
        <x:v>140776699.02912623</x:v>
      </x:c>
      <x:c r="J5690" s="2" t="str">
        <x:v>total</x:v>
      </x:c>
      <x:c r="K5690" s="2" t="str">
        <x:v>top_level_area</x:v>
      </x:c>
      <x:c r="L5690" s="2" t="str">
        <x:v>property_type_inferred_from_title;transaction_assumed_sale_from_dataset_context;unknown_property_type</x:v>
      </x:c>
      <x:c r="M5690" s="10" t="n">
        <x:v>0</x:v>
      </x:c>
      <x:c r="N5690" s="10" t="n">
        <x:v>0</x:v>
      </x:c>
      <x:c r="O5690" s="2" t="str">
        <x:v>Tp Hồ Chí Minh|other_unknown</x:v>
      </x:c>
      <x:c r="P5690" s="10" t="n">
        <x:v>2</x:v>
      </x:c>
      <x:c r="Q5690" s="13" t="n">
        <x:f>IF(H5690="","",H5690/1000000000)</x:f>
        <x:v>29</x:v>
      </x:c>
      <x:c r="R5690" s="13" t="n">
        <x:f>IF(I5690="","",I5690/1000000)</x:f>
        <x:v>140.77669902912623</x:v>
      </x:c>
    </x:row>
    <x:row r="5691" ht="21" customHeight="1">
      <x:c r="A5691" s="10" t="n">
        <x:v>7418</x:v>
      </x:c>
      <x:c r="B5691" s="2" t="str">
        <x:v>7a39110b18c6c753b3af</x:v>
      </x:c>
      <x:c r="C5691" s="2" t="str">
        <x:v>Tp Hồ Chí Minh</x:v>
      </x:c>
      <x:c r="D5691" s="2" t="str">
        <x:v>Quận Tân Bình</x:v>
      </x:c>
      <x:c r="E5691" s="2" t="str">
        <x:v>house</x:v>
      </x:c>
      <x:c r="F5691" s="2" t="str">
        <x:v>sale_assumed</x:v>
      </x:c>
      <x:c r="G5691" s="11" t="n">
        <x:v>40</x:v>
      </x:c>
      <x:c r="H5691" s="12" t="n">
        <x:v>3100000000</x:v>
      </x:c>
      <x:c r="I5691" s="12" t="n">
        <x:v>77500000</x:v>
      </x:c>
      <x:c r="J5691" s="2" t="str">
        <x:v>total</x:v>
      </x:c>
      <x:c r="K5691" s="2" t="str">
        <x:v>top_level_area</x:v>
      </x:c>
      <x:c r="L5691" s="2" t="str">
        <x:v>property_type_inferred_from_title;transaction_assumed_sale_from_dataset_context</x:v>
      </x:c>
      <x:c r="M5691" s="10" t="n">
        <x:v>0</x:v>
      </x:c>
      <x:c r="N5691" s="10" t="n">
        <x:v>0</x:v>
      </x:c>
      <x:c r="O5691" s="2" t="str">
        <x:v>Tp Hồ Chí Minh|house</x:v>
      </x:c>
      <x:c r="P5691" s="10" t="n">
        <x:v>2</x:v>
      </x:c>
      <x:c r="Q5691" s="13" t="n">
        <x:f>IF(H5691="","",H5691/1000000000)</x:f>
        <x:v>3.1</x:v>
      </x:c>
      <x:c r="R5691" s="13" t="n">
        <x:f>IF(I5691="","",I5691/1000000)</x:f>
        <x:v>77.5</x:v>
      </x:c>
    </x:row>
    <x:row r="5692" ht="21" customHeight="1">
      <x:c r="A5692" s="10" t="n">
        <x:v>7419</x:v>
      </x:c>
      <x:c r="B5692" s="2" t="str">
        <x:v>6173cbe37d6d74947b49</x:v>
      </x:c>
      <x:c r="C5692" s="2" t="str">
        <x:v>Long An</x:v>
      </x:c>
      <x:c r="D5692" s="2" t="str">
        <x:v>Huyện Cần Giuộc</x:v>
      </x:c>
      <x:c r="E5692" s="2" t="str">
        <x:v>house</x:v>
      </x:c>
      <x:c r="F5692" s="2" t="str">
        <x:v>sale_assumed</x:v>
      </x:c>
      <x:c r="G5692" s="11" t="n">
        <x:v>53</x:v>
      </x:c>
      <x:c r="H5692" s="12" t="n">
        <x:v>1280000000</x:v>
      </x:c>
      <x:c r="I5692" s="12" t="n">
        <x:v>24150943.396226414</x:v>
      </x:c>
      <x:c r="J5692" s="2" t="str">
        <x:v>total</x:v>
      </x:c>
      <x:c r="K5692" s="2" t="str">
        <x:v>top_level_area</x:v>
      </x:c>
      <x:c r="L5692" s="2" t="str">
        <x:v>property_type_inferred_from_title;transaction_assumed_sale_from_dataset_context</x:v>
      </x:c>
      <x:c r="M5692" s="10" t="n">
        <x:v>0</x:v>
      </x:c>
      <x:c r="N5692" s="10" t="n">
        <x:v>0</x:v>
      </x:c>
      <x:c r="O5692" s="2" t="str">
        <x:v>Long An|house</x:v>
      </x:c>
      <x:c r="P5692" s="10" t="n">
        <x:v>2</x:v>
      </x:c>
      <x:c r="Q5692" s="13" t="n">
        <x:f>IF(H5692="","",H5692/1000000000)</x:f>
        <x:v>1.28</x:v>
      </x:c>
      <x:c r="R5692" s="13" t="n">
        <x:f>IF(I5692="","",I5692/1000000)</x:f>
        <x:v>24.150943396226413</x:v>
      </x:c>
    </x:row>
    <x:row r="5693" ht="21" customHeight="1">
      <x:c r="A5693" s="10" t="n">
        <x:v>7420</x:v>
      </x:c>
      <x:c r="B5693" s="2" t="str">
        <x:v>02031513599c8edc20a0</x:v>
      </x:c>
      <x:c r="C5693" s="2" t="str">
        <x:v>Tp Hồ Chí Minh</x:v>
      </x:c>
      <x:c r="D5693" s="2" t="str">
        <x:v>Quận Thủ Đức</x:v>
      </x:c>
      <x:c r="E5693" s="2" t="str">
        <x:v>house</x:v>
      </x:c>
      <x:c r="F5693" s="2" t="str">
        <x:v>sale_assumed</x:v>
      </x:c>
      <x:c r="G5693" s="11" t="n">
        <x:v>67</x:v>
      </x:c>
      <x:c r="H5693" s="12" t="n">
        <x:v>4990000000</x:v>
      </x:c>
      <x:c r="I5693" s="12" t="n">
        <x:v>74477611.94029851</x:v>
      </x:c>
      <x:c r="J5693" s="2" t="str">
        <x:v>total</x:v>
      </x:c>
      <x:c r="K5693" s="2" t="str">
        <x:v>top_level_area</x:v>
      </x:c>
      <x:c r="L5693" s="2" t="str">
        <x:v>property_type_inferred_from_title;transaction_assumed_sale_from_dataset_context</x:v>
      </x:c>
      <x:c r="M5693" s="10" t="n">
        <x:v>0</x:v>
      </x:c>
      <x:c r="N5693" s="10" t="n">
        <x:v>0</x:v>
      </x:c>
      <x:c r="O5693" s="2" t="str">
        <x:v>Tp Hồ Chí Minh|house</x:v>
      </x:c>
      <x:c r="P5693" s="10" t="n">
        <x:v>2</x:v>
      </x:c>
      <x:c r="Q5693" s="13" t="n">
        <x:f>IF(H5693="","",H5693/1000000000)</x:f>
        <x:v>4.99</x:v>
      </x:c>
      <x:c r="R5693" s="13" t="n">
        <x:f>IF(I5693="","",I5693/1000000)</x:f>
        <x:v>74.47761194029852</x:v>
      </x:c>
    </x:row>
    <x:row r="5694" ht="21" customHeight="1">
      <x:c r="A5694" s="10" t="n">
        <x:v>7421</x:v>
      </x:c>
      <x:c r="B5694" s="2" t="str">
        <x:v>d6e41ecfdc97b6303104</x:v>
      </x:c>
      <x:c r="C5694" s="2" t="str">
        <x:v>Tp Hồ Chí Minh</x:v>
      </x:c>
      <x:c r="D5694" s="2" t="str">
        <x:v>Quận 9</x:v>
      </x:c>
      <x:c r="E5694" s="2" t="str">
        <x:v>house</x:v>
      </x:c>
      <x:c r="F5694" s="2" t="str">
        <x:v>sale_assumed</x:v>
      </x:c>
      <x:c r="G5694" s="11" t="n">
        <x:v>96</x:v>
      </x:c>
      <x:c r="H5694" s="12" t="n">
        <x:v>5200000000</x:v>
      </x:c>
      <x:c r="I5694" s="12" t="n">
        <x:v>54166666.666666664</x:v>
      </x:c>
      <x:c r="J5694" s="2" t="str">
        <x:v>total</x:v>
      </x:c>
      <x:c r="K5694" s="2" t="str">
        <x:v>top_level_area</x:v>
      </x:c>
      <x:c r="L5694" s="2" t="str">
        <x:v>property_type_inferred_from_title;transaction_assumed_sale_from_dataset_context</x:v>
      </x:c>
      <x:c r="M5694" s="10" t="n">
        <x:v>0</x:v>
      </x:c>
      <x:c r="N5694" s="10" t="n">
        <x:v>0</x:v>
      </x:c>
      <x:c r="O5694" s="2" t="str">
        <x:v>Tp Hồ Chí Minh|house</x:v>
      </x:c>
      <x:c r="P5694" s="10" t="n">
        <x:v>2</x:v>
      </x:c>
      <x:c r="Q5694" s="13" t="n">
        <x:f>IF(H5694="","",H5694/1000000000)</x:f>
        <x:v>5.2</x:v>
      </x:c>
      <x:c r="R5694" s="13" t="n">
        <x:f>IF(I5694="","",I5694/1000000)</x:f>
        <x:v>54.166666666666664</x:v>
      </x:c>
    </x:row>
    <x:row r="5695" ht="21" customHeight="1">
      <x:c r="A5695" s="10" t="n">
        <x:v>7422</x:v>
      </x:c>
      <x:c r="B5695" s="2" t="str">
        <x:v>abbce9015555dfaf3061</x:v>
      </x:c>
      <x:c r="C5695" s="2" t="str">
        <x:v>Đà Nẵng</x:v>
      </x:c>
      <x:c r="D5695" s="2" t="str">
        <x:v>Quận Sơn Trà</x:v>
      </x:c>
      <x:c r="E5695" s="2" t="str">
        <x:v>apartment</x:v>
      </x:c>
      <x:c r="F5695" s="2" t="str">
        <x:v>sale_assumed</x:v>
      </x:c>
      <x:c r="G5695" s="11" t="n">
        <x:v>60</x:v>
      </x:c>
      <x:c r="H5695" s="12" t="n">
        <x:v>1200000000</x:v>
      </x:c>
      <x:c r="I5695" s="12" t="n">
        <x:v>20000000</x:v>
      </x:c>
      <x:c r="J5695" s="2" t="str">
        <x:v>total</x:v>
      </x:c>
      <x:c r="K5695" s="2" t="str">
        <x:v>top_level_area</x:v>
      </x:c>
      <x:c r="L5695" s="2" t="str">
        <x:v>property_type_inferred_from_title;transaction_assumed_sale_from_dataset_context</x:v>
      </x:c>
      <x:c r="M5695" s="10" t="n">
        <x:v>0</x:v>
      </x:c>
      <x:c r="N5695" s="10" t="n">
        <x:v>0</x:v>
      </x:c>
      <x:c r="O5695" s="2" t="str">
        <x:v>apartment</x:v>
      </x:c>
      <x:c r="P5695" s="10" t="n">
        <x:v>2</x:v>
      </x:c>
      <x:c r="Q5695" s="13" t="n">
        <x:f>IF(H5695="","",H5695/1000000000)</x:f>
        <x:v>1.2</x:v>
      </x:c>
      <x:c r="R5695" s="13" t="n">
        <x:f>IF(I5695="","",I5695/1000000)</x:f>
        <x:v>20</x:v>
      </x:c>
    </x:row>
    <x:row r="5696" ht="21" customHeight="1">
      <x:c r="A5696" s="10" t="n">
        <x:v>7423</x:v>
      </x:c>
      <x:c r="B5696" s="2" t="str">
        <x:v>1168ea9643eb27daef8c</x:v>
      </x:c>
      <x:c r="C5696" s="2" t="str">
        <x:v>Tp Hồ Chí Minh</x:v>
      </x:c>
      <x:c r="D5696" s="2" t="str">
        <x:v>Quận 7</x:v>
      </x:c>
      <x:c r="E5696" s="2" t="str">
        <x:v>apartment</x:v>
      </x:c>
      <x:c r="F5696" s="2" t="str">
        <x:v>sale</x:v>
      </x:c>
      <x:c r="G5696" s="11" t="n">
        <x:v>77</x:v>
      </x:c>
      <x:c r="H5696" s="12" t="n">
        <x:v>2450000000</x:v>
      </x:c>
      <x:c r="I5696" s="12" t="n">
        <x:v>31818181.818181816</x:v>
      </x:c>
      <x:c r="J5696" s="2" t="str">
        <x:v>total</x:v>
      </x:c>
      <x:c r="K5696" s="2" t="str">
        <x:v>top_level_area</x:v>
      </x:c>
      <x:c r="L5696" s="2" t="str">
        <x:v>property_type_inferred_from_title</x:v>
      </x:c>
      <x:c r="M5696" s="10" t="n">
        <x:v>0</x:v>
      </x:c>
      <x:c r="N5696" s="10" t="n">
        <x:v>0</x:v>
      </x:c>
      <x:c r="O5696" s="2" t="str">
        <x:v>Tp Hồ Chí Minh|apartment</x:v>
      </x:c>
      <x:c r="P5696" s="10" t="n">
        <x:v>2</x:v>
      </x:c>
      <x:c r="Q5696" s="13" t="n">
        <x:f>IF(H5696="","",H5696/1000000000)</x:f>
        <x:v>2.45</x:v>
      </x:c>
      <x:c r="R5696" s="13" t="n">
        <x:f>IF(I5696="","",I5696/1000000)</x:f>
        <x:v>31.818181818181817</x:v>
      </x:c>
    </x:row>
    <x:row r="5697" ht="21" customHeight="1">
      <x:c r="A5697" s="10" t="n">
        <x:v>7424</x:v>
      </x:c>
      <x:c r="B5697" s="2" t="str">
        <x:v>0af6e866927991e3d00b</x:v>
      </x:c>
      <x:c r="C5697" s="2" t="str">
        <x:v>Tp Hồ Chí Minh</x:v>
      </x:c>
      <x:c r="D5697" s="2" t="str">
        <x:v>Huyện Bình Chánh</x:v>
      </x:c>
      <x:c r="E5697" s="2" t="str">
        <x:v>house</x:v>
      </x:c>
      <x:c r="F5697" s="2" t="str">
        <x:v>sale_assumed</x:v>
      </x:c>
      <x:c r="G5697" s="11" t="n">
        <x:v>40</x:v>
      </x:c>
      <x:c r="H5697" s="12" t="n">
        <x:v>520000000</x:v>
      </x:c>
      <x:c r="I5697" s="12" t="n">
        <x:v>13000000</x:v>
      </x:c>
      <x:c r="J5697" s="2" t="str">
        <x:v>total</x:v>
      </x:c>
      <x:c r="K5697" s="2" t="str">
        <x:v>top_level_area</x:v>
      </x:c>
      <x:c r="L5697" s="2" t="str">
        <x:v>property_type_inferred_from_title;transaction_assumed_sale_from_dataset_context</x:v>
      </x:c>
      <x:c r="M5697" s="10" t="n">
        <x:v>0</x:v>
      </x:c>
      <x:c r="N5697" s="10" t="n">
        <x:v>0</x:v>
      </x:c>
      <x:c r="O5697" s="2" t="str">
        <x:v>Tp Hồ Chí Minh|house</x:v>
      </x:c>
      <x:c r="P5697" s="10" t="n">
        <x:v>2</x:v>
      </x:c>
      <x:c r="Q5697" s="13" t="n">
        <x:f>IF(H5697="","",H5697/1000000000)</x:f>
        <x:v>0.52</x:v>
      </x:c>
      <x:c r="R5697" s="13" t="n">
        <x:f>IF(I5697="","",I5697/1000000)</x:f>
        <x:v>13</x:v>
      </x:c>
    </x:row>
    <x:row r="5698" ht="21" customHeight="1">
      <x:c r="A5698" s="10" t="n">
        <x:v>7428</x:v>
      </x:c>
      <x:c r="B5698" s="2" t="str">
        <x:v>1c5343b8f5e2687dd2de</x:v>
      </x:c>
      <x:c r="C5698" s="2" t="str">
        <x:v>Tp Hồ Chí Minh</x:v>
      </x:c>
      <x:c r="D5698" s="2" t="str">
        <x:v>Quận 9</x:v>
      </x:c>
      <x:c r="E5698" s="2" t="str">
        <x:v>land</x:v>
      </x:c>
      <x:c r="F5698" s="2" t="str">
        <x:v>sale_assumed</x:v>
      </x:c>
      <x:c r="G5698" s="11" t="n">
        <x:v>60</x:v>
      </x:c>
      <x:c r="H5698" s="12" t="n">
        <x:v>3500000000</x:v>
      </x:c>
      <x:c r="I5698" s="12" t="n">
        <x:v>58333333.333333336</x:v>
      </x:c>
      <x:c r="J5698" s="2" t="str">
        <x:v>total</x:v>
      </x:c>
      <x:c r="K5698" s="2" t="str">
        <x:v>top_level_area</x:v>
      </x:c>
      <x:c r="L5698" s="2" t="str">
        <x:v>property_type_inferred_from_title;transaction_assumed_sale_from_dataset_context</x:v>
      </x:c>
      <x:c r="M5698" s="10" t="n">
        <x:v>0</x:v>
      </x:c>
      <x:c r="N5698" s="10" t="n">
        <x:v>0</x:v>
      </x:c>
      <x:c r="O5698" s="2" t="str">
        <x:v>Tp Hồ Chí Minh|land</x:v>
      </x:c>
      <x:c r="P5698" s="10" t="n">
        <x:v>2</x:v>
      </x:c>
      <x:c r="Q5698" s="13" t="n">
        <x:f>IF(H5698="","",H5698/1000000000)</x:f>
        <x:v>3.5</x:v>
      </x:c>
      <x:c r="R5698" s="13" t="n">
        <x:f>IF(I5698="","",I5698/1000000)</x:f>
        <x:v>58.333333333333336</x:v>
      </x:c>
    </x:row>
    <x:row r="5699" ht="21" customHeight="1">
      <x:c r="A5699" s="10" t="n">
        <x:v>7429</x:v>
      </x:c>
      <x:c r="B5699" s="2" t="str">
        <x:v>70d6a3b0cc6d7995c007</x:v>
      </x:c>
      <x:c r="C5699" s="2" t="str">
        <x:v>Hà Nội</x:v>
      </x:c>
      <x:c r="D5699" s="2" t="str">
        <x:v>Quận Nam Từ Liêm</x:v>
      </x:c>
      <x:c r="E5699" s="2" t="str">
        <x:v>house</x:v>
      </x:c>
      <x:c r="F5699" s="2" t="str">
        <x:v>sale</x:v>
      </x:c>
      <x:c r="G5699" s="11" t="n">
        <x:v>32</x:v>
      </x:c>
      <x:c r="H5699" s="12" t="n">
        <x:v>3850000000</x:v>
      </x:c>
      <x:c r="I5699" s="12" t="n">
        <x:v>120312500</x:v>
      </x:c>
      <x:c r="J5699" s="2" t="str">
        <x:v>total</x:v>
      </x:c>
      <x:c r="K5699" s="2" t="str">
        <x:v>top_level_area</x:v>
      </x:c>
      <x:c r="L5699" s="2" t="str">
        <x:v>property_type_inferred_from_title</x:v>
      </x:c>
      <x:c r="M5699" s="10" t="n">
        <x:v>0</x:v>
      </x:c>
      <x:c r="N5699" s="10" t="n">
        <x:v>0</x:v>
      </x:c>
      <x:c r="O5699" s="2" t="str">
        <x:v>Hà Nội|house</x:v>
      </x:c>
      <x:c r="P5699" s="10" t="n">
        <x:v>2</x:v>
      </x:c>
      <x:c r="Q5699" s="13" t="n">
        <x:f>IF(H5699="","",H5699/1000000000)</x:f>
        <x:v>3.85</x:v>
      </x:c>
      <x:c r="R5699" s="13" t="n">
        <x:f>IF(I5699="","",I5699/1000000)</x:f>
        <x:v>120.3125</x:v>
      </x:c>
    </x:row>
    <x:row r="5700" ht="21" customHeight="1">
      <x:c r="A5700" s="10" t="n">
        <x:v>7430</x:v>
      </x:c>
      <x:c r="B5700" s="2" t="str">
        <x:v>616235d75ef55141d6da</x:v>
      </x:c>
      <x:c r="C5700" s="2" t="str">
        <x:v>Tp Hồ Chí Minh</x:v>
      </x:c>
      <x:c r="D5700" s="2" t="str">
        <x:v>Quận Tân Bình</x:v>
      </x:c>
      <x:c r="E5700" s="2" t="str">
        <x:v>house</x:v>
      </x:c>
      <x:c r="F5700" s="2" t="str">
        <x:v>sale</x:v>
      </x:c>
      <x:c r="G5700" s="11" t="n">
        <x:v>40</x:v>
      </x:c>
      <x:c r="H5700" s="12" t="n">
        <x:v>5550000000</x:v>
      </x:c>
      <x:c r="I5700" s="12" t="n">
        <x:v>138750000</x:v>
      </x:c>
      <x:c r="J5700" s="2" t="str">
        <x:v>total</x:v>
      </x:c>
      <x:c r="K5700" s="2" t="str">
        <x:v>top_level_area</x:v>
      </x:c>
      <x:c r="L5700" s="2" t="str">
        <x:v>property_type_inferred_from_title</x:v>
      </x:c>
      <x:c r="M5700" s="10" t="n">
        <x:v>0</x:v>
      </x:c>
      <x:c r="N5700" s="10" t="n">
        <x:v>0</x:v>
      </x:c>
      <x:c r="O5700" s="2" t="str">
        <x:v>Tp Hồ Chí Minh|house</x:v>
      </x:c>
      <x:c r="P5700" s="10" t="n">
        <x:v>2</x:v>
      </x:c>
      <x:c r="Q5700" s="13" t="n">
        <x:f>IF(H5700="","",H5700/1000000000)</x:f>
        <x:v>5.55</x:v>
      </x:c>
      <x:c r="R5700" s="13" t="n">
        <x:f>IF(I5700="","",I5700/1000000)</x:f>
        <x:v>138.75</x:v>
      </x:c>
    </x:row>
    <x:row r="5701" ht="21" customHeight="1">
      <x:c r="A5701" s="10" t="n">
        <x:v>7431</x:v>
      </x:c>
      <x:c r="B5701" s="2" t="str">
        <x:v>b34c50b70f21590d8a80</x:v>
      </x:c>
      <x:c r="C5701" s="2" t="str">
        <x:v>Tp Hồ Chí Minh</x:v>
      </x:c>
      <x:c r="D5701" s="2" t="str">
        <x:v>Quận Bình Tân</x:v>
      </x:c>
      <x:c r="E5701" s="2" t="str">
        <x:v>house</x:v>
      </x:c>
      <x:c r="F5701" s="2" t="str">
        <x:v>sale_assumed</x:v>
      </x:c>
      <x:c r="G5701" s="11" t="n">
        <x:v>42</x:v>
      </x:c>
      <x:c r="H5701" s="12" t="n">
        <x:v>2450000000</x:v>
      </x:c>
      <x:c r="I5701" s="12" t="n">
        <x:v>58333333.333333336</x:v>
      </x:c>
      <x:c r="J5701" s="2" t="str">
        <x:v>total</x:v>
      </x:c>
      <x:c r="K5701" s="2" t="str">
        <x:v>top_level_area</x:v>
      </x:c>
      <x:c r="L5701" s="2" t="str">
        <x:v>property_type_inferred_from_title;transaction_assumed_sale_from_dataset_context</x:v>
      </x:c>
      <x:c r="M5701" s="10" t="n">
        <x:v>0</x:v>
      </x:c>
      <x:c r="N5701" s="10" t="n">
        <x:v>0</x:v>
      </x:c>
      <x:c r="O5701" s="2" t="str">
        <x:v>Tp Hồ Chí Minh|house</x:v>
      </x:c>
      <x:c r="P5701" s="10" t="n">
        <x:v>2</x:v>
      </x:c>
      <x:c r="Q5701" s="13" t="n">
        <x:f>IF(H5701="","",H5701/1000000000)</x:f>
        <x:v>2.45</x:v>
      </x:c>
      <x:c r="R5701" s="13" t="n">
        <x:f>IF(I5701="","",I5701/1000000)</x:f>
        <x:v>58.333333333333336</x:v>
      </x:c>
    </x:row>
    <x:row r="5702" ht="21" customHeight="1">
      <x:c r="A5702" s="10" t="n">
        <x:v>7432</x:v>
      </x:c>
      <x:c r="B5702" s="2" t="str">
        <x:v>7dbdc629565693bb4b83</x:v>
      </x:c>
      <x:c r="C5702" s="2" t="str">
        <x:v>Tp Hồ Chí Minh</x:v>
      </x:c>
      <x:c r="D5702" s="2" t="str">
        <x:v>Quận Thủ Đức</x:v>
      </x:c>
      <x:c r="E5702" s="2" t="str">
        <x:v>apartment</x:v>
      </x:c>
      <x:c r="F5702" s="2" t="str">
        <x:v>sale</x:v>
      </x:c>
      <x:c r="G5702" s="11" t="n">
        <x:v>90</x:v>
      </x:c>
      <x:c r="H5702" s="12" t="n">
        <x:v>3700000000</x:v>
      </x:c>
      <x:c r="I5702" s="12" t="n">
        <x:v>41111111.11111111</x:v>
      </x:c>
      <x:c r="J5702" s="2" t="str">
        <x:v>total</x:v>
      </x:c>
      <x:c r="K5702" s="2" t="str">
        <x:v>top_level_area</x:v>
      </x:c>
      <x:c r="L5702" s="2" t="str">
        <x:v>property_type_inferred_from_title</x:v>
      </x:c>
      <x:c r="M5702" s="10" t="n">
        <x:v>0</x:v>
      </x:c>
      <x:c r="N5702" s="10" t="n">
        <x:v>0</x:v>
      </x:c>
      <x:c r="O5702" s="2" t="str">
        <x:v>Tp Hồ Chí Minh|apartment</x:v>
      </x:c>
      <x:c r="P5702" s="10" t="n">
        <x:v>2</x:v>
      </x:c>
      <x:c r="Q5702" s="13" t="n">
        <x:f>IF(H5702="","",H5702/1000000000)</x:f>
        <x:v>3.7</x:v>
      </x:c>
      <x:c r="R5702" s="13" t="n">
        <x:f>IF(I5702="","",I5702/1000000)</x:f>
        <x:v>41.111111111111114</x:v>
      </x:c>
    </x:row>
    <x:row r="5703" ht="21" customHeight="1">
      <x:c r="A5703" s="10" t="n">
        <x:v>7433</x:v>
      </x:c>
      <x:c r="B5703" s="2" t="str">
        <x:v>0d013e967c15c786ef82</x:v>
      </x:c>
      <x:c r="C5703" s="2" t="str">
        <x:v>Tp Hồ Chí Minh</x:v>
      </x:c>
      <x:c r="D5703" s="2" t="str">
        <x:v>Quận Gò Vấp</x:v>
      </x:c>
      <x:c r="E5703" s="2" t="str">
        <x:v>land</x:v>
      </x:c>
      <x:c r="F5703" s="2" t="str">
        <x:v>sale_assumed</x:v>
      </x:c>
      <x:c r="G5703" s="11" t="n">
        <x:v>60</x:v>
      </x:c>
      <x:c r="H5703" s="12" t="n">
        <x:v>3650000000</x:v>
      </x:c>
      <x:c r="I5703" s="12" t="n">
        <x:v>60833333.333333336</x:v>
      </x:c>
      <x:c r="J5703" s="2" t="str">
        <x:v>total</x:v>
      </x:c>
      <x:c r="K5703" s="2" t="str">
        <x:v>top_level_area</x:v>
      </x:c>
      <x:c r="L5703" s="2" t="str">
        <x:v>property_type_inferred_from_title;transaction_assumed_sale_from_dataset_context</x:v>
      </x:c>
      <x:c r="M5703" s="10" t="n">
        <x:v>0</x:v>
      </x:c>
      <x:c r="N5703" s="10" t="n">
        <x:v>0</x:v>
      </x:c>
      <x:c r="O5703" s="2" t="str">
        <x:v>Tp Hồ Chí Minh|land</x:v>
      </x:c>
      <x:c r="P5703" s="10" t="n">
        <x:v>2</x:v>
      </x:c>
      <x:c r="Q5703" s="13" t="n">
        <x:f>IF(H5703="","",H5703/1000000000)</x:f>
        <x:v>3.65</x:v>
      </x:c>
      <x:c r="R5703" s="13" t="n">
        <x:f>IF(I5703="","",I5703/1000000)</x:f>
        <x:v>60.833333333333336</x:v>
      </x:c>
    </x:row>
    <x:row r="5704" ht="21" customHeight="1">
      <x:c r="A5704" s="10" t="n">
        <x:v>7434</x:v>
      </x:c>
      <x:c r="B5704" s="2" t="str">
        <x:v>9ea9a43a81caa2e65162</x:v>
      </x:c>
      <x:c r="C5704" s="2" t="str">
        <x:v>Tp Hồ Chí Minh</x:v>
      </x:c>
      <x:c r="D5704" s="2" t="str">
        <x:v>Quận 3</x:v>
      </x:c>
      <x:c r="E5704" s="2" t="str">
        <x:v>house</x:v>
      </x:c>
      <x:c r="F5704" s="2" t="str">
        <x:v>sale</x:v>
      </x:c>
      <x:c r="G5704" s="11" t="n">
        <x:v>63</x:v>
      </x:c>
      <x:c r="H5704" s="12" t="n">
        <x:v>15300000000</x:v>
      </x:c>
      <x:c r="I5704" s="12" t="n">
        <x:v>242857142.85714287</x:v>
      </x:c>
      <x:c r="J5704" s="2" t="str">
        <x:v>total</x:v>
      </x:c>
      <x:c r="K5704" s="2" t="str">
        <x:v>top_level_area</x:v>
      </x:c>
      <x:c r="L5704" s="2" t="str">
        <x:v>property_type_inferred_from_title</x:v>
      </x:c>
      <x:c r="M5704" s="10" t="n">
        <x:v>1</x:v>
      </x:c>
      <x:c r="N5704" s="10" t="n">
        <x:v>1</x:v>
      </x:c>
      <x:c r="O5704" s="2" t="str">
        <x:v>Tp Hồ Chí Minh|house</x:v>
      </x:c>
      <x:c r="P5704" s="10" t="n">
        <x:v>-1</x:v>
      </x:c>
      <x:c r="Q5704" s="13" t="n">
        <x:f>IF(H5704="","",H5704/1000000000)</x:f>
        <x:v>15.3</x:v>
      </x:c>
      <x:c r="R5704" s="13" t="n">
        <x:f>IF(I5704="","",I5704/1000000)</x:f>
        <x:v>242.85714285714286</x:v>
      </x:c>
    </x:row>
    <x:row r="5705" ht="21" customHeight="1">
      <x:c r="A5705" s="10" t="n">
        <x:v>7435</x:v>
      </x:c>
      <x:c r="B5705" s="2" t="str">
        <x:v>fb0e1d96fc04d1ccd616</x:v>
      </x:c>
      <x:c r="C5705" s="2" t="str">
        <x:v>Tp Hồ Chí Minh</x:v>
      </x:c>
      <x:c r="D5705" s="2" t="str">
        <x:v>Quận Gò Vấp</x:v>
      </x:c>
      <x:c r="E5705" s="2" t="str">
        <x:v>house</x:v>
      </x:c>
      <x:c r="F5705" s="2" t="str">
        <x:v>sale_assumed</x:v>
      </x:c>
      <x:c r="G5705" s="11" t="n">
        <x:v>67</x:v>
      </x:c>
      <x:c r="H5705" s="12" t="n">
        <x:v>5200000000</x:v>
      </x:c>
      <x:c r="I5705" s="12" t="n">
        <x:v>77611940.29850747</x:v>
      </x:c>
      <x:c r="J5705" s="2" t="str">
        <x:v>total</x:v>
      </x:c>
      <x:c r="K5705" s="2" t="str">
        <x:v>top_level_area</x:v>
      </x:c>
      <x:c r="L5705" s="2" t="str">
        <x:v>property_type_inferred_from_title;transaction_assumed_sale_from_dataset_context</x:v>
      </x:c>
      <x:c r="M5705" s="10" t="n">
        <x:v>0</x:v>
      </x:c>
      <x:c r="N5705" s="10" t="n">
        <x:v>0</x:v>
      </x:c>
      <x:c r="O5705" s="2" t="str">
        <x:v>Tp Hồ Chí Minh|house</x:v>
      </x:c>
      <x:c r="P5705" s="10" t="n">
        <x:v>2</x:v>
      </x:c>
      <x:c r="Q5705" s="13" t="n">
        <x:f>IF(H5705="","",H5705/1000000000)</x:f>
        <x:v>5.2</x:v>
      </x:c>
      <x:c r="R5705" s="13" t="n">
        <x:f>IF(I5705="","",I5705/1000000)</x:f>
        <x:v>77.61194029850746</x:v>
      </x:c>
    </x:row>
    <x:row r="5706" ht="21" customHeight="1">
      <x:c r="A5706" s="10" t="n">
        <x:v>7436</x:v>
      </x:c>
      <x:c r="B5706" s="2" t="str">
        <x:v>f58ca1b9728d81292e22</x:v>
      </x:c>
      <x:c r="C5706" s="2" t="str">
        <x:v>Đắk Lắk</x:v>
      </x:c>
      <x:c r="D5706" s="2" t="str">
        <x:v>Thành phố Buôn Ma Thuột</x:v>
      </x:c>
      <x:c r="E5706" s="2" t="str">
        <x:v>house</x:v>
      </x:c>
      <x:c r="F5706" s="2" t="str">
        <x:v>sale_assumed</x:v>
      </x:c>
      <x:c r="G5706" s="11" t="n">
        <x:v>175</x:v>
      </x:c>
      <x:c r="H5706" s="12" t="n">
        <x:v>2300000000</x:v>
      </x:c>
      <x:c r="I5706" s="12" t="n">
        <x:v>13142857.142857144</x:v>
      </x:c>
      <x:c r="J5706" s="2" t="str">
        <x:v>total</x:v>
      </x:c>
      <x:c r="K5706" s="2" t="str">
        <x:v>top_level_area</x:v>
      </x:c>
      <x:c r="L5706" s="2" t="str">
        <x:v>property_type_inferred_from_title;transaction_assumed_sale_from_dataset_context</x:v>
      </x:c>
      <x:c r="M5706" s="10" t="n">
        <x:v>0</x:v>
      </x:c>
      <x:c r="N5706" s="10" t="n">
        <x:v>0</x:v>
      </x:c>
      <x:c r="O5706" s="2" t="str">
        <x:v>Đắk Lắk|house</x:v>
      </x:c>
      <x:c r="P5706" s="10" t="n">
        <x:v>2</x:v>
      </x:c>
      <x:c r="Q5706" s="13" t="n">
        <x:f>IF(H5706="","",H5706/1000000000)</x:f>
        <x:v>2.3</x:v>
      </x:c>
      <x:c r="R5706" s="13" t="n">
        <x:f>IF(I5706="","",I5706/1000000)</x:f>
        <x:v>13.142857142857144</x:v>
      </x:c>
    </x:row>
    <x:row r="5707" ht="21" customHeight="1">
      <x:c r="A5707" s="10" t="n">
        <x:v>7437</x:v>
      </x:c>
      <x:c r="B5707" s="2" t="str">
        <x:v>05bd20fd523af0d3bc89</x:v>
      </x:c>
      <x:c r="C5707" s="2" t="str">
        <x:v>Hà Nội</x:v>
      </x:c>
      <x:c r="D5707" s="2" t="str">
        <x:v>Quận Hoàng Mai</x:v>
      </x:c>
      <x:c r="E5707" s="2" t="str">
        <x:v>house</x:v>
      </x:c>
      <x:c r="F5707" s="2" t="str">
        <x:v>sale</x:v>
      </x:c>
      <x:c r="G5707" s="11" t="n">
        <x:v>39.9</x:v>
      </x:c>
      <x:c r="H5707" s="12" t="n">
        <x:v>2750000000</x:v>
      </x:c>
      <x:c r="I5707" s="12" t="n">
        <x:v>68922305.76441103</x:v>
      </x:c>
      <x:c r="J5707" s="2" t="str">
        <x:v>total</x:v>
      </x:c>
      <x:c r="K5707" s="2" t="str">
        <x:v>top_level_area</x:v>
      </x:c>
      <x:c r="L5707" s="2" t="str">
        <x:v>property_type_inferred_from_title</x:v>
      </x:c>
      <x:c r="M5707" s="10" t="n">
        <x:v>0</x:v>
      </x:c>
      <x:c r="N5707" s="10" t="n">
        <x:v>0</x:v>
      </x:c>
      <x:c r="O5707" s="2" t="str">
        <x:v>Hà Nội|house</x:v>
      </x:c>
      <x:c r="P5707" s="10" t="n">
        <x:v>2</x:v>
      </x:c>
      <x:c r="Q5707" s="13" t="n">
        <x:f>IF(H5707="","",H5707/1000000000)</x:f>
        <x:v>2.75</x:v>
      </x:c>
      <x:c r="R5707" s="13" t="n">
        <x:f>IF(I5707="","",I5707/1000000)</x:f>
        <x:v>68.92230576441104</x:v>
      </x:c>
    </x:row>
    <x:row r="5708" ht="21" customHeight="1">
      <x:c r="A5708" s="10" t="n">
        <x:v>7438</x:v>
      </x:c>
      <x:c r="B5708" s="2" t="str">
        <x:v>c60bd7c34508b2f7ddee</x:v>
      </x:c>
      <x:c r="C5708" s="2" t="str">
        <x:v>Tp Hồ Chí Minh</x:v>
      </x:c>
      <x:c r="D5708" s="2" t="str">
        <x:v>Quận Gò Vấp</x:v>
      </x:c>
      <x:c r="E5708" s="2" t="str">
        <x:v>other_unknown</x:v>
      </x:c>
      <x:c r="F5708" s="2" t="str">
        <x:v>sale_assumed</x:v>
      </x:c>
      <x:c r="G5708" s="11" t="n">
        <x:v>38</x:v>
      </x:c>
      <x:c r="H5708" s="12" t="n">
        <x:v>3650000000</x:v>
      </x:c>
      <x:c r="I5708" s="12" t="n">
        <x:v>96052631.57894737</x:v>
      </x:c>
      <x:c r="J5708" s="2" t="str">
        <x:v>total</x:v>
      </x:c>
      <x:c r="K5708" s="2" t="str">
        <x:v>top_level_area</x:v>
      </x:c>
      <x:c r="L5708" s="2" t="str">
        <x:v>property_type_inferred_from_title;transaction_assumed_sale_from_dataset_context;unknown_property_type</x:v>
      </x:c>
      <x:c r="M5708" s="10" t="n">
        <x:v>0</x:v>
      </x:c>
      <x:c r="N5708" s="10" t="n">
        <x:v>0</x:v>
      </x:c>
      <x:c r="O5708" s="2" t="str">
        <x:v>Tp Hồ Chí Minh|other_unknown</x:v>
      </x:c>
      <x:c r="P5708" s="10" t="n">
        <x:v>2</x:v>
      </x:c>
      <x:c r="Q5708" s="13" t="n">
        <x:f>IF(H5708="","",H5708/1000000000)</x:f>
        <x:v>3.65</x:v>
      </x:c>
      <x:c r="R5708" s="13" t="n">
        <x:f>IF(I5708="","",I5708/1000000)</x:f>
        <x:v>96.05263157894737</x:v>
      </x:c>
    </x:row>
    <x:row r="5709" ht="21" customHeight="1">
      <x:c r="A5709" s="10" t="n">
        <x:v>7439</x:v>
      </x:c>
      <x:c r="B5709" s="2" t="str">
        <x:v>e9d914fed7920c5f0a6f</x:v>
      </x:c>
      <x:c r="C5709" s="2" t="str">
        <x:v>Tp Hồ Chí Minh</x:v>
      </x:c>
      <x:c r="D5709" s="2" t="str">
        <x:v>Quận Thủ Đức</x:v>
      </x:c>
      <x:c r="E5709" s="2" t="str">
        <x:v>house</x:v>
      </x:c>
      <x:c r="F5709" s="2" t="str">
        <x:v>sale</x:v>
      </x:c>
      <x:c r="G5709" s="11" t="n">
        <x:v>65</x:v>
      </x:c>
      <x:c r="H5709" s="12" t="n">
        <x:v>1730000000</x:v>
      </x:c>
      <x:c r="I5709" s="12" t="n">
        <x:v>26615384.615384616</x:v>
      </x:c>
      <x:c r="J5709" s="2" t="str">
        <x:v>total</x:v>
      </x:c>
      <x:c r="K5709" s="2" t="str">
        <x:v>top_level_area</x:v>
      </x:c>
      <x:c r="L5709" s="2" t="str">
        <x:v>property_type_inferred_from_title</x:v>
      </x:c>
      <x:c r="M5709" s="10" t="n">
        <x:v>0</x:v>
      </x:c>
      <x:c r="N5709" s="10" t="n">
        <x:v>0</x:v>
      </x:c>
      <x:c r="O5709" s="2" t="str">
        <x:v>Tp Hồ Chí Minh|house</x:v>
      </x:c>
      <x:c r="P5709" s="10" t="n">
        <x:v>2</x:v>
      </x:c>
      <x:c r="Q5709" s="13" t="n">
        <x:f>IF(H5709="","",H5709/1000000000)</x:f>
        <x:v>1.73</x:v>
      </x:c>
      <x:c r="R5709" s="13" t="n">
        <x:f>IF(I5709="","",I5709/1000000)</x:f>
        <x:v>26.615384615384617</x:v>
      </x:c>
    </x:row>
    <x:row r="5710" ht="21" customHeight="1">
      <x:c r="A5710" s="10" t="n">
        <x:v>7440</x:v>
      </x:c>
      <x:c r="B5710" s="2" t="str">
        <x:v>902e762a0bcf6cda3efe</x:v>
      </x:c>
      <x:c r="C5710" s="2" t="str">
        <x:v>Hà Nội</x:v>
      </x:c>
      <x:c r="D5710" s="2" t="str">
        <x:v>Quận Hà Đông</x:v>
      </x:c>
      <x:c r="E5710" s="2" t="str">
        <x:v>house</x:v>
      </x:c>
      <x:c r="F5710" s="2" t="str">
        <x:v>sale_assumed</x:v>
      </x:c>
      <x:c r="G5710" s="11" t="n">
        <x:v>33</x:v>
      </x:c>
      <x:c r="H5710" s="12" t="n">
        <x:v>1200000000</x:v>
      </x:c>
      <x:c r="I5710" s="12" t="n">
        <x:v>36363636.36363637</x:v>
      </x:c>
      <x:c r="J5710" s="2" t="str">
        <x:v>total</x:v>
      </x:c>
      <x:c r="K5710" s="2" t="str">
        <x:v>top_level_area</x:v>
      </x:c>
      <x:c r="L5710" s="2" t="str">
        <x:v>property_type_inferred_from_title;transaction_assumed_sale_from_dataset_context</x:v>
      </x:c>
      <x:c r="M5710" s="10" t="n">
        <x:v>0</x:v>
      </x:c>
      <x:c r="N5710" s="10" t="n">
        <x:v>0</x:v>
      </x:c>
      <x:c r="O5710" s="2" t="str">
        <x:v>Hà Nội|house</x:v>
      </x:c>
      <x:c r="P5710" s="10" t="n">
        <x:v>2</x:v>
      </x:c>
      <x:c r="Q5710" s="13" t="n">
        <x:f>IF(H5710="","",H5710/1000000000)</x:f>
        <x:v>1.2</x:v>
      </x:c>
      <x:c r="R5710" s="13" t="n">
        <x:f>IF(I5710="","",I5710/1000000)</x:f>
        <x:v>36.36363636363637</x:v>
      </x:c>
    </x:row>
    <x:row r="5711" ht="21" customHeight="1">
      <x:c r="A5711" s="10" t="n">
        <x:v>7441</x:v>
      </x:c>
      <x:c r="B5711" s="2" t="str">
        <x:v>b6896ded3d63e278cb6d</x:v>
      </x:c>
      <x:c r="C5711" s="2" t="str">
        <x:v>Hà Nội</x:v>
      </x:c>
      <x:c r="D5711" s="2" t="str">
        <x:v>Quận Hà Đông</x:v>
      </x:c>
      <x:c r="E5711" s="2" t="str">
        <x:v>house</x:v>
      </x:c>
      <x:c r="F5711" s="2" t="str">
        <x:v>sale_assumed</x:v>
      </x:c>
      <x:c r="G5711" s="11" t="n">
        <x:v>33</x:v>
      </x:c>
      <x:c r="H5711" s="12" t="n">
        <x:v>2402000000</x:v>
      </x:c>
      <x:c r="I5711" s="12" t="n">
        <x:v>72787878.78787878</x:v>
      </x:c>
      <x:c r="J5711" s="2" t="str">
        <x:v>total</x:v>
      </x:c>
      <x:c r="K5711" s="2" t="str">
        <x:v>top_level_area</x:v>
      </x:c>
      <x:c r="L5711" s="2" t="str">
        <x:v>property_type_inferred_from_title;transaction_assumed_sale_from_dataset_context</x:v>
      </x:c>
      <x:c r="M5711" s="10" t="n">
        <x:v>0</x:v>
      </x:c>
      <x:c r="N5711" s="10" t="n">
        <x:v>0</x:v>
      </x:c>
      <x:c r="O5711" s="2" t="str">
        <x:v>Hà Nội|house</x:v>
      </x:c>
      <x:c r="P5711" s="10" t="n">
        <x:v>2</x:v>
      </x:c>
      <x:c r="Q5711" s="13" t="n">
        <x:f>IF(H5711="","",H5711/1000000000)</x:f>
        <x:v>2.402</x:v>
      </x:c>
      <x:c r="R5711" s="13" t="n">
        <x:f>IF(I5711="","",I5711/1000000)</x:f>
        <x:v>72.78787878787878</x:v>
      </x:c>
    </x:row>
    <x:row r="5712" ht="21" customHeight="1">
      <x:c r="A5712" s="10" t="n">
        <x:v>7442</x:v>
      </x:c>
      <x:c r="B5712" s="2" t="str">
        <x:v>bb2445b4b49aa4e87af6</x:v>
      </x:c>
      <x:c r="C5712" s="2" t="str">
        <x:v>Bình Dương</x:v>
      </x:c>
      <x:c r="D5712" s="2" t="str">
        <x:v>Thị xã Dĩ An</x:v>
      </x:c>
      <x:c r="E5712" s="2" t="str">
        <x:v>house</x:v>
      </x:c>
      <x:c r="F5712" s="2" t="str">
        <x:v>sale</x:v>
      </x:c>
      <x:c r="G5712" s="11" t="n">
        <x:v>122.3</x:v>
      </x:c>
      <x:c r="H5712" s="12" t="n">
        <x:v>2800000000</x:v>
      </x:c>
      <x:c r="I5712" s="12" t="n">
        <x:v>22894521.668029435</x:v>
      </x:c>
      <x:c r="J5712" s="2" t="str">
        <x:v>total</x:v>
      </x:c>
      <x:c r="K5712" s="2" t="str">
        <x:v>top_level_area</x:v>
      </x:c>
      <x:c r="L5712" s="2" t="str">
        <x:v>property_type_inferred_from_title</x:v>
      </x:c>
      <x:c r="M5712" s="10" t="n">
        <x:v>0</x:v>
      </x:c>
      <x:c r="N5712" s="10" t="n">
        <x:v>0</x:v>
      </x:c>
      <x:c r="O5712" s="2" t="str">
        <x:v>Bình Dương|house</x:v>
      </x:c>
      <x:c r="P5712" s="10" t="n">
        <x:v>2</x:v>
      </x:c>
      <x:c r="Q5712" s="13" t="n">
        <x:f>IF(H5712="","",H5712/1000000000)</x:f>
        <x:v>2.8</x:v>
      </x:c>
      <x:c r="R5712" s="13" t="n">
        <x:f>IF(I5712="","",I5712/1000000)</x:f>
        <x:v>22.894521668029434</x:v>
      </x:c>
    </x:row>
    <x:row r="5713" ht="21" customHeight="1">
      <x:c r="A5713" s="10" t="n">
        <x:v>7443</x:v>
      </x:c>
      <x:c r="B5713" s="2" t="str">
        <x:v>4bf7810c92f3f32ae457</x:v>
      </x:c>
      <x:c r="C5713" s="2" t="str">
        <x:v>Đà Nẵng</x:v>
      </x:c>
      <x:c r="D5713" s="2" t="str">
        <x:v>Quận Ngũ Hành Sơn</x:v>
      </x:c>
      <x:c r="E5713" s="2" t="str">
        <x:v>land</x:v>
      </x:c>
      <x:c r="F5713" s="2" t="str">
        <x:v>sale_assumed</x:v>
      </x:c>
      <x:c r="G5713" s="11" t="n">
        <x:v>113</x:v>
      </x:c>
      <x:c r="H5713" s="12" t="n">
        <x:v>1550000000</x:v>
      </x:c>
      <x:c r="I5713" s="12" t="n">
        <x:v>13716814.159292035</x:v>
      </x:c>
      <x:c r="J5713" s="2" t="str">
        <x:v>total</x:v>
      </x:c>
      <x:c r="K5713" s="2" t="str">
        <x:v>top_level_area</x:v>
      </x:c>
      <x:c r="L5713" s="2" t="str">
        <x:v>property_type_inferred_from_title;transaction_assumed_sale_from_dataset_context</x:v>
      </x:c>
      <x:c r="M5713" s="10" t="n">
        <x:v>0</x:v>
      </x:c>
      <x:c r="N5713" s="10" t="n">
        <x:v>0</x:v>
      </x:c>
      <x:c r="O5713" s="2" t="str">
        <x:v>Đà Nẵng|land</x:v>
      </x:c>
      <x:c r="P5713" s="10" t="n">
        <x:v>2</x:v>
      </x:c>
      <x:c r="Q5713" s="13" t="n">
        <x:f>IF(H5713="","",H5713/1000000000)</x:f>
        <x:v>1.55</x:v>
      </x:c>
      <x:c r="R5713" s="13" t="n">
        <x:f>IF(I5713="","",I5713/1000000)</x:f>
        <x:v>13.716814159292035</x:v>
      </x:c>
    </x:row>
    <x:row r="5714" ht="21" customHeight="1">
      <x:c r="A5714" s="10" t="n">
        <x:v>7444</x:v>
      </x:c>
      <x:c r="B5714" s="2" t="str">
        <x:v>1cfbc8f7a2a3f91adbbf</x:v>
      </x:c>
      <x:c r="C5714" s="2" t="str">
        <x:v>Tp Hồ Chí Minh</x:v>
      </x:c>
      <x:c r="D5714" s="2" t="str">
        <x:v>Quận 12</x:v>
      </x:c>
      <x:c r="E5714" s="2" t="str">
        <x:v>house</x:v>
      </x:c>
      <x:c r="F5714" s="2" t="str">
        <x:v>sale</x:v>
      </x:c>
      <x:c r="G5714" s="11" t="n">
        <x:v>63</x:v>
      </x:c>
      <x:c r="H5714" s="12" t="n">
        <x:v>3250000000</x:v>
      </x:c>
      <x:c r="I5714" s="12" t="n">
        <x:v>51587301.58730159</x:v>
      </x:c>
      <x:c r="J5714" s="2" t="str">
        <x:v>total</x:v>
      </x:c>
      <x:c r="K5714" s="2" t="str">
        <x:v>top_level_area</x:v>
      </x:c>
      <x:c r="L5714" s="2" t="str">
        <x:v>property_type_inferred_from_title</x:v>
      </x:c>
      <x:c r="M5714" s="10" t="n">
        <x:v>0</x:v>
      </x:c>
      <x:c r="N5714" s="10" t="n">
        <x:v>0</x:v>
      </x:c>
      <x:c r="O5714" s="2" t="str">
        <x:v>Tp Hồ Chí Minh|house</x:v>
      </x:c>
      <x:c r="P5714" s="10" t="n">
        <x:v>2</x:v>
      </x:c>
      <x:c r="Q5714" s="13" t="n">
        <x:f>IF(H5714="","",H5714/1000000000)</x:f>
        <x:v>3.25</x:v>
      </x:c>
      <x:c r="R5714" s="13" t="n">
        <x:f>IF(I5714="","",I5714/1000000)</x:f>
        <x:v>51.58730158730159</x:v>
      </x:c>
    </x:row>
    <x:row r="5715" ht="21" customHeight="1">
      <x:c r="A5715" s="10" t="n">
        <x:v>7445</x:v>
      </x:c>
      <x:c r="B5715" s="2" t="str">
        <x:v>f76524347122f40b7bc2</x:v>
      </x:c>
      <x:c r="C5715" s="2" t="str">
        <x:v>Đắk Lắk</x:v>
      </x:c>
      <x:c r="D5715" s="2" t="str">
        <x:v>Thành phố Buôn Ma Thuột</x:v>
      </x:c>
      <x:c r="E5715" s="2" t="str">
        <x:v>house</x:v>
      </x:c>
      <x:c r="F5715" s="2" t="str">
        <x:v>sale_assumed</x:v>
      </x:c>
      <x:c r="G5715" s="11" t="n">
        <x:v>100</x:v>
      </x:c>
      <x:c r="H5715" s="12" t="n">
        <x:v>1790000000</x:v>
      </x:c>
      <x:c r="I5715" s="12" t="n">
        <x:v>17900000</x:v>
      </x:c>
      <x:c r="J5715" s="2" t="str">
        <x:v>total</x:v>
      </x:c>
      <x:c r="K5715" s="2" t="str">
        <x:v>top_level_area</x:v>
      </x:c>
      <x:c r="L5715" s="2" t="str">
        <x:v>property_type_inferred_from_title;transaction_assumed_sale_from_dataset_context</x:v>
      </x:c>
      <x:c r="M5715" s="10" t="n">
        <x:v>0</x:v>
      </x:c>
      <x:c r="N5715" s="10" t="n">
        <x:v>0</x:v>
      </x:c>
      <x:c r="O5715" s="2" t="str">
        <x:v>Đắk Lắk|house</x:v>
      </x:c>
      <x:c r="P5715" s="10" t="n">
        <x:v>2</x:v>
      </x:c>
      <x:c r="Q5715" s="13" t="n">
        <x:f>IF(H5715="","",H5715/1000000000)</x:f>
        <x:v>1.79</x:v>
      </x:c>
      <x:c r="R5715" s="13" t="n">
        <x:f>IF(I5715="","",I5715/1000000)</x:f>
        <x:v>17.9</x:v>
      </x:c>
    </x:row>
    <x:row r="5716" ht="21" customHeight="1">
      <x:c r="A5716" s="10" t="n">
        <x:v>7446</x:v>
      </x:c>
      <x:c r="B5716" s="2" t="str">
        <x:v>ad27ed49870ba72ba73b</x:v>
      </x:c>
      <x:c r="C5716" s="2" t="str">
        <x:v>Tp Hồ Chí Minh</x:v>
      </x:c>
      <x:c r="D5716" s="2" t="str">
        <x:v>Quận 8</x:v>
      </x:c>
      <x:c r="E5716" s="2" t="str">
        <x:v>house</x:v>
      </x:c>
      <x:c r="F5716" s="2" t="str">
        <x:v>sale</x:v>
      </x:c>
      <x:c r="G5716" s="11" t="n">
        <x:v>15</x:v>
      </x:c>
      <x:c r="H5716" s="12" t="n">
        <x:v>750000000</x:v>
      </x:c>
      <x:c r="I5716" s="12" t="n">
        <x:v>50000000</x:v>
      </x:c>
      <x:c r="J5716" s="2" t="str">
        <x:v>total</x:v>
      </x:c>
      <x:c r="K5716" s="2" t="str">
        <x:v>top_level_area</x:v>
      </x:c>
      <x:c r="L5716" s="2" t="str">
        <x:v>property_type_inferred_from_title</x:v>
      </x:c>
      <x:c r="M5716" s="10" t="n">
        <x:v>0</x:v>
      </x:c>
      <x:c r="N5716" s="10" t="n">
        <x:v>0</x:v>
      </x:c>
      <x:c r="O5716" s="2" t="str">
        <x:v>Tp Hồ Chí Minh|house</x:v>
      </x:c>
      <x:c r="P5716" s="10" t="n">
        <x:v>2</x:v>
      </x:c>
      <x:c r="Q5716" s="13" t="n">
        <x:f>IF(H5716="","",H5716/1000000000)</x:f>
        <x:v>0.75</x:v>
      </x:c>
      <x:c r="R5716" s="13" t="n">
        <x:f>IF(I5716="","",I5716/1000000)</x:f>
        <x:v>50</x:v>
      </x:c>
    </x:row>
    <x:row r="5717" ht="21" customHeight="1">
      <x:c r="A5717" s="10" t="n">
        <x:v>7449</x:v>
      </x:c>
      <x:c r="B5717" s="2" t="str">
        <x:v>cf8ce605948e9c430fa8</x:v>
      </x:c>
      <x:c r="C5717" s="2" t="str">
        <x:v>Tp Hồ Chí Minh</x:v>
      </x:c>
      <x:c r="D5717" s="2" t="str">
        <x:v>Quận Gò Vấp</x:v>
      </x:c>
      <x:c r="E5717" s="2" t="str">
        <x:v>house</x:v>
      </x:c>
      <x:c r="F5717" s="2" t="str">
        <x:v>sale</x:v>
      </x:c>
      <x:c r="G5717" s="11" t="n">
        <x:v>48</x:v>
      </x:c>
      <x:c r="H5717" s="12" t="n">
        <x:v>1970000000</x:v>
      </x:c>
      <x:c r="I5717" s="12" t="n">
        <x:v>41041666.666666664</x:v>
      </x:c>
      <x:c r="J5717" s="2" t="str">
        <x:v>total</x:v>
      </x:c>
      <x:c r="K5717" s="2" t="str">
        <x:v>top_level_area</x:v>
      </x:c>
      <x:c r="L5717" s="2" t="str">
        <x:v>property_type_inferred_from_title</x:v>
      </x:c>
      <x:c r="M5717" s="10" t="n">
        <x:v>0</x:v>
      </x:c>
      <x:c r="N5717" s="10" t="n">
        <x:v>0</x:v>
      </x:c>
      <x:c r="O5717" s="2" t="str">
        <x:v>Tp Hồ Chí Minh|house</x:v>
      </x:c>
      <x:c r="P5717" s="10" t="n">
        <x:v>2</x:v>
      </x:c>
      <x:c r="Q5717" s="13" t="n">
        <x:f>IF(H5717="","",H5717/1000000000)</x:f>
        <x:v>1.97</x:v>
      </x:c>
      <x:c r="R5717" s="13" t="n">
        <x:f>IF(I5717="","",I5717/1000000)</x:f>
        <x:v>41.041666666666664</x:v>
      </x:c>
    </x:row>
    <x:row r="5718" ht="21" customHeight="1">
      <x:c r="A5718" s="10" t="n">
        <x:v>7450</x:v>
      </x:c>
      <x:c r="B5718" s="2" t="str">
        <x:v>959b4c8c8f3405a3b183</x:v>
      </x:c>
      <x:c r="C5718" s="2" t="str">
        <x:v>Tp Hồ Chí Minh</x:v>
      </x:c>
      <x:c r="D5718" s="2" t="str">
        <x:v>Quận Tân Phú</x:v>
      </x:c>
      <x:c r="E5718" s="2" t="str">
        <x:v>house</x:v>
      </x:c>
      <x:c r="F5718" s="2" t="str">
        <x:v>sale</x:v>
      </x:c>
      <x:c r="G5718" s="11" t="n">
        <x:v>370</x:v>
      </x:c>
      <x:c r="H5718" s="12" t="n">
        <x:v>100000000000</x:v>
      </x:c>
      <x:c r="I5718" s="12" t="n">
        <x:v>270270270.2702703</x:v>
      </x:c>
      <x:c r="J5718" s="2" t="str">
        <x:v>total</x:v>
      </x:c>
      <x:c r="K5718" s="2" t="str">
        <x:v>top_level_area</x:v>
      </x:c>
      <x:c r="L5718" s="2" t="str">
        <x:v>property_type_inferred_from_title</x:v>
      </x:c>
      <x:c r="M5718" s="10" t="n">
        <x:v>1</x:v>
      </x:c>
      <x:c r="N5718" s="10" t="n">
        <x:v>1</x:v>
      </x:c>
      <x:c r="O5718" s="2" t="str">
        <x:v>Tp Hồ Chí Minh|house</x:v>
      </x:c>
      <x:c r="P5718" s="10" t="n">
        <x:v>-1</x:v>
      </x:c>
      <x:c r="Q5718" s="13" t="n">
        <x:f>IF(H5718="","",H5718/1000000000)</x:f>
        <x:v>100</x:v>
      </x:c>
      <x:c r="R5718" s="13" t="n">
        <x:f>IF(I5718="","",I5718/1000000)</x:f>
        <x:v>270.2702702702703</x:v>
      </x:c>
    </x:row>
    <x:row r="5719" ht="21" customHeight="1">
      <x:c r="A5719" s="10" t="n">
        <x:v>7451</x:v>
      </x:c>
      <x:c r="B5719" s="2" t="str">
        <x:v>6a642a74c5a2c6317fb7</x:v>
      </x:c>
      <x:c r="C5719" s="2" t="str">
        <x:v>Hà Nội</x:v>
      </x:c>
      <x:c r="D5719" s="2" t="str">
        <x:v>Quận Đống Đa</x:v>
      </x:c>
      <x:c r="E5719" s="2" t="str">
        <x:v>other_unknown</x:v>
      </x:c>
      <x:c r="F5719" s="2" t="str">
        <x:v>sale_assumed</x:v>
      </x:c>
      <x:c r="G5719" s="11" t="n">
        <x:v>52</x:v>
      </x:c>
      <x:c r="H5719" s="12" t="n">
        <x:v>6700000000</x:v>
      </x:c>
      <x:c r="I5719" s="12" t="n">
        <x:v>128846153.84615384</x:v>
      </x:c>
      <x:c r="J5719" s="2" t="str">
        <x:v>total</x:v>
      </x:c>
      <x:c r="K5719" s="2" t="str">
        <x:v>top_level_area</x:v>
      </x:c>
      <x:c r="L5719" s="2" t="str">
        <x:v>property_type_inferred_from_title;transaction_assumed_sale_from_dataset_context;unknown_property_type</x:v>
      </x:c>
      <x:c r="M5719" s="10" t="n">
        <x:v>0</x:v>
      </x:c>
      <x:c r="N5719" s="10" t="n">
        <x:v>0</x:v>
      </x:c>
      <x:c r="O5719" s="2" t="str">
        <x:v>Hà Nội|other_unknown</x:v>
      </x:c>
      <x:c r="P5719" s="10" t="n">
        <x:v>2</x:v>
      </x:c>
      <x:c r="Q5719" s="13" t="n">
        <x:f>IF(H5719="","",H5719/1000000000)</x:f>
        <x:v>6.7</x:v>
      </x:c>
      <x:c r="R5719" s="13" t="n">
        <x:f>IF(I5719="","",I5719/1000000)</x:f>
        <x:v>128.84615384615384</x:v>
      </x:c>
    </x:row>
    <x:row r="5720" ht="21" customHeight="1">
      <x:c r="A5720" s="10" t="n">
        <x:v>7453</x:v>
      </x:c>
      <x:c r="B5720" s="2" t="str">
        <x:v>3ea80fa2e719ec0be08b</x:v>
      </x:c>
      <x:c r="C5720" s="2" t="str">
        <x:v>Hà Nội</x:v>
      </x:c>
      <x:c r="D5720" s="2" t="str">
        <x:v>Quận Đống Đa</x:v>
      </x:c>
      <x:c r="E5720" s="2" t="str">
        <x:v>house</x:v>
      </x:c>
      <x:c r="F5720" s="2" t="str">
        <x:v>sale</x:v>
      </x:c>
      <x:c r="G5720" s="11" t="n">
        <x:v>80</x:v>
      </x:c>
      <x:c r="H5720" s="12" t="n">
        <x:v>9000000000</x:v>
      </x:c>
      <x:c r="I5720" s="12" t="n">
        <x:v>112500000</x:v>
      </x:c>
      <x:c r="J5720" s="2" t="str">
        <x:v>total</x:v>
      </x:c>
      <x:c r="K5720" s="2" t="str">
        <x:v>top_level_area</x:v>
      </x:c>
      <x:c r="L5720" s="2" t="str">
        <x:v>property_type_inferred_from_title</x:v>
      </x:c>
      <x:c r="M5720" s="10" t="n">
        <x:v>0</x:v>
      </x:c>
      <x:c r="N5720" s="10" t="n">
        <x:v>0</x:v>
      </x:c>
      <x:c r="O5720" s="2" t="str">
        <x:v>Hà Nội|house</x:v>
      </x:c>
      <x:c r="P5720" s="10" t="n">
        <x:v>2</x:v>
      </x:c>
      <x:c r="Q5720" s="13" t="n">
        <x:f>IF(H5720="","",H5720/1000000000)</x:f>
        <x:v>9</x:v>
      </x:c>
      <x:c r="R5720" s="13" t="n">
        <x:f>IF(I5720="","",I5720/1000000)</x:f>
        <x:v>112.5</x:v>
      </x:c>
    </x:row>
    <x:row r="5721" ht="21" customHeight="1">
      <x:c r="A5721" s="10" t="n">
        <x:v>7454</x:v>
      </x:c>
      <x:c r="B5721" s="2" t="str">
        <x:v>9b549cd1653efd879008</x:v>
      </x:c>
      <x:c r="C5721" s="2" t="str">
        <x:v>Tp Hồ Chí Minh</x:v>
      </x:c>
      <x:c r="D5721" s="2" t="str">
        <x:v>Quận Tân Bình</x:v>
      </x:c>
      <x:c r="E5721" s="2" t="str">
        <x:v>house</x:v>
      </x:c>
      <x:c r="F5721" s="2" t="str">
        <x:v>sale</x:v>
      </x:c>
      <x:c r="G5721" s="11" t="n">
        <x:v>36</x:v>
      </x:c>
      <x:c r="H5721" s="12" t="n">
        <x:v>1720000000</x:v>
      </x:c>
      <x:c r="I5721" s="12" t="n">
        <x:v>47777777.777777776</x:v>
      </x:c>
      <x:c r="J5721" s="2" t="str">
        <x:v>total</x:v>
      </x:c>
      <x:c r="K5721" s="2" t="str">
        <x:v>top_level_area</x:v>
      </x:c>
      <x:c r="L5721" s="2" t="str">
        <x:v>property_type_inferred_from_title</x:v>
      </x:c>
      <x:c r="M5721" s="10" t="n">
        <x:v>0</x:v>
      </x:c>
      <x:c r="N5721" s="10" t="n">
        <x:v>0</x:v>
      </x:c>
      <x:c r="O5721" s="2" t="str">
        <x:v>Tp Hồ Chí Minh|house</x:v>
      </x:c>
      <x:c r="P5721" s="10" t="n">
        <x:v>2</x:v>
      </x:c>
      <x:c r="Q5721" s="13" t="n">
        <x:f>IF(H5721="","",H5721/1000000000)</x:f>
        <x:v>1.72</x:v>
      </x:c>
      <x:c r="R5721" s="13" t="n">
        <x:f>IF(I5721="","",I5721/1000000)</x:f>
        <x:v>47.77777777777778</x:v>
      </x:c>
    </x:row>
    <x:row r="5722" ht="21" customHeight="1">
      <x:c r="A5722" s="10" t="n">
        <x:v>7455</x:v>
      </x:c>
      <x:c r="B5722" s="2" t="str">
        <x:v>cd9354267ebd58944846</x:v>
      </x:c>
      <x:c r="C5722" s="2" t="str">
        <x:v>Đà Nẵng</x:v>
      </x:c>
      <x:c r="D5722" s="2" t="str">
        <x:v>Quận Thanh Khê</x:v>
      </x:c>
      <x:c r="E5722" s="2" t="str">
        <x:v>house</x:v>
      </x:c>
      <x:c r="F5722" s="2" t="str">
        <x:v>sale_assumed</x:v>
      </x:c>
      <x:c r="G5722" s="11" t="n">
        <x:v>81</x:v>
      </x:c>
      <x:c r="H5722" s="12" t="n">
        <x:v>2950000000</x:v>
      </x:c>
      <x:c r="I5722" s="12" t="n">
        <x:v>36419753.086419754</x:v>
      </x:c>
      <x:c r="J5722" s="2" t="str">
        <x:v>total</x:v>
      </x:c>
      <x:c r="K5722" s="2" t="str">
        <x:v>top_level_area</x:v>
      </x:c>
      <x:c r="L5722" s="2" t="str">
        <x:v>property_type_inferred_from_title;transaction_assumed_sale_from_dataset_context</x:v>
      </x:c>
      <x:c r="M5722" s="10" t="n">
        <x:v>0</x:v>
      </x:c>
      <x:c r="N5722" s="10" t="n">
        <x:v>0</x:v>
      </x:c>
      <x:c r="O5722" s="2" t="str">
        <x:v>Đà Nẵng|house</x:v>
      </x:c>
      <x:c r="P5722" s="10" t="n">
        <x:v>2</x:v>
      </x:c>
      <x:c r="Q5722" s="13" t="n">
        <x:f>IF(H5722="","",H5722/1000000000)</x:f>
        <x:v>2.95</x:v>
      </x:c>
      <x:c r="R5722" s="13" t="n">
        <x:f>IF(I5722="","",I5722/1000000)</x:f>
        <x:v>36.41975308641975</x:v>
      </x:c>
    </x:row>
    <x:row r="5723" ht="21" customHeight="1">
      <x:c r="A5723" s="10" t="n">
        <x:v>7456</x:v>
      </x:c>
      <x:c r="B5723" s="2" t="str">
        <x:v>976480d3c8e8836015fd</x:v>
      </x:c>
      <x:c r="C5723" s="2" t="str">
        <x:v>Tp Hồ Chí Minh</x:v>
      </x:c>
      <x:c r="D5723" s="2" t="str">
        <x:v>Huyện Nhà Bè</x:v>
      </x:c>
      <x:c r="E5723" s="2" t="str">
        <x:v>house</x:v>
      </x:c>
      <x:c r="F5723" s="2" t="str">
        <x:v>sale</x:v>
      </x:c>
      <x:c r="G5723" s="11" t="n">
        <x:v>81</x:v>
      </x:c>
      <x:c r="H5723" s="12" t="n">
        <x:v>1870000000</x:v>
      </x:c>
      <x:c r="I5723" s="12" t="n">
        <x:v>23086419.753086418</x:v>
      </x:c>
      <x:c r="J5723" s="2" t="str">
        <x:v>total</x:v>
      </x:c>
      <x:c r="K5723" s="2" t="str">
        <x:v>top_level_area</x:v>
      </x:c>
      <x:c r="L5723" s="2" t="str">
        <x:v>property_type_inferred_from_title</x:v>
      </x:c>
      <x:c r="M5723" s="10" t="n">
        <x:v>0</x:v>
      </x:c>
      <x:c r="N5723" s="10" t="n">
        <x:v>0</x:v>
      </x:c>
      <x:c r="O5723" s="2" t="str">
        <x:v>Tp Hồ Chí Minh|house</x:v>
      </x:c>
      <x:c r="P5723" s="10" t="n">
        <x:v>2</x:v>
      </x:c>
      <x:c r="Q5723" s="13" t="n">
        <x:f>IF(H5723="","",H5723/1000000000)</x:f>
        <x:v>1.87</x:v>
      </x:c>
      <x:c r="R5723" s="13" t="n">
        <x:f>IF(I5723="","",I5723/1000000)</x:f>
        <x:v>23.086419753086417</x:v>
      </x:c>
    </x:row>
    <x:row r="5724" ht="21" customHeight="1">
      <x:c r="A5724" s="10" t="n">
        <x:v>7457</x:v>
      </x:c>
      <x:c r="B5724" s="2" t="str">
        <x:v>58f2e2e266c94f20337c</x:v>
      </x:c>
      <x:c r="C5724" s="2" t="str">
        <x:v>Tp Hồ Chí Minh</x:v>
      </x:c>
      <x:c r="D5724" s="2" t="str">
        <x:v>Quận 2</x:v>
      </x:c>
      <x:c r="E5724" s="2" t="str">
        <x:v>house</x:v>
      </x:c>
      <x:c r="F5724" s="2" t="str">
        <x:v>sale</x:v>
      </x:c>
      <x:c r="G5724" s="11" t="n">
        <x:v>69</x:v>
      </x:c>
      <x:c r="H5724" s="12" t="n">
        <x:v>1080000000</x:v>
      </x:c>
      <x:c r="I5724" s="12" t="n">
        <x:v>15652173.913043479</x:v>
      </x:c>
      <x:c r="J5724" s="2" t="str">
        <x:v>total</x:v>
      </x:c>
      <x:c r="K5724" s="2" t="str">
        <x:v>top_level_area</x:v>
      </x:c>
      <x:c r="L5724" s="2" t="str">
        <x:v>property_type_inferred_from_title</x:v>
      </x:c>
      <x:c r="M5724" s="10" t="n">
        <x:v>0</x:v>
      </x:c>
      <x:c r="N5724" s="10" t="n">
        <x:v>0</x:v>
      </x:c>
      <x:c r="O5724" s="2" t="str">
        <x:v>Tp Hồ Chí Minh|house</x:v>
      </x:c>
      <x:c r="P5724" s="10" t="n">
        <x:v>2</x:v>
      </x:c>
      <x:c r="Q5724" s="13" t="n">
        <x:f>IF(H5724="","",H5724/1000000000)</x:f>
        <x:v>1.08</x:v>
      </x:c>
      <x:c r="R5724" s="13" t="n">
        <x:f>IF(I5724="","",I5724/1000000)</x:f>
        <x:v>15.652173913043478</x:v>
      </x:c>
    </x:row>
    <x:row r="5725" ht="21" customHeight="1">
      <x:c r="A5725" s="10" t="n">
        <x:v>7458</x:v>
      </x:c>
      <x:c r="B5725" s="2" t="str">
        <x:v>72005ff53d4f5d13975b</x:v>
      </x:c>
      <x:c r="C5725" s="2" t="str">
        <x:v>Tp Hồ Chí Minh</x:v>
      </x:c>
      <x:c r="D5725" s="2" t="str">
        <x:v>Quận Tân Bình</x:v>
      </x:c>
      <x:c r="E5725" s="2" t="str">
        <x:v>house</x:v>
      </x:c>
      <x:c r="F5725" s="2" t="str">
        <x:v>sale</x:v>
      </x:c>
      <x:c r="G5725" s="11" t="n">
        <x:v>51</x:v>
      </x:c>
      <x:c r="H5725" s="12" t="n">
        <x:v>5850000000</x:v>
      </x:c>
      <x:c r="I5725" s="12" t="n">
        <x:v>114705882.35294117</x:v>
      </x:c>
      <x:c r="J5725" s="2" t="str">
        <x:v>total</x:v>
      </x:c>
      <x:c r="K5725" s="2" t="str">
        <x:v>top_level_area</x:v>
      </x:c>
      <x:c r="L5725" s="2" t="str">
        <x:v>property_type_inferred_from_title</x:v>
      </x:c>
      <x:c r="M5725" s="10" t="n">
        <x:v>0</x:v>
      </x:c>
      <x:c r="N5725" s="10" t="n">
        <x:v>0</x:v>
      </x:c>
      <x:c r="O5725" s="2" t="str">
        <x:v>Tp Hồ Chí Minh|house</x:v>
      </x:c>
      <x:c r="P5725" s="10" t="n">
        <x:v>2</x:v>
      </x:c>
      <x:c r="Q5725" s="13" t="n">
        <x:f>IF(H5725="","",H5725/1000000000)</x:f>
        <x:v>5.85</x:v>
      </x:c>
      <x:c r="R5725" s="13" t="n">
        <x:f>IF(I5725="","",I5725/1000000)</x:f>
        <x:v>114.70588235294117</x:v>
      </x:c>
    </x:row>
    <x:row r="5726" ht="21" customHeight="1">
      <x:c r="A5726" s="10" t="n">
        <x:v>7459</x:v>
      </x:c>
      <x:c r="B5726" s="2" t="str">
        <x:v>fc6973deb277cbe0263c</x:v>
      </x:c>
      <x:c r="C5726" s="2" t="str">
        <x:v>Tp Hồ Chí Minh</x:v>
      </x:c>
      <x:c r="D5726" s="2" t="str">
        <x:v>Quận Bình Tân</x:v>
      </x:c>
      <x:c r="E5726" s="2" t="str">
        <x:v>house</x:v>
      </x:c>
      <x:c r="F5726" s="2" t="str">
        <x:v>sale_assumed</x:v>
      </x:c>
      <x:c r="G5726" s="11" t="n">
        <x:v>72</x:v>
      </x:c>
      <x:c r="H5726" s="12" t="n">
        <x:v>5350000000</x:v>
      </x:c>
      <x:c r="I5726" s="12" t="n">
        <x:v>74305555.55555555</x:v>
      </x:c>
      <x:c r="J5726" s="2" t="str">
        <x:v>total</x:v>
      </x:c>
      <x:c r="K5726" s="2" t="str">
        <x:v>top_level_area</x:v>
      </x:c>
      <x:c r="L5726" s="2" t="str">
        <x:v>property_type_inferred_from_title;transaction_assumed_sale_from_dataset_context</x:v>
      </x:c>
      <x:c r="M5726" s="10" t="n">
        <x:v>0</x:v>
      </x:c>
      <x:c r="N5726" s="10" t="n">
        <x:v>0</x:v>
      </x:c>
      <x:c r="O5726" s="2" t="str">
        <x:v>Tp Hồ Chí Minh|house</x:v>
      </x:c>
      <x:c r="P5726" s="10" t="n">
        <x:v>2</x:v>
      </x:c>
      <x:c r="Q5726" s="13" t="n">
        <x:f>IF(H5726="","",H5726/1000000000)</x:f>
        <x:v>5.35</x:v>
      </x:c>
      <x:c r="R5726" s="13" t="n">
        <x:f>IF(I5726="","",I5726/1000000)</x:f>
        <x:v>74.30555555555556</x:v>
      </x:c>
    </x:row>
    <x:row r="5727" ht="21" customHeight="1">
      <x:c r="A5727" s="10" t="n">
        <x:v>7460</x:v>
      </x:c>
      <x:c r="B5727" s="2" t="str">
        <x:v>81ed498adfd47cb25b88</x:v>
      </x:c>
      <x:c r="C5727" s="2" t="str">
        <x:v>Tây Ninh</x:v>
      </x:c>
      <x:c r="D5727" s="2" t="str">
        <x:v>Huyện Gò Dầu</x:v>
      </x:c>
      <x:c r="E5727" s="2" t="str">
        <x:v>other_unknown</x:v>
      </x:c>
      <x:c r="F5727" s="2" t="str">
        <x:v>sale_assumed</x:v>
      </x:c>
      <x:c r="G5727" s="11" t="n">
        <x:v>155</x:v>
      </x:c>
      <x:c r="H5727" s="12" t="n">
        <x:v>385000000</x:v>
      </x:c>
      <x:c r="I5727" s="12" t="n">
        <x:v>2483870.9677419355</x:v>
      </x:c>
      <x:c r="J5727" s="2" t="str">
        <x:v>total</x:v>
      </x:c>
      <x:c r="K5727" s="2" t="str">
        <x:v>top_level_area</x:v>
      </x:c>
      <x:c r="L5727" s="2" t="str">
        <x:v>property_type_inferred_from_title;transaction_assumed_sale_from_dataset_context;unknown_property_type</x:v>
      </x:c>
      <x:c r="M5727" s="10" t="n">
        <x:v>0</x:v>
      </x:c>
      <x:c r="N5727" s="10" t="n">
        <x:v>0</x:v>
      </x:c>
      <x:c r="O5727" s="2" t="str">
        <x:v>other_unknown</x:v>
      </x:c>
      <x:c r="P5727" s="10" t="n">
        <x:v>1</x:v>
      </x:c>
      <x:c r="Q5727" s="13" t="n">
        <x:f>IF(H5727="","",H5727/1000000000)</x:f>
        <x:v>0.385</x:v>
      </x:c>
      <x:c r="R5727" s="13" t="n">
        <x:f>IF(I5727="","",I5727/1000000)</x:f>
        <x:v>2.4838709677419355</x:v>
      </x:c>
    </x:row>
    <x:row r="5728" ht="21" customHeight="1">
      <x:c r="A5728" s="10" t="n">
        <x:v>7461</x:v>
      </x:c>
      <x:c r="B5728" s="2" t="str">
        <x:v>5391a0b3bee921b6f1f8</x:v>
      </x:c>
      <x:c r="C5728" s="2" t="str">
        <x:v>Cần Thơ</x:v>
      </x:c>
      <x:c r="D5728" s="2" t="str">
        <x:v>Quận Ninh Kiều</x:v>
      </x:c>
      <x:c r="E5728" s="2" t="str">
        <x:v>house</x:v>
      </x:c>
      <x:c r="F5728" s="2" t="str">
        <x:v>sale_assumed</x:v>
      </x:c>
      <x:c r="G5728" s="11" t="n">
        <x:v>44</x:v>
      </x:c>
      <x:c r="H5728" s="12" t="n">
        <x:v>5500000000</x:v>
      </x:c>
      <x:c r="I5728" s="12" t="n">
        <x:v>125000000</x:v>
      </x:c>
      <x:c r="J5728" s="2" t="str">
        <x:v>total</x:v>
      </x:c>
      <x:c r="K5728" s="2" t="str">
        <x:v>top_level_area</x:v>
      </x:c>
      <x:c r="L5728" s="2" t="str">
        <x:v>property_type_inferred_from_title;transaction_assumed_sale_from_dataset_context</x:v>
      </x:c>
      <x:c r="M5728" s="10" t="n">
        <x:v>0</x:v>
      </x:c>
      <x:c r="N5728" s="10" t="n">
        <x:v>1</x:v>
      </x:c>
      <x:c r="O5728" s="2" t="str">
        <x:v>Cần Thơ|house</x:v>
      </x:c>
      <x:c r="P5728" s="10" t="n">
        <x:v>-1</x:v>
      </x:c>
      <x:c r="Q5728" s="13" t="n">
        <x:f>IF(H5728="","",H5728/1000000000)</x:f>
        <x:v>5.5</x:v>
      </x:c>
      <x:c r="R5728" s="13" t="n">
        <x:f>IF(I5728="","",I5728/1000000)</x:f>
        <x:v>125</x:v>
      </x:c>
    </x:row>
    <x:row r="5729" ht="21" customHeight="1">
      <x:c r="A5729" s="10" t="n">
        <x:v>7462</x:v>
      </x:c>
      <x:c r="B5729" s="2" t="str">
        <x:v>79cb78e2978b71f370fd</x:v>
      </x:c>
      <x:c r="C5729" s="2" t="str">
        <x:v>Bình Dương</x:v>
      </x:c>
      <x:c r="D5729" s="2" t="str">
        <x:v>Thị xã Bến Cát</x:v>
      </x:c>
      <x:c r="E5729" s="2" t="str">
        <x:v>land</x:v>
      </x:c>
      <x:c r="F5729" s="2" t="str">
        <x:v>sale</x:v>
      </x:c>
      <x:c r="G5729" s="11" t="n">
        <x:v>300</x:v>
      </x:c>
      <x:c r="H5729" s="12" t="n">
        <x:v>1870000000</x:v>
      </x:c>
      <x:c r="I5729" s="12" t="n">
        <x:v>6233333.333333333</x:v>
      </x:c>
      <x:c r="J5729" s="2" t="str">
        <x:v>total</x:v>
      </x:c>
      <x:c r="K5729" s="2" t="str">
        <x:v>top_level_area</x:v>
      </x:c>
      <x:c r="L5729" s="2" t="str">
        <x:v>property_type_inferred_from_title</x:v>
      </x:c>
      <x:c r="M5729" s="10" t="n">
        <x:v>0</x:v>
      </x:c>
      <x:c r="N5729" s="10" t="n">
        <x:v>0</x:v>
      </x:c>
      <x:c r="O5729" s="2" t="str">
        <x:v>Bình Dương|land</x:v>
      </x:c>
      <x:c r="P5729" s="10" t="n">
        <x:v>1</x:v>
      </x:c>
      <x:c r="Q5729" s="13" t="n">
        <x:f>IF(H5729="","",H5729/1000000000)</x:f>
        <x:v>1.87</x:v>
      </x:c>
      <x:c r="R5729" s="13" t="n">
        <x:f>IF(I5729="","",I5729/1000000)</x:f>
        <x:v>6.233333333333333</x:v>
      </x:c>
    </x:row>
    <x:row r="5730" ht="21" customHeight="1">
      <x:c r="A5730" s="10" t="n">
        <x:v>7463</x:v>
      </x:c>
      <x:c r="B5730" s="2" t="str">
        <x:v>f68f4ad5905d9d6761f0</x:v>
      </x:c>
      <x:c r="C5730" s="2" t="str">
        <x:v>Đồng Nai</x:v>
      </x:c>
      <x:c r="D5730" s="2" t="str">
        <x:v>Thành phố Biên Hòa</x:v>
      </x:c>
      <x:c r="E5730" s="2" t="str">
        <x:v>land</x:v>
      </x:c>
      <x:c r="F5730" s="2" t="str">
        <x:v>sale</x:v>
      </x:c>
      <x:c r="G5730" s="11" t="n">
        <x:v>82</x:v>
      </x:c>
      <x:c r="H5730" s="12" t="n">
        <x:v>795000000</x:v>
      </x:c>
      <x:c r="I5730" s="12" t="n">
        <x:v>9695121.951219512</x:v>
      </x:c>
      <x:c r="J5730" s="2" t="str">
        <x:v>total</x:v>
      </x:c>
      <x:c r="K5730" s="2" t="str">
        <x:v>top_level_area</x:v>
      </x:c>
      <x:c r="L5730" s="2" t="str">
        <x:v>property_type_inferred_from_title</x:v>
      </x:c>
      <x:c r="M5730" s="10" t="n">
        <x:v>0</x:v>
      </x:c>
      <x:c r="N5730" s="10" t="n">
        <x:v>0</x:v>
      </x:c>
      <x:c r="O5730" s="2" t="str">
        <x:v>Đồng Nai|land</x:v>
      </x:c>
      <x:c r="P5730" s="10" t="n">
        <x:v>2</x:v>
      </x:c>
      <x:c r="Q5730" s="13" t="n">
        <x:f>IF(H5730="","",H5730/1000000000)</x:f>
        <x:v>0.795</x:v>
      </x:c>
      <x:c r="R5730" s="13" t="n">
        <x:f>IF(I5730="","",I5730/1000000)</x:f>
        <x:v>9.695121951219512</x:v>
      </x:c>
    </x:row>
    <x:row r="5731" ht="21" customHeight="1">
      <x:c r="A5731" s="10" t="n">
        <x:v>7464</x:v>
      </x:c>
      <x:c r="B5731" s="2" t="str">
        <x:v>8ec52cb6cf8a4e62c138</x:v>
      </x:c>
      <x:c r="C5731" s="2" t="str">
        <x:v>Hà Nội</x:v>
      </x:c>
      <x:c r="D5731" s="2" t="str">
        <x:v>Quận Hà Đông</x:v>
      </x:c>
      <x:c r="E5731" s="2" t="str">
        <x:v>house</x:v>
      </x:c>
      <x:c r="F5731" s="2" t="str">
        <x:v>sale</x:v>
      </x:c>
      <x:c r="G5731" s="11" t="n">
        <x:v>38</x:v>
      </x:c>
      <x:c r="H5731" s="12" t="n">
        <x:v>1630000000</x:v>
      </x:c>
      <x:c r="I5731" s="12" t="n">
        <x:v>42894736.84210526</x:v>
      </x:c>
      <x:c r="J5731" s="2" t="str">
        <x:v>total</x:v>
      </x:c>
      <x:c r="K5731" s="2" t="str">
        <x:v>top_level_area</x:v>
      </x:c>
      <x:c r="L5731" s="2" t="str">
        <x:v>property_type_inferred_from_title</x:v>
      </x:c>
      <x:c r="M5731" s="10" t="n">
        <x:v>0</x:v>
      </x:c>
      <x:c r="N5731" s="10" t="n">
        <x:v>0</x:v>
      </x:c>
      <x:c r="O5731" s="2" t="str">
        <x:v>Hà Nội|house</x:v>
      </x:c>
      <x:c r="P5731" s="10" t="n">
        <x:v>2</x:v>
      </x:c>
      <x:c r="Q5731" s="13" t="n">
        <x:f>IF(H5731="","",H5731/1000000000)</x:f>
        <x:v>1.63</x:v>
      </x:c>
      <x:c r="R5731" s="13" t="n">
        <x:f>IF(I5731="","",I5731/1000000)</x:f>
        <x:v>42.89473684210526</x:v>
      </x:c>
    </x:row>
    <x:row r="5732" ht="21" customHeight="1">
      <x:c r="A5732" s="10" t="n">
        <x:v>7465</x:v>
      </x:c>
      <x:c r="B5732" s="2" t="str">
        <x:v>417d1ebbdc90df5fd767</x:v>
      </x:c>
      <x:c r="C5732" s="2" t="str">
        <x:v>Tp Hồ Chí Minh</x:v>
      </x:c>
      <x:c r="D5732" s="2" t="str">
        <x:v>Quận Tân Phú</x:v>
      </x:c>
      <x:c r="E5732" s="2" t="str">
        <x:v>house</x:v>
      </x:c>
      <x:c r="F5732" s="2" t="str">
        <x:v>sale_assumed</x:v>
      </x:c>
      <x:c r="G5732" s="11" t="n">
        <x:v>64</x:v>
      </x:c>
      <x:c r="H5732" s="12" t="n">
        <x:v>7300000000</x:v>
      </x:c>
      <x:c r="I5732" s="12" t="n">
        <x:v>114062500</x:v>
      </x:c>
      <x:c r="J5732" s="2" t="str">
        <x:v>total</x:v>
      </x:c>
      <x:c r="K5732" s="2" t="str">
        <x:v>top_level_area</x:v>
      </x:c>
      <x:c r="L5732" s="2" t="str">
        <x:v>property_type_inferred_from_title;transaction_assumed_sale_from_dataset_context</x:v>
      </x:c>
      <x:c r="M5732" s="10" t="n">
        <x:v>0</x:v>
      </x:c>
      <x:c r="N5732" s="10" t="n">
        <x:v>0</x:v>
      </x:c>
      <x:c r="O5732" s="2" t="str">
        <x:v>Tp Hồ Chí Minh|house</x:v>
      </x:c>
      <x:c r="P5732" s="10" t="n">
        <x:v>2</x:v>
      </x:c>
      <x:c r="Q5732" s="13" t="n">
        <x:f>IF(H5732="","",H5732/1000000000)</x:f>
        <x:v>7.3</x:v>
      </x:c>
      <x:c r="R5732" s="13" t="n">
        <x:f>IF(I5732="","",I5732/1000000)</x:f>
        <x:v>114.0625</x:v>
      </x:c>
    </x:row>
    <x:row r="5733" ht="21" customHeight="1">
      <x:c r="A5733" s="10" t="n">
        <x:v>7466</x:v>
      </x:c>
      <x:c r="B5733" s="2" t="str">
        <x:v>f062d220a3a291560967</x:v>
      </x:c>
      <x:c r="C5733" s="2" t="str">
        <x:v>Tp Hồ Chí Minh</x:v>
      </x:c>
      <x:c r="D5733" s="2" t="str">
        <x:v>Quận 12</x:v>
      </x:c>
      <x:c r="E5733" s="2" t="str">
        <x:v>house</x:v>
      </x:c>
      <x:c r="F5733" s="2" t="str">
        <x:v>sale_assumed</x:v>
      </x:c>
      <x:c r="G5733" s="11" t="n">
        <x:v>38</x:v>
      </x:c>
      <x:c r="H5733" s="12" t="n">
        <x:v>2450000000</x:v>
      </x:c>
      <x:c r="I5733" s="12" t="n">
        <x:v>64473684.21052632</x:v>
      </x:c>
      <x:c r="J5733" s="2" t="str">
        <x:v>total</x:v>
      </x:c>
      <x:c r="K5733" s="2" t="str">
        <x:v>top_level_area</x:v>
      </x:c>
      <x:c r="L5733" s="2" t="str">
        <x:v>property_type_inferred_from_title;transaction_assumed_sale_from_dataset_context</x:v>
      </x:c>
      <x:c r="M5733" s="10" t="n">
        <x:v>0</x:v>
      </x:c>
      <x:c r="N5733" s="10" t="n">
        <x:v>0</x:v>
      </x:c>
      <x:c r="O5733" s="2" t="str">
        <x:v>Tp Hồ Chí Minh|house</x:v>
      </x:c>
      <x:c r="P5733" s="10" t="n">
        <x:v>2</x:v>
      </x:c>
      <x:c r="Q5733" s="13" t="n">
        <x:f>IF(H5733="","",H5733/1000000000)</x:f>
        <x:v>2.45</x:v>
      </x:c>
      <x:c r="R5733" s="13" t="n">
        <x:f>IF(I5733="","",I5733/1000000)</x:f>
        <x:v>64.47368421052632</x:v>
      </x:c>
    </x:row>
    <x:row r="5734" ht="21" customHeight="1">
      <x:c r="A5734" s="10" t="n">
        <x:v>7467</x:v>
      </x:c>
      <x:c r="B5734" s="2" t="str">
        <x:v>9ec9a0d1a1bdf534277e</x:v>
      </x:c>
      <x:c r="C5734" s="2" t="str">
        <x:v>Đà Nẵng</x:v>
      </x:c>
      <x:c r="D5734" s="2" t="str">
        <x:v>Quận Ngũ Hành Sơn</x:v>
      </x:c>
      <x:c r="E5734" s="2" t="str">
        <x:v>land</x:v>
      </x:c>
      <x:c r="F5734" s="2" t="str">
        <x:v>sale</x:v>
      </x:c>
      <x:c r="G5734" s="11" t="n">
        <x:v>85</x:v>
      </x:c>
      <x:c r="H5734" s="12" t="n">
        <x:v>2850000000</x:v>
      </x:c>
      <x:c r="I5734" s="12" t="n">
        <x:v>33529411.76470588</x:v>
      </x:c>
      <x:c r="J5734" s="2" t="str">
        <x:v>total</x:v>
      </x:c>
      <x:c r="K5734" s="2" t="str">
        <x:v>top_level_area</x:v>
      </x:c>
      <x:c r="L5734" s="2" t="str">
        <x:v>property_type_inferred_from_title</x:v>
      </x:c>
      <x:c r="M5734" s="10" t="n">
        <x:v>0</x:v>
      </x:c>
      <x:c r="N5734" s="10" t="n">
        <x:v>0</x:v>
      </x:c>
      <x:c r="O5734" s="2" t="str">
        <x:v>Đà Nẵng|land</x:v>
      </x:c>
      <x:c r="P5734" s="10" t="n">
        <x:v>2</x:v>
      </x:c>
      <x:c r="Q5734" s="13" t="n">
        <x:f>IF(H5734="","",H5734/1000000000)</x:f>
        <x:v>2.85</x:v>
      </x:c>
      <x:c r="R5734" s="13" t="n">
        <x:f>IF(I5734="","",I5734/1000000)</x:f>
        <x:v>33.529411764705884</x:v>
      </x:c>
    </x:row>
    <x:row r="5735" ht="21" customHeight="1">
      <x:c r="A5735" s="10" t="n">
        <x:v>7468</x:v>
      </x:c>
      <x:c r="B5735" s="2" t="str">
        <x:v>5d62ee9b80e24037b366</x:v>
      </x:c>
      <x:c r="C5735" s="2" t="str">
        <x:v>Đà Nẵng</x:v>
      </x:c>
      <x:c r="D5735" s="2" t="str">
        <x:v>Quận Hải Châu</x:v>
      </x:c>
      <x:c r="E5735" s="2" t="str">
        <x:v>house</x:v>
      </x:c>
      <x:c r="F5735" s="2" t="str">
        <x:v>sale_assumed</x:v>
      </x:c>
      <x:c r="G5735" s="11" t="n">
        <x:v>90</x:v>
      </x:c>
      <x:c r="H5735" s="12" t="n">
        <x:v>6800000000</x:v>
      </x:c>
      <x:c r="I5735" s="12" t="n">
        <x:v>75555555.55555555</x:v>
      </x:c>
      <x:c r="J5735" s="2" t="str">
        <x:v>total</x:v>
      </x:c>
      <x:c r="K5735" s="2" t="str">
        <x:v>top_level_area</x:v>
      </x:c>
      <x:c r="L5735" s="2" t="str">
        <x:v>property_type_inferred_from_title;transaction_assumed_sale_from_dataset_context</x:v>
      </x:c>
      <x:c r="M5735" s="10" t="n">
        <x:v>0</x:v>
      </x:c>
      <x:c r="N5735" s="10" t="n">
        <x:v>0</x:v>
      </x:c>
      <x:c r="O5735" s="2" t="str">
        <x:v>Đà Nẵng|house</x:v>
      </x:c>
      <x:c r="P5735" s="10" t="n">
        <x:v>2</x:v>
      </x:c>
      <x:c r="Q5735" s="13" t="n">
        <x:f>IF(H5735="","",H5735/1000000000)</x:f>
        <x:v>6.8</x:v>
      </x:c>
      <x:c r="R5735" s="13" t="n">
        <x:f>IF(I5735="","",I5735/1000000)</x:f>
        <x:v>75.55555555555556</x:v>
      </x:c>
    </x:row>
    <x:row r="5736" ht="21" customHeight="1">
      <x:c r="A5736" s="10" t="n">
        <x:v>7471</x:v>
      </x:c>
      <x:c r="B5736" s="2" t="str">
        <x:v>cbf15ab187a2cb813000</x:v>
      </x:c>
      <x:c r="C5736" s="2" t="str">
        <x:v>Tp Hồ Chí Minh</x:v>
      </x:c>
      <x:c r="D5736" s="2" t="str">
        <x:v>Quận 10</x:v>
      </x:c>
      <x:c r="E5736" s="2" t="str">
        <x:v>house</x:v>
      </x:c>
      <x:c r="F5736" s="2" t="str">
        <x:v>sale</x:v>
      </x:c>
      <x:c r="G5736" s="11" t="n">
        <x:v>60</x:v>
      </x:c>
      <x:c r="H5736" s="12" t="n">
        <x:v>6600000000</x:v>
      </x:c>
      <x:c r="I5736" s="12" t="n">
        <x:v>110000000</x:v>
      </x:c>
      <x:c r="J5736" s="2" t="str">
        <x:v>total</x:v>
      </x:c>
      <x:c r="K5736" s="2" t="str">
        <x:v>top_level_area</x:v>
      </x:c>
      <x:c r="L5736" s="2" t="str">
        <x:v>property_type_inferred_from_title</x:v>
      </x:c>
      <x:c r="M5736" s="10" t="n">
        <x:v>0</x:v>
      </x:c>
      <x:c r="N5736" s="10" t="n">
        <x:v>0</x:v>
      </x:c>
      <x:c r="O5736" s="2" t="str">
        <x:v>Tp Hồ Chí Minh|house</x:v>
      </x:c>
      <x:c r="P5736" s="10" t="n">
        <x:v>2</x:v>
      </x:c>
      <x:c r="Q5736" s="13" t="n">
        <x:f>IF(H5736="","",H5736/1000000000)</x:f>
        <x:v>6.6</x:v>
      </x:c>
      <x:c r="R5736" s="13" t="n">
        <x:f>IF(I5736="","",I5736/1000000)</x:f>
        <x:v>110</x:v>
      </x:c>
    </x:row>
    <x:row r="5737" ht="21" customHeight="1">
      <x:c r="A5737" s="10" t="n">
        <x:v>7472</x:v>
      </x:c>
      <x:c r="B5737" s="2" t="str">
        <x:v>dabde0357d918442f203</x:v>
      </x:c>
      <x:c r="C5737" s="2" t="str">
        <x:v>Hà Nội</x:v>
      </x:c>
      <x:c r="D5737" s="2" t="str">
        <x:v>Quận Tây Hồ</x:v>
      </x:c>
      <x:c r="E5737" s="2" t="str">
        <x:v>house</x:v>
      </x:c>
      <x:c r="F5737" s="2" t="str">
        <x:v>sale_assumed</x:v>
      </x:c>
      <x:c r="G5737" s="11" t="n">
        <x:v>42</x:v>
      </x:c>
      <x:c r="H5737" s="12" t="n">
        <x:v>2600000000</x:v>
      </x:c>
      <x:c r="I5737" s="12" t="n">
        <x:v>61904761.9047619</x:v>
      </x:c>
      <x:c r="J5737" s="2" t="str">
        <x:v>total</x:v>
      </x:c>
      <x:c r="K5737" s="2" t="str">
        <x:v>top_level_area</x:v>
      </x:c>
      <x:c r="L5737" s="2" t="str">
        <x:v>property_type_inferred_from_title;transaction_assumed_sale_from_dataset_context</x:v>
      </x:c>
      <x:c r="M5737" s="10" t="n">
        <x:v>0</x:v>
      </x:c>
      <x:c r="N5737" s="10" t="n">
        <x:v>0</x:v>
      </x:c>
      <x:c r="O5737" s="2" t="str">
        <x:v>Hà Nội|house</x:v>
      </x:c>
      <x:c r="P5737" s="10" t="n">
        <x:v>2</x:v>
      </x:c>
      <x:c r="Q5737" s="13" t="n">
        <x:f>IF(H5737="","",H5737/1000000000)</x:f>
        <x:v>2.6</x:v>
      </x:c>
      <x:c r="R5737" s="13" t="n">
        <x:f>IF(I5737="","",I5737/1000000)</x:f>
        <x:v>61.904761904761905</x:v>
      </x:c>
    </x:row>
    <x:row r="5738" ht="21" customHeight="1">
      <x:c r="A5738" s="10" t="n">
        <x:v>7473</x:v>
      </x:c>
      <x:c r="B5738" s="2" t="str">
        <x:v>bff5dd8fef6f7da094e0</x:v>
      </x:c>
      <x:c r="C5738" s="2" t="str">
        <x:v>Tp Hồ Chí Minh</x:v>
      </x:c>
      <x:c r="D5738" s="2" t="str">
        <x:v>Quận 8</x:v>
      </x:c>
      <x:c r="E5738" s="2" t="str">
        <x:v>house</x:v>
      </x:c>
      <x:c r="F5738" s="2" t="str">
        <x:v>sale</x:v>
      </x:c>
      <x:c r="G5738" s="11" t="n">
        <x:v>48</x:v>
      </x:c>
      <x:c r="H5738" s="12" t="n">
        <x:v>1945000000</x:v>
      </x:c>
      <x:c r="I5738" s="12" t="n">
        <x:v>40520833.333333336</x:v>
      </x:c>
      <x:c r="J5738" s="2" t="str">
        <x:v>total</x:v>
      </x:c>
      <x:c r="K5738" s="2" t="str">
        <x:v>top_level_area</x:v>
      </x:c>
      <x:c r="L5738" s="2" t="str">
        <x:v>property_type_inferred_from_title</x:v>
      </x:c>
      <x:c r="M5738" s="10" t="n">
        <x:v>0</x:v>
      </x:c>
      <x:c r="N5738" s="10" t="n">
        <x:v>0</x:v>
      </x:c>
      <x:c r="O5738" s="2" t="str">
        <x:v>Tp Hồ Chí Minh|house</x:v>
      </x:c>
      <x:c r="P5738" s="10" t="n">
        <x:v>2</x:v>
      </x:c>
      <x:c r="Q5738" s="13" t="n">
        <x:f>IF(H5738="","",H5738/1000000000)</x:f>
        <x:v>1.945</x:v>
      </x:c>
      <x:c r="R5738" s="13" t="n">
        <x:f>IF(I5738="","",I5738/1000000)</x:f>
        <x:v>40.520833333333336</x:v>
      </x:c>
    </x:row>
    <x:row r="5739" ht="21" customHeight="1">
      <x:c r="A5739" s="10" t="n">
        <x:v>7474</x:v>
      </x:c>
      <x:c r="B5739" s="2" t="str">
        <x:v>764a239e1b9c70ccb885</x:v>
      </x:c>
      <x:c r="C5739" s="2" t="str">
        <x:v>Hà Nội</x:v>
      </x:c>
      <x:c r="D5739" s="2" t="str">
        <x:v>Quận Cầu Giấy</x:v>
      </x:c>
      <x:c r="E5739" s="2" t="str">
        <x:v>other_unknown</x:v>
      </x:c>
      <x:c r="F5739" s="2" t="str">
        <x:v>sale</x:v>
      </x:c>
      <x:c r="G5739" s="11" t="n">
        <x:v>110</x:v>
      </x:c>
      <x:c r="H5739" s="12" t="n">
        <x:v>26500000000</x:v>
      </x:c>
      <x:c r="I5739" s="12" t="n">
        <x:v>240909090.9090909</x:v>
      </x:c>
      <x:c r="J5739" s="2" t="str">
        <x:v>total</x:v>
      </x:c>
      <x:c r="K5739" s="2" t="str">
        <x:v>top_level_area</x:v>
      </x:c>
      <x:c r="L5739" s="2" t="str">
        <x:v>property_type_inferred_from_title;unknown_property_type</x:v>
      </x:c>
      <x:c r="M5739" s="10" t="n">
        <x:v>1</x:v>
      </x:c>
      <x:c r="N5739" s="10" t="n">
        <x:v>1</x:v>
      </x:c>
      <x:c r="O5739" s="2" t="str">
        <x:v>Hà Nội|other_unknown</x:v>
      </x:c>
      <x:c r="P5739" s="10" t="n">
        <x:v>-1</x:v>
      </x:c>
      <x:c r="Q5739" s="13" t="n">
        <x:f>IF(H5739="","",H5739/1000000000)</x:f>
        <x:v>26.5</x:v>
      </x:c>
      <x:c r="R5739" s="13" t="n">
        <x:f>IF(I5739="","",I5739/1000000)</x:f>
        <x:v>240.9090909090909</x:v>
      </x:c>
    </x:row>
    <x:row r="5740" ht="21" customHeight="1">
      <x:c r="A5740" s="10" t="n">
        <x:v>7475</x:v>
      </x:c>
      <x:c r="B5740" s="2" t="str">
        <x:v>81477c0e508f5163c421</x:v>
      </x:c>
      <x:c r="C5740" s="2" t="str">
        <x:v>Tp Hồ Chí Minh</x:v>
      </x:c>
      <x:c r="D5740" s="2" t="str">
        <x:v>Quận Tân Phú</x:v>
      </x:c>
      <x:c r="E5740" s="2" t="str">
        <x:v>house</x:v>
      </x:c>
      <x:c r="F5740" s="2" t="str">
        <x:v>sale</x:v>
      </x:c>
      <x:c r="G5740" s="11" t="n">
        <x:v>33</x:v>
      </x:c>
      <x:c r="H5740" s="12" t="n">
        <x:v>4000000000</x:v>
      </x:c>
      <x:c r="I5740" s="12" t="n">
        <x:v>121212121.21212122</x:v>
      </x:c>
      <x:c r="J5740" s="2" t="str">
        <x:v>total</x:v>
      </x:c>
      <x:c r="K5740" s="2" t="str">
        <x:v>top_level_area</x:v>
      </x:c>
      <x:c r="L5740" s="2" t="str">
        <x:v>property_type_inferred_from_title</x:v>
      </x:c>
      <x:c r="M5740" s="10" t="n">
        <x:v>0</x:v>
      </x:c>
      <x:c r="N5740" s="10" t="n">
        <x:v>0</x:v>
      </x:c>
      <x:c r="O5740" s="2" t="str">
        <x:v>Tp Hồ Chí Minh|house</x:v>
      </x:c>
      <x:c r="P5740" s="10" t="n">
        <x:v>2</x:v>
      </x:c>
      <x:c r="Q5740" s="13" t="n">
        <x:f>IF(H5740="","",H5740/1000000000)</x:f>
        <x:v>4</x:v>
      </x:c>
      <x:c r="R5740" s="13" t="n">
        <x:f>IF(I5740="","",I5740/1000000)</x:f>
        <x:v>121.21212121212122</x:v>
      </x:c>
    </x:row>
    <x:row r="5741" ht="21" customHeight="1">
      <x:c r="A5741" s="10" t="n">
        <x:v>7476</x:v>
      </x:c>
      <x:c r="B5741" s="2" t="str">
        <x:v>06055f7250e3a346b617</x:v>
      </x:c>
      <x:c r="C5741" s="2" t="str">
        <x:v>Khánh Hòa</x:v>
      </x:c>
      <x:c r="D5741" s="2" t="str">
        <x:v>Thành phố Nha Trang</x:v>
      </x:c>
      <x:c r="E5741" s="2" t="str">
        <x:v>house</x:v>
      </x:c>
      <x:c r="F5741" s="2" t="str">
        <x:v>sale_assumed</x:v>
      </x:c>
      <x:c r="G5741" s="11" t="n">
        <x:v>80</x:v>
      </x:c>
      <x:c r="H5741" s="12" t="n">
        <x:v>2500000000</x:v>
      </x:c>
      <x:c r="I5741" s="12" t="n">
        <x:v>31250000</x:v>
      </x:c>
      <x:c r="J5741" s="2" t="str">
        <x:v>total</x:v>
      </x:c>
      <x:c r="K5741" s="2" t="str">
        <x:v>top_level_area</x:v>
      </x:c>
      <x:c r="L5741" s="2" t="str">
        <x:v>property_type_inferred_from_title;transaction_assumed_sale_from_dataset_context</x:v>
      </x:c>
      <x:c r="M5741" s="10" t="n">
        <x:v>0</x:v>
      </x:c>
      <x:c r="N5741" s="10" t="n">
        <x:v>0</x:v>
      </x:c>
      <x:c r="O5741" s="2" t="str">
        <x:v>Khánh Hòa|house</x:v>
      </x:c>
      <x:c r="P5741" s="10" t="n">
        <x:v>2</x:v>
      </x:c>
      <x:c r="Q5741" s="13" t="n">
        <x:f>IF(H5741="","",H5741/1000000000)</x:f>
        <x:v>2.5</x:v>
      </x:c>
      <x:c r="R5741" s="13" t="n">
        <x:f>IF(I5741="","",I5741/1000000)</x:f>
        <x:v>31.25</x:v>
      </x:c>
    </x:row>
    <x:row r="5742" ht="21" customHeight="1">
      <x:c r="A5742" s="10" t="n">
        <x:v>7477</x:v>
      </x:c>
      <x:c r="B5742" s="2" t="str">
        <x:v>c2e86b3baa42554185d9</x:v>
      </x:c>
      <x:c r="C5742" s="2" t="str">
        <x:v>Tp Hồ Chí Minh</x:v>
      </x:c>
      <x:c r="D5742" s="2" t="str">
        <x:v>Quận 7</x:v>
      </x:c>
      <x:c r="E5742" s="2" t="str">
        <x:v>house</x:v>
      </x:c>
      <x:c r="F5742" s="2" t="str">
        <x:v>sale</x:v>
      </x:c>
      <x:c r="G5742" s="11" t="n">
        <x:v>40</x:v>
      </x:c>
      <x:c r="H5742" s="12" t="n">
        <x:v>1400000000</x:v>
      </x:c>
      <x:c r="I5742" s="12" t="n">
        <x:v>35000000</x:v>
      </x:c>
      <x:c r="J5742" s="2" t="str">
        <x:v>total</x:v>
      </x:c>
      <x:c r="K5742" s="2" t="str">
        <x:v>top_level_area</x:v>
      </x:c>
      <x:c r="L5742" s="2" t="str">
        <x:v>property_type_inferred_from_title</x:v>
      </x:c>
      <x:c r="M5742" s="10" t="n">
        <x:v>0</x:v>
      </x:c>
      <x:c r="N5742" s="10" t="n">
        <x:v>0</x:v>
      </x:c>
      <x:c r="O5742" s="2" t="str">
        <x:v>Tp Hồ Chí Minh|house</x:v>
      </x:c>
      <x:c r="P5742" s="10" t="n">
        <x:v>2</x:v>
      </x:c>
      <x:c r="Q5742" s="13" t="n">
        <x:f>IF(H5742="","",H5742/1000000000)</x:f>
        <x:v>1.4</x:v>
      </x:c>
      <x:c r="R5742" s="13" t="n">
        <x:f>IF(I5742="","",I5742/1000000)</x:f>
        <x:v>35</x:v>
      </x:c>
    </x:row>
    <x:row r="5743" ht="21" customHeight="1">
      <x:c r="A5743" s="10" t="n">
        <x:v>7478</x:v>
      </x:c>
      <x:c r="B5743" s="2" t="str">
        <x:v>3f81ac81b5f844da689e</x:v>
      </x:c>
      <x:c r="C5743" s="2" t="str">
        <x:v>Tp Hồ Chí Minh</x:v>
      </x:c>
      <x:c r="D5743" s="2" t="str">
        <x:v>Quận 7</x:v>
      </x:c>
      <x:c r="E5743" s="2" t="str">
        <x:v>house</x:v>
      </x:c>
      <x:c r="F5743" s="2" t="str">
        <x:v>sale</x:v>
      </x:c>
      <x:c r="G5743" s="11" t="n">
        <x:v>36</x:v>
      </x:c>
      <x:c r="H5743" s="12" t="n">
        <x:v>1600000000</x:v>
      </x:c>
      <x:c r="I5743" s="12" t="n">
        <x:v>44444444.44444445</x:v>
      </x:c>
      <x:c r="J5743" s="2" t="str">
        <x:v>total</x:v>
      </x:c>
      <x:c r="K5743" s="2" t="str">
        <x:v>top_level_area</x:v>
      </x:c>
      <x:c r="L5743" s="2" t="str">
        <x:v>property_type_inferred_from_title</x:v>
      </x:c>
      <x:c r="M5743" s="10" t="n">
        <x:v>0</x:v>
      </x:c>
      <x:c r="N5743" s="10" t="n">
        <x:v>0</x:v>
      </x:c>
      <x:c r="O5743" s="2" t="str">
        <x:v>Tp Hồ Chí Minh|house</x:v>
      </x:c>
      <x:c r="P5743" s="10" t="n">
        <x:v>2</x:v>
      </x:c>
      <x:c r="Q5743" s="13" t="n">
        <x:f>IF(H5743="","",H5743/1000000000)</x:f>
        <x:v>1.6</x:v>
      </x:c>
      <x:c r="R5743" s="13" t="n">
        <x:f>IF(I5743="","",I5743/1000000)</x:f>
        <x:v>44.44444444444445</x:v>
      </x:c>
    </x:row>
    <x:row r="5744" ht="21" customHeight="1">
      <x:c r="A5744" s="10" t="n">
        <x:v>7479</x:v>
      </x:c>
      <x:c r="B5744" s="2" t="str">
        <x:v>53fd462523589573267d</x:v>
      </x:c>
      <x:c r="C5744" s="2" t="str">
        <x:v>Tp Hồ Chí Minh</x:v>
      </x:c>
      <x:c r="D5744" s="2" t="str">
        <x:v>Quận Tân Bình</x:v>
      </x:c>
      <x:c r="E5744" s="2" t="str">
        <x:v>house</x:v>
      </x:c>
      <x:c r="F5744" s="2" t="str">
        <x:v>sale</x:v>
      </x:c>
      <x:c r="G5744" s="11" t="n">
        <x:v>42</x:v>
      </x:c>
      <x:c r="H5744" s="12" t="n">
        <x:v>8600000000</x:v>
      </x:c>
      <x:c r="I5744" s="12" t="n">
        <x:v>204761904.76190478</x:v>
      </x:c>
      <x:c r="J5744" s="2" t="str">
        <x:v>total</x:v>
      </x:c>
      <x:c r="K5744" s="2" t="str">
        <x:v>top_level_area</x:v>
      </x:c>
      <x:c r="L5744" s="2" t="str">
        <x:v>property_type_inferred_from_title</x:v>
      </x:c>
      <x:c r="M5744" s="10" t="n">
        <x:v>1</x:v>
      </x:c>
      <x:c r="N5744" s="10" t="n">
        <x:v>1</x:v>
      </x:c>
      <x:c r="O5744" s="2" t="str">
        <x:v>Tp Hồ Chí Minh|house</x:v>
      </x:c>
      <x:c r="P5744" s="10" t="n">
        <x:v>-1</x:v>
      </x:c>
      <x:c r="Q5744" s="13" t="n">
        <x:f>IF(H5744="","",H5744/1000000000)</x:f>
        <x:v>8.6</x:v>
      </x:c>
      <x:c r="R5744" s="13" t="n">
        <x:f>IF(I5744="","",I5744/1000000)</x:f>
        <x:v>204.7619047619048</x:v>
      </x:c>
    </x:row>
    <x:row r="5745" ht="21" customHeight="1">
      <x:c r="A5745" s="10" t="n">
        <x:v>7480</x:v>
      </x:c>
      <x:c r="B5745" s="2" t="str">
        <x:v>93f102f6718cba84c28c</x:v>
      </x:c>
      <x:c r="C5745" s="2" t="str">
        <x:v>Tp Hồ Chí Minh</x:v>
      </x:c>
      <x:c r="D5745" s="2" t="str">
        <x:v>Quận Bình Thạnh</x:v>
      </x:c>
      <x:c r="E5745" s="2" t="str">
        <x:v>apartment</x:v>
      </x:c>
      <x:c r="F5745" s="2" t="str">
        <x:v>sale_assumed</x:v>
      </x:c>
      <x:c r="G5745" s="11" t="n">
        <x:v>65</x:v>
      </x:c>
      <x:c r="H5745" s="12" t="n">
        <x:v>1800000000</x:v>
      </x:c>
      <x:c r="I5745" s="12" t="n">
        <x:v>27692307.692307692</x:v>
      </x:c>
      <x:c r="J5745" s="2" t="str">
        <x:v>total</x:v>
      </x:c>
      <x:c r="K5745" s="2" t="str">
        <x:v>top_level_area</x:v>
      </x:c>
      <x:c r="L5745" s="2" t="str">
        <x:v>property_type_inferred_from_title;transaction_assumed_sale_from_dataset_context</x:v>
      </x:c>
      <x:c r="M5745" s="10" t="n">
        <x:v>0</x:v>
      </x:c>
      <x:c r="N5745" s="10" t="n">
        <x:v>0</x:v>
      </x:c>
      <x:c r="O5745" s="2" t="str">
        <x:v>Tp Hồ Chí Minh|apartment</x:v>
      </x:c>
      <x:c r="P5745" s="10" t="n">
        <x:v>2</x:v>
      </x:c>
      <x:c r="Q5745" s="13" t="n">
        <x:f>IF(H5745="","",H5745/1000000000)</x:f>
        <x:v>1.8</x:v>
      </x:c>
      <x:c r="R5745" s="13" t="n">
        <x:f>IF(I5745="","",I5745/1000000)</x:f>
        <x:v>27.692307692307693</x:v>
      </x:c>
    </x:row>
    <x:row r="5746" ht="21" customHeight="1">
      <x:c r="A5746" s="10" t="n">
        <x:v>7481</x:v>
      </x:c>
      <x:c r="B5746" s="2" t="str">
        <x:v>a1f14826528565d77367</x:v>
      </x:c>
      <x:c r="C5746" s="2" t="str">
        <x:v>Tp Hồ Chí Minh</x:v>
      </x:c>
      <x:c r="D5746" s="2" t="str">
        <x:v>Quận 9</x:v>
      </x:c>
      <x:c r="E5746" s="2" t="str">
        <x:v>other_unknown</x:v>
      </x:c>
      <x:c r="F5746" s="2" t="str">
        <x:v>sale</x:v>
      </x:c>
      <x:c r="G5746" s="11" t="n">
        <x:v>59</x:v>
      </x:c>
      <x:c r="H5746" s="12" t="n">
        <x:v>1980000000</x:v>
      </x:c>
      <x:c r="I5746" s="12" t="n">
        <x:v>33559322.0338983</x:v>
      </x:c>
      <x:c r="J5746" s="2" t="str">
        <x:v>total</x:v>
      </x:c>
      <x:c r="K5746" s="2" t="str">
        <x:v>top_level_area</x:v>
      </x:c>
      <x:c r="L5746" s="2" t="str">
        <x:v>property_type_inferred_from_title;unknown_property_type</x:v>
      </x:c>
      <x:c r="M5746" s="10" t="n">
        <x:v>0</x:v>
      </x:c>
      <x:c r="N5746" s="10" t="n">
        <x:v>0</x:v>
      </x:c>
      <x:c r="O5746" s="2" t="str">
        <x:v>Tp Hồ Chí Minh|other_unknown</x:v>
      </x:c>
      <x:c r="P5746" s="10" t="n">
        <x:v>2</x:v>
      </x:c>
      <x:c r="Q5746" s="13" t="n">
        <x:f>IF(H5746="","",H5746/1000000000)</x:f>
        <x:v>1.98</x:v>
      </x:c>
      <x:c r="R5746" s="13" t="n">
        <x:f>IF(I5746="","",I5746/1000000)</x:f>
        <x:v>33.559322033898304</x:v>
      </x:c>
    </x:row>
    <x:row r="5747" ht="21" customHeight="1">
      <x:c r="A5747" s="10" t="n">
        <x:v>7482</x:v>
      </x:c>
      <x:c r="B5747" s="2" t="str">
        <x:v>b8cf052452ece991b271</x:v>
      </x:c>
      <x:c r="C5747" s="2" t="str">
        <x:v>Đà Nẵng</x:v>
      </x:c>
      <x:c r="D5747" s="2" t="str">
        <x:v>Quận Ngũ Hành Sơn</x:v>
      </x:c>
      <x:c r="E5747" s="2" t="str">
        <x:v>land</x:v>
      </x:c>
      <x:c r="F5747" s="2" t="str">
        <x:v>sale</x:v>
      </x:c>
      <x:c r="G5747" s="11" t="n">
        <x:v>100</x:v>
      </x:c>
      <x:c r="H5747" s="12" t="n">
        <x:v>2100000000</x:v>
      </x:c>
      <x:c r="I5747" s="12" t="n">
        <x:v>21000000</x:v>
      </x:c>
      <x:c r="J5747" s="2" t="str">
        <x:v>total</x:v>
      </x:c>
      <x:c r="K5747" s="2" t="str">
        <x:v>top_level_area</x:v>
      </x:c>
      <x:c r="L5747" s="2" t="str">
        <x:v>property_type_inferred_from_title</x:v>
      </x:c>
      <x:c r="M5747" s="10" t="n">
        <x:v>0</x:v>
      </x:c>
      <x:c r="N5747" s="10" t="n">
        <x:v>0</x:v>
      </x:c>
      <x:c r="O5747" s="2" t="str">
        <x:v>Đà Nẵng|land</x:v>
      </x:c>
      <x:c r="P5747" s="10" t="n">
        <x:v>2</x:v>
      </x:c>
      <x:c r="Q5747" s="13" t="n">
        <x:f>IF(H5747="","",H5747/1000000000)</x:f>
        <x:v>2.1</x:v>
      </x:c>
      <x:c r="R5747" s="13" t="n">
        <x:f>IF(I5747="","",I5747/1000000)</x:f>
        <x:v>21</x:v>
      </x:c>
    </x:row>
    <x:row r="5748" ht="21" customHeight="1">
      <x:c r="A5748" s="10" t="n">
        <x:v>7483</x:v>
      </x:c>
      <x:c r="B5748" s="2" t="str">
        <x:v>e85f1907beedd24e3de5</x:v>
      </x:c>
      <x:c r="C5748" s="2" t="str">
        <x:v>Tp Hồ Chí Minh</x:v>
      </x:c>
      <x:c r="D5748" s="2" t="str">
        <x:v>Quận Tân Phú</x:v>
      </x:c>
      <x:c r="E5748" s="2" t="str">
        <x:v>house</x:v>
      </x:c>
      <x:c r="F5748" s="2" t="str">
        <x:v>sale</x:v>
      </x:c>
      <x:c r="G5748" s="11" t="n">
        <x:v>30</x:v>
      </x:c>
      <x:c r="H5748" s="12" t="n">
        <x:v>1680000000</x:v>
      </x:c>
      <x:c r="I5748" s="12" t="n">
        <x:v>56000000</x:v>
      </x:c>
      <x:c r="J5748" s="2" t="str">
        <x:v>total</x:v>
      </x:c>
      <x:c r="K5748" s="2" t="str">
        <x:v>top_level_area</x:v>
      </x:c>
      <x:c r="L5748" s="2" t="str">
        <x:v>property_type_inferred_from_title</x:v>
      </x:c>
      <x:c r="M5748" s="10" t="n">
        <x:v>0</x:v>
      </x:c>
      <x:c r="N5748" s="10" t="n">
        <x:v>0</x:v>
      </x:c>
      <x:c r="O5748" s="2" t="str">
        <x:v>Tp Hồ Chí Minh|house</x:v>
      </x:c>
      <x:c r="P5748" s="10" t="n">
        <x:v>2</x:v>
      </x:c>
      <x:c r="Q5748" s="13" t="n">
        <x:f>IF(H5748="","",H5748/1000000000)</x:f>
        <x:v>1.68</x:v>
      </x:c>
      <x:c r="R5748" s="13" t="n">
        <x:f>IF(I5748="","",I5748/1000000)</x:f>
        <x:v>56</x:v>
      </x:c>
    </x:row>
    <x:row r="5749" ht="21" customHeight="1">
      <x:c r="A5749" s="10" t="n">
        <x:v>7484</x:v>
      </x:c>
      <x:c r="B5749" s="2" t="str">
        <x:v>8ae3aa2e3b4b42fad460</x:v>
      </x:c>
      <x:c r="C5749" s="2" t="str">
        <x:v>Tp Hồ Chí Minh</x:v>
      </x:c>
      <x:c r="D5749" s="2" t="str">
        <x:v>Quận 12</x:v>
      </x:c>
      <x:c r="E5749" s="2" t="str">
        <x:v>apartment</x:v>
      </x:c>
      <x:c r="F5749" s="2" t="str">
        <x:v>sale</x:v>
      </x:c>
      <x:c r="G5749" s="11" t="n">
        <x:v>66</x:v>
      </x:c>
      <x:c r="H5749" s="12" t="n">
        <x:v>1650000000</x:v>
      </x:c>
      <x:c r="I5749" s="12" t="n">
        <x:v>25000000</x:v>
      </x:c>
      <x:c r="J5749" s="2" t="str">
        <x:v>total</x:v>
      </x:c>
      <x:c r="K5749" s="2" t="str">
        <x:v>top_level_area</x:v>
      </x:c>
      <x:c r="L5749" s="2" t="str">
        <x:v>property_type_inferred_from_title</x:v>
      </x:c>
      <x:c r="M5749" s="10" t="n">
        <x:v>0</x:v>
      </x:c>
      <x:c r="N5749" s="10" t="n">
        <x:v>0</x:v>
      </x:c>
      <x:c r="O5749" s="2" t="str">
        <x:v>Tp Hồ Chí Minh|apartment</x:v>
      </x:c>
      <x:c r="P5749" s="10" t="n">
        <x:v>2</x:v>
      </x:c>
      <x:c r="Q5749" s="13" t="n">
        <x:f>IF(H5749="","",H5749/1000000000)</x:f>
        <x:v>1.65</x:v>
      </x:c>
      <x:c r="R5749" s="13" t="n">
        <x:f>IF(I5749="","",I5749/1000000)</x:f>
        <x:v>25</x:v>
      </x:c>
    </x:row>
    <x:row r="5750" ht="21" customHeight="1">
      <x:c r="A5750" s="10" t="n">
        <x:v>7485</x:v>
      </x:c>
      <x:c r="B5750" s="2" t="str">
        <x:v>c67279269887f24865a1</x:v>
      </x:c>
      <x:c r="C5750" s="2" t="str">
        <x:v>Đồng Nai</x:v>
      </x:c>
      <x:c r="D5750" s="2" t="str">
        <x:v>Huyện Trảng Bom</x:v>
      </x:c>
      <x:c r="E5750" s="2" t="str">
        <x:v>land</x:v>
      </x:c>
      <x:c r="F5750" s="2" t="str">
        <x:v>sale_assumed</x:v>
      </x:c>
      <x:c r="G5750" s="11" t="n">
        <x:v>75</x:v>
      </x:c>
      <x:c r="H5750" s="12" t="n">
        <x:v>570000000</x:v>
      </x:c>
      <x:c r="I5750" s="12" t="n">
        <x:v>7600000</x:v>
      </x:c>
      <x:c r="J5750" s="2" t="str">
        <x:v>total</x:v>
      </x:c>
      <x:c r="K5750" s="2" t="str">
        <x:v>top_level_area</x:v>
      </x:c>
      <x:c r="L5750" s="2" t="str">
        <x:v>property_type_inferred_from_title;transaction_assumed_sale_from_dataset_context</x:v>
      </x:c>
      <x:c r="M5750" s="10" t="n">
        <x:v>0</x:v>
      </x:c>
      <x:c r="N5750" s="10" t="n">
        <x:v>0</x:v>
      </x:c>
      <x:c r="O5750" s="2" t="str">
        <x:v>Đồng Nai|land</x:v>
      </x:c>
      <x:c r="P5750" s="10" t="n">
        <x:v>2</x:v>
      </x:c>
      <x:c r="Q5750" s="13" t="n">
        <x:f>IF(H5750="","",H5750/1000000000)</x:f>
        <x:v>0.57</x:v>
      </x:c>
      <x:c r="R5750" s="13" t="n">
        <x:f>IF(I5750="","",I5750/1000000)</x:f>
        <x:v>7.6</x:v>
      </x:c>
    </x:row>
    <x:row r="5751" ht="21" customHeight="1">
      <x:c r="A5751" s="10" t="n">
        <x:v>7486</x:v>
      </x:c>
      <x:c r="B5751" s="2" t="str">
        <x:v>dad6d0c86e928ce3ed19</x:v>
      </x:c>
      <x:c r="C5751" s="2" t="str">
        <x:v>Đà Nẵng</x:v>
      </x:c>
      <x:c r="D5751" s="2" t="str">
        <x:v>Quận Ngũ Hành Sơn</x:v>
      </x:c>
      <x:c r="E5751" s="2" t="str">
        <x:v>land</x:v>
      </x:c>
      <x:c r="F5751" s="2" t="str">
        <x:v>sale</x:v>
      </x:c>
      <x:c r="G5751" s="11" t="n">
        <x:v>109</x:v>
      </x:c>
      <x:c r="H5751" s="12" t="n">
        <x:v>1900000000</x:v>
      </x:c>
      <x:c r="I5751" s="12" t="n">
        <x:v>17431192.66055046</x:v>
      </x:c>
      <x:c r="J5751" s="2" t="str">
        <x:v>total</x:v>
      </x:c>
      <x:c r="K5751" s="2" t="str">
        <x:v>top_level_area</x:v>
      </x:c>
      <x:c r="L5751" s="2" t="str">
        <x:v>property_type_inferred_from_title</x:v>
      </x:c>
      <x:c r="M5751" s="10" t="n">
        <x:v>0</x:v>
      </x:c>
      <x:c r="N5751" s="10" t="n">
        <x:v>0</x:v>
      </x:c>
      <x:c r="O5751" s="2" t="str">
        <x:v>Đà Nẵng|land</x:v>
      </x:c>
      <x:c r="P5751" s="10" t="n">
        <x:v>2</x:v>
      </x:c>
      <x:c r="Q5751" s="13" t="n">
        <x:f>IF(H5751="","",H5751/1000000000)</x:f>
        <x:v>1.9</x:v>
      </x:c>
      <x:c r="R5751" s="13" t="n">
        <x:f>IF(I5751="","",I5751/1000000)</x:f>
        <x:v>17.43119266055046</x:v>
      </x:c>
    </x:row>
    <x:row r="5752" ht="21" customHeight="1">
      <x:c r="A5752" s="10" t="n">
        <x:v>7487</x:v>
      </x:c>
      <x:c r="B5752" s="2" t="str">
        <x:v>ab0ccbf674fb88c48bb9</x:v>
      </x:c>
      <x:c r="C5752" s="2" t="str">
        <x:v>Đà Nẵng</x:v>
      </x:c>
      <x:c r="D5752" s="2" t="str">
        <x:v>Quận Liên Chiểu</x:v>
      </x:c>
      <x:c r="E5752" s="2" t="str">
        <x:v>other_unknown</x:v>
      </x:c>
      <x:c r="F5752" s="2" t="str">
        <x:v>sale_assumed</x:v>
      </x:c>
      <x:c r="G5752" s="11" t="n">
        <x:v>7273</x:v>
      </x:c>
      <x:c r="H5752" s="12" t="n">
        <x:v>2250000000</x:v>
      </x:c>
      <x:c r="I5752" s="12" t="n">
        <x:v>309363.39887254225</x:v>
      </x:c>
      <x:c r="J5752" s="2" t="str">
        <x:v>total</x:v>
      </x:c>
      <x:c r="K5752" s="2" t="str">
        <x:v>top_level_area</x:v>
      </x:c>
      <x:c r="L5752" s="2" t="str">
        <x:v>dot_thousands_convention;property_type_inferred_from_title;transaction_assumed_sale_from_dataset_context;unknown_property_type</x:v>
      </x:c>
      <x:c r="M5752" s="10" t="n">
        <x:v>0</x:v>
      </x:c>
      <x:c r="N5752" s="10" t="n">
        <x:v>0</x:v>
      </x:c>
      <x:c r="O5752" s="2" t="str">
        <x:v>Đà Nẵng|other_unknown</x:v>
      </x:c>
      <x:c r="P5752" s="10" t="n">
        <x:v>1</x:v>
      </x:c>
      <x:c r="Q5752" s="13" t="n">
        <x:f>IF(H5752="","",H5752/1000000000)</x:f>
        <x:v>2.25</x:v>
      </x:c>
      <x:c r="R5752" s="13" t="n">
        <x:f>IF(I5752="","",I5752/1000000)</x:f>
        <x:v>0.3093633988725423</x:v>
      </x:c>
    </x:row>
    <x:row r="5753" ht="21" customHeight="1">
      <x:c r="A5753" s="10" t="n">
        <x:v>7488</x:v>
      </x:c>
      <x:c r="B5753" s="2" t="str">
        <x:v>47ade259b3b6735a3125</x:v>
      </x:c>
      <x:c r="C5753" s="2" t="str">
        <x:v>Tp Hồ Chí Minh</x:v>
      </x:c>
      <x:c r="D5753" s="2" t="str">
        <x:v>Quận Tân Bình</x:v>
      </x:c>
      <x:c r="E5753" s="2" t="str">
        <x:v>house</x:v>
      </x:c>
      <x:c r="F5753" s="2" t="str">
        <x:v>sale</x:v>
      </x:c>
      <x:c r="G5753" s="11" t="n">
        <x:v>18</x:v>
      </x:c>
      <x:c r="H5753" s="12" t="n">
        <x:v>1300000000</x:v>
      </x:c>
      <x:c r="I5753" s="12" t="n">
        <x:v>72222222.22222222</x:v>
      </x:c>
      <x:c r="J5753" s="2" t="str">
        <x:v>total</x:v>
      </x:c>
      <x:c r="K5753" s="2" t="str">
        <x:v>top_level_area</x:v>
      </x:c>
      <x:c r="L5753" s="2" t="str">
        <x:v>property_type_inferred_from_title</x:v>
      </x:c>
      <x:c r="M5753" s="10" t="n">
        <x:v>0</x:v>
      </x:c>
      <x:c r="N5753" s="10" t="n">
        <x:v>0</x:v>
      </x:c>
      <x:c r="O5753" s="2" t="str">
        <x:v>Tp Hồ Chí Minh|house</x:v>
      </x:c>
      <x:c r="P5753" s="10" t="n">
        <x:v>2</x:v>
      </x:c>
      <x:c r="Q5753" s="13" t="n">
        <x:f>IF(H5753="","",H5753/1000000000)</x:f>
        <x:v>1.3</x:v>
      </x:c>
      <x:c r="R5753" s="13" t="n">
        <x:f>IF(I5753="","",I5753/1000000)</x:f>
        <x:v>72.22222222222223</x:v>
      </x:c>
    </x:row>
    <x:row r="5754" ht="21" customHeight="1">
      <x:c r="A5754" s="10" t="n">
        <x:v>7489</x:v>
      </x:c>
      <x:c r="B5754" s="2" t="str">
        <x:v>735d0716b998c0bd20d1</x:v>
      </x:c>
      <x:c r="C5754" s="2" t="str">
        <x:v>Tp Hồ Chí Minh</x:v>
      </x:c>
      <x:c r="D5754" s="2" t="str">
        <x:v>Quận 4</x:v>
      </x:c>
      <x:c r="E5754" s="2" t="str">
        <x:v>house</x:v>
      </x:c>
      <x:c r="F5754" s="2" t="str">
        <x:v>sale_assumed</x:v>
      </x:c>
      <x:c r="G5754" s="11" t="n">
        <x:v>35</x:v>
      </x:c>
      <x:c r="H5754" s="12" t="n">
        <x:v>1550000000</x:v>
      </x:c>
      <x:c r="I5754" s="12" t="n">
        <x:v>44285714.28571428</x:v>
      </x:c>
      <x:c r="J5754" s="2" t="str">
        <x:v>total</x:v>
      </x:c>
      <x:c r="K5754" s="2" t="str">
        <x:v>top_level_area</x:v>
      </x:c>
      <x:c r="L5754" s="2" t="str">
        <x:v>property_type_inferred_from_title;transaction_assumed_sale_from_dataset_context</x:v>
      </x:c>
      <x:c r="M5754" s="10" t="n">
        <x:v>0</x:v>
      </x:c>
      <x:c r="N5754" s="10" t="n">
        <x:v>0</x:v>
      </x:c>
      <x:c r="O5754" s="2" t="str">
        <x:v>Tp Hồ Chí Minh|house</x:v>
      </x:c>
      <x:c r="P5754" s="10" t="n">
        <x:v>2</x:v>
      </x:c>
      <x:c r="Q5754" s="13" t="n">
        <x:f>IF(H5754="","",H5754/1000000000)</x:f>
        <x:v>1.55</x:v>
      </x:c>
      <x:c r="R5754" s="13" t="n">
        <x:f>IF(I5754="","",I5754/1000000)</x:f>
        <x:v>44.285714285714285</x:v>
      </x:c>
    </x:row>
    <x:row r="5755" ht="21" customHeight="1">
      <x:c r="A5755" s="10" t="n">
        <x:v>7490</x:v>
      </x:c>
      <x:c r="B5755" s="2" t="str">
        <x:v>22a90849322da3722559</x:v>
      </x:c>
      <x:c r="C5755" s="2" t="str">
        <x:v>Tp Hồ Chí Minh</x:v>
      </x:c>
      <x:c r="D5755" s="2" t="str">
        <x:v>Quận Bình Tân</x:v>
      </x:c>
      <x:c r="E5755" s="2" t="str">
        <x:v>apartment</x:v>
      </x:c>
      <x:c r="F5755" s="2" t="str">
        <x:v>sale_assumed</x:v>
      </x:c>
      <x:c r="G5755" s="11" t="n">
        <x:v>63</x:v>
      </x:c>
      <x:c r="H5755" s="12" t="n">
        <x:v>2300000000</x:v>
      </x:c>
      <x:c r="I5755" s="12" t="n">
        <x:v>36507936.50793651</x:v>
      </x:c>
      <x:c r="J5755" s="2" t="str">
        <x:v>total</x:v>
      </x:c>
      <x:c r="K5755" s="2" t="str">
        <x:v>top_level_area</x:v>
      </x:c>
      <x:c r="L5755" s="2" t="str">
        <x:v>property_type_inferred_from_title;transaction_assumed_sale_from_dataset_context</x:v>
      </x:c>
      <x:c r="M5755" s="10" t="n">
        <x:v>0</x:v>
      </x:c>
      <x:c r="N5755" s="10" t="n">
        <x:v>0</x:v>
      </x:c>
      <x:c r="O5755" s="2" t="str">
        <x:v>Tp Hồ Chí Minh|apartment</x:v>
      </x:c>
      <x:c r="P5755" s="10" t="n">
        <x:v>2</x:v>
      </x:c>
      <x:c r="Q5755" s="13" t="n">
        <x:f>IF(H5755="","",H5755/1000000000)</x:f>
        <x:v>2.3</x:v>
      </x:c>
      <x:c r="R5755" s="13" t="n">
        <x:f>IF(I5755="","",I5755/1000000)</x:f>
        <x:v>36.507936507936506</x:v>
      </x:c>
    </x:row>
    <x:row r="5756" ht="21" customHeight="1">
      <x:c r="A5756" s="10" t="n">
        <x:v>7494</x:v>
      </x:c>
      <x:c r="B5756" s="2" t="str">
        <x:v>6a746ab4c8368ca5d0d7</x:v>
      </x:c>
      <x:c r="C5756" s="2" t="str">
        <x:v>Tp Hồ Chí Minh</x:v>
      </x:c>
      <x:c r="D5756" s="2" t="str">
        <x:v>Quận 11</x:v>
      </x:c>
      <x:c r="E5756" s="2" t="str">
        <x:v>house</x:v>
      </x:c>
      <x:c r="F5756" s="2" t="str">
        <x:v>sale_assumed</x:v>
      </x:c>
      <x:c r="G5756" s="11" t="n">
        <x:v>63</x:v>
      </x:c>
      <x:c r="H5756" s="12" t="n">
        <x:v>3950000000</x:v>
      </x:c>
      <x:c r="I5756" s="12" t="n">
        <x:v>62698412.6984127</x:v>
      </x:c>
      <x:c r="J5756" s="2" t="str">
        <x:v>total</x:v>
      </x:c>
      <x:c r="K5756" s="2" t="str">
        <x:v>top_level_area</x:v>
      </x:c>
      <x:c r="L5756" s="2" t="str">
        <x:v>property_type_inferred_from_title;transaction_assumed_sale_from_dataset_context</x:v>
      </x:c>
      <x:c r="M5756" s="10" t="n">
        <x:v>0</x:v>
      </x:c>
      <x:c r="N5756" s="10" t="n">
        <x:v>0</x:v>
      </x:c>
      <x:c r="O5756" s="2" t="str">
        <x:v>Tp Hồ Chí Minh|house</x:v>
      </x:c>
      <x:c r="P5756" s="10" t="n">
        <x:v>2</x:v>
      </x:c>
      <x:c r="Q5756" s="13" t="n">
        <x:f>IF(H5756="","",H5756/1000000000)</x:f>
        <x:v>3.95</x:v>
      </x:c>
      <x:c r="R5756" s="13" t="n">
        <x:f>IF(I5756="","",I5756/1000000)</x:f>
        <x:v>62.6984126984127</x:v>
      </x:c>
    </x:row>
    <x:row r="5757" ht="21" customHeight="1">
      <x:c r="A5757" s="10" t="n">
        <x:v>7495</x:v>
      </x:c>
      <x:c r="B5757" s="2" t="str">
        <x:v>c730621dd6ad507a7aa2</x:v>
      </x:c>
      <x:c r="C5757" s="2" t="str">
        <x:v>Tp Hồ Chí Minh</x:v>
      </x:c>
      <x:c r="D5757" s="2" t="str">
        <x:v>Quận 2</x:v>
      </x:c>
      <x:c r="E5757" s="2" t="str">
        <x:v>apartment</x:v>
      </x:c>
      <x:c r="F5757" s="2" t="str">
        <x:v>sale_assumed</x:v>
      </x:c>
      <x:c r="G5757" s="11" t="n">
        <x:v>65</x:v>
      </x:c>
      <x:c r="H5757" s="12" t="n">
        <x:v>3750000000</x:v>
      </x:c>
      <x:c r="I5757" s="12" t="n">
        <x:v>57692307.692307696</x:v>
      </x:c>
      <x:c r="J5757" s="2" t="str">
        <x:v>total</x:v>
      </x:c>
      <x:c r="K5757" s="2" t="str">
        <x:v>top_level_area</x:v>
      </x:c>
      <x:c r="L5757" s="2" t="str">
        <x:v>property_type_inferred_from_title;transaction_assumed_sale_from_dataset_context</x:v>
      </x:c>
      <x:c r="M5757" s="10" t="n">
        <x:v>0</x:v>
      </x:c>
      <x:c r="N5757" s="10" t="n">
        <x:v>0</x:v>
      </x:c>
      <x:c r="O5757" s="2" t="str">
        <x:v>Tp Hồ Chí Minh|apartment</x:v>
      </x:c>
      <x:c r="P5757" s="10" t="n">
        <x:v>2</x:v>
      </x:c>
      <x:c r="Q5757" s="13" t="n">
        <x:f>IF(H5757="","",H5757/1000000000)</x:f>
        <x:v>3.75</x:v>
      </x:c>
      <x:c r="R5757" s="13" t="n">
        <x:f>IF(I5757="","",I5757/1000000)</x:f>
        <x:v>57.69230769230769</x:v>
      </x:c>
    </x:row>
    <x:row r="5758" ht="21" customHeight="1">
      <x:c r="A5758" s="10" t="n">
        <x:v>7496</x:v>
      </x:c>
      <x:c r="B5758" s="2" t="str">
        <x:v>5c3ec55a8b01afe19808</x:v>
      </x:c>
      <x:c r="C5758" s="2" t="str">
        <x:v>Tp Hồ Chí Minh</x:v>
      </x:c>
      <x:c r="D5758" s="2" t="str">
        <x:v>Quận Thủ Đức</x:v>
      </x:c>
      <x:c r="E5758" s="2" t="str">
        <x:v>land</x:v>
      </x:c>
      <x:c r="F5758" s="2" t="str">
        <x:v>sale</x:v>
      </x:c>
      <x:c r="G5758" s="11" t="n">
        <x:v>102</x:v>
      </x:c>
      <x:c r="H5758" s="12" t="n">
        <x:v>5000000000</x:v>
      </x:c>
      <x:c r="I5758" s="12" t="n">
        <x:v>49019607.84313726</x:v>
      </x:c>
      <x:c r="J5758" s="2" t="str">
        <x:v>total</x:v>
      </x:c>
      <x:c r="K5758" s="2" t="str">
        <x:v>top_level_area</x:v>
      </x:c>
      <x:c r="L5758" s="2" t="str">
        <x:v>property_type_inferred_from_title</x:v>
      </x:c>
      <x:c r="M5758" s="10" t="n">
        <x:v>0</x:v>
      </x:c>
      <x:c r="N5758" s="10" t="n">
        <x:v>0</x:v>
      </x:c>
      <x:c r="O5758" s="2" t="str">
        <x:v>Tp Hồ Chí Minh|land</x:v>
      </x:c>
      <x:c r="P5758" s="10" t="n">
        <x:v>2</x:v>
      </x:c>
      <x:c r="Q5758" s="13" t="n">
        <x:f>IF(H5758="","",H5758/1000000000)</x:f>
        <x:v>5</x:v>
      </x:c>
      <x:c r="R5758" s="13" t="n">
        <x:f>IF(I5758="","",I5758/1000000)</x:f>
        <x:v>49.01960784313726</x:v>
      </x:c>
    </x:row>
    <x:row r="5759" ht="21" customHeight="1">
      <x:c r="A5759" s="10" t="n">
        <x:v>7497</x:v>
      </x:c>
      <x:c r="B5759" s="2" t="str">
        <x:v>c624e7bf8469c9d66a8f</x:v>
      </x:c>
      <x:c r="C5759" s="2" t="str">
        <x:v>Bình Dương</x:v>
      </x:c>
      <x:c r="D5759" s="2" t="str">
        <x:v>Huyện Bàu Bàng</x:v>
      </x:c>
      <x:c r="E5759" s="2" t="str">
        <x:v>other_unknown</x:v>
      </x:c>
      <x:c r="F5759" s="2" t="str">
        <x:v>sale_with_rental_income</x:v>
      </x:c>
      <x:c r="G5759" s="11" t="n">
        <x:v>150</x:v>
      </x:c>
      <x:c r="H5759" s="12" t="n">
        <x:v>900000000</x:v>
      </x:c>
      <x:c r="I5759" s="12" t="n">
        <x:v>6000000</x:v>
      </x:c>
      <x:c r="J5759" s="2" t="str">
        <x:v>total</x:v>
      </x:c>
      <x:c r="K5759" s="2" t="str">
        <x:v>top_level_area</x:v>
      </x:c>
      <x:c r="L5759" s="2" t="str">
        <x:v>property_type_inferred_from_title;rental_income_mentioned;unknown_property_type</x:v>
      </x:c>
      <x:c r="M5759" s="10" t="n">
        <x:v>0</x:v>
      </x:c>
      <x:c r="N5759" s="10" t="n">
        <x:v>0</x:v>
      </x:c>
      <x:c r="O5759" s="2" t="str">
        <x:v>Bình Dương|other_unknown</x:v>
      </x:c>
      <x:c r="P5759" s="10" t="n">
        <x:v>2</x:v>
      </x:c>
      <x:c r="Q5759" s="13" t="n">
        <x:f>IF(H5759="","",H5759/1000000000)</x:f>
        <x:v>0.9</x:v>
      </x:c>
      <x:c r="R5759" s="13" t="n">
        <x:f>IF(I5759="","",I5759/1000000)</x:f>
        <x:v>6</x:v>
      </x:c>
    </x:row>
    <x:row r="5760" ht="21" customHeight="1">
      <x:c r="A5760" s="10" t="n">
        <x:v>7498</x:v>
      </x:c>
      <x:c r="B5760" s="2" t="str">
        <x:v>bb0c28986665f40f578b</x:v>
      </x:c>
      <x:c r="C5760" s="2" t="str">
        <x:v>Hà Nội</x:v>
      </x:c>
      <x:c r="D5760" s="2" t="str">
        <x:v>Quận Hà Đông</x:v>
      </x:c>
      <x:c r="E5760" s="2" t="str">
        <x:v>house</x:v>
      </x:c>
      <x:c r="F5760" s="2" t="str">
        <x:v>sale_assumed</x:v>
      </x:c>
      <x:c r="G5760" s="11" t="n">
        <x:v>55</x:v>
      </x:c>
      <x:c r="H5760" s="12" t="n">
        <x:v>6200000000</x:v>
      </x:c>
      <x:c r="I5760" s="12" t="n">
        <x:v>112727272.72727273</x:v>
      </x:c>
      <x:c r="J5760" s="2" t="str">
        <x:v>total</x:v>
      </x:c>
      <x:c r="K5760" s="2" t="str">
        <x:v>top_level_area</x:v>
      </x:c>
      <x:c r="L5760" s="2" t="str">
        <x:v>property_type_inferred_from_title;transaction_assumed_sale_from_dataset_context</x:v>
      </x:c>
      <x:c r="M5760" s="10" t="n">
        <x:v>0</x:v>
      </x:c>
      <x:c r="N5760" s="10" t="n">
        <x:v>0</x:v>
      </x:c>
      <x:c r="O5760" s="2" t="str">
        <x:v>Hà Nội|house</x:v>
      </x:c>
      <x:c r="P5760" s="10" t="n">
        <x:v>2</x:v>
      </x:c>
      <x:c r="Q5760" s="13" t="n">
        <x:f>IF(H5760="","",H5760/1000000000)</x:f>
        <x:v>6.2</x:v>
      </x:c>
      <x:c r="R5760" s="13" t="n">
        <x:f>IF(I5760="","",I5760/1000000)</x:f>
        <x:v>112.72727272727273</x:v>
      </x:c>
    </x:row>
    <x:row r="5761" ht="21" customHeight="1">
      <x:c r="A5761" s="10" t="n">
        <x:v>7499</x:v>
      </x:c>
      <x:c r="B5761" s="2" t="str">
        <x:v>417b6d2e62b775a9f38f</x:v>
      </x:c>
      <x:c r="C5761" s="2" t="str">
        <x:v>Đồng Nai</x:v>
      </x:c>
      <x:c r="D5761" s="2" t="str">
        <x:v>Huyện Long Thành</x:v>
      </x:c>
      <x:c r="E5761" s="2" t="str">
        <x:v>other_unknown</x:v>
      </x:c>
      <x:c r="F5761" s="2" t="str">
        <x:v>sale_assumed</x:v>
      </x:c>
      <x:c r="G5761" s="11" t="n">
        <x:v>212</x:v>
      </x:c>
      <x:c r="H5761" s="12" t="n">
        <x:v>3500000000</x:v>
      </x:c>
      <x:c r="I5761" s="12" t="n">
        <x:v>16509433.96226415</x:v>
      </x:c>
      <x:c r="J5761" s="2" t="str">
        <x:v>total</x:v>
      </x:c>
      <x:c r="K5761" s="2" t="str">
        <x:v>top_level_area</x:v>
      </x:c>
      <x:c r="L5761" s="2" t="str">
        <x:v>property_type_inferred_from_title;transaction_assumed_sale_from_dataset_context;unknown_property_type</x:v>
      </x:c>
      <x:c r="M5761" s="10" t="n">
        <x:v>0</x:v>
      </x:c>
      <x:c r="N5761" s="10" t="n">
        <x:v>0</x:v>
      </x:c>
      <x:c r="O5761" s="2" t="str">
        <x:v>Đồng Nai|other_unknown</x:v>
      </x:c>
      <x:c r="P5761" s="10" t="n">
        <x:v>2</x:v>
      </x:c>
      <x:c r="Q5761" s="13" t="n">
        <x:f>IF(H5761="","",H5761/1000000000)</x:f>
        <x:v>3.5</x:v>
      </x:c>
      <x:c r="R5761" s="13" t="n">
        <x:f>IF(I5761="","",I5761/1000000)</x:f>
        <x:v>16.50943396226415</x:v>
      </x:c>
    </x:row>
    <x:row r="5762" ht="21" customHeight="1">
      <x:c r="A5762" s="10" t="n">
        <x:v>7500</x:v>
      </x:c>
      <x:c r="B5762" s="2" t="str">
        <x:v>e3d1c8d2e5317c3ebfb6</x:v>
      </x:c>
      <x:c r="C5762" s="2" t="str">
        <x:v>Tp Hồ Chí Minh</x:v>
      </x:c>
      <x:c r="D5762" s="2" t="str">
        <x:v>Quận 7</x:v>
      </x:c>
      <x:c r="E5762" s="2" t="str">
        <x:v>house</x:v>
      </x:c>
      <x:c r="F5762" s="2" t="str">
        <x:v>sale_assumed</x:v>
      </x:c>
      <x:c r="G5762" s="11" t="n">
        <x:v>24</x:v>
      </x:c>
      <x:c r="H5762" s="12" t="n">
        <x:v>720000000</x:v>
      </x:c>
      <x:c r="I5762" s="12" t="n">
        <x:v>30000000</x:v>
      </x:c>
      <x:c r="J5762" s="2" t="str">
        <x:v>total</x:v>
      </x:c>
      <x:c r="K5762" s="2" t="str">
        <x:v>top_level_area</x:v>
      </x:c>
      <x:c r="L5762" s="2" t="str">
        <x:v>property_type_inferred_from_title;transaction_assumed_sale_from_dataset_context</x:v>
      </x:c>
      <x:c r="M5762" s="10" t="n">
        <x:v>0</x:v>
      </x:c>
      <x:c r="N5762" s="10" t="n">
        <x:v>0</x:v>
      </x:c>
      <x:c r="O5762" s="2" t="str">
        <x:v>Tp Hồ Chí Minh|house</x:v>
      </x:c>
      <x:c r="P5762" s="10" t="n">
        <x:v>2</x:v>
      </x:c>
      <x:c r="Q5762" s="13" t="n">
        <x:f>IF(H5762="","",H5762/1000000000)</x:f>
        <x:v>0.72</x:v>
      </x:c>
      <x:c r="R5762" s="13" t="n">
        <x:f>IF(I5762="","",I5762/1000000)</x:f>
        <x:v>30</x:v>
      </x:c>
    </x:row>
    <x:row r="5763" ht="21" customHeight="1">
      <x:c r="A5763" s="10" t="n">
        <x:v>7501</x:v>
      </x:c>
      <x:c r="B5763" s="2" t="str">
        <x:v>5254a552b191d078622b</x:v>
      </x:c>
      <x:c r="C5763" s="2" t="str">
        <x:v>Long An</x:v>
      </x:c>
      <x:c r="D5763" s="2" t="str">
        <x:v>Huyện Đức Hòa</x:v>
      </x:c>
      <x:c r="E5763" s="2" t="str">
        <x:v>other_unknown</x:v>
      </x:c>
      <x:c r="F5763" s="2" t="str">
        <x:v>sale</x:v>
      </x:c>
      <x:c r="G5763" s="11" t="n">
        <x:v>135</x:v>
      </x:c>
      <x:c r="H5763" s="12" t="n">
        <x:v>1012000000</x:v>
      </x:c>
      <x:c r="I5763" s="12" t="n">
        <x:v>7496296.296296297</x:v>
      </x:c>
      <x:c r="J5763" s="2" t="str">
        <x:v>total</x:v>
      </x:c>
      <x:c r="K5763" s="2" t="str">
        <x:v>top_level_area</x:v>
      </x:c>
      <x:c r="L5763" s="2" t="str">
        <x:v>property_type_inferred_from_title;unknown_property_type</x:v>
      </x:c>
      <x:c r="M5763" s="10" t="n">
        <x:v>0</x:v>
      </x:c>
      <x:c r="N5763" s="10" t="n">
        <x:v>0</x:v>
      </x:c>
      <x:c r="O5763" s="2" t="str">
        <x:v>Long An|other_unknown</x:v>
      </x:c>
      <x:c r="P5763" s="10" t="n">
        <x:v>2</x:v>
      </x:c>
      <x:c r="Q5763" s="13" t="n">
        <x:f>IF(H5763="","",H5763/1000000000)</x:f>
        <x:v>1.012</x:v>
      </x:c>
      <x:c r="R5763" s="13" t="n">
        <x:f>IF(I5763="","",I5763/1000000)</x:f>
        <x:v>7.496296296296297</x:v>
      </x:c>
    </x:row>
    <x:row r="5764" ht="21" customHeight="1">
      <x:c r="A5764" s="10" t="n">
        <x:v>7502</x:v>
      </x:c>
      <x:c r="B5764" s="2" t="str">
        <x:v>fdd4d479dacc48ce80f3</x:v>
      </x:c>
      <x:c r="C5764" s="2" t="str">
        <x:v>Long An</x:v>
      </x:c>
      <x:c r="D5764" s="2" t="str">
        <x:v>Huyện Đức Hòa</x:v>
      </x:c>
      <x:c r="E5764" s="2" t="str">
        <x:v>land</x:v>
      </x:c>
      <x:c r="F5764" s="2" t="str">
        <x:v>sale_assumed</x:v>
      </x:c>
      <x:c r="G5764" s="11" t="n">
        <x:v>156</x:v>
      </x:c>
      <x:c r="H5764" s="12" t="n">
        <x:v>1500000000</x:v>
      </x:c>
      <x:c r="I5764" s="12" t="n">
        <x:v>9615384.615384616</x:v>
      </x:c>
      <x:c r="J5764" s="2" t="str">
        <x:v>total</x:v>
      </x:c>
      <x:c r="K5764" s="2" t="str">
        <x:v>top_level_price_embedded_area</x:v>
      </x:c>
      <x:c r="L5764" s="2" t="str">
        <x:v>area_recovered_from_price_text;property_type_inferred_from_title;transaction_assumed_sale_from_dataset_context</x:v>
      </x:c>
      <x:c r="M5764" s="10" t="n">
        <x:v>0</x:v>
      </x:c>
      <x:c r="N5764" s="10" t="n">
        <x:v>0</x:v>
      </x:c>
      <x:c r="O5764" s="2" t="str">
        <x:v>Long An|land</x:v>
      </x:c>
      <x:c r="P5764" s="10" t="n">
        <x:v>2</x:v>
      </x:c>
      <x:c r="Q5764" s="13" t="n">
        <x:f>IF(H5764="","",H5764/1000000000)</x:f>
        <x:v>1.5</x:v>
      </x:c>
      <x:c r="R5764" s="13" t="n">
        <x:f>IF(I5764="","",I5764/1000000)</x:f>
        <x:v>9.615384615384617</x:v>
      </x:c>
    </x:row>
    <x:row r="5765" ht="21" customHeight="1">
      <x:c r="A5765" s="10" t="n">
        <x:v>7503</x:v>
      </x:c>
      <x:c r="B5765" s="2" t="str">
        <x:v>5f8fe045103dbe2ebea4</x:v>
      </x:c>
      <x:c r="C5765" s="2" t="str">
        <x:v>Đà Nẵng</x:v>
      </x:c>
      <x:c r="D5765" s="2" t="str">
        <x:v>Quận Sơn Trà</x:v>
      </x:c>
      <x:c r="E5765" s="2" t="str">
        <x:v>other_unknown</x:v>
      </x:c>
      <x:c r="F5765" s="2" t="str">
        <x:v>sale</x:v>
      </x:c>
      <x:c r="G5765" s="11" t="n">
        <x:v>111.2</x:v>
      </x:c>
      <x:c r="H5765" s="12" t="n">
        <x:v>24000000000</x:v>
      </x:c>
      <x:c r="I5765" s="12" t="n">
        <x:v>215827338.1294964</x:v>
      </x:c>
      <x:c r="J5765" s="2" t="str">
        <x:v>total</x:v>
      </x:c>
      <x:c r="K5765" s="2" t="str">
        <x:v>top_level_area</x:v>
      </x:c>
      <x:c r="L5765" s="2" t="str">
        <x:v>property_type_inferred_from_title;unknown_property_type</x:v>
      </x:c>
      <x:c r="M5765" s="10" t="n">
        <x:v>1</x:v>
      </x:c>
      <x:c r="N5765" s="10" t="n">
        <x:v>1</x:v>
      </x:c>
      <x:c r="O5765" s="2" t="str">
        <x:v>Đà Nẵng|other_unknown</x:v>
      </x:c>
      <x:c r="P5765" s="10" t="n">
        <x:v>-1</x:v>
      </x:c>
      <x:c r="Q5765" s="13" t="n">
        <x:f>IF(H5765="","",H5765/1000000000)</x:f>
        <x:v>24</x:v>
      </x:c>
      <x:c r="R5765" s="13" t="n">
        <x:f>IF(I5765="","",I5765/1000000)</x:f>
        <x:v>215.82733812949638</x:v>
      </x:c>
    </x:row>
    <x:row r="5766" ht="21" customHeight="1">
      <x:c r="A5766" s="10" t="n">
        <x:v>7504</x:v>
      </x:c>
      <x:c r="B5766" s="2" t="str">
        <x:v>ca5d0c4710b3f059cc31</x:v>
      </x:c>
      <x:c r="C5766" s="2" t="str">
        <x:v>Đà Nẵng</x:v>
      </x:c>
      <x:c r="D5766" s="2" t="str">
        <x:v>Quận Ngũ Hành Sơn</x:v>
      </x:c>
      <x:c r="E5766" s="2" t="str">
        <x:v>house</x:v>
      </x:c>
      <x:c r="F5766" s="2" t="str">
        <x:v>sale</x:v>
      </x:c>
      <x:c r="G5766" s="11" t="n">
        <x:v>60</x:v>
      </x:c>
      <x:c r="H5766" s="12" t="n">
        <x:v>4900000000</x:v>
      </x:c>
      <x:c r="I5766" s="12" t="n">
        <x:v>81666666.66666667</x:v>
      </x:c>
      <x:c r="J5766" s="2" t="str">
        <x:v>total</x:v>
      </x:c>
      <x:c r="K5766" s="2" t="str">
        <x:v>top_level_area</x:v>
      </x:c>
      <x:c r="L5766" s="2" t="str">
        <x:v>property_type_inferred_from_title</x:v>
      </x:c>
      <x:c r="M5766" s="10" t="n">
        <x:v>0</x:v>
      </x:c>
      <x:c r="N5766" s="10" t="n">
        <x:v>0</x:v>
      </x:c>
      <x:c r="O5766" s="2" t="str">
        <x:v>Đà Nẵng|house</x:v>
      </x:c>
      <x:c r="P5766" s="10" t="n">
        <x:v>2</x:v>
      </x:c>
      <x:c r="Q5766" s="13" t="n">
        <x:f>IF(H5766="","",H5766/1000000000)</x:f>
        <x:v>4.9</x:v>
      </x:c>
      <x:c r="R5766" s="13" t="n">
        <x:f>IF(I5766="","",I5766/1000000)</x:f>
        <x:v>81.66666666666667</x:v>
      </x:c>
    </x:row>
    <x:row r="5767" ht="21" customHeight="1">
      <x:c r="A5767" s="10" t="n">
        <x:v>7505</x:v>
      </x:c>
      <x:c r="B5767" s="2" t="str">
        <x:v>2937aeebd473b02a2e24</x:v>
      </x:c>
      <x:c r="C5767" s="2" t="str">
        <x:v>Bình Dương</x:v>
      </x:c>
      <x:c r="D5767" s="2" t="str">
        <x:v>Thị xã Thuận An</x:v>
      </x:c>
      <x:c r="E5767" s="2" t="str">
        <x:v>land</x:v>
      </x:c>
      <x:c r="F5767" s="2" t="str">
        <x:v>sale_assumed</x:v>
      </x:c>
      <x:c r="G5767" s="11" t="n">
        <x:v>85</x:v>
      </x:c>
      <x:c r="H5767" s="12" t="n">
        <x:v>990000000</x:v>
      </x:c>
      <x:c r="I5767" s="12" t="n">
        <x:v>11647058.823529411</x:v>
      </x:c>
      <x:c r="J5767" s="2" t="str">
        <x:v>total</x:v>
      </x:c>
      <x:c r="K5767" s="2" t="str">
        <x:v>top_level_area</x:v>
      </x:c>
      <x:c r="L5767" s="2" t="str">
        <x:v>property_type_inferred_from_title;transaction_assumed_sale_from_dataset_context</x:v>
      </x:c>
      <x:c r="M5767" s="10" t="n">
        <x:v>0</x:v>
      </x:c>
      <x:c r="N5767" s="10" t="n">
        <x:v>0</x:v>
      </x:c>
      <x:c r="O5767" s="2" t="str">
        <x:v>Bình Dương|land</x:v>
      </x:c>
      <x:c r="P5767" s="10" t="n">
        <x:v>2</x:v>
      </x:c>
      <x:c r="Q5767" s="13" t="n">
        <x:f>IF(H5767="","",H5767/1000000000)</x:f>
        <x:v>0.99</x:v>
      </x:c>
      <x:c r="R5767" s="13" t="n">
        <x:f>IF(I5767="","",I5767/1000000)</x:f>
        <x:v>11.647058823529411</x:v>
      </x:c>
    </x:row>
    <x:row r="5768" ht="21" customHeight="1">
      <x:c r="A5768" s="10" t="n">
        <x:v>7506</x:v>
      </x:c>
      <x:c r="B5768" s="2" t="str">
        <x:v>b4f7c5e2c3220bc4500e</x:v>
      </x:c>
      <x:c r="C5768" s="2" t="str">
        <x:v>Tp Hồ Chí Minh</x:v>
      </x:c>
      <x:c r="D5768" s="2" t="str">
        <x:v>Quận 8</x:v>
      </x:c>
      <x:c r="E5768" s="2" t="str">
        <x:v>house</x:v>
      </x:c>
      <x:c r="F5768" s="2" t="str">
        <x:v>sale_assumed</x:v>
      </x:c>
      <x:c r="G5768" s="11" t="n">
        <x:v>92</x:v>
      </x:c>
      <x:c r="H5768" s="12" t="n">
        <x:v>2838000000</x:v>
      </x:c>
      <x:c r="I5768" s="12" t="n">
        <x:v>30847826.086956523</x:v>
      </x:c>
      <x:c r="J5768" s="2" t="str">
        <x:v>total</x:v>
      </x:c>
      <x:c r="K5768" s="2" t="str">
        <x:v>top_level_area</x:v>
      </x:c>
      <x:c r="L5768" s="2" t="str">
        <x:v>property_type_inferred_from_title;transaction_assumed_sale_from_dataset_context</x:v>
      </x:c>
      <x:c r="M5768" s="10" t="n">
        <x:v>0</x:v>
      </x:c>
      <x:c r="N5768" s="10" t="n">
        <x:v>0</x:v>
      </x:c>
      <x:c r="O5768" s="2" t="str">
        <x:v>Tp Hồ Chí Minh|house</x:v>
      </x:c>
      <x:c r="P5768" s="10" t="n">
        <x:v>2</x:v>
      </x:c>
      <x:c r="Q5768" s="13" t="n">
        <x:f>IF(H5768="","",H5768/1000000000)</x:f>
        <x:v>2.838</x:v>
      </x:c>
      <x:c r="R5768" s="13" t="n">
        <x:f>IF(I5768="","",I5768/1000000)</x:f>
        <x:v>30.847826086956523</x:v>
      </x:c>
    </x:row>
    <x:row r="5769" ht="21" customHeight="1">
      <x:c r="A5769" s="10" t="n">
        <x:v>7507</x:v>
      </x:c>
      <x:c r="B5769" s="2" t="str">
        <x:v>2ae86c2eb3df7ba148de</x:v>
      </x:c>
      <x:c r="C5769" s="2" t="str">
        <x:v>Tp Hồ Chí Minh</x:v>
      </x:c>
      <x:c r="D5769" s="2" t="str">
        <x:v>Quận 9</x:v>
      </x:c>
      <x:c r="E5769" s="2" t="str">
        <x:v>other_unknown</x:v>
      </x:c>
      <x:c r="F5769" s="2" t="str">
        <x:v>sale_assumed</x:v>
      </x:c>
      <x:c r="G5769" s="11" t="n">
        <x:v>69</x:v>
      </x:c>
      <x:c r="H5769" s="12" t="n">
        <x:v>1600000000</x:v>
      </x:c>
      <x:c r="I5769" s="12" t="n">
        <x:v>23188405.79710145</x:v>
      </x:c>
      <x:c r="J5769" s="2" t="str">
        <x:v>total</x:v>
      </x:c>
      <x:c r="K5769" s="2" t="str">
        <x:v>top_level_area</x:v>
      </x:c>
      <x:c r="L5769" s="2" t="str">
        <x:v>property_type_inferred_from_title;transaction_assumed_sale_from_dataset_context;unknown_property_type</x:v>
      </x:c>
      <x:c r="M5769" s="10" t="n">
        <x:v>0</x:v>
      </x:c>
      <x:c r="N5769" s="10" t="n">
        <x:v>0</x:v>
      </x:c>
      <x:c r="O5769" s="2" t="str">
        <x:v>Tp Hồ Chí Minh|other_unknown</x:v>
      </x:c>
      <x:c r="P5769" s="10" t="n">
        <x:v>2</x:v>
      </x:c>
      <x:c r="Q5769" s="13" t="n">
        <x:f>IF(H5769="","",H5769/1000000000)</x:f>
        <x:v>1.6</x:v>
      </x:c>
      <x:c r="R5769" s="13" t="n">
        <x:f>IF(I5769="","",I5769/1000000)</x:f>
        <x:v>23.18840579710145</x:v>
      </x:c>
    </x:row>
    <x:row r="5770" ht="21" customHeight="1">
      <x:c r="A5770" s="10" t="n">
        <x:v>7508</x:v>
      </x:c>
      <x:c r="B5770" s="2" t="str">
        <x:v>d378adb751e408e6ba4e</x:v>
      </x:c>
      <x:c r="C5770" s="2" t="str">
        <x:v>Trà Vinh</x:v>
      </x:c>
      <x:c r="D5770" s="2" t="str">
        <x:v>Thành phố Trà Vinh</x:v>
      </x:c>
      <x:c r="E5770" s="2" t="str">
        <x:v>land</x:v>
      </x:c>
      <x:c r="F5770" s="2" t="str">
        <x:v>sale_assumed</x:v>
      </x:c>
      <x:c r="G5770" s="11" t="n">
        <x:v>746</x:v>
      </x:c>
      <x:c r="H5770" s="12" t="n">
        <x:v>3000000000</x:v>
      </x:c>
      <x:c r="I5770" s="12" t="n">
        <x:v>4021447.7211796246</x:v>
      </x:c>
      <x:c r="J5770" s="2" t="str">
        <x:v>total</x:v>
      </x:c>
      <x:c r="K5770" s="2" t="str">
        <x:v>top_level_area</x:v>
      </x:c>
      <x:c r="L5770" s="2" t="str">
        <x:v>property_type_inferred_from_title;transaction_assumed_sale_from_dataset_context</x:v>
      </x:c>
      <x:c r="M5770" s="10" t="n">
        <x:v>0</x:v>
      </x:c>
      <x:c r="N5770" s="10" t="n">
        <x:v>0</x:v>
      </x:c>
      <x:c r="O5770" s="2" t="str">
        <x:v>land</x:v>
      </x:c>
      <x:c r="P5770" s="10" t="n">
        <x:v>1</x:v>
      </x:c>
      <x:c r="Q5770" s="13" t="n">
        <x:f>IF(H5770="","",H5770/1000000000)</x:f>
        <x:v>3</x:v>
      </x:c>
      <x:c r="R5770" s="13" t="n">
        <x:f>IF(I5770="","",I5770/1000000)</x:f>
        <x:v>4.021447721179625</x:v>
      </x:c>
    </x:row>
    <x:row r="5771" ht="21" customHeight="1">
      <x:c r="A5771" s="10" t="n">
        <x:v>7509</x:v>
      </x:c>
      <x:c r="B5771" s="2" t="str">
        <x:v>6e525b017d3637089bf0</x:v>
      </x:c>
      <x:c r="C5771" s="2" t="str">
        <x:v>Kiên Giang</x:v>
      </x:c>
      <x:c r="D5771" s="2" t="str">
        <x:v>Huyện Phú Quốc</x:v>
      </x:c>
      <x:c r="E5771" s="2" t="str">
        <x:v>land</x:v>
      </x:c>
      <x:c r="F5771" s="2" t="str">
        <x:v>sale_assumed</x:v>
      </x:c>
      <x:c r="G5771" s="11" t="n">
        <x:v>108</x:v>
      </x:c>
      <x:c r="H5771" s="12" t="n">
        <x:v>1450000000</x:v>
      </x:c>
      <x:c r="I5771" s="12" t="n">
        <x:v>13425925.925925925</x:v>
      </x:c>
      <x:c r="J5771" s="2" t="str">
        <x:v>total</x:v>
      </x:c>
      <x:c r="K5771" s="2" t="str">
        <x:v>top_level_area</x:v>
      </x:c>
      <x:c r="L5771" s="2" t="str">
        <x:v>property_type_inferred_from_title;transaction_assumed_sale_from_dataset_context</x:v>
      </x:c>
      <x:c r="M5771" s="10" t="n">
        <x:v>0</x:v>
      </x:c>
      <x:c r="N5771" s="10" t="n">
        <x:v>0</x:v>
      </x:c>
      <x:c r="O5771" s="2" t="str">
        <x:v>land</x:v>
      </x:c>
      <x:c r="P5771" s="10" t="n">
        <x:v>2</x:v>
      </x:c>
      <x:c r="Q5771" s="13" t="n">
        <x:f>IF(H5771="","",H5771/1000000000)</x:f>
        <x:v>1.45</x:v>
      </x:c>
      <x:c r="R5771" s="13" t="n">
        <x:f>IF(I5771="","",I5771/1000000)</x:f>
        <x:v>13.425925925925926</x:v>
      </x:c>
    </x:row>
    <x:row r="5772" ht="21" customHeight="1">
      <x:c r="A5772" s="10" t="n">
        <x:v>7510</x:v>
      </x:c>
      <x:c r="B5772" s="2" t="str">
        <x:v>fc210aed94ec16c6b4d9</x:v>
      </x:c>
      <x:c r="C5772" s="2" t="str">
        <x:v>Tp Hồ Chí Minh</x:v>
      </x:c>
      <x:c r="D5772" s="2" t="str">
        <x:v>Huyện Bình Chánh</x:v>
      </x:c>
      <x:c r="E5772" s="2" t="str">
        <x:v>land</x:v>
      </x:c>
      <x:c r="F5772" s="2" t="str">
        <x:v>sale</x:v>
      </x:c>
      <x:c r="G5772" s="11" t="n">
        <x:v>52</x:v>
      </x:c>
      <x:c r="H5772" s="12" t="n">
        <x:v>553000000</x:v>
      </x:c>
      <x:c r="I5772" s="12" t="n">
        <x:v>10634615.384615384</x:v>
      </x:c>
      <x:c r="J5772" s="2" t="str">
        <x:v>total</x:v>
      </x:c>
      <x:c r="K5772" s="2" t="str">
        <x:v>top_level_area</x:v>
      </x:c>
      <x:c r="L5772" s="2" t="str">
        <x:v>property_type_inferred_from_title</x:v>
      </x:c>
      <x:c r="M5772" s="10" t="n">
        <x:v>0</x:v>
      </x:c>
      <x:c r="N5772" s="10" t="n">
        <x:v>0</x:v>
      </x:c>
      <x:c r="O5772" s="2" t="str">
        <x:v>Tp Hồ Chí Minh|land</x:v>
      </x:c>
      <x:c r="P5772" s="10" t="n">
        <x:v>2</x:v>
      </x:c>
      <x:c r="Q5772" s="13" t="n">
        <x:f>IF(H5772="","",H5772/1000000000)</x:f>
        <x:v>0.553</x:v>
      </x:c>
      <x:c r="R5772" s="13" t="n">
        <x:f>IF(I5772="","",I5772/1000000)</x:f>
        <x:v>10.634615384615383</x:v>
      </x:c>
    </x:row>
    <x:row r="5773" ht="21" customHeight="1">
      <x:c r="A5773" s="10" t="n">
        <x:v>7511</x:v>
      </x:c>
      <x:c r="B5773" s="2" t="str">
        <x:v>f410a93ec646742dbece</x:v>
      </x:c>
      <x:c r="C5773" s="2" t="str">
        <x:v>Vĩnh Long</x:v>
      </x:c>
      <x:c r="D5773" s="2" t="str">
        <x:v>Huyện Long Hồ</x:v>
      </x:c>
      <x:c r="E5773" s="2" t="str">
        <x:v>land</x:v>
      </x:c>
      <x:c r="F5773" s="2" t="str">
        <x:v>sale_assumed</x:v>
      </x:c>
      <x:c r="G5773" s="11" t="n">
        <x:v>145</x:v>
      </x:c>
      <x:c r="H5773" s="12" t="n">
        <x:v>200000000</x:v>
      </x:c>
      <x:c r="I5773" s="12" t="n">
        <x:v>1379310.3448275863</x:v>
      </x:c>
      <x:c r="J5773" s="2" t="str">
        <x:v>total</x:v>
      </x:c>
      <x:c r="K5773" s="2" t="str">
        <x:v>top_level_area</x:v>
      </x:c>
      <x:c r="L5773" s="2" t="str">
        <x:v>property_type_inferred_from_title;transaction_assumed_sale_from_dataset_context</x:v>
      </x:c>
      <x:c r="M5773" s="10" t="n">
        <x:v>0</x:v>
      </x:c>
      <x:c r="N5773" s="10" t="n">
        <x:v>0</x:v>
      </x:c>
      <x:c r="O5773" s="2" t="str">
        <x:v>land</x:v>
      </x:c>
      <x:c r="P5773" s="10" t="n">
        <x:v>1</x:v>
      </x:c>
      <x:c r="Q5773" s="13" t="n">
        <x:f>IF(H5773="","",H5773/1000000000)</x:f>
        <x:v>0.2</x:v>
      </x:c>
      <x:c r="R5773" s="13" t="n">
        <x:f>IF(I5773="","",I5773/1000000)</x:f>
        <x:v>1.3793103448275863</x:v>
      </x:c>
    </x:row>
    <x:row r="5774" ht="21" customHeight="1">
      <x:c r="A5774" s="10" t="n">
        <x:v>7512</x:v>
      </x:c>
      <x:c r="B5774" s="2" t="str">
        <x:v>cc768230cd08ce56747b</x:v>
      </x:c>
      <x:c r="C5774" s="2" t="str">
        <x:v>Tp Hồ Chí Minh</x:v>
      </x:c>
      <x:c r="D5774" s="2" t="str">
        <x:v>Quận Thủ Đức</x:v>
      </x:c>
      <x:c r="E5774" s="2" t="str">
        <x:v>other_unknown</x:v>
      </x:c>
      <x:c r="F5774" s="2" t="str">
        <x:v>sale</x:v>
      </x:c>
      <x:c r="G5774" s="11" t="n">
        <x:v>76</x:v>
      </x:c>
      <x:c r="H5774" s="12" t="n">
        <x:v>6600000000</x:v>
      </x:c>
      <x:c r="I5774" s="12" t="n">
        <x:v>86842105.26315789</x:v>
      </x:c>
      <x:c r="J5774" s="2" t="str">
        <x:v>total</x:v>
      </x:c>
      <x:c r="K5774" s="2" t="str">
        <x:v>top_level_area</x:v>
      </x:c>
      <x:c r="L5774" s="2" t="str">
        <x:v>property_type_inferred_from_title;unknown_property_type</x:v>
      </x:c>
      <x:c r="M5774" s="10" t="n">
        <x:v>0</x:v>
      </x:c>
      <x:c r="N5774" s="10" t="n">
        <x:v>0</x:v>
      </x:c>
      <x:c r="O5774" s="2" t="str">
        <x:v>Tp Hồ Chí Minh|other_unknown</x:v>
      </x:c>
      <x:c r="P5774" s="10" t="n">
        <x:v>2</x:v>
      </x:c>
      <x:c r="Q5774" s="13" t="n">
        <x:f>IF(H5774="","",H5774/1000000000)</x:f>
        <x:v>6.6</x:v>
      </x:c>
      <x:c r="R5774" s="13" t="n">
        <x:f>IF(I5774="","",I5774/1000000)</x:f>
        <x:v>86.84210526315789</x:v>
      </x:c>
    </x:row>
    <x:row r="5775" ht="21" customHeight="1">
      <x:c r="A5775" s="10" t="n">
        <x:v>7513</x:v>
      </x:c>
      <x:c r="B5775" s="2" t="str">
        <x:v>324256a298418c1d7251</x:v>
      </x:c>
      <x:c r="C5775" s="2" t="str">
        <x:v>Tp Hồ Chí Minh</x:v>
      </x:c>
      <x:c r="D5775" s="2" t="str">
        <x:v>Quận Tân Phú</x:v>
      </x:c>
      <x:c r="E5775" s="2" t="str">
        <x:v>house</x:v>
      </x:c>
      <x:c r="F5775" s="2" t="str">
        <x:v>sale_assumed</x:v>
      </x:c>
      <x:c r="G5775" s="11" t="n">
        <x:v>52</x:v>
      </x:c>
      <x:c r="H5775" s="12" t="n">
        <x:v>5500000000</x:v>
      </x:c>
      <x:c r="I5775" s="12" t="n">
        <x:v>105769230.76923077</x:v>
      </x:c>
      <x:c r="J5775" s="2" t="str">
        <x:v>total</x:v>
      </x:c>
      <x:c r="K5775" s="2" t="str">
        <x:v>top_level_area</x:v>
      </x:c>
      <x:c r="L5775" s="2" t="str">
        <x:v>property_type_inferred_from_title;transaction_assumed_sale_from_dataset_context</x:v>
      </x:c>
      <x:c r="M5775" s="10" t="n">
        <x:v>0</x:v>
      </x:c>
      <x:c r="N5775" s="10" t="n">
        <x:v>0</x:v>
      </x:c>
      <x:c r="O5775" s="2" t="str">
        <x:v>Tp Hồ Chí Minh|house</x:v>
      </x:c>
      <x:c r="P5775" s="10" t="n">
        <x:v>2</x:v>
      </x:c>
      <x:c r="Q5775" s="13" t="n">
        <x:f>IF(H5775="","",H5775/1000000000)</x:f>
        <x:v>5.5</x:v>
      </x:c>
      <x:c r="R5775" s="13" t="n">
        <x:f>IF(I5775="","",I5775/1000000)</x:f>
        <x:v>105.76923076923077</x:v>
      </x:c>
    </x:row>
    <x:row r="5776" ht="21" customHeight="1">
      <x:c r="A5776" s="10" t="n">
        <x:v>7517</x:v>
      </x:c>
      <x:c r="B5776" s="2" t="str">
        <x:v>c0f4e5e567d3e7886c8a</x:v>
      </x:c>
      <x:c r="C5776" s="2" t="str">
        <x:v>Đà Nẵng</x:v>
      </x:c>
      <x:c r="D5776" s="2" t="str">
        <x:v>Quận Thanh Khê</x:v>
      </x:c>
      <x:c r="E5776" s="2" t="str">
        <x:v>house</x:v>
      </x:c>
      <x:c r="F5776" s="2" t="str">
        <x:v>sale</x:v>
      </x:c>
      <x:c r="G5776" s="11" t="n">
        <x:v>53</x:v>
      </x:c>
      <x:c r="H5776" s="12" t="n">
        <x:v>3650000000</x:v>
      </x:c>
      <x:c r="I5776" s="12" t="n">
        <x:v>68867924.52830188</x:v>
      </x:c>
      <x:c r="J5776" s="2" t="str">
        <x:v>total</x:v>
      </x:c>
      <x:c r="K5776" s="2" t="str">
        <x:v>top_level_area</x:v>
      </x:c>
      <x:c r="L5776" s="2" t="str">
        <x:v>property_type_inferred_from_title</x:v>
      </x:c>
      <x:c r="M5776" s="10" t="n">
        <x:v>0</x:v>
      </x:c>
      <x:c r="N5776" s="10" t="n">
        <x:v>0</x:v>
      </x:c>
      <x:c r="O5776" s="2" t="str">
        <x:v>Đà Nẵng|house</x:v>
      </x:c>
      <x:c r="P5776" s="10" t="n">
        <x:v>2</x:v>
      </x:c>
      <x:c r="Q5776" s="13" t="n">
        <x:f>IF(H5776="","",H5776/1000000000)</x:f>
        <x:v>3.65</x:v>
      </x:c>
      <x:c r="R5776" s="13" t="n">
        <x:f>IF(I5776="","",I5776/1000000)</x:f>
        <x:v>68.86792452830188</x:v>
      </x:c>
    </x:row>
    <x:row r="5777" ht="21" customHeight="1">
      <x:c r="A5777" s="10" t="n">
        <x:v>7518</x:v>
      </x:c>
      <x:c r="B5777" s="2" t="str">
        <x:v>476691d19f34a5c63409</x:v>
      </x:c>
      <x:c r="C5777" s="2" t="str">
        <x:v>Hà Nội</x:v>
      </x:c>
      <x:c r="D5777" s="2" t="str">
        <x:v>Quận Ba Đình</x:v>
      </x:c>
      <x:c r="E5777" s="2" t="str">
        <x:v>house</x:v>
      </x:c>
      <x:c r="F5777" s="2" t="str">
        <x:v>sale</x:v>
      </x:c>
      <x:c r="G5777" s="11" t="n">
        <x:v>56</x:v>
      </x:c>
      <x:c r="H5777" s="12" t="n">
        <x:v>5300000000</x:v>
      </x:c>
      <x:c r="I5777" s="12" t="n">
        <x:v>94642857.14285715</x:v>
      </x:c>
      <x:c r="J5777" s="2" t="str">
        <x:v>total</x:v>
      </x:c>
      <x:c r="K5777" s="2" t="str">
        <x:v>top_level_area</x:v>
      </x:c>
      <x:c r="L5777" s="2" t="str">
        <x:v>property_type_inferred_from_title</x:v>
      </x:c>
      <x:c r="M5777" s="10" t="n">
        <x:v>0</x:v>
      </x:c>
      <x:c r="N5777" s="10" t="n">
        <x:v>0</x:v>
      </x:c>
      <x:c r="O5777" s="2" t="str">
        <x:v>Hà Nội|house</x:v>
      </x:c>
      <x:c r="P5777" s="10" t="n">
        <x:v>2</x:v>
      </x:c>
      <x:c r="Q5777" s="13" t="n">
        <x:f>IF(H5777="","",H5777/1000000000)</x:f>
        <x:v>5.3</x:v>
      </x:c>
      <x:c r="R5777" s="13" t="n">
        <x:f>IF(I5777="","",I5777/1000000)</x:f>
        <x:v>94.64285714285715</x:v>
      </x:c>
    </x:row>
    <x:row r="5778" ht="21" customHeight="1">
      <x:c r="A5778" s="10" t="n">
        <x:v>7519</x:v>
      </x:c>
      <x:c r="B5778" s="2" t="str">
        <x:v>cd658958841fe36edde0</x:v>
      </x:c>
      <x:c r="C5778" s="2" t="str">
        <x:v>Tp Hồ Chí Minh</x:v>
      </x:c>
      <x:c r="D5778" s="2" t="str">
        <x:v>Quận Bình Tân</x:v>
      </x:c>
      <x:c r="E5778" s="2" t="str">
        <x:v>apartment</x:v>
      </x:c>
      <x:c r="F5778" s="2" t="str">
        <x:v>sale_assumed</x:v>
      </x:c>
      <x:c r="G5778" s="11" t="n">
        <x:v>40</x:v>
      </x:c>
      <x:c r="H5778" s="12" t="n">
        <x:v>299000000</x:v>
      </x:c>
      <x:c r="I5778" s="12" t="n">
        <x:v>7475000</x:v>
      </x:c>
      <x:c r="J5778" s="2" t="str">
        <x:v>total</x:v>
      </x:c>
      <x:c r="K5778" s="2" t="str">
        <x:v>top_level_area</x:v>
      </x:c>
      <x:c r="L5778" s="2" t="str">
        <x:v>property_type_inferred_from_title;transaction_assumed_sale_from_dataset_context</x:v>
      </x:c>
      <x:c r="M5778" s="10" t="n">
        <x:v>0</x:v>
      </x:c>
      <x:c r="N5778" s="10" t="n">
        <x:v>0</x:v>
      </x:c>
      <x:c r="O5778" s="2" t="str">
        <x:v>Tp Hồ Chí Minh|apartment</x:v>
      </x:c>
      <x:c r="P5778" s="10" t="n">
        <x:v>2</x:v>
      </x:c>
      <x:c r="Q5778" s="13" t="n">
        <x:f>IF(H5778="","",H5778/1000000000)</x:f>
        <x:v>0.299</x:v>
      </x:c>
      <x:c r="R5778" s="13" t="n">
        <x:f>IF(I5778="","",I5778/1000000)</x:f>
        <x:v>7.475</x:v>
      </x:c>
    </x:row>
    <x:row r="5779" ht="21" customHeight="1">
      <x:c r="A5779" s="10" t="n">
        <x:v>7520</x:v>
      </x:c>
      <x:c r="B5779" s="2" t="str">
        <x:v>0ce975437bb80684610b</x:v>
      </x:c>
      <x:c r="C5779" s="2" t="str">
        <x:v>Tp Hồ Chí Minh</x:v>
      </x:c>
      <x:c r="D5779" s="2" t="str">
        <x:v>Quận 9</x:v>
      </x:c>
      <x:c r="E5779" s="2" t="str">
        <x:v>land</x:v>
      </x:c>
      <x:c r="F5779" s="2" t="str">
        <x:v>sale_assumed</x:v>
      </x:c>
      <x:c r="G5779" s="11" t="n">
        <x:v>115</x:v>
      </x:c>
      <x:c r="H5779" s="12" t="n">
        <x:v>4700000000</x:v>
      </x:c>
      <x:c r="I5779" s="12" t="n">
        <x:v>40869565.217391305</x:v>
      </x:c>
      <x:c r="J5779" s="2" t="str">
        <x:v>total</x:v>
      </x:c>
      <x:c r="K5779" s="2" t="str">
        <x:v>top_level_area</x:v>
      </x:c>
      <x:c r="L5779" s="2" t="str">
        <x:v>property_type_inferred_from_title;transaction_assumed_sale_from_dataset_context</x:v>
      </x:c>
      <x:c r="M5779" s="10" t="n">
        <x:v>0</x:v>
      </x:c>
      <x:c r="N5779" s="10" t="n">
        <x:v>0</x:v>
      </x:c>
      <x:c r="O5779" s="2" t="str">
        <x:v>Tp Hồ Chí Minh|land</x:v>
      </x:c>
      <x:c r="P5779" s="10" t="n">
        <x:v>2</x:v>
      </x:c>
      <x:c r="Q5779" s="13" t="n">
        <x:f>IF(H5779="","",H5779/1000000000)</x:f>
        <x:v>4.7</x:v>
      </x:c>
      <x:c r="R5779" s="13" t="n">
        <x:f>IF(I5779="","",I5779/1000000)</x:f>
        <x:v>40.869565217391305</x:v>
      </x:c>
    </x:row>
    <x:row r="5780" ht="21" customHeight="1">
      <x:c r="A5780" s="10" t="n">
        <x:v>7521</x:v>
      </x:c>
      <x:c r="B5780" s="2" t="str">
        <x:v>8f68d82d3962c269754b</x:v>
      </x:c>
      <x:c r="C5780" s="2" t="str">
        <x:v>Tp Hồ Chí Minh</x:v>
      </x:c>
      <x:c r="D5780" s="2" t="str">
        <x:v>Quận 12</x:v>
      </x:c>
      <x:c r="E5780" s="2" t="str">
        <x:v>house</x:v>
      </x:c>
      <x:c r="F5780" s="2" t="str">
        <x:v>sale</x:v>
      </x:c>
      <x:c r="G5780" s="11" t="n">
        <x:v>56</x:v>
      </x:c>
      <x:c r="H5780" s="12" t="n">
        <x:v>4450000000</x:v>
      </x:c>
      <x:c r="I5780" s="12" t="n">
        <x:v>79464285.71428572</x:v>
      </x:c>
      <x:c r="J5780" s="2" t="str">
        <x:v>total</x:v>
      </x:c>
      <x:c r="K5780" s="2" t="str">
        <x:v>top_level_area</x:v>
      </x:c>
      <x:c r="L5780" s="2" t="str">
        <x:v>property_type_inferred_from_title</x:v>
      </x:c>
      <x:c r="M5780" s="10" t="n">
        <x:v>0</x:v>
      </x:c>
      <x:c r="N5780" s="10" t="n">
        <x:v>0</x:v>
      </x:c>
      <x:c r="O5780" s="2" t="str">
        <x:v>Tp Hồ Chí Minh|house</x:v>
      </x:c>
      <x:c r="P5780" s="10" t="n">
        <x:v>2</x:v>
      </x:c>
      <x:c r="Q5780" s="13" t="n">
        <x:f>IF(H5780="","",H5780/1000000000)</x:f>
        <x:v>4.45</x:v>
      </x:c>
      <x:c r="R5780" s="13" t="n">
        <x:f>IF(I5780="","",I5780/1000000)</x:f>
        <x:v>79.46428571428572</x:v>
      </x:c>
    </x:row>
    <x:row r="5781" ht="21" customHeight="1">
      <x:c r="A5781" s="10" t="n">
        <x:v>7522</x:v>
      </x:c>
      <x:c r="B5781" s="2" t="str">
        <x:v>7ec813b028b7f2061f58</x:v>
      </x:c>
      <x:c r="C5781" s="2" t="str">
        <x:v>Hà Nội</x:v>
      </x:c>
      <x:c r="D5781" s="2" t="str">
        <x:v>Quận Hà Đông</x:v>
      </x:c>
      <x:c r="E5781" s="2" t="str">
        <x:v>house</x:v>
      </x:c>
      <x:c r="F5781" s="2" t="str">
        <x:v>sale_assumed</x:v>
      </x:c>
      <x:c r="G5781" s="11" t="n">
        <x:v>30</x:v>
      </x:c>
      <x:c r="H5781" s="12" t="n">
        <x:v>1650000000</x:v>
      </x:c>
      <x:c r="I5781" s="12" t="n">
        <x:v>55000000</x:v>
      </x:c>
      <x:c r="J5781" s="2" t="str">
        <x:v>total</x:v>
      </x:c>
      <x:c r="K5781" s="2" t="str">
        <x:v>top_level_area</x:v>
      </x:c>
      <x:c r="L5781" s="2" t="str">
        <x:v>property_type_inferred_from_title;transaction_assumed_sale_from_dataset_context</x:v>
      </x:c>
      <x:c r="M5781" s="10" t="n">
        <x:v>0</x:v>
      </x:c>
      <x:c r="N5781" s="10" t="n">
        <x:v>0</x:v>
      </x:c>
      <x:c r="O5781" s="2" t="str">
        <x:v>Hà Nội|house</x:v>
      </x:c>
      <x:c r="P5781" s="10" t="n">
        <x:v>2</x:v>
      </x:c>
      <x:c r="Q5781" s="13" t="n">
        <x:f>IF(H5781="","",H5781/1000000000)</x:f>
        <x:v>1.65</x:v>
      </x:c>
      <x:c r="R5781" s="13" t="n">
        <x:f>IF(I5781="","",I5781/1000000)</x:f>
        <x:v>55</x:v>
      </x:c>
    </x:row>
    <x:row r="5782" ht="21" customHeight="1">
      <x:c r="A5782" s="10" t="n">
        <x:v>7523</x:v>
      </x:c>
      <x:c r="B5782" s="2" t="str">
        <x:v>bc0e5e0fdb22ca52f21e</x:v>
      </x:c>
      <x:c r="C5782" s="2" t="str">
        <x:v>Tp Hồ Chí Minh</x:v>
      </x:c>
      <x:c r="D5782" s="2" t="str">
        <x:v>Quận Bình Tân</x:v>
      </x:c>
      <x:c r="E5782" s="2" t="str">
        <x:v>apartment</x:v>
      </x:c>
      <x:c r="F5782" s="2" t="str">
        <x:v>sale_assumed</x:v>
      </x:c>
      <x:c r="G5782" s="11" t="n">
        <x:v>69</x:v>
      </x:c>
      <x:c r="H5782" s="12" t="n">
        <x:v>1720000000</x:v>
      </x:c>
      <x:c r="I5782" s="12" t="n">
        <x:v>24927536.23188406</x:v>
      </x:c>
      <x:c r="J5782" s="2" t="str">
        <x:v>total</x:v>
      </x:c>
      <x:c r="K5782" s="2" t="str">
        <x:v>top_level_area</x:v>
      </x:c>
      <x:c r="L5782" s="2" t="str">
        <x:v>property_type_inferred_from_title;transaction_assumed_sale_from_dataset_context</x:v>
      </x:c>
      <x:c r="M5782" s="10" t="n">
        <x:v>0</x:v>
      </x:c>
      <x:c r="N5782" s="10" t="n">
        <x:v>0</x:v>
      </x:c>
      <x:c r="O5782" s="2" t="str">
        <x:v>Tp Hồ Chí Minh|apartment</x:v>
      </x:c>
      <x:c r="P5782" s="10" t="n">
        <x:v>2</x:v>
      </x:c>
      <x:c r="Q5782" s="13" t="n">
        <x:f>IF(H5782="","",H5782/1000000000)</x:f>
        <x:v>1.72</x:v>
      </x:c>
      <x:c r="R5782" s="13" t="n">
        <x:f>IF(I5782="","",I5782/1000000)</x:f>
        <x:v>24.92753623188406</x:v>
      </x:c>
    </x:row>
    <x:row r="5783" ht="21" customHeight="1">
      <x:c r="A5783" s="10" t="n">
        <x:v>7524</x:v>
      </x:c>
      <x:c r="B5783" s="2" t="str">
        <x:v>a94c81bda1505d785370</x:v>
      </x:c>
      <x:c r="C5783" s="2" t="str">
        <x:v>Tp Hồ Chí Minh</x:v>
      </x:c>
      <x:c r="D5783" s="2" t="str">
        <x:v>Quận Bình Thạnh</x:v>
      </x:c>
      <x:c r="E5783" s="2" t="str">
        <x:v>house</x:v>
      </x:c>
      <x:c r="F5783" s="2" t="str">
        <x:v>sale_assumed</x:v>
      </x:c>
      <x:c r="G5783" s="11" t="n">
        <x:v>52</x:v>
      </x:c>
      <x:c r="H5783" s="12" t="n">
        <x:v>5900000000</x:v>
      </x:c>
      <x:c r="I5783" s="12" t="n">
        <x:v>113461538.46153846</x:v>
      </x:c>
      <x:c r="J5783" s="2" t="str">
        <x:v>total</x:v>
      </x:c>
      <x:c r="K5783" s="2" t="str">
        <x:v>top_level_area</x:v>
      </x:c>
      <x:c r="L5783" s="2" t="str">
        <x:v>property_type_inferred_from_title;transaction_assumed_sale_from_dataset_context</x:v>
      </x:c>
      <x:c r="M5783" s="10" t="n">
        <x:v>0</x:v>
      </x:c>
      <x:c r="N5783" s="10" t="n">
        <x:v>0</x:v>
      </x:c>
      <x:c r="O5783" s="2" t="str">
        <x:v>Tp Hồ Chí Minh|house</x:v>
      </x:c>
      <x:c r="P5783" s="10" t="n">
        <x:v>2</x:v>
      </x:c>
      <x:c r="Q5783" s="13" t="n">
        <x:f>IF(H5783="","",H5783/1000000000)</x:f>
        <x:v>5.9</x:v>
      </x:c>
      <x:c r="R5783" s="13" t="n">
        <x:f>IF(I5783="","",I5783/1000000)</x:f>
        <x:v>113.46153846153847</x:v>
      </x:c>
    </x:row>
    <x:row r="5784" ht="21" customHeight="1">
      <x:c r="A5784" s="10" t="n">
        <x:v>7525</x:v>
      </x:c>
      <x:c r="B5784" s="2" t="str">
        <x:v>0e2dcb66b4f27dd71550</x:v>
      </x:c>
      <x:c r="C5784" s="2" t="str">
        <x:v>Hà Nội</x:v>
      </x:c>
      <x:c r="D5784" s="2" t="str">
        <x:v>Quận Hà Đông</x:v>
      </x:c>
      <x:c r="E5784" s="2" t="str">
        <x:v>house</x:v>
      </x:c>
      <x:c r="F5784" s="2" t="str">
        <x:v>sale</x:v>
      </x:c>
      <x:c r="G5784" s="11" t="n">
        <x:v>45</x:v>
      </x:c>
      <x:c r="H5784" s="12" t="n">
        <x:v>4400000000</x:v>
      </x:c>
      <x:c r="I5784" s="12" t="n">
        <x:v>97777777.77777778</x:v>
      </x:c>
      <x:c r="J5784" s="2" t="str">
        <x:v>total</x:v>
      </x:c>
      <x:c r="K5784" s="2" t="str">
        <x:v>top_level_area</x:v>
      </x:c>
      <x:c r="L5784" s="2" t="str">
        <x:v>property_type_inferred_from_title</x:v>
      </x:c>
      <x:c r="M5784" s="10" t="n">
        <x:v>0</x:v>
      </x:c>
      <x:c r="N5784" s="10" t="n">
        <x:v>0</x:v>
      </x:c>
      <x:c r="O5784" s="2" t="str">
        <x:v>Hà Nội|house</x:v>
      </x:c>
      <x:c r="P5784" s="10" t="n">
        <x:v>2</x:v>
      </x:c>
      <x:c r="Q5784" s="13" t="n">
        <x:f>IF(H5784="","",H5784/1000000000)</x:f>
        <x:v>4.4</x:v>
      </x:c>
      <x:c r="R5784" s="13" t="n">
        <x:f>IF(I5784="","",I5784/1000000)</x:f>
        <x:v>97.77777777777777</x:v>
      </x:c>
    </x:row>
    <x:row r="5785" ht="21" customHeight="1">
      <x:c r="A5785" s="10" t="n">
        <x:v>7526</x:v>
      </x:c>
      <x:c r="B5785" s="2" t="str">
        <x:v>95b8ea59beed9f48a735</x:v>
      </x:c>
      <x:c r="C5785" s="2" t="str">
        <x:v>Tp Hồ Chí Minh</x:v>
      </x:c>
      <x:c r="D5785" s="2" t="str">
        <x:v>Quận Gò Vấp</x:v>
      </x:c>
      <x:c r="E5785" s="2" t="str">
        <x:v>other_unknown</x:v>
      </x:c>
      <x:c r="F5785" s="2" t="str">
        <x:v>sale</x:v>
      </x:c>
      <x:c r="G5785" s="11" t="n">
        <x:v>54</x:v>
      </x:c>
      <x:c r="H5785" s="12" t="n">
        <x:v>5900000000</x:v>
      </x:c>
      <x:c r="I5785" s="12" t="n">
        <x:v>109259259.25925925</x:v>
      </x:c>
      <x:c r="J5785" s="2" t="str">
        <x:v>total</x:v>
      </x:c>
      <x:c r="K5785" s="2" t="str">
        <x:v>top_level_area</x:v>
      </x:c>
      <x:c r="L5785" s="2" t="str">
        <x:v>property_type_inferred_from_title;unknown_property_type</x:v>
      </x:c>
      <x:c r="M5785" s="10" t="n">
        <x:v>0</x:v>
      </x:c>
      <x:c r="N5785" s="10" t="n">
        <x:v>0</x:v>
      </x:c>
      <x:c r="O5785" s="2" t="str">
        <x:v>Tp Hồ Chí Minh|other_unknown</x:v>
      </x:c>
      <x:c r="P5785" s="10" t="n">
        <x:v>2</x:v>
      </x:c>
      <x:c r="Q5785" s="13" t="n">
        <x:f>IF(H5785="","",H5785/1000000000)</x:f>
        <x:v>5.9</x:v>
      </x:c>
      <x:c r="R5785" s="13" t="n">
        <x:f>IF(I5785="","",I5785/1000000)</x:f>
        <x:v>109.25925925925925</x:v>
      </x:c>
    </x:row>
    <x:row r="5786" ht="21" customHeight="1">
      <x:c r="A5786" s="10" t="n">
        <x:v>7527</x:v>
      </x:c>
      <x:c r="B5786" s="2" t="str">
        <x:v>1e03650fd6b5bf1ff02f</x:v>
      </x:c>
      <x:c r="C5786" s="2" t="str">
        <x:v>Hậu Giang</x:v>
      </x:c>
      <x:c r="D5786" s="2" t="str">
        <x:v>Thị xã Ngã Bảy</x:v>
      </x:c>
      <x:c r="E5786" s="2" t="str">
        <x:v>land</x:v>
      </x:c>
      <x:c r="F5786" s="2" t="str">
        <x:v>sale_assumed</x:v>
      </x:c>
      <x:c r="G5786" s="11" t="n">
        <x:v>100</x:v>
      </x:c>
      <x:c r="H5786" s="12" t="n">
        <x:v>851000000</x:v>
      </x:c>
      <x:c r="I5786" s="12" t="n">
        <x:v>8510000</x:v>
      </x:c>
      <x:c r="J5786" s="2" t="str">
        <x:v>total</x:v>
      </x:c>
      <x:c r="K5786" s="2" t="str">
        <x:v>top_level_area</x:v>
      </x:c>
      <x:c r="L5786" s="2" t="str">
        <x:v>property_type_inferred_from_title;transaction_assumed_sale_from_dataset_context</x:v>
      </x:c>
      <x:c r="M5786" s="10" t="n">
        <x:v>0</x:v>
      </x:c>
      <x:c r="N5786" s="10" t="n">
        <x:v>0</x:v>
      </x:c>
      <x:c r="O5786" s="2" t="str">
        <x:v>land</x:v>
      </x:c>
      <x:c r="P5786" s="10" t="n">
        <x:v>2</x:v>
      </x:c>
      <x:c r="Q5786" s="13" t="n">
        <x:f>IF(H5786="","",H5786/1000000000)</x:f>
        <x:v>0.851</x:v>
      </x:c>
      <x:c r="R5786" s="13" t="n">
        <x:f>IF(I5786="","",I5786/1000000)</x:f>
        <x:v>8.51</x:v>
      </x:c>
    </x:row>
    <x:row r="5787" ht="21" customHeight="1">
      <x:c r="A5787" s="10" t="n">
        <x:v>7528</x:v>
      </x:c>
      <x:c r="B5787" s="2" t="str">
        <x:v>baa3f26fcc2573ae0f6a</x:v>
      </x:c>
      <x:c r="C5787" s="2" t="str">
        <x:v>Tp Hồ Chí Minh</x:v>
      </x:c>
      <x:c r="D5787" s="2" t="str">
        <x:v>Quận 9</x:v>
      </x:c>
      <x:c r="E5787" s="2" t="str">
        <x:v>apartment</x:v>
      </x:c>
      <x:c r="F5787" s="2" t="str">
        <x:v>sale_assumed</x:v>
      </x:c>
      <x:c r="G5787" s="11" t="n">
        <x:v>59</x:v>
      </x:c>
      <x:c r="H5787" s="12" t="n">
        <x:v>1912000000</x:v>
      </x:c>
      <x:c r="I5787" s="12" t="n">
        <x:v>32406779.66101695</x:v>
      </x:c>
      <x:c r="J5787" s="2" t="str">
        <x:v>total</x:v>
      </x:c>
      <x:c r="K5787" s="2" t="str">
        <x:v>top_level_area</x:v>
      </x:c>
      <x:c r="L5787" s="2" t="str">
        <x:v>property_type_inferred_from_title;transaction_assumed_sale_from_dataset_context</x:v>
      </x:c>
      <x:c r="M5787" s="10" t="n">
        <x:v>0</x:v>
      </x:c>
      <x:c r="N5787" s="10" t="n">
        <x:v>0</x:v>
      </x:c>
      <x:c r="O5787" s="2" t="str">
        <x:v>Tp Hồ Chí Minh|apartment</x:v>
      </x:c>
      <x:c r="P5787" s="10" t="n">
        <x:v>2</x:v>
      </x:c>
      <x:c r="Q5787" s="13" t="n">
        <x:f>IF(H5787="","",H5787/1000000000)</x:f>
        <x:v>1.912</x:v>
      </x:c>
      <x:c r="R5787" s="13" t="n">
        <x:f>IF(I5787="","",I5787/1000000)</x:f>
        <x:v>32.40677966101695</x:v>
      </x:c>
    </x:row>
    <x:row r="5788" ht="21" customHeight="1">
      <x:c r="A5788" s="10" t="n">
        <x:v>7529</x:v>
      </x:c>
      <x:c r="B5788" s="2" t="str">
        <x:v>67d93166b5e6ab040a77</x:v>
      </x:c>
      <x:c r="C5788" s="2" t="str">
        <x:v>Bình Dương</x:v>
      </x:c>
      <x:c r="D5788" s="2" t="str">
        <x:v>Thị xã Thuận An</x:v>
      </x:c>
      <x:c r="E5788" s="2" t="str">
        <x:v>house</x:v>
      </x:c>
      <x:c r="F5788" s="2" t="str">
        <x:v>sale</x:v>
      </x:c>
      <x:c r="G5788" s="11" t="n">
        <x:v>44</x:v>
      </x:c>
      <x:c r="H5788" s="12" t="n">
        <x:v>870000000</x:v>
      </x:c>
      <x:c r="I5788" s="12" t="n">
        <x:v>19772727.272727273</x:v>
      </x:c>
      <x:c r="J5788" s="2" t="str">
        <x:v>total</x:v>
      </x:c>
      <x:c r="K5788" s="2" t="str">
        <x:v>top_level_area</x:v>
      </x:c>
      <x:c r="L5788" s="2" t="str">
        <x:v>property_type_inferred_from_title</x:v>
      </x:c>
      <x:c r="M5788" s="10" t="n">
        <x:v>0</x:v>
      </x:c>
      <x:c r="N5788" s="10" t="n">
        <x:v>0</x:v>
      </x:c>
      <x:c r="O5788" s="2" t="str">
        <x:v>Bình Dương|house</x:v>
      </x:c>
      <x:c r="P5788" s="10" t="n">
        <x:v>2</x:v>
      </x:c>
      <x:c r="Q5788" s="13" t="n">
        <x:f>IF(H5788="","",H5788/1000000000)</x:f>
        <x:v>0.87</x:v>
      </x:c>
      <x:c r="R5788" s="13" t="n">
        <x:f>IF(I5788="","",I5788/1000000)</x:f>
        <x:v>19.772727272727273</x:v>
      </x:c>
    </x:row>
    <x:row r="5789" ht="21" customHeight="1">
      <x:c r="A5789" s="10" t="n">
        <x:v>7530</x:v>
      </x:c>
      <x:c r="B5789" s="2" t="str">
        <x:v>7d63ca1e4b771172df89</x:v>
      </x:c>
      <x:c r="C5789" s="2" t="str">
        <x:v>Hà Nội</x:v>
      </x:c>
      <x:c r="D5789" s="2" t="str">
        <x:v>Quận Hà Đông</x:v>
      </x:c>
      <x:c r="E5789" s="2" t="str">
        <x:v>house</x:v>
      </x:c>
      <x:c r="F5789" s="2" t="str">
        <x:v>sale_assumed</x:v>
      </x:c>
      <x:c r="G5789" s="11" t="n">
        <x:v>32</x:v>
      </x:c>
      <x:c r="H5789" s="12" t="n">
        <x:v>2120000000</x:v>
      </x:c>
      <x:c r="I5789" s="12" t="n">
        <x:v>66250000</x:v>
      </x:c>
      <x:c r="J5789" s="2" t="str">
        <x:v>total</x:v>
      </x:c>
      <x:c r="K5789" s="2" t="str">
        <x:v>top_level_area</x:v>
      </x:c>
      <x:c r="L5789" s="2" t="str">
        <x:v>property_type_inferred_from_title;transaction_assumed_sale_from_dataset_context</x:v>
      </x:c>
      <x:c r="M5789" s="10" t="n">
        <x:v>0</x:v>
      </x:c>
      <x:c r="N5789" s="10" t="n">
        <x:v>0</x:v>
      </x:c>
      <x:c r="O5789" s="2" t="str">
        <x:v>Hà Nội|house</x:v>
      </x:c>
      <x:c r="P5789" s="10" t="n">
        <x:v>2</x:v>
      </x:c>
      <x:c r="Q5789" s="13" t="n">
        <x:f>IF(H5789="","",H5789/1000000000)</x:f>
        <x:v>2.12</x:v>
      </x:c>
      <x:c r="R5789" s="13" t="n">
        <x:f>IF(I5789="","",I5789/1000000)</x:f>
        <x:v>66.25</x:v>
      </x:c>
    </x:row>
    <x:row r="5790" ht="21" customHeight="1">
      <x:c r="A5790" s="10" t="n">
        <x:v>7531</x:v>
      </x:c>
      <x:c r="B5790" s="2" t="str">
        <x:v>7c35e83b2d49123ae555</x:v>
      </x:c>
      <x:c r="C5790" s="2" t="str">
        <x:v>Tp Hồ Chí Minh</x:v>
      </x:c>
      <x:c r="D5790" s="2" t="str">
        <x:v>Quận 12</x:v>
      </x:c>
      <x:c r="E5790" s="2" t="str">
        <x:v>land</x:v>
      </x:c>
      <x:c r="F5790" s="2" t="str">
        <x:v>sale_assumed</x:v>
      </x:c>
      <x:c r="G5790" s="11" t="n">
        <x:v>100</x:v>
      </x:c>
      <x:c r="H5790" s="12" t="n">
        <x:v>1700000000</x:v>
      </x:c>
      <x:c r="I5790" s="12" t="n">
        <x:v>17000000</x:v>
      </x:c>
      <x:c r="J5790" s="2" t="str">
        <x:v>total</x:v>
      </x:c>
      <x:c r="K5790" s="2" t="str">
        <x:v>top_level_area</x:v>
      </x:c>
      <x:c r="L5790" s="2" t="str">
        <x:v>property_type_inferred_from_title;transaction_assumed_sale_from_dataset_context</x:v>
      </x:c>
      <x:c r="M5790" s="10" t="n">
        <x:v>0</x:v>
      </x:c>
      <x:c r="N5790" s="10" t="n">
        <x:v>0</x:v>
      </x:c>
      <x:c r="O5790" s="2" t="str">
        <x:v>Tp Hồ Chí Minh|land</x:v>
      </x:c>
      <x:c r="P5790" s="10" t="n">
        <x:v>2</x:v>
      </x:c>
      <x:c r="Q5790" s="13" t="n">
        <x:f>IF(H5790="","",H5790/1000000000)</x:f>
        <x:v>1.7</x:v>
      </x:c>
      <x:c r="R5790" s="13" t="n">
        <x:f>IF(I5790="","",I5790/1000000)</x:f>
        <x:v>17</x:v>
      </x:c>
    </x:row>
    <x:row r="5791" ht="21" customHeight="1">
      <x:c r="A5791" s="10" t="n">
        <x:v>7532</x:v>
      </x:c>
      <x:c r="B5791" s="2" t="str">
        <x:v>77e4e78fedde5a846979</x:v>
      </x:c>
      <x:c r="C5791" s="2" t="str">
        <x:v>Cần Thơ</x:v>
      </x:c>
      <x:c r="D5791" s="2" t="str">
        <x:v>Quận Ninh Kiều</x:v>
      </x:c>
      <x:c r="E5791" s="2" t="str">
        <x:v>house</x:v>
      </x:c>
      <x:c r="F5791" s="2" t="str">
        <x:v>sale_assumed</x:v>
      </x:c>
      <x:c r="G5791" s="11" t="n">
        <x:v>56</x:v>
      </x:c>
      <x:c r="H5791" s="12" t="n">
        <x:v>2550000000</x:v>
      </x:c>
      <x:c r="I5791" s="12" t="n">
        <x:v>45535714.28571428</x:v>
      </x:c>
      <x:c r="J5791" s="2" t="str">
        <x:v>total</x:v>
      </x:c>
      <x:c r="K5791" s="2" t="str">
        <x:v>top_level_area</x:v>
      </x:c>
      <x:c r="L5791" s="2" t="str">
        <x:v>property_type_inferred_from_title;transaction_assumed_sale_from_dataset_context</x:v>
      </x:c>
      <x:c r="M5791" s="10" t="n">
        <x:v>0</x:v>
      </x:c>
      <x:c r="N5791" s="10" t="n">
        <x:v>0</x:v>
      </x:c>
      <x:c r="O5791" s="2" t="str">
        <x:v>Cần Thơ|house</x:v>
      </x:c>
      <x:c r="P5791" s="10" t="n">
        <x:v>2</x:v>
      </x:c>
      <x:c r="Q5791" s="13" t="n">
        <x:f>IF(H5791="","",H5791/1000000000)</x:f>
        <x:v>2.55</x:v>
      </x:c>
      <x:c r="R5791" s="13" t="n">
        <x:f>IF(I5791="","",I5791/1000000)</x:f>
        <x:v>45.535714285714285</x:v>
      </x:c>
    </x:row>
    <x:row r="5792" ht="21" customHeight="1">
      <x:c r="A5792" s="10" t="n">
        <x:v>7533</x:v>
      </x:c>
      <x:c r="B5792" s="2" t="str">
        <x:v>0cd918d0e46036e30127</x:v>
      </x:c>
      <x:c r="C5792" s="2" t="str">
        <x:v>Tp Hồ Chí Minh</x:v>
      </x:c>
      <x:c r="D5792" s="2" t="str">
        <x:v>Huyện Bình Chánh</x:v>
      </x:c>
      <x:c r="E5792" s="2" t="str">
        <x:v>land</x:v>
      </x:c>
      <x:c r="F5792" s="2" t="str">
        <x:v>sale</x:v>
      </x:c>
      <x:c r="G5792" s="11" t="n">
        <x:v>80</x:v>
      </x:c>
      <x:c r="H5792" s="12" t="n">
        <x:v>33000000</x:v>
      </x:c>
      <x:c r="I5792" s="12" t="n">
        <x:v>412500</x:v>
      </x:c>
      <x:c r="J5792" s="2" t="str">
        <x:v>total</x:v>
      </x:c>
      <x:c r="K5792" s="2" t="str">
        <x:v>top_level_area</x:v>
      </x:c>
      <x:c r="L5792" s="2" t="str">
        <x:v>property_type_inferred_from_title</x:v>
      </x:c>
      <x:c r="M5792" s="10" t="n">
        <x:v>0</x:v>
      </x:c>
      <x:c r="N5792" s="10" t="n">
        <x:v>0</x:v>
      </x:c>
      <x:c r="O5792" s="2" t="str">
        <x:v>Tp Hồ Chí Minh|land</x:v>
      </x:c>
      <x:c r="P5792" s="10" t="n">
        <x:v>1</x:v>
      </x:c>
      <x:c r="Q5792" s="13" t="n">
        <x:f>IF(H5792="","",H5792/1000000000)</x:f>
        <x:v>0.033</x:v>
      </x:c>
      <x:c r="R5792" s="13" t="n">
        <x:f>IF(I5792="","",I5792/1000000)</x:f>
        <x:v>0.4125</x:v>
      </x:c>
    </x:row>
    <x:row r="5793" ht="21" customHeight="1">
      <x:c r="A5793" s="10" t="n">
        <x:v>7534</x:v>
      </x:c>
      <x:c r="B5793" s="2" t="str">
        <x:v>d3e5a367e58245383c28</x:v>
      </x:c>
      <x:c r="C5793" s="2" t="str">
        <x:v>Hà Nội</x:v>
      </x:c>
      <x:c r="D5793" s="2" t="str">
        <x:v>Quận Hà Đông</x:v>
      </x:c>
      <x:c r="E5793" s="2" t="str">
        <x:v>house</x:v>
      </x:c>
      <x:c r="F5793" s="2" t="str">
        <x:v>sale_assumed</x:v>
      </x:c>
      <x:c r="G5793" s="11" t="n">
        <x:v>35</x:v>
      </x:c>
      <x:c r="H5793" s="12" t="n">
        <x:v>1520000000</x:v>
      </x:c>
      <x:c r="I5793" s="12" t="n">
        <x:v>43428571.428571425</x:v>
      </x:c>
      <x:c r="J5793" s="2" t="str">
        <x:v>total</x:v>
      </x:c>
      <x:c r="K5793" s="2" t="str">
        <x:v>top_level_area</x:v>
      </x:c>
      <x:c r="L5793" s="2" t="str">
        <x:v>property_type_inferred_from_title;transaction_assumed_sale_from_dataset_context</x:v>
      </x:c>
      <x:c r="M5793" s="10" t="n">
        <x:v>0</x:v>
      </x:c>
      <x:c r="N5793" s="10" t="n">
        <x:v>0</x:v>
      </x:c>
      <x:c r="O5793" s="2" t="str">
        <x:v>Hà Nội|house</x:v>
      </x:c>
      <x:c r="P5793" s="10" t="n">
        <x:v>2</x:v>
      </x:c>
      <x:c r="Q5793" s="13" t="n">
        <x:f>IF(H5793="","",H5793/1000000000)</x:f>
        <x:v>1.52</x:v>
      </x:c>
      <x:c r="R5793" s="13" t="n">
        <x:f>IF(I5793="","",I5793/1000000)</x:f>
        <x:v>43.42857142857142</x:v>
      </x:c>
    </x:row>
    <x:row r="5794" ht="21" customHeight="1">
      <x:c r="A5794" s="10" t="n">
        <x:v>7535</x:v>
      </x:c>
      <x:c r="B5794" s="2" t="str">
        <x:v>9c0f84b3196f5ee28c47</x:v>
      </x:c>
      <x:c r="C5794" s="2" t="str">
        <x:v>Bình Dương</x:v>
      </x:c>
      <x:c r="D5794" s="2" t="str">
        <x:v>Thị xã Thuận An</x:v>
      </x:c>
      <x:c r="E5794" s="2" t="str">
        <x:v>other_unknown</x:v>
      </x:c>
      <x:c r="F5794" s="2" t="str">
        <x:v>sale</x:v>
      </x:c>
      <x:c r="G5794" s="11" t="n">
        <x:v>25</x:v>
      </x:c>
      <x:c r="H5794" s="12" t="n">
        <x:v>899000000</x:v>
      </x:c>
      <x:c r="I5794" s="12" t="n">
        <x:v>35960000</x:v>
      </x:c>
      <x:c r="J5794" s="2" t="str">
        <x:v>total</x:v>
      </x:c>
      <x:c r="K5794" s="2" t="str">
        <x:v>top_level_area</x:v>
      </x:c>
      <x:c r="L5794" s="2" t="str">
        <x:v>property_type_inferred_from_title;unknown_property_type</x:v>
      </x:c>
      <x:c r="M5794" s="10" t="n">
        <x:v>0</x:v>
      </x:c>
      <x:c r="N5794" s="10" t="n">
        <x:v>0</x:v>
      </x:c>
      <x:c r="O5794" s="2" t="str">
        <x:v>Bình Dương|other_unknown</x:v>
      </x:c>
      <x:c r="P5794" s="10" t="n">
        <x:v>2</x:v>
      </x:c>
      <x:c r="Q5794" s="13" t="n">
        <x:f>IF(H5794="","",H5794/1000000000)</x:f>
        <x:v>0.899</x:v>
      </x:c>
      <x:c r="R5794" s="13" t="n">
        <x:f>IF(I5794="","",I5794/1000000)</x:f>
        <x:v>35.96</x:v>
      </x:c>
    </x:row>
    <x:row r="5795" ht="21" customHeight="1">
      <x:c r="A5795" s="10" t="n">
        <x:v>7536</x:v>
      </x:c>
      <x:c r="B5795" s="2" t="str">
        <x:v>14e74818c6dd87c9e73d</x:v>
      </x:c>
      <x:c r="C5795" s="2" t="str">
        <x:v>Cần Thơ</x:v>
      </x:c>
      <x:c r="D5795" s="2" t="str">
        <x:v>Quận Ninh Kiều</x:v>
      </x:c>
      <x:c r="E5795" s="2" t="str">
        <x:v>house</x:v>
      </x:c>
      <x:c r="F5795" s="2" t="str">
        <x:v>sale</x:v>
      </x:c>
      <x:c r="G5795" s="11" t="n">
        <x:v>46</x:v>
      </x:c>
      <x:c r="H5795" s="12" t="n">
        <x:v>2680000000</x:v>
      </x:c>
      <x:c r="I5795" s="12" t="n">
        <x:v>58260869.56521739</x:v>
      </x:c>
      <x:c r="J5795" s="2" t="str">
        <x:v>total</x:v>
      </x:c>
      <x:c r="K5795" s="2" t="str">
        <x:v>top_level_area</x:v>
      </x:c>
      <x:c r="L5795" s="2" t="str">
        <x:v>property_type_inferred_from_title</x:v>
      </x:c>
      <x:c r="M5795" s="10" t="n">
        <x:v>0</x:v>
      </x:c>
      <x:c r="N5795" s="10" t="n">
        <x:v>0</x:v>
      </x:c>
      <x:c r="O5795" s="2" t="str">
        <x:v>Cần Thơ|house</x:v>
      </x:c>
      <x:c r="P5795" s="10" t="n">
        <x:v>2</x:v>
      </x:c>
      <x:c r="Q5795" s="13" t="n">
        <x:f>IF(H5795="","",H5795/1000000000)</x:f>
        <x:v>2.68</x:v>
      </x:c>
      <x:c r="R5795" s="13" t="n">
        <x:f>IF(I5795="","",I5795/1000000)</x:f>
        <x:v>58.26086956521739</x:v>
      </x:c>
    </x:row>
    <x:row r="5796" ht="21" customHeight="1">
      <x:c r="A5796" s="10" t="n">
        <x:v>7540</x:v>
      </x:c>
      <x:c r="B5796" s="2" t="str">
        <x:v>3a4fce9a12363e55eea9</x:v>
      </x:c>
      <x:c r="C5796" s="2" t="str">
        <x:v>Tp Hồ Chí Minh</x:v>
      </x:c>
      <x:c r="D5796" s="2" t="str">
        <x:v>Huyện Nhà Bè</x:v>
      </x:c>
      <x:c r="E5796" s="2" t="str">
        <x:v>house</x:v>
      </x:c>
      <x:c r="F5796" s="2" t="str">
        <x:v>sale_assumed</x:v>
      </x:c>
      <x:c r="G5796" s="11" t="n">
        <x:v>54</x:v>
      </x:c>
      <x:c r="H5796" s="12" t="n">
        <x:v>1180000000</x:v>
      </x:c>
      <x:c r="I5796" s="12" t="n">
        <x:v>21851851.85185185</x:v>
      </x:c>
      <x:c r="J5796" s="2" t="str">
        <x:v>total</x:v>
      </x:c>
      <x:c r="K5796" s="2" t="str">
        <x:v>top_level_area</x:v>
      </x:c>
      <x:c r="L5796" s="2" t="str">
        <x:v>property_type_inferred_from_title;transaction_assumed_sale_from_dataset_context</x:v>
      </x:c>
      <x:c r="M5796" s="10" t="n">
        <x:v>0</x:v>
      </x:c>
      <x:c r="N5796" s="10" t="n">
        <x:v>0</x:v>
      </x:c>
      <x:c r="O5796" s="2" t="str">
        <x:v>Tp Hồ Chí Minh|house</x:v>
      </x:c>
      <x:c r="P5796" s="10" t="n">
        <x:v>2</x:v>
      </x:c>
      <x:c r="Q5796" s="13" t="n">
        <x:f>IF(H5796="","",H5796/1000000000)</x:f>
        <x:v>1.18</x:v>
      </x:c>
      <x:c r="R5796" s="13" t="n">
        <x:f>IF(I5796="","",I5796/1000000)</x:f>
        <x:v>21.85185185185185</x:v>
      </x:c>
    </x:row>
    <x:row r="5797" ht="21" customHeight="1">
      <x:c r="A5797" s="10" t="n">
        <x:v>7541</x:v>
      </x:c>
      <x:c r="B5797" s="2" t="str">
        <x:v>0eae251dd60d92ee6977</x:v>
      </x:c>
      <x:c r="C5797" s="2" t="str">
        <x:v>Bà Rịa - Vũng Tàu</x:v>
      </x:c>
      <x:c r="D5797" s="2" t="str">
        <x:v>Thành phố Vũng Tàu</x:v>
      </x:c>
      <x:c r="E5797" s="2" t="str">
        <x:v>apartment</x:v>
      </x:c>
      <x:c r="F5797" s="2" t="str">
        <x:v>sale_assumed</x:v>
      </x:c>
      <x:c r="G5797" s="11" t="n">
        <x:v>45</x:v>
      </x:c>
      <x:c r="H5797" s="12" t="n">
        <x:v>550000000</x:v>
      </x:c>
      <x:c r="I5797" s="12" t="n">
        <x:v>12222222.222222222</x:v>
      </x:c>
      <x:c r="J5797" s="2" t="str">
        <x:v>total</x:v>
      </x:c>
      <x:c r="K5797" s="2" t="str">
        <x:v>top_level_price_embedded_area</x:v>
      </x:c>
      <x:c r="L5797" s="2" t="str">
        <x:v>area_recovered_from_price_text;property_type_inferred_from_title;transaction_assumed_sale_from_dataset_context</x:v>
      </x:c>
      <x:c r="M5797" s="10" t="n">
        <x:v>0</x:v>
      </x:c>
      <x:c r="N5797" s="10" t="n">
        <x:v>0</x:v>
      </x:c>
      <x:c r="O5797" s="2" t="str">
        <x:v>apartment</x:v>
      </x:c>
      <x:c r="P5797" s="10" t="n">
        <x:v>2</x:v>
      </x:c>
      <x:c r="Q5797" s="13" t="n">
        <x:f>IF(H5797="","",H5797/1000000000)</x:f>
        <x:v>0.55</x:v>
      </x:c>
      <x:c r="R5797" s="13" t="n">
        <x:f>IF(I5797="","",I5797/1000000)</x:f>
        <x:v>12.222222222222221</x:v>
      </x:c>
    </x:row>
    <x:row r="5798" ht="21" customHeight="1">
      <x:c r="A5798" s="10" t="n">
        <x:v>7542</x:v>
      </x:c>
      <x:c r="B5798" s="2" t="str">
        <x:v>c9f3820d773bc68713bb</x:v>
      </x:c>
      <x:c r="C5798" s="2" t="str">
        <x:v>Tp Hồ Chí Minh</x:v>
      </x:c>
      <x:c r="D5798" s="2" t="str">
        <x:v>Quận Bình Thạnh</x:v>
      </x:c>
      <x:c r="E5798" s="2" t="str">
        <x:v>house</x:v>
      </x:c>
      <x:c r="F5798" s="2" t="str">
        <x:v>sale_assumed</x:v>
      </x:c>
      <x:c r="G5798" s="11" t="n">
        <x:v>140</x:v>
      </x:c>
      <x:c r="H5798" s="12" t="n">
        <x:v>27700000000</x:v>
      </x:c>
      <x:c r="I5798" s="12" t="n">
        <x:v>197857142.85714287</x:v>
      </x:c>
      <x:c r="J5798" s="2" t="str">
        <x:v>total</x:v>
      </x:c>
      <x:c r="K5798" s="2" t="str">
        <x:v>top_level_area</x:v>
      </x:c>
      <x:c r="L5798" s="2" t="str">
        <x:v>property_type_inferred_from_title;transaction_assumed_sale_from_dataset_context</x:v>
      </x:c>
      <x:c r="M5798" s="10" t="n">
        <x:v>1</x:v>
      </x:c>
      <x:c r="N5798" s="10" t="n">
        <x:v>0</x:v>
      </x:c>
      <x:c r="O5798" s="2" t="str">
        <x:v>Tp Hồ Chí Minh|house</x:v>
      </x:c>
      <x:c r="P5798" s="10" t="n">
        <x:v>2</x:v>
      </x:c>
      <x:c r="Q5798" s="13" t="n">
        <x:f>IF(H5798="","",H5798/1000000000)</x:f>
        <x:v>27.7</x:v>
      </x:c>
      <x:c r="R5798" s="13" t="n">
        <x:f>IF(I5798="","",I5798/1000000)</x:f>
        <x:v>197.85714285714286</x:v>
      </x:c>
    </x:row>
    <x:row r="5799" ht="21" customHeight="1">
      <x:c r="A5799" s="10" t="n">
        <x:v>7543</x:v>
      </x:c>
      <x:c r="B5799" s="2" t="str">
        <x:v>ddd4b30f2fae4d834d4a</x:v>
      </x:c>
      <x:c r="C5799" s="2" t="str">
        <x:v>Tp Hồ Chí Minh</x:v>
      </x:c>
      <x:c r="D5799" s="2" t="str">
        <x:v>Huyện Củ Chi</x:v>
      </x:c>
      <x:c r="E5799" s="2" t="str">
        <x:v>house</x:v>
      </x:c>
      <x:c r="F5799" s="2" t="str">
        <x:v>sale_assumed</x:v>
      </x:c>
      <x:c r="G5799" s="11" t="n">
        <x:v>56</x:v>
      </x:c>
      <x:c r="H5799" s="12" t="n">
        <x:v>1200000000</x:v>
      </x:c>
      <x:c r="I5799" s="12" t="n">
        <x:v>21428571.42857143</x:v>
      </x:c>
      <x:c r="J5799" s="2" t="str">
        <x:v>total</x:v>
      </x:c>
      <x:c r="K5799" s="2" t="str">
        <x:v>top_level_area</x:v>
      </x:c>
      <x:c r="L5799" s="2" t="str">
        <x:v>property_type_inferred_from_title;transaction_assumed_sale_from_dataset_context</x:v>
      </x:c>
      <x:c r="M5799" s="10" t="n">
        <x:v>0</x:v>
      </x:c>
      <x:c r="N5799" s="10" t="n">
        <x:v>0</x:v>
      </x:c>
      <x:c r="O5799" s="2" t="str">
        <x:v>Tp Hồ Chí Minh|house</x:v>
      </x:c>
      <x:c r="P5799" s="10" t="n">
        <x:v>2</x:v>
      </x:c>
      <x:c r="Q5799" s="13" t="n">
        <x:f>IF(H5799="","",H5799/1000000000)</x:f>
        <x:v>1.2</x:v>
      </x:c>
      <x:c r="R5799" s="13" t="n">
        <x:f>IF(I5799="","",I5799/1000000)</x:f>
        <x:v>21.42857142857143</x:v>
      </x:c>
    </x:row>
    <x:row r="5800" ht="21" customHeight="1">
      <x:c r="A5800" s="10" t="n">
        <x:v>7544</x:v>
      </x:c>
      <x:c r="B5800" s="2" t="str">
        <x:v>a50c8b99198284e30aec</x:v>
      </x:c>
      <x:c r="C5800" s="2" t="str">
        <x:v>Hưng Yên</x:v>
      </x:c>
      <x:c r="D5800" s="2" t="str">
        <x:v>Huyện Ân Thi</x:v>
      </x:c>
      <x:c r="E5800" s="2" t="str">
        <x:v>other_unknown</x:v>
      </x:c>
      <x:c r="F5800" s="2" t="str">
        <x:v>sale</x:v>
      </x:c>
      <x:c r="G5800" s="11" t="n">
        <x:v>157</x:v>
      </x:c>
      <x:c r="H5800" s="12" t="n">
        <x:v>548000000</x:v>
      </x:c>
      <x:c r="I5800" s="12" t="n">
        <x:v>3490445.8598726112</x:v>
      </x:c>
      <x:c r="J5800" s="2" t="str">
        <x:v>total</x:v>
      </x:c>
      <x:c r="K5800" s="2" t="str">
        <x:v>top_level_area</x:v>
      </x:c>
      <x:c r="L5800" s="2" t="str">
        <x:v>property_type_inferred_from_title;unknown_property_type</x:v>
      </x:c>
      <x:c r="M5800" s="10" t="n">
        <x:v>0</x:v>
      </x:c>
      <x:c r="N5800" s="10" t="n">
        <x:v>0</x:v>
      </x:c>
      <x:c r="O5800" s="2" t="str">
        <x:v>other_unknown</x:v>
      </x:c>
      <x:c r="P5800" s="10" t="n">
        <x:v>1</x:v>
      </x:c>
      <x:c r="Q5800" s="13" t="n">
        <x:f>IF(H5800="","",H5800/1000000000)</x:f>
        <x:v>0.548</x:v>
      </x:c>
      <x:c r="R5800" s="13" t="n">
        <x:f>IF(I5800="","",I5800/1000000)</x:f>
        <x:v>3.490445859872611</x:v>
      </x:c>
    </x:row>
    <x:row r="5801" ht="21" customHeight="1">
      <x:c r="A5801" s="10" t="n">
        <x:v>7545</x:v>
      </x:c>
      <x:c r="B5801" s="2" t="str">
        <x:v>8e911b730f6cfb37b91f</x:v>
      </x:c>
      <x:c r="C5801" s="2" t="str">
        <x:v>Hà Nội</x:v>
      </x:c>
      <x:c r="D5801" s="2" t="str">
        <x:v>Quận Hà Đông</x:v>
      </x:c>
      <x:c r="E5801" s="2" t="str">
        <x:v>house</x:v>
      </x:c>
      <x:c r="F5801" s="2" t="str">
        <x:v>sale</x:v>
      </x:c>
      <x:c r="G5801" s="11" t="n">
        <x:v>40</x:v>
      </x:c>
      <x:c r="H5801" s="12" t="n">
        <x:v>1520000000</x:v>
      </x:c>
      <x:c r="I5801" s="12" t="n">
        <x:v>38000000</x:v>
      </x:c>
      <x:c r="J5801" s="2" t="str">
        <x:v>total</x:v>
      </x:c>
      <x:c r="K5801" s="2" t="str">
        <x:v>top_level_area</x:v>
      </x:c>
      <x:c r="L5801" s="2" t="str">
        <x:v>property_type_inferred_from_title</x:v>
      </x:c>
      <x:c r="M5801" s="10" t="n">
        <x:v>0</x:v>
      </x:c>
      <x:c r="N5801" s="10" t="n">
        <x:v>0</x:v>
      </x:c>
      <x:c r="O5801" s="2" t="str">
        <x:v>Hà Nội|house</x:v>
      </x:c>
      <x:c r="P5801" s="10" t="n">
        <x:v>2</x:v>
      </x:c>
      <x:c r="Q5801" s="13" t="n">
        <x:f>IF(H5801="","",H5801/1000000000)</x:f>
        <x:v>1.52</x:v>
      </x:c>
      <x:c r="R5801" s="13" t="n">
        <x:f>IF(I5801="","",I5801/1000000)</x:f>
        <x:v>38</x:v>
      </x:c>
    </x:row>
    <x:row r="5802" ht="21" customHeight="1">
      <x:c r="A5802" s="10" t="n">
        <x:v>7546</x:v>
      </x:c>
      <x:c r="B5802" s="2" t="str">
        <x:v>bbbb2114f194ef0a241f</x:v>
      </x:c>
      <x:c r="C5802" s="2" t="str">
        <x:v>Hà Nội</x:v>
      </x:c>
      <x:c r="D5802" s="2" t="str">
        <x:v>Quận Hai Bà Trưng</x:v>
      </x:c>
      <x:c r="E5802" s="2" t="str">
        <x:v>house</x:v>
      </x:c>
      <x:c r="F5802" s="2" t="str">
        <x:v>sale_assumed</x:v>
      </x:c>
      <x:c r="G5802" s="11" t="n">
        <x:v>34</x:v>
      </x:c>
      <x:c r="H5802" s="12" t="n">
        <x:v>2750000000</x:v>
      </x:c>
      <x:c r="I5802" s="12" t="n">
        <x:v>80882352.94117647</x:v>
      </x:c>
      <x:c r="J5802" s="2" t="str">
        <x:v>total</x:v>
      </x:c>
      <x:c r="K5802" s="2" t="str">
        <x:v>top_level_area</x:v>
      </x:c>
      <x:c r="L5802" s="2" t="str">
        <x:v>property_type_inferred_from_title;transaction_assumed_sale_from_dataset_context</x:v>
      </x:c>
      <x:c r="M5802" s="10" t="n">
        <x:v>0</x:v>
      </x:c>
      <x:c r="N5802" s="10" t="n">
        <x:v>0</x:v>
      </x:c>
      <x:c r="O5802" s="2" t="str">
        <x:v>Hà Nội|house</x:v>
      </x:c>
      <x:c r="P5802" s="10" t="n">
        <x:v>2</x:v>
      </x:c>
      <x:c r="Q5802" s="13" t="n">
        <x:f>IF(H5802="","",H5802/1000000000)</x:f>
        <x:v>2.75</x:v>
      </x:c>
      <x:c r="R5802" s="13" t="n">
        <x:f>IF(I5802="","",I5802/1000000)</x:f>
        <x:v>80.88235294117648</x:v>
      </x:c>
    </x:row>
    <x:row r="5803" ht="21" customHeight="1">
      <x:c r="A5803" s="10" t="n">
        <x:v>7547</x:v>
      </x:c>
      <x:c r="B5803" s="2" t="str">
        <x:v>e956fde3abbf2cbbb7e1</x:v>
      </x:c>
      <x:c r="C5803" s="2" t="str">
        <x:v>Tp Hồ Chí Minh</x:v>
      </x:c>
      <x:c r="D5803" s="2" t="str">
        <x:v>Quận Bình Thạnh</x:v>
      </x:c>
      <x:c r="E5803" s="2" t="str">
        <x:v>house</x:v>
      </x:c>
      <x:c r="F5803" s="2" t="str">
        <x:v>sale</x:v>
      </x:c>
      <x:c r="G5803" s="11" t="n">
        <x:v>80</x:v>
      </x:c>
      <x:c r="H5803" s="12" t="n">
        <x:v>7500000000</x:v>
      </x:c>
      <x:c r="I5803" s="12" t="n">
        <x:v>93750000</x:v>
      </x:c>
      <x:c r="J5803" s="2" t="str">
        <x:v>total</x:v>
      </x:c>
      <x:c r="K5803" s="2" t="str">
        <x:v>top_level_area</x:v>
      </x:c>
      <x:c r="L5803" s="2" t="str">
        <x:v>property_type_inferred_from_title</x:v>
      </x:c>
      <x:c r="M5803" s="10" t="n">
        <x:v>0</x:v>
      </x:c>
      <x:c r="N5803" s="10" t="n">
        <x:v>0</x:v>
      </x:c>
      <x:c r="O5803" s="2" t="str">
        <x:v>Tp Hồ Chí Minh|house</x:v>
      </x:c>
      <x:c r="P5803" s="10" t="n">
        <x:v>2</x:v>
      </x:c>
      <x:c r="Q5803" s="13" t="n">
        <x:f>IF(H5803="","",H5803/1000000000)</x:f>
        <x:v>7.5</x:v>
      </x:c>
      <x:c r="R5803" s="13" t="n">
        <x:f>IF(I5803="","",I5803/1000000)</x:f>
        <x:v>93.75</x:v>
      </x:c>
    </x:row>
    <x:row r="5804" ht="21" customHeight="1">
      <x:c r="A5804" s="10" t="n">
        <x:v>7548</x:v>
      </x:c>
      <x:c r="B5804" s="2" t="str">
        <x:v>b35c090c8d80babbc512</x:v>
      </x:c>
      <x:c r="C5804" s="2" t="str">
        <x:v>Hà Nội</x:v>
      </x:c>
      <x:c r="D5804" s="2" t="str">
        <x:v>Quận Ba Đình</x:v>
      </x:c>
      <x:c r="E5804" s="2" t="str">
        <x:v>house</x:v>
      </x:c>
      <x:c r="F5804" s="2" t="str">
        <x:v>sale</x:v>
      </x:c>
      <x:c r="G5804" s="11" t="n">
        <x:v>60</x:v>
      </x:c>
      <x:c r="H5804" s="12" t="n">
        <x:v>5000000000</x:v>
      </x:c>
      <x:c r="I5804" s="12" t="n">
        <x:v>83333333.33333333</x:v>
      </x:c>
      <x:c r="J5804" s="2" t="str">
        <x:v>total</x:v>
      </x:c>
      <x:c r="K5804" s="2" t="str">
        <x:v>top_level_area</x:v>
      </x:c>
      <x:c r="L5804" s="2" t="str">
        <x:v>property_type_inferred_from_title</x:v>
      </x:c>
      <x:c r="M5804" s="10" t="n">
        <x:v>0</x:v>
      </x:c>
      <x:c r="N5804" s="10" t="n">
        <x:v>0</x:v>
      </x:c>
      <x:c r="O5804" s="2" t="str">
        <x:v>Hà Nội|house</x:v>
      </x:c>
      <x:c r="P5804" s="10" t="n">
        <x:v>2</x:v>
      </x:c>
      <x:c r="Q5804" s="13" t="n">
        <x:f>IF(H5804="","",H5804/1000000000)</x:f>
        <x:v>5</x:v>
      </x:c>
      <x:c r="R5804" s="13" t="n">
        <x:f>IF(I5804="","",I5804/1000000)</x:f>
        <x:v>83.33333333333333</x:v>
      </x:c>
    </x:row>
    <x:row r="5805" ht="21" customHeight="1">
      <x:c r="A5805" s="10" t="n">
        <x:v>7549</x:v>
      </x:c>
      <x:c r="B5805" s="2" t="str">
        <x:v>ba4b9c13fa6b89d88a77</x:v>
      </x:c>
      <x:c r="C5805" s="2" t="str">
        <x:v>Tp Hồ Chí Minh</x:v>
      </x:c>
      <x:c r="D5805" s="2" t="str">
        <x:v>Quận Tân Bình</x:v>
      </x:c>
      <x:c r="E5805" s="2" t="str">
        <x:v>house</x:v>
      </x:c>
      <x:c r="F5805" s="2" t="str">
        <x:v>sale_assumed</x:v>
      </x:c>
      <x:c r="G5805" s="11" t="n">
        <x:v>70</x:v>
      </x:c>
      <x:c r="H5805" s="12" t="n">
        <x:v>7800000000</x:v>
      </x:c>
      <x:c r="I5805" s="12" t="n">
        <x:v>111428571.42857143</x:v>
      </x:c>
      <x:c r="J5805" s="2" t="str">
        <x:v>total</x:v>
      </x:c>
      <x:c r="K5805" s="2" t="str">
        <x:v>top_level_area</x:v>
      </x:c>
      <x:c r="L5805" s="2" t="str">
        <x:v>property_type_inferred_from_title;transaction_assumed_sale_from_dataset_context</x:v>
      </x:c>
      <x:c r="M5805" s="10" t="n">
        <x:v>0</x:v>
      </x:c>
      <x:c r="N5805" s="10" t="n">
        <x:v>0</x:v>
      </x:c>
      <x:c r="O5805" s="2" t="str">
        <x:v>Tp Hồ Chí Minh|house</x:v>
      </x:c>
      <x:c r="P5805" s="10" t="n">
        <x:v>2</x:v>
      </x:c>
      <x:c r="Q5805" s="13" t="n">
        <x:f>IF(H5805="","",H5805/1000000000)</x:f>
        <x:v>7.8</x:v>
      </x:c>
      <x:c r="R5805" s="13" t="n">
        <x:f>IF(I5805="","",I5805/1000000)</x:f>
        <x:v>111.42857142857143</x:v>
      </x:c>
    </x:row>
    <x:row r="5806" ht="21" customHeight="1">
      <x:c r="A5806" s="10" t="n">
        <x:v>7550</x:v>
      </x:c>
      <x:c r="B5806" s="2" t="str">
        <x:v>cfaf8e46a22d44d4febc</x:v>
      </x:c>
      <x:c r="C5806" s="2" t="str">
        <x:v>Tp Hồ Chí Minh</x:v>
      </x:c>
      <x:c r="D5806" s="2" t="str">
        <x:v>Quận Phú Nhuận</x:v>
      </x:c>
      <x:c r="E5806" s="2" t="str">
        <x:v>other_unknown</x:v>
      </x:c>
      <x:c r="F5806" s="2" t="str">
        <x:v>sale_assumed</x:v>
      </x:c>
      <x:c r="G5806" s="11" t="n">
        <x:v>126</x:v>
      </x:c>
      <x:c r="H5806" s="12" t="n">
        <x:v>25000000000</x:v>
      </x:c>
      <x:c r="I5806" s="12" t="n">
        <x:v>198412698.41269842</x:v>
      </x:c>
      <x:c r="J5806" s="2" t="str">
        <x:v>total</x:v>
      </x:c>
      <x:c r="K5806" s="2" t="str">
        <x:v>top_level_area</x:v>
      </x:c>
      <x:c r="L5806" s="2" t="str">
        <x:v>property_type_inferred_from_title;transaction_assumed_sale_from_dataset_context;unknown_property_type</x:v>
      </x:c>
      <x:c r="M5806" s="10" t="n">
        <x:v>1</x:v>
      </x:c>
      <x:c r="N5806" s="10" t="n">
        <x:v>0</x:v>
      </x:c>
      <x:c r="O5806" s="2" t="str">
        <x:v>Tp Hồ Chí Minh|other_unknown</x:v>
      </x:c>
      <x:c r="P5806" s="10" t="n">
        <x:v>2</x:v>
      </x:c>
      <x:c r="Q5806" s="13" t="n">
        <x:f>IF(H5806="","",H5806/1000000000)</x:f>
        <x:v>25</x:v>
      </x:c>
      <x:c r="R5806" s="13" t="n">
        <x:f>IF(I5806="","",I5806/1000000)</x:f>
        <x:v>198.4126984126984</x:v>
      </x:c>
    </x:row>
    <x:row r="5807" ht="21" customHeight="1">
      <x:c r="A5807" s="10" t="n">
        <x:v>7551</x:v>
      </x:c>
      <x:c r="B5807" s="2" t="str">
        <x:v>f19c4f2aacff3b08d0c8</x:v>
      </x:c>
      <x:c r="C5807" s="2" t="str">
        <x:v>Tp Hồ Chí Minh</x:v>
      </x:c>
      <x:c r="D5807" s="2" t="str">
        <x:v>Quận 9</x:v>
      </x:c>
      <x:c r="E5807" s="2" t="str">
        <x:v>apartment</x:v>
      </x:c>
      <x:c r="F5807" s="2" t="str">
        <x:v>sale</x:v>
      </x:c>
      <x:c r="G5807" s="11" t="n">
        <x:v>46</x:v>
      </x:c>
      <x:c r="H5807" s="12" t="n">
        <x:v>1499000000</x:v>
      </x:c>
      <x:c r="I5807" s="12" t="n">
        <x:v>32586956.52173913</x:v>
      </x:c>
      <x:c r="J5807" s="2" t="str">
        <x:v>total</x:v>
      </x:c>
      <x:c r="K5807" s="2" t="str">
        <x:v>top_level_area</x:v>
      </x:c>
      <x:c r="L5807" s="2" t="str">
        <x:v>property_type_inferred_from_title</x:v>
      </x:c>
      <x:c r="M5807" s="10" t="n">
        <x:v>0</x:v>
      </x:c>
      <x:c r="N5807" s="10" t="n">
        <x:v>0</x:v>
      </x:c>
      <x:c r="O5807" s="2" t="str">
        <x:v>Tp Hồ Chí Minh|apartment</x:v>
      </x:c>
      <x:c r="P5807" s="10" t="n">
        <x:v>2</x:v>
      </x:c>
      <x:c r="Q5807" s="13" t="n">
        <x:f>IF(H5807="","",H5807/1000000000)</x:f>
        <x:v>1.499</x:v>
      </x:c>
      <x:c r="R5807" s="13" t="n">
        <x:f>IF(I5807="","",I5807/1000000)</x:f>
        <x:v>32.586956521739125</x:v>
      </x:c>
    </x:row>
    <x:row r="5808" ht="21" customHeight="1">
      <x:c r="A5808" s="10" t="n">
        <x:v>7552</x:v>
      </x:c>
      <x:c r="B5808" s="2" t="str">
        <x:v>1972e09d87ec75af2d20</x:v>
      </x:c>
      <x:c r="C5808" s="2" t="str">
        <x:v>Tp Hồ Chí Minh</x:v>
      </x:c>
      <x:c r="D5808" s="2" t="str">
        <x:v>Huyện Củ Chi</x:v>
      </x:c>
      <x:c r="E5808" s="2" t="str">
        <x:v>other_unknown</x:v>
      </x:c>
      <x:c r="F5808" s="2" t="str">
        <x:v>sale_assumed</x:v>
      </x:c>
      <x:c r="G5808" s="11" t="n">
        <x:v>500</x:v>
      </x:c>
      <x:c r="H5808" s="12" t="n">
        <x:v>6200000000</x:v>
      </x:c>
      <x:c r="I5808" s="12" t="n">
        <x:v>12400000</x:v>
      </x:c>
      <x:c r="J5808" s="2" t="str">
        <x:v>total</x:v>
      </x:c>
      <x:c r="K5808" s="2" t="str">
        <x:v>top_level_area</x:v>
      </x:c>
      <x:c r="L5808" s="2" t="str">
        <x:v>property_type_inferred_from_title;transaction_assumed_sale_from_dataset_context;unknown_property_type</x:v>
      </x:c>
      <x:c r="M5808" s="10" t="n">
        <x:v>0</x:v>
      </x:c>
      <x:c r="N5808" s="10" t="n">
        <x:v>0</x:v>
      </x:c>
      <x:c r="O5808" s="2" t="str">
        <x:v>Tp Hồ Chí Minh|other_unknown</x:v>
      </x:c>
      <x:c r="P5808" s="10" t="n">
        <x:v>1</x:v>
      </x:c>
      <x:c r="Q5808" s="13" t="n">
        <x:f>IF(H5808="","",H5808/1000000000)</x:f>
        <x:v>6.2</x:v>
      </x:c>
      <x:c r="R5808" s="13" t="n">
        <x:f>IF(I5808="","",I5808/1000000)</x:f>
        <x:v>12.4</x:v>
      </x:c>
    </x:row>
    <x:row r="5809" ht="21" customHeight="1">
      <x:c r="A5809" s="10" t="n">
        <x:v>7553</x:v>
      </x:c>
      <x:c r="B5809" s="2" t="str">
        <x:v>9ff41c648cfc76f4d6af</x:v>
      </x:c>
      <x:c r="C5809" s="2" t="str">
        <x:v>Tp Hồ Chí Minh</x:v>
      </x:c>
      <x:c r="D5809" s="2" t="str">
        <x:v>Huyện Bình Chánh</x:v>
      </x:c>
      <x:c r="E5809" s="2" t="str">
        <x:v>house</x:v>
      </x:c>
      <x:c r="F5809" s="2" t="str">
        <x:v>sale</x:v>
      </x:c>
      <x:c r="G5809" s="11" t="n">
        <x:v>80</x:v>
      </x:c>
      <x:c r="H5809" s="12" t="n">
        <x:v>1200000000</x:v>
      </x:c>
      <x:c r="I5809" s="12" t="n">
        <x:v>15000000</x:v>
      </x:c>
      <x:c r="J5809" s="2" t="str">
        <x:v>total</x:v>
      </x:c>
      <x:c r="K5809" s="2" t="str">
        <x:v>top_level_price_embedded_area</x:v>
      </x:c>
      <x:c r="L5809" s="2" t="str">
        <x:v>area_recovered_from_price_text;property_type_inferred_from_title</x:v>
      </x:c>
      <x:c r="M5809" s="10" t="n">
        <x:v>0</x:v>
      </x:c>
      <x:c r="N5809" s="10" t="n">
        <x:v>0</x:v>
      </x:c>
      <x:c r="O5809" s="2" t="str">
        <x:v>Tp Hồ Chí Minh|house</x:v>
      </x:c>
      <x:c r="P5809" s="10" t="n">
        <x:v>2</x:v>
      </x:c>
      <x:c r="Q5809" s="13" t="n">
        <x:f>IF(H5809="","",H5809/1000000000)</x:f>
        <x:v>1.2</x:v>
      </x:c>
      <x:c r="R5809" s="13" t="n">
        <x:f>IF(I5809="","",I5809/1000000)</x:f>
        <x:v>15</x:v>
      </x:c>
    </x:row>
    <x:row r="5810" ht="21" customHeight="1">
      <x:c r="A5810" s="10" t="n">
        <x:v>7554</x:v>
      </x:c>
      <x:c r="B5810" s="2" t="str">
        <x:v>04280e6e90d77449a71b</x:v>
      </x:c>
      <x:c r="C5810" s="2" t="str">
        <x:v>Tp Hồ Chí Minh</x:v>
      </x:c>
      <x:c r="D5810" s="2" t="str">
        <x:v>Quận 2</x:v>
      </x:c>
      <x:c r="E5810" s="2" t="str">
        <x:v>other_unknown</x:v>
      </x:c>
      <x:c r="F5810" s="2" t="str">
        <x:v>sale_assumed</x:v>
      </x:c>
      <x:c r="G5810" s="11" t="n">
        <x:v>109</x:v>
      </x:c>
      <x:c r="H5810" s="12" t="n">
        <x:v>4990000000</x:v>
      </x:c>
      <x:c r="I5810" s="12" t="n">
        <x:v>45779816.51376147</x:v>
      </x:c>
      <x:c r="J5810" s="2" t="str">
        <x:v>total</x:v>
      </x:c>
      <x:c r="K5810" s="2" t="str">
        <x:v>top_level_area</x:v>
      </x:c>
      <x:c r="L5810" s="2" t="str">
        <x:v>property_type_inferred_from_title;transaction_assumed_sale_from_dataset_context;unknown_property_type</x:v>
      </x:c>
      <x:c r="M5810" s="10" t="n">
        <x:v>0</x:v>
      </x:c>
      <x:c r="N5810" s="10" t="n">
        <x:v>0</x:v>
      </x:c>
      <x:c r="O5810" s="2" t="str">
        <x:v>Tp Hồ Chí Minh|other_unknown</x:v>
      </x:c>
      <x:c r="P5810" s="10" t="n">
        <x:v>2</x:v>
      </x:c>
      <x:c r="Q5810" s="13" t="n">
        <x:f>IF(H5810="","",H5810/1000000000)</x:f>
        <x:v>4.99</x:v>
      </x:c>
      <x:c r="R5810" s="13" t="n">
        <x:f>IF(I5810="","",I5810/1000000)</x:f>
        <x:v>45.77981651376147</x:v>
      </x:c>
    </x:row>
    <x:row r="5811" ht="21" customHeight="1">
      <x:c r="A5811" s="10" t="n">
        <x:v>7555</x:v>
      </x:c>
      <x:c r="B5811" s="2" t="str">
        <x:v>de476c30904d481526f1</x:v>
      </x:c>
      <x:c r="C5811" s="2" t="str">
        <x:v>Hà Nội</x:v>
      </x:c>
      <x:c r="D5811" s="2" t="str">
        <x:v>Quận Thanh Xuân</x:v>
      </x:c>
      <x:c r="E5811" s="2" t="str">
        <x:v>other_unknown</x:v>
      </x:c>
      <x:c r="F5811" s="2" t="str">
        <x:v>sale</x:v>
      </x:c>
      <x:c r="G5811" s="11" t="n">
        <x:v>25</x:v>
      </x:c>
      <x:c r="H5811" s="12" t="n">
        <x:v>1800000000</x:v>
      </x:c>
      <x:c r="I5811" s="12" t="n">
        <x:v>72000000</x:v>
      </x:c>
      <x:c r="J5811" s="2" t="str">
        <x:v>total</x:v>
      </x:c>
      <x:c r="K5811" s="2" t="str">
        <x:v>top_level_area</x:v>
      </x:c>
      <x:c r="L5811" s="2" t="str">
        <x:v>property_type_inferred_from_title;unknown_property_type</x:v>
      </x:c>
      <x:c r="M5811" s="10" t="n">
        <x:v>0</x:v>
      </x:c>
      <x:c r="N5811" s="10" t="n">
        <x:v>0</x:v>
      </x:c>
      <x:c r="O5811" s="2" t="str">
        <x:v>Hà Nội|other_unknown</x:v>
      </x:c>
      <x:c r="P5811" s="10" t="n">
        <x:v>2</x:v>
      </x:c>
      <x:c r="Q5811" s="13" t="n">
        <x:f>IF(H5811="","",H5811/1000000000)</x:f>
        <x:v>1.8</x:v>
      </x:c>
      <x:c r="R5811" s="13" t="n">
        <x:f>IF(I5811="","",I5811/1000000)</x:f>
        <x:v>72</x:v>
      </x:c>
    </x:row>
    <x:row r="5812" ht="21" customHeight="1">
      <x:c r="A5812" s="10" t="n">
        <x:v>7556</x:v>
      </x:c>
      <x:c r="B5812" s="2" t="str">
        <x:v>d37b03322295ab9284f6</x:v>
      </x:c>
      <x:c r="C5812" s="2" t="str">
        <x:v>Bình Dương</x:v>
      </x:c>
      <x:c r="D5812" s="2" t="str">
        <x:v>Thị xã Tân Uyên</x:v>
      </x:c>
      <x:c r="E5812" s="2" t="str">
        <x:v>land</x:v>
      </x:c>
      <x:c r="F5812" s="2" t="str">
        <x:v>sale_assumed</x:v>
      </x:c>
      <x:c r="G5812" s="11" t="n">
        <x:v>150</x:v>
      </x:c>
      <x:c r="H5812" s="12" t="n">
        <x:v>950000000</x:v>
      </x:c>
      <x:c r="I5812" s="12" t="n">
        <x:v>6333333.333333333</x:v>
      </x:c>
      <x:c r="J5812" s="2" t="str">
        <x:v>total</x:v>
      </x:c>
      <x:c r="K5812" s="2" t="str">
        <x:v>top_level_area</x:v>
      </x:c>
      <x:c r="L5812" s="2" t="str">
        <x:v>property_type_inferred_from_title;transaction_assumed_sale_from_dataset_context</x:v>
      </x:c>
      <x:c r="M5812" s="10" t="n">
        <x:v>0</x:v>
      </x:c>
      <x:c r="N5812" s="10" t="n">
        <x:v>0</x:v>
      </x:c>
      <x:c r="O5812" s="2" t="str">
        <x:v>Bình Dương|land</x:v>
      </x:c>
      <x:c r="P5812" s="10" t="n">
        <x:v>2</x:v>
      </x:c>
      <x:c r="Q5812" s="13" t="n">
        <x:f>IF(H5812="","",H5812/1000000000)</x:f>
        <x:v>0.95</x:v>
      </x:c>
      <x:c r="R5812" s="13" t="n">
        <x:f>IF(I5812="","",I5812/1000000)</x:f>
        <x:v>6.333333333333333</x:v>
      </x:c>
    </x:row>
    <x:row r="5813" ht="21" customHeight="1">
      <x:c r="A5813" s="10" t="n">
        <x:v>7557</x:v>
      </x:c>
      <x:c r="B5813" s="2" t="str">
        <x:v>fb8138e943bc31384c1c</x:v>
      </x:c>
      <x:c r="C5813" s="2" t="str">
        <x:v>Thanh Hóa</x:v>
      </x:c>
      <x:c r="D5813" s="2" t="str">
        <x:v>Thành phố Thanh Hóa</x:v>
      </x:c>
      <x:c r="E5813" s="2" t="str">
        <x:v>house</x:v>
      </x:c>
      <x:c r="F5813" s="2" t="str">
        <x:v>sale</x:v>
      </x:c>
      <x:c r="G5813" s="11" t="n">
        <x:v>160</x:v>
      </x:c>
      <x:c r="H5813" s="12" t="n">
        <x:v>1000000000</x:v>
      </x:c>
      <x:c r="I5813" s="12" t="n">
        <x:v>6250000</x:v>
      </x:c>
      <x:c r="J5813" s="2" t="str">
        <x:v>total</x:v>
      </x:c>
      <x:c r="K5813" s="2" t="str">
        <x:v>top_level_area</x:v>
      </x:c>
      <x:c r="L5813" s="2" t="str">
        <x:v>property_type_inferred_from_title</x:v>
      </x:c>
      <x:c r="M5813" s="10" t="n">
        <x:v>0</x:v>
      </x:c>
      <x:c r="N5813" s="10" t="n">
        <x:v>0</x:v>
      </x:c>
      <x:c r="O5813" s="2" t="str">
        <x:v>house</x:v>
      </x:c>
      <x:c r="P5813" s="10" t="n">
        <x:v>2</x:v>
      </x:c>
      <x:c r="Q5813" s="13" t="n">
        <x:f>IF(H5813="","",H5813/1000000000)</x:f>
        <x:v>1</x:v>
      </x:c>
      <x:c r="R5813" s="13" t="n">
        <x:f>IF(I5813="","",I5813/1000000)</x:f>
        <x:v>6.25</x:v>
      </x:c>
    </x:row>
    <x:row r="5814" ht="21" customHeight="1">
      <x:c r="A5814" s="10" t="n">
        <x:v>7558</x:v>
      </x:c>
      <x:c r="B5814" s="2" t="str">
        <x:v>b334e57611825f92532f</x:v>
      </x:c>
      <x:c r="C5814" s="2" t="str">
        <x:v>Đà Nẵng</x:v>
      </x:c>
      <x:c r="D5814" s="2" t="str">
        <x:v>Quận Hải Châu</x:v>
      </x:c>
      <x:c r="E5814" s="2" t="str">
        <x:v>house</x:v>
      </x:c>
      <x:c r="F5814" s="2" t="str">
        <x:v>sale</x:v>
      </x:c>
      <x:c r="G5814" s="11" t="n">
        <x:v>32</x:v>
      </x:c>
      <x:c r="H5814" s="12" t="n">
        <x:v>1950000000</x:v>
      </x:c>
      <x:c r="I5814" s="12" t="n">
        <x:v>60937500</x:v>
      </x:c>
      <x:c r="J5814" s="2" t="str">
        <x:v>total</x:v>
      </x:c>
      <x:c r="K5814" s="2" t="str">
        <x:v>top_level_area</x:v>
      </x:c>
      <x:c r="L5814" s="2" t="str">
        <x:v>property_type_inferred_from_title</x:v>
      </x:c>
      <x:c r="M5814" s="10" t="n">
        <x:v>0</x:v>
      </x:c>
      <x:c r="N5814" s="10" t="n">
        <x:v>0</x:v>
      </x:c>
      <x:c r="O5814" s="2" t="str">
        <x:v>Đà Nẵng|house</x:v>
      </x:c>
      <x:c r="P5814" s="10" t="n">
        <x:v>2</x:v>
      </x:c>
      <x:c r="Q5814" s="13" t="n">
        <x:f>IF(H5814="","",H5814/1000000000)</x:f>
        <x:v>1.95</x:v>
      </x:c>
      <x:c r="R5814" s="13" t="n">
        <x:f>IF(I5814="","",I5814/1000000)</x:f>
        <x:v>60.9375</x:v>
      </x:c>
    </x:row>
    <x:row r="5815" ht="21" customHeight="1">
      <x:c r="A5815" s="10" t="n">
        <x:v>7559</x:v>
      </x:c>
      <x:c r="B5815" s="2" t="str">
        <x:v>0d3d64eb15311d4e3faf</x:v>
      </x:c>
      <x:c r="C5815" s="2" t="str">
        <x:v>Đắk Lắk</x:v>
      </x:c>
      <x:c r="D5815" s="2" t="str">
        <x:v>Thành phố Buôn Ma Thuột</x:v>
      </x:c>
      <x:c r="E5815" s="2" t="str">
        <x:v>house</x:v>
      </x:c>
      <x:c r="F5815" s="2" t="str">
        <x:v>sale_assumed</x:v>
      </x:c>
      <x:c r="G5815" s="11" t="n">
        <x:v>98.3</x:v>
      </x:c>
      <x:c r="H5815" s="12" t="n">
        <x:v>871000000</x:v>
      </x:c>
      <x:c r="I5815" s="12" t="n">
        <x:v>8860630.722278738</x:v>
      </x:c>
      <x:c r="J5815" s="2" t="str">
        <x:v>total</x:v>
      </x:c>
      <x:c r="K5815" s="2" t="str">
        <x:v>top_level_area</x:v>
      </x:c>
      <x:c r="L5815" s="2" t="str">
        <x:v>property_type_inferred_from_title;transaction_assumed_sale_from_dataset_context</x:v>
      </x:c>
      <x:c r="M5815" s="10" t="n">
        <x:v>0</x:v>
      </x:c>
      <x:c r="N5815" s="10" t="n">
        <x:v>0</x:v>
      </x:c>
      <x:c r="O5815" s="2" t="str">
        <x:v>Đắk Lắk|house</x:v>
      </x:c>
      <x:c r="P5815" s="10" t="n">
        <x:v>2</x:v>
      </x:c>
      <x:c r="Q5815" s="13" t="n">
        <x:f>IF(H5815="","",H5815/1000000000)</x:f>
        <x:v>0.871</x:v>
      </x:c>
      <x:c r="R5815" s="13" t="n">
        <x:f>IF(I5815="","",I5815/1000000)</x:f>
        <x:v>8.860630722278739</x:v>
      </x:c>
    </x:row>
    <x:row r="5816" ht="21" customHeight="1">
      <x:c r="A5816" s="10" t="n">
        <x:v>7562</x:v>
      </x:c>
      <x:c r="B5816" s="2" t="str">
        <x:v>b8f17fe31c701c9f89d7</x:v>
      </x:c>
      <x:c r="C5816" s="2" t="str">
        <x:v>Tp Hồ Chí Minh</x:v>
      </x:c>
      <x:c r="D5816" s="2" t="str">
        <x:v>Quận Phú Nhuận</x:v>
      </x:c>
      <x:c r="E5816" s="2" t="str">
        <x:v>house</x:v>
      </x:c>
      <x:c r="F5816" s="2" t="str">
        <x:v>sale</x:v>
      </x:c>
      <x:c r="G5816" s="11" t="n">
        <x:v>50</x:v>
      </x:c>
      <x:c r="H5816" s="12" t="n">
        <x:v>5900000000</x:v>
      </x:c>
      <x:c r="I5816" s="12" t="n">
        <x:v>118000000</x:v>
      </x:c>
      <x:c r="J5816" s="2" t="str">
        <x:v>total</x:v>
      </x:c>
      <x:c r="K5816" s="2" t="str">
        <x:v>top_level_area</x:v>
      </x:c>
      <x:c r="L5816" s="2" t="str">
        <x:v>property_type_inferred_from_title</x:v>
      </x:c>
      <x:c r="M5816" s="10" t="n">
        <x:v>0</x:v>
      </x:c>
      <x:c r="N5816" s="10" t="n">
        <x:v>0</x:v>
      </x:c>
      <x:c r="O5816" s="2" t="str">
        <x:v>Tp Hồ Chí Minh|house</x:v>
      </x:c>
      <x:c r="P5816" s="10" t="n">
        <x:v>2</x:v>
      </x:c>
      <x:c r="Q5816" s="13" t="n">
        <x:f>IF(H5816="","",H5816/1000000000)</x:f>
        <x:v>5.9</x:v>
      </x:c>
      <x:c r="R5816" s="13" t="n">
        <x:f>IF(I5816="","",I5816/1000000)</x:f>
        <x:v>118</x:v>
      </x:c>
    </x:row>
    <x:row r="5817" ht="21" customHeight="1">
      <x:c r="A5817" s="10" t="n">
        <x:v>7563</x:v>
      </x:c>
      <x:c r="B5817" s="2" t="str">
        <x:v>89bdb5668e4da0020b65</x:v>
      </x:c>
      <x:c r="C5817" s="2" t="str">
        <x:v>Tp Hồ Chí Minh</x:v>
      </x:c>
      <x:c r="D5817" s="2" t="str">
        <x:v>Quận 1</x:v>
      </x:c>
      <x:c r="E5817" s="2" t="str">
        <x:v>house</x:v>
      </x:c>
      <x:c r="F5817" s="2" t="str">
        <x:v>sale_assumed</x:v>
      </x:c>
      <x:c r="G5817" s="11" t="n">
        <x:v>50</x:v>
      </x:c>
      <x:c r="H5817" s="12" t="n">
        <x:v>7600000000</x:v>
      </x:c>
      <x:c r="I5817" s="12" t="n">
        <x:v>152000000</x:v>
      </x:c>
      <x:c r="J5817" s="2" t="str">
        <x:v>total</x:v>
      </x:c>
      <x:c r="K5817" s="2" t="str">
        <x:v>top_level_area</x:v>
      </x:c>
      <x:c r="L5817" s="2" t="str">
        <x:v>property_type_inferred_from_title;transaction_assumed_sale_from_dataset_context</x:v>
      </x:c>
      <x:c r="M5817" s="10" t="n">
        <x:v>0</x:v>
      </x:c>
      <x:c r="N5817" s="10" t="n">
        <x:v>0</x:v>
      </x:c>
      <x:c r="O5817" s="2" t="str">
        <x:v>Tp Hồ Chí Minh|house</x:v>
      </x:c>
      <x:c r="P5817" s="10" t="n">
        <x:v>2</x:v>
      </x:c>
      <x:c r="Q5817" s="13" t="n">
        <x:f>IF(H5817="","",H5817/1000000000)</x:f>
        <x:v>7.6</x:v>
      </x:c>
      <x:c r="R5817" s="13" t="n">
        <x:f>IF(I5817="","",I5817/1000000)</x:f>
        <x:v>152</x:v>
      </x:c>
    </x:row>
    <x:row r="5818" ht="21" customHeight="1">
      <x:c r="A5818" s="10" t="n">
        <x:v>7564</x:v>
      </x:c>
      <x:c r="B5818" s="2" t="str">
        <x:v>b1851a80f83b2d6919a1</x:v>
      </x:c>
      <x:c r="C5818" s="2" t="str">
        <x:v>Tp Hồ Chí Minh</x:v>
      </x:c>
      <x:c r="D5818" s="2" t="str">
        <x:v>Quận Bình Tân</x:v>
      </x:c>
      <x:c r="E5818" s="2" t="str">
        <x:v>other_unknown</x:v>
      </x:c>
      <x:c r="F5818" s="2" t="str">
        <x:v>sale_assumed</x:v>
      </x:c>
      <x:c r="G5818" s="11" t="n">
        <x:v>205</x:v>
      </x:c>
      <x:c r="H5818" s="12" t="n">
        <x:v>6600000000</x:v>
      </x:c>
      <x:c r="I5818" s="12" t="n">
        <x:v>32195121.951219514</x:v>
      </x:c>
      <x:c r="J5818" s="2" t="str">
        <x:v>total</x:v>
      </x:c>
      <x:c r="K5818" s="2" t="str">
        <x:v>top_level_area</x:v>
      </x:c>
      <x:c r="L5818" s="2" t="str">
        <x:v>property_type_inferred_from_title;transaction_assumed_sale_from_dataset_context;unknown_property_type</x:v>
      </x:c>
      <x:c r="M5818" s="10" t="n">
        <x:v>0</x:v>
      </x:c>
      <x:c r="N5818" s="10" t="n">
        <x:v>0</x:v>
      </x:c>
      <x:c r="O5818" s="2" t="str">
        <x:v>Tp Hồ Chí Minh|other_unknown</x:v>
      </x:c>
      <x:c r="P5818" s="10" t="n">
        <x:v>2</x:v>
      </x:c>
      <x:c r="Q5818" s="13" t="n">
        <x:f>IF(H5818="","",H5818/1000000000)</x:f>
        <x:v>6.6</x:v>
      </x:c>
      <x:c r="R5818" s="13" t="n">
        <x:f>IF(I5818="","",I5818/1000000)</x:f>
        <x:v>32.19512195121951</x:v>
      </x:c>
    </x:row>
    <x:row r="5819" ht="21" customHeight="1">
      <x:c r="A5819" s="10" t="n">
        <x:v>7565</x:v>
      </x:c>
      <x:c r="B5819" s="2" t="str">
        <x:v>5e7d4a1a93b9908451a7</x:v>
      </x:c>
      <x:c r="C5819" s="2" t="str">
        <x:v>Tp Hồ Chí Minh</x:v>
      </x:c>
      <x:c r="D5819" s="2" t="str">
        <x:v>Quận 8</x:v>
      </x:c>
      <x:c r="E5819" s="2" t="str">
        <x:v>other_unknown</x:v>
      </x:c>
      <x:c r="F5819" s="2" t="str">
        <x:v>sale</x:v>
      </x:c>
      <x:c r="G5819" s="11" t="n">
        <x:v>225.5</x:v>
      </x:c>
      <x:c r="H5819" s="12" t="n">
        <x:v>31000000000</x:v>
      </x:c>
      <x:c r="I5819" s="12" t="n">
        <x:v>137472283.81374723</x:v>
      </x:c>
      <x:c r="J5819" s="2" t="str">
        <x:v>total</x:v>
      </x:c>
      <x:c r="K5819" s="2" t="str">
        <x:v>top_level_area</x:v>
      </x:c>
      <x:c r="L5819" s="2" t="str">
        <x:v>property_type_inferred_from_title;unknown_property_type</x:v>
      </x:c>
      <x:c r="M5819" s="10" t="n">
        <x:v>0</x:v>
      </x:c>
      <x:c r="N5819" s="10" t="n">
        <x:v>0</x:v>
      </x:c>
      <x:c r="O5819" s="2" t="str">
        <x:v>Tp Hồ Chí Minh|other_unknown</x:v>
      </x:c>
      <x:c r="P5819" s="10" t="n">
        <x:v>2</x:v>
      </x:c>
      <x:c r="Q5819" s="13" t="n">
        <x:f>IF(H5819="","",H5819/1000000000)</x:f>
        <x:v>31</x:v>
      </x:c>
      <x:c r="R5819" s="13" t="n">
        <x:f>IF(I5819="","",I5819/1000000)</x:f>
        <x:v>137.47228381374723</x:v>
      </x:c>
    </x:row>
    <x:row r="5820" ht="21" customHeight="1">
      <x:c r="A5820" s="10" t="n">
        <x:v>7566</x:v>
      </x:c>
      <x:c r="B5820" s="2" t="str">
        <x:v>3219f6deae91e31cf4ef</x:v>
      </x:c>
      <x:c r="C5820" s="2" t="str">
        <x:v>Đà Nẵng</x:v>
      </x:c>
      <x:c r="D5820" s="2" t="str">
        <x:v>Quận Thanh Khê</x:v>
      </x:c>
      <x:c r="E5820" s="2" t="str">
        <x:v>other_unknown</x:v>
      </x:c>
      <x:c r="F5820" s="2" t="str">
        <x:v>sale_assumed</x:v>
      </x:c>
      <x:c r="G5820" s="11" t="n">
        <x:v>4142</x:v>
      </x:c>
      <x:c r="H5820" s="12" t="n">
        <x:v>1870000000</x:v>
      </x:c>
      <x:c r="I5820" s="12" t="n">
        <x:v>451472.7184934814</x:v>
      </x:c>
      <x:c r="J5820" s="2" t="str">
        <x:v>total</x:v>
      </x:c>
      <x:c r="K5820" s="2" t="str">
        <x:v>top_level_area</x:v>
      </x:c>
      <x:c r="L5820" s="2" t="str">
        <x:v>dot_thousands_convention;property_type_inferred_from_title;transaction_assumed_sale_from_dataset_context;unknown_property_type</x:v>
      </x:c>
      <x:c r="M5820" s="10" t="n">
        <x:v>0</x:v>
      </x:c>
      <x:c r="N5820" s="10" t="n">
        <x:v>0</x:v>
      </x:c>
      <x:c r="O5820" s="2" t="str">
        <x:v>Đà Nẵng|other_unknown</x:v>
      </x:c>
      <x:c r="P5820" s="10" t="n">
        <x:v>1</x:v>
      </x:c>
      <x:c r="Q5820" s="13" t="n">
        <x:f>IF(H5820="","",H5820/1000000000)</x:f>
        <x:v>1.87</x:v>
      </x:c>
      <x:c r="R5820" s="13" t="n">
        <x:f>IF(I5820="","",I5820/1000000)</x:f>
        <x:v>0.4514727184934814</x:v>
      </x:c>
    </x:row>
    <x:row r="5821" ht="21" customHeight="1">
      <x:c r="A5821" s="10" t="n">
        <x:v>7567</x:v>
      </x:c>
      <x:c r="B5821" s="2" t="str">
        <x:v>98afcb033417a7b3d3ab</x:v>
      </x:c>
      <x:c r="C5821" s="2" t="str">
        <x:v>Long An</x:v>
      </x:c>
      <x:c r="D5821" s="2" t="str">
        <x:v>Thành phố Tân An</x:v>
      </x:c>
      <x:c r="E5821" s="2" t="str">
        <x:v>land</x:v>
      </x:c>
      <x:c r="F5821" s="2" t="str">
        <x:v>sale</x:v>
      </x:c>
      <x:c r="G5821" s="11" t="n">
        <x:v>84</x:v>
      </x:c>
      <x:c r="H5821" s="12" t="n">
        <x:v>1250000000</x:v>
      </x:c>
      <x:c r="I5821" s="12" t="n">
        <x:v>14880952.38095238</x:v>
      </x:c>
      <x:c r="J5821" s="2" t="str">
        <x:v>total</x:v>
      </x:c>
      <x:c r="K5821" s="2" t="str">
        <x:v>top_level_area</x:v>
      </x:c>
      <x:c r="L5821" s="2" t="str">
        <x:v>property_type_inferred_from_title</x:v>
      </x:c>
      <x:c r="M5821" s="10" t="n">
        <x:v>0</x:v>
      </x:c>
      <x:c r="N5821" s="10" t="n">
        <x:v>0</x:v>
      </x:c>
      <x:c r="O5821" s="2" t="str">
        <x:v>Long An|land</x:v>
      </x:c>
      <x:c r="P5821" s="10" t="n">
        <x:v>2</x:v>
      </x:c>
      <x:c r="Q5821" s="13" t="n">
        <x:f>IF(H5821="","",H5821/1000000000)</x:f>
        <x:v>1.25</x:v>
      </x:c>
      <x:c r="R5821" s="13" t="n">
        <x:f>IF(I5821="","",I5821/1000000)</x:f>
        <x:v>14.880952380952381</x:v>
      </x:c>
    </x:row>
    <x:row r="5822" ht="21" customHeight="1">
      <x:c r="A5822" s="10" t="n">
        <x:v>7568</x:v>
      </x:c>
      <x:c r="B5822" s="2" t="str">
        <x:v>843fea5017bc3ae5ec9b</x:v>
      </x:c>
      <x:c r="C5822" s="2" t="str">
        <x:v>Tp Hồ Chí Minh</x:v>
      </x:c>
      <x:c r="D5822" s="2" t="str">
        <x:v>Huyện Bình Chánh</x:v>
      </x:c>
      <x:c r="E5822" s="2" t="str">
        <x:v>house</x:v>
      </x:c>
      <x:c r="F5822" s="2" t="str">
        <x:v>sale</x:v>
      </x:c>
      <x:c r="G5822" s="11" t="n">
        <x:v>80</x:v>
      </x:c>
      <x:c r="H5822" s="12" t="n">
        <x:v>950000000</x:v>
      </x:c>
      <x:c r="I5822" s="12" t="n">
        <x:v>11875000</x:v>
      </x:c>
      <x:c r="J5822" s="2" t="str">
        <x:v>total</x:v>
      </x:c>
      <x:c r="K5822" s="2" t="str">
        <x:v>top_level_area</x:v>
      </x:c>
      <x:c r="L5822" s="2" t="str">
        <x:v>property_type_inferred_from_title</x:v>
      </x:c>
      <x:c r="M5822" s="10" t="n">
        <x:v>0</x:v>
      </x:c>
      <x:c r="N5822" s="10" t="n">
        <x:v>0</x:v>
      </x:c>
      <x:c r="O5822" s="2" t="str">
        <x:v>Tp Hồ Chí Minh|house</x:v>
      </x:c>
      <x:c r="P5822" s="10" t="n">
        <x:v>2</x:v>
      </x:c>
      <x:c r="Q5822" s="13" t="n">
        <x:f>IF(H5822="","",H5822/1000000000)</x:f>
        <x:v>0.95</x:v>
      </x:c>
      <x:c r="R5822" s="13" t="n">
        <x:f>IF(I5822="","",I5822/1000000)</x:f>
        <x:v>11.875</x:v>
      </x:c>
    </x:row>
    <x:row r="5823" ht="21" customHeight="1">
      <x:c r="A5823" s="10" t="n">
        <x:v>7569</x:v>
      </x:c>
      <x:c r="B5823" s="2" t="str">
        <x:v>6ad70a0f4ac41b31e982</x:v>
      </x:c>
      <x:c r="C5823" s="2" t="str">
        <x:v>Tp Hồ Chí Minh</x:v>
      </x:c>
      <x:c r="D5823" s="2" t="str">
        <x:v>Quận 12</x:v>
      </x:c>
      <x:c r="E5823" s="2" t="str">
        <x:v>house</x:v>
      </x:c>
      <x:c r="F5823" s="2" t="str">
        <x:v>sale_assumed</x:v>
      </x:c>
      <x:c r="G5823" s="11" t="n">
        <x:v>41</x:v>
      </x:c>
      <x:c r="H5823" s="12" t="n">
        <x:v>820000000</x:v>
      </x:c>
      <x:c r="I5823" s="12" t="n">
        <x:v>20000000</x:v>
      </x:c>
      <x:c r="J5823" s="2" t="str">
        <x:v>total</x:v>
      </x:c>
      <x:c r="K5823" s="2" t="str">
        <x:v>top_level_area</x:v>
      </x:c>
      <x:c r="L5823" s="2" t="str">
        <x:v>property_type_inferred_from_title;transaction_assumed_sale_from_dataset_context</x:v>
      </x:c>
      <x:c r="M5823" s="10" t="n">
        <x:v>0</x:v>
      </x:c>
      <x:c r="N5823" s="10" t="n">
        <x:v>0</x:v>
      </x:c>
      <x:c r="O5823" s="2" t="str">
        <x:v>Tp Hồ Chí Minh|house</x:v>
      </x:c>
      <x:c r="P5823" s="10" t="n">
        <x:v>2</x:v>
      </x:c>
      <x:c r="Q5823" s="13" t="n">
        <x:f>IF(H5823="","",H5823/1000000000)</x:f>
        <x:v>0.82</x:v>
      </x:c>
      <x:c r="R5823" s="13" t="n">
        <x:f>IF(I5823="","",I5823/1000000)</x:f>
        <x:v>20</x:v>
      </x:c>
    </x:row>
    <x:row r="5824" ht="21" customHeight="1">
      <x:c r="A5824" s="10" t="n">
        <x:v>7570</x:v>
      </x:c>
      <x:c r="B5824" s="2" t="str">
        <x:v>e4f0a3278aba22208493</x:v>
      </x:c>
      <x:c r="C5824" s="2" t="str">
        <x:v>Thừa Thiên Huế</x:v>
      </x:c>
      <x:c r="D5824" s="2" t="str">
        <x:v>Thành phố Huế</x:v>
      </x:c>
      <x:c r="E5824" s="2" t="str">
        <x:v>land</x:v>
      </x:c>
      <x:c r="F5824" s="2" t="str">
        <x:v>sale</x:v>
      </x:c>
      <x:c r="G5824" s="11" t="n">
        <x:v>94</x:v>
      </x:c>
      <x:c r="H5824" s="12" t="n">
        <x:v>2100000000</x:v>
      </x:c>
      <x:c r="I5824" s="12" t="n">
        <x:v>22340425.531914894</x:v>
      </x:c>
      <x:c r="J5824" s="2" t="str">
        <x:v>total</x:v>
      </x:c>
      <x:c r="K5824" s="2" t="str">
        <x:v>top_level_area</x:v>
      </x:c>
      <x:c r="L5824" s="2" t="str">
        <x:v>property_type_inferred_from_title</x:v>
      </x:c>
      <x:c r="M5824" s="10" t="n">
        <x:v>0</x:v>
      </x:c>
      <x:c r="N5824" s="10" t="n">
        <x:v>0</x:v>
      </x:c>
      <x:c r="O5824" s="2" t="str">
        <x:v>land</x:v>
      </x:c>
      <x:c r="P5824" s="10" t="n">
        <x:v>2</x:v>
      </x:c>
      <x:c r="Q5824" s="13" t="n">
        <x:f>IF(H5824="","",H5824/1000000000)</x:f>
        <x:v>2.1</x:v>
      </x:c>
      <x:c r="R5824" s="13" t="n">
        <x:f>IF(I5824="","",I5824/1000000)</x:f>
        <x:v>22.340425531914892</x:v>
      </x:c>
    </x:row>
    <x:row r="5825" ht="21" customHeight="1">
      <x:c r="A5825" s="10" t="n">
        <x:v>7571</x:v>
      </x:c>
      <x:c r="B5825" s="2" t="str">
        <x:v>bea101c5f1f737e121f9</x:v>
      </x:c>
      <x:c r="C5825" s="2" t="str">
        <x:v>Hà Nội</x:v>
      </x:c>
      <x:c r="D5825" s="2" t="str">
        <x:v>Quận Hoàng Mai</x:v>
      </x:c>
      <x:c r="E5825" s="2" t="str">
        <x:v>house</x:v>
      </x:c>
      <x:c r="F5825" s="2" t="str">
        <x:v>sale_assumed</x:v>
      </x:c>
      <x:c r="G5825" s="11" t="n">
        <x:v>30</x:v>
      </x:c>
      <x:c r="H5825" s="12" t="n">
        <x:v>2700000000</x:v>
      </x:c>
      <x:c r="I5825" s="12" t="n">
        <x:v>90000000</x:v>
      </x:c>
      <x:c r="J5825" s="2" t="str">
        <x:v>total</x:v>
      </x:c>
      <x:c r="K5825" s="2" t="str">
        <x:v>top_level_area</x:v>
      </x:c>
      <x:c r="L5825" s="2" t="str">
        <x:v>property_type_inferred_from_title;transaction_assumed_sale_from_dataset_context</x:v>
      </x:c>
      <x:c r="M5825" s="10" t="n">
        <x:v>0</x:v>
      </x:c>
      <x:c r="N5825" s="10" t="n">
        <x:v>0</x:v>
      </x:c>
      <x:c r="O5825" s="2" t="str">
        <x:v>Hà Nội|house</x:v>
      </x:c>
      <x:c r="P5825" s="10" t="n">
        <x:v>2</x:v>
      </x:c>
      <x:c r="Q5825" s="13" t="n">
        <x:f>IF(H5825="","",H5825/1000000000)</x:f>
        <x:v>2.7</x:v>
      </x:c>
      <x:c r="R5825" s="13" t="n">
        <x:f>IF(I5825="","",I5825/1000000)</x:f>
        <x:v>90</x:v>
      </x:c>
    </x:row>
    <x:row r="5826" ht="21" customHeight="1">
      <x:c r="A5826" s="10" t="n">
        <x:v>7572</x:v>
      </x:c>
      <x:c r="B5826" s="2" t="str">
        <x:v>db25bb765bacea5060ec</x:v>
      </x:c>
      <x:c r="C5826" s="2" t="str">
        <x:v>Cần Thơ</x:v>
      </x:c>
      <x:c r="D5826" s="2" t="str">
        <x:v>Quận Ninh Kiều</x:v>
      </x:c>
      <x:c r="E5826" s="2" t="str">
        <x:v>house</x:v>
      </x:c>
      <x:c r="F5826" s="2" t="str">
        <x:v>sale</x:v>
      </x:c>
      <x:c r="G5826" s="11" t="n">
        <x:v>53</x:v>
      </x:c>
      <x:c r="H5826" s="12" t="n">
        <x:v>2000000000</x:v>
      </x:c>
      <x:c r="I5826" s="12" t="n">
        <x:v>37735849.056603774</x:v>
      </x:c>
      <x:c r="J5826" s="2" t="str">
        <x:v>total</x:v>
      </x:c>
      <x:c r="K5826" s="2" t="str">
        <x:v>top_level_area</x:v>
      </x:c>
      <x:c r="L5826" s="2" t="str">
        <x:v>property_type_inferred_from_title</x:v>
      </x:c>
      <x:c r="M5826" s="10" t="n">
        <x:v>0</x:v>
      </x:c>
      <x:c r="N5826" s="10" t="n">
        <x:v>0</x:v>
      </x:c>
      <x:c r="O5826" s="2" t="str">
        <x:v>Cần Thơ|house</x:v>
      </x:c>
      <x:c r="P5826" s="10" t="n">
        <x:v>2</x:v>
      </x:c>
      <x:c r="Q5826" s="13" t="n">
        <x:f>IF(H5826="","",H5826/1000000000)</x:f>
        <x:v>2</x:v>
      </x:c>
      <x:c r="R5826" s="13" t="n">
        <x:f>IF(I5826="","",I5826/1000000)</x:f>
        <x:v>37.735849056603776</x:v>
      </x:c>
    </x:row>
    <x:row r="5827" ht="21" customHeight="1">
      <x:c r="A5827" s="10" t="n">
        <x:v>7573</x:v>
      </x:c>
      <x:c r="B5827" s="2" t="str">
        <x:v>670144429a4469f63abc</x:v>
      </x:c>
      <x:c r="C5827" s="2" t="str">
        <x:v>Tp Hồ Chí Minh</x:v>
      </x:c>
      <x:c r="D5827" s="2" t="str">
        <x:v>Quận Bình Tân</x:v>
      </x:c>
      <x:c r="E5827" s="2" t="str">
        <x:v>other_unknown</x:v>
      </x:c>
      <x:c r="F5827" s="2" t="str">
        <x:v>sale_assumed</x:v>
      </x:c>
      <x:c r="G5827" s="11" t="n">
        <x:v>38</x:v>
      </x:c>
      <x:c r="H5827" s="12" t="n">
        <x:v>3850000000</x:v>
      </x:c>
      <x:c r="I5827" s="12" t="n">
        <x:v>101315789.4736842</x:v>
      </x:c>
      <x:c r="J5827" s="2" t="str">
        <x:v>total</x:v>
      </x:c>
      <x:c r="K5827" s="2" t="str">
        <x:v>top_level_area</x:v>
      </x:c>
      <x:c r="L5827" s="2" t="str">
        <x:v>property_type_inferred_from_title;transaction_assumed_sale_from_dataset_context;unknown_property_type</x:v>
      </x:c>
      <x:c r="M5827" s="10" t="n">
        <x:v>0</x:v>
      </x:c>
      <x:c r="N5827" s="10" t="n">
        <x:v>0</x:v>
      </x:c>
      <x:c r="O5827" s="2" t="str">
        <x:v>Tp Hồ Chí Minh|other_unknown</x:v>
      </x:c>
      <x:c r="P5827" s="10" t="n">
        <x:v>2</x:v>
      </x:c>
      <x:c r="Q5827" s="13" t="n">
        <x:f>IF(H5827="","",H5827/1000000000)</x:f>
        <x:v>3.85</x:v>
      </x:c>
      <x:c r="R5827" s="13" t="n">
        <x:f>IF(I5827="","",I5827/1000000)</x:f>
        <x:v>101.3157894736842</x:v>
      </x:c>
    </x:row>
    <x:row r="5828" ht="21" customHeight="1">
      <x:c r="A5828" s="10" t="n">
        <x:v>7574</x:v>
      </x:c>
      <x:c r="B5828" s="2" t="str">
        <x:v>5033bb3b9cf8040e803b</x:v>
      </x:c>
      <x:c r="C5828" s="2" t="str">
        <x:v>Tp Hồ Chí Minh</x:v>
      </x:c>
      <x:c r="D5828" s="2" t="str">
        <x:v>Quận 12</x:v>
      </x:c>
      <x:c r="E5828" s="2" t="str">
        <x:v>house</x:v>
      </x:c>
      <x:c r="F5828" s="2" t="str">
        <x:v>sale_assumed</x:v>
      </x:c>
      <x:c r="G5828" s="11" t="n">
        <x:v>18</x:v>
      </x:c>
      <x:c r="H5828" s="12" t="n">
        <x:v>820000000</x:v>
      </x:c>
      <x:c r="I5828" s="12" t="n">
        <x:v>45555555.55555555</x:v>
      </x:c>
      <x:c r="J5828" s="2" t="str">
        <x:v>total</x:v>
      </x:c>
      <x:c r="K5828" s="2" t="str">
        <x:v>top_level_area</x:v>
      </x:c>
      <x:c r="L5828" s="2" t="str">
        <x:v>property_type_inferred_from_title;transaction_assumed_sale_from_dataset_context</x:v>
      </x:c>
      <x:c r="M5828" s="10" t="n">
        <x:v>0</x:v>
      </x:c>
      <x:c r="N5828" s="10" t="n">
        <x:v>0</x:v>
      </x:c>
      <x:c r="O5828" s="2" t="str">
        <x:v>Tp Hồ Chí Minh|house</x:v>
      </x:c>
      <x:c r="P5828" s="10" t="n">
        <x:v>2</x:v>
      </x:c>
      <x:c r="Q5828" s="13" t="n">
        <x:f>IF(H5828="","",H5828/1000000000)</x:f>
        <x:v>0.82</x:v>
      </x:c>
      <x:c r="R5828" s="13" t="n">
        <x:f>IF(I5828="","",I5828/1000000)</x:f>
        <x:v>45.55555555555555</x:v>
      </x:c>
    </x:row>
    <x:row r="5829" ht="21" customHeight="1">
      <x:c r="A5829" s="10" t="n">
        <x:v>7575</x:v>
      </x:c>
      <x:c r="B5829" s="2" t="str">
        <x:v>e9c7829e7ff369814943</x:v>
      </x:c>
      <x:c r="C5829" s="2" t="str">
        <x:v>Long An</x:v>
      </x:c>
      <x:c r="D5829" s="2" t="str">
        <x:v>Huyện Thủ Thừa</x:v>
      </x:c>
      <x:c r="E5829" s="2" t="str">
        <x:v>land</x:v>
      </x:c>
      <x:c r="F5829" s="2" t="str">
        <x:v>sale</x:v>
      </x:c>
      <x:c r="G5829" s="11" t="n">
        <x:v>100</x:v>
      </x:c>
      <x:c r="H5829" s="12" t="n">
        <x:v>1250000000</x:v>
      </x:c>
      <x:c r="I5829" s="12" t="n">
        <x:v>12500000</x:v>
      </x:c>
      <x:c r="J5829" s="2" t="str">
        <x:v>total</x:v>
      </x:c>
      <x:c r="K5829" s="2" t="str">
        <x:v>top_level_area</x:v>
      </x:c>
      <x:c r="L5829" s="2" t="str">
        <x:v>property_type_inferred_from_title</x:v>
      </x:c>
      <x:c r="M5829" s="10" t="n">
        <x:v>0</x:v>
      </x:c>
      <x:c r="N5829" s="10" t="n">
        <x:v>0</x:v>
      </x:c>
      <x:c r="O5829" s="2" t="str">
        <x:v>Long An|land</x:v>
      </x:c>
      <x:c r="P5829" s="10" t="n">
        <x:v>2</x:v>
      </x:c>
      <x:c r="Q5829" s="13" t="n">
        <x:f>IF(H5829="","",H5829/1000000000)</x:f>
        <x:v>1.25</x:v>
      </x:c>
      <x:c r="R5829" s="13" t="n">
        <x:f>IF(I5829="","",I5829/1000000)</x:f>
        <x:v>12.5</x:v>
      </x:c>
    </x:row>
    <x:row r="5830" ht="21" customHeight="1">
      <x:c r="A5830" s="10" t="n">
        <x:v>7576</x:v>
      </x:c>
      <x:c r="B5830" s="2" t="str">
        <x:v>69b1e4477ececa3a2e52</x:v>
      </x:c>
      <x:c r="C5830" s="2" t="str">
        <x:v>Long An</x:v>
      </x:c>
      <x:c r="D5830" s="2" t="str">
        <x:v>Huyện Cần Đước</x:v>
      </x:c>
      <x:c r="E5830" s="2" t="str">
        <x:v>land</x:v>
      </x:c>
      <x:c r="F5830" s="2" t="str">
        <x:v>sale_assumed</x:v>
      </x:c>
      <x:c r="G5830" s="11" t="n">
        <x:v>200</x:v>
      </x:c>
      <x:c r="H5830" s="12" t="n">
        <x:v>780000000</x:v>
      </x:c>
      <x:c r="I5830" s="12" t="n">
        <x:v>3900000</x:v>
      </x:c>
      <x:c r="J5830" s="2" t="str">
        <x:v>total</x:v>
      </x:c>
      <x:c r="K5830" s="2" t="str">
        <x:v>top_level_area</x:v>
      </x:c>
      <x:c r="L5830" s="2" t="str">
        <x:v>property_type_inferred_from_title;transaction_assumed_sale_from_dataset_context</x:v>
      </x:c>
      <x:c r="M5830" s="10" t="n">
        <x:v>0</x:v>
      </x:c>
      <x:c r="N5830" s="10" t="n">
        <x:v>0</x:v>
      </x:c>
      <x:c r="O5830" s="2" t="str">
        <x:v>Long An|land</x:v>
      </x:c>
      <x:c r="P5830" s="10" t="n">
        <x:v>1</x:v>
      </x:c>
      <x:c r="Q5830" s="13" t="n">
        <x:f>IF(H5830="","",H5830/1000000000)</x:f>
        <x:v>0.78</x:v>
      </x:c>
      <x:c r="R5830" s="13" t="n">
        <x:f>IF(I5830="","",I5830/1000000)</x:f>
        <x:v>3.9</x:v>
      </x:c>
    </x:row>
    <x:row r="5831" ht="21" customHeight="1">
      <x:c r="A5831" s="10" t="n">
        <x:v>7577</x:v>
      </x:c>
      <x:c r="B5831" s="2" t="str">
        <x:v>3b38adc1be2a31e68bc7</x:v>
      </x:c>
      <x:c r="C5831" s="2" t="str">
        <x:v>Đồng Nai</x:v>
      </x:c>
      <x:c r="D5831" s="2" t="str">
        <x:v>Huyện Long Thành</x:v>
      </x:c>
      <x:c r="E5831" s="2" t="str">
        <x:v>land</x:v>
      </x:c>
      <x:c r="F5831" s="2" t="str">
        <x:v>sale</x:v>
      </x:c>
      <x:c r="G5831" s="11" t="n">
        <x:v>100</x:v>
      </x:c>
      <x:c r="H5831" s="12" t="n">
        <x:v>800000000</x:v>
      </x:c>
      <x:c r="I5831" s="12" t="n">
        <x:v>8000000</x:v>
      </x:c>
      <x:c r="J5831" s="2" t="str">
        <x:v>total</x:v>
      </x:c>
      <x:c r="K5831" s="2" t="str">
        <x:v>top_level_area</x:v>
      </x:c>
      <x:c r="L5831" s="2" t="str">
        <x:v>property_type_inferred_from_title</x:v>
      </x:c>
      <x:c r="M5831" s="10" t="n">
        <x:v>0</x:v>
      </x:c>
      <x:c r="N5831" s="10" t="n">
        <x:v>0</x:v>
      </x:c>
      <x:c r="O5831" s="2" t="str">
        <x:v>Đồng Nai|land</x:v>
      </x:c>
      <x:c r="P5831" s="10" t="n">
        <x:v>2</x:v>
      </x:c>
      <x:c r="Q5831" s="13" t="n">
        <x:f>IF(H5831="","",H5831/1000000000)</x:f>
        <x:v>0.8</x:v>
      </x:c>
      <x:c r="R5831" s="13" t="n">
        <x:f>IF(I5831="","",I5831/1000000)</x:f>
        <x:v>8</x:v>
      </x:c>
    </x:row>
    <x:row r="5832" ht="21" customHeight="1">
      <x:c r="A5832" s="10" t="n">
        <x:v>7578</x:v>
      </x:c>
      <x:c r="B5832" s="2" t="str">
        <x:v>b3fb5da2eb24d9d0d92a</x:v>
      </x:c>
      <x:c r="C5832" s="2" t="str">
        <x:v>Tp Hồ Chí Minh</x:v>
      </x:c>
      <x:c r="D5832" s="2" t="str">
        <x:v>Quận Gò Vấp</x:v>
      </x:c>
      <x:c r="E5832" s="2" t="str">
        <x:v>house</x:v>
      </x:c>
      <x:c r="F5832" s="2" t="str">
        <x:v>sale_assumed</x:v>
      </x:c>
      <x:c r="G5832" s="11" t="n">
        <x:v>100</x:v>
      </x:c>
      <x:c r="H5832" s="12" t="n">
        <x:v>1250000000</x:v>
      </x:c>
      <x:c r="I5832" s="12" t="n">
        <x:v>12500000</x:v>
      </x:c>
      <x:c r="J5832" s="2" t="str">
        <x:v>total</x:v>
      </x:c>
      <x:c r="K5832" s="2" t="str">
        <x:v>top_level_area</x:v>
      </x:c>
      <x:c r="L5832" s="2" t="str">
        <x:v>property_type_inferred_from_title;transaction_assumed_sale_from_dataset_context</x:v>
      </x:c>
      <x:c r="M5832" s="10" t="n">
        <x:v>0</x:v>
      </x:c>
      <x:c r="N5832" s="10" t="n">
        <x:v>0</x:v>
      </x:c>
      <x:c r="O5832" s="2" t="str">
        <x:v>Tp Hồ Chí Minh|house</x:v>
      </x:c>
      <x:c r="P5832" s="10" t="n">
        <x:v>2</x:v>
      </x:c>
      <x:c r="Q5832" s="13" t="n">
        <x:f>IF(H5832="","",H5832/1000000000)</x:f>
        <x:v>1.25</x:v>
      </x:c>
      <x:c r="R5832" s="13" t="n">
        <x:f>IF(I5832="","",I5832/1000000)</x:f>
        <x:v>12.5</x:v>
      </x:c>
    </x:row>
    <x:row r="5833" ht="21" customHeight="1">
      <x:c r="A5833" s="10" t="n">
        <x:v>7579</x:v>
      </x:c>
      <x:c r="B5833" s="2" t="str">
        <x:v>74f4b6abb46994ca7e56</x:v>
      </x:c>
      <x:c r="C5833" s="2" t="str">
        <x:v>Tp Hồ Chí Minh</x:v>
      </x:c>
      <x:c r="D5833" s="2" t="str">
        <x:v>Quận Tân Bình</x:v>
      </x:c>
      <x:c r="E5833" s="2" t="str">
        <x:v>house</x:v>
      </x:c>
      <x:c r="F5833" s="2" t="str">
        <x:v>sale_assumed</x:v>
      </x:c>
      <x:c r="G5833" s="11" t="n">
        <x:v>40</x:v>
      </x:c>
      <x:c r="H5833" s="12" t="n">
        <x:v>1300000000</x:v>
      </x:c>
      <x:c r="I5833" s="12" t="n">
        <x:v>32500000</x:v>
      </x:c>
      <x:c r="J5833" s="2" t="str">
        <x:v>total</x:v>
      </x:c>
      <x:c r="K5833" s="2" t="str">
        <x:v>top_level_area</x:v>
      </x:c>
      <x:c r="L5833" s="2" t="str">
        <x:v>property_type_inferred_from_title;transaction_assumed_sale_from_dataset_context</x:v>
      </x:c>
      <x:c r="M5833" s="10" t="n">
        <x:v>0</x:v>
      </x:c>
      <x:c r="N5833" s="10" t="n">
        <x:v>0</x:v>
      </x:c>
      <x:c r="O5833" s="2" t="str">
        <x:v>Tp Hồ Chí Minh|house</x:v>
      </x:c>
      <x:c r="P5833" s="10" t="n">
        <x:v>2</x:v>
      </x:c>
      <x:c r="Q5833" s="13" t="n">
        <x:f>IF(H5833="","",H5833/1000000000)</x:f>
        <x:v>1.3</x:v>
      </x:c>
      <x:c r="R5833" s="13" t="n">
        <x:f>IF(I5833="","",I5833/1000000)</x:f>
        <x:v>32.5</x:v>
      </x:c>
    </x:row>
    <x:row r="5834" ht="21" customHeight="1">
      <x:c r="A5834" s="10" t="n">
        <x:v>7580</x:v>
      </x:c>
      <x:c r="B5834" s="2" t="str">
        <x:v>4b67d16ef5e1d0db9e73</x:v>
      </x:c>
      <x:c r="C5834" s="2" t="str">
        <x:v>Đà Nẵng</x:v>
      </x:c>
      <x:c r="D5834" s="2" t="str">
        <x:v>Quận Liên Chiểu</x:v>
      </x:c>
      <x:c r="E5834" s="2" t="str">
        <x:v>house</x:v>
      </x:c>
      <x:c r="F5834" s="2" t="str">
        <x:v>sale</x:v>
      </x:c>
      <x:c r="G5834" s="11" t="n">
        <x:v>125</x:v>
      </x:c>
      <x:c r="H5834" s="12" t="n">
        <x:v>7000000000</x:v>
      </x:c>
      <x:c r="I5834" s="12" t="n">
        <x:v>56000000</x:v>
      </x:c>
      <x:c r="J5834" s="2" t="str">
        <x:v>total</x:v>
      </x:c>
      <x:c r="K5834" s="2" t="str">
        <x:v>top_level_area</x:v>
      </x:c>
      <x:c r="L5834" s="2" t="str">
        <x:v>property_type_inferred_from_title</x:v>
      </x:c>
      <x:c r="M5834" s="10" t="n">
        <x:v>0</x:v>
      </x:c>
      <x:c r="N5834" s="10" t="n">
        <x:v>0</x:v>
      </x:c>
      <x:c r="O5834" s="2" t="str">
        <x:v>Đà Nẵng|house</x:v>
      </x:c>
      <x:c r="P5834" s="10" t="n">
        <x:v>2</x:v>
      </x:c>
      <x:c r="Q5834" s="13" t="n">
        <x:f>IF(H5834="","",H5834/1000000000)</x:f>
        <x:v>7</x:v>
      </x:c>
      <x:c r="R5834" s="13" t="n">
        <x:f>IF(I5834="","",I5834/1000000)</x:f>
        <x:v>56</x:v>
      </x:c>
    </x:row>
    <x:row r="5835" ht="21" customHeight="1">
      <x:c r="A5835" s="10" t="n">
        <x:v>7581</x:v>
      </x:c>
      <x:c r="B5835" s="2" t="str">
        <x:v>48c682479a972aed9a04</x:v>
      </x:c>
      <x:c r="C5835" s="2" t="str">
        <x:v>Tp Hồ Chí Minh</x:v>
      </x:c>
      <x:c r="D5835" s="2" t="str">
        <x:v>Quận 12</x:v>
      </x:c>
      <x:c r="E5835" s="2" t="str">
        <x:v>other_unknown</x:v>
      </x:c>
      <x:c r="F5835" s="2" t="str">
        <x:v>sale</x:v>
      </x:c>
      <x:c r="G5835" s="11" t="n">
        <x:v>180</x:v>
      </x:c>
      <x:c r="H5835" s="12" t="n">
        <x:v>850000000</x:v>
      </x:c>
      <x:c r="I5835" s="12" t="n">
        <x:v>4722222.222222222</x:v>
      </x:c>
      <x:c r="J5835" s="2" t="str">
        <x:v>total</x:v>
      </x:c>
      <x:c r="K5835" s="2" t="str">
        <x:v>top_level_area</x:v>
      </x:c>
      <x:c r="L5835" s="2" t="str">
        <x:v>property_type_inferred_from_title;unknown_property_type</x:v>
      </x:c>
      <x:c r="M5835" s="10" t="n">
        <x:v>0</x:v>
      </x:c>
      <x:c r="N5835" s="10" t="n">
        <x:v>0</x:v>
      </x:c>
      <x:c r="O5835" s="2" t="str">
        <x:v>Tp Hồ Chí Minh|other_unknown</x:v>
      </x:c>
      <x:c r="P5835" s="10" t="n">
        <x:v>1</x:v>
      </x:c>
      <x:c r="Q5835" s="13" t="n">
        <x:f>IF(H5835="","",H5835/1000000000)</x:f>
        <x:v>0.85</x:v>
      </x:c>
      <x:c r="R5835" s="13" t="n">
        <x:f>IF(I5835="","",I5835/1000000)</x:f>
        <x:v>4.722222222222222</x:v>
      </x:c>
    </x:row>
    <x:row r="5836" ht="21" customHeight="1">
      <x:c r="A5836" s="10" t="n">
        <x:v>7583</x:v>
      </x:c>
      <x:c r="B5836" s="2" t="str">
        <x:v>efd06c120fd03716d951</x:v>
      </x:c>
      <x:c r="C5836" s="2" t="str">
        <x:v>Bình Dương</x:v>
      </x:c>
      <x:c r="D5836" s="2" t="str">
        <x:v>Thị xã Dĩ An</x:v>
      </x:c>
      <x:c r="E5836" s="2" t="str">
        <x:v>house</x:v>
      </x:c>
      <x:c r="F5836" s="2" t="str">
        <x:v>sale</x:v>
      </x:c>
      <x:c r="G5836" s="11" t="n">
        <x:v>450</x:v>
      </x:c>
      <x:c r="H5836" s="12" t="n">
        <x:v>2000000000</x:v>
      </x:c>
      <x:c r="I5836" s="12" t="n">
        <x:v>4444444.444444444</x:v>
      </x:c>
      <x:c r="J5836" s="2" t="str">
        <x:v>total</x:v>
      </x:c>
      <x:c r="K5836" s="2" t="str">
        <x:v>top_level_area</x:v>
      </x:c>
      <x:c r="L5836" s="2" t="str">
        <x:v>property_type_inferred_from_title</x:v>
      </x:c>
      <x:c r="M5836" s="10" t="n">
        <x:v>0</x:v>
      </x:c>
      <x:c r="N5836" s="10" t="n">
        <x:v>0</x:v>
      </x:c>
      <x:c r="O5836" s="2" t="str">
        <x:v>Bình Dương|house</x:v>
      </x:c>
      <x:c r="P5836" s="10" t="n">
        <x:v>1</x:v>
      </x:c>
      <x:c r="Q5836" s="13" t="n">
        <x:f>IF(H5836="","",H5836/1000000000)</x:f>
        <x:v>2</x:v>
      </x:c>
      <x:c r="R5836" s="13" t="n">
        <x:f>IF(I5836="","",I5836/1000000)</x:f>
        <x:v>4.444444444444444</x:v>
      </x:c>
    </x:row>
    <x:row r="5837" ht="21" customHeight="1">
      <x:c r="A5837" s="10" t="n">
        <x:v>7584</x:v>
      </x:c>
      <x:c r="B5837" s="2" t="str">
        <x:v>2d6d80f96b736413d9f4</x:v>
      </x:c>
      <x:c r="C5837" s="2" t="str">
        <x:v>Đồng Nai</x:v>
      </x:c>
      <x:c r="D5837" s="2" t="str">
        <x:v>Huyện Trảng Bom</x:v>
      </x:c>
      <x:c r="E5837" s="2" t="str">
        <x:v>land</x:v>
      </x:c>
      <x:c r="F5837" s="2" t="str">
        <x:v>sale_assumed</x:v>
      </x:c>
      <x:c r="G5837" s="11" t="n">
        <x:v>100</x:v>
      </x:c>
      <x:c r="H5837" s="12" t="n">
        <x:v>220000000</x:v>
      </x:c>
      <x:c r="I5837" s="12" t="n">
        <x:v>2200000</x:v>
      </x:c>
      <x:c r="J5837" s="2" t="str">
        <x:v>total</x:v>
      </x:c>
      <x:c r="K5837" s="2" t="str">
        <x:v>top_level_area</x:v>
      </x:c>
      <x:c r="L5837" s="2" t="str">
        <x:v>property_type_inferred_from_title;transaction_assumed_sale_from_dataset_context</x:v>
      </x:c>
      <x:c r="M5837" s="10" t="n">
        <x:v>0</x:v>
      </x:c>
      <x:c r="N5837" s="10" t="n">
        <x:v>0</x:v>
      </x:c>
      <x:c r="O5837" s="2" t="str">
        <x:v>Đồng Nai|land</x:v>
      </x:c>
      <x:c r="P5837" s="10" t="n">
        <x:v>1</x:v>
      </x:c>
      <x:c r="Q5837" s="13" t="n">
        <x:f>IF(H5837="","",H5837/1000000000)</x:f>
        <x:v>0.22</x:v>
      </x:c>
      <x:c r="R5837" s="13" t="n">
        <x:f>IF(I5837="","",I5837/1000000)</x:f>
        <x:v>2.2</x:v>
      </x:c>
    </x:row>
    <x:row r="5838" ht="21" customHeight="1">
      <x:c r="A5838" s="10" t="n">
        <x:v>7585</x:v>
      </x:c>
      <x:c r="B5838" s="2" t="str">
        <x:v>2bf9baf1dbcacb158518</x:v>
      </x:c>
      <x:c r="C5838" s="2" t="str">
        <x:v>Bình Dương</x:v>
      </x:c>
      <x:c r="D5838" s="2" t="str">
        <x:v>Huyện Bàu Bàng</x:v>
      </x:c>
      <x:c r="E5838" s="2" t="str">
        <x:v>land</x:v>
      </x:c>
      <x:c r="F5838" s="2" t="str">
        <x:v>sale_assumed</x:v>
      </x:c>
      <x:c r="G5838" s="11" t="n">
        <x:v>120</x:v>
      </x:c>
      <x:c r="H5838" s="12" t="n">
        <x:v>455000000</x:v>
      </x:c>
      <x:c r="I5838" s="12" t="n">
        <x:v>3791666.6666666665</x:v>
      </x:c>
      <x:c r="J5838" s="2" t="str">
        <x:v>total</x:v>
      </x:c>
      <x:c r="K5838" s="2" t="str">
        <x:v>top_level_area</x:v>
      </x:c>
      <x:c r="L5838" s="2" t="str">
        <x:v>property_type_inferred_from_title;transaction_assumed_sale_from_dataset_context</x:v>
      </x:c>
      <x:c r="M5838" s="10" t="n">
        <x:v>0</x:v>
      </x:c>
      <x:c r="N5838" s="10" t="n">
        <x:v>0</x:v>
      </x:c>
      <x:c r="O5838" s="2" t="str">
        <x:v>Bình Dương|land</x:v>
      </x:c>
      <x:c r="P5838" s="10" t="n">
        <x:v>2</x:v>
      </x:c>
      <x:c r="Q5838" s="13" t="n">
        <x:f>IF(H5838="","",H5838/1000000000)</x:f>
        <x:v>0.455</x:v>
      </x:c>
      <x:c r="R5838" s="13" t="n">
        <x:f>IF(I5838="","",I5838/1000000)</x:f>
        <x:v>3.7916666666666665</x:v>
      </x:c>
    </x:row>
    <x:row r="5839" ht="21" customHeight="1">
      <x:c r="A5839" s="10" t="n">
        <x:v>7586</x:v>
      </x:c>
      <x:c r="B5839" s="2" t="str">
        <x:v>a07f9b5275d011779490</x:v>
      </x:c>
      <x:c r="C5839" s="2" t="str">
        <x:v>Đắk Lắk</x:v>
      </x:c>
      <x:c r="D5839" s="2" t="str">
        <x:v>Thành phố Buôn Ma Thuột</x:v>
      </x:c>
      <x:c r="E5839" s="2" t="str">
        <x:v>house</x:v>
      </x:c>
      <x:c r="F5839" s="2" t="str">
        <x:v>sale_assumed</x:v>
      </x:c>
      <x:c r="G5839" s="11" t="n">
        <x:v>105</x:v>
      </x:c>
      <x:c r="H5839" s="12" t="n">
        <x:v>1350000000</x:v>
      </x:c>
      <x:c r="I5839" s="12" t="n">
        <x:v>12857142.857142856</x:v>
      </x:c>
      <x:c r="J5839" s="2" t="str">
        <x:v>total</x:v>
      </x:c>
      <x:c r="K5839" s="2" t="str">
        <x:v>top_level_area</x:v>
      </x:c>
      <x:c r="L5839" s="2" t="str">
        <x:v>property_type_inferred_from_title;transaction_assumed_sale_from_dataset_context</x:v>
      </x:c>
      <x:c r="M5839" s="10" t="n">
        <x:v>0</x:v>
      </x:c>
      <x:c r="N5839" s="10" t="n">
        <x:v>0</x:v>
      </x:c>
      <x:c r="O5839" s="2" t="str">
        <x:v>Đắk Lắk|house</x:v>
      </x:c>
      <x:c r="P5839" s="10" t="n">
        <x:v>2</x:v>
      </x:c>
      <x:c r="Q5839" s="13" t="n">
        <x:f>IF(H5839="","",H5839/1000000000)</x:f>
        <x:v>1.35</x:v>
      </x:c>
      <x:c r="R5839" s="13" t="n">
        <x:f>IF(I5839="","",I5839/1000000)</x:f>
        <x:v>12.857142857142856</x:v>
      </x:c>
    </x:row>
    <x:row r="5840" ht="21" customHeight="1">
      <x:c r="A5840" s="10" t="n">
        <x:v>7587</x:v>
      </x:c>
      <x:c r="B5840" s="2" t="str">
        <x:v>68e01677ae701f0b1b12</x:v>
      </x:c>
      <x:c r="C5840" s="2" t="str">
        <x:v>Lâm Đồng</x:v>
      </x:c>
      <x:c r="D5840" s="2" t="str">
        <x:v>Thành phố Bảo Lộc</x:v>
      </x:c>
      <x:c r="E5840" s="2" t="str">
        <x:v>land</x:v>
      </x:c>
      <x:c r="F5840" s="2" t="str">
        <x:v>sale_assumed</x:v>
      </x:c>
      <x:c r="G5840" s="11" t="n">
        <x:v>100</x:v>
      </x:c>
      <x:c r="H5840" s="12" t="n">
        <x:v>70000000</x:v>
      </x:c>
      <x:c r="I5840" s="12" t="n">
        <x:v>700000</x:v>
      </x:c>
      <x:c r="J5840" s="2" t="str">
        <x:v>total</x:v>
      </x:c>
      <x:c r="K5840" s="2" t="str">
        <x:v>top_level_area</x:v>
      </x:c>
      <x:c r="L5840" s="2" t="str">
        <x:v>property_type_inferred_from_title;transaction_assumed_sale_from_dataset_context</x:v>
      </x:c>
      <x:c r="M5840" s="10" t="n">
        <x:v>0</x:v>
      </x:c>
      <x:c r="N5840" s="10" t="n">
        <x:v>0</x:v>
      </x:c>
      <x:c r="O5840" s="2" t="str">
        <x:v>Lâm Đồng|land</x:v>
      </x:c>
      <x:c r="P5840" s="10" t="n">
        <x:v>1</x:v>
      </x:c>
      <x:c r="Q5840" s="13" t="n">
        <x:f>IF(H5840="","",H5840/1000000000)</x:f>
        <x:v>0.07</x:v>
      </x:c>
      <x:c r="R5840" s="13" t="n">
        <x:f>IF(I5840="","",I5840/1000000)</x:f>
        <x:v>0.7</x:v>
      </x:c>
    </x:row>
    <x:row r="5841" ht="21" customHeight="1">
      <x:c r="A5841" s="10" t="n">
        <x:v>7588</x:v>
      </x:c>
      <x:c r="B5841" s="2" t="str">
        <x:v>7b55d40937585fc42b80</x:v>
      </x:c>
      <x:c r="C5841" s="2" t="str">
        <x:v>Tp Hồ Chí Minh</x:v>
      </x:c>
      <x:c r="D5841" s="2" t="str">
        <x:v>Huyện Bình Chánh</x:v>
      </x:c>
      <x:c r="E5841" s="2" t="str">
        <x:v>house</x:v>
      </x:c>
      <x:c r="F5841" s="2" t="str">
        <x:v>sale_assumed</x:v>
      </x:c>
      <x:c r="G5841" s="11" t="n">
        <x:v>40</x:v>
      </x:c>
      <x:c r="H5841" s="12" t="n">
        <x:v>395000000</x:v>
      </x:c>
      <x:c r="I5841" s="12" t="n">
        <x:v>9875000</x:v>
      </x:c>
      <x:c r="J5841" s="2" t="str">
        <x:v>total</x:v>
      </x:c>
      <x:c r="K5841" s="2" t="str">
        <x:v>top_level_area</x:v>
      </x:c>
      <x:c r="L5841" s="2" t="str">
        <x:v>property_type_inferred_from_title;transaction_assumed_sale_from_dataset_context</x:v>
      </x:c>
      <x:c r="M5841" s="10" t="n">
        <x:v>0</x:v>
      </x:c>
      <x:c r="N5841" s="10" t="n">
        <x:v>0</x:v>
      </x:c>
      <x:c r="O5841" s="2" t="str">
        <x:v>Tp Hồ Chí Minh|house</x:v>
      </x:c>
      <x:c r="P5841" s="10" t="n">
        <x:v>2</x:v>
      </x:c>
      <x:c r="Q5841" s="13" t="n">
        <x:f>IF(H5841="","",H5841/1000000000)</x:f>
        <x:v>0.395</x:v>
      </x:c>
      <x:c r="R5841" s="13" t="n">
        <x:f>IF(I5841="","",I5841/1000000)</x:f>
        <x:v>9.875</x:v>
      </x:c>
    </x:row>
    <x:row r="5842" ht="21" customHeight="1">
      <x:c r="A5842" s="10" t="n">
        <x:v>7589</x:v>
      </x:c>
      <x:c r="B5842" s="2" t="str">
        <x:v>5c86449f544d20c4029e</x:v>
      </x:c>
      <x:c r="C5842" s="2" t="str">
        <x:v>Tp Hồ Chí Minh</x:v>
      </x:c>
      <x:c r="D5842" s="2" t="str">
        <x:v>Quận 7</x:v>
      </x:c>
      <x:c r="E5842" s="2" t="str">
        <x:v>apartment</x:v>
      </x:c>
      <x:c r="F5842" s="2" t="str">
        <x:v>sale</x:v>
      </x:c>
      <x:c r="G5842" s="11" t="n">
        <x:v>120</x:v>
      </x:c>
      <x:c r="H5842" s="12" t="n">
        <x:v>2950000000</x:v>
      </x:c>
      <x:c r="I5842" s="12" t="n">
        <x:v>24583333.333333332</x:v>
      </x:c>
      <x:c r="J5842" s="2" t="str">
        <x:v>total</x:v>
      </x:c>
      <x:c r="K5842" s="2" t="str">
        <x:v>top_level_area</x:v>
      </x:c>
      <x:c r="L5842" s="2" t="str">
        <x:v>property_type_inferred_from_title</x:v>
      </x:c>
      <x:c r="M5842" s="10" t="n">
        <x:v>0</x:v>
      </x:c>
      <x:c r="N5842" s="10" t="n">
        <x:v>0</x:v>
      </x:c>
      <x:c r="O5842" s="2" t="str">
        <x:v>Tp Hồ Chí Minh|apartment</x:v>
      </x:c>
      <x:c r="P5842" s="10" t="n">
        <x:v>2</x:v>
      </x:c>
      <x:c r="Q5842" s="13" t="n">
        <x:f>IF(H5842="","",H5842/1000000000)</x:f>
        <x:v>2.95</x:v>
      </x:c>
      <x:c r="R5842" s="13" t="n">
        <x:f>IF(I5842="","",I5842/1000000)</x:f>
        <x:v>24.583333333333332</x:v>
      </x:c>
    </x:row>
    <x:row r="5843" ht="21" customHeight="1">
      <x:c r="A5843" s="10" t="n">
        <x:v>7590</x:v>
      </x:c>
      <x:c r="B5843" s="2" t="str">
        <x:v>8fc3ee7194d09168a884</x:v>
      </x:c>
      <x:c r="C5843" s="2" t="str">
        <x:v>Hà Nội</x:v>
      </x:c>
      <x:c r="D5843" s="2" t="str">
        <x:v>Quận Ba Đình</x:v>
      </x:c>
      <x:c r="E5843" s="2" t="str">
        <x:v>other_unknown</x:v>
      </x:c>
      <x:c r="F5843" s="2" t="str">
        <x:v>sale_assumed</x:v>
      </x:c>
      <x:c r="G5843" s="11" t="n">
        <x:v>24</x:v>
      </x:c>
      <x:c r="H5843" s="12" t="n">
        <x:v>2500000000</x:v>
      </x:c>
      <x:c r="I5843" s="12" t="n">
        <x:v>104166666.66666667</x:v>
      </x:c>
      <x:c r="J5843" s="2" t="str">
        <x:v>total</x:v>
      </x:c>
      <x:c r="K5843" s="2" t="str">
        <x:v>top_level_area</x:v>
      </x:c>
      <x:c r="L5843" s="2" t="str">
        <x:v>property_type_inferred_from_title;transaction_assumed_sale_from_dataset_context;unknown_property_type</x:v>
      </x:c>
      <x:c r="M5843" s="10" t="n">
        <x:v>0</x:v>
      </x:c>
      <x:c r="N5843" s="10" t="n">
        <x:v>0</x:v>
      </x:c>
      <x:c r="O5843" s="2" t="str">
        <x:v>Hà Nội|other_unknown</x:v>
      </x:c>
      <x:c r="P5843" s="10" t="n">
        <x:v>2</x:v>
      </x:c>
      <x:c r="Q5843" s="13" t="n">
        <x:f>IF(H5843="","",H5843/1000000000)</x:f>
        <x:v>2.5</x:v>
      </x:c>
      <x:c r="R5843" s="13" t="n">
        <x:f>IF(I5843="","",I5843/1000000)</x:f>
        <x:v>104.16666666666667</x:v>
      </x:c>
    </x:row>
    <x:row r="5844" ht="21" customHeight="1">
      <x:c r="A5844" s="10" t="n">
        <x:v>7591</x:v>
      </x:c>
      <x:c r="B5844" s="2" t="str">
        <x:v>12c86b7c9d3d80673546</x:v>
      </x:c>
      <x:c r="C5844" s="2" t="str">
        <x:v>Hà Nội</x:v>
      </x:c>
      <x:c r="D5844" s="2" t="str">
        <x:v>Quận Hoàng Mai</x:v>
      </x:c>
      <x:c r="E5844" s="2" t="str">
        <x:v>house</x:v>
      </x:c>
      <x:c r="F5844" s="2" t="str">
        <x:v>sale</x:v>
      </x:c>
      <x:c r="G5844" s="11" t="n">
        <x:v>40</x:v>
      </x:c>
      <x:c r="H5844" s="12" t="n">
        <x:v>2750000000</x:v>
      </x:c>
      <x:c r="I5844" s="12" t="n">
        <x:v>68750000</x:v>
      </x:c>
      <x:c r="J5844" s="2" t="str">
        <x:v>total</x:v>
      </x:c>
      <x:c r="K5844" s="2" t="str">
        <x:v>top_level_area</x:v>
      </x:c>
      <x:c r="L5844" s="2" t="str">
        <x:v>property_type_inferred_from_title</x:v>
      </x:c>
      <x:c r="M5844" s="10" t="n">
        <x:v>0</x:v>
      </x:c>
      <x:c r="N5844" s="10" t="n">
        <x:v>0</x:v>
      </x:c>
      <x:c r="O5844" s="2" t="str">
        <x:v>Hà Nội|house</x:v>
      </x:c>
      <x:c r="P5844" s="10" t="n">
        <x:v>2</x:v>
      </x:c>
      <x:c r="Q5844" s="13" t="n">
        <x:f>IF(H5844="","",H5844/1000000000)</x:f>
        <x:v>2.75</x:v>
      </x:c>
      <x:c r="R5844" s="13" t="n">
        <x:f>IF(I5844="","",I5844/1000000)</x:f>
        <x:v>68.75</x:v>
      </x:c>
    </x:row>
    <x:row r="5845" ht="21" customHeight="1">
      <x:c r="A5845" s="10" t="n">
        <x:v>7592</x:v>
      </x:c>
      <x:c r="B5845" s="2" t="str">
        <x:v>594c9195b94cfc10d910</x:v>
      </x:c>
      <x:c r="C5845" s="2" t="str">
        <x:v>Bình Dương</x:v>
      </x:c>
      <x:c r="D5845" s="2" t="str">
        <x:v>Thị xã Dĩ An</x:v>
      </x:c>
      <x:c r="E5845" s="2" t="str">
        <x:v>land</x:v>
      </x:c>
      <x:c r="F5845" s="2" t="str">
        <x:v>sale</x:v>
      </x:c>
      <x:c r="G5845" s="11" t="n">
        <x:v>100</x:v>
      </x:c>
      <x:c r="H5845" s="12" t="n">
        <x:v>1350000000</x:v>
      </x:c>
      <x:c r="I5845" s="12" t="n">
        <x:v>13500000</x:v>
      </x:c>
      <x:c r="J5845" s="2" t="str">
        <x:v>total</x:v>
      </x:c>
      <x:c r="K5845" s="2" t="str">
        <x:v>top_level_area</x:v>
      </x:c>
      <x:c r="L5845" s="2" t="str">
        <x:v>property_type_inferred_from_title</x:v>
      </x:c>
      <x:c r="M5845" s="10" t="n">
        <x:v>0</x:v>
      </x:c>
      <x:c r="N5845" s="10" t="n">
        <x:v>0</x:v>
      </x:c>
      <x:c r="O5845" s="2" t="str">
        <x:v>Bình Dương|land</x:v>
      </x:c>
      <x:c r="P5845" s="10" t="n">
        <x:v>2</x:v>
      </x:c>
      <x:c r="Q5845" s="13" t="n">
        <x:f>IF(H5845="","",H5845/1000000000)</x:f>
        <x:v>1.35</x:v>
      </x:c>
      <x:c r="R5845" s="13" t="n">
        <x:f>IF(I5845="","",I5845/1000000)</x:f>
        <x:v>13.5</x:v>
      </x:c>
    </x:row>
    <x:row r="5846" ht="21" customHeight="1">
      <x:c r="A5846" s="10" t="n">
        <x:v>7593</x:v>
      </x:c>
      <x:c r="B5846" s="2" t="str">
        <x:v>cc9adfba157258896fe8</x:v>
      </x:c>
      <x:c r="C5846" s="2" t="str">
        <x:v>Đà Nẵng</x:v>
      </x:c>
      <x:c r="D5846" s="2" t="str">
        <x:v>Quận Thanh Khê</x:v>
      </x:c>
      <x:c r="E5846" s="2" t="str">
        <x:v>house</x:v>
      </x:c>
      <x:c r="F5846" s="2" t="str">
        <x:v>sale</x:v>
      </x:c>
      <x:c r="G5846" s="11" t="n">
        <x:v>56</x:v>
      </x:c>
      <x:c r="H5846" s="12" t="n">
        <x:v>1950000000</x:v>
      </x:c>
      <x:c r="I5846" s="12" t="n">
        <x:v>34821428.571428575</x:v>
      </x:c>
      <x:c r="J5846" s="2" t="str">
        <x:v>total</x:v>
      </x:c>
      <x:c r="K5846" s="2" t="str">
        <x:v>top_level_area</x:v>
      </x:c>
      <x:c r="L5846" s="2" t="str">
        <x:v>property_type_inferred_from_title</x:v>
      </x:c>
      <x:c r="M5846" s="10" t="n">
        <x:v>0</x:v>
      </x:c>
      <x:c r="N5846" s="10" t="n">
        <x:v>0</x:v>
      </x:c>
      <x:c r="O5846" s="2" t="str">
        <x:v>Đà Nẵng|house</x:v>
      </x:c>
      <x:c r="P5846" s="10" t="n">
        <x:v>2</x:v>
      </x:c>
      <x:c r="Q5846" s="13" t="n">
        <x:f>IF(H5846="","",H5846/1000000000)</x:f>
        <x:v>1.95</x:v>
      </x:c>
      <x:c r="R5846" s="13" t="n">
        <x:f>IF(I5846="","",I5846/1000000)</x:f>
        <x:v>34.82142857142858</x:v>
      </x:c>
    </x:row>
    <x:row r="5847" ht="21" customHeight="1">
      <x:c r="A5847" s="10" t="n">
        <x:v>7594</x:v>
      </x:c>
      <x:c r="B5847" s="2" t="str">
        <x:v>ae6d7e95d3b69e5657f2</x:v>
      </x:c>
      <x:c r="C5847" s="2" t="str">
        <x:v>Hà Nội</x:v>
      </x:c>
      <x:c r="D5847" s="2" t="str">
        <x:v>Quận Hoàng Mai</x:v>
      </x:c>
      <x:c r="E5847" s="2" t="str">
        <x:v>house</x:v>
      </x:c>
      <x:c r="F5847" s="2" t="str">
        <x:v>sale_assumed</x:v>
      </x:c>
      <x:c r="G5847" s="11" t="n">
        <x:v>40</x:v>
      </x:c>
      <x:c r="H5847" s="12" t="n">
        <x:v>2690000000</x:v>
      </x:c>
      <x:c r="I5847" s="12" t="n">
        <x:v>67250000</x:v>
      </x:c>
      <x:c r="J5847" s="2" t="str">
        <x:v>total</x:v>
      </x:c>
      <x:c r="K5847" s="2" t="str">
        <x:v>top_level_area</x:v>
      </x:c>
      <x:c r="L5847" s="2" t="str">
        <x:v>property_type_inferred_from_title;transaction_assumed_sale_from_dataset_context</x:v>
      </x:c>
      <x:c r="M5847" s="10" t="n">
        <x:v>0</x:v>
      </x:c>
      <x:c r="N5847" s="10" t="n">
        <x:v>0</x:v>
      </x:c>
      <x:c r="O5847" s="2" t="str">
        <x:v>Hà Nội|house</x:v>
      </x:c>
      <x:c r="P5847" s="10" t="n">
        <x:v>2</x:v>
      </x:c>
      <x:c r="Q5847" s="13" t="n">
        <x:f>IF(H5847="","",H5847/1000000000)</x:f>
        <x:v>2.69</x:v>
      </x:c>
      <x:c r="R5847" s="13" t="n">
        <x:f>IF(I5847="","",I5847/1000000)</x:f>
        <x:v>67.25</x:v>
      </x:c>
    </x:row>
    <x:row r="5848" ht="21" customHeight="1">
      <x:c r="A5848" s="10" t="n">
        <x:v>7595</x:v>
      </x:c>
      <x:c r="B5848" s="2" t="str">
        <x:v>febb20a8026ca0c5378e</x:v>
      </x:c>
      <x:c r="C5848" s="2" t="str">
        <x:v>Bà Rịa - Vũng Tàu</x:v>
      </x:c>
      <x:c r="D5848" s="2" t="str">
        <x:v>Thành phố Vũng Tàu</x:v>
      </x:c>
      <x:c r="E5848" s="2" t="str">
        <x:v>other_unknown</x:v>
      </x:c>
      <x:c r="F5848" s="2" t="str">
        <x:v>sale</x:v>
      </x:c>
      <x:c r="G5848" s="11" t="n">
        <x:v>160</x:v>
      </x:c>
      <x:c r="H5848" s="12" t="n">
        <x:v>27000000000</x:v>
      </x:c>
      <x:c r="I5848" s="12" t="n">
        <x:v>168750000</x:v>
      </x:c>
      <x:c r="J5848" s="2" t="str">
        <x:v>total</x:v>
      </x:c>
      <x:c r="K5848" s="2" t="str">
        <x:v>top_level_area</x:v>
      </x:c>
      <x:c r="L5848" s="2" t="str">
        <x:v>property_type_inferred_from_title;unknown_property_type</x:v>
      </x:c>
      <x:c r="M5848" s="10" t="n">
        <x:v>1</x:v>
      </x:c>
      <x:c r="N5848" s="10" t="n">
        <x:v>0</x:v>
      </x:c>
      <x:c r="O5848" s="2" t="str">
        <x:v>other_unknown</x:v>
      </x:c>
      <x:c r="P5848" s="10" t="n">
        <x:v>2</x:v>
      </x:c>
      <x:c r="Q5848" s="13" t="n">
        <x:f>IF(H5848="","",H5848/1000000000)</x:f>
        <x:v>27</x:v>
      </x:c>
      <x:c r="R5848" s="13" t="n">
        <x:f>IF(I5848="","",I5848/1000000)</x:f>
        <x:v>168.75</x:v>
      </x:c>
    </x:row>
    <x:row r="5849" ht="21" customHeight="1">
      <x:c r="A5849" s="10" t="n">
        <x:v>7596</x:v>
      </x:c>
      <x:c r="B5849" s="2" t="str">
        <x:v>c618ebb450da23b96c2a</x:v>
      </x:c>
      <x:c r="C5849" s="2" t="str">
        <x:v>Hà Nội</x:v>
      </x:c>
      <x:c r="D5849" s="2" t="str">
        <x:v>Quận Ba Đình</x:v>
      </x:c>
      <x:c r="E5849" s="2" t="str">
        <x:v>house</x:v>
      </x:c>
      <x:c r="F5849" s="2" t="str">
        <x:v>sale_assumed</x:v>
      </x:c>
      <x:c r="G5849" s="11" t="n">
        <x:v>30</x:v>
      </x:c>
      <x:c r="H5849" s="12" t="n">
        <x:v>2600000000</x:v>
      </x:c>
      <x:c r="I5849" s="12" t="n">
        <x:v>86666666.66666667</x:v>
      </x:c>
      <x:c r="J5849" s="2" t="str">
        <x:v>total</x:v>
      </x:c>
      <x:c r="K5849" s="2" t="str">
        <x:v>top_level_area</x:v>
      </x:c>
      <x:c r="L5849" s="2" t="str">
        <x:v>property_type_inferred_from_title;transaction_assumed_sale_from_dataset_context</x:v>
      </x:c>
      <x:c r="M5849" s="10" t="n">
        <x:v>0</x:v>
      </x:c>
      <x:c r="N5849" s="10" t="n">
        <x:v>0</x:v>
      </x:c>
      <x:c r="O5849" s="2" t="str">
        <x:v>Hà Nội|house</x:v>
      </x:c>
      <x:c r="P5849" s="10" t="n">
        <x:v>2</x:v>
      </x:c>
      <x:c r="Q5849" s="13" t="n">
        <x:f>IF(H5849="","",H5849/1000000000)</x:f>
        <x:v>2.6</x:v>
      </x:c>
      <x:c r="R5849" s="13" t="n">
        <x:f>IF(I5849="","",I5849/1000000)</x:f>
        <x:v>86.66666666666667</x:v>
      </x:c>
    </x:row>
    <x:row r="5850" ht="21" customHeight="1">
      <x:c r="A5850" s="10" t="n">
        <x:v>7597</x:v>
      </x:c>
      <x:c r="B5850" s="2" t="str">
        <x:v>ea181d46cf5a5d7d2b82</x:v>
      </x:c>
      <x:c r="C5850" s="2" t="str">
        <x:v>Hải Dương</x:v>
      </x:c>
      <x:c r="D5850" s="2" t="str">
        <x:v>Huyện Cẩm Giàng</x:v>
      </x:c>
      <x:c r="E5850" s="2" t="str">
        <x:v>land</x:v>
      </x:c>
      <x:c r="F5850" s="2" t="str">
        <x:v>sale</x:v>
      </x:c>
      <x:c r="G5850" s="11" t="n">
        <x:v>81</x:v>
      </x:c>
      <x:c r="H5850" s="12" t="n">
        <x:v>1450000000</x:v>
      </x:c>
      <x:c r="I5850" s="12" t="n">
        <x:v>17901234.567901235</x:v>
      </x:c>
      <x:c r="J5850" s="2" t="str">
        <x:v>total</x:v>
      </x:c>
      <x:c r="K5850" s="2" t="str">
        <x:v>top_level_area</x:v>
      </x:c>
      <x:c r="L5850" s="2" t="str">
        <x:v>property_type_inferred_from_title</x:v>
      </x:c>
      <x:c r="M5850" s="10" t="n">
        <x:v>0</x:v>
      </x:c>
      <x:c r="N5850" s="10" t="n">
        <x:v>0</x:v>
      </x:c>
      <x:c r="O5850" s="2" t="str">
        <x:v>land</x:v>
      </x:c>
      <x:c r="P5850" s="10" t="n">
        <x:v>2</x:v>
      </x:c>
      <x:c r="Q5850" s="13" t="n">
        <x:f>IF(H5850="","",H5850/1000000000)</x:f>
        <x:v>1.45</x:v>
      </x:c>
      <x:c r="R5850" s="13" t="n">
        <x:f>IF(I5850="","",I5850/1000000)</x:f>
        <x:v>17.901234567901234</x:v>
      </x:c>
    </x:row>
    <x:row r="5851" ht="21" customHeight="1">
      <x:c r="A5851" s="10" t="n">
        <x:v>7598</x:v>
      </x:c>
      <x:c r="B5851" s="2" t="str">
        <x:v>abec435f5dd3add7c173</x:v>
      </x:c>
      <x:c r="C5851" s="2" t="str">
        <x:v>Tp Hồ Chí Minh</x:v>
      </x:c>
      <x:c r="D5851" s="2" t="str">
        <x:v>Quận 9</x:v>
      </x:c>
      <x:c r="E5851" s="2" t="str">
        <x:v>other_unknown</x:v>
      </x:c>
      <x:c r="F5851" s="2" t="str">
        <x:v>sale_assumed</x:v>
      </x:c>
      <x:c r="G5851" s="11" t="n">
        <x:v>85</x:v>
      </x:c>
      <x:c r="H5851" s="12" t="n">
        <x:v>895000000</x:v>
      </x:c>
      <x:c r="I5851" s="12" t="n">
        <x:v>10529411.764705881</x:v>
      </x:c>
      <x:c r="J5851" s="2" t="str">
        <x:v>total</x:v>
      </x:c>
      <x:c r="K5851" s="2" t="str">
        <x:v>top_level_area</x:v>
      </x:c>
      <x:c r="L5851" s="2" t="str">
        <x:v>property_type_inferred_from_title;transaction_assumed_sale_from_dataset_context;unknown_property_type</x:v>
      </x:c>
      <x:c r="M5851" s="10" t="n">
        <x:v>0</x:v>
      </x:c>
      <x:c r="N5851" s="10" t="n">
        <x:v>0</x:v>
      </x:c>
      <x:c r="O5851" s="2" t="str">
        <x:v>Tp Hồ Chí Minh|other_unknown</x:v>
      </x:c>
      <x:c r="P5851" s="10" t="n">
        <x:v>2</x:v>
      </x:c>
      <x:c r="Q5851" s="13" t="n">
        <x:f>IF(H5851="","",H5851/1000000000)</x:f>
        <x:v>0.895</x:v>
      </x:c>
      <x:c r="R5851" s="13" t="n">
        <x:f>IF(I5851="","",I5851/1000000)</x:f>
        <x:v>10.529411764705882</x:v>
      </x:c>
    </x:row>
    <x:row r="5852" ht="21" customHeight="1">
      <x:c r="A5852" s="10" t="n">
        <x:v>7599</x:v>
      </x:c>
      <x:c r="B5852" s="2" t="str">
        <x:v>9f2ceab6bc5c4432359a</x:v>
      </x:c>
      <x:c r="C5852" s="2" t="str">
        <x:v>Cần Thơ</x:v>
      </x:c>
      <x:c r="D5852" s="2" t="str">
        <x:v>Quận Cái Răng</x:v>
      </x:c>
      <x:c r="E5852" s="2" t="str">
        <x:v>land</x:v>
      </x:c>
      <x:c r="F5852" s="2" t="str">
        <x:v>sale</x:v>
      </x:c>
      <x:c r="G5852" s="11" t="n">
        <x:v>85</x:v>
      </x:c>
      <x:c r="H5852" s="12" t="n">
        <x:v>1750000000</x:v>
      </x:c>
      <x:c r="I5852" s="12" t="n">
        <x:v>20588235.29411765</x:v>
      </x:c>
      <x:c r="J5852" s="2" t="str">
        <x:v>total</x:v>
      </x:c>
      <x:c r="K5852" s="2" t="str">
        <x:v>top_level_area</x:v>
      </x:c>
      <x:c r="L5852" s="2" t="str">
        <x:v>property_type_inferred_from_title</x:v>
      </x:c>
      <x:c r="M5852" s="10" t="n">
        <x:v>0</x:v>
      </x:c>
      <x:c r="N5852" s="10" t="n">
        <x:v>0</x:v>
      </x:c>
      <x:c r="O5852" s="2" t="str">
        <x:v>Cần Thơ|land</x:v>
      </x:c>
      <x:c r="P5852" s="10" t="n">
        <x:v>2</x:v>
      </x:c>
      <x:c r="Q5852" s="13" t="n">
        <x:f>IF(H5852="","",H5852/1000000000)</x:f>
        <x:v>1.75</x:v>
      </x:c>
      <x:c r="R5852" s="13" t="n">
        <x:f>IF(I5852="","",I5852/1000000)</x:f>
        <x:v>20.58823529411765</x:v>
      </x:c>
    </x:row>
    <x:row r="5853" ht="21" customHeight="1">
      <x:c r="A5853" s="10" t="n">
        <x:v>7600</x:v>
      </x:c>
      <x:c r="B5853" s="2" t="str">
        <x:v>ff1991bec6405a4886b3</x:v>
      </x:c>
      <x:c r="C5853" s="2" t="str">
        <x:v>Tp Hồ Chí Minh</x:v>
      </x:c>
      <x:c r="D5853" s="2" t="str">
        <x:v>Quận 2</x:v>
      </x:c>
      <x:c r="E5853" s="2" t="str">
        <x:v>other_unknown</x:v>
      </x:c>
      <x:c r="F5853" s="2" t="str">
        <x:v>sale</x:v>
      </x:c>
      <x:c r="G5853" s="11" t="n">
        <x:v>73</x:v>
      </x:c>
      <x:c r="H5853" s="12" t="n">
        <x:v>3370000000</x:v>
      </x:c>
      <x:c r="I5853" s="12" t="n">
        <x:v>46164383.56164384</x:v>
      </x:c>
      <x:c r="J5853" s="2" t="str">
        <x:v>total</x:v>
      </x:c>
      <x:c r="K5853" s="2" t="str">
        <x:v>top_level_area</x:v>
      </x:c>
      <x:c r="L5853" s="2" t="str">
        <x:v>property_type_inferred_from_title;unknown_property_type</x:v>
      </x:c>
      <x:c r="M5853" s="10" t="n">
        <x:v>0</x:v>
      </x:c>
      <x:c r="N5853" s="10" t="n">
        <x:v>0</x:v>
      </x:c>
      <x:c r="O5853" s="2" t="str">
        <x:v>Tp Hồ Chí Minh|other_unknown</x:v>
      </x:c>
      <x:c r="P5853" s="10" t="n">
        <x:v>2</x:v>
      </x:c>
      <x:c r="Q5853" s="13" t="n">
        <x:f>IF(H5853="","",H5853/1000000000)</x:f>
        <x:v>3.37</x:v>
      </x:c>
      <x:c r="R5853" s="13" t="n">
        <x:f>IF(I5853="","",I5853/1000000)</x:f>
        <x:v>46.16438356164384</x:v>
      </x:c>
    </x:row>
    <x:row r="5854" ht="21" customHeight="1">
      <x:c r="A5854" s="10" t="n">
        <x:v>7601</x:v>
      </x:c>
      <x:c r="B5854" s="2" t="str">
        <x:v>49af8bf46c92bc38b444</x:v>
      </x:c>
      <x:c r="C5854" s="2" t="str">
        <x:v>Quảng Nam</x:v>
      </x:c>
      <x:c r="D5854" s="2" t="str">
        <x:v>Thị xã Điện Bàn</x:v>
      </x:c>
      <x:c r="E5854" s="2" t="str">
        <x:v>land</x:v>
      </x:c>
      <x:c r="F5854" s="2" t="str">
        <x:v>sale</x:v>
      </x:c>
      <x:c r="G5854" s="11" t="n">
        <x:v>151</x:v>
      </x:c>
      <x:c r="H5854" s="12" t="n">
        <x:v>2250000000</x:v>
      </x:c>
      <x:c r="I5854" s="12" t="n">
        <x:v>14900662.251655629</x:v>
      </x:c>
      <x:c r="J5854" s="2" t="str">
        <x:v>total</x:v>
      </x:c>
      <x:c r="K5854" s="2" t="str">
        <x:v>top_level_area</x:v>
      </x:c>
      <x:c r="L5854" s="2" t="str">
        <x:v>property_type_inferred_from_title</x:v>
      </x:c>
      <x:c r="M5854" s="10" t="n">
        <x:v>0</x:v>
      </x:c>
      <x:c r="N5854" s="10" t="n">
        <x:v>0</x:v>
      </x:c>
      <x:c r="O5854" s="2" t="str">
        <x:v>land</x:v>
      </x:c>
      <x:c r="P5854" s="10" t="n">
        <x:v>2</x:v>
      </x:c>
      <x:c r="Q5854" s="13" t="n">
        <x:f>IF(H5854="","",H5854/1000000000)</x:f>
        <x:v>2.25</x:v>
      </x:c>
      <x:c r="R5854" s="13" t="n">
        <x:f>IF(I5854="","",I5854/1000000)</x:f>
        <x:v>14.900662251655628</x:v>
      </x:c>
    </x:row>
    <x:row r="5855" ht="21" customHeight="1">
      <x:c r="A5855" s="10" t="n">
        <x:v>7602</x:v>
      </x:c>
      <x:c r="B5855" s="2" t="str">
        <x:v>c98907ee89f9bcb8eda1</x:v>
      </x:c>
      <x:c r="C5855" s="2" t="str">
        <x:v>Tp Hồ Chí Minh</x:v>
      </x:c>
      <x:c r="D5855" s="2" t="str">
        <x:v>Quận Tân Phú</x:v>
      </x:c>
      <x:c r="E5855" s="2" t="str">
        <x:v>house</x:v>
      </x:c>
      <x:c r="F5855" s="2" t="str">
        <x:v>sale</x:v>
      </x:c>
      <x:c r="G5855" s="11" t="n">
        <x:v>27</x:v>
      </x:c>
      <x:c r="H5855" s="12" t="n">
        <x:v>2000000000</x:v>
      </x:c>
      <x:c r="I5855" s="12" t="n">
        <x:v>74074074.07407407</x:v>
      </x:c>
      <x:c r="J5855" s="2" t="str">
        <x:v>total</x:v>
      </x:c>
      <x:c r="K5855" s="2" t="str">
        <x:v>top_level_area</x:v>
      </x:c>
      <x:c r="L5855" s="2" t="str">
        <x:v>property_type_inferred_from_title</x:v>
      </x:c>
      <x:c r="M5855" s="10" t="n">
        <x:v>0</x:v>
      </x:c>
      <x:c r="N5855" s="10" t="n">
        <x:v>0</x:v>
      </x:c>
      <x:c r="O5855" s="2" t="str">
        <x:v>Tp Hồ Chí Minh|house</x:v>
      </x:c>
      <x:c r="P5855" s="10" t="n">
        <x:v>2</x:v>
      </x:c>
      <x:c r="Q5855" s="13" t="n">
        <x:f>IF(H5855="","",H5855/1000000000)</x:f>
        <x:v>2</x:v>
      </x:c>
      <x:c r="R5855" s="13" t="n">
        <x:f>IF(I5855="","",I5855/1000000)</x:f>
        <x:v>74.07407407407408</x:v>
      </x:c>
    </x:row>
    <x:row r="5856" ht="21" customHeight="1">
      <x:c r="A5856" s="10" t="n">
        <x:v>7603</x:v>
      </x:c>
      <x:c r="B5856" s="2" t="str">
        <x:v>f2710e4bcf3c7c4fc455</x:v>
      </x:c>
      <x:c r="C5856" s="2" t="str">
        <x:v>Cần Thơ</x:v>
      </x:c>
      <x:c r="D5856" s="2" t="str">
        <x:v>Quận Cái Răng</x:v>
      </x:c>
      <x:c r="E5856" s="2" t="str">
        <x:v>house</x:v>
      </x:c>
      <x:c r="F5856" s="2" t="str">
        <x:v>sale_with_rental_income</x:v>
      </x:c>
      <x:c r="G5856" s="11" t="n">
        <x:v>79.8</x:v>
      </x:c>
      <x:c r="H5856" s="12" t="n">
        <x:v>3100000000</x:v>
      </x:c>
      <x:c r="I5856" s="12" t="n">
        <x:v>38847117.79448622</x:v>
      </x:c>
      <x:c r="J5856" s="2" t="str">
        <x:v>total</x:v>
      </x:c>
      <x:c r="K5856" s="2" t="str">
        <x:v>top_level_area</x:v>
      </x:c>
      <x:c r="L5856" s="2" t="str">
        <x:v>property_type_inferred_from_title;rental_income_mentioned</x:v>
      </x:c>
      <x:c r="M5856" s="10" t="n">
        <x:v>0</x:v>
      </x:c>
      <x:c r="N5856" s="10" t="n">
        <x:v>0</x:v>
      </x:c>
      <x:c r="O5856" s="2" t="str">
        <x:v>Cần Thơ|house</x:v>
      </x:c>
      <x:c r="P5856" s="10" t="n">
        <x:v>2</x:v>
      </x:c>
      <x:c r="Q5856" s="13" t="n">
        <x:f>IF(H5856="","",H5856/1000000000)</x:f>
        <x:v>3.1</x:v>
      </x:c>
      <x:c r="R5856" s="13" t="n">
        <x:f>IF(I5856="","",I5856/1000000)</x:f>
        <x:v>38.847117794486216</x:v>
      </x:c>
    </x:row>
    <x:row r="5857" ht="21" customHeight="1">
      <x:c r="A5857" s="10" t="n">
        <x:v>7607</x:v>
      </x:c>
      <x:c r="B5857" s="2" t="str">
        <x:v>e0bdd7a141bee2ff2158</x:v>
      </x:c>
      <x:c r="C5857" s="2" t="str">
        <x:v>Tp Hồ Chí Minh</x:v>
      </x:c>
      <x:c r="D5857" s="2" t="str">
        <x:v>Quận Thủ Đức</x:v>
      </x:c>
      <x:c r="E5857" s="2" t="str">
        <x:v>house</x:v>
      </x:c>
      <x:c r="F5857" s="2" t="str">
        <x:v>sale</x:v>
      </x:c>
      <x:c r="G5857" s="11" t="n">
        <x:v>175</x:v>
      </x:c>
      <x:c r="H5857" s="12" t="n">
        <x:v>15000000000</x:v>
      </x:c>
      <x:c r="I5857" s="12" t="n">
        <x:v>85714285.71428572</x:v>
      </x:c>
      <x:c r="J5857" s="2" t="str">
        <x:v>total</x:v>
      </x:c>
      <x:c r="K5857" s="2" t="str">
        <x:v>top_level_area</x:v>
      </x:c>
      <x:c r="L5857" s="2" t="str">
        <x:v>property_type_inferred_from_title</x:v>
      </x:c>
      <x:c r="M5857" s="10" t="n">
        <x:v>0</x:v>
      </x:c>
      <x:c r="N5857" s="10" t="n">
        <x:v>0</x:v>
      </x:c>
      <x:c r="O5857" s="2" t="str">
        <x:v>Tp Hồ Chí Minh|house</x:v>
      </x:c>
      <x:c r="P5857" s="10" t="n">
        <x:v>2</x:v>
      </x:c>
      <x:c r="Q5857" s="13" t="n">
        <x:f>IF(H5857="","",H5857/1000000000)</x:f>
        <x:v>15</x:v>
      </x:c>
      <x:c r="R5857" s="13" t="n">
        <x:f>IF(I5857="","",I5857/1000000)</x:f>
        <x:v>85.71428571428572</x:v>
      </x:c>
    </x:row>
    <x:row r="5858" ht="21" customHeight="1">
      <x:c r="A5858" s="10" t="n">
        <x:v>7608</x:v>
      </x:c>
      <x:c r="B5858" s="2" t="str">
        <x:v>97214acebb0a5494dc86</x:v>
      </x:c>
      <x:c r="C5858" s="2" t="str">
        <x:v>Long An</x:v>
      </x:c>
      <x:c r="D5858" s="2" t="str">
        <x:v>Huyện Đức Hòa</x:v>
      </x:c>
      <x:c r="E5858" s="2" t="str">
        <x:v>house</x:v>
      </x:c>
      <x:c r="F5858" s="2" t="str">
        <x:v>sale_assumed</x:v>
      </x:c>
      <x:c r="G5858" s="11" t="n">
        <x:v>48</x:v>
      </x:c>
      <x:c r="H5858" s="12" t="n">
        <x:v>350000000</x:v>
      </x:c>
      <x:c r="I5858" s="12" t="n">
        <x:v>7291666.666666667</x:v>
      </x:c>
      <x:c r="J5858" s="2" t="str">
        <x:v>total</x:v>
      </x:c>
      <x:c r="K5858" s="2" t="str">
        <x:v>top_level_area</x:v>
      </x:c>
      <x:c r="L5858" s="2" t="str">
        <x:v>property_type_inferred_from_title;transaction_assumed_sale_from_dataset_context</x:v>
      </x:c>
      <x:c r="M5858" s="10" t="n">
        <x:v>0</x:v>
      </x:c>
      <x:c r="N5858" s="10" t="n">
        <x:v>0</x:v>
      </x:c>
      <x:c r="O5858" s="2" t="str">
        <x:v>Long An|house</x:v>
      </x:c>
      <x:c r="P5858" s="10" t="n">
        <x:v>2</x:v>
      </x:c>
      <x:c r="Q5858" s="13" t="n">
        <x:f>IF(H5858="","",H5858/1000000000)</x:f>
        <x:v>0.35</x:v>
      </x:c>
      <x:c r="R5858" s="13" t="n">
        <x:f>IF(I5858="","",I5858/1000000)</x:f>
        <x:v>7.291666666666667</x:v>
      </x:c>
    </x:row>
    <x:row r="5859" ht="21" customHeight="1">
      <x:c r="A5859" s="10" t="n">
        <x:v>7609</x:v>
      </x:c>
      <x:c r="B5859" s="2" t="str">
        <x:v>09c22166dd3d2a270cce</x:v>
      </x:c>
      <x:c r="C5859" s="2" t="str">
        <x:v>Tp Hồ Chí Minh</x:v>
      </x:c>
      <x:c r="D5859" s="2" t="str">
        <x:v>Quận 12</x:v>
      </x:c>
      <x:c r="E5859" s="2" t="str">
        <x:v>apartment</x:v>
      </x:c>
      <x:c r="F5859" s="2" t="str">
        <x:v>sale_assumed</x:v>
      </x:c>
      <x:c r="G5859" s="11" t="n">
        <x:v>48.58</x:v>
      </x:c>
      <x:c r="H5859" s="12" t="n">
        <x:v>1860296000</x:v>
      </x:c>
      <x:c r="I5859" s="12" t="n">
        <x:v>38293454.09633594</x:v>
      </x:c>
      <x:c r="J5859" s="2" t="str">
        <x:v>total</x:v>
      </x:c>
      <x:c r="K5859" s="2" t="str">
        <x:v>top_level_area</x:v>
      </x:c>
      <x:c r="L5859" s="2" t="str">
        <x:v>property_type_inferred_from_title;transaction_assumed_sale_from_dataset_context</x:v>
      </x:c>
      <x:c r="M5859" s="10" t="n">
        <x:v>0</x:v>
      </x:c>
      <x:c r="N5859" s="10" t="n">
        <x:v>0</x:v>
      </x:c>
      <x:c r="O5859" s="2" t="str">
        <x:v>Tp Hồ Chí Minh|apartment</x:v>
      </x:c>
      <x:c r="P5859" s="10" t="n">
        <x:v>2</x:v>
      </x:c>
      <x:c r="Q5859" s="13" t="n">
        <x:f>IF(H5859="","",H5859/1000000000)</x:f>
        <x:v>1.860296</x:v>
      </x:c>
      <x:c r="R5859" s="13" t="n">
        <x:f>IF(I5859="","",I5859/1000000)</x:f>
        <x:v>38.29345409633594</x:v>
      </x:c>
    </x:row>
    <x:row r="5860" ht="21" customHeight="1">
      <x:c r="A5860" s="10" t="n">
        <x:v>7610</x:v>
      </x:c>
      <x:c r="B5860" s="2" t="str">
        <x:v>08b076255fe3e9727ec7</x:v>
      </x:c>
      <x:c r="C5860" s="2" t="str">
        <x:v>Hà Nội</x:v>
      </x:c>
      <x:c r="D5860" s="2" t="str">
        <x:v>Huyện Thanh Trì</x:v>
      </x:c>
      <x:c r="E5860" s="2" t="str">
        <x:v>house</x:v>
      </x:c>
      <x:c r="F5860" s="2" t="str">
        <x:v>sale</x:v>
      </x:c>
      <x:c r="G5860" s="11" t="n">
        <x:v>40</x:v>
      </x:c>
      <x:c r="H5860" s="12" t="n">
        <x:v>2800000000</x:v>
      </x:c>
      <x:c r="I5860" s="12" t="n">
        <x:v>70000000</x:v>
      </x:c>
      <x:c r="J5860" s="2" t="str">
        <x:v>total</x:v>
      </x:c>
      <x:c r="K5860" s="2" t="str">
        <x:v>top_level_area</x:v>
      </x:c>
      <x:c r="L5860" s="2" t="str">
        <x:v>property_type_inferred_from_title</x:v>
      </x:c>
      <x:c r="M5860" s="10" t="n">
        <x:v>0</x:v>
      </x:c>
      <x:c r="N5860" s="10" t="n">
        <x:v>0</x:v>
      </x:c>
      <x:c r="O5860" s="2" t="str">
        <x:v>Hà Nội|house</x:v>
      </x:c>
      <x:c r="P5860" s="10" t="n">
        <x:v>2</x:v>
      </x:c>
      <x:c r="Q5860" s="13" t="n">
        <x:f>IF(H5860="","",H5860/1000000000)</x:f>
        <x:v>2.8</x:v>
      </x:c>
      <x:c r="R5860" s="13" t="n">
        <x:f>IF(I5860="","",I5860/1000000)</x:f>
        <x:v>70</x:v>
      </x:c>
    </x:row>
    <x:row r="5861" ht="21" customHeight="1">
      <x:c r="A5861" s="10" t="n">
        <x:v>7611</x:v>
      </x:c>
      <x:c r="B5861" s="2" t="str">
        <x:v>d2a455ab5ed2b88615ed</x:v>
      </x:c>
      <x:c r="C5861" s="2" t="str">
        <x:v>Bình Phước</x:v>
      </x:c>
      <x:c r="D5861" s="2" t="str">
        <x:v>Huyện Phú Riềng</x:v>
      </x:c>
      <x:c r="E5861" s="2" t="str">
        <x:v>land</x:v>
      </x:c>
      <x:c r="F5861" s="2" t="str">
        <x:v>sale_assumed</x:v>
      </x:c>
      <x:c r="G5861" s="11" t="n">
        <x:v>159</x:v>
      </x:c>
      <x:c r="H5861" s="12" t="n">
        <x:v>500000000</x:v>
      </x:c>
      <x:c r="I5861" s="12" t="n">
        <x:v>3144654.0880503147</x:v>
      </x:c>
      <x:c r="J5861" s="2" t="str">
        <x:v>total</x:v>
      </x:c>
      <x:c r="K5861" s="2" t="str">
        <x:v>top_level_area</x:v>
      </x:c>
      <x:c r="L5861" s="2" t="str">
        <x:v>property_type_inferred_from_title;transaction_assumed_sale_from_dataset_context</x:v>
      </x:c>
      <x:c r="M5861" s="10" t="n">
        <x:v>0</x:v>
      </x:c>
      <x:c r="N5861" s="10" t="n">
        <x:v>0</x:v>
      </x:c>
      <x:c r="O5861" s="2" t="str">
        <x:v>Bình Phước|land</x:v>
      </x:c>
      <x:c r="P5861" s="10" t="n">
        <x:v>1</x:v>
      </x:c>
      <x:c r="Q5861" s="13" t="n">
        <x:f>IF(H5861="","",H5861/1000000000)</x:f>
        <x:v>0.5</x:v>
      </x:c>
      <x:c r="R5861" s="13" t="n">
        <x:f>IF(I5861="","",I5861/1000000)</x:f>
        <x:v>3.1446540880503147</x:v>
      </x:c>
    </x:row>
    <x:row r="5862" ht="21" customHeight="1">
      <x:c r="A5862" s="10" t="n">
        <x:v>7612</x:v>
      </x:c>
      <x:c r="B5862" s="2" t="str">
        <x:v>b9e912d3ae3f1d00d22f</x:v>
      </x:c>
      <x:c r="C5862" s="2" t="str">
        <x:v>Bến Tre</x:v>
      </x:c>
      <x:c r="D5862" s="2" t="str">
        <x:v>Thành phố Bến Tre</x:v>
      </x:c>
      <x:c r="E5862" s="2" t="str">
        <x:v>house</x:v>
      </x:c>
      <x:c r="F5862" s="2" t="str">
        <x:v>sale_assumed</x:v>
      </x:c>
      <x:c r="G5862" s="11" t="n">
        <x:v>128</x:v>
      </x:c>
      <x:c r="H5862" s="12" t="n">
        <x:v>950000000</x:v>
      </x:c>
      <x:c r="I5862" s="12" t="n">
        <x:v>7421875</x:v>
      </x:c>
      <x:c r="J5862" s="2" t="str">
        <x:v>total</x:v>
      </x:c>
      <x:c r="K5862" s="2" t="str">
        <x:v>top_level_area</x:v>
      </x:c>
      <x:c r="L5862" s="2" t="str">
        <x:v>property_type_inferred_from_title;transaction_assumed_sale_from_dataset_context</x:v>
      </x:c>
      <x:c r="M5862" s="10" t="n">
        <x:v>0</x:v>
      </x:c>
      <x:c r="N5862" s="10" t="n">
        <x:v>0</x:v>
      </x:c>
      <x:c r="O5862" s="2" t="str">
        <x:v>house</x:v>
      </x:c>
      <x:c r="P5862" s="10" t="n">
        <x:v>2</x:v>
      </x:c>
      <x:c r="Q5862" s="13" t="n">
        <x:f>IF(H5862="","",H5862/1000000000)</x:f>
        <x:v>0.95</x:v>
      </x:c>
      <x:c r="R5862" s="13" t="n">
        <x:f>IF(I5862="","",I5862/1000000)</x:f>
        <x:v>7.421875</x:v>
      </x:c>
    </x:row>
    <x:row r="5863" ht="21" customHeight="1">
      <x:c r="A5863" s="10" t="n">
        <x:v>7613</x:v>
      </x:c>
      <x:c r="B5863" s="2" t="str">
        <x:v>faf62809f6b4613723d1</x:v>
      </x:c>
      <x:c r="C5863" s="2" t="str">
        <x:v>Tp Hồ Chí Minh</x:v>
      </x:c>
      <x:c r="D5863" s="2" t="str">
        <x:v>Huyện Bình Chánh</x:v>
      </x:c>
      <x:c r="E5863" s="2" t="str">
        <x:v>other_unknown</x:v>
      </x:c>
      <x:c r="F5863" s="2" t="str">
        <x:v>sale_assumed</x:v>
      </x:c>
      <x:c r="G5863" s="11" t="n">
        <x:v>40</x:v>
      </x:c>
      <x:c r="H5863" s="12" t="n">
        <x:v>205000000</x:v>
      </x:c>
      <x:c r="I5863" s="12" t="n">
        <x:v>5125000</x:v>
      </x:c>
      <x:c r="J5863" s="2" t="str">
        <x:v>total</x:v>
      </x:c>
      <x:c r="K5863" s="2" t="str">
        <x:v>top_level_price_embedded_area</x:v>
      </x:c>
      <x:c r="L5863" s="2" t="str">
        <x:v>area_recovered_from_price_text;property_type_inferred_from_title;transaction_assumed_sale_from_dataset_context;unknown_property_type</x:v>
      </x:c>
      <x:c r="M5863" s="10" t="n">
        <x:v>0</x:v>
      </x:c>
      <x:c r="N5863" s="10" t="n">
        <x:v>0</x:v>
      </x:c>
      <x:c r="O5863" s="2" t="str">
        <x:v>Tp Hồ Chí Minh|other_unknown</x:v>
      </x:c>
      <x:c r="P5863" s="10" t="n">
        <x:v>2</x:v>
      </x:c>
      <x:c r="Q5863" s="13" t="n">
        <x:f>IF(H5863="","",H5863/1000000000)</x:f>
        <x:v>0.205</x:v>
      </x:c>
      <x:c r="R5863" s="13" t="n">
        <x:f>IF(I5863="","",I5863/1000000)</x:f>
        <x:v>5.125</x:v>
      </x:c>
    </x:row>
    <x:row r="5864" ht="21" customHeight="1">
      <x:c r="A5864" s="10" t="n">
        <x:v>7614</x:v>
      </x:c>
      <x:c r="B5864" s="2" t="str">
        <x:v>6ff4a765fa7394ba2638</x:v>
      </x:c>
      <x:c r="C5864" s="2" t="str">
        <x:v>Đà Nẵng</x:v>
      </x:c>
      <x:c r="D5864" s="2" t="str">
        <x:v>Quận Thanh Khê</x:v>
      </x:c>
      <x:c r="E5864" s="2" t="str">
        <x:v>house</x:v>
      </x:c>
      <x:c r="F5864" s="2" t="str">
        <x:v>sale_assumed</x:v>
      </x:c>
      <x:c r="G5864" s="11" t="n">
        <x:v>87.5</x:v>
      </x:c>
      <x:c r="H5864" s="12" t="n">
        <x:v>9300000000</x:v>
      </x:c>
      <x:c r="I5864" s="12" t="n">
        <x:v>106285714.28571428</x:v>
      </x:c>
      <x:c r="J5864" s="2" t="str">
        <x:v>total</x:v>
      </x:c>
      <x:c r="K5864" s="2" t="str">
        <x:v>top_level_area</x:v>
      </x:c>
      <x:c r="L5864" s="2" t="str">
        <x:v>property_type_inferred_from_title;transaction_assumed_sale_from_dataset_context</x:v>
      </x:c>
      <x:c r="M5864" s="10" t="n">
        <x:v>0</x:v>
      </x:c>
      <x:c r="N5864" s="10" t="n">
        <x:v>0</x:v>
      </x:c>
      <x:c r="O5864" s="2" t="str">
        <x:v>Đà Nẵng|house</x:v>
      </x:c>
      <x:c r="P5864" s="10" t="n">
        <x:v>2</x:v>
      </x:c>
      <x:c r="Q5864" s="13" t="n">
        <x:f>IF(H5864="","",H5864/1000000000)</x:f>
        <x:v>9.3</x:v>
      </x:c>
      <x:c r="R5864" s="13" t="n">
        <x:f>IF(I5864="","",I5864/1000000)</x:f>
        <x:v>106.28571428571428</x:v>
      </x:c>
    </x:row>
    <x:row r="5865" ht="21" customHeight="1">
      <x:c r="A5865" s="10" t="n">
        <x:v>7615</x:v>
      </x:c>
      <x:c r="B5865" s="2" t="str">
        <x:v>056d9998e02ce101cd00</x:v>
      </x:c>
      <x:c r="C5865" s="2" t="str">
        <x:v>Bình Dương</x:v>
      </x:c>
      <x:c r="D5865" s="2" t="str">
        <x:v>Thị xã Thuận An</x:v>
      </x:c>
      <x:c r="E5865" s="2" t="str">
        <x:v>house</x:v>
      </x:c>
      <x:c r="F5865" s="2" t="str">
        <x:v>sale</x:v>
      </x:c>
      <x:c r="G5865" s="11" t="n">
        <x:v>150</x:v>
      </x:c>
      <x:c r="H5865" s="12" t="n">
        <x:v>5200000000</x:v>
      </x:c>
      <x:c r="I5865" s="12" t="n">
        <x:v>34666666.666666664</x:v>
      </x:c>
      <x:c r="J5865" s="2" t="str">
        <x:v>total</x:v>
      </x:c>
      <x:c r="K5865" s="2" t="str">
        <x:v>top_level_area</x:v>
      </x:c>
      <x:c r="L5865" s="2" t="str">
        <x:v>property_type_inferred_from_title</x:v>
      </x:c>
      <x:c r="M5865" s="10" t="n">
        <x:v>0</x:v>
      </x:c>
      <x:c r="N5865" s="10" t="n">
        <x:v>0</x:v>
      </x:c>
      <x:c r="O5865" s="2" t="str">
        <x:v>Bình Dương|house</x:v>
      </x:c>
      <x:c r="P5865" s="10" t="n">
        <x:v>2</x:v>
      </x:c>
      <x:c r="Q5865" s="13" t="n">
        <x:f>IF(H5865="","",H5865/1000000000)</x:f>
        <x:v>5.2</x:v>
      </x:c>
      <x:c r="R5865" s="13" t="n">
        <x:f>IF(I5865="","",I5865/1000000)</x:f>
        <x:v>34.666666666666664</x:v>
      </x:c>
    </x:row>
    <x:row r="5866" ht="21" customHeight="1">
      <x:c r="A5866" s="10" t="n">
        <x:v>7616</x:v>
      </x:c>
      <x:c r="B5866" s="2" t="str">
        <x:v>517aa9bcf63147449ed2</x:v>
      </x:c>
      <x:c r="C5866" s="2" t="str">
        <x:v>Hà Nội</x:v>
      </x:c>
      <x:c r="D5866" s="2" t="str">
        <x:v>Quận Cầu Giấy</x:v>
      </x:c>
      <x:c r="E5866" s="2" t="str">
        <x:v>other_unknown</x:v>
      </x:c>
      <x:c r="F5866" s="2" t="str">
        <x:v>sale_assumed</x:v>
      </x:c>
      <x:c r="G5866" s="11" t="n">
        <x:v>45</x:v>
      </x:c>
      <x:c r="H5866" s="12" t="n">
        <x:v>4800000000</x:v>
      </x:c>
      <x:c r="I5866" s="12" t="n">
        <x:v>106666666.66666667</x:v>
      </x:c>
      <x:c r="J5866" s="2" t="str">
        <x:v>total</x:v>
      </x:c>
      <x:c r="K5866" s="2" t="str">
        <x:v>top_level_area</x:v>
      </x:c>
      <x:c r="L5866" s="2" t="str">
        <x:v>property_type_inferred_from_title;transaction_assumed_sale_from_dataset_context;unknown_property_type</x:v>
      </x:c>
      <x:c r="M5866" s="10" t="n">
        <x:v>0</x:v>
      </x:c>
      <x:c r="N5866" s="10" t="n">
        <x:v>0</x:v>
      </x:c>
      <x:c r="O5866" s="2" t="str">
        <x:v>Hà Nội|other_unknown</x:v>
      </x:c>
      <x:c r="P5866" s="10" t="n">
        <x:v>2</x:v>
      </x:c>
      <x:c r="Q5866" s="13" t="n">
        <x:f>IF(H5866="","",H5866/1000000000)</x:f>
        <x:v>4.8</x:v>
      </x:c>
      <x:c r="R5866" s="13" t="n">
        <x:f>IF(I5866="","",I5866/1000000)</x:f>
        <x:v>106.66666666666667</x:v>
      </x:c>
    </x:row>
    <x:row r="5867" ht="21" customHeight="1">
      <x:c r="A5867" s="10" t="n">
        <x:v>7617</x:v>
      </x:c>
      <x:c r="B5867" s="2" t="str">
        <x:v>c023ac4e759da12133e0</x:v>
      </x:c>
      <x:c r="C5867" s="2" t="str">
        <x:v>Hà Nội</x:v>
      </x:c>
      <x:c r="D5867" s="2" t="str">
        <x:v>Quận Bắc Từ Liêm</x:v>
      </x:c>
      <x:c r="E5867" s="2" t="str">
        <x:v>house</x:v>
      </x:c>
      <x:c r="F5867" s="2" t="str">
        <x:v>sale</x:v>
      </x:c>
      <x:c r="G5867" s="11" t="n">
        <x:v>35</x:v>
      </x:c>
      <x:c r="H5867" s="12" t="n">
        <x:v>2500000000</x:v>
      </x:c>
      <x:c r="I5867" s="12" t="n">
        <x:v>71428571.42857143</x:v>
      </x:c>
      <x:c r="J5867" s="2" t="str">
        <x:v>total</x:v>
      </x:c>
      <x:c r="K5867" s="2" t="str">
        <x:v>top_level_area</x:v>
      </x:c>
      <x:c r="L5867" s="2" t="str">
        <x:v>property_type_inferred_from_title</x:v>
      </x:c>
      <x:c r="M5867" s="10" t="n">
        <x:v>0</x:v>
      </x:c>
      <x:c r="N5867" s="10" t="n">
        <x:v>0</x:v>
      </x:c>
      <x:c r="O5867" s="2" t="str">
        <x:v>Hà Nội|house</x:v>
      </x:c>
      <x:c r="P5867" s="10" t="n">
        <x:v>2</x:v>
      </x:c>
      <x:c r="Q5867" s="13" t="n">
        <x:f>IF(H5867="","",H5867/1000000000)</x:f>
        <x:v>2.5</x:v>
      </x:c>
      <x:c r="R5867" s="13" t="n">
        <x:f>IF(I5867="","",I5867/1000000)</x:f>
        <x:v>71.42857142857143</x:v>
      </x:c>
    </x:row>
    <x:row r="5868" ht="21" customHeight="1">
      <x:c r="A5868" s="10" t="n">
        <x:v>7618</x:v>
      </x:c>
      <x:c r="B5868" s="2" t="str">
        <x:v>935e97015d0f06681b91</x:v>
      </x:c>
      <x:c r="C5868" s="2" t="str">
        <x:v>Tp Hồ Chí Minh</x:v>
      </x:c>
      <x:c r="D5868" s="2" t="str">
        <x:v>Quận Thủ Đức</x:v>
      </x:c>
      <x:c r="E5868" s="2" t="str">
        <x:v>land</x:v>
      </x:c>
      <x:c r="F5868" s="2" t="str">
        <x:v>sale</x:v>
      </x:c>
      <x:c r="G5868" s="11" t="n">
        <x:v>70</x:v>
      </x:c>
      <x:c r="H5868" s="12" t="n">
        <x:v>4500000000</x:v>
      </x:c>
      <x:c r="I5868" s="12" t="n">
        <x:v>64285714.28571428</x:v>
      </x:c>
      <x:c r="J5868" s="2" t="str">
        <x:v>total</x:v>
      </x:c>
      <x:c r="K5868" s="2" t="str">
        <x:v>top_level_area</x:v>
      </x:c>
      <x:c r="L5868" s="2" t="str">
        <x:v>property_type_inferred_from_title</x:v>
      </x:c>
      <x:c r="M5868" s="10" t="n">
        <x:v>0</x:v>
      </x:c>
      <x:c r="N5868" s="10" t="n">
        <x:v>0</x:v>
      </x:c>
      <x:c r="O5868" s="2" t="str">
        <x:v>Tp Hồ Chí Minh|land</x:v>
      </x:c>
      <x:c r="P5868" s="10" t="n">
        <x:v>2</x:v>
      </x:c>
      <x:c r="Q5868" s="13" t="n">
        <x:f>IF(H5868="","",H5868/1000000000)</x:f>
        <x:v>4.5</x:v>
      </x:c>
      <x:c r="R5868" s="13" t="n">
        <x:f>IF(I5868="","",I5868/1000000)</x:f>
        <x:v>64.28571428571428</x:v>
      </x:c>
    </x:row>
    <x:row r="5869" ht="21" customHeight="1">
      <x:c r="A5869" s="10" t="n">
        <x:v>7619</x:v>
      </x:c>
      <x:c r="B5869" s="2" t="str">
        <x:v>1b9c57653ec18925bed6</x:v>
      </x:c>
      <x:c r="C5869" s="2" t="str">
        <x:v>Tp Hồ Chí Minh</x:v>
      </x:c>
      <x:c r="D5869" s="2" t="str">
        <x:v>Quận Tân Phú</x:v>
      </x:c>
      <x:c r="E5869" s="2" t="str">
        <x:v>other_unknown</x:v>
      </x:c>
      <x:c r="F5869" s="2" t="str">
        <x:v>sale_assumed</x:v>
      </x:c>
      <x:c r="G5869" s="11" t="n">
        <x:v>53</x:v>
      </x:c>
      <x:c r="H5869" s="12" t="n">
        <x:v>4150000000.0000005</x:v>
      </x:c>
      <x:c r="I5869" s="12" t="n">
        <x:v>78301886.79245284</x:v>
      </x:c>
      <x:c r="J5869" s="2" t="str">
        <x:v>total</x:v>
      </x:c>
      <x:c r="K5869" s="2" t="str">
        <x:v>top_level_area</x:v>
      </x:c>
      <x:c r="L5869" s="2" t="str">
        <x:v>property_type_inferred_from_title;transaction_assumed_sale_from_dataset_context;unknown_property_type</x:v>
      </x:c>
      <x:c r="M5869" s="10" t="n">
        <x:v>0</x:v>
      </x:c>
      <x:c r="N5869" s="10" t="n">
        <x:v>0</x:v>
      </x:c>
      <x:c r="O5869" s="2" t="str">
        <x:v>Tp Hồ Chí Minh|other_unknown</x:v>
      </x:c>
      <x:c r="P5869" s="10" t="n">
        <x:v>2</x:v>
      </x:c>
      <x:c r="Q5869" s="13" t="n">
        <x:f>IF(H5869="","",H5869/1000000000)</x:f>
        <x:v>4.15</x:v>
      </x:c>
      <x:c r="R5869" s="13" t="n">
        <x:f>IF(I5869="","",I5869/1000000)</x:f>
        <x:v>78.30188679245285</x:v>
      </x:c>
    </x:row>
    <x:row r="5870" ht="21" customHeight="1">
      <x:c r="A5870" s="10" t="n">
        <x:v>7620</x:v>
      </x:c>
      <x:c r="B5870" s="2" t="str">
        <x:v>a4dfd4c47c346b2d4df4</x:v>
      </x:c>
      <x:c r="C5870" s="2" t="str">
        <x:v>Tp Hồ Chí Minh</x:v>
      </x:c>
      <x:c r="D5870" s="2" t="str">
        <x:v>Quận 8</x:v>
      </x:c>
      <x:c r="E5870" s="2" t="str">
        <x:v>apartment</x:v>
      </x:c>
      <x:c r="F5870" s="2" t="str">
        <x:v>sale_assumed</x:v>
      </x:c>
      <x:c r="G5870" s="11" t="n">
        <x:v>91</x:v>
      </x:c>
      <x:c r="H5870" s="12" t="n">
        <x:v>2500000000</x:v>
      </x:c>
      <x:c r="I5870" s="12" t="n">
        <x:v>27472527.472527474</x:v>
      </x:c>
      <x:c r="J5870" s="2" t="str">
        <x:v>total</x:v>
      </x:c>
      <x:c r="K5870" s="2" t="str">
        <x:v>top_level_area</x:v>
      </x:c>
      <x:c r="L5870" s="2" t="str">
        <x:v>property_type_inferred_from_title;transaction_assumed_sale_from_dataset_context</x:v>
      </x:c>
      <x:c r="M5870" s="10" t="n">
        <x:v>0</x:v>
      </x:c>
      <x:c r="N5870" s="10" t="n">
        <x:v>0</x:v>
      </x:c>
      <x:c r="O5870" s="2" t="str">
        <x:v>Tp Hồ Chí Minh|apartment</x:v>
      </x:c>
      <x:c r="P5870" s="10" t="n">
        <x:v>2</x:v>
      </x:c>
      <x:c r="Q5870" s="13" t="n">
        <x:f>IF(H5870="","",H5870/1000000000)</x:f>
        <x:v>2.5</x:v>
      </x:c>
      <x:c r="R5870" s="13" t="n">
        <x:f>IF(I5870="","",I5870/1000000)</x:f>
        <x:v>27.472527472527474</x:v>
      </x:c>
    </x:row>
    <x:row r="5871" ht="21" customHeight="1">
      <x:c r="A5871" s="10" t="n">
        <x:v>7621</x:v>
      </x:c>
      <x:c r="B5871" s="2" t="str">
        <x:v>4cd95ff090c5dbbafef1</x:v>
      </x:c>
      <x:c r="C5871" s="2" t="str">
        <x:v>Đà Nẵng</x:v>
      </x:c>
      <x:c r="D5871" s="2" t="str">
        <x:v>Quận Hải Châu</x:v>
      </x:c>
      <x:c r="E5871" s="2" t="str">
        <x:v>house</x:v>
      </x:c>
      <x:c r="F5871" s="2" t="str">
        <x:v>sale_assumed</x:v>
      </x:c>
      <x:c r="G5871" s="11" t="n">
        <x:v>72</x:v>
      </x:c>
      <x:c r="H5871" s="12" t="n">
        <x:v>6900000000</x:v>
      </x:c>
      <x:c r="I5871" s="12" t="n">
        <x:v>95833333.33333333</x:v>
      </x:c>
      <x:c r="J5871" s="2" t="str">
        <x:v>total</x:v>
      </x:c>
      <x:c r="K5871" s="2" t="str">
        <x:v>top_level_area</x:v>
      </x:c>
      <x:c r="L5871" s="2" t="str">
        <x:v>property_type_inferred_from_title;transaction_assumed_sale_from_dataset_context</x:v>
      </x:c>
      <x:c r="M5871" s="10" t="n">
        <x:v>0</x:v>
      </x:c>
      <x:c r="N5871" s="10" t="n">
        <x:v>0</x:v>
      </x:c>
      <x:c r="O5871" s="2" t="str">
        <x:v>Đà Nẵng|house</x:v>
      </x:c>
      <x:c r="P5871" s="10" t="n">
        <x:v>2</x:v>
      </x:c>
      <x:c r="Q5871" s="13" t="n">
        <x:f>IF(H5871="","",H5871/1000000000)</x:f>
        <x:v>6.9</x:v>
      </x:c>
      <x:c r="R5871" s="13" t="n">
        <x:f>IF(I5871="","",I5871/1000000)</x:f>
        <x:v>95.83333333333333</x:v>
      </x:c>
    </x:row>
    <x:row r="5872" ht="21" customHeight="1">
      <x:c r="A5872" s="10" t="n">
        <x:v>7622</x:v>
      </x:c>
      <x:c r="B5872" s="2" t="str">
        <x:v>ae19f126706e0448db46</x:v>
      </x:c>
      <x:c r="C5872" s="2" t="str">
        <x:v>Tp Hồ Chí Minh</x:v>
      </x:c>
      <x:c r="D5872" s="2" t="str">
        <x:v>Quận Bình Tân</x:v>
      </x:c>
      <x:c r="E5872" s="2" t="str">
        <x:v>house</x:v>
      </x:c>
      <x:c r="F5872" s="2" t="str">
        <x:v>sale</x:v>
      </x:c>
      <x:c r="G5872" s="11" t="n">
        <x:v>79</x:v>
      </x:c>
      <x:c r="H5872" s="12" t="n">
        <x:v>7000000000</x:v>
      </x:c>
      <x:c r="I5872" s="12" t="n">
        <x:v>88607594.93670887</x:v>
      </x:c>
      <x:c r="J5872" s="2" t="str">
        <x:v>total</x:v>
      </x:c>
      <x:c r="K5872" s="2" t="str">
        <x:v>top_level_area</x:v>
      </x:c>
      <x:c r="L5872" s="2" t="str">
        <x:v>property_type_inferred_from_title</x:v>
      </x:c>
      <x:c r="M5872" s="10" t="n">
        <x:v>0</x:v>
      </x:c>
      <x:c r="N5872" s="10" t="n">
        <x:v>0</x:v>
      </x:c>
      <x:c r="O5872" s="2" t="str">
        <x:v>Tp Hồ Chí Minh|house</x:v>
      </x:c>
      <x:c r="P5872" s="10" t="n">
        <x:v>2</x:v>
      </x:c>
      <x:c r="Q5872" s="13" t="n">
        <x:f>IF(H5872="","",H5872/1000000000)</x:f>
        <x:v>7</x:v>
      </x:c>
      <x:c r="R5872" s="13" t="n">
        <x:f>IF(I5872="","",I5872/1000000)</x:f>
        <x:v>88.60759493670886</x:v>
      </x:c>
    </x:row>
    <x:row r="5873" ht="21" customHeight="1">
      <x:c r="A5873" s="10" t="n">
        <x:v>7623</x:v>
      </x:c>
      <x:c r="B5873" s="2" t="str">
        <x:v>50ffc05e57ec50018367</x:v>
      </x:c>
      <x:c r="C5873" s="2" t="str">
        <x:v>Tp Hồ Chí Minh</x:v>
      </x:c>
      <x:c r="D5873" s="2" t="str">
        <x:v>Quận 10</x:v>
      </x:c>
      <x:c r="E5873" s="2" t="str">
        <x:v>house</x:v>
      </x:c>
      <x:c r="F5873" s="2" t="str">
        <x:v>sale_assumed</x:v>
      </x:c>
      <x:c r="G5873" s="11" t="n">
        <x:v>20</x:v>
      </x:c>
      <x:c r="H5873" s="12" t="n">
        <x:v>5800000000</x:v>
      </x:c>
      <x:c r="I5873" s="12" t="n">
        <x:v>290000000</x:v>
      </x:c>
      <x:c r="J5873" s="2" t="str">
        <x:v>total</x:v>
      </x:c>
      <x:c r="K5873" s="2" t="str">
        <x:v>top_level_area</x:v>
      </x:c>
      <x:c r="L5873" s="2" t="str">
        <x:v>property_type_inferred_from_title;transaction_assumed_sale_from_dataset_context</x:v>
      </x:c>
      <x:c r="M5873" s="10" t="n">
        <x:v>1</x:v>
      </x:c>
      <x:c r="N5873" s="10" t="n">
        <x:v>1</x:v>
      </x:c>
      <x:c r="O5873" s="2" t="str">
        <x:v>Tp Hồ Chí Minh|house</x:v>
      </x:c>
      <x:c r="P5873" s="10" t="n">
        <x:v>-1</x:v>
      </x:c>
      <x:c r="Q5873" s="13" t="n">
        <x:f>IF(H5873="","",H5873/1000000000)</x:f>
        <x:v>5.8</x:v>
      </x:c>
      <x:c r="R5873" s="13" t="n">
        <x:f>IF(I5873="","",I5873/1000000)</x:f>
        <x:v>290</x:v>
      </x:c>
    </x:row>
    <x:row r="5874" ht="21" customHeight="1">
      <x:c r="A5874" s="10" t="n">
        <x:v>7624</x:v>
      </x:c>
      <x:c r="B5874" s="2" t="str">
        <x:v>c516832c44821fab31ff</x:v>
      </x:c>
      <x:c r="C5874" s="2" t="str">
        <x:v>Tp Hồ Chí Minh</x:v>
      </x:c>
      <x:c r="D5874" s="2" t="str">
        <x:v>Quận 12</x:v>
      </x:c>
      <x:c r="E5874" s="2" t="str">
        <x:v>house</x:v>
      </x:c>
      <x:c r="F5874" s="2" t="str">
        <x:v>sale</x:v>
      </x:c>
      <x:c r="G5874" s="11" t="n">
        <x:v>76</x:v>
      </x:c>
      <x:c r="H5874" s="12" t="n">
        <x:v>5450000000</x:v>
      </x:c>
      <x:c r="I5874" s="12" t="n">
        <x:v>71710526.31578948</x:v>
      </x:c>
      <x:c r="J5874" s="2" t="str">
        <x:v>total</x:v>
      </x:c>
      <x:c r="K5874" s="2" t="str">
        <x:v>top_level_area</x:v>
      </x:c>
      <x:c r="L5874" s="2" t="str">
        <x:v>property_type_inferred_from_title</x:v>
      </x:c>
      <x:c r="M5874" s="10" t="n">
        <x:v>0</x:v>
      </x:c>
      <x:c r="N5874" s="10" t="n">
        <x:v>0</x:v>
      </x:c>
      <x:c r="O5874" s="2" t="str">
        <x:v>Tp Hồ Chí Minh|house</x:v>
      </x:c>
      <x:c r="P5874" s="10" t="n">
        <x:v>2</x:v>
      </x:c>
      <x:c r="Q5874" s="13" t="n">
        <x:f>IF(H5874="","",H5874/1000000000)</x:f>
        <x:v>5.45</x:v>
      </x:c>
      <x:c r="R5874" s="13" t="n">
        <x:f>IF(I5874="","",I5874/1000000)</x:f>
        <x:v>71.71052631578948</x:v>
      </x:c>
    </x:row>
    <x:row r="5875" ht="21" customHeight="1">
      <x:c r="A5875" s="10" t="n">
        <x:v>7625</x:v>
      </x:c>
      <x:c r="B5875" s="2" t="str">
        <x:v>997fe8396faf7b5c71ef</x:v>
      </x:c>
      <x:c r="C5875" s="2" t="str">
        <x:v>Hà Nội</x:v>
      </x:c>
      <x:c r="D5875" s="2" t="str">
        <x:v>Quận Hai Bà Trưng</x:v>
      </x:c>
      <x:c r="E5875" s="2" t="str">
        <x:v>house</x:v>
      </x:c>
      <x:c r="F5875" s="2" t="str">
        <x:v>sale</x:v>
      </x:c>
      <x:c r="G5875" s="11" t="n">
        <x:v>42</x:v>
      </x:c>
      <x:c r="H5875" s="12" t="n">
        <x:v>2500000000</x:v>
      </x:c>
      <x:c r="I5875" s="12" t="n">
        <x:v>59523809.52380952</x:v>
      </x:c>
      <x:c r="J5875" s="2" t="str">
        <x:v>total</x:v>
      </x:c>
      <x:c r="K5875" s="2" t="str">
        <x:v>top_level_area</x:v>
      </x:c>
      <x:c r="L5875" s="2" t="str">
        <x:v>property_type_inferred_from_title</x:v>
      </x:c>
      <x:c r="M5875" s="10" t="n">
        <x:v>0</x:v>
      </x:c>
      <x:c r="N5875" s="10" t="n">
        <x:v>0</x:v>
      </x:c>
      <x:c r="O5875" s="2" t="str">
        <x:v>Hà Nội|house</x:v>
      </x:c>
      <x:c r="P5875" s="10" t="n">
        <x:v>2</x:v>
      </x:c>
      <x:c r="Q5875" s="13" t="n">
        <x:f>IF(H5875="","",H5875/1000000000)</x:f>
        <x:v>2.5</x:v>
      </x:c>
      <x:c r="R5875" s="13" t="n">
        <x:f>IF(I5875="","",I5875/1000000)</x:f>
        <x:v>59.523809523809526</x:v>
      </x:c>
    </x:row>
    <x:row r="5876" ht="21" customHeight="1">
      <x:c r="A5876" s="10" t="n">
        <x:v>7626</x:v>
      </x:c>
      <x:c r="B5876" s="2" t="str">
        <x:v>da66e03d276cce7bd26c</x:v>
      </x:c>
      <x:c r="C5876" s="2" t="str">
        <x:v>Đắk Nông</x:v>
      </x:c>
      <x:c r="D5876" s="2" t="str">
        <x:v>Huyện Tuy Đức</x:v>
      </x:c>
      <x:c r="E5876" s="2" t="str">
        <x:v>house</x:v>
      </x:c>
      <x:c r="F5876" s="2" t="str">
        <x:v>sale</x:v>
      </x:c>
      <x:c r="G5876" s="11" t="n">
        <x:v>46000</x:v>
      </x:c>
      <x:c r="H5876" s="12" t="n">
        <x:v>1800000000</x:v>
      </x:c>
      <x:c r="I5876" s="12" t="n">
        <x:v>39130.434782608696</x:v>
      </x:c>
      <x:c r="J5876" s="2" t="str">
        <x:v>total</x:v>
      </x:c>
      <x:c r="K5876" s="2" t="str">
        <x:v>top_level_area</x:v>
      </x:c>
      <x:c r="L5876" s="2" t="str">
        <x:v>dot_thousands_convention;property_type_inferred_from_title</x:v>
      </x:c>
      <x:c r="M5876" s="10" t="n">
        <x:v>0</x:v>
      </x:c>
      <x:c r="N5876" s="10" t="n">
        <x:v>0</x:v>
      </x:c>
      <x:c r="O5876" s="2" t="str">
        <x:v>house</x:v>
      </x:c>
      <x:c r="P5876" s="10" t="n">
        <x:v>1</x:v>
      </x:c>
      <x:c r="Q5876" s="13" t="n">
        <x:f>IF(H5876="","",H5876/1000000000)</x:f>
        <x:v>1.8</x:v>
      </x:c>
      <x:c r="R5876" s="13" t="n">
        <x:f>IF(I5876="","",I5876/1000000)</x:f>
        <x:v>0.0391304347826087</x:v>
      </x:c>
    </x:row>
    <x:row r="5877" ht="21" customHeight="1">
      <x:c r="A5877" s="10" t="n">
        <x:v>7628</x:v>
      </x:c>
      <x:c r="B5877" s="2" t="str">
        <x:v>403f99e57244d2e71c4a</x:v>
      </x:c>
      <x:c r="C5877" s="2" t="str">
        <x:v>Tp Hồ Chí Minh</x:v>
      </x:c>
      <x:c r="D5877" s="2" t="str">
        <x:v>Quận Tân Phú</x:v>
      </x:c>
      <x:c r="E5877" s="2" t="str">
        <x:v>other_unknown</x:v>
      </x:c>
      <x:c r="F5877" s="2" t="str">
        <x:v>sale_assumed</x:v>
      </x:c>
      <x:c r="G5877" s="11" t="n">
        <x:v>46.5</x:v>
      </x:c>
      <x:c r="H5877" s="12" t="n">
        <x:v>6000000000</x:v>
      </x:c>
      <x:c r="I5877" s="12" t="n">
        <x:v>129032258.06451613</x:v>
      </x:c>
      <x:c r="J5877" s="2" t="str">
        <x:v>total</x:v>
      </x:c>
      <x:c r="K5877" s="2" t="str">
        <x:v>top_level_area</x:v>
      </x:c>
      <x:c r="L5877" s="2" t="str">
        <x:v>property_type_inferred_from_title;transaction_assumed_sale_from_dataset_context;unknown_property_type</x:v>
      </x:c>
      <x:c r="M5877" s="10" t="n">
        <x:v>0</x:v>
      </x:c>
      <x:c r="N5877" s="10" t="n">
        <x:v>0</x:v>
      </x:c>
      <x:c r="O5877" s="2" t="str">
        <x:v>Tp Hồ Chí Minh|other_unknown</x:v>
      </x:c>
      <x:c r="P5877" s="10" t="n">
        <x:v>2</x:v>
      </x:c>
      <x:c r="Q5877" s="13" t="n">
        <x:f>IF(H5877="","",H5877/1000000000)</x:f>
        <x:v>6</x:v>
      </x:c>
      <x:c r="R5877" s="13" t="n">
        <x:f>IF(I5877="","",I5877/1000000)</x:f>
        <x:v>129.03225806451613</x:v>
      </x:c>
    </x:row>
    <x:row r="5878" ht="21" customHeight="1">
      <x:c r="A5878" s="10" t="n">
        <x:v>7629</x:v>
      </x:c>
      <x:c r="B5878" s="2" t="str">
        <x:v>f48aae189d2f7d3d2e59</x:v>
      </x:c>
      <x:c r="C5878" s="2" t="str">
        <x:v>Quảng Nam</x:v>
      </x:c>
      <x:c r="D5878" s="2" t="str">
        <x:v>Thành phố Tam Kỳ</x:v>
      </x:c>
      <x:c r="E5878" s="2" t="str">
        <x:v>other_unknown</x:v>
      </x:c>
      <x:c r="F5878" s="2" t="str">
        <x:v>sale_assumed</x:v>
      </x:c>
      <x:c r="G5878" s="11" t="n">
        <x:v>147</x:v>
      </x:c>
      <x:c r="H5878" s="12" t="n">
        <x:v>1380000000</x:v>
      </x:c>
      <x:c r="I5878" s="12" t="n">
        <x:v>9387755.102040816</x:v>
      </x:c>
      <x:c r="J5878" s="2" t="str">
        <x:v>total</x:v>
      </x:c>
      <x:c r="K5878" s="2" t="str">
        <x:v>top_level_area</x:v>
      </x:c>
      <x:c r="L5878" s="2" t="str">
        <x:v>property_type_inferred_from_title;transaction_assumed_sale_from_dataset_context;unknown_property_type</x:v>
      </x:c>
      <x:c r="M5878" s="10" t="n">
        <x:v>0</x:v>
      </x:c>
      <x:c r="N5878" s="10" t="n">
        <x:v>0</x:v>
      </x:c>
      <x:c r="O5878" s="2" t="str">
        <x:v>other_unknown</x:v>
      </x:c>
      <x:c r="P5878" s="10" t="n">
        <x:v>2</x:v>
      </x:c>
      <x:c r="Q5878" s="13" t="n">
        <x:f>IF(H5878="","",H5878/1000000000)</x:f>
        <x:v>1.38</x:v>
      </x:c>
      <x:c r="R5878" s="13" t="n">
        <x:f>IF(I5878="","",I5878/1000000)</x:f>
        <x:v>9.387755102040817</x:v>
      </x:c>
    </x:row>
    <x:row r="5879" ht="21" customHeight="1">
      <x:c r="A5879" s="10" t="n">
        <x:v>7630</x:v>
      </x:c>
      <x:c r="B5879" s="2" t="str">
        <x:v>2ee629a354460c892913</x:v>
      </x:c>
      <x:c r="C5879" s="2" t="str">
        <x:v>Tp Hồ Chí Minh</x:v>
      </x:c>
      <x:c r="D5879" s="2" t="str">
        <x:v>Quận 9</x:v>
      </x:c>
      <x:c r="E5879" s="2" t="str">
        <x:v>other_unknown</x:v>
      </x:c>
      <x:c r="F5879" s="2" t="str">
        <x:v>sale_assumed</x:v>
      </x:c>
      <x:c r="G5879" s="11" t="n">
        <x:v>65</x:v>
      </x:c>
      <x:c r="H5879" s="12" t="n">
        <x:v>1800000000</x:v>
      </x:c>
      <x:c r="I5879" s="12" t="n">
        <x:v>27692307.692307692</x:v>
      </x:c>
      <x:c r="J5879" s="2" t="str">
        <x:v>total</x:v>
      </x:c>
      <x:c r="K5879" s="2" t="str">
        <x:v>top_level_area</x:v>
      </x:c>
      <x:c r="L5879" s="2" t="str">
        <x:v>property_type_inferred_from_title;transaction_assumed_sale_from_dataset_context;unknown_property_type</x:v>
      </x:c>
      <x:c r="M5879" s="10" t="n">
        <x:v>0</x:v>
      </x:c>
      <x:c r="N5879" s="10" t="n">
        <x:v>0</x:v>
      </x:c>
      <x:c r="O5879" s="2" t="str">
        <x:v>Tp Hồ Chí Minh|other_unknown</x:v>
      </x:c>
      <x:c r="P5879" s="10" t="n">
        <x:v>2</x:v>
      </x:c>
      <x:c r="Q5879" s="13" t="n">
        <x:f>IF(H5879="","",H5879/1000000000)</x:f>
        <x:v>1.8</x:v>
      </x:c>
      <x:c r="R5879" s="13" t="n">
        <x:f>IF(I5879="","",I5879/1000000)</x:f>
        <x:v>27.692307692307693</x:v>
      </x:c>
    </x:row>
    <x:row r="5880" ht="21" customHeight="1">
      <x:c r="A5880" s="10" t="n">
        <x:v>7631</x:v>
      </x:c>
      <x:c r="B5880" s="2" t="str">
        <x:v>1e11c575ff47ce1e9c84</x:v>
      </x:c>
      <x:c r="C5880" s="2" t="str">
        <x:v>Đà Nẵng</x:v>
      </x:c>
      <x:c r="D5880" s="2" t="str">
        <x:v>Quận Sơn Trà</x:v>
      </x:c>
      <x:c r="E5880" s="2" t="str">
        <x:v>house</x:v>
      </x:c>
      <x:c r="F5880" s="2" t="str">
        <x:v>sale</x:v>
      </x:c>
      <x:c r="G5880" s="11" t="n">
        <x:v>144</x:v>
      </x:c>
      <x:c r="H5880" s="12" t="n">
        <x:v>5000000000</x:v>
      </x:c>
      <x:c r="I5880" s="12" t="n">
        <x:v>34722222.222222224</x:v>
      </x:c>
      <x:c r="J5880" s="2" t="str">
        <x:v>total</x:v>
      </x:c>
      <x:c r="K5880" s="2" t="str">
        <x:v>top_level_area</x:v>
      </x:c>
      <x:c r="L5880" s="2" t="str">
        <x:v>property_type_inferred_from_title</x:v>
      </x:c>
      <x:c r="M5880" s="10" t="n">
        <x:v>0</x:v>
      </x:c>
      <x:c r="N5880" s="10" t="n">
        <x:v>0</x:v>
      </x:c>
      <x:c r="O5880" s="2" t="str">
        <x:v>Đà Nẵng|house</x:v>
      </x:c>
      <x:c r="P5880" s="10" t="n">
        <x:v>2</x:v>
      </x:c>
      <x:c r="Q5880" s="13" t="n">
        <x:f>IF(H5880="","",H5880/1000000000)</x:f>
        <x:v>5</x:v>
      </x:c>
      <x:c r="R5880" s="13" t="n">
        <x:f>IF(I5880="","",I5880/1000000)</x:f>
        <x:v>34.72222222222222</x:v>
      </x:c>
    </x:row>
    <x:row r="5881" ht="21" customHeight="1">
      <x:c r="A5881" s="10" t="n">
        <x:v>7632</x:v>
      </x:c>
      <x:c r="B5881" s="2" t="str">
        <x:v>f0f9ec2615ea010b88ab</x:v>
      </x:c>
      <x:c r="C5881" s="2" t="str">
        <x:v>Long An</x:v>
      </x:c>
      <x:c r="D5881" s="2" t="str">
        <x:v>Huyện Thủ Thừa</x:v>
      </x:c>
      <x:c r="E5881" s="2" t="str">
        <x:v>land</x:v>
      </x:c>
      <x:c r="F5881" s="2" t="str">
        <x:v>sale_assumed</x:v>
      </x:c>
      <x:c r="G5881" s="11" t="n">
        <x:v>100</x:v>
      </x:c>
      <x:c r="H5881" s="12" t="n">
        <x:v>2500000000</x:v>
      </x:c>
      <x:c r="I5881" s="12" t="n">
        <x:v>25000000</x:v>
      </x:c>
      <x:c r="J5881" s="2" t="str">
        <x:v>total</x:v>
      </x:c>
      <x:c r="K5881" s="2" t="str">
        <x:v>top_level_area</x:v>
      </x:c>
      <x:c r="L5881" s="2" t="str">
        <x:v>property_type_inferred_from_title;transaction_assumed_sale_from_dataset_context</x:v>
      </x:c>
      <x:c r="M5881" s="10" t="n">
        <x:v>0</x:v>
      </x:c>
      <x:c r="N5881" s="10" t="n">
        <x:v>1</x:v>
      </x:c>
      <x:c r="O5881" s="2" t="str">
        <x:v>Long An|land</x:v>
      </x:c>
      <x:c r="P5881" s="10" t="n">
        <x:v>-1</x:v>
      </x:c>
      <x:c r="Q5881" s="13" t="n">
        <x:f>IF(H5881="","",H5881/1000000000)</x:f>
        <x:v>2.5</x:v>
      </x:c>
      <x:c r="R5881" s="13" t="n">
        <x:f>IF(I5881="","",I5881/1000000)</x:f>
        <x:v>25</x:v>
      </x:c>
    </x:row>
    <x:row r="5882" ht="21" customHeight="1">
      <x:c r="A5882" s="10" t="n">
        <x:v>7633</x:v>
      </x:c>
      <x:c r="B5882" s="2" t="str">
        <x:v>2763550cab27b2837e83</x:v>
      </x:c>
      <x:c r="C5882" s="2" t="str">
        <x:v>Đà Nẵng</x:v>
      </x:c>
      <x:c r="D5882" s="2" t="str">
        <x:v>Quận Cẩm Lệ</x:v>
      </x:c>
      <x:c r="E5882" s="2" t="str">
        <x:v>house</x:v>
      </x:c>
      <x:c r="F5882" s="2" t="str">
        <x:v>sale_assumed</x:v>
      </x:c>
      <x:c r="G5882" s="11" t="n">
        <x:v>54.1</x:v>
      </x:c>
      <x:c r="H5882" s="12" t="n">
        <x:v>3200000000</x:v>
      </x:c>
      <x:c r="I5882" s="12" t="n">
        <x:v>59149722.73567467</x:v>
      </x:c>
      <x:c r="J5882" s="2" t="str">
        <x:v>total</x:v>
      </x:c>
      <x:c r="K5882" s="2" t="str">
        <x:v>top_level_area</x:v>
      </x:c>
      <x:c r="L5882" s="2" t="str">
        <x:v>property_type_inferred_from_title;transaction_assumed_sale_from_dataset_context</x:v>
      </x:c>
      <x:c r="M5882" s="10" t="n">
        <x:v>0</x:v>
      </x:c>
      <x:c r="N5882" s="10" t="n">
        <x:v>0</x:v>
      </x:c>
      <x:c r="O5882" s="2" t="str">
        <x:v>Đà Nẵng|house</x:v>
      </x:c>
      <x:c r="P5882" s="10" t="n">
        <x:v>2</x:v>
      </x:c>
      <x:c r="Q5882" s="13" t="n">
        <x:f>IF(H5882="","",H5882/1000000000)</x:f>
        <x:v>3.2</x:v>
      </x:c>
      <x:c r="R5882" s="13" t="n">
        <x:f>IF(I5882="","",I5882/1000000)</x:f>
        <x:v>59.14972273567467</x:v>
      </x:c>
    </x:row>
    <x:row r="5883" ht="21" customHeight="1">
      <x:c r="A5883" s="10" t="n">
        <x:v>7634</x:v>
      </x:c>
      <x:c r="B5883" s="2" t="str">
        <x:v>d375360b37da833b4f8f</x:v>
      </x:c>
      <x:c r="C5883" s="2" t="str">
        <x:v>Hà Nội</x:v>
      </x:c>
      <x:c r="D5883" s="2" t="str">
        <x:v>Quận Hà Đông</x:v>
      </x:c>
      <x:c r="E5883" s="2" t="str">
        <x:v>house</x:v>
      </x:c>
      <x:c r="F5883" s="2" t="str">
        <x:v>sale</x:v>
      </x:c>
      <x:c r="G5883" s="11" t="n">
        <x:v>36</x:v>
      </x:c>
      <x:c r="H5883" s="12" t="n">
        <x:v>2250000000</x:v>
      </x:c>
      <x:c r="I5883" s="12" t="n">
        <x:v>62500000</x:v>
      </x:c>
      <x:c r="J5883" s="2" t="str">
        <x:v>total</x:v>
      </x:c>
      <x:c r="K5883" s="2" t="str">
        <x:v>top_level_area</x:v>
      </x:c>
      <x:c r="L5883" s="2" t="str">
        <x:v>property_type_inferred_from_title</x:v>
      </x:c>
      <x:c r="M5883" s="10" t="n">
        <x:v>0</x:v>
      </x:c>
      <x:c r="N5883" s="10" t="n">
        <x:v>0</x:v>
      </x:c>
      <x:c r="O5883" s="2" t="str">
        <x:v>Hà Nội|house</x:v>
      </x:c>
      <x:c r="P5883" s="10" t="n">
        <x:v>2</x:v>
      </x:c>
      <x:c r="Q5883" s="13" t="n">
        <x:f>IF(H5883="","",H5883/1000000000)</x:f>
        <x:v>2.25</x:v>
      </x:c>
      <x:c r="R5883" s="13" t="n">
        <x:f>IF(I5883="","",I5883/1000000)</x:f>
        <x:v>62.5</x:v>
      </x:c>
    </x:row>
    <x:row r="5884" ht="21" customHeight="1">
      <x:c r="A5884" s="10" t="n">
        <x:v>7635</x:v>
      </x:c>
      <x:c r="B5884" s="2" t="str">
        <x:v>993d277afd141eb7dcee</x:v>
      </x:c>
      <x:c r="C5884" s="2" t="str">
        <x:v>Hà Nội</x:v>
      </x:c>
      <x:c r="D5884" s="2" t="str">
        <x:v>Quận Bắc Từ Liêm</x:v>
      </x:c>
      <x:c r="E5884" s="2" t="str">
        <x:v>house</x:v>
      </x:c>
      <x:c r="F5884" s="2" t="str">
        <x:v>sale</x:v>
      </x:c>
      <x:c r="G5884" s="11" t="n">
        <x:v>40</x:v>
      </x:c>
      <x:c r="H5884" s="12" t="n">
        <x:v>3600000000</x:v>
      </x:c>
      <x:c r="I5884" s="12" t="n">
        <x:v>90000000</x:v>
      </x:c>
      <x:c r="J5884" s="2" t="str">
        <x:v>total</x:v>
      </x:c>
      <x:c r="K5884" s="2" t="str">
        <x:v>top_level_area</x:v>
      </x:c>
      <x:c r="L5884" s="2" t="str">
        <x:v>property_type_inferred_from_title</x:v>
      </x:c>
      <x:c r="M5884" s="10" t="n">
        <x:v>0</x:v>
      </x:c>
      <x:c r="N5884" s="10" t="n">
        <x:v>0</x:v>
      </x:c>
      <x:c r="O5884" s="2" t="str">
        <x:v>Hà Nội|house</x:v>
      </x:c>
      <x:c r="P5884" s="10" t="n">
        <x:v>2</x:v>
      </x:c>
      <x:c r="Q5884" s="13" t="n">
        <x:f>IF(H5884="","",H5884/1000000000)</x:f>
        <x:v>3.6</x:v>
      </x:c>
      <x:c r="R5884" s="13" t="n">
        <x:f>IF(I5884="","",I5884/1000000)</x:f>
        <x:v>90</x:v>
      </x:c>
    </x:row>
    <x:row r="5885" ht="21" customHeight="1">
      <x:c r="A5885" s="10" t="n">
        <x:v>7636</x:v>
      </x:c>
      <x:c r="B5885" s="2" t="str">
        <x:v>059b395a2d435b40273b</x:v>
      </x:c>
      <x:c r="C5885" s="2" t="str">
        <x:v>Long An</x:v>
      </x:c>
      <x:c r="D5885" s="2" t="str">
        <x:v>Huyện Bến Lức</x:v>
      </x:c>
      <x:c r="E5885" s="2" t="str">
        <x:v>other_unknown</x:v>
      </x:c>
      <x:c r="F5885" s="2" t="str">
        <x:v>sale_assumed</x:v>
      </x:c>
      <x:c r="G5885" s="11" t="n">
        <x:v>116</x:v>
      </x:c>
      <x:c r="H5885" s="12" t="n">
        <x:v>480000000</x:v>
      </x:c>
      <x:c r="I5885" s="12" t="n">
        <x:v>4137931.0344827585</x:v>
      </x:c>
      <x:c r="J5885" s="2" t="str">
        <x:v>total</x:v>
      </x:c>
      <x:c r="K5885" s="2" t="str">
        <x:v>top_level_area</x:v>
      </x:c>
      <x:c r="L5885" s="2" t="str">
        <x:v>property_type_inferred_from_title;transaction_assumed_sale_from_dataset_context;unknown_property_type</x:v>
      </x:c>
      <x:c r="M5885" s="10" t="n">
        <x:v>0</x:v>
      </x:c>
      <x:c r="N5885" s="10" t="n">
        <x:v>0</x:v>
      </x:c>
      <x:c r="O5885" s="2" t="str">
        <x:v>Long An|other_unknown</x:v>
      </x:c>
      <x:c r="P5885" s="10" t="n">
        <x:v>2</x:v>
      </x:c>
      <x:c r="Q5885" s="13" t="n">
        <x:f>IF(H5885="","",H5885/1000000000)</x:f>
        <x:v>0.48</x:v>
      </x:c>
      <x:c r="R5885" s="13" t="n">
        <x:f>IF(I5885="","",I5885/1000000)</x:f>
        <x:v>4.137931034482759</x:v>
      </x:c>
    </x:row>
    <x:row r="5886" ht="21" customHeight="1">
      <x:c r="A5886" s="10" t="n">
        <x:v>7637</x:v>
      </x:c>
      <x:c r="B5886" s="2" t="str">
        <x:v>7dd3a6d52c37b97c77a8</x:v>
      </x:c>
      <x:c r="C5886" s="2" t="str">
        <x:v>Đồng Nai</x:v>
      </x:c>
      <x:c r="D5886" s="2" t="str">
        <x:v>Thành phố Biên Hòa</x:v>
      </x:c>
      <x:c r="E5886" s="2" t="str">
        <x:v>land</x:v>
      </x:c>
      <x:c r="F5886" s="2" t="str">
        <x:v>sale</x:v>
      </x:c>
      <x:c r="G5886" s="11" t="n">
        <x:v>85</x:v>
      </x:c>
      <x:c r="H5886" s="12" t="n">
        <x:v>845000000</x:v>
      </x:c>
      <x:c r="I5886" s="12" t="n">
        <x:v>9941176.470588235</x:v>
      </x:c>
      <x:c r="J5886" s="2" t="str">
        <x:v>total</x:v>
      </x:c>
      <x:c r="K5886" s="2" t="str">
        <x:v>top_level_area</x:v>
      </x:c>
      <x:c r="L5886" s="2" t="str">
        <x:v>property_type_inferred_from_title</x:v>
      </x:c>
      <x:c r="M5886" s="10" t="n">
        <x:v>0</x:v>
      </x:c>
      <x:c r="N5886" s="10" t="n">
        <x:v>0</x:v>
      </x:c>
      <x:c r="O5886" s="2" t="str">
        <x:v>Đồng Nai|land</x:v>
      </x:c>
      <x:c r="P5886" s="10" t="n">
        <x:v>2</x:v>
      </x:c>
      <x:c r="Q5886" s="13" t="n">
        <x:f>IF(H5886="","",H5886/1000000000)</x:f>
        <x:v>0.845</x:v>
      </x:c>
      <x:c r="R5886" s="13" t="n">
        <x:f>IF(I5886="","",I5886/1000000)</x:f>
        <x:v>9.941176470588236</x:v>
      </x:c>
    </x:row>
    <x:row r="5887" ht="21" customHeight="1">
      <x:c r="A5887" s="10" t="n">
        <x:v>7638</x:v>
      </x:c>
      <x:c r="B5887" s="2" t="str">
        <x:v>67d36c22b5f82e207e5d</x:v>
      </x:c>
      <x:c r="C5887" s="2" t="str">
        <x:v>Đà Nẵng</x:v>
      </x:c>
      <x:c r="D5887" s="2" t="str">
        <x:v>Quận Hải Châu</x:v>
      </x:c>
      <x:c r="E5887" s="2" t="str">
        <x:v>house</x:v>
      </x:c>
      <x:c r="F5887" s="2" t="str">
        <x:v>sale</x:v>
      </x:c>
      <x:c r="G5887" s="11" t="n">
        <x:v>50</x:v>
      </x:c>
      <x:c r="H5887" s="12" t="n">
        <x:v>2600000000</x:v>
      </x:c>
      <x:c r="I5887" s="12" t="n">
        <x:v>52000000</x:v>
      </x:c>
      <x:c r="J5887" s="2" t="str">
        <x:v>total</x:v>
      </x:c>
      <x:c r="K5887" s="2" t="str">
        <x:v>top_level_area</x:v>
      </x:c>
      <x:c r="L5887" s="2" t="str">
        <x:v>property_type_inferred_from_title</x:v>
      </x:c>
      <x:c r="M5887" s="10" t="n">
        <x:v>0</x:v>
      </x:c>
      <x:c r="N5887" s="10" t="n">
        <x:v>0</x:v>
      </x:c>
      <x:c r="O5887" s="2" t="str">
        <x:v>Đà Nẵng|house</x:v>
      </x:c>
      <x:c r="P5887" s="10" t="n">
        <x:v>2</x:v>
      </x:c>
      <x:c r="Q5887" s="13" t="n">
        <x:f>IF(H5887="","",H5887/1000000000)</x:f>
        <x:v>2.6</x:v>
      </x:c>
      <x:c r="R5887" s="13" t="n">
        <x:f>IF(I5887="","",I5887/1000000)</x:f>
        <x:v>52</x:v>
      </x:c>
    </x:row>
    <x:row r="5888" ht="21" customHeight="1">
      <x:c r="A5888" s="10" t="n">
        <x:v>7639</x:v>
      </x:c>
      <x:c r="B5888" s="2" t="str">
        <x:v>2b217085427347338c6e</x:v>
      </x:c>
      <x:c r="C5888" s="2" t="str">
        <x:v>Tp Hồ Chí Minh</x:v>
      </x:c>
      <x:c r="D5888" s="2" t="str">
        <x:v>Quận Tân Phú</x:v>
      </x:c>
      <x:c r="E5888" s="2" t="str">
        <x:v>other_unknown</x:v>
      </x:c>
      <x:c r="F5888" s="2" t="str">
        <x:v>sale_assumed</x:v>
      </x:c>
      <x:c r="G5888" s="11" t="n">
        <x:v>69</x:v>
      </x:c>
      <x:c r="H5888" s="12" t="n">
        <x:v>5750000000</x:v>
      </x:c>
      <x:c r="I5888" s="12" t="n">
        <x:v>83333333.33333333</x:v>
      </x:c>
      <x:c r="J5888" s="2" t="str">
        <x:v>total</x:v>
      </x:c>
      <x:c r="K5888" s="2" t="str">
        <x:v>top_level_area</x:v>
      </x:c>
      <x:c r="L5888" s="2" t="str">
        <x:v>property_type_inferred_from_title;transaction_assumed_sale_from_dataset_context;unknown_property_type</x:v>
      </x:c>
      <x:c r="M5888" s="10" t="n">
        <x:v>0</x:v>
      </x:c>
      <x:c r="N5888" s="10" t="n">
        <x:v>0</x:v>
      </x:c>
      <x:c r="O5888" s="2" t="str">
        <x:v>Tp Hồ Chí Minh|other_unknown</x:v>
      </x:c>
      <x:c r="P5888" s="10" t="n">
        <x:v>2</x:v>
      </x:c>
      <x:c r="Q5888" s="13" t="n">
        <x:f>IF(H5888="","",H5888/1000000000)</x:f>
        <x:v>5.75</x:v>
      </x:c>
      <x:c r="R5888" s="13" t="n">
        <x:f>IF(I5888="","",I5888/1000000)</x:f>
        <x:v>83.33333333333333</x:v>
      </x:c>
    </x:row>
    <x:row r="5889" ht="21" customHeight="1">
      <x:c r="A5889" s="10" t="n">
        <x:v>7640</x:v>
      </x:c>
      <x:c r="B5889" s="2" t="str">
        <x:v>d30a7521eb6c2569cfc0</x:v>
      </x:c>
      <x:c r="C5889" s="2" t="str">
        <x:v>Đà Nẵng</x:v>
      </x:c>
      <x:c r="D5889" s="2" t="str">
        <x:v>Quận Thanh Khê</x:v>
      </x:c>
      <x:c r="E5889" s="2" t="str">
        <x:v>house</x:v>
      </x:c>
      <x:c r="F5889" s="2" t="str">
        <x:v>sale</x:v>
      </x:c>
      <x:c r="G5889" s="11" t="n">
        <x:v>70</x:v>
      </x:c>
      <x:c r="H5889" s="12" t="n">
        <x:v>2800000000</x:v>
      </x:c>
      <x:c r="I5889" s="12" t="n">
        <x:v>40000000</x:v>
      </x:c>
      <x:c r="J5889" s="2" t="str">
        <x:v>total</x:v>
      </x:c>
      <x:c r="K5889" s="2" t="str">
        <x:v>top_level_area</x:v>
      </x:c>
      <x:c r="L5889" s="2" t="str">
        <x:v>property_type_inferred_from_title</x:v>
      </x:c>
      <x:c r="M5889" s="10" t="n">
        <x:v>0</x:v>
      </x:c>
      <x:c r="N5889" s="10" t="n">
        <x:v>0</x:v>
      </x:c>
      <x:c r="O5889" s="2" t="str">
        <x:v>Đà Nẵng|house</x:v>
      </x:c>
      <x:c r="P5889" s="10" t="n">
        <x:v>2</x:v>
      </x:c>
      <x:c r="Q5889" s="13" t="n">
        <x:f>IF(H5889="","",H5889/1000000000)</x:f>
        <x:v>2.8</x:v>
      </x:c>
      <x:c r="R5889" s="13" t="n">
        <x:f>IF(I5889="","",I5889/1000000)</x:f>
        <x:v>40</x:v>
      </x:c>
    </x:row>
    <x:row r="5890" ht="21" customHeight="1">
      <x:c r="A5890" s="10" t="n">
        <x:v>7642</x:v>
      </x:c>
      <x:c r="B5890" s="2" t="str">
        <x:v>8c32f3f19320b6168335</x:v>
      </x:c>
      <x:c r="C5890" s="2" t="str">
        <x:v>Tp Hồ Chí Minh</x:v>
      </x:c>
      <x:c r="D5890" s="2" t="str">
        <x:v>Quận Tân Phú</x:v>
      </x:c>
      <x:c r="E5890" s="2" t="str">
        <x:v>house</x:v>
      </x:c>
      <x:c r="F5890" s="2" t="str">
        <x:v>sale_assumed</x:v>
      </x:c>
      <x:c r="G5890" s="11" t="n">
        <x:v>60</x:v>
      </x:c>
      <x:c r="H5890" s="12" t="n">
        <x:v>5300000000</x:v>
      </x:c>
      <x:c r="I5890" s="12" t="n">
        <x:v>88333333.33333333</x:v>
      </x:c>
      <x:c r="J5890" s="2" t="str">
        <x:v>total</x:v>
      </x:c>
      <x:c r="K5890" s="2" t="str">
        <x:v>top_level_area</x:v>
      </x:c>
      <x:c r="L5890" s="2" t="str">
        <x:v>property_type_inferred_from_title;transaction_assumed_sale_from_dataset_context</x:v>
      </x:c>
      <x:c r="M5890" s="10" t="n">
        <x:v>0</x:v>
      </x:c>
      <x:c r="N5890" s="10" t="n">
        <x:v>0</x:v>
      </x:c>
      <x:c r="O5890" s="2" t="str">
        <x:v>Tp Hồ Chí Minh|house</x:v>
      </x:c>
      <x:c r="P5890" s="10" t="n">
        <x:v>2</x:v>
      </x:c>
      <x:c r="Q5890" s="13" t="n">
        <x:f>IF(H5890="","",H5890/1000000000)</x:f>
        <x:v>5.3</x:v>
      </x:c>
      <x:c r="R5890" s="13" t="n">
        <x:f>IF(I5890="","",I5890/1000000)</x:f>
        <x:v>88.33333333333333</x:v>
      </x:c>
    </x:row>
    <x:row r="5891" ht="21" customHeight="1">
      <x:c r="A5891" s="10" t="n">
        <x:v>7643</x:v>
      </x:c>
      <x:c r="B5891" s="2" t="str">
        <x:v>f06cfda92bb8c764a304</x:v>
      </x:c>
      <x:c r="C5891" s="2" t="str">
        <x:v>Tp Hồ Chí Minh</x:v>
      </x:c>
      <x:c r="D5891" s="2" t="str">
        <x:v>Quận 12</x:v>
      </x:c>
      <x:c r="E5891" s="2" t="str">
        <x:v>house</x:v>
      </x:c>
      <x:c r="F5891" s="2" t="str">
        <x:v>sale_assumed</x:v>
      </x:c>
      <x:c r="G5891" s="11" t="n">
        <x:v>45</x:v>
      </x:c>
      <x:c r="H5891" s="12" t="n">
        <x:v>2290000000</x:v>
      </x:c>
      <x:c r="I5891" s="12" t="n">
        <x:v>50888888.88888889</x:v>
      </x:c>
      <x:c r="J5891" s="2" t="str">
        <x:v>total</x:v>
      </x:c>
      <x:c r="K5891" s="2" t="str">
        <x:v>top_level_area</x:v>
      </x:c>
      <x:c r="L5891" s="2" t="str">
        <x:v>property_type_inferred_from_title;transaction_assumed_sale_from_dataset_context</x:v>
      </x:c>
      <x:c r="M5891" s="10" t="n">
        <x:v>0</x:v>
      </x:c>
      <x:c r="N5891" s="10" t="n">
        <x:v>0</x:v>
      </x:c>
      <x:c r="O5891" s="2" t="str">
        <x:v>Tp Hồ Chí Minh|house</x:v>
      </x:c>
      <x:c r="P5891" s="10" t="n">
        <x:v>2</x:v>
      </x:c>
      <x:c r="Q5891" s="13" t="n">
        <x:f>IF(H5891="","",H5891/1000000000)</x:f>
        <x:v>2.29</x:v>
      </x:c>
      <x:c r="R5891" s="13" t="n">
        <x:f>IF(I5891="","",I5891/1000000)</x:f>
        <x:v>50.888888888888886</x:v>
      </x:c>
    </x:row>
    <x:row r="5892" ht="21" customHeight="1">
      <x:c r="A5892" s="10" t="n">
        <x:v>7644</x:v>
      </x:c>
      <x:c r="B5892" s="2" t="str">
        <x:v>36c7ac59c8bfd9a41813</x:v>
      </x:c>
      <x:c r="C5892" s="2" t="str">
        <x:v>Thừa Thiên Huế</x:v>
      </x:c>
      <x:c r="D5892" s="2" t="str">
        <x:v>Huyện Phú Vang</x:v>
      </x:c>
      <x:c r="E5892" s="2" t="str">
        <x:v>land</x:v>
      </x:c>
      <x:c r="F5892" s="2" t="str">
        <x:v>sale</x:v>
      </x:c>
      <x:c r="G5892" s="11" t="n">
        <x:v>125</x:v>
      </x:c>
      <x:c r="H5892" s="12" t="n">
        <x:v>1450000000</x:v>
      </x:c>
      <x:c r="I5892" s="12" t="n">
        <x:v>11600000</x:v>
      </x:c>
      <x:c r="J5892" s="2" t="str">
        <x:v>total</x:v>
      </x:c>
      <x:c r="K5892" s="2" t="str">
        <x:v>top_level_area</x:v>
      </x:c>
      <x:c r="L5892" s="2" t="str">
        <x:v>property_type_inferred_from_title</x:v>
      </x:c>
      <x:c r="M5892" s="10" t="n">
        <x:v>0</x:v>
      </x:c>
      <x:c r="N5892" s="10" t="n">
        <x:v>0</x:v>
      </x:c>
      <x:c r="O5892" s="2" t="str">
        <x:v>land</x:v>
      </x:c>
      <x:c r="P5892" s="10" t="n">
        <x:v>2</x:v>
      </x:c>
      <x:c r="Q5892" s="13" t="n">
        <x:f>IF(H5892="","",H5892/1000000000)</x:f>
        <x:v>1.45</x:v>
      </x:c>
      <x:c r="R5892" s="13" t="n">
        <x:f>IF(I5892="","",I5892/1000000)</x:f>
        <x:v>11.6</x:v>
      </x:c>
    </x:row>
    <x:row r="5893" ht="21" customHeight="1">
      <x:c r="A5893" s="10" t="n">
        <x:v>7645</x:v>
      </x:c>
      <x:c r="B5893" s="2" t="str">
        <x:v>3a6e751b9bc386627235</x:v>
      </x:c>
      <x:c r="C5893" s="2" t="str">
        <x:v>Tp Hồ Chí Minh</x:v>
      </x:c>
      <x:c r="D5893" s="2" t="str">
        <x:v>Quận 8</x:v>
      </x:c>
      <x:c r="E5893" s="2" t="str">
        <x:v>other_unknown</x:v>
      </x:c>
      <x:c r="F5893" s="2" t="str">
        <x:v>sale</x:v>
      </x:c>
      <x:c r="G5893" s="11" t="n">
        <x:v>79</x:v>
      </x:c>
      <x:c r="H5893" s="12" t="n">
        <x:v>1790000000</x:v>
      </x:c>
      <x:c r="I5893" s="12" t="n">
        <x:v>22658227.848101266</x:v>
      </x:c>
      <x:c r="J5893" s="2" t="str">
        <x:v>total</x:v>
      </x:c>
      <x:c r="K5893" s="2" t="str">
        <x:v>top_level_area</x:v>
      </x:c>
      <x:c r="L5893" s="2" t="str">
        <x:v>property_type_inferred_from_title;unknown_property_type</x:v>
      </x:c>
      <x:c r="M5893" s="10" t="n">
        <x:v>0</x:v>
      </x:c>
      <x:c r="N5893" s="10" t="n">
        <x:v>0</x:v>
      </x:c>
      <x:c r="O5893" s="2" t="str">
        <x:v>Tp Hồ Chí Minh|other_unknown</x:v>
      </x:c>
      <x:c r="P5893" s="10" t="n">
        <x:v>2</x:v>
      </x:c>
      <x:c r="Q5893" s="13" t="n">
        <x:f>IF(H5893="","",H5893/1000000000)</x:f>
        <x:v>1.79</x:v>
      </x:c>
      <x:c r="R5893" s="13" t="n">
        <x:f>IF(I5893="","",I5893/1000000)</x:f>
        <x:v>22.658227848101266</x:v>
      </x:c>
    </x:row>
    <x:row r="5894" ht="21" customHeight="1">
      <x:c r="A5894" s="10" t="n">
        <x:v>7646</x:v>
      </x:c>
      <x:c r="B5894" s="2" t="str">
        <x:v>b9a950c7ee2bdfe3ed29</x:v>
      </x:c>
      <x:c r="C5894" s="2" t="str">
        <x:v>Cần Thơ</x:v>
      </x:c>
      <x:c r="D5894" s="2" t="str">
        <x:v>Quận Cái Răng</x:v>
      </x:c>
      <x:c r="E5894" s="2" t="str">
        <x:v>land</x:v>
      </x:c>
      <x:c r="F5894" s="2" t="str">
        <x:v>sale_assumed</x:v>
      </x:c>
      <x:c r="G5894" s="11" t="n">
        <x:v>103</x:v>
      </x:c>
      <x:c r="H5894" s="12" t="n">
        <x:v>2450000000</x:v>
      </x:c>
      <x:c r="I5894" s="12" t="n">
        <x:v>23786407.766990293</x:v>
      </x:c>
      <x:c r="J5894" s="2" t="str">
        <x:v>total</x:v>
      </x:c>
      <x:c r="K5894" s="2" t="str">
        <x:v>top_level_area</x:v>
      </x:c>
      <x:c r="L5894" s="2" t="str">
        <x:v>property_type_inferred_from_title;transaction_assumed_sale_from_dataset_context</x:v>
      </x:c>
      <x:c r="M5894" s="10" t="n">
        <x:v>0</x:v>
      </x:c>
      <x:c r="N5894" s="10" t="n">
        <x:v>0</x:v>
      </x:c>
      <x:c r="O5894" s="2" t="str">
        <x:v>Cần Thơ|land</x:v>
      </x:c>
      <x:c r="P5894" s="10" t="n">
        <x:v>2</x:v>
      </x:c>
      <x:c r="Q5894" s="13" t="n">
        <x:f>IF(H5894="","",H5894/1000000000)</x:f>
        <x:v>2.45</x:v>
      </x:c>
      <x:c r="R5894" s="13" t="n">
        <x:f>IF(I5894="","",I5894/1000000)</x:f>
        <x:v>23.786407766990294</x:v>
      </x:c>
    </x:row>
    <x:row r="5895" ht="21" customHeight="1">
      <x:c r="A5895" s="10" t="n">
        <x:v>7647</x:v>
      </x:c>
      <x:c r="B5895" s="2" t="str">
        <x:v>bbf16db2b958c29ff7be</x:v>
      </x:c>
      <x:c r="C5895" s="2" t="str">
        <x:v>Long An</x:v>
      </x:c>
      <x:c r="D5895" s="2" t="str">
        <x:v>Huyện Cần Đước</x:v>
      </x:c>
      <x:c r="E5895" s="2" t="str">
        <x:v>land</x:v>
      </x:c>
      <x:c r="F5895" s="2" t="str">
        <x:v>sale</x:v>
      </x:c>
      <x:c r="G5895" s="11" t="n">
        <x:v>620</x:v>
      </x:c>
      <x:c r="H5895" s="12" t="n">
        <x:v>920000000</x:v>
      </x:c>
      <x:c r="I5895" s="12" t="n">
        <x:v>1483870.9677419355</x:v>
      </x:c>
      <x:c r="J5895" s="2" t="str">
        <x:v>total</x:v>
      </x:c>
      <x:c r="K5895" s="2" t="str">
        <x:v>top_level_area</x:v>
      </x:c>
      <x:c r="L5895" s="2" t="str">
        <x:v>property_type_inferred_from_title</x:v>
      </x:c>
      <x:c r="M5895" s="10" t="n">
        <x:v>0</x:v>
      </x:c>
      <x:c r="N5895" s="10" t="n">
        <x:v>0</x:v>
      </x:c>
      <x:c r="O5895" s="2" t="str">
        <x:v>Long An|land</x:v>
      </x:c>
      <x:c r="P5895" s="10" t="n">
        <x:v>1</x:v>
      </x:c>
      <x:c r="Q5895" s="13" t="n">
        <x:f>IF(H5895="","",H5895/1000000000)</x:f>
        <x:v>0.92</x:v>
      </x:c>
      <x:c r="R5895" s="13" t="n">
        <x:f>IF(I5895="","",I5895/1000000)</x:f>
        <x:v>1.4838709677419355</x:v>
      </x:c>
    </x:row>
    <x:row r="5896" ht="21" customHeight="1">
      <x:c r="A5896" s="10" t="n">
        <x:v>7674</x:v>
      </x:c>
      <x:c r="B5896" s="2" t="str">
        <x:v>611a1de09d74e76eaa79</x:v>
      </x:c>
      <x:c r="C5896" s="2" t="str">
        <x:v>Tp Hồ Chí Minh</x:v>
      </x:c>
      <x:c r="D5896" s="2" t="str">
        <x:v>Quận 12</x:v>
      </x:c>
      <x:c r="E5896" s="2" t="str">
        <x:v>house</x:v>
      </x:c>
      <x:c r="F5896" s="2" t="str">
        <x:v>sale_assumed</x:v>
      </x:c>
      <x:c r="G5896" s="11" t="n">
        <x:v>52</x:v>
      </x:c>
      <x:c r="H5896" s="12" t="n">
        <x:v>4300000000</x:v>
      </x:c>
      <x:c r="I5896" s="12" t="n">
        <x:v>82692307.6923077</x:v>
      </x:c>
      <x:c r="J5896" s="2" t="str">
        <x:v>total</x:v>
      </x:c>
      <x:c r="K5896" s="2" t="str">
        <x:v>top_level_price_embedded_area</x:v>
      </x:c>
      <x:c r="L5896" s="2" t="str">
        <x:v>area_recovered_from_price_text;property_type_inferred_from_title;transaction_assumed_sale_from_dataset_context</x:v>
      </x:c>
      <x:c r="M5896" s="10" t="n">
        <x:v>0</x:v>
      </x:c>
      <x:c r="N5896" s="10" t="n">
        <x:v>0</x:v>
      </x:c>
      <x:c r="O5896" s="2" t="str">
        <x:v>Tp Hồ Chí Minh|house</x:v>
      </x:c>
      <x:c r="P5896" s="10" t="n">
        <x:v>2</x:v>
      </x:c>
      <x:c r="Q5896" s="13" t="n">
        <x:f>IF(H5896="","",H5896/1000000000)</x:f>
        <x:v>4.3</x:v>
      </x:c>
      <x:c r="R5896" s="13" t="n">
        <x:f>IF(I5896="","",I5896/1000000)</x:f>
        <x:v>82.6923076923077</x:v>
      </x:c>
    </x:row>
    <x:row r="5897" ht="21" customHeight="1">
      <x:c r="A5897" s="10" t="n">
        <x:v>7675</x:v>
      </x:c>
      <x:c r="B5897" s="2" t="str">
        <x:v>0303e56fb8ae913627a0</x:v>
      </x:c>
      <x:c r="C5897" s="2" t="str">
        <x:v>Tp Hồ Chí Minh</x:v>
      </x:c>
      <x:c r="D5897" s="2" t="str">
        <x:v>Quận Gò Vấp</x:v>
      </x:c>
      <x:c r="E5897" s="2" t="str">
        <x:v>house</x:v>
      </x:c>
      <x:c r="F5897" s="2" t="str">
        <x:v>sale_assumed</x:v>
      </x:c>
      <x:c r="G5897" s="11" t="n">
        <x:v>52</x:v>
      </x:c>
      <x:c r="H5897" s="12" t="n">
        <x:v>3600000000</x:v>
      </x:c>
      <x:c r="I5897" s="12" t="n">
        <x:v>69230769.23076923</x:v>
      </x:c>
      <x:c r="J5897" s="2" t="str">
        <x:v>total</x:v>
      </x:c>
      <x:c r="K5897" s="2" t="str">
        <x:v>top_level_area</x:v>
      </x:c>
      <x:c r="L5897" s="2" t="str">
        <x:v>property_type_inferred_from_title;transaction_assumed_sale_from_dataset_context</x:v>
      </x:c>
      <x:c r="M5897" s="10" t="n">
        <x:v>0</x:v>
      </x:c>
      <x:c r="N5897" s="10" t="n">
        <x:v>0</x:v>
      </x:c>
      <x:c r="O5897" s="2" t="str">
        <x:v>Tp Hồ Chí Minh|house</x:v>
      </x:c>
      <x:c r="P5897" s="10" t="n">
        <x:v>2</x:v>
      </x:c>
      <x:c r="Q5897" s="13" t="n">
        <x:f>IF(H5897="","",H5897/1000000000)</x:f>
        <x:v>3.6</x:v>
      </x:c>
      <x:c r="R5897" s="13" t="n">
        <x:f>IF(I5897="","",I5897/1000000)</x:f>
        <x:v>69.23076923076923</x:v>
      </x:c>
    </x:row>
    <x:row r="5898" ht="21" customHeight="1">
      <x:c r="A5898" s="10" t="n">
        <x:v>7676</x:v>
      </x:c>
      <x:c r="B5898" s="2" t="str">
        <x:v>9c642e36da507f4698e9</x:v>
      </x:c>
      <x:c r="C5898" s="2" t="str">
        <x:v>Đồng Nai</x:v>
      </x:c>
      <x:c r="D5898" s="2" t="str">
        <x:v>Thành phố Biên Hòa</x:v>
      </x:c>
      <x:c r="E5898" s="2" t="str">
        <x:v>land</x:v>
      </x:c>
      <x:c r="F5898" s="2" t="str">
        <x:v>sale_assumed</x:v>
      </x:c>
      <x:c r="G5898" s="11" t="n">
        <x:v>91</x:v>
      </x:c>
      <x:c r="H5898" s="12" t="n">
        <x:v>835000000</x:v>
      </x:c>
      <x:c r="I5898" s="12" t="n">
        <x:v>9175824.175824177</x:v>
      </x:c>
      <x:c r="J5898" s="2" t="str">
        <x:v>total</x:v>
      </x:c>
      <x:c r="K5898" s="2" t="str">
        <x:v>top_level_area</x:v>
      </x:c>
      <x:c r="L5898" s="2" t="str">
        <x:v>property_type_inferred_from_title;transaction_assumed_sale_from_dataset_context</x:v>
      </x:c>
      <x:c r="M5898" s="10" t="n">
        <x:v>0</x:v>
      </x:c>
      <x:c r="N5898" s="10" t="n">
        <x:v>0</x:v>
      </x:c>
      <x:c r="O5898" s="2" t="str">
        <x:v>Đồng Nai|land</x:v>
      </x:c>
      <x:c r="P5898" s="10" t="n">
        <x:v>2</x:v>
      </x:c>
      <x:c r="Q5898" s="13" t="n">
        <x:f>IF(H5898="","",H5898/1000000000)</x:f>
        <x:v>0.835</x:v>
      </x:c>
      <x:c r="R5898" s="13" t="n">
        <x:f>IF(I5898="","",I5898/1000000)</x:f>
        <x:v>9.175824175824177</x:v>
      </x:c>
    </x:row>
    <x:row r="5899" ht="21" customHeight="1">
      <x:c r="A5899" s="10" t="n">
        <x:v>7677</x:v>
      </x:c>
      <x:c r="B5899" s="2" t="str">
        <x:v>671e628cc62250ce287b</x:v>
      </x:c>
      <x:c r="C5899" s="2" t="str">
        <x:v>Tp Hồ Chí Minh</x:v>
      </x:c>
      <x:c r="D5899" s="2" t="str">
        <x:v>Quận 7</x:v>
      </x:c>
      <x:c r="E5899" s="2" t="str">
        <x:v>house</x:v>
      </x:c>
      <x:c r="F5899" s="2" t="str">
        <x:v>sale</x:v>
      </x:c>
      <x:c r="G5899" s="11" t="n">
        <x:v>82</x:v>
      </x:c>
      <x:c r="H5899" s="12" t="n">
        <x:v>3850000000</x:v>
      </x:c>
      <x:c r="I5899" s="12" t="n">
        <x:v>46951219.512195125</x:v>
      </x:c>
      <x:c r="J5899" s="2" t="str">
        <x:v>total</x:v>
      </x:c>
      <x:c r="K5899" s="2" t="str">
        <x:v>top_level_area</x:v>
      </x:c>
      <x:c r="L5899" s="2" t="str">
        <x:v>property_type_inferred_from_title</x:v>
      </x:c>
      <x:c r="M5899" s="10" t="n">
        <x:v>0</x:v>
      </x:c>
      <x:c r="N5899" s="10" t="n">
        <x:v>0</x:v>
      </x:c>
      <x:c r="O5899" s="2" t="str">
        <x:v>Tp Hồ Chí Minh|house</x:v>
      </x:c>
      <x:c r="P5899" s="10" t="n">
        <x:v>2</x:v>
      </x:c>
      <x:c r="Q5899" s="13" t="n">
        <x:f>IF(H5899="","",H5899/1000000000)</x:f>
        <x:v>3.85</x:v>
      </x:c>
      <x:c r="R5899" s="13" t="n">
        <x:f>IF(I5899="","",I5899/1000000)</x:f>
        <x:v>46.951219512195124</x:v>
      </x:c>
    </x:row>
    <x:row r="5900" ht="21" customHeight="1">
      <x:c r="A5900" s="10" t="n">
        <x:v>7678</x:v>
      </x:c>
      <x:c r="B5900" s="2" t="str">
        <x:v>5a13b7e65e05c7bbb7a7</x:v>
      </x:c>
      <x:c r="C5900" s="2" t="str">
        <x:v>Tp Hồ Chí Minh</x:v>
      </x:c>
      <x:c r="D5900" s="2" t="str">
        <x:v>Huyện Bình Chánh</x:v>
      </x:c>
      <x:c r="E5900" s="2" t="str">
        <x:v>house</x:v>
      </x:c>
      <x:c r="F5900" s="2" t="str">
        <x:v>sale_assumed</x:v>
      </x:c>
      <x:c r="G5900" s="11" t="n">
        <x:v>40</x:v>
      </x:c>
      <x:c r="H5900" s="12" t="n">
        <x:v>300000000</x:v>
      </x:c>
      <x:c r="I5900" s="12" t="n">
        <x:v>7500000</x:v>
      </x:c>
      <x:c r="J5900" s="2" t="str">
        <x:v>total</x:v>
      </x:c>
      <x:c r="K5900" s="2" t="str">
        <x:v>top_level_area</x:v>
      </x:c>
      <x:c r="L5900" s="2" t="str">
        <x:v>property_type_inferred_from_title;transaction_assumed_sale_from_dataset_context</x:v>
      </x:c>
      <x:c r="M5900" s="10" t="n">
        <x:v>0</x:v>
      </x:c>
      <x:c r="N5900" s="10" t="n">
        <x:v>0</x:v>
      </x:c>
      <x:c r="O5900" s="2" t="str">
        <x:v>Tp Hồ Chí Minh|house</x:v>
      </x:c>
      <x:c r="P5900" s="10" t="n">
        <x:v>2</x:v>
      </x:c>
      <x:c r="Q5900" s="13" t="n">
        <x:f>IF(H5900="","",H5900/1000000000)</x:f>
        <x:v>0.3</x:v>
      </x:c>
      <x:c r="R5900" s="13" t="n">
        <x:f>IF(I5900="","",I5900/1000000)</x:f>
        <x:v>7.5</x:v>
      </x:c>
    </x:row>
    <x:row r="5901" ht="21" customHeight="1">
      <x:c r="A5901" s="10" t="n">
        <x:v>7679</x:v>
      </x:c>
      <x:c r="B5901" s="2" t="str">
        <x:v>9e4e1df67acf2222847d</x:v>
      </x:c>
      <x:c r="C5901" s="2" t="str">
        <x:v>Tp Hồ Chí Minh</x:v>
      </x:c>
      <x:c r="D5901" s="2" t="str">
        <x:v>Quận 12</x:v>
      </x:c>
      <x:c r="E5901" s="2" t="str">
        <x:v>apartment</x:v>
      </x:c>
      <x:c r="F5901" s="2" t="str">
        <x:v>sale</x:v>
      </x:c>
      <x:c r="G5901" s="11" t="n">
        <x:v>50</x:v>
      </x:c>
      <x:c r="H5901" s="12" t="n">
        <x:v>1750000000</x:v>
      </x:c>
      <x:c r="I5901" s="12" t="n">
        <x:v>35000000</x:v>
      </x:c>
      <x:c r="J5901" s="2" t="str">
        <x:v>total</x:v>
      </x:c>
      <x:c r="K5901" s="2" t="str">
        <x:v>top_level_area</x:v>
      </x:c>
      <x:c r="L5901" s="2" t="str">
        <x:v>property_type_inferred_from_title</x:v>
      </x:c>
      <x:c r="M5901" s="10" t="n">
        <x:v>0</x:v>
      </x:c>
      <x:c r="N5901" s="10" t="n">
        <x:v>0</x:v>
      </x:c>
      <x:c r="O5901" s="2" t="str">
        <x:v>Tp Hồ Chí Minh|apartment</x:v>
      </x:c>
      <x:c r="P5901" s="10" t="n">
        <x:v>2</x:v>
      </x:c>
      <x:c r="Q5901" s="13" t="n">
        <x:f>IF(H5901="","",H5901/1000000000)</x:f>
        <x:v>1.75</x:v>
      </x:c>
      <x:c r="R5901" s="13" t="n">
        <x:f>IF(I5901="","",I5901/1000000)</x:f>
        <x:v>35</x:v>
      </x:c>
    </x:row>
    <x:row r="5902" ht="21" customHeight="1">
      <x:c r="A5902" s="10" t="n">
        <x:v>7680</x:v>
      </x:c>
      <x:c r="B5902" s="2" t="str">
        <x:v>13dab6f71b2c9f629e39</x:v>
      </x:c>
      <x:c r="C5902" s="2" t="str">
        <x:v>Hà Nội</x:v>
      </x:c>
      <x:c r="D5902" s="2" t="str">
        <x:v>Quận Bắc Từ Liêm</x:v>
      </x:c>
      <x:c r="E5902" s="2" t="str">
        <x:v>house</x:v>
      </x:c>
      <x:c r="F5902" s="2" t="str">
        <x:v>sale</x:v>
      </x:c>
      <x:c r="G5902" s="11" t="n">
        <x:v>33</x:v>
      </x:c>
      <x:c r="H5902" s="12" t="n">
        <x:v>2700000000</x:v>
      </x:c>
      <x:c r="I5902" s="12" t="n">
        <x:v>81818181.81818181</x:v>
      </x:c>
      <x:c r="J5902" s="2" t="str">
        <x:v>total</x:v>
      </x:c>
      <x:c r="K5902" s="2" t="str">
        <x:v>top_level_area</x:v>
      </x:c>
      <x:c r="L5902" s="2" t="str">
        <x:v>property_type_inferred_from_title</x:v>
      </x:c>
      <x:c r="M5902" s="10" t="n">
        <x:v>0</x:v>
      </x:c>
      <x:c r="N5902" s="10" t="n">
        <x:v>0</x:v>
      </x:c>
      <x:c r="O5902" s="2" t="str">
        <x:v>Hà Nội|house</x:v>
      </x:c>
      <x:c r="P5902" s="10" t="n">
        <x:v>2</x:v>
      </x:c>
      <x:c r="Q5902" s="13" t="n">
        <x:f>IF(H5902="","",H5902/1000000000)</x:f>
        <x:v>2.7</x:v>
      </x:c>
      <x:c r="R5902" s="13" t="n">
        <x:f>IF(I5902="","",I5902/1000000)</x:f>
        <x:v>81.81818181818181</x:v>
      </x:c>
    </x:row>
    <x:row r="5903" ht="21" customHeight="1">
      <x:c r="A5903" s="10" t="n">
        <x:v>7681</x:v>
      </x:c>
      <x:c r="B5903" s="2" t="str">
        <x:v>6675c5c5b7d9abd63e74</x:v>
      </x:c>
      <x:c r="C5903" s="2" t="str">
        <x:v>Hà Nội</x:v>
      </x:c>
      <x:c r="D5903" s="2" t="str">
        <x:v>Quận Nam Từ Liêm</x:v>
      </x:c>
      <x:c r="E5903" s="2" t="str">
        <x:v>house</x:v>
      </x:c>
      <x:c r="F5903" s="2" t="str">
        <x:v>sale</x:v>
      </x:c>
      <x:c r="G5903" s="11" t="n">
        <x:v>32</x:v>
      </x:c>
      <x:c r="H5903" s="12" t="n">
        <x:v>2600000000</x:v>
      </x:c>
      <x:c r="I5903" s="12" t="n">
        <x:v>81250000</x:v>
      </x:c>
      <x:c r="J5903" s="2" t="str">
        <x:v>total</x:v>
      </x:c>
      <x:c r="K5903" s="2" t="str">
        <x:v>top_level_area</x:v>
      </x:c>
      <x:c r="L5903" s="2" t="str">
        <x:v>property_type_inferred_from_title</x:v>
      </x:c>
      <x:c r="M5903" s="10" t="n">
        <x:v>0</x:v>
      </x:c>
      <x:c r="N5903" s="10" t="n">
        <x:v>0</x:v>
      </x:c>
      <x:c r="O5903" s="2" t="str">
        <x:v>Hà Nội|house</x:v>
      </x:c>
      <x:c r="P5903" s="10" t="n">
        <x:v>2</x:v>
      </x:c>
      <x:c r="Q5903" s="13" t="n">
        <x:f>IF(H5903="","",H5903/1000000000)</x:f>
        <x:v>2.6</x:v>
      </x:c>
      <x:c r="R5903" s="13" t="n">
        <x:f>IF(I5903="","",I5903/1000000)</x:f>
        <x:v>81.25</x:v>
      </x:c>
    </x:row>
    <x:row r="5904" ht="21" customHeight="1">
      <x:c r="A5904" s="10" t="n">
        <x:v>7682</x:v>
      </x:c>
      <x:c r="B5904" s="2" t="str">
        <x:v>be57572ddd0757ac155e</x:v>
      </x:c>
      <x:c r="C5904" s="2" t="str">
        <x:v>Hà Nội</x:v>
      </x:c>
      <x:c r="D5904" s="2" t="str">
        <x:v>Quận Hà Đông</x:v>
      </x:c>
      <x:c r="E5904" s="2" t="str">
        <x:v>house</x:v>
      </x:c>
      <x:c r="F5904" s="2" t="str">
        <x:v>sale_assumed</x:v>
      </x:c>
      <x:c r="G5904" s="11" t="n">
        <x:v>38</x:v>
      </x:c>
      <x:c r="H5904" s="12" t="n">
        <x:v>1880000000</x:v>
      </x:c>
      <x:c r="I5904" s="12" t="n">
        <x:v>49473684.21052632</x:v>
      </x:c>
      <x:c r="J5904" s="2" t="str">
        <x:v>total</x:v>
      </x:c>
      <x:c r="K5904" s="2" t="str">
        <x:v>top_level_area</x:v>
      </x:c>
      <x:c r="L5904" s="2" t="str">
        <x:v>property_type_inferred_from_title;transaction_assumed_sale_from_dataset_context</x:v>
      </x:c>
      <x:c r="M5904" s="10" t="n">
        <x:v>0</x:v>
      </x:c>
      <x:c r="N5904" s="10" t="n">
        <x:v>0</x:v>
      </x:c>
      <x:c r="O5904" s="2" t="str">
        <x:v>Hà Nội|house</x:v>
      </x:c>
      <x:c r="P5904" s="10" t="n">
        <x:v>2</x:v>
      </x:c>
      <x:c r="Q5904" s="13" t="n">
        <x:f>IF(H5904="","",H5904/1000000000)</x:f>
        <x:v>1.88</x:v>
      </x:c>
      <x:c r="R5904" s="13" t="n">
        <x:f>IF(I5904="","",I5904/1000000)</x:f>
        <x:v>49.473684210526315</x:v>
      </x:c>
    </x:row>
    <x:row r="5905" ht="21" customHeight="1">
      <x:c r="A5905" s="10" t="n">
        <x:v>7683</x:v>
      </x:c>
      <x:c r="B5905" s="2" t="str">
        <x:v>277af3a2d437d0cb81cf</x:v>
      </x:c>
      <x:c r="C5905" s="2" t="str">
        <x:v>Tp Hồ Chí Minh</x:v>
      </x:c>
      <x:c r="D5905" s="2" t="str">
        <x:v>Quận Gò Vấp</x:v>
      </x:c>
      <x:c r="E5905" s="2" t="str">
        <x:v>house</x:v>
      </x:c>
      <x:c r="F5905" s="2" t="str">
        <x:v>sale_assumed</x:v>
      </x:c>
      <x:c r="G5905" s="11" t="n">
        <x:v>26</x:v>
      </x:c>
      <x:c r="H5905" s="12" t="n">
        <x:v>2200000000</x:v>
      </x:c>
      <x:c r="I5905" s="12" t="n">
        <x:v>84615384.61538461</x:v>
      </x:c>
      <x:c r="J5905" s="2" t="str">
        <x:v>total</x:v>
      </x:c>
      <x:c r="K5905" s="2" t="str">
        <x:v>top_level_price_embedded_area</x:v>
      </x:c>
      <x:c r="L5905" s="2" t="str">
        <x:v>area_recovered_from_price_text;property_type_inferred_from_title;transaction_assumed_sale_from_dataset_context</x:v>
      </x:c>
      <x:c r="M5905" s="10" t="n">
        <x:v>0</x:v>
      </x:c>
      <x:c r="N5905" s="10" t="n">
        <x:v>0</x:v>
      </x:c>
      <x:c r="O5905" s="2" t="str">
        <x:v>Tp Hồ Chí Minh|house</x:v>
      </x:c>
      <x:c r="P5905" s="10" t="n">
        <x:v>2</x:v>
      </x:c>
      <x:c r="Q5905" s="13" t="n">
        <x:f>IF(H5905="","",H5905/1000000000)</x:f>
        <x:v>2.2</x:v>
      </x:c>
      <x:c r="R5905" s="13" t="n">
        <x:f>IF(I5905="","",I5905/1000000)</x:f>
        <x:v>84.61538461538461</x:v>
      </x:c>
    </x:row>
    <x:row r="5906" ht="21" customHeight="1">
      <x:c r="A5906" s="10" t="n">
        <x:v>7684</x:v>
      </x:c>
      <x:c r="B5906" s="2" t="str">
        <x:v>a402171f6c17adeed24f</x:v>
      </x:c>
      <x:c r="C5906" s="2" t="str">
        <x:v>Đà Nẵng</x:v>
      </x:c>
      <x:c r="D5906" s="2" t="str">
        <x:v>Quận Sơn Trà</x:v>
      </x:c>
      <x:c r="E5906" s="2" t="str">
        <x:v>apartment</x:v>
      </x:c>
      <x:c r="F5906" s="2" t="str">
        <x:v>sale_assumed</x:v>
      </x:c>
      <x:c r="G5906" s="11" t="n">
        <x:v>53</x:v>
      </x:c>
      <x:c r="H5906" s="12" t="n">
        <x:v>1100000000</x:v>
      </x:c>
      <x:c r="I5906" s="12" t="n">
        <x:v>20754716.981132075</x:v>
      </x:c>
      <x:c r="J5906" s="2" t="str">
        <x:v>total</x:v>
      </x:c>
      <x:c r="K5906" s="2" t="str">
        <x:v>top_level_area</x:v>
      </x:c>
      <x:c r="L5906" s="2" t="str">
        <x:v>property_type_inferred_from_title;transaction_assumed_sale_from_dataset_context</x:v>
      </x:c>
      <x:c r="M5906" s="10" t="n">
        <x:v>0</x:v>
      </x:c>
      <x:c r="N5906" s="10" t="n">
        <x:v>0</x:v>
      </x:c>
      <x:c r="O5906" s="2" t="str">
        <x:v>apartment</x:v>
      </x:c>
      <x:c r="P5906" s="10" t="n">
        <x:v>2</x:v>
      </x:c>
      <x:c r="Q5906" s="13" t="n">
        <x:f>IF(H5906="","",H5906/1000000000)</x:f>
        <x:v>1.1</x:v>
      </x:c>
      <x:c r="R5906" s="13" t="n">
        <x:f>IF(I5906="","",I5906/1000000)</x:f>
        <x:v>20.754716981132074</x:v>
      </x:c>
    </x:row>
    <x:row r="5907" ht="21" customHeight="1">
      <x:c r="A5907" s="10" t="n">
        <x:v>7685</x:v>
      </x:c>
      <x:c r="B5907" s="2" t="str">
        <x:v>d872f3c346bbb8d7468e</x:v>
      </x:c>
      <x:c r="C5907" s="2" t="str">
        <x:v>An Giang</x:v>
      </x:c>
      <x:c r="D5907" s="2" t="str">
        <x:v>Huyện Thoại Sơn</x:v>
      </x:c>
      <x:c r="E5907" s="2" t="str">
        <x:v>house</x:v>
      </x:c>
      <x:c r="F5907" s="2" t="str">
        <x:v>sale</x:v>
      </x:c>
      <x:c r="G5907" s="11" t="n">
        <x:v>600</x:v>
      </x:c>
      <x:c r="H5907" s="12" t="n">
        <x:v>2200000000</x:v>
      </x:c>
      <x:c r="I5907" s="12" t="n">
        <x:v>3666666.6666666665</x:v>
      </x:c>
      <x:c r="J5907" s="2" t="str">
        <x:v>total</x:v>
      </x:c>
      <x:c r="K5907" s="2" t="str">
        <x:v>top_level_area</x:v>
      </x:c>
      <x:c r="L5907" s="2" t="str">
        <x:v>property_type_inferred_from_title</x:v>
      </x:c>
      <x:c r="M5907" s="10" t="n">
        <x:v>0</x:v>
      </x:c>
      <x:c r="N5907" s="10" t="n">
        <x:v>0</x:v>
      </x:c>
      <x:c r="O5907" s="2" t="str">
        <x:v>house</x:v>
      </x:c>
      <x:c r="P5907" s="10" t="n">
        <x:v>1</x:v>
      </x:c>
      <x:c r="Q5907" s="13" t="n">
        <x:f>IF(H5907="","",H5907/1000000000)</x:f>
        <x:v>2.2</x:v>
      </x:c>
      <x:c r="R5907" s="13" t="n">
        <x:f>IF(I5907="","",I5907/1000000)</x:f>
        <x:v>3.6666666666666665</x:v>
      </x:c>
    </x:row>
    <x:row r="5908" ht="21" customHeight="1">
      <x:c r="A5908" s="10" t="n">
        <x:v>7686</x:v>
      </x:c>
      <x:c r="B5908" s="2" t="str">
        <x:v>ac80e154daed0109772c</x:v>
      </x:c>
      <x:c r="C5908" s="2" t="str">
        <x:v>Tp Hồ Chí Minh</x:v>
      </x:c>
      <x:c r="D5908" s="2" t="str">
        <x:v>Quận 8</x:v>
      </x:c>
      <x:c r="E5908" s="2" t="str">
        <x:v>house</x:v>
      </x:c>
      <x:c r="F5908" s="2" t="str">
        <x:v>sale_assumed</x:v>
      </x:c>
      <x:c r="G5908" s="11" t="n">
        <x:v>56</x:v>
      </x:c>
      <x:c r="H5908" s="12" t="n">
        <x:v>980000000</x:v>
      </x:c>
      <x:c r="I5908" s="12" t="n">
        <x:v>17500000</x:v>
      </x:c>
      <x:c r="J5908" s="2" t="str">
        <x:v>total</x:v>
      </x:c>
      <x:c r="K5908" s="2" t="str">
        <x:v>top_level_area</x:v>
      </x:c>
      <x:c r="L5908" s="2" t="str">
        <x:v>property_type_inferred_from_title;transaction_assumed_sale_from_dataset_context</x:v>
      </x:c>
      <x:c r="M5908" s="10" t="n">
        <x:v>0</x:v>
      </x:c>
      <x:c r="N5908" s="10" t="n">
        <x:v>0</x:v>
      </x:c>
      <x:c r="O5908" s="2" t="str">
        <x:v>Tp Hồ Chí Minh|house</x:v>
      </x:c>
      <x:c r="P5908" s="10" t="n">
        <x:v>2</x:v>
      </x:c>
      <x:c r="Q5908" s="13" t="n">
        <x:f>IF(H5908="","",H5908/1000000000)</x:f>
        <x:v>0.98</x:v>
      </x:c>
      <x:c r="R5908" s="13" t="n">
        <x:f>IF(I5908="","",I5908/1000000)</x:f>
        <x:v>17.5</x:v>
      </x:c>
    </x:row>
    <x:row r="5909" ht="21" customHeight="1">
      <x:c r="A5909" s="10" t="n">
        <x:v>7687</x:v>
      </x:c>
      <x:c r="B5909" s="2" t="str">
        <x:v>7669bd1abdd55f3c9f90</x:v>
      </x:c>
      <x:c r="C5909" s="2" t="str">
        <x:v>Đồng Nai</x:v>
      </x:c>
      <x:c r="D5909" s="2" t="str">
        <x:v>Huyện Trảng Bom</x:v>
      </x:c>
      <x:c r="E5909" s="2" t="str">
        <x:v>land</x:v>
      </x:c>
      <x:c r="F5909" s="2" t="str">
        <x:v>sale_assumed</x:v>
      </x:c>
      <x:c r="G5909" s="11" t="n">
        <x:v>100</x:v>
      </x:c>
      <x:c r="H5909" s="12" t="n">
        <x:v>235000000</x:v>
      </x:c>
      <x:c r="I5909" s="12" t="n">
        <x:v>2350000</x:v>
      </x:c>
      <x:c r="J5909" s="2" t="str">
        <x:v>total</x:v>
      </x:c>
      <x:c r="K5909" s="2" t="str">
        <x:v>top_level_area</x:v>
      </x:c>
      <x:c r="L5909" s="2" t="str">
        <x:v>property_type_inferred_from_title;transaction_assumed_sale_from_dataset_context</x:v>
      </x:c>
      <x:c r="M5909" s="10" t="n">
        <x:v>0</x:v>
      </x:c>
      <x:c r="N5909" s="10" t="n">
        <x:v>0</x:v>
      </x:c>
      <x:c r="O5909" s="2" t="str">
        <x:v>Đồng Nai|land</x:v>
      </x:c>
      <x:c r="P5909" s="10" t="n">
        <x:v>1</x:v>
      </x:c>
      <x:c r="Q5909" s="13" t="n">
        <x:f>IF(H5909="","",H5909/1000000000)</x:f>
        <x:v>0.235</x:v>
      </x:c>
      <x:c r="R5909" s="13" t="n">
        <x:f>IF(I5909="","",I5909/1000000)</x:f>
        <x:v>2.35</x:v>
      </x:c>
    </x:row>
    <x:row r="5910" ht="21" customHeight="1">
      <x:c r="A5910" s="10" t="n">
        <x:v>7688</x:v>
      </x:c>
      <x:c r="B5910" s="2" t="str">
        <x:v>4e82043a100234c2f3ed</x:v>
      </x:c>
      <x:c r="C5910" s="2" t="str">
        <x:v>Thừa Thiên Huế</x:v>
      </x:c>
      <x:c r="D5910" s="2" t="str">
        <x:v>Thành phố Huế</x:v>
      </x:c>
      <x:c r="E5910" s="2" t="str">
        <x:v>house</x:v>
      </x:c>
      <x:c r="F5910" s="2" t="str">
        <x:v>sale</x:v>
      </x:c>
      <x:c r="G5910" s="11" t="n">
        <x:v>344</x:v>
      </x:c>
      <x:c r="H5910" s="12" t="n">
        <x:v>15000000000</x:v>
      </x:c>
      <x:c r="I5910" s="12" t="n">
        <x:v>43604651.1627907</x:v>
      </x:c>
      <x:c r="J5910" s="2" t="str">
        <x:v>total</x:v>
      </x:c>
      <x:c r="K5910" s="2" t="str">
        <x:v>top_level_area</x:v>
      </x:c>
      <x:c r="L5910" s="2" t="str">
        <x:v>property_type_inferred_from_title</x:v>
      </x:c>
      <x:c r="M5910" s="10" t="n">
        <x:v>0</x:v>
      </x:c>
      <x:c r="N5910" s="10" t="n">
        <x:v>0</x:v>
      </x:c>
      <x:c r="O5910" s="2" t="str">
        <x:v>house</x:v>
      </x:c>
      <x:c r="P5910" s="10" t="n">
        <x:v>2</x:v>
      </x:c>
      <x:c r="Q5910" s="13" t="n">
        <x:f>IF(H5910="","",H5910/1000000000)</x:f>
        <x:v>15</x:v>
      </x:c>
      <x:c r="R5910" s="13" t="n">
        <x:f>IF(I5910="","",I5910/1000000)</x:f>
        <x:v>43.6046511627907</x:v>
      </x:c>
    </x:row>
    <x:row r="5911" ht="21" customHeight="1">
      <x:c r="A5911" s="10" t="n">
        <x:v>7689</x:v>
      </x:c>
      <x:c r="B5911" s="2" t="str">
        <x:v>e016d9244195ab77b208</x:v>
      </x:c>
      <x:c r="C5911" s="2" t="str">
        <x:v>Tp Hồ Chí Minh</x:v>
      </x:c>
      <x:c r="D5911" s="2" t="str">
        <x:v>Quận Bình Tân</x:v>
      </x:c>
      <x:c r="E5911" s="2" t="str">
        <x:v>other_unknown</x:v>
      </x:c>
      <x:c r="F5911" s="2" t="str">
        <x:v>sale</x:v>
      </x:c>
      <x:c r="G5911" s="11" t="n">
        <x:v>72</x:v>
      </x:c>
      <x:c r="H5911" s="12" t="n">
        <x:v>5000000000</x:v>
      </x:c>
      <x:c r="I5911" s="12" t="n">
        <x:v>69444444.44444445</x:v>
      </x:c>
      <x:c r="J5911" s="2" t="str">
        <x:v>total</x:v>
      </x:c>
      <x:c r="K5911" s="2" t="str">
        <x:v>top_level_area</x:v>
      </x:c>
      <x:c r="L5911" s="2" t="str">
        <x:v>property_type_inferred_from_title;unknown_property_type</x:v>
      </x:c>
      <x:c r="M5911" s="10" t="n">
        <x:v>0</x:v>
      </x:c>
      <x:c r="N5911" s="10" t="n">
        <x:v>0</x:v>
      </x:c>
      <x:c r="O5911" s="2" t="str">
        <x:v>Tp Hồ Chí Minh|other_unknown</x:v>
      </x:c>
      <x:c r="P5911" s="10" t="n">
        <x:v>2</x:v>
      </x:c>
      <x:c r="Q5911" s="13" t="n">
        <x:f>IF(H5911="","",H5911/1000000000)</x:f>
        <x:v>5</x:v>
      </x:c>
      <x:c r="R5911" s="13" t="n">
        <x:f>IF(I5911="","",I5911/1000000)</x:f>
        <x:v>69.44444444444444</x:v>
      </x:c>
    </x:row>
    <x:row r="5912" ht="21" customHeight="1">
      <x:c r="A5912" s="10" t="n">
        <x:v>7690</x:v>
      </x:c>
      <x:c r="B5912" s="2" t="str">
        <x:v>de231ad10bbb8a9bac19</x:v>
      </x:c>
      <x:c r="C5912" s="2" t="str">
        <x:v>Đồng Nai</x:v>
      </x:c>
      <x:c r="D5912" s="2" t="str">
        <x:v>Huyện Long Thành</x:v>
      </x:c>
      <x:c r="E5912" s="2" t="str">
        <x:v>land</x:v>
      </x:c>
      <x:c r="F5912" s="2" t="str">
        <x:v>sale</x:v>
      </x:c>
      <x:c r="G5912" s="11" t="n">
        <x:v>500</x:v>
      </x:c>
      <x:c r="H5912" s="12" t="n">
        <x:v>960000000</x:v>
      </x:c>
      <x:c r="I5912" s="12" t="n">
        <x:v>1920000</x:v>
      </x:c>
      <x:c r="J5912" s="2" t="str">
        <x:v>total</x:v>
      </x:c>
      <x:c r="K5912" s="2" t="str">
        <x:v>top_level_price_embedded_area</x:v>
      </x:c>
      <x:c r="L5912" s="2" t="str">
        <x:v>area_recovered_from_price_text;property_type_inferred_from_title</x:v>
      </x:c>
      <x:c r="M5912" s="10" t="n">
        <x:v>0</x:v>
      </x:c>
      <x:c r="N5912" s="10" t="n">
        <x:v>0</x:v>
      </x:c>
      <x:c r="O5912" s="2" t="str">
        <x:v>Đồng Nai|land</x:v>
      </x:c>
      <x:c r="P5912" s="10" t="n">
        <x:v>1</x:v>
      </x:c>
      <x:c r="Q5912" s="13" t="n">
        <x:f>IF(H5912="","",H5912/1000000000)</x:f>
        <x:v>0.96</x:v>
      </x:c>
      <x:c r="R5912" s="13" t="n">
        <x:f>IF(I5912="","",I5912/1000000)</x:f>
        <x:v>1.92</x:v>
      </x:c>
    </x:row>
    <x:row r="5913" ht="21" customHeight="1">
      <x:c r="A5913" s="10" t="n">
        <x:v>7691</x:v>
      </x:c>
      <x:c r="B5913" s="2" t="str">
        <x:v>c07d8801fb67b5e71bb6</x:v>
      </x:c>
      <x:c r="C5913" s="2" t="str">
        <x:v>Đà Nẵng</x:v>
      </x:c>
      <x:c r="D5913" s="2" t="str">
        <x:v>Quận Thanh Khê</x:v>
      </x:c>
      <x:c r="E5913" s="2" t="str">
        <x:v>house</x:v>
      </x:c>
      <x:c r="F5913" s="2" t="str">
        <x:v>sale</x:v>
      </x:c>
      <x:c r="G5913" s="11" t="n">
        <x:v>46</x:v>
      </x:c>
      <x:c r="H5913" s="12" t="n">
        <x:v>2300000000</x:v>
      </x:c>
      <x:c r="I5913" s="12" t="n">
        <x:v>50000000</x:v>
      </x:c>
      <x:c r="J5913" s="2" t="str">
        <x:v>total</x:v>
      </x:c>
      <x:c r="K5913" s="2" t="str">
        <x:v>top_level_area</x:v>
      </x:c>
      <x:c r="L5913" s="2" t="str">
        <x:v>property_type_inferred_from_title</x:v>
      </x:c>
      <x:c r="M5913" s="10" t="n">
        <x:v>0</x:v>
      </x:c>
      <x:c r="N5913" s="10" t="n">
        <x:v>0</x:v>
      </x:c>
      <x:c r="O5913" s="2" t="str">
        <x:v>Đà Nẵng|house</x:v>
      </x:c>
      <x:c r="P5913" s="10" t="n">
        <x:v>2</x:v>
      </x:c>
      <x:c r="Q5913" s="13" t="n">
        <x:f>IF(H5913="","",H5913/1000000000)</x:f>
        <x:v>2.3</x:v>
      </x:c>
      <x:c r="R5913" s="13" t="n">
        <x:f>IF(I5913="","",I5913/1000000)</x:f>
        <x:v>50</x:v>
      </x:c>
    </x:row>
    <x:row r="5914" ht="21" customHeight="1">
      <x:c r="A5914" s="10" t="n">
        <x:v>7692</x:v>
      </x:c>
      <x:c r="B5914" s="2" t="str">
        <x:v>b782dac970bb3f31b1cf</x:v>
      </x:c>
      <x:c r="C5914" s="2" t="str">
        <x:v>Đồng Nai</x:v>
      </x:c>
      <x:c r="D5914" s="2" t="str">
        <x:v>Huyện Vĩnh Cửu</x:v>
      </x:c>
      <x:c r="E5914" s="2" t="str">
        <x:v>house</x:v>
      </x:c>
      <x:c r="F5914" s="2" t="str">
        <x:v>sale</x:v>
      </x:c>
      <x:c r="G5914" s="11" t="n">
        <x:v>504</x:v>
      </x:c>
      <x:c r="H5914" s="12" t="n">
        <x:v>1050000000</x:v>
      </x:c>
      <x:c r="I5914" s="12" t="n">
        <x:v>2083333.3333333333</x:v>
      </x:c>
      <x:c r="J5914" s="2" t="str">
        <x:v>total</x:v>
      </x:c>
      <x:c r="K5914" s="2" t="str">
        <x:v>top_level_area</x:v>
      </x:c>
      <x:c r="L5914" s="2" t="str">
        <x:v>property_type_inferred_from_title</x:v>
      </x:c>
      <x:c r="M5914" s="10" t="n">
        <x:v>0</x:v>
      </x:c>
      <x:c r="N5914" s="10" t="n">
        <x:v>0</x:v>
      </x:c>
      <x:c r="O5914" s="2" t="str">
        <x:v>Đồng Nai|house</x:v>
      </x:c>
      <x:c r="P5914" s="10" t="n">
        <x:v>1</x:v>
      </x:c>
      <x:c r="Q5914" s="13" t="n">
        <x:f>IF(H5914="","",H5914/1000000000)</x:f>
        <x:v>1.05</x:v>
      </x:c>
      <x:c r="R5914" s="13" t="n">
        <x:f>IF(I5914="","",I5914/1000000)</x:f>
        <x:v>2.083333333333333</x:v>
      </x:c>
    </x:row>
    <x:row r="5915" ht="21" customHeight="1">
      <x:c r="A5915" s="10" t="n">
        <x:v>7693</x:v>
      </x:c>
      <x:c r="B5915" s="2" t="str">
        <x:v>e21602b9809e7b161a93</x:v>
      </x:c>
      <x:c r="C5915" s="2" t="str">
        <x:v>Cần Thơ</x:v>
      </x:c>
      <x:c r="D5915" s="2" t="str">
        <x:v>Quận Ninh Kiều</x:v>
      </x:c>
      <x:c r="E5915" s="2" t="str">
        <x:v>house</x:v>
      </x:c>
      <x:c r="F5915" s="2" t="str">
        <x:v>sale_assumed</x:v>
      </x:c>
      <x:c r="G5915" s="11" t="n">
        <x:v>169</x:v>
      </x:c>
      <x:c r="H5915" s="12" t="n">
        <x:v>24000000000</x:v>
      </x:c>
      <x:c r="I5915" s="12" t="n">
        <x:v>142011834.3195266</x:v>
      </x:c>
      <x:c r="J5915" s="2" t="str">
        <x:v>total</x:v>
      </x:c>
      <x:c r="K5915" s="2" t="str">
        <x:v>top_level_area</x:v>
      </x:c>
      <x:c r="L5915" s="2" t="str">
        <x:v>property_type_inferred_from_title;transaction_assumed_sale_from_dataset_context</x:v>
      </x:c>
      <x:c r="M5915" s="10" t="n">
        <x:v>0</x:v>
      </x:c>
      <x:c r="N5915" s="10" t="n">
        <x:v>1</x:v>
      </x:c>
      <x:c r="O5915" s="2" t="str">
        <x:v>Cần Thơ|house</x:v>
      </x:c>
      <x:c r="P5915" s="10" t="n">
        <x:v>-1</x:v>
      </x:c>
      <x:c r="Q5915" s="13" t="n">
        <x:f>IF(H5915="","",H5915/1000000000)</x:f>
        <x:v>24</x:v>
      </x:c>
      <x:c r="R5915" s="13" t="n">
        <x:f>IF(I5915="","",I5915/1000000)</x:f>
        <x:v>142.0118343195266</x:v>
      </x:c>
    </x:row>
    <x:row r="5916" ht="21" customHeight="1">
      <x:c r="A5916" s="10" t="n">
        <x:v>7696</x:v>
      </x:c>
      <x:c r="B5916" s="2" t="str">
        <x:v>c2e605a836daa8b1e524</x:v>
      </x:c>
      <x:c r="C5916" s="2" t="str">
        <x:v>Bình Dương</x:v>
      </x:c>
      <x:c r="D5916" s="2" t="str">
        <x:v>Thành phố Thủ Dầu Một</x:v>
      </x:c>
      <x:c r="E5916" s="2" t="str">
        <x:v>house</x:v>
      </x:c>
      <x:c r="F5916" s="2" t="str">
        <x:v>sale</x:v>
      </x:c>
      <x:c r="G5916" s="11" t="n">
        <x:v>572</x:v>
      </x:c>
      <x:c r="H5916" s="12" t="n">
        <x:v>19000000000</x:v>
      </x:c>
      <x:c r="I5916" s="12" t="n">
        <x:v>33216783.216783218</x:v>
      </x:c>
      <x:c r="J5916" s="2" t="str">
        <x:v>total</x:v>
      </x:c>
      <x:c r="K5916" s="2" t="str">
        <x:v>top_level_area</x:v>
      </x:c>
      <x:c r="L5916" s="2" t="str">
        <x:v>property_type_inferred_from_title</x:v>
      </x:c>
      <x:c r="M5916" s="10" t="n">
        <x:v>0</x:v>
      </x:c>
      <x:c r="N5916" s="10" t="n">
        <x:v>0</x:v>
      </x:c>
      <x:c r="O5916" s="2" t="str">
        <x:v>Bình Dương|house</x:v>
      </x:c>
      <x:c r="P5916" s="10" t="n">
        <x:v>2</x:v>
      </x:c>
      <x:c r="Q5916" s="13" t="n">
        <x:f>IF(H5916="","",H5916/1000000000)</x:f>
        <x:v>19</x:v>
      </x:c>
      <x:c r="R5916" s="13" t="n">
        <x:f>IF(I5916="","",I5916/1000000)</x:f>
        <x:v>33.21678321678322</x:v>
      </x:c>
    </x:row>
    <x:row r="5917" ht="21" customHeight="1">
      <x:c r="A5917" s="10" t="n">
        <x:v>7697</x:v>
      </x:c>
      <x:c r="B5917" s="2" t="str">
        <x:v>2bdc8f78c5971f5307af</x:v>
      </x:c>
      <x:c r="C5917" s="2" t="str">
        <x:v>Bình Thuận</x:v>
      </x:c>
      <x:c r="D5917" s="2" t="str">
        <x:v>Thành phố Phan Thiết</x:v>
      </x:c>
      <x:c r="E5917" s="2" t="str">
        <x:v>land</x:v>
      </x:c>
      <x:c r="F5917" s="2" t="str">
        <x:v>sale_assumed</x:v>
      </x:c>
      <x:c r="G5917" s="11" t="n">
        <x:v>300</x:v>
      </x:c>
      <x:c r="H5917" s="12" t="n">
        <x:v>380000000</x:v>
      </x:c>
      <x:c r="I5917" s="12" t="n">
        <x:v>1266666.6666666667</x:v>
      </x:c>
      <x:c r="J5917" s="2" t="str">
        <x:v>total</x:v>
      </x:c>
      <x:c r="K5917" s="2" t="str">
        <x:v>top_level_area</x:v>
      </x:c>
      <x:c r="L5917" s="2" t="str">
        <x:v>property_type_inferred_from_title;transaction_assumed_sale_from_dataset_context</x:v>
      </x:c>
      <x:c r="M5917" s="10" t="n">
        <x:v>0</x:v>
      </x:c>
      <x:c r="N5917" s="10" t="n">
        <x:v>0</x:v>
      </x:c>
      <x:c r="O5917" s="2" t="str">
        <x:v>land</x:v>
      </x:c>
      <x:c r="P5917" s="10" t="n">
        <x:v>1</x:v>
      </x:c>
      <x:c r="Q5917" s="13" t="n">
        <x:f>IF(H5917="","",H5917/1000000000)</x:f>
        <x:v>0.38</x:v>
      </x:c>
      <x:c r="R5917" s="13" t="n">
        <x:f>IF(I5917="","",I5917/1000000)</x:f>
        <x:v>1.2666666666666668</x:v>
      </x:c>
    </x:row>
    <x:row r="5918" ht="21" customHeight="1">
      <x:c r="A5918" s="10" t="n">
        <x:v>7698</x:v>
      </x:c>
      <x:c r="B5918" s="2" t="str">
        <x:v>2172d8aad7e1dcdf7f6b</x:v>
      </x:c>
      <x:c r="C5918" s="2" t="str">
        <x:v>Tp Hồ Chí Minh</x:v>
      </x:c>
      <x:c r="D5918" s="2" t="str">
        <x:v>Quận Tân Phú</x:v>
      </x:c>
      <x:c r="E5918" s="2" t="str">
        <x:v>other_unknown</x:v>
      </x:c>
      <x:c r="F5918" s="2" t="str">
        <x:v>sale_assumed</x:v>
      </x:c>
      <x:c r="G5918" s="11" t="n">
        <x:v>72</x:v>
      </x:c>
      <x:c r="H5918" s="12" t="n">
        <x:v>6250000000</x:v>
      </x:c>
      <x:c r="I5918" s="12" t="n">
        <x:v>86805555.55555555</x:v>
      </x:c>
      <x:c r="J5918" s="2" t="str">
        <x:v>total</x:v>
      </x:c>
      <x:c r="K5918" s="2" t="str">
        <x:v>top_level_area</x:v>
      </x:c>
      <x:c r="L5918" s="2" t="str">
        <x:v>property_type_inferred_from_title;transaction_assumed_sale_from_dataset_context;unknown_property_type</x:v>
      </x:c>
      <x:c r="M5918" s="10" t="n">
        <x:v>0</x:v>
      </x:c>
      <x:c r="N5918" s="10" t="n">
        <x:v>0</x:v>
      </x:c>
      <x:c r="O5918" s="2" t="str">
        <x:v>Tp Hồ Chí Minh|other_unknown</x:v>
      </x:c>
      <x:c r="P5918" s="10" t="n">
        <x:v>2</x:v>
      </x:c>
      <x:c r="Q5918" s="13" t="n">
        <x:f>IF(H5918="","",H5918/1000000000)</x:f>
        <x:v>6.25</x:v>
      </x:c>
      <x:c r="R5918" s="13" t="n">
        <x:f>IF(I5918="","",I5918/1000000)</x:f>
        <x:v>86.80555555555556</x:v>
      </x:c>
    </x:row>
    <x:row r="5919" ht="21" customHeight="1">
      <x:c r="A5919" s="10" t="n">
        <x:v>7699</x:v>
      </x:c>
      <x:c r="B5919" s="2" t="str">
        <x:v>17adc22d926582e9dd95</x:v>
      </x:c>
      <x:c r="C5919" s="2" t="str">
        <x:v>Vĩnh Long</x:v>
      </x:c>
      <x:c r="D5919" s="2" t="str">
        <x:v>Huyện Long Hồ</x:v>
      </x:c>
      <x:c r="E5919" s="2" t="str">
        <x:v>land</x:v>
      </x:c>
      <x:c r="F5919" s="2" t="str">
        <x:v>sale_assumed</x:v>
      </x:c>
      <x:c r="G5919" s="11" t="n">
        <x:v>145</x:v>
      </x:c>
      <x:c r="H5919" s="12" t="n">
        <x:v>200000000</x:v>
      </x:c>
      <x:c r="I5919" s="12" t="n">
        <x:v>1379310.3448275863</x:v>
      </x:c>
      <x:c r="J5919" s="2" t="str">
        <x:v>total</x:v>
      </x:c>
      <x:c r="K5919" s="2" t="str">
        <x:v>top_level_area</x:v>
      </x:c>
      <x:c r="L5919" s="2" t="str">
        <x:v>property_type_inferred_from_title;transaction_assumed_sale_from_dataset_context</x:v>
      </x:c>
      <x:c r="M5919" s="10" t="n">
        <x:v>0</x:v>
      </x:c>
      <x:c r="N5919" s="10" t="n">
        <x:v>0</x:v>
      </x:c>
      <x:c r="O5919" s="2" t="str">
        <x:v>land</x:v>
      </x:c>
      <x:c r="P5919" s="10" t="n">
        <x:v>1</x:v>
      </x:c>
      <x:c r="Q5919" s="13" t="n">
        <x:f>IF(H5919="","",H5919/1000000000)</x:f>
        <x:v>0.2</x:v>
      </x:c>
      <x:c r="R5919" s="13" t="n">
        <x:f>IF(I5919="","",I5919/1000000)</x:f>
        <x:v>1.3793103448275863</x:v>
      </x:c>
    </x:row>
    <x:row r="5920" ht="21" customHeight="1">
      <x:c r="A5920" s="10" t="n">
        <x:v>7700</x:v>
      </x:c>
      <x:c r="B5920" s="2" t="str">
        <x:v>6b94ea4d4af659a984fb</x:v>
      </x:c>
      <x:c r="C5920" s="2" t="str">
        <x:v>Hà Nội</x:v>
      </x:c>
      <x:c r="D5920" s="2" t="str">
        <x:v>Quận Hoàng Mai</x:v>
      </x:c>
      <x:c r="E5920" s="2" t="str">
        <x:v>other_unknown</x:v>
      </x:c>
      <x:c r="F5920" s="2" t="str">
        <x:v>sale_assumed</x:v>
      </x:c>
      <x:c r="G5920" s="11" t="n">
        <x:v>82</x:v>
      </x:c>
      <x:c r="H5920" s="12" t="n">
        <x:v>1350000000</x:v>
      </x:c>
      <x:c r="I5920" s="12" t="n">
        <x:v>16463414.634146342</x:v>
      </x:c>
      <x:c r="J5920" s="2" t="str">
        <x:v>total</x:v>
      </x:c>
      <x:c r="K5920" s="2" t="str">
        <x:v>top_level_area</x:v>
      </x:c>
      <x:c r="L5920" s="2" t="str">
        <x:v>property_type_inferred_from_title;transaction_assumed_sale_from_dataset_context;unknown_property_type</x:v>
      </x:c>
      <x:c r="M5920" s="10" t="n">
        <x:v>0</x:v>
      </x:c>
      <x:c r="N5920" s="10" t="n">
        <x:v>0</x:v>
      </x:c>
      <x:c r="O5920" s="2" t="str">
        <x:v>Hà Nội|other_unknown</x:v>
      </x:c>
      <x:c r="P5920" s="10" t="n">
        <x:v>2</x:v>
      </x:c>
      <x:c r="Q5920" s="13" t="n">
        <x:f>IF(H5920="","",H5920/1000000000)</x:f>
        <x:v>1.35</x:v>
      </x:c>
      <x:c r="R5920" s="13" t="n">
        <x:f>IF(I5920="","",I5920/1000000)</x:f>
        <x:v>16.463414634146343</x:v>
      </x:c>
    </x:row>
    <x:row r="5921" ht="21" customHeight="1">
      <x:c r="A5921" s="10" t="n">
        <x:v>7701</x:v>
      </x:c>
      <x:c r="B5921" s="2" t="str">
        <x:v>d49cc024a424dda04288</x:v>
      </x:c>
      <x:c r="C5921" s="2" t="str">
        <x:v>Hà Nội</x:v>
      </x:c>
      <x:c r="D5921" s="2" t="str">
        <x:v>Quận Tây Hồ</x:v>
      </x:c>
      <x:c r="E5921" s="2" t="str">
        <x:v>house</x:v>
      </x:c>
      <x:c r="F5921" s="2" t="str">
        <x:v>sale</x:v>
      </x:c>
      <x:c r="G5921" s="11" t="n">
        <x:v>41</x:v>
      </x:c>
      <x:c r="H5921" s="12" t="n">
        <x:v>2600000000</x:v>
      </x:c>
      <x:c r="I5921" s="12" t="n">
        <x:v>63414634.146341465</x:v>
      </x:c>
      <x:c r="J5921" s="2" t="str">
        <x:v>total</x:v>
      </x:c>
      <x:c r="K5921" s="2" t="str">
        <x:v>top_level_area</x:v>
      </x:c>
      <x:c r="L5921" s="2" t="str">
        <x:v>property_type_inferred_from_title</x:v>
      </x:c>
      <x:c r="M5921" s="10" t="n">
        <x:v>0</x:v>
      </x:c>
      <x:c r="N5921" s="10" t="n">
        <x:v>0</x:v>
      </x:c>
      <x:c r="O5921" s="2" t="str">
        <x:v>Hà Nội|house</x:v>
      </x:c>
      <x:c r="P5921" s="10" t="n">
        <x:v>2</x:v>
      </x:c>
      <x:c r="Q5921" s="13" t="n">
        <x:f>IF(H5921="","",H5921/1000000000)</x:f>
        <x:v>2.6</x:v>
      </x:c>
      <x:c r="R5921" s="13" t="n">
        <x:f>IF(I5921="","",I5921/1000000)</x:f>
        <x:v>63.41463414634146</x:v>
      </x:c>
    </x:row>
    <x:row r="5922" ht="21" customHeight="1">
      <x:c r="A5922" s="10" t="n">
        <x:v>7702</x:v>
      </x:c>
      <x:c r="B5922" s="2" t="str">
        <x:v>08217d0132d455072b3b</x:v>
      </x:c>
      <x:c r="C5922" s="2" t="str">
        <x:v>Tp Hồ Chí Minh</x:v>
      </x:c>
      <x:c r="D5922" s="2" t="str">
        <x:v>Quận Bình Tân</x:v>
      </x:c>
      <x:c r="E5922" s="2" t="str">
        <x:v>land</x:v>
      </x:c>
      <x:c r="F5922" s="2" t="str">
        <x:v>sale</x:v>
      </x:c>
      <x:c r="G5922" s="11" t="n">
        <x:v>60</x:v>
      </x:c>
      <x:c r="H5922" s="12" t="n">
        <x:v>3050000000</x:v>
      </x:c>
      <x:c r="I5922" s="12" t="n">
        <x:v>50833333.333333336</x:v>
      </x:c>
      <x:c r="J5922" s="2" t="str">
        <x:v>total</x:v>
      </x:c>
      <x:c r="K5922" s="2" t="str">
        <x:v>top_level_area</x:v>
      </x:c>
      <x:c r="L5922" s="2" t="str">
        <x:v>property_type_inferred_from_title</x:v>
      </x:c>
      <x:c r="M5922" s="10" t="n">
        <x:v>0</x:v>
      </x:c>
      <x:c r="N5922" s="10" t="n">
        <x:v>0</x:v>
      </x:c>
      <x:c r="O5922" s="2" t="str">
        <x:v>Tp Hồ Chí Minh|land</x:v>
      </x:c>
      <x:c r="P5922" s="10" t="n">
        <x:v>2</x:v>
      </x:c>
      <x:c r="Q5922" s="13" t="n">
        <x:f>IF(H5922="","",H5922/1000000000)</x:f>
        <x:v>3.05</x:v>
      </x:c>
      <x:c r="R5922" s="13" t="n">
        <x:f>IF(I5922="","",I5922/1000000)</x:f>
        <x:v>50.833333333333336</x:v>
      </x:c>
    </x:row>
    <x:row r="5923" ht="21" customHeight="1">
      <x:c r="A5923" s="10" t="n">
        <x:v>7703</x:v>
      </x:c>
      <x:c r="B5923" s="2" t="str">
        <x:v>ff2e683fb71c76010d8d</x:v>
      </x:c>
      <x:c r="C5923" s="2" t="str">
        <x:v>Hà Nội</x:v>
      </x:c>
      <x:c r="D5923" s="2" t="str">
        <x:v>Huyện Đan Phượng</x:v>
      </x:c>
      <x:c r="E5923" s="2" t="str">
        <x:v>land</x:v>
      </x:c>
      <x:c r="F5923" s="2" t="str">
        <x:v>sale</x:v>
      </x:c>
      <x:c r="G5923" s="11" t="n">
        <x:v>66</x:v>
      </x:c>
      <x:c r="H5923" s="12" t="n">
        <x:v>2250000000</x:v>
      </x:c>
      <x:c r="I5923" s="12" t="n">
        <x:v>34090909.09090909</x:v>
      </x:c>
      <x:c r="J5923" s="2" t="str">
        <x:v>total</x:v>
      </x:c>
      <x:c r="K5923" s="2" t="str">
        <x:v>top_level_area</x:v>
      </x:c>
      <x:c r="L5923" s="2" t="str">
        <x:v>property_type_inferred_from_title</x:v>
      </x:c>
      <x:c r="M5923" s="10" t="n">
        <x:v>0</x:v>
      </x:c>
      <x:c r="N5923" s="10" t="n">
        <x:v>0</x:v>
      </x:c>
      <x:c r="O5923" s="2" t="str">
        <x:v>Hà Nội|land</x:v>
      </x:c>
      <x:c r="P5923" s="10" t="n">
        <x:v>2</x:v>
      </x:c>
      <x:c r="Q5923" s="13" t="n">
        <x:f>IF(H5923="","",H5923/1000000000)</x:f>
        <x:v>2.25</x:v>
      </x:c>
      <x:c r="R5923" s="13" t="n">
        <x:f>IF(I5923="","",I5923/1000000)</x:f>
        <x:v>34.09090909090909</x:v>
      </x:c>
    </x:row>
    <x:row r="5924" ht="21" customHeight="1">
      <x:c r="A5924" s="10" t="n">
        <x:v>7704</x:v>
      </x:c>
      <x:c r="B5924" s="2" t="str">
        <x:v>e14976381f7b518452ce</x:v>
      </x:c>
      <x:c r="C5924" s="2" t="str">
        <x:v>Đà Nẵng</x:v>
      </x:c>
      <x:c r="D5924" s="2" t="str">
        <x:v>Quận Sơn Trà</x:v>
      </x:c>
      <x:c r="E5924" s="2" t="str">
        <x:v>apartment</x:v>
      </x:c>
      <x:c r="F5924" s="2" t="str">
        <x:v>sale</x:v>
      </x:c>
      <x:c r="G5924" s="11" t="n">
        <x:v>77</x:v>
      </x:c>
      <x:c r="H5924" s="12" t="n">
        <x:v>11000000000</x:v>
      </x:c>
      <x:c r="I5924" s="12" t="n">
        <x:v>142857142.85714287</x:v>
      </x:c>
      <x:c r="J5924" s="2" t="str">
        <x:v>total</x:v>
      </x:c>
      <x:c r="K5924" s="2" t="str">
        <x:v>top_level_area</x:v>
      </x:c>
      <x:c r="L5924" s="2" t="str">
        <x:v>property_type_inferred_from_title</x:v>
      </x:c>
      <x:c r="M5924" s="10" t="n">
        <x:v>0</x:v>
      </x:c>
      <x:c r="N5924" s="10" t="n">
        <x:v>1</x:v>
      </x:c>
      <x:c r="O5924" s="2" t="str">
        <x:v>apartment</x:v>
      </x:c>
      <x:c r="P5924" s="10" t="n">
        <x:v>-1</x:v>
      </x:c>
      <x:c r="Q5924" s="13" t="n">
        <x:f>IF(H5924="","",H5924/1000000000)</x:f>
        <x:v>11</x:v>
      </x:c>
      <x:c r="R5924" s="13" t="n">
        <x:f>IF(I5924="","",I5924/1000000)</x:f>
        <x:v>142.85714285714286</x:v>
      </x:c>
    </x:row>
    <x:row r="5925" ht="21" customHeight="1">
      <x:c r="A5925" s="10" t="n">
        <x:v>7705</x:v>
      </x:c>
      <x:c r="B5925" s="2" t="str">
        <x:v>a1145e98f92e67cca4bd</x:v>
      </x:c>
      <x:c r="C5925" s="2" t="str">
        <x:v>Hà Nội</x:v>
      </x:c>
      <x:c r="D5925" s="2" t="str">
        <x:v>Quận Hoàng Mai</x:v>
      </x:c>
      <x:c r="E5925" s="2" t="str">
        <x:v>house</x:v>
      </x:c>
      <x:c r="F5925" s="2" t="str">
        <x:v>sale</x:v>
      </x:c>
      <x:c r="G5925" s="11" t="n">
        <x:v>23</x:v>
      </x:c>
      <x:c r="H5925" s="12" t="n">
        <x:v>2100000000</x:v>
      </x:c>
      <x:c r="I5925" s="12" t="n">
        <x:v>91304347.82608695</x:v>
      </x:c>
      <x:c r="J5925" s="2" t="str">
        <x:v>total</x:v>
      </x:c>
      <x:c r="K5925" s="2" t="str">
        <x:v>top_level_area</x:v>
      </x:c>
      <x:c r="L5925" s="2" t="str">
        <x:v>property_type_inferred_from_title</x:v>
      </x:c>
      <x:c r="M5925" s="10" t="n">
        <x:v>0</x:v>
      </x:c>
      <x:c r="N5925" s="10" t="n">
        <x:v>0</x:v>
      </x:c>
      <x:c r="O5925" s="2" t="str">
        <x:v>Hà Nội|house</x:v>
      </x:c>
      <x:c r="P5925" s="10" t="n">
        <x:v>2</x:v>
      </x:c>
      <x:c r="Q5925" s="13" t="n">
        <x:f>IF(H5925="","",H5925/1000000000)</x:f>
        <x:v>2.1</x:v>
      </x:c>
      <x:c r="R5925" s="13" t="n">
        <x:f>IF(I5925="","",I5925/1000000)</x:f>
        <x:v>91.30434782608695</x:v>
      </x:c>
    </x:row>
    <x:row r="5926" ht="21" customHeight="1">
      <x:c r="A5926" s="10" t="n">
        <x:v>7706</x:v>
      </x:c>
      <x:c r="B5926" s="2" t="str">
        <x:v>530dcc0cba1de0ffff91</x:v>
      </x:c>
      <x:c r="C5926" s="2" t="str">
        <x:v>Tp Hồ Chí Minh</x:v>
      </x:c>
      <x:c r="D5926" s="2" t="str">
        <x:v>Quận Thủ Đức</x:v>
      </x:c>
      <x:c r="E5926" s="2" t="str">
        <x:v>other_unknown</x:v>
      </x:c>
      <x:c r="F5926" s="2" t="str">
        <x:v>sale_assumed</x:v>
      </x:c>
      <x:c r="G5926" s="11" t="n">
        <x:v>85</x:v>
      </x:c>
      <x:c r="H5926" s="12" t="n">
        <x:v>3050000000</x:v>
      </x:c>
      <x:c r="I5926" s="12" t="n">
        <x:v>35882352.941176474</x:v>
      </x:c>
      <x:c r="J5926" s="2" t="str">
        <x:v>total</x:v>
      </x:c>
      <x:c r="K5926" s="2" t="str">
        <x:v>top_level_area</x:v>
      </x:c>
      <x:c r="L5926" s="2" t="str">
        <x:v>property_type_inferred_from_title;transaction_assumed_sale_from_dataset_context;unknown_property_type</x:v>
      </x:c>
      <x:c r="M5926" s="10" t="n">
        <x:v>0</x:v>
      </x:c>
      <x:c r="N5926" s="10" t="n">
        <x:v>0</x:v>
      </x:c>
      <x:c r="O5926" s="2" t="str">
        <x:v>Tp Hồ Chí Minh|other_unknown</x:v>
      </x:c>
      <x:c r="P5926" s="10" t="n">
        <x:v>2</x:v>
      </x:c>
      <x:c r="Q5926" s="13" t="n">
        <x:f>IF(H5926="","",H5926/1000000000)</x:f>
        <x:v>3.05</x:v>
      </x:c>
      <x:c r="R5926" s="13" t="n">
        <x:f>IF(I5926="","",I5926/1000000)</x:f>
        <x:v>35.88235294117647</x:v>
      </x:c>
    </x:row>
    <x:row r="5927" ht="21" customHeight="1">
      <x:c r="A5927" s="10" t="n">
        <x:v>7707</x:v>
      </x:c>
      <x:c r="B5927" s="2" t="str">
        <x:v>0688bb14f5c05938b377</x:v>
      </x:c>
      <x:c r="C5927" s="2" t="str">
        <x:v>Tp Hồ Chí Minh</x:v>
      </x:c>
      <x:c r="D5927" s="2" t="str">
        <x:v>Quận Phú Nhuận</x:v>
      </x:c>
      <x:c r="E5927" s="2" t="str">
        <x:v>house</x:v>
      </x:c>
      <x:c r="F5927" s="2" t="str">
        <x:v>sale</x:v>
      </x:c>
      <x:c r="G5927" s="11" t="n">
        <x:v>60</x:v>
      </x:c>
      <x:c r="H5927" s="12" t="n">
        <x:v>10800000000</x:v>
      </x:c>
      <x:c r="I5927" s="12" t="n">
        <x:v>180000000</x:v>
      </x:c>
      <x:c r="J5927" s="2" t="str">
        <x:v>total</x:v>
      </x:c>
      <x:c r="K5927" s="2" t="str">
        <x:v>top_level_area</x:v>
      </x:c>
      <x:c r="L5927" s="2" t="str">
        <x:v>property_type_inferred_from_title</x:v>
      </x:c>
      <x:c r="M5927" s="10" t="n">
        <x:v>1</x:v>
      </x:c>
      <x:c r="N5927" s="10" t="n">
        <x:v>0</x:v>
      </x:c>
      <x:c r="O5927" s="2" t="str">
        <x:v>Tp Hồ Chí Minh|house</x:v>
      </x:c>
      <x:c r="P5927" s="10" t="n">
        <x:v>2</x:v>
      </x:c>
      <x:c r="Q5927" s="13" t="n">
        <x:f>IF(H5927="","",H5927/1000000000)</x:f>
        <x:v>10.8</x:v>
      </x:c>
      <x:c r="R5927" s="13" t="n">
        <x:f>IF(I5927="","",I5927/1000000)</x:f>
        <x:v>180</x:v>
      </x:c>
    </x:row>
    <x:row r="5928" ht="21" customHeight="1">
      <x:c r="A5928" s="10" t="n">
        <x:v>7708</x:v>
      </x:c>
      <x:c r="B5928" s="2" t="str">
        <x:v>a6b10ebfe4a1c0bb6a7b</x:v>
      </x:c>
      <x:c r="C5928" s="2" t="str">
        <x:v>Tp Hồ Chí Minh</x:v>
      </x:c>
      <x:c r="D5928" s="2" t="str">
        <x:v>Quận Tân Bình</x:v>
      </x:c>
      <x:c r="E5928" s="2" t="str">
        <x:v>house</x:v>
      </x:c>
      <x:c r="F5928" s="2" t="str">
        <x:v>sale</x:v>
      </x:c>
      <x:c r="G5928" s="11" t="n">
        <x:v>40</x:v>
      </x:c>
      <x:c r="H5928" s="12" t="n">
        <x:v>1850000000</x:v>
      </x:c>
      <x:c r="I5928" s="12" t="n">
        <x:v>46250000</x:v>
      </x:c>
      <x:c r="J5928" s="2" t="str">
        <x:v>total</x:v>
      </x:c>
      <x:c r="K5928" s="2" t="str">
        <x:v>top_level_area</x:v>
      </x:c>
      <x:c r="L5928" s="2" t="str">
        <x:v>property_type_inferred_from_title</x:v>
      </x:c>
      <x:c r="M5928" s="10" t="n">
        <x:v>0</x:v>
      </x:c>
      <x:c r="N5928" s="10" t="n">
        <x:v>0</x:v>
      </x:c>
      <x:c r="O5928" s="2" t="str">
        <x:v>Tp Hồ Chí Minh|house</x:v>
      </x:c>
      <x:c r="P5928" s="10" t="n">
        <x:v>2</x:v>
      </x:c>
      <x:c r="Q5928" s="13" t="n">
        <x:f>IF(H5928="","",H5928/1000000000)</x:f>
        <x:v>1.85</x:v>
      </x:c>
      <x:c r="R5928" s="13" t="n">
        <x:f>IF(I5928="","",I5928/1000000)</x:f>
        <x:v>46.25</x:v>
      </x:c>
    </x:row>
    <x:row r="5929" ht="21" customHeight="1">
      <x:c r="A5929" s="10" t="n">
        <x:v>7709</x:v>
      </x:c>
      <x:c r="B5929" s="2" t="str">
        <x:v>9f17e7891ad94342d4d1</x:v>
      </x:c>
      <x:c r="C5929" s="2" t="str">
        <x:v>Tp Hồ Chí Minh</x:v>
      </x:c>
      <x:c r="D5929" s="2" t="str">
        <x:v>Quận Gò Vấp</x:v>
      </x:c>
      <x:c r="E5929" s="2" t="str">
        <x:v>house</x:v>
      </x:c>
      <x:c r="F5929" s="2" t="str">
        <x:v>sale_assumed</x:v>
      </x:c>
      <x:c r="G5929" s="11" t="n">
        <x:v>39</x:v>
      </x:c>
      <x:c r="H5929" s="12" t="n">
        <x:v>4200000000</x:v>
      </x:c>
      <x:c r="I5929" s="12" t="n">
        <x:v>107692307.6923077</x:v>
      </x:c>
      <x:c r="J5929" s="2" t="str">
        <x:v>total</x:v>
      </x:c>
      <x:c r="K5929" s="2" t="str">
        <x:v>top_level_area</x:v>
      </x:c>
      <x:c r="L5929" s="2" t="str">
        <x:v>property_type_inferred_from_title;transaction_assumed_sale_from_dataset_context</x:v>
      </x:c>
      <x:c r="M5929" s="10" t="n">
        <x:v>0</x:v>
      </x:c>
      <x:c r="N5929" s="10" t="n">
        <x:v>0</x:v>
      </x:c>
      <x:c r="O5929" s="2" t="str">
        <x:v>Tp Hồ Chí Minh|house</x:v>
      </x:c>
      <x:c r="P5929" s="10" t="n">
        <x:v>2</x:v>
      </x:c>
      <x:c r="Q5929" s="13" t="n">
        <x:f>IF(H5929="","",H5929/1000000000)</x:f>
        <x:v>4.2</x:v>
      </x:c>
      <x:c r="R5929" s="13" t="n">
        <x:f>IF(I5929="","",I5929/1000000)</x:f>
        <x:v>107.6923076923077</x:v>
      </x:c>
    </x:row>
    <x:row r="5930" ht="21" customHeight="1">
      <x:c r="A5930" s="10" t="n">
        <x:v>7710</x:v>
      </x:c>
      <x:c r="B5930" s="2" t="str">
        <x:v>a1791d3ead28e7c7e8d7</x:v>
      </x:c>
      <x:c r="C5930" s="2" t="str">
        <x:v>Hà Nội</x:v>
      </x:c>
      <x:c r="D5930" s="2" t="str">
        <x:v>Quận Hà Đông</x:v>
      </x:c>
      <x:c r="E5930" s="2" t="str">
        <x:v>house</x:v>
      </x:c>
      <x:c r="F5930" s="2" t="str">
        <x:v>sale_assumed</x:v>
      </x:c>
      <x:c r="G5930" s="11" t="n">
        <x:v>32</x:v>
      </x:c>
      <x:c r="H5930" s="12" t="n">
        <x:v>1950000000</x:v>
      </x:c>
      <x:c r="I5930" s="12" t="n">
        <x:v>60937500</x:v>
      </x:c>
      <x:c r="J5930" s="2" t="str">
        <x:v>total</x:v>
      </x:c>
      <x:c r="K5930" s="2" t="str">
        <x:v>top_level_area</x:v>
      </x:c>
      <x:c r="L5930" s="2" t="str">
        <x:v>property_type_inferred_from_title;transaction_assumed_sale_from_dataset_context</x:v>
      </x:c>
      <x:c r="M5930" s="10" t="n">
        <x:v>0</x:v>
      </x:c>
      <x:c r="N5930" s="10" t="n">
        <x:v>0</x:v>
      </x:c>
      <x:c r="O5930" s="2" t="str">
        <x:v>Hà Nội|house</x:v>
      </x:c>
      <x:c r="P5930" s="10" t="n">
        <x:v>2</x:v>
      </x:c>
      <x:c r="Q5930" s="13" t="n">
        <x:f>IF(H5930="","",H5930/1000000000)</x:f>
        <x:v>1.95</x:v>
      </x:c>
      <x:c r="R5930" s="13" t="n">
        <x:f>IF(I5930="","",I5930/1000000)</x:f>
        <x:v>60.9375</x:v>
      </x:c>
    </x:row>
    <x:row r="5931" ht="21" customHeight="1">
      <x:c r="A5931" s="10" t="n">
        <x:v>7711</x:v>
      </x:c>
      <x:c r="B5931" s="2" t="str">
        <x:v>4cf20e032f8a95c81c1e</x:v>
      </x:c>
      <x:c r="C5931" s="2" t="str">
        <x:v>Tp Hồ Chí Minh</x:v>
      </x:c>
      <x:c r="D5931" s="2" t="str">
        <x:v>Quận Gò Vấp</x:v>
      </x:c>
      <x:c r="E5931" s="2" t="str">
        <x:v>house</x:v>
      </x:c>
      <x:c r="F5931" s="2" t="str">
        <x:v>sale_assumed</x:v>
      </x:c>
      <x:c r="G5931" s="11" t="n">
        <x:v>34</x:v>
      </x:c>
      <x:c r="H5931" s="12" t="n">
        <x:v>3200000000</x:v>
      </x:c>
      <x:c r="I5931" s="12" t="n">
        <x:v>94117647.05882353</x:v>
      </x:c>
      <x:c r="J5931" s="2" t="str">
        <x:v>total</x:v>
      </x:c>
      <x:c r="K5931" s="2" t="str">
        <x:v>top_level_area</x:v>
      </x:c>
      <x:c r="L5931" s="2" t="str">
        <x:v>property_type_inferred_from_title;transaction_assumed_sale_from_dataset_context</x:v>
      </x:c>
      <x:c r="M5931" s="10" t="n">
        <x:v>0</x:v>
      </x:c>
      <x:c r="N5931" s="10" t="n">
        <x:v>0</x:v>
      </x:c>
      <x:c r="O5931" s="2" t="str">
        <x:v>Tp Hồ Chí Minh|house</x:v>
      </x:c>
      <x:c r="P5931" s="10" t="n">
        <x:v>2</x:v>
      </x:c>
      <x:c r="Q5931" s="13" t="n">
        <x:f>IF(H5931="","",H5931/1000000000)</x:f>
        <x:v>3.2</x:v>
      </x:c>
      <x:c r="R5931" s="13" t="n">
        <x:f>IF(I5931="","",I5931/1000000)</x:f>
        <x:v>94.11764705882352</x:v>
      </x:c>
    </x:row>
    <x:row r="5932" ht="21" customHeight="1">
      <x:c r="A5932" s="10" t="n">
        <x:v>7712</x:v>
      </x:c>
      <x:c r="B5932" s="2" t="str">
        <x:v>a4690b48f866c3905dcf</x:v>
      </x:c>
      <x:c r="C5932" s="2" t="str">
        <x:v>Tp Hồ Chí Minh</x:v>
      </x:c>
      <x:c r="D5932" s="2" t="str">
        <x:v>Quận Gò Vấp</x:v>
      </x:c>
      <x:c r="E5932" s="2" t="str">
        <x:v>house</x:v>
      </x:c>
      <x:c r="F5932" s="2" t="str">
        <x:v>sale_assumed</x:v>
      </x:c>
      <x:c r="G5932" s="11" t="n">
        <x:v>48.5</x:v>
      </x:c>
      <x:c r="H5932" s="12" t="n">
        <x:v>6680000000</x:v>
      </x:c>
      <x:c r="I5932" s="12" t="n">
        <x:v>137731958.76288658</x:v>
      </x:c>
      <x:c r="J5932" s="2" t="str">
        <x:v>total</x:v>
      </x:c>
      <x:c r="K5932" s="2" t="str">
        <x:v>top_level_area</x:v>
      </x:c>
      <x:c r="L5932" s="2" t="str">
        <x:v>property_type_inferred_from_title;transaction_assumed_sale_from_dataset_context</x:v>
      </x:c>
      <x:c r="M5932" s="10" t="n">
        <x:v>0</x:v>
      </x:c>
      <x:c r="N5932" s="10" t="n">
        <x:v>0</x:v>
      </x:c>
      <x:c r="O5932" s="2" t="str">
        <x:v>Tp Hồ Chí Minh|house</x:v>
      </x:c>
      <x:c r="P5932" s="10" t="n">
        <x:v>2</x:v>
      </x:c>
      <x:c r="Q5932" s="13" t="n">
        <x:f>IF(H5932="","",H5932/1000000000)</x:f>
        <x:v>6.68</x:v>
      </x:c>
      <x:c r="R5932" s="13" t="n">
        <x:f>IF(I5932="","",I5932/1000000)</x:f>
        <x:v>137.7319587628866</x:v>
      </x:c>
    </x:row>
    <x:row r="5933" ht="21" customHeight="1">
      <x:c r="A5933" s="10" t="n">
        <x:v>7713</x:v>
      </x:c>
      <x:c r="B5933" s="2" t="str">
        <x:v>4f23f5fbcbe16364fba3</x:v>
      </x:c>
      <x:c r="C5933" s="2" t="str">
        <x:v>Bình Dương</x:v>
      </x:c>
      <x:c r="D5933" s="2" t="str">
        <x:v>Huyện Bàu Bàng</x:v>
      </x:c>
      <x:c r="E5933" s="2" t="str">
        <x:v>land</x:v>
      </x:c>
      <x:c r="F5933" s="2" t="str">
        <x:v>sale_assumed</x:v>
      </x:c>
      <x:c r="G5933" s="11" t="n">
        <x:v>530</x:v>
      </x:c>
      <x:c r="H5933" s="12" t="n">
        <x:v>550000000</x:v>
      </x:c>
      <x:c r="I5933" s="12" t="n">
        <x:v>1037735.8490566037</x:v>
      </x:c>
      <x:c r="J5933" s="2" t="str">
        <x:v>total</x:v>
      </x:c>
      <x:c r="K5933" s="2" t="str">
        <x:v>top_level_area</x:v>
      </x:c>
      <x:c r="L5933" s="2" t="str">
        <x:v>property_type_inferred_from_title;transaction_assumed_sale_from_dataset_context</x:v>
      </x:c>
      <x:c r="M5933" s="10" t="n">
        <x:v>0</x:v>
      </x:c>
      <x:c r="N5933" s="10" t="n">
        <x:v>0</x:v>
      </x:c>
      <x:c r="O5933" s="2" t="str">
        <x:v>Bình Dương|land</x:v>
      </x:c>
      <x:c r="P5933" s="10" t="n">
        <x:v>1</x:v>
      </x:c>
      <x:c r="Q5933" s="13" t="n">
        <x:f>IF(H5933="","",H5933/1000000000)</x:f>
        <x:v>0.55</x:v>
      </x:c>
      <x:c r="R5933" s="13" t="n">
        <x:f>IF(I5933="","",I5933/1000000)</x:f>
        <x:v>1.0377358490566038</x:v>
      </x:c>
    </x:row>
    <x:row r="5934" ht="21" customHeight="1">
      <x:c r="A5934" s="10" t="n">
        <x:v>7714</x:v>
      </x:c>
      <x:c r="B5934" s="2" t="str">
        <x:v>218a662ea6458b7c3769</x:v>
      </x:c>
      <x:c r="C5934" s="2" t="str">
        <x:v>Bình Dương</x:v>
      </x:c>
      <x:c r="D5934" s="2" t="str">
        <x:v>Thị xã Thuận An</x:v>
      </x:c>
      <x:c r="E5934" s="2" t="str">
        <x:v>house</x:v>
      </x:c>
      <x:c r="F5934" s="2" t="str">
        <x:v>sale</x:v>
      </x:c>
      <x:c r="G5934" s="11" t="n">
        <x:v>60</x:v>
      </x:c>
      <x:c r="H5934" s="12" t="n">
        <x:v>2380000000</x:v>
      </x:c>
      <x:c r="I5934" s="12" t="n">
        <x:v>39666666.666666664</x:v>
      </x:c>
      <x:c r="J5934" s="2" t="str">
        <x:v>total</x:v>
      </x:c>
      <x:c r="K5934" s="2" t="str">
        <x:v>top_level_area</x:v>
      </x:c>
      <x:c r="L5934" s="2" t="str">
        <x:v>property_type_inferred_from_title</x:v>
      </x:c>
      <x:c r="M5934" s="10" t="n">
        <x:v>0</x:v>
      </x:c>
      <x:c r="N5934" s="10" t="n">
        <x:v>0</x:v>
      </x:c>
      <x:c r="O5934" s="2" t="str">
        <x:v>Bình Dương|house</x:v>
      </x:c>
      <x:c r="P5934" s="10" t="n">
        <x:v>2</x:v>
      </x:c>
      <x:c r="Q5934" s="13" t="n">
        <x:f>IF(H5934="","",H5934/1000000000)</x:f>
        <x:v>2.38</x:v>
      </x:c>
      <x:c r="R5934" s="13" t="n">
        <x:f>IF(I5934="","",I5934/1000000)</x:f>
        <x:v>39.666666666666664</x:v>
      </x:c>
    </x:row>
    <x:row r="5935" ht="21" customHeight="1">
      <x:c r="A5935" s="10" t="n">
        <x:v>7715</x:v>
      </x:c>
      <x:c r="B5935" s="2" t="str">
        <x:v>74ae2cc58c4e652dc12a</x:v>
      </x:c>
      <x:c r="C5935" s="2" t="str">
        <x:v>Bình Dương</x:v>
      </x:c>
      <x:c r="D5935" s="2" t="str">
        <x:v>Thị xã Bến Cát</x:v>
      </x:c>
      <x:c r="E5935" s="2" t="str">
        <x:v>house</x:v>
      </x:c>
      <x:c r="F5935" s="2" t="str">
        <x:v>sale_assumed</x:v>
      </x:c>
      <x:c r="G5935" s="11" t="n">
        <x:v>100</x:v>
      </x:c>
      <x:c r="H5935" s="12" t="n">
        <x:v>1000000000</x:v>
      </x:c>
      <x:c r="I5935" s="12" t="n">
        <x:v>10000000</x:v>
      </x:c>
      <x:c r="J5935" s="2" t="str">
        <x:v>total</x:v>
      </x:c>
      <x:c r="K5935" s="2" t="str">
        <x:v>top_level_area</x:v>
      </x:c>
      <x:c r="L5935" s="2" t="str">
        <x:v>property_type_inferred_from_title;transaction_assumed_sale_from_dataset_context</x:v>
      </x:c>
      <x:c r="M5935" s="10" t="n">
        <x:v>0</x:v>
      </x:c>
      <x:c r="N5935" s="10" t="n">
        <x:v>0</x:v>
      </x:c>
      <x:c r="O5935" s="2" t="str">
        <x:v>Bình Dương|house</x:v>
      </x:c>
      <x:c r="P5935" s="10" t="n">
        <x:v>2</x:v>
      </x:c>
      <x:c r="Q5935" s="13" t="n">
        <x:f>IF(H5935="","",H5935/1000000000)</x:f>
        <x:v>1</x:v>
      </x:c>
      <x:c r="R5935" s="13" t="n">
        <x:f>IF(I5935="","",I5935/1000000)</x:f>
        <x:v>10</x:v>
      </x:c>
    </x:row>
    <x:row r="5936" ht="21" customHeight="1">
      <x:c r="A5936" s="10" t="n">
        <x:v>7719</x:v>
      </x:c>
      <x:c r="B5936" s="2" t="str">
        <x:v>373f0e5c22eb495cf3c4</x:v>
      </x:c>
      <x:c r="C5936" s="2" t="str">
        <x:v>Bà Rịa - Vũng Tàu</x:v>
      </x:c>
      <x:c r="D5936" s="2" t="str">
        <x:v>Huyện Đất Đỏ</x:v>
      </x:c>
      <x:c r="E5936" s="2" t="str">
        <x:v>land</x:v>
      </x:c>
      <x:c r="F5936" s="2" t="str">
        <x:v>sale_assumed</x:v>
      </x:c>
      <x:c r="G5936" s="11" t="n">
        <x:v>231</x:v>
      </x:c>
      <x:c r="H5936" s="12" t="n">
        <x:v>390000000</x:v>
      </x:c>
      <x:c r="I5936" s="12" t="n">
        <x:v>1688311.6883116884</x:v>
      </x:c>
      <x:c r="J5936" s="2" t="str">
        <x:v>total</x:v>
      </x:c>
      <x:c r="K5936" s="2" t="str">
        <x:v>top_level_area</x:v>
      </x:c>
      <x:c r="L5936" s="2" t="str">
        <x:v>property_type_inferred_from_title;transaction_assumed_sale_from_dataset_context</x:v>
      </x:c>
      <x:c r="M5936" s="10" t="n">
        <x:v>0</x:v>
      </x:c>
      <x:c r="N5936" s="10" t="n">
        <x:v>0</x:v>
      </x:c>
      <x:c r="O5936" s="2" t="str">
        <x:v>Bà Rịa - Vũng Tàu|land</x:v>
      </x:c>
      <x:c r="P5936" s="10" t="n">
        <x:v>1</x:v>
      </x:c>
      <x:c r="Q5936" s="13" t="n">
        <x:f>IF(H5936="","",H5936/1000000000)</x:f>
        <x:v>0.39</x:v>
      </x:c>
      <x:c r="R5936" s="13" t="n">
        <x:f>IF(I5936="","",I5936/1000000)</x:f>
        <x:v>1.6883116883116884</x:v>
      </x:c>
    </x:row>
    <x:row r="5937" ht="21" customHeight="1">
      <x:c r="A5937" s="10" t="n">
        <x:v>7720</x:v>
      </x:c>
      <x:c r="B5937" s="2" t="str">
        <x:v>b9b5ab14931d6150ec49</x:v>
      </x:c>
      <x:c r="C5937" s="2" t="str">
        <x:v>Long An</x:v>
      </x:c>
      <x:c r="D5937" s="2" t="str">
        <x:v>Huyện Bến Lức</x:v>
      </x:c>
      <x:c r="E5937" s="2" t="str">
        <x:v>house</x:v>
      </x:c>
      <x:c r="F5937" s="2" t="str">
        <x:v>sale</x:v>
      </x:c>
      <x:c r="G5937" s="11" t="n">
        <x:v>120</x:v>
      </x:c>
      <x:c r="H5937" s="12" t="n">
        <x:v>400000000</x:v>
      </x:c>
      <x:c r="I5937" s="12" t="n">
        <x:v>3333333.3333333335</x:v>
      </x:c>
      <x:c r="J5937" s="2" t="str">
        <x:v>total</x:v>
      </x:c>
      <x:c r="K5937" s="2" t="str">
        <x:v>top_level_area</x:v>
      </x:c>
      <x:c r="L5937" s="2" t="str">
        <x:v>property_type_inferred_from_title</x:v>
      </x:c>
      <x:c r="M5937" s="10" t="n">
        <x:v>0</x:v>
      </x:c>
      <x:c r="N5937" s="10" t="n">
        <x:v>0</x:v>
      </x:c>
      <x:c r="O5937" s="2" t="str">
        <x:v>Long An|house</x:v>
      </x:c>
      <x:c r="P5937" s="10" t="n">
        <x:v>1</x:v>
      </x:c>
      <x:c r="Q5937" s="13" t="n">
        <x:f>IF(H5937="","",H5937/1000000000)</x:f>
        <x:v>0.4</x:v>
      </x:c>
      <x:c r="R5937" s="13" t="n">
        <x:f>IF(I5937="","",I5937/1000000)</x:f>
        <x:v>3.3333333333333335</x:v>
      </x:c>
    </x:row>
    <x:row r="5938" ht="21" customHeight="1">
      <x:c r="A5938" s="10" t="n">
        <x:v>7721</x:v>
      </x:c>
      <x:c r="B5938" s="2" t="str">
        <x:v>d5c005c7202a98d896e9</x:v>
      </x:c>
      <x:c r="C5938" s="2" t="str">
        <x:v>Bình Dương</x:v>
      </x:c>
      <x:c r="D5938" s="2" t="str">
        <x:v>Thành phố Thủ Dầu Một</x:v>
      </x:c>
      <x:c r="E5938" s="2" t="str">
        <x:v>house</x:v>
      </x:c>
      <x:c r="F5938" s="2" t="str">
        <x:v>sale</x:v>
      </x:c>
      <x:c r="G5938" s="11" t="n">
        <x:v>104</x:v>
      </x:c>
      <x:c r="H5938" s="12" t="n">
        <x:v>1950000000</x:v>
      </x:c>
      <x:c r="I5938" s="12" t="n">
        <x:v>18750000</x:v>
      </x:c>
      <x:c r="J5938" s="2" t="str">
        <x:v>total</x:v>
      </x:c>
      <x:c r="K5938" s="2" t="str">
        <x:v>top_level_area</x:v>
      </x:c>
      <x:c r="L5938" s="2" t="str">
        <x:v>property_type_inferred_from_title</x:v>
      </x:c>
      <x:c r="M5938" s="10" t="n">
        <x:v>0</x:v>
      </x:c>
      <x:c r="N5938" s="10" t="n">
        <x:v>0</x:v>
      </x:c>
      <x:c r="O5938" s="2" t="str">
        <x:v>Bình Dương|house</x:v>
      </x:c>
      <x:c r="P5938" s="10" t="n">
        <x:v>2</x:v>
      </x:c>
      <x:c r="Q5938" s="13" t="n">
        <x:f>IF(H5938="","",H5938/1000000000)</x:f>
        <x:v>1.95</x:v>
      </x:c>
      <x:c r="R5938" s="13" t="n">
        <x:f>IF(I5938="","",I5938/1000000)</x:f>
        <x:v>18.75</x:v>
      </x:c>
    </x:row>
    <x:row r="5939" ht="21" customHeight="1">
      <x:c r="A5939" s="10" t="n">
        <x:v>7722</x:v>
      </x:c>
      <x:c r="B5939" s="2" t="str">
        <x:v>e0312a3818a76e0b894d</x:v>
      </x:c>
      <x:c r="C5939" s="2" t="str">
        <x:v>Tp Hồ Chí Minh</x:v>
      </x:c>
      <x:c r="D5939" s="2" t="str">
        <x:v>Huyện Nhà Bè</x:v>
      </x:c>
      <x:c r="E5939" s="2" t="str">
        <x:v>house</x:v>
      </x:c>
      <x:c r="F5939" s="2" t="str">
        <x:v>sale_assumed</x:v>
      </x:c>
      <x:c r="G5939" s="11" t="n">
        <x:v>73</x:v>
      </x:c>
      <x:c r="H5939" s="12" t="n">
        <x:v>1915000000</x:v>
      </x:c>
      <x:c r="I5939" s="12" t="n">
        <x:v>26232876.712328766</x:v>
      </x:c>
      <x:c r="J5939" s="2" t="str">
        <x:v>total</x:v>
      </x:c>
      <x:c r="K5939" s="2" t="str">
        <x:v>top_level_area</x:v>
      </x:c>
      <x:c r="L5939" s="2" t="str">
        <x:v>property_type_inferred_from_title;transaction_assumed_sale_from_dataset_context</x:v>
      </x:c>
      <x:c r="M5939" s="10" t="n">
        <x:v>0</x:v>
      </x:c>
      <x:c r="N5939" s="10" t="n">
        <x:v>0</x:v>
      </x:c>
      <x:c r="O5939" s="2" t="str">
        <x:v>Tp Hồ Chí Minh|house</x:v>
      </x:c>
      <x:c r="P5939" s="10" t="n">
        <x:v>2</x:v>
      </x:c>
      <x:c r="Q5939" s="13" t="n">
        <x:f>IF(H5939="","",H5939/1000000000)</x:f>
        <x:v>1.915</x:v>
      </x:c>
      <x:c r="R5939" s="13" t="n">
        <x:f>IF(I5939="","",I5939/1000000)</x:f>
        <x:v>26.232876712328764</x:v>
      </x:c>
    </x:row>
    <x:row r="5940" ht="21" customHeight="1">
      <x:c r="A5940" s="10" t="n">
        <x:v>7723</x:v>
      </x:c>
      <x:c r="B5940" s="2" t="str">
        <x:v>11ab55780ef0574a04ad</x:v>
      </x:c>
      <x:c r="C5940" s="2" t="str">
        <x:v>Tp Hồ Chí Minh</x:v>
      </x:c>
      <x:c r="D5940" s="2" t="str">
        <x:v>Quận 8</x:v>
      </x:c>
      <x:c r="E5940" s="2" t="str">
        <x:v>house</x:v>
      </x:c>
      <x:c r="F5940" s="2" t="str">
        <x:v>sale</x:v>
      </x:c>
      <x:c r="G5940" s="11" t="n">
        <x:v>24</x:v>
      </x:c>
      <x:c r="H5940" s="12" t="n">
        <x:v>1700000000</x:v>
      </x:c>
      <x:c r="I5940" s="12" t="n">
        <x:v>70833333.33333333</x:v>
      </x:c>
      <x:c r="J5940" s="2" t="str">
        <x:v>total</x:v>
      </x:c>
      <x:c r="K5940" s="2" t="str">
        <x:v>top_level_area</x:v>
      </x:c>
      <x:c r="L5940" s="2" t="str">
        <x:v>property_type_inferred_from_title</x:v>
      </x:c>
      <x:c r="M5940" s="10" t="n">
        <x:v>0</x:v>
      </x:c>
      <x:c r="N5940" s="10" t="n">
        <x:v>0</x:v>
      </x:c>
      <x:c r="O5940" s="2" t="str">
        <x:v>Tp Hồ Chí Minh|house</x:v>
      </x:c>
      <x:c r="P5940" s="10" t="n">
        <x:v>2</x:v>
      </x:c>
      <x:c r="Q5940" s="13" t="n">
        <x:f>IF(H5940="","",H5940/1000000000)</x:f>
        <x:v>1.7</x:v>
      </x:c>
      <x:c r="R5940" s="13" t="n">
        <x:f>IF(I5940="","",I5940/1000000)</x:f>
        <x:v>70.83333333333333</x:v>
      </x:c>
    </x:row>
    <x:row r="5941" ht="21" customHeight="1">
      <x:c r="A5941" s="10" t="n">
        <x:v>7724</x:v>
      </x:c>
      <x:c r="B5941" s="2" t="str">
        <x:v>85537a50de8320eb54a8</x:v>
      </x:c>
      <x:c r="C5941" s="2" t="str">
        <x:v>Tp Hồ Chí Minh</x:v>
      </x:c>
      <x:c r="D5941" s="2" t="str">
        <x:v>Quận 12</x:v>
      </x:c>
      <x:c r="E5941" s="2" t="str">
        <x:v>apartment</x:v>
      </x:c>
      <x:c r="F5941" s="2" t="str">
        <x:v>sale_assumed</x:v>
      </x:c>
      <x:c r="G5941" s="11" t="n">
        <x:v>85</x:v>
      </x:c>
      <x:c r="H5941" s="12" t="n">
        <x:v>2250000000</x:v>
      </x:c>
      <x:c r="I5941" s="12" t="n">
        <x:v>26470588.23529412</x:v>
      </x:c>
      <x:c r="J5941" s="2" t="str">
        <x:v>total</x:v>
      </x:c>
      <x:c r="K5941" s="2" t="str">
        <x:v>top_level_area</x:v>
      </x:c>
      <x:c r="L5941" s="2" t="str">
        <x:v>property_type_inferred_from_title;transaction_assumed_sale_from_dataset_context</x:v>
      </x:c>
      <x:c r="M5941" s="10" t="n">
        <x:v>0</x:v>
      </x:c>
      <x:c r="N5941" s="10" t="n">
        <x:v>0</x:v>
      </x:c>
      <x:c r="O5941" s="2" t="str">
        <x:v>Tp Hồ Chí Minh|apartment</x:v>
      </x:c>
      <x:c r="P5941" s="10" t="n">
        <x:v>2</x:v>
      </x:c>
      <x:c r="Q5941" s="13" t="n">
        <x:f>IF(H5941="","",H5941/1000000000)</x:f>
        <x:v>2.25</x:v>
      </x:c>
      <x:c r="R5941" s="13" t="n">
        <x:f>IF(I5941="","",I5941/1000000)</x:f>
        <x:v>26.47058823529412</x:v>
      </x:c>
    </x:row>
    <x:row r="5942" ht="21" customHeight="1">
      <x:c r="A5942" s="10" t="n">
        <x:v>7725</x:v>
      </x:c>
      <x:c r="B5942" s="2" t="str">
        <x:v>0c590136f95e105fd1f8</x:v>
      </x:c>
      <x:c r="C5942" s="2" t="str">
        <x:v>Đà Nẵng</x:v>
      </x:c>
      <x:c r="D5942" s="2" t="str">
        <x:v>Quận Thanh Khê</x:v>
      </x:c>
      <x:c r="E5942" s="2" t="str">
        <x:v>house</x:v>
      </x:c>
      <x:c r="F5942" s="2" t="str">
        <x:v>sale</x:v>
      </x:c>
      <x:c r="G5942" s="11" t="n">
        <x:v>44</x:v>
      </x:c>
      <x:c r="H5942" s="12" t="n">
        <x:v>2450000000</x:v>
      </x:c>
      <x:c r="I5942" s="12" t="n">
        <x:v>55681818.18181818</x:v>
      </x:c>
      <x:c r="J5942" s="2" t="str">
        <x:v>total</x:v>
      </x:c>
      <x:c r="K5942" s="2" t="str">
        <x:v>top_level_area</x:v>
      </x:c>
      <x:c r="L5942" s="2" t="str">
        <x:v>property_type_inferred_from_title</x:v>
      </x:c>
      <x:c r="M5942" s="10" t="n">
        <x:v>0</x:v>
      </x:c>
      <x:c r="N5942" s="10" t="n">
        <x:v>0</x:v>
      </x:c>
      <x:c r="O5942" s="2" t="str">
        <x:v>Đà Nẵng|house</x:v>
      </x:c>
      <x:c r="P5942" s="10" t="n">
        <x:v>2</x:v>
      </x:c>
      <x:c r="Q5942" s="13" t="n">
        <x:f>IF(H5942="","",H5942/1000000000)</x:f>
        <x:v>2.45</x:v>
      </x:c>
      <x:c r="R5942" s="13" t="n">
        <x:f>IF(I5942="","",I5942/1000000)</x:f>
        <x:v>55.68181818181818</x:v>
      </x:c>
    </x:row>
    <x:row r="5943" ht="21" customHeight="1">
      <x:c r="A5943" s="10" t="n">
        <x:v>7726</x:v>
      </x:c>
      <x:c r="B5943" s="2" t="str">
        <x:v>29473a7d6b54817900ce</x:v>
      </x:c>
      <x:c r="C5943" s="2" t="str">
        <x:v>Tp Hồ Chí Minh</x:v>
      </x:c>
      <x:c r="D5943" s="2" t="str">
        <x:v>Quận Bình Thạnh</x:v>
      </x:c>
      <x:c r="E5943" s="2" t="str">
        <x:v>other_unknown</x:v>
      </x:c>
      <x:c r="F5943" s="2" t="str">
        <x:v>sale_assumed</x:v>
      </x:c>
      <x:c r="G5943" s="11" t="n">
        <x:v>89</x:v>
      </x:c>
      <x:c r="H5943" s="12" t="n">
        <x:v>3200000000</x:v>
      </x:c>
      <x:c r="I5943" s="12" t="n">
        <x:v>35955056.17977528</x:v>
      </x:c>
      <x:c r="J5943" s="2" t="str">
        <x:v>total</x:v>
      </x:c>
      <x:c r="K5943" s="2" t="str">
        <x:v>top_level_area</x:v>
      </x:c>
      <x:c r="L5943" s="2" t="str">
        <x:v>property_type_inferred_from_title;transaction_assumed_sale_from_dataset_context;unknown_property_type</x:v>
      </x:c>
      <x:c r="M5943" s="10" t="n">
        <x:v>0</x:v>
      </x:c>
      <x:c r="N5943" s="10" t="n">
        <x:v>0</x:v>
      </x:c>
      <x:c r="O5943" s="2" t="str">
        <x:v>Tp Hồ Chí Minh|other_unknown</x:v>
      </x:c>
      <x:c r="P5943" s="10" t="n">
        <x:v>2</x:v>
      </x:c>
      <x:c r="Q5943" s="13" t="n">
        <x:f>IF(H5943="","",H5943/1000000000)</x:f>
        <x:v>3.2</x:v>
      </x:c>
      <x:c r="R5943" s="13" t="n">
        <x:f>IF(I5943="","",I5943/1000000)</x:f>
        <x:v>35.95505617977528</x:v>
      </x:c>
    </x:row>
    <x:row r="5944" ht="21" customHeight="1">
      <x:c r="A5944" s="10" t="n">
        <x:v>7727</x:v>
      </x:c>
      <x:c r="B5944" s="2" t="str">
        <x:v>8c0d4ef80c1fa58a9402</x:v>
      </x:c>
      <x:c r="C5944" s="2" t="str">
        <x:v>Hà Nội</x:v>
      </x:c>
      <x:c r="D5944" s="2" t="str">
        <x:v>Quận Hà Đông</x:v>
      </x:c>
      <x:c r="E5944" s="2" t="str">
        <x:v>house</x:v>
      </x:c>
      <x:c r="F5944" s="2" t="str">
        <x:v>sale</x:v>
      </x:c>
      <x:c r="G5944" s="11" t="n">
        <x:v>35</x:v>
      </x:c>
      <x:c r="H5944" s="12" t="n">
        <x:v>1800000000</x:v>
      </x:c>
      <x:c r="I5944" s="12" t="n">
        <x:v>51428571.428571425</x:v>
      </x:c>
      <x:c r="J5944" s="2" t="str">
        <x:v>total</x:v>
      </x:c>
      <x:c r="K5944" s="2" t="str">
        <x:v>top_level_area</x:v>
      </x:c>
      <x:c r="L5944" s="2" t="str">
        <x:v>property_type_inferred_from_title</x:v>
      </x:c>
      <x:c r="M5944" s="10" t="n">
        <x:v>0</x:v>
      </x:c>
      <x:c r="N5944" s="10" t="n">
        <x:v>0</x:v>
      </x:c>
      <x:c r="O5944" s="2" t="str">
        <x:v>Hà Nội|house</x:v>
      </x:c>
      <x:c r="P5944" s="10" t="n">
        <x:v>2</x:v>
      </x:c>
      <x:c r="Q5944" s="13" t="n">
        <x:f>IF(H5944="","",H5944/1000000000)</x:f>
        <x:v>1.8</x:v>
      </x:c>
      <x:c r="R5944" s="13" t="n">
        <x:f>IF(I5944="","",I5944/1000000)</x:f>
        <x:v>51.42857142857142</x:v>
      </x:c>
    </x:row>
    <x:row r="5945" ht="21" customHeight="1">
      <x:c r="A5945" s="10" t="n">
        <x:v>7728</x:v>
      </x:c>
      <x:c r="B5945" s="2" t="str">
        <x:v>464ab433485f99588943</x:v>
      </x:c>
      <x:c r="C5945" s="2" t="str">
        <x:v>Đà Nẵng</x:v>
      </x:c>
      <x:c r="D5945" s="2" t="str">
        <x:v>Quận Thanh Khê</x:v>
      </x:c>
      <x:c r="E5945" s="2" t="str">
        <x:v>house</x:v>
      </x:c>
      <x:c r="F5945" s="2" t="str">
        <x:v>sale_assumed</x:v>
      </x:c>
      <x:c r="G5945" s="11" t="n">
        <x:v>35</x:v>
      </x:c>
      <x:c r="H5945" s="12" t="n">
        <x:v>2200000000</x:v>
      </x:c>
      <x:c r="I5945" s="12" t="n">
        <x:v>62857142.85714286</x:v>
      </x:c>
      <x:c r="J5945" s="2" t="str">
        <x:v>total</x:v>
      </x:c>
      <x:c r="K5945" s="2" t="str">
        <x:v>top_level_price_embedded_area</x:v>
      </x:c>
      <x:c r="L5945" s="2" t="str">
        <x:v>area_recovered_from_price_text;property_type_inferred_from_title;transaction_assumed_sale_from_dataset_context</x:v>
      </x:c>
      <x:c r="M5945" s="10" t="n">
        <x:v>0</x:v>
      </x:c>
      <x:c r="N5945" s="10" t="n">
        <x:v>0</x:v>
      </x:c>
      <x:c r="O5945" s="2" t="str">
        <x:v>Đà Nẵng|house</x:v>
      </x:c>
      <x:c r="P5945" s="10" t="n">
        <x:v>2</x:v>
      </x:c>
      <x:c r="Q5945" s="13" t="n">
        <x:f>IF(H5945="","",H5945/1000000000)</x:f>
        <x:v>2.2</x:v>
      </x:c>
      <x:c r="R5945" s="13" t="n">
        <x:f>IF(I5945="","",I5945/1000000)</x:f>
        <x:v>62.85714285714286</x:v>
      </x:c>
    </x:row>
    <x:row r="5946" ht="21" customHeight="1">
      <x:c r="A5946" s="10" t="n">
        <x:v>7729</x:v>
      </x:c>
      <x:c r="B5946" s="2" t="str">
        <x:v>5480bc898a745f20a709</x:v>
      </x:c>
      <x:c r="C5946" s="2" t="str">
        <x:v>Cần Thơ</x:v>
      </x:c>
      <x:c r="D5946" s="2" t="str">
        <x:v>Quận Ninh Kiều</x:v>
      </x:c>
      <x:c r="E5946" s="2" t="str">
        <x:v>house</x:v>
      </x:c>
      <x:c r="F5946" s="2" t="str">
        <x:v>sale_assumed</x:v>
      </x:c>
      <x:c r="G5946" s="11" t="n">
        <x:v>40</x:v>
      </x:c>
      <x:c r="H5946" s="12" t="n">
        <x:v>1350000000</x:v>
      </x:c>
      <x:c r="I5946" s="12" t="n">
        <x:v>33750000</x:v>
      </x:c>
      <x:c r="J5946" s="2" t="str">
        <x:v>total</x:v>
      </x:c>
      <x:c r="K5946" s="2" t="str">
        <x:v>top_level_area</x:v>
      </x:c>
      <x:c r="L5946" s="2" t="str">
        <x:v>property_type_inferred_from_title;transaction_assumed_sale_from_dataset_context</x:v>
      </x:c>
      <x:c r="M5946" s="10" t="n">
        <x:v>0</x:v>
      </x:c>
      <x:c r="N5946" s="10" t="n">
        <x:v>0</x:v>
      </x:c>
      <x:c r="O5946" s="2" t="str">
        <x:v>Cần Thơ|house</x:v>
      </x:c>
      <x:c r="P5946" s="10" t="n">
        <x:v>2</x:v>
      </x:c>
      <x:c r="Q5946" s="13" t="n">
        <x:f>IF(H5946="","",H5946/1000000000)</x:f>
        <x:v>1.35</x:v>
      </x:c>
      <x:c r="R5946" s="13" t="n">
        <x:f>IF(I5946="","",I5946/1000000)</x:f>
        <x:v>33.75</x:v>
      </x:c>
    </x:row>
    <x:row r="5947" ht="21" customHeight="1">
      <x:c r="A5947" s="10" t="n">
        <x:v>7730</x:v>
      </x:c>
      <x:c r="B5947" s="2" t="str">
        <x:v>64f52ce031fde3e104cb</x:v>
      </x:c>
      <x:c r="C5947" s="2" t="str">
        <x:v>Cần Thơ</x:v>
      </x:c>
      <x:c r="D5947" s="2" t="str">
        <x:v>Quận Ninh Kiều</x:v>
      </x:c>
      <x:c r="E5947" s="2" t="str">
        <x:v>house</x:v>
      </x:c>
      <x:c r="F5947" s="2" t="str">
        <x:v>sale_assumed</x:v>
      </x:c>
      <x:c r="G5947" s="11" t="n">
        <x:v>62</x:v>
      </x:c>
      <x:c r="H5947" s="12" t="n">
        <x:v>1900000000</x:v>
      </x:c>
      <x:c r="I5947" s="12" t="n">
        <x:v>30645161.29032258</x:v>
      </x:c>
      <x:c r="J5947" s="2" t="str">
        <x:v>total</x:v>
      </x:c>
      <x:c r="K5947" s="2" t="str">
        <x:v>top_level_area</x:v>
      </x:c>
      <x:c r="L5947" s="2" t="str">
        <x:v>property_type_inferred_from_title;transaction_assumed_sale_from_dataset_context</x:v>
      </x:c>
      <x:c r="M5947" s="10" t="n">
        <x:v>0</x:v>
      </x:c>
      <x:c r="N5947" s="10" t="n">
        <x:v>0</x:v>
      </x:c>
      <x:c r="O5947" s="2" t="str">
        <x:v>Cần Thơ|house</x:v>
      </x:c>
      <x:c r="P5947" s="10" t="n">
        <x:v>2</x:v>
      </x:c>
      <x:c r="Q5947" s="13" t="n">
        <x:f>IF(H5947="","",H5947/1000000000)</x:f>
        <x:v>1.9</x:v>
      </x:c>
      <x:c r="R5947" s="13" t="n">
        <x:f>IF(I5947="","",I5947/1000000)</x:f>
        <x:v>30.64516129032258</x:v>
      </x:c>
    </x:row>
    <x:row r="5948" ht="21" customHeight="1">
      <x:c r="A5948" s="10" t="n">
        <x:v>7731</x:v>
      </x:c>
      <x:c r="B5948" s="2" t="str">
        <x:v>12d3a3c56b1fd37d56c6</x:v>
      </x:c>
      <x:c r="C5948" s="2" t="str">
        <x:v>Tp Hồ Chí Minh</x:v>
      </x:c>
      <x:c r="D5948" s="2" t="str">
        <x:v>Quận 4</x:v>
      </x:c>
      <x:c r="E5948" s="2" t="str">
        <x:v>house</x:v>
      </x:c>
      <x:c r="F5948" s="2" t="str">
        <x:v>sale</x:v>
      </x:c>
      <x:c r="G5948" s="11" t="n">
        <x:v>11</x:v>
      </x:c>
      <x:c r="H5948" s="12" t="n">
        <x:v>1150000000</x:v>
      </x:c>
      <x:c r="I5948" s="12" t="n">
        <x:v>104545454.54545455</x:v>
      </x:c>
      <x:c r="J5948" s="2" t="str">
        <x:v>total</x:v>
      </x:c>
      <x:c r="K5948" s="2" t="str">
        <x:v>top_level_area</x:v>
      </x:c>
      <x:c r="L5948" s="2" t="str">
        <x:v>property_type_inferred_from_title</x:v>
      </x:c>
      <x:c r="M5948" s="10" t="n">
        <x:v>0</x:v>
      </x:c>
      <x:c r="N5948" s="10" t="n">
        <x:v>0</x:v>
      </x:c>
      <x:c r="O5948" s="2" t="str">
        <x:v>Tp Hồ Chí Minh|house</x:v>
      </x:c>
      <x:c r="P5948" s="10" t="n">
        <x:v>2</x:v>
      </x:c>
      <x:c r="Q5948" s="13" t="n">
        <x:f>IF(H5948="","",H5948/1000000000)</x:f>
        <x:v>1.15</x:v>
      </x:c>
      <x:c r="R5948" s="13" t="n">
        <x:f>IF(I5948="","",I5948/1000000)</x:f>
        <x:v>104.54545454545455</x:v>
      </x:c>
    </x:row>
    <x:row r="5949" ht="21" customHeight="1">
      <x:c r="A5949" s="10" t="n">
        <x:v>7732</x:v>
      </x:c>
      <x:c r="B5949" s="2" t="str">
        <x:v>b8008b05475e93eae41a</x:v>
      </x:c>
      <x:c r="C5949" s="2" t="str">
        <x:v>Tp Hồ Chí Minh</x:v>
      </x:c>
      <x:c r="D5949" s="2" t="str">
        <x:v>Quận Bình Thạnh</x:v>
      </x:c>
      <x:c r="E5949" s="2" t="str">
        <x:v>house</x:v>
      </x:c>
      <x:c r="F5949" s="2" t="str">
        <x:v>sale_assumed</x:v>
      </x:c>
      <x:c r="G5949" s="11" t="n">
        <x:v>54</x:v>
      </x:c>
      <x:c r="H5949" s="12" t="n">
        <x:v>6100000000</x:v>
      </x:c>
      <x:c r="I5949" s="12" t="n">
        <x:v>112962962.96296297</x:v>
      </x:c>
      <x:c r="J5949" s="2" t="str">
        <x:v>total</x:v>
      </x:c>
      <x:c r="K5949" s="2" t="str">
        <x:v>top_level_area</x:v>
      </x:c>
      <x:c r="L5949" s="2" t="str">
        <x:v>property_type_inferred_from_title;transaction_assumed_sale_from_dataset_context</x:v>
      </x:c>
      <x:c r="M5949" s="10" t="n">
        <x:v>0</x:v>
      </x:c>
      <x:c r="N5949" s="10" t="n">
        <x:v>0</x:v>
      </x:c>
      <x:c r="O5949" s="2" t="str">
        <x:v>Tp Hồ Chí Minh|house</x:v>
      </x:c>
      <x:c r="P5949" s="10" t="n">
        <x:v>2</x:v>
      </x:c>
      <x:c r="Q5949" s="13" t="n">
        <x:f>IF(H5949="","",H5949/1000000000)</x:f>
        <x:v>6.1</x:v>
      </x:c>
      <x:c r="R5949" s="13" t="n">
        <x:f>IF(I5949="","",I5949/1000000)</x:f>
        <x:v>112.96296296296298</x:v>
      </x:c>
    </x:row>
    <x:row r="5950" ht="21" customHeight="1">
      <x:c r="A5950" s="10" t="n">
        <x:v>7733</x:v>
      </x:c>
      <x:c r="B5950" s="2" t="str">
        <x:v>f6d50a8cbb3cf9c5c044</x:v>
      </x:c>
      <x:c r="C5950" s="2" t="str">
        <x:v>Cần Thơ</x:v>
      </x:c>
      <x:c r="D5950" s="2" t="str">
        <x:v>Quận Cái Răng</x:v>
      </x:c>
      <x:c r="E5950" s="2" t="str">
        <x:v>land</x:v>
      </x:c>
      <x:c r="F5950" s="2" t="str">
        <x:v>sale</x:v>
      </x:c>
      <x:c r="G5950" s="11" t="n">
        <x:v>90</x:v>
      </x:c>
      <x:c r="H5950" s="12" t="n">
        <x:v>2450000000</x:v>
      </x:c>
      <x:c r="I5950" s="12" t="n">
        <x:v>27222222.222222224</x:v>
      </x:c>
      <x:c r="J5950" s="2" t="str">
        <x:v>total</x:v>
      </x:c>
      <x:c r="K5950" s="2" t="str">
        <x:v>top_level_area</x:v>
      </x:c>
      <x:c r="L5950" s="2" t="str">
        <x:v>property_type_inferred_from_title</x:v>
      </x:c>
      <x:c r="M5950" s="10" t="n">
        <x:v>0</x:v>
      </x:c>
      <x:c r="N5950" s="10" t="n">
        <x:v>0</x:v>
      </x:c>
      <x:c r="O5950" s="2" t="str">
        <x:v>Cần Thơ|land</x:v>
      </x:c>
      <x:c r="P5950" s="10" t="n">
        <x:v>2</x:v>
      </x:c>
      <x:c r="Q5950" s="13" t="n">
        <x:f>IF(H5950="","",H5950/1000000000)</x:f>
        <x:v>2.45</x:v>
      </x:c>
      <x:c r="R5950" s="13" t="n">
        <x:f>IF(I5950="","",I5950/1000000)</x:f>
        <x:v>27.222222222222225</x:v>
      </x:c>
    </x:row>
    <x:row r="5951" ht="21" customHeight="1">
      <x:c r="A5951" s="10" t="n">
        <x:v>7734</x:v>
      </x:c>
      <x:c r="B5951" s="2" t="str">
        <x:v>e792bdea3afed6728f5d</x:v>
      </x:c>
      <x:c r="C5951" s="2" t="str">
        <x:v>Tp Hồ Chí Minh</x:v>
      </x:c>
      <x:c r="D5951" s="2" t="str">
        <x:v>Quận Tân Bình</x:v>
      </x:c>
      <x:c r="E5951" s="2" t="str">
        <x:v>house</x:v>
      </x:c>
      <x:c r="F5951" s="2" t="str">
        <x:v>sale_assumed</x:v>
      </x:c>
      <x:c r="G5951" s="11" t="n">
        <x:v>48</x:v>
      </x:c>
      <x:c r="H5951" s="12" t="n">
        <x:v>5450000000</x:v>
      </x:c>
      <x:c r="I5951" s="12" t="n">
        <x:v>113541666.66666667</x:v>
      </x:c>
      <x:c r="J5951" s="2" t="str">
        <x:v>total</x:v>
      </x:c>
      <x:c r="K5951" s="2" t="str">
        <x:v>top_level_area</x:v>
      </x:c>
      <x:c r="L5951" s="2" t="str">
        <x:v>property_type_inferred_from_title;transaction_assumed_sale_from_dataset_context</x:v>
      </x:c>
      <x:c r="M5951" s="10" t="n">
        <x:v>0</x:v>
      </x:c>
      <x:c r="N5951" s="10" t="n">
        <x:v>0</x:v>
      </x:c>
      <x:c r="O5951" s="2" t="str">
        <x:v>Tp Hồ Chí Minh|house</x:v>
      </x:c>
      <x:c r="P5951" s="10" t="n">
        <x:v>2</x:v>
      </x:c>
      <x:c r="Q5951" s="13" t="n">
        <x:f>IF(H5951="","",H5951/1000000000)</x:f>
        <x:v>5.45</x:v>
      </x:c>
      <x:c r="R5951" s="13" t="n">
        <x:f>IF(I5951="","",I5951/1000000)</x:f>
        <x:v>113.54166666666667</x:v>
      </x:c>
    </x:row>
    <x:row r="5952" ht="21" customHeight="1">
      <x:c r="A5952" s="10" t="n">
        <x:v>7736</x:v>
      </x:c>
      <x:c r="B5952" s="2" t="str">
        <x:v>fd65b9f8b421cdc42354</x:v>
      </x:c>
      <x:c r="C5952" s="2" t="str">
        <x:v>Tp Hồ Chí Minh</x:v>
      </x:c>
      <x:c r="D5952" s="2" t="str">
        <x:v>Quận 7</x:v>
      </x:c>
      <x:c r="E5952" s="2" t="str">
        <x:v>apartment</x:v>
      </x:c>
      <x:c r="F5952" s="2" t="str">
        <x:v>sale_assumed</x:v>
      </x:c>
      <x:c r="G5952" s="11" t="n">
        <x:v>90</x:v>
      </x:c>
      <x:c r="H5952" s="12" t="n">
        <x:v>2350000000</x:v>
      </x:c>
      <x:c r="I5952" s="12" t="n">
        <x:v>26111111.111111112</x:v>
      </x:c>
      <x:c r="J5952" s="2" t="str">
        <x:v>total</x:v>
      </x:c>
      <x:c r="K5952" s="2" t="str">
        <x:v>top_level_area</x:v>
      </x:c>
      <x:c r="L5952" s="2" t="str">
        <x:v>property_type_inferred_from_title;transaction_assumed_sale_from_dataset_context</x:v>
      </x:c>
      <x:c r="M5952" s="10" t="n">
        <x:v>0</x:v>
      </x:c>
      <x:c r="N5952" s="10" t="n">
        <x:v>0</x:v>
      </x:c>
      <x:c r="O5952" s="2" t="str">
        <x:v>Tp Hồ Chí Minh|apartment</x:v>
      </x:c>
      <x:c r="P5952" s="10" t="n">
        <x:v>2</x:v>
      </x:c>
      <x:c r="Q5952" s="13" t="n">
        <x:f>IF(H5952="","",H5952/1000000000)</x:f>
        <x:v>2.35</x:v>
      </x:c>
      <x:c r="R5952" s="13" t="n">
        <x:f>IF(I5952="","",I5952/1000000)</x:f>
        <x:v>26.11111111111111</x:v>
      </x:c>
    </x:row>
    <x:row r="5953" ht="21" customHeight="1">
      <x:c r="A5953" s="10" t="n">
        <x:v>7737</x:v>
      </x:c>
      <x:c r="B5953" s="2" t="str">
        <x:v>d4e4ee9f827d8241be5b</x:v>
      </x:c>
      <x:c r="C5953" s="2" t="str">
        <x:v>Tp Hồ Chí Minh</x:v>
      </x:c>
      <x:c r="D5953" s="2" t="str">
        <x:v>Quận Bình Tân</x:v>
      </x:c>
      <x:c r="E5953" s="2" t="str">
        <x:v>house</x:v>
      </x:c>
      <x:c r="F5953" s="2" t="str">
        <x:v>sale</x:v>
      </x:c>
      <x:c r="G5953" s="11" t="n">
        <x:v>40</x:v>
      </x:c>
      <x:c r="H5953" s="12" t="n">
        <x:v>2250000000</x:v>
      </x:c>
      <x:c r="I5953" s="12" t="n">
        <x:v>56250000</x:v>
      </x:c>
      <x:c r="J5953" s="2" t="str">
        <x:v>total</x:v>
      </x:c>
      <x:c r="K5953" s="2" t="str">
        <x:v>top_level_area</x:v>
      </x:c>
      <x:c r="L5953" s="2" t="str">
        <x:v>property_type_inferred_from_title</x:v>
      </x:c>
      <x:c r="M5953" s="10" t="n">
        <x:v>0</x:v>
      </x:c>
      <x:c r="N5953" s="10" t="n">
        <x:v>0</x:v>
      </x:c>
      <x:c r="O5953" s="2" t="str">
        <x:v>Tp Hồ Chí Minh|house</x:v>
      </x:c>
      <x:c r="P5953" s="10" t="n">
        <x:v>2</x:v>
      </x:c>
      <x:c r="Q5953" s="13" t="n">
        <x:f>IF(H5953="","",H5953/1000000000)</x:f>
        <x:v>2.25</x:v>
      </x:c>
      <x:c r="R5953" s="13" t="n">
        <x:f>IF(I5953="","",I5953/1000000)</x:f>
        <x:v>56.25</x:v>
      </x:c>
    </x:row>
    <x:row r="5954" ht="21" customHeight="1">
      <x:c r="A5954" s="10" t="n">
        <x:v>7738</x:v>
      </x:c>
      <x:c r="B5954" s="2" t="str">
        <x:v>0b0181f7f9c55af4fe2c</x:v>
      </x:c>
      <x:c r="C5954" s="2" t="str">
        <x:v>Tp Hồ Chí Minh</x:v>
      </x:c>
      <x:c r="D5954" s="2" t="str">
        <x:v>Quận 12</x:v>
      </x:c>
      <x:c r="E5954" s="2" t="str">
        <x:v>apartment</x:v>
      </x:c>
      <x:c r="F5954" s="2" t="str">
        <x:v>sale_assumed</x:v>
      </x:c>
      <x:c r="G5954" s="11" t="n">
        <x:v>50</x:v>
      </x:c>
      <x:c r="H5954" s="12" t="n">
        <x:v>1850000000</x:v>
      </x:c>
      <x:c r="I5954" s="12" t="n">
        <x:v>37000000</x:v>
      </x:c>
      <x:c r="J5954" s="2" t="str">
        <x:v>total</x:v>
      </x:c>
      <x:c r="K5954" s="2" t="str">
        <x:v>top_level_area</x:v>
      </x:c>
      <x:c r="L5954" s="2" t="str">
        <x:v>property_type_inferred_from_title;transaction_assumed_sale_from_dataset_context</x:v>
      </x:c>
      <x:c r="M5954" s="10" t="n">
        <x:v>0</x:v>
      </x:c>
      <x:c r="N5954" s="10" t="n">
        <x:v>0</x:v>
      </x:c>
      <x:c r="O5954" s="2" t="str">
        <x:v>Tp Hồ Chí Minh|apartment</x:v>
      </x:c>
      <x:c r="P5954" s="10" t="n">
        <x:v>2</x:v>
      </x:c>
      <x:c r="Q5954" s="13" t="n">
        <x:f>IF(H5954="","",H5954/1000000000)</x:f>
        <x:v>1.85</x:v>
      </x:c>
      <x:c r="R5954" s="13" t="n">
        <x:f>IF(I5954="","",I5954/1000000)</x:f>
        <x:v>37</x:v>
      </x:c>
    </x:row>
    <x:row r="5955" ht="21" customHeight="1">
      <x:c r="A5955" s="10" t="n">
        <x:v>7741</x:v>
      </x:c>
      <x:c r="B5955" s="2" t="str">
        <x:v>fc93b1b29450d93a203b</x:v>
      </x:c>
      <x:c r="C5955" s="2" t="str">
        <x:v>Hà Nội</x:v>
      </x:c>
      <x:c r="D5955" s="2" t="str">
        <x:v>Huyện Đan Phượng</x:v>
      </x:c>
      <x:c r="E5955" s="2" t="str">
        <x:v>apartment</x:v>
      </x:c>
      <x:c r="F5955" s="2" t="str">
        <x:v>sale</x:v>
      </x:c>
      <x:c r="G5955" s="11" t="n">
        <x:v>57.4</x:v>
      </x:c>
      <x:c r="H5955" s="12" t="n">
        <x:v>1195000000</x:v>
      </x:c>
      <x:c r="I5955" s="12" t="n">
        <x:v>20818815.331010453</x:v>
      </x:c>
      <x:c r="J5955" s="2" t="str">
        <x:v>total</x:v>
      </x:c>
      <x:c r="K5955" s="2" t="str">
        <x:v>top_level_area</x:v>
      </x:c>
      <x:c r="L5955" s="2" t="str">
        <x:v>property_type_inferred_from_title</x:v>
      </x:c>
      <x:c r="M5955" s="10" t="n">
        <x:v>0</x:v>
      </x:c>
      <x:c r="N5955" s="10" t="n">
        <x:v>0</x:v>
      </x:c>
      <x:c r="O5955" s="2" t="str">
        <x:v>Hà Nội|apartment</x:v>
      </x:c>
      <x:c r="P5955" s="10" t="n">
        <x:v>2</x:v>
      </x:c>
      <x:c r="Q5955" s="13" t="n">
        <x:f>IF(H5955="","",H5955/1000000000)</x:f>
        <x:v>1.195</x:v>
      </x:c>
      <x:c r="R5955" s="13" t="n">
        <x:f>IF(I5955="","",I5955/1000000)</x:f>
        <x:v>20.818815331010452</x:v>
      </x:c>
    </x:row>
    <x:row r="5956" ht="21" customHeight="1">
      <x:c r="A5956" s="10" t="n">
        <x:v>7742</x:v>
      </x:c>
      <x:c r="B5956" s="2" t="str">
        <x:v>ec92667ee5d1d501dd93</x:v>
      </x:c>
      <x:c r="C5956" s="2" t="str">
        <x:v>Hà Nội</x:v>
      </x:c>
      <x:c r="D5956" s="2" t="str">
        <x:v>Quận Cầu Giấy</x:v>
      </x:c>
      <x:c r="E5956" s="2" t="str">
        <x:v>house</x:v>
      </x:c>
      <x:c r="F5956" s="2" t="str">
        <x:v>sale</x:v>
      </x:c>
      <x:c r="G5956" s="11" t="n">
        <x:v>46</x:v>
      </x:c>
      <x:c r="H5956" s="12" t="n">
        <x:v>5200000000</x:v>
      </x:c>
      <x:c r="I5956" s="12" t="n">
        <x:v>113043478.26086956</x:v>
      </x:c>
      <x:c r="J5956" s="2" t="str">
        <x:v>total</x:v>
      </x:c>
      <x:c r="K5956" s="2" t="str">
        <x:v>top_level_area</x:v>
      </x:c>
      <x:c r="L5956" s="2" t="str">
        <x:v>property_type_inferred_from_title</x:v>
      </x:c>
      <x:c r="M5956" s="10" t="n">
        <x:v>0</x:v>
      </x:c>
      <x:c r="N5956" s="10" t="n">
        <x:v>0</x:v>
      </x:c>
      <x:c r="O5956" s="2" t="str">
        <x:v>Hà Nội|house</x:v>
      </x:c>
      <x:c r="P5956" s="10" t="n">
        <x:v>2</x:v>
      </x:c>
      <x:c r="Q5956" s="13" t="n">
        <x:f>IF(H5956="","",H5956/1000000000)</x:f>
        <x:v>5.2</x:v>
      </x:c>
      <x:c r="R5956" s="13" t="n">
        <x:f>IF(I5956="","",I5956/1000000)</x:f>
        <x:v>113.04347826086956</x:v>
      </x:c>
    </x:row>
    <x:row r="5957" ht="21" customHeight="1">
      <x:c r="A5957" s="10" t="n">
        <x:v>7743</x:v>
      </x:c>
      <x:c r="B5957" s="2" t="str">
        <x:v>25334772d099c89dacee</x:v>
      </x:c>
      <x:c r="C5957" s="2" t="str">
        <x:v>Tp Hồ Chí Minh</x:v>
      </x:c>
      <x:c r="D5957" s="2" t="str">
        <x:v>Quận Bình Thạnh</x:v>
      </x:c>
      <x:c r="E5957" s="2" t="str">
        <x:v>apartment</x:v>
      </x:c>
      <x:c r="F5957" s="2" t="str">
        <x:v>sale_assumed</x:v>
      </x:c>
      <x:c r="G5957" s="11" t="n">
        <x:v>38</x:v>
      </x:c>
      <x:c r="H5957" s="12" t="n">
        <x:v>1500000000</x:v>
      </x:c>
      <x:c r="I5957" s="12" t="n">
        <x:v>39473684.21052632</x:v>
      </x:c>
      <x:c r="J5957" s="2" t="str">
        <x:v>total</x:v>
      </x:c>
      <x:c r="K5957" s="2" t="str">
        <x:v>top_level_area</x:v>
      </x:c>
      <x:c r="L5957" s="2" t="str">
        <x:v>property_type_inferred_from_title;transaction_assumed_sale_from_dataset_context</x:v>
      </x:c>
      <x:c r="M5957" s="10" t="n">
        <x:v>0</x:v>
      </x:c>
      <x:c r="N5957" s="10" t="n">
        <x:v>0</x:v>
      </x:c>
      <x:c r="O5957" s="2" t="str">
        <x:v>Tp Hồ Chí Minh|apartment</x:v>
      </x:c>
      <x:c r="P5957" s="10" t="n">
        <x:v>2</x:v>
      </x:c>
      <x:c r="Q5957" s="13" t="n">
        <x:f>IF(H5957="","",H5957/1000000000)</x:f>
        <x:v>1.5</x:v>
      </x:c>
      <x:c r="R5957" s="13" t="n">
        <x:f>IF(I5957="","",I5957/1000000)</x:f>
        <x:v>39.473684210526315</x:v>
      </x:c>
    </x:row>
    <x:row r="5958" ht="21" customHeight="1">
      <x:c r="A5958" s="10" t="n">
        <x:v>7744</x:v>
      </x:c>
      <x:c r="B5958" s="2" t="str">
        <x:v>6ca5a63e969a809b36b5</x:v>
      </x:c>
      <x:c r="C5958" s="2" t="str">
        <x:v>Đồng Nai</x:v>
      </x:c>
      <x:c r="D5958" s="2" t="str">
        <x:v>Thành phố Biên Hòa</x:v>
      </x:c>
      <x:c r="E5958" s="2" t="str">
        <x:v>apartment</x:v>
      </x:c>
      <x:c r="F5958" s="2" t="str">
        <x:v>sale_assumed</x:v>
      </x:c>
      <x:c r="G5958" s="11" t="n">
        <x:v>38</x:v>
      </x:c>
      <x:c r="H5958" s="12" t="n">
        <x:v>650000000</x:v>
      </x:c>
      <x:c r="I5958" s="12" t="n">
        <x:v>17105263.157894738</x:v>
      </x:c>
      <x:c r="J5958" s="2" t="str">
        <x:v>total</x:v>
      </x:c>
      <x:c r="K5958" s="2" t="str">
        <x:v>top_level_area</x:v>
      </x:c>
      <x:c r="L5958" s="2" t="str">
        <x:v>property_type_inferred_from_title;transaction_assumed_sale_from_dataset_context</x:v>
      </x:c>
      <x:c r="M5958" s="10" t="n">
        <x:v>0</x:v>
      </x:c>
      <x:c r="N5958" s="10" t="n">
        <x:v>0</x:v>
      </x:c>
      <x:c r="O5958" s="2" t="str">
        <x:v>apartment</x:v>
      </x:c>
      <x:c r="P5958" s="10" t="n">
        <x:v>2</x:v>
      </x:c>
      <x:c r="Q5958" s="13" t="n">
        <x:f>IF(H5958="","",H5958/1000000000)</x:f>
        <x:v>0.65</x:v>
      </x:c>
      <x:c r="R5958" s="13" t="n">
        <x:f>IF(I5958="","",I5958/1000000)</x:f>
        <x:v>17.105263157894736</x:v>
      </x:c>
    </x:row>
    <x:row r="5959" ht="21" customHeight="1">
      <x:c r="A5959" s="10" t="n">
        <x:v>7745</x:v>
      </x:c>
      <x:c r="B5959" s="2" t="str">
        <x:v>33847354ddb703d2f904</x:v>
      </x:c>
      <x:c r="C5959" s="2" t="str">
        <x:v>Tp Hồ Chí Minh</x:v>
      </x:c>
      <x:c r="D5959" s="2" t="str">
        <x:v>Huyện Nhà Bè</x:v>
      </x:c>
      <x:c r="E5959" s="2" t="str">
        <x:v>other_unknown</x:v>
      </x:c>
      <x:c r="F5959" s="2" t="str">
        <x:v>sale_assumed</x:v>
      </x:c>
      <x:c r="G5959" s="11" t="n">
        <x:v>167</x:v>
      </x:c>
      <x:c r="H5959" s="12" t="n">
        <x:v>6197000000</x:v>
      </x:c>
      <x:c r="I5959" s="12" t="n">
        <x:v>37107784.431137726</x:v>
      </x:c>
      <x:c r="J5959" s="2" t="str">
        <x:v>total</x:v>
      </x:c>
      <x:c r="K5959" s="2" t="str">
        <x:v>top_level_area</x:v>
      </x:c>
      <x:c r="L5959" s="2" t="str">
        <x:v>property_type_inferred_from_title;transaction_assumed_sale_from_dataset_context;unknown_property_type</x:v>
      </x:c>
      <x:c r="M5959" s="10" t="n">
        <x:v>0</x:v>
      </x:c>
      <x:c r="N5959" s="10" t="n">
        <x:v>0</x:v>
      </x:c>
      <x:c r="O5959" s="2" t="str">
        <x:v>Tp Hồ Chí Minh|other_unknown</x:v>
      </x:c>
      <x:c r="P5959" s="10" t="n">
        <x:v>2</x:v>
      </x:c>
      <x:c r="Q5959" s="13" t="n">
        <x:f>IF(H5959="","",H5959/1000000000)</x:f>
        <x:v>6.197</x:v>
      </x:c>
      <x:c r="R5959" s="13" t="n">
        <x:f>IF(I5959="","",I5959/1000000)</x:f>
        <x:v>37.10778443113772</x:v>
      </x:c>
    </x:row>
    <x:row r="5960" ht="21" customHeight="1">
      <x:c r="A5960" s="10" t="n">
        <x:v>7746</x:v>
      </x:c>
      <x:c r="B5960" s="2" t="str">
        <x:v>aea06ddd0d83260ef7e2</x:v>
      </x:c>
      <x:c r="C5960" s="2" t="str">
        <x:v>Hà Nội</x:v>
      </x:c>
      <x:c r="D5960" s="2" t="str">
        <x:v>Quận Hà Đông</x:v>
      </x:c>
      <x:c r="E5960" s="2" t="str">
        <x:v>house</x:v>
      </x:c>
      <x:c r="F5960" s="2" t="str">
        <x:v>sale_assumed</x:v>
      </x:c>
      <x:c r="G5960" s="11" t="n">
        <x:v>40</x:v>
      </x:c>
      <x:c r="H5960" s="12" t="n">
        <x:v>1450000000</x:v>
      </x:c>
      <x:c r="I5960" s="12" t="n">
        <x:v>36250000</x:v>
      </x:c>
      <x:c r="J5960" s="2" t="str">
        <x:v>total</x:v>
      </x:c>
      <x:c r="K5960" s="2" t="str">
        <x:v>top_level_area</x:v>
      </x:c>
      <x:c r="L5960" s="2" t="str">
        <x:v>property_type_inferred_from_title;transaction_assumed_sale_from_dataset_context</x:v>
      </x:c>
      <x:c r="M5960" s="10" t="n">
        <x:v>0</x:v>
      </x:c>
      <x:c r="N5960" s="10" t="n">
        <x:v>0</x:v>
      </x:c>
      <x:c r="O5960" s="2" t="str">
        <x:v>Hà Nội|house</x:v>
      </x:c>
      <x:c r="P5960" s="10" t="n">
        <x:v>2</x:v>
      </x:c>
      <x:c r="Q5960" s="13" t="n">
        <x:f>IF(H5960="","",H5960/1000000000)</x:f>
        <x:v>1.45</x:v>
      </x:c>
      <x:c r="R5960" s="13" t="n">
        <x:f>IF(I5960="","",I5960/1000000)</x:f>
        <x:v>36.25</x:v>
      </x:c>
    </x:row>
    <x:row r="5961" ht="21" customHeight="1">
      <x:c r="A5961" s="10" t="n">
        <x:v>7747</x:v>
      </x:c>
      <x:c r="B5961" s="2" t="str">
        <x:v>0ee09952ea75d8c96f15</x:v>
      </x:c>
      <x:c r="C5961" s="2" t="str">
        <x:v>Hà Nội</x:v>
      </x:c>
      <x:c r="D5961" s="2" t="str">
        <x:v>Quận Ba Đình</x:v>
      </x:c>
      <x:c r="E5961" s="2" t="str">
        <x:v>house</x:v>
      </x:c>
      <x:c r="F5961" s="2" t="str">
        <x:v>sale_assumed</x:v>
      </x:c>
      <x:c r="G5961" s="11" t="n">
        <x:v>23</x:v>
      </x:c>
      <x:c r="H5961" s="12" t="n">
        <x:v>2550000000</x:v>
      </x:c>
      <x:c r="I5961" s="12" t="n">
        <x:v>110869565.2173913</x:v>
      </x:c>
      <x:c r="J5961" s="2" t="str">
        <x:v>total</x:v>
      </x:c>
      <x:c r="K5961" s="2" t="str">
        <x:v>top_level_area</x:v>
      </x:c>
      <x:c r="L5961" s="2" t="str">
        <x:v>property_type_inferred_from_title;transaction_assumed_sale_from_dataset_context</x:v>
      </x:c>
      <x:c r="M5961" s="10" t="n">
        <x:v>0</x:v>
      </x:c>
      <x:c r="N5961" s="10" t="n">
        <x:v>0</x:v>
      </x:c>
      <x:c r="O5961" s="2" t="str">
        <x:v>Hà Nội|house</x:v>
      </x:c>
      <x:c r="P5961" s="10" t="n">
        <x:v>2</x:v>
      </x:c>
      <x:c r="Q5961" s="13" t="n">
        <x:f>IF(H5961="","",H5961/1000000000)</x:f>
        <x:v>2.55</x:v>
      </x:c>
      <x:c r="R5961" s="13" t="n">
        <x:f>IF(I5961="","",I5961/1000000)</x:f>
        <x:v>110.8695652173913</x:v>
      </x:c>
    </x:row>
    <x:row r="5962" ht="21" customHeight="1">
      <x:c r="A5962" s="10" t="n">
        <x:v>7748</x:v>
      </x:c>
      <x:c r="B5962" s="2" t="str">
        <x:v>159ef5bcb1e9534c2eda</x:v>
      </x:c>
      <x:c r="C5962" s="2" t="str">
        <x:v>Bình Dương</x:v>
      </x:c>
      <x:c r="D5962" s="2" t="str">
        <x:v>Thị xã Bến Cát</x:v>
      </x:c>
      <x:c r="E5962" s="2" t="str">
        <x:v>land</x:v>
      </x:c>
      <x:c r="F5962" s="2" t="str">
        <x:v>sale_assumed</x:v>
      </x:c>
      <x:c r="G5962" s="11" t="n">
        <x:v>80</x:v>
      </x:c>
      <x:c r="H5962" s="12" t="n">
        <x:v>780000000</x:v>
      </x:c>
      <x:c r="I5962" s="12" t="n">
        <x:v>9750000</x:v>
      </x:c>
      <x:c r="J5962" s="2" t="str">
        <x:v>total</x:v>
      </x:c>
      <x:c r="K5962" s="2" t="str">
        <x:v>top_level_area</x:v>
      </x:c>
      <x:c r="L5962" s="2" t="str">
        <x:v>property_type_inferred_from_title;transaction_assumed_sale_from_dataset_context</x:v>
      </x:c>
      <x:c r="M5962" s="10" t="n">
        <x:v>0</x:v>
      </x:c>
      <x:c r="N5962" s="10" t="n">
        <x:v>0</x:v>
      </x:c>
      <x:c r="O5962" s="2" t="str">
        <x:v>Bình Dương|land</x:v>
      </x:c>
      <x:c r="P5962" s="10" t="n">
        <x:v>2</x:v>
      </x:c>
      <x:c r="Q5962" s="13" t="n">
        <x:f>IF(H5962="","",H5962/1000000000)</x:f>
        <x:v>0.78</x:v>
      </x:c>
      <x:c r="R5962" s="13" t="n">
        <x:f>IF(I5962="","",I5962/1000000)</x:f>
        <x:v>9.75</x:v>
      </x:c>
    </x:row>
    <x:row r="5963" ht="21" customHeight="1">
      <x:c r="A5963" s="10" t="n">
        <x:v>7749</x:v>
      </x:c>
      <x:c r="B5963" s="2" t="str">
        <x:v>d28872fe914bddd0624c</x:v>
      </x:c>
      <x:c r="C5963" s="2" t="str">
        <x:v>Tp Hồ Chí Minh</x:v>
      </x:c>
      <x:c r="D5963" s="2" t="str">
        <x:v>Quận 7</x:v>
      </x:c>
      <x:c r="E5963" s="2" t="str">
        <x:v>house</x:v>
      </x:c>
      <x:c r="F5963" s="2" t="str">
        <x:v>sale</x:v>
      </x:c>
      <x:c r="G5963" s="11" t="n">
        <x:v>48</x:v>
      </x:c>
      <x:c r="H5963" s="12" t="n">
        <x:v>3850000000</x:v>
      </x:c>
      <x:c r="I5963" s="12" t="n">
        <x:v>80208333.33333333</x:v>
      </x:c>
      <x:c r="J5963" s="2" t="str">
        <x:v>total</x:v>
      </x:c>
      <x:c r="K5963" s="2" t="str">
        <x:v>top_level_area</x:v>
      </x:c>
      <x:c r="L5963" s="2" t="str">
        <x:v>property_type_inferred_from_title</x:v>
      </x:c>
      <x:c r="M5963" s="10" t="n">
        <x:v>0</x:v>
      </x:c>
      <x:c r="N5963" s="10" t="n">
        <x:v>0</x:v>
      </x:c>
      <x:c r="O5963" s="2" t="str">
        <x:v>Tp Hồ Chí Minh|house</x:v>
      </x:c>
      <x:c r="P5963" s="10" t="n">
        <x:v>2</x:v>
      </x:c>
      <x:c r="Q5963" s="13" t="n">
        <x:f>IF(H5963="","",H5963/1000000000)</x:f>
        <x:v>3.85</x:v>
      </x:c>
      <x:c r="R5963" s="13" t="n">
        <x:f>IF(I5963="","",I5963/1000000)</x:f>
        <x:v>80.20833333333333</x:v>
      </x:c>
    </x:row>
    <x:row r="5964" ht="21" customHeight="1">
      <x:c r="A5964" s="10" t="n">
        <x:v>7750</x:v>
      </x:c>
      <x:c r="B5964" s="2" t="str">
        <x:v>a61fc5bd8cfe163ada73</x:v>
      </x:c>
      <x:c r="C5964" s="2" t="str">
        <x:v>Kiên Giang</x:v>
      </x:c>
      <x:c r="D5964" s="2" t="str">
        <x:v>Huyện Phú Quốc</x:v>
      </x:c>
      <x:c r="E5964" s="2" t="str">
        <x:v>land</x:v>
      </x:c>
      <x:c r="F5964" s="2" t="str">
        <x:v>sale</x:v>
      </x:c>
      <x:c r="G5964" s="11" t="n">
        <x:v>164</x:v>
      </x:c>
      <x:c r="H5964" s="12" t="n">
        <x:v>800000000</x:v>
      </x:c>
      <x:c r="I5964" s="12" t="n">
        <x:v>4878048.780487805</x:v>
      </x:c>
      <x:c r="J5964" s="2" t="str">
        <x:v>total</x:v>
      </x:c>
      <x:c r="K5964" s="2" t="str">
        <x:v>top_level_area</x:v>
      </x:c>
      <x:c r="L5964" s="2" t="str">
        <x:v>property_type_inferred_from_title</x:v>
      </x:c>
      <x:c r="M5964" s="10" t="n">
        <x:v>0</x:v>
      </x:c>
      <x:c r="N5964" s="10" t="n">
        <x:v>0</x:v>
      </x:c>
      <x:c r="O5964" s="2" t="str">
        <x:v>land</x:v>
      </x:c>
      <x:c r="P5964" s="10" t="n">
        <x:v>1</x:v>
      </x:c>
      <x:c r="Q5964" s="13" t="n">
        <x:f>IF(H5964="","",H5964/1000000000)</x:f>
        <x:v>0.8</x:v>
      </x:c>
      <x:c r="R5964" s="13" t="n">
        <x:f>IF(I5964="","",I5964/1000000)</x:f>
        <x:v>4.878048780487805</x:v>
      </x:c>
    </x:row>
    <x:row r="5965" ht="21" customHeight="1">
      <x:c r="A5965" s="10" t="n">
        <x:v>7751</x:v>
      </x:c>
      <x:c r="B5965" s="2" t="str">
        <x:v>26bb6a7c9e397fcd47bf</x:v>
      </x:c>
      <x:c r="C5965" s="2" t="str">
        <x:v>Bình Dương</x:v>
      </x:c>
      <x:c r="D5965" s="2" t="str">
        <x:v>Thị xã Dĩ An</x:v>
      </x:c>
      <x:c r="E5965" s="2" t="str">
        <x:v>apartment</x:v>
      </x:c>
      <x:c r="F5965" s="2" t="str">
        <x:v>sale_assumed</x:v>
      </x:c>
      <x:c r="G5965" s="11" t="n">
        <x:v>75</x:v>
      </x:c>
      <x:c r="H5965" s="12" t="n">
        <x:v>2000000000</x:v>
      </x:c>
      <x:c r="I5965" s="12" t="n">
        <x:v>26666666.666666668</x:v>
      </x:c>
      <x:c r="J5965" s="2" t="str">
        <x:v>total</x:v>
      </x:c>
      <x:c r="K5965" s="2" t="str">
        <x:v>top_level_area</x:v>
      </x:c>
      <x:c r="L5965" s="2" t="str">
        <x:v>property_type_inferred_from_title;transaction_assumed_sale_from_dataset_context</x:v>
      </x:c>
      <x:c r="M5965" s="10" t="n">
        <x:v>0</x:v>
      </x:c>
      <x:c r="N5965" s="10" t="n">
        <x:v>0</x:v>
      </x:c>
      <x:c r="O5965" s="2" t="str">
        <x:v>Bình Dương|apartment</x:v>
      </x:c>
      <x:c r="P5965" s="10" t="n">
        <x:v>2</x:v>
      </x:c>
      <x:c r="Q5965" s="13" t="n">
        <x:f>IF(H5965="","",H5965/1000000000)</x:f>
        <x:v>2</x:v>
      </x:c>
      <x:c r="R5965" s="13" t="n">
        <x:f>IF(I5965="","",I5965/1000000)</x:f>
        <x:v>26.666666666666668</x:v>
      </x:c>
    </x:row>
    <x:row r="5966" ht="21" customHeight="1">
      <x:c r="A5966" s="10" t="n">
        <x:v>7752</x:v>
      </x:c>
      <x:c r="B5966" s="2" t="str">
        <x:v>f2bc25d9d86499446ff2</x:v>
      </x:c>
      <x:c r="C5966" s="2" t="str">
        <x:v>Tp Hồ Chí Minh</x:v>
      </x:c>
      <x:c r="D5966" s="2" t="str">
        <x:v>Quận 2</x:v>
      </x:c>
      <x:c r="E5966" s="2" t="str">
        <x:v>other_unknown</x:v>
      </x:c>
      <x:c r="F5966" s="2" t="str">
        <x:v>sale_assumed</x:v>
      </x:c>
      <x:c r="G5966" s="11" t="n">
        <x:v>98</x:v>
      </x:c>
      <x:c r="H5966" s="12" t="n">
        <x:v>3850000000</x:v>
      </x:c>
      <x:c r="I5966" s="12" t="n">
        <x:v>39285714.28571428</x:v>
      </x:c>
      <x:c r="J5966" s="2" t="str">
        <x:v>total</x:v>
      </x:c>
      <x:c r="K5966" s="2" t="str">
        <x:v>top_level_area</x:v>
      </x:c>
      <x:c r="L5966" s="2" t="str">
        <x:v>property_type_inferred_from_title;transaction_assumed_sale_from_dataset_context;unknown_property_type</x:v>
      </x:c>
      <x:c r="M5966" s="10" t="n">
        <x:v>0</x:v>
      </x:c>
      <x:c r="N5966" s="10" t="n">
        <x:v>0</x:v>
      </x:c>
      <x:c r="O5966" s="2" t="str">
        <x:v>Tp Hồ Chí Minh|other_unknown</x:v>
      </x:c>
      <x:c r="P5966" s="10" t="n">
        <x:v>2</x:v>
      </x:c>
      <x:c r="Q5966" s="13" t="n">
        <x:f>IF(H5966="","",H5966/1000000000)</x:f>
        <x:v>3.85</x:v>
      </x:c>
      <x:c r="R5966" s="13" t="n">
        <x:f>IF(I5966="","",I5966/1000000)</x:f>
        <x:v>39.285714285714285</x:v>
      </x:c>
    </x:row>
    <x:row r="5967" ht="21" customHeight="1">
      <x:c r="A5967" s="10" t="n">
        <x:v>7753</x:v>
      </x:c>
      <x:c r="B5967" s="2" t="str">
        <x:v>9f113a71906a45bd6dee</x:v>
      </x:c>
      <x:c r="C5967" s="2" t="str">
        <x:v>Tp Hồ Chí Minh</x:v>
      </x:c>
      <x:c r="D5967" s="2" t="str">
        <x:v>Quận Thủ Đức</x:v>
      </x:c>
      <x:c r="E5967" s="2" t="str">
        <x:v>other_unknown</x:v>
      </x:c>
      <x:c r="F5967" s="2" t="str">
        <x:v>sale</x:v>
      </x:c>
      <x:c r="G5967" s="11" t="n">
        <x:v>480</x:v>
      </x:c>
      <x:c r="H5967" s="12" t="n">
        <x:v>28000000000</x:v>
      </x:c>
      <x:c r="I5967" s="12" t="n">
        <x:v>58333333.333333336</x:v>
      </x:c>
      <x:c r="J5967" s="2" t="str">
        <x:v>total</x:v>
      </x:c>
      <x:c r="K5967" s="2" t="str">
        <x:v>top_level_price_embedded_area</x:v>
      </x:c>
      <x:c r="L5967" s="2" t="str">
        <x:v>area_recovered_from_price_text;property_type_inferred_from_title;unknown_property_type</x:v>
      </x:c>
      <x:c r="M5967" s="10" t="n">
        <x:v>0</x:v>
      </x:c>
      <x:c r="N5967" s="10" t="n">
        <x:v>0</x:v>
      </x:c>
      <x:c r="O5967" s="2" t="str">
        <x:v>Tp Hồ Chí Minh|other_unknown</x:v>
      </x:c>
      <x:c r="P5967" s="10" t="n">
        <x:v>2</x:v>
      </x:c>
      <x:c r="Q5967" s="13" t="n">
        <x:f>IF(H5967="","",H5967/1000000000)</x:f>
        <x:v>28</x:v>
      </x:c>
      <x:c r="R5967" s="13" t="n">
        <x:f>IF(I5967="","",I5967/1000000)</x:f>
        <x:v>58.333333333333336</x:v>
      </x:c>
    </x:row>
    <x:row r="5968" ht="21" customHeight="1">
      <x:c r="A5968" s="10" t="n">
        <x:v>7754</x:v>
      </x:c>
      <x:c r="B5968" s="2" t="str">
        <x:v>c484790f095e4baeab0e</x:v>
      </x:c>
      <x:c r="C5968" s="2" t="str">
        <x:v>Tp Hồ Chí Minh</x:v>
      </x:c>
      <x:c r="D5968" s="2" t="str">
        <x:v>Quận 9</x:v>
      </x:c>
      <x:c r="E5968" s="2" t="str">
        <x:v>land</x:v>
      </x:c>
      <x:c r="F5968" s="2" t="str">
        <x:v>sale_assumed</x:v>
      </x:c>
      <x:c r="G5968" s="11" t="n">
        <x:v>51</x:v>
      </x:c>
      <x:c r="H5968" s="12" t="n">
        <x:v>2550000000</x:v>
      </x:c>
      <x:c r="I5968" s="12" t="n">
        <x:v>50000000</x:v>
      </x:c>
      <x:c r="J5968" s="2" t="str">
        <x:v>total</x:v>
      </x:c>
      <x:c r="K5968" s="2" t="str">
        <x:v>top_level_area</x:v>
      </x:c>
      <x:c r="L5968" s="2" t="str">
        <x:v>property_type_inferred_from_title;transaction_assumed_sale_from_dataset_context</x:v>
      </x:c>
      <x:c r="M5968" s="10" t="n">
        <x:v>0</x:v>
      </x:c>
      <x:c r="N5968" s="10" t="n">
        <x:v>0</x:v>
      </x:c>
      <x:c r="O5968" s="2" t="str">
        <x:v>Tp Hồ Chí Minh|land</x:v>
      </x:c>
      <x:c r="P5968" s="10" t="n">
        <x:v>2</x:v>
      </x:c>
      <x:c r="Q5968" s="13" t="n">
        <x:f>IF(H5968="","",H5968/1000000000)</x:f>
        <x:v>2.55</x:v>
      </x:c>
      <x:c r="R5968" s="13" t="n">
        <x:f>IF(I5968="","",I5968/1000000)</x:f>
        <x:v>50</x:v>
      </x:c>
    </x:row>
    <x:row r="5969" ht="21" customHeight="1">
      <x:c r="A5969" s="10" t="n">
        <x:v>7755</x:v>
      </x:c>
      <x:c r="B5969" s="2" t="str">
        <x:v>f12eb0e3c3c2df3daad4</x:v>
      </x:c>
      <x:c r="C5969" s="2" t="str">
        <x:v>Tp Hồ Chí Minh</x:v>
      </x:c>
      <x:c r="D5969" s="2" t="str">
        <x:v>Quận Bình Tân</x:v>
      </x:c>
      <x:c r="E5969" s="2" t="str">
        <x:v>house</x:v>
      </x:c>
      <x:c r="F5969" s="2" t="str">
        <x:v>sale</x:v>
      </x:c>
      <x:c r="G5969" s="11" t="n">
        <x:v>40</x:v>
      </x:c>
      <x:c r="H5969" s="12" t="n">
        <x:v>980000000</x:v>
      </x:c>
      <x:c r="I5969" s="12" t="n">
        <x:v>24500000</x:v>
      </x:c>
      <x:c r="J5969" s="2" t="str">
        <x:v>total</x:v>
      </x:c>
      <x:c r="K5969" s="2" t="str">
        <x:v>top_level_area</x:v>
      </x:c>
      <x:c r="L5969" s="2" t="str">
        <x:v>property_type_inferred_from_title</x:v>
      </x:c>
      <x:c r="M5969" s="10" t="n">
        <x:v>0</x:v>
      </x:c>
      <x:c r="N5969" s="10" t="n">
        <x:v>0</x:v>
      </x:c>
      <x:c r="O5969" s="2" t="str">
        <x:v>Tp Hồ Chí Minh|house</x:v>
      </x:c>
      <x:c r="P5969" s="10" t="n">
        <x:v>2</x:v>
      </x:c>
      <x:c r="Q5969" s="13" t="n">
        <x:f>IF(H5969="","",H5969/1000000000)</x:f>
        <x:v>0.98</x:v>
      </x:c>
      <x:c r="R5969" s="13" t="n">
        <x:f>IF(I5969="","",I5969/1000000)</x:f>
        <x:v>24.5</x:v>
      </x:c>
    </x:row>
    <x:row r="5970" ht="21" customHeight="1">
      <x:c r="A5970" s="10" t="n">
        <x:v>7756</x:v>
      </x:c>
      <x:c r="B5970" s="2" t="str">
        <x:v>ded618de1270ddb7fe08</x:v>
      </x:c>
      <x:c r="C5970" s="2" t="str">
        <x:v>Tiền Giang</x:v>
      </x:c>
      <x:c r="D5970" s="2" t="str">
        <x:v>Thành phố Mỹ Tho</x:v>
      </x:c>
      <x:c r="E5970" s="2" t="str">
        <x:v>house</x:v>
      </x:c>
      <x:c r="F5970" s="2" t="str">
        <x:v>sale</x:v>
      </x:c>
      <x:c r="G5970" s="11" t="n">
        <x:v>44</x:v>
      </x:c>
      <x:c r="H5970" s="12" t="n">
        <x:v>1500000000</x:v>
      </x:c>
      <x:c r="I5970" s="12" t="n">
        <x:v>34090909.09090909</x:v>
      </x:c>
      <x:c r="J5970" s="2" t="str">
        <x:v>total</x:v>
      </x:c>
      <x:c r="K5970" s="2" t="str">
        <x:v>top_level_area</x:v>
      </x:c>
      <x:c r="L5970" s="2" t="str">
        <x:v>property_type_inferred_from_title</x:v>
      </x:c>
      <x:c r="M5970" s="10" t="n">
        <x:v>0</x:v>
      </x:c>
      <x:c r="N5970" s="10" t="n">
        <x:v>0</x:v>
      </x:c>
      <x:c r="O5970" s="2" t="str">
        <x:v>house</x:v>
      </x:c>
      <x:c r="P5970" s="10" t="n">
        <x:v>2</x:v>
      </x:c>
      <x:c r="Q5970" s="13" t="n">
        <x:f>IF(H5970="","",H5970/1000000000)</x:f>
        <x:v>1.5</x:v>
      </x:c>
      <x:c r="R5970" s="13" t="n">
        <x:f>IF(I5970="","",I5970/1000000)</x:f>
        <x:v>34.09090909090909</x:v>
      </x:c>
    </x:row>
    <x:row r="5971" ht="21" customHeight="1">
      <x:c r="A5971" s="10" t="n">
        <x:v>7757</x:v>
      </x:c>
      <x:c r="B5971" s="2" t="str">
        <x:v>9b1cfc7915d4b3373a42</x:v>
      </x:c>
      <x:c r="C5971" s="2" t="str">
        <x:v>Tp Hồ Chí Minh</x:v>
      </x:c>
      <x:c r="D5971" s="2" t="str">
        <x:v>Quận Gò Vấp</x:v>
      </x:c>
      <x:c r="E5971" s="2" t="str">
        <x:v>house</x:v>
      </x:c>
      <x:c r="F5971" s="2" t="str">
        <x:v>sale</x:v>
      </x:c>
      <x:c r="G5971" s="11" t="n">
        <x:v>31</x:v>
      </x:c>
      <x:c r="H5971" s="12" t="n">
        <x:v>2750000000</x:v>
      </x:c>
      <x:c r="I5971" s="12" t="n">
        <x:v>88709677.41935484</x:v>
      </x:c>
      <x:c r="J5971" s="2" t="str">
        <x:v>total</x:v>
      </x:c>
      <x:c r="K5971" s="2" t="str">
        <x:v>top_level_price_embedded_area</x:v>
      </x:c>
      <x:c r="L5971" s="2" t="str">
        <x:v>area_recovered_from_price_text;property_type_inferred_from_title</x:v>
      </x:c>
      <x:c r="M5971" s="10" t="n">
        <x:v>0</x:v>
      </x:c>
      <x:c r="N5971" s="10" t="n">
        <x:v>0</x:v>
      </x:c>
      <x:c r="O5971" s="2" t="str">
        <x:v>Tp Hồ Chí Minh|house</x:v>
      </x:c>
      <x:c r="P5971" s="10" t="n">
        <x:v>2</x:v>
      </x:c>
      <x:c r="Q5971" s="13" t="n">
        <x:f>IF(H5971="","",H5971/1000000000)</x:f>
        <x:v>2.75</x:v>
      </x:c>
      <x:c r="R5971" s="13" t="n">
        <x:f>IF(I5971="","",I5971/1000000)</x:f>
        <x:v>88.70967741935485</x:v>
      </x:c>
    </x:row>
    <x:row r="5972" ht="21" customHeight="1">
      <x:c r="A5972" s="10" t="n">
        <x:v>7758</x:v>
      </x:c>
      <x:c r="B5972" s="2" t="str">
        <x:v>425bdff28fcd4b71d19c</x:v>
      </x:c>
      <x:c r="C5972" s="2" t="str">
        <x:v>Hà Nội</x:v>
      </x:c>
      <x:c r="D5972" s="2" t="str">
        <x:v>Huyện Hoài Đức</x:v>
      </x:c>
      <x:c r="E5972" s="2" t="str">
        <x:v>house</x:v>
      </x:c>
      <x:c r="F5972" s="2" t="str">
        <x:v>sale</x:v>
      </x:c>
      <x:c r="G5972" s="11" t="n">
        <x:v>21</x:v>
      </x:c>
      <x:c r="H5972" s="12" t="n">
        <x:v>550000000</x:v>
      </x:c>
      <x:c r="I5972" s="12" t="n">
        <x:v>26190476.19047619</x:v>
      </x:c>
      <x:c r="J5972" s="2" t="str">
        <x:v>total</x:v>
      </x:c>
      <x:c r="K5972" s="2" t="str">
        <x:v>top_level_area</x:v>
      </x:c>
      <x:c r="L5972" s="2" t="str">
        <x:v>property_type_inferred_from_title</x:v>
      </x:c>
      <x:c r="M5972" s="10" t="n">
        <x:v>0</x:v>
      </x:c>
      <x:c r="N5972" s="10" t="n">
        <x:v>0</x:v>
      </x:c>
      <x:c r="O5972" s="2" t="str">
        <x:v>Hà Nội|house</x:v>
      </x:c>
      <x:c r="P5972" s="10" t="n">
        <x:v>2</x:v>
      </x:c>
      <x:c r="Q5972" s="13" t="n">
        <x:f>IF(H5972="","",H5972/1000000000)</x:f>
        <x:v>0.55</x:v>
      </x:c>
      <x:c r="R5972" s="13" t="n">
        <x:f>IF(I5972="","",I5972/1000000)</x:f>
        <x:v>26.19047619047619</x:v>
      </x:c>
    </x:row>
    <x:row r="5973" ht="21" customHeight="1">
      <x:c r="A5973" s="10" t="n">
        <x:v>7759</x:v>
      </x:c>
      <x:c r="B5973" s="2" t="str">
        <x:v>356646808d07bd97e770</x:v>
      </x:c>
      <x:c r="C5973" s="2" t="str">
        <x:v>Hà Nội</x:v>
      </x:c>
      <x:c r="D5973" s="2" t="str">
        <x:v>Quận Hà Đông</x:v>
      </x:c>
      <x:c r="E5973" s="2" t="str">
        <x:v>house</x:v>
      </x:c>
      <x:c r="F5973" s="2" t="str">
        <x:v>sale</x:v>
      </x:c>
      <x:c r="G5973" s="11" t="n">
        <x:v>40</x:v>
      </x:c>
      <x:c r="H5973" s="12" t="n">
        <x:v>1630000000</x:v>
      </x:c>
      <x:c r="I5973" s="12" t="n">
        <x:v>40750000</x:v>
      </x:c>
      <x:c r="J5973" s="2" t="str">
        <x:v>total</x:v>
      </x:c>
      <x:c r="K5973" s="2" t="str">
        <x:v>top_level_area</x:v>
      </x:c>
      <x:c r="L5973" s="2" t="str">
        <x:v>property_type_inferred_from_title</x:v>
      </x:c>
      <x:c r="M5973" s="10" t="n">
        <x:v>0</x:v>
      </x:c>
      <x:c r="N5973" s="10" t="n">
        <x:v>0</x:v>
      </x:c>
      <x:c r="O5973" s="2" t="str">
        <x:v>Hà Nội|house</x:v>
      </x:c>
      <x:c r="P5973" s="10" t="n">
        <x:v>2</x:v>
      </x:c>
      <x:c r="Q5973" s="13" t="n">
        <x:f>IF(H5973="","",H5973/1000000000)</x:f>
        <x:v>1.63</x:v>
      </x:c>
      <x:c r="R5973" s="13" t="n">
        <x:f>IF(I5973="","",I5973/1000000)</x:f>
        <x:v>40.75</x:v>
      </x:c>
    </x:row>
    <x:row r="5974" ht="21" customHeight="1">
      <x:c r="A5974" s="10" t="n">
        <x:v>7763</x:v>
      </x:c>
      <x:c r="B5974" s="2" t="str">
        <x:v>98d24f3e72f993eadf50</x:v>
      </x:c>
      <x:c r="C5974" s="2" t="str">
        <x:v>Vĩnh Long</x:v>
      </x:c>
      <x:c r="D5974" s="2" t="str">
        <x:v>Thị xã Bình Minh</x:v>
      </x:c>
      <x:c r="E5974" s="2" t="str">
        <x:v>land</x:v>
      </x:c>
      <x:c r="F5974" s="2" t="str">
        <x:v>sale_assumed</x:v>
      </x:c>
      <x:c r="G5974" s="11" t="n">
        <x:v>100</x:v>
      </x:c>
      <x:c r="H5974" s="12" t="n">
        <x:v>851000000</x:v>
      </x:c>
      <x:c r="I5974" s="12" t="n">
        <x:v>8510000</x:v>
      </x:c>
      <x:c r="J5974" s="2" t="str">
        <x:v>total</x:v>
      </x:c>
      <x:c r="K5974" s="2" t="str">
        <x:v>top_level_area</x:v>
      </x:c>
      <x:c r="L5974" s="2" t="str">
        <x:v>property_type_inferred_from_title;transaction_assumed_sale_from_dataset_context</x:v>
      </x:c>
      <x:c r="M5974" s="10" t="n">
        <x:v>0</x:v>
      </x:c>
      <x:c r="N5974" s="10" t="n">
        <x:v>0</x:v>
      </x:c>
      <x:c r="O5974" s="2" t="str">
        <x:v>land</x:v>
      </x:c>
      <x:c r="P5974" s="10" t="n">
        <x:v>2</x:v>
      </x:c>
      <x:c r="Q5974" s="13" t="n">
        <x:f>IF(H5974="","",H5974/1000000000)</x:f>
        <x:v>0.851</x:v>
      </x:c>
      <x:c r="R5974" s="13" t="n">
        <x:f>IF(I5974="","",I5974/1000000)</x:f>
        <x:v>8.51</x:v>
      </x:c>
    </x:row>
    <x:row r="5975" ht="21" customHeight="1">
      <x:c r="A5975" s="10" t="n">
        <x:v>7764</x:v>
      </x:c>
      <x:c r="B5975" s="2" t="str">
        <x:v>098d7bf027d9f823d774</x:v>
      </x:c>
      <x:c r="C5975" s="2" t="str">
        <x:v>Hà Nội</x:v>
      </x:c>
      <x:c r="D5975" s="2" t="str">
        <x:v>Quận Hai Bà Trưng</x:v>
      </x:c>
      <x:c r="E5975" s="2" t="str">
        <x:v>apartment</x:v>
      </x:c>
      <x:c r="F5975" s="2" t="str">
        <x:v>sale_assumed</x:v>
      </x:c>
      <x:c r="G5975" s="11" t="n">
        <x:v>76</x:v>
      </x:c>
      <x:c r="H5975" s="12" t="n">
        <x:v>2900000000</x:v>
      </x:c>
      <x:c r="I5975" s="12" t="n">
        <x:v>38157894.7368421</x:v>
      </x:c>
      <x:c r="J5975" s="2" t="str">
        <x:v>total</x:v>
      </x:c>
      <x:c r="K5975" s="2" t="str">
        <x:v>top_level_area</x:v>
      </x:c>
      <x:c r="L5975" s="2" t="str">
        <x:v>property_type_inferred_from_title;transaction_assumed_sale_from_dataset_context</x:v>
      </x:c>
      <x:c r="M5975" s="10" t="n">
        <x:v>0</x:v>
      </x:c>
      <x:c r="N5975" s="10" t="n">
        <x:v>0</x:v>
      </x:c>
      <x:c r="O5975" s="2" t="str">
        <x:v>Hà Nội|apartment</x:v>
      </x:c>
      <x:c r="P5975" s="10" t="n">
        <x:v>2</x:v>
      </x:c>
      <x:c r="Q5975" s="13" t="n">
        <x:f>IF(H5975="","",H5975/1000000000)</x:f>
        <x:v>2.9</x:v>
      </x:c>
      <x:c r="R5975" s="13" t="n">
        <x:f>IF(I5975="","",I5975/1000000)</x:f>
        <x:v>38.1578947368421</x:v>
      </x:c>
    </x:row>
    <x:row r="5976" ht="21" customHeight="1">
      <x:c r="A5976" s="10" t="n">
        <x:v>7766</x:v>
      </x:c>
      <x:c r="B5976" s="2" t="str">
        <x:v>8fbf727e039d8de56527</x:v>
      </x:c>
      <x:c r="C5976" s="2" t="str">
        <x:v>Tp Hồ Chí Minh</x:v>
      </x:c>
      <x:c r="D5976" s="2" t="str">
        <x:v>Quận Thủ Đức</x:v>
      </x:c>
      <x:c r="E5976" s="2" t="str">
        <x:v>land</x:v>
      </x:c>
      <x:c r="F5976" s="2" t="str">
        <x:v>sale</x:v>
      </x:c>
      <x:c r="G5976" s="11" t="n">
        <x:v>80</x:v>
      </x:c>
      <x:c r="H5976" s="12" t="n">
        <x:v>830000000</x:v>
      </x:c>
      <x:c r="I5976" s="12" t="n">
        <x:v>10375000</x:v>
      </x:c>
      <x:c r="J5976" s="2" t="str">
        <x:v>total</x:v>
      </x:c>
      <x:c r="K5976" s="2" t="str">
        <x:v>top_level_area</x:v>
      </x:c>
      <x:c r="L5976" s="2" t="str">
        <x:v>property_type_inferred_from_title</x:v>
      </x:c>
      <x:c r="M5976" s="10" t="n">
        <x:v>0</x:v>
      </x:c>
      <x:c r="N5976" s="10" t="n">
        <x:v>0</x:v>
      </x:c>
      <x:c r="O5976" s="2" t="str">
        <x:v>Tp Hồ Chí Minh|land</x:v>
      </x:c>
      <x:c r="P5976" s="10" t="n">
        <x:v>2</x:v>
      </x:c>
      <x:c r="Q5976" s="13" t="n">
        <x:f>IF(H5976="","",H5976/1000000000)</x:f>
        <x:v>0.83</x:v>
      </x:c>
      <x:c r="R5976" s="13" t="n">
        <x:f>IF(I5976="","",I5976/1000000)</x:f>
        <x:v>10.375</x:v>
      </x:c>
    </x:row>
    <x:row r="5977" ht="21" customHeight="1">
      <x:c r="A5977" s="10" t="n">
        <x:v>7767</x:v>
      </x:c>
      <x:c r="B5977" s="2" t="str">
        <x:v>c67621964882053f0042</x:v>
      </x:c>
      <x:c r="C5977" s="2" t="str">
        <x:v>Tp Hồ Chí Minh</x:v>
      </x:c>
      <x:c r="D5977" s="2" t="str">
        <x:v>Quận Gò Vấp</x:v>
      </x:c>
      <x:c r="E5977" s="2" t="str">
        <x:v>house</x:v>
      </x:c>
      <x:c r="F5977" s="2" t="str">
        <x:v>sale_assumed</x:v>
      </x:c>
      <x:c r="G5977" s="11" t="n">
        <x:v>51</x:v>
      </x:c>
      <x:c r="H5977" s="12" t="n">
        <x:v>3950000000</x:v>
      </x:c>
      <x:c r="I5977" s="12" t="n">
        <x:v>77450980.39215687</x:v>
      </x:c>
      <x:c r="J5977" s="2" t="str">
        <x:v>total</x:v>
      </x:c>
      <x:c r="K5977" s="2" t="str">
        <x:v>top_level_area</x:v>
      </x:c>
      <x:c r="L5977" s="2" t="str">
        <x:v>property_type_inferred_from_title;transaction_assumed_sale_from_dataset_context</x:v>
      </x:c>
      <x:c r="M5977" s="10" t="n">
        <x:v>0</x:v>
      </x:c>
      <x:c r="N5977" s="10" t="n">
        <x:v>0</x:v>
      </x:c>
      <x:c r="O5977" s="2" t="str">
        <x:v>Tp Hồ Chí Minh|house</x:v>
      </x:c>
      <x:c r="P5977" s="10" t="n">
        <x:v>2</x:v>
      </x:c>
      <x:c r="Q5977" s="13" t="n">
        <x:f>IF(H5977="","",H5977/1000000000)</x:f>
        <x:v>3.95</x:v>
      </x:c>
      <x:c r="R5977" s="13" t="n">
        <x:f>IF(I5977="","",I5977/1000000)</x:f>
        <x:v>77.45098039215686</x:v>
      </x:c>
    </x:row>
    <x:row r="5978" ht="21" customHeight="1">
      <x:c r="A5978" s="10" t="n">
        <x:v>7768</x:v>
      </x:c>
      <x:c r="B5978" s="2" t="str">
        <x:v>ba8e0e7e840d4c3d8593</x:v>
      </x:c>
      <x:c r="C5978" s="2" t="str">
        <x:v>Bình Phước</x:v>
      </x:c>
      <x:c r="D5978" s="2" t="str">
        <x:v>Huyện Đồng Phú</x:v>
      </x:c>
      <x:c r="E5978" s="2" t="str">
        <x:v>land</x:v>
      </x:c>
      <x:c r="F5978" s="2" t="str">
        <x:v>sale_assumed</x:v>
      </x:c>
      <x:c r="G5978" s="11" t="n">
        <x:v>135</x:v>
      </x:c>
      <x:c r="H5978" s="12" t="n">
        <x:v>410000000</x:v>
      </x:c>
      <x:c r="I5978" s="12" t="n">
        <x:v>3037037.037037037</x:v>
      </x:c>
      <x:c r="J5978" s="2" t="str">
        <x:v>total</x:v>
      </x:c>
      <x:c r="K5978" s="2" t="str">
        <x:v>top_level_area</x:v>
      </x:c>
      <x:c r="L5978" s="2" t="str">
        <x:v>property_type_inferred_from_title;transaction_assumed_sale_from_dataset_context</x:v>
      </x:c>
      <x:c r="M5978" s="10" t="n">
        <x:v>0</x:v>
      </x:c>
      <x:c r="N5978" s="10" t="n">
        <x:v>0</x:v>
      </x:c>
      <x:c r="O5978" s="2" t="str">
        <x:v>Bình Phước|land</x:v>
      </x:c>
      <x:c r="P5978" s="10" t="n">
        <x:v>1</x:v>
      </x:c>
      <x:c r="Q5978" s="13" t="n">
        <x:f>IF(H5978="","",H5978/1000000000)</x:f>
        <x:v>0.41</x:v>
      </x:c>
      <x:c r="R5978" s="13" t="n">
        <x:f>IF(I5978="","",I5978/1000000)</x:f>
        <x:v>3.0370370370370368</x:v>
      </x:c>
    </x:row>
    <x:row r="5979" ht="21" customHeight="1">
      <x:c r="A5979" s="10" t="n">
        <x:v>7769</x:v>
      </x:c>
      <x:c r="B5979" s="2" t="str">
        <x:v>dde035a6812325348579</x:v>
      </x:c>
      <x:c r="C5979" s="2" t="str">
        <x:v>Hà Nội</x:v>
      </x:c>
      <x:c r="D5979" s="2" t="str">
        <x:v>Quận Long Biên</x:v>
      </x:c>
      <x:c r="E5979" s="2" t="str">
        <x:v>house</x:v>
      </x:c>
      <x:c r="F5979" s="2" t="str">
        <x:v>sale_assumed</x:v>
      </x:c>
      <x:c r="G5979" s="11" t="n">
        <x:v>38</x:v>
      </x:c>
      <x:c r="H5979" s="12" t="n">
        <x:v>2800000000</x:v>
      </x:c>
      <x:c r="I5979" s="12" t="n">
        <x:v>73684210.5263158</x:v>
      </x:c>
      <x:c r="J5979" s="2" t="str">
        <x:v>total</x:v>
      </x:c>
      <x:c r="K5979" s="2" t="str">
        <x:v>top_level_area</x:v>
      </x:c>
      <x:c r="L5979" s="2" t="str">
        <x:v>property_type_inferred_from_title;transaction_assumed_sale_from_dataset_context</x:v>
      </x:c>
      <x:c r="M5979" s="10" t="n">
        <x:v>0</x:v>
      </x:c>
      <x:c r="N5979" s="10" t="n">
        <x:v>0</x:v>
      </x:c>
      <x:c r="O5979" s="2" t="str">
        <x:v>Hà Nội|house</x:v>
      </x:c>
      <x:c r="P5979" s="10" t="n">
        <x:v>2</x:v>
      </x:c>
      <x:c r="Q5979" s="13" t="n">
        <x:f>IF(H5979="","",H5979/1000000000)</x:f>
        <x:v>2.8</x:v>
      </x:c>
      <x:c r="R5979" s="13" t="n">
        <x:f>IF(I5979="","",I5979/1000000)</x:f>
        <x:v>73.6842105263158</x:v>
      </x:c>
    </x:row>
    <x:row r="5980" ht="21" customHeight="1">
      <x:c r="A5980" s="10" t="n">
        <x:v>7770</x:v>
      </x:c>
      <x:c r="B5980" s="2" t="str">
        <x:v>ef000e52ee3406943a5a</x:v>
      </x:c>
      <x:c r="C5980" s="2" t="str">
        <x:v>Đà Nẵng</x:v>
      </x:c>
      <x:c r="D5980" s="2" t="str">
        <x:v>Quận Thanh Khê</x:v>
      </x:c>
      <x:c r="E5980" s="2" t="str">
        <x:v>house</x:v>
      </x:c>
      <x:c r="F5980" s="2" t="str">
        <x:v>sale_assumed</x:v>
      </x:c>
      <x:c r="G5980" s="11" t="n">
        <x:v>30.8</x:v>
      </x:c>
      <x:c r="H5980" s="12" t="n">
        <x:v>1700000000</x:v>
      </x:c>
      <x:c r="I5980" s="12" t="n">
        <x:v>55194805.19480519</x:v>
      </x:c>
      <x:c r="J5980" s="2" t="str">
        <x:v>total</x:v>
      </x:c>
      <x:c r="K5980" s="2" t="str">
        <x:v>top_level_area</x:v>
      </x:c>
      <x:c r="L5980" s="2" t="str">
        <x:v>property_type_inferred_from_title;transaction_assumed_sale_from_dataset_context</x:v>
      </x:c>
      <x:c r="M5980" s="10" t="n">
        <x:v>0</x:v>
      </x:c>
      <x:c r="N5980" s="10" t="n">
        <x:v>0</x:v>
      </x:c>
      <x:c r="O5980" s="2" t="str">
        <x:v>Đà Nẵng|house</x:v>
      </x:c>
      <x:c r="P5980" s="10" t="n">
        <x:v>2</x:v>
      </x:c>
      <x:c r="Q5980" s="13" t="n">
        <x:f>IF(H5980="","",H5980/1000000000)</x:f>
        <x:v>1.7</x:v>
      </x:c>
      <x:c r="R5980" s="13" t="n">
        <x:f>IF(I5980="","",I5980/1000000)</x:f>
        <x:v>55.19480519480519</x:v>
      </x:c>
    </x:row>
    <x:row r="5981" ht="21" customHeight="1">
      <x:c r="A5981" s="10" t="n">
        <x:v>7771</x:v>
      </x:c>
      <x:c r="B5981" s="2" t="str">
        <x:v>998748d5675a4817b167</x:v>
      </x:c>
      <x:c r="C5981" s="2" t="str">
        <x:v>Bình Dương</x:v>
      </x:c>
      <x:c r="D5981" s="2" t="str">
        <x:v>Huyện Bàu Bàng</x:v>
      </x:c>
      <x:c r="E5981" s="2" t="str">
        <x:v>other_unknown</x:v>
      </x:c>
      <x:c r="F5981" s="2" t="str">
        <x:v>sale</x:v>
      </x:c>
      <x:c r="G5981" s="11" t="n">
        <x:v>230</x:v>
      </x:c>
      <x:c r="H5981" s="12" t="n">
        <x:v>530000000</x:v>
      </x:c>
      <x:c r="I5981" s="12" t="n">
        <x:v>2304347.8260869565</x:v>
      </x:c>
      <x:c r="J5981" s="2" t="str">
        <x:v>total</x:v>
      </x:c>
      <x:c r="K5981" s="2" t="str">
        <x:v>top_level_area</x:v>
      </x:c>
      <x:c r="L5981" s="2" t="str">
        <x:v>property_type_inferred_from_title;unknown_property_type</x:v>
      </x:c>
      <x:c r="M5981" s="10" t="n">
        <x:v>0</x:v>
      </x:c>
      <x:c r="N5981" s="10" t="n">
        <x:v>0</x:v>
      </x:c>
      <x:c r="O5981" s="2" t="str">
        <x:v>Bình Dương|other_unknown</x:v>
      </x:c>
      <x:c r="P5981" s="10" t="n">
        <x:v>1</x:v>
      </x:c>
      <x:c r="Q5981" s="13" t="n">
        <x:f>IF(H5981="","",H5981/1000000000)</x:f>
        <x:v>0.53</x:v>
      </x:c>
      <x:c r="R5981" s="13" t="n">
        <x:f>IF(I5981="","",I5981/1000000)</x:f>
        <x:v>2.3043478260869565</x:v>
      </x:c>
    </x:row>
    <x:row r="5982" ht="21" customHeight="1">
      <x:c r="A5982" s="10" t="n">
        <x:v>7772</x:v>
      </x:c>
      <x:c r="B5982" s="2" t="str">
        <x:v>697769cd3e15ff9e264c</x:v>
      </x:c>
      <x:c r="C5982" s="2" t="str">
        <x:v>Long An</x:v>
      </x:c>
      <x:c r="D5982" s="2" t="str">
        <x:v>Thành phố Tân An</x:v>
      </x:c>
      <x:c r="E5982" s="2" t="str">
        <x:v>house</x:v>
      </x:c>
      <x:c r="F5982" s="2" t="str">
        <x:v>sale_assumed</x:v>
      </x:c>
      <x:c r="G5982" s="11" t="n">
        <x:v>81.6</x:v>
      </x:c>
      <x:c r="H5982" s="12" t="n">
        <x:v>2100000000</x:v>
      </x:c>
      <x:c r="I5982" s="12" t="n">
        <x:v>25735294.11764706</x:v>
      </x:c>
      <x:c r="J5982" s="2" t="str">
        <x:v>total</x:v>
      </x:c>
      <x:c r="K5982" s="2" t="str">
        <x:v>top_level_area</x:v>
      </x:c>
      <x:c r="L5982" s="2" t="str">
        <x:v>property_type_inferred_from_title;transaction_assumed_sale_from_dataset_context</x:v>
      </x:c>
      <x:c r="M5982" s="10" t="n">
        <x:v>0</x:v>
      </x:c>
      <x:c r="N5982" s="10" t="n">
        <x:v>0</x:v>
      </x:c>
      <x:c r="O5982" s="2" t="str">
        <x:v>Long An|house</x:v>
      </x:c>
      <x:c r="P5982" s="10" t="n">
        <x:v>2</x:v>
      </x:c>
      <x:c r="Q5982" s="13" t="n">
        <x:f>IF(H5982="","",H5982/1000000000)</x:f>
        <x:v>2.1</x:v>
      </x:c>
      <x:c r="R5982" s="13" t="n">
        <x:f>IF(I5982="","",I5982/1000000)</x:f>
        <x:v>25.735294117647058</x:v>
      </x:c>
    </x:row>
    <x:row r="5983" ht="21" customHeight="1">
      <x:c r="A5983" s="10" t="n">
        <x:v>7773</x:v>
      </x:c>
      <x:c r="B5983" s="2" t="str">
        <x:v>e75ebb2c2db8b179650c</x:v>
      </x:c>
      <x:c r="C5983" s="2" t="str">
        <x:v>Tp Hồ Chí Minh</x:v>
      </x:c>
      <x:c r="D5983" s="2" t="str">
        <x:v>Huyện Bình Chánh</x:v>
      </x:c>
      <x:c r="E5983" s="2" t="str">
        <x:v>house</x:v>
      </x:c>
      <x:c r="F5983" s="2" t="str">
        <x:v>sale_assumed</x:v>
      </x:c>
      <x:c r="G5983" s="11" t="n">
        <x:v>40</x:v>
      </x:c>
      <x:c r="H5983" s="12" t="n">
        <x:v>205000000</x:v>
      </x:c>
      <x:c r="I5983" s="12" t="n">
        <x:v>5125000</x:v>
      </x:c>
      <x:c r="J5983" s="2" t="str">
        <x:v>total</x:v>
      </x:c>
      <x:c r="K5983" s="2" t="str">
        <x:v>top_level_price_embedded_area</x:v>
      </x:c>
      <x:c r="L5983" s="2" t="str">
        <x:v>area_recovered_from_price_text;property_type_inferred_from_title;transaction_assumed_sale_from_dataset_context</x:v>
      </x:c>
      <x:c r="M5983" s="10" t="n">
        <x:v>0</x:v>
      </x:c>
      <x:c r="N5983" s="10" t="n">
        <x:v>0</x:v>
      </x:c>
      <x:c r="O5983" s="2" t="str">
        <x:v>Tp Hồ Chí Minh|house</x:v>
      </x:c>
      <x:c r="P5983" s="10" t="n">
        <x:v>2</x:v>
      </x:c>
      <x:c r="Q5983" s="13" t="n">
        <x:f>IF(H5983="","",H5983/1000000000)</x:f>
        <x:v>0.205</x:v>
      </x:c>
      <x:c r="R5983" s="13" t="n">
        <x:f>IF(I5983="","",I5983/1000000)</x:f>
        <x:v>5.125</x:v>
      </x:c>
    </x:row>
    <x:row r="5984" ht="21" customHeight="1">
      <x:c r="A5984" s="10" t="n">
        <x:v>7774</x:v>
      </x:c>
      <x:c r="B5984" s="2" t="str">
        <x:v>7f9c0f545a83901d02c8</x:v>
      </x:c>
      <x:c r="C5984" s="2" t="str">
        <x:v>Đắk Lắk</x:v>
      </x:c>
      <x:c r="D5984" s="2" t="str">
        <x:v>Huyện Cư M'gar</x:v>
      </x:c>
      <x:c r="E5984" s="2" t="str">
        <x:v>land</x:v>
      </x:c>
      <x:c r="F5984" s="2" t="str">
        <x:v>sale_assumed</x:v>
      </x:c>
      <x:c r="G5984" s="11" t="n">
        <x:v>125</x:v>
      </x:c>
      <x:c r="H5984" s="12" t="n">
        <x:v>145000000</x:v>
      </x:c>
      <x:c r="I5984" s="12" t="n">
        <x:v>1160000</x:v>
      </x:c>
      <x:c r="J5984" s="2" t="str">
        <x:v>total</x:v>
      </x:c>
      <x:c r="K5984" s="2" t="str">
        <x:v>top_level_area</x:v>
      </x:c>
      <x:c r="L5984" s="2" t="str">
        <x:v>property_type_inferred_from_title;transaction_assumed_sale_from_dataset_context</x:v>
      </x:c>
      <x:c r="M5984" s="10" t="n">
        <x:v>0</x:v>
      </x:c>
      <x:c r="N5984" s="10" t="n">
        <x:v>0</x:v>
      </x:c>
      <x:c r="O5984" s="2" t="str">
        <x:v>Đắk Lắk|land</x:v>
      </x:c>
      <x:c r="P5984" s="10" t="n">
        <x:v>1</x:v>
      </x:c>
      <x:c r="Q5984" s="13" t="n">
        <x:f>IF(H5984="","",H5984/1000000000)</x:f>
        <x:v>0.145</x:v>
      </x:c>
      <x:c r="R5984" s="13" t="n">
        <x:f>IF(I5984="","",I5984/1000000)</x:f>
        <x:v>1.16</x:v>
      </x:c>
    </x:row>
    <x:row r="5985" ht="21" customHeight="1">
      <x:c r="A5985" s="10" t="n">
        <x:v>7775</x:v>
      </x:c>
      <x:c r="B5985" s="2" t="str">
        <x:v>ee50a14c4cf92fe676b4</x:v>
      </x:c>
      <x:c r="C5985" s="2" t="str">
        <x:v>Tp Hồ Chí Minh</x:v>
      </x:c>
      <x:c r="D5985" s="2" t="str">
        <x:v>Quận Gò Vấp</x:v>
      </x:c>
      <x:c r="E5985" s="2" t="str">
        <x:v>house</x:v>
      </x:c>
      <x:c r="F5985" s="2" t="str">
        <x:v>sale</x:v>
      </x:c>
      <x:c r="G5985" s="11" t="n">
        <x:v>40.4</x:v>
      </x:c>
      <x:c r="H5985" s="12" t="n">
        <x:v>2300000000</x:v>
      </x:c>
      <x:c r="I5985" s="12" t="n">
        <x:v>56930693.06930693</x:v>
      </x:c>
      <x:c r="J5985" s="2" t="str">
        <x:v>total</x:v>
      </x:c>
      <x:c r="K5985" s="2" t="str">
        <x:v>top_level_area</x:v>
      </x:c>
      <x:c r="L5985" s="2" t="str">
        <x:v>property_type_inferred_from_title</x:v>
      </x:c>
      <x:c r="M5985" s="10" t="n">
        <x:v>0</x:v>
      </x:c>
      <x:c r="N5985" s="10" t="n">
        <x:v>0</x:v>
      </x:c>
      <x:c r="O5985" s="2" t="str">
        <x:v>Tp Hồ Chí Minh|house</x:v>
      </x:c>
      <x:c r="P5985" s="10" t="n">
        <x:v>2</x:v>
      </x:c>
      <x:c r="Q5985" s="13" t="n">
        <x:f>IF(H5985="","",H5985/1000000000)</x:f>
        <x:v>2.3</x:v>
      </x:c>
      <x:c r="R5985" s="13" t="n">
        <x:f>IF(I5985="","",I5985/1000000)</x:f>
        <x:v>56.93069306930693</x:v>
      </x:c>
    </x:row>
    <x:row r="5986" ht="21" customHeight="1">
      <x:c r="A5986" s="10" t="n">
        <x:v>7776</x:v>
      </x:c>
      <x:c r="B5986" s="2" t="str">
        <x:v>b6ec3ea594802d360e3c</x:v>
      </x:c>
      <x:c r="C5986" s="2" t="str">
        <x:v>Tp Hồ Chí Minh</x:v>
      </x:c>
      <x:c r="D5986" s="2" t="str">
        <x:v>Quận Phú Nhuận</x:v>
      </x:c>
      <x:c r="E5986" s="2" t="str">
        <x:v>house</x:v>
      </x:c>
      <x:c r="F5986" s="2" t="str">
        <x:v>sale</x:v>
      </x:c>
      <x:c r="G5986" s="11" t="n">
        <x:v>28.2</x:v>
      </x:c>
      <x:c r="H5986" s="12" t="n">
        <x:v>4200000000</x:v>
      </x:c>
      <x:c r="I5986" s="12" t="n">
        <x:v>148936170.21276596</x:v>
      </x:c>
      <x:c r="J5986" s="2" t="str">
        <x:v>total</x:v>
      </x:c>
      <x:c r="K5986" s="2" t="str">
        <x:v>top_level_area</x:v>
      </x:c>
      <x:c r="L5986" s="2" t="str">
        <x:v>property_type_inferred_from_title</x:v>
      </x:c>
      <x:c r="M5986" s="10" t="n">
        <x:v>0</x:v>
      </x:c>
      <x:c r="N5986" s="10" t="n">
        <x:v>0</x:v>
      </x:c>
      <x:c r="O5986" s="2" t="str">
        <x:v>Tp Hồ Chí Minh|house</x:v>
      </x:c>
      <x:c r="P5986" s="10" t="n">
        <x:v>2</x:v>
      </x:c>
      <x:c r="Q5986" s="13" t="n">
        <x:f>IF(H5986="","",H5986/1000000000)</x:f>
        <x:v>4.2</x:v>
      </x:c>
      <x:c r="R5986" s="13" t="n">
        <x:f>IF(I5986="","",I5986/1000000)</x:f>
        <x:v>148.93617021276597</x:v>
      </x:c>
    </x:row>
    <x:row r="5987" ht="21" customHeight="1">
      <x:c r="A5987" s="10" t="n">
        <x:v>7777</x:v>
      </x:c>
      <x:c r="B5987" s="2" t="str">
        <x:v>83cc4478f9468348ace2</x:v>
      </x:c>
      <x:c r="C5987" s="2" t="str">
        <x:v>Bắc Ninh</x:v>
      </x:c>
      <x:c r="D5987" s="2" t="str">
        <x:v>Huyện Thuận Thành</x:v>
      </x:c>
      <x:c r="E5987" s="2" t="str">
        <x:v>house</x:v>
      </x:c>
      <x:c r="F5987" s="2" t="str">
        <x:v>sale</x:v>
      </x:c>
      <x:c r="G5987" s="11" t="n">
        <x:v>90</x:v>
      </x:c>
      <x:c r="H5987" s="12" t="n">
        <x:v>17000000</x:v>
      </x:c>
      <x:c r="I5987" s="12" t="n">
        <x:v>188888.88888888888</x:v>
      </x:c>
      <x:c r="J5987" s="2" t="str">
        <x:v>total</x:v>
      </x:c>
      <x:c r="K5987" s="2" t="str">
        <x:v>top_level_area</x:v>
      </x:c>
      <x:c r="L5987" s="2" t="str">
        <x:v>property_type_inferred_from_title</x:v>
      </x:c>
      <x:c r="M5987" s="10" t="n">
        <x:v>0</x:v>
      </x:c>
      <x:c r="N5987" s="10" t="n">
        <x:v>0</x:v>
      </x:c>
      <x:c r="O5987" s="2" t="str">
        <x:v>house</x:v>
      </x:c>
      <x:c r="P5987" s="10" t="n">
        <x:v>1</x:v>
      </x:c>
      <x:c r="Q5987" s="13" t="n">
        <x:f>IF(H5987="","",H5987/1000000000)</x:f>
        <x:v>0.017</x:v>
      </x:c>
      <x:c r="R5987" s="13" t="n">
        <x:f>IF(I5987="","",I5987/1000000)</x:f>
        <x:v>0.18888888888888888</x:v>
      </x:c>
    </x:row>
    <x:row r="5988" ht="21" customHeight="1">
      <x:c r="A5988" s="10" t="n">
        <x:v>7778</x:v>
      </x:c>
      <x:c r="B5988" s="2" t="str">
        <x:v>782c26df0dfcd8bd87dd</x:v>
      </x:c>
      <x:c r="C5988" s="2" t="str">
        <x:v>Cần Thơ</x:v>
      </x:c>
      <x:c r="D5988" s="2" t="str">
        <x:v>Quận Bình Thuỷ</x:v>
      </x:c>
      <x:c r="E5988" s="2" t="str">
        <x:v>land</x:v>
      </x:c>
      <x:c r="F5988" s="2" t="str">
        <x:v>sale_assumed</x:v>
      </x:c>
      <x:c r="G5988" s="11" t="n">
        <x:v>80</x:v>
      </x:c>
      <x:c r="H5988" s="12" t="n">
        <x:v>1290000000</x:v>
      </x:c>
      <x:c r="I5988" s="12" t="n">
        <x:v>16125000</x:v>
      </x:c>
      <x:c r="J5988" s="2" t="str">
        <x:v>total</x:v>
      </x:c>
      <x:c r="K5988" s="2" t="str">
        <x:v>top_level_area</x:v>
      </x:c>
      <x:c r="L5988" s="2" t="str">
        <x:v>property_type_inferred_from_title;transaction_assumed_sale_from_dataset_context</x:v>
      </x:c>
      <x:c r="M5988" s="10" t="n">
        <x:v>0</x:v>
      </x:c>
      <x:c r="N5988" s="10" t="n">
        <x:v>0</x:v>
      </x:c>
      <x:c r="O5988" s="2" t="str">
        <x:v>Cần Thơ|land</x:v>
      </x:c>
      <x:c r="P5988" s="10" t="n">
        <x:v>2</x:v>
      </x:c>
      <x:c r="Q5988" s="13" t="n">
        <x:f>IF(H5988="","",H5988/1000000000)</x:f>
        <x:v>1.29</x:v>
      </x:c>
      <x:c r="R5988" s="13" t="n">
        <x:f>IF(I5988="","",I5988/1000000)</x:f>
        <x:v>16.125</x:v>
      </x:c>
    </x:row>
    <x:row r="5989" ht="21" customHeight="1">
      <x:c r="A5989" s="10" t="n">
        <x:v>7779</x:v>
      </x:c>
      <x:c r="B5989" s="2" t="str">
        <x:v>918837369318aca9dd79</x:v>
      </x:c>
      <x:c r="C5989" s="2" t="str">
        <x:v>Đà Nẵng</x:v>
      </x:c>
      <x:c r="D5989" s="2" t="str">
        <x:v>Quận Liên Chiểu</x:v>
      </x:c>
      <x:c r="E5989" s="2" t="str">
        <x:v>land</x:v>
      </x:c>
      <x:c r="F5989" s="2" t="str">
        <x:v>sale_assumed</x:v>
      </x:c>
      <x:c r="G5989" s="11" t="n">
        <x:v>73.2</x:v>
      </x:c>
      <x:c r="H5989" s="12" t="n">
        <x:v>1500000000</x:v>
      </x:c>
      <x:c r="I5989" s="12" t="n">
        <x:v>20491803.278688524</x:v>
      </x:c>
      <x:c r="J5989" s="2" t="str">
        <x:v>total</x:v>
      </x:c>
      <x:c r="K5989" s="2" t="str">
        <x:v>top_level_area</x:v>
      </x:c>
      <x:c r="L5989" s="2" t="str">
        <x:v>property_type_inferred_from_title;transaction_assumed_sale_from_dataset_context</x:v>
      </x:c>
      <x:c r="M5989" s="10" t="n">
        <x:v>0</x:v>
      </x:c>
      <x:c r="N5989" s="10" t="n">
        <x:v>0</x:v>
      </x:c>
      <x:c r="O5989" s="2" t="str">
        <x:v>Đà Nẵng|land</x:v>
      </x:c>
      <x:c r="P5989" s="10" t="n">
        <x:v>2</x:v>
      </x:c>
      <x:c r="Q5989" s="13" t="n">
        <x:f>IF(H5989="","",H5989/1000000000)</x:f>
        <x:v>1.5</x:v>
      </x:c>
      <x:c r="R5989" s="13" t="n">
        <x:f>IF(I5989="","",I5989/1000000)</x:f>
        <x:v>20.491803278688526</x:v>
      </x:c>
    </x:row>
    <x:row r="5990" ht="21" customHeight="1">
      <x:c r="A5990" s="10" t="n">
        <x:v>7780</x:v>
      </x:c>
      <x:c r="B5990" s="2" t="str">
        <x:v>079a372c5f8b78660d94</x:v>
      </x:c>
      <x:c r="C5990" s="2" t="str">
        <x:v>Tp Hồ Chí Minh</x:v>
      </x:c>
      <x:c r="D5990" s="2" t="str">
        <x:v>Huyện Hóc Môn</x:v>
      </x:c>
      <x:c r="E5990" s="2" t="str">
        <x:v>house</x:v>
      </x:c>
      <x:c r="F5990" s="2" t="str">
        <x:v>sale_assumed</x:v>
      </x:c>
      <x:c r="G5990" s="11" t="n">
        <x:v>48</x:v>
      </x:c>
      <x:c r="H5990" s="12" t="n">
        <x:v>1380000000</x:v>
      </x:c>
      <x:c r="I5990" s="12" t="n">
        <x:v>28750000</x:v>
      </x:c>
      <x:c r="J5990" s="2" t="str">
        <x:v>total</x:v>
      </x:c>
      <x:c r="K5990" s="2" t="str">
        <x:v>top_level_area</x:v>
      </x:c>
      <x:c r="L5990" s="2" t="str">
        <x:v>property_type_inferred_from_title;transaction_assumed_sale_from_dataset_context</x:v>
      </x:c>
      <x:c r="M5990" s="10" t="n">
        <x:v>0</x:v>
      </x:c>
      <x:c r="N5990" s="10" t="n">
        <x:v>0</x:v>
      </x:c>
      <x:c r="O5990" s="2" t="str">
        <x:v>Tp Hồ Chí Minh|house</x:v>
      </x:c>
      <x:c r="P5990" s="10" t="n">
        <x:v>2</x:v>
      </x:c>
      <x:c r="Q5990" s="13" t="n">
        <x:f>IF(H5990="","",H5990/1000000000)</x:f>
        <x:v>1.38</x:v>
      </x:c>
      <x:c r="R5990" s="13" t="n">
        <x:f>IF(I5990="","",I5990/1000000)</x:f>
        <x:v>28.75</x:v>
      </x:c>
    </x:row>
    <x:row r="5991" ht="21" customHeight="1">
      <x:c r="A5991" s="10" t="n">
        <x:v>7781</x:v>
      </x:c>
      <x:c r="B5991" s="2" t="str">
        <x:v>8b7ee7de99bea28a9f87</x:v>
      </x:c>
      <x:c r="C5991" s="2" t="str">
        <x:v>Tp Hồ Chí Minh</x:v>
      </x:c>
      <x:c r="D5991" s="2" t="str">
        <x:v>Quận 2</x:v>
      </x:c>
      <x:c r="E5991" s="2" t="str">
        <x:v>apartment</x:v>
      </x:c>
      <x:c r="F5991" s="2" t="str">
        <x:v>sale_assumed</x:v>
      </x:c>
      <x:c r="G5991" s="11" t="n">
        <x:v>115</x:v>
      </x:c>
      <x:c r="H5991" s="12" t="n">
        <x:v>5200000000</x:v>
      </x:c>
      <x:c r="I5991" s="12" t="n">
        <x:v>45217391.30434783</x:v>
      </x:c>
      <x:c r="J5991" s="2" t="str">
        <x:v>total</x:v>
      </x:c>
      <x:c r="K5991" s="2" t="str">
        <x:v>top_level_area</x:v>
      </x:c>
      <x:c r="L5991" s="2" t="str">
        <x:v>property_type_inferred_from_title;transaction_assumed_sale_from_dataset_context</x:v>
      </x:c>
      <x:c r="M5991" s="10" t="n">
        <x:v>0</x:v>
      </x:c>
      <x:c r="N5991" s="10" t="n">
        <x:v>0</x:v>
      </x:c>
      <x:c r="O5991" s="2" t="str">
        <x:v>Tp Hồ Chí Minh|apartment</x:v>
      </x:c>
      <x:c r="P5991" s="10" t="n">
        <x:v>2</x:v>
      </x:c>
      <x:c r="Q5991" s="13" t="n">
        <x:f>IF(H5991="","",H5991/1000000000)</x:f>
        <x:v>5.2</x:v>
      </x:c>
      <x:c r="R5991" s="13" t="n">
        <x:f>IF(I5991="","",I5991/1000000)</x:f>
        <x:v>45.21739130434783</x:v>
      </x:c>
    </x:row>
    <x:row r="5992" ht="21" customHeight="1">
      <x:c r="A5992" s="10" t="n">
        <x:v>7786</x:v>
      </x:c>
      <x:c r="B5992" s="2" t="str">
        <x:v>ab46e9284bd4608cb25b</x:v>
      </x:c>
      <x:c r="C5992" s="2" t="str">
        <x:v>Tp Hồ Chí Minh</x:v>
      </x:c>
      <x:c r="D5992" s="2" t="str">
        <x:v>Quận 12</x:v>
      </x:c>
      <x:c r="E5992" s="2" t="str">
        <x:v>house</x:v>
      </x:c>
      <x:c r="F5992" s="2" t="str">
        <x:v>sale</x:v>
      </x:c>
      <x:c r="G5992" s="11" t="n">
        <x:v>60</x:v>
      </x:c>
      <x:c r="H5992" s="12" t="n">
        <x:v>2400000000</x:v>
      </x:c>
      <x:c r="I5992" s="12" t="n">
        <x:v>40000000</x:v>
      </x:c>
      <x:c r="J5992" s="2" t="str">
        <x:v>total</x:v>
      </x:c>
      <x:c r="K5992" s="2" t="str">
        <x:v>top_level_area</x:v>
      </x:c>
      <x:c r="L5992" s="2" t="str">
        <x:v>property_type_inferred_from_title</x:v>
      </x:c>
      <x:c r="M5992" s="10" t="n">
        <x:v>0</x:v>
      </x:c>
      <x:c r="N5992" s="10" t="n">
        <x:v>0</x:v>
      </x:c>
      <x:c r="O5992" s="2" t="str">
        <x:v>Tp Hồ Chí Minh|house</x:v>
      </x:c>
      <x:c r="P5992" s="10" t="n">
        <x:v>2</x:v>
      </x:c>
      <x:c r="Q5992" s="13" t="n">
        <x:f>IF(H5992="","",H5992/1000000000)</x:f>
        <x:v>2.4</x:v>
      </x:c>
      <x:c r="R5992" s="13" t="n">
        <x:f>IF(I5992="","",I5992/1000000)</x:f>
        <x:v>40</x:v>
      </x:c>
    </x:row>
    <x:row r="5993" ht="21" customHeight="1">
      <x:c r="A5993" s="10" t="n">
        <x:v>7787</x:v>
      </x:c>
      <x:c r="B5993" s="2" t="str">
        <x:v>d34dfb8ec218340a8362</x:v>
      </x:c>
      <x:c r="C5993" s="2" t="str">
        <x:v>Tp Hồ Chí Minh</x:v>
      </x:c>
      <x:c r="D5993" s="2" t="str">
        <x:v>Quận 12</x:v>
      </x:c>
      <x:c r="E5993" s="2" t="str">
        <x:v>house</x:v>
      </x:c>
      <x:c r="F5993" s="2" t="str">
        <x:v>sale_assumed</x:v>
      </x:c>
      <x:c r="G5993" s="11" t="n">
        <x:v>52</x:v>
      </x:c>
      <x:c r="H5993" s="12" t="n">
        <x:v>1500000000</x:v>
      </x:c>
      <x:c r="I5993" s="12" t="n">
        <x:v>28846153.846153848</x:v>
      </x:c>
      <x:c r="J5993" s="2" t="str">
        <x:v>total</x:v>
      </x:c>
      <x:c r="K5993" s="2" t="str">
        <x:v>top_level_area</x:v>
      </x:c>
      <x:c r="L5993" s="2" t="str">
        <x:v>property_type_inferred_from_title;transaction_assumed_sale_from_dataset_context</x:v>
      </x:c>
      <x:c r="M5993" s="10" t="n">
        <x:v>0</x:v>
      </x:c>
      <x:c r="N5993" s="10" t="n">
        <x:v>0</x:v>
      </x:c>
      <x:c r="O5993" s="2" t="str">
        <x:v>Tp Hồ Chí Minh|house</x:v>
      </x:c>
      <x:c r="P5993" s="10" t="n">
        <x:v>2</x:v>
      </x:c>
      <x:c r="Q5993" s="13" t="n">
        <x:f>IF(H5993="","",H5993/1000000000)</x:f>
        <x:v>1.5</x:v>
      </x:c>
      <x:c r="R5993" s="13" t="n">
        <x:f>IF(I5993="","",I5993/1000000)</x:f>
        <x:v>28.846153846153847</x:v>
      </x:c>
    </x:row>
    <x:row r="5994" ht="21" customHeight="1">
      <x:c r="A5994" s="10" t="n">
        <x:v>7788</x:v>
      </x:c>
      <x:c r="B5994" s="2" t="str">
        <x:v>0ab2cf97ef49c7d85dbf</x:v>
      </x:c>
      <x:c r="C5994" s="2" t="str">
        <x:v>Bến Tre</x:v>
      </x:c>
      <x:c r="D5994" s="2" t="str">
        <x:v>Huyện Châu Thành</x:v>
      </x:c>
      <x:c r="E5994" s="2" t="str">
        <x:v>land</x:v>
      </x:c>
      <x:c r="F5994" s="2" t="str">
        <x:v>sale_assumed</x:v>
      </x:c>
      <x:c r="G5994" s="11" t="n">
        <x:v>223</x:v>
      </x:c>
      <x:c r="H5994" s="12" t="n">
        <x:v>1380000000</x:v>
      </x:c>
      <x:c r="I5994" s="12" t="n">
        <x:v>6188340.8071748875</x:v>
      </x:c>
      <x:c r="J5994" s="2" t="str">
        <x:v>total</x:v>
      </x:c>
      <x:c r="K5994" s="2" t="str">
        <x:v>top_level_area</x:v>
      </x:c>
      <x:c r="L5994" s="2" t="str">
        <x:v>property_type_inferred_from_title;transaction_assumed_sale_from_dataset_context</x:v>
      </x:c>
      <x:c r="M5994" s="10" t="n">
        <x:v>0</x:v>
      </x:c>
      <x:c r="N5994" s="10" t="n">
        <x:v>0</x:v>
      </x:c>
      <x:c r="O5994" s="2" t="str">
        <x:v>Bến Tre|land</x:v>
      </x:c>
      <x:c r="P5994" s="10" t="n">
        <x:v>1</x:v>
      </x:c>
      <x:c r="Q5994" s="13" t="n">
        <x:f>IF(H5994="","",H5994/1000000000)</x:f>
        <x:v>1.38</x:v>
      </x:c>
      <x:c r="R5994" s="13" t="n">
        <x:f>IF(I5994="","",I5994/1000000)</x:f>
        <x:v>6.188340807174887</x:v>
      </x:c>
    </x:row>
    <x:row r="5995" ht="21" customHeight="1">
      <x:c r="A5995" s="10" t="n">
        <x:v>7789</x:v>
      </x:c>
      <x:c r="B5995" s="2" t="str">
        <x:v>f8a4bdc664fe7450778b</x:v>
      </x:c>
      <x:c r="C5995" s="2" t="str">
        <x:v>Tp Hồ Chí Minh</x:v>
      </x:c>
      <x:c r="D5995" s="2" t="str">
        <x:v>Quận Bình Tân</x:v>
      </x:c>
      <x:c r="E5995" s="2" t="str">
        <x:v>other_unknown</x:v>
      </x:c>
      <x:c r="F5995" s="2" t="str">
        <x:v>sale_assumed</x:v>
      </x:c>
      <x:c r="G5995" s="11" t="n">
        <x:v>98</x:v>
      </x:c>
      <x:c r="H5995" s="12" t="n">
        <x:v>3900000000</x:v>
      </x:c>
      <x:c r="I5995" s="12" t="n">
        <x:v>39795918.36734694</x:v>
      </x:c>
      <x:c r="J5995" s="2" t="str">
        <x:v>total</x:v>
      </x:c>
      <x:c r="K5995" s="2" t="str">
        <x:v>top_level_area</x:v>
      </x:c>
      <x:c r="L5995" s="2" t="str">
        <x:v>property_type_inferred_from_title;transaction_assumed_sale_from_dataset_context;unknown_property_type</x:v>
      </x:c>
      <x:c r="M5995" s="10" t="n">
        <x:v>0</x:v>
      </x:c>
      <x:c r="N5995" s="10" t="n">
        <x:v>0</x:v>
      </x:c>
      <x:c r="O5995" s="2" t="str">
        <x:v>Tp Hồ Chí Minh|other_unknown</x:v>
      </x:c>
      <x:c r="P5995" s="10" t="n">
        <x:v>2</x:v>
      </x:c>
      <x:c r="Q5995" s="13" t="n">
        <x:f>IF(H5995="","",H5995/1000000000)</x:f>
        <x:v>3.9</x:v>
      </x:c>
      <x:c r="R5995" s="13" t="n">
        <x:f>IF(I5995="","",I5995/1000000)</x:f>
        <x:v>39.79591836734694</x:v>
      </x:c>
    </x:row>
    <x:row r="5996" ht="21" customHeight="1">
      <x:c r="A5996" s="10" t="n">
        <x:v>7790</x:v>
      </x:c>
      <x:c r="B5996" s="2" t="str">
        <x:v>6838724b98b0152271b3</x:v>
      </x:c>
      <x:c r="C5996" s="2" t="str">
        <x:v>Tp Hồ Chí Minh</x:v>
      </x:c>
      <x:c r="D5996" s="2" t="str">
        <x:v>Quận 9</x:v>
      </x:c>
      <x:c r="E5996" s="2" t="str">
        <x:v>house</x:v>
      </x:c>
      <x:c r="F5996" s="2" t="str">
        <x:v>sale_assumed</x:v>
      </x:c>
      <x:c r="G5996" s="11" t="n">
        <x:v>176</x:v>
      </x:c>
      <x:c r="H5996" s="12" t="n">
        <x:v>12700000000</x:v>
      </x:c>
      <x:c r="I5996" s="12" t="n">
        <x:v>72159090.9090909</x:v>
      </x:c>
      <x:c r="J5996" s="2" t="str">
        <x:v>total</x:v>
      </x:c>
      <x:c r="K5996" s="2" t="str">
        <x:v>top_level_area</x:v>
      </x:c>
      <x:c r="L5996" s="2" t="str">
        <x:v>property_type_inferred_from_title;transaction_assumed_sale_from_dataset_context</x:v>
      </x:c>
      <x:c r="M5996" s="10" t="n">
        <x:v>0</x:v>
      </x:c>
      <x:c r="N5996" s="10" t="n">
        <x:v>0</x:v>
      </x:c>
      <x:c r="O5996" s="2" t="str">
        <x:v>Tp Hồ Chí Minh|house</x:v>
      </x:c>
      <x:c r="P5996" s="10" t="n">
        <x:v>2</x:v>
      </x:c>
      <x:c r="Q5996" s="13" t="n">
        <x:f>IF(H5996="","",H5996/1000000000)</x:f>
        <x:v>12.7</x:v>
      </x:c>
      <x:c r="R5996" s="13" t="n">
        <x:f>IF(I5996="","",I5996/1000000)</x:f>
        <x:v>72.1590909090909</x:v>
      </x:c>
    </x:row>
    <x:row r="5997" ht="21" customHeight="1">
      <x:c r="A5997" s="10" t="n">
        <x:v>7791</x:v>
      </x:c>
      <x:c r="B5997" s="2" t="str">
        <x:v>0d79cee55bc71832cb5c</x:v>
      </x:c>
      <x:c r="C5997" s="2" t="str">
        <x:v>Hà Nội</x:v>
      </x:c>
      <x:c r="D5997" s="2" t="str">
        <x:v>Quận Bắc Từ Liêm</x:v>
      </x:c>
      <x:c r="E5997" s="2" t="str">
        <x:v>house</x:v>
      </x:c>
      <x:c r="F5997" s="2" t="str">
        <x:v>sale</x:v>
      </x:c>
      <x:c r="G5997" s="11" t="n">
        <x:v>30</x:v>
      </x:c>
      <x:c r="H5997" s="12" t="n">
        <x:v>1300000000</x:v>
      </x:c>
      <x:c r="I5997" s="12" t="n">
        <x:v>43333333.333333336</x:v>
      </x:c>
      <x:c r="J5997" s="2" t="str">
        <x:v>total</x:v>
      </x:c>
      <x:c r="K5997" s="2" t="str">
        <x:v>top_level_area</x:v>
      </x:c>
      <x:c r="L5997" s="2" t="str">
        <x:v>property_type_inferred_from_title</x:v>
      </x:c>
      <x:c r="M5997" s="10" t="n">
        <x:v>0</x:v>
      </x:c>
      <x:c r="N5997" s="10" t="n">
        <x:v>0</x:v>
      </x:c>
      <x:c r="O5997" s="2" t="str">
        <x:v>Hà Nội|house</x:v>
      </x:c>
      <x:c r="P5997" s="10" t="n">
        <x:v>2</x:v>
      </x:c>
      <x:c r="Q5997" s="13" t="n">
        <x:f>IF(H5997="","",H5997/1000000000)</x:f>
        <x:v>1.3</x:v>
      </x:c>
      <x:c r="R5997" s="13" t="n">
        <x:f>IF(I5997="","",I5997/1000000)</x:f>
        <x:v>43.333333333333336</x:v>
      </x:c>
    </x:row>
    <x:row r="5998" ht="21" customHeight="1">
      <x:c r="A5998" s="10" t="n">
        <x:v>7792</x:v>
      </x:c>
      <x:c r="B5998" s="2" t="str">
        <x:v>874724997ce3b67aaa83</x:v>
      </x:c>
      <x:c r="C5998" s="2" t="str">
        <x:v>Thái Bình</x:v>
      </x:c>
      <x:c r="D5998" s="2" t="str">
        <x:v>Thành phố Thái Bình</x:v>
      </x:c>
      <x:c r="E5998" s="2" t="str">
        <x:v>house</x:v>
      </x:c>
      <x:c r="F5998" s="2" t="str">
        <x:v>sale</x:v>
      </x:c>
      <x:c r="G5998" s="11" t="n">
        <x:v>64</x:v>
      </x:c>
      <x:c r="H5998" s="12" t="n">
        <x:v>2550000000</x:v>
      </x:c>
      <x:c r="I5998" s="12" t="n">
        <x:v>39843750</x:v>
      </x:c>
      <x:c r="J5998" s="2" t="str">
        <x:v>total</x:v>
      </x:c>
      <x:c r="K5998" s="2" t="str">
        <x:v>top_level_area</x:v>
      </x:c>
      <x:c r="L5998" s="2" t="str">
        <x:v>property_type_inferred_from_title</x:v>
      </x:c>
      <x:c r="M5998" s="10" t="n">
        <x:v>0</x:v>
      </x:c>
      <x:c r="N5998" s="10" t="n">
        <x:v>0</x:v>
      </x:c>
      <x:c r="O5998" s="2" t="str">
        <x:v>house</x:v>
      </x:c>
      <x:c r="P5998" s="10" t="n">
        <x:v>2</x:v>
      </x:c>
      <x:c r="Q5998" s="13" t="n">
        <x:f>IF(H5998="","",H5998/1000000000)</x:f>
        <x:v>2.55</x:v>
      </x:c>
      <x:c r="R5998" s="13" t="n">
        <x:f>IF(I5998="","",I5998/1000000)</x:f>
        <x:v>39.84375</x:v>
      </x:c>
    </x:row>
    <x:row r="5999" ht="21" customHeight="1">
      <x:c r="A5999" s="10" t="n">
        <x:v>7793</x:v>
      </x:c>
      <x:c r="B5999" s="2" t="str">
        <x:v>355624078c0935213187</x:v>
      </x:c>
      <x:c r="C5999" s="2" t="str">
        <x:v>Tp Hồ Chí Minh</x:v>
      </x:c>
      <x:c r="D5999" s="2" t="str">
        <x:v>Huyện Bình Chánh</x:v>
      </x:c>
      <x:c r="E5999" s="2" t="str">
        <x:v>house</x:v>
      </x:c>
      <x:c r="F5999" s="2" t="str">
        <x:v>sale_assumed</x:v>
      </x:c>
      <x:c r="G5999" s="11" t="n">
        <x:v>80</x:v>
      </x:c>
      <x:c r="H5999" s="12" t="n">
        <x:v>1500000000</x:v>
      </x:c>
      <x:c r="I5999" s="12" t="n">
        <x:v>18750000</x:v>
      </x:c>
      <x:c r="J5999" s="2" t="str">
        <x:v>total</x:v>
      </x:c>
      <x:c r="K5999" s="2" t="str">
        <x:v>top_level_area</x:v>
      </x:c>
      <x:c r="L5999" s="2" t="str">
        <x:v>property_type_inferred_from_title;transaction_assumed_sale_from_dataset_context</x:v>
      </x:c>
      <x:c r="M5999" s="10" t="n">
        <x:v>0</x:v>
      </x:c>
      <x:c r="N5999" s="10" t="n">
        <x:v>0</x:v>
      </x:c>
      <x:c r="O5999" s="2" t="str">
        <x:v>Tp Hồ Chí Minh|house</x:v>
      </x:c>
      <x:c r="P5999" s="10" t="n">
        <x:v>2</x:v>
      </x:c>
      <x:c r="Q5999" s="13" t="n">
        <x:f>IF(H5999="","",H5999/1000000000)</x:f>
        <x:v>1.5</x:v>
      </x:c>
      <x:c r="R5999" s="13" t="n">
        <x:f>IF(I5999="","",I5999/1000000)</x:f>
        <x:v>18.75</x:v>
      </x:c>
    </x:row>
    <x:row r="6000" ht="21" customHeight="1">
      <x:c r="A6000" s="10" t="n">
        <x:v>7794</x:v>
      </x:c>
      <x:c r="B6000" s="2" t="str">
        <x:v>8fd3602b76303dc5e112</x:v>
      </x:c>
      <x:c r="C6000" s="2" t="str">
        <x:v>Hà Nội</x:v>
      </x:c>
      <x:c r="D6000" s="2" t="str">
        <x:v>Quận Hà Đông</x:v>
      </x:c>
      <x:c r="E6000" s="2" t="str">
        <x:v>house</x:v>
      </x:c>
      <x:c r="F6000" s="2" t="str">
        <x:v>sale</x:v>
      </x:c>
      <x:c r="G6000" s="11" t="n">
        <x:v>36</x:v>
      </x:c>
      <x:c r="H6000" s="12" t="n">
        <x:v>1456000000</x:v>
      </x:c>
      <x:c r="I6000" s="12" t="n">
        <x:v>40444444.44444445</x:v>
      </x:c>
      <x:c r="J6000" s="2" t="str">
        <x:v>total</x:v>
      </x:c>
      <x:c r="K6000" s="2" t="str">
        <x:v>top_level_area</x:v>
      </x:c>
      <x:c r="L6000" s="2" t="str">
        <x:v>property_type_inferred_from_title</x:v>
      </x:c>
      <x:c r="M6000" s="10" t="n">
        <x:v>0</x:v>
      </x:c>
      <x:c r="N6000" s="10" t="n">
        <x:v>0</x:v>
      </x:c>
      <x:c r="O6000" s="2" t="str">
        <x:v>Hà Nội|house</x:v>
      </x:c>
      <x:c r="P6000" s="10" t="n">
        <x:v>2</x:v>
      </x:c>
      <x:c r="Q6000" s="13" t="n">
        <x:f>IF(H6000="","",H6000/1000000000)</x:f>
        <x:v>1.456</x:v>
      </x:c>
      <x:c r="R6000" s="13" t="n">
        <x:f>IF(I6000="","",I6000/1000000)</x:f>
        <x:v>40.44444444444445</x:v>
      </x:c>
    </x:row>
    <x:row r="6001" ht="21" customHeight="1">
      <x:c r="A6001" s="10" t="n">
        <x:v>7795</x:v>
      </x:c>
      <x:c r="B6001" s="2" t="str">
        <x:v>e3d5cfed1b9976805043</x:v>
      </x:c>
      <x:c r="C6001" s="2" t="str">
        <x:v>Hậu Giang</x:v>
      </x:c>
      <x:c r="D6001" s="2" t="str">
        <x:v>Huyện Châu Thành</x:v>
      </x:c>
      <x:c r="E6001" s="2" t="str">
        <x:v>land</x:v>
      </x:c>
      <x:c r="F6001" s="2" t="str">
        <x:v>sale</x:v>
      </x:c>
      <x:c r="G6001" s="11" t="n">
        <x:v>100</x:v>
      </x:c>
      <x:c r="H6001" s="12" t="n">
        <x:v>1200000000</x:v>
      </x:c>
      <x:c r="I6001" s="12" t="n">
        <x:v>12000000</x:v>
      </x:c>
      <x:c r="J6001" s="2" t="str">
        <x:v>total</x:v>
      </x:c>
      <x:c r="K6001" s="2" t="str">
        <x:v>top_level_area</x:v>
      </x:c>
      <x:c r="L6001" s="2" t="str">
        <x:v>property_type_inferred_from_title</x:v>
      </x:c>
      <x:c r="M6001" s="10" t="n">
        <x:v>0</x:v>
      </x:c>
      <x:c r="N6001" s="10" t="n">
        <x:v>0</x:v>
      </x:c>
      <x:c r="O6001" s="2" t="str">
        <x:v>land</x:v>
      </x:c>
      <x:c r="P6001" s="10" t="n">
        <x:v>2</x:v>
      </x:c>
      <x:c r="Q6001" s="13" t="n">
        <x:f>IF(H6001="","",H6001/1000000000)</x:f>
        <x:v>1.2</x:v>
      </x:c>
      <x:c r="R6001" s="13" t="n">
        <x:f>IF(I6001="","",I6001/1000000)</x:f>
        <x:v>12</x:v>
      </x:c>
    </x:row>
    <x:row r="6002" ht="21" customHeight="1">
      <x:c r="A6002" s="10" t="n">
        <x:v>7796</x:v>
      </x:c>
      <x:c r="B6002" s="2" t="str">
        <x:v>a705bfe45c128a825d97</x:v>
      </x:c>
      <x:c r="C6002" s="2" t="str">
        <x:v>Tp Hồ Chí Minh</x:v>
      </x:c>
      <x:c r="D6002" s="2" t="str">
        <x:v>Quận Tân Phú</x:v>
      </x:c>
      <x:c r="E6002" s="2" t="str">
        <x:v>other_unknown</x:v>
      </x:c>
      <x:c r="F6002" s="2" t="str">
        <x:v>sale_assumed</x:v>
      </x:c>
      <x:c r="G6002" s="11" t="n">
        <x:v>96</x:v>
      </x:c>
      <x:c r="H6002" s="12" t="n">
        <x:v>13600000000</x:v>
      </x:c>
      <x:c r="I6002" s="12" t="n">
        <x:v>141666666.66666666</x:v>
      </x:c>
      <x:c r="J6002" s="2" t="str">
        <x:v>total</x:v>
      </x:c>
      <x:c r="K6002" s="2" t="str">
        <x:v>top_level_area</x:v>
      </x:c>
      <x:c r="L6002" s="2" t="str">
        <x:v>property_type_inferred_from_title;transaction_assumed_sale_from_dataset_context;unknown_property_type</x:v>
      </x:c>
      <x:c r="M6002" s="10" t="n">
        <x:v>0</x:v>
      </x:c>
      <x:c r="N6002" s="10" t="n">
        <x:v>0</x:v>
      </x:c>
      <x:c r="O6002" s="2" t="str">
        <x:v>Tp Hồ Chí Minh|other_unknown</x:v>
      </x:c>
      <x:c r="P6002" s="10" t="n">
        <x:v>2</x:v>
      </x:c>
      <x:c r="Q6002" s="13" t="n">
        <x:f>IF(H6002="","",H6002/1000000000)</x:f>
        <x:v>13.6</x:v>
      </x:c>
      <x:c r="R6002" s="13" t="n">
        <x:f>IF(I6002="","",I6002/1000000)</x:f>
        <x:v>141.66666666666666</x:v>
      </x:c>
    </x:row>
    <x:row r="6003" ht="21" customHeight="1">
      <x:c r="A6003" s="10" t="n">
        <x:v>7797</x:v>
      </x:c>
      <x:c r="B6003" s="2" t="str">
        <x:v>a5aeee8341882593ac08</x:v>
      </x:c>
      <x:c r="C6003" s="2" t="str">
        <x:v>Tp Hồ Chí Minh</x:v>
      </x:c>
      <x:c r="D6003" s="2" t="str">
        <x:v>Quận Tân Phú</x:v>
      </x:c>
      <x:c r="E6003" s="2" t="str">
        <x:v>house</x:v>
      </x:c>
      <x:c r="F6003" s="2" t="str">
        <x:v>sale_assumed</x:v>
      </x:c>
      <x:c r="G6003" s="11" t="n">
        <x:v>126</x:v>
      </x:c>
      <x:c r="H6003" s="12" t="n">
        <x:v>12800000000</x:v>
      </x:c>
      <x:c r="I6003" s="12" t="n">
        <x:v>101587301.58730158</x:v>
      </x:c>
      <x:c r="J6003" s="2" t="str">
        <x:v>total</x:v>
      </x:c>
      <x:c r="K6003" s="2" t="str">
        <x:v>top_level_area</x:v>
      </x:c>
      <x:c r="L6003" s="2" t="str">
        <x:v>property_type_inferred_from_title;transaction_assumed_sale_from_dataset_context</x:v>
      </x:c>
      <x:c r="M6003" s="10" t="n">
        <x:v>0</x:v>
      </x:c>
      <x:c r="N6003" s="10" t="n">
        <x:v>0</x:v>
      </x:c>
      <x:c r="O6003" s="2" t="str">
        <x:v>Tp Hồ Chí Minh|house</x:v>
      </x:c>
      <x:c r="P6003" s="10" t="n">
        <x:v>2</x:v>
      </x:c>
      <x:c r="Q6003" s="13" t="n">
        <x:f>IF(H6003="","",H6003/1000000000)</x:f>
        <x:v>12.8</x:v>
      </x:c>
      <x:c r="R6003" s="13" t="n">
        <x:f>IF(I6003="","",I6003/1000000)</x:f>
        <x:v>101.58730158730158</x:v>
      </x:c>
    </x:row>
    <x:row r="6004" ht="21" customHeight="1">
      <x:c r="A6004" s="10" t="n">
        <x:v>7798</x:v>
      </x:c>
      <x:c r="B6004" s="2" t="str">
        <x:v>512f07af04e9ee60154b</x:v>
      </x:c>
      <x:c r="C6004" s="2" t="str">
        <x:v>Tp Hồ Chí Minh</x:v>
      </x:c>
      <x:c r="D6004" s="2" t="str">
        <x:v>Quận Bình Thạnh</x:v>
      </x:c>
      <x:c r="E6004" s="2" t="str">
        <x:v>house</x:v>
      </x:c>
      <x:c r="F6004" s="2" t="str">
        <x:v>sale</x:v>
      </x:c>
      <x:c r="G6004" s="11" t="n">
        <x:v>42.2</x:v>
      </x:c>
      <x:c r="H6004" s="12" t="n">
        <x:v>6800000000</x:v>
      </x:c>
      <x:c r="I6004" s="12" t="n">
        <x:v>161137440.75829384</x:v>
      </x:c>
      <x:c r="J6004" s="2" t="str">
        <x:v>total</x:v>
      </x:c>
      <x:c r="K6004" s="2" t="str">
        <x:v>top_level_area</x:v>
      </x:c>
      <x:c r="L6004" s="2" t="str">
        <x:v>property_type_inferred_from_title</x:v>
      </x:c>
      <x:c r="M6004" s="10" t="n">
        <x:v>0</x:v>
      </x:c>
      <x:c r="N6004" s="10" t="n">
        <x:v>0</x:v>
      </x:c>
      <x:c r="O6004" s="2" t="str">
        <x:v>Tp Hồ Chí Minh|house</x:v>
      </x:c>
      <x:c r="P6004" s="10" t="n">
        <x:v>2</x:v>
      </x:c>
      <x:c r="Q6004" s="13" t="n">
        <x:f>IF(H6004="","",H6004/1000000000)</x:f>
        <x:v>6.8</x:v>
      </x:c>
      <x:c r="R6004" s="13" t="n">
        <x:f>IF(I6004="","",I6004/1000000)</x:f>
        <x:v>161.13744075829385</x:v>
      </x:c>
    </x:row>
    <x:row r="6005" ht="21" customHeight="1">
      <x:c r="A6005" s="10" t="n">
        <x:v>7799</x:v>
      </x:c>
      <x:c r="B6005" s="2" t="str">
        <x:v>a9353344f981db9ea347</x:v>
      </x:c>
      <x:c r="C6005" s="2" t="str">
        <x:v>Tp Hồ Chí Minh</x:v>
      </x:c>
      <x:c r="D6005" s="2" t="str">
        <x:v>Quận Tân Phú</x:v>
      </x:c>
      <x:c r="E6005" s="2" t="str">
        <x:v>house</x:v>
      </x:c>
      <x:c r="F6005" s="2" t="str">
        <x:v>sale_assumed</x:v>
      </x:c>
      <x:c r="G6005" s="11" t="n">
        <x:v>80</x:v>
      </x:c>
      <x:c r="H6005" s="12" t="n">
        <x:v>6500000000</x:v>
      </x:c>
      <x:c r="I6005" s="12" t="n">
        <x:v>81250000</x:v>
      </x:c>
      <x:c r="J6005" s="2" t="str">
        <x:v>total</x:v>
      </x:c>
      <x:c r="K6005" s="2" t="str">
        <x:v>top_level_area</x:v>
      </x:c>
      <x:c r="L6005" s="2" t="str">
        <x:v>property_type_inferred_from_title;transaction_assumed_sale_from_dataset_context</x:v>
      </x:c>
      <x:c r="M6005" s="10" t="n">
        <x:v>0</x:v>
      </x:c>
      <x:c r="N6005" s="10" t="n">
        <x:v>0</x:v>
      </x:c>
      <x:c r="O6005" s="2" t="str">
        <x:v>Tp Hồ Chí Minh|house</x:v>
      </x:c>
      <x:c r="P6005" s="10" t="n">
        <x:v>2</x:v>
      </x:c>
      <x:c r="Q6005" s="13" t="n">
        <x:f>IF(H6005="","",H6005/1000000000)</x:f>
        <x:v>6.5</x:v>
      </x:c>
      <x:c r="R6005" s="13" t="n">
        <x:f>IF(I6005="","",I6005/1000000)</x:f>
        <x:v>81.25</x:v>
      </x:c>
    </x:row>
    <x:row r="6006" ht="21" customHeight="1">
      <x:c r="A6006" s="10" t="n">
        <x:v>7800</x:v>
      </x:c>
      <x:c r="B6006" s="2" t="str">
        <x:v>4557ee00b84ce3f61823</x:v>
      </x:c>
      <x:c r="C6006" s="2" t="str">
        <x:v>Bình Phước</x:v>
      </x:c>
      <x:c r="D6006" s="2" t="str">
        <x:v>Thành phố Đồng Xoài</x:v>
      </x:c>
      <x:c r="E6006" s="2" t="str">
        <x:v>other_unknown</x:v>
      </x:c>
      <x:c r="F6006" s="2" t="str">
        <x:v>sale_assumed</x:v>
      </x:c>
      <x:c r="G6006" s="11" t="n">
        <x:v>300</x:v>
      </x:c>
      <x:c r="H6006" s="12" t="n">
        <x:v>200000000</x:v>
      </x:c>
      <x:c r="I6006" s="12" t="n">
        <x:v>666666.6666666666</x:v>
      </x:c>
      <x:c r="J6006" s="2" t="str">
        <x:v>total</x:v>
      </x:c>
      <x:c r="K6006" s="2" t="str">
        <x:v>top_level_area</x:v>
      </x:c>
      <x:c r="L6006" s="2" t="str">
        <x:v>property_type_inferred_from_title;transaction_assumed_sale_from_dataset_context;unknown_property_type</x:v>
      </x:c>
      <x:c r="M6006" s="10" t="n">
        <x:v>0</x:v>
      </x:c>
      <x:c r="N6006" s="10" t="n">
        <x:v>0</x:v>
      </x:c>
      <x:c r="O6006" s="2" t="str">
        <x:v>other_unknown</x:v>
      </x:c>
      <x:c r="P6006" s="10" t="n">
        <x:v>1</x:v>
      </x:c>
      <x:c r="Q6006" s="13" t="n">
        <x:f>IF(H6006="","",H6006/1000000000)</x:f>
        <x:v>0.2</x:v>
      </x:c>
      <x:c r="R6006" s="13" t="n">
        <x:f>IF(I6006="","",I6006/1000000)</x:f>
        <x:v>0.6666666666666666</x:v>
      </x:c>
    </x:row>
    <x:row r="6007" ht="21" customHeight="1">
      <x:c r="A6007" s="10" t="n">
        <x:v>7801</x:v>
      </x:c>
      <x:c r="B6007" s="2" t="str">
        <x:v>e2452c812461c611a1d5</x:v>
      </x:c>
      <x:c r="C6007" s="2" t="str">
        <x:v>Tp Hồ Chí Minh</x:v>
      </x:c>
      <x:c r="D6007" s="2" t="str">
        <x:v>Quận 8</x:v>
      </x:c>
      <x:c r="E6007" s="2" t="str">
        <x:v>land</x:v>
      </x:c>
      <x:c r="F6007" s="2" t="str">
        <x:v>sale</x:v>
      </x:c>
      <x:c r="G6007" s="11" t="n">
        <x:v>100</x:v>
      </x:c>
      <x:c r="H6007" s="12" t="n">
        <x:v>2350000000</x:v>
      </x:c>
      <x:c r="I6007" s="12" t="n">
        <x:v>23500000</x:v>
      </x:c>
      <x:c r="J6007" s="2" t="str">
        <x:v>total</x:v>
      </x:c>
      <x:c r="K6007" s="2" t="str">
        <x:v>top_level_area</x:v>
      </x:c>
      <x:c r="L6007" s="2" t="str">
        <x:v>property_type_inferred_from_title</x:v>
      </x:c>
      <x:c r="M6007" s="10" t="n">
        <x:v>0</x:v>
      </x:c>
      <x:c r="N6007" s="10" t="n">
        <x:v>0</x:v>
      </x:c>
      <x:c r="O6007" s="2" t="str">
        <x:v>Tp Hồ Chí Minh|land</x:v>
      </x:c>
      <x:c r="P6007" s="10" t="n">
        <x:v>2</x:v>
      </x:c>
      <x:c r="Q6007" s="13" t="n">
        <x:f>IF(H6007="","",H6007/1000000000)</x:f>
        <x:v>2.35</x:v>
      </x:c>
      <x:c r="R6007" s="13" t="n">
        <x:f>IF(I6007="","",I6007/1000000)</x:f>
        <x:v>23.5</x:v>
      </x:c>
    </x:row>
    <x:row r="6008" ht="21" customHeight="1">
      <x:c r="A6008" s="10" t="n">
        <x:v>7802</x:v>
      </x:c>
      <x:c r="B6008" s="2" t="str">
        <x:v>d37014a3be3e32291cd9</x:v>
      </x:c>
      <x:c r="C6008" s="2" t="str">
        <x:v>Hà Nội</x:v>
      </x:c>
      <x:c r="D6008" s="2" t="str">
        <x:v>Quận Hoàng Mai</x:v>
      </x:c>
      <x:c r="E6008" s="2" t="str">
        <x:v>other_unknown</x:v>
      </x:c>
      <x:c r="F6008" s="2" t="str">
        <x:v>sale</x:v>
      </x:c>
      <x:c r="G6008" s="11" t="n">
        <x:v>70</x:v>
      </x:c>
      <x:c r="H6008" s="12" t="n">
        <x:v>1600000000</x:v>
      </x:c>
      <x:c r="I6008" s="12" t="n">
        <x:v>22857142.85714286</x:v>
      </x:c>
      <x:c r="J6008" s="2" t="str">
        <x:v>total</x:v>
      </x:c>
      <x:c r="K6008" s="2" t="str">
        <x:v>top_level_area</x:v>
      </x:c>
      <x:c r="L6008" s="2" t="str">
        <x:v>property_type_inferred_from_title;unknown_property_type</x:v>
      </x:c>
      <x:c r="M6008" s="10" t="n">
        <x:v>0</x:v>
      </x:c>
      <x:c r="N6008" s="10" t="n">
        <x:v>0</x:v>
      </x:c>
      <x:c r="O6008" s="2" t="str">
        <x:v>Hà Nội|other_unknown</x:v>
      </x:c>
      <x:c r="P6008" s="10" t="n">
        <x:v>2</x:v>
      </x:c>
      <x:c r="Q6008" s="13" t="n">
        <x:f>IF(H6008="","",H6008/1000000000)</x:f>
        <x:v>1.6</x:v>
      </x:c>
      <x:c r="R6008" s="13" t="n">
        <x:f>IF(I6008="","",I6008/1000000)</x:f>
        <x:v>22.857142857142858</x:v>
      </x:c>
    </x:row>
    <x:row r="6009" ht="21" customHeight="1">
      <x:c r="A6009" s="10" t="n">
        <x:v>7803</x:v>
      </x:c>
      <x:c r="B6009" s="2" t="str">
        <x:v>8f6afbfdc3e22f7c6332</x:v>
      </x:c>
      <x:c r="C6009" s="2" t="str">
        <x:v>Lâm Đồng</x:v>
      </x:c>
      <x:c r="D6009" s="2" t="str">
        <x:v>Huyện Lâm Hà</x:v>
      </x:c>
      <x:c r="E6009" s="2" t="str">
        <x:v>land</x:v>
      </x:c>
      <x:c r="F6009" s="2" t="str">
        <x:v>sale_assumed</x:v>
      </x:c>
      <x:c r="G6009" s="11" t="n">
        <x:v>10000</x:v>
      </x:c>
      <x:c r="H6009" s="12" t="n">
        <x:v>2000000000</x:v>
      </x:c>
      <x:c r="I6009" s="12" t="n">
        <x:v>200000</x:v>
      </x:c>
      <x:c r="J6009" s="2" t="str">
        <x:v>total</x:v>
      </x:c>
      <x:c r="K6009" s="2" t="str">
        <x:v>top_level_area</x:v>
      </x:c>
      <x:c r="L6009" s="2" t="str">
        <x:v>dot_thousands_convention;property_type_inferred_from_title;transaction_assumed_sale_from_dataset_context</x:v>
      </x:c>
      <x:c r="M6009" s="10" t="n">
        <x:v>0</x:v>
      </x:c>
      <x:c r="N6009" s="10" t="n">
        <x:v>0</x:v>
      </x:c>
      <x:c r="O6009" s="2" t="str">
        <x:v>Lâm Đồng|land</x:v>
      </x:c>
      <x:c r="P6009" s="10" t="n">
        <x:v>1</x:v>
      </x:c>
      <x:c r="Q6009" s="13" t="n">
        <x:f>IF(H6009="","",H6009/1000000000)</x:f>
        <x:v>2</x:v>
      </x:c>
      <x:c r="R6009" s="13" t="n">
        <x:f>IF(I6009="","",I6009/1000000)</x:f>
        <x:v>0.2</x:v>
      </x:c>
    </x:row>
    <x:row r="6010" ht="21" customHeight="1">
      <x:c r="A6010" s="10" t="n">
        <x:v>7804</x:v>
      </x:c>
      <x:c r="B6010" s="2" t="str">
        <x:v>6b9c65f2b00025791a12</x:v>
      </x:c>
      <x:c r="C6010" s="2" t="str">
        <x:v>Hà Nội</x:v>
      </x:c>
      <x:c r="D6010" s="2" t="str">
        <x:v>Quận Đống Đa</x:v>
      </x:c>
      <x:c r="E6010" s="2" t="str">
        <x:v>other_unknown</x:v>
      </x:c>
      <x:c r="F6010" s="2" t="str">
        <x:v>sale_assumed</x:v>
      </x:c>
      <x:c r="G6010" s="11" t="n">
        <x:v>67</x:v>
      </x:c>
      <x:c r="H6010" s="12" t="n">
        <x:v>14300000000</x:v>
      </x:c>
      <x:c r="I6010" s="12" t="n">
        <x:v>213432835.82089552</x:v>
      </x:c>
      <x:c r="J6010" s="2" t="str">
        <x:v>total</x:v>
      </x:c>
      <x:c r="K6010" s="2" t="str">
        <x:v>top_level_area</x:v>
      </x:c>
      <x:c r="L6010" s="2" t="str">
        <x:v>property_type_inferred_from_title;transaction_assumed_sale_from_dataset_context;unknown_property_type</x:v>
      </x:c>
      <x:c r="M6010" s="10" t="n">
        <x:v>1</x:v>
      </x:c>
      <x:c r="N6010" s="10" t="n">
        <x:v>1</x:v>
      </x:c>
      <x:c r="O6010" s="2" t="str">
        <x:v>Hà Nội|other_unknown</x:v>
      </x:c>
      <x:c r="P6010" s="10" t="n">
        <x:v>-1</x:v>
      </x:c>
      <x:c r="Q6010" s="13" t="n">
        <x:f>IF(H6010="","",H6010/1000000000)</x:f>
        <x:v>14.3</x:v>
      </x:c>
      <x:c r="R6010" s="13" t="n">
        <x:f>IF(I6010="","",I6010/1000000)</x:f>
        <x:v>213.43283582089552</x:v>
      </x:c>
    </x:row>
    <x:row r="6011" ht="21" customHeight="1">
      <x:c r="A6011" s="10" t="n">
        <x:v>7805</x:v>
      </x:c>
      <x:c r="B6011" s="2" t="str">
        <x:v>4896b41e05e6eee35bef</x:v>
      </x:c>
      <x:c r="C6011" s="2" t="str">
        <x:v>Đắk Lắk</x:v>
      </x:c>
      <x:c r="D6011" s="2" t="str">
        <x:v>Thành phố Buôn Ma Thuột</x:v>
      </x:c>
      <x:c r="E6011" s="2" t="str">
        <x:v>house</x:v>
      </x:c>
      <x:c r="F6011" s="2" t="str">
        <x:v>sale_assumed</x:v>
      </x:c>
      <x:c r="G6011" s="11" t="n">
        <x:v>110</x:v>
      </x:c>
      <x:c r="H6011" s="12" t="n">
        <x:v>2080000000</x:v>
      </x:c>
      <x:c r="I6011" s="12" t="n">
        <x:v>18909090.90909091</x:v>
      </x:c>
      <x:c r="J6011" s="2" t="str">
        <x:v>total</x:v>
      </x:c>
      <x:c r="K6011" s="2" t="str">
        <x:v>top_level_area</x:v>
      </x:c>
      <x:c r="L6011" s="2" t="str">
        <x:v>property_type_inferred_from_title;transaction_assumed_sale_from_dataset_context</x:v>
      </x:c>
      <x:c r="M6011" s="10" t="n">
        <x:v>0</x:v>
      </x:c>
      <x:c r="N6011" s="10" t="n">
        <x:v>0</x:v>
      </x:c>
      <x:c r="O6011" s="2" t="str">
        <x:v>Đắk Lắk|house</x:v>
      </x:c>
      <x:c r="P6011" s="10" t="n">
        <x:v>2</x:v>
      </x:c>
      <x:c r="Q6011" s="13" t="n">
        <x:f>IF(H6011="","",H6011/1000000000)</x:f>
        <x:v>2.08</x:v>
      </x:c>
      <x:c r="R6011" s="13" t="n">
        <x:f>IF(I6011="","",I6011/1000000)</x:f>
        <x:v>18.90909090909091</x:v>
      </x:c>
    </x:row>
    <x:row r="6012" ht="21" customHeight="1">
      <x:c r="A6012" s="10" t="n">
        <x:v>7809</x:v>
      </x:c>
      <x:c r="B6012" s="2" t="str">
        <x:v>364e943833c9170481a7</x:v>
      </x:c>
      <x:c r="C6012" s="2" t="str">
        <x:v>Tp Hồ Chí Minh</x:v>
      </x:c>
      <x:c r="D6012" s="2" t="str">
        <x:v>Quận 7</x:v>
      </x:c>
      <x:c r="E6012" s="2" t="str">
        <x:v>house</x:v>
      </x:c>
      <x:c r="F6012" s="2" t="str">
        <x:v>sale</x:v>
      </x:c>
      <x:c r="G6012" s="11" t="n">
        <x:v>178</x:v>
      </x:c>
      <x:c r="H6012" s="12" t="n">
        <x:v>15800000000</x:v>
      </x:c>
      <x:c r="I6012" s="12" t="n">
        <x:v>88764044.94382022</x:v>
      </x:c>
      <x:c r="J6012" s="2" t="str">
        <x:v>total</x:v>
      </x:c>
      <x:c r="K6012" s="2" t="str">
        <x:v>top_level_area</x:v>
      </x:c>
      <x:c r="L6012" s="2" t="str">
        <x:v>property_type_inferred_from_title</x:v>
      </x:c>
      <x:c r="M6012" s="10" t="n">
        <x:v>0</x:v>
      </x:c>
      <x:c r="N6012" s="10" t="n">
        <x:v>0</x:v>
      </x:c>
      <x:c r="O6012" s="2" t="str">
        <x:v>Tp Hồ Chí Minh|house</x:v>
      </x:c>
      <x:c r="P6012" s="10" t="n">
        <x:v>2</x:v>
      </x:c>
      <x:c r="Q6012" s="13" t="n">
        <x:f>IF(H6012="","",H6012/1000000000)</x:f>
        <x:v>15.8</x:v>
      </x:c>
      <x:c r="R6012" s="13" t="n">
        <x:f>IF(I6012="","",I6012/1000000)</x:f>
        <x:v>88.76404494382022</x:v>
      </x:c>
    </x:row>
    <x:row r="6013" ht="21" customHeight="1">
      <x:c r="A6013" s="10" t="n">
        <x:v>7810</x:v>
      </x:c>
      <x:c r="B6013" s="2" t="str">
        <x:v>895aa15c75679579a82f</x:v>
      </x:c>
      <x:c r="C6013" s="2" t="str">
        <x:v>Hà Nội</x:v>
      </x:c>
      <x:c r="D6013" s="2" t="str">
        <x:v>Quận Nam Từ Liêm</x:v>
      </x:c>
      <x:c r="E6013" s="2" t="str">
        <x:v>house</x:v>
      </x:c>
      <x:c r="F6013" s="2" t="str">
        <x:v>sale</x:v>
      </x:c>
      <x:c r="G6013" s="11" t="n">
        <x:v>31</x:v>
      </x:c>
      <x:c r="H6013" s="12" t="n">
        <x:v>3300000000</x:v>
      </x:c>
      <x:c r="I6013" s="12" t="n">
        <x:v>106451612.90322581</x:v>
      </x:c>
      <x:c r="J6013" s="2" t="str">
        <x:v>total</x:v>
      </x:c>
      <x:c r="K6013" s="2" t="str">
        <x:v>top_level_area</x:v>
      </x:c>
      <x:c r="L6013" s="2" t="str">
        <x:v>property_type_inferred_from_title</x:v>
      </x:c>
      <x:c r="M6013" s="10" t="n">
        <x:v>0</x:v>
      </x:c>
      <x:c r="N6013" s="10" t="n">
        <x:v>0</x:v>
      </x:c>
      <x:c r="O6013" s="2" t="str">
        <x:v>Hà Nội|house</x:v>
      </x:c>
      <x:c r="P6013" s="10" t="n">
        <x:v>2</x:v>
      </x:c>
      <x:c r="Q6013" s="13" t="n">
        <x:f>IF(H6013="","",H6013/1000000000)</x:f>
        <x:v>3.3</x:v>
      </x:c>
      <x:c r="R6013" s="13" t="n">
        <x:f>IF(I6013="","",I6013/1000000)</x:f>
        <x:v>106.45161290322581</x:v>
      </x:c>
    </x:row>
    <x:row r="6014" ht="21" customHeight="1">
      <x:c r="A6014" s="10" t="n">
        <x:v>7811</x:v>
      </x:c>
      <x:c r="B6014" s="2" t="str">
        <x:v>6c3deb0b8bc7cab36367</x:v>
      </x:c>
      <x:c r="C6014" s="2" t="str">
        <x:v>Tp Hồ Chí Minh</x:v>
      </x:c>
      <x:c r="D6014" s="2" t="str">
        <x:v>Huyện Bình Chánh</x:v>
      </x:c>
      <x:c r="E6014" s="2" t="str">
        <x:v>house</x:v>
      </x:c>
      <x:c r="F6014" s="2" t="str">
        <x:v>sale</x:v>
      </x:c>
      <x:c r="G6014" s="11" t="n">
        <x:v>40</x:v>
      </x:c>
      <x:c r="H6014" s="12" t="n">
        <x:v>860000000000</x:v>
      </x:c>
      <x:c r="I6014" s="12" t="n">
        <x:v>21500000000</x:v>
      </x:c>
      <x:c r="J6014" s="2" t="str">
        <x:v>total</x:v>
      </x:c>
      <x:c r="K6014" s="2" t="str">
        <x:v>top_level_area</x:v>
      </x:c>
      <x:c r="L6014" s="2" t="str">
        <x:v>property_type_inferred_from_title</x:v>
      </x:c>
      <x:c r="M6014" s="10" t="n">
        <x:v>1</x:v>
      </x:c>
      <x:c r="N6014" s="10" t="n">
        <x:v>1</x:v>
      </x:c>
      <x:c r="O6014" s="2" t="str">
        <x:v>Tp Hồ Chí Minh|house</x:v>
      </x:c>
      <x:c r="P6014" s="10" t="n">
        <x:v>-1</x:v>
      </x:c>
      <x:c r="Q6014" s="13" t="n">
        <x:f>IF(H6014="","",H6014/1000000000)</x:f>
        <x:v>860</x:v>
      </x:c>
      <x:c r="R6014" s="13" t="n">
        <x:f>IF(I6014="","",I6014/1000000)</x:f>
        <x:v>21500</x:v>
      </x:c>
    </x:row>
    <x:row r="6015" ht="21" customHeight="1">
      <x:c r="A6015" s="10" t="n">
        <x:v>7812</x:v>
      </x:c>
      <x:c r="B6015" s="2" t="str">
        <x:v>b66f58b468fae3781358</x:v>
      </x:c>
      <x:c r="C6015" s="2" t="str">
        <x:v>Bình Dương</x:v>
      </x:c>
      <x:c r="D6015" s="2" t="str">
        <x:v>Thị xã Bến Cát</x:v>
      </x:c>
      <x:c r="E6015" s="2" t="str">
        <x:v>land</x:v>
      </x:c>
      <x:c r="F6015" s="2" t="str">
        <x:v>sale_assumed</x:v>
      </x:c>
      <x:c r="G6015" s="11" t="n">
        <x:v>150</x:v>
      </x:c>
      <x:c r="H6015" s="12" t="n">
        <x:v>1650000000</x:v>
      </x:c>
      <x:c r="I6015" s="12" t="n">
        <x:v>11000000</x:v>
      </x:c>
      <x:c r="J6015" s="2" t="str">
        <x:v>total</x:v>
      </x:c>
      <x:c r="K6015" s="2" t="str">
        <x:v>top_level_area</x:v>
      </x:c>
      <x:c r="L6015" s="2" t="str">
        <x:v>property_type_inferred_from_title;transaction_assumed_sale_from_dataset_context</x:v>
      </x:c>
      <x:c r="M6015" s="10" t="n">
        <x:v>0</x:v>
      </x:c>
      <x:c r="N6015" s="10" t="n">
        <x:v>0</x:v>
      </x:c>
      <x:c r="O6015" s="2" t="str">
        <x:v>Bình Dương|land</x:v>
      </x:c>
      <x:c r="P6015" s="10" t="n">
        <x:v>2</x:v>
      </x:c>
      <x:c r="Q6015" s="13" t="n">
        <x:f>IF(H6015="","",H6015/1000000000)</x:f>
        <x:v>1.65</x:v>
      </x:c>
      <x:c r="R6015" s="13" t="n">
        <x:f>IF(I6015="","",I6015/1000000)</x:f>
        <x:v>11</x:v>
      </x:c>
    </x:row>
    <x:row r="6016" ht="21" customHeight="1">
      <x:c r="A6016" s="10" t="n">
        <x:v>7813</x:v>
      </x:c>
      <x:c r="B6016" s="2" t="str">
        <x:v>f808ddb273283644ef88</x:v>
      </x:c>
      <x:c r="C6016" s="2" t="str">
        <x:v>Hà Nội</x:v>
      </x:c>
      <x:c r="D6016" s="2" t="str">
        <x:v>Huyện Gia Lâm</x:v>
      </x:c>
      <x:c r="E6016" s="2" t="str">
        <x:v>other_unknown</x:v>
      </x:c>
      <x:c r="F6016" s="2" t="str">
        <x:v>sale</x:v>
      </x:c>
      <x:c r="G6016" s="11" t="n">
        <x:v>84</x:v>
      </x:c>
      <x:c r="H6016" s="12" t="n">
        <x:v>6860000000</x:v>
      </x:c>
      <x:c r="I6016" s="12" t="n">
        <x:v>81666666.66666667</x:v>
      </x:c>
      <x:c r="J6016" s="2" t="str">
        <x:v>total</x:v>
      </x:c>
      <x:c r="K6016" s="2" t="str">
        <x:v>top_level_price_embedded_area</x:v>
      </x:c>
      <x:c r="L6016" s="2" t="str">
        <x:v>area_recovered_from_price_text;property_type_inferred_from_title;unknown_property_type</x:v>
      </x:c>
      <x:c r="M6016" s="10" t="n">
        <x:v>0</x:v>
      </x:c>
      <x:c r="N6016" s="10" t="n">
        <x:v>0</x:v>
      </x:c>
      <x:c r="O6016" s="2" t="str">
        <x:v>Hà Nội|other_unknown</x:v>
      </x:c>
      <x:c r="P6016" s="10" t="n">
        <x:v>2</x:v>
      </x:c>
      <x:c r="Q6016" s="13" t="n">
        <x:f>IF(H6016="","",H6016/1000000000)</x:f>
        <x:v>6.86</x:v>
      </x:c>
      <x:c r="R6016" s="13" t="n">
        <x:f>IF(I6016="","",I6016/1000000)</x:f>
        <x:v>81.66666666666667</x:v>
      </x:c>
    </x:row>
    <x:row r="6017" ht="21" customHeight="1">
      <x:c r="A6017" s="10" t="n">
        <x:v>7814</x:v>
      </x:c>
      <x:c r="B6017" s="2" t="str">
        <x:v>7c7ba306c82e0fee266a</x:v>
      </x:c>
      <x:c r="C6017" s="2" t="str">
        <x:v>Tp Hồ Chí Minh</x:v>
      </x:c>
      <x:c r="D6017" s="2" t="str">
        <x:v>Quận Tân Phú</x:v>
      </x:c>
      <x:c r="E6017" s="2" t="str">
        <x:v>other_unknown</x:v>
      </x:c>
      <x:c r="F6017" s="2" t="str">
        <x:v>sale_assumed</x:v>
      </x:c>
      <x:c r="G6017" s="11" t="n">
        <x:v>106</x:v>
      </x:c>
      <x:c r="H6017" s="12" t="n">
        <x:v>11600000000</x:v>
      </x:c>
      <x:c r="I6017" s="12" t="n">
        <x:v>109433962.26415095</x:v>
      </x:c>
      <x:c r="J6017" s="2" t="str">
        <x:v>total</x:v>
      </x:c>
      <x:c r="K6017" s="2" t="str">
        <x:v>top_level_area</x:v>
      </x:c>
      <x:c r="L6017" s="2" t="str">
        <x:v>property_type_inferred_from_title;transaction_assumed_sale_from_dataset_context;unknown_property_type</x:v>
      </x:c>
      <x:c r="M6017" s="10" t="n">
        <x:v>0</x:v>
      </x:c>
      <x:c r="N6017" s="10" t="n">
        <x:v>0</x:v>
      </x:c>
      <x:c r="O6017" s="2" t="str">
        <x:v>Tp Hồ Chí Minh|other_unknown</x:v>
      </x:c>
      <x:c r="P6017" s="10" t="n">
        <x:v>2</x:v>
      </x:c>
      <x:c r="Q6017" s="13" t="n">
        <x:f>IF(H6017="","",H6017/1000000000)</x:f>
        <x:v>11.6</x:v>
      </x:c>
      <x:c r="R6017" s="13" t="n">
        <x:f>IF(I6017="","",I6017/1000000)</x:f>
        <x:v>109.43396226415095</x:v>
      </x:c>
    </x:row>
    <x:row r="6018" ht="21" customHeight="1">
      <x:c r="A6018" s="10" t="n">
        <x:v>7815</x:v>
      </x:c>
      <x:c r="B6018" s="2" t="str">
        <x:v>7b25650a25732e25f8b4</x:v>
      </x:c>
      <x:c r="C6018" s="2" t="str">
        <x:v>Bình Dương</x:v>
      </x:c>
      <x:c r="D6018" s="2" t="str">
        <x:v>Thị xã Dĩ An</x:v>
      </x:c>
      <x:c r="E6018" s="2" t="str">
        <x:v>other_unknown</x:v>
      </x:c>
      <x:c r="F6018" s="2" t="str">
        <x:v>sale_assumed</x:v>
      </x:c>
      <x:c r="G6018" s="11" t="n">
        <x:v>38</x:v>
      </x:c>
      <x:c r="H6018" s="12" t="n">
        <x:v>1150000000</x:v>
      </x:c>
      <x:c r="I6018" s="12" t="n">
        <x:v>30263157.89473684</x:v>
      </x:c>
      <x:c r="J6018" s="2" t="str">
        <x:v>total</x:v>
      </x:c>
      <x:c r="K6018" s="2" t="str">
        <x:v>top_level_area</x:v>
      </x:c>
      <x:c r="L6018" s="2" t="str">
        <x:v>property_type_inferred_from_title;transaction_assumed_sale_from_dataset_context;unknown_property_type</x:v>
      </x:c>
      <x:c r="M6018" s="10" t="n">
        <x:v>0</x:v>
      </x:c>
      <x:c r="N6018" s="10" t="n">
        <x:v>0</x:v>
      </x:c>
      <x:c r="O6018" s="2" t="str">
        <x:v>Bình Dương|other_unknown</x:v>
      </x:c>
      <x:c r="P6018" s="10" t="n">
        <x:v>2</x:v>
      </x:c>
      <x:c r="Q6018" s="13" t="n">
        <x:f>IF(H6018="","",H6018/1000000000)</x:f>
        <x:v>1.15</x:v>
      </x:c>
      <x:c r="R6018" s="13" t="n">
        <x:f>IF(I6018="","",I6018/1000000)</x:f>
        <x:v>30.263157894736842</x:v>
      </x:c>
    </x:row>
    <x:row r="6019" ht="21" customHeight="1">
      <x:c r="A6019" s="10" t="n">
        <x:v>7816</x:v>
      </x:c>
      <x:c r="B6019" s="2" t="str">
        <x:v>ac5a7311ab425ffe87fe</x:v>
      </x:c>
      <x:c r="C6019" s="2" t="str">
        <x:v>Bắc Giang</x:v>
      </x:c>
      <x:c r="D6019" s="2" t="str">
        <x:v>Huyện Việt Yên</x:v>
      </x:c>
      <x:c r="E6019" s="2" t="str">
        <x:v>land</x:v>
      </x:c>
      <x:c r="F6019" s="2" t="str">
        <x:v>sale</x:v>
      </x:c>
      <x:c r="G6019" s="11" t="n">
        <x:v>99</x:v>
      </x:c>
      <x:c r="H6019" s="12" t="n">
        <x:v>360000000</x:v>
      </x:c>
      <x:c r="I6019" s="12" t="n">
        <x:v>3636363.6363636362</x:v>
      </x:c>
      <x:c r="J6019" s="2" t="str">
        <x:v>total</x:v>
      </x:c>
      <x:c r="K6019" s="2" t="str">
        <x:v>top_level_area</x:v>
      </x:c>
      <x:c r="L6019" s="2" t="str">
        <x:v>property_type_inferred_from_title</x:v>
      </x:c>
      <x:c r="M6019" s="10" t="n">
        <x:v>0</x:v>
      </x:c>
      <x:c r="N6019" s="10" t="n">
        <x:v>0</x:v>
      </x:c>
      <x:c r="O6019" s="2" t="str">
        <x:v>land</x:v>
      </x:c>
      <x:c r="P6019" s="10" t="n">
        <x:v>2</x:v>
      </x:c>
      <x:c r="Q6019" s="13" t="n">
        <x:f>IF(H6019="","",H6019/1000000000)</x:f>
        <x:v>0.36</x:v>
      </x:c>
      <x:c r="R6019" s="13" t="n">
        <x:f>IF(I6019="","",I6019/1000000)</x:f>
        <x:v>3.6363636363636362</x:v>
      </x:c>
    </x:row>
    <x:row r="6020" ht="21" customHeight="1">
      <x:c r="A6020" s="10" t="n">
        <x:v>7817</x:v>
      </x:c>
      <x:c r="B6020" s="2" t="str">
        <x:v>6747d7965312c4a32b75</x:v>
      </x:c>
      <x:c r="C6020" s="2" t="str">
        <x:v>Hà Nội</x:v>
      </x:c>
      <x:c r="D6020" s="2" t="str">
        <x:v>Quận Tây Hồ</x:v>
      </x:c>
      <x:c r="E6020" s="2" t="str">
        <x:v>house</x:v>
      </x:c>
      <x:c r="F6020" s="2" t="str">
        <x:v>sale_assumed</x:v>
      </x:c>
      <x:c r="G6020" s="11" t="n">
        <x:v>60</x:v>
      </x:c>
      <x:c r="H6020" s="12" t="n">
        <x:v>4000000000</x:v>
      </x:c>
      <x:c r="I6020" s="12" t="n">
        <x:v>66666666.666666664</x:v>
      </x:c>
      <x:c r="J6020" s="2" t="str">
        <x:v>total</x:v>
      </x:c>
      <x:c r="K6020" s="2" t="str">
        <x:v>top_level_area</x:v>
      </x:c>
      <x:c r="L6020" s="2" t="str">
        <x:v>property_type_inferred_from_title;transaction_assumed_sale_from_dataset_context</x:v>
      </x:c>
      <x:c r="M6020" s="10" t="n">
        <x:v>0</x:v>
      </x:c>
      <x:c r="N6020" s="10" t="n">
        <x:v>0</x:v>
      </x:c>
      <x:c r="O6020" s="2" t="str">
        <x:v>Hà Nội|house</x:v>
      </x:c>
      <x:c r="P6020" s="10" t="n">
        <x:v>2</x:v>
      </x:c>
      <x:c r="Q6020" s="13" t="n">
        <x:f>IF(H6020="","",H6020/1000000000)</x:f>
        <x:v>4</x:v>
      </x:c>
      <x:c r="R6020" s="13" t="n">
        <x:f>IF(I6020="","",I6020/1000000)</x:f>
        <x:v>66.66666666666666</x:v>
      </x:c>
    </x:row>
    <x:row r="6021" ht="21" customHeight="1">
      <x:c r="A6021" s="10" t="n">
        <x:v>7818</x:v>
      </x:c>
      <x:c r="B6021" s="2" t="str">
        <x:v>703f98685c55ff86c33b</x:v>
      </x:c>
      <x:c r="C6021" s="2" t="str">
        <x:v>Tp Hồ Chí Minh</x:v>
      </x:c>
      <x:c r="D6021" s="2" t="str">
        <x:v>Quận Thủ Đức</x:v>
      </x:c>
      <x:c r="E6021" s="2" t="str">
        <x:v>house</x:v>
      </x:c>
      <x:c r="F6021" s="2" t="str">
        <x:v>sale</x:v>
      </x:c>
      <x:c r="G6021" s="11" t="n">
        <x:v>100</x:v>
      </x:c>
      <x:c r="H6021" s="12" t="n">
        <x:v>3880000000</x:v>
      </x:c>
      <x:c r="I6021" s="12" t="n">
        <x:v>38800000</x:v>
      </x:c>
      <x:c r="J6021" s="2" t="str">
        <x:v>total</x:v>
      </x:c>
      <x:c r="K6021" s="2" t="str">
        <x:v>top_level_price_embedded_area</x:v>
      </x:c>
      <x:c r="L6021" s="2" t="str">
        <x:v>area_recovered_from_price_text;property_type_inferred_from_title</x:v>
      </x:c>
      <x:c r="M6021" s="10" t="n">
        <x:v>0</x:v>
      </x:c>
      <x:c r="N6021" s="10" t="n">
        <x:v>0</x:v>
      </x:c>
      <x:c r="O6021" s="2" t="str">
        <x:v>Tp Hồ Chí Minh|house</x:v>
      </x:c>
      <x:c r="P6021" s="10" t="n">
        <x:v>2</x:v>
      </x:c>
      <x:c r="Q6021" s="13" t="n">
        <x:f>IF(H6021="","",H6021/1000000000)</x:f>
        <x:v>3.88</x:v>
      </x:c>
      <x:c r="R6021" s="13" t="n">
        <x:f>IF(I6021="","",I6021/1000000)</x:f>
        <x:v>38.8</x:v>
      </x:c>
    </x:row>
    <x:row r="6022" ht="21" customHeight="1">
      <x:c r="A6022" s="10" t="n">
        <x:v>7819</x:v>
      </x:c>
      <x:c r="B6022" s="2" t="str">
        <x:v>143bfcc14bb5169704c3</x:v>
      </x:c>
      <x:c r="C6022" s="2" t="str">
        <x:v>Bình Phước</x:v>
      </x:c>
      <x:c r="D6022" s="2" t="str">
        <x:v>Huyện Đồng Phú</x:v>
      </x:c>
      <x:c r="E6022" s="2" t="str">
        <x:v>land</x:v>
      </x:c>
      <x:c r="F6022" s="2" t="str">
        <x:v>sale</x:v>
      </x:c>
      <x:c r="G6022" s="11" t="n">
        <x:v>150</x:v>
      </x:c>
      <x:c r="H6022" s="12" t="n">
        <x:v>408000000</x:v>
      </x:c>
      <x:c r="I6022" s="12" t="n">
        <x:v>2720000</x:v>
      </x:c>
      <x:c r="J6022" s="2" t="str">
        <x:v>total</x:v>
      </x:c>
      <x:c r="K6022" s="2" t="str">
        <x:v>top_level_area</x:v>
      </x:c>
      <x:c r="L6022" s="2" t="str">
        <x:v>property_type_inferred_from_title</x:v>
      </x:c>
      <x:c r="M6022" s="10" t="n">
        <x:v>0</x:v>
      </x:c>
      <x:c r="N6022" s="10" t="n">
        <x:v>0</x:v>
      </x:c>
      <x:c r="O6022" s="2" t="str">
        <x:v>Bình Phước|land</x:v>
      </x:c>
      <x:c r="P6022" s="10" t="n">
        <x:v>1</x:v>
      </x:c>
      <x:c r="Q6022" s="13" t="n">
        <x:f>IF(H6022="","",H6022/1000000000)</x:f>
        <x:v>0.408</x:v>
      </x:c>
      <x:c r="R6022" s="13" t="n">
        <x:f>IF(I6022="","",I6022/1000000)</x:f>
        <x:v>2.72</x:v>
      </x:c>
    </x:row>
    <x:row r="6023" ht="21" customHeight="1">
      <x:c r="A6023" s="10" t="n">
        <x:v>7820</x:v>
      </x:c>
      <x:c r="B6023" s="2" t="str">
        <x:v>65509f8489c8de0858c1</x:v>
      </x:c>
      <x:c r="C6023" s="2" t="str">
        <x:v>Hà Nội</x:v>
      </x:c>
      <x:c r="D6023" s="2" t="str">
        <x:v>Quận Hai Bà Trưng</x:v>
      </x:c>
      <x:c r="E6023" s="2" t="str">
        <x:v>house</x:v>
      </x:c>
      <x:c r="F6023" s="2" t="str">
        <x:v>sale</x:v>
      </x:c>
      <x:c r="G6023" s="11" t="n">
        <x:v>20</x:v>
      </x:c>
      <x:c r="H6023" s="12" t="n">
        <x:v>2700000000</x:v>
      </x:c>
      <x:c r="I6023" s="12" t="n">
        <x:v>135000000</x:v>
      </x:c>
      <x:c r="J6023" s="2" t="str">
        <x:v>total</x:v>
      </x:c>
      <x:c r="K6023" s="2" t="str">
        <x:v>top_level_area</x:v>
      </x:c>
      <x:c r="L6023" s="2" t="str">
        <x:v>property_type_inferred_from_title</x:v>
      </x:c>
      <x:c r="M6023" s="10" t="n">
        <x:v>0</x:v>
      </x:c>
      <x:c r="N6023" s="10" t="n">
        <x:v>0</x:v>
      </x:c>
      <x:c r="O6023" s="2" t="str">
        <x:v>Hà Nội|house</x:v>
      </x:c>
      <x:c r="P6023" s="10" t="n">
        <x:v>2</x:v>
      </x:c>
      <x:c r="Q6023" s="13" t="n">
        <x:f>IF(H6023="","",H6023/1000000000)</x:f>
        <x:v>2.7</x:v>
      </x:c>
      <x:c r="R6023" s="13" t="n">
        <x:f>IF(I6023="","",I6023/1000000)</x:f>
        <x:v>135</x:v>
      </x:c>
    </x:row>
    <x:row r="6024" ht="21" customHeight="1">
      <x:c r="A6024" s="10" t="n">
        <x:v>7822</x:v>
      </x:c>
      <x:c r="B6024" s="2" t="str">
        <x:v>ef82ffcf4ea0d16b1a1c</x:v>
      </x:c>
      <x:c r="C6024" s="2" t="str">
        <x:v>Tp Hồ Chí Minh</x:v>
      </x:c>
      <x:c r="D6024" s="2" t="str">
        <x:v>Huyện Bình Chánh</x:v>
      </x:c>
      <x:c r="E6024" s="2" t="str">
        <x:v>house</x:v>
      </x:c>
      <x:c r="F6024" s="2" t="str">
        <x:v>sale_assumed</x:v>
      </x:c>
      <x:c r="G6024" s="11" t="n">
        <x:v>96</x:v>
      </x:c>
      <x:c r="H6024" s="12" t="n">
        <x:v>820000000</x:v>
      </x:c>
      <x:c r="I6024" s="12" t="n">
        <x:v>8541666.666666666</x:v>
      </x:c>
      <x:c r="J6024" s="2" t="str">
        <x:v>total</x:v>
      </x:c>
      <x:c r="K6024" s="2" t="str">
        <x:v>top_level_area</x:v>
      </x:c>
      <x:c r="L6024" s="2" t="str">
        <x:v>property_type_inferred_from_title;transaction_assumed_sale_from_dataset_context</x:v>
      </x:c>
      <x:c r="M6024" s="10" t="n">
        <x:v>0</x:v>
      </x:c>
      <x:c r="N6024" s="10" t="n">
        <x:v>0</x:v>
      </x:c>
      <x:c r="O6024" s="2" t="str">
        <x:v>Tp Hồ Chí Minh|house</x:v>
      </x:c>
      <x:c r="P6024" s="10" t="n">
        <x:v>2</x:v>
      </x:c>
      <x:c r="Q6024" s="13" t="n">
        <x:f>IF(H6024="","",H6024/1000000000)</x:f>
        <x:v>0.82</x:v>
      </x:c>
      <x:c r="R6024" s="13" t="n">
        <x:f>IF(I6024="","",I6024/1000000)</x:f>
        <x:v>8.541666666666666</x:v>
      </x:c>
    </x:row>
    <x:row r="6025" ht="21" customHeight="1">
      <x:c r="A6025" s="10" t="n">
        <x:v>7823</x:v>
      </x:c>
      <x:c r="B6025" s="2" t="str">
        <x:v>f79c321e53a7acf59c79</x:v>
      </x:c>
      <x:c r="C6025" s="2" t="str">
        <x:v>Đắk Nông</x:v>
      </x:c>
      <x:c r="D6025" s="2" t="str">
        <x:v>Thị xã Gia Nghĩa</x:v>
      </x:c>
      <x:c r="E6025" s="2" t="str">
        <x:v>land</x:v>
      </x:c>
      <x:c r="F6025" s="2" t="str">
        <x:v>sale_assumed</x:v>
      </x:c>
      <x:c r="G6025" s="11" t="n">
        <x:v>280</x:v>
      </x:c>
      <x:c r="H6025" s="12" t="n">
        <x:v>1850000000</x:v>
      </x:c>
      <x:c r="I6025" s="12" t="n">
        <x:v>6607142.857142857</x:v>
      </x:c>
      <x:c r="J6025" s="2" t="str">
        <x:v>total</x:v>
      </x:c>
      <x:c r="K6025" s="2" t="str">
        <x:v>top_level_area</x:v>
      </x:c>
      <x:c r="L6025" s="2" t="str">
        <x:v>property_type_inferred_from_title;transaction_assumed_sale_from_dataset_context</x:v>
      </x:c>
      <x:c r="M6025" s="10" t="n">
        <x:v>0</x:v>
      </x:c>
      <x:c r="N6025" s="10" t="n">
        <x:v>0</x:v>
      </x:c>
      <x:c r="O6025" s="2" t="str">
        <x:v>land</x:v>
      </x:c>
      <x:c r="P6025" s="10" t="n">
        <x:v>1</x:v>
      </x:c>
      <x:c r="Q6025" s="13" t="n">
        <x:f>IF(H6025="","",H6025/1000000000)</x:f>
        <x:v>1.85</x:v>
      </x:c>
      <x:c r="R6025" s="13" t="n">
        <x:f>IF(I6025="","",I6025/1000000)</x:f>
        <x:v>6.607142857142858</x:v>
      </x:c>
    </x:row>
    <x:row r="6026" ht="21" customHeight="1">
      <x:c r="A6026" s="10" t="n">
        <x:v>7824</x:v>
      </x:c>
      <x:c r="B6026" s="2" t="str">
        <x:v>6368d93d88fb1c6fa1ec</x:v>
      </x:c>
      <x:c r="C6026" s="2" t="str">
        <x:v>Tp Hồ Chí Minh</x:v>
      </x:c>
      <x:c r="D6026" s="2" t="str">
        <x:v>Quận 12</x:v>
      </x:c>
      <x:c r="E6026" s="2" t="str">
        <x:v>apartment</x:v>
      </x:c>
      <x:c r="F6026" s="2" t="str">
        <x:v>sale_assumed</x:v>
      </x:c>
      <x:c r="G6026" s="11" t="n">
        <x:v>65</x:v>
      </x:c>
      <x:c r="H6026" s="12" t="n">
        <x:v>2200000000</x:v>
      </x:c>
      <x:c r="I6026" s="12" t="n">
        <x:v>33846153.84615385</x:v>
      </x:c>
      <x:c r="J6026" s="2" t="str">
        <x:v>total</x:v>
      </x:c>
      <x:c r="K6026" s="2" t="str">
        <x:v>top_level_area</x:v>
      </x:c>
      <x:c r="L6026" s="2" t="str">
        <x:v>property_type_inferred_from_title;transaction_assumed_sale_from_dataset_context</x:v>
      </x:c>
      <x:c r="M6026" s="10" t="n">
        <x:v>0</x:v>
      </x:c>
      <x:c r="N6026" s="10" t="n">
        <x:v>0</x:v>
      </x:c>
      <x:c r="O6026" s="2" t="str">
        <x:v>Tp Hồ Chí Minh|apartment</x:v>
      </x:c>
      <x:c r="P6026" s="10" t="n">
        <x:v>2</x:v>
      </x:c>
      <x:c r="Q6026" s="13" t="n">
        <x:f>IF(H6026="","",H6026/1000000000)</x:f>
        <x:v>2.2</x:v>
      </x:c>
      <x:c r="R6026" s="13" t="n">
        <x:f>IF(I6026="","",I6026/1000000)</x:f>
        <x:v>33.84615384615385</x:v>
      </x:c>
    </x:row>
    <x:row r="6027" ht="21" customHeight="1">
      <x:c r="A6027" s="10" t="n">
        <x:v>7825</x:v>
      </x:c>
      <x:c r="B6027" s="2" t="str">
        <x:v>07851bc0976c91ecff90</x:v>
      </x:c>
      <x:c r="C6027" s="2" t="str">
        <x:v>Tp Hồ Chí Minh</x:v>
      </x:c>
      <x:c r="D6027" s="2" t="str">
        <x:v>Quận Phú Nhuận</x:v>
      </x:c>
      <x:c r="E6027" s="2" t="str">
        <x:v>other_unknown</x:v>
      </x:c>
      <x:c r="F6027" s="2" t="str">
        <x:v>sale</x:v>
      </x:c>
      <x:c r="G6027" s="11" t="n">
        <x:v>28</x:v>
      </x:c>
      <x:c r="H6027" s="12" t="n">
        <x:v>1700000000</x:v>
      </x:c>
      <x:c r="I6027" s="12" t="n">
        <x:v>60714285.71428572</x:v>
      </x:c>
      <x:c r="J6027" s="2" t="str">
        <x:v>total</x:v>
      </x:c>
      <x:c r="K6027" s="2" t="str">
        <x:v>top_level_area</x:v>
      </x:c>
      <x:c r="L6027" s="2" t="str">
        <x:v>property_type_inferred_from_title;unknown_property_type</x:v>
      </x:c>
      <x:c r="M6027" s="10" t="n">
        <x:v>0</x:v>
      </x:c>
      <x:c r="N6027" s="10" t="n">
        <x:v>0</x:v>
      </x:c>
      <x:c r="O6027" s="2" t="str">
        <x:v>Tp Hồ Chí Minh|other_unknown</x:v>
      </x:c>
      <x:c r="P6027" s="10" t="n">
        <x:v>2</x:v>
      </x:c>
      <x:c r="Q6027" s="13" t="n">
        <x:f>IF(H6027="","",H6027/1000000000)</x:f>
        <x:v>1.7</x:v>
      </x:c>
      <x:c r="R6027" s="13" t="n">
        <x:f>IF(I6027="","",I6027/1000000)</x:f>
        <x:v>60.714285714285715</x:v>
      </x:c>
    </x:row>
    <x:row r="6028" ht="21" customHeight="1">
      <x:c r="A6028" s="10" t="n">
        <x:v>7826</x:v>
      </x:c>
      <x:c r="B6028" s="2" t="str">
        <x:v>ed90dec32f064971bfb7</x:v>
      </x:c>
      <x:c r="C6028" s="2" t="str">
        <x:v>Long An</x:v>
      </x:c>
      <x:c r="D6028" s="2" t="str">
        <x:v>Huyện Cần Giuộc</x:v>
      </x:c>
      <x:c r="E6028" s="2" t="str">
        <x:v>house</x:v>
      </x:c>
      <x:c r="F6028" s="2" t="str">
        <x:v>sale</x:v>
      </x:c>
      <x:c r="G6028" s="11" t="n">
        <x:v>56</x:v>
      </x:c>
      <x:c r="H6028" s="12" t="n">
        <x:v>650000000</x:v>
      </x:c>
      <x:c r="I6028" s="12" t="n">
        <x:v>11607142.857142856</x:v>
      </x:c>
      <x:c r="J6028" s="2" t="str">
        <x:v>total</x:v>
      </x:c>
      <x:c r="K6028" s="2" t="str">
        <x:v>top_level_area</x:v>
      </x:c>
      <x:c r="L6028" s="2" t="str">
        <x:v>property_type_inferred_from_title</x:v>
      </x:c>
      <x:c r="M6028" s="10" t="n">
        <x:v>0</x:v>
      </x:c>
      <x:c r="N6028" s="10" t="n">
        <x:v>0</x:v>
      </x:c>
      <x:c r="O6028" s="2" t="str">
        <x:v>Long An|house</x:v>
      </x:c>
      <x:c r="P6028" s="10" t="n">
        <x:v>2</x:v>
      </x:c>
      <x:c r="Q6028" s="13" t="n">
        <x:f>IF(H6028="","",H6028/1000000000)</x:f>
        <x:v>0.65</x:v>
      </x:c>
      <x:c r="R6028" s="13" t="n">
        <x:f>IF(I6028="","",I6028/1000000)</x:f>
        <x:v>11.607142857142856</x:v>
      </x:c>
    </x:row>
    <x:row r="6029" ht="21" customHeight="1">
      <x:c r="A6029" s="10" t="n">
        <x:v>7827</x:v>
      </x:c>
      <x:c r="B6029" s="2" t="str">
        <x:v>7d41e24811dd2449b9c8</x:v>
      </x:c>
      <x:c r="C6029" s="2" t="str">
        <x:v>Tp Hồ Chí Minh</x:v>
      </x:c>
      <x:c r="D6029" s="2" t="str">
        <x:v>Quận Tân Bình</x:v>
      </x:c>
      <x:c r="E6029" s="2" t="str">
        <x:v>house</x:v>
      </x:c>
      <x:c r="F6029" s="2" t="str">
        <x:v>sale</x:v>
      </x:c>
      <x:c r="G6029" s="11" t="n">
        <x:v>42</x:v>
      </x:c>
      <x:c r="H6029" s="12" t="n">
        <x:v>5100000000</x:v>
      </x:c>
      <x:c r="I6029" s="12" t="n">
        <x:v>121428571.42857143</x:v>
      </x:c>
      <x:c r="J6029" s="2" t="str">
        <x:v>total</x:v>
      </x:c>
      <x:c r="K6029" s="2" t="str">
        <x:v>top_level_area</x:v>
      </x:c>
      <x:c r="L6029" s="2" t="str">
        <x:v>property_type_inferred_from_title</x:v>
      </x:c>
      <x:c r="M6029" s="10" t="n">
        <x:v>0</x:v>
      </x:c>
      <x:c r="N6029" s="10" t="n">
        <x:v>0</x:v>
      </x:c>
      <x:c r="O6029" s="2" t="str">
        <x:v>Tp Hồ Chí Minh|house</x:v>
      </x:c>
      <x:c r="P6029" s="10" t="n">
        <x:v>2</x:v>
      </x:c>
      <x:c r="Q6029" s="13" t="n">
        <x:f>IF(H6029="","",H6029/1000000000)</x:f>
        <x:v>5.1</x:v>
      </x:c>
      <x:c r="R6029" s="13" t="n">
        <x:f>IF(I6029="","",I6029/1000000)</x:f>
        <x:v>121.42857142857143</x:v>
      </x:c>
    </x:row>
    <x:row r="6030" ht="21" customHeight="1">
      <x:c r="A6030" s="10" t="n">
        <x:v>7828</x:v>
      </x:c>
      <x:c r="B6030" s="2" t="str">
        <x:v>80894cc5a62a93f0f536</x:v>
      </x:c>
      <x:c r="C6030" s="2" t="str">
        <x:v>Đà Nẵng</x:v>
      </x:c>
      <x:c r="D6030" s="2" t="str">
        <x:v>Quận Hải Châu</x:v>
      </x:c>
      <x:c r="E6030" s="2" t="str">
        <x:v>other_unknown</x:v>
      </x:c>
      <x:c r="F6030" s="2" t="str">
        <x:v>sale_assumed</x:v>
      </x:c>
      <x:c r="G6030" s="11" t="n">
        <x:v>52</x:v>
      </x:c>
      <x:c r="H6030" s="12" t="n">
        <x:v>2750000000</x:v>
      </x:c>
      <x:c r="I6030" s="12" t="n">
        <x:v>52884615.384615384</x:v>
      </x:c>
      <x:c r="J6030" s="2" t="str">
        <x:v>total</x:v>
      </x:c>
      <x:c r="K6030" s="2" t="str">
        <x:v>top_level_area</x:v>
      </x:c>
      <x:c r="L6030" s="2" t="str">
        <x:v>property_type_inferred_from_title;transaction_assumed_sale_from_dataset_context;unknown_property_type</x:v>
      </x:c>
      <x:c r="M6030" s="10" t="n">
        <x:v>0</x:v>
      </x:c>
      <x:c r="N6030" s="10" t="n">
        <x:v>0</x:v>
      </x:c>
      <x:c r="O6030" s="2" t="str">
        <x:v>Đà Nẵng|other_unknown</x:v>
      </x:c>
      <x:c r="P6030" s="10" t="n">
        <x:v>2</x:v>
      </x:c>
      <x:c r="Q6030" s="13" t="n">
        <x:f>IF(H6030="","",H6030/1000000000)</x:f>
        <x:v>2.75</x:v>
      </x:c>
      <x:c r="R6030" s="13" t="n">
        <x:f>IF(I6030="","",I6030/1000000)</x:f>
        <x:v>52.88461538461539</x:v>
      </x:c>
    </x:row>
    <x:row r="6031" ht="21" customHeight="1">
      <x:c r="A6031" s="10" t="n">
        <x:v>7832</x:v>
      </x:c>
      <x:c r="B6031" s="2" t="str">
        <x:v>e90638c1650fffefe34c</x:v>
      </x:c>
      <x:c r="C6031" s="2" t="str">
        <x:v>Chưa xác định</x:v>
      </x:c>
      <x:c r="D6031" s="2" t="str">
        <x:v>Chưa xác định</x:v>
      </x:c>
      <x:c r="E6031" s="2" t="str">
        <x:v>house</x:v>
      </x:c>
      <x:c r="F6031" s="2" t="str">
        <x:v>sale_assumed</x:v>
      </x:c>
      <x:c r="G6031" s="11" t="n">
        <x:v>315.1</x:v>
      </x:c>
      <x:c r="H6031" s="12" t="n">
        <x:v>11343000000</x:v>
      </x:c>
      <x:c r="I6031" s="12" t="n">
        <x:v>35998095.842589654</x:v>
      </x:c>
      <x:c r="J6031" s="2" t="str">
        <x:v>total</x:v>
      </x:c>
      <x:c r="K6031" s="2" t="str">
        <x:v>top_level_area</x:v>
      </x:c>
      <x:c r="L6031" s="2" t="str">
        <x:v>property_type_inferred_from_title;transaction_assumed_sale_from_dataset_context;unknown_district;unknown_province</x:v>
      </x:c>
      <x:c r="M6031" s="10" t="n">
        <x:v>0</x:v>
      </x:c>
      <x:c r="N6031" s="10" t="n">
        <x:v>0</x:v>
      </x:c>
      <x:c r="O6031" s="2" t="str">
        <x:v>house</x:v>
      </x:c>
      <x:c r="P6031" s="10" t="n">
        <x:v>2</x:v>
      </x:c>
      <x:c r="Q6031" s="13" t="n">
        <x:f>IF(H6031="","",H6031/1000000000)</x:f>
        <x:v>11.343</x:v>
      </x:c>
      <x:c r="R6031" s="13" t="n">
        <x:f>IF(I6031="","",I6031/1000000)</x:f>
        <x:v>35.998095842589656</x:v>
      </x:c>
    </x:row>
    <x:row r="6032" ht="21" customHeight="1">
      <x:c r="A6032" s="10" t="n">
        <x:v>7833</x:v>
      </x:c>
      <x:c r="B6032" s="2" t="str">
        <x:v>8fef119ea99b27fc9881</x:v>
      </x:c>
      <x:c r="C6032" s="2" t="str">
        <x:v>Khánh Hòa</x:v>
      </x:c>
      <x:c r="D6032" s="2" t="str">
        <x:v>Huyện Diên Khánh</x:v>
      </x:c>
      <x:c r="E6032" s="2" t="str">
        <x:v>land</x:v>
      </x:c>
      <x:c r="F6032" s="2" t="str">
        <x:v>sale_assumed</x:v>
      </x:c>
      <x:c r="G6032" s="11" t="n">
        <x:v>270</x:v>
      </x:c>
      <x:c r="H6032" s="12" t="n">
        <x:v>1485000000</x:v>
      </x:c>
      <x:c r="I6032" s="12" t="n">
        <x:v>5500000</x:v>
      </x:c>
      <x:c r="J6032" s="2" t="str">
        <x:v>total</x:v>
      </x:c>
      <x:c r="K6032" s="2" t="str">
        <x:v>top_level_area</x:v>
      </x:c>
      <x:c r="L6032" s="2" t="str">
        <x:v>property_type_inferred_from_title;transaction_assumed_sale_from_dataset_context</x:v>
      </x:c>
      <x:c r="M6032" s="10" t="n">
        <x:v>0</x:v>
      </x:c>
      <x:c r="N6032" s="10" t="n">
        <x:v>0</x:v>
      </x:c>
      <x:c r="O6032" s="2" t="str">
        <x:v>land</x:v>
      </x:c>
      <x:c r="P6032" s="10" t="n">
        <x:v>1</x:v>
      </x:c>
      <x:c r="Q6032" s="13" t="n">
        <x:f>IF(H6032="","",H6032/1000000000)</x:f>
        <x:v>1.485</x:v>
      </x:c>
      <x:c r="R6032" s="13" t="n">
        <x:f>IF(I6032="","",I6032/1000000)</x:f>
        <x:v>5.5</x:v>
      </x:c>
    </x:row>
    <x:row r="6033" ht="21" customHeight="1">
      <x:c r="A6033" s="10" t="n">
        <x:v>7834</x:v>
      </x:c>
      <x:c r="B6033" s="2" t="str">
        <x:v>27f8f386b6471f5f17bf</x:v>
      </x:c>
      <x:c r="C6033" s="2" t="str">
        <x:v>Tp Hồ Chí Minh</x:v>
      </x:c>
      <x:c r="D6033" s="2" t="str">
        <x:v>Quận 12</x:v>
      </x:c>
      <x:c r="E6033" s="2" t="str">
        <x:v>house</x:v>
      </x:c>
      <x:c r="F6033" s="2" t="str">
        <x:v>sale</x:v>
      </x:c>
      <x:c r="G6033" s="11" t="n">
        <x:v>64</x:v>
      </x:c>
      <x:c r="H6033" s="12" t="n">
        <x:v>3550000000</x:v>
      </x:c>
      <x:c r="I6033" s="12" t="n">
        <x:v>55468750</x:v>
      </x:c>
      <x:c r="J6033" s="2" t="str">
        <x:v>total</x:v>
      </x:c>
      <x:c r="K6033" s="2" t="str">
        <x:v>top_level_area</x:v>
      </x:c>
      <x:c r="L6033" s="2" t="str">
        <x:v>property_type_inferred_from_title</x:v>
      </x:c>
      <x:c r="M6033" s="10" t="n">
        <x:v>0</x:v>
      </x:c>
      <x:c r="N6033" s="10" t="n">
        <x:v>0</x:v>
      </x:c>
      <x:c r="O6033" s="2" t="str">
        <x:v>Tp Hồ Chí Minh|house</x:v>
      </x:c>
      <x:c r="P6033" s="10" t="n">
        <x:v>2</x:v>
      </x:c>
      <x:c r="Q6033" s="13" t="n">
        <x:f>IF(H6033="","",H6033/1000000000)</x:f>
        <x:v>3.55</x:v>
      </x:c>
      <x:c r="R6033" s="13" t="n">
        <x:f>IF(I6033="","",I6033/1000000)</x:f>
        <x:v>55.46875</x:v>
      </x:c>
    </x:row>
    <x:row r="6034" ht="21" customHeight="1">
      <x:c r="A6034" s="10" t="n">
        <x:v>7835</x:v>
      </x:c>
      <x:c r="B6034" s="2" t="str">
        <x:v>4691732ea6730284b664</x:v>
      </x:c>
      <x:c r="C6034" s="2" t="str">
        <x:v>Đắk Lắk</x:v>
      </x:c>
      <x:c r="D6034" s="2" t="str">
        <x:v>Thành phố Buôn Ma Thuột</x:v>
      </x:c>
      <x:c r="E6034" s="2" t="str">
        <x:v>land</x:v>
      </x:c>
      <x:c r="F6034" s="2" t="str">
        <x:v>sale</x:v>
      </x:c>
      <x:c r="G6034" s="11" t="n">
        <x:v>1360</x:v>
      </x:c>
      <x:c r="H6034" s="12" t="n">
        <x:v>700000000</x:v>
      </x:c>
      <x:c r="I6034" s="12" t="n">
        <x:v>514705.8823529412</x:v>
      </x:c>
      <x:c r="J6034" s="2" t="str">
        <x:v>total</x:v>
      </x:c>
      <x:c r="K6034" s="2" t="str">
        <x:v>top_level_area</x:v>
      </x:c>
      <x:c r="L6034" s="2" t="str">
        <x:v>dot_thousands_convention;property_type_inferred_from_title</x:v>
      </x:c>
      <x:c r="M6034" s="10" t="n">
        <x:v>0</x:v>
      </x:c>
      <x:c r="N6034" s="10" t="n">
        <x:v>0</x:v>
      </x:c>
      <x:c r="O6034" s="2" t="str">
        <x:v>Đắk Lắk|land</x:v>
      </x:c>
      <x:c r="P6034" s="10" t="n">
        <x:v>1</x:v>
      </x:c>
      <x:c r="Q6034" s="13" t="n">
        <x:f>IF(H6034="","",H6034/1000000000)</x:f>
        <x:v>0.7</x:v>
      </x:c>
      <x:c r="R6034" s="13" t="n">
        <x:f>IF(I6034="","",I6034/1000000)</x:f>
        <x:v>0.5147058823529412</x:v>
      </x:c>
    </x:row>
    <x:row r="6035" ht="21" customHeight="1">
      <x:c r="A6035" s="10" t="n">
        <x:v>7836</x:v>
      </x:c>
      <x:c r="B6035" s="2" t="str">
        <x:v>dadff62e1d8be3be096f</x:v>
      </x:c>
      <x:c r="C6035" s="2" t="str">
        <x:v>Tp Hồ Chí Minh</x:v>
      </x:c>
      <x:c r="D6035" s="2" t="str">
        <x:v>Quận Tân Phú</x:v>
      </x:c>
      <x:c r="E6035" s="2" t="str">
        <x:v>house</x:v>
      </x:c>
      <x:c r="F6035" s="2" t="str">
        <x:v>sale_assumed</x:v>
      </x:c>
      <x:c r="G6035" s="11" t="n">
        <x:v>38</x:v>
      </x:c>
      <x:c r="H6035" s="12" t="n">
        <x:v>3800000000</x:v>
      </x:c>
      <x:c r="I6035" s="12" t="n">
        <x:v>100000000</x:v>
      </x:c>
      <x:c r="J6035" s="2" t="str">
        <x:v>total</x:v>
      </x:c>
      <x:c r="K6035" s="2" t="str">
        <x:v>top_level_area</x:v>
      </x:c>
      <x:c r="L6035" s="2" t="str">
        <x:v>property_type_inferred_from_title;transaction_assumed_sale_from_dataset_context</x:v>
      </x:c>
      <x:c r="M6035" s="10" t="n">
        <x:v>0</x:v>
      </x:c>
      <x:c r="N6035" s="10" t="n">
        <x:v>0</x:v>
      </x:c>
      <x:c r="O6035" s="2" t="str">
        <x:v>Tp Hồ Chí Minh|house</x:v>
      </x:c>
      <x:c r="P6035" s="10" t="n">
        <x:v>2</x:v>
      </x:c>
      <x:c r="Q6035" s="13" t="n">
        <x:f>IF(H6035="","",H6035/1000000000)</x:f>
        <x:v>3.8</x:v>
      </x:c>
      <x:c r="R6035" s="13" t="n">
        <x:f>IF(I6035="","",I6035/1000000)</x:f>
        <x:v>100</x:v>
      </x:c>
    </x:row>
    <x:row r="6036" ht="21" customHeight="1">
      <x:c r="A6036" s="10" t="n">
        <x:v>7837</x:v>
      </x:c>
      <x:c r="B6036" s="2" t="str">
        <x:v>ddee46b1ffa5f87273da</x:v>
      </x:c>
      <x:c r="C6036" s="2" t="str">
        <x:v>Hà Nội</x:v>
      </x:c>
      <x:c r="D6036" s="2" t="str">
        <x:v>Quận Hà Đông</x:v>
      </x:c>
      <x:c r="E6036" s="2" t="str">
        <x:v>other_unknown</x:v>
      </x:c>
      <x:c r="F6036" s="2" t="str">
        <x:v>sale</x:v>
      </x:c>
      <x:c r="G6036" s="11" t="n">
        <x:v>40</x:v>
      </x:c>
      <x:c r="H6036" s="12" t="n">
        <x:v>3000000000</x:v>
      </x:c>
      <x:c r="I6036" s="12" t="n">
        <x:v>75000000</x:v>
      </x:c>
      <x:c r="J6036" s="2" t="str">
        <x:v>total</x:v>
      </x:c>
      <x:c r="K6036" s="2" t="str">
        <x:v>top_level_area</x:v>
      </x:c>
      <x:c r="L6036" s="2" t="str">
        <x:v>property_type_inferred_from_title;unknown_property_type</x:v>
      </x:c>
      <x:c r="M6036" s="10" t="n">
        <x:v>0</x:v>
      </x:c>
      <x:c r="N6036" s="10" t="n">
        <x:v>0</x:v>
      </x:c>
      <x:c r="O6036" s="2" t="str">
        <x:v>Hà Nội|other_unknown</x:v>
      </x:c>
      <x:c r="P6036" s="10" t="n">
        <x:v>2</x:v>
      </x:c>
      <x:c r="Q6036" s="13" t="n">
        <x:f>IF(H6036="","",H6036/1000000000)</x:f>
        <x:v>3</x:v>
      </x:c>
      <x:c r="R6036" s="13" t="n">
        <x:f>IF(I6036="","",I6036/1000000)</x:f>
        <x:v>75</x:v>
      </x:c>
    </x:row>
    <x:row r="6037" ht="21" customHeight="1">
      <x:c r="A6037" s="10" t="n">
        <x:v>7838</x:v>
      </x:c>
      <x:c r="B6037" s="2" t="str">
        <x:v>fec33b7ca81f8297e60f</x:v>
      </x:c>
      <x:c r="C6037" s="2" t="str">
        <x:v>Hà Nội</x:v>
      </x:c>
      <x:c r="D6037" s="2" t="str">
        <x:v>Quận Long Biên</x:v>
      </x:c>
      <x:c r="E6037" s="2" t="str">
        <x:v>apartment</x:v>
      </x:c>
      <x:c r="F6037" s="2" t="str">
        <x:v>sale</x:v>
      </x:c>
      <x:c r="G6037" s="11" t="n">
        <x:v>100</x:v>
      </x:c>
      <x:c r="H6037" s="12" t="n">
        <x:v>20000000000</x:v>
      </x:c>
      <x:c r="I6037" s="12" t="n">
        <x:v>200000000</x:v>
      </x:c>
      <x:c r="J6037" s="2" t="str">
        <x:v>total</x:v>
      </x:c>
      <x:c r="K6037" s="2" t="str">
        <x:v>top_level_area</x:v>
      </x:c>
      <x:c r="L6037" s="2" t="str">
        <x:v>property_type_inferred_from_title</x:v>
      </x:c>
      <x:c r="M6037" s="10" t="n">
        <x:v>1</x:v>
      </x:c>
      <x:c r="N6037" s="10" t="n">
        <x:v>1</x:v>
      </x:c>
      <x:c r="O6037" s="2" t="str">
        <x:v>Hà Nội|apartment</x:v>
      </x:c>
      <x:c r="P6037" s="10" t="n">
        <x:v>-1</x:v>
      </x:c>
      <x:c r="Q6037" s="13" t="n">
        <x:f>IF(H6037="","",H6037/1000000000)</x:f>
        <x:v>20</x:v>
      </x:c>
      <x:c r="R6037" s="13" t="n">
        <x:f>IF(I6037="","",I6037/1000000)</x:f>
        <x:v>200</x:v>
      </x:c>
    </x:row>
    <x:row r="6038" ht="21" customHeight="1">
      <x:c r="A6038" s="10" t="n">
        <x:v>7839</x:v>
      </x:c>
      <x:c r="B6038" s="2" t="str">
        <x:v>638b488ede01f02af635</x:v>
      </x:c>
      <x:c r="C6038" s="2" t="str">
        <x:v>Hà Nội</x:v>
      </x:c>
      <x:c r="D6038" s="2" t="str">
        <x:v>Quận Hà Đông</x:v>
      </x:c>
      <x:c r="E6038" s="2" t="str">
        <x:v>house</x:v>
      </x:c>
      <x:c r="F6038" s="2" t="str">
        <x:v>sale_assumed</x:v>
      </x:c>
      <x:c r="G6038" s="11" t="n">
        <x:v>32</x:v>
      </x:c>
      <x:c r="H6038" s="12" t="n">
        <x:v>1300000000</x:v>
      </x:c>
      <x:c r="I6038" s="12" t="n">
        <x:v>40625000</x:v>
      </x:c>
      <x:c r="J6038" s="2" t="str">
        <x:v>total</x:v>
      </x:c>
      <x:c r="K6038" s="2" t="str">
        <x:v>top_level_area</x:v>
      </x:c>
      <x:c r="L6038" s="2" t="str">
        <x:v>property_type_inferred_from_title;transaction_assumed_sale_from_dataset_context</x:v>
      </x:c>
      <x:c r="M6038" s="10" t="n">
        <x:v>0</x:v>
      </x:c>
      <x:c r="N6038" s="10" t="n">
        <x:v>0</x:v>
      </x:c>
      <x:c r="O6038" s="2" t="str">
        <x:v>Hà Nội|house</x:v>
      </x:c>
      <x:c r="P6038" s="10" t="n">
        <x:v>2</x:v>
      </x:c>
      <x:c r="Q6038" s="13" t="n">
        <x:f>IF(H6038="","",H6038/1000000000)</x:f>
        <x:v>1.3</x:v>
      </x:c>
      <x:c r="R6038" s="13" t="n">
        <x:f>IF(I6038="","",I6038/1000000)</x:f>
        <x:v>40.625</x:v>
      </x:c>
    </x:row>
    <x:row r="6039" ht="21" customHeight="1">
      <x:c r="A6039" s="10" t="n">
        <x:v>7840</x:v>
      </x:c>
      <x:c r="B6039" s="2" t="str">
        <x:v>41ee040a42e20e06dd44</x:v>
      </x:c>
      <x:c r="C6039" s="2" t="str">
        <x:v>Tp Hồ Chí Minh</x:v>
      </x:c>
      <x:c r="D6039" s="2" t="str">
        <x:v>Quận Gò Vấp</x:v>
      </x:c>
      <x:c r="E6039" s="2" t="str">
        <x:v>house</x:v>
      </x:c>
      <x:c r="F6039" s="2" t="str">
        <x:v>sale_assumed</x:v>
      </x:c>
      <x:c r="G6039" s="11" t="n">
        <x:v>28</x:v>
      </x:c>
      <x:c r="H6039" s="12" t="n">
        <x:v>3390000000</x:v>
      </x:c>
      <x:c r="I6039" s="12" t="n">
        <x:v>121071428.57142857</x:v>
      </x:c>
      <x:c r="J6039" s="2" t="str">
        <x:v>total</x:v>
      </x:c>
      <x:c r="K6039" s="2" t="str">
        <x:v>top_level_area</x:v>
      </x:c>
      <x:c r="L6039" s="2" t="str">
        <x:v>property_type_inferred_from_title;transaction_assumed_sale_from_dataset_context</x:v>
      </x:c>
      <x:c r="M6039" s="10" t="n">
        <x:v>0</x:v>
      </x:c>
      <x:c r="N6039" s="10" t="n">
        <x:v>0</x:v>
      </x:c>
      <x:c r="O6039" s="2" t="str">
        <x:v>Tp Hồ Chí Minh|house</x:v>
      </x:c>
      <x:c r="P6039" s="10" t="n">
        <x:v>2</x:v>
      </x:c>
      <x:c r="Q6039" s="13" t="n">
        <x:f>IF(H6039="","",H6039/1000000000)</x:f>
        <x:v>3.39</x:v>
      </x:c>
      <x:c r="R6039" s="13" t="n">
        <x:f>IF(I6039="","",I6039/1000000)</x:f>
        <x:v>121.07142857142857</x:v>
      </x:c>
    </x:row>
    <x:row r="6040" ht="21" customHeight="1">
      <x:c r="A6040" s="10" t="n">
        <x:v>7841</x:v>
      </x:c>
      <x:c r="B6040" s="2" t="str">
        <x:v>72d0f51e3e6dca88b8e5</x:v>
      </x:c>
      <x:c r="C6040" s="2" t="str">
        <x:v>Tp Hồ Chí Minh</x:v>
      </x:c>
      <x:c r="D6040" s="2" t="str">
        <x:v>Quận 9</x:v>
      </x:c>
      <x:c r="E6040" s="2" t="str">
        <x:v>land</x:v>
      </x:c>
      <x:c r="F6040" s="2" t="str">
        <x:v>sale</x:v>
      </x:c>
      <x:c r="G6040" s="11" t="n">
        <x:v>98</x:v>
      </x:c>
      <x:c r="H6040" s="12" t="n">
        <x:v>4200000000</x:v>
      </x:c>
      <x:c r="I6040" s="12" t="n">
        <x:v>42857142.85714286</x:v>
      </x:c>
      <x:c r="J6040" s="2" t="str">
        <x:v>total</x:v>
      </x:c>
      <x:c r="K6040" s="2" t="str">
        <x:v>top_level_area</x:v>
      </x:c>
      <x:c r="L6040" s="2" t="str">
        <x:v>property_type_inferred_from_title</x:v>
      </x:c>
      <x:c r="M6040" s="10" t="n">
        <x:v>0</x:v>
      </x:c>
      <x:c r="N6040" s="10" t="n">
        <x:v>0</x:v>
      </x:c>
      <x:c r="O6040" s="2" t="str">
        <x:v>Tp Hồ Chí Minh|land</x:v>
      </x:c>
      <x:c r="P6040" s="10" t="n">
        <x:v>2</x:v>
      </x:c>
      <x:c r="Q6040" s="13" t="n">
        <x:f>IF(H6040="","",H6040/1000000000)</x:f>
        <x:v>4.2</x:v>
      </x:c>
      <x:c r="R6040" s="13" t="n">
        <x:f>IF(I6040="","",I6040/1000000)</x:f>
        <x:v>42.85714285714286</x:v>
      </x:c>
    </x:row>
    <x:row r="6041" ht="21" customHeight="1">
      <x:c r="A6041" s="10" t="n">
        <x:v>7842</x:v>
      </x:c>
      <x:c r="B6041" s="2" t="str">
        <x:v>810172a2ae7cdbc9014c</x:v>
      </x:c>
      <x:c r="C6041" s="2" t="str">
        <x:v>Tp Hồ Chí Minh</x:v>
      </x:c>
      <x:c r="D6041" s="2" t="str">
        <x:v>Quận 4</x:v>
      </x:c>
      <x:c r="E6041" s="2" t="str">
        <x:v>apartment</x:v>
      </x:c>
      <x:c r="F6041" s="2" t="str">
        <x:v>sale</x:v>
      </x:c>
      <x:c r="G6041" s="11" t="n">
        <x:v>62</x:v>
      </x:c>
      <x:c r="H6041" s="12" t="n">
        <x:v>2350000000</x:v>
      </x:c>
      <x:c r="I6041" s="12" t="n">
        <x:v>37903225.80645161</x:v>
      </x:c>
      <x:c r="J6041" s="2" t="str">
        <x:v>total</x:v>
      </x:c>
      <x:c r="K6041" s="2" t="str">
        <x:v>top_level_area</x:v>
      </x:c>
      <x:c r="L6041" s="2" t="str">
        <x:v>property_type_inferred_from_title</x:v>
      </x:c>
      <x:c r="M6041" s="10" t="n">
        <x:v>0</x:v>
      </x:c>
      <x:c r="N6041" s="10" t="n">
        <x:v>0</x:v>
      </x:c>
      <x:c r="O6041" s="2" t="str">
        <x:v>Tp Hồ Chí Minh|apartment</x:v>
      </x:c>
      <x:c r="P6041" s="10" t="n">
        <x:v>2</x:v>
      </x:c>
      <x:c r="Q6041" s="13" t="n">
        <x:f>IF(H6041="","",H6041/1000000000)</x:f>
        <x:v>2.35</x:v>
      </x:c>
      <x:c r="R6041" s="13" t="n">
        <x:f>IF(I6041="","",I6041/1000000)</x:f>
        <x:v>37.90322580645161</x:v>
      </x:c>
    </x:row>
    <x:row r="6042" ht="21" customHeight="1">
      <x:c r="A6042" s="10" t="n">
        <x:v>7843</x:v>
      </x:c>
      <x:c r="B6042" s="2" t="str">
        <x:v>a7f2b51d5a19034a996b</x:v>
      </x:c>
      <x:c r="C6042" s="2" t="str">
        <x:v>Bình Phước</x:v>
      </x:c>
      <x:c r="D6042" s="2" t="str">
        <x:v>Thị xã Bình Long</x:v>
      </x:c>
      <x:c r="E6042" s="2" t="str">
        <x:v>land</x:v>
      </x:c>
      <x:c r="F6042" s="2" t="str">
        <x:v>sale_assumed</x:v>
      </x:c>
      <x:c r="G6042" s="11" t="n">
        <x:v>1023</x:v>
      </x:c>
      <x:c r="H6042" s="12" t="n">
        <x:v>245000000</x:v>
      </x:c>
      <x:c r="I6042" s="12" t="n">
        <x:v>239491.69110459433</x:v>
      </x:c>
      <x:c r="J6042" s="2" t="str">
        <x:v>total</x:v>
      </x:c>
      <x:c r="K6042" s="2" t="str">
        <x:v>top_level_area</x:v>
      </x:c>
      <x:c r="L6042" s="2" t="str">
        <x:v>dot_thousands_convention;property_type_inferred_from_title;transaction_assumed_sale_from_dataset_context</x:v>
      </x:c>
      <x:c r="M6042" s="10" t="n">
        <x:v>0</x:v>
      </x:c>
      <x:c r="N6042" s="10" t="n">
        <x:v>0</x:v>
      </x:c>
      <x:c r="O6042" s="2" t="str">
        <x:v>Bình Phước|land</x:v>
      </x:c>
      <x:c r="P6042" s="10" t="n">
        <x:v>1</x:v>
      </x:c>
      <x:c r="Q6042" s="13" t="n">
        <x:f>IF(H6042="","",H6042/1000000000)</x:f>
        <x:v>0.245</x:v>
      </x:c>
      <x:c r="R6042" s="13" t="n">
        <x:f>IF(I6042="","",I6042/1000000)</x:f>
        <x:v>0.23949169110459434</x:v>
      </x:c>
    </x:row>
    <x:row r="6043" ht="21" customHeight="1">
      <x:c r="A6043" s="10" t="n">
        <x:v>7844</x:v>
      </x:c>
      <x:c r="B6043" s="2" t="str">
        <x:v>75c17b12f79c588d42f8</x:v>
      </x:c>
      <x:c r="C6043" s="2" t="str">
        <x:v>Bình Dương</x:v>
      </x:c>
      <x:c r="D6043" s="2" t="str">
        <x:v>Thị xã Bến Cát</x:v>
      </x:c>
      <x:c r="E6043" s="2" t="str">
        <x:v>land</x:v>
      </x:c>
      <x:c r="F6043" s="2" t="str">
        <x:v>sale_assumed</x:v>
      </x:c>
      <x:c r="G6043" s="11" t="n">
        <x:v>300</x:v>
      </x:c>
      <x:c r="H6043" s="12" t="n">
        <x:v>1470000000</x:v>
      </x:c>
      <x:c r="I6043" s="12" t="n">
        <x:v>4900000</x:v>
      </x:c>
      <x:c r="J6043" s="2" t="str">
        <x:v>total</x:v>
      </x:c>
      <x:c r="K6043" s="2" t="str">
        <x:v>top_level_price_embedded_area</x:v>
      </x:c>
      <x:c r="L6043" s="2" t="str">
        <x:v>area_recovered_from_price_text;property_type_inferred_from_title;transaction_assumed_sale_from_dataset_context</x:v>
      </x:c>
      <x:c r="M6043" s="10" t="n">
        <x:v>0</x:v>
      </x:c>
      <x:c r="N6043" s="10" t="n">
        <x:v>0</x:v>
      </x:c>
      <x:c r="O6043" s="2" t="str">
        <x:v>Bình Dương|land</x:v>
      </x:c>
      <x:c r="P6043" s="10" t="n">
        <x:v>1</x:v>
      </x:c>
      <x:c r="Q6043" s="13" t="n">
        <x:f>IF(H6043="","",H6043/1000000000)</x:f>
        <x:v>1.47</x:v>
      </x:c>
      <x:c r="R6043" s="13" t="n">
        <x:f>IF(I6043="","",I6043/1000000)</x:f>
        <x:v>4.9</x:v>
      </x:c>
    </x:row>
    <x:row r="6044" ht="21" customHeight="1">
      <x:c r="A6044" s="10" t="n">
        <x:v>7845</x:v>
      </x:c>
      <x:c r="B6044" s="2" t="str">
        <x:v>12f0142fc173073cef9c</x:v>
      </x:c>
      <x:c r="C6044" s="2" t="str">
        <x:v>Tp Hồ Chí Minh</x:v>
      </x:c>
      <x:c r="D6044" s="2" t="str">
        <x:v>Quận Bình Tân</x:v>
      </x:c>
      <x:c r="E6044" s="2" t="str">
        <x:v>other_unknown</x:v>
      </x:c>
      <x:c r="F6044" s="2" t="str">
        <x:v>sale_assumed</x:v>
      </x:c>
      <x:c r="G6044" s="11" t="n">
        <x:v>40</x:v>
      </x:c>
      <x:c r="H6044" s="12" t="n">
        <x:v>860000000</x:v>
      </x:c>
      <x:c r="I6044" s="12" t="n">
        <x:v>21500000</x:v>
      </x:c>
      <x:c r="J6044" s="2" t="str">
        <x:v>total</x:v>
      </x:c>
      <x:c r="K6044" s="2" t="str">
        <x:v>top_level_area</x:v>
      </x:c>
      <x:c r="L6044" s="2" t="str">
        <x:v>property_type_inferred_from_title;transaction_assumed_sale_from_dataset_context;unknown_property_type</x:v>
      </x:c>
      <x:c r="M6044" s="10" t="n">
        <x:v>0</x:v>
      </x:c>
      <x:c r="N6044" s="10" t="n">
        <x:v>0</x:v>
      </x:c>
      <x:c r="O6044" s="2" t="str">
        <x:v>Tp Hồ Chí Minh|other_unknown</x:v>
      </x:c>
      <x:c r="P6044" s="10" t="n">
        <x:v>2</x:v>
      </x:c>
      <x:c r="Q6044" s="13" t="n">
        <x:f>IF(H6044="","",H6044/1000000000)</x:f>
        <x:v>0.86</x:v>
      </x:c>
      <x:c r="R6044" s="13" t="n">
        <x:f>IF(I6044="","",I6044/1000000)</x:f>
        <x:v>21.5</x:v>
      </x:c>
    </x:row>
    <x:row r="6045" ht="21" customHeight="1">
      <x:c r="A6045" s="10" t="n">
        <x:v>7846</x:v>
      </x:c>
      <x:c r="B6045" s="2" t="str">
        <x:v>8d6d0adb8565a7f8756e</x:v>
      </x:c>
      <x:c r="C6045" s="2" t="str">
        <x:v>Bình Phước</x:v>
      </x:c>
      <x:c r="D6045" s="2" t="str">
        <x:v>Huyện Chơn Thành</x:v>
      </x:c>
      <x:c r="E6045" s="2" t="str">
        <x:v>land</x:v>
      </x:c>
      <x:c r="F6045" s="2" t="str">
        <x:v>sale</x:v>
      </x:c>
      <x:c r="G6045" s="11" t="n">
        <x:v>10000</x:v>
      </x:c>
      <x:c r="H6045" s="12" t="n">
        <x:v>390000000</x:v>
      </x:c>
      <x:c r="I6045" s="12" t="n">
        <x:v>39000</x:v>
      </x:c>
      <x:c r="J6045" s="2" t="str">
        <x:v>total</x:v>
      </x:c>
      <x:c r="K6045" s="2" t="str">
        <x:v>top_level_price_embedded_area</x:v>
      </x:c>
      <x:c r="L6045" s="2" t="str">
        <x:v>area_recovered_from_price_text;dot_thousands_convention;property_type_inferred_from_title</x:v>
      </x:c>
      <x:c r="M6045" s="10" t="n">
        <x:v>0</x:v>
      </x:c>
      <x:c r="N6045" s="10" t="n">
        <x:v>0</x:v>
      </x:c>
      <x:c r="O6045" s="2" t="str">
        <x:v>Bình Phước|land</x:v>
      </x:c>
      <x:c r="P6045" s="10" t="n">
        <x:v>1</x:v>
      </x:c>
      <x:c r="Q6045" s="13" t="n">
        <x:f>IF(H6045="","",H6045/1000000000)</x:f>
        <x:v>0.39</x:v>
      </x:c>
      <x:c r="R6045" s="13" t="n">
        <x:f>IF(I6045="","",I6045/1000000)</x:f>
        <x:v>0.039</x:v>
      </x:c>
    </x:row>
    <x:row r="6046" ht="21" customHeight="1">
      <x:c r="A6046" s="10" t="n">
        <x:v>7847</x:v>
      </x:c>
      <x:c r="B6046" s="2" t="str">
        <x:v>25ac0ecde9a339c9218c</x:v>
      </x:c>
      <x:c r="C6046" s="2" t="str">
        <x:v>Tp Hồ Chí Minh</x:v>
      </x:c>
      <x:c r="D6046" s="2" t="str">
        <x:v>Quận Gò Vấp</x:v>
      </x:c>
      <x:c r="E6046" s="2" t="str">
        <x:v>house</x:v>
      </x:c>
      <x:c r="F6046" s="2" t="str">
        <x:v>sale_assumed</x:v>
      </x:c>
      <x:c r="G6046" s="11" t="n">
        <x:v>64</x:v>
      </x:c>
      <x:c r="H6046" s="12" t="n">
        <x:v>3450000000</x:v>
      </x:c>
      <x:c r="I6046" s="12" t="n">
        <x:v>53906250</x:v>
      </x:c>
      <x:c r="J6046" s="2" t="str">
        <x:v>total</x:v>
      </x:c>
      <x:c r="K6046" s="2" t="str">
        <x:v>top_level_area</x:v>
      </x:c>
      <x:c r="L6046" s="2" t="str">
        <x:v>property_type_inferred_from_title;transaction_assumed_sale_from_dataset_context</x:v>
      </x:c>
      <x:c r="M6046" s="10" t="n">
        <x:v>0</x:v>
      </x:c>
      <x:c r="N6046" s="10" t="n">
        <x:v>0</x:v>
      </x:c>
      <x:c r="O6046" s="2" t="str">
        <x:v>Tp Hồ Chí Minh|house</x:v>
      </x:c>
      <x:c r="P6046" s="10" t="n">
        <x:v>2</x:v>
      </x:c>
      <x:c r="Q6046" s="13" t="n">
        <x:f>IF(H6046="","",H6046/1000000000)</x:f>
        <x:v>3.45</x:v>
      </x:c>
      <x:c r="R6046" s="13" t="n">
        <x:f>IF(I6046="","",I6046/1000000)</x:f>
        <x:v>53.90625</x:v>
      </x:c>
    </x:row>
    <x:row r="6047" ht="21" customHeight="1">
      <x:c r="A6047" s="10" t="n">
        <x:v>7848</x:v>
      </x:c>
      <x:c r="B6047" s="2" t="str">
        <x:v>2d6cf74675654ac25786</x:v>
      </x:c>
      <x:c r="C6047" s="2" t="str">
        <x:v>Hải Dương</x:v>
      </x:c>
      <x:c r="D6047" s="2" t="str">
        <x:v>Thành phố Hải Dương</x:v>
      </x:c>
      <x:c r="E6047" s="2" t="str">
        <x:v>house</x:v>
      </x:c>
      <x:c r="F6047" s="2" t="str">
        <x:v>sale</x:v>
      </x:c>
      <x:c r="G6047" s="11" t="n">
        <x:v>42</x:v>
      </x:c>
      <x:c r="H6047" s="12" t="n">
        <x:v>1590000000</x:v>
      </x:c>
      <x:c r="I6047" s="12" t="n">
        <x:v>37857142.85714286</x:v>
      </x:c>
      <x:c r="J6047" s="2" t="str">
        <x:v>total</x:v>
      </x:c>
      <x:c r="K6047" s="2" t="str">
        <x:v>top_level_area</x:v>
      </x:c>
      <x:c r="L6047" s="2" t="str">
        <x:v>property_type_inferred_from_title</x:v>
      </x:c>
      <x:c r="M6047" s="10" t="n">
        <x:v>0</x:v>
      </x:c>
      <x:c r="N6047" s="10" t="n">
        <x:v>0</x:v>
      </x:c>
      <x:c r="O6047" s="2" t="str">
        <x:v>house</x:v>
      </x:c>
      <x:c r="P6047" s="10" t="n">
        <x:v>2</x:v>
      </x:c>
      <x:c r="Q6047" s="13" t="n">
        <x:f>IF(H6047="","",H6047/1000000000)</x:f>
        <x:v>1.59</x:v>
      </x:c>
      <x:c r="R6047" s="13" t="n">
        <x:f>IF(I6047="","",I6047/1000000)</x:f>
        <x:v>37.85714285714286</x:v>
      </x:c>
    </x:row>
    <x:row r="6048" ht="21" customHeight="1">
      <x:c r="A6048" s="10" t="n">
        <x:v>7849</x:v>
      </x:c>
      <x:c r="B6048" s="2" t="str">
        <x:v>ce0493fe4a76c4c82445</x:v>
      </x:c>
      <x:c r="C6048" s="2" t="str">
        <x:v>Tp Hồ Chí Minh</x:v>
      </x:c>
      <x:c r="D6048" s="2" t="str">
        <x:v>Quận Phú Nhuận</x:v>
      </x:c>
      <x:c r="E6048" s="2" t="str">
        <x:v>house</x:v>
      </x:c>
      <x:c r="F6048" s="2" t="str">
        <x:v>sale</x:v>
      </x:c>
      <x:c r="G6048" s="11" t="n">
        <x:v>60</x:v>
      </x:c>
      <x:c r="H6048" s="12" t="n">
        <x:v>10500000000</x:v>
      </x:c>
      <x:c r="I6048" s="12" t="n">
        <x:v>175000000</x:v>
      </x:c>
      <x:c r="J6048" s="2" t="str">
        <x:v>total</x:v>
      </x:c>
      <x:c r="K6048" s="2" t="str">
        <x:v>top_level_area</x:v>
      </x:c>
      <x:c r="L6048" s="2" t="str">
        <x:v>property_type_inferred_from_title</x:v>
      </x:c>
      <x:c r="M6048" s="10" t="n">
        <x:v>1</x:v>
      </x:c>
      <x:c r="N6048" s="10" t="n">
        <x:v>0</x:v>
      </x:c>
      <x:c r="O6048" s="2" t="str">
        <x:v>Tp Hồ Chí Minh|house</x:v>
      </x:c>
      <x:c r="P6048" s="10" t="n">
        <x:v>2</x:v>
      </x:c>
      <x:c r="Q6048" s="13" t="n">
        <x:f>IF(H6048="","",H6048/1000000000)</x:f>
        <x:v>10.5</x:v>
      </x:c>
      <x:c r="R6048" s="13" t="n">
        <x:f>IF(I6048="","",I6048/1000000)</x:f>
        <x:v>175</x:v>
      </x:c>
    </x:row>
    <x:row r="6049" ht="21" customHeight="1">
      <x:c r="A6049" s="10" t="n">
        <x:v>7850</x:v>
      </x:c>
      <x:c r="B6049" s="2" t="str">
        <x:v>e2a109f7aad413a5e274</x:v>
      </x:c>
      <x:c r="C6049" s="2" t="str">
        <x:v>Tp Hồ Chí Minh</x:v>
      </x:c>
      <x:c r="D6049" s="2" t="str">
        <x:v>Quận Gò Vấp</x:v>
      </x:c>
      <x:c r="E6049" s="2" t="str">
        <x:v>other_unknown</x:v>
      </x:c>
      <x:c r="F6049" s="2" t="str">
        <x:v>sale_assumed</x:v>
      </x:c>
      <x:c r="G6049" s="11" t="n">
        <x:v>71.9</x:v>
      </x:c>
      <x:c r="H6049" s="12" t="n">
        <x:v>7400000000</x:v>
      </x:c>
      <x:c r="I6049" s="12" t="n">
        <x:v>102920723.22670375</x:v>
      </x:c>
      <x:c r="J6049" s="2" t="str">
        <x:v>total</x:v>
      </x:c>
      <x:c r="K6049" s="2" t="str">
        <x:v>top_level_area</x:v>
      </x:c>
      <x:c r="L6049" s="2" t="str">
        <x:v>property_type_inferred_from_title;transaction_assumed_sale_from_dataset_context;unknown_property_type</x:v>
      </x:c>
      <x:c r="M6049" s="10" t="n">
        <x:v>0</x:v>
      </x:c>
      <x:c r="N6049" s="10" t="n">
        <x:v>0</x:v>
      </x:c>
      <x:c r="O6049" s="2" t="str">
        <x:v>Tp Hồ Chí Minh|other_unknown</x:v>
      </x:c>
      <x:c r="P6049" s="10" t="n">
        <x:v>2</x:v>
      </x:c>
      <x:c r="Q6049" s="13" t="n">
        <x:f>IF(H6049="","",H6049/1000000000)</x:f>
        <x:v>7.4</x:v>
      </x:c>
      <x:c r="R6049" s="13" t="n">
        <x:f>IF(I6049="","",I6049/1000000)</x:f>
        <x:v>102.92072322670374</x:v>
      </x:c>
    </x:row>
    <x:row r="6050" ht="21" customHeight="1">
      <x:c r="A6050" s="10" t="n">
        <x:v>7851</x:v>
      </x:c>
      <x:c r="B6050" s="2" t="str">
        <x:v>70374c8e5b253120d1e5</x:v>
      </x:c>
      <x:c r="C6050" s="2" t="str">
        <x:v>Tp Hồ Chí Minh</x:v>
      </x:c>
      <x:c r="D6050" s="2" t="str">
        <x:v>Quận 11</x:v>
      </x:c>
      <x:c r="E6050" s="2" t="str">
        <x:v>other_unknown</x:v>
      </x:c>
      <x:c r="F6050" s="2" t="str">
        <x:v>sale_assumed</x:v>
      </x:c>
      <x:c r="G6050" s="11" t="n">
        <x:v>32</x:v>
      </x:c>
      <x:c r="H6050" s="12" t="n">
        <x:v>3480000000</x:v>
      </x:c>
      <x:c r="I6050" s="12" t="n">
        <x:v>108750000</x:v>
      </x:c>
      <x:c r="J6050" s="2" t="str">
        <x:v>total</x:v>
      </x:c>
      <x:c r="K6050" s="2" t="str">
        <x:v>top_level_area</x:v>
      </x:c>
      <x:c r="L6050" s="2" t="str">
        <x:v>property_type_inferred_from_title;transaction_assumed_sale_from_dataset_context;unknown_property_type</x:v>
      </x:c>
      <x:c r="M6050" s="10" t="n">
        <x:v>0</x:v>
      </x:c>
      <x:c r="N6050" s="10" t="n">
        <x:v>0</x:v>
      </x:c>
      <x:c r="O6050" s="2" t="str">
        <x:v>Tp Hồ Chí Minh|other_unknown</x:v>
      </x:c>
      <x:c r="P6050" s="10" t="n">
        <x:v>2</x:v>
      </x:c>
      <x:c r="Q6050" s="13" t="n">
        <x:f>IF(H6050="","",H6050/1000000000)</x:f>
        <x:v>3.48</x:v>
      </x:c>
      <x:c r="R6050" s="13" t="n">
        <x:f>IF(I6050="","",I6050/1000000)</x:f>
        <x:v>108.75</x:v>
      </x:c>
    </x:row>
    <x:row r="6051" ht="21" customHeight="1">
      <x:c r="A6051" s="10" t="n">
        <x:v>7855</x:v>
      </x:c>
      <x:c r="B6051" s="2" t="str">
        <x:v>38be666165b8dc3a8314</x:v>
      </x:c>
      <x:c r="C6051" s="2" t="str">
        <x:v>Bình Dương</x:v>
      </x:c>
      <x:c r="D6051" s="2" t="str">
        <x:v>Thị xã Dĩ An</x:v>
      </x:c>
      <x:c r="E6051" s="2" t="str">
        <x:v>house</x:v>
      </x:c>
      <x:c r="F6051" s="2" t="str">
        <x:v>sale</x:v>
      </x:c>
      <x:c r="G6051" s="11" t="n">
        <x:v>300</x:v>
      </x:c>
      <x:c r="H6051" s="12" t="n">
        <x:v>3350000000</x:v>
      </x:c>
      <x:c r="I6051" s="12" t="n">
        <x:v>11166666.666666666</x:v>
      </x:c>
      <x:c r="J6051" s="2" t="str">
        <x:v>total</x:v>
      </x:c>
      <x:c r="K6051" s="2" t="str">
        <x:v>top_level_area</x:v>
      </x:c>
      <x:c r="L6051" s="2" t="str">
        <x:v>property_type_inferred_from_title</x:v>
      </x:c>
      <x:c r="M6051" s="10" t="n">
        <x:v>0</x:v>
      </x:c>
      <x:c r="N6051" s="10" t="n">
        <x:v>0</x:v>
      </x:c>
      <x:c r="O6051" s="2" t="str">
        <x:v>Bình Dương|house</x:v>
      </x:c>
      <x:c r="P6051" s="10" t="n">
        <x:v>1</x:v>
      </x:c>
      <x:c r="Q6051" s="13" t="n">
        <x:f>IF(H6051="","",H6051/1000000000)</x:f>
        <x:v>3.35</x:v>
      </x:c>
      <x:c r="R6051" s="13" t="n">
        <x:f>IF(I6051="","",I6051/1000000)</x:f>
        <x:v>11.166666666666666</x:v>
      </x:c>
    </x:row>
    <x:row r="6052" ht="21" customHeight="1">
      <x:c r="A6052" s="10" t="n">
        <x:v>7856</x:v>
      </x:c>
      <x:c r="B6052" s="2" t="str">
        <x:v>7b52eed8f92020cf8a50</x:v>
      </x:c>
      <x:c r="C6052" s="2" t="str">
        <x:v>Tp Hồ Chí Minh</x:v>
      </x:c>
      <x:c r="D6052" s="2" t="str">
        <x:v>Quận 11</x:v>
      </x:c>
      <x:c r="E6052" s="2" t="str">
        <x:v>house</x:v>
      </x:c>
      <x:c r="F6052" s="2" t="str">
        <x:v>sale</x:v>
      </x:c>
      <x:c r="G6052" s="11" t="n">
        <x:v>34</x:v>
      </x:c>
      <x:c r="H6052" s="12" t="n">
        <x:v>4880000000</x:v>
      </x:c>
      <x:c r="I6052" s="12" t="n">
        <x:v>143529411.7647059</x:v>
      </x:c>
      <x:c r="J6052" s="2" t="str">
        <x:v>total</x:v>
      </x:c>
      <x:c r="K6052" s="2" t="str">
        <x:v>top_level_area</x:v>
      </x:c>
      <x:c r="L6052" s="2" t="str">
        <x:v>property_type_inferred_from_title</x:v>
      </x:c>
      <x:c r="M6052" s="10" t="n">
        <x:v>0</x:v>
      </x:c>
      <x:c r="N6052" s="10" t="n">
        <x:v>0</x:v>
      </x:c>
      <x:c r="O6052" s="2" t="str">
        <x:v>Tp Hồ Chí Minh|house</x:v>
      </x:c>
      <x:c r="P6052" s="10" t="n">
        <x:v>2</x:v>
      </x:c>
      <x:c r="Q6052" s="13" t="n">
        <x:f>IF(H6052="","",H6052/1000000000)</x:f>
        <x:v>4.88</x:v>
      </x:c>
      <x:c r="R6052" s="13" t="n">
        <x:f>IF(I6052="","",I6052/1000000)</x:f>
        <x:v>143.52941176470588</x:v>
      </x:c>
    </x:row>
    <x:row r="6053" ht="21" customHeight="1">
      <x:c r="A6053" s="10" t="n">
        <x:v>7857</x:v>
      </x:c>
      <x:c r="B6053" s="2" t="str">
        <x:v>c80984adb96772431bf8</x:v>
      </x:c>
      <x:c r="C6053" s="2" t="str">
        <x:v>Bình Phước</x:v>
      </x:c>
      <x:c r="D6053" s="2" t="str">
        <x:v>Huyện Chơn Thành</x:v>
      </x:c>
      <x:c r="E6053" s="2" t="str">
        <x:v>land</x:v>
      </x:c>
      <x:c r="F6053" s="2" t="str">
        <x:v>sale_assumed</x:v>
      </x:c>
      <x:c r="G6053" s="11" t="n">
        <x:v>200</x:v>
      </x:c>
      <x:c r="H6053" s="12" t="n">
        <x:v>300000000</x:v>
      </x:c>
      <x:c r="I6053" s="12" t="n">
        <x:v>1500000</x:v>
      </x:c>
      <x:c r="J6053" s="2" t="str">
        <x:v>total</x:v>
      </x:c>
      <x:c r="K6053" s="2" t="str">
        <x:v>top_level_area</x:v>
      </x:c>
      <x:c r="L6053" s="2" t="str">
        <x:v>property_type_inferred_from_title;transaction_assumed_sale_from_dataset_context</x:v>
      </x:c>
      <x:c r="M6053" s="10" t="n">
        <x:v>0</x:v>
      </x:c>
      <x:c r="N6053" s="10" t="n">
        <x:v>0</x:v>
      </x:c>
      <x:c r="O6053" s="2" t="str">
        <x:v>Bình Phước|land</x:v>
      </x:c>
      <x:c r="P6053" s="10" t="n">
        <x:v>1</x:v>
      </x:c>
      <x:c r="Q6053" s="13" t="n">
        <x:f>IF(H6053="","",H6053/1000000000)</x:f>
        <x:v>0.3</x:v>
      </x:c>
      <x:c r="R6053" s="13" t="n">
        <x:f>IF(I6053="","",I6053/1000000)</x:f>
        <x:v>1.5</x:v>
      </x:c>
    </x:row>
    <x:row r="6054" ht="21" customHeight="1">
      <x:c r="A6054" s="10" t="n">
        <x:v>7858</x:v>
      </x:c>
      <x:c r="B6054" s="2" t="str">
        <x:v>f2816e91ce06dea9f0d1</x:v>
      </x:c>
      <x:c r="C6054" s="2" t="str">
        <x:v>Đà Nẵng</x:v>
      </x:c>
      <x:c r="D6054" s="2" t="str">
        <x:v>Quận Ngũ Hành Sơn</x:v>
      </x:c>
      <x:c r="E6054" s="2" t="str">
        <x:v>other_unknown</x:v>
      </x:c>
      <x:c r="F6054" s="2" t="str">
        <x:v>sale_assumed</x:v>
      </x:c>
      <x:c r="G6054" s="11" t="n">
        <x:v>69.18</x:v>
      </x:c>
      <x:c r="H6054" s="12" t="n">
        <x:v>1176060000</x:v>
      </x:c>
      <x:c r="I6054" s="12" t="n">
        <x:v>17000000</x:v>
      </x:c>
      <x:c r="J6054" s="2" t="str">
        <x:v>total</x:v>
      </x:c>
      <x:c r="K6054" s="2" t="str">
        <x:v>top_level_area</x:v>
      </x:c>
      <x:c r="L6054" s="2" t="str">
        <x:v>property_type_inferred_from_title;transaction_assumed_sale_from_dataset_context;unknown_property_type</x:v>
      </x:c>
      <x:c r="M6054" s="10" t="n">
        <x:v>0</x:v>
      </x:c>
      <x:c r="N6054" s="10" t="n">
        <x:v>0</x:v>
      </x:c>
      <x:c r="O6054" s="2" t="str">
        <x:v>Đà Nẵng|other_unknown</x:v>
      </x:c>
      <x:c r="P6054" s="10" t="n">
        <x:v>2</x:v>
      </x:c>
      <x:c r="Q6054" s="13" t="n">
        <x:f>IF(H6054="","",H6054/1000000000)</x:f>
        <x:v>1.17606</x:v>
      </x:c>
      <x:c r="R6054" s="13" t="n">
        <x:f>IF(I6054="","",I6054/1000000)</x:f>
        <x:v>17</x:v>
      </x:c>
    </x:row>
    <x:row r="6055" ht="21" customHeight="1">
      <x:c r="A6055" s="10" t="n">
        <x:v>7859</x:v>
      </x:c>
      <x:c r="B6055" s="2" t="str">
        <x:v>683feb62598dbb248e1f</x:v>
      </x:c>
      <x:c r="C6055" s="2" t="str">
        <x:v>Hà Nội</x:v>
      </x:c>
      <x:c r="D6055" s="2" t="str">
        <x:v>Quận Ba Đình</x:v>
      </x:c>
      <x:c r="E6055" s="2" t="str">
        <x:v>other_unknown</x:v>
      </x:c>
      <x:c r="F6055" s="2" t="str">
        <x:v>sale_assumed</x:v>
      </x:c>
      <x:c r="G6055" s="11" t="n">
        <x:v>30</x:v>
      </x:c>
      <x:c r="H6055" s="12" t="n">
        <x:v>5500000000</x:v>
      </x:c>
      <x:c r="I6055" s="12" t="n">
        <x:v>183333333.33333334</x:v>
      </x:c>
      <x:c r="J6055" s="2" t="str">
        <x:v>total</x:v>
      </x:c>
      <x:c r="K6055" s="2" t="str">
        <x:v>top_level_area</x:v>
      </x:c>
      <x:c r="L6055" s="2" t="str">
        <x:v>property_type_inferred_from_title;transaction_assumed_sale_from_dataset_context;unknown_property_type</x:v>
      </x:c>
      <x:c r="M6055" s="10" t="n">
        <x:v>1</x:v>
      </x:c>
      <x:c r="N6055" s="10" t="n">
        <x:v>1</x:v>
      </x:c>
      <x:c r="O6055" s="2" t="str">
        <x:v>Hà Nội|other_unknown</x:v>
      </x:c>
      <x:c r="P6055" s="10" t="n">
        <x:v>-1</x:v>
      </x:c>
      <x:c r="Q6055" s="13" t="n">
        <x:f>IF(H6055="","",H6055/1000000000)</x:f>
        <x:v>5.5</x:v>
      </x:c>
      <x:c r="R6055" s="13" t="n">
        <x:f>IF(I6055="","",I6055/1000000)</x:f>
        <x:v>183.33333333333334</x:v>
      </x:c>
    </x:row>
    <x:row r="6056" ht="21" customHeight="1">
      <x:c r="A6056" s="10" t="n">
        <x:v>7860</x:v>
      </x:c>
      <x:c r="B6056" s="2" t="str">
        <x:v>247c61a764b25b4695a0</x:v>
      </x:c>
      <x:c r="C6056" s="2" t="str">
        <x:v>Tp Hồ Chí Minh</x:v>
      </x:c>
      <x:c r="D6056" s="2" t="str">
        <x:v>Huyện Củ Chi</x:v>
      </x:c>
      <x:c r="E6056" s="2" t="str">
        <x:v>other_unknown</x:v>
      </x:c>
      <x:c r="F6056" s="2" t="str">
        <x:v>sale</x:v>
      </x:c>
      <x:c r="G6056" s="11" t="n">
        <x:v>537</x:v>
      </x:c>
      <x:c r="H6056" s="12" t="n">
        <x:v>4200000000</x:v>
      </x:c>
      <x:c r="I6056" s="12" t="n">
        <x:v>7821229.0502793295</x:v>
      </x:c>
      <x:c r="J6056" s="2" t="str">
        <x:v>total</x:v>
      </x:c>
      <x:c r="K6056" s="2" t="str">
        <x:v>top_level_area</x:v>
      </x:c>
      <x:c r="L6056" s="2" t="str">
        <x:v>property_type_inferred_from_title;unknown_property_type</x:v>
      </x:c>
      <x:c r="M6056" s="10" t="n">
        <x:v>0</x:v>
      </x:c>
      <x:c r="N6056" s="10" t="n">
        <x:v>0</x:v>
      </x:c>
      <x:c r="O6056" s="2" t="str">
        <x:v>Tp Hồ Chí Minh|other_unknown</x:v>
      </x:c>
      <x:c r="P6056" s="10" t="n">
        <x:v>1</x:v>
      </x:c>
      <x:c r="Q6056" s="13" t="n">
        <x:f>IF(H6056="","",H6056/1000000000)</x:f>
        <x:v>4.2</x:v>
      </x:c>
      <x:c r="R6056" s="13" t="n">
        <x:f>IF(I6056="","",I6056/1000000)</x:f>
        <x:v>7.82122905027933</x:v>
      </x:c>
    </x:row>
    <x:row r="6057" ht="21" customHeight="1">
      <x:c r="A6057" s="10" t="n">
        <x:v>7862</x:v>
      </x:c>
      <x:c r="B6057" s="2" t="str">
        <x:v>45a58a8bffb47bf6af2c</x:v>
      </x:c>
      <x:c r="C6057" s="2" t="str">
        <x:v>Tp Hồ Chí Minh</x:v>
      </x:c>
      <x:c r="D6057" s="2" t="str">
        <x:v>Huyện Hóc Môn</x:v>
      </x:c>
      <x:c r="E6057" s="2" t="str">
        <x:v>house</x:v>
      </x:c>
      <x:c r="F6057" s="2" t="str">
        <x:v>sale</x:v>
      </x:c>
      <x:c r="G6057" s="11" t="n">
        <x:v>120</x:v>
      </x:c>
      <x:c r="H6057" s="12" t="n">
        <x:v>375000000</x:v>
      </x:c>
      <x:c r="I6057" s="12" t="n">
        <x:v>3125000</x:v>
      </x:c>
      <x:c r="J6057" s="2" t="str">
        <x:v>total</x:v>
      </x:c>
      <x:c r="K6057" s="2" t="str">
        <x:v>top_level_area</x:v>
      </x:c>
      <x:c r="L6057" s="2" t="str">
        <x:v>property_type_inferred_from_title</x:v>
      </x:c>
      <x:c r="M6057" s="10" t="n">
        <x:v>0</x:v>
      </x:c>
      <x:c r="N6057" s="10" t="n">
        <x:v>0</x:v>
      </x:c>
      <x:c r="O6057" s="2" t="str">
        <x:v>Tp Hồ Chí Minh|house</x:v>
      </x:c>
      <x:c r="P6057" s="10" t="n">
        <x:v>1</x:v>
      </x:c>
      <x:c r="Q6057" s="13" t="n">
        <x:f>IF(H6057="","",H6057/1000000000)</x:f>
        <x:v>0.375</x:v>
      </x:c>
      <x:c r="R6057" s="13" t="n">
        <x:f>IF(I6057="","",I6057/1000000)</x:f>
        <x:v>3.125</x:v>
      </x:c>
    </x:row>
    <x:row r="6058" ht="21" customHeight="1">
      <x:c r="A6058" s="10" t="n">
        <x:v>7863</x:v>
      </x:c>
      <x:c r="B6058" s="2" t="str">
        <x:v>58bf90a0b810e49d1ad7</x:v>
      </x:c>
      <x:c r="C6058" s="2" t="str">
        <x:v>Tp Hồ Chí Minh</x:v>
      </x:c>
      <x:c r="D6058" s="2" t="str">
        <x:v>Quận 8</x:v>
      </x:c>
      <x:c r="E6058" s="2" t="str">
        <x:v>apartment</x:v>
      </x:c>
      <x:c r="F6058" s="2" t="str">
        <x:v>sale</x:v>
      </x:c>
      <x:c r="G6058" s="11" t="n">
        <x:v>60</x:v>
      </x:c>
      <x:c r="H6058" s="12" t="n">
        <x:v>2049999999.9999998</x:v>
      </x:c>
      <x:c r="I6058" s="12" t="n">
        <x:v>34166666.666666664</x:v>
      </x:c>
      <x:c r="J6058" s="2" t="str">
        <x:v>total</x:v>
      </x:c>
      <x:c r="K6058" s="2" t="str">
        <x:v>top_level_area</x:v>
      </x:c>
      <x:c r="L6058" s="2" t="str">
        <x:v>property_type_inferred_from_title</x:v>
      </x:c>
      <x:c r="M6058" s="10" t="n">
        <x:v>0</x:v>
      </x:c>
      <x:c r="N6058" s="10" t="n">
        <x:v>0</x:v>
      </x:c>
      <x:c r="O6058" s="2" t="str">
        <x:v>Tp Hồ Chí Minh|apartment</x:v>
      </x:c>
      <x:c r="P6058" s="10" t="n">
        <x:v>2</x:v>
      </x:c>
      <x:c r="Q6058" s="13" t="n">
        <x:f>IF(H6058="","",H6058/1000000000)</x:f>
        <x:v>2.05</x:v>
      </x:c>
      <x:c r="R6058" s="13" t="n">
        <x:f>IF(I6058="","",I6058/1000000)</x:f>
        <x:v>34.166666666666664</x:v>
      </x:c>
    </x:row>
    <x:row r="6059" ht="21" customHeight="1">
      <x:c r="A6059" s="10" t="n">
        <x:v>7864</x:v>
      </x:c>
      <x:c r="B6059" s="2" t="str">
        <x:v>13388c4f47f7c3dc1298</x:v>
      </x:c>
      <x:c r="C6059" s="2" t="str">
        <x:v>Bình Dương</x:v>
      </x:c>
      <x:c r="D6059" s="2" t="str">
        <x:v>Thị xã Thuận An</x:v>
      </x:c>
      <x:c r="E6059" s="2" t="str">
        <x:v>house</x:v>
      </x:c>
      <x:c r="F6059" s="2" t="str">
        <x:v>sale</x:v>
      </x:c>
      <x:c r="G6059" s="11" t="n">
        <x:v>50</x:v>
      </x:c>
      <x:c r="H6059" s="12" t="n">
        <x:v>1790000000</x:v>
      </x:c>
      <x:c r="I6059" s="12" t="n">
        <x:v>35800000</x:v>
      </x:c>
      <x:c r="J6059" s="2" t="str">
        <x:v>total</x:v>
      </x:c>
      <x:c r="K6059" s="2" t="str">
        <x:v>top_level_area</x:v>
      </x:c>
      <x:c r="L6059" s="2" t="str">
        <x:v>property_type_inferred_from_title</x:v>
      </x:c>
      <x:c r="M6059" s="10" t="n">
        <x:v>0</x:v>
      </x:c>
      <x:c r="N6059" s="10" t="n">
        <x:v>0</x:v>
      </x:c>
      <x:c r="O6059" s="2" t="str">
        <x:v>Bình Dương|house</x:v>
      </x:c>
      <x:c r="P6059" s="10" t="n">
        <x:v>2</x:v>
      </x:c>
      <x:c r="Q6059" s="13" t="n">
        <x:f>IF(H6059="","",H6059/1000000000)</x:f>
        <x:v>1.79</x:v>
      </x:c>
      <x:c r="R6059" s="13" t="n">
        <x:f>IF(I6059="","",I6059/1000000)</x:f>
        <x:v>35.8</x:v>
      </x:c>
    </x:row>
    <x:row r="6060" ht="21" customHeight="1">
      <x:c r="A6060" s="10" t="n">
        <x:v>7865</x:v>
      </x:c>
      <x:c r="B6060" s="2" t="str">
        <x:v>b2ee471b8414597b09ac</x:v>
      </x:c>
      <x:c r="C6060" s="2" t="str">
        <x:v>Hà Nội</x:v>
      </x:c>
      <x:c r="D6060" s="2" t="str">
        <x:v>Huyện Hoài Đức</x:v>
      </x:c>
      <x:c r="E6060" s="2" t="str">
        <x:v>land</x:v>
      </x:c>
      <x:c r="F6060" s="2" t="str">
        <x:v>sale</x:v>
      </x:c>
      <x:c r="G6060" s="11" t="n">
        <x:v>117</x:v>
      </x:c>
      <x:c r="H6060" s="12" t="n">
        <x:v>2580000000</x:v>
      </x:c>
      <x:c r="I6060" s="12" t="n">
        <x:v>22051282.051282052</x:v>
      </x:c>
      <x:c r="J6060" s="2" t="str">
        <x:v>total</x:v>
      </x:c>
      <x:c r="K6060" s="2" t="str">
        <x:v>top_level_area</x:v>
      </x:c>
      <x:c r="L6060" s="2" t="str">
        <x:v>property_type_inferred_from_title</x:v>
      </x:c>
      <x:c r="M6060" s="10" t="n">
        <x:v>0</x:v>
      </x:c>
      <x:c r="N6060" s="10" t="n">
        <x:v>0</x:v>
      </x:c>
      <x:c r="O6060" s="2" t="str">
        <x:v>Hà Nội|land</x:v>
      </x:c>
      <x:c r="P6060" s="10" t="n">
        <x:v>2</x:v>
      </x:c>
      <x:c r="Q6060" s="13" t="n">
        <x:f>IF(H6060="","",H6060/1000000000)</x:f>
        <x:v>2.58</x:v>
      </x:c>
      <x:c r="R6060" s="13" t="n">
        <x:f>IF(I6060="","",I6060/1000000)</x:f>
        <x:v>22.05128205128205</x:v>
      </x:c>
    </x:row>
    <x:row r="6061" ht="21" customHeight="1">
      <x:c r="A6061" s="10" t="n">
        <x:v>7866</x:v>
      </x:c>
      <x:c r="B6061" s="2" t="str">
        <x:v>11404bb1305dd743c135</x:v>
      </x:c>
      <x:c r="C6061" s="2" t="str">
        <x:v>Tp Hồ Chí Minh</x:v>
      </x:c>
      <x:c r="D6061" s="2" t="str">
        <x:v>Quận 12</x:v>
      </x:c>
      <x:c r="E6061" s="2" t="str">
        <x:v>house</x:v>
      </x:c>
      <x:c r="F6061" s="2" t="str">
        <x:v>sale</x:v>
      </x:c>
      <x:c r="G6061" s="11" t="n">
        <x:v>15</x:v>
      </x:c>
      <x:c r="H6061" s="12" t="n">
        <x:v>595000000</x:v>
      </x:c>
      <x:c r="I6061" s="12" t="n">
        <x:v>39666666.666666664</x:v>
      </x:c>
      <x:c r="J6061" s="2" t="str">
        <x:v>total</x:v>
      </x:c>
      <x:c r="K6061" s="2" t="str">
        <x:v>top_level_area</x:v>
      </x:c>
      <x:c r="L6061" s="2" t="str">
        <x:v>property_type_inferred_from_title</x:v>
      </x:c>
      <x:c r="M6061" s="10" t="n">
        <x:v>0</x:v>
      </x:c>
      <x:c r="N6061" s="10" t="n">
        <x:v>0</x:v>
      </x:c>
      <x:c r="O6061" s="2" t="str">
        <x:v>Tp Hồ Chí Minh|house</x:v>
      </x:c>
      <x:c r="P6061" s="10" t="n">
        <x:v>2</x:v>
      </x:c>
      <x:c r="Q6061" s="13" t="n">
        <x:f>IF(H6061="","",H6061/1000000000)</x:f>
        <x:v>0.595</x:v>
      </x:c>
      <x:c r="R6061" s="13" t="n">
        <x:f>IF(I6061="","",I6061/1000000)</x:f>
        <x:v>39.666666666666664</x:v>
      </x:c>
    </x:row>
    <x:row r="6062" ht="21" customHeight="1">
      <x:c r="A6062" s="10" t="n">
        <x:v>7867</x:v>
      </x:c>
      <x:c r="B6062" s="2" t="str">
        <x:v>aa7a7801ed6a1d94140d</x:v>
      </x:c>
      <x:c r="C6062" s="2" t="str">
        <x:v>Hà Nội</x:v>
      </x:c>
      <x:c r="D6062" s="2" t="str">
        <x:v>Quận Nam Từ Liêm</x:v>
      </x:c>
      <x:c r="E6062" s="2" t="str">
        <x:v>apartment</x:v>
      </x:c>
      <x:c r="F6062" s="2" t="str">
        <x:v>sale_assumed</x:v>
      </x:c>
      <x:c r="G6062" s="11" t="n">
        <x:v>60</x:v>
      </x:c>
      <x:c r="H6062" s="12" t="n">
        <x:v>2100000000</x:v>
      </x:c>
      <x:c r="I6062" s="12" t="n">
        <x:v>35000000</x:v>
      </x:c>
      <x:c r="J6062" s="2" t="str">
        <x:v>total</x:v>
      </x:c>
      <x:c r="K6062" s="2" t="str">
        <x:v>top_level_area</x:v>
      </x:c>
      <x:c r="L6062" s="2" t="str">
        <x:v>property_type_inferred_from_title;transaction_assumed_sale_from_dataset_context</x:v>
      </x:c>
      <x:c r="M6062" s="10" t="n">
        <x:v>0</x:v>
      </x:c>
      <x:c r="N6062" s="10" t="n">
        <x:v>0</x:v>
      </x:c>
      <x:c r="O6062" s="2" t="str">
        <x:v>Hà Nội|apartment</x:v>
      </x:c>
      <x:c r="P6062" s="10" t="n">
        <x:v>2</x:v>
      </x:c>
      <x:c r="Q6062" s="13" t="n">
        <x:f>IF(H6062="","",H6062/1000000000)</x:f>
        <x:v>2.1</x:v>
      </x:c>
      <x:c r="R6062" s="13" t="n">
        <x:f>IF(I6062="","",I6062/1000000)</x:f>
        <x:v>35</x:v>
      </x:c>
    </x:row>
    <x:row r="6063" ht="21" customHeight="1">
      <x:c r="A6063" s="10" t="n">
        <x:v>7868</x:v>
      </x:c>
      <x:c r="B6063" s="2" t="str">
        <x:v>3749310c48d4c9aaf840</x:v>
      </x:c>
      <x:c r="C6063" s="2" t="str">
        <x:v>Long An</x:v>
      </x:c>
      <x:c r="D6063" s="2" t="str">
        <x:v>Huyện Bến Lức</x:v>
      </x:c>
      <x:c r="E6063" s="2" t="str">
        <x:v>house</x:v>
      </x:c>
      <x:c r="F6063" s="2" t="str">
        <x:v>sale_assumed</x:v>
      </x:c>
      <x:c r="G6063" s="11" t="n">
        <x:v>67</x:v>
      </x:c>
      <x:c r="H6063" s="12" t="n">
        <x:v>1500000000</x:v>
      </x:c>
      <x:c r="I6063" s="12" t="n">
        <x:v>22388059.701492537</x:v>
      </x:c>
      <x:c r="J6063" s="2" t="str">
        <x:v>total</x:v>
      </x:c>
      <x:c r="K6063" s="2" t="str">
        <x:v>top_level_area</x:v>
      </x:c>
      <x:c r="L6063" s="2" t="str">
        <x:v>property_type_inferred_from_title;transaction_assumed_sale_from_dataset_context</x:v>
      </x:c>
      <x:c r="M6063" s="10" t="n">
        <x:v>0</x:v>
      </x:c>
      <x:c r="N6063" s="10" t="n">
        <x:v>0</x:v>
      </x:c>
      <x:c r="O6063" s="2" t="str">
        <x:v>Long An|house</x:v>
      </x:c>
      <x:c r="P6063" s="10" t="n">
        <x:v>2</x:v>
      </x:c>
      <x:c r="Q6063" s="13" t="n">
        <x:f>IF(H6063="","",H6063/1000000000)</x:f>
        <x:v>1.5</x:v>
      </x:c>
      <x:c r="R6063" s="13" t="n">
        <x:f>IF(I6063="","",I6063/1000000)</x:f>
        <x:v>22.388059701492537</x:v>
      </x:c>
    </x:row>
    <x:row r="6064" ht="21" customHeight="1">
      <x:c r="A6064" s="10" t="n">
        <x:v>7869</x:v>
      </x:c>
      <x:c r="B6064" s="2" t="str">
        <x:v>b24277b32ea50fdac8a3</x:v>
      </x:c>
      <x:c r="C6064" s="2" t="str">
        <x:v>Hà Nội</x:v>
      </x:c>
      <x:c r="D6064" s="2" t="str">
        <x:v>Quận Hà Đông</x:v>
      </x:c>
      <x:c r="E6064" s="2" t="str">
        <x:v>house</x:v>
      </x:c>
      <x:c r="F6064" s="2" t="str">
        <x:v>sale_assumed</x:v>
      </x:c>
      <x:c r="G6064" s="11" t="n">
        <x:v>32</x:v>
      </x:c>
      <x:c r="H6064" s="12" t="n">
        <x:v>1650000000</x:v>
      </x:c>
      <x:c r="I6064" s="12" t="n">
        <x:v>51562500</x:v>
      </x:c>
      <x:c r="J6064" s="2" t="str">
        <x:v>total</x:v>
      </x:c>
      <x:c r="K6064" s="2" t="str">
        <x:v>top_level_area</x:v>
      </x:c>
      <x:c r="L6064" s="2" t="str">
        <x:v>property_type_inferred_from_title;transaction_assumed_sale_from_dataset_context</x:v>
      </x:c>
      <x:c r="M6064" s="10" t="n">
        <x:v>0</x:v>
      </x:c>
      <x:c r="N6064" s="10" t="n">
        <x:v>0</x:v>
      </x:c>
      <x:c r="O6064" s="2" t="str">
        <x:v>Hà Nội|house</x:v>
      </x:c>
      <x:c r="P6064" s="10" t="n">
        <x:v>2</x:v>
      </x:c>
      <x:c r="Q6064" s="13" t="n">
        <x:f>IF(H6064="","",H6064/1000000000)</x:f>
        <x:v>1.65</x:v>
      </x:c>
      <x:c r="R6064" s="13" t="n">
        <x:f>IF(I6064="","",I6064/1000000)</x:f>
        <x:v>51.5625</x:v>
      </x:c>
    </x:row>
    <x:row r="6065" ht="21" customHeight="1">
      <x:c r="A6065" s="10" t="n">
        <x:v>7870</x:v>
      </x:c>
      <x:c r="B6065" s="2" t="str">
        <x:v>77898d2df31216c6f518</x:v>
      </x:c>
      <x:c r="C6065" s="2" t="str">
        <x:v>Tp Hồ Chí Minh</x:v>
      </x:c>
      <x:c r="D6065" s="2" t="str">
        <x:v>Quận Gò Vấp</x:v>
      </x:c>
      <x:c r="E6065" s="2" t="str">
        <x:v>house</x:v>
      </x:c>
      <x:c r="F6065" s="2" t="str">
        <x:v>sale_assumed</x:v>
      </x:c>
      <x:c r="G6065" s="11" t="n">
        <x:v>22</x:v>
      </x:c>
      <x:c r="H6065" s="12" t="n">
        <x:v>1980000000</x:v>
      </x:c>
      <x:c r="I6065" s="12" t="n">
        <x:v>90000000</x:v>
      </x:c>
      <x:c r="J6065" s="2" t="str">
        <x:v>total</x:v>
      </x:c>
      <x:c r="K6065" s="2" t="str">
        <x:v>top_level_area</x:v>
      </x:c>
      <x:c r="L6065" s="2" t="str">
        <x:v>property_type_inferred_from_title;transaction_assumed_sale_from_dataset_context</x:v>
      </x:c>
      <x:c r="M6065" s="10" t="n">
        <x:v>0</x:v>
      </x:c>
      <x:c r="N6065" s="10" t="n">
        <x:v>0</x:v>
      </x:c>
      <x:c r="O6065" s="2" t="str">
        <x:v>Tp Hồ Chí Minh|house</x:v>
      </x:c>
      <x:c r="P6065" s="10" t="n">
        <x:v>2</x:v>
      </x:c>
      <x:c r="Q6065" s="13" t="n">
        <x:f>IF(H6065="","",H6065/1000000000)</x:f>
        <x:v>1.98</x:v>
      </x:c>
      <x:c r="R6065" s="13" t="n">
        <x:f>IF(I6065="","",I6065/1000000)</x:f>
        <x:v>90</x:v>
      </x:c>
    </x:row>
    <x:row r="6066" ht="21" customHeight="1">
      <x:c r="A6066" s="10" t="n">
        <x:v>7871</x:v>
      </x:c>
      <x:c r="B6066" s="2" t="str">
        <x:v>09788887a6598b5d154b</x:v>
      </x:c>
      <x:c r="C6066" s="2" t="str">
        <x:v>Hà Nội</x:v>
      </x:c>
      <x:c r="D6066" s="2" t="str">
        <x:v>Quận Hà Đông</x:v>
      </x:c>
      <x:c r="E6066" s="2" t="str">
        <x:v>house</x:v>
      </x:c>
      <x:c r="F6066" s="2" t="str">
        <x:v>sale</x:v>
      </x:c>
      <x:c r="G6066" s="11" t="n">
        <x:v>34</x:v>
      </x:c>
      <x:c r="H6066" s="12" t="n">
        <x:v>2049999999.9999998</x:v>
      </x:c>
      <x:c r="I6066" s="12" t="n">
        <x:v>60294117.647058815</x:v>
      </x:c>
      <x:c r="J6066" s="2" t="str">
        <x:v>total</x:v>
      </x:c>
      <x:c r="K6066" s="2" t="str">
        <x:v>top_level_area</x:v>
      </x:c>
      <x:c r="L6066" s="2" t="str">
        <x:v>property_type_inferred_from_title</x:v>
      </x:c>
      <x:c r="M6066" s="10" t="n">
        <x:v>0</x:v>
      </x:c>
      <x:c r="N6066" s="10" t="n">
        <x:v>0</x:v>
      </x:c>
      <x:c r="O6066" s="2" t="str">
        <x:v>Hà Nội|house</x:v>
      </x:c>
      <x:c r="P6066" s="10" t="n">
        <x:v>2</x:v>
      </x:c>
      <x:c r="Q6066" s="13" t="n">
        <x:f>IF(H6066="","",H6066/1000000000)</x:f>
        <x:v>2.05</x:v>
      </x:c>
      <x:c r="R6066" s="13" t="n">
        <x:f>IF(I6066="","",I6066/1000000)</x:f>
        <x:v>60.29411764705881</x:v>
      </x:c>
    </x:row>
    <x:row r="6067" ht="21" customHeight="1">
      <x:c r="A6067" s="10" t="n">
        <x:v>7872</x:v>
      </x:c>
      <x:c r="B6067" s="2" t="str">
        <x:v>5462e38e7fa7571f8290</x:v>
      </x:c>
      <x:c r="C6067" s="2" t="str">
        <x:v>Hà Nội</x:v>
      </x:c>
      <x:c r="D6067" s="2" t="str">
        <x:v>Quận Long Biên</x:v>
      </x:c>
      <x:c r="E6067" s="2" t="str">
        <x:v>house</x:v>
      </x:c>
      <x:c r="F6067" s="2" t="str">
        <x:v>sale_assumed</x:v>
      </x:c>
      <x:c r="G6067" s="11" t="n">
        <x:v>45</x:v>
      </x:c>
      <x:c r="H6067" s="12" t="n">
        <x:v>3000000000</x:v>
      </x:c>
      <x:c r="I6067" s="12" t="n">
        <x:v>66666666.666666664</x:v>
      </x:c>
      <x:c r="J6067" s="2" t="str">
        <x:v>total</x:v>
      </x:c>
      <x:c r="K6067" s="2" t="str">
        <x:v>top_level_price_embedded_area</x:v>
      </x:c>
      <x:c r="L6067" s="2" t="str">
        <x:v>area_recovered_from_price_text;property_type_inferred_from_title;transaction_assumed_sale_from_dataset_context</x:v>
      </x:c>
      <x:c r="M6067" s="10" t="n">
        <x:v>0</x:v>
      </x:c>
      <x:c r="N6067" s="10" t="n">
        <x:v>0</x:v>
      </x:c>
      <x:c r="O6067" s="2" t="str">
        <x:v>Hà Nội|house</x:v>
      </x:c>
      <x:c r="P6067" s="10" t="n">
        <x:v>2</x:v>
      </x:c>
      <x:c r="Q6067" s="13" t="n">
        <x:f>IF(H6067="","",H6067/1000000000)</x:f>
        <x:v>3</x:v>
      </x:c>
      <x:c r="R6067" s="13" t="n">
        <x:f>IF(I6067="","",I6067/1000000)</x:f>
        <x:v>66.66666666666666</x:v>
      </x:c>
    </x:row>
    <x:row r="6068" ht="21" customHeight="1">
      <x:c r="A6068" s="10" t="n">
        <x:v>7873</x:v>
      </x:c>
      <x:c r="B6068" s="2" t="str">
        <x:v>3d04089ad87ee7203c85</x:v>
      </x:c>
      <x:c r="C6068" s="2" t="str">
        <x:v>Bình Dương</x:v>
      </x:c>
      <x:c r="D6068" s="2" t="str">
        <x:v>Thị xã Dĩ An</x:v>
      </x:c>
      <x:c r="E6068" s="2" t="str">
        <x:v>house</x:v>
      </x:c>
      <x:c r="F6068" s="2" t="str">
        <x:v>sale</x:v>
      </x:c>
      <x:c r="G6068" s="11" t="n">
        <x:v>60</x:v>
      </x:c>
      <x:c r="H6068" s="12" t="n">
        <x:v>1480000000</x:v>
      </x:c>
      <x:c r="I6068" s="12" t="n">
        <x:v>24666666.666666668</x:v>
      </x:c>
      <x:c r="J6068" s="2" t="str">
        <x:v>total</x:v>
      </x:c>
      <x:c r="K6068" s="2" t="str">
        <x:v>top_level_area</x:v>
      </x:c>
      <x:c r="L6068" s="2" t="str">
        <x:v>property_type_inferred_from_title</x:v>
      </x:c>
      <x:c r="M6068" s="10" t="n">
        <x:v>0</x:v>
      </x:c>
      <x:c r="N6068" s="10" t="n">
        <x:v>0</x:v>
      </x:c>
      <x:c r="O6068" s="2" t="str">
        <x:v>Bình Dương|house</x:v>
      </x:c>
      <x:c r="P6068" s="10" t="n">
        <x:v>2</x:v>
      </x:c>
      <x:c r="Q6068" s="13" t="n">
        <x:f>IF(H6068="","",H6068/1000000000)</x:f>
        <x:v>1.48</x:v>
      </x:c>
      <x:c r="R6068" s="13" t="n">
        <x:f>IF(I6068="","",I6068/1000000)</x:f>
        <x:v>24.666666666666668</x:v>
      </x:c>
    </x:row>
    <x:row r="6069" ht="21" customHeight="1">
      <x:c r="A6069" s="10" t="n">
        <x:v>7874</x:v>
      </x:c>
      <x:c r="B6069" s="2" t="str">
        <x:v>aa8cdb5fde7f3cc5a9bb</x:v>
      </x:c>
      <x:c r="C6069" s="2" t="str">
        <x:v>Hà Nội</x:v>
      </x:c>
      <x:c r="D6069" s="2" t="str">
        <x:v>Quận Hà Đông</x:v>
      </x:c>
      <x:c r="E6069" s="2" t="str">
        <x:v>land</x:v>
      </x:c>
      <x:c r="F6069" s="2" t="str">
        <x:v>sale_assumed</x:v>
      </x:c>
      <x:c r="G6069" s="11" t="n">
        <x:v>50</x:v>
      </x:c>
      <x:c r="H6069" s="12" t="n">
        <x:v>100000000</x:v>
      </x:c>
      <x:c r="I6069" s="12" t="n">
        <x:v>2000000</x:v>
      </x:c>
      <x:c r="J6069" s="2" t="str">
        <x:v>total</x:v>
      </x:c>
      <x:c r="K6069" s="2" t="str">
        <x:v>top_level_area</x:v>
      </x:c>
      <x:c r="L6069" s="2" t="str">
        <x:v>property_type_inferred_from_title;transaction_assumed_sale_from_dataset_context</x:v>
      </x:c>
      <x:c r="M6069" s="10" t="n">
        <x:v>0</x:v>
      </x:c>
      <x:c r="N6069" s="10" t="n">
        <x:v>0</x:v>
      </x:c>
      <x:c r="O6069" s="2" t="str">
        <x:v>Hà Nội|land</x:v>
      </x:c>
      <x:c r="P6069" s="10" t="n">
        <x:v>2</x:v>
      </x:c>
      <x:c r="Q6069" s="13" t="n">
        <x:f>IF(H6069="","",H6069/1000000000)</x:f>
        <x:v>0.1</x:v>
      </x:c>
      <x:c r="R6069" s="13" t="n">
        <x:f>IF(I6069="","",I6069/1000000)</x:f>
        <x:v>2</x:v>
      </x:c>
    </x:row>
    <x:row r="6070" ht="21" customHeight="1">
      <x:c r="A6070" s="10" t="n">
        <x:v>7878</x:v>
      </x:c>
      <x:c r="B6070" s="2" t="str">
        <x:v>b03e79ddb338dc39f4f6</x:v>
      </x:c>
      <x:c r="C6070" s="2" t="str">
        <x:v>Tp Hồ Chí Minh</x:v>
      </x:c>
      <x:c r="D6070" s="2" t="str">
        <x:v>Quận 12</x:v>
      </x:c>
      <x:c r="E6070" s="2" t="str">
        <x:v>house</x:v>
      </x:c>
      <x:c r="F6070" s="2" t="str">
        <x:v>sale_assumed</x:v>
      </x:c>
      <x:c r="G6070" s="11" t="n">
        <x:v>40</x:v>
      </x:c>
      <x:c r="H6070" s="12" t="n">
        <x:v>1350000000</x:v>
      </x:c>
      <x:c r="I6070" s="12" t="n">
        <x:v>33750000</x:v>
      </x:c>
      <x:c r="J6070" s="2" t="str">
        <x:v>total</x:v>
      </x:c>
      <x:c r="K6070" s="2" t="str">
        <x:v>top_level_area</x:v>
      </x:c>
      <x:c r="L6070" s="2" t="str">
        <x:v>property_type_inferred_from_title;transaction_assumed_sale_from_dataset_context</x:v>
      </x:c>
      <x:c r="M6070" s="10" t="n">
        <x:v>0</x:v>
      </x:c>
      <x:c r="N6070" s="10" t="n">
        <x:v>0</x:v>
      </x:c>
      <x:c r="O6070" s="2" t="str">
        <x:v>Tp Hồ Chí Minh|house</x:v>
      </x:c>
      <x:c r="P6070" s="10" t="n">
        <x:v>2</x:v>
      </x:c>
      <x:c r="Q6070" s="13" t="n">
        <x:f>IF(H6070="","",H6070/1000000000)</x:f>
        <x:v>1.35</x:v>
      </x:c>
      <x:c r="R6070" s="13" t="n">
        <x:f>IF(I6070="","",I6070/1000000)</x:f>
        <x:v>33.75</x:v>
      </x:c>
    </x:row>
    <x:row r="6071" ht="21" customHeight="1">
      <x:c r="A6071" s="10" t="n">
        <x:v>7879</x:v>
      </x:c>
      <x:c r="B6071" s="2" t="str">
        <x:v>09d757a8934ea5cc06fb</x:v>
      </x:c>
      <x:c r="C6071" s="2" t="str">
        <x:v>Hà Nội</x:v>
      </x:c>
      <x:c r="D6071" s="2" t="str">
        <x:v>Huyện Gia Lâm</x:v>
      </x:c>
      <x:c r="E6071" s="2" t="str">
        <x:v>other_unknown</x:v>
      </x:c>
      <x:c r="F6071" s="2" t="str">
        <x:v>sale</x:v>
      </x:c>
      <x:c r="G6071" s="11" t="n">
        <x:v>71.2</x:v>
      </x:c>
      <x:c r="H6071" s="12" t="n">
        <x:v>1850000000</x:v>
      </x:c>
      <x:c r="I6071" s="12" t="n">
        <x:v>25983146.06741573</x:v>
      </x:c>
      <x:c r="J6071" s="2" t="str">
        <x:v>total</x:v>
      </x:c>
      <x:c r="K6071" s="2" t="str">
        <x:v>top_level_area</x:v>
      </x:c>
      <x:c r="L6071" s="2" t="str">
        <x:v>property_type_inferred_from_title;unknown_property_type</x:v>
      </x:c>
      <x:c r="M6071" s="10" t="n">
        <x:v>0</x:v>
      </x:c>
      <x:c r="N6071" s="10" t="n">
        <x:v>0</x:v>
      </x:c>
      <x:c r="O6071" s="2" t="str">
        <x:v>Hà Nội|other_unknown</x:v>
      </x:c>
      <x:c r="P6071" s="10" t="n">
        <x:v>2</x:v>
      </x:c>
      <x:c r="Q6071" s="13" t="n">
        <x:f>IF(H6071="","",H6071/1000000000)</x:f>
        <x:v>1.85</x:v>
      </x:c>
      <x:c r="R6071" s="13" t="n">
        <x:f>IF(I6071="","",I6071/1000000)</x:f>
        <x:v>25.983146067415728</x:v>
      </x:c>
    </x:row>
    <x:row r="6072" ht="21" customHeight="1">
      <x:c r="A6072" s="10" t="n">
        <x:v>7880</x:v>
      </x:c>
      <x:c r="B6072" s="2" t="str">
        <x:v>f6c8fec0d3c03e7e37fa</x:v>
      </x:c>
      <x:c r="C6072" s="2" t="str">
        <x:v>Hà Nội</x:v>
      </x:c>
      <x:c r="D6072" s="2" t="str">
        <x:v>Quận Ba Đình</x:v>
      </x:c>
      <x:c r="E6072" s="2" t="str">
        <x:v>other_unknown</x:v>
      </x:c>
      <x:c r="F6072" s="2" t="str">
        <x:v>sale</x:v>
      </x:c>
      <x:c r="G6072" s="11" t="n">
        <x:v>30</x:v>
      </x:c>
      <x:c r="H6072" s="12" t="n">
        <x:v>3500000000</x:v>
      </x:c>
      <x:c r="I6072" s="12" t="n">
        <x:v>116666666.66666667</x:v>
      </x:c>
      <x:c r="J6072" s="2" t="str">
        <x:v>total</x:v>
      </x:c>
      <x:c r="K6072" s="2" t="str">
        <x:v>top_level_area</x:v>
      </x:c>
      <x:c r="L6072" s="2" t="str">
        <x:v>property_type_inferred_from_title;unknown_property_type</x:v>
      </x:c>
      <x:c r="M6072" s="10" t="n">
        <x:v>0</x:v>
      </x:c>
      <x:c r="N6072" s="10" t="n">
        <x:v>0</x:v>
      </x:c>
      <x:c r="O6072" s="2" t="str">
        <x:v>Hà Nội|other_unknown</x:v>
      </x:c>
      <x:c r="P6072" s="10" t="n">
        <x:v>2</x:v>
      </x:c>
      <x:c r="Q6072" s="13" t="n">
        <x:f>IF(H6072="","",H6072/1000000000)</x:f>
        <x:v>3.5</x:v>
      </x:c>
      <x:c r="R6072" s="13" t="n">
        <x:f>IF(I6072="","",I6072/1000000)</x:f>
        <x:v>116.66666666666667</x:v>
      </x:c>
    </x:row>
    <x:row r="6073" ht="21" customHeight="1">
      <x:c r="A6073" s="10" t="n">
        <x:v>7881</x:v>
      </x:c>
      <x:c r="B6073" s="2" t="str">
        <x:v>edf7fb295eae2f567e7c</x:v>
      </x:c>
      <x:c r="C6073" s="2" t="str">
        <x:v>Hà Nội</x:v>
      </x:c>
      <x:c r="D6073" s="2" t="str">
        <x:v>Quận Đống Đa</x:v>
      </x:c>
      <x:c r="E6073" s="2" t="str">
        <x:v>other_unknown</x:v>
      </x:c>
      <x:c r="F6073" s="2" t="str">
        <x:v>sale_assumed</x:v>
      </x:c>
      <x:c r="G6073" s="11" t="n">
        <x:v>67</x:v>
      </x:c>
      <x:c r="H6073" s="12" t="n">
        <x:v>14300000000</x:v>
      </x:c>
      <x:c r="I6073" s="12" t="n">
        <x:v>213432835.82089552</x:v>
      </x:c>
      <x:c r="J6073" s="2" t="str">
        <x:v>total</x:v>
      </x:c>
      <x:c r="K6073" s="2" t="str">
        <x:v>top_level_area</x:v>
      </x:c>
      <x:c r="L6073" s="2" t="str">
        <x:v>property_type_inferred_from_title;transaction_assumed_sale_from_dataset_context;unknown_property_type</x:v>
      </x:c>
      <x:c r="M6073" s="10" t="n">
        <x:v>1</x:v>
      </x:c>
      <x:c r="N6073" s="10" t="n">
        <x:v>1</x:v>
      </x:c>
      <x:c r="O6073" s="2" t="str">
        <x:v>Hà Nội|other_unknown</x:v>
      </x:c>
      <x:c r="P6073" s="10" t="n">
        <x:v>-1</x:v>
      </x:c>
      <x:c r="Q6073" s="13" t="n">
        <x:f>IF(H6073="","",H6073/1000000000)</x:f>
        <x:v>14.3</x:v>
      </x:c>
      <x:c r="R6073" s="13" t="n">
        <x:f>IF(I6073="","",I6073/1000000)</x:f>
        <x:v>213.43283582089552</x:v>
      </x:c>
    </x:row>
    <x:row r="6074" ht="21" customHeight="1">
      <x:c r="A6074" s="10" t="n">
        <x:v>7882</x:v>
      </x:c>
      <x:c r="B6074" s="2" t="str">
        <x:v>b46303049d6ace555562</x:v>
      </x:c>
      <x:c r="C6074" s="2" t="str">
        <x:v>Cần Thơ</x:v>
      </x:c>
      <x:c r="D6074" s="2" t="str">
        <x:v>Quận Bình Thuỷ</x:v>
      </x:c>
      <x:c r="E6074" s="2" t="str">
        <x:v>land</x:v>
      </x:c>
      <x:c r="F6074" s="2" t="str">
        <x:v>sale_assumed</x:v>
      </x:c>
      <x:c r="G6074" s="11" t="n">
        <x:v>90.3</x:v>
      </x:c>
      <x:c r="H6074" s="12" t="n">
        <x:v>1250000000</x:v>
      </x:c>
      <x:c r="I6074" s="12" t="n">
        <x:v>13842746.400885936</x:v>
      </x:c>
      <x:c r="J6074" s="2" t="str">
        <x:v>total</x:v>
      </x:c>
      <x:c r="K6074" s="2" t="str">
        <x:v>top_level_area</x:v>
      </x:c>
      <x:c r="L6074" s="2" t="str">
        <x:v>property_type_inferred_from_title;transaction_assumed_sale_from_dataset_context</x:v>
      </x:c>
      <x:c r="M6074" s="10" t="n">
        <x:v>0</x:v>
      </x:c>
      <x:c r="N6074" s="10" t="n">
        <x:v>0</x:v>
      </x:c>
      <x:c r="O6074" s="2" t="str">
        <x:v>Cần Thơ|land</x:v>
      </x:c>
      <x:c r="P6074" s="10" t="n">
        <x:v>2</x:v>
      </x:c>
      <x:c r="Q6074" s="13" t="n">
        <x:f>IF(H6074="","",H6074/1000000000)</x:f>
        <x:v>1.25</x:v>
      </x:c>
      <x:c r="R6074" s="13" t="n">
        <x:f>IF(I6074="","",I6074/1000000)</x:f>
        <x:v>13.842746400885936</x:v>
      </x:c>
    </x:row>
    <x:row r="6075" ht="21" customHeight="1">
      <x:c r="A6075" s="10" t="n">
        <x:v>7883</x:v>
      </x:c>
      <x:c r="B6075" s="2" t="str">
        <x:v>2ad40baf29b1adca3d3d</x:v>
      </x:c>
      <x:c r="C6075" s="2" t="str">
        <x:v>Đà Nẵng</x:v>
      </x:c>
      <x:c r="D6075" s="2" t="str">
        <x:v>Quận Sơn Trà</x:v>
      </x:c>
      <x:c r="E6075" s="2" t="str">
        <x:v>house</x:v>
      </x:c>
      <x:c r="F6075" s="2" t="str">
        <x:v>sale_assumed</x:v>
      </x:c>
      <x:c r="G6075" s="11" t="n">
        <x:v>88</x:v>
      </x:c>
      <x:c r="H6075" s="12" t="n">
        <x:v>6700000000</x:v>
      </x:c>
      <x:c r="I6075" s="12" t="n">
        <x:v>76136363.63636364</x:v>
      </x:c>
      <x:c r="J6075" s="2" t="str">
        <x:v>total</x:v>
      </x:c>
      <x:c r="K6075" s="2" t="str">
        <x:v>top_level_area</x:v>
      </x:c>
      <x:c r="L6075" s="2" t="str">
        <x:v>property_type_inferred_from_title;transaction_assumed_sale_from_dataset_context</x:v>
      </x:c>
      <x:c r="M6075" s="10" t="n">
        <x:v>0</x:v>
      </x:c>
      <x:c r="N6075" s="10" t="n">
        <x:v>0</x:v>
      </x:c>
      <x:c r="O6075" s="2" t="str">
        <x:v>Đà Nẵng|house</x:v>
      </x:c>
      <x:c r="P6075" s="10" t="n">
        <x:v>2</x:v>
      </x:c>
      <x:c r="Q6075" s="13" t="n">
        <x:f>IF(H6075="","",H6075/1000000000)</x:f>
        <x:v>6.7</x:v>
      </x:c>
      <x:c r="R6075" s="13" t="n">
        <x:f>IF(I6075="","",I6075/1000000)</x:f>
        <x:v>76.13636363636364</x:v>
      </x:c>
    </x:row>
    <x:row r="6076" ht="21" customHeight="1">
      <x:c r="A6076" s="10" t="n">
        <x:v>7884</x:v>
      </x:c>
      <x:c r="B6076" s="2" t="str">
        <x:v>171978631c08bf6b8a74</x:v>
      </x:c>
      <x:c r="C6076" s="2" t="str">
        <x:v>Bình Dương</x:v>
      </x:c>
      <x:c r="D6076" s="2" t="str">
        <x:v>Thị xã Thuận An</x:v>
      </x:c>
      <x:c r="E6076" s="2" t="str">
        <x:v>house</x:v>
      </x:c>
      <x:c r="F6076" s="2" t="str">
        <x:v>sale</x:v>
      </x:c>
      <x:c r="G6076" s="11" t="n">
        <x:v>98</x:v>
      </x:c>
      <x:c r="H6076" s="12" t="n">
        <x:v>2450000000</x:v>
      </x:c>
      <x:c r="I6076" s="12" t="n">
        <x:v>25000000</x:v>
      </x:c>
      <x:c r="J6076" s="2" t="str">
        <x:v>total</x:v>
      </x:c>
      <x:c r="K6076" s="2" t="str">
        <x:v>top_level_area</x:v>
      </x:c>
      <x:c r="L6076" s="2" t="str">
        <x:v>property_type_inferred_from_title</x:v>
      </x:c>
      <x:c r="M6076" s="10" t="n">
        <x:v>0</x:v>
      </x:c>
      <x:c r="N6076" s="10" t="n">
        <x:v>0</x:v>
      </x:c>
      <x:c r="O6076" s="2" t="str">
        <x:v>Bình Dương|house</x:v>
      </x:c>
      <x:c r="P6076" s="10" t="n">
        <x:v>2</x:v>
      </x:c>
      <x:c r="Q6076" s="13" t="n">
        <x:f>IF(H6076="","",H6076/1000000000)</x:f>
        <x:v>2.45</x:v>
      </x:c>
      <x:c r="R6076" s="13" t="n">
        <x:f>IF(I6076="","",I6076/1000000)</x:f>
        <x:v>25</x:v>
      </x:c>
    </x:row>
    <x:row r="6077" ht="21" customHeight="1">
      <x:c r="A6077" s="10" t="n">
        <x:v>7885</x:v>
      </x:c>
      <x:c r="B6077" s="2" t="str">
        <x:v>b481efb5a568e6500e32</x:v>
      </x:c>
      <x:c r="C6077" s="2" t="str">
        <x:v>Tp Hồ Chí Minh</x:v>
      </x:c>
      <x:c r="D6077" s="2" t="str">
        <x:v>Quận Bình Tân</x:v>
      </x:c>
      <x:c r="E6077" s="2" t="str">
        <x:v>house</x:v>
      </x:c>
      <x:c r="F6077" s="2" t="str">
        <x:v>sale</x:v>
      </x:c>
      <x:c r="G6077" s="11" t="n">
        <x:v>54</x:v>
      </x:c>
      <x:c r="H6077" s="12" t="n">
        <x:v>2490000000</x:v>
      </x:c>
      <x:c r="I6077" s="12" t="n">
        <x:v>46111111.11111111</x:v>
      </x:c>
      <x:c r="J6077" s="2" t="str">
        <x:v>total</x:v>
      </x:c>
      <x:c r="K6077" s="2" t="str">
        <x:v>top_level_area</x:v>
      </x:c>
      <x:c r="L6077" s="2" t="str">
        <x:v>property_type_inferred_from_title</x:v>
      </x:c>
      <x:c r="M6077" s="10" t="n">
        <x:v>0</x:v>
      </x:c>
      <x:c r="N6077" s="10" t="n">
        <x:v>0</x:v>
      </x:c>
      <x:c r="O6077" s="2" t="str">
        <x:v>Tp Hồ Chí Minh|house</x:v>
      </x:c>
      <x:c r="P6077" s="10" t="n">
        <x:v>2</x:v>
      </x:c>
      <x:c r="Q6077" s="13" t="n">
        <x:f>IF(H6077="","",H6077/1000000000)</x:f>
        <x:v>2.49</x:v>
      </x:c>
      <x:c r="R6077" s="13" t="n">
        <x:f>IF(I6077="","",I6077/1000000)</x:f>
        <x:v>46.111111111111114</x:v>
      </x:c>
    </x:row>
    <x:row r="6078" ht="21" customHeight="1">
      <x:c r="A6078" s="10" t="n">
        <x:v>7886</x:v>
      </x:c>
      <x:c r="B6078" s="2" t="str">
        <x:v>0dd2e90d4b6cf2ab346d</x:v>
      </x:c>
      <x:c r="C6078" s="2" t="str">
        <x:v>Sóc Trăng</x:v>
      </x:c>
      <x:c r="D6078" s="2" t="str">
        <x:v>Huyện Cù Lao Dung</x:v>
      </x:c>
      <x:c r="E6078" s="2" t="str">
        <x:v>land</x:v>
      </x:c>
      <x:c r="F6078" s="2" t="str">
        <x:v>sale_assumed</x:v>
      </x:c>
      <x:c r="G6078" s="11" t="n">
        <x:v>327</x:v>
      </x:c>
      <x:c r="H6078" s="12" t="n">
        <x:v>350000000</x:v>
      </x:c>
      <x:c r="I6078" s="12" t="n">
        <x:v>1070336.3914373089</x:v>
      </x:c>
      <x:c r="J6078" s="2" t="str">
        <x:v>total</x:v>
      </x:c>
      <x:c r="K6078" s="2" t="str">
        <x:v>top_level_area</x:v>
      </x:c>
      <x:c r="L6078" s="2" t="str">
        <x:v>property_type_inferred_from_title;transaction_assumed_sale_from_dataset_context</x:v>
      </x:c>
      <x:c r="M6078" s="10" t="n">
        <x:v>0</x:v>
      </x:c>
      <x:c r="N6078" s="10" t="n">
        <x:v>0</x:v>
      </x:c>
      <x:c r="O6078" s="2" t="str">
        <x:v>land</x:v>
      </x:c>
      <x:c r="P6078" s="10" t="n">
        <x:v>1</x:v>
      </x:c>
      <x:c r="Q6078" s="13" t="n">
        <x:f>IF(H6078="","",H6078/1000000000)</x:f>
        <x:v>0.35</x:v>
      </x:c>
      <x:c r="R6078" s="13" t="n">
        <x:f>IF(I6078="","",I6078/1000000)</x:f>
        <x:v>1.070336391437309</x:v>
      </x:c>
    </x:row>
    <x:row r="6079" ht="21" customHeight="1">
      <x:c r="A6079" s="10" t="n">
        <x:v>7887</x:v>
      </x:c>
      <x:c r="B6079" s="2" t="str">
        <x:v>f9d1aec42cee78b8d084</x:v>
      </x:c>
      <x:c r="C6079" s="2" t="str">
        <x:v>Hà Nội</x:v>
      </x:c>
      <x:c r="D6079" s="2" t="str">
        <x:v>Quận Hà Đông</x:v>
      </x:c>
      <x:c r="E6079" s="2" t="str">
        <x:v>house</x:v>
      </x:c>
      <x:c r="F6079" s="2" t="str">
        <x:v>sale_assumed</x:v>
      </x:c>
      <x:c r="G6079" s="11" t="n">
        <x:v>34</x:v>
      </x:c>
      <x:c r="H6079" s="12" t="n">
        <x:v>1720000000</x:v>
      </x:c>
      <x:c r="I6079" s="12" t="n">
        <x:v>50588235.294117644</x:v>
      </x:c>
      <x:c r="J6079" s="2" t="str">
        <x:v>total</x:v>
      </x:c>
      <x:c r="K6079" s="2" t="str">
        <x:v>top_level_area</x:v>
      </x:c>
      <x:c r="L6079" s="2" t="str">
        <x:v>property_type_inferred_from_title;transaction_assumed_sale_from_dataset_context</x:v>
      </x:c>
      <x:c r="M6079" s="10" t="n">
        <x:v>0</x:v>
      </x:c>
      <x:c r="N6079" s="10" t="n">
        <x:v>0</x:v>
      </x:c>
      <x:c r="O6079" s="2" t="str">
        <x:v>Hà Nội|house</x:v>
      </x:c>
      <x:c r="P6079" s="10" t="n">
        <x:v>2</x:v>
      </x:c>
      <x:c r="Q6079" s="13" t="n">
        <x:f>IF(H6079="","",H6079/1000000000)</x:f>
        <x:v>1.72</x:v>
      </x:c>
      <x:c r="R6079" s="13" t="n">
        <x:f>IF(I6079="","",I6079/1000000)</x:f>
        <x:v>50.588235294117645</x:v>
      </x:c>
    </x:row>
    <x:row r="6080" ht="21" customHeight="1">
      <x:c r="A6080" s="10" t="n">
        <x:v>7888</x:v>
      </x:c>
      <x:c r="B6080" s="2" t="str">
        <x:v>531d2c74eebd5b9655e2</x:v>
      </x:c>
      <x:c r="C6080" s="2" t="str">
        <x:v>Tp Hồ Chí Minh</x:v>
      </x:c>
      <x:c r="D6080" s="2" t="str">
        <x:v>Quận Bình Tân</x:v>
      </x:c>
      <x:c r="E6080" s="2" t="str">
        <x:v>apartment</x:v>
      </x:c>
      <x:c r="F6080" s="2" t="str">
        <x:v>sale_assumed</x:v>
      </x:c>
      <x:c r="G6080" s="11" t="n">
        <x:v>33.9</x:v>
      </x:c>
      <x:c r="H6080" s="12" t="n">
        <x:v>640000000</x:v>
      </x:c>
      <x:c r="I6080" s="12" t="n">
        <x:v>18879056.04719764</x:v>
      </x:c>
      <x:c r="J6080" s="2" t="str">
        <x:v>total</x:v>
      </x:c>
      <x:c r="K6080" s="2" t="str">
        <x:v>top_level_area</x:v>
      </x:c>
      <x:c r="L6080" s="2" t="str">
        <x:v>property_type_inferred_from_title;transaction_assumed_sale_from_dataset_context</x:v>
      </x:c>
      <x:c r="M6080" s="10" t="n">
        <x:v>0</x:v>
      </x:c>
      <x:c r="N6080" s="10" t="n">
        <x:v>0</x:v>
      </x:c>
      <x:c r="O6080" s="2" t="str">
        <x:v>Tp Hồ Chí Minh|apartment</x:v>
      </x:c>
      <x:c r="P6080" s="10" t="n">
        <x:v>2</x:v>
      </x:c>
      <x:c r="Q6080" s="13" t="n">
        <x:f>IF(H6080="","",H6080/1000000000)</x:f>
        <x:v>0.64</x:v>
      </x:c>
      <x:c r="R6080" s="13" t="n">
        <x:f>IF(I6080="","",I6080/1000000)</x:f>
        <x:v>18.87905604719764</x:v>
      </x:c>
    </x:row>
    <x:row r="6081" ht="21" customHeight="1">
      <x:c r="A6081" s="10" t="n">
        <x:v>7889</x:v>
      </x:c>
      <x:c r="B6081" s="2" t="str">
        <x:v>8fe617e6077b6b2b35c0</x:v>
      </x:c>
      <x:c r="C6081" s="2" t="str">
        <x:v>An Giang</x:v>
      </x:c>
      <x:c r="D6081" s="2" t="str">
        <x:v>Huyện Thoại Sơn</x:v>
      </x:c>
      <x:c r="E6081" s="2" t="str">
        <x:v>house</x:v>
      </x:c>
      <x:c r="F6081" s="2" t="str">
        <x:v>sale</x:v>
      </x:c>
      <x:c r="G6081" s="11" t="n">
        <x:v>600</x:v>
      </x:c>
      <x:c r="H6081" s="12" t="n">
        <x:v>2200000000</x:v>
      </x:c>
      <x:c r="I6081" s="12" t="n">
        <x:v>3666666.6666666665</x:v>
      </x:c>
      <x:c r="J6081" s="2" t="str">
        <x:v>total</x:v>
      </x:c>
      <x:c r="K6081" s="2" t="str">
        <x:v>top_level_area</x:v>
      </x:c>
      <x:c r="L6081" s="2" t="str">
        <x:v>property_type_inferred_from_title</x:v>
      </x:c>
      <x:c r="M6081" s="10" t="n">
        <x:v>0</x:v>
      </x:c>
      <x:c r="N6081" s="10" t="n">
        <x:v>0</x:v>
      </x:c>
      <x:c r="O6081" s="2" t="str">
        <x:v>house</x:v>
      </x:c>
      <x:c r="P6081" s="10" t="n">
        <x:v>1</x:v>
      </x:c>
      <x:c r="Q6081" s="13" t="n">
        <x:f>IF(H6081="","",H6081/1000000000)</x:f>
        <x:v>2.2</x:v>
      </x:c>
      <x:c r="R6081" s="13" t="n">
        <x:f>IF(I6081="","",I6081/1000000)</x:f>
        <x:v>3.6666666666666665</x:v>
      </x:c>
    </x:row>
    <x:row r="6082" ht="21" customHeight="1">
      <x:c r="A6082" s="10" t="n">
        <x:v>7890</x:v>
      </x:c>
      <x:c r="B6082" s="2" t="str">
        <x:v>5bde2d9210bb8fbffcd8</x:v>
      </x:c>
      <x:c r="C6082" s="2" t="str">
        <x:v>Hà Nội</x:v>
      </x:c>
      <x:c r="D6082" s="2" t="str">
        <x:v>Huyện Gia Lâm</x:v>
      </x:c>
      <x:c r="E6082" s="2" t="str">
        <x:v>other_unknown</x:v>
      </x:c>
      <x:c r="F6082" s="2" t="str">
        <x:v>sale_assumed</x:v>
      </x:c>
      <x:c r="G6082" s="11" t="n">
        <x:v>75</x:v>
      </x:c>
      <x:c r="H6082" s="12" t="n">
        <x:v>4500000000</x:v>
      </x:c>
      <x:c r="I6082" s="12" t="n">
        <x:v>60000000</x:v>
      </x:c>
      <x:c r="J6082" s="2" t="str">
        <x:v>total</x:v>
      </x:c>
      <x:c r="K6082" s="2" t="str">
        <x:v>top_level_area</x:v>
      </x:c>
      <x:c r="L6082" s="2" t="str">
        <x:v>property_type_inferred_from_title;transaction_assumed_sale_from_dataset_context;unknown_property_type</x:v>
      </x:c>
      <x:c r="M6082" s="10" t="n">
        <x:v>0</x:v>
      </x:c>
      <x:c r="N6082" s="10" t="n">
        <x:v>0</x:v>
      </x:c>
      <x:c r="O6082" s="2" t="str">
        <x:v>Hà Nội|other_unknown</x:v>
      </x:c>
      <x:c r="P6082" s="10" t="n">
        <x:v>2</x:v>
      </x:c>
      <x:c r="Q6082" s="13" t="n">
        <x:f>IF(H6082="","",H6082/1000000000)</x:f>
        <x:v>4.5</x:v>
      </x:c>
      <x:c r="R6082" s="13" t="n">
        <x:f>IF(I6082="","",I6082/1000000)</x:f>
        <x:v>60</x:v>
      </x:c>
    </x:row>
    <x:row r="6083" ht="21" customHeight="1">
      <x:c r="A6083" s="10" t="n">
        <x:v>7891</x:v>
      </x:c>
      <x:c r="B6083" s="2" t="str">
        <x:v>9ec34e35d2165c052dca</x:v>
      </x:c>
      <x:c r="C6083" s="2" t="str">
        <x:v>Tp Hồ Chí Minh</x:v>
      </x:c>
      <x:c r="D6083" s="2" t="str">
        <x:v>Huyện Bình Chánh</x:v>
      </x:c>
      <x:c r="E6083" s="2" t="str">
        <x:v>land</x:v>
      </x:c>
      <x:c r="F6083" s="2" t="str">
        <x:v>sale_assumed</x:v>
      </x:c>
      <x:c r="G6083" s="11" t="n">
        <x:v>110</x:v>
      </x:c>
      <x:c r="H6083" s="12" t="n">
        <x:v>2200000000</x:v>
      </x:c>
      <x:c r="I6083" s="12" t="n">
        <x:v>20000000</x:v>
      </x:c>
      <x:c r="J6083" s="2" t="str">
        <x:v>total</x:v>
      </x:c>
      <x:c r="K6083" s="2" t="str">
        <x:v>top_level_area</x:v>
      </x:c>
      <x:c r="L6083" s="2" t="str">
        <x:v>property_type_inferred_from_title;transaction_assumed_sale_from_dataset_context</x:v>
      </x:c>
      <x:c r="M6083" s="10" t="n">
        <x:v>0</x:v>
      </x:c>
      <x:c r="N6083" s="10" t="n">
        <x:v>0</x:v>
      </x:c>
      <x:c r="O6083" s="2" t="str">
        <x:v>Tp Hồ Chí Minh|land</x:v>
      </x:c>
      <x:c r="P6083" s="10" t="n">
        <x:v>2</x:v>
      </x:c>
      <x:c r="Q6083" s="13" t="n">
        <x:f>IF(H6083="","",H6083/1000000000)</x:f>
        <x:v>2.2</x:v>
      </x:c>
      <x:c r="R6083" s="13" t="n">
        <x:f>IF(I6083="","",I6083/1000000)</x:f>
        <x:v>20</x:v>
      </x:c>
    </x:row>
    <x:row r="6084" ht="21" customHeight="1">
      <x:c r="A6084" s="10" t="n">
        <x:v>7892</x:v>
      </x:c>
      <x:c r="B6084" s="2" t="str">
        <x:v>392d79a1fdf714d85a6f</x:v>
      </x:c>
      <x:c r="C6084" s="2" t="str">
        <x:v>Bình Thuận</x:v>
      </x:c>
      <x:c r="D6084" s="2" t="str">
        <x:v>Thành phố Phan Thiết</x:v>
      </x:c>
      <x:c r="E6084" s="2" t="str">
        <x:v>house</x:v>
      </x:c>
      <x:c r="F6084" s="2" t="str">
        <x:v>sale</x:v>
      </x:c>
      <x:c r="G6084" s="11" t="n">
        <x:v>110</x:v>
      </x:c>
      <x:c r="H6084" s="12" t="n">
        <x:v>1950000000</x:v>
      </x:c>
      <x:c r="I6084" s="12" t="n">
        <x:v>17727272.727272727</x:v>
      </x:c>
      <x:c r="J6084" s="2" t="str">
        <x:v>total</x:v>
      </x:c>
      <x:c r="K6084" s="2" t="str">
        <x:v>top_level_area</x:v>
      </x:c>
      <x:c r="L6084" s="2" t="str">
        <x:v>property_type_inferred_from_title</x:v>
      </x:c>
      <x:c r="M6084" s="10" t="n">
        <x:v>0</x:v>
      </x:c>
      <x:c r="N6084" s="10" t="n">
        <x:v>0</x:v>
      </x:c>
      <x:c r="O6084" s="2" t="str">
        <x:v>house</x:v>
      </x:c>
      <x:c r="P6084" s="10" t="n">
        <x:v>2</x:v>
      </x:c>
      <x:c r="Q6084" s="13" t="n">
        <x:f>IF(H6084="","",H6084/1000000000)</x:f>
        <x:v>1.95</x:v>
      </x:c>
      <x:c r="R6084" s="13" t="n">
        <x:f>IF(I6084="","",I6084/1000000)</x:f>
        <x:v>17.727272727272727</x:v>
      </x:c>
    </x:row>
    <x:row r="6085" ht="21" customHeight="1">
      <x:c r="A6085" s="10" t="n">
        <x:v>7893</x:v>
      </x:c>
      <x:c r="B6085" s="2" t="str">
        <x:v>7090975ef0c8c4465e32</x:v>
      </x:c>
      <x:c r="C6085" s="2" t="str">
        <x:v>Tp Hồ Chí Minh</x:v>
      </x:c>
      <x:c r="D6085" s="2" t="str">
        <x:v>Quận Bình Tân</x:v>
      </x:c>
      <x:c r="E6085" s="2" t="str">
        <x:v>apartment</x:v>
      </x:c>
      <x:c r="F6085" s="2" t="str">
        <x:v>sale_assumed</x:v>
      </x:c>
      <x:c r="G6085" s="11" t="n">
        <x:v>71</x:v>
      </x:c>
      <x:c r="H6085" s="12" t="n">
        <x:v>1770000000</x:v>
      </x:c>
      <x:c r="I6085" s="12" t="n">
        <x:v>24929577.46478873</x:v>
      </x:c>
      <x:c r="J6085" s="2" t="str">
        <x:v>total</x:v>
      </x:c>
      <x:c r="K6085" s="2" t="str">
        <x:v>top_level_area</x:v>
      </x:c>
      <x:c r="L6085" s="2" t="str">
        <x:v>property_type_inferred_from_title;transaction_assumed_sale_from_dataset_context</x:v>
      </x:c>
      <x:c r="M6085" s="10" t="n">
        <x:v>0</x:v>
      </x:c>
      <x:c r="N6085" s="10" t="n">
        <x:v>0</x:v>
      </x:c>
      <x:c r="O6085" s="2" t="str">
        <x:v>Tp Hồ Chí Minh|apartment</x:v>
      </x:c>
      <x:c r="P6085" s="10" t="n">
        <x:v>2</x:v>
      </x:c>
      <x:c r="Q6085" s="13" t="n">
        <x:f>IF(H6085="","",H6085/1000000000)</x:f>
        <x:v>1.77</x:v>
      </x:c>
      <x:c r="R6085" s="13" t="n">
        <x:f>IF(I6085="","",I6085/1000000)</x:f>
        <x:v>24.929577464788732</x:v>
      </x:c>
    </x:row>
    <x:row r="6086" ht="21" customHeight="1">
      <x:c r="A6086" s="10" t="n">
        <x:v>7894</x:v>
      </x:c>
      <x:c r="B6086" s="2" t="str">
        <x:v>e66a54d28c4d4f5bd3c1</x:v>
      </x:c>
      <x:c r="C6086" s="2" t="str">
        <x:v>Bình Thuận</x:v>
      </x:c>
      <x:c r="D6086" s="2" t="str">
        <x:v>Huyện Bắc Bình</x:v>
      </x:c>
      <x:c r="E6086" s="2" t="str">
        <x:v>land</x:v>
      </x:c>
      <x:c r="F6086" s="2" t="str">
        <x:v>sale</x:v>
      </x:c>
      <x:c r="G6086" s="11" t="n">
        <x:v>10000</x:v>
      </x:c>
      <x:c r="H6086" s="12" t="n">
        <x:v>700000000</x:v>
      </x:c>
      <x:c r="I6086" s="12" t="n">
        <x:v>70000</x:v>
      </x:c>
      <x:c r="J6086" s="2" t="str">
        <x:v>total</x:v>
      </x:c>
      <x:c r="K6086" s="2" t="str">
        <x:v>top_level_area</x:v>
      </x:c>
      <x:c r="L6086" s="2" t="str">
        <x:v>dot_thousands_convention;property_type_inferred_from_title</x:v>
      </x:c>
      <x:c r="M6086" s="10" t="n">
        <x:v>0</x:v>
      </x:c>
      <x:c r="N6086" s="10" t="n">
        <x:v>0</x:v>
      </x:c>
      <x:c r="O6086" s="2" t="str">
        <x:v>land</x:v>
      </x:c>
      <x:c r="P6086" s="10" t="n">
        <x:v>1</x:v>
      </x:c>
      <x:c r="Q6086" s="13" t="n">
        <x:f>IF(H6086="","",H6086/1000000000)</x:f>
        <x:v>0.7</x:v>
      </x:c>
      <x:c r="R6086" s="13" t="n">
        <x:f>IF(I6086="","",I6086/1000000)</x:f>
        <x:v>0.07</x:v>
      </x:c>
    </x:row>
    <x:row r="6087" ht="21" customHeight="1">
      <x:c r="A6087" s="10" t="n">
        <x:v>7895</x:v>
      </x:c>
      <x:c r="B6087" s="2" t="str">
        <x:v>5c7d421525166c33c8d2</x:v>
      </x:c>
      <x:c r="C6087" s="2" t="str">
        <x:v>Tp Hồ Chí Minh</x:v>
      </x:c>
      <x:c r="D6087" s="2" t="str">
        <x:v>Quận 3</x:v>
      </x:c>
      <x:c r="E6087" s="2" t="str">
        <x:v>house</x:v>
      </x:c>
      <x:c r="F6087" s="2" t="str">
        <x:v>sale</x:v>
      </x:c>
      <x:c r="G6087" s="11" t="n">
        <x:v>75</x:v>
      </x:c>
      <x:c r="H6087" s="12" t="n">
        <x:v>12500000000</x:v>
      </x:c>
      <x:c r="I6087" s="12" t="n">
        <x:v>166666666.66666666</x:v>
      </x:c>
      <x:c r="J6087" s="2" t="str">
        <x:v>total</x:v>
      </x:c>
      <x:c r="K6087" s="2" t="str">
        <x:v>top_level_area</x:v>
      </x:c>
      <x:c r="L6087" s="2" t="str">
        <x:v>property_type_inferred_from_title</x:v>
      </x:c>
      <x:c r="M6087" s="10" t="n">
        <x:v>1</x:v>
      </x:c>
      <x:c r="N6087" s="10" t="n">
        <x:v>0</x:v>
      </x:c>
      <x:c r="O6087" s="2" t="str">
        <x:v>Tp Hồ Chí Minh|house</x:v>
      </x:c>
      <x:c r="P6087" s="10" t="n">
        <x:v>2</x:v>
      </x:c>
      <x:c r="Q6087" s="13" t="n">
        <x:f>IF(H6087="","",H6087/1000000000)</x:f>
        <x:v>12.5</x:v>
      </x:c>
      <x:c r="R6087" s="13" t="n">
        <x:f>IF(I6087="","",I6087/1000000)</x:f>
        <x:v>166.66666666666666</x:v>
      </x:c>
    </x:row>
    <x:row r="6088" ht="21" customHeight="1">
      <x:c r="A6088" s="10" t="n">
        <x:v>7896</x:v>
      </x:c>
      <x:c r="B6088" s="2" t="str">
        <x:v>ab490b3fd4ebc6ab450f</x:v>
      </x:c>
      <x:c r="C6088" s="2" t="str">
        <x:v>Hà Nội</x:v>
      </x:c>
      <x:c r="D6088" s="2" t="str">
        <x:v>Quận Cầu Giấy</x:v>
      </x:c>
      <x:c r="E6088" s="2" t="str">
        <x:v>other_unknown</x:v>
      </x:c>
      <x:c r="F6088" s="2" t="str">
        <x:v>sale_assumed</x:v>
      </x:c>
      <x:c r="G6088" s="11" t="n">
        <x:v>70</x:v>
      </x:c>
      <x:c r="H6088" s="12" t="n">
        <x:v>2600000000</x:v>
      </x:c>
      <x:c r="I6088" s="12" t="n">
        <x:v>37142857.14285714</x:v>
      </x:c>
      <x:c r="J6088" s="2" t="str">
        <x:v>total</x:v>
      </x:c>
      <x:c r="K6088" s="2" t="str">
        <x:v>top_level_area</x:v>
      </x:c>
      <x:c r="L6088" s="2" t="str">
        <x:v>property_type_inferred_from_title;transaction_assumed_sale_from_dataset_context;unknown_property_type</x:v>
      </x:c>
      <x:c r="M6088" s="10" t="n">
        <x:v>0</x:v>
      </x:c>
      <x:c r="N6088" s="10" t="n">
        <x:v>0</x:v>
      </x:c>
      <x:c r="O6088" s="2" t="str">
        <x:v>Hà Nội|other_unknown</x:v>
      </x:c>
      <x:c r="P6088" s="10" t="n">
        <x:v>2</x:v>
      </x:c>
      <x:c r="Q6088" s="13" t="n">
        <x:f>IF(H6088="","",H6088/1000000000)</x:f>
        <x:v>2.6</x:v>
      </x:c>
      <x:c r="R6088" s="13" t="n">
        <x:f>IF(I6088="","",I6088/1000000)</x:f>
        <x:v>37.14285714285714</x:v>
      </x:c>
    </x:row>
    <x:row r="6089" ht="21" customHeight="1">
      <x:c r="A6089" s="10" t="n">
        <x:v>7897</x:v>
      </x:c>
      <x:c r="B6089" s="2" t="str">
        <x:v>727bc883c41dd849d94e</x:v>
      </x:c>
      <x:c r="C6089" s="2" t="str">
        <x:v>Đà Nẵng</x:v>
      </x:c>
      <x:c r="D6089" s="2" t="str">
        <x:v>Quận Thanh Khê</x:v>
      </x:c>
      <x:c r="E6089" s="2" t="str">
        <x:v>house</x:v>
      </x:c>
      <x:c r="F6089" s="2" t="str">
        <x:v>sale_assumed</x:v>
      </x:c>
      <x:c r="G6089" s="11" t="n">
        <x:v>45</x:v>
      </x:c>
      <x:c r="H6089" s="12" t="n">
        <x:v>1800000000</x:v>
      </x:c>
      <x:c r="I6089" s="12" t="n">
        <x:v>40000000</x:v>
      </x:c>
      <x:c r="J6089" s="2" t="str">
        <x:v>total</x:v>
      </x:c>
      <x:c r="K6089" s="2" t="str">
        <x:v>top_level_area</x:v>
      </x:c>
      <x:c r="L6089" s="2" t="str">
        <x:v>property_type_inferred_from_title;transaction_assumed_sale_from_dataset_context</x:v>
      </x:c>
      <x:c r="M6089" s="10" t="n">
        <x:v>0</x:v>
      </x:c>
      <x:c r="N6089" s="10" t="n">
        <x:v>0</x:v>
      </x:c>
      <x:c r="O6089" s="2" t="str">
        <x:v>Đà Nẵng|house</x:v>
      </x:c>
      <x:c r="P6089" s="10" t="n">
        <x:v>2</x:v>
      </x:c>
      <x:c r="Q6089" s="13" t="n">
        <x:f>IF(H6089="","",H6089/1000000000)</x:f>
        <x:v>1.8</x:v>
      </x:c>
      <x:c r="R6089" s="13" t="n">
        <x:f>IF(I6089="","",I6089/1000000)</x:f>
        <x:v>40</x:v>
      </x:c>
    </x:row>
    <x:row r="6090" ht="21" customHeight="1">
      <x:c r="A6090" s="10" t="n">
        <x:v>7900</x:v>
      </x:c>
      <x:c r="B6090" s="2" t="str">
        <x:v>e6ce4c8a3edc3a245d7a</x:v>
      </x:c>
      <x:c r="C6090" s="2" t="str">
        <x:v>Hà Nội</x:v>
      </x:c>
      <x:c r="D6090" s="2" t="str">
        <x:v>Quận Hà Đông</x:v>
      </x:c>
      <x:c r="E6090" s="2" t="str">
        <x:v>other_unknown</x:v>
      </x:c>
      <x:c r="F6090" s="2" t="str">
        <x:v>sale_assumed</x:v>
      </x:c>
      <x:c r="G6090" s="11" t="n">
        <x:v>35</x:v>
      </x:c>
      <x:c r="H6090" s="12" t="n">
        <x:v>3680000000</x:v>
      </x:c>
      <x:c r="I6090" s="12" t="n">
        <x:v>105142857.14285715</x:v>
      </x:c>
      <x:c r="J6090" s="2" t="str">
        <x:v>total</x:v>
      </x:c>
      <x:c r="K6090" s="2" t="str">
        <x:v>top_level_area</x:v>
      </x:c>
      <x:c r="L6090" s="2" t="str">
        <x:v>property_type_inferred_from_title;transaction_assumed_sale_from_dataset_context;unknown_property_type</x:v>
      </x:c>
      <x:c r="M6090" s="10" t="n">
        <x:v>0</x:v>
      </x:c>
      <x:c r="N6090" s="10" t="n">
        <x:v>0</x:v>
      </x:c>
      <x:c r="O6090" s="2" t="str">
        <x:v>Hà Nội|other_unknown</x:v>
      </x:c>
      <x:c r="P6090" s="10" t="n">
        <x:v>2</x:v>
      </x:c>
      <x:c r="Q6090" s="13" t="n">
        <x:f>IF(H6090="","",H6090/1000000000)</x:f>
        <x:v>3.68</x:v>
      </x:c>
      <x:c r="R6090" s="13" t="n">
        <x:f>IF(I6090="","",I6090/1000000)</x:f>
        <x:v>105.14285714285715</x:v>
      </x:c>
    </x:row>
    <x:row r="6091" ht="21" customHeight="1">
      <x:c r="A6091" s="10" t="n">
        <x:v>7901</x:v>
      </x:c>
      <x:c r="B6091" s="2" t="str">
        <x:v>56742c846ec81eddae8f</x:v>
      </x:c>
      <x:c r="C6091" s="2" t="str">
        <x:v>Tp Hồ Chí Minh</x:v>
      </x:c>
      <x:c r="D6091" s="2" t="str">
        <x:v>Quận Gò Vấp</x:v>
      </x:c>
      <x:c r="E6091" s="2" t="str">
        <x:v>other_unknown</x:v>
      </x:c>
      <x:c r="F6091" s="2" t="str">
        <x:v>sale</x:v>
      </x:c>
      <x:c r="G6091" s="11" t="n">
        <x:v>32</x:v>
      </x:c>
      <x:c r="H6091" s="12" t="n">
        <x:v>3390000000</x:v>
      </x:c>
      <x:c r="I6091" s="12" t="n">
        <x:v>105937500</x:v>
      </x:c>
      <x:c r="J6091" s="2" t="str">
        <x:v>total</x:v>
      </x:c>
      <x:c r="K6091" s="2" t="str">
        <x:v>top_level_area</x:v>
      </x:c>
      <x:c r="L6091" s="2" t="str">
        <x:v>property_type_inferred_from_title;unknown_property_type</x:v>
      </x:c>
      <x:c r="M6091" s="10" t="n">
        <x:v>0</x:v>
      </x:c>
      <x:c r="N6091" s="10" t="n">
        <x:v>0</x:v>
      </x:c>
      <x:c r="O6091" s="2" t="str">
        <x:v>Tp Hồ Chí Minh|other_unknown</x:v>
      </x:c>
      <x:c r="P6091" s="10" t="n">
        <x:v>2</x:v>
      </x:c>
      <x:c r="Q6091" s="13" t="n">
        <x:f>IF(H6091="","",H6091/1000000000)</x:f>
        <x:v>3.39</x:v>
      </x:c>
      <x:c r="R6091" s="13" t="n">
        <x:f>IF(I6091="","",I6091/1000000)</x:f>
        <x:v>105.9375</x:v>
      </x:c>
    </x:row>
    <x:row r="6092" ht="21" customHeight="1">
      <x:c r="A6092" s="10" t="n">
        <x:v>7902</x:v>
      </x:c>
      <x:c r="B6092" s="2" t="str">
        <x:v>6f3ff5a673c349d1c795</x:v>
      </x:c>
      <x:c r="C6092" s="2" t="str">
        <x:v>Tp Hồ Chí Minh</x:v>
      </x:c>
      <x:c r="D6092" s="2" t="str">
        <x:v>Quận Gò Vấp</x:v>
      </x:c>
      <x:c r="E6092" s="2" t="str">
        <x:v>other_unknown</x:v>
      </x:c>
      <x:c r="F6092" s="2" t="str">
        <x:v>sale</x:v>
      </x:c>
      <x:c r="G6092" s="11" t="n">
        <x:v>48</x:v>
      </x:c>
      <x:c r="H6092" s="12" t="n">
        <x:v>3450000000</x:v>
      </x:c>
      <x:c r="I6092" s="12" t="n">
        <x:v>71875000</x:v>
      </x:c>
      <x:c r="J6092" s="2" t="str">
        <x:v>total</x:v>
      </x:c>
      <x:c r="K6092" s="2" t="str">
        <x:v>top_level_area</x:v>
      </x:c>
      <x:c r="L6092" s="2" t="str">
        <x:v>property_type_inferred_from_title;unknown_property_type</x:v>
      </x:c>
      <x:c r="M6092" s="10" t="n">
        <x:v>0</x:v>
      </x:c>
      <x:c r="N6092" s="10" t="n">
        <x:v>0</x:v>
      </x:c>
      <x:c r="O6092" s="2" t="str">
        <x:v>Tp Hồ Chí Minh|other_unknown</x:v>
      </x:c>
      <x:c r="P6092" s="10" t="n">
        <x:v>2</x:v>
      </x:c>
      <x:c r="Q6092" s="13" t="n">
        <x:f>IF(H6092="","",H6092/1000000000)</x:f>
        <x:v>3.45</x:v>
      </x:c>
      <x:c r="R6092" s="13" t="n">
        <x:f>IF(I6092="","",I6092/1000000)</x:f>
        <x:v>71.875</x:v>
      </x:c>
    </x:row>
    <x:row r="6093" ht="21" customHeight="1">
      <x:c r="A6093" s="10" t="n">
        <x:v>7903</x:v>
      </x:c>
      <x:c r="B6093" s="2" t="str">
        <x:v>82699609adec3789ee47</x:v>
      </x:c>
      <x:c r="C6093" s="2" t="str">
        <x:v>Đắk Lắk</x:v>
      </x:c>
      <x:c r="D6093" s="2" t="str">
        <x:v>Thị Xã Buôn Hồ</x:v>
      </x:c>
      <x:c r="E6093" s="2" t="str">
        <x:v>house</x:v>
      </x:c>
      <x:c r="F6093" s="2" t="str">
        <x:v>sale</x:v>
      </x:c>
      <x:c r="G6093" s="11" t="n">
        <x:v>560</x:v>
      </x:c>
      <x:c r="H6093" s="12" t="n">
        <x:v>900000000</x:v>
      </x:c>
      <x:c r="I6093" s="12" t="n">
        <x:v>1607142.857142857</x:v>
      </x:c>
      <x:c r="J6093" s="2" t="str">
        <x:v>total</x:v>
      </x:c>
      <x:c r="K6093" s="2" t="str">
        <x:v>top_level_area</x:v>
      </x:c>
      <x:c r="L6093" s="2" t="str">
        <x:v>property_type_inferred_from_title</x:v>
      </x:c>
      <x:c r="M6093" s="10" t="n">
        <x:v>0</x:v>
      </x:c>
      <x:c r="N6093" s="10" t="n">
        <x:v>0</x:v>
      </x:c>
      <x:c r="O6093" s="2" t="str">
        <x:v>Đắk Lắk|house</x:v>
      </x:c>
      <x:c r="P6093" s="10" t="n">
        <x:v>1</x:v>
      </x:c>
      <x:c r="Q6093" s="13" t="n">
        <x:f>IF(H6093="","",H6093/1000000000)</x:f>
        <x:v>0.9</x:v>
      </x:c>
      <x:c r="R6093" s="13" t="n">
        <x:f>IF(I6093="","",I6093/1000000)</x:f>
        <x:v>1.607142857142857</x:v>
      </x:c>
    </x:row>
    <x:row r="6094" ht="21" customHeight="1">
      <x:c r="A6094" s="10" t="n">
        <x:v>7904</x:v>
      </x:c>
      <x:c r="B6094" s="2" t="str">
        <x:v>96d054939baa2c421766</x:v>
      </x:c>
      <x:c r="C6094" s="2" t="str">
        <x:v>Hà Nội</x:v>
      </x:c>
      <x:c r="D6094" s="2" t="str">
        <x:v>Quận Hà Đông</x:v>
      </x:c>
      <x:c r="E6094" s="2" t="str">
        <x:v>house</x:v>
      </x:c>
      <x:c r="F6094" s="2" t="str">
        <x:v>sale</x:v>
      </x:c>
      <x:c r="G6094" s="11" t="n">
        <x:v>40</x:v>
      </x:c>
      <x:c r="H6094" s="12" t="n">
        <x:v>1520000000</x:v>
      </x:c>
      <x:c r="I6094" s="12" t="n">
        <x:v>38000000</x:v>
      </x:c>
      <x:c r="J6094" s="2" t="str">
        <x:v>total</x:v>
      </x:c>
      <x:c r="K6094" s="2" t="str">
        <x:v>top_level_price_embedded_area</x:v>
      </x:c>
      <x:c r="L6094" s="2" t="str">
        <x:v>area_recovered_from_price_text;property_type_inferred_from_title</x:v>
      </x:c>
      <x:c r="M6094" s="10" t="n">
        <x:v>0</x:v>
      </x:c>
      <x:c r="N6094" s="10" t="n">
        <x:v>0</x:v>
      </x:c>
      <x:c r="O6094" s="2" t="str">
        <x:v>Hà Nội|house</x:v>
      </x:c>
      <x:c r="P6094" s="10" t="n">
        <x:v>2</x:v>
      </x:c>
      <x:c r="Q6094" s="13" t="n">
        <x:f>IF(H6094="","",H6094/1000000000)</x:f>
        <x:v>1.52</x:v>
      </x:c>
      <x:c r="R6094" s="13" t="n">
        <x:f>IF(I6094="","",I6094/1000000)</x:f>
        <x:v>38</x:v>
      </x:c>
    </x:row>
    <x:row r="6095" ht="21" customHeight="1">
      <x:c r="A6095" s="10" t="n">
        <x:v>7905</x:v>
      </x:c>
      <x:c r="B6095" s="2" t="str">
        <x:v>93254e22a15ba8d1fed4</x:v>
      </x:c>
      <x:c r="C6095" s="2" t="str">
        <x:v>Tp Hồ Chí Minh</x:v>
      </x:c>
      <x:c r="D6095" s="2" t="str">
        <x:v>Quận Bình Tân</x:v>
      </x:c>
      <x:c r="E6095" s="2" t="str">
        <x:v>land</x:v>
      </x:c>
      <x:c r="F6095" s="2" t="str">
        <x:v>sale_assumed</x:v>
      </x:c>
      <x:c r="G6095" s="11" t="n">
        <x:v>195</x:v>
      </x:c>
      <x:c r="H6095" s="12" t="n">
        <x:v>7500000000</x:v>
      </x:c>
      <x:c r="I6095" s="12" t="n">
        <x:v>38461538.461538464</x:v>
      </x:c>
      <x:c r="J6095" s="2" t="str">
        <x:v>total</x:v>
      </x:c>
      <x:c r="K6095" s="2" t="str">
        <x:v>top_level_area</x:v>
      </x:c>
      <x:c r="L6095" s="2" t="str">
        <x:v>property_type_inferred_from_title;transaction_assumed_sale_from_dataset_context</x:v>
      </x:c>
      <x:c r="M6095" s="10" t="n">
        <x:v>0</x:v>
      </x:c>
      <x:c r="N6095" s="10" t="n">
        <x:v>0</x:v>
      </x:c>
      <x:c r="O6095" s="2" t="str">
        <x:v>Tp Hồ Chí Minh|land</x:v>
      </x:c>
      <x:c r="P6095" s="10" t="n">
        <x:v>2</x:v>
      </x:c>
      <x:c r="Q6095" s="13" t="n">
        <x:f>IF(H6095="","",H6095/1000000000)</x:f>
        <x:v>7.5</x:v>
      </x:c>
      <x:c r="R6095" s="13" t="n">
        <x:f>IF(I6095="","",I6095/1000000)</x:f>
        <x:v>38.46153846153847</x:v>
      </x:c>
    </x:row>
    <x:row r="6096" ht="21" customHeight="1">
      <x:c r="A6096" s="10" t="n">
        <x:v>7906</x:v>
      </x:c>
      <x:c r="B6096" s="2" t="str">
        <x:v>ac810879616381643784</x:v>
      </x:c>
      <x:c r="C6096" s="2" t="str">
        <x:v>Tp Hồ Chí Minh</x:v>
      </x:c>
      <x:c r="D6096" s="2" t="str">
        <x:v>Quận 7</x:v>
      </x:c>
      <x:c r="E6096" s="2" t="str">
        <x:v>house</x:v>
      </x:c>
      <x:c r="F6096" s="2" t="str">
        <x:v>sale_assumed</x:v>
      </x:c>
      <x:c r="G6096" s="11" t="n">
        <x:v>45</x:v>
      </x:c>
      <x:c r="H6096" s="12" t="n">
        <x:v>16500000000</x:v>
      </x:c>
      <x:c r="I6096" s="12" t="n">
        <x:v>366666666.6666667</x:v>
      </x:c>
      <x:c r="J6096" s="2" t="str">
        <x:v>total</x:v>
      </x:c>
      <x:c r="K6096" s="2" t="str">
        <x:v>top_level_area</x:v>
      </x:c>
      <x:c r="L6096" s="2" t="str">
        <x:v>property_type_inferred_from_title;transaction_assumed_sale_from_dataset_context</x:v>
      </x:c>
      <x:c r="M6096" s="10" t="n">
        <x:v>1</x:v>
      </x:c>
      <x:c r="N6096" s="10" t="n">
        <x:v>1</x:v>
      </x:c>
      <x:c r="O6096" s="2" t="str">
        <x:v>Tp Hồ Chí Minh|house</x:v>
      </x:c>
      <x:c r="P6096" s="10" t="n">
        <x:v>-1</x:v>
      </x:c>
      <x:c r="Q6096" s="13" t="n">
        <x:f>IF(H6096="","",H6096/1000000000)</x:f>
        <x:v>16.5</x:v>
      </x:c>
      <x:c r="R6096" s="13" t="n">
        <x:f>IF(I6096="","",I6096/1000000)</x:f>
        <x:v>366.6666666666667</x:v>
      </x:c>
    </x:row>
    <x:row r="6097" ht="21" customHeight="1">
      <x:c r="A6097" s="10" t="n">
        <x:v>7907</x:v>
      </x:c>
      <x:c r="B6097" s="2" t="str">
        <x:v>9e94db959052605e5b28</x:v>
      </x:c>
      <x:c r="C6097" s="2" t="str">
        <x:v>Long An</x:v>
      </x:c>
      <x:c r="D6097" s="2" t="str">
        <x:v>Huyện Bến Lức</x:v>
      </x:c>
      <x:c r="E6097" s="2" t="str">
        <x:v>land</x:v>
      </x:c>
      <x:c r="F6097" s="2" t="str">
        <x:v>sale_assumed</x:v>
      </x:c>
      <x:c r="G6097" s="11" t="n">
        <x:v>105</x:v>
      </x:c>
      <x:c r="H6097" s="12" t="n">
        <x:v>2000000000</x:v>
      </x:c>
      <x:c r="I6097" s="12" t="n">
        <x:v>19047619.04761905</x:v>
      </x:c>
      <x:c r="J6097" s="2" t="str">
        <x:v>total</x:v>
      </x:c>
      <x:c r="K6097" s="2" t="str">
        <x:v>top_level_area</x:v>
      </x:c>
      <x:c r="L6097" s="2" t="str">
        <x:v>property_type_inferred_from_title;transaction_assumed_sale_from_dataset_context</x:v>
      </x:c>
      <x:c r="M6097" s="10" t="n">
        <x:v>0</x:v>
      </x:c>
      <x:c r="N6097" s="10" t="n">
        <x:v>1</x:v>
      </x:c>
      <x:c r="O6097" s="2" t="str">
        <x:v>Long An|land</x:v>
      </x:c>
      <x:c r="P6097" s="10" t="n">
        <x:v>-1</x:v>
      </x:c>
      <x:c r="Q6097" s="13" t="n">
        <x:f>IF(H6097="","",H6097/1000000000)</x:f>
        <x:v>2</x:v>
      </x:c>
      <x:c r="R6097" s="13" t="n">
        <x:f>IF(I6097="","",I6097/1000000)</x:f>
        <x:v>19.047619047619047</x:v>
      </x:c>
    </x:row>
    <x:row r="6098" ht="21" customHeight="1">
      <x:c r="A6098" s="10" t="n">
        <x:v>7908</x:v>
      </x:c>
      <x:c r="B6098" s="2" t="str">
        <x:v>09a3262814f559640758</x:v>
      </x:c>
      <x:c r="C6098" s="2" t="str">
        <x:v>Hà Nội</x:v>
      </x:c>
      <x:c r="D6098" s="2" t="str">
        <x:v>Quận Hoàng Mai</x:v>
      </x:c>
      <x:c r="E6098" s="2" t="str">
        <x:v>house</x:v>
      </x:c>
      <x:c r="F6098" s="2" t="str">
        <x:v>sale_assumed</x:v>
      </x:c>
      <x:c r="G6098" s="11" t="n">
        <x:v>45</x:v>
      </x:c>
      <x:c r="H6098" s="12" t="n">
        <x:v>6700000000</x:v>
      </x:c>
      <x:c r="I6098" s="12" t="n">
        <x:v>148888888.8888889</x:v>
      </x:c>
      <x:c r="J6098" s="2" t="str">
        <x:v>total</x:v>
      </x:c>
      <x:c r="K6098" s="2" t="str">
        <x:v>top_level_area</x:v>
      </x:c>
      <x:c r="L6098" s="2" t="str">
        <x:v>property_type_inferred_from_title;transaction_assumed_sale_from_dataset_context</x:v>
      </x:c>
      <x:c r="M6098" s="10" t="n">
        <x:v>0</x:v>
      </x:c>
      <x:c r="N6098" s="10" t="n">
        <x:v>0</x:v>
      </x:c>
      <x:c r="O6098" s="2" t="str">
        <x:v>Hà Nội|house</x:v>
      </x:c>
      <x:c r="P6098" s="10" t="n">
        <x:v>2</x:v>
      </x:c>
      <x:c r="Q6098" s="13" t="n">
        <x:f>IF(H6098="","",H6098/1000000000)</x:f>
        <x:v>6.7</x:v>
      </x:c>
      <x:c r="R6098" s="13" t="n">
        <x:f>IF(I6098="","",I6098/1000000)</x:f>
        <x:v>148.88888888888889</x:v>
      </x:c>
    </x:row>
    <x:row r="6099" ht="21" customHeight="1">
      <x:c r="A6099" s="10" t="n">
        <x:v>7909</x:v>
      </x:c>
      <x:c r="B6099" s="2" t="str">
        <x:v>09e654260d260cccb972</x:v>
      </x:c>
      <x:c r="C6099" s="2" t="str">
        <x:v>Cần Thơ</x:v>
      </x:c>
      <x:c r="D6099" s="2" t="str">
        <x:v>Quận Ninh Kiều</x:v>
      </x:c>
      <x:c r="E6099" s="2" t="str">
        <x:v>house</x:v>
      </x:c>
      <x:c r="F6099" s="2" t="str">
        <x:v>sale_assumed</x:v>
      </x:c>
      <x:c r="G6099" s="11" t="n">
        <x:v>10</x:v>
      </x:c>
      <x:c r="H6099" s="12" t="n">
        <x:v>699000000</x:v>
      </x:c>
      <x:c r="I6099" s="12" t="n">
        <x:v>69900000</x:v>
      </x:c>
      <x:c r="J6099" s="2" t="str">
        <x:v>total</x:v>
      </x:c>
      <x:c r="K6099" s="2" t="str">
        <x:v>top_level_area</x:v>
      </x:c>
      <x:c r="L6099" s="2" t="str">
        <x:v>property_type_inferred_from_title;transaction_assumed_sale_from_dataset_context</x:v>
      </x:c>
      <x:c r="M6099" s="10" t="n">
        <x:v>0</x:v>
      </x:c>
      <x:c r="N6099" s="10" t="n">
        <x:v>0</x:v>
      </x:c>
      <x:c r="O6099" s="2" t="str">
        <x:v>Cần Thơ|house</x:v>
      </x:c>
      <x:c r="P6099" s="10" t="n">
        <x:v>2</x:v>
      </x:c>
      <x:c r="Q6099" s="13" t="n">
        <x:f>IF(H6099="","",H6099/1000000000)</x:f>
        <x:v>0.699</x:v>
      </x:c>
      <x:c r="R6099" s="13" t="n">
        <x:f>IF(I6099="","",I6099/1000000)</x:f>
        <x:v>69.9</x:v>
      </x:c>
    </x:row>
    <x:row r="6100" ht="21" customHeight="1">
      <x:c r="A6100" s="10" t="n">
        <x:v>7910</x:v>
      </x:c>
      <x:c r="B6100" s="2" t="str">
        <x:v>811537c6693b72a4817e</x:v>
      </x:c>
      <x:c r="C6100" s="2" t="str">
        <x:v>Sóc Trăng</x:v>
      </x:c>
      <x:c r="D6100" s="2" t="str">
        <x:v>Thành phố Sóc Trăng</x:v>
      </x:c>
      <x:c r="E6100" s="2" t="str">
        <x:v>house</x:v>
      </x:c>
      <x:c r="F6100" s="2" t="str">
        <x:v>sale_assumed</x:v>
      </x:c>
      <x:c r="G6100" s="11" t="n">
        <x:v>72</x:v>
      </x:c>
      <x:c r="H6100" s="12" t="n">
        <x:v>1250000000</x:v>
      </x:c>
      <x:c r="I6100" s="12" t="n">
        <x:v>17361111.111111112</x:v>
      </x:c>
      <x:c r="J6100" s="2" t="str">
        <x:v>total</x:v>
      </x:c>
      <x:c r="K6100" s="2" t="str">
        <x:v>top_level_area</x:v>
      </x:c>
      <x:c r="L6100" s="2" t="str">
        <x:v>property_type_inferred_from_title;transaction_assumed_sale_from_dataset_context</x:v>
      </x:c>
      <x:c r="M6100" s="10" t="n">
        <x:v>0</x:v>
      </x:c>
      <x:c r="N6100" s="10" t="n">
        <x:v>0</x:v>
      </x:c>
      <x:c r="O6100" s="2" t="str">
        <x:v>house</x:v>
      </x:c>
      <x:c r="P6100" s="10" t="n">
        <x:v>2</x:v>
      </x:c>
      <x:c r="Q6100" s="13" t="n">
        <x:f>IF(H6100="","",H6100/1000000000)</x:f>
        <x:v>1.25</x:v>
      </x:c>
      <x:c r="R6100" s="13" t="n">
        <x:f>IF(I6100="","",I6100/1000000)</x:f>
        <x:v>17.36111111111111</x:v>
      </x:c>
    </x:row>
    <x:row r="6101" ht="21" customHeight="1">
      <x:c r="A6101" s="10" t="n">
        <x:v>7911</x:v>
      </x:c>
      <x:c r="B6101" s="2" t="str">
        <x:v>a2d99afe55a2a2d6cbfd</x:v>
      </x:c>
      <x:c r="C6101" s="2" t="str">
        <x:v>Bà Rịa - Vũng Tàu</x:v>
      </x:c>
      <x:c r="D6101" s="2" t="str">
        <x:v>Thị xã Phú Mỹ</x:v>
      </x:c>
      <x:c r="E6101" s="2" t="str">
        <x:v>land</x:v>
      </x:c>
      <x:c r="F6101" s="2" t="str">
        <x:v>sale_assumed</x:v>
      </x:c>
      <x:c r="G6101" s="11" t="n">
        <x:v>150</x:v>
      </x:c>
      <x:c r="H6101" s="12" t="n">
        <x:v>475000000</x:v>
      </x:c>
      <x:c r="I6101" s="12" t="n">
        <x:v>3166666.6666666665</x:v>
      </x:c>
      <x:c r="J6101" s="2" t="str">
        <x:v>total</x:v>
      </x:c>
      <x:c r="K6101" s="2" t="str">
        <x:v>top_level_area</x:v>
      </x:c>
      <x:c r="L6101" s="2" t="str">
        <x:v>property_type_inferred_from_title;transaction_assumed_sale_from_dataset_context</x:v>
      </x:c>
      <x:c r="M6101" s="10" t="n">
        <x:v>0</x:v>
      </x:c>
      <x:c r="N6101" s="10" t="n">
        <x:v>0</x:v>
      </x:c>
      <x:c r="O6101" s="2" t="str">
        <x:v>Bà Rịa - Vũng Tàu|land</x:v>
      </x:c>
      <x:c r="P6101" s="10" t="n">
        <x:v>1</x:v>
      </x:c>
      <x:c r="Q6101" s="13" t="n">
        <x:f>IF(H6101="","",H6101/1000000000)</x:f>
        <x:v>0.475</x:v>
      </x:c>
      <x:c r="R6101" s="13" t="n">
        <x:f>IF(I6101="","",I6101/1000000)</x:f>
        <x:v>3.1666666666666665</x:v>
      </x:c>
    </x:row>
    <x:row r="6102" ht="21" customHeight="1">
      <x:c r="A6102" s="10" t="n">
        <x:v>7912</x:v>
      </x:c>
      <x:c r="B6102" s="2" t="str">
        <x:v>de37fd1337f31b1178f2</x:v>
      </x:c>
      <x:c r="C6102" s="2" t="str">
        <x:v>Tp Hồ Chí Minh</x:v>
      </x:c>
      <x:c r="D6102" s="2" t="str">
        <x:v>Quận Gò Vấp</x:v>
      </x:c>
      <x:c r="E6102" s="2" t="str">
        <x:v>house</x:v>
      </x:c>
      <x:c r="F6102" s="2" t="str">
        <x:v>sale</x:v>
      </x:c>
      <x:c r="G6102" s="11" t="n">
        <x:v>50</x:v>
      </x:c>
      <x:c r="H6102" s="12" t="n">
        <x:v>3850000000</x:v>
      </x:c>
      <x:c r="I6102" s="12" t="n">
        <x:v>77000000</x:v>
      </x:c>
      <x:c r="J6102" s="2" t="str">
        <x:v>total</x:v>
      </x:c>
      <x:c r="K6102" s="2" t="str">
        <x:v>top_level_price_embedded_area</x:v>
      </x:c>
      <x:c r="L6102" s="2" t="str">
        <x:v>area_recovered_from_price_text;property_type_inferred_from_title</x:v>
      </x:c>
      <x:c r="M6102" s="10" t="n">
        <x:v>0</x:v>
      </x:c>
      <x:c r="N6102" s="10" t="n">
        <x:v>0</x:v>
      </x:c>
      <x:c r="O6102" s="2" t="str">
        <x:v>Tp Hồ Chí Minh|house</x:v>
      </x:c>
      <x:c r="P6102" s="10" t="n">
        <x:v>2</x:v>
      </x:c>
      <x:c r="Q6102" s="13" t="n">
        <x:f>IF(H6102="","",H6102/1000000000)</x:f>
        <x:v>3.85</x:v>
      </x:c>
      <x:c r="R6102" s="13" t="n">
        <x:f>IF(I6102="","",I6102/1000000)</x:f>
        <x:v>77</x:v>
      </x:c>
    </x:row>
    <x:row r="6103" ht="21" customHeight="1">
      <x:c r="A6103" s="10" t="n">
        <x:v>7913</x:v>
      </x:c>
      <x:c r="B6103" s="2" t="str">
        <x:v>4f057d97a6eb75e64682</x:v>
      </x:c>
      <x:c r="C6103" s="2" t="str">
        <x:v>Tp Hồ Chí Minh</x:v>
      </x:c>
      <x:c r="D6103" s="2" t="str">
        <x:v>Quận Bình Tân</x:v>
      </x:c>
      <x:c r="E6103" s="2" t="str">
        <x:v>house</x:v>
      </x:c>
      <x:c r="F6103" s="2" t="str">
        <x:v>sale</x:v>
      </x:c>
      <x:c r="G6103" s="11" t="n">
        <x:v>56</x:v>
      </x:c>
      <x:c r="H6103" s="12" t="n">
        <x:v>4300000000</x:v>
      </x:c>
      <x:c r="I6103" s="12" t="n">
        <x:v>76785714.28571428</x:v>
      </x:c>
      <x:c r="J6103" s="2" t="str">
        <x:v>total</x:v>
      </x:c>
      <x:c r="K6103" s="2" t="str">
        <x:v>top_level_area</x:v>
      </x:c>
      <x:c r="L6103" s="2" t="str">
        <x:v>property_type_inferred_from_title</x:v>
      </x:c>
      <x:c r="M6103" s="10" t="n">
        <x:v>0</x:v>
      </x:c>
      <x:c r="N6103" s="10" t="n">
        <x:v>0</x:v>
      </x:c>
      <x:c r="O6103" s="2" t="str">
        <x:v>Tp Hồ Chí Minh|house</x:v>
      </x:c>
      <x:c r="P6103" s="10" t="n">
        <x:v>2</x:v>
      </x:c>
      <x:c r="Q6103" s="13" t="n">
        <x:f>IF(H6103="","",H6103/1000000000)</x:f>
        <x:v>4.3</x:v>
      </x:c>
      <x:c r="R6103" s="13" t="n">
        <x:f>IF(I6103="","",I6103/1000000)</x:f>
        <x:v>76.78571428571428</x:v>
      </x:c>
    </x:row>
    <x:row r="6104" ht="21" customHeight="1">
      <x:c r="A6104" s="10" t="n">
        <x:v>7914</x:v>
      </x:c>
      <x:c r="B6104" s="2" t="str">
        <x:v>067aea043b49b36b756b</x:v>
      </x:c>
      <x:c r="C6104" s="2" t="str">
        <x:v>Lâm Đồng</x:v>
      </x:c>
      <x:c r="D6104" s="2" t="str">
        <x:v>Thành phố Bảo Lộc</x:v>
      </x:c>
      <x:c r="E6104" s="2" t="str">
        <x:v>land</x:v>
      </x:c>
      <x:c r="F6104" s="2" t="str">
        <x:v>sale_assumed</x:v>
      </x:c>
      <x:c r="G6104" s="11" t="n">
        <x:v>522</x:v>
      </x:c>
      <x:c r="H6104" s="12" t="n">
        <x:v>1850000000</x:v>
      </x:c>
      <x:c r="I6104" s="12" t="n">
        <x:v>3544061.3026819923</x:v>
      </x:c>
      <x:c r="J6104" s="2" t="str">
        <x:v>total</x:v>
      </x:c>
      <x:c r="K6104" s="2" t="str">
        <x:v>top_level_price_embedded_area</x:v>
      </x:c>
      <x:c r="L6104" s="2" t="str">
        <x:v>area_recovered_from_price_text;property_type_inferred_from_title;transaction_assumed_sale_from_dataset_context</x:v>
      </x:c>
      <x:c r="M6104" s="10" t="n">
        <x:v>0</x:v>
      </x:c>
      <x:c r="N6104" s="10" t="n">
        <x:v>0</x:v>
      </x:c>
      <x:c r="O6104" s="2" t="str">
        <x:v>Lâm Đồng|land</x:v>
      </x:c>
      <x:c r="P6104" s="10" t="n">
        <x:v>1</x:v>
      </x:c>
      <x:c r="Q6104" s="13" t="n">
        <x:f>IF(H6104="","",H6104/1000000000)</x:f>
        <x:v>1.85</x:v>
      </x:c>
      <x:c r="R6104" s="13" t="n">
        <x:f>IF(I6104="","",I6104/1000000)</x:f>
        <x:v>3.5440613026819925</x:v>
      </x:c>
    </x:row>
    <x:row r="6105" ht="21" customHeight="1">
      <x:c r="A6105" s="10" t="n">
        <x:v>7915</x:v>
      </x:c>
      <x:c r="B6105" s="2" t="str">
        <x:v>8fb65d85d1892bc89999</x:v>
      </x:c>
      <x:c r="C6105" s="2" t="str">
        <x:v>Tp Hồ Chí Minh</x:v>
      </x:c>
      <x:c r="D6105" s="2" t="str">
        <x:v>Quận 12</x:v>
      </x:c>
      <x:c r="E6105" s="2" t="str">
        <x:v>house</x:v>
      </x:c>
      <x:c r="F6105" s="2" t="str">
        <x:v>sale_assumed</x:v>
      </x:c>
      <x:c r="G6105" s="11" t="n">
        <x:v>107</x:v>
      </x:c>
      <x:c r="H6105" s="12" t="n">
        <x:v>3500000000</x:v>
      </x:c>
      <x:c r="I6105" s="12" t="n">
        <x:v>32710280.373831775</x:v>
      </x:c>
      <x:c r="J6105" s="2" t="str">
        <x:v>total</x:v>
      </x:c>
      <x:c r="K6105" s="2" t="str">
        <x:v>top_level_area</x:v>
      </x:c>
      <x:c r="L6105" s="2" t="str">
        <x:v>property_type_inferred_from_title;transaction_assumed_sale_from_dataset_context</x:v>
      </x:c>
      <x:c r="M6105" s="10" t="n">
        <x:v>0</x:v>
      </x:c>
      <x:c r="N6105" s="10" t="n">
        <x:v>0</x:v>
      </x:c>
      <x:c r="O6105" s="2" t="str">
        <x:v>Tp Hồ Chí Minh|house</x:v>
      </x:c>
      <x:c r="P6105" s="10" t="n">
        <x:v>2</x:v>
      </x:c>
      <x:c r="Q6105" s="13" t="n">
        <x:f>IF(H6105="","",H6105/1000000000)</x:f>
        <x:v>3.5</x:v>
      </x:c>
      <x:c r="R6105" s="13" t="n">
        <x:f>IF(I6105="","",I6105/1000000)</x:f>
        <x:v>32.71028037383177</x:v>
      </x:c>
    </x:row>
    <x:row r="6106" ht="21" customHeight="1">
      <x:c r="A6106" s="10" t="n">
        <x:v>7916</x:v>
      </x:c>
      <x:c r="B6106" s="2" t="str">
        <x:v>16917f158cf8c3776c56</x:v>
      </x:c>
      <x:c r="C6106" s="2" t="str">
        <x:v>Hà Nội</x:v>
      </x:c>
      <x:c r="D6106" s="2" t="str">
        <x:v>Quận Đống Đa</x:v>
      </x:c>
      <x:c r="E6106" s="2" t="str">
        <x:v>house</x:v>
      </x:c>
      <x:c r="F6106" s="2" t="str">
        <x:v>sale</x:v>
      </x:c>
      <x:c r="G6106" s="11" t="n">
        <x:v>55</x:v>
      </x:c>
      <x:c r="H6106" s="12" t="n">
        <x:v>3500000000</x:v>
      </x:c>
      <x:c r="I6106" s="12" t="n">
        <x:v>63636363.63636363</x:v>
      </x:c>
      <x:c r="J6106" s="2" t="str">
        <x:v>total</x:v>
      </x:c>
      <x:c r="K6106" s="2" t="str">
        <x:v>top_level_area</x:v>
      </x:c>
      <x:c r="L6106" s="2" t="str">
        <x:v>property_type_inferred_from_title</x:v>
      </x:c>
      <x:c r="M6106" s="10" t="n">
        <x:v>0</x:v>
      </x:c>
      <x:c r="N6106" s="10" t="n">
        <x:v>0</x:v>
      </x:c>
      <x:c r="O6106" s="2" t="str">
        <x:v>Hà Nội|house</x:v>
      </x:c>
      <x:c r="P6106" s="10" t="n">
        <x:v>2</x:v>
      </x:c>
      <x:c r="Q6106" s="13" t="n">
        <x:f>IF(H6106="","",H6106/1000000000)</x:f>
        <x:v>3.5</x:v>
      </x:c>
      <x:c r="R6106" s="13" t="n">
        <x:f>IF(I6106="","",I6106/1000000)</x:f>
        <x:v>63.63636363636363</x:v>
      </x:c>
    </x:row>
    <x:row r="6107" ht="21" customHeight="1">
      <x:c r="A6107" s="10" t="n">
        <x:v>7917</x:v>
      </x:c>
      <x:c r="B6107" s="2" t="str">
        <x:v>b735076fa68228276cf3</x:v>
      </x:c>
      <x:c r="C6107" s="2" t="str">
        <x:v>Tp Hồ Chí Minh</x:v>
      </x:c>
      <x:c r="D6107" s="2" t="str">
        <x:v>Quận Tân Bình</x:v>
      </x:c>
      <x:c r="E6107" s="2" t="str">
        <x:v>house</x:v>
      </x:c>
      <x:c r="F6107" s="2" t="str">
        <x:v>sale_assumed</x:v>
      </x:c>
      <x:c r="G6107" s="11" t="n">
        <x:v>40</x:v>
      </x:c>
      <x:c r="H6107" s="12" t="n">
        <x:v>6500000000</x:v>
      </x:c>
      <x:c r="I6107" s="12" t="n">
        <x:v>162500000</x:v>
      </x:c>
      <x:c r="J6107" s="2" t="str">
        <x:v>total</x:v>
      </x:c>
      <x:c r="K6107" s="2" t="str">
        <x:v>top_level_price_embedded_area</x:v>
      </x:c>
      <x:c r="L6107" s="2" t="str">
        <x:v>area_recovered_from_price_text;property_type_inferred_from_title;transaction_assumed_sale_from_dataset_context</x:v>
      </x:c>
      <x:c r="M6107" s="10" t="n">
        <x:v>0</x:v>
      </x:c>
      <x:c r="N6107" s="10" t="n">
        <x:v>0</x:v>
      </x:c>
      <x:c r="O6107" s="2" t="str">
        <x:v>Tp Hồ Chí Minh|house</x:v>
      </x:c>
      <x:c r="P6107" s="10" t="n">
        <x:v>2</x:v>
      </x:c>
      <x:c r="Q6107" s="13" t="n">
        <x:f>IF(H6107="","",H6107/1000000000)</x:f>
        <x:v>6.5</x:v>
      </x:c>
      <x:c r="R6107" s="13" t="n">
        <x:f>IF(I6107="","",I6107/1000000)</x:f>
        <x:v>162.5</x:v>
      </x:c>
    </x:row>
    <x:row r="6108" ht="21" customHeight="1">
      <x:c r="A6108" s="10" t="n">
        <x:v>7918</x:v>
      </x:c>
      <x:c r="B6108" s="2" t="str">
        <x:v>bc0c86128f075bcc5cec</x:v>
      </x:c>
      <x:c r="C6108" s="2" t="str">
        <x:v>Đà Nẵng</x:v>
      </x:c>
      <x:c r="D6108" s="2" t="str">
        <x:v>Quận Cẩm Lệ</x:v>
      </x:c>
      <x:c r="E6108" s="2" t="str">
        <x:v>house</x:v>
      </x:c>
      <x:c r="F6108" s="2" t="str">
        <x:v>sale</x:v>
      </x:c>
      <x:c r="G6108" s="11" t="n">
        <x:v>134</x:v>
      </x:c>
      <x:c r="H6108" s="12" t="n">
        <x:v>7500000000</x:v>
      </x:c>
      <x:c r="I6108" s="12" t="n">
        <x:v>55970149.25373134</x:v>
      </x:c>
      <x:c r="J6108" s="2" t="str">
        <x:v>total</x:v>
      </x:c>
      <x:c r="K6108" s="2" t="str">
        <x:v>top_level_area</x:v>
      </x:c>
      <x:c r="L6108" s="2" t="str">
        <x:v>property_type_inferred_from_title</x:v>
      </x:c>
      <x:c r="M6108" s="10" t="n">
        <x:v>0</x:v>
      </x:c>
      <x:c r="N6108" s="10" t="n">
        <x:v>0</x:v>
      </x:c>
      <x:c r="O6108" s="2" t="str">
        <x:v>Đà Nẵng|house</x:v>
      </x:c>
      <x:c r="P6108" s="10" t="n">
        <x:v>2</x:v>
      </x:c>
      <x:c r="Q6108" s="13" t="n">
        <x:f>IF(H6108="","",H6108/1000000000)</x:f>
        <x:v>7.5</x:v>
      </x:c>
      <x:c r="R6108" s="13" t="n">
        <x:f>IF(I6108="","",I6108/1000000)</x:f>
        <x:v>55.97014925373134</x:v>
      </x:c>
    </x:row>
    <x:row r="6109" ht="21" customHeight="1">
      <x:c r="A6109" s="10" t="n">
        <x:v>7919</x:v>
      </x:c>
      <x:c r="B6109" s="2" t="str">
        <x:v>0b1da364048455f41a6d</x:v>
      </x:c>
      <x:c r="C6109" s="2" t="str">
        <x:v>Đà Nẵng</x:v>
      </x:c>
      <x:c r="D6109" s="2" t="str">
        <x:v>Quận Hải Châu</x:v>
      </x:c>
      <x:c r="E6109" s="2" t="str">
        <x:v>house</x:v>
      </x:c>
      <x:c r="F6109" s="2" t="str">
        <x:v>sale_assumed</x:v>
      </x:c>
      <x:c r="G6109" s="11" t="n">
        <x:v>50</x:v>
      </x:c>
      <x:c r="H6109" s="12" t="n">
        <x:v>3500000000</x:v>
      </x:c>
      <x:c r="I6109" s="12" t="n">
        <x:v>70000000</x:v>
      </x:c>
      <x:c r="J6109" s="2" t="str">
        <x:v>total</x:v>
      </x:c>
      <x:c r="K6109" s="2" t="str">
        <x:v>top_level_price_embedded_area</x:v>
      </x:c>
      <x:c r="L6109" s="2" t="str">
        <x:v>area_recovered_from_price_text;property_type_inferred_from_title;transaction_assumed_sale_from_dataset_context</x:v>
      </x:c>
      <x:c r="M6109" s="10" t="n">
        <x:v>0</x:v>
      </x:c>
      <x:c r="N6109" s="10" t="n">
        <x:v>0</x:v>
      </x:c>
      <x:c r="O6109" s="2" t="str">
        <x:v>Đà Nẵng|house</x:v>
      </x:c>
      <x:c r="P6109" s="10" t="n">
        <x:v>2</x:v>
      </x:c>
      <x:c r="Q6109" s="13" t="n">
        <x:f>IF(H6109="","",H6109/1000000000)</x:f>
        <x:v>3.5</x:v>
      </x:c>
      <x:c r="R6109" s="13" t="n">
        <x:f>IF(I6109="","",I6109/1000000)</x:f>
        <x:v>70</x:v>
      </x:c>
    </x:row>
    <x:row r="6110" ht="21" customHeight="1">
      <x:c r="A6110" s="10" t="n">
        <x:v>7922</x:v>
      </x:c>
      <x:c r="B6110" s="2" t="str">
        <x:v>43ffe86871778f9882d1</x:v>
      </x:c>
      <x:c r="C6110" s="2" t="str">
        <x:v>Hà Nội</x:v>
      </x:c>
      <x:c r="D6110" s="2" t="str">
        <x:v>Quận Bắc Từ Liêm</x:v>
      </x:c>
      <x:c r="E6110" s="2" t="str">
        <x:v>house</x:v>
      </x:c>
      <x:c r="F6110" s="2" t="str">
        <x:v>sale</x:v>
      </x:c>
      <x:c r="G6110" s="11" t="n">
        <x:v>39</x:v>
      </x:c>
      <x:c r="H6110" s="12" t="n">
        <x:v>4000000000</x:v>
      </x:c>
      <x:c r="I6110" s="12" t="n">
        <x:v>102564102.56410256</x:v>
      </x:c>
      <x:c r="J6110" s="2" t="str">
        <x:v>total</x:v>
      </x:c>
      <x:c r="K6110" s="2" t="str">
        <x:v>top_level_area</x:v>
      </x:c>
      <x:c r="L6110" s="2" t="str">
        <x:v>property_type_inferred_from_title</x:v>
      </x:c>
      <x:c r="M6110" s="10" t="n">
        <x:v>0</x:v>
      </x:c>
      <x:c r="N6110" s="10" t="n">
        <x:v>0</x:v>
      </x:c>
      <x:c r="O6110" s="2" t="str">
        <x:v>Hà Nội|house</x:v>
      </x:c>
      <x:c r="P6110" s="10" t="n">
        <x:v>2</x:v>
      </x:c>
      <x:c r="Q6110" s="13" t="n">
        <x:f>IF(H6110="","",H6110/1000000000)</x:f>
        <x:v>4</x:v>
      </x:c>
      <x:c r="R6110" s="13" t="n">
        <x:f>IF(I6110="","",I6110/1000000)</x:f>
        <x:v>102.56410256410255</x:v>
      </x:c>
    </x:row>
    <x:row r="6111" ht="21" customHeight="1">
      <x:c r="A6111" s="10" t="n">
        <x:v>7923</x:v>
      </x:c>
      <x:c r="B6111" s="2" t="str">
        <x:v>8f772db55195a4729148</x:v>
      </x:c>
      <x:c r="C6111" s="2" t="str">
        <x:v>Bình Thuận</x:v>
      </x:c>
      <x:c r="D6111" s="2" t="str">
        <x:v>Huyện Bắc Bình</x:v>
      </x:c>
      <x:c r="E6111" s="2" t="str">
        <x:v>land</x:v>
      </x:c>
      <x:c r="F6111" s="2" t="str">
        <x:v>sale_assumed</x:v>
      </x:c>
      <x:c r="G6111" s="11" t="n">
        <x:v>12000</x:v>
      </x:c>
      <x:c r="H6111" s="12" t="n">
        <x:v>720000000</x:v>
      </x:c>
      <x:c r="I6111" s="12" t="n">
        <x:v>60000</x:v>
      </x:c>
      <x:c r="J6111" s="2" t="str">
        <x:v>total</x:v>
      </x:c>
      <x:c r="K6111" s="2" t="str">
        <x:v>top_level_area</x:v>
      </x:c>
      <x:c r="L6111" s="2" t="str">
        <x:v>dot_thousands_convention;property_type_inferred_from_title;transaction_assumed_sale_from_dataset_context</x:v>
      </x:c>
      <x:c r="M6111" s="10" t="n">
        <x:v>0</x:v>
      </x:c>
      <x:c r="N6111" s="10" t="n">
        <x:v>0</x:v>
      </x:c>
      <x:c r="O6111" s="2" t="str">
        <x:v>land</x:v>
      </x:c>
      <x:c r="P6111" s="10" t="n">
        <x:v>1</x:v>
      </x:c>
      <x:c r="Q6111" s="13" t="n">
        <x:f>IF(H6111="","",H6111/1000000000)</x:f>
        <x:v>0.72</x:v>
      </x:c>
      <x:c r="R6111" s="13" t="n">
        <x:f>IF(I6111="","",I6111/1000000)</x:f>
        <x:v>0.06</x:v>
      </x:c>
    </x:row>
    <x:row r="6112" ht="21" customHeight="1">
      <x:c r="A6112" s="10" t="n">
        <x:v>7924</x:v>
      </x:c>
      <x:c r="B6112" s="2" t="str">
        <x:v>2a8c9c7af69699499991</x:v>
      </x:c>
      <x:c r="C6112" s="2" t="str">
        <x:v>Bến Tre</x:v>
      </x:c>
      <x:c r="D6112" s="2" t="str">
        <x:v>Thành phố Bến Tre</x:v>
      </x:c>
      <x:c r="E6112" s="2" t="str">
        <x:v>land</x:v>
      </x:c>
      <x:c r="F6112" s="2" t="str">
        <x:v>sale_assumed</x:v>
      </x:c>
      <x:c r="G6112" s="11" t="n">
        <x:v>101</x:v>
      </x:c>
      <x:c r="H6112" s="12" t="n">
        <x:v>2780000000</x:v>
      </x:c>
      <x:c r="I6112" s="12" t="n">
        <x:v>27524752.475247525</x:v>
      </x:c>
      <x:c r="J6112" s="2" t="str">
        <x:v>total</x:v>
      </x:c>
      <x:c r="K6112" s="2" t="str">
        <x:v>top_level_area</x:v>
      </x:c>
      <x:c r="L6112" s="2" t="str">
        <x:v>property_type_inferred_from_title;transaction_assumed_sale_from_dataset_context</x:v>
      </x:c>
      <x:c r="M6112" s="10" t="n">
        <x:v>0</x:v>
      </x:c>
      <x:c r="N6112" s="10" t="n">
        <x:v>1</x:v>
      </x:c>
      <x:c r="O6112" s="2" t="str">
        <x:v>Bến Tre|land</x:v>
      </x:c>
      <x:c r="P6112" s="10" t="n">
        <x:v>-1</x:v>
      </x:c>
      <x:c r="Q6112" s="13" t="n">
        <x:f>IF(H6112="","",H6112/1000000000)</x:f>
        <x:v>2.78</x:v>
      </x:c>
      <x:c r="R6112" s="13" t="n">
        <x:f>IF(I6112="","",I6112/1000000)</x:f>
        <x:v>27.524752475247524</x:v>
      </x:c>
    </x:row>
    <x:row r="6113" ht="21" customHeight="1">
      <x:c r="A6113" s="10" t="n">
        <x:v>7925</x:v>
      </x:c>
      <x:c r="B6113" s="2" t="str">
        <x:v>eb94f9d8484ceaffce54</x:v>
      </x:c>
      <x:c r="C6113" s="2" t="str">
        <x:v>Hà Nội</x:v>
      </x:c>
      <x:c r="D6113" s="2" t="str">
        <x:v>Huyện Thanh Oai</x:v>
      </x:c>
      <x:c r="E6113" s="2" t="str">
        <x:v>house</x:v>
      </x:c>
      <x:c r="F6113" s="2" t="str">
        <x:v>sale</x:v>
      </x:c>
      <x:c r="G6113" s="11" t="n">
        <x:v>30</x:v>
      </x:c>
      <x:c r="H6113" s="12" t="n">
        <x:v>1600000000</x:v>
      </x:c>
      <x:c r="I6113" s="12" t="n">
        <x:v>53333333.333333336</x:v>
      </x:c>
      <x:c r="J6113" s="2" t="str">
        <x:v>total</x:v>
      </x:c>
      <x:c r="K6113" s="2" t="str">
        <x:v>top_level_area</x:v>
      </x:c>
      <x:c r="L6113" s="2" t="str">
        <x:v>property_type_inferred_from_title</x:v>
      </x:c>
      <x:c r="M6113" s="10" t="n">
        <x:v>0</x:v>
      </x:c>
      <x:c r="N6113" s="10" t="n">
        <x:v>0</x:v>
      </x:c>
      <x:c r="O6113" s="2" t="str">
        <x:v>Hà Nội|house</x:v>
      </x:c>
      <x:c r="P6113" s="10" t="n">
        <x:v>2</x:v>
      </x:c>
      <x:c r="Q6113" s="13" t="n">
        <x:f>IF(H6113="","",H6113/1000000000)</x:f>
        <x:v>1.6</x:v>
      </x:c>
      <x:c r="R6113" s="13" t="n">
        <x:f>IF(I6113="","",I6113/1000000)</x:f>
        <x:v>53.333333333333336</x:v>
      </x:c>
    </x:row>
    <x:row r="6114" ht="21" customHeight="1">
      <x:c r="A6114" s="10" t="n">
        <x:v>7926</x:v>
      </x:c>
      <x:c r="B6114" s="2" t="str">
        <x:v>7a1737ec2bda839b1025</x:v>
      </x:c>
      <x:c r="C6114" s="2" t="str">
        <x:v>Tp Hồ Chí Minh</x:v>
      </x:c>
      <x:c r="D6114" s="2" t="str">
        <x:v>Quận 7</x:v>
      </x:c>
      <x:c r="E6114" s="2" t="str">
        <x:v>house</x:v>
      </x:c>
      <x:c r="F6114" s="2" t="str">
        <x:v>sale_assumed</x:v>
      </x:c>
      <x:c r="G6114" s="11" t="n">
        <x:v>11</x:v>
      </x:c>
      <x:c r="H6114" s="12" t="n">
        <x:v>670000000</x:v>
      </x:c>
      <x:c r="I6114" s="12" t="n">
        <x:v>60909090.90909091</x:v>
      </x:c>
      <x:c r="J6114" s="2" t="str">
        <x:v>total</x:v>
      </x:c>
      <x:c r="K6114" s="2" t="str">
        <x:v>top_level_area</x:v>
      </x:c>
      <x:c r="L6114" s="2" t="str">
        <x:v>property_type_inferred_from_title;transaction_assumed_sale_from_dataset_context</x:v>
      </x:c>
      <x:c r="M6114" s="10" t="n">
        <x:v>0</x:v>
      </x:c>
      <x:c r="N6114" s="10" t="n">
        <x:v>0</x:v>
      </x:c>
      <x:c r="O6114" s="2" t="str">
        <x:v>Tp Hồ Chí Minh|house</x:v>
      </x:c>
      <x:c r="P6114" s="10" t="n">
        <x:v>2</x:v>
      </x:c>
      <x:c r="Q6114" s="13" t="n">
        <x:f>IF(H6114="","",H6114/1000000000)</x:f>
        <x:v>0.67</x:v>
      </x:c>
      <x:c r="R6114" s="13" t="n">
        <x:f>IF(I6114="","",I6114/1000000)</x:f>
        <x:v>60.90909090909091</x:v>
      </x:c>
    </x:row>
    <x:row r="6115" ht="21" customHeight="1">
      <x:c r="A6115" s="10" t="n">
        <x:v>7927</x:v>
      </x:c>
      <x:c r="B6115" s="2" t="str">
        <x:v>c95c28d1543dccb429eb</x:v>
      </x:c>
      <x:c r="C6115" s="2" t="str">
        <x:v>Tp Hồ Chí Minh</x:v>
      </x:c>
      <x:c r="D6115" s="2" t="str">
        <x:v>Quận 9</x:v>
      </x:c>
      <x:c r="E6115" s="2" t="str">
        <x:v>apartment</x:v>
      </x:c>
      <x:c r="F6115" s="2" t="str">
        <x:v>sale_assumed</x:v>
      </x:c>
      <x:c r="G6115" s="11" t="n">
        <x:v>65</x:v>
      </x:c>
      <x:c r="H6115" s="12" t="n">
        <x:v>2150000000</x:v>
      </x:c>
      <x:c r="I6115" s="12" t="n">
        <x:v>33076923.076923076</x:v>
      </x:c>
      <x:c r="J6115" s="2" t="str">
        <x:v>total</x:v>
      </x:c>
      <x:c r="K6115" s="2" t="str">
        <x:v>top_level_area</x:v>
      </x:c>
      <x:c r="L6115" s="2" t="str">
        <x:v>property_type_inferred_from_title;transaction_assumed_sale_from_dataset_context</x:v>
      </x:c>
      <x:c r="M6115" s="10" t="n">
        <x:v>0</x:v>
      </x:c>
      <x:c r="N6115" s="10" t="n">
        <x:v>0</x:v>
      </x:c>
      <x:c r="O6115" s="2" t="str">
        <x:v>Tp Hồ Chí Minh|apartment</x:v>
      </x:c>
      <x:c r="P6115" s="10" t="n">
        <x:v>2</x:v>
      </x:c>
      <x:c r="Q6115" s="13" t="n">
        <x:f>IF(H6115="","",H6115/1000000000)</x:f>
        <x:v>2.15</x:v>
      </x:c>
      <x:c r="R6115" s="13" t="n">
        <x:f>IF(I6115="","",I6115/1000000)</x:f>
        <x:v>33.07692307692307</x:v>
      </x:c>
    </x:row>
    <x:row r="6116" ht="21" customHeight="1">
      <x:c r="A6116" s="10" t="n">
        <x:v>7928</x:v>
      </x:c>
      <x:c r="B6116" s="2" t="str">
        <x:v>36145b4fa60bbfc7bb96</x:v>
      </x:c>
      <x:c r="C6116" s="2" t="str">
        <x:v>Long An</x:v>
      </x:c>
      <x:c r="D6116" s="2" t="str">
        <x:v>Huyện Bến Lức</x:v>
      </x:c>
      <x:c r="E6116" s="2" t="str">
        <x:v>house</x:v>
      </x:c>
      <x:c r="F6116" s="2" t="str">
        <x:v>sale</x:v>
      </x:c>
      <x:c r="G6116" s="11" t="n">
        <x:v>66</x:v>
      </x:c>
      <x:c r="H6116" s="12" t="n">
        <x:v>1500000000</x:v>
      </x:c>
      <x:c r="I6116" s="12" t="n">
        <x:v>22727272.727272727</x:v>
      </x:c>
      <x:c r="J6116" s="2" t="str">
        <x:v>total</x:v>
      </x:c>
      <x:c r="K6116" s="2" t="str">
        <x:v>top_level_area</x:v>
      </x:c>
      <x:c r="L6116" s="2" t="str">
        <x:v>property_type_inferred_from_title</x:v>
      </x:c>
      <x:c r="M6116" s="10" t="n">
        <x:v>0</x:v>
      </x:c>
      <x:c r="N6116" s="10" t="n">
        <x:v>0</x:v>
      </x:c>
      <x:c r="O6116" s="2" t="str">
        <x:v>Long An|house</x:v>
      </x:c>
      <x:c r="P6116" s="10" t="n">
        <x:v>2</x:v>
      </x:c>
      <x:c r="Q6116" s="13" t="n">
        <x:f>IF(H6116="","",H6116/1000000000)</x:f>
        <x:v>1.5</x:v>
      </x:c>
      <x:c r="R6116" s="13" t="n">
        <x:f>IF(I6116="","",I6116/1000000)</x:f>
        <x:v>22.727272727272727</x:v>
      </x:c>
    </x:row>
    <x:row r="6117" ht="21" customHeight="1">
      <x:c r="A6117" s="10" t="n">
        <x:v>7929</x:v>
      </x:c>
      <x:c r="B6117" s="2" t="str">
        <x:v>92f544a56b84ace2b147</x:v>
      </x:c>
      <x:c r="C6117" s="2" t="str">
        <x:v>Hà Nội</x:v>
      </x:c>
      <x:c r="D6117" s="2" t="str">
        <x:v>Quận Long Biên</x:v>
      </x:c>
      <x:c r="E6117" s="2" t="str">
        <x:v>land</x:v>
      </x:c>
      <x:c r="F6117" s="2" t="str">
        <x:v>sale</x:v>
      </x:c>
      <x:c r="G6117" s="11" t="n">
        <x:v>60</x:v>
      </x:c>
      <x:c r="H6117" s="12" t="n">
        <x:v>5580000000</x:v>
      </x:c>
      <x:c r="I6117" s="12" t="n">
        <x:v>93000000</x:v>
      </x:c>
      <x:c r="J6117" s="2" t="str">
        <x:v>total</x:v>
      </x:c>
      <x:c r="K6117" s="2" t="str">
        <x:v>top_level_area</x:v>
      </x:c>
      <x:c r="L6117" s="2" t="str">
        <x:v>property_type_inferred_from_title</x:v>
      </x:c>
      <x:c r="M6117" s="10" t="n">
        <x:v>0</x:v>
      </x:c>
      <x:c r="N6117" s="10" t="n">
        <x:v>0</x:v>
      </x:c>
      <x:c r="O6117" s="2" t="str">
        <x:v>Hà Nội|land</x:v>
      </x:c>
      <x:c r="P6117" s="10" t="n">
        <x:v>2</x:v>
      </x:c>
      <x:c r="Q6117" s="13" t="n">
        <x:f>IF(H6117="","",H6117/1000000000)</x:f>
        <x:v>5.58</x:v>
      </x:c>
      <x:c r="R6117" s="13" t="n">
        <x:f>IF(I6117="","",I6117/1000000)</x:f>
        <x:v>93</x:v>
      </x:c>
    </x:row>
    <x:row r="6118" ht="21" customHeight="1">
      <x:c r="A6118" s="10" t="n">
        <x:v>7930</x:v>
      </x:c>
      <x:c r="B6118" s="2" t="str">
        <x:v>399103aaecc5ce9fa53f</x:v>
      </x:c>
      <x:c r="C6118" s="2" t="str">
        <x:v>Cần Thơ</x:v>
      </x:c>
      <x:c r="D6118" s="2" t="str">
        <x:v>Quận Ninh Kiều</x:v>
      </x:c>
      <x:c r="E6118" s="2" t="str">
        <x:v>house</x:v>
      </x:c>
      <x:c r="F6118" s="2" t="str">
        <x:v>sale</x:v>
      </x:c>
      <x:c r="G6118" s="11" t="n">
        <x:v>52</x:v>
      </x:c>
      <x:c r="H6118" s="12" t="n">
        <x:v>2190000000</x:v>
      </x:c>
      <x:c r="I6118" s="12" t="n">
        <x:v>42115384.615384616</x:v>
      </x:c>
      <x:c r="J6118" s="2" t="str">
        <x:v>total</x:v>
      </x:c>
      <x:c r="K6118" s="2" t="str">
        <x:v>top_level_area</x:v>
      </x:c>
      <x:c r="L6118" s="2" t="str">
        <x:v>property_type_inferred_from_title</x:v>
      </x:c>
      <x:c r="M6118" s="10" t="n">
        <x:v>0</x:v>
      </x:c>
      <x:c r="N6118" s="10" t="n">
        <x:v>0</x:v>
      </x:c>
      <x:c r="O6118" s="2" t="str">
        <x:v>Cần Thơ|house</x:v>
      </x:c>
      <x:c r="P6118" s="10" t="n">
        <x:v>2</x:v>
      </x:c>
      <x:c r="Q6118" s="13" t="n">
        <x:f>IF(H6118="","",H6118/1000000000)</x:f>
        <x:v>2.19</x:v>
      </x:c>
      <x:c r="R6118" s="13" t="n">
        <x:f>IF(I6118="","",I6118/1000000)</x:f>
        <x:v>42.11538461538461</x:v>
      </x:c>
    </x:row>
    <x:row r="6119" ht="21" customHeight="1">
      <x:c r="A6119" s="10" t="n">
        <x:v>7931</x:v>
      </x:c>
      <x:c r="B6119" s="2" t="str">
        <x:v>9a254614bf481aa12c88</x:v>
      </x:c>
      <x:c r="C6119" s="2" t="str">
        <x:v>Tp Hồ Chí Minh</x:v>
      </x:c>
      <x:c r="D6119" s="2" t="str">
        <x:v>Quận Tân Phú</x:v>
      </x:c>
      <x:c r="E6119" s="2" t="str">
        <x:v>other_unknown</x:v>
      </x:c>
      <x:c r="F6119" s="2" t="str">
        <x:v>sale</x:v>
      </x:c>
      <x:c r="G6119" s="11" t="n">
        <x:v>50</x:v>
      </x:c>
      <x:c r="H6119" s="12" t="n">
        <x:v>7700000000</x:v>
      </x:c>
      <x:c r="I6119" s="12" t="n">
        <x:v>154000000</x:v>
      </x:c>
      <x:c r="J6119" s="2" t="str">
        <x:v>total</x:v>
      </x:c>
      <x:c r="K6119" s="2" t="str">
        <x:v>top_level_area</x:v>
      </x:c>
      <x:c r="L6119" s="2" t="str">
        <x:v>property_type_inferred_from_title;unknown_property_type</x:v>
      </x:c>
      <x:c r="M6119" s="10" t="n">
        <x:v>0</x:v>
      </x:c>
      <x:c r="N6119" s="10" t="n">
        <x:v>0</x:v>
      </x:c>
      <x:c r="O6119" s="2" t="str">
        <x:v>Tp Hồ Chí Minh|other_unknown</x:v>
      </x:c>
      <x:c r="P6119" s="10" t="n">
        <x:v>2</x:v>
      </x:c>
      <x:c r="Q6119" s="13" t="n">
        <x:f>IF(H6119="","",H6119/1000000000)</x:f>
        <x:v>7.7</x:v>
      </x:c>
      <x:c r="R6119" s="13" t="n">
        <x:f>IF(I6119="","",I6119/1000000)</x:f>
        <x:v>154</x:v>
      </x:c>
    </x:row>
    <x:row r="6120" ht="21" customHeight="1">
      <x:c r="A6120" s="10" t="n">
        <x:v>7932</x:v>
      </x:c>
      <x:c r="B6120" s="2" t="str">
        <x:v>7f4541a4f0be2eb3e827</x:v>
      </x:c>
      <x:c r="C6120" s="2" t="str">
        <x:v>Hà Nội</x:v>
      </x:c>
      <x:c r="D6120" s="2" t="str">
        <x:v>Quận Hai Bà Trưng</x:v>
      </x:c>
      <x:c r="E6120" s="2" t="str">
        <x:v>house</x:v>
      </x:c>
      <x:c r="F6120" s="2" t="str">
        <x:v>sale</x:v>
      </x:c>
      <x:c r="G6120" s="11" t="n">
        <x:v>33</x:v>
      </x:c>
      <x:c r="H6120" s="12" t="n">
        <x:v>2650000000</x:v>
      </x:c>
      <x:c r="I6120" s="12" t="n">
        <x:v>80303030.3030303</x:v>
      </x:c>
      <x:c r="J6120" s="2" t="str">
        <x:v>total</x:v>
      </x:c>
      <x:c r="K6120" s="2" t="str">
        <x:v>top_level_area</x:v>
      </x:c>
      <x:c r="L6120" s="2" t="str">
        <x:v>property_type_inferred_from_title</x:v>
      </x:c>
      <x:c r="M6120" s="10" t="n">
        <x:v>0</x:v>
      </x:c>
      <x:c r="N6120" s="10" t="n">
        <x:v>0</x:v>
      </x:c>
      <x:c r="O6120" s="2" t="str">
        <x:v>Hà Nội|house</x:v>
      </x:c>
      <x:c r="P6120" s="10" t="n">
        <x:v>2</x:v>
      </x:c>
      <x:c r="Q6120" s="13" t="n">
        <x:f>IF(H6120="","",H6120/1000000000)</x:f>
        <x:v>2.65</x:v>
      </x:c>
      <x:c r="R6120" s="13" t="n">
        <x:f>IF(I6120="","",I6120/1000000)</x:f>
        <x:v>80.3030303030303</x:v>
      </x:c>
    </x:row>
    <x:row r="6121" ht="21" customHeight="1">
      <x:c r="A6121" s="10" t="n">
        <x:v>7933</x:v>
      </x:c>
      <x:c r="B6121" s="2" t="str">
        <x:v>f82ed17466146ed30b1a</x:v>
      </x:c>
      <x:c r="C6121" s="2" t="str">
        <x:v>Hà Nội</x:v>
      </x:c>
      <x:c r="D6121" s="2" t="str">
        <x:v>Quận Thanh Xuân</x:v>
      </x:c>
      <x:c r="E6121" s="2" t="str">
        <x:v>house</x:v>
      </x:c>
      <x:c r="F6121" s="2" t="str">
        <x:v>sale_assumed</x:v>
      </x:c>
      <x:c r="G6121" s="11" t="n">
        <x:v>80</x:v>
      </x:c>
      <x:c r="H6121" s="12" t="n">
        <x:v>10500000000</x:v>
      </x:c>
      <x:c r="I6121" s="12" t="n">
        <x:v>131250000</x:v>
      </x:c>
      <x:c r="J6121" s="2" t="str">
        <x:v>total</x:v>
      </x:c>
      <x:c r="K6121" s="2" t="str">
        <x:v>top_level_area</x:v>
      </x:c>
      <x:c r="L6121" s="2" t="str">
        <x:v>property_type_inferred_from_title;transaction_assumed_sale_from_dataset_context</x:v>
      </x:c>
      <x:c r="M6121" s="10" t="n">
        <x:v>0</x:v>
      </x:c>
      <x:c r="N6121" s="10" t="n">
        <x:v>0</x:v>
      </x:c>
      <x:c r="O6121" s="2" t="str">
        <x:v>Hà Nội|house</x:v>
      </x:c>
      <x:c r="P6121" s="10" t="n">
        <x:v>2</x:v>
      </x:c>
      <x:c r="Q6121" s="13" t="n">
        <x:f>IF(H6121="","",H6121/1000000000)</x:f>
        <x:v>10.5</x:v>
      </x:c>
      <x:c r="R6121" s="13" t="n">
        <x:f>IF(I6121="","",I6121/1000000)</x:f>
        <x:v>131.25</x:v>
      </x:c>
    </x:row>
    <x:row r="6122" ht="21" customHeight="1">
      <x:c r="A6122" s="10" t="n">
        <x:v>7934</x:v>
      </x:c>
      <x:c r="B6122" s="2" t="str">
        <x:v>0d39d18f4aacbbb2948f</x:v>
      </x:c>
      <x:c r="C6122" s="2" t="str">
        <x:v>Lâm Đồng</x:v>
      </x:c>
      <x:c r="D6122" s="2" t="str">
        <x:v>Huyện Lâm Hà</x:v>
      </x:c>
      <x:c r="E6122" s="2" t="str">
        <x:v>land</x:v>
      </x:c>
      <x:c r="F6122" s="2" t="str">
        <x:v>sale</x:v>
      </x:c>
      <x:c r="G6122" s="11" t="n">
        <x:v>580</x:v>
      </x:c>
      <x:c r="H6122" s="12" t="n">
        <x:v>670000000</x:v>
      </x:c>
      <x:c r="I6122" s="12" t="n">
        <x:v>1155172.4137931035</x:v>
      </x:c>
      <x:c r="J6122" s="2" t="str">
        <x:v>total</x:v>
      </x:c>
      <x:c r="K6122" s="2" t="str">
        <x:v>top_level_area</x:v>
      </x:c>
      <x:c r="L6122" s="2" t="str">
        <x:v>property_type_inferred_from_title</x:v>
      </x:c>
      <x:c r="M6122" s="10" t="n">
        <x:v>0</x:v>
      </x:c>
      <x:c r="N6122" s="10" t="n">
        <x:v>0</x:v>
      </x:c>
      <x:c r="O6122" s="2" t="str">
        <x:v>Lâm Đồng|land</x:v>
      </x:c>
      <x:c r="P6122" s="10" t="n">
        <x:v>1</x:v>
      </x:c>
      <x:c r="Q6122" s="13" t="n">
        <x:f>IF(H6122="","",H6122/1000000000)</x:f>
        <x:v>0.67</x:v>
      </x:c>
      <x:c r="R6122" s="13" t="n">
        <x:f>IF(I6122="","",I6122/1000000)</x:f>
        <x:v>1.1551724137931036</x:v>
      </x:c>
    </x:row>
    <x:row r="6123" ht="21" customHeight="1">
      <x:c r="A6123" s="10" t="n">
        <x:v>7935</x:v>
      </x:c>
      <x:c r="B6123" s="2" t="str">
        <x:v>2840b5a5dbbfc5a45da4</x:v>
      </x:c>
      <x:c r="C6123" s="2" t="str">
        <x:v>Đà Nẵng</x:v>
      </x:c>
      <x:c r="D6123" s="2" t="str">
        <x:v>Quận Sơn Trà</x:v>
      </x:c>
      <x:c r="E6123" s="2" t="str">
        <x:v>house</x:v>
      </x:c>
      <x:c r="F6123" s="2" t="str">
        <x:v>sale</x:v>
      </x:c>
      <x:c r="G6123" s="11" t="n">
        <x:v>100</x:v>
      </x:c>
      <x:c r="H6123" s="12" t="n">
        <x:v>9600000000</x:v>
      </x:c>
      <x:c r="I6123" s="12" t="n">
        <x:v>96000000</x:v>
      </x:c>
      <x:c r="J6123" s="2" t="str">
        <x:v>total</x:v>
      </x:c>
      <x:c r="K6123" s="2" t="str">
        <x:v>top_level_area</x:v>
      </x:c>
      <x:c r="L6123" s="2" t="str">
        <x:v>property_type_inferred_from_title</x:v>
      </x:c>
      <x:c r="M6123" s="10" t="n">
        <x:v>0</x:v>
      </x:c>
      <x:c r="N6123" s="10" t="n">
        <x:v>0</x:v>
      </x:c>
      <x:c r="O6123" s="2" t="str">
        <x:v>Đà Nẵng|house</x:v>
      </x:c>
      <x:c r="P6123" s="10" t="n">
        <x:v>2</x:v>
      </x:c>
      <x:c r="Q6123" s="13" t="n">
        <x:f>IF(H6123="","",H6123/1000000000)</x:f>
        <x:v>9.6</x:v>
      </x:c>
      <x:c r="R6123" s="13" t="n">
        <x:f>IF(I6123="","",I6123/1000000)</x:f>
        <x:v>96</x:v>
      </x:c>
    </x:row>
    <x:row r="6124" ht="21" customHeight="1">
      <x:c r="A6124" s="10" t="n">
        <x:v>7936</x:v>
      </x:c>
      <x:c r="B6124" s="2" t="str">
        <x:v>27db5699c0e0e3fc5f88</x:v>
      </x:c>
      <x:c r="C6124" s="2" t="str">
        <x:v>Tp Hồ Chí Minh</x:v>
      </x:c>
      <x:c r="D6124" s="2" t="str">
        <x:v>Quận 12</x:v>
      </x:c>
      <x:c r="E6124" s="2" t="str">
        <x:v>house</x:v>
      </x:c>
      <x:c r="F6124" s="2" t="str">
        <x:v>sale_assumed</x:v>
      </x:c>
      <x:c r="G6124" s="11" t="n">
        <x:v>63</x:v>
      </x:c>
      <x:c r="H6124" s="12" t="n">
        <x:v>3700000000</x:v>
      </x:c>
      <x:c r="I6124" s="12" t="n">
        <x:v>58730158.73015873</x:v>
      </x:c>
      <x:c r="J6124" s="2" t="str">
        <x:v>total</x:v>
      </x:c>
      <x:c r="K6124" s="2" t="str">
        <x:v>top_level_area</x:v>
      </x:c>
      <x:c r="L6124" s="2" t="str">
        <x:v>property_type_inferred_from_title;transaction_assumed_sale_from_dataset_context</x:v>
      </x:c>
      <x:c r="M6124" s="10" t="n">
        <x:v>0</x:v>
      </x:c>
      <x:c r="N6124" s="10" t="n">
        <x:v>0</x:v>
      </x:c>
      <x:c r="O6124" s="2" t="str">
        <x:v>Tp Hồ Chí Minh|house</x:v>
      </x:c>
      <x:c r="P6124" s="10" t="n">
        <x:v>2</x:v>
      </x:c>
      <x:c r="Q6124" s="13" t="n">
        <x:f>IF(H6124="","",H6124/1000000000)</x:f>
        <x:v>3.7</x:v>
      </x:c>
      <x:c r="R6124" s="13" t="n">
        <x:f>IF(I6124="","",I6124/1000000)</x:f>
        <x:v>58.730158730158735</x:v>
      </x:c>
    </x:row>
    <x:row r="6125" ht="21" customHeight="1">
      <x:c r="A6125" s="10" t="n">
        <x:v>7937</x:v>
      </x:c>
      <x:c r="B6125" s="2" t="str">
        <x:v>959bcf16c44c62cf9ef6</x:v>
      </x:c>
      <x:c r="C6125" s="2" t="str">
        <x:v>Cần Thơ</x:v>
      </x:c>
      <x:c r="D6125" s="2" t="str">
        <x:v>Quận Bình Thuỷ</x:v>
      </x:c>
      <x:c r="E6125" s="2" t="str">
        <x:v>house</x:v>
      </x:c>
      <x:c r="F6125" s="2" t="str">
        <x:v>sale_assumed</x:v>
      </x:c>
      <x:c r="G6125" s="11" t="n">
        <x:v>85</x:v>
      </x:c>
      <x:c r="H6125" s="12" t="n">
        <x:v>2400000000</x:v>
      </x:c>
      <x:c r="I6125" s="12" t="n">
        <x:v>28235294.11764706</x:v>
      </x:c>
      <x:c r="J6125" s="2" t="str">
        <x:v>total</x:v>
      </x:c>
      <x:c r="K6125" s="2" t="str">
        <x:v>top_level_area</x:v>
      </x:c>
      <x:c r="L6125" s="2" t="str">
        <x:v>property_type_inferred_from_title;transaction_assumed_sale_from_dataset_context</x:v>
      </x:c>
      <x:c r="M6125" s="10" t="n">
        <x:v>0</x:v>
      </x:c>
      <x:c r="N6125" s="10" t="n">
        <x:v>0</x:v>
      </x:c>
      <x:c r="O6125" s="2" t="str">
        <x:v>Cần Thơ|house</x:v>
      </x:c>
      <x:c r="P6125" s="10" t="n">
        <x:v>2</x:v>
      </x:c>
      <x:c r="Q6125" s="13" t="n">
        <x:f>IF(H6125="","",H6125/1000000000)</x:f>
        <x:v>2.4</x:v>
      </x:c>
      <x:c r="R6125" s="13" t="n">
        <x:f>IF(I6125="","",I6125/1000000)</x:f>
        <x:v>28.235294117647058</x:v>
      </x:c>
    </x:row>
    <x:row r="6126" ht="21" customHeight="1">
      <x:c r="A6126" s="10" t="n">
        <x:v>7938</x:v>
      </x:c>
      <x:c r="B6126" s="2" t="str">
        <x:v>b853bc893f11d097df10</x:v>
      </x:c>
      <x:c r="C6126" s="2" t="str">
        <x:v>Hà Nội</x:v>
      </x:c>
      <x:c r="D6126" s="2" t="str">
        <x:v>Quận Đống Đa</x:v>
      </x:c>
      <x:c r="E6126" s="2" t="str">
        <x:v>other_unknown</x:v>
      </x:c>
      <x:c r="F6126" s="2" t="str">
        <x:v>sale_assumed</x:v>
      </x:c>
      <x:c r="G6126" s="11" t="n">
        <x:v>33</x:v>
      </x:c>
      <x:c r="H6126" s="12" t="n">
        <x:v>4000000000</x:v>
      </x:c>
      <x:c r="I6126" s="12" t="n">
        <x:v>121212121.21212122</x:v>
      </x:c>
      <x:c r="J6126" s="2" t="str">
        <x:v>total</x:v>
      </x:c>
      <x:c r="K6126" s="2" t="str">
        <x:v>top_level_area</x:v>
      </x:c>
      <x:c r="L6126" s="2" t="str">
        <x:v>property_type_inferred_from_title;transaction_assumed_sale_from_dataset_context;unknown_property_type</x:v>
      </x:c>
      <x:c r="M6126" s="10" t="n">
        <x:v>0</x:v>
      </x:c>
      <x:c r="N6126" s="10" t="n">
        <x:v>0</x:v>
      </x:c>
      <x:c r="O6126" s="2" t="str">
        <x:v>Hà Nội|other_unknown</x:v>
      </x:c>
      <x:c r="P6126" s="10" t="n">
        <x:v>2</x:v>
      </x:c>
      <x:c r="Q6126" s="13" t="n">
        <x:f>IF(H6126="","",H6126/1000000000)</x:f>
        <x:v>4</x:v>
      </x:c>
      <x:c r="R6126" s="13" t="n">
        <x:f>IF(I6126="","",I6126/1000000)</x:f>
        <x:v>121.21212121212122</x:v>
      </x:c>
    </x:row>
    <x:row r="6127" ht="21" customHeight="1">
      <x:c r="A6127" s="10" t="n">
        <x:v>7939</x:v>
      </x:c>
      <x:c r="B6127" s="2" t="str">
        <x:v>35135a9d7c8153a2de63</x:v>
      </x:c>
      <x:c r="C6127" s="2" t="str">
        <x:v>Tp Hồ Chí Minh</x:v>
      </x:c>
      <x:c r="D6127" s="2" t="str">
        <x:v>Quận 12</x:v>
      </x:c>
      <x:c r="E6127" s="2" t="str">
        <x:v>other_unknown</x:v>
      </x:c>
      <x:c r="F6127" s="2" t="str">
        <x:v>sale</x:v>
      </x:c>
      <x:c r="G6127" s="11" t="n">
        <x:v>172</x:v>
      </x:c>
      <x:c r="H6127" s="12" t="n">
        <x:v>1300000000</x:v>
      </x:c>
      <x:c r="I6127" s="12" t="n">
        <x:v>7558139.534883721</x:v>
      </x:c>
      <x:c r="J6127" s="2" t="str">
        <x:v>total</x:v>
      </x:c>
      <x:c r="K6127" s="2" t="str">
        <x:v>top_level_area</x:v>
      </x:c>
      <x:c r="L6127" s="2" t="str">
        <x:v>property_type_inferred_from_title;unknown_property_type</x:v>
      </x:c>
      <x:c r="M6127" s="10" t="n">
        <x:v>0</x:v>
      </x:c>
      <x:c r="N6127" s="10" t="n">
        <x:v>0</x:v>
      </x:c>
      <x:c r="O6127" s="2" t="str">
        <x:v>Tp Hồ Chí Minh|other_unknown</x:v>
      </x:c>
      <x:c r="P6127" s="10" t="n">
        <x:v>2</x:v>
      </x:c>
      <x:c r="Q6127" s="13" t="n">
        <x:f>IF(H6127="","",H6127/1000000000)</x:f>
        <x:v>1.3</x:v>
      </x:c>
      <x:c r="R6127" s="13" t="n">
        <x:f>IF(I6127="","",I6127/1000000)</x:f>
        <x:v>7.558139534883721</x:v>
      </x:c>
    </x:row>
    <x:row r="6128" ht="21" customHeight="1">
      <x:c r="A6128" s="10" t="n">
        <x:v>7940</x:v>
      </x:c>
      <x:c r="B6128" s="2" t="str">
        <x:v>9a840126ea20ab505e46</x:v>
      </x:c>
      <x:c r="C6128" s="2" t="str">
        <x:v>Long An</x:v>
      </x:c>
      <x:c r="D6128" s="2" t="str">
        <x:v>Huyện Bến Lức</x:v>
      </x:c>
      <x:c r="E6128" s="2" t="str">
        <x:v>house</x:v>
      </x:c>
      <x:c r="F6128" s="2" t="str">
        <x:v>sale</x:v>
      </x:c>
      <x:c r="G6128" s="11" t="n">
        <x:v>62</x:v>
      </x:c>
      <x:c r="H6128" s="12" t="n">
        <x:v>1500000000</x:v>
      </x:c>
      <x:c r="I6128" s="12" t="n">
        <x:v>24193548.387096774</x:v>
      </x:c>
      <x:c r="J6128" s="2" t="str">
        <x:v>total</x:v>
      </x:c>
      <x:c r="K6128" s="2" t="str">
        <x:v>top_level_area</x:v>
      </x:c>
      <x:c r="L6128" s="2" t="str">
        <x:v>property_type_inferred_from_title</x:v>
      </x:c>
      <x:c r="M6128" s="10" t="n">
        <x:v>0</x:v>
      </x:c>
      <x:c r="N6128" s="10" t="n">
        <x:v>0</x:v>
      </x:c>
      <x:c r="O6128" s="2" t="str">
        <x:v>Long An|house</x:v>
      </x:c>
      <x:c r="P6128" s="10" t="n">
        <x:v>2</x:v>
      </x:c>
      <x:c r="Q6128" s="13" t="n">
        <x:f>IF(H6128="","",H6128/1000000000)</x:f>
        <x:v>1.5</x:v>
      </x:c>
      <x:c r="R6128" s="13" t="n">
        <x:f>IF(I6128="","",I6128/1000000)</x:f>
        <x:v>24.193548387096772</x:v>
      </x:c>
    </x:row>
    <x:row r="6129" ht="21" customHeight="1">
      <x:c r="A6129" s="10" t="n">
        <x:v>7944</x:v>
      </x:c>
      <x:c r="B6129" s="2" t="str">
        <x:v>2e02af110e19b5f6cde4</x:v>
      </x:c>
      <x:c r="C6129" s="2" t="str">
        <x:v>Tp Hồ Chí Minh</x:v>
      </x:c>
      <x:c r="D6129" s="2" t="str">
        <x:v>Quận 6</x:v>
      </x:c>
      <x:c r="E6129" s="2" t="str">
        <x:v>other_unknown</x:v>
      </x:c>
      <x:c r="F6129" s="2" t="str">
        <x:v>sale</x:v>
      </x:c>
      <x:c r="G6129" s="11" t="n">
        <x:v>105</x:v>
      </x:c>
      <x:c r="H6129" s="12" t="n">
        <x:v>21000000000</x:v>
      </x:c>
      <x:c r="I6129" s="12" t="n">
        <x:v>200000000</x:v>
      </x:c>
      <x:c r="J6129" s="2" t="str">
        <x:v>total</x:v>
      </x:c>
      <x:c r="K6129" s="2" t="str">
        <x:v>top_level_area</x:v>
      </x:c>
      <x:c r="L6129" s="2" t="str">
        <x:v>property_type_inferred_from_title;unknown_property_type</x:v>
      </x:c>
      <x:c r="M6129" s="10" t="n">
        <x:v>1</x:v>
      </x:c>
      <x:c r="N6129" s="10" t="n">
        <x:v>0</x:v>
      </x:c>
      <x:c r="O6129" s="2" t="str">
        <x:v>Tp Hồ Chí Minh|other_unknown</x:v>
      </x:c>
      <x:c r="P6129" s="10" t="n">
        <x:v>2</x:v>
      </x:c>
      <x:c r="Q6129" s="13" t="n">
        <x:f>IF(H6129="","",H6129/1000000000)</x:f>
        <x:v>21</x:v>
      </x:c>
      <x:c r="R6129" s="13" t="n">
        <x:f>IF(I6129="","",I6129/1000000)</x:f>
        <x:v>200</x:v>
      </x:c>
    </x:row>
    <x:row r="6130" ht="21" customHeight="1">
      <x:c r="A6130" s="10" t="n">
        <x:v>7945</x:v>
      </x:c>
      <x:c r="B6130" s="2" t="str">
        <x:v>2b806a63069e14d5c403</x:v>
      </x:c>
      <x:c r="C6130" s="2" t="str">
        <x:v>Hà Nội</x:v>
      </x:c>
      <x:c r="D6130" s="2" t="str">
        <x:v>Quận Hà Đông</x:v>
      </x:c>
      <x:c r="E6130" s="2" t="str">
        <x:v>house</x:v>
      </x:c>
      <x:c r="F6130" s="2" t="str">
        <x:v>sale</x:v>
      </x:c>
      <x:c r="G6130" s="11" t="n">
        <x:v>33</x:v>
      </x:c>
      <x:c r="H6130" s="12" t="n">
        <x:v>2355000000</x:v>
      </x:c>
      <x:c r="I6130" s="12" t="n">
        <x:v>71363636.36363636</x:v>
      </x:c>
      <x:c r="J6130" s="2" t="str">
        <x:v>total</x:v>
      </x:c>
      <x:c r="K6130" s="2" t="str">
        <x:v>top_level_area</x:v>
      </x:c>
      <x:c r="L6130" s="2" t="str">
        <x:v>property_type_inferred_from_title</x:v>
      </x:c>
      <x:c r="M6130" s="10" t="n">
        <x:v>0</x:v>
      </x:c>
      <x:c r="N6130" s="10" t="n">
        <x:v>0</x:v>
      </x:c>
      <x:c r="O6130" s="2" t="str">
        <x:v>Hà Nội|house</x:v>
      </x:c>
      <x:c r="P6130" s="10" t="n">
        <x:v>2</x:v>
      </x:c>
      <x:c r="Q6130" s="13" t="n">
        <x:f>IF(H6130="","",H6130/1000000000)</x:f>
        <x:v>2.355</x:v>
      </x:c>
      <x:c r="R6130" s="13" t="n">
        <x:f>IF(I6130="","",I6130/1000000)</x:f>
        <x:v>71.36363636363636</x:v>
      </x:c>
    </x:row>
    <x:row r="6131" ht="21" customHeight="1">
      <x:c r="A6131" s="10" t="n">
        <x:v>7946</x:v>
      </x:c>
      <x:c r="B6131" s="2" t="str">
        <x:v>4fd371606f6ae7cc38a2</x:v>
      </x:c>
      <x:c r="C6131" s="2" t="str">
        <x:v>Hà Nội</x:v>
      </x:c>
      <x:c r="D6131" s="2" t="str">
        <x:v>Quận Hà Đông</x:v>
      </x:c>
      <x:c r="E6131" s="2" t="str">
        <x:v>house</x:v>
      </x:c>
      <x:c r="F6131" s="2" t="str">
        <x:v>sale_assumed</x:v>
      </x:c>
      <x:c r="G6131" s="11" t="n">
        <x:v>33</x:v>
      </x:c>
      <x:c r="H6131" s="12" t="n">
        <x:v>2400000000</x:v>
      </x:c>
      <x:c r="I6131" s="12" t="n">
        <x:v>72727272.72727273</x:v>
      </x:c>
      <x:c r="J6131" s="2" t="str">
        <x:v>total</x:v>
      </x:c>
      <x:c r="K6131" s="2" t="str">
        <x:v>top_level_area</x:v>
      </x:c>
      <x:c r="L6131" s="2" t="str">
        <x:v>property_type_inferred_from_title;transaction_assumed_sale_from_dataset_context</x:v>
      </x:c>
      <x:c r="M6131" s="10" t="n">
        <x:v>0</x:v>
      </x:c>
      <x:c r="N6131" s="10" t="n">
        <x:v>0</x:v>
      </x:c>
      <x:c r="O6131" s="2" t="str">
        <x:v>Hà Nội|house</x:v>
      </x:c>
      <x:c r="P6131" s="10" t="n">
        <x:v>2</x:v>
      </x:c>
      <x:c r="Q6131" s="13" t="n">
        <x:f>IF(H6131="","",H6131/1000000000)</x:f>
        <x:v>2.4</x:v>
      </x:c>
      <x:c r="R6131" s="13" t="n">
        <x:f>IF(I6131="","",I6131/1000000)</x:f>
        <x:v>72.72727272727273</x:v>
      </x:c>
    </x:row>
    <x:row r="6132" ht="21" customHeight="1">
      <x:c r="A6132" s="10" t="n">
        <x:v>7947</x:v>
      </x:c>
      <x:c r="B6132" s="2" t="str">
        <x:v>a503f67455a67a8fdfdd</x:v>
      </x:c>
      <x:c r="C6132" s="2" t="str">
        <x:v>Hà Nội</x:v>
      </x:c>
      <x:c r="D6132" s="2" t="str">
        <x:v>Quận Đống Đa</x:v>
      </x:c>
      <x:c r="E6132" s="2" t="str">
        <x:v>house</x:v>
      </x:c>
      <x:c r="F6132" s="2" t="str">
        <x:v>sale</x:v>
      </x:c>
      <x:c r="G6132" s="11" t="n">
        <x:v>27</x:v>
      </x:c>
      <x:c r="H6132" s="12" t="n">
        <x:v>2350000000</x:v>
      </x:c>
      <x:c r="I6132" s="12" t="n">
        <x:v>87037037.03703703</x:v>
      </x:c>
      <x:c r="J6132" s="2" t="str">
        <x:v>total</x:v>
      </x:c>
      <x:c r="K6132" s="2" t="str">
        <x:v>top_level_area</x:v>
      </x:c>
      <x:c r="L6132" s="2" t="str">
        <x:v>property_type_inferred_from_title</x:v>
      </x:c>
      <x:c r="M6132" s="10" t="n">
        <x:v>0</x:v>
      </x:c>
      <x:c r="N6132" s="10" t="n">
        <x:v>0</x:v>
      </x:c>
      <x:c r="O6132" s="2" t="str">
        <x:v>Hà Nội|house</x:v>
      </x:c>
      <x:c r="P6132" s="10" t="n">
        <x:v>2</x:v>
      </x:c>
      <x:c r="Q6132" s="13" t="n">
        <x:f>IF(H6132="","",H6132/1000000000)</x:f>
        <x:v>2.35</x:v>
      </x:c>
      <x:c r="R6132" s="13" t="n">
        <x:f>IF(I6132="","",I6132/1000000)</x:f>
        <x:v>87.03703703703702</x:v>
      </x:c>
    </x:row>
    <x:row r="6133" ht="21" customHeight="1">
      <x:c r="A6133" s="10" t="n">
        <x:v>7948</x:v>
      </x:c>
      <x:c r="B6133" s="2" t="str">
        <x:v>7370b2f1d908b2b1b0c5</x:v>
      </x:c>
      <x:c r="C6133" s="2" t="str">
        <x:v>Tây Ninh</x:v>
      </x:c>
      <x:c r="D6133" s="2" t="str">
        <x:v>Huyện Gò Dầu</x:v>
      </x:c>
      <x:c r="E6133" s="2" t="str">
        <x:v>other_unknown</x:v>
      </x:c>
      <x:c r="F6133" s="2" t="str">
        <x:v>sale_assumed</x:v>
      </x:c>
      <x:c r="G6133" s="11" t="n">
        <x:v>100</x:v>
      </x:c>
      <x:c r="H6133" s="12" t="n">
        <x:v>395000000</x:v>
      </x:c>
      <x:c r="I6133" s="12" t="n">
        <x:v>3950000</x:v>
      </x:c>
      <x:c r="J6133" s="2" t="str">
        <x:v>total</x:v>
      </x:c>
      <x:c r="K6133" s="2" t="str">
        <x:v>top_level_area</x:v>
      </x:c>
      <x:c r="L6133" s="2" t="str">
        <x:v>property_type_inferred_from_title;transaction_assumed_sale_from_dataset_context;unknown_property_type</x:v>
      </x:c>
      <x:c r="M6133" s="10" t="n">
        <x:v>0</x:v>
      </x:c>
      <x:c r="N6133" s="10" t="n">
        <x:v>0</x:v>
      </x:c>
      <x:c r="O6133" s="2" t="str">
        <x:v>other_unknown</x:v>
      </x:c>
      <x:c r="P6133" s="10" t="n">
        <x:v>2</x:v>
      </x:c>
      <x:c r="Q6133" s="13" t="n">
        <x:f>IF(H6133="","",H6133/1000000000)</x:f>
        <x:v>0.395</x:v>
      </x:c>
      <x:c r="R6133" s="13" t="n">
        <x:f>IF(I6133="","",I6133/1000000)</x:f>
        <x:v>3.95</x:v>
      </x:c>
    </x:row>
    <x:row r="6134" ht="21" customHeight="1">
      <x:c r="A6134" s="10" t="n">
        <x:v>7949</x:v>
      </x:c>
      <x:c r="B6134" s="2" t="str">
        <x:v>ceee781ea07c98bc1165</x:v>
      </x:c>
      <x:c r="C6134" s="2" t="str">
        <x:v>Tp Hồ Chí Minh</x:v>
      </x:c>
      <x:c r="D6134" s="2" t="str">
        <x:v>Quận Bình Tân</x:v>
      </x:c>
      <x:c r="E6134" s="2" t="str">
        <x:v>house</x:v>
      </x:c>
      <x:c r="F6134" s="2" t="str">
        <x:v>sale_assumed</x:v>
      </x:c>
      <x:c r="G6134" s="11" t="n">
        <x:v>40</x:v>
      </x:c>
      <x:c r="H6134" s="12" t="n">
        <x:v>1460000000</x:v>
      </x:c>
      <x:c r="I6134" s="12" t="n">
        <x:v>36500000</x:v>
      </x:c>
      <x:c r="J6134" s="2" t="str">
        <x:v>total</x:v>
      </x:c>
      <x:c r="K6134" s="2" t="str">
        <x:v>top_level_area</x:v>
      </x:c>
      <x:c r="L6134" s="2" t="str">
        <x:v>property_type_inferred_from_title;transaction_assumed_sale_from_dataset_context</x:v>
      </x:c>
      <x:c r="M6134" s="10" t="n">
        <x:v>0</x:v>
      </x:c>
      <x:c r="N6134" s="10" t="n">
        <x:v>0</x:v>
      </x:c>
      <x:c r="O6134" s="2" t="str">
        <x:v>Tp Hồ Chí Minh|house</x:v>
      </x:c>
      <x:c r="P6134" s="10" t="n">
        <x:v>2</x:v>
      </x:c>
      <x:c r="Q6134" s="13" t="n">
        <x:f>IF(H6134="","",H6134/1000000000)</x:f>
        <x:v>1.46</x:v>
      </x:c>
      <x:c r="R6134" s="13" t="n">
        <x:f>IF(I6134="","",I6134/1000000)</x:f>
        <x:v>36.5</x:v>
      </x:c>
    </x:row>
    <x:row r="6135" ht="21" customHeight="1">
      <x:c r="A6135" s="10" t="n">
        <x:v>7950</x:v>
      </x:c>
      <x:c r="B6135" s="2" t="str">
        <x:v>27665527760e85441321</x:v>
      </x:c>
      <x:c r="C6135" s="2" t="str">
        <x:v>Tp Hồ Chí Minh</x:v>
      </x:c>
      <x:c r="D6135" s="2" t="str">
        <x:v>Quận Gò Vấp</x:v>
      </x:c>
      <x:c r="E6135" s="2" t="str">
        <x:v>house</x:v>
      </x:c>
      <x:c r="F6135" s="2" t="str">
        <x:v>sale_assumed</x:v>
      </x:c>
      <x:c r="G6135" s="11" t="n">
        <x:v>25.5</x:v>
      </x:c>
      <x:c r="H6135" s="12" t="n">
        <x:v>2850000000</x:v>
      </x:c>
      <x:c r="I6135" s="12" t="n">
        <x:v>111764705.88235295</x:v>
      </x:c>
      <x:c r="J6135" s="2" t="str">
        <x:v>total</x:v>
      </x:c>
      <x:c r="K6135" s="2" t="str">
        <x:v>top_level_area</x:v>
      </x:c>
      <x:c r="L6135" s="2" t="str">
        <x:v>property_type_inferred_from_title;transaction_assumed_sale_from_dataset_context</x:v>
      </x:c>
      <x:c r="M6135" s="10" t="n">
        <x:v>0</x:v>
      </x:c>
      <x:c r="N6135" s="10" t="n">
        <x:v>0</x:v>
      </x:c>
      <x:c r="O6135" s="2" t="str">
        <x:v>Tp Hồ Chí Minh|house</x:v>
      </x:c>
      <x:c r="P6135" s="10" t="n">
        <x:v>2</x:v>
      </x:c>
      <x:c r="Q6135" s="13" t="n">
        <x:f>IF(H6135="","",H6135/1000000000)</x:f>
        <x:v>2.85</x:v>
      </x:c>
      <x:c r="R6135" s="13" t="n">
        <x:f>IF(I6135="","",I6135/1000000)</x:f>
        <x:v>111.76470588235294</x:v>
      </x:c>
    </x:row>
    <x:row r="6136" ht="21" customHeight="1">
      <x:c r="A6136" s="10" t="n">
        <x:v>7951</x:v>
      </x:c>
      <x:c r="B6136" s="2" t="str">
        <x:v>912cc493114a13c6d36f</x:v>
      </x:c>
      <x:c r="C6136" s="2" t="str">
        <x:v>Hà Nội</x:v>
      </x:c>
      <x:c r="D6136" s="2" t="str">
        <x:v>Quận Hà Đông</x:v>
      </x:c>
      <x:c r="E6136" s="2" t="str">
        <x:v>house</x:v>
      </x:c>
      <x:c r="F6136" s="2" t="str">
        <x:v>sale_assumed</x:v>
      </x:c>
      <x:c r="G6136" s="11" t="n">
        <x:v>36</x:v>
      </x:c>
      <x:c r="H6136" s="12" t="n">
        <x:v>1730000000</x:v>
      </x:c>
      <x:c r="I6136" s="12" t="n">
        <x:v>48055555.55555555</x:v>
      </x:c>
      <x:c r="J6136" s="2" t="str">
        <x:v>total</x:v>
      </x:c>
      <x:c r="K6136" s="2" t="str">
        <x:v>top_level_area</x:v>
      </x:c>
      <x:c r="L6136" s="2" t="str">
        <x:v>property_type_inferred_from_title;transaction_assumed_sale_from_dataset_context</x:v>
      </x:c>
      <x:c r="M6136" s="10" t="n">
        <x:v>0</x:v>
      </x:c>
      <x:c r="N6136" s="10" t="n">
        <x:v>0</x:v>
      </x:c>
      <x:c r="O6136" s="2" t="str">
        <x:v>Hà Nội|house</x:v>
      </x:c>
      <x:c r="P6136" s="10" t="n">
        <x:v>2</x:v>
      </x:c>
      <x:c r="Q6136" s="13" t="n">
        <x:f>IF(H6136="","",H6136/1000000000)</x:f>
        <x:v>1.73</x:v>
      </x:c>
      <x:c r="R6136" s="13" t="n">
        <x:f>IF(I6136="","",I6136/1000000)</x:f>
        <x:v>48.05555555555555</x:v>
      </x:c>
    </x:row>
    <x:row r="6137" ht="21" customHeight="1">
      <x:c r="A6137" s="10" t="n">
        <x:v>7952</x:v>
      </x:c>
      <x:c r="B6137" s="2" t="str">
        <x:v>f995cbe2ac7a8e75969f</x:v>
      </x:c>
      <x:c r="C6137" s="2" t="str">
        <x:v>Cần Thơ</x:v>
      </x:c>
      <x:c r="D6137" s="2" t="str">
        <x:v>Quận Cái Răng</x:v>
      </x:c>
      <x:c r="E6137" s="2" t="str">
        <x:v>land</x:v>
      </x:c>
      <x:c r="F6137" s="2" t="str">
        <x:v>sale</x:v>
      </x:c>
      <x:c r="G6137" s="11" t="n">
        <x:v>85</x:v>
      </x:c>
      <x:c r="H6137" s="12" t="n">
        <x:v>990000000</x:v>
      </x:c>
      <x:c r="I6137" s="12" t="n">
        <x:v>11647058.823529411</x:v>
      </x:c>
      <x:c r="J6137" s="2" t="str">
        <x:v>total</x:v>
      </x:c>
      <x:c r="K6137" s="2" t="str">
        <x:v>top_level_area</x:v>
      </x:c>
      <x:c r="L6137" s="2" t="str">
        <x:v>property_type_inferred_from_title</x:v>
      </x:c>
      <x:c r="M6137" s="10" t="n">
        <x:v>0</x:v>
      </x:c>
      <x:c r="N6137" s="10" t="n">
        <x:v>0</x:v>
      </x:c>
      <x:c r="O6137" s="2" t="str">
        <x:v>Cần Thơ|land</x:v>
      </x:c>
      <x:c r="P6137" s="10" t="n">
        <x:v>2</x:v>
      </x:c>
      <x:c r="Q6137" s="13" t="n">
        <x:f>IF(H6137="","",H6137/1000000000)</x:f>
        <x:v>0.99</x:v>
      </x:c>
      <x:c r="R6137" s="13" t="n">
        <x:f>IF(I6137="","",I6137/1000000)</x:f>
        <x:v>11.647058823529411</x:v>
      </x:c>
    </x:row>
    <x:row r="6138" ht="21" customHeight="1">
      <x:c r="A6138" s="10" t="n">
        <x:v>7953</x:v>
      </x:c>
      <x:c r="B6138" s="2" t="str">
        <x:v>9074d2c34d03aed78e62</x:v>
      </x:c>
      <x:c r="C6138" s="2" t="str">
        <x:v>Tp Hồ Chí Minh</x:v>
      </x:c>
      <x:c r="D6138" s="2" t="str">
        <x:v>Quận Thủ Đức</x:v>
      </x:c>
      <x:c r="E6138" s="2" t="str">
        <x:v>house</x:v>
      </x:c>
      <x:c r="F6138" s="2" t="str">
        <x:v>sale</x:v>
      </x:c>
      <x:c r="G6138" s="11" t="n">
        <x:v>60</x:v>
      </x:c>
      <x:c r="H6138" s="12" t="n">
        <x:v>1520000000</x:v>
      </x:c>
      <x:c r="I6138" s="12" t="n">
        <x:v>25333333.333333332</x:v>
      </x:c>
      <x:c r="J6138" s="2" t="str">
        <x:v>total</x:v>
      </x:c>
      <x:c r="K6138" s="2" t="str">
        <x:v>top_level_area</x:v>
      </x:c>
      <x:c r="L6138" s="2" t="str">
        <x:v>property_type_inferred_from_title</x:v>
      </x:c>
      <x:c r="M6138" s="10" t="n">
        <x:v>0</x:v>
      </x:c>
      <x:c r="N6138" s="10" t="n">
        <x:v>0</x:v>
      </x:c>
      <x:c r="O6138" s="2" t="str">
        <x:v>Tp Hồ Chí Minh|house</x:v>
      </x:c>
      <x:c r="P6138" s="10" t="n">
        <x:v>2</x:v>
      </x:c>
      <x:c r="Q6138" s="13" t="n">
        <x:f>IF(H6138="","",H6138/1000000000)</x:f>
        <x:v>1.52</x:v>
      </x:c>
      <x:c r="R6138" s="13" t="n">
        <x:f>IF(I6138="","",I6138/1000000)</x:f>
        <x:v>25.333333333333332</x:v>
      </x:c>
    </x:row>
    <x:row r="6139" ht="21" customHeight="1">
      <x:c r="A6139" s="10" t="n">
        <x:v>7954</x:v>
      </x:c>
      <x:c r="B6139" s="2" t="str">
        <x:v>dee205d92779cf6c5f7a</x:v>
      </x:c>
      <x:c r="C6139" s="2" t="str">
        <x:v>Đắk Lắk</x:v>
      </x:c>
      <x:c r="D6139" s="2" t="str">
        <x:v>Thành phố Buôn Ma Thuột</x:v>
      </x:c>
      <x:c r="E6139" s="2" t="str">
        <x:v>land</x:v>
      </x:c>
      <x:c r="F6139" s="2" t="str">
        <x:v>sale_assumed</x:v>
      </x:c>
      <x:c r="G6139" s="11" t="n">
        <x:v>159</x:v>
      </x:c>
      <x:c r="H6139" s="12" t="n">
        <x:v>1180000000</x:v>
      </x:c>
      <x:c r="I6139" s="12" t="n">
        <x:v>7421383.647798742</x:v>
      </x:c>
      <x:c r="J6139" s="2" t="str">
        <x:v>total</x:v>
      </x:c>
      <x:c r="K6139" s="2" t="str">
        <x:v>top_level_area</x:v>
      </x:c>
      <x:c r="L6139" s="2" t="str">
        <x:v>property_type_inferred_from_title;transaction_assumed_sale_from_dataset_context</x:v>
      </x:c>
      <x:c r="M6139" s="10" t="n">
        <x:v>0</x:v>
      </x:c>
      <x:c r="N6139" s="10" t="n">
        <x:v>0</x:v>
      </x:c>
      <x:c r="O6139" s="2" t="str">
        <x:v>Đắk Lắk|land</x:v>
      </x:c>
      <x:c r="P6139" s="10" t="n">
        <x:v>2</x:v>
      </x:c>
      <x:c r="Q6139" s="13" t="n">
        <x:f>IF(H6139="","",H6139/1000000000)</x:f>
        <x:v>1.18</x:v>
      </x:c>
      <x:c r="R6139" s="13" t="n">
        <x:f>IF(I6139="","",I6139/1000000)</x:f>
        <x:v>7.421383647798742</x:v>
      </x:c>
    </x:row>
    <x:row r="6140" ht="21" customHeight="1">
      <x:c r="A6140" s="10" t="n">
        <x:v>7955</x:v>
      </x:c>
      <x:c r="B6140" s="2" t="str">
        <x:v>eed8c269c0bf3a908663</x:v>
      </x:c>
      <x:c r="C6140" s="2" t="str">
        <x:v>An Giang</x:v>
      </x:c>
      <x:c r="D6140" s="2" t="str">
        <x:v>Thành phố Châu Đốc</x:v>
      </x:c>
      <x:c r="E6140" s="2" t="str">
        <x:v>land</x:v>
      </x:c>
      <x:c r="F6140" s="2" t="str">
        <x:v>sale_assumed</x:v>
      </x:c>
      <x:c r="G6140" s="11" t="n">
        <x:v>100</x:v>
      </x:c>
      <x:c r="H6140" s="12" t="n">
        <x:v>950000000</x:v>
      </x:c>
      <x:c r="I6140" s="12" t="n">
        <x:v>9500000</x:v>
      </x:c>
      <x:c r="J6140" s="2" t="str">
        <x:v>total</x:v>
      </x:c>
      <x:c r="K6140" s="2" t="str">
        <x:v>top_level_area</x:v>
      </x:c>
      <x:c r="L6140" s="2" t="str">
        <x:v>property_type_inferred_from_title;transaction_assumed_sale_from_dataset_context</x:v>
      </x:c>
      <x:c r="M6140" s="10" t="n">
        <x:v>0</x:v>
      </x:c>
      <x:c r="N6140" s="10" t="n">
        <x:v>0</x:v>
      </x:c>
      <x:c r="O6140" s="2" t="str">
        <x:v>land</x:v>
      </x:c>
      <x:c r="P6140" s="10" t="n">
        <x:v>2</x:v>
      </x:c>
      <x:c r="Q6140" s="13" t="n">
        <x:f>IF(H6140="","",H6140/1000000000)</x:f>
        <x:v>0.95</x:v>
      </x:c>
      <x:c r="R6140" s="13" t="n">
        <x:f>IF(I6140="","",I6140/1000000)</x:f>
        <x:v>9.5</x:v>
      </x:c>
    </x:row>
    <x:row r="6141" ht="21" customHeight="1">
      <x:c r="A6141" s="10" t="n">
        <x:v>7956</x:v>
      </x:c>
      <x:c r="B6141" s="2" t="str">
        <x:v>9e5c0398a2bf0de28a88</x:v>
      </x:c>
      <x:c r="C6141" s="2" t="str">
        <x:v>Đà Nẵng</x:v>
      </x:c>
      <x:c r="D6141" s="2" t="str">
        <x:v>Quận Ngũ Hành Sơn</x:v>
      </x:c>
      <x:c r="E6141" s="2" t="str">
        <x:v>house</x:v>
      </x:c>
      <x:c r="F6141" s="2" t="str">
        <x:v>sale_assumed</x:v>
      </x:c>
      <x:c r="G6141" s="11" t="n">
        <x:v>100</x:v>
      </x:c>
      <x:c r="H6141" s="12" t="n">
        <x:v>8000000000</x:v>
      </x:c>
      <x:c r="I6141" s="12" t="n">
        <x:v>80000000</x:v>
      </x:c>
      <x:c r="J6141" s="2" t="str">
        <x:v>total</x:v>
      </x:c>
      <x:c r="K6141" s="2" t="str">
        <x:v>top_level_area</x:v>
      </x:c>
      <x:c r="L6141" s="2" t="str">
        <x:v>property_type_inferred_from_title;transaction_assumed_sale_from_dataset_context</x:v>
      </x:c>
      <x:c r="M6141" s="10" t="n">
        <x:v>0</x:v>
      </x:c>
      <x:c r="N6141" s="10" t="n">
        <x:v>0</x:v>
      </x:c>
      <x:c r="O6141" s="2" t="str">
        <x:v>Đà Nẵng|house</x:v>
      </x:c>
      <x:c r="P6141" s="10" t="n">
        <x:v>2</x:v>
      </x:c>
      <x:c r="Q6141" s="13" t="n">
        <x:f>IF(H6141="","",H6141/1000000000)</x:f>
        <x:v>8</x:v>
      </x:c>
      <x:c r="R6141" s="13" t="n">
        <x:f>IF(I6141="","",I6141/1000000)</x:f>
        <x:v>80</x:v>
      </x:c>
    </x:row>
    <x:row r="6142" ht="21" customHeight="1">
      <x:c r="A6142" s="10" t="n">
        <x:v>7957</x:v>
      </x:c>
      <x:c r="B6142" s="2" t="str">
        <x:v>8e0cb56a8c7d7ca36942</x:v>
      </x:c>
      <x:c r="C6142" s="2" t="str">
        <x:v>Long An</x:v>
      </x:c>
      <x:c r="D6142" s="2" t="str">
        <x:v>Huyện Cần Giuộc</x:v>
      </x:c>
      <x:c r="E6142" s="2" t="str">
        <x:v>other_unknown</x:v>
      </x:c>
      <x:c r="F6142" s="2" t="str">
        <x:v>sale</x:v>
      </x:c>
      <x:c r="G6142" s="11" t="n">
        <x:v>56</x:v>
      </x:c>
      <x:c r="H6142" s="12" t="n">
        <x:v>650000000</x:v>
      </x:c>
      <x:c r="I6142" s="12" t="n">
        <x:v>11607142.857142856</x:v>
      </x:c>
      <x:c r="J6142" s="2" t="str">
        <x:v>total</x:v>
      </x:c>
      <x:c r="K6142" s="2" t="str">
        <x:v>top_level_area</x:v>
      </x:c>
      <x:c r="L6142" s="2" t="str">
        <x:v>property_type_inferred_from_title;unknown_property_type</x:v>
      </x:c>
      <x:c r="M6142" s="10" t="n">
        <x:v>0</x:v>
      </x:c>
      <x:c r="N6142" s="10" t="n">
        <x:v>0</x:v>
      </x:c>
      <x:c r="O6142" s="2" t="str">
        <x:v>Long An|other_unknown</x:v>
      </x:c>
      <x:c r="P6142" s="10" t="n">
        <x:v>2</x:v>
      </x:c>
      <x:c r="Q6142" s="13" t="n">
        <x:f>IF(H6142="","",H6142/1000000000)</x:f>
        <x:v>0.65</x:v>
      </x:c>
      <x:c r="R6142" s="13" t="n">
        <x:f>IF(I6142="","",I6142/1000000)</x:f>
        <x:v>11.607142857142856</x:v>
      </x:c>
    </x:row>
    <x:row r="6143" ht="21" customHeight="1">
      <x:c r="A6143" s="10" t="n">
        <x:v>7958</x:v>
      </x:c>
      <x:c r="B6143" s="2" t="str">
        <x:v>8114ae6d7b96aa63b402</x:v>
      </x:c>
      <x:c r="C6143" s="2" t="str">
        <x:v>Hà Nội</x:v>
      </x:c>
      <x:c r="D6143" s="2" t="str">
        <x:v>Quận Ba Đình</x:v>
      </x:c>
      <x:c r="E6143" s="2" t="str">
        <x:v>house</x:v>
      </x:c>
      <x:c r="F6143" s="2" t="str">
        <x:v>sale_assumed</x:v>
      </x:c>
      <x:c r="G6143" s="11" t="n">
        <x:v>40</x:v>
      </x:c>
      <x:c r="H6143" s="12" t="n">
        <x:v>3600000000</x:v>
      </x:c>
      <x:c r="I6143" s="12" t="n">
        <x:v>90000000</x:v>
      </x:c>
      <x:c r="J6143" s="2" t="str">
        <x:v>total</x:v>
      </x:c>
      <x:c r="K6143" s="2" t="str">
        <x:v>top_level_area</x:v>
      </x:c>
      <x:c r="L6143" s="2" t="str">
        <x:v>property_type_inferred_from_title;transaction_assumed_sale_from_dataset_context</x:v>
      </x:c>
      <x:c r="M6143" s="10" t="n">
        <x:v>0</x:v>
      </x:c>
      <x:c r="N6143" s="10" t="n">
        <x:v>0</x:v>
      </x:c>
      <x:c r="O6143" s="2" t="str">
        <x:v>Hà Nội|house</x:v>
      </x:c>
      <x:c r="P6143" s="10" t="n">
        <x:v>2</x:v>
      </x:c>
      <x:c r="Q6143" s="13" t="n">
        <x:f>IF(H6143="","",H6143/1000000000)</x:f>
        <x:v>3.6</x:v>
      </x:c>
      <x:c r="R6143" s="13" t="n">
        <x:f>IF(I6143="","",I6143/1000000)</x:f>
        <x:v>90</x:v>
      </x:c>
    </x:row>
    <x:row r="6144" ht="21" customHeight="1">
      <x:c r="A6144" s="10" t="n">
        <x:v>7959</x:v>
      </x:c>
      <x:c r="B6144" s="2" t="str">
        <x:v>9e513918238b50576c86</x:v>
      </x:c>
      <x:c r="C6144" s="2" t="str">
        <x:v>Tp Hồ Chí Minh</x:v>
      </x:c>
      <x:c r="D6144" s="2" t="str">
        <x:v>Quận Tân Bình</x:v>
      </x:c>
      <x:c r="E6144" s="2" t="str">
        <x:v>house</x:v>
      </x:c>
      <x:c r="F6144" s="2" t="str">
        <x:v>sale_assumed</x:v>
      </x:c>
      <x:c r="G6144" s="11" t="n">
        <x:v>62</x:v>
      </x:c>
      <x:c r="H6144" s="12" t="n">
        <x:v>4000000000</x:v>
      </x:c>
      <x:c r="I6144" s="12" t="n">
        <x:v>64516129.03225806</x:v>
      </x:c>
      <x:c r="J6144" s="2" t="str">
        <x:v>total</x:v>
      </x:c>
      <x:c r="K6144" s="2" t="str">
        <x:v>top_level_area</x:v>
      </x:c>
      <x:c r="L6144" s="2" t="str">
        <x:v>property_type_inferred_from_title;transaction_assumed_sale_from_dataset_context</x:v>
      </x:c>
      <x:c r="M6144" s="10" t="n">
        <x:v>0</x:v>
      </x:c>
      <x:c r="N6144" s="10" t="n">
        <x:v>0</x:v>
      </x:c>
      <x:c r="O6144" s="2" t="str">
        <x:v>Tp Hồ Chí Minh|house</x:v>
      </x:c>
      <x:c r="P6144" s="10" t="n">
        <x:v>2</x:v>
      </x:c>
      <x:c r="Q6144" s="13" t="n">
        <x:f>IF(H6144="","",H6144/1000000000)</x:f>
        <x:v>4</x:v>
      </x:c>
      <x:c r="R6144" s="13" t="n">
        <x:f>IF(I6144="","",I6144/1000000)</x:f>
        <x:v>64.51612903225806</x:v>
      </x:c>
    </x:row>
    <x:row r="6145" ht="21" customHeight="1">
      <x:c r="A6145" s="10" t="n">
        <x:v>7960</x:v>
      </x:c>
      <x:c r="B6145" s="2" t="str">
        <x:v>c489aec788ea11155817</x:v>
      </x:c>
      <x:c r="C6145" s="2" t="str">
        <x:v>Quảng Nam</x:v>
      </x:c>
      <x:c r="D6145" s="2" t="str">
        <x:v>Thị xã Điện Bàn</x:v>
      </x:c>
      <x:c r="E6145" s="2" t="str">
        <x:v>land</x:v>
      </x:c>
      <x:c r="F6145" s="2" t="str">
        <x:v>sale_assumed</x:v>
      </x:c>
      <x:c r="G6145" s="11" t="n">
        <x:v>100</x:v>
      </x:c>
      <x:c r="H6145" s="12" t="n">
        <x:v>980000000</x:v>
      </x:c>
      <x:c r="I6145" s="12" t="n">
        <x:v>9800000</x:v>
      </x:c>
      <x:c r="J6145" s="2" t="str">
        <x:v>total</x:v>
      </x:c>
      <x:c r="K6145" s="2" t="str">
        <x:v>top_level_area</x:v>
      </x:c>
      <x:c r="L6145" s="2" t="str">
        <x:v>property_type_inferred_from_title;transaction_assumed_sale_from_dataset_context</x:v>
      </x:c>
      <x:c r="M6145" s="10" t="n">
        <x:v>0</x:v>
      </x:c>
      <x:c r="N6145" s="10" t="n">
        <x:v>0</x:v>
      </x:c>
      <x:c r="O6145" s="2" t="str">
        <x:v>land</x:v>
      </x:c>
      <x:c r="P6145" s="10" t="n">
        <x:v>2</x:v>
      </x:c>
      <x:c r="Q6145" s="13" t="n">
        <x:f>IF(H6145="","",H6145/1000000000)</x:f>
        <x:v>0.98</x:v>
      </x:c>
      <x:c r="R6145" s="13" t="n">
        <x:f>IF(I6145="","",I6145/1000000)</x:f>
        <x:v>9.8</x:v>
      </x:c>
    </x:row>
    <x:row r="6146" ht="21" customHeight="1">
      <x:c r="A6146" s="10" t="n">
        <x:v>7961</x:v>
      </x:c>
      <x:c r="B6146" s="2" t="str">
        <x:v>278da848bbf950d97a61</x:v>
      </x:c>
      <x:c r="C6146" s="2" t="str">
        <x:v>Tp Hồ Chí Minh</x:v>
      </x:c>
      <x:c r="D6146" s="2" t="str">
        <x:v>Quận 2</x:v>
      </x:c>
      <x:c r="E6146" s="2" t="str">
        <x:v>apartment</x:v>
      </x:c>
      <x:c r="F6146" s="2" t="str">
        <x:v>sale</x:v>
      </x:c>
      <x:c r="G6146" s="11" t="n">
        <x:v>70</x:v>
      </x:c>
      <x:c r="H6146" s="12" t="n">
        <x:v>4000000000</x:v>
      </x:c>
      <x:c r="I6146" s="12" t="n">
        <x:v>57142857.14285714</x:v>
      </x:c>
      <x:c r="J6146" s="2" t="str">
        <x:v>total</x:v>
      </x:c>
      <x:c r="K6146" s="2" t="str">
        <x:v>top_level_area</x:v>
      </x:c>
      <x:c r="L6146" s="2" t="str">
        <x:v>property_type_inferred_from_title</x:v>
      </x:c>
      <x:c r="M6146" s="10" t="n">
        <x:v>0</x:v>
      </x:c>
      <x:c r="N6146" s="10" t="n">
        <x:v>0</x:v>
      </x:c>
      <x:c r="O6146" s="2" t="str">
        <x:v>Tp Hồ Chí Minh|apartment</x:v>
      </x:c>
      <x:c r="P6146" s="10" t="n">
        <x:v>2</x:v>
      </x:c>
      <x:c r="Q6146" s="13" t="n">
        <x:f>IF(H6146="","",H6146/1000000000)</x:f>
        <x:v>4</x:v>
      </x:c>
      <x:c r="R6146" s="13" t="n">
        <x:f>IF(I6146="","",I6146/1000000)</x:f>
        <x:v>57.14285714285714</x:v>
      </x:c>
    </x:row>
    <x:row r="6147" ht="21" customHeight="1">
      <x:c r="A6147" s="10" t="n">
        <x:v>7962</x:v>
      </x:c>
      <x:c r="B6147" s="2" t="str">
        <x:v>426f09d379373bbfe8a4</x:v>
      </x:c>
      <x:c r="C6147" s="2" t="str">
        <x:v>Đà Nẵng</x:v>
      </x:c>
      <x:c r="D6147" s="2" t="str">
        <x:v>Quận Hải Châu</x:v>
      </x:c>
      <x:c r="E6147" s="2" t="str">
        <x:v>house</x:v>
      </x:c>
      <x:c r="F6147" s="2" t="str">
        <x:v>sale</x:v>
      </x:c>
      <x:c r="G6147" s="11" t="n">
        <x:v>60</x:v>
      </x:c>
      <x:c r="H6147" s="12" t="n">
        <x:v>10800000000</x:v>
      </x:c>
      <x:c r="I6147" s="12" t="n">
        <x:v>180000000</x:v>
      </x:c>
      <x:c r="J6147" s="2" t="str">
        <x:v>total</x:v>
      </x:c>
      <x:c r="K6147" s="2" t="str">
        <x:v>top_level_area</x:v>
      </x:c>
      <x:c r="L6147" s="2" t="str">
        <x:v>property_type_inferred_from_title</x:v>
      </x:c>
      <x:c r="M6147" s="10" t="n">
        <x:v>1</x:v>
      </x:c>
      <x:c r="N6147" s="10" t="n">
        <x:v>1</x:v>
      </x:c>
      <x:c r="O6147" s="2" t="str">
        <x:v>Đà Nẵng|house</x:v>
      </x:c>
      <x:c r="P6147" s="10" t="n">
        <x:v>-1</x:v>
      </x:c>
      <x:c r="Q6147" s="13" t="n">
        <x:f>IF(H6147="","",H6147/1000000000)</x:f>
        <x:v>10.8</x:v>
      </x:c>
      <x:c r="R6147" s="13" t="n">
        <x:f>IF(I6147="","",I6147/1000000)</x:f>
        <x:v>180</x:v>
      </x:c>
    </x:row>
    <x:row r="6148" ht="21" customHeight="1">
      <x:c r="A6148" s="10" t="n">
        <x:v>7966</x:v>
      </x:c>
      <x:c r="B6148" s="2" t="str">
        <x:v>0f3b5a2665c355fa5b0c</x:v>
      </x:c>
      <x:c r="C6148" s="2" t="str">
        <x:v>Đà Nẵng</x:v>
      </x:c>
      <x:c r="D6148" s="2" t="str">
        <x:v>Quận Thanh Khê</x:v>
      </x:c>
      <x:c r="E6148" s="2" t="str">
        <x:v>land</x:v>
      </x:c>
      <x:c r="F6148" s="2" t="str">
        <x:v>sale_assumed</x:v>
      </x:c>
      <x:c r="G6148" s="11" t="n">
        <x:v>80</x:v>
      </x:c>
      <x:c r="H6148" s="12" t="n">
        <x:v>3000000000</x:v>
      </x:c>
      <x:c r="I6148" s="12" t="n">
        <x:v>37500000</x:v>
      </x:c>
      <x:c r="J6148" s="2" t="str">
        <x:v>total</x:v>
      </x:c>
      <x:c r="K6148" s="2" t="str">
        <x:v>top_level_area</x:v>
      </x:c>
      <x:c r="L6148" s="2" t="str">
        <x:v>property_type_inferred_from_title;transaction_assumed_sale_from_dataset_context</x:v>
      </x:c>
      <x:c r="M6148" s="10" t="n">
        <x:v>0</x:v>
      </x:c>
      <x:c r="N6148" s="10" t="n">
        <x:v>0</x:v>
      </x:c>
      <x:c r="O6148" s="2" t="str">
        <x:v>Đà Nẵng|land</x:v>
      </x:c>
      <x:c r="P6148" s="10" t="n">
        <x:v>2</x:v>
      </x:c>
      <x:c r="Q6148" s="13" t="n">
        <x:f>IF(H6148="","",H6148/1000000000)</x:f>
        <x:v>3</x:v>
      </x:c>
      <x:c r="R6148" s="13" t="n">
        <x:f>IF(I6148="","",I6148/1000000)</x:f>
        <x:v>37.5</x:v>
      </x:c>
    </x:row>
    <x:row r="6149" ht="21" customHeight="1">
      <x:c r="A6149" s="10" t="n">
        <x:v>7967</x:v>
      </x:c>
      <x:c r="B6149" s="2" t="str">
        <x:v>c21e6bfd864c63be2664</x:v>
      </x:c>
      <x:c r="C6149" s="2" t="str">
        <x:v>Tp Hồ Chí Minh</x:v>
      </x:c>
      <x:c r="D6149" s="2" t="str">
        <x:v>Quận Bình Tân</x:v>
      </x:c>
      <x:c r="E6149" s="2" t="str">
        <x:v>house</x:v>
      </x:c>
      <x:c r="F6149" s="2" t="str">
        <x:v>sale</x:v>
      </x:c>
      <x:c r="G6149" s="11" t="n">
        <x:v>48</x:v>
      </x:c>
      <x:c r="H6149" s="12" t="n">
        <x:v>3500000000</x:v>
      </x:c>
      <x:c r="I6149" s="12" t="n">
        <x:v>72916666.66666667</x:v>
      </x:c>
      <x:c r="J6149" s="2" t="str">
        <x:v>total</x:v>
      </x:c>
      <x:c r="K6149" s="2" t="str">
        <x:v>top_level_area</x:v>
      </x:c>
      <x:c r="L6149" s="2" t="str">
        <x:v>property_type_inferred_from_title</x:v>
      </x:c>
      <x:c r="M6149" s="10" t="n">
        <x:v>0</x:v>
      </x:c>
      <x:c r="N6149" s="10" t="n">
        <x:v>0</x:v>
      </x:c>
      <x:c r="O6149" s="2" t="str">
        <x:v>Tp Hồ Chí Minh|house</x:v>
      </x:c>
      <x:c r="P6149" s="10" t="n">
        <x:v>2</x:v>
      </x:c>
      <x:c r="Q6149" s="13" t="n">
        <x:f>IF(H6149="","",H6149/1000000000)</x:f>
        <x:v>3.5</x:v>
      </x:c>
      <x:c r="R6149" s="13" t="n">
        <x:f>IF(I6149="","",I6149/1000000)</x:f>
        <x:v>72.91666666666667</x:v>
      </x:c>
    </x:row>
    <x:row r="6150" ht="21" customHeight="1">
      <x:c r="A6150" s="10" t="n">
        <x:v>7968</x:v>
      </x:c>
      <x:c r="B6150" s="2" t="str">
        <x:v>dbb00b8fa26ad960be58</x:v>
      </x:c>
      <x:c r="C6150" s="2" t="str">
        <x:v>Cần Thơ</x:v>
      </x:c>
      <x:c r="D6150" s="2" t="str">
        <x:v>Quận Ninh Kiều</x:v>
      </x:c>
      <x:c r="E6150" s="2" t="str">
        <x:v>land</x:v>
      </x:c>
      <x:c r="F6150" s="2" t="str">
        <x:v>sale_assumed</x:v>
      </x:c>
      <x:c r="G6150" s="11" t="n">
        <x:v>65</x:v>
      </x:c>
      <x:c r="H6150" s="12" t="n">
        <x:v>1849000000</x:v>
      </x:c>
      <x:c r="I6150" s="12" t="n">
        <x:v>28446153.846153848</x:v>
      </x:c>
      <x:c r="J6150" s="2" t="str">
        <x:v>total</x:v>
      </x:c>
      <x:c r="K6150" s="2" t="str">
        <x:v>top_level_area</x:v>
      </x:c>
      <x:c r="L6150" s="2" t="str">
        <x:v>property_type_inferred_from_title;transaction_assumed_sale_from_dataset_context</x:v>
      </x:c>
      <x:c r="M6150" s="10" t="n">
        <x:v>0</x:v>
      </x:c>
      <x:c r="N6150" s="10" t="n">
        <x:v>0</x:v>
      </x:c>
      <x:c r="O6150" s="2" t="str">
        <x:v>Cần Thơ|land</x:v>
      </x:c>
      <x:c r="P6150" s="10" t="n">
        <x:v>2</x:v>
      </x:c>
      <x:c r="Q6150" s="13" t="n">
        <x:f>IF(H6150="","",H6150/1000000000)</x:f>
        <x:v>1.849</x:v>
      </x:c>
      <x:c r="R6150" s="13" t="n">
        <x:f>IF(I6150="","",I6150/1000000)</x:f>
        <x:v>28.446153846153848</x:v>
      </x:c>
    </x:row>
    <x:row r="6151" ht="21" customHeight="1">
      <x:c r="A6151" s="10" t="n">
        <x:v>7969</x:v>
      </x:c>
      <x:c r="B6151" s="2" t="str">
        <x:v>bed71685f8c133c23bd5</x:v>
      </x:c>
      <x:c r="C6151" s="2" t="str">
        <x:v>Khánh Hòa</x:v>
      </x:c>
      <x:c r="D6151" s="2" t="str">
        <x:v>Thị xã Ninh Hòa</x:v>
      </x:c>
      <x:c r="E6151" s="2" t="str">
        <x:v>land</x:v>
      </x:c>
      <x:c r="F6151" s="2" t="str">
        <x:v>sale_assumed</x:v>
      </x:c>
      <x:c r="G6151" s="11" t="n">
        <x:v>42000</x:v>
      </x:c>
      <x:c r="H6151" s="12" t="n">
        <x:v>1400000000</x:v>
      </x:c>
      <x:c r="I6151" s="12" t="n">
        <x:v>33333.333333333336</x:v>
      </x:c>
      <x:c r="J6151" s="2" t="str">
        <x:v>total</x:v>
      </x:c>
      <x:c r="K6151" s="2" t="str">
        <x:v>top_level_area</x:v>
      </x:c>
      <x:c r="L6151" s="2" t="str">
        <x:v>dot_thousands_convention;property_type_inferred_from_title;transaction_assumed_sale_from_dataset_context</x:v>
      </x:c>
      <x:c r="M6151" s="10" t="n">
        <x:v>0</x:v>
      </x:c>
      <x:c r="N6151" s="10" t="n">
        <x:v>0</x:v>
      </x:c>
      <x:c r="O6151" s="2" t="str">
        <x:v>land</x:v>
      </x:c>
      <x:c r="P6151" s="10" t="n">
        <x:v>1</x:v>
      </x:c>
      <x:c r="Q6151" s="13" t="n">
        <x:f>IF(H6151="","",H6151/1000000000)</x:f>
        <x:v>1.4</x:v>
      </x:c>
      <x:c r="R6151" s="13" t="n">
        <x:f>IF(I6151="","",I6151/1000000)</x:f>
        <x:v>0.03333333333333333</x:v>
      </x:c>
    </x:row>
    <x:row r="6152" ht="21" customHeight="1">
      <x:c r="A6152" s="10" t="n">
        <x:v>7970</x:v>
      </x:c>
      <x:c r="B6152" s="2" t="str">
        <x:v>40a531fce22ef3e961b9</x:v>
      </x:c>
      <x:c r="C6152" s="2" t="str">
        <x:v>Hà Nội</x:v>
      </x:c>
      <x:c r="D6152" s="2" t="str">
        <x:v>Quận Hoàng Mai</x:v>
      </x:c>
      <x:c r="E6152" s="2" t="str">
        <x:v>apartment</x:v>
      </x:c>
      <x:c r="F6152" s="2" t="str">
        <x:v>sale_assumed</x:v>
      </x:c>
      <x:c r="G6152" s="11" t="n">
        <x:v>67</x:v>
      </x:c>
      <x:c r="H6152" s="12" t="n">
        <x:v>1200000000</x:v>
      </x:c>
      <x:c r="I6152" s="12" t="n">
        <x:v>17910447.76119403</x:v>
      </x:c>
      <x:c r="J6152" s="2" t="str">
        <x:v>total</x:v>
      </x:c>
      <x:c r="K6152" s="2" t="str">
        <x:v>top_level_area</x:v>
      </x:c>
      <x:c r="L6152" s="2" t="str">
        <x:v>property_type_inferred_from_title;transaction_assumed_sale_from_dataset_context</x:v>
      </x:c>
      <x:c r="M6152" s="10" t="n">
        <x:v>0</x:v>
      </x:c>
      <x:c r="N6152" s="10" t="n">
        <x:v>0</x:v>
      </x:c>
      <x:c r="O6152" s="2" t="str">
        <x:v>Hà Nội|apartment</x:v>
      </x:c>
      <x:c r="P6152" s="10" t="n">
        <x:v>2</x:v>
      </x:c>
      <x:c r="Q6152" s="13" t="n">
        <x:f>IF(H6152="","",H6152/1000000000)</x:f>
        <x:v>1.2</x:v>
      </x:c>
      <x:c r="R6152" s="13" t="n">
        <x:f>IF(I6152="","",I6152/1000000)</x:f>
        <x:v>17.910447761194032</x:v>
      </x:c>
    </x:row>
    <x:row r="6153" ht="21" customHeight="1">
      <x:c r="A6153" s="10" t="n">
        <x:v>7971</x:v>
      </x:c>
      <x:c r="B6153" s="2" t="str">
        <x:v>590a9cd7a23d53ed918e</x:v>
      </x:c>
      <x:c r="C6153" s="2" t="str">
        <x:v>Bến Tre</x:v>
      </x:c>
      <x:c r="D6153" s="2" t="str">
        <x:v>Thành phố Bến Tre</x:v>
      </x:c>
      <x:c r="E6153" s="2" t="str">
        <x:v>land</x:v>
      </x:c>
      <x:c r="F6153" s="2" t="str">
        <x:v>sale_assumed</x:v>
      </x:c>
      <x:c r="G6153" s="11" t="n">
        <x:v>267</x:v>
      </x:c>
      <x:c r="H6153" s="12" t="n">
        <x:v>1400000000</x:v>
      </x:c>
      <x:c r="I6153" s="12" t="n">
        <x:v>5243445.692883895</x:v>
      </x:c>
      <x:c r="J6153" s="2" t="str">
        <x:v>total</x:v>
      </x:c>
      <x:c r="K6153" s="2" t="str">
        <x:v>top_level_area</x:v>
      </x:c>
      <x:c r="L6153" s="2" t="str">
        <x:v>property_type_inferred_from_title;transaction_assumed_sale_from_dataset_context</x:v>
      </x:c>
      <x:c r="M6153" s="10" t="n">
        <x:v>0</x:v>
      </x:c>
      <x:c r="N6153" s="10" t="n">
        <x:v>0</x:v>
      </x:c>
      <x:c r="O6153" s="2" t="str">
        <x:v>Bến Tre|land</x:v>
      </x:c>
      <x:c r="P6153" s="10" t="n">
        <x:v>1</x:v>
      </x:c>
      <x:c r="Q6153" s="13" t="n">
        <x:f>IF(H6153="","",H6153/1000000000)</x:f>
        <x:v>1.4</x:v>
      </x:c>
      <x:c r="R6153" s="13" t="n">
        <x:f>IF(I6153="","",I6153/1000000)</x:f>
        <x:v>5.243445692883895</x:v>
      </x:c>
    </x:row>
    <x:row r="6154" ht="21" customHeight="1">
      <x:c r="A6154" s="10" t="n">
        <x:v>7972</x:v>
      </x:c>
      <x:c r="B6154" s="2" t="str">
        <x:v>8a7e34eb11f136681496</x:v>
      </x:c>
      <x:c r="C6154" s="2" t="str">
        <x:v>Tp Hồ Chí Minh</x:v>
      </x:c>
      <x:c r="D6154" s="2" t="str">
        <x:v>Huyện Củ Chi</x:v>
      </x:c>
      <x:c r="E6154" s="2" t="str">
        <x:v>land</x:v>
      </x:c>
      <x:c r="F6154" s="2" t="str">
        <x:v>sale_assumed</x:v>
      </x:c>
      <x:c r="G6154" s="11" t="n">
        <x:v>80</x:v>
      </x:c>
      <x:c r="H6154" s="12" t="n">
        <x:v>700000000</x:v>
      </x:c>
      <x:c r="I6154" s="12" t="n">
        <x:v>8750000</x:v>
      </x:c>
      <x:c r="J6154" s="2" t="str">
        <x:v>total</x:v>
      </x:c>
      <x:c r="K6154" s="2" t="str">
        <x:v>top_level_area</x:v>
      </x:c>
      <x:c r="L6154" s="2" t="str">
        <x:v>property_type_inferred_from_title;transaction_assumed_sale_from_dataset_context</x:v>
      </x:c>
      <x:c r="M6154" s="10" t="n">
        <x:v>0</x:v>
      </x:c>
      <x:c r="N6154" s="10" t="n">
        <x:v>0</x:v>
      </x:c>
      <x:c r="O6154" s="2" t="str">
        <x:v>Tp Hồ Chí Minh|land</x:v>
      </x:c>
      <x:c r="P6154" s="10" t="n">
        <x:v>2</x:v>
      </x:c>
      <x:c r="Q6154" s="13" t="n">
        <x:f>IF(H6154="","",H6154/1000000000)</x:f>
        <x:v>0.7</x:v>
      </x:c>
      <x:c r="R6154" s="13" t="n">
        <x:f>IF(I6154="","",I6154/1000000)</x:f>
        <x:v>8.75</x:v>
      </x:c>
    </x:row>
    <x:row r="6155" ht="21" customHeight="1">
      <x:c r="A6155" s="10" t="n">
        <x:v>7973</x:v>
      </x:c>
      <x:c r="B6155" s="2" t="str">
        <x:v>c2b75dbf3b518b0507f0</x:v>
      </x:c>
      <x:c r="C6155" s="2" t="str">
        <x:v>Tp Hồ Chí Minh</x:v>
      </x:c>
      <x:c r="D6155" s="2" t="str">
        <x:v>Huyện Bình Chánh</x:v>
      </x:c>
      <x:c r="E6155" s="2" t="str">
        <x:v>house</x:v>
      </x:c>
      <x:c r="F6155" s="2" t="str">
        <x:v>sale_assumed</x:v>
      </x:c>
      <x:c r="G6155" s="11" t="n">
        <x:v>40</x:v>
      </x:c>
      <x:c r="H6155" s="12" t="n">
        <x:v>550000000</x:v>
      </x:c>
      <x:c r="I6155" s="12" t="n">
        <x:v>13750000</x:v>
      </x:c>
      <x:c r="J6155" s="2" t="str">
        <x:v>total</x:v>
      </x:c>
      <x:c r="K6155" s="2" t="str">
        <x:v>top_level_price_embedded_area</x:v>
      </x:c>
      <x:c r="L6155" s="2" t="str">
        <x:v>area_recovered_from_price_text;property_type_inferred_from_title;transaction_assumed_sale_from_dataset_context</x:v>
      </x:c>
      <x:c r="M6155" s="10" t="n">
        <x:v>0</x:v>
      </x:c>
      <x:c r="N6155" s="10" t="n">
        <x:v>0</x:v>
      </x:c>
      <x:c r="O6155" s="2" t="str">
        <x:v>Tp Hồ Chí Minh|house</x:v>
      </x:c>
      <x:c r="P6155" s="10" t="n">
        <x:v>2</x:v>
      </x:c>
      <x:c r="Q6155" s="13" t="n">
        <x:f>IF(H6155="","",H6155/1000000000)</x:f>
        <x:v>0.55</x:v>
      </x:c>
      <x:c r="R6155" s="13" t="n">
        <x:f>IF(I6155="","",I6155/1000000)</x:f>
        <x:v>13.75</x:v>
      </x:c>
    </x:row>
    <x:row r="6156" ht="21" customHeight="1">
      <x:c r="A6156" s="10" t="n">
        <x:v>7974</x:v>
      </x:c>
      <x:c r="B6156" s="2" t="str">
        <x:v>2a1ad4383c89dea34a1e</x:v>
      </x:c>
      <x:c r="C6156" s="2" t="str">
        <x:v>Long An</x:v>
      </x:c>
      <x:c r="D6156" s="2" t="str">
        <x:v>Huyện Cần Đước</x:v>
      </x:c>
      <x:c r="E6156" s="2" t="str">
        <x:v>land</x:v>
      </x:c>
      <x:c r="F6156" s="2" t="str">
        <x:v>sale_assumed</x:v>
      </x:c>
      <x:c r="G6156" s="11" t="n">
        <x:v>120</x:v>
      </x:c>
      <x:c r="H6156" s="12" t="n">
        <x:v>990000000</x:v>
      </x:c>
      <x:c r="I6156" s="12" t="n">
        <x:v>8250000</x:v>
      </x:c>
      <x:c r="J6156" s="2" t="str">
        <x:v>total</x:v>
      </x:c>
      <x:c r="K6156" s="2" t="str">
        <x:v>top_level_area</x:v>
      </x:c>
      <x:c r="L6156" s="2" t="str">
        <x:v>property_type_inferred_from_title;transaction_assumed_sale_from_dataset_context</x:v>
      </x:c>
      <x:c r="M6156" s="10" t="n">
        <x:v>0</x:v>
      </x:c>
      <x:c r="N6156" s="10" t="n">
        <x:v>0</x:v>
      </x:c>
      <x:c r="O6156" s="2" t="str">
        <x:v>Long An|land</x:v>
      </x:c>
      <x:c r="P6156" s="10" t="n">
        <x:v>2</x:v>
      </x:c>
      <x:c r="Q6156" s="13" t="n">
        <x:f>IF(H6156="","",H6156/1000000000)</x:f>
        <x:v>0.99</x:v>
      </x:c>
      <x:c r="R6156" s="13" t="n">
        <x:f>IF(I6156="","",I6156/1000000)</x:f>
        <x:v>8.25</x:v>
      </x:c>
    </x:row>
    <x:row r="6157" ht="21" customHeight="1">
      <x:c r="A6157" s="10" t="n">
        <x:v>7975</x:v>
      </x:c>
      <x:c r="B6157" s="2" t="str">
        <x:v>0d3799ca473a6476b95d</x:v>
      </x:c>
      <x:c r="C6157" s="2" t="str">
        <x:v>Hà Nội</x:v>
      </x:c>
      <x:c r="D6157" s="2" t="str">
        <x:v>Quận Đống Đa</x:v>
      </x:c>
      <x:c r="E6157" s="2" t="str">
        <x:v>house</x:v>
      </x:c>
      <x:c r="F6157" s="2" t="str">
        <x:v>sale_assumed</x:v>
      </x:c>
      <x:c r="G6157" s="11" t="n">
        <x:v>120</x:v>
      </x:c>
      <x:c r="H6157" s="12" t="n">
        <x:v>20000000000</x:v>
      </x:c>
      <x:c r="I6157" s="12" t="n">
        <x:v>166666666.66666666</x:v>
      </x:c>
      <x:c r="J6157" s="2" t="str">
        <x:v>total</x:v>
      </x:c>
      <x:c r="K6157" s="2" t="str">
        <x:v>top_level_area</x:v>
      </x:c>
      <x:c r="L6157" s="2" t="str">
        <x:v>property_type_inferred_from_title;transaction_assumed_sale_from_dataset_context</x:v>
      </x:c>
      <x:c r="M6157" s="10" t="n">
        <x:v>1</x:v>
      </x:c>
      <x:c r="N6157" s="10" t="n">
        <x:v>0</x:v>
      </x:c>
      <x:c r="O6157" s="2" t="str">
        <x:v>Hà Nội|house</x:v>
      </x:c>
      <x:c r="P6157" s="10" t="n">
        <x:v>2</x:v>
      </x:c>
      <x:c r="Q6157" s="13" t="n">
        <x:f>IF(H6157="","",H6157/1000000000)</x:f>
        <x:v>20</x:v>
      </x:c>
      <x:c r="R6157" s="13" t="n">
        <x:f>IF(I6157="","",I6157/1000000)</x:f>
        <x:v>166.66666666666666</x:v>
      </x:c>
    </x:row>
    <x:row r="6158" ht="21" customHeight="1">
      <x:c r="A6158" s="10" t="n">
        <x:v>7976</x:v>
      </x:c>
      <x:c r="B6158" s="2" t="str">
        <x:v>c01fb20843f9b41d11aa</x:v>
      </x:c>
      <x:c r="C6158" s="2" t="str">
        <x:v>Đà Nẵng</x:v>
      </x:c>
      <x:c r="D6158" s="2" t="str">
        <x:v>Quận Cẩm Lệ</x:v>
      </x:c>
      <x:c r="E6158" s="2" t="str">
        <x:v>house</x:v>
      </x:c>
      <x:c r="F6158" s="2" t="str">
        <x:v>sale</x:v>
      </x:c>
      <x:c r="G6158" s="11" t="n">
        <x:v>100</x:v>
      </x:c>
      <x:c r="H6158" s="12" t="n">
        <x:v>3200000000</x:v>
      </x:c>
      <x:c r="I6158" s="12" t="n">
        <x:v>32000000</x:v>
      </x:c>
      <x:c r="J6158" s="2" t="str">
        <x:v>total</x:v>
      </x:c>
      <x:c r="K6158" s="2" t="str">
        <x:v>top_level_area</x:v>
      </x:c>
      <x:c r="L6158" s="2" t="str">
        <x:v>property_type_inferred_from_title</x:v>
      </x:c>
      <x:c r="M6158" s="10" t="n">
        <x:v>0</x:v>
      </x:c>
      <x:c r="N6158" s="10" t="n">
        <x:v>0</x:v>
      </x:c>
      <x:c r="O6158" s="2" t="str">
        <x:v>Đà Nẵng|house</x:v>
      </x:c>
      <x:c r="P6158" s="10" t="n">
        <x:v>2</x:v>
      </x:c>
      <x:c r="Q6158" s="13" t="n">
        <x:f>IF(H6158="","",H6158/1000000000)</x:f>
        <x:v>3.2</x:v>
      </x:c>
      <x:c r="R6158" s="13" t="n">
        <x:f>IF(I6158="","",I6158/1000000)</x:f>
        <x:v>32</x:v>
      </x:c>
    </x:row>
    <x:row r="6159" ht="21" customHeight="1">
      <x:c r="A6159" s="10" t="n">
        <x:v>7977</x:v>
      </x:c>
      <x:c r="B6159" s="2" t="str">
        <x:v>3c4e49c965ec956c0477</x:v>
      </x:c>
      <x:c r="C6159" s="2" t="str">
        <x:v>Đà Nẵng</x:v>
      </x:c>
      <x:c r="D6159" s="2" t="str">
        <x:v>Quận Thanh Khê</x:v>
      </x:c>
      <x:c r="E6159" s="2" t="str">
        <x:v>house</x:v>
      </x:c>
      <x:c r="F6159" s="2" t="str">
        <x:v>sale</x:v>
      </x:c>
      <x:c r="G6159" s="11" t="n">
        <x:v>94</x:v>
      </x:c>
      <x:c r="H6159" s="12" t="n">
        <x:v>3800000000</x:v>
      </x:c>
      <x:c r="I6159" s="12" t="n">
        <x:v>40425531.91489362</x:v>
      </x:c>
      <x:c r="J6159" s="2" t="str">
        <x:v>total</x:v>
      </x:c>
      <x:c r="K6159" s="2" t="str">
        <x:v>top_level_area</x:v>
      </x:c>
      <x:c r="L6159" s="2" t="str">
        <x:v>property_type_inferred_from_title</x:v>
      </x:c>
      <x:c r="M6159" s="10" t="n">
        <x:v>0</x:v>
      </x:c>
      <x:c r="N6159" s="10" t="n">
        <x:v>0</x:v>
      </x:c>
      <x:c r="O6159" s="2" t="str">
        <x:v>Đà Nẵng|house</x:v>
      </x:c>
      <x:c r="P6159" s="10" t="n">
        <x:v>2</x:v>
      </x:c>
      <x:c r="Q6159" s="13" t="n">
        <x:f>IF(H6159="","",H6159/1000000000)</x:f>
        <x:v>3.8</x:v>
      </x:c>
      <x:c r="R6159" s="13" t="n">
        <x:f>IF(I6159="","",I6159/1000000)</x:f>
        <x:v>40.42553191489362</x:v>
      </x:c>
    </x:row>
    <x:row r="6160" ht="21" customHeight="1">
      <x:c r="A6160" s="10" t="n">
        <x:v>7978</x:v>
      </x:c>
      <x:c r="B6160" s="2" t="str">
        <x:v>d24f88061378de3bee7e</x:v>
      </x:c>
      <x:c r="C6160" s="2" t="str">
        <x:v>Hà Nội</x:v>
      </x:c>
      <x:c r="D6160" s="2" t="str">
        <x:v>Quận Cầu Giấy</x:v>
      </x:c>
      <x:c r="E6160" s="2" t="str">
        <x:v>house</x:v>
      </x:c>
      <x:c r="F6160" s="2" t="str">
        <x:v>sale</x:v>
      </x:c>
      <x:c r="G6160" s="11" t="n">
        <x:v>30</x:v>
      </x:c>
      <x:c r="H6160" s="12" t="n">
        <x:v>2550000000</x:v>
      </x:c>
      <x:c r="I6160" s="12" t="n">
        <x:v>85000000</x:v>
      </x:c>
      <x:c r="J6160" s="2" t="str">
        <x:v>total</x:v>
      </x:c>
      <x:c r="K6160" s="2" t="str">
        <x:v>top_level_area</x:v>
      </x:c>
      <x:c r="L6160" s="2" t="str">
        <x:v>property_type_inferred_from_title</x:v>
      </x:c>
      <x:c r="M6160" s="10" t="n">
        <x:v>0</x:v>
      </x:c>
      <x:c r="N6160" s="10" t="n">
        <x:v>0</x:v>
      </x:c>
      <x:c r="O6160" s="2" t="str">
        <x:v>Hà Nội|house</x:v>
      </x:c>
      <x:c r="P6160" s="10" t="n">
        <x:v>2</x:v>
      </x:c>
      <x:c r="Q6160" s="13" t="n">
        <x:f>IF(H6160="","",H6160/1000000000)</x:f>
        <x:v>2.55</x:v>
      </x:c>
      <x:c r="R6160" s="13" t="n">
        <x:f>IF(I6160="","",I6160/1000000)</x:f>
        <x:v>85</x:v>
      </x:c>
    </x:row>
    <x:row r="6161" ht="21" customHeight="1">
      <x:c r="A6161" s="10" t="n">
        <x:v>7979</x:v>
      </x:c>
      <x:c r="B6161" s="2" t="str">
        <x:v>a7207062a69ac43bce66</x:v>
      </x:c>
      <x:c r="C6161" s="2" t="str">
        <x:v>Hà Nội</x:v>
      </x:c>
      <x:c r="D6161" s="2" t="str">
        <x:v>Quận Hà Đông</x:v>
      </x:c>
      <x:c r="E6161" s="2" t="str">
        <x:v>house</x:v>
      </x:c>
      <x:c r="F6161" s="2" t="str">
        <x:v>sale</x:v>
      </x:c>
      <x:c r="G6161" s="11" t="n">
        <x:v>30</x:v>
      </x:c>
      <x:c r="H6161" s="12" t="n">
        <x:v>3100000000</x:v>
      </x:c>
      <x:c r="I6161" s="12" t="n">
        <x:v>103333333.33333333</x:v>
      </x:c>
      <x:c r="J6161" s="2" t="str">
        <x:v>total</x:v>
      </x:c>
      <x:c r="K6161" s="2" t="str">
        <x:v>top_level_area</x:v>
      </x:c>
      <x:c r="L6161" s="2" t="str">
        <x:v>property_type_inferred_from_title</x:v>
      </x:c>
      <x:c r="M6161" s="10" t="n">
        <x:v>0</x:v>
      </x:c>
      <x:c r="N6161" s="10" t="n">
        <x:v>0</x:v>
      </x:c>
      <x:c r="O6161" s="2" t="str">
        <x:v>Hà Nội|house</x:v>
      </x:c>
      <x:c r="P6161" s="10" t="n">
        <x:v>2</x:v>
      </x:c>
      <x:c r="Q6161" s="13" t="n">
        <x:f>IF(H6161="","",H6161/1000000000)</x:f>
        <x:v>3.1</x:v>
      </x:c>
      <x:c r="R6161" s="13" t="n">
        <x:f>IF(I6161="","",I6161/1000000)</x:f>
        <x:v>103.33333333333333</x:v>
      </x:c>
    </x:row>
    <x:row r="6162" ht="21" customHeight="1">
      <x:c r="A6162" s="10" t="n">
        <x:v>7980</x:v>
      </x:c>
      <x:c r="B6162" s="2" t="str">
        <x:v>0e511edd921e6557159d</x:v>
      </x:c>
      <x:c r="C6162" s="2" t="str">
        <x:v>Tp Hồ Chí Minh</x:v>
      </x:c>
      <x:c r="D6162" s="2" t="str">
        <x:v>Quận Bình Thạnh</x:v>
      </x:c>
      <x:c r="E6162" s="2" t="str">
        <x:v>house</x:v>
      </x:c>
      <x:c r="F6162" s="2" t="str">
        <x:v>sale_assumed</x:v>
      </x:c>
      <x:c r="G6162" s="11" t="n">
        <x:v>80</x:v>
      </x:c>
      <x:c r="H6162" s="12" t="n">
        <x:v>8300000000.000001</x:v>
      </x:c>
      <x:c r="I6162" s="12" t="n">
        <x:v>103750000.00000001</x:v>
      </x:c>
      <x:c r="J6162" s="2" t="str">
        <x:v>total</x:v>
      </x:c>
      <x:c r="K6162" s="2" t="str">
        <x:v>top_level_area</x:v>
      </x:c>
      <x:c r="L6162" s="2" t="str">
        <x:v>property_type_inferred_from_title;transaction_assumed_sale_from_dataset_context</x:v>
      </x:c>
      <x:c r="M6162" s="10" t="n">
        <x:v>0</x:v>
      </x:c>
      <x:c r="N6162" s="10" t="n">
        <x:v>0</x:v>
      </x:c>
      <x:c r="O6162" s="2" t="str">
        <x:v>Tp Hồ Chí Minh|house</x:v>
      </x:c>
      <x:c r="P6162" s="10" t="n">
        <x:v>2</x:v>
      </x:c>
      <x:c r="Q6162" s="13" t="n">
        <x:f>IF(H6162="","",H6162/1000000000)</x:f>
        <x:v>8.3</x:v>
      </x:c>
      <x:c r="R6162" s="13" t="n">
        <x:f>IF(I6162="","",I6162/1000000)</x:f>
        <x:v>103.75000000000001</x:v>
      </x:c>
    </x:row>
    <x:row r="6163" ht="21" customHeight="1">
      <x:c r="A6163" s="10" t="n">
        <x:v>7981</x:v>
      </x:c>
      <x:c r="B6163" s="2" t="str">
        <x:v>c19eac23c790c32d9f0e</x:v>
      </x:c>
      <x:c r="C6163" s="2" t="str">
        <x:v>Đà Nẵng</x:v>
      </x:c>
      <x:c r="D6163" s="2" t="str">
        <x:v>Quận Cẩm Lệ</x:v>
      </x:c>
      <x:c r="E6163" s="2" t="str">
        <x:v>other_unknown</x:v>
      </x:c>
      <x:c r="F6163" s="2" t="str">
        <x:v>sale_assumed</x:v>
      </x:c>
      <x:c r="G6163" s="11" t="n">
        <x:v>100</x:v>
      </x:c>
      <x:c r="H6163" s="12" t="n">
        <x:v>1900000000</x:v>
      </x:c>
      <x:c r="I6163" s="12" t="n">
        <x:v>19000000</x:v>
      </x:c>
      <x:c r="J6163" s="2" t="str">
        <x:v>total</x:v>
      </x:c>
      <x:c r="K6163" s="2" t="str">
        <x:v>top_level_area</x:v>
      </x:c>
      <x:c r="L6163" s="2" t="str">
        <x:v>property_type_inferred_from_title;transaction_assumed_sale_from_dataset_context;unknown_property_type</x:v>
      </x:c>
      <x:c r="M6163" s="10" t="n">
        <x:v>0</x:v>
      </x:c>
      <x:c r="N6163" s="10" t="n">
        <x:v>0</x:v>
      </x:c>
      <x:c r="O6163" s="2" t="str">
        <x:v>Đà Nẵng|other_unknown</x:v>
      </x:c>
      <x:c r="P6163" s="10" t="n">
        <x:v>2</x:v>
      </x:c>
      <x:c r="Q6163" s="13" t="n">
        <x:f>IF(H6163="","",H6163/1000000000)</x:f>
        <x:v>1.9</x:v>
      </x:c>
      <x:c r="R6163" s="13" t="n">
        <x:f>IF(I6163="","",I6163/1000000)</x:f>
        <x:v>19</x:v>
      </x:c>
    </x:row>
    <x:row r="6164" ht="21" customHeight="1">
      <x:c r="A6164" s="10" t="n">
        <x:v>7982</x:v>
      </x:c>
      <x:c r="B6164" s="2" t="str">
        <x:v>da40701964bd20530ee2</x:v>
      </x:c>
      <x:c r="C6164" s="2" t="str">
        <x:v>Cần Thơ</x:v>
      </x:c>
      <x:c r="D6164" s="2" t="str">
        <x:v>Quận Cái Răng</x:v>
      </x:c>
      <x:c r="E6164" s="2" t="str">
        <x:v>house</x:v>
      </x:c>
      <x:c r="F6164" s="2" t="str">
        <x:v>sale</x:v>
      </x:c>
      <x:c r="G6164" s="11" t="n">
        <x:v>60</x:v>
      </x:c>
      <x:c r="H6164" s="12" t="n">
        <x:v>3450000000</x:v>
      </x:c>
      <x:c r="I6164" s="12" t="n">
        <x:v>57500000</x:v>
      </x:c>
      <x:c r="J6164" s="2" t="str">
        <x:v>total</x:v>
      </x:c>
      <x:c r="K6164" s="2" t="str">
        <x:v>top_level_area</x:v>
      </x:c>
      <x:c r="L6164" s="2" t="str">
        <x:v>property_type_inferred_from_title</x:v>
      </x:c>
      <x:c r="M6164" s="10" t="n">
        <x:v>0</x:v>
      </x:c>
      <x:c r="N6164" s="10" t="n">
        <x:v>0</x:v>
      </x:c>
      <x:c r="O6164" s="2" t="str">
        <x:v>Cần Thơ|house</x:v>
      </x:c>
      <x:c r="P6164" s="10" t="n">
        <x:v>2</x:v>
      </x:c>
      <x:c r="Q6164" s="13" t="n">
        <x:f>IF(H6164="","",H6164/1000000000)</x:f>
        <x:v>3.45</x:v>
      </x:c>
      <x:c r="R6164" s="13" t="n">
        <x:f>IF(I6164="","",I6164/1000000)</x:f>
        <x:v>57.5</x:v>
      </x:c>
    </x:row>
    <x:row r="6165" ht="21" customHeight="1">
      <x:c r="A6165" s="10" t="n">
        <x:v>7983</x:v>
      </x:c>
      <x:c r="B6165" s="2" t="str">
        <x:v>f4694340025685aff90d</x:v>
      </x:c>
      <x:c r="C6165" s="2" t="str">
        <x:v>Long An</x:v>
      </x:c>
      <x:c r="D6165" s="2" t="str">
        <x:v>Huyện Cần Đước</x:v>
      </x:c>
      <x:c r="E6165" s="2" t="str">
        <x:v>house</x:v>
      </x:c>
      <x:c r="F6165" s="2" t="str">
        <x:v>sale_assumed</x:v>
      </x:c>
      <x:c r="G6165" s="11" t="n">
        <x:v>100</x:v>
      </x:c>
      <x:c r="H6165" s="12" t="n">
        <x:v>1800000000</x:v>
      </x:c>
      <x:c r="I6165" s="12" t="n">
        <x:v>18000000</x:v>
      </x:c>
      <x:c r="J6165" s="2" t="str">
        <x:v>total</x:v>
      </x:c>
      <x:c r="K6165" s="2" t="str">
        <x:v>top_level_area</x:v>
      </x:c>
      <x:c r="L6165" s="2" t="str">
        <x:v>property_type_inferred_from_title;transaction_assumed_sale_from_dataset_context</x:v>
      </x:c>
      <x:c r="M6165" s="10" t="n">
        <x:v>0</x:v>
      </x:c>
      <x:c r="N6165" s="10" t="n">
        <x:v>0</x:v>
      </x:c>
      <x:c r="O6165" s="2" t="str">
        <x:v>Long An|house</x:v>
      </x:c>
      <x:c r="P6165" s="10" t="n">
        <x:v>2</x:v>
      </x:c>
      <x:c r="Q6165" s="13" t="n">
        <x:f>IF(H6165="","",H6165/1000000000)</x:f>
        <x:v>1.8</x:v>
      </x:c>
      <x:c r="R6165" s="13" t="n">
        <x:f>IF(I6165="","",I6165/1000000)</x:f>
        <x:v>18</x:v>
      </x:c>
    </x:row>
    <x:row r="6166" ht="21" customHeight="1">
      <x:c r="A6166" s="10" t="n">
        <x:v>7984</x:v>
      </x:c>
      <x:c r="B6166" s="2" t="str">
        <x:v>70455da34016b923218b</x:v>
      </x:c>
      <x:c r="C6166" s="2" t="str">
        <x:v>Tp Hồ Chí Minh</x:v>
      </x:c>
      <x:c r="D6166" s="2" t="str">
        <x:v>Quận Phú Nhuận</x:v>
      </x:c>
      <x:c r="E6166" s="2" t="str">
        <x:v>house</x:v>
      </x:c>
      <x:c r="F6166" s="2" t="str">
        <x:v>sale_assumed</x:v>
      </x:c>
      <x:c r="G6166" s="11" t="n">
        <x:v>102</x:v>
      </x:c>
      <x:c r="H6166" s="12" t="n">
        <x:v>8000000000</x:v>
      </x:c>
      <x:c r="I6166" s="12" t="n">
        <x:v>78431372.5490196</x:v>
      </x:c>
      <x:c r="J6166" s="2" t="str">
        <x:v>total</x:v>
      </x:c>
      <x:c r="K6166" s="2" t="str">
        <x:v>top_level_area</x:v>
      </x:c>
      <x:c r="L6166" s="2" t="str">
        <x:v>property_type_inferred_from_title;transaction_assumed_sale_from_dataset_context</x:v>
      </x:c>
      <x:c r="M6166" s="10" t="n">
        <x:v>0</x:v>
      </x:c>
      <x:c r="N6166" s="10" t="n">
        <x:v>0</x:v>
      </x:c>
      <x:c r="O6166" s="2" t="str">
        <x:v>Tp Hồ Chí Minh|house</x:v>
      </x:c>
      <x:c r="P6166" s="10" t="n">
        <x:v>2</x:v>
      </x:c>
      <x:c r="Q6166" s="13" t="n">
        <x:f>IF(H6166="","",H6166/1000000000)</x:f>
        <x:v>8</x:v>
      </x:c>
      <x:c r="R6166" s="13" t="n">
        <x:f>IF(I6166="","",I6166/1000000)</x:f>
        <x:v>78.4313725490196</x:v>
      </x:c>
    </x:row>
    <x:row r="6167" ht="21" customHeight="1">
      <x:c r="A6167" s="10" t="n">
        <x:v>7985</x:v>
      </x:c>
      <x:c r="B6167" s="2" t="str">
        <x:v>abf84563940d19bcf616</x:v>
      </x:c>
      <x:c r="C6167" s="2" t="str">
        <x:v>Long An</x:v>
      </x:c>
      <x:c r="D6167" s="2" t="str">
        <x:v>Huyện Bến Lức</x:v>
      </x:c>
      <x:c r="E6167" s="2" t="str">
        <x:v>house</x:v>
      </x:c>
      <x:c r="F6167" s="2" t="str">
        <x:v>sale</x:v>
      </x:c>
      <x:c r="G6167" s="11" t="n">
        <x:v>60</x:v>
      </x:c>
      <x:c r="H6167" s="12" t="n">
        <x:v>1500000000</x:v>
      </x:c>
      <x:c r="I6167" s="12" t="n">
        <x:v>25000000</x:v>
      </x:c>
      <x:c r="J6167" s="2" t="str">
        <x:v>total</x:v>
      </x:c>
      <x:c r="K6167" s="2" t="str">
        <x:v>top_level_area</x:v>
      </x:c>
      <x:c r="L6167" s="2" t="str">
        <x:v>property_type_inferred_from_title</x:v>
      </x:c>
      <x:c r="M6167" s="10" t="n">
        <x:v>0</x:v>
      </x:c>
      <x:c r="N6167" s="10" t="n">
        <x:v>0</x:v>
      </x:c>
      <x:c r="O6167" s="2" t="str">
        <x:v>Long An|house</x:v>
      </x:c>
      <x:c r="P6167" s="10" t="n">
        <x:v>2</x:v>
      </x:c>
      <x:c r="Q6167" s="13" t="n">
        <x:f>IF(H6167="","",H6167/1000000000)</x:f>
        <x:v>1.5</x:v>
      </x:c>
      <x:c r="R6167" s="13" t="n">
        <x:f>IF(I6167="","",I6167/1000000)</x:f>
        <x:v>25</x:v>
      </x:c>
    </x:row>
    <x:row r="6168" ht="21" customHeight="1">
      <x:c r="A6168" s="10" t="n">
        <x:v>7989</x:v>
      </x:c>
      <x:c r="B6168" s="2" t="str">
        <x:v>d42e2c0510809fa03150</x:v>
      </x:c>
      <x:c r="C6168" s="2" t="str">
        <x:v>Đắk Lắk</x:v>
      </x:c>
      <x:c r="D6168" s="2" t="str">
        <x:v>Thành phố Buôn Ma Thuột</x:v>
      </x:c>
      <x:c r="E6168" s="2" t="str">
        <x:v>house</x:v>
      </x:c>
      <x:c r="F6168" s="2" t="str">
        <x:v>sale</x:v>
      </x:c>
      <x:c r="G6168" s="11" t="n">
        <x:v>160</x:v>
      </x:c>
      <x:c r="H6168" s="12" t="n">
        <x:v>2100000000</x:v>
      </x:c>
      <x:c r="I6168" s="12" t="n">
        <x:v>13125000</x:v>
      </x:c>
      <x:c r="J6168" s="2" t="str">
        <x:v>total</x:v>
      </x:c>
      <x:c r="K6168" s="2" t="str">
        <x:v>top_level_area</x:v>
      </x:c>
      <x:c r="L6168" s="2" t="str">
        <x:v>property_type_inferred_from_title</x:v>
      </x:c>
      <x:c r="M6168" s="10" t="n">
        <x:v>0</x:v>
      </x:c>
      <x:c r="N6168" s="10" t="n">
        <x:v>0</x:v>
      </x:c>
      <x:c r="O6168" s="2" t="str">
        <x:v>Đắk Lắk|house</x:v>
      </x:c>
      <x:c r="P6168" s="10" t="n">
        <x:v>2</x:v>
      </x:c>
      <x:c r="Q6168" s="13" t="n">
        <x:f>IF(H6168="","",H6168/1000000000)</x:f>
        <x:v>2.1</x:v>
      </x:c>
      <x:c r="R6168" s="13" t="n">
        <x:f>IF(I6168="","",I6168/1000000)</x:f>
        <x:v>13.125</x:v>
      </x:c>
    </x:row>
    <x:row r="6169" ht="21" customHeight="1">
      <x:c r="A6169" s="10" t="n">
        <x:v>7990</x:v>
      </x:c>
      <x:c r="B6169" s="2" t="str">
        <x:v>85abaeaab418a3ff4c9d</x:v>
      </x:c>
      <x:c r="C6169" s="2" t="str">
        <x:v>Tp Hồ Chí Minh</x:v>
      </x:c>
      <x:c r="D6169" s="2" t="str">
        <x:v>Huyện Hóc Môn</x:v>
      </x:c>
      <x:c r="E6169" s="2" t="str">
        <x:v>house</x:v>
      </x:c>
      <x:c r="F6169" s="2" t="str">
        <x:v>sale_assumed</x:v>
      </x:c>
      <x:c r="G6169" s="11" t="n">
        <x:v>56</x:v>
      </x:c>
      <x:c r="H6169" s="12" t="n">
        <x:v>1750000000</x:v>
      </x:c>
      <x:c r="I6169" s="12" t="n">
        <x:v>31250000</x:v>
      </x:c>
      <x:c r="J6169" s="2" t="str">
        <x:v>total</x:v>
      </x:c>
      <x:c r="K6169" s="2" t="str">
        <x:v>top_level_area</x:v>
      </x:c>
      <x:c r="L6169" s="2" t="str">
        <x:v>property_type_inferred_from_title;transaction_assumed_sale_from_dataset_context</x:v>
      </x:c>
      <x:c r="M6169" s="10" t="n">
        <x:v>0</x:v>
      </x:c>
      <x:c r="N6169" s="10" t="n">
        <x:v>0</x:v>
      </x:c>
      <x:c r="O6169" s="2" t="str">
        <x:v>Tp Hồ Chí Minh|house</x:v>
      </x:c>
      <x:c r="P6169" s="10" t="n">
        <x:v>2</x:v>
      </x:c>
      <x:c r="Q6169" s="13" t="n">
        <x:f>IF(H6169="","",H6169/1000000000)</x:f>
        <x:v>1.75</x:v>
      </x:c>
      <x:c r="R6169" s="13" t="n">
        <x:f>IF(I6169="","",I6169/1000000)</x:f>
        <x:v>31.25</x:v>
      </x:c>
    </x:row>
    <x:row r="6170" ht="21" customHeight="1">
      <x:c r="A6170" s="10" t="n">
        <x:v>7991</x:v>
      </x:c>
      <x:c r="B6170" s="2" t="str">
        <x:v>c3d728d2cdf851db07d3</x:v>
      </x:c>
      <x:c r="C6170" s="2" t="str">
        <x:v>Tp Hồ Chí Minh</x:v>
      </x:c>
      <x:c r="D6170" s="2" t="str">
        <x:v>Quận 2</x:v>
      </x:c>
      <x:c r="E6170" s="2" t="str">
        <x:v>apartment</x:v>
      </x:c>
      <x:c r="F6170" s="2" t="str">
        <x:v>sale_assumed</x:v>
      </x:c>
      <x:c r="G6170" s="11" t="n">
        <x:v>82</x:v>
      </x:c>
      <x:c r="H6170" s="12" t="n">
        <x:v>3300000000</x:v>
      </x:c>
      <x:c r="I6170" s="12" t="n">
        <x:v>40243902.43902439</x:v>
      </x:c>
      <x:c r="J6170" s="2" t="str">
        <x:v>total</x:v>
      </x:c>
      <x:c r="K6170" s="2" t="str">
        <x:v>top_level_area</x:v>
      </x:c>
      <x:c r="L6170" s="2" t="str">
        <x:v>property_type_inferred_from_title;transaction_assumed_sale_from_dataset_context</x:v>
      </x:c>
      <x:c r="M6170" s="10" t="n">
        <x:v>0</x:v>
      </x:c>
      <x:c r="N6170" s="10" t="n">
        <x:v>0</x:v>
      </x:c>
      <x:c r="O6170" s="2" t="str">
        <x:v>Tp Hồ Chí Minh|apartment</x:v>
      </x:c>
      <x:c r="P6170" s="10" t="n">
        <x:v>2</x:v>
      </x:c>
      <x:c r="Q6170" s="13" t="n">
        <x:f>IF(H6170="","",H6170/1000000000)</x:f>
        <x:v>3.3</x:v>
      </x:c>
      <x:c r="R6170" s="13" t="n">
        <x:f>IF(I6170="","",I6170/1000000)</x:f>
        <x:v>40.24390243902439</x:v>
      </x:c>
    </x:row>
    <x:row r="6171" ht="21" customHeight="1">
      <x:c r="A6171" s="10" t="n">
        <x:v>7992</x:v>
      </x:c>
      <x:c r="B6171" s="2" t="str">
        <x:v>89cd801a243968f0e13b</x:v>
      </x:c>
      <x:c r="C6171" s="2" t="str">
        <x:v>Hưng Yên</x:v>
      </x:c>
      <x:c r="D6171" s="2" t="str">
        <x:v>Thị xã Mỹ Hào</x:v>
      </x:c>
      <x:c r="E6171" s="2" t="str">
        <x:v>house</x:v>
      </x:c>
      <x:c r="F6171" s="2" t="str">
        <x:v>sale</x:v>
      </x:c>
      <x:c r="G6171" s="11" t="n">
        <x:v>201</x:v>
      </x:c>
      <x:c r="H6171" s="12" t="n">
        <x:v>4250000000</x:v>
      </x:c>
      <x:c r="I6171" s="12" t="n">
        <x:v>21144278.606965173</x:v>
      </x:c>
      <x:c r="J6171" s="2" t="str">
        <x:v>total</x:v>
      </x:c>
      <x:c r="K6171" s="2" t="str">
        <x:v>top_level_area</x:v>
      </x:c>
      <x:c r="L6171" s="2" t="str">
        <x:v>property_type_inferred_from_title</x:v>
      </x:c>
      <x:c r="M6171" s="10" t="n">
        <x:v>0</x:v>
      </x:c>
      <x:c r="N6171" s="10" t="n">
        <x:v>0</x:v>
      </x:c>
      <x:c r="O6171" s="2" t="str">
        <x:v>house</x:v>
      </x:c>
      <x:c r="P6171" s="10" t="n">
        <x:v>2</x:v>
      </x:c>
      <x:c r="Q6171" s="13" t="n">
        <x:f>IF(H6171="","",H6171/1000000000)</x:f>
        <x:v>4.25</x:v>
      </x:c>
      <x:c r="R6171" s="13" t="n">
        <x:f>IF(I6171="","",I6171/1000000)</x:f>
        <x:v>21.144278606965173</x:v>
      </x:c>
    </x:row>
    <x:row r="6172" ht="21" customHeight="1">
      <x:c r="A6172" s="10" t="n">
        <x:v>7993</x:v>
      </x:c>
      <x:c r="B6172" s="2" t="str">
        <x:v>fa1323de2bd5e7e168a3</x:v>
      </x:c>
      <x:c r="C6172" s="2" t="str">
        <x:v>Tp Hồ Chí Minh</x:v>
      </x:c>
      <x:c r="D6172" s="2" t="str">
        <x:v>Quận Bình Thạnh</x:v>
      </x:c>
      <x:c r="E6172" s="2" t="str">
        <x:v>other_unknown</x:v>
      </x:c>
      <x:c r="F6172" s="2" t="str">
        <x:v>sale_assumed</x:v>
      </x:c>
      <x:c r="G6172" s="11" t="n">
        <x:v>80</x:v>
      </x:c>
      <x:c r="H6172" s="12" t="n">
        <x:v>5600000000</x:v>
      </x:c>
      <x:c r="I6172" s="12" t="n">
        <x:v>70000000</x:v>
      </x:c>
      <x:c r="J6172" s="2" t="str">
        <x:v>total</x:v>
      </x:c>
      <x:c r="K6172" s="2" t="str">
        <x:v>top_level_area</x:v>
      </x:c>
      <x:c r="L6172" s="2" t="str">
        <x:v>property_type_inferred_from_title;transaction_assumed_sale_from_dataset_context;unknown_property_type</x:v>
      </x:c>
      <x:c r="M6172" s="10" t="n">
        <x:v>0</x:v>
      </x:c>
      <x:c r="N6172" s="10" t="n">
        <x:v>0</x:v>
      </x:c>
      <x:c r="O6172" s="2" t="str">
        <x:v>Tp Hồ Chí Minh|other_unknown</x:v>
      </x:c>
      <x:c r="P6172" s="10" t="n">
        <x:v>2</x:v>
      </x:c>
      <x:c r="Q6172" s="13" t="n">
        <x:f>IF(H6172="","",H6172/1000000000)</x:f>
        <x:v>5.6</x:v>
      </x:c>
      <x:c r="R6172" s="13" t="n">
        <x:f>IF(I6172="","",I6172/1000000)</x:f>
        <x:v>70</x:v>
      </x:c>
    </x:row>
    <x:row r="6173" ht="21" customHeight="1">
      <x:c r="A6173" s="10" t="n">
        <x:v>7994</x:v>
      </x:c>
      <x:c r="B6173" s="2" t="str">
        <x:v>2e865cbab22df9aab361</x:v>
      </x:c>
      <x:c r="C6173" s="2" t="str">
        <x:v>Đồng Nai</x:v>
      </x:c>
      <x:c r="D6173" s="2" t="str">
        <x:v>Huyện Long Thành</x:v>
      </x:c>
      <x:c r="E6173" s="2" t="str">
        <x:v>land</x:v>
      </x:c>
      <x:c r="F6173" s="2" t="str">
        <x:v>sale</x:v>
      </x:c>
      <x:c r="G6173" s="11" t="n">
        <x:v>1000</x:v>
      </x:c>
      <x:c r="H6173" s="12" t="n">
        <x:v>1100000000</x:v>
      </x:c>
      <x:c r="I6173" s="12" t="n">
        <x:v>1100000</x:v>
      </x:c>
      <x:c r="J6173" s="2" t="str">
        <x:v>total</x:v>
      </x:c>
      <x:c r="K6173" s="2" t="str">
        <x:v>top_level_area</x:v>
      </x:c>
      <x:c r="L6173" s="2" t="str">
        <x:v>dot_thousands_convention;property_type_inferred_from_title</x:v>
      </x:c>
      <x:c r="M6173" s="10" t="n">
        <x:v>0</x:v>
      </x:c>
      <x:c r="N6173" s="10" t="n">
        <x:v>0</x:v>
      </x:c>
      <x:c r="O6173" s="2" t="str">
        <x:v>Đồng Nai|land</x:v>
      </x:c>
      <x:c r="P6173" s="10" t="n">
        <x:v>1</x:v>
      </x:c>
      <x:c r="Q6173" s="13" t="n">
        <x:f>IF(H6173="","",H6173/1000000000)</x:f>
        <x:v>1.1</x:v>
      </x:c>
      <x:c r="R6173" s="13" t="n">
        <x:f>IF(I6173="","",I6173/1000000)</x:f>
        <x:v>1.1</x:v>
      </x:c>
    </x:row>
    <x:row r="6174" ht="21" customHeight="1">
      <x:c r="A6174" s="10" t="n">
        <x:v>7995</x:v>
      </x:c>
      <x:c r="B6174" s="2" t="str">
        <x:v>9dac102f5d6f4974d68f</x:v>
      </x:c>
      <x:c r="C6174" s="2" t="str">
        <x:v>Tp Hồ Chí Minh</x:v>
      </x:c>
      <x:c r="D6174" s="2" t="str">
        <x:v>Quận Bình Thạnh</x:v>
      </x:c>
      <x:c r="E6174" s="2" t="str">
        <x:v>house</x:v>
      </x:c>
      <x:c r="F6174" s="2" t="str">
        <x:v>sale_assumed</x:v>
      </x:c>
      <x:c r="G6174" s="11" t="n">
        <x:v>40</x:v>
      </x:c>
      <x:c r="H6174" s="12" t="n">
        <x:v>2850000000</x:v>
      </x:c>
      <x:c r="I6174" s="12" t="n">
        <x:v>71250000</x:v>
      </x:c>
      <x:c r="J6174" s="2" t="str">
        <x:v>total</x:v>
      </x:c>
      <x:c r="K6174" s="2" t="str">
        <x:v>top_level_area</x:v>
      </x:c>
      <x:c r="L6174" s="2" t="str">
        <x:v>property_type_inferred_from_title;transaction_assumed_sale_from_dataset_context</x:v>
      </x:c>
      <x:c r="M6174" s="10" t="n">
        <x:v>0</x:v>
      </x:c>
      <x:c r="N6174" s="10" t="n">
        <x:v>0</x:v>
      </x:c>
      <x:c r="O6174" s="2" t="str">
        <x:v>Tp Hồ Chí Minh|house</x:v>
      </x:c>
      <x:c r="P6174" s="10" t="n">
        <x:v>2</x:v>
      </x:c>
      <x:c r="Q6174" s="13" t="n">
        <x:f>IF(H6174="","",H6174/1000000000)</x:f>
        <x:v>2.85</x:v>
      </x:c>
      <x:c r="R6174" s="13" t="n">
        <x:f>IF(I6174="","",I6174/1000000)</x:f>
        <x:v>71.25</x:v>
      </x:c>
    </x:row>
    <x:row r="6175" ht="21" customHeight="1">
      <x:c r="A6175" s="10" t="n">
        <x:v>7996</x:v>
      </x:c>
      <x:c r="B6175" s="2" t="str">
        <x:v>d8425f8b7b0de77c2b7c</x:v>
      </x:c>
      <x:c r="C6175" s="2" t="str">
        <x:v>Bình Thuận</x:v>
      </x:c>
      <x:c r="D6175" s="2" t="str">
        <x:v>Huyện Bắc Bình</x:v>
      </x:c>
      <x:c r="E6175" s="2" t="str">
        <x:v>land</x:v>
      </x:c>
      <x:c r="F6175" s="2" t="str">
        <x:v>sale_assumed</x:v>
      </x:c>
      <x:c r="G6175" s="11" t="n">
        <x:v>6286</x:v>
      </x:c>
      <x:c r="H6175" s="12" t="n">
        <x:v>502000000</x:v>
      </x:c>
      <x:c r="I6175" s="12" t="n">
        <x:v>79860.00636334711</x:v>
      </x:c>
      <x:c r="J6175" s="2" t="str">
        <x:v>total</x:v>
      </x:c>
      <x:c r="K6175" s="2" t="str">
        <x:v>top_level_area</x:v>
      </x:c>
      <x:c r="L6175" s="2" t="str">
        <x:v>dot_thousands_convention;property_type_inferred_from_title;transaction_assumed_sale_from_dataset_context</x:v>
      </x:c>
      <x:c r="M6175" s="10" t="n">
        <x:v>0</x:v>
      </x:c>
      <x:c r="N6175" s="10" t="n">
        <x:v>0</x:v>
      </x:c>
      <x:c r="O6175" s="2" t="str">
        <x:v>land</x:v>
      </x:c>
      <x:c r="P6175" s="10" t="n">
        <x:v>1</x:v>
      </x:c>
      <x:c r="Q6175" s="13" t="n">
        <x:f>IF(H6175="","",H6175/1000000000)</x:f>
        <x:v>0.502</x:v>
      </x:c>
      <x:c r="R6175" s="13" t="n">
        <x:f>IF(I6175="","",I6175/1000000)</x:f>
        <x:v>0.07986000636334711</x:v>
      </x:c>
    </x:row>
    <x:row r="6176" ht="21" customHeight="1">
      <x:c r="A6176" s="10" t="n">
        <x:v>7997</x:v>
      </x:c>
      <x:c r="B6176" s="2" t="str">
        <x:v>9f8e7e0ca062bb782ebd</x:v>
      </x:c>
      <x:c r="C6176" s="2" t="str">
        <x:v>Hà Nội</x:v>
      </x:c>
      <x:c r="D6176" s="2" t="str">
        <x:v>Quận Thanh Xuân</x:v>
      </x:c>
      <x:c r="E6176" s="2" t="str">
        <x:v>house</x:v>
      </x:c>
      <x:c r="F6176" s="2" t="str">
        <x:v>sale</x:v>
      </x:c>
      <x:c r="G6176" s="11" t="n">
        <x:v>48</x:v>
      </x:c>
      <x:c r="H6176" s="12" t="n">
        <x:v>5200000000</x:v>
      </x:c>
      <x:c r="I6176" s="12" t="n">
        <x:v>108333333.33333333</x:v>
      </x:c>
      <x:c r="J6176" s="2" t="str">
        <x:v>total</x:v>
      </x:c>
      <x:c r="K6176" s="2" t="str">
        <x:v>top_level_area</x:v>
      </x:c>
      <x:c r="L6176" s="2" t="str">
        <x:v>property_type_inferred_from_title</x:v>
      </x:c>
      <x:c r="M6176" s="10" t="n">
        <x:v>0</x:v>
      </x:c>
      <x:c r="N6176" s="10" t="n">
        <x:v>0</x:v>
      </x:c>
      <x:c r="O6176" s="2" t="str">
        <x:v>Hà Nội|house</x:v>
      </x:c>
      <x:c r="P6176" s="10" t="n">
        <x:v>2</x:v>
      </x:c>
      <x:c r="Q6176" s="13" t="n">
        <x:f>IF(H6176="","",H6176/1000000000)</x:f>
        <x:v>5.2</x:v>
      </x:c>
      <x:c r="R6176" s="13" t="n">
        <x:f>IF(I6176="","",I6176/1000000)</x:f>
        <x:v>108.33333333333333</x:v>
      </x:c>
    </x:row>
    <x:row r="6177" ht="21" customHeight="1">
      <x:c r="A6177" s="10" t="n">
        <x:v>7998</x:v>
      </x:c>
      <x:c r="B6177" s="2" t="str">
        <x:v>82ff8649c700e37ea789</x:v>
      </x:c>
      <x:c r="C6177" s="2" t="str">
        <x:v>Tp Hồ Chí Minh</x:v>
      </x:c>
      <x:c r="D6177" s="2" t="str">
        <x:v>Huyện Củ Chi</x:v>
      </x:c>
      <x:c r="E6177" s="2" t="str">
        <x:v>land</x:v>
      </x:c>
      <x:c r="F6177" s="2" t="str">
        <x:v>sale_assumed</x:v>
      </x:c>
      <x:c r="G6177" s="11" t="n">
        <x:v>85</x:v>
      </x:c>
      <x:c r="H6177" s="12" t="n">
        <x:v>1250000000</x:v>
      </x:c>
      <x:c r="I6177" s="12" t="n">
        <x:v>14705882.352941176</x:v>
      </x:c>
      <x:c r="J6177" s="2" t="str">
        <x:v>total</x:v>
      </x:c>
      <x:c r="K6177" s="2" t="str">
        <x:v>top_level_area</x:v>
      </x:c>
      <x:c r="L6177" s="2" t="str">
        <x:v>property_type_inferred_from_title;transaction_assumed_sale_from_dataset_context</x:v>
      </x:c>
      <x:c r="M6177" s="10" t="n">
        <x:v>0</x:v>
      </x:c>
      <x:c r="N6177" s="10" t="n">
        <x:v>0</x:v>
      </x:c>
      <x:c r="O6177" s="2" t="str">
        <x:v>Tp Hồ Chí Minh|land</x:v>
      </x:c>
      <x:c r="P6177" s="10" t="n">
        <x:v>2</x:v>
      </x:c>
      <x:c r="Q6177" s="13" t="n">
        <x:f>IF(H6177="","",H6177/1000000000)</x:f>
        <x:v>1.25</x:v>
      </x:c>
      <x:c r="R6177" s="13" t="n">
        <x:f>IF(I6177="","",I6177/1000000)</x:f>
        <x:v>14.705882352941176</x:v>
      </x:c>
    </x:row>
    <x:row r="6178" ht="21" customHeight="1">
      <x:c r="A6178" s="10" t="n">
        <x:v>7999</x:v>
      </x:c>
      <x:c r="B6178" s="2" t="str">
        <x:v>89dc9659b87aa786b5a0</x:v>
      </x:c>
      <x:c r="C6178" s="2" t="str">
        <x:v>Đà Nẵng</x:v>
      </x:c>
      <x:c r="D6178" s="2" t="str">
        <x:v>Quận Ngũ Hành Sơn</x:v>
      </x:c>
      <x:c r="E6178" s="2" t="str">
        <x:v>house</x:v>
      </x:c>
      <x:c r="F6178" s="2" t="str">
        <x:v>sale_assumed</x:v>
      </x:c>
      <x:c r="G6178" s="11" t="n">
        <x:v>285</x:v>
      </x:c>
      <x:c r="H6178" s="12" t="n">
        <x:v>10200000000</x:v>
      </x:c>
      <x:c r="I6178" s="12" t="n">
        <x:v>35789473.684210524</x:v>
      </x:c>
      <x:c r="J6178" s="2" t="str">
        <x:v>total</x:v>
      </x:c>
      <x:c r="K6178" s="2" t="str">
        <x:v>top_level_area</x:v>
      </x:c>
      <x:c r="L6178" s="2" t="str">
        <x:v>property_type_inferred_from_title;transaction_assumed_sale_from_dataset_context</x:v>
      </x:c>
      <x:c r="M6178" s="10" t="n">
        <x:v>0</x:v>
      </x:c>
      <x:c r="N6178" s="10" t="n">
        <x:v>0</x:v>
      </x:c>
      <x:c r="O6178" s="2" t="str">
        <x:v>Đà Nẵng|house</x:v>
      </x:c>
      <x:c r="P6178" s="10" t="n">
        <x:v>2</x:v>
      </x:c>
      <x:c r="Q6178" s="13" t="n">
        <x:f>IF(H6178="","",H6178/1000000000)</x:f>
        <x:v>10.2</x:v>
      </x:c>
      <x:c r="R6178" s="13" t="n">
        <x:f>IF(I6178="","",I6178/1000000)</x:f>
        <x:v>35.78947368421053</x:v>
      </x:c>
    </x:row>
    <x:row r="6179" ht="21" customHeight="1">
      <x:c r="A6179" s="10" t="n">
        <x:v>8000</x:v>
      </x:c>
      <x:c r="B6179" s="2" t="str">
        <x:v>6cb5ce76421f513b4b32</x:v>
      </x:c>
      <x:c r="C6179" s="2" t="str">
        <x:v>Tp Hồ Chí Minh</x:v>
      </x:c>
      <x:c r="D6179" s="2" t="str">
        <x:v>Quận Bình Tân</x:v>
      </x:c>
      <x:c r="E6179" s="2" t="str">
        <x:v>other_unknown</x:v>
      </x:c>
      <x:c r="F6179" s="2" t="str">
        <x:v>sale_assumed</x:v>
      </x:c>
      <x:c r="G6179" s="11" t="n">
        <x:v>100</x:v>
      </x:c>
      <x:c r="H6179" s="12" t="n">
        <x:v>18000000000</x:v>
      </x:c>
      <x:c r="I6179" s="12" t="n">
        <x:v>180000000</x:v>
      </x:c>
      <x:c r="J6179" s="2" t="str">
        <x:v>total</x:v>
      </x:c>
      <x:c r="K6179" s="2" t="str">
        <x:v>top_level_area</x:v>
      </x:c>
      <x:c r="L6179" s="2" t="str">
        <x:v>property_type_inferred_from_title;transaction_assumed_sale_from_dataset_context;unknown_property_type</x:v>
      </x:c>
      <x:c r="M6179" s="10" t="n">
        <x:v>1</x:v>
      </x:c>
      <x:c r="N6179" s="10" t="n">
        <x:v>0</x:v>
      </x:c>
      <x:c r="O6179" s="2" t="str">
        <x:v>Tp Hồ Chí Minh|other_unknown</x:v>
      </x:c>
      <x:c r="P6179" s="10" t="n">
        <x:v>2</x:v>
      </x:c>
      <x:c r="Q6179" s="13" t="n">
        <x:f>IF(H6179="","",H6179/1000000000)</x:f>
        <x:v>18</x:v>
      </x:c>
      <x:c r="R6179" s="13" t="n">
        <x:f>IF(I6179="","",I6179/1000000)</x:f>
        <x:v>180</x:v>
      </x:c>
    </x:row>
    <x:row r="6180" ht="21" customHeight="1">
      <x:c r="A6180" s="10" t="n">
        <x:v>8001</x:v>
      </x:c>
      <x:c r="B6180" s="2" t="str">
        <x:v>51cc17034f982450a4a9</x:v>
      </x:c>
      <x:c r="C6180" s="2" t="str">
        <x:v>Hà Nội</x:v>
      </x:c>
      <x:c r="D6180" s="2" t="str">
        <x:v>Quận Hoàng Mai</x:v>
      </x:c>
      <x:c r="E6180" s="2" t="str">
        <x:v>house</x:v>
      </x:c>
      <x:c r="F6180" s="2" t="str">
        <x:v>sale_assumed</x:v>
      </x:c>
      <x:c r="G6180" s="11" t="n">
        <x:v>42</x:v>
      </x:c>
      <x:c r="H6180" s="12" t="n">
        <x:v>3400000000</x:v>
      </x:c>
      <x:c r="I6180" s="12" t="n">
        <x:v>80952380.95238096</x:v>
      </x:c>
      <x:c r="J6180" s="2" t="str">
        <x:v>total</x:v>
      </x:c>
      <x:c r="K6180" s="2" t="str">
        <x:v>top_level_area</x:v>
      </x:c>
      <x:c r="L6180" s="2" t="str">
        <x:v>property_type_inferred_from_title;transaction_assumed_sale_from_dataset_context</x:v>
      </x:c>
      <x:c r="M6180" s="10" t="n">
        <x:v>0</x:v>
      </x:c>
      <x:c r="N6180" s="10" t="n">
        <x:v>0</x:v>
      </x:c>
      <x:c r="O6180" s="2" t="str">
        <x:v>Hà Nội|house</x:v>
      </x:c>
      <x:c r="P6180" s="10" t="n">
        <x:v>2</x:v>
      </x:c>
      <x:c r="Q6180" s="13" t="n">
        <x:f>IF(H6180="","",H6180/1000000000)</x:f>
        <x:v>3.4</x:v>
      </x:c>
      <x:c r="R6180" s="13" t="n">
        <x:f>IF(I6180="","",I6180/1000000)</x:f>
        <x:v>80.95238095238095</x:v>
      </x:c>
    </x:row>
    <x:row r="6181" ht="21" customHeight="1">
      <x:c r="A6181" s="10" t="n">
        <x:v>8002</x:v>
      </x:c>
      <x:c r="B6181" s="2" t="str">
        <x:v>f466e6a00fa8adc5873c</x:v>
      </x:c>
      <x:c r="C6181" s="2" t="str">
        <x:v>Đà Nẵng</x:v>
      </x:c>
      <x:c r="D6181" s="2" t="str">
        <x:v>Quận Hải Châu</x:v>
      </x:c>
      <x:c r="E6181" s="2" t="str">
        <x:v>other_unknown</x:v>
      </x:c>
      <x:c r="F6181" s="2" t="str">
        <x:v>sale_assumed</x:v>
      </x:c>
      <x:c r="G6181" s="11" t="n">
        <x:v>70</x:v>
      </x:c>
      <x:c r="H6181" s="12" t="n">
        <x:v>4950000000</x:v>
      </x:c>
      <x:c r="I6181" s="12" t="n">
        <x:v>70714285.71428572</x:v>
      </x:c>
      <x:c r="J6181" s="2" t="str">
        <x:v>total</x:v>
      </x:c>
      <x:c r="K6181" s="2" t="str">
        <x:v>top_level_area</x:v>
      </x:c>
      <x:c r="L6181" s="2" t="str">
        <x:v>property_type_inferred_from_title;transaction_assumed_sale_from_dataset_context;unknown_property_type</x:v>
      </x:c>
      <x:c r="M6181" s="10" t="n">
        <x:v>0</x:v>
      </x:c>
      <x:c r="N6181" s="10" t="n">
        <x:v>0</x:v>
      </x:c>
      <x:c r="O6181" s="2" t="str">
        <x:v>Đà Nẵng|other_unknown</x:v>
      </x:c>
      <x:c r="P6181" s="10" t="n">
        <x:v>2</x:v>
      </x:c>
      <x:c r="Q6181" s="13" t="n">
        <x:f>IF(H6181="","",H6181/1000000000)</x:f>
        <x:v>4.95</x:v>
      </x:c>
      <x:c r="R6181" s="13" t="n">
        <x:f>IF(I6181="","",I6181/1000000)</x:f>
        <x:v>70.71428571428572</x:v>
      </x:c>
    </x:row>
    <x:row r="6182" ht="21" customHeight="1">
      <x:c r="A6182" s="10" t="n">
        <x:v>8003</x:v>
      </x:c>
      <x:c r="B6182" s="2" t="str">
        <x:v>49eae780db62345477e8</x:v>
      </x:c>
      <x:c r="C6182" s="2" t="str">
        <x:v>Tp Hồ Chí Minh</x:v>
      </x:c>
      <x:c r="D6182" s="2" t="str">
        <x:v>Huyện Hóc Môn</x:v>
      </x:c>
      <x:c r="E6182" s="2" t="str">
        <x:v>house</x:v>
      </x:c>
      <x:c r="F6182" s="2" t="str">
        <x:v>sale_assumed</x:v>
      </x:c>
      <x:c r="G6182" s="11" t="n">
        <x:v>12</x:v>
      </x:c>
      <x:c r="H6182" s="12" t="n">
        <x:v>365000000</x:v>
      </x:c>
      <x:c r="I6182" s="12" t="n">
        <x:v>30416666.666666668</x:v>
      </x:c>
      <x:c r="J6182" s="2" t="str">
        <x:v>total</x:v>
      </x:c>
      <x:c r="K6182" s="2" t="str">
        <x:v>top_level_area</x:v>
      </x:c>
      <x:c r="L6182" s="2" t="str">
        <x:v>property_type_inferred_from_title;transaction_assumed_sale_from_dataset_context</x:v>
      </x:c>
      <x:c r="M6182" s="10" t="n">
        <x:v>0</x:v>
      </x:c>
      <x:c r="N6182" s="10" t="n">
        <x:v>0</x:v>
      </x:c>
      <x:c r="O6182" s="2" t="str">
        <x:v>Tp Hồ Chí Minh|house</x:v>
      </x:c>
      <x:c r="P6182" s="10" t="n">
        <x:v>2</x:v>
      </x:c>
      <x:c r="Q6182" s="13" t="n">
        <x:f>IF(H6182="","",H6182/1000000000)</x:f>
        <x:v>0.365</x:v>
      </x:c>
      <x:c r="R6182" s="13" t="n">
        <x:f>IF(I6182="","",I6182/1000000)</x:f>
        <x:v>30.416666666666668</x:v>
      </x:c>
    </x:row>
    <x:row r="6183" ht="21" customHeight="1">
      <x:c r="A6183" s="10" t="n">
        <x:v>8004</x:v>
      </x:c>
      <x:c r="B6183" s="2" t="str">
        <x:v>70520a366ff97d94d4c3</x:v>
      </x:c>
      <x:c r="C6183" s="2" t="str">
        <x:v>Tp Hồ Chí Minh</x:v>
      </x:c>
      <x:c r="D6183" s="2" t="str">
        <x:v>Quận 2</x:v>
      </x:c>
      <x:c r="E6183" s="2" t="str">
        <x:v>apartment</x:v>
      </x:c>
      <x:c r="F6183" s="2" t="str">
        <x:v>sale_assumed</x:v>
      </x:c>
      <x:c r="G6183" s="11" t="n">
        <x:v>50</x:v>
      </x:c>
      <x:c r="H6183" s="12" t="n">
        <x:v>2200000000</x:v>
      </x:c>
      <x:c r="I6183" s="12" t="n">
        <x:v>44000000</x:v>
      </x:c>
      <x:c r="J6183" s="2" t="str">
        <x:v>total</x:v>
      </x:c>
      <x:c r="K6183" s="2" t="str">
        <x:v>top_level_area</x:v>
      </x:c>
      <x:c r="L6183" s="2" t="str">
        <x:v>property_type_inferred_from_title;transaction_assumed_sale_from_dataset_context</x:v>
      </x:c>
      <x:c r="M6183" s="10" t="n">
        <x:v>0</x:v>
      </x:c>
      <x:c r="N6183" s="10" t="n">
        <x:v>0</x:v>
      </x:c>
      <x:c r="O6183" s="2" t="str">
        <x:v>Tp Hồ Chí Minh|apartment</x:v>
      </x:c>
      <x:c r="P6183" s="10" t="n">
        <x:v>2</x:v>
      </x:c>
      <x:c r="Q6183" s="13" t="n">
        <x:f>IF(H6183="","",H6183/1000000000)</x:f>
        <x:v>2.2</x:v>
      </x:c>
      <x:c r="R6183" s="13" t="n">
        <x:f>IF(I6183="","",I6183/1000000)</x:f>
        <x:v>44</x:v>
      </x:c>
    </x:row>
    <x:row r="6184" ht="21" customHeight="1">
      <x:c r="A6184" s="10" t="n">
        <x:v>8005</x:v>
      </x:c>
      <x:c r="B6184" s="2" t="str">
        <x:v>1cc44ade4c357479a204</x:v>
      </x:c>
      <x:c r="C6184" s="2" t="str">
        <x:v>Tp Hồ Chí Minh</x:v>
      </x:c>
      <x:c r="D6184" s="2" t="str">
        <x:v>Huyện Hóc Môn</x:v>
      </x:c>
      <x:c r="E6184" s="2" t="str">
        <x:v>other_unknown</x:v>
      </x:c>
      <x:c r="F6184" s="2" t="str">
        <x:v>sale</x:v>
      </x:c>
      <x:c r="G6184" s="11" t="n">
        <x:v>40</x:v>
      </x:c>
      <x:c r="H6184" s="12" t="n">
        <x:v>600000000</x:v>
      </x:c>
      <x:c r="I6184" s="12" t="n">
        <x:v>15000000</x:v>
      </x:c>
      <x:c r="J6184" s="2" t="str">
        <x:v>total</x:v>
      </x:c>
      <x:c r="K6184" s="2" t="str">
        <x:v>top_level_area</x:v>
      </x:c>
      <x:c r="L6184" s="2" t="str">
        <x:v>property_type_inferred_from_title;unknown_property_type</x:v>
      </x:c>
      <x:c r="M6184" s="10" t="n">
        <x:v>0</x:v>
      </x:c>
      <x:c r="N6184" s="10" t="n">
        <x:v>0</x:v>
      </x:c>
      <x:c r="O6184" s="2" t="str">
        <x:v>Tp Hồ Chí Minh|other_unknown</x:v>
      </x:c>
      <x:c r="P6184" s="10" t="n">
        <x:v>2</x:v>
      </x:c>
      <x:c r="Q6184" s="13" t="n">
        <x:f>IF(H6184="","",H6184/1000000000)</x:f>
        <x:v>0.6</x:v>
      </x:c>
      <x:c r="R6184" s="13" t="n">
        <x:f>IF(I6184="","",I6184/1000000)</x:f>
        <x:v>15</x:v>
      </x:c>
    </x:row>
    <x:row r="6185" ht="21" customHeight="1">
      <x:c r="A6185" s="10" t="n">
        <x:v>8006</x:v>
      </x:c>
      <x:c r="B6185" s="2" t="str">
        <x:v>75a2e80d2ad3f89e789f</x:v>
      </x:c>
      <x:c r="C6185" s="2" t="str">
        <x:v>Tp Hồ Chí Minh</x:v>
      </x:c>
      <x:c r="D6185" s="2" t="str">
        <x:v>Quận 7</x:v>
      </x:c>
      <x:c r="E6185" s="2" t="str">
        <x:v>house</x:v>
      </x:c>
      <x:c r="F6185" s="2" t="str">
        <x:v>sale</x:v>
      </x:c>
      <x:c r="G6185" s="11" t="n">
        <x:v>68</x:v>
      </x:c>
      <x:c r="H6185" s="12" t="n">
        <x:v>5700000000</x:v>
      </x:c>
      <x:c r="I6185" s="12" t="n">
        <x:v>83823529.41176471</x:v>
      </x:c>
      <x:c r="J6185" s="2" t="str">
        <x:v>total</x:v>
      </x:c>
      <x:c r="K6185" s="2" t="str">
        <x:v>top_level_area</x:v>
      </x:c>
      <x:c r="L6185" s="2" t="str">
        <x:v>property_type_inferred_from_title</x:v>
      </x:c>
      <x:c r="M6185" s="10" t="n">
        <x:v>0</x:v>
      </x:c>
      <x:c r="N6185" s="10" t="n">
        <x:v>0</x:v>
      </x:c>
      <x:c r="O6185" s="2" t="str">
        <x:v>Tp Hồ Chí Minh|house</x:v>
      </x:c>
      <x:c r="P6185" s="10" t="n">
        <x:v>2</x:v>
      </x:c>
      <x:c r="Q6185" s="13" t="n">
        <x:f>IF(H6185="","",H6185/1000000000)</x:f>
        <x:v>5.7</x:v>
      </x:c>
      <x:c r="R6185" s="13" t="n">
        <x:f>IF(I6185="","",I6185/1000000)</x:f>
        <x:v>83.82352941176471</x:v>
      </x:c>
    </x:row>
    <x:row r="6186" ht="21" customHeight="1">
      <x:c r="A6186" s="10" t="n">
        <x:v>8007</x:v>
      </x:c>
      <x:c r="B6186" s="2" t="str">
        <x:v>7c0406b5e65496f827be</x:v>
      </x:c>
      <x:c r="C6186" s="2" t="str">
        <x:v>Tp Hồ Chí Minh</x:v>
      </x:c>
      <x:c r="D6186" s="2" t="str">
        <x:v>Quận 9</x:v>
      </x:c>
      <x:c r="E6186" s="2" t="str">
        <x:v>land</x:v>
      </x:c>
      <x:c r="F6186" s="2" t="str">
        <x:v>sale_assumed</x:v>
      </x:c>
      <x:c r="G6186" s="11" t="n">
        <x:v>118</x:v>
      </x:c>
      <x:c r="H6186" s="12" t="n">
        <x:v>6700000000</x:v>
      </x:c>
      <x:c r="I6186" s="12" t="n">
        <x:v>56779661.016949154</x:v>
      </x:c>
      <x:c r="J6186" s="2" t="str">
        <x:v>total</x:v>
      </x:c>
      <x:c r="K6186" s="2" t="str">
        <x:v>top_level_area</x:v>
      </x:c>
      <x:c r="L6186" s="2" t="str">
        <x:v>property_type_inferred_from_title;transaction_assumed_sale_from_dataset_context</x:v>
      </x:c>
      <x:c r="M6186" s="10" t="n">
        <x:v>0</x:v>
      </x:c>
      <x:c r="N6186" s="10" t="n">
        <x:v>0</x:v>
      </x:c>
      <x:c r="O6186" s="2" t="str">
        <x:v>Tp Hồ Chí Minh|land</x:v>
      </x:c>
      <x:c r="P6186" s="10" t="n">
        <x:v>2</x:v>
      </x:c>
      <x:c r="Q6186" s="13" t="n">
        <x:f>IF(H6186="","",H6186/1000000000)</x:f>
        <x:v>6.7</x:v>
      </x:c>
      <x:c r="R6186" s="13" t="n">
        <x:f>IF(I6186="","",I6186/1000000)</x:f>
        <x:v>56.779661016949156</x:v>
      </x:c>
    </x:row>
    <x:row r="6187" ht="21" customHeight="1">
      <x:c r="A6187" s="10" t="n">
        <x:v>8008</x:v>
      </x:c>
      <x:c r="B6187" s="2" t="str">
        <x:v>eb51cc8630f6970b1fa6</x:v>
      </x:c>
      <x:c r="C6187" s="2" t="str">
        <x:v>Tp Hồ Chí Minh</x:v>
      </x:c>
      <x:c r="D6187" s="2" t="str">
        <x:v>Quận 8</x:v>
      </x:c>
      <x:c r="E6187" s="2" t="str">
        <x:v>land</x:v>
      </x:c>
      <x:c r="F6187" s="2" t="str">
        <x:v>sale</x:v>
      </x:c>
      <x:c r="G6187" s="11" t="n">
        <x:v>60</x:v>
      </x:c>
      <x:c r="H6187" s="12" t="n">
        <x:v>1200000000</x:v>
      </x:c>
      <x:c r="I6187" s="12" t="n">
        <x:v>20000000</x:v>
      </x:c>
      <x:c r="J6187" s="2" t="str">
        <x:v>total</x:v>
      </x:c>
      <x:c r="K6187" s="2" t="str">
        <x:v>top_level_area</x:v>
      </x:c>
      <x:c r="L6187" s="2" t="str">
        <x:v>property_type_inferred_from_title</x:v>
      </x:c>
      <x:c r="M6187" s="10" t="n">
        <x:v>0</x:v>
      </x:c>
      <x:c r="N6187" s="10" t="n">
        <x:v>0</x:v>
      </x:c>
      <x:c r="O6187" s="2" t="str">
        <x:v>Tp Hồ Chí Minh|land</x:v>
      </x:c>
      <x:c r="P6187" s="10" t="n">
        <x:v>2</x:v>
      </x:c>
      <x:c r="Q6187" s="13" t="n">
        <x:f>IF(H6187="","",H6187/1000000000)</x:f>
        <x:v>1.2</x:v>
      </x:c>
      <x:c r="R6187" s="13" t="n">
        <x:f>IF(I6187="","",I6187/1000000)</x:f>
        <x:v>20</x:v>
      </x:c>
    </x:row>
    <x:row r="6188" ht="21" customHeight="1">
      <x:c r="A6188" s="10" t="n">
        <x:v>8011</x:v>
      </x:c>
      <x:c r="B6188" s="2" t="str">
        <x:v>5d6d2490c1977bbbe87e</x:v>
      </x:c>
      <x:c r="C6188" s="2" t="str">
        <x:v>Tp Hồ Chí Minh</x:v>
      </x:c>
      <x:c r="D6188" s="2" t="str">
        <x:v>Quận 4</x:v>
      </x:c>
      <x:c r="E6188" s="2" t="str">
        <x:v>other_unknown</x:v>
      </x:c>
      <x:c r="F6188" s="2" t="str">
        <x:v>sale</x:v>
      </x:c>
      <x:c r="G6188" s="11" t="n">
        <x:v>80</x:v>
      </x:c>
      <x:c r="H6188" s="12" t="n">
        <x:v>3800000000</x:v>
      </x:c>
      <x:c r="I6188" s="12" t="n">
        <x:v>47500000</x:v>
      </x:c>
      <x:c r="J6188" s="2" t="str">
        <x:v>total</x:v>
      </x:c>
      <x:c r="K6188" s="2" t="str">
        <x:v>top_level_area</x:v>
      </x:c>
      <x:c r="L6188" s="2" t="str">
        <x:v>property_type_inferred_from_title;unknown_property_type</x:v>
      </x:c>
      <x:c r="M6188" s="10" t="n">
        <x:v>0</x:v>
      </x:c>
      <x:c r="N6188" s="10" t="n">
        <x:v>0</x:v>
      </x:c>
      <x:c r="O6188" s="2" t="str">
        <x:v>Tp Hồ Chí Minh|other_unknown</x:v>
      </x:c>
      <x:c r="P6188" s="10" t="n">
        <x:v>2</x:v>
      </x:c>
      <x:c r="Q6188" s="13" t="n">
        <x:f>IF(H6188="","",H6188/1000000000)</x:f>
        <x:v>3.8</x:v>
      </x:c>
      <x:c r="R6188" s="13" t="n">
        <x:f>IF(I6188="","",I6188/1000000)</x:f>
        <x:v>47.5</x:v>
      </x:c>
    </x:row>
    <x:row r="6189" ht="21" customHeight="1">
      <x:c r="A6189" s="10" t="n">
        <x:v>8012</x:v>
      </x:c>
      <x:c r="B6189" s="2" t="str">
        <x:v>5a064dd10000fbfd5f5d</x:v>
      </x:c>
      <x:c r="C6189" s="2" t="str">
        <x:v>Hà Nội</x:v>
      </x:c>
      <x:c r="D6189" s="2" t="str">
        <x:v>Quận Tây Hồ</x:v>
      </x:c>
      <x:c r="E6189" s="2" t="str">
        <x:v>other_unknown</x:v>
      </x:c>
      <x:c r="F6189" s="2" t="str">
        <x:v>sale</x:v>
      </x:c>
      <x:c r="G6189" s="11" t="n">
        <x:v>90.45</x:v>
      </x:c>
      <x:c r="H6189" s="12" t="n">
        <x:v>3100000000</x:v>
      </x:c>
      <x:c r="I6189" s="12" t="n">
        <x:v>34273079.04919845</x:v>
      </x:c>
      <x:c r="J6189" s="2" t="str">
        <x:v>total</x:v>
      </x:c>
      <x:c r="K6189" s="2" t="str">
        <x:v>top_level_area</x:v>
      </x:c>
      <x:c r="L6189" s="2" t="str">
        <x:v>property_type_inferred_from_title;unknown_property_type</x:v>
      </x:c>
      <x:c r="M6189" s="10" t="n">
        <x:v>0</x:v>
      </x:c>
      <x:c r="N6189" s="10" t="n">
        <x:v>0</x:v>
      </x:c>
      <x:c r="O6189" s="2" t="str">
        <x:v>Hà Nội|other_unknown</x:v>
      </x:c>
      <x:c r="P6189" s="10" t="n">
        <x:v>2</x:v>
      </x:c>
      <x:c r="Q6189" s="13" t="n">
        <x:f>IF(H6189="","",H6189/1000000000)</x:f>
        <x:v>3.1</x:v>
      </x:c>
      <x:c r="R6189" s="13" t="n">
        <x:f>IF(I6189="","",I6189/1000000)</x:f>
        <x:v>34.27307904919845</x:v>
      </x:c>
    </x:row>
    <x:row r="6190" ht="21" customHeight="1">
      <x:c r="A6190" s="10" t="n">
        <x:v>8013</x:v>
      </x:c>
      <x:c r="B6190" s="2" t="str">
        <x:v>c14568a476615be568bb</x:v>
      </x:c>
      <x:c r="C6190" s="2" t="str">
        <x:v>Tp Hồ Chí Minh</x:v>
      </x:c>
      <x:c r="D6190" s="2" t="str">
        <x:v>Huyện Củ Chi</x:v>
      </x:c>
      <x:c r="E6190" s="2" t="str">
        <x:v>land</x:v>
      </x:c>
      <x:c r="F6190" s="2" t="str">
        <x:v>sale_assumed</x:v>
      </x:c>
      <x:c r="G6190" s="11" t="n">
        <x:v>82</x:v>
      </x:c>
      <x:c r="H6190" s="12" t="n">
        <x:v>900000000</x:v>
      </x:c>
      <x:c r="I6190" s="12" t="n">
        <x:v>10975609.75609756</x:v>
      </x:c>
      <x:c r="J6190" s="2" t="str">
        <x:v>total</x:v>
      </x:c>
      <x:c r="K6190" s="2" t="str">
        <x:v>top_level_area</x:v>
      </x:c>
      <x:c r="L6190" s="2" t="str">
        <x:v>property_type_inferred_from_title;transaction_assumed_sale_from_dataset_context</x:v>
      </x:c>
      <x:c r="M6190" s="10" t="n">
        <x:v>0</x:v>
      </x:c>
      <x:c r="N6190" s="10" t="n">
        <x:v>0</x:v>
      </x:c>
      <x:c r="O6190" s="2" t="str">
        <x:v>Tp Hồ Chí Minh|land</x:v>
      </x:c>
      <x:c r="P6190" s="10" t="n">
        <x:v>2</x:v>
      </x:c>
      <x:c r="Q6190" s="13" t="n">
        <x:f>IF(H6190="","",H6190/1000000000)</x:f>
        <x:v>0.9</x:v>
      </x:c>
      <x:c r="R6190" s="13" t="n">
        <x:f>IF(I6190="","",I6190/1000000)</x:f>
        <x:v>10.97560975609756</x:v>
      </x:c>
    </x:row>
    <x:row r="6191" ht="21" customHeight="1">
      <x:c r="A6191" s="10" t="n">
        <x:v>8014</x:v>
      </x:c>
      <x:c r="B6191" s="2" t="str">
        <x:v>ea54254fe85e783e9931</x:v>
      </x:c>
      <x:c r="C6191" s="2" t="str">
        <x:v>Tp Hồ Chí Minh</x:v>
      </x:c>
      <x:c r="D6191" s="2" t="str">
        <x:v>Quận Bình Tân</x:v>
      </x:c>
      <x:c r="E6191" s="2" t="str">
        <x:v>house</x:v>
      </x:c>
      <x:c r="F6191" s="2" t="str">
        <x:v>sale</x:v>
      </x:c>
      <x:c r="G6191" s="11" t="n">
        <x:v>50</x:v>
      </x:c>
      <x:c r="H6191" s="12" t="n">
        <x:v>895000000</x:v>
      </x:c>
      <x:c r="I6191" s="12" t="n">
        <x:v>17900000</x:v>
      </x:c>
      <x:c r="J6191" s="2" t="str">
        <x:v>total</x:v>
      </x:c>
      <x:c r="K6191" s="2" t="str">
        <x:v>top_level_area</x:v>
      </x:c>
      <x:c r="L6191" s="2" t="str">
        <x:v>property_type_inferred_from_title</x:v>
      </x:c>
      <x:c r="M6191" s="10" t="n">
        <x:v>0</x:v>
      </x:c>
      <x:c r="N6191" s="10" t="n">
        <x:v>0</x:v>
      </x:c>
      <x:c r="O6191" s="2" t="str">
        <x:v>Tp Hồ Chí Minh|house</x:v>
      </x:c>
      <x:c r="P6191" s="10" t="n">
        <x:v>2</x:v>
      </x:c>
      <x:c r="Q6191" s="13" t="n">
        <x:f>IF(H6191="","",H6191/1000000000)</x:f>
        <x:v>0.895</x:v>
      </x:c>
      <x:c r="R6191" s="13" t="n">
        <x:f>IF(I6191="","",I6191/1000000)</x:f>
        <x:v>17.9</x:v>
      </x:c>
    </x:row>
    <x:row r="6192" ht="21" customHeight="1">
      <x:c r="A6192" s="10" t="n">
        <x:v>8015</x:v>
      </x:c>
      <x:c r="B6192" s="2" t="str">
        <x:v>778a7a0ecfb3f3415168</x:v>
      </x:c>
      <x:c r="C6192" s="2" t="str">
        <x:v>Hà Nội</x:v>
      </x:c>
      <x:c r="D6192" s="2" t="str">
        <x:v>Quận Hà Đông</x:v>
      </x:c>
      <x:c r="E6192" s="2" t="str">
        <x:v>land</x:v>
      </x:c>
      <x:c r="F6192" s="2" t="str">
        <x:v>sale</x:v>
      </x:c>
      <x:c r="G6192" s="11" t="n">
        <x:v>37</x:v>
      </x:c>
      <x:c r="H6192" s="12" t="n">
        <x:v>1220000000</x:v>
      </x:c>
      <x:c r="I6192" s="12" t="n">
        <x:v>32972972.972972974</x:v>
      </x:c>
      <x:c r="J6192" s="2" t="str">
        <x:v>total</x:v>
      </x:c>
      <x:c r="K6192" s="2" t="str">
        <x:v>top_level_area</x:v>
      </x:c>
      <x:c r="L6192" s="2" t="str">
        <x:v>property_type_inferred_from_title</x:v>
      </x:c>
      <x:c r="M6192" s="10" t="n">
        <x:v>0</x:v>
      </x:c>
      <x:c r="N6192" s="10" t="n">
        <x:v>0</x:v>
      </x:c>
      <x:c r="O6192" s="2" t="str">
        <x:v>Hà Nội|land</x:v>
      </x:c>
      <x:c r="P6192" s="10" t="n">
        <x:v>2</x:v>
      </x:c>
      <x:c r="Q6192" s="13" t="n">
        <x:f>IF(H6192="","",H6192/1000000000)</x:f>
        <x:v>1.22</x:v>
      </x:c>
      <x:c r="R6192" s="13" t="n">
        <x:f>IF(I6192="","",I6192/1000000)</x:f>
        <x:v>32.972972972972975</x:v>
      </x:c>
    </x:row>
    <x:row r="6193" ht="21" customHeight="1">
      <x:c r="A6193" s="10" t="n">
        <x:v>8016</x:v>
      </x:c>
      <x:c r="B6193" s="2" t="str">
        <x:v>14bbf0e505be9b479bc1</x:v>
      </x:c>
      <x:c r="C6193" s="2" t="str">
        <x:v>Kiên Giang</x:v>
      </x:c>
      <x:c r="D6193" s="2" t="str">
        <x:v>Huyện Hòn Đất</x:v>
      </x:c>
      <x:c r="E6193" s="2" t="str">
        <x:v>land</x:v>
      </x:c>
      <x:c r="F6193" s="2" t="str">
        <x:v>sale</x:v>
      </x:c>
      <x:c r="G6193" s="11" t="n">
        <x:v>2200</x:v>
      </x:c>
      <x:c r="H6193" s="12" t="n">
        <x:v>1250000000</x:v>
      </x:c>
      <x:c r="I6193" s="12" t="n">
        <x:v>568181.8181818182</x:v>
      </x:c>
      <x:c r="J6193" s="2" t="str">
        <x:v>total</x:v>
      </x:c>
      <x:c r="K6193" s="2" t="str">
        <x:v>top_level_price_embedded_area</x:v>
      </x:c>
      <x:c r="L6193" s="2" t="str">
        <x:v>area_recovered_from_price_text;dot_thousands_convention;property_type_inferred_from_title</x:v>
      </x:c>
      <x:c r="M6193" s="10" t="n">
        <x:v>0</x:v>
      </x:c>
      <x:c r="N6193" s="10" t="n">
        <x:v>0</x:v>
      </x:c>
      <x:c r="O6193" s="2" t="str">
        <x:v>land</x:v>
      </x:c>
      <x:c r="P6193" s="10" t="n">
        <x:v>1</x:v>
      </x:c>
      <x:c r="Q6193" s="13" t="n">
        <x:f>IF(H6193="","",H6193/1000000000)</x:f>
        <x:v>1.25</x:v>
      </x:c>
      <x:c r="R6193" s="13" t="n">
        <x:f>IF(I6193="","",I6193/1000000)</x:f>
        <x:v>0.5681818181818182</x:v>
      </x:c>
    </x:row>
    <x:row r="6194" ht="21" customHeight="1">
      <x:c r="A6194" s="10" t="n">
        <x:v>8017</x:v>
      </x:c>
      <x:c r="B6194" s="2" t="str">
        <x:v>aec33a9ebb6861289f1b</x:v>
      </x:c>
      <x:c r="C6194" s="2" t="str">
        <x:v>Hà Nội</x:v>
      </x:c>
      <x:c r="D6194" s="2" t="str">
        <x:v>Quận Cầu Giấy</x:v>
      </x:c>
      <x:c r="E6194" s="2" t="str">
        <x:v>house</x:v>
      </x:c>
      <x:c r="F6194" s="2" t="str">
        <x:v>sale</x:v>
      </x:c>
      <x:c r="G6194" s="11" t="n">
        <x:v>40</x:v>
      </x:c>
      <x:c r="H6194" s="12" t="n">
        <x:v>14400000000</x:v>
      </x:c>
      <x:c r="I6194" s="12" t="n">
        <x:v>360000000</x:v>
      </x:c>
      <x:c r="J6194" s="2" t="str">
        <x:v>total</x:v>
      </x:c>
      <x:c r="K6194" s="2" t="str">
        <x:v>top_level_area</x:v>
      </x:c>
      <x:c r="L6194" s="2" t="str">
        <x:v>property_type_inferred_from_title</x:v>
      </x:c>
      <x:c r="M6194" s="10" t="n">
        <x:v>1</x:v>
      </x:c>
      <x:c r="N6194" s="10" t="n">
        <x:v>1</x:v>
      </x:c>
      <x:c r="O6194" s="2" t="str">
        <x:v>Hà Nội|house</x:v>
      </x:c>
      <x:c r="P6194" s="10" t="n">
        <x:v>-1</x:v>
      </x:c>
      <x:c r="Q6194" s="13" t="n">
        <x:f>IF(H6194="","",H6194/1000000000)</x:f>
        <x:v>14.4</x:v>
      </x:c>
      <x:c r="R6194" s="13" t="n">
        <x:f>IF(I6194="","",I6194/1000000)</x:f>
        <x:v>360</x:v>
      </x:c>
    </x:row>
    <x:row r="6195" ht="21" customHeight="1">
      <x:c r="A6195" s="10" t="n">
        <x:v>8018</x:v>
      </x:c>
      <x:c r="B6195" s="2" t="str">
        <x:v>3526ba3b2b98efa63b2c</x:v>
      </x:c>
      <x:c r="C6195" s="2" t="str">
        <x:v>Tp Hồ Chí Minh</x:v>
      </x:c>
      <x:c r="D6195" s="2" t="str">
        <x:v>Quận 9</x:v>
      </x:c>
      <x:c r="E6195" s="2" t="str">
        <x:v>land</x:v>
      </x:c>
      <x:c r="F6195" s="2" t="str">
        <x:v>sale</x:v>
      </x:c>
      <x:c r="G6195" s="11" t="n">
        <x:v>80</x:v>
      </x:c>
      <x:c r="H6195" s="12" t="n">
        <x:v>2100000000</x:v>
      </x:c>
      <x:c r="I6195" s="12" t="n">
        <x:v>26250000</x:v>
      </x:c>
      <x:c r="J6195" s="2" t="str">
        <x:v>total</x:v>
      </x:c>
      <x:c r="K6195" s="2" t="str">
        <x:v>top_level_area</x:v>
      </x:c>
      <x:c r="L6195" s="2" t="str">
        <x:v>property_type_inferred_from_title</x:v>
      </x:c>
      <x:c r="M6195" s="10" t="n">
        <x:v>0</x:v>
      </x:c>
      <x:c r="N6195" s="10" t="n">
        <x:v>0</x:v>
      </x:c>
      <x:c r="O6195" s="2" t="str">
        <x:v>Tp Hồ Chí Minh|land</x:v>
      </x:c>
      <x:c r="P6195" s="10" t="n">
        <x:v>2</x:v>
      </x:c>
      <x:c r="Q6195" s="13" t="n">
        <x:f>IF(H6195="","",H6195/1000000000)</x:f>
        <x:v>2.1</x:v>
      </x:c>
      <x:c r="R6195" s="13" t="n">
        <x:f>IF(I6195="","",I6195/1000000)</x:f>
        <x:v>26.25</x:v>
      </x:c>
    </x:row>
    <x:row r="6196" ht="21" customHeight="1">
      <x:c r="A6196" s="10" t="n">
        <x:v>8019</x:v>
      </x:c>
      <x:c r="B6196" s="2" t="str">
        <x:v>d98cc8b08bd1a18a08b5</x:v>
      </x:c>
      <x:c r="C6196" s="2" t="str">
        <x:v>Tp Hồ Chí Minh</x:v>
      </x:c>
      <x:c r="D6196" s="2" t="str">
        <x:v>Quận 8</x:v>
      </x:c>
      <x:c r="E6196" s="2" t="str">
        <x:v>house</x:v>
      </x:c>
      <x:c r="F6196" s="2" t="str">
        <x:v>sale</x:v>
      </x:c>
      <x:c r="G6196" s="11" t="n">
        <x:v>48</x:v>
      </x:c>
      <x:c r="H6196" s="12" t="n">
        <x:v>4600000000</x:v>
      </x:c>
      <x:c r="I6196" s="12" t="n">
        <x:v>95833333.33333333</x:v>
      </x:c>
      <x:c r="J6196" s="2" t="str">
        <x:v>total</x:v>
      </x:c>
      <x:c r="K6196" s="2" t="str">
        <x:v>top_level_area</x:v>
      </x:c>
      <x:c r="L6196" s="2" t="str">
        <x:v>property_type_inferred_from_title</x:v>
      </x:c>
      <x:c r="M6196" s="10" t="n">
        <x:v>0</x:v>
      </x:c>
      <x:c r="N6196" s="10" t="n">
        <x:v>0</x:v>
      </x:c>
      <x:c r="O6196" s="2" t="str">
        <x:v>Tp Hồ Chí Minh|house</x:v>
      </x:c>
      <x:c r="P6196" s="10" t="n">
        <x:v>2</x:v>
      </x:c>
      <x:c r="Q6196" s="13" t="n">
        <x:f>IF(H6196="","",H6196/1000000000)</x:f>
        <x:v>4.6</x:v>
      </x:c>
      <x:c r="R6196" s="13" t="n">
        <x:f>IF(I6196="","",I6196/1000000)</x:f>
        <x:v>95.83333333333333</x:v>
      </x:c>
    </x:row>
    <x:row r="6197" ht="21" customHeight="1">
      <x:c r="A6197" s="10" t="n">
        <x:v>8020</x:v>
      </x:c>
      <x:c r="B6197" s="2" t="str">
        <x:v>396d2063784c314f6ed2</x:v>
      </x:c>
      <x:c r="C6197" s="2" t="str">
        <x:v>Cần Thơ</x:v>
      </x:c>
      <x:c r="D6197" s="2" t="str">
        <x:v>Quận Bình Thuỷ</x:v>
      </x:c>
      <x:c r="E6197" s="2" t="str">
        <x:v>house</x:v>
      </x:c>
      <x:c r="F6197" s="2" t="str">
        <x:v>sale</x:v>
      </x:c>
      <x:c r="G6197" s="11" t="n">
        <x:v>64</x:v>
      </x:c>
      <x:c r="H6197" s="12" t="n">
        <x:v>1500000000</x:v>
      </x:c>
      <x:c r="I6197" s="12" t="n">
        <x:v>23437500</x:v>
      </x:c>
      <x:c r="J6197" s="2" t="str">
        <x:v>total</x:v>
      </x:c>
      <x:c r="K6197" s="2" t="str">
        <x:v>top_level_area</x:v>
      </x:c>
      <x:c r="L6197" s="2" t="str">
        <x:v>property_type_inferred_from_title</x:v>
      </x:c>
      <x:c r="M6197" s="10" t="n">
        <x:v>0</x:v>
      </x:c>
      <x:c r="N6197" s="10" t="n">
        <x:v>0</x:v>
      </x:c>
      <x:c r="O6197" s="2" t="str">
        <x:v>Cần Thơ|house</x:v>
      </x:c>
      <x:c r="P6197" s="10" t="n">
        <x:v>2</x:v>
      </x:c>
      <x:c r="Q6197" s="13" t="n">
        <x:f>IF(H6197="","",H6197/1000000000)</x:f>
        <x:v>1.5</x:v>
      </x:c>
      <x:c r="R6197" s="13" t="n">
        <x:f>IF(I6197="","",I6197/1000000)</x:f>
        <x:v>23.4375</x:v>
      </x:c>
    </x:row>
    <x:row r="6198" ht="21" customHeight="1">
      <x:c r="A6198" s="10" t="n">
        <x:v>8021</x:v>
      </x:c>
      <x:c r="B6198" s="2" t="str">
        <x:v>8bf4935e6d7a8a06b994</x:v>
      </x:c>
      <x:c r="C6198" s="2" t="str">
        <x:v>Tp Hồ Chí Minh</x:v>
      </x:c>
      <x:c r="D6198" s="2" t="str">
        <x:v>Quận 8</x:v>
      </x:c>
      <x:c r="E6198" s="2" t="str">
        <x:v>house</x:v>
      </x:c>
      <x:c r="F6198" s="2" t="str">
        <x:v>sale</x:v>
      </x:c>
      <x:c r="G6198" s="11" t="n">
        <x:v>26.5</x:v>
      </x:c>
      <x:c r="H6198" s="12" t="n">
        <x:v>2650000000</x:v>
      </x:c>
      <x:c r="I6198" s="12" t="n">
        <x:v>100000000</x:v>
      </x:c>
      <x:c r="J6198" s="2" t="str">
        <x:v>total</x:v>
      </x:c>
      <x:c r="K6198" s="2" t="str">
        <x:v>top_level_area</x:v>
      </x:c>
      <x:c r="L6198" s="2" t="str">
        <x:v>property_type_inferred_from_title</x:v>
      </x:c>
      <x:c r="M6198" s="10" t="n">
        <x:v>0</x:v>
      </x:c>
      <x:c r="N6198" s="10" t="n">
        <x:v>0</x:v>
      </x:c>
      <x:c r="O6198" s="2" t="str">
        <x:v>Tp Hồ Chí Minh|house</x:v>
      </x:c>
      <x:c r="P6198" s="10" t="n">
        <x:v>2</x:v>
      </x:c>
      <x:c r="Q6198" s="13" t="n">
        <x:f>IF(H6198="","",H6198/1000000000)</x:f>
        <x:v>2.65</x:v>
      </x:c>
      <x:c r="R6198" s="13" t="n">
        <x:f>IF(I6198="","",I6198/1000000)</x:f>
        <x:v>100</x:v>
      </x:c>
    </x:row>
    <x:row r="6199" ht="21" customHeight="1">
      <x:c r="A6199" s="10" t="n">
        <x:v>8022</x:v>
      </x:c>
      <x:c r="B6199" s="2" t="str">
        <x:v>48c3bb5668530e47a234</x:v>
      </x:c>
      <x:c r="C6199" s="2" t="str">
        <x:v>Hà Nội</x:v>
      </x:c>
      <x:c r="D6199" s="2" t="str">
        <x:v>Quận Hà Đông</x:v>
      </x:c>
      <x:c r="E6199" s="2" t="str">
        <x:v>house</x:v>
      </x:c>
      <x:c r="F6199" s="2" t="str">
        <x:v>sale_assumed</x:v>
      </x:c>
      <x:c r="G6199" s="11" t="n">
        <x:v>35</x:v>
      </x:c>
      <x:c r="H6199" s="12" t="n">
        <x:v>2400000000</x:v>
      </x:c>
      <x:c r="I6199" s="12" t="n">
        <x:v>68571428.57142857</x:v>
      </x:c>
      <x:c r="J6199" s="2" t="str">
        <x:v>total</x:v>
      </x:c>
      <x:c r="K6199" s="2" t="str">
        <x:v>top_level_area</x:v>
      </x:c>
      <x:c r="L6199" s="2" t="str">
        <x:v>property_type_inferred_from_title;transaction_assumed_sale_from_dataset_context</x:v>
      </x:c>
      <x:c r="M6199" s="10" t="n">
        <x:v>0</x:v>
      </x:c>
      <x:c r="N6199" s="10" t="n">
        <x:v>0</x:v>
      </x:c>
      <x:c r="O6199" s="2" t="str">
        <x:v>Hà Nội|house</x:v>
      </x:c>
      <x:c r="P6199" s="10" t="n">
        <x:v>2</x:v>
      </x:c>
      <x:c r="Q6199" s="13" t="n">
        <x:f>IF(H6199="","",H6199/1000000000)</x:f>
        <x:v>2.4</x:v>
      </x:c>
      <x:c r="R6199" s="13" t="n">
        <x:f>IF(I6199="","",I6199/1000000)</x:f>
        <x:v>68.57142857142857</x:v>
      </x:c>
    </x:row>
    <x:row r="6200" ht="21" customHeight="1">
      <x:c r="A6200" s="10" t="n">
        <x:v>8023</x:v>
      </x:c>
      <x:c r="B6200" s="2" t="str">
        <x:v>d53df710b064561c015a</x:v>
      </x:c>
      <x:c r="C6200" s="2" t="str">
        <x:v>Bình Phước</x:v>
      </x:c>
      <x:c r="D6200" s="2" t="str">
        <x:v>Huyện Đồng Phú</x:v>
      </x:c>
      <x:c r="E6200" s="2" t="str">
        <x:v>land</x:v>
      </x:c>
      <x:c r="F6200" s="2" t="str">
        <x:v>sale_assumed</x:v>
      </x:c>
      <x:c r="G6200" s="11" t="n">
        <x:v>1300</x:v>
      </x:c>
      <x:c r="H6200" s="12" t="n">
        <x:v>320000000</x:v>
      </x:c>
      <x:c r="I6200" s="12" t="n">
        <x:v>246153.84615384616</x:v>
      </x:c>
      <x:c r="J6200" s="2" t="str">
        <x:v>total</x:v>
      </x:c>
      <x:c r="K6200" s="2" t="str">
        <x:v>top_level_area</x:v>
      </x:c>
      <x:c r="L6200" s="2" t="str">
        <x:v>dot_thousands_convention;property_type_inferred_from_title;transaction_assumed_sale_from_dataset_context</x:v>
      </x:c>
      <x:c r="M6200" s="10" t="n">
        <x:v>0</x:v>
      </x:c>
      <x:c r="N6200" s="10" t="n">
        <x:v>0</x:v>
      </x:c>
      <x:c r="O6200" s="2" t="str">
        <x:v>Bình Phước|land</x:v>
      </x:c>
      <x:c r="P6200" s="10" t="n">
        <x:v>1</x:v>
      </x:c>
      <x:c r="Q6200" s="13" t="n">
        <x:f>IF(H6200="","",H6200/1000000000)</x:f>
        <x:v>0.32</x:v>
      </x:c>
      <x:c r="R6200" s="13" t="n">
        <x:f>IF(I6200="","",I6200/1000000)</x:f>
        <x:v>0.24615384615384617</x:v>
      </x:c>
    </x:row>
    <x:row r="6201" ht="21" customHeight="1">
      <x:c r="A6201" s="10" t="n">
        <x:v>8024</x:v>
      </x:c>
      <x:c r="B6201" s="2" t="str">
        <x:v>f468c8d0bcc148f2ba32</x:v>
      </x:c>
      <x:c r="C6201" s="2" t="str">
        <x:v>Tp Hồ Chí Minh</x:v>
      </x:c>
      <x:c r="D6201" s="2" t="str">
        <x:v>Quận Bình Thạnh</x:v>
      </x:c>
      <x:c r="E6201" s="2" t="str">
        <x:v>house</x:v>
      </x:c>
      <x:c r="F6201" s="2" t="str">
        <x:v>sale</x:v>
      </x:c>
      <x:c r="G6201" s="11" t="n">
        <x:v>41.6</x:v>
      </x:c>
      <x:c r="H6201" s="12" t="n">
        <x:v>6500000000</x:v>
      </x:c>
      <x:c r="I6201" s="12" t="n">
        <x:v>156250000</x:v>
      </x:c>
      <x:c r="J6201" s="2" t="str">
        <x:v>total</x:v>
      </x:c>
      <x:c r="K6201" s="2" t="str">
        <x:v>top_level_area</x:v>
      </x:c>
      <x:c r="L6201" s="2" t="str">
        <x:v>property_type_inferred_from_title</x:v>
      </x:c>
      <x:c r="M6201" s="10" t="n">
        <x:v>0</x:v>
      </x:c>
      <x:c r="N6201" s="10" t="n">
        <x:v>0</x:v>
      </x:c>
      <x:c r="O6201" s="2" t="str">
        <x:v>Tp Hồ Chí Minh|house</x:v>
      </x:c>
      <x:c r="P6201" s="10" t="n">
        <x:v>2</x:v>
      </x:c>
      <x:c r="Q6201" s="13" t="n">
        <x:f>IF(H6201="","",H6201/1000000000)</x:f>
        <x:v>6.5</x:v>
      </x:c>
      <x:c r="R6201" s="13" t="n">
        <x:f>IF(I6201="","",I6201/1000000)</x:f>
        <x:v>156.25</x:v>
      </x:c>
    </x:row>
    <x:row r="6202" ht="21" customHeight="1">
      <x:c r="A6202" s="10" t="n">
        <x:v>8025</x:v>
      </x:c>
      <x:c r="B6202" s="2" t="str">
        <x:v>8beb654185e42e73128e</x:v>
      </x:c>
      <x:c r="C6202" s="2" t="str">
        <x:v>Long An</x:v>
      </x:c>
      <x:c r="D6202" s="2" t="str">
        <x:v>Huyện Đức Hòa</x:v>
      </x:c>
      <x:c r="E6202" s="2" t="str">
        <x:v>other_unknown</x:v>
      </x:c>
      <x:c r="F6202" s="2" t="str">
        <x:v>sale</x:v>
      </x:c>
      <x:c r="G6202" s="11" t="n">
        <x:v>250</x:v>
      </x:c>
      <x:c r="H6202" s="12" t="n">
        <x:v>1000000000</x:v>
      </x:c>
      <x:c r="I6202" s="12" t="n">
        <x:v>4000000</x:v>
      </x:c>
      <x:c r="J6202" s="2" t="str">
        <x:v>total</x:v>
      </x:c>
      <x:c r="K6202" s="2" t="str">
        <x:v>top_level_area</x:v>
      </x:c>
      <x:c r="L6202" s="2" t="str">
        <x:v>property_type_inferred_from_title;unknown_property_type</x:v>
      </x:c>
      <x:c r="M6202" s="10" t="n">
        <x:v>0</x:v>
      </x:c>
      <x:c r="N6202" s="10" t="n">
        <x:v>0</x:v>
      </x:c>
      <x:c r="O6202" s="2" t="str">
        <x:v>Long An|other_unknown</x:v>
      </x:c>
      <x:c r="P6202" s="10" t="n">
        <x:v>1</x:v>
      </x:c>
      <x:c r="Q6202" s="13" t="n">
        <x:f>IF(H6202="","",H6202/1000000000)</x:f>
        <x:v>1</x:v>
      </x:c>
      <x:c r="R6202" s="13" t="n">
        <x:f>IF(I6202="","",I6202/1000000)</x:f>
        <x:v>4</x:v>
      </x:c>
    </x:row>
    <x:row r="6203" ht="21" customHeight="1">
      <x:c r="A6203" s="10" t="n">
        <x:v>8026</x:v>
      </x:c>
      <x:c r="B6203" s="2" t="str">
        <x:v>47be418276e982e32731</x:v>
      </x:c>
      <x:c r="C6203" s="2" t="str">
        <x:v>Tp Hồ Chí Minh</x:v>
      </x:c>
      <x:c r="D6203" s="2" t="str">
        <x:v>Quận 12</x:v>
      </x:c>
      <x:c r="E6203" s="2" t="str">
        <x:v>apartment</x:v>
      </x:c>
      <x:c r="F6203" s="2" t="str">
        <x:v>sale</x:v>
      </x:c>
      <x:c r="G6203" s="11" t="n">
        <x:v>60</x:v>
      </x:c>
      <x:c r="H6203" s="12" t="n">
        <x:v>1350000000</x:v>
      </x:c>
      <x:c r="I6203" s="12" t="n">
        <x:v>22500000</x:v>
      </x:c>
      <x:c r="J6203" s="2" t="str">
        <x:v>total</x:v>
      </x:c>
      <x:c r="K6203" s="2" t="str">
        <x:v>top_level_area</x:v>
      </x:c>
      <x:c r="L6203" s="2" t="str">
        <x:v>property_type_inferred_from_title</x:v>
      </x:c>
      <x:c r="M6203" s="10" t="n">
        <x:v>0</x:v>
      </x:c>
      <x:c r="N6203" s="10" t="n">
        <x:v>0</x:v>
      </x:c>
      <x:c r="O6203" s="2" t="str">
        <x:v>Tp Hồ Chí Minh|apartment</x:v>
      </x:c>
      <x:c r="P6203" s="10" t="n">
        <x:v>2</x:v>
      </x:c>
      <x:c r="Q6203" s="13" t="n">
        <x:f>IF(H6203="","",H6203/1000000000)</x:f>
        <x:v>1.35</x:v>
      </x:c>
      <x:c r="R6203" s="13" t="n">
        <x:f>IF(I6203="","",I6203/1000000)</x:f>
        <x:v>22.5</x:v>
      </x:c>
    </x:row>
    <x:row r="6204" ht="21" customHeight="1">
      <x:c r="A6204" s="10" t="n">
        <x:v>8027</x:v>
      </x:c>
      <x:c r="B6204" s="2" t="str">
        <x:v>1bf78f54bab46fa72ab9</x:v>
      </x:c>
      <x:c r="C6204" s="2" t="str">
        <x:v>Đồng Nai</x:v>
      </x:c>
      <x:c r="D6204" s="2" t="str">
        <x:v>Huyện Trảng Bom</x:v>
      </x:c>
      <x:c r="E6204" s="2" t="str">
        <x:v>other_unknown</x:v>
      </x:c>
      <x:c r="F6204" s="2" t="str">
        <x:v>sale_assumed</x:v>
      </x:c>
      <x:c r="G6204" s="11" t="n">
        <x:v>100</x:v>
      </x:c>
      <x:c r="H6204" s="12" t="n">
        <x:v>225000000</x:v>
      </x:c>
      <x:c r="I6204" s="12" t="n">
        <x:v>2250000</x:v>
      </x:c>
      <x:c r="J6204" s="2" t="str">
        <x:v>total</x:v>
      </x:c>
      <x:c r="K6204" s="2" t="str">
        <x:v>top_level_area</x:v>
      </x:c>
      <x:c r="L6204" s="2" t="str">
        <x:v>property_type_inferred_from_title;transaction_assumed_sale_from_dataset_context;unknown_property_type</x:v>
      </x:c>
      <x:c r="M6204" s="10" t="n">
        <x:v>0</x:v>
      </x:c>
      <x:c r="N6204" s="10" t="n">
        <x:v>0</x:v>
      </x:c>
      <x:c r="O6204" s="2" t="str">
        <x:v>Đồng Nai|other_unknown</x:v>
      </x:c>
      <x:c r="P6204" s="10" t="n">
        <x:v>1</x:v>
      </x:c>
      <x:c r="Q6204" s="13" t="n">
        <x:f>IF(H6204="","",H6204/1000000000)</x:f>
        <x:v>0.225</x:v>
      </x:c>
      <x:c r="R6204" s="13" t="n">
        <x:f>IF(I6204="","",I6204/1000000)</x:f>
        <x:v>2.25</x:v>
      </x:c>
    </x:row>
    <x:row r="6205" ht="21" customHeight="1">
      <x:c r="A6205" s="10" t="n">
        <x:v>8028</x:v>
      </x:c>
      <x:c r="B6205" s="2" t="str">
        <x:v>198d63e46ec5c54a3e7f</x:v>
      </x:c>
      <x:c r="C6205" s="2" t="str">
        <x:v>Long An</x:v>
      </x:c>
      <x:c r="D6205" s="2" t="str">
        <x:v>Huyện Cần Giuộc</x:v>
      </x:c>
      <x:c r="E6205" s="2" t="str">
        <x:v>house</x:v>
      </x:c>
      <x:c r="F6205" s="2" t="str">
        <x:v>sale</x:v>
      </x:c>
      <x:c r="G6205" s="11" t="n">
        <x:v>56</x:v>
      </x:c>
      <x:c r="H6205" s="12" t="n">
        <x:v>650000000</x:v>
      </x:c>
      <x:c r="I6205" s="12" t="n">
        <x:v>11607142.857142856</x:v>
      </x:c>
      <x:c r="J6205" s="2" t="str">
        <x:v>total</x:v>
      </x:c>
      <x:c r="K6205" s="2" t="str">
        <x:v>top_level_area</x:v>
      </x:c>
      <x:c r="L6205" s="2" t="str">
        <x:v>property_type_inferred_from_title</x:v>
      </x:c>
      <x:c r="M6205" s="10" t="n">
        <x:v>0</x:v>
      </x:c>
      <x:c r="N6205" s="10" t="n">
        <x:v>0</x:v>
      </x:c>
      <x:c r="O6205" s="2" t="str">
        <x:v>Long An|house</x:v>
      </x:c>
      <x:c r="P6205" s="10" t="n">
        <x:v>2</x:v>
      </x:c>
      <x:c r="Q6205" s="13" t="n">
        <x:f>IF(H6205="","",H6205/1000000000)</x:f>
        <x:v>0.65</x:v>
      </x:c>
      <x:c r="R6205" s="13" t="n">
        <x:f>IF(I6205="","",I6205/1000000)</x:f>
        <x:v>11.607142857142856</x:v>
      </x:c>
    </x:row>
    <x:row r="6206" ht="21" customHeight="1">
      <x:c r="A6206" s="10" t="n">
        <x:v>8030</x:v>
      </x:c>
      <x:c r="B6206" s="2" t="str">
        <x:v>f5c3cf460dfefc3cc821</x:v>
      </x:c>
      <x:c r="C6206" s="2" t="str">
        <x:v>Đà Nẵng</x:v>
      </x:c>
      <x:c r="D6206" s="2" t="str">
        <x:v>Quận Ngũ Hành Sơn</x:v>
      </x:c>
      <x:c r="E6206" s="2" t="str">
        <x:v>house</x:v>
      </x:c>
      <x:c r="F6206" s="2" t="str">
        <x:v>sale</x:v>
      </x:c>
      <x:c r="G6206" s="11" t="n">
        <x:v>100</x:v>
      </x:c>
      <x:c r="H6206" s="12" t="n">
        <x:v>7600000000</x:v>
      </x:c>
      <x:c r="I6206" s="12" t="n">
        <x:v>76000000</x:v>
      </x:c>
      <x:c r="J6206" s="2" t="str">
        <x:v>total</x:v>
      </x:c>
      <x:c r="K6206" s="2" t="str">
        <x:v>top_level_area</x:v>
      </x:c>
      <x:c r="L6206" s="2" t="str">
        <x:v>property_type_inferred_from_title</x:v>
      </x:c>
      <x:c r="M6206" s="10" t="n">
        <x:v>0</x:v>
      </x:c>
      <x:c r="N6206" s="10" t="n">
        <x:v>0</x:v>
      </x:c>
      <x:c r="O6206" s="2" t="str">
        <x:v>Đà Nẵng|house</x:v>
      </x:c>
      <x:c r="P6206" s="10" t="n">
        <x:v>2</x:v>
      </x:c>
      <x:c r="Q6206" s="13" t="n">
        <x:f>IF(H6206="","",H6206/1000000000)</x:f>
        <x:v>7.6</x:v>
      </x:c>
      <x:c r="R6206" s="13" t="n">
        <x:f>IF(I6206="","",I6206/1000000)</x:f>
        <x:v>76</x:v>
      </x:c>
    </x:row>
    <x:row r="6207" ht="21" customHeight="1">
      <x:c r="A6207" s="10" t="n">
        <x:v>8034</x:v>
      </x:c>
      <x:c r="B6207" s="2" t="str">
        <x:v>dc496cb19c03f22d22ae</x:v>
      </x:c>
      <x:c r="C6207" s="2" t="str">
        <x:v>Hà Nội</x:v>
      </x:c>
      <x:c r="D6207" s="2" t="str">
        <x:v>Quận Cầu Giấy</x:v>
      </x:c>
      <x:c r="E6207" s="2" t="str">
        <x:v>apartment</x:v>
      </x:c>
      <x:c r="F6207" s="2" t="str">
        <x:v>sale_assumed</x:v>
      </x:c>
      <x:c r="G6207" s="11" t="n">
        <x:v>1</x:v>
      </x:c>
      <x:c r="H6207" s="12" t="n">
        <x:v>55000000</x:v>
      </x:c>
      <x:c r="I6207" s="12" t="n">
        <x:v>55000000</x:v>
      </x:c>
      <x:c r="J6207" s="2" t="str">
        <x:v>total</x:v>
      </x:c>
      <x:c r="K6207" s="2" t="str">
        <x:v>top_level_area</x:v>
      </x:c>
      <x:c r="L6207" s="2" t="str">
        <x:v>property_type_inferred_from_title;transaction_assumed_sale_from_dataset_context</x:v>
      </x:c>
      <x:c r="M6207" s="10" t="n">
        <x:v>0</x:v>
      </x:c>
      <x:c r="N6207" s="10" t="n">
        <x:v>1</x:v>
      </x:c>
      <x:c r="O6207" s="2" t="str">
        <x:v>Hà Nội|apartment</x:v>
      </x:c>
      <x:c r="P6207" s="10" t="n">
        <x:v>-1</x:v>
      </x:c>
      <x:c r="Q6207" s="13" t="n">
        <x:f>IF(H6207="","",H6207/1000000000)</x:f>
        <x:v>0.055</x:v>
      </x:c>
      <x:c r="R6207" s="13" t="n">
        <x:f>IF(I6207="","",I6207/1000000)</x:f>
        <x:v>55</x:v>
      </x:c>
    </x:row>
    <x:row r="6208" ht="21" customHeight="1">
      <x:c r="A6208" s="10" t="n">
        <x:v>8035</x:v>
      </x:c>
      <x:c r="B6208" s="2" t="str">
        <x:v>f26614d442b06d3471b3</x:v>
      </x:c>
      <x:c r="C6208" s="2" t="str">
        <x:v>Tp Hồ Chí Minh</x:v>
      </x:c>
      <x:c r="D6208" s="2" t="str">
        <x:v>Quận 8</x:v>
      </x:c>
      <x:c r="E6208" s="2" t="str">
        <x:v>house</x:v>
      </x:c>
      <x:c r="F6208" s="2" t="str">
        <x:v>sale_assumed</x:v>
      </x:c>
      <x:c r="G6208" s="11" t="n">
        <x:v>24</x:v>
      </x:c>
      <x:c r="H6208" s="12" t="n">
        <x:v>860000000</x:v>
      </x:c>
      <x:c r="I6208" s="12" t="n">
        <x:v>35833333.333333336</x:v>
      </x:c>
      <x:c r="J6208" s="2" t="str">
        <x:v>total</x:v>
      </x:c>
      <x:c r="K6208" s="2" t="str">
        <x:v>top_level_area</x:v>
      </x:c>
      <x:c r="L6208" s="2" t="str">
        <x:v>property_type_inferred_from_title;transaction_assumed_sale_from_dataset_context</x:v>
      </x:c>
      <x:c r="M6208" s="10" t="n">
        <x:v>0</x:v>
      </x:c>
      <x:c r="N6208" s="10" t="n">
        <x:v>0</x:v>
      </x:c>
      <x:c r="O6208" s="2" t="str">
        <x:v>Tp Hồ Chí Minh|house</x:v>
      </x:c>
      <x:c r="P6208" s="10" t="n">
        <x:v>2</x:v>
      </x:c>
      <x:c r="Q6208" s="13" t="n">
        <x:f>IF(H6208="","",H6208/1000000000)</x:f>
        <x:v>0.86</x:v>
      </x:c>
      <x:c r="R6208" s="13" t="n">
        <x:f>IF(I6208="","",I6208/1000000)</x:f>
        <x:v>35.833333333333336</x:v>
      </x:c>
    </x:row>
    <x:row r="6209" ht="21" customHeight="1">
      <x:c r="A6209" s="10" t="n">
        <x:v>8036</x:v>
      </x:c>
      <x:c r="B6209" s="2" t="str">
        <x:v>f9d87fa1b6743e30d48b</x:v>
      </x:c>
      <x:c r="C6209" s="2" t="str">
        <x:v>Hưng Yên</x:v>
      </x:c>
      <x:c r="D6209" s="2" t="str">
        <x:v>Huyện Kim Động</x:v>
      </x:c>
      <x:c r="E6209" s="2" t="str">
        <x:v>land</x:v>
      </x:c>
      <x:c r="F6209" s="2" t="str">
        <x:v>sale_assumed</x:v>
      </x:c>
      <x:c r="G6209" s="11" t="n">
        <x:v>86</x:v>
      </x:c>
      <x:c r="H6209" s="12" t="n">
        <x:v>750000000</x:v>
      </x:c>
      <x:c r="I6209" s="12" t="n">
        <x:v>8720930.232558139</x:v>
      </x:c>
      <x:c r="J6209" s="2" t="str">
        <x:v>total</x:v>
      </x:c>
      <x:c r="K6209" s="2" t="str">
        <x:v>top_level_area</x:v>
      </x:c>
      <x:c r="L6209" s="2" t="str">
        <x:v>property_type_inferred_from_title;transaction_assumed_sale_from_dataset_context</x:v>
      </x:c>
      <x:c r="M6209" s="10" t="n">
        <x:v>0</x:v>
      </x:c>
      <x:c r="N6209" s="10" t="n">
        <x:v>0</x:v>
      </x:c>
      <x:c r="O6209" s="2" t="str">
        <x:v>land</x:v>
      </x:c>
      <x:c r="P6209" s="10" t="n">
        <x:v>2</x:v>
      </x:c>
      <x:c r="Q6209" s="13" t="n">
        <x:f>IF(H6209="","",H6209/1000000000)</x:f>
        <x:v>0.75</x:v>
      </x:c>
      <x:c r="R6209" s="13" t="n">
        <x:f>IF(I6209="","",I6209/1000000)</x:f>
        <x:v>8.720930232558139</x:v>
      </x:c>
    </x:row>
    <x:row r="6210" ht="21" customHeight="1">
      <x:c r="A6210" s="10" t="n">
        <x:v>8037</x:v>
      </x:c>
      <x:c r="B6210" s="2" t="str">
        <x:v>20d3c59104b1b34f0e3f</x:v>
      </x:c>
      <x:c r="C6210" s="2" t="str">
        <x:v>Tp Hồ Chí Minh</x:v>
      </x:c>
      <x:c r="D6210" s="2" t="str">
        <x:v>Quận Bình Thạnh</x:v>
      </x:c>
      <x:c r="E6210" s="2" t="str">
        <x:v>other_unknown</x:v>
      </x:c>
      <x:c r="F6210" s="2" t="str">
        <x:v>sale_assumed</x:v>
      </x:c>
      <x:c r="G6210" s="11" t="n">
        <x:v>45</x:v>
      </x:c>
      <x:c r="H6210" s="12" t="n">
        <x:v>6600000000</x:v>
      </x:c>
      <x:c r="I6210" s="12" t="n">
        <x:v>146666666.66666666</x:v>
      </x:c>
      <x:c r="J6210" s="2" t="str">
        <x:v>total</x:v>
      </x:c>
      <x:c r="K6210" s="2" t="str">
        <x:v>top_level_area</x:v>
      </x:c>
      <x:c r="L6210" s="2" t="str">
        <x:v>property_type_inferred_from_title;transaction_assumed_sale_from_dataset_context;unknown_property_type</x:v>
      </x:c>
      <x:c r="M6210" s="10" t="n">
        <x:v>0</x:v>
      </x:c>
      <x:c r="N6210" s="10" t="n">
        <x:v>0</x:v>
      </x:c>
      <x:c r="O6210" s="2" t="str">
        <x:v>Tp Hồ Chí Minh|other_unknown</x:v>
      </x:c>
      <x:c r="P6210" s="10" t="n">
        <x:v>2</x:v>
      </x:c>
      <x:c r="Q6210" s="13" t="n">
        <x:f>IF(H6210="","",H6210/1000000000)</x:f>
        <x:v>6.6</x:v>
      </x:c>
      <x:c r="R6210" s="13" t="n">
        <x:f>IF(I6210="","",I6210/1000000)</x:f>
        <x:v>146.66666666666666</x:v>
      </x:c>
    </x:row>
    <x:row r="6211" ht="21" customHeight="1">
      <x:c r="A6211" s="10" t="n">
        <x:v>8038</x:v>
      </x:c>
      <x:c r="B6211" s="2" t="str">
        <x:v>9983ef21464655755420</x:v>
      </x:c>
      <x:c r="C6211" s="2" t="str">
        <x:v>Hà Nội</x:v>
      </x:c>
      <x:c r="D6211" s="2" t="str">
        <x:v>Quận Hà Đông</x:v>
      </x:c>
      <x:c r="E6211" s="2" t="str">
        <x:v>house</x:v>
      </x:c>
      <x:c r="F6211" s="2" t="str">
        <x:v>sale_assumed</x:v>
      </x:c>
      <x:c r="G6211" s="11" t="n">
        <x:v>26</x:v>
      </x:c>
      <x:c r="H6211" s="12" t="n">
        <x:v>1900000000</x:v>
      </x:c>
      <x:c r="I6211" s="12" t="n">
        <x:v>73076923.07692307</x:v>
      </x:c>
      <x:c r="J6211" s="2" t="str">
        <x:v>total</x:v>
      </x:c>
      <x:c r="K6211" s="2" t="str">
        <x:v>top_level_area</x:v>
      </x:c>
      <x:c r="L6211" s="2" t="str">
        <x:v>property_type_inferred_from_title;transaction_assumed_sale_from_dataset_context</x:v>
      </x:c>
      <x:c r="M6211" s="10" t="n">
        <x:v>0</x:v>
      </x:c>
      <x:c r="N6211" s="10" t="n">
        <x:v>0</x:v>
      </x:c>
      <x:c r="O6211" s="2" t="str">
        <x:v>Hà Nội|house</x:v>
      </x:c>
      <x:c r="P6211" s="10" t="n">
        <x:v>2</x:v>
      </x:c>
      <x:c r="Q6211" s="13" t="n">
        <x:f>IF(H6211="","",H6211/1000000000)</x:f>
        <x:v>1.9</x:v>
      </x:c>
      <x:c r="R6211" s="13" t="n">
        <x:f>IF(I6211="","",I6211/1000000)</x:f>
        <x:v>73.07692307692307</x:v>
      </x:c>
    </x:row>
    <x:row r="6212" ht="21" customHeight="1">
      <x:c r="A6212" s="10" t="n">
        <x:v>8039</x:v>
      </x:c>
      <x:c r="B6212" s="2" t="str">
        <x:v>a1e01441c09357913928</x:v>
      </x:c>
      <x:c r="C6212" s="2" t="str">
        <x:v>Cần Thơ</x:v>
      </x:c>
      <x:c r="D6212" s="2" t="str">
        <x:v>Quận Ninh Kiều</x:v>
      </x:c>
      <x:c r="E6212" s="2" t="str">
        <x:v>house</x:v>
      </x:c>
      <x:c r="F6212" s="2" t="str">
        <x:v>sale_assumed</x:v>
      </x:c>
      <x:c r="G6212" s="11" t="n">
        <x:v>68</x:v>
      </x:c>
      <x:c r="H6212" s="12" t="n">
        <x:v>3500000000</x:v>
      </x:c>
      <x:c r="I6212" s="12" t="n">
        <x:v>51470588.23529412</x:v>
      </x:c>
      <x:c r="J6212" s="2" t="str">
        <x:v>total</x:v>
      </x:c>
      <x:c r="K6212" s="2" t="str">
        <x:v>top_level_area</x:v>
      </x:c>
      <x:c r="L6212" s="2" t="str">
        <x:v>property_type_inferred_from_title;transaction_assumed_sale_from_dataset_context</x:v>
      </x:c>
      <x:c r="M6212" s="10" t="n">
        <x:v>0</x:v>
      </x:c>
      <x:c r="N6212" s="10" t="n">
        <x:v>0</x:v>
      </x:c>
      <x:c r="O6212" s="2" t="str">
        <x:v>Cần Thơ|house</x:v>
      </x:c>
      <x:c r="P6212" s="10" t="n">
        <x:v>2</x:v>
      </x:c>
      <x:c r="Q6212" s="13" t="n">
        <x:f>IF(H6212="","",H6212/1000000000)</x:f>
        <x:v>3.5</x:v>
      </x:c>
      <x:c r="R6212" s="13" t="n">
        <x:f>IF(I6212="","",I6212/1000000)</x:f>
        <x:v>51.470588235294116</x:v>
      </x:c>
    </x:row>
    <x:row r="6213" ht="21" customHeight="1">
      <x:c r="A6213" s="10" t="n">
        <x:v>8040</x:v>
      </x:c>
      <x:c r="B6213" s="2" t="str">
        <x:v>ea8a3e573accf48ba52a</x:v>
      </x:c>
      <x:c r="C6213" s="2" t="str">
        <x:v>Bình Dương</x:v>
      </x:c>
      <x:c r="D6213" s="2" t="str">
        <x:v>Huyện Bàu Bàng</x:v>
      </x:c>
      <x:c r="E6213" s="2" t="str">
        <x:v>other_unknown</x:v>
      </x:c>
      <x:c r="F6213" s="2" t="str">
        <x:v>sale</x:v>
      </x:c>
      <x:c r="G6213" s="11" t="n">
        <x:v>100</x:v>
      </x:c>
      <x:c r="H6213" s="12" t="n">
        <x:v>420000000</x:v>
      </x:c>
      <x:c r="I6213" s="12" t="n">
        <x:v>4200000</x:v>
      </x:c>
      <x:c r="J6213" s="2" t="str">
        <x:v>total</x:v>
      </x:c>
      <x:c r="K6213" s="2" t="str">
        <x:v>top_level_area</x:v>
      </x:c>
      <x:c r="L6213" s="2" t="str">
        <x:v>property_type_inferred_from_title;unknown_property_type</x:v>
      </x:c>
      <x:c r="M6213" s="10" t="n">
        <x:v>0</x:v>
      </x:c>
      <x:c r="N6213" s="10" t="n">
        <x:v>0</x:v>
      </x:c>
      <x:c r="O6213" s="2" t="str">
        <x:v>Bình Dương|other_unknown</x:v>
      </x:c>
      <x:c r="P6213" s="10" t="n">
        <x:v>2</x:v>
      </x:c>
      <x:c r="Q6213" s="13" t="n">
        <x:f>IF(H6213="","",H6213/1000000000)</x:f>
        <x:v>0.42</x:v>
      </x:c>
      <x:c r="R6213" s="13" t="n">
        <x:f>IF(I6213="","",I6213/1000000)</x:f>
        <x:v>4.2</x:v>
      </x:c>
    </x:row>
    <x:row r="6214" ht="21" customHeight="1">
      <x:c r="A6214" s="10" t="n">
        <x:v>8041</x:v>
      </x:c>
      <x:c r="B6214" s="2" t="str">
        <x:v>1d62061e7858cb46c932</x:v>
      </x:c>
      <x:c r="C6214" s="2" t="str">
        <x:v>Tp Hồ Chí Minh</x:v>
      </x:c>
      <x:c r="D6214" s="2" t="str">
        <x:v>Quận 10</x:v>
      </x:c>
      <x:c r="E6214" s="2" t="str">
        <x:v>house</x:v>
      </x:c>
      <x:c r="F6214" s="2" t="str">
        <x:v>sale</x:v>
      </x:c>
      <x:c r="G6214" s="11" t="n">
        <x:v>65</x:v>
      </x:c>
      <x:c r="H6214" s="12" t="n">
        <x:v>10100000000</x:v>
      </x:c>
      <x:c r="I6214" s="12" t="n">
        <x:v>155384615.3846154</x:v>
      </x:c>
      <x:c r="J6214" s="2" t="str">
        <x:v>total</x:v>
      </x:c>
      <x:c r="K6214" s="2" t="str">
        <x:v>top_level_area</x:v>
      </x:c>
      <x:c r="L6214" s="2" t="str">
        <x:v>property_type_inferred_from_title</x:v>
      </x:c>
      <x:c r="M6214" s="10" t="n">
        <x:v>0</x:v>
      </x:c>
      <x:c r="N6214" s="10" t="n">
        <x:v>0</x:v>
      </x:c>
      <x:c r="O6214" s="2" t="str">
        <x:v>Tp Hồ Chí Minh|house</x:v>
      </x:c>
      <x:c r="P6214" s="10" t="n">
        <x:v>2</x:v>
      </x:c>
      <x:c r="Q6214" s="13" t="n">
        <x:f>IF(H6214="","",H6214/1000000000)</x:f>
        <x:v>10.1</x:v>
      </x:c>
      <x:c r="R6214" s="13" t="n">
        <x:f>IF(I6214="","",I6214/1000000)</x:f>
        <x:v>155.3846153846154</x:v>
      </x:c>
    </x:row>
    <x:row r="6215" ht="21" customHeight="1">
      <x:c r="A6215" s="10" t="n">
        <x:v>8042</x:v>
      </x:c>
      <x:c r="B6215" s="2" t="str">
        <x:v>467eb4f70883b3708c1f</x:v>
      </x:c>
      <x:c r="C6215" s="2" t="str">
        <x:v>Tp Hồ Chí Minh</x:v>
      </x:c>
      <x:c r="D6215" s="2" t="str">
        <x:v>Huyện Bình Chánh</x:v>
      </x:c>
      <x:c r="E6215" s="2" t="str">
        <x:v>house</x:v>
      </x:c>
      <x:c r="F6215" s="2" t="str">
        <x:v>sale</x:v>
      </x:c>
      <x:c r="G6215" s="11" t="n">
        <x:v>77</x:v>
      </x:c>
      <x:c r="H6215" s="12" t="n">
        <x:v>1150000000</x:v>
      </x:c>
      <x:c r="I6215" s="12" t="n">
        <x:v>14935064.935064934</x:v>
      </x:c>
      <x:c r="J6215" s="2" t="str">
        <x:v>total</x:v>
      </x:c>
      <x:c r="K6215" s="2" t="str">
        <x:v>top_level_area</x:v>
      </x:c>
      <x:c r="L6215" s="2" t="str">
        <x:v>property_type_inferred_from_title</x:v>
      </x:c>
      <x:c r="M6215" s="10" t="n">
        <x:v>0</x:v>
      </x:c>
      <x:c r="N6215" s="10" t="n">
        <x:v>0</x:v>
      </x:c>
      <x:c r="O6215" s="2" t="str">
        <x:v>Tp Hồ Chí Minh|house</x:v>
      </x:c>
      <x:c r="P6215" s="10" t="n">
        <x:v>2</x:v>
      </x:c>
      <x:c r="Q6215" s="13" t="n">
        <x:f>IF(H6215="","",H6215/1000000000)</x:f>
        <x:v>1.15</x:v>
      </x:c>
      <x:c r="R6215" s="13" t="n">
        <x:f>IF(I6215="","",I6215/1000000)</x:f>
        <x:v>14.935064935064934</x:v>
      </x:c>
    </x:row>
    <x:row r="6216" ht="21" customHeight="1">
      <x:c r="A6216" s="10" t="n">
        <x:v>8043</x:v>
      </x:c>
      <x:c r="B6216" s="2" t="str">
        <x:v>0cd71c7631945c562e4a</x:v>
      </x:c>
      <x:c r="C6216" s="2" t="str">
        <x:v>Tp Hồ Chí Minh</x:v>
      </x:c>
      <x:c r="D6216" s="2" t="str">
        <x:v>Quận 2</x:v>
      </x:c>
      <x:c r="E6216" s="2" t="str">
        <x:v>land</x:v>
      </x:c>
      <x:c r="F6216" s="2" t="str">
        <x:v>sale</x:v>
      </x:c>
      <x:c r="G6216" s="11" t="n">
        <x:v>100</x:v>
      </x:c>
      <x:c r="H6216" s="12" t="n">
        <x:v>1000000000</x:v>
      </x:c>
      <x:c r="I6216" s="12" t="n">
        <x:v>10000000</x:v>
      </x:c>
      <x:c r="J6216" s="2" t="str">
        <x:v>total</x:v>
      </x:c>
      <x:c r="K6216" s="2" t="str">
        <x:v>top_level_area</x:v>
      </x:c>
      <x:c r="L6216" s="2" t="str">
        <x:v>property_type_inferred_from_title</x:v>
      </x:c>
      <x:c r="M6216" s="10" t="n">
        <x:v>0</x:v>
      </x:c>
      <x:c r="N6216" s="10" t="n">
        <x:v>0</x:v>
      </x:c>
      <x:c r="O6216" s="2" t="str">
        <x:v>Tp Hồ Chí Minh|land</x:v>
      </x:c>
      <x:c r="P6216" s="10" t="n">
        <x:v>2</x:v>
      </x:c>
      <x:c r="Q6216" s="13" t="n">
        <x:f>IF(H6216="","",H6216/1000000000)</x:f>
        <x:v>1</x:v>
      </x:c>
      <x:c r="R6216" s="13" t="n">
        <x:f>IF(I6216="","",I6216/1000000)</x:f>
        <x:v>10</x:v>
      </x:c>
    </x:row>
    <x:row r="6217" ht="21" customHeight="1">
      <x:c r="A6217" s="10" t="n">
        <x:v>8044</x:v>
      </x:c>
      <x:c r="B6217" s="2" t="str">
        <x:v>2faba4da902cff1116bc</x:v>
      </x:c>
      <x:c r="C6217" s="2" t="str">
        <x:v>Bình Thuận</x:v>
      </x:c>
      <x:c r="D6217" s="2" t="str">
        <x:v>Huyện Tuy Phong</x:v>
      </x:c>
      <x:c r="E6217" s="2" t="str">
        <x:v>land</x:v>
      </x:c>
      <x:c r="F6217" s="2" t="str">
        <x:v>sale</x:v>
      </x:c>
      <x:c r="G6217" s="11" t="n">
        <x:v>120</x:v>
      </x:c>
      <x:c r="H6217" s="12" t="n">
        <x:v>150000000</x:v>
      </x:c>
      <x:c r="I6217" s="12" t="n">
        <x:v>1250000</x:v>
      </x:c>
      <x:c r="J6217" s="2" t="str">
        <x:v>total</x:v>
      </x:c>
      <x:c r="K6217" s="2" t="str">
        <x:v>top_level_area</x:v>
      </x:c>
      <x:c r="L6217" s="2" t="str">
        <x:v>property_type_inferred_from_title</x:v>
      </x:c>
      <x:c r="M6217" s="10" t="n">
        <x:v>0</x:v>
      </x:c>
      <x:c r="N6217" s="10" t="n">
        <x:v>0</x:v>
      </x:c>
      <x:c r="O6217" s="2" t="str">
        <x:v>land</x:v>
      </x:c>
      <x:c r="P6217" s="10" t="n">
        <x:v>1</x:v>
      </x:c>
      <x:c r="Q6217" s="13" t="n">
        <x:f>IF(H6217="","",H6217/1000000000)</x:f>
        <x:v>0.15</x:v>
      </x:c>
      <x:c r="R6217" s="13" t="n">
        <x:f>IF(I6217="","",I6217/1000000)</x:f>
        <x:v>1.25</x:v>
      </x:c>
    </x:row>
    <x:row r="6218" ht="21" customHeight="1">
      <x:c r="A6218" s="10" t="n">
        <x:v>8045</x:v>
      </x:c>
      <x:c r="B6218" s="2" t="str">
        <x:v>6c85fbf07dc5e6563e44</x:v>
      </x:c>
      <x:c r="C6218" s="2" t="str">
        <x:v>Tp Hồ Chí Minh</x:v>
      </x:c>
      <x:c r="D6218" s="2" t="str">
        <x:v>Quận 3</x:v>
      </x:c>
      <x:c r="E6218" s="2" t="str">
        <x:v>house</x:v>
      </x:c>
      <x:c r="F6218" s="2" t="str">
        <x:v>sale</x:v>
      </x:c>
      <x:c r="G6218" s="11" t="n">
        <x:v>36</x:v>
      </x:c>
      <x:c r="H6218" s="12" t="n">
        <x:v>7100000000</x:v>
      </x:c>
      <x:c r="I6218" s="12" t="n">
        <x:v>197222222.2222222</x:v>
      </x:c>
      <x:c r="J6218" s="2" t="str">
        <x:v>total</x:v>
      </x:c>
      <x:c r="K6218" s="2" t="str">
        <x:v>top_level_area</x:v>
      </x:c>
      <x:c r="L6218" s="2" t="str">
        <x:v>property_type_inferred_from_title</x:v>
      </x:c>
      <x:c r="M6218" s="10" t="n">
        <x:v>1</x:v>
      </x:c>
      <x:c r="N6218" s="10" t="n">
        <x:v>0</x:v>
      </x:c>
      <x:c r="O6218" s="2" t="str">
        <x:v>Tp Hồ Chí Minh|house</x:v>
      </x:c>
      <x:c r="P6218" s="10" t="n">
        <x:v>2</x:v>
      </x:c>
      <x:c r="Q6218" s="13" t="n">
        <x:f>IF(H6218="","",H6218/1000000000)</x:f>
        <x:v>7.1</x:v>
      </x:c>
      <x:c r="R6218" s="13" t="n">
        <x:f>IF(I6218="","",I6218/1000000)</x:f>
        <x:v>197.2222222222222</x:v>
      </x:c>
    </x:row>
    <x:row r="6219" ht="21" customHeight="1">
      <x:c r="A6219" s="10" t="n">
        <x:v>8046</x:v>
      </x:c>
      <x:c r="B6219" s="2" t="str">
        <x:v>130f375a251a94577ae3</x:v>
      </x:c>
      <x:c r="C6219" s="2" t="str">
        <x:v>Tp Hồ Chí Minh</x:v>
      </x:c>
      <x:c r="D6219" s="2" t="str">
        <x:v>Quận 7</x:v>
      </x:c>
      <x:c r="E6219" s="2" t="str">
        <x:v>apartment</x:v>
      </x:c>
      <x:c r="F6219" s="2" t="str">
        <x:v>sale</x:v>
      </x:c>
      <x:c r="G6219" s="11" t="n">
        <x:v>109</x:v>
      </x:c>
      <x:c r="H6219" s="12" t="n">
        <x:v>1390000000</x:v>
      </x:c>
      <x:c r="I6219" s="12" t="n">
        <x:v>12752293.57798165</x:v>
      </x:c>
      <x:c r="J6219" s="2" t="str">
        <x:v>total</x:v>
      </x:c>
      <x:c r="K6219" s="2" t="str">
        <x:v>top_level_area</x:v>
      </x:c>
      <x:c r="L6219" s="2" t="str">
        <x:v>property_type_inferred_from_title</x:v>
      </x:c>
      <x:c r="M6219" s="10" t="n">
        <x:v>0</x:v>
      </x:c>
      <x:c r="N6219" s="10" t="n">
        <x:v>0</x:v>
      </x:c>
      <x:c r="O6219" s="2" t="str">
        <x:v>Tp Hồ Chí Minh|apartment</x:v>
      </x:c>
      <x:c r="P6219" s="10" t="n">
        <x:v>2</x:v>
      </x:c>
      <x:c r="Q6219" s="13" t="n">
        <x:f>IF(H6219="","",H6219/1000000000)</x:f>
        <x:v>1.39</x:v>
      </x:c>
      <x:c r="R6219" s="13" t="n">
        <x:f>IF(I6219="","",I6219/1000000)</x:f>
        <x:v>12.75229357798165</x:v>
      </x:c>
    </x:row>
    <x:row r="6220" ht="21" customHeight="1">
      <x:c r="A6220" s="10" t="n">
        <x:v>8047</x:v>
      </x:c>
      <x:c r="B6220" s="2" t="str">
        <x:v>f3f492770d83123e0edf</x:v>
      </x:c>
      <x:c r="C6220" s="2" t="str">
        <x:v>Đắk Lắk</x:v>
      </x:c>
      <x:c r="D6220" s="2" t="str">
        <x:v>Thành phố Buôn Ma Thuột</x:v>
      </x:c>
      <x:c r="E6220" s="2" t="str">
        <x:v>other_unknown</x:v>
      </x:c>
      <x:c r="F6220" s="2" t="str">
        <x:v>sale</x:v>
      </x:c>
      <x:c r="G6220" s="11" t="n">
        <x:v>95</x:v>
      </x:c>
      <x:c r="H6220" s="12" t="n">
        <x:v>1650000000</x:v>
      </x:c>
      <x:c r="I6220" s="12" t="n">
        <x:v>17368421.05263158</x:v>
      </x:c>
      <x:c r="J6220" s="2" t="str">
        <x:v>total</x:v>
      </x:c>
      <x:c r="K6220" s="2" t="str">
        <x:v>top_level_area</x:v>
      </x:c>
      <x:c r="L6220" s="2" t="str">
        <x:v>property_type_inferred_from_title;unknown_property_type</x:v>
      </x:c>
      <x:c r="M6220" s="10" t="n">
        <x:v>0</x:v>
      </x:c>
      <x:c r="N6220" s="10" t="n">
        <x:v>0</x:v>
      </x:c>
      <x:c r="O6220" s="2" t="str">
        <x:v>other_unknown</x:v>
      </x:c>
      <x:c r="P6220" s="10" t="n">
        <x:v>2</x:v>
      </x:c>
      <x:c r="Q6220" s="13" t="n">
        <x:f>IF(H6220="","",H6220/1000000000)</x:f>
        <x:v>1.65</x:v>
      </x:c>
      <x:c r="R6220" s="13" t="n">
        <x:f>IF(I6220="","",I6220/1000000)</x:f>
        <x:v>17.36842105263158</x:v>
      </x:c>
    </x:row>
    <x:row r="6221" ht="21" customHeight="1">
      <x:c r="A6221" s="10" t="n">
        <x:v>8048</x:v>
      </x:c>
      <x:c r="B6221" s="2" t="str">
        <x:v>f91f53e02fa864c7de07</x:v>
      </x:c>
      <x:c r="C6221" s="2" t="str">
        <x:v>Quảng Nam</x:v>
      </x:c>
      <x:c r="D6221" s="2" t="str">
        <x:v>Thị xã Điện Bàn</x:v>
      </x:c>
      <x:c r="E6221" s="2" t="str">
        <x:v>other_unknown</x:v>
      </x:c>
      <x:c r="F6221" s="2" t="str">
        <x:v>sale_assumed</x:v>
      </x:c>
      <x:c r="G6221" s="11" t="n">
        <x:v>87.5</x:v>
      </x:c>
      <x:c r="H6221" s="12" t="n">
        <x:v>1399000000</x:v>
      </x:c>
      <x:c r="I6221" s="12" t="n">
        <x:v>15988571.42857143</x:v>
      </x:c>
      <x:c r="J6221" s="2" t="str">
        <x:v>total</x:v>
      </x:c>
      <x:c r="K6221" s="2" t="str">
        <x:v>top_level_area</x:v>
      </x:c>
      <x:c r="L6221" s="2" t="str">
        <x:v>property_type_inferred_from_title;transaction_assumed_sale_from_dataset_context;unknown_property_type</x:v>
      </x:c>
      <x:c r="M6221" s="10" t="n">
        <x:v>0</x:v>
      </x:c>
      <x:c r="N6221" s="10" t="n">
        <x:v>0</x:v>
      </x:c>
      <x:c r="O6221" s="2" t="str">
        <x:v>other_unknown</x:v>
      </x:c>
      <x:c r="P6221" s="10" t="n">
        <x:v>2</x:v>
      </x:c>
      <x:c r="Q6221" s="13" t="n">
        <x:f>IF(H6221="","",H6221/1000000000)</x:f>
        <x:v>1.399</x:v>
      </x:c>
      <x:c r="R6221" s="13" t="n">
        <x:f>IF(I6221="","",I6221/1000000)</x:f>
        <x:v>15.98857142857143</x:v>
      </x:c>
    </x:row>
    <x:row r="6222" ht="21" customHeight="1">
      <x:c r="A6222" s="10" t="n">
        <x:v>8049</x:v>
      </x:c>
      <x:c r="B6222" s="2" t="str">
        <x:v>064fd753ff56f2f80f0c</x:v>
      </x:c>
      <x:c r="C6222" s="2" t="str">
        <x:v>Tp Hồ Chí Minh</x:v>
      </x:c>
      <x:c r="D6222" s="2" t="str">
        <x:v>Quận 2</x:v>
      </x:c>
      <x:c r="E6222" s="2" t="str">
        <x:v>apartment</x:v>
      </x:c>
      <x:c r="F6222" s="2" t="str">
        <x:v>sale</x:v>
      </x:c>
      <x:c r="G6222" s="11" t="n">
        <x:v>60</x:v>
      </x:c>
      <x:c r="H6222" s="12" t="n">
        <x:v>1680000000</x:v>
      </x:c>
      <x:c r="I6222" s="12" t="n">
        <x:v>28000000</x:v>
      </x:c>
      <x:c r="J6222" s="2" t="str">
        <x:v>total</x:v>
      </x:c>
      <x:c r="K6222" s="2" t="str">
        <x:v>top_level_area</x:v>
      </x:c>
      <x:c r="L6222" s="2" t="str">
        <x:v>property_type_inferred_from_title</x:v>
      </x:c>
      <x:c r="M6222" s="10" t="n">
        <x:v>0</x:v>
      </x:c>
      <x:c r="N6222" s="10" t="n">
        <x:v>0</x:v>
      </x:c>
      <x:c r="O6222" s="2" t="str">
        <x:v>Tp Hồ Chí Minh|apartment</x:v>
      </x:c>
      <x:c r="P6222" s="10" t="n">
        <x:v>2</x:v>
      </x:c>
      <x:c r="Q6222" s="13" t="n">
        <x:f>IF(H6222="","",H6222/1000000000)</x:f>
        <x:v>1.68</x:v>
      </x:c>
      <x:c r="R6222" s="13" t="n">
        <x:f>IF(I6222="","",I6222/1000000)</x:f>
        <x:v>28</x:v>
      </x:c>
    </x:row>
    <x:row r="6223" ht="21" customHeight="1">
      <x:c r="A6223" s="10" t="n">
        <x:v>8050</x:v>
      </x:c>
      <x:c r="B6223" s="2" t="str">
        <x:v>dd08c331cb180660dd1e</x:v>
      </x:c>
      <x:c r="C6223" s="2" t="str">
        <x:v>Hà Nội</x:v>
      </x:c>
      <x:c r="D6223" s="2" t="str">
        <x:v>Quận Thanh Xuân</x:v>
      </x:c>
      <x:c r="E6223" s="2" t="str">
        <x:v>house</x:v>
      </x:c>
      <x:c r="F6223" s="2" t="str">
        <x:v>sale</x:v>
      </x:c>
      <x:c r="G6223" s="11" t="n">
        <x:v>56</x:v>
      </x:c>
      <x:c r="H6223" s="12" t="n">
        <x:v>4200000000</x:v>
      </x:c>
      <x:c r="I6223" s="12" t="n">
        <x:v>75000000</x:v>
      </x:c>
      <x:c r="J6223" s="2" t="str">
        <x:v>total</x:v>
      </x:c>
      <x:c r="K6223" s="2" t="str">
        <x:v>top_level_area</x:v>
      </x:c>
      <x:c r="L6223" s="2" t="str">
        <x:v>property_type_inferred_from_title</x:v>
      </x:c>
      <x:c r="M6223" s="10" t="n">
        <x:v>0</x:v>
      </x:c>
      <x:c r="N6223" s="10" t="n">
        <x:v>0</x:v>
      </x:c>
      <x:c r="O6223" s="2" t="str">
        <x:v>Hà Nội|house</x:v>
      </x:c>
      <x:c r="P6223" s="10" t="n">
        <x:v>2</x:v>
      </x:c>
      <x:c r="Q6223" s="13" t="n">
        <x:f>IF(H6223="","",H6223/1000000000)</x:f>
        <x:v>4.2</x:v>
      </x:c>
      <x:c r="R6223" s="13" t="n">
        <x:f>IF(I6223="","",I6223/1000000)</x:f>
        <x:v>75</x:v>
      </x:c>
    </x:row>
    <x:row r="6224" ht="21" customHeight="1">
      <x:c r="A6224" s="10" t="n">
        <x:v>8052</x:v>
      </x:c>
      <x:c r="B6224" s="2" t="str">
        <x:v>c95111d12e36252e241d</x:v>
      </x:c>
      <x:c r="C6224" s="2" t="str">
        <x:v>Hà Nội</x:v>
      </x:c>
      <x:c r="D6224" s="2" t="str">
        <x:v>Quận Hoàn Kiếm</x:v>
      </x:c>
      <x:c r="E6224" s="2" t="str">
        <x:v>other_unknown</x:v>
      </x:c>
      <x:c r="F6224" s="2" t="str">
        <x:v>sale</x:v>
      </x:c>
      <x:c r="G6224" s="11" t="n">
        <x:v>36</x:v>
      </x:c>
      <x:c r="H6224" s="12" t="n">
        <x:v>1400000000</x:v>
      </x:c>
      <x:c r="I6224" s="12" t="n">
        <x:v>38888888.88888889</x:v>
      </x:c>
      <x:c r="J6224" s="2" t="str">
        <x:v>total</x:v>
      </x:c>
      <x:c r="K6224" s="2" t="str">
        <x:v>top_level_area</x:v>
      </x:c>
      <x:c r="L6224" s="2" t="str">
        <x:v>property_type_inferred_from_title;unknown_property_type</x:v>
      </x:c>
      <x:c r="M6224" s="10" t="n">
        <x:v>0</x:v>
      </x:c>
      <x:c r="N6224" s="10" t="n">
        <x:v>0</x:v>
      </x:c>
      <x:c r="O6224" s="2" t="str">
        <x:v>Hà Nội|other_unknown</x:v>
      </x:c>
      <x:c r="P6224" s="10" t="n">
        <x:v>2</x:v>
      </x:c>
      <x:c r="Q6224" s="13" t="n">
        <x:f>IF(H6224="","",H6224/1000000000)</x:f>
        <x:v>1.4</x:v>
      </x:c>
      <x:c r="R6224" s="13" t="n">
        <x:f>IF(I6224="","",I6224/1000000)</x:f>
        <x:v>38.888888888888886</x:v>
      </x:c>
    </x:row>
    <x:row r="6225" ht="21" customHeight="1">
      <x:c r="A6225" s="10" t="n">
        <x:v>8054</x:v>
      </x:c>
      <x:c r="B6225" s="2" t="str">
        <x:v>baee5e390bf7615e896c</x:v>
      </x:c>
      <x:c r="C6225" s="2" t="str">
        <x:v>Hà Nội</x:v>
      </x:c>
      <x:c r="D6225" s="2" t="str">
        <x:v>Quận Hoàng Mai</x:v>
      </x:c>
      <x:c r="E6225" s="2" t="str">
        <x:v>house</x:v>
      </x:c>
      <x:c r="F6225" s="2" t="str">
        <x:v>sale_assumed</x:v>
      </x:c>
      <x:c r="G6225" s="11" t="n">
        <x:v>90</x:v>
      </x:c>
      <x:c r="H6225" s="12" t="n">
        <x:v>970000000</x:v>
      </x:c>
      <x:c r="I6225" s="12" t="n">
        <x:v>10777777.777777778</x:v>
      </x:c>
      <x:c r="J6225" s="2" t="str">
        <x:v>total</x:v>
      </x:c>
      <x:c r="K6225" s="2" t="str">
        <x:v>top_level_price_embedded_area</x:v>
      </x:c>
      <x:c r="L6225" s="2" t="str">
        <x:v>area_recovered_from_price_text;property_type_inferred_from_title;transaction_assumed_sale_from_dataset_context</x:v>
      </x:c>
      <x:c r="M6225" s="10" t="n">
        <x:v>0</x:v>
      </x:c>
      <x:c r="N6225" s="10" t="n">
        <x:v>0</x:v>
      </x:c>
      <x:c r="O6225" s="2" t="str">
        <x:v>Hà Nội|house</x:v>
      </x:c>
      <x:c r="P6225" s="10" t="n">
        <x:v>2</x:v>
      </x:c>
      <x:c r="Q6225" s="13" t="n">
        <x:f>IF(H6225="","",H6225/1000000000)</x:f>
        <x:v>0.97</x:v>
      </x:c>
      <x:c r="R6225" s="13" t="n">
        <x:f>IF(I6225="","",I6225/1000000)</x:f>
        <x:v>10.777777777777779</x:v>
      </x:c>
    </x:row>
    <x:row r="6226" ht="21" customHeight="1">
      <x:c r="A6226" s="10" t="n">
        <x:v>8055</x:v>
      </x:c>
      <x:c r="B6226" s="2" t="str">
        <x:v>4648e3f82042d65c3292</x:v>
      </x:c>
      <x:c r="C6226" s="2" t="str">
        <x:v>Bà Rịa - Vũng Tàu</x:v>
      </x:c>
      <x:c r="D6226" s="2" t="str">
        <x:v>Thị xã Phú Mỹ</x:v>
      </x:c>
      <x:c r="E6226" s="2" t="str">
        <x:v>land</x:v>
      </x:c>
      <x:c r="F6226" s="2" t="str">
        <x:v>sale_assumed</x:v>
      </x:c>
      <x:c r="G6226" s="11" t="n">
        <x:v>90</x:v>
      </x:c>
      <x:c r="H6226" s="12" t="n">
        <x:v>440000000</x:v>
      </x:c>
      <x:c r="I6226" s="12" t="n">
        <x:v>4888888.888888889</x:v>
      </x:c>
      <x:c r="J6226" s="2" t="str">
        <x:v>total</x:v>
      </x:c>
      <x:c r="K6226" s="2" t="str">
        <x:v>top_level_area</x:v>
      </x:c>
      <x:c r="L6226" s="2" t="str">
        <x:v>property_type_inferred_from_title;transaction_assumed_sale_from_dataset_context</x:v>
      </x:c>
      <x:c r="M6226" s="10" t="n">
        <x:v>0</x:v>
      </x:c>
      <x:c r="N6226" s="10" t="n">
        <x:v>0</x:v>
      </x:c>
      <x:c r="O6226" s="2" t="str">
        <x:v>Bà Rịa - Vũng Tàu|land</x:v>
      </x:c>
      <x:c r="P6226" s="10" t="n">
        <x:v>2</x:v>
      </x:c>
      <x:c r="Q6226" s="13" t="n">
        <x:f>IF(H6226="","",H6226/1000000000)</x:f>
        <x:v>0.44</x:v>
      </x:c>
      <x:c r="R6226" s="13" t="n">
        <x:f>IF(I6226="","",I6226/1000000)</x:f>
        <x:v>4.888888888888889</x:v>
      </x:c>
    </x:row>
    <x:row r="6227" ht="21" customHeight="1">
      <x:c r="A6227" s="10" t="n">
        <x:v>8056</x:v>
      </x:c>
      <x:c r="B6227" s="2" t="str">
        <x:v>eaf71f41bfdbc3de3524</x:v>
      </x:c>
      <x:c r="C6227" s="2" t="str">
        <x:v>Bình Dương</x:v>
      </x:c>
      <x:c r="D6227" s="2" t="str">
        <x:v>Huyện Bàu Bàng</x:v>
      </x:c>
      <x:c r="E6227" s="2" t="str">
        <x:v>land</x:v>
      </x:c>
      <x:c r="F6227" s="2" t="str">
        <x:v>sale</x:v>
      </x:c>
      <x:c r="G6227" s="11" t="n">
        <x:v>875</x:v>
      </x:c>
      <x:c r="H6227" s="12" t="n">
        <x:v>680000000</x:v>
      </x:c>
      <x:c r="I6227" s="12" t="n">
        <x:v>777142.8571428572</x:v>
      </x:c>
      <x:c r="J6227" s="2" t="str">
        <x:v>total</x:v>
      </x:c>
      <x:c r="K6227" s="2" t="str">
        <x:v>top_level_area</x:v>
      </x:c>
      <x:c r="L6227" s="2" t="str">
        <x:v>property_type_inferred_from_title</x:v>
      </x:c>
      <x:c r="M6227" s="10" t="n">
        <x:v>0</x:v>
      </x:c>
      <x:c r="N6227" s="10" t="n">
        <x:v>0</x:v>
      </x:c>
      <x:c r="O6227" s="2" t="str">
        <x:v>Bình Dương|land</x:v>
      </x:c>
      <x:c r="P6227" s="10" t="n">
        <x:v>1</x:v>
      </x:c>
      <x:c r="Q6227" s="13" t="n">
        <x:f>IF(H6227="","",H6227/1000000000)</x:f>
        <x:v>0.68</x:v>
      </x:c>
      <x:c r="R6227" s="13" t="n">
        <x:f>IF(I6227="","",I6227/1000000)</x:f>
        <x:v>0.7771428571428571</x:v>
      </x:c>
    </x:row>
    <x:row r="6228" ht="21" customHeight="1">
      <x:c r="A6228" s="10" t="n">
        <x:v>8057</x:v>
      </x:c>
      <x:c r="B6228" s="2" t="str">
        <x:v>f043a25737d853f7517c</x:v>
      </x:c>
      <x:c r="C6228" s="2" t="str">
        <x:v>Đồng Nai</x:v>
      </x:c>
      <x:c r="D6228" s="2" t="str">
        <x:v>Huyện Trảng Bom</x:v>
      </x:c>
      <x:c r="E6228" s="2" t="str">
        <x:v>land</x:v>
      </x:c>
      <x:c r="F6228" s="2" t="str">
        <x:v>sale_assumed</x:v>
      </x:c>
      <x:c r="G6228" s="11" t="n">
        <x:v>110</x:v>
      </x:c>
      <x:c r="H6228" s="12" t="n">
        <x:v>799000000</x:v>
      </x:c>
      <x:c r="I6228" s="12" t="n">
        <x:v>7263636.363636363</x:v>
      </x:c>
      <x:c r="J6228" s="2" t="str">
        <x:v>total</x:v>
      </x:c>
      <x:c r="K6228" s="2" t="str">
        <x:v>top_level_area</x:v>
      </x:c>
      <x:c r="L6228" s="2" t="str">
        <x:v>property_type_inferred_from_title;transaction_assumed_sale_from_dataset_context</x:v>
      </x:c>
      <x:c r="M6228" s="10" t="n">
        <x:v>0</x:v>
      </x:c>
      <x:c r="N6228" s="10" t="n">
        <x:v>0</x:v>
      </x:c>
      <x:c r="O6228" s="2" t="str">
        <x:v>Đồng Nai|land</x:v>
      </x:c>
      <x:c r="P6228" s="10" t="n">
        <x:v>2</x:v>
      </x:c>
      <x:c r="Q6228" s="13" t="n">
        <x:f>IF(H6228="","",H6228/1000000000)</x:f>
        <x:v>0.799</x:v>
      </x:c>
      <x:c r="R6228" s="13" t="n">
        <x:f>IF(I6228="","",I6228/1000000)</x:f>
        <x:v>7.263636363636364</x:v>
      </x:c>
    </x:row>
    <x:row r="6229" ht="21" customHeight="1">
      <x:c r="A6229" s="10" t="n">
        <x:v>8058</x:v>
      </x:c>
      <x:c r="B6229" s="2" t="str">
        <x:v>5fd6baf4116f7efe99f0</x:v>
      </x:c>
      <x:c r="C6229" s="2" t="str">
        <x:v>Hà Nội</x:v>
      </x:c>
      <x:c r="D6229" s="2" t="str">
        <x:v>Huyện Thanh Trì</x:v>
      </x:c>
      <x:c r="E6229" s="2" t="str">
        <x:v>land</x:v>
      </x:c>
      <x:c r="F6229" s="2" t="str">
        <x:v>sale</x:v>
      </x:c>
      <x:c r="G6229" s="11" t="n">
        <x:v>124</x:v>
      </x:c>
      <x:c r="H6229" s="12" t="n">
        <x:v>5000000000</x:v>
      </x:c>
      <x:c r="I6229" s="12" t="n">
        <x:v>40322580.64516129</x:v>
      </x:c>
      <x:c r="J6229" s="2" t="str">
        <x:v>total</x:v>
      </x:c>
      <x:c r="K6229" s="2" t="str">
        <x:v>top_level_area</x:v>
      </x:c>
      <x:c r="L6229" s="2" t="str">
        <x:v>property_type_inferred_from_title</x:v>
      </x:c>
      <x:c r="M6229" s="10" t="n">
        <x:v>0</x:v>
      </x:c>
      <x:c r="N6229" s="10" t="n">
        <x:v>0</x:v>
      </x:c>
      <x:c r="O6229" s="2" t="str">
        <x:v>Hà Nội|land</x:v>
      </x:c>
      <x:c r="P6229" s="10" t="n">
        <x:v>2</x:v>
      </x:c>
      <x:c r="Q6229" s="13" t="n">
        <x:f>IF(H6229="","",H6229/1000000000)</x:f>
        <x:v>5</x:v>
      </x:c>
      <x:c r="R6229" s="13" t="n">
        <x:f>IF(I6229="","",I6229/1000000)</x:f>
        <x:v>40.322580645161295</x:v>
      </x:c>
    </x:row>
    <x:row r="6230" ht="21" customHeight="1">
      <x:c r="A6230" s="10" t="n">
        <x:v>8059</x:v>
      </x:c>
      <x:c r="B6230" s="2" t="str">
        <x:v>9f145725e0ee2f7e2a40</x:v>
      </x:c>
      <x:c r="C6230" s="2" t="str">
        <x:v>Tp Hồ Chí Minh</x:v>
      </x:c>
      <x:c r="D6230" s="2" t="str">
        <x:v>Quận Bình Thạnh</x:v>
      </x:c>
      <x:c r="E6230" s="2" t="str">
        <x:v>house</x:v>
      </x:c>
      <x:c r="F6230" s="2" t="str">
        <x:v>sale</x:v>
      </x:c>
      <x:c r="G6230" s="11" t="n">
        <x:v>80</x:v>
      </x:c>
      <x:c r="H6230" s="12" t="n">
        <x:v>10500000000</x:v>
      </x:c>
      <x:c r="I6230" s="12" t="n">
        <x:v>131250000</x:v>
      </x:c>
      <x:c r="J6230" s="2" t="str">
        <x:v>total</x:v>
      </x:c>
      <x:c r="K6230" s="2" t="str">
        <x:v>top_level_area</x:v>
      </x:c>
      <x:c r="L6230" s="2" t="str">
        <x:v>property_type_inferred_from_title</x:v>
      </x:c>
      <x:c r="M6230" s="10" t="n">
        <x:v>0</x:v>
      </x:c>
      <x:c r="N6230" s="10" t="n">
        <x:v>0</x:v>
      </x:c>
      <x:c r="O6230" s="2" t="str">
        <x:v>Tp Hồ Chí Minh|house</x:v>
      </x:c>
      <x:c r="P6230" s="10" t="n">
        <x:v>2</x:v>
      </x:c>
      <x:c r="Q6230" s="13" t="n">
        <x:f>IF(H6230="","",H6230/1000000000)</x:f>
        <x:v>10.5</x:v>
      </x:c>
      <x:c r="R6230" s="13" t="n">
        <x:f>IF(I6230="","",I6230/1000000)</x:f>
        <x:v>131.25</x:v>
      </x:c>
    </x:row>
    <x:row r="6231" ht="21" customHeight="1">
      <x:c r="A6231" s="10" t="n">
        <x:v>8060</x:v>
      </x:c>
      <x:c r="B6231" s="2" t="str">
        <x:v>6fb887a3def3b94f1071</x:v>
      </x:c>
      <x:c r="C6231" s="2" t="str">
        <x:v>Hà Nội</x:v>
      </x:c>
      <x:c r="D6231" s="2" t="str">
        <x:v>Quận Hà Đông</x:v>
      </x:c>
      <x:c r="E6231" s="2" t="str">
        <x:v>house</x:v>
      </x:c>
      <x:c r="F6231" s="2" t="str">
        <x:v>sale_assumed</x:v>
      </x:c>
      <x:c r="G6231" s="11" t="n">
        <x:v>32</x:v>
      </x:c>
      <x:c r="H6231" s="12" t="n">
        <x:v>1930000000</x:v>
      </x:c>
      <x:c r="I6231" s="12" t="n">
        <x:v>60312500</x:v>
      </x:c>
      <x:c r="J6231" s="2" t="str">
        <x:v>total</x:v>
      </x:c>
      <x:c r="K6231" s="2" t="str">
        <x:v>top_level_area</x:v>
      </x:c>
      <x:c r="L6231" s="2" t="str">
        <x:v>property_type_inferred_from_title;transaction_assumed_sale_from_dataset_context</x:v>
      </x:c>
      <x:c r="M6231" s="10" t="n">
        <x:v>0</x:v>
      </x:c>
      <x:c r="N6231" s="10" t="n">
        <x:v>0</x:v>
      </x:c>
      <x:c r="O6231" s="2" t="str">
        <x:v>Hà Nội|house</x:v>
      </x:c>
      <x:c r="P6231" s="10" t="n">
        <x:v>2</x:v>
      </x:c>
      <x:c r="Q6231" s="13" t="n">
        <x:f>IF(H6231="","",H6231/1000000000)</x:f>
        <x:v>1.93</x:v>
      </x:c>
      <x:c r="R6231" s="13" t="n">
        <x:f>IF(I6231="","",I6231/1000000)</x:f>
        <x:v>60.3125</x:v>
      </x:c>
    </x:row>
    <x:row r="6232" ht="21" customHeight="1">
      <x:c r="A6232" s="10" t="n">
        <x:v>8061</x:v>
      </x:c>
      <x:c r="B6232" s="2" t="str">
        <x:v>ce883d005d32d4d65f56</x:v>
      </x:c>
      <x:c r="C6232" s="2" t="str">
        <x:v>Tp Hồ Chí Minh</x:v>
      </x:c>
      <x:c r="D6232" s="2" t="str">
        <x:v>Huyện Củ Chi</x:v>
      </x:c>
      <x:c r="E6232" s="2" t="str">
        <x:v>land</x:v>
      </x:c>
      <x:c r="F6232" s="2" t="str">
        <x:v>sale_assumed</x:v>
      </x:c>
      <x:c r="G6232" s="11" t="n">
        <x:v>7400</x:v>
      </x:c>
      <x:c r="H6232" s="12" t="n">
        <x:v>4300000000</x:v>
      </x:c>
      <x:c r="I6232" s="12" t="n">
        <x:v>581081.0810810811</x:v>
      </x:c>
      <x:c r="J6232" s="2" t="str">
        <x:v>total</x:v>
      </x:c>
      <x:c r="K6232" s="2" t="str">
        <x:v>top_level_area</x:v>
      </x:c>
      <x:c r="L6232" s="2" t="str">
        <x:v>dot_thousands_convention;property_type_inferred_from_title;transaction_assumed_sale_from_dataset_context</x:v>
      </x:c>
      <x:c r="M6232" s="10" t="n">
        <x:v>0</x:v>
      </x:c>
      <x:c r="N6232" s="10" t="n">
        <x:v>0</x:v>
      </x:c>
      <x:c r="O6232" s="2" t="str">
        <x:v>Tp Hồ Chí Minh|land</x:v>
      </x:c>
      <x:c r="P6232" s="10" t="n">
        <x:v>1</x:v>
      </x:c>
      <x:c r="Q6232" s="13" t="n">
        <x:f>IF(H6232="","",H6232/1000000000)</x:f>
        <x:v>4.3</x:v>
      </x:c>
      <x:c r="R6232" s="13" t="n">
        <x:f>IF(I6232="","",I6232/1000000)</x:f>
        <x:v>0.581081081081081</x:v>
      </x:c>
    </x:row>
    <x:row r="6233" ht="21" customHeight="1">
      <x:c r="A6233" s="10" t="n">
        <x:v>8062</x:v>
      </x:c>
      <x:c r="B6233" s="2" t="str">
        <x:v>7ab00aa4de6568e17c46</x:v>
      </x:c>
      <x:c r="C6233" s="2" t="str">
        <x:v>Hà Nội</x:v>
      </x:c>
      <x:c r="D6233" s="2" t="str">
        <x:v>Quận Cầu Giấy</x:v>
      </x:c>
      <x:c r="E6233" s="2" t="str">
        <x:v>house</x:v>
      </x:c>
      <x:c r="F6233" s="2" t="str">
        <x:v>sale</x:v>
      </x:c>
      <x:c r="G6233" s="11" t="n">
        <x:v>31</x:v>
      </x:c>
      <x:c r="H6233" s="12" t="n">
        <x:v>2700000000</x:v>
      </x:c>
      <x:c r="I6233" s="12" t="n">
        <x:v>87096774.19354838</x:v>
      </x:c>
      <x:c r="J6233" s="2" t="str">
        <x:v>total</x:v>
      </x:c>
      <x:c r="K6233" s="2" t="str">
        <x:v>top_level_area</x:v>
      </x:c>
      <x:c r="L6233" s="2" t="str">
        <x:v>property_type_inferred_from_title</x:v>
      </x:c>
      <x:c r="M6233" s="10" t="n">
        <x:v>0</x:v>
      </x:c>
      <x:c r="N6233" s="10" t="n">
        <x:v>0</x:v>
      </x:c>
      <x:c r="O6233" s="2" t="str">
        <x:v>Hà Nội|house</x:v>
      </x:c>
      <x:c r="P6233" s="10" t="n">
        <x:v>2</x:v>
      </x:c>
      <x:c r="Q6233" s="13" t="n">
        <x:f>IF(H6233="","",H6233/1000000000)</x:f>
        <x:v>2.7</x:v>
      </x:c>
      <x:c r="R6233" s="13" t="n">
        <x:f>IF(I6233="","",I6233/1000000)</x:f>
        <x:v>87.09677419354838</x:v>
      </x:c>
    </x:row>
    <x:row r="6234" ht="21" customHeight="1">
      <x:c r="A6234" s="10" t="n">
        <x:v>8063</x:v>
      </x:c>
      <x:c r="B6234" s="2" t="str">
        <x:v>d63c392021ceaf263fa3</x:v>
      </x:c>
      <x:c r="C6234" s="2" t="str">
        <x:v>Tp Hồ Chí Minh</x:v>
      </x:c>
      <x:c r="D6234" s="2" t="str">
        <x:v>Huyện Củ Chi</x:v>
      </x:c>
      <x:c r="E6234" s="2" t="str">
        <x:v>house</x:v>
      </x:c>
      <x:c r="F6234" s="2" t="str">
        <x:v>sale</x:v>
      </x:c>
      <x:c r="G6234" s="11" t="n">
        <x:v>1268</x:v>
      </x:c>
      <x:c r="H6234" s="12" t="n">
        <x:v>8900000000</x:v>
      </x:c>
      <x:c r="I6234" s="12" t="n">
        <x:v>7018927.444794953</x:v>
      </x:c>
      <x:c r="J6234" s="2" t="str">
        <x:v>total</x:v>
      </x:c>
      <x:c r="K6234" s="2" t="str">
        <x:v>top_level_area</x:v>
      </x:c>
      <x:c r="L6234" s="2" t="str">
        <x:v>dot_thousands_convention;property_type_inferred_from_title</x:v>
      </x:c>
      <x:c r="M6234" s="10" t="n">
        <x:v>0</x:v>
      </x:c>
      <x:c r="N6234" s="10" t="n">
        <x:v>0</x:v>
      </x:c>
      <x:c r="O6234" s="2" t="str">
        <x:v>Tp Hồ Chí Minh|house</x:v>
      </x:c>
      <x:c r="P6234" s="10" t="n">
        <x:v>1</x:v>
      </x:c>
      <x:c r="Q6234" s="13" t="n">
        <x:f>IF(H6234="","",H6234/1000000000)</x:f>
        <x:v>8.9</x:v>
      </x:c>
      <x:c r="R6234" s="13" t="n">
        <x:f>IF(I6234="","",I6234/1000000)</x:f>
        <x:v>7.018927444794953</x:v>
      </x:c>
    </x:row>
    <x:row r="6235" ht="21" customHeight="1">
      <x:c r="A6235" s="10" t="n">
        <x:v>8064</x:v>
      </x:c>
      <x:c r="B6235" s="2" t="str">
        <x:v>75432aba67c66d6383ff</x:v>
      </x:c>
      <x:c r="C6235" s="2" t="str">
        <x:v>Tp Hồ Chí Minh</x:v>
      </x:c>
      <x:c r="D6235" s="2" t="str">
        <x:v>Quận 12</x:v>
      </x:c>
      <x:c r="E6235" s="2" t="str">
        <x:v>house</x:v>
      </x:c>
      <x:c r="F6235" s="2" t="str">
        <x:v>sale_assumed</x:v>
      </x:c>
      <x:c r="G6235" s="11" t="n">
        <x:v>37</x:v>
      </x:c>
      <x:c r="H6235" s="12" t="n">
        <x:v>2900000000</x:v>
      </x:c>
      <x:c r="I6235" s="12" t="n">
        <x:v>78378378.37837838</x:v>
      </x:c>
      <x:c r="J6235" s="2" t="str">
        <x:v>total</x:v>
      </x:c>
      <x:c r="K6235" s="2" t="str">
        <x:v>top_level_area</x:v>
      </x:c>
      <x:c r="L6235" s="2" t="str">
        <x:v>property_type_inferred_from_title;transaction_assumed_sale_from_dataset_context</x:v>
      </x:c>
      <x:c r="M6235" s="10" t="n">
        <x:v>0</x:v>
      </x:c>
      <x:c r="N6235" s="10" t="n">
        <x:v>0</x:v>
      </x:c>
      <x:c r="O6235" s="2" t="str">
        <x:v>Tp Hồ Chí Minh|house</x:v>
      </x:c>
      <x:c r="P6235" s="10" t="n">
        <x:v>2</x:v>
      </x:c>
      <x:c r="Q6235" s="13" t="n">
        <x:f>IF(H6235="","",H6235/1000000000)</x:f>
        <x:v>2.9</x:v>
      </x:c>
      <x:c r="R6235" s="13" t="n">
        <x:f>IF(I6235="","",I6235/1000000)</x:f>
        <x:v>78.37837837837837</x:v>
      </x:c>
    </x:row>
    <x:row r="6236" ht="21" customHeight="1">
      <x:c r="A6236" s="10" t="n">
        <x:v>8065</x:v>
      </x:c>
      <x:c r="B6236" s="2" t="str">
        <x:v>02d6a72ec618eaf8225f</x:v>
      </x:c>
      <x:c r="C6236" s="2" t="str">
        <x:v>Tp Hồ Chí Minh</x:v>
      </x:c>
      <x:c r="D6236" s="2" t="str">
        <x:v>Quận Tân Phú</x:v>
      </x:c>
      <x:c r="E6236" s="2" t="str">
        <x:v>house</x:v>
      </x:c>
      <x:c r="F6236" s="2" t="str">
        <x:v>sale</x:v>
      </x:c>
      <x:c r="G6236" s="11" t="n">
        <x:v>34</x:v>
      </x:c>
      <x:c r="H6236" s="12" t="n">
        <x:v>3950000000</x:v>
      </x:c>
      <x:c r="I6236" s="12" t="n">
        <x:v>116176470.58823529</x:v>
      </x:c>
      <x:c r="J6236" s="2" t="str">
        <x:v>total</x:v>
      </x:c>
      <x:c r="K6236" s="2" t="str">
        <x:v>top_level_area</x:v>
      </x:c>
      <x:c r="L6236" s="2" t="str">
        <x:v>property_type_inferred_from_title</x:v>
      </x:c>
      <x:c r="M6236" s="10" t="n">
        <x:v>0</x:v>
      </x:c>
      <x:c r="N6236" s="10" t="n">
        <x:v>0</x:v>
      </x:c>
      <x:c r="O6236" s="2" t="str">
        <x:v>Tp Hồ Chí Minh|house</x:v>
      </x:c>
      <x:c r="P6236" s="10" t="n">
        <x:v>2</x:v>
      </x:c>
      <x:c r="Q6236" s="13" t="n">
        <x:f>IF(H6236="","",H6236/1000000000)</x:f>
        <x:v>3.95</x:v>
      </x:c>
      <x:c r="R6236" s="13" t="n">
        <x:f>IF(I6236="","",I6236/1000000)</x:f>
        <x:v>116.17647058823529</x:v>
      </x:c>
    </x:row>
    <x:row r="6237" ht="21" customHeight="1">
      <x:c r="A6237" s="10" t="n">
        <x:v>8066</x:v>
      </x:c>
      <x:c r="B6237" s="2" t="str">
        <x:v>bb3eca07596d2691eef2</x:v>
      </x:c>
      <x:c r="C6237" s="2" t="str">
        <x:v>Tp Hồ Chí Minh</x:v>
      </x:c>
      <x:c r="D6237" s="2" t="str">
        <x:v>Quận 8</x:v>
      </x:c>
      <x:c r="E6237" s="2" t="str">
        <x:v>house</x:v>
      </x:c>
      <x:c r="F6237" s="2" t="str">
        <x:v>sale</x:v>
      </x:c>
      <x:c r="G6237" s="11" t="n">
        <x:v>50</x:v>
      </x:c>
      <x:c r="H6237" s="12" t="n">
        <x:v>3800000000</x:v>
      </x:c>
      <x:c r="I6237" s="12" t="n">
        <x:v>76000000</x:v>
      </x:c>
      <x:c r="J6237" s="2" t="str">
        <x:v>total</x:v>
      </x:c>
      <x:c r="K6237" s="2" t="str">
        <x:v>top_level_area</x:v>
      </x:c>
      <x:c r="L6237" s="2" t="str">
        <x:v>property_type_inferred_from_title</x:v>
      </x:c>
      <x:c r="M6237" s="10" t="n">
        <x:v>0</x:v>
      </x:c>
      <x:c r="N6237" s="10" t="n">
        <x:v>0</x:v>
      </x:c>
      <x:c r="O6237" s="2" t="str">
        <x:v>Tp Hồ Chí Minh|house</x:v>
      </x:c>
      <x:c r="P6237" s="10" t="n">
        <x:v>2</x:v>
      </x:c>
      <x:c r="Q6237" s="13" t="n">
        <x:f>IF(H6237="","",H6237/1000000000)</x:f>
        <x:v>3.8</x:v>
      </x:c>
      <x:c r="R6237" s="13" t="n">
        <x:f>IF(I6237="","",I6237/1000000)</x:f>
        <x:v>76</x:v>
      </x:c>
    </x:row>
    <x:row r="6238" ht="21" customHeight="1">
      <x:c r="A6238" s="10" t="n">
        <x:v>8067</x:v>
      </x:c>
      <x:c r="B6238" s="2" t="str">
        <x:v>7712231ce919043a8b41</x:v>
      </x:c>
      <x:c r="C6238" s="2" t="str">
        <x:v>Tp Hồ Chí Minh</x:v>
      </x:c>
      <x:c r="D6238" s="2" t="str">
        <x:v>Quận Tân Phú</x:v>
      </x:c>
      <x:c r="E6238" s="2" t="str">
        <x:v>house</x:v>
      </x:c>
      <x:c r="F6238" s="2" t="str">
        <x:v>sale_assumed</x:v>
      </x:c>
      <x:c r="G6238" s="11" t="n">
        <x:v>70</x:v>
      </x:c>
      <x:c r="H6238" s="12" t="n">
        <x:v>2800000000</x:v>
      </x:c>
      <x:c r="I6238" s="12" t="n">
        <x:v>40000000</x:v>
      </x:c>
      <x:c r="J6238" s="2" t="str">
        <x:v>total</x:v>
      </x:c>
      <x:c r="K6238" s="2" t="str">
        <x:v>top_level_area</x:v>
      </x:c>
      <x:c r="L6238" s="2" t="str">
        <x:v>property_type_inferred_from_title;transaction_assumed_sale_from_dataset_context</x:v>
      </x:c>
      <x:c r="M6238" s="10" t="n">
        <x:v>0</x:v>
      </x:c>
      <x:c r="N6238" s="10" t="n">
        <x:v>0</x:v>
      </x:c>
      <x:c r="O6238" s="2" t="str">
        <x:v>Tp Hồ Chí Minh|house</x:v>
      </x:c>
      <x:c r="P6238" s="10" t="n">
        <x:v>2</x:v>
      </x:c>
      <x:c r="Q6238" s="13" t="n">
        <x:f>IF(H6238="","",H6238/1000000000)</x:f>
        <x:v>2.8</x:v>
      </x:c>
      <x:c r="R6238" s="13" t="n">
        <x:f>IF(I6238="","",I6238/1000000)</x:f>
        <x:v>40</x:v>
      </x:c>
    </x:row>
    <x:row r="6239" ht="21" customHeight="1">
      <x:c r="A6239" s="10" t="n">
        <x:v>8068</x:v>
      </x:c>
      <x:c r="B6239" s="2" t="str">
        <x:v>7fbbd564d72c6f1b60f5</x:v>
      </x:c>
      <x:c r="C6239" s="2" t="str">
        <x:v>Tp Hồ Chí Minh</x:v>
      </x:c>
      <x:c r="D6239" s="2" t="str">
        <x:v>Quận Thủ Đức</x:v>
      </x:c>
      <x:c r="E6239" s="2" t="str">
        <x:v>land</x:v>
      </x:c>
      <x:c r="F6239" s="2" t="str">
        <x:v>sale_assumed</x:v>
      </x:c>
      <x:c r="G6239" s="11" t="n">
        <x:v>300</x:v>
      </x:c>
      <x:c r="H6239" s="12" t="n">
        <x:v>510000000</x:v>
      </x:c>
      <x:c r="I6239" s="12" t="n">
        <x:v>1700000</x:v>
      </x:c>
      <x:c r="J6239" s="2" t="str">
        <x:v>total</x:v>
      </x:c>
      <x:c r="K6239" s="2" t="str">
        <x:v>top_level_area</x:v>
      </x:c>
      <x:c r="L6239" s="2" t="str">
        <x:v>property_type_inferred_from_title;transaction_assumed_sale_from_dataset_context</x:v>
      </x:c>
      <x:c r="M6239" s="10" t="n">
        <x:v>0</x:v>
      </x:c>
      <x:c r="N6239" s="10" t="n">
        <x:v>0</x:v>
      </x:c>
      <x:c r="O6239" s="2" t="str">
        <x:v>Tp Hồ Chí Minh|land</x:v>
      </x:c>
      <x:c r="P6239" s="10" t="n">
        <x:v>1</x:v>
      </x:c>
      <x:c r="Q6239" s="13" t="n">
        <x:f>IF(H6239="","",H6239/1000000000)</x:f>
        <x:v>0.51</x:v>
      </x:c>
      <x:c r="R6239" s="13" t="n">
        <x:f>IF(I6239="","",I6239/1000000)</x:f>
        <x:v>1.7</x:v>
      </x:c>
    </x:row>
    <x:row r="6240" ht="21" customHeight="1">
      <x:c r="A6240" s="10" t="n">
        <x:v>8069</x:v>
      </x:c>
      <x:c r="B6240" s="2" t="str">
        <x:v>653a02342702254e6bc5</x:v>
      </x:c>
      <x:c r="C6240" s="2" t="str">
        <x:v>Bình Dương</x:v>
      </x:c>
      <x:c r="D6240" s="2" t="str">
        <x:v>Thị xã Bến Cát</x:v>
      </x:c>
      <x:c r="E6240" s="2" t="str">
        <x:v>other_unknown</x:v>
      </x:c>
      <x:c r="F6240" s="2" t="str">
        <x:v>sale_assumed</x:v>
      </x:c>
      <x:c r="G6240" s="11" t="n">
        <x:v>75</x:v>
      </x:c>
      <x:c r="H6240" s="12" t="n">
        <x:v>320000000</x:v>
      </x:c>
      <x:c r="I6240" s="12" t="n">
        <x:v>4266666.666666667</x:v>
      </x:c>
      <x:c r="J6240" s="2" t="str">
        <x:v>total</x:v>
      </x:c>
      <x:c r="K6240" s="2" t="str">
        <x:v>top_level_area</x:v>
      </x:c>
      <x:c r="L6240" s="2" t="str">
        <x:v>property_type_inferred_from_title;transaction_assumed_sale_from_dataset_context;unknown_property_type</x:v>
      </x:c>
      <x:c r="M6240" s="10" t="n">
        <x:v>0</x:v>
      </x:c>
      <x:c r="N6240" s="10" t="n">
        <x:v>0</x:v>
      </x:c>
      <x:c r="O6240" s="2" t="str">
        <x:v>Bình Dương|other_unknown</x:v>
      </x:c>
      <x:c r="P6240" s="10" t="n">
        <x:v>2</x:v>
      </x:c>
      <x:c r="Q6240" s="13" t="n">
        <x:f>IF(H6240="","",H6240/1000000000)</x:f>
        <x:v>0.32</x:v>
      </x:c>
      <x:c r="R6240" s="13" t="n">
        <x:f>IF(I6240="","",I6240/1000000)</x:f>
        <x:v>4.266666666666667</x:v>
      </x:c>
    </x:row>
    <x:row r="6241" ht="21" customHeight="1">
      <x:c r="A6241" s="10" t="n">
        <x:v>8070</x:v>
      </x:c>
      <x:c r="B6241" s="2" t="str">
        <x:v>e925042aa269995623bd</x:v>
      </x:c>
      <x:c r="C6241" s="2" t="str">
        <x:v>Long An</x:v>
      </x:c>
      <x:c r="D6241" s="2" t="str">
        <x:v>Huyện Bến Lức</x:v>
      </x:c>
      <x:c r="E6241" s="2" t="str">
        <x:v>house</x:v>
      </x:c>
      <x:c r="F6241" s="2" t="str">
        <x:v>sale_assumed</x:v>
      </x:c>
      <x:c r="G6241" s="11" t="n">
        <x:v>65</x:v>
      </x:c>
      <x:c r="H6241" s="12" t="n">
        <x:v>1500000000</x:v>
      </x:c>
      <x:c r="I6241" s="12" t="n">
        <x:v>23076923.076923076</x:v>
      </x:c>
      <x:c r="J6241" s="2" t="str">
        <x:v>total</x:v>
      </x:c>
      <x:c r="K6241" s="2" t="str">
        <x:v>top_level_area</x:v>
      </x:c>
      <x:c r="L6241" s="2" t="str">
        <x:v>property_type_inferred_from_title;transaction_assumed_sale_from_dataset_context</x:v>
      </x:c>
      <x:c r="M6241" s="10" t="n">
        <x:v>0</x:v>
      </x:c>
      <x:c r="N6241" s="10" t="n">
        <x:v>0</x:v>
      </x:c>
      <x:c r="O6241" s="2" t="str">
        <x:v>Long An|house</x:v>
      </x:c>
      <x:c r="P6241" s="10" t="n">
        <x:v>2</x:v>
      </x:c>
      <x:c r="Q6241" s="13" t="n">
        <x:f>IF(H6241="","",H6241/1000000000)</x:f>
        <x:v>1.5</x:v>
      </x:c>
      <x:c r="R6241" s="13" t="n">
        <x:f>IF(I6241="","",I6241/1000000)</x:f>
        <x:v>23.076923076923077</x:v>
      </x:c>
    </x:row>
    <x:row r="6242" ht="21" customHeight="1">
      <x:c r="A6242" s="10" t="n">
        <x:v>8071</x:v>
      </x:c>
      <x:c r="B6242" s="2" t="str">
        <x:v>e00f56b6fe15f5a0776a</x:v>
      </x:c>
      <x:c r="C6242" s="2" t="str">
        <x:v>Cà Mau</x:v>
      </x:c>
      <x:c r="D6242" s="2" t="str">
        <x:v>Thành phố Cà Mau</x:v>
      </x:c>
      <x:c r="E6242" s="2" t="str">
        <x:v>land</x:v>
      </x:c>
      <x:c r="F6242" s="2" t="str">
        <x:v>sale_assumed</x:v>
      </x:c>
      <x:c r="G6242" s="11" t="n">
        <x:v>2000</x:v>
      </x:c>
      <x:c r="H6242" s="12" t="n">
        <x:v>2200000000</x:v>
      </x:c>
      <x:c r="I6242" s="12" t="n">
        <x:v>1100000</x:v>
      </x:c>
      <x:c r="J6242" s="2" t="str">
        <x:v>total</x:v>
      </x:c>
      <x:c r="K6242" s="2" t="str">
        <x:v>top_level_area</x:v>
      </x:c>
      <x:c r="L6242" s="2" t="str">
        <x:v>dot_thousands_convention;property_type_inferred_from_title;transaction_assumed_sale_from_dataset_context</x:v>
      </x:c>
      <x:c r="M6242" s="10" t="n">
        <x:v>0</x:v>
      </x:c>
      <x:c r="N6242" s="10" t="n">
        <x:v>0</x:v>
      </x:c>
      <x:c r="O6242" s="2" t="str">
        <x:v>land</x:v>
      </x:c>
      <x:c r="P6242" s="10" t="n">
        <x:v>1</x:v>
      </x:c>
      <x:c r="Q6242" s="13" t="n">
        <x:f>IF(H6242="","",H6242/1000000000)</x:f>
        <x:v>2.2</x:v>
      </x:c>
      <x:c r="R6242" s="13" t="n">
        <x:f>IF(I6242="","",I6242/1000000)</x:f>
        <x:v>1.1</x:v>
      </x:c>
    </x:row>
    <x:row r="6243" ht="21" customHeight="1">
      <x:c r="A6243" s="10" t="n">
        <x:v>8072</x:v>
      </x:c>
      <x:c r="B6243" s="2" t="str">
        <x:v>2b9671aa79760e474a25</x:v>
      </x:c>
      <x:c r="C6243" s="2" t="str">
        <x:v>Long An</x:v>
      </x:c>
      <x:c r="D6243" s="2" t="str">
        <x:v>Huyện Cần Giuộc</x:v>
      </x:c>
      <x:c r="E6243" s="2" t="str">
        <x:v>house</x:v>
      </x:c>
      <x:c r="F6243" s="2" t="str">
        <x:v>sale_assumed</x:v>
      </x:c>
      <x:c r="G6243" s="11" t="n">
        <x:v>100</x:v>
      </x:c>
      <x:c r="H6243" s="12" t="n">
        <x:v>400000000</x:v>
      </x:c>
      <x:c r="I6243" s="12" t="n">
        <x:v>4000000</x:v>
      </x:c>
      <x:c r="J6243" s="2" t="str">
        <x:v>total</x:v>
      </x:c>
      <x:c r="K6243" s="2" t="str">
        <x:v>top_level_area</x:v>
      </x:c>
      <x:c r="L6243" s="2" t="str">
        <x:v>property_type_inferred_from_title;transaction_assumed_sale_from_dataset_context</x:v>
      </x:c>
      <x:c r="M6243" s="10" t="n">
        <x:v>0</x:v>
      </x:c>
      <x:c r="N6243" s="10" t="n">
        <x:v>0</x:v>
      </x:c>
      <x:c r="O6243" s="2" t="str">
        <x:v>Long An|house</x:v>
      </x:c>
      <x:c r="P6243" s="10" t="n">
        <x:v>2</x:v>
      </x:c>
      <x:c r="Q6243" s="13" t="n">
        <x:f>IF(H6243="","",H6243/1000000000)</x:f>
        <x:v>0.4</x:v>
      </x:c>
      <x:c r="R6243" s="13" t="n">
        <x:f>IF(I6243="","",I6243/1000000)</x:f>
        <x:v>4</x:v>
      </x:c>
    </x:row>
    <x:row r="6244" ht="21" customHeight="1">
      <x:c r="A6244" s="10" t="n">
        <x:v>8073</x:v>
      </x:c>
      <x:c r="B6244" s="2" t="str">
        <x:v>0c832aab68408b9f69a8</x:v>
      </x:c>
      <x:c r="C6244" s="2" t="str">
        <x:v>Tp Hồ Chí Minh</x:v>
      </x:c>
      <x:c r="D6244" s="2" t="str">
        <x:v>Quận 8</x:v>
      </x:c>
      <x:c r="E6244" s="2" t="str">
        <x:v>house</x:v>
      </x:c>
      <x:c r="F6244" s="2" t="str">
        <x:v>sale</x:v>
      </x:c>
      <x:c r="G6244" s="11" t="n">
        <x:v>32</x:v>
      </x:c>
      <x:c r="H6244" s="12" t="n">
        <x:v>2390000000</x:v>
      </x:c>
      <x:c r="I6244" s="12" t="n">
        <x:v>74687500</x:v>
      </x:c>
      <x:c r="J6244" s="2" t="str">
        <x:v>total</x:v>
      </x:c>
      <x:c r="K6244" s="2" t="str">
        <x:v>top_level_area</x:v>
      </x:c>
      <x:c r="L6244" s="2" t="str">
        <x:v>property_type_inferred_from_title</x:v>
      </x:c>
      <x:c r="M6244" s="10" t="n">
        <x:v>0</x:v>
      </x:c>
      <x:c r="N6244" s="10" t="n">
        <x:v>0</x:v>
      </x:c>
      <x:c r="O6244" s="2" t="str">
        <x:v>Tp Hồ Chí Minh|house</x:v>
      </x:c>
      <x:c r="P6244" s="10" t="n">
        <x:v>2</x:v>
      </x:c>
      <x:c r="Q6244" s="13" t="n">
        <x:f>IF(H6244="","",H6244/1000000000)</x:f>
        <x:v>2.39</x:v>
      </x:c>
      <x:c r="R6244" s="13" t="n">
        <x:f>IF(I6244="","",I6244/1000000)</x:f>
        <x:v>74.6875</x:v>
      </x:c>
    </x:row>
    <x:row r="6245" ht="21" customHeight="1">
      <x:c r="A6245" s="10" t="n">
        <x:v>8074</x:v>
      </x:c>
      <x:c r="B6245" s="2" t="str">
        <x:v>4c4fb20a301fa06e727b</x:v>
      </x:c>
      <x:c r="C6245" s="2" t="str">
        <x:v>Bình Dương</x:v>
      </x:c>
      <x:c r="D6245" s="2" t="str">
        <x:v>Thị xã Bến Cát</x:v>
      </x:c>
      <x:c r="E6245" s="2" t="str">
        <x:v>land</x:v>
      </x:c>
      <x:c r="F6245" s="2" t="str">
        <x:v>sale</x:v>
      </x:c>
      <x:c r="G6245" s="11" t="n">
        <x:v>447</x:v>
      </x:c>
      <x:c r="H6245" s="12" t="n">
        <x:v>2550000000</x:v>
      </x:c>
      <x:c r="I6245" s="12" t="n">
        <x:v>5704697.986577181</x:v>
      </x:c>
      <x:c r="J6245" s="2" t="str">
        <x:v>total</x:v>
      </x:c>
      <x:c r="K6245" s="2" t="str">
        <x:v>top_level_area</x:v>
      </x:c>
      <x:c r="L6245" s="2" t="str">
        <x:v>property_type_inferred_from_title</x:v>
      </x:c>
      <x:c r="M6245" s="10" t="n">
        <x:v>0</x:v>
      </x:c>
      <x:c r="N6245" s="10" t="n">
        <x:v>0</x:v>
      </x:c>
      <x:c r="O6245" s="2" t="str">
        <x:v>Bình Dương|land</x:v>
      </x:c>
      <x:c r="P6245" s="10" t="n">
        <x:v>1</x:v>
      </x:c>
      <x:c r="Q6245" s="13" t="n">
        <x:f>IF(H6245="","",H6245/1000000000)</x:f>
        <x:v>2.55</x:v>
      </x:c>
      <x:c r="R6245" s="13" t="n">
        <x:f>IF(I6245="","",I6245/1000000)</x:f>
        <x:v>5.704697986577181</x:v>
      </x:c>
    </x:row>
    <x:row r="6246" ht="21" customHeight="1">
      <x:c r="A6246" s="10" t="n">
        <x:v>8077</x:v>
      </x:c>
      <x:c r="B6246" s="2" t="str">
        <x:v>0ef510c75253cd735dc9</x:v>
      </x:c>
      <x:c r="C6246" s="2" t="str">
        <x:v>Tp Hồ Chí Minh</x:v>
      </x:c>
      <x:c r="D6246" s="2" t="str">
        <x:v>Quận 7</x:v>
      </x:c>
      <x:c r="E6246" s="2" t="str">
        <x:v>house</x:v>
      </x:c>
      <x:c r="F6246" s="2" t="str">
        <x:v>sale</x:v>
      </x:c>
      <x:c r="G6246" s="11" t="n">
        <x:v>56</x:v>
      </x:c>
      <x:c r="H6246" s="12" t="n">
        <x:v>780000000</x:v>
      </x:c>
      <x:c r="I6246" s="12" t="n">
        <x:v>13928571.42857143</x:v>
      </x:c>
      <x:c r="J6246" s="2" t="str">
        <x:v>total</x:v>
      </x:c>
      <x:c r="K6246" s="2" t="str">
        <x:v>top_level_area</x:v>
      </x:c>
      <x:c r="L6246" s="2" t="str">
        <x:v>property_type_inferred_from_title</x:v>
      </x:c>
      <x:c r="M6246" s="10" t="n">
        <x:v>0</x:v>
      </x:c>
      <x:c r="N6246" s="10" t="n">
        <x:v>0</x:v>
      </x:c>
      <x:c r="O6246" s="2" t="str">
        <x:v>Tp Hồ Chí Minh|house</x:v>
      </x:c>
      <x:c r="P6246" s="10" t="n">
        <x:v>2</x:v>
      </x:c>
      <x:c r="Q6246" s="13" t="n">
        <x:f>IF(H6246="","",H6246/1000000000)</x:f>
        <x:v>0.78</x:v>
      </x:c>
      <x:c r="R6246" s="13" t="n">
        <x:f>IF(I6246="","",I6246/1000000)</x:f>
        <x:v>13.928571428571429</x:v>
      </x:c>
    </x:row>
    <x:row r="6247" ht="21" customHeight="1">
      <x:c r="A6247" s="10" t="n">
        <x:v>8078</x:v>
      </x:c>
      <x:c r="B6247" s="2" t="str">
        <x:v>49ca4a67feba2495b821</x:v>
      </x:c>
      <x:c r="C6247" s="2" t="str">
        <x:v>Quảng Nam</x:v>
      </x:c>
      <x:c r="D6247" s="2" t="str">
        <x:v>Huyện Phước Sơn</x:v>
      </x:c>
      <x:c r="E6247" s="2" t="str">
        <x:v>land</x:v>
      </x:c>
      <x:c r="F6247" s="2" t="str">
        <x:v>sale_assumed</x:v>
      </x:c>
      <x:c r="G6247" s="11" t="n">
        <x:v>120</x:v>
      </x:c>
      <x:c r="H6247" s="12" t="n">
        <x:v>369000000</x:v>
      </x:c>
      <x:c r="I6247" s="12" t="n">
        <x:v>3075000</x:v>
      </x:c>
      <x:c r="J6247" s="2" t="str">
        <x:v>total</x:v>
      </x:c>
      <x:c r="K6247" s="2" t="str">
        <x:v>top_level_area</x:v>
      </x:c>
      <x:c r="L6247" s="2" t="str">
        <x:v>property_type_inferred_from_title;transaction_assumed_sale_from_dataset_context</x:v>
      </x:c>
      <x:c r="M6247" s="10" t="n">
        <x:v>0</x:v>
      </x:c>
      <x:c r="N6247" s="10" t="n">
        <x:v>0</x:v>
      </x:c>
      <x:c r="O6247" s="2" t="str">
        <x:v>land</x:v>
      </x:c>
      <x:c r="P6247" s="10" t="n">
        <x:v>1</x:v>
      </x:c>
      <x:c r="Q6247" s="13" t="n">
        <x:f>IF(H6247="","",H6247/1000000000)</x:f>
        <x:v>0.369</x:v>
      </x:c>
      <x:c r="R6247" s="13" t="n">
        <x:f>IF(I6247="","",I6247/1000000)</x:f>
        <x:v>3.075</x:v>
      </x:c>
    </x:row>
    <x:row r="6248" ht="21" customHeight="1">
      <x:c r="A6248" s="10" t="n">
        <x:v>8079</x:v>
      </x:c>
      <x:c r="B6248" s="2" t="str">
        <x:v>e9ec9d394b61ea40ceff</x:v>
      </x:c>
      <x:c r="C6248" s="2" t="str">
        <x:v>Tp Hồ Chí Minh</x:v>
      </x:c>
      <x:c r="D6248" s="2" t="str">
        <x:v>Quận 8</x:v>
      </x:c>
      <x:c r="E6248" s="2" t="str">
        <x:v>house</x:v>
      </x:c>
      <x:c r="F6248" s="2" t="str">
        <x:v>sale</x:v>
      </x:c>
      <x:c r="G6248" s="11" t="n">
        <x:v>45</x:v>
      </x:c>
      <x:c r="H6248" s="12" t="n">
        <x:v>1920000000</x:v>
      </x:c>
      <x:c r="I6248" s="12" t="n">
        <x:v>42666666.666666664</x:v>
      </x:c>
      <x:c r="J6248" s="2" t="str">
        <x:v>total</x:v>
      </x:c>
      <x:c r="K6248" s="2" t="str">
        <x:v>top_level_area</x:v>
      </x:c>
      <x:c r="L6248" s="2" t="str">
        <x:v>property_type_inferred_from_title</x:v>
      </x:c>
      <x:c r="M6248" s="10" t="n">
        <x:v>0</x:v>
      </x:c>
      <x:c r="N6248" s="10" t="n">
        <x:v>0</x:v>
      </x:c>
      <x:c r="O6248" s="2" t="str">
        <x:v>Tp Hồ Chí Minh|house</x:v>
      </x:c>
      <x:c r="P6248" s="10" t="n">
        <x:v>2</x:v>
      </x:c>
      <x:c r="Q6248" s="13" t="n">
        <x:f>IF(H6248="","",H6248/1000000000)</x:f>
        <x:v>1.92</x:v>
      </x:c>
      <x:c r="R6248" s="13" t="n">
        <x:f>IF(I6248="","",I6248/1000000)</x:f>
        <x:v>42.666666666666664</x:v>
      </x:c>
    </x:row>
    <x:row r="6249" ht="21" customHeight="1">
      <x:c r="A6249" s="10" t="n">
        <x:v>8080</x:v>
      </x:c>
      <x:c r="B6249" s="2" t="str">
        <x:v>0dae371976fec0c06178</x:v>
      </x:c>
      <x:c r="C6249" s="2" t="str">
        <x:v>Bình Dương</x:v>
      </x:c>
      <x:c r="D6249" s="2" t="str">
        <x:v>Thị xã Bến Cát</x:v>
      </x:c>
      <x:c r="E6249" s="2" t="str">
        <x:v>house</x:v>
      </x:c>
      <x:c r="F6249" s="2" t="str">
        <x:v>sale</x:v>
      </x:c>
      <x:c r="G6249" s="11" t="n">
        <x:v>300</x:v>
      </x:c>
      <x:c r="H6249" s="12" t="n">
        <x:v>16000000000</x:v>
      </x:c>
      <x:c r="I6249" s="12" t="n">
        <x:v>53333333.333333336</x:v>
      </x:c>
      <x:c r="J6249" s="2" t="str">
        <x:v>total</x:v>
      </x:c>
      <x:c r="K6249" s="2" t="str">
        <x:v>top_level_area</x:v>
      </x:c>
      <x:c r="L6249" s="2" t="str">
        <x:v>property_type_inferred_from_title</x:v>
      </x:c>
      <x:c r="M6249" s="10" t="n">
        <x:v>0</x:v>
      </x:c>
      <x:c r="N6249" s="10" t="n">
        <x:v>0</x:v>
      </x:c>
      <x:c r="O6249" s="2" t="str">
        <x:v>Bình Dương|house</x:v>
      </x:c>
      <x:c r="P6249" s="10" t="n">
        <x:v>2</x:v>
      </x:c>
      <x:c r="Q6249" s="13" t="n">
        <x:f>IF(H6249="","",H6249/1000000000)</x:f>
        <x:v>16</x:v>
      </x:c>
      <x:c r="R6249" s="13" t="n">
        <x:f>IF(I6249="","",I6249/1000000)</x:f>
        <x:v>53.333333333333336</x:v>
      </x:c>
    </x:row>
    <x:row r="6250" ht="21" customHeight="1">
      <x:c r="A6250" s="10" t="n">
        <x:v>8081</x:v>
      </x:c>
      <x:c r="B6250" s="2" t="str">
        <x:v>08122678f368da2e7805</x:v>
      </x:c>
      <x:c r="C6250" s="2" t="str">
        <x:v>Đà Nẵng</x:v>
      </x:c>
      <x:c r="D6250" s="2" t="str">
        <x:v>Quận Thanh Khê</x:v>
      </x:c>
      <x:c r="E6250" s="2" t="str">
        <x:v>house</x:v>
      </x:c>
      <x:c r="F6250" s="2" t="str">
        <x:v>sale_assumed</x:v>
      </x:c>
      <x:c r="G6250" s="11" t="n">
        <x:v>63</x:v>
      </x:c>
      <x:c r="H6250" s="12" t="n">
        <x:v>7200000000</x:v>
      </x:c>
      <x:c r="I6250" s="12" t="n">
        <x:v>114285714.28571428</x:v>
      </x:c>
      <x:c r="J6250" s="2" t="str">
        <x:v>total</x:v>
      </x:c>
      <x:c r="K6250" s="2" t="str">
        <x:v>top_level_area</x:v>
      </x:c>
      <x:c r="L6250" s="2" t="str">
        <x:v>property_type_inferred_from_title;transaction_assumed_sale_from_dataset_context</x:v>
      </x:c>
      <x:c r="M6250" s="10" t="n">
        <x:v>0</x:v>
      </x:c>
      <x:c r="N6250" s="10" t="n">
        <x:v>0</x:v>
      </x:c>
      <x:c r="O6250" s="2" t="str">
        <x:v>Đà Nẵng|house</x:v>
      </x:c>
      <x:c r="P6250" s="10" t="n">
        <x:v>2</x:v>
      </x:c>
      <x:c r="Q6250" s="13" t="n">
        <x:f>IF(H6250="","",H6250/1000000000)</x:f>
        <x:v>7.2</x:v>
      </x:c>
      <x:c r="R6250" s="13" t="n">
        <x:f>IF(I6250="","",I6250/1000000)</x:f>
        <x:v>114.28571428571428</x:v>
      </x:c>
    </x:row>
    <x:row r="6251" ht="21" customHeight="1">
      <x:c r="A6251" s="10" t="n">
        <x:v>8082</x:v>
      </x:c>
      <x:c r="B6251" s="2" t="str">
        <x:v>05eed0e012e5a9727d29</x:v>
      </x:c>
      <x:c r="C6251" s="2" t="str">
        <x:v>Cần Thơ</x:v>
      </x:c>
      <x:c r="D6251" s="2" t="str">
        <x:v>Quận Ninh Kiều</x:v>
      </x:c>
      <x:c r="E6251" s="2" t="str">
        <x:v>house</x:v>
      </x:c>
      <x:c r="F6251" s="2" t="str">
        <x:v>sale_assumed</x:v>
      </x:c>
      <x:c r="G6251" s="11" t="n">
        <x:v>64</x:v>
      </x:c>
      <x:c r="H6251" s="12" t="n">
        <x:v>3200000000</x:v>
      </x:c>
      <x:c r="I6251" s="12" t="n">
        <x:v>50000000</x:v>
      </x:c>
      <x:c r="J6251" s="2" t="str">
        <x:v>total</x:v>
      </x:c>
      <x:c r="K6251" s="2" t="str">
        <x:v>top_level_area</x:v>
      </x:c>
      <x:c r="L6251" s="2" t="str">
        <x:v>property_type_inferred_from_title;transaction_assumed_sale_from_dataset_context</x:v>
      </x:c>
      <x:c r="M6251" s="10" t="n">
        <x:v>0</x:v>
      </x:c>
      <x:c r="N6251" s="10" t="n">
        <x:v>0</x:v>
      </x:c>
      <x:c r="O6251" s="2" t="str">
        <x:v>Cần Thơ|house</x:v>
      </x:c>
      <x:c r="P6251" s="10" t="n">
        <x:v>2</x:v>
      </x:c>
      <x:c r="Q6251" s="13" t="n">
        <x:f>IF(H6251="","",H6251/1000000000)</x:f>
        <x:v>3.2</x:v>
      </x:c>
      <x:c r="R6251" s="13" t="n">
        <x:f>IF(I6251="","",I6251/1000000)</x:f>
        <x:v>50</x:v>
      </x:c>
    </x:row>
    <x:row r="6252" ht="21" customHeight="1">
      <x:c r="A6252" s="10" t="n">
        <x:v>8083</x:v>
      </x:c>
      <x:c r="B6252" s="2" t="str">
        <x:v>1afbf5c3b7dee07af0c1</x:v>
      </x:c>
      <x:c r="C6252" s="2" t="str">
        <x:v>Đà Nẵng</x:v>
      </x:c>
      <x:c r="D6252" s="2" t="str">
        <x:v>Quận Sơn Trà</x:v>
      </x:c>
      <x:c r="E6252" s="2" t="str">
        <x:v>other_unknown</x:v>
      </x:c>
      <x:c r="F6252" s="2" t="str">
        <x:v>sale_assumed</x:v>
      </x:c>
      <x:c r="G6252" s="11" t="n">
        <x:v>145</x:v>
      </x:c>
      <x:c r="H6252" s="12" t="n">
        <x:v>10200000000</x:v>
      </x:c>
      <x:c r="I6252" s="12" t="n">
        <x:v>70344827.5862069</x:v>
      </x:c>
      <x:c r="J6252" s="2" t="str">
        <x:v>total</x:v>
      </x:c>
      <x:c r="K6252" s="2" t="str">
        <x:v>top_level_area</x:v>
      </x:c>
      <x:c r="L6252" s="2" t="str">
        <x:v>property_type_inferred_from_title;transaction_assumed_sale_from_dataset_context;unknown_property_type</x:v>
      </x:c>
      <x:c r="M6252" s="10" t="n">
        <x:v>0</x:v>
      </x:c>
      <x:c r="N6252" s="10" t="n">
        <x:v>0</x:v>
      </x:c>
      <x:c r="O6252" s="2" t="str">
        <x:v>Đà Nẵng|other_unknown</x:v>
      </x:c>
      <x:c r="P6252" s="10" t="n">
        <x:v>2</x:v>
      </x:c>
      <x:c r="Q6252" s="13" t="n">
        <x:f>IF(H6252="","",H6252/1000000000)</x:f>
        <x:v>10.2</x:v>
      </x:c>
      <x:c r="R6252" s="13" t="n">
        <x:f>IF(I6252="","",I6252/1000000)</x:f>
        <x:v>70.3448275862069</x:v>
      </x:c>
    </x:row>
    <x:row r="6253" ht="21" customHeight="1">
      <x:c r="A6253" s="10" t="n">
        <x:v>8084</x:v>
      </x:c>
      <x:c r="B6253" s="2" t="str">
        <x:v>0469fac1873af10d808b</x:v>
      </x:c>
      <x:c r="C6253" s="2" t="str">
        <x:v>Tp Hồ Chí Minh</x:v>
      </x:c>
      <x:c r="D6253" s="2" t="str">
        <x:v>Quận Gò Vấp</x:v>
      </x:c>
      <x:c r="E6253" s="2" t="str">
        <x:v>house</x:v>
      </x:c>
      <x:c r="F6253" s="2" t="str">
        <x:v>sale</x:v>
      </x:c>
      <x:c r="G6253" s="11" t="n">
        <x:v>39</x:v>
      </x:c>
      <x:c r="H6253" s="12" t="n">
        <x:v>2700000000</x:v>
      </x:c>
      <x:c r="I6253" s="12" t="n">
        <x:v>69230769.23076923</x:v>
      </x:c>
      <x:c r="J6253" s="2" t="str">
        <x:v>total</x:v>
      </x:c>
      <x:c r="K6253" s="2" t="str">
        <x:v>top_level_area</x:v>
      </x:c>
      <x:c r="L6253" s="2" t="str">
        <x:v>property_type_inferred_from_title</x:v>
      </x:c>
      <x:c r="M6253" s="10" t="n">
        <x:v>0</x:v>
      </x:c>
      <x:c r="N6253" s="10" t="n">
        <x:v>0</x:v>
      </x:c>
      <x:c r="O6253" s="2" t="str">
        <x:v>Tp Hồ Chí Minh|house</x:v>
      </x:c>
      <x:c r="P6253" s="10" t="n">
        <x:v>2</x:v>
      </x:c>
      <x:c r="Q6253" s="13" t="n">
        <x:f>IF(H6253="","",H6253/1000000000)</x:f>
        <x:v>2.7</x:v>
      </x:c>
      <x:c r="R6253" s="13" t="n">
        <x:f>IF(I6253="","",I6253/1000000)</x:f>
        <x:v>69.23076923076923</x:v>
      </x:c>
    </x:row>
    <x:row r="6254" ht="21" customHeight="1">
      <x:c r="A6254" s="10" t="n">
        <x:v>8085</x:v>
      </x:c>
      <x:c r="B6254" s="2" t="str">
        <x:v>5dd64ff659dffc811335</x:v>
      </x:c>
      <x:c r="C6254" s="2" t="str">
        <x:v>Bình Thuận</x:v>
      </x:c>
      <x:c r="D6254" s="2" t="str">
        <x:v>Huyện Bắc Bình</x:v>
      </x:c>
      <x:c r="E6254" s="2" t="str">
        <x:v>land</x:v>
      </x:c>
      <x:c r="F6254" s="2" t="str">
        <x:v>sale</x:v>
      </x:c>
      <x:c r="G6254" s="11" t="n">
        <x:v>14287</x:v>
      </x:c>
      <x:c r="H6254" s="12" t="n">
        <x:v>1286000000</x:v>
      </x:c>
      <x:c r="I6254" s="12" t="n">
        <x:v>90011.89892909638</x:v>
      </x:c>
      <x:c r="J6254" s="2" t="str">
        <x:v>total</x:v>
      </x:c>
      <x:c r="K6254" s="2" t="str">
        <x:v>top_level_area</x:v>
      </x:c>
      <x:c r="L6254" s="2" t="str">
        <x:v>dot_thousands_convention;property_type_inferred_from_title</x:v>
      </x:c>
      <x:c r="M6254" s="10" t="n">
        <x:v>0</x:v>
      </x:c>
      <x:c r="N6254" s="10" t="n">
        <x:v>0</x:v>
      </x:c>
      <x:c r="O6254" s="2" t="str">
        <x:v>land</x:v>
      </x:c>
      <x:c r="P6254" s="10" t="n">
        <x:v>1</x:v>
      </x:c>
      <x:c r="Q6254" s="13" t="n">
        <x:f>IF(H6254="","",H6254/1000000000)</x:f>
        <x:v>1.286</x:v>
      </x:c>
      <x:c r="R6254" s="13" t="n">
        <x:f>IF(I6254="","",I6254/1000000)</x:f>
        <x:v>0.09001189892909638</x:v>
      </x:c>
    </x:row>
    <x:row r="6255" ht="21" customHeight="1">
      <x:c r="A6255" s="10" t="n">
        <x:v>8086</x:v>
      </x:c>
      <x:c r="B6255" s="2" t="str">
        <x:v>16e5c220a421c082e4ac</x:v>
      </x:c>
      <x:c r="C6255" s="2" t="str">
        <x:v>Tp Hồ Chí Minh</x:v>
      </x:c>
      <x:c r="D6255" s="2" t="str">
        <x:v>Quận 2</x:v>
      </x:c>
      <x:c r="E6255" s="2" t="str">
        <x:v>apartment</x:v>
      </x:c>
      <x:c r="F6255" s="2" t="str">
        <x:v>sale</x:v>
      </x:c>
      <x:c r="G6255" s="11" t="n">
        <x:v>111</x:v>
      </x:c>
      <x:c r="H6255" s="12" t="n">
        <x:v>4800000000</x:v>
      </x:c>
      <x:c r="I6255" s="12" t="n">
        <x:v>43243243.24324324</x:v>
      </x:c>
      <x:c r="J6255" s="2" t="str">
        <x:v>total</x:v>
      </x:c>
      <x:c r="K6255" s="2" t="str">
        <x:v>top_level_area</x:v>
      </x:c>
      <x:c r="L6255" s="2" t="str">
        <x:v>property_type_inferred_from_title</x:v>
      </x:c>
      <x:c r="M6255" s="10" t="n">
        <x:v>0</x:v>
      </x:c>
      <x:c r="N6255" s="10" t="n">
        <x:v>0</x:v>
      </x:c>
      <x:c r="O6255" s="2" t="str">
        <x:v>Tp Hồ Chí Minh|apartment</x:v>
      </x:c>
      <x:c r="P6255" s="10" t="n">
        <x:v>2</x:v>
      </x:c>
      <x:c r="Q6255" s="13" t="n">
        <x:f>IF(H6255="","",H6255/1000000000)</x:f>
        <x:v>4.8</x:v>
      </x:c>
      <x:c r="R6255" s="13" t="n">
        <x:f>IF(I6255="","",I6255/1000000)</x:f>
        <x:v>43.24324324324324</x:v>
      </x:c>
    </x:row>
    <x:row r="6256" ht="21" customHeight="1">
      <x:c r="A6256" s="10" t="n">
        <x:v>8087</x:v>
      </x:c>
      <x:c r="B6256" s="2" t="str">
        <x:v>aa47ddb56c62c79efde4</x:v>
      </x:c>
      <x:c r="C6256" s="2" t="str">
        <x:v>Đà Nẵng</x:v>
      </x:c>
      <x:c r="D6256" s="2" t="str">
        <x:v>Quận Ngũ Hành Sơn</x:v>
      </x:c>
      <x:c r="E6256" s="2" t="str">
        <x:v>house</x:v>
      </x:c>
      <x:c r="F6256" s="2" t="str">
        <x:v>sale_assumed</x:v>
      </x:c>
      <x:c r="G6256" s="11" t="n">
        <x:v>107</x:v>
      </x:c>
      <x:c r="H6256" s="12" t="n">
        <x:v>11500000000</x:v>
      </x:c>
      <x:c r="I6256" s="12" t="n">
        <x:v>107476635.51401868</x:v>
      </x:c>
      <x:c r="J6256" s="2" t="str">
        <x:v>total</x:v>
      </x:c>
      <x:c r="K6256" s="2" t="str">
        <x:v>top_level_area</x:v>
      </x:c>
      <x:c r="L6256" s="2" t="str">
        <x:v>property_type_inferred_from_title;transaction_assumed_sale_from_dataset_context</x:v>
      </x:c>
      <x:c r="M6256" s="10" t="n">
        <x:v>0</x:v>
      </x:c>
      <x:c r="N6256" s="10" t="n">
        <x:v>0</x:v>
      </x:c>
      <x:c r="O6256" s="2" t="str">
        <x:v>Đà Nẵng|house</x:v>
      </x:c>
      <x:c r="P6256" s="10" t="n">
        <x:v>2</x:v>
      </x:c>
      <x:c r="Q6256" s="13" t="n">
        <x:f>IF(H6256="","",H6256/1000000000)</x:f>
        <x:v>11.5</x:v>
      </x:c>
      <x:c r="R6256" s="13" t="n">
        <x:f>IF(I6256="","",I6256/1000000)</x:f>
        <x:v>107.47663551401868</x:v>
      </x:c>
    </x:row>
    <x:row r="6257" ht="21" customHeight="1">
      <x:c r="A6257" s="10" t="n">
        <x:v>8088</x:v>
      </x:c>
      <x:c r="B6257" s="2" t="str">
        <x:v>6356f9572e234e99b120</x:v>
      </x:c>
      <x:c r="C6257" s="2" t="str">
        <x:v>Hà Nội</x:v>
      </x:c>
      <x:c r="D6257" s="2" t="str">
        <x:v>Quận Long Biên</x:v>
      </x:c>
      <x:c r="E6257" s="2" t="str">
        <x:v>other_unknown</x:v>
      </x:c>
      <x:c r="F6257" s="2" t="str">
        <x:v>sale_assumed</x:v>
      </x:c>
      <x:c r="G6257" s="11" t="n">
        <x:v>55</x:v>
      </x:c>
      <x:c r="H6257" s="12" t="n">
        <x:v>6000000000</x:v>
      </x:c>
      <x:c r="I6257" s="12" t="n">
        <x:v>109090909.0909091</x:v>
      </x:c>
      <x:c r="J6257" s="2" t="str">
        <x:v>total</x:v>
      </x:c>
      <x:c r="K6257" s="2" t="str">
        <x:v>top_level_area</x:v>
      </x:c>
      <x:c r="L6257" s="2" t="str">
        <x:v>property_type_inferred_from_title;transaction_assumed_sale_from_dataset_context;unknown_property_type</x:v>
      </x:c>
      <x:c r="M6257" s="10" t="n">
        <x:v>0</x:v>
      </x:c>
      <x:c r="N6257" s="10" t="n">
        <x:v>0</x:v>
      </x:c>
      <x:c r="O6257" s="2" t="str">
        <x:v>Hà Nội|other_unknown</x:v>
      </x:c>
      <x:c r="P6257" s="10" t="n">
        <x:v>2</x:v>
      </x:c>
      <x:c r="Q6257" s="13" t="n">
        <x:f>IF(H6257="","",H6257/1000000000)</x:f>
        <x:v>6</x:v>
      </x:c>
      <x:c r="R6257" s="13" t="n">
        <x:f>IF(I6257="","",I6257/1000000)</x:f>
        <x:v>109.0909090909091</x:v>
      </x:c>
    </x:row>
    <x:row r="6258" ht="21" customHeight="1">
      <x:c r="A6258" s="10" t="n">
        <x:v>8089</x:v>
      </x:c>
      <x:c r="B6258" s="2" t="str">
        <x:v>ba0cbd41a4259ed34eaf</x:v>
      </x:c>
      <x:c r="C6258" s="2" t="str">
        <x:v>Tp Hồ Chí Minh</x:v>
      </x:c>
      <x:c r="D6258" s="2" t="str">
        <x:v>Huyện Nhà Bè</x:v>
      </x:c>
      <x:c r="E6258" s="2" t="str">
        <x:v>house</x:v>
      </x:c>
      <x:c r="F6258" s="2" t="str">
        <x:v>sale</x:v>
      </x:c>
      <x:c r="G6258" s="11" t="n">
        <x:v>103.3</x:v>
      </x:c>
      <x:c r="H6258" s="12" t="n">
        <x:v>1600000000</x:v>
      </x:c>
      <x:c r="I6258" s="12" t="n">
        <x:v>15488867.376573088</x:v>
      </x:c>
      <x:c r="J6258" s="2" t="str">
        <x:v>total</x:v>
      </x:c>
      <x:c r="K6258" s="2" t="str">
        <x:v>top_level_area</x:v>
      </x:c>
      <x:c r="L6258" s="2" t="str">
        <x:v>property_type_inferred_from_title</x:v>
      </x:c>
      <x:c r="M6258" s="10" t="n">
        <x:v>0</x:v>
      </x:c>
      <x:c r="N6258" s="10" t="n">
        <x:v>0</x:v>
      </x:c>
      <x:c r="O6258" s="2" t="str">
        <x:v>Tp Hồ Chí Minh|house</x:v>
      </x:c>
      <x:c r="P6258" s="10" t="n">
        <x:v>2</x:v>
      </x:c>
      <x:c r="Q6258" s="13" t="n">
        <x:f>IF(H6258="","",H6258/1000000000)</x:f>
        <x:v>1.6</x:v>
      </x:c>
      <x:c r="R6258" s="13" t="n">
        <x:f>IF(I6258="","",I6258/1000000)</x:f>
        <x:v>15.488867376573088</x:v>
      </x:c>
    </x:row>
    <x:row r="6259" ht="21" customHeight="1">
      <x:c r="A6259" s="10" t="n">
        <x:v>8090</x:v>
      </x:c>
      <x:c r="B6259" s="2" t="str">
        <x:v>a057069cafd1719da8c0</x:v>
      </x:c>
      <x:c r="C6259" s="2" t="str">
        <x:v>Bến Tre</x:v>
      </x:c>
      <x:c r="D6259" s="2" t="str">
        <x:v>Huyện Chợ Lách</x:v>
      </x:c>
      <x:c r="E6259" s="2" t="str">
        <x:v>land</x:v>
      </x:c>
      <x:c r="F6259" s="2" t="str">
        <x:v>sale</x:v>
      </x:c>
      <x:c r="G6259" s="11" t="n">
        <x:v>14500</x:v>
      </x:c>
      <x:c r="H6259" s="12" t="n">
        <x:v>280000000</x:v>
      </x:c>
      <x:c r="I6259" s="12" t="n">
        <x:v>19310.344827586207</x:v>
      </x:c>
      <x:c r="J6259" s="2" t="str">
        <x:v>total</x:v>
      </x:c>
      <x:c r="K6259" s="2" t="str">
        <x:v>top_level_area</x:v>
      </x:c>
      <x:c r="L6259" s="2" t="str">
        <x:v>dot_thousands_convention;property_type_inferred_from_title</x:v>
      </x:c>
      <x:c r="M6259" s="10" t="n">
        <x:v>0</x:v>
      </x:c>
      <x:c r="N6259" s="10" t="n">
        <x:v>0</x:v>
      </x:c>
      <x:c r="O6259" s="2" t="str">
        <x:v>Bến Tre|land</x:v>
      </x:c>
      <x:c r="P6259" s="10" t="n">
        <x:v>1</x:v>
      </x:c>
      <x:c r="Q6259" s="13" t="n">
        <x:f>IF(H6259="","",H6259/1000000000)</x:f>
        <x:v>0.28</x:v>
      </x:c>
      <x:c r="R6259" s="13" t="n">
        <x:f>IF(I6259="","",I6259/1000000)</x:f>
        <x:v>0.019310344827586208</x:v>
      </x:c>
    </x:row>
    <x:row r="6260" ht="21" customHeight="1">
      <x:c r="A6260" s="10" t="n">
        <x:v>8091</x:v>
      </x:c>
      <x:c r="B6260" s="2" t="str">
        <x:v>f03f401803fa9e387cfc</x:v>
      </x:c>
      <x:c r="C6260" s="2" t="str">
        <x:v>Tp Hồ Chí Minh</x:v>
      </x:c>
      <x:c r="D6260" s="2" t="str">
        <x:v>Quận Bình Tân</x:v>
      </x:c>
      <x:c r="E6260" s="2" t="str">
        <x:v>house</x:v>
      </x:c>
      <x:c r="F6260" s="2" t="str">
        <x:v>sale_assumed</x:v>
      </x:c>
      <x:c r="G6260" s="11" t="n">
        <x:v>127</x:v>
      </x:c>
      <x:c r="H6260" s="12" t="n">
        <x:v>3690000000</x:v>
      </x:c>
      <x:c r="I6260" s="12" t="n">
        <x:v>29055118.11023622</x:v>
      </x:c>
      <x:c r="J6260" s="2" t="str">
        <x:v>total</x:v>
      </x:c>
      <x:c r="K6260" s="2" t="str">
        <x:v>top_level_area</x:v>
      </x:c>
      <x:c r="L6260" s="2" t="str">
        <x:v>property_type_inferred_from_title;transaction_assumed_sale_from_dataset_context</x:v>
      </x:c>
      <x:c r="M6260" s="10" t="n">
        <x:v>0</x:v>
      </x:c>
      <x:c r="N6260" s="10" t="n">
        <x:v>0</x:v>
      </x:c>
      <x:c r="O6260" s="2" t="str">
        <x:v>Tp Hồ Chí Minh|house</x:v>
      </x:c>
      <x:c r="P6260" s="10" t="n">
        <x:v>2</x:v>
      </x:c>
      <x:c r="Q6260" s="13" t="n">
        <x:f>IF(H6260="","",H6260/1000000000)</x:f>
        <x:v>3.69</x:v>
      </x:c>
      <x:c r="R6260" s="13" t="n">
        <x:f>IF(I6260="","",I6260/1000000)</x:f>
        <x:v>29.05511811023622</x:v>
      </x:c>
    </x:row>
    <x:row r="6261" ht="21" customHeight="1">
      <x:c r="A6261" s="10" t="n">
        <x:v>8092</x:v>
      </x:c>
      <x:c r="B6261" s="2" t="str">
        <x:v>8b5d9db5a62a20b0d02d</x:v>
      </x:c>
      <x:c r="C6261" s="2" t="str">
        <x:v>Long An</x:v>
      </x:c>
      <x:c r="D6261" s="2" t="str">
        <x:v>Huyện Bến Lức</x:v>
      </x:c>
      <x:c r="E6261" s="2" t="str">
        <x:v>house</x:v>
      </x:c>
      <x:c r="F6261" s="2" t="str">
        <x:v>sale</x:v>
      </x:c>
      <x:c r="G6261" s="11" t="n">
        <x:v>63</x:v>
      </x:c>
      <x:c r="H6261" s="12" t="n">
        <x:v>1500000000</x:v>
      </x:c>
      <x:c r="I6261" s="12" t="n">
        <x:v>23809523.80952381</x:v>
      </x:c>
      <x:c r="J6261" s="2" t="str">
        <x:v>total</x:v>
      </x:c>
      <x:c r="K6261" s="2" t="str">
        <x:v>top_level_area</x:v>
      </x:c>
      <x:c r="L6261" s="2" t="str">
        <x:v>property_type_inferred_from_title</x:v>
      </x:c>
      <x:c r="M6261" s="10" t="n">
        <x:v>0</x:v>
      </x:c>
      <x:c r="N6261" s="10" t="n">
        <x:v>0</x:v>
      </x:c>
      <x:c r="O6261" s="2" t="str">
        <x:v>Long An|house</x:v>
      </x:c>
      <x:c r="P6261" s="10" t="n">
        <x:v>2</x:v>
      </x:c>
      <x:c r="Q6261" s="13" t="n">
        <x:f>IF(H6261="","",H6261/1000000000)</x:f>
        <x:v>1.5</x:v>
      </x:c>
      <x:c r="R6261" s="13" t="n">
        <x:f>IF(I6261="","",I6261/1000000)</x:f>
        <x:v>23.80952380952381</x:v>
      </x:c>
    </x:row>
    <x:row r="6262" ht="21" customHeight="1">
      <x:c r="A6262" s="10" t="n">
        <x:v>8093</x:v>
      </x:c>
      <x:c r="B6262" s="2" t="str">
        <x:v>821c67adc043cb9773ce</x:v>
      </x:c>
      <x:c r="C6262" s="2" t="str">
        <x:v>Tp Hồ Chí Minh</x:v>
      </x:c>
      <x:c r="D6262" s="2" t="str">
        <x:v>Quận 9</x:v>
      </x:c>
      <x:c r="E6262" s="2" t="str">
        <x:v>house</x:v>
      </x:c>
      <x:c r="F6262" s="2" t="str">
        <x:v>sale_assumed</x:v>
      </x:c>
      <x:c r="G6262" s="11" t="n">
        <x:v>74</x:v>
      </x:c>
      <x:c r="H6262" s="12" t="n">
        <x:v>6200000000</x:v>
      </x:c>
      <x:c r="I6262" s="12" t="n">
        <x:v>83783783.78378378</x:v>
      </x:c>
      <x:c r="J6262" s="2" t="str">
        <x:v>total</x:v>
      </x:c>
      <x:c r="K6262" s="2" t="str">
        <x:v>top_level_area</x:v>
      </x:c>
      <x:c r="L6262" s="2" t="str">
        <x:v>property_type_inferred_from_title;transaction_assumed_sale_from_dataset_context</x:v>
      </x:c>
      <x:c r="M6262" s="10" t="n">
        <x:v>0</x:v>
      </x:c>
      <x:c r="N6262" s="10" t="n">
        <x:v>0</x:v>
      </x:c>
      <x:c r="O6262" s="2" t="str">
        <x:v>Tp Hồ Chí Minh|house</x:v>
      </x:c>
      <x:c r="P6262" s="10" t="n">
        <x:v>2</x:v>
      </x:c>
      <x:c r="Q6262" s="13" t="n">
        <x:f>IF(H6262="","",H6262/1000000000)</x:f>
        <x:v>6.2</x:v>
      </x:c>
      <x:c r="R6262" s="13" t="n">
        <x:f>IF(I6262="","",I6262/1000000)</x:f>
        <x:v>83.78378378378378</x:v>
      </x:c>
    </x:row>
    <x:row r="6263" ht="21" customHeight="1">
      <x:c r="A6263" s="10" t="n">
        <x:v>8094</x:v>
      </x:c>
      <x:c r="B6263" s="2" t="str">
        <x:v>5298779968d64afa420c</x:v>
      </x:c>
      <x:c r="C6263" s="2" t="str">
        <x:v>Hà Nội</x:v>
      </x:c>
      <x:c r="D6263" s="2" t="str">
        <x:v>Quận Thanh Xuân</x:v>
      </x:c>
      <x:c r="E6263" s="2" t="str">
        <x:v>house</x:v>
      </x:c>
      <x:c r="F6263" s="2" t="str">
        <x:v>sale_assumed</x:v>
      </x:c>
      <x:c r="G6263" s="11" t="n">
        <x:v>23</x:v>
      </x:c>
      <x:c r="H6263" s="12" t="n">
        <x:v>1860000000</x:v>
      </x:c>
      <x:c r="I6263" s="12" t="n">
        <x:v>80869565.2173913</x:v>
      </x:c>
      <x:c r="J6263" s="2" t="str">
        <x:v>total</x:v>
      </x:c>
      <x:c r="K6263" s="2" t="str">
        <x:v>top_level_area</x:v>
      </x:c>
      <x:c r="L6263" s="2" t="str">
        <x:v>property_type_inferred_from_title;transaction_assumed_sale_from_dataset_context</x:v>
      </x:c>
      <x:c r="M6263" s="10" t="n">
        <x:v>0</x:v>
      </x:c>
      <x:c r="N6263" s="10" t="n">
        <x:v>0</x:v>
      </x:c>
      <x:c r="O6263" s="2" t="str">
        <x:v>Hà Nội|house</x:v>
      </x:c>
      <x:c r="P6263" s="10" t="n">
        <x:v>2</x:v>
      </x:c>
      <x:c r="Q6263" s="13" t="n">
        <x:f>IF(H6263="","",H6263/1000000000)</x:f>
        <x:v>1.86</x:v>
      </x:c>
      <x:c r="R6263" s="13" t="n">
        <x:f>IF(I6263="","",I6263/1000000)</x:f>
        <x:v>80.8695652173913</x:v>
      </x:c>
    </x:row>
    <x:row r="6264" ht="21" customHeight="1">
      <x:c r="A6264" s="10" t="n">
        <x:v>8095</x:v>
      </x:c>
      <x:c r="B6264" s="2" t="str">
        <x:v>f5b80fe74e4d68405644</x:v>
      </x:c>
      <x:c r="C6264" s="2" t="str">
        <x:v>Tp Hồ Chí Minh</x:v>
      </x:c>
      <x:c r="D6264" s="2" t="str">
        <x:v>Quận 9</x:v>
      </x:c>
      <x:c r="E6264" s="2" t="str">
        <x:v>other_unknown</x:v>
      </x:c>
      <x:c r="F6264" s="2" t="str">
        <x:v>sale_assumed</x:v>
      </x:c>
      <x:c r="G6264" s="11" t="n">
        <x:v>86.7</x:v>
      </x:c>
      <x:c r="H6264" s="12" t="n">
        <x:v>4800000000</x:v>
      </x:c>
      <x:c r="I6264" s="12" t="n">
        <x:v>55363321.79930796</x:v>
      </x:c>
      <x:c r="J6264" s="2" t="str">
        <x:v>total</x:v>
      </x:c>
      <x:c r="K6264" s="2" t="str">
        <x:v>top_level_area</x:v>
      </x:c>
      <x:c r="L6264" s="2" t="str">
        <x:v>property_type_inferred_from_title;transaction_assumed_sale_from_dataset_context;unknown_property_type</x:v>
      </x:c>
      <x:c r="M6264" s="10" t="n">
        <x:v>0</x:v>
      </x:c>
      <x:c r="N6264" s="10" t="n">
        <x:v>0</x:v>
      </x:c>
      <x:c r="O6264" s="2" t="str">
        <x:v>Tp Hồ Chí Minh|other_unknown</x:v>
      </x:c>
      <x:c r="P6264" s="10" t="n">
        <x:v>2</x:v>
      </x:c>
      <x:c r="Q6264" s="13" t="n">
        <x:f>IF(H6264="","",H6264/1000000000)</x:f>
        <x:v>4.8</x:v>
      </x:c>
      <x:c r="R6264" s="13" t="n">
        <x:f>IF(I6264="","",I6264/1000000)</x:f>
        <x:v>55.363321799307954</x:v>
      </x:c>
    </x:row>
    <x:row r="6265" ht="21" customHeight="1">
      <x:c r="A6265" s="10" t="n">
        <x:v>8096</x:v>
      </x:c>
      <x:c r="B6265" s="2" t="str">
        <x:v>cd50ca511c0f59b76498</x:v>
      </x:c>
      <x:c r="C6265" s="2" t="str">
        <x:v>Đồng Nai</x:v>
      </x:c>
      <x:c r="D6265" s="2" t="str">
        <x:v>Huyện Định Quán</x:v>
      </x:c>
      <x:c r="E6265" s="2" t="str">
        <x:v>land</x:v>
      </x:c>
      <x:c r="F6265" s="2" t="str">
        <x:v>sale</x:v>
      </x:c>
      <x:c r="G6265" s="11" t="n">
        <x:v>2399</x:v>
      </x:c>
      <x:c r="H6265" s="12" t="n">
        <x:v>360000000</x:v>
      </x:c>
      <x:c r="I6265" s="12" t="n">
        <x:v>150062.5260525219</x:v>
      </x:c>
      <x:c r="J6265" s="2" t="str">
        <x:v>total</x:v>
      </x:c>
      <x:c r="K6265" s="2" t="str">
        <x:v>top_level_area</x:v>
      </x:c>
      <x:c r="L6265" s="2" t="str">
        <x:v>dot_thousands_convention;property_type_inferred_from_title</x:v>
      </x:c>
      <x:c r="M6265" s="10" t="n">
        <x:v>0</x:v>
      </x:c>
      <x:c r="N6265" s="10" t="n">
        <x:v>0</x:v>
      </x:c>
      <x:c r="O6265" s="2" t="str">
        <x:v>Đồng Nai|land</x:v>
      </x:c>
      <x:c r="P6265" s="10" t="n">
        <x:v>1</x:v>
      </x:c>
      <x:c r="Q6265" s="13" t="n">
        <x:f>IF(H6265="","",H6265/1000000000)</x:f>
        <x:v>0.36</x:v>
      </x:c>
      <x:c r="R6265" s="13" t="n">
        <x:f>IF(I6265="","",I6265/1000000)</x:f>
        <x:v>0.15006252605252188</x:v>
      </x:c>
    </x:row>
    <x:row r="6266" ht="21" customHeight="1">
      <x:c r="A6266" s="10" t="n">
        <x:v>8099</x:v>
      </x:c>
      <x:c r="B6266" s="2" t="str">
        <x:v>699d3972feff79048795</x:v>
      </x:c>
      <x:c r="C6266" s="2" t="str">
        <x:v>Tp Hồ Chí Minh</x:v>
      </x:c>
      <x:c r="D6266" s="2" t="str">
        <x:v>Quận Bình Thạnh</x:v>
      </x:c>
      <x:c r="E6266" s="2" t="str">
        <x:v>apartment</x:v>
      </x:c>
      <x:c r="F6266" s="2" t="str">
        <x:v>sale</x:v>
      </x:c>
      <x:c r="G6266" s="11" t="n">
        <x:v>90</x:v>
      </x:c>
      <x:c r="H6266" s="12" t="n">
        <x:v>12500000000</x:v>
      </x:c>
      <x:c r="I6266" s="12" t="n">
        <x:v>138888888.8888889</x:v>
      </x:c>
      <x:c r="J6266" s="2" t="str">
        <x:v>total</x:v>
      </x:c>
      <x:c r="K6266" s="2" t="str">
        <x:v>top_level_area</x:v>
      </x:c>
      <x:c r="L6266" s="2" t="str">
        <x:v>property_type_inferred_from_title</x:v>
      </x:c>
      <x:c r="M6266" s="10" t="n">
        <x:v>0</x:v>
      </x:c>
      <x:c r="N6266" s="10" t="n">
        <x:v>1</x:v>
      </x:c>
      <x:c r="O6266" s="2" t="str">
        <x:v>Tp Hồ Chí Minh|apartment</x:v>
      </x:c>
      <x:c r="P6266" s="10" t="n">
        <x:v>-1</x:v>
      </x:c>
      <x:c r="Q6266" s="13" t="n">
        <x:f>IF(H6266="","",H6266/1000000000)</x:f>
        <x:v>12.5</x:v>
      </x:c>
      <x:c r="R6266" s="13" t="n">
        <x:f>IF(I6266="","",I6266/1000000)</x:f>
        <x:v>138.88888888888889</x:v>
      </x:c>
    </x:row>
    <x:row r="6267" ht="21" customHeight="1">
      <x:c r="A6267" s="10" t="n">
        <x:v>8100</x:v>
      </x:c>
      <x:c r="B6267" s="2" t="str">
        <x:v>d228c849f904cfaf6241</x:v>
      </x:c>
      <x:c r="C6267" s="2" t="str">
        <x:v>Đà Nẵng</x:v>
      </x:c>
      <x:c r="D6267" s="2" t="str">
        <x:v>Quận Liên Chiểu</x:v>
      </x:c>
      <x:c r="E6267" s="2" t="str">
        <x:v>land</x:v>
      </x:c>
      <x:c r="F6267" s="2" t="str">
        <x:v>sale_assumed</x:v>
      </x:c>
      <x:c r="G6267" s="11" t="n">
        <x:v>120</x:v>
      </x:c>
      <x:c r="H6267" s="12" t="n">
        <x:v>1350000000</x:v>
      </x:c>
      <x:c r="I6267" s="12" t="n">
        <x:v>11250000</x:v>
      </x:c>
      <x:c r="J6267" s="2" t="str">
        <x:v>total</x:v>
      </x:c>
      <x:c r="K6267" s="2" t="str">
        <x:v>top_level_area</x:v>
      </x:c>
      <x:c r="L6267" s="2" t="str">
        <x:v>property_type_inferred_from_title;transaction_assumed_sale_from_dataset_context</x:v>
      </x:c>
      <x:c r="M6267" s="10" t="n">
        <x:v>0</x:v>
      </x:c>
      <x:c r="N6267" s="10" t="n">
        <x:v>0</x:v>
      </x:c>
      <x:c r="O6267" s="2" t="str">
        <x:v>Đà Nẵng|land</x:v>
      </x:c>
      <x:c r="P6267" s="10" t="n">
        <x:v>2</x:v>
      </x:c>
      <x:c r="Q6267" s="13" t="n">
        <x:f>IF(H6267="","",H6267/1000000000)</x:f>
        <x:v>1.35</x:v>
      </x:c>
      <x:c r="R6267" s="13" t="n">
        <x:f>IF(I6267="","",I6267/1000000)</x:f>
        <x:v>11.25</x:v>
      </x:c>
    </x:row>
    <x:row r="6268" ht="21" customHeight="1">
      <x:c r="A6268" s="10" t="n">
        <x:v>8101</x:v>
      </x:c>
      <x:c r="B6268" s="2" t="str">
        <x:v>8079c4f83ace6a780f79</x:v>
      </x:c>
      <x:c r="C6268" s="2" t="str">
        <x:v>Tp Hồ Chí Minh</x:v>
      </x:c>
      <x:c r="D6268" s="2" t="str">
        <x:v>Quận Phú Nhuận</x:v>
      </x:c>
      <x:c r="E6268" s="2" t="str">
        <x:v>house</x:v>
      </x:c>
      <x:c r="F6268" s="2" t="str">
        <x:v>sale</x:v>
      </x:c>
      <x:c r="G6268" s="11" t="n">
        <x:v>60</x:v>
      </x:c>
      <x:c r="H6268" s="12" t="n">
        <x:v>10500000000</x:v>
      </x:c>
      <x:c r="I6268" s="12" t="n">
        <x:v>175000000</x:v>
      </x:c>
      <x:c r="J6268" s="2" t="str">
        <x:v>total</x:v>
      </x:c>
      <x:c r="K6268" s="2" t="str">
        <x:v>top_level_area</x:v>
      </x:c>
      <x:c r="L6268" s="2" t="str">
        <x:v>property_type_inferred_from_title</x:v>
      </x:c>
      <x:c r="M6268" s="10" t="n">
        <x:v>1</x:v>
      </x:c>
      <x:c r="N6268" s="10" t="n">
        <x:v>0</x:v>
      </x:c>
      <x:c r="O6268" s="2" t="str">
        <x:v>Tp Hồ Chí Minh|house</x:v>
      </x:c>
      <x:c r="P6268" s="10" t="n">
        <x:v>2</x:v>
      </x:c>
      <x:c r="Q6268" s="13" t="n">
        <x:f>IF(H6268="","",H6268/1000000000)</x:f>
        <x:v>10.5</x:v>
      </x:c>
      <x:c r="R6268" s="13" t="n">
        <x:f>IF(I6268="","",I6268/1000000)</x:f>
        <x:v>175</x:v>
      </x:c>
    </x:row>
    <x:row r="6269" ht="21" customHeight="1">
      <x:c r="A6269" s="10" t="n">
        <x:v>8102</x:v>
      </x:c>
      <x:c r="B6269" s="2" t="str">
        <x:v>701948a8e74eb6df06cf</x:v>
      </x:c>
      <x:c r="C6269" s="2" t="str">
        <x:v>Đồng Nai</x:v>
      </x:c>
      <x:c r="D6269" s="2" t="str">
        <x:v>Huyện Long Thành</x:v>
      </x:c>
      <x:c r="E6269" s="2" t="str">
        <x:v>land</x:v>
      </x:c>
      <x:c r="F6269" s="2" t="str">
        <x:v>sale</x:v>
      </x:c>
      <x:c r="G6269" s="11" t="n">
        <x:v>1800</x:v>
      </x:c>
      <x:c r="H6269" s="12" t="n">
        <x:v>2800000000</x:v>
      </x:c>
      <x:c r="I6269" s="12" t="n">
        <x:v>1555555.5555555555</x:v>
      </x:c>
      <x:c r="J6269" s="2" t="str">
        <x:v>total</x:v>
      </x:c>
      <x:c r="K6269" s="2" t="str">
        <x:v>top_level_area</x:v>
      </x:c>
      <x:c r="L6269" s="2" t="str">
        <x:v>dot_thousands_convention;property_type_inferred_from_title</x:v>
      </x:c>
      <x:c r="M6269" s="10" t="n">
        <x:v>0</x:v>
      </x:c>
      <x:c r="N6269" s="10" t="n">
        <x:v>0</x:v>
      </x:c>
      <x:c r="O6269" s="2" t="str">
        <x:v>Đồng Nai|land</x:v>
      </x:c>
      <x:c r="P6269" s="10" t="n">
        <x:v>1</x:v>
      </x:c>
      <x:c r="Q6269" s="13" t="n">
        <x:f>IF(H6269="","",H6269/1000000000)</x:f>
        <x:v>2.8</x:v>
      </x:c>
      <x:c r="R6269" s="13" t="n">
        <x:f>IF(I6269="","",I6269/1000000)</x:f>
        <x:v>1.5555555555555556</x:v>
      </x:c>
    </x:row>
    <x:row r="6270" ht="21" customHeight="1">
      <x:c r="A6270" s="10" t="n">
        <x:v>8103</x:v>
      </x:c>
      <x:c r="B6270" s="2" t="str">
        <x:v>af0aa69fce7ab140a419</x:v>
      </x:c>
      <x:c r="C6270" s="2" t="str">
        <x:v>Tp Hồ Chí Minh</x:v>
      </x:c>
      <x:c r="D6270" s="2" t="str">
        <x:v>Quận Bình Tân</x:v>
      </x:c>
      <x:c r="E6270" s="2" t="str">
        <x:v>house</x:v>
      </x:c>
      <x:c r="F6270" s="2" t="str">
        <x:v>sale_assumed</x:v>
      </x:c>
      <x:c r="G6270" s="11" t="n">
        <x:v>240</x:v>
      </x:c>
      <x:c r="H6270" s="12" t="n">
        <x:v>4900000000</x:v>
      </x:c>
      <x:c r="I6270" s="12" t="n">
        <x:v>20416666.666666668</x:v>
      </x:c>
      <x:c r="J6270" s="2" t="str">
        <x:v>total</x:v>
      </x:c>
      <x:c r="K6270" s="2" t="str">
        <x:v>top_level_area</x:v>
      </x:c>
      <x:c r="L6270" s="2" t="str">
        <x:v>property_type_inferred_from_title;transaction_assumed_sale_from_dataset_context</x:v>
      </x:c>
      <x:c r="M6270" s="10" t="n">
        <x:v>0</x:v>
      </x:c>
      <x:c r="N6270" s="10" t="n">
        <x:v>0</x:v>
      </x:c>
      <x:c r="O6270" s="2" t="str">
        <x:v>Tp Hồ Chí Minh|house</x:v>
      </x:c>
      <x:c r="P6270" s="10" t="n">
        <x:v>2</x:v>
      </x:c>
      <x:c r="Q6270" s="13" t="n">
        <x:f>IF(H6270="","",H6270/1000000000)</x:f>
        <x:v>4.9</x:v>
      </x:c>
      <x:c r="R6270" s="13" t="n">
        <x:f>IF(I6270="","",I6270/1000000)</x:f>
        <x:v>20.416666666666668</x:v>
      </x:c>
    </x:row>
    <x:row r="6271" ht="21" customHeight="1">
      <x:c r="A6271" s="10" t="n">
        <x:v>8104</x:v>
      </x:c>
      <x:c r="B6271" s="2" t="str">
        <x:v>49e932b77794f4877837</x:v>
      </x:c>
      <x:c r="C6271" s="2" t="str">
        <x:v>Tp Hồ Chí Minh</x:v>
      </x:c>
      <x:c r="D6271" s="2" t="str">
        <x:v>Huyện Hóc Môn</x:v>
      </x:c>
      <x:c r="E6271" s="2" t="str">
        <x:v>land</x:v>
      </x:c>
      <x:c r="F6271" s="2" t="str">
        <x:v>sale_assumed</x:v>
      </x:c>
      <x:c r="G6271" s="11" t="n">
        <x:v>110</x:v>
      </x:c>
      <x:c r="H6271" s="12" t="n">
        <x:v>550000000</x:v>
      </x:c>
      <x:c r="I6271" s="12" t="n">
        <x:v>5000000</x:v>
      </x:c>
      <x:c r="J6271" s="2" t="str">
        <x:v>total</x:v>
      </x:c>
      <x:c r="K6271" s="2" t="str">
        <x:v>top_level_area</x:v>
      </x:c>
      <x:c r="L6271" s="2" t="str">
        <x:v>property_type_inferred_from_title;transaction_assumed_sale_from_dataset_context</x:v>
      </x:c>
      <x:c r="M6271" s="10" t="n">
        <x:v>0</x:v>
      </x:c>
      <x:c r="N6271" s="10" t="n">
        <x:v>0</x:v>
      </x:c>
      <x:c r="O6271" s="2" t="str">
        <x:v>Tp Hồ Chí Minh|land</x:v>
      </x:c>
      <x:c r="P6271" s="10" t="n">
        <x:v>2</x:v>
      </x:c>
      <x:c r="Q6271" s="13" t="n">
        <x:f>IF(H6271="","",H6271/1000000000)</x:f>
        <x:v>0.55</x:v>
      </x:c>
      <x:c r="R6271" s="13" t="n">
        <x:f>IF(I6271="","",I6271/1000000)</x:f>
        <x:v>5</x:v>
      </x:c>
    </x:row>
    <x:row r="6272" ht="21" customHeight="1">
      <x:c r="A6272" s="10" t="n">
        <x:v>8105</x:v>
      </x:c>
      <x:c r="B6272" s="2" t="str">
        <x:v>b04a9293878ea6e34be9</x:v>
      </x:c>
      <x:c r="C6272" s="2" t="str">
        <x:v>Tp Hồ Chí Minh</x:v>
      </x:c>
      <x:c r="D6272" s="2" t="str">
        <x:v>Huyện Nhà Bè</x:v>
      </x:c>
      <x:c r="E6272" s="2" t="str">
        <x:v>house</x:v>
      </x:c>
      <x:c r="F6272" s="2" t="str">
        <x:v>sale_assumed</x:v>
      </x:c>
      <x:c r="G6272" s="11" t="n">
        <x:v>21</x:v>
      </x:c>
      <x:c r="H6272" s="12" t="n">
        <x:v>520000000</x:v>
      </x:c>
      <x:c r="I6272" s="12" t="n">
        <x:v>24761904.76190476</x:v>
      </x:c>
      <x:c r="J6272" s="2" t="str">
        <x:v>total</x:v>
      </x:c>
      <x:c r="K6272" s="2" t="str">
        <x:v>top_level_area</x:v>
      </x:c>
      <x:c r="L6272" s="2" t="str">
        <x:v>property_type_inferred_from_title;transaction_assumed_sale_from_dataset_context</x:v>
      </x:c>
      <x:c r="M6272" s="10" t="n">
        <x:v>0</x:v>
      </x:c>
      <x:c r="N6272" s="10" t="n">
        <x:v>0</x:v>
      </x:c>
      <x:c r="O6272" s="2" t="str">
        <x:v>Tp Hồ Chí Minh|house</x:v>
      </x:c>
      <x:c r="P6272" s="10" t="n">
        <x:v>2</x:v>
      </x:c>
      <x:c r="Q6272" s="13" t="n">
        <x:f>IF(H6272="","",H6272/1000000000)</x:f>
        <x:v>0.52</x:v>
      </x:c>
      <x:c r="R6272" s="13" t="n">
        <x:f>IF(I6272="","",I6272/1000000)</x:f>
        <x:v>24.761904761904763</x:v>
      </x:c>
    </x:row>
    <x:row r="6273" ht="21" customHeight="1">
      <x:c r="A6273" s="10" t="n">
        <x:v>8106</x:v>
      </x:c>
      <x:c r="B6273" s="2" t="str">
        <x:v>32e004b592383f851e73</x:v>
      </x:c>
      <x:c r="C6273" s="2" t="str">
        <x:v>Đà Nẵng</x:v>
      </x:c>
      <x:c r="D6273" s="2" t="str">
        <x:v>Quận Ngũ Hành Sơn</x:v>
      </x:c>
      <x:c r="E6273" s="2" t="str">
        <x:v>house</x:v>
      </x:c>
      <x:c r="F6273" s="2" t="str">
        <x:v>sale_assumed</x:v>
      </x:c>
      <x:c r="G6273" s="11" t="n">
        <x:v>60</x:v>
      </x:c>
      <x:c r="H6273" s="12" t="n">
        <x:v>4900000000</x:v>
      </x:c>
      <x:c r="I6273" s="12" t="n">
        <x:v>81666666.66666667</x:v>
      </x:c>
      <x:c r="J6273" s="2" t="str">
        <x:v>total</x:v>
      </x:c>
      <x:c r="K6273" s="2" t="str">
        <x:v>top_level_area</x:v>
      </x:c>
      <x:c r="L6273" s="2" t="str">
        <x:v>property_type_inferred_from_title;transaction_assumed_sale_from_dataset_context</x:v>
      </x:c>
      <x:c r="M6273" s="10" t="n">
        <x:v>0</x:v>
      </x:c>
      <x:c r="N6273" s="10" t="n">
        <x:v>0</x:v>
      </x:c>
      <x:c r="O6273" s="2" t="str">
        <x:v>Đà Nẵng|house</x:v>
      </x:c>
      <x:c r="P6273" s="10" t="n">
        <x:v>2</x:v>
      </x:c>
      <x:c r="Q6273" s="13" t="n">
        <x:f>IF(H6273="","",H6273/1000000000)</x:f>
        <x:v>4.9</x:v>
      </x:c>
      <x:c r="R6273" s="13" t="n">
        <x:f>IF(I6273="","",I6273/1000000)</x:f>
        <x:v>81.66666666666667</x:v>
      </x:c>
    </x:row>
    <x:row r="6274" ht="21" customHeight="1">
      <x:c r="A6274" s="10" t="n">
        <x:v>8107</x:v>
      </x:c>
      <x:c r="B6274" s="2" t="str">
        <x:v>b47d0bfa0fb55edbd824</x:v>
      </x:c>
      <x:c r="C6274" s="2" t="str">
        <x:v>Bình Dương</x:v>
      </x:c>
      <x:c r="D6274" s="2" t="str">
        <x:v>Thị xã Bến Cát</x:v>
      </x:c>
      <x:c r="E6274" s="2" t="str">
        <x:v>land</x:v>
      </x:c>
      <x:c r="F6274" s="2" t="str">
        <x:v>sale</x:v>
      </x:c>
      <x:c r="G6274" s="11" t="n">
        <x:v>24000</x:v>
      </x:c>
      <x:c r="H6274" s="12" t="n">
        <x:v>40000000000</x:v>
      </x:c>
      <x:c r="I6274" s="12" t="n">
        <x:v>1666666.6666666667</x:v>
      </x:c>
      <x:c r="J6274" s="2" t="str">
        <x:v>total</x:v>
      </x:c>
      <x:c r="K6274" s="2" t="str">
        <x:v>top_level_area</x:v>
      </x:c>
      <x:c r="L6274" s="2" t="str">
        <x:v>dot_thousands_convention;property_type_inferred_from_title</x:v>
      </x:c>
      <x:c r="M6274" s="10" t="n">
        <x:v>0</x:v>
      </x:c>
      <x:c r="N6274" s="10" t="n">
        <x:v>0</x:v>
      </x:c>
      <x:c r="O6274" s="2" t="str">
        <x:v>Bình Dương|land</x:v>
      </x:c>
      <x:c r="P6274" s="10" t="n">
        <x:v>1</x:v>
      </x:c>
      <x:c r="Q6274" s="13" t="n">
        <x:f>IF(H6274="","",H6274/1000000000)</x:f>
        <x:v>40</x:v>
      </x:c>
      <x:c r="R6274" s="13" t="n">
        <x:f>IF(I6274="","",I6274/1000000)</x:f>
        <x:v>1.6666666666666667</x:v>
      </x:c>
    </x:row>
    <x:row r="6275" ht="21" customHeight="1">
      <x:c r="A6275" s="10" t="n">
        <x:v>8108</x:v>
      </x:c>
      <x:c r="B6275" s="2" t="str">
        <x:v>17db461625f578caf0b7</x:v>
      </x:c>
      <x:c r="C6275" s="2" t="str">
        <x:v>Long An</x:v>
      </x:c>
      <x:c r="D6275" s="2" t="str">
        <x:v>Huyện Bến Lức</x:v>
      </x:c>
      <x:c r="E6275" s="2" t="str">
        <x:v>house</x:v>
      </x:c>
      <x:c r="F6275" s="2" t="str">
        <x:v>sale</x:v>
      </x:c>
      <x:c r="G6275" s="11" t="n">
        <x:v>62</x:v>
      </x:c>
      <x:c r="H6275" s="12" t="n">
        <x:v>1500000000</x:v>
      </x:c>
      <x:c r="I6275" s="12" t="n">
        <x:v>24193548.387096774</x:v>
      </x:c>
      <x:c r="J6275" s="2" t="str">
        <x:v>total</x:v>
      </x:c>
      <x:c r="K6275" s="2" t="str">
        <x:v>top_level_area</x:v>
      </x:c>
      <x:c r="L6275" s="2" t="str">
        <x:v>property_type_inferred_from_title</x:v>
      </x:c>
      <x:c r="M6275" s="10" t="n">
        <x:v>0</x:v>
      </x:c>
      <x:c r="N6275" s="10" t="n">
        <x:v>0</x:v>
      </x:c>
      <x:c r="O6275" s="2" t="str">
        <x:v>Long An|house</x:v>
      </x:c>
      <x:c r="P6275" s="10" t="n">
        <x:v>2</x:v>
      </x:c>
      <x:c r="Q6275" s="13" t="n">
        <x:f>IF(H6275="","",H6275/1000000000)</x:f>
        <x:v>1.5</x:v>
      </x:c>
      <x:c r="R6275" s="13" t="n">
        <x:f>IF(I6275="","",I6275/1000000)</x:f>
        <x:v>24.193548387096772</x:v>
      </x:c>
    </x:row>
    <x:row r="6276" ht="21" customHeight="1">
      <x:c r="A6276" s="10" t="n">
        <x:v>8109</x:v>
      </x:c>
      <x:c r="B6276" s="2" t="str">
        <x:v>e0d5eac7aa411d62245b</x:v>
      </x:c>
      <x:c r="C6276" s="2" t="str">
        <x:v>Tp Hồ Chí Minh</x:v>
      </x:c>
      <x:c r="D6276" s="2" t="str">
        <x:v>Quận 12</x:v>
      </x:c>
      <x:c r="E6276" s="2" t="str">
        <x:v>house</x:v>
      </x:c>
      <x:c r="F6276" s="2" t="str">
        <x:v>sale_assumed</x:v>
      </x:c>
      <x:c r="G6276" s="11" t="n">
        <x:v>49</x:v>
      </x:c>
      <x:c r="H6276" s="12" t="n">
        <x:v>2950000000</x:v>
      </x:c>
      <x:c r="I6276" s="12" t="n">
        <x:v>60204081.63265306</x:v>
      </x:c>
      <x:c r="J6276" s="2" t="str">
        <x:v>total</x:v>
      </x:c>
      <x:c r="K6276" s="2" t="str">
        <x:v>top_level_area</x:v>
      </x:c>
      <x:c r="L6276" s="2" t="str">
        <x:v>property_type_inferred_from_title;transaction_assumed_sale_from_dataset_context</x:v>
      </x:c>
      <x:c r="M6276" s="10" t="n">
        <x:v>0</x:v>
      </x:c>
      <x:c r="N6276" s="10" t="n">
        <x:v>0</x:v>
      </x:c>
      <x:c r="O6276" s="2" t="str">
        <x:v>Tp Hồ Chí Minh|house</x:v>
      </x:c>
      <x:c r="P6276" s="10" t="n">
        <x:v>2</x:v>
      </x:c>
      <x:c r="Q6276" s="13" t="n">
        <x:f>IF(H6276="","",H6276/1000000000)</x:f>
        <x:v>2.95</x:v>
      </x:c>
      <x:c r="R6276" s="13" t="n">
        <x:f>IF(I6276="","",I6276/1000000)</x:f>
        <x:v>60.20408163265306</x:v>
      </x:c>
    </x:row>
    <x:row r="6277" ht="21" customHeight="1">
      <x:c r="A6277" s="10" t="n">
        <x:v>8111</x:v>
      </x:c>
      <x:c r="B6277" s="2" t="str">
        <x:v>6589c024a769c193caa8</x:v>
      </x:c>
      <x:c r="C6277" s="2" t="str">
        <x:v>Long An</x:v>
      </x:c>
      <x:c r="D6277" s="2" t="str">
        <x:v>Huyện Bến Lức</x:v>
      </x:c>
      <x:c r="E6277" s="2" t="str">
        <x:v>other_unknown</x:v>
      </x:c>
      <x:c r="F6277" s="2" t="str">
        <x:v>sale_assumed</x:v>
      </x:c>
      <x:c r="G6277" s="11" t="n">
        <x:v>241</x:v>
      </x:c>
      <x:c r="H6277" s="12" t="n">
        <x:v>1350000000</x:v>
      </x:c>
      <x:c r="I6277" s="12" t="n">
        <x:v>5601659.751037344</x:v>
      </x:c>
      <x:c r="J6277" s="2" t="str">
        <x:v>total</x:v>
      </x:c>
      <x:c r="K6277" s="2" t="str">
        <x:v>top_level_area</x:v>
      </x:c>
      <x:c r="L6277" s="2" t="str">
        <x:v>property_type_inferred_from_title;transaction_assumed_sale_from_dataset_context;unknown_property_type</x:v>
      </x:c>
      <x:c r="M6277" s="10" t="n">
        <x:v>0</x:v>
      </x:c>
      <x:c r="N6277" s="10" t="n">
        <x:v>0</x:v>
      </x:c>
      <x:c r="O6277" s="2" t="str">
        <x:v>Long An|other_unknown</x:v>
      </x:c>
      <x:c r="P6277" s="10" t="n">
        <x:v>1</x:v>
      </x:c>
      <x:c r="Q6277" s="13" t="n">
        <x:f>IF(H6277="","",H6277/1000000000)</x:f>
        <x:v>1.35</x:v>
      </x:c>
      <x:c r="R6277" s="13" t="n">
        <x:f>IF(I6277="","",I6277/1000000)</x:f>
        <x:v>5.601659751037344</x:v>
      </x:c>
    </x:row>
    <x:row r="6278" ht="21" customHeight="1">
      <x:c r="A6278" s="10" t="n">
        <x:v>8112</x:v>
      </x:c>
      <x:c r="B6278" s="2" t="str">
        <x:v>2fc1aae3bf53cb7d2465</x:v>
      </x:c>
      <x:c r="C6278" s="2" t="str">
        <x:v>Đồng Nai</x:v>
      </x:c>
      <x:c r="D6278" s="2" t="str">
        <x:v>Huyện Định Quán</x:v>
      </x:c>
      <x:c r="E6278" s="2" t="str">
        <x:v>land</x:v>
      </x:c>
      <x:c r="F6278" s="2" t="str">
        <x:v>sale</x:v>
      </x:c>
      <x:c r="G6278" s="11" t="n">
        <x:v>6345</x:v>
      </x:c>
      <x:c r="H6278" s="12" t="n">
        <x:v>260000000</x:v>
      </x:c>
      <x:c r="I6278" s="12" t="n">
        <x:v>40977.14736012608</x:v>
      </x:c>
      <x:c r="J6278" s="2" t="str">
        <x:v>total</x:v>
      </x:c>
      <x:c r="K6278" s="2" t="str">
        <x:v>top_level_area</x:v>
      </x:c>
      <x:c r="L6278" s="2" t="str">
        <x:v>dot_thousands_convention;property_type_inferred_from_title</x:v>
      </x:c>
      <x:c r="M6278" s="10" t="n">
        <x:v>0</x:v>
      </x:c>
      <x:c r="N6278" s="10" t="n">
        <x:v>0</x:v>
      </x:c>
      <x:c r="O6278" s="2" t="str">
        <x:v>Đồng Nai|land</x:v>
      </x:c>
      <x:c r="P6278" s="10" t="n">
        <x:v>1</x:v>
      </x:c>
      <x:c r="Q6278" s="13" t="n">
        <x:f>IF(H6278="","",H6278/1000000000)</x:f>
        <x:v>0.26</x:v>
      </x:c>
      <x:c r="R6278" s="13" t="n">
        <x:f>IF(I6278="","",I6278/1000000)</x:f>
        <x:v>0.04097714736012608</x:v>
      </x:c>
    </x:row>
    <x:row r="6279" ht="21" customHeight="1">
      <x:c r="A6279" s="10" t="n">
        <x:v>8113</x:v>
      </x:c>
      <x:c r="B6279" s="2" t="str">
        <x:v>cfbe0e917be1d07ae050</x:v>
      </x:c>
      <x:c r="C6279" s="2" t="str">
        <x:v>Tp Hồ Chí Minh</x:v>
      </x:c>
      <x:c r="D6279" s="2" t="str">
        <x:v>Quận Gò Vấp</x:v>
      </x:c>
      <x:c r="E6279" s="2" t="str">
        <x:v>other_unknown</x:v>
      </x:c>
      <x:c r="F6279" s="2" t="str">
        <x:v>sale</x:v>
      </x:c>
      <x:c r="G6279" s="11" t="n">
        <x:v>30</x:v>
      </x:c>
      <x:c r="H6279" s="12" t="n">
        <x:v>2900000000</x:v>
      </x:c>
      <x:c r="I6279" s="12" t="n">
        <x:v>96666666.66666667</x:v>
      </x:c>
      <x:c r="J6279" s="2" t="str">
        <x:v>total</x:v>
      </x:c>
      <x:c r="K6279" s="2" t="str">
        <x:v>top_level_area</x:v>
      </x:c>
      <x:c r="L6279" s="2" t="str">
        <x:v>property_type_inferred_from_title;unknown_property_type</x:v>
      </x:c>
      <x:c r="M6279" s="10" t="n">
        <x:v>0</x:v>
      </x:c>
      <x:c r="N6279" s="10" t="n">
        <x:v>0</x:v>
      </x:c>
      <x:c r="O6279" s="2" t="str">
        <x:v>Tp Hồ Chí Minh|other_unknown</x:v>
      </x:c>
      <x:c r="P6279" s="10" t="n">
        <x:v>2</x:v>
      </x:c>
      <x:c r="Q6279" s="13" t="n">
        <x:f>IF(H6279="","",H6279/1000000000)</x:f>
        <x:v>2.9</x:v>
      </x:c>
      <x:c r="R6279" s="13" t="n">
        <x:f>IF(I6279="","",I6279/1000000)</x:f>
        <x:v>96.66666666666667</x:v>
      </x:c>
    </x:row>
    <x:row r="6280" ht="21" customHeight="1">
      <x:c r="A6280" s="10" t="n">
        <x:v>8114</x:v>
      </x:c>
      <x:c r="B6280" s="2" t="str">
        <x:v>e9428dc99ec592c3ccd4</x:v>
      </x:c>
      <x:c r="C6280" s="2" t="str">
        <x:v>Tp Hồ Chí Minh</x:v>
      </x:c>
      <x:c r="D6280" s="2" t="str">
        <x:v>Quận Thủ Đức</x:v>
      </x:c>
      <x:c r="E6280" s="2" t="str">
        <x:v>other_unknown</x:v>
      </x:c>
      <x:c r="F6280" s="2" t="str">
        <x:v>sale</x:v>
      </x:c>
      <x:c r="G6280" s="11" t="n">
        <x:v>67</x:v>
      </x:c>
      <x:c r="H6280" s="12" t="n">
        <x:v>2700000000</x:v>
      </x:c>
      <x:c r="I6280" s="12" t="n">
        <x:v>40298507.46268657</x:v>
      </x:c>
      <x:c r="J6280" s="2" t="str">
        <x:v>total</x:v>
      </x:c>
      <x:c r="K6280" s="2" t="str">
        <x:v>top_level_area</x:v>
      </x:c>
      <x:c r="L6280" s="2" t="str">
        <x:v>property_type_inferred_from_title;unknown_property_type</x:v>
      </x:c>
      <x:c r="M6280" s="10" t="n">
        <x:v>0</x:v>
      </x:c>
      <x:c r="N6280" s="10" t="n">
        <x:v>0</x:v>
      </x:c>
      <x:c r="O6280" s="2" t="str">
        <x:v>Tp Hồ Chí Minh|other_unknown</x:v>
      </x:c>
      <x:c r="P6280" s="10" t="n">
        <x:v>2</x:v>
      </x:c>
      <x:c r="Q6280" s="13" t="n">
        <x:f>IF(H6280="","",H6280/1000000000)</x:f>
        <x:v>2.7</x:v>
      </x:c>
      <x:c r="R6280" s="13" t="n">
        <x:f>IF(I6280="","",I6280/1000000)</x:f>
        <x:v>40.298507462686565</x:v>
      </x:c>
    </x:row>
    <x:row r="6281" ht="21" customHeight="1">
      <x:c r="A6281" s="10" t="n">
        <x:v>8115</x:v>
      </x:c>
      <x:c r="B6281" s="2" t="str">
        <x:v>77b56c888a0796c21519</x:v>
      </x:c>
      <x:c r="C6281" s="2" t="str">
        <x:v>Bình Dương</x:v>
      </x:c>
      <x:c r="D6281" s="2" t="str">
        <x:v>Thị xã Dĩ An</x:v>
      </x:c>
      <x:c r="E6281" s="2" t="str">
        <x:v>apartment</x:v>
      </x:c>
      <x:c r="F6281" s="2" t="str">
        <x:v>sale</x:v>
      </x:c>
      <x:c r="G6281" s="11" t="n">
        <x:v>42</x:v>
      </x:c>
      <x:c r="H6281" s="12" t="n">
        <x:v>695000000</x:v>
      </x:c>
      <x:c r="I6281" s="12" t="n">
        <x:v>16547619.047619049</x:v>
      </x:c>
      <x:c r="J6281" s="2" t="str">
        <x:v>total</x:v>
      </x:c>
      <x:c r="K6281" s="2" t="str">
        <x:v>top_level_area</x:v>
      </x:c>
      <x:c r="L6281" s="2" t="str">
        <x:v>property_type_inferred_from_title</x:v>
      </x:c>
      <x:c r="M6281" s="10" t="n">
        <x:v>0</x:v>
      </x:c>
      <x:c r="N6281" s="10" t="n">
        <x:v>0</x:v>
      </x:c>
      <x:c r="O6281" s="2" t="str">
        <x:v>Bình Dương|apartment</x:v>
      </x:c>
      <x:c r="P6281" s="10" t="n">
        <x:v>2</x:v>
      </x:c>
      <x:c r="Q6281" s="13" t="n">
        <x:f>IF(H6281="","",H6281/1000000000)</x:f>
        <x:v>0.695</x:v>
      </x:c>
      <x:c r="R6281" s="13" t="n">
        <x:f>IF(I6281="","",I6281/1000000)</x:f>
        <x:v>16.547619047619047</x:v>
      </x:c>
    </x:row>
    <x:row r="6282" ht="21" customHeight="1">
      <x:c r="A6282" s="10" t="n">
        <x:v>8116</x:v>
      </x:c>
      <x:c r="B6282" s="2" t="str">
        <x:v>7046b427d153ba268639</x:v>
      </x:c>
      <x:c r="C6282" s="2" t="str">
        <x:v>Nghệ An</x:v>
      </x:c>
      <x:c r="D6282" s="2" t="str">
        <x:v>Thành phố Vinh</x:v>
      </x:c>
      <x:c r="E6282" s="2" t="str">
        <x:v>house</x:v>
      </x:c>
      <x:c r="F6282" s="2" t="str">
        <x:v>sale</x:v>
      </x:c>
      <x:c r="G6282" s="11" t="n">
        <x:v>202</x:v>
      </x:c>
      <x:c r="H6282" s="12" t="n">
        <x:v>26000000000</x:v>
      </x:c>
      <x:c r="I6282" s="12" t="n">
        <x:v>128712871.28712872</x:v>
      </x:c>
      <x:c r="J6282" s="2" t="str">
        <x:v>total</x:v>
      </x:c>
      <x:c r="K6282" s="2" t="str">
        <x:v>top_level_area</x:v>
      </x:c>
      <x:c r="L6282" s="2" t="str">
        <x:v>property_type_inferred_from_title</x:v>
      </x:c>
      <x:c r="M6282" s="10" t="n">
        <x:v>0</x:v>
      </x:c>
      <x:c r="N6282" s="10" t="n">
        <x:v>0</x:v>
      </x:c>
      <x:c r="O6282" s="2" t="str">
        <x:v>house</x:v>
      </x:c>
      <x:c r="P6282" s="10" t="n">
        <x:v>2</x:v>
      </x:c>
      <x:c r="Q6282" s="13" t="n">
        <x:f>IF(H6282="","",H6282/1000000000)</x:f>
        <x:v>26</x:v>
      </x:c>
      <x:c r="R6282" s="13" t="n">
        <x:f>IF(I6282="","",I6282/1000000)</x:f>
        <x:v>128.7128712871287</x:v>
      </x:c>
    </x:row>
    <x:row r="6283" ht="21" customHeight="1">
      <x:c r="A6283" s="10" t="n">
        <x:v>8117</x:v>
      </x:c>
      <x:c r="B6283" s="2" t="str">
        <x:v>4b073ad8eadbb8de22b7</x:v>
      </x:c>
      <x:c r="C6283" s="2" t="str">
        <x:v>Long An</x:v>
      </x:c>
      <x:c r="D6283" s="2" t="str">
        <x:v>Huyện Đức Hòa</x:v>
      </x:c>
      <x:c r="E6283" s="2" t="str">
        <x:v>land</x:v>
      </x:c>
      <x:c r="F6283" s="2" t="str">
        <x:v>sale_assumed</x:v>
      </x:c>
      <x:c r="G6283" s="11" t="n">
        <x:v>100</x:v>
      </x:c>
      <x:c r="H6283" s="12" t="n">
        <x:v>667000000</x:v>
      </x:c>
      <x:c r="I6283" s="12" t="n">
        <x:v>6670000</x:v>
      </x:c>
      <x:c r="J6283" s="2" t="str">
        <x:v>total</x:v>
      </x:c>
      <x:c r="K6283" s="2" t="str">
        <x:v>top_level_area</x:v>
      </x:c>
      <x:c r="L6283" s="2" t="str">
        <x:v>property_type_inferred_from_title;transaction_assumed_sale_from_dataset_context</x:v>
      </x:c>
      <x:c r="M6283" s="10" t="n">
        <x:v>0</x:v>
      </x:c>
      <x:c r="N6283" s="10" t="n">
        <x:v>0</x:v>
      </x:c>
      <x:c r="O6283" s="2" t="str">
        <x:v>Long An|land</x:v>
      </x:c>
      <x:c r="P6283" s="10" t="n">
        <x:v>2</x:v>
      </x:c>
      <x:c r="Q6283" s="13" t="n">
        <x:f>IF(H6283="","",H6283/1000000000)</x:f>
        <x:v>0.667</x:v>
      </x:c>
      <x:c r="R6283" s="13" t="n">
        <x:f>IF(I6283="","",I6283/1000000)</x:f>
        <x:v>6.67</x:v>
      </x:c>
    </x:row>
    <x:row r="6284" ht="21" customHeight="1">
      <x:c r="A6284" s="10" t="n">
        <x:v>8118</x:v>
      </x:c>
      <x:c r="B6284" s="2" t="str">
        <x:v>b35cb3385353003704d1</x:v>
      </x:c>
      <x:c r="C6284" s="2" t="str">
        <x:v>Tp Hồ Chí Minh</x:v>
      </x:c>
      <x:c r="D6284" s="2" t="str">
        <x:v>Quận Gò Vấp</x:v>
      </x:c>
      <x:c r="E6284" s="2" t="str">
        <x:v>house</x:v>
      </x:c>
      <x:c r="F6284" s="2" t="str">
        <x:v>sale_assumed</x:v>
      </x:c>
      <x:c r="G6284" s="11" t="n">
        <x:v>60</x:v>
      </x:c>
      <x:c r="H6284" s="12" t="n">
        <x:v>6600000000</x:v>
      </x:c>
      <x:c r="I6284" s="12" t="n">
        <x:v>110000000</x:v>
      </x:c>
      <x:c r="J6284" s="2" t="str">
        <x:v>total</x:v>
      </x:c>
      <x:c r="K6284" s="2" t="str">
        <x:v>top_level_area</x:v>
      </x:c>
      <x:c r="L6284" s="2" t="str">
        <x:v>property_type_inferred_from_title;transaction_assumed_sale_from_dataset_context</x:v>
      </x:c>
      <x:c r="M6284" s="10" t="n">
        <x:v>0</x:v>
      </x:c>
      <x:c r="N6284" s="10" t="n">
        <x:v>0</x:v>
      </x:c>
      <x:c r="O6284" s="2" t="str">
        <x:v>Tp Hồ Chí Minh|house</x:v>
      </x:c>
      <x:c r="P6284" s="10" t="n">
        <x:v>2</x:v>
      </x:c>
      <x:c r="Q6284" s="13" t="n">
        <x:f>IF(H6284="","",H6284/1000000000)</x:f>
        <x:v>6.6</x:v>
      </x:c>
      <x:c r="R6284" s="13" t="n">
        <x:f>IF(I6284="","",I6284/1000000)</x:f>
        <x:v>110</x:v>
      </x:c>
    </x:row>
    <x:row r="6285" ht="21" customHeight="1">
      <x:c r="A6285" s="10" t="n">
        <x:v>8121</x:v>
      </x:c>
      <x:c r="B6285" s="2" t="str">
        <x:v>5915bc8ed9c6fa8dd830</x:v>
      </x:c>
      <x:c r="C6285" s="2" t="str">
        <x:v>Đắk Lắk</x:v>
      </x:c>
      <x:c r="D6285" s="2" t="str">
        <x:v>Thành phố Buôn Ma Thuột</x:v>
      </x:c>
      <x:c r="E6285" s="2" t="str">
        <x:v>house</x:v>
      </x:c>
      <x:c r="F6285" s="2" t="str">
        <x:v>sale_assumed</x:v>
      </x:c>
      <x:c r="G6285" s="11" t="n">
        <x:v>92</x:v>
      </x:c>
      <x:c r="H6285" s="12" t="n">
        <x:v>1670000000</x:v>
      </x:c>
      <x:c r="I6285" s="12" t="n">
        <x:v>18152173.913043477</x:v>
      </x:c>
      <x:c r="J6285" s="2" t="str">
        <x:v>total</x:v>
      </x:c>
      <x:c r="K6285" s="2" t="str">
        <x:v>top_level_area</x:v>
      </x:c>
      <x:c r="L6285" s="2" t="str">
        <x:v>property_type_inferred_from_title;transaction_assumed_sale_from_dataset_context</x:v>
      </x:c>
      <x:c r="M6285" s="10" t="n">
        <x:v>0</x:v>
      </x:c>
      <x:c r="N6285" s="10" t="n">
        <x:v>0</x:v>
      </x:c>
      <x:c r="O6285" s="2" t="str">
        <x:v>Đắk Lắk|house</x:v>
      </x:c>
      <x:c r="P6285" s="10" t="n">
        <x:v>2</x:v>
      </x:c>
      <x:c r="Q6285" s="13" t="n">
        <x:f>IF(H6285="","",H6285/1000000000)</x:f>
        <x:v>1.67</x:v>
      </x:c>
      <x:c r="R6285" s="13" t="n">
        <x:f>IF(I6285="","",I6285/1000000)</x:f>
        <x:v>18.152173913043477</x:v>
      </x:c>
    </x:row>
    <x:row r="6286" ht="21" customHeight="1">
      <x:c r="A6286" s="10" t="n">
        <x:v>8122</x:v>
      </x:c>
      <x:c r="B6286" s="2" t="str">
        <x:v>cba79bd8fd96bddd905c</x:v>
      </x:c>
      <x:c r="C6286" s="2" t="str">
        <x:v>Hà Nội</x:v>
      </x:c>
      <x:c r="D6286" s="2" t="str">
        <x:v>Quận Long Biên</x:v>
      </x:c>
      <x:c r="E6286" s="2" t="str">
        <x:v>house</x:v>
      </x:c>
      <x:c r="F6286" s="2" t="str">
        <x:v>sale_assumed</x:v>
      </x:c>
      <x:c r="G6286" s="11" t="n">
        <x:v>56</x:v>
      </x:c>
      <x:c r="H6286" s="12" t="n">
        <x:v>4200000000</x:v>
      </x:c>
      <x:c r="I6286" s="12" t="n">
        <x:v>75000000</x:v>
      </x:c>
      <x:c r="J6286" s="2" t="str">
        <x:v>total</x:v>
      </x:c>
      <x:c r="K6286" s="2" t="str">
        <x:v>top_level_price_embedded_area</x:v>
      </x:c>
      <x:c r="L6286" s="2" t="str">
        <x:v>area_recovered_from_price_text;property_type_inferred_from_title;transaction_assumed_sale_from_dataset_context</x:v>
      </x:c>
      <x:c r="M6286" s="10" t="n">
        <x:v>0</x:v>
      </x:c>
      <x:c r="N6286" s="10" t="n">
        <x:v>0</x:v>
      </x:c>
      <x:c r="O6286" s="2" t="str">
        <x:v>Hà Nội|house</x:v>
      </x:c>
      <x:c r="P6286" s="10" t="n">
        <x:v>2</x:v>
      </x:c>
      <x:c r="Q6286" s="13" t="n">
        <x:f>IF(H6286="","",H6286/1000000000)</x:f>
        <x:v>4.2</x:v>
      </x:c>
      <x:c r="R6286" s="13" t="n">
        <x:f>IF(I6286="","",I6286/1000000)</x:f>
        <x:v>75</x:v>
      </x:c>
    </x:row>
    <x:row r="6287" ht="21" customHeight="1">
      <x:c r="A6287" s="10" t="n">
        <x:v>8123</x:v>
      </x:c>
      <x:c r="B6287" s="2" t="str">
        <x:v>e1e7cdcd13e1e6df553d</x:v>
      </x:c>
      <x:c r="C6287" s="2" t="str">
        <x:v>Tp Hồ Chí Minh</x:v>
      </x:c>
      <x:c r="D6287" s="2" t="str">
        <x:v>Quận 1</x:v>
      </x:c>
      <x:c r="E6287" s="2" t="str">
        <x:v>house</x:v>
      </x:c>
      <x:c r="F6287" s="2" t="str">
        <x:v>sale_assumed</x:v>
      </x:c>
      <x:c r="G6287" s="11" t="n">
        <x:v>69</x:v>
      </x:c>
      <x:c r="H6287" s="12" t="n">
        <x:v>22000000000</x:v>
      </x:c>
      <x:c r="I6287" s="12" t="n">
        <x:v>318840579.71014494</x:v>
      </x:c>
      <x:c r="J6287" s="2" t="str">
        <x:v>total</x:v>
      </x:c>
      <x:c r="K6287" s="2" t="str">
        <x:v>top_level_area</x:v>
      </x:c>
      <x:c r="L6287" s="2" t="str">
        <x:v>property_type_inferred_from_title;transaction_assumed_sale_from_dataset_context</x:v>
      </x:c>
      <x:c r="M6287" s="10" t="n">
        <x:v>1</x:v>
      </x:c>
      <x:c r="N6287" s="10" t="n">
        <x:v>1</x:v>
      </x:c>
      <x:c r="O6287" s="2" t="str">
        <x:v>Tp Hồ Chí Minh|house</x:v>
      </x:c>
      <x:c r="P6287" s="10" t="n">
        <x:v>-1</x:v>
      </x:c>
      <x:c r="Q6287" s="13" t="n">
        <x:f>IF(H6287="","",H6287/1000000000)</x:f>
        <x:v>22</x:v>
      </x:c>
      <x:c r="R6287" s="13" t="n">
        <x:f>IF(I6287="","",I6287/1000000)</x:f>
        <x:v>318.84057971014494</x:v>
      </x:c>
    </x:row>
    <x:row r="6288" ht="21" customHeight="1">
      <x:c r="A6288" s="10" t="n">
        <x:v>8124</x:v>
      </x:c>
      <x:c r="B6288" s="2" t="str">
        <x:v>83e5bbb59575814560aa</x:v>
      </x:c>
      <x:c r="C6288" s="2" t="str">
        <x:v>Đà Nẵng</x:v>
      </x:c>
      <x:c r="D6288" s="2" t="str">
        <x:v>Quận Sơn Trà</x:v>
      </x:c>
      <x:c r="E6288" s="2" t="str">
        <x:v>other_unknown</x:v>
      </x:c>
      <x:c r="F6288" s="2" t="str">
        <x:v>sale_assumed</x:v>
      </x:c>
      <x:c r="G6288" s="11" t="n">
        <x:v>62</x:v>
      </x:c>
      <x:c r="H6288" s="12" t="n">
        <x:v>2700000000</x:v>
      </x:c>
      <x:c r="I6288" s="12" t="n">
        <x:v>43548387.09677419</x:v>
      </x:c>
      <x:c r="J6288" s="2" t="str">
        <x:v>total</x:v>
      </x:c>
      <x:c r="K6288" s="2" t="str">
        <x:v>top_level_area</x:v>
      </x:c>
      <x:c r="L6288" s="2" t="str">
        <x:v>property_type_inferred_from_title;transaction_assumed_sale_from_dataset_context;unknown_property_type</x:v>
      </x:c>
      <x:c r="M6288" s="10" t="n">
        <x:v>0</x:v>
      </x:c>
      <x:c r="N6288" s="10" t="n">
        <x:v>0</x:v>
      </x:c>
      <x:c r="O6288" s="2" t="str">
        <x:v>Đà Nẵng|other_unknown</x:v>
      </x:c>
      <x:c r="P6288" s="10" t="n">
        <x:v>2</x:v>
      </x:c>
      <x:c r="Q6288" s="13" t="n">
        <x:f>IF(H6288="","",H6288/1000000000)</x:f>
        <x:v>2.7</x:v>
      </x:c>
      <x:c r="R6288" s="13" t="n">
        <x:f>IF(I6288="","",I6288/1000000)</x:f>
        <x:v>43.54838709677419</x:v>
      </x:c>
    </x:row>
    <x:row r="6289" ht="21" customHeight="1">
      <x:c r="A6289" s="10" t="n">
        <x:v>8125</x:v>
      </x:c>
      <x:c r="B6289" s="2" t="str">
        <x:v>570156c3b7a78bee9b9f</x:v>
      </x:c>
      <x:c r="C6289" s="2" t="str">
        <x:v>Long An</x:v>
      </x:c>
      <x:c r="D6289" s="2" t="str">
        <x:v>Huyện Cần Giuộc</x:v>
      </x:c>
      <x:c r="E6289" s="2" t="str">
        <x:v>house</x:v>
      </x:c>
      <x:c r="F6289" s="2" t="str">
        <x:v>sale</x:v>
      </x:c>
      <x:c r="G6289" s="11" t="n">
        <x:v>56</x:v>
      </x:c>
      <x:c r="H6289" s="12" t="n">
        <x:v>650000000</x:v>
      </x:c>
      <x:c r="I6289" s="12" t="n">
        <x:v>11607142.857142856</x:v>
      </x:c>
      <x:c r="J6289" s="2" t="str">
        <x:v>total</x:v>
      </x:c>
      <x:c r="K6289" s="2" t="str">
        <x:v>top_level_area</x:v>
      </x:c>
      <x:c r="L6289" s="2" t="str">
        <x:v>property_type_inferred_from_title</x:v>
      </x:c>
      <x:c r="M6289" s="10" t="n">
        <x:v>0</x:v>
      </x:c>
      <x:c r="N6289" s="10" t="n">
        <x:v>0</x:v>
      </x:c>
      <x:c r="O6289" s="2" t="str">
        <x:v>Long An|house</x:v>
      </x:c>
      <x:c r="P6289" s="10" t="n">
        <x:v>2</x:v>
      </x:c>
      <x:c r="Q6289" s="13" t="n">
        <x:f>IF(H6289="","",H6289/1000000000)</x:f>
        <x:v>0.65</x:v>
      </x:c>
      <x:c r="R6289" s="13" t="n">
        <x:f>IF(I6289="","",I6289/1000000)</x:f>
        <x:v>11.607142857142856</x:v>
      </x:c>
    </x:row>
    <x:row r="6290" ht="21" customHeight="1">
      <x:c r="A6290" s="10" t="n">
        <x:v>8126</x:v>
      </x:c>
      <x:c r="B6290" s="2" t="str">
        <x:v>6ae5468fdac3c732dcf1</x:v>
      </x:c>
      <x:c r="C6290" s="2" t="str">
        <x:v>Hải Phòng</x:v>
      </x:c>
      <x:c r="D6290" s="2" t="str">
        <x:v>Quận Hải An</x:v>
      </x:c>
      <x:c r="E6290" s="2" t="str">
        <x:v>house</x:v>
      </x:c>
      <x:c r="F6290" s="2" t="str">
        <x:v>sale</x:v>
      </x:c>
      <x:c r="G6290" s="11" t="n">
        <x:v>58</x:v>
      </x:c>
      <x:c r="H6290" s="12" t="n">
        <x:v>750000000</x:v>
      </x:c>
      <x:c r="I6290" s="12" t="n">
        <x:v>12931034.48275862</x:v>
      </x:c>
      <x:c r="J6290" s="2" t="str">
        <x:v>total</x:v>
      </x:c>
      <x:c r="K6290" s="2" t="str">
        <x:v>top_level_area</x:v>
      </x:c>
      <x:c r="L6290" s="2" t="str">
        <x:v>property_type_inferred_from_title</x:v>
      </x:c>
      <x:c r="M6290" s="10" t="n">
        <x:v>0</x:v>
      </x:c>
      <x:c r="N6290" s="10" t="n">
        <x:v>0</x:v>
      </x:c>
      <x:c r="O6290" s="2" t="str">
        <x:v>house</x:v>
      </x:c>
      <x:c r="P6290" s="10" t="n">
        <x:v>2</x:v>
      </x:c>
      <x:c r="Q6290" s="13" t="n">
        <x:f>IF(H6290="","",H6290/1000000000)</x:f>
        <x:v>0.75</x:v>
      </x:c>
      <x:c r="R6290" s="13" t="n">
        <x:f>IF(I6290="","",I6290/1000000)</x:f>
        <x:v>12.931034482758621</x:v>
      </x:c>
    </x:row>
    <x:row r="6291" ht="21" customHeight="1">
      <x:c r="A6291" s="10" t="n">
        <x:v>8127</x:v>
      </x:c>
      <x:c r="B6291" s="2" t="str">
        <x:v>9e51fd14335cc0f91796</x:v>
      </x:c>
      <x:c r="C6291" s="2" t="str">
        <x:v>Bình Dương</x:v>
      </x:c>
      <x:c r="D6291" s="2" t="str">
        <x:v>Thị xã Bến Cát</x:v>
      </x:c>
      <x:c r="E6291" s="2" t="str">
        <x:v>land</x:v>
      </x:c>
      <x:c r="F6291" s="2" t="str">
        <x:v>sale_assumed</x:v>
      </x:c>
      <x:c r="G6291" s="11" t="n">
        <x:v>150</x:v>
      </x:c>
      <x:c r="H6291" s="12" t="n">
        <x:v>620000000</x:v>
      </x:c>
      <x:c r="I6291" s="12" t="n">
        <x:v>4133333.3333333335</x:v>
      </x:c>
      <x:c r="J6291" s="2" t="str">
        <x:v>total</x:v>
      </x:c>
      <x:c r="K6291" s="2" t="str">
        <x:v>top_level_area</x:v>
      </x:c>
      <x:c r="L6291" s="2" t="str">
        <x:v>property_type_inferred_from_title;transaction_assumed_sale_from_dataset_context</x:v>
      </x:c>
      <x:c r="M6291" s="10" t="n">
        <x:v>0</x:v>
      </x:c>
      <x:c r="N6291" s="10" t="n">
        <x:v>0</x:v>
      </x:c>
      <x:c r="O6291" s="2" t="str">
        <x:v>Bình Dương|land</x:v>
      </x:c>
      <x:c r="P6291" s="10" t="n">
        <x:v>1</x:v>
      </x:c>
      <x:c r="Q6291" s="13" t="n">
        <x:f>IF(H6291="","",H6291/1000000000)</x:f>
        <x:v>0.62</x:v>
      </x:c>
      <x:c r="R6291" s="13" t="n">
        <x:f>IF(I6291="","",I6291/1000000)</x:f>
        <x:v>4.133333333333334</x:v>
      </x:c>
    </x:row>
    <x:row r="6292" ht="21" customHeight="1">
      <x:c r="A6292" s="10" t="n">
        <x:v>8128</x:v>
      </x:c>
      <x:c r="B6292" s="2" t="str">
        <x:v>5ce8efe33e4cccb63896</x:v>
      </x:c>
      <x:c r="C6292" s="2" t="str">
        <x:v>Tp Hồ Chí Minh</x:v>
      </x:c>
      <x:c r="D6292" s="2" t="str">
        <x:v>Quận 12</x:v>
      </x:c>
      <x:c r="E6292" s="2" t="str">
        <x:v>house</x:v>
      </x:c>
      <x:c r="F6292" s="2" t="str">
        <x:v>sale</x:v>
      </x:c>
      <x:c r="G6292" s="11" t="n">
        <x:v>35</x:v>
      </x:c>
      <x:c r="H6292" s="12" t="n">
        <x:v>1600000000</x:v>
      </x:c>
      <x:c r="I6292" s="12" t="n">
        <x:v>45714285.71428572</x:v>
      </x:c>
      <x:c r="J6292" s="2" t="str">
        <x:v>total</x:v>
      </x:c>
      <x:c r="K6292" s="2" t="str">
        <x:v>top_level_area</x:v>
      </x:c>
      <x:c r="L6292" s="2" t="str">
        <x:v>property_type_inferred_from_title</x:v>
      </x:c>
      <x:c r="M6292" s="10" t="n">
        <x:v>0</x:v>
      </x:c>
      <x:c r="N6292" s="10" t="n">
        <x:v>0</x:v>
      </x:c>
      <x:c r="O6292" s="2" t="str">
        <x:v>Tp Hồ Chí Minh|house</x:v>
      </x:c>
      <x:c r="P6292" s="10" t="n">
        <x:v>2</x:v>
      </x:c>
      <x:c r="Q6292" s="13" t="n">
        <x:f>IF(H6292="","",H6292/1000000000)</x:f>
        <x:v>1.6</x:v>
      </x:c>
      <x:c r="R6292" s="13" t="n">
        <x:f>IF(I6292="","",I6292/1000000)</x:f>
        <x:v>45.714285714285715</x:v>
      </x:c>
    </x:row>
    <x:row r="6293" ht="21" customHeight="1">
      <x:c r="A6293" s="10" t="n">
        <x:v>8129</x:v>
      </x:c>
      <x:c r="B6293" s="2" t="str">
        <x:v>ce2e5a05bc995eb4bf60</x:v>
      </x:c>
      <x:c r="C6293" s="2" t="str">
        <x:v>Hà Nội</x:v>
      </x:c>
      <x:c r="D6293" s="2" t="str">
        <x:v>Quận Hà Đông</x:v>
      </x:c>
      <x:c r="E6293" s="2" t="str">
        <x:v>other_unknown</x:v>
      </x:c>
      <x:c r="F6293" s="2" t="str">
        <x:v>sale_assumed</x:v>
      </x:c>
      <x:c r="G6293" s="11" t="n">
        <x:v>45</x:v>
      </x:c>
      <x:c r="H6293" s="12" t="n">
        <x:v>3750000000</x:v>
      </x:c>
      <x:c r="I6293" s="12" t="n">
        <x:v>83333333.33333333</x:v>
      </x:c>
      <x:c r="J6293" s="2" t="str">
        <x:v>total</x:v>
      </x:c>
      <x:c r="K6293" s="2" t="str">
        <x:v>top_level_area</x:v>
      </x:c>
      <x:c r="L6293" s="2" t="str">
        <x:v>property_type_inferred_from_title;transaction_assumed_sale_from_dataset_context;unknown_property_type</x:v>
      </x:c>
      <x:c r="M6293" s="10" t="n">
        <x:v>0</x:v>
      </x:c>
      <x:c r="N6293" s="10" t="n">
        <x:v>0</x:v>
      </x:c>
      <x:c r="O6293" s="2" t="str">
        <x:v>Hà Nội|other_unknown</x:v>
      </x:c>
      <x:c r="P6293" s="10" t="n">
        <x:v>2</x:v>
      </x:c>
      <x:c r="Q6293" s="13" t="n">
        <x:f>IF(H6293="","",H6293/1000000000)</x:f>
        <x:v>3.75</x:v>
      </x:c>
      <x:c r="R6293" s="13" t="n">
        <x:f>IF(I6293="","",I6293/1000000)</x:f>
        <x:v>83.33333333333333</x:v>
      </x:c>
    </x:row>
    <x:row r="6294" ht="21" customHeight="1">
      <x:c r="A6294" s="10" t="n">
        <x:v>8130</x:v>
      </x:c>
      <x:c r="B6294" s="2" t="str">
        <x:v>434f441f94ba5f13c94a</x:v>
      </x:c>
      <x:c r="C6294" s="2" t="str">
        <x:v>Đà Nẵng</x:v>
      </x:c>
      <x:c r="D6294" s="2" t="str">
        <x:v>Quận Ngũ Hành Sơn</x:v>
      </x:c>
      <x:c r="E6294" s="2" t="str">
        <x:v>house</x:v>
      </x:c>
      <x:c r="F6294" s="2" t="str">
        <x:v>sale_assumed</x:v>
      </x:c>
      <x:c r="G6294" s="11" t="n">
        <x:v>100</x:v>
      </x:c>
      <x:c r="H6294" s="12" t="n">
        <x:v>1350000000</x:v>
      </x:c>
      <x:c r="I6294" s="12" t="n">
        <x:v>13500000</x:v>
      </x:c>
      <x:c r="J6294" s="2" t="str">
        <x:v>total</x:v>
      </x:c>
      <x:c r="K6294" s="2" t="str">
        <x:v>top_level_area</x:v>
      </x:c>
      <x:c r="L6294" s="2" t="str">
        <x:v>property_type_inferred_from_title;transaction_assumed_sale_from_dataset_context</x:v>
      </x:c>
      <x:c r="M6294" s="10" t="n">
        <x:v>0</x:v>
      </x:c>
      <x:c r="N6294" s="10" t="n">
        <x:v>0</x:v>
      </x:c>
      <x:c r="O6294" s="2" t="str">
        <x:v>Đà Nẵng|house</x:v>
      </x:c>
      <x:c r="P6294" s="10" t="n">
        <x:v>2</x:v>
      </x:c>
      <x:c r="Q6294" s="13" t="n">
        <x:f>IF(H6294="","",H6294/1000000000)</x:f>
        <x:v>1.35</x:v>
      </x:c>
      <x:c r="R6294" s="13" t="n">
        <x:f>IF(I6294="","",I6294/1000000)</x:f>
        <x:v>13.5</x:v>
      </x:c>
    </x:row>
    <x:row r="6295" ht="21" customHeight="1">
      <x:c r="A6295" s="10" t="n">
        <x:v>8131</x:v>
      </x:c>
      <x:c r="B6295" s="2" t="str">
        <x:v>7082c395d28c24f99e5e</x:v>
      </x:c>
      <x:c r="C6295" s="2" t="str">
        <x:v>Long An</x:v>
      </x:c>
      <x:c r="D6295" s="2" t="str">
        <x:v>Huyện Cần Đước</x:v>
      </x:c>
      <x:c r="E6295" s="2" t="str">
        <x:v>house</x:v>
      </x:c>
      <x:c r="F6295" s="2" t="str">
        <x:v>sale</x:v>
      </x:c>
      <x:c r="G6295" s="11" t="n">
        <x:v>60</x:v>
      </x:c>
      <x:c r="H6295" s="12" t="n">
        <x:v>900000000</x:v>
      </x:c>
      <x:c r="I6295" s="12" t="n">
        <x:v>15000000</x:v>
      </x:c>
      <x:c r="J6295" s="2" t="str">
        <x:v>total</x:v>
      </x:c>
      <x:c r="K6295" s="2" t="str">
        <x:v>top_level_area</x:v>
      </x:c>
      <x:c r="L6295" s="2" t="str">
        <x:v>property_type_inferred_from_title</x:v>
      </x:c>
      <x:c r="M6295" s="10" t="n">
        <x:v>0</x:v>
      </x:c>
      <x:c r="N6295" s="10" t="n">
        <x:v>0</x:v>
      </x:c>
      <x:c r="O6295" s="2" t="str">
        <x:v>Long An|house</x:v>
      </x:c>
      <x:c r="P6295" s="10" t="n">
        <x:v>2</x:v>
      </x:c>
      <x:c r="Q6295" s="13" t="n">
        <x:f>IF(H6295="","",H6295/1000000000)</x:f>
        <x:v>0.9</x:v>
      </x:c>
      <x:c r="R6295" s="13" t="n">
        <x:f>IF(I6295="","",I6295/1000000)</x:f>
        <x:v>15</x:v>
      </x:c>
    </x:row>
    <x:row r="6296" ht="21" customHeight="1">
      <x:c r="A6296" s="10" t="n">
        <x:v>8132</x:v>
      </x:c>
      <x:c r="B6296" s="2" t="str">
        <x:v>af7d4b2cd89636b7591a</x:v>
      </x:c>
      <x:c r="C6296" s="2" t="str">
        <x:v>Gia Lai</x:v>
      </x:c>
      <x:c r="D6296" s="2" t="str">
        <x:v>Thành phố Pleiku</x:v>
      </x:c>
      <x:c r="E6296" s="2" t="str">
        <x:v>house</x:v>
      </x:c>
      <x:c r="F6296" s="2" t="str">
        <x:v>sale</x:v>
      </x:c>
      <x:c r="G6296" s="11" t="n">
        <x:v>240</x:v>
      </x:c>
      <x:c r="H6296" s="12" t="n">
        <x:v>40000000000</x:v>
      </x:c>
      <x:c r="I6296" s="12" t="n">
        <x:v>166666666.66666666</x:v>
      </x:c>
      <x:c r="J6296" s="2" t="str">
        <x:v>total</x:v>
      </x:c>
      <x:c r="K6296" s="2" t="str">
        <x:v>top_level_area</x:v>
      </x:c>
      <x:c r="L6296" s="2" t="str">
        <x:v>property_type_inferred_from_title</x:v>
      </x:c>
      <x:c r="M6296" s="10" t="n">
        <x:v>1</x:v>
      </x:c>
      <x:c r="N6296" s="10" t="n">
        <x:v>0</x:v>
      </x:c>
      <x:c r="O6296" s="2" t="str">
        <x:v>house</x:v>
      </x:c>
      <x:c r="P6296" s="10" t="n">
        <x:v>2</x:v>
      </x:c>
      <x:c r="Q6296" s="13" t="n">
        <x:f>IF(H6296="","",H6296/1000000000)</x:f>
        <x:v>40</x:v>
      </x:c>
      <x:c r="R6296" s="13" t="n">
        <x:f>IF(I6296="","",I6296/1000000)</x:f>
        <x:v>166.66666666666666</x:v>
      </x:c>
    </x:row>
    <x:row r="6297" ht="21" customHeight="1">
      <x:c r="A6297" s="10" t="n">
        <x:v>8133</x:v>
      </x:c>
      <x:c r="B6297" s="2" t="str">
        <x:v>2ecad1e8c8bf5a0103d0</x:v>
      </x:c>
      <x:c r="C6297" s="2" t="str">
        <x:v>Đồng Nai</x:v>
      </x:c>
      <x:c r="D6297" s="2" t="str">
        <x:v>Thành phố Biên Hòa</x:v>
      </x:c>
      <x:c r="E6297" s="2" t="str">
        <x:v>apartment</x:v>
      </x:c>
      <x:c r="F6297" s="2" t="str">
        <x:v>sale_assumed</x:v>
      </x:c>
      <x:c r="G6297" s="11" t="n">
        <x:v>37</x:v>
      </x:c>
      <x:c r="H6297" s="12" t="n">
        <x:v>650000000</x:v>
      </x:c>
      <x:c r="I6297" s="12" t="n">
        <x:v>17567567.56756757</x:v>
      </x:c>
      <x:c r="J6297" s="2" t="str">
        <x:v>total</x:v>
      </x:c>
      <x:c r="K6297" s="2" t="str">
        <x:v>top_level_area</x:v>
      </x:c>
      <x:c r="L6297" s="2" t="str">
        <x:v>property_type_inferred_from_title;transaction_assumed_sale_from_dataset_context</x:v>
      </x:c>
      <x:c r="M6297" s="10" t="n">
        <x:v>0</x:v>
      </x:c>
      <x:c r="N6297" s="10" t="n">
        <x:v>0</x:v>
      </x:c>
      <x:c r="O6297" s="2" t="str">
        <x:v>apartment</x:v>
      </x:c>
      <x:c r="P6297" s="10" t="n">
        <x:v>2</x:v>
      </x:c>
      <x:c r="Q6297" s="13" t="n">
        <x:f>IF(H6297="","",H6297/1000000000)</x:f>
        <x:v>0.65</x:v>
      </x:c>
      <x:c r="R6297" s="13" t="n">
        <x:f>IF(I6297="","",I6297/1000000)</x:f>
        <x:v>17.56756756756757</x:v>
      </x:c>
    </x:row>
    <x:row r="6298" ht="21" customHeight="1">
      <x:c r="A6298" s="10" t="n">
        <x:v>8134</x:v>
      </x:c>
      <x:c r="B6298" s="2" t="str">
        <x:v>d595d543e7eaf0d1c14c</x:v>
      </x:c>
      <x:c r="C6298" s="2" t="str">
        <x:v>Cần Thơ</x:v>
      </x:c>
      <x:c r="D6298" s="2" t="str">
        <x:v>Quận Ninh Kiều</x:v>
      </x:c>
      <x:c r="E6298" s="2" t="str">
        <x:v>land</x:v>
      </x:c>
      <x:c r="F6298" s="2" t="str">
        <x:v>sale_assumed</x:v>
      </x:c>
      <x:c r="G6298" s="11" t="n">
        <x:v>87</x:v>
      </x:c>
      <x:c r="H6298" s="12" t="n">
        <x:v>1550000000</x:v>
      </x:c>
      <x:c r="I6298" s="12" t="n">
        <x:v>17816091.95402299</x:v>
      </x:c>
      <x:c r="J6298" s="2" t="str">
        <x:v>total</x:v>
      </x:c>
      <x:c r="K6298" s="2" t="str">
        <x:v>top_level_area</x:v>
      </x:c>
      <x:c r="L6298" s="2" t="str">
        <x:v>property_type_inferred_from_title;transaction_assumed_sale_from_dataset_context</x:v>
      </x:c>
      <x:c r="M6298" s="10" t="n">
        <x:v>0</x:v>
      </x:c>
      <x:c r="N6298" s="10" t="n">
        <x:v>0</x:v>
      </x:c>
      <x:c r="O6298" s="2" t="str">
        <x:v>Cần Thơ|land</x:v>
      </x:c>
      <x:c r="P6298" s="10" t="n">
        <x:v>2</x:v>
      </x:c>
      <x:c r="Q6298" s="13" t="n">
        <x:f>IF(H6298="","",H6298/1000000000)</x:f>
        <x:v>1.55</x:v>
      </x:c>
      <x:c r="R6298" s="13" t="n">
        <x:f>IF(I6298="","",I6298/1000000)</x:f>
        <x:v>17.816091954022987</x:v>
      </x:c>
    </x:row>
    <x:row r="6299" ht="21" customHeight="1">
      <x:c r="A6299" s="10" t="n">
        <x:v>8135</x:v>
      </x:c>
      <x:c r="B6299" s="2" t="str">
        <x:v>b467061a9c95e8399699</x:v>
      </x:c>
      <x:c r="C6299" s="2" t="str">
        <x:v>Tp Hồ Chí Minh</x:v>
      </x:c>
      <x:c r="D6299" s="2" t="str">
        <x:v>Huyện Bình Chánh</x:v>
      </x:c>
      <x:c r="E6299" s="2" t="str">
        <x:v>other_unknown</x:v>
      </x:c>
      <x:c r="F6299" s="2" t="str">
        <x:v>sale</x:v>
      </x:c>
      <x:c r="G6299" s="11" t="n">
        <x:v>68</x:v>
      </x:c>
      <x:c r="H6299" s="12" t="n">
        <x:v>540000000</x:v>
      </x:c>
      <x:c r="I6299" s="12" t="n">
        <x:v>7941176.470588235</x:v>
      </x:c>
      <x:c r="J6299" s="2" t="str">
        <x:v>total</x:v>
      </x:c>
      <x:c r="K6299" s="2" t="str">
        <x:v>top_level_area</x:v>
      </x:c>
      <x:c r="L6299" s="2" t="str">
        <x:v>property_type_inferred_from_title;unknown_property_type</x:v>
      </x:c>
      <x:c r="M6299" s="10" t="n">
        <x:v>0</x:v>
      </x:c>
      <x:c r="N6299" s="10" t="n">
        <x:v>0</x:v>
      </x:c>
      <x:c r="O6299" s="2" t="str">
        <x:v>Tp Hồ Chí Minh|other_unknown</x:v>
      </x:c>
      <x:c r="P6299" s="10" t="n">
        <x:v>2</x:v>
      </x:c>
      <x:c r="Q6299" s="13" t="n">
        <x:f>IF(H6299="","",H6299/1000000000)</x:f>
        <x:v>0.54</x:v>
      </x:c>
      <x:c r="R6299" s="13" t="n">
        <x:f>IF(I6299="","",I6299/1000000)</x:f>
        <x:v>7.9411764705882355</x:v>
      </x:c>
    </x:row>
    <x:row r="6300" ht="21" customHeight="1">
      <x:c r="A6300" s="10" t="n">
        <x:v>8136</x:v>
      </x:c>
      <x:c r="B6300" s="2" t="str">
        <x:v>213f184b98abb287d440</x:v>
      </x:c>
      <x:c r="C6300" s="2" t="str">
        <x:v>Tp Hồ Chí Minh</x:v>
      </x:c>
      <x:c r="D6300" s="2" t="str">
        <x:v>Quận Phú Nhuận</x:v>
      </x:c>
      <x:c r="E6300" s="2" t="str">
        <x:v>other_unknown</x:v>
      </x:c>
      <x:c r="F6300" s="2" t="str">
        <x:v>sale_assumed</x:v>
      </x:c>
      <x:c r="G6300" s="11" t="n">
        <x:v>36</x:v>
      </x:c>
      <x:c r="H6300" s="12" t="n">
        <x:v>1900000000</x:v>
      </x:c>
      <x:c r="I6300" s="12" t="n">
        <x:v>52777777.777777776</x:v>
      </x:c>
      <x:c r="J6300" s="2" t="str">
        <x:v>total</x:v>
      </x:c>
      <x:c r="K6300" s="2" t="str">
        <x:v>top_level_area</x:v>
      </x:c>
      <x:c r="L6300" s="2" t="str">
        <x:v>property_type_inferred_from_title;transaction_assumed_sale_from_dataset_context;unknown_property_type</x:v>
      </x:c>
      <x:c r="M6300" s="10" t="n">
        <x:v>0</x:v>
      </x:c>
      <x:c r="N6300" s="10" t="n">
        <x:v>0</x:v>
      </x:c>
      <x:c r="O6300" s="2" t="str">
        <x:v>Tp Hồ Chí Minh|other_unknown</x:v>
      </x:c>
      <x:c r="P6300" s="10" t="n">
        <x:v>2</x:v>
      </x:c>
      <x:c r="Q6300" s="13" t="n">
        <x:f>IF(H6300="","",H6300/1000000000)</x:f>
        <x:v>1.9</x:v>
      </x:c>
      <x:c r="R6300" s="13" t="n">
        <x:f>IF(I6300="","",I6300/1000000)</x:f>
        <x:v>52.77777777777778</x:v>
      </x:c>
    </x:row>
    <x:row r="6301" ht="21" customHeight="1">
      <x:c r="A6301" s="10" t="n">
        <x:v>8137</x:v>
      </x:c>
      <x:c r="B6301" s="2" t="str">
        <x:v>d3deb1046f70e21ec2bd</x:v>
      </x:c>
      <x:c r="C6301" s="2" t="str">
        <x:v>Long An</x:v>
      </x:c>
      <x:c r="D6301" s="2" t="str">
        <x:v>Huyện Bến Lức</x:v>
      </x:c>
      <x:c r="E6301" s="2" t="str">
        <x:v>house</x:v>
      </x:c>
      <x:c r="F6301" s="2" t="str">
        <x:v>sale</x:v>
      </x:c>
      <x:c r="G6301" s="11" t="n">
        <x:v>60</x:v>
      </x:c>
      <x:c r="H6301" s="12" t="n">
        <x:v>1500000000</x:v>
      </x:c>
      <x:c r="I6301" s="12" t="n">
        <x:v>25000000</x:v>
      </x:c>
      <x:c r="J6301" s="2" t="str">
        <x:v>total</x:v>
      </x:c>
      <x:c r="K6301" s="2" t="str">
        <x:v>top_level_area</x:v>
      </x:c>
      <x:c r="L6301" s="2" t="str">
        <x:v>property_type_inferred_from_title</x:v>
      </x:c>
      <x:c r="M6301" s="10" t="n">
        <x:v>0</x:v>
      </x:c>
      <x:c r="N6301" s="10" t="n">
        <x:v>0</x:v>
      </x:c>
      <x:c r="O6301" s="2" t="str">
        <x:v>Long An|house</x:v>
      </x:c>
      <x:c r="P6301" s="10" t="n">
        <x:v>2</x:v>
      </x:c>
      <x:c r="Q6301" s="13" t="n">
        <x:f>IF(H6301="","",H6301/1000000000)</x:f>
        <x:v>1.5</x:v>
      </x:c>
      <x:c r="R6301" s="13" t="n">
        <x:f>IF(I6301="","",I6301/1000000)</x:f>
        <x:v>25</x:v>
      </x:c>
    </x:row>
    <x:row r="6302" ht="21" customHeight="1">
      <x:c r="A6302" s="10" t="n">
        <x:v>8138</x:v>
      </x:c>
      <x:c r="B6302" s="2" t="str">
        <x:v>17700f47616308275c3c</x:v>
      </x:c>
      <x:c r="C6302" s="2" t="str">
        <x:v>Tp Hồ Chí Minh</x:v>
      </x:c>
      <x:c r="D6302" s="2" t="str">
        <x:v>Quận 7</x:v>
      </x:c>
      <x:c r="E6302" s="2" t="str">
        <x:v>house</x:v>
      </x:c>
      <x:c r="F6302" s="2" t="str">
        <x:v>sale</x:v>
      </x:c>
      <x:c r="G6302" s="11" t="n">
        <x:v>72</x:v>
      </x:c>
      <x:c r="H6302" s="12" t="n">
        <x:v>10500000000</x:v>
      </x:c>
      <x:c r="I6302" s="12" t="n">
        <x:v>145833333.33333334</x:v>
      </x:c>
      <x:c r="J6302" s="2" t="str">
        <x:v>total</x:v>
      </x:c>
      <x:c r="K6302" s="2" t="str">
        <x:v>top_level_area</x:v>
      </x:c>
      <x:c r="L6302" s="2" t="str">
        <x:v>property_type_inferred_from_title</x:v>
      </x:c>
      <x:c r="M6302" s="10" t="n">
        <x:v>0</x:v>
      </x:c>
      <x:c r="N6302" s="10" t="n">
        <x:v>0</x:v>
      </x:c>
      <x:c r="O6302" s="2" t="str">
        <x:v>Tp Hồ Chí Minh|house</x:v>
      </x:c>
      <x:c r="P6302" s="10" t="n">
        <x:v>2</x:v>
      </x:c>
      <x:c r="Q6302" s="13" t="n">
        <x:f>IF(H6302="","",H6302/1000000000)</x:f>
        <x:v>10.5</x:v>
      </x:c>
      <x:c r="R6302" s="13" t="n">
        <x:f>IF(I6302="","",I6302/1000000)</x:f>
        <x:v>145.83333333333334</x:v>
      </x:c>
    </x:row>
    <x:row r="6303" ht="21" customHeight="1">
      <x:c r="A6303" s="10" t="n">
        <x:v>8139</x:v>
      </x:c>
      <x:c r="B6303" s="2" t="str">
        <x:v>6f0d65fd54a719a1f3d6</x:v>
      </x:c>
      <x:c r="C6303" s="2" t="str">
        <x:v>Long An</x:v>
      </x:c>
      <x:c r="D6303" s="2" t="str">
        <x:v>Thành phố Tân An</x:v>
      </x:c>
      <x:c r="E6303" s="2" t="str">
        <x:v>house</x:v>
      </x:c>
      <x:c r="F6303" s="2" t="str">
        <x:v>sale_assumed</x:v>
      </x:c>
      <x:c r="G6303" s="11" t="n">
        <x:v>262.6</x:v>
      </x:c>
      <x:c r="H6303" s="12" t="n">
        <x:v>8500000000</x:v>
      </x:c>
      <x:c r="I6303" s="12" t="n">
        <x:v>32368621.477532364</x:v>
      </x:c>
      <x:c r="J6303" s="2" t="str">
        <x:v>total</x:v>
      </x:c>
      <x:c r="K6303" s="2" t="str">
        <x:v>top_level_area</x:v>
      </x:c>
      <x:c r="L6303" s="2" t="str">
        <x:v>property_type_inferred_from_title;transaction_assumed_sale_from_dataset_context</x:v>
      </x:c>
      <x:c r="M6303" s="10" t="n">
        <x:v>0</x:v>
      </x:c>
      <x:c r="N6303" s="10" t="n">
        <x:v>0</x:v>
      </x:c>
      <x:c r="O6303" s="2" t="str">
        <x:v>Long An|house</x:v>
      </x:c>
      <x:c r="P6303" s="10" t="n">
        <x:v>2</x:v>
      </x:c>
      <x:c r="Q6303" s="13" t="n">
        <x:f>IF(H6303="","",H6303/1000000000)</x:f>
        <x:v>8.5</x:v>
      </x:c>
      <x:c r="R6303" s="13" t="n">
        <x:f>IF(I6303="","",I6303/1000000)</x:f>
        <x:v>32.368621477532365</x:v>
      </x:c>
    </x:row>
    <x:row r="6304" ht="21" customHeight="1">
      <x:c r="A6304" s="10" t="n">
        <x:v>8140</x:v>
      </x:c>
      <x:c r="B6304" s="2" t="str">
        <x:v>4dbf6f8d2374caec7f2f</x:v>
      </x:c>
      <x:c r="C6304" s="2" t="str">
        <x:v>Tp Hồ Chí Minh</x:v>
      </x:c>
      <x:c r="D6304" s="2" t="str">
        <x:v>Quận Bình Tân</x:v>
      </x:c>
      <x:c r="E6304" s="2" t="str">
        <x:v>house</x:v>
      </x:c>
      <x:c r="F6304" s="2" t="str">
        <x:v>sale</x:v>
      </x:c>
      <x:c r="G6304" s="11" t="n">
        <x:v>48</x:v>
      </x:c>
      <x:c r="H6304" s="12" t="n">
        <x:v>1150000000</x:v>
      </x:c>
      <x:c r="I6304" s="12" t="n">
        <x:v>23958333.333333332</x:v>
      </x:c>
      <x:c r="J6304" s="2" t="str">
        <x:v>total</x:v>
      </x:c>
      <x:c r="K6304" s="2" t="str">
        <x:v>top_level_area</x:v>
      </x:c>
      <x:c r="L6304" s="2" t="str">
        <x:v>property_type_inferred_from_title</x:v>
      </x:c>
      <x:c r="M6304" s="10" t="n">
        <x:v>0</x:v>
      </x:c>
      <x:c r="N6304" s="10" t="n">
        <x:v>0</x:v>
      </x:c>
      <x:c r="O6304" s="2" t="str">
        <x:v>Tp Hồ Chí Minh|house</x:v>
      </x:c>
      <x:c r="P6304" s="10" t="n">
        <x:v>2</x:v>
      </x:c>
      <x:c r="Q6304" s="13" t="n">
        <x:f>IF(H6304="","",H6304/1000000000)</x:f>
        <x:v>1.15</x:v>
      </x:c>
      <x:c r="R6304" s="13" t="n">
        <x:f>IF(I6304="","",I6304/1000000)</x:f>
        <x:v>23.958333333333332</x:v>
      </x:c>
    </x:row>
    <x:row r="6305" ht="21" customHeight="1">
      <x:c r="A6305" s="10" t="n">
        <x:v>8144</x:v>
      </x:c>
      <x:c r="B6305" s="2" t="str">
        <x:v>a6ea5ee1ccfa0959449c</x:v>
      </x:c>
      <x:c r="C6305" s="2" t="str">
        <x:v>Đà Nẵng</x:v>
      </x:c>
      <x:c r="D6305" s="2" t="str">
        <x:v>Quận Cẩm Lệ</x:v>
      </x:c>
      <x:c r="E6305" s="2" t="str">
        <x:v>land</x:v>
      </x:c>
      <x:c r="F6305" s="2" t="str">
        <x:v>sale_assumed</x:v>
      </x:c>
      <x:c r="G6305" s="11" t="n">
        <x:v>115</x:v>
      </x:c>
      <x:c r="H6305" s="12" t="n">
        <x:v>2170000000</x:v>
      </x:c>
      <x:c r="I6305" s="12" t="n">
        <x:v>18869565.217391305</x:v>
      </x:c>
      <x:c r="J6305" s="2" t="str">
        <x:v>total</x:v>
      </x:c>
      <x:c r="K6305" s="2" t="str">
        <x:v>top_level_area</x:v>
      </x:c>
      <x:c r="L6305" s="2" t="str">
        <x:v>property_type_inferred_from_title;transaction_assumed_sale_from_dataset_context</x:v>
      </x:c>
      <x:c r="M6305" s="10" t="n">
        <x:v>0</x:v>
      </x:c>
      <x:c r="N6305" s="10" t="n">
        <x:v>0</x:v>
      </x:c>
      <x:c r="O6305" s="2" t="str">
        <x:v>Đà Nẵng|land</x:v>
      </x:c>
      <x:c r="P6305" s="10" t="n">
        <x:v>2</x:v>
      </x:c>
      <x:c r="Q6305" s="13" t="n">
        <x:f>IF(H6305="","",H6305/1000000000)</x:f>
        <x:v>2.17</x:v>
      </x:c>
      <x:c r="R6305" s="13" t="n">
        <x:f>IF(I6305="","",I6305/1000000)</x:f>
        <x:v>18.869565217391305</x:v>
      </x:c>
    </x:row>
    <x:row r="6306" ht="21" customHeight="1">
      <x:c r="A6306" s="10" t="n">
        <x:v>8145</x:v>
      </x:c>
      <x:c r="B6306" s="2" t="str">
        <x:v>f3505568312d533f096f</x:v>
      </x:c>
      <x:c r="C6306" s="2" t="str">
        <x:v>Đà Nẵng</x:v>
      </x:c>
      <x:c r="D6306" s="2" t="str">
        <x:v>Quận Ngũ Hành Sơn</x:v>
      </x:c>
      <x:c r="E6306" s="2" t="str">
        <x:v>land</x:v>
      </x:c>
      <x:c r="F6306" s="2" t="str">
        <x:v>sale_assumed</x:v>
      </x:c>
      <x:c r="G6306" s="11" t="n">
        <x:v>170</x:v>
      </x:c>
      <x:c r="H6306" s="12" t="n">
        <x:v>8500000000</x:v>
      </x:c>
      <x:c r="I6306" s="12" t="n">
        <x:v>50000000</x:v>
      </x:c>
      <x:c r="J6306" s="2" t="str">
        <x:v>total</x:v>
      </x:c>
      <x:c r="K6306" s="2" t="str">
        <x:v>top_level_area</x:v>
      </x:c>
      <x:c r="L6306" s="2" t="str">
        <x:v>property_type_inferred_from_title;transaction_assumed_sale_from_dataset_context</x:v>
      </x:c>
      <x:c r="M6306" s="10" t="n">
        <x:v>0</x:v>
      </x:c>
      <x:c r="N6306" s="10" t="n">
        <x:v>0</x:v>
      </x:c>
      <x:c r="O6306" s="2" t="str">
        <x:v>Đà Nẵng|land</x:v>
      </x:c>
      <x:c r="P6306" s="10" t="n">
        <x:v>2</x:v>
      </x:c>
      <x:c r="Q6306" s="13" t="n">
        <x:f>IF(H6306="","",H6306/1000000000)</x:f>
        <x:v>8.5</x:v>
      </x:c>
      <x:c r="R6306" s="13" t="n">
        <x:f>IF(I6306="","",I6306/1000000)</x:f>
        <x:v>50</x:v>
      </x:c>
    </x:row>
    <x:row r="6307" ht="21" customHeight="1">
      <x:c r="A6307" s="10" t="n">
        <x:v>8146</x:v>
      </x:c>
      <x:c r="B6307" s="2" t="str">
        <x:v>758e1b1f2badb57a01f7</x:v>
      </x:c>
      <x:c r="C6307" s="2" t="str">
        <x:v>Tp Hồ Chí Minh</x:v>
      </x:c>
      <x:c r="D6307" s="2" t="str">
        <x:v>Quận 5</x:v>
      </x:c>
      <x:c r="E6307" s="2" t="str">
        <x:v>house</x:v>
      </x:c>
      <x:c r="F6307" s="2" t="str">
        <x:v>sale_assumed</x:v>
      </x:c>
      <x:c r="G6307" s="11" t="n">
        <x:v>56</x:v>
      </x:c>
      <x:c r="H6307" s="12" t="n">
        <x:v>6800000000</x:v>
      </x:c>
      <x:c r="I6307" s="12" t="n">
        <x:v>121428571.42857143</x:v>
      </x:c>
      <x:c r="J6307" s="2" t="str">
        <x:v>total</x:v>
      </x:c>
      <x:c r="K6307" s="2" t="str">
        <x:v>top_level_area</x:v>
      </x:c>
      <x:c r="L6307" s="2" t="str">
        <x:v>property_type_inferred_from_title;transaction_assumed_sale_from_dataset_context</x:v>
      </x:c>
      <x:c r="M6307" s="10" t="n">
        <x:v>0</x:v>
      </x:c>
      <x:c r="N6307" s="10" t="n">
        <x:v>0</x:v>
      </x:c>
      <x:c r="O6307" s="2" t="str">
        <x:v>Tp Hồ Chí Minh|house</x:v>
      </x:c>
      <x:c r="P6307" s="10" t="n">
        <x:v>2</x:v>
      </x:c>
      <x:c r="Q6307" s="13" t="n">
        <x:f>IF(H6307="","",H6307/1000000000)</x:f>
        <x:v>6.8</x:v>
      </x:c>
      <x:c r="R6307" s="13" t="n">
        <x:f>IF(I6307="","",I6307/1000000)</x:f>
        <x:v>121.42857142857143</x:v>
      </x:c>
    </x:row>
    <x:row r="6308" ht="21" customHeight="1">
      <x:c r="A6308" s="10" t="n">
        <x:v>8147</x:v>
      </x:c>
      <x:c r="B6308" s="2" t="str">
        <x:v>bb4fd9f33de0071102bc</x:v>
      </x:c>
      <x:c r="C6308" s="2" t="str">
        <x:v>Hà Nội</x:v>
      </x:c>
      <x:c r="D6308" s="2" t="str">
        <x:v>Quận Hà Đông</x:v>
      </x:c>
      <x:c r="E6308" s="2" t="str">
        <x:v>house</x:v>
      </x:c>
      <x:c r="F6308" s="2" t="str">
        <x:v>sale_assumed</x:v>
      </x:c>
      <x:c r="G6308" s="11" t="n">
        <x:v>33</x:v>
      </x:c>
      <x:c r="H6308" s="12" t="n">
        <x:v>1700000000</x:v>
      </x:c>
      <x:c r="I6308" s="12" t="n">
        <x:v>51515151.515151516</x:v>
      </x:c>
      <x:c r="J6308" s="2" t="str">
        <x:v>total</x:v>
      </x:c>
      <x:c r="K6308" s="2" t="str">
        <x:v>top_level_area</x:v>
      </x:c>
      <x:c r="L6308" s="2" t="str">
        <x:v>property_type_inferred_from_title;transaction_assumed_sale_from_dataset_context</x:v>
      </x:c>
      <x:c r="M6308" s="10" t="n">
        <x:v>0</x:v>
      </x:c>
      <x:c r="N6308" s="10" t="n">
        <x:v>0</x:v>
      </x:c>
      <x:c r="O6308" s="2" t="str">
        <x:v>Hà Nội|house</x:v>
      </x:c>
      <x:c r="P6308" s="10" t="n">
        <x:v>2</x:v>
      </x:c>
      <x:c r="Q6308" s="13" t="n">
        <x:f>IF(H6308="","",H6308/1000000000)</x:f>
        <x:v>1.7</x:v>
      </x:c>
      <x:c r="R6308" s="13" t="n">
        <x:f>IF(I6308="","",I6308/1000000)</x:f>
        <x:v>51.515151515151516</x:v>
      </x:c>
    </x:row>
    <x:row r="6309" ht="21" customHeight="1">
      <x:c r="A6309" s="10" t="n">
        <x:v>8148</x:v>
      </x:c>
      <x:c r="B6309" s="2" t="str">
        <x:v>0c20385545aba8b8004a</x:v>
      </x:c>
      <x:c r="C6309" s="2" t="str">
        <x:v>Hà Nội</x:v>
      </x:c>
      <x:c r="D6309" s="2" t="str">
        <x:v>Huyện Hoài Đức</x:v>
      </x:c>
      <x:c r="E6309" s="2" t="str">
        <x:v>apartment</x:v>
      </x:c>
      <x:c r="F6309" s="2" t="str">
        <x:v>sale_assumed</x:v>
      </x:c>
      <x:c r="G6309" s="11" t="n">
        <x:v>32</x:v>
      </x:c>
      <x:c r="H6309" s="12" t="n">
        <x:v>1950000000</x:v>
      </x:c>
      <x:c r="I6309" s="12" t="n">
        <x:v>60937500</x:v>
      </x:c>
      <x:c r="J6309" s="2" t="str">
        <x:v>total</x:v>
      </x:c>
      <x:c r="K6309" s="2" t="str">
        <x:v>top_level_area</x:v>
      </x:c>
      <x:c r="L6309" s="2" t="str">
        <x:v>property_type_inferred_from_title;transaction_assumed_sale_from_dataset_context</x:v>
      </x:c>
      <x:c r="M6309" s="10" t="n">
        <x:v>0</x:v>
      </x:c>
      <x:c r="N6309" s="10" t="n">
        <x:v>1</x:v>
      </x:c>
      <x:c r="O6309" s="2" t="str">
        <x:v>Hà Nội|apartment</x:v>
      </x:c>
      <x:c r="P6309" s="10" t="n">
        <x:v>-1</x:v>
      </x:c>
      <x:c r="Q6309" s="13" t="n">
        <x:f>IF(H6309="","",H6309/1000000000)</x:f>
        <x:v>1.95</x:v>
      </x:c>
      <x:c r="R6309" s="13" t="n">
        <x:f>IF(I6309="","",I6309/1000000)</x:f>
        <x:v>60.9375</x:v>
      </x:c>
    </x:row>
    <x:row r="6310" ht="21" customHeight="1">
      <x:c r="A6310" s="10" t="n">
        <x:v>8149</x:v>
      </x:c>
      <x:c r="B6310" s="2" t="str">
        <x:v>63e4c0b61a224a896cd0</x:v>
      </x:c>
      <x:c r="C6310" s="2" t="str">
        <x:v>Cần Thơ</x:v>
      </x:c>
      <x:c r="D6310" s="2" t="str">
        <x:v>Quận Ninh Kiều</x:v>
      </x:c>
      <x:c r="E6310" s="2" t="str">
        <x:v>land</x:v>
      </x:c>
      <x:c r="F6310" s="2" t="str">
        <x:v>sale</x:v>
      </x:c>
      <x:c r="G6310" s="11" t="n">
        <x:v>90</x:v>
      </x:c>
      <x:c r="H6310" s="12" t="n">
        <x:v>4500000000</x:v>
      </x:c>
      <x:c r="I6310" s="12" t="n">
        <x:v>50000000</x:v>
      </x:c>
      <x:c r="J6310" s="2" t="str">
        <x:v>total</x:v>
      </x:c>
      <x:c r="K6310" s="2" t="str">
        <x:v>top_level_area</x:v>
      </x:c>
      <x:c r="L6310" s="2" t="str">
        <x:v>property_type_inferred_from_title</x:v>
      </x:c>
      <x:c r="M6310" s="10" t="n">
        <x:v>0</x:v>
      </x:c>
      <x:c r="N6310" s="10" t="n">
        <x:v>0</x:v>
      </x:c>
      <x:c r="O6310" s="2" t="str">
        <x:v>Cần Thơ|land</x:v>
      </x:c>
      <x:c r="P6310" s="10" t="n">
        <x:v>2</x:v>
      </x:c>
      <x:c r="Q6310" s="13" t="n">
        <x:f>IF(H6310="","",H6310/1000000000)</x:f>
        <x:v>4.5</x:v>
      </x:c>
      <x:c r="R6310" s="13" t="n">
        <x:f>IF(I6310="","",I6310/1000000)</x:f>
        <x:v>50</x:v>
      </x:c>
    </x:row>
    <x:row r="6311" ht="21" customHeight="1">
      <x:c r="A6311" s="10" t="n">
        <x:v>8151</x:v>
      </x:c>
      <x:c r="B6311" s="2" t="str">
        <x:v>cdbb2edc4e1437f2fa4b</x:v>
      </x:c>
      <x:c r="C6311" s="2" t="str">
        <x:v>Tây Ninh</x:v>
      </x:c>
      <x:c r="D6311" s="2" t="str">
        <x:v>Huyện Châu Thành</x:v>
      </x:c>
      <x:c r="E6311" s="2" t="str">
        <x:v>land</x:v>
      </x:c>
      <x:c r="F6311" s="2" t="str">
        <x:v>sale</x:v>
      </x:c>
      <x:c r="G6311" s="11" t="n">
        <x:v>18000</x:v>
      </x:c>
      <x:c r="H6311" s="12" t="n">
        <x:v>4500000000</x:v>
      </x:c>
      <x:c r="I6311" s="12" t="n">
        <x:v>250000</x:v>
      </x:c>
      <x:c r="J6311" s="2" t="str">
        <x:v>total</x:v>
      </x:c>
      <x:c r="K6311" s="2" t="str">
        <x:v>top_level_area</x:v>
      </x:c>
      <x:c r="L6311" s="2" t="str">
        <x:v>dot_thousands_convention;property_type_inferred_from_title</x:v>
      </x:c>
      <x:c r="M6311" s="10" t="n">
        <x:v>0</x:v>
      </x:c>
      <x:c r="N6311" s="10" t="n">
        <x:v>0</x:v>
      </x:c>
      <x:c r="O6311" s="2" t="str">
        <x:v>land</x:v>
      </x:c>
      <x:c r="P6311" s="10" t="n">
        <x:v>1</x:v>
      </x:c>
      <x:c r="Q6311" s="13" t="n">
        <x:f>IF(H6311="","",H6311/1000000000)</x:f>
        <x:v>4.5</x:v>
      </x:c>
      <x:c r="R6311" s="13" t="n">
        <x:f>IF(I6311="","",I6311/1000000)</x:f>
        <x:v>0.25</x:v>
      </x:c>
    </x:row>
    <x:row r="6312" ht="21" customHeight="1">
      <x:c r="A6312" s="10" t="n">
        <x:v>8152</x:v>
      </x:c>
      <x:c r="B6312" s="2" t="str">
        <x:v>a72bf52c864b451cc387</x:v>
      </x:c>
      <x:c r="C6312" s="2" t="str">
        <x:v>Tp Hồ Chí Minh</x:v>
      </x:c>
      <x:c r="D6312" s="2" t="str">
        <x:v>Huyện Bình Chánh</x:v>
      </x:c>
      <x:c r="E6312" s="2" t="str">
        <x:v>house</x:v>
      </x:c>
      <x:c r="F6312" s="2" t="str">
        <x:v>sale</x:v>
      </x:c>
      <x:c r="G6312" s="11" t="n">
        <x:v>80</x:v>
      </x:c>
      <x:c r="H6312" s="12" t="n">
        <x:v>599000000</x:v>
      </x:c>
      <x:c r="I6312" s="12" t="n">
        <x:v>7487500</x:v>
      </x:c>
      <x:c r="J6312" s="2" t="str">
        <x:v>total</x:v>
      </x:c>
      <x:c r="K6312" s="2" t="str">
        <x:v>top_level_area</x:v>
      </x:c>
      <x:c r="L6312" s="2" t="str">
        <x:v>property_type_inferred_from_title</x:v>
      </x:c>
      <x:c r="M6312" s="10" t="n">
        <x:v>0</x:v>
      </x:c>
      <x:c r="N6312" s="10" t="n">
        <x:v>0</x:v>
      </x:c>
      <x:c r="O6312" s="2" t="str">
        <x:v>Tp Hồ Chí Minh|house</x:v>
      </x:c>
      <x:c r="P6312" s="10" t="n">
        <x:v>2</x:v>
      </x:c>
      <x:c r="Q6312" s="13" t="n">
        <x:f>IF(H6312="","",H6312/1000000000)</x:f>
        <x:v>0.599</x:v>
      </x:c>
      <x:c r="R6312" s="13" t="n">
        <x:f>IF(I6312="","",I6312/1000000)</x:f>
        <x:v>7.4875</x:v>
      </x:c>
    </x:row>
    <x:row r="6313" ht="21" customHeight="1">
      <x:c r="A6313" s="10" t="n">
        <x:v>8153</x:v>
      </x:c>
      <x:c r="B6313" s="2" t="str">
        <x:v>caa9a5fba708c55ce429</x:v>
      </x:c>
      <x:c r="C6313" s="2" t="str">
        <x:v>Bình Dương</x:v>
      </x:c>
      <x:c r="D6313" s="2" t="str">
        <x:v>Thành phố Thủ Dầu Một</x:v>
      </x:c>
      <x:c r="E6313" s="2" t="str">
        <x:v>house</x:v>
      </x:c>
      <x:c r="F6313" s="2" t="str">
        <x:v>sale_assumed</x:v>
      </x:c>
      <x:c r="G6313" s="11" t="n">
        <x:v>152</x:v>
      </x:c>
      <x:c r="H6313" s="12" t="n">
        <x:v>3200000000</x:v>
      </x:c>
      <x:c r="I6313" s="12" t="n">
        <x:v>21052631.57894737</x:v>
      </x:c>
      <x:c r="J6313" s="2" t="str">
        <x:v>total</x:v>
      </x:c>
      <x:c r="K6313" s="2" t="str">
        <x:v>top_level_price_embedded_area</x:v>
      </x:c>
      <x:c r="L6313" s="2" t="str">
        <x:v>area_recovered_from_price_text;property_type_inferred_from_title;transaction_assumed_sale_from_dataset_context</x:v>
      </x:c>
      <x:c r="M6313" s="10" t="n">
        <x:v>0</x:v>
      </x:c>
      <x:c r="N6313" s="10" t="n">
        <x:v>0</x:v>
      </x:c>
      <x:c r="O6313" s="2" t="str">
        <x:v>Bình Dương|house</x:v>
      </x:c>
      <x:c r="P6313" s="10" t="n">
        <x:v>2</x:v>
      </x:c>
      <x:c r="Q6313" s="13" t="n">
        <x:f>IF(H6313="","",H6313/1000000000)</x:f>
        <x:v>3.2</x:v>
      </x:c>
      <x:c r="R6313" s="13" t="n">
        <x:f>IF(I6313="","",I6313/1000000)</x:f>
        <x:v>21.05263157894737</x:v>
      </x:c>
    </x:row>
    <x:row r="6314" ht="21" customHeight="1">
      <x:c r="A6314" s="10" t="n">
        <x:v>8154</x:v>
      </x:c>
      <x:c r="B6314" s="2" t="str">
        <x:v>f79e9f237297cd8d2be6</x:v>
      </x:c>
      <x:c r="C6314" s="2" t="str">
        <x:v>Tp Hồ Chí Minh</x:v>
      </x:c>
      <x:c r="D6314" s="2" t="str">
        <x:v>Quận 7</x:v>
      </x:c>
      <x:c r="E6314" s="2" t="str">
        <x:v>house</x:v>
      </x:c>
      <x:c r="F6314" s="2" t="str">
        <x:v>sale</x:v>
      </x:c>
      <x:c r="G6314" s="11" t="n">
        <x:v>90</x:v>
      </x:c>
      <x:c r="H6314" s="12" t="n">
        <x:v>8500000000</x:v>
      </x:c>
      <x:c r="I6314" s="12" t="n">
        <x:v>94444444.44444445</x:v>
      </x:c>
      <x:c r="J6314" s="2" t="str">
        <x:v>total</x:v>
      </x:c>
      <x:c r="K6314" s="2" t="str">
        <x:v>top_level_area</x:v>
      </x:c>
      <x:c r="L6314" s="2" t="str">
        <x:v>property_type_inferred_from_title</x:v>
      </x:c>
      <x:c r="M6314" s="10" t="n">
        <x:v>0</x:v>
      </x:c>
      <x:c r="N6314" s="10" t="n">
        <x:v>0</x:v>
      </x:c>
      <x:c r="O6314" s="2" t="str">
        <x:v>Tp Hồ Chí Minh|house</x:v>
      </x:c>
      <x:c r="P6314" s="10" t="n">
        <x:v>2</x:v>
      </x:c>
      <x:c r="Q6314" s="13" t="n">
        <x:f>IF(H6314="","",H6314/1000000000)</x:f>
        <x:v>8.5</x:v>
      </x:c>
      <x:c r="R6314" s="13" t="n">
        <x:f>IF(I6314="","",I6314/1000000)</x:f>
        <x:v>94.44444444444444</x:v>
      </x:c>
    </x:row>
    <x:row r="6315" ht="21" customHeight="1">
      <x:c r="A6315" s="10" t="n">
        <x:v>8155</x:v>
      </x:c>
      <x:c r="B6315" s="2" t="str">
        <x:v>f4b03c08f572347e29d5</x:v>
      </x:c>
      <x:c r="C6315" s="2" t="str">
        <x:v>Tp Hồ Chí Minh</x:v>
      </x:c>
      <x:c r="D6315" s="2" t="str">
        <x:v>Quận Gò Vấp</x:v>
      </x:c>
      <x:c r="E6315" s="2" t="str">
        <x:v>house</x:v>
      </x:c>
      <x:c r="F6315" s="2" t="str">
        <x:v>sale</x:v>
      </x:c>
      <x:c r="G6315" s="11" t="n">
        <x:v>16</x:v>
      </x:c>
      <x:c r="H6315" s="12" t="n">
        <x:v>1800000000</x:v>
      </x:c>
      <x:c r="I6315" s="12" t="n">
        <x:v>112500000</x:v>
      </x:c>
      <x:c r="J6315" s="2" t="str">
        <x:v>total</x:v>
      </x:c>
      <x:c r="K6315" s="2" t="str">
        <x:v>top_level_area</x:v>
      </x:c>
      <x:c r="L6315" s="2" t="str">
        <x:v>property_type_inferred_from_title</x:v>
      </x:c>
      <x:c r="M6315" s="10" t="n">
        <x:v>0</x:v>
      </x:c>
      <x:c r="N6315" s="10" t="n">
        <x:v>0</x:v>
      </x:c>
      <x:c r="O6315" s="2" t="str">
        <x:v>Tp Hồ Chí Minh|house</x:v>
      </x:c>
      <x:c r="P6315" s="10" t="n">
        <x:v>2</x:v>
      </x:c>
      <x:c r="Q6315" s="13" t="n">
        <x:f>IF(H6315="","",H6315/1000000000)</x:f>
        <x:v>1.8</x:v>
      </x:c>
      <x:c r="R6315" s="13" t="n">
        <x:f>IF(I6315="","",I6315/1000000)</x:f>
        <x:v>112.5</x:v>
      </x:c>
    </x:row>
    <x:row r="6316" ht="21" customHeight="1">
      <x:c r="A6316" s="10" t="n">
        <x:v>8156</x:v>
      </x:c>
      <x:c r="B6316" s="2" t="str">
        <x:v>c182bfd90f2ad2ef8429</x:v>
      </x:c>
      <x:c r="C6316" s="2" t="str">
        <x:v>Bình Dương</x:v>
      </x:c>
      <x:c r="D6316" s="2" t="str">
        <x:v>Huyện Bàu Bàng</x:v>
      </x:c>
      <x:c r="E6316" s="2" t="str">
        <x:v>land</x:v>
      </x:c>
      <x:c r="F6316" s="2" t="str">
        <x:v>sale_assumed</x:v>
      </x:c>
      <x:c r="G6316" s="11" t="n">
        <x:v>100</x:v>
      </x:c>
      <x:c r="H6316" s="12" t="n">
        <x:v>680000000</x:v>
      </x:c>
      <x:c r="I6316" s="12" t="n">
        <x:v>6800000</x:v>
      </x:c>
      <x:c r="J6316" s="2" t="str">
        <x:v>total</x:v>
      </x:c>
      <x:c r="K6316" s="2" t="str">
        <x:v>top_level_area</x:v>
      </x:c>
      <x:c r="L6316" s="2" t="str">
        <x:v>property_type_inferred_from_title;transaction_assumed_sale_from_dataset_context</x:v>
      </x:c>
      <x:c r="M6316" s="10" t="n">
        <x:v>0</x:v>
      </x:c>
      <x:c r="N6316" s="10" t="n">
        <x:v>0</x:v>
      </x:c>
      <x:c r="O6316" s="2" t="str">
        <x:v>Bình Dương|land</x:v>
      </x:c>
      <x:c r="P6316" s="10" t="n">
        <x:v>2</x:v>
      </x:c>
      <x:c r="Q6316" s="13" t="n">
        <x:f>IF(H6316="","",H6316/1000000000)</x:f>
        <x:v>0.68</x:v>
      </x:c>
      <x:c r="R6316" s="13" t="n">
        <x:f>IF(I6316="","",I6316/1000000)</x:f>
        <x:v>6.8</x:v>
      </x:c>
    </x:row>
    <x:row r="6317" ht="21" customHeight="1">
      <x:c r="A6317" s="10" t="n">
        <x:v>8158</x:v>
      </x:c>
      <x:c r="B6317" s="2" t="str">
        <x:v>670d6b64b6a4f2ef9d47</x:v>
      </x:c>
      <x:c r="C6317" s="2" t="str">
        <x:v>Lâm Đồng</x:v>
      </x:c>
      <x:c r="D6317" s="2" t="str">
        <x:v>Huyện Đạ Tẻh</x:v>
      </x:c>
      <x:c r="E6317" s="2" t="str">
        <x:v>land</x:v>
      </x:c>
      <x:c r="F6317" s="2" t="str">
        <x:v>sale</x:v>
      </x:c>
      <x:c r="G6317" s="11" t="n">
        <x:v>7000</x:v>
      </x:c>
      <x:c r="H6317" s="12" t="n">
        <x:v>1200000000</x:v>
      </x:c>
      <x:c r="I6317" s="12" t="n">
        <x:v>171428.57142857142</x:v>
      </x:c>
      <x:c r="J6317" s="2" t="str">
        <x:v>total</x:v>
      </x:c>
      <x:c r="K6317" s="2" t="str">
        <x:v>top_level_area</x:v>
      </x:c>
      <x:c r="L6317" s="2" t="str">
        <x:v>dot_thousands_convention;property_type_inferred_from_title</x:v>
      </x:c>
      <x:c r="M6317" s="10" t="n">
        <x:v>0</x:v>
      </x:c>
      <x:c r="N6317" s="10" t="n">
        <x:v>0</x:v>
      </x:c>
      <x:c r="O6317" s="2" t="str">
        <x:v>Lâm Đồng|land</x:v>
      </x:c>
      <x:c r="P6317" s="10" t="n">
        <x:v>1</x:v>
      </x:c>
      <x:c r="Q6317" s="13" t="n">
        <x:f>IF(H6317="","",H6317/1000000000)</x:f>
        <x:v>1.2</x:v>
      </x:c>
      <x:c r="R6317" s="13" t="n">
        <x:f>IF(I6317="","",I6317/1000000)</x:f>
        <x:v>0.17142857142857143</x:v>
      </x:c>
    </x:row>
    <x:row r="6318" ht="21" customHeight="1">
      <x:c r="A6318" s="10" t="n">
        <x:v>8159</x:v>
      </x:c>
      <x:c r="B6318" s="2" t="str">
        <x:v>3a8339d0d6223d5289ba</x:v>
      </x:c>
      <x:c r="C6318" s="2" t="str">
        <x:v>Bến Tre</x:v>
      </x:c>
      <x:c r="D6318" s="2" t="str">
        <x:v>Huyện Bình Đại</x:v>
      </x:c>
      <x:c r="E6318" s="2" t="str">
        <x:v>land</x:v>
      </x:c>
      <x:c r="F6318" s="2" t="str">
        <x:v>sale_assumed</x:v>
      </x:c>
      <x:c r="G6318" s="11" t="n">
        <x:v>586</x:v>
      </x:c>
      <x:c r="H6318" s="12" t="n">
        <x:v>460000000</x:v>
      </x:c>
      <x:c r="I6318" s="12" t="n">
        <x:v>784982.9351535836</x:v>
      </x:c>
      <x:c r="J6318" s="2" t="str">
        <x:v>total</x:v>
      </x:c>
      <x:c r="K6318" s="2" t="str">
        <x:v>top_level_area</x:v>
      </x:c>
      <x:c r="L6318" s="2" t="str">
        <x:v>property_type_inferred_from_title;transaction_assumed_sale_from_dataset_context</x:v>
      </x:c>
      <x:c r="M6318" s="10" t="n">
        <x:v>0</x:v>
      </x:c>
      <x:c r="N6318" s="10" t="n">
        <x:v>0</x:v>
      </x:c>
      <x:c r="O6318" s="2" t="str">
        <x:v>Bến Tre|land</x:v>
      </x:c>
      <x:c r="P6318" s="10" t="n">
        <x:v>1</x:v>
      </x:c>
      <x:c r="Q6318" s="13" t="n">
        <x:f>IF(H6318="","",H6318/1000000000)</x:f>
        <x:v>0.46</x:v>
      </x:c>
      <x:c r="R6318" s="13" t="n">
        <x:f>IF(I6318="","",I6318/1000000)</x:f>
        <x:v>0.7849829351535836</x:v>
      </x:c>
    </x:row>
    <x:row r="6319" ht="21" customHeight="1">
      <x:c r="A6319" s="10" t="n">
        <x:v>8160</x:v>
      </x:c>
      <x:c r="B6319" s="2" t="str">
        <x:v>4d4f97f49b0d3f2b0e94</x:v>
      </x:c>
      <x:c r="C6319" s="2" t="str">
        <x:v>Tp Hồ Chí Minh</x:v>
      </x:c>
      <x:c r="D6319" s="2" t="str">
        <x:v>Huyện Hóc Môn</x:v>
      </x:c>
      <x:c r="E6319" s="2" t="str">
        <x:v>other_unknown</x:v>
      </x:c>
      <x:c r="F6319" s="2" t="str">
        <x:v>sale_assumed</x:v>
      </x:c>
      <x:c r="G6319" s="11" t="n">
        <x:v>40</x:v>
      </x:c>
      <x:c r="H6319" s="12" t="n">
        <x:v>650000000</x:v>
      </x:c>
      <x:c r="I6319" s="12" t="n">
        <x:v>16250000</x:v>
      </x:c>
      <x:c r="J6319" s="2" t="str">
        <x:v>total</x:v>
      </x:c>
      <x:c r="K6319" s="2" t="str">
        <x:v>top_level_area</x:v>
      </x:c>
      <x:c r="L6319" s="2" t="str">
        <x:v>property_type_inferred_from_title;transaction_assumed_sale_from_dataset_context;unknown_property_type</x:v>
      </x:c>
      <x:c r="M6319" s="10" t="n">
        <x:v>0</x:v>
      </x:c>
      <x:c r="N6319" s="10" t="n">
        <x:v>0</x:v>
      </x:c>
      <x:c r="O6319" s="2" t="str">
        <x:v>Tp Hồ Chí Minh|other_unknown</x:v>
      </x:c>
      <x:c r="P6319" s="10" t="n">
        <x:v>2</x:v>
      </x:c>
      <x:c r="Q6319" s="13" t="n">
        <x:f>IF(H6319="","",H6319/1000000000)</x:f>
        <x:v>0.65</x:v>
      </x:c>
      <x:c r="R6319" s="13" t="n">
        <x:f>IF(I6319="","",I6319/1000000)</x:f>
        <x:v>16.25</x:v>
      </x:c>
    </x:row>
    <x:row r="6320" ht="21" customHeight="1">
      <x:c r="A6320" s="10" t="n">
        <x:v>8161</x:v>
      </x:c>
      <x:c r="B6320" s="2" t="str">
        <x:v>da1a56e0377ca2887c29</x:v>
      </x:c>
      <x:c r="C6320" s="2" t="str">
        <x:v>Long An</x:v>
      </x:c>
      <x:c r="D6320" s="2" t="str">
        <x:v>Huyện Cần Giuộc</x:v>
      </x:c>
      <x:c r="E6320" s="2" t="str">
        <x:v>house</x:v>
      </x:c>
      <x:c r="F6320" s="2" t="str">
        <x:v>sale</x:v>
      </x:c>
      <x:c r="G6320" s="11" t="n">
        <x:v>60</x:v>
      </x:c>
      <x:c r="H6320" s="12" t="n">
        <x:v>900000000</x:v>
      </x:c>
      <x:c r="I6320" s="12" t="n">
        <x:v>15000000</x:v>
      </x:c>
      <x:c r="J6320" s="2" t="str">
        <x:v>total</x:v>
      </x:c>
      <x:c r="K6320" s="2" t="str">
        <x:v>top_level_area</x:v>
      </x:c>
      <x:c r="L6320" s="2" t="str">
        <x:v>property_type_inferred_from_title</x:v>
      </x:c>
      <x:c r="M6320" s="10" t="n">
        <x:v>0</x:v>
      </x:c>
      <x:c r="N6320" s="10" t="n">
        <x:v>0</x:v>
      </x:c>
      <x:c r="O6320" s="2" t="str">
        <x:v>Long An|house</x:v>
      </x:c>
      <x:c r="P6320" s="10" t="n">
        <x:v>2</x:v>
      </x:c>
      <x:c r="Q6320" s="13" t="n">
        <x:f>IF(H6320="","",H6320/1000000000)</x:f>
        <x:v>0.9</x:v>
      </x:c>
      <x:c r="R6320" s="13" t="n">
        <x:f>IF(I6320="","",I6320/1000000)</x:f>
        <x:v>15</x:v>
      </x:c>
    </x:row>
    <x:row r="6321" ht="21" customHeight="1">
      <x:c r="A6321" s="10" t="n">
        <x:v>8162</x:v>
      </x:c>
      <x:c r="B6321" s="2" t="str">
        <x:v>1e5bbc0ba80c5ccc3544</x:v>
      </x:c>
      <x:c r="C6321" s="2" t="str">
        <x:v>Tp Hồ Chí Minh</x:v>
      </x:c>
      <x:c r="D6321" s="2" t="str">
        <x:v>Quận Bình Tân</x:v>
      </x:c>
      <x:c r="E6321" s="2" t="str">
        <x:v>land</x:v>
      </x:c>
      <x:c r="F6321" s="2" t="str">
        <x:v>sale</x:v>
      </x:c>
      <x:c r="G6321" s="11" t="n">
        <x:v>85</x:v>
      </x:c>
      <x:c r="H6321" s="12" t="n">
        <x:v>2720000000</x:v>
      </x:c>
      <x:c r="I6321" s="12" t="n">
        <x:v>32000000</x:v>
      </x:c>
      <x:c r="J6321" s="2" t="str">
        <x:v>total</x:v>
      </x:c>
      <x:c r="K6321" s="2" t="str">
        <x:v>top_level_area</x:v>
      </x:c>
      <x:c r="L6321" s="2" t="str">
        <x:v>property_type_inferred_from_title</x:v>
      </x:c>
      <x:c r="M6321" s="10" t="n">
        <x:v>0</x:v>
      </x:c>
      <x:c r="N6321" s="10" t="n">
        <x:v>0</x:v>
      </x:c>
      <x:c r="O6321" s="2" t="str">
        <x:v>Tp Hồ Chí Minh|land</x:v>
      </x:c>
      <x:c r="P6321" s="10" t="n">
        <x:v>2</x:v>
      </x:c>
      <x:c r="Q6321" s="13" t="n">
        <x:f>IF(H6321="","",H6321/1000000000)</x:f>
        <x:v>2.72</x:v>
      </x:c>
      <x:c r="R6321" s="13" t="n">
        <x:f>IF(I6321="","",I6321/1000000)</x:f>
        <x:v>32</x:v>
      </x:c>
    </x:row>
    <x:row r="6322" ht="21" customHeight="1">
      <x:c r="A6322" s="10" t="n">
        <x:v>8163</x:v>
      </x:c>
      <x:c r="B6322" s="2" t="str">
        <x:v>6650f0dcd58963d9f9d7</x:v>
      </x:c>
      <x:c r="C6322" s="2" t="str">
        <x:v>Đà Nẵng</x:v>
      </x:c>
      <x:c r="D6322" s="2" t="str">
        <x:v>Quận Thanh Khê</x:v>
      </x:c>
      <x:c r="E6322" s="2" t="str">
        <x:v>house</x:v>
      </x:c>
      <x:c r="F6322" s="2" t="str">
        <x:v>sale_assumed</x:v>
      </x:c>
      <x:c r="G6322" s="11" t="n">
        <x:v>40</x:v>
      </x:c>
      <x:c r="H6322" s="12" t="n">
        <x:v>2290000000</x:v>
      </x:c>
      <x:c r="I6322" s="12" t="n">
        <x:v>57250000</x:v>
      </x:c>
      <x:c r="J6322" s="2" t="str">
        <x:v>total</x:v>
      </x:c>
      <x:c r="K6322" s="2" t="str">
        <x:v>top_level_price_embedded_area</x:v>
      </x:c>
      <x:c r="L6322" s="2" t="str">
        <x:v>area_recovered_from_price_text;property_type_inferred_from_title;transaction_assumed_sale_from_dataset_context</x:v>
      </x:c>
      <x:c r="M6322" s="10" t="n">
        <x:v>0</x:v>
      </x:c>
      <x:c r="N6322" s="10" t="n">
        <x:v>0</x:v>
      </x:c>
      <x:c r="O6322" s="2" t="str">
        <x:v>Đà Nẵng|house</x:v>
      </x:c>
      <x:c r="P6322" s="10" t="n">
        <x:v>2</x:v>
      </x:c>
      <x:c r="Q6322" s="13" t="n">
        <x:f>IF(H6322="","",H6322/1000000000)</x:f>
        <x:v>2.29</x:v>
      </x:c>
      <x:c r="R6322" s="13" t="n">
        <x:f>IF(I6322="","",I6322/1000000)</x:f>
        <x:v>57.25</x:v>
      </x:c>
    </x:row>
    <x:row r="6323" ht="21" customHeight="1">
      <x:c r="A6323" s="10" t="n">
        <x:v>8185</x:v>
      </x:c>
      <x:c r="B6323" s="2" t="str">
        <x:v>2c71403a338d59b541ed</x:v>
      </x:c>
      <x:c r="C6323" s="2" t="str">
        <x:v>Tp Hồ Chí Minh</x:v>
      </x:c>
      <x:c r="D6323" s="2" t="str">
        <x:v>Quận 9</x:v>
      </x:c>
      <x:c r="E6323" s="2" t="str">
        <x:v>land</x:v>
      </x:c>
      <x:c r="F6323" s="2" t="str">
        <x:v>sale</x:v>
      </x:c>
      <x:c r="G6323" s="11" t="n">
        <x:v>65</x:v>
      </x:c>
      <x:c r="H6323" s="12" t="n">
        <x:v>3250000000</x:v>
      </x:c>
      <x:c r="I6323" s="12" t="n">
        <x:v>50000000</x:v>
      </x:c>
      <x:c r="J6323" s="2" t="str">
        <x:v>total</x:v>
      </x:c>
      <x:c r="K6323" s="2" t="str">
        <x:v>top_level_area</x:v>
      </x:c>
      <x:c r="L6323" s="2" t="str">
        <x:v>property_type_inferred_from_title</x:v>
      </x:c>
      <x:c r="M6323" s="10" t="n">
        <x:v>0</x:v>
      </x:c>
      <x:c r="N6323" s="10" t="n">
        <x:v>0</x:v>
      </x:c>
      <x:c r="O6323" s="2" t="str">
        <x:v>Tp Hồ Chí Minh|land</x:v>
      </x:c>
      <x:c r="P6323" s="10" t="n">
        <x:v>2</x:v>
      </x:c>
      <x:c r="Q6323" s="13" t="n">
        <x:f>IF(H6323="","",H6323/1000000000)</x:f>
        <x:v>3.25</x:v>
      </x:c>
      <x:c r="R6323" s="13" t="n">
        <x:f>IF(I6323="","",I6323/1000000)</x:f>
        <x:v>50</x:v>
      </x:c>
    </x:row>
    <x:row r="6324" ht="21" customHeight="1">
      <x:c r="A6324" s="10" t="n">
        <x:v>8186</x:v>
      </x:c>
      <x:c r="B6324" s="2" t="str">
        <x:v>5134585cf07065ee4f92</x:v>
      </x:c>
      <x:c r="C6324" s="2" t="str">
        <x:v>Tp Hồ Chí Minh</x:v>
      </x:c>
      <x:c r="D6324" s="2" t="str">
        <x:v>Quận 5</x:v>
      </x:c>
      <x:c r="E6324" s="2" t="str">
        <x:v>house</x:v>
      </x:c>
      <x:c r="F6324" s="2" t="str">
        <x:v>sale</x:v>
      </x:c>
      <x:c r="G6324" s="11" t="n">
        <x:v>61</x:v>
      </x:c>
      <x:c r="H6324" s="12" t="n">
        <x:v>11000000000</x:v>
      </x:c>
      <x:c r="I6324" s="12" t="n">
        <x:v>180327868.852459</x:v>
      </x:c>
      <x:c r="J6324" s="2" t="str">
        <x:v>total</x:v>
      </x:c>
      <x:c r="K6324" s="2" t="str">
        <x:v>top_level_area</x:v>
      </x:c>
      <x:c r="L6324" s="2" t="str">
        <x:v>property_type_inferred_from_title</x:v>
      </x:c>
      <x:c r="M6324" s="10" t="n">
        <x:v>1</x:v>
      </x:c>
      <x:c r="N6324" s="10" t="n">
        <x:v>0</x:v>
      </x:c>
      <x:c r="O6324" s="2" t="str">
        <x:v>Tp Hồ Chí Minh|house</x:v>
      </x:c>
      <x:c r="P6324" s="10" t="n">
        <x:v>2</x:v>
      </x:c>
      <x:c r="Q6324" s="13" t="n">
        <x:f>IF(H6324="","",H6324/1000000000)</x:f>
        <x:v>11</x:v>
      </x:c>
      <x:c r="R6324" s="13" t="n">
        <x:f>IF(I6324="","",I6324/1000000)</x:f>
        <x:v>180.327868852459</x:v>
      </x:c>
    </x:row>
    <x:row r="6325" ht="21" customHeight="1">
      <x:c r="A6325" s="10" t="n">
        <x:v>8190</x:v>
      </x:c>
      <x:c r="B6325" s="2" t="str">
        <x:v>f1429f2167a5e9ebbe9a</x:v>
      </x:c>
      <x:c r="C6325" s="2" t="str">
        <x:v>Tp Hồ Chí Minh</x:v>
      </x:c>
      <x:c r="D6325" s="2" t="str">
        <x:v>Quận Gò Vấp</x:v>
      </x:c>
      <x:c r="E6325" s="2" t="str">
        <x:v>other_unknown</x:v>
      </x:c>
      <x:c r="F6325" s="2" t="str">
        <x:v>sale_assumed</x:v>
      </x:c>
      <x:c r="G6325" s="11" t="n">
        <x:v>40</x:v>
      </x:c>
      <x:c r="H6325" s="12" t="n">
        <x:v>4400000000</x:v>
      </x:c>
      <x:c r="I6325" s="12" t="n">
        <x:v>110000000</x:v>
      </x:c>
      <x:c r="J6325" s="2" t="str">
        <x:v>total</x:v>
      </x:c>
      <x:c r="K6325" s="2" t="str">
        <x:v>top_level_area</x:v>
      </x:c>
      <x:c r="L6325" s="2" t="str">
        <x:v>property_type_inferred_from_title;transaction_assumed_sale_from_dataset_context;unknown_property_type</x:v>
      </x:c>
      <x:c r="M6325" s="10" t="n">
        <x:v>0</x:v>
      </x:c>
      <x:c r="N6325" s="10" t="n">
        <x:v>0</x:v>
      </x:c>
      <x:c r="O6325" s="2" t="str">
        <x:v>Tp Hồ Chí Minh|other_unknown</x:v>
      </x:c>
      <x:c r="P6325" s="10" t="n">
        <x:v>2</x:v>
      </x:c>
      <x:c r="Q6325" s="13" t="n">
        <x:f>IF(H6325="","",H6325/1000000000)</x:f>
        <x:v>4.4</x:v>
      </x:c>
      <x:c r="R6325" s="13" t="n">
        <x:f>IF(I6325="","",I6325/1000000)</x:f>
        <x:v>110</x:v>
      </x:c>
    </x:row>
    <x:row r="6326" ht="21" customHeight="1">
      <x:c r="A6326" s="10" t="n">
        <x:v>8191</x:v>
      </x:c>
      <x:c r="B6326" s="2" t="str">
        <x:v>8fa6d29b6bfdabf74730</x:v>
      </x:c>
      <x:c r="C6326" s="2" t="str">
        <x:v>Tp Hồ Chí Minh</x:v>
      </x:c>
      <x:c r="D6326" s="2" t="str">
        <x:v>Quận Thủ Đức</x:v>
      </x:c>
      <x:c r="E6326" s="2" t="str">
        <x:v>land</x:v>
      </x:c>
      <x:c r="F6326" s="2" t="str">
        <x:v>sale</x:v>
      </x:c>
      <x:c r="G6326" s="11" t="n">
        <x:v>59</x:v>
      </x:c>
      <x:c r="H6326" s="12" t="n">
        <x:v>4800000000</x:v>
      </x:c>
      <x:c r="I6326" s="12" t="n">
        <x:v>81355932.20338982</x:v>
      </x:c>
      <x:c r="J6326" s="2" t="str">
        <x:v>total</x:v>
      </x:c>
      <x:c r="K6326" s="2" t="str">
        <x:v>top_level_area</x:v>
      </x:c>
      <x:c r="L6326" s="2" t="str">
        <x:v>property_type_inferred_from_title</x:v>
      </x:c>
      <x:c r="M6326" s="10" t="n">
        <x:v>0</x:v>
      </x:c>
      <x:c r="N6326" s="10" t="n">
        <x:v>0</x:v>
      </x:c>
      <x:c r="O6326" s="2" t="str">
        <x:v>Tp Hồ Chí Minh|land</x:v>
      </x:c>
      <x:c r="P6326" s="10" t="n">
        <x:v>2</x:v>
      </x:c>
      <x:c r="Q6326" s="13" t="n">
        <x:f>IF(H6326="","",H6326/1000000000)</x:f>
        <x:v>4.8</x:v>
      </x:c>
      <x:c r="R6326" s="13" t="n">
        <x:f>IF(I6326="","",I6326/1000000)</x:f>
        <x:v>81.35593220338983</x:v>
      </x:c>
    </x:row>
    <x:row r="6327" ht="21" customHeight="1">
      <x:c r="A6327" s="10" t="n">
        <x:v>8192</x:v>
      </x:c>
      <x:c r="B6327" s="2" t="str">
        <x:v>592a57f983af07afb8ed</x:v>
      </x:c>
      <x:c r="C6327" s="2" t="str">
        <x:v>Hà Nội</x:v>
      </x:c>
      <x:c r="D6327" s="2" t="str">
        <x:v>Quận Thanh Xuân</x:v>
      </x:c>
      <x:c r="E6327" s="2" t="str">
        <x:v>other_unknown</x:v>
      </x:c>
      <x:c r="F6327" s="2" t="str">
        <x:v>sale_assumed</x:v>
      </x:c>
      <x:c r="G6327" s="11" t="n">
        <x:v>70</x:v>
      </x:c>
      <x:c r="H6327" s="12" t="n">
        <x:v>7900000000</x:v>
      </x:c>
      <x:c r="I6327" s="12" t="n">
        <x:v>112857142.85714285</x:v>
      </x:c>
      <x:c r="J6327" s="2" t="str">
        <x:v>total</x:v>
      </x:c>
      <x:c r="K6327" s="2" t="str">
        <x:v>top_level_area</x:v>
      </x:c>
      <x:c r="L6327" s="2" t="str">
        <x:v>property_type_inferred_from_title;transaction_assumed_sale_from_dataset_context;unknown_property_type</x:v>
      </x:c>
      <x:c r="M6327" s="10" t="n">
        <x:v>0</x:v>
      </x:c>
      <x:c r="N6327" s="10" t="n">
        <x:v>0</x:v>
      </x:c>
      <x:c r="O6327" s="2" t="str">
        <x:v>Hà Nội|other_unknown</x:v>
      </x:c>
      <x:c r="P6327" s="10" t="n">
        <x:v>2</x:v>
      </x:c>
      <x:c r="Q6327" s="13" t="n">
        <x:f>IF(H6327="","",H6327/1000000000)</x:f>
        <x:v>7.9</x:v>
      </x:c>
      <x:c r="R6327" s="13" t="n">
        <x:f>IF(I6327="","",I6327/1000000)</x:f>
        <x:v>112.85714285714285</x:v>
      </x:c>
    </x:row>
    <x:row r="6328" ht="21" customHeight="1">
      <x:c r="A6328" s="10" t="n">
        <x:v>8193</x:v>
      </x:c>
      <x:c r="B6328" s="2" t="str">
        <x:v>a9d1b16ed4c46a6b69e7</x:v>
      </x:c>
      <x:c r="C6328" s="2" t="str">
        <x:v>Tp Hồ Chí Minh</x:v>
      </x:c>
      <x:c r="D6328" s="2" t="str">
        <x:v>Quận Bình Tân</x:v>
      </x:c>
      <x:c r="E6328" s="2" t="str">
        <x:v>land</x:v>
      </x:c>
      <x:c r="F6328" s="2" t="str">
        <x:v>sale_assumed</x:v>
      </x:c>
      <x:c r="G6328" s="11" t="n">
        <x:v>90</x:v>
      </x:c>
      <x:c r="H6328" s="12" t="n">
        <x:v>2880000000</x:v>
      </x:c>
      <x:c r="I6328" s="12" t="n">
        <x:v>32000000</x:v>
      </x:c>
      <x:c r="J6328" s="2" t="str">
        <x:v>total</x:v>
      </x:c>
      <x:c r="K6328" s="2" t="str">
        <x:v>top_level_area</x:v>
      </x:c>
      <x:c r="L6328" s="2" t="str">
        <x:v>property_type_inferred_from_title;transaction_assumed_sale_from_dataset_context</x:v>
      </x:c>
      <x:c r="M6328" s="10" t="n">
        <x:v>0</x:v>
      </x:c>
      <x:c r="N6328" s="10" t="n">
        <x:v>0</x:v>
      </x:c>
      <x:c r="O6328" s="2" t="str">
        <x:v>Tp Hồ Chí Minh|land</x:v>
      </x:c>
      <x:c r="P6328" s="10" t="n">
        <x:v>2</x:v>
      </x:c>
      <x:c r="Q6328" s="13" t="n">
        <x:f>IF(H6328="","",H6328/1000000000)</x:f>
        <x:v>2.88</x:v>
      </x:c>
      <x:c r="R6328" s="13" t="n">
        <x:f>IF(I6328="","",I6328/1000000)</x:f>
        <x:v>32</x:v>
      </x:c>
    </x:row>
    <x:row r="6329" ht="21" customHeight="1">
      <x:c r="A6329" s="10" t="n">
        <x:v>8194</x:v>
      </x:c>
      <x:c r="B6329" s="2" t="str">
        <x:v>11519913aca563407fac</x:v>
      </x:c>
      <x:c r="C6329" s="2" t="str">
        <x:v>Bình Dương</x:v>
      </x:c>
      <x:c r="D6329" s="2" t="str">
        <x:v>Thị xã Tân Uyên</x:v>
      </x:c>
      <x:c r="E6329" s="2" t="str">
        <x:v>other_unknown</x:v>
      </x:c>
      <x:c r="F6329" s="2" t="str">
        <x:v>sale</x:v>
      </x:c>
      <x:c r="G6329" s="11" t="n">
        <x:v>216</x:v>
      </x:c>
      <x:c r="H6329" s="12" t="n">
        <x:v>1600000000</x:v>
      </x:c>
      <x:c r="I6329" s="12" t="n">
        <x:v>7407407.407407408</x:v>
      </x:c>
      <x:c r="J6329" s="2" t="str">
        <x:v>total</x:v>
      </x:c>
      <x:c r="K6329" s="2" t="str">
        <x:v>top_level_area</x:v>
      </x:c>
      <x:c r="L6329" s="2" t="str">
        <x:v>property_type_inferred_from_title;unknown_property_type</x:v>
      </x:c>
      <x:c r="M6329" s="10" t="n">
        <x:v>0</x:v>
      </x:c>
      <x:c r="N6329" s="10" t="n">
        <x:v>0</x:v>
      </x:c>
      <x:c r="O6329" s="2" t="str">
        <x:v>Bình Dương|other_unknown</x:v>
      </x:c>
      <x:c r="P6329" s="10" t="n">
        <x:v>1</x:v>
      </x:c>
      <x:c r="Q6329" s="13" t="n">
        <x:f>IF(H6329="","",H6329/1000000000)</x:f>
        <x:v>1.6</x:v>
      </x:c>
      <x:c r="R6329" s="13" t="n">
        <x:f>IF(I6329="","",I6329/1000000)</x:f>
        <x:v>7.407407407407407</x:v>
      </x:c>
    </x:row>
    <x:row r="6330" ht="21" customHeight="1">
      <x:c r="A6330" s="10" t="n">
        <x:v>8195</x:v>
      </x:c>
      <x:c r="B6330" s="2" t="str">
        <x:v>8dc81947219aee51b974</x:v>
      </x:c>
      <x:c r="C6330" s="2" t="str">
        <x:v>Long An</x:v>
      </x:c>
      <x:c r="D6330" s="2" t="str">
        <x:v>Huyện Cần Giuộc</x:v>
      </x:c>
      <x:c r="E6330" s="2" t="str">
        <x:v>house</x:v>
      </x:c>
      <x:c r="F6330" s="2" t="str">
        <x:v>sale</x:v>
      </x:c>
      <x:c r="G6330" s="11" t="n">
        <x:v>56</x:v>
      </x:c>
      <x:c r="H6330" s="12" t="n">
        <x:v>650000000</x:v>
      </x:c>
      <x:c r="I6330" s="12" t="n">
        <x:v>11607142.857142856</x:v>
      </x:c>
      <x:c r="J6330" s="2" t="str">
        <x:v>total</x:v>
      </x:c>
      <x:c r="K6330" s="2" t="str">
        <x:v>top_level_area</x:v>
      </x:c>
      <x:c r="L6330" s="2" t="str">
        <x:v>property_type_inferred_from_title</x:v>
      </x:c>
      <x:c r="M6330" s="10" t="n">
        <x:v>0</x:v>
      </x:c>
      <x:c r="N6330" s="10" t="n">
        <x:v>0</x:v>
      </x:c>
      <x:c r="O6330" s="2" t="str">
        <x:v>Long An|house</x:v>
      </x:c>
      <x:c r="P6330" s="10" t="n">
        <x:v>2</x:v>
      </x:c>
      <x:c r="Q6330" s="13" t="n">
        <x:f>IF(H6330="","",H6330/1000000000)</x:f>
        <x:v>0.65</x:v>
      </x:c>
      <x:c r="R6330" s="13" t="n">
        <x:f>IF(I6330="","",I6330/1000000)</x:f>
        <x:v>11.607142857142856</x:v>
      </x:c>
    </x:row>
    <x:row r="6331" ht="21" customHeight="1">
      <x:c r="A6331" s="10" t="n">
        <x:v>8196</x:v>
      </x:c>
      <x:c r="B6331" s="2" t="str">
        <x:v>adc7fd3bd8a59b0d19b6</x:v>
      </x:c>
      <x:c r="C6331" s="2" t="str">
        <x:v>Hà Nội</x:v>
      </x:c>
      <x:c r="D6331" s="2" t="str">
        <x:v>Quận Hà Đông</x:v>
      </x:c>
      <x:c r="E6331" s="2" t="str">
        <x:v>other_unknown</x:v>
      </x:c>
      <x:c r="F6331" s="2" t="str">
        <x:v>sale_assumed</x:v>
      </x:c>
      <x:c r="G6331" s="11" t="n">
        <x:v>31</x:v>
      </x:c>
      <x:c r="H6331" s="12" t="n">
        <x:v>2390000000</x:v>
      </x:c>
      <x:c r="I6331" s="12" t="n">
        <x:v>77096774.19354838</x:v>
      </x:c>
      <x:c r="J6331" s="2" t="str">
        <x:v>total</x:v>
      </x:c>
      <x:c r="K6331" s="2" t="str">
        <x:v>top_level_area</x:v>
      </x:c>
      <x:c r="L6331" s="2" t="str">
        <x:v>property_type_inferred_from_title;transaction_assumed_sale_from_dataset_context;unknown_property_type</x:v>
      </x:c>
      <x:c r="M6331" s="10" t="n">
        <x:v>0</x:v>
      </x:c>
      <x:c r="N6331" s="10" t="n">
        <x:v>0</x:v>
      </x:c>
      <x:c r="O6331" s="2" t="str">
        <x:v>Hà Nội|other_unknown</x:v>
      </x:c>
      <x:c r="P6331" s="10" t="n">
        <x:v>2</x:v>
      </x:c>
      <x:c r="Q6331" s="13" t="n">
        <x:f>IF(H6331="","",H6331/1000000000)</x:f>
        <x:v>2.39</x:v>
      </x:c>
      <x:c r="R6331" s="13" t="n">
        <x:f>IF(I6331="","",I6331/1000000)</x:f>
        <x:v>77.09677419354838</x:v>
      </x:c>
    </x:row>
    <x:row r="6332" ht="21" customHeight="1">
      <x:c r="A6332" s="10" t="n">
        <x:v>8197</x:v>
      </x:c>
      <x:c r="B6332" s="2" t="str">
        <x:v>8fe088bc9d22a8cd57c3</x:v>
      </x:c>
      <x:c r="C6332" s="2" t="str">
        <x:v>Tp Hồ Chí Minh</x:v>
      </x:c>
      <x:c r="D6332" s="2" t="str">
        <x:v>Quận 9</x:v>
      </x:c>
      <x:c r="E6332" s="2" t="str">
        <x:v>house</x:v>
      </x:c>
      <x:c r="F6332" s="2" t="str">
        <x:v>sale_assumed</x:v>
      </x:c>
      <x:c r="G6332" s="11" t="n">
        <x:v>55</x:v>
      </x:c>
      <x:c r="H6332" s="12" t="n">
        <x:v>950000000</x:v>
      </x:c>
      <x:c r="I6332" s="12" t="n">
        <x:v>17272727.272727273</x:v>
      </x:c>
      <x:c r="J6332" s="2" t="str">
        <x:v>total</x:v>
      </x:c>
      <x:c r="K6332" s="2" t="str">
        <x:v>top_level_area</x:v>
      </x:c>
      <x:c r="L6332" s="2" t="str">
        <x:v>property_type_inferred_from_title;transaction_assumed_sale_from_dataset_context</x:v>
      </x:c>
      <x:c r="M6332" s="10" t="n">
        <x:v>0</x:v>
      </x:c>
      <x:c r="N6332" s="10" t="n">
        <x:v>0</x:v>
      </x:c>
      <x:c r="O6332" s="2" t="str">
        <x:v>Tp Hồ Chí Minh|house</x:v>
      </x:c>
      <x:c r="P6332" s="10" t="n">
        <x:v>2</x:v>
      </x:c>
      <x:c r="Q6332" s="13" t="n">
        <x:f>IF(H6332="","",H6332/1000000000)</x:f>
        <x:v>0.95</x:v>
      </x:c>
      <x:c r="R6332" s="13" t="n">
        <x:f>IF(I6332="","",I6332/1000000)</x:f>
        <x:v>17.272727272727273</x:v>
      </x:c>
    </x:row>
    <x:row r="6333" ht="21" customHeight="1">
      <x:c r="A6333" s="10" t="n">
        <x:v>8198</x:v>
      </x:c>
      <x:c r="B6333" s="2" t="str">
        <x:v>ccff7117ccb0ecebf228</x:v>
      </x:c>
      <x:c r="C6333" s="2" t="str">
        <x:v>Tp Hồ Chí Minh</x:v>
      </x:c>
      <x:c r="D6333" s="2" t="str">
        <x:v>Quận Tân Bình</x:v>
      </x:c>
      <x:c r="E6333" s="2" t="str">
        <x:v>house</x:v>
      </x:c>
      <x:c r="F6333" s="2" t="str">
        <x:v>sale</x:v>
      </x:c>
      <x:c r="G6333" s="11" t="n">
        <x:v>24</x:v>
      </x:c>
      <x:c r="H6333" s="12" t="n">
        <x:v>1950000000</x:v>
      </x:c>
      <x:c r="I6333" s="12" t="n">
        <x:v>81250000</x:v>
      </x:c>
      <x:c r="J6333" s="2" t="str">
        <x:v>total</x:v>
      </x:c>
      <x:c r="K6333" s="2" t="str">
        <x:v>top_level_price_embedded_area</x:v>
      </x:c>
      <x:c r="L6333" s="2" t="str">
        <x:v>area_recovered_from_price_text;property_type_inferred_from_title</x:v>
      </x:c>
      <x:c r="M6333" s="10" t="n">
        <x:v>0</x:v>
      </x:c>
      <x:c r="N6333" s="10" t="n">
        <x:v>0</x:v>
      </x:c>
      <x:c r="O6333" s="2" t="str">
        <x:v>Tp Hồ Chí Minh|house</x:v>
      </x:c>
      <x:c r="P6333" s="10" t="n">
        <x:v>2</x:v>
      </x:c>
      <x:c r="Q6333" s="13" t="n">
        <x:f>IF(H6333="","",H6333/1000000000)</x:f>
        <x:v>1.95</x:v>
      </x:c>
      <x:c r="R6333" s="13" t="n">
        <x:f>IF(I6333="","",I6333/1000000)</x:f>
        <x:v>81.25</x:v>
      </x:c>
    </x:row>
    <x:row r="6334" ht="21" customHeight="1">
      <x:c r="A6334" s="10" t="n">
        <x:v>8199</x:v>
      </x:c>
      <x:c r="B6334" s="2" t="str">
        <x:v>260184ce9fbd73af55e8</x:v>
      </x:c>
      <x:c r="C6334" s="2" t="str">
        <x:v>Tp Hồ Chí Minh</x:v>
      </x:c>
      <x:c r="D6334" s="2" t="str">
        <x:v>Quận 10</x:v>
      </x:c>
      <x:c r="E6334" s="2" t="str">
        <x:v>other_unknown</x:v>
      </x:c>
      <x:c r="F6334" s="2" t="str">
        <x:v>sale_assumed</x:v>
      </x:c>
      <x:c r="G6334" s="11" t="n">
        <x:v>28</x:v>
      </x:c>
      <x:c r="H6334" s="12" t="n">
        <x:v>3550000000</x:v>
      </x:c>
      <x:c r="I6334" s="12" t="n">
        <x:v>126785714.28571428</x:v>
      </x:c>
      <x:c r="J6334" s="2" t="str">
        <x:v>total</x:v>
      </x:c>
      <x:c r="K6334" s="2" t="str">
        <x:v>top_level_area</x:v>
      </x:c>
      <x:c r="L6334" s="2" t="str">
        <x:v>property_type_inferred_from_title;transaction_assumed_sale_from_dataset_context;unknown_property_type</x:v>
      </x:c>
      <x:c r="M6334" s="10" t="n">
        <x:v>0</x:v>
      </x:c>
      <x:c r="N6334" s="10" t="n">
        <x:v>0</x:v>
      </x:c>
      <x:c r="O6334" s="2" t="str">
        <x:v>Tp Hồ Chí Minh|other_unknown</x:v>
      </x:c>
      <x:c r="P6334" s="10" t="n">
        <x:v>2</x:v>
      </x:c>
      <x:c r="Q6334" s="13" t="n">
        <x:f>IF(H6334="","",H6334/1000000000)</x:f>
        <x:v>3.55</x:v>
      </x:c>
      <x:c r="R6334" s="13" t="n">
        <x:f>IF(I6334="","",I6334/1000000)</x:f>
        <x:v>126.78571428571428</x:v>
      </x:c>
    </x:row>
    <x:row r="6335" ht="21" customHeight="1">
      <x:c r="A6335" s="10" t="n">
        <x:v>8200</x:v>
      </x:c>
      <x:c r="B6335" s="2" t="str">
        <x:v>2ec5726e069700d7bea2</x:v>
      </x:c>
      <x:c r="C6335" s="2" t="str">
        <x:v>Bà Rịa - Vũng Tàu</x:v>
      </x:c>
      <x:c r="D6335" s="2" t="str">
        <x:v>Thị xã Phú Mỹ</x:v>
      </x:c>
      <x:c r="E6335" s="2" t="str">
        <x:v>house</x:v>
      </x:c>
      <x:c r="F6335" s="2" t="str">
        <x:v>sale</x:v>
      </x:c>
      <x:c r="G6335" s="11" t="n">
        <x:v>150</x:v>
      </x:c>
      <x:c r="H6335" s="12" t="n">
        <x:v>990000000</x:v>
      </x:c>
      <x:c r="I6335" s="12" t="n">
        <x:v>6600000</x:v>
      </x:c>
      <x:c r="J6335" s="2" t="str">
        <x:v>total</x:v>
      </x:c>
      <x:c r="K6335" s="2" t="str">
        <x:v>top_level_area</x:v>
      </x:c>
      <x:c r="L6335" s="2" t="str">
        <x:v>property_type_inferred_from_title</x:v>
      </x:c>
      <x:c r="M6335" s="10" t="n">
        <x:v>0</x:v>
      </x:c>
      <x:c r="N6335" s="10" t="n">
        <x:v>0</x:v>
      </x:c>
      <x:c r="O6335" s="2" t="str">
        <x:v>house</x:v>
      </x:c>
      <x:c r="P6335" s="10" t="n">
        <x:v>2</x:v>
      </x:c>
      <x:c r="Q6335" s="13" t="n">
        <x:f>IF(H6335="","",H6335/1000000000)</x:f>
        <x:v>0.99</x:v>
      </x:c>
      <x:c r="R6335" s="13" t="n">
        <x:f>IF(I6335="","",I6335/1000000)</x:f>
        <x:v>6.6</x:v>
      </x:c>
    </x:row>
    <x:row r="6336" ht="21" customHeight="1">
      <x:c r="A6336" s="10" t="n">
        <x:v>8201</x:v>
      </x:c>
      <x:c r="B6336" s="2" t="str">
        <x:v>bf331b31b0075c011fa9</x:v>
      </x:c>
      <x:c r="C6336" s="2" t="str">
        <x:v>Tp Hồ Chí Minh</x:v>
      </x:c>
      <x:c r="D6336" s="2" t="str">
        <x:v>Quận Gò Vấp</x:v>
      </x:c>
      <x:c r="E6336" s="2" t="str">
        <x:v>house</x:v>
      </x:c>
      <x:c r="F6336" s="2" t="str">
        <x:v>sale</x:v>
      </x:c>
      <x:c r="G6336" s="11" t="n">
        <x:v>50</x:v>
      </x:c>
      <x:c r="H6336" s="12" t="n">
        <x:v>4500000000</x:v>
      </x:c>
      <x:c r="I6336" s="12" t="n">
        <x:v>90000000</x:v>
      </x:c>
      <x:c r="J6336" s="2" t="str">
        <x:v>total</x:v>
      </x:c>
      <x:c r="K6336" s="2" t="str">
        <x:v>top_level_area</x:v>
      </x:c>
      <x:c r="L6336" s="2" t="str">
        <x:v>property_type_inferred_from_title</x:v>
      </x:c>
      <x:c r="M6336" s="10" t="n">
        <x:v>0</x:v>
      </x:c>
      <x:c r="N6336" s="10" t="n">
        <x:v>0</x:v>
      </x:c>
      <x:c r="O6336" s="2" t="str">
        <x:v>Tp Hồ Chí Minh|house</x:v>
      </x:c>
      <x:c r="P6336" s="10" t="n">
        <x:v>2</x:v>
      </x:c>
      <x:c r="Q6336" s="13" t="n">
        <x:f>IF(H6336="","",H6336/1000000000)</x:f>
        <x:v>4.5</x:v>
      </x:c>
      <x:c r="R6336" s="13" t="n">
        <x:f>IF(I6336="","",I6336/1000000)</x:f>
        <x:v>90</x:v>
      </x:c>
    </x:row>
    <x:row r="6337" ht="21" customHeight="1">
      <x:c r="A6337" s="10" t="n">
        <x:v>8202</x:v>
      </x:c>
      <x:c r="B6337" s="2" t="str">
        <x:v>5e3bde5a1931ede14e26</x:v>
      </x:c>
      <x:c r="C6337" s="2" t="str">
        <x:v>Tp Hồ Chí Minh</x:v>
      </x:c>
      <x:c r="D6337" s="2" t="str">
        <x:v>Quận 7</x:v>
      </x:c>
      <x:c r="E6337" s="2" t="str">
        <x:v>apartment</x:v>
      </x:c>
      <x:c r="F6337" s="2" t="str">
        <x:v>sale_assumed</x:v>
      </x:c>
      <x:c r="G6337" s="11" t="n">
        <x:v>64</x:v>
      </x:c>
      <x:c r="H6337" s="12" t="n">
        <x:v>2350000000</x:v>
      </x:c>
      <x:c r="I6337" s="12" t="n">
        <x:v>36718750</x:v>
      </x:c>
      <x:c r="J6337" s="2" t="str">
        <x:v>total</x:v>
      </x:c>
      <x:c r="K6337" s="2" t="str">
        <x:v>top_level_area</x:v>
      </x:c>
      <x:c r="L6337" s="2" t="str">
        <x:v>property_type_inferred_from_title;transaction_assumed_sale_from_dataset_context</x:v>
      </x:c>
      <x:c r="M6337" s="10" t="n">
        <x:v>0</x:v>
      </x:c>
      <x:c r="N6337" s="10" t="n">
        <x:v>0</x:v>
      </x:c>
      <x:c r="O6337" s="2" t="str">
        <x:v>Tp Hồ Chí Minh|apartment</x:v>
      </x:c>
      <x:c r="P6337" s="10" t="n">
        <x:v>2</x:v>
      </x:c>
      <x:c r="Q6337" s="13" t="n">
        <x:f>IF(H6337="","",H6337/1000000000)</x:f>
        <x:v>2.35</x:v>
      </x:c>
      <x:c r="R6337" s="13" t="n">
        <x:f>IF(I6337="","",I6337/1000000)</x:f>
        <x:v>36.71875</x:v>
      </x:c>
    </x:row>
    <x:row r="6338" ht="21" customHeight="1">
      <x:c r="A6338" s="10" t="n">
        <x:v>8203</x:v>
      </x:c>
      <x:c r="B6338" s="2" t="str">
        <x:v>2d2e5dec0b849c6a6122</x:v>
      </x:c>
      <x:c r="C6338" s="2" t="str">
        <x:v>Đà Nẵng</x:v>
      </x:c>
      <x:c r="D6338" s="2" t="str">
        <x:v>Quận Liên Chiểu</x:v>
      </x:c>
      <x:c r="E6338" s="2" t="str">
        <x:v>other_unknown</x:v>
      </x:c>
      <x:c r="F6338" s="2" t="str">
        <x:v>sale</x:v>
      </x:c>
      <x:c r="G6338" s="11" t="n">
        <x:v>64</x:v>
      </x:c>
      <x:c r="H6338" s="12" t="n">
        <x:v>1340000000</x:v>
      </x:c>
      <x:c r="I6338" s="12" t="n">
        <x:v>20937500</x:v>
      </x:c>
      <x:c r="J6338" s="2" t="str">
        <x:v>total</x:v>
      </x:c>
      <x:c r="K6338" s="2" t="str">
        <x:v>top_level_area</x:v>
      </x:c>
      <x:c r="L6338" s="2" t="str">
        <x:v>property_type_inferred_from_title;unknown_property_type</x:v>
      </x:c>
      <x:c r="M6338" s="10" t="n">
        <x:v>0</x:v>
      </x:c>
      <x:c r="N6338" s="10" t="n">
        <x:v>0</x:v>
      </x:c>
      <x:c r="O6338" s="2" t="str">
        <x:v>Đà Nẵng|other_unknown</x:v>
      </x:c>
      <x:c r="P6338" s="10" t="n">
        <x:v>2</x:v>
      </x:c>
      <x:c r="Q6338" s="13" t="n">
        <x:f>IF(H6338="","",H6338/1000000000)</x:f>
        <x:v>1.34</x:v>
      </x:c>
      <x:c r="R6338" s="13" t="n">
        <x:f>IF(I6338="","",I6338/1000000)</x:f>
        <x:v>20.9375</x:v>
      </x:c>
    </x:row>
    <x:row r="6339" ht="21" customHeight="1">
      <x:c r="A6339" s="10" t="n">
        <x:v>8204</x:v>
      </x:c>
      <x:c r="B6339" s="2" t="str">
        <x:v>2ed477d88a0c3d4d4639</x:v>
      </x:c>
      <x:c r="C6339" s="2" t="str">
        <x:v>Tp Hồ Chí Minh</x:v>
      </x:c>
      <x:c r="D6339" s="2" t="str">
        <x:v>Quận Tân Phú</x:v>
      </x:c>
      <x:c r="E6339" s="2" t="str">
        <x:v>other_unknown</x:v>
      </x:c>
      <x:c r="F6339" s="2" t="str">
        <x:v>sale_assumed</x:v>
      </x:c>
      <x:c r="G6339" s="11" t="n">
        <x:v>40</x:v>
      </x:c>
      <x:c r="H6339" s="12" t="n">
        <x:v>4700000000</x:v>
      </x:c>
      <x:c r="I6339" s="12" t="n">
        <x:v>117500000</x:v>
      </x:c>
      <x:c r="J6339" s="2" t="str">
        <x:v>total</x:v>
      </x:c>
      <x:c r="K6339" s="2" t="str">
        <x:v>top_level_area</x:v>
      </x:c>
      <x:c r="L6339" s="2" t="str">
        <x:v>property_type_inferred_from_title;transaction_assumed_sale_from_dataset_context;unknown_property_type</x:v>
      </x:c>
      <x:c r="M6339" s="10" t="n">
        <x:v>0</x:v>
      </x:c>
      <x:c r="N6339" s="10" t="n">
        <x:v>0</x:v>
      </x:c>
      <x:c r="O6339" s="2" t="str">
        <x:v>Tp Hồ Chí Minh|other_unknown</x:v>
      </x:c>
      <x:c r="P6339" s="10" t="n">
        <x:v>2</x:v>
      </x:c>
      <x:c r="Q6339" s="13" t="n">
        <x:f>IF(H6339="","",H6339/1000000000)</x:f>
        <x:v>4.7</x:v>
      </x:c>
      <x:c r="R6339" s="13" t="n">
        <x:f>IF(I6339="","",I6339/1000000)</x:f>
        <x:v>117.5</x:v>
      </x:c>
    </x:row>
    <x:row r="6340" ht="21" customHeight="1">
      <x:c r="A6340" s="10" t="n">
        <x:v>8205</x:v>
      </x:c>
      <x:c r="B6340" s="2" t="str">
        <x:v>949205c7f8deb7b0328b</x:v>
      </x:c>
      <x:c r="C6340" s="2" t="str">
        <x:v>Tiền Giang</x:v>
      </x:c>
      <x:c r="D6340" s="2" t="str">
        <x:v>Huyện Châu Thành</x:v>
      </x:c>
      <x:c r="E6340" s="2" t="str">
        <x:v>land</x:v>
      </x:c>
      <x:c r="F6340" s="2" t="str">
        <x:v>sale_assumed</x:v>
      </x:c>
      <x:c r="G6340" s="11" t="n">
        <x:v>695</x:v>
      </x:c>
      <x:c r="H6340" s="12" t="n">
        <x:v>520000000</x:v>
      </x:c>
      <x:c r="I6340" s="12" t="n">
        <x:v>748201.4388489209</x:v>
      </x:c>
      <x:c r="J6340" s="2" t="str">
        <x:v>total</x:v>
      </x:c>
      <x:c r="K6340" s="2" t="str">
        <x:v>top_level_area</x:v>
      </x:c>
      <x:c r="L6340" s="2" t="str">
        <x:v>property_type_inferred_from_title;transaction_assumed_sale_from_dataset_context</x:v>
      </x:c>
      <x:c r="M6340" s="10" t="n">
        <x:v>0</x:v>
      </x:c>
      <x:c r="N6340" s="10" t="n">
        <x:v>0</x:v>
      </x:c>
      <x:c r="O6340" s="2" t="str">
        <x:v>land</x:v>
      </x:c>
      <x:c r="P6340" s="10" t="n">
        <x:v>1</x:v>
      </x:c>
      <x:c r="Q6340" s="13" t="n">
        <x:f>IF(H6340="","",H6340/1000000000)</x:f>
        <x:v>0.52</x:v>
      </x:c>
      <x:c r="R6340" s="13" t="n">
        <x:f>IF(I6340="","",I6340/1000000)</x:f>
        <x:v>0.7482014388489209</x:v>
      </x:c>
    </x:row>
    <x:row r="6341" ht="21" customHeight="1">
      <x:c r="A6341" s="10" t="n">
        <x:v>8206</x:v>
      </x:c>
      <x:c r="B6341" s="2" t="str">
        <x:v>0a60f88de79222e70538</x:v>
      </x:c>
      <x:c r="C6341" s="2" t="str">
        <x:v>Tp Hồ Chí Minh</x:v>
      </x:c>
      <x:c r="D6341" s="2" t="str">
        <x:v>Huyện Bình Chánh</x:v>
      </x:c>
      <x:c r="E6341" s="2" t="str">
        <x:v>house</x:v>
      </x:c>
      <x:c r="F6341" s="2" t="str">
        <x:v>sale_assumed</x:v>
      </x:c>
      <x:c r="G6341" s="11" t="n">
        <x:v>40</x:v>
      </x:c>
      <x:c r="H6341" s="12" t="n">
        <x:v>1900000000</x:v>
      </x:c>
      <x:c r="I6341" s="12" t="n">
        <x:v>47500000</x:v>
      </x:c>
      <x:c r="J6341" s="2" t="str">
        <x:v>total</x:v>
      </x:c>
      <x:c r="K6341" s="2" t="str">
        <x:v>top_level_area</x:v>
      </x:c>
      <x:c r="L6341" s="2" t="str">
        <x:v>property_type_inferred_from_title;transaction_assumed_sale_from_dataset_context</x:v>
      </x:c>
      <x:c r="M6341" s="10" t="n">
        <x:v>0</x:v>
      </x:c>
      <x:c r="N6341" s="10" t="n">
        <x:v>0</x:v>
      </x:c>
      <x:c r="O6341" s="2" t="str">
        <x:v>Tp Hồ Chí Minh|house</x:v>
      </x:c>
      <x:c r="P6341" s="10" t="n">
        <x:v>2</x:v>
      </x:c>
      <x:c r="Q6341" s="13" t="n">
        <x:f>IF(H6341="","",H6341/1000000000)</x:f>
        <x:v>1.9</x:v>
      </x:c>
      <x:c r="R6341" s="13" t="n">
        <x:f>IF(I6341="","",I6341/1000000)</x:f>
        <x:v>47.5</x:v>
      </x:c>
    </x:row>
    <x:row r="6342" ht="21" customHeight="1">
      <x:c r="A6342" s="10" t="n">
        <x:v>8207</x:v>
      </x:c>
      <x:c r="B6342" s="2" t="str">
        <x:v>15626578d010f20c8907</x:v>
      </x:c>
      <x:c r="C6342" s="2" t="str">
        <x:v>Tp Hồ Chí Minh</x:v>
      </x:c>
      <x:c r="D6342" s="2" t="str">
        <x:v>Quận Tân Phú</x:v>
      </x:c>
      <x:c r="E6342" s="2" t="str">
        <x:v>house</x:v>
      </x:c>
      <x:c r="F6342" s="2" t="str">
        <x:v>sale</x:v>
      </x:c>
      <x:c r="G6342" s="11" t="n">
        <x:v>76</x:v>
      </x:c>
      <x:c r="H6342" s="12" t="n">
        <x:v>7300000000</x:v>
      </x:c>
      <x:c r="I6342" s="12" t="n">
        <x:v>96052631.57894737</x:v>
      </x:c>
      <x:c r="J6342" s="2" t="str">
        <x:v>total</x:v>
      </x:c>
      <x:c r="K6342" s="2" t="str">
        <x:v>top_level_area</x:v>
      </x:c>
      <x:c r="L6342" s="2" t="str">
        <x:v>property_type_inferred_from_title</x:v>
      </x:c>
      <x:c r="M6342" s="10" t="n">
        <x:v>0</x:v>
      </x:c>
      <x:c r="N6342" s="10" t="n">
        <x:v>0</x:v>
      </x:c>
      <x:c r="O6342" s="2" t="str">
        <x:v>Tp Hồ Chí Minh|house</x:v>
      </x:c>
      <x:c r="P6342" s="10" t="n">
        <x:v>2</x:v>
      </x:c>
      <x:c r="Q6342" s="13" t="n">
        <x:f>IF(H6342="","",H6342/1000000000)</x:f>
        <x:v>7.3</x:v>
      </x:c>
      <x:c r="R6342" s="13" t="n">
        <x:f>IF(I6342="","",I6342/1000000)</x:f>
        <x:v>96.05263157894737</x:v>
      </x:c>
    </x:row>
    <x:row r="6343" ht="21" customHeight="1">
      <x:c r="A6343" s="10" t="n">
        <x:v>8208</x:v>
      </x:c>
      <x:c r="B6343" s="2" t="str">
        <x:v>5ecac317b47dba29b0f3</x:v>
      </x:c>
      <x:c r="C6343" s="2" t="str">
        <x:v>Bà Rịa - Vũng Tàu</x:v>
      </x:c>
      <x:c r="D6343" s="2" t="str">
        <x:v>Thị xã Phú Mỹ</x:v>
      </x:c>
      <x:c r="E6343" s="2" t="str">
        <x:v>land</x:v>
      </x:c>
      <x:c r="F6343" s="2" t="str">
        <x:v>sale</x:v>
      </x:c>
      <x:c r="G6343" s="11" t="n">
        <x:v>138</x:v>
      </x:c>
      <x:c r="H6343" s="12" t="n">
        <x:v>560000000</x:v>
      </x:c>
      <x:c r="I6343" s="12" t="n">
        <x:v>4057971.0144927534</x:v>
      </x:c>
      <x:c r="J6343" s="2" t="str">
        <x:v>total</x:v>
      </x:c>
      <x:c r="K6343" s="2" t="str">
        <x:v>top_level_area</x:v>
      </x:c>
      <x:c r="L6343" s="2" t="str">
        <x:v>property_type_inferred_from_title</x:v>
      </x:c>
      <x:c r="M6343" s="10" t="n">
        <x:v>0</x:v>
      </x:c>
      <x:c r="N6343" s="10" t="n">
        <x:v>0</x:v>
      </x:c>
      <x:c r="O6343" s="2" t="str">
        <x:v>Bà Rịa - Vũng Tàu|land</x:v>
      </x:c>
      <x:c r="P6343" s="10" t="n">
        <x:v>1</x:v>
      </x:c>
      <x:c r="Q6343" s="13" t="n">
        <x:f>IF(H6343="","",H6343/1000000000)</x:f>
        <x:v>0.56</x:v>
      </x:c>
      <x:c r="R6343" s="13" t="n">
        <x:f>IF(I6343="","",I6343/1000000)</x:f>
        <x:v>4.057971014492753</x:v>
      </x:c>
    </x:row>
    <x:row r="6344" ht="21" customHeight="1">
      <x:c r="A6344" s="10" t="n">
        <x:v>8209</x:v>
      </x:c>
      <x:c r="B6344" s="2" t="str">
        <x:v>de6f1bcbe01982932bc7</x:v>
      </x:c>
      <x:c r="C6344" s="2" t="str">
        <x:v>Tp Hồ Chí Minh</x:v>
      </x:c>
      <x:c r="D6344" s="2" t="str">
        <x:v>Quận 7</x:v>
      </x:c>
      <x:c r="E6344" s="2" t="str">
        <x:v>other_unknown</x:v>
      </x:c>
      <x:c r="F6344" s="2" t="str">
        <x:v>sale</x:v>
      </x:c>
      <x:c r="G6344" s="11" t="n">
        <x:v>33</x:v>
      </x:c>
      <x:c r="H6344" s="12" t="n">
        <x:v>1500000000</x:v>
      </x:c>
      <x:c r="I6344" s="12" t="n">
        <x:v>45454545.45454545</x:v>
      </x:c>
      <x:c r="J6344" s="2" t="str">
        <x:v>total</x:v>
      </x:c>
      <x:c r="K6344" s="2" t="str">
        <x:v>top_level_area</x:v>
      </x:c>
      <x:c r="L6344" s="2" t="str">
        <x:v>property_type_inferred_from_title;unknown_property_type</x:v>
      </x:c>
      <x:c r="M6344" s="10" t="n">
        <x:v>0</x:v>
      </x:c>
      <x:c r="N6344" s="10" t="n">
        <x:v>0</x:v>
      </x:c>
      <x:c r="O6344" s="2" t="str">
        <x:v>Tp Hồ Chí Minh|other_unknown</x:v>
      </x:c>
      <x:c r="P6344" s="10" t="n">
        <x:v>2</x:v>
      </x:c>
      <x:c r="Q6344" s="13" t="n">
        <x:f>IF(H6344="","",H6344/1000000000)</x:f>
        <x:v>1.5</x:v>
      </x:c>
      <x:c r="R6344" s="13" t="n">
        <x:f>IF(I6344="","",I6344/1000000)</x:f>
        <x:v>45.45454545454545</x:v>
      </x:c>
    </x:row>
    <x:row r="6345" ht="21" customHeight="1">
      <x:c r="A6345" s="10" t="n">
        <x:v>8210</x:v>
      </x:c>
      <x:c r="B6345" s="2" t="str">
        <x:v>59a65642ba7576f2ca32</x:v>
      </x:c>
      <x:c r="C6345" s="2" t="str">
        <x:v>Tp Hồ Chí Minh</x:v>
      </x:c>
      <x:c r="D6345" s="2" t="str">
        <x:v>Huyện Bình Chánh</x:v>
      </x:c>
      <x:c r="E6345" s="2" t="str">
        <x:v>house</x:v>
      </x:c>
      <x:c r="F6345" s="2" t="str">
        <x:v>sale_assumed</x:v>
      </x:c>
      <x:c r="G6345" s="11" t="n">
        <x:v>21</x:v>
      </x:c>
      <x:c r="H6345" s="12" t="n">
        <x:v>520000000</x:v>
      </x:c>
      <x:c r="I6345" s="12" t="n">
        <x:v>24761904.76190476</x:v>
      </x:c>
      <x:c r="J6345" s="2" t="str">
        <x:v>total</x:v>
      </x:c>
      <x:c r="K6345" s="2" t="str">
        <x:v>top_level_area</x:v>
      </x:c>
      <x:c r="L6345" s="2" t="str">
        <x:v>property_type_inferred_from_title;transaction_assumed_sale_from_dataset_context</x:v>
      </x:c>
      <x:c r="M6345" s="10" t="n">
        <x:v>0</x:v>
      </x:c>
      <x:c r="N6345" s="10" t="n">
        <x:v>0</x:v>
      </x:c>
      <x:c r="O6345" s="2" t="str">
        <x:v>Tp Hồ Chí Minh|house</x:v>
      </x:c>
      <x:c r="P6345" s="10" t="n">
        <x:v>2</x:v>
      </x:c>
      <x:c r="Q6345" s="13" t="n">
        <x:f>IF(H6345="","",H6345/1000000000)</x:f>
        <x:v>0.52</x:v>
      </x:c>
      <x:c r="R6345" s="13" t="n">
        <x:f>IF(I6345="","",I6345/1000000)</x:f>
        <x:v>24.761904761904763</x:v>
      </x:c>
    </x:row>
    <x:row r="6346" ht="21" customHeight="1">
      <x:c r="A6346" s="10" t="n">
        <x:v>8211</x:v>
      </x:c>
      <x:c r="B6346" s="2" t="str">
        <x:v>b6fb094e35e7fc6e71ab</x:v>
      </x:c>
      <x:c r="C6346" s="2" t="str">
        <x:v>Long An</x:v>
      </x:c>
      <x:c r="D6346" s="2" t="str">
        <x:v>Huyện Đức Hòa</x:v>
      </x:c>
      <x:c r="E6346" s="2" t="str">
        <x:v>house</x:v>
      </x:c>
      <x:c r="F6346" s="2" t="str">
        <x:v>sale_assumed</x:v>
      </x:c>
      <x:c r="G6346" s="11" t="n">
        <x:v>32</x:v>
      </x:c>
      <x:c r="H6346" s="12" t="n">
        <x:v>175000000</x:v>
      </x:c>
      <x:c r="I6346" s="12" t="n">
        <x:v>5468750</x:v>
      </x:c>
      <x:c r="J6346" s="2" t="str">
        <x:v>total</x:v>
      </x:c>
      <x:c r="K6346" s="2" t="str">
        <x:v>top_level_area</x:v>
      </x:c>
      <x:c r="L6346" s="2" t="str">
        <x:v>property_type_inferred_from_title;transaction_assumed_sale_from_dataset_context</x:v>
      </x:c>
      <x:c r="M6346" s="10" t="n">
        <x:v>0</x:v>
      </x:c>
      <x:c r="N6346" s="10" t="n">
        <x:v>0</x:v>
      </x:c>
      <x:c r="O6346" s="2" t="str">
        <x:v>Long An|house</x:v>
      </x:c>
      <x:c r="P6346" s="10" t="n">
        <x:v>2</x:v>
      </x:c>
      <x:c r="Q6346" s="13" t="n">
        <x:f>IF(H6346="","",H6346/1000000000)</x:f>
        <x:v>0.175</x:v>
      </x:c>
      <x:c r="R6346" s="13" t="n">
        <x:f>IF(I6346="","",I6346/1000000)</x:f>
        <x:v>5.46875</x:v>
      </x:c>
    </x:row>
    <x:row r="6347" ht="21" customHeight="1">
      <x:c r="A6347" s="10" t="n">
        <x:v>8212</x:v>
      </x:c>
      <x:c r="B6347" s="2" t="str">
        <x:v>bd2a28096988804a18bb</x:v>
      </x:c>
      <x:c r="C6347" s="2" t="str">
        <x:v>Đà Nẵng</x:v>
      </x:c>
      <x:c r="D6347" s="2" t="str">
        <x:v>Quận Ngũ Hành Sơn</x:v>
      </x:c>
      <x:c r="E6347" s="2" t="str">
        <x:v>land</x:v>
      </x:c>
      <x:c r="F6347" s="2" t="str">
        <x:v>sale_assumed</x:v>
      </x:c>
      <x:c r="G6347" s="11" t="n">
        <x:v>116</x:v>
      </x:c>
      <x:c r="H6347" s="12" t="n">
        <x:v>1750000000</x:v>
      </x:c>
      <x:c r="I6347" s="12" t="n">
        <x:v>15086206.896551725</x:v>
      </x:c>
      <x:c r="J6347" s="2" t="str">
        <x:v>total</x:v>
      </x:c>
      <x:c r="K6347" s="2" t="str">
        <x:v>top_level_area</x:v>
      </x:c>
      <x:c r="L6347" s="2" t="str">
        <x:v>property_type_inferred_from_title;transaction_assumed_sale_from_dataset_context</x:v>
      </x:c>
      <x:c r="M6347" s="10" t="n">
        <x:v>0</x:v>
      </x:c>
      <x:c r="N6347" s="10" t="n">
        <x:v>0</x:v>
      </x:c>
      <x:c r="O6347" s="2" t="str">
        <x:v>Đà Nẵng|land</x:v>
      </x:c>
      <x:c r="P6347" s="10" t="n">
        <x:v>2</x:v>
      </x:c>
      <x:c r="Q6347" s="13" t="n">
        <x:f>IF(H6347="","",H6347/1000000000)</x:f>
        <x:v>1.75</x:v>
      </x:c>
      <x:c r="R6347" s="13" t="n">
        <x:f>IF(I6347="","",I6347/1000000)</x:f>
        <x:v>15.086206896551724</x:v>
      </x:c>
    </x:row>
    <x:row r="6348" ht="21" customHeight="1">
      <x:c r="A6348" s="10" t="n">
        <x:v>8213</x:v>
      </x:c>
      <x:c r="B6348" s="2" t="str">
        <x:v>a176c0c108b53901ddfc</x:v>
      </x:c>
      <x:c r="C6348" s="2" t="str">
        <x:v>Tp Hồ Chí Minh</x:v>
      </x:c>
      <x:c r="D6348" s="2" t="str">
        <x:v>Quận Tân Phú</x:v>
      </x:c>
      <x:c r="E6348" s="2" t="str">
        <x:v>other_unknown</x:v>
      </x:c>
      <x:c r="F6348" s="2" t="str">
        <x:v>sale_assumed</x:v>
      </x:c>
      <x:c r="G6348" s="11" t="n">
        <x:v>40</x:v>
      </x:c>
      <x:c r="H6348" s="12" t="n">
        <x:v>5000000000</x:v>
      </x:c>
      <x:c r="I6348" s="12" t="n">
        <x:v>125000000</x:v>
      </x:c>
      <x:c r="J6348" s="2" t="str">
        <x:v>total</x:v>
      </x:c>
      <x:c r="K6348" s="2" t="str">
        <x:v>top_level_area</x:v>
      </x:c>
      <x:c r="L6348" s="2" t="str">
        <x:v>property_type_inferred_from_title;transaction_assumed_sale_from_dataset_context;unknown_property_type</x:v>
      </x:c>
      <x:c r="M6348" s="10" t="n">
        <x:v>0</x:v>
      </x:c>
      <x:c r="N6348" s="10" t="n">
        <x:v>0</x:v>
      </x:c>
      <x:c r="O6348" s="2" t="str">
        <x:v>Tp Hồ Chí Minh|other_unknown</x:v>
      </x:c>
      <x:c r="P6348" s="10" t="n">
        <x:v>2</x:v>
      </x:c>
      <x:c r="Q6348" s="13" t="n">
        <x:f>IF(H6348="","",H6348/1000000000)</x:f>
        <x:v>5</x:v>
      </x:c>
      <x:c r="R6348" s="13" t="n">
        <x:f>IF(I6348="","",I6348/1000000)</x:f>
        <x:v>125</x:v>
      </x:c>
    </x:row>
    <x:row r="6349" ht="21" customHeight="1">
      <x:c r="A6349" s="10" t="n">
        <x:v>8214</x:v>
      </x:c>
      <x:c r="B6349" s="2" t="str">
        <x:v>9d0b6004093e3dc7bfc5</x:v>
      </x:c>
      <x:c r="C6349" s="2" t="str">
        <x:v>Đắk Lắk</x:v>
      </x:c>
      <x:c r="D6349" s="2" t="str">
        <x:v>Thành phố Buôn Ma Thuột</x:v>
      </x:c>
      <x:c r="E6349" s="2" t="str">
        <x:v>land</x:v>
      </x:c>
      <x:c r="F6349" s="2" t="str">
        <x:v>sale</x:v>
      </x:c>
      <x:c r="G6349" s="11" t="n">
        <x:v>135</x:v>
      </x:c>
      <x:c r="H6349" s="12" t="n">
        <x:v>520000000</x:v>
      </x:c>
      <x:c r="I6349" s="12" t="n">
        <x:v>3851851.8518518517</x:v>
      </x:c>
      <x:c r="J6349" s="2" t="str">
        <x:v>total</x:v>
      </x:c>
      <x:c r="K6349" s="2" t="str">
        <x:v>top_level_area</x:v>
      </x:c>
      <x:c r="L6349" s="2" t="str">
        <x:v>property_type_inferred_from_title</x:v>
      </x:c>
      <x:c r="M6349" s="10" t="n">
        <x:v>0</x:v>
      </x:c>
      <x:c r="N6349" s="10" t="n">
        <x:v>0</x:v>
      </x:c>
      <x:c r="O6349" s="2" t="str">
        <x:v>Đắk Lắk|land</x:v>
      </x:c>
      <x:c r="P6349" s="10" t="n">
        <x:v>1</x:v>
      </x:c>
      <x:c r="Q6349" s="13" t="n">
        <x:f>IF(H6349="","",H6349/1000000000)</x:f>
        <x:v>0.52</x:v>
      </x:c>
      <x:c r="R6349" s="13" t="n">
        <x:f>IF(I6349="","",I6349/1000000)</x:f>
        <x:v>3.8518518518518516</x:v>
      </x:c>
    </x:row>
    <x:row r="6350" ht="21" customHeight="1">
      <x:c r="A6350" s="10" t="n">
        <x:v>8215</x:v>
      </x:c>
      <x:c r="B6350" s="2" t="str">
        <x:v>9c90f5f287f5fb5fb0eb</x:v>
      </x:c>
      <x:c r="C6350" s="2" t="str">
        <x:v>Tp Hồ Chí Minh</x:v>
      </x:c>
      <x:c r="D6350" s="2" t="str">
        <x:v>Quận 8</x:v>
      </x:c>
      <x:c r="E6350" s="2" t="str">
        <x:v>apartment</x:v>
      </x:c>
      <x:c r="F6350" s="2" t="str">
        <x:v>sale</x:v>
      </x:c>
      <x:c r="G6350" s="11" t="n">
        <x:v>92</x:v>
      </x:c>
      <x:c r="H6350" s="12" t="n">
        <x:v>4099999999.9999995</x:v>
      </x:c>
      <x:c r="I6350" s="12" t="n">
        <x:v>44565217.391304344</x:v>
      </x:c>
      <x:c r="J6350" s="2" t="str">
        <x:v>total</x:v>
      </x:c>
      <x:c r="K6350" s="2" t="str">
        <x:v>top_level_area</x:v>
      </x:c>
      <x:c r="L6350" s="2" t="str">
        <x:v>property_type_inferred_from_title</x:v>
      </x:c>
      <x:c r="M6350" s="10" t="n">
        <x:v>0</x:v>
      </x:c>
      <x:c r="N6350" s="10" t="n">
        <x:v>0</x:v>
      </x:c>
      <x:c r="O6350" s="2" t="str">
        <x:v>Tp Hồ Chí Minh|apartment</x:v>
      </x:c>
      <x:c r="P6350" s="10" t="n">
        <x:v>2</x:v>
      </x:c>
      <x:c r="Q6350" s="13" t="n">
        <x:f>IF(H6350="","",H6350/1000000000)</x:f>
        <x:v>4.1</x:v>
      </x:c>
      <x:c r="R6350" s="13" t="n">
        <x:f>IF(I6350="","",I6350/1000000)</x:f>
        <x:v>44.565217391304344</x:v>
      </x:c>
    </x:row>
    <x:row r="6351" ht="21" customHeight="1">
      <x:c r="A6351" s="10" t="n">
        <x:v>8217</x:v>
      </x:c>
      <x:c r="B6351" s="2" t="str">
        <x:v>7d62aad72a0a9014e422</x:v>
      </x:c>
      <x:c r="C6351" s="2" t="str">
        <x:v>Tp Hồ Chí Minh</x:v>
      </x:c>
      <x:c r="D6351" s="2" t="str">
        <x:v>Quận Tân Phú</x:v>
      </x:c>
      <x:c r="E6351" s="2" t="str">
        <x:v>other_unknown</x:v>
      </x:c>
      <x:c r="F6351" s="2" t="str">
        <x:v>sale</x:v>
      </x:c>
      <x:c r="G6351" s="11" t="n">
        <x:v>63</x:v>
      </x:c>
      <x:c r="H6351" s="12" t="n">
        <x:v>2150000000</x:v>
      </x:c>
      <x:c r="I6351" s="12" t="n">
        <x:v>34126984.12698413</x:v>
      </x:c>
      <x:c r="J6351" s="2" t="str">
        <x:v>total</x:v>
      </x:c>
      <x:c r="K6351" s="2" t="str">
        <x:v>top_level_area</x:v>
      </x:c>
      <x:c r="L6351" s="2" t="str">
        <x:v>property_type_inferred_from_title;unknown_property_type</x:v>
      </x:c>
      <x:c r="M6351" s="10" t="n">
        <x:v>0</x:v>
      </x:c>
      <x:c r="N6351" s="10" t="n">
        <x:v>0</x:v>
      </x:c>
      <x:c r="O6351" s="2" t="str">
        <x:v>Tp Hồ Chí Minh|other_unknown</x:v>
      </x:c>
      <x:c r="P6351" s="10" t="n">
        <x:v>2</x:v>
      </x:c>
      <x:c r="Q6351" s="13" t="n">
        <x:f>IF(H6351="","",H6351/1000000000)</x:f>
        <x:v>2.15</x:v>
      </x:c>
      <x:c r="R6351" s="13" t="n">
        <x:f>IF(I6351="","",I6351/1000000)</x:f>
        <x:v>34.12698412698413</x:v>
      </x:c>
    </x:row>
    <x:row r="6352" ht="21" customHeight="1">
      <x:c r="A6352" s="10" t="n">
        <x:v>8218</x:v>
      </x:c>
      <x:c r="B6352" s="2" t="str">
        <x:v>ac135ae515bf103454e7</x:v>
      </x:c>
      <x:c r="C6352" s="2" t="str">
        <x:v>Đà Nẵng</x:v>
      </x:c>
      <x:c r="D6352" s="2" t="str">
        <x:v>Quận Ngũ Hành Sơn</x:v>
      </x:c>
      <x:c r="E6352" s="2" t="str">
        <x:v>other_unknown</x:v>
      </x:c>
      <x:c r="F6352" s="2" t="str">
        <x:v>sale_assumed</x:v>
      </x:c>
      <x:c r="G6352" s="11" t="n">
        <x:v>95</x:v>
      </x:c>
      <x:c r="H6352" s="12" t="n">
        <x:v>1350000000</x:v>
      </x:c>
      <x:c r="I6352" s="12" t="n">
        <x:v>14210526.315789474</x:v>
      </x:c>
      <x:c r="J6352" s="2" t="str">
        <x:v>total</x:v>
      </x:c>
      <x:c r="K6352" s="2" t="str">
        <x:v>top_level_area</x:v>
      </x:c>
      <x:c r="L6352" s="2" t="str">
        <x:v>property_type_inferred_from_title;transaction_assumed_sale_from_dataset_context;unknown_property_type</x:v>
      </x:c>
      <x:c r="M6352" s="10" t="n">
        <x:v>0</x:v>
      </x:c>
      <x:c r="N6352" s="10" t="n">
        <x:v>0</x:v>
      </x:c>
      <x:c r="O6352" s="2" t="str">
        <x:v>Đà Nẵng|other_unknown</x:v>
      </x:c>
      <x:c r="P6352" s="10" t="n">
        <x:v>2</x:v>
      </x:c>
      <x:c r="Q6352" s="13" t="n">
        <x:f>IF(H6352="","",H6352/1000000000)</x:f>
        <x:v>1.35</x:v>
      </x:c>
      <x:c r="R6352" s="13" t="n">
        <x:f>IF(I6352="","",I6352/1000000)</x:f>
        <x:v>14.210526315789474</x:v>
      </x:c>
    </x:row>
    <x:row r="6353" ht="21" customHeight="1">
      <x:c r="A6353" s="10" t="n">
        <x:v>8219</x:v>
      </x:c>
      <x:c r="B6353" s="2" t="str">
        <x:v>a95bb59718d0b0ffb022</x:v>
      </x:c>
      <x:c r="C6353" s="2" t="str">
        <x:v>Tp Hồ Chí Minh</x:v>
      </x:c>
      <x:c r="D6353" s="2" t="str">
        <x:v>Quận Tân Phú</x:v>
      </x:c>
      <x:c r="E6353" s="2" t="str">
        <x:v>apartment</x:v>
      </x:c>
      <x:c r="F6353" s="2" t="str">
        <x:v>sale</x:v>
      </x:c>
      <x:c r="G6353" s="11" t="n">
        <x:v>55</x:v>
      </x:c>
      <x:c r="H6353" s="12" t="n">
        <x:v>1950000000</x:v>
      </x:c>
      <x:c r="I6353" s="12" t="n">
        <x:v>35454545.45454545</x:v>
      </x:c>
      <x:c r="J6353" s="2" t="str">
        <x:v>total</x:v>
      </x:c>
      <x:c r="K6353" s="2" t="str">
        <x:v>top_level_area</x:v>
      </x:c>
      <x:c r="L6353" s="2" t="str">
        <x:v>property_type_inferred_from_title</x:v>
      </x:c>
      <x:c r="M6353" s="10" t="n">
        <x:v>0</x:v>
      </x:c>
      <x:c r="N6353" s="10" t="n">
        <x:v>0</x:v>
      </x:c>
      <x:c r="O6353" s="2" t="str">
        <x:v>Tp Hồ Chí Minh|apartment</x:v>
      </x:c>
      <x:c r="P6353" s="10" t="n">
        <x:v>2</x:v>
      </x:c>
      <x:c r="Q6353" s="13" t="n">
        <x:f>IF(H6353="","",H6353/1000000000)</x:f>
        <x:v>1.95</x:v>
      </x:c>
      <x:c r="R6353" s="13" t="n">
        <x:f>IF(I6353="","",I6353/1000000)</x:f>
        <x:v>35.45454545454545</x:v>
      </x:c>
    </x:row>
    <x:row r="6354" ht="21" customHeight="1">
      <x:c r="A6354" s="10" t="n">
        <x:v>8220</x:v>
      </x:c>
      <x:c r="B6354" s="2" t="str">
        <x:v>b28e12b33b767f21612f</x:v>
      </x:c>
      <x:c r="C6354" s="2" t="str">
        <x:v>Hà Nội</x:v>
      </x:c>
      <x:c r="D6354" s="2" t="str">
        <x:v>Quận Hà Đông</x:v>
      </x:c>
      <x:c r="E6354" s="2" t="str">
        <x:v>house</x:v>
      </x:c>
      <x:c r="F6354" s="2" t="str">
        <x:v>sale</x:v>
      </x:c>
      <x:c r="G6354" s="11" t="n">
        <x:v>56</x:v>
      </x:c>
      <x:c r="H6354" s="12" t="n">
        <x:v>6100000000</x:v>
      </x:c>
      <x:c r="I6354" s="12" t="n">
        <x:v>108928571.42857143</x:v>
      </x:c>
      <x:c r="J6354" s="2" t="str">
        <x:v>total</x:v>
      </x:c>
      <x:c r="K6354" s="2" t="str">
        <x:v>top_level_area</x:v>
      </x:c>
      <x:c r="L6354" s="2" t="str">
        <x:v>property_type_inferred_from_title</x:v>
      </x:c>
      <x:c r="M6354" s="10" t="n">
        <x:v>0</x:v>
      </x:c>
      <x:c r="N6354" s="10" t="n">
        <x:v>0</x:v>
      </x:c>
      <x:c r="O6354" s="2" t="str">
        <x:v>Hà Nội|house</x:v>
      </x:c>
      <x:c r="P6354" s="10" t="n">
        <x:v>2</x:v>
      </x:c>
      <x:c r="Q6354" s="13" t="n">
        <x:f>IF(H6354="","",H6354/1000000000)</x:f>
        <x:v>6.1</x:v>
      </x:c>
      <x:c r="R6354" s="13" t="n">
        <x:f>IF(I6354="","",I6354/1000000)</x:f>
        <x:v>108.92857142857143</x:v>
      </x:c>
    </x:row>
    <x:row r="6355" ht="21" customHeight="1">
      <x:c r="A6355" s="10" t="n">
        <x:v>8221</x:v>
      </x:c>
      <x:c r="B6355" s="2" t="str">
        <x:v>6d6c2b462082b3ad2528</x:v>
      </x:c>
      <x:c r="C6355" s="2" t="str">
        <x:v>Đà Nẵng</x:v>
      </x:c>
      <x:c r="D6355" s="2" t="str">
        <x:v>Quận Ngũ Hành Sơn</x:v>
      </x:c>
      <x:c r="E6355" s="2" t="str">
        <x:v>house</x:v>
      </x:c>
      <x:c r="F6355" s="2" t="str">
        <x:v>sale_assumed</x:v>
      </x:c>
      <x:c r="G6355" s="11" t="n">
        <x:v>350</x:v>
      </x:c>
      <x:c r="H6355" s="12" t="n">
        <x:v>22000000000</x:v>
      </x:c>
      <x:c r="I6355" s="12" t="n">
        <x:v>62857142.85714286</x:v>
      </x:c>
      <x:c r="J6355" s="2" t="str">
        <x:v>total</x:v>
      </x:c>
      <x:c r="K6355" s="2" t="str">
        <x:v>top_level_area</x:v>
      </x:c>
      <x:c r="L6355" s="2" t="str">
        <x:v>property_type_inferred_from_title;transaction_assumed_sale_from_dataset_context</x:v>
      </x:c>
      <x:c r="M6355" s="10" t="n">
        <x:v>0</x:v>
      </x:c>
      <x:c r="N6355" s="10" t="n">
        <x:v>0</x:v>
      </x:c>
      <x:c r="O6355" s="2" t="str">
        <x:v>Đà Nẵng|house</x:v>
      </x:c>
      <x:c r="P6355" s="10" t="n">
        <x:v>2</x:v>
      </x:c>
      <x:c r="Q6355" s="13" t="n">
        <x:f>IF(H6355="","",H6355/1000000000)</x:f>
        <x:v>22</x:v>
      </x:c>
      <x:c r="R6355" s="13" t="n">
        <x:f>IF(I6355="","",I6355/1000000)</x:f>
        <x:v>62.85714285714286</x:v>
      </x:c>
    </x:row>
    <x:row r="6356" ht="21" customHeight="1">
      <x:c r="A6356" s="10" t="n">
        <x:v>8222</x:v>
      </x:c>
      <x:c r="B6356" s="2" t="str">
        <x:v>54575848a141e4bd56c4</x:v>
      </x:c>
      <x:c r="C6356" s="2" t="str">
        <x:v>Tp Hồ Chí Minh</x:v>
      </x:c>
      <x:c r="D6356" s="2" t="str">
        <x:v>Quận Bình Tân</x:v>
      </x:c>
      <x:c r="E6356" s="2" t="str">
        <x:v>land</x:v>
      </x:c>
      <x:c r="F6356" s="2" t="str">
        <x:v>sale_assumed</x:v>
      </x:c>
      <x:c r="G6356" s="11" t="n">
        <x:v>100</x:v>
      </x:c>
      <x:c r="H6356" s="12" t="n">
        <x:v>3200000000</x:v>
      </x:c>
      <x:c r="I6356" s="12" t="n">
        <x:v>32000000</x:v>
      </x:c>
      <x:c r="J6356" s="2" t="str">
        <x:v>total</x:v>
      </x:c>
      <x:c r="K6356" s="2" t="str">
        <x:v>top_level_area</x:v>
      </x:c>
      <x:c r="L6356" s="2" t="str">
        <x:v>property_type_inferred_from_title;transaction_assumed_sale_from_dataset_context</x:v>
      </x:c>
      <x:c r="M6356" s="10" t="n">
        <x:v>0</x:v>
      </x:c>
      <x:c r="N6356" s="10" t="n">
        <x:v>0</x:v>
      </x:c>
      <x:c r="O6356" s="2" t="str">
        <x:v>Tp Hồ Chí Minh|land</x:v>
      </x:c>
      <x:c r="P6356" s="10" t="n">
        <x:v>2</x:v>
      </x:c>
      <x:c r="Q6356" s="13" t="n">
        <x:f>IF(H6356="","",H6356/1000000000)</x:f>
        <x:v>3.2</x:v>
      </x:c>
      <x:c r="R6356" s="13" t="n">
        <x:f>IF(I6356="","",I6356/1000000)</x:f>
        <x:v>32</x:v>
      </x:c>
    </x:row>
    <x:row r="6357" ht="21" customHeight="1">
      <x:c r="A6357" s="10" t="n">
        <x:v>8223</x:v>
      </x:c>
      <x:c r="B6357" s="2" t="str">
        <x:v>0cfb8d984028d89acd3f</x:v>
      </x:c>
      <x:c r="C6357" s="2" t="str">
        <x:v>Tp Hồ Chí Minh</x:v>
      </x:c>
      <x:c r="D6357" s="2" t="str">
        <x:v>Quận Tân Phú</x:v>
      </x:c>
      <x:c r="E6357" s="2" t="str">
        <x:v>house</x:v>
      </x:c>
      <x:c r="F6357" s="2" t="str">
        <x:v>sale</x:v>
      </x:c>
      <x:c r="G6357" s="11" t="n">
        <x:v>29</x:v>
      </x:c>
      <x:c r="H6357" s="12" t="n">
        <x:v>4400000000</x:v>
      </x:c>
      <x:c r="I6357" s="12" t="n">
        <x:v>151724137.93103448</x:v>
      </x:c>
      <x:c r="J6357" s="2" t="str">
        <x:v>total</x:v>
      </x:c>
      <x:c r="K6357" s="2" t="str">
        <x:v>top_level_area</x:v>
      </x:c>
      <x:c r="L6357" s="2" t="str">
        <x:v>property_type_inferred_from_title</x:v>
      </x:c>
      <x:c r="M6357" s="10" t="n">
        <x:v>0</x:v>
      </x:c>
      <x:c r="N6357" s="10" t="n">
        <x:v>0</x:v>
      </x:c>
      <x:c r="O6357" s="2" t="str">
        <x:v>Tp Hồ Chí Minh|house</x:v>
      </x:c>
      <x:c r="P6357" s="10" t="n">
        <x:v>2</x:v>
      </x:c>
      <x:c r="Q6357" s="13" t="n">
        <x:f>IF(H6357="","",H6357/1000000000)</x:f>
        <x:v>4.4</x:v>
      </x:c>
      <x:c r="R6357" s="13" t="n">
        <x:f>IF(I6357="","",I6357/1000000)</x:f>
        <x:v>151.72413793103448</x:v>
      </x:c>
    </x:row>
    <x:row r="6358" ht="21" customHeight="1">
      <x:c r="A6358" s="10" t="n">
        <x:v>8224</x:v>
      </x:c>
      <x:c r="B6358" s="2" t="str">
        <x:v>2df9de1dddb67cde11bc</x:v>
      </x:c>
      <x:c r="C6358" s="2" t="str">
        <x:v>Đà Nẵng</x:v>
      </x:c>
      <x:c r="D6358" s="2" t="str">
        <x:v>Quận Ngũ Hành Sơn</x:v>
      </x:c>
      <x:c r="E6358" s="2" t="str">
        <x:v>other_unknown</x:v>
      </x:c>
      <x:c r="F6358" s="2" t="str">
        <x:v>sale_assumed</x:v>
      </x:c>
      <x:c r="G6358" s="11" t="n">
        <x:v>85</x:v>
      </x:c>
      <x:c r="H6358" s="12" t="n">
        <x:v>3690000000</x:v>
      </x:c>
      <x:c r="I6358" s="12" t="n">
        <x:v>43411764.705882356</x:v>
      </x:c>
      <x:c r="J6358" s="2" t="str">
        <x:v>total</x:v>
      </x:c>
      <x:c r="K6358" s="2" t="str">
        <x:v>top_level_area</x:v>
      </x:c>
      <x:c r="L6358" s="2" t="str">
        <x:v>property_type_inferred_from_title;transaction_assumed_sale_from_dataset_context;unknown_property_type</x:v>
      </x:c>
      <x:c r="M6358" s="10" t="n">
        <x:v>0</x:v>
      </x:c>
      <x:c r="N6358" s="10" t="n">
        <x:v>0</x:v>
      </x:c>
      <x:c r="O6358" s="2" t="str">
        <x:v>Đà Nẵng|other_unknown</x:v>
      </x:c>
      <x:c r="P6358" s="10" t="n">
        <x:v>2</x:v>
      </x:c>
      <x:c r="Q6358" s="13" t="n">
        <x:f>IF(H6358="","",H6358/1000000000)</x:f>
        <x:v>3.69</x:v>
      </x:c>
      <x:c r="R6358" s="13" t="n">
        <x:f>IF(I6358="","",I6358/1000000)</x:f>
        <x:v>43.411764705882355</x:v>
      </x:c>
    </x:row>
    <x:row r="6359" ht="21" customHeight="1">
      <x:c r="A6359" s="10" t="n">
        <x:v>8225</x:v>
      </x:c>
      <x:c r="B6359" s="2" t="str">
        <x:v>90c8643190d94ca8f455</x:v>
      </x:c>
      <x:c r="C6359" s="2" t="str">
        <x:v>Tp Hồ Chí Minh</x:v>
      </x:c>
      <x:c r="D6359" s="2" t="str">
        <x:v>Huyện Nhà Bè</x:v>
      </x:c>
      <x:c r="E6359" s="2" t="str">
        <x:v>apartment</x:v>
      </x:c>
      <x:c r="F6359" s="2" t="str">
        <x:v>sale_assumed</x:v>
      </x:c>
      <x:c r="G6359" s="11" t="n">
        <x:v>253</x:v>
      </x:c>
      <x:c r="H6359" s="12" t="n">
        <x:v>25000000000</x:v>
      </x:c>
      <x:c r="I6359" s="12" t="n">
        <x:v>98814229.24901186</x:v>
      </x:c>
      <x:c r="J6359" s="2" t="str">
        <x:v>total</x:v>
      </x:c>
      <x:c r="K6359" s="2" t="str">
        <x:v>top_level_area</x:v>
      </x:c>
      <x:c r="L6359" s="2" t="str">
        <x:v>property_type_inferred_from_title;transaction_assumed_sale_from_dataset_context</x:v>
      </x:c>
      <x:c r="M6359" s="10" t="n">
        <x:v>0</x:v>
      </x:c>
      <x:c r="N6359" s="10" t="n">
        <x:v>1</x:v>
      </x:c>
      <x:c r="O6359" s="2" t="str">
        <x:v>Tp Hồ Chí Minh|apartment</x:v>
      </x:c>
      <x:c r="P6359" s="10" t="n">
        <x:v>-1</x:v>
      </x:c>
      <x:c r="Q6359" s="13" t="n">
        <x:f>IF(H6359="","",H6359/1000000000)</x:f>
        <x:v>25</x:v>
      </x:c>
      <x:c r="R6359" s="13" t="n">
        <x:f>IF(I6359="","",I6359/1000000)</x:f>
        <x:v>98.81422924901186</x:v>
      </x:c>
    </x:row>
    <x:row r="6360" ht="21" customHeight="1">
      <x:c r="A6360" s="10" t="n">
        <x:v>8226</x:v>
      </x:c>
      <x:c r="B6360" s="2" t="str">
        <x:v>54bc4d0b21a0a6bbd952</x:v>
      </x:c>
      <x:c r="C6360" s="2" t="str">
        <x:v>Đắk Lắk</x:v>
      </x:c>
      <x:c r="D6360" s="2" t="str">
        <x:v>Thành phố Buôn Ma Thuột</x:v>
      </x:c>
      <x:c r="E6360" s="2" t="str">
        <x:v>house</x:v>
      </x:c>
      <x:c r="F6360" s="2" t="str">
        <x:v>sale_assumed</x:v>
      </x:c>
      <x:c r="G6360" s="11" t="n">
        <x:v>165</x:v>
      </x:c>
      <x:c r="H6360" s="12" t="n">
        <x:v>2100000000</x:v>
      </x:c>
      <x:c r="I6360" s="12" t="n">
        <x:v>12727272.727272727</x:v>
      </x:c>
      <x:c r="J6360" s="2" t="str">
        <x:v>total</x:v>
      </x:c>
      <x:c r="K6360" s="2" t="str">
        <x:v>top_level_area</x:v>
      </x:c>
      <x:c r="L6360" s="2" t="str">
        <x:v>property_type_inferred_from_title;transaction_assumed_sale_from_dataset_context</x:v>
      </x:c>
      <x:c r="M6360" s="10" t="n">
        <x:v>0</x:v>
      </x:c>
      <x:c r="N6360" s="10" t="n">
        <x:v>0</x:v>
      </x:c>
      <x:c r="O6360" s="2" t="str">
        <x:v>Đắk Lắk|house</x:v>
      </x:c>
      <x:c r="P6360" s="10" t="n">
        <x:v>2</x:v>
      </x:c>
      <x:c r="Q6360" s="13" t="n">
        <x:f>IF(H6360="","",H6360/1000000000)</x:f>
        <x:v>2.1</x:v>
      </x:c>
      <x:c r="R6360" s="13" t="n">
        <x:f>IF(I6360="","",I6360/1000000)</x:f>
        <x:v>12.727272727272727</x:v>
      </x:c>
    </x:row>
    <x:row r="6361" ht="21" customHeight="1">
      <x:c r="A6361" s="10" t="n">
        <x:v>8227</x:v>
      </x:c>
      <x:c r="B6361" s="2" t="str">
        <x:v>a4faf26570bc0af43b79</x:v>
      </x:c>
      <x:c r="C6361" s="2" t="str">
        <x:v>Tp Hồ Chí Minh</x:v>
      </x:c>
      <x:c r="D6361" s="2" t="str">
        <x:v>Quận 7</x:v>
      </x:c>
      <x:c r="E6361" s="2" t="str">
        <x:v>land</x:v>
      </x:c>
      <x:c r="F6361" s="2" t="str">
        <x:v>sale_assumed</x:v>
      </x:c>
      <x:c r="G6361" s="11" t="n">
        <x:v>100</x:v>
      </x:c>
      <x:c r="H6361" s="12" t="n">
        <x:v>1800000000</x:v>
      </x:c>
      <x:c r="I6361" s="12" t="n">
        <x:v>18000000</x:v>
      </x:c>
      <x:c r="J6361" s="2" t="str">
        <x:v>total</x:v>
      </x:c>
      <x:c r="K6361" s="2" t="str">
        <x:v>top_level_area</x:v>
      </x:c>
      <x:c r="L6361" s="2" t="str">
        <x:v>property_type_inferred_from_title;transaction_assumed_sale_from_dataset_context</x:v>
      </x:c>
      <x:c r="M6361" s="10" t="n">
        <x:v>0</x:v>
      </x:c>
      <x:c r="N6361" s="10" t="n">
        <x:v>0</x:v>
      </x:c>
      <x:c r="O6361" s="2" t="str">
        <x:v>Tp Hồ Chí Minh|land</x:v>
      </x:c>
      <x:c r="P6361" s="10" t="n">
        <x:v>2</x:v>
      </x:c>
      <x:c r="Q6361" s="13" t="n">
        <x:f>IF(H6361="","",H6361/1000000000)</x:f>
        <x:v>1.8</x:v>
      </x:c>
      <x:c r="R6361" s="13" t="n">
        <x:f>IF(I6361="","",I6361/1000000)</x:f>
        <x:v>18</x:v>
      </x:c>
    </x:row>
    <x:row r="6362" ht="21" customHeight="1">
      <x:c r="A6362" s="10" t="n">
        <x:v>8228</x:v>
      </x:c>
      <x:c r="B6362" s="2" t="str">
        <x:v>4eb1f0ce43f2a483611e</x:v>
      </x:c>
      <x:c r="C6362" s="2" t="str">
        <x:v>Hà Nội</x:v>
      </x:c>
      <x:c r="D6362" s="2" t="str">
        <x:v>Quận Hoàng Mai</x:v>
      </x:c>
      <x:c r="E6362" s="2" t="str">
        <x:v>apartment</x:v>
      </x:c>
      <x:c r="F6362" s="2" t="str">
        <x:v>sale_assumed</x:v>
      </x:c>
      <x:c r="G6362" s="11" t="n">
        <x:v>65.56</x:v>
      </x:c>
      <x:c r="H6362" s="12" t="n">
        <x:v>1180000000</x:v>
      </x:c>
      <x:c r="I6362" s="12" t="n">
        <x:v>17998779.743746188</x:v>
      </x:c>
      <x:c r="J6362" s="2" t="str">
        <x:v>total</x:v>
      </x:c>
      <x:c r="K6362" s="2" t="str">
        <x:v>top_level_area</x:v>
      </x:c>
      <x:c r="L6362" s="2" t="str">
        <x:v>property_type_inferred_from_title;transaction_assumed_sale_from_dataset_context</x:v>
      </x:c>
      <x:c r="M6362" s="10" t="n">
        <x:v>0</x:v>
      </x:c>
      <x:c r="N6362" s="10" t="n">
        <x:v>0</x:v>
      </x:c>
      <x:c r="O6362" s="2" t="str">
        <x:v>Hà Nội|apartment</x:v>
      </x:c>
      <x:c r="P6362" s="10" t="n">
        <x:v>2</x:v>
      </x:c>
      <x:c r="Q6362" s="13" t="n">
        <x:f>IF(H6362="","",H6362/1000000000)</x:f>
        <x:v>1.18</x:v>
      </x:c>
      <x:c r="R6362" s="13" t="n">
        <x:f>IF(I6362="","",I6362/1000000)</x:f>
        <x:v>17.998779743746187</x:v>
      </x:c>
    </x:row>
    <x:row r="6363" ht="21" customHeight="1">
      <x:c r="A6363" s="10" t="n">
        <x:v>8229</x:v>
      </x:c>
      <x:c r="B6363" s="2" t="str">
        <x:v>882ed01c5f0ce9d2896b</x:v>
      </x:c>
      <x:c r="C6363" s="2" t="str">
        <x:v>Bình Dương</x:v>
      </x:c>
      <x:c r="D6363" s="2" t="str">
        <x:v>Thị xã Dĩ An</x:v>
      </x:c>
      <x:c r="E6363" s="2" t="str">
        <x:v>other_unknown</x:v>
      </x:c>
      <x:c r="F6363" s="2" t="str">
        <x:v>sale</x:v>
      </x:c>
      <x:c r="G6363" s="11" t="n">
        <x:v>100</x:v>
      </x:c>
      <x:c r="H6363" s="12" t="n">
        <x:v>5050000000</x:v>
      </x:c>
      <x:c r="I6363" s="12" t="n">
        <x:v>50500000</x:v>
      </x:c>
      <x:c r="J6363" s="2" t="str">
        <x:v>total</x:v>
      </x:c>
      <x:c r="K6363" s="2" t="str">
        <x:v>top_level_price_embedded_area</x:v>
      </x:c>
      <x:c r="L6363" s="2" t="str">
        <x:v>area_recovered_from_price_text;property_type_inferred_from_title;unknown_property_type</x:v>
      </x:c>
      <x:c r="M6363" s="10" t="n">
        <x:v>0</x:v>
      </x:c>
      <x:c r="N6363" s="10" t="n">
        <x:v>0</x:v>
      </x:c>
      <x:c r="O6363" s="2" t="str">
        <x:v>Bình Dương|other_unknown</x:v>
      </x:c>
      <x:c r="P6363" s="10" t="n">
        <x:v>2</x:v>
      </x:c>
      <x:c r="Q6363" s="13" t="n">
        <x:f>IF(H6363="","",H6363/1000000000)</x:f>
        <x:v>5.05</x:v>
      </x:c>
      <x:c r="R6363" s="13" t="n">
        <x:f>IF(I6363="","",I6363/1000000)</x:f>
        <x:v>50.5</x:v>
      </x:c>
    </x:row>
    <x:row r="6364" ht="21" customHeight="1">
      <x:c r="A6364" s="10" t="n">
        <x:v>8230</x:v>
      </x:c>
      <x:c r="B6364" s="2" t="str">
        <x:v>d557eb3ec1507bf749b3</x:v>
      </x:c>
      <x:c r="C6364" s="2" t="str">
        <x:v>Long An</x:v>
      </x:c>
      <x:c r="D6364" s="2" t="str">
        <x:v>Huyện Cần Giuộc</x:v>
      </x:c>
      <x:c r="E6364" s="2" t="str">
        <x:v>house</x:v>
      </x:c>
      <x:c r="F6364" s="2" t="str">
        <x:v>sale</x:v>
      </x:c>
      <x:c r="G6364" s="11" t="n">
        <x:v>56</x:v>
      </x:c>
      <x:c r="H6364" s="12" t="n">
        <x:v>850000000</x:v>
      </x:c>
      <x:c r="I6364" s="12" t="n">
        <x:v>15178571.42857143</x:v>
      </x:c>
      <x:c r="J6364" s="2" t="str">
        <x:v>total</x:v>
      </x:c>
      <x:c r="K6364" s="2" t="str">
        <x:v>top_level_area</x:v>
      </x:c>
      <x:c r="L6364" s="2" t="str">
        <x:v>property_type_inferred_from_title</x:v>
      </x:c>
      <x:c r="M6364" s="10" t="n">
        <x:v>0</x:v>
      </x:c>
      <x:c r="N6364" s="10" t="n">
        <x:v>0</x:v>
      </x:c>
      <x:c r="O6364" s="2" t="str">
        <x:v>Long An|house</x:v>
      </x:c>
      <x:c r="P6364" s="10" t="n">
        <x:v>2</x:v>
      </x:c>
      <x:c r="Q6364" s="13" t="n">
        <x:f>IF(H6364="","",H6364/1000000000)</x:f>
        <x:v>0.85</x:v>
      </x:c>
      <x:c r="R6364" s="13" t="n">
        <x:f>IF(I6364="","",I6364/1000000)</x:f>
        <x:v>15.178571428571429</x:v>
      </x:c>
    </x:row>
    <x:row r="6365" ht="21" customHeight="1">
      <x:c r="A6365" s="10" t="n">
        <x:v>8231</x:v>
      </x:c>
      <x:c r="B6365" s="2" t="str">
        <x:v>20ad7828082017b1df63</x:v>
      </x:c>
      <x:c r="C6365" s="2" t="str">
        <x:v>Tp Hồ Chí Minh</x:v>
      </x:c>
      <x:c r="D6365" s="2" t="str">
        <x:v>Quận 9</x:v>
      </x:c>
      <x:c r="E6365" s="2" t="str">
        <x:v>house</x:v>
      </x:c>
      <x:c r="F6365" s="2" t="str">
        <x:v>sale_assumed</x:v>
      </x:c>
      <x:c r="G6365" s="11" t="n">
        <x:v>51</x:v>
      </x:c>
      <x:c r="H6365" s="12" t="n">
        <x:v>3100000000</x:v>
      </x:c>
      <x:c r="I6365" s="12" t="n">
        <x:v>60784313.7254902</x:v>
      </x:c>
      <x:c r="J6365" s="2" t="str">
        <x:v>total</x:v>
      </x:c>
      <x:c r="K6365" s="2" t="str">
        <x:v>top_level_area</x:v>
      </x:c>
      <x:c r="L6365" s="2" t="str">
        <x:v>property_type_inferred_from_title;transaction_assumed_sale_from_dataset_context</x:v>
      </x:c>
      <x:c r="M6365" s="10" t="n">
        <x:v>0</x:v>
      </x:c>
      <x:c r="N6365" s="10" t="n">
        <x:v>0</x:v>
      </x:c>
      <x:c r="O6365" s="2" t="str">
        <x:v>Tp Hồ Chí Minh|house</x:v>
      </x:c>
      <x:c r="P6365" s="10" t="n">
        <x:v>2</x:v>
      </x:c>
      <x:c r="Q6365" s="13" t="n">
        <x:f>IF(H6365="","",H6365/1000000000)</x:f>
        <x:v>3.1</x:v>
      </x:c>
      <x:c r="R6365" s="13" t="n">
        <x:f>IF(I6365="","",I6365/1000000)</x:f>
        <x:v>60.7843137254902</x:v>
      </x:c>
    </x:row>
    <x:row r="6366" ht="21" customHeight="1">
      <x:c r="A6366" s="10" t="n">
        <x:v>8235</x:v>
      </x:c>
      <x:c r="B6366" s="2" t="str">
        <x:v>32c82e9e5b26290b1117</x:v>
      </x:c>
      <x:c r="C6366" s="2" t="str">
        <x:v>Lâm Đồng</x:v>
      </x:c>
      <x:c r="D6366" s="2" t="str">
        <x:v>Huyện Bảo Lâm</x:v>
      </x:c>
      <x:c r="E6366" s="2" t="str">
        <x:v>other_unknown</x:v>
      </x:c>
      <x:c r="F6366" s="2" t="str">
        <x:v>sale</x:v>
      </x:c>
      <x:c r="G6366" s="11" t="n">
        <x:v>200</x:v>
      </x:c>
      <x:c r="H6366" s="12" t="n">
        <x:v>490000000</x:v>
      </x:c>
      <x:c r="I6366" s="12" t="n">
        <x:v>2450000</x:v>
      </x:c>
      <x:c r="J6366" s="2" t="str">
        <x:v>total</x:v>
      </x:c>
      <x:c r="K6366" s="2" t="str">
        <x:v>top_level_area</x:v>
      </x:c>
      <x:c r="L6366" s="2" t="str">
        <x:v>property_type_inferred_from_title;unknown_property_type</x:v>
      </x:c>
      <x:c r="M6366" s="10" t="n">
        <x:v>0</x:v>
      </x:c>
      <x:c r="N6366" s="10" t="n">
        <x:v>0</x:v>
      </x:c>
      <x:c r="O6366" s="2" t="str">
        <x:v>other_unknown</x:v>
      </x:c>
      <x:c r="P6366" s="10" t="n">
        <x:v>1</x:v>
      </x:c>
      <x:c r="Q6366" s="13" t="n">
        <x:f>IF(H6366="","",H6366/1000000000)</x:f>
        <x:v>0.49</x:v>
      </x:c>
      <x:c r="R6366" s="13" t="n">
        <x:f>IF(I6366="","",I6366/1000000)</x:f>
        <x:v>2.45</x:v>
      </x:c>
    </x:row>
    <x:row r="6367" ht="21" customHeight="1">
      <x:c r="A6367" s="10" t="n">
        <x:v>8236</x:v>
      </x:c>
      <x:c r="B6367" s="2" t="str">
        <x:v>512e42723c24f6278477</x:v>
      </x:c>
      <x:c r="C6367" s="2" t="str">
        <x:v>Đà Nẵng</x:v>
      </x:c>
      <x:c r="D6367" s="2" t="str">
        <x:v>Quận Ngũ Hành Sơn</x:v>
      </x:c>
      <x:c r="E6367" s="2" t="str">
        <x:v>house</x:v>
      </x:c>
      <x:c r="F6367" s="2" t="str">
        <x:v>sale_assumed</x:v>
      </x:c>
      <x:c r="G6367" s="11" t="n">
        <x:v>60</x:v>
      </x:c>
      <x:c r="H6367" s="12" t="n">
        <x:v>4900000000</x:v>
      </x:c>
      <x:c r="I6367" s="12" t="n">
        <x:v>81666666.66666667</x:v>
      </x:c>
      <x:c r="J6367" s="2" t="str">
        <x:v>total</x:v>
      </x:c>
      <x:c r="K6367" s="2" t="str">
        <x:v>top_level_area</x:v>
      </x:c>
      <x:c r="L6367" s="2" t="str">
        <x:v>property_type_inferred_from_title;transaction_assumed_sale_from_dataset_context</x:v>
      </x:c>
      <x:c r="M6367" s="10" t="n">
        <x:v>0</x:v>
      </x:c>
      <x:c r="N6367" s="10" t="n">
        <x:v>0</x:v>
      </x:c>
      <x:c r="O6367" s="2" t="str">
        <x:v>Đà Nẵng|house</x:v>
      </x:c>
      <x:c r="P6367" s="10" t="n">
        <x:v>2</x:v>
      </x:c>
      <x:c r="Q6367" s="13" t="n">
        <x:f>IF(H6367="","",H6367/1000000000)</x:f>
        <x:v>4.9</x:v>
      </x:c>
      <x:c r="R6367" s="13" t="n">
        <x:f>IF(I6367="","",I6367/1000000)</x:f>
        <x:v>81.66666666666667</x:v>
      </x:c>
    </x:row>
    <x:row r="6368" ht="21" customHeight="1">
      <x:c r="A6368" s="10" t="n">
        <x:v>8237</x:v>
      </x:c>
      <x:c r="B6368" s="2" t="str">
        <x:v>3d55abdea01b90c9065a</x:v>
      </x:c>
      <x:c r="C6368" s="2" t="str">
        <x:v>Tp Hồ Chí Minh</x:v>
      </x:c>
      <x:c r="D6368" s="2" t="str">
        <x:v>Quận 11</x:v>
      </x:c>
      <x:c r="E6368" s="2" t="str">
        <x:v>house</x:v>
      </x:c>
      <x:c r="F6368" s="2" t="str">
        <x:v>sale</x:v>
      </x:c>
      <x:c r="G6368" s="11" t="n">
        <x:v>78</x:v>
      </x:c>
      <x:c r="H6368" s="12" t="n">
        <x:v>4850000000</x:v>
      </x:c>
      <x:c r="I6368" s="12" t="n">
        <x:v>62179487.179487176</x:v>
      </x:c>
      <x:c r="J6368" s="2" t="str">
        <x:v>total</x:v>
      </x:c>
      <x:c r="K6368" s="2" t="str">
        <x:v>top_level_area</x:v>
      </x:c>
      <x:c r="L6368" s="2" t="str">
        <x:v>property_type_inferred_from_title</x:v>
      </x:c>
      <x:c r="M6368" s="10" t="n">
        <x:v>0</x:v>
      </x:c>
      <x:c r="N6368" s="10" t="n">
        <x:v>0</x:v>
      </x:c>
      <x:c r="O6368" s="2" t="str">
        <x:v>Tp Hồ Chí Minh|house</x:v>
      </x:c>
      <x:c r="P6368" s="10" t="n">
        <x:v>2</x:v>
      </x:c>
      <x:c r="Q6368" s="13" t="n">
        <x:f>IF(H6368="","",H6368/1000000000)</x:f>
        <x:v>4.85</x:v>
      </x:c>
      <x:c r="R6368" s="13" t="n">
        <x:f>IF(I6368="","",I6368/1000000)</x:f>
        <x:v>62.179487179487175</x:v>
      </x:c>
    </x:row>
    <x:row r="6369" ht="21" customHeight="1">
      <x:c r="A6369" s="10" t="n">
        <x:v>8238</x:v>
      </x:c>
      <x:c r="B6369" s="2" t="str">
        <x:v>05e74c886623aaa55332</x:v>
      </x:c>
      <x:c r="C6369" s="2" t="str">
        <x:v>Tp Hồ Chí Minh</x:v>
      </x:c>
      <x:c r="D6369" s="2" t="str">
        <x:v>Quận Tân Bình</x:v>
      </x:c>
      <x:c r="E6369" s="2" t="str">
        <x:v>apartment</x:v>
      </x:c>
      <x:c r="F6369" s="2" t="str">
        <x:v>sale_assumed</x:v>
      </x:c>
      <x:c r="G6369" s="11" t="n">
        <x:v>36</x:v>
      </x:c>
      <x:c r="H6369" s="12" t="n">
        <x:v>850000000</x:v>
      </x:c>
      <x:c r="I6369" s="12" t="n">
        <x:v>23611111.111111112</x:v>
      </x:c>
      <x:c r="J6369" s="2" t="str">
        <x:v>total</x:v>
      </x:c>
      <x:c r="K6369" s="2" t="str">
        <x:v>top_level_area</x:v>
      </x:c>
      <x:c r="L6369" s="2" t="str">
        <x:v>property_type_inferred_from_title;transaction_assumed_sale_from_dataset_context</x:v>
      </x:c>
      <x:c r="M6369" s="10" t="n">
        <x:v>0</x:v>
      </x:c>
      <x:c r="N6369" s="10" t="n">
        <x:v>0</x:v>
      </x:c>
      <x:c r="O6369" s="2" t="str">
        <x:v>Tp Hồ Chí Minh|apartment</x:v>
      </x:c>
      <x:c r="P6369" s="10" t="n">
        <x:v>2</x:v>
      </x:c>
      <x:c r="Q6369" s="13" t="n">
        <x:f>IF(H6369="","",H6369/1000000000)</x:f>
        <x:v>0.85</x:v>
      </x:c>
      <x:c r="R6369" s="13" t="n">
        <x:f>IF(I6369="","",I6369/1000000)</x:f>
        <x:v>23.61111111111111</x:v>
      </x:c>
    </x:row>
    <x:row r="6370" ht="21" customHeight="1">
      <x:c r="A6370" s="10" t="n">
        <x:v>8239</x:v>
      </x:c>
      <x:c r="B6370" s="2" t="str">
        <x:v>18e8c0ba91acff34c8f7</x:v>
      </x:c>
      <x:c r="C6370" s="2" t="str">
        <x:v>Tp Hồ Chí Minh</x:v>
      </x:c>
      <x:c r="D6370" s="2" t="str">
        <x:v>Quận 9</x:v>
      </x:c>
      <x:c r="E6370" s="2" t="str">
        <x:v>other_unknown</x:v>
      </x:c>
      <x:c r="F6370" s="2" t="str">
        <x:v>sale</x:v>
      </x:c>
      <x:c r="G6370" s="11" t="n">
        <x:v>65</x:v>
      </x:c>
      <x:c r="H6370" s="12" t="n">
        <x:v>1900000000</x:v>
      </x:c>
      <x:c r="I6370" s="12" t="n">
        <x:v>29230769.230769232</x:v>
      </x:c>
      <x:c r="J6370" s="2" t="str">
        <x:v>total</x:v>
      </x:c>
      <x:c r="K6370" s="2" t="str">
        <x:v>top_level_area</x:v>
      </x:c>
      <x:c r="L6370" s="2" t="str">
        <x:v>property_type_inferred_from_title;unknown_property_type</x:v>
      </x:c>
      <x:c r="M6370" s="10" t="n">
        <x:v>0</x:v>
      </x:c>
      <x:c r="N6370" s="10" t="n">
        <x:v>0</x:v>
      </x:c>
      <x:c r="O6370" s="2" t="str">
        <x:v>Tp Hồ Chí Minh|other_unknown</x:v>
      </x:c>
      <x:c r="P6370" s="10" t="n">
        <x:v>2</x:v>
      </x:c>
      <x:c r="Q6370" s="13" t="n">
        <x:f>IF(H6370="","",H6370/1000000000)</x:f>
        <x:v>1.9</x:v>
      </x:c>
      <x:c r="R6370" s="13" t="n">
        <x:f>IF(I6370="","",I6370/1000000)</x:f>
        <x:v>29.230769230769234</x:v>
      </x:c>
    </x:row>
    <x:row r="6371" ht="21" customHeight="1">
      <x:c r="A6371" s="10" t="n">
        <x:v>8240</x:v>
      </x:c>
      <x:c r="B6371" s="2" t="str">
        <x:v>57f7492ccc207d5e21a8</x:v>
      </x:c>
      <x:c r="C6371" s="2" t="str">
        <x:v>Lâm Đồng</x:v>
      </x:c>
      <x:c r="D6371" s="2" t="str">
        <x:v>Huyện Bảo Lâm</x:v>
      </x:c>
      <x:c r="E6371" s="2" t="str">
        <x:v>land</x:v>
      </x:c>
      <x:c r="F6371" s="2" t="str">
        <x:v>sale_assumed</x:v>
      </x:c>
      <x:c r="G6371" s="11" t="n">
        <x:v>1.1</x:v>
      </x:c>
      <x:c r="H6371" s="12" t="n">
        <x:v>270000000</x:v>
      </x:c>
      <x:c r="I6371" s="12" t="n">
        <x:v>245454545.45454544</x:v>
      </x:c>
      <x:c r="J6371" s="2" t="str">
        <x:v>total</x:v>
      </x:c>
      <x:c r="K6371" s="2" t="str">
        <x:v>top_level_area</x:v>
      </x:c>
      <x:c r="L6371" s="2" t="str">
        <x:v>property_type_inferred_from_title;transaction_assumed_sale_from_dataset_context</x:v>
      </x:c>
      <x:c r="M6371" s="10" t="n">
        <x:v>1</x:v>
      </x:c>
      <x:c r="N6371" s="10" t="n">
        <x:v>1</x:v>
      </x:c>
      <x:c r="O6371" s="2" t="str">
        <x:v>Lâm Đồng|land</x:v>
      </x:c>
      <x:c r="P6371" s="10" t="n">
        <x:v>-1</x:v>
      </x:c>
      <x:c r="Q6371" s="13" t="n">
        <x:f>IF(H6371="","",H6371/1000000000)</x:f>
        <x:v>0.27</x:v>
      </x:c>
      <x:c r="R6371" s="13" t="n">
        <x:f>IF(I6371="","",I6371/1000000)</x:f>
        <x:v>245.45454545454544</x:v>
      </x:c>
    </x:row>
    <x:row r="6372" ht="21" customHeight="1">
      <x:c r="A6372" s="10" t="n">
        <x:v>8241</x:v>
      </x:c>
      <x:c r="B6372" s="2" t="str">
        <x:v>45c4e36bea7298a27459</x:v>
      </x:c>
      <x:c r="C6372" s="2" t="str">
        <x:v>Cà Mau</x:v>
      </x:c>
      <x:c r="D6372" s="2" t="str">
        <x:v>Thành phố Cà Mau</x:v>
      </x:c>
      <x:c r="E6372" s="2" t="str">
        <x:v>other_unknown</x:v>
      </x:c>
      <x:c r="F6372" s="2" t="str">
        <x:v>sale_assumed</x:v>
      </x:c>
      <x:c r="G6372" s="11" t="n">
        <x:v>100</x:v>
      </x:c>
      <x:c r="H6372" s="12" t="n">
        <x:v>1170000000</x:v>
      </x:c>
      <x:c r="I6372" s="12" t="n">
        <x:v>11700000</x:v>
      </x:c>
      <x:c r="J6372" s="2" t="str">
        <x:v>total</x:v>
      </x:c>
      <x:c r="K6372" s="2" t="str">
        <x:v>top_level_area</x:v>
      </x:c>
      <x:c r="L6372" s="2" t="str">
        <x:v>property_type_inferred_from_title;transaction_assumed_sale_from_dataset_context;unknown_property_type</x:v>
      </x:c>
      <x:c r="M6372" s="10" t="n">
        <x:v>0</x:v>
      </x:c>
      <x:c r="N6372" s="10" t="n">
        <x:v>0</x:v>
      </x:c>
      <x:c r="O6372" s="2" t="str">
        <x:v>other_unknown</x:v>
      </x:c>
      <x:c r="P6372" s="10" t="n">
        <x:v>2</x:v>
      </x:c>
      <x:c r="Q6372" s="13" t="n">
        <x:f>IF(H6372="","",H6372/1000000000)</x:f>
        <x:v>1.17</x:v>
      </x:c>
      <x:c r="R6372" s="13" t="n">
        <x:f>IF(I6372="","",I6372/1000000)</x:f>
        <x:v>11.7</x:v>
      </x:c>
    </x:row>
    <x:row r="6373" ht="21" customHeight="1">
      <x:c r="A6373" s="10" t="n">
        <x:v>8242</x:v>
      </x:c>
      <x:c r="B6373" s="2" t="str">
        <x:v>a5d7e376b551d25e924d</x:v>
      </x:c>
      <x:c r="C6373" s="2" t="str">
        <x:v>Quảng Nam</x:v>
      </x:c>
      <x:c r="D6373" s="2" t="str">
        <x:v>Thị xã Điện Bàn</x:v>
      </x:c>
      <x:c r="E6373" s="2" t="str">
        <x:v>land</x:v>
      </x:c>
      <x:c r="F6373" s="2" t="str">
        <x:v>sale_assumed</x:v>
      </x:c>
      <x:c r="G6373" s="11" t="n">
        <x:v>100</x:v>
      </x:c>
      <x:c r="H6373" s="12" t="n">
        <x:v>1600000000</x:v>
      </x:c>
      <x:c r="I6373" s="12" t="n">
        <x:v>16000000</x:v>
      </x:c>
      <x:c r="J6373" s="2" t="str">
        <x:v>total</x:v>
      </x:c>
      <x:c r="K6373" s="2" t="str">
        <x:v>top_level_area</x:v>
      </x:c>
      <x:c r="L6373" s="2" t="str">
        <x:v>property_type_inferred_from_title;transaction_assumed_sale_from_dataset_context</x:v>
      </x:c>
      <x:c r="M6373" s="10" t="n">
        <x:v>0</x:v>
      </x:c>
      <x:c r="N6373" s="10" t="n">
        <x:v>0</x:v>
      </x:c>
      <x:c r="O6373" s="2" t="str">
        <x:v>land</x:v>
      </x:c>
      <x:c r="P6373" s="10" t="n">
        <x:v>2</x:v>
      </x:c>
      <x:c r="Q6373" s="13" t="n">
        <x:f>IF(H6373="","",H6373/1000000000)</x:f>
        <x:v>1.6</x:v>
      </x:c>
      <x:c r="R6373" s="13" t="n">
        <x:f>IF(I6373="","",I6373/1000000)</x:f>
        <x:v>16</x:v>
      </x:c>
    </x:row>
    <x:row r="6374" ht="21" customHeight="1">
      <x:c r="A6374" s="10" t="n">
        <x:v>8243</x:v>
      </x:c>
      <x:c r="B6374" s="2" t="str">
        <x:v>3e2b9d4fc651028e1a6b</x:v>
      </x:c>
      <x:c r="C6374" s="2" t="str">
        <x:v>Bình Phước</x:v>
      </x:c>
      <x:c r="D6374" s="2" t="str">
        <x:v>Huyện Chơn Thành</x:v>
      </x:c>
      <x:c r="E6374" s="2" t="str">
        <x:v>land</x:v>
      </x:c>
      <x:c r="F6374" s="2" t="str">
        <x:v>sale</x:v>
      </x:c>
      <x:c r="G6374" s="11" t="n">
        <x:v>1125</x:v>
      </x:c>
      <x:c r="H6374" s="12" t="n">
        <x:v>630000000</x:v>
      </x:c>
      <x:c r="I6374" s="12" t="n">
        <x:v>560000</x:v>
      </x:c>
      <x:c r="J6374" s="2" t="str">
        <x:v>total</x:v>
      </x:c>
      <x:c r="K6374" s="2" t="str">
        <x:v>top_level_area</x:v>
      </x:c>
      <x:c r="L6374" s="2" t="str">
        <x:v>dot_thousands_convention;property_type_inferred_from_title</x:v>
      </x:c>
      <x:c r="M6374" s="10" t="n">
        <x:v>0</x:v>
      </x:c>
      <x:c r="N6374" s="10" t="n">
        <x:v>0</x:v>
      </x:c>
      <x:c r="O6374" s="2" t="str">
        <x:v>Bình Phước|land</x:v>
      </x:c>
      <x:c r="P6374" s="10" t="n">
        <x:v>1</x:v>
      </x:c>
      <x:c r="Q6374" s="13" t="n">
        <x:f>IF(H6374="","",H6374/1000000000)</x:f>
        <x:v>0.63</x:v>
      </x:c>
      <x:c r="R6374" s="13" t="n">
        <x:f>IF(I6374="","",I6374/1000000)</x:f>
        <x:v>0.56</x:v>
      </x:c>
    </x:row>
    <x:row r="6375" ht="21" customHeight="1">
      <x:c r="A6375" s="10" t="n">
        <x:v>8244</x:v>
      </x:c>
      <x:c r="B6375" s="2" t="str">
        <x:v>13b1d1b0e5f62f855448</x:v>
      </x:c>
      <x:c r="C6375" s="2" t="str">
        <x:v>Bình Dương</x:v>
      </x:c>
      <x:c r="D6375" s="2" t="str">
        <x:v>Thị xã Tân Uyên</x:v>
      </x:c>
      <x:c r="E6375" s="2" t="str">
        <x:v>land</x:v>
      </x:c>
      <x:c r="F6375" s="2" t="str">
        <x:v>sale_assumed</x:v>
      </x:c>
      <x:c r="G6375" s="11" t="n">
        <x:v>134.5</x:v>
      </x:c>
      <x:c r="H6375" s="12" t="n">
        <x:v>1360000000</x:v>
      </x:c>
      <x:c r="I6375" s="12" t="n">
        <x:v>10111524.163568772</x:v>
      </x:c>
      <x:c r="J6375" s="2" t="str">
        <x:v>total</x:v>
      </x:c>
      <x:c r="K6375" s="2" t="str">
        <x:v>top_level_area</x:v>
      </x:c>
      <x:c r="L6375" s="2" t="str">
        <x:v>property_type_inferred_from_title;transaction_assumed_sale_from_dataset_context</x:v>
      </x:c>
      <x:c r="M6375" s="10" t="n">
        <x:v>0</x:v>
      </x:c>
      <x:c r="N6375" s="10" t="n">
        <x:v>0</x:v>
      </x:c>
      <x:c r="O6375" s="2" t="str">
        <x:v>Bình Dương|land</x:v>
      </x:c>
      <x:c r="P6375" s="10" t="n">
        <x:v>2</x:v>
      </x:c>
      <x:c r="Q6375" s="13" t="n">
        <x:f>IF(H6375="","",H6375/1000000000)</x:f>
        <x:v>1.36</x:v>
      </x:c>
      <x:c r="R6375" s="13" t="n">
        <x:f>IF(I6375="","",I6375/1000000)</x:f>
        <x:v>10.111524163568772</x:v>
      </x:c>
    </x:row>
    <x:row r="6376" ht="21" customHeight="1">
      <x:c r="A6376" s="10" t="n">
        <x:v>8245</x:v>
      </x:c>
      <x:c r="B6376" s="2" t="str">
        <x:v>0dfb65438defac9c687a</x:v>
      </x:c>
      <x:c r="C6376" s="2" t="str">
        <x:v>Tp Hồ Chí Minh</x:v>
      </x:c>
      <x:c r="D6376" s="2" t="str">
        <x:v>Quận 4</x:v>
      </x:c>
      <x:c r="E6376" s="2" t="str">
        <x:v>house</x:v>
      </x:c>
      <x:c r="F6376" s="2" t="str">
        <x:v>sale</x:v>
      </x:c>
      <x:c r="G6376" s="11" t="n">
        <x:v>26</x:v>
      </x:c>
      <x:c r="H6376" s="12" t="n">
        <x:v>3250000000</x:v>
      </x:c>
      <x:c r="I6376" s="12" t="n">
        <x:v>125000000</x:v>
      </x:c>
      <x:c r="J6376" s="2" t="str">
        <x:v>total</x:v>
      </x:c>
      <x:c r="K6376" s="2" t="str">
        <x:v>top_level_area</x:v>
      </x:c>
      <x:c r="L6376" s="2" t="str">
        <x:v>property_type_inferred_from_title</x:v>
      </x:c>
      <x:c r="M6376" s="10" t="n">
        <x:v>0</x:v>
      </x:c>
      <x:c r="N6376" s="10" t="n">
        <x:v>0</x:v>
      </x:c>
      <x:c r="O6376" s="2" t="str">
        <x:v>Tp Hồ Chí Minh|house</x:v>
      </x:c>
      <x:c r="P6376" s="10" t="n">
        <x:v>2</x:v>
      </x:c>
      <x:c r="Q6376" s="13" t="n">
        <x:f>IF(H6376="","",H6376/1000000000)</x:f>
        <x:v>3.25</x:v>
      </x:c>
      <x:c r="R6376" s="13" t="n">
        <x:f>IF(I6376="","",I6376/1000000)</x:f>
        <x:v>125</x:v>
      </x:c>
    </x:row>
    <x:row r="6377" ht="21" customHeight="1">
      <x:c r="A6377" s="10" t="n">
        <x:v>8246</x:v>
      </x:c>
      <x:c r="B6377" s="2" t="str">
        <x:v>95d449efd4a16dfe2d0c</x:v>
      </x:c>
      <x:c r="C6377" s="2" t="str">
        <x:v>Bình Thuận</x:v>
      </x:c>
      <x:c r="D6377" s="2" t="str">
        <x:v>Huyện Bắc Bình</x:v>
      </x:c>
      <x:c r="E6377" s="2" t="str">
        <x:v>land</x:v>
      </x:c>
      <x:c r="F6377" s="2" t="str">
        <x:v>sale</x:v>
      </x:c>
      <x:c r="G6377" s="11" t="n">
        <x:v>20000</x:v>
      </x:c>
      <x:c r="H6377" s="12" t="n">
        <x:v>1400000000</x:v>
      </x:c>
      <x:c r="I6377" s="12" t="n">
        <x:v>70000</x:v>
      </x:c>
      <x:c r="J6377" s="2" t="str">
        <x:v>total</x:v>
      </x:c>
      <x:c r="K6377" s="2" t="str">
        <x:v>top_level_area</x:v>
      </x:c>
      <x:c r="L6377" s="2" t="str">
        <x:v>dot_thousands_convention;property_type_inferred_from_title</x:v>
      </x:c>
      <x:c r="M6377" s="10" t="n">
        <x:v>0</x:v>
      </x:c>
      <x:c r="N6377" s="10" t="n">
        <x:v>0</x:v>
      </x:c>
      <x:c r="O6377" s="2" t="str">
        <x:v>land</x:v>
      </x:c>
      <x:c r="P6377" s="10" t="n">
        <x:v>1</x:v>
      </x:c>
      <x:c r="Q6377" s="13" t="n">
        <x:f>IF(H6377="","",H6377/1000000000)</x:f>
        <x:v>1.4</x:v>
      </x:c>
      <x:c r="R6377" s="13" t="n">
        <x:f>IF(I6377="","",I6377/1000000)</x:f>
        <x:v>0.07</x:v>
      </x:c>
    </x:row>
    <x:row r="6378" ht="21" customHeight="1">
      <x:c r="A6378" s="10" t="n">
        <x:v>8247</x:v>
      </x:c>
      <x:c r="B6378" s="2" t="str">
        <x:v>0cb60a04731c07627cba</x:v>
      </x:c>
      <x:c r="C6378" s="2" t="str">
        <x:v>Tp Hồ Chí Minh</x:v>
      </x:c>
      <x:c r="D6378" s="2" t="str">
        <x:v>Quận 5</x:v>
      </x:c>
      <x:c r="E6378" s="2" t="str">
        <x:v>other_unknown</x:v>
      </x:c>
      <x:c r="F6378" s="2" t="str">
        <x:v>sale_assumed</x:v>
      </x:c>
      <x:c r="G6378" s="11" t="n">
        <x:v>50</x:v>
      </x:c>
      <x:c r="H6378" s="12" t="n">
        <x:v>6000000000</x:v>
      </x:c>
      <x:c r="I6378" s="12" t="n">
        <x:v>120000000</x:v>
      </x:c>
      <x:c r="J6378" s="2" t="str">
        <x:v>total</x:v>
      </x:c>
      <x:c r="K6378" s="2" t="str">
        <x:v>top_level_area</x:v>
      </x:c>
      <x:c r="L6378" s="2" t="str">
        <x:v>property_type_inferred_from_title;transaction_assumed_sale_from_dataset_context;unknown_property_type</x:v>
      </x:c>
      <x:c r="M6378" s="10" t="n">
        <x:v>0</x:v>
      </x:c>
      <x:c r="N6378" s="10" t="n">
        <x:v>0</x:v>
      </x:c>
      <x:c r="O6378" s="2" t="str">
        <x:v>Tp Hồ Chí Minh|other_unknown</x:v>
      </x:c>
      <x:c r="P6378" s="10" t="n">
        <x:v>2</x:v>
      </x:c>
      <x:c r="Q6378" s="13" t="n">
        <x:f>IF(H6378="","",H6378/1000000000)</x:f>
        <x:v>6</x:v>
      </x:c>
      <x:c r="R6378" s="13" t="n">
        <x:f>IF(I6378="","",I6378/1000000)</x:f>
        <x:v>120</x:v>
      </x:c>
    </x:row>
    <x:row r="6379" ht="21" customHeight="1">
      <x:c r="A6379" s="10" t="n">
        <x:v>8248</x:v>
      </x:c>
      <x:c r="B6379" s="2" t="str">
        <x:v>ae53e21dc91ddfb207bd</x:v>
      </x:c>
      <x:c r="C6379" s="2" t="str">
        <x:v>Tp Hồ Chí Minh</x:v>
      </x:c>
      <x:c r="D6379" s="2" t="str">
        <x:v>Quận 8</x:v>
      </x:c>
      <x:c r="E6379" s="2" t="str">
        <x:v>house</x:v>
      </x:c>
      <x:c r="F6379" s="2" t="str">
        <x:v>sale_assumed</x:v>
      </x:c>
      <x:c r="G6379" s="11" t="n">
        <x:v>80</x:v>
      </x:c>
      <x:c r="H6379" s="12" t="n">
        <x:v>9500000000</x:v>
      </x:c>
      <x:c r="I6379" s="12" t="n">
        <x:v>118750000</x:v>
      </x:c>
      <x:c r="J6379" s="2" t="str">
        <x:v>total</x:v>
      </x:c>
      <x:c r="K6379" s="2" t="str">
        <x:v>top_level_area</x:v>
      </x:c>
      <x:c r="L6379" s="2" t="str">
        <x:v>property_type_inferred_from_title;transaction_assumed_sale_from_dataset_context</x:v>
      </x:c>
      <x:c r="M6379" s="10" t="n">
        <x:v>0</x:v>
      </x:c>
      <x:c r="N6379" s="10" t="n">
        <x:v>0</x:v>
      </x:c>
      <x:c r="O6379" s="2" t="str">
        <x:v>Tp Hồ Chí Minh|house</x:v>
      </x:c>
      <x:c r="P6379" s="10" t="n">
        <x:v>2</x:v>
      </x:c>
      <x:c r="Q6379" s="13" t="n">
        <x:f>IF(H6379="","",H6379/1000000000)</x:f>
        <x:v>9.5</x:v>
      </x:c>
      <x:c r="R6379" s="13" t="n">
        <x:f>IF(I6379="","",I6379/1000000)</x:f>
        <x:v>118.75</x:v>
      </x:c>
    </x:row>
    <x:row r="6380" ht="21" customHeight="1">
      <x:c r="A6380" s="10" t="n">
        <x:v>8249</x:v>
      </x:c>
      <x:c r="B6380" s="2" t="str">
        <x:v>2dd422ddc98783fbb9fb</x:v>
      </x:c>
      <x:c r="C6380" s="2" t="str">
        <x:v>Đà Nẵng</x:v>
      </x:c>
      <x:c r="D6380" s="2" t="str">
        <x:v>Quận Ngũ Hành Sơn</x:v>
      </x:c>
      <x:c r="E6380" s="2" t="str">
        <x:v>apartment</x:v>
      </x:c>
      <x:c r="F6380" s="2" t="str">
        <x:v>sale_assumed</x:v>
      </x:c>
      <x:c r="G6380" s="11" t="n">
        <x:v>46.55</x:v>
      </x:c>
      <x:c r="H6380" s="12" t="n">
        <x:v>1635000000</x:v>
      </x:c>
      <x:c r="I6380" s="12" t="n">
        <x:v>35123523.09344791</x:v>
      </x:c>
      <x:c r="J6380" s="2" t="str">
        <x:v>total</x:v>
      </x:c>
      <x:c r="K6380" s="2" t="str">
        <x:v>top_level_area</x:v>
      </x:c>
      <x:c r="L6380" s="2" t="str">
        <x:v>property_type_inferred_from_title;transaction_assumed_sale_from_dataset_context</x:v>
      </x:c>
      <x:c r="M6380" s="10" t="n">
        <x:v>0</x:v>
      </x:c>
      <x:c r="N6380" s="10" t="n">
        <x:v>0</x:v>
      </x:c>
      <x:c r="O6380" s="2" t="str">
        <x:v>apartment</x:v>
      </x:c>
      <x:c r="P6380" s="10" t="n">
        <x:v>2</x:v>
      </x:c>
      <x:c r="Q6380" s="13" t="n">
        <x:f>IF(H6380="","",H6380/1000000000)</x:f>
        <x:v>1.635</x:v>
      </x:c>
      <x:c r="R6380" s="13" t="n">
        <x:f>IF(I6380="","",I6380/1000000)</x:f>
        <x:v>35.12352309344791</x:v>
      </x:c>
    </x:row>
    <x:row r="6381" ht="21" customHeight="1">
      <x:c r="A6381" s="10" t="n">
        <x:v>8250</x:v>
      </x:c>
      <x:c r="B6381" s="2" t="str">
        <x:v>150cc41585beee68cc68</x:v>
      </x:c>
      <x:c r="C6381" s="2" t="str">
        <x:v>Hà Nội</x:v>
      </x:c>
      <x:c r="D6381" s="2" t="str">
        <x:v>Huyện Gia Lâm</x:v>
      </x:c>
      <x:c r="E6381" s="2" t="str">
        <x:v>land</x:v>
      </x:c>
      <x:c r="F6381" s="2" t="str">
        <x:v>sale_assumed</x:v>
      </x:c>
      <x:c r="G6381" s="11" t="n">
        <x:v>97</x:v>
      </x:c>
      <x:c r="H6381" s="12" t="n">
        <x:v>3300000000</x:v>
      </x:c>
      <x:c r="I6381" s="12" t="n">
        <x:v>34020618.556701034</x:v>
      </x:c>
      <x:c r="J6381" s="2" t="str">
        <x:v>total</x:v>
      </x:c>
      <x:c r="K6381" s="2" t="str">
        <x:v>top_level_area</x:v>
      </x:c>
      <x:c r="L6381" s="2" t="str">
        <x:v>property_type_inferred_from_title;transaction_assumed_sale_from_dataset_context</x:v>
      </x:c>
      <x:c r="M6381" s="10" t="n">
        <x:v>0</x:v>
      </x:c>
      <x:c r="N6381" s="10" t="n">
        <x:v>0</x:v>
      </x:c>
      <x:c r="O6381" s="2" t="str">
        <x:v>Hà Nội|land</x:v>
      </x:c>
      <x:c r="P6381" s="10" t="n">
        <x:v>2</x:v>
      </x:c>
      <x:c r="Q6381" s="13" t="n">
        <x:f>IF(H6381="","",H6381/1000000000)</x:f>
        <x:v>3.3</x:v>
      </x:c>
      <x:c r="R6381" s="13" t="n">
        <x:f>IF(I6381="","",I6381/1000000)</x:f>
        <x:v>34.02061855670103</x:v>
      </x:c>
    </x:row>
    <x:row r="6382" ht="21" customHeight="1">
      <x:c r="A6382" s="10" t="n">
        <x:v>8251</x:v>
      </x:c>
      <x:c r="B6382" s="2" t="str">
        <x:v>083948f2957a7ad4b00a</x:v>
      </x:c>
      <x:c r="C6382" s="2" t="str">
        <x:v>Tp Hồ Chí Minh</x:v>
      </x:c>
      <x:c r="D6382" s="2" t="str">
        <x:v>Quận 12</x:v>
      </x:c>
      <x:c r="E6382" s="2" t="str">
        <x:v>apartment</x:v>
      </x:c>
      <x:c r="F6382" s="2" t="str">
        <x:v>sale</x:v>
      </x:c>
      <x:c r="G6382" s="11" t="n">
        <x:v>57</x:v>
      </x:c>
      <x:c r="H6382" s="12" t="n">
        <x:v>1700000000</x:v>
      </x:c>
      <x:c r="I6382" s="12" t="n">
        <x:v>29824561.40350877</x:v>
      </x:c>
      <x:c r="J6382" s="2" t="str">
        <x:v>total</x:v>
      </x:c>
      <x:c r="K6382" s="2" t="str">
        <x:v>top_level_area</x:v>
      </x:c>
      <x:c r="L6382" s="2" t="str">
        <x:v>property_type_inferred_from_title</x:v>
      </x:c>
      <x:c r="M6382" s="10" t="n">
        <x:v>0</x:v>
      </x:c>
      <x:c r="N6382" s="10" t="n">
        <x:v>0</x:v>
      </x:c>
      <x:c r="O6382" s="2" t="str">
        <x:v>Tp Hồ Chí Minh|apartment</x:v>
      </x:c>
      <x:c r="P6382" s="10" t="n">
        <x:v>2</x:v>
      </x:c>
      <x:c r="Q6382" s="13" t="n">
        <x:f>IF(H6382="","",H6382/1000000000)</x:f>
        <x:v>1.7</x:v>
      </x:c>
      <x:c r="R6382" s="13" t="n">
        <x:f>IF(I6382="","",I6382/1000000)</x:f>
        <x:v>29.82456140350877</x:v>
      </x:c>
    </x:row>
    <x:row r="6383" ht="21" customHeight="1">
      <x:c r="A6383" s="10" t="n">
        <x:v>8252</x:v>
      </x:c>
      <x:c r="B6383" s="2" t="str">
        <x:v>8edbc2d1779f8f5f3606</x:v>
      </x:c>
      <x:c r="C6383" s="2" t="str">
        <x:v>Lâm Đồng</x:v>
      </x:c>
      <x:c r="D6383" s="2" t="str">
        <x:v>Thành phố Bảo Lộc</x:v>
      </x:c>
      <x:c r="E6383" s="2" t="str">
        <x:v>land</x:v>
      </x:c>
      <x:c r="F6383" s="2" t="str">
        <x:v>sale_assumed</x:v>
      </x:c>
      <x:c r="G6383" s="11" t="n">
        <x:v>257</x:v>
      </x:c>
      <x:c r="H6383" s="12" t="n">
        <x:v>980000000</x:v>
      </x:c>
      <x:c r="I6383" s="12" t="n">
        <x:v>3813229.571984436</x:v>
      </x:c>
      <x:c r="J6383" s="2" t="str">
        <x:v>total</x:v>
      </x:c>
      <x:c r="K6383" s="2" t="str">
        <x:v>top_level_price_embedded_area</x:v>
      </x:c>
      <x:c r="L6383" s="2" t="str">
        <x:v>area_recovered_from_price_text;property_type_inferred_from_title;transaction_assumed_sale_from_dataset_context</x:v>
      </x:c>
      <x:c r="M6383" s="10" t="n">
        <x:v>0</x:v>
      </x:c>
      <x:c r="N6383" s="10" t="n">
        <x:v>0</x:v>
      </x:c>
      <x:c r="O6383" s="2" t="str">
        <x:v>Lâm Đồng|land</x:v>
      </x:c>
      <x:c r="P6383" s="10" t="n">
        <x:v>1</x:v>
      </x:c>
      <x:c r="Q6383" s="13" t="n">
        <x:f>IF(H6383="","",H6383/1000000000)</x:f>
        <x:v>0.98</x:v>
      </x:c>
      <x:c r="R6383" s="13" t="n">
        <x:f>IF(I6383="","",I6383/1000000)</x:f>
        <x:v>3.813229571984436</x:v>
      </x:c>
    </x:row>
    <x:row r="6384" ht="21" customHeight="1">
      <x:c r="A6384" s="10" t="n">
        <x:v>8253</x:v>
      </x:c>
      <x:c r="B6384" s="2" t="str">
        <x:v>73a792ee3e8e7b670d33</x:v>
      </x:c>
      <x:c r="C6384" s="2" t="str">
        <x:v>Long An</x:v>
      </x:c>
      <x:c r="D6384" s="2" t="str">
        <x:v>Huyện Cần Giuộc</x:v>
      </x:c>
      <x:c r="E6384" s="2" t="str">
        <x:v>land</x:v>
      </x:c>
      <x:c r="F6384" s="2" t="str">
        <x:v>sale_assumed</x:v>
      </x:c>
      <x:c r="G6384" s="11" t="n">
        <x:v>497</x:v>
      </x:c>
      <x:c r="H6384" s="12" t="n">
        <x:v>5900000000</x:v>
      </x:c>
      <x:c r="I6384" s="12" t="n">
        <x:v>11871227.36418511</x:v>
      </x:c>
      <x:c r="J6384" s="2" t="str">
        <x:v>total</x:v>
      </x:c>
      <x:c r="K6384" s="2" t="str">
        <x:v>top_level_price_embedded_area</x:v>
      </x:c>
      <x:c r="L6384" s="2" t="str">
        <x:v>area_recovered_from_price_text;property_type_inferred_from_title;transaction_assumed_sale_from_dataset_context</x:v>
      </x:c>
      <x:c r="M6384" s="10" t="n">
        <x:v>0</x:v>
      </x:c>
      <x:c r="N6384" s="10" t="n">
        <x:v>0</x:v>
      </x:c>
      <x:c r="O6384" s="2" t="str">
        <x:v>Long An|land</x:v>
      </x:c>
      <x:c r="P6384" s="10" t="n">
        <x:v>1</x:v>
      </x:c>
      <x:c r="Q6384" s="13" t="n">
        <x:f>IF(H6384="","",H6384/1000000000)</x:f>
        <x:v>5.9</x:v>
      </x:c>
      <x:c r="R6384" s="13" t="n">
        <x:f>IF(I6384="","",I6384/1000000)</x:f>
        <x:v>11.87122736418511</x:v>
      </x:c>
    </x:row>
    <x:row r="6385" ht="21" customHeight="1">
      <x:c r="A6385" s="10" t="n">
        <x:v>8255</x:v>
      </x:c>
      <x:c r="B6385" s="2" t="str">
        <x:v>dffd9bd7f8bde1650e17</x:v>
      </x:c>
      <x:c r="C6385" s="2" t="str">
        <x:v>Bình Dương</x:v>
      </x:c>
      <x:c r="D6385" s="2" t="str">
        <x:v>Thành phố Thủ Dầu Một</x:v>
      </x:c>
      <x:c r="E6385" s="2" t="str">
        <x:v>house</x:v>
      </x:c>
      <x:c r="F6385" s="2" t="str">
        <x:v>sale_assumed</x:v>
      </x:c>
      <x:c r="G6385" s="11" t="n">
        <x:v>3314</x:v>
      </x:c>
      <x:c r="H6385" s="12" t="n">
        <x:v>33000000000</x:v>
      </x:c>
      <x:c r="I6385" s="12" t="n">
        <x:v>9957754.978877489</x:v>
      </x:c>
      <x:c r="J6385" s="2" t="str">
        <x:v>total</x:v>
      </x:c>
      <x:c r="K6385" s="2" t="str">
        <x:v>top_level_area</x:v>
      </x:c>
      <x:c r="L6385" s="2" t="str">
        <x:v>dot_thousands_convention;property_type_inferred_from_title;transaction_assumed_sale_from_dataset_context</x:v>
      </x:c>
      <x:c r="M6385" s="10" t="n">
        <x:v>0</x:v>
      </x:c>
      <x:c r="N6385" s="10" t="n">
        <x:v>0</x:v>
      </x:c>
      <x:c r="O6385" s="2" t="str">
        <x:v>Bình Dương|house</x:v>
      </x:c>
      <x:c r="P6385" s="10" t="n">
        <x:v>1</x:v>
      </x:c>
      <x:c r="Q6385" s="13" t="n">
        <x:f>IF(H6385="","",H6385/1000000000)</x:f>
        <x:v>33</x:v>
      </x:c>
      <x:c r="R6385" s="13" t="n">
        <x:f>IF(I6385="","",I6385/1000000)</x:f>
        <x:v>9.957754978877489</x:v>
      </x:c>
    </x:row>
    <x:row r="6386" ht="21" customHeight="1">
      <x:c r="A6386" s="10" t="n">
        <x:v>8258</x:v>
      </x:c>
      <x:c r="B6386" s="2" t="str">
        <x:v>c77d1602c64af19c21f7</x:v>
      </x:c>
      <x:c r="C6386" s="2" t="str">
        <x:v>Hà Nội</x:v>
      </x:c>
      <x:c r="D6386" s="2" t="str">
        <x:v>Quận Đống Đa</x:v>
      </x:c>
      <x:c r="E6386" s="2" t="str">
        <x:v>house</x:v>
      </x:c>
      <x:c r="F6386" s="2" t="str">
        <x:v>sale_assumed</x:v>
      </x:c>
      <x:c r="G6386" s="11" t="n">
        <x:v>50</x:v>
      </x:c>
      <x:c r="H6386" s="12" t="n">
        <x:v>6900000000</x:v>
      </x:c>
      <x:c r="I6386" s="12" t="n">
        <x:v>138000000</x:v>
      </x:c>
      <x:c r="J6386" s="2" t="str">
        <x:v>total</x:v>
      </x:c>
      <x:c r="K6386" s="2" t="str">
        <x:v>top_level_area</x:v>
      </x:c>
      <x:c r="L6386" s="2" t="str">
        <x:v>property_type_inferred_from_title;transaction_assumed_sale_from_dataset_context</x:v>
      </x:c>
      <x:c r="M6386" s="10" t="n">
        <x:v>0</x:v>
      </x:c>
      <x:c r="N6386" s="10" t="n">
        <x:v>0</x:v>
      </x:c>
      <x:c r="O6386" s="2" t="str">
        <x:v>Hà Nội|house</x:v>
      </x:c>
      <x:c r="P6386" s="10" t="n">
        <x:v>2</x:v>
      </x:c>
      <x:c r="Q6386" s="13" t="n">
        <x:f>IF(H6386="","",H6386/1000000000)</x:f>
        <x:v>6.9</x:v>
      </x:c>
      <x:c r="R6386" s="13" t="n">
        <x:f>IF(I6386="","",I6386/1000000)</x:f>
        <x:v>138</x:v>
      </x:c>
    </x:row>
    <x:row r="6387" ht="21" customHeight="1">
      <x:c r="A6387" s="10" t="n">
        <x:v>8259</x:v>
      </x:c>
      <x:c r="B6387" s="2" t="str">
        <x:v>a7f141f3c80cded6b43b</x:v>
      </x:c>
      <x:c r="C6387" s="2" t="str">
        <x:v>Đà Nẵng</x:v>
      </x:c>
      <x:c r="D6387" s="2" t="str">
        <x:v>Quận Ngũ Hành Sơn</x:v>
      </x:c>
      <x:c r="E6387" s="2" t="str">
        <x:v>land</x:v>
      </x:c>
      <x:c r="F6387" s="2" t="str">
        <x:v>sale</x:v>
      </x:c>
      <x:c r="G6387" s="11" t="n">
        <x:v>73.2</x:v>
      </x:c>
      <x:c r="H6387" s="12" t="n">
        <x:v>5500000000</x:v>
      </x:c>
      <x:c r="I6387" s="12" t="n">
        <x:v>75136612.02185792</x:v>
      </x:c>
      <x:c r="J6387" s="2" t="str">
        <x:v>total</x:v>
      </x:c>
      <x:c r="K6387" s="2" t="str">
        <x:v>top_level_area</x:v>
      </x:c>
      <x:c r="L6387" s="2" t="str">
        <x:v>property_type_inferred_from_title</x:v>
      </x:c>
      <x:c r="M6387" s="10" t="n">
        <x:v>0</x:v>
      </x:c>
      <x:c r="N6387" s="10" t="n">
        <x:v>1</x:v>
      </x:c>
      <x:c r="O6387" s="2" t="str">
        <x:v>Đà Nẵng|land</x:v>
      </x:c>
      <x:c r="P6387" s="10" t="n">
        <x:v>-1</x:v>
      </x:c>
      <x:c r="Q6387" s="13" t="n">
        <x:f>IF(H6387="","",H6387/1000000000)</x:f>
        <x:v>5.5</x:v>
      </x:c>
      <x:c r="R6387" s="13" t="n">
        <x:f>IF(I6387="","",I6387/1000000)</x:f>
        <x:v>75.13661202185791</x:v>
      </x:c>
    </x:row>
    <x:row r="6388" ht="21" customHeight="1">
      <x:c r="A6388" s="10" t="n">
        <x:v>8260</x:v>
      </x:c>
      <x:c r="B6388" s="2" t="str">
        <x:v>48c60bd0030697bc9d59</x:v>
      </x:c>
      <x:c r="C6388" s="2" t="str">
        <x:v>Bình Dương</x:v>
      </x:c>
      <x:c r="D6388" s="2" t="str">
        <x:v>Thị xã Thuận An</x:v>
      </x:c>
      <x:c r="E6388" s="2" t="str">
        <x:v>land</x:v>
      </x:c>
      <x:c r="F6388" s="2" t="str">
        <x:v>sale_assumed</x:v>
      </x:c>
      <x:c r="G6388" s="11" t="n">
        <x:v>150</x:v>
      </x:c>
      <x:c r="H6388" s="12" t="n">
        <x:v>720000000</x:v>
      </x:c>
      <x:c r="I6388" s="12" t="n">
        <x:v>4800000</x:v>
      </x:c>
      <x:c r="J6388" s="2" t="str">
        <x:v>total</x:v>
      </x:c>
      <x:c r="K6388" s="2" t="str">
        <x:v>top_level_area</x:v>
      </x:c>
      <x:c r="L6388" s="2" t="str">
        <x:v>property_type_inferred_from_title;transaction_assumed_sale_from_dataset_context</x:v>
      </x:c>
      <x:c r="M6388" s="10" t="n">
        <x:v>0</x:v>
      </x:c>
      <x:c r="N6388" s="10" t="n">
        <x:v>0</x:v>
      </x:c>
      <x:c r="O6388" s="2" t="str">
        <x:v>Bình Dương|land</x:v>
      </x:c>
      <x:c r="P6388" s="10" t="n">
        <x:v>1</x:v>
      </x:c>
      <x:c r="Q6388" s="13" t="n">
        <x:f>IF(H6388="","",H6388/1000000000)</x:f>
        <x:v>0.72</x:v>
      </x:c>
      <x:c r="R6388" s="13" t="n">
        <x:f>IF(I6388="","",I6388/1000000)</x:f>
        <x:v>4.8</x:v>
      </x:c>
    </x:row>
    <x:row r="6389" ht="21" customHeight="1">
      <x:c r="A6389" s="10" t="n">
        <x:v>8261</x:v>
      </x:c>
      <x:c r="B6389" s="2" t="str">
        <x:v>89dc7d443e5de04f4870</x:v>
      </x:c>
      <x:c r="C6389" s="2" t="str">
        <x:v>Đà Nẵng</x:v>
      </x:c>
      <x:c r="D6389" s="2" t="str">
        <x:v>Quận Cẩm Lệ</x:v>
      </x:c>
      <x:c r="E6389" s="2" t="str">
        <x:v>land</x:v>
      </x:c>
      <x:c r="F6389" s="2" t="str">
        <x:v>sale_assumed</x:v>
      </x:c>
      <x:c r="G6389" s="11" t="n">
        <x:v>50</x:v>
      </x:c>
      <x:c r="H6389" s="12" t="n">
        <x:v>1220000000</x:v>
      </x:c>
      <x:c r="I6389" s="12" t="n">
        <x:v>24400000</x:v>
      </x:c>
      <x:c r="J6389" s="2" t="str">
        <x:v>total</x:v>
      </x:c>
      <x:c r="K6389" s="2" t="str">
        <x:v>top_level_area</x:v>
      </x:c>
      <x:c r="L6389" s="2" t="str">
        <x:v>property_type_inferred_from_title;transaction_assumed_sale_from_dataset_context</x:v>
      </x:c>
      <x:c r="M6389" s="10" t="n">
        <x:v>0</x:v>
      </x:c>
      <x:c r="N6389" s="10" t="n">
        <x:v>0</x:v>
      </x:c>
      <x:c r="O6389" s="2" t="str">
        <x:v>Đà Nẵng|land</x:v>
      </x:c>
      <x:c r="P6389" s="10" t="n">
        <x:v>2</x:v>
      </x:c>
      <x:c r="Q6389" s="13" t="n">
        <x:f>IF(H6389="","",H6389/1000000000)</x:f>
        <x:v>1.22</x:v>
      </x:c>
      <x:c r="R6389" s="13" t="n">
        <x:f>IF(I6389="","",I6389/1000000)</x:f>
        <x:v>24.4</x:v>
      </x:c>
    </x:row>
    <x:row r="6390" ht="21" customHeight="1">
      <x:c r="A6390" s="10" t="n">
        <x:v>8262</x:v>
      </x:c>
      <x:c r="B6390" s="2" t="str">
        <x:v>9171e8a13e3e80385bc8</x:v>
      </x:c>
      <x:c r="C6390" s="2" t="str">
        <x:v>Tp Hồ Chí Minh</x:v>
      </x:c>
      <x:c r="D6390" s="2" t="str">
        <x:v>Quận 12</x:v>
      </x:c>
      <x:c r="E6390" s="2" t="str">
        <x:v>house</x:v>
      </x:c>
      <x:c r="F6390" s="2" t="str">
        <x:v>sale_assumed</x:v>
      </x:c>
      <x:c r="G6390" s="11" t="n">
        <x:v>16</x:v>
      </x:c>
      <x:c r="H6390" s="12" t="n">
        <x:v>630000000</x:v>
      </x:c>
      <x:c r="I6390" s="12" t="n">
        <x:v>39375000</x:v>
      </x:c>
      <x:c r="J6390" s="2" t="str">
        <x:v>total</x:v>
      </x:c>
      <x:c r="K6390" s="2" t="str">
        <x:v>top_level_area</x:v>
      </x:c>
      <x:c r="L6390" s="2" t="str">
        <x:v>property_type_inferred_from_title;transaction_assumed_sale_from_dataset_context</x:v>
      </x:c>
      <x:c r="M6390" s="10" t="n">
        <x:v>0</x:v>
      </x:c>
      <x:c r="N6390" s="10" t="n">
        <x:v>0</x:v>
      </x:c>
      <x:c r="O6390" s="2" t="str">
        <x:v>Tp Hồ Chí Minh|house</x:v>
      </x:c>
      <x:c r="P6390" s="10" t="n">
        <x:v>2</x:v>
      </x:c>
      <x:c r="Q6390" s="13" t="n">
        <x:f>IF(H6390="","",H6390/1000000000)</x:f>
        <x:v>0.63</x:v>
      </x:c>
      <x:c r="R6390" s="13" t="n">
        <x:f>IF(I6390="","",I6390/1000000)</x:f>
        <x:v>39.375</x:v>
      </x:c>
    </x:row>
    <x:row r="6391" ht="21" customHeight="1">
      <x:c r="A6391" s="10" t="n">
        <x:v>8263</x:v>
      </x:c>
      <x:c r="B6391" s="2" t="str">
        <x:v>18546f30a1a4e0844e78</x:v>
      </x:c>
      <x:c r="C6391" s="2" t="str">
        <x:v>Tp Hồ Chí Minh</x:v>
      </x:c>
      <x:c r="D6391" s="2" t="str">
        <x:v>Quận Tân Bình</x:v>
      </x:c>
      <x:c r="E6391" s="2" t="str">
        <x:v>house</x:v>
      </x:c>
      <x:c r="F6391" s="2" t="str">
        <x:v>sale_assumed</x:v>
      </x:c>
      <x:c r="G6391" s="11" t="n">
        <x:v>31</x:v>
      </x:c>
      <x:c r="H6391" s="12" t="n">
        <x:v>4150000000.0000005</x:v>
      </x:c>
      <x:c r="I6391" s="12" t="n">
        <x:v>133870967.7419355</x:v>
      </x:c>
      <x:c r="J6391" s="2" t="str">
        <x:v>total</x:v>
      </x:c>
      <x:c r="K6391" s="2" t="str">
        <x:v>top_level_area</x:v>
      </x:c>
      <x:c r="L6391" s="2" t="str">
        <x:v>property_type_inferred_from_title;transaction_assumed_sale_from_dataset_context</x:v>
      </x:c>
      <x:c r="M6391" s="10" t="n">
        <x:v>0</x:v>
      </x:c>
      <x:c r="N6391" s="10" t="n">
        <x:v>0</x:v>
      </x:c>
      <x:c r="O6391" s="2" t="str">
        <x:v>Tp Hồ Chí Minh|house</x:v>
      </x:c>
      <x:c r="P6391" s="10" t="n">
        <x:v>2</x:v>
      </x:c>
      <x:c r="Q6391" s="13" t="n">
        <x:f>IF(H6391="","",H6391/1000000000)</x:f>
        <x:v>4.15</x:v>
      </x:c>
      <x:c r="R6391" s="13" t="n">
        <x:f>IF(I6391="","",I6391/1000000)</x:f>
        <x:v>133.87096774193552</x:v>
      </x:c>
    </x:row>
    <x:row r="6392" ht="21" customHeight="1">
      <x:c r="A6392" s="10" t="n">
        <x:v>8264</x:v>
      </x:c>
      <x:c r="B6392" s="2" t="str">
        <x:v>9543eaaf0ff6f2376cb9</x:v>
      </x:c>
      <x:c r="C6392" s="2" t="str">
        <x:v>Tp Hồ Chí Minh</x:v>
      </x:c>
      <x:c r="D6392" s="2" t="str">
        <x:v>Quận Tân Bình</x:v>
      </x:c>
      <x:c r="E6392" s="2" t="str">
        <x:v>house</x:v>
      </x:c>
      <x:c r="F6392" s="2" t="str">
        <x:v>sale_assumed</x:v>
      </x:c>
      <x:c r="G6392" s="11" t="n">
        <x:v>45</x:v>
      </x:c>
      <x:c r="H6392" s="12" t="n">
        <x:v>4500000000</x:v>
      </x:c>
      <x:c r="I6392" s="12" t="n">
        <x:v>100000000</x:v>
      </x:c>
      <x:c r="J6392" s="2" t="str">
        <x:v>total</x:v>
      </x:c>
      <x:c r="K6392" s="2" t="str">
        <x:v>top_level_area</x:v>
      </x:c>
      <x:c r="L6392" s="2" t="str">
        <x:v>property_type_inferred_from_title;transaction_assumed_sale_from_dataset_context</x:v>
      </x:c>
      <x:c r="M6392" s="10" t="n">
        <x:v>0</x:v>
      </x:c>
      <x:c r="N6392" s="10" t="n">
        <x:v>0</x:v>
      </x:c>
      <x:c r="O6392" s="2" t="str">
        <x:v>Tp Hồ Chí Minh|house</x:v>
      </x:c>
      <x:c r="P6392" s="10" t="n">
        <x:v>2</x:v>
      </x:c>
      <x:c r="Q6392" s="13" t="n">
        <x:f>IF(H6392="","",H6392/1000000000)</x:f>
        <x:v>4.5</x:v>
      </x:c>
      <x:c r="R6392" s="13" t="n">
        <x:f>IF(I6392="","",I6392/1000000)</x:f>
        <x:v>100</x:v>
      </x:c>
    </x:row>
    <x:row r="6393" ht="21" customHeight="1">
      <x:c r="A6393" s="10" t="n">
        <x:v>8265</x:v>
      </x:c>
      <x:c r="B6393" s="2" t="str">
        <x:v>fee931cae6445f4e09b2</x:v>
      </x:c>
      <x:c r="C6393" s="2" t="str">
        <x:v>Tp Hồ Chí Minh</x:v>
      </x:c>
      <x:c r="D6393" s="2" t="str">
        <x:v>Huyện Củ Chi</x:v>
      </x:c>
      <x:c r="E6393" s="2" t="str">
        <x:v>land</x:v>
      </x:c>
      <x:c r="F6393" s="2" t="str">
        <x:v>sale</x:v>
      </x:c>
      <x:c r="G6393" s="11" t="n">
        <x:v>508</x:v>
      </x:c>
      <x:c r="H6393" s="12" t="n">
        <x:v>700000000</x:v>
      </x:c>
      <x:c r="I6393" s="12" t="n">
        <x:v>1377952.7559055118</x:v>
      </x:c>
      <x:c r="J6393" s="2" t="str">
        <x:v>total</x:v>
      </x:c>
      <x:c r="K6393" s="2" t="str">
        <x:v>top_level_area</x:v>
      </x:c>
      <x:c r="L6393" s="2" t="str">
        <x:v>property_type_inferred_from_title</x:v>
      </x:c>
      <x:c r="M6393" s="10" t="n">
        <x:v>0</x:v>
      </x:c>
      <x:c r="N6393" s="10" t="n">
        <x:v>0</x:v>
      </x:c>
      <x:c r="O6393" s="2" t="str">
        <x:v>Tp Hồ Chí Minh|land</x:v>
      </x:c>
      <x:c r="P6393" s="10" t="n">
        <x:v>1</x:v>
      </x:c>
      <x:c r="Q6393" s="13" t="n">
        <x:f>IF(H6393="","",H6393/1000000000)</x:f>
        <x:v>0.7</x:v>
      </x:c>
      <x:c r="R6393" s="13" t="n">
        <x:f>IF(I6393="","",I6393/1000000)</x:f>
        <x:v>1.3779527559055118</x:v>
      </x:c>
    </x:row>
    <x:row r="6394" ht="21" customHeight="1">
      <x:c r="A6394" s="10" t="n">
        <x:v>8266</x:v>
      </x:c>
      <x:c r="B6394" s="2" t="str">
        <x:v>7bd357d398672343f450</x:v>
      </x:c>
      <x:c r="C6394" s="2" t="str">
        <x:v>Tp Hồ Chí Minh</x:v>
      </x:c>
      <x:c r="D6394" s="2" t="str">
        <x:v>Quận Gò Vấp</x:v>
      </x:c>
      <x:c r="E6394" s="2" t="str">
        <x:v>house</x:v>
      </x:c>
      <x:c r="F6394" s="2" t="str">
        <x:v>sale</x:v>
      </x:c>
      <x:c r="G6394" s="11" t="n">
        <x:v>68</x:v>
      </x:c>
      <x:c r="H6394" s="12" t="n">
        <x:v>7500000000</x:v>
      </x:c>
      <x:c r="I6394" s="12" t="n">
        <x:v>110294117.64705883</x:v>
      </x:c>
      <x:c r="J6394" s="2" t="str">
        <x:v>total</x:v>
      </x:c>
      <x:c r="K6394" s="2" t="str">
        <x:v>top_level_area</x:v>
      </x:c>
      <x:c r="L6394" s="2" t="str">
        <x:v>property_type_inferred_from_title</x:v>
      </x:c>
      <x:c r="M6394" s="10" t="n">
        <x:v>0</x:v>
      </x:c>
      <x:c r="N6394" s="10" t="n">
        <x:v>0</x:v>
      </x:c>
      <x:c r="O6394" s="2" t="str">
        <x:v>Tp Hồ Chí Minh|house</x:v>
      </x:c>
      <x:c r="P6394" s="10" t="n">
        <x:v>2</x:v>
      </x:c>
      <x:c r="Q6394" s="13" t="n">
        <x:f>IF(H6394="","",H6394/1000000000)</x:f>
        <x:v>7.5</x:v>
      </x:c>
      <x:c r="R6394" s="13" t="n">
        <x:f>IF(I6394="","",I6394/1000000)</x:f>
        <x:v>110.29411764705883</x:v>
      </x:c>
    </x:row>
    <x:row r="6395" ht="21" customHeight="1">
      <x:c r="A6395" s="10" t="n">
        <x:v>8267</x:v>
      </x:c>
      <x:c r="B6395" s="2" t="str">
        <x:v>98575da8204c495ea9f3</x:v>
      </x:c>
      <x:c r="C6395" s="2" t="str">
        <x:v>Đà Nẵng</x:v>
      </x:c>
      <x:c r="D6395" s="2" t="str">
        <x:v>Quận Ngũ Hành Sơn</x:v>
      </x:c>
      <x:c r="E6395" s="2" t="str">
        <x:v>land</x:v>
      </x:c>
      <x:c r="F6395" s="2" t="str">
        <x:v>sale_assumed</x:v>
      </x:c>
      <x:c r="G6395" s="11" t="n">
        <x:v>153</x:v>
      </x:c>
      <x:c r="H6395" s="12" t="n">
        <x:v>2500000000</x:v>
      </x:c>
      <x:c r="I6395" s="12" t="n">
        <x:v>16339869.281045752</x:v>
      </x:c>
      <x:c r="J6395" s="2" t="str">
        <x:v>total</x:v>
      </x:c>
      <x:c r="K6395" s="2" t="str">
        <x:v>top_level_area</x:v>
      </x:c>
      <x:c r="L6395" s="2" t="str">
        <x:v>property_type_inferred_from_title;transaction_assumed_sale_from_dataset_context</x:v>
      </x:c>
      <x:c r="M6395" s="10" t="n">
        <x:v>0</x:v>
      </x:c>
      <x:c r="N6395" s="10" t="n">
        <x:v>0</x:v>
      </x:c>
      <x:c r="O6395" s="2" t="str">
        <x:v>Đà Nẵng|land</x:v>
      </x:c>
      <x:c r="P6395" s="10" t="n">
        <x:v>2</x:v>
      </x:c>
      <x:c r="Q6395" s="13" t="n">
        <x:f>IF(H6395="","",H6395/1000000000)</x:f>
        <x:v>2.5</x:v>
      </x:c>
      <x:c r="R6395" s="13" t="n">
        <x:f>IF(I6395="","",I6395/1000000)</x:f>
        <x:v>16.33986928104575</x:v>
      </x:c>
    </x:row>
    <x:row r="6396" ht="21" customHeight="1">
      <x:c r="A6396" s="10" t="n">
        <x:v>8268</x:v>
      </x:c>
      <x:c r="B6396" s="2" t="str">
        <x:v>97a69249e1c58ea248e1</x:v>
      </x:c>
      <x:c r="C6396" s="2" t="str">
        <x:v>Hải Phòng</x:v>
      </x:c>
      <x:c r="D6396" s="2" t="str">
        <x:v>Huyện Thuỷ Nguyên</x:v>
      </x:c>
      <x:c r="E6396" s="2" t="str">
        <x:v>land</x:v>
      </x:c>
      <x:c r="F6396" s="2" t="str">
        <x:v>sale_assumed</x:v>
      </x:c>
      <x:c r="G6396" s="11" t="n">
        <x:v>91.8</x:v>
      </x:c>
      <x:c r="H6396" s="12" t="n">
        <x:v>1200000000</x:v>
      </x:c>
      <x:c r="I6396" s="12" t="n">
        <x:v>13071895.424836602</x:v>
      </x:c>
      <x:c r="J6396" s="2" t="str">
        <x:v>total</x:v>
      </x:c>
      <x:c r="K6396" s="2" t="str">
        <x:v>top_level_area</x:v>
      </x:c>
      <x:c r="L6396" s="2" t="str">
        <x:v>property_type_inferred_from_title;transaction_assumed_sale_from_dataset_context</x:v>
      </x:c>
      <x:c r="M6396" s="10" t="n">
        <x:v>0</x:v>
      </x:c>
      <x:c r="N6396" s="10" t="n">
        <x:v>0</x:v>
      </x:c>
      <x:c r="O6396" s="2" t="str">
        <x:v>land</x:v>
      </x:c>
      <x:c r="P6396" s="10" t="n">
        <x:v>2</x:v>
      </x:c>
      <x:c r="Q6396" s="13" t="n">
        <x:f>IF(H6396="","",H6396/1000000000)</x:f>
        <x:v>1.2</x:v>
      </x:c>
      <x:c r="R6396" s="13" t="n">
        <x:f>IF(I6396="","",I6396/1000000)</x:f>
        <x:v>13.071895424836603</x:v>
      </x:c>
    </x:row>
    <x:row r="6397" ht="21" customHeight="1">
      <x:c r="A6397" s="10" t="n">
        <x:v>8270</x:v>
      </x:c>
      <x:c r="B6397" s="2" t="str">
        <x:v>fded1919bcdad70b7167</x:v>
      </x:c>
      <x:c r="C6397" s="2" t="str">
        <x:v>Tp Hồ Chí Minh</x:v>
      </x:c>
      <x:c r="D6397" s="2" t="str">
        <x:v>Quận 11</x:v>
      </x:c>
      <x:c r="E6397" s="2" t="str">
        <x:v>house</x:v>
      </x:c>
      <x:c r="F6397" s="2" t="str">
        <x:v>sale_assumed</x:v>
      </x:c>
      <x:c r="G6397" s="11" t="n">
        <x:v>156</x:v>
      </x:c>
      <x:c r="H6397" s="12" t="n">
        <x:v>23600000000</x:v>
      </x:c>
      <x:c r="I6397" s="12" t="n">
        <x:v>151282051.2820513</x:v>
      </x:c>
      <x:c r="J6397" s="2" t="str">
        <x:v>total</x:v>
      </x:c>
      <x:c r="K6397" s="2" t="str">
        <x:v>top_level_area</x:v>
      </x:c>
      <x:c r="L6397" s="2" t="str">
        <x:v>property_type_inferred_from_title;transaction_assumed_sale_from_dataset_context</x:v>
      </x:c>
      <x:c r="M6397" s="10" t="n">
        <x:v>0</x:v>
      </x:c>
      <x:c r="N6397" s="10" t="n">
        <x:v>0</x:v>
      </x:c>
      <x:c r="O6397" s="2" t="str">
        <x:v>Tp Hồ Chí Minh|house</x:v>
      </x:c>
      <x:c r="P6397" s="10" t="n">
        <x:v>2</x:v>
      </x:c>
      <x:c r="Q6397" s="13" t="n">
        <x:f>IF(H6397="","",H6397/1000000000)</x:f>
        <x:v>23.6</x:v>
      </x:c>
      <x:c r="R6397" s="13" t="n">
        <x:f>IF(I6397="","",I6397/1000000)</x:f>
        <x:v>151.2820512820513</x:v>
      </x:c>
    </x:row>
    <x:row r="6398" ht="21" customHeight="1">
      <x:c r="A6398" s="10" t="n">
        <x:v>8271</x:v>
      </x:c>
      <x:c r="B6398" s="2" t="str">
        <x:v>6c3b436d57f881270424</x:v>
      </x:c>
      <x:c r="C6398" s="2" t="str">
        <x:v>Tp Hồ Chí Minh</x:v>
      </x:c>
      <x:c r="D6398" s="2" t="str">
        <x:v>Quận Bình Thạnh</x:v>
      </x:c>
      <x:c r="E6398" s="2" t="str">
        <x:v>other_unknown</x:v>
      </x:c>
      <x:c r="F6398" s="2" t="str">
        <x:v>sale</x:v>
      </x:c>
      <x:c r="G6398" s="11" t="n">
        <x:v>86</x:v>
      </x:c>
      <x:c r="H6398" s="12" t="n">
        <x:v>4200000000</x:v>
      </x:c>
      <x:c r="I6398" s="12" t="n">
        <x:v>48837209.302325584</x:v>
      </x:c>
      <x:c r="J6398" s="2" t="str">
        <x:v>total</x:v>
      </x:c>
      <x:c r="K6398" s="2" t="str">
        <x:v>top_level_area</x:v>
      </x:c>
      <x:c r="L6398" s="2" t="str">
        <x:v>property_type_inferred_from_title;unknown_property_type</x:v>
      </x:c>
      <x:c r="M6398" s="10" t="n">
        <x:v>0</x:v>
      </x:c>
      <x:c r="N6398" s="10" t="n">
        <x:v>0</x:v>
      </x:c>
      <x:c r="O6398" s="2" t="str">
        <x:v>Tp Hồ Chí Minh|other_unknown</x:v>
      </x:c>
      <x:c r="P6398" s="10" t="n">
        <x:v>2</x:v>
      </x:c>
      <x:c r="Q6398" s="13" t="n">
        <x:f>IF(H6398="","",H6398/1000000000)</x:f>
        <x:v>4.2</x:v>
      </x:c>
      <x:c r="R6398" s="13" t="n">
        <x:f>IF(I6398="","",I6398/1000000)</x:f>
        <x:v>48.83720930232558</x:v>
      </x:c>
    </x:row>
    <x:row r="6399" ht="21" customHeight="1">
      <x:c r="A6399" s="10" t="n">
        <x:v>8272</x:v>
      </x:c>
      <x:c r="B6399" s="2" t="str">
        <x:v>a12dbabdaa60cdc95219</x:v>
      </x:c>
      <x:c r="C6399" s="2" t="str">
        <x:v>Tp Hồ Chí Minh</x:v>
      </x:c>
      <x:c r="D6399" s="2" t="str">
        <x:v>Quận Bình Tân</x:v>
      </x:c>
      <x:c r="E6399" s="2" t="str">
        <x:v>land</x:v>
      </x:c>
      <x:c r="F6399" s="2" t="str">
        <x:v>sale</x:v>
      </x:c>
      <x:c r="G6399" s="11" t="n">
        <x:v>53</x:v>
      </x:c>
      <x:c r="H6399" s="12" t="n">
        <x:v>3150000000</x:v>
      </x:c>
      <x:c r="I6399" s="12" t="n">
        <x:v>59433962.26415094</x:v>
      </x:c>
      <x:c r="J6399" s="2" t="str">
        <x:v>total</x:v>
      </x:c>
      <x:c r="K6399" s="2" t="str">
        <x:v>top_level_area</x:v>
      </x:c>
      <x:c r="L6399" s="2" t="str">
        <x:v>property_type_inferred_from_title</x:v>
      </x:c>
      <x:c r="M6399" s="10" t="n">
        <x:v>0</x:v>
      </x:c>
      <x:c r="N6399" s="10" t="n">
        <x:v>0</x:v>
      </x:c>
      <x:c r="O6399" s="2" t="str">
        <x:v>Tp Hồ Chí Minh|land</x:v>
      </x:c>
      <x:c r="P6399" s="10" t="n">
        <x:v>2</x:v>
      </x:c>
      <x:c r="Q6399" s="13" t="n">
        <x:f>IF(H6399="","",H6399/1000000000)</x:f>
        <x:v>3.15</x:v>
      </x:c>
      <x:c r="R6399" s="13" t="n">
        <x:f>IF(I6399="","",I6399/1000000)</x:f>
        <x:v>59.43396226415094</x:v>
      </x:c>
    </x:row>
    <x:row r="6400" ht="21" customHeight="1">
      <x:c r="A6400" s="10" t="n">
        <x:v>8273</x:v>
      </x:c>
      <x:c r="B6400" s="2" t="str">
        <x:v>d8c6dc79c6cc67af488f</x:v>
      </x:c>
      <x:c r="C6400" s="2" t="str">
        <x:v>Tp Hồ Chí Minh</x:v>
      </x:c>
      <x:c r="D6400" s="2" t="str">
        <x:v>Huyện Nhà Bè</x:v>
      </x:c>
      <x:c r="E6400" s="2" t="str">
        <x:v>house</x:v>
      </x:c>
      <x:c r="F6400" s="2" t="str">
        <x:v>sale_assumed</x:v>
      </x:c>
      <x:c r="G6400" s="11" t="n">
        <x:v>56</x:v>
      </x:c>
      <x:c r="H6400" s="12" t="n">
        <x:v>4400000000</x:v>
      </x:c>
      <x:c r="I6400" s="12" t="n">
        <x:v>78571428.57142857</x:v>
      </x:c>
      <x:c r="J6400" s="2" t="str">
        <x:v>total</x:v>
      </x:c>
      <x:c r="K6400" s="2" t="str">
        <x:v>top_level_area</x:v>
      </x:c>
      <x:c r="L6400" s="2" t="str">
        <x:v>property_type_inferred_from_title;transaction_assumed_sale_from_dataset_context</x:v>
      </x:c>
      <x:c r="M6400" s="10" t="n">
        <x:v>0</x:v>
      </x:c>
      <x:c r="N6400" s="10" t="n">
        <x:v>0</x:v>
      </x:c>
      <x:c r="O6400" s="2" t="str">
        <x:v>Tp Hồ Chí Minh|house</x:v>
      </x:c>
      <x:c r="P6400" s="10" t="n">
        <x:v>2</x:v>
      </x:c>
      <x:c r="Q6400" s="13" t="n">
        <x:f>IF(H6400="","",H6400/1000000000)</x:f>
        <x:v>4.4</x:v>
      </x:c>
      <x:c r="R6400" s="13" t="n">
        <x:f>IF(I6400="","",I6400/1000000)</x:f>
        <x:v>78.57142857142857</x:v>
      </x:c>
    </x:row>
    <x:row r="6401" ht="21" customHeight="1">
      <x:c r="A6401" s="10" t="n">
        <x:v>8274</x:v>
      </x:c>
      <x:c r="B6401" s="2" t="str">
        <x:v>a7a5e958564de33c3a0e</x:v>
      </x:c>
      <x:c r="C6401" s="2" t="str">
        <x:v>Đồng Nai</x:v>
      </x:c>
      <x:c r="D6401" s="2" t="str">
        <x:v>Huyện Xuân Lộc</x:v>
      </x:c>
      <x:c r="E6401" s="2" t="str">
        <x:v>land</x:v>
      </x:c>
      <x:c r="F6401" s="2" t="str">
        <x:v>sale_assumed</x:v>
      </x:c>
      <x:c r="G6401" s="11" t="n">
        <x:v>1200</x:v>
      </x:c>
      <x:c r="H6401" s="12" t="n">
        <x:v>2150000000</x:v>
      </x:c>
      <x:c r="I6401" s="12" t="n">
        <x:v>1791666.6666666667</x:v>
      </x:c>
      <x:c r="J6401" s="2" t="str">
        <x:v>total</x:v>
      </x:c>
      <x:c r="K6401" s="2" t="str">
        <x:v>top_level_area</x:v>
      </x:c>
      <x:c r="L6401" s="2" t="str">
        <x:v>dot_thousands_convention;property_type_inferred_from_title;transaction_assumed_sale_from_dataset_context</x:v>
      </x:c>
      <x:c r="M6401" s="10" t="n">
        <x:v>0</x:v>
      </x:c>
      <x:c r="N6401" s="10" t="n">
        <x:v>0</x:v>
      </x:c>
      <x:c r="O6401" s="2" t="str">
        <x:v>Đồng Nai|land</x:v>
      </x:c>
      <x:c r="P6401" s="10" t="n">
        <x:v>1</x:v>
      </x:c>
      <x:c r="Q6401" s="13" t="n">
        <x:f>IF(H6401="","",H6401/1000000000)</x:f>
        <x:v>2.15</x:v>
      </x:c>
      <x:c r="R6401" s="13" t="n">
        <x:f>IF(I6401="","",I6401/1000000)</x:f>
        <x:v>1.7916666666666667</x:v>
      </x:c>
    </x:row>
    <x:row r="6402" ht="21" customHeight="1">
      <x:c r="A6402" s="10" t="n">
        <x:v>8275</x:v>
      </x:c>
      <x:c r="B6402" s="2" t="str">
        <x:v>d53077f178a051b608ed</x:v>
      </x:c>
      <x:c r="C6402" s="2" t="str">
        <x:v>Tp Hồ Chí Minh</x:v>
      </x:c>
      <x:c r="D6402" s="2" t="str">
        <x:v>Quận 10</x:v>
      </x:c>
      <x:c r="E6402" s="2" t="str">
        <x:v>house</x:v>
      </x:c>
      <x:c r="F6402" s="2" t="str">
        <x:v>sale</x:v>
      </x:c>
      <x:c r="G6402" s="11" t="n">
        <x:v>63</x:v>
      </x:c>
      <x:c r="H6402" s="12" t="n">
        <x:v>1320000000</x:v>
      </x:c>
      <x:c r="I6402" s="12" t="n">
        <x:v>20952380.95238095</x:v>
      </x:c>
      <x:c r="J6402" s="2" t="str">
        <x:v>total</x:v>
      </x:c>
      <x:c r="K6402" s="2" t="str">
        <x:v>top_level_area</x:v>
      </x:c>
      <x:c r="L6402" s="2" t="str">
        <x:v>property_type_inferred_from_title</x:v>
      </x:c>
      <x:c r="M6402" s="10" t="n">
        <x:v>0</x:v>
      </x:c>
      <x:c r="N6402" s="10" t="n">
        <x:v>0</x:v>
      </x:c>
      <x:c r="O6402" s="2" t="str">
        <x:v>Tp Hồ Chí Minh|house</x:v>
      </x:c>
      <x:c r="P6402" s="10" t="n">
        <x:v>2</x:v>
      </x:c>
      <x:c r="Q6402" s="13" t="n">
        <x:f>IF(H6402="","",H6402/1000000000)</x:f>
        <x:v>1.32</x:v>
      </x:c>
      <x:c r="R6402" s="13" t="n">
        <x:f>IF(I6402="","",I6402/1000000)</x:f>
        <x:v>20.952380952380953</x:v>
      </x:c>
    </x:row>
    <x:row r="6403" ht="21" customHeight="1">
      <x:c r="A6403" s="10" t="n">
        <x:v>8276</x:v>
      </x:c>
      <x:c r="B6403" s="2" t="str">
        <x:v>5c6d9e86685324692133</x:v>
      </x:c>
      <x:c r="C6403" s="2" t="str">
        <x:v>Hà Nội</x:v>
      </x:c>
      <x:c r="D6403" s="2" t="str">
        <x:v>Quận Hà Đông</x:v>
      </x:c>
      <x:c r="E6403" s="2" t="str">
        <x:v>house</x:v>
      </x:c>
      <x:c r="F6403" s="2" t="str">
        <x:v>sale_assumed</x:v>
      </x:c>
      <x:c r="G6403" s="11" t="n">
        <x:v>30</x:v>
      </x:c>
      <x:c r="H6403" s="12" t="n">
        <x:v>1550000000</x:v>
      </x:c>
      <x:c r="I6403" s="12" t="n">
        <x:v>51666666.666666664</x:v>
      </x:c>
      <x:c r="J6403" s="2" t="str">
        <x:v>total</x:v>
      </x:c>
      <x:c r="K6403" s="2" t="str">
        <x:v>top_level_area</x:v>
      </x:c>
      <x:c r="L6403" s="2" t="str">
        <x:v>property_type_inferred_from_title;transaction_assumed_sale_from_dataset_context</x:v>
      </x:c>
      <x:c r="M6403" s="10" t="n">
        <x:v>0</x:v>
      </x:c>
      <x:c r="N6403" s="10" t="n">
        <x:v>0</x:v>
      </x:c>
      <x:c r="O6403" s="2" t="str">
        <x:v>Hà Nội|house</x:v>
      </x:c>
      <x:c r="P6403" s="10" t="n">
        <x:v>2</x:v>
      </x:c>
      <x:c r="Q6403" s="13" t="n">
        <x:f>IF(H6403="","",H6403/1000000000)</x:f>
        <x:v>1.55</x:v>
      </x:c>
      <x:c r="R6403" s="13" t="n">
        <x:f>IF(I6403="","",I6403/1000000)</x:f>
        <x:v>51.666666666666664</x:v>
      </x:c>
    </x:row>
    <x:row r="6404" ht="21" customHeight="1">
      <x:c r="A6404" s="10" t="n">
        <x:v>8277</x:v>
      </x:c>
      <x:c r="B6404" s="2" t="str">
        <x:v>1e748e4b10eb7c3ccc22</x:v>
      </x:c>
      <x:c r="C6404" s="2" t="str">
        <x:v>Tp Hồ Chí Minh</x:v>
      </x:c>
      <x:c r="D6404" s="2" t="str">
        <x:v>Quận Bình Thạnh</x:v>
      </x:c>
      <x:c r="E6404" s="2" t="str">
        <x:v>house</x:v>
      </x:c>
      <x:c r="F6404" s="2" t="str">
        <x:v>sale</x:v>
      </x:c>
      <x:c r="G6404" s="11" t="n">
        <x:v>44</x:v>
      </x:c>
      <x:c r="H6404" s="12" t="n">
        <x:v>6750000000</x:v>
      </x:c>
      <x:c r="I6404" s="12" t="n">
        <x:v>153409090.9090909</x:v>
      </x:c>
      <x:c r="J6404" s="2" t="str">
        <x:v>total</x:v>
      </x:c>
      <x:c r="K6404" s="2" t="str">
        <x:v>top_level_area</x:v>
      </x:c>
      <x:c r="L6404" s="2" t="str">
        <x:v>property_type_inferred_from_title</x:v>
      </x:c>
      <x:c r="M6404" s="10" t="n">
        <x:v>0</x:v>
      </x:c>
      <x:c r="N6404" s="10" t="n">
        <x:v>0</x:v>
      </x:c>
      <x:c r="O6404" s="2" t="str">
        <x:v>Tp Hồ Chí Minh|house</x:v>
      </x:c>
      <x:c r="P6404" s="10" t="n">
        <x:v>2</x:v>
      </x:c>
      <x:c r="Q6404" s="13" t="n">
        <x:f>IF(H6404="","",H6404/1000000000)</x:f>
        <x:v>6.75</x:v>
      </x:c>
      <x:c r="R6404" s="13" t="n">
        <x:f>IF(I6404="","",I6404/1000000)</x:f>
        <x:v>153.4090909090909</x:v>
      </x:c>
    </x:row>
    <x:row r="6405" ht="21" customHeight="1">
      <x:c r="A6405" s="10" t="n">
        <x:v>8281</x:v>
      </x:c>
      <x:c r="B6405" s="2" t="str">
        <x:v>dab10bde94b54b5e0b15</x:v>
      </x:c>
      <x:c r="C6405" s="2" t="str">
        <x:v>Nghệ An</x:v>
      </x:c>
      <x:c r="D6405" s="2" t="str">
        <x:v>Huyện Nghi Lộc</x:v>
      </x:c>
      <x:c r="E6405" s="2" t="str">
        <x:v>land</x:v>
      </x:c>
      <x:c r="F6405" s="2" t="str">
        <x:v>sale_assumed</x:v>
      </x:c>
      <x:c r="G6405" s="11" t="n">
        <x:v>220</x:v>
      </x:c>
      <x:c r="H6405" s="12" t="n">
        <x:v>1900000000</x:v>
      </x:c>
      <x:c r="I6405" s="12" t="n">
        <x:v>8636363.636363637</x:v>
      </x:c>
      <x:c r="J6405" s="2" t="str">
        <x:v>total</x:v>
      </x:c>
      <x:c r="K6405" s="2" t="str">
        <x:v>top_level_area</x:v>
      </x:c>
      <x:c r="L6405" s="2" t="str">
        <x:v>property_type_inferred_from_title;transaction_assumed_sale_from_dataset_context</x:v>
      </x:c>
      <x:c r="M6405" s="10" t="n">
        <x:v>0</x:v>
      </x:c>
      <x:c r="N6405" s="10" t="n">
        <x:v>0</x:v>
      </x:c>
      <x:c r="O6405" s="2" t="str">
        <x:v>land</x:v>
      </x:c>
      <x:c r="P6405" s="10" t="n">
        <x:v>2</x:v>
      </x:c>
      <x:c r="Q6405" s="13" t="n">
        <x:f>IF(H6405="","",H6405/1000000000)</x:f>
        <x:v>1.9</x:v>
      </x:c>
      <x:c r="R6405" s="13" t="n">
        <x:f>IF(I6405="","",I6405/1000000)</x:f>
        <x:v>8.636363636363637</x:v>
      </x:c>
    </x:row>
    <x:row r="6406" ht="21" customHeight="1">
      <x:c r="A6406" s="10" t="n">
        <x:v>8282</x:v>
      </x:c>
      <x:c r="B6406" s="2" t="str">
        <x:v>373dcf0b690deb0dddc3</x:v>
      </x:c>
      <x:c r="C6406" s="2" t="str">
        <x:v>Hà Nội</x:v>
      </x:c>
      <x:c r="D6406" s="2" t="str">
        <x:v>Quận Cầu Giấy</x:v>
      </x:c>
      <x:c r="E6406" s="2" t="str">
        <x:v>apartment</x:v>
      </x:c>
      <x:c r="F6406" s="2" t="str">
        <x:v>sale_assumed</x:v>
      </x:c>
      <x:c r="G6406" s="11" t="n">
        <x:v>40</x:v>
      </x:c>
      <x:c r="H6406" s="12" t="n">
        <x:v>3100000000</x:v>
      </x:c>
      <x:c r="I6406" s="12" t="n">
        <x:v>77500000</x:v>
      </x:c>
      <x:c r="J6406" s="2" t="str">
        <x:v>total</x:v>
      </x:c>
      <x:c r="K6406" s="2" t="str">
        <x:v>top_level_area</x:v>
      </x:c>
      <x:c r="L6406" s="2" t="str">
        <x:v>property_type_inferred_from_title;transaction_assumed_sale_from_dataset_context</x:v>
      </x:c>
      <x:c r="M6406" s="10" t="n">
        <x:v>0</x:v>
      </x:c>
      <x:c r="N6406" s="10" t="n">
        <x:v>1</x:v>
      </x:c>
      <x:c r="O6406" s="2" t="str">
        <x:v>Hà Nội|apartment</x:v>
      </x:c>
      <x:c r="P6406" s="10" t="n">
        <x:v>-1</x:v>
      </x:c>
      <x:c r="Q6406" s="13" t="n">
        <x:f>IF(H6406="","",H6406/1000000000)</x:f>
        <x:v>3.1</x:v>
      </x:c>
      <x:c r="R6406" s="13" t="n">
        <x:f>IF(I6406="","",I6406/1000000)</x:f>
        <x:v>77.5</x:v>
      </x:c>
    </x:row>
    <x:row r="6407" ht="21" customHeight="1">
      <x:c r="A6407" s="10" t="n">
        <x:v>8283</x:v>
      </x:c>
      <x:c r="B6407" s="2" t="str">
        <x:v>7aa30d2d8036d79d8701</x:v>
      </x:c>
      <x:c r="C6407" s="2" t="str">
        <x:v>Đà Nẵng</x:v>
      </x:c>
      <x:c r="D6407" s="2" t="str">
        <x:v>Quận Sơn Trà</x:v>
      </x:c>
      <x:c r="E6407" s="2" t="str">
        <x:v>house</x:v>
      </x:c>
      <x:c r="F6407" s="2" t="str">
        <x:v>sale_assumed</x:v>
      </x:c>
      <x:c r="G6407" s="11" t="n">
        <x:v>102</x:v>
      </x:c>
      <x:c r="H6407" s="12" t="n">
        <x:v>3750000000</x:v>
      </x:c>
      <x:c r="I6407" s="12" t="n">
        <x:v>36764705.88235294</x:v>
      </x:c>
      <x:c r="J6407" s="2" t="str">
        <x:v>total</x:v>
      </x:c>
      <x:c r="K6407" s="2" t="str">
        <x:v>top_level_area</x:v>
      </x:c>
      <x:c r="L6407" s="2" t="str">
        <x:v>property_type_inferred_from_title;transaction_assumed_sale_from_dataset_context</x:v>
      </x:c>
      <x:c r="M6407" s="10" t="n">
        <x:v>0</x:v>
      </x:c>
      <x:c r="N6407" s="10" t="n">
        <x:v>0</x:v>
      </x:c>
      <x:c r="O6407" s="2" t="str">
        <x:v>Đà Nẵng|house</x:v>
      </x:c>
      <x:c r="P6407" s="10" t="n">
        <x:v>2</x:v>
      </x:c>
      <x:c r="Q6407" s="13" t="n">
        <x:f>IF(H6407="","",H6407/1000000000)</x:f>
        <x:v>3.75</x:v>
      </x:c>
      <x:c r="R6407" s="13" t="n">
        <x:f>IF(I6407="","",I6407/1000000)</x:f>
        <x:v>36.76470588235294</x:v>
      </x:c>
    </x:row>
    <x:row r="6408" ht="21" customHeight="1">
      <x:c r="A6408" s="10" t="n">
        <x:v>8284</x:v>
      </x:c>
      <x:c r="B6408" s="2" t="str">
        <x:v>9bd520eb9ca357b5e3f6</x:v>
      </x:c>
      <x:c r="C6408" s="2" t="str">
        <x:v>Tp Hồ Chí Minh</x:v>
      </x:c>
      <x:c r="D6408" s="2" t="str">
        <x:v>Quận 7</x:v>
      </x:c>
      <x:c r="E6408" s="2" t="str">
        <x:v>other_unknown</x:v>
      </x:c>
      <x:c r="F6408" s="2" t="str">
        <x:v>sale</x:v>
      </x:c>
      <x:c r="G6408" s="11" t="n">
        <x:v>252</x:v>
      </x:c>
      <x:c r="H6408" s="12" t="n">
        <x:v>15800000000</x:v>
      </x:c>
      <x:c r="I6408" s="12" t="n">
        <x:v>62698412.6984127</x:v>
      </x:c>
      <x:c r="J6408" s="2" t="str">
        <x:v>total</x:v>
      </x:c>
      <x:c r="K6408" s="2" t="str">
        <x:v>top_level_area</x:v>
      </x:c>
      <x:c r="L6408" s="2" t="str">
        <x:v>property_type_inferred_from_title;unknown_property_type</x:v>
      </x:c>
      <x:c r="M6408" s="10" t="n">
        <x:v>0</x:v>
      </x:c>
      <x:c r="N6408" s="10" t="n">
        <x:v>0</x:v>
      </x:c>
      <x:c r="O6408" s="2" t="str">
        <x:v>Tp Hồ Chí Minh|other_unknown</x:v>
      </x:c>
      <x:c r="P6408" s="10" t="n">
        <x:v>2</x:v>
      </x:c>
      <x:c r="Q6408" s="13" t="n">
        <x:f>IF(H6408="","",H6408/1000000000)</x:f>
        <x:v>15.8</x:v>
      </x:c>
      <x:c r="R6408" s="13" t="n">
        <x:f>IF(I6408="","",I6408/1000000)</x:f>
        <x:v>62.6984126984127</x:v>
      </x:c>
    </x:row>
    <x:row r="6409" ht="21" customHeight="1">
      <x:c r="A6409" s="10" t="n">
        <x:v>8285</x:v>
      </x:c>
      <x:c r="B6409" s="2" t="str">
        <x:v>d70848b1c56f3fdcf67f</x:v>
      </x:c>
      <x:c r="C6409" s="2" t="str">
        <x:v>Bình Dương</x:v>
      </x:c>
      <x:c r="D6409" s="2" t="str">
        <x:v>Huyện Bàu Bàng</x:v>
      </x:c>
      <x:c r="E6409" s="2" t="str">
        <x:v>land</x:v>
      </x:c>
      <x:c r="F6409" s="2" t="str">
        <x:v>sale_assumed</x:v>
      </x:c>
      <x:c r="G6409" s="11" t="n">
        <x:v>192</x:v>
      </x:c>
      <x:c r="H6409" s="12" t="n">
        <x:v>750000000</x:v>
      </x:c>
      <x:c r="I6409" s="12" t="n">
        <x:v>3906250</x:v>
      </x:c>
      <x:c r="J6409" s="2" t="str">
        <x:v>total</x:v>
      </x:c>
      <x:c r="K6409" s="2" t="str">
        <x:v>top_level_area</x:v>
      </x:c>
      <x:c r="L6409" s="2" t="str">
        <x:v>property_type_inferred_from_title;transaction_assumed_sale_from_dataset_context</x:v>
      </x:c>
      <x:c r="M6409" s="10" t="n">
        <x:v>0</x:v>
      </x:c>
      <x:c r="N6409" s="10" t="n">
        <x:v>0</x:v>
      </x:c>
      <x:c r="O6409" s="2" t="str">
        <x:v>Bình Dương|land</x:v>
      </x:c>
      <x:c r="P6409" s="10" t="n">
        <x:v>1</x:v>
      </x:c>
      <x:c r="Q6409" s="13" t="n">
        <x:f>IF(H6409="","",H6409/1000000000)</x:f>
        <x:v>0.75</x:v>
      </x:c>
      <x:c r="R6409" s="13" t="n">
        <x:f>IF(I6409="","",I6409/1000000)</x:f>
        <x:v>3.90625</x:v>
      </x:c>
    </x:row>
    <x:row r="6410" ht="21" customHeight="1">
      <x:c r="A6410" s="10" t="n">
        <x:v>8286</x:v>
      </x:c>
      <x:c r="B6410" s="2" t="str">
        <x:v>d13ab8107b52478e2978</x:v>
      </x:c>
      <x:c r="C6410" s="2" t="str">
        <x:v>Tây Ninh</x:v>
      </x:c>
      <x:c r="D6410" s="2" t="str">
        <x:v>Huyện Gò Dầu</x:v>
      </x:c>
      <x:c r="E6410" s="2" t="str">
        <x:v>land</x:v>
      </x:c>
      <x:c r="F6410" s="2" t="str">
        <x:v>sale_assumed</x:v>
      </x:c>
      <x:c r="G6410" s="11" t="n">
        <x:v>100</x:v>
      </x:c>
      <x:c r="H6410" s="12" t="n">
        <x:v>390000000</x:v>
      </x:c>
      <x:c r="I6410" s="12" t="n">
        <x:v>3900000</x:v>
      </x:c>
      <x:c r="J6410" s="2" t="str">
        <x:v>total</x:v>
      </x:c>
      <x:c r="K6410" s="2" t="str">
        <x:v>top_level_area</x:v>
      </x:c>
      <x:c r="L6410" s="2" t="str">
        <x:v>property_type_inferred_from_title;transaction_assumed_sale_from_dataset_context</x:v>
      </x:c>
      <x:c r="M6410" s="10" t="n">
        <x:v>0</x:v>
      </x:c>
      <x:c r="N6410" s="10" t="n">
        <x:v>0</x:v>
      </x:c>
      <x:c r="O6410" s="2" t="str">
        <x:v>land</x:v>
      </x:c>
      <x:c r="P6410" s="10" t="n">
        <x:v>2</x:v>
      </x:c>
      <x:c r="Q6410" s="13" t="n">
        <x:f>IF(H6410="","",H6410/1000000000)</x:f>
        <x:v>0.39</x:v>
      </x:c>
      <x:c r="R6410" s="13" t="n">
        <x:f>IF(I6410="","",I6410/1000000)</x:f>
        <x:v>3.9</x:v>
      </x:c>
    </x:row>
    <x:row r="6411" ht="21" customHeight="1">
      <x:c r="A6411" s="10" t="n">
        <x:v>8287</x:v>
      </x:c>
      <x:c r="B6411" s="2" t="str">
        <x:v>37bde5ad7177b3bcb019</x:v>
      </x:c>
      <x:c r="C6411" s="2" t="str">
        <x:v>Đà Nẵng</x:v>
      </x:c>
      <x:c r="D6411" s="2" t="str">
        <x:v>Quận Cẩm Lệ</x:v>
      </x:c>
      <x:c r="E6411" s="2" t="str">
        <x:v>house</x:v>
      </x:c>
      <x:c r="F6411" s="2" t="str">
        <x:v>sale</x:v>
      </x:c>
      <x:c r="G6411" s="11" t="n">
        <x:v>239</x:v>
      </x:c>
      <x:c r="H6411" s="12" t="n">
        <x:v>8400000000</x:v>
      </x:c>
      <x:c r="I6411" s="12" t="n">
        <x:v>35146443.514644355</x:v>
      </x:c>
      <x:c r="J6411" s="2" t="str">
        <x:v>total</x:v>
      </x:c>
      <x:c r="K6411" s="2" t="str">
        <x:v>top_level_area</x:v>
      </x:c>
      <x:c r="L6411" s="2" t="str">
        <x:v>property_type_inferred_from_title</x:v>
      </x:c>
      <x:c r="M6411" s="10" t="n">
        <x:v>0</x:v>
      </x:c>
      <x:c r="N6411" s="10" t="n">
        <x:v>0</x:v>
      </x:c>
      <x:c r="O6411" s="2" t="str">
        <x:v>Đà Nẵng|house</x:v>
      </x:c>
      <x:c r="P6411" s="10" t="n">
        <x:v>2</x:v>
      </x:c>
      <x:c r="Q6411" s="13" t="n">
        <x:f>IF(H6411="","",H6411/1000000000)</x:f>
        <x:v>8.4</x:v>
      </x:c>
      <x:c r="R6411" s="13" t="n">
        <x:f>IF(I6411="","",I6411/1000000)</x:f>
        <x:v>35.14644351464435</x:v>
      </x:c>
    </x:row>
    <x:row r="6412" ht="21" customHeight="1">
      <x:c r="A6412" s="10" t="n">
        <x:v>8288</x:v>
      </x:c>
      <x:c r="B6412" s="2" t="str">
        <x:v>9c9fc57b4baf40fbb421</x:v>
      </x:c>
      <x:c r="C6412" s="2" t="str">
        <x:v>Hà Nội</x:v>
      </x:c>
      <x:c r="D6412" s="2" t="str">
        <x:v>Quận Hà Đông</x:v>
      </x:c>
      <x:c r="E6412" s="2" t="str">
        <x:v>house</x:v>
      </x:c>
      <x:c r="F6412" s="2" t="str">
        <x:v>sale_assumed</x:v>
      </x:c>
      <x:c r="G6412" s="11" t="n">
        <x:v>38</x:v>
      </x:c>
      <x:c r="H6412" s="12" t="n">
        <x:v>1483000000</x:v>
      </x:c>
      <x:c r="I6412" s="12" t="n">
        <x:v>39026315.78947368</x:v>
      </x:c>
      <x:c r="J6412" s="2" t="str">
        <x:v>total</x:v>
      </x:c>
      <x:c r="K6412" s="2" t="str">
        <x:v>top_level_area</x:v>
      </x:c>
      <x:c r="L6412" s="2" t="str">
        <x:v>property_type_inferred_from_title;transaction_assumed_sale_from_dataset_context</x:v>
      </x:c>
      <x:c r="M6412" s="10" t="n">
        <x:v>0</x:v>
      </x:c>
      <x:c r="N6412" s="10" t="n">
        <x:v>0</x:v>
      </x:c>
      <x:c r="O6412" s="2" t="str">
        <x:v>Hà Nội|house</x:v>
      </x:c>
      <x:c r="P6412" s="10" t="n">
        <x:v>2</x:v>
      </x:c>
      <x:c r="Q6412" s="13" t="n">
        <x:f>IF(H6412="","",H6412/1000000000)</x:f>
        <x:v>1.483</x:v>
      </x:c>
      <x:c r="R6412" s="13" t="n">
        <x:f>IF(I6412="","",I6412/1000000)</x:f>
        <x:v>39.026315789473685</x:v>
      </x:c>
    </x:row>
    <x:row r="6413" ht="21" customHeight="1">
      <x:c r="A6413" s="10" t="n">
        <x:v>8289</x:v>
      </x:c>
      <x:c r="B6413" s="2" t="str">
        <x:v>340ac9d8a8874c211512</x:v>
      </x:c>
      <x:c r="C6413" s="2" t="str">
        <x:v>Tp Hồ Chí Minh</x:v>
      </x:c>
      <x:c r="D6413" s="2" t="str">
        <x:v>Huyện Bình Chánh</x:v>
      </x:c>
      <x:c r="E6413" s="2" t="str">
        <x:v>house</x:v>
      </x:c>
      <x:c r="F6413" s="2" t="str">
        <x:v>sale_assumed</x:v>
      </x:c>
      <x:c r="G6413" s="11" t="n">
        <x:v>60</x:v>
      </x:c>
      <x:c r="H6413" s="12" t="n">
        <x:v>700000000</x:v>
      </x:c>
      <x:c r="I6413" s="12" t="n">
        <x:v>11666666.666666666</x:v>
      </x:c>
      <x:c r="J6413" s="2" t="str">
        <x:v>total</x:v>
      </x:c>
      <x:c r="K6413" s="2" t="str">
        <x:v>top_level_area</x:v>
      </x:c>
      <x:c r="L6413" s="2" t="str">
        <x:v>property_type_inferred_from_title;transaction_assumed_sale_from_dataset_context</x:v>
      </x:c>
      <x:c r="M6413" s="10" t="n">
        <x:v>0</x:v>
      </x:c>
      <x:c r="N6413" s="10" t="n">
        <x:v>0</x:v>
      </x:c>
      <x:c r="O6413" s="2" t="str">
        <x:v>Tp Hồ Chí Minh|house</x:v>
      </x:c>
      <x:c r="P6413" s="10" t="n">
        <x:v>2</x:v>
      </x:c>
      <x:c r="Q6413" s="13" t="n">
        <x:f>IF(H6413="","",H6413/1000000000)</x:f>
        <x:v>0.7</x:v>
      </x:c>
      <x:c r="R6413" s="13" t="n">
        <x:f>IF(I6413="","",I6413/1000000)</x:f>
        <x:v>11.666666666666666</x:v>
      </x:c>
    </x:row>
    <x:row r="6414" ht="21" customHeight="1">
      <x:c r="A6414" s="10" t="n">
        <x:v>8290</x:v>
      </x:c>
      <x:c r="B6414" s="2" t="str">
        <x:v>4fa31a1ecc24cbe7d470</x:v>
      </x:c>
      <x:c r="C6414" s="2" t="str">
        <x:v>Tp Hồ Chí Minh</x:v>
      </x:c>
      <x:c r="D6414" s="2" t="str">
        <x:v>Quận 7</x:v>
      </x:c>
      <x:c r="E6414" s="2" t="str">
        <x:v>house</x:v>
      </x:c>
      <x:c r="F6414" s="2" t="str">
        <x:v>sale</x:v>
      </x:c>
      <x:c r="G6414" s="11" t="n">
        <x:v>85</x:v>
      </x:c>
      <x:c r="H6414" s="12" t="n">
        <x:v>950000000</x:v>
      </x:c>
      <x:c r="I6414" s="12" t="n">
        <x:v>11176470.588235294</x:v>
      </x:c>
      <x:c r="J6414" s="2" t="str">
        <x:v>total</x:v>
      </x:c>
      <x:c r="K6414" s="2" t="str">
        <x:v>top_level_area</x:v>
      </x:c>
      <x:c r="L6414" s="2" t="str">
        <x:v>property_type_inferred_from_title</x:v>
      </x:c>
      <x:c r="M6414" s="10" t="n">
        <x:v>0</x:v>
      </x:c>
      <x:c r="N6414" s="10" t="n">
        <x:v>0</x:v>
      </x:c>
      <x:c r="O6414" s="2" t="str">
        <x:v>Tp Hồ Chí Minh|house</x:v>
      </x:c>
      <x:c r="P6414" s="10" t="n">
        <x:v>2</x:v>
      </x:c>
      <x:c r="Q6414" s="13" t="n">
        <x:f>IF(H6414="","",H6414/1000000000)</x:f>
        <x:v>0.95</x:v>
      </x:c>
      <x:c r="R6414" s="13" t="n">
        <x:f>IF(I6414="","",I6414/1000000)</x:f>
        <x:v>11.176470588235295</x:v>
      </x:c>
    </x:row>
    <x:row r="6415" ht="21" customHeight="1">
      <x:c r="A6415" s="10" t="n">
        <x:v>8291</x:v>
      </x:c>
      <x:c r="B6415" s="2" t="str">
        <x:v>26ca28ca35a8aceddc4d</x:v>
      </x:c>
      <x:c r="C6415" s="2" t="str">
        <x:v>Tp Hồ Chí Minh</x:v>
      </x:c>
      <x:c r="D6415" s="2" t="str">
        <x:v>Quận 12</x:v>
      </x:c>
      <x:c r="E6415" s="2" t="str">
        <x:v>house</x:v>
      </x:c>
      <x:c r="F6415" s="2" t="str">
        <x:v>sale_assumed</x:v>
      </x:c>
      <x:c r="G6415" s="11" t="n">
        <x:v>200</x:v>
      </x:c>
      <x:c r="H6415" s="12" t="n">
        <x:v>200000000</x:v>
      </x:c>
      <x:c r="I6415" s="12" t="n">
        <x:v>1000000</x:v>
      </x:c>
      <x:c r="J6415" s="2" t="str">
        <x:v>total</x:v>
      </x:c>
      <x:c r="K6415" s="2" t="str">
        <x:v>top_level_area</x:v>
      </x:c>
      <x:c r="L6415" s="2" t="str">
        <x:v>property_type_inferred_from_title;transaction_assumed_sale_from_dataset_context</x:v>
      </x:c>
      <x:c r="M6415" s="10" t="n">
        <x:v>0</x:v>
      </x:c>
      <x:c r="N6415" s="10" t="n">
        <x:v>0</x:v>
      </x:c>
      <x:c r="O6415" s="2" t="str">
        <x:v>Tp Hồ Chí Minh|house</x:v>
      </x:c>
      <x:c r="P6415" s="10" t="n">
        <x:v>1</x:v>
      </x:c>
      <x:c r="Q6415" s="13" t="n">
        <x:f>IF(H6415="","",H6415/1000000000)</x:f>
        <x:v>0.2</x:v>
      </x:c>
      <x:c r="R6415" s="13" t="n">
        <x:f>IF(I6415="","",I6415/1000000)</x:f>
        <x:v>1</x:v>
      </x:c>
    </x:row>
    <x:row r="6416" ht="21" customHeight="1">
      <x:c r="A6416" s="10" t="n">
        <x:v>8292</x:v>
      </x:c>
      <x:c r="B6416" s="2" t="str">
        <x:v>b200e2ff64a4b653c027</x:v>
      </x:c>
      <x:c r="C6416" s="2" t="str">
        <x:v>Đà Nẵng</x:v>
      </x:c>
      <x:c r="D6416" s="2" t="str">
        <x:v>Quận Cẩm Lệ</x:v>
      </x:c>
      <x:c r="E6416" s="2" t="str">
        <x:v>house</x:v>
      </x:c>
      <x:c r="F6416" s="2" t="str">
        <x:v>sale_assumed</x:v>
      </x:c>
      <x:c r="G6416" s="11" t="n">
        <x:v>80</x:v>
      </x:c>
      <x:c r="H6416" s="12" t="n">
        <x:v>2950000000</x:v>
      </x:c>
      <x:c r="I6416" s="12" t="n">
        <x:v>36875000</x:v>
      </x:c>
      <x:c r="J6416" s="2" t="str">
        <x:v>total</x:v>
      </x:c>
      <x:c r="K6416" s="2" t="str">
        <x:v>top_level_area</x:v>
      </x:c>
      <x:c r="L6416" s="2" t="str">
        <x:v>property_type_inferred_from_title;transaction_assumed_sale_from_dataset_context</x:v>
      </x:c>
      <x:c r="M6416" s="10" t="n">
        <x:v>0</x:v>
      </x:c>
      <x:c r="N6416" s="10" t="n">
        <x:v>0</x:v>
      </x:c>
      <x:c r="O6416" s="2" t="str">
        <x:v>Đà Nẵng|house</x:v>
      </x:c>
      <x:c r="P6416" s="10" t="n">
        <x:v>2</x:v>
      </x:c>
      <x:c r="Q6416" s="13" t="n">
        <x:f>IF(H6416="","",H6416/1000000000)</x:f>
        <x:v>2.95</x:v>
      </x:c>
      <x:c r="R6416" s="13" t="n">
        <x:f>IF(I6416="","",I6416/1000000)</x:f>
        <x:v>36.875</x:v>
      </x:c>
    </x:row>
    <x:row r="6417" ht="21" customHeight="1">
      <x:c r="A6417" s="10" t="n">
        <x:v>8293</x:v>
      </x:c>
      <x:c r="B6417" s="2" t="str">
        <x:v>34f91f91e1a85d4f703f</x:v>
      </x:c>
      <x:c r="C6417" s="2" t="str">
        <x:v>Kiên Giang</x:v>
      </x:c>
      <x:c r="D6417" s="2" t="str">
        <x:v>Huyện Phú Quốc</x:v>
      </x:c>
      <x:c r="E6417" s="2" t="str">
        <x:v>land</x:v>
      </x:c>
      <x:c r="F6417" s="2" t="str">
        <x:v>sale</x:v>
      </x:c>
      <x:c r="G6417" s="11" t="n">
        <x:v>108</x:v>
      </x:c>
      <x:c r="H6417" s="12" t="n">
        <x:v>1300000000</x:v>
      </x:c>
      <x:c r="I6417" s="12" t="n">
        <x:v>12037037.037037037</x:v>
      </x:c>
      <x:c r="J6417" s="2" t="str">
        <x:v>total</x:v>
      </x:c>
      <x:c r="K6417" s="2" t="str">
        <x:v>top_level_area</x:v>
      </x:c>
      <x:c r="L6417" s="2" t="str">
        <x:v>property_type_inferred_from_title</x:v>
      </x:c>
      <x:c r="M6417" s="10" t="n">
        <x:v>0</x:v>
      </x:c>
      <x:c r="N6417" s="10" t="n">
        <x:v>0</x:v>
      </x:c>
      <x:c r="O6417" s="2" t="str">
        <x:v>land</x:v>
      </x:c>
      <x:c r="P6417" s="10" t="n">
        <x:v>2</x:v>
      </x:c>
      <x:c r="Q6417" s="13" t="n">
        <x:f>IF(H6417="","",H6417/1000000000)</x:f>
        <x:v>1.3</x:v>
      </x:c>
      <x:c r="R6417" s="13" t="n">
        <x:f>IF(I6417="","",I6417/1000000)</x:f>
        <x:v>12.037037037037038</x:v>
      </x:c>
    </x:row>
    <x:row r="6418" ht="21" customHeight="1">
      <x:c r="A6418" s="10" t="n">
        <x:v>8294</x:v>
      </x:c>
      <x:c r="B6418" s="2" t="str">
        <x:v>52a9d75c8a16e8b50114</x:v>
      </x:c>
      <x:c r="C6418" s="2" t="str">
        <x:v>Long An</x:v>
      </x:c>
      <x:c r="D6418" s="2" t="str">
        <x:v>Huyện Đức Hòa</x:v>
      </x:c>
      <x:c r="E6418" s="2" t="str">
        <x:v>house</x:v>
      </x:c>
      <x:c r="F6418" s="2" t="str">
        <x:v>sale_assumed</x:v>
      </x:c>
      <x:c r="G6418" s="11" t="n">
        <x:v>60</x:v>
      </x:c>
      <x:c r="H6418" s="12" t="n">
        <x:v>1350000000</x:v>
      </x:c>
      <x:c r="I6418" s="12" t="n">
        <x:v>22500000</x:v>
      </x:c>
      <x:c r="J6418" s="2" t="str">
        <x:v>total</x:v>
      </x:c>
      <x:c r="K6418" s="2" t="str">
        <x:v>top_level_area</x:v>
      </x:c>
      <x:c r="L6418" s="2" t="str">
        <x:v>property_type_inferred_from_title;transaction_assumed_sale_from_dataset_context</x:v>
      </x:c>
      <x:c r="M6418" s="10" t="n">
        <x:v>0</x:v>
      </x:c>
      <x:c r="N6418" s="10" t="n">
        <x:v>0</x:v>
      </x:c>
      <x:c r="O6418" s="2" t="str">
        <x:v>Long An|house</x:v>
      </x:c>
      <x:c r="P6418" s="10" t="n">
        <x:v>2</x:v>
      </x:c>
      <x:c r="Q6418" s="13" t="n">
        <x:f>IF(H6418="","",H6418/1000000000)</x:f>
        <x:v>1.35</x:v>
      </x:c>
      <x:c r="R6418" s="13" t="n">
        <x:f>IF(I6418="","",I6418/1000000)</x:f>
        <x:v>22.5</x:v>
      </x:c>
    </x:row>
    <x:row r="6419" ht="21" customHeight="1">
      <x:c r="A6419" s="10" t="n">
        <x:v>8295</x:v>
      </x:c>
      <x:c r="B6419" s="2" t="str">
        <x:v>4655bbd5119b18ae861d</x:v>
      </x:c>
      <x:c r="C6419" s="2" t="str">
        <x:v>Long An</x:v>
      </x:c>
      <x:c r="D6419" s="2" t="str">
        <x:v>Huyện Cần Đước</x:v>
      </x:c>
      <x:c r="E6419" s="2" t="str">
        <x:v>land</x:v>
      </x:c>
      <x:c r="F6419" s="2" t="str">
        <x:v>sale_assumed</x:v>
      </x:c>
      <x:c r="G6419" s="11" t="n">
        <x:v>90</x:v>
      </x:c>
      <x:c r="H6419" s="12" t="n">
        <x:v>478000000</x:v>
      </x:c>
      <x:c r="I6419" s="12" t="n">
        <x:v>5311111.111111111</x:v>
      </x:c>
      <x:c r="J6419" s="2" t="str">
        <x:v>total</x:v>
      </x:c>
      <x:c r="K6419" s="2" t="str">
        <x:v>top_level_area</x:v>
      </x:c>
      <x:c r="L6419" s="2" t="str">
        <x:v>property_type_inferred_from_title;transaction_assumed_sale_from_dataset_context</x:v>
      </x:c>
      <x:c r="M6419" s="10" t="n">
        <x:v>0</x:v>
      </x:c>
      <x:c r="N6419" s="10" t="n">
        <x:v>0</x:v>
      </x:c>
      <x:c r="O6419" s="2" t="str">
        <x:v>Long An|land</x:v>
      </x:c>
      <x:c r="P6419" s="10" t="n">
        <x:v>2</x:v>
      </x:c>
      <x:c r="Q6419" s="13" t="n">
        <x:f>IF(H6419="","",H6419/1000000000)</x:f>
        <x:v>0.478</x:v>
      </x:c>
      <x:c r="R6419" s="13" t="n">
        <x:f>IF(I6419="","",I6419/1000000)</x:f>
        <x:v>5.311111111111111</x:v>
      </x:c>
    </x:row>
    <x:row r="6420" ht="21" customHeight="1">
      <x:c r="A6420" s="10" t="n">
        <x:v>8296</x:v>
      </x:c>
      <x:c r="B6420" s="2" t="str">
        <x:v>06d12dd62067f27eee15</x:v>
      </x:c>
      <x:c r="C6420" s="2" t="str">
        <x:v>Hà Nội</x:v>
      </x:c>
      <x:c r="D6420" s="2" t="str">
        <x:v>Quận Bắc Từ Liêm</x:v>
      </x:c>
      <x:c r="E6420" s="2" t="str">
        <x:v>house</x:v>
      </x:c>
      <x:c r="F6420" s="2" t="str">
        <x:v>sale_assumed</x:v>
      </x:c>
      <x:c r="G6420" s="11" t="n">
        <x:v>33</x:v>
      </x:c>
      <x:c r="H6420" s="12" t="n">
        <x:v>2950000000</x:v>
      </x:c>
      <x:c r="I6420" s="12" t="n">
        <x:v>89393939.39393939</x:v>
      </x:c>
      <x:c r="J6420" s="2" t="str">
        <x:v>total</x:v>
      </x:c>
      <x:c r="K6420" s="2" t="str">
        <x:v>top_level_area</x:v>
      </x:c>
      <x:c r="L6420" s="2" t="str">
        <x:v>property_type_inferred_from_title;transaction_assumed_sale_from_dataset_context</x:v>
      </x:c>
      <x:c r="M6420" s="10" t="n">
        <x:v>0</x:v>
      </x:c>
      <x:c r="N6420" s="10" t="n">
        <x:v>0</x:v>
      </x:c>
      <x:c r="O6420" s="2" t="str">
        <x:v>Hà Nội|house</x:v>
      </x:c>
      <x:c r="P6420" s="10" t="n">
        <x:v>2</x:v>
      </x:c>
      <x:c r="Q6420" s="13" t="n">
        <x:f>IF(H6420="","",H6420/1000000000)</x:f>
        <x:v>2.95</x:v>
      </x:c>
      <x:c r="R6420" s="13" t="n">
        <x:f>IF(I6420="","",I6420/1000000)</x:f>
        <x:v>89.39393939393939</x:v>
      </x:c>
    </x:row>
    <x:row r="6421" ht="21" customHeight="1">
      <x:c r="A6421" s="10" t="n">
        <x:v>8297</x:v>
      </x:c>
      <x:c r="B6421" s="2" t="str">
        <x:v>5c96e6faab2071cd4275</x:v>
      </x:c>
      <x:c r="C6421" s="2" t="str">
        <x:v>Tp Hồ Chí Minh</x:v>
      </x:c>
      <x:c r="D6421" s="2" t="str">
        <x:v>Quận 9</x:v>
      </x:c>
      <x:c r="E6421" s="2" t="str">
        <x:v>other_unknown</x:v>
      </x:c>
      <x:c r="F6421" s="2" t="str">
        <x:v>sale</x:v>
      </x:c>
      <x:c r="G6421" s="11" t="n">
        <x:v>150</x:v>
      </x:c>
      <x:c r="H6421" s="12" t="n">
        <x:v>1780000000</x:v>
      </x:c>
      <x:c r="I6421" s="12" t="n">
        <x:v>11866666.666666666</x:v>
      </x:c>
      <x:c r="J6421" s="2" t="str">
        <x:v>total</x:v>
      </x:c>
      <x:c r="K6421" s="2" t="str">
        <x:v>top_level_price_embedded_area</x:v>
      </x:c>
      <x:c r="L6421" s="2" t="str">
        <x:v>area_recovered_from_price_text;property_type_inferred_from_title;unknown_property_type</x:v>
      </x:c>
      <x:c r="M6421" s="10" t="n">
        <x:v>0</x:v>
      </x:c>
      <x:c r="N6421" s="10" t="n">
        <x:v>0</x:v>
      </x:c>
      <x:c r="O6421" s="2" t="str">
        <x:v>Tp Hồ Chí Minh|other_unknown</x:v>
      </x:c>
      <x:c r="P6421" s="10" t="n">
        <x:v>2</x:v>
      </x:c>
      <x:c r="Q6421" s="13" t="n">
        <x:f>IF(H6421="","",H6421/1000000000)</x:f>
        <x:v>1.78</x:v>
      </x:c>
      <x:c r="R6421" s="13" t="n">
        <x:f>IF(I6421="","",I6421/1000000)</x:f>
        <x:v>11.866666666666665</x:v>
      </x:c>
    </x:row>
    <x:row r="6422" ht="21" customHeight="1">
      <x:c r="A6422" s="10" t="n">
        <x:v>8298</x:v>
      </x:c>
      <x:c r="B6422" s="2" t="str">
        <x:v>d2505b686bc30eed0bde</x:v>
      </x:c>
      <x:c r="C6422" s="2" t="str">
        <x:v>Tp Hồ Chí Minh</x:v>
      </x:c>
      <x:c r="D6422" s="2" t="str">
        <x:v>Quận 1</x:v>
      </x:c>
      <x:c r="E6422" s="2" t="str">
        <x:v>other_unknown</x:v>
      </x:c>
      <x:c r="F6422" s="2" t="str">
        <x:v>sale</x:v>
      </x:c>
      <x:c r="G6422" s="11" t="n">
        <x:v>36</x:v>
      </x:c>
      <x:c r="H6422" s="12" t="n">
        <x:v>7100000000</x:v>
      </x:c>
      <x:c r="I6422" s="12" t="n">
        <x:v>197222222.2222222</x:v>
      </x:c>
      <x:c r="J6422" s="2" t="str">
        <x:v>total</x:v>
      </x:c>
      <x:c r="K6422" s="2" t="str">
        <x:v>top_level_area</x:v>
      </x:c>
      <x:c r="L6422" s="2" t="str">
        <x:v>property_type_inferred_from_title;unknown_property_type</x:v>
      </x:c>
      <x:c r="M6422" s="10" t="n">
        <x:v>1</x:v>
      </x:c>
      <x:c r="N6422" s="10" t="n">
        <x:v>0</x:v>
      </x:c>
      <x:c r="O6422" s="2" t="str">
        <x:v>Tp Hồ Chí Minh|other_unknown</x:v>
      </x:c>
      <x:c r="P6422" s="10" t="n">
        <x:v>2</x:v>
      </x:c>
      <x:c r="Q6422" s="13" t="n">
        <x:f>IF(H6422="","",H6422/1000000000)</x:f>
        <x:v>7.1</x:v>
      </x:c>
      <x:c r="R6422" s="13" t="n">
        <x:f>IF(I6422="","",I6422/1000000)</x:f>
        <x:v>197.2222222222222</x:v>
      </x:c>
    </x:row>
    <x:row r="6423" ht="21" customHeight="1">
      <x:c r="A6423" s="10" t="n">
        <x:v>8299</x:v>
      </x:c>
      <x:c r="B6423" s="2" t="str">
        <x:v>b5cb142349c98762a449</x:v>
      </x:c>
      <x:c r="C6423" s="2" t="str">
        <x:v>Bình Dương</x:v>
      </x:c>
      <x:c r="D6423" s="2" t="str">
        <x:v>Thành phố Thủ Dầu Một</x:v>
      </x:c>
      <x:c r="E6423" s="2" t="str">
        <x:v>house</x:v>
      </x:c>
      <x:c r="F6423" s="2" t="str">
        <x:v>sale</x:v>
      </x:c>
      <x:c r="G6423" s="11" t="n">
        <x:v>555</x:v>
      </x:c>
      <x:c r="H6423" s="12" t="n">
        <x:v>8500000000</x:v>
      </x:c>
      <x:c r="I6423" s="12" t="n">
        <x:v>15315315.315315315</x:v>
      </x:c>
      <x:c r="J6423" s="2" t="str">
        <x:v>total</x:v>
      </x:c>
      <x:c r="K6423" s="2" t="str">
        <x:v>top_level_area</x:v>
      </x:c>
      <x:c r="L6423" s="2" t="str">
        <x:v>property_type_inferred_from_title</x:v>
      </x:c>
      <x:c r="M6423" s="10" t="n">
        <x:v>0</x:v>
      </x:c>
      <x:c r="N6423" s="10" t="n">
        <x:v>0</x:v>
      </x:c>
      <x:c r="O6423" s="2" t="str">
        <x:v>Bình Dương|house</x:v>
      </x:c>
      <x:c r="P6423" s="10" t="n">
        <x:v>1</x:v>
      </x:c>
      <x:c r="Q6423" s="13" t="n">
        <x:f>IF(H6423="","",H6423/1000000000)</x:f>
        <x:v>8.5</x:v>
      </x:c>
      <x:c r="R6423" s="13" t="n">
        <x:f>IF(I6423="","",I6423/1000000)</x:f>
        <x:v>15.315315315315315</x:v>
      </x:c>
    </x:row>
    <x:row r="6424" ht="21" customHeight="1">
      <x:c r="A6424" s="10" t="n">
        <x:v>8300</x:v>
      </x:c>
      <x:c r="B6424" s="2" t="str">
        <x:v>7efb97ec5c2f8f4a2596</x:v>
      </x:c>
      <x:c r="C6424" s="2" t="str">
        <x:v>Bình Dương</x:v>
      </x:c>
      <x:c r="D6424" s="2" t="str">
        <x:v>Huyện Bàu Bàng</x:v>
      </x:c>
      <x:c r="E6424" s="2" t="str">
        <x:v>land</x:v>
      </x:c>
      <x:c r="F6424" s="2" t="str">
        <x:v>sale_assumed</x:v>
      </x:c>
      <x:c r="G6424" s="11" t="n">
        <x:v>80</x:v>
      </x:c>
      <x:c r="H6424" s="12" t="n">
        <x:v>610000000</x:v>
      </x:c>
      <x:c r="I6424" s="12" t="n">
        <x:v>7625000</x:v>
      </x:c>
      <x:c r="J6424" s="2" t="str">
        <x:v>total</x:v>
      </x:c>
      <x:c r="K6424" s="2" t="str">
        <x:v>top_level_area</x:v>
      </x:c>
      <x:c r="L6424" s="2" t="str">
        <x:v>property_type_inferred_from_title;transaction_assumed_sale_from_dataset_context</x:v>
      </x:c>
      <x:c r="M6424" s="10" t="n">
        <x:v>0</x:v>
      </x:c>
      <x:c r="N6424" s="10" t="n">
        <x:v>0</x:v>
      </x:c>
      <x:c r="O6424" s="2" t="str">
        <x:v>Bình Dương|land</x:v>
      </x:c>
      <x:c r="P6424" s="10" t="n">
        <x:v>2</x:v>
      </x:c>
      <x:c r="Q6424" s="13" t="n">
        <x:f>IF(H6424="","",H6424/1000000000)</x:f>
        <x:v>0.61</x:v>
      </x:c>
      <x:c r="R6424" s="13" t="n">
        <x:f>IF(I6424="","",I6424/1000000)</x:f>
        <x:v>7.625</x:v>
      </x:c>
    </x:row>
    <x:row r="6425" ht="21" customHeight="1">
      <x:c r="A6425" s="10" t="n">
        <x:v>8301</x:v>
      </x:c>
      <x:c r="B6425" s="2" t="str">
        <x:v>0a5590464fcaa009cd33</x:v>
      </x:c>
      <x:c r="C6425" s="2" t="str">
        <x:v>Long An</x:v>
      </x:c>
      <x:c r="D6425" s="2" t="str">
        <x:v>Huyện Bến Lức</x:v>
      </x:c>
      <x:c r="E6425" s="2" t="str">
        <x:v>other_unknown</x:v>
      </x:c>
      <x:c r="F6425" s="2" t="str">
        <x:v>sale</x:v>
      </x:c>
      <x:c r="G6425" s="11" t="n">
        <x:v>154</x:v>
      </x:c>
      <x:c r="H6425" s="12" t="n">
        <x:v>2255000000</x:v>
      </x:c>
      <x:c r="I6425" s="12" t="n">
        <x:v>14642857.142857144</x:v>
      </x:c>
      <x:c r="J6425" s="2" t="str">
        <x:v>total</x:v>
      </x:c>
      <x:c r="K6425" s="2" t="str">
        <x:v>top_level_area</x:v>
      </x:c>
      <x:c r="L6425" s="2" t="str">
        <x:v>property_type_inferred_from_title;unknown_property_type</x:v>
      </x:c>
      <x:c r="M6425" s="10" t="n">
        <x:v>0</x:v>
      </x:c>
      <x:c r="N6425" s="10" t="n">
        <x:v>0</x:v>
      </x:c>
      <x:c r="O6425" s="2" t="str">
        <x:v>Long An|other_unknown</x:v>
      </x:c>
      <x:c r="P6425" s="10" t="n">
        <x:v>2</x:v>
      </x:c>
      <x:c r="Q6425" s="13" t="n">
        <x:f>IF(H6425="","",H6425/1000000000)</x:f>
        <x:v>2.255</x:v>
      </x:c>
      <x:c r="R6425" s="13" t="n">
        <x:f>IF(I6425="","",I6425/1000000)</x:f>
        <x:v>14.642857142857144</x:v>
      </x:c>
    </x:row>
    <x:row r="6426" ht="21" customHeight="1">
      <x:c r="A6426" s="10" t="n">
        <x:v>8305</x:v>
      </x:c>
      <x:c r="B6426" s="2" t="str">
        <x:v>1e98b16fd2b6bb6332ee</x:v>
      </x:c>
      <x:c r="C6426" s="2" t="str">
        <x:v>Tp Hồ Chí Minh</x:v>
      </x:c>
      <x:c r="D6426" s="2" t="str">
        <x:v>Huyện Hóc Môn</x:v>
      </x:c>
      <x:c r="E6426" s="2" t="str">
        <x:v>apartment</x:v>
      </x:c>
      <x:c r="F6426" s="2" t="str">
        <x:v>sale_assumed</x:v>
      </x:c>
      <x:c r="G6426" s="11" t="n">
        <x:v>45</x:v>
      </x:c>
      <x:c r="H6426" s="12" t="n">
        <x:v>258000000</x:v>
      </x:c>
      <x:c r="I6426" s="12" t="n">
        <x:v>5733333.333333333</x:v>
      </x:c>
      <x:c r="J6426" s="2" t="str">
        <x:v>total</x:v>
      </x:c>
      <x:c r="K6426" s="2" t="str">
        <x:v>top_level_area</x:v>
      </x:c>
      <x:c r="L6426" s="2" t="str">
        <x:v>property_type_inferred_from_title;transaction_assumed_sale_from_dataset_context</x:v>
      </x:c>
      <x:c r="M6426" s="10" t="n">
        <x:v>0</x:v>
      </x:c>
      <x:c r="N6426" s="10" t="n">
        <x:v>0</x:v>
      </x:c>
      <x:c r="O6426" s="2" t="str">
        <x:v>Tp Hồ Chí Minh|apartment</x:v>
      </x:c>
      <x:c r="P6426" s="10" t="n">
        <x:v>2</x:v>
      </x:c>
      <x:c r="Q6426" s="13" t="n">
        <x:f>IF(H6426="","",H6426/1000000000)</x:f>
        <x:v>0.258</x:v>
      </x:c>
      <x:c r="R6426" s="13" t="n">
        <x:f>IF(I6426="","",I6426/1000000)</x:f>
        <x:v>5.733333333333333</x:v>
      </x:c>
    </x:row>
    <x:row r="6427" ht="21" customHeight="1">
      <x:c r="A6427" s="10" t="n">
        <x:v>8306</x:v>
      </x:c>
      <x:c r="B6427" s="2" t="str">
        <x:v>51c869967021727b396b</x:v>
      </x:c>
      <x:c r="C6427" s="2" t="str">
        <x:v>Tp Hồ Chí Minh</x:v>
      </x:c>
      <x:c r="D6427" s="2" t="str">
        <x:v>Quận 9</x:v>
      </x:c>
      <x:c r="E6427" s="2" t="str">
        <x:v>house</x:v>
      </x:c>
      <x:c r="F6427" s="2" t="str">
        <x:v>sale_assumed</x:v>
      </x:c>
      <x:c r="G6427" s="11" t="n">
        <x:v>86</x:v>
      </x:c>
      <x:c r="H6427" s="12" t="n">
        <x:v>2000000000</x:v>
      </x:c>
      <x:c r="I6427" s="12" t="n">
        <x:v>23255813.953488372</x:v>
      </x:c>
      <x:c r="J6427" s="2" t="str">
        <x:v>total</x:v>
      </x:c>
      <x:c r="K6427" s="2" t="str">
        <x:v>top_level_area</x:v>
      </x:c>
      <x:c r="L6427" s="2" t="str">
        <x:v>property_type_inferred_from_title;transaction_assumed_sale_from_dataset_context</x:v>
      </x:c>
      <x:c r="M6427" s="10" t="n">
        <x:v>0</x:v>
      </x:c>
      <x:c r="N6427" s="10" t="n">
        <x:v>0</x:v>
      </x:c>
      <x:c r="O6427" s="2" t="str">
        <x:v>Tp Hồ Chí Minh|house</x:v>
      </x:c>
      <x:c r="P6427" s="10" t="n">
        <x:v>2</x:v>
      </x:c>
      <x:c r="Q6427" s="13" t="n">
        <x:f>IF(H6427="","",H6427/1000000000)</x:f>
        <x:v>2</x:v>
      </x:c>
      <x:c r="R6427" s="13" t="n">
        <x:f>IF(I6427="","",I6427/1000000)</x:f>
        <x:v>23.25581395348837</x:v>
      </x:c>
    </x:row>
    <x:row r="6428" ht="21" customHeight="1">
      <x:c r="A6428" s="10" t="n">
        <x:v>8307</x:v>
      </x:c>
      <x:c r="B6428" s="2" t="str">
        <x:v>d05943a9a1fc840e65d4</x:v>
      </x:c>
      <x:c r="C6428" s="2" t="str">
        <x:v>Tp Hồ Chí Minh</x:v>
      </x:c>
      <x:c r="D6428" s="2" t="str">
        <x:v>Quận 9</x:v>
      </x:c>
      <x:c r="E6428" s="2" t="str">
        <x:v>land</x:v>
      </x:c>
      <x:c r="F6428" s="2" t="str">
        <x:v>sale_assumed</x:v>
      </x:c>
      <x:c r="G6428" s="11" t="n">
        <x:v>93.6</x:v>
      </x:c>
      <x:c r="H6428" s="12" t="n">
        <x:v>5200000000</x:v>
      </x:c>
      <x:c r="I6428" s="12" t="n">
        <x:v>55555555.55555556</x:v>
      </x:c>
      <x:c r="J6428" s="2" t="str">
        <x:v>total</x:v>
      </x:c>
      <x:c r="K6428" s="2" t="str">
        <x:v>top_level_area</x:v>
      </x:c>
      <x:c r="L6428" s="2" t="str">
        <x:v>property_type_inferred_from_title;transaction_assumed_sale_from_dataset_context</x:v>
      </x:c>
      <x:c r="M6428" s="10" t="n">
        <x:v>0</x:v>
      </x:c>
      <x:c r="N6428" s="10" t="n">
        <x:v>0</x:v>
      </x:c>
      <x:c r="O6428" s="2" t="str">
        <x:v>Tp Hồ Chí Minh|land</x:v>
      </x:c>
      <x:c r="P6428" s="10" t="n">
        <x:v>2</x:v>
      </x:c>
      <x:c r="Q6428" s="13" t="n">
        <x:f>IF(H6428="","",H6428/1000000000)</x:f>
        <x:v>5.2</x:v>
      </x:c>
      <x:c r="R6428" s="13" t="n">
        <x:f>IF(I6428="","",I6428/1000000)</x:f>
        <x:v>55.55555555555556</x:v>
      </x:c>
    </x:row>
    <x:row r="6429" ht="21" customHeight="1">
      <x:c r="A6429" s="10" t="n">
        <x:v>8308</x:v>
      </x:c>
      <x:c r="B6429" s="2" t="str">
        <x:v>cc40c0c9b7b21603d278</x:v>
      </x:c>
      <x:c r="C6429" s="2" t="str">
        <x:v>Hà Nội</x:v>
      </x:c>
      <x:c r="D6429" s="2" t="str">
        <x:v>Huyện Thanh Trì</x:v>
      </x:c>
      <x:c r="E6429" s="2" t="str">
        <x:v>apartment</x:v>
      </x:c>
      <x:c r="F6429" s="2" t="str">
        <x:v>sale_assumed</x:v>
      </x:c>
      <x:c r="G6429" s="11" t="n">
        <x:v>45</x:v>
      </x:c>
      <x:c r="H6429" s="12" t="n">
        <x:v>680000000</x:v>
      </x:c>
      <x:c r="I6429" s="12" t="n">
        <x:v>15111111.111111112</x:v>
      </x:c>
      <x:c r="J6429" s="2" t="str">
        <x:v>total</x:v>
      </x:c>
      <x:c r="K6429" s="2" t="str">
        <x:v>top_level_area</x:v>
      </x:c>
      <x:c r="L6429" s="2" t="str">
        <x:v>property_type_inferred_from_title;transaction_assumed_sale_from_dataset_context</x:v>
      </x:c>
      <x:c r="M6429" s="10" t="n">
        <x:v>0</x:v>
      </x:c>
      <x:c r="N6429" s="10" t="n">
        <x:v>0</x:v>
      </x:c>
      <x:c r="O6429" s="2" t="str">
        <x:v>Hà Nội|apartment</x:v>
      </x:c>
      <x:c r="P6429" s="10" t="n">
        <x:v>2</x:v>
      </x:c>
      <x:c r="Q6429" s="13" t="n">
        <x:f>IF(H6429="","",H6429/1000000000)</x:f>
        <x:v>0.68</x:v>
      </x:c>
      <x:c r="R6429" s="13" t="n">
        <x:f>IF(I6429="","",I6429/1000000)</x:f>
        <x:v>15.111111111111112</x:v>
      </x:c>
    </x:row>
    <x:row r="6430" ht="21" customHeight="1">
      <x:c r="A6430" s="10" t="n">
        <x:v>8309</x:v>
      </x:c>
      <x:c r="B6430" s="2" t="str">
        <x:v>9d5f7aa5180473994f6d</x:v>
      </x:c>
      <x:c r="C6430" s="2" t="str">
        <x:v>Tp Hồ Chí Minh</x:v>
      </x:c>
      <x:c r="D6430" s="2" t="str">
        <x:v>Quận Tân Bình</x:v>
      </x:c>
      <x:c r="E6430" s="2" t="str">
        <x:v>house</x:v>
      </x:c>
      <x:c r="F6430" s="2" t="str">
        <x:v>sale</x:v>
      </x:c>
      <x:c r="G6430" s="11" t="n">
        <x:v>38</x:v>
      </x:c>
      <x:c r="H6430" s="12" t="n">
        <x:v>1430000000</x:v>
      </x:c>
      <x:c r="I6430" s="12" t="n">
        <x:v>37631578.94736842</x:v>
      </x:c>
      <x:c r="J6430" s="2" t="str">
        <x:v>total</x:v>
      </x:c>
      <x:c r="K6430" s="2" t="str">
        <x:v>top_level_price_embedded_area</x:v>
      </x:c>
      <x:c r="L6430" s="2" t="str">
        <x:v>area_recovered_from_price_text;property_type_inferred_from_title</x:v>
      </x:c>
      <x:c r="M6430" s="10" t="n">
        <x:v>0</x:v>
      </x:c>
      <x:c r="N6430" s="10" t="n">
        <x:v>0</x:v>
      </x:c>
      <x:c r="O6430" s="2" t="str">
        <x:v>Tp Hồ Chí Minh|house</x:v>
      </x:c>
      <x:c r="P6430" s="10" t="n">
        <x:v>2</x:v>
      </x:c>
      <x:c r="Q6430" s="13" t="n">
        <x:f>IF(H6430="","",H6430/1000000000)</x:f>
        <x:v>1.43</x:v>
      </x:c>
      <x:c r="R6430" s="13" t="n">
        <x:f>IF(I6430="","",I6430/1000000)</x:f>
        <x:v>37.63157894736842</x:v>
      </x:c>
    </x:row>
    <x:row r="6431" ht="21" customHeight="1">
      <x:c r="A6431" s="10" t="n">
        <x:v>8310</x:v>
      </x:c>
      <x:c r="B6431" s="2" t="str">
        <x:v>9f4ad3e56c07f68828c4</x:v>
      </x:c>
      <x:c r="C6431" s="2" t="str">
        <x:v>Đà Nẵng</x:v>
      </x:c>
      <x:c r="D6431" s="2" t="str">
        <x:v>Quận Liên Chiểu</x:v>
      </x:c>
      <x:c r="E6431" s="2" t="str">
        <x:v>land</x:v>
      </x:c>
      <x:c r="F6431" s="2" t="str">
        <x:v>sale_assumed</x:v>
      </x:c>
      <x:c r="G6431" s="11" t="n">
        <x:v>120</x:v>
      </x:c>
      <x:c r="H6431" s="12" t="n">
        <x:v>6000000000</x:v>
      </x:c>
      <x:c r="I6431" s="12" t="n">
        <x:v>50000000</x:v>
      </x:c>
      <x:c r="J6431" s="2" t="str">
        <x:v>total</x:v>
      </x:c>
      <x:c r="K6431" s="2" t="str">
        <x:v>top_level_area</x:v>
      </x:c>
      <x:c r="L6431" s="2" t="str">
        <x:v>property_type_inferred_from_title;transaction_assumed_sale_from_dataset_context</x:v>
      </x:c>
      <x:c r="M6431" s="10" t="n">
        <x:v>0</x:v>
      </x:c>
      <x:c r="N6431" s="10" t="n">
        <x:v>0</x:v>
      </x:c>
      <x:c r="O6431" s="2" t="str">
        <x:v>Đà Nẵng|land</x:v>
      </x:c>
      <x:c r="P6431" s="10" t="n">
        <x:v>2</x:v>
      </x:c>
      <x:c r="Q6431" s="13" t="n">
        <x:f>IF(H6431="","",H6431/1000000000)</x:f>
        <x:v>6</x:v>
      </x:c>
      <x:c r="R6431" s="13" t="n">
        <x:f>IF(I6431="","",I6431/1000000)</x:f>
        <x:v>50</x:v>
      </x:c>
    </x:row>
    <x:row r="6432" ht="21" customHeight="1">
      <x:c r="A6432" s="10" t="n">
        <x:v>8311</x:v>
      </x:c>
      <x:c r="B6432" s="2" t="str">
        <x:v>fc9b4be2a5bcdf4a103e</x:v>
      </x:c>
      <x:c r="C6432" s="2" t="str">
        <x:v>Sóc Trăng</x:v>
      </x:c>
      <x:c r="D6432" s="2" t="str">
        <x:v>Thành phố Sóc Trăng</x:v>
      </x:c>
      <x:c r="E6432" s="2" t="str">
        <x:v>other_unknown</x:v>
      </x:c>
      <x:c r="F6432" s="2" t="str">
        <x:v>sale_assumed</x:v>
      </x:c>
      <x:c r="G6432" s="11" t="n">
        <x:v>90</x:v>
      </x:c>
      <x:c r="H6432" s="12" t="n">
        <x:v>2052000000</x:v>
      </x:c>
      <x:c r="I6432" s="12" t="n">
        <x:v>22800000</x:v>
      </x:c>
      <x:c r="J6432" s="2" t="str">
        <x:v>total</x:v>
      </x:c>
      <x:c r="K6432" s="2" t="str">
        <x:v>top_level_area</x:v>
      </x:c>
      <x:c r="L6432" s="2" t="str">
        <x:v>property_type_inferred_from_title;transaction_assumed_sale_from_dataset_context;unknown_property_type</x:v>
      </x:c>
      <x:c r="M6432" s="10" t="n">
        <x:v>0</x:v>
      </x:c>
      <x:c r="N6432" s="10" t="n">
        <x:v>0</x:v>
      </x:c>
      <x:c r="O6432" s="2" t="str">
        <x:v>other_unknown</x:v>
      </x:c>
      <x:c r="P6432" s="10" t="n">
        <x:v>2</x:v>
      </x:c>
      <x:c r="Q6432" s="13" t="n">
        <x:f>IF(H6432="","",H6432/1000000000)</x:f>
        <x:v>2.052</x:v>
      </x:c>
      <x:c r="R6432" s="13" t="n">
        <x:f>IF(I6432="","",I6432/1000000)</x:f>
        <x:v>22.8</x:v>
      </x:c>
    </x:row>
    <x:row r="6433" ht="21" customHeight="1">
      <x:c r="A6433" s="10" t="n">
        <x:v>8312</x:v>
      </x:c>
      <x:c r="B6433" s="2" t="str">
        <x:v>159194a282d536e90a22</x:v>
      </x:c>
      <x:c r="C6433" s="2" t="str">
        <x:v>Tp Hồ Chí Minh</x:v>
      </x:c>
      <x:c r="D6433" s="2" t="str">
        <x:v>Quận Tân Phú</x:v>
      </x:c>
      <x:c r="E6433" s="2" t="str">
        <x:v>other_unknown</x:v>
      </x:c>
      <x:c r="F6433" s="2" t="str">
        <x:v>sale_assumed</x:v>
      </x:c>
      <x:c r="G6433" s="11" t="n">
        <x:v>53</x:v>
      </x:c>
      <x:c r="H6433" s="12" t="n">
        <x:v>2400000000</x:v>
      </x:c>
      <x:c r="I6433" s="12" t="n">
        <x:v>45283018.86792453</x:v>
      </x:c>
      <x:c r="J6433" s="2" t="str">
        <x:v>total</x:v>
      </x:c>
      <x:c r="K6433" s="2" t="str">
        <x:v>top_level_area</x:v>
      </x:c>
      <x:c r="L6433" s="2" t="str">
        <x:v>property_type_inferred_from_title;transaction_assumed_sale_from_dataset_context;unknown_property_type</x:v>
      </x:c>
      <x:c r="M6433" s="10" t="n">
        <x:v>0</x:v>
      </x:c>
      <x:c r="N6433" s="10" t="n">
        <x:v>0</x:v>
      </x:c>
      <x:c r="O6433" s="2" t="str">
        <x:v>Tp Hồ Chí Minh|other_unknown</x:v>
      </x:c>
      <x:c r="P6433" s="10" t="n">
        <x:v>2</x:v>
      </x:c>
      <x:c r="Q6433" s="13" t="n">
        <x:f>IF(H6433="","",H6433/1000000000)</x:f>
        <x:v>2.4</x:v>
      </x:c>
      <x:c r="R6433" s="13" t="n">
        <x:f>IF(I6433="","",I6433/1000000)</x:f>
        <x:v>45.283018867924525</x:v>
      </x:c>
    </x:row>
    <x:row r="6434" ht="21" customHeight="1">
      <x:c r="A6434" s="10" t="n">
        <x:v>8313</x:v>
      </x:c>
      <x:c r="B6434" s="2" t="str">
        <x:v>514ce8892dd8a8d6f6d0</x:v>
      </x:c>
      <x:c r="C6434" s="2" t="str">
        <x:v>Tp Hồ Chí Minh</x:v>
      </x:c>
      <x:c r="D6434" s="2" t="str">
        <x:v>Quận Bình Tân</x:v>
      </x:c>
      <x:c r="E6434" s="2" t="str">
        <x:v>house</x:v>
      </x:c>
      <x:c r="F6434" s="2" t="str">
        <x:v>sale</x:v>
      </x:c>
      <x:c r="G6434" s="11" t="n">
        <x:v>44</x:v>
      </x:c>
      <x:c r="H6434" s="12" t="n">
        <x:v>559000000</x:v>
      </x:c>
      <x:c r="I6434" s="12" t="n">
        <x:v>12704545.454545455</x:v>
      </x:c>
      <x:c r="J6434" s="2" t="str">
        <x:v>total</x:v>
      </x:c>
      <x:c r="K6434" s="2" t="str">
        <x:v>top_level_area</x:v>
      </x:c>
      <x:c r="L6434" s="2" t="str">
        <x:v>property_type_inferred_from_title</x:v>
      </x:c>
      <x:c r="M6434" s="10" t="n">
        <x:v>0</x:v>
      </x:c>
      <x:c r="N6434" s="10" t="n">
        <x:v>0</x:v>
      </x:c>
      <x:c r="O6434" s="2" t="str">
        <x:v>Tp Hồ Chí Minh|house</x:v>
      </x:c>
      <x:c r="P6434" s="10" t="n">
        <x:v>2</x:v>
      </x:c>
      <x:c r="Q6434" s="13" t="n">
        <x:f>IF(H6434="","",H6434/1000000000)</x:f>
        <x:v>0.559</x:v>
      </x:c>
      <x:c r="R6434" s="13" t="n">
        <x:f>IF(I6434="","",I6434/1000000)</x:f>
        <x:v>12.704545454545455</x:v>
      </x:c>
    </x:row>
    <x:row r="6435" ht="21" customHeight="1">
      <x:c r="A6435" s="10" t="n">
        <x:v>8314</x:v>
      </x:c>
      <x:c r="B6435" s="2" t="str">
        <x:v>6d3cce1079f37a3dc2fb</x:v>
      </x:c>
      <x:c r="C6435" s="2" t="str">
        <x:v>Đà Nẵng</x:v>
      </x:c>
      <x:c r="D6435" s="2" t="str">
        <x:v>Quận Ngũ Hành Sơn</x:v>
      </x:c>
      <x:c r="E6435" s="2" t="str">
        <x:v>other_unknown</x:v>
      </x:c>
      <x:c r="F6435" s="2" t="str">
        <x:v>sale_assumed</x:v>
      </x:c>
      <x:c r="G6435" s="11" t="n">
        <x:v>102</x:v>
      </x:c>
      <x:c r="H6435" s="12" t="n">
        <x:v>8500000000</x:v>
      </x:c>
      <x:c r="I6435" s="12" t="n">
        <x:v>83333333.33333333</x:v>
      </x:c>
      <x:c r="J6435" s="2" t="str">
        <x:v>total</x:v>
      </x:c>
      <x:c r="K6435" s="2" t="str">
        <x:v>top_level_area</x:v>
      </x:c>
      <x:c r="L6435" s="2" t="str">
        <x:v>property_type_inferred_from_title;transaction_assumed_sale_from_dataset_context;unknown_property_type</x:v>
      </x:c>
      <x:c r="M6435" s="10" t="n">
        <x:v>0</x:v>
      </x:c>
      <x:c r="N6435" s="10" t="n">
        <x:v>0</x:v>
      </x:c>
      <x:c r="O6435" s="2" t="str">
        <x:v>Đà Nẵng|other_unknown</x:v>
      </x:c>
      <x:c r="P6435" s="10" t="n">
        <x:v>2</x:v>
      </x:c>
      <x:c r="Q6435" s="13" t="n">
        <x:f>IF(H6435="","",H6435/1000000000)</x:f>
        <x:v>8.5</x:v>
      </x:c>
      <x:c r="R6435" s="13" t="n">
        <x:f>IF(I6435="","",I6435/1000000)</x:f>
        <x:v>83.33333333333333</x:v>
      </x:c>
    </x:row>
    <x:row r="6436" ht="21" customHeight="1">
      <x:c r="A6436" s="10" t="n">
        <x:v>8315</x:v>
      </x:c>
      <x:c r="B6436" s="2" t="str">
        <x:v>fd86178e9b9effd01100</x:v>
      </x:c>
      <x:c r="C6436" s="2" t="str">
        <x:v>Đà Nẵng</x:v>
      </x:c>
      <x:c r="D6436" s="2" t="str">
        <x:v>Quận Ngũ Hành Sơn</x:v>
      </x:c>
      <x:c r="E6436" s="2" t="str">
        <x:v>apartment</x:v>
      </x:c>
      <x:c r="F6436" s="2" t="str">
        <x:v>sale</x:v>
      </x:c>
      <x:c r="G6436" s="11" t="n">
        <x:v>90</x:v>
      </x:c>
      <x:c r="H6436" s="12" t="n">
        <x:v>9500000000</x:v>
      </x:c>
      <x:c r="I6436" s="12" t="n">
        <x:v>105555555.55555555</x:v>
      </x:c>
      <x:c r="J6436" s="2" t="str">
        <x:v>total</x:v>
      </x:c>
      <x:c r="K6436" s="2" t="str">
        <x:v>top_level_area</x:v>
      </x:c>
      <x:c r="L6436" s="2" t="str">
        <x:v>property_type_inferred_from_title</x:v>
      </x:c>
      <x:c r="M6436" s="10" t="n">
        <x:v>0</x:v>
      </x:c>
      <x:c r="N6436" s="10" t="n">
        <x:v>1</x:v>
      </x:c>
      <x:c r="O6436" s="2" t="str">
        <x:v>apartment</x:v>
      </x:c>
      <x:c r="P6436" s="10" t="n">
        <x:v>-1</x:v>
      </x:c>
      <x:c r="Q6436" s="13" t="n">
        <x:f>IF(H6436="","",H6436/1000000000)</x:f>
        <x:v>9.5</x:v>
      </x:c>
      <x:c r="R6436" s="13" t="n">
        <x:f>IF(I6436="","",I6436/1000000)</x:f>
        <x:v>105.55555555555556</x:v>
      </x:c>
    </x:row>
    <x:row r="6437" ht="21" customHeight="1">
      <x:c r="A6437" s="10" t="n">
        <x:v>8316</x:v>
      </x:c>
      <x:c r="B6437" s="2" t="str">
        <x:v>b2de04e47aec27cbc693</x:v>
      </x:c>
      <x:c r="C6437" s="2" t="str">
        <x:v>Đà Nẵng</x:v>
      </x:c>
      <x:c r="D6437" s="2" t="str">
        <x:v>Quận Ngũ Hành Sơn</x:v>
      </x:c>
      <x:c r="E6437" s="2" t="str">
        <x:v>other_unknown</x:v>
      </x:c>
      <x:c r="F6437" s="2" t="str">
        <x:v>sale_assumed</x:v>
      </x:c>
      <x:c r="G6437" s="11" t="n">
        <x:v>150</x:v>
      </x:c>
      <x:c r="H6437" s="12" t="n">
        <x:v>2000000000</x:v>
      </x:c>
      <x:c r="I6437" s="12" t="n">
        <x:v>13333333.333333334</x:v>
      </x:c>
      <x:c r="J6437" s="2" t="str">
        <x:v>total</x:v>
      </x:c>
      <x:c r="K6437" s="2" t="str">
        <x:v>top_level_area</x:v>
      </x:c>
      <x:c r="L6437" s="2" t="str">
        <x:v>property_type_inferred_from_title;transaction_assumed_sale_from_dataset_context;unknown_property_type</x:v>
      </x:c>
      <x:c r="M6437" s="10" t="n">
        <x:v>0</x:v>
      </x:c>
      <x:c r="N6437" s="10" t="n">
        <x:v>0</x:v>
      </x:c>
      <x:c r="O6437" s="2" t="str">
        <x:v>Đà Nẵng|other_unknown</x:v>
      </x:c>
      <x:c r="P6437" s="10" t="n">
        <x:v>2</x:v>
      </x:c>
      <x:c r="Q6437" s="13" t="n">
        <x:f>IF(H6437="","",H6437/1000000000)</x:f>
        <x:v>2</x:v>
      </x:c>
      <x:c r="R6437" s="13" t="n">
        <x:f>IF(I6437="","",I6437/1000000)</x:f>
        <x:v>13.333333333333334</x:v>
      </x:c>
    </x:row>
    <x:row r="6438" ht="21" customHeight="1">
      <x:c r="A6438" s="10" t="n">
        <x:v>8317</x:v>
      </x:c>
      <x:c r="B6438" s="2" t="str">
        <x:v>e779ab6beb0dc3a60af8</x:v>
      </x:c>
      <x:c r="C6438" s="2" t="str">
        <x:v>Tp Hồ Chí Minh</x:v>
      </x:c>
      <x:c r="D6438" s="2" t="str">
        <x:v>Quận 6</x:v>
      </x:c>
      <x:c r="E6438" s="2" t="str">
        <x:v>house</x:v>
      </x:c>
      <x:c r="F6438" s="2" t="str">
        <x:v>sale_assumed</x:v>
      </x:c>
      <x:c r="G6438" s="11" t="n">
        <x:v>45</x:v>
      </x:c>
      <x:c r="H6438" s="12" t="n">
        <x:v>4099999999.9999995</x:v>
      </x:c>
      <x:c r="I6438" s="12" t="n">
        <x:v>91111111.1111111</x:v>
      </x:c>
      <x:c r="J6438" s="2" t="str">
        <x:v>total</x:v>
      </x:c>
      <x:c r="K6438" s="2" t="str">
        <x:v>top_level_area</x:v>
      </x:c>
      <x:c r="L6438" s="2" t="str">
        <x:v>property_type_inferred_from_title;transaction_assumed_sale_from_dataset_context</x:v>
      </x:c>
      <x:c r="M6438" s="10" t="n">
        <x:v>0</x:v>
      </x:c>
      <x:c r="N6438" s="10" t="n">
        <x:v>0</x:v>
      </x:c>
      <x:c r="O6438" s="2" t="str">
        <x:v>Tp Hồ Chí Minh|house</x:v>
      </x:c>
      <x:c r="P6438" s="10" t="n">
        <x:v>2</x:v>
      </x:c>
      <x:c r="Q6438" s="13" t="n">
        <x:f>IF(H6438="","",H6438/1000000000)</x:f>
        <x:v>4.1</x:v>
      </x:c>
      <x:c r="R6438" s="13" t="n">
        <x:f>IF(I6438="","",I6438/1000000)</x:f>
        <x:v>91.1111111111111</x:v>
      </x:c>
    </x:row>
    <x:row r="6439" ht="21" customHeight="1">
      <x:c r="A6439" s="10" t="n">
        <x:v>8318</x:v>
      </x:c>
      <x:c r="B6439" s="2" t="str">
        <x:v>392bd5b5a542cbb2b22c</x:v>
      </x:c>
      <x:c r="C6439" s="2" t="str">
        <x:v>Hà Nội</x:v>
      </x:c>
      <x:c r="D6439" s="2" t="str">
        <x:v>Quận Cầu Giấy</x:v>
      </x:c>
      <x:c r="E6439" s="2" t="str">
        <x:v>house</x:v>
      </x:c>
      <x:c r="F6439" s="2" t="str">
        <x:v>sale_assumed</x:v>
      </x:c>
      <x:c r="G6439" s="11" t="n">
        <x:v>48</x:v>
      </x:c>
      <x:c r="H6439" s="12" t="n">
        <x:v>4300000000</x:v>
      </x:c>
      <x:c r="I6439" s="12" t="n">
        <x:v>89583333.33333333</x:v>
      </x:c>
      <x:c r="J6439" s="2" t="str">
        <x:v>total</x:v>
      </x:c>
      <x:c r="K6439" s="2" t="str">
        <x:v>top_level_area</x:v>
      </x:c>
      <x:c r="L6439" s="2" t="str">
        <x:v>property_type_inferred_from_title;transaction_assumed_sale_from_dataset_context</x:v>
      </x:c>
      <x:c r="M6439" s="10" t="n">
        <x:v>0</x:v>
      </x:c>
      <x:c r="N6439" s="10" t="n">
        <x:v>0</x:v>
      </x:c>
      <x:c r="O6439" s="2" t="str">
        <x:v>Hà Nội|house</x:v>
      </x:c>
      <x:c r="P6439" s="10" t="n">
        <x:v>2</x:v>
      </x:c>
      <x:c r="Q6439" s="13" t="n">
        <x:f>IF(H6439="","",H6439/1000000000)</x:f>
        <x:v>4.3</x:v>
      </x:c>
      <x:c r="R6439" s="13" t="n">
        <x:f>IF(I6439="","",I6439/1000000)</x:f>
        <x:v>89.58333333333333</x:v>
      </x:c>
    </x:row>
    <x:row r="6440" ht="21" customHeight="1">
      <x:c r="A6440" s="10" t="n">
        <x:v>8319</x:v>
      </x:c>
      <x:c r="B6440" s="2" t="str">
        <x:v>0915fae45a996a558d09</x:v>
      </x:c>
      <x:c r="C6440" s="2" t="str">
        <x:v>Long An</x:v>
      </x:c>
      <x:c r="D6440" s="2" t="str">
        <x:v>Huyện Đức Hòa</x:v>
      </x:c>
      <x:c r="E6440" s="2" t="str">
        <x:v>land</x:v>
      </x:c>
      <x:c r="F6440" s="2" t="str">
        <x:v>sale</x:v>
      </x:c>
      <x:c r="G6440" s="11" t="n">
        <x:v>122</x:v>
      </x:c>
      <x:c r="H6440" s="12" t="n">
        <x:v>1200000000</x:v>
      </x:c>
      <x:c r="I6440" s="12" t="n">
        <x:v>9836065.573770491</x:v>
      </x:c>
      <x:c r="J6440" s="2" t="str">
        <x:v>total</x:v>
      </x:c>
      <x:c r="K6440" s="2" t="str">
        <x:v>top_level_area</x:v>
      </x:c>
      <x:c r="L6440" s="2" t="str">
        <x:v>property_type_inferred_from_title</x:v>
      </x:c>
      <x:c r="M6440" s="10" t="n">
        <x:v>0</x:v>
      </x:c>
      <x:c r="N6440" s="10" t="n">
        <x:v>0</x:v>
      </x:c>
      <x:c r="O6440" s="2" t="str">
        <x:v>Long An|land</x:v>
      </x:c>
      <x:c r="P6440" s="10" t="n">
        <x:v>2</x:v>
      </x:c>
      <x:c r="Q6440" s="13" t="n">
        <x:f>IF(H6440="","",H6440/1000000000)</x:f>
        <x:v>1.2</x:v>
      </x:c>
      <x:c r="R6440" s="13" t="n">
        <x:f>IF(I6440="","",I6440/1000000)</x:f>
        <x:v>9.836065573770492</x:v>
      </x:c>
    </x:row>
    <x:row r="6441" ht="21" customHeight="1">
      <x:c r="A6441" s="10" t="n">
        <x:v>8320</x:v>
      </x:c>
      <x:c r="B6441" s="2" t="str">
        <x:v>a8ade1ae655985086df4</x:v>
      </x:c>
      <x:c r="C6441" s="2" t="str">
        <x:v>Tp Hồ Chí Minh</x:v>
      </x:c>
      <x:c r="D6441" s="2" t="str">
        <x:v>Quận 9</x:v>
      </x:c>
      <x:c r="E6441" s="2" t="str">
        <x:v>apartment</x:v>
      </x:c>
      <x:c r="F6441" s="2" t="str">
        <x:v>sale_assumed</x:v>
      </x:c>
      <x:c r="G6441" s="11" t="n">
        <x:v>86</x:v>
      </x:c>
      <x:c r="H6441" s="12" t="n">
        <x:v>2000000000</x:v>
      </x:c>
      <x:c r="I6441" s="12" t="n">
        <x:v>23255813.953488372</x:v>
      </x:c>
      <x:c r="J6441" s="2" t="str">
        <x:v>total</x:v>
      </x:c>
      <x:c r="K6441" s="2" t="str">
        <x:v>top_level_area</x:v>
      </x:c>
      <x:c r="L6441" s="2" t="str">
        <x:v>property_type_inferred_from_title;transaction_assumed_sale_from_dataset_context</x:v>
      </x:c>
      <x:c r="M6441" s="10" t="n">
        <x:v>0</x:v>
      </x:c>
      <x:c r="N6441" s="10" t="n">
        <x:v>0</x:v>
      </x:c>
      <x:c r="O6441" s="2" t="str">
        <x:v>Tp Hồ Chí Minh|apartment</x:v>
      </x:c>
      <x:c r="P6441" s="10" t="n">
        <x:v>2</x:v>
      </x:c>
      <x:c r="Q6441" s="13" t="n">
        <x:f>IF(H6441="","",H6441/1000000000)</x:f>
        <x:v>2</x:v>
      </x:c>
      <x:c r="R6441" s="13" t="n">
        <x:f>IF(I6441="","",I6441/1000000)</x:f>
        <x:v>23.25581395348837</x:v>
      </x:c>
    </x:row>
    <x:row r="6442" ht="21" customHeight="1">
      <x:c r="A6442" s="10" t="n">
        <x:v>8321</x:v>
      </x:c>
      <x:c r="B6442" s="2" t="str">
        <x:v>e5b9d2df3f057e9579ed</x:v>
      </x:c>
      <x:c r="C6442" s="2" t="str">
        <x:v>Đồng Nai</x:v>
      </x:c>
      <x:c r="D6442" s="2" t="str">
        <x:v>Huyện Long Thành</x:v>
      </x:c>
      <x:c r="E6442" s="2" t="str">
        <x:v>land</x:v>
      </x:c>
      <x:c r="F6442" s="2" t="str">
        <x:v>sale</x:v>
      </x:c>
      <x:c r="G6442" s="11" t="n">
        <x:v>1856</x:v>
      </x:c>
      <x:c r="H6442" s="12" t="n">
        <x:v>3700000000</x:v>
      </x:c>
      <x:c r="I6442" s="12" t="n">
        <x:v>1993534.4827586208</x:v>
      </x:c>
      <x:c r="J6442" s="2" t="str">
        <x:v>total</x:v>
      </x:c>
      <x:c r="K6442" s="2" t="str">
        <x:v>top_level_area</x:v>
      </x:c>
      <x:c r="L6442" s="2" t="str">
        <x:v>dot_thousands_convention;property_type_inferred_from_title</x:v>
      </x:c>
      <x:c r="M6442" s="10" t="n">
        <x:v>0</x:v>
      </x:c>
      <x:c r="N6442" s="10" t="n">
        <x:v>0</x:v>
      </x:c>
      <x:c r="O6442" s="2" t="str">
        <x:v>Đồng Nai|land</x:v>
      </x:c>
      <x:c r="P6442" s="10" t="n">
        <x:v>1</x:v>
      </x:c>
      <x:c r="Q6442" s="13" t="n">
        <x:f>IF(H6442="","",H6442/1000000000)</x:f>
        <x:v>3.7</x:v>
      </x:c>
      <x:c r="R6442" s="13" t="n">
        <x:f>IF(I6442="","",I6442/1000000)</x:f>
        <x:v>1.9935344827586208</x:v>
      </x:c>
    </x:row>
    <x:row r="6443" ht="21" customHeight="1">
      <x:c r="A6443" s="10" t="n">
        <x:v>8322</x:v>
      </x:c>
      <x:c r="B6443" s="2" t="str">
        <x:v>b958f277053d38028680</x:v>
      </x:c>
      <x:c r="C6443" s="2" t="str">
        <x:v>Bình Dương</x:v>
      </x:c>
      <x:c r="D6443" s="2" t="str">
        <x:v>Thị xã Thuận An</x:v>
      </x:c>
      <x:c r="E6443" s="2" t="str">
        <x:v>land</x:v>
      </x:c>
      <x:c r="F6443" s="2" t="str">
        <x:v>sale</x:v>
      </x:c>
      <x:c r="G6443" s="11" t="n">
        <x:v>85</x:v>
      </x:c>
      <x:c r="H6443" s="12" t="n">
        <x:v>1400000000</x:v>
      </x:c>
      <x:c r="I6443" s="12" t="n">
        <x:v>16470588.235294119</x:v>
      </x:c>
      <x:c r="J6443" s="2" t="str">
        <x:v>total</x:v>
      </x:c>
      <x:c r="K6443" s="2" t="str">
        <x:v>top_level_area</x:v>
      </x:c>
      <x:c r="L6443" s="2" t="str">
        <x:v>property_type_inferred_from_title</x:v>
      </x:c>
      <x:c r="M6443" s="10" t="n">
        <x:v>0</x:v>
      </x:c>
      <x:c r="N6443" s="10" t="n">
        <x:v>0</x:v>
      </x:c>
      <x:c r="O6443" s="2" t="str">
        <x:v>Bình Dương|land</x:v>
      </x:c>
      <x:c r="P6443" s="10" t="n">
        <x:v>2</x:v>
      </x:c>
      <x:c r="Q6443" s="13" t="n">
        <x:f>IF(H6443="","",H6443/1000000000)</x:f>
        <x:v>1.4</x:v>
      </x:c>
      <x:c r="R6443" s="13" t="n">
        <x:f>IF(I6443="","",I6443/1000000)</x:f>
        <x:v>16.47058823529412</x:v>
      </x:c>
    </x:row>
    <x:row r="6444" ht="21" customHeight="1">
      <x:c r="A6444" s="10" t="n">
        <x:v>8323</x:v>
      </x:c>
      <x:c r="B6444" s="2" t="str">
        <x:v>cd8f9e8deddcd5446e07</x:v>
      </x:c>
      <x:c r="C6444" s="2" t="str">
        <x:v>Hà Nội</x:v>
      </x:c>
      <x:c r="D6444" s="2" t="str">
        <x:v>Quận Hà Đông</x:v>
      </x:c>
      <x:c r="E6444" s="2" t="str">
        <x:v>house</x:v>
      </x:c>
      <x:c r="F6444" s="2" t="str">
        <x:v>sale_assumed</x:v>
      </x:c>
      <x:c r="G6444" s="11" t="n">
        <x:v>32</x:v>
      </x:c>
      <x:c r="H6444" s="12" t="n">
        <x:v>2350000000</x:v>
      </x:c>
      <x:c r="I6444" s="12" t="n">
        <x:v>73437500</x:v>
      </x:c>
      <x:c r="J6444" s="2" t="str">
        <x:v>total</x:v>
      </x:c>
      <x:c r="K6444" s="2" t="str">
        <x:v>top_level_area</x:v>
      </x:c>
      <x:c r="L6444" s="2" t="str">
        <x:v>property_type_inferred_from_title;transaction_assumed_sale_from_dataset_context</x:v>
      </x:c>
      <x:c r="M6444" s="10" t="n">
        <x:v>0</x:v>
      </x:c>
      <x:c r="N6444" s="10" t="n">
        <x:v>0</x:v>
      </x:c>
      <x:c r="O6444" s="2" t="str">
        <x:v>Hà Nội|house</x:v>
      </x:c>
      <x:c r="P6444" s="10" t="n">
        <x:v>2</x:v>
      </x:c>
      <x:c r="Q6444" s="13" t="n">
        <x:f>IF(H6444="","",H6444/1000000000)</x:f>
        <x:v>2.35</x:v>
      </x:c>
      <x:c r="R6444" s="13" t="n">
        <x:f>IF(I6444="","",I6444/1000000)</x:f>
        <x:v>73.4375</x:v>
      </x:c>
    </x:row>
    <x:row r="6445" ht="21" customHeight="1">
      <x:c r="A6445" s="10" t="n">
        <x:v>8324</x:v>
      </x:c>
      <x:c r="B6445" s="2" t="str">
        <x:v>ee7673e632464fddeac5</x:v>
      </x:c>
      <x:c r="C6445" s="2" t="str">
        <x:v>Hà Nội</x:v>
      </x:c>
      <x:c r="D6445" s="2" t="str">
        <x:v>Quận Hà Đông</x:v>
      </x:c>
      <x:c r="E6445" s="2" t="str">
        <x:v>house</x:v>
      </x:c>
      <x:c r="F6445" s="2" t="str">
        <x:v>sale_assumed</x:v>
      </x:c>
      <x:c r="G6445" s="11" t="n">
        <x:v>32</x:v>
      </x:c>
      <x:c r="H6445" s="12" t="n">
        <x:v>1950000000</x:v>
      </x:c>
      <x:c r="I6445" s="12" t="n">
        <x:v>60937500</x:v>
      </x:c>
      <x:c r="J6445" s="2" t="str">
        <x:v>total</x:v>
      </x:c>
      <x:c r="K6445" s="2" t="str">
        <x:v>top_level_area</x:v>
      </x:c>
      <x:c r="L6445" s="2" t="str">
        <x:v>property_type_inferred_from_title;transaction_assumed_sale_from_dataset_context</x:v>
      </x:c>
      <x:c r="M6445" s="10" t="n">
        <x:v>0</x:v>
      </x:c>
      <x:c r="N6445" s="10" t="n">
        <x:v>0</x:v>
      </x:c>
      <x:c r="O6445" s="2" t="str">
        <x:v>Hà Nội|house</x:v>
      </x:c>
      <x:c r="P6445" s="10" t="n">
        <x:v>2</x:v>
      </x:c>
      <x:c r="Q6445" s="13" t="n">
        <x:f>IF(H6445="","",H6445/1000000000)</x:f>
        <x:v>1.95</x:v>
      </x:c>
      <x:c r="R6445" s="13" t="n">
        <x:f>IF(I6445="","",I6445/1000000)</x:f>
        <x:v>60.9375</x:v>
      </x:c>
    </x:row>
    <x:row r="6446" ht="21" customHeight="1">
      <x:c r="A6446" s="10" t="n">
        <x:v>8328</x:v>
      </x:c>
      <x:c r="B6446" s="2" t="str">
        <x:v>a537db43e3c18a99597f</x:v>
      </x:c>
      <x:c r="C6446" s="2" t="str">
        <x:v>Hà Nội</x:v>
      </x:c>
      <x:c r="D6446" s="2" t="str">
        <x:v>Quận Bắc Từ Liêm</x:v>
      </x:c>
      <x:c r="E6446" s="2" t="str">
        <x:v>house</x:v>
      </x:c>
      <x:c r="F6446" s="2" t="str">
        <x:v>sale</x:v>
      </x:c>
      <x:c r="G6446" s="11" t="n">
        <x:v>35</x:v>
      </x:c>
      <x:c r="H6446" s="12" t="n">
        <x:v>2655000000</x:v>
      </x:c>
      <x:c r="I6446" s="12" t="n">
        <x:v>75857142.85714285</x:v>
      </x:c>
      <x:c r="J6446" s="2" t="str">
        <x:v>total</x:v>
      </x:c>
      <x:c r="K6446" s="2" t="str">
        <x:v>top_level_area</x:v>
      </x:c>
      <x:c r="L6446" s="2" t="str">
        <x:v>property_type_inferred_from_title</x:v>
      </x:c>
      <x:c r="M6446" s="10" t="n">
        <x:v>0</x:v>
      </x:c>
      <x:c r="N6446" s="10" t="n">
        <x:v>0</x:v>
      </x:c>
      <x:c r="O6446" s="2" t="str">
        <x:v>Hà Nội|house</x:v>
      </x:c>
      <x:c r="P6446" s="10" t="n">
        <x:v>2</x:v>
      </x:c>
      <x:c r="Q6446" s="13" t="n">
        <x:f>IF(H6446="","",H6446/1000000000)</x:f>
        <x:v>2.655</x:v>
      </x:c>
      <x:c r="R6446" s="13" t="n">
        <x:f>IF(I6446="","",I6446/1000000)</x:f>
        <x:v>75.85714285714285</x:v>
      </x:c>
    </x:row>
    <x:row r="6447" ht="21" customHeight="1">
      <x:c r="A6447" s="10" t="n">
        <x:v>8329</x:v>
      </x:c>
      <x:c r="B6447" s="2" t="str">
        <x:v>f0b63ad78a22dc3991f2</x:v>
      </x:c>
      <x:c r="C6447" s="2" t="str">
        <x:v>Bình Dương</x:v>
      </x:c>
      <x:c r="D6447" s="2" t="str">
        <x:v>Thị xã Dĩ An</x:v>
      </x:c>
      <x:c r="E6447" s="2" t="str">
        <x:v>house</x:v>
      </x:c>
      <x:c r="F6447" s="2" t="str">
        <x:v>sale</x:v>
      </x:c>
      <x:c r="G6447" s="11" t="n">
        <x:v>86</x:v>
      </x:c>
      <x:c r="H6447" s="12" t="n">
        <x:v>2850000000</x:v>
      </x:c>
      <x:c r="I6447" s="12" t="n">
        <x:v>33139534.88372093</x:v>
      </x:c>
      <x:c r="J6447" s="2" t="str">
        <x:v>total</x:v>
      </x:c>
      <x:c r="K6447" s="2" t="str">
        <x:v>top_level_area</x:v>
      </x:c>
      <x:c r="L6447" s="2" t="str">
        <x:v>property_type_inferred_from_title</x:v>
      </x:c>
      <x:c r="M6447" s="10" t="n">
        <x:v>0</x:v>
      </x:c>
      <x:c r="N6447" s="10" t="n">
        <x:v>0</x:v>
      </x:c>
      <x:c r="O6447" s="2" t="str">
        <x:v>Bình Dương|house</x:v>
      </x:c>
      <x:c r="P6447" s="10" t="n">
        <x:v>2</x:v>
      </x:c>
      <x:c r="Q6447" s="13" t="n">
        <x:f>IF(H6447="","",H6447/1000000000)</x:f>
        <x:v>2.85</x:v>
      </x:c>
      <x:c r="R6447" s="13" t="n">
        <x:f>IF(I6447="","",I6447/1000000)</x:f>
        <x:v>33.139534883720934</x:v>
      </x:c>
    </x:row>
    <x:row r="6448" ht="21" customHeight="1">
      <x:c r="A6448" s="10" t="n">
        <x:v>8330</x:v>
      </x:c>
      <x:c r="B6448" s="2" t="str">
        <x:v>422f6dbd80fd996ccfc3</x:v>
      </x:c>
      <x:c r="C6448" s="2" t="str">
        <x:v>Đà Nẵng</x:v>
      </x:c>
      <x:c r="D6448" s="2" t="str">
        <x:v>Quận Cẩm Lệ</x:v>
      </x:c>
      <x:c r="E6448" s="2" t="str">
        <x:v>other_unknown</x:v>
      </x:c>
      <x:c r="F6448" s="2" t="str">
        <x:v>sale_assumed</x:v>
      </x:c>
      <x:c r="G6448" s="11" t="n">
        <x:v>100</x:v>
      </x:c>
      <x:c r="H6448" s="12" t="n">
        <x:v>2830000000</x:v>
      </x:c>
      <x:c r="I6448" s="12" t="n">
        <x:v>28300000</x:v>
      </x:c>
      <x:c r="J6448" s="2" t="str">
        <x:v>total</x:v>
      </x:c>
      <x:c r="K6448" s="2" t="str">
        <x:v>top_level_area</x:v>
      </x:c>
      <x:c r="L6448" s="2" t="str">
        <x:v>property_type_inferred_from_title;transaction_assumed_sale_from_dataset_context;unknown_property_type</x:v>
      </x:c>
      <x:c r="M6448" s="10" t="n">
        <x:v>0</x:v>
      </x:c>
      <x:c r="N6448" s="10" t="n">
        <x:v>0</x:v>
      </x:c>
      <x:c r="O6448" s="2" t="str">
        <x:v>Đà Nẵng|other_unknown</x:v>
      </x:c>
      <x:c r="P6448" s="10" t="n">
        <x:v>2</x:v>
      </x:c>
      <x:c r="Q6448" s="13" t="n">
        <x:f>IF(H6448="","",H6448/1000000000)</x:f>
        <x:v>2.83</x:v>
      </x:c>
      <x:c r="R6448" s="13" t="n">
        <x:f>IF(I6448="","",I6448/1000000)</x:f>
        <x:v>28.3</x:v>
      </x:c>
    </x:row>
    <x:row r="6449" ht="21" customHeight="1">
      <x:c r="A6449" s="10" t="n">
        <x:v>8331</x:v>
      </x:c>
      <x:c r="B6449" s="2" t="str">
        <x:v>a52bd436a983910128f4</x:v>
      </x:c>
      <x:c r="C6449" s="2" t="str">
        <x:v>Tp Hồ Chí Minh</x:v>
      </x:c>
      <x:c r="D6449" s="2" t="str">
        <x:v>Huyện Hóc Môn</x:v>
      </x:c>
      <x:c r="E6449" s="2" t="str">
        <x:v>house</x:v>
      </x:c>
      <x:c r="F6449" s="2" t="str">
        <x:v>sale</x:v>
      </x:c>
      <x:c r="G6449" s="11" t="n">
        <x:v>100</x:v>
      </x:c>
      <x:c r="H6449" s="12" t="n">
        <x:v>300000000</x:v>
      </x:c>
      <x:c r="I6449" s="12" t="n">
        <x:v>3000000</x:v>
      </x:c>
      <x:c r="J6449" s="2" t="str">
        <x:v>total</x:v>
      </x:c>
      <x:c r="K6449" s="2" t="str">
        <x:v>top_level_area</x:v>
      </x:c>
      <x:c r="L6449" s="2" t="str">
        <x:v>property_type_inferred_from_title</x:v>
      </x:c>
      <x:c r="M6449" s="10" t="n">
        <x:v>0</x:v>
      </x:c>
      <x:c r="N6449" s="10" t="n">
        <x:v>0</x:v>
      </x:c>
      <x:c r="O6449" s="2" t="str">
        <x:v>Tp Hồ Chí Minh|house</x:v>
      </x:c>
      <x:c r="P6449" s="10" t="n">
        <x:v>2</x:v>
      </x:c>
      <x:c r="Q6449" s="13" t="n">
        <x:f>IF(H6449="","",H6449/1000000000)</x:f>
        <x:v>0.3</x:v>
      </x:c>
      <x:c r="R6449" s="13" t="n">
        <x:f>IF(I6449="","",I6449/1000000)</x:f>
        <x:v>3</x:v>
      </x:c>
    </x:row>
    <x:row r="6450" ht="21" customHeight="1">
      <x:c r="A6450" s="10" t="n">
        <x:v>8332</x:v>
      </x:c>
      <x:c r="B6450" s="2" t="str">
        <x:v>05cc21fdb9f74a8f88bb</x:v>
      </x:c>
      <x:c r="C6450" s="2" t="str">
        <x:v>Đà Nẵng</x:v>
      </x:c>
      <x:c r="D6450" s="2" t="str">
        <x:v>Quận Ngũ Hành Sơn</x:v>
      </x:c>
      <x:c r="E6450" s="2" t="str">
        <x:v>other_unknown</x:v>
      </x:c>
      <x:c r="F6450" s="2" t="str">
        <x:v>sale_assumed</x:v>
      </x:c>
      <x:c r="G6450" s="11" t="n">
        <x:v>144</x:v>
      </x:c>
      <x:c r="H6450" s="12" t="n">
        <x:v>2350000000</x:v>
      </x:c>
      <x:c r="I6450" s="12" t="n">
        <x:v>16319444.444444444</x:v>
      </x:c>
      <x:c r="J6450" s="2" t="str">
        <x:v>total</x:v>
      </x:c>
      <x:c r="K6450" s="2" t="str">
        <x:v>top_level_area</x:v>
      </x:c>
      <x:c r="L6450" s="2" t="str">
        <x:v>property_type_inferred_from_title;transaction_assumed_sale_from_dataset_context;unknown_property_type</x:v>
      </x:c>
      <x:c r="M6450" s="10" t="n">
        <x:v>0</x:v>
      </x:c>
      <x:c r="N6450" s="10" t="n">
        <x:v>0</x:v>
      </x:c>
      <x:c r="O6450" s="2" t="str">
        <x:v>Đà Nẵng|other_unknown</x:v>
      </x:c>
      <x:c r="P6450" s="10" t="n">
        <x:v>2</x:v>
      </x:c>
      <x:c r="Q6450" s="13" t="n">
        <x:f>IF(H6450="","",H6450/1000000000)</x:f>
        <x:v>2.35</x:v>
      </x:c>
      <x:c r="R6450" s="13" t="n">
        <x:f>IF(I6450="","",I6450/1000000)</x:f>
        <x:v>16.319444444444443</x:v>
      </x:c>
    </x:row>
    <x:row r="6451" ht="21" customHeight="1">
      <x:c r="A6451" s="10" t="n">
        <x:v>8333</x:v>
      </x:c>
      <x:c r="B6451" s="2" t="str">
        <x:v>baf8b3f8913c677e3536</x:v>
      </x:c>
      <x:c r="C6451" s="2" t="str">
        <x:v>Tp Hồ Chí Minh</x:v>
      </x:c>
      <x:c r="D6451" s="2" t="str">
        <x:v>Quận Tân Bình</x:v>
      </x:c>
      <x:c r="E6451" s="2" t="str">
        <x:v>house</x:v>
      </x:c>
      <x:c r="F6451" s="2" t="str">
        <x:v>sale_assumed</x:v>
      </x:c>
      <x:c r="G6451" s="11" t="n">
        <x:v>23</x:v>
      </x:c>
      <x:c r="H6451" s="12" t="n">
        <x:v>4450000000</x:v>
      </x:c>
      <x:c r="I6451" s="12" t="n">
        <x:v>193478260.86956522</x:v>
      </x:c>
      <x:c r="J6451" s="2" t="str">
        <x:v>total</x:v>
      </x:c>
      <x:c r="K6451" s="2" t="str">
        <x:v>top_level_area</x:v>
      </x:c>
      <x:c r="L6451" s="2" t="str">
        <x:v>property_type_inferred_from_title;transaction_assumed_sale_from_dataset_context</x:v>
      </x:c>
      <x:c r="M6451" s="10" t="n">
        <x:v>1</x:v>
      </x:c>
      <x:c r="N6451" s="10" t="n">
        <x:v>0</x:v>
      </x:c>
      <x:c r="O6451" s="2" t="str">
        <x:v>Tp Hồ Chí Minh|house</x:v>
      </x:c>
      <x:c r="P6451" s="10" t="n">
        <x:v>2</x:v>
      </x:c>
      <x:c r="Q6451" s="13" t="n">
        <x:f>IF(H6451="","",H6451/1000000000)</x:f>
        <x:v>4.45</x:v>
      </x:c>
      <x:c r="R6451" s="13" t="n">
        <x:f>IF(I6451="","",I6451/1000000)</x:f>
        <x:v>193.47826086956522</x:v>
      </x:c>
    </x:row>
    <x:row r="6452" ht="21" customHeight="1">
      <x:c r="A6452" s="10" t="n">
        <x:v>8334</x:v>
      </x:c>
      <x:c r="B6452" s="2" t="str">
        <x:v>c0e86be509521863308a</x:v>
      </x:c>
      <x:c r="C6452" s="2" t="str">
        <x:v>Tp Hồ Chí Minh</x:v>
      </x:c>
      <x:c r="D6452" s="2" t="str">
        <x:v>Quận 12</x:v>
      </x:c>
      <x:c r="E6452" s="2" t="str">
        <x:v>house</x:v>
      </x:c>
      <x:c r="F6452" s="2" t="str">
        <x:v>sale_assumed</x:v>
      </x:c>
      <x:c r="G6452" s="11" t="n">
        <x:v>51</x:v>
      </x:c>
      <x:c r="H6452" s="12" t="n">
        <x:v>4500000000</x:v>
      </x:c>
      <x:c r="I6452" s="12" t="n">
        <x:v>88235294.11764705</x:v>
      </x:c>
      <x:c r="J6452" s="2" t="str">
        <x:v>total</x:v>
      </x:c>
      <x:c r="K6452" s="2" t="str">
        <x:v>top_level_area</x:v>
      </x:c>
      <x:c r="L6452" s="2" t="str">
        <x:v>property_type_inferred_from_title;transaction_assumed_sale_from_dataset_context</x:v>
      </x:c>
      <x:c r="M6452" s="10" t="n">
        <x:v>0</x:v>
      </x:c>
      <x:c r="N6452" s="10" t="n">
        <x:v>0</x:v>
      </x:c>
      <x:c r="O6452" s="2" t="str">
        <x:v>Tp Hồ Chí Minh|house</x:v>
      </x:c>
      <x:c r="P6452" s="10" t="n">
        <x:v>2</x:v>
      </x:c>
      <x:c r="Q6452" s="13" t="n">
        <x:f>IF(H6452="","",H6452/1000000000)</x:f>
        <x:v>4.5</x:v>
      </x:c>
      <x:c r="R6452" s="13" t="n">
        <x:f>IF(I6452="","",I6452/1000000)</x:f>
        <x:v>88.23529411764706</x:v>
      </x:c>
    </x:row>
    <x:row r="6453" ht="21" customHeight="1">
      <x:c r="A6453" s="10" t="n">
        <x:v>8335</x:v>
      </x:c>
      <x:c r="B6453" s="2" t="str">
        <x:v>a7f1772f5dbc9c11cdcd</x:v>
      </x:c>
      <x:c r="C6453" s="2" t="str">
        <x:v>Long An</x:v>
      </x:c>
      <x:c r="D6453" s="2" t="str">
        <x:v>Huyện Đức Hòa</x:v>
      </x:c>
      <x:c r="E6453" s="2" t="str">
        <x:v>house</x:v>
      </x:c>
      <x:c r="F6453" s="2" t="str">
        <x:v>sale_assumed</x:v>
      </x:c>
      <x:c r="G6453" s="11" t="n">
        <x:v>80</x:v>
      </x:c>
      <x:c r="H6453" s="12" t="n">
        <x:v>790000000</x:v>
      </x:c>
      <x:c r="I6453" s="12" t="n">
        <x:v>9875000</x:v>
      </x:c>
      <x:c r="J6453" s="2" t="str">
        <x:v>total</x:v>
      </x:c>
      <x:c r="K6453" s="2" t="str">
        <x:v>top_level_area</x:v>
      </x:c>
      <x:c r="L6453" s="2" t="str">
        <x:v>property_type_inferred_from_title;transaction_assumed_sale_from_dataset_context</x:v>
      </x:c>
      <x:c r="M6453" s="10" t="n">
        <x:v>0</x:v>
      </x:c>
      <x:c r="N6453" s="10" t="n">
        <x:v>0</x:v>
      </x:c>
      <x:c r="O6453" s="2" t="str">
        <x:v>Long An|house</x:v>
      </x:c>
      <x:c r="P6453" s="10" t="n">
        <x:v>2</x:v>
      </x:c>
      <x:c r="Q6453" s="13" t="n">
        <x:f>IF(H6453="","",H6453/1000000000)</x:f>
        <x:v>0.79</x:v>
      </x:c>
      <x:c r="R6453" s="13" t="n">
        <x:f>IF(I6453="","",I6453/1000000)</x:f>
        <x:v>9.875</x:v>
      </x:c>
    </x:row>
    <x:row r="6454" ht="21" customHeight="1">
      <x:c r="A6454" s="10" t="n">
        <x:v>8336</x:v>
      </x:c>
      <x:c r="B6454" s="2" t="str">
        <x:v>64e64069f69e2142e49a</x:v>
      </x:c>
      <x:c r="C6454" s="2" t="str">
        <x:v>Đà Nẵng</x:v>
      </x:c>
      <x:c r="D6454" s="2" t="str">
        <x:v>Quận Ngũ Hành Sơn</x:v>
      </x:c>
      <x:c r="E6454" s="2" t="str">
        <x:v>land</x:v>
      </x:c>
      <x:c r="F6454" s="2" t="str">
        <x:v>sale_assumed</x:v>
      </x:c>
      <x:c r="G6454" s="11" t="n">
        <x:v>100</x:v>
      </x:c>
      <x:c r="H6454" s="12" t="n">
        <x:v>770000000</x:v>
      </x:c>
      <x:c r="I6454" s="12" t="n">
        <x:v>7700000</x:v>
      </x:c>
      <x:c r="J6454" s="2" t="str">
        <x:v>total</x:v>
      </x:c>
      <x:c r="K6454" s="2" t="str">
        <x:v>top_level_area</x:v>
      </x:c>
      <x:c r="L6454" s="2" t="str">
        <x:v>property_type_inferred_from_title;transaction_assumed_sale_from_dataset_context</x:v>
      </x:c>
      <x:c r="M6454" s="10" t="n">
        <x:v>0</x:v>
      </x:c>
      <x:c r="N6454" s="10" t="n">
        <x:v>0</x:v>
      </x:c>
      <x:c r="O6454" s="2" t="str">
        <x:v>Đà Nẵng|land</x:v>
      </x:c>
      <x:c r="P6454" s="10" t="n">
        <x:v>2</x:v>
      </x:c>
      <x:c r="Q6454" s="13" t="n">
        <x:f>IF(H6454="","",H6454/1000000000)</x:f>
        <x:v>0.77</x:v>
      </x:c>
      <x:c r="R6454" s="13" t="n">
        <x:f>IF(I6454="","",I6454/1000000)</x:f>
        <x:v>7.7</x:v>
      </x:c>
    </x:row>
    <x:row r="6455" ht="21" customHeight="1">
      <x:c r="A6455" s="10" t="n">
        <x:v>8337</x:v>
      </x:c>
      <x:c r="B6455" s="2" t="str">
        <x:v>9c16320fe7ed8b6b3cf3</x:v>
      </x:c>
      <x:c r="C6455" s="2" t="str">
        <x:v>Long An</x:v>
      </x:c>
      <x:c r="D6455" s="2" t="str">
        <x:v>Huyện Đức Hòa</x:v>
      </x:c>
      <x:c r="E6455" s="2" t="str">
        <x:v>land</x:v>
      </x:c>
      <x:c r="F6455" s="2" t="str">
        <x:v>sale</x:v>
      </x:c>
      <x:c r="G6455" s="11" t="n">
        <x:v>325</x:v>
      </x:c>
      <x:c r="H6455" s="12" t="n">
        <x:v>3600000000</x:v>
      </x:c>
      <x:c r="I6455" s="12" t="n">
        <x:v>11076923.076923076</x:v>
      </x:c>
      <x:c r="J6455" s="2" t="str">
        <x:v>total</x:v>
      </x:c>
      <x:c r="K6455" s="2" t="str">
        <x:v>top_level_price_embedded_area</x:v>
      </x:c>
      <x:c r="L6455" s="2" t="str">
        <x:v>area_recovered_from_price_text;property_type_inferred_from_title</x:v>
      </x:c>
      <x:c r="M6455" s="10" t="n">
        <x:v>0</x:v>
      </x:c>
      <x:c r="N6455" s="10" t="n">
        <x:v>0</x:v>
      </x:c>
      <x:c r="O6455" s="2" t="str">
        <x:v>Long An|land</x:v>
      </x:c>
      <x:c r="P6455" s="10" t="n">
        <x:v>1</x:v>
      </x:c>
      <x:c r="Q6455" s="13" t="n">
        <x:f>IF(H6455="","",H6455/1000000000)</x:f>
        <x:v>3.6</x:v>
      </x:c>
      <x:c r="R6455" s="13" t="n">
        <x:f>IF(I6455="","",I6455/1000000)</x:f>
        <x:v>11.076923076923077</x:v>
      </x:c>
    </x:row>
    <x:row r="6456" ht="21" customHeight="1">
      <x:c r="A6456" s="10" t="n">
        <x:v>8338</x:v>
      </x:c>
      <x:c r="B6456" s="2" t="str">
        <x:v>a0857d293fcfb4e85f42</x:v>
      </x:c>
      <x:c r="C6456" s="2" t="str">
        <x:v>Hà Nội</x:v>
      </x:c>
      <x:c r="D6456" s="2" t="str">
        <x:v>Quận Tây Hồ</x:v>
      </x:c>
      <x:c r="E6456" s="2" t="str">
        <x:v>house</x:v>
      </x:c>
      <x:c r="F6456" s="2" t="str">
        <x:v>sale</x:v>
      </x:c>
      <x:c r="G6456" s="11" t="n">
        <x:v>96</x:v>
      </x:c>
      <x:c r="H6456" s="12" t="n">
        <x:v>18680000000</x:v>
      </x:c>
      <x:c r="I6456" s="12" t="n">
        <x:v>194583333.33333334</x:v>
      </x:c>
      <x:c r="J6456" s="2" t="str">
        <x:v>total</x:v>
      </x:c>
      <x:c r="K6456" s="2" t="str">
        <x:v>top_level_area</x:v>
      </x:c>
      <x:c r="L6456" s="2" t="str">
        <x:v>property_type_inferred_from_title</x:v>
      </x:c>
      <x:c r="M6456" s="10" t="n">
        <x:v>1</x:v>
      </x:c>
      <x:c r="N6456" s="10" t="n">
        <x:v>1</x:v>
      </x:c>
      <x:c r="O6456" s="2" t="str">
        <x:v>Hà Nội|house</x:v>
      </x:c>
      <x:c r="P6456" s="10" t="n">
        <x:v>-1</x:v>
      </x:c>
      <x:c r="Q6456" s="13" t="n">
        <x:f>IF(H6456="","",H6456/1000000000)</x:f>
        <x:v>18.68</x:v>
      </x:c>
      <x:c r="R6456" s="13" t="n">
        <x:f>IF(I6456="","",I6456/1000000)</x:f>
        <x:v>194.58333333333334</x:v>
      </x:c>
    </x:row>
    <x:row r="6457" ht="21" customHeight="1">
      <x:c r="A6457" s="10" t="n">
        <x:v>8339</x:v>
      </x:c>
      <x:c r="B6457" s="2" t="str">
        <x:v>9ce562f745e6e87887c5</x:v>
      </x:c>
      <x:c r="C6457" s="2" t="str">
        <x:v>Tp Hồ Chí Minh</x:v>
      </x:c>
      <x:c r="D6457" s="2" t="str">
        <x:v>Quận 9</x:v>
      </x:c>
      <x:c r="E6457" s="2" t="str">
        <x:v>house</x:v>
      </x:c>
      <x:c r="F6457" s="2" t="str">
        <x:v>sale_assumed</x:v>
      </x:c>
      <x:c r="G6457" s="11" t="n">
        <x:v>84</x:v>
      </x:c>
      <x:c r="H6457" s="12" t="n">
        <x:v>8500000000</x:v>
      </x:c>
      <x:c r="I6457" s="12" t="n">
        <x:v>101190476.1904762</x:v>
      </x:c>
      <x:c r="J6457" s="2" t="str">
        <x:v>total</x:v>
      </x:c>
      <x:c r="K6457" s="2" t="str">
        <x:v>top_level_area</x:v>
      </x:c>
      <x:c r="L6457" s="2" t="str">
        <x:v>property_type_inferred_from_title;transaction_assumed_sale_from_dataset_context</x:v>
      </x:c>
      <x:c r="M6457" s="10" t="n">
        <x:v>0</x:v>
      </x:c>
      <x:c r="N6457" s="10" t="n">
        <x:v>0</x:v>
      </x:c>
      <x:c r="O6457" s="2" t="str">
        <x:v>Tp Hồ Chí Minh|house</x:v>
      </x:c>
      <x:c r="P6457" s="10" t="n">
        <x:v>2</x:v>
      </x:c>
      <x:c r="Q6457" s="13" t="n">
        <x:f>IF(H6457="","",H6457/1000000000)</x:f>
        <x:v>8.5</x:v>
      </x:c>
      <x:c r="R6457" s="13" t="n">
        <x:f>IF(I6457="","",I6457/1000000)</x:f>
        <x:v>101.19047619047619</x:v>
      </x:c>
    </x:row>
    <x:row r="6458" ht="21" customHeight="1">
      <x:c r="A6458" s="10" t="n">
        <x:v>8340</x:v>
      </x:c>
      <x:c r="B6458" s="2" t="str">
        <x:v>e573aa6b4e92558edcb2</x:v>
      </x:c>
      <x:c r="C6458" s="2" t="str">
        <x:v>Tp Hồ Chí Minh</x:v>
      </x:c>
      <x:c r="D6458" s="2" t="str">
        <x:v>Quận 9</x:v>
      </x:c>
      <x:c r="E6458" s="2" t="str">
        <x:v>land</x:v>
      </x:c>
      <x:c r="F6458" s="2" t="str">
        <x:v>sale_assumed</x:v>
      </x:c>
      <x:c r="G6458" s="11" t="n">
        <x:v>70</x:v>
      </x:c>
      <x:c r="H6458" s="12" t="n">
        <x:v>4550000000</x:v>
      </x:c>
      <x:c r="I6458" s="12" t="n">
        <x:v>65000000</x:v>
      </x:c>
      <x:c r="J6458" s="2" t="str">
        <x:v>total</x:v>
      </x:c>
      <x:c r="K6458" s="2" t="str">
        <x:v>top_level_area</x:v>
      </x:c>
      <x:c r="L6458" s="2" t="str">
        <x:v>property_type_inferred_from_title;transaction_assumed_sale_from_dataset_context</x:v>
      </x:c>
      <x:c r="M6458" s="10" t="n">
        <x:v>0</x:v>
      </x:c>
      <x:c r="N6458" s="10" t="n">
        <x:v>0</x:v>
      </x:c>
      <x:c r="O6458" s="2" t="str">
        <x:v>Tp Hồ Chí Minh|land</x:v>
      </x:c>
      <x:c r="P6458" s="10" t="n">
        <x:v>2</x:v>
      </x:c>
      <x:c r="Q6458" s="13" t="n">
        <x:f>IF(H6458="","",H6458/1000000000)</x:f>
        <x:v>4.55</x:v>
      </x:c>
      <x:c r="R6458" s="13" t="n">
        <x:f>IF(I6458="","",I6458/1000000)</x:f>
        <x:v>65</x:v>
      </x:c>
    </x:row>
    <x:row r="6459" ht="21" customHeight="1">
      <x:c r="A6459" s="10" t="n">
        <x:v>8341</x:v>
      </x:c>
      <x:c r="B6459" s="2" t="str">
        <x:v>bc4d10de324883d0baca</x:v>
      </x:c>
      <x:c r="C6459" s="2" t="str">
        <x:v>Bình Định</x:v>
      </x:c>
      <x:c r="D6459" s="2" t="str">
        <x:v>Thành phố Qui Nhơn</x:v>
      </x:c>
      <x:c r="E6459" s="2" t="str">
        <x:v>apartment</x:v>
      </x:c>
      <x:c r="F6459" s="2" t="str">
        <x:v>sale_assumed</x:v>
      </x:c>
      <x:c r="G6459" s="11" t="n">
        <x:v>76</x:v>
      </x:c>
      <x:c r="H6459" s="12" t="n">
        <x:v>5150000000</x:v>
      </x:c>
      <x:c r="I6459" s="12" t="n">
        <x:v>67763157.89473684</x:v>
      </x:c>
      <x:c r="J6459" s="2" t="str">
        <x:v>total</x:v>
      </x:c>
      <x:c r="K6459" s="2" t="str">
        <x:v>top_level_area</x:v>
      </x:c>
      <x:c r="L6459" s="2" t="str">
        <x:v>property_type_inferred_from_title;transaction_assumed_sale_from_dataset_context</x:v>
      </x:c>
      <x:c r="M6459" s="10" t="n">
        <x:v>0</x:v>
      </x:c>
      <x:c r="N6459" s="10" t="n">
        <x:v>1</x:v>
      </x:c>
      <x:c r="O6459" s="2" t="str">
        <x:v>apartment</x:v>
      </x:c>
      <x:c r="P6459" s="10" t="n">
        <x:v>-1</x:v>
      </x:c>
      <x:c r="Q6459" s="13" t="n">
        <x:f>IF(H6459="","",H6459/1000000000)</x:f>
        <x:v>5.15</x:v>
      </x:c>
      <x:c r="R6459" s="13" t="n">
        <x:f>IF(I6459="","",I6459/1000000)</x:f>
        <x:v>67.76315789473684</x:v>
      </x:c>
    </x:row>
    <x:row r="6460" ht="21" customHeight="1">
      <x:c r="A6460" s="10" t="n">
        <x:v>8342</x:v>
      </x:c>
      <x:c r="B6460" s="2" t="str">
        <x:v>c12a9d765a8c8ff9a24a</x:v>
      </x:c>
      <x:c r="C6460" s="2" t="str">
        <x:v>Tp Hồ Chí Minh</x:v>
      </x:c>
      <x:c r="D6460" s="2" t="str">
        <x:v>Quận Gò Vấp</x:v>
      </x:c>
      <x:c r="E6460" s="2" t="str">
        <x:v>other_unknown</x:v>
      </x:c>
      <x:c r="F6460" s="2" t="str">
        <x:v>sale</x:v>
      </x:c>
      <x:c r="G6460" s="11" t="n">
        <x:v>53</x:v>
      </x:c>
      <x:c r="H6460" s="12" t="n">
        <x:v>8600000000</x:v>
      </x:c>
      <x:c r="I6460" s="12" t="n">
        <x:v>162264150.94339624</x:v>
      </x:c>
      <x:c r="J6460" s="2" t="str">
        <x:v>total</x:v>
      </x:c>
      <x:c r="K6460" s="2" t="str">
        <x:v>top_level_area</x:v>
      </x:c>
      <x:c r="L6460" s="2" t="str">
        <x:v>property_type_inferred_from_title;unknown_property_type</x:v>
      </x:c>
      <x:c r="M6460" s="10" t="n">
        <x:v>0</x:v>
      </x:c>
      <x:c r="N6460" s="10" t="n">
        <x:v>0</x:v>
      </x:c>
      <x:c r="O6460" s="2" t="str">
        <x:v>Tp Hồ Chí Minh|other_unknown</x:v>
      </x:c>
      <x:c r="P6460" s="10" t="n">
        <x:v>2</x:v>
      </x:c>
      <x:c r="Q6460" s="13" t="n">
        <x:f>IF(H6460="","",H6460/1000000000)</x:f>
        <x:v>8.6</x:v>
      </x:c>
      <x:c r="R6460" s="13" t="n">
        <x:f>IF(I6460="","",I6460/1000000)</x:f>
        <x:v>162.26415094339623</x:v>
      </x:c>
    </x:row>
    <x:row r="6461" ht="21" customHeight="1">
      <x:c r="A6461" s="10" t="n">
        <x:v>8343</x:v>
      </x:c>
      <x:c r="B6461" s="2" t="str">
        <x:v>0a5f72597303294f6faf</x:v>
      </x:c>
      <x:c r="C6461" s="2" t="str">
        <x:v>Tp Hồ Chí Minh</x:v>
      </x:c>
      <x:c r="D6461" s="2" t="str">
        <x:v>Quận Tân Bình</x:v>
      </x:c>
      <x:c r="E6461" s="2" t="str">
        <x:v>house</x:v>
      </x:c>
      <x:c r="F6461" s="2" t="str">
        <x:v>sale</x:v>
      </x:c>
      <x:c r="G6461" s="11" t="n">
        <x:v>66</x:v>
      </x:c>
      <x:c r="H6461" s="12" t="n">
        <x:v>12800000000</x:v>
      </x:c>
      <x:c r="I6461" s="12" t="n">
        <x:v>193939393.93939394</x:v>
      </x:c>
      <x:c r="J6461" s="2" t="str">
        <x:v>total</x:v>
      </x:c>
      <x:c r="K6461" s="2" t="str">
        <x:v>top_level_area</x:v>
      </x:c>
      <x:c r="L6461" s="2" t="str">
        <x:v>property_type_inferred_from_title</x:v>
      </x:c>
      <x:c r="M6461" s="10" t="n">
        <x:v>1</x:v>
      </x:c>
      <x:c r="N6461" s="10" t="n">
        <x:v>0</x:v>
      </x:c>
      <x:c r="O6461" s="2" t="str">
        <x:v>Tp Hồ Chí Minh|house</x:v>
      </x:c>
      <x:c r="P6461" s="10" t="n">
        <x:v>2</x:v>
      </x:c>
      <x:c r="Q6461" s="13" t="n">
        <x:f>IF(H6461="","",H6461/1000000000)</x:f>
        <x:v>12.8</x:v>
      </x:c>
      <x:c r="R6461" s="13" t="n">
        <x:f>IF(I6461="","",I6461/1000000)</x:f>
        <x:v>193.93939393939394</x:v>
      </x:c>
    </x:row>
    <x:row r="6462" ht="21" customHeight="1">
      <x:c r="A6462" s="10" t="n">
        <x:v>8344</x:v>
      </x:c>
      <x:c r="B6462" s="2" t="str">
        <x:v>de4261f9cb4776f3515b</x:v>
      </x:c>
      <x:c r="C6462" s="2" t="str">
        <x:v>Cần Thơ</x:v>
      </x:c>
      <x:c r="D6462" s="2" t="str">
        <x:v>Quận Cái Răng</x:v>
      </x:c>
      <x:c r="E6462" s="2" t="str">
        <x:v>land</x:v>
      </x:c>
      <x:c r="F6462" s="2" t="str">
        <x:v>sale_assumed</x:v>
      </x:c>
      <x:c r="G6462" s="11" t="n">
        <x:v>120</x:v>
      </x:c>
      <x:c r="H6462" s="12" t="n">
        <x:v>2350000000</x:v>
      </x:c>
      <x:c r="I6462" s="12" t="n">
        <x:v>19583333.333333332</x:v>
      </x:c>
      <x:c r="J6462" s="2" t="str">
        <x:v>total</x:v>
      </x:c>
      <x:c r="K6462" s="2" t="str">
        <x:v>top_level_area</x:v>
      </x:c>
      <x:c r="L6462" s="2" t="str">
        <x:v>property_type_inferred_from_title;transaction_assumed_sale_from_dataset_context</x:v>
      </x:c>
      <x:c r="M6462" s="10" t="n">
        <x:v>0</x:v>
      </x:c>
      <x:c r="N6462" s="10" t="n">
        <x:v>0</x:v>
      </x:c>
      <x:c r="O6462" s="2" t="str">
        <x:v>Cần Thơ|land</x:v>
      </x:c>
      <x:c r="P6462" s="10" t="n">
        <x:v>2</x:v>
      </x:c>
      <x:c r="Q6462" s="13" t="n">
        <x:f>IF(H6462="","",H6462/1000000000)</x:f>
        <x:v>2.35</x:v>
      </x:c>
      <x:c r="R6462" s="13" t="n">
        <x:f>IF(I6462="","",I6462/1000000)</x:f>
        <x:v>19.583333333333332</x:v>
      </x:c>
    </x:row>
    <x:row r="6463" ht="21" customHeight="1">
      <x:c r="A6463" s="10" t="n">
        <x:v>8345</x:v>
      </x:c>
      <x:c r="B6463" s="2" t="str">
        <x:v>a2c3f388cbeeeb8eb028</x:v>
      </x:c>
      <x:c r="C6463" s="2" t="str">
        <x:v>Đà Nẵng</x:v>
      </x:c>
      <x:c r="D6463" s="2" t="str">
        <x:v>Quận Liên Chiểu</x:v>
      </x:c>
      <x:c r="E6463" s="2" t="str">
        <x:v>house</x:v>
      </x:c>
      <x:c r="F6463" s="2" t="str">
        <x:v>sale</x:v>
      </x:c>
      <x:c r="G6463" s="11" t="n">
        <x:v>66.6</x:v>
      </x:c>
      <x:c r="H6463" s="12" t="n">
        <x:v>1999000000</x:v>
      </x:c>
      <x:c r="I6463" s="12" t="n">
        <x:v>30015015.015015017</x:v>
      </x:c>
      <x:c r="J6463" s="2" t="str">
        <x:v>total</x:v>
      </x:c>
      <x:c r="K6463" s="2" t="str">
        <x:v>top_level_area</x:v>
      </x:c>
      <x:c r="L6463" s="2" t="str">
        <x:v>property_type_inferred_from_title</x:v>
      </x:c>
      <x:c r="M6463" s="10" t="n">
        <x:v>0</x:v>
      </x:c>
      <x:c r="N6463" s="10" t="n">
        <x:v>0</x:v>
      </x:c>
      <x:c r="O6463" s="2" t="str">
        <x:v>Đà Nẵng|house</x:v>
      </x:c>
      <x:c r="P6463" s="10" t="n">
        <x:v>2</x:v>
      </x:c>
      <x:c r="Q6463" s="13" t="n">
        <x:f>IF(H6463="","",H6463/1000000000)</x:f>
        <x:v>1.999</x:v>
      </x:c>
      <x:c r="R6463" s="13" t="n">
        <x:f>IF(I6463="","",I6463/1000000)</x:f>
        <x:v>30.015015015015017</x:v>
      </x:c>
    </x:row>
    <x:row r="6464" ht="21" customHeight="1">
      <x:c r="A6464" s="10" t="n">
        <x:v>8346</x:v>
      </x:c>
      <x:c r="B6464" s="2" t="str">
        <x:v>366b4c34cd747e66fe50</x:v>
      </x:c>
      <x:c r="C6464" s="2" t="str">
        <x:v>Tp Hồ Chí Minh</x:v>
      </x:c>
      <x:c r="D6464" s="2" t="str">
        <x:v>Quận 8</x:v>
      </x:c>
      <x:c r="E6464" s="2" t="str">
        <x:v>house</x:v>
      </x:c>
      <x:c r="F6464" s="2" t="str">
        <x:v>sale</x:v>
      </x:c>
      <x:c r="G6464" s="11" t="n">
        <x:v>60</x:v>
      </x:c>
      <x:c r="H6464" s="12" t="n">
        <x:v>1000000000</x:v>
      </x:c>
      <x:c r="I6464" s="12" t="n">
        <x:v>16666666.666666666</x:v>
      </x:c>
      <x:c r="J6464" s="2" t="str">
        <x:v>total</x:v>
      </x:c>
      <x:c r="K6464" s="2" t="str">
        <x:v>top_level_price_embedded_area</x:v>
      </x:c>
      <x:c r="L6464" s="2" t="str">
        <x:v>area_recovered_from_price_text;property_type_inferred_from_title</x:v>
      </x:c>
      <x:c r="M6464" s="10" t="n">
        <x:v>0</x:v>
      </x:c>
      <x:c r="N6464" s="10" t="n">
        <x:v>0</x:v>
      </x:c>
      <x:c r="O6464" s="2" t="str">
        <x:v>Tp Hồ Chí Minh|house</x:v>
      </x:c>
      <x:c r="P6464" s="10" t="n">
        <x:v>2</x:v>
      </x:c>
      <x:c r="Q6464" s="13" t="n">
        <x:f>IF(H6464="","",H6464/1000000000)</x:f>
        <x:v>1</x:v>
      </x:c>
      <x:c r="R6464" s="13" t="n">
        <x:f>IF(I6464="","",I6464/1000000)</x:f>
        <x:v>16.666666666666664</x:v>
      </x:c>
    </x:row>
    <x:row r="6465" ht="21" customHeight="1">
      <x:c r="A6465" s="10" t="n">
        <x:v>8347</x:v>
      </x:c>
      <x:c r="B6465" s="2" t="str">
        <x:v>2850d8df206a2c423280</x:v>
      </x:c>
      <x:c r="C6465" s="2" t="str">
        <x:v>Tp Hồ Chí Minh</x:v>
      </x:c>
      <x:c r="D6465" s="2" t="str">
        <x:v>Huyện Nhà Bè</x:v>
      </x:c>
      <x:c r="E6465" s="2" t="str">
        <x:v>house</x:v>
      </x:c>
      <x:c r="F6465" s="2" t="str">
        <x:v>sale_assumed</x:v>
      </x:c>
      <x:c r="G6465" s="11" t="n">
        <x:v>24</x:v>
      </x:c>
      <x:c r="H6465" s="12" t="n">
        <x:v>650000000</x:v>
      </x:c>
      <x:c r="I6465" s="12" t="n">
        <x:v>27083333.333333332</x:v>
      </x:c>
      <x:c r="J6465" s="2" t="str">
        <x:v>total</x:v>
      </x:c>
      <x:c r="K6465" s="2" t="str">
        <x:v>top_level_area</x:v>
      </x:c>
      <x:c r="L6465" s="2" t="str">
        <x:v>property_type_inferred_from_title;transaction_assumed_sale_from_dataset_context</x:v>
      </x:c>
      <x:c r="M6465" s="10" t="n">
        <x:v>0</x:v>
      </x:c>
      <x:c r="N6465" s="10" t="n">
        <x:v>0</x:v>
      </x:c>
      <x:c r="O6465" s="2" t="str">
        <x:v>Tp Hồ Chí Minh|house</x:v>
      </x:c>
      <x:c r="P6465" s="10" t="n">
        <x:v>2</x:v>
      </x:c>
      <x:c r="Q6465" s="13" t="n">
        <x:f>IF(H6465="","",H6465/1000000000)</x:f>
        <x:v>0.65</x:v>
      </x:c>
      <x:c r="R6465" s="13" t="n">
        <x:f>IF(I6465="","",I6465/1000000)</x:f>
        <x:v>27.083333333333332</x:v>
      </x:c>
    </x:row>
    <x:row r="6466" ht="21" customHeight="1">
      <x:c r="A6466" s="10" t="n">
        <x:v>8350</x:v>
      </x:c>
      <x:c r="B6466" s="2" t="str">
        <x:v>a3f3dd9034a7c37cbf15</x:v>
      </x:c>
      <x:c r="C6466" s="2" t="str">
        <x:v>Tp Hồ Chí Minh</x:v>
      </x:c>
      <x:c r="D6466" s="2" t="str">
        <x:v>Huyện Bình Chánh</x:v>
      </x:c>
      <x:c r="E6466" s="2" t="str">
        <x:v>land</x:v>
      </x:c>
      <x:c r="F6466" s="2" t="str">
        <x:v>sale_assumed</x:v>
      </x:c>
      <x:c r="G6466" s="11" t="n">
        <x:v>297</x:v>
      </x:c>
      <x:c r="H6466" s="12" t="n">
        <x:v>11700000000</x:v>
      </x:c>
      <x:c r="I6466" s="12" t="n">
        <x:v>39393939.39393939</x:v>
      </x:c>
      <x:c r="J6466" s="2" t="str">
        <x:v>total</x:v>
      </x:c>
      <x:c r="K6466" s="2" t="str">
        <x:v>top_level_area</x:v>
      </x:c>
      <x:c r="L6466" s="2" t="str">
        <x:v>property_type_inferred_from_title;transaction_assumed_sale_from_dataset_context</x:v>
      </x:c>
      <x:c r="M6466" s="10" t="n">
        <x:v>0</x:v>
      </x:c>
      <x:c r="N6466" s="10" t="n">
        <x:v>0</x:v>
      </x:c>
      <x:c r="O6466" s="2" t="str">
        <x:v>Tp Hồ Chí Minh|land</x:v>
      </x:c>
      <x:c r="P6466" s="10" t="n">
        <x:v>2</x:v>
      </x:c>
      <x:c r="Q6466" s="13" t="n">
        <x:f>IF(H6466="","",H6466/1000000000)</x:f>
        <x:v>11.7</x:v>
      </x:c>
      <x:c r="R6466" s="13" t="n">
        <x:f>IF(I6466="","",I6466/1000000)</x:f>
        <x:v>39.39393939393939</x:v>
      </x:c>
    </x:row>
    <x:row r="6467" ht="21" customHeight="1">
      <x:c r="A6467" s="10" t="n">
        <x:v>8351</x:v>
      </x:c>
      <x:c r="B6467" s="2" t="str">
        <x:v>722b880c0ecbec2884df</x:v>
      </x:c>
      <x:c r="C6467" s="2" t="str">
        <x:v>Hà Nội</x:v>
      </x:c>
      <x:c r="D6467" s="2" t="str">
        <x:v>Quận Long Biên</x:v>
      </x:c>
      <x:c r="E6467" s="2" t="str">
        <x:v>house</x:v>
      </x:c>
      <x:c r="F6467" s="2" t="str">
        <x:v>sale</x:v>
      </x:c>
      <x:c r="G6467" s="11" t="n">
        <x:v>44</x:v>
      </x:c>
      <x:c r="H6467" s="12" t="n">
        <x:v>3550000000</x:v>
      </x:c>
      <x:c r="I6467" s="12" t="n">
        <x:v>80681818.18181819</x:v>
      </x:c>
      <x:c r="J6467" s="2" t="str">
        <x:v>total</x:v>
      </x:c>
      <x:c r="K6467" s="2" t="str">
        <x:v>top_level_area</x:v>
      </x:c>
      <x:c r="L6467" s="2" t="str">
        <x:v>property_type_inferred_from_title</x:v>
      </x:c>
      <x:c r="M6467" s="10" t="n">
        <x:v>0</x:v>
      </x:c>
      <x:c r="N6467" s="10" t="n">
        <x:v>0</x:v>
      </x:c>
      <x:c r="O6467" s="2" t="str">
        <x:v>Hà Nội|house</x:v>
      </x:c>
      <x:c r="P6467" s="10" t="n">
        <x:v>2</x:v>
      </x:c>
      <x:c r="Q6467" s="13" t="n">
        <x:f>IF(H6467="","",H6467/1000000000)</x:f>
        <x:v>3.55</x:v>
      </x:c>
      <x:c r="R6467" s="13" t="n">
        <x:f>IF(I6467="","",I6467/1000000)</x:f>
        <x:v>80.68181818181819</x:v>
      </x:c>
    </x:row>
    <x:row r="6468" ht="21" customHeight="1">
      <x:c r="A6468" s="10" t="n">
        <x:v>8352</x:v>
      </x:c>
      <x:c r="B6468" s="2" t="str">
        <x:v>c3bc7063f337418221cf</x:v>
      </x:c>
      <x:c r="C6468" s="2" t="str">
        <x:v>Đà Nẵng</x:v>
      </x:c>
      <x:c r="D6468" s="2" t="str">
        <x:v>Quận Cẩm Lệ</x:v>
      </x:c>
      <x:c r="E6468" s="2" t="str">
        <x:v>other_unknown</x:v>
      </x:c>
      <x:c r="F6468" s="2" t="str">
        <x:v>sale_assumed</x:v>
      </x:c>
      <x:c r="G6468" s="11" t="n">
        <x:v>96</x:v>
      </x:c>
      <x:c r="H6468" s="12" t="n">
        <x:v>2600000000</x:v>
      </x:c>
      <x:c r="I6468" s="12" t="n">
        <x:v>27083333.333333332</x:v>
      </x:c>
      <x:c r="J6468" s="2" t="str">
        <x:v>total</x:v>
      </x:c>
      <x:c r="K6468" s="2" t="str">
        <x:v>top_level_area</x:v>
      </x:c>
      <x:c r="L6468" s="2" t="str">
        <x:v>property_type_inferred_from_title;transaction_assumed_sale_from_dataset_context;unknown_property_type</x:v>
      </x:c>
      <x:c r="M6468" s="10" t="n">
        <x:v>0</x:v>
      </x:c>
      <x:c r="N6468" s="10" t="n">
        <x:v>0</x:v>
      </x:c>
      <x:c r="O6468" s="2" t="str">
        <x:v>Đà Nẵng|other_unknown</x:v>
      </x:c>
      <x:c r="P6468" s="10" t="n">
        <x:v>2</x:v>
      </x:c>
      <x:c r="Q6468" s="13" t="n">
        <x:f>IF(H6468="","",H6468/1000000000)</x:f>
        <x:v>2.6</x:v>
      </x:c>
      <x:c r="R6468" s="13" t="n">
        <x:f>IF(I6468="","",I6468/1000000)</x:f>
        <x:v>27.083333333333332</x:v>
      </x:c>
    </x:row>
    <x:row r="6469" ht="21" customHeight="1">
      <x:c r="A6469" s="10" t="n">
        <x:v>8353</x:v>
      </x:c>
      <x:c r="B6469" s="2" t="str">
        <x:v>7de00255e4330be35891</x:v>
      </x:c>
      <x:c r="C6469" s="2" t="str">
        <x:v>Tp Hồ Chí Minh</x:v>
      </x:c>
      <x:c r="D6469" s="2" t="str">
        <x:v>Quận Phú Nhuận</x:v>
      </x:c>
      <x:c r="E6469" s="2" t="str">
        <x:v>other_unknown</x:v>
      </x:c>
      <x:c r="F6469" s="2" t="str">
        <x:v>sale_assumed</x:v>
      </x:c>
      <x:c r="G6469" s="11" t="n">
        <x:v>109</x:v>
      </x:c>
      <x:c r="H6469" s="12" t="n">
        <x:v>6200000000</x:v>
      </x:c>
      <x:c r="I6469" s="12" t="n">
        <x:v>56880733.94495413</x:v>
      </x:c>
      <x:c r="J6469" s="2" t="str">
        <x:v>total</x:v>
      </x:c>
      <x:c r="K6469" s="2" t="str">
        <x:v>top_level_area</x:v>
      </x:c>
      <x:c r="L6469" s="2" t="str">
        <x:v>property_type_inferred_from_title;transaction_assumed_sale_from_dataset_context;unknown_property_type</x:v>
      </x:c>
      <x:c r="M6469" s="10" t="n">
        <x:v>0</x:v>
      </x:c>
      <x:c r="N6469" s="10" t="n">
        <x:v>0</x:v>
      </x:c>
      <x:c r="O6469" s="2" t="str">
        <x:v>Tp Hồ Chí Minh|other_unknown</x:v>
      </x:c>
      <x:c r="P6469" s="10" t="n">
        <x:v>2</x:v>
      </x:c>
      <x:c r="Q6469" s="13" t="n">
        <x:f>IF(H6469="","",H6469/1000000000)</x:f>
        <x:v>6.2</x:v>
      </x:c>
      <x:c r="R6469" s="13" t="n">
        <x:f>IF(I6469="","",I6469/1000000)</x:f>
        <x:v>56.88073394495413</x:v>
      </x:c>
    </x:row>
    <x:row r="6470" ht="21" customHeight="1">
      <x:c r="A6470" s="10" t="n">
        <x:v>8354</x:v>
      </x:c>
      <x:c r="B6470" s="2" t="str">
        <x:v>3243bd5b30c68b65ece3</x:v>
      </x:c>
      <x:c r="C6470" s="2" t="str">
        <x:v>Long An</x:v>
      </x:c>
      <x:c r="D6470" s="2" t="str">
        <x:v>Huyện Cần Giuộc</x:v>
      </x:c>
      <x:c r="E6470" s="2" t="str">
        <x:v>other_unknown</x:v>
      </x:c>
      <x:c r="F6470" s="2" t="str">
        <x:v>sale</x:v>
      </x:c>
      <x:c r="G6470" s="11" t="n">
        <x:v>56</x:v>
      </x:c>
      <x:c r="H6470" s="12" t="n">
        <x:v>780000000</x:v>
      </x:c>
      <x:c r="I6470" s="12" t="n">
        <x:v>13928571.42857143</x:v>
      </x:c>
      <x:c r="J6470" s="2" t="str">
        <x:v>total</x:v>
      </x:c>
      <x:c r="K6470" s="2" t="str">
        <x:v>top_level_area</x:v>
      </x:c>
      <x:c r="L6470" s="2" t="str">
        <x:v>property_type_inferred_from_title;unknown_property_type</x:v>
      </x:c>
      <x:c r="M6470" s="10" t="n">
        <x:v>0</x:v>
      </x:c>
      <x:c r="N6470" s="10" t="n">
        <x:v>0</x:v>
      </x:c>
      <x:c r="O6470" s="2" t="str">
        <x:v>Long An|other_unknown</x:v>
      </x:c>
      <x:c r="P6470" s="10" t="n">
        <x:v>2</x:v>
      </x:c>
      <x:c r="Q6470" s="13" t="n">
        <x:f>IF(H6470="","",H6470/1000000000)</x:f>
        <x:v>0.78</x:v>
      </x:c>
      <x:c r="R6470" s="13" t="n">
        <x:f>IF(I6470="","",I6470/1000000)</x:f>
        <x:v>13.928571428571429</x:v>
      </x:c>
    </x:row>
    <x:row r="6471" ht="21" customHeight="1">
      <x:c r="A6471" s="10" t="n">
        <x:v>8355</x:v>
      </x:c>
      <x:c r="B6471" s="2" t="str">
        <x:v>9ac9bdc926db0a0bacc9</x:v>
      </x:c>
      <x:c r="C6471" s="2" t="str">
        <x:v>Hà Nội</x:v>
      </x:c>
      <x:c r="D6471" s="2" t="str">
        <x:v>Huyện Thanh Trì</x:v>
      </x:c>
      <x:c r="E6471" s="2" t="str">
        <x:v>land</x:v>
      </x:c>
      <x:c r="F6471" s="2" t="str">
        <x:v>sale</x:v>
      </x:c>
      <x:c r="G6471" s="11" t="n">
        <x:v>64</x:v>
      </x:c>
      <x:c r="H6471" s="12" t="n">
        <x:v>1800000000</x:v>
      </x:c>
      <x:c r="I6471" s="12" t="n">
        <x:v>28125000</x:v>
      </x:c>
      <x:c r="J6471" s="2" t="str">
        <x:v>total</x:v>
      </x:c>
      <x:c r="K6471" s="2" t="str">
        <x:v>top_level_area</x:v>
      </x:c>
      <x:c r="L6471" s="2" t="str">
        <x:v>property_type_inferred_from_title</x:v>
      </x:c>
      <x:c r="M6471" s="10" t="n">
        <x:v>0</x:v>
      </x:c>
      <x:c r="N6471" s="10" t="n">
        <x:v>0</x:v>
      </x:c>
      <x:c r="O6471" s="2" t="str">
        <x:v>Hà Nội|land</x:v>
      </x:c>
      <x:c r="P6471" s="10" t="n">
        <x:v>2</x:v>
      </x:c>
      <x:c r="Q6471" s="13" t="n">
        <x:f>IF(H6471="","",H6471/1000000000)</x:f>
        <x:v>1.8</x:v>
      </x:c>
      <x:c r="R6471" s="13" t="n">
        <x:f>IF(I6471="","",I6471/1000000)</x:f>
        <x:v>28.125</x:v>
      </x:c>
    </x:row>
    <x:row r="6472" ht="21" customHeight="1">
      <x:c r="A6472" s="10" t="n">
        <x:v>8356</x:v>
      </x:c>
      <x:c r="B6472" s="2" t="str">
        <x:v>29c794a92d6e02741870</x:v>
      </x:c>
      <x:c r="C6472" s="2" t="str">
        <x:v>Tp Hồ Chí Minh</x:v>
      </x:c>
      <x:c r="D6472" s="2" t="str">
        <x:v>Quận Gò Vấp</x:v>
      </x:c>
      <x:c r="E6472" s="2" t="str">
        <x:v>house</x:v>
      </x:c>
      <x:c r="F6472" s="2" t="str">
        <x:v>sale</x:v>
      </x:c>
      <x:c r="G6472" s="11" t="n">
        <x:v>75</x:v>
      </x:c>
      <x:c r="H6472" s="12" t="n">
        <x:v>6000000000</x:v>
      </x:c>
      <x:c r="I6472" s="12" t="n">
        <x:v>80000000</x:v>
      </x:c>
      <x:c r="J6472" s="2" t="str">
        <x:v>total</x:v>
      </x:c>
      <x:c r="K6472" s="2" t="str">
        <x:v>top_level_area</x:v>
      </x:c>
      <x:c r="L6472" s="2" t="str">
        <x:v>property_type_inferred_from_title</x:v>
      </x:c>
      <x:c r="M6472" s="10" t="n">
        <x:v>0</x:v>
      </x:c>
      <x:c r="N6472" s="10" t="n">
        <x:v>0</x:v>
      </x:c>
      <x:c r="O6472" s="2" t="str">
        <x:v>Tp Hồ Chí Minh|house</x:v>
      </x:c>
      <x:c r="P6472" s="10" t="n">
        <x:v>2</x:v>
      </x:c>
      <x:c r="Q6472" s="13" t="n">
        <x:f>IF(H6472="","",H6472/1000000000)</x:f>
        <x:v>6</x:v>
      </x:c>
      <x:c r="R6472" s="13" t="n">
        <x:f>IF(I6472="","",I6472/1000000)</x:f>
        <x:v>80</x:v>
      </x:c>
    </x:row>
    <x:row r="6473" ht="21" customHeight="1">
      <x:c r="A6473" s="10" t="n">
        <x:v>8357</x:v>
      </x:c>
      <x:c r="B6473" s="2" t="str">
        <x:v>761815601580cc5f0bba</x:v>
      </x:c>
      <x:c r="C6473" s="2" t="str">
        <x:v>Nam Định</x:v>
      </x:c>
      <x:c r="D6473" s="2" t="str">
        <x:v>Thành phố Nam Định</x:v>
      </x:c>
      <x:c r="E6473" s="2" t="str">
        <x:v>house</x:v>
      </x:c>
      <x:c r="F6473" s="2" t="str">
        <x:v>sale</x:v>
      </x:c>
      <x:c r="G6473" s="11" t="n">
        <x:v>54</x:v>
      </x:c>
      <x:c r="H6473" s="12" t="n">
        <x:v>950000000</x:v>
      </x:c>
      <x:c r="I6473" s="12" t="n">
        <x:v>17592592.592592593</x:v>
      </x:c>
      <x:c r="J6473" s="2" t="str">
        <x:v>total</x:v>
      </x:c>
      <x:c r="K6473" s="2" t="str">
        <x:v>top_level_area</x:v>
      </x:c>
      <x:c r="L6473" s="2" t="str">
        <x:v>property_type_inferred_from_title</x:v>
      </x:c>
      <x:c r="M6473" s="10" t="n">
        <x:v>0</x:v>
      </x:c>
      <x:c r="N6473" s="10" t="n">
        <x:v>0</x:v>
      </x:c>
      <x:c r="O6473" s="2" t="str">
        <x:v>house</x:v>
      </x:c>
      <x:c r="P6473" s="10" t="n">
        <x:v>2</x:v>
      </x:c>
      <x:c r="Q6473" s="13" t="n">
        <x:f>IF(H6473="","",H6473/1000000000)</x:f>
        <x:v>0.95</x:v>
      </x:c>
      <x:c r="R6473" s="13" t="n">
        <x:f>IF(I6473="","",I6473/1000000)</x:f>
        <x:v>17.59259259259259</x:v>
      </x:c>
    </x:row>
    <x:row r="6474" ht="21" customHeight="1">
      <x:c r="A6474" s="10" t="n">
        <x:v>8358</x:v>
      </x:c>
      <x:c r="B6474" s="2" t="str">
        <x:v>e7fe8904216870c386e1</x:v>
      </x:c>
      <x:c r="C6474" s="2" t="str">
        <x:v>Tp Hồ Chí Minh</x:v>
      </x:c>
      <x:c r="D6474" s="2" t="str">
        <x:v>Quận Gò Vấp</x:v>
      </x:c>
      <x:c r="E6474" s="2" t="str">
        <x:v>other_unknown</x:v>
      </x:c>
      <x:c r="F6474" s="2" t="str">
        <x:v>sale_assumed</x:v>
      </x:c>
      <x:c r="G6474" s="11" t="n">
        <x:v>50</x:v>
      </x:c>
      <x:c r="H6474" s="12" t="n">
        <x:v>4600000000</x:v>
      </x:c>
      <x:c r="I6474" s="12" t="n">
        <x:v>92000000</x:v>
      </x:c>
      <x:c r="J6474" s="2" t="str">
        <x:v>total</x:v>
      </x:c>
      <x:c r="K6474" s="2" t="str">
        <x:v>top_level_area</x:v>
      </x:c>
      <x:c r="L6474" s="2" t="str">
        <x:v>property_type_inferred_from_title;transaction_assumed_sale_from_dataset_context;unknown_property_type</x:v>
      </x:c>
      <x:c r="M6474" s="10" t="n">
        <x:v>0</x:v>
      </x:c>
      <x:c r="N6474" s="10" t="n">
        <x:v>0</x:v>
      </x:c>
      <x:c r="O6474" s="2" t="str">
        <x:v>Tp Hồ Chí Minh|other_unknown</x:v>
      </x:c>
      <x:c r="P6474" s="10" t="n">
        <x:v>2</x:v>
      </x:c>
      <x:c r="Q6474" s="13" t="n">
        <x:f>IF(H6474="","",H6474/1000000000)</x:f>
        <x:v>4.6</x:v>
      </x:c>
      <x:c r="R6474" s="13" t="n">
        <x:f>IF(I6474="","",I6474/1000000)</x:f>
        <x:v>92</x:v>
      </x:c>
    </x:row>
    <x:row r="6475" ht="21" customHeight="1">
      <x:c r="A6475" s="10" t="n">
        <x:v>8359</x:v>
      </x:c>
      <x:c r="B6475" s="2" t="str">
        <x:v>7bb9cad36b955e3c780a</x:v>
      </x:c>
      <x:c r="C6475" s="2" t="str">
        <x:v>Tp Hồ Chí Minh</x:v>
      </x:c>
      <x:c r="D6475" s="2" t="str">
        <x:v>Quận Bình Thạnh</x:v>
      </x:c>
      <x:c r="E6475" s="2" t="str">
        <x:v>other_unknown</x:v>
      </x:c>
      <x:c r="F6475" s="2" t="str">
        <x:v>sale</x:v>
      </x:c>
      <x:c r="G6475" s="11" t="n">
        <x:v>63</x:v>
      </x:c>
      <x:c r="H6475" s="12" t="n">
        <x:v>2950000000</x:v>
      </x:c>
      <x:c r="I6475" s="12" t="n">
        <x:v>46825396.82539683</x:v>
      </x:c>
      <x:c r="J6475" s="2" t="str">
        <x:v>total</x:v>
      </x:c>
      <x:c r="K6475" s="2" t="str">
        <x:v>top_level_area</x:v>
      </x:c>
      <x:c r="L6475" s="2" t="str">
        <x:v>property_type_inferred_from_title;unknown_property_type</x:v>
      </x:c>
      <x:c r="M6475" s="10" t="n">
        <x:v>0</x:v>
      </x:c>
      <x:c r="N6475" s="10" t="n">
        <x:v>0</x:v>
      </x:c>
      <x:c r="O6475" s="2" t="str">
        <x:v>Tp Hồ Chí Minh|other_unknown</x:v>
      </x:c>
      <x:c r="P6475" s="10" t="n">
        <x:v>2</x:v>
      </x:c>
      <x:c r="Q6475" s="13" t="n">
        <x:f>IF(H6475="","",H6475/1000000000)</x:f>
        <x:v>2.95</x:v>
      </x:c>
      <x:c r="R6475" s="13" t="n">
        <x:f>IF(I6475="","",I6475/1000000)</x:f>
        <x:v>46.82539682539683</x:v>
      </x:c>
    </x:row>
    <x:row r="6476" ht="21" customHeight="1">
      <x:c r="A6476" s="10" t="n">
        <x:v>8360</x:v>
      </x:c>
      <x:c r="B6476" s="2" t="str">
        <x:v>f807e3d880c8bdfb3dd9</x:v>
      </x:c>
      <x:c r="C6476" s="2" t="str">
        <x:v>Đà Nẵng</x:v>
      </x:c>
      <x:c r="D6476" s="2" t="str">
        <x:v>Quận Ngũ Hành Sơn</x:v>
      </x:c>
      <x:c r="E6476" s="2" t="str">
        <x:v>apartment</x:v>
      </x:c>
      <x:c r="F6476" s="2" t="str">
        <x:v>sale</x:v>
      </x:c>
      <x:c r="G6476" s="11" t="n">
        <x:v>102</x:v>
      </x:c>
      <x:c r="H6476" s="12" t="n">
        <x:v>14200000000</x:v>
      </x:c>
      <x:c r="I6476" s="12" t="n">
        <x:v>139215686.27450982</x:v>
      </x:c>
      <x:c r="J6476" s="2" t="str">
        <x:v>total</x:v>
      </x:c>
      <x:c r="K6476" s="2" t="str">
        <x:v>top_level_area</x:v>
      </x:c>
      <x:c r="L6476" s="2" t="str">
        <x:v>property_type_inferred_from_title</x:v>
      </x:c>
      <x:c r="M6476" s="10" t="n">
        <x:v>0</x:v>
      </x:c>
      <x:c r="N6476" s="10" t="n">
        <x:v>1</x:v>
      </x:c>
      <x:c r="O6476" s="2" t="str">
        <x:v>apartment</x:v>
      </x:c>
      <x:c r="P6476" s="10" t="n">
        <x:v>-1</x:v>
      </x:c>
      <x:c r="Q6476" s="13" t="n">
        <x:f>IF(H6476="","",H6476/1000000000)</x:f>
        <x:v>14.2</x:v>
      </x:c>
      <x:c r="R6476" s="13" t="n">
        <x:f>IF(I6476="","",I6476/1000000)</x:f>
        <x:v>139.2156862745098</x:v>
      </x:c>
    </x:row>
    <x:row r="6477" ht="21" customHeight="1">
      <x:c r="A6477" s="10" t="n">
        <x:v>8361</x:v>
      </x:c>
      <x:c r="B6477" s="2" t="str">
        <x:v>43d65c7a3fe4c4b66203</x:v>
      </x:c>
      <x:c r="C6477" s="2" t="str">
        <x:v>Tp Hồ Chí Minh</x:v>
      </x:c>
      <x:c r="D6477" s="2" t="str">
        <x:v>Quận 9</x:v>
      </x:c>
      <x:c r="E6477" s="2" t="str">
        <x:v>other_unknown</x:v>
      </x:c>
      <x:c r="F6477" s="2" t="str">
        <x:v>sale</x:v>
      </x:c>
      <x:c r="G6477" s="11" t="n">
        <x:v>68</x:v>
      </x:c>
      <x:c r="H6477" s="12" t="n">
        <x:v>3000000000</x:v>
      </x:c>
      <x:c r="I6477" s="12" t="n">
        <x:v>44117647.058823526</x:v>
      </x:c>
      <x:c r="J6477" s="2" t="str">
        <x:v>total</x:v>
      </x:c>
      <x:c r="K6477" s="2" t="str">
        <x:v>top_level_price_embedded_area</x:v>
      </x:c>
      <x:c r="L6477" s="2" t="str">
        <x:v>area_recovered_from_price_text;property_type_inferred_from_title;unknown_property_type</x:v>
      </x:c>
      <x:c r="M6477" s="10" t="n">
        <x:v>0</x:v>
      </x:c>
      <x:c r="N6477" s="10" t="n">
        <x:v>0</x:v>
      </x:c>
      <x:c r="O6477" s="2" t="str">
        <x:v>Tp Hồ Chí Minh|other_unknown</x:v>
      </x:c>
      <x:c r="P6477" s="10" t="n">
        <x:v>2</x:v>
      </x:c>
      <x:c r="Q6477" s="13" t="n">
        <x:f>IF(H6477="","",H6477/1000000000)</x:f>
        <x:v>3</x:v>
      </x:c>
      <x:c r="R6477" s="13" t="n">
        <x:f>IF(I6477="","",I6477/1000000)</x:f>
        <x:v>44.11764705882353</x:v>
      </x:c>
    </x:row>
    <x:row r="6478" ht="21" customHeight="1">
      <x:c r="A6478" s="10" t="n">
        <x:v>8362</x:v>
      </x:c>
      <x:c r="B6478" s="2" t="str">
        <x:v>37c20fcde3e64f191ae8</x:v>
      </x:c>
      <x:c r="C6478" s="2" t="str">
        <x:v>Hà Nội</x:v>
      </x:c>
      <x:c r="D6478" s="2" t="str">
        <x:v>Huyện Gia Lâm</x:v>
      </x:c>
      <x:c r="E6478" s="2" t="str">
        <x:v>other_unknown</x:v>
      </x:c>
      <x:c r="F6478" s="2" t="str">
        <x:v>sale</x:v>
      </x:c>
      <x:c r="G6478" s="11" t="n">
        <x:v>81.6</x:v>
      </x:c>
      <x:c r="H6478" s="12" t="n">
        <x:v>2150000000</x:v>
      </x:c>
      <x:c r="I6478" s="12" t="n">
        <x:v>26348039.215686277</x:v>
      </x:c>
      <x:c r="J6478" s="2" t="str">
        <x:v>total</x:v>
      </x:c>
      <x:c r="K6478" s="2" t="str">
        <x:v>top_level_area</x:v>
      </x:c>
      <x:c r="L6478" s="2" t="str">
        <x:v>property_type_inferred_from_title;unknown_property_type</x:v>
      </x:c>
      <x:c r="M6478" s="10" t="n">
        <x:v>0</x:v>
      </x:c>
      <x:c r="N6478" s="10" t="n">
        <x:v>0</x:v>
      </x:c>
      <x:c r="O6478" s="2" t="str">
        <x:v>Hà Nội|other_unknown</x:v>
      </x:c>
      <x:c r="P6478" s="10" t="n">
        <x:v>2</x:v>
      </x:c>
      <x:c r="Q6478" s="13" t="n">
        <x:f>IF(H6478="","",H6478/1000000000)</x:f>
        <x:v>2.15</x:v>
      </x:c>
      <x:c r="R6478" s="13" t="n">
        <x:f>IF(I6478="","",I6478/1000000)</x:f>
        <x:v>26.348039215686278</x:v>
      </x:c>
    </x:row>
    <x:row r="6479" ht="21" customHeight="1">
      <x:c r="A6479" s="10" t="n">
        <x:v>8363</x:v>
      </x:c>
      <x:c r="B6479" s="2" t="str">
        <x:v>d305f522de6d68921289</x:v>
      </x:c>
      <x:c r="C6479" s="2" t="str">
        <x:v>Tp Hồ Chí Minh</x:v>
      </x:c>
      <x:c r="D6479" s="2" t="str">
        <x:v>Quận Gò Vấp</x:v>
      </x:c>
      <x:c r="E6479" s="2" t="str">
        <x:v>house</x:v>
      </x:c>
      <x:c r="F6479" s="2" t="str">
        <x:v>sale_assumed</x:v>
      </x:c>
      <x:c r="G6479" s="11" t="n">
        <x:v>80</x:v>
      </x:c>
      <x:c r="H6479" s="12" t="n">
        <x:v>5400000000</x:v>
      </x:c>
      <x:c r="I6479" s="12" t="n">
        <x:v>67500000</x:v>
      </x:c>
      <x:c r="J6479" s="2" t="str">
        <x:v>total</x:v>
      </x:c>
      <x:c r="K6479" s="2" t="str">
        <x:v>top_level_area</x:v>
      </x:c>
      <x:c r="L6479" s="2" t="str">
        <x:v>property_type_inferred_from_title;transaction_assumed_sale_from_dataset_context</x:v>
      </x:c>
      <x:c r="M6479" s="10" t="n">
        <x:v>0</x:v>
      </x:c>
      <x:c r="N6479" s="10" t="n">
        <x:v>0</x:v>
      </x:c>
      <x:c r="O6479" s="2" t="str">
        <x:v>Tp Hồ Chí Minh|house</x:v>
      </x:c>
      <x:c r="P6479" s="10" t="n">
        <x:v>2</x:v>
      </x:c>
      <x:c r="Q6479" s="13" t="n">
        <x:f>IF(H6479="","",H6479/1000000000)</x:f>
        <x:v>5.4</x:v>
      </x:c>
      <x:c r="R6479" s="13" t="n">
        <x:f>IF(I6479="","",I6479/1000000)</x:f>
        <x:v>67.5</x:v>
      </x:c>
    </x:row>
    <x:row r="6480" ht="21" customHeight="1">
      <x:c r="A6480" s="10" t="n">
        <x:v>8364</x:v>
      </x:c>
      <x:c r="B6480" s="2" t="str">
        <x:v>de775913045da5e4ebfc</x:v>
      </x:c>
      <x:c r="C6480" s="2" t="str">
        <x:v>Bình Dương</x:v>
      </x:c>
      <x:c r="D6480" s="2" t="str">
        <x:v>Thị xã Tân Uyên</x:v>
      </x:c>
      <x:c r="E6480" s="2" t="str">
        <x:v>land</x:v>
      </x:c>
      <x:c r="F6480" s="2" t="str">
        <x:v>sale_assumed</x:v>
      </x:c>
      <x:c r="G6480" s="11" t="n">
        <x:v>326</x:v>
      </x:c>
      <x:c r="H6480" s="12" t="n">
        <x:v>2390000000</x:v>
      </x:c>
      <x:c r="I6480" s="12" t="n">
        <x:v>7331288.343558283</x:v>
      </x:c>
      <x:c r="J6480" s="2" t="str">
        <x:v>total</x:v>
      </x:c>
      <x:c r="K6480" s="2" t="str">
        <x:v>top_level_area</x:v>
      </x:c>
      <x:c r="L6480" s="2" t="str">
        <x:v>property_type_inferred_from_title;transaction_assumed_sale_from_dataset_context</x:v>
      </x:c>
      <x:c r="M6480" s="10" t="n">
        <x:v>0</x:v>
      </x:c>
      <x:c r="N6480" s="10" t="n">
        <x:v>0</x:v>
      </x:c>
      <x:c r="O6480" s="2" t="str">
        <x:v>Bình Dương|land</x:v>
      </x:c>
      <x:c r="P6480" s="10" t="n">
        <x:v>1</x:v>
      </x:c>
      <x:c r="Q6480" s="13" t="n">
        <x:f>IF(H6480="","",H6480/1000000000)</x:f>
        <x:v>2.39</x:v>
      </x:c>
      <x:c r="R6480" s="13" t="n">
        <x:f>IF(I6480="","",I6480/1000000)</x:f>
        <x:v>7.331288343558283</x:v>
      </x:c>
    </x:row>
    <x:row r="6481" ht="21" customHeight="1">
      <x:c r="A6481" s="10" t="n">
        <x:v>8365</x:v>
      </x:c>
      <x:c r="B6481" s="2" t="str">
        <x:v>d31de4e815f254a5f414</x:v>
      </x:c>
      <x:c r="C6481" s="2" t="str">
        <x:v>Đắk Lắk</x:v>
      </x:c>
      <x:c r="D6481" s="2" t="str">
        <x:v>Thành phố Buôn Ma Thuột</x:v>
      </x:c>
      <x:c r="E6481" s="2" t="str">
        <x:v>house</x:v>
      </x:c>
      <x:c r="F6481" s="2" t="str">
        <x:v>sale_assumed</x:v>
      </x:c>
      <x:c r="G6481" s="11" t="n">
        <x:v>125</x:v>
      </x:c>
      <x:c r="H6481" s="12" t="n">
        <x:v>2350000000</x:v>
      </x:c>
      <x:c r="I6481" s="12" t="n">
        <x:v>18800000</x:v>
      </x:c>
      <x:c r="J6481" s="2" t="str">
        <x:v>total</x:v>
      </x:c>
      <x:c r="K6481" s="2" t="str">
        <x:v>top_level_area</x:v>
      </x:c>
      <x:c r="L6481" s="2" t="str">
        <x:v>property_type_inferred_from_title;transaction_assumed_sale_from_dataset_context</x:v>
      </x:c>
      <x:c r="M6481" s="10" t="n">
        <x:v>0</x:v>
      </x:c>
      <x:c r="N6481" s="10" t="n">
        <x:v>0</x:v>
      </x:c>
      <x:c r="O6481" s="2" t="str">
        <x:v>Đắk Lắk|house</x:v>
      </x:c>
      <x:c r="P6481" s="10" t="n">
        <x:v>2</x:v>
      </x:c>
      <x:c r="Q6481" s="13" t="n">
        <x:f>IF(H6481="","",H6481/1000000000)</x:f>
        <x:v>2.35</x:v>
      </x:c>
      <x:c r="R6481" s="13" t="n">
        <x:f>IF(I6481="","",I6481/1000000)</x:f>
        <x:v>18.8</x:v>
      </x:c>
    </x:row>
    <x:row r="6482" ht="21" customHeight="1">
      <x:c r="A6482" s="10" t="n">
        <x:v>8367</x:v>
      </x:c>
      <x:c r="B6482" s="2" t="str">
        <x:v>0f19c53a8e2b8d9b721a</x:v>
      </x:c>
      <x:c r="C6482" s="2" t="str">
        <x:v>Bắc Giang</x:v>
      </x:c>
      <x:c r="D6482" s="2" t="str">
        <x:v>Huyện Hiệp Hòa</x:v>
      </x:c>
      <x:c r="E6482" s="2" t="str">
        <x:v>land</x:v>
      </x:c>
      <x:c r="F6482" s="2" t="str">
        <x:v>sale</x:v>
      </x:c>
      <x:c r="G6482" s="11" t="n">
        <x:v>371</x:v>
      </x:c>
      <x:c r="H6482" s="12" t="n">
        <x:v>1150000000</x:v>
      </x:c>
      <x:c r="I6482" s="12" t="n">
        <x:v>3099730.4582210244</x:v>
      </x:c>
      <x:c r="J6482" s="2" t="str">
        <x:v>total</x:v>
      </x:c>
      <x:c r="K6482" s="2" t="str">
        <x:v>top_level_area</x:v>
      </x:c>
      <x:c r="L6482" s="2" t="str">
        <x:v>property_type_inferred_from_title</x:v>
      </x:c>
      <x:c r="M6482" s="10" t="n">
        <x:v>0</x:v>
      </x:c>
      <x:c r="N6482" s="10" t="n">
        <x:v>0</x:v>
      </x:c>
      <x:c r="O6482" s="2" t="str">
        <x:v>land</x:v>
      </x:c>
      <x:c r="P6482" s="10" t="n">
        <x:v>1</x:v>
      </x:c>
      <x:c r="Q6482" s="13" t="n">
        <x:f>IF(H6482="","",H6482/1000000000)</x:f>
        <x:v>1.15</x:v>
      </x:c>
      <x:c r="R6482" s="13" t="n">
        <x:f>IF(I6482="","",I6482/1000000)</x:f>
        <x:v>3.0997304582210243</x:v>
      </x:c>
    </x:row>
    <x:row r="6483" ht="21" customHeight="1">
      <x:c r="A6483" s="10" t="n">
        <x:v>8368</x:v>
      </x:c>
      <x:c r="B6483" s="2" t="str">
        <x:v>82be66121f5fb837a292</x:v>
      </x:c>
      <x:c r="C6483" s="2" t="str">
        <x:v>Tp Hồ Chí Minh</x:v>
      </x:c>
      <x:c r="D6483" s="2" t="str">
        <x:v>Quận 9</x:v>
      </x:c>
      <x:c r="E6483" s="2" t="str">
        <x:v>house</x:v>
      </x:c>
      <x:c r="F6483" s="2" t="str">
        <x:v>sale_assumed</x:v>
      </x:c>
      <x:c r="G6483" s="11" t="n">
        <x:v>76</x:v>
      </x:c>
      <x:c r="H6483" s="12" t="n">
        <x:v>5700000000</x:v>
      </x:c>
      <x:c r="I6483" s="12" t="n">
        <x:v>75000000</x:v>
      </x:c>
      <x:c r="J6483" s="2" t="str">
        <x:v>total</x:v>
      </x:c>
      <x:c r="K6483" s="2" t="str">
        <x:v>top_level_area</x:v>
      </x:c>
      <x:c r="L6483" s="2" t="str">
        <x:v>property_type_inferred_from_title;transaction_assumed_sale_from_dataset_context</x:v>
      </x:c>
      <x:c r="M6483" s="10" t="n">
        <x:v>0</x:v>
      </x:c>
      <x:c r="N6483" s="10" t="n">
        <x:v>0</x:v>
      </x:c>
      <x:c r="O6483" s="2" t="str">
        <x:v>Tp Hồ Chí Minh|house</x:v>
      </x:c>
      <x:c r="P6483" s="10" t="n">
        <x:v>2</x:v>
      </x:c>
      <x:c r="Q6483" s="13" t="n">
        <x:f>IF(H6483="","",H6483/1000000000)</x:f>
        <x:v>5.7</x:v>
      </x:c>
      <x:c r="R6483" s="13" t="n">
        <x:f>IF(I6483="","",I6483/1000000)</x:f>
        <x:v>75</x:v>
      </x:c>
    </x:row>
    <x:row r="6484" ht="21" customHeight="1">
      <x:c r="A6484" s="10" t="n">
        <x:v>8369</x:v>
      </x:c>
      <x:c r="B6484" s="2" t="str">
        <x:v>3845f5497c1f6adb1169</x:v>
      </x:c>
      <x:c r="C6484" s="2" t="str">
        <x:v>Tp Hồ Chí Minh</x:v>
      </x:c>
      <x:c r="D6484" s="2" t="str">
        <x:v>Quận 3</x:v>
      </x:c>
      <x:c r="E6484" s="2" t="str">
        <x:v>house</x:v>
      </x:c>
      <x:c r="F6484" s="2" t="str">
        <x:v>sale</x:v>
      </x:c>
      <x:c r="G6484" s="11" t="n">
        <x:v>64</x:v>
      </x:c>
      <x:c r="H6484" s="12" t="n">
        <x:v>10300000000</x:v>
      </x:c>
      <x:c r="I6484" s="12" t="n">
        <x:v>160937500</x:v>
      </x:c>
      <x:c r="J6484" s="2" t="str">
        <x:v>total</x:v>
      </x:c>
      <x:c r="K6484" s="2" t="str">
        <x:v>top_level_area</x:v>
      </x:c>
      <x:c r="L6484" s="2" t="str">
        <x:v>property_type_inferred_from_title</x:v>
      </x:c>
      <x:c r="M6484" s="10" t="n">
        <x:v>0</x:v>
      </x:c>
      <x:c r="N6484" s="10" t="n">
        <x:v>0</x:v>
      </x:c>
      <x:c r="O6484" s="2" t="str">
        <x:v>Tp Hồ Chí Minh|house</x:v>
      </x:c>
      <x:c r="P6484" s="10" t="n">
        <x:v>2</x:v>
      </x:c>
      <x:c r="Q6484" s="13" t="n">
        <x:f>IF(H6484="","",H6484/1000000000)</x:f>
        <x:v>10.3</x:v>
      </x:c>
      <x:c r="R6484" s="13" t="n">
        <x:f>IF(I6484="","",I6484/1000000)</x:f>
        <x:v>160.9375</x:v>
      </x:c>
    </x:row>
    <x:row r="6485" ht="21" customHeight="1">
      <x:c r="A6485" s="10" t="n">
        <x:v>8373</x:v>
      </x:c>
      <x:c r="B6485" s="2" t="str">
        <x:v>e9d6a572c2a9f8b73822</x:v>
      </x:c>
      <x:c r="C6485" s="2" t="str">
        <x:v>Tp Hồ Chí Minh</x:v>
      </x:c>
      <x:c r="D6485" s="2" t="str">
        <x:v>Quận Phú Nhuận</x:v>
      </x:c>
      <x:c r="E6485" s="2" t="str">
        <x:v>house</x:v>
      </x:c>
      <x:c r="F6485" s="2" t="str">
        <x:v>sale_assumed</x:v>
      </x:c>
      <x:c r="G6485" s="11" t="n">
        <x:v>49</x:v>
      </x:c>
      <x:c r="H6485" s="12" t="n">
        <x:v>13000000000</x:v>
      </x:c>
      <x:c r="I6485" s="12" t="n">
        <x:v>265306122.4489796</x:v>
      </x:c>
      <x:c r="J6485" s="2" t="str">
        <x:v>total</x:v>
      </x:c>
      <x:c r="K6485" s="2" t="str">
        <x:v>top_level_area</x:v>
      </x:c>
      <x:c r="L6485" s="2" t="str">
        <x:v>property_type_inferred_from_title;transaction_assumed_sale_from_dataset_context</x:v>
      </x:c>
      <x:c r="M6485" s="10" t="n">
        <x:v>1</x:v>
      </x:c>
      <x:c r="N6485" s="10" t="n">
        <x:v>1</x:v>
      </x:c>
      <x:c r="O6485" s="2" t="str">
        <x:v>Tp Hồ Chí Minh|house</x:v>
      </x:c>
      <x:c r="P6485" s="10" t="n">
        <x:v>-1</x:v>
      </x:c>
      <x:c r="Q6485" s="13" t="n">
        <x:f>IF(H6485="","",H6485/1000000000)</x:f>
        <x:v>13</x:v>
      </x:c>
      <x:c r="R6485" s="13" t="n">
        <x:f>IF(I6485="","",I6485/1000000)</x:f>
        <x:v>265.3061224489796</x:v>
      </x:c>
    </x:row>
    <x:row r="6486" ht="21" customHeight="1">
      <x:c r="A6486" s="10" t="n">
        <x:v>8374</x:v>
      </x:c>
      <x:c r="B6486" s="2" t="str">
        <x:v>35a276e6ff281ca976f9</x:v>
      </x:c>
      <x:c r="C6486" s="2" t="str">
        <x:v>Đà Nẵng</x:v>
      </x:c>
      <x:c r="D6486" s="2" t="str">
        <x:v>Quận Ngũ Hành Sơn</x:v>
      </x:c>
      <x:c r="E6486" s="2" t="str">
        <x:v>house</x:v>
      </x:c>
      <x:c r="F6486" s="2" t="str">
        <x:v>sale</x:v>
      </x:c>
      <x:c r="G6486" s="11" t="n">
        <x:v>102</x:v>
      </x:c>
      <x:c r="H6486" s="12" t="n">
        <x:v>7700000000</x:v>
      </x:c>
      <x:c r="I6486" s="12" t="n">
        <x:v>75490196.07843137</x:v>
      </x:c>
      <x:c r="J6486" s="2" t="str">
        <x:v>total</x:v>
      </x:c>
      <x:c r="K6486" s="2" t="str">
        <x:v>top_level_area</x:v>
      </x:c>
      <x:c r="L6486" s="2" t="str">
        <x:v>property_type_inferred_from_title</x:v>
      </x:c>
      <x:c r="M6486" s="10" t="n">
        <x:v>0</x:v>
      </x:c>
      <x:c r="N6486" s="10" t="n">
        <x:v>0</x:v>
      </x:c>
      <x:c r="O6486" s="2" t="str">
        <x:v>Đà Nẵng|house</x:v>
      </x:c>
      <x:c r="P6486" s="10" t="n">
        <x:v>2</x:v>
      </x:c>
      <x:c r="Q6486" s="13" t="n">
        <x:f>IF(H6486="","",H6486/1000000000)</x:f>
        <x:v>7.7</x:v>
      </x:c>
      <x:c r="R6486" s="13" t="n">
        <x:f>IF(I6486="","",I6486/1000000)</x:f>
        <x:v>75.49019607843137</x:v>
      </x:c>
    </x:row>
    <x:row r="6487" ht="21" customHeight="1">
      <x:c r="A6487" s="10" t="n">
        <x:v>8375</x:v>
      </x:c>
      <x:c r="B6487" s="2" t="str">
        <x:v>e950db421854baefbdc9</x:v>
      </x:c>
      <x:c r="C6487" s="2" t="str">
        <x:v>Đà Nẵng</x:v>
      </x:c>
      <x:c r="D6487" s="2" t="str">
        <x:v>Quận Thanh Khê</x:v>
      </x:c>
      <x:c r="E6487" s="2" t="str">
        <x:v>land</x:v>
      </x:c>
      <x:c r="F6487" s="2" t="str">
        <x:v>sale</x:v>
      </x:c>
      <x:c r="G6487" s="11" t="n">
        <x:v>58</x:v>
      </x:c>
      <x:c r="H6487" s="12" t="n">
        <x:v>1850000000</x:v>
      </x:c>
      <x:c r="I6487" s="12" t="n">
        <x:v>31896551.724137932</x:v>
      </x:c>
      <x:c r="J6487" s="2" t="str">
        <x:v>total</x:v>
      </x:c>
      <x:c r="K6487" s="2" t="str">
        <x:v>top_level_area</x:v>
      </x:c>
      <x:c r="L6487" s="2" t="str">
        <x:v>property_type_inferred_from_title</x:v>
      </x:c>
      <x:c r="M6487" s="10" t="n">
        <x:v>0</x:v>
      </x:c>
      <x:c r="N6487" s="10" t="n">
        <x:v>0</x:v>
      </x:c>
      <x:c r="O6487" s="2" t="str">
        <x:v>Đà Nẵng|land</x:v>
      </x:c>
      <x:c r="P6487" s="10" t="n">
        <x:v>2</x:v>
      </x:c>
      <x:c r="Q6487" s="13" t="n">
        <x:f>IF(H6487="","",H6487/1000000000)</x:f>
        <x:v>1.85</x:v>
      </x:c>
      <x:c r="R6487" s="13" t="n">
        <x:f>IF(I6487="","",I6487/1000000)</x:f>
        <x:v>31.896551724137932</x:v>
      </x:c>
    </x:row>
    <x:row r="6488" ht="21" customHeight="1">
      <x:c r="A6488" s="10" t="n">
        <x:v>8376</x:v>
      </x:c>
      <x:c r="B6488" s="2" t="str">
        <x:v>7bd10f6ab79a1fd9870d</x:v>
      </x:c>
      <x:c r="C6488" s="2" t="str">
        <x:v>Hà Nội</x:v>
      </x:c>
      <x:c r="D6488" s="2" t="str">
        <x:v>Quận Ba Đình</x:v>
      </x:c>
      <x:c r="E6488" s="2" t="str">
        <x:v>other_unknown</x:v>
      </x:c>
      <x:c r="F6488" s="2" t="str">
        <x:v>sale_assumed</x:v>
      </x:c>
      <x:c r="G6488" s="11" t="n">
        <x:v>65</x:v>
      </x:c>
      <x:c r="H6488" s="12" t="n">
        <x:v>4400000000</x:v>
      </x:c>
      <x:c r="I6488" s="12" t="n">
        <x:v>67692307.6923077</x:v>
      </x:c>
      <x:c r="J6488" s="2" t="str">
        <x:v>total</x:v>
      </x:c>
      <x:c r="K6488" s="2" t="str">
        <x:v>top_level_area</x:v>
      </x:c>
      <x:c r="L6488" s="2" t="str">
        <x:v>property_type_inferred_from_title;transaction_assumed_sale_from_dataset_context;unknown_property_type</x:v>
      </x:c>
      <x:c r="M6488" s="10" t="n">
        <x:v>0</x:v>
      </x:c>
      <x:c r="N6488" s="10" t="n">
        <x:v>0</x:v>
      </x:c>
      <x:c r="O6488" s="2" t="str">
        <x:v>Hà Nội|other_unknown</x:v>
      </x:c>
      <x:c r="P6488" s="10" t="n">
        <x:v>2</x:v>
      </x:c>
      <x:c r="Q6488" s="13" t="n">
        <x:f>IF(H6488="","",H6488/1000000000)</x:f>
        <x:v>4.4</x:v>
      </x:c>
      <x:c r="R6488" s="13" t="n">
        <x:f>IF(I6488="","",I6488/1000000)</x:f>
        <x:v>67.6923076923077</x:v>
      </x:c>
    </x:row>
    <x:row r="6489" ht="21" customHeight="1">
      <x:c r="A6489" s="10" t="n">
        <x:v>8377</x:v>
      </x:c>
      <x:c r="B6489" s="2" t="str">
        <x:v>d2efb461829a138713ab</x:v>
      </x:c>
      <x:c r="C6489" s="2" t="str">
        <x:v>Long An</x:v>
      </x:c>
      <x:c r="D6489" s="2" t="str">
        <x:v>Huyện Đức Hòa</x:v>
      </x:c>
      <x:c r="E6489" s="2" t="str">
        <x:v>land</x:v>
      </x:c>
      <x:c r="F6489" s="2" t="str">
        <x:v>sale</x:v>
      </x:c>
      <x:c r="G6489" s="11" t="n">
        <x:v>85</x:v>
      </x:c>
      <x:c r="H6489" s="12" t="n">
        <x:v>1150000000</x:v>
      </x:c>
      <x:c r="I6489" s="12" t="n">
        <x:v>13529411.764705881</x:v>
      </x:c>
      <x:c r="J6489" s="2" t="str">
        <x:v>total</x:v>
      </x:c>
      <x:c r="K6489" s="2" t="str">
        <x:v>top_level_area</x:v>
      </x:c>
      <x:c r="L6489" s="2" t="str">
        <x:v>property_type_inferred_from_title</x:v>
      </x:c>
      <x:c r="M6489" s="10" t="n">
        <x:v>0</x:v>
      </x:c>
      <x:c r="N6489" s="10" t="n">
        <x:v>0</x:v>
      </x:c>
      <x:c r="O6489" s="2" t="str">
        <x:v>Long An|land</x:v>
      </x:c>
      <x:c r="P6489" s="10" t="n">
        <x:v>2</x:v>
      </x:c>
      <x:c r="Q6489" s="13" t="n">
        <x:f>IF(H6489="","",H6489/1000000000)</x:f>
        <x:v>1.15</x:v>
      </x:c>
      <x:c r="R6489" s="13" t="n">
        <x:f>IF(I6489="","",I6489/1000000)</x:f>
        <x:v>13.529411764705882</x:v>
      </x:c>
    </x:row>
    <x:row r="6490" ht="21" customHeight="1">
      <x:c r="A6490" s="10" t="n">
        <x:v>8378</x:v>
      </x:c>
      <x:c r="B6490" s="2" t="str">
        <x:v>214c3d23f3d90f8348fd</x:v>
      </x:c>
      <x:c r="C6490" s="2" t="str">
        <x:v>Hà Nội</x:v>
      </x:c>
      <x:c r="D6490" s="2" t="str">
        <x:v>Quận Hoàng Mai</x:v>
      </x:c>
      <x:c r="E6490" s="2" t="str">
        <x:v>house</x:v>
      </x:c>
      <x:c r="F6490" s="2" t="str">
        <x:v>sale_assumed</x:v>
      </x:c>
      <x:c r="G6490" s="11" t="n">
        <x:v>30</x:v>
      </x:c>
      <x:c r="H6490" s="12" t="n">
        <x:v>2700000000</x:v>
      </x:c>
      <x:c r="I6490" s="12" t="n">
        <x:v>90000000</x:v>
      </x:c>
      <x:c r="J6490" s="2" t="str">
        <x:v>total</x:v>
      </x:c>
      <x:c r="K6490" s="2" t="str">
        <x:v>top_level_area</x:v>
      </x:c>
      <x:c r="L6490" s="2" t="str">
        <x:v>property_type_inferred_from_title;transaction_assumed_sale_from_dataset_context</x:v>
      </x:c>
      <x:c r="M6490" s="10" t="n">
        <x:v>0</x:v>
      </x:c>
      <x:c r="N6490" s="10" t="n">
        <x:v>0</x:v>
      </x:c>
      <x:c r="O6490" s="2" t="str">
        <x:v>Hà Nội|house</x:v>
      </x:c>
      <x:c r="P6490" s="10" t="n">
        <x:v>2</x:v>
      </x:c>
      <x:c r="Q6490" s="13" t="n">
        <x:f>IF(H6490="","",H6490/1000000000)</x:f>
        <x:v>2.7</x:v>
      </x:c>
      <x:c r="R6490" s="13" t="n">
        <x:f>IF(I6490="","",I6490/1000000)</x:f>
        <x:v>90</x:v>
      </x:c>
    </x:row>
    <x:row r="6491" ht="21" customHeight="1">
      <x:c r="A6491" s="10" t="n">
        <x:v>8379</x:v>
      </x:c>
      <x:c r="B6491" s="2" t="str">
        <x:v>ff179b5b9801f922489f</x:v>
      </x:c>
      <x:c r="C6491" s="2" t="str">
        <x:v>Ninh Thuận</x:v>
      </x:c>
      <x:c r="D6491" s="2" t="str">
        <x:v>Thành phố Phan Rang-Tháp Chàm</x:v>
      </x:c>
      <x:c r="E6491" s="2" t="str">
        <x:v>land</x:v>
      </x:c>
      <x:c r="F6491" s="2" t="str">
        <x:v>sale</x:v>
      </x:c>
      <x:c r="G6491" s="11" t="n">
        <x:v>90</x:v>
      </x:c>
      <x:c r="H6491" s="12" t="n">
        <x:v>3100000000</x:v>
      </x:c>
      <x:c r="I6491" s="12" t="n">
        <x:v>34444444.44444445</x:v>
      </x:c>
      <x:c r="J6491" s="2" t="str">
        <x:v>total</x:v>
      </x:c>
      <x:c r="K6491" s="2" t="str">
        <x:v>top_level_area</x:v>
      </x:c>
      <x:c r="L6491" s="2" t="str">
        <x:v>property_type_inferred_from_title</x:v>
      </x:c>
      <x:c r="M6491" s="10" t="n">
        <x:v>0</x:v>
      </x:c>
      <x:c r="N6491" s="10" t="n">
        <x:v>0</x:v>
      </x:c>
      <x:c r="O6491" s="2" t="str">
        <x:v>land</x:v>
      </x:c>
      <x:c r="P6491" s="10" t="n">
        <x:v>2</x:v>
      </x:c>
      <x:c r="Q6491" s="13" t="n">
        <x:f>IF(H6491="","",H6491/1000000000)</x:f>
        <x:v>3.1</x:v>
      </x:c>
      <x:c r="R6491" s="13" t="n">
        <x:f>IF(I6491="","",I6491/1000000)</x:f>
        <x:v>34.44444444444445</x:v>
      </x:c>
    </x:row>
    <x:row r="6492" ht="21" customHeight="1">
      <x:c r="A6492" s="10" t="n">
        <x:v>8380</x:v>
      </x:c>
      <x:c r="B6492" s="2" t="str">
        <x:v>4b4f82dc6b78f4ac8467</x:v>
      </x:c>
      <x:c r="C6492" s="2" t="str">
        <x:v>Tp Hồ Chí Minh</x:v>
      </x:c>
      <x:c r="D6492" s="2" t="str">
        <x:v>Quận 7</x:v>
      </x:c>
      <x:c r="E6492" s="2" t="str">
        <x:v>other_unknown</x:v>
      </x:c>
      <x:c r="F6492" s="2" t="str">
        <x:v>sale_assumed</x:v>
      </x:c>
      <x:c r="G6492" s="11" t="n">
        <x:v>147</x:v>
      </x:c>
      <x:c r="H6492" s="12" t="n">
        <x:v>6500000000</x:v>
      </x:c>
      <x:c r="I6492" s="12" t="n">
        <x:v>44217687.07482993</x:v>
      </x:c>
      <x:c r="J6492" s="2" t="str">
        <x:v>total</x:v>
      </x:c>
      <x:c r="K6492" s="2" t="str">
        <x:v>top_level_area</x:v>
      </x:c>
      <x:c r="L6492" s="2" t="str">
        <x:v>property_type_inferred_from_title;transaction_assumed_sale_from_dataset_context;unknown_property_type</x:v>
      </x:c>
      <x:c r="M6492" s="10" t="n">
        <x:v>0</x:v>
      </x:c>
      <x:c r="N6492" s="10" t="n">
        <x:v>0</x:v>
      </x:c>
      <x:c r="O6492" s="2" t="str">
        <x:v>Tp Hồ Chí Minh|other_unknown</x:v>
      </x:c>
      <x:c r="P6492" s="10" t="n">
        <x:v>2</x:v>
      </x:c>
      <x:c r="Q6492" s="13" t="n">
        <x:f>IF(H6492="","",H6492/1000000000)</x:f>
        <x:v>6.5</x:v>
      </x:c>
      <x:c r="R6492" s="13" t="n">
        <x:f>IF(I6492="","",I6492/1000000)</x:f>
        <x:v>44.217687074829925</x:v>
      </x:c>
    </x:row>
    <x:row r="6493" ht="21" customHeight="1">
      <x:c r="A6493" s="10" t="n">
        <x:v>8381</x:v>
      </x:c>
      <x:c r="B6493" s="2" t="str">
        <x:v>0aa898bc3fa86dcf955e</x:v>
      </x:c>
      <x:c r="C6493" s="2" t="str">
        <x:v>Đà Nẵng</x:v>
      </x:c>
      <x:c r="D6493" s="2" t="str">
        <x:v>Quận Thanh Khê</x:v>
      </x:c>
      <x:c r="E6493" s="2" t="str">
        <x:v>house</x:v>
      </x:c>
      <x:c r="F6493" s="2" t="str">
        <x:v>sale</x:v>
      </x:c>
      <x:c r="G6493" s="11" t="n">
        <x:v>48</x:v>
      </x:c>
      <x:c r="H6493" s="12" t="n">
        <x:v>3750000000</x:v>
      </x:c>
      <x:c r="I6493" s="12" t="n">
        <x:v>78125000</x:v>
      </x:c>
      <x:c r="J6493" s="2" t="str">
        <x:v>total</x:v>
      </x:c>
      <x:c r="K6493" s="2" t="str">
        <x:v>top_level_area</x:v>
      </x:c>
      <x:c r="L6493" s="2" t="str">
        <x:v>property_type_inferred_from_title</x:v>
      </x:c>
      <x:c r="M6493" s="10" t="n">
        <x:v>0</x:v>
      </x:c>
      <x:c r="N6493" s="10" t="n">
        <x:v>0</x:v>
      </x:c>
      <x:c r="O6493" s="2" t="str">
        <x:v>Đà Nẵng|house</x:v>
      </x:c>
      <x:c r="P6493" s="10" t="n">
        <x:v>2</x:v>
      </x:c>
      <x:c r="Q6493" s="13" t="n">
        <x:f>IF(H6493="","",H6493/1000000000)</x:f>
        <x:v>3.75</x:v>
      </x:c>
      <x:c r="R6493" s="13" t="n">
        <x:f>IF(I6493="","",I6493/1000000)</x:f>
        <x:v>78.125</x:v>
      </x:c>
    </x:row>
    <x:row r="6494" ht="21" customHeight="1">
      <x:c r="A6494" s="10" t="n">
        <x:v>8382</x:v>
      </x:c>
      <x:c r="B6494" s="2" t="str">
        <x:v>79cfbe54fba2a3aa6c15</x:v>
      </x:c>
      <x:c r="C6494" s="2" t="str">
        <x:v>Lâm Đồng</x:v>
      </x:c>
      <x:c r="D6494" s="2" t="str">
        <x:v>Thành phố Bảo Lộc</x:v>
      </x:c>
      <x:c r="E6494" s="2" t="str">
        <x:v>house</x:v>
      </x:c>
      <x:c r="F6494" s="2" t="str">
        <x:v>sale</x:v>
      </x:c>
      <x:c r="G6494" s="11" t="n">
        <x:v>32</x:v>
      </x:c>
      <x:c r="H6494" s="12" t="n">
        <x:v>6500000000</x:v>
      </x:c>
      <x:c r="I6494" s="12" t="n">
        <x:v>203125000</x:v>
      </x:c>
      <x:c r="J6494" s="2" t="str">
        <x:v>total</x:v>
      </x:c>
      <x:c r="K6494" s="2" t="str">
        <x:v>top_level_area</x:v>
      </x:c>
      <x:c r="L6494" s="2" t="str">
        <x:v>property_type_inferred_from_title</x:v>
      </x:c>
      <x:c r="M6494" s="10" t="n">
        <x:v>1</x:v>
      </x:c>
      <x:c r="N6494" s="10" t="n">
        <x:v>1</x:v>
      </x:c>
      <x:c r="O6494" s="2" t="str">
        <x:v>house</x:v>
      </x:c>
      <x:c r="P6494" s="10" t="n">
        <x:v>-1</x:v>
      </x:c>
      <x:c r="Q6494" s="13" t="n">
        <x:f>IF(H6494="","",H6494/1000000000)</x:f>
        <x:v>6.5</x:v>
      </x:c>
      <x:c r="R6494" s="13" t="n">
        <x:f>IF(I6494="","",I6494/1000000)</x:f>
        <x:v>203.125</x:v>
      </x:c>
    </x:row>
    <x:row r="6495" ht="21" customHeight="1">
      <x:c r="A6495" s="10" t="n">
        <x:v>8383</x:v>
      </x:c>
      <x:c r="B6495" s="2" t="str">
        <x:v>d462a6c2db7646115496</x:v>
      </x:c>
      <x:c r="C6495" s="2" t="str">
        <x:v>Hà Nội</x:v>
      </x:c>
      <x:c r="D6495" s="2" t="str">
        <x:v>Quận Hà Đông</x:v>
      </x:c>
      <x:c r="E6495" s="2" t="str">
        <x:v>house</x:v>
      </x:c>
      <x:c r="F6495" s="2" t="str">
        <x:v>sale</x:v>
      </x:c>
      <x:c r="G6495" s="11" t="n">
        <x:v>31</x:v>
      </x:c>
      <x:c r="H6495" s="12" t="n">
        <x:v>1950000000</x:v>
      </x:c>
      <x:c r="I6495" s="12" t="n">
        <x:v>62903225.80645161</x:v>
      </x:c>
      <x:c r="J6495" s="2" t="str">
        <x:v>total</x:v>
      </x:c>
      <x:c r="K6495" s="2" t="str">
        <x:v>top_level_area</x:v>
      </x:c>
      <x:c r="L6495" s="2" t="str">
        <x:v>property_type_inferred_from_title</x:v>
      </x:c>
      <x:c r="M6495" s="10" t="n">
        <x:v>0</x:v>
      </x:c>
      <x:c r="N6495" s="10" t="n">
        <x:v>0</x:v>
      </x:c>
      <x:c r="O6495" s="2" t="str">
        <x:v>Hà Nội|house</x:v>
      </x:c>
      <x:c r="P6495" s="10" t="n">
        <x:v>2</x:v>
      </x:c>
      <x:c r="Q6495" s="13" t="n">
        <x:f>IF(H6495="","",H6495/1000000000)</x:f>
        <x:v>1.95</x:v>
      </x:c>
      <x:c r="R6495" s="13" t="n">
        <x:f>IF(I6495="","",I6495/1000000)</x:f>
        <x:v>62.90322580645161</x:v>
      </x:c>
    </x:row>
    <x:row r="6496" ht="21" customHeight="1">
      <x:c r="A6496" s="10" t="n">
        <x:v>8384</x:v>
      </x:c>
      <x:c r="B6496" s="2" t="str">
        <x:v>bb4c7be9e55fcc8e10fb</x:v>
      </x:c>
      <x:c r="C6496" s="2" t="str">
        <x:v>Hà Nội</x:v>
      </x:c>
      <x:c r="D6496" s="2" t="str">
        <x:v>Huyện Thanh Trì</x:v>
      </x:c>
      <x:c r="E6496" s="2" t="str">
        <x:v>land</x:v>
      </x:c>
      <x:c r="F6496" s="2" t="str">
        <x:v>sale</x:v>
      </x:c>
      <x:c r="G6496" s="11" t="n">
        <x:v>90</x:v>
      </x:c>
      <x:c r="H6496" s="12" t="n">
        <x:v>1490000000</x:v>
      </x:c>
      <x:c r="I6496" s="12" t="n">
        <x:v>16555555.555555556</x:v>
      </x:c>
      <x:c r="J6496" s="2" t="str">
        <x:v>total</x:v>
      </x:c>
      <x:c r="K6496" s="2" t="str">
        <x:v>top_level_area</x:v>
      </x:c>
      <x:c r="L6496" s="2" t="str">
        <x:v>property_type_inferred_from_title</x:v>
      </x:c>
      <x:c r="M6496" s="10" t="n">
        <x:v>0</x:v>
      </x:c>
      <x:c r="N6496" s="10" t="n">
        <x:v>0</x:v>
      </x:c>
      <x:c r="O6496" s="2" t="str">
        <x:v>Hà Nội|land</x:v>
      </x:c>
      <x:c r="P6496" s="10" t="n">
        <x:v>2</x:v>
      </x:c>
      <x:c r="Q6496" s="13" t="n">
        <x:f>IF(H6496="","",H6496/1000000000)</x:f>
        <x:v>1.49</x:v>
      </x:c>
      <x:c r="R6496" s="13" t="n">
        <x:f>IF(I6496="","",I6496/1000000)</x:f>
        <x:v>16.555555555555557</x:v>
      </x:c>
    </x:row>
    <x:row r="6497" ht="21" customHeight="1">
      <x:c r="A6497" s="10" t="n">
        <x:v>8385</x:v>
      </x:c>
      <x:c r="B6497" s="2" t="str">
        <x:v>4c96baa5024e9eaed535</x:v>
      </x:c>
      <x:c r="C6497" s="2" t="str">
        <x:v>Đà Nẵng</x:v>
      </x:c>
      <x:c r="D6497" s="2" t="str">
        <x:v>Quận Sơn Trà</x:v>
      </x:c>
      <x:c r="E6497" s="2" t="str">
        <x:v>other_unknown</x:v>
      </x:c>
      <x:c r="F6497" s="2" t="str">
        <x:v>sale_assumed</x:v>
      </x:c>
      <x:c r="G6497" s="11" t="n">
        <x:v>52</x:v>
      </x:c>
      <x:c r="H6497" s="12" t="n">
        <x:v>2500000000</x:v>
      </x:c>
      <x:c r="I6497" s="12" t="n">
        <x:v>48076923.07692308</x:v>
      </x:c>
      <x:c r="J6497" s="2" t="str">
        <x:v>total</x:v>
      </x:c>
      <x:c r="K6497" s="2" t="str">
        <x:v>top_level_area</x:v>
      </x:c>
      <x:c r="L6497" s="2" t="str">
        <x:v>property_type_inferred_from_title;transaction_assumed_sale_from_dataset_context;unknown_property_type</x:v>
      </x:c>
      <x:c r="M6497" s="10" t="n">
        <x:v>0</x:v>
      </x:c>
      <x:c r="N6497" s="10" t="n">
        <x:v>0</x:v>
      </x:c>
      <x:c r="O6497" s="2" t="str">
        <x:v>Đà Nẵng|other_unknown</x:v>
      </x:c>
      <x:c r="P6497" s="10" t="n">
        <x:v>2</x:v>
      </x:c>
      <x:c r="Q6497" s="13" t="n">
        <x:f>IF(H6497="","",H6497/1000000000)</x:f>
        <x:v>2.5</x:v>
      </x:c>
      <x:c r="R6497" s="13" t="n">
        <x:f>IF(I6497="","",I6497/1000000)</x:f>
        <x:v>48.07692307692308</x:v>
      </x:c>
    </x:row>
    <x:row r="6498" ht="21" customHeight="1">
      <x:c r="A6498" s="10" t="n">
        <x:v>8386</x:v>
      </x:c>
      <x:c r="B6498" s="2" t="str">
        <x:v>99661c89712259523578</x:v>
      </x:c>
      <x:c r="C6498" s="2" t="str">
        <x:v>Đà Nẵng</x:v>
      </x:c>
      <x:c r="D6498" s="2" t="str">
        <x:v>Quận Ngũ Hành Sơn</x:v>
      </x:c>
      <x:c r="E6498" s="2" t="str">
        <x:v>land</x:v>
      </x:c>
      <x:c r="F6498" s="2" t="str">
        <x:v>sale</x:v>
      </x:c>
      <x:c r="G6498" s="11" t="n">
        <x:v>74</x:v>
      </x:c>
      <x:c r="H6498" s="12" t="n">
        <x:v>5000000000</x:v>
      </x:c>
      <x:c r="I6498" s="12" t="n">
        <x:v>67567567.56756757</x:v>
      </x:c>
      <x:c r="J6498" s="2" t="str">
        <x:v>total</x:v>
      </x:c>
      <x:c r="K6498" s="2" t="str">
        <x:v>top_level_area</x:v>
      </x:c>
      <x:c r="L6498" s="2" t="str">
        <x:v>property_type_inferred_from_title</x:v>
      </x:c>
      <x:c r="M6498" s="10" t="n">
        <x:v>0</x:v>
      </x:c>
      <x:c r="N6498" s="10" t="n">
        <x:v>1</x:v>
      </x:c>
      <x:c r="O6498" s="2" t="str">
        <x:v>Đà Nẵng|land</x:v>
      </x:c>
      <x:c r="P6498" s="10" t="n">
        <x:v>-1</x:v>
      </x:c>
      <x:c r="Q6498" s="13" t="n">
        <x:f>IF(H6498="","",H6498/1000000000)</x:f>
        <x:v>5</x:v>
      </x:c>
      <x:c r="R6498" s="13" t="n">
        <x:f>IF(I6498="","",I6498/1000000)</x:f>
        <x:v>67.56756756756758</x:v>
      </x:c>
    </x:row>
    <x:row r="6499" ht="21" customHeight="1">
      <x:c r="A6499" s="10" t="n">
        <x:v>8387</x:v>
      </x:c>
      <x:c r="B6499" s="2" t="str">
        <x:v>ae47556d5b9833807150</x:v>
      </x:c>
      <x:c r="C6499" s="2" t="str">
        <x:v>Đắk Lắk</x:v>
      </x:c>
      <x:c r="D6499" s="2" t="str">
        <x:v>Thành phố Buôn Ma Thuột</x:v>
      </x:c>
      <x:c r="E6499" s="2" t="str">
        <x:v>land</x:v>
      </x:c>
      <x:c r="F6499" s="2" t="str">
        <x:v>sale_assumed</x:v>
      </x:c>
      <x:c r="G6499" s="11" t="n">
        <x:v>105</x:v>
      </x:c>
      <x:c r="H6499" s="12" t="n">
        <x:v>1450000000</x:v>
      </x:c>
      <x:c r="I6499" s="12" t="n">
        <x:v>13809523.80952381</x:v>
      </x:c>
      <x:c r="J6499" s="2" t="str">
        <x:v>total</x:v>
      </x:c>
      <x:c r="K6499" s="2" t="str">
        <x:v>top_level_area</x:v>
      </x:c>
      <x:c r="L6499" s="2" t="str">
        <x:v>property_type_inferred_from_title;transaction_assumed_sale_from_dataset_context</x:v>
      </x:c>
      <x:c r="M6499" s="10" t="n">
        <x:v>0</x:v>
      </x:c>
      <x:c r="N6499" s="10" t="n">
        <x:v>0</x:v>
      </x:c>
      <x:c r="O6499" s="2" t="str">
        <x:v>Đắk Lắk|land</x:v>
      </x:c>
      <x:c r="P6499" s="10" t="n">
        <x:v>2</x:v>
      </x:c>
      <x:c r="Q6499" s="13" t="n">
        <x:f>IF(H6499="","",H6499/1000000000)</x:f>
        <x:v>1.45</x:v>
      </x:c>
      <x:c r="R6499" s="13" t="n">
        <x:f>IF(I6499="","",I6499/1000000)</x:f>
        <x:v>13.80952380952381</x:v>
      </x:c>
    </x:row>
    <x:row r="6500" ht="21" customHeight="1">
      <x:c r="A6500" s="10" t="n">
        <x:v>8388</x:v>
      </x:c>
      <x:c r="B6500" s="2" t="str">
        <x:v>1cf5ec655e02f6429fd0</x:v>
      </x:c>
      <x:c r="C6500" s="2" t="str">
        <x:v>Bình Dương</x:v>
      </x:c>
      <x:c r="D6500" s="2" t="str">
        <x:v>Huyện Bàu Bàng</x:v>
      </x:c>
      <x:c r="E6500" s="2" t="str">
        <x:v>house</x:v>
      </x:c>
      <x:c r="F6500" s="2" t="str">
        <x:v>sale_assumed</x:v>
      </x:c>
      <x:c r="G6500" s="11" t="n">
        <x:v>150</x:v>
      </x:c>
      <x:c r="H6500" s="12" t="n">
        <x:v>1200000000</x:v>
      </x:c>
      <x:c r="I6500" s="12" t="n">
        <x:v>8000000</x:v>
      </x:c>
      <x:c r="J6500" s="2" t="str">
        <x:v>total</x:v>
      </x:c>
      <x:c r="K6500" s="2" t="str">
        <x:v>top_level_area</x:v>
      </x:c>
      <x:c r="L6500" s="2" t="str">
        <x:v>property_type_inferred_from_title;transaction_assumed_sale_from_dataset_context</x:v>
      </x:c>
      <x:c r="M6500" s="10" t="n">
        <x:v>0</x:v>
      </x:c>
      <x:c r="N6500" s="10" t="n">
        <x:v>0</x:v>
      </x:c>
      <x:c r="O6500" s="2" t="str">
        <x:v>Bình Dương|house</x:v>
      </x:c>
      <x:c r="P6500" s="10" t="n">
        <x:v>2</x:v>
      </x:c>
      <x:c r="Q6500" s="13" t="n">
        <x:f>IF(H6500="","",H6500/1000000000)</x:f>
        <x:v>1.2</x:v>
      </x:c>
      <x:c r="R6500" s="13" t="n">
        <x:f>IF(I6500="","",I6500/1000000)</x:f>
        <x:v>8</x:v>
      </x:c>
    </x:row>
    <x:row r="6501" ht="21" customHeight="1">
      <x:c r="A6501" s="10" t="n">
        <x:v>8389</x:v>
      </x:c>
      <x:c r="B6501" s="2" t="str">
        <x:v>d2ff55c6c876e733d3cb</x:v>
      </x:c>
      <x:c r="C6501" s="2" t="str">
        <x:v>Tp Hồ Chí Minh</x:v>
      </x:c>
      <x:c r="D6501" s="2" t="str">
        <x:v>Huyện Bình Chánh</x:v>
      </x:c>
      <x:c r="E6501" s="2" t="str">
        <x:v>land</x:v>
      </x:c>
      <x:c r="F6501" s="2" t="str">
        <x:v>sale</x:v>
      </x:c>
      <x:c r="G6501" s="11" t="n">
        <x:v>116</x:v>
      </x:c>
      <x:c r="H6501" s="12" t="n">
        <x:v>700000000</x:v>
      </x:c>
      <x:c r="I6501" s="12" t="n">
        <x:v>6034482.75862069</x:v>
      </x:c>
      <x:c r="J6501" s="2" t="str">
        <x:v>total</x:v>
      </x:c>
      <x:c r="K6501" s="2" t="str">
        <x:v>top_level_area</x:v>
      </x:c>
      <x:c r="L6501" s="2" t="str">
        <x:v>property_type_inferred_from_title</x:v>
      </x:c>
      <x:c r="M6501" s="10" t="n">
        <x:v>0</x:v>
      </x:c>
      <x:c r="N6501" s="10" t="n">
        <x:v>0</x:v>
      </x:c>
      <x:c r="O6501" s="2" t="str">
        <x:v>Tp Hồ Chí Minh|land</x:v>
      </x:c>
      <x:c r="P6501" s="10" t="n">
        <x:v>2</x:v>
      </x:c>
      <x:c r="Q6501" s="13" t="n">
        <x:f>IF(H6501="","",H6501/1000000000)</x:f>
        <x:v>0.7</x:v>
      </x:c>
      <x:c r="R6501" s="13" t="n">
        <x:f>IF(I6501="","",I6501/1000000)</x:f>
        <x:v>6.0344827586206895</x:v>
      </x:c>
    </x:row>
    <x:row r="6502" ht="21" customHeight="1">
      <x:c r="A6502" s="10" t="n">
        <x:v>8390</x:v>
      </x:c>
      <x:c r="B6502" s="2" t="str">
        <x:v>2f9b6bea287ca1fb0f6a</x:v>
      </x:c>
      <x:c r="C6502" s="2" t="str">
        <x:v>Tp Hồ Chí Minh</x:v>
      </x:c>
      <x:c r="D6502" s="2" t="str">
        <x:v>Huyện Bình Chánh</x:v>
      </x:c>
      <x:c r="E6502" s="2" t="str">
        <x:v>house</x:v>
      </x:c>
      <x:c r="F6502" s="2" t="str">
        <x:v>sale</x:v>
      </x:c>
      <x:c r="G6502" s="11" t="n">
        <x:v>48</x:v>
      </x:c>
      <x:c r="H6502" s="12" t="n">
        <x:v>1700000000</x:v>
      </x:c>
      <x:c r="I6502" s="12" t="n">
        <x:v>35416666.666666664</x:v>
      </x:c>
      <x:c r="J6502" s="2" t="str">
        <x:v>total</x:v>
      </x:c>
      <x:c r="K6502" s="2" t="str">
        <x:v>top_level_area</x:v>
      </x:c>
      <x:c r="L6502" s="2" t="str">
        <x:v>property_type_inferred_from_title</x:v>
      </x:c>
      <x:c r="M6502" s="10" t="n">
        <x:v>0</x:v>
      </x:c>
      <x:c r="N6502" s="10" t="n">
        <x:v>0</x:v>
      </x:c>
      <x:c r="O6502" s="2" t="str">
        <x:v>Tp Hồ Chí Minh|house</x:v>
      </x:c>
      <x:c r="P6502" s="10" t="n">
        <x:v>2</x:v>
      </x:c>
      <x:c r="Q6502" s="13" t="n">
        <x:f>IF(H6502="","",H6502/1000000000)</x:f>
        <x:v>1.7</x:v>
      </x:c>
      <x:c r="R6502" s="13" t="n">
        <x:f>IF(I6502="","",I6502/1000000)</x:f>
        <x:v>35.416666666666664</x:v>
      </x:c>
    </x:row>
    <x:row r="6503" ht="21" customHeight="1">
      <x:c r="A6503" s="10" t="n">
        <x:v>8391</x:v>
      </x:c>
      <x:c r="B6503" s="2" t="str">
        <x:v>61cfaddb7e6b74665d0d</x:v>
      </x:c>
      <x:c r="C6503" s="2" t="str">
        <x:v>Tp Hồ Chí Minh</x:v>
      </x:c>
      <x:c r="D6503" s="2" t="str">
        <x:v>Quận 12</x:v>
      </x:c>
      <x:c r="E6503" s="2" t="str">
        <x:v>other_unknown</x:v>
      </x:c>
      <x:c r="F6503" s="2" t="str">
        <x:v>sale_assumed</x:v>
      </x:c>
      <x:c r="G6503" s="11" t="n">
        <x:v>31</x:v>
      </x:c>
      <x:c r="H6503" s="12" t="n">
        <x:v>2190000000</x:v>
      </x:c>
      <x:c r="I6503" s="12" t="n">
        <x:v>70645161.29032259</x:v>
      </x:c>
      <x:c r="J6503" s="2" t="str">
        <x:v>total</x:v>
      </x:c>
      <x:c r="K6503" s="2" t="str">
        <x:v>top_level_area</x:v>
      </x:c>
      <x:c r="L6503" s="2" t="str">
        <x:v>property_type_inferred_from_title;transaction_assumed_sale_from_dataset_context;unknown_property_type</x:v>
      </x:c>
      <x:c r="M6503" s="10" t="n">
        <x:v>0</x:v>
      </x:c>
      <x:c r="N6503" s="10" t="n">
        <x:v>0</x:v>
      </x:c>
      <x:c r="O6503" s="2" t="str">
        <x:v>Tp Hồ Chí Minh|other_unknown</x:v>
      </x:c>
      <x:c r="P6503" s="10" t="n">
        <x:v>2</x:v>
      </x:c>
      <x:c r="Q6503" s="13" t="n">
        <x:f>IF(H6503="","",H6503/1000000000)</x:f>
        <x:v>2.19</x:v>
      </x:c>
      <x:c r="R6503" s="13" t="n">
        <x:f>IF(I6503="","",I6503/1000000)</x:f>
        <x:v>70.64516129032259</x:v>
      </x:c>
    </x:row>
    <x:row r="6504" ht="21" customHeight="1">
      <x:c r="A6504" s="10" t="n">
        <x:v>8392</x:v>
      </x:c>
      <x:c r="B6504" s="2" t="str">
        <x:v>263700e9f2774089f819</x:v>
      </x:c>
      <x:c r="C6504" s="2" t="str">
        <x:v>Hà Nội</x:v>
      </x:c>
      <x:c r="D6504" s="2" t="str">
        <x:v>Quận Hoàng Mai</x:v>
      </x:c>
      <x:c r="E6504" s="2" t="str">
        <x:v>house</x:v>
      </x:c>
      <x:c r="F6504" s="2" t="str">
        <x:v>sale</x:v>
      </x:c>
      <x:c r="G6504" s="11" t="n">
        <x:v>36</x:v>
      </x:c>
      <x:c r="H6504" s="12" t="n">
        <x:v>2600000000</x:v>
      </x:c>
      <x:c r="I6504" s="12" t="n">
        <x:v>72222222.22222222</x:v>
      </x:c>
      <x:c r="J6504" s="2" t="str">
        <x:v>total</x:v>
      </x:c>
      <x:c r="K6504" s="2" t="str">
        <x:v>top_level_area</x:v>
      </x:c>
      <x:c r="L6504" s="2" t="str">
        <x:v>property_type_inferred_from_title</x:v>
      </x:c>
      <x:c r="M6504" s="10" t="n">
        <x:v>0</x:v>
      </x:c>
      <x:c r="N6504" s="10" t="n">
        <x:v>0</x:v>
      </x:c>
      <x:c r="O6504" s="2" t="str">
        <x:v>Hà Nội|house</x:v>
      </x:c>
      <x:c r="P6504" s="10" t="n">
        <x:v>2</x:v>
      </x:c>
      <x:c r="Q6504" s="13" t="n">
        <x:f>IF(H6504="","",H6504/1000000000)</x:f>
        <x:v>2.6</x:v>
      </x:c>
      <x:c r="R6504" s="13" t="n">
        <x:f>IF(I6504="","",I6504/1000000)</x:f>
        <x:v>72.22222222222223</x:v>
      </x:c>
    </x:row>
    <x:row r="6505" ht="21" customHeight="1">
      <x:c r="A6505" s="10" t="n">
        <x:v>8395</x:v>
      </x:c>
      <x:c r="B6505" s="2" t="str">
        <x:v>3f9ad2ed4f0cb2cbd937</x:v>
      </x:c>
      <x:c r="C6505" s="2" t="str">
        <x:v>Hà Nội</x:v>
      </x:c>
      <x:c r="D6505" s="2" t="str">
        <x:v>Quận Thanh Xuân</x:v>
      </x:c>
      <x:c r="E6505" s="2" t="str">
        <x:v>house</x:v>
      </x:c>
      <x:c r="F6505" s="2" t="str">
        <x:v>sale_assumed</x:v>
      </x:c>
      <x:c r="G6505" s="11" t="n">
        <x:v>40</x:v>
      </x:c>
      <x:c r="H6505" s="12" t="n">
        <x:v>3800000000</x:v>
      </x:c>
      <x:c r="I6505" s="12" t="n">
        <x:v>95000000</x:v>
      </x:c>
      <x:c r="J6505" s="2" t="str">
        <x:v>total</x:v>
      </x:c>
      <x:c r="K6505" s="2" t="str">
        <x:v>top_level_area</x:v>
      </x:c>
      <x:c r="L6505" s="2" t="str">
        <x:v>property_type_inferred_from_title;transaction_assumed_sale_from_dataset_context</x:v>
      </x:c>
      <x:c r="M6505" s="10" t="n">
        <x:v>0</x:v>
      </x:c>
      <x:c r="N6505" s="10" t="n">
        <x:v>0</x:v>
      </x:c>
      <x:c r="O6505" s="2" t="str">
        <x:v>Hà Nội|house</x:v>
      </x:c>
      <x:c r="P6505" s="10" t="n">
        <x:v>2</x:v>
      </x:c>
      <x:c r="Q6505" s="13" t="n">
        <x:f>IF(H6505="","",H6505/1000000000)</x:f>
        <x:v>3.8</x:v>
      </x:c>
      <x:c r="R6505" s="13" t="n">
        <x:f>IF(I6505="","",I6505/1000000)</x:f>
        <x:v>95</x:v>
      </x:c>
    </x:row>
    <x:row r="6506" ht="21" customHeight="1">
      <x:c r="A6506" s="10" t="n">
        <x:v>8396</x:v>
      </x:c>
      <x:c r="B6506" s="2" t="str">
        <x:v>be07aa94c52a5c9c9f97</x:v>
      </x:c>
      <x:c r="C6506" s="2" t="str">
        <x:v>Tp Hồ Chí Minh</x:v>
      </x:c>
      <x:c r="D6506" s="2" t="str">
        <x:v>Huyện Củ Chi</x:v>
      </x:c>
      <x:c r="E6506" s="2" t="str">
        <x:v>house</x:v>
      </x:c>
      <x:c r="F6506" s="2" t="str">
        <x:v>sale_assumed</x:v>
      </x:c>
      <x:c r="G6506" s="11" t="n">
        <x:v>5000</x:v>
      </x:c>
      <x:c r="H6506" s="12" t="n">
        <x:v>4400000000</x:v>
      </x:c>
      <x:c r="I6506" s="12" t="n">
        <x:v>880000</x:v>
      </x:c>
      <x:c r="J6506" s="2" t="str">
        <x:v>total</x:v>
      </x:c>
      <x:c r="K6506" s="2" t="str">
        <x:v>top_level_area</x:v>
      </x:c>
      <x:c r="L6506" s="2" t="str">
        <x:v>dot_thousands_convention;property_type_inferred_from_title;transaction_assumed_sale_from_dataset_context</x:v>
      </x:c>
      <x:c r="M6506" s="10" t="n">
        <x:v>0</x:v>
      </x:c>
      <x:c r="N6506" s="10" t="n">
        <x:v>0</x:v>
      </x:c>
      <x:c r="O6506" s="2" t="str">
        <x:v>Tp Hồ Chí Minh|house</x:v>
      </x:c>
      <x:c r="P6506" s="10" t="n">
        <x:v>1</x:v>
      </x:c>
      <x:c r="Q6506" s="13" t="n">
        <x:f>IF(H6506="","",H6506/1000000000)</x:f>
        <x:v>4.4</x:v>
      </x:c>
      <x:c r="R6506" s="13" t="n">
        <x:f>IF(I6506="","",I6506/1000000)</x:f>
        <x:v>0.88</x:v>
      </x:c>
    </x:row>
    <x:row r="6507" ht="21" customHeight="1">
      <x:c r="A6507" s="10" t="n">
        <x:v>8397</x:v>
      </x:c>
      <x:c r="B6507" s="2" t="str">
        <x:v>5a85c70baa9e520b2389</x:v>
      </x:c>
      <x:c r="C6507" s="2" t="str">
        <x:v>Tp Hồ Chí Minh</x:v>
      </x:c>
      <x:c r="D6507" s="2" t="str">
        <x:v>Huyện Nhà Bè</x:v>
      </x:c>
      <x:c r="E6507" s="2" t="str">
        <x:v>house</x:v>
      </x:c>
      <x:c r="F6507" s="2" t="str">
        <x:v>sale</x:v>
      </x:c>
      <x:c r="G6507" s="11" t="n">
        <x:v>62</x:v>
      </x:c>
      <x:c r="H6507" s="12" t="n">
        <x:v>4050000000</x:v>
      </x:c>
      <x:c r="I6507" s="12" t="n">
        <x:v>65322580.64516129</x:v>
      </x:c>
      <x:c r="J6507" s="2" t="str">
        <x:v>total</x:v>
      </x:c>
      <x:c r="K6507" s="2" t="str">
        <x:v>top_level_area</x:v>
      </x:c>
      <x:c r="L6507" s="2" t="str">
        <x:v>property_type_inferred_from_title</x:v>
      </x:c>
      <x:c r="M6507" s="10" t="n">
        <x:v>0</x:v>
      </x:c>
      <x:c r="N6507" s="10" t="n">
        <x:v>0</x:v>
      </x:c>
      <x:c r="O6507" s="2" t="str">
        <x:v>Tp Hồ Chí Minh|house</x:v>
      </x:c>
      <x:c r="P6507" s="10" t="n">
        <x:v>2</x:v>
      </x:c>
      <x:c r="Q6507" s="13" t="n">
        <x:f>IF(H6507="","",H6507/1000000000)</x:f>
        <x:v>4.05</x:v>
      </x:c>
      <x:c r="R6507" s="13" t="n">
        <x:f>IF(I6507="","",I6507/1000000)</x:f>
        <x:v>65.3225806451613</x:v>
      </x:c>
    </x:row>
    <x:row r="6508" ht="21" customHeight="1">
      <x:c r="A6508" s="10" t="n">
        <x:v>8398</x:v>
      </x:c>
      <x:c r="B6508" s="2" t="str">
        <x:v>ca2fafa774a79063991c</x:v>
      </x:c>
      <x:c r="C6508" s="2" t="str">
        <x:v>Bình Phước</x:v>
      </x:c>
      <x:c r="D6508" s="2" t="str">
        <x:v>Huyện Đồng Phú</x:v>
      </x:c>
      <x:c r="E6508" s="2" t="str">
        <x:v>other_unknown</x:v>
      </x:c>
      <x:c r="F6508" s="2" t="str">
        <x:v>sale_assumed</x:v>
      </x:c>
      <x:c r="G6508" s="11" t="n">
        <x:v>150</x:v>
      </x:c>
      <x:c r="H6508" s="12" t="n">
        <x:v>280000000</x:v>
      </x:c>
      <x:c r="I6508" s="12" t="n">
        <x:v>1866666.6666666667</x:v>
      </x:c>
      <x:c r="J6508" s="2" t="str">
        <x:v>total</x:v>
      </x:c>
      <x:c r="K6508" s="2" t="str">
        <x:v>top_level_area</x:v>
      </x:c>
      <x:c r="L6508" s="2" t="str">
        <x:v>property_type_inferred_from_title;transaction_assumed_sale_from_dataset_context;unknown_property_type</x:v>
      </x:c>
      <x:c r="M6508" s="10" t="n">
        <x:v>0</x:v>
      </x:c>
      <x:c r="N6508" s="10" t="n">
        <x:v>0</x:v>
      </x:c>
      <x:c r="O6508" s="2" t="str">
        <x:v>other_unknown</x:v>
      </x:c>
      <x:c r="P6508" s="10" t="n">
        <x:v>1</x:v>
      </x:c>
      <x:c r="Q6508" s="13" t="n">
        <x:f>IF(H6508="","",H6508/1000000000)</x:f>
        <x:v>0.28</x:v>
      </x:c>
      <x:c r="R6508" s="13" t="n">
        <x:f>IF(I6508="","",I6508/1000000)</x:f>
        <x:v>1.8666666666666667</x:v>
      </x:c>
    </x:row>
    <x:row r="6509" ht="21" customHeight="1">
      <x:c r="A6509" s="10" t="n">
        <x:v>8399</x:v>
      </x:c>
      <x:c r="B6509" s="2" t="str">
        <x:v>ecb4f4c37d4c6f4cc511</x:v>
      </x:c>
      <x:c r="C6509" s="2" t="str">
        <x:v>Long An</x:v>
      </x:c>
      <x:c r="D6509" s="2" t="str">
        <x:v>Huyện Cần Giuộc</x:v>
      </x:c>
      <x:c r="E6509" s="2" t="str">
        <x:v>house</x:v>
      </x:c>
      <x:c r="F6509" s="2" t="str">
        <x:v>sale</x:v>
      </x:c>
      <x:c r="G6509" s="11" t="n">
        <x:v>64</x:v>
      </x:c>
      <x:c r="H6509" s="12" t="n">
        <x:v>1120000000</x:v>
      </x:c>
      <x:c r="I6509" s="12" t="n">
        <x:v>17500000</x:v>
      </x:c>
      <x:c r="J6509" s="2" t="str">
        <x:v>total</x:v>
      </x:c>
      <x:c r="K6509" s="2" t="str">
        <x:v>top_level_area</x:v>
      </x:c>
      <x:c r="L6509" s="2" t="str">
        <x:v>property_type_inferred_from_title</x:v>
      </x:c>
      <x:c r="M6509" s="10" t="n">
        <x:v>0</x:v>
      </x:c>
      <x:c r="N6509" s="10" t="n">
        <x:v>0</x:v>
      </x:c>
      <x:c r="O6509" s="2" t="str">
        <x:v>Long An|house</x:v>
      </x:c>
      <x:c r="P6509" s="10" t="n">
        <x:v>2</x:v>
      </x:c>
      <x:c r="Q6509" s="13" t="n">
        <x:f>IF(H6509="","",H6509/1000000000)</x:f>
        <x:v>1.12</x:v>
      </x:c>
      <x:c r="R6509" s="13" t="n">
        <x:f>IF(I6509="","",I6509/1000000)</x:f>
        <x:v>17.5</x:v>
      </x:c>
    </x:row>
    <x:row r="6510" ht="21" customHeight="1">
      <x:c r="A6510" s="10" t="n">
        <x:v>8400</x:v>
      </x:c>
      <x:c r="B6510" s="2" t="str">
        <x:v>287a629e268fa580d0d2</x:v>
      </x:c>
      <x:c r="C6510" s="2" t="str">
        <x:v>Thừa Thiên Huế</x:v>
      </x:c>
      <x:c r="D6510" s="2" t="str">
        <x:v>Thị xã Hương Thủy</x:v>
      </x:c>
      <x:c r="E6510" s="2" t="str">
        <x:v>house</x:v>
      </x:c>
      <x:c r="F6510" s="2" t="str">
        <x:v>sale_assumed</x:v>
      </x:c>
      <x:c r="G6510" s="11" t="n">
        <x:v>200</x:v>
      </x:c>
      <x:c r="H6510" s="12" t="n">
        <x:v>5300000000</x:v>
      </x:c>
      <x:c r="I6510" s="12" t="n">
        <x:v>26500000</x:v>
      </x:c>
      <x:c r="J6510" s="2" t="str">
        <x:v>total</x:v>
      </x:c>
      <x:c r="K6510" s="2" t="str">
        <x:v>top_level_area</x:v>
      </x:c>
      <x:c r="L6510" s="2" t="str">
        <x:v>property_type_inferred_from_title;transaction_assumed_sale_from_dataset_context</x:v>
      </x:c>
      <x:c r="M6510" s="10" t="n">
        <x:v>0</x:v>
      </x:c>
      <x:c r="N6510" s="10" t="n">
        <x:v>0</x:v>
      </x:c>
      <x:c r="O6510" s="2" t="str">
        <x:v>house</x:v>
      </x:c>
      <x:c r="P6510" s="10" t="n">
        <x:v>2</x:v>
      </x:c>
      <x:c r="Q6510" s="13" t="n">
        <x:f>IF(H6510="","",H6510/1000000000)</x:f>
        <x:v>5.3</x:v>
      </x:c>
      <x:c r="R6510" s="13" t="n">
        <x:f>IF(I6510="","",I6510/1000000)</x:f>
        <x:v>26.5</x:v>
      </x:c>
    </x:row>
    <x:row r="6511" ht="21" customHeight="1">
      <x:c r="A6511" s="10" t="n">
        <x:v>8401</x:v>
      </x:c>
      <x:c r="B6511" s="2" t="str">
        <x:v>95bd3e70cb8e4c8a961e</x:v>
      </x:c>
      <x:c r="C6511" s="2" t="str">
        <x:v>Đắk Lắk</x:v>
      </x:c>
      <x:c r="D6511" s="2" t="str">
        <x:v>Huyện Cư M'gar</x:v>
      </x:c>
      <x:c r="E6511" s="2" t="str">
        <x:v>other_unknown</x:v>
      </x:c>
      <x:c r="F6511" s="2" t="str">
        <x:v>sale_assumed</x:v>
      </x:c>
      <x:c r="G6511" s="11" t="n">
        <x:v>125</x:v>
      </x:c>
      <x:c r="H6511" s="12" t="n">
        <x:v>275000000</x:v>
      </x:c>
      <x:c r="I6511" s="12" t="n">
        <x:v>2200000</x:v>
      </x:c>
      <x:c r="J6511" s="2" t="str">
        <x:v>total</x:v>
      </x:c>
      <x:c r="K6511" s="2" t="str">
        <x:v>top_level_area</x:v>
      </x:c>
      <x:c r="L6511" s="2" t="str">
        <x:v>property_type_inferred_from_title;transaction_assumed_sale_from_dataset_context;unknown_property_type</x:v>
      </x:c>
      <x:c r="M6511" s="10" t="n">
        <x:v>0</x:v>
      </x:c>
      <x:c r="N6511" s="10" t="n">
        <x:v>0</x:v>
      </x:c>
      <x:c r="O6511" s="2" t="str">
        <x:v>other_unknown</x:v>
      </x:c>
      <x:c r="P6511" s="10" t="n">
        <x:v>1</x:v>
      </x:c>
      <x:c r="Q6511" s="13" t="n">
        <x:f>IF(H6511="","",H6511/1000000000)</x:f>
        <x:v>0.275</x:v>
      </x:c>
      <x:c r="R6511" s="13" t="n">
        <x:f>IF(I6511="","",I6511/1000000)</x:f>
        <x:v>2.2</x:v>
      </x:c>
    </x:row>
    <x:row r="6512" ht="21" customHeight="1">
      <x:c r="A6512" s="10" t="n">
        <x:v>8402</x:v>
      </x:c>
      <x:c r="B6512" s="2" t="str">
        <x:v>1aeecb609bab758cf814</x:v>
      </x:c>
      <x:c r="C6512" s="2" t="str">
        <x:v>Hà Nội</x:v>
      </x:c>
      <x:c r="D6512" s="2" t="str">
        <x:v>Quận Hà Đông</x:v>
      </x:c>
      <x:c r="E6512" s="2" t="str">
        <x:v>house</x:v>
      </x:c>
      <x:c r="F6512" s="2" t="str">
        <x:v>sale</x:v>
      </x:c>
      <x:c r="G6512" s="11" t="n">
        <x:v>36</x:v>
      </x:c>
      <x:c r="H6512" s="12" t="n">
        <x:v>1465000000</x:v>
      </x:c>
      <x:c r="I6512" s="12" t="n">
        <x:v>40694444.44444445</x:v>
      </x:c>
      <x:c r="J6512" s="2" t="str">
        <x:v>total</x:v>
      </x:c>
      <x:c r="K6512" s="2" t="str">
        <x:v>top_level_area</x:v>
      </x:c>
      <x:c r="L6512" s="2" t="str">
        <x:v>property_type_inferred_from_title</x:v>
      </x:c>
      <x:c r="M6512" s="10" t="n">
        <x:v>0</x:v>
      </x:c>
      <x:c r="N6512" s="10" t="n">
        <x:v>0</x:v>
      </x:c>
      <x:c r="O6512" s="2" t="str">
        <x:v>Hà Nội|house</x:v>
      </x:c>
      <x:c r="P6512" s="10" t="n">
        <x:v>2</x:v>
      </x:c>
      <x:c r="Q6512" s="13" t="n">
        <x:f>IF(H6512="","",H6512/1000000000)</x:f>
        <x:v>1.465</x:v>
      </x:c>
      <x:c r="R6512" s="13" t="n">
        <x:f>IF(I6512="","",I6512/1000000)</x:f>
        <x:v>40.69444444444445</x:v>
      </x:c>
    </x:row>
    <x:row r="6513" ht="21" customHeight="1">
      <x:c r="A6513" s="10" t="n">
        <x:v>8403</x:v>
      </x:c>
      <x:c r="B6513" s="2" t="str">
        <x:v>d66e520d138f9e3d7ee6</x:v>
      </x:c>
      <x:c r="C6513" s="2" t="str">
        <x:v>Đà Nẵng</x:v>
      </x:c>
      <x:c r="D6513" s="2" t="str">
        <x:v>Quận Ngũ Hành Sơn</x:v>
      </x:c>
      <x:c r="E6513" s="2" t="str">
        <x:v>land</x:v>
      </x:c>
      <x:c r="F6513" s="2" t="str">
        <x:v>sale</x:v>
      </x:c>
      <x:c r="G6513" s="11" t="n">
        <x:v>110</x:v>
      </x:c>
      <x:c r="H6513" s="12" t="n">
        <x:v>3200000000</x:v>
      </x:c>
      <x:c r="I6513" s="12" t="n">
        <x:v>29090909.09090909</x:v>
      </x:c>
      <x:c r="J6513" s="2" t="str">
        <x:v>total</x:v>
      </x:c>
      <x:c r="K6513" s="2" t="str">
        <x:v>top_level_area</x:v>
      </x:c>
      <x:c r="L6513" s="2" t="str">
        <x:v>property_type_inferred_from_title</x:v>
      </x:c>
      <x:c r="M6513" s="10" t="n">
        <x:v>0</x:v>
      </x:c>
      <x:c r="N6513" s="10" t="n">
        <x:v>0</x:v>
      </x:c>
      <x:c r="O6513" s="2" t="str">
        <x:v>Đà Nẵng|land</x:v>
      </x:c>
      <x:c r="P6513" s="10" t="n">
        <x:v>2</x:v>
      </x:c>
      <x:c r="Q6513" s="13" t="n">
        <x:f>IF(H6513="","",H6513/1000000000)</x:f>
        <x:v>3.2</x:v>
      </x:c>
      <x:c r="R6513" s="13" t="n">
        <x:f>IF(I6513="","",I6513/1000000)</x:f>
        <x:v>29.09090909090909</x:v>
      </x:c>
    </x:row>
    <x:row r="6514" ht="21" customHeight="1">
      <x:c r="A6514" s="10" t="n">
        <x:v>8404</x:v>
      </x:c>
      <x:c r="B6514" s="2" t="str">
        <x:v>ac5c2a785ef0eb415b52</x:v>
      </x:c>
      <x:c r="C6514" s="2" t="str">
        <x:v>Long An</x:v>
      </x:c>
      <x:c r="D6514" s="2" t="str">
        <x:v>Huyện Cần Giuộc</x:v>
      </x:c>
      <x:c r="E6514" s="2" t="str">
        <x:v>house</x:v>
      </x:c>
      <x:c r="F6514" s="2" t="str">
        <x:v>sale</x:v>
      </x:c>
      <x:c r="G6514" s="11" t="n">
        <x:v>56</x:v>
      </x:c>
      <x:c r="H6514" s="12" t="n">
        <x:v>650000000</x:v>
      </x:c>
      <x:c r="I6514" s="12" t="n">
        <x:v>11607142.857142856</x:v>
      </x:c>
      <x:c r="J6514" s="2" t="str">
        <x:v>total</x:v>
      </x:c>
      <x:c r="K6514" s="2" t="str">
        <x:v>top_level_area</x:v>
      </x:c>
      <x:c r="L6514" s="2" t="str">
        <x:v>property_type_inferred_from_title</x:v>
      </x:c>
      <x:c r="M6514" s="10" t="n">
        <x:v>0</x:v>
      </x:c>
      <x:c r="N6514" s="10" t="n">
        <x:v>0</x:v>
      </x:c>
      <x:c r="O6514" s="2" t="str">
        <x:v>Long An|house</x:v>
      </x:c>
      <x:c r="P6514" s="10" t="n">
        <x:v>2</x:v>
      </x:c>
      <x:c r="Q6514" s="13" t="n">
        <x:f>IF(H6514="","",H6514/1000000000)</x:f>
        <x:v>0.65</x:v>
      </x:c>
      <x:c r="R6514" s="13" t="n">
        <x:f>IF(I6514="","",I6514/1000000)</x:f>
        <x:v>11.607142857142856</x:v>
      </x:c>
    </x:row>
    <x:row r="6515" ht="21" customHeight="1">
      <x:c r="A6515" s="10" t="n">
        <x:v>8405</x:v>
      </x:c>
      <x:c r="B6515" s="2" t="str">
        <x:v>bb385827f4acb7565226</x:v>
      </x:c>
      <x:c r="C6515" s="2" t="str">
        <x:v>Tp Hồ Chí Minh</x:v>
      </x:c>
      <x:c r="D6515" s="2" t="str">
        <x:v>Huyện Nhà Bè</x:v>
      </x:c>
      <x:c r="E6515" s="2" t="str">
        <x:v>house</x:v>
      </x:c>
      <x:c r="F6515" s="2" t="str">
        <x:v>sale_assumed</x:v>
      </x:c>
      <x:c r="G6515" s="11" t="n">
        <x:v>80</x:v>
      </x:c>
      <x:c r="H6515" s="12" t="n">
        <x:v>5750000000</x:v>
      </x:c>
      <x:c r="I6515" s="12" t="n">
        <x:v>71875000</x:v>
      </x:c>
      <x:c r="J6515" s="2" t="str">
        <x:v>total</x:v>
      </x:c>
      <x:c r="K6515" s="2" t="str">
        <x:v>top_level_area</x:v>
      </x:c>
      <x:c r="L6515" s="2" t="str">
        <x:v>property_type_inferred_from_title;transaction_assumed_sale_from_dataset_context</x:v>
      </x:c>
      <x:c r="M6515" s="10" t="n">
        <x:v>0</x:v>
      </x:c>
      <x:c r="N6515" s="10" t="n">
        <x:v>0</x:v>
      </x:c>
      <x:c r="O6515" s="2" t="str">
        <x:v>Tp Hồ Chí Minh|house</x:v>
      </x:c>
      <x:c r="P6515" s="10" t="n">
        <x:v>2</x:v>
      </x:c>
      <x:c r="Q6515" s="13" t="n">
        <x:f>IF(H6515="","",H6515/1000000000)</x:f>
        <x:v>5.75</x:v>
      </x:c>
      <x:c r="R6515" s="13" t="n">
        <x:f>IF(I6515="","",I6515/1000000)</x:f>
        <x:v>71.875</x:v>
      </x:c>
    </x:row>
    <x:row r="6516" ht="21" customHeight="1">
      <x:c r="A6516" s="10" t="n">
        <x:v>8406</x:v>
      </x:c>
      <x:c r="B6516" s="2" t="str">
        <x:v>6fb07bd3d6daf17ca433</x:v>
      </x:c>
      <x:c r="C6516" s="2" t="str">
        <x:v>Tp Hồ Chí Minh</x:v>
      </x:c>
      <x:c r="D6516" s="2" t="str">
        <x:v>Huyện Hóc Môn</x:v>
      </x:c>
      <x:c r="E6516" s="2" t="str">
        <x:v>land</x:v>
      </x:c>
      <x:c r="F6516" s="2" t="str">
        <x:v>sale_assumed</x:v>
      </x:c>
      <x:c r="G6516" s="11" t="n">
        <x:v>162</x:v>
      </x:c>
      <x:c r="H6516" s="12" t="n">
        <x:v>920000000</x:v>
      </x:c>
      <x:c r="I6516" s="12" t="n">
        <x:v>5679012.345679012</x:v>
      </x:c>
      <x:c r="J6516" s="2" t="str">
        <x:v>total</x:v>
      </x:c>
      <x:c r="K6516" s="2" t="str">
        <x:v>top_level_area</x:v>
      </x:c>
      <x:c r="L6516" s="2" t="str">
        <x:v>property_type_inferred_from_title;transaction_assumed_sale_from_dataset_context</x:v>
      </x:c>
      <x:c r="M6516" s="10" t="n">
        <x:v>0</x:v>
      </x:c>
      <x:c r="N6516" s="10" t="n">
        <x:v>0</x:v>
      </x:c>
      <x:c r="O6516" s="2" t="str">
        <x:v>Tp Hồ Chí Minh|land</x:v>
      </x:c>
      <x:c r="P6516" s="10" t="n">
        <x:v>2</x:v>
      </x:c>
      <x:c r="Q6516" s="13" t="n">
        <x:f>IF(H6516="","",H6516/1000000000)</x:f>
        <x:v>0.92</x:v>
      </x:c>
      <x:c r="R6516" s="13" t="n">
        <x:f>IF(I6516="","",I6516/1000000)</x:f>
        <x:v>5.679012345679012</x:v>
      </x:c>
    </x:row>
    <x:row r="6517" ht="21" customHeight="1">
      <x:c r="A6517" s="10" t="n">
        <x:v>8407</x:v>
      </x:c>
      <x:c r="B6517" s="2" t="str">
        <x:v>9f83c6570659336362b1</x:v>
      </x:c>
      <x:c r="C6517" s="2" t="str">
        <x:v>Tp Hồ Chí Minh</x:v>
      </x:c>
      <x:c r="D6517" s="2" t="str">
        <x:v>Quận Tân Phú</x:v>
      </x:c>
      <x:c r="E6517" s="2" t="str">
        <x:v>house</x:v>
      </x:c>
      <x:c r="F6517" s="2" t="str">
        <x:v>sale_assumed</x:v>
      </x:c>
      <x:c r="G6517" s="11" t="n">
        <x:v>64</x:v>
      </x:c>
      <x:c r="H6517" s="12" t="n">
        <x:v>5900000000</x:v>
      </x:c>
      <x:c r="I6517" s="12" t="n">
        <x:v>92187500</x:v>
      </x:c>
      <x:c r="J6517" s="2" t="str">
        <x:v>total</x:v>
      </x:c>
      <x:c r="K6517" s="2" t="str">
        <x:v>top_level_area</x:v>
      </x:c>
      <x:c r="L6517" s="2" t="str">
        <x:v>property_type_inferred_from_title;transaction_assumed_sale_from_dataset_context</x:v>
      </x:c>
      <x:c r="M6517" s="10" t="n">
        <x:v>0</x:v>
      </x:c>
      <x:c r="N6517" s="10" t="n">
        <x:v>0</x:v>
      </x:c>
      <x:c r="O6517" s="2" t="str">
        <x:v>Tp Hồ Chí Minh|house</x:v>
      </x:c>
      <x:c r="P6517" s="10" t="n">
        <x:v>2</x:v>
      </x:c>
      <x:c r="Q6517" s="13" t="n">
        <x:f>IF(H6517="","",H6517/1000000000)</x:f>
        <x:v>5.9</x:v>
      </x:c>
      <x:c r="R6517" s="13" t="n">
        <x:f>IF(I6517="","",I6517/1000000)</x:f>
        <x:v>92.1875</x:v>
      </x:c>
    </x:row>
    <x:row r="6518" ht="21" customHeight="1">
      <x:c r="A6518" s="10" t="n">
        <x:v>8408</x:v>
      </x:c>
      <x:c r="B6518" s="2" t="str">
        <x:v>86b201486a6ced681c52</x:v>
      </x:c>
      <x:c r="C6518" s="2" t="str">
        <x:v>Long An</x:v>
      </x:c>
      <x:c r="D6518" s="2" t="str">
        <x:v>Huyện Đức Hòa</x:v>
      </x:c>
      <x:c r="E6518" s="2" t="str">
        <x:v>other_unknown</x:v>
      </x:c>
      <x:c r="F6518" s="2" t="str">
        <x:v>sale_assumed</x:v>
      </x:c>
      <x:c r="G6518" s="11" t="n">
        <x:v>100</x:v>
      </x:c>
      <x:c r="H6518" s="12" t="n">
        <x:v>735000000</x:v>
      </x:c>
      <x:c r="I6518" s="12" t="n">
        <x:v>7350000</x:v>
      </x:c>
      <x:c r="J6518" s="2" t="str">
        <x:v>total</x:v>
      </x:c>
      <x:c r="K6518" s="2" t="str">
        <x:v>top_level_area</x:v>
      </x:c>
      <x:c r="L6518" s="2" t="str">
        <x:v>property_type_inferred_from_title;transaction_assumed_sale_from_dataset_context;unknown_property_type</x:v>
      </x:c>
      <x:c r="M6518" s="10" t="n">
        <x:v>0</x:v>
      </x:c>
      <x:c r="N6518" s="10" t="n">
        <x:v>0</x:v>
      </x:c>
      <x:c r="O6518" s="2" t="str">
        <x:v>Long An|other_unknown</x:v>
      </x:c>
      <x:c r="P6518" s="10" t="n">
        <x:v>2</x:v>
      </x:c>
      <x:c r="Q6518" s="13" t="n">
        <x:f>IF(H6518="","",H6518/1000000000)</x:f>
        <x:v>0.735</x:v>
      </x:c>
      <x:c r="R6518" s="13" t="n">
        <x:f>IF(I6518="","",I6518/1000000)</x:f>
        <x:v>7.35</x:v>
      </x:c>
    </x:row>
    <x:row r="6519" ht="21" customHeight="1">
      <x:c r="A6519" s="10" t="n">
        <x:v>8409</x:v>
      </x:c>
      <x:c r="B6519" s="2" t="str">
        <x:v>954b0447ce6016ff00bb</x:v>
      </x:c>
      <x:c r="C6519" s="2" t="str">
        <x:v>Tp Hồ Chí Minh</x:v>
      </x:c>
      <x:c r="D6519" s="2" t="str">
        <x:v>Huyện Nhà Bè</x:v>
      </x:c>
      <x:c r="E6519" s="2" t="str">
        <x:v>land</x:v>
      </x:c>
      <x:c r="F6519" s="2" t="str">
        <x:v>sale</x:v>
      </x:c>
      <x:c r="G6519" s="11" t="n">
        <x:v>83</x:v>
      </x:c>
      <x:c r="H6519" s="12" t="n">
        <x:v>3180000000</x:v>
      </x:c>
      <x:c r="I6519" s="12" t="n">
        <x:v>38313253.01204819</x:v>
      </x:c>
      <x:c r="J6519" s="2" t="str">
        <x:v>total</x:v>
      </x:c>
      <x:c r="K6519" s="2" t="str">
        <x:v>top_level_area</x:v>
      </x:c>
      <x:c r="L6519" s="2" t="str">
        <x:v>property_type_inferred_from_title</x:v>
      </x:c>
      <x:c r="M6519" s="10" t="n">
        <x:v>0</x:v>
      </x:c>
      <x:c r="N6519" s="10" t="n">
        <x:v>0</x:v>
      </x:c>
      <x:c r="O6519" s="2" t="str">
        <x:v>Tp Hồ Chí Minh|land</x:v>
      </x:c>
      <x:c r="P6519" s="10" t="n">
        <x:v>2</x:v>
      </x:c>
      <x:c r="Q6519" s="13" t="n">
        <x:f>IF(H6519="","",H6519/1000000000)</x:f>
        <x:v>3.18</x:v>
      </x:c>
      <x:c r="R6519" s="13" t="n">
        <x:f>IF(I6519="","",I6519/1000000)</x:f>
        <x:v>38.31325301204819</x:v>
      </x:c>
    </x:row>
    <x:row r="6520" ht="21" customHeight="1">
      <x:c r="A6520" s="10" t="n">
        <x:v>8410</x:v>
      </x:c>
      <x:c r="B6520" s="2" t="str">
        <x:v>9f2955c3082390756be2</x:v>
      </x:c>
      <x:c r="C6520" s="2" t="str">
        <x:v>Tp Hồ Chí Minh</x:v>
      </x:c>
      <x:c r="D6520" s="2" t="str">
        <x:v>Quận Tân Phú</x:v>
      </x:c>
      <x:c r="E6520" s="2" t="str">
        <x:v>apartment</x:v>
      </x:c>
      <x:c r="F6520" s="2" t="str">
        <x:v>sale_assumed</x:v>
      </x:c>
      <x:c r="G6520" s="11" t="n">
        <x:v>60</x:v>
      </x:c>
      <x:c r="H6520" s="12" t="n">
        <x:v>1950000000</x:v>
      </x:c>
      <x:c r="I6520" s="12" t="n">
        <x:v>32500000</x:v>
      </x:c>
      <x:c r="J6520" s="2" t="str">
        <x:v>total</x:v>
      </x:c>
      <x:c r="K6520" s="2" t="str">
        <x:v>top_level_price_embedded_area</x:v>
      </x:c>
      <x:c r="L6520" s="2" t="str">
        <x:v>area_recovered_from_price_text;property_type_inferred_from_title;transaction_assumed_sale_from_dataset_context</x:v>
      </x:c>
      <x:c r="M6520" s="10" t="n">
        <x:v>0</x:v>
      </x:c>
      <x:c r="N6520" s="10" t="n">
        <x:v>0</x:v>
      </x:c>
      <x:c r="O6520" s="2" t="str">
        <x:v>Tp Hồ Chí Minh|apartment</x:v>
      </x:c>
      <x:c r="P6520" s="10" t="n">
        <x:v>2</x:v>
      </x:c>
      <x:c r="Q6520" s="13" t="n">
        <x:f>IF(H6520="","",H6520/1000000000)</x:f>
        <x:v>1.95</x:v>
      </x:c>
      <x:c r="R6520" s="13" t="n">
        <x:f>IF(I6520="","",I6520/1000000)</x:f>
        <x:v>32.5</x:v>
      </x:c>
    </x:row>
    <x:row r="6521" ht="21" customHeight="1">
      <x:c r="A6521" s="10" t="n">
        <x:v>8411</x:v>
      </x:c>
      <x:c r="B6521" s="2" t="str">
        <x:v>f8ec308ceb74be2c5086</x:v>
      </x:c>
      <x:c r="C6521" s="2" t="str">
        <x:v>Tp Hồ Chí Minh</x:v>
      </x:c>
      <x:c r="D6521" s="2" t="str">
        <x:v>Quận Bình Tân</x:v>
      </x:c>
      <x:c r="E6521" s="2" t="str">
        <x:v>apartment</x:v>
      </x:c>
      <x:c r="F6521" s="2" t="str">
        <x:v>sale_assumed</x:v>
      </x:c>
      <x:c r="G6521" s="11" t="n">
        <x:v>34</x:v>
      </x:c>
      <x:c r="H6521" s="12" t="n">
        <x:v>520000000</x:v>
      </x:c>
      <x:c r="I6521" s="12" t="n">
        <x:v>15294117.647058824</x:v>
      </x:c>
      <x:c r="J6521" s="2" t="str">
        <x:v>total</x:v>
      </x:c>
      <x:c r="K6521" s="2" t="str">
        <x:v>top_level_area</x:v>
      </x:c>
      <x:c r="L6521" s="2" t="str">
        <x:v>property_type_inferred_from_title;transaction_assumed_sale_from_dataset_context</x:v>
      </x:c>
      <x:c r="M6521" s="10" t="n">
        <x:v>0</x:v>
      </x:c>
      <x:c r="N6521" s="10" t="n">
        <x:v>0</x:v>
      </x:c>
      <x:c r="O6521" s="2" t="str">
        <x:v>Tp Hồ Chí Minh|apartment</x:v>
      </x:c>
      <x:c r="P6521" s="10" t="n">
        <x:v>2</x:v>
      </x:c>
      <x:c r="Q6521" s="13" t="n">
        <x:f>IF(H6521="","",H6521/1000000000)</x:f>
        <x:v>0.52</x:v>
      </x:c>
      <x:c r="R6521" s="13" t="n">
        <x:f>IF(I6521="","",I6521/1000000)</x:f>
        <x:v>15.294117647058824</x:v>
      </x:c>
    </x:row>
    <x:row r="6522" ht="21" customHeight="1">
      <x:c r="A6522" s="10" t="n">
        <x:v>8412</x:v>
      </x:c>
      <x:c r="B6522" s="2" t="str">
        <x:v>0a66a76b32eecaa8bd1e</x:v>
      </x:c>
      <x:c r="C6522" s="2" t="str">
        <x:v>Đồng Nai</x:v>
      </x:c>
      <x:c r="D6522" s="2" t="str">
        <x:v>Thành phố Biên Hòa</x:v>
      </x:c>
      <x:c r="E6522" s="2" t="str">
        <x:v>house</x:v>
      </x:c>
      <x:c r="F6522" s="2" t="str">
        <x:v>sale_assumed</x:v>
      </x:c>
      <x:c r="G6522" s="11" t="n">
        <x:v>87</x:v>
      </x:c>
      <x:c r="H6522" s="12" t="n">
        <x:v>2700000000</x:v>
      </x:c>
      <x:c r="I6522" s="12" t="n">
        <x:v>31034482.75862069</x:v>
      </x:c>
      <x:c r="J6522" s="2" t="str">
        <x:v>total</x:v>
      </x:c>
      <x:c r="K6522" s="2" t="str">
        <x:v>top_level_area</x:v>
      </x:c>
      <x:c r="L6522" s="2" t="str">
        <x:v>property_type_inferred_from_title;transaction_assumed_sale_from_dataset_context</x:v>
      </x:c>
      <x:c r="M6522" s="10" t="n">
        <x:v>0</x:v>
      </x:c>
      <x:c r="N6522" s="10" t="n">
        <x:v>0</x:v>
      </x:c>
      <x:c r="O6522" s="2" t="str">
        <x:v>Đồng Nai|house</x:v>
      </x:c>
      <x:c r="P6522" s="10" t="n">
        <x:v>2</x:v>
      </x:c>
      <x:c r="Q6522" s="13" t="n">
        <x:f>IF(H6522="","",H6522/1000000000)</x:f>
        <x:v>2.7</x:v>
      </x:c>
      <x:c r="R6522" s="13" t="n">
        <x:f>IF(I6522="","",I6522/1000000)</x:f>
        <x:v>31.03448275862069</x:v>
      </x:c>
    </x:row>
    <x:row r="6523" ht="21" customHeight="1">
      <x:c r="A6523" s="10" t="n">
        <x:v>8413</x:v>
      </x:c>
      <x:c r="B6523" s="2" t="str">
        <x:v>4c8c5c07cbcdc015056a</x:v>
      </x:c>
      <x:c r="C6523" s="2" t="str">
        <x:v>Đồng Nai</x:v>
      </x:c>
      <x:c r="D6523" s="2" t="str">
        <x:v>Huyện Trảng Bom</x:v>
      </x:c>
      <x:c r="E6523" s="2" t="str">
        <x:v>land</x:v>
      </x:c>
      <x:c r="F6523" s="2" t="str">
        <x:v>sale_assumed</x:v>
      </x:c>
      <x:c r="G6523" s="11" t="n">
        <x:v>100</x:v>
      </x:c>
      <x:c r="H6523" s="12" t="n">
        <x:v>310000000</x:v>
      </x:c>
      <x:c r="I6523" s="12" t="n">
        <x:v>3100000</x:v>
      </x:c>
      <x:c r="J6523" s="2" t="str">
        <x:v>total</x:v>
      </x:c>
      <x:c r="K6523" s="2" t="str">
        <x:v>top_level_area</x:v>
      </x:c>
      <x:c r="L6523" s="2" t="str">
        <x:v>property_type_inferred_from_title;transaction_assumed_sale_from_dataset_context</x:v>
      </x:c>
      <x:c r="M6523" s="10" t="n">
        <x:v>0</x:v>
      </x:c>
      <x:c r="N6523" s="10" t="n">
        <x:v>0</x:v>
      </x:c>
      <x:c r="O6523" s="2" t="str">
        <x:v>Đồng Nai|land</x:v>
      </x:c>
      <x:c r="P6523" s="10" t="n">
        <x:v>2</x:v>
      </x:c>
      <x:c r="Q6523" s="13" t="n">
        <x:f>IF(H6523="","",H6523/1000000000)</x:f>
        <x:v>0.31</x:v>
      </x:c>
      <x:c r="R6523" s="13" t="n">
        <x:f>IF(I6523="","",I6523/1000000)</x:f>
        <x:v>3.1</x:v>
      </x:c>
    </x:row>
    <x:row r="6524" ht="21" customHeight="1">
      <x:c r="A6524" s="10" t="n">
        <x:v>8414</x:v>
      </x:c>
      <x:c r="B6524" s="2" t="str">
        <x:v>e0de8ef5b66470c66292</x:v>
      </x:c>
      <x:c r="C6524" s="2" t="str">
        <x:v>Hà Nội</x:v>
      </x:c>
      <x:c r="D6524" s="2" t="str">
        <x:v>Quận Hà Đông</x:v>
      </x:c>
      <x:c r="E6524" s="2" t="str">
        <x:v>other_unknown</x:v>
      </x:c>
      <x:c r="F6524" s="2" t="str">
        <x:v>sale_assumed</x:v>
      </x:c>
      <x:c r="G6524" s="11" t="n">
        <x:v>46</x:v>
      </x:c>
      <x:c r="H6524" s="12" t="n">
        <x:v>830000000</x:v>
      </x:c>
      <x:c r="I6524" s="12" t="n">
        <x:v>18043478.260869566</x:v>
      </x:c>
      <x:c r="J6524" s="2" t="str">
        <x:v>total</x:v>
      </x:c>
      <x:c r="K6524" s="2" t="str">
        <x:v>top_level_area</x:v>
      </x:c>
      <x:c r="L6524" s="2" t="str">
        <x:v>property_type_inferred_from_title;transaction_assumed_sale_from_dataset_context;unknown_property_type</x:v>
      </x:c>
      <x:c r="M6524" s="10" t="n">
        <x:v>0</x:v>
      </x:c>
      <x:c r="N6524" s="10" t="n">
        <x:v>0</x:v>
      </x:c>
      <x:c r="O6524" s="2" t="str">
        <x:v>Hà Nội|other_unknown</x:v>
      </x:c>
      <x:c r="P6524" s="10" t="n">
        <x:v>2</x:v>
      </x:c>
      <x:c r="Q6524" s="13" t="n">
        <x:f>IF(H6524="","",H6524/1000000000)</x:f>
        <x:v>0.83</x:v>
      </x:c>
      <x:c r="R6524" s="13" t="n">
        <x:f>IF(I6524="","",I6524/1000000)</x:f>
        <x:v>18.043478260869566</x:v>
      </x:c>
    </x:row>
    <x:row r="6525" ht="21" customHeight="1">
      <x:c r="A6525" s="10" t="n">
        <x:v>8418</x:v>
      </x:c>
      <x:c r="B6525" s="2" t="str">
        <x:v>7b8bd49bef9f5876a550</x:v>
      </x:c>
      <x:c r="C6525" s="2" t="str">
        <x:v>Thừa Thiên Huế</x:v>
      </x:c>
      <x:c r="D6525" s="2" t="str">
        <x:v>Thành phố Huế</x:v>
      </x:c>
      <x:c r="E6525" s="2" t="str">
        <x:v>house</x:v>
      </x:c>
      <x:c r="F6525" s="2" t="str">
        <x:v>sale</x:v>
      </x:c>
      <x:c r="G6525" s="11" t="n">
        <x:v>114</x:v>
      </x:c>
      <x:c r="H6525" s="12" t="n">
        <x:v>1650000000</x:v>
      </x:c>
      <x:c r="I6525" s="12" t="n">
        <x:v>14473684.210526315</x:v>
      </x:c>
      <x:c r="J6525" s="2" t="str">
        <x:v>total</x:v>
      </x:c>
      <x:c r="K6525" s="2" t="str">
        <x:v>top_level_area</x:v>
      </x:c>
      <x:c r="L6525" s="2" t="str">
        <x:v>property_type_inferred_from_title</x:v>
      </x:c>
      <x:c r="M6525" s="10" t="n">
        <x:v>0</x:v>
      </x:c>
      <x:c r="N6525" s="10" t="n">
        <x:v>0</x:v>
      </x:c>
      <x:c r="O6525" s="2" t="str">
        <x:v>house</x:v>
      </x:c>
      <x:c r="P6525" s="10" t="n">
        <x:v>2</x:v>
      </x:c>
      <x:c r="Q6525" s="13" t="n">
        <x:f>IF(H6525="","",H6525/1000000000)</x:f>
        <x:v>1.65</x:v>
      </x:c>
      <x:c r="R6525" s="13" t="n">
        <x:f>IF(I6525="","",I6525/1000000)</x:f>
        <x:v>14.473684210526315</x:v>
      </x:c>
    </x:row>
    <x:row r="6526" ht="21" customHeight="1">
      <x:c r="A6526" s="10" t="n">
        <x:v>8419</x:v>
      </x:c>
      <x:c r="B6526" s="2" t="str">
        <x:v>66a13587384166e67adf</x:v>
      </x:c>
      <x:c r="C6526" s="2" t="str">
        <x:v>Đà Nẵng</x:v>
      </x:c>
      <x:c r="D6526" s="2" t="str">
        <x:v>Quận Hải Châu</x:v>
      </x:c>
      <x:c r="E6526" s="2" t="str">
        <x:v>house</x:v>
      </x:c>
      <x:c r="F6526" s="2" t="str">
        <x:v>sale_assumed</x:v>
      </x:c>
      <x:c r="G6526" s="11" t="n">
        <x:v>64</x:v>
      </x:c>
      <x:c r="H6526" s="12" t="n">
        <x:v>5100000000</x:v>
      </x:c>
      <x:c r="I6526" s="12" t="n">
        <x:v>79687500</x:v>
      </x:c>
      <x:c r="J6526" s="2" t="str">
        <x:v>total</x:v>
      </x:c>
      <x:c r="K6526" s="2" t="str">
        <x:v>top_level_area</x:v>
      </x:c>
      <x:c r="L6526" s="2" t="str">
        <x:v>property_type_inferred_from_title;transaction_assumed_sale_from_dataset_context</x:v>
      </x:c>
      <x:c r="M6526" s="10" t="n">
        <x:v>0</x:v>
      </x:c>
      <x:c r="N6526" s="10" t="n">
        <x:v>0</x:v>
      </x:c>
      <x:c r="O6526" s="2" t="str">
        <x:v>Đà Nẵng|house</x:v>
      </x:c>
      <x:c r="P6526" s="10" t="n">
        <x:v>2</x:v>
      </x:c>
      <x:c r="Q6526" s="13" t="n">
        <x:f>IF(H6526="","",H6526/1000000000)</x:f>
        <x:v>5.1</x:v>
      </x:c>
      <x:c r="R6526" s="13" t="n">
        <x:f>IF(I6526="","",I6526/1000000)</x:f>
        <x:v>79.6875</x:v>
      </x:c>
    </x:row>
    <x:row r="6527" ht="21" customHeight="1">
      <x:c r="A6527" s="10" t="n">
        <x:v>8420</x:v>
      </x:c>
      <x:c r="B6527" s="2" t="str">
        <x:v>f7e53cbe4bfdf8e10e63</x:v>
      </x:c>
      <x:c r="C6527" s="2" t="str">
        <x:v>Tp Hồ Chí Minh</x:v>
      </x:c>
      <x:c r="D6527" s="2" t="str">
        <x:v>Quận Phú Nhuận</x:v>
      </x:c>
      <x:c r="E6527" s="2" t="str">
        <x:v>other_unknown</x:v>
      </x:c>
      <x:c r="F6527" s="2" t="str">
        <x:v>sale_assumed</x:v>
      </x:c>
      <x:c r="G6527" s="11" t="n">
        <x:v>109</x:v>
      </x:c>
      <x:c r="H6527" s="12" t="n">
        <x:v>6200000000</x:v>
      </x:c>
      <x:c r="I6527" s="12" t="n">
        <x:v>56880733.94495413</x:v>
      </x:c>
      <x:c r="J6527" s="2" t="str">
        <x:v>total</x:v>
      </x:c>
      <x:c r="K6527" s="2" t="str">
        <x:v>top_level_area</x:v>
      </x:c>
      <x:c r="L6527" s="2" t="str">
        <x:v>property_type_inferred_from_title;transaction_assumed_sale_from_dataset_context;unknown_property_type</x:v>
      </x:c>
      <x:c r="M6527" s="10" t="n">
        <x:v>0</x:v>
      </x:c>
      <x:c r="N6527" s="10" t="n">
        <x:v>0</x:v>
      </x:c>
      <x:c r="O6527" s="2" t="str">
        <x:v>Tp Hồ Chí Minh|other_unknown</x:v>
      </x:c>
      <x:c r="P6527" s="10" t="n">
        <x:v>2</x:v>
      </x:c>
      <x:c r="Q6527" s="13" t="n">
        <x:f>IF(H6527="","",H6527/1000000000)</x:f>
        <x:v>6.2</x:v>
      </x:c>
      <x:c r="R6527" s="13" t="n">
        <x:f>IF(I6527="","",I6527/1000000)</x:f>
        <x:v>56.88073394495413</x:v>
      </x:c>
    </x:row>
    <x:row r="6528" ht="21" customHeight="1">
      <x:c r="A6528" s="10" t="n">
        <x:v>8421</x:v>
      </x:c>
      <x:c r="B6528" s="2" t="str">
        <x:v>94073cdc0add7ea04630</x:v>
      </x:c>
      <x:c r="C6528" s="2" t="str">
        <x:v>Tp Hồ Chí Minh</x:v>
      </x:c>
      <x:c r="D6528" s="2" t="str">
        <x:v>Quận 2</x:v>
      </x:c>
      <x:c r="E6528" s="2" t="str">
        <x:v>apartment</x:v>
      </x:c>
      <x:c r="F6528" s="2" t="str">
        <x:v>sale_assumed</x:v>
      </x:c>
      <x:c r="G6528" s="11" t="n">
        <x:v>102</x:v>
      </x:c>
      <x:c r="H6528" s="12" t="n">
        <x:v>6300000000</x:v>
      </x:c>
      <x:c r="I6528" s="12" t="n">
        <x:v>61764705.88235294</x:v>
      </x:c>
      <x:c r="J6528" s="2" t="str">
        <x:v>total</x:v>
      </x:c>
      <x:c r="K6528" s="2" t="str">
        <x:v>top_level_area</x:v>
      </x:c>
      <x:c r="L6528" s="2" t="str">
        <x:v>property_type_inferred_from_title;transaction_assumed_sale_from_dataset_context</x:v>
      </x:c>
      <x:c r="M6528" s="10" t="n">
        <x:v>0</x:v>
      </x:c>
      <x:c r="N6528" s="10" t="n">
        <x:v>0</x:v>
      </x:c>
      <x:c r="O6528" s="2" t="str">
        <x:v>Tp Hồ Chí Minh|apartment</x:v>
      </x:c>
      <x:c r="P6528" s="10" t="n">
        <x:v>2</x:v>
      </x:c>
      <x:c r="Q6528" s="13" t="n">
        <x:f>IF(H6528="","",H6528/1000000000)</x:f>
        <x:v>6.3</x:v>
      </x:c>
      <x:c r="R6528" s="13" t="n">
        <x:f>IF(I6528="","",I6528/1000000)</x:f>
        <x:v>61.76470588235294</x:v>
      </x:c>
    </x:row>
    <x:row r="6529" ht="21" customHeight="1">
      <x:c r="A6529" s="10" t="n">
        <x:v>8422</x:v>
      </x:c>
      <x:c r="B6529" s="2" t="str">
        <x:v>530eac4df6bf10d883e8</x:v>
      </x:c>
      <x:c r="C6529" s="2" t="str">
        <x:v>Hà Nội</x:v>
      </x:c>
      <x:c r="D6529" s="2" t="str">
        <x:v>Quận Thanh Xuân</x:v>
      </x:c>
      <x:c r="E6529" s="2" t="str">
        <x:v>house</x:v>
      </x:c>
      <x:c r="F6529" s="2" t="str">
        <x:v>sale</x:v>
      </x:c>
      <x:c r="G6529" s="11" t="n">
        <x:v>50</x:v>
      </x:c>
      <x:c r="H6529" s="12" t="n">
        <x:v>1200000000</x:v>
      </x:c>
      <x:c r="I6529" s="12" t="n">
        <x:v>24000000</x:v>
      </x:c>
      <x:c r="J6529" s="2" t="str">
        <x:v>total</x:v>
      </x:c>
      <x:c r="K6529" s="2" t="str">
        <x:v>top_level_area</x:v>
      </x:c>
      <x:c r="L6529" s="2" t="str">
        <x:v>property_type_inferred_from_title</x:v>
      </x:c>
      <x:c r="M6529" s="10" t="n">
        <x:v>0</x:v>
      </x:c>
      <x:c r="N6529" s="10" t="n">
        <x:v>0</x:v>
      </x:c>
      <x:c r="O6529" s="2" t="str">
        <x:v>Hà Nội|house</x:v>
      </x:c>
      <x:c r="P6529" s="10" t="n">
        <x:v>2</x:v>
      </x:c>
      <x:c r="Q6529" s="13" t="n">
        <x:f>IF(H6529="","",H6529/1000000000)</x:f>
        <x:v>1.2</x:v>
      </x:c>
      <x:c r="R6529" s="13" t="n">
        <x:f>IF(I6529="","",I6529/1000000)</x:f>
        <x:v>24</x:v>
      </x:c>
    </x:row>
    <x:row r="6530" ht="21" customHeight="1">
      <x:c r="A6530" s="10" t="n">
        <x:v>8423</x:v>
      </x:c>
      <x:c r="B6530" s="2" t="str">
        <x:v>db83e5de40ce3b560be9</x:v>
      </x:c>
      <x:c r="C6530" s="2" t="str">
        <x:v>Lâm Đồng</x:v>
      </x:c>
      <x:c r="D6530" s="2" t="str">
        <x:v>Huyện Bảo Lâm</x:v>
      </x:c>
      <x:c r="E6530" s="2" t="str">
        <x:v>other_unknown</x:v>
      </x:c>
      <x:c r="F6530" s="2" t="str">
        <x:v>sale_assumed</x:v>
      </x:c>
      <x:c r="G6530" s="11" t="n">
        <x:v>220</x:v>
      </x:c>
      <x:c r="H6530" s="12" t="n">
        <x:v>1200000000</x:v>
      </x:c>
      <x:c r="I6530" s="12" t="n">
        <x:v>5454545.454545454</x:v>
      </x:c>
      <x:c r="J6530" s="2" t="str">
        <x:v>total</x:v>
      </x:c>
      <x:c r="K6530" s="2" t="str">
        <x:v>top_level_area</x:v>
      </x:c>
      <x:c r="L6530" s="2" t="str">
        <x:v>property_type_inferred_from_title;transaction_assumed_sale_from_dataset_context;unknown_property_type</x:v>
      </x:c>
      <x:c r="M6530" s="10" t="n">
        <x:v>0</x:v>
      </x:c>
      <x:c r="N6530" s="10" t="n">
        <x:v>0</x:v>
      </x:c>
      <x:c r="O6530" s="2" t="str">
        <x:v>other_unknown</x:v>
      </x:c>
      <x:c r="P6530" s="10" t="n">
        <x:v>1</x:v>
      </x:c>
      <x:c r="Q6530" s="13" t="n">
        <x:f>IF(H6530="","",H6530/1000000000)</x:f>
        <x:v>1.2</x:v>
      </x:c>
      <x:c r="R6530" s="13" t="n">
        <x:f>IF(I6530="","",I6530/1000000)</x:f>
        <x:v>5.454545454545454</x:v>
      </x:c>
    </x:row>
    <x:row r="6531" ht="21" customHeight="1">
      <x:c r="A6531" s="10" t="n">
        <x:v>8424</x:v>
      </x:c>
      <x:c r="B6531" s="2" t="str">
        <x:v>22782ef33f924a409034</x:v>
      </x:c>
      <x:c r="C6531" s="2" t="str">
        <x:v>Đà Nẵng</x:v>
      </x:c>
      <x:c r="D6531" s="2" t="str">
        <x:v>Quận Ngũ Hành Sơn</x:v>
      </x:c>
      <x:c r="E6531" s="2" t="str">
        <x:v>other_unknown</x:v>
      </x:c>
      <x:c r="F6531" s="2" t="str">
        <x:v>sale_assumed</x:v>
      </x:c>
      <x:c r="G6531" s="11" t="n">
        <x:v>72</x:v>
      </x:c>
      <x:c r="H6531" s="12" t="n">
        <x:v>1350000000</x:v>
      </x:c>
      <x:c r="I6531" s="12" t="n">
        <x:v>18750000</x:v>
      </x:c>
      <x:c r="J6531" s="2" t="str">
        <x:v>total</x:v>
      </x:c>
      <x:c r="K6531" s="2" t="str">
        <x:v>top_level_area</x:v>
      </x:c>
      <x:c r="L6531" s="2" t="str">
        <x:v>property_type_inferred_from_title;transaction_assumed_sale_from_dataset_context;unknown_property_type</x:v>
      </x:c>
      <x:c r="M6531" s="10" t="n">
        <x:v>0</x:v>
      </x:c>
      <x:c r="N6531" s="10" t="n">
        <x:v>0</x:v>
      </x:c>
      <x:c r="O6531" s="2" t="str">
        <x:v>Đà Nẵng|other_unknown</x:v>
      </x:c>
      <x:c r="P6531" s="10" t="n">
        <x:v>2</x:v>
      </x:c>
      <x:c r="Q6531" s="13" t="n">
        <x:f>IF(H6531="","",H6531/1000000000)</x:f>
        <x:v>1.35</x:v>
      </x:c>
      <x:c r="R6531" s="13" t="n">
        <x:f>IF(I6531="","",I6531/1000000)</x:f>
        <x:v>18.75</x:v>
      </x:c>
    </x:row>
    <x:row r="6532" ht="21" customHeight="1">
      <x:c r="A6532" s="10" t="n">
        <x:v>8425</x:v>
      </x:c>
      <x:c r="B6532" s="2" t="str">
        <x:v>c0691cb42978024497f0</x:v>
      </x:c>
      <x:c r="C6532" s="2" t="str">
        <x:v>Đà Nẵng</x:v>
      </x:c>
      <x:c r="D6532" s="2" t="str">
        <x:v>Quận Thanh Khê</x:v>
      </x:c>
      <x:c r="E6532" s="2" t="str">
        <x:v>house</x:v>
      </x:c>
      <x:c r="F6532" s="2" t="str">
        <x:v>sale_assumed</x:v>
      </x:c>
      <x:c r="G6532" s="11" t="n">
        <x:v>80</x:v>
      </x:c>
      <x:c r="H6532" s="12" t="n">
        <x:v>3000000000</x:v>
      </x:c>
      <x:c r="I6532" s="12" t="n">
        <x:v>37500000</x:v>
      </x:c>
      <x:c r="J6532" s="2" t="str">
        <x:v>total</x:v>
      </x:c>
      <x:c r="K6532" s="2" t="str">
        <x:v>top_level_price_embedded_area</x:v>
      </x:c>
      <x:c r="L6532" s="2" t="str">
        <x:v>area_recovered_from_price_text;property_type_inferred_from_title;transaction_assumed_sale_from_dataset_context</x:v>
      </x:c>
      <x:c r="M6532" s="10" t="n">
        <x:v>0</x:v>
      </x:c>
      <x:c r="N6532" s="10" t="n">
        <x:v>0</x:v>
      </x:c>
      <x:c r="O6532" s="2" t="str">
        <x:v>Đà Nẵng|house</x:v>
      </x:c>
      <x:c r="P6532" s="10" t="n">
        <x:v>2</x:v>
      </x:c>
      <x:c r="Q6532" s="13" t="n">
        <x:f>IF(H6532="","",H6532/1000000000)</x:f>
        <x:v>3</x:v>
      </x:c>
      <x:c r="R6532" s="13" t="n">
        <x:f>IF(I6532="","",I6532/1000000)</x:f>
        <x:v>37.5</x:v>
      </x:c>
    </x:row>
    <x:row r="6533" ht="21" customHeight="1">
      <x:c r="A6533" s="10" t="n">
        <x:v>8426</x:v>
      </x:c>
      <x:c r="B6533" s="2" t="str">
        <x:v>a62e570445c9df64867d</x:v>
      </x:c>
      <x:c r="C6533" s="2" t="str">
        <x:v>Tp Hồ Chí Minh</x:v>
      </x:c>
      <x:c r="D6533" s="2" t="str">
        <x:v>Quận 9</x:v>
      </x:c>
      <x:c r="E6533" s="2" t="str">
        <x:v>land</x:v>
      </x:c>
      <x:c r="F6533" s="2" t="str">
        <x:v>sale_assumed</x:v>
      </x:c>
      <x:c r="G6533" s="11" t="n">
        <x:v>110</x:v>
      </x:c>
      <x:c r="H6533" s="12" t="n">
        <x:v>3700000000</x:v>
      </x:c>
      <x:c r="I6533" s="12" t="n">
        <x:v>33636363.63636363</x:v>
      </x:c>
      <x:c r="J6533" s="2" t="str">
        <x:v>total</x:v>
      </x:c>
      <x:c r="K6533" s="2" t="str">
        <x:v>top_level_area</x:v>
      </x:c>
      <x:c r="L6533" s="2" t="str">
        <x:v>property_type_inferred_from_title;transaction_assumed_sale_from_dataset_context</x:v>
      </x:c>
      <x:c r="M6533" s="10" t="n">
        <x:v>0</x:v>
      </x:c>
      <x:c r="N6533" s="10" t="n">
        <x:v>0</x:v>
      </x:c>
      <x:c r="O6533" s="2" t="str">
        <x:v>Tp Hồ Chí Minh|land</x:v>
      </x:c>
      <x:c r="P6533" s="10" t="n">
        <x:v>2</x:v>
      </x:c>
      <x:c r="Q6533" s="13" t="n">
        <x:f>IF(H6533="","",H6533/1000000000)</x:f>
        <x:v>3.7</x:v>
      </x:c>
      <x:c r="R6533" s="13" t="n">
        <x:f>IF(I6533="","",I6533/1000000)</x:f>
        <x:v>33.63636363636363</x:v>
      </x:c>
    </x:row>
    <x:row r="6534" ht="21" customHeight="1">
      <x:c r="A6534" s="10" t="n">
        <x:v>8427</x:v>
      </x:c>
      <x:c r="B6534" s="2" t="str">
        <x:v>7db11301f98860933156</x:v>
      </x:c>
      <x:c r="C6534" s="2" t="str">
        <x:v>Tp Hồ Chí Minh</x:v>
      </x:c>
      <x:c r="D6534" s="2" t="str">
        <x:v>Quận 3</x:v>
      </x:c>
      <x:c r="E6534" s="2" t="str">
        <x:v>house</x:v>
      </x:c>
      <x:c r="F6534" s="2" t="str">
        <x:v>sale</x:v>
      </x:c>
      <x:c r="G6534" s="11" t="n">
        <x:v>93</x:v>
      </x:c>
      <x:c r="H6534" s="12" t="n">
        <x:v>14500000000</x:v>
      </x:c>
      <x:c r="I6534" s="12" t="n">
        <x:v>155913978.49462366</x:v>
      </x:c>
      <x:c r="J6534" s="2" t="str">
        <x:v>total</x:v>
      </x:c>
      <x:c r="K6534" s="2" t="str">
        <x:v>top_level_area</x:v>
      </x:c>
      <x:c r="L6534" s="2" t="str">
        <x:v>property_type_inferred_from_title</x:v>
      </x:c>
      <x:c r="M6534" s="10" t="n">
        <x:v>0</x:v>
      </x:c>
      <x:c r="N6534" s="10" t="n">
        <x:v>0</x:v>
      </x:c>
      <x:c r="O6534" s="2" t="str">
        <x:v>Tp Hồ Chí Minh|house</x:v>
      </x:c>
      <x:c r="P6534" s="10" t="n">
        <x:v>2</x:v>
      </x:c>
      <x:c r="Q6534" s="13" t="n">
        <x:f>IF(H6534="","",H6534/1000000000)</x:f>
        <x:v>14.5</x:v>
      </x:c>
      <x:c r="R6534" s="13" t="n">
        <x:f>IF(I6534="","",I6534/1000000)</x:f>
        <x:v>155.91397849462365</x:v>
      </x:c>
    </x:row>
    <x:row r="6535" ht="21" customHeight="1">
      <x:c r="A6535" s="10" t="n">
        <x:v>8428</x:v>
      </x:c>
      <x:c r="B6535" s="2" t="str">
        <x:v>88554fee8a5f586f85be</x:v>
      </x:c>
      <x:c r="C6535" s="2" t="str">
        <x:v>Tp Hồ Chí Minh</x:v>
      </x:c>
      <x:c r="D6535" s="2" t="str">
        <x:v>Quận Tân Bình</x:v>
      </x:c>
      <x:c r="E6535" s="2" t="str">
        <x:v>house</x:v>
      </x:c>
      <x:c r="F6535" s="2" t="str">
        <x:v>sale</x:v>
      </x:c>
      <x:c r="G6535" s="11" t="n">
        <x:v>110</x:v>
      </x:c>
      <x:c r="H6535" s="12" t="n">
        <x:v>15500000000</x:v>
      </x:c>
      <x:c r="I6535" s="12" t="n">
        <x:v>140909090.9090909</x:v>
      </x:c>
      <x:c r="J6535" s="2" t="str">
        <x:v>total</x:v>
      </x:c>
      <x:c r="K6535" s="2" t="str">
        <x:v>top_level_area</x:v>
      </x:c>
      <x:c r="L6535" s="2" t="str">
        <x:v>property_type_inferred_from_title</x:v>
      </x:c>
      <x:c r="M6535" s="10" t="n">
        <x:v>0</x:v>
      </x:c>
      <x:c r="N6535" s="10" t="n">
        <x:v>0</x:v>
      </x:c>
      <x:c r="O6535" s="2" t="str">
        <x:v>Tp Hồ Chí Minh|house</x:v>
      </x:c>
      <x:c r="P6535" s="10" t="n">
        <x:v>2</x:v>
      </x:c>
      <x:c r="Q6535" s="13" t="n">
        <x:f>IF(H6535="","",H6535/1000000000)</x:f>
        <x:v>15.5</x:v>
      </x:c>
      <x:c r="R6535" s="13" t="n">
        <x:f>IF(I6535="","",I6535/1000000)</x:f>
        <x:v>140.9090909090909</x:v>
      </x:c>
    </x:row>
    <x:row r="6536" ht="21" customHeight="1">
      <x:c r="A6536" s="10" t="n">
        <x:v>8429</x:v>
      </x:c>
      <x:c r="B6536" s="2" t="str">
        <x:v>7722ffe7e22ef085cb51</x:v>
      </x:c>
      <x:c r="C6536" s="2" t="str">
        <x:v>Cần Thơ</x:v>
      </x:c>
      <x:c r="D6536" s="2" t="str">
        <x:v>Quận Ninh Kiều</x:v>
      </x:c>
      <x:c r="E6536" s="2" t="str">
        <x:v>land</x:v>
      </x:c>
      <x:c r="F6536" s="2" t="str">
        <x:v>sale</x:v>
      </x:c>
      <x:c r="G6536" s="11" t="n">
        <x:v>46.5</x:v>
      </x:c>
      <x:c r="H6536" s="12" t="n">
        <x:v>2049999999.9999998</x:v>
      </x:c>
      <x:c r="I6536" s="12" t="n">
        <x:v>44086021.50537634</x:v>
      </x:c>
      <x:c r="J6536" s="2" t="str">
        <x:v>total</x:v>
      </x:c>
      <x:c r="K6536" s="2" t="str">
        <x:v>top_level_area</x:v>
      </x:c>
      <x:c r="L6536" s="2" t="str">
        <x:v>property_type_inferred_from_title</x:v>
      </x:c>
      <x:c r="M6536" s="10" t="n">
        <x:v>0</x:v>
      </x:c>
      <x:c r="N6536" s="10" t="n">
        <x:v>0</x:v>
      </x:c>
      <x:c r="O6536" s="2" t="str">
        <x:v>Cần Thơ|land</x:v>
      </x:c>
      <x:c r="P6536" s="10" t="n">
        <x:v>2</x:v>
      </x:c>
      <x:c r="Q6536" s="13" t="n">
        <x:f>IF(H6536="","",H6536/1000000000)</x:f>
        <x:v>2.05</x:v>
      </x:c>
      <x:c r="R6536" s="13" t="n">
        <x:f>IF(I6536="","",I6536/1000000)</x:f>
        <x:v>44.08602150537634</x:v>
      </x:c>
    </x:row>
    <x:row r="6537" ht="21" customHeight="1">
      <x:c r="A6537" s="10" t="n">
        <x:v>8430</x:v>
      </x:c>
      <x:c r="B6537" s="2" t="str">
        <x:v>fb055ad8cc656f1161a7</x:v>
      </x:c>
      <x:c r="C6537" s="2" t="str">
        <x:v>Tp Hồ Chí Minh</x:v>
      </x:c>
      <x:c r="D6537" s="2" t="str">
        <x:v>Quận Gò Vấp</x:v>
      </x:c>
      <x:c r="E6537" s="2" t="str">
        <x:v>house</x:v>
      </x:c>
      <x:c r="F6537" s="2" t="str">
        <x:v>sale</x:v>
      </x:c>
      <x:c r="G6537" s="11" t="n">
        <x:v>75</x:v>
      </x:c>
      <x:c r="H6537" s="12" t="n">
        <x:v>6800000000</x:v>
      </x:c>
      <x:c r="I6537" s="12" t="n">
        <x:v>90666666.66666667</x:v>
      </x:c>
      <x:c r="J6537" s="2" t="str">
        <x:v>total</x:v>
      </x:c>
      <x:c r="K6537" s="2" t="str">
        <x:v>top_level_area</x:v>
      </x:c>
      <x:c r="L6537" s="2" t="str">
        <x:v>property_type_inferred_from_title</x:v>
      </x:c>
      <x:c r="M6537" s="10" t="n">
        <x:v>0</x:v>
      </x:c>
      <x:c r="N6537" s="10" t="n">
        <x:v>0</x:v>
      </x:c>
      <x:c r="O6537" s="2" t="str">
        <x:v>Tp Hồ Chí Minh|house</x:v>
      </x:c>
      <x:c r="P6537" s="10" t="n">
        <x:v>2</x:v>
      </x:c>
      <x:c r="Q6537" s="13" t="n">
        <x:f>IF(H6537="","",H6537/1000000000)</x:f>
        <x:v>6.8</x:v>
      </x:c>
      <x:c r="R6537" s="13" t="n">
        <x:f>IF(I6537="","",I6537/1000000)</x:f>
        <x:v>90.66666666666667</x:v>
      </x:c>
    </x:row>
    <x:row r="6538" ht="21" customHeight="1">
      <x:c r="A6538" s="10" t="n">
        <x:v>8431</x:v>
      </x:c>
      <x:c r="B6538" s="2" t="str">
        <x:v>2b444e29e037dc6669be</x:v>
      </x:c>
      <x:c r="C6538" s="2" t="str">
        <x:v>Bình Thuận</x:v>
      </x:c>
      <x:c r="D6538" s="2" t="str">
        <x:v>Thành phố Phan Thiết</x:v>
      </x:c>
      <x:c r="E6538" s="2" t="str">
        <x:v>land</x:v>
      </x:c>
      <x:c r="F6538" s="2" t="str">
        <x:v>sale_assumed</x:v>
      </x:c>
      <x:c r="G6538" s="11" t="n">
        <x:v>102</x:v>
      </x:c>
      <x:c r="H6538" s="12" t="n">
        <x:v>4000000000</x:v>
      </x:c>
      <x:c r="I6538" s="12" t="n">
        <x:v>39215686.2745098</x:v>
      </x:c>
      <x:c r="J6538" s="2" t="str">
        <x:v>total</x:v>
      </x:c>
      <x:c r="K6538" s="2" t="str">
        <x:v>top_level_area</x:v>
      </x:c>
      <x:c r="L6538" s="2" t="str">
        <x:v>property_type_inferred_from_title;transaction_assumed_sale_from_dataset_context</x:v>
      </x:c>
      <x:c r="M6538" s="10" t="n">
        <x:v>0</x:v>
      </x:c>
      <x:c r="N6538" s="10" t="n">
        <x:v>0</x:v>
      </x:c>
      <x:c r="O6538" s="2" t="str">
        <x:v>land</x:v>
      </x:c>
      <x:c r="P6538" s="10" t="n">
        <x:v>2</x:v>
      </x:c>
      <x:c r="Q6538" s="13" t="n">
        <x:f>IF(H6538="","",H6538/1000000000)</x:f>
        <x:v>4</x:v>
      </x:c>
      <x:c r="R6538" s="13" t="n">
        <x:f>IF(I6538="","",I6538/1000000)</x:f>
        <x:v>39.2156862745098</x:v>
      </x:c>
    </x:row>
    <x:row r="6539" ht="21" customHeight="1">
      <x:c r="A6539" s="10" t="n">
        <x:v>8432</x:v>
      </x:c>
      <x:c r="B6539" s="2" t="str">
        <x:v>25dc360175cbd04d0658</x:v>
      </x:c>
      <x:c r="C6539" s="2" t="str">
        <x:v>Đồng Nai</x:v>
      </x:c>
      <x:c r="D6539" s="2" t="str">
        <x:v>Huyện Định Quán</x:v>
      </x:c>
      <x:c r="E6539" s="2" t="str">
        <x:v>land</x:v>
      </x:c>
      <x:c r="F6539" s="2" t="str">
        <x:v>sale</x:v>
      </x:c>
      <x:c r="G6539" s="11" t="n">
        <x:v>3606</x:v>
      </x:c>
      <x:c r="H6539" s="12" t="n">
        <x:v>2049999999.9999998</x:v>
      </x:c>
      <x:c r="I6539" s="12" t="n">
        <x:v>568496.9495285634</x:v>
      </x:c>
      <x:c r="J6539" s="2" t="str">
        <x:v>total</x:v>
      </x:c>
      <x:c r="K6539" s="2" t="str">
        <x:v>top_level_area</x:v>
      </x:c>
      <x:c r="L6539" s="2" t="str">
        <x:v>dot_thousands_convention;property_type_inferred_from_title</x:v>
      </x:c>
      <x:c r="M6539" s="10" t="n">
        <x:v>0</x:v>
      </x:c>
      <x:c r="N6539" s="10" t="n">
        <x:v>0</x:v>
      </x:c>
      <x:c r="O6539" s="2" t="str">
        <x:v>Đồng Nai|land</x:v>
      </x:c>
      <x:c r="P6539" s="10" t="n">
        <x:v>1</x:v>
      </x:c>
      <x:c r="Q6539" s="13" t="n">
        <x:f>IF(H6539="","",H6539/1000000000)</x:f>
        <x:v>2.05</x:v>
      </x:c>
      <x:c r="R6539" s="13" t="n">
        <x:f>IF(I6539="","",I6539/1000000)</x:f>
        <x:v>0.5684969495285634</x:v>
      </x:c>
    </x:row>
    <x:row r="6540" ht="21" customHeight="1">
      <x:c r="A6540" s="10" t="n">
        <x:v>8433</x:v>
      </x:c>
      <x:c r="B6540" s="2" t="str">
        <x:v>e5ff56f1d043926be1cb</x:v>
      </x:c>
      <x:c r="C6540" s="2" t="str">
        <x:v>Tp Hồ Chí Minh</x:v>
      </x:c>
      <x:c r="D6540" s="2" t="str">
        <x:v>Quận Bình Tân</x:v>
      </x:c>
      <x:c r="E6540" s="2" t="str">
        <x:v>house</x:v>
      </x:c>
      <x:c r="F6540" s="2" t="str">
        <x:v>sale_assumed</x:v>
      </x:c>
      <x:c r="G6540" s="11" t="n">
        <x:v>76</x:v>
      </x:c>
      <x:c r="H6540" s="12" t="n">
        <x:v>355000000000</x:v>
      </x:c>
      <x:c r="I6540" s="12" t="n">
        <x:v>4671052631.578947</x:v>
      </x:c>
      <x:c r="J6540" s="2" t="str">
        <x:v>total</x:v>
      </x:c>
      <x:c r="K6540" s="2" t="str">
        <x:v>top_level_price_embedded_area</x:v>
      </x:c>
      <x:c r="L6540" s="2" t="str">
        <x:v>area_recovered_from_price_text;property_type_inferred_from_title;transaction_assumed_sale_from_dataset_context</x:v>
      </x:c>
      <x:c r="M6540" s="10" t="n">
        <x:v>1</x:v>
      </x:c>
      <x:c r="N6540" s="10" t="n">
        <x:v>1</x:v>
      </x:c>
      <x:c r="O6540" s="2" t="str">
        <x:v>Tp Hồ Chí Minh|house</x:v>
      </x:c>
      <x:c r="P6540" s="10" t="n">
        <x:v>-1</x:v>
      </x:c>
      <x:c r="Q6540" s="13" t="n">
        <x:f>IF(H6540="","",H6540/1000000000)</x:f>
        <x:v>355</x:v>
      </x:c>
      <x:c r="R6540" s="13" t="n">
        <x:f>IF(I6540="","",I6540/1000000)</x:f>
        <x:v>4671.0526315789475</x:v>
      </x:c>
    </x:row>
    <x:row r="6541" ht="21" customHeight="1">
      <x:c r="A6541" s="10" t="n">
        <x:v>8434</x:v>
      </x:c>
      <x:c r="B6541" s="2" t="str">
        <x:v>5189c4556c48d161e434</x:v>
      </x:c>
      <x:c r="C6541" s="2" t="str">
        <x:v>Đồng Nai</x:v>
      </x:c>
      <x:c r="D6541" s="2" t="str">
        <x:v>Huyện Nhơn Trạch</x:v>
      </x:c>
      <x:c r="E6541" s="2" t="str">
        <x:v>other_unknown</x:v>
      </x:c>
      <x:c r="F6541" s="2" t="str">
        <x:v>sale</x:v>
      </x:c>
      <x:c r="G6541" s="11" t="n">
        <x:v>6592</x:v>
      </x:c>
      <x:c r="H6541" s="12" t="n">
        <x:v>18400000000</x:v>
      </x:c>
      <x:c r="I6541" s="12" t="n">
        <x:v>2791262.13592233</x:v>
      </x:c>
      <x:c r="J6541" s="2" t="str">
        <x:v>total</x:v>
      </x:c>
      <x:c r="K6541" s="2" t="str">
        <x:v>top_level_area</x:v>
      </x:c>
      <x:c r="L6541" s="2" t="str">
        <x:v>dot_thousands_convention;property_type_inferred_from_title;unknown_property_type</x:v>
      </x:c>
      <x:c r="M6541" s="10" t="n">
        <x:v>0</x:v>
      </x:c>
      <x:c r="N6541" s="10" t="n">
        <x:v>0</x:v>
      </x:c>
      <x:c r="O6541" s="2" t="str">
        <x:v>Đồng Nai|other_unknown</x:v>
      </x:c>
      <x:c r="P6541" s="10" t="n">
        <x:v>1</x:v>
      </x:c>
      <x:c r="Q6541" s="13" t="n">
        <x:f>IF(H6541="","",H6541/1000000000)</x:f>
        <x:v>18.4</x:v>
      </x:c>
      <x:c r="R6541" s="13" t="n">
        <x:f>IF(I6541="","",I6541/1000000)</x:f>
        <x:v>2.79126213592233</x:v>
      </x:c>
    </x:row>
    <x:row r="6542" ht="21" customHeight="1">
      <x:c r="A6542" s="10" t="n">
        <x:v>8435</x:v>
      </x:c>
      <x:c r="B6542" s="2" t="str">
        <x:v>7ce67ab299fd7a4dc081</x:v>
      </x:c>
      <x:c r="C6542" s="2" t="str">
        <x:v>Tp Hồ Chí Minh</x:v>
      </x:c>
      <x:c r="D6542" s="2" t="str">
        <x:v>Huyện Củ Chi</x:v>
      </x:c>
      <x:c r="E6542" s="2" t="str">
        <x:v>house</x:v>
      </x:c>
      <x:c r="F6542" s="2" t="str">
        <x:v>sale_assumed</x:v>
      </x:c>
      <x:c r="G6542" s="11" t="n">
        <x:v>90</x:v>
      </x:c>
      <x:c r="H6542" s="12" t="n">
        <x:v>1300000000</x:v>
      </x:c>
      <x:c r="I6542" s="12" t="n">
        <x:v>14444444.444444444</x:v>
      </x:c>
      <x:c r="J6542" s="2" t="str">
        <x:v>total</x:v>
      </x:c>
      <x:c r="K6542" s="2" t="str">
        <x:v>top_level_area</x:v>
      </x:c>
      <x:c r="L6542" s="2" t="str">
        <x:v>property_type_inferred_from_title;transaction_assumed_sale_from_dataset_context</x:v>
      </x:c>
      <x:c r="M6542" s="10" t="n">
        <x:v>0</x:v>
      </x:c>
      <x:c r="N6542" s="10" t="n">
        <x:v>0</x:v>
      </x:c>
      <x:c r="O6542" s="2" t="str">
        <x:v>Tp Hồ Chí Minh|house</x:v>
      </x:c>
      <x:c r="P6542" s="10" t="n">
        <x:v>2</x:v>
      </x:c>
      <x:c r="Q6542" s="13" t="n">
        <x:f>IF(H6542="","",H6542/1000000000)</x:f>
        <x:v>1.3</x:v>
      </x:c>
      <x:c r="R6542" s="13" t="n">
        <x:f>IF(I6542="","",I6542/1000000)</x:f>
        <x:v>14.444444444444445</x:v>
      </x:c>
    </x:row>
    <x:row r="6543" ht="21" customHeight="1">
      <x:c r="A6543" s="10" t="n">
        <x:v>8436</x:v>
      </x:c>
      <x:c r="B6543" s="2" t="str">
        <x:v>2e4102eb6757637903b3</x:v>
      </x:c>
      <x:c r="C6543" s="2" t="str">
        <x:v>Đà Nẵng</x:v>
      </x:c>
      <x:c r="D6543" s="2" t="str">
        <x:v>Quận Liên Chiểu</x:v>
      </x:c>
      <x:c r="E6543" s="2" t="str">
        <x:v>other_unknown</x:v>
      </x:c>
      <x:c r="F6543" s="2" t="str">
        <x:v>sale_assumed</x:v>
      </x:c>
      <x:c r="G6543" s="11" t="n">
        <x:v>120</x:v>
      </x:c>
      <x:c r="H6543" s="12" t="n">
        <x:v>2600000000</x:v>
      </x:c>
      <x:c r="I6543" s="12" t="n">
        <x:v>21666666.666666668</x:v>
      </x:c>
      <x:c r="J6543" s="2" t="str">
        <x:v>total</x:v>
      </x:c>
      <x:c r="K6543" s="2" t="str">
        <x:v>top_level_area</x:v>
      </x:c>
      <x:c r="L6543" s="2" t="str">
        <x:v>property_type_inferred_from_title;transaction_assumed_sale_from_dataset_context;unknown_property_type</x:v>
      </x:c>
      <x:c r="M6543" s="10" t="n">
        <x:v>0</x:v>
      </x:c>
      <x:c r="N6543" s="10" t="n">
        <x:v>0</x:v>
      </x:c>
      <x:c r="O6543" s="2" t="str">
        <x:v>Đà Nẵng|other_unknown</x:v>
      </x:c>
      <x:c r="P6543" s="10" t="n">
        <x:v>2</x:v>
      </x:c>
      <x:c r="Q6543" s="13" t="n">
        <x:f>IF(H6543="","",H6543/1000000000)</x:f>
        <x:v>2.6</x:v>
      </x:c>
      <x:c r="R6543" s="13" t="n">
        <x:f>IF(I6543="","",I6543/1000000)</x:f>
        <x:v>21.666666666666668</x:v>
      </x:c>
    </x:row>
    <x:row r="6544" ht="21" customHeight="1">
      <x:c r="A6544" s="10" t="n">
        <x:v>8437</x:v>
      </x:c>
      <x:c r="B6544" s="2" t="str">
        <x:v>285459a82d661d24b1ad</x:v>
      </x:c>
      <x:c r="C6544" s="2" t="str">
        <x:v>Sóc Trăng</x:v>
      </x:c>
      <x:c r="D6544" s="2" t="str">
        <x:v>Huyện Trần Đề</x:v>
      </x:c>
      <x:c r="E6544" s="2" t="str">
        <x:v>house</x:v>
      </x:c>
      <x:c r="F6544" s="2" t="str">
        <x:v>sale_assumed</x:v>
      </x:c>
      <x:c r="G6544" s="11" t="n">
        <x:v>70000</x:v>
      </x:c>
      <x:c r="H6544" s="12" t="n">
        <x:v>22000000000</x:v>
      </x:c>
      <x:c r="I6544" s="12" t="n">
        <x:v>314285.71428571426</x:v>
      </x:c>
      <x:c r="J6544" s="2" t="str">
        <x:v>total</x:v>
      </x:c>
      <x:c r="K6544" s="2" t="str">
        <x:v>top_level_area</x:v>
      </x:c>
      <x:c r="L6544" s="2" t="str">
        <x:v>dot_thousands_convention;property_type_inferred_from_title;transaction_assumed_sale_from_dataset_context</x:v>
      </x:c>
      <x:c r="M6544" s="10" t="n">
        <x:v>0</x:v>
      </x:c>
      <x:c r="N6544" s="10" t="n">
        <x:v>0</x:v>
      </x:c>
      <x:c r="O6544" s="2" t="str">
        <x:v>house</x:v>
      </x:c>
      <x:c r="P6544" s="10" t="n">
        <x:v>1</x:v>
      </x:c>
      <x:c r="Q6544" s="13" t="n">
        <x:f>IF(H6544="","",H6544/1000000000)</x:f>
        <x:v>22</x:v>
      </x:c>
      <x:c r="R6544" s="13" t="n">
        <x:f>IF(I6544="","",I6544/1000000)</x:f>
        <x:v>0.3142857142857143</x:v>
      </x:c>
    </x:row>
    <x:row r="6545" ht="21" customHeight="1">
      <x:c r="A6545" s="10" t="n">
        <x:v>8440</x:v>
      </x:c>
      <x:c r="B6545" s="2" t="str">
        <x:v>cec12bd38cd943a62970</x:v>
      </x:c>
      <x:c r="C6545" s="2" t="str">
        <x:v>Hà Nội</x:v>
      </x:c>
      <x:c r="D6545" s="2" t="str">
        <x:v>Quận Hà Đông</x:v>
      </x:c>
      <x:c r="E6545" s="2" t="str">
        <x:v>house</x:v>
      </x:c>
      <x:c r="F6545" s="2" t="str">
        <x:v>sale_assumed</x:v>
      </x:c>
      <x:c r="G6545" s="11" t="n">
        <x:v>37</x:v>
      </x:c>
      <x:c r="H6545" s="12" t="n">
        <x:v>5300000000</x:v>
      </x:c>
      <x:c r="I6545" s="12" t="n">
        <x:v>143243243.24324325</x:v>
      </x:c>
      <x:c r="J6545" s="2" t="str">
        <x:v>total</x:v>
      </x:c>
      <x:c r="K6545" s="2" t="str">
        <x:v>top_level_area</x:v>
      </x:c>
      <x:c r="L6545" s="2" t="str">
        <x:v>property_type_inferred_from_title;transaction_assumed_sale_from_dataset_context</x:v>
      </x:c>
      <x:c r="M6545" s="10" t="n">
        <x:v>0</x:v>
      </x:c>
      <x:c r="N6545" s="10" t="n">
        <x:v>0</x:v>
      </x:c>
      <x:c r="O6545" s="2" t="str">
        <x:v>Hà Nội|house</x:v>
      </x:c>
      <x:c r="P6545" s="10" t="n">
        <x:v>2</x:v>
      </x:c>
      <x:c r="Q6545" s="13" t="n">
        <x:f>IF(H6545="","",H6545/1000000000)</x:f>
        <x:v>5.3</x:v>
      </x:c>
      <x:c r="R6545" s="13" t="n">
        <x:f>IF(I6545="","",I6545/1000000)</x:f>
        <x:v>143.24324324324326</x:v>
      </x:c>
    </x:row>
    <x:row r="6546" ht="21" customHeight="1">
      <x:c r="A6546" s="10" t="n">
        <x:v>8441</x:v>
      </x:c>
      <x:c r="B6546" s="2" t="str">
        <x:v>0a48f8ac7510667fef03</x:v>
      </x:c>
      <x:c r="C6546" s="2" t="str">
        <x:v>Long An</x:v>
      </x:c>
      <x:c r="D6546" s="2" t="str">
        <x:v>Huyện Bến Lức</x:v>
      </x:c>
      <x:c r="E6546" s="2" t="str">
        <x:v>land</x:v>
      </x:c>
      <x:c r="F6546" s="2" t="str">
        <x:v>sale_assumed</x:v>
      </x:c>
      <x:c r="G6546" s="11" t="n">
        <x:v>120</x:v>
      </x:c>
      <x:c r="H6546" s="12" t="n">
        <x:v>649000000</x:v>
      </x:c>
      <x:c r="I6546" s="12" t="n">
        <x:v>5408333.333333333</x:v>
      </x:c>
      <x:c r="J6546" s="2" t="str">
        <x:v>total</x:v>
      </x:c>
      <x:c r="K6546" s="2" t="str">
        <x:v>top_level_area</x:v>
      </x:c>
      <x:c r="L6546" s="2" t="str">
        <x:v>property_type_inferred_from_title;transaction_assumed_sale_from_dataset_context</x:v>
      </x:c>
      <x:c r="M6546" s="10" t="n">
        <x:v>0</x:v>
      </x:c>
      <x:c r="N6546" s="10" t="n">
        <x:v>0</x:v>
      </x:c>
      <x:c r="O6546" s="2" t="str">
        <x:v>Long An|land</x:v>
      </x:c>
      <x:c r="P6546" s="10" t="n">
        <x:v>2</x:v>
      </x:c>
      <x:c r="Q6546" s="13" t="n">
        <x:f>IF(H6546="","",H6546/1000000000)</x:f>
        <x:v>0.649</x:v>
      </x:c>
      <x:c r="R6546" s="13" t="n">
        <x:f>IF(I6546="","",I6546/1000000)</x:f>
        <x:v>5.408333333333333</x:v>
      </x:c>
    </x:row>
    <x:row r="6547" ht="21" customHeight="1">
      <x:c r="A6547" s="10" t="n">
        <x:v>8442</x:v>
      </x:c>
      <x:c r="B6547" s="2" t="str">
        <x:v>43812a30be9712e1cb4d</x:v>
      </x:c>
      <x:c r="C6547" s="2" t="str">
        <x:v>Tp Hồ Chí Minh</x:v>
      </x:c>
      <x:c r="D6547" s="2" t="str">
        <x:v>Huyện Hóc Môn</x:v>
      </x:c>
      <x:c r="E6547" s="2" t="str">
        <x:v>other_unknown</x:v>
      </x:c>
      <x:c r="F6547" s="2" t="str">
        <x:v>sale</x:v>
      </x:c>
      <x:c r="G6547" s="11" t="n">
        <x:v>100</x:v>
      </x:c>
      <x:c r="H6547" s="12" t="n">
        <x:v>600000000</x:v>
      </x:c>
      <x:c r="I6547" s="12" t="n">
        <x:v>6000000</x:v>
      </x:c>
      <x:c r="J6547" s="2" t="str">
        <x:v>total</x:v>
      </x:c>
      <x:c r="K6547" s="2" t="str">
        <x:v>top_level_price_embedded_area</x:v>
      </x:c>
      <x:c r="L6547" s="2" t="str">
        <x:v>area_recovered_from_price_text;property_type_inferred_from_title;unknown_property_type</x:v>
      </x:c>
      <x:c r="M6547" s="10" t="n">
        <x:v>0</x:v>
      </x:c>
      <x:c r="N6547" s="10" t="n">
        <x:v>0</x:v>
      </x:c>
      <x:c r="O6547" s="2" t="str">
        <x:v>Tp Hồ Chí Minh|other_unknown</x:v>
      </x:c>
      <x:c r="P6547" s="10" t="n">
        <x:v>2</x:v>
      </x:c>
      <x:c r="Q6547" s="13" t="n">
        <x:f>IF(H6547="","",H6547/1000000000)</x:f>
        <x:v>0.6</x:v>
      </x:c>
      <x:c r="R6547" s="13" t="n">
        <x:f>IF(I6547="","",I6547/1000000)</x:f>
        <x:v>6</x:v>
      </x:c>
    </x:row>
    <x:row r="6548" ht="21" customHeight="1">
      <x:c r="A6548" s="10" t="n">
        <x:v>8443</x:v>
      </x:c>
      <x:c r="B6548" s="2" t="str">
        <x:v>368713795dea6e9ba343</x:v>
      </x:c>
      <x:c r="C6548" s="2" t="str">
        <x:v>Tp Hồ Chí Minh</x:v>
      </x:c>
      <x:c r="D6548" s="2" t="str">
        <x:v>Huyện Bình Chánh</x:v>
      </x:c>
      <x:c r="E6548" s="2" t="str">
        <x:v>house</x:v>
      </x:c>
      <x:c r="F6548" s="2" t="str">
        <x:v>sale_assumed</x:v>
      </x:c>
      <x:c r="G6548" s="11" t="n">
        <x:v>70</x:v>
      </x:c>
      <x:c r="H6548" s="12" t="n">
        <x:v>1350000000</x:v>
      </x:c>
      <x:c r="I6548" s="12" t="n">
        <x:v>19285714.285714287</x:v>
      </x:c>
      <x:c r="J6548" s="2" t="str">
        <x:v>total</x:v>
      </x:c>
      <x:c r="K6548" s="2" t="str">
        <x:v>top_level_area</x:v>
      </x:c>
      <x:c r="L6548" s="2" t="str">
        <x:v>property_type_inferred_from_title;transaction_assumed_sale_from_dataset_context</x:v>
      </x:c>
      <x:c r="M6548" s="10" t="n">
        <x:v>0</x:v>
      </x:c>
      <x:c r="N6548" s="10" t="n">
        <x:v>0</x:v>
      </x:c>
      <x:c r="O6548" s="2" t="str">
        <x:v>Tp Hồ Chí Minh|house</x:v>
      </x:c>
      <x:c r="P6548" s="10" t="n">
        <x:v>2</x:v>
      </x:c>
      <x:c r="Q6548" s="13" t="n">
        <x:f>IF(H6548="","",H6548/1000000000)</x:f>
        <x:v>1.35</x:v>
      </x:c>
      <x:c r="R6548" s="13" t="n">
        <x:f>IF(I6548="","",I6548/1000000)</x:f>
        <x:v>19.28571428571429</x:v>
      </x:c>
    </x:row>
    <x:row r="6549" ht="21" customHeight="1">
      <x:c r="A6549" s="10" t="n">
        <x:v>8444</x:v>
      </x:c>
      <x:c r="B6549" s="2" t="str">
        <x:v>2968e2ce78eaa257d475</x:v>
      </x:c>
      <x:c r="C6549" s="2" t="str">
        <x:v>Hà Nội</x:v>
      </x:c>
      <x:c r="D6549" s="2" t="str">
        <x:v>Quận Hà Đông</x:v>
      </x:c>
      <x:c r="E6549" s="2" t="str">
        <x:v>house</x:v>
      </x:c>
      <x:c r="F6549" s="2" t="str">
        <x:v>sale</x:v>
      </x:c>
      <x:c r="G6549" s="11" t="n">
        <x:v>32</x:v>
      </x:c>
      <x:c r="H6549" s="12" t="n">
        <x:v>2403000000</x:v>
      </x:c>
      <x:c r="I6549" s="12" t="n">
        <x:v>75093750</x:v>
      </x:c>
      <x:c r="J6549" s="2" t="str">
        <x:v>total</x:v>
      </x:c>
      <x:c r="K6549" s="2" t="str">
        <x:v>top_level_area</x:v>
      </x:c>
      <x:c r="L6549" s="2" t="str">
        <x:v>property_type_inferred_from_title</x:v>
      </x:c>
      <x:c r="M6549" s="10" t="n">
        <x:v>0</x:v>
      </x:c>
      <x:c r="N6549" s="10" t="n">
        <x:v>0</x:v>
      </x:c>
      <x:c r="O6549" s="2" t="str">
        <x:v>Hà Nội|house</x:v>
      </x:c>
      <x:c r="P6549" s="10" t="n">
        <x:v>2</x:v>
      </x:c>
      <x:c r="Q6549" s="13" t="n">
        <x:f>IF(H6549="","",H6549/1000000000)</x:f>
        <x:v>2.403</x:v>
      </x:c>
      <x:c r="R6549" s="13" t="n">
        <x:f>IF(I6549="","",I6549/1000000)</x:f>
        <x:v>75.09375</x:v>
      </x:c>
    </x:row>
    <x:row r="6550" ht="21" customHeight="1">
      <x:c r="A6550" s="10" t="n">
        <x:v>8445</x:v>
      </x:c>
      <x:c r="B6550" s="2" t="str">
        <x:v>1416e3fe225b07bb5b04</x:v>
      </x:c>
      <x:c r="C6550" s="2" t="str">
        <x:v>Đắk Lắk</x:v>
      </x:c>
      <x:c r="D6550" s="2" t="str">
        <x:v>Thành phố Buôn Ma Thuột</x:v>
      </x:c>
      <x:c r="E6550" s="2" t="str">
        <x:v>land</x:v>
      </x:c>
      <x:c r="F6550" s="2" t="str">
        <x:v>sale_assumed</x:v>
      </x:c>
      <x:c r="G6550" s="11" t="n">
        <x:v>79</x:v>
      </x:c>
      <x:c r="H6550" s="12" t="n">
        <x:v>1950000000</x:v>
      </x:c>
      <x:c r="I6550" s="12" t="n">
        <x:v>24683544.30379747</x:v>
      </x:c>
      <x:c r="J6550" s="2" t="str">
        <x:v>total</x:v>
      </x:c>
      <x:c r="K6550" s="2" t="str">
        <x:v>top_level_area</x:v>
      </x:c>
      <x:c r="L6550" s="2" t="str">
        <x:v>property_type_inferred_from_title;transaction_assumed_sale_from_dataset_context</x:v>
      </x:c>
      <x:c r="M6550" s="10" t="n">
        <x:v>0</x:v>
      </x:c>
      <x:c r="N6550" s="10" t="n">
        <x:v>1</x:v>
      </x:c>
      <x:c r="O6550" s="2" t="str">
        <x:v>Đắk Lắk|land</x:v>
      </x:c>
      <x:c r="P6550" s="10" t="n">
        <x:v>-1</x:v>
      </x:c>
      <x:c r="Q6550" s="13" t="n">
        <x:f>IF(H6550="","",H6550/1000000000)</x:f>
        <x:v>1.95</x:v>
      </x:c>
      <x:c r="R6550" s="13" t="n">
        <x:f>IF(I6550="","",I6550/1000000)</x:f>
        <x:v>24.68354430379747</x:v>
      </x:c>
    </x:row>
    <x:row r="6551" ht="21" customHeight="1">
      <x:c r="A6551" s="10" t="n">
        <x:v>8446</x:v>
      </x:c>
      <x:c r="B6551" s="2" t="str">
        <x:v>51c9ec0120d86e060f92</x:v>
      </x:c>
      <x:c r="C6551" s="2" t="str">
        <x:v>Hà Nội</x:v>
      </x:c>
      <x:c r="D6551" s="2" t="str">
        <x:v>Quận Thanh Xuân</x:v>
      </x:c>
      <x:c r="E6551" s="2" t="str">
        <x:v>house</x:v>
      </x:c>
      <x:c r="F6551" s="2" t="str">
        <x:v>sale_assumed</x:v>
      </x:c>
      <x:c r="G6551" s="11" t="n">
        <x:v>47</x:v>
      </x:c>
      <x:c r="H6551" s="12" t="n">
        <x:v>4900000000</x:v>
      </x:c>
      <x:c r="I6551" s="12" t="n">
        <x:v>104255319.14893617</x:v>
      </x:c>
      <x:c r="J6551" s="2" t="str">
        <x:v>total</x:v>
      </x:c>
      <x:c r="K6551" s="2" t="str">
        <x:v>top_level_area</x:v>
      </x:c>
      <x:c r="L6551" s="2" t="str">
        <x:v>property_type_inferred_from_title;transaction_assumed_sale_from_dataset_context</x:v>
      </x:c>
      <x:c r="M6551" s="10" t="n">
        <x:v>0</x:v>
      </x:c>
      <x:c r="N6551" s="10" t="n">
        <x:v>0</x:v>
      </x:c>
      <x:c r="O6551" s="2" t="str">
        <x:v>Hà Nội|house</x:v>
      </x:c>
      <x:c r="P6551" s="10" t="n">
        <x:v>2</x:v>
      </x:c>
      <x:c r="Q6551" s="13" t="n">
        <x:f>IF(H6551="","",H6551/1000000000)</x:f>
        <x:v>4.9</x:v>
      </x:c>
      <x:c r="R6551" s="13" t="n">
        <x:f>IF(I6551="","",I6551/1000000)</x:f>
        <x:v>104.25531914893617</x:v>
      </x:c>
    </x:row>
    <x:row r="6552" ht="21" customHeight="1">
      <x:c r="A6552" s="10" t="n">
        <x:v>8447</x:v>
      </x:c>
      <x:c r="B6552" s="2" t="str">
        <x:v>986569cbb1e2817b0549</x:v>
      </x:c>
      <x:c r="C6552" s="2" t="str">
        <x:v>Long An</x:v>
      </x:c>
      <x:c r="D6552" s="2" t="str">
        <x:v>Huyện Đức Hòa</x:v>
      </x:c>
      <x:c r="E6552" s="2" t="str">
        <x:v>land</x:v>
      </x:c>
      <x:c r="F6552" s="2" t="str">
        <x:v>sale</x:v>
      </x:c>
      <x:c r="G6552" s="11" t="n">
        <x:v>270</x:v>
      </x:c>
      <x:c r="H6552" s="12" t="n">
        <x:v>1250000000</x:v>
      </x:c>
      <x:c r="I6552" s="12" t="n">
        <x:v>4629629.62962963</x:v>
      </x:c>
      <x:c r="J6552" s="2" t="str">
        <x:v>total</x:v>
      </x:c>
      <x:c r="K6552" s="2" t="str">
        <x:v>top_level_area</x:v>
      </x:c>
      <x:c r="L6552" s="2" t="str">
        <x:v>property_type_inferred_from_title</x:v>
      </x:c>
      <x:c r="M6552" s="10" t="n">
        <x:v>0</x:v>
      </x:c>
      <x:c r="N6552" s="10" t="n">
        <x:v>0</x:v>
      </x:c>
      <x:c r="O6552" s="2" t="str">
        <x:v>Long An|land</x:v>
      </x:c>
      <x:c r="P6552" s="10" t="n">
        <x:v>1</x:v>
      </x:c>
      <x:c r="Q6552" s="13" t="n">
        <x:f>IF(H6552="","",H6552/1000000000)</x:f>
        <x:v>1.25</x:v>
      </x:c>
      <x:c r="R6552" s="13" t="n">
        <x:f>IF(I6552="","",I6552/1000000)</x:f>
        <x:v>4.62962962962963</x:v>
      </x:c>
    </x:row>
    <x:row r="6553" ht="21" customHeight="1">
      <x:c r="A6553" s="10" t="n">
        <x:v>8448</x:v>
      </x:c>
      <x:c r="B6553" s="2" t="str">
        <x:v>7f7c520747abb7575741</x:v>
      </x:c>
      <x:c r="C6553" s="2" t="str">
        <x:v>Tp Hồ Chí Minh</x:v>
      </x:c>
      <x:c r="D6553" s="2" t="str">
        <x:v>Quận 8</x:v>
      </x:c>
      <x:c r="E6553" s="2" t="str">
        <x:v>house</x:v>
      </x:c>
      <x:c r="F6553" s="2" t="str">
        <x:v>sale</x:v>
      </x:c>
      <x:c r="G6553" s="11" t="n">
        <x:v>37</x:v>
      </x:c>
      <x:c r="H6553" s="12" t="n">
        <x:v>2900000000</x:v>
      </x:c>
      <x:c r="I6553" s="12" t="n">
        <x:v>78378378.37837838</x:v>
      </x:c>
      <x:c r="J6553" s="2" t="str">
        <x:v>total</x:v>
      </x:c>
      <x:c r="K6553" s="2" t="str">
        <x:v>top_level_area</x:v>
      </x:c>
      <x:c r="L6553" s="2" t="str">
        <x:v>property_type_inferred_from_title</x:v>
      </x:c>
      <x:c r="M6553" s="10" t="n">
        <x:v>0</x:v>
      </x:c>
      <x:c r="N6553" s="10" t="n">
        <x:v>0</x:v>
      </x:c>
      <x:c r="O6553" s="2" t="str">
        <x:v>Tp Hồ Chí Minh|house</x:v>
      </x:c>
      <x:c r="P6553" s="10" t="n">
        <x:v>2</x:v>
      </x:c>
      <x:c r="Q6553" s="13" t="n">
        <x:f>IF(H6553="","",H6553/1000000000)</x:f>
        <x:v>2.9</x:v>
      </x:c>
      <x:c r="R6553" s="13" t="n">
        <x:f>IF(I6553="","",I6553/1000000)</x:f>
        <x:v>78.37837837837837</x:v>
      </x:c>
    </x:row>
    <x:row r="6554" ht="21" customHeight="1">
      <x:c r="A6554" s="10" t="n">
        <x:v>8449</x:v>
      </x:c>
      <x:c r="B6554" s="2" t="str">
        <x:v>4523d44c86c6fe5c21cb</x:v>
      </x:c>
      <x:c r="C6554" s="2" t="str">
        <x:v>Tp Hồ Chí Minh</x:v>
      </x:c>
      <x:c r="D6554" s="2" t="str">
        <x:v>Quận Tân Phú</x:v>
      </x:c>
      <x:c r="E6554" s="2" t="str">
        <x:v>other_unknown</x:v>
      </x:c>
      <x:c r="F6554" s="2" t="str">
        <x:v>sale_assumed</x:v>
      </x:c>
      <x:c r="G6554" s="11" t="n">
        <x:v>32</x:v>
      </x:c>
      <x:c r="H6554" s="12" t="n">
        <x:v>3650000000</x:v>
      </x:c>
      <x:c r="I6554" s="12" t="n">
        <x:v>114062500</x:v>
      </x:c>
      <x:c r="J6554" s="2" t="str">
        <x:v>total</x:v>
      </x:c>
      <x:c r="K6554" s="2" t="str">
        <x:v>top_level_area</x:v>
      </x:c>
      <x:c r="L6554" s="2" t="str">
        <x:v>property_type_inferred_from_title;transaction_assumed_sale_from_dataset_context;unknown_property_type</x:v>
      </x:c>
      <x:c r="M6554" s="10" t="n">
        <x:v>0</x:v>
      </x:c>
      <x:c r="N6554" s="10" t="n">
        <x:v>0</x:v>
      </x:c>
      <x:c r="O6554" s="2" t="str">
        <x:v>Tp Hồ Chí Minh|other_unknown</x:v>
      </x:c>
      <x:c r="P6554" s="10" t="n">
        <x:v>2</x:v>
      </x:c>
      <x:c r="Q6554" s="13" t="n">
        <x:f>IF(H6554="","",H6554/1000000000)</x:f>
        <x:v>3.65</x:v>
      </x:c>
      <x:c r="R6554" s="13" t="n">
        <x:f>IF(I6554="","",I6554/1000000)</x:f>
        <x:v>114.0625</x:v>
      </x:c>
    </x:row>
    <x:row r="6555" ht="21" customHeight="1">
      <x:c r="A6555" s="10" t="n">
        <x:v>8451</x:v>
      </x:c>
      <x:c r="B6555" s="2" t="str">
        <x:v>84fb5e334ffcf94310e8</x:v>
      </x:c>
      <x:c r="C6555" s="2" t="str">
        <x:v>Hà Nội</x:v>
      </x:c>
      <x:c r="D6555" s="2" t="str">
        <x:v>Quận Hà Đông</x:v>
      </x:c>
      <x:c r="E6555" s="2" t="str">
        <x:v>house</x:v>
      </x:c>
      <x:c r="F6555" s="2" t="str">
        <x:v>sale_assumed</x:v>
      </x:c>
      <x:c r="G6555" s="11" t="n">
        <x:v>30</x:v>
      </x:c>
      <x:c r="H6555" s="12" t="n">
        <x:v>1930000000</x:v>
      </x:c>
      <x:c r="I6555" s="12" t="n">
        <x:v>64333333.333333336</x:v>
      </x:c>
      <x:c r="J6555" s="2" t="str">
        <x:v>total</x:v>
      </x:c>
      <x:c r="K6555" s="2" t="str">
        <x:v>top_level_area</x:v>
      </x:c>
      <x:c r="L6555" s="2" t="str">
        <x:v>property_type_inferred_from_title;transaction_assumed_sale_from_dataset_context</x:v>
      </x:c>
      <x:c r="M6555" s="10" t="n">
        <x:v>0</x:v>
      </x:c>
      <x:c r="N6555" s="10" t="n">
        <x:v>0</x:v>
      </x:c>
      <x:c r="O6555" s="2" t="str">
        <x:v>Hà Nội|house</x:v>
      </x:c>
      <x:c r="P6555" s="10" t="n">
        <x:v>2</x:v>
      </x:c>
      <x:c r="Q6555" s="13" t="n">
        <x:f>IF(H6555="","",H6555/1000000000)</x:f>
        <x:v>1.93</x:v>
      </x:c>
      <x:c r="R6555" s="13" t="n">
        <x:f>IF(I6555="","",I6555/1000000)</x:f>
        <x:v>64.33333333333334</x:v>
      </x:c>
    </x:row>
    <x:row r="6556" ht="21" customHeight="1">
      <x:c r="A6556" s="10" t="n">
        <x:v>8452</x:v>
      </x:c>
      <x:c r="B6556" s="2" t="str">
        <x:v>76fca58f5cb8cb80bbff</x:v>
      </x:c>
      <x:c r="C6556" s="2" t="str">
        <x:v>Bình Dương</x:v>
      </x:c>
      <x:c r="D6556" s="2" t="str">
        <x:v>Thị xã Bến Cát</x:v>
      </x:c>
      <x:c r="E6556" s="2" t="str">
        <x:v>land</x:v>
      </x:c>
      <x:c r="F6556" s="2" t="str">
        <x:v>sale_assumed</x:v>
      </x:c>
      <x:c r="G6556" s="11" t="n">
        <x:v>80</x:v>
      </x:c>
      <x:c r="H6556" s="12" t="n">
        <x:v>590000000</x:v>
      </x:c>
      <x:c r="I6556" s="12" t="n">
        <x:v>7375000</x:v>
      </x:c>
      <x:c r="J6556" s="2" t="str">
        <x:v>total</x:v>
      </x:c>
      <x:c r="K6556" s="2" t="str">
        <x:v>top_level_area</x:v>
      </x:c>
      <x:c r="L6556" s="2" t="str">
        <x:v>property_type_inferred_from_title;transaction_assumed_sale_from_dataset_context</x:v>
      </x:c>
      <x:c r="M6556" s="10" t="n">
        <x:v>0</x:v>
      </x:c>
      <x:c r="N6556" s="10" t="n">
        <x:v>0</x:v>
      </x:c>
      <x:c r="O6556" s="2" t="str">
        <x:v>Bình Dương|land</x:v>
      </x:c>
      <x:c r="P6556" s="10" t="n">
        <x:v>2</x:v>
      </x:c>
      <x:c r="Q6556" s="13" t="n">
        <x:f>IF(H6556="","",H6556/1000000000)</x:f>
        <x:v>0.59</x:v>
      </x:c>
      <x:c r="R6556" s="13" t="n">
        <x:f>IF(I6556="","",I6556/1000000)</x:f>
        <x:v>7.375</x:v>
      </x:c>
    </x:row>
    <x:row r="6557" ht="21" customHeight="1">
      <x:c r="A6557" s="10" t="n">
        <x:v>8453</x:v>
      </x:c>
      <x:c r="B6557" s="2" t="str">
        <x:v>07d48c05568e7c366f01</x:v>
      </x:c>
      <x:c r="C6557" s="2" t="str">
        <x:v>Cần Thơ</x:v>
      </x:c>
      <x:c r="D6557" s="2" t="str">
        <x:v>Huyện Phong Điền</x:v>
      </x:c>
      <x:c r="E6557" s="2" t="str">
        <x:v>other_unknown</x:v>
      </x:c>
      <x:c r="F6557" s="2" t="str">
        <x:v>sale_assumed</x:v>
      </x:c>
      <x:c r="G6557" s="11" t="n">
        <x:v>1358</x:v>
      </x:c>
      <x:c r="H6557" s="12" t="n">
        <x:v>1600000000</x:v>
      </x:c>
      <x:c r="I6557" s="12" t="n">
        <x:v>1178203.24005891</x:v>
      </x:c>
      <x:c r="J6557" s="2" t="str">
        <x:v>total</x:v>
      </x:c>
      <x:c r="K6557" s="2" t="str">
        <x:v>top_level_area</x:v>
      </x:c>
      <x:c r="L6557" s="2" t="str">
        <x:v>dot_thousands_convention;property_type_inferred_from_title;transaction_assumed_sale_from_dataset_context;unknown_property_type</x:v>
      </x:c>
      <x:c r="M6557" s="10" t="n">
        <x:v>0</x:v>
      </x:c>
      <x:c r="N6557" s="10" t="n">
        <x:v>0</x:v>
      </x:c>
      <x:c r="O6557" s="2" t="str">
        <x:v>other_unknown</x:v>
      </x:c>
      <x:c r="P6557" s="10" t="n">
        <x:v>1</x:v>
      </x:c>
      <x:c r="Q6557" s="13" t="n">
        <x:f>IF(H6557="","",H6557/1000000000)</x:f>
        <x:v>1.6</x:v>
      </x:c>
      <x:c r="R6557" s="13" t="n">
        <x:f>IF(I6557="","",I6557/1000000)</x:f>
        <x:v>1.1782032400589102</x:v>
      </x:c>
    </x:row>
    <x:row r="6558" ht="21" customHeight="1">
      <x:c r="A6558" s="10" t="n">
        <x:v>8454</x:v>
      </x:c>
      <x:c r="B6558" s="2" t="str">
        <x:v>735c3b7bedc1da36829d</x:v>
      </x:c>
      <x:c r="C6558" s="2" t="str">
        <x:v>Đà Nẵng</x:v>
      </x:c>
      <x:c r="D6558" s="2" t="str">
        <x:v>Quận Thanh Khê</x:v>
      </x:c>
      <x:c r="E6558" s="2" t="str">
        <x:v>house</x:v>
      </x:c>
      <x:c r="F6558" s="2" t="str">
        <x:v>sale</x:v>
      </x:c>
      <x:c r="G6558" s="11" t="n">
        <x:v>63</x:v>
      </x:c>
      <x:c r="H6558" s="12" t="n">
        <x:v>10500000000</x:v>
      </x:c>
      <x:c r="I6558" s="12" t="n">
        <x:v>166666666.66666666</x:v>
      </x:c>
      <x:c r="J6558" s="2" t="str">
        <x:v>total</x:v>
      </x:c>
      <x:c r="K6558" s="2" t="str">
        <x:v>top_level_area</x:v>
      </x:c>
      <x:c r="L6558" s="2" t="str">
        <x:v>property_type_inferred_from_title</x:v>
      </x:c>
      <x:c r="M6558" s="10" t="n">
        <x:v>1</x:v>
      </x:c>
      <x:c r="N6558" s="10" t="n">
        <x:v>1</x:v>
      </x:c>
      <x:c r="O6558" s="2" t="str">
        <x:v>Đà Nẵng|house</x:v>
      </x:c>
      <x:c r="P6558" s="10" t="n">
        <x:v>-1</x:v>
      </x:c>
      <x:c r="Q6558" s="13" t="n">
        <x:f>IF(H6558="","",H6558/1000000000)</x:f>
        <x:v>10.5</x:v>
      </x:c>
      <x:c r="R6558" s="13" t="n">
        <x:f>IF(I6558="","",I6558/1000000)</x:f>
        <x:v>166.66666666666666</x:v>
      </x:c>
    </x:row>
    <x:row r="6559" ht="21" customHeight="1">
      <x:c r="A6559" s="10" t="n">
        <x:v>8455</x:v>
      </x:c>
      <x:c r="B6559" s="2" t="str">
        <x:v>09a16329288b2d872870</x:v>
      </x:c>
      <x:c r="C6559" s="2" t="str">
        <x:v>Tp Hồ Chí Minh</x:v>
      </x:c>
      <x:c r="D6559" s="2" t="str">
        <x:v>Quận Tân Phú</x:v>
      </x:c>
      <x:c r="E6559" s="2" t="str">
        <x:v>other_unknown</x:v>
      </x:c>
      <x:c r="F6559" s="2" t="str">
        <x:v>sale_assumed</x:v>
      </x:c>
      <x:c r="G6559" s="11" t="n">
        <x:v>40</x:v>
      </x:c>
      <x:c r="H6559" s="12" t="n">
        <x:v>4150000000.0000005</x:v>
      </x:c>
      <x:c r="I6559" s="12" t="n">
        <x:v>103750000.00000001</x:v>
      </x:c>
      <x:c r="J6559" s="2" t="str">
        <x:v>total</x:v>
      </x:c>
      <x:c r="K6559" s="2" t="str">
        <x:v>top_level_area</x:v>
      </x:c>
      <x:c r="L6559" s="2" t="str">
        <x:v>property_type_inferred_from_title;transaction_assumed_sale_from_dataset_context;unknown_property_type</x:v>
      </x:c>
      <x:c r="M6559" s="10" t="n">
        <x:v>0</x:v>
      </x:c>
      <x:c r="N6559" s="10" t="n">
        <x:v>0</x:v>
      </x:c>
      <x:c r="O6559" s="2" t="str">
        <x:v>Tp Hồ Chí Minh|other_unknown</x:v>
      </x:c>
      <x:c r="P6559" s="10" t="n">
        <x:v>2</x:v>
      </x:c>
      <x:c r="Q6559" s="13" t="n">
        <x:f>IF(H6559="","",H6559/1000000000)</x:f>
        <x:v>4.15</x:v>
      </x:c>
      <x:c r="R6559" s="13" t="n">
        <x:f>IF(I6559="","",I6559/1000000)</x:f>
        <x:v>103.75000000000001</x:v>
      </x:c>
    </x:row>
    <x:row r="6560" ht="21" customHeight="1">
      <x:c r="A6560" s="10" t="n">
        <x:v>8456</x:v>
      </x:c>
      <x:c r="B6560" s="2" t="str">
        <x:v>259cc6e64161eaa50aa4</x:v>
      </x:c>
      <x:c r="C6560" s="2" t="str">
        <x:v>Tp Hồ Chí Minh</x:v>
      </x:c>
      <x:c r="D6560" s="2" t="str">
        <x:v>Quận 12</x:v>
      </x:c>
      <x:c r="E6560" s="2" t="str">
        <x:v>house</x:v>
      </x:c>
      <x:c r="F6560" s="2" t="str">
        <x:v>sale_assumed</x:v>
      </x:c>
      <x:c r="G6560" s="11" t="n">
        <x:v>90</x:v>
      </x:c>
      <x:c r="H6560" s="12" t="n">
        <x:v>2500000000</x:v>
      </x:c>
      <x:c r="I6560" s="12" t="n">
        <x:v>27777777.777777776</x:v>
      </x:c>
      <x:c r="J6560" s="2" t="str">
        <x:v>total</x:v>
      </x:c>
      <x:c r="K6560" s="2" t="str">
        <x:v>top_level_area</x:v>
      </x:c>
      <x:c r="L6560" s="2" t="str">
        <x:v>property_type_inferred_from_title;transaction_assumed_sale_from_dataset_context</x:v>
      </x:c>
      <x:c r="M6560" s="10" t="n">
        <x:v>0</x:v>
      </x:c>
      <x:c r="N6560" s="10" t="n">
        <x:v>0</x:v>
      </x:c>
      <x:c r="O6560" s="2" t="str">
        <x:v>Tp Hồ Chí Minh|house</x:v>
      </x:c>
      <x:c r="P6560" s="10" t="n">
        <x:v>2</x:v>
      </x:c>
      <x:c r="Q6560" s="13" t="n">
        <x:f>IF(H6560="","",H6560/1000000000)</x:f>
        <x:v>2.5</x:v>
      </x:c>
      <x:c r="R6560" s="13" t="n">
        <x:f>IF(I6560="","",I6560/1000000)</x:f>
        <x:v>27.777777777777775</x:v>
      </x:c>
    </x:row>
    <x:row r="6561" ht="21" customHeight="1">
      <x:c r="A6561" s="10" t="n">
        <x:v>8457</x:v>
      </x:c>
      <x:c r="B6561" s="2" t="str">
        <x:v>af17a7cf7a7fa31c09cc</x:v>
      </x:c>
      <x:c r="C6561" s="2" t="str">
        <x:v>Tp Hồ Chí Minh</x:v>
      </x:c>
      <x:c r="D6561" s="2" t="str">
        <x:v>Quận Bình Tân</x:v>
      </x:c>
      <x:c r="E6561" s="2" t="str">
        <x:v>land</x:v>
      </x:c>
      <x:c r="F6561" s="2" t="str">
        <x:v>sale_assumed</x:v>
      </x:c>
      <x:c r="G6561" s="11" t="n">
        <x:v>136</x:v>
      </x:c>
      <x:c r="H6561" s="12" t="n">
        <x:v>5865000000</x:v>
      </x:c>
      <x:c r="I6561" s="12" t="n">
        <x:v>43125000</x:v>
      </x:c>
      <x:c r="J6561" s="2" t="str">
        <x:v>total</x:v>
      </x:c>
      <x:c r="K6561" s="2" t="str">
        <x:v>top_level_area</x:v>
      </x:c>
      <x:c r="L6561" s="2" t="str">
        <x:v>property_type_inferred_from_title;transaction_assumed_sale_from_dataset_context</x:v>
      </x:c>
      <x:c r="M6561" s="10" t="n">
        <x:v>0</x:v>
      </x:c>
      <x:c r="N6561" s="10" t="n">
        <x:v>0</x:v>
      </x:c>
      <x:c r="O6561" s="2" t="str">
        <x:v>Tp Hồ Chí Minh|land</x:v>
      </x:c>
      <x:c r="P6561" s="10" t="n">
        <x:v>2</x:v>
      </x:c>
      <x:c r="Q6561" s="13" t="n">
        <x:f>IF(H6561="","",H6561/1000000000)</x:f>
        <x:v>5.865</x:v>
      </x:c>
      <x:c r="R6561" s="13" t="n">
        <x:f>IF(I6561="","",I6561/1000000)</x:f>
        <x:v>43.125</x:v>
      </x:c>
    </x:row>
    <x:row r="6562" ht="21" customHeight="1">
      <x:c r="A6562" s="10" t="n">
        <x:v>8458</x:v>
      </x:c>
      <x:c r="B6562" s="2" t="str">
        <x:v>fc8871014f2ef926e122</x:v>
      </x:c>
      <x:c r="C6562" s="2" t="str">
        <x:v>Tp Hồ Chí Minh</x:v>
      </x:c>
      <x:c r="D6562" s="2" t="str">
        <x:v>Quận Tân Phú</x:v>
      </x:c>
      <x:c r="E6562" s="2" t="str">
        <x:v>other_unknown</x:v>
      </x:c>
      <x:c r="F6562" s="2" t="str">
        <x:v>sale_assumed</x:v>
      </x:c>
      <x:c r="G6562" s="11" t="n">
        <x:v>130</x:v>
      </x:c>
      <x:c r="H6562" s="12" t="n">
        <x:v>18800000000</x:v>
      </x:c>
      <x:c r="I6562" s="12" t="n">
        <x:v>144615384.6153846</x:v>
      </x:c>
      <x:c r="J6562" s="2" t="str">
        <x:v>total</x:v>
      </x:c>
      <x:c r="K6562" s="2" t="str">
        <x:v>top_level_area</x:v>
      </x:c>
      <x:c r="L6562" s="2" t="str">
        <x:v>property_type_inferred_from_title;transaction_assumed_sale_from_dataset_context;unknown_property_type</x:v>
      </x:c>
      <x:c r="M6562" s="10" t="n">
        <x:v>0</x:v>
      </x:c>
      <x:c r="N6562" s="10" t="n">
        <x:v>0</x:v>
      </x:c>
      <x:c r="O6562" s="2" t="str">
        <x:v>Tp Hồ Chí Minh|other_unknown</x:v>
      </x:c>
      <x:c r="P6562" s="10" t="n">
        <x:v>2</x:v>
      </x:c>
      <x:c r="Q6562" s="13" t="n">
        <x:f>IF(H6562="","",H6562/1000000000)</x:f>
        <x:v>18.8</x:v>
      </x:c>
      <x:c r="R6562" s="13" t="n">
        <x:f>IF(I6562="","",I6562/1000000)</x:f>
        <x:v>144.6153846153846</x:v>
      </x:c>
    </x:row>
    <x:row r="6563" ht="21" customHeight="1">
      <x:c r="A6563" s="10" t="n">
        <x:v>8459</x:v>
      </x:c>
      <x:c r="B6563" s="2" t="str">
        <x:v>e024d725ad63aca49304</x:v>
      </x:c>
      <x:c r="C6563" s="2" t="str">
        <x:v>Bình Dương</x:v>
      </x:c>
      <x:c r="D6563" s="2" t="str">
        <x:v>Huyện Phú Giáo</x:v>
      </x:c>
      <x:c r="E6563" s="2" t="str">
        <x:v>other_unknown</x:v>
      </x:c>
      <x:c r="F6563" s="2" t="str">
        <x:v>sale</x:v>
      </x:c>
      <x:c r="G6563" s="11" t="n">
        <x:v>1900</x:v>
      </x:c>
      <x:c r="H6563" s="12" t="n">
        <x:v>500000000</x:v>
      </x:c>
      <x:c r="I6563" s="12" t="n">
        <x:v>263157.8947368421</x:v>
      </x:c>
      <x:c r="J6563" s="2" t="str">
        <x:v>total</x:v>
      </x:c>
      <x:c r="K6563" s="2" t="str">
        <x:v>top_level_area</x:v>
      </x:c>
      <x:c r="L6563" s="2" t="str">
        <x:v>dot_thousands_convention;property_type_inferred_from_title;unknown_property_type</x:v>
      </x:c>
      <x:c r="M6563" s="10" t="n">
        <x:v>0</x:v>
      </x:c>
      <x:c r="N6563" s="10" t="n">
        <x:v>0</x:v>
      </x:c>
      <x:c r="O6563" s="2" t="str">
        <x:v>Bình Dương|other_unknown</x:v>
      </x:c>
      <x:c r="P6563" s="10" t="n">
        <x:v>1</x:v>
      </x:c>
      <x:c r="Q6563" s="13" t="n">
        <x:f>IF(H6563="","",H6563/1000000000)</x:f>
        <x:v>0.5</x:v>
      </x:c>
      <x:c r="R6563" s="13" t="n">
        <x:f>IF(I6563="","",I6563/1000000)</x:f>
        <x:v>0.2631578947368421</x:v>
      </x:c>
    </x:row>
    <x:row r="6564" ht="21" customHeight="1">
      <x:c r="A6564" s="10" t="n">
        <x:v>8462</x:v>
      </x:c>
      <x:c r="B6564" s="2" t="str">
        <x:v>49805b4cce3c1b5d80dc</x:v>
      </x:c>
      <x:c r="C6564" s="2" t="str">
        <x:v>Tiền Giang</x:v>
      </x:c>
      <x:c r="D6564" s="2" t="str">
        <x:v>Huyện Gò Công Tây</x:v>
      </x:c>
      <x:c r="E6564" s="2" t="str">
        <x:v>land</x:v>
      </x:c>
      <x:c r="F6564" s="2" t="str">
        <x:v>sale_assumed</x:v>
      </x:c>
      <x:c r="G6564" s="11" t="n">
        <x:v>150</x:v>
      </x:c>
      <x:c r="H6564" s="12" t="n">
        <x:v>550000000</x:v>
      </x:c>
      <x:c r="I6564" s="12" t="n">
        <x:v>3666666.6666666665</x:v>
      </x:c>
      <x:c r="J6564" s="2" t="str">
        <x:v>total</x:v>
      </x:c>
      <x:c r="K6564" s="2" t="str">
        <x:v>top_level_area</x:v>
      </x:c>
      <x:c r="L6564" s="2" t="str">
        <x:v>property_type_inferred_from_title;transaction_assumed_sale_from_dataset_context</x:v>
      </x:c>
      <x:c r="M6564" s="10" t="n">
        <x:v>0</x:v>
      </x:c>
      <x:c r="N6564" s="10" t="n">
        <x:v>0</x:v>
      </x:c>
      <x:c r="O6564" s="2" t="str">
        <x:v>land</x:v>
      </x:c>
      <x:c r="P6564" s="10" t="n">
        <x:v>1</x:v>
      </x:c>
      <x:c r="Q6564" s="13" t="n">
        <x:f>IF(H6564="","",H6564/1000000000)</x:f>
        <x:v>0.55</x:v>
      </x:c>
      <x:c r="R6564" s="13" t="n">
        <x:f>IF(I6564="","",I6564/1000000)</x:f>
        <x:v>3.6666666666666665</x:v>
      </x:c>
    </x:row>
    <x:row r="6565" ht="21" customHeight="1">
      <x:c r="A6565" s="10" t="n">
        <x:v>8463</x:v>
      </x:c>
      <x:c r="B6565" s="2" t="str">
        <x:v>7153ee669a047312efdb</x:v>
      </x:c>
      <x:c r="C6565" s="2" t="str">
        <x:v>Hà Nội</x:v>
      </x:c>
      <x:c r="D6565" s="2" t="str">
        <x:v>Huyện Chương Mỹ</x:v>
      </x:c>
      <x:c r="E6565" s="2" t="str">
        <x:v>land</x:v>
      </x:c>
      <x:c r="F6565" s="2" t="str">
        <x:v>sale</x:v>
      </x:c>
      <x:c r="G6565" s="11" t="n">
        <x:v>1118</x:v>
      </x:c>
      <x:c r="H6565" s="12" t="n">
        <x:v>1900000000</x:v>
      </x:c>
      <x:c r="I6565" s="12" t="n">
        <x:v>1699463.3273703041</x:v>
      </x:c>
      <x:c r="J6565" s="2" t="str">
        <x:v>total</x:v>
      </x:c>
      <x:c r="K6565" s="2" t="str">
        <x:v>top_level_area</x:v>
      </x:c>
      <x:c r="L6565" s="2" t="str">
        <x:v>dot_thousands_convention;property_type_inferred_from_title</x:v>
      </x:c>
      <x:c r="M6565" s="10" t="n">
        <x:v>0</x:v>
      </x:c>
      <x:c r="N6565" s="10" t="n">
        <x:v>0</x:v>
      </x:c>
      <x:c r="O6565" s="2" t="str">
        <x:v>Hà Nội|land</x:v>
      </x:c>
      <x:c r="P6565" s="10" t="n">
        <x:v>1</x:v>
      </x:c>
      <x:c r="Q6565" s="13" t="n">
        <x:f>IF(H6565="","",H6565/1000000000)</x:f>
        <x:v>1.9</x:v>
      </x:c>
      <x:c r="R6565" s="13" t="n">
        <x:f>IF(I6565="","",I6565/1000000)</x:f>
        <x:v>1.6994633273703041</x:v>
      </x:c>
    </x:row>
    <x:row r="6566" ht="21" customHeight="1">
      <x:c r="A6566" s="10" t="n">
        <x:v>8464</x:v>
      </x:c>
      <x:c r="B6566" s="2" t="str">
        <x:v>90ffe705888ac8de97cc</x:v>
      </x:c>
      <x:c r="C6566" s="2" t="str">
        <x:v>Tp Hồ Chí Minh</x:v>
      </x:c>
      <x:c r="D6566" s="2" t="str">
        <x:v>Quận Thủ Đức</x:v>
      </x:c>
      <x:c r="E6566" s="2" t="str">
        <x:v>house</x:v>
      </x:c>
      <x:c r="F6566" s="2" t="str">
        <x:v>sale_assumed</x:v>
      </x:c>
      <x:c r="G6566" s="11" t="n">
        <x:v>53</x:v>
      </x:c>
      <x:c r="H6566" s="12" t="n">
        <x:v>5150000000</x:v>
      </x:c>
      <x:c r="I6566" s="12" t="n">
        <x:v>97169811.32075472</x:v>
      </x:c>
      <x:c r="J6566" s="2" t="str">
        <x:v>total</x:v>
      </x:c>
      <x:c r="K6566" s="2" t="str">
        <x:v>top_level_area</x:v>
      </x:c>
      <x:c r="L6566" s="2" t="str">
        <x:v>property_type_inferred_from_title;transaction_assumed_sale_from_dataset_context</x:v>
      </x:c>
      <x:c r="M6566" s="10" t="n">
        <x:v>0</x:v>
      </x:c>
      <x:c r="N6566" s="10" t="n">
        <x:v>0</x:v>
      </x:c>
      <x:c r="O6566" s="2" t="str">
        <x:v>Tp Hồ Chí Minh|house</x:v>
      </x:c>
      <x:c r="P6566" s="10" t="n">
        <x:v>2</x:v>
      </x:c>
      <x:c r="Q6566" s="13" t="n">
        <x:f>IF(H6566="","",H6566/1000000000)</x:f>
        <x:v>5.15</x:v>
      </x:c>
      <x:c r="R6566" s="13" t="n">
        <x:f>IF(I6566="","",I6566/1000000)</x:f>
        <x:v>97.16981132075472</x:v>
      </x:c>
    </x:row>
    <x:row r="6567" ht="21" customHeight="1">
      <x:c r="A6567" s="10" t="n">
        <x:v>8465</x:v>
      </x:c>
      <x:c r="B6567" s="2" t="str">
        <x:v>ff54b3690cc2a956bbd3</x:v>
      </x:c>
      <x:c r="C6567" s="2" t="str">
        <x:v>Tp Hồ Chí Minh</x:v>
      </x:c>
      <x:c r="D6567" s="2" t="str">
        <x:v>Quận 9</x:v>
      </x:c>
      <x:c r="E6567" s="2" t="str">
        <x:v>house</x:v>
      </x:c>
      <x:c r="F6567" s="2" t="str">
        <x:v>sale_assumed</x:v>
      </x:c>
      <x:c r="G6567" s="11" t="n">
        <x:v>60</x:v>
      </x:c>
      <x:c r="H6567" s="12" t="n">
        <x:v>2200000000</x:v>
      </x:c>
      <x:c r="I6567" s="12" t="n">
        <x:v>36666666.666666664</x:v>
      </x:c>
      <x:c r="J6567" s="2" t="str">
        <x:v>total</x:v>
      </x:c>
      <x:c r="K6567" s="2" t="str">
        <x:v>top_level_area</x:v>
      </x:c>
      <x:c r="L6567" s="2" t="str">
        <x:v>property_type_inferred_from_title;transaction_assumed_sale_from_dataset_context</x:v>
      </x:c>
      <x:c r="M6567" s="10" t="n">
        <x:v>0</x:v>
      </x:c>
      <x:c r="N6567" s="10" t="n">
        <x:v>0</x:v>
      </x:c>
      <x:c r="O6567" s="2" t="str">
        <x:v>Tp Hồ Chí Minh|house</x:v>
      </x:c>
      <x:c r="P6567" s="10" t="n">
        <x:v>2</x:v>
      </x:c>
      <x:c r="Q6567" s="13" t="n">
        <x:f>IF(H6567="","",H6567/1000000000)</x:f>
        <x:v>2.2</x:v>
      </x:c>
      <x:c r="R6567" s="13" t="n">
        <x:f>IF(I6567="","",I6567/1000000)</x:f>
        <x:v>36.666666666666664</x:v>
      </x:c>
    </x:row>
    <x:row r="6568" ht="21" customHeight="1">
      <x:c r="A6568" s="10" t="n">
        <x:v>8466</x:v>
      </x:c>
      <x:c r="B6568" s="2" t="str">
        <x:v>b05579a2495aab96280f</x:v>
      </x:c>
      <x:c r="C6568" s="2" t="str">
        <x:v>Long An</x:v>
      </x:c>
      <x:c r="D6568" s="2" t="str">
        <x:v>Huyện Cần Giuộc</x:v>
      </x:c>
      <x:c r="E6568" s="2" t="str">
        <x:v>house</x:v>
      </x:c>
      <x:c r="F6568" s="2" t="str">
        <x:v>sale</x:v>
      </x:c>
      <x:c r="G6568" s="11" t="n">
        <x:v>56</x:v>
      </x:c>
      <x:c r="H6568" s="12" t="n">
        <x:v>650000000</x:v>
      </x:c>
      <x:c r="I6568" s="12" t="n">
        <x:v>11607142.857142856</x:v>
      </x:c>
      <x:c r="J6568" s="2" t="str">
        <x:v>total</x:v>
      </x:c>
      <x:c r="K6568" s="2" t="str">
        <x:v>top_level_area</x:v>
      </x:c>
      <x:c r="L6568" s="2" t="str">
        <x:v>property_type_inferred_from_title</x:v>
      </x:c>
      <x:c r="M6568" s="10" t="n">
        <x:v>0</x:v>
      </x:c>
      <x:c r="N6568" s="10" t="n">
        <x:v>0</x:v>
      </x:c>
      <x:c r="O6568" s="2" t="str">
        <x:v>Long An|house</x:v>
      </x:c>
      <x:c r="P6568" s="10" t="n">
        <x:v>2</x:v>
      </x:c>
      <x:c r="Q6568" s="13" t="n">
        <x:f>IF(H6568="","",H6568/1000000000)</x:f>
        <x:v>0.65</x:v>
      </x:c>
      <x:c r="R6568" s="13" t="n">
        <x:f>IF(I6568="","",I6568/1000000)</x:f>
        <x:v>11.607142857142856</x:v>
      </x:c>
    </x:row>
    <x:row r="6569" ht="21" customHeight="1">
      <x:c r="A6569" s="10" t="n">
        <x:v>8467</x:v>
      </x:c>
      <x:c r="B6569" s="2" t="str">
        <x:v>f6cec9eab8e5a5956415</x:v>
      </x:c>
      <x:c r="C6569" s="2" t="str">
        <x:v>Long An</x:v>
      </x:c>
      <x:c r="D6569" s="2" t="str">
        <x:v>Huyện Bến Lức</x:v>
      </x:c>
      <x:c r="E6569" s="2" t="str">
        <x:v>land</x:v>
      </x:c>
      <x:c r="F6569" s="2" t="str">
        <x:v>sale_assumed</x:v>
      </x:c>
      <x:c r="G6569" s="11" t="n">
        <x:v>95</x:v>
      </x:c>
      <x:c r="H6569" s="12" t="n">
        <x:v>560000000</x:v>
      </x:c>
      <x:c r="I6569" s="12" t="n">
        <x:v>5894736.842105263</x:v>
      </x:c>
      <x:c r="J6569" s="2" t="str">
        <x:v>total</x:v>
      </x:c>
      <x:c r="K6569" s="2" t="str">
        <x:v>top_level_area</x:v>
      </x:c>
      <x:c r="L6569" s="2" t="str">
        <x:v>property_type_inferred_from_title;transaction_assumed_sale_from_dataset_context</x:v>
      </x:c>
      <x:c r="M6569" s="10" t="n">
        <x:v>0</x:v>
      </x:c>
      <x:c r="N6569" s="10" t="n">
        <x:v>0</x:v>
      </x:c>
      <x:c r="O6569" s="2" t="str">
        <x:v>Long An|land</x:v>
      </x:c>
      <x:c r="P6569" s="10" t="n">
        <x:v>2</x:v>
      </x:c>
      <x:c r="Q6569" s="13" t="n">
        <x:f>IF(H6569="","",H6569/1000000000)</x:f>
        <x:v>0.56</x:v>
      </x:c>
      <x:c r="R6569" s="13" t="n">
        <x:f>IF(I6569="","",I6569/1000000)</x:f>
        <x:v>5.894736842105263</x:v>
      </x:c>
    </x:row>
    <x:row r="6570" ht="21" customHeight="1">
      <x:c r="A6570" s="10" t="n">
        <x:v>8468</x:v>
      </x:c>
      <x:c r="B6570" s="2" t="str">
        <x:v>44171add34765a088458</x:v>
      </x:c>
      <x:c r="C6570" s="2" t="str">
        <x:v>Cần Thơ</x:v>
      </x:c>
      <x:c r="D6570" s="2" t="str">
        <x:v>Quận Cái Răng</x:v>
      </x:c>
      <x:c r="E6570" s="2" t="str">
        <x:v>house</x:v>
      </x:c>
      <x:c r="F6570" s="2" t="str">
        <x:v>sale_assumed</x:v>
      </x:c>
      <x:c r="G6570" s="11" t="n">
        <x:v>180</x:v>
      </x:c>
      <x:c r="H6570" s="12" t="n">
        <x:v>4099999999.9999995</x:v>
      </x:c>
      <x:c r="I6570" s="12" t="n">
        <x:v>22777777.777777776</x:v>
      </x:c>
      <x:c r="J6570" s="2" t="str">
        <x:v>total</x:v>
      </x:c>
      <x:c r="K6570" s="2" t="str">
        <x:v>top_level_area</x:v>
      </x:c>
      <x:c r="L6570" s="2" t="str">
        <x:v>property_type_inferred_from_title;transaction_assumed_sale_from_dataset_context</x:v>
      </x:c>
      <x:c r="M6570" s="10" t="n">
        <x:v>0</x:v>
      </x:c>
      <x:c r="N6570" s="10" t="n">
        <x:v>0</x:v>
      </x:c>
      <x:c r="O6570" s="2" t="str">
        <x:v>Cần Thơ|house</x:v>
      </x:c>
      <x:c r="P6570" s="10" t="n">
        <x:v>2</x:v>
      </x:c>
      <x:c r="Q6570" s="13" t="n">
        <x:f>IF(H6570="","",H6570/1000000000)</x:f>
        <x:v>4.1</x:v>
      </x:c>
      <x:c r="R6570" s="13" t="n">
        <x:f>IF(I6570="","",I6570/1000000)</x:f>
        <x:v>22.777777777777775</x:v>
      </x:c>
    </x:row>
    <x:row r="6571" ht="21" customHeight="1">
      <x:c r="A6571" s="10" t="n">
        <x:v>8469</x:v>
      </x:c>
      <x:c r="B6571" s="2" t="str">
        <x:v>641ab8629d45e67d890c</x:v>
      </x:c>
      <x:c r="C6571" s="2" t="str">
        <x:v>Tp Hồ Chí Minh</x:v>
      </x:c>
      <x:c r="D6571" s="2" t="str">
        <x:v>Quận 8</x:v>
      </x:c>
      <x:c r="E6571" s="2" t="str">
        <x:v>house</x:v>
      </x:c>
      <x:c r="F6571" s="2" t="str">
        <x:v>sale</x:v>
      </x:c>
      <x:c r="G6571" s="11" t="n">
        <x:v>78</x:v>
      </x:c>
      <x:c r="H6571" s="12" t="n">
        <x:v>3700000000</x:v>
      </x:c>
      <x:c r="I6571" s="12" t="n">
        <x:v>47435897.43589743</x:v>
      </x:c>
      <x:c r="J6571" s="2" t="str">
        <x:v>total</x:v>
      </x:c>
      <x:c r="K6571" s="2" t="str">
        <x:v>top_level_area</x:v>
      </x:c>
      <x:c r="L6571" s="2" t="str">
        <x:v>property_type_inferred_from_title</x:v>
      </x:c>
      <x:c r="M6571" s="10" t="n">
        <x:v>0</x:v>
      </x:c>
      <x:c r="N6571" s="10" t="n">
        <x:v>0</x:v>
      </x:c>
      <x:c r="O6571" s="2" t="str">
        <x:v>Tp Hồ Chí Minh|house</x:v>
      </x:c>
      <x:c r="P6571" s="10" t="n">
        <x:v>2</x:v>
      </x:c>
      <x:c r="Q6571" s="13" t="n">
        <x:f>IF(H6571="","",H6571/1000000000)</x:f>
        <x:v>3.7</x:v>
      </x:c>
      <x:c r="R6571" s="13" t="n">
        <x:f>IF(I6571="","",I6571/1000000)</x:f>
        <x:v>47.43589743589743</x:v>
      </x:c>
    </x:row>
    <x:row r="6572" ht="21" customHeight="1">
      <x:c r="A6572" s="10" t="n">
        <x:v>8470</x:v>
      </x:c>
      <x:c r="B6572" s="2" t="str">
        <x:v>fbe0b23059919b805e3f</x:v>
      </x:c>
      <x:c r="C6572" s="2" t="str">
        <x:v>Hải Phòng</x:v>
      </x:c>
      <x:c r="D6572" s="2" t="str">
        <x:v>Quận Lê Chân</x:v>
      </x:c>
      <x:c r="E6572" s="2" t="str">
        <x:v>house</x:v>
      </x:c>
      <x:c r="F6572" s="2" t="str">
        <x:v>sale</x:v>
      </x:c>
      <x:c r="G6572" s="11" t="n">
        <x:v>118</x:v>
      </x:c>
      <x:c r="H6572" s="12" t="n">
        <x:v>2550000000</x:v>
      </x:c>
      <x:c r="I6572" s="12" t="n">
        <x:v>21610169.491525423</x:v>
      </x:c>
      <x:c r="J6572" s="2" t="str">
        <x:v>total</x:v>
      </x:c>
      <x:c r="K6572" s="2" t="str">
        <x:v>top_level_area</x:v>
      </x:c>
      <x:c r="L6572" s="2" t="str">
        <x:v>property_type_inferred_from_title</x:v>
      </x:c>
      <x:c r="M6572" s="10" t="n">
        <x:v>0</x:v>
      </x:c>
      <x:c r="N6572" s="10" t="n">
        <x:v>0</x:v>
      </x:c>
      <x:c r="O6572" s="2" t="str">
        <x:v>house</x:v>
      </x:c>
      <x:c r="P6572" s="10" t="n">
        <x:v>2</x:v>
      </x:c>
      <x:c r="Q6572" s="13" t="n">
        <x:f>IF(H6572="","",H6572/1000000000)</x:f>
        <x:v>2.55</x:v>
      </x:c>
      <x:c r="R6572" s="13" t="n">
        <x:f>IF(I6572="","",I6572/1000000)</x:f>
        <x:v>21.610169491525422</x:v>
      </x:c>
    </x:row>
    <x:row r="6573" ht="21" customHeight="1">
      <x:c r="A6573" s="10" t="n">
        <x:v>8471</x:v>
      </x:c>
      <x:c r="B6573" s="2" t="str">
        <x:v>8edcdb987e4879980ae4</x:v>
      </x:c>
      <x:c r="C6573" s="2" t="str">
        <x:v>Bình Định</x:v>
      </x:c>
      <x:c r="D6573" s="2" t="str">
        <x:v>Thành phố Qui Nhơn</x:v>
      </x:c>
      <x:c r="E6573" s="2" t="str">
        <x:v>land</x:v>
      </x:c>
      <x:c r="F6573" s="2" t="str">
        <x:v>sale_assumed</x:v>
      </x:c>
      <x:c r="G6573" s="11" t="n">
        <x:v>108</x:v>
      </x:c>
      <x:c r="H6573" s="12" t="n">
        <x:v>1890000000</x:v>
      </x:c>
      <x:c r="I6573" s="12" t="n">
        <x:v>17500000</x:v>
      </x:c>
      <x:c r="J6573" s="2" t="str">
        <x:v>total</x:v>
      </x:c>
      <x:c r="K6573" s="2" t="str">
        <x:v>top_level_area</x:v>
      </x:c>
      <x:c r="L6573" s="2" t="str">
        <x:v>property_type_inferred_from_title;transaction_assumed_sale_from_dataset_context</x:v>
      </x:c>
      <x:c r="M6573" s="10" t="n">
        <x:v>0</x:v>
      </x:c>
      <x:c r="N6573" s="10" t="n">
        <x:v>0</x:v>
      </x:c>
      <x:c r="O6573" s="2" t="str">
        <x:v>land</x:v>
      </x:c>
      <x:c r="P6573" s="10" t="n">
        <x:v>2</x:v>
      </x:c>
      <x:c r="Q6573" s="13" t="n">
        <x:f>IF(H6573="","",H6573/1000000000)</x:f>
        <x:v>1.89</x:v>
      </x:c>
      <x:c r="R6573" s="13" t="n">
        <x:f>IF(I6573="","",I6573/1000000)</x:f>
        <x:v>17.5</x:v>
      </x:c>
    </x:row>
    <x:row r="6574" ht="21" customHeight="1">
      <x:c r="A6574" s="10" t="n">
        <x:v>8472</x:v>
      </x:c>
      <x:c r="B6574" s="2" t="str">
        <x:v>9811d24b4ccdc7f2830f</x:v>
      </x:c>
      <x:c r="C6574" s="2" t="str">
        <x:v>Long An</x:v>
      </x:c>
      <x:c r="D6574" s="2" t="str">
        <x:v>Huyện Bến Lức</x:v>
      </x:c>
      <x:c r="E6574" s="2" t="str">
        <x:v>house</x:v>
      </x:c>
      <x:c r="F6574" s="2" t="str">
        <x:v>sale_assumed</x:v>
      </x:c>
      <x:c r="G6574" s="11" t="n">
        <x:v>110</x:v>
      </x:c>
      <x:c r="H6574" s="12" t="n">
        <x:v>1350000000</x:v>
      </x:c>
      <x:c r="I6574" s="12" t="n">
        <x:v>12272727.272727273</x:v>
      </x:c>
      <x:c r="J6574" s="2" t="str">
        <x:v>total</x:v>
      </x:c>
      <x:c r="K6574" s="2" t="str">
        <x:v>top_level_area</x:v>
      </x:c>
      <x:c r="L6574" s="2" t="str">
        <x:v>property_type_inferred_from_title;transaction_assumed_sale_from_dataset_context</x:v>
      </x:c>
      <x:c r="M6574" s="10" t="n">
        <x:v>0</x:v>
      </x:c>
      <x:c r="N6574" s="10" t="n">
        <x:v>0</x:v>
      </x:c>
      <x:c r="O6574" s="2" t="str">
        <x:v>Long An|house</x:v>
      </x:c>
      <x:c r="P6574" s="10" t="n">
        <x:v>2</x:v>
      </x:c>
      <x:c r="Q6574" s="13" t="n">
        <x:f>IF(H6574="","",H6574/1000000000)</x:f>
        <x:v>1.35</x:v>
      </x:c>
      <x:c r="R6574" s="13" t="n">
        <x:f>IF(I6574="","",I6574/1000000)</x:f>
        <x:v>12.272727272727273</x:v>
      </x:c>
    </x:row>
    <x:row r="6575" ht="21" customHeight="1">
      <x:c r="A6575" s="10" t="n">
        <x:v>8473</x:v>
      </x:c>
      <x:c r="B6575" s="2" t="str">
        <x:v>ed5d1a54336368d5431f</x:v>
      </x:c>
      <x:c r="C6575" s="2" t="str">
        <x:v>Tp Hồ Chí Minh</x:v>
      </x:c>
      <x:c r="D6575" s="2" t="str">
        <x:v>Huyện Củ Chi</x:v>
      </x:c>
      <x:c r="E6575" s="2" t="str">
        <x:v>land</x:v>
      </x:c>
      <x:c r="F6575" s="2" t="str">
        <x:v>sale_assumed</x:v>
      </x:c>
      <x:c r="G6575" s="11" t="n">
        <x:v>230</x:v>
      </x:c>
      <x:c r="H6575" s="12" t="n">
        <x:v>720000000</x:v>
      </x:c>
      <x:c r="I6575" s="12" t="n">
        <x:v>3130434.782608696</x:v>
      </x:c>
      <x:c r="J6575" s="2" t="str">
        <x:v>total</x:v>
      </x:c>
      <x:c r="K6575" s="2" t="str">
        <x:v>top_level_area</x:v>
      </x:c>
      <x:c r="L6575" s="2" t="str">
        <x:v>property_type_inferred_from_title;transaction_assumed_sale_from_dataset_context</x:v>
      </x:c>
      <x:c r="M6575" s="10" t="n">
        <x:v>0</x:v>
      </x:c>
      <x:c r="N6575" s="10" t="n">
        <x:v>0</x:v>
      </x:c>
      <x:c r="O6575" s="2" t="str">
        <x:v>Tp Hồ Chí Minh|land</x:v>
      </x:c>
      <x:c r="P6575" s="10" t="n">
        <x:v>1</x:v>
      </x:c>
      <x:c r="Q6575" s="13" t="n">
        <x:f>IF(H6575="","",H6575/1000000000)</x:f>
        <x:v>0.72</x:v>
      </x:c>
      <x:c r="R6575" s="13" t="n">
        <x:f>IF(I6575="","",I6575/1000000)</x:f>
        <x:v>3.130434782608696</x:v>
      </x:c>
    </x:row>
    <x:row r="6576" ht="21" customHeight="1">
      <x:c r="A6576" s="10" t="n">
        <x:v>8474</x:v>
      </x:c>
      <x:c r="B6576" s="2" t="str">
        <x:v>8031673c7d59f84866b3</x:v>
      </x:c>
      <x:c r="C6576" s="2" t="str">
        <x:v>Đồng Nai</x:v>
      </x:c>
      <x:c r="D6576" s="2" t="str">
        <x:v>Huyện Long Thành</x:v>
      </x:c>
      <x:c r="E6576" s="2" t="str">
        <x:v>land</x:v>
      </x:c>
      <x:c r="F6576" s="2" t="str">
        <x:v>sale_assumed</x:v>
      </x:c>
      <x:c r="G6576" s="11" t="n">
        <x:v>1000</x:v>
      </x:c>
      <x:c r="H6576" s="12" t="n">
        <x:v>2950000000</x:v>
      </x:c>
      <x:c r="I6576" s="12" t="n">
        <x:v>2950000</x:v>
      </x:c>
      <x:c r="J6576" s="2" t="str">
        <x:v>total</x:v>
      </x:c>
      <x:c r="K6576" s="2" t="str">
        <x:v>top_level_price_embedded_area</x:v>
      </x:c>
      <x:c r="L6576" s="2" t="str">
        <x:v>area_recovered_from_price_text;dot_thousands_convention;property_type_inferred_from_title;transaction_assumed_sale_from_dataset_context</x:v>
      </x:c>
      <x:c r="M6576" s="10" t="n">
        <x:v>0</x:v>
      </x:c>
      <x:c r="N6576" s="10" t="n">
        <x:v>0</x:v>
      </x:c>
      <x:c r="O6576" s="2" t="str">
        <x:v>Đồng Nai|land</x:v>
      </x:c>
      <x:c r="P6576" s="10" t="n">
        <x:v>1</x:v>
      </x:c>
      <x:c r="Q6576" s="13" t="n">
        <x:f>IF(H6576="","",H6576/1000000000)</x:f>
        <x:v>2.95</x:v>
      </x:c>
      <x:c r="R6576" s="13" t="n">
        <x:f>IF(I6576="","",I6576/1000000)</x:f>
        <x:v>2.95</x:v>
      </x:c>
    </x:row>
    <x:row r="6577" ht="21" customHeight="1">
      <x:c r="A6577" s="10" t="n">
        <x:v>8475</x:v>
      </x:c>
      <x:c r="B6577" s="2" t="str">
        <x:v>2704804c94ef19e37c1a</x:v>
      </x:c>
      <x:c r="C6577" s="2" t="str">
        <x:v>Tp Hồ Chí Minh</x:v>
      </x:c>
      <x:c r="D6577" s="2" t="str">
        <x:v>Huyện Hóc Môn</x:v>
      </x:c>
      <x:c r="E6577" s="2" t="str">
        <x:v>house</x:v>
      </x:c>
      <x:c r="F6577" s="2" t="str">
        <x:v>sale_assumed</x:v>
      </x:c>
      <x:c r="G6577" s="11" t="n">
        <x:v>55</x:v>
      </x:c>
      <x:c r="H6577" s="12" t="n">
        <x:v>1450000000</x:v>
      </x:c>
      <x:c r="I6577" s="12" t="n">
        <x:v>26363636.363636363</x:v>
      </x:c>
      <x:c r="J6577" s="2" t="str">
        <x:v>total</x:v>
      </x:c>
      <x:c r="K6577" s="2" t="str">
        <x:v>top_level_area</x:v>
      </x:c>
      <x:c r="L6577" s="2" t="str">
        <x:v>property_type_inferred_from_title;transaction_assumed_sale_from_dataset_context</x:v>
      </x:c>
      <x:c r="M6577" s="10" t="n">
        <x:v>0</x:v>
      </x:c>
      <x:c r="N6577" s="10" t="n">
        <x:v>0</x:v>
      </x:c>
      <x:c r="O6577" s="2" t="str">
        <x:v>Tp Hồ Chí Minh|house</x:v>
      </x:c>
      <x:c r="P6577" s="10" t="n">
        <x:v>2</x:v>
      </x:c>
      <x:c r="Q6577" s="13" t="n">
        <x:f>IF(H6577="","",H6577/1000000000)</x:f>
        <x:v>1.45</x:v>
      </x:c>
      <x:c r="R6577" s="13" t="n">
        <x:f>IF(I6577="","",I6577/1000000)</x:f>
        <x:v>26.363636363636363</x:v>
      </x:c>
    </x:row>
    <x:row r="6578" ht="21" customHeight="1">
      <x:c r="A6578" s="10" t="n">
        <x:v>8476</x:v>
      </x:c>
      <x:c r="B6578" s="2" t="str">
        <x:v>fdc548bdcadac95c6f79</x:v>
      </x:c>
      <x:c r="C6578" s="2" t="str">
        <x:v>Tp Hồ Chí Minh</x:v>
      </x:c>
      <x:c r="D6578" s="2" t="str">
        <x:v>Quận 9</x:v>
      </x:c>
      <x:c r="E6578" s="2" t="str">
        <x:v>house</x:v>
      </x:c>
      <x:c r="F6578" s="2" t="str">
        <x:v>sale</x:v>
      </x:c>
      <x:c r="G6578" s="11" t="n">
        <x:v>90</x:v>
      </x:c>
      <x:c r="H6578" s="12" t="n">
        <x:v>3900000000</x:v>
      </x:c>
      <x:c r="I6578" s="12" t="n">
        <x:v>43333333.333333336</x:v>
      </x:c>
      <x:c r="J6578" s="2" t="str">
        <x:v>total</x:v>
      </x:c>
      <x:c r="K6578" s="2" t="str">
        <x:v>top_level_area</x:v>
      </x:c>
      <x:c r="L6578" s="2" t="str">
        <x:v>property_type_inferred_from_title</x:v>
      </x:c>
      <x:c r="M6578" s="10" t="n">
        <x:v>0</x:v>
      </x:c>
      <x:c r="N6578" s="10" t="n">
        <x:v>0</x:v>
      </x:c>
      <x:c r="O6578" s="2" t="str">
        <x:v>Tp Hồ Chí Minh|house</x:v>
      </x:c>
      <x:c r="P6578" s="10" t="n">
        <x:v>2</x:v>
      </x:c>
      <x:c r="Q6578" s="13" t="n">
        <x:f>IF(H6578="","",H6578/1000000000)</x:f>
        <x:v>3.9</x:v>
      </x:c>
      <x:c r="R6578" s="13" t="n">
        <x:f>IF(I6578="","",I6578/1000000)</x:f>
        <x:v>43.333333333333336</x:v>
      </x:c>
    </x:row>
    <x:row r="6579" ht="21" customHeight="1">
      <x:c r="A6579" s="10" t="n">
        <x:v>8477</x:v>
      </x:c>
      <x:c r="B6579" s="2" t="str">
        <x:v>1c60e60b75926cedea30</x:v>
      </x:c>
      <x:c r="C6579" s="2" t="str">
        <x:v>Hà Nội</x:v>
      </x:c>
      <x:c r="D6579" s="2" t="str">
        <x:v>Quận Thanh Xuân</x:v>
      </x:c>
      <x:c r="E6579" s="2" t="str">
        <x:v>house</x:v>
      </x:c>
      <x:c r="F6579" s="2" t="str">
        <x:v>sale_assumed</x:v>
      </x:c>
      <x:c r="G6579" s="11" t="n">
        <x:v>40</x:v>
      </x:c>
      <x:c r="H6579" s="12" t="n">
        <x:v>2800000000</x:v>
      </x:c>
      <x:c r="I6579" s="12" t="n">
        <x:v>70000000</x:v>
      </x:c>
      <x:c r="J6579" s="2" t="str">
        <x:v>total</x:v>
      </x:c>
      <x:c r="K6579" s="2" t="str">
        <x:v>top_level_area</x:v>
      </x:c>
      <x:c r="L6579" s="2" t="str">
        <x:v>property_type_inferred_from_title;transaction_assumed_sale_from_dataset_context</x:v>
      </x:c>
      <x:c r="M6579" s="10" t="n">
        <x:v>0</x:v>
      </x:c>
      <x:c r="N6579" s="10" t="n">
        <x:v>0</x:v>
      </x:c>
      <x:c r="O6579" s="2" t="str">
        <x:v>Hà Nội|house</x:v>
      </x:c>
      <x:c r="P6579" s="10" t="n">
        <x:v>2</x:v>
      </x:c>
      <x:c r="Q6579" s="13" t="n">
        <x:f>IF(H6579="","",H6579/1000000000)</x:f>
        <x:v>2.8</x:v>
      </x:c>
      <x:c r="R6579" s="13" t="n">
        <x:f>IF(I6579="","",I6579/1000000)</x:f>
        <x:v>70</x:v>
      </x:c>
    </x:row>
    <x:row r="6580" ht="21" customHeight="1">
      <x:c r="A6580" s="10" t="n">
        <x:v>8478</x:v>
      </x:c>
      <x:c r="B6580" s="2" t="str">
        <x:v>05fa102adfcb0fdb8336</x:v>
      </x:c>
      <x:c r="C6580" s="2" t="str">
        <x:v>Hà Nội</x:v>
      </x:c>
      <x:c r="D6580" s="2" t="str">
        <x:v>Quận Hoàng Mai</x:v>
      </x:c>
      <x:c r="E6580" s="2" t="str">
        <x:v>house</x:v>
      </x:c>
      <x:c r="F6580" s="2" t="str">
        <x:v>sale</x:v>
      </x:c>
      <x:c r="G6580" s="11" t="n">
        <x:v>30</x:v>
      </x:c>
      <x:c r="H6580" s="12" t="n">
        <x:v>2200000000</x:v>
      </x:c>
      <x:c r="I6580" s="12" t="n">
        <x:v>73333333.33333333</x:v>
      </x:c>
      <x:c r="J6580" s="2" t="str">
        <x:v>total</x:v>
      </x:c>
      <x:c r="K6580" s="2" t="str">
        <x:v>top_level_area</x:v>
      </x:c>
      <x:c r="L6580" s="2" t="str">
        <x:v>property_type_inferred_from_title</x:v>
      </x:c>
      <x:c r="M6580" s="10" t="n">
        <x:v>0</x:v>
      </x:c>
      <x:c r="N6580" s="10" t="n">
        <x:v>0</x:v>
      </x:c>
      <x:c r="O6580" s="2" t="str">
        <x:v>Hà Nội|house</x:v>
      </x:c>
      <x:c r="P6580" s="10" t="n">
        <x:v>2</x:v>
      </x:c>
      <x:c r="Q6580" s="13" t="n">
        <x:f>IF(H6580="","",H6580/1000000000)</x:f>
        <x:v>2.2</x:v>
      </x:c>
      <x:c r="R6580" s="13" t="n">
        <x:f>IF(I6580="","",I6580/1000000)</x:f>
        <x:v>73.33333333333333</x:v>
      </x:c>
    </x:row>
    <x:row r="6581" ht="21" customHeight="1">
      <x:c r="A6581" s="10" t="n">
        <x:v>8479</x:v>
      </x:c>
      <x:c r="B6581" s="2" t="str">
        <x:v>e951c961adb23b027286</x:v>
      </x:c>
      <x:c r="C6581" s="2" t="str">
        <x:v>Hậu Giang</x:v>
      </x:c>
      <x:c r="D6581" s="2" t="str">
        <x:v>Huyện Châu Thành</x:v>
      </x:c>
      <x:c r="E6581" s="2" t="str">
        <x:v>house</x:v>
      </x:c>
      <x:c r="F6581" s="2" t="str">
        <x:v>sale_assumed</x:v>
      </x:c>
      <x:c r="G6581" s="11" t="n">
        <x:v>70</x:v>
      </x:c>
      <x:c r="H6581" s="12" t="n">
        <x:v>380000000</x:v>
      </x:c>
      <x:c r="I6581" s="12" t="n">
        <x:v>5428571.428571428</x:v>
      </x:c>
      <x:c r="J6581" s="2" t="str">
        <x:v>total</x:v>
      </x:c>
      <x:c r="K6581" s="2" t="str">
        <x:v>top_level_area</x:v>
      </x:c>
      <x:c r="L6581" s="2" t="str">
        <x:v>property_type_inferred_from_title;transaction_assumed_sale_from_dataset_context</x:v>
      </x:c>
      <x:c r="M6581" s="10" t="n">
        <x:v>0</x:v>
      </x:c>
      <x:c r="N6581" s="10" t="n">
        <x:v>0</x:v>
      </x:c>
      <x:c r="O6581" s="2" t="str">
        <x:v>house</x:v>
      </x:c>
      <x:c r="P6581" s="10" t="n">
        <x:v>2</x:v>
      </x:c>
      <x:c r="Q6581" s="13" t="n">
        <x:f>IF(H6581="","",H6581/1000000000)</x:f>
        <x:v>0.38</x:v>
      </x:c>
      <x:c r="R6581" s="13" t="n">
        <x:f>IF(I6581="","",I6581/1000000)</x:f>
        <x:v>5.428571428571428</x:v>
      </x:c>
    </x:row>
    <x:row r="6582" ht="21" customHeight="1">
      <x:c r="A6582" s="10" t="n">
        <x:v>8480</x:v>
      </x:c>
      <x:c r="B6582" s="2" t="str">
        <x:v>fafd2aab62d56c1bc186</x:v>
      </x:c>
      <x:c r="C6582" s="2" t="str">
        <x:v>Đà Nẵng</x:v>
      </x:c>
      <x:c r="D6582" s="2" t="str">
        <x:v>Quận Thanh Khê</x:v>
      </x:c>
      <x:c r="E6582" s="2" t="str">
        <x:v>land</x:v>
      </x:c>
      <x:c r="F6582" s="2" t="str">
        <x:v>sale</x:v>
      </x:c>
      <x:c r="G6582" s="11" t="n">
        <x:v>73</x:v>
      </x:c>
      <x:c r="H6582" s="12" t="n">
        <x:v>4000000000</x:v>
      </x:c>
      <x:c r="I6582" s="12" t="n">
        <x:v>54794520.54794521</x:v>
      </x:c>
      <x:c r="J6582" s="2" t="str">
        <x:v>total</x:v>
      </x:c>
      <x:c r="K6582" s="2" t="str">
        <x:v>top_level_area</x:v>
      </x:c>
      <x:c r="L6582" s="2" t="str">
        <x:v>property_type_inferred_from_title</x:v>
      </x:c>
      <x:c r="M6582" s="10" t="n">
        <x:v>0</x:v>
      </x:c>
      <x:c r="N6582" s="10" t="n">
        <x:v>0</x:v>
      </x:c>
      <x:c r="O6582" s="2" t="str">
        <x:v>Đà Nẵng|land</x:v>
      </x:c>
      <x:c r="P6582" s="10" t="n">
        <x:v>2</x:v>
      </x:c>
      <x:c r="Q6582" s="13" t="n">
        <x:f>IF(H6582="","",H6582/1000000000)</x:f>
        <x:v>4</x:v>
      </x:c>
      <x:c r="R6582" s="13" t="n">
        <x:f>IF(I6582="","",I6582/1000000)</x:f>
        <x:v>54.79452054794521</x:v>
      </x:c>
    </x:row>
    <x:row r="6583" ht="21" customHeight="1">
      <x:c r="A6583" s="10" t="n">
        <x:v>8481</x:v>
      </x:c>
      <x:c r="B6583" s="2" t="str">
        <x:v>471a75c40beb26179930</x:v>
      </x:c>
      <x:c r="C6583" s="2" t="str">
        <x:v>Tp Hồ Chí Minh</x:v>
      </x:c>
      <x:c r="D6583" s="2" t="str">
        <x:v>Huyện Hóc Môn</x:v>
      </x:c>
      <x:c r="E6583" s="2" t="str">
        <x:v>apartment</x:v>
      </x:c>
      <x:c r="F6583" s="2" t="str">
        <x:v>sale_assumed</x:v>
      </x:c>
      <x:c r="G6583" s="11" t="n">
        <x:v>45</x:v>
      </x:c>
      <x:c r="H6583" s="12" t="n">
        <x:v>280000000</x:v>
      </x:c>
      <x:c r="I6583" s="12" t="n">
        <x:v>6222222.222222222</x:v>
      </x:c>
      <x:c r="J6583" s="2" t="str">
        <x:v>total</x:v>
      </x:c>
      <x:c r="K6583" s="2" t="str">
        <x:v>top_level_area</x:v>
      </x:c>
      <x:c r="L6583" s="2" t="str">
        <x:v>property_type_inferred_from_title;transaction_assumed_sale_from_dataset_context</x:v>
      </x:c>
      <x:c r="M6583" s="10" t="n">
        <x:v>0</x:v>
      </x:c>
      <x:c r="N6583" s="10" t="n">
        <x:v>0</x:v>
      </x:c>
      <x:c r="O6583" s="2" t="str">
        <x:v>Tp Hồ Chí Minh|apartment</x:v>
      </x:c>
      <x:c r="P6583" s="10" t="n">
        <x:v>2</x:v>
      </x:c>
      <x:c r="Q6583" s="13" t="n">
        <x:f>IF(H6583="","",H6583/1000000000)</x:f>
        <x:v>0.28</x:v>
      </x:c>
      <x:c r="R6583" s="13" t="n">
        <x:f>IF(I6583="","",I6583/1000000)</x:f>
        <x:v>6.222222222222222</x:v>
      </x:c>
    </x:row>
    <x:row r="6584" ht="21" customHeight="1">
      <x:c r="A6584" s="10" t="n">
        <x:v>8482</x:v>
      </x:c>
      <x:c r="B6584" s="2" t="str">
        <x:v>8746c0e9cb6b7695c43f</x:v>
      </x:c>
      <x:c r="C6584" s="2" t="str">
        <x:v>Tp Hồ Chí Minh</x:v>
      </x:c>
      <x:c r="D6584" s="2" t="str">
        <x:v>Quận Bình Tân</x:v>
      </x:c>
      <x:c r="E6584" s="2" t="str">
        <x:v>house</x:v>
      </x:c>
      <x:c r="F6584" s="2" t="str">
        <x:v>sale</x:v>
      </x:c>
      <x:c r="G6584" s="11" t="n">
        <x:v>36</x:v>
      </x:c>
      <x:c r="H6584" s="12" t="n">
        <x:v>1580000000</x:v>
      </x:c>
      <x:c r="I6584" s="12" t="n">
        <x:v>43888888.88888889</x:v>
      </x:c>
      <x:c r="J6584" s="2" t="str">
        <x:v>total</x:v>
      </x:c>
      <x:c r="K6584" s="2" t="str">
        <x:v>top_level_area</x:v>
      </x:c>
      <x:c r="L6584" s="2" t="str">
        <x:v>property_type_inferred_from_title</x:v>
      </x:c>
      <x:c r="M6584" s="10" t="n">
        <x:v>0</x:v>
      </x:c>
      <x:c r="N6584" s="10" t="n">
        <x:v>0</x:v>
      </x:c>
      <x:c r="O6584" s="2" t="str">
        <x:v>Tp Hồ Chí Minh|house</x:v>
      </x:c>
      <x:c r="P6584" s="10" t="n">
        <x:v>2</x:v>
      </x:c>
      <x:c r="Q6584" s="13" t="n">
        <x:f>IF(H6584="","",H6584/1000000000)</x:f>
        <x:v>1.58</x:v>
      </x:c>
      <x:c r="R6584" s="13" t="n">
        <x:f>IF(I6584="","",I6584/1000000)</x:f>
        <x:v>43.888888888888886</x:v>
      </x:c>
    </x:row>
    <x:row r="6585" ht="21" customHeight="1">
      <x:c r="A6585" s="10" t="n">
        <x:v>8486</x:v>
      </x:c>
      <x:c r="B6585" s="2" t="str">
        <x:v>d9154048c6e0712e9198</x:v>
      </x:c>
      <x:c r="C6585" s="2" t="str">
        <x:v>Tp Hồ Chí Minh</x:v>
      </x:c>
      <x:c r="D6585" s="2" t="str">
        <x:v>Quận Phú Nhuận</x:v>
      </x:c>
      <x:c r="E6585" s="2" t="str">
        <x:v>house</x:v>
      </x:c>
      <x:c r="F6585" s="2" t="str">
        <x:v>sale_assumed</x:v>
      </x:c>
      <x:c r="G6585" s="11" t="n">
        <x:v>50</x:v>
      </x:c>
      <x:c r="H6585" s="12" t="n">
        <x:v>11000000000</x:v>
      </x:c>
      <x:c r="I6585" s="12" t="n">
        <x:v>220000000</x:v>
      </x:c>
      <x:c r="J6585" s="2" t="str">
        <x:v>total</x:v>
      </x:c>
      <x:c r="K6585" s="2" t="str">
        <x:v>top_level_area</x:v>
      </x:c>
      <x:c r="L6585" s="2" t="str">
        <x:v>property_type_inferred_from_title;transaction_assumed_sale_from_dataset_context</x:v>
      </x:c>
      <x:c r="M6585" s="10" t="n">
        <x:v>1</x:v>
      </x:c>
      <x:c r="N6585" s="10" t="n">
        <x:v>1</x:v>
      </x:c>
      <x:c r="O6585" s="2" t="str">
        <x:v>Tp Hồ Chí Minh|house</x:v>
      </x:c>
      <x:c r="P6585" s="10" t="n">
        <x:v>-1</x:v>
      </x:c>
      <x:c r="Q6585" s="13" t="n">
        <x:f>IF(H6585="","",H6585/1000000000)</x:f>
        <x:v>11</x:v>
      </x:c>
      <x:c r="R6585" s="13" t="n">
        <x:f>IF(I6585="","",I6585/1000000)</x:f>
        <x:v>220</x:v>
      </x:c>
    </x:row>
    <x:row r="6586" ht="21" customHeight="1">
      <x:c r="A6586" s="10" t="n">
        <x:v>8487</x:v>
      </x:c>
      <x:c r="B6586" s="2" t="str">
        <x:v>90fcd80cd50294343e8a</x:v>
      </x:c>
      <x:c r="C6586" s="2" t="str">
        <x:v>Tp Hồ Chí Minh</x:v>
      </x:c>
      <x:c r="D6586" s="2" t="str">
        <x:v>Quận 4</x:v>
      </x:c>
      <x:c r="E6586" s="2" t="str">
        <x:v>house</x:v>
      </x:c>
      <x:c r="F6586" s="2" t="str">
        <x:v>sale_assumed</x:v>
      </x:c>
      <x:c r="G6586" s="11" t="n">
        <x:v>32</x:v>
      </x:c>
      <x:c r="H6586" s="12" t="n">
        <x:v>1700000000</x:v>
      </x:c>
      <x:c r="I6586" s="12" t="n">
        <x:v>53125000</x:v>
      </x:c>
      <x:c r="J6586" s="2" t="str">
        <x:v>total</x:v>
      </x:c>
      <x:c r="K6586" s="2" t="str">
        <x:v>top_level_area</x:v>
      </x:c>
      <x:c r="L6586" s="2" t="str">
        <x:v>property_type_inferred_from_title;transaction_assumed_sale_from_dataset_context</x:v>
      </x:c>
      <x:c r="M6586" s="10" t="n">
        <x:v>0</x:v>
      </x:c>
      <x:c r="N6586" s="10" t="n">
        <x:v>0</x:v>
      </x:c>
      <x:c r="O6586" s="2" t="str">
        <x:v>Tp Hồ Chí Minh|house</x:v>
      </x:c>
      <x:c r="P6586" s="10" t="n">
        <x:v>2</x:v>
      </x:c>
      <x:c r="Q6586" s="13" t="n">
        <x:f>IF(H6586="","",H6586/1000000000)</x:f>
        <x:v>1.7</x:v>
      </x:c>
      <x:c r="R6586" s="13" t="n">
        <x:f>IF(I6586="","",I6586/1000000)</x:f>
        <x:v>53.125</x:v>
      </x:c>
    </x:row>
    <x:row r="6587" ht="21" customHeight="1">
      <x:c r="A6587" s="10" t="n">
        <x:v>8488</x:v>
      </x:c>
      <x:c r="B6587" s="2" t="str">
        <x:v>c2fddf816f9e2fa6c1fc</x:v>
      </x:c>
      <x:c r="C6587" s="2" t="str">
        <x:v>Tp Hồ Chí Minh</x:v>
      </x:c>
      <x:c r="D6587" s="2" t="str">
        <x:v>Quận Tân Phú</x:v>
      </x:c>
      <x:c r="E6587" s="2" t="str">
        <x:v>house</x:v>
      </x:c>
      <x:c r="F6587" s="2" t="str">
        <x:v>sale_assumed</x:v>
      </x:c>
      <x:c r="G6587" s="11" t="n">
        <x:v>48</x:v>
      </x:c>
      <x:c r="H6587" s="12" t="n">
        <x:v>5100000000</x:v>
      </x:c>
      <x:c r="I6587" s="12" t="n">
        <x:v>106250000</x:v>
      </x:c>
      <x:c r="J6587" s="2" t="str">
        <x:v>total</x:v>
      </x:c>
      <x:c r="K6587" s="2" t="str">
        <x:v>top_level_area</x:v>
      </x:c>
      <x:c r="L6587" s="2" t="str">
        <x:v>property_type_inferred_from_title;transaction_assumed_sale_from_dataset_context</x:v>
      </x:c>
      <x:c r="M6587" s="10" t="n">
        <x:v>0</x:v>
      </x:c>
      <x:c r="N6587" s="10" t="n">
        <x:v>0</x:v>
      </x:c>
      <x:c r="O6587" s="2" t="str">
        <x:v>Tp Hồ Chí Minh|house</x:v>
      </x:c>
      <x:c r="P6587" s="10" t="n">
        <x:v>2</x:v>
      </x:c>
      <x:c r="Q6587" s="13" t="n">
        <x:f>IF(H6587="","",H6587/1000000000)</x:f>
        <x:v>5.1</x:v>
      </x:c>
      <x:c r="R6587" s="13" t="n">
        <x:f>IF(I6587="","",I6587/1000000)</x:f>
        <x:v>106.25</x:v>
      </x:c>
    </x:row>
    <x:row r="6588" ht="21" customHeight="1">
      <x:c r="A6588" s="10" t="n">
        <x:v>8489</x:v>
      </x:c>
      <x:c r="B6588" s="2" t="str">
        <x:v>f2da32d82a49a87204e9</x:v>
      </x:c>
      <x:c r="C6588" s="2" t="str">
        <x:v>Bình Dương</x:v>
      </x:c>
      <x:c r="D6588" s="2" t="str">
        <x:v>Thị xã Bến Cát</x:v>
      </x:c>
      <x:c r="E6588" s="2" t="str">
        <x:v>house</x:v>
      </x:c>
      <x:c r="F6588" s="2" t="str">
        <x:v>sale</x:v>
      </x:c>
      <x:c r="G6588" s="11" t="n">
        <x:v>150</x:v>
      </x:c>
      <x:c r="H6588" s="12" t="n">
        <x:v>1970000000</x:v>
      </x:c>
      <x:c r="I6588" s="12" t="n">
        <x:v>13133333.333333334</x:v>
      </x:c>
      <x:c r="J6588" s="2" t="str">
        <x:v>total</x:v>
      </x:c>
      <x:c r="K6588" s="2" t="str">
        <x:v>top_level_area</x:v>
      </x:c>
      <x:c r="L6588" s="2" t="str">
        <x:v>property_type_inferred_from_title</x:v>
      </x:c>
      <x:c r="M6588" s="10" t="n">
        <x:v>0</x:v>
      </x:c>
      <x:c r="N6588" s="10" t="n">
        <x:v>0</x:v>
      </x:c>
      <x:c r="O6588" s="2" t="str">
        <x:v>Bình Dương|house</x:v>
      </x:c>
      <x:c r="P6588" s="10" t="n">
        <x:v>2</x:v>
      </x:c>
      <x:c r="Q6588" s="13" t="n">
        <x:f>IF(H6588="","",H6588/1000000000)</x:f>
        <x:v>1.97</x:v>
      </x:c>
      <x:c r="R6588" s="13" t="n">
        <x:f>IF(I6588="","",I6588/1000000)</x:f>
        <x:v>13.133333333333335</x:v>
      </x:c>
    </x:row>
    <x:row r="6589" ht="21" customHeight="1">
      <x:c r="A6589" s="10" t="n">
        <x:v>8490</x:v>
      </x:c>
      <x:c r="B6589" s="2" t="str">
        <x:v>a6c17021009d23272434</x:v>
      </x:c>
      <x:c r="C6589" s="2" t="str">
        <x:v>Tiền Giang</x:v>
      </x:c>
      <x:c r="D6589" s="2" t="str">
        <x:v>Thị xã Gò Công</x:v>
      </x:c>
      <x:c r="E6589" s="2" t="str">
        <x:v>other_unknown</x:v>
      </x:c>
      <x:c r="F6589" s="2" t="str">
        <x:v>sale_assumed</x:v>
      </x:c>
      <x:c r="G6589" s="11" t="n">
        <x:v>253</x:v>
      </x:c>
      <x:c r="H6589" s="12" t="n">
        <x:v>4900000000</x:v>
      </x:c>
      <x:c r="I6589" s="12" t="n">
        <x:v>19367588.932806324</x:v>
      </x:c>
      <x:c r="J6589" s="2" t="str">
        <x:v>total</x:v>
      </x:c>
      <x:c r="K6589" s="2" t="str">
        <x:v>top_level_area</x:v>
      </x:c>
      <x:c r="L6589" s="2" t="str">
        <x:v>property_type_inferred_from_title;transaction_assumed_sale_from_dataset_context;unknown_property_type</x:v>
      </x:c>
      <x:c r="M6589" s="10" t="n">
        <x:v>0</x:v>
      </x:c>
      <x:c r="N6589" s="10" t="n">
        <x:v>0</x:v>
      </x:c>
      <x:c r="O6589" s="2" t="str">
        <x:v>other_unknown</x:v>
      </x:c>
      <x:c r="P6589" s="10" t="n">
        <x:v>2</x:v>
      </x:c>
      <x:c r="Q6589" s="13" t="n">
        <x:f>IF(H6589="","",H6589/1000000000)</x:f>
        <x:v>4.9</x:v>
      </x:c>
      <x:c r="R6589" s="13" t="n">
        <x:f>IF(I6589="","",I6589/1000000)</x:f>
        <x:v>19.367588932806324</x:v>
      </x:c>
    </x:row>
    <x:row r="6590" ht="21" customHeight="1">
      <x:c r="A6590" s="10" t="n">
        <x:v>8491</x:v>
      </x:c>
      <x:c r="B6590" s="2" t="str">
        <x:v>ba82f9063b0d6ee7e2a2</x:v>
      </x:c>
      <x:c r="C6590" s="2" t="str">
        <x:v>Lâm Đồng</x:v>
      </x:c>
      <x:c r="D6590" s="2" t="str">
        <x:v>Thành phố Bảo Lộc</x:v>
      </x:c>
      <x:c r="E6590" s="2" t="str">
        <x:v>land</x:v>
      </x:c>
      <x:c r="F6590" s="2" t="str">
        <x:v>sale_assumed</x:v>
      </x:c>
      <x:c r="G6590" s="11" t="n">
        <x:v>150</x:v>
      </x:c>
      <x:c r="H6590" s="12" t="n">
        <x:v>590000000</x:v>
      </x:c>
      <x:c r="I6590" s="12" t="n">
        <x:v>3933333.3333333335</x:v>
      </x:c>
      <x:c r="J6590" s="2" t="str">
        <x:v>total</x:v>
      </x:c>
      <x:c r="K6590" s="2" t="str">
        <x:v>top_level_area</x:v>
      </x:c>
      <x:c r="L6590" s="2" t="str">
        <x:v>property_type_inferred_from_title;transaction_assumed_sale_from_dataset_context</x:v>
      </x:c>
      <x:c r="M6590" s="10" t="n">
        <x:v>0</x:v>
      </x:c>
      <x:c r="N6590" s="10" t="n">
        <x:v>0</x:v>
      </x:c>
      <x:c r="O6590" s="2" t="str">
        <x:v>Lâm Đồng|land</x:v>
      </x:c>
      <x:c r="P6590" s="10" t="n">
        <x:v>1</x:v>
      </x:c>
      <x:c r="Q6590" s="13" t="n">
        <x:f>IF(H6590="","",H6590/1000000000)</x:f>
        <x:v>0.59</x:v>
      </x:c>
      <x:c r="R6590" s="13" t="n">
        <x:f>IF(I6590="","",I6590/1000000)</x:f>
        <x:v>3.9333333333333336</x:v>
      </x:c>
    </x:row>
    <x:row r="6591" ht="21" customHeight="1">
      <x:c r="A6591" s="10" t="n">
        <x:v>8492</x:v>
      </x:c>
      <x:c r="B6591" s="2" t="str">
        <x:v>e0c7153571a8c93d4621</x:v>
      </x:c>
      <x:c r="C6591" s="2" t="str">
        <x:v>Tp Hồ Chí Minh</x:v>
      </x:c>
      <x:c r="D6591" s="2" t="str">
        <x:v>Quận 12</x:v>
      </x:c>
      <x:c r="E6591" s="2" t="str">
        <x:v>house</x:v>
      </x:c>
      <x:c r="F6591" s="2" t="str">
        <x:v>sale_assumed</x:v>
      </x:c>
      <x:c r="G6591" s="11" t="n">
        <x:v>44</x:v>
      </x:c>
      <x:c r="H6591" s="12" t="n">
        <x:v>850000000</x:v>
      </x:c>
      <x:c r="I6591" s="12" t="n">
        <x:v>19318181.818181816</x:v>
      </x:c>
      <x:c r="J6591" s="2" t="str">
        <x:v>total</x:v>
      </x:c>
      <x:c r="K6591" s="2" t="str">
        <x:v>top_level_area</x:v>
      </x:c>
      <x:c r="L6591" s="2" t="str">
        <x:v>property_type_inferred_from_title;transaction_assumed_sale_from_dataset_context</x:v>
      </x:c>
      <x:c r="M6591" s="10" t="n">
        <x:v>0</x:v>
      </x:c>
      <x:c r="N6591" s="10" t="n">
        <x:v>0</x:v>
      </x:c>
      <x:c r="O6591" s="2" t="str">
        <x:v>Tp Hồ Chí Minh|house</x:v>
      </x:c>
      <x:c r="P6591" s="10" t="n">
        <x:v>2</x:v>
      </x:c>
      <x:c r="Q6591" s="13" t="n">
        <x:f>IF(H6591="","",H6591/1000000000)</x:f>
        <x:v>0.85</x:v>
      </x:c>
      <x:c r="R6591" s="13" t="n">
        <x:f>IF(I6591="","",I6591/1000000)</x:f>
        <x:v>19.318181818181817</x:v>
      </x:c>
    </x:row>
    <x:row r="6592" ht="21" customHeight="1">
      <x:c r="A6592" s="10" t="n">
        <x:v>8493</x:v>
      </x:c>
      <x:c r="B6592" s="2" t="str">
        <x:v>f2964b91cdf9bae5d8a6</x:v>
      </x:c>
      <x:c r="C6592" s="2" t="str">
        <x:v>Quảng Nam</x:v>
      </x:c>
      <x:c r="D6592" s="2" t="str">
        <x:v>Thị xã Điện Bàn</x:v>
      </x:c>
      <x:c r="E6592" s="2" t="str">
        <x:v>land</x:v>
      </x:c>
      <x:c r="F6592" s="2" t="str">
        <x:v>sale_assumed</x:v>
      </x:c>
      <x:c r="G6592" s="11" t="n">
        <x:v>100</x:v>
      </x:c>
      <x:c r="H6592" s="12" t="n">
        <x:v>1987000000</x:v>
      </x:c>
      <x:c r="I6592" s="12" t="n">
        <x:v>19870000</x:v>
      </x:c>
      <x:c r="J6592" s="2" t="str">
        <x:v>total</x:v>
      </x:c>
      <x:c r="K6592" s="2" t="str">
        <x:v>top_level_area</x:v>
      </x:c>
      <x:c r="L6592" s="2" t="str">
        <x:v>property_type_inferred_from_title;transaction_assumed_sale_from_dataset_context</x:v>
      </x:c>
      <x:c r="M6592" s="10" t="n">
        <x:v>0</x:v>
      </x:c>
      <x:c r="N6592" s="10" t="n">
        <x:v>0</x:v>
      </x:c>
      <x:c r="O6592" s="2" t="str">
        <x:v>land</x:v>
      </x:c>
      <x:c r="P6592" s="10" t="n">
        <x:v>2</x:v>
      </x:c>
      <x:c r="Q6592" s="13" t="n">
        <x:f>IF(H6592="","",H6592/1000000000)</x:f>
        <x:v>1.987</x:v>
      </x:c>
      <x:c r="R6592" s="13" t="n">
        <x:f>IF(I6592="","",I6592/1000000)</x:f>
        <x:v>19.87</x:v>
      </x:c>
    </x:row>
    <x:row r="6593" ht="21" customHeight="1">
      <x:c r="A6593" s="10" t="n">
        <x:v>8494</x:v>
      </x:c>
      <x:c r="B6593" s="2" t="str">
        <x:v>c3658dfc73b9cea91bb5</x:v>
      </x:c>
      <x:c r="C6593" s="2" t="str">
        <x:v>Tp Hồ Chí Minh</x:v>
      </x:c>
      <x:c r="D6593" s="2" t="str">
        <x:v>Quận 10</x:v>
      </x:c>
      <x:c r="E6593" s="2" t="str">
        <x:v>house</x:v>
      </x:c>
      <x:c r="F6593" s="2" t="str">
        <x:v>sale_assumed</x:v>
      </x:c>
      <x:c r="G6593" s="11" t="n">
        <x:v>18</x:v>
      </x:c>
      <x:c r="H6593" s="12" t="n">
        <x:v>3300000000</x:v>
      </x:c>
      <x:c r="I6593" s="12" t="n">
        <x:v>183333333.33333334</x:v>
      </x:c>
      <x:c r="J6593" s="2" t="str">
        <x:v>total</x:v>
      </x:c>
      <x:c r="K6593" s="2" t="str">
        <x:v>top_level_area</x:v>
      </x:c>
      <x:c r="L6593" s="2" t="str">
        <x:v>property_type_inferred_from_title;transaction_assumed_sale_from_dataset_context</x:v>
      </x:c>
      <x:c r="M6593" s="10" t="n">
        <x:v>1</x:v>
      </x:c>
      <x:c r="N6593" s="10" t="n">
        <x:v>0</x:v>
      </x:c>
      <x:c r="O6593" s="2" t="str">
        <x:v>Tp Hồ Chí Minh|house</x:v>
      </x:c>
      <x:c r="P6593" s="10" t="n">
        <x:v>2</x:v>
      </x:c>
      <x:c r="Q6593" s="13" t="n">
        <x:f>IF(H6593="","",H6593/1000000000)</x:f>
        <x:v>3.3</x:v>
      </x:c>
      <x:c r="R6593" s="13" t="n">
        <x:f>IF(I6593="","",I6593/1000000)</x:f>
        <x:v>183.33333333333334</x:v>
      </x:c>
    </x:row>
    <x:row r="6594" ht="21" customHeight="1">
      <x:c r="A6594" s="10" t="n">
        <x:v>8495</x:v>
      </x:c>
      <x:c r="B6594" s="2" t="str">
        <x:v>ccbff3b8d947e8c5c54f</x:v>
      </x:c>
      <x:c r="C6594" s="2" t="str">
        <x:v>Tp Hồ Chí Minh</x:v>
      </x:c>
      <x:c r="D6594" s="2" t="str">
        <x:v>Quận 8</x:v>
      </x:c>
      <x:c r="E6594" s="2" t="str">
        <x:v>house</x:v>
      </x:c>
      <x:c r="F6594" s="2" t="str">
        <x:v>sale</x:v>
      </x:c>
      <x:c r="G6594" s="11" t="n">
        <x:v>50</x:v>
      </x:c>
      <x:c r="H6594" s="12" t="n">
        <x:v>750000000</x:v>
      </x:c>
      <x:c r="I6594" s="12" t="n">
        <x:v>15000000</x:v>
      </x:c>
      <x:c r="J6594" s="2" t="str">
        <x:v>total</x:v>
      </x:c>
      <x:c r="K6594" s="2" t="str">
        <x:v>top_level_price_embedded_area</x:v>
      </x:c>
      <x:c r="L6594" s="2" t="str">
        <x:v>area_recovered_from_price_text;property_type_inferred_from_title</x:v>
      </x:c>
      <x:c r="M6594" s="10" t="n">
        <x:v>0</x:v>
      </x:c>
      <x:c r="N6594" s="10" t="n">
        <x:v>0</x:v>
      </x:c>
      <x:c r="O6594" s="2" t="str">
        <x:v>Tp Hồ Chí Minh|house</x:v>
      </x:c>
      <x:c r="P6594" s="10" t="n">
        <x:v>2</x:v>
      </x:c>
      <x:c r="Q6594" s="13" t="n">
        <x:f>IF(H6594="","",H6594/1000000000)</x:f>
        <x:v>0.75</x:v>
      </x:c>
      <x:c r="R6594" s="13" t="n">
        <x:f>IF(I6594="","",I6594/1000000)</x:f>
        <x:v>15</x:v>
      </x:c>
    </x:row>
    <x:row r="6595" ht="21" customHeight="1">
      <x:c r="A6595" s="10" t="n">
        <x:v>8496</x:v>
      </x:c>
      <x:c r="B6595" s="2" t="str">
        <x:v>799e47f2c7b5c92617a7</x:v>
      </x:c>
      <x:c r="C6595" s="2" t="str">
        <x:v>Hà Nội</x:v>
      </x:c>
      <x:c r="D6595" s="2" t="str">
        <x:v>Huyện Sóc Sơn</x:v>
      </x:c>
      <x:c r="E6595" s="2" t="str">
        <x:v>land</x:v>
      </x:c>
      <x:c r="F6595" s="2" t="str">
        <x:v>sale_assumed</x:v>
      </x:c>
      <x:c r="G6595" s="11" t="n">
        <x:v>398</x:v>
      </x:c>
      <x:c r="H6595" s="12" t="n">
        <x:v>6766000000</x:v>
      </x:c>
      <x:c r="I6595" s="12" t="n">
        <x:v>17000000</x:v>
      </x:c>
      <x:c r="J6595" s="2" t="str">
        <x:v>total</x:v>
      </x:c>
      <x:c r="K6595" s="2" t="str">
        <x:v>top_level_area</x:v>
      </x:c>
      <x:c r="L6595" s="2" t="str">
        <x:v>property_type_inferred_from_title;transaction_assumed_sale_from_dataset_context</x:v>
      </x:c>
      <x:c r="M6595" s="10" t="n">
        <x:v>0</x:v>
      </x:c>
      <x:c r="N6595" s="10" t="n">
        <x:v>0</x:v>
      </x:c>
      <x:c r="O6595" s="2" t="str">
        <x:v>Hà Nội|land</x:v>
      </x:c>
      <x:c r="P6595" s="10" t="n">
        <x:v>1</x:v>
      </x:c>
      <x:c r="Q6595" s="13" t="n">
        <x:f>IF(H6595="","",H6595/1000000000)</x:f>
        <x:v>6.766</x:v>
      </x:c>
      <x:c r="R6595" s="13" t="n">
        <x:f>IF(I6595="","",I6595/1000000)</x:f>
        <x:v>17</x:v>
      </x:c>
    </x:row>
    <x:row r="6596" ht="21" customHeight="1">
      <x:c r="A6596" s="10" t="n">
        <x:v>8497</x:v>
      </x:c>
      <x:c r="B6596" s="2" t="str">
        <x:v>97cf3ac68e970c0fe531</x:v>
      </x:c>
      <x:c r="C6596" s="2" t="str">
        <x:v>Long An</x:v>
      </x:c>
      <x:c r="D6596" s="2" t="str">
        <x:v>Huyện Cần Đước</x:v>
      </x:c>
      <x:c r="E6596" s="2" t="str">
        <x:v>house</x:v>
      </x:c>
      <x:c r="F6596" s="2" t="str">
        <x:v>sale_assumed</x:v>
      </x:c>
      <x:c r="G6596" s="11" t="n">
        <x:v>323</x:v>
      </x:c>
      <x:c r="H6596" s="12" t="n">
        <x:v>710000000</x:v>
      </x:c>
      <x:c r="I6596" s="12" t="n">
        <x:v>2198142.414860681</x:v>
      </x:c>
      <x:c r="J6596" s="2" t="str">
        <x:v>total</x:v>
      </x:c>
      <x:c r="K6596" s="2" t="str">
        <x:v>top_level_area</x:v>
      </x:c>
      <x:c r="L6596" s="2" t="str">
        <x:v>property_type_inferred_from_title;transaction_assumed_sale_from_dataset_context</x:v>
      </x:c>
      <x:c r="M6596" s="10" t="n">
        <x:v>0</x:v>
      </x:c>
      <x:c r="N6596" s="10" t="n">
        <x:v>0</x:v>
      </x:c>
      <x:c r="O6596" s="2" t="str">
        <x:v>Long An|house</x:v>
      </x:c>
      <x:c r="P6596" s="10" t="n">
        <x:v>1</x:v>
      </x:c>
      <x:c r="Q6596" s="13" t="n">
        <x:f>IF(H6596="","",H6596/1000000000)</x:f>
        <x:v>0.71</x:v>
      </x:c>
      <x:c r="R6596" s="13" t="n">
        <x:f>IF(I6596="","",I6596/1000000)</x:f>
        <x:v>2.198142414860681</x:v>
      </x:c>
    </x:row>
    <x:row r="6597" ht="21" customHeight="1">
      <x:c r="A6597" s="10" t="n">
        <x:v>8498</x:v>
      </x:c>
      <x:c r="B6597" s="2" t="str">
        <x:v>5799b7e6efdef0cc9c91</x:v>
      </x:c>
      <x:c r="C6597" s="2" t="str">
        <x:v>Hà Nội</x:v>
      </x:c>
      <x:c r="D6597" s="2" t="str">
        <x:v>Quận Nam Từ Liêm</x:v>
      </x:c>
      <x:c r="E6597" s="2" t="str">
        <x:v>other_unknown</x:v>
      </x:c>
      <x:c r="F6597" s="2" t="str">
        <x:v>sale_assumed</x:v>
      </x:c>
      <x:c r="G6597" s="11" t="n">
        <x:v>80</x:v>
      </x:c>
      <x:c r="H6597" s="12" t="n">
        <x:v>2500000000</x:v>
      </x:c>
      <x:c r="I6597" s="12" t="n">
        <x:v>31250000</x:v>
      </x:c>
      <x:c r="J6597" s="2" t="str">
        <x:v>total</x:v>
      </x:c>
      <x:c r="K6597" s="2" t="str">
        <x:v>top_level_area</x:v>
      </x:c>
      <x:c r="L6597" s="2" t="str">
        <x:v>property_type_inferred_from_title;transaction_assumed_sale_from_dataset_context;unknown_property_type</x:v>
      </x:c>
      <x:c r="M6597" s="10" t="n">
        <x:v>0</x:v>
      </x:c>
      <x:c r="N6597" s="10" t="n">
        <x:v>0</x:v>
      </x:c>
      <x:c r="O6597" s="2" t="str">
        <x:v>Hà Nội|other_unknown</x:v>
      </x:c>
      <x:c r="P6597" s="10" t="n">
        <x:v>2</x:v>
      </x:c>
      <x:c r="Q6597" s="13" t="n">
        <x:f>IF(H6597="","",H6597/1000000000)</x:f>
        <x:v>2.5</x:v>
      </x:c>
      <x:c r="R6597" s="13" t="n">
        <x:f>IF(I6597="","",I6597/1000000)</x:f>
        <x:v>31.25</x:v>
      </x:c>
    </x:row>
    <x:row r="6598" ht="21" customHeight="1">
      <x:c r="A6598" s="10" t="n">
        <x:v>8499</x:v>
      </x:c>
      <x:c r="B6598" s="2" t="str">
        <x:v>64a8b65d533ba659b664</x:v>
      </x:c>
      <x:c r="C6598" s="2" t="str">
        <x:v>Tp Hồ Chí Minh</x:v>
      </x:c>
      <x:c r="D6598" s="2" t="str">
        <x:v>Quận 7</x:v>
      </x:c>
      <x:c r="E6598" s="2" t="str">
        <x:v>house</x:v>
      </x:c>
      <x:c r="F6598" s="2" t="str">
        <x:v>sale_assumed</x:v>
      </x:c>
      <x:c r="G6598" s="11" t="n">
        <x:v>55</x:v>
      </x:c>
      <x:c r="H6598" s="12" t="n">
        <x:v>2500000000</x:v>
      </x:c>
      <x:c r="I6598" s="12" t="n">
        <x:v>45454545.45454545</x:v>
      </x:c>
      <x:c r="J6598" s="2" t="str">
        <x:v>total</x:v>
      </x:c>
      <x:c r="K6598" s="2" t="str">
        <x:v>top_level_area</x:v>
      </x:c>
      <x:c r="L6598" s="2" t="str">
        <x:v>property_type_inferred_from_title;transaction_assumed_sale_from_dataset_context</x:v>
      </x:c>
      <x:c r="M6598" s="10" t="n">
        <x:v>0</x:v>
      </x:c>
      <x:c r="N6598" s="10" t="n">
        <x:v>0</x:v>
      </x:c>
      <x:c r="O6598" s="2" t="str">
        <x:v>Tp Hồ Chí Minh|house</x:v>
      </x:c>
      <x:c r="P6598" s="10" t="n">
        <x:v>2</x:v>
      </x:c>
      <x:c r="Q6598" s="13" t="n">
        <x:f>IF(H6598="","",H6598/1000000000)</x:f>
        <x:v>2.5</x:v>
      </x:c>
      <x:c r="R6598" s="13" t="n">
        <x:f>IF(I6598="","",I6598/1000000)</x:f>
        <x:v>45.45454545454545</x:v>
      </x:c>
    </x:row>
    <x:row r="6599" ht="21" customHeight="1">
      <x:c r="A6599" s="10" t="n">
        <x:v>8500</x:v>
      </x:c>
      <x:c r="B6599" s="2" t="str">
        <x:v>42cf75ea20985b4ae89c</x:v>
      </x:c>
      <x:c r="C6599" s="2" t="str">
        <x:v>Hà Nội</x:v>
      </x:c>
      <x:c r="D6599" s="2" t="str">
        <x:v>Quận Hoàng Mai</x:v>
      </x:c>
      <x:c r="E6599" s="2" t="str">
        <x:v>house</x:v>
      </x:c>
      <x:c r="F6599" s="2" t="str">
        <x:v>sale_assumed</x:v>
      </x:c>
      <x:c r="G6599" s="11" t="n">
        <x:v>176</x:v>
      </x:c>
      <x:c r="H6599" s="12" t="n">
        <x:v>23000000000</x:v>
      </x:c>
      <x:c r="I6599" s="12" t="n">
        <x:v>130681818.18181819</x:v>
      </x:c>
      <x:c r="J6599" s="2" t="str">
        <x:v>total</x:v>
      </x:c>
      <x:c r="K6599" s="2" t="str">
        <x:v>top_level_area</x:v>
      </x:c>
      <x:c r="L6599" s="2" t="str">
        <x:v>property_type_inferred_from_title;transaction_assumed_sale_from_dataset_context</x:v>
      </x:c>
      <x:c r="M6599" s="10" t="n">
        <x:v>0</x:v>
      </x:c>
      <x:c r="N6599" s="10" t="n">
        <x:v>0</x:v>
      </x:c>
      <x:c r="O6599" s="2" t="str">
        <x:v>Hà Nội|house</x:v>
      </x:c>
      <x:c r="P6599" s="10" t="n">
        <x:v>2</x:v>
      </x:c>
      <x:c r="Q6599" s="13" t="n">
        <x:f>IF(H6599="","",H6599/1000000000)</x:f>
        <x:v>23</x:v>
      </x:c>
      <x:c r="R6599" s="13" t="n">
        <x:f>IF(I6599="","",I6599/1000000)</x:f>
        <x:v>130.6818181818182</x:v>
      </x:c>
    </x:row>
    <x:row r="6600" ht="21" customHeight="1">
      <x:c r="A6600" s="10" t="n">
        <x:v>8501</x:v>
      </x:c>
      <x:c r="B6600" s="2" t="str">
        <x:v>cc96d4daa1c42696e9b1</x:v>
      </x:c>
      <x:c r="C6600" s="2" t="str">
        <x:v>Bình Thuận</x:v>
      </x:c>
      <x:c r="D6600" s="2" t="str">
        <x:v>Huyện Bắc Bình</x:v>
      </x:c>
      <x:c r="E6600" s="2" t="str">
        <x:v>land</x:v>
      </x:c>
      <x:c r="F6600" s="2" t="str">
        <x:v>sale</x:v>
      </x:c>
      <x:c r="G6600" s="11" t="n">
        <x:v>1000</x:v>
      </x:c>
      <x:c r="H6600" s="12" t="n">
        <x:v>60000000</x:v>
      </x:c>
      <x:c r="I6600" s="12" t="n">
        <x:v>60000</x:v>
      </x:c>
      <x:c r="J6600" s="2" t="str">
        <x:v>total</x:v>
      </x:c>
      <x:c r="K6600" s="2" t="str">
        <x:v>top_level_area</x:v>
      </x:c>
      <x:c r="L6600" s="2" t="str">
        <x:v>dot_thousands_convention;property_type_inferred_from_title</x:v>
      </x:c>
      <x:c r="M6600" s="10" t="n">
        <x:v>0</x:v>
      </x:c>
      <x:c r="N6600" s="10" t="n">
        <x:v>0</x:v>
      </x:c>
      <x:c r="O6600" s="2" t="str">
        <x:v>land</x:v>
      </x:c>
      <x:c r="P6600" s="10" t="n">
        <x:v>1</x:v>
      </x:c>
      <x:c r="Q6600" s="13" t="n">
        <x:f>IF(H6600="","",H6600/1000000000)</x:f>
        <x:v>0.06</x:v>
      </x:c>
      <x:c r="R6600" s="13" t="n">
        <x:f>IF(I6600="","",I6600/1000000)</x:f>
        <x:v>0.06</x:v>
      </x:c>
    </x:row>
    <x:row r="6601" ht="21" customHeight="1">
      <x:c r="A6601" s="10" t="n">
        <x:v>8502</x:v>
      </x:c>
      <x:c r="B6601" s="2" t="str">
        <x:v>7c5afd2e1a5cd229fb53</x:v>
      </x:c>
      <x:c r="C6601" s="2" t="str">
        <x:v>Hà Nội</x:v>
      </x:c>
      <x:c r="D6601" s="2" t="str">
        <x:v>Huyện Đông Anh</x:v>
      </x:c>
      <x:c r="E6601" s="2" t="str">
        <x:v>house</x:v>
      </x:c>
      <x:c r="F6601" s="2" t="str">
        <x:v>sale</x:v>
      </x:c>
      <x:c r="G6601" s="11" t="n">
        <x:v>60</x:v>
      </x:c>
      <x:c r="H6601" s="12" t="n">
        <x:v>950000000</x:v>
      </x:c>
      <x:c r="I6601" s="12" t="n">
        <x:v>15833333.333333334</x:v>
      </x:c>
      <x:c r="J6601" s="2" t="str">
        <x:v>total</x:v>
      </x:c>
      <x:c r="K6601" s="2" t="str">
        <x:v>top_level_area</x:v>
      </x:c>
      <x:c r="L6601" s="2" t="str">
        <x:v>property_type_inferred_from_title</x:v>
      </x:c>
      <x:c r="M6601" s="10" t="n">
        <x:v>0</x:v>
      </x:c>
      <x:c r="N6601" s="10" t="n">
        <x:v>0</x:v>
      </x:c>
      <x:c r="O6601" s="2" t="str">
        <x:v>Hà Nội|house</x:v>
      </x:c>
      <x:c r="P6601" s="10" t="n">
        <x:v>2</x:v>
      </x:c>
      <x:c r="Q6601" s="13" t="n">
        <x:f>IF(H6601="","",H6601/1000000000)</x:f>
        <x:v>0.95</x:v>
      </x:c>
      <x:c r="R6601" s="13" t="n">
        <x:f>IF(I6601="","",I6601/1000000)</x:f>
        <x:v>15.833333333333334</x:v>
      </x:c>
    </x:row>
    <x:row r="6602" ht="21" customHeight="1">
      <x:c r="A6602" s="10" t="n">
        <x:v>8503</x:v>
      </x:c>
      <x:c r="B6602" s="2" t="str">
        <x:v>e43caae52c9ea83cd46b</x:v>
      </x:c>
      <x:c r="C6602" s="2" t="str">
        <x:v>Hậu Giang</x:v>
      </x:c>
      <x:c r="D6602" s="2" t="str">
        <x:v>Huyện Châu Thành A</x:v>
      </x:c>
      <x:c r="E6602" s="2" t="str">
        <x:v>land</x:v>
      </x:c>
      <x:c r="F6602" s="2" t="str">
        <x:v>sale_assumed</x:v>
      </x:c>
      <x:c r="G6602" s="11" t="n">
        <x:v>76</x:v>
      </x:c>
      <x:c r="H6602" s="12" t="n">
        <x:v>570000000</x:v>
      </x:c>
      <x:c r="I6602" s="12" t="n">
        <x:v>7500000</x:v>
      </x:c>
      <x:c r="J6602" s="2" t="str">
        <x:v>total</x:v>
      </x:c>
      <x:c r="K6602" s="2" t="str">
        <x:v>top_level_area</x:v>
      </x:c>
      <x:c r="L6602" s="2" t="str">
        <x:v>property_type_inferred_from_title;transaction_assumed_sale_from_dataset_context</x:v>
      </x:c>
      <x:c r="M6602" s="10" t="n">
        <x:v>0</x:v>
      </x:c>
      <x:c r="N6602" s="10" t="n">
        <x:v>0</x:v>
      </x:c>
      <x:c r="O6602" s="2" t="str">
        <x:v>land</x:v>
      </x:c>
      <x:c r="P6602" s="10" t="n">
        <x:v>2</x:v>
      </x:c>
      <x:c r="Q6602" s="13" t="n">
        <x:f>IF(H6602="","",H6602/1000000000)</x:f>
        <x:v>0.57</x:v>
      </x:c>
      <x:c r="R6602" s="13" t="n">
        <x:f>IF(I6602="","",I6602/1000000)</x:f>
        <x:v>7.5</x:v>
      </x:c>
    </x:row>
    <x:row r="6603" ht="21" customHeight="1">
      <x:c r="A6603" s="10" t="n">
        <x:v>8504</x:v>
      </x:c>
      <x:c r="B6603" s="2" t="str">
        <x:v>ae7d876addca61b0d2a7</x:v>
      </x:c>
      <x:c r="C6603" s="2" t="str">
        <x:v>Tp Hồ Chí Minh</x:v>
      </x:c>
      <x:c r="D6603" s="2" t="str">
        <x:v>Huyện Hóc Môn</x:v>
      </x:c>
      <x:c r="E6603" s="2" t="str">
        <x:v>house</x:v>
      </x:c>
      <x:c r="F6603" s="2" t="str">
        <x:v>sale_assumed</x:v>
      </x:c>
      <x:c r="G6603" s="11" t="n">
        <x:v>20</x:v>
      </x:c>
      <x:c r="H6603" s="12" t="n">
        <x:v>390000000</x:v>
      </x:c>
      <x:c r="I6603" s="12" t="n">
        <x:v>19500000</x:v>
      </x:c>
      <x:c r="J6603" s="2" t="str">
        <x:v>total</x:v>
      </x:c>
      <x:c r="K6603" s="2" t="str">
        <x:v>top_level_area</x:v>
      </x:c>
      <x:c r="L6603" s="2" t="str">
        <x:v>property_type_inferred_from_title;transaction_assumed_sale_from_dataset_context</x:v>
      </x:c>
      <x:c r="M6603" s="10" t="n">
        <x:v>0</x:v>
      </x:c>
      <x:c r="N6603" s="10" t="n">
        <x:v>0</x:v>
      </x:c>
      <x:c r="O6603" s="2" t="str">
        <x:v>Tp Hồ Chí Minh|house</x:v>
      </x:c>
      <x:c r="P6603" s="10" t="n">
        <x:v>2</x:v>
      </x:c>
      <x:c r="Q6603" s="13" t="n">
        <x:f>IF(H6603="","",H6603/1000000000)</x:f>
        <x:v>0.39</x:v>
      </x:c>
      <x:c r="R6603" s="13" t="n">
        <x:f>IF(I6603="","",I6603/1000000)</x:f>
        <x:v>19.5</x:v>
      </x:c>
    </x:row>
    <x:row r="6604" ht="21" customHeight="1">
      <x:c r="A6604" s="10" t="n">
        <x:v>8505</x:v>
      </x:c>
      <x:c r="B6604" s="2" t="str">
        <x:v>f72e86f808422343a544</x:v>
      </x:c>
      <x:c r="C6604" s="2" t="str">
        <x:v>Tiền Giang</x:v>
      </x:c>
      <x:c r="D6604" s="2" t="str">
        <x:v>Thành phố Mỹ Tho</x:v>
      </x:c>
      <x:c r="E6604" s="2" t="str">
        <x:v>land</x:v>
      </x:c>
      <x:c r="F6604" s="2" t="str">
        <x:v>sale</x:v>
      </x:c>
      <x:c r="G6604" s="11" t="n">
        <x:v>60</x:v>
      </x:c>
      <x:c r="H6604" s="12" t="n">
        <x:v>901450000</x:v>
      </x:c>
      <x:c r="I6604" s="12" t="n">
        <x:v>15024166.666666666</x:v>
      </x:c>
      <x:c r="J6604" s="2" t="str">
        <x:v>total</x:v>
      </x:c>
      <x:c r="K6604" s="2" t="str">
        <x:v>top_level_area</x:v>
      </x:c>
      <x:c r="L6604" s="2" t="str">
        <x:v>property_type_inferred_from_title</x:v>
      </x:c>
      <x:c r="M6604" s="10" t="n">
        <x:v>0</x:v>
      </x:c>
      <x:c r="N6604" s="10" t="n">
        <x:v>0</x:v>
      </x:c>
      <x:c r="O6604" s="2" t="str">
        <x:v>land</x:v>
      </x:c>
      <x:c r="P6604" s="10" t="n">
        <x:v>2</x:v>
      </x:c>
      <x:c r="Q6604" s="13" t="n">
        <x:f>IF(H6604="","",H6604/1000000000)</x:f>
        <x:v>0.90145</x:v>
      </x:c>
      <x:c r="R6604" s="13" t="n">
        <x:f>IF(I6604="","",I6604/1000000)</x:f>
        <x:v>15.024166666666666</x:v>
      </x:c>
    </x:row>
    <x:row r="6605" ht="21" customHeight="1">
      <x:c r="A6605" s="10" t="n">
        <x:v>8508</x:v>
      </x:c>
      <x:c r="B6605" s="2" t="str">
        <x:v>af7d2fc0c50f35017b9b</x:v>
      </x:c>
      <x:c r="C6605" s="2" t="str">
        <x:v>Tp Hồ Chí Minh</x:v>
      </x:c>
      <x:c r="D6605" s="2" t="str">
        <x:v>Quận 9</x:v>
      </x:c>
      <x:c r="E6605" s="2" t="str">
        <x:v>land</x:v>
      </x:c>
      <x:c r="F6605" s="2" t="str">
        <x:v>sale_assumed</x:v>
      </x:c>
      <x:c r="G6605" s="11" t="n">
        <x:v>56</x:v>
      </x:c>
      <x:c r="H6605" s="12" t="n">
        <x:v>3550000000</x:v>
      </x:c>
      <x:c r="I6605" s="12" t="n">
        <x:v>63392857.14285714</x:v>
      </x:c>
      <x:c r="J6605" s="2" t="str">
        <x:v>total</x:v>
      </x:c>
      <x:c r="K6605" s="2" t="str">
        <x:v>top_level_area</x:v>
      </x:c>
      <x:c r="L6605" s="2" t="str">
        <x:v>property_type_inferred_from_title;transaction_assumed_sale_from_dataset_context</x:v>
      </x:c>
      <x:c r="M6605" s="10" t="n">
        <x:v>0</x:v>
      </x:c>
      <x:c r="N6605" s="10" t="n">
        <x:v>0</x:v>
      </x:c>
      <x:c r="O6605" s="2" t="str">
        <x:v>Tp Hồ Chí Minh|land</x:v>
      </x:c>
      <x:c r="P6605" s="10" t="n">
        <x:v>2</x:v>
      </x:c>
      <x:c r="Q6605" s="13" t="n">
        <x:f>IF(H6605="","",H6605/1000000000)</x:f>
        <x:v>3.55</x:v>
      </x:c>
      <x:c r="R6605" s="13" t="n">
        <x:f>IF(I6605="","",I6605/1000000)</x:f>
        <x:v>63.39285714285714</x:v>
      </x:c>
    </x:row>
    <x:row r="6606" ht="21" customHeight="1">
      <x:c r="A6606" s="10" t="n">
        <x:v>8509</x:v>
      </x:c>
      <x:c r="B6606" s="2" t="str">
        <x:v>ea0a36bfce92b29d2c5c</x:v>
      </x:c>
      <x:c r="C6606" s="2" t="str">
        <x:v>Hà Nội</x:v>
      </x:c>
      <x:c r="D6606" s="2" t="str">
        <x:v>Quận Hà Đông</x:v>
      </x:c>
      <x:c r="E6606" s="2" t="str">
        <x:v>house</x:v>
      </x:c>
      <x:c r="F6606" s="2" t="str">
        <x:v>sale_assumed</x:v>
      </x:c>
      <x:c r="G6606" s="11" t="n">
        <x:v>32</x:v>
      </x:c>
      <x:c r="H6606" s="12" t="n">
        <x:v>2000000000</x:v>
      </x:c>
      <x:c r="I6606" s="12" t="n">
        <x:v>62500000</x:v>
      </x:c>
      <x:c r="J6606" s="2" t="str">
        <x:v>total</x:v>
      </x:c>
      <x:c r="K6606" s="2" t="str">
        <x:v>top_level_area</x:v>
      </x:c>
      <x:c r="L6606" s="2" t="str">
        <x:v>property_type_inferred_from_title;transaction_assumed_sale_from_dataset_context</x:v>
      </x:c>
      <x:c r="M6606" s="10" t="n">
        <x:v>0</x:v>
      </x:c>
      <x:c r="N6606" s="10" t="n">
        <x:v>0</x:v>
      </x:c>
      <x:c r="O6606" s="2" t="str">
        <x:v>Hà Nội|house</x:v>
      </x:c>
      <x:c r="P6606" s="10" t="n">
        <x:v>2</x:v>
      </x:c>
      <x:c r="Q6606" s="13" t="n">
        <x:f>IF(H6606="","",H6606/1000000000)</x:f>
        <x:v>2</x:v>
      </x:c>
      <x:c r="R6606" s="13" t="n">
        <x:f>IF(I6606="","",I6606/1000000)</x:f>
        <x:v>62.5</x:v>
      </x:c>
    </x:row>
    <x:row r="6607" ht="21" customHeight="1">
      <x:c r="A6607" s="10" t="n">
        <x:v>8510</x:v>
      </x:c>
      <x:c r="B6607" s="2" t="str">
        <x:v>547da29f657a9f066e9b</x:v>
      </x:c>
      <x:c r="C6607" s="2" t="str">
        <x:v>Chưa xác định</x:v>
      </x:c>
      <x:c r="D6607" s="2" t="str">
        <x:v>Chưa xác định</x:v>
      </x:c>
      <x:c r="E6607" s="2" t="str">
        <x:v>house</x:v>
      </x:c>
      <x:c r="F6607" s="2" t="str">
        <x:v>sale_assumed</x:v>
      </x:c>
      <x:c r="G6607" s="11" t="n">
        <x:v>50</x:v>
      </x:c>
      <x:c r="H6607" s="12" t="n">
        <x:v>5890000000</x:v>
      </x:c>
      <x:c r="I6607" s="12" t="n">
        <x:v>117800000</x:v>
      </x:c>
      <x:c r="J6607" s="2" t="str">
        <x:v>total</x:v>
      </x:c>
      <x:c r="K6607" s="2" t="str">
        <x:v>top_level_area</x:v>
      </x:c>
      <x:c r="L6607" s="2" t="str">
        <x:v>property_type_inferred_from_title;transaction_assumed_sale_from_dataset_context;unknown_district;unknown_province</x:v>
      </x:c>
      <x:c r="M6607" s="10" t="n">
        <x:v>0</x:v>
      </x:c>
      <x:c r="N6607" s="10" t="n">
        <x:v>0</x:v>
      </x:c>
      <x:c r="O6607" s="2" t="str">
        <x:v>house</x:v>
      </x:c>
      <x:c r="P6607" s="10" t="n">
        <x:v>2</x:v>
      </x:c>
      <x:c r="Q6607" s="13" t="n">
        <x:f>IF(H6607="","",H6607/1000000000)</x:f>
        <x:v>5.89</x:v>
      </x:c>
      <x:c r="R6607" s="13" t="n">
        <x:f>IF(I6607="","",I6607/1000000)</x:f>
        <x:v>117.8</x:v>
      </x:c>
    </x:row>
    <x:row r="6608" ht="21" customHeight="1">
      <x:c r="A6608" s="10" t="n">
        <x:v>8511</x:v>
      </x:c>
      <x:c r="B6608" s="2" t="str">
        <x:v>4cc211cc4f3260e32401</x:v>
      </x:c>
      <x:c r="C6608" s="2" t="str">
        <x:v>Đà Nẵng</x:v>
      </x:c>
      <x:c r="D6608" s="2" t="str">
        <x:v>Quận Hải Châu</x:v>
      </x:c>
      <x:c r="E6608" s="2" t="str">
        <x:v>house</x:v>
      </x:c>
      <x:c r="F6608" s="2" t="str">
        <x:v>sale</x:v>
      </x:c>
      <x:c r="G6608" s="11" t="n">
        <x:v>264</x:v>
      </x:c>
      <x:c r="H6608" s="12" t="n">
        <x:v>71280000000</x:v>
      </x:c>
      <x:c r="I6608" s="12" t="n">
        <x:v>270000000</x:v>
      </x:c>
      <x:c r="J6608" s="2" t="str">
        <x:v>total</x:v>
      </x:c>
      <x:c r="K6608" s="2" t="str">
        <x:v>top_level_area</x:v>
      </x:c>
      <x:c r="L6608" s="2" t="str">
        <x:v>property_type_inferred_from_title</x:v>
      </x:c>
      <x:c r="M6608" s="10" t="n">
        <x:v>1</x:v>
      </x:c>
      <x:c r="N6608" s="10" t="n">
        <x:v>1</x:v>
      </x:c>
      <x:c r="O6608" s="2" t="str">
        <x:v>Đà Nẵng|house</x:v>
      </x:c>
      <x:c r="P6608" s="10" t="n">
        <x:v>-1</x:v>
      </x:c>
      <x:c r="Q6608" s="13" t="n">
        <x:f>IF(H6608="","",H6608/1000000000)</x:f>
        <x:v>71.28</x:v>
      </x:c>
      <x:c r="R6608" s="13" t="n">
        <x:f>IF(I6608="","",I6608/1000000)</x:f>
        <x:v>270</x:v>
      </x:c>
    </x:row>
    <x:row r="6609" ht="21" customHeight="1">
      <x:c r="A6609" s="10" t="n">
        <x:v>8512</x:v>
      </x:c>
      <x:c r="B6609" s="2" t="str">
        <x:v>4131efb665df83984a28</x:v>
      </x:c>
      <x:c r="C6609" s="2" t="str">
        <x:v>Hà Nội</x:v>
      </x:c>
      <x:c r="D6609" s="2" t="str">
        <x:v>Quận Hà Đông</x:v>
      </x:c>
      <x:c r="E6609" s="2" t="str">
        <x:v>house</x:v>
      </x:c>
      <x:c r="F6609" s="2" t="str">
        <x:v>sale_assumed</x:v>
      </x:c>
      <x:c r="G6609" s="11" t="n">
        <x:v>35</x:v>
      </x:c>
      <x:c r="H6609" s="12" t="n">
        <x:v>2600000000</x:v>
      </x:c>
      <x:c r="I6609" s="12" t="n">
        <x:v>74285714.28571428</x:v>
      </x:c>
      <x:c r="J6609" s="2" t="str">
        <x:v>total</x:v>
      </x:c>
      <x:c r="K6609" s="2" t="str">
        <x:v>top_level_area</x:v>
      </x:c>
      <x:c r="L6609" s="2" t="str">
        <x:v>property_type_inferred_from_title;transaction_assumed_sale_from_dataset_context</x:v>
      </x:c>
      <x:c r="M6609" s="10" t="n">
        <x:v>0</x:v>
      </x:c>
      <x:c r="N6609" s="10" t="n">
        <x:v>0</x:v>
      </x:c>
      <x:c r="O6609" s="2" t="str">
        <x:v>Hà Nội|house</x:v>
      </x:c>
      <x:c r="P6609" s="10" t="n">
        <x:v>2</x:v>
      </x:c>
      <x:c r="Q6609" s="13" t="n">
        <x:f>IF(H6609="","",H6609/1000000000)</x:f>
        <x:v>2.6</x:v>
      </x:c>
      <x:c r="R6609" s="13" t="n">
        <x:f>IF(I6609="","",I6609/1000000)</x:f>
        <x:v>74.28571428571428</x:v>
      </x:c>
    </x:row>
    <x:row r="6610" ht="21" customHeight="1">
      <x:c r="A6610" s="10" t="n">
        <x:v>8513</x:v>
      </x:c>
      <x:c r="B6610" s="2" t="str">
        <x:v>a4b515a76d2ececc36bb</x:v>
      </x:c>
      <x:c r="C6610" s="2" t="str">
        <x:v>Long An</x:v>
      </x:c>
      <x:c r="D6610" s="2" t="str">
        <x:v>Huyện Bến Lức</x:v>
      </x:c>
      <x:c r="E6610" s="2" t="str">
        <x:v>land</x:v>
      </x:c>
      <x:c r="F6610" s="2" t="str">
        <x:v>sale_assumed</x:v>
      </x:c>
      <x:c r="G6610" s="11" t="n">
        <x:v>100</x:v>
      </x:c>
      <x:c r="H6610" s="12" t="n">
        <x:v>800000000</x:v>
      </x:c>
      <x:c r="I6610" s="12" t="n">
        <x:v>8000000</x:v>
      </x:c>
      <x:c r="J6610" s="2" t="str">
        <x:v>total</x:v>
      </x:c>
      <x:c r="K6610" s="2" t="str">
        <x:v>top_level_area</x:v>
      </x:c>
      <x:c r="L6610" s="2" t="str">
        <x:v>property_type_inferred_from_title;transaction_assumed_sale_from_dataset_context</x:v>
      </x:c>
      <x:c r="M6610" s="10" t="n">
        <x:v>0</x:v>
      </x:c>
      <x:c r="N6610" s="10" t="n">
        <x:v>0</x:v>
      </x:c>
      <x:c r="O6610" s="2" t="str">
        <x:v>Long An|land</x:v>
      </x:c>
      <x:c r="P6610" s="10" t="n">
        <x:v>2</x:v>
      </x:c>
      <x:c r="Q6610" s="13" t="n">
        <x:f>IF(H6610="","",H6610/1000000000)</x:f>
        <x:v>0.8</x:v>
      </x:c>
      <x:c r="R6610" s="13" t="n">
        <x:f>IF(I6610="","",I6610/1000000)</x:f>
        <x:v>8</x:v>
      </x:c>
    </x:row>
    <x:row r="6611" ht="21" customHeight="1">
      <x:c r="A6611" s="10" t="n">
        <x:v>8514</x:v>
      </x:c>
      <x:c r="B6611" s="2" t="str">
        <x:v>32e807a6e88ce593cabd</x:v>
      </x:c>
      <x:c r="C6611" s="2" t="str">
        <x:v>Tp Hồ Chí Minh</x:v>
      </x:c>
      <x:c r="D6611" s="2" t="str">
        <x:v>Quận Bình Tân</x:v>
      </x:c>
      <x:c r="E6611" s="2" t="str">
        <x:v>house</x:v>
      </x:c>
      <x:c r="F6611" s="2" t="str">
        <x:v>sale</x:v>
      </x:c>
      <x:c r="G6611" s="11" t="n">
        <x:v>90</x:v>
      </x:c>
      <x:c r="H6611" s="12" t="n">
        <x:v>4900000000</x:v>
      </x:c>
      <x:c r="I6611" s="12" t="n">
        <x:v>54444444.44444445</x:v>
      </x:c>
      <x:c r="J6611" s="2" t="str">
        <x:v>total</x:v>
      </x:c>
      <x:c r="K6611" s="2" t="str">
        <x:v>top_level_area</x:v>
      </x:c>
      <x:c r="L6611" s="2" t="str">
        <x:v>property_type_inferred_from_title</x:v>
      </x:c>
      <x:c r="M6611" s="10" t="n">
        <x:v>0</x:v>
      </x:c>
      <x:c r="N6611" s="10" t="n">
        <x:v>0</x:v>
      </x:c>
      <x:c r="O6611" s="2" t="str">
        <x:v>Tp Hồ Chí Minh|house</x:v>
      </x:c>
      <x:c r="P6611" s="10" t="n">
        <x:v>2</x:v>
      </x:c>
      <x:c r="Q6611" s="13" t="n">
        <x:f>IF(H6611="","",H6611/1000000000)</x:f>
        <x:v>4.9</x:v>
      </x:c>
      <x:c r="R6611" s="13" t="n">
        <x:f>IF(I6611="","",I6611/1000000)</x:f>
        <x:v>54.44444444444445</x:v>
      </x:c>
    </x:row>
    <x:row r="6612" ht="21" customHeight="1">
      <x:c r="A6612" s="10" t="n">
        <x:v>8515</x:v>
      </x:c>
      <x:c r="B6612" s="2" t="str">
        <x:v>99081ca07b50fabdee59</x:v>
      </x:c>
      <x:c r="C6612" s="2" t="str">
        <x:v>Bà Rịa - Vũng Tàu</x:v>
      </x:c>
      <x:c r="D6612" s="2" t="str">
        <x:v>Thị xã Phú Mỹ</x:v>
      </x:c>
      <x:c r="E6612" s="2" t="str">
        <x:v>land</x:v>
      </x:c>
      <x:c r="F6612" s="2" t="str">
        <x:v>sale_assumed</x:v>
      </x:c>
      <x:c r="G6612" s="11" t="n">
        <x:v>100</x:v>
      </x:c>
      <x:c r="H6612" s="12" t="n">
        <x:v>450000000</x:v>
      </x:c>
      <x:c r="I6612" s="12" t="n">
        <x:v>4500000</x:v>
      </x:c>
      <x:c r="J6612" s="2" t="str">
        <x:v>total</x:v>
      </x:c>
      <x:c r="K6612" s="2" t="str">
        <x:v>top_level_area</x:v>
      </x:c>
      <x:c r="L6612" s="2" t="str">
        <x:v>property_type_inferred_from_title;transaction_assumed_sale_from_dataset_context</x:v>
      </x:c>
      <x:c r="M6612" s="10" t="n">
        <x:v>0</x:v>
      </x:c>
      <x:c r="N6612" s="10" t="n">
        <x:v>0</x:v>
      </x:c>
      <x:c r="O6612" s="2" t="str">
        <x:v>Bà Rịa - Vũng Tàu|land</x:v>
      </x:c>
      <x:c r="P6612" s="10" t="n">
        <x:v>2</x:v>
      </x:c>
      <x:c r="Q6612" s="13" t="n">
        <x:f>IF(H6612="","",H6612/1000000000)</x:f>
        <x:v>0.45</x:v>
      </x:c>
      <x:c r="R6612" s="13" t="n">
        <x:f>IF(I6612="","",I6612/1000000)</x:f>
        <x:v>4.5</x:v>
      </x:c>
    </x:row>
    <x:row r="6613" ht="21" customHeight="1">
      <x:c r="A6613" s="10" t="n">
        <x:v>8516</x:v>
      </x:c>
      <x:c r="B6613" s="2" t="str">
        <x:v>af493477c6a4aaa75b0e</x:v>
      </x:c>
      <x:c r="C6613" s="2" t="str">
        <x:v>Vĩnh Long</x:v>
      </x:c>
      <x:c r="D6613" s="2" t="str">
        <x:v>Huyện Long Hồ</x:v>
      </x:c>
      <x:c r="E6613" s="2" t="str">
        <x:v>land</x:v>
      </x:c>
      <x:c r="F6613" s="2" t="str">
        <x:v>sale</x:v>
      </x:c>
      <x:c r="G6613" s="11" t="n">
        <x:v>152</x:v>
      </x:c>
      <x:c r="H6613" s="12" t="n">
        <x:v>420000000</x:v>
      </x:c>
      <x:c r="I6613" s="12" t="n">
        <x:v>2763157.8947368423</x:v>
      </x:c>
      <x:c r="J6613" s="2" t="str">
        <x:v>total</x:v>
      </x:c>
      <x:c r="K6613" s="2" t="str">
        <x:v>top_level_area</x:v>
      </x:c>
      <x:c r="L6613" s="2" t="str">
        <x:v>property_type_inferred_from_title</x:v>
      </x:c>
      <x:c r="M6613" s="10" t="n">
        <x:v>0</x:v>
      </x:c>
      <x:c r="N6613" s="10" t="n">
        <x:v>0</x:v>
      </x:c>
      <x:c r="O6613" s="2" t="str">
        <x:v>land</x:v>
      </x:c>
      <x:c r="P6613" s="10" t="n">
        <x:v>1</x:v>
      </x:c>
      <x:c r="Q6613" s="13" t="n">
        <x:f>IF(H6613="","",H6613/1000000000)</x:f>
        <x:v>0.42</x:v>
      </x:c>
      <x:c r="R6613" s="13" t="n">
        <x:f>IF(I6613="","",I6613/1000000)</x:f>
        <x:v>2.763157894736842</x:v>
      </x:c>
    </x:row>
    <x:row r="6614" ht="21" customHeight="1">
      <x:c r="A6614" s="10" t="n">
        <x:v>8517</x:v>
      </x:c>
      <x:c r="B6614" s="2" t="str">
        <x:v>90411b25a7b254a0af0a</x:v>
      </x:c>
      <x:c r="C6614" s="2" t="str">
        <x:v>Tp Hồ Chí Minh</x:v>
      </x:c>
      <x:c r="D6614" s="2" t="str">
        <x:v>Huyện Hóc Môn</x:v>
      </x:c>
      <x:c r="E6614" s="2" t="str">
        <x:v>other_unknown</x:v>
      </x:c>
      <x:c r="F6614" s="2" t="str">
        <x:v>sale</x:v>
      </x:c>
      <x:c r="G6614" s="11" t="n">
        <x:v>40</x:v>
      </x:c>
      <x:c r="H6614" s="12" t="n">
        <x:v>650000000</x:v>
      </x:c>
      <x:c r="I6614" s="12" t="n">
        <x:v>16250000</x:v>
      </x:c>
      <x:c r="J6614" s="2" t="str">
        <x:v>total</x:v>
      </x:c>
      <x:c r="K6614" s="2" t="str">
        <x:v>top_level_area</x:v>
      </x:c>
      <x:c r="L6614" s="2" t="str">
        <x:v>property_type_inferred_from_title;unknown_property_type</x:v>
      </x:c>
      <x:c r="M6614" s="10" t="n">
        <x:v>0</x:v>
      </x:c>
      <x:c r="N6614" s="10" t="n">
        <x:v>0</x:v>
      </x:c>
      <x:c r="O6614" s="2" t="str">
        <x:v>Tp Hồ Chí Minh|other_unknown</x:v>
      </x:c>
      <x:c r="P6614" s="10" t="n">
        <x:v>2</x:v>
      </x:c>
      <x:c r="Q6614" s="13" t="n">
        <x:f>IF(H6614="","",H6614/1000000000)</x:f>
        <x:v>0.65</x:v>
      </x:c>
      <x:c r="R6614" s="13" t="n">
        <x:f>IF(I6614="","",I6614/1000000)</x:f>
        <x:v>16.25</x:v>
      </x:c>
    </x:row>
    <x:row r="6615" ht="21" customHeight="1">
      <x:c r="A6615" s="10" t="n">
        <x:v>8518</x:v>
      </x:c>
      <x:c r="B6615" s="2" t="str">
        <x:v>f1197722479e0e6a9231</x:v>
      </x:c>
      <x:c r="C6615" s="2" t="str">
        <x:v>Tp Hồ Chí Minh</x:v>
      </x:c>
      <x:c r="D6615" s="2" t="str">
        <x:v>Quận Tân Phú</x:v>
      </x:c>
      <x:c r="E6615" s="2" t="str">
        <x:v>house</x:v>
      </x:c>
      <x:c r="F6615" s="2" t="str">
        <x:v>sale</x:v>
      </x:c>
      <x:c r="G6615" s="11" t="n">
        <x:v>73</x:v>
      </x:c>
      <x:c r="H6615" s="12" t="n">
        <x:v>4900000000</x:v>
      </x:c>
      <x:c r="I6615" s="12" t="n">
        <x:v>67123287.67123288</x:v>
      </x:c>
      <x:c r="J6615" s="2" t="str">
        <x:v>total</x:v>
      </x:c>
      <x:c r="K6615" s="2" t="str">
        <x:v>top_level_area</x:v>
      </x:c>
      <x:c r="L6615" s="2" t="str">
        <x:v>property_type_inferred_from_title</x:v>
      </x:c>
      <x:c r="M6615" s="10" t="n">
        <x:v>0</x:v>
      </x:c>
      <x:c r="N6615" s="10" t="n">
        <x:v>0</x:v>
      </x:c>
      <x:c r="O6615" s="2" t="str">
        <x:v>Tp Hồ Chí Minh|house</x:v>
      </x:c>
      <x:c r="P6615" s="10" t="n">
        <x:v>2</x:v>
      </x:c>
      <x:c r="Q6615" s="13" t="n">
        <x:f>IF(H6615="","",H6615/1000000000)</x:f>
        <x:v>4.9</x:v>
      </x:c>
      <x:c r="R6615" s="13" t="n">
        <x:f>IF(I6615="","",I6615/1000000)</x:f>
        <x:v>67.12328767123287</x:v>
      </x:c>
    </x:row>
    <x:row r="6616" ht="21" customHeight="1">
      <x:c r="A6616" s="10" t="n">
        <x:v>8519</x:v>
      </x:c>
      <x:c r="B6616" s="2" t="str">
        <x:v>37ca55f87bce22538936</x:v>
      </x:c>
      <x:c r="C6616" s="2" t="str">
        <x:v>Tp Hồ Chí Minh</x:v>
      </x:c>
      <x:c r="D6616" s="2" t="str">
        <x:v>Huyện Hóc Môn</x:v>
      </x:c>
      <x:c r="E6616" s="2" t="str">
        <x:v>house</x:v>
      </x:c>
      <x:c r="F6616" s="2" t="str">
        <x:v>sale_assumed</x:v>
      </x:c>
      <x:c r="G6616" s="11" t="n">
        <x:v>45</x:v>
      </x:c>
      <x:c r="H6616" s="12" t="n">
        <x:v>850000000</x:v>
      </x:c>
      <x:c r="I6616" s="12" t="n">
        <x:v>18888888.888888888</x:v>
      </x:c>
      <x:c r="J6616" s="2" t="str">
        <x:v>total</x:v>
      </x:c>
      <x:c r="K6616" s="2" t="str">
        <x:v>top_level_area</x:v>
      </x:c>
      <x:c r="L6616" s="2" t="str">
        <x:v>property_type_inferred_from_title;transaction_assumed_sale_from_dataset_context</x:v>
      </x:c>
      <x:c r="M6616" s="10" t="n">
        <x:v>0</x:v>
      </x:c>
      <x:c r="N6616" s="10" t="n">
        <x:v>0</x:v>
      </x:c>
      <x:c r="O6616" s="2" t="str">
        <x:v>Tp Hồ Chí Minh|house</x:v>
      </x:c>
      <x:c r="P6616" s="10" t="n">
        <x:v>2</x:v>
      </x:c>
      <x:c r="Q6616" s="13" t="n">
        <x:f>IF(H6616="","",H6616/1000000000)</x:f>
        <x:v>0.85</x:v>
      </x:c>
      <x:c r="R6616" s="13" t="n">
        <x:f>IF(I6616="","",I6616/1000000)</x:f>
        <x:v>18.88888888888889</x:v>
      </x:c>
    </x:row>
    <x:row r="6617" ht="21" customHeight="1">
      <x:c r="A6617" s="10" t="n">
        <x:v>8520</x:v>
      </x:c>
      <x:c r="B6617" s="2" t="str">
        <x:v>1ccfd66e7e79a08ef5f7</x:v>
      </x:c>
      <x:c r="C6617" s="2" t="str">
        <x:v>Bình Thuận</x:v>
      </x:c>
      <x:c r="D6617" s="2" t="str">
        <x:v>Thành phố Phan Thiết</x:v>
      </x:c>
      <x:c r="E6617" s="2" t="str">
        <x:v>other_unknown</x:v>
      </x:c>
      <x:c r="F6617" s="2" t="str">
        <x:v>sale_assumed</x:v>
      </x:c>
      <x:c r="G6617" s="11" t="n">
        <x:v>120</x:v>
      </x:c>
      <x:c r="H6617" s="12" t="n">
        <x:v>4600000000</x:v>
      </x:c>
      <x:c r="I6617" s="12" t="n">
        <x:v>38333333.333333336</x:v>
      </x:c>
      <x:c r="J6617" s="2" t="str">
        <x:v>total</x:v>
      </x:c>
      <x:c r="K6617" s="2" t="str">
        <x:v>top_level_area</x:v>
      </x:c>
      <x:c r="L6617" s="2" t="str">
        <x:v>property_type_inferred_from_title;transaction_assumed_sale_from_dataset_context;unknown_property_type</x:v>
      </x:c>
      <x:c r="M6617" s="10" t="n">
        <x:v>0</x:v>
      </x:c>
      <x:c r="N6617" s="10" t="n">
        <x:v>0</x:v>
      </x:c>
      <x:c r="O6617" s="2" t="str">
        <x:v>other_unknown</x:v>
      </x:c>
      <x:c r="P6617" s="10" t="n">
        <x:v>2</x:v>
      </x:c>
      <x:c r="Q6617" s="13" t="n">
        <x:f>IF(H6617="","",H6617/1000000000)</x:f>
        <x:v>4.6</x:v>
      </x:c>
      <x:c r="R6617" s="13" t="n">
        <x:f>IF(I6617="","",I6617/1000000)</x:f>
        <x:v>38.333333333333336</x:v>
      </x:c>
    </x:row>
    <x:row r="6618" ht="21" customHeight="1">
      <x:c r="A6618" s="10" t="n">
        <x:v>8521</x:v>
      </x:c>
      <x:c r="B6618" s="2" t="str">
        <x:v>77b17cfbddeac8574dd5</x:v>
      </x:c>
      <x:c r="C6618" s="2" t="str">
        <x:v>Bà Rịa - Vũng Tàu</x:v>
      </x:c>
      <x:c r="D6618" s="2" t="str">
        <x:v>Thành phố Vũng Tàu</x:v>
      </x:c>
      <x:c r="E6618" s="2" t="str">
        <x:v>land</x:v>
      </x:c>
      <x:c r="F6618" s="2" t="str">
        <x:v>sale</x:v>
      </x:c>
      <x:c r="G6618" s="11" t="n">
        <x:v>163</x:v>
      </x:c>
      <x:c r="H6618" s="12" t="n">
        <x:v>900000000</x:v>
      </x:c>
      <x:c r="I6618" s="12" t="n">
        <x:v>5521472.392638037</x:v>
      </x:c>
      <x:c r="J6618" s="2" t="str">
        <x:v>total</x:v>
      </x:c>
      <x:c r="K6618" s="2" t="str">
        <x:v>top_level_area</x:v>
      </x:c>
      <x:c r="L6618" s="2" t="str">
        <x:v>property_type_inferred_from_title</x:v>
      </x:c>
      <x:c r="M6618" s="10" t="n">
        <x:v>0</x:v>
      </x:c>
      <x:c r="N6618" s="10" t="n">
        <x:v>0</x:v>
      </x:c>
      <x:c r="O6618" s="2" t="str">
        <x:v>Bà Rịa - Vũng Tàu|land</x:v>
      </x:c>
      <x:c r="P6618" s="10" t="n">
        <x:v>2</x:v>
      </x:c>
      <x:c r="Q6618" s="13" t="n">
        <x:f>IF(H6618="","",H6618/1000000000)</x:f>
        <x:v>0.9</x:v>
      </x:c>
      <x:c r="R6618" s="13" t="n">
        <x:f>IF(I6618="","",I6618/1000000)</x:f>
        <x:v>5.521472392638037</x:v>
      </x:c>
    </x:row>
    <x:row r="6619" ht="21" customHeight="1">
      <x:c r="A6619" s="10" t="n">
        <x:v>8522</x:v>
      </x:c>
      <x:c r="B6619" s="2" t="str">
        <x:v>38882c6c5988e6af4513</x:v>
      </x:c>
      <x:c r="C6619" s="2" t="str">
        <x:v>Đắk Lắk</x:v>
      </x:c>
      <x:c r="D6619" s="2" t="str">
        <x:v>Thành phố Buôn Ma Thuột</x:v>
      </x:c>
      <x:c r="E6619" s="2" t="str">
        <x:v>other_unknown</x:v>
      </x:c>
      <x:c r="F6619" s="2" t="str">
        <x:v>sale_assumed</x:v>
      </x:c>
      <x:c r="G6619" s="11" t="n">
        <x:v>260</x:v>
      </x:c>
      <x:c r="H6619" s="12" t="n">
        <x:v>1390000000</x:v>
      </x:c>
      <x:c r="I6619" s="12" t="n">
        <x:v>5346153.846153846</x:v>
      </x:c>
      <x:c r="J6619" s="2" t="str">
        <x:v>total</x:v>
      </x:c>
      <x:c r="K6619" s="2" t="str">
        <x:v>top_level_area</x:v>
      </x:c>
      <x:c r="L6619" s="2" t="str">
        <x:v>property_type_inferred_from_title;transaction_assumed_sale_from_dataset_context;unknown_property_type</x:v>
      </x:c>
      <x:c r="M6619" s="10" t="n">
        <x:v>0</x:v>
      </x:c>
      <x:c r="N6619" s="10" t="n">
        <x:v>0</x:v>
      </x:c>
      <x:c r="O6619" s="2" t="str">
        <x:v>other_unknown</x:v>
      </x:c>
      <x:c r="P6619" s="10" t="n">
        <x:v>1</x:v>
      </x:c>
      <x:c r="Q6619" s="13" t="n">
        <x:f>IF(H6619="","",H6619/1000000000)</x:f>
        <x:v>1.39</x:v>
      </x:c>
      <x:c r="R6619" s="13" t="n">
        <x:f>IF(I6619="","",I6619/1000000)</x:f>
        <x:v>5.346153846153846</x:v>
      </x:c>
    </x:row>
    <x:row r="6620" ht="21" customHeight="1">
      <x:c r="A6620" s="10" t="n">
        <x:v>8523</x:v>
      </x:c>
      <x:c r="B6620" s="2" t="str">
        <x:v>73bb3c48b37cdbd135c6</x:v>
      </x:c>
      <x:c r="C6620" s="2" t="str">
        <x:v>Hà Nội</x:v>
      </x:c>
      <x:c r="D6620" s="2" t="str">
        <x:v>Quận Đống Đa</x:v>
      </x:c>
      <x:c r="E6620" s="2" t="str">
        <x:v>house</x:v>
      </x:c>
      <x:c r="F6620" s="2" t="str">
        <x:v>sale_assumed</x:v>
      </x:c>
      <x:c r="G6620" s="11" t="n">
        <x:v>68</x:v>
      </x:c>
      <x:c r="H6620" s="12" t="n">
        <x:v>5000000000</x:v>
      </x:c>
      <x:c r="I6620" s="12" t="n">
        <x:v>73529411.76470588</x:v>
      </x:c>
      <x:c r="J6620" s="2" t="str">
        <x:v>total</x:v>
      </x:c>
      <x:c r="K6620" s="2" t="str">
        <x:v>top_level_area</x:v>
      </x:c>
      <x:c r="L6620" s="2" t="str">
        <x:v>property_type_inferred_from_title;transaction_assumed_sale_from_dataset_context</x:v>
      </x:c>
      <x:c r="M6620" s="10" t="n">
        <x:v>0</x:v>
      </x:c>
      <x:c r="N6620" s="10" t="n">
        <x:v>0</x:v>
      </x:c>
      <x:c r="O6620" s="2" t="str">
        <x:v>Hà Nội|house</x:v>
      </x:c>
      <x:c r="P6620" s="10" t="n">
        <x:v>2</x:v>
      </x:c>
      <x:c r="Q6620" s="13" t="n">
        <x:f>IF(H6620="","",H6620/1000000000)</x:f>
        <x:v>5</x:v>
      </x:c>
      <x:c r="R6620" s="13" t="n">
        <x:f>IF(I6620="","",I6620/1000000)</x:f>
        <x:v>73.52941176470588</x:v>
      </x:c>
    </x:row>
    <x:row r="6621" ht="21" customHeight="1">
      <x:c r="A6621" s="10" t="n">
        <x:v>8524</x:v>
      </x:c>
      <x:c r="B6621" s="2" t="str">
        <x:v>0e0c04c4f8be248808b9</x:v>
      </x:c>
      <x:c r="C6621" s="2" t="str">
        <x:v>Tp Hồ Chí Minh</x:v>
      </x:c>
      <x:c r="D6621" s="2" t="str">
        <x:v>Quận Bình Thạnh</x:v>
      </x:c>
      <x:c r="E6621" s="2" t="str">
        <x:v>house</x:v>
      </x:c>
      <x:c r="F6621" s="2" t="str">
        <x:v>sale</x:v>
      </x:c>
      <x:c r="G6621" s="11" t="n">
        <x:v>42</x:v>
      </x:c>
      <x:c r="H6621" s="12" t="n">
        <x:v>4000000000</x:v>
      </x:c>
      <x:c r="I6621" s="12" t="n">
        <x:v>95238095.23809524</x:v>
      </x:c>
      <x:c r="J6621" s="2" t="str">
        <x:v>total</x:v>
      </x:c>
      <x:c r="K6621" s="2" t="str">
        <x:v>top_level_area</x:v>
      </x:c>
      <x:c r="L6621" s="2" t="str">
        <x:v>property_type_inferred_from_title</x:v>
      </x:c>
      <x:c r="M6621" s="10" t="n">
        <x:v>0</x:v>
      </x:c>
      <x:c r="N6621" s="10" t="n">
        <x:v>0</x:v>
      </x:c>
      <x:c r="O6621" s="2" t="str">
        <x:v>Tp Hồ Chí Minh|house</x:v>
      </x:c>
      <x:c r="P6621" s="10" t="n">
        <x:v>2</x:v>
      </x:c>
      <x:c r="Q6621" s="13" t="n">
        <x:f>IF(H6621="","",H6621/1000000000)</x:f>
        <x:v>4</x:v>
      </x:c>
      <x:c r="R6621" s="13" t="n">
        <x:f>IF(I6621="","",I6621/1000000)</x:f>
        <x:v>95.23809523809524</x:v>
      </x:c>
    </x:row>
    <x:row r="6622" ht="21" customHeight="1">
      <x:c r="A6622" s="10" t="n">
        <x:v>8526</x:v>
      </x:c>
      <x:c r="B6622" s="2" t="str">
        <x:v>0389b626a0d86dec9115</x:v>
      </x:c>
      <x:c r="C6622" s="2" t="str">
        <x:v>Đắk Lắk</x:v>
      </x:c>
      <x:c r="D6622" s="2" t="str">
        <x:v>Thành phố Buôn Ma Thuột</x:v>
      </x:c>
      <x:c r="E6622" s="2" t="str">
        <x:v>house</x:v>
      </x:c>
      <x:c r="F6622" s="2" t="str">
        <x:v>sale_assumed</x:v>
      </x:c>
      <x:c r="G6622" s="11" t="n">
        <x:v>85</x:v>
      </x:c>
      <x:c r="H6622" s="12" t="n">
        <x:v>965000000</x:v>
      </x:c>
      <x:c r="I6622" s="12" t="n">
        <x:v>11352941.176470589</x:v>
      </x:c>
      <x:c r="J6622" s="2" t="str">
        <x:v>total</x:v>
      </x:c>
      <x:c r="K6622" s="2" t="str">
        <x:v>top_level_area</x:v>
      </x:c>
      <x:c r="L6622" s="2" t="str">
        <x:v>property_type_inferred_from_title;transaction_assumed_sale_from_dataset_context</x:v>
      </x:c>
      <x:c r="M6622" s="10" t="n">
        <x:v>0</x:v>
      </x:c>
      <x:c r="N6622" s="10" t="n">
        <x:v>0</x:v>
      </x:c>
      <x:c r="O6622" s="2" t="str">
        <x:v>Đắk Lắk|house</x:v>
      </x:c>
      <x:c r="P6622" s="10" t="n">
        <x:v>2</x:v>
      </x:c>
      <x:c r="Q6622" s="13" t="n">
        <x:f>IF(H6622="","",H6622/1000000000)</x:f>
        <x:v>0.965</x:v>
      </x:c>
      <x:c r="R6622" s="13" t="n">
        <x:f>IF(I6622="","",I6622/1000000)</x:f>
        <x:v>11.352941176470589</x:v>
      </x:c>
    </x:row>
    <x:row r="6623" ht="21" customHeight="1">
      <x:c r="A6623" s="10" t="n">
        <x:v>8527</x:v>
      </x:c>
      <x:c r="B6623" s="2" t="str">
        <x:v>d6f6e0221053dcbdbd12</x:v>
      </x:c>
      <x:c r="C6623" s="2" t="str">
        <x:v>Tp Hồ Chí Minh</x:v>
      </x:c>
      <x:c r="D6623" s="2" t="str">
        <x:v>Quận 12</x:v>
      </x:c>
      <x:c r="E6623" s="2" t="str">
        <x:v>house</x:v>
      </x:c>
      <x:c r="F6623" s="2" t="str">
        <x:v>sale</x:v>
      </x:c>
      <x:c r="G6623" s="11" t="n">
        <x:v>48</x:v>
      </x:c>
      <x:c r="H6623" s="12" t="n">
        <x:v>3570000000</x:v>
      </x:c>
      <x:c r="I6623" s="12" t="n">
        <x:v>74375000</x:v>
      </x:c>
      <x:c r="J6623" s="2" t="str">
        <x:v>total</x:v>
      </x:c>
      <x:c r="K6623" s="2" t="str">
        <x:v>top_level_area</x:v>
      </x:c>
      <x:c r="L6623" s="2" t="str">
        <x:v>property_type_inferred_from_title</x:v>
      </x:c>
      <x:c r="M6623" s="10" t="n">
        <x:v>0</x:v>
      </x:c>
      <x:c r="N6623" s="10" t="n">
        <x:v>0</x:v>
      </x:c>
      <x:c r="O6623" s="2" t="str">
        <x:v>Tp Hồ Chí Minh|house</x:v>
      </x:c>
      <x:c r="P6623" s="10" t="n">
        <x:v>2</x:v>
      </x:c>
      <x:c r="Q6623" s="13" t="n">
        <x:f>IF(H6623="","",H6623/1000000000)</x:f>
        <x:v>3.57</x:v>
      </x:c>
      <x:c r="R6623" s="13" t="n">
        <x:f>IF(I6623="","",I6623/1000000)</x:f>
        <x:v>74.375</x:v>
      </x:c>
    </x:row>
    <x:row r="6624" ht="21" customHeight="1">
      <x:c r="A6624" s="10" t="n">
        <x:v>8532</x:v>
      </x:c>
      <x:c r="B6624" s="2" t="str">
        <x:v>78db4846e5a012f2d166</x:v>
      </x:c>
      <x:c r="C6624" s="2" t="str">
        <x:v>Tp Hồ Chí Minh</x:v>
      </x:c>
      <x:c r="D6624" s="2" t="str">
        <x:v>Quận 2</x:v>
      </x:c>
      <x:c r="E6624" s="2" t="str">
        <x:v>apartment</x:v>
      </x:c>
      <x:c r="F6624" s="2" t="str">
        <x:v>sale</x:v>
      </x:c>
      <x:c r="G6624" s="11" t="n">
        <x:v>131</x:v>
      </x:c>
      <x:c r="H6624" s="12" t="n">
        <x:v>5400000000</x:v>
      </x:c>
      <x:c r="I6624" s="12" t="n">
        <x:v>41221374.04580153</x:v>
      </x:c>
      <x:c r="J6624" s="2" t="str">
        <x:v>total</x:v>
      </x:c>
      <x:c r="K6624" s="2" t="str">
        <x:v>top_level_area</x:v>
      </x:c>
      <x:c r="L6624" s="2" t="str">
        <x:v>property_type_inferred_from_title</x:v>
      </x:c>
      <x:c r="M6624" s="10" t="n">
        <x:v>0</x:v>
      </x:c>
      <x:c r="N6624" s="10" t="n">
        <x:v>0</x:v>
      </x:c>
      <x:c r="O6624" s="2" t="str">
        <x:v>Tp Hồ Chí Minh|apartment</x:v>
      </x:c>
      <x:c r="P6624" s="10" t="n">
        <x:v>2</x:v>
      </x:c>
      <x:c r="Q6624" s="13" t="n">
        <x:f>IF(H6624="","",H6624/1000000000)</x:f>
        <x:v>5.4</x:v>
      </x:c>
      <x:c r="R6624" s="13" t="n">
        <x:f>IF(I6624="","",I6624/1000000)</x:f>
        <x:v>41.221374045801525</x:v>
      </x:c>
    </x:row>
    <x:row r="6625" ht="21" customHeight="1">
      <x:c r="A6625" s="10" t="n">
        <x:v>8533</x:v>
      </x:c>
      <x:c r="B6625" s="2" t="str">
        <x:v>f6c2a43db08624914eb5</x:v>
      </x:c>
      <x:c r="C6625" s="2" t="str">
        <x:v>Tp Hồ Chí Minh</x:v>
      </x:c>
      <x:c r="D6625" s="2" t="str">
        <x:v>Quận 12</x:v>
      </x:c>
      <x:c r="E6625" s="2" t="str">
        <x:v>house</x:v>
      </x:c>
      <x:c r="F6625" s="2" t="str">
        <x:v>sale</x:v>
      </x:c>
      <x:c r="G6625" s="11" t="n">
        <x:v>58</x:v>
      </x:c>
      <x:c r="H6625" s="12" t="n">
        <x:v>4750000000</x:v>
      </x:c>
      <x:c r="I6625" s="12" t="n">
        <x:v>81896551.72413793</x:v>
      </x:c>
      <x:c r="J6625" s="2" t="str">
        <x:v>total</x:v>
      </x:c>
      <x:c r="K6625" s="2" t="str">
        <x:v>top_level_area</x:v>
      </x:c>
      <x:c r="L6625" s="2" t="str">
        <x:v>property_type_inferred_from_title</x:v>
      </x:c>
      <x:c r="M6625" s="10" t="n">
        <x:v>0</x:v>
      </x:c>
      <x:c r="N6625" s="10" t="n">
        <x:v>0</x:v>
      </x:c>
      <x:c r="O6625" s="2" t="str">
        <x:v>Tp Hồ Chí Minh|house</x:v>
      </x:c>
      <x:c r="P6625" s="10" t="n">
        <x:v>2</x:v>
      </x:c>
      <x:c r="Q6625" s="13" t="n">
        <x:f>IF(H6625="","",H6625/1000000000)</x:f>
        <x:v>4.75</x:v>
      </x:c>
      <x:c r="R6625" s="13" t="n">
        <x:f>IF(I6625="","",I6625/1000000)</x:f>
        <x:v>81.89655172413794</x:v>
      </x:c>
    </x:row>
    <x:row r="6626" ht="21" customHeight="1">
      <x:c r="A6626" s="10" t="n">
        <x:v>8534</x:v>
      </x:c>
      <x:c r="B6626" s="2" t="str">
        <x:v>b9b6df1555cf3d1cb47d</x:v>
      </x:c>
      <x:c r="C6626" s="2" t="str">
        <x:v>Thừa Thiên Huế</x:v>
      </x:c>
      <x:c r="D6626" s="2" t="str">
        <x:v>Thành phố Huế</x:v>
      </x:c>
      <x:c r="E6626" s="2" t="str">
        <x:v>land</x:v>
      </x:c>
      <x:c r="F6626" s="2" t="str">
        <x:v>sale_assumed</x:v>
      </x:c>
      <x:c r="G6626" s="11" t="n">
        <x:v>101</x:v>
      </x:c>
      <x:c r="H6626" s="12" t="n">
        <x:v>1299999000</x:v>
      </x:c>
      <x:c r="I6626" s="12" t="n">
        <x:v>12871277.227722771</x:v>
      </x:c>
      <x:c r="J6626" s="2" t="str">
        <x:v>total</x:v>
      </x:c>
      <x:c r="K6626" s="2" t="str">
        <x:v>top_level_area</x:v>
      </x:c>
      <x:c r="L6626" s="2" t="str">
        <x:v>property_type_inferred_from_title;transaction_assumed_sale_from_dataset_context</x:v>
      </x:c>
      <x:c r="M6626" s="10" t="n">
        <x:v>0</x:v>
      </x:c>
      <x:c r="N6626" s="10" t="n">
        <x:v>0</x:v>
      </x:c>
      <x:c r="O6626" s="2" t="str">
        <x:v>land</x:v>
      </x:c>
      <x:c r="P6626" s="10" t="n">
        <x:v>2</x:v>
      </x:c>
      <x:c r="Q6626" s="13" t="n">
        <x:f>IF(H6626="","",H6626/1000000000)</x:f>
        <x:v>1.299999</x:v>
      </x:c>
      <x:c r="R6626" s="13" t="n">
        <x:f>IF(I6626="","",I6626/1000000)</x:f>
        <x:v>12.871277227722771</x:v>
      </x:c>
    </x:row>
    <x:row r="6627" ht="21" customHeight="1">
      <x:c r="A6627" s="10" t="n">
        <x:v>8535</x:v>
      </x:c>
      <x:c r="B6627" s="2" t="str">
        <x:v>a5c4d595a20e682da3c5</x:v>
      </x:c>
      <x:c r="C6627" s="2" t="str">
        <x:v>Tp Hồ Chí Minh</x:v>
      </x:c>
      <x:c r="D6627" s="2" t="str">
        <x:v>Quận Thủ Đức</x:v>
      </x:c>
      <x:c r="E6627" s="2" t="str">
        <x:v>house</x:v>
      </x:c>
      <x:c r="F6627" s="2" t="str">
        <x:v>sale</x:v>
      </x:c>
      <x:c r="G6627" s="11" t="n">
        <x:v>6</x:v>
      </x:c>
      <x:c r="H6627" s="12" t="n">
        <x:v>5000000000</x:v>
      </x:c>
      <x:c r="I6627" s="12" t="n">
        <x:v>833333333.3333334</x:v>
      </x:c>
      <x:c r="J6627" s="2" t="str">
        <x:v>total</x:v>
      </x:c>
      <x:c r="K6627" s="2" t="str">
        <x:v>top_level_area</x:v>
      </x:c>
      <x:c r="L6627" s="2" t="str">
        <x:v>property_type_inferred_from_title</x:v>
      </x:c>
      <x:c r="M6627" s="10" t="n">
        <x:v>1</x:v>
      </x:c>
      <x:c r="N6627" s="10" t="n">
        <x:v>1</x:v>
      </x:c>
      <x:c r="O6627" s="2" t="str">
        <x:v>Tp Hồ Chí Minh|house</x:v>
      </x:c>
      <x:c r="P6627" s="10" t="n">
        <x:v>-1</x:v>
      </x:c>
      <x:c r="Q6627" s="13" t="n">
        <x:f>IF(H6627="","",H6627/1000000000)</x:f>
        <x:v>5</x:v>
      </x:c>
      <x:c r="R6627" s="13" t="n">
        <x:f>IF(I6627="","",I6627/1000000)</x:f>
        <x:v>833.3333333333334</x:v>
      </x:c>
    </x:row>
    <x:row r="6628" ht="21" customHeight="1">
      <x:c r="A6628" s="10" t="n">
        <x:v>8536</x:v>
      </x:c>
      <x:c r="B6628" s="2" t="str">
        <x:v>e8182bc369ddc155e1ba</x:v>
      </x:c>
      <x:c r="C6628" s="2" t="str">
        <x:v>Tp Hồ Chí Minh</x:v>
      </x:c>
      <x:c r="D6628" s="2" t="str">
        <x:v>Quận 8</x:v>
      </x:c>
      <x:c r="E6628" s="2" t="str">
        <x:v>house</x:v>
      </x:c>
      <x:c r="F6628" s="2" t="str">
        <x:v>sale_assumed</x:v>
      </x:c>
      <x:c r="G6628" s="11" t="n">
        <x:v>33</x:v>
      </x:c>
      <x:c r="H6628" s="12" t="n">
        <x:v>2199000000</x:v>
      </x:c>
      <x:c r="I6628" s="12" t="n">
        <x:v>66636363.63636363</x:v>
      </x:c>
      <x:c r="J6628" s="2" t="str">
        <x:v>total</x:v>
      </x:c>
      <x:c r="K6628" s="2" t="str">
        <x:v>top_level_area</x:v>
      </x:c>
      <x:c r="L6628" s="2" t="str">
        <x:v>property_type_inferred_from_title;transaction_assumed_sale_from_dataset_context</x:v>
      </x:c>
      <x:c r="M6628" s="10" t="n">
        <x:v>0</x:v>
      </x:c>
      <x:c r="N6628" s="10" t="n">
        <x:v>0</x:v>
      </x:c>
      <x:c r="O6628" s="2" t="str">
        <x:v>Tp Hồ Chí Minh|house</x:v>
      </x:c>
      <x:c r="P6628" s="10" t="n">
        <x:v>2</x:v>
      </x:c>
      <x:c r="Q6628" s="13" t="n">
        <x:f>IF(H6628="","",H6628/1000000000)</x:f>
        <x:v>2.199</x:v>
      </x:c>
      <x:c r="R6628" s="13" t="n">
        <x:f>IF(I6628="","",I6628/1000000)</x:f>
        <x:v>66.63636363636363</x:v>
      </x:c>
    </x:row>
    <x:row r="6629" ht="21" customHeight="1">
      <x:c r="A6629" s="10" t="n">
        <x:v>8537</x:v>
      </x:c>
      <x:c r="B6629" s="2" t="str">
        <x:v>f076db134549b9948c8f</x:v>
      </x:c>
      <x:c r="C6629" s="2" t="str">
        <x:v>Long An</x:v>
      </x:c>
      <x:c r="D6629" s="2" t="str">
        <x:v>Huyện Bến Lức</x:v>
      </x:c>
      <x:c r="E6629" s="2" t="str">
        <x:v>house</x:v>
      </x:c>
      <x:c r="F6629" s="2" t="str">
        <x:v>sale</x:v>
      </x:c>
      <x:c r="G6629" s="11" t="n">
        <x:v>86</x:v>
      </x:c>
      <x:c r="H6629" s="12" t="n">
        <x:v>730000000</x:v>
      </x:c>
      <x:c r="I6629" s="12" t="n">
        <x:v>8488372.093023255</x:v>
      </x:c>
      <x:c r="J6629" s="2" t="str">
        <x:v>total</x:v>
      </x:c>
      <x:c r="K6629" s="2" t="str">
        <x:v>top_level_area</x:v>
      </x:c>
      <x:c r="L6629" s="2" t="str">
        <x:v>property_type_inferred_from_title</x:v>
      </x:c>
      <x:c r="M6629" s="10" t="n">
        <x:v>0</x:v>
      </x:c>
      <x:c r="N6629" s="10" t="n">
        <x:v>0</x:v>
      </x:c>
      <x:c r="O6629" s="2" t="str">
        <x:v>Long An|house</x:v>
      </x:c>
      <x:c r="P6629" s="10" t="n">
        <x:v>2</x:v>
      </x:c>
      <x:c r="Q6629" s="13" t="n">
        <x:f>IF(H6629="","",H6629/1000000000)</x:f>
        <x:v>0.73</x:v>
      </x:c>
      <x:c r="R6629" s="13" t="n">
        <x:f>IF(I6629="","",I6629/1000000)</x:f>
        <x:v>8.488372093023255</x:v>
      </x:c>
    </x:row>
    <x:row r="6630" ht="21" customHeight="1">
      <x:c r="A6630" s="10" t="n">
        <x:v>8538</x:v>
      </x:c>
      <x:c r="B6630" s="2" t="str">
        <x:v>e4fbf8ddc0b0335e00bc</x:v>
      </x:c>
      <x:c r="C6630" s="2" t="str">
        <x:v>Tp Hồ Chí Minh</x:v>
      </x:c>
      <x:c r="D6630" s="2" t="str">
        <x:v>Quận 10</x:v>
      </x:c>
      <x:c r="E6630" s="2" t="str">
        <x:v>house</x:v>
      </x:c>
      <x:c r="F6630" s="2" t="str">
        <x:v>sale</x:v>
      </x:c>
      <x:c r="G6630" s="11" t="n">
        <x:v>69</x:v>
      </x:c>
      <x:c r="H6630" s="12" t="n">
        <x:v>1240000000</x:v>
      </x:c>
      <x:c r="I6630" s="12" t="n">
        <x:v>17971014.492753625</x:v>
      </x:c>
      <x:c r="J6630" s="2" t="str">
        <x:v>total</x:v>
      </x:c>
      <x:c r="K6630" s="2" t="str">
        <x:v>top_level_area</x:v>
      </x:c>
      <x:c r="L6630" s="2" t="str">
        <x:v>property_type_inferred_from_title</x:v>
      </x:c>
      <x:c r="M6630" s="10" t="n">
        <x:v>0</x:v>
      </x:c>
      <x:c r="N6630" s="10" t="n">
        <x:v>0</x:v>
      </x:c>
      <x:c r="O6630" s="2" t="str">
        <x:v>Tp Hồ Chí Minh|house</x:v>
      </x:c>
      <x:c r="P6630" s="10" t="n">
        <x:v>2</x:v>
      </x:c>
      <x:c r="Q6630" s="13" t="n">
        <x:f>IF(H6630="","",H6630/1000000000)</x:f>
        <x:v>1.24</x:v>
      </x:c>
      <x:c r="R6630" s="13" t="n">
        <x:f>IF(I6630="","",I6630/1000000)</x:f>
        <x:v>17.971014492753625</x:v>
      </x:c>
    </x:row>
    <x:row r="6631" ht="21" customHeight="1">
      <x:c r="A6631" s="10" t="n">
        <x:v>8539</x:v>
      </x:c>
      <x:c r="B6631" s="2" t="str">
        <x:v>d94d0eaca06813c7ccf3</x:v>
      </x:c>
      <x:c r="C6631" s="2" t="str">
        <x:v>Hà Nội</x:v>
      </x:c>
      <x:c r="D6631" s="2" t="str">
        <x:v>Quận Long Biên</x:v>
      </x:c>
      <x:c r="E6631" s="2" t="str">
        <x:v>house</x:v>
      </x:c>
      <x:c r="F6631" s="2" t="str">
        <x:v>sale_assumed</x:v>
      </x:c>
      <x:c r="G6631" s="11" t="n">
        <x:v>55</x:v>
      </x:c>
      <x:c r="H6631" s="12" t="n">
        <x:v>3450000000</x:v>
      </x:c>
      <x:c r="I6631" s="12" t="n">
        <x:v>62727272.72727273</x:v>
      </x:c>
      <x:c r="J6631" s="2" t="str">
        <x:v>total</x:v>
      </x:c>
      <x:c r="K6631" s="2" t="str">
        <x:v>top_level_area</x:v>
      </x:c>
      <x:c r="L6631" s="2" t="str">
        <x:v>property_type_inferred_from_title;transaction_assumed_sale_from_dataset_context</x:v>
      </x:c>
      <x:c r="M6631" s="10" t="n">
        <x:v>0</x:v>
      </x:c>
      <x:c r="N6631" s="10" t="n">
        <x:v>0</x:v>
      </x:c>
      <x:c r="O6631" s="2" t="str">
        <x:v>Hà Nội|house</x:v>
      </x:c>
      <x:c r="P6631" s="10" t="n">
        <x:v>2</x:v>
      </x:c>
      <x:c r="Q6631" s="13" t="n">
        <x:f>IF(H6631="","",H6631/1000000000)</x:f>
        <x:v>3.45</x:v>
      </x:c>
      <x:c r="R6631" s="13" t="n">
        <x:f>IF(I6631="","",I6631/1000000)</x:f>
        <x:v>62.72727272727273</x:v>
      </x:c>
    </x:row>
    <x:row r="6632" ht="21" customHeight="1">
      <x:c r="A6632" s="10" t="n">
        <x:v>8540</x:v>
      </x:c>
      <x:c r="B6632" s="2" t="str">
        <x:v>39f6ef58494086103094</x:v>
      </x:c>
      <x:c r="C6632" s="2" t="str">
        <x:v>Tp Hồ Chí Minh</x:v>
      </x:c>
      <x:c r="D6632" s="2" t="str">
        <x:v>Huyện Nhà Bè</x:v>
      </x:c>
      <x:c r="E6632" s="2" t="str">
        <x:v>house</x:v>
      </x:c>
      <x:c r="F6632" s="2" t="str">
        <x:v>sale_assumed</x:v>
      </x:c>
      <x:c r="G6632" s="11" t="n">
        <x:v>54</x:v>
      </x:c>
      <x:c r="H6632" s="12" t="n">
        <x:v>4500000000</x:v>
      </x:c>
      <x:c r="I6632" s="12" t="n">
        <x:v>83333333.33333333</x:v>
      </x:c>
      <x:c r="J6632" s="2" t="str">
        <x:v>total</x:v>
      </x:c>
      <x:c r="K6632" s="2" t="str">
        <x:v>top_level_area</x:v>
      </x:c>
      <x:c r="L6632" s="2" t="str">
        <x:v>property_type_inferred_from_title;transaction_assumed_sale_from_dataset_context</x:v>
      </x:c>
      <x:c r="M6632" s="10" t="n">
        <x:v>0</x:v>
      </x:c>
      <x:c r="N6632" s="10" t="n">
        <x:v>0</x:v>
      </x:c>
      <x:c r="O6632" s="2" t="str">
        <x:v>Tp Hồ Chí Minh|house</x:v>
      </x:c>
      <x:c r="P6632" s="10" t="n">
        <x:v>2</x:v>
      </x:c>
      <x:c r="Q6632" s="13" t="n">
        <x:f>IF(H6632="","",H6632/1000000000)</x:f>
        <x:v>4.5</x:v>
      </x:c>
      <x:c r="R6632" s="13" t="n">
        <x:f>IF(I6632="","",I6632/1000000)</x:f>
        <x:v>83.33333333333333</x:v>
      </x:c>
    </x:row>
    <x:row r="6633" ht="21" customHeight="1">
      <x:c r="A6633" s="10" t="n">
        <x:v>8541</x:v>
      </x:c>
      <x:c r="B6633" s="2" t="str">
        <x:v>690c7b639624537453c4</x:v>
      </x:c>
      <x:c r="C6633" s="2" t="str">
        <x:v>Lâm Đồng</x:v>
      </x:c>
      <x:c r="D6633" s="2" t="str">
        <x:v>Huyện Di Linh</x:v>
      </x:c>
      <x:c r="E6633" s="2" t="str">
        <x:v>other_unknown</x:v>
      </x:c>
      <x:c r="F6633" s="2" t="str">
        <x:v>sale_assumed</x:v>
      </x:c>
      <x:c r="G6633" s="11" t="n">
        <x:v>700</x:v>
      </x:c>
      <x:c r="H6633" s="12" t="n">
        <x:v>850000000</x:v>
      </x:c>
      <x:c r="I6633" s="12" t="n">
        <x:v>1214285.7142857143</x:v>
      </x:c>
      <x:c r="J6633" s="2" t="str">
        <x:v>total</x:v>
      </x:c>
      <x:c r="K6633" s="2" t="str">
        <x:v>top_level_area</x:v>
      </x:c>
      <x:c r="L6633" s="2" t="str">
        <x:v>property_type_inferred_from_title;transaction_assumed_sale_from_dataset_context;unknown_property_type</x:v>
      </x:c>
      <x:c r="M6633" s="10" t="n">
        <x:v>0</x:v>
      </x:c>
      <x:c r="N6633" s="10" t="n">
        <x:v>0</x:v>
      </x:c>
      <x:c r="O6633" s="2" t="str">
        <x:v>other_unknown</x:v>
      </x:c>
      <x:c r="P6633" s="10" t="n">
        <x:v>1</x:v>
      </x:c>
      <x:c r="Q6633" s="13" t="n">
        <x:f>IF(H6633="","",H6633/1000000000)</x:f>
        <x:v>0.85</x:v>
      </x:c>
      <x:c r="R6633" s="13" t="n">
        <x:f>IF(I6633="","",I6633/1000000)</x:f>
        <x:v>1.2142857142857144</x:v>
      </x:c>
    </x:row>
    <x:row r="6634" ht="21" customHeight="1">
      <x:c r="A6634" s="10" t="n">
        <x:v>8542</x:v>
      </x:c>
      <x:c r="B6634" s="2" t="str">
        <x:v>cc4ec13d6f74b66f1de0</x:v>
      </x:c>
      <x:c r="C6634" s="2" t="str">
        <x:v>Tp Hồ Chí Minh</x:v>
      </x:c>
      <x:c r="D6634" s="2" t="str">
        <x:v>Quận Gò Vấp</x:v>
      </x:c>
      <x:c r="E6634" s="2" t="str">
        <x:v>house</x:v>
      </x:c>
      <x:c r="F6634" s="2" t="str">
        <x:v>sale</x:v>
      </x:c>
      <x:c r="G6634" s="11" t="n">
        <x:v>20</x:v>
      </x:c>
      <x:c r="H6634" s="12" t="n">
        <x:v>2450000000</x:v>
      </x:c>
      <x:c r="I6634" s="12" t="n">
        <x:v>122500000</x:v>
      </x:c>
      <x:c r="J6634" s="2" t="str">
        <x:v>total</x:v>
      </x:c>
      <x:c r="K6634" s="2" t="str">
        <x:v>top_level_area</x:v>
      </x:c>
      <x:c r="L6634" s="2" t="str">
        <x:v>property_type_inferred_from_title</x:v>
      </x:c>
      <x:c r="M6634" s="10" t="n">
        <x:v>0</x:v>
      </x:c>
      <x:c r="N6634" s="10" t="n">
        <x:v>0</x:v>
      </x:c>
      <x:c r="O6634" s="2" t="str">
        <x:v>Tp Hồ Chí Minh|house</x:v>
      </x:c>
      <x:c r="P6634" s="10" t="n">
        <x:v>2</x:v>
      </x:c>
      <x:c r="Q6634" s="13" t="n">
        <x:f>IF(H6634="","",H6634/1000000000)</x:f>
        <x:v>2.45</x:v>
      </x:c>
      <x:c r="R6634" s="13" t="n">
        <x:f>IF(I6634="","",I6634/1000000)</x:f>
        <x:v>122.5</x:v>
      </x:c>
    </x:row>
    <x:row r="6635" ht="21" customHeight="1">
      <x:c r="A6635" s="10" t="n">
        <x:v>8543</x:v>
      </x:c>
      <x:c r="B6635" s="2" t="str">
        <x:v>8424511d9a5cc65a4991</x:v>
      </x:c>
      <x:c r="C6635" s="2" t="str">
        <x:v>Tp Hồ Chí Minh</x:v>
      </x:c>
      <x:c r="D6635" s="2" t="str">
        <x:v>Quận Gò Vấp</x:v>
      </x:c>
      <x:c r="E6635" s="2" t="str">
        <x:v>house</x:v>
      </x:c>
      <x:c r="F6635" s="2" t="str">
        <x:v>sale</x:v>
      </x:c>
      <x:c r="G6635" s="11" t="n">
        <x:v>18</x:v>
      </x:c>
      <x:c r="H6635" s="12" t="n">
        <x:v>2260000000</x:v>
      </x:c>
      <x:c r="I6635" s="12" t="n">
        <x:v>125555555.55555555</x:v>
      </x:c>
      <x:c r="J6635" s="2" t="str">
        <x:v>total</x:v>
      </x:c>
      <x:c r="K6635" s="2" t="str">
        <x:v>top_level_area</x:v>
      </x:c>
      <x:c r="L6635" s="2" t="str">
        <x:v>property_type_inferred_from_title</x:v>
      </x:c>
      <x:c r="M6635" s="10" t="n">
        <x:v>0</x:v>
      </x:c>
      <x:c r="N6635" s="10" t="n">
        <x:v>0</x:v>
      </x:c>
      <x:c r="O6635" s="2" t="str">
        <x:v>Tp Hồ Chí Minh|house</x:v>
      </x:c>
      <x:c r="P6635" s="10" t="n">
        <x:v>2</x:v>
      </x:c>
      <x:c r="Q6635" s="13" t="n">
        <x:f>IF(H6635="","",H6635/1000000000)</x:f>
        <x:v>2.26</x:v>
      </x:c>
      <x:c r="R6635" s="13" t="n">
        <x:f>IF(I6635="","",I6635/1000000)</x:f>
        <x:v>125.55555555555556</x:v>
      </x:c>
    </x:row>
    <x:row r="6636" ht="21" customHeight="1">
      <x:c r="A6636" s="10" t="n">
        <x:v>8544</x:v>
      </x:c>
      <x:c r="B6636" s="2" t="str">
        <x:v>bae9680c314a26b20310</x:v>
      </x:c>
      <x:c r="C6636" s="2" t="str">
        <x:v>Tp Hồ Chí Minh</x:v>
      </x:c>
      <x:c r="D6636" s="2" t="str">
        <x:v>Quận Thủ Đức</x:v>
      </x:c>
      <x:c r="E6636" s="2" t="str">
        <x:v>house</x:v>
      </x:c>
      <x:c r="F6636" s="2" t="str">
        <x:v>sale_assumed</x:v>
      </x:c>
      <x:c r="G6636" s="11" t="n">
        <x:v>81</x:v>
      </x:c>
      <x:c r="H6636" s="12" t="n">
        <x:v>4200000000</x:v>
      </x:c>
      <x:c r="I6636" s="12" t="n">
        <x:v>51851851.85185185</x:v>
      </x:c>
      <x:c r="J6636" s="2" t="str">
        <x:v>total</x:v>
      </x:c>
      <x:c r="K6636" s="2" t="str">
        <x:v>top_level_area</x:v>
      </x:c>
      <x:c r="L6636" s="2" t="str">
        <x:v>property_type_inferred_from_title;transaction_assumed_sale_from_dataset_context</x:v>
      </x:c>
      <x:c r="M6636" s="10" t="n">
        <x:v>0</x:v>
      </x:c>
      <x:c r="N6636" s="10" t="n">
        <x:v>0</x:v>
      </x:c>
      <x:c r="O6636" s="2" t="str">
        <x:v>Tp Hồ Chí Minh|house</x:v>
      </x:c>
      <x:c r="P6636" s="10" t="n">
        <x:v>2</x:v>
      </x:c>
      <x:c r="Q6636" s="13" t="n">
        <x:f>IF(H6636="","",H6636/1000000000)</x:f>
        <x:v>4.2</x:v>
      </x:c>
      <x:c r="R6636" s="13" t="n">
        <x:f>IF(I6636="","",I6636/1000000)</x:f>
        <x:v>51.85185185185185</x:v>
      </x:c>
    </x:row>
    <x:row r="6637" ht="21" customHeight="1">
      <x:c r="A6637" s="10" t="n">
        <x:v>8545</x:v>
      </x:c>
      <x:c r="B6637" s="2" t="str">
        <x:v>878e3134809ff2b44c1d</x:v>
      </x:c>
      <x:c r="C6637" s="2" t="str">
        <x:v>Tp Hồ Chí Minh</x:v>
      </x:c>
      <x:c r="D6637" s="2" t="str">
        <x:v>Quận Bình Thạnh</x:v>
      </x:c>
      <x:c r="E6637" s="2" t="str">
        <x:v>house</x:v>
      </x:c>
      <x:c r="F6637" s="2" t="str">
        <x:v>sale</x:v>
      </x:c>
      <x:c r="G6637" s="11" t="n">
        <x:v>27.4</x:v>
      </x:c>
      <x:c r="H6637" s="12" t="n">
        <x:v>3900000000</x:v>
      </x:c>
      <x:c r="I6637" s="12" t="n">
        <x:v>142335766.42335767</x:v>
      </x:c>
      <x:c r="J6637" s="2" t="str">
        <x:v>total</x:v>
      </x:c>
      <x:c r="K6637" s="2" t="str">
        <x:v>top_level_area</x:v>
      </x:c>
      <x:c r="L6637" s="2" t="str">
        <x:v>property_type_inferred_from_title</x:v>
      </x:c>
      <x:c r="M6637" s="10" t="n">
        <x:v>0</x:v>
      </x:c>
      <x:c r="N6637" s="10" t="n">
        <x:v>0</x:v>
      </x:c>
      <x:c r="O6637" s="2" t="str">
        <x:v>Tp Hồ Chí Minh|house</x:v>
      </x:c>
      <x:c r="P6637" s="10" t="n">
        <x:v>2</x:v>
      </x:c>
      <x:c r="Q6637" s="13" t="n">
        <x:f>IF(H6637="","",H6637/1000000000)</x:f>
        <x:v>3.9</x:v>
      </x:c>
      <x:c r="R6637" s="13" t="n">
        <x:f>IF(I6637="","",I6637/1000000)</x:f>
        <x:v>142.33576642335765</x:v>
      </x:c>
    </x:row>
    <x:row r="6638" ht="21" customHeight="1">
      <x:c r="A6638" s="10" t="n">
        <x:v>8546</x:v>
      </x:c>
      <x:c r="B6638" s="2" t="str">
        <x:v>457edaf9d4065d49c44f</x:v>
      </x:c>
      <x:c r="C6638" s="2" t="str">
        <x:v>Bình Dương</x:v>
      </x:c>
      <x:c r="D6638" s="2" t="str">
        <x:v>Thị xã Thuận An</x:v>
      </x:c>
      <x:c r="E6638" s="2" t="str">
        <x:v>house</x:v>
      </x:c>
      <x:c r="F6638" s="2" t="str">
        <x:v>sale</x:v>
      </x:c>
      <x:c r="G6638" s="11" t="n">
        <x:v>180</x:v>
      </x:c>
      <x:c r="H6638" s="12" t="n">
        <x:v>6900000000</x:v>
      </x:c>
      <x:c r="I6638" s="12" t="n">
        <x:v>38333333.333333336</x:v>
      </x:c>
      <x:c r="J6638" s="2" t="str">
        <x:v>total</x:v>
      </x:c>
      <x:c r="K6638" s="2" t="str">
        <x:v>top_level_area</x:v>
      </x:c>
      <x:c r="L6638" s="2" t="str">
        <x:v>property_type_inferred_from_title</x:v>
      </x:c>
      <x:c r="M6638" s="10" t="n">
        <x:v>0</x:v>
      </x:c>
      <x:c r="N6638" s="10" t="n">
        <x:v>0</x:v>
      </x:c>
      <x:c r="O6638" s="2" t="str">
        <x:v>Bình Dương|house</x:v>
      </x:c>
      <x:c r="P6638" s="10" t="n">
        <x:v>2</x:v>
      </x:c>
      <x:c r="Q6638" s="13" t="n">
        <x:f>IF(H6638="","",H6638/1000000000)</x:f>
        <x:v>6.9</x:v>
      </x:c>
      <x:c r="R6638" s="13" t="n">
        <x:f>IF(I6638="","",I6638/1000000)</x:f>
        <x:v>38.333333333333336</x:v>
      </x:c>
    </x:row>
    <x:row r="6639" ht="21" customHeight="1">
      <x:c r="A6639" s="10" t="n">
        <x:v>8547</x:v>
      </x:c>
      <x:c r="B6639" s="2" t="str">
        <x:v>0ca7042644faaaa0da71</x:v>
      </x:c>
      <x:c r="C6639" s="2" t="str">
        <x:v>Tp Hồ Chí Minh</x:v>
      </x:c>
      <x:c r="D6639" s="2" t="str">
        <x:v>Quận 8</x:v>
      </x:c>
      <x:c r="E6639" s="2" t="str">
        <x:v>apartment</x:v>
      </x:c>
      <x:c r="F6639" s="2" t="str">
        <x:v>sale_assumed</x:v>
      </x:c>
      <x:c r="G6639" s="11" t="n">
        <x:v>79</x:v>
      </x:c>
      <x:c r="H6639" s="12" t="n">
        <x:v>2150000000</x:v>
      </x:c>
      <x:c r="I6639" s="12" t="n">
        <x:v>27215189.87341772</x:v>
      </x:c>
      <x:c r="J6639" s="2" t="str">
        <x:v>total</x:v>
      </x:c>
      <x:c r="K6639" s="2" t="str">
        <x:v>top_level_area</x:v>
      </x:c>
      <x:c r="L6639" s="2" t="str">
        <x:v>property_type_inferred_from_title;transaction_assumed_sale_from_dataset_context</x:v>
      </x:c>
      <x:c r="M6639" s="10" t="n">
        <x:v>0</x:v>
      </x:c>
      <x:c r="N6639" s="10" t="n">
        <x:v>0</x:v>
      </x:c>
      <x:c r="O6639" s="2" t="str">
        <x:v>Tp Hồ Chí Minh|apartment</x:v>
      </x:c>
      <x:c r="P6639" s="10" t="n">
        <x:v>2</x:v>
      </x:c>
      <x:c r="Q6639" s="13" t="n">
        <x:f>IF(H6639="","",H6639/1000000000)</x:f>
        <x:v>2.15</x:v>
      </x:c>
      <x:c r="R6639" s="13" t="n">
        <x:f>IF(I6639="","",I6639/1000000)</x:f>
        <x:v>27.21518987341772</x:v>
      </x:c>
    </x:row>
    <x:row r="6640" ht="21" customHeight="1">
      <x:c r="A6640" s="10" t="n">
        <x:v>8548</x:v>
      </x:c>
      <x:c r="B6640" s="2" t="str">
        <x:v>0475a75b8910206405a0</x:v>
      </x:c>
      <x:c r="C6640" s="2" t="str">
        <x:v>Hà Nội</x:v>
      </x:c>
      <x:c r="D6640" s="2" t="str">
        <x:v>Quận Đống Đa</x:v>
      </x:c>
      <x:c r="E6640" s="2" t="str">
        <x:v>other_unknown</x:v>
      </x:c>
      <x:c r="F6640" s="2" t="str">
        <x:v>sale_assumed</x:v>
      </x:c>
      <x:c r="G6640" s="11" t="n">
        <x:v>143</x:v>
      </x:c>
      <x:c r="H6640" s="12" t="n">
        <x:v>68000000000</x:v>
      </x:c>
      <x:c r="I6640" s="12" t="n">
        <x:v>475524475.5244755</x:v>
      </x:c>
      <x:c r="J6640" s="2" t="str">
        <x:v>total</x:v>
      </x:c>
      <x:c r="K6640" s="2" t="str">
        <x:v>top_level_area</x:v>
      </x:c>
      <x:c r="L6640" s="2" t="str">
        <x:v>property_type_inferred_from_title;transaction_assumed_sale_from_dataset_context;unknown_property_type</x:v>
      </x:c>
      <x:c r="M6640" s="10" t="n">
        <x:v>1</x:v>
      </x:c>
      <x:c r="N6640" s="10" t="n">
        <x:v>1</x:v>
      </x:c>
      <x:c r="O6640" s="2" t="str">
        <x:v>Hà Nội|other_unknown</x:v>
      </x:c>
      <x:c r="P6640" s="10" t="n">
        <x:v>-1</x:v>
      </x:c>
      <x:c r="Q6640" s="13" t="n">
        <x:f>IF(H6640="","",H6640/1000000000)</x:f>
        <x:v>68</x:v>
      </x:c>
      <x:c r="R6640" s="13" t="n">
        <x:f>IF(I6640="","",I6640/1000000)</x:f>
        <x:v>475.5244755244755</x:v>
      </x:c>
    </x:row>
    <x:row r="6641" ht="21" customHeight="1">
      <x:c r="A6641" s="10" t="n">
        <x:v>8549</x:v>
      </x:c>
      <x:c r="B6641" s="2" t="str">
        <x:v>24c1f2dacfd570d8d132</x:v>
      </x:c>
      <x:c r="C6641" s="2" t="str">
        <x:v>Đà Nẵng</x:v>
      </x:c>
      <x:c r="D6641" s="2" t="str">
        <x:v>Quận Hải Châu</x:v>
      </x:c>
      <x:c r="E6641" s="2" t="str">
        <x:v>house</x:v>
      </x:c>
      <x:c r="F6641" s="2" t="str">
        <x:v>sale</x:v>
      </x:c>
      <x:c r="G6641" s="11" t="n">
        <x:v>303</x:v>
      </x:c>
      <x:c r="H6641" s="12" t="n">
        <x:v>32000000000</x:v>
      </x:c>
      <x:c r="I6641" s="12" t="n">
        <x:v>105610561.05610561</x:v>
      </x:c>
      <x:c r="J6641" s="2" t="str">
        <x:v>total</x:v>
      </x:c>
      <x:c r="K6641" s="2" t="str">
        <x:v>top_level_area</x:v>
      </x:c>
      <x:c r="L6641" s="2" t="str">
        <x:v>property_type_inferred_from_title</x:v>
      </x:c>
      <x:c r="M6641" s="10" t="n">
        <x:v>0</x:v>
      </x:c>
      <x:c r="N6641" s="10" t="n">
        <x:v>0</x:v>
      </x:c>
      <x:c r="O6641" s="2" t="str">
        <x:v>Đà Nẵng|house</x:v>
      </x:c>
      <x:c r="P6641" s="10" t="n">
        <x:v>2</x:v>
      </x:c>
      <x:c r="Q6641" s="13" t="n">
        <x:f>IF(H6641="","",H6641/1000000000)</x:f>
        <x:v>32</x:v>
      </x:c>
      <x:c r="R6641" s="13" t="n">
        <x:f>IF(I6641="","",I6641/1000000)</x:f>
        <x:v>105.61056105610561</x:v>
      </x:c>
    </x:row>
    <x:row r="6642" ht="21" customHeight="1">
      <x:c r="A6642" s="10" t="n">
        <x:v>8550</x:v>
      </x:c>
      <x:c r="B6642" s="2" t="str">
        <x:v>a23bcd114d9fd53b05c6</x:v>
      </x:c>
      <x:c r="C6642" s="2" t="str">
        <x:v>Đà Nẵng</x:v>
      </x:c>
      <x:c r="D6642" s="2" t="str">
        <x:v>Quận Ngũ Hành Sơn</x:v>
      </x:c>
      <x:c r="E6642" s="2" t="str">
        <x:v>other_unknown</x:v>
      </x:c>
      <x:c r="F6642" s="2" t="str">
        <x:v>sale_assumed</x:v>
      </x:c>
      <x:c r="G6642" s="11" t="n">
        <x:v>78</x:v>
      </x:c>
      <x:c r="H6642" s="12" t="n">
        <x:v>1350000000</x:v>
      </x:c>
      <x:c r="I6642" s="12" t="n">
        <x:v>17307692.307692308</x:v>
      </x:c>
      <x:c r="J6642" s="2" t="str">
        <x:v>total</x:v>
      </x:c>
      <x:c r="K6642" s="2" t="str">
        <x:v>top_level_area</x:v>
      </x:c>
      <x:c r="L6642" s="2" t="str">
        <x:v>property_type_inferred_from_title;transaction_assumed_sale_from_dataset_context;unknown_property_type</x:v>
      </x:c>
      <x:c r="M6642" s="10" t="n">
        <x:v>0</x:v>
      </x:c>
      <x:c r="N6642" s="10" t="n">
        <x:v>0</x:v>
      </x:c>
      <x:c r="O6642" s="2" t="str">
        <x:v>Đà Nẵng|other_unknown</x:v>
      </x:c>
      <x:c r="P6642" s="10" t="n">
        <x:v>2</x:v>
      </x:c>
      <x:c r="Q6642" s="13" t="n">
        <x:f>IF(H6642="","",H6642/1000000000)</x:f>
        <x:v>1.35</x:v>
      </x:c>
      <x:c r="R6642" s="13" t="n">
        <x:f>IF(I6642="","",I6642/1000000)</x:f>
        <x:v>17.307692307692307</x:v>
      </x:c>
    </x:row>
    <x:row r="6643" ht="21" customHeight="1">
      <x:c r="A6643" s="10" t="n">
        <x:v>8552</x:v>
      </x:c>
      <x:c r="B6643" s="2" t="str">
        <x:v>a2b22bbabea50e077e06</x:v>
      </x:c>
      <x:c r="C6643" s="2" t="str">
        <x:v>Bình Dương</x:v>
      </x:c>
      <x:c r="D6643" s="2" t="str">
        <x:v>Thị xã Dĩ An</x:v>
      </x:c>
      <x:c r="E6643" s="2" t="str">
        <x:v>house</x:v>
      </x:c>
      <x:c r="F6643" s="2" t="str">
        <x:v>sale</x:v>
      </x:c>
      <x:c r="G6643" s="11" t="n">
        <x:v>81</x:v>
      </x:c>
      <x:c r="H6643" s="12" t="n">
        <x:v>2450000000</x:v>
      </x:c>
      <x:c r="I6643" s="12" t="n">
        <x:v>30246913.580246914</x:v>
      </x:c>
      <x:c r="J6643" s="2" t="str">
        <x:v>total</x:v>
      </x:c>
      <x:c r="K6643" s="2" t="str">
        <x:v>top_level_area</x:v>
      </x:c>
      <x:c r="L6643" s="2" t="str">
        <x:v>property_type_inferred_from_title</x:v>
      </x:c>
      <x:c r="M6643" s="10" t="n">
        <x:v>0</x:v>
      </x:c>
      <x:c r="N6643" s="10" t="n">
        <x:v>0</x:v>
      </x:c>
      <x:c r="O6643" s="2" t="str">
        <x:v>Bình Dương|house</x:v>
      </x:c>
      <x:c r="P6643" s="10" t="n">
        <x:v>2</x:v>
      </x:c>
      <x:c r="Q6643" s="13" t="n">
        <x:f>IF(H6643="","",H6643/1000000000)</x:f>
        <x:v>2.45</x:v>
      </x:c>
      <x:c r="R6643" s="13" t="n">
        <x:f>IF(I6643="","",I6643/1000000)</x:f>
        <x:v>30.246913580246915</x:v>
      </x:c>
    </x:row>
    <x:row r="6644" ht="21" customHeight="1">
      <x:c r="A6644" s="10" t="n">
        <x:v>8554</x:v>
      </x:c>
      <x:c r="B6644" s="2" t="str">
        <x:v>417708a8a7c70b3b3d95</x:v>
      </x:c>
      <x:c r="C6644" s="2" t="str">
        <x:v>Đắk Lắk</x:v>
      </x:c>
      <x:c r="D6644" s="2" t="str">
        <x:v>Thành phố Buôn Ma Thuột</x:v>
      </x:c>
      <x:c r="E6644" s="2" t="str">
        <x:v>land</x:v>
      </x:c>
      <x:c r="F6644" s="2" t="str">
        <x:v>sale_assumed</x:v>
      </x:c>
      <x:c r="G6644" s="11" t="n">
        <x:v>152</x:v>
      </x:c>
      <x:c r="H6644" s="12" t="n">
        <x:v>1500000000</x:v>
      </x:c>
      <x:c r="I6644" s="12" t="n">
        <x:v>9868421.05263158</x:v>
      </x:c>
      <x:c r="J6644" s="2" t="str">
        <x:v>total</x:v>
      </x:c>
      <x:c r="K6644" s="2" t="str">
        <x:v>top_level_price_embedded_area</x:v>
      </x:c>
      <x:c r="L6644" s="2" t="str">
        <x:v>area_recovered_from_price_text;property_type_inferred_from_title;transaction_assumed_sale_from_dataset_context</x:v>
      </x:c>
      <x:c r="M6644" s="10" t="n">
        <x:v>0</x:v>
      </x:c>
      <x:c r="N6644" s="10" t="n">
        <x:v>0</x:v>
      </x:c>
      <x:c r="O6644" s="2" t="str">
        <x:v>Đắk Lắk|land</x:v>
      </x:c>
      <x:c r="P6644" s="10" t="n">
        <x:v>2</x:v>
      </x:c>
      <x:c r="Q6644" s="13" t="n">
        <x:f>IF(H6644="","",H6644/1000000000)</x:f>
        <x:v>1.5</x:v>
      </x:c>
      <x:c r="R6644" s="13" t="n">
        <x:f>IF(I6644="","",I6644/1000000)</x:f>
        <x:v>9.868421052631579</x:v>
      </x:c>
    </x:row>
    <x:row r="6645" ht="21" customHeight="1">
      <x:c r="A6645" s="10" t="n">
        <x:v>8555</x:v>
      </x:c>
      <x:c r="B6645" s="2" t="str">
        <x:v>8b4b2afa5ac9bc7d3362</x:v>
      </x:c>
      <x:c r="C6645" s="2" t="str">
        <x:v>Đà Nẵng</x:v>
      </x:c>
      <x:c r="D6645" s="2" t="str">
        <x:v>Quận Ngũ Hành Sơn</x:v>
      </x:c>
      <x:c r="E6645" s="2" t="str">
        <x:v>other_unknown</x:v>
      </x:c>
      <x:c r="F6645" s="2" t="str">
        <x:v>sale_assumed</x:v>
      </x:c>
      <x:c r="G6645" s="11" t="n">
        <x:v>111</x:v>
      </x:c>
      <x:c r="H6645" s="12" t="n">
        <x:v>2250000000</x:v>
      </x:c>
      <x:c r="I6645" s="12" t="n">
        <x:v>20270270.27027027</x:v>
      </x:c>
      <x:c r="J6645" s="2" t="str">
        <x:v>total</x:v>
      </x:c>
      <x:c r="K6645" s="2" t="str">
        <x:v>top_level_area</x:v>
      </x:c>
      <x:c r="L6645" s="2" t="str">
        <x:v>property_type_inferred_from_title;transaction_assumed_sale_from_dataset_context;unknown_property_type</x:v>
      </x:c>
      <x:c r="M6645" s="10" t="n">
        <x:v>0</x:v>
      </x:c>
      <x:c r="N6645" s="10" t="n">
        <x:v>0</x:v>
      </x:c>
      <x:c r="O6645" s="2" t="str">
        <x:v>Đà Nẵng|other_unknown</x:v>
      </x:c>
      <x:c r="P6645" s="10" t="n">
        <x:v>2</x:v>
      </x:c>
      <x:c r="Q6645" s="13" t="n">
        <x:f>IF(H6645="","",H6645/1000000000)</x:f>
        <x:v>2.25</x:v>
      </x:c>
      <x:c r="R6645" s="13" t="n">
        <x:f>IF(I6645="","",I6645/1000000)</x:f>
        <x:v>20.27027027027027</x:v>
      </x:c>
    </x:row>
    <x:row r="6646" ht="21" customHeight="1">
      <x:c r="A6646" s="10" t="n">
        <x:v>8556</x:v>
      </x:c>
      <x:c r="B6646" s="2" t="str">
        <x:v>d1ede4b842284991fde7</x:v>
      </x:c>
      <x:c r="C6646" s="2" t="str">
        <x:v>Hà Nội</x:v>
      </x:c>
      <x:c r="D6646" s="2" t="str">
        <x:v>Quận Cầu Giấy</x:v>
      </x:c>
      <x:c r="E6646" s="2" t="str">
        <x:v>house</x:v>
      </x:c>
      <x:c r="F6646" s="2" t="str">
        <x:v>sale_assumed</x:v>
      </x:c>
      <x:c r="G6646" s="11" t="n">
        <x:v>65</x:v>
      </x:c>
      <x:c r="H6646" s="12" t="n">
        <x:v>4000000000</x:v>
      </x:c>
      <x:c r="I6646" s="12" t="n">
        <x:v>61538461.538461536</x:v>
      </x:c>
      <x:c r="J6646" s="2" t="str">
        <x:v>total</x:v>
      </x:c>
      <x:c r="K6646" s="2" t="str">
        <x:v>top_level_area</x:v>
      </x:c>
      <x:c r="L6646" s="2" t="str">
        <x:v>property_type_inferred_from_title;transaction_assumed_sale_from_dataset_context</x:v>
      </x:c>
      <x:c r="M6646" s="10" t="n">
        <x:v>0</x:v>
      </x:c>
      <x:c r="N6646" s="10" t="n">
        <x:v>0</x:v>
      </x:c>
      <x:c r="O6646" s="2" t="str">
        <x:v>Hà Nội|house</x:v>
      </x:c>
      <x:c r="P6646" s="10" t="n">
        <x:v>2</x:v>
      </x:c>
      <x:c r="Q6646" s="13" t="n">
        <x:f>IF(H6646="","",H6646/1000000000)</x:f>
        <x:v>4</x:v>
      </x:c>
      <x:c r="R6646" s="13" t="n">
        <x:f>IF(I6646="","",I6646/1000000)</x:f>
        <x:v>61.53846153846153</x:v>
      </x:c>
    </x:row>
    <x:row r="6647" ht="21" customHeight="1">
      <x:c r="A6647" s="10" t="n">
        <x:v>8557</x:v>
      </x:c>
      <x:c r="B6647" s="2" t="str">
        <x:v>a62d12d7feb16aafd7c0</x:v>
      </x:c>
      <x:c r="C6647" s="2" t="str">
        <x:v>Hà Nội</x:v>
      </x:c>
      <x:c r="D6647" s="2" t="str">
        <x:v>Quận Long Biên</x:v>
      </x:c>
      <x:c r="E6647" s="2" t="str">
        <x:v>other_unknown</x:v>
      </x:c>
      <x:c r="F6647" s="2" t="str">
        <x:v>sale</x:v>
      </x:c>
      <x:c r="G6647" s="11" t="n">
        <x:v>30</x:v>
      </x:c>
      <x:c r="H6647" s="12" t="n">
        <x:v>2100000000</x:v>
      </x:c>
      <x:c r="I6647" s="12" t="n">
        <x:v>70000000</x:v>
      </x:c>
      <x:c r="J6647" s="2" t="str">
        <x:v>total</x:v>
      </x:c>
      <x:c r="K6647" s="2" t="str">
        <x:v>top_level_area</x:v>
      </x:c>
      <x:c r="L6647" s="2" t="str">
        <x:v>property_type_inferred_from_title;unknown_property_type</x:v>
      </x:c>
      <x:c r="M6647" s="10" t="n">
        <x:v>0</x:v>
      </x:c>
      <x:c r="N6647" s="10" t="n">
        <x:v>0</x:v>
      </x:c>
      <x:c r="O6647" s="2" t="str">
        <x:v>Hà Nội|other_unknown</x:v>
      </x:c>
      <x:c r="P6647" s="10" t="n">
        <x:v>2</x:v>
      </x:c>
      <x:c r="Q6647" s="13" t="n">
        <x:f>IF(H6647="","",H6647/1000000000)</x:f>
        <x:v>2.1</x:v>
      </x:c>
      <x:c r="R6647" s="13" t="n">
        <x:f>IF(I6647="","",I6647/1000000)</x:f>
        <x:v>70</x:v>
      </x:c>
    </x:row>
    <x:row r="6648" ht="21" customHeight="1">
      <x:c r="A6648" s="10" t="n">
        <x:v>8558</x:v>
      </x:c>
      <x:c r="B6648" s="2" t="str">
        <x:v>c0dbd45c34b77088f7cd</x:v>
      </x:c>
      <x:c r="C6648" s="2" t="str">
        <x:v>Hà Nội</x:v>
      </x:c>
      <x:c r="D6648" s="2" t="str">
        <x:v>Huyện Gia Lâm</x:v>
      </x:c>
      <x:c r="E6648" s="2" t="str">
        <x:v>house</x:v>
      </x:c>
      <x:c r="F6648" s="2" t="str">
        <x:v>sale_assumed</x:v>
      </x:c>
      <x:c r="G6648" s="11" t="n">
        <x:v>80</x:v>
      </x:c>
      <x:c r="H6648" s="12" t="n">
        <x:v>5566000000</x:v>
      </x:c>
      <x:c r="I6648" s="12" t="n">
        <x:v>69575000</x:v>
      </x:c>
      <x:c r="J6648" s="2" t="str">
        <x:v>total</x:v>
      </x:c>
      <x:c r="K6648" s="2" t="str">
        <x:v>top_level_area</x:v>
      </x:c>
      <x:c r="L6648" s="2" t="str">
        <x:v>property_type_inferred_from_title;transaction_assumed_sale_from_dataset_context</x:v>
      </x:c>
      <x:c r="M6648" s="10" t="n">
        <x:v>0</x:v>
      </x:c>
      <x:c r="N6648" s="10" t="n">
        <x:v>0</x:v>
      </x:c>
      <x:c r="O6648" s="2" t="str">
        <x:v>Hà Nội|house</x:v>
      </x:c>
      <x:c r="P6648" s="10" t="n">
        <x:v>2</x:v>
      </x:c>
      <x:c r="Q6648" s="13" t="n">
        <x:f>IF(H6648="","",H6648/1000000000)</x:f>
        <x:v>5.566</x:v>
      </x:c>
      <x:c r="R6648" s="13" t="n">
        <x:f>IF(I6648="","",I6648/1000000)</x:f>
        <x:v>69.575</x:v>
      </x:c>
    </x:row>
    <x:row r="6649" ht="21" customHeight="1">
      <x:c r="A6649" s="10" t="n">
        <x:v>8559</x:v>
      </x:c>
      <x:c r="B6649" s="2" t="str">
        <x:v>e542fc0d007c08517e88</x:v>
      </x:c>
      <x:c r="C6649" s="2" t="str">
        <x:v>Hà Nội</x:v>
      </x:c>
      <x:c r="D6649" s="2" t="str">
        <x:v>Huyện Gia Lâm</x:v>
      </x:c>
      <x:c r="E6649" s="2" t="str">
        <x:v>land</x:v>
      </x:c>
      <x:c r="F6649" s="2" t="str">
        <x:v>sale_assumed</x:v>
      </x:c>
      <x:c r="G6649" s="11" t="n">
        <x:v>60</x:v>
      </x:c>
      <x:c r="H6649" s="12" t="n">
        <x:v>4260000000</x:v>
      </x:c>
      <x:c r="I6649" s="12" t="n">
        <x:v>71000000</x:v>
      </x:c>
      <x:c r="J6649" s="2" t="str">
        <x:v>total</x:v>
      </x:c>
      <x:c r="K6649" s="2" t="str">
        <x:v>top_level_area</x:v>
      </x:c>
      <x:c r="L6649" s="2" t="str">
        <x:v>property_type_inferred_from_title;transaction_assumed_sale_from_dataset_context</x:v>
      </x:c>
      <x:c r="M6649" s="10" t="n">
        <x:v>0</x:v>
      </x:c>
      <x:c r="N6649" s="10" t="n">
        <x:v>0</x:v>
      </x:c>
      <x:c r="O6649" s="2" t="str">
        <x:v>Hà Nội|land</x:v>
      </x:c>
      <x:c r="P6649" s="10" t="n">
        <x:v>2</x:v>
      </x:c>
      <x:c r="Q6649" s="13" t="n">
        <x:f>IF(H6649="","",H6649/1000000000)</x:f>
        <x:v>4.26</x:v>
      </x:c>
      <x:c r="R6649" s="13" t="n">
        <x:f>IF(I6649="","",I6649/1000000)</x:f>
        <x:v>71</x:v>
      </x:c>
    </x:row>
    <x:row r="6650" ht="21" customHeight="1">
      <x:c r="A6650" s="10" t="n">
        <x:v>8560</x:v>
      </x:c>
      <x:c r="B6650" s="2" t="str">
        <x:v>72134f7e4f49995efd77</x:v>
      </x:c>
      <x:c r="C6650" s="2" t="str">
        <x:v>Đà Nẵng</x:v>
      </x:c>
      <x:c r="D6650" s="2" t="str">
        <x:v>Quận Thanh Khê</x:v>
      </x:c>
      <x:c r="E6650" s="2" t="str">
        <x:v>house</x:v>
      </x:c>
      <x:c r="F6650" s="2" t="str">
        <x:v>sale_assumed</x:v>
      </x:c>
      <x:c r="G6650" s="11" t="n">
        <x:v>66</x:v>
      </x:c>
      <x:c r="H6650" s="12" t="n">
        <x:v>4850000000</x:v>
      </x:c>
      <x:c r="I6650" s="12" t="n">
        <x:v>73484848.48484848</x:v>
      </x:c>
      <x:c r="J6650" s="2" t="str">
        <x:v>total</x:v>
      </x:c>
      <x:c r="K6650" s="2" t="str">
        <x:v>top_level_area</x:v>
      </x:c>
      <x:c r="L6650" s="2" t="str">
        <x:v>property_type_inferred_from_title;transaction_assumed_sale_from_dataset_context</x:v>
      </x:c>
      <x:c r="M6650" s="10" t="n">
        <x:v>0</x:v>
      </x:c>
      <x:c r="N6650" s="10" t="n">
        <x:v>0</x:v>
      </x:c>
      <x:c r="O6650" s="2" t="str">
        <x:v>Đà Nẵng|house</x:v>
      </x:c>
      <x:c r="P6650" s="10" t="n">
        <x:v>2</x:v>
      </x:c>
      <x:c r="Q6650" s="13" t="n">
        <x:f>IF(H6650="","",H6650/1000000000)</x:f>
        <x:v>4.85</x:v>
      </x:c>
      <x:c r="R6650" s="13" t="n">
        <x:f>IF(I6650="","",I6650/1000000)</x:f>
        <x:v>73.48484848484848</x:v>
      </x:c>
    </x:row>
    <x:row r="6651" ht="21" customHeight="1">
      <x:c r="A6651" s="10" t="n">
        <x:v>8561</x:v>
      </x:c>
      <x:c r="B6651" s="2" t="str">
        <x:v>4249c8db1009f4f69eba</x:v>
      </x:c>
      <x:c r="C6651" s="2" t="str">
        <x:v>Hà Nội</x:v>
      </x:c>
      <x:c r="D6651" s="2" t="str">
        <x:v>Quận Ba Đình</x:v>
      </x:c>
      <x:c r="E6651" s="2" t="str">
        <x:v>other_unknown</x:v>
      </x:c>
      <x:c r="F6651" s="2" t="str">
        <x:v>sale_assumed</x:v>
      </x:c>
      <x:c r="G6651" s="11" t="n">
        <x:v>65</x:v>
      </x:c>
      <x:c r="H6651" s="12" t="n">
        <x:v>4400000000</x:v>
      </x:c>
      <x:c r="I6651" s="12" t="n">
        <x:v>67692307.6923077</x:v>
      </x:c>
      <x:c r="J6651" s="2" t="str">
        <x:v>total</x:v>
      </x:c>
      <x:c r="K6651" s="2" t="str">
        <x:v>top_level_area</x:v>
      </x:c>
      <x:c r="L6651" s="2" t="str">
        <x:v>property_type_inferred_from_title;transaction_assumed_sale_from_dataset_context;unknown_property_type</x:v>
      </x:c>
      <x:c r="M6651" s="10" t="n">
        <x:v>0</x:v>
      </x:c>
      <x:c r="N6651" s="10" t="n">
        <x:v>0</x:v>
      </x:c>
      <x:c r="O6651" s="2" t="str">
        <x:v>Hà Nội|other_unknown</x:v>
      </x:c>
      <x:c r="P6651" s="10" t="n">
        <x:v>2</x:v>
      </x:c>
      <x:c r="Q6651" s="13" t="n">
        <x:f>IF(H6651="","",H6651/1000000000)</x:f>
        <x:v>4.4</x:v>
      </x:c>
      <x:c r="R6651" s="13" t="n">
        <x:f>IF(I6651="","",I6651/1000000)</x:f>
        <x:v>67.6923076923077</x:v>
      </x:c>
    </x:row>
    <x:row r="6652" ht="21" customHeight="1">
      <x:c r="A6652" s="10" t="n">
        <x:v>8562</x:v>
      </x:c>
      <x:c r="B6652" s="2" t="str">
        <x:v>e9965c546b11bfa7a678</x:v>
      </x:c>
      <x:c r="C6652" s="2" t="str">
        <x:v>Bà Rịa - Vũng Tàu</x:v>
      </x:c>
      <x:c r="D6652" s="2" t="str">
        <x:v>Thành phố Bà Rịa</x:v>
      </x:c>
      <x:c r="E6652" s="2" t="str">
        <x:v>land</x:v>
      </x:c>
      <x:c r="F6652" s="2" t="str">
        <x:v>sale</x:v>
      </x:c>
      <x:c r="G6652" s="11" t="n">
        <x:v>75</x:v>
      </x:c>
      <x:c r="H6652" s="12" t="n">
        <x:v>1800000000</x:v>
      </x:c>
      <x:c r="I6652" s="12" t="n">
        <x:v>24000000</x:v>
      </x:c>
      <x:c r="J6652" s="2" t="str">
        <x:v>total</x:v>
      </x:c>
      <x:c r="K6652" s="2" t="str">
        <x:v>top_level_area</x:v>
      </x:c>
      <x:c r="L6652" s="2" t="str">
        <x:v>property_type_inferred_from_title</x:v>
      </x:c>
      <x:c r="M6652" s="10" t="n">
        <x:v>0</x:v>
      </x:c>
      <x:c r="N6652" s="10" t="n">
        <x:v>1</x:v>
      </x:c>
      <x:c r="O6652" s="2" t="str">
        <x:v>Bà Rịa - Vũng Tàu|land</x:v>
      </x:c>
      <x:c r="P6652" s="10" t="n">
        <x:v>-1</x:v>
      </x:c>
      <x:c r="Q6652" s="13" t="n">
        <x:f>IF(H6652="","",H6652/1000000000)</x:f>
        <x:v>1.8</x:v>
      </x:c>
      <x:c r="R6652" s="13" t="n">
        <x:f>IF(I6652="","",I6652/1000000)</x:f>
        <x:v>24</x:v>
      </x:c>
    </x:row>
    <x:row r="6653" ht="21" customHeight="1">
      <x:c r="A6653" s="10" t="n">
        <x:v>8563</x:v>
      </x:c>
      <x:c r="B6653" s="2" t="str">
        <x:v>c506531c145ce704a4d2</x:v>
      </x:c>
      <x:c r="C6653" s="2" t="str">
        <x:v>Tp Hồ Chí Minh</x:v>
      </x:c>
      <x:c r="D6653" s="2" t="str">
        <x:v>Quận Bình Tân</x:v>
      </x:c>
      <x:c r="E6653" s="2" t="str">
        <x:v>house</x:v>
      </x:c>
      <x:c r="F6653" s="2" t="str">
        <x:v>sale</x:v>
      </x:c>
      <x:c r="G6653" s="11" t="n">
        <x:v>77</x:v>
      </x:c>
      <x:c r="H6653" s="12" t="n">
        <x:v>5490000000</x:v>
      </x:c>
      <x:c r="I6653" s="12" t="n">
        <x:v>71298701.2987013</x:v>
      </x:c>
      <x:c r="J6653" s="2" t="str">
        <x:v>total</x:v>
      </x:c>
      <x:c r="K6653" s="2" t="str">
        <x:v>top_level_area</x:v>
      </x:c>
      <x:c r="L6653" s="2" t="str">
        <x:v>property_type_inferred_from_title</x:v>
      </x:c>
      <x:c r="M6653" s="10" t="n">
        <x:v>0</x:v>
      </x:c>
      <x:c r="N6653" s="10" t="n">
        <x:v>0</x:v>
      </x:c>
      <x:c r="O6653" s="2" t="str">
        <x:v>Tp Hồ Chí Minh|house</x:v>
      </x:c>
      <x:c r="P6653" s="10" t="n">
        <x:v>2</x:v>
      </x:c>
      <x:c r="Q6653" s="13" t="n">
        <x:f>IF(H6653="","",H6653/1000000000)</x:f>
        <x:v>5.49</x:v>
      </x:c>
      <x:c r="R6653" s="13" t="n">
        <x:f>IF(I6653="","",I6653/1000000)</x:f>
        <x:v>71.2987012987013</x:v>
      </x:c>
    </x:row>
    <x:row r="6654" ht="21" customHeight="1">
      <x:c r="A6654" s="10" t="n">
        <x:v>8564</x:v>
      </x:c>
      <x:c r="B6654" s="2" t="str">
        <x:v>4199cc214150f9915aa8</x:v>
      </x:c>
      <x:c r="C6654" s="2" t="str">
        <x:v>Hà Nội</x:v>
      </x:c>
      <x:c r="D6654" s="2" t="str">
        <x:v>Quận Ba Đình</x:v>
      </x:c>
      <x:c r="E6654" s="2" t="str">
        <x:v>other_unknown</x:v>
      </x:c>
      <x:c r="F6654" s="2" t="str">
        <x:v>sale_assumed</x:v>
      </x:c>
      <x:c r="G6654" s="11" t="n">
        <x:v>32</x:v>
      </x:c>
      <x:c r="H6654" s="12" t="n">
        <x:v>2990000000</x:v>
      </x:c>
      <x:c r="I6654" s="12" t="n">
        <x:v>93437500</x:v>
      </x:c>
      <x:c r="J6654" s="2" t="str">
        <x:v>total</x:v>
      </x:c>
      <x:c r="K6654" s="2" t="str">
        <x:v>top_level_area</x:v>
      </x:c>
      <x:c r="L6654" s="2" t="str">
        <x:v>property_type_inferred_from_title;transaction_assumed_sale_from_dataset_context;unknown_property_type</x:v>
      </x:c>
      <x:c r="M6654" s="10" t="n">
        <x:v>0</x:v>
      </x:c>
      <x:c r="N6654" s="10" t="n">
        <x:v>0</x:v>
      </x:c>
      <x:c r="O6654" s="2" t="str">
        <x:v>Hà Nội|other_unknown</x:v>
      </x:c>
      <x:c r="P6654" s="10" t="n">
        <x:v>2</x:v>
      </x:c>
      <x:c r="Q6654" s="13" t="n">
        <x:f>IF(H6654="","",H6654/1000000000)</x:f>
        <x:v>2.99</x:v>
      </x:c>
      <x:c r="R6654" s="13" t="n">
        <x:f>IF(I6654="","",I6654/1000000)</x:f>
        <x:v>93.4375</x:v>
      </x:c>
    </x:row>
    <x:row r="6655" ht="21" customHeight="1">
      <x:c r="A6655" s="10" t="n">
        <x:v>8565</x:v>
      </x:c>
      <x:c r="B6655" s="2" t="str">
        <x:v>2424f868492e46d8139f</x:v>
      </x:c>
      <x:c r="C6655" s="2" t="str">
        <x:v>Tp Hồ Chí Minh</x:v>
      </x:c>
      <x:c r="D6655" s="2" t="str">
        <x:v>Quận 12</x:v>
      </x:c>
      <x:c r="E6655" s="2" t="str">
        <x:v>house</x:v>
      </x:c>
      <x:c r="F6655" s="2" t="str">
        <x:v>sale_assumed</x:v>
      </x:c>
      <x:c r="G6655" s="11" t="n">
        <x:v>40</x:v>
      </x:c>
      <x:c r="H6655" s="12" t="n">
        <x:v>810000000</x:v>
      </x:c>
      <x:c r="I6655" s="12" t="n">
        <x:v>20250000</x:v>
      </x:c>
      <x:c r="J6655" s="2" t="str">
        <x:v>total</x:v>
      </x:c>
      <x:c r="K6655" s="2" t="str">
        <x:v>top_level_area</x:v>
      </x:c>
      <x:c r="L6655" s="2" t="str">
        <x:v>property_type_inferred_from_title;transaction_assumed_sale_from_dataset_context</x:v>
      </x:c>
      <x:c r="M6655" s="10" t="n">
        <x:v>0</x:v>
      </x:c>
      <x:c r="N6655" s="10" t="n">
        <x:v>0</x:v>
      </x:c>
      <x:c r="O6655" s="2" t="str">
        <x:v>Tp Hồ Chí Minh|house</x:v>
      </x:c>
      <x:c r="P6655" s="10" t="n">
        <x:v>2</x:v>
      </x:c>
      <x:c r="Q6655" s="13" t="n">
        <x:f>IF(H6655="","",H6655/1000000000)</x:f>
        <x:v>0.81</x:v>
      </x:c>
      <x:c r="R6655" s="13" t="n">
        <x:f>IF(I6655="","",I6655/1000000)</x:f>
        <x:v>20.25</x:v>
      </x:c>
    </x:row>
    <x:row r="6656" ht="21" customHeight="1">
      <x:c r="A6656" s="10" t="n">
        <x:v>8566</x:v>
      </x:c>
      <x:c r="B6656" s="2" t="str">
        <x:v>a9872d593a82d996ae7c</x:v>
      </x:c>
      <x:c r="C6656" s="2" t="str">
        <x:v>Gia Lai</x:v>
      </x:c>
      <x:c r="D6656" s="2" t="str">
        <x:v>Huyện Chư Păh</x:v>
      </x:c>
      <x:c r="E6656" s="2" t="str">
        <x:v>land</x:v>
      </x:c>
      <x:c r="F6656" s="2" t="str">
        <x:v>sale</x:v>
      </x:c>
      <x:c r="G6656" s="11" t="n">
        <x:v>4280</x:v>
      </x:c>
      <x:c r="H6656" s="12" t="n">
        <x:v>240000000</x:v>
      </x:c>
      <x:c r="I6656" s="12" t="n">
        <x:v>56074.766355140186</x:v>
      </x:c>
      <x:c r="J6656" s="2" t="str">
        <x:v>total</x:v>
      </x:c>
      <x:c r="K6656" s="2" t="str">
        <x:v>top_level_area</x:v>
      </x:c>
      <x:c r="L6656" s="2" t="str">
        <x:v>dot_thousands_convention;property_type_inferred_from_title</x:v>
      </x:c>
      <x:c r="M6656" s="10" t="n">
        <x:v>0</x:v>
      </x:c>
      <x:c r="N6656" s="10" t="n">
        <x:v>0</x:v>
      </x:c>
      <x:c r="O6656" s="2" t="str">
        <x:v>land</x:v>
      </x:c>
      <x:c r="P6656" s="10" t="n">
        <x:v>1</x:v>
      </x:c>
      <x:c r="Q6656" s="13" t="n">
        <x:f>IF(H6656="","",H6656/1000000000)</x:f>
        <x:v>0.24</x:v>
      </x:c>
      <x:c r="R6656" s="13" t="n">
        <x:f>IF(I6656="","",I6656/1000000)</x:f>
        <x:v>0.056074766355140186</x:v>
      </x:c>
    </x:row>
    <x:row r="6657" ht="21" customHeight="1">
      <x:c r="A6657" s="10" t="n">
        <x:v>8567</x:v>
      </x:c>
      <x:c r="B6657" s="2" t="str">
        <x:v>2654fed7454e31323eb2</x:v>
      </x:c>
      <x:c r="C6657" s="2" t="str">
        <x:v>Hà Nội</x:v>
      </x:c>
      <x:c r="D6657" s="2" t="str">
        <x:v>Quận Hai Bà Trưng</x:v>
      </x:c>
      <x:c r="E6657" s="2" t="str">
        <x:v>house</x:v>
      </x:c>
      <x:c r="F6657" s="2" t="str">
        <x:v>sale_assumed</x:v>
      </x:c>
      <x:c r="G6657" s="11" t="n">
        <x:v>23</x:v>
      </x:c>
      <x:c r="H6657" s="12" t="n">
        <x:v>2350000000</x:v>
      </x:c>
      <x:c r="I6657" s="12" t="n">
        <x:v>102173913.04347827</x:v>
      </x:c>
      <x:c r="J6657" s="2" t="str">
        <x:v>total</x:v>
      </x:c>
      <x:c r="K6657" s="2" t="str">
        <x:v>top_level_area</x:v>
      </x:c>
      <x:c r="L6657" s="2" t="str">
        <x:v>property_type_inferred_from_title;transaction_assumed_sale_from_dataset_context</x:v>
      </x:c>
      <x:c r="M6657" s="10" t="n">
        <x:v>0</x:v>
      </x:c>
      <x:c r="N6657" s="10" t="n">
        <x:v>0</x:v>
      </x:c>
      <x:c r="O6657" s="2" t="str">
        <x:v>Hà Nội|house</x:v>
      </x:c>
      <x:c r="P6657" s="10" t="n">
        <x:v>2</x:v>
      </x:c>
      <x:c r="Q6657" s="13" t="n">
        <x:f>IF(H6657="","",H6657/1000000000)</x:f>
        <x:v>2.35</x:v>
      </x:c>
      <x:c r="R6657" s="13" t="n">
        <x:f>IF(I6657="","",I6657/1000000)</x:f>
        <x:v>102.17391304347827</x:v>
      </x:c>
    </x:row>
    <x:row r="6658" ht="21" customHeight="1">
      <x:c r="A6658" s="10" t="n">
        <x:v>8568</x:v>
      </x:c>
      <x:c r="B6658" s="2" t="str">
        <x:v>f76d8ec05125f0618b09</x:v>
      </x:c>
      <x:c r="C6658" s="2" t="str">
        <x:v>Hà Nội</x:v>
      </x:c>
      <x:c r="D6658" s="2" t="str">
        <x:v>Quận Hoàng Mai</x:v>
      </x:c>
      <x:c r="E6658" s="2" t="str">
        <x:v>house</x:v>
      </x:c>
      <x:c r="F6658" s="2" t="str">
        <x:v>sale</x:v>
      </x:c>
      <x:c r="G6658" s="11" t="n">
        <x:v>40</x:v>
      </x:c>
      <x:c r="H6658" s="12" t="n">
        <x:v>2950000000</x:v>
      </x:c>
      <x:c r="I6658" s="12" t="n">
        <x:v>73750000</x:v>
      </x:c>
      <x:c r="J6658" s="2" t="str">
        <x:v>total</x:v>
      </x:c>
      <x:c r="K6658" s="2" t="str">
        <x:v>top_level_area</x:v>
      </x:c>
      <x:c r="L6658" s="2" t="str">
        <x:v>property_type_inferred_from_title</x:v>
      </x:c>
      <x:c r="M6658" s="10" t="n">
        <x:v>0</x:v>
      </x:c>
      <x:c r="N6658" s="10" t="n">
        <x:v>0</x:v>
      </x:c>
      <x:c r="O6658" s="2" t="str">
        <x:v>Hà Nội|house</x:v>
      </x:c>
      <x:c r="P6658" s="10" t="n">
        <x:v>2</x:v>
      </x:c>
      <x:c r="Q6658" s="13" t="n">
        <x:f>IF(H6658="","",H6658/1000000000)</x:f>
        <x:v>2.95</x:v>
      </x:c>
      <x:c r="R6658" s="13" t="n">
        <x:f>IF(I6658="","",I6658/1000000)</x:f>
        <x:v>73.75</x:v>
      </x:c>
    </x:row>
    <x:row r="6659" ht="21" customHeight="1">
      <x:c r="A6659" s="10" t="n">
        <x:v>8569</x:v>
      </x:c>
      <x:c r="B6659" s="2" t="str">
        <x:v>655c1b9aaa645926e69b</x:v>
      </x:c>
      <x:c r="C6659" s="2" t="str">
        <x:v>Tp Hồ Chí Minh</x:v>
      </x:c>
      <x:c r="D6659" s="2" t="str">
        <x:v>Quận 11</x:v>
      </x:c>
      <x:c r="E6659" s="2" t="str">
        <x:v>house</x:v>
      </x:c>
      <x:c r="F6659" s="2" t="str">
        <x:v>sale</x:v>
      </x:c>
      <x:c r="G6659" s="11" t="n">
        <x:v>33</x:v>
      </x:c>
      <x:c r="H6659" s="12" t="n">
        <x:v>4300000000</x:v>
      </x:c>
      <x:c r="I6659" s="12" t="n">
        <x:v>130303030.3030303</x:v>
      </x:c>
      <x:c r="J6659" s="2" t="str">
        <x:v>total</x:v>
      </x:c>
      <x:c r="K6659" s="2" t="str">
        <x:v>top_level_area</x:v>
      </x:c>
      <x:c r="L6659" s="2" t="str">
        <x:v>property_type_inferred_from_title</x:v>
      </x:c>
      <x:c r="M6659" s="10" t="n">
        <x:v>0</x:v>
      </x:c>
      <x:c r="N6659" s="10" t="n">
        <x:v>0</x:v>
      </x:c>
      <x:c r="O6659" s="2" t="str">
        <x:v>Tp Hồ Chí Minh|house</x:v>
      </x:c>
      <x:c r="P6659" s="10" t="n">
        <x:v>2</x:v>
      </x:c>
      <x:c r="Q6659" s="13" t="n">
        <x:f>IF(H6659="","",H6659/1000000000)</x:f>
        <x:v>4.3</x:v>
      </x:c>
      <x:c r="R6659" s="13" t="n">
        <x:f>IF(I6659="","",I6659/1000000)</x:f>
        <x:v>130.30303030303028</x:v>
      </x:c>
    </x:row>
    <x:row r="6660" ht="21" customHeight="1">
      <x:c r="A6660" s="10" t="n">
        <x:v>8570</x:v>
      </x:c>
      <x:c r="B6660" s="2" t="str">
        <x:v>c1c3a202eda909fb72f0</x:v>
      </x:c>
      <x:c r="C6660" s="2" t="str">
        <x:v>Hà Nội</x:v>
      </x:c>
      <x:c r="D6660" s="2" t="str">
        <x:v>Huyện Gia Lâm</x:v>
      </x:c>
      <x:c r="E6660" s="2" t="str">
        <x:v>land</x:v>
      </x:c>
      <x:c r="F6660" s="2" t="str">
        <x:v>sale_assumed</x:v>
      </x:c>
      <x:c r="G6660" s="11" t="n">
        <x:v>45</x:v>
      </x:c>
      <x:c r="H6660" s="12" t="n">
        <x:v>1099000000</x:v>
      </x:c>
      <x:c r="I6660" s="12" t="n">
        <x:v>24422222.222222224</x:v>
      </x:c>
      <x:c r="J6660" s="2" t="str">
        <x:v>total</x:v>
      </x:c>
      <x:c r="K6660" s="2" t="str">
        <x:v>top_level_area</x:v>
      </x:c>
      <x:c r="L6660" s="2" t="str">
        <x:v>property_type_inferred_from_title;transaction_assumed_sale_from_dataset_context</x:v>
      </x:c>
      <x:c r="M6660" s="10" t="n">
        <x:v>0</x:v>
      </x:c>
      <x:c r="N6660" s="10" t="n">
        <x:v>0</x:v>
      </x:c>
      <x:c r="O6660" s="2" t="str">
        <x:v>Hà Nội|land</x:v>
      </x:c>
      <x:c r="P6660" s="10" t="n">
        <x:v>2</x:v>
      </x:c>
      <x:c r="Q6660" s="13" t="n">
        <x:f>IF(H6660="","",H6660/1000000000)</x:f>
        <x:v>1.099</x:v>
      </x:c>
      <x:c r="R6660" s="13" t="n">
        <x:f>IF(I6660="","",I6660/1000000)</x:f>
        <x:v>24.422222222222224</x:v>
      </x:c>
    </x:row>
    <x:row r="6661" ht="21" customHeight="1">
      <x:c r="A6661" s="10" t="n">
        <x:v>8571</x:v>
      </x:c>
      <x:c r="B6661" s="2" t="str">
        <x:v>6467f86506447738f503</x:v>
      </x:c>
      <x:c r="C6661" s="2" t="str">
        <x:v>Hải Phòng</x:v>
      </x:c>
      <x:c r="D6661" s="2" t="str">
        <x:v>Quận Hồng Bàng</x:v>
      </x:c>
      <x:c r="E6661" s="2" t="str">
        <x:v>land</x:v>
      </x:c>
      <x:c r="F6661" s="2" t="str">
        <x:v>sale</x:v>
      </x:c>
      <x:c r="G6661" s="11" t="n">
        <x:v>100</x:v>
      </x:c>
      <x:c r="H6661" s="12" t="n">
        <x:v>1730000000</x:v>
      </x:c>
      <x:c r="I6661" s="12" t="n">
        <x:v>17300000</x:v>
      </x:c>
      <x:c r="J6661" s="2" t="str">
        <x:v>total</x:v>
      </x:c>
      <x:c r="K6661" s="2" t="str">
        <x:v>top_level_area</x:v>
      </x:c>
      <x:c r="L6661" s="2" t="str">
        <x:v>property_type_inferred_from_title</x:v>
      </x:c>
      <x:c r="M6661" s="10" t="n">
        <x:v>0</x:v>
      </x:c>
      <x:c r="N6661" s="10" t="n">
        <x:v>0</x:v>
      </x:c>
      <x:c r="O6661" s="2" t="str">
        <x:v>land</x:v>
      </x:c>
      <x:c r="P6661" s="10" t="n">
        <x:v>2</x:v>
      </x:c>
      <x:c r="Q6661" s="13" t="n">
        <x:f>IF(H6661="","",H6661/1000000000)</x:f>
        <x:v>1.73</x:v>
      </x:c>
      <x:c r="R6661" s="13" t="n">
        <x:f>IF(I6661="","",I6661/1000000)</x:f>
        <x:v>17.3</x:v>
      </x:c>
    </x:row>
    <x:row r="6662" ht="21" customHeight="1">
      <x:c r="A6662" s="10" t="n">
        <x:v>8572</x:v>
      </x:c>
      <x:c r="B6662" s="2" t="str">
        <x:v>19f75d341fdaa6ce794f</x:v>
      </x:c>
      <x:c r="C6662" s="2" t="str">
        <x:v>Tp Hồ Chí Minh</x:v>
      </x:c>
      <x:c r="D6662" s="2" t="str">
        <x:v>Huyện Củ Chi</x:v>
      </x:c>
      <x:c r="E6662" s="2" t="str">
        <x:v>land</x:v>
      </x:c>
      <x:c r="F6662" s="2" t="str">
        <x:v>sale</x:v>
      </x:c>
      <x:c r="G6662" s="11" t="n">
        <x:v>1200</x:v>
      </x:c>
      <x:c r="H6662" s="12" t="n">
        <x:v>1800000000</x:v>
      </x:c>
      <x:c r="I6662" s="12" t="n">
        <x:v>1500000</x:v>
      </x:c>
      <x:c r="J6662" s="2" t="str">
        <x:v>total</x:v>
      </x:c>
      <x:c r="K6662" s="2" t="str">
        <x:v>top_level_area</x:v>
      </x:c>
      <x:c r="L6662" s="2" t="str">
        <x:v>dot_thousands_convention;property_type_inferred_from_title</x:v>
      </x:c>
      <x:c r="M6662" s="10" t="n">
        <x:v>0</x:v>
      </x:c>
      <x:c r="N6662" s="10" t="n">
        <x:v>0</x:v>
      </x:c>
      <x:c r="O6662" s="2" t="str">
        <x:v>Tp Hồ Chí Minh|land</x:v>
      </x:c>
      <x:c r="P6662" s="10" t="n">
        <x:v>1</x:v>
      </x:c>
      <x:c r="Q6662" s="13" t="n">
        <x:f>IF(H6662="","",H6662/1000000000)</x:f>
        <x:v>1.8</x:v>
      </x:c>
      <x:c r="R6662" s="13" t="n">
        <x:f>IF(I6662="","",I6662/1000000)</x:f>
        <x:v>1.5</x:v>
      </x:c>
    </x:row>
    <x:row r="6663" ht="21" customHeight="1">
      <x:c r="A6663" s="10" t="n">
        <x:v>8573</x:v>
      </x:c>
      <x:c r="B6663" s="2" t="str">
        <x:v>f96ac77068f473aee324</x:v>
      </x:c>
      <x:c r="C6663" s="2" t="str">
        <x:v>Tp Hồ Chí Minh</x:v>
      </x:c>
      <x:c r="D6663" s="2" t="str">
        <x:v>Quận 9</x:v>
      </x:c>
      <x:c r="E6663" s="2" t="str">
        <x:v>other_unknown</x:v>
      </x:c>
      <x:c r="F6663" s="2" t="str">
        <x:v>sale_assumed</x:v>
      </x:c>
      <x:c r="G6663" s="11" t="n">
        <x:v>140</x:v>
      </x:c>
      <x:c r="H6663" s="12" t="n">
        <x:v>1730000000</x:v>
      </x:c>
      <x:c r="I6663" s="12" t="n">
        <x:v>12357142.857142856</x:v>
      </x:c>
      <x:c r="J6663" s="2" t="str">
        <x:v>total</x:v>
      </x:c>
      <x:c r="K6663" s="2" t="str">
        <x:v>top_level_price_embedded_area</x:v>
      </x:c>
      <x:c r="L6663" s="2" t="str">
        <x:v>area_recovered_from_price_text;property_type_inferred_from_title;transaction_assumed_sale_from_dataset_context;unknown_property_type</x:v>
      </x:c>
      <x:c r="M6663" s="10" t="n">
        <x:v>0</x:v>
      </x:c>
      <x:c r="N6663" s="10" t="n">
        <x:v>0</x:v>
      </x:c>
      <x:c r="O6663" s="2" t="str">
        <x:v>Tp Hồ Chí Minh|other_unknown</x:v>
      </x:c>
      <x:c r="P6663" s="10" t="n">
        <x:v>2</x:v>
      </x:c>
      <x:c r="Q6663" s="13" t="n">
        <x:f>IF(H6663="","",H6663/1000000000)</x:f>
        <x:v>1.73</x:v>
      </x:c>
      <x:c r="R6663" s="13" t="n">
        <x:f>IF(I6663="","",I6663/1000000)</x:f>
        <x:v>12.357142857142856</x:v>
      </x:c>
    </x:row>
    <x:row r="6664" ht="21" customHeight="1">
      <x:c r="A6664" s="10" t="n">
        <x:v>8574</x:v>
      </x:c>
      <x:c r="B6664" s="2" t="str">
        <x:v>c86f8d98e25d1b062cad</x:v>
      </x:c>
      <x:c r="C6664" s="2" t="str">
        <x:v>Hà Nội</x:v>
      </x:c>
      <x:c r="D6664" s="2" t="str">
        <x:v>Quận Cầu Giấy</x:v>
      </x:c>
      <x:c r="E6664" s="2" t="str">
        <x:v>house</x:v>
      </x:c>
      <x:c r="F6664" s="2" t="str">
        <x:v>sale</x:v>
      </x:c>
      <x:c r="G6664" s="11" t="n">
        <x:v>48</x:v>
      </x:c>
      <x:c r="H6664" s="12" t="n">
        <x:v>7500000000</x:v>
      </x:c>
      <x:c r="I6664" s="12" t="n">
        <x:v>156250000</x:v>
      </x:c>
      <x:c r="J6664" s="2" t="str">
        <x:v>total</x:v>
      </x:c>
      <x:c r="K6664" s="2" t="str">
        <x:v>top_level_area</x:v>
      </x:c>
      <x:c r="L6664" s="2" t="str">
        <x:v>property_type_inferred_from_title</x:v>
      </x:c>
      <x:c r="M6664" s="10" t="n">
        <x:v>0</x:v>
      </x:c>
      <x:c r="N6664" s="10" t="n">
        <x:v>0</x:v>
      </x:c>
      <x:c r="O6664" s="2" t="str">
        <x:v>Hà Nội|house</x:v>
      </x:c>
      <x:c r="P6664" s="10" t="n">
        <x:v>2</x:v>
      </x:c>
      <x:c r="Q6664" s="13" t="n">
        <x:f>IF(H6664="","",H6664/1000000000)</x:f>
        <x:v>7.5</x:v>
      </x:c>
      <x:c r="R6664" s="13" t="n">
        <x:f>IF(I6664="","",I6664/1000000)</x:f>
        <x:v>156.25</x:v>
      </x:c>
    </x:row>
    <x:row r="6665" ht="21" customHeight="1">
      <x:c r="A6665" s="10" t="n">
        <x:v>8575</x:v>
      </x:c>
      <x:c r="B6665" s="2" t="str">
        <x:v>993a9d3794eabf00a7ae</x:v>
      </x:c>
      <x:c r="C6665" s="2" t="str">
        <x:v>Hà Nội</x:v>
      </x:c>
      <x:c r="D6665" s="2" t="str">
        <x:v>Quận Nam Từ Liêm</x:v>
      </x:c>
      <x:c r="E6665" s="2" t="str">
        <x:v>apartment</x:v>
      </x:c>
      <x:c r="F6665" s="2" t="str">
        <x:v>sale_assumed</x:v>
      </x:c>
      <x:c r="G6665" s="11" t="n">
        <x:v>70</x:v>
      </x:c>
      <x:c r="H6665" s="12" t="n">
        <x:v>2000000000</x:v>
      </x:c>
      <x:c r="I6665" s="12" t="n">
        <x:v>28571428.57142857</x:v>
      </x:c>
      <x:c r="J6665" s="2" t="str">
        <x:v>total</x:v>
      </x:c>
      <x:c r="K6665" s="2" t="str">
        <x:v>top_level_area</x:v>
      </x:c>
      <x:c r="L6665" s="2" t="str">
        <x:v>property_type_inferred_from_title;transaction_assumed_sale_from_dataset_context</x:v>
      </x:c>
      <x:c r="M6665" s="10" t="n">
        <x:v>0</x:v>
      </x:c>
      <x:c r="N6665" s="10" t="n">
        <x:v>0</x:v>
      </x:c>
      <x:c r="O6665" s="2" t="str">
        <x:v>Hà Nội|apartment</x:v>
      </x:c>
      <x:c r="P6665" s="10" t="n">
        <x:v>2</x:v>
      </x:c>
      <x:c r="Q6665" s="13" t="n">
        <x:f>IF(H6665="","",H6665/1000000000)</x:f>
        <x:v>2</x:v>
      </x:c>
      <x:c r="R6665" s="13" t="n">
        <x:f>IF(I6665="","",I6665/1000000)</x:f>
        <x:v>28.57142857142857</x:v>
      </x:c>
    </x:row>
    <x:row r="6666" ht="21" customHeight="1">
      <x:c r="A6666" s="10" t="n">
        <x:v>8578</x:v>
      </x:c>
      <x:c r="B6666" s="2" t="str">
        <x:v>5ff3bb643f1767e44b39</x:v>
      </x:c>
      <x:c r="C6666" s="2" t="str">
        <x:v>Tp Hồ Chí Minh</x:v>
      </x:c>
      <x:c r="D6666" s="2" t="str">
        <x:v>Quận Bình Tân</x:v>
      </x:c>
      <x:c r="E6666" s="2" t="str">
        <x:v>land</x:v>
      </x:c>
      <x:c r="F6666" s="2" t="str">
        <x:v>sale</x:v>
      </x:c>
      <x:c r="G6666" s="11" t="n">
        <x:v>200</x:v>
      </x:c>
      <x:c r="H6666" s="12" t="n">
        <x:v>6600000000</x:v>
      </x:c>
      <x:c r="I6666" s="12" t="n">
        <x:v>33000000</x:v>
      </x:c>
      <x:c r="J6666" s="2" t="str">
        <x:v>total</x:v>
      </x:c>
      <x:c r="K6666" s="2" t="str">
        <x:v>top_level_area</x:v>
      </x:c>
      <x:c r="L6666" s="2" t="str">
        <x:v>property_type_inferred_from_title</x:v>
      </x:c>
      <x:c r="M6666" s="10" t="n">
        <x:v>0</x:v>
      </x:c>
      <x:c r="N6666" s="10" t="n">
        <x:v>0</x:v>
      </x:c>
      <x:c r="O6666" s="2" t="str">
        <x:v>Tp Hồ Chí Minh|land</x:v>
      </x:c>
      <x:c r="P6666" s="10" t="n">
        <x:v>2</x:v>
      </x:c>
      <x:c r="Q6666" s="13" t="n">
        <x:f>IF(H6666="","",H6666/1000000000)</x:f>
        <x:v>6.6</x:v>
      </x:c>
      <x:c r="R6666" s="13" t="n">
        <x:f>IF(I6666="","",I6666/1000000)</x:f>
        <x:v>33</x:v>
      </x:c>
    </x:row>
    <x:row r="6667" ht="21" customHeight="1">
      <x:c r="A6667" s="10" t="n">
        <x:v>8579</x:v>
      </x:c>
      <x:c r="B6667" s="2" t="str">
        <x:v>93f99a430f8f148426b4</x:v>
      </x:c>
      <x:c r="C6667" s="2" t="str">
        <x:v>Tp Hồ Chí Minh</x:v>
      </x:c>
      <x:c r="D6667" s="2" t="str">
        <x:v>Huyện Hóc Môn</x:v>
      </x:c>
      <x:c r="E6667" s="2" t="str">
        <x:v>apartment</x:v>
      </x:c>
      <x:c r="F6667" s="2" t="str">
        <x:v>sale_assumed</x:v>
      </x:c>
      <x:c r="G6667" s="11" t="n">
        <x:v>40</x:v>
      </x:c>
      <x:c r="H6667" s="12" t="n">
        <x:v>175000000</x:v>
      </x:c>
      <x:c r="I6667" s="12" t="n">
        <x:v>4375000</x:v>
      </x:c>
      <x:c r="J6667" s="2" t="str">
        <x:v>total</x:v>
      </x:c>
      <x:c r="K6667" s="2" t="str">
        <x:v>top_level_area</x:v>
      </x:c>
      <x:c r="L6667" s="2" t="str">
        <x:v>property_type_inferred_from_title;transaction_assumed_sale_from_dataset_context</x:v>
      </x:c>
      <x:c r="M6667" s="10" t="n">
        <x:v>0</x:v>
      </x:c>
      <x:c r="N6667" s="10" t="n">
        <x:v>0</x:v>
      </x:c>
      <x:c r="O6667" s="2" t="str">
        <x:v>Tp Hồ Chí Minh|apartment</x:v>
      </x:c>
      <x:c r="P6667" s="10" t="n">
        <x:v>2</x:v>
      </x:c>
      <x:c r="Q6667" s="13" t="n">
        <x:f>IF(H6667="","",H6667/1000000000)</x:f>
        <x:v>0.175</x:v>
      </x:c>
      <x:c r="R6667" s="13" t="n">
        <x:f>IF(I6667="","",I6667/1000000)</x:f>
        <x:v>4.375</x:v>
      </x:c>
    </x:row>
    <x:row r="6668" ht="21" customHeight="1">
      <x:c r="A6668" s="10" t="n">
        <x:v>8580</x:v>
      </x:c>
      <x:c r="B6668" s="2" t="str">
        <x:v>3032e00e22ae5db587b3</x:v>
      </x:c>
      <x:c r="C6668" s="2" t="str">
        <x:v>Tp Hồ Chí Minh</x:v>
      </x:c>
      <x:c r="D6668" s="2" t="str">
        <x:v>Quận 9</x:v>
      </x:c>
      <x:c r="E6668" s="2" t="str">
        <x:v>house</x:v>
      </x:c>
      <x:c r="F6668" s="2" t="str">
        <x:v>sale_assumed</x:v>
      </x:c>
      <x:c r="G6668" s="11" t="n">
        <x:v>200</x:v>
      </x:c>
      <x:c r="H6668" s="12" t="n">
        <x:v>4000000000</x:v>
      </x:c>
      <x:c r="I6668" s="12" t="n">
        <x:v>20000000</x:v>
      </x:c>
      <x:c r="J6668" s="2" t="str">
        <x:v>total</x:v>
      </x:c>
      <x:c r="K6668" s="2" t="str">
        <x:v>top_level_area</x:v>
      </x:c>
      <x:c r="L6668" s="2" t="str">
        <x:v>property_type_inferred_from_title;transaction_assumed_sale_from_dataset_context</x:v>
      </x:c>
      <x:c r="M6668" s="10" t="n">
        <x:v>0</x:v>
      </x:c>
      <x:c r="N6668" s="10" t="n">
        <x:v>0</x:v>
      </x:c>
      <x:c r="O6668" s="2" t="str">
        <x:v>Tp Hồ Chí Minh|house</x:v>
      </x:c>
      <x:c r="P6668" s="10" t="n">
        <x:v>2</x:v>
      </x:c>
      <x:c r="Q6668" s="13" t="n">
        <x:f>IF(H6668="","",H6668/1000000000)</x:f>
        <x:v>4</x:v>
      </x:c>
      <x:c r="R6668" s="13" t="n">
        <x:f>IF(I6668="","",I6668/1000000)</x:f>
        <x:v>20</x:v>
      </x:c>
    </x:row>
    <x:row r="6669" ht="21" customHeight="1">
      <x:c r="A6669" s="10" t="n">
        <x:v>8581</x:v>
      </x:c>
      <x:c r="B6669" s="2" t="str">
        <x:v>dbad7a1ba25952c3e25f</x:v>
      </x:c>
      <x:c r="C6669" s="2" t="str">
        <x:v>Tp Hồ Chí Minh</x:v>
      </x:c>
      <x:c r="D6669" s="2" t="str">
        <x:v>Quận Thủ Đức</x:v>
      </x:c>
      <x:c r="E6669" s="2" t="str">
        <x:v>land</x:v>
      </x:c>
      <x:c r="F6669" s="2" t="str">
        <x:v>sale_assumed</x:v>
      </x:c>
      <x:c r="G6669" s="11" t="n">
        <x:v>60</x:v>
      </x:c>
      <x:c r="H6669" s="12" t="n">
        <x:v>3800000000</x:v>
      </x:c>
      <x:c r="I6669" s="12" t="n">
        <x:v>63333333.333333336</x:v>
      </x:c>
      <x:c r="J6669" s="2" t="str">
        <x:v>total</x:v>
      </x:c>
      <x:c r="K6669" s="2" t="str">
        <x:v>top_level_area</x:v>
      </x:c>
      <x:c r="L6669" s="2" t="str">
        <x:v>property_type_inferred_from_title;transaction_assumed_sale_from_dataset_context</x:v>
      </x:c>
      <x:c r="M6669" s="10" t="n">
        <x:v>0</x:v>
      </x:c>
      <x:c r="N6669" s="10" t="n">
        <x:v>0</x:v>
      </x:c>
      <x:c r="O6669" s="2" t="str">
        <x:v>Tp Hồ Chí Minh|land</x:v>
      </x:c>
      <x:c r="P6669" s="10" t="n">
        <x:v>2</x:v>
      </x:c>
      <x:c r="Q6669" s="13" t="n">
        <x:f>IF(H6669="","",H6669/1000000000)</x:f>
        <x:v>3.8</x:v>
      </x:c>
      <x:c r="R6669" s="13" t="n">
        <x:f>IF(I6669="","",I6669/1000000)</x:f>
        <x:v>63.333333333333336</x:v>
      </x:c>
    </x:row>
    <x:row r="6670" ht="21" customHeight="1">
      <x:c r="A6670" s="10" t="n">
        <x:v>8582</x:v>
      </x:c>
      <x:c r="B6670" s="2" t="str">
        <x:v>6314fa02edab71c737e7</x:v>
      </x:c>
      <x:c r="C6670" s="2" t="str">
        <x:v>Tp Hồ Chí Minh</x:v>
      </x:c>
      <x:c r="D6670" s="2" t="str">
        <x:v>Huyện Hóc Môn</x:v>
      </x:c>
      <x:c r="E6670" s="2" t="str">
        <x:v>house</x:v>
      </x:c>
      <x:c r="F6670" s="2" t="str">
        <x:v>sale</x:v>
      </x:c>
      <x:c r="G6670" s="11" t="n">
        <x:v>56</x:v>
      </x:c>
      <x:c r="H6670" s="12" t="n">
        <x:v>395000000</x:v>
      </x:c>
      <x:c r="I6670" s="12" t="n">
        <x:v>7053571.428571428</x:v>
      </x:c>
      <x:c r="J6670" s="2" t="str">
        <x:v>total</x:v>
      </x:c>
      <x:c r="K6670" s="2" t="str">
        <x:v>top_level_area</x:v>
      </x:c>
      <x:c r="L6670" s="2" t="str">
        <x:v>property_type_inferred_from_title</x:v>
      </x:c>
      <x:c r="M6670" s="10" t="n">
        <x:v>0</x:v>
      </x:c>
      <x:c r="N6670" s="10" t="n">
        <x:v>0</x:v>
      </x:c>
      <x:c r="O6670" s="2" t="str">
        <x:v>Tp Hồ Chí Minh|house</x:v>
      </x:c>
      <x:c r="P6670" s="10" t="n">
        <x:v>2</x:v>
      </x:c>
      <x:c r="Q6670" s="13" t="n">
        <x:f>IF(H6670="","",H6670/1000000000)</x:f>
        <x:v>0.395</x:v>
      </x:c>
      <x:c r="R6670" s="13" t="n">
        <x:f>IF(I6670="","",I6670/1000000)</x:f>
        <x:v>7.053571428571428</x:v>
      </x:c>
    </x:row>
    <x:row r="6671" ht="21" customHeight="1">
      <x:c r="A6671" s="10" t="n">
        <x:v>8583</x:v>
      </x:c>
      <x:c r="B6671" s="2" t="str">
        <x:v>c823c94be45ddb4a2fa9</x:v>
      </x:c>
      <x:c r="C6671" s="2" t="str">
        <x:v>Tp Hồ Chí Minh</x:v>
      </x:c>
      <x:c r="D6671" s="2" t="str">
        <x:v>Quận Bình Tân</x:v>
      </x:c>
      <x:c r="E6671" s="2" t="str">
        <x:v>house</x:v>
      </x:c>
      <x:c r="F6671" s="2" t="str">
        <x:v>sale_assumed</x:v>
      </x:c>
      <x:c r="G6671" s="11" t="n">
        <x:v>220</x:v>
      </x:c>
      <x:c r="H6671" s="12" t="n">
        <x:v>7290000000</x:v>
      </x:c>
      <x:c r="I6671" s="12" t="n">
        <x:v>33136363.636363637</x:v>
      </x:c>
      <x:c r="J6671" s="2" t="str">
        <x:v>total</x:v>
      </x:c>
      <x:c r="K6671" s="2" t="str">
        <x:v>top_level_price_embedded_area</x:v>
      </x:c>
      <x:c r="L6671" s="2" t="str">
        <x:v>area_recovered_from_price_text;property_type_inferred_from_title;transaction_assumed_sale_from_dataset_context</x:v>
      </x:c>
      <x:c r="M6671" s="10" t="n">
        <x:v>0</x:v>
      </x:c>
      <x:c r="N6671" s="10" t="n">
        <x:v>0</x:v>
      </x:c>
      <x:c r="O6671" s="2" t="str">
        <x:v>Tp Hồ Chí Minh|house</x:v>
      </x:c>
      <x:c r="P6671" s="10" t="n">
        <x:v>2</x:v>
      </x:c>
      <x:c r="Q6671" s="13" t="n">
        <x:f>IF(H6671="","",H6671/1000000000)</x:f>
        <x:v>7.29</x:v>
      </x:c>
      <x:c r="R6671" s="13" t="n">
        <x:f>IF(I6671="","",I6671/1000000)</x:f>
        <x:v>33.13636363636364</x:v>
      </x:c>
    </x:row>
    <x:row r="6672" ht="21" customHeight="1">
      <x:c r="A6672" s="10" t="n">
        <x:v>8584</x:v>
      </x:c>
      <x:c r="B6672" s="2" t="str">
        <x:v>4d398a33bea07ee7e1cc</x:v>
      </x:c>
      <x:c r="C6672" s="2" t="str">
        <x:v>Đồng Nai</x:v>
      </x:c>
      <x:c r="D6672" s="2" t="str">
        <x:v>Huyện Thống Nhất</x:v>
      </x:c>
      <x:c r="E6672" s="2" t="str">
        <x:v>land</x:v>
      </x:c>
      <x:c r="F6672" s="2" t="str">
        <x:v>sale</x:v>
      </x:c>
      <x:c r="G6672" s="11" t="n">
        <x:v>90</x:v>
      </x:c>
      <x:c r="H6672" s="12" t="n">
        <x:v>400000000</x:v>
      </x:c>
      <x:c r="I6672" s="12" t="n">
        <x:v>4444444.444444444</x:v>
      </x:c>
      <x:c r="J6672" s="2" t="str">
        <x:v>total</x:v>
      </x:c>
      <x:c r="K6672" s="2" t="str">
        <x:v>top_level_area</x:v>
      </x:c>
      <x:c r="L6672" s="2" t="str">
        <x:v>property_type_inferred_from_title</x:v>
      </x:c>
      <x:c r="M6672" s="10" t="n">
        <x:v>0</x:v>
      </x:c>
      <x:c r="N6672" s="10" t="n">
        <x:v>0</x:v>
      </x:c>
      <x:c r="O6672" s="2" t="str">
        <x:v>Đồng Nai|land</x:v>
      </x:c>
      <x:c r="P6672" s="10" t="n">
        <x:v>2</x:v>
      </x:c>
      <x:c r="Q6672" s="13" t="n">
        <x:f>IF(H6672="","",H6672/1000000000)</x:f>
        <x:v>0.4</x:v>
      </x:c>
      <x:c r="R6672" s="13" t="n">
        <x:f>IF(I6672="","",I6672/1000000)</x:f>
        <x:v>4.444444444444444</x:v>
      </x:c>
    </x:row>
    <x:row r="6673" ht="21" customHeight="1">
      <x:c r="A6673" s="10" t="n">
        <x:v>8585</x:v>
      </x:c>
      <x:c r="B6673" s="2" t="str">
        <x:v>d3b1c90d706f0663106a</x:v>
      </x:c>
      <x:c r="C6673" s="2" t="str">
        <x:v>Hà Nội</x:v>
      </x:c>
      <x:c r="D6673" s="2" t="str">
        <x:v>Quận Hà Đông</x:v>
      </x:c>
      <x:c r="E6673" s="2" t="str">
        <x:v>house</x:v>
      </x:c>
      <x:c r="F6673" s="2" t="str">
        <x:v>sale</x:v>
      </x:c>
      <x:c r="G6673" s="11" t="n">
        <x:v>32</x:v>
      </x:c>
      <x:c r="H6673" s="12" t="n">
        <x:v>2402000000</x:v>
      </x:c>
      <x:c r="I6673" s="12" t="n">
        <x:v>75062500</x:v>
      </x:c>
      <x:c r="J6673" s="2" t="str">
        <x:v>total</x:v>
      </x:c>
      <x:c r="K6673" s="2" t="str">
        <x:v>top_level_area</x:v>
      </x:c>
      <x:c r="L6673" s="2" t="str">
        <x:v>property_type_inferred_from_title</x:v>
      </x:c>
      <x:c r="M6673" s="10" t="n">
        <x:v>0</x:v>
      </x:c>
      <x:c r="N6673" s="10" t="n">
        <x:v>0</x:v>
      </x:c>
      <x:c r="O6673" s="2" t="str">
        <x:v>Hà Nội|house</x:v>
      </x:c>
      <x:c r="P6673" s="10" t="n">
        <x:v>2</x:v>
      </x:c>
      <x:c r="Q6673" s="13" t="n">
        <x:f>IF(H6673="","",H6673/1000000000)</x:f>
        <x:v>2.402</x:v>
      </x:c>
      <x:c r="R6673" s="13" t="n">
        <x:f>IF(I6673="","",I6673/1000000)</x:f>
        <x:v>75.0625</x:v>
      </x:c>
    </x:row>
    <x:row r="6674" ht="21" customHeight="1">
      <x:c r="A6674" s="10" t="n">
        <x:v>8586</x:v>
      </x:c>
      <x:c r="B6674" s="2" t="str">
        <x:v>2c8029e32ebd54342a68</x:v>
      </x:c>
      <x:c r="C6674" s="2" t="str">
        <x:v>Đà Nẵng</x:v>
      </x:c>
      <x:c r="D6674" s="2" t="str">
        <x:v>Quận Liên Chiểu</x:v>
      </x:c>
      <x:c r="E6674" s="2" t="str">
        <x:v>house</x:v>
      </x:c>
      <x:c r="F6674" s="2" t="str">
        <x:v>sale_assumed</x:v>
      </x:c>
      <x:c r="G6674" s="11" t="n">
        <x:v>101</x:v>
      </x:c>
      <x:c r="H6674" s="12" t="n">
        <x:v>1700000000</x:v>
      </x:c>
      <x:c r="I6674" s="12" t="n">
        <x:v>16831683.16831683</x:v>
      </x:c>
      <x:c r="J6674" s="2" t="str">
        <x:v>total</x:v>
      </x:c>
      <x:c r="K6674" s="2" t="str">
        <x:v>top_level_area</x:v>
      </x:c>
      <x:c r="L6674" s="2" t="str">
        <x:v>property_type_inferred_from_title;transaction_assumed_sale_from_dataset_context</x:v>
      </x:c>
      <x:c r="M6674" s="10" t="n">
        <x:v>0</x:v>
      </x:c>
      <x:c r="N6674" s="10" t="n">
        <x:v>0</x:v>
      </x:c>
      <x:c r="O6674" s="2" t="str">
        <x:v>Đà Nẵng|house</x:v>
      </x:c>
      <x:c r="P6674" s="10" t="n">
        <x:v>2</x:v>
      </x:c>
      <x:c r="Q6674" s="13" t="n">
        <x:f>IF(H6674="","",H6674/1000000000)</x:f>
        <x:v>1.7</x:v>
      </x:c>
      <x:c r="R6674" s="13" t="n">
        <x:f>IF(I6674="","",I6674/1000000)</x:f>
        <x:v>16.83168316831683</x:v>
      </x:c>
    </x:row>
    <x:row r="6675" ht="21" customHeight="1">
      <x:c r="A6675" s="10" t="n">
        <x:v>8587</x:v>
      </x:c>
      <x:c r="B6675" s="2" t="str">
        <x:v>dabe45e9941c00d65831</x:v>
      </x:c>
      <x:c r="C6675" s="2" t="str">
        <x:v>Hà Nội</x:v>
      </x:c>
      <x:c r="D6675" s="2" t="str">
        <x:v>Quận Thanh Xuân</x:v>
      </x:c>
      <x:c r="E6675" s="2" t="str">
        <x:v>house</x:v>
      </x:c>
      <x:c r="F6675" s="2" t="str">
        <x:v>sale_assumed</x:v>
      </x:c>
      <x:c r="G6675" s="11" t="n">
        <x:v>50</x:v>
      </x:c>
      <x:c r="H6675" s="12" t="n">
        <x:v>6000000000</x:v>
      </x:c>
      <x:c r="I6675" s="12" t="n">
        <x:v>120000000</x:v>
      </x:c>
      <x:c r="J6675" s="2" t="str">
        <x:v>total</x:v>
      </x:c>
      <x:c r="K6675" s="2" t="str">
        <x:v>top_level_area</x:v>
      </x:c>
      <x:c r="L6675" s="2" t="str">
        <x:v>property_type_inferred_from_title;transaction_assumed_sale_from_dataset_context</x:v>
      </x:c>
      <x:c r="M6675" s="10" t="n">
        <x:v>0</x:v>
      </x:c>
      <x:c r="N6675" s="10" t="n">
        <x:v>0</x:v>
      </x:c>
      <x:c r="O6675" s="2" t="str">
        <x:v>Hà Nội|house</x:v>
      </x:c>
      <x:c r="P6675" s="10" t="n">
        <x:v>2</x:v>
      </x:c>
      <x:c r="Q6675" s="13" t="n">
        <x:f>IF(H6675="","",H6675/1000000000)</x:f>
        <x:v>6</x:v>
      </x:c>
      <x:c r="R6675" s="13" t="n">
        <x:f>IF(I6675="","",I6675/1000000)</x:f>
        <x:v>120</x:v>
      </x:c>
    </x:row>
    <x:row r="6676" ht="21" customHeight="1">
      <x:c r="A6676" s="10" t="n">
        <x:v>8588</x:v>
      </x:c>
      <x:c r="B6676" s="2" t="str">
        <x:v>3d65394b13fb9039f218</x:v>
      </x:c>
      <x:c r="C6676" s="2" t="str">
        <x:v>Tp Hồ Chí Minh</x:v>
      </x:c>
      <x:c r="D6676" s="2" t="str">
        <x:v>Quận 7</x:v>
      </x:c>
      <x:c r="E6676" s="2" t="str">
        <x:v>house</x:v>
      </x:c>
      <x:c r="F6676" s="2" t="str">
        <x:v>sale</x:v>
      </x:c>
      <x:c r="G6676" s="11" t="n">
        <x:v>60</x:v>
      </x:c>
      <x:c r="H6676" s="12" t="n">
        <x:v>9300000000</x:v>
      </x:c>
      <x:c r="I6676" s="12" t="n">
        <x:v>155000000</x:v>
      </x:c>
      <x:c r="J6676" s="2" t="str">
        <x:v>total</x:v>
      </x:c>
      <x:c r="K6676" s="2" t="str">
        <x:v>top_level_price_embedded_area</x:v>
      </x:c>
      <x:c r="L6676" s="2" t="str">
        <x:v>area_recovered_from_price_text;property_type_inferred_from_title</x:v>
      </x:c>
      <x:c r="M6676" s="10" t="n">
        <x:v>0</x:v>
      </x:c>
      <x:c r="N6676" s="10" t="n">
        <x:v>0</x:v>
      </x:c>
      <x:c r="O6676" s="2" t="str">
        <x:v>Tp Hồ Chí Minh|house</x:v>
      </x:c>
      <x:c r="P6676" s="10" t="n">
        <x:v>2</x:v>
      </x:c>
      <x:c r="Q6676" s="13" t="n">
        <x:f>IF(H6676="","",H6676/1000000000)</x:f>
        <x:v>9.3</x:v>
      </x:c>
      <x:c r="R6676" s="13" t="n">
        <x:f>IF(I6676="","",I6676/1000000)</x:f>
        <x:v>155</x:v>
      </x:c>
    </x:row>
    <x:row r="6677" ht="21" customHeight="1">
      <x:c r="A6677" s="10" t="n">
        <x:v>8589</x:v>
      </x:c>
      <x:c r="B6677" s="2" t="str">
        <x:v>1c719405746cbdcef699</x:v>
      </x:c>
      <x:c r="C6677" s="2" t="str">
        <x:v>Tp Hồ Chí Minh</x:v>
      </x:c>
      <x:c r="D6677" s="2" t="str">
        <x:v>Quận Thủ Đức</x:v>
      </x:c>
      <x:c r="E6677" s="2" t="str">
        <x:v>land</x:v>
      </x:c>
      <x:c r="F6677" s="2" t="str">
        <x:v>sale_assumed</x:v>
      </x:c>
      <x:c r="G6677" s="11" t="n">
        <x:v>80</x:v>
      </x:c>
      <x:c r="H6677" s="12" t="n">
        <x:v>1800000000</x:v>
      </x:c>
      <x:c r="I6677" s="12" t="n">
        <x:v>22500000</x:v>
      </x:c>
      <x:c r="J6677" s="2" t="str">
        <x:v>total</x:v>
      </x:c>
      <x:c r="K6677" s="2" t="str">
        <x:v>top_level_area</x:v>
      </x:c>
      <x:c r="L6677" s="2" t="str">
        <x:v>property_type_inferred_from_title;transaction_assumed_sale_from_dataset_context</x:v>
      </x:c>
      <x:c r="M6677" s="10" t="n">
        <x:v>0</x:v>
      </x:c>
      <x:c r="N6677" s="10" t="n">
        <x:v>0</x:v>
      </x:c>
      <x:c r="O6677" s="2" t="str">
        <x:v>Tp Hồ Chí Minh|land</x:v>
      </x:c>
      <x:c r="P6677" s="10" t="n">
        <x:v>2</x:v>
      </x:c>
      <x:c r="Q6677" s="13" t="n">
        <x:f>IF(H6677="","",H6677/1000000000)</x:f>
        <x:v>1.8</x:v>
      </x:c>
      <x:c r="R6677" s="13" t="n">
        <x:f>IF(I6677="","",I6677/1000000)</x:f>
        <x:v>22.5</x:v>
      </x:c>
    </x:row>
    <x:row r="6678" ht="21" customHeight="1">
      <x:c r="A6678" s="10" t="n">
        <x:v>8590</x:v>
      </x:c>
      <x:c r="B6678" s="2" t="str">
        <x:v>f53125652000951b1655</x:v>
      </x:c>
      <x:c r="C6678" s="2" t="str">
        <x:v>Cần Thơ</x:v>
      </x:c>
      <x:c r="D6678" s="2" t="str">
        <x:v>Quận Ninh Kiều</x:v>
      </x:c>
      <x:c r="E6678" s="2" t="str">
        <x:v>house</x:v>
      </x:c>
      <x:c r="F6678" s="2" t="str">
        <x:v>sale_assumed</x:v>
      </x:c>
      <x:c r="G6678" s="11" t="n">
        <x:v>75</x:v>
      </x:c>
      <x:c r="H6678" s="12" t="n">
        <x:v>2250000000</x:v>
      </x:c>
      <x:c r="I6678" s="12" t="n">
        <x:v>30000000</x:v>
      </x:c>
      <x:c r="J6678" s="2" t="str">
        <x:v>total</x:v>
      </x:c>
      <x:c r="K6678" s="2" t="str">
        <x:v>top_level_area</x:v>
      </x:c>
      <x:c r="L6678" s="2" t="str">
        <x:v>property_type_inferred_from_title;transaction_assumed_sale_from_dataset_context</x:v>
      </x:c>
      <x:c r="M6678" s="10" t="n">
        <x:v>0</x:v>
      </x:c>
      <x:c r="N6678" s="10" t="n">
        <x:v>0</x:v>
      </x:c>
      <x:c r="O6678" s="2" t="str">
        <x:v>Cần Thơ|house</x:v>
      </x:c>
      <x:c r="P6678" s="10" t="n">
        <x:v>2</x:v>
      </x:c>
      <x:c r="Q6678" s="13" t="n">
        <x:f>IF(H6678="","",H6678/1000000000)</x:f>
        <x:v>2.25</x:v>
      </x:c>
      <x:c r="R6678" s="13" t="n">
        <x:f>IF(I6678="","",I6678/1000000)</x:f>
        <x:v>30</x:v>
      </x:c>
    </x:row>
    <x:row r="6679" ht="21" customHeight="1">
      <x:c r="A6679" s="10" t="n">
        <x:v>8591</x:v>
      </x:c>
      <x:c r="B6679" s="2" t="str">
        <x:v>209f08105384132d9021</x:v>
      </x:c>
      <x:c r="C6679" s="2" t="str">
        <x:v>Hà Nam</x:v>
      </x:c>
      <x:c r="D6679" s="2" t="str">
        <x:v>Thành phố Phủ Lý</x:v>
      </x:c>
      <x:c r="E6679" s="2" t="str">
        <x:v>other_unknown</x:v>
      </x:c>
      <x:c r="F6679" s="2" t="str">
        <x:v>sale_assumed</x:v>
      </x:c>
      <x:c r="G6679" s="11" t="n">
        <x:v>833</x:v>
      </x:c>
      <x:c r="H6679" s="12" t="n">
        <x:v>1350000000</x:v>
      </x:c>
      <x:c r="I6679" s="12" t="n">
        <x:v>1620648.2593037216</x:v>
      </x:c>
      <x:c r="J6679" s="2" t="str">
        <x:v>total</x:v>
      </x:c>
      <x:c r="K6679" s="2" t="str">
        <x:v>top_level_area</x:v>
      </x:c>
      <x:c r="L6679" s="2" t="str">
        <x:v>property_type_inferred_from_title;transaction_assumed_sale_from_dataset_context;unknown_property_type</x:v>
      </x:c>
      <x:c r="M6679" s="10" t="n">
        <x:v>0</x:v>
      </x:c>
      <x:c r="N6679" s="10" t="n">
        <x:v>0</x:v>
      </x:c>
      <x:c r="O6679" s="2" t="str">
        <x:v>other_unknown</x:v>
      </x:c>
      <x:c r="P6679" s="10" t="n">
        <x:v>1</x:v>
      </x:c>
      <x:c r="Q6679" s="13" t="n">
        <x:f>IF(H6679="","",H6679/1000000000)</x:f>
        <x:v>1.35</x:v>
      </x:c>
      <x:c r="R6679" s="13" t="n">
        <x:f>IF(I6679="","",I6679/1000000)</x:f>
        <x:v>1.6206482593037217</x:v>
      </x:c>
    </x:row>
    <x:row r="6680" ht="21" customHeight="1">
      <x:c r="A6680" s="10" t="n">
        <x:v>8592</x:v>
      </x:c>
      <x:c r="B6680" s="2" t="str">
        <x:v>b5d49262880bb122e5e2</x:v>
      </x:c>
      <x:c r="C6680" s="2" t="str">
        <x:v>Tp Hồ Chí Minh</x:v>
      </x:c>
      <x:c r="D6680" s="2" t="str">
        <x:v>Quận Thủ Đức</x:v>
      </x:c>
      <x:c r="E6680" s="2" t="str">
        <x:v>other_unknown</x:v>
      </x:c>
      <x:c r="F6680" s="2" t="str">
        <x:v>sale</x:v>
      </x:c>
      <x:c r="G6680" s="11" t="n">
        <x:v>130</x:v>
      </x:c>
      <x:c r="H6680" s="12" t="n">
        <x:v>1780000000</x:v>
      </x:c>
      <x:c r="I6680" s="12" t="n">
        <x:v>13692307.692307692</x:v>
      </x:c>
      <x:c r="J6680" s="2" t="str">
        <x:v>total</x:v>
      </x:c>
      <x:c r="K6680" s="2" t="str">
        <x:v>top_level_price_embedded_area</x:v>
      </x:c>
      <x:c r="L6680" s="2" t="str">
        <x:v>area_recovered_from_price_text;property_type_inferred_from_title;unknown_property_type</x:v>
      </x:c>
      <x:c r="M6680" s="10" t="n">
        <x:v>0</x:v>
      </x:c>
      <x:c r="N6680" s="10" t="n">
        <x:v>0</x:v>
      </x:c>
      <x:c r="O6680" s="2" t="str">
        <x:v>Tp Hồ Chí Minh|other_unknown</x:v>
      </x:c>
      <x:c r="P6680" s="10" t="n">
        <x:v>2</x:v>
      </x:c>
      <x:c r="Q6680" s="13" t="n">
        <x:f>IF(H6680="","",H6680/1000000000)</x:f>
        <x:v>1.78</x:v>
      </x:c>
      <x:c r="R6680" s="13" t="n">
        <x:f>IF(I6680="","",I6680/1000000)</x:f>
        <x:v>13.692307692307692</x:v>
      </x:c>
    </x:row>
    <x:row r="6681" ht="21" customHeight="1">
      <x:c r="A6681" s="10" t="n">
        <x:v>8593</x:v>
      </x:c>
      <x:c r="B6681" s="2" t="str">
        <x:v>a4fb838954632a80e250</x:v>
      </x:c>
      <x:c r="C6681" s="2" t="str">
        <x:v>Tp Hồ Chí Minh</x:v>
      </x:c>
      <x:c r="D6681" s="2" t="str">
        <x:v>Quận 3</x:v>
      </x:c>
      <x:c r="E6681" s="2" t="str">
        <x:v>house</x:v>
      </x:c>
      <x:c r="F6681" s="2" t="str">
        <x:v>sale_assumed</x:v>
      </x:c>
      <x:c r="G6681" s="11" t="n">
        <x:v>123.9</x:v>
      </x:c>
      <x:c r="H6681" s="12" t="n">
        <x:v>31000000000</x:v>
      </x:c>
      <x:c r="I6681" s="12" t="n">
        <x:v>250201775.62550443</x:v>
      </x:c>
      <x:c r="J6681" s="2" t="str">
        <x:v>total</x:v>
      </x:c>
      <x:c r="K6681" s="2" t="str">
        <x:v>top_level_area</x:v>
      </x:c>
      <x:c r="L6681" s="2" t="str">
        <x:v>property_type_inferred_from_title;transaction_assumed_sale_from_dataset_context</x:v>
      </x:c>
      <x:c r="M6681" s="10" t="n">
        <x:v>1</x:v>
      </x:c>
      <x:c r="N6681" s="10" t="n">
        <x:v>1</x:v>
      </x:c>
      <x:c r="O6681" s="2" t="str">
        <x:v>Tp Hồ Chí Minh|house</x:v>
      </x:c>
      <x:c r="P6681" s="10" t="n">
        <x:v>-1</x:v>
      </x:c>
      <x:c r="Q6681" s="13" t="n">
        <x:f>IF(H6681="","",H6681/1000000000)</x:f>
        <x:v>31</x:v>
      </x:c>
      <x:c r="R6681" s="13" t="n">
        <x:f>IF(I6681="","",I6681/1000000)</x:f>
        <x:v>250.20177562550444</x:v>
      </x:c>
    </x:row>
    <x:row r="6682" ht="21" customHeight="1">
      <x:c r="A6682" s="10" t="n">
        <x:v>8594</x:v>
      </x:c>
      <x:c r="B6682" s="2" t="str">
        <x:v>58a64b0bf67df330fbf6</x:v>
      </x:c>
      <x:c r="C6682" s="2" t="str">
        <x:v>Long An</x:v>
      </x:c>
      <x:c r="D6682" s="2" t="str">
        <x:v>Huyện Cần Đước</x:v>
      </x:c>
      <x:c r="E6682" s="2" t="str">
        <x:v>other_unknown</x:v>
      </x:c>
      <x:c r="F6682" s="2" t="str">
        <x:v>sale_assumed</x:v>
      </x:c>
      <x:c r="G6682" s="11" t="n">
        <x:v>100</x:v>
      </x:c>
      <x:c r="H6682" s="12" t="n">
        <x:v>360000000</x:v>
      </x:c>
      <x:c r="I6682" s="12" t="n">
        <x:v>3600000</x:v>
      </x:c>
      <x:c r="J6682" s="2" t="str">
        <x:v>total</x:v>
      </x:c>
      <x:c r="K6682" s="2" t="str">
        <x:v>top_level_area</x:v>
      </x:c>
      <x:c r="L6682" s="2" t="str">
        <x:v>property_type_inferred_from_title;transaction_assumed_sale_from_dataset_context;unknown_property_type</x:v>
      </x:c>
      <x:c r="M6682" s="10" t="n">
        <x:v>0</x:v>
      </x:c>
      <x:c r="N6682" s="10" t="n">
        <x:v>0</x:v>
      </x:c>
      <x:c r="O6682" s="2" t="str">
        <x:v>Long An|other_unknown</x:v>
      </x:c>
      <x:c r="P6682" s="10" t="n">
        <x:v>2</x:v>
      </x:c>
      <x:c r="Q6682" s="13" t="n">
        <x:f>IF(H6682="","",H6682/1000000000)</x:f>
        <x:v>0.36</x:v>
      </x:c>
      <x:c r="R6682" s="13" t="n">
        <x:f>IF(I6682="","",I6682/1000000)</x:f>
        <x:v>3.6</x:v>
      </x:c>
    </x:row>
    <x:row r="6683" ht="21" customHeight="1">
      <x:c r="A6683" s="10" t="n">
        <x:v>8595</x:v>
      </x:c>
      <x:c r="B6683" s="2" t="str">
        <x:v>3ae01a4199b576e6fdb2</x:v>
      </x:c>
      <x:c r="C6683" s="2" t="str">
        <x:v>Bình Dương</x:v>
      </x:c>
      <x:c r="D6683" s="2" t="str">
        <x:v>Thị xã Bến Cát</x:v>
      </x:c>
      <x:c r="E6683" s="2" t="str">
        <x:v>land</x:v>
      </x:c>
      <x:c r="F6683" s="2" t="str">
        <x:v>sale_assumed</x:v>
      </x:c>
      <x:c r="G6683" s="11" t="n">
        <x:v>12000</x:v>
      </x:c>
      <x:c r="H6683" s="12" t="n">
        <x:v>1200000000</x:v>
      </x:c>
      <x:c r="I6683" s="12" t="n">
        <x:v>100000</x:v>
      </x:c>
      <x:c r="J6683" s="2" t="str">
        <x:v>total</x:v>
      </x:c>
      <x:c r="K6683" s="2" t="str">
        <x:v>top_level_area</x:v>
      </x:c>
      <x:c r="L6683" s="2" t="str">
        <x:v>dot_thousands_convention;property_type_inferred_from_title;transaction_assumed_sale_from_dataset_context</x:v>
      </x:c>
      <x:c r="M6683" s="10" t="n">
        <x:v>0</x:v>
      </x:c>
      <x:c r="N6683" s="10" t="n">
        <x:v>0</x:v>
      </x:c>
      <x:c r="O6683" s="2" t="str">
        <x:v>Bình Dương|land</x:v>
      </x:c>
      <x:c r="P6683" s="10" t="n">
        <x:v>1</x:v>
      </x:c>
      <x:c r="Q6683" s="13" t="n">
        <x:f>IF(H6683="","",H6683/1000000000)</x:f>
        <x:v>1.2</x:v>
      </x:c>
      <x:c r="R6683" s="13" t="n">
        <x:f>IF(I6683="","",I6683/1000000)</x:f>
        <x:v>0.1</x:v>
      </x:c>
    </x:row>
    <x:row r="6684" ht="21" customHeight="1">
      <x:c r="A6684" s="10" t="n">
        <x:v>8596</x:v>
      </x:c>
      <x:c r="B6684" s="2" t="str">
        <x:v>b27492ed2f4201833420</x:v>
      </x:c>
      <x:c r="C6684" s="2" t="str">
        <x:v>Tp Hồ Chí Minh</x:v>
      </x:c>
      <x:c r="D6684" s="2" t="str">
        <x:v>Quận 8</x:v>
      </x:c>
      <x:c r="E6684" s="2" t="str">
        <x:v>house</x:v>
      </x:c>
      <x:c r="F6684" s="2" t="str">
        <x:v>sale</x:v>
      </x:c>
      <x:c r="G6684" s="11" t="n">
        <x:v>26</x:v>
      </x:c>
      <x:c r="H6684" s="12" t="n">
        <x:v>2500000000</x:v>
      </x:c>
      <x:c r="I6684" s="12" t="n">
        <x:v>96153846.15384616</x:v>
      </x:c>
      <x:c r="J6684" s="2" t="str">
        <x:v>total</x:v>
      </x:c>
      <x:c r="K6684" s="2" t="str">
        <x:v>top_level_area</x:v>
      </x:c>
      <x:c r="L6684" s="2" t="str">
        <x:v>property_type_inferred_from_title</x:v>
      </x:c>
      <x:c r="M6684" s="10" t="n">
        <x:v>0</x:v>
      </x:c>
      <x:c r="N6684" s="10" t="n">
        <x:v>0</x:v>
      </x:c>
      <x:c r="O6684" s="2" t="str">
        <x:v>Tp Hồ Chí Minh|house</x:v>
      </x:c>
      <x:c r="P6684" s="10" t="n">
        <x:v>2</x:v>
      </x:c>
      <x:c r="Q6684" s="13" t="n">
        <x:f>IF(H6684="","",H6684/1000000000)</x:f>
        <x:v>2.5</x:v>
      </x:c>
      <x:c r="R6684" s="13" t="n">
        <x:f>IF(I6684="","",I6684/1000000)</x:f>
        <x:v>96.15384615384616</x:v>
      </x:c>
    </x:row>
    <x:row r="6685" ht="21" customHeight="1">
      <x:c r="A6685" s="10" t="n">
        <x:v>8597</x:v>
      </x:c>
      <x:c r="B6685" s="2" t="str">
        <x:v>6cfd0550a9eb43f34626</x:v>
      </x:c>
      <x:c r="C6685" s="2" t="str">
        <x:v>Đắk Lắk</x:v>
      </x:c>
      <x:c r="D6685" s="2" t="str">
        <x:v>Thành phố Buôn Ma Thuột</x:v>
      </x:c>
      <x:c r="E6685" s="2" t="str">
        <x:v>house</x:v>
      </x:c>
      <x:c r="F6685" s="2" t="str">
        <x:v>sale_assumed</x:v>
      </x:c>
      <x:c r="G6685" s="11" t="n">
        <x:v>196</x:v>
      </x:c>
      <x:c r="H6685" s="12" t="n">
        <x:v>3950000000</x:v>
      </x:c>
      <x:c r="I6685" s="12" t="n">
        <x:v>20153061.224489797</x:v>
      </x:c>
      <x:c r="J6685" s="2" t="str">
        <x:v>total</x:v>
      </x:c>
      <x:c r="K6685" s="2" t="str">
        <x:v>top_level_area</x:v>
      </x:c>
      <x:c r="L6685" s="2" t="str">
        <x:v>property_type_inferred_from_title;transaction_assumed_sale_from_dataset_context</x:v>
      </x:c>
      <x:c r="M6685" s="10" t="n">
        <x:v>0</x:v>
      </x:c>
      <x:c r="N6685" s="10" t="n">
        <x:v>0</x:v>
      </x:c>
      <x:c r="O6685" s="2" t="str">
        <x:v>Đắk Lắk|house</x:v>
      </x:c>
      <x:c r="P6685" s="10" t="n">
        <x:v>2</x:v>
      </x:c>
      <x:c r="Q6685" s="13" t="n">
        <x:f>IF(H6685="","",H6685/1000000000)</x:f>
        <x:v>3.95</x:v>
      </x:c>
      <x:c r="R6685" s="13" t="n">
        <x:f>IF(I6685="","",I6685/1000000)</x:f>
        <x:v>20.153061224489797</x:v>
      </x:c>
    </x:row>
    <x:row r="6686" ht="21" customHeight="1">
      <x:c r="A6686" s="10" t="n">
        <x:v>8601</x:v>
      </x:c>
      <x:c r="B6686" s="2" t="str">
        <x:v>96eccdaf251fc9cfa139</x:v>
      </x:c>
      <x:c r="C6686" s="2" t="str">
        <x:v>Tp Hồ Chí Minh</x:v>
      </x:c>
      <x:c r="D6686" s="2" t="str">
        <x:v>Quận Thủ Đức</x:v>
      </x:c>
      <x:c r="E6686" s="2" t="str">
        <x:v>house</x:v>
      </x:c>
      <x:c r="F6686" s="2" t="str">
        <x:v>sale</x:v>
      </x:c>
      <x:c r="G6686" s="11" t="n">
        <x:v>101</x:v>
      </x:c>
      <x:c r="H6686" s="12" t="n">
        <x:v>15700000000</x:v>
      </x:c>
      <x:c r="I6686" s="12" t="n">
        <x:v>155445544.55445546</x:v>
      </x:c>
      <x:c r="J6686" s="2" t="str">
        <x:v>total</x:v>
      </x:c>
      <x:c r="K6686" s="2" t="str">
        <x:v>top_level_price_embedded_area</x:v>
      </x:c>
      <x:c r="L6686" s="2" t="str">
        <x:v>area_recovered_from_price_text;property_type_inferred_from_title</x:v>
      </x:c>
      <x:c r="M6686" s="10" t="n">
        <x:v>0</x:v>
      </x:c>
      <x:c r="N6686" s="10" t="n">
        <x:v>0</x:v>
      </x:c>
      <x:c r="O6686" s="2" t="str">
        <x:v>Tp Hồ Chí Minh|house</x:v>
      </x:c>
      <x:c r="P6686" s="10" t="n">
        <x:v>2</x:v>
      </x:c>
      <x:c r="Q6686" s="13" t="n">
        <x:f>IF(H6686="","",H6686/1000000000)</x:f>
        <x:v>15.7</x:v>
      </x:c>
      <x:c r="R6686" s="13" t="n">
        <x:f>IF(I6686="","",I6686/1000000)</x:f>
        <x:v>155.44554455445547</x:v>
      </x:c>
    </x:row>
    <x:row r="6687" ht="21" customHeight="1">
      <x:c r="A6687" s="10" t="n">
        <x:v>8602</x:v>
      </x:c>
      <x:c r="B6687" s="2" t="str">
        <x:v>c0655f99eac140cf7ddd</x:v>
      </x:c>
      <x:c r="C6687" s="2" t="str">
        <x:v>Tp Hồ Chí Minh</x:v>
      </x:c>
      <x:c r="D6687" s="2" t="str">
        <x:v>Quận 8</x:v>
      </x:c>
      <x:c r="E6687" s="2" t="str">
        <x:v>house</x:v>
      </x:c>
      <x:c r="F6687" s="2" t="str">
        <x:v>sale</x:v>
      </x:c>
      <x:c r="G6687" s="11" t="n">
        <x:v>196</x:v>
      </x:c>
      <x:c r="H6687" s="12" t="n">
        <x:v>6900000000</x:v>
      </x:c>
      <x:c r="I6687" s="12" t="n">
        <x:v>35204081.63265306</x:v>
      </x:c>
      <x:c r="J6687" s="2" t="str">
        <x:v>total</x:v>
      </x:c>
      <x:c r="K6687" s="2" t="str">
        <x:v>top_level_area</x:v>
      </x:c>
      <x:c r="L6687" s="2" t="str">
        <x:v>property_type_inferred_from_title</x:v>
      </x:c>
      <x:c r="M6687" s="10" t="n">
        <x:v>0</x:v>
      </x:c>
      <x:c r="N6687" s="10" t="n">
        <x:v>0</x:v>
      </x:c>
      <x:c r="O6687" s="2" t="str">
        <x:v>Tp Hồ Chí Minh|house</x:v>
      </x:c>
      <x:c r="P6687" s="10" t="n">
        <x:v>2</x:v>
      </x:c>
      <x:c r="Q6687" s="13" t="n">
        <x:f>IF(H6687="","",H6687/1000000000)</x:f>
        <x:v>6.9</x:v>
      </x:c>
      <x:c r="R6687" s="13" t="n">
        <x:f>IF(I6687="","",I6687/1000000)</x:f>
        <x:v>35.20408163265306</x:v>
      </x:c>
    </x:row>
    <x:row r="6688" ht="21" customHeight="1">
      <x:c r="A6688" s="10" t="n">
        <x:v>8603</x:v>
      </x:c>
      <x:c r="B6688" s="2" t="str">
        <x:v>06fe3085c82da7e43420</x:v>
      </x:c>
      <x:c r="C6688" s="2" t="str">
        <x:v>Bà Rịa - Vũng Tàu</x:v>
      </x:c>
      <x:c r="D6688" s="2" t="str">
        <x:v>Thị xã Phú Mỹ</x:v>
      </x:c>
      <x:c r="E6688" s="2" t="str">
        <x:v>land</x:v>
      </x:c>
      <x:c r="F6688" s="2" t="str">
        <x:v>sale</x:v>
      </x:c>
      <x:c r="G6688" s="11" t="n">
        <x:v>127</x:v>
      </x:c>
      <x:c r="H6688" s="12" t="n">
        <x:v>1200000000</x:v>
      </x:c>
      <x:c r="I6688" s="12" t="n">
        <x:v>9448818.897637796</x:v>
      </x:c>
      <x:c r="J6688" s="2" t="str">
        <x:v>total</x:v>
      </x:c>
      <x:c r="K6688" s="2" t="str">
        <x:v>top_level_area</x:v>
      </x:c>
      <x:c r="L6688" s="2" t="str">
        <x:v>property_type_inferred_from_title</x:v>
      </x:c>
      <x:c r="M6688" s="10" t="n">
        <x:v>0</x:v>
      </x:c>
      <x:c r="N6688" s="10" t="n">
        <x:v>0</x:v>
      </x:c>
      <x:c r="O6688" s="2" t="str">
        <x:v>Bà Rịa - Vũng Tàu|land</x:v>
      </x:c>
      <x:c r="P6688" s="10" t="n">
        <x:v>2</x:v>
      </x:c>
      <x:c r="Q6688" s="13" t="n">
        <x:f>IF(H6688="","",H6688/1000000000)</x:f>
        <x:v>1.2</x:v>
      </x:c>
      <x:c r="R6688" s="13" t="n">
        <x:f>IF(I6688="","",I6688/1000000)</x:f>
        <x:v>9.448818897637796</x:v>
      </x:c>
    </x:row>
    <x:row r="6689" ht="21" customHeight="1">
      <x:c r="A6689" s="10" t="n">
        <x:v>8604</x:v>
      </x:c>
      <x:c r="B6689" s="2" t="str">
        <x:v>87a9bb5eb6774eab04b0</x:v>
      </x:c>
      <x:c r="C6689" s="2" t="str">
        <x:v>Đà Nẵng</x:v>
      </x:c>
      <x:c r="D6689" s="2" t="str">
        <x:v>Quận Cẩm Lệ</x:v>
      </x:c>
      <x:c r="E6689" s="2" t="str">
        <x:v>land</x:v>
      </x:c>
      <x:c r="F6689" s="2" t="str">
        <x:v>sale_assumed</x:v>
      </x:c>
      <x:c r="G6689" s="11" t="n">
        <x:v>105</x:v>
      </x:c>
      <x:c r="H6689" s="12" t="n">
        <x:v>2250000000</x:v>
      </x:c>
      <x:c r="I6689" s="12" t="n">
        <x:v>21428571.42857143</x:v>
      </x:c>
      <x:c r="J6689" s="2" t="str">
        <x:v>total</x:v>
      </x:c>
      <x:c r="K6689" s="2" t="str">
        <x:v>top_level_area</x:v>
      </x:c>
      <x:c r="L6689" s="2" t="str">
        <x:v>property_type_inferred_from_title;transaction_assumed_sale_from_dataset_context</x:v>
      </x:c>
      <x:c r="M6689" s="10" t="n">
        <x:v>0</x:v>
      </x:c>
      <x:c r="N6689" s="10" t="n">
        <x:v>0</x:v>
      </x:c>
      <x:c r="O6689" s="2" t="str">
        <x:v>Đà Nẵng|land</x:v>
      </x:c>
      <x:c r="P6689" s="10" t="n">
        <x:v>2</x:v>
      </x:c>
      <x:c r="Q6689" s="13" t="n">
        <x:f>IF(H6689="","",H6689/1000000000)</x:f>
        <x:v>2.25</x:v>
      </x:c>
      <x:c r="R6689" s="13" t="n">
        <x:f>IF(I6689="","",I6689/1000000)</x:f>
        <x:v>21.42857142857143</x:v>
      </x:c>
    </x:row>
    <x:row r="6690" ht="21" customHeight="1">
      <x:c r="A6690" s="10" t="n">
        <x:v>8605</x:v>
      </x:c>
      <x:c r="B6690" s="2" t="str">
        <x:v>9e894f818c42d8ec4b89</x:v>
      </x:c>
      <x:c r="C6690" s="2" t="str">
        <x:v>Đà Nẵng</x:v>
      </x:c>
      <x:c r="D6690" s="2" t="str">
        <x:v>Quận Sơn Trà</x:v>
      </x:c>
      <x:c r="E6690" s="2" t="str">
        <x:v>house</x:v>
      </x:c>
      <x:c r="F6690" s="2" t="str">
        <x:v>sale_assumed</x:v>
      </x:c>
      <x:c r="G6690" s="11" t="n">
        <x:v>160</x:v>
      </x:c>
      <x:c r="H6690" s="12" t="n">
        <x:v>14000000000</x:v>
      </x:c>
      <x:c r="I6690" s="12" t="n">
        <x:v>87500000</x:v>
      </x:c>
      <x:c r="J6690" s="2" t="str">
        <x:v>total</x:v>
      </x:c>
      <x:c r="K6690" s="2" t="str">
        <x:v>top_level_area</x:v>
      </x:c>
      <x:c r="L6690" s="2" t="str">
        <x:v>property_type_inferred_from_title;transaction_assumed_sale_from_dataset_context</x:v>
      </x:c>
      <x:c r="M6690" s="10" t="n">
        <x:v>0</x:v>
      </x:c>
      <x:c r="N6690" s="10" t="n">
        <x:v>0</x:v>
      </x:c>
      <x:c r="O6690" s="2" t="str">
        <x:v>Đà Nẵng|house</x:v>
      </x:c>
      <x:c r="P6690" s="10" t="n">
        <x:v>2</x:v>
      </x:c>
      <x:c r="Q6690" s="13" t="n">
        <x:f>IF(H6690="","",H6690/1000000000)</x:f>
        <x:v>14</x:v>
      </x:c>
      <x:c r="R6690" s="13" t="n">
        <x:f>IF(I6690="","",I6690/1000000)</x:f>
        <x:v>87.5</x:v>
      </x:c>
    </x:row>
    <x:row r="6691" ht="21" customHeight="1">
      <x:c r="A6691" s="10" t="n">
        <x:v>8606</x:v>
      </x:c>
      <x:c r="B6691" s="2" t="str">
        <x:v>f82bafadfbcbb4f837f6</x:v>
      </x:c>
      <x:c r="C6691" s="2" t="str">
        <x:v>Tp Hồ Chí Minh</x:v>
      </x:c>
      <x:c r="D6691" s="2" t="str">
        <x:v>Quận 3</x:v>
      </x:c>
      <x:c r="E6691" s="2" t="str">
        <x:v>other_unknown</x:v>
      </x:c>
      <x:c r="F6691" s="2" t="str">
        <x:v>sale_assumed</x:v>
      </x:c>
      <x:c r="G6691" s="11" t="n">
        <x:v>32</x:v>
      </x:c>
      <x:c r="H6691" s="12" t="n">
        <x:v>6500000000</x:v>
      </x:c>
      <x:c r="I6691" s="12" t="n">
        <x:v>203125000</x:v>
      </x:c>
      <x:c r="J6691" s="2" t="str">
        <x:v>total</x:v>
      </x:c>
      <x:c r="K6691" s="2" t="str">
        <x:v>top_level_area</x:v>
      </x:c>
      <x:c r="L6691" s="2" t="str">
        <x:v>property_type_inferred_from_title;transaction_assumed_sale_from_dataset_context;unknown_property_type</x:v>
      </x:c>
      <x:c r="M6691" s="10" t="n">
        <x:v>1</x:v>
      </x:c>
      <x:c r="N6691" s="10" t="n">
        <x:v>1</x:v>
      </x:c>
      <x:c r="O6691" s="2" t="str">
        <x:v>Tp Hồ Chí Minh|other_unknown</x:v>
      </x:c>
      <x:c r="P6691" s="10" t="n">
        <x:v>-1</x:v>
      </x:c>
      <x:c r="Q6691" s="13" t="n">
        <x:f>IF(H6691="","",H6691/1000000000)</x:f>
        <x:v>6.5</x:v>
      </x:c>
      <x:c r="R6691" s="13" t="n">
        <x:f>IF(I6691="","",I6691/1000000)</x:f>
        <x:v>203.125</x:v>
      </x:c>
    </x:row>
    <x:row r="6692" ht="21" customHeight="1">
      <x:c r="A6692" s="10" t="n">
        <x:v>8607</x:v>
      </x:c>
      <x:c r="B6692" s="2" t="str">
        <x:v>e1fb87010e682a039702</x:v>
      </x:c>
      <x:c r="C6692" s="2" t="str">
        <x:v>Bình Dương</x:v>
      </x:c>
      <x:c r="D6692" s="2" t="str">
        <x:v>Thị xã Tân Uyên</x:v>
      </x:c>
      <x:c r="E6692" s="2" t="str">
        <x:v>other_unknown</x:v>
      </x:c>
      <x:c r="F6692" s="2" t="str">
        <x:v>sale</x:v>
      </x:c>
      <x:c r="G6692" s="11" t="n">
        <x:v>1000</x:v>
      </x:c>
      <x:c r="H6692" s="12" t="n">
        <x:v>450000000</x:v>
      </x:c>
      <x:c r="I6692" s="12" t="n">
        <x:v>450000</x:v>
      </x:c>
      <x:c r="J6692" s="2" t="str">
        <x:v>total</x:v>
      </x:c>
      <x:c r="K6692" s="2" t="str">
        <x:v>top_level_area</x:v>
      </x:c>
      <x:c r="L6692" s="2" t="str">
        <x:v>dot_thousands_convention;property_type_inferred_from_title;unknown_property_type</x:v>
      </x:c>
      <x:c r="M6692" s="10" t="n">
        <x:v>0</x:v>
      </x:c>
      <x:c r="N6692" s="10" t="n">
        <x:v>0</x:v>
      </x:c>
      <x:c r="O6692" s="2" t="str">
        <x:v>Bình Dương|other_unknown</x:v>
      </x:c>
      <x:c r="P6692" s="10" t="n">
        <x:v>1</x:v>
      </x:c>
      <x:c r="Q6692" s="13" t="n">
        <x:f>IF(H6692="","",H6692/1000000000)</x:f>
        <x:v>0.45</x:v>
      </x:c>
      <x:c r="R6692" s="13" t="n">
        <x:f>IF(I6692="","",I6692/1000000)</x:f>
        <x:v>0.45</x:v>
      </x:c>
    </x:row>
    <x:row r="6693" ht="21" customHeight="1">
      <x:c r="A6693" s="10" t="n">
        <x:v>8608</x:v>
      </x:c>
      <x:c r="B6693" s="2" t="str">
        <x:v>7127523905393eefd36c</x:v>
      </x:c>
      <x:c r="C6693" s="2" t="str">
        <x:v>Tp Hồ Chí Minh</x:v>
      </x:c>
      <x:c r="D6693" s="2" t="str">
        <x:v>Quận 6</x:v>
      </x:c>
      <x:c r="E6693" s="2" t="str">
        <x:v>house</x:v>
      </x:c>
      <x:c r="F6693" s="2" t="str">
        <x:v>sale</x:v>
      </x:c>
      <x:c r="G6693" s="11" t="n">
        <x:v>32</x:v>
      </x:c>
      <x:c r="H6693" s="12" t="n">
        <x:v>2680000000</x:v>
      </x:c>
      <x:c r="I6693" s="12" t="n">
        <x:v>83750000</x:v>
      </x:c>
      <x:c r="J6693" s="2" t="str">
        <x:v>total</x:v>
      </x:c>
      <x:c r="K6693" s="2" t="str">
        <x:v>top_level_area</x:v>
      </x:c>
      <x:c r="L6693" s="2" t="str">
        <x:v>property_type_inferred_from_title</x:v>
      </x:c>
      <x:c r="M6693" s="10" t="n">
        <x:v>0</x:v>
      </x:c>
      <x:c r="N6693" s="10" t="n">
        <x:v>0</x:v>
      </x:c>
      <x:c r="O6693" s="2" t="str">
        <x:v>Tp Hồ Chí Minh|house</x:v>
      </x:c>
      <x:c r="P6693" s="10" t="n">
        <x:v>2</x:v>
      </x:c>
      <x:c r="Q6693" s="13" t="n">
        <x:f>IF(H6693="","",H6693/1000000000)</x:f>
        <x:v>2.68</x:v>
      </x:c>
      <x:c r="R6693" s="13" t="n">
        <x:f>IF(I6693="","",I6693/1000000)</x:f>
        <x:v>83.75</x:v>
      </x:c>
    </x:row>
    <x:row r="6694" ht="21" customHeight="1">
      <x:c r="A6694" s="10" t="n">
        <x:v>8610</x:v>
      </x:c>
      <x:c r="B6694" s="2" t="str">
        <x:v>59f66d91a920582c48e9</x:v>
      </x:c>
      <x:c r="C6694" s="2" t="str">
        <x:v>Đà Nẵng</x:v>
      </x:c>
      <x:c r="D6694" s="2" t="str">
        <x:v>Quận Hải Châu</x:v>
      </x:c>
      <x:c r="E6694" s="2" t="str">
        <x:v>house</x:v>
      </x:c>
      <x:c r="F6694" s="2" t="str">
        <x:v>sale</x:v>
      </x:c>
      <x:c r="G6694" s="11" t="n">
        <x:v>590</x:v>
      </x:c>
      <x:c r="H6694" s="12" t="n">
        <x:v>12350000</x:v>
      </x:c>
      <x:c r="I6694" s="12" t="n">
        <x:v>20932.20338983051</x:v>
      </x:c>
      <x:c r="J6694" s="2" t="str">
        <x:v>total</x:v>
      </x:c>
      <x:c r="K6694" s="2" t="str">
        <x:v>top_level_area</x:v>
      </x:c>
      <x:c r="L6694" s="2" t="str">
        <x:v>property_type_inferred_from_title</x:v>
      </x:c>
      <x:c r="M6694" s="10" t="n">
        <x:v>0</x:v>
      </x:c>
      <x:c r="N6694" s="10" t="n">
        <x:v>0</x:v>
      </x:c>
      <x:c r="O6694" s="2" t="str">
        <x:v>Đà Nẵng|house</x:v>
      </x:c>
      <x:c r="P6694" s="10" t="n">
        <x:v>1</x:v>
      </x:c>
      <x:c r="Q6694" s="13" t="n">
        <x:f>IF(H6694="","",H6694/1000000000)</x:f>
        <x:v>0.01235</x:v>
      </x:c>
      <x:c r="R6694" s="13" t="n">
        <x:f>IF(I6694="","",I6694/1000000)</x:f>
        <x:v>0.020932203389830508</x:v>
      </x:c>
    </x:row>
    <x:row r="6695" ht="21" customHeight="1">
      <x:c r="A6695" s="10" t="n">
        <x:v>8611</x:v>
      </x:c>
      <x:c r="B6695" s="2" t="str">
        <x:v>de8143582dafdda1904d</x:v>
      </x:c>
      <x:c r="C6695" s="2" t="str">
        <x:v>Đắk Lắk</x:v>
      </x:c>
      <x:c r="D6695" s="2" t="str">
        <x:v>Thành phố Buôn Ma Thuột</x:v>
      </x:c>
      <x:c r="E6695" s="2" t="str">
        <x:v>house</x:v>
      </x:c>
      <x:c r="F6695" s="2" t="str">
        <x:v>sale_assumed</x:v>
      </x:c>
      <x:c r="G6695" s="11" t="n">
        <x:v>70</x:v>
      </x:c>
      <x:c r="H6695" s="12" t="n">
        <x:v>1590000000</x:v>
      </x:c>
      <x:c r="I6695" s="12" t="n">
        <x:v>22714285.714285713</x:v>
      </x:c>
      <x:c r="J6695" s="2" t="str">
        <x:v>total</x:v>
      </x:c>
      <x:c r="K6695" s="2" t="str">
        <x:v>top_level_area</x:v>
      </x:c>
      <x:c r="L6695" s="2" t="str">
        <x:v>property_type_inferred_from_title;transaction_assumed_sale_from_dataset_context</x:v>
      </x:c>
      <x:c r="M6695" s="10" t="n">
        <x:v>0</x:v>
      </x:c>
      <x:c r="N6695" s="10" t="n">
        <x:v>0</x:v>
      </x:c>
      <x:c r="O6695" s="2" t="str">
        <x:v>Đắk Lắk|house</x:v>
      </x:c>
      <x:c r="P6695" s="10" t="n">
        <x:v>2</x:v>
      </x:c>
      <x:c r="Q6695" s="13" t="n">
        <x:f>IF(H6695="","",H6695/1000000000)</x:f>
        <x:v>1.59</x:v>
      </x:c>
      <x:c r="R6695" s="13" t="n">
        <x:f>IF(I6695="","",I6695/1000000)</x:f>
        <x:v>22.71428571428571</x:v>
      </x:c>
    </x:row>
    <x:row r="6696" ht="21" customHeight="1">
      <x:c r="A6696" s="10" t="n">
        <x:v>8612</x:v>
      </x:c>
      <x:c r="B6696" s="2" t="str">
        <x:v>465deb784ea4c3b5b302</x:v>
      </x:c>
      <x:c r="C6696" s="2" t="str">
        <x:v>Cần Thơ</x:v>
      </x:c>
      <x:c r="D6696" s="2" t="str">
        <x:v>Quận Ninh Kiều</x:v>
      </x:c>
      <x:c r="E6696" s="2" t="str">
        <x:v>house</x:v>
      </x:c>
      <x:c r="F6696" s="2" t="str">
        <x:v>sale</x:v>
      </x:c>
      <x:c r="G6696" s="11" t="n">
        <x:v>40</x:v>
      </x:c>
      <x:c r="H6696" s="12" t="n">
        <x:v>2390000000</x:v>
      </x:c>
      <x:c r="I6696" s="12" t="n">
        <x:v>59750000</x:v>
      </x:c>
      <x:c r="J6696" s="2" t="str">
        <x:v>total</x:v>
      </x:c>
      <x:c r="K6696" s="2" t="str">
        <x:v>top_level_area</x:v>
      </x:c>
      <x:c r="L6696" s="2" t="str">
        <x:v>property_type_inferred_from_title</x:v>
      </x:c>
      <x:c r="M6696" s="10" t="n">
        <x:v>0</x:v>
      </x:c>
      <x:c r="N6696" s="10" t="n">
        <x:v>0</x:v>
      </x:c>
      <x:c r="O6696" s="2" t="str">
        <x:v>Cần Thơ|house</x:v>
      </x:c>
      <x:c r="P6696" s="10" t="n">
        <x:v>2</x:v>
      </x:c>
      <x:c r="Q6696" s="13" t="n">
        <x:f>IF(H6696="","",H6696/1000000000)</x:f>
        <x:v>2.39</x:v>
      </x:c>
      <x:c r="R6696" s="13" t="n">
        <x:f>IF(I6696="","",I6696/1000000)</x:f>
        <x:v>59.75</x:v>
      </x:c>
    </x:row>
    <x:row r="6697" ht="21" customHeight="1">
      <x:c r="A6697" s="10" t="n">
        <x:v>8613</x:v>
      </x:c>
      <x:c r="B6697" s="2" t="str">
        <x:v>2be25cf314854bf08f70</x:v>
      </x:c>
      <x:c r="C6697" s="2" t="str">
        <x:v>Tp Hồ Chí Minh</x:v>
      </x:c>
      <x:c r="D6697" s="2" t="str">
        <x:v>Huyện Hóc Môn</x:v>
      </x:c>
      <x:c r="E6697" s="2" t="str">
        <x:v>other_unknown</x:v>
      </x:c>
      <x:c r="F6697" s="2" t="str">
        <x:v>sale</x:v>
      </x:c>
      <x:c r="G6697" s="11" t="n">
        <x:v>500</x:v>
      </x:c>
      <x:c r="H6697" s="12" t="n">
        <x:v>300000000</x:v>
      </x:c>
      <x:c r="I6697" s="12" t="n">
        <x:v>600000</x:v>
      </x:c>
      <x:c r="J6697" s="2" t="str">
        <x:v>total</x:v>
      </x:c>
      <x:c r="K6697" s="2" t="str">
        <x:v>top_level_area</x:v>
      </x:c>
      <x:c r="L6697" s="2" t="str">
        <x:v>property_type_inferred_from_title;unknown_property_type</x:v>
      </x:c>
      <x:c r="M6697" s="10" t="n">
        <x:v>0</x:v>
      </x:c>
      <x:c r="N6697" s="10" t="n">
        <x:v>0</x:v>
      </x:c>
      <x:c r="O6697" s="2" t="str">
        <x:v>Tp Hồ Chí Minh|other_unknown</x:v>
      </x:c>
      <x:c r="P6697" s="10" t="n">
        <x:v>1</x:v>
      </x:c>
      <x:c r="Q6697" s="13" t="n">
        <x:f>IF(H6697="","",H6697/1000000000)</x:f>
        <x:v>0.3</x:v>
      </x:c>
      <x:c r="R6697" s="13" t="n">
        <x:f>IF(I6697="","",I6697/1000000)</x:f>
        <x:v>0.6</x:v>
      </x:c>
    </x:row>
    <x:row r="6698" ht="21" customHeight="1">
      <x:c r="A6698" s="10" t="n">
        <x:v>8614</x:v>
      </x:c>
      <x:c r="B6698" s="2" t="str">
        <x:v>d87b8f724796437cf8cb</x:v>
      </x:c>
      <x:c r="C6698" s="2" t="str">
        <x:v>Tp Hồ Chí Minh</x:v>
      </x:c>
      <x:c r="D6698" s="2" t="str">
        <x:v>Quận Tân Bình</x:v>
      </x:c>
      <x:c r="E6698" s="2" t="str">
        <x:v>apartment</x:v>
      </x:c>
      <x:c r="F6698" s="2" t="str">
        <x:v>sale_assumed</x:v>
      </x:c>
      <x:c r="G6698" s="11" t="n">
        <x:v>36</x:v>
      </x:c>
      <x:c r="H6698" s="12" t="n">
        <x:v>860000000</x:v>
      </x:c>
      <x:c r="I6698" s="12" t="n">
        <x:v>23888888.888888888</x:v>
      </x:c>
      <x:c r="J6698" s="2" t="str">
        <x:v>total</x:v>
      </x:c>
      <x:c r="K6698" s="2" t="str">
        <x:v>top_level_area</x:v>
      </x:c>
      <x:c r="L6698" s="2" t="str">
        <x:v>property_type_inferred_from_title;transaction_assumed_sale_from_dataset_context</x:v>
      </x:c>
      <x:c r="M6698" s="10" t="n">
        <x:v>0</x:v>
      </x:c>
      <x:c r="N6698" s="10" t="n">
        <x:v>0</x:v>
      </x:c>
      <x:c r="O6698" s="2" t="str">
        <x:v>Tp Hồ Chí Minh|apartment</x:v>
      </x:c>
      <x:c r="P6698" s="10" t="n">
        <x:v>2</x:v>
      </x:c>
      <x:c r="Q6698" s="13" t="n">
        <x:f>IF(H6698="","",H6698/1000000000)</x:f>
        <x:v>0.86</x:v>
      </x:c>
      <x:c r="R6698" s="13" t="n">
        <x:f>IF(I6698="","",I6698/1000000)</x:f>
        <x:v>23.88888888888889</x:v>
      </x:c>
    </x:row>
    <x:row r="6699" ht="21" customHeight="1">
      <x:c r="A6699" s="10" t="n">
        <x:v>8615</x:v>
      </x:c>
      <x:c r="B6699" s="2" t="str">
        <x:v>c9a01dc09e905e15feb4</x:v>
      </x:c>
      <x:c r="C6699" s="2" t="str">
        <x:v>Bình Dương</x:v>
      </x:c>
      <x:c r="D6699" s="2" t="str">
        <x:v>Thị xã Dĩ An</x:v>
      </x:c>
      <x:c r="E6699" s="2" t="str">
        <x:v>apartment</x:v>
      </x:c>
      <x:c r="F6699" s="2" t="str">
        <x:v>sale</x:v>
      </x:c>
      <x:c r="G6699" s="11" t="n">
        <x:v>49</x:v>
      </x:c>
      <x:c r="H6699" s="12" t="n">
        <x:v>1000000000</x:v>
      </x:c>
      <x:c r="I6699" s="12" t="n">
        <x:v>20408163.265306123</x:v>
      </x:c>
      <x:c r="J6699" s="2" t="str">
        <x:v>total</x:v>
      </x:c>
      <x:c r="K6699" s="2" t="str">
        <x:v>top_level_price_embedded_area</x:v>
      </x:c>
      <x:c r="L6699" s="2" t="str">
        <x:v>area_recovered_from_price_text;property_type_inferred_from_title</x:v>
      </x:c>
      <x:c r="M6699" s="10" t="n">
        <x:v>0</x:v>
      </x:c>
      <x:c r="N6699" s="10" t="n">
        <x:v>0</x:v>
      </x:c>
      <x:c r="O6699" s="2" t="str">
        <x:v>Bình Dương|apartment</x:v>
      </x:c>
      <x:c r="P6699" s="10" t="n">
        <x:v>2</x:v>
      </x:c>
      <x:c r="Q6699" s="13" t="n">
        <x:f>IF(H6699="","",H6699/1000000000)</x:f>
        <x:v>1</x:v>
      </x:c>
      <x:c r="R6699" s="13" t="n">
        <x:f>IF(I6699="","",I6699/1000000)</x:f>
        <x:v>20.408163265306122</x:v>
      </x:c>
    </x:row>
    <x:row r="6700" ht="21" customHeight="1">
      <x:c r="A6700" s="10" t="n">
        <x:v>8616</x:v>
      </x:c>
      <x:c r="B6700" s="2" t="str">
        <x:v>85c8523a8885a551b01c</x:v>
      </x:c>
      <x:c r="C6700" s="2" t="str">
        <x:v>Đà Nẵng</x:v>
      </x:c>
      <x:c r="D6700" s="2" t="str">
        <x:v>Quận Ngũ Hành Sơn</x:v>
      </x:c>
      <x:c r="E6700" s="2" t="str">
        <x:v>house</x:v>
      </x:c>
      <x:c r="F6700" s="2" t="str">
        <x:v>sale_assumed</x:v>
      </x:c>
      <x:c r="G6700" s="11" t="n">
        <x:v>315</x:v>
      </x:c>
      <x:c r="H6700" s="12" t="n">
        <x:v>11500000000</x:v>
      </x:c>
      <x:c r="I6700" s="12" t="n">
        <x:v>36507936.50793651</x:v>
      </x:c>
      <x:c r="J6700" s="2" t="str">
        <x:v>total</x:v>
      </x:c>
      <x:c r="K6700" s="2" t="str">
        <x:v>top_level_area</x:v>
      </x:c>
      <x:c r="L6700" s="2" t="str">
        <x:v>property_type_inferred_from_title;transaction_assumed_sale_from_dataset_context</x:v>
      </x:c>
      <x:c r="M6700" s="10" t="n">
        <x:v>0</x:v>
      </x:c>
      <x:c r="N6700" s="10" t="n">
        <x:v>0</x:v>
      </x:c>
      <x:c r="O6700" s="2" t="str">
        <x:v>Đà Nẵng|house</x:v>
      </x:c>
      <x:c r="P6700" s="10" t="n">
        <x:v>2</x:v>
      </x:c>
      <x:c r="Q6700" s="13" t="n">
        <x:f>IF(H6700="","",H6700/1000000000)</x:f>
        <x:v>11.5</x:v>
      </x:c>
      <x:c r="R6700" s="13" t="n">
        <x:f>IF(I6700="","",I6700/1000000)</x:f>
        <x:v>36.507936507936506</x:v>
      </x:c>
    </x:row>
    <x:row r="6701" ht="21" customHeight="1">
      <x:c r="A6701" s="10" t="n">
        <x:v>8617</x:v>
      </x:c>
      <x:c r="B6701" s="2" t="str">
        <x:v>34bb947d26e4b8d2b236</x:v>
      </x:c>
      <x:c r="C6701" s="2" t="str">
        <x:v>Hà Nội</x:v>
      </x:c>
      <x:c r="D6701" s="2" t="str">
        <x:v>Quận Hà Đông</x:v>
      </x:c>
      <x:c r="E6701" s="2" t="str">
        <x:v>house</x:v>
      </x:c>
      <x:c r="F6701" s="2" t="str">
        <x:v>sale_assumed</x:v>
      </x:c>
      <x:c r="G6701" s="11" t="n">
        <x:v>33.5</x:v>
      </x:c>
      <x:c r="H6701" s="12" t="n">
        <x:v>2352000000</x:v>
      </x:c>
      <x:c r="I6701" s="12" t="n">
        <x:v>70208955.2238806</x:v>
      </x:c>
      <x:c r="J6701" s="2" t="str">
        <x:v>total</x:v>
      </x:c>
      <x:c r="K6701" s="2" t="str">
        <x:v>top_level_area</x:v>
      </x:c>
      <x:c r="L6701" s="2" t="str">
        <x:v>property_type_inferred_from_title;transaction_assumed_sale_from_dataset_context</x:v>
      </x:c>
      <x:c r="M6701" s="10" t="n">
        <x:v>0</x:v>
      </x:c>
      <x:c r="N6701" s="10" t="n">
        <x:v>0</x:v>
      </x:c>
      <x:c r="O6701" s="2" t="str">
        <x:v>Hà Nội|house</x:v>
      </x:c>
      <x:c r="P6701" s="10" t="n">
        <x:v>2</x:v>
      </x:c>
      <x:c r="Q6701" s="13" t="n">
        <x:f>IF(H6701="","",H6701/1000000000)</x:f>
        <x:v>2.352</x:v>
      </x:c>
      <x:c r="R6701" s="13" t="n">
        <x:f>IF(I6701="","",I6701/1000000)</x:f>
        <x:v>70.20895522388061</x:v>
      </x:c>
    </x:row>
    <x:row r="6702" ht="21" customHeight="1">
      <x:c r="A6702" s="10" t="n">
        <x:v>8618</x:v>
      </x:c>
      <x:c r="B6702" s="2" t="str">
        <x:v>843a2c35c92fdeb9fb1c</x:v>
      </x:c>
      <x:c r="C6702" s="2" t="str">
        <x:v>Tp Hồ Chí Minh</x:v>
      </x:c>
      <x:c r="D6702" s="2" t="str">
        <x:v>Quận 7</x:v>
      </x:c>
      <x:c r="E6702" s="2" t="str">
        <x:v>other_unknown</x:v>
      </x:c>
      <x:c r="F6702" s="2" t="str">
        <x:v>sale</x:v>
      </x:c>
      <x:c r="G6702" s="11" t="n">
        <x:v>50</x:v>
      </x:c>
      <x:c r="H6702" s="12" t="n">
        <x:v>1500000000</x:v>
      </x:c>
      <x:c r="I6702" s="12" t="n">
        <x:v>30000000</x:v>
      </x:c>
      <x:c r="J6702" s="2" t="str">
        <x:v>total</x:v>
      </x:c>
      <x:c r="K6702" s="2" t="str">
        <x:v>top_level_area</x:v>
      </x:c>
      <x:c r="L6702" s="2" t="str">
        <x:v>property_type_inferred_from_title;unknown_property_type</x:v>
      </x:c>
      <x:c r="M6702" s="10" t="n">
        <x:v>0</x:v>
      </x:c>
      <x:c r="N6702" s="10" t="n">
        <x:v>0</x:v>
      </x:c>
      <x:c r="O6702" s="2" t="str">
        <x:v>Tp Hồ Chí Minh|other_unknown</x:v>
      </x:c>
      <x:c r="P6702" s="10" t="n">
        <x:v>2</x:v>
      </x:c>
      <x:c r="Q6702" s="13" t="n">
        <x:f>IF(H6702="","",H6702/1000000000)</x:f>
        <x:v>1.5</x:v>
      </x:c>
      <x:c r="R6702" s="13" t="n">
        <x:f>IF(I6702="","",I6702/1000000)</x:f>
        <x:v>30</x:v>
      </x:c>
    </x:row>
    <x:row r="6703" ht="21" customHeight="1">
      <x:c r="A6703" s="10" t="n">
        <x:v>8619</x:v>
      </x:c>
      <x:c r="B6703" s="2" t="str">
        <x:v>cf2f11b150bdf03ad814</x:v>
      </x:c>
      <x:c r="C6703" s="2" t="str">
        <x:v>Thừa Thiên Huế</x:v>
      </x:c>
      <x:c r="D6703" s="2" t="str">
        <x:v>Thị xã Hương Thủy</x:v>
      </x:c>
      <x:c r="E6703" s="2" t="str">
        <x:v>land</x:v>
      </x:c>
      <x:c r="F6703" s="2" t="str">
        <x:v>sale</x:v>
      </x:c>
      <x:c r="G6703" s="11" t="n">
        <x:v>250.1</x:v>
      </x:c>
      <x:c r="H6703" s="12" t="n">
        <x:v>1600000000</x:v>
      </x:c>
      <x:c r="I6703" s="12" t="n">
        <x:v>6397441.023590564</x:v>
      </x:c>
      <x:c r="J6703" s="2" t="str">
        <x:v>total</x:v>
      </x:c>
      <x:c r="K6703" s="2" t="str">
        <x:v>top_level_area</x:v>
      </x:c>
      <x:c r="L6703" s="2" t="str">
        <x:v>property_type_inferred_from_title</x:v>
      </x:c>
      <x:c r="M6703" s="10" t="n">
        <x:v>0</x:v>
      </x:c>
      <x:c r="N6703" s="10" t="n">
        <x:v>0</x:v>
      </x:c>
      <x:c r="O6703" s="2" t="str">
        <x:v>land</x:v>
      </x:c>
      <x:c r="P6703" s="10" t="n">
        <x:v>1</x:v>
      </x:c>
      <x:c r="Q6703" s="13" t="n">
        <x:f>IF(H6703="","",H6703/1000000000)</x:f>
        <x:v>1.6</x:v>
      </x:c>
      <x:c r="R6703" s="13" t="n">
        <x:f>IF(I6703="","",I6703/1000000)</x:f>
        <x:v>6.397441023590564</x:v>
      </x:c>
    </x:row>
    <x:row r="6704" ht="21" customHeight="1">
      <x:c r="A6704" s="10" t="n">
        <x:v>8624</x:v>
      </x:c>
      <x:c r="B6704" s="2" t="str">
        <x:v>8f1c7231df8b70b5ddd4</x:v>
      </x:c>
      <x:c r="C6704" s="2" t="str">
        <x:v>Đà Nẵng</x:v>
      </x:c>
      <x:c r="D6704" s="2" t="str">
        <x:v>Quận Ngũ Hành Sơn</x:v>
      </x:c>
      <x:c r="E6704" s="2" t="str">
        <x:v>other_unknown</x:v>
      </x:c>
      <x:c r="F6704" s="2" t="str">
        <x:v>sale_assumed</x:v>
      </x:c>
      <x:c r="G6704" s="11" t="n">
        <x:v>69</x:v>
      </x:c>
      <x:c r="H6704" s="12" t="n">
        <x:v>3750000000</x:v>
      </x:c>
      <x:c r="I6704" s="12" t="n">
        <x:v>54347826.08695652</x:v>
      </x:c>
      <x:c r="J6704" s="2" t="str">
        <x:v>total</x:v>
      </x:c>
      <x:c r="K6704" s="2" t="str">
        <x:v>top_level_area</x:v>
      </x:c>
      <x:c r="L6704" s="2" t="str">
        <x:v>property_type_inferred_from_title;transaction_assumed_sale_from_dataset_context;unknown_property_type</x:v>
      </x:c>
      <x:c r="M6704" s="10" t="n">
        <x:v>0</x:v>
      </x:c>
      <x:c r="N6704" s="10" t="n">
        <x:v>0</x:v>
      </x:c>
      <x:c r="O6704" s="2" t="str">
        <x:v>Đà Nẵng|other_unknown</x:v>
      </x:c>
      <x:c r="P6704" s="10" t="n">
        <x:v>2</x:v>
      </x:c>
      <x:c r="Q6704" s="13" t="n">
        <x:f>IF(H6704="","",H6704/1000000000)</x:f>
        <x:v>3.75</x:v>
      </x:c>
      <x:c r="R6704" s="13" t="n">
        <x:f>IF(I6704="","",I6704/1000000)</x:f>
        <x:v>54.34782608695652</x:v>
      </x:c>
    </x:row>
    <x:row r="6705" ht="21" customHeight="1">
      <x:c r="A6705" s="10" t="n">
        <x:v>8625</x:v>
      </x:c>
      <x:c r="B6705" s="2" t="str">
        <x:v>504155497fe0d8fcdf31</x:v>
      </x:c>
      <x:c r="C6705" s="2" t="str">
        <x:v>Bình Dương</x:v>
      </x:c>
      <x:c r="D6705" s="2" t="str">
        <x:v>Thị xã Thuận An</x:v>
      </x:c>
      <x:c r="E6705" s="2" t="str">
        <x:v>apartment</x:v>
      </x:c>
      <x:c r="F6705" s="2" t="str">
        <x:v>sale_assumed</x:v>
      </x:c>
      <x:c r="G6705" s="11" t="n">
        <x:v>71</x:v>
      </x:c>
      <x:c r="H6705" s="12" t="n">
        <x:v>700000000</x:v>
      </x:c>
      <x:c r="I6705" s="12" t="n">
        <x:v>9859154.929577464</x:v>
      </x:c>
      <x:c r="J6705" s="2" t="str">
        <x:v>total</x:v>
      </x:c>
      <x:c r="K6705" s="2" t="str">
        <x:v>top_level_area</x:v>
      </x:c>
      <x:c r="L6705" s="2" t="str">
        <x:v>property_type_inferred_from_title;transaction_assumed_sale_from_dataset_context</x:v>
      </x:c>
      <x:c r="M6705" s="10" t="n">
        <x:v>0</x:v>
      </x:c>
      <x:c r="N6705" s="10" t="n">
        <x:v>0</x:v>
      </x:c>
      <x:c r="O6705" s="2" t="str">
        <x:v>Bình Dương|apartment</x:v>
      </x:c>
      <x:c r="P6705" s="10" t="n">
        <x:v>2</x:v>
      </x:c>
      <x:c r="Q6705" s="13" t="n">
        <x:f>IF(H6705="","",H6705/1000000000)</x:f>
        <x:v>0.7</x:v>
      </x:c>
      <x:c r="R6705" s="13" t="n">
        <x:f>IF(I6705="","",I6705/1000000)</x:f>
        <x:v>9.859154929577464</x:v>
      </x:c>
    </x:row>
    <x:row r="6706" ht="21" customHeight="1">
      <x:c r="A6706" s="10" t="n">
        <x:v>8626</x:v>
      </x:c>
      <x:c r="B6706" s="2" t="str">
        <x:v>abc093bd59534ddc1d49</x:v>
      </x:c>
      <x:c r="C6706" s="2" t="str">
        <x:v>Hà Nội</x:v>
      </x:c>
      <x:c r="D6706" s="2" t="str">
        <x:v>Quận Đống Đa</x:v>
      </x:c>
      <x:c r="E6706" s="2" t="str">
        <x:v>other_unknown</x:v>
      </x:c>
      <x:c r="F6706" s="2" t="str">
        <x:v>sale_assumed</x:v>
      </x:c>
      <x:c r="G6706" s="11" t="n">
        <x:v>85</x:v>
      </x:c>
      <x:c r="H6706" s="12" t="n">
        <x:v>10500000000</x:v>
      </x:c>
      <x:c r="I6706" s="12" t="n">
        <x:v>123529411.76470588</x:v>
      </x:c>
      <x:c r="J6706" s="2" t="str">
        <x:v>total</x:v>
      </x:c>
      <x:c r="K6706" s="2" t="str">
        <x:v>top_level_area</x:v>
      </x:c>
      <x:c r="L6706" s="2" t="str">
        <x:v>property_type_inferred_from_title;transaction_assumed_sale_from_dataset_context;unknown_property_type</x:v>
      </x:c>
      <x:c r="M6706" s="10" t="n">
        <x:v>0</x:v>
      </x:c>
      <x:c r="N6706" s="10" t="n">
        <x:v>0</x:v>
      </x:c>
      <x:c r="O6706" s="2" t="str">
        <x:v>Hà Nội|other_unknown</x:v>
      </x:c>
      <x:c r="P6706" s="10" t="n">
        <x:v>2</x:v>
      </x:c>
      <x:c r="Q6706" s="13" t="n">
        <x:f>IF(H6706="","",H6706/1000000000)</x:f>
        <x:v>10.5</x:v>
      </x:c>
      <x:c r="R6706" s="13" t="n">
        <x:f>IF(I6706="","",I6706/1000000)</x:f>
        <x:v>123.52941176470588</x:v>
      </x:c>
    </x:row>
    <x:row r="6707" ht="21" customHeight="1">
      <x:c r="A6707" s="10" t="n">
        <x:v>8628</x:v>
      </x:c>
      <x:c r="B6707" s="2" t="str">
        <x:v>0e5b96a87e1b3c5cebf7</x:v>
      </x:c>
      <x:c r="C6707" s="2" t="str">
        <x:v>Tp Hồ Chí Minh</x:v>
      </x:c>
      <x:c r="D6707" s="2" t="str">
        <x:v>Quận 4</x:v>
      </x:c>
      <x:c r="E6707" s="2" t="str">
        <x:v>house</x:v>
      </x:c>
      <x:c r="F6707" s="2" t="str">
        <x:v>sale</x:v>
      </x:c>
      <x:c r="G6707" s="11" t="n">
        <x:v>17</x:v>
      </x:c>
      <x:c r="H6707" s="12" t="n">
        <x:v>1650000000</x:v>
      </x:c>
      <x:c r="I6707" s="12" t="n">
        <x:v>97058823.52941176</x:v>
      </x:c>
      <x:c r="J6707" s="2" t="str">
        <x:v>total</x:v>
      </x:c>
      <x:c r="K6707" s="2" t="str">
        <x:v>top_level_area</x:v>
      </x:c>
      <x:c r="L6707" s="2" t="str">
        <x:v>property_type_inferred_from_title</x:v>
      </x:c>
      <x:c r="M6707" s="10" t="n">
        <x:v>0</x:v>
      </x:c>
      <x:c r="N6707" s="10" t="n">
        <x:v>0</x:v>
      </x:c>
      <x:c r="O6707" s="2" t="str">
        <x:v>Tp Hồ Chí Minh|house</x:v>
      </x:c>
      <x:c r="P6707" s="10" t="n">
        <x:v>2</x:v>
      </x:c>
      <x:c r="Q6707" s="13" t="n">
        <x:f>IF(H6707="","",H6707/1000000000)</x:f>
        <x:v>1.65</x:v>
      </x:c>
      <x:c r="R6707" s="13" t="n">
        <x:f>IF(I6707="","",I6707/1000000)</x:f>
        <x:v>97.05882352941177</x:v>
      </x:c>
    </x:row>
    <x:row r="6708" ht="21" customHeight="1">
      <x:c r="A6708" s="10" t="n">
        <x:v>8629</x:v>
      </x:c>
      <x:c r="B6708" s="2" t="str">
        <x:v>acd292e5d443998d9642</x:v>
      </x:c>
      <x:c r="C6708" s="2" t="str">
        <x:v>Đà Nẵng</x:v>
      </x:c>
      <x:c r="D6708" s="2" t="str">
        <x:v>Quận Ngũ Hành Sơn</x:v>
      </x:c>
      <x:c r="E6708" s="2" t="str">
        <x:v>other_unknown</x:v>
      </x:c>
      <x:c r="F6708" s="2" t="str">
        <x:v>sale</x:v>
      </x:c>
      <x:c r="G6708" s="11" t="n">
        <x:v>90</x:v>
      </x:c>
      <x:c r="H6708" s="12" t="n">
        <x:v>21000000000</x:v>
      </x:c>
      <x:c r="I6708" s="12" t="n">
        <x:v>233333333.33333334</x:v>
      </x:c>
      <x:c r="J6708" s="2" t="str">
        <x:v>total</x:v>
      </x:c>
      <x:c r="K6708" s="2" t="str">
        <x:v>top_level_area</x:v>
      </x:c>
      <x:c r="L6708" s="2" t="str">
        <x:v>property_type_inferred_from_title;unknown_property_type</x:v>
      </x:c>
      <x:c r="M6708" s="10" t="n">
        <x:v>1</x:v>
      </x:c>
      <x:c r="N6708" s="10" t="n">
        <x:v>1</x:v>
      </x:c>
      <x:c r="O6708" s="2" t="str">
        <x:v>Đà Nẵng|other_unknown</x:v>
      </x:c>
      <x:c r="P6708" s="10" t="n">
        <x:v>-1</x:v>
      </x:c>
      <x:c r="Q6708" s="13" t="n">
        <x:f>IF(H6708="","",H6708/1000000000)</x:f>
        <x:v>21</x:v>
      </x:c>
      <x:c r="R6708" s="13" t="n">
        <x:f>IF(I6708="","",I6708/1000000)</x:f>
        <x:v>233.33333333333334</x:v>
      </x:c>
    </x:row>
    <x:row r="6709" ht="21" customHeight="1">
      <x:c r="A6709" s="10" t="n">
        <x:v>8630</x:v>
      </x:c>
      <x:c r="B6709" s="2" t="str">
        <x:v>600f154efa422d74397a</x:v>
      </x:c>
      <x:c r="C6709" s="2" t="str">
        <x:v>Chưa xác định</x:v>
      </x:c>
      <x:c r="D6709" s="2" t="str">
        <x:v>Chưa xác định</x:v>
      </x:c>
      <x:c r="E6709" s="2" t="str">
        <x:v>land</x:v>
      </x:c>
      <x:c r="F6709" s="2" t="str">
        <x:v>sale</x:v>
      </x:c>
      <x:c r="G6709" s="11" t="n">
        <x:v>94</x:v>
      </x:c>
      <x:c r="H6709" s="12" t="n">
        <x:v>950000000</x:v>
      </x:c>
      <x:c r="I6709" s="12" t="n">
        <x:v>10106382.978723405</x:v>
      </x:c>
      <x:c r="J6709" s="2" t="str">
        <x:v>total</x:v>
      </x:c>
      <x:c r="K6709" s="2" t="str">
        <x:v>top_level_area</x:v>
      </x:c>
      <x:c r="L6709" s="2" t="str">
        <x:v>property_type_inferred_from_title;unknown_district;unknown_province</x:v>
      </x:c>
      <x:c r="M6709" s="10" t="n">
        <x:v>0</x:v>
      </x:c>
      <x:c r="N6709" s="10" t="n">
        <x:v>0</x:v>
      </x:c>
      <x:c r="O6709" s="2" t="str">
        <x:v>land</x:v>
      </x:c>
      <x:c r="P6709" s="10" t="n">
        <x:v>2</x:v>
      </x:c>
      <x:c r="Q6709" s="13" t="n">
        <x:f>IF(H6709="","",H6709/1000000000)</x:f>
        <x:v>0.95</x:v>
      </x:c>
      <x:c r="R6709" s="13" t="n">
        <x:f>IF(I6709="","",I6709/1000000)</x:f>
        <x:v>10.106382978723405</x:v>
      </x:c>
    </x:row>
    <x:row r="6710" ht="21" customHeight="1">
      <x:c r="A6710" s="10" t="n">
        <x:v>8631</x:v>
      </x:c>
      <x:c r="B6710" s="2" t="str">
        <x:v>7716acf084759168efab</x:v>
      </x:c>
      <x:c r="C6710" s="2" t="str">
        <x:v>Đắk Lắk</x:v>
      </x:c>
      <x:c r="D6710" s="2" t="str">
        <x:v>Thành phố Buôn Ma Thuột</x:v>
      </x:c>
      <x:c r="E6710" s="2" t="str">
        <x:v>land</x:v>
      </x:c>
      <x:c r="F6710" s="2" t="str">
        <x:v>sale</x:v>
      </x:c>
      <x:c r="G6710" s="11" t="n">
        <x:v>100</x:v>
      </x:c>
      <x:c r="H6710" s="12" t="n">
        <x:v>850000000</x:v>
      </x:c>
      <x:c r="I6710" s="12" t="n">
        <x:v>8500000</x:v>
      </x:c>
      <x:c r="J6710" s="2" t="str">
        <x:v>total</x:v>
      </x:c>
      <x:c r="K6710" s="2" t="str">
        <x:v>top_level_area</x:v>
      </x:c>
      <x:c r="L6710" s="2" t="str">
        <x:v>property_type_inferred_from_title</x:v>
      </x:c>
      <x:c r="M6710" s="10" t="n">
        <x:v>0</x:v>
      </x:c>
      <x:c r="N6710" s="10" t="n">
        <x:v>0</x:v>
      </x:c>
      <x:c r="O6710" s="2" t="str">
        <x:v>Đắk Lắk|land</x:v>
      </x:c>
      <x:c r="P6710" s="10" t="n">
        <x:v>2</x:v>
      </x:c>
      <x:c r="Q6710" s="13" t="n">
        <x:f>IF(H6710="","",H6710/1000000000)</x:f>
        <x:v>0.85</x:v>
      </x:c>
      <x:c r="R6710" s="13" t="n">
        <x:f>IF(I6710="","",I6710/1000000)</x:f>
        <x:v>8.5</x:v>
      </x:c>
    </x:row>
    <x:row r="6711" ht="21" customHeight="1">
      <x:c r="A6711" s="10" t="n">
        <x:v>8633</x:v>
      </x:c>
      <x:c r="B6711" s="2" t="str">
        <x:v>5305b79b8da1ba11a03e</x:v>
      </x:c>
      <x:c r="C6711" s="2" t="str">
        <x:v>Hà Nội</x:v>
      </x:c>
      <x:c r="D6711" s="2" t="str">
        <x:v>Huyện Gia Lâm</x:v>
      </x:c>
      <x:c r="E6711" s="2" t="str">
        <x:v>house</x:v>
      </x:c>
      <x:c r="F6711" s="2" t="str">
        <x:v>sale</x:v>
      </x:c>
      <x:c r="G6711" s="11" t="n">
        <x:v>52</x:v>
      </x:c>
      <x:c r="H6711" s="12" t="n">
        <x:v>1664000000</x:v>
      </x:c>
      <x:c r="I6711" s="12" t="n">
        <x:v>32000000</x:v>
      </x:c>
      <x:c r="J6711" s="2" t="str">
        <x:v>total</x:v>
      </x:c>
      <x:c r="K6711" s="2" t="str">
        <x:v>top_level_area</x:v>
      </x:c>
      <x:c r="L6711" s="2" t="str">
        <x:v>property_type_inferred_from_title</x:v>
      </x:c>
      <x:c r="M6711" s="10" t="n">
        <x:v>0</x:v>
      </x:c>
      <x:c r="N6711" s="10" t="n">
        <x:v>0</x:v>
      </x:c>
      <x:c r="O6711" s="2" t="str">
        <x:v>Hà Nội|house</x:v>
      </x:c>
      <x:c r="P6711" s="10" t="n">
        <x:v>2</x:v>
      </x:c>
      <x:c r="Q6711" s="13" t="n">
        <x:f>IF(H6711="","",H6711/1000000000)</x:f>
        <x:v>1.664</x:v>
      </x:c>
      <x:c r="R6711" s="13" t="n">
        <x:f>IF(I6711="","",I6711/1000000)</x:f>
        <x:v>32</x:v>
      </x:c>
    </x:row>
    <x:row r="6712" ht="21" customHeight="1">
      <x:c r="A6712" s="10" t="n">
        <x:v>8634</x:v>
      </x:c>
      <x:c r="B6712" s="2" t="str">
        <x:v>d488c236fda679bba2c9</x:v>
      </x:c>
      <x:c r="C6712" s="2" t="str">
        <x:v>Đà Nẵng</x:v>
      </x:c>
      <x:c r="D6712" s="2" t="str">
        <x:v>Quận Ngũ Hành Sơn</x:v>
      </x:c>
      <x:c r="E6712" s="2" t="str">
        <x:v>house</x:v>
      </x:c>
      <x:c r="F6712" s="2" t="str">
        <x:v>sale</x:v>
      </x:c>
      <x:c r="G6712" s="11" t="n">
        <x:v>57</x:v>
      </x:c>
      <x:c r="H6712" s="12" t="n">
        <x:v>5500000000</x:v>
      </x:c>
      <x:c r="I6712" s="12" t="n">
        <x:v>96491228.07017544</x:v>
      </x:c>
      <x:c r="J6712" s="2" t="str">
        <x:v>total</x:v>
      </x:c>
      <x:c r="K6712" s="2" t="str">
        <x:v>top_level_area</x:v>
      </x:c>
      <x:c r="L6712" s="2" t="str">
        <x:v>property_type_inferred_from_title</x:v>
      </x:c>
      <x:c r="M6712" s="10" t="n">
        <x:v>0</x:v>
      </x:c>
      <x:c r="N6712" s="10" t="n">
        <x:v>0</x:v>
      </x:c>
      <x:c r="O6712" s="2" t="str">
        <x:v>Đà Nẵng|house</x:v>
      </x:c>
      <x:c r="P6712" s="10" t="n">
        <x:v>2</x:v>
      </x:c>
      <x:c r="Q6712" s="13" t="n">
        <x:f>IF(H6712="","",H6712/1000000000)</x:f>
        <x:v>5.5</x:v>
      </x:c>
      <x:c r="R6712" s="13" t="n">
        <x:f>IF(I6712="","",I6712/1000000)</x:f>
        <x:v>96.49122807017544</x:v>
      </x:c>
    </x:row>
    <x:row r="6713" ht="21" customHeight="1">
      <x:c r="A6713" s="10" t="n">
        <x:v>8635</x:v>
      </x:c>
      <x:c r="B6713" s="2" t="str">
        <x:v>dca1d777b9b47648005b</x:v>
      </x:c>
      <x:c r="C6713" s="2" t="str">
        <x:v>Bắc Ninh</x:v>
      </x:c>
      <x:c r="D6713" s="2" t="str">
        <x:v>Thị xã Từ Sơn</x:v>
      </x:c>
      <x:c r="E6713" s="2" t="str">
        <x:v>land</x:v>
      </x:c>
      <x:c r="F6713" s="2" t="str">
        <x:v>sale</x:v>
      </x:c>
      <x:c r="G6713" s="11" t="n">
        <x:v>110</x:v>
      </x:c>
      <x:c r="H6713" s="12" t="n">
        <x:v>3080000000</x:v>
      </x:c>
      <x:c r="I6713" s="12" t="n">
        <x:v>28000000</x:v>
      </x:c>
      <x:c r="J6713" s="2" t="str">
        <x:v>total</x:v>
      </x:c>
      <x:c r="K6713" s="2" t="str">
        <x:v>top_level_area</x:v>
      </x:c>
      <x:c r="L6713" s="2" t="str">
        <x:v>property_type_inferred_from_title</x:v>
      </x:c>
      <x:c r="M6713" s="10" t="n">
        <x:v>0</x:v>
      </x:c>
      <x:c r="N6713" s="10" t="n">
        <x:v>0</x:v>
      </x:c>
      <x:c r="O6713" s="2" t="str">
        <x:v>land</x:v>
      </x:c>
      <x:c r="P6713" s="10" t="n">
        <x:v>2</x:v>
      </x:c>
      <x:c r="Q6713" s="13" t="n">
        <x:f>IF(H6713="","",H6713/1000000000)</x:f>
        <x:v>3.08</x:v>
      </x:c>
      <x:c r="R6713" s="13" t="n">
        <x:f>IF(I6713="","",I6713/1000000)</x:f>
        <x:v>28</x:v>
      </x:c>
    </x:row>
    <x:row r="6714" ht="21" customHeight="1">
      <x:c r="A6714" s="10" t="n">
        <x:v>8636</x:v>
      </x:c>
      <x:c r="B6714" s="2" t="str">
        <x:v>6966a3b1d6982bd79d4b</x:v>
      </x:c>
      <x:c r="C6714" s="2" t="str">
        <x:v>Hà Nội</x:v>
      </x:c>
      <x:c r="D6714" s="2" t="str">
        <x:v>Quận Long Biên</x:v>
      </x:c>
      <x:c r="E6714" s="2" t="str">
        <x:v>land</x:v>
      </x:c>
      <x:c r="F6714" s="2" t="str">
        <x:v>sale</x:v>
      </x:c>
      <x:c r="G6714" s="11" t="n">
        <x:v>30</x:v>
      </x:c>
      <x:c r="H6714" s="12" t="n">
        <x:v>1550000000</x:v>
      </x:c>
      <x:c r="I6714" s="12" t="n">
        <x:v>51666666.666666664</x:v>
      </x:c>
      <x:c r="J6714" s="2" t="str">
        <x:v>total</x:v>
      </x:c>
      <x:c r="K6714" s="2" t="str">
        <x:v>top_level_area</x:v>
      </x:c>
      <x:c r="L6714" s="2" t="str">
        <x:v>property_type_inferred_from_title</x:v>
      </x:c>
      <x:c r="M6714" s="10" t="n">
        <x:v>0</x:v>
      </x:c>
      <x:c r="N6714" s="10" t="n">
        <x:v>0</x:v>
      </x:c>
      <x:c r="O6714" s="2" t="str">
        <x:v>Hà Nội|land</x:v>
      </x:c>
      <x:c r="P6714" s="10" t="n">
        <x:v>2</x:v>
      </x:c>
      <x:c r="Q6714" s="13" t="n">
        <x:f>IF(H6714="","",H6714/1000000000)</x:f>
        <x:v>1.55</x:v>
      </x:c>
      <x:c r="R6714" s="13" t="n">
        <x:f>IF(I6714="","",I6714/1000000)</x:f>
        <x:v>51.666666666666664</x:v>
      </x:c>
    </x:row>
    <x:row r="6715" ht="21" customHeight="1">
      <x:c r="A6715" s="10" t="n">
        <x:v>8637</x:v>
      </x:c>
      <x:c r="B6715" s="2" t="str">
        <x:v>9aadc4dc2242293764a8</x:v>
      </x:c>
      <x:c r="C6715" s="2" t="str">
        <x:v>Cần Thơ</x:v>
      </x:c>
      <x:c r="D6715" s="2" t="str">
        <x:v>Quận Ninh Kiều</x:v>
      </x:c>
      <x:c r="E6715" s="2" t="str">
        <x:v>house</x:v>
      </x:c>
      <x:c r="F6715" s="2" t="str">
        <x:v>sale_assumed</x:v>
      </x:c>
      <x:c r="G6715" s="11" t="n">
        <x:v>64</x:v>
      </x:c>
      <x:c r="H6715" s="12" t="n">
        <x:v>2890000000</x:v>
      </x:c>
      <x:c r="I6715" s="12" t="n">
        <x:v>45156250</x:v>
      </x:c>
      <x:c r="J6715" s="2" t="str">
        <x:v>total</x:v>
      </x:c>
      <x:c r="K6715" s="2" t="str">
        <x:v>top_level_area</x:v>
      </x:c>
      <x:c r="L6715" s="2" t="str">
        <x:v>property_type_inferred_from_title;transaction_assumed_sale_from_dataset_context</x:v>
      </x:c>
      <x:c r="M6715" s="10" t="n">
        <x:v>0</x:v>
      </x:c>
      <x:c r="N6715" s="10" t="n">
        <x:v>0</x:v>
      </x:c>
      <x:c r="O6715" s="2" t="str">
        <x:v>Cần Thơ|house</x:v>
      </x:c>
      <x:c r="P6715" s="10" t="n">
        <x:v>2</x:v>
      </x:c>
      <x:c r="Q6715" s="13" t="n">
        <x:f>IF(H6715="","",H6715/1000000000)</x:f>
        <x:v>2.89</x:v>
      </x:c>
      <x:c r="R6715" s="13" t="n">
        <x:f>IF(I6715="","",I6715/1000000)</x:f>
        <x:v>45.15625</x:v>
      </x:c>
    </x:row>
    <x:row r="6716" ht="21" customHeight="1">
      <x:c r="A6716" s="10" t="n">
        <x:v>8638</x:v>
      </x:c>
      <x:c r="B6716" s="2" t="str">
        <x:v>029e730ccf39b1eaf6b0</x:v>
      </x:c>
      <x:c r="C6716" s="2" t="str">
        <x:v>Hà Nội</x:v>
      </x:c>
      <x:c r="D6716" s="2" t="str">
        <x:v>Huyện Thanh Trì</x:v>
      </x:c>
      <x:c r="E6716" s="2" t="str">
        <x:v>house</x:v>
      </x:c>
      <x:c r="F6716" s="2" t="str">
        <x:v>sale_assumed</x:v>
      </x:c>
      <x:c r="G6716" s="11" t="n">
        <x:v>30</x:v>
      </x:c>
      <x:c r="H6716" s="12" t="n">
        <x:v>1950000000</x:v>
      </x:c>
      <x:c r="I6716" s="12" t="n">
        <x:v>65000000</x:v>
      </x:c>
      <x:c r="J6716" s="2" t="str">
        <x:v>total</x:v>
      </x:c>
      <x:c r="K6716" s="2" t="str">
        <x:v>top_level_area</x:v>
      </x:c>
      <x:c r="L6716" s="2" t="str">
        <x:v>property_type_inferred_from_title;transaction_assumed_sale_from_dataset_context</x:v>
      </x:c>
      <x:c r="M6716" s="10" t="n">
        <x:v>0</x:v>
      </x:c>
      <x:c r="N6716" s="10" t="n">
        <x:v>0</x:v>
      </x:c>
      <x:c r="O6716" s="2" t="str">
        <x:v>Hà Nội|house</x:v>
      </x:c>
      <x:c r="P6716" s="10" t="n">
        <x:v>2</x:v>
      </x:c>
      <x:c r="Q6716" s="13" t="n">
        <x:f>IF(H6716="","",H6716/1000000000)</x:f>
        <x:v>1.95</x:v>
      </x:c>
      <x:c r="R6716" s="13" t="n">
        <x:f>IF(I6716="","",I6716/1000000)</x:f>
        <x:v>65</x:v>
      </x:c>
    </x:row>
    <x:row r="6717" ht="21" customHeight="1">
      <x:c r="A6717" s="10" t="n">
        <x:v>8639</x:v>
      </x:c>
      <x:c r="B6717" s="2" t="str">
        <x:v>1da82e5bc7ee9ef7a211</x:v>
      </x:c>
      <x:c r="C6717" s="2" t="str">
        <x:v>Long An</x:v>
      </x:c>
      <x:c r="D6717" s="2" t="str">
        <x:v>Huyện Bến Lức</x:v>
      </x:c>
      <x:c r="E6717" s="2" t="str">
        <x:v>land</x:v>
      </x:c>
      <x:c r="F6717" s="2" t="str">
        <x:v>sale_assumed</x:v>
      </x:c>
      <x:c r="G6717" s="11" t="n">
        <x:v>100</x:v>
      </x:c>
      <x:c r="H6717" s="12" t="n">
        <x:v>549000000</x:v>
      </x:c>
      <x:c r="I6717" s="12" t="n">
        <x:v>5490000</x:v>
      </x:c>
      <x:c r="J6717" s="2" t="str">
        <x:v>total</x:v>
      </x:c>
      <x:c r="K6717" s="2" t="str">
        <x:v>top_level_area</x:v>
      </x:c>
      <x:c r="L6717" s="2" t="str">
        <x:v>property_type_inferred_from_title;transaction_assumed_sale_from_dataset_context</x:v>
      </x:c>
      <x:c r="M6717" s="10" t="n">
        <x:v>0</x:v>
      </x:c>
      <x:c r="N6717" s="10" t="n">
        <x:v>0</x:v>
      </x:c>
      <x:c r="O6717" s="2" t="str">
        <x:v>Long An|land</x:v>
      </x:c>
      <x:c r="P6717" s="10" t="n">
        <x:v>2</x:v>
      </x:c>
      <x:c r="Q6717" s="13" t="n">
        <x:f>IF(H6717="","",H6717/1000000000)</x:f>
        <x:v>0.549</x:v>
      </x:c>
      <x:c r="R6717" s="13" t="n">
        <x:f>IF(I6717="","",I6717/1000000)</x:f>
        <x:v>5.49</x:v>
      </x:c>
    </x:row>
    <x:row r="6718" ht="21" customHeight="1">
      <x:c r="A6718" s="10" t="n">
        <x:v>8640</x:v>
      </x:c>
      <x:c r="B6718" s="2" t="str">
        <x:v>b11daa22350ba588d9c5</x:v>
      </x:c>
      <x:c r="C6718" s="2" t="str">
        <x:v>Đà Nẵng</x:v>
      </x:c>
      <x:c r="D6718" s="2" t="str">
        <x:v>Quận Ngũ Hành Sơn</x:v>
      </x:c>
      <x:c r="E6718" s="2" t="str">
        <x:v>house</x:v>
      </x:c>
      <x:c r="F6718" s="2" t="str">
        <x:v>sale</x:v>
      </x:c>
      <x:c r="G6718" s="11" t="n">
        <x:v>100</x:v>
      </x:c>
      <x:c r="H6718" s="12" t="n">
        <x:v>7600000000</x:v>
      </x:c>
      <x:c r="I6718" s="12" t="n">
        <x:v>76000000</x:v>
      </x:c>
      <x:c r="J6718" s="2" t="str">
        <x:v>total</x:v>
      </x:c>
      <x:c r="K6718" s="2" t="str">
        <x:v>top_level_area</x:v>
      </x:c>
      <x:c r="L6718" s="2" t="str">
        <x:v>property_type_inferred_from_title</x:v>
      </x:c>
      <x:c r="M6718" s="10" t="n">
        <x:v>0</x:v>
      </x:c>
      <x:c r="N6718" s="10" t="n">
        <x:v>0</x:v>
      </x:c>
      <x:c r="O6718" s="2" t="str">
        <x:v>Đà Nẵng|house</x:v>
      </x:c>
      <x:c r="P6718" s="10" t="n">
        <x:v>2</x:v>
      </x:c>
      <x:c r="Q6718" s="13" t="n">
        <x:f>IF(H6718="","",H6718/1000000000)</x:f>
        <x:v>7.6</x:v>
      </x:c>
      <x:c r="R6718" s="13" t="n">
        <x:f>IF(I6718="","",I6718/1000000)</x:f>
        <x:v>76</x:v>
      </x:c>
    </x:row>
    <x:row r="6719" ht="21" customHeight="1">
      <x:c r="A6719" s="10" t="n">
        <x:v>8641</x:v>
      </x:c>
      <x:c r="B6719" s="2" t="str">
        <x:v>4e95799f48df2d415143</x:v>
      </x:c>
      <x:c r="C6719" s="2" t="str">
        <x:v>Tây Ninh</x:v>
      </x:c>
      <x:c r="D6719" s="2" t="str">
        <x:v>Huyện Gò Dầu</x:v>
      </x:c>
      <x:c r="E6719" s="2" t="str">
        <x:v>land</x:v>
      </x:c>
      <x:c r="F6719" s="2" t="str">
        <x:v>sale</x:v>
      </x:c>
      <x:c r="G6719" s="11" t="n">
        <x:v>102</x:v>
      </x:c>
      <x:c r="H6719" s="12" t="n">
        <x:v>255000000</x:v>
      </x:c>
      <x:c r="I6719" s="12" t="n">
        <x:v>2500000</x:v>
      </x:c>
      <x:c r="J6719" s="2" t="str">
        <x:v>total</x:v>
      </x:c>
      <x:c r="K6719" s="2" t="str">
        <x:v>top_level_area</x:v>
      </x:c>
      <x:c r="L6719" s="2" t="str">
        <x:v>property_type_inferred_from_title</x:v>
      </x:c>
      <x:c r="M6719" s="10" t="n">
        <x:v>0</x:v>
      </x:c>
      <x:c r="N6719" s="10" t="n">
        <x:v>0</x:v>
      </x:c>
      <x:c r="O6719" s="2" t="str">
        <x:v>land</x:v>
      </x:c>
      <x:c r="P6719" s="10" t="n">
        <x:v>1</x:v>
      </x:c>
      <x:c r="Q6719" s="13" t="n">
        <x:f>IF(H6719="","",H6719/1000000000)</x:f>
        <x:v>0.255</x:v>
      </x:c>
      <x:c r="R6719" s="13" t="n">
        <x:f>IF(I6719="","",I6719/1000000)</x:f>
        <x:v>2.5</x:v>
      </x:c>
    </x:row>
    <x:row r="6720" ht="21" customHeight="1">
      <x:c r="A6720" s="10" t="n">
        <x:v>8642</x:v>
      </x:c>
      <x:c r="B6720" s="2" t="str">
        <x:v>8d60f77094759608561c</x:v>
      </x:c>
      <x:c r="C6720" s="2" t="str">
        <x:v>Tp Hồ Chí Minh</x:v>
      </x:c>
      <x:c r="D6720" s="2" t="str">
        <x:v>Quận Gò Vấp</x:v>
      </x:c>
      <x:c r="E6720" s="2" t="str">
        <x:v>house</x:v>
      </x:c>
      <x:c r="F6720" s="2" t="str">
        <x:v>sale_assumed</x:v>
      </x:c>
      <x:c r="G6720" s="11" t="n">
        <x:v>52</x:v>
      </x:c>
      <x:c r="H6720" s="12" t="n">
        <x:v>3780000000</x:v>
      </x:c>
      <x:c r="I6720" s="12" t="n">
        <x:v>72692307.6923077</x:v>
      </x:c>
      <x:c r="J6720" s="2" t="str">
        <x:v>total</x:v>
      </x:c>
      <x:c r="K6720" s="2" t="str">
        <x:v>top_level_area</x:v>
      </x:c>
      <x:c r="L6720" s="2" t="str">
        <x:v>property_type_inferred_from_title;transaction_assumed_sale_from_dataset_context</x:v>
      </x:c>
      <x:c r="M6720" s="10" t="n">
        <x:v>0</x:v>
      </x:c>
      <x:c r="N6720" s="10" t="n">
        <x:v>0</x:v>
      </x:c>
      <x:c r="O6720" s="2" t="str">
        <x:v>Tp Hồ Chí Minh|house</x:v>
      </x:c>
      <x:c r="P6720" s="10" t="n">
        <x:v>2</x:v>
      </x:c>
      <x:c r="Q6720" s="13" t="n">
        <x:f>IF(H6720="","",H6720/1000000000)</x:f>
        <x:v>3.78</x:v>
      </x:c>
      <x:c r="R6720" s="13" t="n">
        <x:f>IF(I6720="","",I6720/1000000)</x:f>
        <x:v>72.6923076923077</x:v>
      </x:c>
    </x:row>
    <x:row r="6721" ht="21" customHeight="1">
      <x:c r="A6721" s="10" t="n">
        <x:v>8643</x:v>
      </x:c>
      <x:c r="B6721" s="2" t="str">
        <x:v>ca17d776d41b07130d7e</x:v>
      </x:c>
      <x:c r="C6721" s="2" t="str">
        <x:v>Đồng Nai</x:v>
      </x:c>
      <x:c r="D6721" s="2" t="str">
        <x:v>Thành phố Biên Hòa</x:v>
      </x:c>
      <x:c r="E6721" s="2" t="str">
        <x:v>land</x:v>
      </x:c>
      <x:c r="F6721" s="2" t="str">
        <x:v>sale_assumed</x:v>
      </x:c>
      <x:c r="G6721" s="11" t="n">
        <x:v>370</x:v>
      </x:c>
      <x:c r="H6721" s="12" t="n">
        <x:v>8700000000</x:v>
      </x:c>
      <x:c r="I6721" s="12" t="n">
        <x:v>23513513.513513513</x:v>
      </x:c>
      <x:c r="J6721" s="2" t="str">
        <x:v>total</x:v>
      </x:c>
      <x:c r="K6721" s="2" t="str">
        <x:v>top_level_area</x:v>
      </x:c>
      <x:c r="L6721" s="2" t="str">
        <x:v>property_type_inferred_from_title;transaction_assumed_sale_from_dataset_context</x:v>
      </x:c>
      <x:c r="M6721" s="10" t="n">
        <x:v>0</x:v>
      </x:c>
      <x:c r="N6721" s="10" t="n">
        <x:v>1</x:v>
      </x:c>
      <x:c r="O6721" s="2" t="str">
        <x:v>Đồng Nai|land</x:v>
      </x:c>
      <x:c r="P6721" s="10" t="n">
        <x:v>-1</x:v>
      </x:c>
      <x:c r="Q6721" s="13" t="n">
        <x:f>IF(H6721="","",H6721/1000000000)</x:f>
        <x:v>8.7</x:v>
      </x:c>
      <x:c r="R6721" s="13" t="n">
        <x:f>IF(I6721="","",I6721/1000000)</x:f>
        <x:v>23.513513513513512</x:v>
      </x:c>
    </x:row>
    <x:row r="6722" ht="21" customHeight="1">
      <x:c r="A6722" s="10" t="n">
        <x:v>8647</x:v>
      </x:c>
      <x:c r="B6722" s="2" t="str">
        <x:v>1542f65347b9886a2ae9</x:v>
      </x:c>
      <x:c r="C6722" s="2" t="str">
        <x:v>Tp Hồ Chí Minh</x:v>
      </x:c>
      <x:c r="D6722" s="2" t="str">
        <x:v>Quận Gò Vấp</x:v>
      </x:c>
      <x:c r="E6722" s="2" t="str">
        <x:v>other_unknown</x:v>
      </x:c>
      <x:c r="F6722" s="2" t="str">
        <x:v>sale_assumed</x:v>
      </x:c>
      <x:c r="G6722" s="11" t="n">
        <x:v>21</x:v>
      </x:c>
      <x:c r="H6722" s="12" t="n">
        <x:v>2049999999.9999998</x:v>
      </x:c>
      <x:c r="I6722" s="12" t="n">
        <x:v>97619047.61904761</x:v>
      </x:c>
      <x:c r="J6722" s="2" t="str">
        <x:v>total</x:v>
      </x:c>
      <x:c r="K6722" s="2" t="str">
        <x:v>top_level_area</x:v>
      </x:c>
      <x:c r="L6722" s="2" t="str">
        <x:v>property_type_inferred_from_title;transaction_assumed_sale_from_dataset_context;unknown_property_type</x:v>
      </x:c>
      <x:c r="M6722" s="10" t="n">
        <x:v>0</x:v>
      </x:c>
      <x:c r="N6722" s="10" t="n">
        <x:v>0</x:v>
      </x:c>
      <x:c r="O6722" s="2" t="str">
        <x:v>Tp Hồ Chí Minh|other_unknown</x:v>
      </x:c>
      <x:c r="P6722" s="10" t="n">
        <x:v>2</x:v>
      </x:c>
      <x:c r="Q6722" s="13" t="n">
        <x:f>IF(H6722="","",H6722/1000000000)</x:f>
        <x:v>2.05</x:v>
      </x:c>
      <x:c r="R6722" s="13" t="n">
        <x:f>IF(I6722="","",I6722/1000000)</x:f>
        <x:v>97.6190476190476</x:v>
      </x:c>
    </x:row>
    <x:row r="6723" ht="21" customHeight="1">
      <x:c r="A6723" s="10" t="n">
        <x:v>8648</x:v>
      </x:c>
      <x:c r="B6723" s="2" t="str">
        <x:v>2de1d3a9534992940799</x:v>
      </x:c>
      <x:c r="C6723" s="2" t="str">
        <x:v>Tp Hồ Chí Minh</x:v>
      </x:c>
      <x:c r="D6723" s="2" t="str">
        <x:v>Quận Gò Vấp</x:v>
      </x:c>
      <x:c r="E6723" s="2" t="str">
        <x:v>house</x:v>
      </x:c>
      <x:c r="F6723" s="2" t="str">
        <x:v>sale</x:v>
      </x:c>
      <x:c r="G6723" s="11" t="n">
        <x:v>70</x:v>
      </x:c>
      <x:c r="H6723" s="12" t="n">
        <x:v>4650000000</x:v>
      </x:c>
      <x:c r="I6723" s="12" t="n">
        <x:v>66428571.428571425</x:v>
      </x:c>
      <x:c r="J6723" s="2" t="str">
        <x:v>total</x:v>
      </x:c>
      <x:c r="K6723" s="2" t="str">
        <x:v>top_level_area</x:v>
      </x:c>
      <x:c r="L6723" s="2" t="str">
        <x:v>property_type_inferred_from_title</x:v>
      </x:c>
      <x:c r="M6723" s="10" t="n">
        <x:v>0</x:v>
      </x:c>
      <x:c r="N6723" s="10" t="n">
        <x:v>0</x:v>
      </x:c>
      <x:c r="O6723" s="2" t="str">
        <x:v>Tp Hồ Chí Minh|house</x:v>
      </x:c>
      <x:c r="P6723" s="10" t="n">
        <x:v>2</x:v>
      </x:c>
      <x:c r="Q6723" s="13" t="n">
        <x:f>IF(H6723="","",H6723/1000000000)</x:f>
        <x:v>4.65</x:v>
      </x:c>
      <x:c r="R6723" s="13" t="n">
        <x:f>IF(I6723="","",I6723/1000000)</x:f>
        <x:v>66.42857142857143</x:v>
      </x:c>
    </x:row>
    <x:row r="6724" ht="21" customHeight="1">
      <x:c r="A6724" s="10" t="n">
        <x:v>8649</x:v>
      </x:c>
      <x:c r="B6724" s="2" t="str">
        <x:v>04b6ca911c76ddbba082</x:v>
      </x:c>
      <x:c r="C6724" s="2" t="str">
        <x:v>Tp Hồ Chí Minh</x:v>
      </x:c>
      <x:c r="D6724" s="2" t="str">
        <x:v>Quận 3</x:v>
      </x:c>
      <x:c r="E6724" s="2" t="str">
        <x:v>house</x:v>
      </x:c>
      <x:c r="F6724" s="2" t="str">
        <x:v>sale_assumed</x:v>
      </x:c>
      <x:c r="G6724" s="11" t="n">
        <x:v>36</x:v>
      </x:c>
      <x:c r="H6724" s="12" t="n">
        <x:v>5450000000</x:v>
      </x:c>
      <x:c r="I6724" s="12" t="n">
        <x:v>151388888.8888889</x:v>
      </x:c>
      <x:c r="J6724" s="2" t="str">
        <x:v>total</x:v>
      </x:c>
      <x:c r="K6724" s="2" t="str">
        <x:v>top_level_area</x:v>
      </x:c>
      <x:c r="L6724" s="2" t="str">
        <x:v>property_type_inferred_from_title;transaction_assumed_sale_from_dataset_context</x:v>
      </x:c>
      <x:c r="M6724" s="10" t="n">
        <x:v>0</x:v>
      </x:c>
      <x:c r="N6724" s="10" t="n">
        <x:v>0</x:v>
      </x:c>
      <x:c r="O6724" s="2" t="str">
        <x:v>Tp Hồ Chí Minh|house</x:v>
      </x:c>
      <x:c r="P6724" s="10" t="n">
        <x:v>2</x:v>
      </x:c>
      <x:c r="Q6724" s="13" t="n">
        <x:f>IF(H6724="","",H6724/1000000000)</x:f>
        <x:v>5.45</x:v>
      </x:c>
      <x:c r="R6724" s="13" t="n">
        <x:f>IF(I6724="","",I6724/1000000)</x:f>
        <x:v>151.38888888888889</x:v>
      </x:c>
    </x:row>
    <x:row r="6725" ht="21" customHeight="1">
      <x:c r="A6725" s="10" t="n">
        <x:v>8650</x:v>
      </x:c>
      <x:c r="B6725" s="2" t="str">
        <x:v>62bb15e3857de0981224</x:v>
      </x:c>
      <x:c r="C6725" s="2" t="str">
        <x:v>Thừa Thiên Huế</x:v>
      </x:c>
      <x:c r="D6725" s="2" t="str">
        <x:v>Thị xã Hương Thủy</x:v>
      </x:c>
      <x:c r="E6725" s="2" t="str">
        <x:v>land</x:v>
      </x:c>
      <x:c r="F6725" s="2" t="str">
        <x:v>sale</x:v>
      </x:c>
      <x:c r="G6725" s="11" t="n">
        <x:v>76</x:v>
      </x:c>
      <x:c r="H6725" s="12" t="n">
        <x:v>660000000</x:v>
      </x:c>
      <x:c r="I6725" s="12" t="n">
        <x:v>8684210.52631579</x:v>
      </x:c>
      <x:c r="J6725" s="2" t="str">
        <x:v>total</x:v>
      </x:c>
      <x:c r="K6725" s="2" t="str">
        <x:v>top_level_area</x:v>
      </x:c>
      <x:c r="L6725" s="2" t="str">
        <x:v>property_type_inferred_from_title</x:v>
      </x:c>
      <x:c r="M6725" s="10" t="n">
        <x:v>0</x:v>
      </x:c>
      <x:c r="N6725" s="10" t="n">
        <x:v>0</x:v>
      </x:c>
      <x:c r="O6725" s="2" t="str">
        <x:v>land</x:v>
      </x:c>
      <x:c r="P6725" s="10" t="n">
        <x:v>2</x:v>
      </x:c>
      <x:c r="Q6725" s="13" t="n">
        <x:f>IF(H6725="","",H6725/1000000000)</x:f>
        <x:v>0.66</x:v>
      </x:c>
      <x:c r="R6725" s="13" t="n">
        <x:f>IF(I6725="","",I6725/1000000)</x:f>
        <x:v>8.68421052631579</x:v>
      </x:c>
    </x:row>
    <x:row r="6726" ht="21" customHeight="1">
      <x:c r="A6726" s="10" t="n">
        <x:v>8651</x:v>
      </x:c>
      <x:c r="B6726" s="2" t="str">
        <x:v>2e017d82fdcad33adcef</x:v>
      </x:c>
      <x:c r="C6726" s="2" t="str">
        <x:v>Tp Hồ Chí Minh</x:v>
      </x:c>
      <x:c r="D6726" s="2" t="str">
        <x:v>Huyện Củ Chi</x:v>
      </x:c>
      <x:c r="E6726" s="2" t="str">
        <x:v>house</x:v>
      </x:c>
      <x:c r="F6726" s="2" t="str">
        <x:v>sale</x:v>
      </x:c>
      <x:c r="G6726" s="11" t="n">
        <x:v>80</x:v>
      </x:c>
      <x:c r="H6726" s="12" t="n">
        <x:v>860000000</x:v>
      </x:c>
      <x:c r="I6726" s="12" t="n">
        <x:v>10750000</x:v>
      </x:c>
      <x:c r="J6726" s="2" t="str">
        <x:v>total</x:v>
      </x:c>
      <x:c r="K6726" s="2" t="str">
        <x:v>top_level_area</x:v>
      </x:c>
      <x:c r="L6726" s="2" t="str">
        <x:v>property_type_inferred_from_title</x:v>
      </x:c>
      <x:c r="M6726" s="10" t="n">
        <x:v>0</x:v>
      </x:c>
      <x:c r="N6726" s="10" t="n">
        <x:v>0</x:v>
      </x:c>
      <x:c r="O6726" s="2" t="str">
        <x:v>Tp Hồ Chí Minh|house</x:v>
      </x:c>
      <x:c r="P6726" s="10" t="n">
        <x:v>2</x:v>
      </x:c>
      <x:c r="Q6726" s="13" t="n">
        <x:f>IF(H6726="","",H6726/1000000000)</x:f>
        <x:v>0.86</x:v>
      </x:c>
      <x:c r="R6726" s="13" t="n">
        <x:f>IF(I6726="","",I6726/1000000)</x:f>
        <x:v>10.75</x:v>
      </x:c>
    </x:row>
    <x:row r="6727" ht="21" customHeight="1">
      <x:c r="A6727" s="10" t="n">
        <x:v>8652</x:v>
      </x:c>
      <x:c r="B6727" s="2" t="str">
        <x:v>c0950cf31243ecebd846</x:v>
      </x:c>
      <x:c r="C6727" s="2" t="str">
        <x:v>Tp Hồ Chí Minh</x:v>
      </x:c>
      <x:c r="D6727" s="2" t="str">
        <x:v>Quận Tân Phú</x:v>
      </x:c>
      <x:c r="E6727" s="2" t="str">
        <x:v>apartment</x:v>
      </x:c>
      <x:c r="F6727" s="2" t="str">
        <x:v>sale_assumed</x:v>
      </x:c>
      <x:c r="G6727" s="11" t="n">
        <x:v>73</x:v>
      </x:c>
      <x:c r="H6727" s="12" t="n">
        <x:v>2330000000</x:v>
      </x:c>
      <x:c r="I6727" s="12" t="n">
        <x:v>31917808.21917808</x:v>
      </x:c>
      <x:c r="J6727" s="2" t="str">
        <x:v>total</x:v>
      </x:c>
      <x:c r="K6727" s="2" t="str">
        <x:v>top_level_area</x:v>
      </x:c>
      <x:c r="L6727" s="2" t="str">
        <x:v>property_type_inferred_from_title;transaction_assumed_sale_from_dataset_context</x:v>
      </x:c>
      <x:c r="M6727" s="10" t="n">
        <x:v>0</x:v>
      </x:c>
      <x:c r="N6727" s="10" t="n">
        <x:v>0</x:v>
      </x:c>
      <x:c r="O6727" s="2" t="str">
        <x:v>Tp Hồ Chí Minh|apartment</x:v>
      </x:c>
      <x:c r="P6727" s="10" t="n">
        <x:v>2</x:v>
      </x:c>
      <x:c r="Q6727" s="13" t="n">
        <x:f>IF(H6727="","",H6727/1000000000)</x:f>
        <x:v>2.33</x:v>
      </x:c>
      <x:c r="R6727" s="13" t="n">
        <x:f>IF(I6727="","",I6727/1000000)</x:f>
        <x:v>31.91780821917808</x:v>
      </x:c>
    </x:row>
    <x:row r="6728" ht="21" customHeight="1">
      <x:c r="A6728" s="10" t="n">
        <x:v>8653</x:v>
      </x:c>
      <x:c r="B6728" s="2" t="str">
        <x:v>5c06786b3632510510b4</x:v>
      </x:c>
      <x:c r="C6728" s="2" t="str">
        <x:v>Tp Hồ Chí Minh</x:v>
      </x:c>
      <x:c r="D6728" s="2" t="str">
        <x:v>Quận Tân Phú</x:v>
      </x:c>
      <x:c r="E6728" s="2" t="str">
        <x:v>house</x:v>
      </x:c>
      <x:c r="F6728" s="2" t="str">
        <x:v>sale</x:v>
      </x:c>
      <x:c r="G6728" s="11" t="n">
        <x:v>36</x:v>
      </x:c>
      <x:c r="H6728" s="12" t="n">
        <x:v>3450000000</x:v>
      </x:c>
      <x:c r="I6728" s="12" t="n">
        <x:v>95833333.33333333</x:v>
      </x:c>
      <x:c r="J6728" s="2" t="str">
        <x:v>total</x:v>
      </x:c>
      <x:c r="K6728" s="2" t="str">
        <x:v>top_level_area</x:v>
      </x:c>
      <x:c r="L6728" s="2" t="str">
        <x:v>property_type_inferred_from_title</x:v>
      </x:c>
      <x:c r="M6728" s="10" t="n">
        <x:v>0</x:v>
      </x:c>
      <x:c r="N6728" s="10" t="n">
        <x:v>0</x:v>
      </x:c>
      <x:c r="O6728" s="2" t="str">
        <x:v>Tp Hồ Chí Minh|house</x:v>
      </x:c>
      <x:c r="P6728" s="10" t="n">
        <x:v>2</x:v>
      </x:c>
      <x:c r="Q6728" s="13" t="n">
        <x:f>IF(H6728="","",H6728/1000000000)</x:f>
        <x:v>3.45</x:v>
      </x:c>
      <x:c r="R6728" s="13" t="n">
        <x:f>IF(I6728="","",I6728/1000000)</x:f>
        <x:v>95.83333333333333</x:v>
      </x:c>
    </x:row>
    <x:row r="6729" ht="21" customHeight="1">
      <x:c r="A6729" s="10" t="n">
        <x:v>8654</x:v>
      </x:c>
      <x:c r="B6729" s="2" t="str">
        <x:v>6c034e486240d2423626</x:v>
      </x:c>
      <x:c r="C6729" s="2" t="str">
        <x:v>Tp Hồ Chí Minh</x:v>
      </x:c>
      <x:c r="D6729" s="2" t="str">
        <x:v>Quận Phú Nhuận</x:v>
      </x:c>
      <x:c r="E6729" s="2" t="str">
        <x:v>house</x:v>
      </x:c>
      <x:c r="F6729" s="2" t="str">
        <x:v>sale_assumed</x:v>
      </x:c>
      <x:c r="G6729" s="11" t="n">
        <x:v>45</x:v>
      </x:c>
      <x:c r="H6729" s="12" t="n">
        <x:v>10900000000</x:v>
      </x:c>
      <x:c r="I6729" s="12" t="n">
        <x:v>242222222.2222222</x:v>
      </x:c>
      <x:c r="J6729" s="2" t="str">
        <x:v>total</x:v>
      </x:c>
      <x:c r="K6729" s="2" t="str">
        <x:v>top_level_area</x:v>
      </x:c>
      <x:c r="L6729" s="2" t="str">
        <x:v>property_type_inferred_from_title;transaction_assumed_sale_from_dataset_context</x:v>
      </x:c>
      <x:c r="M6729" s="10" t="n">
        <x:v>1</x:v>
      </x:c>
      <x:c r="N6729" s="10" t="n">
        <x:v>1</x:v>
      </x:c>
      <x:c r="O6729" s="2" t="str">
        <x:v>Tp Hồ Chí Minh|house</x:v>
      </x:c>
      <x:c r="P6729" s="10" t="n">
        <x:v>-1</x:v>
      </x:c>
      <x:c r="Q6729" s="13" t="n">
        <x:f>IF(H6729="","",H6729/1000000000)</x:f>
        <x:v>10.9</x:v>
      </x:c>
      <x:c r="R6729" s="13" t="n">
        <x:f>IF(I6729="","",I6729/1000000)</x:f>
        <x:v>242.2222222222222</x:v>
      </x:c>
    </x:row>
    <x:row r="6730" ht="21" customHeight="1">
      <x:c r="A6730" s="10" t="n">
        <x:v>8655</x:v>
      </x:c>
      <x:c r="B6730" s="2" t="str">
        <x:v>ab87dce5a4c7a6b878cc</x:v>
      </x:c>
      <x:c r="C6730" s="2" t="str">
        <x:v>Bà Rịa - Vũng Tàu</x:v>
      </x:c>
      <x:c r="D6730" s="2" t="str">
        <x:v>Thị xã Phú Mỹ</x:v>
      </x:c>
      <x:c r="E6730" s="2" t="str">
        <x:v>land</x:v>
      </x:c>
      <x:c r="F6730" s="2" t="str">
        <x:v>sale</x:v>
      </x:c>
      <x:c r="G6730" s="11" t="n">
        <x:v>136</x:v>
      </x:c>
      <x:c r="H6730" s="12" t="n">
        <x:v>785000000</x:v>
      </x:c>
      <x:c r="I6730" s="12" t="n">
        <x:v>5772058.823529412</x:v>
      </x:c>
      <x:c r="J6730" s="2" t="str">
        <x:v>total</x:v>
      </x:c>
      <x:c r="K6730" s="2" t="str">
        <x:v>top_level_area</x:v>
      </x:c>
      <x:c r="L6730" s="2" t="str">
        <x:v>property_type_inferred_from_title</x:v>
      </x:c>
      <x:c r="M6730" s="10" t="n">
        <x:v>0</x:v>
      </x:c>
      <x:c r="N6730" s="10" t="n">
        <x:v>0</x:v>
      </x:c>
      <x:c r="O6730" s="2" t="str">
        <x:v>Bà Rịa - Vũng Tàu|land</x:v>
      </x:c>
      <x:c r="P6730" s="10" t="n">
        <x:v>2</x:v>
      </x:c>
      <x:c r="Q6730" s="13" t="n">
        <x:f>IF(H6730="","",H6730/1000000000)</x:f>
        <x:v>0.785</x:v>
      </x:c>
      <x:c r="R6730" s="13" t="n">
        <x:f>IF(I6730="","",I6730/1000000)</x:f>
        <x:v>5.772058823529412</x:v>
      </x:c>
    </x:row>
    <x:row r="6731" ht="21" customHeight="1">
      <x:c r="A6731" s="10" t="n">
        <x:v>8656</x:v>
      </x:c>
      <x:c r="B6731" s="2" t="str">
        <x:v>a6c4ecc3cca7057a1e08</x:v>
      </x:c>
      <x:c r="C6731" s="2" t="str">
        <x:v>Tp Hồ Chí Minh</x:v>
      </x:c>
      <x:c r="D6731" s="2" t="str">
        <x:v>Quận Thủ Đức</x:v>
      </x:c>
      <x:c r="E6731" s="2" t="str">
        <x:v>other_unknown</x:v>
      </x:c>
      <x:c r="F6731" s="2" t="str">
        <x:v>sale_assumed</x:v>
      </x:c>
      <x:c r="G6731" s="11" t="n">
        <x:v>200</x:v>
      </x:c>
      <x:c r="H6731" s="12" t="n">
        <x:v>16500000000</x:v>
      </x:c>
      <x:c r="I6731" s="12" t="n">
        <x:v>82500000</x:v>
      </x:c>
      <x:c r="J6731" s="2" t="str">
        <x:v>total</x:v>
      </x:c>
      <x:c r="K6731" s="2" t="str">
        <x:v>top_level_area</x:v>
      </x:c>
      <x:c r="L6731" s="2" t="str">
        <x:v>property_type_inferred_from_title;transaction_assumed_sale_from_dataset_context;unknown_property_type</x:v>
      </x:c>
      <x:c r="M6731" s="10" t="n">
        <x:v>0</x:v>
      </x:c>
      <x:c r="N6731" s="10" t="n">
        <x:v>0</x:v>
      </x:c>
      <x:c r="O6731" s="2" t="str">
        <x:v>Tp Hồ Chí Minh|other_unknown</x:v>
      </x:c>
      <x:c r="P6731" s="10" t="n">
        <x:v>2</x:v>
      </x:c>
      <x:c r="Q6731" s="13" t="n">
        <x:f>IF(H6731="","",H6731/1000000000)</x:f>
        <x:v>16.5</x:v>
      </x:c>
      <x:c r="R6731" s="13" t="n">
        <x:f>IF(I6731="","",I6731/1000000)</x:f>
        <x:v>82.5</x:v>
      </x:c>
    </x:row>
    <x:row r="6732" ht="21" customHeight="1">
      <x:c r="A6732" s="10" t="n">
        <x:v>8657</x:v>
      </x:c>
      <x:c r="B6732" s="2" t="str">
        <x:v>12b5364160ae135cf2e1</x:v>
      </x:c>
      <x:c r="C6732" s="2" t="str">
        <x:v>Đà Nẵng</x:v>
      </x:c>
      <x:c r="D6732" s="2" t="str">
        <x:v>Quận Sơn Trà</x:v>
      </x:c>
      <x:c r="E6732" s="2" t="str">
        <x:v>other_unknown</x:v>
      </x:c>
      <x:c r="F6732" s="2" t="str">
        <x:v>sale_assumed</x:v>
      </x:c>
      <x:c r="G6732" s="11" t="n">
        <x:v>100</x:v>
      </x:c>
      <x:c r="H6732" s="12" t="n">
        <x:v>3700000000</x:v>
      </x:c>
      <x:c r="I6732" s="12" t="n">
        <x:v>37000000</x:v>
      </x:c>
      <x:c r="J6732" s="2" t="str">
        <x:v>total</x:v>
      </x:c>
      <x:c r="K6732" s="2" t="str">
        <x:v>top_level_area</x:v>
      </x:c>
      <x:c r="L6732" s="2" t="str">
        <x:v>property_type_inferred_from_title;transaction_assumed_sale_from_dataset_context;unknown_property_type</x:v>
      </x:c>
      <x:c r="M6732" s="10" t="n">
        <x:v>0</x:v>
      </x:c>
      <x:c r="N6732" s="10" t="n">
        <x:v>0</x:v>
      </x:c>
      <x:c r="O6732" s="2" t="str">
        <x:v>Đà Nẵng|other_unknown</x:v>
      </x:c>
      <x:c r="P6732" s="10" t="n">
        <x:v>2</x:v>
      </x:c>
      <x:c r="Q6732" s="13" t="n">
        <x:f>IF(H6732="","",H6732/1000000000)</x:f>
        <x:v>3.7</x:v>
      </x:c>
      <x:c r="R6732" s="13" t="n">
        <x:f>IF(I6732="","",I6732/1000000)</x:f>
        <x:v>37</x:v>
      </x:c>
    </x:row>
    <x:row r="6733" ht="21" customHeight="1">
      <x:c r="A6733" s="10" t="n">
        <x:v>8658</x:v>
      </x:c>
      <x:c r="B6733" s="2" t="str">
        <x:v>79f47d21c203108f49fe</x:v>
      </x:c>
      <x:c r="C6733" s="2" t="str">
        <x:v>Hà Nội</x:v>
      </x:c>
      <x:c r="D6733" s="2" t="str">
        <x:v>Quận Hà Đông</x:v>
      </x:c>
      <x:c r="E6733" s="2" t="str">
        <x:v>apartment</x:v>
      </x:c>
      <x:c r="F6733" s="2" t="str">
        <x:v>sale_assumed</x:v>
      </x:c>
      <x:c r="G6733" s="11" t="n">
        <x:v>46</x:v>
      </x:c>
      <x:c r="H6733" s="12" t="n">
        <x:v>830000000</x:v>
      </x:c>
      <x:c r="I6733" s="12" t="n">
        <x:v>18043478.260869566</x:v>
      </x:c>
      <x:c r="J6733" s="2" t="str">
        <x:v>total</x:v>
      </x:c>
      <x:c r="K6733" s="2" t="str">
        <x:v>top_level_area</x:v>
      </x:c>
      <x:c r="L6733" s="2" t="str">
        <x:v>property_type_inferred_from_title;transaction_assumed_sale_from_dataset_context</x:v>
      </x:c>
      <x:c r="M6733" s="10" t="n">
        <x:v>0</x:v>
      </x:c>
      <x:c r="N6733" s="10" t="n">
        <x:v>0</x:v>
      </x:c>
      <x:c r="O6733" s="2" t="str">
        <x:v>Hà Nội|apartment</x:v>
      </x:c>
      <x:c r="P6733" s="10" t="n">
        <x:v>2</x:v>
      </x:c>
      <x:c r="Q6733" s="13" t="n">
        <x:f>IF(H6733="","",H6733/1000000000)</x:f>
        <x:v>0.83</x:v>
      </x:c>
      <x:c r="R6733" s="13" t="n">
        <x:f>IF(I6733="","",I6733/1000000)</x:f>
        <x:v>18.043478260869566</x:v>
      </x:c>
    </x:row>
    <x:row r="6734" ht="21" customHeight="1">
      <x:c r="A6734" s="10" t="n">
        <x:v>8660</x:v>
      </x:c>
      <x:c r="B6734" s="2" t="str">
        <x:v>609d88a167c8ff78d266</x:v>
      </x:c>
      <x:c r="C6734" s="2" t="str">
        <x:v>Đà Nẵng</x:v>
      </x:c>
      <x:c r="D6734" s="2" t="str">
        <x:v>Quận Ngũ Hành Sơn</x:v>
      </x:c>
      <x:c r="E6734" s="2" t="str">
        <x:v>land</x:v>
      </x:c>
      <x:c r="F6734" s="2" t="str">
        <x:v>sale</x:v>
      </x:c>
      <x:c r="G6734" s="11" t="n">
        <x:v>100</x:v>
      </x:c>
      <x:c r="H6734" s="12" t="n">
        <x:v>2500000000</x:v>
      </x:c>
      <x:c r="I6734" s="12" t="n">
        <x:v>25000000</x:v>
      </x:c>
      <x:c r="J6734" s="2" t="str">
        <x:v>total</x:v>
      </x:c>
      <x:c r="K6734" s="2" t="str">
        <x:v>top_level_area</x:v>
      </x:c>
      <x:c r="L6734" s="2" t="str">
        <x:v>property_type_inferred_from_title</x:v>
      </x:c>
      <x:c r="M6734" s="10" t="n">
        <x:v>0</x:v>
      </x:c>
      <x:c r="N6734" s="10" t="n">
        <x:v>0</x:v>
      </x:c>
      <x:c r="O6734" s="2" t="str">
        <x:v>Đà Nẵng|land</x:v>
      </x:c>
      <x:c r="P6734" s="10" t="n">
        <x:v>2</x:v>
      </x:c>
      <x:c r="Q6734" s="13" t="n">
        <x:f>IF(H6734="","",H6734/1000000000)</x:f>
        <x:v>2.5</x:v>
      </x:c>
      <x:c r="R6734" s="13" t="n">
        <x:f>IF(I6734="","",I6734/1000000)</x:f>
        <x:v>25</x:v>
      </x:c>
    </x:row>
    <x:row r="6735" ht="21" customHeight="1">
      <x:c r="A6735" s="10" t="n">
        <x:v>8661</x:v>
      </x:c>
      <x:c r="B6735" s="2" t="str">
        <x:v>ca640a42311d708d1592</x:v>
      </x:c>
      <x:c r="C6735" s="2" t="str">
        <x:v>Tp Hồ Chí Minh</x:v>
      </x:c>
      <x:c r="D6735" s="2" t="str">
        <x:v>Quận Phú Nhuận</x:v>
      </x:c>
      <x:c r="E6735" s="2" t="str">
        <x:v>house</x:v>
      </x:c>
      <x:c r="F6735" s="2" t="str">
        <x:v>sale_assumed</x:v>
      </x:c>
      <x:c r="G6735" s="11" t="n">
        <x:v>33</x:v>
      </x:c>
      <x:c r="H6735" s="12" t="n">
        <x:v>4600000000</x:v>
      </x:c>
      <x:c r="I6735" s="12" t="n">
        <x:v>139393939.3939394</x:v>
      </x:c>
      <x:c r="J6735" s="2" t="str">
        <x:v>total</x:v>
      </x:c>
      <x:c r="K6735" s="2" t="str">
        <x:v>top_level_area</x:v>
      </x:c>
      <x:c r="L6735" s="2" t="str">
        <x:v>property_type_inferred_from_title;transaction_assumed_sale_from_dataset_context</x:v>
      </x:c>
      <x:c r="M6735" s="10" t="n">
        <x:v>0</x:v>
      </x:c>
      <x:c r="N6735" s="10" t="n">
        <x:v>0</x:v>
      </x:c>
      <x:c r="O6735" s="2" t="str">
        <x:v>Tp Hồ Chí Minh|house</x:v>
      </x:c>
      <x:c r="P6735" s="10" t="n">
        <x:v>2</x:v>
      </x:c>
      <x:c r="Q6735" s="13" t="n">
        <x:f>IF(H6735="","",H6735/1000000000)</x:f>
        <x:v>4.6</x:v>
      </x:c>
      <x:c r="R6735" s="13" t="n">
        <x:f>IF(I6735="","",I6735/1000000)</x:f>
        <x:v>139.3939393939394</x:v>
      </x:c>
    </x:row>
    <x:row r="6736" ht="21" customHeight="1">
      <x:c r="A6736" s="10" t="n">
        <x:v>8662</x:v>
      </x:c>
      <x:c r="B6736" s="2" t="str">
        <x:v>7b83e3889ed0804d359c</x:v>
      </x:c>
      <x:c r="C6736" s="2" t="str">
        <x:v>Hưng Yên</x:v>
      </x:c>
      <x:c r="D6736" s="2" t="str">
        <x:v>Thành phố Hưng Yên</x:v>
      </x:c>
      <x:c r="E6736" s="2" t="str">
        <x:v>other_unknown</x:v>
      </x:c>
      <x:c r="F6736" s="2" t="str">
        <x:v>sale_assumed</x:v>
      </x:c>
      <x:c r="G6736" s="11" t="n">
        <x:v>100</x:v>
      </x:c>
      <x:c r="H6736" s="12" t="n">
        <x:v>2300000000</x:v>
      </x:c>
      <x:c r="I6736" s="12" t="n">
        <x:v>23000000</x:v>
      </x:c>
      <x:c r="J6736" s="2" t="str">
        <x:v>total</x:v>
      </x:c>
      <x:c r="K6736" s="2" t="str">
        <x:v>top_level_area</x:v>
      </x:c>
      <x:c r="L6736" s="2" t="str">
        <x:v>property_type_inferred_from_title;transaction_assumed_sale_from_dataset_context;unknown_property_type</x:v>
      </x:c>
      <x:c r="M6736" s="10" t="n">
        <x:v>0</x:v>
      </x:c>
      <x:c r="N6736" s="10" t="n">
        <x:v>0</x:v>
      </x:c>
      <x:c r="O6736" s="2" t="str">
        <x:v>other_unknown</x:v>
      </x:c>
      <x:c r="P6736" s="10" t="n">
        <x:v>2</x:v>
      </x:c>
      <x:c r="Q6736" s="13" t="n">
        <x:f>IF(H6736="","",H6736/1000000000)</x:f>
        <x:v>2.3</x:v>
      </x:c>
      <x:c r="R6736" s="13" t="n">
        <x:f>IF(I6736="","",I6736/1000000)</x:f>
        <x:v>23</x:v>
      </x:c>
    </x:row>
    <x:row r="6737" ht="21" customHeight="1">
      <x:c r="A6737" s="10" t="n">
        <x:v>8663</x:v>
      </x:c>
      <x:c r="B6737" s="2" t="str">
        <x:v>5f73f832820e1751ef47</x:v>
      </x:c>
      <x:c r="C6737" s="2" t="str">
        <x:v>Hà Nội</x:v>
      </x:c>
      <x:c r="D6737" s="2" t="str">
        <x:v>Huyện Thanh Trì</x:v>
      </x:c>
      <x:c r="E6737" s="2" t="str">
        <x:v>house</x:v>
      </x:c>
      <x:c r="F6737" s="2" t="str">
        <x:v>sale_assumed</x:v>
      </x:c>
      <x:c r="G6737" s="11" t="n">
        <x:v>52</x:v>
      </x:c>
      <x:c r="H6737" s="12" t="n">
        <x:v>1350000000</x:v>
      </x:c>
      <x:c r="I6737" s="12" t="n">
        <x:v>25961538.46153846</x:v>
      </x:c>
      <x:c r="J6737" s="2" t="str">
        <x:v>total</x:v>
      </x:c>
      <x:c r="K6737" s="2" t="str">
        <x:v>top_level_area</x:v>
      </x:c>
      <x:c r="L6737" s="2" t="str">
        <x:v>property_type_inferred_from_title;transaction_assumed_sale_from_dataset_context</x:v>
      </x:c>
      <x:c r="M6737" s="10" t="n">
        <x:v>0</x:v>
      </x:c>
      <x:c r="N6737" s="10" t="n">
        <x:v>0</x:v>
      </x:c>
      <x:c r="O6737" s="2" t="str">
        <x:v>Hà Nội|house</x:v>
      </x:c>
      <x:c r="P6737" s="10" t="n">
        <x:v>2</x:v>
      </x:c>
      <x:c r="Q6737" s="13" t="n">
        <x:f>IF(H6737="","",H6737/1000000000)</x:f>
        <x:v>1.35</x:v>
      </x:c>
      <x:c r="R6737" s="13" t="n">
        <x:f>IF(I6737="","",I6737/1000000)</x:f>
        <x:v>25.96153846153846</x:v>
      </x:c>
    </x:row>
    <x:row r="6738" ht="21" customHeight="1">
      <x:c r="A6738" s="10" t="n">
        <x:v>8664</x:v>
      </x:c>
      <x:c r="B6738" s="2" t="str">
        <x:v>15cc718720d4ccafc1b8</x:v>
      </x:c>
      <x:c r="C6738" s="2" t="str">
        <x:v>Tp Hồ Chí Minh</x:v>
      </x:c>
      <x:c r="D6738" s="2" t="str">
        <x:v>Quận 12</x:v>
      </x:c>
      <x:c r="E6738" s="2" t="str">
        <x:v>house</x:v>
      </x:c>
      <x:c r="F6738" s="2" t="str">
        <x:v>sale_assumed</x:v>
      </x:c>
      <x:c r="G6738" s="11" t="n">
        <x:v>24</x:v>
      </x:c>
      <x:c r="H6738" s="12" t="n">
        <x:v>870000000</x:v>
      </x:c>
      <x:c r="I6738" s="12" t="n">
        <x:v>36250000</x:v>
      </x:c>
      <x:c r="J6738" s="2" t="str">
        <x:v>total</x:v>
      </x:c>
      <x:c r="K6738" s="2" t="str">
        <x:v>top_level_area</x:v>
      </x:c>
      <x:c r="L6738" s="2" t="str">
        <x:v>property_type_inferred_from_title;transaction_assumed_sale_from_dataset_context</x:v>
      </x:c>
      <x:c r="M6738" s="10" t="n">
        <x:v>0</x:v>
      </x:c>
      <x:c r="N6738" s="10" t="n">
        <x:v>0</x:v>
      </x:c>
      <x:c r="O6738" s="2" t="str">
        <x:v>Tp Hồ Chí Minh|house</x:v>
      </x:c>
      <x:c r="P6738" s="10" t="n">
        <x:v>2</x:v>
      </x:c>
      <x:c r="Q6738" s="13" t="n">
        <x:f>IF(H6738="","",H6738/1000000000)</x:f>
        <x:v>0.87</x:v>
      </x:c>
      <x:c r="R6738" s="13" t="n">
        <x:f>IF(I6738="","",I6738/1000000)</x:f>
        <x:v>36.25</x:v>
      </x:c>
    </x:row>
    <x:row r="6739" ht="21" customHeight="1">
      <x:c r="A6739" s="10" t="n">
        <x:v>8665</x:v>
      </x:c>
      <x:c r="B6739" s="2" t="str">
        <x:v>4f384ee2f33467fab9a5</x:v>
      </x:c>
      <x:c r="C6739" s="2" t="str">
        <x:v>Tp Hồ Chí Minh</x:v>
      </x:c>
      <x:c r="D6739" s="2" t="str">
        <x:v>Quận Bình Thạnh</x:v>
      </x:c>
      <x:c r="E6739" s="2" t="str">
        <x:v>apartment</x:v>
      </x:c>
      <x:c r="F6739" s="2" t="str">
        <x:v>sale_assumed</x:v>
      </x:c>
      <x:c r="G6739" s="11" t="n">
        <x:v>58</x:v>
      </x:c>
      <x:c r="H6739" s="12" t="n">
        <x:v>2750000000</x:v>
      </x:c>
      <x:c r="I6739" s="12" t="n">
        <x:v>47413793.10344828</x:v>
      </x:c>
      <x:c r="J6739" s="2" t="str">
        <x:v>total</x:v>
      </x:c>
      <x:c r="K6739" s="2" t="str">
        <x:v>top_level_area</x:v>
      </x:c>
      <x:c r="L6739" s="2" t="str">
        <x:v>property_type_inferred_from_title;transaction_assumed_sale_from_dataset_context</x:v>
      </x:c>
      <x:c r="M6739" s="10" t="n">
        <x:v>0</x:v>
      </x:c>
      <x:c r="N6739" s="10" t="n">
        <x:v>0</x:v>
      </x:c>
      <x:c r="O6739" s="2" t="str">
        <x:v>Tp Hồ Chí Minh|apartment</x:v>
      </x:c>
      <x:c r="P6739" s="10" t="n">
        <x:v>2</x:v>
      </x:c>
      <x:c r="Q6739" s="13" t="n">
        <x:f>IF(H6739="","",H6739/1000000000)</x:f>
        <x:v>2.75</x:v>
      </x:c>
      <x:c r="R6739" s="13" t="n">
        <x:f>IF(I6739="","",I6739/1000000)</x:f>
        <x:v>47.41379310344828</x:v>
      </x:c>
    </x:row>
    <x:row r="6740" ht="21" customHeight="1">
      <x:c r="A6740" s="10" t="n">
        <x:v>8666</x:v>
      </x:c>
      <x:c r="B6740" s="2" t="str">
        <x:v>4c41c8e45f71cdbb7d30</x:v>
      </x:c>
      <x:c r="C6740" s="2" t="str">
        <x:v>An Giang</x:v>
      </x:c>
      <x:c r="D6740" s="2" t="str">
        <x:v>Thành phố Long Xuyên</x:v>
      </x:c>
      <x:c r="E6740" s="2" t="str">
        <x:v>other_unknown</x:v>
      </x:c>
      <x:c r="F6740" s="2" t="str">
        <x:v>sale_assumed</x:v>
      </x:c>
      <x:c r="G6740" s="11" t="n">
        <x:v>75</x:v>
      </x:c>
      <x:c r="H6740" s="12" t="n">
        <x:v>239000000</x:v>
      </x:c>
      <x:c r="I6740" s="12" t="n">
        <x:v>3186666.6666666665</x:v>
      </x:c>
      <x:c r="J6740" s="2" t="str">
        <x:v>total</x:v>
      </x:c>
      <x:c r="K6740" s="2" t="str">
        <x:v>top_level_area</x:v>
      </x:c>
      <x:c r="L6740" s="2" t="str">
        <x:v>property_type_inferred_from_title;transaction_assumed_sale_from_dataset_context;unknown_property_type</x:v>
      </x:c>
      <x:c r="M6740" s="10" t="n">
        <x:v>0</x:v>
      </x:c>
      <x:c r="N6740" s="10" t="n">
        <x:v>0</x:v>
      </x:c>
      <x:c r="O6740" s="2" t="str">
        <x:v>other_unknown</x:v>
      </x:c>
      <x:c r="P6740" s="10" t="n">
        <x:v>2</x:v>
      </x:c>
      <x:c r="Q6740" s="13" t="n">
        <x:f>IF(H6740="","",H6740/1000000000)</x:f>
        <x:v>0.239</x:v>
      </x:c>
      <x:c r="R6740" s="13" t="n">
        <x:f>IF(I6740="","",I6740/1000000)</x:f>
        <x:v>3.1866666666666665</x:v>
      </x:c>
    </x:row>
    <x:row r="6741" ht="21" customHeight="1">
      <x:c r="A6741" s="10" t="n">
        <x:v>8696</x:v>
      </x:c>
      <x:c r="B6741" s="2" t="str">
        <x:v>b744308b838987fcad9c</x:v>
      </x:c>
      <x:c r="C6741" s="2" t="str">
        <x:v>Tp Hồ Chí Minh</x:v>
      </x:c>
      <x:c r="D6741" s="2" t="str">
        <x:v>Quận Bình Tân</x:v>
      </x:c>
      <x:c r="E6741" s="2" t="str">
        <x:v>land</x:v>
      </x:c>
      <x:c r="F6741" s="2" t="str">
        <x:v>sale_assumed</x:v>
      </x:c>
      <x:c r="G6741" s="11" t="n">
        <x:v>84</x:v>
      </x:c>
      <x:c r="H6741" s="12" t="n">
        <x:v>2700000000</x:v>
      </x:c>
      <x:c r="I6741" s="12" t="n">
        <x:v>32142857.14285714</x:v>
      </x:c>
      <x:c r="J6741" s="2" t="str">
        <x:v>total</x:v>
      </x:c>
      <x:c r="K6741" s="2" t="str">
        <x:v>top_level_area</x:v>
      </x:c>
      <x:c r="L6741" s="2" t="str">
        <x:v>property_type_inferred_from_title;transaction_assumed_sale_from_dataset_context</x:v>
      </x:c>
      <x:c r="M6741" s="10" t="n">
        <x:v>0</x:v>
      </x:c>
      <x:c r="N6741" s="10" t="n">
        <x:v>0</x:v>
      </x:c>
      <x:c r="O6741" s="2" t="str">
        <x:v>Tp Hồ Chí Minh|land</x:v>
      </x:c>
      <x:c r="P6741" s="10" t="n">
        <x:v>2</x:v>
      </x:c>
      <x:c r="Q6741" s="13" t="n">
        <x:f>IF(H6741="","",H6741/1000000000)</x:f>
        <x:v>2.7</x:v>
      </x:c>
      <x:c r="R6741" s="13" t="n">
        <x:f>IF(I6741="","",I6741/1000000)</x:f>
        <x:v>32.14285714285714</x:v>
      </x:c>
    </x:row>
    <x:row r="6742" ht="21" customHeight="1">
      <x:c r="A6742" s="10" t="n">
        <x:v>8697</x:v>
      </x:c>
      <x:c r="B6742" s="2" t="str">
        <x:v>a544e5c3c00a2eb4a27c</x:v>
      </x:c>
      <x:c r="C6742" s="2" t="str">
        <x:v>Tp Hồ Chí Minh</x:v>
      </x:c>
      <x:c r="D6742" s="2" t="str">
        <x:v>Quận 7</x:v>
      </x:c>
      <x:c r="E6742" s="2" t="str">
        <x:v>house</x:v>
      </x:c>
      <x:c r="F6742" s="2" t="str">
        <x:v>sale_assumed</x:v>
      </x:c>
      <x:c r="G6742" s="11" t="n">
        <x:v>60</x:v>
      </x:c>
      <x:c r="H6742" s="12" t="n">
        <x:v>4200000000</x:v>
      </x:c>
      <x:c r="I6742" s="12" t="n">
        <x:v>70000000</x:v>
      </x:c>
      <x:c r="J6742" s="2" t="str">
        <x:v>total</x:v>
      </x:c>
      <x:c r="K6742" s="2" t="str">
        <x:v>top_level_area</x:v>
      </x:c>
      <x:c r="L6742" s="2" t="str">
        <x:v>property_type_inferred_from_title;transaction_assumed_sale_from_dataset_context</x:v>
      </x:c>
      <x:c r="M6742" s="10" t="n">
        <x:v>0</x:v>
      </x:c>
      <x:c r="N6742" s="10" t="n">
        <x:v>0</x:v>
      </x:c>
      <x:c r="O6742" s="2" t="str">
        <x:v>Tp Hồ Chí Minh|house</x:v>
      </x:c>
      <x:c r="P6742" s="10" t="n">
        <x:v>2</x:v>
      </x:c>
      <x:c r="Q6742" s="13" t="n">
        <x:f>IF(H6742="","",H6742/1000000000)</x:f>
        <x:v>4.2</x:v>
      </x:c>
      <x:c r="R6742" s="13" t="n">
        <x:f>IF(I6742="","",I6742/1000000)</x:f>
        <x:v>70</x:v>
      </x:c>
    </x:row>
    <x:row r="6743" ht="21" customHeight="1">
      <x:c r="A6743" s="10" t="n">
        <x:v>8698</x:v>
      </x:c>
      <x:c r="B6743" s="2" t="str">
        <x:v>68552698432f59b56b07</x:v>
      </x:c>
      <x:c r="C6743" s="2" t="str">
        <x:v>Lâm Đồng</x:v>
      </x:c>
      <x:c r="D6743" s="2" t="str">
        <x:v>Thành phố Bảo Lộc</x:v>
      </x:c>
      <x:c r="E6743" s="2" t="str">
        <x:v>other_unknown</x:v>
      </x:c>
      <x:c r="F6743" s="2" t="str">
        <x:v>sale_assumed</x:v>
      </x:c>
      <x:c r="G6743" s="11" t="n">
        <x:v>700</x:v>
      </x:c>
      <x:c r="H6743" s="12" t="n">
        <x:v>699000000</x:v>
      </x:c>
      <x:c r="I6743" s="12" t="n">
        <x:v>998571.4285714285</x:v>
      </x:c>
      <x:c r="J6743" s="2" t="str">
        <x:v>total</x:v>
      </x:c>
      <x:c r="K6743" s="2" t="str">
        <x:v>top_level_area</x:v>
      </x:c>
      <x:c r="L6743" s="2" t="str">
        <x:v>property_type_inferred_from_title;transaction_assumed_sale_from_dataset_context;unknown_property_type</x:v>
      </x:c>
      <x:c r="M6743" s="10" t="n">
        <x:v>0</x:v>
      </x:c>
      <x:c r="N6743" s="10" t="n">
        <x:v>0</x:v>
      </x:c>
      <x:c r="O6743" s="2" t="str">
        <x:v>other_unknown</x:v>
      </x:c>
      <x:c r="P6743" s="10" t="n">
        <x:v>1</x:v>
      </x:c>
      <x:c r="Q6743" s="13" t="n">
        <x:f>IF(H6743="","",H6743/1000000000)</x:f>
        <x:v>0.699</x:v>
      </x:c>
      <x:c r="R6743" s="13" t="n">
        <x:f>IF(I6743="","",I6743/1000000)</x:f>
        <x:v>0.9985714285714286</x:v>
      </x:c>
    </x:row>
    <x:row r="6744" ht="21" customHeight="1">
      <x:c r="A6744" s="10" t="n">
        <x:v>8699</x:v>
      </x:c>
      <x:c r="B6744" s="2" t="str">
        <x:v>35f4ff83f002cbd1d8af</x:v>
      </x:c>
      <x:c r="C6744" s="2" t="str">
        <x:v>Tp Hồ Chí Minh</x:v>
      </x:c>
      <x:c r="D6744" s="2" t="str">
        <x:v>Quận Tân Phú</x:v>
      </x:c>
      <x:c r="E6744" s="2" t="str">
        <x:v>other_unknown</x:v>
      </x:c>
      <x:c r="F6744" s="2" t="str">
        <x:v>sale</x:v>
      </x:c>
      <x:c r="G6744" s="11" t="n">
        <x:v>64</x:v>
      </x:c>
      <x:c r="H6744" s="12" t="n">
        <x:v>2750000000</x:v>
      </x:c>
      <x:c r="I6744" s="12" t="n">
        <x:v>42968750</x:v>
      </x:c>
      <x:c r="J6744" s="2" t="str">
        <x:v>total</x:v>
      </x:c>
      <x:c r="K6744" s="2" t="str">
        <x:v>top_level_area</x:v>
      </x:c>
      <x:c r="L6744" s="2" t="str">
        <x:v>property_type_inferred_from_title;unknown_property_type</x:v>
      </x:c>
      <x:c r="M6744" s="10" t="n">
        <x:v>0</x:v>
      </x:c>
      <x:c r="N6744" s="10" t="n">
        <x:v>0</x:v>
      </x:c>
      <x:c r="O6744" s="2" t="str">
        <x:v>Tp Hồ Chí Minh|other_unknown</x:v>
      </x:c>
      <x:c r="P6744" s="10" t="n">
        <x:v>2</x:v>
      </x:c>
      <x:c r="Q6744" s="13" t="n">
        <x:f>IF(H6744="","",H6744/1000000000)</x:f>
        <x:v>2.75</x:v>
      </x:c>
      <x:c r="R6744" s="13" t="n">
        <x:f>IF(I6744="","",I6744/1000000)</x:f>
        <x:v>42.96875</x:v>
      </x:c>
    </x:row>
    <x:row r="6745" ht="21" customHeight="1">
      <x:c r="A6745" s="10" t="n">
        <x:v>8700</x:v>
      </x:c>
      <x:c r="B6745" s="2" t="str">
        <x:v>e45661d715b070af5b0b</x:v>
      </x:c>
      <x:c r="C6745" s="2" t="str">
        <x:v>Tp Hồ Chí Minh</x:v>
      </x:c>
      <x:c r="D6745" s="2" t="str">
        <x:v>Quận 12</x:v>
      </x:c>
      <x:c r="E6745" s="2" t="str">
        <x:v>house</x:v>
      </x:c>
      <x:c r="F6745" s="2" t="str">
        <x:v>sale_assumed</x:v>
      </x:c>
      <x:c r="G6745" s="11" t="n">
        <x:v>60</x:v>
      </x:c>
      <x:c r="H6745" s="12" t="n">
        <x:v>5200000000</x:v>
      </x:c>
      <x:c r="I6745" s="12" t="n">
        <x:v>86666666.66666667</x:v>
      </x:c>
      <x:c r="J6745" s="2" t="str">
        <x:v>total</x:v>
      </x:c>
      <x:c r="K6745" s="2" t="str">
        <x:v>top_level_area</x:v>
      </x:c>
      <x:c r="L6745" s="2" t="str">
        <x:v>property_type_inferred_from_title;transaction_assumed_sale_from_dataset_context</x:v>
      </x:c>
      <x:c r="M6745" s="10" t="n">
        <x:v>0</x:v>
      </x:c>
      <x:c r="N6745" s="10" t="n">
        <x:v>0</x:v>
      </x:c>
      <x:c r="O6745" s="2" t="str">
        <x:v>Tp Hồ Chí Minh|house</x:v>
      </x:c>
      <x:c r="P6745" s="10" t="n">
        <x:v>2</x:v>
      </x:c>
      <x:c r="Q6745" s="13" t="n">
        <x:f>IF(H6745="","",H6745/1000000000)</x:f>
        <x:v>5.2</x:v>
      </x:c>
      <x:c r="R6745" s="13" t="n">
        <x:f>IF(I6745="","",I6745/1000000)</x:f>
        <x:v>86.66666666666667</x:v>
      </x:c>
    </x:row>
    <x:row r="6746" ht="21" customHeight="1">
      <x:c r="A6746" s="10" t="n">
        <x:v>8701</x:v>
      </x:c>
      <x:c r="B6746" s="2" t="str">
        <x:v>3873298021dc2e328a32</x:v>
      </x:c>
      <x:c r="C6746" s="2" t="str">
        <x:v>Hà Nội</x:v>
      </x:c>
      <x:c r="D6746" s="2" t="str">
        <x:v>Quận Hoàng Mai</x:v>
      </x:c>
      <x:c r="E6746" s="2" t="str">
        <x:v>other_unknown</x:v>
      </x:c>
      <x:c r="F6746" s="2" t="str">
        <x:v>sale</x:v>
      </x:c>
      <x:c r="G6746" s="11" t="n">
        <x:v>23</x:v>
      </x:c>
      <x:c r="H6746" s="12" t="n">
        <x:v>1850000000</x:v>
      </x:c>
      <x:c r="I6746" s="12" t="n">
        <x:v>80434782.60869566</x:v>
      </x:c>
      <x:c r="J6746" s="2" t="str">
        <x:v>total</x:v>
      </x:c>
      <x:c r="K6746" s="2" t="str">
        <x:v>top_level_area</x:v>
      </x:c>
      <x:c r="L6746" s="2" t="str">
        <x:v>property_type_inferred_from_title;unknown_property_type</x:v>
      </x:c>
      <x:c r="M6746" s="10" t="n">
        <x:v>0</x:v>
      </x:c>
      <x:c r="N6746" s="10" t="n">
        <x:v>0</x:v>
      </x:c>
      <x:c r="O6746" s="2" t="str">
        <x:v>Hà Nội|other_unknown</x:v>
      </x:c>
      <x:c r="P6746" s="10" t="n">
        <x:v>2</x:v>
      </x:c>
      <x:c r="Q6746" s="13" t="n">
        <x:f>IF(H6746="","",H6746/1000000000)</x:f>
        <x:v>1.85</x:v>
      </x:c>
      <x:c r="R6746" s="13" t="n">
        <x:f>IF(I6746="","",I6746/1000000)</x:f>
        <x:v>80.43478260869566</x:v>
      </x:c>
    </x:row>
    <x:row r="6747" ht="21" customHeight="1">
      <x:c r="A6747" s="10" t="n">
        <x:v>8702</x:v>
      </x:c>
      <x:c r="B6747" s="2" t="str">
        <x:v>20d8c61f9473c605178c</x:v>
      </x:c>
      <x:c r="C6747" s="2" t="str">
        <x:v>Bình Dương</x:v>
      </x:c>
      <x:c r="D6747" s="2" t="str">
        <x:v>Huyện Bàu Bàng</x:v>
      </x:c>
      <x:c r="E6747" s="2" t="str">
        <x:v>other_unknown</x:v>
      </x:c>
      <x:c r="F6747" s="2" t="str">
        <x:v>sale_assumed</x:v>
      </x:c>
      <x:c r="G6747" s="11" t="n">
        <x:v>550</x:v>
      </x:c>
      <x:c r="H6747" s="12" t="n">
        <x:v>500000000</x:v>
      </x:c>
      <x:c r="I6747" s="12" t="n">
        <x:v>909090.9090909091</x:v>
      </x:c>
      <x:c r="J6747" s="2" t="str">
        <x:v>total</x:v>
      </x:c>
      <x:c r="K6747" s="2" t="str">
        <x:v>top_level_area</x:v>
      </x:c>
      <x:c r="L6747" s="2" t="str">
        <x:v>property_type_inferred_from_title;transaction_assumed_sale_from_dataset_context;unknown_property_type</x:v>
      </x:c>
      <x:c r="M6747" s="10" t="n">
        <x:v>0</x:v>
      </x:c>
      <x:c r="N6747" s="10" t="n">
        <x:v>0</x:v>
      </x:c>
      <x:c r="O6747" s="2" t="str">
        <x:v>Bình Dương|other_unknown</x:v>
      </x:c>
      <x:c r="P6747" s="10" t="n">
        <x:v>1</x:v>
      </x:c>
      <x:c r="Q6747" s="13" t="n">
        <x:f>IF(H6747="","",H6747/1000000000)</x:f>
        <x:v>0.5</x:v>
      </x:c>
      <x:c r="R6747" s="13" t="n">
        <x:f>IF(I6747="","",I6747/1000000)</x:f>
        <x:v>0.9090909090909091</x:v>
      </x:c>
    </x:row>
    <x:row r="6748" ht="21" customHeight="1">
      <x:c r="A6748" s="10" t="n">
        <x:v>8703</x:v>
      </x:c>
      <x:c r="B6748" s="2" t="str">
        <x:v>6542dc07f6525ec783ba</x:v>
      </x:c>
      <x:c r="C6748" s="2" t="str">
        <x:v>Tp Hồ Chí Minh</x:v>
      </x:c>
      <x:c r="D6748" s="2" t="str">
        <x:v>Huyện Nhà Bè</x:v>
      </x:c>
      <x:c r="E6748" s="2" t="str">
        <x:v>house</x:v>
      </x:c>
      <x:c r="F6748" s="2" t="str">
        <x:v>sale_assumed</x:v>
      </x:c>
      <x:c r="G6748" s="11" t="n">
        <x:v>52</x:v>
      </x:c>
      <x:c r="H6748" s="12" t="n">
        <x:v>4600000000</x:v>
      </x:c>
      <x:c r="I6748" s="12" t="n">
        <x:v>88461538.46153846</x:v>
      </x:c>
      <x:c r="J6748" s="2" t="str">
        <x:v>total</x:v>
      </x:c>
      <x:c r="K6748" s="2" t="str">
        <x:v>top_level_area</x:v>
      </x:c>
      <x:c r="L6748" s="2" t="str">
        <x:v>property_type_inferred_from_title;transaction_assumed_sale_from_dataset_context</x:v>
      </x:c>
      <x:c r="M6748" s="10" t="n">
        <x:v>0</x:v>
      </x:c>
      <x:c r="N6748" s="10" t="n">
        <x:v>0</x:v>
      </x:c>
      <x:c r="O6748" s="2" t="str">
        <x:v>Tp Hồ Chí Minh|house</x:v>
      </x:c>
      <x:c r="P6748" s="10" t="n">
        <x:v>2</x:v>
      </x:c>
      <x:c r="Q6748" s="13" t="n">
        <x:f>IF(H6748="","",H6748/1000000000)</x:f>
        <x:v>4.6</x:v>
      </x:c>
      <x:c r="R6748" s="13" t="n">
        <x:f>IF(I6748="","",I6748/1000000)</x:f>
        <x:v>88.46153846153847</x:v>
      </x:c>
    </x:row>
    <x:row r="6749" ht="21" customHeight="1">
      <x:c r="A6749" s="10" t="n">
        <x:v>8704</x:v>
      </x:c>
      <x:c r="B6749" s="2" t="str">
        <x:v>7bcc2a0fc69ea703923d</x:v>
      </x:c>
      <x:c r="C6749" s="2" t="str">
        <x:v>Tp Hồ Chí Minh</x:v>
      </x:c>
      <x:c r="D6749" s="2" t="str">
        <x:v>Quận 9</x:v>
      </x:c>
      <x:c r="E6749" s="2" t="str">
        <x:v>other_unknown</x:v>
      </x:c>
      <x:c r="F6749" s="2" t="str">
        <x:v>sale</x:v>
      </x:c>
      <x:c r="G6749" s="11" t="n">
        <x:v>56</x:v>
      </x:c>
      <x:c r="H6749" s="12" t="n">
        <x:v>2049999999.9999998</x:v>
      </x:c>
      <x:c r="I6749" s="12" t="n">
        <x:v>36607142.85714285</x:v>
      </x:c>
      <x:c r="J6749" s="2" t="str">
        <x:v>total</x:v>
      </x:c>
      <x:c r="K6749" s="2" t="str">
        <x:v>top_level_area</x:v>
      </x:c>
      <x:c r="L6749" s="2" t="str">
        <x:v>property_type_inferred_from_title;unknown_property_type</x:v>
      </x:c>
      <x:c r="M6749" s="10" t="n">
        <x:v>0</x:v>
      </x:c>
      <x:c r="N6749" s="10" t="n">
        <x:v>0</x:v>
      </x:c>
      <x:c r="O6749" s="2" t="str">
        <x:v>Tp Hồ Chí Minh|other_unknown</x:v>
      </x:c>
      <x:c r="P6749" s="10" t="n">
        <x:v>2</x:v>
      </x:c>
      <x:c r="Q6749" s="13" t="n">
        <x:f>IF(H6749="","",H6749/1000000000)</x:f>
        <x:v>2.05</x:v>
      </x:c>
      <x:c r="R6749" s="13" t="n">
        <x:f>IF(I6749="","",I6749/1000000)</x:f>
        <x:v>36.607142857142854</x:v>
      </x:c>
    </x:row>
    <x:row r="6750" ht="21" customHeight="1">
      <x:c r="A6750" s="10" t="n">
        <x:v>8705</x:v>
      </x:c>
      <x:c r="B6750" s="2" t="str">
        <x:v>d7a20fe36acc4d034af2</x:v>
      </x:c>
      <x:c r="C6750" s="2" t="str">
        <x:v>Hà Nội</x:v>
      </x:c>
      <x:c r="D6750" s="2" t="str">
        <x:v>Quận Nam Từ Liêm</x:v>
      </x:c>
      <x:c r="E6750" s="2" t="str">
        <x:v>apartment</x:v>
      </x:c>
      <x:c r="F6750" s="2" t="str">
        <x:v>sale_assumed</x:v>
      </x:c>
      <x:c r="G6750" s="11" t="n">
        <x:v>58</x:v>
      </x:c>
      <x:c r="H6750" s="12" t="n">
        <x:v>1600000000</x:v>
      </x:c>
      <x:c r="I6750" s="12" t="n">
        <x:v>27586206.896551725</x:v>
      </x:c>
      <x:c r="J6750" s="2" t="str">
        <x:v>total</x:v>
      </x:c>
      <x:c r="K6750" s="2" t="str">
        <x:v>top_level_area</x:v>
      </x:c>
      <x:c r="L6750" s="2" t="str">
        <x:v>property_type_inferred_from_title;transaction_assumed_sale_from_dataset_context</x:v>
      </x:c>
      <x:c r="M6750" s="10" t="n">
        <x:v>0</x:v>
      </x:c>
      <x:c r="N6750" s="10" t="n">
        <x:v>0</x:v>
      </x:c>
      <x:c r="O6750" s="2" t="str">
        <x:v>Hà Nội|apartment</x:v>
      </x:c>
      <x:c r="P6750" s="10" t="n">
        <x:v>2</x:v>
      </x:c>
      <x:c r="Q6750" s="13" t="n">
        <x:f>IF(H6750="","",H6750/1000000000)</x:f>
        <x:v>1.6</x:v>
      </x:c>
      <x:c r="R6750" s="13" t="n">
        <x:f>IF(I6750="","",I6750/1000000)</x:f>
        <x:v>27.586206896551726</x:v>
      </x:c>
    </x:row>
    <x:row r="6751" ht="21" customHeight="1">
      <x:c r="A6751" s="10" t="n">
        <x:v>8706</x:v>
      </x:c>
      <x:c r="B6751" s="2" t="str">
        <x:v>5b845a66cd022ec34f45</x:v>
      </x:c>
      <x:c r="C6751" s="2" t="str">
        <x:v>Đà Nẵng</x:v>
      </x:c>
      <x:c r="D6751" s="2" t="str">
        <x:v>Quận Hải Châu</x:v>
      </x:c>
      <x:c r="E6751" s="2" t="str">
        <x:v>other_unknown</x:v>
      </x:c>
      <x:c r="F6751" s="2" t="str">
        <x:v>sale_assumed</x:v>
      </x:c>
      <x:c r="G6751" s="11" t="n">
        <x:v>61</x:v>
      </x:c>
      <x:c r="H6751" s="12" t="n">
        <x:v>2850000000</x:v>
      </x:c>
      <x:c r="I6751" s="12" t="n">
        <x:v>46721311.475409836</x:v>
      </x:c>
      <x:c r="J6751" s="2" t="str">
        <x:v>total</x:v>
      </x:c>
      <x:c r="K6751" s="2" t="str">
        <x:v>top_level_area</x:v>
      </x:c>
      <x:c r="L6751" s="2" t="str">
        <x:v>property_type_inferred_from_title;transaction_assumed_sale_from_dataset_context;unknown_property_type</x:v>
      </x:c>
      <x:c r="M6751" s="10" t="n">
        <x:v>0</x:v>
      </x:c>
      <x:c r="N6751" s="10" t="n">
        <x:v>0</x:v>
      </x:c>
      <x:c r="O6751" s="2" t="str">
        <x:v>Đà Nẵng|other_unknown</x:v>
      </x:c>
      <x:c r="P6751" s="10" t="n">
        <x:v>2</x:v>
      </x:c>
      <x:c r="Q6751" s="13" t="n">
        <x:f>IF(H6751="","",H6751/1000000000)</x:f>
        <x:v>2.85</x:v>
      </x:c>
      <x:c r="R6751" s="13" t="n">
        <x:f>IF(I6751="","",I6751/1000000)</x:f>
        <x:v>46.721311475409834</x:v>
      </x:c>
    </x:row>
    <x:row r="6752" ht="21" customHeight="1">
      <x:c r="A6752" s="10" t="n">
        <x:v>8707</x:v>
      </x:c>
      <x:c r="B6752" s="2" t="str">
        <x:v>b6553afe58b6ae36a9e8</x:v>
      </x:c>
      <x:c r="C6752" s="2" t="str">
        <x:v>Tp Hồ Chí Minh</x:v>
      </x:c>
      <x:c r="D6752" s="2" t="str">
        <x:v>Quận Tân Phú</x:v>
      </x:c>
      <x:c r="E6752" s="2" t="str">
        <x:v>house</x:v>
      </x:c>
      <x:c r="F6752" s="2" t="str">
        <x:v>sale_assumed</x:v>
      </x:c>
      <x:c r="G6752" s="11" t="n">
        <x:v>64</x:v>
      </x:c>
      <x:c r="H6752" s="12" t="n">
        <x:v>9700000000</x:v>
      </x:c>
      <x:c r="I6752" s="12" t="n">
        <x:v>151562500</x:v>
      </x:c>
      <x:c r="J6752" s="2" t="str">
        <x:v>total</x:v>
      </x:c>
      <x:c r="K6752" s="2" t="str">
        <x:v>top_level_area</x:v>
      </x:c>
      <x:c r="L6752" s="2" t="str">
        <x:v>property_type_inferred_from_title;transaction_assumed_sale_from_dataset_context</x:v>
      </x:c>
      <x:c r="M6752" s="10" t="n">
        <x:v>0</x:v>
      </x:c>
      <x:c r="N6752" s="10" t="n">
        <x:v>0</x:v>
      </x:c>
      <x:c r="O6752" s="2" t="str">
        <x:v>Tp Hồ Chí Minh|house</x:v>
      </x:c>
      <x:c r="P6752" s="10" t="n">
        <x:v>2</x:v>
      </x:c>
      <x:c r="Q6752" s="13" t="n">
        <x:f>IF(H6752="","",H6752/1000000000)</x:f>
        <x:v>9.7</x:v>
      </x:c>
      <x:c r="R6752" s="13" t="n">
        <x:f>IF(I6752="","",I6752/1000000)</x:f>
        <x:v>151.5625</x:v>
      </x:c>
    </x:row>
    <x:row r="6753" ht="21" customHeight="1">
      <x:c r="A6753" s="10" t="n">
        <x:v>8708</x:v>
      </x:c>
      <x:c r="B6753" s="2" t="str">
        <x:v>c9d3da6e9d06222da8d3</x:v>
      </x:c>
      <x:c r="C6753" s="2" t="str">
        <x:v>Tp Hồ Chí Minh</x:v>
      </x:c>
      <x:c r="D6753" s="2" t="str">
        <x:v>Quận Tân Bình</x:v>
      </x:c>
      <x:c r="E6753" s="2" t="str">
        <x:v>other_unknown</x:v>
      </x:c>
      <x:c r="F6753" s="2" t="str">
        <x:v>sale</x:v>
      </x:c>
      <x:c r="G6753" s="11" t="n">
        <x:v>74</x:v>
      </x:c>
      <x:c r="H6753" s="12" t="n">
        <x:v>3850000000</x:v>
      </x:c>
      <x:c r="I6753" s="12" t="n">
        <x:v>52027027.027027026</x:v>
      </x:c>
      <x:c r="J6753" s="2" t="str">
        <x:v>total</x:v>
      </x:c>
      <x:c r="K6753" s="2" t="str">
        <x:v>top_level_area</x:v>
      </x:c>
      <x:c r="L6753" s="2" t="str">
        <x:v>property_type_inferred_from_title;unknown_property_type</x:v>
      </x:c>
      <x:c r="M6753" s="10" t="n">
        <x:v>0</x:v>
      </x:c>
      <x:c r="N6753" s="10" t="n">
        <x:v>0</x:v>
      </x:c>
      <x:c r="O6753" s="2" t="str">
        <x:v>Tp Hồ Chí Minh|other_unknown</x:v>
      </x:c>
      <x:c r="P6753" s="10" t="n">
        <x:v>2</x:v>
      </x:c>
      <x:c r="Q6753" s="13" t="n">
        <x:f>IF(H6753="","",H6753/1000000000)</x:f>
        <x:v>3.85</x:v>
      </x:c>
      <x:c r="R6753" s="13" t="n">
        <x:f>IF(I6753="","",I6753/1000000)</x:f>
        <x:v>52.027027027027025</x:v>
      </x:c>
    </x:row>
    <x:row r="6754" ht="21" customHeight="1">
      <x:c r="A6754" s="10" t="n">
        <x:v>8710</x:v>
      </x:c>
      <x:c r="B6754" s="2" t="str">
        <x:v>407ae87fb5cbd80e8bfa</x:v>
      </x:c>
      <x:c r="C6754" s="2" t="str">
        <x:v>Tp Hồ Chí Minh</x:v>
      </x:c>
      <x:c r="D6754" s="2" t="str">
        <x:v>Quận Tân Phú</x:v>
      </x:c>
      <x:c r="E6754" s="2" t="str">
        <x:v>other_unknown</x:v>
      </x:c>
      <x:c r="F6754" s="2" t="str">
        <x:v>sale_assumed</x:v>
      </x:c>
      <x:c r="G6754" s="11" t="n">
        <x:v>107</x:v>
      </x:c>
      <x:c r="H6754" s="12" t="n">
        <x:v>12300000000</x:v>
      </x:c>
      <x:c r="I6754" s="12" t="n">
        <x:v>114953271.02803738</x:v>
      </x:c>
      <x:c r="J6754" s="2" t="str">
        <x:v>total</x:v>
      </x:c>
      <x:c r="K6754" s="2" t="str">
        <x:v>top_level_area</x:v>
      </x:c>
      <x:c r="L6754" s="2" t="str">
        <x:v>property_type_inferred_from_title;transaction_assumed_sale_from_dataset_context;unknown_property_type</x:v>
      </x:c>
      <x:c r="M6754" s="10" t="n">
        <x:v>0</x:v>
      </x:c>
      <x:c r="N6754" s="10" t="n">
        <x:v>0</x:v>
      </x:c>
      <x:c r="O6754" s="2" t="str">
        <x:v>Tp Hồ Chí Minh|other_unknown</x:v>
      </x:c>
      <x:c r="P6754" s="10" t="n">
        <x:v>2</x:v>
      </x:c>
      <x:c r="Q6754" s="13" t="n">
        <x:f>IF(H6754="","",H6754/1000000000)</x:f>
        <x:v>12.3</x:v>
      </x:c>
      <x:c r="R6754" s="13" t="n">
        <x:f>IF(I6754="","",I6754/1000000)</x:f>
        <x:v>114.95327102803738</x:v>
      </x:c>
    </x:row>
    <x:row r="6755" ht="21" customHeight="1">
      <x:c r="A6755" s="10" t="n">
        <x:v>8714</x:v>
      </x:c>
      <x:c r="B6755" s="2" t="str">
        <x:v>c53c28bbefb36e67f981</x:v>
      </x:c>
      <x:c r="C6755" s="2" t="str">
        <x:v>Tp Hồ Chí Minh</x:v>
      </x:c>
      <x:c r="D6755" s="2" t="str">
        <x:v>Quận 4</x:v>
      </x:c>
      <x:c r="E6755" s="2" t="str">
        <x:v>apartment</x:v>
      </x:c>
      <x:c r="F6755" s="2" t="str">
        <x:v>sale</x:v>
      </x:c>
      <x:c r="G6755" s="11" t="n">
        <x:v>101</x:v>
      </x:c>
      <x:c r="H6755" s="12" t="n">
        <x:v>5300000000</x:v>
      </x:c>
      <x:c r="I6755" s="12" t="n">
        <x:v>52475247.524752475</x:v>
      </x:c>
      <x:c r="J6755" s="2" t="str">
        <x:v>total</x:v>
      </x:c>
      <x:c r="K6755" s="2" t="str">
        <x:v>top_level_area</x:v>
      </x:c>
      <x:c r="L6755" s="2" t="str">
        <x:v>property_type_inferred_from_title</x:v>
      </x:c>
      <x:c r="M6755" s="10" t="n">
        <x:v>0</x:v>
      </x:c>
      <x:c r="N6755" s="10" t="n">
        <x:v>0</x:v>
      </x:c>
      <x:c r="O6755" s="2" t="str">
        <x:v>Tp Hồ Chí Minh|apartment</x:v>
      </x:c>
      <x:c r="P6755" s="10" t="n">
        <x:v>2</x:v>
      </x:c>
      <x:c r="Q6755" s="13" t="n">
        <x:f>IF(H6755="","",H6755/1000000000)</x:f>
        <x:v>5.3</x:v>
      </x:c>
      <x:c r="R6755" s="13" t="n">
        <x:f>IF(I6755="","",I6755/1000000)</x:f>
        <x:v>52.475247524752476</x:v>
      </x:c>
    </x:row>
    <x:row r="6756" ht="21" customHeight="1">
      <x:c r="A6756" s="10" t="n">
        <x:v>8715</x:v>
      </x:c>
      <x:c r="B6756" s="2" t="str">
        <x:v>fc57c9649a241f95b7a6</x:v>
      </x:c>
      <x:c r="C6756" s="2" t="str">
        <x:v>Tp Hồ Chí Minh</x:v>
      </x:c>
      <x:c r="D6756" s="2" t="str">
        <x:v>Huyện Nhà Bè</x:v>
      </x:c>
      <x:c r="E6756" s="2" t="str">
        <x:v>other_unknown</x:v>
      </x:c>
      <x:c r="F6756" s="2" t="str">
        <x:v>sale_assumed</x:v>
      </x:c>
      <x:c r="G6756" s="11" t="n">
        <x:v>83</x:v>
      </x:c>
      <x:c r="H6756" s="12" t="n">
        <x:v>3400000000</x:v>
      </x:c>
      <x:c r="I6756" s="12" t="n">
        <x:v>40963855.421686746</x:v>
      </x:c>
      <x:c r="J6756" s="2" t="str">
        <x:v>total</x:v>
      </x:c>
      <x:c r="K6756" s="2" t="str">
        <x:v>top_level_area</x:v>
      </x:c>
      <x:c r="L6756" s="2" t="str">
        <x:v>property_type_inferred_from_title;transaction_assumed_sale_from_dataset_context;unknown_property_type</x:v>
      </x:c>
      <x:c r="M6756" s="10" t="n">
        <x:v>0</x:v>
      </x:c>
      <x:c r="N6756" s="10" t="n">
        <x:v>0</x:v>
      </x:c>
      <x:c r="O6756" s="2" t="str">
        <x:v>Tp Hồ Chí Minh|other_unknown</x:v>
      </x:c>
      <x:c r="P6756" s="10" t="n">
        <x:v>2</x:v>
      </x:c>
      <x:c r="Q6756" s="13" t="n">
        <x:f>IF(H6756="","",H6756/1000000000)</x:f>
        <x:v>3.4</x:v>
      </x:c>
      <x:c r="R6756" s="13" t="n">
        <x:f>IF(I6756="","",I6756/1000000)</x:f>
        <x:v>40.963855421686745</x:v>
      </x:c>
    </x:row>
    <x:row r="6757" ht="21" customHeight="1">
      <x:c r="A6757" s="10" t="n">
        <x:v>8716</x:v>
      </x:c>
      <x:c r="B6757" s="2" t="str">
        <x:v>a4bee04103fb44a5038c</x:v>
      </x:c>
      <x:c r="C6757" s="2" t="str">
        <x:v>Sóc Trăng</x:v>
      </x:c>
      <x:c r="D6757" s="2" t="str">
        <x:v>Thành phố Sóc Trăng</x:v>
      </x:c>
      <x:c r="E6757" s="2" t="str">
        <x:v>house</x:v>
      </x:c>
      <x:c r="F6757" s="2" t="str">
        <x:v>sale</x:v>
      </x:c>
      <x:c r="G6757" s="11" t="n">
        <x:v>90</x:v>
      </x:c>
      <x:c r="H6757" s="12" t="n">
        <x:v>2000052000.0000002</x:v>
      </x:c>
      <x:c r="I6757" s="12" t="n">
        <x:v>22222800.000000004</x:v>
      </x:c>
      <x:c r="J6757" s="2" t="str">
        <x:v>total</x:v>
      </x:c>
      <x:c r="K6757" s="2" t="str">
        <x:v>top_level_area</x:v>
      </x:c>
      <x:c r="L6757" s="2" t="str">
        <x:v>property_type_inferred_from_title</x:v>
      </x:c>
      <x:c r="M6757" s="10" t="n">
        <x:v>0</x:v>
      </x:c>
      <x:c r="N6757" s="10" t="n">
        <x:v>0</x:v>
      </x:c>
      <x:c r="O6757" s="2" t="str">
        <x:v>house</x:v>
      </x:c>
      <x:c r="P6757" s="10" t="n">
        <x:v>2</x:v>
      </x:c>
      <x:c r="Q6757" s="13" t="n">
        <x:f>IF(H6757="","",H6757/1000000000)</x:f>
        <x:v>2.000052</x:v>
      </x:c>
      <x:c r="R6757" s="13" t="n">
        <x:f>IF(I6757="","",I6757/1000000)</x:f>
        <x:v>22.222800000000003</x:v>
      </x:c>
    </x:row>
    <x:row r="6758" ht="21" customHeight="1">
      <x:c r="A6758" s="10" t="n">
        <x:v>8717</x:v>
      </x:c>
      <x:c r="B6758" s="2" t="str">
        <x:v>d4f09d5c3ad58fb0f906</x:v>
      </x:c>
      <x:c r="C6758" s="2" t="str">
        <x:v>Tp Hồ Chí Minh</x:v>
      </x:c>
      <x:c r="D6758" s="2" t="str">
        <x:v>Quận 8</x:v>
      </x:c>
      <x:c r="E6758" s="2" t="str">
        <x:v>apartment</x:v>
      </x:c>
      <x:c r="F6758" s="2" t="str">
        <x:v>sale_assumed</x:v>
      </x:c>
      <x:c r="G6758" s="11" t="n">
        <x:v>25</x:v>
      </x:c>
      <x:c r="H6758" s="12" t="n">
        <x:v>880000000</x:v>
      </x:c>
      <x:c r="I6758" s="12" t="n">
        <x:v>35200000</x:v>
      </x:c>
      <x:c r="J6758" s="2" t="str">
        <x:v>total</x:v>
      </x:c>
      <x:c r="K6758" s="2" t="str">
        <x:v>top_level_area</x:v>
      </x:c>
      <x:c r="L6758" s="2" t="str">
        <x:v>property_type_inferred_from_title;transaction_assumed_sale_from_dataset_context</x:v>
      </x:c>
      <x:c r="M6758" s="10" t="n">
        <x:v>0</x:v>
      </x:c>
      <x:c r="N6758" s="10" t="n">
        <x:v>0</x:v>
      </x:c>
      <x:c r="O6758" s="2" t="str">
        <x:v>Tp Hồ Chí Minh|apartment</x:v>
      </x:c>
      <x:c r="P6758" s="10" t="n">
        <x:v>2</x:v>
      </x:c>
      <x:c r="Q6758" s="13" t="n">
        <x:f>IF(H6758="","",H6758/1000000000)</x:f>
        <x:v>0.88</x:v>
      </x:c>
      <x:c r="R6758" s="13" t="n">
        <x:f>IF(I6758="","",I6758/1000000)</x:f>
        <x:v>35.2</x:v>
      </x:c>
    </x:row>
    <x:row r="6759" ht="21" customHeight="1">
      <x:c r="A6759" s="10" t="n">
        <x:v>8718</x:v>
      </x:c>
      <x:c r="B6759" s="2" t="str">
        <x:v>35a772afdc5fd7082ab7</x:v>
      </x:c>
      <x:c r="C6759" s="2" t="str">
        <x:v>Tp Hồ Chí Minh</x:v>
      </x:c>
      <x:c r="D6759" s="2" t="str">
        <x:v>Quận Gò Vấp</x:v>
      </x:c>
      <x:c r="E6759" s="2" t="str">
        <x:v>house</x:v>
      </x:c>
      <x:c r="F6759" s="2" t="str">
        <x:v>sale_assumed</x:v>
      </x:c>
      <x:c r="G6759" s="11" t="n">
        <x:v>25</x:v>
      </x:c>
      <x:c r="H6759" s="12" t="n">
        <x:v>2620000000</x:v>
      </x:c>
      <x:c r="I6759" s="12" t="n">
        <x:v>104800000</x:v>
      </x:c>
      <x:c r="J6759" s="2" t="str">
        <x:v>total</x:v>
      </x:c>
      <x:c r="K6759" s="2" t="str">
        <x:v>top_level_area</x:v>
      </x:c>
      <x:c r="L6759" s="2" t="str">
        <x:v>property_type_inferred_from_title;transaction_assumed_sale_from_dataset_context</x:v>
      </x:c>
      <x:c r="M6759" s="10" t="n">
        <x:v>0</x:v>
      </x:c>
      <x:c r="N6759" s="10" t="n">
        <x:v>0</x:v>
      </x:c>
      <x:c r="O6759" s="2" t="str">
        <x:v>Tp Hồ Chí Minh|house</x:v>
      </x:c>
      <x:c r="P6759" s="10" t="n">
        <x:v>2</x:v>
      </x:c>
      <x:c r="Q6759" s="13" t="n">
        <x:f>IF(H6759="","",H6759/1000000000)</x:f>
        <x:v>2.62</x:v>
      </x:c>
      <x:c r="R6759" s="13" t="n">
        <x:f>IF(I6759="","",I6759/1000000)</x:f>
        <x:v>104.8</x:v>
      </x:c>
    </x:row>
    <x:row r="6760" ht="21" customHeight="1">
      <x:c r="A6760" s="10" t="n">
        <x:v>8719</x:v>
      </x:c>
      <x:c r="B6760" s="2" t="str">
        <x:v>817097b217495d63edf3</x:v>
      </x:c>
      <x:c r="C6760" s="2" t="str">
        <x:v>Long An</x:v>
      </x:c>
      <x:c r="D6760" s="2" t="str">
        <x:v>Huyện Đức Hòa</x:v>
      </x:c>
      <x:c r="E6760" s="2" t="str">
        <x:v>house</x:v>
      </x:c>
      <x:c r="F6760" s="2" t="str">
        <x:v>sale_assumed</x:v>
      </x:c>
      <x:c r="G6760" s="11" t="n">
        <x:v>18</x:v>
      </x:c>
      <x:c r="H6760" s="12" t="n">
        <x:v>350000000</x:v>
      </x:c>
      <x:c r="I6760" s="12" t="n">
        <x:v>19444444.444444444</x:v>
      </x:c>
      <x:c r="J6760" s="2" t="str">
        <x:v>total</x:v>
      </x:c>
      <x:c r="K6760" s="2" t="str">
        <x:v>top_level_price_embedded_area</x:v>
      </x:c>
      <x:c r="L6760" s="2" t="str">
        <x:v>area_recovered_from_price_text;property_type_inferred_from_title;transaction_assumed_sale_from_dataset_context</x:v>
      </x:c>
      <x:c r="M6760" s="10" t="n">
        <x:v>0</x:v>
      </x:c>
      <x:c r="N6760" s="10" t="n">
        <x:v>0</x:v>
      </x:c>
      <x:c r="O6760" s="2" t="str">
        <x:v>Long An|house</x:v>
      </x:c>
      <x:c r="P6760" s="10" t="n">
        <x:v>2</x:v>
      </x:c>
      <x:c r="Q6760" s="13" t="n">
        <x:f>IF(H6760="","",H6760/1000000000)</x:f>
        <x:v>0.35</x:v>
      </x:c>
      <x:c r="R6760" s="13" t="n">
        <x:f>IF(I6760="","",I6760/1000000)</x:f>
        <x:v>19.444444444444443</x:v>
      </x:c>
    </x:row>
    <x:row r="6761" ht="21" customHeight="1">
      <x:c r="A6761" s="10" t="n">
        <x:v>8720</x:v>
      </x:c>
      <x:c r="B6761" s="2" t="str">
        <x:v>888fd8bf700f2b0fc182</x:v>
      </x:c>
      <x:c r="C6761" s="2" t="str">
        <x:v>Long An</x:v>
      </x:c>
      <x:c r="D6761" s="2" t="str">
        <x:v>Huyện Bến Lức</x:v>
      </x:c>
      <x:c r="E6761" s="2" t="str">
        <x:v>land</x:v>
      </x:c>
      <x:c r="F6761" s="2" t="str">
        <x:v>sale_assumed</x:v>
      </x:c>
      <x:c r="G6761" s="11" t="n">
        <x:v>95</x:v>
      </x:c>
      <x:c r="H6761" s="12" t="n">
        <x:v>890000000</x:v>
      </x:c>
      <x:c r="I6761" s="12" t="n">
        <x:v>9368421.05263158</x:v>
      </x:c>
      <x:c r="J6761" s="2" t="str">
        <x:v>total</x:v>
      </x:c>
      <x:c r="K6761" s="2" t="str">
        <x:v>top_level_area</x:v>
      </x:c>
      <x:c r="L6761" s="2" t="str">
        <x:v>property_type_inferred_from_title;transaction_assumed_sale_from_dataset_context</x:v>
      </x:c>
      <x:c r="M6761" s="10" t="n">
        <x:v>0</x:v>
      </x:c>
      <x:c r="N6761" s="10" t="n">
        <x:v>0</x:v>
      </x:c>
      <x:c r="O6761" s="2" t="str">
        <x:v>Long An|land</x:v>
      </x:c>
      <x:c r="P6761" s="10" t="n">
        <x:v>2</x:v>
      </x:c>
      <x:c r="Q6761" s="13" t="n">
        <x:f>IF(H6761="","",H6761/1000000000)</x:f>
        <x:v>0.89</x:v>
      </x:c>
      <x:c r="R6761" s="13" t="n">
        <x:f>IF(I6761="","",I6761/1000000)</x:f>
        <x:v>9.368421052631579</x:v>
      </x:c>
    </x:row>
    <x:row r="6762" ht="21" customHeight="1">
      <x:c r="A6762" s="10" t="n">
        <x:v>8721</x:v>
      </x:c>
      <x:c r="B6762" s="2" t="str">
        <x:v>a50abef5276618de69f2</x:v>
      </x:c>
      <x:c r="C6762" s="2" t="str">
        <x:v>Bến Tre</x:v>
      </x:c>
      <x:c r="D6762" s="2" t="str">
        <x:v>Huyện Bình Đại</x:v>
      </x:c>
      <x:c r="E6762" s="2" t="str">
        <x:v>land</x:v>
      </x:c>
      <x:c r="F6762" s="2" t="str">
        <x:v>sale_assumed</x:v>
      </x:c>
      <x:c r="G6762" s="11" t="n">
        <x:v>2000</x:v>
      </x:c>
      <x:c r="H6762" s="12" t="n">
        <x:v>560000000</x:v>
      </x:c>
      <x:c r="I6762" s="12" t="n">
        <x:v>280000</x:v>
      </x:c>
      <x:c r="J6762" s="2" t="str">
        <x:v>total</x:v>
      </x:c>
      <x:c r="K6762" s="2" t="str">
        <x:v>top_level_area</x:v>
      </x:c>
      <x:c r="L6762" s="2" t="str">
        <x:v>dot_thousands_convention;property_type_inferred_from_title;transaction_assumed_sale_from_dataset_context</x:v>
      </x:c>
      <x:c r="M6762" s="10" t="n">
        <x:v>0</x:v>
      </x:c>
      <x:c r="N6762" s="10" t="n">
        <x:v>0</x:v>
      </x:c>
      <x:c r="O6762" s="2" t="str">
        <x:v>Bến Tre|land</x:v>
      </x:c>
      <x:c r="P6762" s="10" t="n">
        <x:v>1</x:v>
      </x:c>
      <x:c r="Q6762" s="13" t="n">
        <x:f>IF(H6762="","",H6762/1000000000)</x:f>
        <x:v>0.56</x:v>
      </x:c>
      <x:c r="R6762" s="13" t="n">
        <x:f>IF(I6762="","",I6762/1000000)</x:f>
        <x:v>0.28</x:v>
      </x:c>
    </x:row>
    <x:row r="6763" ht="21" customHeight="1">
      <x:c r="A6763" s="10" t="n">
        <x:v>8722</x:v>
      </x:c>
      <x:c r="B6763" s="2" t="str">
        <x:v>2c0c2b97317477b50c05</x:v>
      </x:c>
      <x:c r="C6763" s="2" t="str">
        <x:v>Chưa xác định</x:v>
      </x:c>
      <x:c r="D6763" s="2" t="str">
        <x:v>Chưa xác định</x:v>
      </x:c>
      <x:c r="E6763" s="2" t="str">
        <x:v>house</x:v>
      </x:c>
      <x:c r="F6763" s="2" t="str">
        <x:v>sale_assumed</x:v>
      </x:c>
      <x:c r="G6763" s="11" t="n">
        <x:v>40</x:v>
      </x:c>
      <x:c r="H6763" s="12" t="n">
        <x:v>1890000000</x:v>
      </x:c>
      <x:c r="I6763" s="12" t="n">
        <x:v>47250000</x:v>
      </x:c>
      <x:c r="J6763" s="2" t="str">
        <x:v>total</x:v>
      </x:c>
      <x:c r="K6763" s="2" t="str">
        <x:v>top_level_price_embedded_area</x:v>
      </x:c>
      <x:c r="L6763" s="2" t="str">
        <x:v>area_recovered_from_price_text;property_type_inferred_from_title;transaction_assumed_sale_from_dataset_context;unknown_district;unknown_province</x:v>
      </x:c>
      <x:c r="M6763" s="10" t="n">
        <x:v>0</x:v>
      </x:c>
      <x:c r="N6763" s="10" t="n">
        <x:v>0</x:v>
      </x:c>
      <x:c r="O6763" s="2" t="str">
        <x:v>house</x:v>
      </x:c>
      <x:c r="P6763" s="10" t="n">
        <x:v>2</x:v>
      </x:c>
      <x:c r="Q6763" s="13" t="n">
        <x:f>IF(H6763="","",H6763/1000000000)</x:f>
        <x:v>1.89</x:v>
      </x:c>
      <x:c r="R6763" s="13" t="n">
        <x:f>IF(I6763="","",I6763/1000000)</x:f>
        <x:v>47.25</x:v>
      </x:c>
    </x:row>
    <x:row r="6764" ht="21" customHeight="1">
      <x:c r="A6764" s="10" t="n">
        <x:v>8723</x:v>
      </x:c>
      <x:c r="B6764" s="2" t="str">
        <x:v>337a8ca7895ea952f004</x:v>
      </x:c>
      <x:c r="C6764" s="2" t="str">
        <x:v>Tp Hồ Chí Minh</x:v>
      </x:c>
      <x:c r="D6764" s="2" t="str">
        <x:v>Quận Tân Phú</x:v>
      </x:c>
      <x:c r="E6764" s="2" t="str">
        <x:v>house</x:v>
      </x:c>
      <x:c r="F6764" s="2" t="str">
        <x:v>sale</x:v>
      </x:c>
      <x:c r="G6764" s="11" t="n">
        <x:v>56</x:v>
      </x:c>
      <x:c r="H6764" s="12" t="n">
        <x:v>3350000000</x:v>
      </x:c>
      <x:c r="I6764" s="12" t="n">
        <x:v>59821428.571428575</x:v>
      </x:c>
      <x:c r="J6764" s="2" t="str">
        <x:v>total</x:v>
      </x:c>
      <x:c r="K6764" s="2" t="str">
        <x:v>top_level_area</x:v>
      </x:c>
      <x:c r="L6764" s="2" t="str">
        <x:v>property_type_inferred_from_title</x:v>
      </x:c>
      <x:c r="M6764" s="10" t="n">
        <x:v>0</x:v>
      </x:c>
      <x:c r="N6764" s="10" t="n">
        <x:v>0</x:v>
      </x:c>
      <x:c r="O6764" s="2" t="str">
        <x:v>Tp Hồ Chí Minh|house</x:v>
      </x:c>
      <x:c r="P6764" s="10" t="n">
        <x:v>2</x:v>
      </x:c>
      <x:c r="Q6764" s="13" t="n">
        <x:f>IF(H6764="","",H6764/1000000000)</x:f>
        <x:v>3.35</x:v>
      </x:c>
      <x:c r="R6764" s="13" t="n">
        <x:f>IF(I6764="","",I6764/1000000)</x:f>
        <x:v>59.82142857142858</x:v>
      </x:c>
    </x:row>
    <x:row r="6765" ht="21" customHeight="1">
      <x:c r="A6765" s="10" t="n">
        <x:v>8724</x:v>
      </x:c>
      <x:c r="B6765" s="2" t="str">
        <x:v>09b1ab093563251293fc</x:v>
      </x:c>
      <x:c r="C6765" s="2" t="str">
        <x:v>Hà Nội</x:v>
      </x:c>
      <x:c r="D6765" s="2" t="str">
        <x:v>Quận Hà Đông</x:v>
      </x:c>
      <x:c r="E6765" s="2" t="str">
        <x:v>house</x:v>
      </x:c>
      <x:c r="F6765" s="2" t="str">
        <x:v>sale</x:v>
      </x:c>
      <x:c r="G6765" s="11" t="n">
        <x:v>34</x:v>
      </x:c>
      <x:c r="H6765" s="12" t="n">
        <x:v>2850000000</x:v>
      </x:c>
      <x:c r="I6765" s="12" t="n">
        <x:v>83823529.41176471</x:v>
      </x:c>
      <x:c r="J6765" s="2" t="str">
        <x:v>total</x:v>
      </x:c>
      <x:c r="K6765" s="2" t="str">
        <x:v>top_level_area</x:v>
      </x:c>
      <x:c r="L6765" s="2" t="str">
        <x:v>property_type_inferred_from_title</x:v>
      </x:c>
      <x:c r="M6765" s="10" t="n">
        <x:v>0</x:v>
      </x:c>
      <x:c r="N6765" s="10" t="n">
        <x:v>0</x:v>
      </x:c>
      <x:c r="O6765" s="2" t="str">
        <x:v>Hà Nội|house</x:v>
      </x:c>
      <x:c r="P6765" s="10" t="n">
        <x:v>2</x:v>
      </x:c>
      <x:c r="Q6765" s="13" t="n">
        <x:f>IF(H6765="","",H6765/1000000000)</x:f>
        <x:v>2.85</x:v>
      </x:c>
      <x:c r="R6765" s="13" t="n">
        <x:f>IF(I6765="","",I6765/1000000)</x:f>
        <x:v>83.82352941176471</x:v>
      </x:c>
    </x:row>
    <x:row r="6766" ht="21" customHeight="1">
      <x:c r="A6766" s="10" t="n">
        <x:v>8725</x:v>
      </x:c>
      <x:c r="B6766" s="2" t="str">
        <x:v>6ce66ee3fb63caa85c0c</x:v>
      </x:c>
      <x:c r="C6766" s="2" t="str">
        <x:v>Tp Hồ Chí Minh</x:v>
      </x:c>
      <x:c r="D6766" s="2" t="str">
        <x:v>Quận Bình Thạnh</x:v>
      </x:c>
      <x:c r="E6766" s="2" t="str">
        <x:v>house</x:v>
      </x:c>
      <x:c r="F6766" s="2" t="str">
        <x:v>sale</x:v>
      </x:c>
      <x:c r="G6766" s="11" t="n">
        <x:v>72</x:v>
      </x:c>
      <x:c r="H6766" s="12" t="n">
        <x:v>6860000000</x:v>
      </x:c>
      <x:c r="I6766" s="12" t="n">
        <x:v>95277777.77777778</x:v>
      </x:c>
      <x:c r="J6766" s="2" t="str">
        <x:v>total</x:v>
      </x:c>
      <x:c r="K6766" s="2" t="str">
        <x:v>top_level_area</x:v>
      </x:c>
      <x:c r="L6766" s="2" t="str">
        <x:v>property_type_inferred_from_title</x:v>
      </x:c>
      <x:c r="M6766" s="10" t="n">
        <x:v>0</x:v>
      </x:c>
      <x:c r="N6766" s="10" t="n">
        <x:v>0</x:v>
      </x:c>
      <x:c r="O6766" s="2" t="str">
        <x:v>Tp Hồ Chí Minh|house</x:v>
      </x:c>
      <x:c r="P6766" s="10" t="n">
        <x:v>2</x:v>
      </x:c>
      <x:c r="Q6766" s="13" t="n">
        <x:f>IF(H6766="","",H6766/1000000000)</x:f>
        <x:v>6.86</x:v>
      </x:c>
      <x:c r="R6766" s="13" t="n">
        <x:f>IF(I6766="","",I6766/1000000)</x:f>
        <x:v>95.27777777777777</x:v>
      </x:c>
    </x:row>
    <x:row r="6767" ht="21" customHeight="1">
      <x:c r="A6767" s="10" t="n">
        <x:v>8726</x:v>
      </x:c>
      <x:c r="B6767" s="2" t="str">
        <x:v>946760d2a437066801d5</x:v>
      </x:c>
      <x:c r="C6767" s="2" t="str">
        <x:v>Tp Hồ Chí Minh</x:v>
      </x:c>
      <x:c r="D6767" s="2" t="str">
        <x:v>Quận Bình Tân</x:v>
      </x:c>
      <x:c r="E6767" s="2" t="str">
        <x:v>house</x:v>
      </x:c>
      <x:c r="F6767" s="2" t="str">
        <x:v>sale</x:v>
      </x:c>
      <x:c r="G6767" s="11" t="n">
        <x:v>120</x:v>
      </x:c>
      <x:c r="H6767" s="12" t="n">
        <x:v>5350000000</x:v>
      </x:c>
      <x:c r="I6767" s="12" t="n">
        <x:v>44583333.333333336</x:v>
      </x:c>
      <x:c r="J6767" s="2" t="str">
        <x:v>total</x:v>
      </x:c>
      <x:c r="K6767" s="2" t="str">
        <x:v>top_level_area</x:v>
      </x:c>
      <x:c r="L6767" s="2" t="str">
        <x:v>property_type_inferred_from_title</x:v>
      </x:c>
      <x:c r="M6767" s="10" t="n">
        <x:v>0</x:v>
      </x:c>
      <x:c r="N6767" s="10" t="n">
        <x:v>0</x:v>
      </x:c>
      <x:c r="O6767" s="2" t="str">
        <x:v>Tp Hồ Chí Minh|house</x:v>
      </x:c>
      <x:c r="P6767" s="10" t="n">
        <x:v>2</x:v>
      </x:c>
      <x:c r="Q6767" s="13" t="n">
        <x:f>IF(H6767="","",H6767/1000000000)</x:f>
        <x:v>5.35</x:v>
      </x:c>
      <x:c r="R6767" s="13" t="n">
        <x:f>IF(I6767="","",I6767/1000000)</x:f>
        <x:v>44.583333333333336</x:v>
      </x:c>
    </x:row>
    <x:row r="6768" ht="21" customHeight="1">
      <x:c r="A6768" s="10" t="n">
        <x:v>8727</x:v>
      </x:c>
      <x:c r="B6768" s="2" t="str">
        <x:v>3f957feb4e68658eebbf</x:v>
      </x:c>
      <x:c r="C6768" s="2" t="str">
        <x:v>Hà Nội</x:v>
      </x:c>
      <x:c r="D6768" s="2" t="str">
        <x:v>Quận Hà Đông</x:v>
      </x:c>
      <x:c r="E6768" s="2" t="str">
        <x:v>house</x:v>
      </x:c>
      <x:c r="F6768" s="2" t="str">
        <x:v>sale_assumed</x:v>
      </x:c>
      <x:c r="G6768" s="11" t="n">
        <x:v>30.06</x:v>
      </x:c>
      <x:c r="H6768" s="12" t="n">
        <x:v>1556000000</x:v>
      </x:c>
      <x:c r="I6768" s="12" t="n">
        <x:v>51763140.38589488</x:v>
      </x:c>
      <x:c r="J6768" s="2" t="str">
        <x:v>total</x:v>
      </x:c>
      <x:c r="K6768" s="2" t="str">
        <x:v>top_level_area</x:v>
      </x:c>
      <x:c r="L6768" s="2" t="str">
        <x:v>property_type_inferred_from_title;transaction_assumed_sale_from_dataset_context</x:v>
      </x:c>
      <x:c r="M6768" s="10" t="n">
        <x:v>0</x:v>
      </x:c>
      <x:c r="N6768" s="10" t="n">
        <x:v>0</x:v>
      </x:c>
      <x:c r="O6768" s="2" t="str">
        <x:v>Hà Nội|house</x:v>
      </x:c>
      <x:c r="P6768" s="10" t="n">
        <x:v>2</x:v>
      </x:c>
      <x:c r="Q6768" s="13" t="n">
        <x:f>IF(H6768="","",H6768/1000000000)</x:f>
        <x:v>1.556</x:v>
      </x:c>
      <x:c r="R6768" s="13" t="n">
        <x:f>IF(I6768="","",I6768/1000000)</x:f>
        <x:v>51.76314038589488</x:v>
      </x:c>
    </x:row>
    <x:row r="6769" ht="21" customHeight="1">
      <x:c r="A6769" s="10" t="n">
        <x:v>8728</x:v>
      </x:c>
      <x:c r="B6769" s="2" t="str">
        <x:v>e38fd11013e0d2a9679e</x:v>
      </x:c>
      <x:c r="C6769" s="2" t="str">
        <x:v>Hà Nội</x:v>
      </x:c>
      <x:c r="D6769" s="2" t="str">
        <x:v>Huyện Đan Phượng</x:v>
      </x:c>
      <x:c r="E6769" s="2" t="str">
        <x:v>house</x:v>
      </x:c>
      <x:c r="F6769" s="2" t="str">
        <x:v>sale</x:v>
      </x:c>
      <x:c r="G6769" s="11" t="n">
        <x:v>400</x:v>
      </x:c>
      <x:c r="H6769" s="12" t="n">
        <x:v>10000000000</x:v>
      </x:c>
      <x:c r="I6769" s="12" t="n">
        <x:v>25000000</x:v>
      </x:c>
      <x:c r="J6769" s="2" t="str">
        <x:v>total</x:v>
      </x:c>
      <x:c r="K6769" s="2" t="str">
        <x:v>top_level_area</x:v>
      </x:c>
      <x:c r="L6769" s="2" t="str">
        <x:v>property_type_inferred_from_title</x:v>
      </x:c>
      <x:c r="M6769" s="10" t="n">
        <x:v>0</x:v>
      </x:c>
      <x:c r="N6769" s="10" t="n">
        <x:v>0</x:v>
      </x:c>
      <x:c r="O6769" s="2" t="str">
        <x:v>Hà Nội|house</x:v>
      </x:c>
      <x:c r="P6769" s="10" t="n">
        <x:v>2</x:v>
      </x:c>
      <x:c r="Q6769" s="13" t="n">
        <x:f>IF(H6769="","",H6769/1000000000)</x:f>
        <x:v>10</x:v>
      </x:c>
      <x:c r="R6769" s="13" t="n">
        <x:f>IF(I6769="","",I6769/1000000)</x:f>
        <x:v>25</x:v>
      </x:c>
    </x:row>
    <x:row r="6770" ht="21" customHeight="1">
      <x:c r="A6770" s="10" t="n">
        <x:v>8729</x:v>
      </x:c>
      <x:c r="B6770" s="2" t="str">
        <x:v>058ee8fb74c4ce75cc5f</x:v>
      </x:c>
      <x:c r="C6770" s="2" t="str">
        <x:v>Tp Hồ Chí Minh</x:v>
      </x:c>
      <x:c r="D6770" s="2" t="str">
        <x:v>Quận Thủ Đức</x:v>
      </x:c>
      <x:c r="E6770" s="2" t="str">
        <x:v>house</x:v>
      </x:c>
      <x:c r="F6770" s="2" t="str">
        <x:v>sale</x:v>
      </x:c>
      <x:c r="G6770" s="11" t="n">
        <x:v>60</x:v>
      </x:c>
      <x:c r="H6770" s="12" t="n">
        <x:v>919000000</x:v>
      </x:c>
      <x:c r="I6770" s="12" t="n">
        <x:v>15316666.666666666</x:v>
      </x:c>
      <x:c r="J6770" s="2" t="str">
        <x:v>total</x:v>
      </x:c>
      <x:c r="K6770" s="2" t="str">
        <x:v>top_level_area</x:v>
      </x:c>
      <x:c r="L6770" s="2" t="str">
        <x:v>property_type_inferred_from_title</x:v>
      </x:c>
      <x:c r="M6770" s="10" t="n">
        <x:v>0</x:v>
      </x:c>
      <x:c r="N6770" s="10" t="n">
        <x:v>0</x:v>
      </x:c>
      <x:c r="O6770" s="2" t="str">
        <x:v>Tp Hồ Chí Minh|house</x:v>
      </x:c>
      <x:c r="P6770" s="10" t="n">
        <x:v>2</x:v>
      </x:c>
      <x:c r="Q6770" s="13" t="n">
        <x:f>IF(H6770="","",H6770/1000000000)</x:f>
        <x:v>0.919</x:v>
      </x:c>
      <x:c r="R6770" s="13" t="n">
        <x:f>IF(I6770="","",I6770/1000000)</x:f>
        <x:v>15.316666666666666</x:v>
      </x:c>
    </x:row>
    <x:row r="6771" ht="21" customHeight="1">
      <x:c r="A6771" s="10" t="n">
        <x:v>8730</x:v>
      </x:c>
      <x:c r="B6771" s="2" t="str">
        <x:v>d9dd9c9378f6805dac9c</x:v>
      </x:c>
      <x:c r="C6771" s="2" t="str">
        <x:v>Bình Dương</x:v>
      </x:c>
      <x:c r="D6771" s="2" t="str">
        <x:v>Thị xã Dĩ An</x:v>
      </x:c>
      <x:c r="E6771" s="2" t="str">
        <x:v>other_unknown</x:v>
      </x:c>
      <x:c r="F6771" s="2" t="str">
        <x:v>sale_assumed</x:v>
      </x:c>
      <x:c r="G6771" s="11" t="n">
        <x:v>46</x:v>
      </x:c>
      <x:c r="H6771" s="12" t="n">
        <x:v>1115000000</x:v>
      </x:c>
      <x:c r="I6771" s="12" t="n">
        <x:v>24239130.43478261</x:v>
      </x:c>
      <x:c r="J6771" s="2" t="str">
        <x:v>total</x:v>
      </x:c>
      <x:c r="K6771" s="2" t="str">
        <x:v>top_level_area</x:v>
      </x:c>
      <x:c r="L6771" s="2" t="str">
        <x:v>property_type_inferred_from_title;transaction_assumed_sale_from_dataset_context;unknown_property_type</x:v>
      </x:c>
      <x:c r="M6771" s="10" t="n">
        <x:v>0</x:v>
      </x:c>
      <x:c r="N6771" s="10" t="n">
        <x:v>0</x:v>
      </x:c>
      <x:c r="O6771" s="2" t="str">
        <x:v>Bình Dương|other_unknown</x:v>
      </x:c>
      <x:c r="P6771" s="10" t="n">
        <x:v>2</x:v>
      </x:c>
      <x:c r="Q6771" s="13" t="n">
        <x:f>IF(H6771="","",H6771/1000000000)</x:f>
        <x:v>1.115</x:v>
      </x:c>
      <x:c r="R6771" s="13" t="n">
        <x:f>IF(I6771="","",I6771/1000000)</x:f>
        <x:v>24.23913043478261</x:v>
      </x:c>
    </x:row>
    <x:row r="6772" ht="21" customHeight="1">
      <x:c r="A6772" s="10" t="n">
        <x:v>8731</x:v>
      </x:c>
      <x:c r="B6772" s="2" t="str">
        <x:v>760bf3f22186e3361c06</x:v>
      </x:c>
      <x:c r="C6772" s="2" t="str">
        <x:v>Nam Định</x:v>
      </x:c>
      <x:c r="D6772" s="2" t="str">
        <x:v>Thành phố Nam Định</x:v>
      </x:c>
      <x:c r="E6772" s="2" t="str">
        <x:v>land</x:v>
      </x:c>
      <x:c r="F6772" s="2" t="str">
        <x:v>sale_assumed</x:v>
      </x:c>
      <x:c r="G6772" s="11" t="n">
        <x:v>48</x:v>
      </x:c>
      <x:c r="H6772" s="12" t="n">
        <x:v>100000000</x:v>
      </x:c>
      <x:c r="I6772" s="12" t="n">
        <x:v>2083333.3333333333</x:v>
      </x:c>
      <x:c r="J6772" s="2" t="str">
        <x:v>total</x:v>
      </x:c>
      <x:c r="K6772" s="2" t="str">
        <x:v>top_level_area</x:v>
      </x:c>
      <x:c r="L6772" s="2" t="str">
        <x:v>property_type_inferred_from_title;transaction_assumed_sale_from_dataset_context</x:v>
      </x:c>
      <x:c r="M6772" s="10" t="n">
        <x:v>0</x:v>
      </x:c>
      <x:c r="N6772" s="10" t="n">
        <x:v>0</x:v>
      </x:c>
      <x:c r="O6772" s="2" t="str">
        <x:v>land</x:v>
      </x:c>
      <x:c r="P6772" s="10" t="n">
        <x:v>2</x:v>
      </x:c>
      <x:c r="Q6772" s="13" t="n">
        <x:f>IF(H6772="","",H6772/1000000000)</x:f>
        <x:v>0.1</x:v>
      </x:c>
      <x:c r="R6772" s="13" t="n">
        <x:f>IF(I6772="","",I6772/1000000)</x:f>
        <x:v>2.083333333333333</x:v>
      </x:c>
    </x:row>
    <x:row r="6773" ht="21" customHeight="1">
      <x:c r="A6773" s="10" t="n">
        <x:v>8732</x:v>
      </x:c>
      <x:c r="B6773" s="2" t="str">
        <x:v>a45da56cccf8b57e7a36</x:v>
      </x:c>
      <x:c r="C6773" s="2" t="str">
        <x:v>Tiền Giang</x:v>
      </x:c>
      <x:c r="D6773" s="2" t="str">
        <x:v>Thị xã Cai Lậy</x:v>
      </x:c>
      <x:c r="E6773" s="2" t="str">
        <x:v>other_unknown</x:v>
      </x:c>
      <x:c r="F6773" s="2" t="str">
        <x:v>sale_assumed</x:v>
      </x:c>
      <x:c r="G6773" s="11" t="n">
        <x:v>425</x:v>
      </x:c>
      <x:c r="H6773" s="12" t="n">
        <x:v>5750000000</x:v>
      </x:c>
      <x:c r="I6773" s="12" t="n">
        <x:v>13529411.764705881</x:v>
      </x:c>
      <x:c r="J6773" s="2" t="str">
        <x:v>total</x:v>
      </x:c>
      <x:c r="K6773" s="2" t="str">
        <x:v>top_level_area</x:v>
      </x:c>
      <x:c r="L6773" s="2" t="str">
        <x:v>property_type_inferred_from_title;transaction_assumed_sale_from_dataset_context;unknown_property_type</x:v>
      </x:c>
      <x:c r="M6773" s="10" t="n">
        <x:v>0</x:v>
      </x:c>
      <x:c r="N6773" s="10" t="n">
        <x:v>0</x:v>
      </x:c>
      <x:c r="O6773" s="2" t="str">
        <x:v>other_unknown</x:v>
      </x:c>
      <x:c r="P6773" s="10" t="n">
        <x:v>1</x:v>
      </x:c>
      <x:c r="Q6773" s="13" t="n">
        <x:f>IF(H6773="","",H6773/1000000000)</x:f>
        <x:v>5.75</x:v>
      </x:c>
      <x:c r="R6773" s="13" t="n">
        <x:f>IF(I6773="","",I6773/1000000)</x:f>
        <x:v>13.529411764705882</x:v>
      </x:c>
    </x:row>
    <x:row r="6774" ht="21" customHeight="1">
      <x:c r="A6774" s="10" t="n">
        <x:v>8733</x:v>
      </x:c>
      <x:c r="B6774" s="2" t="str">
        <x:v>4ca8be8257ab2edbf1b8</x:v>
      </x:c>
      <x:c r="C6774" s="2" t="str">
        <x:v>Hà Nội</x:v>
      </x:c>
      <x:c r="D6774" s="2" t="str">
        <x:v>Quận Cầu Giấy</x:v>
      </x:c>
      <x:c r="E6774" s="2" t="str">
        <x:v>house</x:v>
      </x:c>
      <x:c r="F6774" s="2" t="str">
        <x:v>sale</x:v>
      </x:c>
      <x:c r="G6774" s="11" t="n">
        <x:v>66</x:v>
      </x:c>
      <x:c r="H6774" s="12" t="n">
        <x:v>12000000000</x:v>
      </x:c>
      <x:c r="I6774" s="12" t="n">
        <x:v>181818181.8181818</x:v>
      </x:c>
      <x:c r="J6774" s="2" t="str">
        <x:v>total</x:v>
      </x:c>
      <x:c r="K6774" s="2" t="str">
        <x:v>top_level_area</x:v>
      </x:c>
      <x:c r="L6774" s="2" t="str">
        <x:v>property_type_inferred_from_title</x:v>
      </x:c>
      <x:c r="M6774" s="10" t="n">
        <x:v>1</x:v>
      </x:c>
      <x:c r="N6774" s="10" t="n">
        <x:v>1</x:v>
      </x:c>
      <x:c r="O6774" s="2" t="str">
        <x:v>Hà Nội|house</x:v>
      </x:c>
      <x:c r="P6774" s="10" t="n">
        <x:v>-1</x:v>
      </x:c>
      <x:c r="Q6774" s="13" t="n">
        <x:f>IF(H6774="","",H6774/1000000000)</x:f>
        <x:v>12</x:v>
      </x:c>
      <x:c r="R6774" s="13" t="n">
        <x:f>IF(I6774="","",I6774/1000000)</x:f>
        <x:v>181.8181818181818</x:v>
      </x:c>
    </x:row>
    <x:row r="6775" ht="21" customHeight="1">
      <x:c r="A6775" s="10" t="n">
        <x:v>8736</x:v>
      </x:c>
      <x:c r="B6775" s="2" t="str">
        <x:v>cf8841523fc44264e251</x:v>
      </x:c>
      <x:c r="C6775" s="2" t="str">
        <x:v>Tp Hồ Chí Minh</x:v>
      </x:c>
      <x:c r="D6775" s="2" t="str">
        <x:v>Quận 7</x:v>
      </x:c>
      <x:c r="E6775" s="2" t="str">
        <x:v>house</x:v>
      </x:c>
      <x:c r="F6775" s="2" t="str">
        <x:v>sale_assumed</x:v>
      </x:c>
      <x:c r="G6775" s="11" t="n">
        <x:v>70</x:v>
      </x:c>
      <x:c r="H6775" s="12" t="n">
        <x:v>5500000000</x:v>
      </x:c>
      <x:c r="I6775" s="12" t="n">
        <x:v>78571428.57142857</x:v>
      </x:c>
      <x:c r="J6775" s="2" t="str">
        <x:v>total</x:v>
      </x:c>
      <x:c r="K6775" s="2" t="str">
        <x:v>top_level_area</x:v>
      </x:c>
      <x:c r="L6775" s="2" t="str">
        <x:v>property_type_inferred_from_title;transaction_assumed_sale_from_dataset_context</x:v>
      </x:c>
      <x:c r="M6775" s="10" t="n">
        <x:v>0</x:v>
      </x:c>
      <x:c r="N6775" s="10" t="n">
        <x:v>0</x:v>
      </x:c>
      <x:c r="O6775" s="2" t="str">
        <x:v>Tp Hồ Chí Minh|house</x:v>
      </x:c>
      <x:c r="P6775" s="10" t="n">
        <x:v>2</x:v>
      </x:c>
      <x:c r="Q6775" s="13" t="n">
        <x:f>IF(H6775="","",H6775/1000000000)</x:f>
        <x:v>5.5</x:v>
      </x:c>
      <x:c r="R6775" s="13" t="n">
        <x:f>IF(I6775="","",I6775/1000000)</x:f>
        <x:v>78.57142857142857</x:v>
      </x:c>
    </x:row>
    <x:row r="6776" ht="21" customHeight="1">
      <x:c r="A6776" s="10" t="n">
        <x:v>8737</x:v>
      </x:c>
      <x:c r="B6776" s="2" t="str">
        <x:v>9f137684f09ae7314e6e</x:v>
      </x:c>
      <x:c r="C6776" s="2" t="str">
        <x:v>Tp Hồ Chí Minh</x:v>
      </x:c>
      <x:c r="D6776" s="2" t="str">
        <x:v>Quận 12</x:v>
      </x:c>
      <x:c r="E6776" s="2" t="str">
        <x:v>house</x:v>
      </x:c>
      <x:c r="F6776" s="2" t="str">
        <x:v>sale</x:v>
      </x:c>
      <x:c r="G6776" s="11" t="n">
        <x:v>196</x:v>
      </x:c>
      <x:c r="H6776" s="12" t="n">
        <x:v>7800000000</x:v>
      </x:c>
      <x:c r="I6776" s="12" t="n">
        <x:v>39795918.36734694</x:v>
      </x:c>
      <x:c r="J6776" s="2" t="str">
        <x:v>total</x:v>
      </x:c>
      <x:c r="K6776" s="2" t="str">
        <x:v>top_level_area</x:v>
      </x:c>
      <x:c r="L6776" s="2" t="str">
        <x:v>property_type_inferred_from_title</x:v>
      </x:c>
      <x:c r="M6776" s="10" t="n">
        <x:v>0</x:v>
      </x:c>
      <x:c r="N6776" s="10" t="n">
        <x:v>0</x:v>
      </x:c>
      <x:c r="O6776" s="2" t="str">
        <x:v>Tp Hồ Chí Minh|house</x:v>
      </x:c>
      <x:c r="P6776" s="10" t="n">
        <x:v>2</x:v>
      </x:c>
      <x:c r="Q6776" s="13" t="n">
        <x:f>IF(H6776="","",H6776/1000000000)</x:f>
        <x:v>7.8</x:v>
      </x:c>
      <x:c r="R6776" s="13" t="n">
        <x:f>IF(I6776="","",I6776/1000000)</x:f>
        <x:v>39.79591836734694</x:v>
      </x:c>
    </x:row>
    <x:row r="6777" ht="21" customHeight="1">
      <x:c r="A6777" s="10" t="n">
        <x:v>8738</x:v>
      </x:c>
      <x:c r="B6777" s="2" t="str">
        <x:v>80f154a12e43d92c3538</x:v>
      </x:c>
      <x:c r="C6777" s="2" t="str">
        <x:v>Hà Nội</x:v>
      </x:c>
      <x:c r="D6777" s="2" t="str">
        <x:v>Huyện Thanh Trì</x:v>
      </x:c>
      <x:c r="E6777" s="2" t="str">
        <x:v>house</x:v>
      </x:c>
      <x:c r="F6777" s="2" t="str">
        <x:v>sale</x:v>
      </x:c>
      <x:c r="G6777" s="11" t="n">
        <x:v>60</x:v>
      </x:c>
      <x:c r="H6777" s="12" t="n">
        <x:v>2250000000</x:v>
      </x:c>
      <x:c r="I6777" s="12" t="n">
        <x:v>37500000</x:v>
      </x:c>
      <x:c r="J6777" s="2" t="str">
        <x:v>total</x:v>
      </x:c>
      <x:c r="K6777" s="2" t="str">
        <x:v>top_level_area</x:v>
      </x:c>
      <x:c r="L6777" s="2" t="str">
        <x:v>property_type_inferred_from_title</x:v>
      </x:c>
      <x:c r="M6777" s="10" t="n">
        <x:v>0</x:v>
      </x:c>
      <x:c r="N6777" s="10" t="n">
        <x:v>0</x:v>
      </x:c>
      <x:c r="O6777" s="2" t="str">
        <x:v>Hà Nội|house</x:v>
      </x:c>
      <x:c r="P6777" s="10" t="n">
        <x:v>2</x:v>
      </x:c>
      <x:c r="Q6777" s="13" t="n">
        <x:f>IF(H6777="","",H6777/1000000000)</x:f>
        <x:v>2.25</x:v>
      </x:c>
      <x:c r="R6777" s="13" t="n">
        <x:f>IF(I6777="","",I6777/1000000)</x:f>
        <x:v>37.5</x:v>
      </x:c>
    </x:row>
    <x:row r="6778" ht="21" customHeight="1">
      <x:c r="A6778" s="10" t="n">
        <x:v>8739</x:v>
      </x:c>
      <x:c r="B6778" s="2" t="str">
        <x:v>e4ce099ac2d55812ebf3</x:v>
      </x:c>
      <x:c r="C6778" s="2" t="str">
        <x:v>Tp Hồ Chí Minh</x:v>
      </x:c>
      <x:c r="D6778" s="2" t="str">
        <x:v>Quận Thủ Đức</x:v>
      </x:c>
      <x:c r="E6778" s="2" t="str">
        <x:v>apartment</x:v>
      </x:c>
      <x:c r="F6778" s="2" t="str">
        <x:v>sale_assumed</x:v>
      </x:c>
      <x:c r="G6778" s="11" t="n">
        <x:v>56</x:v>
      </x:c>
      <x:c r="H6778" s="12" t="n">
        <x:v>1300000000</x:v>
      </x:c>
      <x:c r="I6778" s="12" t="n">
        <x:v>23214285.714285713</x:v>
      </x:c>
      <x:c r="J6778" s="2" t="str">
        <x:v>total</x:v>
      </x:c>
      <x:c r="K6778" s="2" t="str">
        <x:v>top_level_area</x:v>
      </x:c>
      <x:c r="L6778" s="2" t="str">
        <x:v>property_type_inferred_from_title;transaction_assumed_sale_from_dataset_context</x:v>
      </x:c>
      <x:c r="M6778" s="10" t="n">
        <x:v>0</x:v>
      </x:c>
      <x:c r="N6778" s="10" t="n">
        <x:v>0</x:v>
      </x:c>
      <x:c r="O6778" s="2" t="str">
        <x:v>Tp Hồ Chí Minh|apartment</x:v>
      </x:c>
      <x:c r="P6778" s="10" t="n">
        <x:v>2</x:v>
      </x:c>
      <x:c r="Q6778" s="13" t="n">
        <x:f>IF(H6778="","",H6778/1000000000)</x:f>
        <x:v>1.3</x:v>
      </x:c>
      <x:c r="R6778" s="13" t="n">
        <x:f>IF(I6778="","",I6778/1000000)</x:f>
        <x:v>23.21428571428571</x:v>
      </x:c>
    </x:row>
    <x:row r="6779" ht="21" customHeight="1">
      <x:c r="A6779" s="10" t="n">
        <x:v>8740</x:v>
      </x:c>
      <x:c r="B6779" s="2" t="str">
        <x:v>0010fd8c0aa4626287ba</x:v>
      </x:c>
      <x:c r="C6779" s="2" t="str">
        <x:v>Thừa Thiên Huế</x:v>
      </x:c>
      <x:c r="D6779" s="2" t="str">
        <x:v>Thị xã Hương Thủy</x:v>
      </x:c>
      <x:c r="E6779" s="2" t="str">
        <x:v>house</x:v>
      </x:c>
      <x:c r="F6779" s="2" t="str">
        <x:v>sale_assumed</x:v>
      </x:c>
      <x:c r="G6779" s="11" t="n">
        <x:v>110</x:v>
      </x:c>
      <x:c r="H6779" s="12" t="n">
        <x:v>1581000000</x:v>
      </x:c>
      <x:c r="I6779" s="12" t="n">
        <x:v>14372727.272727273</x:v>
      </x:c>
      <x:c r="J6779" s="2" t="str">
        <x:v>total</x:v>
      </x:c>
      <x:c r="K6779" s="2" t="str">
        <x:v>top_level_area</x:v>
      </x:c>
      <x:c r="L6779" s="2" t="str">
        <x:v>property_type_inferred_from_title;transaction_assumed_sale_from_dataset_context</x:v>
      </x:c>
      <x:c r="M6779" s="10" t="n">
        <x:v>0</x:v>
      </x:c>
      <x:c r="N6779" s="10" t="n">
        <x:v>0</x:v>
      </x:c>
      <x:c r="O6779" s="2" t="str">
        <x:v>house</x:v>
      </x:c>
      <x:c r="P6779" s="10" t="n">
        <x:v>2</x:v>
      </x:c>
      <x:c r="Q6779" s="13" t="n">
        <x:f>IF(H6779="","",H6779/1000000000)</x:f>
        <x:v>1.581</x:v>
      </x:c>
      <x:c r="R6779" s="13" t="n">
        <x:f>IF(I6779="","",I6779/1000000)</x:f>
        <x:v>14.372727272727273</x:v>
      </x:c>
    </x:row>
    <x:row r="6780" ht="21" customHeight="1">
      <x:c r="A6780" s="10" t="n">
        <x:v>8742</x:v>
      </x:c>
      <x:c r="B6780" s="2" t="str">
        <x:v>8288a11d97cc01361c5e</x:v>
      </x:c>
      <x:c r="C6780" s="2" t="str">
        <x:v>Tp Hồ Chí Minh</x:v>
      </x:c>
      <x:c r="D6780" s="2" t="str">
        <x:v>Quận Phú Nhuận</x:v>
      </x:c>
      <x:c r="E6780" s="2" t="str">
        <x:v>house</x:v>
      </x:c>
      <x:c r="F6780" s="2" t="str">
        <x:v>sale_assumed</x:v>
      </x:c>
      <x:c r="G6780" s="11" t="n">
        <x:v>32</x:v>
      </x:c>
      <x:c r="H6780" s="12" t="n">
        <x:v>4950000000</x:v>
      </x:c>
      <x:c r="I6780" s="12" t="n">
        <x:v>154687500</x:v>
      </x:c>
      <x:c r="J6780" s="2" t="str">
        <x:v>total</x:v>
      </x:c>
      <x:c r="K6780" s="2" t="str">
        <x:v>top_level_price_embedded_area</x:v>
      </x:c>
      <x:c r="L6780" s="2" t="str">
        <x:v>area_recovered_from_price_text;property_type_inferred_from_title;transaction_assumed_sale_from_dataset_context</x:v>
      </x:c>
      <x:c r="M6780" s="10" t="n">
        <x:v>0</x:v>
      </x:c>
      <x:c r="N6780" s="10" t="n">
        <x:v>0</x:v>
      </x:c>
      <x:c r="O6780" s="2" t="str">
        <x:v>Tp Hồ Chí Minh|house</x:v>
      </x:c>
      <x:c r="P6780" s="10" t="n">
        <x:v>2</x:v>
      </x:c>
      <x:c r="Q6780" s="13" t="n">
        <x:f>IF(H6780="","",H6780/1000000000)</x:f>
        <x:v>4.95</x:v>
      </x:c>
      <x:c r="R6780" s="13" t="n">
        <x:f>IF(I6780="","",I6780/1000000)</x:f>
        <x:v>154.6875</x:v>
      </x:c>
    </x:row>
    <x:row r="6781" ht="21" customHeight="1">
      <x:c r="A6781" s="10" t="n">
        <x:v>8743</x:v>
      </x:c>
      <x:c r="B6781" s="2" t="str">
        <x:v>dd5b05c6d79fb31a083d</x:v>
      </x:c>
      <x:c r="C6781" s="2" t="str">
        <x:v>Tp Hồ Chí Minh</x:v>
      </x:c>
      <x:c r="D6781" s="2" t="str">
        <x:v>Huyện Bình Chánh</x:v>
      </x:c>
      <x:c r="E6781" s="2" t="str">
        <x:v>house</x:v>
      </x:c>
      <x:c r="F6781" s="2" t="str">
        <x:v>sale_assumed</x:v>
      </x:c>
      <x:c r="G6781" s="11" t="n">
        <x:v>75</x:v>
      </x:c>
      <x:c r="H6781" s="12" t="n">
        <x:v>3800000000</x:v>
      </x:c>
      <x:c r="I6781" s="12" t="n">
        <x:v>50666666.666666664</x:v>
      </x:c>
      <x:c r="J6781" s="2" t="str">
        <x:v>total</x:v>
      </x:c>
      <x:c r="K6781" s="2" t="str">
        <x:v>top_level_price_embedded_area</x:v>
      </x:c>
      <x:c r="L6781" s="2" t="str">
        <x:v>area_recovered_from_price_text;property_type_inferred_from_title;transaction_assumed_sale_from_dataset_context</x:v>
      </x:c>
      <x:c r="M6781" s="10" t="n">
        <x:v>0</x:v>
      </x:c>
      <x:c r="N6781" s="10" t="n">
        <x:v>0</x:v>
      </x:c>
      <x:c r="O6781" s="2" t="str">
        <x:v>Tp Hồ Chí Minh|house</x:v>
      </x:c>
      <x:c r="P6781" s="10" t="n">
        <x:v>2</x:v>
      </x:c>
      <x:c r="Q6781" s="13" t="n">
        <x:f>IF(H6781="","",H6781/1000000000)</x:f>
        <x:v>3.8</x:v>
      </x:c>
      <x:c r="R6781" s="13" t="n">
        <x:f>IF(I6781="","",I6781/1000000)</x:f>
        <x:v>50.666666666666664</x:v>
      </x:c>
    </x:row>
    <x:row r="6782" ht="21" customHeight="1">
      <x:c r="A6782" s="10" t="n">
        <x:v>8744</x:v>
      </x:c>
      <x:c r="B6782" s="2" t="str">
        <x:v>ac6bf92384b8c3edc4b7</x:v>
      </x:c>
      <x:c r="C6782" s="2" t="str">
        <x:v>Thừa Thiên Huế</x:v>
      </x:c>
      <x:c r="D6782" s="2" t="str">
        <x:v>Thành phố Huế</x:v>
      </x:c>
      <x:c r="E6782" s="2" t="str">
        <x:v>house</x:v>
      </x:c>
      <x:c r="F6782" s="2" t="str">
        <x:v>sale</x:v>
      </x:c>
      <x:c r="G6782" s="11" t="n">
        <x:v>178</x:v>
      </x:c>
      <x:c r="H6782" s="12" t="n">
        <x:v>15130000000</x:v>
      </x:c>
      <x:c r="I6782" s="12" t="n">
        <x:v>85000000</x:v>
      </x:c>
      <x:c r="J6782" s="2" t="str">
        <x:v>total</x:v>
      </x:c>
      <x:c r="K6782" s="2" t="str">
        <x:v>top_level_area</x:v>
      </x:c>
      <x:c r="L6782" s="2" t="str">
        <x:v>property_type_inferred_from_title</x:v>
      </x:c>
      <x:c r="M6782" s="10" t="n">
        <x:v>0</x:v>
      </x:c>
      <x:c r="N6782" s="10" t="n">
        <x:v>0</x:v>
      </x:c>
      <x:c r="O6782" s="2" t="str">
        <x:v>house</x:v>
      </x:c>
      <x:c r="P6782" s="10" t="n">
        <x:v>2</x:v>
      </x:c>
      <x:c r="Q6782" s="13" t="n">
        <x:f>IF(H6782="","",H6782/1000000000)</x:f>
        <x:v>15.13</x:v>
      </x:c>
      <x:c r="R6782" s="13" t="n">
        <x:f>IF(I6782="","",I6782/1000000)</x:f>
        <x:v>85</x:v>
      </x:c>
    </x:row>
    <x:row r="6783" ht="21" customHeight="1">
      <x:c r="A6783" s="10" t="n">
        <x:v>8745</x:v>
      </x:c>
      <x:c r="B6783" s="2" t="str">
        <x:v>9189eb40bcc281ae3000</x:v>
      </x:c>
      <x:c r="C6783" s="2" t="str">
        <x:v>Bà Rịa - Vũng Tàu</x:v>
      </x:c>
      <x:c r="D6783" s="2" t="str">
        <x:v>Huyện Long Điền</x:v>
      </x:c>
      <x:c r="E6783" s="2" t="str">
        <x:v>land</x:v>
      </x:c>
      <x:c r="F6783" s="2" t="str">
        <x:v>sale_assumed</x:v>
      </x:c>
      <x:c r="G6783" s="11" t="n">
        <x:v>156</x:v>
      </x:c>
      <x:c r="H6783" s="12" t="n">
        <x:v>3200000000</x:v>
      </x:c>
      <x:c r="I6783" s="12" t="n">
        <x:v>20512820.512820512</x:v>
      </x:c>
      <x:c r="J6783" s="2" t="str">
        <x:v>total</x:v>
      </x:c>
      <x:c r="K6783" s="2" t="str">
        <x:v>top_level_area</x:v>
      </x:c>
      <x:c r="L6783" s="2" t="str">
        <x:v>property_type_inferred_from_title;transaction_assumed_sale_from_dataset_context</x:v>
      </x:c>
      <x:c r="M6783" s="10" t="n">
        <x:v>0</x:v>
      </x:c>
      <x:c r="N6783" s="10" t="n">
        <x:v>1</x:v>
      </x:c>
      <x:c r="O6783" s="2" t="str">
        <x:v>Bà Rịa - Vũng Tàu|land</x:v>
      </x:c>
      <x:c r="P6783" s="10" t="n">
        <x:v>-1</x:v>
      </x:c>
      <x:c r="Q6783" s="13" t="n">
        <x:f>IF(H6783="","",H6783/1000000000)</x:f>
        <x:v>3.2</x:v>
      </x:c>
      <x:c r="R6783" s="13" t="n">
        <x:f>IF(I6783="","",I6783/1000000)</x:f>
        <x:v>20.51282051282051</x:v>
      </x:c>
    </x:row>
    <x:row r="6784" ht="21" customHeight="1">
      <x:c r="A6784" s="10" t="n">
        <x:v>8746</x:v>
      </x:c>
      <x:c r="B6784" s="2" t="str">
        <x:v>f420dad49010072785f0</x:v>
      </x:c>
      <x:c r="C6784" s="2" t="str">
        <x:v>Tp Hồ Chí Minh</x:v>
      </x:c>
      <x:c r="D6784" s="2" t="str">
        <x:v>Quận 9</x:v>
      </x:c>
      <x:c r="E6784" s="2" t="str">
        <x:v>other_unknown</x:v>
      </x:c>
      <x:c r="F6784" s="2" t="str">
        <x:v>sale_assumed</x:v>
      </x:c>
      <x:c r="G6784" s="11" t="n">
        <x:v>165</x:v>
      </x:c>
      <x:c r="H6784" s="12" t="n">
        <x:v>7500000000</x:v>
      </x:c>
      <x:c r="I6784" s="12" t="n">
        <x:v>45454545.45454545</x:v>
      </x:c>
      <x:c r="J6784" s="2" t="str">
        <x:v>total</x:v>
      </x:c>
      <x:c r="K6784" s="2" t="str">
        <x:v>top_level_area</x:v>
      </x:c>
      <x:c r="L6784" s="2" t="str">
        <x:v>property_type_inferred_from_title;transaction_assumed_sale_from_dataset_context;unknown_property_type</x:v>
      </x:c>
      <x:c r="M6784" s="10" t="n">
        <x:v>0</x:v>
      </x:c>
      <x:c r="N6784" s="10" t="n">
        <x:v>0</x:v>
      </x:c>
      <x:c r="O6784" s="2" t="str">
        <x:v>Tp Hồ Chí Minh|other_unknown</x:v>
      </x:c>
      <x:c r="P6784" s="10" t="n">
        <x:v>2</x:v>
      </x:c>
      <x:c r="Q6784" s="13" t="n">
        <x:f>IF(H6784="","",H6784/1000000000)</x:f>
        <x:v>7.5</x:v>
      </x:c>
      <x:c r="R6784" s="13" t="n">
        <x:f>IF(I6784="","",I6784/1000000)</x:f>
        <x:v>45.45454545454545</x:v>
      </x:c>
    </x:row>
    <x:row r="6785" ht="21" customHeight="1">
      <x:c r="A6785" s="10" t="n">
        <x:v>8747</x:v>
      </x:c>
      <x:c r="B6785" s="2" t="str">
        <x:v>2bfe50e233ddcf4475b2</x:v>
      </x:c>
      <x:c r="C6785" s="2" t="str">
        <x:v>Tp Hồ Chí Minh</x:v>
      </x:c>
      <x:c r="D6785" s="2" t="str">
        <x:v>Quận Phú Nhuận</x:v>
      </x:c>
      <x:c r="E6785" s="2" t="str">
        <x:v>house</x:v>
      </x:c>
      <x:c r="F6785" s="2" t="str">
        <x:v>sale</x:v>
      </x:c>
      <x:c r="G6785" s="11" t="n">
        <x:v>38</x:v>
      </x:c>
      <x:c r="H6785" s="12" t="n">
        <x:v>4850000000</x:v>
      </x:c>
      <x:c r="I6785" s="12" t="n">
        <x:v>127631578.94736843</x:v>
      </x:c>
      <x:c r="J6785" s="2" t="str">
        <x:v>total</x:v>
      </x:c>
      <x:c r="K6785" s="2" t="str">
        <x:v>top_level_area</x:v>
      </x:c>
      <x:c r="L6785" s="2" t="str">
        <x:v>property_type_inferred_from_title</x:v>
      </x:c>
      <x:c r="M6785" s="10" t="n">
        <x:v>0</x:v>
      </x:c>
      <x:c r="N6785" s="10" t="n">
        <x:v>0</x:v>
      </x:c>
      <x:c r="O6785" s="2" t="str">
        <x:v>Tp Hồ Chí Minh|house</x:v>
      </x:c>
      <x:c r="P6785" s="10" t="n">
        <x:v>2</x:v>
      </x:c>
      <x:c r="Q6785" s="13" t="n">
        <x:f>IF(H6785="","",H6785/1000000000)</x:f>
        <x:v>4.85</x:v>
      </x:c>
      <x:c r="R6785" s="13" t="n">
        <x:f>IF(I6785="","",I6785/1000000)</x:f>
        <x:v>127.63157894736842</x:v>
      </x:c>
    </x:row>
    <x:row r="6786" ht="21" customHeight="1">
      <x:c r="A6786" s="10" t="n">
        <x:v>8748</x:v>
      </x:c>
      <x:c r="B6786" s="2" t="str">
        <x:v>5d8195c096a3687c42fd</x:v>
      </x:c>
      <x:c r="C6786" s="2" t="str">
        <x:v>Tp Hồ Chí Minh</x:v>
      </x:c>
      <x:c r="D6786" s="2" t="str">
        <x:v>Quận 8</x:v>
      </x:c>
      <x:c r="E6786" s="2" t="str">
        <x:v>house</x:v>
      </x:c>
      <x:c r="F6786" s="2" t="str">
        <x:v>sale</x:v>
      </x:c>
      <x:c r="G6786" s="11" t="n">
        <x:v>44</x:v>
      </x:c>
      <x:c r="H6786" s="12" t="n">
        <x:v>2300000000</x:v>
      </x:c>
      <x:c r="I6786" s="12" t="n">
        <x:v>52272727.27272727</x:v>
      </x:c>
      <x:c r="J6786" s="2" t="str">
        <x:v>total</x:v>
      </x:c>
      <x:c r="K6786" s="2" t="str">
        <x:v>top_level_area</x:v>
      </x:c>
      <x:c r="L6786" s="2" t="str">
        <x:v>property_type_inferred_from_title</x:v>
      </x:c>
      <x:c r="M6786" s="10" t="n">
        <x:v>0</x:v>
      </x:c>
      <x:c r="N6786" s="10" t="n">
        <x:v>0</x:v>
      </x:c>
      <x:c r="O6786" s="2" t="str">
        <x:v>Tp Hồ Chí Minh|house</x:v>
      </x:c>
      <x:c r="P6786" s="10" t="n">
        <x:v>2</x:v>
      </x:c>
      <x:c r="Q6786" s="13" t="n">
        <x:f>IF(H6786="","",H6786/1000000000)</x:f>
        <x:v>2.3</x:v>
      </x:c>
      <x:c r="R6786" s="13" t="n">
        <x:f>IF(I6786="","",I6786/1000000)</x:f>
        <x:v>52.27272727272727</x:v>
      </x:c>
    </x:row>
    <x:row r="6787" ht="21" customHeight="1">
      <x:c r="A6787" s="10" t="n">
        <x:v>8749</x:v>
      </x:c>
      <x:c r="B6787" s="2" t="str">
        <x:v>42cab171f42b4b62a368</x:v>
      </x:c>
      <x:c r="C6787" s="2" t="str">
        <x:v>Đồng Nai</x:v>
      </x:c>
      <x:c r="D6787" s="2" t="str">
        <x:v>Huyện Vĩnh Cửu</x:v>
      </x:c>
      <x:c r="E6787" s="2" t="str">
        <x:v>other_unknown</x:v>
      </x:c>
      <x:c r="F6787" s="2" t="str">
        <x:v>sale_assumed</x:v>
      </x:c>
      <x:c r="G6787" s="11" t="n">
        <x:v>100</x:v>
      </x:c>
      <x:c r="H6787" s="12" t="n">
        <x:v>1150000000</x:v>
      </x:c>
      <x:c r="I6787" s="12" t="n">
        <x:v>11500000</x:v>
      </x:c>
      <x:c r="J6787" s="2" t="str">
        <x:v>total</x:v>
      </x:c>
      <x:c r="K6787" s="2" t="str">
        <x:v>top_level_area</x:v>
      </x:c>
      <x:c r="L6787" s="2" t="str">
        <x:v>property_type_inferred_from_title;transaction_assumed_sale_from_dataset_context;unknown_property_type</x:v>
      </x:c>
      <x:c r="M6787" s="10" t="n">
        <x:v>0</x:v>
      </x:c>
      <x:c r="N6787" s="10" t="n">
        <x:v>0</x:v>
      </x:c>
      <x:c r="O6787" s="2" t="str">
        <x:v>Đồng Nai|other_unknown</x:v>
      </x:c>
      <x:c r="P6787" s="10" t="n">
        <x:v>2</x:v>
      </x:c>
      <x:c r="Q6787" s="13" t="n">
        <x:f>IF(H6787="","",H6787/1000000000)</x:f>
        <x:v>1.15</x:v>
      </x:c>
      <x:c r="R6787" s="13" t="n">
        <x:f>IF(I6787="","",I6787/1000000)</x:f>
        <x:v>11.5</x:v>
      </x:c>
    </x:row>
    <x:row r="6788" ht="21" customHeight="1">
      <x:c r="A6788" s="10" t="n">
        <x:v>8750</x:v>
      </x:c>
      <x:c r="B6788" s="2" t="str">
        <x:v>b21a21358eb5ac29cdb4</x:v>
      </x:c>
      <x:c r="C6788" s="2" t="str">
        <x:v>Tp Hồ Chí Minh</x:v>
      </x:c>
      <x:c r="D6788" s="2" t="str">
        <x:v>Quận 9</x:v>
      </x:c>
      <x:c r="E6788" s="2" t="str">
        <x:v>land</x:v>
      </x:c>
      <x:c r="F6788" s="2" t="str">
        <x:v>sale_assumed</x:v>
      </x:c>
      <x:c r="G6788" s="11" t="n">
        <x:v>50</x:v>
      </x:c>
      <x:c r="H6788" s="12" t="n">
        <x:v>3000000000</x:v>
      </x:c>
      <x:c r="I6788" s="12" t="n">
        <x:v>60000000</x:v>
      </x:c>
      <x:c r="J6788" s="2" t="str">
        <x:v>total</x:v>
      </x:c>
      <x:c r="K6788" s="2" t="str">
        <x:v>top_level_price_embedded_area</x:v>
      </x:c>
      <x:c r="L6788" s="2" t="str">
        <x:v>area_recovered_from_price_text;property_type_inferred_from_title;transaction_assumed_sale_from_dataset_context</x:v>
      </x:c>
      <x:c r="M6788" s="10" t="n">
        <x:v>0</x:v>
      </x:c>
      <x:c r="N6788" s="10" t="n">
        <x:v>0</x:v>
      </x:c>
      <x:c r="O6788" s="2" t="str">
        <x:v>Tp Hồ Chí Minh|land</x:v>
      </x:c>
      <x:c r="P6788" s="10" t="n">
        <x:v>2</x:v>
      </x:c>
      <x:c r="Q6788" s="13" t="n">
        <x:f>IF(H6788="","",H6788/1000000000)</x:f>
        <x:v>3</x:v>
      </x:c>
      <x:c r="R6788" s="13" t="n">
        <x:f>IF(I6788="","",I6788/1000000)</x:f>
        <x:v>60</x:v>
      </x:c>
    </x:row>
    <x:row r="6789" ht="21" customHeight="1">
      <x:c r="A6789" s="10" t="n">
        <x:v>8751</x:v>
      </x:c>
      <x:c r="B6789" s="2" t="str">
        <x:v>054dcdeb21d28e20d4cc</x:v>
      </x:c>
      <x:c r="C6789" s="2" t="str">
        <x:v>Tp Hồ Chí Minh</x:v>
      </x:c>
      <x:c r="D6789" s="2" t="str">
        <x:v>Quận Bình Thạnh</x:v>
      </x:c>
      <x:c r="E6789" s="2" t="str">
        <x:v>other_unknown</x:v>
      </x:c>
      <x:c r="F6789" s="2" t="str">
        <x:v>sale_assumed</x:v>
      </x:c>
      <x:c r="G6789" s="11" t="n">
        <x:v>86</x:v>
      </x:c>
      <x:c r="H6789" s="12" t="n">
        <x:v>1250000000</x:v>
      </x:c>
      <x:c r="I6789" s="12" t="n">
        <x:v>14534883.720930232</x:v>
      </x:c>
      <x:c r="J6789" s="2" t="str">
        <x:v>total</x:v>
      </x:c>
      <x:c r="K6789" s="2" t="str">
        <x:v>top_level_area</x:v>
      </x:c>
      <x:c r="L6789" s="2" t="str">
        <x:v>property_type_inferred_from_title;transaction_assumed_sale_from_dataset_context;unknown_property_type</x:v>
      </x:c>
      <x:c r="M6789" s="10" t="n">
        <x:v>0</x:v>
      </x:c>
      <x:c r="N6789" s="10" t="n">
        <x:v>0</x:v>
      </x:c>
      <x:c r="O6789" s="2" t="str">
        <x:v>Tp Hồ Chí Minh|other_unknown</x:v>
      </x:c>
      <x:c r="P6789" s="10" t="n">
        <x:v>2</x:v>
      </x:c>
      <x:c r="Q6789" s="13" t="n">
        <x:f>IF(H6789="","",H6789/1000000000)</x:f>
        <x:v>1.25</x:v>
      </x:c>
      <x:c r="R6789" s="13" t="n">
        <x:f>IF(I6789="","",I6789/1000000)</x:f>
        <x:v>14.534883720930232</x:v>
      </x:c>
    </x:row>
    <x:row r="6790" ht="21" customHeight="1">
      <x:c r="A6790" s="10" t="n">
        <x:v>8752</x:v>
      </x:c>
      <x:c r="B6790" s="2" t="str">
        <x:v>8b4b73d80a13eafd3ac7</x:v>
      </x:c>
      <x:c r="C6790" s="2" t="str">
        <x:v>Hậu Giang</x:v>
      </x:c>
      <x:c r="D6790" s="2" t="str">
        <x:v>Huyện Châu Thành</x:v>
      </x:c>
      <x:c r="E6790" s="2" t="str">
        <x:v>land</x:v>
      </x:c>
      <x:c r="F6790" s="2" t="str">
        <x:v>sale</x:v>
      </x:c>
      <x:c r="G6790" s="11" t="n">
        <x:v>80</x:v>
      </x:c>
      <x:c r="H6790" s="12" t="n">
        <x:v>500000000</x:v>
      </x:c>
      <x:c r="I6790" s="12" t="n">
        <x:v>6250000</x:v>
      </x:c>
      <x:c r="J6790" s="2" t="str">
        <x:v>total</x:v>
      </x:c>
      <x:c r="K6790" s="2" t="str">
        <x:v>top_level_area</x:v>
      </x:c>
      <x:c r="L6790" s="2" t="str">
        <x:v>property_type_inferred_from_title</x:v>
      </x:c>
      <x:c r="M6790" s="10" t="n">
        <x:v>0</x:v>
      </x:c>
      <x:c r="N6790" s="10" t="n">
        <x:v>0</x:v>
      </x:c>
      <x:c r="O6790" s="2" t="str">
        <x:v>land</x:v>
      </x:c>
      <x:c r="P6790" s="10" t="n">
        <x:v>2</x:v>
      </x:c>
      <x:c r="Q6790" s="13" t="n">
        <x:f>IF(H6790="","",H6790/1000000000)</x:f>
        <x:v>0.5</x:v>
      </x:c>
      <x:c r="R6790" s="13" t="n">
        <x:f>IF(I6790="","",I6790/1000000)</x:f>
        <x:v>6.25</x:v>
      </x:c>
    </x:row>
    <x:row r="6791" ht="21" customHeight="1">
      <x:c r="A6791" s="10" t="n">
        <x:v>8753</x:v>
      </x:c>
      <x:c r="B6791" s="2" t="str">
        <x:v>66733a9068393a242430</x:v>
      </x:c>
      <x:c r="C6791" s="2" t="str">
        <x:v>Nghệ An</x:v>
      </x:c>
      <x:c r="D6791" s="2" t="str">
        <x:v>Thành phố Vinh</x:v>
      </x:c>
      <x:c r="E6791" s="2" t="str">
        <x:v>other_unknown</x:v>
      </x:c>
      <x:c r="F6791" s="2" t="str">
        <x:v>sale_assumed</x:v>
      </x:c>
      <x:c r="G6791" s="11" t="n">
        <x:v>92</x:v>
      </x:c>
      <x:c r="H6791" s="12" t="n">
        <x:v>3700000000</x:v>
      </x:c>
      <x:c r="I6791" s="12" t="n">
        <x:v>40217391.30434783</x:v>
      </x:c>
      <x:c r="J6791" s="2" t="str">
        <x:v>total</x:v>
      </x:c>
      <x:c r="K6791" s="2" t="str">
        <x:v>top_level_area</x:v>
      </x:c>
      <x:c r="L6791" s="2" t="str">
        <x:v>property_type_inferred_from_title;transaction_assumed_sale_from_dataset_context;unknown_property_type</x:v>
      </x:c>
      <x:c r="M6791" s="10" t="n">
        <x:v>0</x:v>
      </x:c>
      <x:c r="N6791" s="10" t="n">
        <x:v>0</x:v>
      </x:c>
      <x:c r="O6791" s="2" t="str">
        <x:v>other_unknown</x:v>
      </x:c>
      <x:c r="P6791" s="10" t="n">
        <x:v>2</x:v>
      </x:c>
      <x:c r="Q6791" s="13" t="n">
        <x:f>IF(H6791="","",H6791/1000000000)</x:f>
        <x:v>3.7</x:v>
      </x:c>
      <x:c r="R6791" s="13" t="n">
        <x:f>IF(I6791="","",I6791/1000000)</x:f>
        <x:v>40.21739130434783</x:v>
      </x:c>
    </x:row>
    <x:row r="6792" ht="21" customHeight="1">
      <x:c r="A6792" s="10" t="n">
        <x:v>8754</x:v>
      </x:c>
      <x:c r="B6792" s="2" t="str">
        <x:v>add93abc557f2c811b0d</x:v>
      </x:c>
      <x:c r="C6792" s="2" t="str">
        <x:v>Tp Hồ Chí Minh</x:v>
      </x:c>
      <x:c r="D6792" s="2" t="str">
        <x:v>Quận 12</x:v>
      </x:c>
      <x:c r="E6792" s="2" t="str">
        <x:v>apartment</x:v>
      </x:c>
      <x:c r="F6792" s="2" t="str">
        <x:v>sale_assumed</x:v>
      </x:c>
      <x:c r="G6792" s="11" t="n">
        <x:v>53</x:v>
      </x:c>
      <x:c r="H6792" s="12" t="n">
        <x:v>1250000000</x:v>
      </x:c>
      <x:c r="I6792" s="12" t="n">
        <x:v>23584905.660377357</x:v>
      </x:c>
      <x:c r="J6792" s="2" t="str">
        <x:v>total</x:v>
      </x:c>
      <x:c r="K6792" s="2" t="str">
        <x:v>top_level_area</x:v>
      </x:c>
      <x:c r="L6792" s="2" t="str">
        <x:v>property_type_inferred_from_title;transaction_assumed_sale_from_dataset_context</x:v>
      </x:c>
      <x:c r="M6792" s="10" t="n">
        <x:v>0</x:v>
      </x:c>
      <x:c r="N6792" s="10" t="n">
        <x:v>0</x:v>
      </x:c>
      <x:c r="O6792" s="2" t="str">
        <x:v>Tp Hồ Chí Minh|apartment</x:v>
      </x:c>
      <x:c r="P6792" s="10" t="n">
        <x:v>2</x:v>
      </x:c>
      <x:c r="Q6792" s="13" t="n">
        <x:f>IF(H6792="","",H6792/1000000000)</x:f>
        <x:v>1.25</x:v>
      </x:c>
      <x:c r="R6792" s="13" t="n">
        <x:f>IF(I6792="","",I6792/1000000)</x:f>
        <x:v>23.584905660377355</x:v>
      </x:c>
    </x:row>
    <x:row r="6793" ht="21" customHeight="1">
      <x:c r="A6793" s="10" t="n">
        <x:v>8755</x:v>
      </x:c>
      <x:c r="B6793" s="2" t="str">
        <x:v>58af2e09396ff47351a2</x:v>
      </x:c>
      <x:c r="C6793" s="2" t="str">
        <x:v>Đồng Nai</x:v>
      </x:c>
      <x:c r="D6793" s="2" t="str">
        <x:v>Huyện Trảng Bom</x:v>
      </x:c>
      <x:c r="E6793" s="2" t="str">
        <x:v>other_unknown</x:v>
      </x:c>
      <x:c r="F6793" s="2" t="str">
        <x:v>sale</x:v>
      </x:c>
      <x:c r="G6793" s="11" t="n">
        <x:v>100</x:v>
      </x:c>
      <x:c r="H6793" s="12" t="n">
        <x:v>100000000</x:v>
      </x:c>
      <x:c r="I6793" s="12" t="n">
        <x:v>1000000</x:v>
      </x:c>
      <x:c r="J6793" s="2" t="str">
        <x:v>total</x:v>
      </x:c>
      <x:c r="K6793" s="2" t="str">
        <x:v>top_level_area</x:v>
      </x:c>
      <x:c r="L6793" s="2" t="str">
        <x:v>property_type_inferred_from_title;unknown_property_type</x:v>
      </x:c>
      <x:c r="M6793" s="10" t="n">
        <x:v>0</x:v>
      </x:c>
      <x:c r="N6793" s="10" t="n">
        <x:v>0</x:v>
      </x:c>
      <x:c r="O6793" s="2" t="str">
        <x:v>Đồng Nai|other_unknown</x:v>
      </x:c>
      <x:c r="P6793" s="10" t="n">
        <x:v>1</x:v>
      </x:c>
      <x:c r="Q6793" s="13" t="n">
        <x:f>IF(H6793="","",H6793/1000000000)</x:f>
        <x:v>0.1</x:v>
      </x:c>
      <x:c r="R6793" s="13" t="n">
        <x:f>IF(I6793="","",I6793/1000000)</x:f>
        <x:v>1</x:v>
      </x:c>
    </x:row>
    <x:row r="6794" ht="21" customHeight="1">
      <x:c r="A6794" s="10" t="n">
        <x:v>8756</x:v>
      </x:c>
      <x:c r="B6794" s="2" t="str">
        <x:v>a87d8f9edd2e236011d2</x:v>
      </x:c>
      <x:c r="C6794" s="2" t="str">
        <x:v>Hà Nội</x:v>
      </x:c>
      <x:c r="D6794" s="2" t="str">
        <x:v>Huyện Đan Phượng</x:v>
      </x:c>
      <x:c r="E6794" s="2" t="str">
        <x:v>house</x:v>
      </x:c>
      <x:c r="F6794" s="2" t="str">
        <x:v>sale</x:v>
      </x:c>
      <x:c r="G6794" s="11" t="n">
        <x:v>225</x:v>
      </x:c>
      <x:c r="H6794" s="12" t="n">
        <x:v>6300000000</x:v>
      </x:c>
      <x:c r="I6794" s="12" t="n">
        <x:v>28000000</x:v>
      </x:c>
      <x:c r="J6794" s="2" t="str">
        <x:v>total</x:v>
      </x:c>
      <x:c r="K6794" s="2" t="str">
        <x:v>top_level_area</x:v>
      </x:c>
      <x:c r="L6794" s="2" t="str">
        <x:v>property_type_inferred_from_title</x:v>
      </x:c>
      <x:c r="M6794" s="10" t="n">
        <x:v>0</x:v>
      </x:c>
      <x:c r="N6794" s="10" t="n">
        <x:v>0</x:v>
      </x:c>
      <x:c r="O6794" s="2" t="str">
        <x:v>Hà Nội|house</x:v>
      </x:c>
      <x:c r="P6794" s="10" t="n">
        <x:v>2</x:v>
      </x:c>
      <x:c r="Q6794" s="13" t="n">
        <x:f>IF(H6794="","",H6794/1000000000)</x:f>
        <x:v>6.3</x:v>
      </x:c>
      <x:c r="R6794" s="13" t="n">
        <x:f>IF(I6794="","",I6794/1000000)</x:f>
        <x:v>28</x:v>
      </x:c>
    </x:row>
    <x:row r="6795" ht="21" customHeight="1">
      <x:c r="A6795" s="10" t="n">
        <x:v>8760</x:v>
      </x:c>
      <x:c r="B6795" s="2" t="str">
        <x:v>ed1ab91a45576dab7765</x:v>
      </x:c>
      <x:c r="C6795" s="2" t="str">
        <x:v>Tp Hồ Chí Minh</x:v>
      </x:c>
      <x:c r="D6795" s="2" t="str">
        <x:v>Quận 6</x:v>
      </x:c>
      <x:c r="E6795" s="2" t="str">
        <x:v>apartment</x:v>
      </x:c>
      <x:c r="F6795" s="2" t="str">
        <x:v>sale_assumed</x:v>
      </x:c>
      <x:c r="G6795" s="11" t="n">
        <x:v>81</x:v>
      </x:c>
      <x:c r="H6795" s="12" t="n">
        <x:v>2900000000</x:v>
      </x:c>
      <x:c r="I6795" s="12" t="n">
        <x:v>35802469.13580247</x:v>
      </x:c>
      <x:c r="J6795" s="2" t="str">
        <x:v>total</x:v>
      </x:c>
      <x:c r="K6795" s="2" t="str">
        <x:v>top_level_area</x:v>
      </x:c>
      <x:c r="L6795" s="2" t="str">
        <x:v>property_type_inferred_from_title;transaction_assumed_sale_from_dataset_context</x:v>
      </x:c>
      <x:c r="M6795" s="10" t="n">
        <x:v>0</x:v>
      </x:c>
      <x:c r="N6795" s="10" t="n">
        <x:v>0</x:v>
      </x:c>
      <x:c r="O6795" s="2" t="str">
        <x:v>Tp Hồ Chí Minh|apartment</x:v>
      </x:c>
      <x:c r="P6795" s="10" t="n">
        <x:v>2</x:v>
      </x:c>
      <x:c r="Q6795" s="13" t="n">
        <x:f>IF(H6795="","",H6795/1000000000)</x:f>
        <x:v>2.9</x:v>
      </x:c>
      <x:c r="R6795" s="13" t="n">
        <x:f>IF(I6795="","",I6795/1000000)</x:f>
        <x:v>35.80246913580247</x:v>
      </x:c>
    </x:row>
    <x:row r="6796" ht="21" customHeight="1">
      <x:c r="A6796" s="10" t="n">
        <x:v>8761</x:v>
      </x:c>
      <x:c r="B6796" s="2" t="str">
        <x:v>f62b2b9ec879ff6e139a</x:v>
      </x:c>
      <x:c r="C6796" s="2" t="str">
        <x:v>Hà Nội</x:v>
      </x:c>
      <x:c r="D6796" s="2" t="str">
        <x:v>Quận Long Biên</x:v>
      </x:c>
      <x:c r="E6796" s="2" t="str">
        <x:v>apartment</x:v>
      </x:c>
      <x:c r="F6796" s="2" t="str">
        <x:v>sale_assumed</x:v>
      </x:c>
      <x:c r="G6796" s="11" t="n">
        <x:v>53</x:v>
      </x:c>
      <x:c r="H6796" s="12" t="n">
        <x:v>1500000000</x:v>
      </x:c>
      <x:c r="I6796" s="12" t="n">
        <x:v>28301886.79245283</x:v>
      </x:c>
      <x:c r="J6796" s="2" t="str">
        <x:v>total</x:v>
      </x:c>
      <x:c r="K6796" s="2" t="str">
        <x:v>top_level_area</x:v>
      </x:c>
      <x:c r="L6796" s="2" t="str">
        <x:v>property_type_inferred_from_title;transaction_assumed_sale_from_dataset_context</x:v>
      </x:c>
      <x:c r="M6796" s="10" t="n">
        <x:v>0</x:v>
      </x:c>
      <x:c r="N6796" s="10" t="n">
        <x:v>0</x:v>
      </x:c>
      <x:c r="O6796" s="2" t="str">
        <x:v>Hà Nội|apartment</x:v>
      </x:c>
      <x:c r="P6796" s="10" t="n">
        <x:v>2</x:v>
      </x:c>
      <x:c r="Q6796" s="13" t="n">
        <x:f>IF(H6796="","",H6796/1000000000)</x:f>
        <x:v>1.5</x:v>
      </x:c>
      <x:c r="R6796" s="13" t="n">
        <x:f>IF(I6796="","",I6796/1000000)</x:f>
        <x:v>28.30188679245283</x:v>
      </x:c>
    </x:row>
    <x:row r="6797" ht="21" customHeight="1">
      <x:c r="A6797" s="10" t="n">
        <x:v>8762</x:v>
      </x:c>
      <x:c r="B6797" s="2" t="str">
        <x:v>a55bdc3e7f933cf03f86</x:v>
      </x:c>
      <x:c r="C6797" s="2" t="str">
        <x:v>Đồng Nai</x:v>
      </x:c>
      <x:c r="D6797" s="2" t="str">
        <x:v>Huyện Xuân Lộc</x:v>
      </x:c>
      <x:c r="E6797" s="2" t="str">
        <x:v>land</x:v>
      </x:c>
      <x:c r="F6797" s="2" t="str">
        <x:v>sale</x:v>
      </x:c>
      <x:c r="G6797" s="11" t="n">
        <x:v>5100</x:v>
      </x:c>
      <x:c r="H6797" s="12" t="n">
        <x:v>4500000000</x:v>
      </x:c>
      <x:c r="I6797" s="12" t="n">
        <x:v>882352.9411764706</x:v>
      </x:c>
      <x:c r="J6797" s="2" t="str">
        <x:v>total</x:v>
      </x:c>
      <x:c r="K6797" s="2" t="str">
        <x:v>top_level_area</x:v>
      </x:c>
      <x:c r="L6797" s="2" t="str">
        <x:v>dot_thousands_convention;property_type_inferred_from_title</x:v>
      </x:c>
      <x:c r="M6797" s="10" t="n">
        <x:v>0</x:v>
      </x:c>
      <x:c r="N6797" s="10" t="n">
        <x:v>0</x:v>
      </x:c>
      <x:c r="O6797" s="2" t="str">
        <x:v>Đồng Nai|land</x:v>
      </x:c>
      <x:c r="P6797" s="10" t="n">
        <x:v>1</x:v>
      </x:c>
      <x:c r="Q6797" s="13" t="n">
        <x:f>IF(H6797="","",H6797/1000000000)</x:f>
        <x:v>4.5</x:v>
      </x:c>
      <x:c r="R6797" s="13" t="n">
        <x:f>IF(I6797="","",I6797/1000000)</x:f>
        <x:v>0.8823529411764706</x:v>
      </x:c>
    </x:row>
    <x:row r="6798" ht="21" customHeight="1">
      <x:c r="A6798" s="10" t="n">
        <x:v>8763</x:v>
      </x:c>
      <x:c r="B6798" s="2" t="str">
        <x:v>887dbcdc0620f9745414</x:v>
      </x:c>
      <x:c r="C6798" s="2" t="str">
        <x:v>Tp Hồ Chí Minh</x:v>
      </x:c>
      <x:c r="D6798" s="2" t="str">
        <x:v>Quận Bình Thạnh</x:v>
      </x:c>
      <x:c r="E6798" s="2" t="str">
        <x:v>apartment</x:v>
      </x:c>
      <x:c r="F6798" s="2" t="str">
        <x:v>sale_assumed</x:v>
      </x:c>
      <x:c r="G6798" s="11" t="n">
        <x:v>150</x:v>
      </x:c>
      <x:c r="H6798" s="12" t="n">
        <x:v>1000000000</x:v>
      </x:c>
      <x:c r="I6798" s="12" t="n">
        <x:v>6666666.666666667</x:v>
      </x:c>
      <x:c r="J6798" s="2" t="str">
        <x:v>total</x:v>
      </x:c>
      <x:c r="K6798" s="2" t="str">
        <x:v>top_level_area</x:v>
      </x:c>
      <x:c r="L6798" s="2" t="str">
        <x:v>property_type_inferred_from_title;transaction_assumed_sale_from_dataset_context</x:v>
      </x:c>
      <x:c r="M6798" s="10" t="n">
        <x:v>0</x:v>
      </x:c>
      <x:c r="N6798" s="10" t="n">
        <x:v>0</x:v>
      </x:c>
      <x:c r="O6798" s="2" t="str">
        <x:v>Tp Hồ Chí Minh|apartment</x:v>
      </x:c>
      <x:c r="P6798" s="10" t="n">
        <x:v>2</x:v>
      </x:c>
      <x:c r="Q6798" s="13" t="n">
        <x:f>IF(H6798="","",H6798/1000000000)</x:f>
        <x:v>1</x:v>
      </x:c>
      <x:c r="R6798" s="13" t="n">
        <x:f>IF(I6798="","",I6798/1000000)</x:f>
        <x:v>6.666666666666667</x:v>
      </x:c>
    </x:row>
    <x:row r="6799" ht="21" customHeight="1">
      <x:c r="A6799" s="10" t="n">
        <x:v>8764</x:v>
      </x:c>
      <x:c r="B6799" s="2" t="str">
        <x:v>c2b83b3734b95ee691d2</x:v>
      </x:c>
      <x:c r="C6799" s="2" t="str">
        <x:v>Tp Hồ Chí Minh</x:v>
      </x:c>
      <x:c r="D6799" s="2" t="str">
        <x:v>Huyện Bình Chánh</x:v>
      </x:c>
      <x:c r="E6799" s="2" t="str">
        <x:v>other_unknown</x:v>
      </x:c>
      <x:c r="F6799" s="2" t="str">
        <x:v>sale_assumed</x:v>
      </x:c>
      <x:c r="G6799" s="11" t="n">
        <x:v>1041</x:v>
      </x:c>
      <x:c r="H6799" s="12" t="n">
        <x:v>22900000000</x:v>
      </x:c>
      <x:c r="I6799" s="12" t="n">
        <x:v>21998078.770413063</x:v>
      </x:c>
      <x:c r="J6799" s="2" t="str">
        <x:v>total</x:v>
      </x:c>
      <x:c r="K6799" s="2" t="str">
        <x:v>top_level_area</x:v>
      </x:c>
      <x:c r="L6799" s="2" t="str">
        <x:v>dot_thousands_convention;property_type_inferred_from_title;transaction_assumed_sale_from_dataset_context;unknown_property_type</x:v>
      </x:c>
      <x:c r="M6799" s="10" t="n">
        <x:v>0</x:v>
      </x:c>
      <x:c r="N6799" s="10" t="n">
        <x:v>0</x:v>
      </x:c>
      <x:c r="O6799" s="2" t="str">
        <x:v>Tp Hồ Chí Minh|other_unknown</x:v>
      </x:c>
      <x:c r="P6799" s="10" t="n">
        <x:v>1</x:v>
      </x:c>
      <x:c r="Q6799" s="13" t="n">
        <x:f>IF(H6799="","",H6799/1000000000)</x:f>
        <x:v>22.9</x:v>
      </x:c>
      <x:c r="R6799" s="13" t="n">
        <x:f>IF(I6799="","",I6799/1000000)</x:f>
        <x:v>21.998078770413063</x:v>
      </x:c>
    </x:row>
    <x:row r="6800" ht="21" customHeight="1">
      <x:c r="A6800" s="10" t="n">
        <x:v>8765</x:v>
      </x:c>
      <x:c r="B6800" s="2" t="str">
        <x:v>ee3aa2aaa9e04e27cbad</x:v>
      </x:c>
      <x:c r="C6800" s="2" t="str">
        <x:v>Long An</x:v>
      </x:c>
      <x:c r="D6800" s="2" t="str">
        <x:v>Chưa xác định</x:v>
      </x:c>
      <x:c r="E6800" s="2" t="str">
        <x:v>house</x:v>
      </x:c>
      <x:c r="F6800" s="2" t="str">
        <x:v>sale_assumed</x:v>
      </x:c>
      <x:c r="G6800" s="11" t="n">
        <x:v>100</x:v>
      </x:c>
      <x:c r="H6800" s="12" t="n">
        <x:v>3600000000</x:v>
      </x:c>
      <x:c r="I6800" s="12" t="n">
        <x:v>36000000</x:v>
      </x:c>
      <x:c r="J6800" s="2" t="str">
        <x:v>total</x:v>
      </x:c>
      <x:c r="K6800" s="2" t="str">
        <x:v>top_level_area</x:v>
      </x:c>
      <x:c r="L6800" s="2" t="str">
        <x:v>property_type_inferred_from_title;province_alias_normalized;transaction_assumed_sale_from_dataset_context;unknown_district</x:v>
      </x:c>
      <x:c r="M6800" s="10" t="n">
        <x:v>0</x:v>
      </x:c>
      <x:c r="N6800" s="10" t="n">
        <x:v>1</x:v>
      </x:c>
      <x:c r="O6800" s="2" t="str">
        <x:v>Long An|house</x:v>
      </x:c>
      <x:c r="P6800" s="10" t="n">
        <x:v>-1</x:v>
      </x:c>
      <x:c r="Q6800" s="13" t="n">
        <x:f>IF(H6800="","",H6800/1000000000)</x:f>
        <x:v>3.6</x:v>
      </x:c>
      <x:c r="R6800" s="13" t="n">
        <x:f>IF(I6800="","",I6800/1000000)</x:f>
        <x:v>36</x:v>
      </x:c>
    </x:row>
    <x:row r="6801" ht="21" customHeight="1">
      <x:c r="A6801" s="10" t="n">
        <x:v>8766</x:v>
      </x:c>
      <x:c r="B6801" s="2" t="str">
        <x:v>b4966f9e66698bb6d403</x:v>
      </x:c>
      <x:c r="C6801" s="2" t="str">
        <x:v>Đà Nẵng</x:v>
      </x:c>
      <x:c r="D6801" s="2" t="str">
        <x:v>Quận Cẩm Lệ</x:v>
      </x:c>
      <x:c r="E6801" s="2" t="str">
        <x:v>other_unknown</x:v>
      </x:c>
      <x:c r="F6801" s="2" t="str">
        <x:v>sale_assumed</x:v>
      </x:c>
      <x:c r="G6801" s="11" t="n">
        <x:v>89</x:v>
      </x:c>
      <x:c r="H6801" s="12" t="n">
        <x:v>4700000000</x:v>
      </x:c>
      <x:c r="I6801" s="12" t="n">
        <x:v>52808988.76404494</x:v>
      </x:c>
      <x:c r="J6801" s="2" t="str">
        <x:v>total</x:v>
      </x:c>
      <x:c r="K6801" s="2" t="str">
        <x:v>top_level_area</x:v>
      </x:c>
      <x:c r="L6801" s="2" t="str">
        <x:v>property_type_inferred_from_title;transaction_assumed_sale_from_dataset_context;unknown_property_type</x:v>
      </x:c>
      <x:c r="M6801" s="10" t="n">
        <x:v>0</x:v>
      </x:c>
      <x:c r="N6801" s="10" t="n">
        <x:v>0</x:v>
      </x:c>
      <x:c r="O6801" s="2" t="str">
        <x:v>Đà Nẵng|other_unknown</x:v>
      </x:c>
      <x:c r="P6801" s="10" t="n">
        <x:v>2</x:v>
      </x:c>
      <x:c r="Q6801" s="13" t="n">
        <x:f>IF(H6801="","",H6801/1000000000)</x:f>
        <x:v>4.7</x:v>
      </x:c>
      <x:c r="R6801" s="13" t="n">
        <x:f>IF(I6801="","",I6801/1000000)</x:f>
        <x:v>52.80898876404494</x:v>
      </x:c>
    </x:row>
    <x:row r="6802" ht="21" customHeight="1">
      <x:c r="A6802" s="10" t="n">
        <x:v>8767</x:v>
      </x:c>
      <x:c r="B6802" s="2" t="str">
        <x:v>2ea31f32fc1766944c84</x:v>
      </x:c>
      <x:c r="C6802" s="2" t="str">
        <x:v>Lâm Đồng</x:v>
      </x:c>
      <x:c r="D6802" s="2" t="str">
        <x:v>Huyện Di Linh</x:v>
      </x:c>
      <x:c r="E6802" s="2" t="str">
        <x:v>land</x:v>
      </x:c>
      <x:c r="F6802" s="2" t="str">
        <x:v>sale_assumed</x:v>
      </x:c>
      <x:c r="G6802" s="11" t="n">
        <x:v>3500</x:v>
      </x:c>
      <x:c r="H6802" s="12" t="n">
        <x:v>1200000000</x:v>
      </x:c>
      <x:c r="I6802" s="12" t="n">
        <x:v>342857.14285714284</x:v>
      </x:c>
      <x:c r="J6802" s="2" t="str">
        <x:v>total</x:v>
      </x:c>
      <x:c r="K6802" s="2" t="str">
        <x:v>top_level_area</x:v>
      </x:c>
      <x:c r="L6802" s="2" t="str">
        <x:v>dot_thousands_convention;property_type_inferred_from_title;transaction_assumed_sale_from_dataset_context</x:v>
      </x:c>
      <x:c r="M6802" s="10" t="n">
        <x:v>0</x:v>
      </x:c>
      <x:c r="N6802" s="10" t="n">
        <x:v>0</x:v>
      </x:c>
      <x:c r="O6802" s="2" t="str">
        <x:v>Lâm Đồng|land</x:v>
      </x:c>
      <x:c r="P6802" s="10" t="n">
        <x:v>1</x:v>
      </x:c>
      <x:c r="Q6802" s="13" t="n">
        <x:f>IF(H6802="","",H6802/1000000000)</x:f>
        <x:v>1.2</x:v>
      </x:c>
      <x:c r="R6802" s="13" t="n">
        <x:f>IF(I6802="","",I6802/1000000)</x:f>
        <x:v>0.34285714285714286</x:v>
      </x:c>
    </x:row>
    <x:row r="6803" ht="21" customHeight="1">
      <x:c r="A6803" s="10" t="n">
        <x:v>8768</x:v>
      </x:c>
      <x:c r="B6803" s="2" t="str">
        <x:v>84bfc0f7a872c7a86f83</x:v>
      </x:c>
      <x:c r="C6803" s="2" t="str">
        <x:v>Đà Nẵng</x:v>
      </x:c>
      <x:c r="D6803" s="2" t="str">
        <x:v>Quận Sơn Trà</x:v>
      </x:c>
      <x:c r="E6803" s="2" t="str">
        <x:v>house</x:v>
      </x:c>
      <x:c r="F6803" s="2" t="str">
        <x:v>sale</x:v>
      </x:c>
      <x:c r="G6803" s="11" t="n">
        <x:v>103</x:v>
      </x:c>
      <x:c r="H6803" s="12" t="n">
        <x:v>22600000000</x:v>
      </x:c>
      <x:c r="I6803" s="12" t="n">
        <x:v>219417475.72815534</x:v>
      </x:c>
      <x:c r="J6803" s="2" t="str">
        <x:v>total</x:v>
      </x:c>
      <x:c r="K6803" s="2" t="str">
        <x:v>top_level_area</x:v>
      </x:c>
      <x:c r="L6803" s="2" t="str">
        <x:v>property_type_inferred_from_title</x:v>
      </x:c>
      <x:c r="M6803" s="10" t="n">
        <x:v>1</x:v>
      </x:c>
      <x:c r="N6803" s="10" t="n">
        <x:v>1</x:v>
      </x:c>
      <x:c r="O6803" s="2" t="str">
        <x:v>Đà Nẵng|house</x:v>
      </x:c>
      <x:c r="P6803" s="10" t="n">
        <x:v>-1</x:v>
      </x:c>
      <x:c r="Q6803" s="13" t="n">
        <x:f>IF(H6803="","",H6803/1000000000)</x:f>
        <x:v>22.6</x:v>
      </x:c>
      <x:c r="R6803" s="13" t="n">
        <x:f>IF(I6803="","",I6803/1000000)</x:f>
        <x:v>219.41747572815535</x:v>
      </x:c>
    </x:row>
    <x:row r="6804" ht="21" customHeight="1">
      <x:c r="A6804" s="10" t="n">
        <x:v>8769</x:v>
      </x:c>
      <x:c r="B6804" s="2" t="str">
        <x:v>143132489b9f44fef11e</x:v>
      </x:c>
      <x:c r="C6804" s="2" t="str">
        <x:v>Tp Hồ Chí Minh</x:v>
      </x:c>
      <x:c r="D6804" s="2" t="str">
        <x:v>Quận 7</x:v>
      </x:c>
      <x:c r="E6804" s="2" t="str">
        <x:v>other_unknown</x:v>
      </x:c>
      <x:c r="F6804" s="2" t="str">
        <x:v>sale_assumed</x:v>
      </x:c>
      <x:c r="G6804" s="11" t="n">
        <x:v>99</x:v>
      </x:c>
      <x:c r="H6804" s="12" t="n">
        <x:v>3900000000</x:v>
      </x:c>
      <x:c r="I6804" s="12" t="n">
        <x:v>39393939.39393939</x:v>
      </x:c>
      <x:c r="J6804" s="2" t="str">
        <x:v>total</x:v>
      </x:c>
      <x:c r="K6804" s="2" t="str">
        <x:v>top_level_area</x:v>
      </x:c>
      <x:c r="L6804" s="2" t="str">
        <x:v>property_type_inferred_from_title;transaction_assumed_sale_from_dataset_context;unknown_property_type</x:v>
      </x:c>
      <x:c r="M6804" s="10" t="n">
        <x:v>0</x:v>
      </x:c>
      <x:c r="N6804" s="10" t="n">
        <x:v>0</x:v>
      </x:c>
      <x:c r="O6804" s="2" t="str">
        <x:v>Tp Hồ Chí Minh|other_unknown</x:v>
      </x:c>
      <x:c r="P6804" s="10" t="n">
        <x:v>2</x:v>
      </x:c>
      <x:c r="Q6804" s="13" t="n">
        <x:f>IF(H6804="","",H6804/1000000000)</x:f>
        <x:v>3.9</x:v>
      </x:c>
      <x:c r="R6804" s="13" t="n">
        <x:f>IF(I6804="","",I6804/1000000)</x:f>
        <x:v>39.39393939393939</x:v>
      </x:c>
    </x:row>
    <x:row r="6805" ht="21" customHeight="1">
      <x:c r="A6805" s="10" t="n">
        <x:v>8770</x:v>
      </x:c>
      <x:c r="B6805" s="2" t="str">
        <x:v>0482b2689725369e7e1d</x:v>
      </x:c>
      <x:c r="C6805" s="2" t="str">
        <x:v>Tp Hồ Chí Minh</x:v>
      </x:c>
      <x:c r="D6805" s="2" t="str">
        <x:v>Huyện Bình Chánh</x:v>
      </x:c>
      <x:c r="E6805" s="2" t="str">
        <x:v>house</x:v>
      </x:c>
      <x:c r="F6805" s="2" t="str">
        <x:v>sale_assumed</x:v>
      </x:c>
      <x:c r="G6805" s="11" t="n">
        <x:v>64</x:v>
      </x:c>
      <x:c r="H6805" s="12" t="n">
        <x:v>1510000000</x:v>
      </x:c>
      <x:c r="I6805" s="12" t="n">
        <x:v>23593750</x:v>
      </x:c>
      <x:c r="J6805" s="2" t="str">
        <x:v>total</x:v>
      </x:c>
      <x:c r="K6805" s="2" t="str">
        <x:v>top_level_area</x:v>
      </x:c>
      <x:c r="L6805" s="2" t="str">
        <x:v>property_type_inferred_from_title;transaction_assumed_sale_from_dataset_context</x:v>
      </x:c>
      <x:c r="M6805" s="10" t="n">
        <x:v>0</x:v>
      </x:c>
      <x:c r="N6805" s="10" t="n">
        <x:v>0</x:v>
      </x:c>
      <x:c r="O6805" s="2" t="str">
        <x:v>Tp Hồ Chí Minh|house</x:v>
      </x:c>
      <x:c r="P6805" s="10" t="n">
        <x:v>2</x:v>
      </x:c>
      <x:c r="Q6805" s="13" t="n">
        <x:f>IF(H6805="","",H6805/1000000000)</x:f>
        <x:v>1.51</x:v>
      </x:c>
      <x:c r="R6805" s="13" t="n">
        <x:f>IF(I6805="","",I6805/1000000)</x:f>
        <x:v>23.59375</x:v>
      </x:c>
    </x:row>
    <x:row r="6806" ht="21" customHeight="1">
      <x:c r="A6806" s="10" t="n">
        <x:v>8771</x:v>
      </x:c>
      <x:c r="B6806" s="2" t="str">
        <x:v>9d62b5e9b21a1b8e8435</x:v>
      </x:c>
      <x:c r="C6806" s="2" t="str">
        <x:v>Hà Nội</x:v>
      </x:c>
      <x:c r="D6806" s="2" t="str">
        <x:v>Quận Hoàng Mai</x:v>
      </x:c>
      <x:c r="E6806" s="2" t="str">
        <x:v>other_unknown</x:v>
      </x:c>
      <x:c r="F6806" s="2" t="str">
        <x:v>sale_assumed</x:v>
      </x:c>
      <x:c r="G6806" s="11" t="n">
        <x:v>27</x:v>
      </x:c>
      <x:c r="H6806" s="12" t="n">
        <x:v>2950000000</x:v>
      </x:c>
      <x:c r="I6806" s="12" t="n">
        <x:v>109259259.25925925</x:v>
      </x:c>
      <x:c r="J6806" s="2" t="str">
        <x:v>total</x:v>
      </x:c>
      <x:c r="K6806" s="2" t="str">
        <x:v>top_level_area</x:v>
      </x:c>
      <x:c r="L6806" s="2" t="str">
        <x:v>property_type_inferred_from_title;transaction_assumed_sale_from_dataset_context;unknown_property_type</x:v>
      </x:c>
      <x:c r="M6806" s="10" t="n">
        <x:v>0</x:v>
      </x:c>
      <x:c r="N6806" s="10" t="n">
        <x:v>0</x:v>
      </x:c>
      <x:c r="O6806" s="2" t="str">
        <x:v>Hà Nội|other_unknown</x:v>
      </x:c>
      <x:c r="P6806" s="10" t="n">
        <x:v>2</x:v>
      </x:c>
      <x:c r="Q6806" s="13" t="n">
        <x:f>IF(H6806="","",H6806/1000000000)</x:f>
        <x:v>2.95</x:v>
      </x:c>
      <x:c r="R6806" s="13" t="n">
        <x:f>IF(I6806="","",I6806/1000000)</x:f>
        <x:v>109.25925925925925</x:v>
      </x:c>
    </x:row>
    <x:row r="6807" ht="21" customHeight="1">
      <x:c r="A6807" s="10" t="n">
        <x:v>8772</x:v>
      </x:c>
      <x:c r="B6807" s="2" t="str">
        <x:v>6cc9295b90d9b7279905</x:v>
      </x:c>
      <x:c r="C6807" s="2" t="str">
        <x:v>Hà Nội</x:v>
      </x:c>
      <x:c r="D6807" s="2" t="str">
        <x:v>Quận Hai Bà Trưng</x:v>
      </x:c>
      <x:c r="E6807" s="2" t="str">
        <x:v>house</x:v>
      </x:c>
      <x:c r="F6807" s="2" t="str">
        <x:v>sale_assumed</x:v>
      </x:c>
      <x:c r="G6807" s="11" t="n">
        <x:v>32.3</x:v>
      </x:c>
      <x:c r="H6807" s="12" t="n">
        <x:v>3750000000</x:v>
      </x:c>
      <x:c r="I6807" s="12" t="n">
        <x:v>116099071.20743035</x:v>
      </x:c>
      <x:c r="J6807" s="2" t="str">
        <x:v>total</x:v>
      </x:c>
      <x:c r="K6807" s="2" t="str">
        <x:v>top_level_area</x:v>
      </x:c>
      <x:c r="L6807" s="2" t="str">
        <x:v>property_type_inferred_from_title;transaction_assumed_sale_from_dataset_context</x:v>
      </x:c>
      <x:c r="M6807" s="10" t="n">
        <x:v>0</x:v>
      </x:c>
      <x:c r="N6807" s="10" t="n">
        <x:v>0</x:v>
      </x:c>
      <x:c r="O6807" s="2" t="str">
        <x:v>Hà Nội|house</x:v>
      </x:c>
      <x:c r="P6807" s="10" t="n">
        <x:v>2</x:v>
      </x:c>
      <x:c r="Q6807" s="13" t="n">
        <x:f>IF(H6807="","",H6807/1000000000)</x:f>
        <x:v>3.75</x:v>
      </x:c>
      <x:c r="R6807" s="13" t="n">
        <x:f>IF(I6807="","",I6807/1000000)</x:f>
        <x:v>116.09907120743034</x:v>
      </x:c>
    </x:row>
    <x:row r="6808" ht="21" customHeight="1">
      <x:c r="A6808" s="10" t="n">
        <x:v>8773</x:v>
      </x:c>
      <x:c r="B6808" s="2" t="str">
        <x:v>5cf3a1df79d0e2930b61</x:v>
      </x:c>
      <x:c r="C6808" s="2" t="str">
        <x:v>Kiên Giang</x:v>
      </x:c>
      <x:c r="D6808" s="2" t="str">
        <x:v>Huyện Phú Quốc</x:v>
      </x:c>
      <x:c r="E6808" s="2" t="str">
        <x:v>other_unknown</x:v>
      </x:c>
      <x:c r="F6808" s="2" t="str">
        <x:v>sale</x:v>
      </x:c>
      <x:c r="G6808" s="11" t="n">
        <x:v>192</x:v>
      </x:c>
      <x:c r="H6808" s="12" t="n">
        <x:v>3260000000</x:v>
      </x:c>
      <x:c r="I6808" s="12" t="n">
        <x:v>16979166.666666668</x:v>
      </x:c>
      <x:c r="J6808" s="2" t="str">
        <x:v>total</x:v>
      </x:c>
      <x:c r="K6808" s="2" t="str">
        <x:v>top_level_area</x:v>
      </x:c>
      <x:c r="L6808" s="2" t="str">
        <x:v>property_type_inferred_from_title;unknown_property_type</x:v>
      </x:c>
      <x:c r="M6808" s="10" t="n">
        <x:v>0</x:v>
      </x:c>
      <x:c r="N6808" s="10" t="n">
        <x:v>0</x:v>
      </x:c>
      <x:c r="O6808" s="2" t="str">
        <x:v>other_unknown</x:v>
      </x:c>
      <x:c r="P6808" s="10" t="n">
        <x:v>2</x:v>
      </x:c>
      <x:c r="Q6808" s="13" t="n">
        <x:f>IF(H6808="","",H6808/1000000000)</x:f>
        <x:v>3.26</x:v>
      </x:c>
      <x:c r="R6808" s="13" t="n">
        <x:f>IF(I6808="","",I6808/1000000)</x:f>
        <x:v>16.979166666666668</x:v>
      </x:c>
    </x:row>
    <x:row r="6809" ht="21" customHeight="1">
      <x:c r="A6809" s="10" t="n">
        <x:v>8774</x:v>
      </x:c>
      <x:c r="B6809" s="2" t="str">
        <x:v>686daba50093ce5e3fb4</x:v>
      </x:c>
      <x:c r="C6809" s="2" t="str">
        <x:v>Hà Nội</x:v>
      </x:c>
      <x:c r="D6809" s="2" t="str">
        <x:v>Quận Ba Đình</x:v>
      </x:c>
      <x:c r="E6809" s="2" t="str">
        <x:v>house</x:v>
      </x:c>
      <x:c r="F6809" s="2" t="str">
        <x:v>sale_assumed</x:v>
      </x:c>
      <x:c r="G6809" s="11" t="n">
        <x:v>62</x:v>
      </x:c>
      <x:c r="H6809" s="12" t="n">
        <x:v>4400000000</x:v>
      </x:c>
      <x:c r="I6809" s="12" t="n">
        <x:v>70967741.93548387</x:v>
      </x:c>
      <x:c r="J6809" s="2" t="str">
        <x:v>total</x:v>
      </x:c>
      <x:c r="K6809" s="2" t="str">
        <x:v>top_level_area</x:v>
      </x:c>
      <x:c r="L6809" s="2" t="str">
        <x:v>property_type_inferred_from_title;transaction_assumed_sale_from_dataset_context</x:v>
      </x:c>
      <x:c r="M6809" s="10" t="n">
        <x:v>0</x:v>
      </x:c>
      <x:c r="N6809" s="10" t="n">
        <x:v>0</x:v>
      </x:c>
      <x:c r="O6809" s="2" t="str">
        <x:v>Hà Nội|house</x:v>
      </x:c>
      <x:c r="P6809" s="10" t="n">
        <x:v>2</x:v>
      </x:c>
      <x:c r="Q6809" s="13" t="n">
        <x:f>IF(H6809="","",H6809/1000000000)</x:f>
        <x:v>4.4</x:v>
      </x:c>
      <x:c r="R6809" s="13" t="n">
        <x:f>IF(I6809="","",I6809/1000000)</x:f>
        <x:v>70.96774193548387</x:v>
      </x:c>
    </x:row>
    <x:row r="6810" ht="21" customHeight="1">
      <x:c r="A6810" s="10" t="n">
        <x:v>8775</x:v>
      </x:c>
      <x:c r="B6810" s="2" t="str">
        <x:v>6f149b683ca1523d7dd3</x:v>
      </x:c>
      <x:c r="C6810" s="2" t="str">
        <x:v>Đồng Nai</x:v>
      </x:c>
      <x:c r="D6810" s="2" t="str">
        <x:v>Thành phố Biên Hòa</x:v>
      </x:c>
      <x:c r="E6810" s="2" t="str">
        <x:v>land</x:v>
      </x:c>
      <x:c r="F6810" s="2" t="str">
        <x:v>sale_assumed</x:v>
      </x:c>
      <x:c r="G6810" s="11" t="n">
        <x:v>510</x:v>
      </x:c>
      <x:c r="H6810" s="12" t="n">
        <x:v>1300000000</x:v>
      </x:c>
      <x:c r="I6810" s="12" t="n">
        <x:v>2549019.6078431373</x:v>
      </x:c>
      <x:c r="J6810" s="2" t="str">
        <x:v>total</x:v>
      </x:c>
      <x:c r="K6810" s="2" t="str">
        <x:v>top_level_area</x:v>
      </x:c>
      <x:c r="L6810" s="2" t="str">
        <x:v>property_type_inferred_from_title;transaction_assumed_sale_from_dataset_context</x:v>
      </x:c>
      <x:c r="M6810" s="10" t="n">
        <x:v>0</x:v>
      </x:c>
      <x:c r="N6810" s="10" t="n">
        <x:v>0</x:v>
      </x:c>
      <x:c r="O6810" s="2" t="str">
        <x:v>Đồng Nai|land</x:v>
      </x:c>
      <x:c r="P6810" s="10" t="n">
        <x:v>1</x:v>
      </x:c>
      <x:c r="Q6810" s="13" t="n">
        <x:f>IF(H6810="","",H6810/1000000000)</x:f>
        <x:v>1.3</x:v>
      </x:c>
      <x:c r="R6810" s="13" t="n">
        <x:f>IF(I6810="","",I6810/1000000)</x:f>
        <x:v>2.5490196078431375</x:v>
      </x:c>
    </x:row>
    <x:row r="6811" ht="21" customHeight="1">
      <x:c r="A6811" s="10" t="n">
        <x:v>8776</x:v>
      </x:c>
      <x:c r="B6811" s="2" t="str">
        <x:v>f8b969c99bd518f60132</x:v>
      </x:c>
      <x:c r="C6811" s="2" t="str">
        <x:v>Tp Hồ Chí Minh</x:v>
      </x:c>
      <x:c r="D6811" s="2" t="str">
        <x:v>Quận Tân Phú</x:v>
      </x:c>
      <x:c r="E6811" s="2" t="str">
        <x:v>house</x:v>
      </x:c>
      <x:c r="F6811" s="2" t="str">
        <x:v>sale</x:v>
      </x:c>
      <x:c r="G6811" s="11" t="n">
        <x:v>80</x:v>
      </x:c>
      <x:c r="H6811" s="12" t="n">
        <x:v>7100000000</x:v>
      </x:c>
      <x:c r="I6811" s="12" t="n">
        <x:v>88750000</x:v>
      </x:c>
      <x:c r="J6811" s="2" t="str">
        <x:v>total</x:v>
      </x:c>
      <x:c r="K6811" s="2" t="str">
        <x:v>top_level_area</x:v>
      </x:c>
      <x:c r="L6811" s="2" t="str">
        <x:v>property_type_inferred_from_title</x:v>
      </x:c>
      <x:c r="M6811" s="10" t="n">
        <x:v>0</x:v>
      </x:c>
      <x:c r="N6811" s="10" t="n">
        <x:v>0</x:v>
      </x:c>
      <x:c r="O6811" s="2" t="str">
        <x:v>Tp Hồ Chí Minh|house</x:v>
      </x:c>
      <x:c r="P6811" s="10" t="n">
        <x:v>2</x:v>
      </x:c>
      <x:c r="Q6811" s="13" t="n">
        <x:f>IF(H6811="","",H6811/1000000000)</x:f>
        <x:v>7.1</x:v>
      </x:c>
      <x:c r="R6811" s="13" t="n">
        <x:f>IF(I6811="","",I6811/1000000)</x:f>
        <x:v>88.75</x:v>
      </x:c>
    </x:row>
    <x:row r="6812" ht="21" customHeight="1">
      <x:c r="A6812" s="10" t="n">
        <x:v>8777</x:v>
      </x:c>
      <x:c r="B6812" s="2" t="str">
        <x:v>fb58e57e1216e1b3910c</x:v>
      </x:c>
      <x:c r="C6812" s="2" t="str">
        <x:v>Bình Thuận</x:v>
      </x:c>
      <x:c r="D6812" s="2" t="str">
        <x:v>Huyện Bắc Bình</x:v>
      </x:c>
      <x:c r="E6812" s="2" t="str">
        <x:v>land</x:v>
      </x:c>
      <x:c r="F6812" s="2" t="str">
        <x:v>sale_assumed</x:v>
      </x:c>
      <x:c r="G6812" s="11" t="n">
        <x:v>13500</x:v>
      </x:c>
      <x:c r="H6812" s="12" t="n">
        <x:v>887500000</x:v>
      </x:c>
      <x:c r="I6812" s="12" t="n">
        <x:v>65740.74074074074</x:v>
      </x:c>
      <x:c r="J6812" s="2" t="str">
        <x:v>total</x:v>
      </x:c>
      <x:c r="K6812" s="2" t="str">
        <x:v>top_level_price_embedded_area</x:v>
      </x:c>
      <x:c r="L6812" s="2" t="str">
        <x:v>area_recovered_from_price_text;dot_thousands_convention;property_type_inferred_from_title;transaction_assumed_sale_from_dataset_context</x:v>
      </x:c>
      <x:c r="M6812" s="10" t="n">
        <x:v>0</x:v>
      </x:c>
      <x:c r="N6812" s="10" t="n">
        <x:v>0</x:v>
      </x:c>
      <x:c r="O6812" s="2" t="str">
        <x:v>land</x:v>
      </x:c>
      <x:c r="P6812" s="10" t="n">
        <x:v>1</x:v>
      </x:c>
      <x:c r="Q6812" s="13" t="n">
        <x:f>IF(H6812="","",H6812/1000000000)</x:f>
        <x:v>0.8875</x:v>
      </x:c>
      <x:c r="R6812" s="13" t="n">
        <x:f>IF(I6812="","",I6812/1000000)</x:f>
        <x:v>0.06574074074074074</x:v>
      </x:c>
    </x:row>
    <x:row r="6813" ht="21" customHeight="1">
      <x:c r="A6813" s="10" t="n">
        <x:v>8778</x:v>
      </x:c>
      <x:c r="B6813" s="2" t="str">
        <x:v>32955e0991c175594d64</x:v>
      </x:c>
      <x:c r="C6813" s="2" t="str">
        <x:v>Hà Nội</x:v>
      </x:c>
      <x:c r="D6813" s="2" t="str">
        <x:v>Quận Hà Đông</x:v>
      </x:c>
      <x:c r="E6813" s="2" t="str">
        <x:v>house</x:v>
      </x:c>
      <x:c r="F6813" s="2" t="str">
        <x:v>sale</x:v>
      </x:c>
      <x:c r="G6813" s="11" t="n">
        <x:v>33</x:v>
      </x:c>
      <x:c r="H6813" s="12" t="n">
        <x:v>1600000000</x:v>
      </x:c>
      <x:c r="I6813" s="12" t="n">
        <x:v>48484848.484848484</x:v>
      </x:c>
      <x:c r="J6813" s="2" t="str">
        <x:v>total</x:v>
      </x:c>
      <x:c r="K6813" s="2" t="str">
        <x:v>top_level_area</x:v>
      </x:c>
      <x:c r="L6813" s="2" t="str">
        <x:v>property_type_inferred_from_title</x:v>
      </x:c>
      <x:c r="M6813" s="10" t="n">
        <x:v>0</x:v>
      </x:c>
      <x:c r="N6813" s="10" t="n">
        <x:v>0</x:v>
      </x:c>
      <x:c r="O6813" s="2" t="str">
        <x:v>Hà Nội|house</x:v>
      </x:c>
      <x:c r="P6813" s="10" t="n">
        <x:v>2</x:v>
      </x:c>
      <x:c r="Q6813" s="13" t="n">
        <x:f>IF(H6813="","",H6813/1000000000)</x:f>
        <x:v>1.6</x:v>
      </x:c>
      <x:c r="R6813" s="13" t="n">
        <x:f>IF(I6813="","",I6813/1000000)</x:f>
        <x:v>48.484848484848484</x:v>
      </x:c>
    </x:row>
    <x:row r="6814" ht="21" customHeight="1">
      <x:c r="A6814" s="10" t="n">
        <x:v>8779</x:v>
      </x:c>
      <x:c r="B6814" s="2" t="str">
        <x:v>a5506977266501b6bd41</x:v>
      </x:c>
      <x:c r="C6814" s="2" t="str">
        <x:v>Bình Dương</x:v>
      </x:c>
      <x:c r="D6814" s="2" t="str">
        <x:v>Thành phố Thủ Dầu Một</x:v>
      </x:c>
      <x:c r="E6814" s="2" t="str">
        <x:v>house</x:v>
      </x:c>
      <x:c r="F6814" s="2" t="str">
        <x:v>sale_assumed</x:v>
      </x:c>
      <x:c r="G6814" s="11" t="n">
        <x:v>100</x:v>
      </x:c>
      <x:c r="H6814" s="12" t="n">
        <x:v>1400000000</x:v>
      </x:c>
      <x:c r="I6814" s="12" t="n">
        <x:v>14000000</x:v>
      </x:c>
      <x:c r="J6814" s="2" t="str">
        <x:v>total</x:v>
      </x:c>
      <x:c r="K6814" s="2" t="str">
        <x:v>top_level_area</x:v>
      </x:c>
      <x:c r="L6814" s="2" t="str">
        <x:v>property_type_inferred_from_title;transaction_assumed_sale_from_dataset_context</x:v>
      </x:c>
      <x:c r="M6814" s="10" t="n">
        <x:v>0</x:v>
      </x:c>
      <x:c r="N6814" s="10" t="n">
        <x:v>0</x:v>
      </x:c>
      <x:c r="O6814" s="2" t="str">
        <x:v>Bình Dương|house</x:v>
      </x:c>
      <x:c r="P6814" s="10" t="n">
        <x:v>2</x:v>
      </x:c>
      <x:c r="Q6814" s="13" t="n">
        <x:f>IF(H6814="","",H6814/1000000000)</x:f>
        <x:v>1.4</x:v>
      </x:c>
      <x:c r="R6814" s="13" t="n">
        <x:f>IF(I6814="","",I6814/1000000)</x:f>
        <x:v>14</x:v>
      </x:c>
    </x:row>
    <x:row r="6815" ht="21" customHeight="1">
      <x:c r="A6815" s="10" t="n">
        <x:v>8782</x:v>
      </x:c>
      <x:c r="B6815" s="2" t="str">
        <x:v>57b37a2afb77f709e21a</x:v>
      </x:c>
      <x:c r="C6815" s="2" t="str">
        <x:v>Đồng Tháp</x:v>
      </x:c>
      <x:c r="D6815" s="2" t="str">
        <x:v>Huyện Lai Vung</x:v>
      </x:c>
      <x:c r="E6815" s="2" t="str">
        <x:v>land</x:v>
      </x:c>
      <x:c r="F6815" s="2" t="str">
        <x:v>sale_assumed</x:v>
      </x:c>
      <x:c r="G6815" s="11" t="n">
        <x:v>200</x:v>
      </x:c>
      <x:c r="H6815" s="12" t="n">
        <x:v>170000000</x:v>
      </x:c>
      <x:c r="I6815" s="12" t="n">
        <x:v>850000</x:v>
      </x:c>
      <x:c r="J6815" s="2" t="str">
        <x:v>total</x:v>
      </x:c>
      <x:c r="K6815" s="2" t="str">
        <x:v>top_level_area</x:v>
      </x:c>
      <x:c r="L6815" s="2" t="str">
        <x:v>property_type_inferred_from_title;transaction_assumed_sale_from_dataset_context</x:v>
      </x:c>
      <x:c r="M6815" s="10" t="n">
        <x:v>0</x:v>
      </x:c>
      <x:c r="N6815" s="10" t="n">
        <x:v>0</x:v>
      </x:c>
      <x:c r="O6815" s="2" t="str">
        <x:v>land</x:v>
      </x:c>
      <x:c r="P6815" s="10" t="n">
        <x:v>1</x:v>
      </x:c>
      <x:c r="Q6815" s="13" t="n">
        <x:f>IF(H6815="","",H6815/1000000000)</x:f>
        <x:v>0.17</x:v>
      </x:c>
      <x:c r="R6815" s="13" t="n">
        <x:f>IF(I6815="","",I6815/1000000)</x:f>
        <x:v>0.85</x:v>
      </x:c>
    </x:row>
    <x:row r="6816" ht="21" customHeight="1">
      <x:c r="A6816" s="10" t="n">
        <x:v>8783</x:v>
      </x:c>
      <x:c r="B6816" s="2" t="str">
        <x:v>a18dd3a22808cf5fff25</x:v>
      </x:c>
      <x:c r="C6816" s="2" t="str">
        <x:v>Đắk Lắk</x:v>
      </x:c>
      <x:c r="D6816" s="2" t="str">
        <x:v>Thành phố Buôn Ma Thuột</x:v>
      </x:c>
      <x:c r="E6816" s="2" t="str">
        <x:v>land</x:v>
      </x:c>
      <x:c r="F6816" s="2" t="str">
        <x:v>sale_assumed</x:v>
      </x:c>
      <x:c r="G6816" s="11" t="n">
        <x:v>250</x:v>
      </x:c>
      <x:c r="H6816" s="12" t="n">
        <x:v>750000000</x:v>
      </x:c>
      <x:c r="I6816" s="12" t="n">
        <x:v>3000000</x:v>
      </x:c>
      <x:c r="J6816" s="2" t="str">
        <x:v>total</x:v>
      </x:c>
      <x:c r="K6816" s="2" t="str">
        <x:v>top_level_area</x:v>
      </x:c>
      <x:c r="L6816" s="2" t="str">
        <x:v>property_type_inferred_from_title;transaction_assumed_sale_from_dataset_context</x:v>
      </x:c>
      <x:c r="M6816" s="10" t="n">
        <x:v>0</x:v>
      </x:c>
      <x:c r="N6816" s="10" t="n">
        <x:v>0</x:v>
      </x:c>
      <x:c r="O6816" s="2" t="str">
        <x:v>Đắk Lắk|land</x:v>
      </x:c>
      <x:c r="P6816" s="10" t="n">
        <x:v>1</x:v>
      </x:c>
      <x:c r="Q6816" s="13" t="n">
        <x:f>IF(H6816="","",H6816/1000000000)</x:f>
        <x:v>0.75</x:v>
      </x:c>
      <x:c r="R6816" s="13" t="n">
        <x:f>IF(I6816="","",I6816/1000000)</x:f>
        <x:v>3</x:v>
      </x:c>
    </x:row>
    <x:row r="6817" ht="21" customHeight="1">
      <x:c r="A6817" s="10" t="n">
        <x:v>8784</x:v>
      </x:c>
      <x:c r="B6817" s="2" t="str">
        <x:v>d96ce2c4be05fbbccc6e</x:v>
      </x:c>
      <x:c r="C6817" s="2" t="str">
        <x:v>Tp Hồ Chí Minh</x:v>
      </x:c>
      <x:c r="D6817" s="2" t="str">
        <x:v>Quận 12</x:v>
      </x:c>
      <x:c r="E6817" s="2" t="str">
        <x:v>other_unknown</x:v>
      </x:c>
      <x:c r="F6817" s="2" t="str">
        <x:v>sale</x:v>
      </x:c>
      <x:c r="G6817" s="11" t="n">
        <x:v>25</x:v>
      </x:c>
      <x:c r="H6817" s="12" t="n">
        <x:v>1580000000</x:v>
      </x:c>
      <x:c r="I6817" s="12" t="n">
        <x:v>63200000</x:v>
      </x:c>
      <x:c r="J6817" s="2" t="str">
        <x:v>total</x:v>
      </x:c>
      <x:c r="K6817" s="2" t="str">
        <x:v>top_level_area</x:v>
      </x:c>
      <x:c r="L6817" s="2" t="str">
        <x:v>property_type_inferred_from_title;unknown_property_type</x:v>
      </x:c>
      <x:c r="M6817" s="10" t="n">
        <x:v>0</x:v>
      </x:c>
      <x:c r="N6817" s="10" t="n">
        <x:v>0</x:v>
      </x:c>
      <x:c r="O6817" s="2" t="str">
        <x:v>Tp Hồ Chí Minh|other_unknown</x:v>
      </x:c>
      <x:c r="P6817" s="10" t="n">
        <x:v>2</x:v>
      </x:c>
      <x:c r="Q6817" s="13" t="n">
        <x:f>IF(H6817="","",H6817/1000000000)</x:f>
        <x:v>1.58</x:v>
      </x:c>
      <x:c r="R6817" s="13" t="n">
        <x:f>IF(I6817="","",I6817/1000000)</x:f>
        <x:v>63.2</x:v>
      </x:c>
    </x:row>
    <x:row r="6818" ht="21" customHeight="1">
      <x:c r="A6818" s="10" t="n">
        <x:v>8785</x:v>
      </x:c>
      <x:c r="B6818" s="2" t="str">
        <x:v>3e1a87dd61ea0e7e1022</x:v>
      </x:c>
      <x:c r="C6818" s="2" t="str">
        <x:v>Tp Hồ Chí Minh</x:v>
      </x:c>
      <x:c r="D6818" s="2" t="str">
        <x:v>Quận Phú Nhuận</x:v>
      </x:c>
      <x:c r="E6818" s="2" t="str">
        <x:v>house</x:v>
      </x:c>
      <x:c r="F6818" s="2" t="str">
        <x:v>sale</x:v>
      </x:c>
      <x:c r="G6818" s="11" t="n">
        <x:v>30</x:v>
      </x:c>
      <x:c r="H6818" s="12" t="n">
        <x:v>5750000000</x:v>
      </x:c>
      <x:c r="I6818" s="12" t="n">
        <x:v>191666666.66666666</x:v>
      </x:c>
      <x:c r="J6818" s="2" t="str">
        <x:v>total</x:v>
      </x:c>
      <x:c r="K6818" s="2" t="str">
        <x:v>top_level_area</x:v>
      </x:c>
      <x:c r="L6818" s="2" t="str">
        <x:v>property_type_inferred_from_title</x:v>
      </x:c>
      <x:c r="M6818" s="10" t="n">
        <x:v>1</x:v>
      </x:c>
      <x:c r="N6818" s="10" t="n">
        <x:v>0</x:v>
      </x:c>
      <x:c r="O6818" s="2" t="str">
        <x:v>Tp Hồ Chí Minh|house</x:v>
      </x:c>
      <x:c r="P6818" s="10" t="n">
        <x:v>2</x:v>
      </x:c>
      <x:c r="Q6818" s="13" t="n">
        <x:f>IF(H6818="","",H6818/1000000000)</x:f>
        <x:v>5.75</x:v>
      </x:c>
      <x:c r="R6818" s="13" t="n">
        <x:f>IF(I6818="","",I6818/1000000)</x:f>
        <x:v>191.66666666666666</x:v>
      </x:c>
    </x:row>
    <x:row r="6819" ht="21" customHeight="1">
      <x:c r="A6819" s="10" t="n">
        <x:v>8786</x:v>
      </x:c>
      <x:c r="B6819" s="2" t="str">
        <x:v>1c5411091de63f10832f</x:v>
      </x:c>
      <x:c r="C6819" s="2" t="str">
        <x:v>Đà Nẵng</x:v>
      </x:c>
      <x:c r="D6819" s="2" t="str">
        <x:v>Quận Thanh Khê</x:v>
      </x:c>
      <x:c r="E6819" s="2" t="str">
        <x:v>land</x:v>
      </x:c>
      <x:c r="F6819" s="2" t="str">
        <x:v>sale</x:v>
      </x:c>
      <x:c r="G6819" s="11" t="n">
        <x:v>58</x:v>
      </x:c>
      <x:c r="H6819" s="12" t="n">
        <x:v>1850000000</x:v>
      </x:c>
      <x:c r="I6819" s="12" t="n">
        <x:v>31896551.724137932</x:v>
      </x:c>
      <x:c r="J6819" s="2" t="str">
        <x:v>total</x:v>
      </x:c>
      <x:c r="K6819" s="2" t="str">
        <x:v>top_level_area</x:v>
      </x:c>
      <x:c r="L6819" s="2" t="str">
        <x:v>property_type_inferred_from_title</x:v>
      </x:c>
      <x:c r="M6819" s="10" t="n">
        <x:v>0</x:v>
      </x:c>
      <x:c r="N6819" s="10" t="n">
        <x:v>0</x:v>
      </x:c>
      <x:c r="O6819" s="2" t="str">
        <x:v>Đà Nẵng|land</x:v>
      </x:c>
      <x:c r="P6819" s="10" t="n">
        <x:v>2</x:v>
      </x:c>
      <x:c r="Q6819" s="13" t="n">
        <x:f>IF(H6819="","",H6819/1000000000)</x:f>
        <x:v>1.85</x:v>
      </x:c>
      <x:c r="R6819" s="13" t="n">
        <x:f>IF(I6819="","",I6819/1000000)</x:f>
        <x:v>31.896551724137932</x:v>
      </x:c>
    </x:row>
    <x:row r="6820" ht="21" customHeight="1">
      <x:c r="A6820" s="10" t="n">
        <x:v>8787</x:v>
      </x:c>
      <x:c r="B6820" s="2" t="str">
        <x:v>c938dc567d0b05ef53b5</x:v>
      </x:c>
      <x:c r="C6820" s="2" t="str">
        <x:v>Thừa Thiên Huế</x:v>
      </x:c>
      <x:c r="D6820" s="2" t="str">
        <x:v>Thành phố Huế</x:v>
      </x:c>
      <x:c r="E6820" s="2" t="str">
        <x:v>house</x:v>
      </x:c>
      <x:c r="F6820" s="2" t="str">
        <x:v>sale</x:v>
      </x:c>
      <x:c r="G6820" s="11" t="n">
        <x:v>150</x:v>
      </x:c>
      <x:c r="H6820" s="12" t="n">
        <x:v>3200000000</x:v>
      </x:c>
      <x:c r="I6820" s="12" t="n">
        <x:v>21333333.333333332</x:v>
      </x:c>
      <x:c r="J6820" s="2" t="str">
        <x:v>total</x:v>
      </x:c>
      <x:c r="K6820" s="2" t="str">
        <x:v>top_level_area</x:v>
      </x:c>
      <x:c r="L6820" s="2" t="str">
        <x:v>property_type_inferred_from_title</x:v>
      </x:c>
      <x:c r="M6820" s="10" t="n">
        <x:v>0</x:v>
      </x:c>
      <x:c r="N6820" s="10" t="n">
        <x:v>0</x:v>
      </x:c>
      <x:c r="O6820" s="2" t="str">
        <x:v>house</x:v>
      </x:c>
      <x:c r="P6820" s="10" t="n">
        <x:v>2</x:v>
      </x:c>
      <x:c r="Q6820" s="13" t="n">
        <x:f>IF(H6820="","",H6820/1000000000)</x:f>
        <x:v>3.2</x:v>
      </x:c>
      <x:c r="R6820" s="13" t="n">
        <x:f>IF(I6820="","",I6820/1000000)</x:f>
        <x:v>21.333333333333332</x:v>
      </x:c>
    </x:row>
    <x:row r="6821" ht="21" customHeight="1">
      <x:c r="A6821" s="10" t="n">
        <x:v>8788</x:v>
      </x:c>
      <x:c r="B6821" s="2" t="str">
        <x:v>d1ebf86cefa741ca0d94</x:v>
      </x:c>
      <x:c r="C6821" s="2" t="str">
        <x:v>Hà Nội</x:v>
      </x:c>
      <x:c r="D6821" s="2" t="str">
        <x:v>Quận Đống Đa</x:v>
      </x:c>
      <x:c r="E6821" s="2" t="str">
        <x:v>house</x:v>
      </x:c>
      <x:c r="F6821" s="2" t="str">
        <x:v>sale</x:v>
      </x:c>
      <x:c r="G6821" s="11" t="n">
        <x:v>87</x:v>
      </x:c>
      <x:c r="H6821" s="12" t="n">
        <x:v>23000000000</x:v>
      </x:c>
      <x:c r="I6821" s="12" t="n">
        <x:v>264367816.09195402</x:v>
      </x:c>
      <x:c r="J6821" s="2" t="str">
        <x:v>total</x:v>
      </x:c>
      <x:c r="K6821" s="2" t="str">
        <x:v>top_level_area</x:v>
      </x:c>
      <x:c r="L6821" s="2" t="str">
        <x:v>property_type_inferred_from_title</x:v>
      </x:c>
      <x:c r="M6821" s="10" t="n">
        <x:v>1</x:v>
      </x:c>
      <x:c r="N6821" s="10" t="n">
        <x:v>1</x:v>
      </x:c>
      <x:c r="O6821" s="2" t="str">
        <x:v>Hà Nội|house</x:v>
      </x:c>
      <x:c r="P6821" s="10" t="n">
        <x:v>-1</x:v>
      </x:c>
      <x:c r="Q6821" s="13" t="n">
        <x:f>IF(H6821="","",H6821/1000000000)</x:f>
        <x:v>23</x:v>
      </x:c>
      <x:c r="R6821" s="13" t="n">
        <x:f>IF(I6821="","",I6821/1000000)</x:f>
        <x:v>264.367816091954</x:v>
      </x:c>
    </x:row>
    <x:row r="6822" ht="21" customHeight="1">
      <x:c r="A6822" s="10" t="n">
        <x:v>8789</x:v>
      </x:c>
      <x:c r="B6822" s="2" t="str">
        <x:v>eddfb6a7bc6d6a381072</x:v>
      </x:c>
      <x:c r="C6822" s="2" t="str">
        <x:v>Lâm Đồng</x:v>
      </x:c>
      <x:c r="D6822" s="2" t="str">
        <x:v>Huyện Bảo Lâm</x:v>
      </x:c>
      <x:c r="E6822" s="2" t="str">
        <x:v>land</x:v>
      </x:c>
      <x:c r="F6822" s="2" t="str">
        <x:v>sale</x:v>
      </x:c>
      <x:c r="G6822" s="11" t="n">
        <x:v>173</x:v>
      </x:c>
      <x:c r="H6822" s="12" t="n">
        <x:v>650000000</x:v>
      </x:c>
      <x:c r="I6822" s="12" t="n">
        <x:v>3757225.4335260116</x:v>
      </x:c>
      <x:c r="J6822" s="2" t="str">
        <x:v>total</x:v>
      </x:c>
      <x:c r="K6822" s="2" t="str">
        <x:v>top_level_area</x:v>
      </x:c>
      <x:c r="L6822" s="2" t="str">
        <x:v>property_type_inferred_from_title</x:v>
      </x:c>
      <x:c r="M6822" s="10" t="n">
        <x:v>0</x:v>
      </x:c>
      <x:c r="N6822" s="10" t="n">
        <x:v>0</x:v>
      </x:c>
      <x:c r="O6822" s="2" t="str">
        <x:v>Lâm Đồng|land</x:v>
      </x:c>
      <x:c r="P6822" s="10" t="n">
        <x:v>1</x:v>
      </x:c>
      <x:c r="Q6822" s="13" t="n">
        <x:f>IF(H6822="","",H6822/1000000000)</x:f>
        <x:v>0.65</x:v>
      </x:c>
      <x:c r="R6822" s="13" t="n">
        <x:f>IF(I6822="","",I6822/1000000)</x:f>
        <x:v>3.7572254335260116</x:v>
      </x:c>
    </x:row>
    <x:row r="6823" ht="21" customHeight="1">
      <x:c r="A6823" s="10" t="n">
        <x:v>8790</x:v>
      </x:c>
      <x:c r="B6823" s="2" t="str">
        <x:v>39310c523b7ca1fbfa40</x:v>
      </x:c>
      <x:c r="C6823" s="2" t="str">
        <x:v>Tp Hồ Chí Minh</x:v>
      </x:c>
      <x:c r="D6823" s="2" t="str">
        <x:v>Quận 3</x:v>
      </x:c>
      <x:c r="E6823" s="2" t="str">
        <x:v>house</x:v>
      </x:c>
      <x:c r="F6823" s="2" t="str">
        <x:v>sale</x:v>
      </x:c>
      <x:c r="G6823" s="11" t="n">
        <x:v>46</x:v>
      </x:c>
      <x:c r="H6823" s="12" t="n">
        <x:v>2350000000</x:v>
      </x:c>
      <x:c r="I6823" s="12" t="n">
        <x:v>51086956.52173913</x:v>
      </x:c>
      <x:c r="J6823" s="2" t="str">
        <x:v>total</x:v>
      </x:c>
      <x:c r="K6823" s="2" t="str">
        <x:v>top_level_area</x:v>
      </x:c>
      <x:c r="L6823" s="2" t="str">
        <x:v>property_type_inferred_from_title</x:v>
      </x:c>
      <x:c r="M6823" s="10" t="n">
        <x:v>0</x:v>
      </x:c>
      <x:c r="N6823" s="10" t="n">
        <x:v>0</x:v>
      </x:c>
      <x:c r="O6823" s="2" t="str">
        <x:v>Tp Hồ Chí Minh|house</x:v>
      </x:c>
      <x:c r="P6823" s="10" t="n">
        <x:v>2</x:v>
      </x:c>
      <x:c r="Q6823" s="13" t="n">
        <x:f>IF(H6823="","",H6823/1000000000)</x:f>
        <x:v>2.35</x:v>
      </x:c>
      <x:c r="R6823" s="13" t="n">
        <x:f>IF(I6823="","",I6823/1000000)</x:f>
        <x:v>51.08695652173913</x:v>
      </x:c>
    </x:row>
    <x:row r="6824" ht="21" customHeight="1">
      <x:c r="A6824" s="10" t="n">
        <x:v>8791</x:v>
      </x:c>
      <x:c r="B6824" s="2" t="str">
        <x:v>037c960f3292bc90dea1</x:v>
      </x:c>
      <x:c r="C6824" s="2" t="str">
        <x:v>Tp Hồ Chí Minh</x:v>
      </x:c>
      <x:c r="D6824" s="2" t="str">
        <x:v>Quận 2</x:v>
      </x:c>
      <x:c r="E6824" s="2" t="str">
        <x:v>other_unknown</x:v>
      </x:c>
      <x:c r="F6824" s="2" t="str">
        <x:v>sale</x:v>
      </x:c>
      <x:c r="G6824" s="11" t="n">
        <x:v>73</x:v>
      </x:c>
      <x:c r="H6824" s="12" t="n">
        <x:v>3600000000</x:v>
      </x:c>
      <x:c r="I6824" s="12" t="n">
        <x:v>49315068.49315068</x:v>
      </x:c>
      <x:c r="J6824" s="2" t="str">
        <x:v>total</x:v>
      </x:c>
      <x:c r="K6824" s="2" t="str">
        <x:v>top_level_area</x:v>
      </x:c>
      <x:c r="L6824" s="2" t="str">
        <x:v>property_type_inferred_from_title;unknown_property_type</x:v>
      </x:c>
      <x:c r="M6824" s="10" t="n">
        <x:v>0</x:v>
      </x:c>
      <x:c r="N6824" s="10" t="n">
        <x:v>0</x:v>
      </x:c>
      <x:c r="O6824" s="2" t="str">
        <x:v>Tp Hồ Chí Minh|other_unknown</x:v>
      </x:c>
      <x:c r="P6824" s="10" t="n">
        <x:v>2</x:v>
      </x:c>
      <x:c r="Q6824" s="13" t="n">
        <x:f>IF(H6824="","",H6824/1000000000)</x:f>
        <x:v>3.6</x:v>
      </x:c>
      <x:c r="R6824" s="13" t="n">
        <x:f>IF(I6824="","",I6824/1000000)</x:f>
        <x:v>49.31506849315068</x:v>
      </x:c>
    </x:row>
    <x:row r="6825" ht="21" customHeight="1">
      <x:c r="A6825" s="10" t="n">
        <x:v>8792</x:v>
      </x:c>
      <x:c r="B6825" s="2" t="str">
        <x:v>1ccd9ca6ee94e0c85ff0</x:v>
      </x:c>
      <x:c r="C6825" s="2" t="str">
        <x:v>Thừa Thiên Huế</x:v>
      </x:c>
      <x:c r="D6825" s="2" t="str">
        <x:v>Thành phố Huế</x:v>
      </x:c>
      <x:c r="E6825" s="2" t="str">
        <x:v>other_unknown</x:v>
      </x:c>
      <x:c r="F6825" s="2" t="str">
        <x:v>sale_assumed</x:v>
      </x:c>
      <x:c r="G6825" s="11" t="n">
        <x:v>140</x:v>
      </x:c>
      <x:c r="H6825" s="12" t="n">
        <x:v>2450000000</x:v>
      </x:c>
      <x:c r="I6825" s="12" t="n">
        <x:v>17500000</x:v>
      </x:c>
      <x:c r="J6825" s="2" t="str">
        <x:v>total</x:v>
      </x:c>
      <x:c r="K6825" s="2" t="str">
        <x:v>top_level_area</x:v>
      </x:c>
      <x:c r="L6825" s="2" t="str">
        <x:v>property_type_inferred_from_title;transaction_assumed_sale_from_dataset_context;unknown_property_type</x:v>
      </x:c>
      <x:c r="M6825" s="10" t="n">
        <x:v>0</x:v>
      </x:c>
      <x:c r="N6825" s="10" t="n">
        <x:v>0</x:v>
      </x:c>
      <x:c r="O6825" s="2" t="str">
        <x:v>other_unknown</x:v>
      </x:c>
      <x:c r="P6825" s="10" t="n">
        <x:v>2</x:v>
      </x:c>
      <x:c r="Q6825" s="13" t="n">
        <x:f>IF(H6825="","",H6825/1000000000)</x:f>
        <x:v>2.45</x:v>
      </x:c>
      <x:c r="R6825" s="13" t="n">
        <x:f>IF(I6825="","",I6825/1000000)</x:f>
        <x:v>17.5</x:v>
      </x:c>
    </x:row>
    <x:row r="6826" ht="21" customHeight="1">
      <x:c r="A6826" s="10" t="n">
        <x:v>8793</x:v>
      </x:c>
      <x:c r="B6826" s="2" t="str">
        <x:v>432010869eec1af8ff9d</x:v>
      </x:c>
      <x:c r="C6826" s="2" t="str">
        <x:v>An Giang</x:v>
      </x:c>
      <x:c r="D6826" s="2" t="str">
        <x:v>Huyện Tịnh Biên</x:v>
      </x:c>
      <x:c r="E6826" s="2" t="str">
        <x:v>land</x:v>
      </x:c>
      <x:c r="F6826" s="2" t="str">
        <x:v>sale</x:v>
      </x:c>
      <x:c r="G6826" s="11" t="n">
        <x:v>104</x:v>
      </x:c>
      <x:c r="H6826" s="12" t="n">
        <x:v>330000000</x:v>
      </x:c>
      <x:c r="I6826" s="12" t="n">
        <x:v>3173076.923076923</x:v>
      </x:c>
      <x:c r="J6826" s="2" t="str">
        <x:v>total</x:v>
      </x:c>
      <x:c r="K6826" s="2" t="str">
        <x:v>top_level_area</x:v>
      </x:c>
      <x:c r="L6826" s="2" t="str">
        <x:v>property_type_inferred_from_title</x:v>
      </x:c>
      <x:c r="M6826" s="10" t="n">
        <x:v>0</x:v>
      </x:c>
      <x:c r="N6826" s="10" t="n">
        <x:v>0</x:v>
      </x:c>
      <x:c r="O6826" s="2" t="str">
        <x:v>land</x:v>
      </x:c>
      <x:c r="P6826" s="10" t="n">
        <x:v>2</x:v>
      </x:c>
      <x:c r="Q6826" s="13" t="n">
        <x:f>IF(H6826="","",H6826/1000000000)</x:f>
        <x:v>0.33</x:v>
      </x:c>
      <x:c r="R6826" s="13" t="n">
        <x:f>IF(I6826="","",I6826/1000000)</x:f>
        <x:v>3.173076923076923</x:v>
      </x:c>
    </x:row>
    <x:row r="6827" ht="21" customHeight="1">
      <x:c r="A6827" s="10" t="n">
        <x:v>8794</x:v>
      </x:c>
      <x:c r="B6827" s="2" t="str">
        <x:v>4629fa75b05d68d431c2</x:v>
      </x:c>
      <x:c r="C6827" s="2" t="str">
        <x:v>Tp Hồ Chí Minh</x:v>
      </x:c>
      <x:c r="D6827" s="2" t="str">
        <x:v>Huyện Củ Chi</x:v>
      </x:c>
      <x:c r="E6827" s="2" t="str">
        <x:v>land</x:v>
      </x:c>
      <x:c r="F6827" s="2" t="str">
        <x:v>sale_assumed</x:v>
      </x:c>
      <x:c r="G6827" s="11" t="n">
        <x:v>3800</x:v>
      </x:c>
      <x:c r="H6827" s="12" t="n">
        <x:v>3300000000</x:v>
      </x:c>
      <x:c r="I6827" s="12" t="n">
        <x:v>868421.052631579</x:v>
      </x:c>
      <x:c r="J6827" s="2" t="str">
        <x:v>total</x:v>
      </x:c>
      <x:c r="K6827" s="2" t="str">
        <x:v>top_level_area</x:v>
      </x:c>
      <x:c r="L6827" s="2" t="str">
        <x:v>dot_thousands_convention;property_type_inferred_from_title;transaction_assumed_sale_from_dataset_context</x:v>
      </x:c>
      <x:c r="M6827" s="10" t="n">
        <x:v>0</x:v>
      </x:c>
      <x:c r="N6827" s="10" t="n">
        <x:v>0</x:v>
      </x:c>
      <x:c r="O6827" s="2" t="str">
        <x:v>Tp Hồ Chí Minh|land</x:v>
      </x:c>
      <x:c r="P6827" s="10" t="n">
        <x:v>1</x:v>
      </x:c>
      <x:c r="Q6827" s="13" t="n">
        <x:f>IF(H6827="","",H6827/1000000000)</x:f>
        <x:v>3.3</x:v>
      </x:c>
      <x:c r="R6827" s="13" t="n">
        <x:f>IF(I6827="","",I6827/1000000)</x:f>
        <x:v>0.868421052631579</x:v>
      </x:c>
    </x:row>
    <x:row r="6828" ht="21" customHeight="1">
      <x:c r="A6828" s="10" t="n">
        <x:v>8795</x:v>
      </x:c>
      <x:c r="B6828" s="2" t="str">
        <x:v>98f85436aba32a5f35af</x:v>
      </x:c>
      <x:c r="C6828" s="2" t="str">
        <x:v>Tp Hồ Chí Minh</x:v>
      </x:c>
      <x:c r="D6828" s="2" t="str">
        <x:v>Quận Gò Vấp</x:v>
      </x:c>
      <x:c r="E6828" s="2" t="str">
        <x:v>land</x:v>
      </x:c>
      <x:c r="F6828" s="2" t="str">
        <x:v>sale</x:v>
      </x:c>
      <x:c r="G6828" s="11" t="n">
        <x:v>100</x:v>
      </x:c>
      <x:c r="H6828" s="12" t="n">
        <x:v>8550000000.000001</x:v>
      </x:c>
      <x:c r="I6828" s="12" t="n">
        <x:v>85500000.00000001</x:v>
      </x:c>
      <x:c r="J6828" s="2" t="str">
        <x:v>total</x:v>
      </x:c>
      <x:c r="K6828" s="2" t="str">
        <x:v>top_level_price_embedded_area</x:v>
      </x:c>
      <x:c r="L6828" s="2" t="str">
        <x:v>area_recovered_from_price_text;property_type_inferred_from_title</x:v>
      </x:c>
      <x:c r="M6828" s="10" t="n">
        <x:v>0</x:v>
      </x:c>
      <x:c r="N6828" s="10" t="n">
        <x:v>0</x:v>
      </x:c>
      <x:c r="O6828" s="2" t="str">
        <x:v>Tp Hồ Chí Minh|land</x:v>
      </x:c>
      <x:c r="P6828" s="10" t="n">
        <x:v>2</x:v>
      </x:c>
      <x:c r="Q6828" s="13" t="n">
        <x:f>IF(H6828="","",H6828/1000000000)</x:f>
        <x:v>8.55</x:v>
      </x:c>
      <x:c r="R6828" s="13" t="n">
        <x:f>IF(I6828="","",I6828/1000000)</x:f>
        <x:v>85.50000000000001</x:v>
      </x:c>
    </x:row>
    <x:row r="6829" ht="21" customHeight="1">
      <x:c r="A6829" s="10" t="n">
        <x:v>8796</x:v>
      </x:c>
      <x:c r="B6829" s="2" t="str">
        <x:v>05c0957cd5e760a0d3bd</x:v>
      </x:c>
      <x:c r="C6829" s="2" t="str">
        <x:v>Hà Nội</x:v>
      </x:c>
      <x:c r="D6829" s="2" t="str">
        <x:v>Quận Long Biên</x:v>
      </x:c>
      <x:c r="E6829" s="2" t="str">
        <x:v>house</x:v>
      </x:c>
      <x:c r="F6829" s="2" t="str">
        <x:v>sale</x:v>
      </x:c>
      <x:c r="G6829" s="11" t="n">
        <x:v>54</x:v>
      </x:c>
      <x:c r="H6829" s="12" t="n">
        <x:v>6000000000</x:v>
      </x:c>
      <x:c r="I6829" s="12" t="n">
        <x:v>111111111.1111111</x:v>
      </x:c>
      <x:c r="J6829" s="2" t="str">
        <x:v>total</x:v>
      </x:c>
      <x:c r="K6829" s="2" t="str">
        <x:v>top_level_area</x:v>
      </x:c>
      <x:c r="L6829" s="2" t="str">
        <x:v>property_type_inferred_from_title</x:v>
      </x:c>
      <x:c r="M6829" s="10" t="n">
        <x:v>0</x:v>
      </x:c>
      <x:c r="N6829" s="10" t="n">
        <x:v>0</x:v>
      </x:c>
      <x:c r="O6829" s="2" t="str">
        <x:v>Hà Nội|house</x:v>
      </x:c>
      <x:c r="P6829" s="10" t="n">
        <x:v>2</x:v>
      </x:c>
      <x:c r="Q6829" s="13" t="n">
        <x:f>IF(H6829="","",H6829/1000000000)</x:f>
        <x:v>6</x:v>
      </x:c>
      <x:c r="R6829" s="13" t="n">
        <x:f>IF(I6829="","",I6829/1000000)</x:f>
        <x:v>111.1111111111111</x:v>
      </x:c>
    </x:row>
    <x:row r="6830" ht="21" customHeight="1">
      <x:c r="A6830" s="10" t="n">
        <x:v>8797</x:v>
      </x:c>
      <x:c r="B6830" s="2" t="str">
        <x:v>4cbb1938278d6aca15b3</x:v>
      </x:c>
      <x:c r="C6830" s="2" t="str">
        <x:v>Tp Hồ Chí Minh</x:v>
      </x:c>
      <x:c r="D6830" s="2" t="str">
        <x:v>Huyện Nhà Bè</x:v>
      </x:c>
      <x:c r="E6830" s="2" t="str">
        <x:v>house</x:v>
      </x:c>
      <x:c r="F6830" s="2" t="str">
        <x:v>sale_assumed</x:v>
      </x:c>
      <x:c r="G6830" s="11" t="n">
        <x:v>45</x:v>
      </x:c>
      <x:c r="H6830" s="12" t="n">
        <x:v>1490000000</x:v>
      </x:c>
      <x:c r="I6830" s="12" t="n">
        <x:v>33111111.111111112</x:v>
      </x:c>
      <x:c r="J6830" s="2" t="str">
        <x:v>total</x:v>
      </x:c>
      <x:c r="K6830" s="2" t="str">
        <x:v>top_level_price_embedded_area</x:v>
      </x:c>
      <x:c r="L6830" s="2" t="str">
        <x:v>area_recovered_from_price_text;property_type_inferred_from_title;transaction_assumed_sale_from_dataset_context</x:v>
      </x:c>
      <x:c r="M6830" s="10" t="n">
        <x:v>0</x:v>
      </x:c>
      <x:c r="N6830" s="10" t="n">
        <x:v>0</x:v>
      </x:c>
      <x:c r="O6830" s="2" t="str">
        <x:v>Tp Hồ Chí Minh|house</x:v>
      </x:c>
      <x:c r="P6830" s="10" t="n">
        <x:v>2</x:v>
      </x:c>
      <x:c r="Q6830" s="13" t="n">
        <x:f>IF(H6830="","",H6830/1000000000)</x:f>
        <x:v>1.49</x:v>
      </x:c>
      <x:c r="R6830" s="13" t="n">
        <x:f>IF(I6830="","",I6830/1000000)</x:f>
        <x:v>33.111111111111114</x:v>
      </x:c>
    </x:row>
    <x:row r="6831" ht="21" customHeight="1">
      <x:c r="A6831" s="10" t="n">
        <x:v>8798</x:v>
      </x:c>
      <x:c r="B6831" s="2" t="str">
        <x:v>7cbba7bca5e38e085b2f</x:v>
      </x:c>
      <x:c r="C6831" s="2" t="str">
        <x:v>Tp Hồ Chí Minh</x:v>
      </x:c>
      <x:c r="D6831" s="2" t="str">
        <x:v>Huyện Hóc Môn</x:v>
      </x:c>
      <x:c r="E6831" s="2" t="str">
        <x:v>apartment</x:v>
      </x:c>
      <x:c r="F6831" s="2" t="str">
        <x:v>sale_assumed</x:v>
      </x:c>
      <x:c r="G6831" s="11" t="n">
        <x:v>48</x:v>
      </x:c>
      <x:c r="H6831" s="12" t="n">
        <x:v>290000000</x:v>
      </x:c>
      <x:c r="I6831" s="12" t="n">
        <x:v>6041666.666666667</x:v>
      </x:c>
      <x:c r="J6831" s="2" t="str">
        <x:v>total</x:v>
      </x:c>
      <x:c r="K6831" s="2" t="str">
        <x:v>top_level_area</x:v>
      </x:c>
      <x:c r="L6831" s="2" t="str">
        <x:v>property_type_inferred_from_title;transaction_assumed_sale_from_dataset_context</x:v>
      </x:c>
      <x:c r="M6831" s="10" t="n">
        <x:v>0</x:v>
      </x:c>
      <x:c r="N6831" s="10" t="n">
        <x:v>0</x:v>
      </x:c>
      <x:c r="O6831" s="2" t="str">
        <x:v>Tp Hồ Chí Minh|apartment</x:v>
      </x:c>
      <x:c r="P6831" s="10" t="n">
        <x:v>2</x:v>
      </x:c>
      <x:c r="Q6831" s="13" t="n">
        <x:f>IF(H6831="","",H6831/1000000000)</x:f>
        <x:v>0.29</x:v>
      </x:c>
      <x:c r="R6831" s="13" t="n">
        <x:f>IF(I6831="","",I6831/1000000)</x:f>
        <x:v>6.041666666666667</x:v>
      </x:c>
    </x:row>
    <x:row r="6832" ht="21" customHeight="1">
      <x:c r="A6832" s="10" t="n">
        <x:v>8799</x:v>
      </x:c>
      <x:c r="B6832" s="2" t="str">
        <x:v>18317716b276b8adef24</x:v>
      </x:c>
      <x:c r="C6832" s="2" t="str">
        <x:v>Hà Nội</x:v>
      </x:c>
      <x:c r="D6832" s="2" t="str">
        <x:v>Huyện Đan Phượng</x:v>
      </x:c>
      <x:c r="E6832" s="2" t="str">
        <x:v>house</x:v>
      </x:c>
      <x:c r="F6832" s="2" t="str">
        <x:v>sale</x:v>
      </x:c>
      <x:c r="G6832" s="11" t="n">
        <x:v>200</x:v>
      </x:c>
      <x:c r="H6832" s="12" t="n">
        <x:v>6200000000</x:v>
      </x:c>
      <x:c r="I6832" s="12" t="n">
        <x:v>31000000</x:v>
      </x:c>
      <x:c r="J6832" s="2" t="str">
        <x:v>total</x:v>
      </x:c>
      <x:c r="K6832" s="2" t="str">
        <x:v>top_level_area</x:v>
      </x:c>
      <x:c r="L6832" s="2" t="str">
        <x:v>property_type_inferred_from_title</x:v>
      </x:c>
      <x:c r="M6832" s="10" t="n">
        <x:v>0</x:v>
      </x:c>
      <x:c r="N6832" s="10" t="n">
        <x:v>0</x:v>
      </x:c>
      <x:c r="O6832" s="2" t="str">
        <x:v>Hà Nội|house</x:v>
      </x:c>
      <x:c r="P6832" s="10" t="n">
        <x:v>2</x:v>
      </x:c>
      <x:c r="Q6832" s="13" t="n">
        <x:f>IF(H6832="","",H6832/1000000000)</x:f>
        <x:v>6.2</x:v>
      </x:c>
      <x:c r="R6832" s="13" t="n">
        <x:f>IF(I6832="","",I6832/1000000)</x:f>
        <x:v>31</x:v>
      </x:c>
    </x:row>
    <x:row r="6833" ht="21" customHeight="1">
      <x:c r="A6833" s="10" t="n">
        <x:v>8800</x:v>
      </x:c>
      <x:c r="B6833" s="2" t="str">
        <x:v>2536da536b07e98d239d</x:v>
      </x:c>
      <x:c r="C6833" s="2" t="str">
        <x:v>Khánh Hòa</x:v>
      </x:c>
      <x:c r="D6833" s="2" t="str">
        <x:v>Huyện Diên Khánh</x:v>
      </x:c>
      <x:c r="E6833" s="2" t="str">
        <x:v>land</x:v>
      </x:c>
      <x:c r="F6833" s="2" t="str">
        <x:v>sale_assumed</x:v>
      </x:c>
      <x:c r="G6833" s="11" t="n">
        <x:v>100</x:v>
      </x:c>
      <x:c r="H6833" s="12" t="n">
        <x:v>560000000</x:v>
      </x:c>
      <x:c r="I6833" s="12" t="n">
        <x:v>5600000</x:v>
      </x:c>
      <x:c r="J6833" s="2" t="str">
        <x:v>total</x:v>
      </x:c>
      <x:c r="K6833" s="2" t="str">
        <x:v>top_level_area</x:v>
      </x:c>
      <x:c r="L6833" s="2" t="str">
        <x:v>property_type_inferred_from_title;transaction_assumed_sale_from_dataset_context</x:v>
      </x:c>
      <x:c r="M6833" s="10" t="n">
        <x:v>0</x:v>
      </x:c>
      <x:c r="N6833" s="10" t="n">
        <x:v>0</x:v>
      </x:c>
      <x:c r="O6833" s="2" t="str">
        <x:v>land</x:v>
      </x:c>
      <x:c r="P6833" s="10" t="n">
        <x:v>2</x:v>
      </x:c>
      <x:c r="Q6833" s="13" t="n">
        <x:f>IF(H6833="","",H6833/1000000000)</x:f>
        <x:v>0.56</x:v>
      </x:c>
      <x:c r="R6833" s="13" t="n">
        <x:f>IF(I6833="","",I6833/1000000)</x:f>
        <x:v>5.6</x:v>
      </x:c>
    </x:row>
    <x:row r="6834" ht="21" customHeight="1">
      <x:c r="A6834" s="10" t="n">
        <x:v>8801</x:v>
      </x:c>
      <x:c r="B6834" s="2" t="str">
        <x:v>5f800eb18437f2125cd9</x:v>
      </x:c>
      <x:c r="C6834" s="2" t="str">
        <x:v>Lâm Đồng</x:v>
      </x:c>
      <x:c r="D6834" s="2" t="str">
        <x:v>Huyện Bảo Lâm</x:v>
      </x:c>
      <x:c r="E6834" s="2" t="str">
        <x:v>land</x:v>
      </x:c>
      <x:c r="F6834" s="2" t="str">
        <x:v>sale_assumed</x:v>
      </x:c>
      <x:c r="G6834" s="11" t="n">
        <x:v>150</x:v>
      </x:c>
      <x:c r="H6834" s="12" t="n">
        <x:v>410000000</x:v>
      </x:c>
      <x:c r="I6834" s="12" t="n">
        <x:v>2733333.3333333335</x:v>
      </x:c>
      <x:c r="J6834" s="2" t="str">
        <x:v>total</x:v>
      </x:c>
      <x:c r="K6834" s="2" t="str">
        <x:v>top_level_area</x:v>
      </x:c>
      <x:c r="L6834" s="2" t="str">
        <x:v>property_type_inferred_from_title;transaction_assumed_sale_from_dataset_context</x:v>
      </x:c>
      <x:c r="M6834" s="10" t="n">
        <x:v>0</x:v>
      </x:c>
      <x:c r="N6834" s="10" t="n">
        <x:v>0</x:v>
      </x:c>
      <x:c r="O6834" s="2" t="str">
        <x:v>Lâm Đồng|land</x:v>
      </x:c>
      <x:c r="P6834" s="10" t="n">
        <x:v>1</x:v>
      </x:c>
      <x:c r="Q6834" s="13" t="n">
        <x:f>IF(H6834="","",H6834/1000000000)</x:f>
        <x:v>0.41</x:v>
      </x:c>
      <x:c r="R6834" s="13" t="n">
        <x:f>IF(I6834="","",I6834/1000000)</x:f>
        <x:v>2.7333333333333334</x:v>
      </x:c>
    </x:row>
    <x:row r="6835" ht="21" customHeight="1">
      <x:c r="A6835" s="10" t="n">
        <x:v>8804</x:v>
      </x:c>
      <x:c r="B6835" s="2" t="str">
        <x:v>e541f8e74bd18aa52494</x:v>
      </x:c>
      <x:c r="C6835" s="2" t="str">
        <x:v>Đà Nẵng</x:v>
      </x:c>
      <x:c r="D6835" s="2" t="str">
        <x:v>Quận Liên Chiểu</x:v>
      </x:c>
      <x:c r="E6835" s="2" t="str">
        <x:v>house</x:v>
      </x:c>
      <x:c r="F6835" s="2" t="str">
        <x:v>sale_assumed</x:v>
      </x:c>
      <x:c r="G6835" s="11" t="n">
        <x:v>66.5</x:v>
      </x:c>
      <x:c r="H6835" s="12" t="n">
        <x:v>1380000000</x:v>
      </x:c>
      <x:c r="I6835" s="12" t="n">
        <x:v>20751879.69924812</x:v>
      </x:c>
      <x:c r="J6835" s="2" t="str">
        <x:v>total</x:v>
      </x:c>
      <x:c r="K6835" s="2" t="str">
        <x:v>top_level_area</x:v>
      </x:c>
      <x:c r="L6835" s="2" t="str">
        <x:v>property_type_inferred_from_title;transaction_assumed_sale_from_dataset_context</x:v>
      </x:c>
      <x:c r="M6835" s="10" t="n">
        <x:v>0</x:v>
      </x:c>
      <x:c r="N6835" s="10" t="n">
        <x:v>0</x:v>
      </x:c>
      <x:c r="O6835" s="2" t="str">
        <x:v>Đà Nẵng|house</x:v>
      </x:c>
      <x:c r="P6835" s="10" t="n">
        <x:v>2</x:v>
      </x:c>
      <x:c r="Q6835" s="13" t="n">
        <x:f>IF(H6835="","",H6835/1000000000)</x:f>
        <x:v>1.38</x:v>
      </x:c>
      <x:c r="R6835" s="13" t="n">
        <x:f>IF(I6835="","",I6835/1000000)</x:f>
        <x:v>20.75187969924812</x:v>
      </x:c>
    </x:row>
    <x:row r="6836" ht="21" customHeight="1">
      <x:c r="A6836" s="10" t="n">
        <x:v>8805</x:v>
      </x:c>
      <x:c r="B6836" s="2" t="str">
        <x:v>2ea1924a5ddbdaba6109</x:v>
      </x:c>
      <x:c r="C6836" s="2" t="str">
        <x:v>Hà Nội</x:v>
      </x:c>
      <x:c r="D6836" s="2" t="str">
        <x:v>Huyện Hoài Đức</x:v>
      </x:c>
      <x:c r="E6836" s="2" t="str">
        <x:v>apartment</x:v>
      </x:c>
      <x:c r="F6836" s="2" t="str">
        <x:v>sale_assumed</x:v>
      </x:c>
      <x:c r="G6836" s="11" t="n">
        <x:v>80.5</x:v>
      </x:c>
      <x:c r="H6836" s="12" t="n">
        <x:v>1220000000</x:v>
      </x:c>
      <x:c r="I6836" s="12" t="n">
        <x:v>15155279.50310559</x:v>
      </x:c>
      <x:c r="J6836" s="2" t="str">
        <x:v>total</x:v>
      </x:c>
      <x:c r="K6836" s="2" t="str">
        <x:v>top_level_price_embedded_area</x:v>
      </x:c>
      <x:c r="L6836" s="2" t="str">
        <x:v>area_recovered_from_price_text;property_type_inferred_from_title;transaction_assumed_sale_from_dataset_context</x:v>
      </x:c>
      <x:c r="M6836" s="10" t="n">
        <x:v>0</x:v>
      </x:c>
      <x:c r="N6836" s="10" t="n">
        <x:v>0</x:v>
      </x:c>
      <x:c r="O6836" s="2" t="str">
        <x:v>Hà Nội|apartment</x:v>
      </x:c>
      <x:c r="P6836" s="10" t="n">
        <x:v>2</x:v>
      </x:c>
      <x:c r="Q6836" s="13" t="n">
        <x:f>IF(H6836="","",H6836/1000000000)</x:f>
        <x:v>1.22</x:v>
      </x:c>
      <x:c r="R6836" s="13" t="n">
        <x:f>IF(I6836="","",I6836/1000000)</x:f>
        <x:v>15.15527950310559</x:v>
      </x:c>
    </x:row>
    <x:row r="6837" ht="21" customHeight="1">
      <x:c r="A6837" s="10" t="n">
        <x:v>8806</x:v>
      </x:c>
      <x:c r="B6837" s="2" t="str">
        <x:v>838a61608cfa352597af</x:v>
      </x:c>
      <x:c r="C6837" s="2" t="str">
        <x:v>Tp Hồ Chí Minh</x:v>
      </x:c>
      <x:c r="D6837" s="2" t="str">
        <x:v>Quận 10</x:v>
      </x:c>
      <x:c r="E6837" s="2" t="str">
        <x:v>house</x:v>
      </x:c>
      <x:c r="F6837" s="2" t="str">
        <x:v>sale_assumed</x:v>
      </x:c>
      <x:c r="G6837" s="11" t="n">
        <x:v>15</x:v>
      </x:c>
      <x:c r="H6837" s="12" t="n">
        <x:v>2600000000</x:v>
      </x:c>
      <x:c r="I6837" s="12" t="n">
        <x:v>173333333.33333334</x:v>
      </x:c>
      <x:c r="J6837" s="2" t="str">
        <x:v>total</x:v>
      </x:c>
      <x:c r="K6837" s="2" t="str">
        <x:v>top_level_area</x:v>
      </x:c>
      <x:c r="L6837" s="2" t="str">
        <x:v>property_type_inferred_from_title;transaction_assumed_sale_from_dataset_context</x:v>
      </x:c>
      <x:c r="M6837" s="10" t="n">
        <x:v>1</x:v>
      </x:c>
      <x:c r="N6837" s="10" t="n">
        <x:v>0</x:v>
      </x:c>
      <x:c r="O6837" s="2" t="str">
        <x:v>Tp Hồ Chí Minh|house</x:v>
      </x:c>
      <x:c r="P6837" s="10" t="n">
        <x:v>2</x:v>
      </x:c>
      <x:c r="Q6837" s="13" t="n">
        <x:f>IF(H6837="","",H6837/1000000000)</x:f>
        <x:v>2.6</x:v>
      </x:c>
      <x:c r="R6837" s="13" t="n">
        <x:f>IF(I6837="","",I6837/1000000)</x:f>
        <x:v>173.33333333333334</x:v>
      </x:c>
    </x:row>
    <x:row r="6838" ht="21" customHeight="1">
      <x:c r="A6838" s="10" t="n">
        <x:v>8807</x:v>
      </x:c>
      <x:c r="B6838" s="2" t="str">
        <x:v>f44d1685308dfa321a0e</x:v>
      </x:c>
      <x:c r="C6838" s="2" t="str">
        <x:v>Tp Hồ Chí Minh</x:v>
      </x:c>
      <x:c r="D6838" s="2" t="str">
        <x:v>Quận 12</x:v>
      </x:c>
      <x:c r="E6838" s="2" t="str">
        <x:v>land</x:v>
      </x:c>
      <x:c r="F6838" s="2" t="str">
        <x:v>sale</x:v>
      </x:c>
      <x:c r="G6838" s="11" t="n">
        <x:v>72</x:v>
      </x:c>
      <x:c r="H6838" s="12" t="n">
        <x:v>3450000000</x:v>
      </x:c>
      <x:c r="I6838" s="12" t="n">
        <x:v>47916666.666666664</x:v>
      </x:c>
      <x:c r="J6838" s="2" t="str">
        <x:v>total</x:v>
      </x:c>
      <x:c r="K6838" s="2" t="str">
        <x:v>top_level_area</x:v>
      </x:c>
      <x:c r="L6838" s="2" t="str">
        <x:v>property_type_inferred_from_title</x:v>
      </x:c>
      <x:c r="M6838" s="10" t="n">
        <x:v>0</x:v>
      </x:c>
      <x:c r="N6838" s="10" t="n">
        <x:v>0</x:v>
      </x:c>
      <x:c r="O6838" s="2" t="str">
        <x:v>Tp Hồ Chí Minh|land</x:v>
      </x:c>
      <x:c r="P6838" s="10" t="n">
        <x:v>2</x:v>
      </x:c>
      <x:c r="Q6838" s="13" t="n">
        <x:f>IF(H6838="","",H6838/1000000000)</x:f>
        <x:v>3.45</x:v>
      </x:c>
      <x:c r="R6838" s="13" t="n">
        <x:f>IF(I6838="","",I6838/1000000)</x:f>
        <x:v>47.916666666666664</x:v>
      </x:c>
    </x:row>
    <x:row r="6839" ht="21" customHeight="1">
      <x:c r="A6839" s="10" t="n">
        <x:v>8808</x:v>
      </x:c>
      <x:c r="B6839" s="2" t="str">
        <x:v>5cbe76a197afbdf33caa</x:v>
      </x:c>
      <x:c r="C6839" s="2" t="str">
        <x:v>Tp Hồ Chí Minh</x:v>
      </x:c>
      <x:c r="D6839" s="2" t="str">
        <x:v>Quận Tân Phú</x:v>
      </x:c>
      <x:c r="E6839" s="2" t="str">
        <x:v>house</x:v>
      </x:c>
      <x:c r="F6839" s="2" t="str">
        <x:v>sale_assumed</x:v>
      </x:c>
      <x:c r="G6839" s="11" t="n">
        <x:v>43</x:v>
      </x:c>
      <x:c r="H6839" s="12" t="n">
        <x:v>5300000000</x:v>
      </x:c>
      <x:c r="I6839" s="12" t="n">
        <x:v>123255813.95348836</x:v>
      </x:c>
      <x:c r="J6839" s="2" t="str">
        <x:v>total</x:v>
      </x:c>
      <x:c r="K6839" s="2" t="str">
        <x:v>top_level_area</x:v>
      </x:c>
      <x:c r="L6839" s="2" t="str">
        <x:v>property_type_inferred_from_title;transaction_assumed_sale_from_dataset_context</x:v>
      </x:c>
      <x:c r="M6839" s="10" t="n">
        <x:v>0</x:v>
      </x:c>
      <x:c r="N6839" s="10" t="n">
        <x:v>0</x:v>
      </x:c>
      <x:c r="O6839" s="2" t="str">
        <x:v>Tp Hồ Chí Minh|house</x:v>
      </x:c>
      <x:c r="P6839" s="10" t="n">
        <x:v>2</x:v>
      </x:c>
      <x:c r="Q6839" s="13" t="n">
        <x:f>IF(H6839="","",H6839/1000000000)</x:f>
        <x:v>5.3</x:v>
      </x:c>
      <x:c r="R6839" s="13" t="n">
        <x:f>IF(I6839="","",I6839/1000000)</x:f>
        <x:v>123.25581395348837</x:v>
      </x:c>
    </x:row>
    <x:row r="6840" ht="21" customHeight="1">
      <x:c r="A6840" s="10" t="n">
        <x:v>8809</x:v>
      </x:c>
      <x:c r="B6840" s="2" t="str">
        <x:v>f8c870e127288adcce2e</x:v>
      </x:c>
      <x:c r="C6840" s="2" t="str">
        <x:v>Tp Hồ Chí Minh</x:v>
      </x:c>
      <x:c r="D6840" s="2" t="str">
        <x:v>Quận 9</x:v>
      </x:c>
      <x:c r="E6840" s="2" t="str">
        <x:v>other_unknown</x:v>
      </x:c>
      <x:c r="F6840" s="2" t="str">
        <x:v>sale</x:v>
      </x:c>
      <x:c r="G6840" s="11" t="n">
        <x:v>58.1</x:v>
      </x:c>
      <x:c r="H6840" s="12" t="n">
        <x:v>1900000000</x:v>
      </x:c>
      <x:c r="I6840" s="12" t="n">
        <x:v>32702237.521514628</x:v>
      </x:c>
      <x:c r="J6840" s="2" t="str">
        <x:v>total</x:v>
      </x:c>
      <x:c r="K6840" s="2" t="str">
        <x:v>top_level_area</x:v>
      </x:c>
      <x:c r="L6840" s="2" t="str">
        <x:v>property_type_inferred_from_title;unknown_property_type</x:v>
      </x:c>
      <x:c r="M6840" s="10" t="n">
        <x:v>0</x:v>
      </x:c>
      <x:c r="N6840" s="10" t="n">
        <x:v>0</x:v>
      </x:c>
      <x:c r="O6840" s="2" t="str">
        <x:v>Tp Hồ Chí Minh|other_unknown</x:v>
      </x:c>
      <x:c r="P6840" s="10" t="n">
        <x:v>2</x:v>
      </x:c>
      <x:c r="Q6840" s="13" t="n">
        <x:f>IF(H6840="","",H6840/1000000000)</x:f>
        <x:v>1.9</x:v>
      </x:c>
      <x:c r="R6840" s="13" t="n">
        <x:f>IF(I6840="","",I6840/1000000)</x:f>
        <x:v>32.702237521514625</x:v>
      </x:c>
    </x:row>
    <x:row r="6841" ht="21" customHeight="1">
      <x:c r="A6841" s="10" t="n">
        <x:v>8810</x:v>
      </x:c>
      <x:c r="B6841" s="2" t="str">
        <x:v>722776465cdda2d767ba</x:v>
      </x:c>
      <x:c r="C6841" s="2" t="str">
        <x:v>Hà Nội</x:v>
      </x:c>
      <x:c r="D6841" s="2" t="str">
        <x:v>Quận Thanh Xuân</x:v>
      </x:c>
      <x:c r="E6841" s="2" t="str">
        <x:v>other_unknown</x:v>
      </x:c>
      <x:c r="F6841" s="2" t="str">
        <x:v>sale_assumed</x:v>
      </x:c>
      <x:c r="G6841" s="11" t="n">
        <x:v>45</x:v>
      </x:c>
      <x:c r="H6841" s="12" t="n">
        <x:v>7800000000</x:v>
      </x:c>
      <x:c r="I6841" s="12" t="n">
        <x:v>173333333.33333334</x:v>
      </x:c>
      <x:c r="J6841" s="2" t="str">
        <x:v>total</x:v>
      </x:c>
      <x:c r="K6841" s="2" t="str">
        <x:v>top_level_area</x:v>
      </x:c>
      <x:c r="L6841" s="2" t="str">
        <x:v>property_type_inferred_from_title;transaction_assumed_sale_from_dataset_context;unknown_property_type</x:v>
      </x:c>
      <x:c r="M6841" s="10" t="n">
        <x:v>1</x:v>
      </x:c>
      <x:c r="N6841" s="10" t="n">
        <x:v>0</x:v>
      </x:c>
      <x:c r="O6841" s="2" t="str">
        <x:v>Hà Nội|other_unknown</x:v>
      </x:c>
      <x:c r="P6841" s="10" t="n">
        <x:v>2</x:v>
      </x:c>
      <x:c r="Q6841" s="13" t="n">
        <x:f>IF(H6841="","",H6841/1000000000)</x:f>
        <x:v>7.8</x:v>
      </x:c>
      <x:c r="R6841" s="13" t="n">
        <x:f>IF(I6841="","",I6841/1000000)</x:f>
        <x:v>173.33333333333334</x:v>
      </x:c>
    </x:row>
    <x:row r="6842" ht="21" customHeight="1">
      <x:c r="A6842" s="10" t="n">
        <x:v>8811</x:v>
      </x:c>
      <x:c r="B6842" s="2" t="str">
        <x:v>bb4d0a3f6a284dab72a1</x:v>
      </x:c>
      <x:c r="C6842" s="2" t="str">
        <x:v>Tp Hồ Chí Minh</x:v>
      </x:c>
      <x:c r="D6842" s="2" t="str">
        <x:v>Quận 3</x:v>
      </x:c>
      <x:c r="E6842" s="2" t="str">
        <x:v>land</x:v>
      </x:c>
      <x:c r="F6842" s="2" t="str">
        <x:v>sale</x:v>
      </x:c>
      <x:c r="G6842" s="11" t="n">
        <x:v>131.5</x:v>
      </x:c>
      <x:c r="H6842" s="12" t="n">
        <x:v>20000000000</x:v>
      </x:c>
      <x:c r="I6842" s="12" t="n">
        <x:v>152091254.75285172</x:v>
      </x:c>
      <x:c r="J6842" s="2" t="str">
        <x:v>total</x:v>
      </x:c>
      <x:c r="K6842" s="2" t="str">
        <x:v>top_level_area</x:v>
      </x:c>
      <x:c r="L6842" s="2" t="str">
        <x:v>property_type_inferred_from_title</x:v>
      </x:c>
      <x:c r="M6842" s="10" t="n">
        <x:v>0</x:v>
      </x:c>
      <x:c r="N6842" s="10" t="n">
        <x:v>1</x:v>
      </x:c>
      <x:c r="O6842" s="2" t="str">
        <x:v>Tp Hồ Chí Minh|land</x:v>
      </x:c>
      <x:c r="P6842" s="10" t="n">
        <x:v>-1</x:v>
      </x:c>
      <x:c r="Q6842" s="13" t="n">
        <x:f>IF(H6842="","",H6842/1000000000)</x:f>
        <x:v>20</x:v>
      </x:c>
      <x:c r="R6842" s="13" t="n">
        <x:f>IF(I6842="","",I6842/1000000)</x:f>
        <x:v>152.0912547528517</x:v>
      </x:c>
    </x:row>
    <x:row r="6843" ht="21" customHeight="1">
      <x:c r="A6843" s="10" t="n">
        <x:v>8812</x:v>
      </x:c>
      <x:c r="B6843" s="2" t="str">
        <x:v>49157d57b01b1fd5e477</x:v>
      </x:c>
      <x:c r="C6843" s="2" t="str">
        <x:v>Hà Nội</x:v>
      </x:c>
      <x:c r="D6843" s="2" t="str">
        <x:v>Quận Hai Bà Trưng</x:v>
      </x:c>
      <x:c r="E6843" s="2" t="str">
        <x:v>house</x:v>
      </x:c>
      <x:c r="F6843" s="2" t="str">
        <x:v>sale</x:v>
      </x:c>
      <x:c r="G6843" s="11" t="n">
        <x:v>22</x:v>
      </x:c>
      <x:c r="H6843" s="12" t="n">
        <x:v>2250000000</x:v>
      </x:c>
      <x:c r="I6843" s="12" t="n">
        <x:v>102272727.27272727</x:v>
      </x:c>
      <x:c r="J6843" s="2" t="str">
        <x:v>total</x:v>
      </x:c>
      <x:c r="K6843" s="2" t="str">
        <x:v>top_level_area</x:v>
      </x:c>
      <x:c r="L6843" s="2" t="str">
        <x:v>property_type_inferred_from_title</x:v>
      </x:c>
      <x:c r="M6843" s="10" t="n">
        <x:v>0</x:v>
      </x:c>
      <x:c r="N6843" s="10" t="n">
        <x:v>0</x:v>
      </x:c>
      <x:c r="O6843" s="2" t="str">
        <x:v>Hà Nội|house</x:v>
      </x:c>
      <x:c r="P6843" s="10" t="n">
        <x:v>2</x:v>
      </x:c>
      <x:c r="Q6843" s="13" t="n">
        <x:f>IF(H6843="","",H6843/1000000000)</x:f>
        <x:v>2.25</x:v>
      </x:c>
      <x:c r="R6843" s="13" t="n">
        <x:f>IF(I6843="","",I6843/1000000)</x:f>
        <x:v>102.27272727272727</x:v>
      </x:c>
    </x:row>
    <x:row r="6844" ht="21" customHeight="1">
      <x:c r="A6844" s="10" t="n">
        <x:v>8813</x:v>
      </x:c>
      <x:c r="B6844" s="2" t="str">
        <x:v>8b7c0751fdb3f318958f</x:v>
      </x:c>
      <x:c r="C6844" s="2" t="str">
        <x:v>Tp Hồ Chí Minh</x:v>
      </x:c>
      <x:c r="D6844" s="2" t="str">
        <x:v>Huyện Bình Chánh</x:v>
      </x:c>
      <x:c r="E6844" s="2" t="str">
        <x:v>house</x:v>
      </x:c>
      <x:c r="F6844" s="2" t="str">
        <x:v>sale_assumed</x:v>
      </x:c>
      <x:c r="G6844" s="11" t="n">
        <x:v>48</x:v>
      </x:c>
      <x:c r="H6844" s="12" t="n">
        <x:v>650000000</x:v>
      </x:c>
      <x:c r="I6844" s="12" t="n">
        <x:v>13541666.666666666</x:v>
      </x:c>
      <x:c r="J6844" s="2" t="str">
        <x:v>total</x:v>
      </x:c>
      <x:c r="K6844" s="2" t="str">
        <x:v>top_level_area</x:v>
      </x:c>
      <x:c r="L6844" s="2" t="str">
        <x:v>property_type_inferred_from_title;transaction_assumed_sale_from_dataset_context</x:v>
      </x:c>
      <x:c r="M6844" s="10" t="n">
        <x:v>0</x:v>
      </x:c>
      <x:c r="N6844" s="10" t="n">
        <x:v>0</x:v>
      </x:c>
      <x:c r="O6844" s="2" t="str">
        <x:v>Tp Hồ Chí Minh|house</x:v>
      </x:c>
      <x:c r="P6844" s="10" t="n">
        <x:v>2</x:v>
      </x:c>
      <x:c r="Q6844" s="13" t="n">
        <x:f>IF(H6844="","",H6844/1000000000)</x:f>
        <x:v>0.65</x:v>
      </x:c>
      <x:c r="R6844" s="13" t="n">
        <x:f>IF(I6844="","",I6844/1000000)</x:f>
        <x:v>13.541666666666666</x:v>
      </x:c>
    </x:row>
    <x:row r="6845" ht="21" customHeight="1">
      <x:c r="A6845" s="10" t="n">
        <x:v>8814</x:v>
      </x:c>
      <x:c r="B6845" s="2" t="str">
        <x:v>26dbd6ce9aa83722892c</x:v>
      </x:c>
      <x:c r="C6845" s="2" t="str">
        <x:v>Tp Hồ Chí Minh</x:v>
      </x:c>
      <x:c r="D6845" s="2" t="str">
        <x:v>Quận 12</x:v>
      </x:c>
      <x:c r="E6845" s="2" t="str">
        <x:v>house</x:v>
      </x:c>
      <x:c r="F6845" s="2" t="str">
        <x:v>sale_assumed</x:v>
      </x:c>
      <x:c r="G6845" s="11" t="n">
        <x:v>80</x:v>
      </x:c>
      <x:c r="H6845" s="12" t="n">
        <x:v>5500000000</x:v>
      </x:c>
      <x:c r="I6845" s="12" t="n">
        <x:v>68750000</x:v>
      </x:c>
      <x:c r="J6845" s="2" t="str">
        <x:v>total</x:v>
      </x:c>
      <x:c r="K6845" s="2" t="str">
        <x:v>top_level_price_embedded_area</x:v>
      </x:c>
      <x:c r="L6845" s="2" t="str">
        <x:v>area_recovered_from_price_text;property_type_inferred_from_title;transaction_assumed_sale_from_dataset_context</x:v>
      </x:c>
      <x:c r="M6845" s="10" t="n">
        <x:v>0</x:v>
      </x:c>
      <x:c r="N6845" s="10" t="n">
        <x:v>0</x:v>
      </x:c>
      <x:c r="O6845" s="2" t="str">
        <x:v>Tp Hồ Chí Minh|house</x:v>
      </x:c>
      <x:c r="P6845" s="10" t="n">
        <x:v>2</x:v>
      </x:c>
      <x:c r="Q6845" s="13" t="n">
        <x:f>IF(H6845="","",H6845/1000000000)</x:f>
        <x:v>5.5</x:v>
      </x:c>
      <x:c r="R6845" s="13" t="n">
        <x:f>IF(I6845="","",I6845/1000000)</x:f>
        <x:v>68.75</x:v>
      </x:c>
    </x:row>
    <x:row r="6846" ht="21" customHeight="1">
      <x:c r="A6846" s="10" t="n">
        <x:v>8815</x:v>
      </x:c>
      <x:c r="B6846" s="2" t="str">
        <x:v>223850ac9061230176e8</x:v>
      </x:c>
      <x:c r="C6846" s="2" t="str">
        <x:v>Quảng Nam</x:v>
      </x:c>
      <x:c r="D6846" s="2" t="str">
        <x:v>Huyện Phước Sơn</x:v>
      </x:c>
      <x:c r="E6846" s="2" t="str">
        <x:v>land</x:v>
      </x:c>
      <x:c r="F6846" s="2" t="str">
        <x:v>sale_assumed</x:v>
      </x:c>
      <x:c r="G6846" s="11" t="n">
        <x:v>120</x:v>
      </x:c>
      <x:c r="H6846" s="12" t="n">
        <x:v>779000000</x:v>
      </x:c>
      <x:c r="I6846" s="12" t="n">
        <x:v>6491666.666666667</x:v>
      </x:c>
      <x:c r="J6846" s="2" t="str">
        <x:v>total</x:v>
      </x:c>
      <x:c r="K6846" s="2" t="str">
        <x:v>top_level_area</x:v>
      </x:c>
      <x:c r="L6846" s="2" t="str">
        <x:v>property_type_inferred_from_title;transaction_assumed_sale_from_dataset_context</x:v>
      </x:c>
      <x:c r="M6846" s="10" t="n">
        <x:v>0</x:v>
      </x:c>
      <x:c r="N6846" s="10" t="n">
        <x:v>0</x:v>
      </x:c>
      <x:c r="O6846" s="2" t="str">
        <x:v>land</x:v>
      </x:c>
      <x:c r="P6846" s="10" t="n">
        <x:v>2</x:v>
      </x:c>
      <x:c r="Q6846" s="13" t="n">
        <x:f>IF(H6846="","",H6846/1000000000)</x:f>
        <x:v>0.779</x:v>
      </x:c>
      <x:c r="R6846" s="13" t="n">
        <x:f>IF(I6846="","",I6846/1000000)</x:f>
        <x:v>6.491666666666667</x:v>
      </x:c>
    </x:row>
    <x:row r="6847" ht="21" customHeight="1">
      <x:c r="A6847" s="10" t="n">
        <x:v>8816</x:v>
      </x:c>
      <x:c r="B6847" s="2" t="str">
        <x:v>272d4ac8095cf40e85cc</x:v>
      </x:c>
      <x:c r="C6847" s="2" t="str">
        <x:v>Tp Hồ Chí Minh</x:v>
      </x:c>
      <x:c r="D6847" s="2" t="str">
        <x:v>Quận Bình Tân</x:v>
      </x:c>
      <x:c r="E6847" s="2" t="str">
        <x:v>house</x:v>
      </x:c>
      <x:c r="F6847" s="2" t="str">
        <x:v>sale_assumed</x:v>
      </x:c>
      <x:c r="G6847" s="11" t="n">
        <x:v>48.6</x:v>
      </x:c>
      <x:c r="H6847" s="12" t="n">
        <x:v>4300000000</x:v>
      </x:c>
      <x:c r="I6847" s="12" t="n">
        <x:v>88477366.25514403</x:v>
      </x:c>
      <x:c r="J6847" s="2" t="str">
        <x:v>total</x:v>
      </x:c>
      <x:c r="K6847" s="2" t="str">
        <x:v>top_level_area</x:v>
      </x:c>
      <x:c r="L6847" s="2" t="str">
        <x:v>property_type_inferred_from_title;transaction_assumed_sale_from_dataset_context</x:v>
      </x:c>
      <x:c r="M6847" s="10" t="n">
        <x:v>0</x:v>
      </x:c>
      <x:c r="N6847" s="10" t="n">
        <x:v>0</x:v>
      </x:c>
      <x:c r="O6847" s="2" t="str">
        <x:v>Tp Hồ Chí Minh|house</x:v>
      </x:c>
      <x:c r="P6847" s="10" t="n">
        <x:v>2</x:v>
      </x:c>
      <x:c r="Q6847" s="13" t="n">
        <x:f>IF(H6847="","",H6847/1000000000)</x:f>
        <x:v>4.3</x:v>
      </x:c>
      <x:c r="R6847" s="13" t="n">
        <x:f>IF(I6847="","",I6847/1000000)</x:f>
        <x:v>88.47736625514403</x:v>
      </x:c>
    </x:row>
    <x:row r="6848" ht="21" customHeight="1">
      <x:c r="A6848" s="10" t="n">
        <x:v>8817</x:v>
      </x:c>
      <x:c r="B6848" s="2" t="str">
        <x:v>fa5c4538171bb51b2e76</x:v>
      </x:c>
      <x:c r="C6848" s="2" t="str">
        <x:v>Kiên Giang</x:v>
      </x:c>
      <x:c r="D6848" s="2" t="str">
        <x:v>Thành phố Rạch Giá</x:v>
      </x:c>
      <x:c r="E6848" s="2" t="str">
        <x:v>house</x:v>
      </x:c>
      <x:c r="F6848" s="2" t="str">
        <x:v>sale_assumed</x:v>
      </x:c>
      <x:c r="G6848" s="11" t="n">
        <x:v>110</x:v>
      </x:c>
      <x:c r="H6848" s="12" t="n">
        <x:v>1300000000</x:v>
      </x:c>
      <x:c r="I6848" s="12" t="n">
        <x:v>11818181.818181818</x:v>
      </x:c>
      <x:c r="J6848" s="2" t="str">
        <x:v>total</x:v>
      </x:c>
      <x:c r="K6848" s="2" t="str">
        <x:v>top_level_area</x:v>
      </x:c>
      <x:c r="L6848" s="2" t="str">
        <x:v>property_type_inferred_from_title;transaction_assumed_sale_from_dataset_context</x:v>
      </x:c>
      <x:c r="M6848" s="10" t="n">
        <x:v>0</x:v>
      </x:c>
      <x:c r="N6848" s="10" t="n">
        <x:v>0</x:v>
      </x:c>
      <x:c r="O6848" s="2" t="str">
        <x:v>house</x:v>
      </x:c>
      <x:c r="P6848" s="10" t="n">
        <x:v>2</x:v>
      </x:c>
      <x:c r="Q6848" s="13" t="n">
        <x:f>IF(H6848="","",H6848/1000000000)</x:f>
        <x:v>1.3</x:v>
      </x:c>
      <x:c r="R6848" s="13" t="n">
        <x:f>IF(I6848="","",I6848/1000000)</x:f>
        <x:v>11.818181818181818</x:v>
      </x:c>
    </x:row>
    <x:row r="6849" ht="21" customHeight="1">
      <x:c r="A6849" s="10" t="n">
        <x:v>8818</x:v>
      </x:c>
      <x:c r="B6849" s="2" t="str">
        <x:v>1b7e63e39ba52d2485fe</x:v>
      </x:c>
      <x:c r="C6849" s="2" t="str">
        <x:v>Tp Hồ Chí Minh</x:v>
      </x:c>
      <x:c r="D6849" s="2" t="str">
        <x:v>Huyện Hóc Môn</x:v>
      </x:c>
      <x:c r="E6849" s="2" t="str">
        <x:v>other_unknown</x:v>
      </x:c>
      <x:c r="F6849" s="2" t="str">
        <x:v>sale_assumed</x:v>
      </x:c>
      <x:c r="G6849" s="11" t="n">
        <x:v>40</x:v>
      </x:c>
      <x:c r="H6849" s="12" t="n">
        <x:v>690000000</x:v>
      </x:c>
      <x:c r="I6849" s="12" t="n">
        <x:v>17250000</x:v>
      </x:c>
      <x:c r="J6849" s="2" t="str">
        <x:v>total</x:v>
      </x:c>
      <x:c r="K6849" s="2" t="str">
        <x:v>top_level_area</x:v>
      </x:c>
      <x:c r="L6849" s="2" t="str">
        <x:v>property_type_inferred_from_title;transaction_assumed_sale_from_dataset_context;unknown_property_type</x:v>
      </x:c>
      <x:c r="M6849" s="10" t="n">
        <x:v>0</x:v>
      </x:c>
      <x:c r="N6849" s="10" t="n">
        <x:v>0</x:v>
      </x:c>
      <x:c r="O6849" s="2" t="str">
        <x:v>Tp Hồ Chí Minh|other_unknown</x:v>
      </x:c>
      <x:c r="P6849" s="10" t="n">
        <x:v>2</x:v>
      </x:c>
      <x:c r="Q6849" s="13" t="n">
        <x:f>IF(H6849="","",H6849/1000000000)</x:f>
        <x:v>0.69</x:v>
      </x:c>
      <x:c r="R6849" s="13" t="n">
        <x:f>IF(I6849="","",I6849/1000000)</x:f>
        <x:v>17.25</x:v>
      </x:c>
    </x:row>
    <x:row r="6850" ht="21" customHeight="1">
      <x:c r="A6850" s="10" t="n">
        <x:v>8819</x:v>
      </x:c>
      <x:c r="B6850" s="2" t="str">
        <x:v>2c147074f740bacf7221</x:v>
      </x:c>
      <x:c r="C6850" s="2" t="str">
        <x:v>Tp Hồ Chí Minh</x:v>
      </x:c>
      <x:c r="D6850" s="2" t="str">
        <x:v>Huyện Bình Chánh</x:v>
      </x:c>
      <x:c r="E6850" s="2" t="str">
        <x:v>land</x:v>
      </x:c>
      <x:c r="F6850" s="2" t="str">
        <x:v>sale</x:v>
      </x:c>
      <x:c r="G6850" s="11" t="n">
        <x:v>114</x:v>
      </x:c>
      <x:c r="H6850" s="12" t="n">
        <x:v>1950000000</x:v>
      </x:c>
      <x:c r="I6850" s="12" t="n">
        <x:v>17105263.157894738</x:v>
      </x:c>
      <x:c r="J6850" s="2" t="str">
        <x:v>total</x:v>
      </x:c>
      <x:c r="K6850" s="2" t="str">
        <x:v>top_level_area</x:v>
      </x:c>
      <x:c r="L6850" s="2" t="str">
        <x:v>property_type_inferred_from_title</x:v>
      </x:c>
      <x:c r="M6850" s="10" t="n">
        <x:v>0</x:v>
      </x:c>
      <x:c r="N6850" s="10" t="n">
        <x:v>0</x:v>
      </x:c>
      <x:c r="O6850" s="2" t="str">
        <x:v>Tp Hồ Chí Minh|land</x:v>
      </x:c>
      <x:c r="P6850" s="10" t="n">
        <x:v>2</x:v>
      </x:c>
      <x:c r="Q6850" s="13" t="n">
        <x:f>IF(H6850="","",H6850/1000000000)</x:f>
        <x:v>1.95</x:v>
      </x:c>
      <x:c r="R6850" s="13" t="n">
        <x:f>IF(I6850="","",I6850/1000000)</x:f>
        <x:v>17.105263157894736</x:v>
      </x:c>
    </x:row>
    <x:row r="6851" ht="21" customHeight="1">
      <x:c r="A6851" s="10" t="n">
        <x:v>8820</x:v>
      </x:c>
      <x:c r="B6851" s="2" t="str">
        <x:v>5eceaada80bdc831bcaa</x:v>
      </x:c>
      <x:c r="C6851" s="2" t="str">
        <x:v>Long An</x:v>
      </x:c>
      <x:c r="D6851" s="2" t="str">
        <x:v>Huyện Bến Lức</x:v>
      </x:c>
      <x:c r="E6851" s="2" t="str">
        <x:v>house</x:v>
      </x:c>
      <x:c r="F6851" s="2" t="str">
        <x:v>sale_assumed</x:v>
      </x:c>
      <x:c r="G6851" s="11" t="n">
        <x:v>40</x:v>
      </x:c>
      <x:c r="H6851" s="12" t="n">
        <x:v>300000000</x:v>
      </x:c>
      <x:c r="I6851" s="12" t="n">
        <x:v>7500000</x:v>
      </x:c>
      <x:c r="J6851" s="2" t="str">
        <x:v>total</x:v>
      </x:c>
      <x:c r="K6851" s="2" t="str">
        <x:v>top_level_area</x:v>
      </x:c>
      <x:c r="L6851" s="2" t="str">
        <x:v>property_type_inferred_from_title;transaction_assumed_sale_from_dataset_context</x:v>
      </x:c>
      <x:c r="M6851" s="10" t="n">
        <x:v>0</x:v>
      </x:c>
      <x:c r="N6851" s="10" t="n">
        <x:v>0</x:v>
      </x:c>
      <x:c r="O6851" s="2" t="str">
        <x:v>Long An|house</x:v>
      </x:c>
      <x:c r="P6851" s="10" t="n">
        <x:v>2</x:v>
      </x:c>
      <x:c r="Q6851" s="13" t="n">
        <x:f>IF(H6851="","",H6851/1000000000)</x:f>
        <x:v>0.3</x:v>
      </x:c>
      <x:c r="R6851" s="13" t="n">
        <x:f>IF(I6851="","",I6851/1000000)</x:f>
        <x:v>7.5</x:v>
      </x:c>
    </x:row>
    <x:row r="6852" ht="21" customHeight="1">
      <x:c r="A6852" s="10" t="n">
        <x:v>8821</x:v>
      </x:c>
      <x:c r="B6852" s="2" t="str">
        <x:v>c387b2f9de0f940daa47</x:v>
      </x:c>
      <x:c r="C6852" s="2" t="str">
        <x:v>Tp Hồ Chí Minh</x:v>
      </x:c>
      <x:c r="D6852" s="2" t="str">
        <x:v>Quận 10</x:v>
      </x:c>
      <x:c r="E6852" s="2" t="str">
        <x:v>house</x:v>
      </x:c>
      <x:c r="F6852" s="2" t="str">
        <x:v>sale_assumed</x:v>
      </x:c>
      <x:c r="G6852" s="11" t="n">
        <x:v>83</x:v>
      </x:c>
      <x:c r="H6852" s="12" t="n">
        <x:v>7000000000</x:v>
      </x:c>
      <x:c r="I6852" s="12" t="n">
        <x:v>84337349.39759035</x:v>
      </x:c>
      <x:c r="J6852" s="2" t="str">
        <x:v>total</x:v>
      </x:c>
      <x:c r="K6852" s="2" t="str">
        <x:v>top_level_price_embedded_area</x:v>
      </x:c>
      <x:c r="L6852" s="2" t="str">
        <x:v>area_recovered_from_price_text;property_type_inferred_from_title;transaction_assumed_sale_from_dataset_context</x:v>
      </x:c>
      <x:c r="M6852" s="10" t="n">
        <x:v>0</x:v>
      </x:c>
      <x:c r="N6852" s="10" t="n">
        <x:v>0</x:v>
      </x:c>
      <x:c r="O6852" s="2" t="str">
        <x:v>Tp Hồ Chí Minh|house</x:v>
      </x:c>
      <x:c r="P6852" s="10" t="n">
        <x:v>2</x:v>
      </x:c>
      <x:c r="Q6852" s="13" t="n">
        <x:f>IF(H6852="","",H6852/1000000000)</x:f>
        <x:v>7</x:v>
      </x:c>
      <x:c r="R6852" s="13" t="n">
        <x:f>IF(I6852="","",I6852/1000000)</x:f>
        <x:v>84.33734939759036</x:v>
      </x:c>
    </x:row>
    <x:row r="6853" ht="21" customHeight="1">
      <x:c r="A6853" s="10" t="n">
        <x:v>8822</x:v>
      </x:c>
      <x:c r="B6853" s="2" t="str">
        <x:v>bb7bbe83376856d65939</x:v>
      </x:c>
      <x:c r="C6853" s="2" t="str">
        <x:v>Tp Hồ Chí Minh</x:v>
      </x:c>
      <x:c r="D6853" s="2" t="str">
        <x:v>Quận Tân Phú</x:v>
      </x:c>
      <x:c r="E6853" s="2" t="str">
        <x:v>house</x:v>
      </x:c>
      <x:c r="F6853" s="2" t="str">
        <x:v>sale</x:v>
      </x:c>
      <x:c r="G6853" s="11" t="n">
        <x:v>45</x:v>
      </x:c>
      <x:c r="H6853" s="12" t="n">
        <x:v>3400000000</x:v>
      </x:c>
      <x:c r="I6853" s="12" t="n">
        <x:v>75555555.55555555</x:v>
      </x:c>
      <x:c r="J6853" s="2" t="str">
        <x:v>total</x:v>
      </x:c>
      <x:c r="K6853" s="2" t="str">
        <x:v>top_level_area</x:v>
      </x:c>
      <x:c r="L6853" s="2" t="str">
        <x:v>property_type_inferred_from_title</x:v>
      </x:c>
      <x:c r="M6853" s="10" t="n">
        <x:v>0</x:v>
      </x:c>
      <x:c r="N6853" s="10" t="n">
        <x:v>0</x:v>
      </x:c>
      <x:c r="O6853" s="2" t="str">
        <x:v>Tp Hồ Chí Minh|house</x:v>
      </x:c>
      <x:c r="P6853" s="10" t="n">
        <x:v>2</x:v>
      </x:c>
      <x:c r="Q6853" s="13" t="n">
        <x:f>IF(H6853="","",H6853/1000000000)</x:f>
        <x:v>3.4</x:v>
      </x:c>
      <x:c r="R6853" s="13" t="n">
        <x:f>IF(I6853="","",I6853/1000000)</x:f>
        <x:v>75.55555555555556</x:v>
      </x:c>
    </x:row>
    <x:row r="6854" ht="21" customHeight="1">
      <x:c r="A6854" s="10" t="n">
        <x:v>8823</x:v>
      </x:c>
      <x:c r="B6854" s="2" t="str">
        <x:v>1bec4e7a1cfe6dea4e79</x:v>
      </x:c>
      <x:c r="C6854" s="2" t="str">
        <x:v>Đồng Nai</x:v>
      </x:c>
      <x:c r="D6854" s="2" t="str">
        <x:v>Huyện Thống Nhất</x:v>
      </x:c>
      <x:c r="E6854" s="2" t="str">
        <x:v>land</x:v>
      </x:c>
      <x:c r="F6854" s="2" t="str">
        <x:v>sale</x:v>
      </x:c>
      <x:c r="G6854" s="11" t="n">
        <x:v>100</x:v>
      </x:c>
      <x:c r="H6854" s="12" t="n">
        <x:v>190000000</x:v>
      </x:c>
      <x:c r="I6854" s="12" t="n">
        <x:v>1900000</x:v>
      </x:c>
      <x:c r="J6854" s="2" t="str">
        <x:v>total</x:v>
      </x:c>
      <x:c r="K6854" s="2" t="str">
        <x:v>top_level_area</x:v>
      </x:c>
      <x:c r="L6854" s="2" t="str">
        <x:v>property_type_inferred_from_title</x:v>
      </x:c>
      <x:c r="M6854" s="10" t="n">
        <x:v>0</x:v>
      </x:c>
      <x:c r="N6854" s="10" t="n">
        <x:v>0</x:v>
      </x:c>
      <x:c r="O6854" s="2" t="str">
        <x:v>Đồng Nai|land</x:v>
      </x:c>
      <x:c r="P6854" s="10" t="n">
        <x:v>1</x:v>
      </x:c>
      <x:c r="Q6854" s="13" t="n">
        <x:f>IF(H6854="","",H6854/1000000000)</x:f>
        <x:v>0.19</x:v>
      </x:c>
      <x:c r="R6854" s="13" t="n">
        <x:f>IF(I6854="","",I6854/1000000)</x:f>
        <x:v>1.9</x:v>
      </x:c>
    </x:row>
    <x:row r="6855" ht="21" customHeight="1">
      <x:c r="A6855" s="10" t="n">
        <x:v>8828</x:v>
      </x:c>
      <x:c r="B6855" s="2" t="str">
        <x:v>ffcb10bb01e963352f8b</x:v>
      </x:c>
      <x:c r="C6855" s="2" t="str">
        <x:v>Hà Nội</x:v>
      </x:c>
      <x:c r="D6855" s="2" t="str">
        <x:v>Quận Hai Bà Trưng</x:v>
      </x:c>
      <x:c r="E6855" s="2" t="str">
        <x:v>house</x:v>
      </x:c>
      <x:c r="F6855" s="2" t="str">
        <x:v>sale_assumed</x:v>
      </x:c>
      <x:c r="G6855" s="11" t="n">
        <x:v>32</x:v>
      </x:c>
      <x:c r="H6855" s="12" t="n">
        <x:v>3800000000</x:v>
      </x:c>
      <x:c r="I6855" s="12" t="n">
        <x:v>118750000</x:v>
      </x:c>
      <x:c r="J6855" s="2" t="str">
        <x:v>total</x:v>
      </x:c>
      <x:c r="K6855" s="2" t="str">
        <x:v>top_level_area</x:v>
      </x:c>
      <x:c r="L6855" s="2" t="str">
        <x:v>property_type_inferred_from_title;transaction_assumed_sale_from_dataset_context</x:v>
      </x:c>
      <x:c r="M6855" s="10" t="n">
        <x:v>0</x:v>
      </x:c>
      <x:c r="N6855" s="10" t="n">
        <x:v>0</x:v>
      </x:c>
      <x:c r="O6855" s="2" t="str">
        <x:v>Hà Nội|house</x:v>
      </x:c>
      <x:c r="P6855" s="10" t="n">
        <x:v>2</x:v>
      </x:c>
      <x:c r="Q6855" s="13" t="n">
        <x:f>IF(H6855="","",H6855/1000000000)</x:f>
        <x:v>3.8</x:v>
      </x:c>
      <x:c r="R6855" s="13" t="n">
        <x:f>IF(I6855="","",I6855/1000000)</x:f>
        <x:v>118.75</x:v>
      </x:c>
    </x:row>
    <x:row r="6856" ht="21" customHeight="1">
      <x:c r="A6856" s="10" t="n">
        <x:v>8829</x:v>
      </x:c>
      <x:c r="B6856" s="2" t="str">
        <x:v>ba388a2e679cb0a08dc1</x:v>
      </x:c>
      <x:c r="C6856" s="2" t="str">
        <x:v>Vĩnh Long</x:v>
      </x:c>
      <x:c r="D6856" s="2" t="str">
        <x:v>Thành phố Vĩnh Long</x:v>
      </x:c>
      <x:c r="E6856" s="2" t="str">
        <x:v>house</x:v>
      </x:c>
      <x:c r="F6856" s="2" t="str">
        <x:v>sale</x:v>
      </x:c>
      <x:c r="G6856" s="11" t="n">
        <x:v>83</x:v>
      </x:c>
      <x:c r="H6856" s="12" t="n">
        <x:v>800000000</x:v>
      </x:c>
      <x:c r="I6856" s="12" t="n">
        <x:v>9638554.21686747</x:v>
      </x:c>
      <x:c r="J6856" s="2" t="str">
        <x:v>total</x:v>
      </x:c>
      <x:c r="K6856" s="2" t="str">
        <x:v>top_level_area</x:v>
      </x:c>
      <x:c r="L6856" s="2" t="str">
        <x:v>property_type_inferred_from_title</x:v>
      </x:c>
      <x:c r="M6856" s="10" t="n">
        <x:v>0</x:v>
      </x:c>
      <x:c r="N6856" s="10" t="n">
        <x:v>0</x:v>
      </x:c>
      <x:c r="O6856" s="2" t="str">
        <x:v>house</x:v>
      </x:c>
      <x:c r="P6856" s="10" t="n">
        <x:v>2</x:v>
      </x:c>
      <x:c r="Q6856" s="13" t="n">
        <x:f>IF(H6856="","",H6856/1000000000)</x:f>
        <x:v>0.8</x:v>
      </x:c>
      <x:c r="R6856" s="13" t="n">
        <x:f>IF(I6856="","",I6856/1000000)</x:f>
        <x:v>9.638554216867469</x:v>
      </x:c>
    </x:row>
    <x:row r="6857" ht="21" customHeight="1">
      <x:c r="A6857" s="10" t="n">
        <x:v>8830</x:v>
      </x:c>
      <x:c r="B6857" s="2" t="str">
        <x:v>987e905cc455a9f77d9f</x:v>
      </x:c>
      <x:c r="C6857" s="2" t="str">
        <x:v>Hà Nội</x:v>
      </x:c>
      <x:c r="D6857" s="2" t="str">
        <x:v>Quận Nam Từ Liêm</x:v>
      </x:c>
      <x:c r="E6857" s="2" t="str">
        <x:v>house</x:v>
      </x:c>
      <x:c r="F6857" s="2" t="str">
        <x:v>sale_assumed</x:v>
      </x:c>
      <x:c r="G6857" s="11" t="n">
        <x:v>33</x:v>
      </x:c>
      <x:c r="H6857" s="12" t="n">
        <x:v>2982000000</x:v>
      </x:c>
      <x:c r="I6857" s="12" t="n">
        <x:v>90363636.36363636</x:v>
      </x:c>
      <x:c r="J6857" s="2" t="str">
        <x:v>total</x:v>
      </x:c>
      <x:c r="K6857" s="2" t="str">
        <x:v>top_level_area</x:v>
      </x:c>
      <x:c r="L6857" s="2" t="str">
        <x:v>property_type_inferred_from_title;transaction_assumed_sale_from_dataset_context</x:v>
      </x:c>
      <x:c r="M6857" s="10" t="n">
        <x:v>0</x:v>
      </x:c>
      <x:c r="N6857" s="10" t="n">
        <x:v>0</x:v>
      </x:c>
      <x:c r="O6857" s="2" t="str">
        <x:v>Hà Nội|house</x:v>
      </x:c>
      <x:c r="P6857" s="10" t="n">
        <x:v>2</x:v>
      </x:c>
      <x:c r="Q6857" s="13" t="n">
        <x:f>IF(H6857="","",H6857/1000000000)</x:f>
        <x:v>2.982</x:v>
      </x:c>
      <x:c r="R6857" s="13" t="n">
        <x:f>IF(I6857="","",I6857/1000000)</x:f>
        <x:v>90.36363636363636</x:v>
      </x:c>
    </x:row>
    <x:row r="6858" ht="21" customHeight="1">
      <x:c r="A6858" s="10" t="n">
        <x:v>8831</x:v>
      </x:c>
      <x:c r="B6858" s="2" t="str">
        <x:v>c8dcb99e60ceda7331cf</x:v>
      </x:c>
      <x:c r="C6858" s="2" t="str">
        <x:v>Đà Nẵng</x:v>
      </x:c>
      <x:c r="D6858" s="2" t="str">
        <x:v>Quận Liên Chiểu</x:v>
      </x:c>
      <x:c r="E6858" s="2" t="str">
        <x:v>other_unknown</x:v>
      </x:c>
      <x:c r="F6858" s="2" t="str">
        <x:v>sale_assumed</x:v>
      </x:c>
      <x:c r="G6858" s="11" t="n">
        <x:v>105</x:v>
      </x:c>
      <x:c r="H6858" s="12" t="n">
        <x:v>1370000000</x:v>
      </x:c>
      <x:c r="I6858" s="12" t="n">
        <x:v>13047619.047619049</x:v>
      </x:c>
      <x:c r="J6858" s="2" t="str">
        <x:v>total</x:v>
      </x:c>
      <x:c r="K6858" s="2" t="str">
        <x:v>top_level_area</x:v>
      </x:c>
      <x:c r="L6858" s="2" t="str">
        <x:v>property_type_inferred_from_title;transaction_assumed_sale_from_dataset_context;unknown_property_type</x:v>
      </x:c>
      <x:c r="M6858" s="10" t="n">
        <x:v>0</x:v>
      </x:c>
      <x:c r="N6858" s="10" t="n">
        <x:v>0</x:v>
      </x:c>
      <x:c r="O6858" s="2" t="str">
        <x:v>Đà Nẵng|other_unknown</x:v>
      </x:c>
      <x:c r="P6858" s="10" t="n">
        <x:v>2</x:v>
      </x:c>
      <x:c r="Q6858" s="13" t="n">
        <x:f>IF(H6858="","",H6858/1000000000)</x:f>
        <x:v>1.37</x:v>
      </x:c>
      <x:c r="R6858" s="13" t="n">
        <x:f>IF(I6858="","",I6858/1000000)</x:f>
        <x:v>13.04761904761905</x:v>
      </x:c>
    </x:row>
    <x:row r="6859" ht="21" customHeight="1">
      <x:c r="A6859" s="10" t="n">
        <x:v>8832</x:v>
      </x:c>
      <x:c r="B6859" s="2" t="str">
        <x:v>88f86e770959827fde74</x:v>
      </x:c>
      <x:c r="C6859" s="2" t="str">
        <x:v>Đà Nẵng</x:v>
      </x:c>
      <x:c r="D6859" s="2" t="str">
        <x:v>Quận Sơn Trà</x:v>
      </x:c>
      <x:c r="E6859" s="2" t="str">
        <x:v>house</x:v>
      </x:c>
      <x:c r="F6859" s="2" t="str">
        <x:v>sale</x:v>
      </x:c>
      <x:c r="G6859" s="11" t="n">
        <x:v>100.4</x:v>
      </x:c>
      <x:c r="H6859" s="12" t="n">
        <x:v>9600000000</x:v>
      </x:c>
      <x:c r="I6859" s="12" t="n">
        <x:v>95617529.88047808</x:v>
      </x:c>
      <x:c r="J6859" s="2" t="str">
        <x:v>total</x:v>
      </x:c>
      <x:c r="K6859" s="2" t="str">
        <x:v>top_level_area</x:v>
      </x:c>
      <x:c r="L6859" s="2" t="str">
        <x:v>property_type_inferred_from_title</x:v>
      </x:c>
      <x:c r="M6859" s="10" t="n">
        <x:v>0</x:v>
      </x:c>
      <x:c r="N6859" s="10" t="n">
        <x:v>0</x:v>
      </x:c>
      <x:c r="O6859" s="2" t="str">
        <x:v>Đà Nẵng|house</x:v>
      </x:c>
      <x:c r="P6859" s="10" t="n">
        <x:v>2</x:v>
      </x:c>
      <x:c r="Q6859" s="13" t="n">
        <x:f>IF(H6859="","",H6859/1000000000)</x:f>
        <x:v>9.6</x:v>
      </x:c>
      <x:c r="R6859" s="13" t="n">
        <x:f>IF(I6859="","",I6859/1000000)</x:f>
        <x:v>95.61752988047809</x:v>
      </x:c>
    </x:row>
    <x:row r="6860" ht="21" customHeight="1">
      <x:c r="A6860" s="10" t="n">
        <x:v>8833</x:v>
      </x:c>
      <x:c r="B6860" s="2" t="str">
        <x:v>4cae586ac819881d036b</x:v>
      </x:c>
      <x:c r="C6860" s="2" t="str">
        <x:v>Tp Hồ Chí Minh</x:v>
      </x:c>
      <x:c r="D6860" s="2" t="str">
        <x:v>Huyện Bình Chánh</x:v>
      </x:c>
      <x:c r="E6860" s="2" t="str">
        <x:v>house</x:v>
      </x:c>
      <x:c r="F6860" s="2" t="str">
        <x:v>sale</x:v>
      </x:c>
      <x:c r="G6860" s="11" t="n">
        <x:v>42</x:v>
      </x:c>
      <x:c r="H6860" s="12" t="n">
        <x:v>1350000000</x:v>
      </x:c>
      <x:c r="I6860" s="12" t="n">
        <x:v>32142857.14285714</x:v>
      </x:c>
      <x:c r="J6860" s="2" t="str">
        <x:v>total</x:v>
      </x:c>
      <x:c r="K6860" s="2" t="str">
        <x:v>top_level_area</x:v>
      </x:c>
      <x:c r="L6860" s="2" t="str">
        <x:v>property_type_inferred_from_title</x:v>
      </x:c>
      <x:c r="M6860" s="10" t="n">
        <x:v>0</x:v>
      </x:c>
      <x:c r="N6860" s="10" t="n">
        <x:v>0</x:v>
      </x:c>
      <x:c r="O6860" s="2" t="str">
        <x:v>Tp Hồ Chí Minh|house</x:v>
      </x:c>
      <x:c r="P6860" s="10" t="n">
        <x:v>2</x:v>
      </x:c>
      <x:c r="Q6860" s="13" t="n">
        <x:f>IF(H6860="","",H6860/1000000000)</x:f>
        <x:v>1.35</x:v>
      </x:c>
      <x:c r="R6860" s="13" t="n">
        <x:f>IF(I6860="","",I6860/1000000)</x:f>
        <x:v>32.14285714285714</x:v>
      </x:c>
    </x:row>
    <x:row r="6861" ht="21" customHeight="1">
      <x:c r="A6861" s="10" t="n">
        <x:v>8834</x:v>
      </x:c>
      <x:c r="B6861" s="2" t="str">
        <x:v>7c6dba2853d2e58146c1</x:v>
      </x:c>
      <x:c r="C6861" s="2" t="str">
        <x:v>Hà Nội</x:v>
      </x:c>
      <x:c r="D6861" s="2" t="str">
        <x:v>Quận Hà Đông</x:v>
      </x:c>
      <x:c r="E6861" s="2" t="str">
        <x:v>other_unknown</x:v>
      </x:c>
      <x:c r="F6861" s="2" t="str">
        <x:v>sale_assumed</x:v>
      </x:c>
      <x:c r="G6861" s="11" t="n">
        <x:v>39</x:v>
      </x:c>
      <x:c r="H6861" s="12" t="n">
        <x:v>2890000000</x:v>
      </x:c>
      <x:c r="I6861" s="12" t="n">
        <x:v>74102564.1025641</x:v>
      </x:c>
      <x:c r="J6861" s="2" t="str">
        <x:v>total</x:v>
      </x:c>
      <x:c r="K6861" s="2" t="str">
        <x:v>top_level_area</x:v>
      </x:c>
      <x:c r="L6861" s="2" t="str">
        <x:v>property_type_inferred_from_title;transaction_assumed_sale_from_dataset_context;unknown_property_type</x:v>
      </x:c>
      <x:c r="M6861" s="10" t="n">
        <x:v>0</x:v>
      </x:c>
      <x:c r="N6861" s="10" t="n">
        <x:v>0</x:v>
      </x:c>
      <x:c r="O6861" s="2" t="str">
        <x:v>Hà Nội|other_unknown</x:v>
      </x:c>
      <x:c r="P6861" s="10" t="n">
        <x:v>2</x:v>
      </x:c>
      <x:c r="Q6861" s="13" t="n">
        <x:f>IF(H6861="","",H6861/1000000000)</x:f>
        <x:v>2.89</x:v>
      </x:c>
      <x:c r="R6861" s="13" t="n">
        <x:f>IF(I6861="","",I6861/1000000)</x:f>
        <x:v>74.1025641025641</x:v>
      </x:c>
    </x:row>
    <x:row r="6862" ht="21" customHeight="1">
      <x:c r="A6862" s="10" t="n">
        <x:v>8835</x:v>
      </x:c>
      <x:c r="B6862" s="2" t="str">
        <x:v>c21bc7f7d1065e9e69ab</x:v>
      </x:c>
      <x:c r="C6862" s="2" t="str">
        <x:v>Tp Hồ Chí Minh</x:v>
      </x:c>
      <x:c r="D6862" s="2" t="str">
        <x:v>Quận 12</x:v>
      </x:c>
      <x:c r="E6862" s="2" t="str">
        <x:v>house</x:v>
      </x:c>
      <x:c r="F6862" s="2" t="str">
        <x:v>sale</x:v>
      </x:c>
      <x:c r="G6862" s="11" t="n">
        <x:v>75</x:v>
      </x:c>
      <x:c r="H6862" s="12" t="n">
        <x:v>1000000000</x:v>
      </x:c>
      <x:c r="I6862" s="12" t="n">
        <x:v>13333333.333333334</x:v>
      </x:c>
      <x:c r="J6862" s="2" t="str">
        <x:v>total</x:v>
      </x:c>
      <x:c r="K6862" s="2" t="str">
        <x:v>top_level_area</x:v>
      </x:c>
      <x:c r="L6862" s="2" t="str">
        <x:v>property_type_inferred_from_title</x:v>
      </x:c>
      <x:c r="M6862" s="10" t="n">
        <x:v>0</x:v>
      </x:c>
      <x:c r="N6862" s="10" t="n">
        <x:v>0</x:v>
      </x:c>
      <x:c r="O6862" s="2" t="str">
        <x:v>Tp Hồ Chí Minh|house</x:v>
      </x:c>
      <x:c r="P6862" s="10" t="n">
        <x:v>2</x:v>
      </x:c>
      <x:c r="Q6862" s="13" t="n">
        <x:f>IF(H6862="","",H6862/1000000000)</x:f>
        <x:v>1</x:v>
      </x:c>
      <x:c r="R6862" s="13" t="n">
        <x:f>IF(I6862="","",I6862/1000000)</x:f>
        <x:v>13.333333333333334</x:v>
      </x:c>
    </x:row>
    <x:row r="6863" ht="21" customHeight="1">
      <x:c r="A6863" s="10" t="n">
        <x:v>8836</x:v>
      </x:c>
      <x:c r="B6863" s="2" t="str">
        <x:v>0d102f02fa771c645ea0</x:v>
      </x:c>
      <x:c r="C6863" s="2" t="str">
        <x:v>Đồng Nai</x:v>
      </x:c>
      <x:c r="D6863" s="2" t="str">
        <x:v>Huyện Trảng Bom</x:v>
      </x:c>
      <x:c r="E6863" s="2" t="str">
        <x:v>house</x:v>
      </x:c>
      <x:c r="F6863" s="2" t="str">
        <x:v>sale</x:v>
      </x:c>
      <x:c r="G6863" s="11" t="n">
        <x:v>100</x:v>
      </x:c>
      <x:c r="H6863" s="12" t="n">
        <x:v>450000000</x:v>
      </x:c>
      <x:c r="I6863" s="12" t="n">
        <x:v>4500000</x:v>
      </x:c>
      <x:c r="J6863" s="2" t="str">
        <x:v>total</x:v>
      </x:c>
      <x:c r="K6863" s="2" t="str">
        <x:v>top_level_area</x:v>
      </x:c>
      <x:c r="L6863" s="2" t="str">
        <x:v>property_type_inferred_from_title</x:v>
      </x:c>
      <x:c r="M6863" s="10" t="n">
        <x:v>0</x:v>
      </x:c>
      <x:c r="N6863" s="10" t="n">
        <x:v>0</x:v>
      </x:c>
      <x:c r="O6863" s="2" t="str">
        <x:v>Đồng Nai|house</x:v>
      </x:c>
      <x:c r="P6863" s="10" t="n">
        <x:v>2</x:v>
      </x:c>
      <x:c r="Q6863" s="13" t="n">
        <x:f>IF(H6863="","",H6863/1000000000)</x:f>
        <x:v>0.45</x:v>
      </x:c>
      <x:c r="R6863" s="13" t="n">
        <x:f>IF(I6863="","",I6863/1000000)</x:f>
        <x:v>4.5</x:v>
      </x:c>
    </x:row>
    <x:row r="6864" ht="21" customHeight="1">
      <x:c r="A6864" s="10" t="n">
        <x:v>8837</x:v>
      </x:c>
      <x:c r="B6864" s="2" t="str">
        <x:v>7c4f4fb94b999a2245ed</x:v>
      </x:c>
      <x:c r="C6864" s="2" t="str">
        <x:v>Đà Nẵng</x:v>
      </x:c>
      <x:c r="D6864" s="2" t="str">
        <x:v>Quận Cẩm Lệ</x:v>
      </x:c>
      <x:c r="E6864" s="2" t="str">
        <x:v>land</x:v>
      </x:c>
      <x:c r="F6864" s="2" t="str">
        <x:v>sale</x:v>
      </x:c>
      <x:c r="G6864" s="11" t="n">
        <x:v>100</x:v>
      </x:c>
      <x:c r="H6864" s="12" t="n">
        <x:v>3000000000</x:v>
      </x:c>
      <x:c r="I6864" s="12" t="n">
        <x:v>30000000</x:v>
      </x:c>
      <x:c r="J6864" s="2" t="str">
        <x:v>total</x:v>
      </x:c>
      <x:c r="K6864" s="2" t="str">
        <x:v>top_level_area</x:v>
      </x:c>
      <x:c r="L6864" s="2" t="str">
        <x:v>property_type_inferred_from_title</x:v>
      </x:c>
      <x:c r="M6864" s="10" t="n">
        <x:v>0</x:v>
      </x:c>
      <x:c r="N6864" s="10" t="n">
        <x:v>0</x:v>
      </x:c>
      <x:c r="O6864" s="2" t="str">
        <x:v>Đà Nẵng|land</x:v>
      </x:c>
      <x:c r="P6864" s="10" t="n">
        <x:v>2</x:v>
      </x:c>
      <x:c r="Q6864" s="13" t="n">
        <x:f>IF(H6864="","",H6864/1000000000)</x:f>
        <x:v>3</x:v>
      </x:c>
      <x:c r="R6864" s="13" t="n">
        <x:f>IF(I6864="","",I6864/1000000)</x:f>
        <x:v>30</x:v>
      </x:c>
    </x:row>
    <x:row r="6865" ht="21" customHeight="1">
      <x:c r="A6865" s="10" t="n">
        <x:v>8838</x:v>
      </x:c>
      <x:c r="B6865" s="2" t="str">
        <x:v>6ee9792b27035caa83a0</x:v>
      </x:c>
      <x:c r="C6865" s="2" t="str">
        <x:v>Vĩnh Long</x:v>
      </x:c>
      <x:c r="D6865" s="2" t="str">
        <x:v>Huyện Long Hồ</x:v>
      </x:c>
      <x:c r="E6865" s="2" t="str">
        <x:v>land</x:v>
      </x:c>
      <x:c r="F6865" s="2" t="str">
        <x:v>sale</x:v>
      </x:c>
      <x:c r="G6865" s="11" t="n">
        <x:v>6600</x:v>
      </x:c>
      <x:c r="H6865" s="12" t="n">
        <x:v>9700000000</x:v>
      </x:c>
      <x:c r="I6865" s="12" t="n">
        <x:v>1469696.9696969697</x:v>
      </x:c>
      <x:c r="J6865" s="2" t="str">
        <x:v>total</x:v>
      </x:c>
      <x:c r="K6865" s="2" t="str">
        <x:v>top_level_area</x:v>
      </x:c>
      <x:c r="L6865" s="2" t="str">
        <x:v>dot_thousands_convention;property_type_inferred_from_title</x:v>
      </x:c>
      <x:c r="M6865" s="10" t="n">
        <x:v>0</x:v>
      </x:c>
      <x:c r="N6865" s="10" t="n">
        <x:v>0</x:v>
      </x:c>
      <x:c r="O6865" s="2" t="str">
        <x:v>land</x:v>
      </x:c>
      <x:c r="P6865" s="10" t="n">
        <x:v>1</x:v>
      </x:c>
      <x:c r="Q6865" s="13" t="n">
        <x:f>IF(H6865="","",H6865/1000000000)</x:f>
        <x:v>9.7</x:v>
      </x:c>
      <x:c r="R6865" s="13" t="n">
        <x:f>IF(I6865="","",I6865/1000000)</x:f>
        <x:v>1.4696969696969697</x:v>
      </x:c>
    </x:row>
    <x:row r="6866" ht="21" customHeight="1">
      <x:c r="A6866" s="10" t="n">
        <x:v>8839</x:v>
      </x:c>
      <x:c r="B6866" s="2" t="str">
        <x:v>0f8647e2854f6e2fe3c2</x:v>
      </x:c>
      <x:c r="C6866" s="2" t="str">
        <x:v>Đà Nẵng</x:v>
      </x:c>
      <x:c r="D6866" s="2" t="str">
        <x:v>Huyện Hòa Vang</x:v>
      </x:c>
      <x:c r="E6866" s="2" t="str">
        <x:v>land</x:v>
      </x:c>
      <x:c r="F6866" s="2" t="str">
        <x:v>sale</x:v>
      </x:c>
      <x:c r="G6866" s="11" t="n">
        <x:v>4500</x:v>
      </x:c>
      <x:c r="H6866" s="12" t="n">
        <x:v>5500000000</x:v>
      </x:c>
      <x:c r="I6866" s="12" t="n">
        <x:v>1222222.2222222222</x:v>
      </x:c>
      <x:c r="J6866" s="2" t="str">
        <x:v>total</x:v>
      </x:c>
      <x:c r="K6866" s="2" t="str">
        <x:v>top_level_area</x:v>
      </x:c>
      <x:c r="L6866" s="2" t="str">
        <x:v>dot_thousands_convention;property_type_inferred_from_title</x:v>
      </x:c>
      <x:c r="M6866" s="10" t="n">
        <x:v>0</x:v>
      </x:c>
      <x:c r="N6866" s="10" t="n">
        <x:v>0</x:v>
      </x:c>
      <x:c r="O6866" s="2" t="str">
        <x:v>Đà Nẵng|land</x:v>
      </x:c>
      <x:c r="P6866" s="10" t="n">
        <x:v>1</x:v>
      </x:c>
      <x:c r="Q6866" s="13" t="n">
        <x:f>IF(H6866="","",H6866/1000000000)</x:f>
        <x:v>5.5</x:v>
      </x:c>
      <x:c r="R6866" s="13" t="n">
        <x:f>IF(I6866="","",I6866/1000000)</x:f>
        <x:v>1.2222222222222223</x:v>
      </x:c>
    </x:row>
    <x:row r="6867" ht="21" customHeight="1">
      <x:c r="A6867" s="10" t="n">
        <x:v>8840</x:v>
      </x:c>
      <x:c r="B6867" s="2" t="str">
        <x:v>dfb51998afeef2e651bb</x:v>
      </x:c>
      <x:c r="C6867" s="2" t="str">
        <x:v>Đà Nẵng</x:v>
      </x:c>
      <x:c r="D6867" s="2" t="str">
        <x:v>Quận Ngũ Hành Sơn</x:v>
      </x:c>
      <x:c r="E6867" s="2" t="str">
        <x:v>land</x:v>
      </x:c>
      <x:c r="F6867" s="2" t="str">
        <x:v>sale_assumed</x:v>
      </x:c>
      <x:c r="G6867" s="11" t="n">
        <x:v>90</x:v>
      </x:c>
      <x:c r="H6867" s="12" t="n">
        <x:v>2200000000</x:v>
      </x:c>
      <x:c r="I6867" s="12" t="n">
        <x:v>24444444.444444444</x:v>
      </x:c>
      <x:c r="J6867" s="2" t="str">
        <x:v>total</x:v>
      </x:c>
      <x:c r="K6867" s="2" t="str">
        <x:v>top_level_area</x:v>
      </x:c>
      <x:c r="L6867" s="2" t="str">
        <x:v>property_type_inferred_from_title;transaction_assumed_sale_from_dataset_context</x:v>
      </x:c>
      <x:c r="M6867" s="10" t="n">
        <x:v>0</x:v>
      </x:c>
      <x:c r="N6867" s="10" t="n">
        <x:v>0</x:v>
      </x:c>
      <x:c r="O6867" s="2" t="str">
        <x:v>Đà Nẵng|land</x:v>
      </x:c>
      <x:c r="P6867" s="10" t="n">
        <x:v>2</x:v>
      </x:c>
      <x:c r="Q6867" s="13" t="n">
        <x:f>IF(H6867="","",H6867/1000000000)</x:f>
        <x:v>2.2</x:v>
      </x:c>
      <x:c r="R6867" s="13" t="n">
        <x:f>IF(I6867="","",I6867/1000000)</x:f>
        <x:v>24.444444444444443</x:v>
      </x:c>
    </x:row>
    <x:row r="6868" ht="21" customHeight="1">
      <x:c r="A6868" s="10" t="n">
        <x:v>8841</x:v>
      </x:c>
      <x:c r="B6868" s="2" t="str">
        <x:v>47857ad928c50bc9a8e1</x:v>
      </x:c>
      <x:c r="C6868" s="2" t="str">
        <x:v>Hà Nội</x:v>
      </x:c>
      <x:c r="D6868" s="2" t="str">
        <x:v>Huyện Đan Phượng</x:v>
      </x:c>
      <x:c r="E6868" s="2" t="str">
        <x:v>house</x:v>
      </x:c>
      <x:c r="F6868" s="2" t="str">
        <x:v>sale</x:v>
      </x:c>
      <x:c r="G6868" s="11" t="n">
        <x:v>200</x:v>
      </x:c>
      <x:c r="H6868" s="12" t="n">
        <x:v>5600000000</x:v>
      </x:c>
      <x:c r="I6868" s="12" t="n">
        <x:v>28000000</x:v>
      </x:c>
      <x:c r="J6868" s="2" t="str">
        <x:v>total</x:v>
      </x:c>
      <x:c r="K6868" s="2" t="str">
        <x:v>top_level_area</x:v>
      </x:c>
      <x:c r="L6868" s="2" t="str">
        <x:v>property_type_inferred_from_title</x:v>
      </x:c>
      <x:c r="M6868" s="10" t="n">
        <x:v>0</x:v>
      </x:c>
      <x:c r="N6868" s="10" t="n">
        <x:v>0</x:v>
      </x:c>
      <x:c r="O6868" s="2" t="str">
        <x:v>Hà Nội|house</x:v>
      </x:c>
      <x:c r="P6868" s="10" t="n">
        <x:v>2</x:v>
      </x:c>
      <x:c r="Q6868" s="13" t="n">
        <x:f>IF(H6868="","",H6868/1000000000)</x:f>
        <x:v>5.6</x:v>
      </x:c>
      <x:c r="R6868" s="13" t="n">
        <x:f>IF(I6868="","",I6868/1000000)</x:f>
        <x:v>28</x:v>
      </x:c>
    </x:row>
    <x:row r="6869" ht="21" customHeight="1">
      <x:c r="A6869" s="10" t="n">
        <x:v>8842</x:v>
      </x:c>
      <x:c r="B6869" s="2" t="str">
        <x:v>ca0f7a56c0a8bddd0c23</x:v>
      </x:c>
      <x:c r="C6869" s="2" t="str">
        <x:v>Tp Hồ Chí Minh</x:v>
      </x:c>
      <x:c r="D6869" s="2" t="str">
        <x:v>Quận 7</x:v>
      </x:c>
      <x:c r="E6869" s="2" t="str">
        <x:v>apartment</x:v>
      </x:c>
      <x:c r="F6869" s="2" t="str">
        <x:v>sale_assumed</x:v>
      </x:c>
      <x:c r="G6869" s="11" t="n">
        <x:v>99</x:v>
      </x:c>
      <x:c r="H6869" s="12" t="n">
        <x:v>4099999999.9999995</x:v>
      </x:c>
      <x:c r="I6869" s="12" t="n">
        <x:v>41414141.41414141</x:v>
      </x:c>
      <x:c r="J6869" s="2" t="str">
        <x:v>total</x:v>
      </x:c>
      <x:c r="K6869" s="2" t="str">
        <x:v>top_level_area</x:v>
      </x:c>
      <x:c r="L6869" s="2" t="str">
        <x:v>property_type_inferred_from_title;transaction_assumed_sale_from_dataset_context</x:v>
      </x:c>
      <x:c r="M6869" s="10" t="n">
        <x:v>0</x:v>
      </x:c>
      <x:c r="N6869" s="10" t="n">
        <x:v>0</x:v>
      </x:c>
      <x:c r="O6869" s="2" t="str">
        <x:v>Tp Hồ Chí Minh|apartment</x:v>
      </x:c>
      <x:c r="P6869" s="10" t="n">
        <x:v>2</x:v>
      </x:c>
      <x:c r="Q6869" s="13" t="n">
        <x:f>IF(H6869="","",H6869/1000000000)</x:f>
        <x:v>4.1</x:v>
      </x:c>
      <x:c r="R6869" s="13" t="n">
        <x:f>IF(I6869="","",I6869/1000000)</x:f>
        <x:v>41.41414141414141</x:v>
      </x:c>
    </x:row>
    <x:row r="6870" ht="21" customHeight="1">
      <x:c r="A6870" s="10" t="n">
        <x:v>8843</x:v>
      </x:c>
      <x:c r="B6870" s="2" t="str">
        <x:v>68367fe5d8888aa294e3</x:v>
      </x:c>
      <x:c r="C6870" s="2" t="str">
        <x:v>Tp Hồ Chí Minh</x:v>
      </x:c>
      <x:c r="D6870" s="2" t="str">
        <x:v>Quận 2</x:v>
      </x:c>
      <x:c r="E6870" s="2" t="str">
        <x:v>other_unknown</x:v>
      </x:c>
      <x:c r="F6870" s="2" t="str">
        <x:v>sale_assumed</x:v>
      </x:c>
      <x:c r="G6870" s="11" t="n">
        <x:v>85</x:v>
      </x:c>
      <x:c r="H6870" s="12" t="n">
        <x:v>14100000000</x:v>
      </x:c>
      <x:c r="I6870" s="12" t="n">
        <x:v>165882352.94117647</x:v>
      </x:c>
      <x:c r="J6870" s="2" t="str">
        <x:v>total</x:v>
      </x:c>
      <x:c r="K6870" s="2" t="str">
        <x:v>top_level_area</x:v>
      </x:c>
      <x:c r="L6870" s="2" t="str">
        <x:v>property_type_inferred_from_title;transaction_assumed_sale_from_dataset_context;unknown_property_type</x:v>
      </x:c>
      <x:c r="M6870" s="10" t="n">
        <x:v>1</x:v>
      </x:c>
      <x:c r="N6870" s="10" t="n">
        <x:v>0</x:v>
      </x:c>
      <x:c r="O6870" s="2" t="str">
        <x:v>Tp Hồ Chí Minh|other_unknown</x:v>
      </x:c>
      <x:c r="P6870" s="10" t="n">
        <x:v>2</x:v>
      </x:c>
      <x:c r="Q6870" s="13" t="n">
        <x:f>IF(H6870="","",H6870/1000000000)</x:f>
        <x:v>14.1</x:v>
      </x:c>
      <x:c r="R6870" s="13" t="n">
        <x:f>IF(I6870="","",I6870/1000000)</x:f>
        <x:v>165.88235294117646</x:v>
      </x:c>
    </x:row>
    <x:row r="6871" ht="21" customHeight="1">
      <x:c r="A6871" s="10" t="n">
        <x:v>8844</x:v>
      </x:c>
      <x:c r="B6871" s="2" t="str">
        <x:v>3273a462dc96d08d986d</x:v>
      </x:c>
      <x:c r="C6871" s="2" t="str">
        <x:v>Tp Hồ Chí Minh</x:v>
      </x:c>
      <x:c r="D6871" s="2" t="str">
        <x:v>Quận 7</x:v>
      </x:c>
      <x:c r="E6871" s="2" t="str">
        <x:v>house</x:v>
      </x:c>
      <x:c r="F6871" s="2" t="str">
        <x:v>sale_assumed</x:v>
      </x:c>
      <x:c r="G6871" s="11" t="n">
        <x:v>80</x:v>
      </x:c>
      <x:c r="H6871" s="12" t="n">
        <x:v>6200000000</x:v>
      </x:c>
      <x:c r="I6871" s="12" t="n">
        <x:v>77500000</x:v>
      </x:c>
      <x:c r="J6871" s="2" t="str">
        <x:v>total</x:v>
      </x:c>
      <x:c r="K6871" s="2" t="str">
        <x:v>top_level_area</x:v>
      </x:c>
      <x:c r="L6871" s="2" t="str">
        <x:v>property_type_inferred_from_title;transaction_assumed_sale_from_dataset_context</x:v>
      </x:c>
      <x:c r="M6871" s="10" t="n">
        <x:v>0</x:v>
      </x:c>
      <x:c r="N6871" s="10" t="n">
        <x:v>0</x:v>
      </x:c>
      <x:c r="O6871" s="2" t="str">
        <x:v>Tp Hồ Chí Minh|house</x:v>
      </x:c>
      <x:c r="P6871" s="10" t="n">
        <x:v>2</x:v>
      </x:c>
      <x:c r="Q6871" s="13" t="n">
        <x:f>IF(H6871="","",H6871/1000000000)</x:f>
        <x:v>6.2</x:v>
      </x:c>
      <x:c r="R6871" s="13" t="n">
        <x:f>IF(I6871="","",I6871/1000000)</x:f>
        <x:v>77.5</x:v>
      </x:c>
    </x:row>
    <x:row r="6872" ht="21" customHeight="1">
      <x:c r="A6872" s="10" t="n">
        <x:v>8845</x:v>
      </x:c>
      <x:c r="B6872" s="2" t="str">
        <x:v>08e59195846870de96c3</x:v>
      </x:c>
      <x:c r="C6872" s="2" t="str">
        <x:v>Long An</x:v>
      </x:c>
      <x:c r="D6872" s="2" t="str">
        <x:v>Huyện Đức Hòa</x:v>
      </x:c>
      <x:c r="E6872" s="2" t="str">
        <x:v>land</x:v>
      </x:c>
      <x:c r="F6872" s="2" t="str">
        <x:v>sale_assumed</x:v>
      </x:c>
      <x:c r="G6872" s="11" t="n">
        <x:v>232</x:v>
      </x:c>
      <x:c r="H6872" s="12" t="n">
        <x:v>1700000000</x:v>
      </x:c>
      <x:c r="I6872" s="12" t="n">
        <x:v>7327586.206896552</x:v>
      </x:c>
      <x:c r="J6872" s="2" t="str">
        <x:v>total</x:v>
      </x:c>
      <x:c r="K6872" s="2" t="str">
        <x:v>top_level_area</x:v>
      </x:c>
      <x:c r="L6872" s="2" t="str">
        <x:v>property_type_inferred_from_title;transaction_assumed_sale_from_dataset_context</x:v>
      </x:c>
      <x:c r="M6872" s="10" t="n">
        <x:v>0</x:v>
      </x:c>
      <x:c r="N6872" s="10" t="n">
        <x:v>0</x:v>
      </x:c>
      <x:c r="O6872" s="2" t="str">
        <x:v>Long An|land</x:v>
      </x:c>
      <x:c r="P6872" s="10" t="n">
        <x:v>1</x:v>
      </x:c>
      <x:c r="Q6872" s="13" t="n">
        <x:f>IF(H6872="","",H6872/1000000000)</x:f>
        <x:v>1.7</x:v>
      </x:c>
      <x:c r="R6872" s="13" t="n">
        <x:f>IF(I6872="","",I6872/1000000)</x:f>
        <x:v>7.327586206896552</x:v>
      </x:c>
    </x:row>
    <x:row r="6873" ht="21" customHeight="1">
      <x:c r="A6873" s="10" t="n">
        <x:v>8846</x:v>
      </x:c>
      <x:c r="B6873" s="2" t="str">
        <x:v>4b9dd53cbc92852c8772</x:v>
      </x:c>
      <x:c r="C6873" s="2" t="str">
        <x:v>Tp Hồ Chí Minh</x:v>
      </x:c>
      <x:c r="D6873" s="2" t="str">
        <x:v>Quận 7</x:v>
      </x:c>
      <x:c r="E6873" s="2" t="str">
        <x:v>house</x:v>
      </x:c>
      <x:c r="F6873" s="2" t="str">
        <x:v>sale</x:v>
      </x:c>
      <x:c r="G6873" s="11" t="n">
        <x:v>80</x:v>
      </x:c>
      <x:c r="H6873" s="12" t="n">
        <x:v>4500000000</x:v>
      </x:c>
      <x:c r="I6873" s="12" t="n">
        <x:v>56250000</x:v>
      </x:c>
      <x:c r="J6873" s="2" t="str">
        <x:v>total</x:v>
      </x:c>
      <x:c r="K6873" s="2" t="str">
        <x:v>top_level_area</x:v>
      </x:c>
      <x:c r="L6873" s="2" t="str">
        <x:v>property_type_inferred_from_title</x:v>
      </x:c>
      <x:c r="M6873" s="10" t="n">
        <x:v>0</x:v>
      </x:c>
      <x:c r="N6873" s="10" t="n">
        <x:v>0</x:v>
      </x:c>
      <x:c r="O6873" s="2" t="str">
        <x:v>Tp Hồ Chí Minh|house</x:v>
      </x:c>
      <x:c r="P6873" s="10" t="n">
        <x:v>2</x:v>
      </x:c>
      <x:c r="Q6873" s="13" t="n">
        <x:f>IF(H6873="","",H6873/1000000000)</x:f>
        <x:v>4.5</x:v>
      </x:c>
      <x:c r="R6873" s="13" t="n">
        <x:f>IF(I6873="","",I6873/1000000)</x:f>
        <x:v>56.25</x:v>
      </x:c>
    </x:row>
    <x:row r="6874" ht="21" customHeight="1">
      <x:c r="A6874" s="10" t="n">
        <x:v>8851</x:v>
      </x:c>
      <x:c r="B6874" s="2" t="str">
        <x:v>bb915438c0fbd01583e6</x:v>
      </x:c>
      <x:c r="C6874" s="2" t="str">
        <x:v>Đà Nẵng</x:v>
      </x:c>
      <x:c r="D6874" s="2" t="str">
        <x:v>Quận Hải Châu</x:v>
      </x:c>
      <x:c r="E6874" s="2" t="str">
        <x:v>house</x:v>
      </x:c>
      <x:c r="F6874" s="2" t="str">
        <x:v>sale_assumed</x:v>
      </x:c>
      <x:c r="G6874" s="11" t="n">
        <x:v>341</x:v>
      </x:c>
      <x:c r="H6874" s="12" t="n">
        <x:v>27320000000</x:v>
      </x:c>
      <x:c r="I6874" s="12" t="n">
        <x:v>80117302.05278592</x:v>
      </x:c>
      <x:c r="J6874" s="2" t="str">
        <x:v>total</x:v>
      </x:c>
      <x:c r="K6874" s="2" t="str">
        <x:v>top_level_area</x:v>
      </x:c>
      <x:c r="L6874" s="2" t="str">
        <x:v>property_type_inferred_from_title;transaction_assumed_sale_from_dataset_context</x:v>
      </x:c>
      <x:c r="M6874" s="10" t="n">
        <x:v>0</x:v>
      </x:c>
      <x:c r="N6874" s="10" t="n">
        <x:v>0</x:v>
      </x:c>
      <x:c r="O6874" s="2" t="str">
        <x:v>Đà Nẵng|house</x:v>
      </x:c>
      <x:c r="P6874" s="10" t="n">
        <x:v>2</x:v>
      </x:c>
      <x:c r="Q6874" s="13" t="n">
        <x:f>IF(H6874="","",H6874/1000000000)</x:f>
        <x:v>27.32</x:v>
      </x:c>
      <x:c r="R6874" s="13" t="n">
        <x:f>IF(I6874="","",I6874/1000000)</x:f>
        <x:v>80.11730205278592</x:v>
      </x:c>
    </x:row>
    <x:row r="6875" ht="21" customHeight="1">
      <x:c r="A6875" s="10" t="n">
        <x:v>8852</x:v>
      </x:c>
      <x:c r="B6875" s="2" t="str">
        <x:v>edf850bda38f46a0e770</x:v>
      </x:c>
      <x:c r="C6875" s="2" t="str">
        <x:v>Tp Hồ Chí Minh</x:v>
      </x:c>
      <x:c r="D6875" s="2" t="str">
        <x:v>Huyện Hóc Môn</x:v>
      </x:c>
      <x:c r="E6875" s="2" t="str">
        <x:v>house</x:v>
      </x:c>
      <x:c r="F6875" s="2" t="str">
        <x:v>sale</x:v>
      </x:c>
      <x:c r="G6875" s="11" t="n">
        <x:v>68</x:v>
      </x:c>
      <x:c r="H6875" s="12" t="n">
        <x:v>495000000</x:v>
      </x:c>
      <x:c r="I6875" s="12" t="n">
        <x:v>7279411.764705882</x:v>
      </x:c>
      <x:c r="J6875" s="2" t="str">
        <x:v>total</x:v>
      </x:c>
      <x:c r="K6875" s="2" t="str">
        <x:v>top_level_area</x:v>
      </x:c>
      <x:c r="L6875" s="2" t="str">
        <x:v>property_type_inferred_from_title</x:v>
      </x:c>
      <x:c r="M6875" s="10" t="n">
        <x:v>0</x:v>
      </x:c>
      <x:c r="N6875" s="10" t="n">
        <x:v>0</x:v>
      </x:c>
      <x:c r="O6875" s="2" t="str">
        <x:v>Tp Hồ Chí Minh|house</x:v>
      </x:c>
      <x:c r="P6875" s="10" t="n">
        <x:v>2</x:v>
      </x:c>
      <x:c r="Q6875" s="13" t="n">
        <x:f>IF(H6875="","",H6875/1000000000)</x:f>
        <x:v>0.495</x:v>
      </x:c>
      <x:c r="R6875" s="13" t="n">
        <x:f>IF(I6875="","",I6875/1000000)</x:f>
        <x:v>7.279411764705882</x:v>
      </x:c>
    </x:row>
    <x:row r="6876" ht="21" customHeight="1">
      <x:c r="A6876" s="10" t="n">
        <x:v>8853</x:v>
      </x:c>
      <x:c r="B6876" s="2" t="str">
        <x:v>cdd42044213c9cadab38</x:v>
      </x:c>
      <x:c r="C6876" s="2" t="str">
        <x:v>Tp Hồ Chí Minh</x:v>
      </x:c>
      <x:c r="D6876" s="2" t="str">
        <x:v>Quận Bình Thạnh</x:v>
      </x:c>
      <x:c r="E6876" s="2" t="str">
        <x:v>house</x:v>
      </x:c>
      <x:c r="F6876" s="2" t="str">
        <x:v>sale</x:v>
      </x:c>
      <x:c r="G6876" s="11" t="n">
        <x:v>60</x:v>
      </x:c>
      <x:c r="H6876" s="12" t="n">
        <x:v>6600000000</x:v>
      </x:c>
      <x:c r="I6876" s="12" t="n">
        <x:v>110000000</x:v>
      </x:c>
      <x:c r="J6876" s="2" t="str">
        <x:v>total</x:v>
      </x:c>
      <x:c r="K6876" s="2" t="str">
        <x:v>top_level_price_embedded_area</x:v>
      </x:c>
      <x:c r="L6876" s="2" t="str">
        <x:v>area_recovered_from_price_text;property_type_inferred_from_title</x:v>
      </x:c>
      <x:c r="M6876" s="10" t="n">
        <x:v>0</x:v>
      </x:c>
      <x:c r="N6876" s="10" t="n">
        <x:v>0</x:v>
      </x:c>
      <x:c r="O6876" s="2" t="str">
        <x:v>Tp Hồ Chí Minh|house</x:v>
      </x:c>
      <x:c r="P6876" s="10" t="n">
        <x:v>2</x:v>
      </x:c>
      <x:c r="Q6876" s="13" t="n">
        <x:f>IF(H6876="","",H6876/1000000000)</x:f>
        <x:v>6.6</x:v>
      </x:c>
      <x:c r="R6876" s="13" t="n">
        <x:f>IF(I6876="","",I6876/1000000)</x:f>
        <x:v>110</x:v>
      </x:c>
    </x:row>
    <x:row r="6877" ht="21" customHeight="1">
      <x:c r="A6877" s="10" t="n">
        <x:v>8854</x:v>
      </x:c>
      <x:c r="B6877" s="2" t="str">
        <x:v>183402d85e132eb33393</x:v>
      </x:c>
      <x:c r="C6877" s="2" t="str">
        <x:v>Tp Hồ Chí Minh</x:v>
      </x:c>
      <x:c r="D6877" s="2" t="str">
        <x:v>Huyện Hóc Môn</x:v>
      </x:c>
      <x:c r="E6877" s="2" t="str">
        <x:v>house</x:v>
      </x:c>
      <x:c r="F6877" s="2" t="str">
        <x:v>sale</x:v>
      </x:c>
      <x:c r="G6877" s="11" t="n">
        <x:v>211.6</x:v>
      </x:c>
      <x:c r="H6877" s="12" t="n">
        <x:v>7500000000</x:v>
      </x:c>
      <x:c r="I6877" s="12" t="n">
        <x:v>35444234.404536866</x:v>
      </x:c>
      <x:c r="J6877" s="2" t="str">
        <x:v>total</x:v>
      </x:c>
      <x:c r="K6877" s="2" t="str">
        <x:v>top_level_area</x:v>
      </x:c>
      <x:c r="L6877" s="2" t="str">
        <x:v>property_type_inferred_from_title</x:v>
      </x:c>
      <x:c r="M6877" s="10" t="n">
        <x:v>0</x:v>
      </x:c>
      <x:c r="N6877" s="10" t="n">
        <x:v>0</x:v>
      </x:c>
      <x:c r="O6877" s="2" t="str">
        <x:v>Tp Hồ Chí Minh|house</x:v>
      </x:c>
      <x:c r="P6877" s="10" t="n">
        <x:v>2</x:v>
      </x:c>
      <x:c r="Q6877" s="13" t="n">
        <x:f>IF(H6877="","",H6877/1000000000)</x:f>
        <x:v>7.5</x:v>
      </x:c>
      <x:c r="R6877" s="13" t="n">
        <x:f>IF(I6877="","",I6877/1000000)</x:f>
        <x:v>35.444234404536864</x:v>
      </x:c>
    </x:row>
    <x:row r="6878" ht="21" customHeight="1">
      <x:c r="A6878" s="10" t="n">
        <x:v>8855</x:v>
      </x:c>
      <x:c r="B6878" s="2" t="str">
        <x:v>9867922436ab09ea663e</x:v>
      </x:c>
      <x:c r="C6878" s="2" t="str">
        <x:v>Đắk Lắk</x:v>
      </x:c>
      <x:c r="D6878" s="2" t="str">
        <x:v>Thành phố Buôn Ma Thuột</x:v>
      </x:c>
      <x:c r="E6878" s="2" t="str">
        <x:v>house</x:v>
      </x:c>
      <x:c r="F6878" s="2" t="str">
        <x:v>sale_assumed</x:v>
      </x:c>
      <x:c r="G6878" s="11" t="n">
        <x:v>250</x:v>
      </x:c>
      <x:c r="H6878" s="12" t="n">
        <x:v>3250000000</x:v>
      </x:c>
      <x:c r="I6878" s="12" t="n">
        <x:v>13000000</x:v>
      </x:c>
      <x:c r="J6878" s="2" t="str">
        <x:v>total</x:v>
      </x:c>
      <x:c r="K6878" s="2" t="str">
        <x:v>top_level_area</x:v>
      </x:c>
      <x:c r="L6878" s="2" t="str">
        <x:v>property_type_inferred_from_title;transaction_assumed_sale_from_dataset_context</x:v>
      </x:c>
      <x:c r="M6878" s="10" t="n">
        <x:v>0</x:v>
      </x:c>
      <x:c r="N6878" s="10" t="n">
        <x:v>0</x:v>
      </x:c>
      <x:c r="O6878" s="2" t="str">
        <x:v>Đắk Lắk|house</x:v>
      </x:c>
      <x:c r="P6878" s="10" t="n">
        <x:v>2</x:v>
      </x:c>
      <x:c r="Q6878" s="13" t="n">
        <x:f>IF(H6878="","",H6878/1000000000)</x:f>
        <x:v>3.25</x:v>
      </x:c>
      <x:c r="R6878" s="13" t="n">
        <x:f>IF(I6878="","",I6878/1000000)</x:f>
        <x:v>13</x:v>
      </x:c>
    </x:row>
    <x:row r="6879" ht="21" customHeight="1">
      <x:c r="A6879" s="10" t="n">
        <x:v>8856</x:v>
      </x:c>
      <x:c r="B6879" s="2" t="str">
        <x:v>94ebeb6519bcc0db5ed2</x:v>
      </x:c>
      <x:c r="C6879" s="2" t="str">
        <x:v>Bình Dương</x:v>
      </x:c>
      <x:c r="D6879" s="2" t="str">
        <x:v>Thị xã Tân Uyên</x:v>
      </x:c>
      <x:c r="E6879" s="2" t="str">
        <x:v>other_unknown</x:v>
      </x:c>
      <x:c r="F6879" s="2" t="str">
        <x:v>sale_assumed</x:v>
      </x:c>
      <x:c r="G6879" s="11" t="n">
        <x:v>111</x:v>
      </x:c>
      <x:c r="H6879" s="12" t="n">
        <x:v>2200000000</x:v>
      </x:c>
      <x:c r="I6879" s="12" t="n">
        <x:v>19819819.81981982</x:v>
      </x:c>
      <x:c r="J6879" s="2" t="str">
        <x:v>total</x:v>
      </x:c>
      <x:c r="K6879" s="2" t="str">
        <x:v>top_level_area</x:v>
      </x:c>
      <x:c r="L6879" s="2" t="str">
        <x:v>property_type_inferred_from_title;transaction_assumed_sale_from_dataset_context;unknown_property_type</x:v>
      </x:c>
      <x:c r="M6879" s="10" t="n">
        <x:v>0</x:v>
      </x:c>
      <x:c r="N6879" s="10" t="n">
        <x:v>0</x:v>
      </x:c>
      <x:c r="O6879" s="2" t="str">
        <x:v>Bình Dương|other_unknown</x:v>
      </x:c>
      <x:c r="P6879" s="10" t="n">
        <x:v>2</x:v>
      </x:c>
      <x:c r="Q6879" s="13" t="n">
        <x:f>IF(H6879="","",H6879/1000000000)</x:f>
        <x:v>2.2</x:v>
      </x:c>
      <x:c r="R6879" s="13" t="n">
        <x:f>IF(I6879="","",I6879/1000000)</x:f>
        <x:v>19.81981981981982</x:v>
      </x:c>
    </x:row>
    <x:row r="6880" ht="21" customHeight="1">
      <x:c r="A6880" s="10" t="n">
        <x:v>8857</x:v>
      </x:c>
      <x:c r="B6880" s="2" t="str">
        <x:v>2444d6d2fe4965b07ea4</x:v>
      </x:c>
      <x:c r="C6880" s="2" t="str">
        <x:v>Tp Hồ Chí Minh</x:v>
      </x:c>
      <x:c r="D6880" s="2" t="str">
        <x:v>Quận Bình Tân</x:v>
      </x:c>
      <x:c r="E6880" s="2" t="str">
        <x:v>land</x:v>
      </x:c>
      <x:c r="F6880" s="2" t="str">
        <x:v>sale</x:v>
      </x:c>
      <x:c r="G6880" s="11" t="n">
        <x:v>80</x:v>
      </x:c>
      <x:c r="H6880" s="12" t="n">
        <x:v>3420000000</x:v>
      </x:c>
      <x:c r="I6880" s="12" t="n">
        <x:v>42750000</x:v>
      </x:c>
      <x:c r="J6880" s="2" t="str">
        <x:v>total</x:v>
      </x:c>
      <x:c r="K6880" s="2" t="str">
        <x:v>top_level_area</x:v>
      </x:c>
      <x:c r="L6880" s="2" t="str">
        <x:v>property_type_inferred_from_title</x:v>
      </x:c>
      <x:c r="M6880" s="10" t="n">
        <x:v>0</x:v>
      </x:c>
      <x:c r="N6880" s="10" t="n">
        <x:v>0</x:v>
      </x:c>
      <x:c r="O6880" s="2" t="str">
        <x:v>Tp Hồ Chí Minh|land</x:v>
      </x:c>
      <x:c r="P6880" s="10" t="n">
        <x:v>2</x:v>
      </x:c>
      <x:c r="Q6880" s="13" t="n">
        <x:f>IF(H6880="","",H6880/1000000000)</x:f>
        <x:v>3.42</x:v>
      </x:c>
      <x:c r="R6880" s="13" t="n">
        <x:f>IF(I6880="","",I6880/1000000)</x:f>
        <x:v>42.75</x:v>
      </x:c>
    </x:row>
    <x:row r="6881" ht="21" customHeight="1">
      <x:c r="A6881" s="10" t="n">
        <x:v>8858</x:v>
      </x:c>
      <x:c r="B6881" s="2" t="str">
        <x:v>e0a2e0e5be3f74dd90b2</x:v>
      </x:c>
      <x:c r="C6881" s="2" t="str">
        <x:v>Tp Hồ Chí Minh</x:v>
      </x:c>
      <x:c r="D6881" s="2" t="str">
        <x:v>Quận 12</x:v>
      </x:c>
      <x:c r="E6881" s="2" t="str">
        <x:v>apartment</x:v>
      </x:c>
      <x:c r="F6881" s="2" t="str">
        <x:v>sale_assumed</x:v>
      </x:c>
      <x:c r="G6881" s="11" t="n">
        <x:v>92</x:v>
      </x:c>
      <x:c r="H6881" s="12" t="n">
        <x:v>1790000000</x:v>
      </x:c>
      <x:c r="I6881" s="12" t="n">
        <x:v>19456521.739130434</x:v>
      </x:c>
      <x:c r="J6881" s="2" t="str">
        <x:v>total</x:v>
      </x:c>
      <x:c r="K6881" s="2" t="str">
        <x:v>top_level_area</x:v>
      </x:c>
      <x:c r="L6881" s="2" t="str">
        <x:v>property_type_inferred_from_title;transaction_assumed_sale_from_dataset_context</x:v>
      </x:c>
      <x:c r="M6881" s="10" t="n">
        <x:v>0</x:v>
      </x:c>
      <x:c r="N6881" s="10" t="n">
        <x:v>0</x:v>
      </x:c>
      <x:c r="O6881" s="2" t="str">
        <x:v>Tp Hồ Chí Minh|apartment</x:v>
      </x:c>
      <x:c r="P6881" s="10" t="n">
        <x:v>2</x:v>
      </x:c>
      <x:c r="Q6881" s="13" t="n">
        <x:f>IF(H6881="","",H6881/1000000000)</x:f>
        <x:v>1.79</x:v>
      </x:c>
      <x:c r="R6881" s="13" t="n">
        <x:f>IF(I6881="","",I6881/1000000)</x:f>
        <x:v>19.456521739130434</x:v>
      </x:c>
    </x:row>
    <x:row r="6882" ht="21" customHeight="1">
      <x:c r="A6882" s="10" t="n">
        <x:v>8859</x:v>
      </x:c>
      <x:c r="B6882" s="2" t="str">
        <x:v>a59d0d101fc97205f137</x:v>
      </x:c>
      <x:c r="C6882" s="2" t="str">
        <x:v>Tp Hồ Chí Minh</x:v>
      </x:c>
      <x:c r="D6882" s="2" t="str">
        <x:v>Quận 5</x:v>
      </x:c>
      <x:c r="E6882" s="2" t="str">
        <x:v>apartment</x:v>
      </x:c>
      <x:c r="F6882" s="2" t="str">
        <x:v>sale_assumed</x:v>
      </x:c>
      <x:c r="G6882" s="11" t="n">
        <x:v>64</x:v>
      </x:c>
      <x:c r="H6882" s="12" t="n">
        <x:v>2250000000</x:v>
      </x:c>
      <x:c r="I6882" s="12" t="n">
        <x:v>35156250</x:v>
      </x:c>
      <x:c r="J6882" s="2" t="str">
        <x:v>total</x:v>
      </x:c>
      <x:c r="K6882" s="2" t="str">
        <x:v>top_level_area</x:v>
      </x:c>
      <x:c r="L6882" s="2" t="str">
        <x:v>property_type_inferred_from_title;transaction_assumed_sale_from_dataset_context</x:v>
      </x:c>
      <x:c r="M6882" s="10" t="n">
        <x:v>0</x:v>
      </x:c>
      <x:c r="N6882" s="10" t="n">
        <x:v>0</x:v>
      </x:c>
      <x:c r="O6882" s="2" t="str">
        <x:v>Tp Hồ Chí Minh|apartment</x:v>
      </x:c>
      <x:c r="P6882" s="10" t="n">
        <x:v>2</x:v>
      </x:c>
      <x:c r="Q6882" s="13" t="n">
        <x:f>IF(H6882="","",H6882/1000000000)</x:f>
        <x:v>2.25</x:v>
      </x:c>
      <x:c r="R6882" s="13" t="n">
        <x:f>IF(I6882="","",I6882/1000000)</x:f>
        <x:v>35.15625</x:v>
      </x:c>
    </x:row>
    <x:row r="6883" ht="21" customHeight="1">
      <x:c r="A6883" s="10" t="n">
        <x:v>8860</x:v>
      </x:c>
      <x:c r="B6883" s="2" t="str">
        <x:v>0a4e2f2b9733d4235536</x:v>
      </x:c>
      <x:c r="C6883" s="2" t="str">
        <x:v>Tp Hồ Chí Minh</x:v>
      </x:c>
      <x:c r="D6883" s="2" t="str">
        <x:v>Quận Bình Thạnh</x:v>
      </x:c>
      <x:c r="E6883" s="2" t="str">
        <x:v>land</x:v>
      </x:c>
      <x:c r="F6883" s="2" t="str">
        <x:v>sale</x:v>
      </x:c>
      <x:c r="G6883" s="11" t="n">
        <x:v>80</x:v>
      </x:c>
      <x:c r="H6883" s="12" t="n">
        <x:v>2900000000</x:v>
      </x:c>
      <x:c r="I6883" s="12" t="n">
        <x:v>36250000</x:v>
      </x:c>
      <x:c r="J6883" s="2" t="str">
        <x:v>total</x:v>
      </x:c>
      <x:c r="K6883" s="2" t="str">
        <x:v>top_level_area</x:v>
      </x:c>
      <x:c r="L6883" s="2" t="str">
        <x:v>property_type_inferred_from_title</x:v>
      </x:c>
      <x:c r="M6883" s="10" t="n">
        <x:v>0</x:v>
      </x:c>
      <x:c r="N6883" s="10" t="n">
        <x:v>0</x:v>
      </x:c>
      <x:c r="O6883" s="2" t="str">
        <x:v>Tp Hồ Chí Minh|land</x:v>
      </x:c>
      <x:c r="P6883" s="10" t="n">
        <x:v>2</x:v>
      </x:c>
      <x:c r="Q6883" s="13" t="n">
        <x:f>IF(H6883="","",H6883/1000000000)</x:f>
        <x:v>2.9</x:v>
      </x:c>
      <x:c r="R6883" s="13" t="n">
        <x:f>IF(I6883="","",I6883/1000000)</x:f>
        <x:v>36.25</x:v>
      </x:c>
    </x:row>
    <x:row r="6884" ht="21" customHeight="1">
      <x:c r="A6884" s="10" t="n">
        <x:v>8861</x:v>
      </x:c>
      <x:c r="B6884" s="2" t="str">
        <x:v>99bf522dd337eddc69b4</x:v>
      </x:c>
      <x:c r="C6884" s="2" t="str">
        <x:v>Tp Hồ Chí Minh</x:v>
      </x:c>
      <x:c r="D6884" s="2" t="str">
        <x:v>Quận 9</x:v>
      </x:c>
      <x:c r="E6884" s="2" t="str">
        <x:v>other_unknown</x:v>
      </x:c>
      <x:c r="F6884" s="2" t="str">
        <x:v>sale</x:v>
      </x:c>
      <x:c r="G6884" s="11" t="n">
        <x:v>87</x:v>
      </x:c>
      <x:c r="H6884" s="12" t="n">
        <x:v>2000000000</x:v>
      </x:c>
      <x:c r="I6884" s="12" t="n">
        <x:v>22988505.747126438</x:v>
      </x:c>
      <x:c r="J6884" s="2" t="str">
        <x:v>total</x:v>
      </x:c>
      <x:c r="K6884" s="2" t="str">
        <x:v>top_level_area</x:v>
      </x:c>
      <x:c r="L6884" s="2" t="str">
        <x:v>property_type_inferred_from_title;unknown_property_type</x:v>
      </x:c>
      <x:c r="M6884" s="10" t="n">
        <x:v>0</x:v>
      </x:c>
      <x:c r="N6884" s="10" t="n">
        <x:v>0</x:v>
      </x:c>
      <x:c r="O6884" s="2" t="str">
        <x:v>Tp Hồ Chí Minh|other_unknown</x:v>
      </x:c>
      <x:c r="P6884" s="10" t="n">
        <x:v>2</x:v>
      </x:c>
      <x:c r="Q6884" s="13" t="n">
        <x:f>IF(H6884="","",H6884/1000000000)</x:f>
        <x:v>2</x:v>
      </x:c>
      <x:c r="R6884" s="13" t="n">
        <x:f>IF(I6884="","",I6884/1000000)</x:f>
        <x:v>22.98850574712644</x:v>
      </x:c>
    </x:row>
    <x:row r="6885" ht="21" customHeight="1">
      <x:c r="A6885" s="10" t="n">
        <x:v>8862</x:v>
      </x:c>
      <x:c r="B6885" s="2" t="str">
        <x:v>3016afca8b49e46e93c3</x:v>
      </x:c>
      <x:c r="C6885" s="2" t="str">
        <x:v>Tp Hồ Chí Minh</x:v>
      </x:c>
      <x:c r="D6885" s="2" t="str">
        <x:v>Quận 9</x:v>
      </x:c>
      <x:c r="E6885" s="2" t="str">
        <x:v>house</x:v>
      </x:c>
      <x:c r="F6885" s="2" t="str">
        <x:v>sale</x:v>
      </x:c>
      <x:c r="G6885" s="11" t="n">
        <x:v>38</x:v>
      </x:c>
      <x:c r="H6885" s="12" t="n">
        <x:v>3636000000</x:v>
      </x:c>
      <x:c r="I6885" s="12" t="n">
        <x:v>95684210.5263158</x:v>
      </x:c>
      <x:c r="J6885" s="2" t="str">
        <x:v>total</x:v>
      </x:c>
      <x:c r="K6885" s="2" t="str">
        <x:v>top_level_area</x:v>
      </x:c>
      <x:c r="L6885" s="2" t="str">
        <x:v>property_type_inferred_from_title</x:v>
      </x:c>
      <x:c r="M6885" s="10" t="n">
        <x:v>0</x:v>
      </x:c>
      <x:c r="N6885" s="10" t="n">
        <x:v>0</x:v>
      </x:c>
      <x:c r="O6885" s="2" t="str">
        <x:v>Tp Hồ Chí Minh|house</x:v>
      </x:c>
      <x:c r="P6885" s="10" t="n">
        <x:v>2</x:v>
      </x:c>
      <x:c r="Q6885" s="13" t="n">
        <x:f>IF(H6885="","",H6885/1000000000)</x:f>
        <x:v>3.636</x:v>
      </x:c>
      <x:c r="R6885" s="13" t="n">
        <x:f>IF(I6885="","",I6885/1000000)</x:f>
        <x:v>95.6842105263158</x:v>
      </x:c>
    </x:row>
    <x:row r="6886" ht="21" customHeight="1">
      <x:c r="A6886" s="10" t="n">
        <x:v>8863</x:v>
      </x:c>
      <x:c r="B6886" s="2" t="str">
        <x:v>ee0bf275d2e10310bfda</x:v>
      </x:c>
      <x:c r="C6886" s="2" t="str">
        <x:v>Hà Nội</x:v>
      </x:c>
      <x:c r="D6886" s="2" t="str">
        <x:v>Huyện Thanh Trì</x:v>
      </x:c>
      <x:c r="E6886" s="2" t="str">
        <x:v>house</x:v>
      </x:c>
      <x:c r="F6886" s="2" t="str">
        <x:v>sale_assumed</x:v>
      </x:c>
      <x:c r="G6886" s="11" t="n">
        <x:v>58</x:v>
      </x:c>
      <x:c r="H6886" s="12" t="n">
        <x:v>950000000</x:v>
      </x:c>
      <x:c r="I6886" s="12" t="n">
        <x:v>16379310.344827587</x:v>
      </x:c>
      <x:c r="J6886" s="2" t="str">
        <x:v>total</x:v>
      </x:c>
      <x:c r="K6886" s="2" t="str">
        <x:v>top_level_area</x:v>
      </x:c>
      <x:c r="L6886" s="2" t="str">
        <x:v>property_type_inferred_from_title;transaction_assumed_sale_from_dataset_context</x:v>
      </x:c>
      <x:c r="M6886" s="10" t="n">
        <x:v>0</x:v>
      </x:c>
      <x:c r="N6886" s="10" t="n">
        <x:v>0</x:v>
      </x:c>
      <x:c r="O6886" s="2" t="str">
        <x:v>Hà Nội|house</x:v>
      </x:c>
      <x:c r="P6886" s="10" t="n">
        <x:v>2</x:v>
      </x:c>
      <x:c r="Q6886" s="13" t="n">
        <x:f>IF(H6886="","",H6886/1000000000)</x:f>
        <x:v>0.95</x:v>
      </x:c>
      <x:c r="R6886" s="13" t="n">
        <x:f>IF(I6886="","",I6886/1000000)</x:f>
        <x:v>16.379310344827587</x:v>
      </x:c>
    </x:row>
    <x:row r="6887" ht="21" customHeight="1">
      <x:c r="A6887" s="10" t="n">
        <x:v>8864</x:v>
      </x:c>
      <x:c r="B6887" s="2" t="str">
        <x:v>390595e2a169638ba297</x:v>
      </x:c>
      <x:c r="C6887" s="2" t="str">
        <x:v>Hà Nội</x:v>
      </x:c>
      <x:c r="D6887" s="2" t="str">
        <x:v>Quận Nam Từ Liêm</x:v>
      </x:c>
      <x:c r="E6887" s="2" t="str">
        <x:v>apartment</x:v>
      </x:c>
      <x:c r="F6887" s="2" t="str">
        <x:v>sale_assumed</x:v>
      </x:c>
      <x:c r="G6887" s="11" t="n">
        <x:v>46</x:v>
      </x:c>
      <x:c r="H6887" s="12" t="n">
        <x:v>1380000000</x:v>
      </x:c>
      <x:c r="I6887" s="12" t="n">
        <x:v>30000000</x:v>
      </x:c>
      <x:c r="J6887" s="2" t="str">
        <x:v>total</x:v>
      </x:c>
      <x:c r="K6887" s="2" t="str">
        <x:v>top_level_area</x:v>
      </x:c>
      <x:c r="L6887" s="2" t="str">
        <x:v>property_type_inferred_from_title;transaction_assumed_sale_from_dataset_context</x:v>
      </x:c>
      <x:c r="M6887" s="10" t="n">
        <x:v>0</x:v>
      </x:c>
      <x:c r="N6887" s="10" t="n">
        <x:v>0</x:v>
      </x:c>
      <x:c r="O6887" s="2" t="str">
        <x:v>Hà Nội|apartment</x:v>
      </x:c>
      <x:c r="P6887" s="10" t="n">
        <x:v>2</x:v>
      </x:c>
      <x:c r="Q6887" s="13" t="n">
        <x:f>IF(H6887="","",H6887/1000000000)</x:f>
        <x:v>1.38</x:v>
      </x:c>
      <x:c r="R6887" s="13" t="n">
        <x:f>IF(I6887="","",I6887/1000000)</x:f>
        <x:v>30</x:v>
      </x:c>
    </x:row>
    <x:row r="6888" ht="21" customHeight="1">
      <x:c r="A6888" s="10" t="n">
        <x:v>8865</x:v>
      </x:c>
      <x:c r="B6888" s="2" t="str">
        <x:v>9a55fb9343937ae021b8</x:v>
      </x:c>
      <x:c r="C6888" s="2" t="str">
        <x:v>Hà Nội</x:v>
      </x:c>
      <x:c r="D6888" s="2" t="str">
        <x:v>Quận Hà Đông</x:v>
      </x:c>
      <x:c r="E6888" s="2" t="str">
        <x:v>house</x:v>
      </x:c>
      <x:c r="F6888" s="2" t="str">
        <x:v>sale</x:v>
      </x:c>
      <x:c r="G6888" s="11" t="n">
        <x:v>34</x:v>
      </x:c>
      <x:c r="H6888" s="12" t="n">
        <x:v>2200000000</x:v>
      </x:c>
      <x:c r="I6888" s="12" t="n">
        <x:v>64705882.35294118</x:v>
      </x:c>
      <x:c r="J6888" s="2" t="str">
        <x:v>total</x:v>
      </x:c>
      <x:c r="K6888" s="2" t="str">
        <x:v>top_level_area</x:v>
      </x:c>
      <x:c r="L6888" s="2" t="str">
        <x:v>property_type_inferred_from_title</x:v>
      </x:c>
      <x:c r="M6888" s="10" t="n">
        <x:v>0</x:v>
      </x:c>
      <x:c r="N6888" s="10" t="n">
        <x:v>0</x:v>
      </x:c>
      <x:c r="O6888" s="2" t="str">
        <x:v>Hà Nội|house</x:v>
      </x:c>
      <x:c r="P6888" s="10" t="n">
        <x:v>2</x:v>
      </x:c>
      <x:c r="Q6888" s="13" t="n">
        <x:f>IF(H6888="","",H6888/1000000000)</x:f>
        <x:v>2.2</x:v>
      </x:c>
      <x:c r="R6888" s="13" t="n">
        <x:f>IF(I6888="","",I6888/1000000)</x:f>
        <x:v>64.70588235294117</x:v>
      </x:c>
    </x:row>
    <x:row r="6889" ht="21" customHeight="1">
      <x:c r="A6889" s="10" t="n">
        <x:v>8866</x:v>
      </x:c>
      <x:c r="B6889" s="2" t="str">
        <x:v>5412222944f14cb63cc1</x:v>
      </x:c>
      <x:c r="C6889" s="2" t="str">
        <x:v>Hà Nội</x:v>
      </x:c>
      <x:c r="D6889" s="2" t="str">
        <x:v>Quận Đống Đa</x:v>
      </x:c>
      <x:c r="E6889" s="2" t="str">
        <x:v>other_unknown</x:v>
      </x:c>
      <x:c r="F6889" s="2" t="str">
        <x:v>sale_assumed</x:v>
      </x:c>
      <x:c r="G6889" s="11" t="n">
        <x:v>42</x:v>
      </x:c>
      <x:c r="H6889" s="12" t="n">
        <x:v>4450000000</x:v>
      </x:c>
      <x:c r="I6889" s="12" t="n">
        <x:v>105952380.95238096</x:v>
      </x:c>
      <x:c r="J6889" s="2" t="str">
        <x:v>total</x:v>
      </x:c>
      <x:c r="K6889" s="2" t="str">
        <x:v>top_level_area</x:v>
      </x:c>
      <x:c r="L6889" s="2" t="str">
        <x:v>property_type_inferred_from_title;transaction_assumed_sale_from_dataset_context;unknown_property_type</x:v>
      </x:c>
      <x:c r="M6889" s="10" t="n">
        <x:v>0</x:v>
      </x:c>
      <x:c r="N6889" s="10" t="n">
        <x:v>0</x:v>
      </x:c>
      <x:c r="O6889" s="2" t="str">
        <x:v>Hà Nội|other_unknown</x:v>
      </x:c>
      <x:c r="P6889" s="10" t="n">
        <x:v>2</x:v>
      </x:c>
      <x:c r="Q6889" s="13" t="n">
        <x:f>IF(H6889="","",H6889/1000000000)</x:f>
        <x:v>4.45</x:v>
      </x:c>
      <x:c r="R6889" s="13" t="n">
        <x:f>IF(I6889="","",I6889/1000000)</x:f>
        <x:v>105.95238095238095</x:v>
      </x:c>
    </x:row>
    <x:row r="6890" ht="21" customHeight="1">
      <x:c r="A6890" s="10" t="n">
        <x:v>8867</x:v>
      </x:c>
      <x:c r="B6890" s="2" t="str">
        <x:v>9f2931bfdf949397cf1b</x:v>
      </x:c>
      <x:c r="C6890" s="2" t="str">
        <x:v>Long An</x:v>
      </x:c>
      <x:c r="D6890" s="2" t="str">
        <x:v>Huyện Cần Giuộc</x:v>
      </x:c>
      <x:c r="E6890" s="2" t="str">
        <x:v>house</x:v>
      </x:c>
      <x:c r="F6890" s="2" t="str">
        <x:v>sale</x:v>
      </x:c>
      <x:c r="G6890" s="11" t="n">
        <x:v>80</x:v>
      </x:c>
      <x:c r="H6890" s="12" t="n">
        <x:v>750000000</x:v>
      </x:c>
      <x:c r="I6890" s="12" t="n">
        <x:v>9375000</x:v>
      </x:c>
      <x:c r="J6890" s="2" t="str">
        <x:v>total</x:v>
      </x:c>
      <x:c r="K6890" s="2" t="str">
        <x:v>top_level_area</x:v>
      </x:c>
      <x:c r="L6890" s="2" t="str">
        <x:v>property_type_inferred_from_title</x:v>
      </x:c>
      <x:c r="M6890" s="10" t="n">
        <x:v>0</x:v>
      </x:c>
      <x:c r="N6890" s="10" t="n">
        <x:v>0</x:v>
      </x:c>
      <x:c r="O6890" s="2" t="str">
        <x:v>Long An|house</x:v>
      </x:c>
      <x:c r="P6890" s="10" t="n">
        <x:v>2</x:v>
      </x:c>
      <x:c r="Q6890" s="13" t="n">
        <x:f>IF(H6890="","",H6890/1000000000)</x:f>
        <x:v>0.75</x:v>
      </x:c>
      <x:c r="R6890" s="13" t="n">
        <x:f>IF(I6890="","",I6890/1000000)</x:f>
        <x:v>9.375</x:v>
      </x:c>
    </x:row>
    <x:row r="6891" ht="21" customHeight="1">
      <x:c r="A6891" s="10" t="n">
        <x:v>8868</x:v>
      </x:c>
      <x:c r="B6891" s="2" t="str">
        <x:v>67ffb2e654b48b9737cc</x:v>
      </x:c>
      <x:c r="C6891" s="2" t="str">
        <x:v>Tp Hồ Chí Minh</x:v>
      </x:c>
      <x:c r="D6891" s="2" t="str">
        <x:v>Huyện Củ Chi</x:v>
      </x:c>
      <x:c r="E6891" s="2" t="str">
        <x:v>house</x:v>
      </x:c>
      <x:c r="F6891" s="2" t="str">
        <x:v>sale_assumed</x:v>
      </x:c>
      <x:c r="G6891" s="11" t="n">
        <x:v>40</x:v>
      </x:c>
      <x:c r="H6891" s="12" t="n">
        <x:v>580000000</x:v>
      </x:c>
      <x:c r="I6891" s="12" t="n">
        <x:v>14500000</x:v>
      </x:c>
      <x:c r="J6891" s="2" t="str">
        <x:v>total</x:v>
      </x:c>
      <x:c r="K6891" s="2" t="str">
        <x:v>top_level_area</x:v>
      </x:c>
      <x:c r="L6891" s="2" t="str">
        <x:v>property_type_inferred_from_title;transaction_assumed_sale_from_dataset_context</x:v>
      </x:c>
      <x:c r="M6891" s="10" t="n">
        <x:v>0</x:v>
      </x:c>
      <x:c r="N6891" s="10" t="n">
        <x:v>0</x:v>
      </x:c>
      <x:c r="O6891" s="2" t="str">
        <x:v>Tp Hồ Chí Minh|house</x:v>
      </x:c>
      <x:c r="P6891" s="10" t="n">
        <x:v>2</x:v>
      </x:c>
      <x:c r="Q6891" s="13" t="n">
        <x:f>IF(H6891="","",H6891/1000000000)</x:f>
        <x:v>0.58</x:v>
      </x:c>
      <x:c r="R6891" s="13" t="n">
        <x:f>IF(I6891="","",I6891/1000000)</x:f>
        <x:v>14.5</x:v>
      </x:c>
    </x:row>
    <x:row r="6892" ht="21" customHeight="1">
      <x:c r="A6892" s="10" t="n">
        <x:v>8869</x:v>
      </x:c>
      <x:c r="B6892" s="2" t="str">
        <x:v>98c5d0c893fa40650f80</x:v>
      </x:c>
      <x:c r="C6892" s="2" t="str">
        <x:v>Tp Hồ Chí Minh</x:v>
      </x:c>
      <x:c r="D6892" s="2" t="str">
        <x:v>Huyện Nhà Bè</x:v>
      </x:c>
      <x:c r="E6892" s="2" t="str">
        <x:v>house</x:v>
      </x:c>
      <x:c r="F6892" s="2" t="str">
        <x:v>sale_assumed</x:v>
      </x:c>
      <x:c r="G6892" s="11" t="n">
        <x:v>100</x:v>
      </x:c>
      <x:c r="H6892" s="12" t="n">
        <x:v>3580000000</x:v>
      </x:c>
      <x:c r="I6892" s="12" t="n">
        <x:v>35800000</x:v>
      </x:c>
      <x:c r="J6892" s="2" t="str">
        <x:v>total</x:v>
      </x:c>
      <x:c r="K6892" s="2" t="str">
        <x:v>top_level_area</x:v>
      </x:c>
      <x:c r="L6892" s="2" t="str">
        <x:v>property_type_inferred_from_title;transaction_assumed_sale_from_dataset_context</x:v>
      </x:c>
      <x:c r="M6892" s="10" t="n">
        <x:v>0</x:v>
      </x:c>
      <x:c r="N6892" s="10" t="n">
        <x:v>0</x:v>
      </x:c>
      <x:c r="O6892" s="2" t="str">
        <x:v>Tp Hồ Chí Minh|house</x:v>
      </x:c>
      <x:c r="P6892" s="10" t="n">
        <x:v>2</x:v>
      </x:c>
      <x:c r="Q6892" s="13" t="n">
        <x:f>IF(H6892="","",H6892/1000000000)</x:f>
        <x:v>3.58</x:v>
      </x:c>
      <x:c r="R6892" s="13" t="n">
        <x:f>IF(I6892="","",I6892/1000000)</x:f>
        <x:v>35.8</x:v>
      </x:c>
    </x:row>
    <x:row r="6893" ht="21" customHeight="1">
      <x:c r="A6893" s="10" t="n">
        <x:v>8870</x:v>
      </x:c>
      <x:c r="B6893" s="2" t="str">
        <x:v>21821a15102339e3851c</x:v>
      </x:c>
      <x:c r="C6893" s="2" t="str">
        <x:v>Tp Hồ Chí Minh</x:v>
      </x:c>
      <x:c r="D6893" s="2" t="str">
        <x:v>Quận 10</x:v>
      </x:c>
      <x:c r="E6893" s="2" t="str">
        <x:v>other_unknown</x:v>
      </x:c>
      <x:c r="F6893" s="2" t="str">
        <x:v>sale_assumed</x:v>
      </x:c>
      <x:c r="G6893" s="11" t="n">
        <x:v>19</x:v>
      </x:c>
      <x:c r="H6893" s="12" t="n">
        <x:v>4150000000.0000005</x:v>
      </x:c>
      <x:c r="I6893" s="12" t="n">
        <x:v>218421052.63157898</x:v>
      </x:c>
      <x:c r="J6893" s="2" t="str">
        <x:v>total</x:v>
      </x:c>
      <x:c r="K6893" s="2" t="str">
        <x:v>top_level_area</x:v>
      </x:c>
      <x:c r="L6893" s="2" t="str">
        <x:v>property_type_inferred_from_title;transaction_assumed_sale_from_dataset_context;unknown_property_type</x:v>
      </x:c>
      <x:c r="M6893" s="10" t="n">
        <x:v>1</x:v>
      </x:c>
      <x:c r="N6893" s="10" t="n">
        <x:v>1</x:v>
      </x:c>
      <x:c r="O6893" s="2" t="str">
        <x:v>Tp Hồ Chí Minh|other_unknown</x:v>
      </x:c>
      <x:c r="P6893" s="10" t="n">
        <x:v>-1</x:v>
      </x:c>
      <x:c r="Q6893" s="13" t="n">
        <x:f>IF(H6893="","",H6893/1000000000)</x:f>
        <x:v>4.15</x:v>
      </x:c>
      <x:c r="R6893" s="13" t="n">
        <x:f>IF(I6893="","",I6893/1000000)</x:f>
        <x:v>218.421052631579</x:v>
      </x:c>
    </x:row>
    <x:row r="6894" ht="21" customHeight="1">
      <x:c r="A6894" s="10" t="n">
        <x:v>8874</x:v>
      </x:c>
      <x:c r="B6894" s="2" t="str">
        <x:v>29e340044a0c52125fc3</x:v>
      </x:c>
      <x:c r="C6894" s="2" t="str">
        <x:v>Hà Nội</x:v>
      </x:c>
      <x:c r="D6894" s="2" t="str">
        <x:v>Quận Đống Đa</x:v>
      </x:c>
      <x:c r="E6894" s="2" t="str">
        <x:v>house</x:v>
      </x:c>
      <x:c r="F6894" s="2" t="str">
        <x:v>sale_assumed</x:v>
      </x:c>
      <x:c r="G6894" s="11" t="n">
        <x:v>68</x:v>
      </x:c>
      <x:c r="H6894" s="12" t="n">
        <x:v>5000000000</x:v>
      </x:c>
      <x:c r="I6894" s="12" t="n">
        <x:v>73529411.76470588</x:v>
      </x:c>
      <x:c r="J6894" s="2" t="str">
        <x:v>total</x:v>
      </x:c>
      <x:c r="K6894" s="2" t="str">
        <x:v>top_level_area</x:v>
      </x:c>
      <x:c r="L6894" s="2" t="str">
        <x:v>property_type_inferred_from_title;transaction_assumed_sale_from_dataset_context</x:v>
      </x:c>
      <x:c r="M6894" s="10" t="n">
        <x:v>0</x:v>
      </x:c>
      <x:c r="N6894" s="10" t="n">
        <x:v>0</x:v>
      </x:c>
      <x:c r="O6894" s="2" t="str">
        <x:v>Hà Nội|house</x:v>
      </x:c>
      <x:c r="P6894" s="10" t="n">
        <x:v>2</x:v>
      </x:c>
      <x:c r="Q6894" s="13" t="n">
        <x:f>IF(H6894="","",H6894/1000000000)</x:f>
        <x:v>5</x:v>
      </x:c>
      <x:c r="R6894" s="13" t="n">
        <x:f>IF(I6894="","",I6894/1000000)</x:f>
        <x:v>73.52941176470588</x:v>
      </x:c>
    </x:row>
    <x:row r="6895" ht="21" customHeight="1">
      <x:c r="A6895" s="10" t="n">
        <x:v>8875</x:v>
      </x:c>
      <x:c r="B6895" s="2" t="str">
        <x:v>d9808ad26d4b284368ab</x:v>
      </x:c>
      <x:c r="C6895" s="2" t="str">
        <x:v>Tp Hồ Chí Minh</x:v>
      </x:c>
      <x:c r="D6895" s="2" t="str">
        <x:v>Quận Tân Phú</x:v>
      </x:c>
      <x:c r="E6895" s="2" t="str">
        <x:v>house</x:v>
      </x:c>
      <x:c r="F6895" s="2" t="str">
        <x:v>sale_assumed</x:v>
      </x:c>
      <x:c r="G6895" s="11" t="n">
        <x:v>65</x:v>
      </x:c>
      <x:c r="H6895" s="12" t="n">
        <x:v>9000000000</x:v>
      </x:c>
      <x:c r="I6895" s="12" t="n">
        <x:v>138461538.46153846</x:v>
      </x:c>
      <x:c r="J6895" s="2" t="str">
        <x:v>total</x:v>
      </x:c>
      <x:c r="K6895" s="2" t="str">
        <x:v>top_level_area</x:v>
      </x:c>
      <x:c r="L6895" s="2" t="str">
        <x:v>property_type_inferred_from_title;transaction_assumed_sale_from_dataset_context</x:v>
      </x:c>
      <x:c r="M6895" s="10" t="n">
        <x:v>0</x:v>
      </x:c>
      <x:c r="N6895" s="10" t="n">
        <x:v>0</x:v>
      </x:c>
      <x:c r="O6895" s="2" t="str">
        <x:v>Tp Hồ Chí Minh|house</x:v>
      </x:c>
      <x:c r="P6895" s="10" t="n">
        <x:v>2</x:v>
      </x:c>
      <x:c r="Q6895" s="13" t="n">
        <x:f>IF(H6895="","",H6895/1000000000)</x:f>
        <x:v>9</x:v>
      </x:c>
      <x:c r="R6895" s="13" t="n">
        <x:f>IF(I6895="","",I6895/1000000)</x:f>
        <x:v>138.46153846153845</x:v>
      </x:c>
    </x:row>
    <x:row r="6896" ht="21" customHeight="1">
      <x:c r="A6896" s="10" t="n">
        <x:v>8876</x:v>
      </x:c>
      <x:c r="B6896" s="2" t="str">
        <x:v>edd2db897cf082fbbb15</x:v>
      </x:c>
      <x:c r="C6896" s="2" t="str">
        <x:v>Tp Hồ Chí Minh</x:v>
      </x:c>
      <x:c r="D6896" s="2" t="str">
        <x:v>Huyện Bình Chánh</x:v>
      </x:c>
      <x:c r="E6896" s="2" t="str">
        <x:v>house</x:v>
      </x:c>
      <x:c r="F6896" s="2" t="str">
        <x:v>sale_assumed</x:v>
      </x:c>
      <x:c r="G6896" s="11" t="n">
        <x:v>100</x:v>
      </x:c>
      <x:c r="H6896" s="12" t="n">
        <x:v>1290000000</x:v>
      </x:c>
      <x:c r="I6896" s="12" t="n">
        <x:v>12900000</x:v>
      </x:c>
      <x:c r="J6896" s="2" t="str">
        <x:v>total</x:v>
      </x:c>
      <x:c r="K6896" s="2" t="str">
        <x:v>top_level_area</x:v>
      </x:c>
      <x:c r="L6896" s="2" t="str">
        <x:v>property_type_inferred_from_title;transaction_assumed_sale_from_dataset_context</x:v>
      </x:c>
      <x:c r="M6896" s="10" t="n">
        <x:v>0</x:v>
      </x:c>
      <x:c r="N6896" s="10" t="n">
        <x:v>0</x:v>
      </x:c>
      <x:c r="O6896" s="2" t="str">
        <x:v>Tp Hồ Chí Minh|house</x:v>
      </x:c>
      <x:c r="P6896" s="10" t="n">
        <x:v>2</x:v>
      </x:c>
      <x:c r="Q6896" s="13" t="n">
        <x:f>IF(H6896="","",H6896/1000000000)</x:f>
        <x:v>1.29</x:v>
      </x:c>
      <x:c r="R6896" s="13" t="n">
        <x:f>IF(I6896="","",I6896/1000000)</x:f>
        <x:v>12.9</x:v>
      </x:c>
    </x:row>
    <x:row r="6897" ht="21" customHeight="1">
      <x:c r="A6897" s="10" t="n">
        <x:v>8877</x:v>
      </x:c>
      <x:c r="B6897" s="2" t="str">
        <x:v>ffd3bef30143dc8019a9</x:v>
      </x:c>
      <x:c r="C6897" s="2" t="str">
        <x:v>Hà Nội</x:v>
      </x:c>
      <x:c r="D6897" s="2" t="str">
        <x:v>Quận Hai Bà Trưng</x:v>
      </x:c>
      <x:c r="E6897" s="2" t="str">
        <x:v>house</x:v>
      </x:c>
      <x:c r="F6897" s="2" t="str">
        <x:v>sale_assumed</x:v>
      </x:c>
      <x:c r="G6897" s="11" t="n">
        <x:v>31.7</x:v>
      </x:c>
      <x:c r="H6897" s="12" t="n">
        <x:v>3830000000</x:v>
      </x:c>
      <x:c r="I6897" s="12" t="n">
        <x:v>120820189.27444795</x:v>
      </x:c>
      <x:c r="J6897" s="2" t="str">
        <x:v>total</x:v>
      </x:c>
      <x:c r="K6897" s="2" t="str">
        <x:v>top_level_area</x:v>
      </x:c>
      <x:c r="L6897" s="2" t="str">
        <x:v>property_type_inferred_from_title;transaction_assumed_sale_from_dataset_context</x:v>
      </x:c>
      <x:c r="M6897" s="10" t="n">
        <x:v>0</x:v>
      </x:c>
      <x:c r="N6897" s="10" t="n">
        <x:v>0</x:v>
      </x:c>
      <x:c r="O6897" s="2" t="str">
        <x:v>Hà Nội|house</x:v>
      </x:c>
      <x:c r="P6897" s="10" t="n">
        <x:v>2</x:v>
      </x:c>
      <x:c r="Q6897" s="13" t="n">
        <x:f>IF(H6897="","",H6897/1000000000)</x:f>
        <x:v>3.83</x:v>
      </x:c>
      <x:c r="R6897" s="13" t="n">
        <x:f>IF(I6897="","",I6897/1000000)</x:f>
        <x:v>120.82018927444794</x:v>
      </x:c>
    </x:row>
    <x:row r="6898" ht="21" customHeight="1">
      <x:c r="A6898" s="10" t="n">
        <x:v>8878</x:v>
      </x:c>
      <x:c r="B6898" s="2" t="str">
        <x:v>601f397bba1076ccd05e</x:v>
      </x:c>
      <x:c r="C6898" s="2" t="str">
        <x:v>Hà Nội</x:v>
      </x:c>
      <x:c r="D6898" s="2" t="str">
        <x:v>Quận Đống Đa</x:v>
      </x:c>
      <x:c r="E6898" s="2" t="str">
        <x:v>house</x:v>
      </x:c>
      <x:c r="F6898" s="2" t="str">
        <x:v>sale</x:v>
      </x:c>
      <x:c r="G6898" s="11" t="n">
        <x:v>63</x:v>
      </x:c>
      <x:c r="H6898" s="12" t="n">
        <x:v>5550000000</x:v>
      </x:c>
      <x:c r="I6898" s="12" t="n">
        <x:v>88095238.09523809</x:v>
      </x:c>
      <x:c r="J6898" s="2" t="str">
        <x:v>total</x:v>
      </x:c>
      <x:c r="K6898" s="2" t="str">
        <x:v>top_level_area</x:v>
      </x:c>
      <x:c r="L6898" s="2" t="str">
        <x:v>property_type_inferred_from_title</x:v>
      </x:c>
      <x:c r="M6898" s="10" t="n">
        <x:v>0</x:v>
      </x:c>
      <x:c r="N6898" s="10" t="n">
        <x:v>0</x:v>
      </x:c>
      <x:c r="O6898" s="2" t="str">
        <x:v>Hà Nội|house</x:v>
      </x:c>
      <x:c r="P6898" s="10" t="n">
        <x:v>2</x:v>
      </x:c>
      <x:c r="Q6898" s="13" t="n">
        <x:f>IF(H6898="","",H6898/1000000000)</x:f>
        <x:v>5.55</x:v>
      </x:c>
      <x:c r="R6898" s="13" t="n">
        <x:f>IF(I6898="","",I6898/1000000)</x:f>
        <x:v>88.09523809523809</x:v>
      </x:c>
    </x:row>
    <x:row r="6899" ht="21" customHeight="1">
      <x:c r="A6899" s="10" t="n">
        <x:v>8880</x:v>
      </x:c>
      <x:c r="B6899" s="2" t="str">
        <x:v>27c0364d967193f67a30</x:v>
      </x:c>
      <x:c r="C6899" s="2" t="str">
        <x:v>Tp Hồ Chí Minh</x:v>
      </x:c>
      <x:c r="D6899" s="2" t="str">
        <x:v>Quận 9</x:v>
      </x:c>
      <x:c r="E6899" s="2" t="str">
        <x:v>land</x:v>
      </x:c>
      <x:c r="F6899" s="2" t="str">
        <x:v>sale</x:v>
      </x:c>
      <x:c r="G6899" s="11" t="n">
        <x:v>59.1</x:v>
      </x:c>
      <x:c r="H6899" s="12" t="n">
        <x:v>3500000000</x:v>
      </x:c>
      <x:c r="I6899" s="12" t="n">
        <x:v>59221658.20642978</x:v>
      </x:c>
      <x:c r="J6899" s="2" t="str">
        <x:v>total</x:v>
      </x:c>
      <x:c r="K6899" s="2" t="str">
        <x:v>top_level_area</x:v>
      </x:c>
      <x:c r="L6899" s="2" t="str">
        <x:v>property_type_inferred_from_title</x:v>
      </x:c>
      <x:c r="M6899" s="10" t="n">
        <x:v>0</x:v>
      </x:c>
      <x:c r="N6899" s="10" t="n">
        <x:v>0</x:v>
      </x:c>
      <x:c r="O6899" s="2" t="str">
        <x:v>Tp Hồ Chí Minh|land</x:v>
      </x:c>
      <x:c r="P6899" s="10" t="n">
        <x:v>2</x:v>
      </x:c>
      <x:c r="Q6899" s="13" t="n">
        <x:f>IF(H6899="","",H6899/1000000000)</x:f>
        <x:v>3.5</x:v>
      </x:c>
      <x:c r="R6899" s="13" t="n">
        <x:f>IF(I6899="","",I6899/1000000)</x:f>
        <x:v>59.22165820642978</x:v>
      </x:c>
    </x:row>
    <x:row r="6900" ht="21" customHeight="1">
      <x:c r="A6900" s="10" t="n">
        <x:v>8881</x:v>
      </x:c>
      <x:c r="B6900" s="2" t="str">
        <x:v>bdfdf70a044967ffe5cf</x:v>
      </x:c>
      <x:c r="C6900" s="2" t="str">
        <x:v>Hải Phòng</x:v>
      </x:c>
      <x:c r="D6900" s="2" t="str">
        <x:v>Quận Ngô Quyền</x:v>
      </x:c>
      <x:c r="E6900" s="2" t="str">
        <x:v>house</x:v>
      </x:c>
      <x:c r="F6900" s="2" t="str">
        <x:v>sale</x:v>
      </x:c>
      <x:c r="G6900" s="11" t="n">
        <x:v>77</x:v>
      </x:c>
      <x:c r="H6900" s="12" t="n">
        <x:v>4200000000</x:v>
      </x:c>
      <x:c r="I6900" s="12" t="n">
        <x:v>54545454.54545455</x:v>
      </x:c>
      <x:c r="J6900" s="2" t="str">
        <x:v>total</x:v>
      </x:c>
      <x:c r="K6900" s="2" t="str">
        <x:v>top_level_area</x:v>
      </x:c>
      <x:c r="L6900" s="2" t="str">
        <x:v>property_type_inferred_from_title</x:v>
      </x:c>
      <x:c r="M6900" s="10" t="n">
        <x:v>0</x:v>
      </x:c>
      <x:c r="N6900" s="10" t="n">
        <x:v>0</x:v>
      </x:c>
      <x:c r="O6900" s="2" t="str">
        <x:v>house</x:v>
      </x:c>
      <x:c r="P6900" s="10" t="n">
        <x:v>2</x:v>
      </x:c>
      <x:c r="Q6900" s="13" t="n">
        <x:f>IF(H6900="","",H6900/1000000000)</x:f>
        <x:v>4.2</x:v>
      </x:c>
      <x:c r="R6900" s="13" t="n">
        <x:f>IF(I6900="","",I6900/1000000)</x:f>
        <x:v>54.54545454545455</x:v>
      </x:c>
    </x:row>
    <x:row r="6901" ht="21" customHeight="1">
      <x:c r="A6901" s="10" t="n">
        <x:v>8882</x:v>
      </x:c>
      <x:c r="B6901" s="2" t="str">
        <x:v>07b0bf8821c102b5d22f</x:v>
      </x:c>
      <x:c r="C6901" s="2" t="str">
        <x:v>Hà Nội</x:v>
      </x:c>
      <x:c r="D6901" s="2" t="str">
        <x:v>Quận Hai Bà Trưng</x:v>
      </x:c>
      <x:c r="E6901" s="2" t="str">
        <x:v>house</x:v>
      </x:c>
      <x:c r="F6901" s="2" t="str">
        <x:v>sale</x:v>
      </x:c>
      <x:c r="G6901" s="11" t="n">
        <x:v>92</x:v>
      </x:c>
      <x:c r="H6901" s="12" t="n">
        <x:v>10300000000</x:v>
      </x:c>
      <x:c r="I6901" s="12" t="n">
        <x:v>111956521.73913044</x:v>
      </x:c>
      <x:c r="J6901" s="2" t="str">
        <x:v>total</x:v>
      </x:c>
      <x:c r="K6901" s="2" t="str">
        <x:v>top_level_area</x:v>
      </x:c>
      <x:c r="L6901" s="2" t="str">
        <x:v>property_type_inferred_from_title</x:v>
      </x:c>
      <x:c r="M6901" s="10" t="n">
        <x:v>0</x:v>
      </x:c>
      <x:c r="N6901" s="10" t="n">
        <x:v>0</x:v>
      </x:c>
      <x:c r="O6901" s="2" t="str">
        <x:v>Hà Nội|house</x:v>
      </x:c>
      <x:c r="P6901" s="10" t="n">
        <x:v>2</x:v>
      </x:c>
      <x:c r="Q6901" s="13" t="n">
        <x:f>IF(H6901="","",H6901/1000000000)</x:f>
        <x:v>10.3</x:v>
      </x:c>
      <x:c r="R6901" s="13" t="n">
        <x:f>IF(I6901="","",I6901/1000000)</x:f>
        <x:v>111.95652173913044</x:v>
      </x:c>
    </x:row>
    <x:row r="6902" ht="21" customHeight="1">
      <x:c r="A6902" s="10" t="n">
        <x:v>8883</x:v>
      </x:c>
      <x:c r="B6902" s="2" t="str">
        <x:v>579f617a837bc254dd21</x:v>
      </x:c>
      <x:c r="C6902" s="2" t="str">
        <x:v>Đà Nẵng</x:v>
      </x:c>
      <x:c r="D6902" s="2" t="str">
        <x:v>Huyện Hòa Vang</x:v>
      </x:c>
      <x:c r="E6902" s="2" t="str">
        <x:v>land</x:v>
      </x:c>
      <x:c r="F6902" s="2" t="str">
        <x:v>sale_assumed</x:v>
      </x:c>
      <x:c r="G6902" s="11" t="n">
        <x:v>100</x:v>
      </x:c>
      <x:c r="H6902" s="12" t="n">
        <x:v>1370000000</x:v>
      </x:c>
      <x:c r="I6902" s="12" t="n">
        <x:v>13700000</x:v>
      </x:c>
      <x:c r="J6902" s="2" t="str">
        <x:v>total</x:v>
      </x:c>
      <x:c r="K6902" s="2" t="str">
        <x:v>top_level_area</x:v>
      </x:c>
      <x:c r="L6902" s="2" t="str">
        <x:v>property_type_inferred_from_title;transaction_assumed_sale_from_dataset_context</x:v>
      </x:c>
      <x:c r="M6902" s="10" t="n">
        <x:v>0</x:v>
      </x:c>
      <x:c r="N6902" s="10" t="n">
        <x:v>0</x:v>
      </x:c>
      <x:c r="O6902" s="2" t="str">
        <x:v>Đà Nẵng|land</x:v>
      </x:c>
      <x:c r="P6902" s="10" t="n">
        <x:v>2</x:v>
      </x:c>
      <x:c r="Q6902" s="13" t="n">
        <x:f>IF(H6902="","",H6902/1000000000)</x:f>
        <x:v>1.37</x:v>
      </x:c>
      <x:c r="R6902" s="13" t="n">
        <x:f>IF(I6902="","",I6902/1000000)</x:f>
        <x:v>13.7</x:v>
      </x:c>
    </x:row>
    <x:row r="6903" ht="21" customHeight="1">
      <x:c r="A6903" s="10" t="n">
        <x:v>8884</x:v>
      </x:c>
      <x:c r="B6903" s="2" t="str">
        <x:v>cf88f5d37c959dc472dc</x:v>
      </x:c>
      <x:c r="C6903" s="2" t="str">
        <x:v>Hà Nội</x:v>
      </x:c>
      <x:c r="D6903" s="2" t="str">
        <x:v>Quận Hà Đông</x:v>
      </x:c>
      <x:c r="E6903" s="2" t="str">
        <x:v>house</x:v>
      </x:c>
      <x:c r="F6903" s="2" t="str">
        <x:v>sale_assumed</x:v>
      </x:c>
      <x:c r="G6903" s="11" t="n">
        <x:v>40</x:v>
      </x:c>
      <x:c r="H6903" s="12" t="n">
        <x:v>1489000000</x:v>
      </x:c>
      <x:c r="I6903" s="12" t="n">
        <x:v>37225000</x:v>
      </x:c>
      <x:c r="J6903" s="2" t="str">
        <x:v>total</x:v>
      </x:c>
      <x:c r="K6903" s="2" t="str">
        <x:v>top_level_area</x:v>
      </x:c>
      <x:c r="L6903" s="2" t="str">
        <x:v>property_type_inferred_from_title;transaction_assumed_sale_from_dataset_context</x:v>
      </x:c>
      <x:c r="M6903" s="10" t="n">
        <x:v>0</x:v>
      </x:c>
      <x:c r="N6903" s="10" t="n">
        <x:v>0</x:v>
      </x:c>
      <x:c r="O6903" s="2" t="str">
        <x:v>Hà Nội|house</x:v>
      </x:c>
      <x:c r="P6903" s="10" t="n">
        <x:v>2</x:v>
      </x:c>
      <x:c r="Q6903" s="13" t="n">
        <x:f>IF(H6903="","",H6903/1000000000)</x:f>
        <x:v>1.489</x:v>
      </x:c>
      <x:c r="R6903" s="13" t="n">
        <x:f>IF(I6903="","",I6903/1000000)</x:f>
        <x:v>37.225</x:v>
      </x:c>
    </x:row>
    <x:row r="6904" ht="21" customHeight="1">
      <x:c r="A6904" s="10" t="n">
        <x:v>8885</x:v>
      </x:c>
      <x:c r="B6904" s="2" t="str">
        <x:v>1b12fbbfb5d308c6ad28</x:v>
      </x:c>
      <x:c r="C6904" s="2" t="str">
        <x:v>Khánh Hòa</x:v>
      </x:c>
      <x:c r="D6904" s="2" t="str">
        <x:v>Huyện Cam Lâm</x:v>
      </x:c>
      <x:c r="E6904" s="2" t="str">
        <x:v>other_unknown</x:v>
      </x:c>
      <x:c r="F6904" s="2" t="str">
        <x:v>sale_assumed</x:v>
      </x:c>
      <x:c r="G6904" s="11" t="n">
        <x:v>138</x:v>
      </x:c>
      <x:c r="H6904" s="12" t="n">
        <x:v>750000000</x:v>
      </x:c>
      <x:c r="I6904" s="12" t="n">
        <x:v>5434782.608695652</x:v>
      </x:c>
      <x:c r="J6904" s="2" t="str">
        <x:v>total</x:v>
      </x:c>
      <x:c r="K6904" s="2" t="str">
        <x:v>top_level_area</x:v>
      </x:c>
      <x:c r="L6904" s="2" t="str">
        <x:v>property_type_inferred_from_title;transaction_assumed_sale_from_dataset_context;unknown_property_type</x:v>
      </x:c>
      <x:c r="M6904" s="10" t="n">
        <x:v>0</x:v>
      </x:c>
      <x:c r="N6904" s="10" t="n">
        <x:v>0</x:v>
      </x:c>
      <x:c r="O6904" s="2" t="str">
        <x:v>other_unknown</x:v>
      </x:c>
      <x:c r="P6904" s="10" t="n">
        <x:v>2</x:v>
      </x:c>
      <x:c r="Q6904" s="13" t="n">
        <x:f>IF(H6904="","",H6904/1000000000)</x:f>
        <x:v>0.75</x:v>
      </x:c>
      <x:c r="R6904" s="13" t="n">
        <x:f>IF(I6904="","",I6904/1000000)</x:f>
        <x:v>5.434782608695652</x:v>
      </x:c>
    </x:row>
    <x:row r="6905" ht="21" customHeight="1">
      <x:c r="A6905" s="10" t="n">
        <x:v>8886</x:v>
      </x:c>
      <x:c r="B6905" s="2" t="str">
        <x:v>b005d012eaa4a2033043</x:v>
      </x:c>
      <x:c r="C6905" s="2" t="str">
        <x:v>Long An</x:v>
      </x:c>
      <x:c r="D6905" s="2" t="str">
        <x:v>Huyện Đức Hòa</x:v>
      </x:c>
      <x:c r="E6905" s="2" t="str">
        <x:v>other_unknown</x:v>
      </x:c>
      <x:c r="F6905" s="2" t="str">
        <x:v>sale_assumed</x:v>
      </x:c>
      <x:c r="G6905" s="11" t="n">
        <x:v>80</x:v>
      </x:c>
      <x:c r="H6905" s="12" t="n">
        <x:v>420000000</x:v>
      </x:c>
      <x:c r="I6905" s="12" t="n">
        <x:v>5250000</x:v>
      </x:c>
      <x:c r="J6905" s="2" t="str">
        <x:v>total</x:v>
      </x:c>
      <x:c r="K6905" s="2" t="str">
        <x:v>top_level_area</x:v>
      </x:c>
      <x:c r="L6905" s="2" t="str">
        <x:v>property_type_inferred_from_title;transaction_assumed_sale_from_dataset_context;unknown_property_type</x:v>
      </x:c>
      <x:c r="M6905" s="10" t="n">
        <x:v>0</x:v>
      </x:c>
      <x:c r="N6905" s="10" t="n">
        <x:v>0</x:v>
      </x:c>
      <x:c r="O6905" s="2" t="str">
        <x:v>Long An|other_unknown</x:v>
      </x:c>
      <x:c r="P6905" s="10" t="n">
        <x:v>2</x:v>
      </x:c>
      <x:c r="Q6905" s="13" t="n">
        <x:f>IF(H6905="","",H6905/1000000000)</x:f>
        <x:v>0.42</x:v>
      </x:c>
      <x:c r="R6905" s="13" t="n">
        <x:f>IF(I6905="","",I6905/1000000)</x:f>
        <x:v>5.25</x:v>
      </x:c>
    </x:row>
    <x:row r="6906" ht="21" customHeight="1">
      <x:c r="A6906" s="10" t="n">
        <x:v>8887</x:v>
      </x:c>
      <x:c r="B6906" s="2" t="str">
        <x:v>5c7e6552e4c1913df24c</x:v>
      </x:c>
      <x:c r="C6906" s="2" t="str">
        <x:v>Bà Rịa - Vũng Tàu</x:v>
      </x:c>
      <x:c r="D6906" s="2" t="str">
        <x:v>Thị xã Phú Mỹ</x:v>
      </x:c>
      <x:c r="E6906" s="2" t="str">
        <x:v>land</x:v>
      </x:c>
      <x:c r="F6906" s="2" t="str">
        <x:v>sale_assumed</x:v>
      </x:c>
      <x:c r="G6906" s="11" t="n">
        <x:v>145</x:v>
      </x:c>
      <x:c r="H6906" s="12" t="n">
        <x:v>580000000</x:v>
      </x:c>
      <x:c r="I6906" s="12" t="n">
        <x:v>4000000</x:v>
      </x:c>
      <x:c r="J6906" s="2" t="str">
        <x:v>total</x:v>
      </x:c>
      <x:c r="K6906" s="2" t="str">
        <x:v>top_level_area</x:v>
      </x:c>
      <x:c r="L6906" s="2" t="str">
        <x:v>property_type_inferred_from_title;transaction_assumed_sale_from_dataset_context</x:v>
      </x:c>
      <x:c r="M6906" s="10" t="n">
        <x:v>0</x:v>
      </x:c>
      <x:c r="N6906" s="10" t="n">
        <x:v>0</x:v>
      </x:c>
      <x:c r="O6906" s="2" t="str">
        <x:v>Bà Rịa - Vũng Tàu|land</x:v>
      </x:c>
      <x:c r="P6906" s="10" t="n">
        <x:v>1</x:v>
      </x:c>
      <x:c r="Q6906" s="13" t="n">
        <x:f>IF(H6906="","",H6906/1000000000)</x:f>
        <x:v>0.58</x:v>
      </x:c>
      <x:c r="R6906" s="13" t="n">
        <x:f>IF(I6906="","",I6906/1000000)</x:f>
        <x:v>4</x:v>
      </x:c>
    </x:row>
    <x:row r="6907" ht="21" customHeight="1">
      <x:c r="A6907" s="10" t="n">
        <x:v>8888</x:v>
      </x:c>
      <x:c r="B6907" s="2" t="str">
        <x:v>d6e3a6fee4dc035c08a7</x:v>
      </x:c>
      <x:c r="C6907" s="2" t="str">
        <x:v>Hà Nội</x:v>
      </x:c>
      <x:c r="D6907" s="2" t="str">
        <x:v>Quận Tây Hồ</x:v>
      </x:c>
      <x:c r="E6907" s="2" t="str">
        <x:v>house</x:v>
      </x:c>
      <x:c r="F6907" s="2" t="str">
        <x:v>sale_assumed</x:v>
      </x:c>
      <x:c r="G6907" s="11" t="n">
        <x:v>68</x:v>
      </x:c>
      <x:c r="H6907" s="12" t="n">
        <x:v>4600000000</x:v>
      </x:c>
      <x:c r="I6907" s="12" t="n">
        <x:v>67647058.8235294</x:v>
      </x:c>
      <x:c r="J6907" s="2" t="str">
        <x:v>total</x:v>
      </x:c>
      <x:c r="K6907" s="2" t="str">
        <x:v>top_level_area</x:v>
      </x:c>
      <x:c r="L6907" s="2" t="str">
        <x:v>property_type_inferred_from_title;transaction_assumed_sale_from_dataset_context</x:v>
      </x:c>
      <x:c r="M6907" s="10" t="n">
        <x:v>0</x:v>
      </x:c>
      <x:c r="N6907" s="10" t="n">
        <x:v>0</x:v>
      </x:c>
      <x:c r="O6907" s="2" t="str">
        <x:v>Hà Nội|house</x:v>
      </x:c>
      <x:c r="P6907" s="10" t="n">
        <x:v>2</x:v>
      </x:c>
      <x:c r="Q6907" s="13" t="n">
        <x:f>IF(H6907="","",H6907/1000000000)</x:f>
        <x:v>4.6</x:v>
      </x:c>
      <x:c r="R6907" s="13" t="n">
        <x:f>IF(I6907="","",I6907/1000000)</x:f>
        <x:v>67.6470588235294</x:v>
      </x:c>
    </x:row>
    <x:row r="6908" ht="21" customHeight="1">
      <x:c r="A6908" s="10" t="n">
        <x:v>8889</x:v>
      </x:c>
      <x:c r="B6908" s="2" t="str">
        <x:v>9f95ed1bb16af5d993e1</x:v>
      </x:c>
      <x:c r="C6908" s="2" t="str">
        <x:v>Tiền Giang</x:v>
      </x:c>
      <x:c r="D6908" s="2" t="str">
        <x:v>Thị xã Gò Công</x:v>
      </x:c>
      <x:c r="E6908" s="2" t="str">
        <x:v>other_unknown</x:v>
      </x:c>
      <x:c r="F6908" s="2" t="str">
        <x:v>sale_assumed</x:v>
      </x:c>
      <x:c r="G6908" s="11" t="n">
        <x:v>177</x:v>
      </x:c>
      <x:c r="H6908" s="12" t="n">
        <x:v>1050000000</x:v>
      </x:c>
      <x:c r="I6908" s="12" t="n">
        <x:v>5932203.389830508</x:v>
      </x:c>
      <x:c r="J6908" s="2" t="str">
        <x:v>total</x:v>
      </x:c>
      <x:c r="K6908" s="2" t="str">
        <x:v>top_level_area</x:v>
      </x:c>
      <x:c r="L6908" s="2" t="str">
        <x:v>property_type_inferred_from_title;transaction_assumed_sale_from_dataset_context;unknown_property_type</x:v>
      </x:c>
      <x:c r="M6908" s="10" t="n">
        <x:v>0</x:v>
      </x:c>
      <x:c r="N6908" s="10" t="n">
        <x:v>0</x:v>
      </x:c>
      <x:c r="O6908" s="2" t="str">
        <x:v>other_unknown</x:v>
      </x:c>
      <x:c r="P6908" s="10" t="n">
        <x:v>1</x:v>
      </x:c>
      <x:c r="Q6908" s="13" t="n">
        <x:f>IF(H6908="","",H6908/1000000000)</x:f>
        <x:v>1.05</x:v>
      </x:c>
      <x:c r="R6908" s="13" t="n">
        <x:f>IF(I6908="","",I6908/1000000)</x:f>
        <x:v>5.932203389830509</x:v>
      </x:c>
    </x:row>
    <x:row r="6909" ht="21" customHeight="1">
      <x:c r="A6909" s="10" t="n">
        <x:v>8890</x:v>
      </x:c>
      <x:c r="B6909" s="2" t="str">
        <x:v>742a9c579df242c51f25</x:v>
      </x:c>
      <x:c r="C6909" s="2" t="str">
        <x:v>Phú Yên</x:v>
      </x:c>
      <x:c r="D6909" s="2" t="str">
        <x:v>Huyện Sơn Hòa</x:v>
      </x:c>
      <x:c r="E6909" s="2" t="str">
        <x:v>other_unknown</x:v>
      </x:c>
      <x:c r="F6909" s="2" t="str">
        <x:v>sale</x:v>
      </x:c>
      <x:c r="G6909" s="11" t="n">
        <x:v>4000</x:v>
      </x:c>
      <x:c r="H6909" s="12" t="n">
        <x:v>17000000000</x:v>
      </x:c>
      <x:c r="I6909" s="12" t="n">
        <x:v>4250000</x:v>
      </x:c>
      <x:c r="J6909" s="2" t="str">
        <x:v>total</x:v>
      </x:c>
      <x:c r="K6909" s="2" t="str">
        <x:v>top_level_area</x:v>
      </x:c>
      <x:c r="L6909" s="2" t="str">
        <x:v>dot_thousands_convention;property_type_inferred_from_title;unknown_property_type</x:v>
      </x:c>
      <x:c r="M6909" s="10" t="n">
        <x:v>0</x:v>
      </x:c>
      <x:c r="N6909" s="10" t="n">
        <x:v>0</x:v>
      </x:c>
      <x:c r="O6909" s="2" t="str">
        <x:v>other_unknown</x:v>
      </x:c>
      <x:c r="P6909" s="10" t="n">
        <x:v>1</x:v>
      </x:c>
      <x:c r="Q6909" s="13" t="n">
        <x:f>IF(H6909="","",H6909/1000000000)</x:f>
        <x:v>17</x:v>
      </x:c>
      <x:c r="R6909" s="13" t="n">
        <x:f>IF(I6909="","",I6909/1000000)</x:f>
        <x:v>4.25</x:v>
      </x:c>
    </x:row>
    <x:row r="6910" ht="21" customHeight="1">
      <x:c r="A6910" s="10" t="n">
        <x:v>8891</x:v>
      </x:c>
      <x:c r="B6910" s="2" t="str">
        <x:v>b78ed163ca43a7654945</x:v>
      </x:c>
      <x:c r="C6910" s="2" t="str">
        <x:v>Bình Dương</x:v>
      </x:c>
      <x:c r="D6910" s="2" t="str">
        <x:v>Thành phố Thủ Dầu Một</x:v>
      </x:c>
      <x:c r="E6910" s="2" t="str">
        <x:v>land</x:v>
      </x:c>
      <x:c r="F6910" s="2" t="str">
        <x:v>sale</x:v>
      </x:c>
      <x:c r="G6910" s="11" t="n">
        <x:v>120</x:v>
      </x:c>
      <x:c r="H6910" s="12" t="n">
        <x:v>723000000</x:v>
      </x:c>
      <x:c r="I6910" s="12" t="n">
        <x:v>6025000</x:v>
      </x:c>
      <x:c r="J6910" s="2" t="str">
        <x:v>total</x:v>
      </x:c>
      <x:c r="K6910" s="2" t="str">
        <x:v>top_level_area</x:v>
      </x:c>
      <x:c r="L6910" s="2" t="str">
        <x:v>property_type_inferred_from_title</x:v>
      </x:c>
      <x:c r="M6910" s="10" t="n">
        <x:v>0</x:v>
      </x:c>
      <x:c r="N6910" s="10" t="n">
        <x:v>0</x:v>
      </x:c>
      <x:c r="O6910" s="2" t="str">
        <x:v>Bình Dương|land</x:v>
      </x:c>
      <x:c r="P6910" s="10" t="n">
        <x:v>2</x:v>
      </x:c>
      <x:c r="Q6910" s="13" t="n">
        <x:f>IF(H6910="","",H6910/1000000000)</x:f>
        <x:v>0.723</x:v>
      </x:c>
      <x:c r="R6910" s="13" t="n">
        <x:f>IF(I6910="","",I6910/1000000)</x:f>
        <x:v>6.025</x:v>
      </x:c>
    </x:row>
    <x:row r="6911" ht="21" customHeight="1">
      <x:c r="A6911" s="10" t="n">
        <x:v>8892</x:v>
      </x:c>
      <x:c r="B6911" s="2" t="str">
        <x:v>499d85e3ded311713a5d</x:v>
      </x:c>
      <x:c r="C6911" s="2" t="str">
        <x:v>Hà Nội</x:v>
      </x:c>
      <x:c r="D6911" s="2" t="str">
        <x:v>Quận Cầu Giấy</x:v>
      </x:c>
      <x:c r="E6911" s="2" t="str">
        <x:v>house</x:v>
      </x:c>
      <x:c r="F6911" s="2" t="str">
        <x:v>sale</x:v>
      </x:c>
      <x:c r="G6911" s="11" t="n">
        <x:v>50</x:v>
      </x:c>
      <x:c r="H6911" s="12" t="n">
        <x:v>4800000000</x:v>
      </x:c>
      <x:c r="I6911" s="12" t="n">
        <x:v>96000000</x:v>
      </x:c>
      <x:c r="J6911" s="2" t="str">
        <x:v>total</x:v>
      </x:c>
      <x:c r="K6911" s="2" t="str">
        <x:v>top_level_area</x:v>
      </x:c>
      <x:c r="L6911" s="2" t="str">
        <x:v>property_type_inferred_from_title</x:v>
      </x:c>
      <x:c r="M6911" s="10" t="n">
        <x:v>0</x:v>
      </x:c>
      <x:c r="N6911" s="10" t="n">
        <x:v>0</x:v>
      </x:c>
      <x:c r="O6911" s="2" t="str">
        <x:v>Hà Nội|house</x:v>
      </x:c>
      <x:c r="P6911" s="10" t="n">
        <x:v>2</x:v>
      </x:c>
      <x:c r="Q6911" s="13" t="n">
        <x:f>IF(H6911="","",H6911/1000000000)</x:f>
        <x:v>4.8</x:v>
      </x:c>
      <x:c r="R6911" s="13" t="n">
        <x:f>IF(I6911="","",I6911/1000000)</x:f>
        <x:v>96</x:v>
      </x:c>
    </x:row>
    <x:row r="6912" ht="21" customHeight="1">
      <x:c r="A6912" s="10" t="n">
        <x:v>8896</x:v>
      </x:c>
      <x:c r="B6912" s="2" t="str">
        <x:v>2916536ff74b547856cc</x:v>
      </x:c>
      <x:c r="C6912" s="2" t="str">
        <x:v>Khánh Hòa</x:v>
      </x:c>
      <x:c r="D6912" s="2" t="str">
        <x:v>Huyện Diên Khánh</x:v>
      </x:c>
      <x:c r="E6912" s="2" t="str">
        <x:v>land</x:v>
      </x:c>
      <x:c r="F6912" s="2" t="str">
        <x:v>sale_assumed</x:v>
      </x:c>
      <x:c r="G6912" s="11" t="n">
        <x:v>105</x:v>
      </x:c>
      <x:c r="H6912" s="12" t="n">
        <x:v>568000000</x:v>
      </x:c>
      <x:c r="I6912" s="12" t="n">
        <x:v>5409523.80952381</x:v>
      </x:c>
      <x:c r="J6912" s="2" t="str">
        <x:v>total</x:v>
      </x:c>
      <x:c r="K6912" s="2" t="str">
        <x:v>top_level_area</x:v>
      </x:c>
      <x:c r="L6912" s="2" t="str">
        <x:v>property_type_inferred_from_title;transaction_assumed_sale_from_dataset_context</x:v>
      </x:c>
      <x:c r="M6912" s="10" t="n">
        <x:v>0</x:v>
      </x:c>
      <x:c r="N6912" s="10" t="n">
        <x:v>0</x:v>
      </x:c>
      <x:c r="O6912" s="2" t="str">
        <x:v>land</x:v>
      </x:c>
      <x:c r="P6912" s="10" t="n">
        <x:v>2</x:v>
      </x:c>
      <x:c r="Q6912" s="13" t="n">
        <x:f>IF(H6912="","",H6912/1000000000)</x:f>
        <x:v>0.568</x:v>
      </x:c>
      <x:c r="R6912" s="13" t="n">
        <x:f>IF(I6912="","",I6912/1000000)</x:f>
        <x:v>5.40952380952381</x:v>
      </x:c>
    </x:row>
    <x:row r="6913" ht="21" customHeight="1">
      <x:c r="A6913" s="10" t="n">
        <x:v>8897</x:v>
      </x:c>
      <x:c r="B6913" s="2" t="str">
        <x:v>a799d2cb9429a76a69b8</x:v>
      </x:c>
      <x:c r="C6913" s="2" t="str">
        <x:v>Bà Rịa - Vũng Tàu</x:v>
      </x:c>
      <x:c r="D6913" s="2" t="str">
        <x:v>Huyện Đất Đỏ</x:v>
      </x:c>
      <x:c r="E6913" s="2" t="str">
        <x:v>land</x:v>
      </x:c>
      <x:c r="F6913" s="2" t="str">
        <x:v>sale_assumed</x:v>
      </x:c>
      <x:c r="G6913" s="11" t="n">
        <x:v>500</x:v>
      </x:c>
      <x:c r="H6913" s="12" t="n">
        <x:v>95000000</x:v>
      </x:c>
      <x:c r="I6913" s="12" t="n">
        <x:v>190000</x:v>
      </x:c>
      <x:c r="J6913" s="2" t="str">
        <x:v>total</x:v>
      </x:c>
      <x:c r="K6913" s="2" t="str">
        <x:v>top_level_area</x:v>
      </x:c>
      <x:c r="L6913" s="2" t="str">
        <x:v>property_type_inferred_from_title;transaction_assumed_sale_from_dataset_context</x:v>
      </x:c>
      <x:c r="M6913" s="10" t="n">
        <x:v>0</x:v>
      </x:c>
      <x:c r="N6913" s="10" t="n">
        <x:v>0</x:v>
      </x:c>
      <x:c r="O6913" s="2" t="str">
        <x:v>Bà Rịa - Vũng Tàu|land</x:v>
      </x:c>
      <x:c r="P6913" s="10" t="n">
        <x:v>1</x:v>
      </x:c>
      <x:c r="Q6913" s="13" t="n">
        <x:f>IF(H6913="","",H6913/1000000000)</x:f>
        <x:v>0.095</x:v>
      </x:c>
      <x:c r="R6913" s="13" t="n">
        <x:f>IF(I6913="","",I6913/1000000)</x:f>
        <x:v>0.19</x:v>
      </x:c>
    </x:row>
    <x:row r="6914" ht="21" customHeight="1">
      <x:c r="A6914" s="10" t="n">
        <x:v>8898</x:v>
      </x:c>
      <x:c r="B6914" s="2" t="str">
        <x:v>324a808ba7045939ca41</x:v>
      </x:c>
      <x:c r="C6914" s="2" t="str">
        <x:v>Tp Hồ Chí Minh</x:v>
      </x:c>
      <x:c r="D6914" s="2" t="str">
        <x:v>Quận Bình Tân</x:v>
      </x:c>
      <x:c r="E6914" s="2" t="str">
        <x:v>house</x:v>
      </x:c>
      <x:c r="F6914" s="2" t="str">
        <x:v>sale</x:v>
      </x:c>
      <x:c r="G6914" s="11" t="n">
        <x:v>52</x:v>
      </x:c>
      <x:c r="H6914" s="12" t="n">
        <x:v>4300000000</x:v>
      </x:c>
      <x:c r="I6914" s="12" t="n">
        <x:v>82692307.6923077</x:v>
      </x:c>
      <x:c r="J6914" s="2" t="str">
        <x:v>total</x:v>
      </x:c>
      <x:c r="K6914" s="2" t="str">
        <x:v>top_level_area</x:v>
      </x:c>
      <x:c r="L6914" s="2" t="str">
        <x:v>property_type_inferred_from_title</x:v>
      </x:c>
      <x:c r="M6914" s="10" t="n">
        <x:v>0</x:v>
      </x:c>
      <x:c r="N6914" s="10" t="n">
        <x:v>0</x:v>
      </x:c>
      <x:c r="O6914" s="2" t="str">
        <x:v>Tp Hồ Chí Minh|house</x:v>
      </x:c>
      <x:c r="P6914" s="10" t="n">
        <x:v>2</x:v>
      </x:c>
      <x:c r="Q6914" s="13" t="n">
        <x:f>IF(H6914="","",H6914/1000000000)</x:f>
        <x:v>4.3</x:v>
      </x:c>
      <x:c r="R6914" s="13" t="n">
        <x:f>IF(I6914="","",I6914/1000000)</x:f>
        <x:v>82.6923076923077</x:v>
      </x:c>
    </x:row>
    <x:row r="6915" ht="21" customHeight="1">
      <x:c r="A6915" s="10" t="n">
        <x:v>8899</x:v>
      </x:c>
      <x:c r="B6915" s="2" t="str">
        <x:v>5c24d3d9845fe49d59e1</x:v>
      </x:c>
      <x:c r="C6915" s="2" t="str">
        <x:v>Vĩnh Phúc</x:v>
      </x:c>
      <x:c r="D6915" s="2" t="str">
        <x:v>Huyện Tam Đảo</x:v>
      </x:c>
      <x:c r="E6915" s="2" t="str">
        <x:v>land</x:v>
      </x:c>
      <x:c r="F6915" s="2" t="str">
        <x:v>sale</x:v>
      </x:c>
      <x:c r="G6915" s="11" t="n">
        <x:v>161</x:v>
      </x:c>
      <x:c r="H6915" s="12" t="n">
        <x:v>425000000</x:v>
      </x:c>
      <x:c r="I6915" s="12" t="n">
        <x:v>2639751.552795031</x:v>
      </x:c>
      <x:c r="J6915" s="2" t="str">
        <x:v>total</x:v>
      </x:c>
      <x:c r="K6915" s="2" t="str">
        <x:v>top_level_area</x:v>
      </x:c>
      <x:c r="L6915" s="2" t="str">
        <x:v>property_type_inferred_from_title</x:v>
      </x:c>
      <x:c r="M6915" s="10" t="n">
        <x:v>0</x:v>
      </x:c>
      <x:c r="N6915" s="10" t="n">
        <x:v>0</x:v>
      </x:c>
      <x:c r="O6915" s="2" t="str">
        <x:v>land</x:v>
      </x:c>
      <x:c r="P6915" s="10" t="n">
        <x:v>1</x:v>
      </x:c>
      <x:c r="Q6915" s="13" t="n">
        <x:f>IF(H6915="","",H6915/1000000000)</x:f>
        <x:v>0.425</x:v>
      </x:c>
      <x:c r="R6915" s="13" t="n">
        <x:f>IF(I6915="","",I6915/1000000)</x:f>
        <x:v>2.639751552795031</x:v>
      </x:c>
    </x:row>
    <x:row r="6916" ht="21" customHeight="1">
      <x:c r="A6916" s="10" t="n">
        <x:v>8900</x:v>
      </x:c>
      <x:c r="B6916" s="2" t="str">
        <x:v>f425644fa75488860bf6</x:v>
      </x:c>
      <x:c r="C6916" s="2" t="str">
        <x:v>Hà Nội</x:v>
      </x:c>
      <x:c r="D6916" s="2" t="str">
        <x:v>Quận Ba Đình</x:v>
      </x:c>
      <x:c r="E6916" s="2" t="str">
        <x:v>house</x:v>
      </x:c>
      <x:c r="F6916" s="2" t="str">
        <x:v>sale_assumed</x:v>
      </x:c>
      <x:c r="G6916" s="11" t="n">
        <x:v>26</x:v>
      </x:c>
      <x:c r="H6916" s="12" t="n">
        <x:v>3400000000</x:v>
      </x:c>
      <x:c r="I6916" s="12" t="n">
        <x:v>130769230.76923077</x:v>
      </x:c>
      <x:c r="J6916" s="2" t="str">
        <x:v>total</x:v>
      </x:c>
      <x:c r="K6916" s="2" t="str">
        <x:v>top_level_area</x:v>
      </x:c>
      <x:c r="L6916" s="2" t="str">
        <x:v>property_type_inferred_from_title;transaction_assumed_sale_from_dataset_context</x:v>
      </x:c>
      <x:c r="M6916" s="10" t="n">
        <x:v>0</x:v>
      </x:c>
      <x:c r="N6916" s="10" t="n">
        <x:v>0</x:v>
      </x:c>
      <x:c r="O6916" s="2" t="str">
        <x:v>Hà Nội|house</x:v>
      </x:c>
      <x:c r="P6916" s="10" t="n">
        <x:v>2</x:v>
      </x:c>
      <x:c r="Q6916" s="13" t="n">
        <x:f>IF(H6916="","",H6916/1000000000)</x:f>
        <x:v>3.4</x:v>
      </x:c>
      <x:c r="R6916" s="13" t="n">
        <x:f>IF(I6916="","",I6916/1000000)</x:f>
        <x:v>130.76923076923077</x:v>
      </x:c>
    </x:row>
    <x:row r="6917" ht="21" customHeight="1">
      <x:c r="A6917" s="10" t="n">
        <x:v>8901</x:v>
      </x:c>
      <x:c r="B6917" s="2" t="str">
        <x:v>40c6266f256d8b878386</x:v>
      </x:c>
      <x:c r="C6917" s="2" t="str">
        <x:v>Cần Thơ</x:v>
      </x:c>
      <x:c r="D6917" s="2" t="str">
        <x:v>Quận Bình Thuỷ</x:v>
      </x:c>
      <x:c r="E6917" s="2" t="str">
        <x:v>land</x:v>
      </x:c>
      <x:c r="F6917" s="2" t="str">
        <x:v>sale_assumed</x:v>
      </x:c>
      <x:c r="G6917" s="11" t="n">
        <x:v>120</x:v>
      </x:c>
      <x:c r="H6917" s="12" t="n">
        <x:v>900000000</x:v>
      </x:c>
      <x:c r="I6917" s="12" t="n">
        <x:v>7500000</x:v>
      </x:c>
      <x:c r="J6917" s="2" t="str">
        <x:v>total</x:v>
      </x:c>
      <x:c r="K6917" s="2" t="str">
        <x:v>top_level_area</x:v>
      </x:c>
      <x:c r="L6917" s="2" t="str">
        <x:v>property_type_inferred_from_title;transaction_assumed_sale_from_dataset_context</x:v>
      </x:c>
      <x:c r="M6917" s="10" t="n">
        <x:v>0</x:v>
      </x:c>
      <x:c r="N6917" s="10" t="n">
        <x:v>0</x:v>
      </x:c>
      <x:c r="O6917" s="2" t="str">
        <x:v>Cần Thơ|land</x:v>
      </x:c>
      <x:c r="P6917" s="10" t="n">
        <x:v>2</x:v>
      </x:c>
      <x:c r="Q6917" s="13" t="n">
        <x:f>IF(H6917="","",H6917/1000000000)</x:f>
        <x:v>0.9</x:v>
      </x:c>
      <x:c r="R6917" s="13" t="n">
        <x:f>IF(I6917="","",I6917/1000000)</x:f>
        <x:v>7.5</x:v>
      </x:c>
    </x:row>
    <x:row r="6918" ht="21" customHeight="1">
      <x:c r="A6918" s="10" t="n">
        <x:v>8902</x:v>
      </x:c>
      <x:c r="B6918" s="2" t="str">
        <x:v>59a8b3da5addb85e53ed</x:v>
      </x:c>
      <x:c r="C6918" s="2" t="str">
        <x:v>Tp Hồ Chí Minh</x:v>
      </x:c>
      <x:c r="D6918" s="2" t="str">
        <x:v>Huyện Bình Chánh</x:v>
      </x:c>
      <x:c r="E6918" s="2" t="str">
        <x:v>house</x:v>
      </x:c>
      <x:c r="F6918" s="2" t="str">
        <x:v>sale_assumed</x:v>
      </x:c>
      <x:c r="G6918" s="11" t="n">
        <x:v>20</x:v>
      </x:c>
      <x:c r="H6918" s="12" t="n">
        <x:v>550000000</x:v>
      </x:c>
      <x:c r="I6918" s="12" t="n">
        <x:v>27500000</x:v>
      </x:c>
      <x:c r="J6918" s="2" t="str">
        <x:v>total</x:v>
      </x:c>
      <x:c r="K6918" s="2" t="str">
        <x:v>top_level_area</x:v>
      </x:c>
      <x:c r="L6918" s="2" t="str">
        <x:v>property_type_inferred_from_title;transaction_assumed_sale_from_dataset_context</x:v>
      </x:c>
      <x:c r="M6918" s="10" t="n">
        <x:v>0</x:v>
      </x:c>
      <x:c r="N6918" s="10" t="n">
        <x:v>0</x:v>
      </x:c>
      <x:c r="O6918" s="2" t="str">
        <x:v>Tp Hồ Chí Minh|house</x:v>
      </x:c>
      <x:c r="P6918" s="10" t="n">
        <x:v>2</x:v>
      </x:c>
      <x:c r="Q6918" s="13" t="n">
        <x:f>IF(H6918="","",H6918/1000000000)</x:f>
        <x:v>0.55</x:v>
      </x:c>
      <x:c r="R6918" s="13" t="n">
        <x:f>IF(I6918="","",I6918/1000000)</x:f>
        <x:v>27.5</x:v>
      </x:c>
    </x:row>
    <x:row r="6919" ht="21" customHeight="1">
      <x:c r="A6919" s="10" t="n">
        <x:v>8903</x:v>
      </x:c>
      <x:c r="B6919" s="2" t="str">
        <x:v>6328d2df4a0369f97726</x:v>
      </x:c>
      <x:c r="C6919" s="2" t="str">
        <x:v>Tp Hồ Chí Minh</x:v>
      </x:c>
      <x:c r="D6919" s="2" t="str">
        <x:v>Quận Gò Vấp</x:v>
      </x:c>
      <x:c r="E6919" s="2" t="str">
        <x:v>land</x:v>
      </x:c>
      <x:c r="F6919" s="2" t="str">
        <x:v>sale_assumed</x:v>
      </x:c>
      <x:c r="G6919" s="11" t="n">
        <x:v>80</x:v>
      </x:c>
      <x:c r="H6919" s="12" t="n">
        <x:v>7490000000</x:v>
      </x:c>
      <x:c r="I6919" s="12" t="n">
        <x:v>93625000</x:v>
      </x:c>
      <x:c r="J6919" s="2" t="str">
        <x:v>total</x:v>
      </x:c>
      <x:c r="K6919" s="2" t="str">
        <x:v>top_level_area</x:v>
      </x:c>
      <x:c r="L6919" s="2" t="str">
        <x:v>property_type_inferred_from_title;transaction_assumed_sale_from_dataset_context</x:v>
      </x:c>
      <x:c r="M6919" s="10" t="n">
        <x:v>0</x:v>
      </x:c>
      <x:c r="N6919" s="10" t="n">
        <x:v>0</x:v>
      </x:c>
      <x:c r="O6919" s="2" t="str">
        <x:v>Tp Hồ Chí Minh|land</x:v>
      </x:c>
      <x:c r="P6919" s="10" t="n">
        <x:v>2</x:v>
      </x:c>
      <x:c r="Q6919" s="13" t="n">
        <x:f>IF(H6919="","",H6919/1000000000)</x:f>
        <x:v>7.49</x:v>
      </x:c>
      <x:c r="R6919" s="13" t="n">
        <x:f>IF(I6919="","",I6919/1000000)</x:f>
        <x:v>93.625</x:v>
      </x:c>
    </x:row>
    <x:row r="6920" ht="21" customHeight="1">
      <x:c r="A6920" s="10" t="n">
        <x:v>8904</x:v>
      </x:c>
      <x:c r="B6920" s="2" t="str">
        <x:v>1b9503ccb95d11a2c627</x:v>
      </x:c>
      <x:c r="C6920" s="2" t="str">
        <x:v>Lâm Đồng</x:v>
      </x:c>
      <x:c r="D6920" s="2" t="str">
        <x:v>Thành phố Bảo Lộc</x:v>
      </x:c>
      <x:c r="E6920" s="2" t="str">
        <x:v>land</x:v>
      </x:c>
      <x:c r="F6920" s="2" t="str">
        <x:v>sale_assumed</x:v>
      </x:c>
      <x:c r="G6920" s="11" t="n">
        <x:v>200</x:v>
      </x:c>
      <x:c r="H6920" s="12" t="n">
        <x:v>300000000</x:v>
      </x:c>
      <x:c r="I6920" s="12" t="n">
        <x:v>1500000</x:v>
      </x:c>
      <x:c r="J6920" s="2" t="str">
        <x:v>total</x:v>
      </x:c>
      <x:c r="K6920" s="2" t="str">
        <x:v>top_level_area</x:v>
      </x:c>
      <x:c r="L6920" s="2" t="str">
        <x:v>property_type_inferred_from_title;transaction_assumed_sale_from_dataset_context</x:v>
      </x:c>
      <x:c r="M6920" s="10" t="n">
        <x:v>0</x:v>
      </x:c>
      <x:c r="N6920" s="10" t="n">
        <x:v>0</x:v>
      </x:c>
      <x:c r="O6920" s="2" t="str">
        <x:v>Lâm Đồng|land</x:v>
      </x:c>
      <x:c r="P6920" s="10" t="n">
        <x:v>1</x:v>
      </x:c>
      <x:c r="Q6920" s="13" t="n">
        <x:f>IF(H6920="","",H6920/1000000000)</x:f>
        <x:v>0.3</x:v>
      </x:c>
      <x:c r="R6920" s="13" t="n">
        <x:f>IF(I6920="","",I6920/1000000)</x:f>
        <x:v>1.5</x:v>
      </x:c>
    </x:row>
    <x:row r="6921" ht="21" customHeight="1">
      <x:c r="A6921" s="10" t="n">
        <x:v>8905</x:v>
      </x:c>
      <x:c r="B6921" s="2" t="str">
        <x:v>71f04f7e50b4b1c63557</x:v>
      </x:c>
      <x:c r="C6921" s="2" t="str">
        <x:v>Tp Hồ Chí Minh</x:v>
      </x:c>
      <x:c r="D6921" s="2" t="str">
        <x:v>Quận Bình Tân</x:v>
      </x:c>
      <x:c r="E6921" s="2" t="str">
        <x:v>apartment</x:v>
      </x:c>
      <x:c r="F6921" s="2" t="str">
        <x:v>sale_assumed</x:v>
      </x:c>
      <x:c r="G6921" s="11" t="n">
        <x:v>53</x:v>
      </x:c>
      <x:c r="H6921" s="12" t="n">
        <x:v>800000000</x:v>
      </x:c>
      <x:c r="I6921" s="12" t="n">
        <x:v>15094339.62264151</x:v>
      </x:c>
      <x:c r="J6921" s="2" t="str">
        <x:v>total</x:v>
      </x:c>
      <x:c r="K6921" s="2" t="str">
        <x:v>top_level_area</x:v>
      </x:c>
      <x:c r="L6921" s="2" t="str">
        <x:v>property_type_inferred_from_title;transaction_assumed_sale_from_dataset_context</x:v>
      </x:c>
      <x:c r="M6921" s="10" t="n">
        <x:v>0</x:v>
      </x:c>
      <x:c r="N6921" s="10" t="n">
        <x:v>0</x:v>
      </x:c>
      <x:c r="O6921" s="2" t="str">
        <x:v>Tp Hồ Chí Minh|apartment</x:v>
      </x:c>
      <x:c r="P6921" s="10" t="n">
        <x:v>2</x:v>
      </x:c>
      <x:c r="Q6921" s="13" t="n">
        <x:f>IF(H6921="","",H6921/1000000000)</x:f>
        <x:v>0.8</x:v>
      </x:c>
      <x:c r="R6921" s="13" t="n">
        <x:f>IF(I6921="","",I6921/1000000)</x:f>
        <x:v>15.09433962264151</x:v>
      </x:c>
    </x:row>
    <x:row r="6922" ht="21" customHeight="1">
      <x:c r="A6922" s="10" t="n">
        <x:v>8906</x:v>
      </x:c>
      <x:c r="B6922" s="2" t="str">
        <x:v>78ace534504f481e40f8</x:v>
      </x:c>
      <x:c r="C6922" s="2" t="str">
        <x:v>Tp Hồ Chí Minh</x:v>
      </x:c>
      <x:c r="D6922" s="2" t="str">
        <x:v>Quận Gò Vấp</x:v>
      </x:c>
      <x:c r="E6922" s="2" t="str">
        <x:v>house</x:v>
      </x:c>
      <x:c r="F6922" s="2" t="str">
        <x:v>sale_assumed</x:v>
      </x:c>
      <x:c r="G6922" s="11" t="n">
        <x:v>23</x:v>
      </x:c>
      <x:c r="H6922" s="12" t="n">
        <x:v>2620000000</x:v>
      </x:c>
      <x:c r="I6922" s="12" t="n">
        <x:v>113913043.47826087</x:v>
      </x:c>
      <x:c r="J6922" s="2" t="str">
        <x:v>total</x:v>
      </x:c>
      <x:c r="K6922" s="2" t="str">
        <x:v>top_level_area</x:v>
      </x:c>
      <x:c r="L6922" s="2" t="str">
        <x:v>property_type_inferred_from_title;transaction_assumed_sale_from_dataset_context</x:v>
      </x:c>
      <x:c r="M6922" s="10" t="n">
        <x:v>0</x:v>
      </x:c>
      <x:c r="N6922" s="10" t="n">
        <x:v>0</x:v>
      </x:c>
      <x:c r="O6922" s="2" t="str">
        <x:v>Tp Hồ Chí Minh|house</x:v>
      </x:c>
      <x:c r="P6922" s="10" t="n">
        <x:v>2</x:v>
      </x:c>
      <x:c r="Q6922" s="13" t="n">
        <x:f>IF(H6922="","",H6922/1000000000)</x:f>
        <x:v>2.62</x:v>
      </x:c>
      <x:c r="R6922" s="13" t="n">
        <x:f>IF(I6922="","",I6922/1000000)</x:f>
        <x:v>113.91304347826087</x:v>
      </x:c>
    </x:row>
    <x:row r="6923" ht="21" customHeight="1">
      <x:c r="A6923" s="10" t="n">
        <x:v>8907</x:v>
      </x:c>
      <x:c r="B6923" s="2" t="str">
        <x:v>bc95e1fd8aa3ecbb8c60</x:v>
      </x:c>
      <x:c r="C6923" s="2" t="str">
        <x:v>Tp Hồ Chí Minh</x:v>
      </x:c>
      <x:c r="D6923" s="2" t="str">
        <x:v>Quận 1</x:v>
      </x:c>
      <x:c r="E6923" s="2" t="str">
        <x:v>house</x:v>
      </x:c>
      <x:c r="F6923" s="2" t="str">
        <x:v>sale</x:v>
      </x:c>
      <x:c r="G6923" s="11" t="n">
        <x:v>84</x:v>
      </x:c>
      <x:c r="H6923" s="12" t="n">
        <x:v>14500000000</x:v>
      </x:c>
      <x:c r="I6923" s="12" t="n">
        <x:v>172619047.6190476</x:v>
      </x:c>
      <x:c r="J6923" s="2" t="str">
        <x:v>total</x:v>
      </x:c>
      <x:c r="K6923" s="2" t="str">
        <x:v>top_level_area</x:v>
      </x:c>
      <x:c r="L6923" s="2" t="str">
        <x:v>property_type_inferred_from_title</x:v>
      </x:c>
      <x:c r="M6923" s="10" t="n">
        <x:v>1</x:v>
      </x:c>
      <x:c r="N6923" s="10" t="n">
        <x:v>0</x:v>
      </x:c>
      <x:c r="O6923" s="2" t="str">
        <x:v>Tp Hồ Chí Minh|house</x:v>
      </x:c>
      <x:c r="P6923" s="10" t="n">
        <x:v>2</x:v>
      </x:c>
      <x:c r="Q6923" s="13" t="n">
        <x:f>IF(H6923="","",H6923/1000000000)</x:f>
        <x:v>14.5</x:v>
      </x:c>
      <x:c r="R6923" s="13" t="n">
        <x:f>IF(I6923="","",I6923/1000000)</x:f>
        <x:v>172.61904761904762</x:v>
      </x:c>
    </x:row>
    <x:row r="6924" ht="21" customHeight="1">
      <x:c r="A6924" s="10" t="n">
        <x:v>8908</x:v>
      </x:c>
      <x:c r="B6924" s="2" t="str">
        <x:v>62d2a2cec67651d5c999</x:v>
      </x:c>
      <x:c r="C6924" s="2" t="str">
        <x:v>Ninh Thuận</x:v>
      </x:c>
      <x:c r="D6924" s="2" t="str">
        <x:v>Thành phố Phan Rang-Tháp Chàm</x:v>
      </x:c>
      <x:c r="E6924" s="2" t="str">
        <x:v>other_unknown</x:v>
      </x:c>
      <x:c r="F6924" s="2" t="str">
        <x:v>sale_assumed</x:v>
      </x:c>
      <x:c r="G6924" s="11" t="n">
        <x:v>117</x:v>
      </x:c>
      <x:c r="H6924" s="12" t="n">
        <x:v>880000000</x:v>
      </x:c>
      <x:c r="I6924" s="12" t="n">
        <x:v>7521367.521367521</x:v>
      </x:c>
      <x:c r="J6924" s="2" t="str">
        <x:v>total</x:v>
      </x:c>
      <x:c r="K6924" s="2" t="str">
        <x:v>top_level_area</x:v>
      </x:c>
      <x:c r="L6924" s="2" t="str">
        <x:v>property_type_inferred_from_title;transaction_assumed_sale_from_dataset_context;unknown_property_type</x:v>
      </x:c>
      <x:c r="M6924" s="10" t="n">
        <x:v>0</x:v>
      </x:c>
      <x:c r="N6924" s="10" t="n">
        <x:v>0</x:v>
      </x:c>
      <x:c r="O6924" s="2" t="str">
        <x:v>other_unknown</x:v>
      </x:c>
      <x:c r="P6924" s="10" t="n">
        <x:v>2</x:v>
      </x:c>
      <x:c r="Q6924" s="13" t="n">
        <x:f>IF(H6924="","",H6924/1000000000)</x:f>
        <x:v>0.88</x:v>
      </x:c>
      <x:c r="R6924" s="13" t="n">
        <x:f>IF(I6924="","",I6924/1000000)</x:f>
        <x:v>7.521367521367521</x:v>
      </x:c>
    </x:row>
    <x:row r="6925" ht="21" customHeight="1">
      <x:c r="A6925" s="10" t="n">
        <x:v>8909</x:v>
      </x:c>
      <x:c r="B6925" s="2" t="str">
        <x:v>357611f922b948c1e95d</x:v>
      </x:c>
      <x:c r="C6925" s="2" t="str">
        <x:v>Đà Nẵng</x:v>
      </x:c>
      <x:c r="D6925" s="2" t="str">
        <x:v>Quận Liên Chiểu</x:v>
      </x:c>
      <x:c r="E6925" s="2" t="str">
        <x:v>house</x:v>
      </x:c>
      <x:c r="F6925" s="2" t="str">
        <x:v>sale</x:v>
      </x:c>
      <x:c r="G6925" s="11" t="n">
        <x:v>67</x:v>
      </x:c>
      <x:c r="H6925" s="12" t="n">
        <x:v>3150000000</x:v>
      </x:c>
      <x:c r="I6925" s="12" t="n">
        <x:v>47014925.37313433</x:v>
      </x:c>
      <x:c r="J6925" s="2" t="str">
        <x:v>total</x:v>
      </x:c>
      <x:c r="K6925" s="2" t="str">
        <x:v>top_level_price_embedded_area</x:v>
      </x:c>
      <x:c r="L6925" s="2" t="str">
        <x:v>area_recovered_from_price_text;property_type_inferred_from_title</x:v>
      </x:c>
      <x:c r="M6925" s="10" t="n">
        <x:v>0</x:v>
      </x:c>
      <x:c r="N6925" s="10" t="n">
        <x:v>0</x:v>
      </x:c>
      <x:c r="O6925" s="2" t="str">
        <x:v>Đà Nẵng|house</x:v>
      </x:c>
      <x:c r="P6925" s="10" t="n">
        <x:v>2</x:v>
      </x:c>
      <x:c r="Q6925" s="13" t="n">
        <x:f>IF(H6925="","",H6925/1000000000)</x:f>
        <x:v>3.15</x:v>
      </x:c>
      <x:c r="R6925" s="13" t="n">
        <x:f>IF(I6925="","",I6925/1000000)</x:f>
        <x:v>47.01492537313433</x:v>
      </x:c>
    </x:row>
    <x:row r="6926" ht="21" customHeight="1">
      <x:c r="A6926" s="10" t="n">
        <x:v>8910</x:v>
      </x:c>
      <x:c r="B6926" s="2" t="str">
        <x:v>f3bbe050da98e225d728</x:v>
      </x:c>
      <x:c r="C6926" s="2" t="str">
        <x:v>Tp Hồ Chí Minh</x:v>
      </x:c>
      <x:c r="D6926" s="2" t="str">
        <x:v>Huyện Bình Chánh</x:v>
      </x:c>
      <x:c r="E6926" s="2" t="str">
        <x:v>house</x:v>
      </x:c>
      <x:c r="F6926" s="2" t="str">
        <x:v>sale</x:v>
      </x:c>
      <x:c r="G6926" s="11" t="n">
        <x:v>100</x:v>
      </x:c>
      <x:c r="H6926" s="12" t="n">
        <x:v>950000000</x:v>
      </x:c>
      <x:c r="I6926" s="12" t="n">
        <x:v>9500000</x:v>
      </x:c>
      <x:c r="J6926" s="2" t="str">
        <x:v>total</x:v>
      </x:c>
      <x:c r="K6926" s="2" t="str">
        <x:v>top_level_area</x:v>
      </x:c>
      <x:c r="L6926" s="2" t="str">
        <x:v>property_type_inferred_from_title</x:v>
      </x:c>
      <x:c r="M6926" s="10" t="n">
        <x:v>0</x:v>
      </x:c>
      <x:c r="N6926" s="10" t="n">
        <x:v>0</x:v>
      </x:c>
      <x:c r="O6926" s="2" t="str">
        <x:v>Tp Hồ Chí Minh|house</x:v>
      </x:c>
      <x:c r="P6926" s="10" t="n">
        <x:v>2</x:v>
      </x:c>
      <x:c r="Q6926" s="13" t="n">
        <x:f>IF(H6926="","",H6926/1000000000)</x:f>
        <x:v>0.95</x:v>
      </x:c>
      <x:c r="R6926" s="13" t="n">
        <x:f>IF(I6926="","",I6926/1000000)</x:f>
        <x:v>9.5</x:v>
      </x:c>
    </x:row>
    <x:row r="6927" ht="21" customHeight="1">
      <x:c r="A6927" s="10" t="n">
        <x:v>8911</x:v>
      </x:c>
      <x:c r="B6927" s="2" t="str">
        <x:v>46936b219d405707f507</x:v>
      </x:c>
      <x:c r="C6927" s="2" t="str">
        <x:v>Hà Nội</x:v>
      </x:c>
      <x:c r="D6927" s="2" t="str">
        <x:v>Huyện Đan Phượng</x:v>
      </x:c>
      <x:c r="E6927" s="2" t="str">
        <x:v>house</x:v>
      </x:c>
      <x:c r="F6927" s="2" t="str">
        <x:v>sale</x:v>
      </x:c>
      <x:c r="G6927" s="11" t="n">
        <x:v>400</x:v>
      </x:c>
      <x:c r="H6927" s="12" t="n">
        <x:v>8400000000</x:v>
      </x:c>
      <x:c r="I6927" s="12" t="n">
        <x:v>21000000</x:v>
      </x:c>
      <x:c r="J6927" s="2" t="str">
        <x:v>total</x:v>
      </x:c>
      <x:c r="K6927" s="2" t="str">
        <x:v>top_level_area</x:v>
      </x:c>
      <x:c r="L6927" s="2" t="str">
        <x:v>property_type_inferred_from_title</x:v>
      </x:c>
      <x:c r="M6927" s="10" t="n">
        <x:v>0</x:v>
      </x:c>
      <x:c r="N6927" s="10" t="n">
        <x:v>0</x:v>
      </x:c>
      <x:c r="O6927" s="2" t="str">
        <x:v>Hà Nội|house</x:v>
      </x:c>
      <x:c r="P6927" s="10" t="n">
        <x:v>2</x:v>
      </x:c>
      <x:c r="Q6927" s="13" t="n">
        <x:f>IF(H6927="","",H6927/1000000000)</x:f>
        <x:v>8.4</x:v>
      </x:c>
      <x:c r="R6927" s="13" t="n">
        <x:f>IF(I6927="","",I6927/1000000)</x:f>
        <x:v>21</x:v>
      </x:c>
    </x:row>
    <x:row r="6928" ht="21" customHeight="1">
      <x:c r="A6928" s="10" t="n">
        <x:v>8912</x:v>
      </x:c>
      <x:c r="B6928" s="2" t="str">
        <x:v>a27746a2fbc65c71737d</x:v>
      </x:c>
      <x:c r="C6928" s="2" t="str">
        <x:v>An Giang</x:v>
      </x:c>
      <x:c r="D6928" s="2" t="str">
        <x:v>Thành phố Long Xuyên</x:v>
      </x:c>
      <x:c r="E6928" s="2" t="str">
        <x:v>land</x:v>
      </x:c>
      <x:c r="F6928" s="2" t="str">
        <x:v>sale</x:v>
      </x:c>
      <x:c r="G6928" s="11" t="n">
        <x:v>4800</x:v>
      </x:c>
      <x:c r="H6928" s="12" t="n">
        <x:v>2400000000</x:v>
      </x:c>
      <x:c r="I6928" s="12" t="n">
        <x:v>500000</x:v>
      </x:c>
      <x:c r="J6928" s="2" t="str">
        <x:v>total</x:v>
      </x:c>
      <x:c r="K6928" s="2" t="str">
        <x:v>top_level_area</x:v>
      </x:c>
      <x:c r="L6928" s="2" t="str">
        <x:v>dot_thousands_convention;property_type_inferred_from_title</x:v>
      </x:c>
      <x:c r="M6928" s="10" t="n">
        <x:v>0</x:v>
      </x:c>
      <x:c r="N6928" s="10" t="n">
        <x:v>0</x:v>
      </x:c>
      <x:c r="O6928" s="2" t="str">
        <x:v>land</x:v>
      </x:c>
      <x:c r="P6928" s="10" t="n">
        <x:v>1</x:v>
      </x:c>
      <x:c r="Q6928" s="13" t="n">
        <x:f>IF(H6928="","",H6928/1000000000)</x:f>
        <x:v>2.4</x:v>
      </x:c>
      <x:c r="R6928" s="13" t="n">
        <x:f>IF(I6928="","",I6928/1000000)</x:f>
        <x:v>0.5</x:v>
      </x:c>
    </x:row>
    <x:row r="6929" ht="21" customHeight="1">
      <x:c r="A6929" s="10" t="n">
        <x:v>8913</x:v>
      </x:c>
      <x:c r="B6929" s="2" t="str">
        <x:v>c2cb71b4cc19e941a672</x:v>
      </x:c>
      <x:c r="C6929" s="2" t="str">
        <x:v>Đà Nẵng</x:v>
      </x:c>
      <x:c r="D6929" s="2" t="str">
        <x:v>Quận Liên Chiểu</x:v>
      </x:c>
      <x:c r="E6929" s="2" t="str">
        <x:v>house</x:v>
      </x:c>
      <x:c r="F6929" s="2" t="str">
        <x:v>sale</x:v>
      </x:c>
      <x:c r="G6929" s="11" t="n">
        <x:v>100</x:v>
      </x:c>
      <x:c r="H6929" s="12" t="n">
        <x:v>7300000000</x:v>
      </x:c>
      <x:c r="I6929" s="12" t="n">
        <x:v>73000000</x:v>
      </x:c>
      <x:c r="J6929" s="2" t="str">
        <x:v>total</x:v>
      </x:c>
      <x:c r="K6929" s="2" t="str">
        <x:v>top_level_area</x:v>
      </x:c>
      <x:c r="L6929" s="2" t="str">
        <x:v>property_type_inferred_from_title</x:v>
      </x:c>
      <x:c r="M6929" s="10" t="n">
        <x:v>0</x:v>
      </x:c>
      <x:c r="N6929" s="10" t="n">
        <x:v>0</x:v>
      </x:c>
      <x:c r="O6929" s="2" t="str">
        <x:v>Đà Nẵng|house</x:v>
      </x:c>
      <x:c r="P6929" s="10" t="n">
        <x:v>2</x:v>
      </x:c>
      <x:c r="Q6929" s="13" t="n">
        <x:f>IF(H6929="","",H6929/1000000000)</x:f>
        <x:v>7.3</x:v>
      </x:c>
      <x:c r="R6929" s="13" t="n">
        <x:f>IF(I6929="","",I6929/1000000)</x:f>
        <x:v>73</x:v>
      </x:c>
    </x:row>
    <x:row r="6930" ht="21" customHeight="1">
      <x:c r="A6930" s="10" t="n">
        <x:v>8914</x:v>
      </x:c>
      <x:c r="B6930" s="2" t="str">
        <x:v>60290e94514ec560881e</x:v>
      </x:c>
      <x:c r="C6930" s="2" t="str">
        <x:v>Tp Hồ Chí Minh</x:v>
      </x:c>
      <x:c r="D6930" s="2" t="str">
        <x:v>Quận Bình Tân</x:v>
      </x:c>
      <x:c r="E6930" s="2" t="str">
        <x:v>house</x:v>
      </x:c>
      <x:c r="F6930" s="2" t="str">
        <x:v>sale</x:v>
      </x:c>
      <x:c r="G6930" s="11" t="n">
        <x:v>64</x:v>
      </x:c>
      <x:c r="H6930" s="12" t="n">
        <x:v>6500000000</x:v>
      </x:c>
      <x:c r="I6930" s="12" t="n">
        <x:v>101562500</x:v>
      </x:c>
      <x:c r="J6930" s="2" t="str">
        <x:v>total</x:v>
      </x:c>
      <x:c r="K6930" s="2" t="str">
        <x:v>top_level_area</x:v>
      </x:c>
      <x:c r="L6930" s="2" t="str">
        <x:v>property_type_inferred_from_title</x:v>
      </x:c>
      <x:c r="M6930" s="10" t="n">
        <x:v>0</x:v>
      </x:c>
      <x:c r="N6930" s="10" t="n">
        <x:v>0</x:v>
      </x:c>
      <x:c r="O6930" s="2" t="str">
        <x:v>Tp Hồ Chí Minh|house</x:v>
      </x:c>
      <x:c r="P6930" s="10" t="n">
        <x:v>2</x:v>
      </x:c>
      <x:c r="Q6930" s="13" t="n">
        <x:f>IF(H6930="","",H6930/1000000000)</x:f>
        <x:v>6.5</x:v>
      </x:c>
      <x:c r="R6930" s="13" t="n">
        <x:f>IF(I6930="","",I6930/1000000)</x:f>
        <x:v>101.5625</x:v>
      </x:c>
    </x:row>
    <x:row r="6931" ht="21" customHeight="1">
      <x:c r="A6931" s="10" t="n">
        <x:v>8915</x:v>
      </x:c>
      <x:c r="B6931" s="2" t="str">
        <x:v>b39cf8f5522f791ba074</x:v>
      </x:c>
      <x:c r="C6931" s="2" t="str">
        <x:v>Tp Hồ Chí Minh</x:v>
      </x:c>
      <x:c r="D6931" s="2" t="str">
        <x:v>Quận Phú Nhuận</x:v>
      </x:c>
      <x:c r="E6931" s="2" t="str">
        <x:v>other_unknown</x:v>
      </x:c>
      <x:c r="F6931" s="2" t="str">
        <x:v>sale_assumed</x:v>
      </x:c>
      <x:c r="G6931" s="11" t="n">
        <x:v>70.5</x:v>
      </x:c>
      <x:c r="H6931" s="12" t="n">
        <x:v>15700000000</x:v>
      </x:c>
      <x:c r="I6931" s="12" t="n">
        <x:v>222695035.4609929</x:v>
      </x:c>
      <x:c r="J6931" s="2" t="str">
        <x:v>total</x:v>
      </x:c>
      <x:c r="K6931" s="2" t="str">
        <x:v>top_level_price_embedded_area</x:v>
      </x:c>
      <x:c r="L6931" s="2" t="str">
        <x:v>area_recovered_from_price_text;property_type_inferred_from_title;transaction_assumed_sale_from_dataset_context;unknown_property_type</x:v>
      </x:c>
      <x:c r="M6931" s="10" t="n">
        <x:v>1</x:v>
      </x:c>
      <x:c r="N6931" s="10" t="n">
        <x:v>1</x:v>
      </x:c>
      <x:c r="O6931" s="2" t="str">
        <x:v>Tp Hồ Chí Minh|other_unknown</x:v>
      </x:c>
      <x:c r="P6931" s="10" t="n">
        <x:v>-1</x:v>
      </x:c>
      <x:c r="Q6931" s="13" t="n">
        <x:f>IF(H6931="","",H6931/1000000000)</x:f>
        <x:v>15.7</x:v>
      </x:c>
      <x:c r="R6931" s="13" t="n">
        <x:f>IF(I6931="","",I6931/1000000)</x:f>
        <x:v>222.6950354609929</x:v>
      </x:c>
    </x:row>
    <x:row r="6932" ht="21" customHeight="1">
      <x:c r="A6932" s="10" t="n">
        <x:v>8918</x:v>
      </x:c>
      <x:c r="B6932" s="2" t="str">
        <x:v>3b10aa5980dbaf8c62c8</x:v>
      </x:c>
      <x:c r="C6932" s="2" t="str">
        <x:v>Tp Hồ Chí Minh</x:v>
      </x:c>
      <x:c r="D6932" s="2" t="str">
        <x:v>Huyện Nhà Bè</x:v>
      </x:c>
      <x:c r="E6932" s="2" t="str">
        <x:v>house</x:v>
      </x:c>
      <x:c r="F6932" s="2" t="str">
        <x:v>sale</x:v>
      </x:c>
      <x:c r="G6932" s="11" t="n">
        <x:v>58</x:v>
      </x:c>
      <x:c r="H6932" s="12" t="n">
        <x:v>3650000000</x:v>
      </x:c>
      <x:c r="I6932" s="12" t="n">
        <x:v>62931034.48275862</x:v>
      </x:c>
      <x:c r="J6932" s="2" t="str">
        <x:v>total</x:v>
      </x:c>
      <x:c r="K6932" s="2" t="str">
        <x:v>top_level_area</x:v>
      </x:c>
      <x:c r="L6932" s="2" t="str">
        <x:v>property_type_inferred_from_title</x:v>
      </x:c>
      <x:c r="M6932" s="10" t="n">
        <x:v>0</x:v>
      </x:c>
      <x:c r="N6932" s="10" t="n">
        <x:v>0</x:v>
      </x:c>
      <x:c r="O6932" s="2" t="str">
        <x:v>Tp Hồ Chí Minh|house</x:v>
      </x:c>
      <x:c r="P6932" s="10" t="n">
        <x:v>2</x:v>
      </x:c>
      <x:c r="Q6932" s="13" t="n">
        <x:f>IF(H6932="","",H6932/1000000000)</x:f>
        <x:v>3.65</x:v>
      </x:c>
      <x:c r="R6932" s="13" t="n">
        <x:f>IF(I6932="","",I6932/1000000)</x:f>
        <x:v>62.93103448275862</x:v>
      </x:c>
    </x:row>
    <x:row r="6933" ht="21" customHeight="1">
      <x:c r="A6933" s="10" t="n">
        <x:v>8919</x:v>
      </x:c>
      <x:c r="B6933" s="2" t="str">
        <x:v>c5c32b381390abca82f3</x:v>
      </x:c>
      <x:c r="C6933" s="2" t="str">
        <x:v>Hà Nội</x:v>
      </x:c>
      <x:c r="D6933" s="2" t="str">
        <x:v>Quận Hà Đông</x:v>
      </x:c>
      <x:c r="E6933" s="2" t="str">
        <x:v>house</x:v>
      </x:c>
      <x:c r="F6933" s="2" t="str">
        <x:v>sale</x:v>
      </x:c>
      <x:c r="G6933" s="11" t="n">
        <x:v>36.7</x:v>
      </x:c>
      <x:c r="H6933" s="12" t="n">
        <x:v>1919999000</x:v>
      </x:c>
      <x:c r="I6933" s="12" t="n">
        <x:v>52316049.04632152</x:v>
      </x:c>
      <x:c r="J6933" s="2" t="str">
        <x:v>total</x:v>
      </x:c>
      <x:c r="K6933" s="2" t="str">
        <x:v>top_level_area</x:v>
      </x:c>
      <x:c r="L6933" s="2" t="str">
        <x:v>property_type_inferred_from_title</x:v>
      </x:c>
      <x:c r="M6933" s="10" t="n">
        <x:v>0</x:v>
      </x:c>
      <x:c r="N6933" s="10" t="n">
        <x:v>0</x:v>
      </x:c>
      <x:c r="O6933" s="2" t="str">
        <x:v>Hà Nội|house</x:v>
      </x:c>
      <x:c r="P6933" s="10" t="n">
        <x:v>2</x:v>
      </x:c>
      <x:c r="Q6933" s="13" t="n">
        <x:f>IF(H6933="","",H6933/1000000000)</x:f>
        <x:v>1.919999</x:v>
      </x:c>
      <x:c r="R6933" s="13" t="n">
        <x:f>IF(I6933="","",I6933/1000000)</x:f>
        <x:v>52.31604904632152</x:v>
      </x:c>
    </x:row>
    <x:row r="6934" ht="21" customHeight="1">
      <x:c r="A6934" s="10" t="n">
        <x:v>8920</x:v>
      </x:c>
      <x:c r="B6934" s="2" t="str">
        <x:v>9eb41f54cc06f5de61a6</x:v>
      </x:c>
      <x:c r="C6934" s="2" t="str">
        <x:v>Kiên Giang</x:v>
      </x:c>
      <x:c r="D6934" s="2" t="str">
        <x:v>Huyện Châu Thành</x:v>
      </x:c>
      <x:c r="E6934" s="2" t="str">
        <x:v>land</x:v>
      </x:c>
      <x:c r="F6934" s="2" t="str">
        <x:v>sale</x:v>
      </x:c>
      <x:c r="G6934" s="11" t="n">
        <x:v>851</x:v>
      </x:c>
      <x:c r="H6934" s="12" t="n">
        <x:v>2400000000</x:v>
      </x:c>
      <x:c r="I6934" s="12" t="n">
        <x:v>2820211.5158636896</x:v>
      </x:c>
      <x:c r="J6934" s="2" t="str">
        <x:v>total</x:v>
      </x:c>
      <x:c r="K6934" s="2" t="str">
        <x:v>top_level_area</x:v>
      </x:c>
      <x:c r="L6934" s="2" t="str">
        <x:v>property_type_inferred_from_title</x:v>
      </x:c>
      <x:c r="M6934" s="10" t="n">
        <x:v>0</x:v>
      </x:c>
      <x:c r="N6934" s="10" t="n">
        <x:v>0</x:v>
      </x:c>
      <x:c r="O6934" s="2" t="str">
        <x:v>land</x:v>
      </x:c>
      <x:c r="P6934" s="10" t="n">
        <x:v>1</x:v>
      </x:c>
      <x:c r="Q6934" s="13" t="n">
        <x:f>IF(H6934="","",H6934/1000000000)</x:f>
        <x:v>2.4</x:v>
      </x:c>
      <x:c r="R6934" s="13" t="n">
        <x:f>IF(I6934="","",I6934/1000000)</x:f>
        <x:v>2.8202115158636896</x:v>
      </x:c>
    </x:row>
    <x:row r="6935" ht="21" customHeight="1">
      <x:c r="A6935" s="10" t="n">
        <x:v>8921</x:v>
      </x:c>
      <x:c r="B6935" s="2" t="str">
        <x:v>279c002633a279eab4a2</x:v>
      </x:c>
      <x:c r="C6935" s="2" t="str">
        <x:v>Long An</x:v>
      </x:c>
      <x:c r="D6935" s="2" t="str">
        <x:v>Huyện Đức Hòa</x:v>
      </x:c>
      <x:c r="E6935" s="2" t="str">
        <x:v>other_unknown</x:v>
      </x:c>
      <x:c r="F6935" s="2" t="str">
        <x:v>sale_assumed</x:v>
      </x:c>
      <x:c r="G6935" s="11" t="n">
        <x:v>72</x:v>
      </x:c>
      <x:c r="H6935" s="12" t="n">
        <x:v>650000000</x:v>
      </x:c>
      <x:c r="I6935" s="12" t="n">
        <x:v>9027777.777777778</x:v>
      </x:c>
      <x:c r="J6935" s="2" t="str">
        <x:v>total</x:v>
      </x:c>
      <x:c r="K6935" s="2" t="str">
        <x:v>top_level_area</x:v>
      </x:c>
      <x:c r="L6935" s="2" t="str">
        <x:v>property_type_inferred_from_title;transaction_assumed_sale_from_dataset_context;unknown_property_type</x:v>
      </x:c>
      <x:c r="M6935" s="10" t="n">
        <x:v>0</x:v>
      </x:c>
      <x:c r="N6935" s="10" t="n">
        <x:v>0</x:v>
      </x:c>
      <x:c r="O6935" s="2" t="str">
        <x:v>Long An|other_unknown</x:v>
      </x:c>
      <x:c r="P6935" s="10" t="n">
        <x:v>2</x:v>
      </x:c>
      <x:c r="Q6935" s="13" t="n">
        <x:f>IF(H6935="","",H6935/1000000000)</x:f>
        <x:v>0.65</x:v>
      </x:c>
      <x:c r="R6935" s="13" t="n">
        <x:f>IF(I6935="","",I6935/1000000)</x:f>
        <x:v>9.027777777777779</x:v>
      </x:c>
    </x:row>
    <x:row r="6936" ht="21" customHeight="1">
      <x:c r="A6936" s="10" t="n">
        <x:v>8922</x:v>
      </x:c>
      <x:c r="B6936" s="2" t="str">
        <x:v>19d97607d4c404c258f6</x:v>
      </x:c>
      <x:c r="C6936" s="2" t="str">
        <x:v>Tp Hồ Chí Minh</x:v>
      </x:c>
      <x:c r="D6936" s="2" t="str">
        <x:v>Quận 12</x:v>
      </x:c>
      <x:c r="E6936" s="2" t="str">
        <x:v>house</x:v>
      </x:c>
      <x:c r="F6936" s="2" t="str">
        <x:v>sale_assumed</x:v>
      </x:c>
      <x:c r="G6936" s="11" t="n">
        <x:v>60</x:v>
      </x:c>
      <x:c r="H6936" s="12" t="n">
        <x:v>5200000000</x:v>
      </x:c>
      <x:c r="I6936" s="12" t="n">
        <x:v>86666666.66666667</x:v>
      </x:c>
      <x:c r="J6936" s="2" t="str">
        <x:v>total</x:v>
      </x:c>
      <x:c r="K6936" s="2" t="str">
        <x:v>top_level_area</x:v>
      </x:c>
      <x:c r="L6936" s="2" t="str">
        <x:v>property_type_inferred_from_title;transaction_assumed_sale_from_dataset_context</x:v>
      </x:c>
      <x:c r="M6936" s="10" t="n">
        <x:v>0</x:v>
      </x:c>
      <x:c r="N6936" s="10" t="n">
        <x:v>0</x:v>
      </x:c>
      <x:c r="O6936" s="2" t="str">
        <x:v>Tp Hồ Chí Minh|house</x:v>
      </x:c>
      <x:c r="P6936" s="10" t="n">
        <x:v>2</x:v>
      </x:c>
      <x:c r="Q6936" s="13" t="n">
        <x:f>IF(H6936="","",H6936/1000000000)</x:f>
        <x:v>5.2</x:v>
      </x:c>
      <x:c r="R6936" s="13" t="n">
        <x:f>IF(I6936="","",I6936/1000000)</x:f>
        <x:v>86.66666666666667</x:v>
      </x:c>
    </x:row>
    <x:row r="6937" ht="21" customHeight="1">
      <x:c r="A6937" s="10" t="n">
        <x:v>8923</x:v>
      </x:c>
      <x:c r="B6937" s="2" t="str">
        <x:v>76c33ecac474798c7897</x:v>
      </x:c>
      <x:c r="C6937" s="2" t="str">
        <x:v>Tp Hồ Chí Minh</x:v>
      </x:c>
      <x:c r="D6937" s="2" t="str">
        <x:v>Quận 2</x:v>
      </x:c>
      <x:c r="E6937" s="2" t="str">
        <x:v>other_unknown</x:v>
      </x:c>
      <x:c r="F6937" s="2" t="str">
        <x:v>sale</x:v>
      </x:c>
      <x:c r="G6937" s="11" t="n">
        <x:v>56</x:v>
      </x:c>
      <x:c r="H6937" s="12" t="n">
        <x:v>3200000000</x:v>
      </x:c>
      <x:c r="I6937" s="12" t="n">
        <x:v>57142857.14285714</x:v>
      </x:c>
      <x:c r="J6937" s="2" t="str">
        <x:v>total</x:v>
      </x:c>
      <x:c r="K6937" s="2" t="str">
        <x:v>top_level_area</x:v>
      </x:c>
      <x:c r="L6937" s="2" t="str">
        <x:v>property_type_inferred_from_title;unknown_property_type</x:v>
      </x:c>
      <x:c r="M6937" s="10" t="n">
        <x:v>0</x:v>
      </x:c>
      <x:c r="N6937" s="10" t="n">
        <x:v>0</x:v>
      </x:c>
      <x:c r="O6937" s="2" t="str">
        <x:v>Tp Hồ Chí Minh|other_unknown</x:v>
      </x:c>
      <x:c r="P6937" s="10" t="n">
        <x:v>2</x:v>
      </x:c>
      <x:c r="Q6937" s="13" t="n">
        <x:f>IF(H6937="","",H6937/1000000000)</x:f>
        <x:v>3.2</x:v>
      </x:c>
      <x:c r="R6937" s="13" t="n">
        <x:f>IF(I6937="","",I6937/1000000)</x:f>
        <x:v>57.14285714285714</x:v>
      </x:c>
    </x:row>
    <x:row r="6938" ht="21" customHeight="1">
      <x:c r="A6938" s="10" t="n">
        <x:v>8924</x:v>
      </x:c>
      <x:c r="B6938" s="2" t="str">
        <x:v>c5cc886e70c91621169a</x:v>
      </x:c>
      <x:c r="C6938" s="2" t="str">
        <x:v>Tiền Giang</x:v>
      </x:c>
      <x:c r="D6938" s="2" t="str">
        <x:v>Thị xã Cai Lậy</x:v>
      </x:c>
      <x:c r="E6938" s="2" t="str">
        <x:v>house</x:v>
      </x:c>
      <x:c r="F6938" s="2" t="str">
        <x:v>sale_assumed</x:v>
      </x:c>
      <x:c r="G6938" s="11" t="n">
        <x:v>410</x:v>
      </x:c>
      <x:c r="H6938" s="12" t="n">
        <x:v>950000000</x:v>
      </x:c>
      <x:c r="I6938" s="12" t="n">
        <x:v>2317073.1707317075</x:v>
      </x:c>
      <x:c r="J6938" s="2" t="str">
        <x:v>total</x:v>
      </x:c>
      <x:c r="K6938" s="2" t="str">
        <x:v>top_level_area</x:v>
      </x:c>
      <x:c r="L6938" s="2" t="str">
        <x:v>property_type_inferred_from_title;transaction_assumed_sale_from_dataset_context</x:v>
      </x:c>
      <x:c r="M6938" s="10" t="n">
        <x:v>0</x:v>
      </x:c>
      <x:c r="N6938" s="10" t="n">
        <x:v>0</x:v>
      </x:c>
      <x:c r="O6938" s="2" t="str">
        <x:v>house</x:v>
      </x:c>
      <x:c r="P6938" s="10" t="n">
        <x:v>1</x:v>
      </x:c>
      <x:c r="Q6938" s="13" t="n">
        <x:f>IF(H6938="","",H6938/1000000000)</x:f>
        <x:v>0.95</x:v>
      </x:c>
      <x:c r="R6938" s="13" t="n">
        <x:f>IF(I6938="","",I6938/1000000)</x:f>
        <x:v>2.3170731707317076</x:v>
      </x:c>
    </x:row>
    <x:row r="6939" ht="21" customHeight="1">
      <x:c r="A6939" s="10" t="n">
        <x:v>8925</x:v>
      </x:c>
      <x:c r="B6939" s="2" t="str">
        <x:v>34cfed2f5705168b0cfa</x:v>
      </x:c>
      <x:c r="C6939" s="2" t="str">
        <x:v>Bình Dương</x:v>
      </x:c>
      <x:c r="D6939" s="2" t="str">
        <x:v>Thị xã Bến Cát</x:v>
      </x:c>
      <x:c r="E6939" s="2" t="str">
        <x:v>house</x:v>
      </x:c>
      <x:c r="F6939" s="2" t="str">
        <x:v>sale</x:v>
      </x:c>
      <x:c r="G6939" s="11" t="n">
        <x:v>300</x:v>
      </x:c>
      <x:c r="H6939" s="12" t="n">
        <x:v>1600000000</x:v>
      </x:c>
      <x:c r="I6939" s="12" t="n">
        <x:v>5333333.333333333</x:v>
      </x:c>
      <x:c r="J6939" s="2" t="str">
        <x:v>total</x:v>
      </x:c>
      <x:c r="K6939" s="2" t="str">
        <x:v>top_level_area</x:v>
      </x:c>
      <x:c r="L6939" s="2" t="str">
        <x:v>property_type_inferred_from_title</x:v>
      </x:c>
      <x:c r="M6939" s="10" t="n">
        <x:v>0</x:v>
      </x:c>
      <x:c r="N6939" s="10" t="n">
        <x:v>0</x:v>
      </x:c>
      <x:c r="O6939" s="2" t="str">
        <x:v>Bình Dương|house</x:v>
      </x:c>
      <x:c r="P6939" s="10" t="n">
        <x:v>1</x:v>
      </x:c>
      <x:c r="Q6939" s="13" t="n">
        <x:f>IF(H6939="","",H6939/1000000000)</x:f>
        <x:v>1.6</x:v>
      </x:c>
      <x:c r="R6939" s="13" t="n">
        <x:f>IF(I6939="","",I6939/1000000)</x:f>
        <x:v>5.333333333333333</x:v>
      </x:c>
    </x:row>
    <x:row r="6940" ht="21" customHeight="1">
      <x:c r="A6940" s="10" t="n">
        <x:v>8926</x:v>
      </x:c>
      <x:c r="B6940" s="2" t="str">
        <x:v>a9048536bb71f25673b3</x:v>
      </x:c>
      <x:c r="C6940" s="2" t="str">
        <x:v>Cần Thơ</x:v>
      </x:c>
      <x:c r="D6940" s="2" t="str">
        <x:v>Quận Bình Thuỷ</x:v>
      </x:c>
      <x:c r="E6940" s="2" t="str">
        <x:v>land</x:v>
      </x:c>
      <x:c r="F6940" s="2" t="str">
        <x:v>sale</x:v>
      </x:c>
      <x:c r="G6940" s="11" t="n">
        <x:v>141</x:v>
      </x:c>
      <x:c r="H6940" s="12" t="n">
        <x:v>700000000</x:v>
      </x:c>
      <x:c r="I6940" s="12" t="n">
        <x:v>4964539.007092198</x:v>
      </x:c>
      <x:c r="J6940" s="2" t="str">
        <x:v>total</x:v>
      </x:c>
      <x:c r="K6940" s="2" t="str">
        <x:v>top_level_area</x:v>
      </x:c>
      <x:c r="L6940" s="2" t="str">
        <x:v>property_type_inferred_from_title</x:v>
      </x:c>
      <x:c r="M6940" s="10" t="n">
        <x:v>0</x:v>
      </x:c>
      <x:c r="N6940" s="10" t="n">
        <x:v>0</x:v>
      </x:c>
      <x:c r="O6940" s="2" t="str">
        <x:v>Cần Thơ|land</x:v>
      </x:c>
      <x:c r="P6940" s="10" t="n">
        <x:v>2</x:v>
      </x:c>
      <x:c r="Q6940" s="13" t="n">
        <x:f>IF(H6940="","",H6940/1000000000)</x:f>
        <x:v>0.7</x:v>
      </x:c>
      <x:c r="R6940" s="13" t="n">
        <x:f>IF(I6940="","",I6940/1000000)</x:f>
        <x:v>4.964539007092198</x:v>
      </x:c>
    </x:row>
    <x:row r="6941" ht="21" customHeight="1">
      <x:c r="A6941" s="10" t="n">
        <x:v>8927</x:v>
      </x:c>
      <x:c r="B6941" s="2" t="str">
        <x:v>52d9ab5326e04f04cf9e</x:v>
      </x:c>
      <x:c r="C6941" s="2" t="str">
        <x:v>Tp Hồ Chí Minh</x:v>
      </x:c>
      <x:c r="D6941" s="2" t="str">
        <x:v>Quận Bình Thạnh</x:v>
      </x:c>
      <x:c r="E6941" s="2" t="str">
        <x:v>apartment</x:v>
      </x:c>
      <x:c r="F6941" s="2" t="str">
        <x:v>sale_assumed</x:v>
      </x:c>
      <x:c r="G6941" s="11" t="n">
        <x:v>23</x:v>
      </x:c>
      <x:c r="H6941" s="12" t="n">
        <x:v>800000000</x:v>
      </x:c>
      <x:c r="I6941" s="12" t="n">
        <x:v>34782608.69565217</x:v>
      </x:c>
      <x:c r="J6941" s="2" t="str">
        <x:v>total</x:v>
      </x:c>
      <x:c r="K6941" s="2" t="str">
        <x:v>top_level_area</x:v>
      </x:c>
      <x:c r="L6941" s="2" t="str">
        <x:v>property_type_inferred_from_title;transaction_assumed_sale_from_dataset_context</x:v>
      </x:c>
      <x:c r="M6941" s="10" t="n">
        <x:v>0</x:v>
      </x:c>
      <x:c r="N6941" s="10" t="n">
        <x:v>0</x:v>
      </x:c>
      <x:c r="O6941" s="2" t="str">
        <x:v>Tp Hồ Chí Minh|apartment</x:v>
      </x:c>
      <x:c r="P6941" s="10" t="n">
        <x:v>2</x:v>
      </x:c>
      <x:c r="Q6941" s="13" t="n">
        <x:f>IF(H6941="","",H6941/1000000000)</x:f>
        <x:v>0.8</x:v>
      </x:c>
      <x:c r="R6941" s="13" t="n">
        <x:f>IF(I6941="","",I6941/1000000)</x:f>
        <x:v>34.78260869565217</x:v>
      </x:c>
    </x:row>
    <x:row r="6942" ht="21" customHeight="1">
      <x:c r="A6942" s="10" t="n">
        <x:v>8928</x:v>
      </x:c>
      <x:c r="B6942" s="2" t="str">
        <x:v>36fc298ffd71e666f890</x:v>
      </x:c>
      <x:c r="C6942" s="2" t="str">
        <x:v>Tp Hồ Chí Minh</x:v>
      </x:c>
      <x:c r="D6942" s="2" t="str">
        <x:v>Quận 9</x:v>
      </x:c>
      <x:c r="E6942" s="2" t="str">
        <x:v>other_unknown</x:v>
      </x:c>
      <x:c r="F6942" s="2" t="str">
        <x:v>sale_assumed</x:v>
      </x:c>
      <x:c r="G6942" s="11" t="n">
        <x:v>108</x:v>
      </x:c>
      <x:c r="H6942" s="12" t="n">
        <x:v>2360000000</x:v>
      </x:c>
      <x:c r="I6942" s="12" t="n">
        <x:v>21851851.85185185</x:v>
      </x:c>
      <x:c r="J6942" s="2" t="str">
        <x:v>total</x:v>
      </x:c>
      <x:c r="K6942" s="2" t="str">
        <x:v>top_level_area</x:v>
      </x:c>
      <x:c r="L6942" s="2" t="str">
        <x:v>property_type_inferred_from_title;transaction_assumed_sale_from_dataset_context;unknown_property_type</x:v>
      </x:c>
      <x:c r="M6942" s="10" t="n">
        <x:v>0</x:v>
      </x:c>
      <x:c r="N6942" s="10" t="n">
        <x:v>0</x:v>
      </x:c>
      <x:c r="O6942" s="2" t="str">
        <x:v>Tp Hồ Chí Minh|other_unknown</x:v>
      </x:c>
      <x:c r="P6942" s="10" t="n">
        <x:v>2</x:v>
      </x:c>
      <x:c r="Q6942" s="13" t="n">
        <x:f>IF(H6942="","",H6942/1000000000)</x:f>
        <x:v>2.36</x:v>
      </x:c>
      <x:c r="R6942" s="13" t="n">
        <x:f>IF(I6942="","",I6942/1000000)</x:f>
        <x:v>21.85185185185185</x:v>
      </x:c>
    </x:row>
    <x:row r="6943" ht="21" customHeight="1">
      <x:c r="A6943" s="10" t="n">
        <x:v>8929</x:v>
      </x:c>
      <x:c r="B6943" s="2" t="str">
        <x:v>9a903fdb74d2d50d5a5f</x:v>
      </x:c>
      <x:c r="C6943" s="2" t="str">
        <x:v>Kiên Giang</x:v>
      </x:c>
      <x:c r="D6943" s="2" t="str">
        <x:v>Huyện Phú Quốc</x:v>
      </x:c>
      <x:c r="E6943" s="2" t="str">
        <x:v>other_unknown</x:v>
      </x:c>
      <x:c r="F6943" s="2" t="str">
        <x:v>sale</x:v>
      </x:c>
      <x:c r="G6943" s="11" t="n">
        <x:v>360</x:v>
      </x:c>
      <x:c r="H6943" s="12" t="n">
        <x:v>3860000000</x:v>
      </x:c>
      <x:c r="I6943" s="12" t="n">
        <x:v>10722222.222222222</x:v>
      </x:c>
      <x:c r="J6943" s="2" t="str">
        <x:v>total</x:v>
      </x:c>
      <x:c r="K6943" s="2" t="str">
        <x:v>top_level_area</x:v>
      </x:c>
      <x:c r="L6943" s="2" t="str">
        <x:v>property_type_inferred_from_title;unknown_property_type</x:v>
      </x:c>
      <x:c r="M6943" s="10" t="n">
        <x:v>0</x:v>
      </x:c>
      <x:c r="N6943" s="10" t="n">
        <x:v>0</x:v>
      </x:c>
      <x:c r="O6943" s="2" t="str">
        <x:v>other_unknown</x:v>
      </x:c>
      <x:c r="P6943" s="10" t="n">
        <x:v>1</x:v>
      </x:c>
      <x:c r="Q6943" s="13" t="n">
        <x:f>IF(H6943="","",H6943/1000000000)</x:f>
        <x:v>3.86</x:v>
      </x:c>
      <x:c r="R6943" s="13" t="n">
        <x:f>IF(I6943="","",I6943/1000000)</x:f>
        <x:v>10.722222222222221</x:v>
      </x:c>
    </x:row>
    <x:row r="6944" ht="21" customHeight="1">
      <x:c r="A6944" s="10" t="n">
        <x:v>8930</x:v>
      </x:c>
      <x:c r="B6944" s="2" t="str">
        <x:v>43c6d43378ace87f6d0a</x:v>
      </x:c>
      <x:c r="C6944" s="2" t="str">
        <x:v>Tp Hồ Chí Minh</x:v>
      </x:c>
      <x:c r="D6944" s="2" t="str">
        <x:v>Quận 8</x:v>
      </x:c>
      <x:c r="E6944" s="2" t="str">
        <x:v>house</x:v>
      </x:c>
      <x:c r="F6944" s="2" t="str">
        <x:v>sale_assumed</x:v>
      </x:c>
      <x:c r="G6944" s="11" t="n">
        <x:v>12</x:v>
      </x:c>
      <x:c r="H6944" s="12" t="n">
        <x:v>740000000</x:v>
      </x:c>
      <x:c r="I6944" s="12" t="n">
        <x:v>61666666.666666664</x:v>
      </x:c>
      <x:c r="J6944" s="2" t="str">
        <x:v>total</x:v>
      </x:c>
      <x:c r="K6944" s="2" t="str">
        <x:v>top_level_area</x:v>
      </x:c>
      <x:c r="L6944" s="2" t="str">
        <x:v>property_type_inferred_from_title;transaction_assumed_sale_from_dataset_context</x:v>
      </x:c>
      <x:c r="M6944" s="10" t="n">
        <x:v>0</x:v>
      </x:c>
      <x:c r="N6944" s="10" t="n">
        <x:v>0</x:v>
      </x:c>
      <x:c r="O6944" s="2" t="str">
        <x:v>Tp Hồ Chí Minh|house</x:v>
      </x:c>
      <x:c r="P6944" s="10" t="n">
        <x:v>2</x:v>
      </x:c>
      <x:c r="Q6944" s="13" t="n">
        <x:f>IF(H6944="","",H6944/1000000000)</x:f>
        <x:v>0.74</x:v>
      </x:c>
      <x:c r="R6944" s="13" t="n">
        <x:f>IF(I6944="","",I6944/1000000)</x:f>
        <x:v>61.666666666666664</x:v>
      </x:c>
    </x:row>
    <x:row r="6945" ht="21" customHeight="1">
      <x:c r="A6945" s="10" t="n">
        <x:v>8931</x:v>
      </x:c>
      <x:c r="B6945" s="2" t="str">
        <x:v>5fbbd3d9ead625f66b25</x:v>
      </x:c>
      <x:c r="C6945" s="2" t="str">
        <x:v>Tp Hồ Chí Minh</x:v>
      </x:c>
      <x:c r="D6945" s="2" t="str">
        <x:v>Quận 4</x:v>
      </x:c>
      <x:c r="E6945" s="2" t="str">
        <x:v>house</x:v>
      </x:c>
      <x:c r="F6945" s="2" t="str">
        <x:v>sale</x:v>
      </x:c>
      <x:c r="G6945" s="11" t="n">
        <x:v>35</x:v>
      </x:c>
      <x:c r="H6945" s="12" t="n">
        <x:v>2760000000</x:v>
      </x:c>
      <x:c r="I6945" s="12" t="n">
        <x:v>78857142.85714285</x:v>
      </x:c>
      <x:c r="J6945" s="2" t="str">
        <x:v>total</x:v>
      </x:c>
      <x:c r="K6945" s="2" t="str">
        <x:v>top_level_area</x:v>
      </x:c>
      <x:c r="L6945" s="2" t="str">
        <x:v>property_type_inferred_from_title</x:v>
      </x:c>
      <x:c r="M6945" s="10" t="n">
        <x:v>0</x:v>
      </x:c>
      <x:c r="N6945" s="10" t="n">
        <x:v>0</x:v>
      </x:c>
      <x:c r="O6945" s="2" t="str">
        <x:v>Tp Hồ Chí Minh|house</x:v>
      </x:c>
      <x:c r="P6945" s="10" t="n">
        <x:v>2</x:v>
      </x:c>
      <x:c r="Q6945" s="13" t="n">
        <x:f>IF(H6945="","",H6945/1000000000)</x:f>
        <x:v>2.76</x:v>
      </x:c>
      <x:c r="R6945" s="13" t="n">
        <x:f>IF(I6945="","",I6945/1000000)</x:f>
        <x:v>78.85714285714285</x:v>
      </x:c>
    </x:row>
    <x:row r="6946" ht="21" customHeight="1">
      <x:c r="A6946" s="10" t="n">
        <x:v>8932</x:v>
      </x:c>
      <x:c r="B6946" s="2" t="str">
        <x:v>c1d3998da6ade8edc16a</x:v>
      </x:c>
      <x:c r="C6946" s="2" t="str">
        <x:v>Tp Hồ Chí Minh</x:v>
      </x:c>
      <x:c r="D6946" s="2" t="str">
        <x:v>Huyện Hóc Môn</x:v>
      </x:c>
      <x:c r="E6946" s="2" t="str">
        <x:v>apartment</x:v>
      </x:c>
      <x:c r="F6946" s="2" t="str">
        <x:v>sale_assumed</x:v>
      </x:c>
      <x:c r="G6946" s="11" t="n">
        <x:v>45</x:v>
      </x:c>
      <x:c r="H6946" s="12" t="n">
        <x:v>298000000</x:v>
      </x:c>
      <x:c r="I6946" s="12" t="n">
        <x:v>6622222.222222222</x:v>
      </x:c>
      <x:c r="J6946" s="2" t="str">
        <x:v>total</x:v>
      </x:c>
      <x:c r="K6946" s="2" t="str">
        <x:v>top_level_area</x:v>
      </x:c>
      <x:c r="L6946" s="2" t="str">
        <x:v>property_type_inferred_from_title;transaction_assumed_sale_from_dataset_context</x:v>
      </x:c>
      <x:c r="M6946" s="10" t="n">
        <x:v>0</x:v>
      </x:c>
      <x:c r="N6946" s="10" t="n">
        <x:v>0</x:v>
      </x:c>
      <x:c r="O6946" s="2" t="str">
        <x:v>Tp Hồ Chí Minh|apartment</x:v>
      </x:c>
      <x:c r="P6946" s="10" t="n">
        <x:v>2</x:v>
      </x:c>
      <x:c r="Q6946" s="13" t="n">
        <x:f>IF(H6946="","",H6946/1000000000)</x:f>
        <x:v>0.298</x:v>
      </x:c>
      <x:c r="R6946" s="13" t="n">
        <x:f>IF(I6946="","",I6946/1000000)</x:f>
        <x:v>6.622222222222222</x:v>
      </x:c>
    </x:row>
    <x:row r="6947" ht="21" customHeight="1">
      <x:c r="A6947" s="10" t="n">
        <x:v>8933</x:v>
      </x:c>
      <x:c r="B6947" s="2" t="str">
        <x:v>bf14c3928dd1de2c15df</x:v>
      </x:c>
      <x:c r="C6947" s="2" t="str">
        <x:v>Tp Hồ Chí Minh</x:v>
      </x:c>
      <x:c r="D6947" s="2" t="str">
        <x:v>Quận 9</x:v>
      </x:c>
      <x:c r="E6947" s="2" t="str">
        <x:v>land</x:v>
      </x:c>
      <x:c r="F6947" s="2" t="str">
        <x:v>sale_assumed</x:v>
      </x:c>
      <x:c r="G6947" s="11" t="n">
        <x:v>98</x:v>
      </x:c>
      <x:c r="H6947" s="12" t="n">
        <x:v>4200000000</x:v>
      </x:c>
      <x:c r="I6947" s="12" t="n">
        <x:v>42857142.85714286</x:v>
      </x:c>
      <x:c r="J6947" s="2" t="str">
        <x:v>total</x:v>
      </x:c>
      <x:c r="K6947" s="2" t="str">
        <x:v>top_level_area</x:v>
      </x:c>
      <x:c r="L6947" s="2" t="str">
        <x:v>property_type_inferred_from_title;transaction_assumed_sale_from_dataset_context</x:v>
      </x:c>
      <x:c r="M6947" s="10" t="n">
        <x:v>0</x:v>
      </x:c>
      <x:c r="N6947" s="10" t="n">
        <x:v>0</x:v>
      </x:c>
      <x:c r="O6947" s="2" t="str">
        <x:v>Tp Hồ Chí Minh|land</x:v>
      </x:c>
      <x:c r="P6947" s="10" t="n">
        <x:v>2</x:v>
      </x:c>
      <x:c r="Q6947" s="13" t="n">
        <x:f>IF(H6947="","",H6947/1000000000)</x:f>
        <x:v>4.2</x:v>
      </x:c>
      <x:c r="R6947" s="13" t="n">
        <x:f>IF(I6947="","",I6947/1000000)</x:f>
        <x:v>42.85714285714286</x:v>
      </x:c>
    </x:row>
    <x:row r="6948" ht="21" customHeight="1">
      <x:c r="A6948" s="10" t="n">
        <x:v>8934</x:v>
      </x:c>
      <x:c r="B6948" s="2" t="str">
        <x:v>e48d10511ee1b4be3f2a</x:v>
      </x:c>
      <x:c r="C6948" s="2" t="str">
        <x:v>Bình Dương</x:v>
      </x:c>
      <x:c r="D6948" s="2" t="str">
        <x:v>Thị xã Dĩ An</x:v>
      </x:c>
      <x:c r="E6948" s="2" t="str">
        <x:v>house</x:v>
      </x:c>
      <x:c r="F6948" s="2" t="str">
        <x:v>sale</x:v>
      </x:c>
      <x:c r="G6948" s="11" t="n">
        <x:v>249.2</x:v>
      </x:c>
      <x:c r="H6948" s="12" t="n">
        <x:v>12500000000</x:v>
      </x:c>
      <x:c r="I6948" s="12" t="n">
        <x:v>50160513.64365971</x:v>
      </x:c>
      <x:c r="J6948" s="2" t="str">
        <x:v>total</x:v>
      </x:c>
      <x:c r="K6948" s="2" t="str">
        <x:v>top_level_area</x:v>
      </x:c>
      <x:c r="L6948" s="2" t="str">
        <x:v>property_type_inferred_from_title</x:v>
      </x:c>
      <x:c r="M6948" s="10" t="n">
        <x:v>0</x:v>
      </x:c>
      <x:c r="N6948" s="10" t="n">
        <x:v>0</x:v>
      </x:c>
      <x:c r="O6948" s="2" t="str">
        <x:v>Bình Dương|house</x:v>
      </x:c>
      <x:c r="P6948" s="10" t="n">
        <x:v>2</x:v>
      </x:c>
      <x:c r="Q6948" s="13" t="n">
        <x:f>IF(H6948="","",H6948/1000000000)</x:f>
        <x:v>12.5</x:v>
      </x:c>
      <x:c r="R6948" s="13" t="n">
        <x:f>IF(I6948="","",I6948/1000000)</x:f>
        <x:v>50.16051364365971</x:v>
      </x:c>
    </x:row>
    <x:row r="6949" ht="21" customHeight="1">
      <x:c r="A6949" s="10" t="n">
        <x:v>8935</x:v>
      </x:c>
      <x:c r="B6949" s="2" t="str">
        <x:v>4e7fb0402a96249366ed</x:v>
      </x:c>
      <x:c r="C6949" s="2" t="str">
        <x:v>Hà Nội</x:v>
      </x:c>
      <x:c r="D6949" s="2" t="str">
        <x:v>Quận Hai Bà Trưng</x:v>
      </x:c>
      <x:c r="E6949" s="2" t="str">
        <x:v>house</x:v>
      </x:c>
      <x:c r="F6949" s="2" t="str">
        <x:v>sale_assumed</x:v>
      </x:c>
      <x:c r="G6949" s="11" t="n">
        <x:v>31.5</x:v>
      </x:c>
      <x:c r="H6949" s="12" t="n">
        <x:v>3850000000</x:v>
      </x:c>
      <x:c r="I6949" s="12" t="n">
        <x:v>122222222.22222222</x:v>
      </x:c>
      <x:c r="J6949" s="2" t="str">
        <x:v>total</x:v>
      </x:c>
      <x:c r="K6949" s="2" t="str">
        <x:v>top_level_area</x:v>
      </x:c>
      <x:c r="L6949" s="2" t="str">
        <x:v>property_type_inferred_from_title;transaction_assumed_sale_from_dataset_context</x:v>
      </x:c>
      <x:c r="M6949" s="10" t="n">
        <x:v>0</x:v>
      </x:c>
      <x:c r="N6949" s="10" t="n">
        <x:v>0</x:v>
      </x:c>
      <x:c r="O6949" s="2" t="str">
        <x:v>Hà Nội|house</x:v>
      </x:c>
      <x:c r="P6949" s="10" t="n">
        <x:v>2</x:v>
      </x:c>
      <x:c r="Q6949" s="13" t="n">
        <x:f>IF(H6949="","",H6949/1000000000)</x:f>
        <x:v>3.85</x:v>
      </x:c>
      <x:c r="R6949" s="13" t="n">
        <x:f>IF(I6949="","",I6949/1000000)</x:f>
        <x:v>122.22222222222223</x:v>
      </x:c>
    </x:row>
    <x:row r="6950" ht="21" customHeight="1">
      <x:c r="A6950" s="10" t="n">
        <x:v>8936</x:v>
      </x:c>
      <x:c r="B6950" s="2" t="str">
        <x:v>deda2ff9812f2e01bf5b</x:v>
      </x:c>
      <x:c r="C6950" s="2" t="str">
        <x:v>Bình Dương</x:v>
      </x:c>
      <x:c r="D6950" s="2" t="str">
        <x:v>Thị xã Tân Uyên</x:v>
      </x:c>
      <x:c r="E6950" s="2" t="str">
        <x:v>house</x:v>
      </x:c>
      <x:c r="F6950" s="2" t="str">
        <x:v>sale_assumed</x:v>
      </x:c>
      <x:c r="G6950" s="11" t="n">
        <x:v>85</x:v>
      </x:c>
      <x:c r="H6950" s="12" t="n">
        <x:v>1765000000</x:v>
      </x:c>
      <x:c r="I6950" s="12" t="n">
        <x:v>20764705.88235294</x:v>
      </x:c>
      <x:c r="J6950" s="2" t="str">
        <x:v>total</x:v>
      </x:c>
      <x:c r="K6950" s="2" t="str">
        <x:v>top_level_area</x:v>
      </x:c>
      <x:c r="L6950" s="2" t="str">
        <x:v>property_type_inferred_from_title;transaction_assumed_sale_from_dataset_context</x:v>
      </x:c>
      <x:c r="M6950" s="10" t="n">
        <x:v>0</x:v>
      </x:c>
      <x:c r="N6950" s="10" t="n">
        <x:v>0</x:v>
      </x:c>
      <x:c r="O6950" s="2" t="str">
        <x:v>Bình Dương|house</x:v>
      </x:c>
      <x:c r="P6950" s="10" t="n">
        <x:v>2</x:v>
      </x:c>
      <x:c r="Q6950" s="13" t="n">
        <x:f>IF(H6950="","",H6950/1000000000)</x:f>
        <x:v>1.765</x:v>
      </x:c>
      <x:c r="R6950" s="13" t="n">
        <x:f>IF(I6950="","",I6950/1000000)</x:f>
        <x:v>20.764705882352942</x:v>
      </x:c>
    </x:row>
    <x:row r="6951" ht="21" customHeight="1">
      <x:c r="A6951" s="10" t="n">
        <x:v>8937</x:v>
      </x:c>
      <x:c r="B6951" s="2" t="str">
        <x:v>5c09b480ba87087f3f07</x:v>
      </x:c>
      <x:c r="C6951" s="2" t="str">
        <x:v>Đà Nẵng</x:v>
      </x:c>
      <x:c r="D6951" s="2" t="str">
        <x:v>Quận Hải Châu</x:v>
      </x:c>
      <x:c r="E6951" s="2" t="str">
        <x:v>land</x:v>
      </x:c>
      <x:c r="F6951" s="2" t="str">
        <x:v>sale_assumed</x:v>
      </x:c>
      <x:c r="G6951" s="11" t="n">
        <x:v>95</x:v>
      </x:c>
      <x:c r="H6951" s="12" t="n">
        <x:v>8000000000</x:v>
      </x:c>
      <x:c r="I6951" s="12" t="n">
        <x:v>84210526.31578948</x:v>
      </x:c>
      <x:c r="J6951" s="2" t="str">
        <x:v>total</x:v>
      </x:c>
      <x:c r="K6951" s="2" t="str">
        <x:v>top_level_area</x:v>
      </x:c>
      <x:c r="L6951" s="2" t="str">
        <x:v>property_type_inferred_from_title;transaction_assumed_sale_from_dataset_context</x:v>
      </x:c>
      <x:c r="M6951" s="10" t="n">
        <x:v>0</x:v>
      </x:c>
      <x:c r="N6951" s="10" t="n">
        <x:v>1</x:v>
      </x:c>
      <x:c r="O6951" s="2" t="str">
        <x:v>Đà Nẵng|land</x:v>
      </x:c>
      <x:c r="P6951" s="10" t="n">
        <x:v>-1</x:v>
      </x:c>
      <x:c r="Q6951" s="13" t="n">
        <x:f>IF(H6951="","",H6951/1000000000)</x:f>
        <x:v>8</x:v>
      </x:c>
      <x:c r="R6951" s="13" t="n">
        <x:f>IF(I6951="","",I6951/1000000)</x:f>
        <x:v>84.21052631578948</x:v>
      </x:c>
    </x:row>
    <x:row r="6952" ht="21" customHeight="1">
      <x:c r="A6952" s="10" t="n">
        <x:v>8942</x:v>
      </x:c>
      <x:c r="B6952" s="2" t="str">
        <x:v>359f7fccc96ed6450675</x:v>
      </x:c>
      <x:c r="C6952" s="2" t="str">
        <x:v>Hà Nội</x:v>
      </x:c>
      <x:c r="D6952" s="2" t="str">
        <x:v>Quận Hà Đông</x:v>
      </x:c>
      <x:c r="E6952" s="2" t="str">
        <x:v>house</x:v>
      </x:c>
      <x:c r="F6952" s="2" t="str">
        <x:v>sale_assumed</x:v>
      </x:c>
      <x:c r="G6952" s="11" t="n">
        <x:v>60</x:v>
      </x:c>
      <x:c r="H6952" s="12" t="n">
        <x:v>7300000000</x:v>
      </x:c>
      <x:c r="I6952" s="12" t="n">
        <x:v>121666666.66666667</x:v>
      </x:c>
      <x:c r="J6952" s="2" t="str">
        <x:v>total</x:v>
      </x:c>
      <x:c r="K6952" s="2" t="str">
        <x:v>top_level_area</x:v>
      </x:c>
      <x:c r="L6952" s="2" t="str">
        <x:v>property_type_inferred_from_title;transaction_assumed_sale_from_dataset_context</x:v>
      </x:c>
      <x:c r="M6952" s="10" t="n">
        <x:v>0</x:v>
      </x:c>
      <x:c r="N6952" s="10" t="n">
        <x:v>0</x:v>
      </x:c>
      <x:c r="O6952" s="2" t="str">
        <x:v>Hà Nội|house</x:v>
      </x:c>
      <x:c r="P6952" s="10" t="n">
        <x:v>2</x:v>
      </x:c>
      <x:c r="Q6952" s="13" t="n">
        <x:f>IF(H6952="","",H6952/1000000000)</x:f>
        <x:v>7.3</x:v>
      </x:c>
      <x:c r="R6952" s="13" t="n">
        <x:f>IF(I6952="","",I6952/1000000)</x:f>
        <x:v>121.66666666666667</x:v>
      </x:c>
    </x:row>
    <x:row r="6953" ht="21" customHeight="1">
      <x:c r="A6953" s="10" t="n">
        <x:v>8943</x:v>
      </x:c>
      <x:c r="B6953" s="2" t="str">
        <x:v>037f84dd4df20e36b161</x:v>
      </x:c>
      <x:c r="C6953" s="2" t="str">
        <x:v>Tp Hồ Chí Minh</x:v>
      </x:c>
      <x:c r="D6953" s="2" t="str">
        <x:v>Quận 6</x:v>
      </x:c>
      <x:c r="E6953" s="2" t="str">
        <x:v>house</x:v>
      </x:c>
      <x:c r="F6953" s="2" t="str">
        <x:v>sale_assumed</x:v>
      </x:c>
      <x:c r="G6953" s="11" t="n">
        <x:v>40</x:v>
      </x:c>
      <x:c r="H6953" s="12" t="n">
        <x:v>1395000000</x:v>
      </x:c>
      <x:c r="I6953" s="12" t="n">
        <x:v>34875000</x:v>
      </x:c>
      <x:c r="J6953" s="2" t="str">
        <x:v>total</x:v>
      </x:c>
      <x:c r="K6953" s="2" t="str">
        <x:v>top_level_area</x:v>
      </x:c>
      <x:c r="L6953" s="2" t="str">
        <x:v>property_type_inferred_from_title;transaction_assumed_sale_from_dataset_context</x:v>
      </x:c>
      <x:c r="M6953" s="10" t="n">
        <x:v>0</x:v>
      </x:c>
      <x:c r="N6953" s="10" t="n">
        <x:v>0</x:v>
      </x:c>
      <x:c r="O6953" s="2" t="str">
        <x:v>Tp Hồ Chí Minh|house</x:v>
      </x:c>
      <x:c r="P6953" s="10" t="n">
        <x:v>2</x:v>
      </x:c>
      <x:c r="Q6953" s="13" t="n">
        <x:f>IF(H6953="","",H6953/1000000000)</x:f>
        <x:v>1.395</x:v>
      </x:c>
      <x:c r="R6953" s="13" t="n">
        <x:f>IF(I6953="","",I6953/1000000)</x:f>
        <x:v>34.875</x:v>
      </x:c>
    </x:row>
    <x:row r="6954" ht="21" customHeight="1">
      <x:c r="A6954" s="10" t="n">
        <x:v>8944</x:v>
      </x:c>
      <x:c r="B6954" s="2" t="str">
        <x:v>4ff5d3e666847a92bb76</x:v>
      </x:c>
      <x:c r="C6954" s="2" t="str">
        <x:v>Tp Hồ Chí Minh</x:v>
      </x:c>
      <x:c r="D6954" s="2" t="str">
        <x:v>Huyện Bình Chánh</x:v>
      </x:c>
      <x:c r="E6954" s="2" t="str">
        <x:v>house</x:v>
      </x:c>
      <x:c r="F6954" s="2" t="str">
        <x:v>sale</x:v>
      </x:c>
      <x:c r="G6954" s="11" t="n">
        <x:v>103</x:v>
      </x:c>
      <x:c r="H6954" s="12" t="n">
        <x:v>950000000</x:v>
      </x:c>
      <x:c r="I6954" s="12" t="n">
        <x:v>9223300.970873786</x:v>
      </x:c>
      <x:c r="J6954" s="2" t="str">
        <x:v>total</x:v>
      </x:c>
      <x:c r="K6954" s="2" t="str">
        <x:v>top_level_area</x:v>
      </x:c>
      <x:c r="L6954" s="2" t="str">
        <x:v>property_type_inferred_from_title</x:v>
      </x:c>
      <x:c r="M6954" s="10" t="n">
        <x:v>0</x:v>
      </x:c>
      <x:c r="N6954" s="10" t="n">
        <x:v>0</x:v>
      </x:c>
      <x:c r="O6954" s="2" t="str">
        <x:v>Tp Hồ Chí Minh|house</x:v>
      </x:c>
      <x:c r="P6954" s="10" t="n">
        <x:v>2</x:v>
      </x:c>
      <x:c r="Q6954" s="13" t="n">
        <x:f>IF(H6954="","",H6954/1000000000)</x:f>
        <x:v>0.95</x:v>
      </x:c>
      <x:c r="R6954" s="13" t="n">
        <x:f>IF(I6954="","",I6954/1000000)</x:f>
        <x:v>9.223300970873787</x:v>
      </x:c>
    </x:row>
    <x:row r="6955" ht="21" customHeight="1">
      <x:c r="A6955" s="10" t="n">
        <x:v>8945</x:v>
      </x:c>
      <x:c r="B6955" s="2" t="str">
        <x:v>e3235581a2a3ce3dd91e</x:v>
      </x:c>
      <x:c r="C6955" s="2" t="str">
        <x:v>Bình Dương</x:v>
      </x:c>
      <x:c r="D6955" s="2" t="str">
        <x:v>Thị xã Thuận An</x:v>
      </x:c>
      <x:c r="E6955" s="2" t="str">
        <x:v>land</x:v>
      </x:c>
      <x:c r="F6955" s="2" t="str">
        <x:v>sale_assumed</x:v>
      </x:c>
      <x:c r="G6955" s="11" t="n">
        <x:v>72</x:v>
      </x:c>
      <x:c r="H6955" s="12" t="n">
        <x:v>1250000000</x:v>
      </x:c>
      <x:c r="I6955" s="12" t="n">
        <x:v>17361111.111111112</x:v>
      </x:c>
      <x:c r="J6955" s="2" t="str">
        <x:v>total</x:v>
      </x:c>
      <x:c r="K6955" s="2" t="str">
        <x:v>top_level_area</x:v>
      </x:c>
      <x:c r="L6955" s="2" t="str">
        <x:v>property_type_inferred_from_title;transaction_assumed_sale_from_dataset_context</x:v>
      </x:c>
      <x:c r="M6955" s="10" t="n">
        <x:v>0</x:v>
      </x:c>
      <x:c r="N6955" s="10" t="n">
        <x:v>0</x:v>
      </x:c>
      <x:c r="O6955" s="2" t="str">
        <x:v>Bình Dương|land</x:v>
      </x:c>
      <x:c r="P6955" s="10" t="n">
        <x:v>2</x:v>
      </x:c>
      <x:c r="Q6955" s="13" t="n">
        <x:f>IF(H6955="","",H6955/1000000000)</x:f>
        <x:v>1.25</x:v>
      </x:c>
      <x:c r="R6955" s="13" t="n">
        <x:f>IF(I6955="","",I6955/1000000)</x:f>
        <x:v>17.36111111111111</x:v>
      </x:c>
    </x:row>
    <x:row r="6956" ht="21" customHeight="1">
      <x:c r="A6956" s="10" t="n">
        <x:v>8946</x:v>
      </x:c>
      <x:c r="B6956" s="2" t="str">
        <x:v>37e70e57e09c55be6b0a</x:v>
      </x:c>
      <x:c r="C6956" s="2" t="str">
        <x:v>Lâm Đồng</x:v>
      </x:c>
      <x:c r="D6956" s="2" t="str">
        <x:v>Thành phố Bảo Lộc</x:v>
      </x:c>
      <x:c r="E6956" s="2" t="str">
        <x:v>house</x:v>
      </x:c>
      <x:c r="F6956" s="2" t="str">
        <x:v>sale</x:v>
      </x:c>
      <x:c r="G6956" s="11" t="n">
        <x:v>60</x:v>
      </x:c>
      <x:c r="H6956" s="12" t="n">
        <x:v>1800000000</x:v>
      </x:c>
      <x:c r="I6956" s="12" t="n">
        <x:v>30000000</x:v>
      </x:c>
      <x:c r="J6956" s="2" t="str">
        <x:v>total</x:v>
      </x:c>
      <x:c r="K6956" s="2" t="str">
        <x:v>top_level_area</x:v>
      </x:c>
      <x:c r="L6956" s="2" t="str">
        <x:v>property_type_inferred_from_title</x:v>
      </x:c>
      <x:c r="M6956" s="10" t="n">
        <x:v>0</x:v>
      </x:c>
      <x:c r="N6956" s="10" t="n">
        <x:v>0</x:v>
      </x:c>
      <x:c r="O6956" s="2" t="str">
        <x:v>house</x:v>
      </x:c>
      <x:c r="P6956" s="10" t="n">
        <x:v>2</x:v>
      </x:c>
      <x:c r="Q6956" s="13" t="n">
        <x:f>IF(H6956="","",H6956/1000000000)</x:f>
        <x:v>1.8</x:v>
      </x:c>
      <x:c r="R6956" s="13" t="n">
        <x:f>IF(I6956="","",I6956/1000000)</x:f>
        <x:v>30</x:v>
      </x:c>
    </x:row>
    <x:row r="6957" ht="21" customHeight="1">
      <x:c r="A6957" s="10" t="n">
        <x:v>8947</x:v>
      </x:c>
      <x:c r="B6957" s="2" t="str">
        <x:v>b6e55641febf8c5b1c5b</x:v>
      </x:c>
      <x:c r="C6957" s="2" t="str">
        <x:v>Lâm Đồng</x:v>
      </x:c>
      <x:c r="D6957" s="2" t="str">
        <x:v>Huyện Di Linh</x:v>
      </x:c>
      <x:c r="E6957" s="2" t="str">
        <x:v>house</x:v>
      </x:c>
      <x:c r="F6957" s="2" t="str">
        <x:v>sale</x:v>
      </x:c>
      <x:c r="G6957" s="11" t="n">
        <x:v>154</x:v>
      </x:c>
      <x:c r="H6957" s="12" t="n">
        <x:v>630000000</x:v>
      </x:c>
      <x:c r="I6957" s="12" t="n">
        <x:v>4090909.090909091</x:v>
      </x:c>
      <x:c r="J6957" s="2" t="str">
        <x:v>total</x:v>
      </x:c>
      <x:c r="K6957" s="2" t="str">
        <x:v>top_level_area</x:v>
      </x:c>
      <x:c r="L6957" s="2" t="str">
        <x:v>property_type_inferred_from_title</x:v>
      </x:c>
      <x:c r="M6957" s="10" t="n">
        <x:v>0</x:v>
      </x:c>
      <x:c r="N6957" s="10" t="n">
        <x:v>0</x:v>
      </x:c>
      <x:c r="O6957" s="2" t="str">
        <x:v>house</x:v>
      </x:c>
      <x:c r="P6957" s="10" t="n">
        <x:v>1</x:v>
      </x:c>
      <x:c r="Q6957" s="13" t="n">
        <x:f>IF(H6957="","",H6957/1000000000)</x:f>
        <x:v>0.63</x:v>
      </x:c>
      <x:c r="R6957" s="13" t="n">
        <x:f>IF(I6957="","",I6957/1000000)</x:f>
        <x:v>4.090909090909091</x:v>
      </x:c>
    </x:row>
    <x:row r="6958" ht="21" customHeight="1">
      <x:c r="A6958" s="10" t="n">
        <x:v>8948</x:v>
      </x:c>
      <x:c r="B6958" s="2" t="str">
        <x:v>44b7dd92394df9113200</x:v>
      </x:c>
      <x:c r="C6958" s="2" t="str">
        <x:v>Đà Nẵng</x:v>
      </x:c>
      <x:c r="D6958" s="2" t="str">
        <x:v>Quận Hải Châu</x:v>
      </x:c>
      <x:c r="E6958" s="2" t="str">
        <x:v>house</x:v>
      </x:c>
      <x:c r="F6958" s="2" t="str">
        <x:v>sale_assumed</x:v>
      </x:c>
      <x:c r="G6958" s="11" t="n">
        <x:v>61</x:v>
      </x:c>
      <x:c r="H6958" s="12" t="n">
        <x:v>2650000000</x:v>
      </x:c>
      <x:c r="I6958" s="12" t="n">
        <x:v>43442622.95081967</x:v>
      </x:c>
      <x:c r="J6958" s="2" t="str">
        <x:v>total</x:v>
      </x:c>
      <x:c r="K6958" s="2" t="str">
        <x:v>top_level_area</x:v>
      </x:c>
      <x:c r="L6958" s="2" t="str">
        <x:v>property_type_inferred_from_title;transaction_assumed_sale_from_dataset_context</x:v>
      </x:c>
      <x:c r="M6958" s="10" t="n">
        <x:v>0</x:v>
      </x:c>
      <x:c r="N6958" s="10" t="n">
        <x:v>0</x:v>
      </x:c>
      <x:c r="O6958" s="2" t="str">
        <x:v>Đà Nẵng|house</x:v>
      </x:c>
      <x:c r="P6958" s="10" t="n">
        <x:v>2</x:v>
      </x:c>
      <x:c r="Q6958" s="13" t="n">
        <x:f>IF(H6958="","",H6958/1000000000)</x:f>
        <x:v>2.65</x:v>
      </x:c>
      <x:c r="R6958" s="13" t="n">
        <x:f>IF(I6958="","",I6958/1000000)</x:f>
        <x:v>43.44262295081967</x:v>
      </x:c>
    </x:row>
    <x:row r="6959" ht="21" customHeight="1">
      <x:c r="A6959" s="10" t="n">
        <x:v>8949</x:v>
      </x:c>
      <x:c r="B6959" s="2" t="str">
        <x:v>bab79af477b10ec9a50c</x:v>
      </x:c>
      <x:c r="C6959" s="2" t="str">
        <x:v>Tp Hồ Chí Minh</x:v>
      </x:c>
      <x:c r="D6959" s="2" t="str">
        <x:v>Huyện Hóc Môn</x:v>
      </x:c>
      <x:c r="E6959" s="2" t="str">
        <x:v>other_unknown</x:v>
      </x:c>
      <x:c r="F6959" s="2" t="str">
        <x:v>sale_assumed</x:v>
      </x:c>
      <x:c r="G6959" s="11" t="n">
        <x:v>40</x:v>
      </x:c>
      <x:c r="H6959" s="12" t="n">
        <x:v>695000000</x:v>
      </x:c>
      <x:c r="I6959" s="12" t="n">
        <x:v>17375000</x:v>
      </x:c>
      <x:c r="J6959" s="2" t="str">
        <x:v>total</x:v>
      </x:c>
      <x:c r="K6959" s="2" t="str">
        <x:v>top_level_area</x:v>
      </x:c>
      <x:c r="L6959" s="2" t="str">
        <x:v>property_type_inferred_from_title;transaction_assumed_sale_from_dataset_context;unknown_property_type</x:v>
      </x:c>
      <x:c r="M6959" s="10" t="n">
        <x:v>0</x:v>
      </x:c>
      <x:c r="N6959" s="10" t="n">
        <x:v>0</x:v>
      </x:c>
      <x:c r="O6959" s="2" t="str">
        <x:v>Tp Hồ Chí Minh|other_unknown</x:v>
      </x:c>
      <x:c r="P6959" s="10" t="n">
        <x:v>2</x:v>
      </x:c>
      <x:c r="Q6959" s="13" t="n">
        <x:f>IF(H6959="","",H6959/1000000000)</x:f>
        <x:v>0.695</x:v>
      </x:c>
      <x:c r="R6959" s="13" t="n">
        <x:f>IF(I6959="","",I6959/1000000)</x:f>
        <x:v>17.375</x:v>
      </x:c>
    </x:row>
    <x:row r="6960" ht="21" customHeight="1">
      <x:c r="A6960" s="10" t="n">
        <x:v>8950</x:v>
      </x:c>
      <x:c r="B6960" s="2" t="str">
        <x:v>6fb5505ba77b710c6634</x:v>
      </x:c>
      <x:c r="C6960" s="2" t="str">
        <x:v>Đà Nẵng</x:v>
      </x:c>
      <x:c r="D6960" s="2" t="str">
        <x:v>Quận Hải Châu</x:v>
      </x:c>
      <x:c r="E6960" s="2" t="str">
        <x:v>house</x:v>
      </x:c>
      <x:c r="F6960" s="2" t="str">
        <x:v>sale_assumed</x:v>
      </x:c>
      <x:c r="G6960" s="11" t="n">
        <x:v>202</x:v>
      </x:c>
      <x:c r="H6960" s="12" t="n">
        <x:v>40000000000</x:v>
      </x:c>
      <x:c r="I6960" s="12" t="n">
        <x:v>198019801.98019803</x:v>
      </x:c>
      <x:c r="J6960" s="2" t="str">
        <x:v>total</x:v>
      </x:c>
      <x:c r="K6960" s="2" t="str">
        <x:v>top_level_area</x:v>
      </x:c>
      <x:c r="L6960" s="2" t="str">
        <x:v>property_type_inferred_from_title;transaction_assumed_sale_from_dataset_context</x:v>
      </x:c>
      <x:c r="M6960" s="10" t="n">
        <x:v>1</x:v>
      </x:c>
      <x:c r="N6960" s="10" t="n">
        <x:v>1</x:v>
      </x:c>
      <x:c r="O6960" s="2" t="str">
        <x:v>Đà Nẵng|house</x:v>
      </x:c>
      <x:c r="P6960" s="10" t="n">
        <x:v>-1</x:v>
      </x:c>
      <x:c r="Q6960" s="13" t="n">
        <x:f>IF(H6960="","",H6960/1000000000)</x:f>
        <x:v>40</x:v>
      </x:c>
      <x:c r="R6960" s="13" t="n">
        <x:f>IF(I6960="","",I6960/1000000)</x:f>
        <x:v>198.01980198019803</x:v>
      </x:c>
    </x:row>
    <x:row r="6961" ht="21" customHeight="1">
      <x:c r="A6961" s="10" t="n">
        <x:v>8951</x:v>
      </x:c>
      <x:c r="B6961" s="2" t="str">
        <x:v>59170ae44ebe156f86ac</x:v>
      </x:c>
      <x:c r="C6961" s="2" t="str">
        <x:v>Tp Hồ Chí Minh</x:v>
      </x:c>
      <x:c r="D6961" s="2" t="str">
        <x:v>Quận 5</x:v>
      </x:c>
      <x:c r="E6961" s="2" t="str">
        <x:v>house</x:v>
      </x:c>
      <x:c r="F6961" s="2" t="str">
        <x:v>sale_assumed</x:v>
      </x:c>
      <x:c r="G6961" s="11" t="n">
        <x:v>27</x:v>
      </x:c>
      <x:c r="H6961" s="12" t="n">
        <x:v>12700000000</x:v>
      </x:c>
      <x:c r="I6961" s="12" t="n">
        <x:v>470370370.3703704</x:v>
      </x:c>
      <x:c r="J6961" s="2" t="str">
        <x:v>total</x:v>
      </x:c>
      <x:c r="K6961" s="2" t="str">
        <x:v>top_level_area</x:v>
      </x:c>
      <x:c r="L6961" s="2" t="str">
        <x:v>property_type_inferred_from_title;transaction_assumed_sale_from_dataset_context</x:v>
      </x:c>
      <x:c r="M6961" s="10" t="n">
        <x:v>1</x:v>
      </x:c>
      <x:c r="N6961" s="10" t="n">
        <x:v>1</x:v>
      </x:c>
      <x:c r="O6961" s="2" t="str">
        <x:v>Tp Hồ Chí Minh|house</x:v>
      </x:c>
      <x:c r="P6961" s="10" t="n">
        <x:v>-1</x:v>
      </x:c>
      <x:c r="Q6961" s="13" t="n">
        <x:f>IF(H6961="","",H6961/1000000000)</x:f>
        <x:v>12.7</x:v>
      </x:c>
      <x:c r="R6961" s="13" t="n">
        <x:f>IF(I6961="","",I6961/1000000)</x:f>
        <x:v>470.3703703703704</x:v>
      </x:c>
    </x:row>
    <x:row r="6962" ht="21" customHeight="1">
      <x:c r="A6962" s="10" t="n">
        <x:v>8952</x:v>
      </x:c>
      <x:c r="B6962" s="2" t="str">
        <x:v>f542adf0adb94f363707</x:v>
      </x:c>
      <x:c r="C6962" s="2" t="str">
        <x:v>Cần Thơ</x:v>
      </x:c>
      <x:c r="D6962" s="2" t="str">
        <x:v>Quận Ninh Kiều</x:v>
      </x:c>
      <x:c r="E6962" s="2" t="str">
        <x:v>land</x:v>
      </x:c>
      <x:c r="F6962" s="2" t="str">
        <x:v>sale_assumed</x:v>
      </x:c>
      <x:c r="G6962" s="11" t="n">
        <x:v>93</x:v>
      </x:c>
      <x:c r="H6962" s="12" t="n">
        <x:v>2800000000</x:v>
      </x:c>
      <x:c r="I6962" s="12" t="n">
        <x:v>30107526.88172043</x:v>
      </x:c>
      <x:c r="J6962" s="2" t="str">
        <x:v>total</x:v>
      </x:c>
      <x:c r="K6962" s="2" t="str">
        <x:v>top_level_area</x:v>
      </x:c>
      <x:c r="L6962" s="2" t="str">
        <x:v>property_type_inferred_from_title;transaction_assumed_sale_from_dataset_context</x:v>
      </x:c>
      <x:c r="M6962" s="10" t="n">
        <x:v>0</x:v>
      </x:c>
      <x:c r="N6962" s="10" t="n">
        <x:v>0</x:v>
      </x:c>
      <x:c r="O6962" s="2" t="str">
        <x:v>Cần Thơ|land</x:v>
      </x:c>
      <x:c r="P6962" s="10" t="n">
        <x:v>2</x:v>
      </x:c>
      <x:c r="Q6962" s="13" t="n">
        <x:f>IF(H6962="","",H6962/1000000000)</x:f>
        <x:v>2.8</x:v>
      </x:c>
      <x:c r="R6962" s="13" t="n">
        <x:f>IF(I6962="","",I6962/1000000)</x:f>
        <x:v>30.107526881720432</x:v>
      </x:c>
    </x:row>
    <x:row r="6963" ht="21" customHeight="1">
      <x:c r="A6963" s="10" t="n">
        <x:v>8953</x:v>
      </x:c>
      <x:c r="B6963" s="2" t="str">
        <x:v>1d2edade9cbd31caf68e</x:v>
      </x:c>
      <x:c r="C6963" s="2" t="str">
        <x:v>Đà Nẵng</x:v>
      </x:c>
      <x:c r="D6963" s="2" t="str">
        <x:v>Quận Hải Châu</x:v>
      </x:c>
      <x:c r="E6963" s="2" t="str">
        <x:v>land</x:v>
      </x:c>
      <x:c r="F6963" s="2" t="str">
        <x:v>sale</x:v>
      </x:c>
      <x:c r="G6963" s="11" t="n">
        <x:v>65</x:v>
      </x:c>
      <x:c r="H6963" s="12" t="n">
        <x:v>2600000000</x:v>
      </x:c>
      <x:c r="I6963" s="12" t="n">
        <x:v>40000000</x:v>
      </x:c>
      <x:c r="J6963" s="2" t="str">
        <x:v>total</x:v>
      </x:c>
      <x:c r="K6963" s="2" t="str">
        <x:v>top_level_area</x:v>
      </x:c>
      <x:c r="L6963" s="2" t="str">
        <x:v>property_type_inferred_from_title</x:v>
      </x:c>
      <x:c r="M6963" s="10" t="n">
        <x:v>0</x:v>
      </x:c>
      <x:c r="N6963" s="10" t="n">
        <x:v>0</x:v>
      </x:c>
      <x:c r="O6963" s="2" t="str">
        <x:v>Đà Nẵng|land</x:v>
      </x:c>
      <x:c r="P6963" s="10" t="n">
        <x:v>2</x:v>
      </x:c>
      <x:c r="Q6963" s="13" t="n">
        <x:f>IF(H6963="","",H6963/1000000000)</x:f>
        <x:v>2.6</x:v>
      </x:c>
      <x:c r="R6963" s="13" t="n">
        <x:f>IF(I6963="","",I6963/1000000)</x:f>
        <x:v>40</x:v>
      </x:c>
    </x:row>
    <x:row r="6964" ht="21" customHeight="1">
      <x:c r="A6964" s="10" t="n">
        <x:v>8954</x:v>
      </x:c>
      <x:c r="B6964" s="2" t="str">
        <x:v>53e4b478dbf6ad0a05b6</x:v>
      </x:c>
      <x:c r="C6964" s="2" t="str">
        <x:v>Long An</x:v>
      </x:c>
      <x:c r="D6964" s="2" t="str">
        <x:v>Huyện Bến Lức</x:v>
      </x:c>
      <x:c r="E6964" s="2" t="str">
        <x:v>house</x:v>
      </x:c>
      <x:c r="F6964" s="2" t="str">
        <x:v>sale</x:v>
      </x:c>
      <x:c r="G6964" s="11" t="n">
        <x:v>110</x:v>
      </x:c>
      <x:c r="H6964" s="12" t="n">
        <x:v>1000000000</x:v>
      </x:c>
      <x:c r="I6964" s="12" t="n">
        <x:v>9090909.090909092</x:v>
      </x:c>
      <x:c r="J6964" s="2" t="str">
        <x:v>total</x:v>
      </x:c>
      <x:c r="K6964" s="2" t="str">
        <x:v>top_level_area</x:v>
      </x:c>
      <x:c r="L6964" s="2" t="str">
        <x:v>property_type_inferred_from_title</x:v>
      </x:c>
      <x:c r="M6964" s="10" t="n">
        <x:v>0</x:v>
      </x:c>
      <x:c r="N6964" s="10" t="n">
        <x:v>0</x:v>
      </x:c>
      <x:c r="O6964" s="2" t="str">
        <x:v>Long An|house</x:v>
      </x:c>
      <x:c r="P6964" s="10" t="n">
        <x:v>2</x:v>
      </x:c>
      <x:c r="Q6964" s="13" t="n">
        <x:f>IF(H6964="","",H6964/1000000000)</x:f>
        <x:v>1</x:v>
      </x:c>
      <x:c r="R6964" s="13" t="n">
        <x:f>IF(I6964="","",I6964/1000000)</x:f>
        <x:v>9.090909090909092</x:v>
      </x:c>
    </x:row>
    <x:row r="6965" ht="21" customHeight="1">
      <x:c r="A6965" s="10" t="n">
        <x:v>8955</x:v>
      </x:c>
      <x:c r="B6965" s="2" t="str">
        <x:v>dd2482c8da01716af654</x:v>
      </x:c>
      <x:c r="C6965" s="2" t="str">
        <x:v>Tp Hồ Chí Minh</x:v>
      </x:c>
      <x:c r="D6965" s="2" t="str">
        <x:v>Quận 8</x:v>
      </x:c>
      <x:c r="E6965" s="2" t="str">
        <x:v>house</x:v>
      </x:c>
      <x:c r="F6965" s="2" t="str">
        <x:v>sale</x:v>
      </x:c>
      <x:c r="G6965" s="11" t="n">
        <x:v>40</x:v>
      </x:c>
      <x:c r="H6965" s="12" t="n">
        <x:v>860000000</x:v>
      </x:c>
      <x:c r="I6965" s="12" t="n">
        <x:v>21500000</x:v>
      </x:c>
      <x:c r="J6965" s="2" t="str">
        <x:v>total</x:v>
      </x:c>
      <x:c r="K6965" s="2" t="str">
        <x:v>top_level_area</x:v>
      </x:c>
      <x:c r="L6965" s="2" t="str">
        <x:v>property_type_inferred_from_title</x:v>
      </x:c>
      <x:c r="M6965" s="10" t="n">
        <x:v>0</x:v>
      </x:c>
      <x:c r="N6965" s="10" t="n">
        <x:v>0</x:v>
      </x:c>
      <x:c r="O6965" s="2" t="str">
        <x:v>Tp Hồ Chí Minh|house</x:v>
      </x:c>
      <x:c r="P6965" s="10" t="n">
        <x:v>2</x:v>
      </x:c>
      <x:c r="Q6965" s="13" t="n">
        <x:f>IF(H6965="","",H6965/1000000000)</x:f>
        <x:v>0.86</x:v>
      </x:c>
      <x:c r="R6965" s="13" t="n">
        <x:f>IF(I6965="","",I6965/1000000)</x:f>
        <x:v>21.5</x:v>
      </x:c>
    </x:row>
    <x:row r="6966" ht="21" customHeight="1">
      <x:c r="A6966" s="10" t="n">
        <x:v>8956</x:v>
      </x:c>
      <x:c r="B6966" s="2" t="str">
        <x:v>9f94816908a98990a9f6</x:v>
      </x:c>
      <x:c r="C6966" s="2" t="str">
        <x:v>Tp Hồ Chí Minh</x:v>
      </x:c>
      <x:c r="D6966" s="2" t="str">
        <x:v>Quận 7</x:v>
      </x:c>
      <x:c r="E6966" s="2" t="str">
        <x:v>house</x:v>
      </x:c>
      <x:c r="F6966" s="2" t="str">
        <x:v>sale</x:v>
      </x:c>
      <x:c r="G6966" s="11" t="n">
        <x:v>80</x:v>
      </x:c>
      <x:c r="H6966" s="12" t="n">
        <x:v>11500000000</x:v>
      </x:c>
      <x:c r="I6966" s="12" t="n">
        <x:v>143750000</x:v>
      </x:c>
      <x:c r="J6966" s="2" t="str">
        <x:v>total</x:v>
      </x:c>
      <x:c r="K6966" s="2" t="str">
        <x:v>top_level_area</x:v>
      </x:c>
      <x:c r="L6966" s="2" t="str">
        <x:v>property_type_inferred_from_title</x:v>
      </x:c>
      <x:c r="M6966" s="10" t="n">
        <x:v>0</x:v>
      </x:c>
      <x:c r="N6966" s="10" t="n">
        <x:v>0</x:v>
      </x:c>
      <x:c r="O6966" s="2" t="str">
        <x:v>Tp Hồ Chí Minh|house</x:v>
      </x:c>
      <x:c r="P6966" s="10" t="n">
        <x:v>2</x:v>
      </x:c>
      <x:c r="Q6966" s="13" t="n">
        <x:f>IF(H6966="","",H6966/1000000000)</x:f>
        <x:v>11.5</x:v>
      </x:c>
      <x:c r="R6966" s="13" t="n">
        <x:f>IF(I6966="","",I6966/1000000)</x:f>
        <x:v>143.75</x:v>
      </x:c>
    </x:row>
    <x:row r="6967" ht="21" customHeight="1">
      <x:c r="A6967" s="10" t="n">
        <x:v>8957</x:v>
      </x:c>
      <x:c r="B6967" s="2" t="str">
        <x:v>80c699d91f8df675fe3e</x:v>
      </x:c>
      <x:c r="C6967" s="2" t="str">
        <x:v>Hà Nội</x:v>
      </x:c>
      <x:c r="D6967" s="2" t="str">
        <x:v>Quận Hai Bà Trưng</x:v>
      </x:c>
      <x:c r="E6967" s="2" t="str">
        <x:v>house</x:v>
      </x:c>
      <x:c r="F6967" s="2" t="str">
        <x:v>sale</x:v>
      </x:c>
      <x:c r="G6967" s="11" t="n">
        <x:v>22</x:v>
      </x:c>
      <x:c r="H6967" s="12" t="n">
        <x:v>16600000000.000002</x:v>
      </x:c>
      <x:c r="I6967" s="12" t="n">
        <x:v>754545454.5454546</x:v>
      </x:c>
      <x:c r="J6967" s="2" t="str">
        <x:v>total</x:v>
      </x:c>
      <x:c r="K6967" s="2" t="str">
        <x:v>top_level_area</x:v>
      </x:c>
      <x:c r="L6967" s="2" t="str">
        <x:v>property_type_inferred_from_title</x:v>
      </x:c>
      <x:c r="M6967" s="10" t="n">
        <x:v>1</x:v>
      </x:c>
      <x:c r="N6967" s="10" t="n">
        <x:v>1</x:v>
      </x:c>
      <x:c r="O6967" s="2" t="str">
        <x:v>Hà Nội|house</x:v>
      </x:c>
      <x:c r="P6967" s="10" t="n">
        <x:v>-1</x:v>
      </x:c>
      <x:c r="Q6967" s="13" t="n">
        <x:f>IF(H6967="","",H6967/1000000000)</x:f>
        <x:v>16.6</x:v>
      </x:c>
      <x:c r="R6967" s="13" t="n">
        <x:f>IF(I6967="","",I6967/1000000)</x:f>
        <x:v>754.5454545454546</x:v>
      </x:c>
    </x:row>
    <x:row r="6968" ht="21" customHeight="1">
      <x:c r="A6968" s="10" t="n">
        <x:v>8958</x:v>
      </x:c>
      <x:c r="B6968" s="2" t="str">
        <x:v>1f5aa851b9d58af71751</x:v>
      </x:c>
      <x:c r="C6968" s="2" t="str">
        <x:v>Tp Hồ Chí Minh</x:v>
      </x:c>
      <x:c r="D6968" s="2" t="str">
        <x:v>Quận Tân Phú</x:v>
      </x:c>
      <x:c r="E6968" s="2" t="str">
        <x:v>other_unknown</x:v>
      </x:c>
      <x:c r="F6968" s="2" t="str">
        <x:v>sale_assumed</x:v>
      </x:c>
      <x:c r="G6968" s="11" t="n">
        <x:v>64</x:v>
      </x:c>
      <x:c r="H6968" s="12" t="n">
        <x:v>1800000000</x:v>
      </x:c>
      <x:c r="I6968" s="12" t="n">
        <x:v>28125000</x:v>
      </x:c>
      <x:c r="J6968" s="2" t="str">
        <x:v>total</x:v>
      </x:c>
      <x:c r="K6968" s="2" t="str">
        <x:v>top_level_area</x:v>
      </x:c>
      <x:c r="L6968" s="2" t="str">
        <x:v>property_type_inferred_from_title;transaction_assumed_sale_from_dataset_context;unknown_property_type</x:v>
      </x:c>
      <x:c r="M6968" s="10" t="n">
        <x:v>0</x:v>
      </x:c>
      <x:c r="N6968" s="10" t="n">
        <x:v>0</x:v>
      </x:c>
      <x:c r="O6968" s="2" t="str">
        <x:v>Tp Hồ Chí Minh|other_unknown</x:v>
      </x:c>
      <x:c r="P6968" s="10" t="n">
        <x:v>2</x:v>
      </x:c>
      <x:c r="Q6968" s="13" t="n">
        <x:f>IF(H6968="","",H6968/1000000000)</x:f>
        <x:v>1.8</x:v>
      </x:c>
      <x:c r="R6968" s="13" t="n">
        <x:f>IF(I6968="","",I6968/1000000)</x:f>
        <x:v>28.125</x:v>
      </x:c>
    </x:row>
    <x:row r="6969" ht="21" customHeight="1">
      <x:c r="A6969" s="10" t="n">
        <x:v>8959</x:v>
      </x:c>
      <x:c r="B6969" s="2" t="str">
        <x:v>4967fe4ef674649dfb3e</x:v>
      </x:c>
      <x:c r="C6969" s="2" t="str">
        <x:v>Tp Hồ Chí Minh</x:v>
      </x:c>
      <x:c r="D6969" s="2" t="str">
        <x:v>Quận Bình Tân</x:v>
      </x:c>
      <x:c r="E6969" s="2" t="str">
        <x:v>house</x:v>
      </x:c>
      <x:c r="F6969" s="2" t="str">
        <x:v>sale_assumed</x:v>
      </x:c>
      <x:c r="G6969" s="11" t="n">
        <x:v>55</x:v>
      </x:c>
      <x:c r="H6969" s="12" t="n">
        <x:v>4250000000</x:v>
      </x:c>
      <x:c r="I6969" s="12" t="n">
        <x:v>77272727.27272727</x:v>
      </x:c>
      <x:c r="J6969" s="2" t="str">
        <x:v>total</x:v>
      </x:c>
      <x:c r="K6969" s="2" t="str">
        <x:v>top_level_price_embedded_area</x:v>
      </x:c>
      <x:c r="L6969" s="2" t="str">
        <x:v>area_recovered_from_price_text;property_type_inferred_from_title;transaction_assumed_sale_from_dataset_context</x:v>
      </x:c>
      <x:c r="M6969" s="10" t="n">
        <x:v>0</x:v>
      </x:c>
      <x:c r="N6969" s="10" t="n">
        <x:v>0</x:v>
      </x:c>
      <x:c r="O6969" s="2" t="str">
        <x:v>Tp Hồ Chí Minh|house</x:v>
      </x:c>
      <x:c r="P6969" s="10" t="n">
        <x:v>2</x:v>
      </x:c>
      <x:c r="Q6969" s="13" t="n">
        <x:f>IF(H6969="","",H6969/1000000000)</x:f>
        <x:v>4.25</x:v>
      </x:c>
      <x:c r="R6969" s="13" t="n">
        <x:f>IF(I6969="","",I6969/1000000)</x:f>
        <x:v>77.27272727272727</x:v>
      </x:c>
    </x:row>
    <x:row r="6970" ht="21" customHeight="1">
      <x:c r="A6970" s="10" t="n">
        <x:v>8960</x:v>
      </x:c>
      <x:c r="B6970" s="2" t="str">
        <x:v>88775631b4ae0774e9ba</x:v>
      </x:c>
      <x:c r="C6970" s="2" t="str">
        <x:v>Đồng Nai</x:v>
      </x:c>
      <x:c r="D6970" s="2" t="str">
        <x:v>Huyện Vĩnh Cửu</x:v>
      </x:c>
      <x:c r="E6970" s="2" t="str">
        <x:v>house</x:v>
      </x:c>
      <x:c r="F6970" s="2" t="str">
        <x:v>sale_assumed</x:v>
      </x:c>
      <x:c r="G6970" s="11" t="n">
        <x:v>75</x:v>
      </x:c>
      <x:c r="H6970" s="12" t="n">
        <x:v>1650000000</x:v>
      </x:c>
      <x:c r="I6970" s="12" t="n">
        <x:v>22000000</x:v>
      </x:c>
      <x:c r="J6970" s="2" t="str">
        <x:v>total</x:v>
      </x:c>
      <x:c r="K6970" s="2" t="str">
        <x:v>top_level_area</x:v>
      </x:c>
      <x:c r="L6970" s="2" t="str">
        <x:v>property_type_inferred_from_title;transaction_assumed_sale_from_dataset_context</x:v>
      </x:c>
      <x:c r="M6970" s="10" t="n">
        <x:v>0</x:v>
      </x:c>
      <x:c r="N6970" s="10" t="n">
        <x:v>0</x:v>
      </x:c>
      <x:c r="O6970" s="2" t="str">
        <x:v>Đồng Nai|house</x:v>
      </x:c>
      <x:c r="P6970" s="10" t="n">
        <x:v>2</x:v>
      </x:c>
      <x:c r="Q6970" s="13" t="n">
        <x:f>IF(H6970="","",H6970/1000000000)</x:f>
        <x:v>1.65</x:v>
      </x:c>
      <x:c r="R6970" s="13" t="n">
        <x:f>IF(I6970="","",I6970/1000000)</x:f>
        <x:v>22</x:v>
      </x:c>
    </x:row>
    <x:row r="6971" ht="21" customHeight="1">
      <x:c r="A6971" s="10" t="n">
        <x:v>8961</x:v>
      </x:c>
      <x:c r="B6971" s="2" t="str">
        <x:v>f9a245d0d0a8b65d9b07</x:v>
      </x:c>
      <x:c r="C6971" s="2" t="str">
        <x:v>Hà Nội</x:v>
      </x:c>
      <x:c r="D6971" s="2" t="str">
        <x:v>Quận Thanh Xuân</x:v>
      </x:c>
      <x:c r="E6971" s="2" t="str">
        <x:v>house</x:v>
      </x:c>
      <x:c r="F6971" s="2" t="str">
        <x:v>sale_assumed</x:v>
      </x:c>
      <x:c r="G6971" s="11" t="n">
        <x:v>51</x:v>
      </x:c>
      <x:c r="H6971" s="12" t="n">
        <x:v>9700000000</x:v>
      </x:c>
      <x:c r="I6971" s="12" t="n">
        <x:v>190196078.43137255</x:v>
      </x:c>
      <x:c r="J6971" s="2" t="str">
        <x:v>total</x:v>
      </x:c>
      <x:c r="K6971" s="2" t="str">
        <x:v>top_level_area</x:v>
      </x:c>
      <x:c r="L6971" s="2" t="str">
        <x:v>property_type_inferred_from_title;transaction_assumed_sale_from_dataset_context</x:v>
      </x:c>
      <x:c r="M6971" s="10" t="n">
        <x:v>1</x:v>
      </x:c>
      <x:c r="N6971" s="10" t="n">
        <x:v>1</x:v>
      </x:c>
      <x:c r="O6971" s="2" t="str">
        <x:v>Hà Nội|house</x:v>
      </x:c>
      <x:c r="P6971" s="10" t="n">
        <x:v>-1</x:v>
      </x:c>
      <x:c r="Q6971" s="13" t="n">
        <x:f>IF(H6971="","",H6971/1000000000)</x:f>
        <x:v>9.7</x:v>
      </x:c>
      <x:c r="R6971" s="13" t="n">
        <x:f>IF(I6971="","",I6971/1000000)</x:f>
        <x:v>190.19607843137254</x:v>
      </x:c>
    </x:row>
    <x:row r="6972" ht="21" customHeight="1">
      <x:c r="A6972" s="10" t="n">
        <x:v>8964</x:v>
      </x:c>
      <x:c r="B6972" s="2" t="str">
        <x:v>16a6d952e26d1ea291d6</x:v>
      </x:c>
      <x:c r="C6972" s="2" t="str">
        <x:v>Bình Dương</x:v>
      </x:c>
      <x:c r="D6972" s="2" t="str">
        <x:v>Thị xã Dĩ An</x:v>
      </x:c>
      <x:c r="E6972" s="2" t="str">
        <x:v>apartment</x:v>
      </x:c>
      <x:c r="F6972" s="2" t="str">
        <x:v>sale_assumed</x:v>
      </x:c>
      <x:c r="G6972" s="11" t="n">
        <x:v>55</x:v>
      </x:c>
      <x:c r="H6972" s="12" t="n">
        <x:v>990000000</x:v>
      </x:c>
      <x:c r="I6972" s="12" t="n">
        <x:v>18000000</x:v>
      </x:c>
      <x:c r="J6972" s="2" t="str">
        <x:v>total</x:v>
      </x:c>
      <x:c r="K6972" s="2" t="str">
        <x:v>top_level_area</x:v>
      </x:c>
      <x:c r="L6972" s="2" t="str">
        <x:v>property_type_inferred_from_title;transaction_assumed_sale_from_dataset_context</x:v>
      </x:c>
      <x:c r="M6972" s="10" t="n">
        <x:v>0</x:v>
      </x:c>
      <x:c r="N6972" s="10" t="n">
        <x:v>0</x:v>
      </x:c>
      <x:c r="O6972" s="2" t="str">
        <x:v>Bình Dương|apartment</x:v>
      </x:c>
      <x:c r="P6972" s="10" t="n">
        <x:v>2</x:v>
      </x:c>
      <x:c r="Q6972" s="13" t="n">
        <x:f>IF(H6972="","",H6972/1000000000)</x:f>
        <x:v>0.99</x:v>
      </x:c>
      <x:c r="R6972" s="13" t="n">
        <x:f>IF(I6972="","",I6972/1000000)</x:f>
        <x:v>18</x:v>
      </x:c>
    </x:row>
    <x:row r="6973" ht="21" customHeight="1">
      <x:c r="A6973" s="10" t="n">
        <x:v>8965</x:v>
      </x:c>
      <x:c r="B6973" s="2" t="str">
        <x:v>5170fac1a62602443439</x:v>
      </x:c>
      <x:c r="C6973" s="2" t="str">
        <x:v>Tp Hồ Chí Minh</x:v>
      </x:c>
      <x:c r="D6973" s="2" t="str">
        <x:v>Quận Gò Vấp</x:v>
      </x:c>
      <x:c r="E6973" s="2" t="str">
        <x:v>house</x:v>
      </x:c>
      <x:c r="F6973" s="2" t="str">
        <x:v>sale</x:v>
      </x:c>
      <x:c r="G6973" s="11" t="n">
        <x:v>113</x:v>
      </x:c>
      <x:c r="H6973" s="12" t="n">
        <x:v>6800000000</x:v>
      </x:c>
      <x:c r="I6973" s="12" t="n">
        <x:v>60176991.15044248</x:v>
      </x:c>
      <x:c r="J6973" s="2" t="str">
        <x:v>total</x:v>
      </x:c>
      <x:c r="K6973" s="2" t="str">
        <x:v>top_level_area</x:v>
      </x:c>
      <x:c r="L6973" s="2" t="str">
        <x:v>property_type_inferred_from_title</x:v>
      </x:c>
      <x:c r="M6973" s="10" t="n">
        <x:v>0</x:v>
      </x:c>
      <x:c r="N6973" s="10" t="n">
        <x:v>0</x:v>
      </x:c>
      <x:c r="O6973" s="2" t="str">
        <x:v>Tp Hồ Chí Minh|house</x:v>
      </x:c>
      <x:c r="P6973" s="10" t="n">
        <x:v>2</x:v>
      </x:c>
      <x:c r="Q6973" s="13" t="n">
        <x:f>IF(H6973="","",H6973/1000000000)</x:f>
        <x:v>6.8</x:v>
      </x:c>
      <x:c r="R6973" s="13" t="n">
        <x:f>IF(I6973="","",I6973/1000000)</x:f>
        <x:v>60.17699115044248</x:v>
      </x:c>
    </x:row>
    <x:row r="6974" ht="21" customHeight="1">
      <x:c r="A6974" s="10" t="n">
        <x:v>8966</x:v>
      </x:c>
      <x:c r="B6974" s="2" t="str">
        <x:v>da7d37c56a6bda9e5c0c</x:v>
      </x:c>
      <x:c r="C6974" s="2" t="str">
        <x:v>Tp Hồ Chí Minh</x:v>
      </x:c>
      <x:c r="D6974" s="2" t="str">
        <x:v>Quận 9</x:v>
      </x:c>
      <x:c r="E6974" s="2" t="str">
        <x:v>other_unknown</x:v>
      </x:c>
      <x:c r="F6974" s="2" t="str">
        <x:v>sale</x:v>
      </x:c>
      <x:c r="G6974" s="11" t="n">
        <x:v>88</x:v>
      </x:c>
      <x:c r="H6974" s="12" t="n">
        <x:v>8000000000</x:v>
      </x:c>
      <x:c r="I6974" s="12" t="n">
        <x:v>90909090.9090909</x:v>
      </x:c>
      <x:c r="J6974" s="2" t="str">
        <x:v>total</x:v>
      </x:c>
      <x:c r="K6974" s="2" t="str">
        <x:v>top_level_price_embedded_area</x:v>
      </x:c>
      <x:c r="L6974" s="2" t="str">
        <x:v>area_recovered_from_price_text;property_type_inferred_from_title;unknown_property_type</x:v>
      </x:c>
      <x:c r="M6974" s="10" t="n">
        <x:v>0</x:v>
      </x:c>
      <x:c r="N6974" s="10" t="n">
        <x:v>0</x:v>
      </x:c>
      <x:c r="O6974" s="2" t="str">
        <x:v>Tp Hồ Chí Minh|other_unknown</x:v>
      </x:c>
      <x:c r="P6974" s="10" t="n">
        <x:v>2</x:v>
      </x:c>
      <x:c r="Q6974" s="13" t="n">
        <x:f>IF(H6974="","",H6974/1000000000)</x:f>
        <x:v>8</x:v>
      </x:c>
      <x:c r="R6974" s="13" t="n">
        <x:f>IF(I6974="","",I6974/1000000)</x:f>
        <x:v>90.9090909090909</x:v>
      </x:c>
    </x:row>
    <x:row r="6975" ht="21" customHeight="1">
      <x:c r="A6975" s="10" t="n">
        <x:v>8967</x:v>
      </x:c>
      <x:c r="B6975" s="2" t="str">
        <x:v>33a10c6c0a15fb1c2b69</x:v>
      </x:c>
      <x:c r="C6975" s="2" t="str">
        <x:v>Tp Hồ Chí Minh</x:v>
      </x:c>
      <x:c r="D6975" s="2" t="str">
        <x:v>Huyện Củ Chi</x:v>
      </x:c>
      <x:c r="E6975" s="2" t="str">
        <x:v>land</x:v>
      </x:c>
      <x:c r="F6975" s="2" t="str">
        <x:v>sale</x:v>
      </x:c>
      <x:c r="G6975" s="11" t="n">
        <x:v>103</x:v>
      </x:c>
      <x:c r="H6975" s="12" t="n">
        <x:v>1050000000</x:v>
      </x:c>
      <x:c r="I6975" s="12" t="n">
        <x:v>10194174.757281553</x:v>
      </x:c>
      <x:c r="J6975" s="2" t="str">
        <x:v>total</x:v>
      </x:c>
      <x:c r="K6975" s="2" t="str">
        <x:v>top_level_area</x:v>
      </x:c>
      <x:c r="L6975" s="2" t="str">
        <x:v>property_type_inferred_from_title</x:v>
      </x:c>
      <x:c r="M6975" s="10" t="n">
        <x:v>0</x:v>
      </x:c>
      <x:c r="N6975" s="10" t="n">
        <x:v>0</x:v>
      </x:c>
      <x:c r="O6975" s="2" t="str">
        <x:v>Tp Hồ Chí Minh|land</x:v>
      </x:c>
      <x:c r="P6975" s="10" t="n">
        <x:v>2</x:v>
      </x:c>
      <x:c r="Q6975" s="13" t="n">
        <x:f>IF(H6975="","",H6975/1000000000)</x:f>
        <x:v>1.05</x:v>
      </x:c>
      <x:c r="R6975" s="13" t="n">
        <x:f>IF(I6975="","",I6975/1000000)</x:f>
        <x:v>10.194174757281553</x:v>
      </x:c>
    </x:row>
    <x:row r="6976" ht="21" customHeight="1">
      <x:c r="A6976" s="10" t="n">
        <x:v>8968</x:v>
      </x:c>
      <x:c r="B6976" s="2" t="str">
        <x:v>a368c14d7ffdc35ba188</x:v>
      </x:c>
      <x:c r="C6976" s="2" t="str">
        <x:v>Tp Hồ Chí Minh</x:v>
      </x:c>
      <x:c r="D6976" s="2" t="str">
        <x:v>Quận Thủ Đức</x:v>
      </x:c>
      <x:c r="E6976" s="2" t="str">
        <x:v>house</x:v>
      </x:c>
      <x:c r="F6976" s="2" t="str">
        <x:v>sale</x:v>
      </x:c>
      <x:c r="G6976" s="11" t="n">
        <x:v>52.3</x:v>
      </x:c>
      <x:c r="H6976" s="12" t="n">
        <x:v>3900000000</x:v>
      </x:c>
      <x:c r="I6976" s="12" t="n">
        <x:v>74569789.67495221</x:v>
      </x:c>
      <x:c r="J6976" s="2" t="str">
        <x:v>total</x:v>
      </x:c>
      <x:c r="K6976" s="2" t="str">
        <x:v>top_level_area</x:v>
      </x:c>
      <x:c r="L6976" s="2" t="str">
        <x:v>property_type_inferred_from_title</x:v>
      </x:c>
      <x:c r="M6976" s="10" t="n">
        <x:v>0</x:v>
      </x:c>
      <x:c r="N6976" s="10" t="n">
        <x:v>0</x:v>
      </x:c>
      <x:c r="O6976" s="2" t="str">
        <x:v>Tp Hồ Chí Minh|house</x:v>
      </x:c>
      <x:c r="P6976" s="10" t="n">
        <x:v>2</x:v>
      </x:c>
      <x:c r="Q6976" s="13" t="n">
        <x:f>IF(H6976="","",H6976/1000000000)</x:f>
        <x:v>3.9</x:v>
      </x:c>
      <x:c r="R6976" s="13" t="n">
        <x:f>IF(I6976="","",I6976/1000000)</x:f>
        <x:v>74.5697896749522</x:v>
      </x:c>
    </x:row>
    <x:row r="6977" ht="21" customHeight="1">
      <x:c r="A6977" s="10" t="n">
        <x:v>8969</x:v>
      </x:c>
      <x:c r="B6977" s="2" t="str">
        <x:v>2e0856981eca2d1ceff0</x:v>
      </x:c>
      <x:c r="C6977" s="2" t="str">
        <x:v>Tp Hồ Chí Minh</x:v>
      </x:c>
      <x:c r="D6977" s="2" t="str">
        <x:v>Quận Bình Thạnh</x:v>
      </x:c>
      <x:c r="E6977" s="2" t="str">
        <x:v>other_unknown</x:v>
      </x:c>
      <x:c r="F6977" s="2" t="str">
        <x:v>sale_assumed</x:v>
      </x:c>
      <x:c r="G6977" s="11" t="n">
        <x:v>48</x:v>
      </x:c>
      <x:c r="H6977" s="12" t="n">
        <x:v>6500000000</x:v>
      </x:c>
      <x:c r="I6977" s="12" t="n">
        <x:v>135416666.66666666</x:v>
      </x:c>
      <x:c r="J6977" s="2" t="str">
        <x:v>total</x:v>
      </x:c>
      <x:c r="K6977" s="2" t="str">
        <x:v>top_level_area</x:v>
      </x:c>
      <x:c r="L6977" s="2" t="str">
        <x:v>property_type_inferred_from_title;transaction_assumed_sale_from_dataset_context;unknown_property_type</x:v>
      </x:c>
      <x:c r="M6977" s="10" t="n">
        <x:v>0</x:v>
      </x:c>
      <x:c r="N6977" s="10" t="n">
        <x:v>0</x:v>
      </x:c>
      <x:c r="O6977" s="2" t="str">
        <x:v>Tp Hồ Chí Minh|other_unknown</x:v>
      </x:c>
      <x:c r="P6977" s="10" t="n">
        <x:v>2</x:v>
      </x:c>
      <x:c r="Q6977" s="13" t="n">
        <x:f>IF(H6977="","",H6977/1000000000)</x:f>
        <x:v>6.5</x:v>
      </x:c>
      <x:c r="R6977" s="13" t="n">
        <x:f>IF(I6977="","",I6977/1000000)</x:f>
        <x:v>135.41666666666666</x:v>
      </x:c>
    </x:row>
    <x:row r="6978" ht="21" customHeight="1">
      <x:c r="A6978" s="10" t="n">
        <x:v>8970</x:v>
      </x:c>
      <x:c r="B6978" s="2" t="str">
        <x:v>46064d9229c348fa18bf</x:v>
      </x:c>
      <x:c r="C6978" s="2" t="str">
        <x:v>Tp Hồ Chí Minh</x:v>
      </x:c>
      <x:c r="D6978" s="2" t="str">
        <x:v>Quận Gò Vấp</x:v>
      </x:c>
      <x:c r="E6978" s="2" t="str">
        <x:v>other_unknown</x:v>
      </x:c>
      <x:c r="F6978" s="2" t="str">
        <x:v>sale_assumed</x:v>
      </x:c>
      <x:c r="G6978" s="11" t="n">
        <x:v>49</x:v>
      </x:c>
      <x:c r="H6978" s="12" t="n">
        <x:v>4750000000</x:v>
      </x:c>
      <x:c r="I6978" s="12" t="n">
        <x:v>96938775.51020408</x:v>
      </x:c>
      <x:c r="J6978" s="2" t="str">
        <x:v>total</x:v>
      </x:c>
      <x:c r="K6978" s="2" t="str">
        <x:v>top_level_area</x:v>
      </x:c>
      <x:c r="L6978" s="2" t="str">
        <x:v>property_type_inferred_from_title;transaction_assumed_sale_from_dataset_context;unknown_property_type</x:v>
      </x:c>
      <x:c r="M6978" s="10" t="n">
        <x:v>0</x:v>
      </x:c>
      <x:c r="N6978" s="10" t="n">
        <x:v>0</x:v>
      </x:c>
      <x:c r="O6978" s="2" t="str">
        <x:v>Tp Hồ Chí Minh|other_unknown</x:v>
      </x:c>
      <x:c r="P6978" s="10" t="n">
        <x:v>2</x:v>
      </x:c>
      <x:c r="Q6978" s="13" t="n">
        <x:f>IF(H6978="","",H6978/1000000000)</x:f>
        <x:v>4.75</x:v>
      </x:c>
      <x:c r="R6978" s="13" t="n">
        <x:f>IF(I6978="","",I6978/1000000)</x:f>
        <x:v>96.93877551020408</x:v>
      </x:c>
    </x:row>
    <x:row r="6979" ht="21" customHeight="1">
      <x:c r="A6979" s="10" t="n">
        <x:v>8971</x:v>
      </x:c>
      <x:c r="B6979" s="2" t="str">
        <x:v>948bd6d5ebb07e661801</x:v>
      </x:c>
      <x:c r="C6979" s="2" t="str">
        <x:v>Hà Nội</x:v>
      </x:c>
      <x:c r="D6979" s="2" t="str">
        <x:v>Quận Hà Đông</x:v>
      </x:c>
      <x:c r="E6979" s="2" t="str">
        <x:v>house</x:v>
      </x:c>
      <x:c r="F6979" s="2" t="str">
        <x:v>sale_assumed</x:v>
      </x:c>
      <x:c r="G6979" s="11" t="n">
        <x:v>50</x:v>
      </x:c>
      <x:c r="H6979" s="12" t="n">
        <x:v>7900000000</x:v>
      </x:c>
      <x:c r="I6979" s="12" t="n">
        <x:v>158000000</x:v>
      </x:c>
      <x:c r="J6979" s="2" t="str">
        <x:v>total</x:v>
      </x:c>
      <x:c r="K6979" s="2" t="str">
        <x:v>top_level_area</x:v>
      </x:c>
      <x:c r="L6979" s="2" t="str">
        <x:v>property_type_inferred_from_title;transaction_assumed_sale_from_dataset_context</x:v>
      </x:c>
      <x:c r="M6979" s="10" t="n">
        <x:v>0</x:v>
      </x:c>
      <x:c r="N6979" s="10" t="n">
        <x:v>0</x:v>
      </x:c>
      <x:c r="O6979" s="2" t="str">
        <x:v>Hà Nội|house</x:v>
      </x:c>
      <x:c r="P6979" s="10" t="n">
        <x:v>2</x:v>
      </x:c>
      <x:c r="Q6979" s="13" t="n">
        <x:f>IF(H6979="","",H6979/1000000000)</x:f>
        <x:v>7.9</x:v>
      </x:c>
      <x:c r="R6979" s="13" t="n">
        <x:f>IF(I6979="","",I6979/1000000)</x:f>
        <x:v>158</x:v>
      </x:c>
    </x:row>
    <x:row r="6980" ht="21" customHeight="1">
      <x:c r="A6980" s="10" t="n">
        <x:v>8972</x:v>
      </x:c>
      <x:c r="B6980" s="2" t="str">
        <x:v>dd558284db5d1f249ab0</x:v>
      </x:c>
      <x:c r="C6980" s="2" t="str">
        <x:v>Tp Hồ Chí Minh</x:v>
      </x:c>
      <x:c r="D6980" s="2" t="str">
        <x:v>Quận 9</x:v>
      </x:c>
      <x:c r="E6980" s="2" t="str">
        <x:v>other_unknown</x:v>
      </x:c>
      <x:c r="F6980" s="2" t="str">
        <x:v>sale_assumed</x:v>
      </x:c>
      <x:c r="G6980" s="11" t="n">
        <x:v>50</x:v>
      </x:c>
      <x:c r="H6980" s="12" t="n">
        <x:v>3300000000</x:v>
      </x:c>
      <x:c r="I6980" s="12" t="n">
        <x:v>66000000</x:v>
      </x:c>
      <x:c r="J6980" s="2" t="str">
        <x:v>total</x:v>
      </x:c>
      <x:c r="K6980" s="2" t="str">
        <x:v>top_level_area</x:v>
      </x:c>
      <x:c r="L6980" s="2" t="str">
        <x:v>property_type_inferred_from_title;transaction_assumed_sale_from_dataset_context;unknown_property_type</x:v>
      </x:c>
      <x:c r="M6980" s="10" t="n">
        <x:v>0</x:v>
      </x:c>
      <x:c r="N6980" s="10" t="n">
        <x:v>0</x:v>
      </x:c>
      <x:c r="O6980" s="2" t="str">
        <x:v>Tp Hồ Chí Minh|other_unknown</x:v>
      </x:c>
      <x:c r="P6980" s="10" t="n">
        <x:v>2</x:v>
      </x:c>
      <x:c r="Q6980" s="13" t="n">
        <x:f>IF(H6980="","",H6980/1000000000)</x:f>
        <x:v>3.3</x:v>
      </x:c>
      <x:c r="R6980" s="13" t="n">
        <x:f>IF(I6980="","",I6980/1000000)</x:f>
        <x:v>66</x:v>
      </x:c>
    </x:row>
    <x:row r="6981" ht="21" customHeight="1">
      <x:c r="A6981" s="10" t="n">
        <x:v>8973</x:v>
      </x:c>
      <x:c r="B6981" s="2" t="str">
        <x:v>dd896ed3efdfb3019ede</x:v>
      </x:c>
      <x:c r="C6981" s="2" t="str">
        <x:v>Hải Phòng</x:v>
      </x:c>
      <x:c r="D6981" s="2" t="str">
        <x:v>Quận Dương Kinh</x:v>
      </x:c>
      <x:c r="E6981" s="2" t="str">
        <x:v>land</x:v>
      </x:c>
      <x:c r="F6981" s="2" t="str">
        <x:v>sale</x:v>
      </x:c>
      <x:c r="G6981" s="11" t="n">
        <x:v>105</x:v>
      </x:c>
      <x:c r="H6981" s="12" t="n">
        <x:v>1300000000</x:v>
      </x:c>
      <x:c r="I6981" s="12" t="n">
        <x:v>12380952.38095238</x:v>
      </x:c>
      <x:c r="J6981" s="2" t="str">
        <x:v>total</x:v>
      </x:c>
      <x:c r="K6981" s="2" t="str">
        <x:v>top_level_area</x:v>
      </x:c>
      <x:c r="L6981" s="2" t="str">
        <x:v>property_type_inferred_from_title</x:v>
      </x:c>
      <x:c r="M6981" s="10" t="n">
        <x:v>0</x:v>
      </x:c>
      <x:c r="N6981" s="10" t="n">
        <x:v>0</x:v>
      </x:c>
      <x:c r="O6981" s="2" t="str">
        <x:v>land</x:v>
      </x:c>
      <x:c r="P6981" s="10" t="n">
        <x:v>2</x:v>
      </x:c>
      <x:c r="Q6981" s="13" t="n">
        <x:f>IF(H6981="","",H6981/1000000000)</x:f>
        <x:v>1.3</x:v>
      </x:c>
      <x:c r="R6981" s="13" t="n">
        <x:f>IF(I6981="","",I6981/1000000)</x:f>
        <x:v>12.380952380952381</x:v>
      </x:c>
    </x:row>
    <x:row r="6982" ht="21" customHeight="1">
      <x:c r="A6982" s="10" t="n">
        <x:v>8974</x:v>
      </x:c>
      <x:c r="B6982" s="2" t="str">
        <x:v>13caee6038474f2c74aa</x:v>
      </x:c>
      <x:c r="C6982" s="2" t="str">
        <x:v>Tp Hồ Chí Minh</x:v>
      </x:c>
      <x:c r="D6982" s="2" t="str">
        <x:v>Quận Thủ Đức</x:v>
      </x:c>
      <x:c r="E6982" s="2" t="str">
        <x:v>house</x:v>
      </x:c>
      <x:c r="F6982" s="2" t="str">
        <x:v>sale_assumed</x:v>
      </x:c>
      <x:c r="G6982" s="11" t="n">
        <x:v>40</x:v>
      </x:c>
      <x:c r="H6982" s="12" t="n">
        <x:v>850000000</x:v>
      </x:c>
      <x:c r="I6982" s="12" t="n">
        <x:v>21250000</x:v>
      </x:c>
      <x:c r="J6982" s="2" t="str">
        <x:v>total</x:v>
      </x:c>
      <x:c r="K6982" s="2" t="str">
        <x:v>top_level_area</x:v>
      </x:c>
      <x:c r="L6982" s="2" t="str">
        <x:v>property_type_inferred_from_title;transaction_assumed_sale_from_dataset_context</x:v>
      </x:c>
      <x:c r="M6982" s="10" t="n">
        <x:v>0</x:v>
      </x:c>
      <x:c r="N6982" s="10" t="n">
        <x:v>0</x:v>
      </x:c>
      <x:c r="O6982" s="2" t="str">
        <x:v>Tp Hồ Chí Minh|house</x:v>
      </x:c>
      <x:c r="P6982" s="10" t="n">
        <x:v>2</x:v>
      </x:c>
      <x:c r="Q6982" s="13" t="n">
        <x:f>IF(H6982="","",H6982/1000000000)</x:f>
        <x:v>0.85</x:v>
      </x:c>
      <x:c r="R6982" s="13" t="n">
        <x:f>IF(I6982="","",I6982/1000000)</x:f>
        <x:v>21.25</x:v>
      </x:c>
    </x:row>
    <x:row r="6983" ht="21" customHeight="1">
      <x:c r="A6983" s="10" t="n">
        <x:v>8975</x:v>
      </x:c>
      <x:c r="B6983" s="2" t="str">
        <x:v>55c7ad9aaf5240c05361</x:v>
      </x:c>
      <x:c r="C6983" s="2" t="str">
        <x:v>Tp Hồ Chí Minh</x:v>
      </x:c>
      <x:c r="D6983" s="2" t="str">
        <x:v>Quận Bình Tân</x:v>
      </x:c>
      <x:c r="E6983" s="2" t="str">
        <x:v>house</x:v>
      </x:c>
      <x:c r="F6983" s="2" t="str">
        <x:v>sale_assumed</x:v>
      </x:c>
      <x:c r="G6983" s="11" t="n">
        <x:v>32</x:v>
      </x:c>
      <x:c r="H6983" s="12" t="n">
        <x:v>3350000000</x:v>
      </x:c>
      <x:c r="I6983" s="12" t="n">
        <x:v>104687500</x:v>
      </x:c>
      <x:c r="J6983" s="2" t="str">
        <x:v>total</x:v>
      </x:c>
      <x:c r="K6983" s="2" t="str">
        <x:v>top_level_area</x:v>
      </x:c>
      <x:c r="L6983" s="2" t="str">
        <x:v>property_type_inferred_from_title;transaction_assumed_sale_from_dataset_context</x:v>
      </x:c>
      <x:c r="M6983" s="10" t="n">
        <x:v>0</x:v>
      </x:c>
      <x:c r="N6983" s="10" t="n">
        <x:v>0</x:v>
      </x:c>
      <x:c r="O6983" s="2" t="str">
        <x:v>Tp Hồ Chí Minh|house</x:v>
      </x:c>
      <x:c r="P6983" s="10" t="n">
        <x:v>2</x:v>
      </x:c>
      <x:c r="Q6983" s="13" t="n">
        <x:f>IF(H6983="","",H6983/1000000000)</x:f>
        <x:v>3.35</x:v>
      </x:c>
      <x:c r="R6983" s="13" t="n">
        <x:f>IF(I6983="","",I6983/1000000)</x:f>
        <x:v>104.6875</x:v>
      </x:c>
    </x:row>
    <x:row r="6984" ht="21" customHeight="1">
      <x:c r="A6984" s="10" t="n">
        <x:v>8976</x:v>
      </x:c>
      <x:c r="B6984" s="2" t="str">
        <x:v>82ffdeac635936fd1a1b</x:v>
      </x:c>
      <x:c r="C6984" s="2" t="str">
        <x:v>Tp Hồ Chí Minh</x:v>
      </x:c>
      <x:c r="D6984" s="2" t="str">
        <x:v>Quận Thủ Đức</x:v>
      </x:c>
      <x:c r="E6984" s="2" t="str">
        <x:v>house</x:v>
      </x:c>
      <x:c r="F6984" s="2" t="str">
        <x:v>sale</x:v>
      </x:c>
      <x:c r="G6984" s="11" t="n">
        <x:v>61</x:v>
      </x:c>
      <x:c r="H6984" s="12" t="n">
        <x:v>5320000000</x:v>
      </x:c>
      <x:c r="I6984" s="12" t="n">
        <x:v>87213114.75409836</x:v>
      </x:c>
      <x:c r="J6984" s="2" t="str">
        <x:v>total</x:v>
      </x:c>
      <x:c r="K6984" s="2" t="str">
        <x:v>top_level_area</x:v>
      </x:c>
      <x:c r="L6984" s="2" t="str">
        <x:v>property_type_inferred_from_title</x:v>
      </x:c>
      <x:c r="M6984" s="10" t="n">
        <x:v>0</x:v>
      </x:c>
      <x:c r="N6984" s="10" t="n">
        <x:v>0</x:v>
      </x:c>
      <x:c r="O6984" s="2" t="str">
        <x:v>Tp Hồ Chí Minh|house</x:v>
      </x:c>
      <x:c r="P6984" s="10" t="n">
        <x:v>2</x:v>
      </x:c>
      <x:c r="Q6984" s="13" t="n">
        <x:f>IF(H6984="","",H6984/1000000000)</x:f>
        <x:v>5.32</x:v>
      </x:c>
      <x:c r="R6984" s="13" t="n">
        <x:f>IF(I6984="","",I6984/1000000)</x:f>
        <x:v>87.21311475409836</x:v>
      </x:c>
    </x:row>
    <x:row r="6985" ht="21" customHeight="1">
      <x:c r="A6985" s="10" t="n">
        <x:v>8977</x:v>
      </x:c>
      <x:c r="B6985" s="2" t="str">
        <x:v>ee132d50b179709eeb87</x:v>
      </x:c>
      <x:c r="C6985" s="2" t="str">
        <x:v>Tp Hồ Chí Minh</x:v>
      </x:c>
      <x:c r="D6985" s="2" t="str">
        <x:v>Quận 8</x:v>
      </x:c>
      <x:c r="E6985" s="2" t="str">
        <x:v>other_unknown</x:v>
      </x:c>
      <x:c r="F6985" s="2" t="str">
        <x:v>sale</x:v>
      </x:c>
      <x:c r="G6985" s="11" t="n">
        <x:v>67</x:v>
      </x:c>
      <x:c r="H6985" s="12" t="n">
        <x:v>1730000000</x:v>
      </x:c>
      <x:c r="I6985" s="12" t="n">
        <x:v>25820895.52238806</x:v>
      </x:c>
      <x:c r="J6985" s="2" t="str">
        <x:v>total</x:v>
      </x:c>
      <x:c r="K6985" s="2" t="str">
        <x:v>top_level_area</x:v>
      </x:c>
      <x:c r="L6985" s="2" t="str">
        <x:v>property_type_inferred_from_title;unknown_property_type</x:v>
      </x:c>
      <x:c r="M6985" s="10" t="n">
        <x:v>0</x:v>
      </x:c>
      <x:c r="N6985" s="10" t="n">
        <x:v>0</x:v>
      </x:c>
      <x:c r="O6985" s="2" t="str">
        <x:v>Tp Hồ Chí Minh|other_unknown</x:v>
      </x:c>
      <x:c r="P6985" s="10" t="n">
        <x:v>2</x:v>
      </x:c>
      <x:c r="Q6985" s="13" t="n">
        <x:f>IF(H6985="","",H6985/1000000000)</x:f>
        <x:v>1.73</x:v>
      </x:c>
      <x:c r="R6985" s="13" t="n">
        <x:f>IF(I6985="","",I6985/1000000)</x:f>
        <x:v>25.82089552238806</x:v>
      </x:c>
    </x:row>
    <x:row r="6986" ht="21" customHeight="1">
      <x:c r="A6986" s="10" t="n">
        <x:v>8978</x:v>
      </x:c>
      <x:c r="B6986" s="2" t="str">
        <x:v>c62dab32e6f66d876981</x:v>
      </x:c>
      <x:c r="C6986" s="2" t="str">
        <x:v>Tp Hồ Chí Minh</x:v>
      </x:c>
      <x:c r="D6986" s="2" t="str">
        <x:v>Quận 9</x:v>
      </x:c>
      <x:c r="E6986" s="2" t="str">
        <x:v>other_unknown</x:v>
      </x:c>
      <x:c r="F6986" s="2" t="str">
        <x:v>sale</x:v>
      </x:c>
      <x:c r="G6986" s="11" t="n">
        <x:v>162</x:v>
      </x:c>
      <x:c r="H6986" s="12" t="n">
        <x:v>6500000000</x:v>
      </x:c>
      <x:c r="I6986" s="12" t="n">
        <x:v>40123456.790123455</x:v>
      </x:c>
      <x:c r="J6986" s="2" t="str">
        <x:v>total</x:v>
      </x:c>
      <x:c r="K6986" s="2" t="str">
        <x:v>top_level_area</x:v>
      </x:c>
      <x:c r="L6986" s="2" t="str">
        <x:v>property_type_inferred_from_title;unknown_property_type</x:v>
      </x:c>
      <x:c r="M6986" s="10" t="n">
        <x:v>0</x:v>
      </x:c>
      <x:c r="N6986" s="10" t="n">
        <x:v>0</x:v>
      </x:c>
      <x:c r="O6986" s="2" t="str">
        <x:v>Tp Hồ Chí Minh|other_unknown</x:v>
      </x:c>
      <x:c r="P6986" s="10" t="n">
        <x:v>2</x:v>
      </x:c>
      <x:c r="Q6986" s="13" t="n">
        <x:f>IF(H6986="","",H6986/1000000000)</x:f>
        <x:v>6.5</x:v>
      </x:c>
      <x:c r="R6986" s="13" t="n">
        <x:f>IF(I6986="","",I6986/1000000)</x:f>
        <x:v>40.123456790123456</x:v>
      </x:c>
    </x:row>
    <x:row r="6987" ht="21" customHeight="1">
      <x:c r="A6987" s="10" t="n">
        <x:v>8979</x:v>
      </x:c>
      <x:c r="B6987" s="2" t="str">
        <x:v>87b5f9a95215e71d2166</x:v>
      </x:c>
      <x:c r="C6987" s="2" t="str">
        <x:v>Hà Nội</x:v>
      </x:c>
      <x:c r="D6987" s="2" t="str">
        <x:v>Quận Ba Đình</x:v>
      </x:c>
      <x:c r="E6987" s="2" t="str">
        <x:v>house</x:v>
      </x:c>
      <x:c r="F6987" s="2" t="str">
        <x:v>sale</x:v>
      </x:c>
      <x:c r="G6987" s="11" t="n">
        <x:v>60</x:v>
      </x:c>
      <x:c r="H6987" s="12" t="n">
        <x:v>7200000000</x:v>
      </x:c>
      <x:c r="I6987" s="12" t="n">
        <x:v>120000000</x:v>
      </x:c>
      <x:c r="J6987" s="2" t="str">
        <x:v>total</x:v>
      </x:c>
      <x:c r="K6987" s="2" t="str">
        <x:v>top_level_area</x:v>
      </x:c>
      <x:c r="L6987" s="2" t="str">
        <x:v>property_type_inferred_from_title</x:v>
      </x:c>
      <x:c r="M6987" s="10" t="n">
        <x:v>0</x:v>
      </x:c>
      <x:c r="N6987" s="10" t="n">
        <x:v>0</x:v>
      </x:c>
      <x:c r="O6987" s="2" t="str">
        <x:v>Hà Nội|house</x:v>
      </x:c>
      <x:c r="P6987" s="10" t="n">
        <x:v>2</x:v>
      </x:c>
      <x:c r="Q6987" s="13" t="n">
        <x:f>IF(H6987="","",H6987/1000000000)</x:f>
        <x:v>7.2</x:v>
      </x:c>
      <x:c r="R6987" s="13" t="n">
        <x:f>IF(I6987="","",I6987/1000000)</x:f>
        <x:v>120</x:v>
      </x:c>
    </x:row>
    <x:row r="6988" ht="21" customHeight="1">
      <x:c r="A6988" s="10" t="n">
        <x:v>8980</x:v>
      </x:c>
      <x:c r="B6988" s="2" t="str">
        <x:v>3969f498e8859cdd3e08</x:v>
      </x:c>
      <x:c r="C6988" s="2" t="str">
        <x:v>Hà Nội</x:v>
      </x:c>
      <x:c r="D6988" s="2" t="str">
        <x:v>Huyện Đan Phượng</x:v>
      </x:c>
      <x:c r="E6988" s="2" t="str">
        <x:v>house</x:v>
      </x:c>
      <x:c r="F6988" s="2" t="str">
        <x:v>sale</x:v>
      </x:c>
      <x:c r="G6988" s="11" t="n">
        <x:v>400</x:v>
      </x:c>
      <x:c r="H6988" s="12" t="n">
        <x:v>10000000000</x:v>
      </x:c>
      <x:c r="I6988" s="12" t="n">
        <x:v>25000000</x:v>
      </x:c>
      <x:c r="J6988" s="2" t="str">
        <x:v>total</x:v>
      </x:c>
      <x:c r="K6988" s="2" t="str">
        <x:v>top_level_area</x:v>
      </x:c>
      <x:c r="L6988" s="2" t="str">
        <x:v>property_type_inferred_from_title</x:v>
      </x:c>
      <x:c r="M6988" s="10" t="n">
        <x:v>0</x:v>
      </x:c>
      <x:c r="N6988" s="10" t="n">
        <x:v>0</x:v>
      </x:c>
      <x:c r="O6988" s="2" t="str">
        <x:v>Hà Nội|house</x:v>
      </x:c>
      <x:c r="P6988" s="10" t="n">
        <x:v>2</x:v>
      </x:c>
      <x:c r="Q6988" s="13" t="n">
        <x:f>IF(H6988="","",H6988/1000000000)</x:f>
        <x:v>10</x:v>
      </x:c>
      <x:c r="R6988" s="13" t="n">
        <x:f>IF(I6988="","",I6988/1000000)</x:f>
        <x:v>25</x:v>
      </x:c>
    </x:row>
    <x:row r="6989" ht="21" customHeight="1">
      <x:c r="A6989" s="10" t="n">
        <x:v>8981</x:v>
      </x:c>
      <x:c r="B6989" s="2" t="str">
        <x:v>302f491b46776e8e1f0e</x:v>
      </x:c>
      <x:c r="C6989" s="2" t="str">
        <x:v>Tp Hồ Chí Minh</x:v>
      </x:c>
      <x:c r="D6989" s="2" t="str">
        <x:v>Quận 6</x:v>
      </x:c>
      <x:c r="E6989" s="2" t="str">
        <x:v>house</x:v>
      </x:c>
      <x:c r="F6989" s="2" t="str">
        <x:v>sale</x:v>
      </x:c>
      <x:c r="G6989" s="11" t="n">
        <x:v>49</x:v>
      </x:c>
      <x:c r="H6989" s="12" t="n">
        <x:v>4200000000</x:v>
      </x:c>
      <x:c r="I6989" s="12" t="n">
        <x:v>85714285.71428572</x:v>
      </x:c>
      <x:c r="J6989" s="2" t="str">
        <x:v>total</x:v>
      </x:c>
      <x:c r="K6989" s="2" t="str">
        <x:v>top_level_area</x:v>
      </x:c>
      <x:c r="L6989" s="2" t="str">
        <x:v>property_type_inferred_from_title</x:v>
      </x:c>
      <x:c r="M6989" s="10" t="n">
        <x:v>0</x:v>
      </x:c>
      <x:c r="N6989" s="10" t="n">
        <x:v>0</x:v>
      </x:c>
      <x:c r="O6989" s="2" t="str">
        <x:v>Tp Hồ Chí Minh|house</x:v>
      </x:c>
      <x:c r="P6989" s="10" t="n">
        <x:v>2</x:v>
      </x:c>
      <x:c r="Q6989" s="13" t="n">
        <x:f>IF(H6989="","",H6989/1000000000)</x:f>
        <x:v>4.2</x:v>
      </x:c>
      <x:c r="R6989" s="13" t="n">
        <x:f>IF(I6989="","",I6989/1000000)</x:f>
        <x:v>85.71428571428572</x:v>
      </x:c>
    </x:row>
    <x:row r="6990" ht="21" customHeight="1">
      <x:c r="A6990" s="10" t="n">
        <x:v>8982</x:v>
      </x:c>
      <x:c r="B6990" s="2" t="str">
        <x:v>e536886fba3291221868</x:v>
      </x:c>
      <x:c r="C6990" s="2" t="str">
        <x:v>Hà Nội</x:v>
      </x:c>
      <x:c r="D6990" s="2" t="str">
        <x:v>Quận Ba Đình</x:v>
      </x:c>
      <x:c r="E6990" s="2" t="str">
        <x:v>apartment</x:v>
      </x:c>
      <x:c r="F6990" s="2" t="str">
        <x:v>sale_assumed</x:v>
      </x:c>
      <x:c r="G6990" s="11" t="n">
        <x:v>66</x:v>
      </x:c>
      <x:c r="H6990" s="12" t="n">
        <x:v>50680000000</x:v>
      </x:c>
      <x:c r="I6990" s="12" t="n">
        <x:v>767878787.8787879</x:v>
      </x:c>
      <x:c r="J6990" s="2" t="str">
        <x:v>total</x:v>
      </x:c>
      <x:c r="K6990" s="2" t="str">
        <x:v>top_level_area</x:v>
      </x:c>
      <x:c r="L6990" s="2" t="str">
        <x:v>property_type_inferred_from_title;transaction_assumed_sale_from_dataset_context</x:v>
      </x:c>
      <x:c r="M6990" s="10" t="n">
        <x:v>1</x:v>
      </x:c>
      <x:c r="N6990" s="10" t="n">
        <x:v>1</x:v>
      </x:c>
      <x:c r="O6990" s="2" t="str">
        <x:v>Hà Nội|apartment</x:v>
      </x:c>
      <x:c r="P6990" s="10" t="n">
        <x:v>-1</x:v>
      </x:c>
      <x:c r="Q6990" s="13" t="n">
        <x:f>IF(H6990="","",H6990/1000000000)</x:f>
        <x:v>50.68</x:v>
      </x:c>
      <x:c r="R6990" s="13" t="n">
        <x:f>IF(I6990="","",I6990/1000000)</x:f>
        <x:v>767.8787878787879</x:v>
      </x:c>
    </x:row>
    <x:row r="6991" ht="21" customHeight="1">
      <x:c r="A6991" s="10" t="n">
        <x:v>8985</x:v>
      </x:c>
      <x:c r="B6991" s="2" t="str">
        <x:v>f731f5c9440d607f987d</x:v>
      </x:c>
      <x:c r="C6991" s="2" t="str">
        <x:v>Cần Thơ</x:v>
      </x:c>
      <x:c r="D6991" s="2" t="str">
        <x:v>Quận Ninh Kiều</x:v>
      </x:c>
      <x:c r="E6991" s="2" t="str">
        <x:v>house</x:v>
      </x:c>
      <x:c r="F6991" s="2" t="str">
        <x:v>sale</x:v>
      </x:c>
      <x:c r="G6991" s="11" t="n">
        <x:v>53</x:v>
      </x:c>
      <x:c r="H6991" s="12" t="n">
        <x:v>2800000000</x:v>
      </x:c>
      <x:c r="I6991" s="12" t="n">
        <x:v>52830188.679245286</x:v>
      </x:c>
      <x:c r="J6991" s="2" t="str">
        <x:v>total</x:v>
      </x:c>
      <x:c r="K6991" s="2" t="str">
        <x:v>top_level_area</x:v>
      </x:c>
      <x:c r="L6991" s="2" t="str">
        <x:v>property_type_inferred_from_title</x:v>
      </x:c>
      <x:c r="M6991" s="10" t="n">
        <x:v>0</x:v>
      </x:c>
      <x:c r="N6991" s="10" t="n">
        <x:v>0</x:v>
      </x:c>
      <x:c r="O6991" s="2" t="str">
        <x:v>Cần Thơ|house</x:v>
      </x:c>
      <x:c r="P6991" s="10" t="n">
        <x:v>2</x:v>
      </x:c>
      <x:c r="Q6991" s="13" t="n">
        <x:f>IF(H6991="","",H6991/1000000000)</x:f>
        <x:v>2.8</x:v>
      </x:c>
      <x:c r="R6991" s="13" t="n">
        <x:f>IF(I6991="","",I6991/1000000)</x:f>
        <x:v>52.83018867924529</x:v>
      </x:c>
    </x:row>
    <x:row r="6992" ht="21" customHeight="1">
      <x:c r="A6992" s="10" t="n">
        <x:v>8986</x:v>
      </x:c>
      <x:c r="B6992" s="2" t="str">
        <x:v>74a433888cffd178fee6</x:v>
      </x:c>
      <x:c r="C6992" s="2" t="str">
        <x:v>Tp Hồ Chí Minh</x:v>
      </x:c>
      <x:c r="D6992" s="2" t="str">
        <x:v>Quận Gò Vấp</x:v>
      </x:c>
      <x:c r="E6992" s="2" t="str">
        <x:v>house</x:v>
      </x:c>
      <x:c r="F6992" s="2" t="str">
        <x:v>sale_assumed</x:v>
      </x:c>
      <x:c r="G6992" s="11" t="n">
        <x:v>54.6</x:v>
      </x:c>
      <x:c r="H6992" s="12" t="n">
        <x:v>6950000000</x:v>
      </x:c>
      <x:c r="I6992" s="12" t="n">
        <x:v>127289377.28937729</x:v>
      </x:c>
      <x:c r="J6992" s="2" t="str">
        <x:v>total</x:v>
      </x:c>
      <x:c r="K6992" s="2" t="str">
        <x:v>top_level_area</x:v>
      </x:c>
      <x:c r="L6992" s="2" t="str">
        <x:v>property_type_inferred_from_title;transaction_assumed_sale_from_dataset_context</x:v>
      </x:c>
      <x:c r="M6992" s="10" t="n">
        <x:v>0</x:v>
      </x:c>
      <x:c r="N6992" s="10" t="n">
        <x:v>0</x:v>
      </x:c>
      <x:c r="O6992" s="2" t="str">
        <x:v>Tp Hồ Chí Minh|house</x:v>
      </x:c>
      <x:c r="P6992" s="10" t="n">
        <x:v>2</x:v>
      </x:c>
      <x:c r="Q6992" s="13" t="n">
        <x:f>IF(H6992="","",H6992/1000000000)</x:f>
        <x:v>6.95</x:v>
      </x:c>
      <x:c r="R6992" s="13" t="n">
        <x:f>IF(I6992="","",I6992/1000000)</x:f>
        <x:v>127.28937728937728</x:v>
      </x:c>
    </x:row>
    <x:row r="6993" ht="21" customHeight="1">
      <x:c r="A6993" s="10" t="n">
        <x:v>8987</x:v>
      </x:c>
      <x:c r="B6993" s="2" t="str">
        <x:v>8f870cffb07816f0e9e2</x:v>
      </x:c>
      <x:c r="C6993" s="2" t="str">
        <x:v>Quảng Nam</x:v>
      </x:c>
      <x:c r="D6993" s="2" t="str">
        <x:v>Thị xã Điện Bàn</x:v>
      </x:c>
      <x:c r="E6993" s="2" t="str">
        <x:v>other_unknown</x:v>
      </x:c>
      <x:c r="F6993" s="2" t="str">
        <x:v>sale_assumed</x:v>
      </x:c>
      <x:c r="G6993" s="11" t="n">
        <x:v>90</x:v>
      </x:c>
      <x:c r="H6993" s="12" t="n">
        <x:v>980000000</x:v>
      </x:c>
      <x:c r="I6993" s="12" t="n">
        <x:v>10888888.888888888</x:v>
      </x:c>
      <x:c r="J6993" s="2" t="str">
        <x:v>total</x:v>
      </x:c>
      <x:c r="K6993" s="2" t="str">
        <x:v>top_level_area</x:v>
      </x:c>
      <x:c r="L6993" s="2" t="str">
        <x:v>property_type_inferred_from_title;transaction_assumed_sale_from_dataset_context;unknown_property_type</x:v>
      </x:c>
      <x:c r="M6993" s="10" t="n">
        <x:v>0</x:v>
      </x:c>
      <x:c r="N6993" s="10" t="n">
        <x:v>0</x:v>
      </x:c>
      <x:c r="O6993" s="2" t="str">
        <x:v>other_unknown</x:v>
      </x:c>
      <x:c r="P6993" s="10" t="n">
        <x:v>2</x:v>
      </x:c>
      <x:c r="Q6993" s="13" t="n">
        <x:f>IF(H6993="","",H6993/1000000000)</x:f>
        <x:v>0.98</x:v>
      </x:c>
      <x:c r="R6993" s="13" t="n">
        <x:f>IF(I6993="","",I6993/1000000)</x:f>
        <x:v>10.888888888888888</x:v>
      </x:c>
    </x:row>
    <x:row r="6994" ht="21" customHeight="1">
      <x:c r="A6994" s="10" t="n">
        <x:v>8988</x:v>
      </x:c>
      <x:c r="B6994" s="2" t="str">
        <x:v>3bba643c57bccd0d2819</x:v>
      </x:c>
      <x:c r="C6994" s="2" t="str">
        <x:v>Tp Hồ Chí Minh</x:v>
      </x:c>
      <x:c r="D6994" s="2" t="str">
        <x:v>Quận 12</x:v>
      </x:c>
      <x:c r="E6994" s="2" t="str">
        <x:v>house</x:v>
      </x:c>
      <x:c r="F6994" s="2" t="str">
        <x:v>sale</x:v>
      </x:c>
      <x:c r="G6994" s="11" t="n">
        <x:v>84</x:v>
      </x:c>
      <x:c r="H6994" s="12" t="n">
        <x:v>5500000000</x:v>
      </x:c>
      <x:c r="I6994" s="12" t="n">
        <x:v>65476190.47619048</x:v>
      </x:c>
      <x:c r="J6994" s="2" t="str">
        <x:v>total</x:v>
      </x:c>
      <x:c r="K6994" s="2" t="str">
        <x:v>top_level_area</x:v>
      </x:c>
      <x:c r="L6994" s="2" t="str">
        <x:v>property_type_inferred_from_title</x:v>
      </x:c>
      <x:c r="M6994" s="10" t="n">
        <x:v>0</x:v>
      </x:c>
      <x:c r="N6994" s="10" t="n">
        <x:v>0</x:v>
      </x:c>
      <x:c r="O6994" s="2" t="str">
        <x:v>Tp Hồ Chí Minh|house</x:v>
      </x:c>
      <x:c r="P6994" s="10" t="n">
        <x:v>2</x:v>
      </x:c>
      <x:c r="Q6994" s="13" t="n">
        <x:f>IF(H6994="","",H6994/1000000000)</x:f>
        <x:v>5.5</x:v>
      </x:c>
      <x:c r="R6994" s="13" t="n">
        <x:f>IF(I6994="","",I6994/1000000)</x:f>
        <x:v>65.47619047619048</x:v>
      </x:c>
    </x:row>
    <x:row r="6995" ht="21" customHeight="1">
      <x:c r="A6995" s="10" t="n">
        <x:v>8989</x:v>
      </x:c>
      <x:c r="B6995" s="2" t="str">
        <x:v>ad6531f9bad29f32f2b6</x:v>
      </x:c>
      <x:c r="C6995" s="2" t="str">
        <x:v>Tp Hồ Chí Minh</x:v>
      </x:c>
      <x:c r="D6995" s="2" t="str">
        <x:v>Quận 5</x:v>
      </x:c>
      <x:c r="E6995" s="2" t="str">
        <x:v>apartment</x:v>
      </x:c>
      <x:c r="F6995" s="2" t="str">
        <x:v>sale</x:v>
      </x:c>
      <x:c r="G6995" s="11" t="n">
        <x:v>35</x:v>
      </x:c>
      <x:c r="H6995" s="12" t="n">
        <x:v>2350000000</x:v>
      </x:c>
      <x:c r="I6995" s="12" t="n">
        <x:v>67142857.14285715</x:v>
      </x:c>
      <x:c r="J6995" s="2" t="str">
        <x:v>total</x:v>
      </x:c>
      <x:c r="K6995" s="2" t="str">
        <x:v>top_level_area</x:v>
      </x:c>
      <x:c r="L6995" s="2" t="str">
        <x:v>property_type_inferred_from_title</x:v>
      </x:c>
      <x:c r="M6995" s="10" t="n">
        <x:v>0</x:v>
      </x:c>
      <x:c r="N6995" s="10" t="n">
        <x:v>1</x:v>
      </x:c>
      <x:c r="O6995" s="2" t="str">
        <x:v>Tp Hồ Chí Minh|apartment</x:v>
      </x:c>
      <x:c r="P6995" s="10" t="n">
        <x:v>-1</x:v>
      </x:c>
      <x:c r="Q6995" s="13" t="n">
        <x:f>IF(H6995="","",H6995/1000000000)</x:f>
        <x:v>2.35</x:v>
      </x:c>
      <x:c r="R6995" s="13" t="n">
        <x:f>IF(I6995="","",I6995/1000000)</x:f>
        <x:v>67.14285714285715</x:v>
      </x:c>
    </x:row>
    <x:row r="6996" ht="21" customHeight="1">
      <x:c r="A6996" s="10" t="n">
        <x:v>8990</x:v>
      </x:c>
      <x:c r="B6996" s="2" t="str">
        <x:v>c6eaad4fb41a15c504a5</x:v>
      </x:c>
      <x:c r="C6996" s="2" t="str">
        <x:v>Tp Hồ Chí Minh</x:v>
      </x:c>
      <x:c r="D6996" s="2" t="str">
        <x:v>Quận 2</x:v>
      </x:c>
      <x:c r="E6996" s="2" t="str">
        <x:v>house</x:v>
      </x:c>
      <x:c r="F6996" s="2" t="str">
        <x:v>sale</x:v>
      </x:c>
      <x:c r="G6996" s="11" t="n">
        <x:v>90</x:v>
      </x:c>
      <x:c r="H6996" s="12" t="n">
        <x:v>2600000000</x:v>
      </x:c>
      <x:c r="I6996" s="12" t="n">
        <x:v>28888888.888888888</x:v>
      </x:c>
      <x:c r="J6996" s="2" t="str">
        <x:v>total</x:v>
      </x:c>
      <x:c r="K6996" s="2" t="str">
        <x:v>top_level_area</x:v>
      </x:c>
      <x:c r="L6996" s="2" t="str">
        <x:v>property_type_inferred_from_title</x:v>
      </x:c>
      <x:c r="M6996" s="10" t="n">
        <x:v>0</x:v>
      </x:c>
      <x:c r="N6996" s="10" t="n">
        <x:v>0</x:v>
      </x:c>
      <x:c r="O6996" s="2" t="str">
        <x:v>Tp Hồ Chí Minh|house</x:v>
      </x:c>
      <x:c r="P6996" s="10" t="n">
        <x:v>2</x:v>
      </x:c>
      <x:c r="Q6996" s="13" t="n">
        <x:f>IF(H6996="","",H6996/1000000000)</x:f>
        <x:v>2.6</x:v>
      </x:c>
      <x:c r="R6996" s="13" t="n">
        <x:f>IF(I6996="","",I6996/1000000)</x:f>
        <x:v>28.88888888888889</x:v>
      </x:c>
    </x:row>
    <x:row r="6997" ht="21" customHeight="1">
      <x:c r="A6997" s="10" t="n">
        <x:v>8991</x:v>
      </x:c>
      <x:c r="B6997" s="2" t="str">
        <x:v>f65e1bbc7d9c3ebbf066</x:v>
      </x:c>
      <x:c r="C6997" s="2" t="str">
        <x:v>Tp Hồ Chí Minh</x:v>
      </x:c>
      <x:c r="D6997" s="2" t="str">
        <x:v>Quận 8</x:v>
      </x:c>
      <x:c r="E6997" s="2" t="str">
        <x:v>house</x:v>
      </x:c>
      <x:c r="F6997" s="2" t="str">
        <x:v>sale</x:v>
      </x:c>
      <x:c r="G6997" s="11" t="n">
        <x:v>14</x:v>
      </x:c>
      <x:c r="H6997" s="12" t="n">
        <x:v>1290000000</x:v>
      </x:c>
      <x:c r="I6997" s="12" t="n">
        <x:v>92142857.14285715</x:v>
      </x:c>
      <x:c r="J6997" s="2" t="str">
        <x:v>total</x:v>
      </x:c>
      <x:c r="K6997" s="2" t="str">
        <x:v>top_level_area</x:v>
      </x:c>
      <x:c r="L6997" s="2" t="str">
        <x:v>property_type_inferred_from_title</x:v>
      </x:c>
      <x:c r="M6997" s="10" t="n">
        <x:v>0</x:v>
      </x:c>
      <x:c r="N6997" s="10" t="n">
        <x:v>0</x:v>
      </x:c>
      <x:c r="O6997" s="2" t="str">
        <x:v>Tp Hồ Chí Minh|house</x:v>
      </x:c>
      <x:c r="P6997" s="10" t="n">
        <x:v>2</x:v>
      </x:c>
      <x:c r="Q6997" s="13" t="n">
        <x:f>IF(H6997="","",H6997/1000000000)</x:f>
        <x:v>1.29</x:v>
      </x:c>
      <x:c r="R6997" s="13" t="n">
        <x:f>IF(I6997="","",I6997/1000000)</x:f>
        <x:v>92.14285714285715</x:v>
      </x:c>
    </x:row>
    <x:row r="6998" ht="21" customHeight="1">
      <x:c r="A6998" s="10" t="n">
        <x:v>8992</x:v>
      </x:c>
      <x:c r="B6998" s="2" t="str">
        <x:v>ffac42f99e5b43a0150a</x:v>
      </x:c>
      <x:c r="C6998" s="2" t="str">
        <x:v>Tp Hồ Chí Minh</x:v>
      </x:c>
      <x:c r="D6998" s="2" t="str">
        <x:v>Quận Phú Nhuận</x:v>
      </x:c>
      <x:c r="E6998" s="2" t="str">
        <x:v>other_unknown</x:v>
      </x:c>
      <x:c r="F6998" s="2" t="str">
        <x:v>sale_assumed</x:v>
      </x:c>
      <x:c r="G6998" s="11" t="n">
        <x:v>46</x:v>
      </x:c>
      <x:c r="H6998" s="12" t="n">
        <x:v>7100000000</x:v>
      </x:c>
      <x:c r="I6998" s="12" t="n">
        <x:v>154347826.08695653</x:v>
      </x:c>
      <x:c r="J6998" s="2" t="str">
        <x:v>total</x:v>
      </x:c>
      <x:c r="K6998" s="2" t="str">
        <x:v>top_level_area</x:v>
      </x:c>
      <x:c r="L6998" s="2" t="str">
        <x:v>property_type_inferred_from_title;transaction_assumed_sale_from_dataset_context;unknown_property_type</x:v>
      </x:c>
      <x:c r="M6998" s="10" t="n">
        <x:v>0</x:v>
      </x:c>
      <x:c r="N6998" s="10" t="n">
        <x:v>0</x:v>
      </x:c>
      <x:c r="O6998" s="2" t="str">
        <x:v>Tp Hồ Chí Minh|other_unknown</x:v>
      </x:c>
      <x:c r="P6998" s="10" t="n">
        <x:v>2</x:v>
      </x:c>
      <x:c r="Q6998" s="13" t="n">
        <x:f>IF(H6998="","",H6998/1000000000)</x:f>
        <x:v>7.1</x:v>
      </x:c>
      <x:c r="R6998" s="13" t="n">
        <x:f>IF(I6998="","",I6998/1000000)</x:f>
        <x:v>154.34782608695653</x:v>
      </x:c>
    </x:row>
    <x:row r="6999" ht="21" customHeight="1">
      <x:c r="A6999" s="10" t="n">
        <x:v>8993</x:v>
      </x:c>
      <x:c r="B6999" s="2" t="str">
        <x:v>f3176506d82a2e3c753f</x:v>
      </x:c>
      <x:c r="C6999" s="2" t="str">
        <x:v>Hà Nội</x:v>
      </x:c>
      <x:c r="D6999" s="2" t="str">
        <x:v>Huyện Thanh Trì</x:v>
      </x:c>
      <x:c r="E6999" s="2" t="str">
        <x:v>house</x:v>
      </x:c>
      <x:c r="F6999" s="2" t="str">
        <x:v>sale</x:v>
      </x:c>
      <x:c r="G6999" s="11" t="n">
        <x:v>40</x:v>
      </x:c>
      <x:c r="H6999" s="12" t="n">
        <x:v>2750000000</x:v>
      </x:c>
      <x:c r="I6999" s="12" t="n">
        <x:v>68750000</x:v>
      </x:c>
      <x:c r="J6999" s="2" t="str">
        <x:v>total</x:v>
      </x:c>
      <x:c r="K6999" s="2" t="str">
        <x:v>top_level_area</x:v>
      </x:c>
      <x:c r="L6999" s="2" t="str">
        <x:v>property_type_inferred_from_title</x:v>
      </x:c>
      <x:c r="M6999" s="10" t="n">
        <x:v>0</x:v>
      </x:c>
      <x:c r="N6999" s="10" t="n">
        <x:v>0</x:v>
      </x:c>
      <x:c r="O6999" s="2" t="str">
        <x:v>Hà Nội|house</x:v>
      </x:c>
      <x:c r="P6999" s="10" t="n">
        <x:v>2</x:v>
      </x:c>
      <x:c r="Q6999" s="13" t="n">
        <x:f>IF(H6999="","",H6999/1000000000)</x:f>
        <x:v>2.75</x:v>
      </x:c>
      <x:c r="R6999" s="13" t="n">
        <x:f>IF(I6999="","",I6999/1000000)</x:f>
        <x:v>68.75</x:v>
      </x:c>
    </x:row>
    <x:row r="7000" ht="21" customHeight="1">
      <x:c r="A7000" s="10" t="n">
        <x:v>8994</x:v>
      </x:c>
      <x:c r="B7000" s="2" t="str">
        <x:v>d8532cfaf0a5ac5616b3</x:v>
      </x:c>
      <x:c r="C7000" s="2" t="str">
        <x:v>Tp Hồ Chí Minh</x:v>
      </x:c>
      <x:c r="D7000" s="2" t="str">
        <x:v>Huyện Củ Chi</x:v>
      </x:c>
      <x:c r="E7000" s="2" t="str">
        <x:v>house</x:v>
      </x:c>
      <x:c r="F7000" s="2" t="str">
        <x:v>sale_assumed</x:v>
      </x:c>
      <x:c r="G7000" s="11" t="n">
        <x:v>220</x:v>
      </x:c>
      <x:c r="H7000" s="12" t="n">
        <x:v>960000000</x:v>
      </x:c>
      <x:c r="I7000" s="12" t="n">
        <x:v>4363636.363636363</x:v>
      </x:c>
      <x:c r="J7000" s="2" t="str">
        <x:v>total</x:v>
      </x:c>
      <x:c r="K7000" s="2" t="str">
        <x:v>top_level_area</x:v>
      </x:c>
      <x:c r="L7000" s="2" t="str">
        <x:v>property_type_inferred_from_title;transaction_assumed_sale_from_dataset_context</x:v>
      </x:c>
      <x:c r="M7000" s="10" t="n">
        <x:v>0</x:v>
      </x:c>
      <x:c r="N7000" s="10" t="n">
        <x:v>0</x:v>
      </x:c>
      <x:c r="O7000" s="2" t="str">
        <x:v>Tp Hồ Chí Minh|house</x:v>
      </x:c>
      <x:c r="P7000" s="10" t="n">
        <x:v>1</x:v>
      </x:c>
      <x:c r="Q7000" s="13" t="n">
        <x:f>IF(H7000="","",H7000/1000000000)</x:f>
        <x:v>0.96</x:v>
      </x:c>
      <x:c r="R7000" s="13" t="n">
        <x:f>IF(I7000="","",I7000/1000000)</x:f>
        <x:v>4.363636363636363</x:v>
      </x:c>
    </x:row>
    <x:row r="7001" ht="21" customHeight="1">
      <x:c r="A7001" s="10" t="n">
        <x:v>8995</x:v>
      </x:c>
      <x:c r="B7001" s="2" t="str">
        <x:v>edb01ca4a64b6f8d82fe</x:v>
      </x:c>
      <x:c r="C7001" s="2" t="str">
        <x:v>Tp Hồ Chí Minh</x:v>
      </x:c>
      <x:c r="D7001" s="2" t="str">
        <x:v>Quận Tân Bình</x:v>
      </x:c>
      <x:c r="E7001" s="2" t="str">
        <x:v>house</x:v>
      </x:c>
      <x:c r="F7001" s="2" t="str">
        <x:v>sale</x:v>
      </x:c>
      <x:c r="G7001" s="11" t="n">
        <x:v>160</x:v>
      </x:c>
      <x:c r="H7001" s="12" t="n">
        <x:v>25000000000</x:v>
      </x:c>
      <x:c r="I7001" s="12" t="n">
        <x:v>156250000</x:v>
      </x:c>
      <x:c r="J7001" s="2" t="str">
        <x:v>total</x:v>
      </x:c>
      <x:c r="K7001" s="2" t="str">
        <x:v>top_level_area</x:v>
      </x:c>
      <x:c r="L7001" s="2" t="str">
        <x:v>property_type_inferred_from_title</x:v>
      </x:c>
      <x:c r="M7001" s="10" t="n">
        <x:v>0</x:v>
      </x:c>
      <x:c r="N7001" s="10" t="n">
        <x:v>0</x:v>
      </x:c>
      <x:c r="O7001" s="2" t="str">
        <x:v>Tp Hồ Chí Minh|house</x:v>
      </x:c>
      <x:c r="P7001" s="10" t="n">
        <x:v>2</x:v>
      </x:c>
      <x:c r="Q7001" s="13" t="n">
        <x:f>IF(H7001="","",H7001/1000000000)</x:f>
        <x:v>25</x:v>
      </x:c>
      <x:c r="R7001" s="13" t="n">
        <x:f>IF(I7001="","",I7001/1000000)</x:f>
        <x:v>156.25</x:v>
      </x:c>
    </x:row>
    <x:row r="7002" ht="21" customHeight="1">
      <x:c r="A7002" s="10" t="n">
        <x:v>8996</x:v>
      </x:c>
      <x:c r="B7002" s="2" t="str">
        <x:v>6dd2fdd38aaaa297978d</x:v>
      </x:c>
      <x:c r="C7002" s="2" t="str">
        <x:v>Tp Hồ Chí Minh</x:v>
      </x:c>
      <x:c r="D7002" s="2" t="str">
        <x:v>Quận Tân Phú</x:v>
      </x:c>
      <x:c r="E7002" s="2" t="str">
        <x:v>other_unknown</x:v>
      </x:c>
      <x:c r="F7002" s="2" t="str">
        <x:v>sale</x:v>
      </x:c>
      <x:c r="G7002" s="11" t="n">
        <x:v>303</x:v>
      </x:c>
      <x:c r="H7002" s="12" t="n">
        <x:v>25500000000</x:v>
      </x:c>
      <x:c r="I7002" s="12" t="n">
        <x:v>84158415.84158416</x:v>
      </x:c>
      <x:c r="J7002" s="2" t="str">
        <x:v>total</x:v>
      </x:c>
      <x:c r="K7002" s="2" t="str">
        <x:v>top_level_area</x:v>
      </x:c>
      <x:c r="L7002" s="2" t="str">
        <x:v>property_type_inferred_from_title;unknown_property_type</x:v>
      </x:c>
      <x:c r="M7002" s="10" t="n">
        <x:v>0</x:v>
      </x:c>
      <x:c r="N7002" s="10" t="n">
        <x:v>0</x:v>
      </x:c>
      <x:c r="O7002" s="2" t="str">
        <x:v>Tp Hồ Chí Minh|other_unknown</x:v>
      </x:c>
      <x:c r="P7002" s="10" t="n">
        <x:v>2</x:v>
      </x:c>
      <x:c r="Q7002" s="13" t="n">
        <x:f>IF(H7002="","",H7002/1000000000)</x:f>
        <x:v>25.5</x:v>
      </x:c>
      <x:c r="R7002" s="13" t="n">
        <x:f>IF(I7002="","",I7002/1000000)</x:f>
        <x:v>84.15841584158416</x:v>
      </x:c>
    </x:row>
    <x:row r="7003" ht="21" customHeight="1">
      <x:c r="A7003" s="10" t="n">
        <x:v>8997</x:v>
      </x:c>
      <x:c r="B7003" s="2" t="str">
        <x:v>0b0f691dd953a9f8b52f</x:v>
      </x:c>
      <x:c r="C7003" s="2" t="str">
        <x:v>Lâm Đồng</x:v>
      </x:c>
      <x:c r="D7003" s="2" t="str">
        <x:v>Thành phố Bảo Lộc</x:v>
      </x:c>
      <x:c r="E7003" s="2" t="str">
        <x:v>land</x:v>
      </x:c>
      <x:c r="F7003" s="2" t="str">
        <x:v>sale</x:v>
      </x:c>
      <x:c r="G7003" s="11" t="n">
        <x:v>162</x:v>
      </x:c>
      <x:c r="H7003" s="12" t="n">
        <x:v>1250000000</x:v>
      </x:c>
      <x:c r="I7003" s="12" t="n">
        <x:v>7716049.382716049</x:v>
      </x:c>
      <x:c r="J7003" s="2" t="str">
        <x:v>total</x:v>
      </x:c>
      <x:c r="K7003" s="2" t="str">
        <x:v>top_level_area</x:v>
      </x:c>
      <x:c r="L7003" s="2" t="str">
        <x:v>property_type_inferred_from_title</x:v>
      </x:c>
      <x:c r="M7003" s="10" t="n">
        <x:v>0</x:v>
      </x:c>
      <x:c r="N7003" s="10" t="n">
        <x:v>0</x:v>
      </x:c>
      <x:c r="O7003" s="2" t="str">
        <x:v>Lâm Đồng|land</x:v>
      </x:c>
      <x:c r="P7003" s="10" t="n">
        <x:v>2</x:v>
      </x:c>
      <x:c r="Q7003" s="13" t="n">
        <x:f>IF(H7003="","",H7003/1000000000)</x:f>
        <x:v>1.25</x:v>
      </x:c>
      <x:c r="R7003" s="13" t="n">
        <x:f>IF(I7003="","",I7003/1000000)</x:f>
        <x:v>7.716049382716049</x:v>
      </x:c>
    </x:row>
    <x:row r="7004" ht="21" customHeight="1">
      <x:c r="A7004" s="10" t="n">
        <x:v>8998</x:v>
      </x:c>
      <x:c r="B7004" s="2" t="str">
        <x:v>8df6a26a9a10bb18dce3</x:v>
      </x:c>
      <x:c r="C7004" s="2" t="str">
        <x:v>Bình Thuận</x:v>
      </x:c>
      <x:c r="D7004" s="2" t="str">
        <x:v>Huyện Tuy Phong</x:v>
      </x:c>
      <x:c r="E7004" s="2" t="str">
        <x:v>house</x:v>
      </x:c>
      <x:c r="F7004" s="2" t="str">
        <x:v>sale_assumed</x:v>
      </x:c>
      <x:c r="G7004" s="11" t="n">
        <x:v>55</x:v>
      </x:c>
      <x:c r="H7004" s="12" t="n">
        <x:v>710000000</x:v>
      </x:c>
      <x:c r="I7004" s="12" t="n">
        <x:v>12909090.909090908</x:v>
      </x:c>
      <x:c r="J7004" s="2" t="str">
        <x:v>total</x:v>
      </x:c>
      <x:c r="K7004" s="2" t="str">
        <x:v>top_level_area</x:v>
      </x:c>
      <x:c r="L7004" s="2" t="str">
        <x:v>property_type_inferred_from_title;transaction_assumed_sale_from_dataset_context</x:v>
      </x:c>
      <x:c r="M7004" s="10" t="n">
        <x:v>0</x:v>
      </x:c>
      <x:c r="N7004" s="10" t="n">
        <x:v>0</x:v>
      </x:c>
      <x:c r="O7004" s="2" t="str">
        <x:v>house</x:v>
      </x:c>
      <x:c r="P7004" s="10" t="n">
        <x:v>2</x:v>
      </x:c>
      <x:c r="Q7004" s="13" t="n">
        <x:f>IF(H7004="","",H7004/1000000000)</x:f>
        <x:v>0.71</x:v>
      </x:c>
      <x:c r="R7004" s="13" t="n">
        <x:f>IF(I7004="","",I7004/1000000)</x:f>
        <x:v>12.909090909090908</x:v>
      </x:c>
    </x:row>
    <x:row r="7005" ht="21" customHeight="1">
      <x:c r="A7005" s="10" t="n">
        <x:v>8999</x:v>
      </x:c>
      <x:c r="B7005" s="2" t="str">
        <x:v>860d2a3d4879c0db3fea</x:v>
      </x:c>
      <x:c r="C7005" s="2" t="str">
        <x:v>Hà Nội</x:v>
      </x:c>
      <x:c r="D7005" s="2" t="str">
        <x:v>Huyện Thạch Thất</x:v>
      </x:c>
      <x:c r="E7005" s="2" t="str">
        <x:v>house</x:v>
      </x:c>
      <x:c r="F7005" s="2" t="str">
        <x:v>sale_assumed</x:v>
      </x:c>
      <x:c r="G7005" s="11" t="n">
        <x:v>70</x:v>
      </x:c>
      <x:c r="H7005" s="12" t="n">
        <x:v>800000000</x:v>
      </x:c>
      <x:c r="I7005" s="12" t="n">
        <x:v>11428571.42857143</x:v>
      </x:c>
      <x:c r="J7005" s="2" t="str">
        <x:v>total</x:v>
      </x:c>
      <x:c r="K7005" s="2" t="str">
        <x:v>top_level_area</x:v>
      </x:c>
      <x:c r="L7005" s="2" t="str">
        <x:v>property_type_inferred_from_title;transaction_assumed_sale_from_dataset_context</x:v>
      </x:c>
      <x:c r="M7005" s="10" t="n">
        <x:v>0</x:v>
      </x:c>
      <x:c r="N7005" s="10" t="n">
        <x:v>0</x:v>
      </x:c>
      <x:c r="O7005" s="2" t="str">
        <x:v>Hà Nội|house</x:v>
      </x:c>
      <x:c r="P7005" s="10" t="n">
        <x:v>2</x:v>
      </x:c>
      <x:c r="Q7005" s="13" t="n">
        <x:f>IF(H7005="","",H7005/1000000000)</x:f>
        <x:v>0.8</x:v>
      </x:c>
      <x:c r="R7005" s="13" t="n">
        <x:f>IF(I7005="","",I7005/1000000)</x:f>
        <x:v>11.428571428571429</x:v>
      </x:c>
    </x:row>
    <x:row r="7006" ht="21" customHeight="1">
      <x:c r="A7006" s="10" t="n">
        <x:v>9000</x:v>
      </x:c>
      <x:c r="B7006" s="2" t="str">
        <x:v>6c3f9710e02f09446823</x:v>
      </x:c>
      <x:c r="C7006" s="2" t="str">
        <x:v>Hà Nội</x:v>
      </x:c>
      <x:c r="D7006" s="2" t="str">
        <x:v>Quận Hà Đông</x:v>
      </x:c>
      <x:c r="E7006" s="2" t="str">
        <x:v>house</x:v>
      </x:c>
      <x:c r="F7006" s="2" t="str">
        <x:v>sale</x:v>
      </x:c>
      <x:c r="G7006" s="11" t="n">
        <x:v>33</x:v>
      </x:c>
      <x:c r="H7006" s="12" t="n">
        <x:v>2420000000</x:v>
      </x:c>
      <x:c r="I7006" s="12" t="n">
        <x:v>73333333.33333333</x:v>
      </x:c>
      <x:c r="J7006" s="2" t="str">
        <x:v>total</x:v>
      </x:c>
      <x:c r="K7006" s="2" t="str">
        <x:v>top_level_area</x:v>
      </x:c>
      <x:c r="L7006" s="2" t="str">
        <x:v>property_type_inferred_from_title</x:v>
      </x:c>
      <x:c r="M7006" s="10" t="n">
        <x:v>0</x:v>
      </x:c>
      <x:c r="N7006" s="10" t="n">
        <x:v>0</x:v>
      </x:c>
      <x:c r="O7006" s="2" t="str">
        <x:v>Hà Nội|house</x:v>
      </x:c>
      <x:c r="P7006" s="10" t="n">
        <x:v>2</x:v>
      </x:c>
      <x:c r="Q7006" s="13" t="n">
        <x:f>IF(H7006="","",H7006/1000000000)</x:f>
        <x:v>2.42</x:v>
      </x:c>
      <x:c r="R7006" s="13" t="n">
        <x:f>IF(I7006="","",I7006/1000000)</x:f>
        <x:v>73.33333333333333</x:v>
      </x:c>
    </x:row>
    <x:row r="7007" ht="21" customHeight="1">
      <x:c r="A7007" s="10" t="n">
        <x:v>9001</x:v>
      </x:c>
      <x:c r="B7007" s="2" t="str">
        <x:v>5ddff5dbf46a3e1834c3</x:v>
      </x:c>
      <x:c r="C7007" s="2" t="str">
        <x:v>Tp Hồ Chí Minh</x:v>
      </x:c>
      <x:c r="D7007" s="2" t="str">
        <x:v>Quận 8</x:v>
      </x:c>
      <x:c r="E7007" s="2" t="str">
        <x:v>house</x:v>
      </x:c>
      <x:c r="F7007" s="2" t="str">
        <x:v>sale</x:v>
      </x:c>
      <x:c r="G7007" s="11" t="n">
        <x:v>56</x:v>
      </x:c>
      <x:c r="H7007" s="12" t="n">
        <x:v>1550000000</x:v>
      </x:c>
      <x:c r="I7007" s="12" t="n">
        <x:v>27678571.42857143</x:v>
      </x:c>
      <x:c r="J7007" s="2" t="str">
        <x:v>total</x:v>
      </x:c>
      <x:c r="K7007" s="2" t="str">
        <x:v>top_level_area</x:v>
      </x:c>
      <x:c r="L7007" s="2" t="str">
        <x:v>property_type_inferred_from_title</x:v>
      </x:c>
      <x:c r="M7007" s="10" t="n">
        <x:v>0</x:v>
      </x:c>
      <x:c r="N7007" s="10" t="n">
        <x:v>0</x:v>
      </x:c>
      <x:c r="O7007" s="2" t="str">
        <x:v>Tp Hồ Chí Minh|house</x:v>
      </x:c>
      <x:c r="P7007" s="10" t="n">
        <x:v>2</x:v>
      </x:c>
      <x:c r="Q7007" s="13" t="n">
        <x:f>IF(H7007="","",H7007/1000000000)</x:f>
        <x:v>1.55</x:v>
      </x:c>
      <x:c r="R7007" s="13" t="n">
        <x:f>IF(I7007="","",I7007/1000000)</x:f>
        <x:v>27.67857142857143</x:v>
      </x:c>
    </x:row>
    <x:row r="7008" ht="21" customHeight="1">
      <x:c r="A7008" s="10" t="n">
        <x:v>9002</x:v>
      </x:c>
      <x:c r="B7008" s="2" t="str">
        <x:v>60c976133a919873ac98</x:v>
      </x:c>
      <x:c r="C7008" s="2" t="str">
        <x:v>Bình Dương</x:v>
      </x:c>
      <x:c r="D7008" s="2" t="str">
        <x:v>Thị xã Thuận An</x:v>
      </x:c>
      <x:c r="E7008" s="2" t="str">
        <x:v>land</x:v>
      </x:c>
      <x:c r="F7008" s="2" t="str">
        <x:v>sale</x:v>
      </x:c>
      <x:c r="G7008" s="11" t="n">
        <x:v>68</x:v>
      </x:c>
      <x:c r="H7008" s="12" t="n">
        <x:v>850000000</x:v>
      </x:c>
      <x:c r="I7008" s="12" t="n">
        <x:v>12500000</x:v>
      </x:c>
      <x:c r="J7008" s="2" t="str">
        <x:v>total</x:v>
      </x:c>
      <x:c r="K7008" s="2" t="str">
        <x:v>top_level_area</x:v>
      </x:c>
      <x:c r="L7008" s="2" t="str">
        <x:v>property_type_inferred_from_title</x:v>
      </x:c>
      <x:c r="M7008" s="10" t="n">
        <x:v>0</x:v>
      </x:c>
      <x:c r="N7008" s="10" t="n">
        <x:v>0</x:v>
      </x:c>
      <x:c r="O7008" s="2" t="str">
        <x:v>Bình Dương|land</x:v>
      </x:c>
      <x:c r="P7008" s="10" t="n">
        <x:v>2</x:v>
      </x:c>
      <x:c r="Q7008" s="13" t="n">
        <x:f>IF(H7008="","",H7008/1000000000)</x:f>
        <x:v>0.85</x:v>
      </x:c>
      <x:c r="R7008" s="13" t="n">
        <x:f>IF(I7008="","",I7008/1000000)</x:f>
        <x:v>12.5</x:v>
      </x:c>
    </x:row>
    <x:row r="7009" ht="21" customHeight="1">
      <x:c r="A7009" s="10" t="n">
        <x:v>9003</x:v>
      </x:c>
      <x:c r="B7009" s="2" t="str">
        <x:v>b106984c72e418da47ea</x:v>
      </x:c>
      <x:c r="C7009" s="2" t="str">
        <x:v>Tp Hồ Chí Minh</x:v>
      </x:c>
      <x:c r="D7009" s="2" t="str">
        <x:v>Quận Tân Bình</x:v>
      </x:c>
      <x:c r="E7009" s="2" t="str">
        <x:v>apartment</x:v>
      </x:c>
      <x:c r="F7009" s="2" t="str">
        <x:v>sale_assumed</x:v>
      </x:c>
      <x:c r="G7009" s="11" t="n">
        <x:v>36</x:v>
      </x:c>
      <x:c r="H7009" s="12" t="n">
        <x:v>860000000</x:v>
      </x:c>
      <x:c r="I7009" s="12" t="n">
        <x:v>23888888.888888888</x:v>
      </x:c>
      <x:c r="J7009" s="2" t="str">
        <x:v>total</x:v>
      </x:c>
      <x:c r="K7009" s="2" t="str">
        <x:v>top_level_area</x:v>
      </x:c>
      <x:c r="L7009" s="2" t="str">
        <x:v>property_type_inferred_from_title;transaction_assumed_sale_from_dataset_context</x:v>
      </x:c>
      <x:c r="M7009" s="10" t="n">
        <x:v>0</x:v>
      </x:c>
      <x:c r="N7009" s="10" t="n">
        <x:v>0</x:v>
      </x:c>
      <x:c r="O7009" s="2" t="str">
        <x:v>Tp Hồ Chí Minh|apartment</x:v>
      </x:c>
      <x:c r="P7009" s="10" t="n">
        <x:v>2</x:v>
      </x:c>
      <x:c r="Q7009" s="13" t="n">
        <x:f>IF(H7009="","",H7009/1000000000)</x:f>
        <x:v>0.86</x:v>
      </x:c>
      <x:c r="R7009" s="13" t="n">
        <x:f>IF(I7009="","",I7009/1000000)</x:f>
        <x:v>23.88888888888889</x:v>
      </x:c>
    </x:row>
    <x:row r="7010" ht="21" customHeight="1">
      <x:c r="A7010" s="10" t="n">
        <x:v>9004</x:v>
      </x:c>
      <x:c r="B7010" s="2" t="str">
        <x:v>2d9c151605f59fa3dea0</x:v>
      </x:c>
      <x:c r="C7010" s="2" t="str">
        <x:v>Tp Hồ Chí Minh</x:v>
      </x:c>
      <x:c r="D7010" s="2" t="str">
        <x:v>Quận Thủ Đức</x:v>
      </x:c>
      <x:c r="E7010" s="2" t="str">
        <x:v>house</x:v>
      </x:c>
      <x:c r="F7010" s="2" t="str">
        <x:v>sale_assumed</x:v>
      </x:c>
      <x:c r="G7010" s="11" t="n">
        <x:v>32.28</x:v>
      </x:c>
      <x:c r="H7010" s="12" t="n">
        <x:v>1200000000</x:v>
      </x:c>
      <x:c r="I7010" s="12" t="n">
        <x:v>37174721.18959108</x:v>
      </x:c>
      <x:c r="J7010" s="2" t="str">
        <x:v>total</x:v>
      </x:c>
      <x:c r="K7010" s="2" t="str">
        <x:v>top_level_area</x:v>
      </x:c>
      <x:c r="L7010" s="2" t="str">
        <x:v>property_type_inferred_from_title;transaction_assumed_sale_from_dataset_context</x:v>
      </x:c>
      <x:c r="M7010" s="10" t="n">
        <x:v>0</x:v>
      </x:c>
      <x:c r="N7010" s="10" t="n">
        <x:v>0</x:v>
      </x:c>
      <x:c r="O7010" s="2" t="str">
        <x:v>Tp Hồ Chí Minh|house</x:v>
      </x:c>
      <x:c r="P7010" s="10" t="n">
        <x:v>2</x:v>
      </x:c>
      <x:c r="Q7010" s="13" t="n">
        <x:f>IF(H7010="","",H7010/1000000000)</x:f>
        <x:v>1.2</x:v>
      </x:c>
      <x:c r="R7010" s="13" t="n">
        <x:f>IF(I7010="","",I7010/1000000)</x:f>
        <x:v>37.17472118959108</x:v>
      </x:c>
    </x:row>
  </x:sheetData>
  <x:conditionalFormatting sqref="M10:N7010">
    <x:cfRule type="cellIs" dxfId="0" priority="1" operator="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a05519b404747d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53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</x:row>
    <x:row r="2" ht="23" customHeight="1">
      <x:c r="A2" s="3" t="str">
        <x:v>Kiểm tra chất lượng dữ liệu</x:v>
      </x:c>
      <x:c r="B2" s="2"/>
      <x:c r="C2" s="2"/>
      <x:c r="D2" s="2"/>
      <x:c r="E2" s="2"/>
      <x:c r="F2" s="2"/>
      <x:c r="G2" s="2"/>
      <x:c r="H2" s="2"/>
    </x:row>
    <x:row r="3" ht="23" customHeight="1">
      <x:c r="A3" s="4"/>
      <x:c r="B3" s="4"/>
      <x:c r="C3" s="4"/>
      <x:c r="D3" s="4"/>
      <x:c r="E3" s="4"/>
      <x:c r="F3" s="4"/>
      <x:c r="G3" s="4"/>
      <x:c r="H3" s="4"/>
    </x:row>
    <x:row r="4" ht="23" customHeight="1">
      <x:c r="A4" s="5" t="str">
        <x:v>Bản ghi kiểm toán từ lần chạy pipeline. Các mục có thể chồng nhau; không cộng cơ học thành số dòng bị loại.</x:v>
      </x:c>
      <x:c r="B4" s="2"/>
      <x:c r="C4" s="2"/>
      <x:c r="D4" s="2"/>
      <x:c r="E4" s="2"/>
      <x:c r="F4" s="2"/>
      <x:c r="G4" s="2"/>
      <x:c r="H4" s="2"/>
    </x:row>
    <x:row r="5" ht="23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9" t="str">
        <x:v>Đối chiếu từ dữ liệu Excel</x:v>
      </x:c>
      <x:c r="B6" s="9" t="str">
        <x:v>Giá trị</x:v>
      </x:c>
      <x:c r="C6" s="9" t="str">
        <x:v>Đơn vị</x:v>
      </x:c>
      <x:c r="D6" s="2"/>
      <x:c r="E6" s="2"/>
      <x:c r="F6" s="2"/>
      <x:c r="G6" s="2"/>
      <x:c r="H6" s="2"/>
    </x:row>
    <x:row r="7" ht="23" customHeight="1">
      <x:c r="A7" s="2" t="str">
        <x:v>Số tin sau xử lý</x:v>
      </x:c>
      <x:c r="B7" s="12" t="n">
        <x:f>COUNTA('Du lieu'!$B$10:$B$7010)</x:f>
        <x:v>7001</x:v>
      </x:c>
      <x:c r="C7" s="2" t="str">
        <x:v>tin</x:v>
      </x:c>
      <x:c r="D7" s="2"/>
      <x:c r="E7" s="2"/>
      <x:c r="F7" s="2"/>
      <x:c r="G7" s="2"/>
      <x:c r="H7" s="2"/>
    </x:row>
    <x:row r="8" ht="23" customHeight="1">
      <x:c r="A8" s="2" t="str">
        <x:v>Giá rao để trống</x:v>
      </x:c>
      <x:c r="B8" s="12" t="n">
        <x:f>COUNTBLANK('Du lieu'!$H$10:$H$7010)</x:f>
        <x:v>0</x:v>
      </x:c>
      <x:c r="C8" s="2" t="str">
        <x:v>tin</x:v>
      </x:c>
      <x:c r="D8" s="2"/>
      <x:c r="E8" s="2"/>
      <x:c r="F8" s="2"/>
      <x:c r="G8" s="2"/>
      <x:c r="H8" s="2"/>
    </x:row>
    <x:row r="9" ht="23" customHeight="1">
      <x:c r="A9" s="2" t="str">
        <x:v>Cờ ngoại lệ toàn bộ</x:v>
      </x:c>
      <x:c r="B9" s="12" t="n">
        <x:f>COUNTIFS('Du lieu'!$M$10:$M$7010,1)</x:f>
        <x:v>240</x:v>
      </x:c>
      <x:c r="C9" s="2" t="str">
        <x:v>tin</x:v>
      </x:c>
      <x:c r="D9" s="2"/>
      <x:c r="E9" s="2"/>
      <x:c r="F9" s="2"/>
      <x:c r="G9" s="2"/>
      <x:c r="H9" s="2"/>
    </x:row>
    <x:row r="10" ht="23" customHeight="1">
      <x:c r="A10" s="2" t="str">
        <x:v>Cờ ngoại lệ theo nhóm</x:v>
      </x:c>
      <x:c r="B10" s="12" t="n">
        <x:f>COUNTIFS('Du lieu'!$N$10:$N$7010,1)</x:f>
        <x:v>267</x:v>
      </x:c>
      <x:c r="C10" s="2" t="str">
        <x:v>tin</x:v>
      </x:c>
      <x:c r="D10" s="2"/>
      <x:c r="E10" s="2"/>
      <x:c r="F10" s="2"/>
      <x:c r="G10" s="2"/>
      <x:c r="H10" s="2"/>
    </x:row>
    <x:row r="11" ht="23" customHeight="1">
      <x:c r="A11" s="2" t="str">
        <x:v>Tổng bin giá trừ số tin đủ giá</x:v>
      </x:c>
      <x:c r="B11" s="12" t="n">
        <x:f>SUM('Dashboard'!L52:L62)-'Dashboard'!B8</x:f>
        <x:v>0</x:v>
      </x:c>
      <x:c r="C11" s="2" t="str">
        <x:v>tin</x:v>
      </x:c>
      <x:c r="D11" s="2"/>
      <x:c r="E11" s="2"/>
      <x:c r="F11" s="2"/>
      <x:c r="G11" s="2"/>
      <x:c r="H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</x:row>
    <x:row r="14" ht="23" customHeight="1">
      <x:c r="A14" s="16" t="str">
        <x:v>Kết quả pipeline (snapshot; chạy lại pipeline để làm mới)</x:v>
      </x:c>
      <x:c r="B14" s="2"/>
      <x:c r="C14" s="2"/>
      <x:c r="D14" s="2"/>
      <x:c r="E14" s="2"/>
      <x:c r="F14" s="2"/>
      <x:c r="G14" s="2"/>
      <x:c r="H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</x:row>
    <x:row r="16" ht="32" customHeight="1">
      <x:c r="A16" s="9" t="str">
        <x:v>Mục kiểm toán</x:v>
      </x:c>
      <x:c r="B16" s="9" t="str">
        <x:v>Giá trị ghi nhận</x:v>
      </x:c>
      <x:c r="C16" s="2"/>
      <x:c r="D16" s="16" t="str">
        <x:v>Đọc đúng dữ liệu</x:v>
      </x:c>
      <x:c r="E16" s="2"/>
      <x:c r="F16" s="2"/>
      <x:c r="G16" s="2"/>
      <x:c r="H16" s="2"/>
    </x:row>
    <x:row r="17" ht="32" customHeight="1">
      <x:c r="A17" s="25" t="str">
        <x:v>Tin gốc</x:v>
      </x:c>
      <x:c r="B17" s="2" t="n">
        <x:v>9004</x:v>
      </x:c>
      <x:c r="C17" s="2"/>
      <x:c r="D17" s="2"/>
      <x:c r="E17" s="2"/>
      <x:c r="F17" s="2"/>
      <x:c r="G17" s="2"/>
      <x:c r="H17" s="2"/>
    </x:row>
    <x:row r="18" ht="32" customHeight="1">
      <x:c r="A18" s="25" t="str">
        <x:v>Tin đủ điều kiện sau xử lý</x:v>
      </x:c>
      <x:c r="B18" s="2" t="n">
        <x:v>7001</x:v>
      </x:c>
      <x:c r="C18" s="2"/>
      <x:c r="D18" s="5" t="str">
        <x:v>Cờ ngoại lệ không tự động chứng minh dữ liệu sai.</x:v>
      </x:c>
      <x:c r="E18" s="2"/>
      <x:c r="F18" s="2"/>
      <x:c r="G18" s="2"/>
      <x:c r="H18" s="2"/>
    </x:row>
    <x:row r="19" ht="32" customHeight="1">
      <x:c r="A19" s="25" t="str">
        <x:v>Tin cách ly</x:v>
      </x:c>
      <x:c r="B19" s="2" t="n">
        <x:v>119</x:v>
      </x:c>
      <x:c r="C19" s="2"/>
      <x:c r="D19" s="2"/>
      <x:c r="E19" s="2"/>
      <x:c r="F19" s="2"/>
      <x:c r="G19" s="2"/>
      <x:c r="H19" s="2"/>
    </x:row>
    <x:row r="20" ht="32" customHeight="1">
      <x:c r="A20" s="25" t="str">
        <x:v>Tin trùng theo khóa nội dung</x:v>
      </x:c>
      <x:c r="B20" s="2" t="n">
        <x:v>1884</x:v>
      </x:c>
      <x:c r="C20" s="2"/>
      <x:c r="D20" s="5" t="str">
        <x:v>Tin cho thuê/giá mơ hồ không được dùng như giá bán.</x:v>
      </x:c>
      <x:c r="E20" s="2"/>
      <x:c r="F20" s="2"/>
      <x:c r="G20" s="2"/>
      <x:c r="H20" s="2"/>
    </x:row>
    <x:row r="21" ht="32" customHeight="1">
      <x:c r="A21" s="25" t="str">
        <x:v>Tổ hợp nội dung không trùng</x:v>
      </x:c>
      <x:c r="B21" s="2" t="n">
        <x:v>7120</x:v>
      </x:c>
      <x:c r="C21" s="2"/>
      <x:c r="D21" s="2"/>
      <x:c r="E21" s="2"/>
      <x:c r="F21" s="2"/>
      <x:c r="G21" s="2"/>
      <x:c r="H21" s="2"/>
    </x:row>
    <x:row r="22" ht="32" customHeight="1">
      <x:c r="A22" s="25" t="str">
        <x:v>Thiếu trường gốc: title</x:v>
      </x:c>
      <x:c r="B22" s="2" t="n">
        <x:v>0</x:v>
      </x:c>
      <x:c r="C22" s="2"/>
      <x:c r="D22" s="5" t="str">
        <x:v>Không điền giá rao thiếu để làm đẹp phân phối.</x:v>
      </x:c>
      <x:c r="E22" s="2"/>
      <x:c r="F22" s="2"/>
      <x:c r="G22" s="2"/>
      <x:c r="H22" s="2"/>
    </x:row>
    <x:row r="23" ht="32" customHeight="1">
      <x:c r="A23" s="25" t="str">
        <x:v>Thiếu trường gốc: price</x:v>
      </x:c>
      <x:c r="B23" s="2" t="n">
        <x:v>0</x:v>
      </x:c>
      <x:c r="C23" s="2"/>
      <x:c r="D23" s="2"/>
      <x:c r="E23" s="2"/>
      <x:c r="F23" s="2"/>
      <x:c r="G23" s="2"/>
      <x:c r="H23" s="2"/>
    </x:row>
    <x:row r="24" ht="32" customHeight="1">
      <x:c r="A24" s="25" t="str">
        <x:v>Thiếu trường gốc: area</x:v>
      </x:c>
      <x:c r="B24" s="2" t="n">
        <x:v>0</x:v>
      </x:c>
      <x:c r="C24" s="2"/>
      <x:c r="D24" s="5" t="str">
        <x:v>Các cột chi tiết nghi lan truyền không dùng trong kết luận chính.</x:v>
      </x:c>
      <x:c r="E24" s="2"/>
      <x:c r="F24" s="2"/>
      <x:c r="G24" s="2"/>
      <x:c r="H24" s="2"/>
    </x:row>
    <x:row r="25" ht="32" customHeight="1">
      <x:c r="A25" s="25" t="str">
        <x:v>Thiếu trường gốc: location</x:v>
      </x:c>
      <x:c r="B25" s="2" t="n">
        <x:v>0</x:v>
      </x:c>
      <x:c r="C25" s="2"/>
      <x:c r="D25" s="2"/>
      <x:c r="E25" s="2"/>
      <x:c r="F25" s="2"/>
      <x:c r="G25" s="2"/>
      <x:c r="H25" s="2"/>
    </x:row>
    <x:row r="26" ht="32" customHeight="1">
      <x:c r="A26" s="25" t="str">
        <x:v>Thiếu trường gốc: description</x:v>
      </x:c>
      <x:c r="B26" s="2" t="n">
        <x:v>0</x:v>
      </x:c>
      <x:c r="C26" s="2"/>
      <x:c r="D26" s="5" t="str">
        <x:v>land = đất; house = nhà; apartment = căn hộ.</x:v>
      </x:c>
      <x:c r="E26" s="2"/>
      <x:c r="F26" s="2"/>
      <x:c r="G26" s="2"/>
      <x:c r="H26" s="2"/>
    </x:row>
    <x:row r="27" ht="32" customHeight="1">
      <x:c r="A27" s="25" t="str">
        <x:v>Không phân tích được trước cách ly: area_m2</x:v>
      </x:c>
      <x:c r="B27" s="2" t="n">
        <x:v>2</x:v>
      </x:c>
      <x:c r="C27" s="2"/>
      <x:c r="D27" s="2"/>
      <x:c r="E27" s="2"/>
      <x:c r="F27" s="2"/>
      <x:c r="G27" s="2"/>
      <x:c r="H27" s="2"/>
    </x:row>
    <x:row r="28" ht="32" customHeight="1">
      <x:c r="A28" s="25" t="str">
        <x:v>Không phân tích được trước cách ly: sale_price_vnd</x:v>
      </x:c>
      <x:c r="B28" s="2" t="n">
        <x:v>0</x:v>
      </x:c>
      <x:c r="C28" s="2"/>
      <x:c r="D28" s="5" t="str">
        <x:v>other_unknown = loại hình chưa xác định; cụm -1 = ngoại lệ theo nhóm.</x:v>
      </x:c>
      <x:c r="E28" s="2"/>
      <x:c r="F28" s="2"/>
      <x:c r="G28" s="2"/>
      <x:c r="H28" s="2"/>
    </x:row>
    <x:row r="29" ht="32" customHeight="1">
      <x:c r="A29" s="25" t="str">
        <x:v>Diện tích khôi phục từ chuỗi giá</x:v>
      </x:c>
      <x:c r="B29" s="2" t="n">
        <x:v>351</x:v>
      </x:c>
      <x:c r="C29" s="2"/>
      <x:c r="D29" s="2"/>
      <x:c r="E29" s="2"/>
      <x:c r="F29" s="2"/>
      <x:c r="G29" s="2"/>
      <x:c r="H29" s="2"/>
    </x:row>
    <x:row r="30" ht="32" customHeight="1">
      <x:c r="A30" s="25" t="str">
        <x:v>Lý do cách ly: Giá toàn bộ dưới 10 triệu VND</x:v>
      </x:c>
      <x:c r="B30" s="2" t="n">
        <x:v>81</x:v>
      </x:c>
      <x:c r="C30" s="2"/>
      <x:c r="D30" s="2"/>
      <x:c r="E30" s="2"/>
      <x:c r="F30" s="2"/>
      <x:c r="G30" s="2"/>
      <x:c r="H30" s="2"/>
    </x:row>
    <x:row r="31" ht="32" customHeight="1">
      <x:c r="A31" s="25" t="str">
        <x:v>Lý do cách ly: Tin cho thuê hoặc lẫn bán/thuê</x:v>
      </x:c>
      <x:c r="B31" s="2" t="n">
        <x:v>19</x:v>
      </x:c>
      <x:c r="C31" s="2"/>
      <x:c r="D31" s="2"/>
      <x:c r="E31" s="2"/>
      <x:c r="F31" s="2"/>
      <x:c r="G31" s="2"/>
      <x:c r="H31" s="2"/>
    </x:row>
    <x:row r="32" ht="32" customHeight="1">
      <x:c r="A32" s="25" t="str">
        <x:v>Lý do cách ly: Khoản thanh toán chưa rõ tổng giá</x:v>
      </x:c>
      <x:c r="B32" s="2" t="n">
        <x:v>18</x:v>
      </x:c>
      <x:c r="C32" s="2"/>
      <x:c r="D32" s="2"/>
      <x:c r="E32" s="2"/>
      <x:c r="F32" s="2"/>
      <x:c r="G32" s="2"/>
      <x:c r="H32" s="2"/>
    </x:row>
    <x:row r="33" ht="32" customHeight="1">
      <x:c r="A33" s="25" t="str">
        <x:v>Lý do cách ly: Diện tích thiếu hoặc không hợp lệ</x:v>
      </x:c>
      <x:c r="B33" s="2" t="n">
        <x:v>2</x:v>
      </x:c>
      <x:c r="C33" s="2"/>
      <x:c r="D33" s="2"/>
      <x:c r="E33" s="2"/>
      <x:c r="F33" s="2"/>
      <x:c r="G33" s="2"/>
      <x:c r="H33" s="2"/>
    </x:row>
    <x:row r="34" ht="32" customHeight="1">
      <x:c r="A34" s="25" t="str">
        <x:v>Ngoại lệ IQR theo nhóm</x:v>
      </x:c>
      <x:c r="B34" s="2" t="n">
        <x:v>267</x:v>
      </x:c>
      <x:c r="C34" s="2"/>
      <x:c r="D34" s="2"/>
      <x:c r="E34" s="2"/>
      <x:c r="F34" s="2"/>
      <x:c r="G34" s="2"/>
      <x:c r="H34" s="2"/>
    </x:row>
    <x:row r="35" ht="32" customHeight="1">
      <x:c r="A35" s="25" t="str">
        <x:v>Ngoại lệ IQR toàn bộ</x:v>
      </x:c>
      <x:c r="B35" s="2" t="n">
        <x:v>240</x:v>
      </x:c>
      <x:c r="C35" s="2"/>
      <x:c r="D35" s="2"/>
      <x:c r="E35" s="2"/>
      <x:c r="F35" s="2"/>
      <x:c r="G35" s="2"/>
      <x:c r="H35" s="2"/>
    </x:row>
    <x:row r="36" ht="32" customHeight="1">
      <x:c r="A36" s="25" t="str">
        <x:v>Nhãn địa phương trích xuất</x:v>
      </x:c>
      <x:c r="B36" s="2" t="n">
        <x:v>48</x:v>
      </x:c>
      <x:c r="C36" s="2"/>
      <x:c r="D36" s="2"/>
      <x:c r="E36" s="2"/>
      <x:c r="F36" s="2"/>
      <x:c r="G36" s="2"/>
      <x:c r="H36" s="2"/>
    </x:row>
    <x:row r="37" ht="32" customHeight="1">
      <x:c r="A37" s="25" t="str">
        <x:v>province_category_count</x:v>
      </x:c>
      <x:c r="B37" s="2" t="n">
        <x:v>49</x:v>
      </x:c>
      <x:c r="C37" s="2"/>
      <x:c r="D37" s="2"/>
      <x:c r="E37" s="2"/>
      <x:c r="F37" s="2"/>
      <x:c r="G37" s="2"/>
      <x:c r="H37" s="2"/>
    </x:row>
    <x:row r="38" ht="32" customHeight="1">
      <x:c r="A38" s="25" t="str">
        <x:v>unknown_province_count</x:v>
      </x:c>
      <x:c r="B38" s="2" t="n">
        <x:v>29</x:v>
      </x:c>
      <x:c r="C38" s="2"/>
      <x:c r="D38" s="2"/>
      <x:c r="E38" s="2"/>
      <x:c r="F38" s="2"/>
      <x:c r="G38" s="2"/>
      <x:c r="H38" s="2"/>
    </x:row>
    <x:row r="39" ht="32" customHeight="1">
      <x:c r="A39" s="25" t="str">
        <x:v>Cờ: Loại hình suy luận từ tiêu đề</x:v>
      </x:c>
      <x:c r="B39" s="2" t="n">
        <x:v>7001</x:v>
      </x:c>
      <x:c r="C39" s="2"/>
      <x:c r="D39" s="2"/>
      <x:c r="E39" s="2"/>
      <x:c r="F39" s="2"/>
      <x:c r="G39" s="2"/>
      <x:c r="H39" s="2"/>
    </x:row>
    <x:row r="40" ht="32" customHeight="1">
      <x:c r="A40" s="25" t="str">
        <x:v>Cờ: Giả định bán theo ngữ cảnh bộ dữ liệu</x:v>
      </x:c>
      <x:c r="B40" s="2" t="n">
        <x:v>3931</x:v>
      </x:c>
      <x:c r="C40" s="2"/>
      <x:c r="D40" s="2"/>
      <x:c r="E40" s="2"/>
      <x:c r="F40" s="2"/>
      <x:c r="G40" s="2"/>
      <x:c r="H40" s="2"/>
    </x:row>
    <x:row r="41" ht="32" customHeight="1">
      <x:c r="A41" s="25" t="str">
        <x:v>Cờ: Chưa xác định loại hình</x:v>
      </x:c>
      <x:c r="B41" s="2" t="n">
        <x:v>1131</x:v>
      </x:c>
      <x:c r="C41" s="2"/>
      <x:c r="D41" s="2"/>
      <x:c r="E41" s="2"/>
      <x:c r="F41" s="2"/>
      <x:c r="G41" s="2"/>
      <x:c r="H41" s="2"/>
    </x:row>
    <x:row r="42" ht="32" customHeight="1">
      <x:c r="A42" s="25" t="str">
        <x:v>Cờ: Khôi phục diện tích từ chuỗi giá</x:v>
      </x:c>
      <x:c r="B42" s="2" t="n">
        <x:v>351</x:v>
      </x:c>
      <x:c r="C42" s="2"/>
      <x:c r="D42" s="2"/>
      <x:c r="E42" s="2"/>
      <x:c r="F42" s="2"/>
      <x:c r="G42" s="2"/>
      <x:c r="H42" s="2"/>
    </x:row>
    <x:row r="43" ht="32" customHeight="1">
      <x:c r="A43" s="25" t="str">
        <x:v>Cờ: Diện tích: dùng dấu chấm hàng nghìn</x:v>
      </x:c>
      <x:c r="B43" s="2" t="n">
        <x:v>347</x:v>
      </x:c>
      <x:c r="C43" s="2"/>
      <x:c r="D43" s="2"/>
      <x:c r="E43" s="2"/>
      <x:c r="F43" s="2"/>
      <x:c r="G43" s="2"/>
      <x:c r="H43" s="2"/>
    </x:row>
    <x:row r="44" ht="32" customHeight="1">
      <x:c r="A44" s="25" t="str">
        <x:v>Cờ: unknown_district</x:v>
      </x:c>
      <x:c r="B44" s="2" t="n">
        <x:v>32</x:v>
      </x:c>
      <x:c r="C44" s="2"/>
      <x:c r="D44" s="2"/>
      <x:c r="E44" s="2"/>
      <x:c r="F44" s="2"/>
      <x:c r="G44" s="2"/>
      <x:c r="H44" s="2"/>
    </x:row>
    <x:row r="45" ht="32" customHeight="1">
      <x:c r="A45" s="25" t="str">
        <x:v>Cờ: unknown_province</x:v>
      </x:c>
      <x:c r="B45" s="2" t="n">
        <x:v>29</x:v>
      </x:c>
      <x:c r="C45" s="2"/>
      <x:c r="D45" s="2"/>
      <x:c r="E45" s="2"/>
      <x:c r="F45" s="2"/>
      <x:c r="G45" s="2"/>
      <x:c r="H45" s="2"/>
    </x:row>
    <x:row r="46" ht="32" customHeight="1">
      <x:c r="A46" s="25" t="str">
        <x:v>Cờ: Có nhắc thu nhập cho thuê</x:v>
      </x:c>
      <x:c r="B46" s="2" t="n">
        <x:v>16</x:v>
      </x:c>
      <x:c r="C46" s="2"/>
      <x:c r="D46" s="2"/>
      <x:c r="E46" s="2"/>
      <x:c r="F46" s="2"/>
      <x:c r="G46" s="2"/>
      <x:c r="H46" s="2"/>
    </x:row>
    <x:row r="47" ht="32" customHeight="1">
      <x:c r="A47" s="25" t="str">
        <x:v>Cờ: province_alias_normalized</x:v>
      </x:c>
      <x:c r="B47" s="2" t="n">
        <x:v>8</x:v>
      </x:c>
      <x:c r="C47" s="2"/>
      <x:c r="D47" s="2"/>
      <x:c r="E47" s="2"/>
      <x:c r="F47" s="2"/>
      <x:c r="G47" s="2"/>
      <x:c r="H47" s="2"/>
    </x:row>
    <x:row r="48" ht="32" customHeight="1">
      <x:c r="A48" s="25" t="str">
        <x:v>Trạng thái: Giả định tin bán</x:v>
      </x:c>
      <x:c r="B48" s="2" t="n">
        <x:v>3931</x:v>
      </x:c>
      <x:c r="C48" s="2"/>
      <x:c r="D48" s="2"/>
      <x:c r="E48" s="2"/>
      <x:c r="F48" s="2"/>
      <x:c r="G48" s="2"/>
      <x:c r="H48" s="2"/>
    </x:row>
    <x:row r="49" ht="32" customHeight="1">
      <x:c r="A49" s="25" t="str">
        <x:v>Trạng thái: Tin bán</x:v>
      </x:c>
      <x:c r="B49" s="2" t="n">
        <x:v>3055</x:v>
      </x:c>
      <x:c r="C49" s="2"/>
      <x:c r="D49" s="2"/>
      <x:c r="E49" s="2"/>
      <x:c r="F49" s="2"/>
      <x:c r="G49" s="2"/>
      <x:c r="H49" s="2"/>
    </x:row>
    <x:row r="50" ht="32" customHeight="1">
      <x:c r="A50" s="25" t="str">
        <x:v>Trạng thái: Tin bán có nhắc thu nhập thuê</x:v>
      </x:c>
      <x:c r="B50" s="2" t="n">
        <x:v>15</x:v>
      </x:c>
      <x:c r="C50" s="2"/>
      <x:c r="D50" s="2"/>
      <x:c r="E50" s="2"/>
      <x:c r="F50" s="2"/>
      <x:c r="G50" s="2"/>
      <x:c r="H50" s="2"/>
    </x:row>
    <x:row r="51" ht="23" customHeight="1">
      <x:c r="A51" s="2"/>
      <x:c r="B51" s="2"/>
      <x:c r="C51" s="2"/>
      <x:c r="D51" s="2"/>
      <x:c r="E51" s="2"/>
      <x:c r="F51" s="2"/>
      <x:c r="G51" s="2"/>
      <x:c r="H51" s="2"/>
    </x:row>
    <x:row r="52" ht="23" customHeight="1">
      <x:c r="A52" s="2"/>
      <x:c r="B52" s="2"/>
      <x:c r="C52" s="2"/>
      <x:c r="D52" s="2"/>
      <x:c r="E52" s="2"/>
      <x:c r="F52" s="2"/>
      <x:c r="G52" s="2"/>
      <x:c r="H52" s="2"/>
    </x:row>
    <x:row r="53" ht="23" customHeight="1">
      <x:c r="A53" s="2"/>
      <x:c r="B53" s="2"/>
      <x:c r="C53" s="2"/>
      <x:c r="D53" s="2"/>
      <x:c r="E53" s="2"/>
      <x:c r="F53" s="2"/>
      <x:c r="G53" s="2"/>
      <x:c r="H53" s="2"/>
    </x:row>
    <x:row r="54" ht="23" customHeight="1">
      <x:c r="A54" s="2"/>
      <x:c r="B54" s="2"/>
      <x:c r="C54" s="2"/>
      <x:c r="D54" s="2"/>
      <x:c r="E54" s="2"/>
      <x:c r="F54" s="2"/>
      <x:c r="G54" s="2"/>
      <x:c r="H54" s="2"/>
    </x:row>
    <x:row r="55" ht="23" customHeight="1">
      <x:c r="A55" s="2"/>
      <x:c r="B55" s="2"/>
      <x:c r="C55" s="2"/>
      <x:c r="D55" s="2"/>
      <x:c r="E55" s="2"/>
      <x:c r="F55" s="2"/>
      <x:c r="G55" s="2"/>
      <x:c r="H55" s="2"/>
    </x:row>
    <x:row r="56" ht="23" customHeight="1">
      <x:c r="A56" s="2"/>
      <x:c r="B56" s="2"/>
      <x:c r="C56" s="2"/>
      <x:c r="D56" s="2"/>
      <x:c r="E56" s="2"/>
      <x:c r="F56" s="2"/>
      <x:c r="G56" s="2"/>
      <x:c r="H56" s="2"/>
    </x:row>
    <x:row r="57" ht="23" customHeight="1">
      <x:c r="A57" s="2"/>
      <x:c r="B57" s="2"/>
      <x:c r="C57" s="2"/>
      <x:c r="D57" s="2"/>
      <x:c r="E57" s="2"/>
      <x:c r="F57" s="2"/>
      <x:c r="G57" s="2"/>
      <x:c r="H57" s="2"/>
    </x:row>
    <x:row r="58" ht="23" customHeight="1">
      <x:c r="A58" s="2"/>
      <x:c r="B58" s="2"/>
      <x:c r="C58" s="2"/>
      <x:c r="D58" s="2"/>
      <x:c r="E58" s="2"/>
      <x:c r="F58" s="2"/>
      <x:c r="G58" s="2"/>
      <x:c r="H58" s="2"/>
    </x:row>
    <x:row r="59" ht="23" customHeight="1">
      <x:c r="A59" s="2"/>
      <x:c r="B59" s="2"/>
      <x:c r="C59" s="2"/>
      <x:c r="D59" s="2"/>
      <x:c r="E59" s="2"/>
      <x:c r="F59" s="2"/>
      <x:c r="G59" s="2"/>
      <x:c r="H59" s="2"/>
    </x:row>
    <x:row r="60" ht="23" customHeight="1">
      <x:c r="A60" s="2"/>
      <x:c r="B60" s="2"/>
      <x:c r="C60" s="2"/>
      <x:c r="D60" s="2"/>
      <x:c r="E60" s="2"/>
      <x:c r="F60" s="2"/>
      <x:c r="G60" s="2"/>
      <x:c r="H60" s="2"/>
    </x:row>
    <x:row r="61" ht="23" customHeight="1">
      <x:c r="A61" s="2"/>
      <x:c r="B61" s="2"/>
      <x:c r="C61" s="2"/>
      <x:c r="D61" s="2"/>
      <x:c r="E61" s="2"/>
      <x:c r="F61" s="2"/>
      <x:c r="G61" s="2"/>
      <x:c r="H61" s="2"/>
    </x:row>
    <x:row r="62" ht="23" customHeight="1">
      <x:c r="A62" s="2"/>
      <x:c r="B62" s="2"/>
      <x:c r="C62" s="2"/>
      <x:c r="D62" s="2"/>
      <x:c r="E62" s="2"/>
      <x:c r="F62" s="2"/>
      <x:c r="G62" s="2"/>
      <x:c r="H62" s="2"/>
    </x:row>
    <x:row r="63" ht="23" customHeight="1">
      <x:c r="A63" s="2"/>
      <x:c r="B63" s="2"/>
      <x:c r="C63" s="2"/>
      <x:c r="D63" s="2"/>
      <x:c r="E63" s="2"/>
      <x:c r="F63" s="2"/>
      <x:c r="G63" s="2"/>
      <x:c r="H63" s="2"/>
    </x:row>
    <x:row r="64" ht="23" customHeight="1">
      <x:c r="A64" s="2"/>
      <x:c r="B64" s="2"/>
      <x:c r="C64" s="2"/>
      <x:c r="D64" s="2"/>
      <x:c r="E64" s="2"/>
      <x:c r="F64" s="2"/>
      <x:c r="G64" s="2"/>
      <x:c r="H64" s="2"/>
    </x:row>
    <x:row r="65" ht="23" customHeight="1">
      <x:c r="A65" s="2"/>
      <x:c r="B65" s="2"/>
      <x:c r="C65" s="2"/>
      <x:c r="D65" s="2"/>
      <x:c r="E65" s="2"/>
      <x:c r="F65" s="2"/>
      <x:c r="G65" s="2"/>
      <x:c r="H65" s="2"/>
    </x:row>
    <x:row r="66" ht="23" customHeight="1">
      <x:c r="A66" s="2"/>
      <x:c r="B66" s="2"/>
      <x:c r="C66" s="2"/>
      <x:c r="D66" s="2"/>
      <x:c r="E66" s="2"/>
      <x:c r="F66" s="2"/>
      <x:c r="G66" s="2"/>
      <x:c r="H66" s="2"/>
    </x:row>
    <x:row r="67" ht="23" customHeight="1">
      <x:c r="A67" s="2"/>
      <x:c r="B67" s="2"/>
      <x:c r="C67" s="2"/>
      <x:c r="D67" s="2"/>
      <x:c r="E67" s="2"/>
      <x:c r="F67" s="2"/>
      <x:c r="G67" s="2"/>
      <x:c r="H67" s="2"/>
    </x:row>
    <x:row r="68" ht="23" customHeight="1">
      <x:c r="A68" s="2"/>
      <x:c r="B68" s="2"/>
      <x:c r="C68" s="2"/>
      <x:c r="D68" s="2"/>
      <x:c r="E68" s="2"/>
      <x:c r="F68" s="2"/>
      <x:c r="G68" s="2"/>
      <x:c r="H68" s="2"/>
    </x:row>
    <x:row r="69" ht="23" customHeight="1">
      <x:c r="A69" s="2"/>
      <x:c r="B69" s="2"/>
      <x:c r="C69" s="2"/>
      <x:c r="D69" s="2"/>
      <x:c r="E69" s="2"/>
      <x:c r="F69" s="2"/>
      <x:c r="G69" s="2"/>
      <x:c r="H69" s="2"/>
    </x:row>
    <x:row r="70" ht="23" customHeight="1">
      <x:c r="A70" s="2"/>
      <x:c r="B70" s="2"/>
      <x:c r="C70" s="2"/>
      <x:c r="D70" s="2"/>
      <x:c r="E70" s="2"/>
      <x:c r="F70" s="2"/>
      <x:c r="G70" s="2"/>
      <x:c r="H70" s="2"/>
    </x:row>
    <x:row r="71" ht="23" customHeight="1">
      <x:c r="A71" s="2"/>
      <x:c r="B71" s="2"/>
      <x:c r="C71" s="2"/>
      <x:c r="D71" s="2"/>
      <x:c r="E71" s="2"/>
      <x:c r="F71" s="2"/>
      <x:c r="G71" s="2"/>
      <x:c r="H71" s="2"/>
    </x:row>
    <x:row r="72" ht="23" customHeight="1">
      <x:c r="A72" s="2"/>
      <x:c r="B72" s="2"/>
      <x:c r="C72" s="2"/>
      <x:c r="D72" s="2"/>
      <x:c r="E72" s="2"/>
      <x:c r="F72" s="2"/>
      <x:c r="G72" s="2"/>
      <x:c r="H72" s="2"/>
    </x:row>
    <x:row r="73" ht="23" customHeight="1">
      <x:c r="A73" s="2"/>
      <x:c r="B73" s="2"/>
      <x:c r="C73" s="2"/>
      <x:c r="D73" s="2"/>
      <x:c r="E73" s="2"/>
      <x:c r="F73" s="2"/>
      <x:c r="G73" s="2"/>
      <x:c r="H73" s="2"/>
    </x:row>
    <x:row r="74" ht="23" customHeight="1">
      <x:c r="A74" s="2"/>
      <x:c r="B74" s="2"/>
      <x:c r="C74" s="2"/>
      <x:c r="D74" s="2"/>
      <x:c r="E74" s="2"/>
      <x:c r="F74" s="2"/>
      <x:c r="G74" s="2"/>
      <x:c r="H74" s="2"/>
    </x:row>
    <x:row r="75" ht="23" customHeight="1">
      <x:c r="A75" s="2"/>
      <x:c r="B75" s="2"/>
      <x:c r="C75" s="2"/>
      <x:c r="D75" s="2"/>
      <x:c r="E75" s="2"/>
      <x:c r="F75" s="2"/>
      <x:c r="G75" s="2"/>
      <x:c r="H75" s="2"/>
    </x:row>
    <x:row r="76" ht="23" customHeight="1">
      <x:c r="A76" s="2"/>
      <x:c r="B76" s="2"/>
      <x:c r="C76" s="2"/>
      <x:c r="D76" s="2"/>
      <x:c r="E76" s="2"/>
      <x:c r="F76" s="2"/>
      <x:c r="G76" s="2"/>
      <x:c r="H76" s="2"/>
    </x:row>
    <x:row r="77" ht="23" customHeight="1">
      <x:c r="A77" s="2"/>
      <x:c r="B77" s="2"/>
      <x:c r="C77" s="2"/>
      <x:c r="D77" s="2"/>
      <x:c r="E77" s="2"/>
      <x:c r="F77" s="2"/>
      <x:c r="G77" s="2"/>
      <x:c r="H77" s="2"/>
    </x:row>
    <x:row r="78" ht="23" customHeight="1">
      <x:c r="A78" s="2"/>
      <x:c r="B78" s="2"/>
      <x:c r="C78" s="2"/>
      <x:c r="D78" s="2"/>
      <x:c r="E78" s="2"/>
      <x:c r="F78" s="2"/>
      <x:c r="G78" s="2"/>
      <x:c r="H78" s="2"/>
    </x:row>
    <x:row r="79" ht="23" customHeight="1">
      <x:c r="A79" s="2"/>
      <x:c r="B79" s="2"/>
      <x:c r="C79" s="2"/>
      <x:c r="D79" s="2"/>
      <x:c r="E79" s="2"/>
      <x:c r="F79" s="2"/>
      <x:c r="G79" s="2"/>
      <x:c r="H79" s="2"/>
    </x:row>
    <x:row r="80" ht="23" customHeight="1">
      <x:c r="A80" s="2"/>
      <x:c r="B80" s="2"/>
      <x:c r="C80" s="2"/>
      <x:c r="D80" s="2"/>
      <x:c r="E80" s="2"/>
      <x:c r="F80" s="2"/>
      <x:c r="G80" s="2"/>
      <x:c r="H80" s="2"/>
    </x:row>
    <x:row r="81" ht="23" customHeight="1">
      <x:c r="A81" s="2"/>
      <x:c r="B81" s="2"/>
      <x:c r="C81" s="2"/>
      <x:c r="D81" s="2"/>
      <x:c r="E81" s="2"/>
      <x:c r="F81" s="2"/>
      <x:c r="G81" s="2"/>
      <x:c r="H81" s="2"/>
    </x:row>
    <x:row r="82" ht="23" customHeight="1">
      <x:c r="A82" s="2"/>
      <x:c r="B82" s="2"/>
      <x:c r="C82" s="2"/>
      <x:c r="D82" s="2"/>
      <x:c r="E82" s="2"/>
      <x:c r="F82" s="2"/>
      <x:c r="G82" s="2"/>
      <x:c r="H82" s="2"/>
    </x:row>
    <x:row r="83" ht="23" customHeight="1">
      <x:c r="A83" s="2"/>
      <x:c r="B83" s="2"/>
      <x:c r="C83" s="2"/>
      <x:c r="D83" s="2"/>
      <x:c r="E83" s="2"/>
      <x:c r="F83" s="2"/>
      <x:c r="G83" s="2"/>
      <x:c r="H83" s="2"/>
    </x:row>
    <x:row r="84" ht="23" customHeight="1">
      <x:c r="A84" s="2"/>
      <x:c r="B84" s="2"/>
      <x:c r="C84" s="2"/>
      <x:c r="D84" s="2"/>
      <x:c r="E84" s="2"/>
      <x:c r="F84" s="2"/>
      <x:c r="G84" s="2"/>
      <x:c r="H84" s="2"/>
    </x:row>
    <x:row r="85" ht="23" customHeight="1">
      <x:c r="A85" s="2"/>
      <x:c r="B85" s="2"/>
      <x:c r="C85" s="2"/>
      <x:c r="D85" s="2"/>
      <x:c r="E85" s="2"/>
      <x:c r="F85" s="2"/>
      <x:c r="G85" s="2"/>
      <x:c r="H85" s="2"/>
    </x:row>
    <x:row r="86" ht="23" customHeight="1">
      <x:c r="A86" s="2"/>
      <x:c r="B86" s="2"/>
      <x:c r="C86" s="2"/>
      <x:c r="D86" s="2"/>
      <x:c r="E86" s="2"/>
      <x:c r="F86" s="2"/>
      <x:c r="G86" s="2"/>
      <x:c r="H86" s="2"/>
    </x:row>
    <x:row r="87" ht="23" customHeight="1">
      <x:c r="A87" s="2"/>
      <x:c r="B87" s="2"/>
      <x:c r="C87" s="2"/>
      <x:c r="D87" s="2"/>
      <x:c r="E87" s="2"/>
      <x:c r="F87" s="2"/>
      <x:c r="G87" s="2"/>
      <x:c r="H87" s="2"/>
    </x:row>
    <x:row r="88" ht="23" customHeight="1">
      <x:c r="A88" s="2"/>
      <x:c r="B88" s="2"/>
      <x:c r="C88" s="2"/>
      <x:c r="D88" s="2"/>
      <x:c r="E88" s="2"/>
      <x:c r="F88" s="2"/>
      <x:c r="G88" s="2"/>
      <x:c r="H88" s="2"/>
    </x:row>
    <x:row r="89" ht="23" customHeight="1">
      <x:c r="A89" s="2"/>
      <x:c r="B89" s="2"/>
      <x:c r="C89" s="2"/>
      <x:c r="D89" s="2"/>
      <x:c r="E89" s="2"/>
      <x:c r="F89" s="2"/>
      <x:c r="G89" s="2"/>
      <x:c r="H89" s="2"/>
    </x:row>
    <x:row r="90" ht="23" customHeight="1">
      <x:c r="A90" s="2"/>
      <x:c r="B90" s="2"/>
      <x:c r="C90" s="2"/>
      <x:c r="D90" s="2"/>
      <x:c r="E90" s="2"/>
      <x:c r="F90" s="2"/>
      <x:c r="G90" s="2"/>
      <x:c r="H90" s="2"/>
    </x:row>
    <x:row r="91" ht="23" customHeight="1">
      <x:c r="A91" s="2"/>
      <x:c r="B91" s="2"/>
      <x:c r="C91" s="2"/>
      <x:c r="D91" s="2"/>
      <x:c r="E91" s="2"/>
      <x:c r="F91" s="2"/>
      <x:c r="G91" s="2"/>
      <x:c r="H91" s="2"/>
    </x:row>
    <x:row r="92" ht="23" customHeight="1">
      <x:c r="A92" s="2"/>
      <x:c r="B92" s="2"/>
      <x:c r="C92" s="2"/>
      <x:c r="D92" s="2"/>
      <x:c r="E92" s="2"/>
      <x:c r="F92" s="2"/>
      <x:c r="G92" s="2"/>
      <x:c r="H92" s="2"/>
    </x:row>
    <x:row r="93" ht="23" customHeight="1">
      <x:c r="A93" s="2"/>
      <x:c r="B93" s="2"/>
      <x:c r="C93" s="2"/>
      <x:c r="D93" s="2"/>
      <x:c r="E93" s="2"/>
      <x:c r="F93" s="2"/>
      <x:c r="G93" s="2"/>
      <x:c r="H93" s="2"/>
    </x:row>
    <x:row r="94" ht="23" customHeight="1">
      <x:c r="A94" s="2"/>
      <x:c r="B94" s="2"/>
      <x:c r="C94" s="2"/>
      <x:c r="D94" s="2"/>
      <x:c r="E94" s="2"/>
      <x:c r="F94" s="2"/>
      <x:c r="G94" s="2"/>
      <x:c r="H94" s="2"/>
    </x:row>
    <x:row r="95" ht="23" customHeight="1">
      <x:c r="A95" s="2"/>
      <x:c r="B95" s="2"/>
      <x:c r="C95" s="2"/>
      <x:c r="D95" s="2"/>
      <x:c r="E95" s="2"/>
      <x:c r="F95" s="2"/>
      <x:c r="G95" s="2"/>
      <x:c r="H95" s="2"/>
    </x:row>
    <x:row r="96" ht="23" customHeight="1">
      <x:c r="A96" s="2"/>
      <x:c r="B96" s="2"/>
      <x:c r="C96" s="2"/>
      <x:c r="D96" s="2"/>
      <x:c r="E96" s="2"/>
      <x:c r="F96" s="2"/>
      <x:c r="G96" s="2"/>
      <x:c r="H96" s="2"/>
    </x:row>
    <x:row r="97" ht="23" customHeight="1">
      <x:c r="A97" s="2"/>
      <x:c r="B97" s="2"/>
      <x:c r="C97" s="2"/>
      <x:c r="D97" s="2"/>
      <x:c r="E97" s="2"/>
      <x:c r="F97" s="2"/>
      <x:c r="G97" s="2"/>
      <x:c r="H97" s="2"/>
    </x:row>
    <x:row r="98" ht="23" customHeight="1">
      <x:c r="A98" s="2"/>
      <x:c r="B98" s="2"/>
      <x:c r="C98" s="2"/>
      <x:c r="D98" s="2"/>
      <x:c r="E98" s="2"/>
      <x:c r="F98" s="2"/>
      <x:c r="G98" s="2"/>
      <x:c r="H98" s="2"/>
    </x:row>
    <x:row r="99" ht="23" customHeight="1">
      <x:c r="A99" s="2"/>
      <x:c r="B99" s="2"/>
      <x:c r="C99" s="2"/>
      <x:c r="D99" s="2"/>
      <x:c r="E99" s="2"/>
      <x:c r="F99" s="2"/>
      <x:c r="G99" s="2"/>
      <x:c r="H99" s="2"/>
    </x:row>
    <x:row r="100" ht="23" customHeight="1">
      <x:c r="A100" s="2"/>
      <x:c r="B100" s="2"/>
      <x:c r="C100" s="2"/>
      <x:c r="D100" s="2"/>
      <x:c r="E100" s="2"/>
      <x:c r="F100" s="2"/>
      <x:c r="G100" s="2"/>
      <x:c r="H100" s="2"/>
    </x:row>
  </x:sheetData>
  <x:conditionalFormatting sqref="B11:B11">
    <x:cfRule type="cellIs" dxfId="1" priority="1" operator="notEqual">
      <x:formula>0</x:formula>
    </x:cfRule>
  </x:conditionalFormatting>
  <x:pageMargins left="0.7" right="0.7" top="0.75" bottom="0.75" header="0.3" footer="0.3"/>
</x:worksheet>
</file>